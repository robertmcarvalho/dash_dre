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9793a6b2457fc0/dash_dre_flux/data/"/>
    </mc:Choice>
  </mc:AlternateContent>
  <xr:revisionPtr revIDLastSave="107" documentId="13_ncr:1_{52EF5032-9771-4086-9A50-071F5CB7833C}" xr6:coauthVersionLast="47" xr6:coauthVersionMax="47" xr10:uidLastSave="{6994CE65-24C5-4897-BBEF-8EC71A8E328A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Planilha1!$A$1:$U$6564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6" i="1" l="1"/>
  <c r="N3" i="1"/>
  <c r="N2" i="1"/>
  <c r="B6556" i="1"/>
  <c r="B6557" i="1"/>
  <c r="B6558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175" i="1"/>
  <c r="B6176" i="1"/>
  <c r="B6177" i="1"/>
  <c r="B6166" i="1"/>
  <c r="B6167" i="1"/>
  <c r="B6168" i="1"/>
  <c r="B6169" i="1"/>
  <c r="B6170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012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5976" i="1"/>
  <c r="B5977" i="1"/>
  <c r="B5978" i="1"/>
  <c r="B5979" i="1"/>
  <c r="B5980" i="1"/>
  <c r="B5981" i="1"/>
  <c r="B5982" i="1"/>
  <c r="B5983" i="1"/>
  <c r="B5984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837" i="1"/>
  <c r="B5824" i="1"/>
  <c r="B5825" i="1"/>
  <c r="B5826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779" i="1"/>
  <c r="B5780" i="1"/>
  <c r="B5781" i="1"/>
  <c r="B5782" i="1"/>
  <c r="B5783" i="1"/>
  <c r="B5784" i="1"/>
  <c r="B5785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678" i="1"/>
  <c r="B5679" i="1"/>
  <c r="B5680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301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65" i="1"/>
  <c r="B5266" i="1"/>
  <c r="B5267" i="1"/>
  <c r="B5268" i="1"/>
  <c r="B5269" i="1"/>
  <c r="B5270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145" i="1"/>
  <c r="B5146" i="1"/>
  <c r="B5147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B4962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19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801" i="1"/>
  <c r="B4802" i="1"/>
  <c r="B4803" i="1"/>
  <c r="B4804" i="1"/>
  <c r="B480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651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586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491" i="1"/>
  <c r="B4492" i="1"/>
  <c r="B4493" i="1"/>
  <c r="B4477" i="1"/>
  <c r="B4478" i="1"/>
  <c r="B4479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275" i="1"/>
  <c r="B4276" i="1"/>
  <c r="B4277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02" i="1"/>
  <c r="B4103" i="1"/>
  <c r="B4104" i="1"/>
  <c r="B4105" i="1"/>
  <c r="B4106" i="1"/>
  <c r="B4107" i="1"/>
  <c r="B4108" i="1"/>
  <c r="B4109" i="1"/>
  <c r="B4110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3961" i="1"/>
  <c r="B3962" i="1"/>
  <c r="B3963" i="1"/>
  <c r="B3964" i="1"/>
  <c r="B3965" i="1"/>
  <c r="B3966" i="1"/>
  <c r="B3967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806" i="1"/>
  <c r="B3807" i="1"/>
  <c r="B3808" i="1"/>
  <c r="B3797" i="1"/>
  <c r="B3798" i="1"/>
  <c r="B3799" i="1"/>
  <c r="B3800" i="1"/>
  <c r="B3801" i="1"/>
  <c r="B3802" i="1"/>
  <c r="B380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657" i="1"/>
  <c r="B3658" i="1"/>
  <c r="B3659" i="1"/>
  <c r="B3648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150" i="1"/>
  <c r="B3140" i="1"/>
  <c r="B3141" i="1"/>
  <c r="B3142" i="1"/>
  <c r="B3143" i="1"/>
  <c r="B3144" i="1"/>
  <c r="B3145" i="1"/>
  <c r="B3146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2975" i="1"/>
  <c r="B2976" i="1"/>
  <c r="B2977" i="1"/>
  <c r="B2978" i="1"/>
  <c r="B2979" i="1"/>
  <c r="B2955" i="1"/>
  <c r="B2956" i="1"/>
  <c r="B2957" i="1"/>
  <c r="B2958" i="1"/>
  <c r="B2959" i="1"/>
  <c r="B2960" i="1"/>
  <c r="B2961" i="1"/>
  <c r="B2962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789" i="1"/>
  <c r="B2790" i="1"/>
  <c r="B2791" i="1"/>
  <c r="B2792" i="1"/>
  <c r="B2793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640" i="1"/>
  <c r="B2641" i="1"/>
  <c r="B2642" i="1"/>
  <c r="B2637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499" i="1"/>
  <c r="B2500" i="1"/>
  <c r="B2501" i="1"/>
  <c r="B2502" i="1"/>
  <c r="B2503" i="1"/>
  <c r="B2492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26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07" i="1"/>
  <c r="B2208" i="1"/>
  <c r="B2209" i="1"/>
  <c r="B2210" i="1"/>
  <c r="B2211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080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37" i="1"/>
  <c r="B2038" i="1"/>
  <c r="B2039" i="1"/>
  <c r="B2040" i="1"/>
  <c r="B2041" i="1"/>
  <c r="B2042" i="1"/>
  <c r="B2043" i="1"/>
  <c r="B2044" i="1"/>
  <c r="B2045" i="1"/>
  <c r="B2046" i="1"/>
  <c r="B2047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794" i="1"/>
  <c r="B1795" i="1"/>
  <c r="B1796" i="1"/>
  <c r="B1797" i="1"/>
  <c r="B1798" i="1"/>
  <c r="B1799" i="1"/>
  <c r="B180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680" i="1"/>
  <c r="B1681" i="1"/>
  <c r="B1682" i="1"/>
  <c r="B1667" i="1"/>
  <c r="B1668" i="1"/>
  <c r="B1669" i="1"/>
  <c r="B1649" i="1"/>
  <c r="B1650" i="1"/>
  <c r="B1651" i="1"/>
  <c r="B1652" i="1"/>
  <c r="B1653" i="1"/>
  <c r="B1654" i="1"/>
  <c r="B1655" i="1"/>
  <c r="B1656" i="1"/>
  <c r="B1657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571" i="1"/>
  <c r="B1553" i="1"/>
  <c r="B1554" i="1"/>
  <c r="B1555" i="1"/>
  <c r="B1556" i="1"/>
  <c r="B1557" i="1"/>
  <c r="B1558" i="1"/>
  <c r="B1559" i="1"/>
  <c r="B1560" i="1"/>
  <c r="B1561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444" i="1"/>
  <c r="B1445" i="1"/>
  <c r="B1446" i="1"/>
  <c r="B1447" i="1"/>
  <c r="B1448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342" i="1"/>
  <c r="B1328" i="1"/>
  <c r="B1329" i="1"/>
  <c r="B1330" i="1"/>
  <c r="B1316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05" i="1"/>
  <c r="B1206" i="1"/>
  <c r="B1207" i="1"/>
  <c r="B1208" i="1"/>
  <c r="B120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083" i="1"/>
  <c r="B1084" i="1"/>
  <c r="B1085" i="1"/>
  <c r="B1086" i="1"/>
  <c r="B108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964" i="1"/>
  <c r="B965" i="1"/>
  <c r="B966" i="1"/>
  <c r="B967" i="1"/>
  <c r="B968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834" i="1"/>
  <c r="B835" i="1"/>
  <c r="B836" i="1"/>
  <c r="B837" i="1"/>
  <c r="B838" i="1"/>
  <c r="B839" i="1"/>
  <c r="B840" i="1"/>
  <c r="B828" i="1"/>
  <c r="B829" i="1"/>
  <c r="B830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18" i="1"/>
  <c r="B710" i="1"/>
  <c r="B701" i="1"/>
  <c r="B702" i="1"/>
  <c r="B703" i="1"/>
  <c r="B704" i="1"/>
  <c r="B705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560" i="1"/>
  <c r="B561" i="1"/>
  <c r="B562" i="1"/>
  <c r="B563" i="1"/>
  <c r="B564" i="1"/>
  <c r="B565" i="1"/>
  <c r="B566" i="1"/>
  <c r="B554" i="1"/>
  <c r="B555" i="1"/>
  <c r="B556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470" i="1"/>
  <c r="B471" i="1"/>
  <c r="B472" i="1"/>
  <c r="B473" i="1"/>
  <c r="B474" i="1"/>
  <c r="B475" i="1"/>
  <c r="B476" i="1"/>
  <c r="B463" i="1"/>
  <c r="B464" i="1"/>
  <c r="B465" i="1"/>
  <c r="B452" i="1"/>
  <c r="B453" i="1"/>
  <c r="B454" i="1"/>
  <c r="B455" i="1"/>
  <c r="B456" i="1"/>
  <c r="B445" i="1"/>
  <c r="B446" i="1"/>
  <c r="B447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344" i="1"/>
  <c r="B345" i="1"/>
  <c r="B346" i="1"/>
  <c r="B332" i="1"/>
  <c r="B333" i="1"/>
  <c r="B334" i="1"/>
  <c r="B335" i="1"/>
  <c r="B336" i="1"/>
  <c r="B318" i="1"/>
  <c r="B319" i="1"/>
  <c r="B320" i="1"/>
  <c r="B321" i="1"/>
  <c r="B322" i="1"/>
  <c r="B323" i="1"/>
  <c r="B324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242" i="1"/>
  <c r="B243" i="1"/>
  <c r="B244" i="1"/>
  <c r="B237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92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72" i="1"/>
  <c r="B73" i="1"/>
  <c r="B74" i="1"/>
  <c r="B69" i="1"/>
  <c r="B67" i="1"/>
  <c r="B65" i="1"/>
  <c r="B59" i="1"/>
  <c r="B60" i="1"/>
  <c r="B61" i="1"/>
  <c r="B62" i="1"/>
  <c r="B63" i="1"/>
  <c r="B49" i="1"/>
  <c r="B50" i="1"/>
  <c r="B51" i="1"/>
  <c r="B52" i="1"/>
  <c r="B53" i="1"/>
  <c r="B54" i="1"/>
  <c r="B55" i="1"/>
  <c r="B56" i="1"/>
  <c r="B5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R6564" i="1"/>
  <c r="Q6564" i="1"/>
  <c r="N6564" i="1"/>
  <c r="J6564" i="1"/>
  <c r="I6564" i="1"/>
  <c r="H6564" i="1"/>
  <c r="G6564" i="1"/>
  <c r="F6564" i="1"/>
  <c r="E6564" i="1"/>
  <c r="D6564" i="1"/>
  <c r="C6564" i="1"/>
  <c r="B6564" i="1"/>
  <c r="A6564" i="1"/>
  <c r="R6563" i="1"/>
  <c r="N6563" i="1"/>
  <c r="J6563" i="1"/>
  <c r="I6563" i="1"/>
  <c r="H6563" i="1"/>
  <c r="G6563" i="1"/>
  <c r="F6563" i="1"/>
  <c r="E6563" i="1"/>
  <c r="D6563" i="1"/>
  <c r="C6563" i="1"/>
  <c r="B6563" i="1"/>
  <c r="A6563" i="1"/>
  <c r="R6562" i="1"/>
  <c r="Q6562" i="1"/>
  <c r="N6562" i="1"/>
  <c r="J6562" i="1"/>
  <c r="I6562" i="1"/>
  <c r="H6562" i="1"/>
  <c r="G6562" i="1"/>
  <c r="F6562" i="1"/>
  <c r="E6562" i="1"/>
  <c r="D6562" i="1"/>
  <c r="C6562" i="1"/>
  <c r="B6562" i="1"/>
  <c r="A6562" i="1"/>
  <c r="R6561" i="1"/>
  <c r="N6561" i="1"/>
  <c r="J6561" i="1"/>
  <c r="I6561" i="1"/>
  <c r="H6561" i="1"/>
  <c r="G6561" i="1"/>
  <c r="F6561" i="1"/>
  <c r="E6561" i="1"/>
  <c r="D6561" i="1"/>
  <c r="C6561" i="1"/>
  <c r="B6561" i="1"/>
  <c r="A6561" i="1"/>
  <c r="R6560" i="1"/>
  <c r="N6560" i="1"/>
  <c r="J6560" i="1"/>
  <c r="I6560" i="1"/>
  <c r="H6560" i="1"/>
  <c r="G6560" i="1"/>
  <c r="F6560" i="1"/>
  <c r="E6560" i="1"/>
  <c r="D6560" i="1"/>
  <c r="C6560" i="1"/>
  <c r="B6560" i="1"/>
  <c r="A6560" i="1"/>
  <c r="R6559" i="1"/>
  <c r="N6559" i="1"/>
  <c r="J6559" i="1"/>
  <c r="I6559" i="1"/>
  <c r="H6559" i="1"/>
  <c r="G6559" i="1"/>
  <c r="F6559" i="1"/>
  <c r="E6559" i="1"/>
  <c r="D6559" i="1"/>
  <c r="C6559" i="1"/>
  <c r="B6559" i="1"/>
  <c r="A6559" i="1"/>
  <c r="R6558" i="1"/>
  <c r="Q6558" i="1"/>
  <c r="N6558" i="1"/>
  <c r="J6558" i="1"/>
  <c r="I6558" i="1"/>
  <c r="H6558" i="1"/>
  <c r="G6558" i="1"/>
  <c r="F6558" i="1"/>
  <c r="E6558" i="1"/>
  <c r="D6558" i="1"/>
  <c r="C6558" i="1"/>
  <c r="A6558" i="1"/>
  <c r="R6557" i="1"/>
  <c r="N6557" i="1"/>
  <c r="J6557" i="1"/>
  <c r="I6557" i="1"/>
  <c r="H6557" i="1"/>
  <c r="G6557" i="1"/>
  <c r="F6557" i="1"/>
  <c r="E6557" i="1"/>
  <c r="D6557" i="1"/>
  <c r="C6557" i="1"/>
  <c r="A6557" i="1"/>
  <c r="R6556" i="1"/>
  <c r="Q6556" i="1"/>
  <c r="N6556" i="1"/>
  <c r="J6556" i="1"/>
  <c r="I6556" i="1"/>
  <c r="H6556" i="1"/>
  <c r="G6556" i="1"/>
  <c r="F6556" i="1"/>
  <c r="E6556" i="1"/>
  <c r="D6556" i="1"/>
  <c r="C6556" i="1"/>
  <c r="A6556" i="1"/>
  <c r="R6555" i="1"/>
  <c r="N6555" i="1"/>
  <c r="J6555" i="1"/>
  <c r="I6555" i="1"/>
  <c r="H6555" i="1"/>
  <c r="G6555" i="1"/>
  <c r="F6555" i="1"/>
  <c r="E6555" i="1"/>
  <c r="D6555" i="1"/>
  <c r="C6555" i="1"/>
  <c r="B6555" i="1"/>
  <c r="A6555" i="1"/>
  <c r="R6554" i="1"/>
  <c r="Q6554" i="1"/>
  <c r="N6554" i="1"/>
  <c r="J6554" i="1"/>
  <c r="I6554" i="1"/>
  <c r="H6554" i="1"/>
  <c r="G6554" i="1"/>
  <c r="F6554" i="1"/>
  <c r="E6554" i="1"/>
  <c r="D6554" i="1"/>
  <c r="C6554" i="1"/>
  <c r="B6554" i="1"/>
  <c r="A6554" i="1"/>
  <c r="R6553" i="1"/>
  <c r="N6553" i="1"/>
  <c r="J6553" i="1"/>
  <c r="I6553" i="1"/>
  <c r="H6553" i="1"/>
  <c r="G6553" i="1"/>
  <c r="F6553" i="1"/>
  <c r="E6553" i="1"/>
  <c r="D6553" i="1"/>
  <c r="C6553" i="1"/>
  <c r="B6553" i="1"/>
  <c r="A6553" i="1"/>
  <c r="R6552" i="1"/>
  <c r="Q6552" i="1"/>
  <c r="N6552" i="1"/>
  <c r="J6552" i="1"/>
  <c r="I6552" i="1"/>
  <c r="H6552" i="1"/>
  <c r="G6552" i="1"/>
  <c r="F6552" i="1"/>
  <c r="E6552" i="1"/>
  <c r="D6552" i="1"/>
  <c r="C6552" i="1"/>
  <c r="B6552" i="1"/>
  <c r="A6552" i="1"/>
  <c r="R6551" i="1"/>
  <c r="N6551" i="1"/>
  <c r="J6551" i="1"/>
  <c r="I6551" i="1"/>
  <c r="H6551" i="1"/>
  <c r="G6551" i="1"/>
  <c r="F6551" i="1"/>
  <c r="E6551" i="1"/>
  <c r="D6551" i="1"/>
  <c r="C6551" i="1"/>
  <c r="B6551" i="1"/>
  <c r="A6551" i="1"/>
  <c r="R6550" i="1"/>
  <c r="Q6550" i="1"/>
  <c r="N6550" i="1"/>
  <c r="J6550" i="1"/>
  <c r="I6550" i="1"/>
  <c r="H6550" i="1"/>
  <c r="G6550" i="1"/>
  <c r="F6550" i="1"/>
  <c r="E6550" i="1"/>
  <c r="D6550" i="1"/>
  <c r="C6550" i="1"/>
  <c r="B6550" i="1"/>
  <c r="A6550" i="1"/>
  <c r="R6549" i="1"/>
  <c r="N6549" i="1"/>
  <c r="J6549" i="1"/>
  <c r="I6549" i="1"/>
  <c r="H6549" i="1"/>
  <c r="G6549" i="1"/>
  <c r="F6549" i="1"/>
  <c r="E6549" i="1"/>
  <c r="D6549" i="1"/>
  <c r="C6549" i="1"/>
  <c r="B6549" i="1"/>
  <c r="A6549" i="1"/>
  <c r="R6548" i="1"/>
  <c r="Q6548" i="1"/>
  <c r="N6548" i="1"/>
  <c r="J6548" i="1"/>
  <c r="I6548" i="1"/>
  <c r="H6548" i="1"/>
  <c r="G6548" i="1"/>
  <c r="F6548" i="1"/>
  <c r="E6548" i="1"/>
  <c r="D6548" i="1"/>
  <c r="C6548" i="1"/>
  <c r="B6548" i="1"/>
  <c r="A6548" i="1"/>
  <c r="R6547" i="1"/>
  <c r="N6547" i="1"/>
  <c r="J6547" i="1"/>
  <c r="I6547" i="1"/>
  <c r="H6547" i="1"/>
  <c r="G6547" i="1"/>
  <c r="F6547" i="1"/>
  <c r="E6547" i="1"/>
  <c r="D6547" i="1"/>
  <c r="C6547" i="1"/>
  <c r="B6547" i="1"/>
  <c r="A6547" i="1"/>
  <c r="R6546" i="1"/>
  <c r="Q6546" i="1"/>
  <c r="N6546" i="1"/>
  <c r="J6546" i="1"/>
  <c r="I6546" i="1"/>
  <c r="H6546" i="1"/>
  <c r="G6546" i="1"/>
  <c r="F6546" i="1"/>
  <c r="E6546" i="1"/>
  <c r="D6546" i="1"/>
  <c r="C6546" i="1"/>
  <c r="A6546" i="1"/>
  <c r="R6545" i="1"/>
  <c r="N6545" i="1"/>
  <c r="J6545" i="1"/>
  <c r="I6545" i="1"/>
  <c r="H6545" i="1"/>
  <c r="G6545" i="1"/>
  <c r="F6545" i="1"/>
  <c r="E6545" i="1"/>
  <c r="D6545" i="1"/>
  <c r="C6545" i="1"/>
  <c r="A6545" i="1"/>
  <c r="R6544" i="1"/>
  <c r="Q6544" i="1"/>
  <c r="N6544" i="1"/>
  <c r="J6544" i="1"/>
  <c r="I6544" i="1"/>
  <c r="H6544" i="1"/>
  <c r="G6544" i="1"/>
  <c r="F6544" i="1"/>
  <c r="E6544" i="1"/>
  <c r="D6544" i="1"/>
  <c r="C6544" i="1"/>
  <c r="A6544" i="1"/>
  <c r="R6543" i="1"/>
  <c r="Q6543" i="1"/>
  <c r="N6543" i="1"/>
  <c r="J6543" i="1"/>
  <c r="I6543" i="1"/>
  <c r="H6543" i="1"/>
  <c r="G6543" i="1"/>
  <c r="F6543" i="1"/>
  <c r="E6543" i="1"/>
  <c r="D6543" i="1"/>
  <c r="C6543" i="1"/>
  <c r="A6543" i="1"/>
  <c r="R6542" i="1"/>
  <c r="Q6542" i="1"/>
  <c r="N6542" i="1"/>
  <c r="J6542" i="1"/>
  <c r="I6542" i="1"/>
  <c r="H6542" i="1"/>
  <c r="G6542" i="1"/>
  <c r="F6542" i="1"/>
  <c r="E6542" i="1"/>
  <c r="D6542" i="1"/>
  <c r="C6542" i="1"/>
  <c r="A6542" i="1"/>
  <c r="R6541" i="1"/>
  <c r="Q6541" i="1"/>
  <c r="N6541" i="1"/>
  <c r="J6541" i="1"/>
  <c r="I6541" i="1"/>
  <c r="H6541" i="1"/>
  <c r="G6541" i="1"/>
  <c r="F6541" i="1"/>
  <c r="E6541" i="1"/>
  <c r="D6541" i="1"/>
  <c r="C6541" i="1"/>
  <c r="A6541" i="1"/>
  <c r="R6540" i="1"/>
  <c r="N6540" i="1"/>
  <c r="J6540" i="1"/>
  <c r="I6540" i="1"/>
  <c r="H6540" i="1"/>
  <c r="G6540" i="1"/>
  <c r="F6540" i="1"/>
  <c r="E6540" i="1"/>
  <c r="D6540" i="1"/>
  <c r="C6540" i="1"/>
  <c r="A6540" i="1"/>
  <c r="R6539" i="1"/>
  <c r="Q6539" i="1"/>
  <c r="N6539" i="1"/>
  <c r="J6539" i="1"/>
  <c r="I6539" i="1"/>
  <c r="H6539" i="1"/>
  <c r="G6539" i="1"/>
  <c r="F6539" i="1"/>
  <c r="E6539" i="1"/>
  <c r="D6539" i="1"/>
  <c r="C6539" i="1"/>
  <c r="A6539" i="1"/>
  <c r="R6538" i="1"/>
  <c r="Q6538" i="1"/>
  <c r="N6538" i="1"/>
  <c r="J6538" i="1"/>
  <c r="I6538" i="1"/>
  <c r="H6538" i="1"/>
  <c r="G6538" i="1"/>
  <c r="F6538" i="1"/>
  <c r="E6538" i="1"/>
  <c r="D6538" i="1"/>
  <c r="C6538" i="1"/>
  <c r="A6538" i="1"/>
  <c r="R6537" i="1"/>
  <c r="Q6537" i="1"/>
  <c r="N6537" i="1"/>
  <c r="J6537" i="1"/>
  <c r="I6537" i="1"/>
  <c r="H6537" i="1"/>
  <c r="G6537" i="1"/>
  <c r="F6537" i="1"/>
  <c r="E6537" i="1"/>
  <c r="D6537" i="1"/>
  <c r="C6537" i="1"/>
  <c r="A6537" i="1"/>
  <c r="R6536" i="1"/>
  <c r="N6536" i="1"/>
  <c r="J6536" i="1"/>
  <c r="I6536" i="1"/>
  <c r="H6536" i="1"/>
  <c r="G6536" i="1"/>
  <c r="F6536" i="1"/>
  <c r="E6536" i="1"/>
  <c r="D6536" i="1"/>
  <c r="C6536" i="1"/>
  <c r="A6536" i="1"/>
  <c r="R6535" i="1"/>
  <c r="Q6535" i="1"/>
  <c r="N6535" i="1"/>
  <c r="J6535" i="1"/>
  <c r="I6535" i="1"/>
  <c r="H6535" i="1"/>
  <c r="G6535" i="1"/>
  <c r="F6535" i="1"/>
  <c r="E6535" i="1"/>
  <c r="D6535" i="1"/>
  <c r="C6535" i="1"/>
  <c r="A6535" i="1"/>
  <c r="R6534" i="1"/>
  <c r="N6534" i="1"/>
  <c r="J6534" i="1"/>
  <c r="I6534" i="1"/>
  <c r="H6534" i="1"/>
  <c r="G6534" i="1"/>
  <c r="F6534" i="1"/>
  <c r="E6534" i="1"/>
  <c r="D6534" i="1"/>
  <c r="C6534" i="1"/>
  <c r="A6534" i="1"/>
  <c r="R6533" i="1"/>
  <c r="Q6533" i="1"/>
  <c r="N6533" i="1"/>
  <c r="J6533" i="1"/>
  <c r="I6533" i="1"/>
  <c r="H6533" i="1"/>
  <c r="G6533" i="1"/>
  <c r="F6533" i="1"/>
  <c r="E6533" i="1"/>
  <c r="D6533" i="1"/>
  <c r="C6533" i="1"/>
  <c r="A6533" i="1"/>
  <c r="R6532" i="1"/>
  <c r="N6532" i="1"/>
  <c r="J6532" i="1"/>
  <c r="I6532" i="1"/>
  <c r="H6532" i="1"/>
  <c r="G6532" i="1"/>
  <c r="F6532" i="1"/>
  <c r="E6532" i="1"/>
  <c r="D6532" i="1"/>
  <c r="C6532" i="1"/>
  <c r="A6532" i="1"/>
  <c r="R6531" i="1"/>
  <c r="Q6531" i="1"/>
  <c r="N6531" i="1"/>
  <c r="J6531" i="1"/>
  <c r="I6531" i="1"/>
  <c r="H6531" i="1"/>
  <c r="G6531" i="1"/>
  <c r="F6531" i="1"/>
  <c r="E6531" i="1"/>
  <c r="D6531" i="1"/>
  <c r="C6531" i="1"/>
  <c r="A6531" i="1"/>
  <c r="R6530" i="1"/>
  <c r="N6530" i="1"/>
  <c r="J6530" i="1"/>
  <c r="I6530" i="1"/>
  <c r="H6530" i="1"/>
  <c r="G6530" i="1"/>
  <c r="F6530" i="1"/>
  <c r="E6530" i="1"/>
  <c r="D6530" i="1"/>
  <c r="C6530" i="1"/>
  <c r="A6530" i="1"/>
  <c r="R6529" i="1"/>
  <c r="Q6529" i="1"/>
  <c r="N6529" i="1"/>
  <c r="J6529" i="1"/>
  <c r="I6529" i="1"/>
  <c r="H6529" i="1"/>
  <c r="G6529" i="1"/>
  <c r="F6529" i="1"/>
  <c r="E6529" i="1"/>
  <c r="D6529" i="1"/>
  <c r="C6529" i="1"/>
  <c r="A6529" i="1"/>
  <c r="R6528" i="1"/>
  <c r="N6528" i="1"/>
  <c r="J6528" i="1"/>
  <c r="I6528" i="1"/>
  <c r="H6528" i="1"/>
  <c r="G6528" i="1"/>
  <c r="F6528" i="1"/>
  <c r="E6528" i="1"/>
  <c r="D6528" i="1"/>
  <c r="C6528" i="1"/>
  <c r="A6528" i="1"/>
  <c r="R6527" i="1"/>
  <c r="Q6527" i="1"/>
  <c r="N6527" i="1"/>
  <c r="J6527" i="1"/>
  <c r="I6527" i="1"/>
  <c r="H6527" i="1"/>
  <c r="G6527" i="1"/>
  <c r="F6527" i="1"/>
  <c r="E6527" i="1"/>
  <c r="D6527" i="1"/>
  <c r="C6527" i="1"/>
  <c r="A6527" i="1"/>
  <c r="R6526" i="1"/>
  <c r="N6526" i="1"/>
  <c r="J6526" i="1"/>
  <c r="I6526" i="1"/>
  <c r="H6526" i="1"/>
  <c r="G6526" i="1"/>
  <c r="F6526" i="1"/>
  <c r="E6526" i="1"/>
  <c r="D6526" i="1"/>
  <c r="C6526" i="1"/>
  <c r="A6526" i="1"/>
  <c r="R6525" i="1"/>
  <c r="Q6525" i="1"/>
  <c r="N6525" i="1"/>
  <c r="J6525" i="1"/>
  <c r="I6525" i="1"/>
  <c r="H6525" i="1"/>
  <c r="G6525" i="1"/>
  <c r="F6525" i="1"/>
  <c r="E6525" i="1"/>
  <c r="D6525" i="1"/>
  <c r="C6525" i="1"/>
  <c r="A6525" i="1"/>
  <c r="R6524" i="1"/>
  <c r="N6524" i="1"/>
  <c r="J6524" i="1"/>
  <c r="I6524" i="1"/>
  <c r="H6524" i="1"/>
  <c r="G6524" i="1"/>
  <c r="F6524" i="1"/>
  <c r="E6524" i="1"/>
  <c r="D6524" i="1"/>
  <c r="C6524" i="1"/>
  <c r="A6524" i="1"/>
  <c r="R6523" i="1"/>
  <c r="Q6523" i="1"/>
  <c r="N6523" i="1"/>
  <c r="J6523" i="1"/>
  <c r="I6523" i="1"/>
  <c r="H6523" i="1"/>
  <c r="G6523" i="1"/>
  <c r="F6523" i="1"/>
  <c r="E6523" i="1"/>
  <c r="D6523" i="1"/>
  <c r="C6523" i="1"/>
  <c r="A6523" i="1"/>
  <c r="R6522" i="1"/>
  <c r="N6522" i="1"/>
  <c r="J6522" i="1"/>
  <c r="I6522" i="1"/>
  <c r="H6522" i="1"/>
  <c r="G6522" i="1"/>
  <c r="F6522" i="1"/>
  <c r="E6522" i="1"/>
  <c r="D6522" i="1"/>
  <c r="C6522" i="1"/>
  <c r="A6522" i="1"/>
  <c r="R6521" i="1"/>
  <c r="Q6521" i="1"/>
  <c r="N6521" i="1"/>
  <c r="J6521" i="1"/>
  <c r="I6521" i="1"/>
  <c r="H6521" i="1"/>
  <c r="G6521" i="1"/>
  <c r="F6521" i="1"/>
  <c r="E6521" i="1"/>
  <c r="D6521" i="1"/>
  <c r="C6521" i="1"/>
  <c r="A6521" i="1"/>
  <c r="R6520" i="1"/>
  <c r="N6520" i="1"/>
  <c r="J6520" i="1"/>
  <c r="I6520" i="1"/>
  <c r="H6520" i="1"/>
  <c r="G6520" i="1"/>
  <c r="F6520" i="1"/>
  <c r="E6520" i="1"/>
  <c r="D6520" i="1"/>
  <c r="C6520" i="1"/>
  <c r="A6520" i="1"/>
  <c r="R6519" i="1"/>
  <c r="Q6519" i="1"/>
  <c r="N6519" i="1"/>
  <c r="J6519" i="1"/>
  <c r="I6519" i="1"/>
  <c r="H6519" i="1"/>
  <c r="G6519" i="1"/>
  <c r="F6519" i="1"/>
  <c r="E6519" i="1"/>
  <c r="D6519" i="1"/>
  <c r="C6519" i="1"/>
  <c r="A6519" i="1"/>
  <c r="R6518" i="1"/>
  <c r="Q6518" i="1"/>
  <c r="N6518" i="1"/>
  <c r="J6518" i="1"/>
  <c r="I6518" i="1"/>
  <c r="H6518" i="1"/>
  <c r="G6518" i="1"/>
  <c r="F6518" i="1"/>
  <c r="E6518" i="1"/>
  <c r="D6518" i="1"/>
  <c r="C6518" i="1"/>
  <c r="A6518" i="1"/>
  <c r="R6517" i="1"/>
  <c r="N6517" i="1"/>
  <c r="J6517" i="1"/>
  <c r="I6517" i="1"/>
  <c r="H6517" i="1"/>
  <c r="G6517" i="1"/>
  <c r="F6517" i="1"/>
  <c r="E6517" i="1"/>
  <c r="D6517" i="1"/>
  <c r="C6517" i="1"/>
  <c r="A6517" i="1"/>
  <c r="R6516" i="1"/>
  <c r="Q6516" i="1"/>
  <c r="N6516" i="1"/>
  <c r="J6516" i="1"/>
  <c r="I6516" i="1"/>
  <c r="H6516" i="1"/>
  <c r="G6516" i="1"/>
  <c r="F6516" i="1"/>
  <c r="E6516" i="1"/>
  <c r="D6516" i="1"/>
  <c r="C6516" i="1"/>
  <c r="A6516" i="1"/>
  <c r="R6515" i="1"/>
  <c r="Q6515" i="1"/>
  <c r="N6515" i="1"/>
  <c r="J6515" i="1"/>
  <c r="I6515" i="1"/>
  <c r="H6515" i="1"/>
  <c r="G6515" i="1"/>
  <c r="F6515" i="1"/>
  <c r="E6515" i="1"/>
  <c r="D6515" i="1"/>
  <c r="C6515" i="1"/>
  <c r="A6515" i="1"/>
  <c r="R6514" i="1"/>
  <c r="N6514" i="1"/>
  <c r="J6514" i="1"/>
  <c r="I6514" i="1"/>
  <c r="H6514" i="1"/>
  <c r="G6514" i="1"/>
  <c r="F6514" i="1"/>
  <c r="E6514" i="1"/>
  <c r="D6514" i="1"/>
  <c r="C6514" i="1"/>
  <c r="A6514" i="1"/>
  <c r="R6513" i="1"/>
  <c r="Q6513" i="1"/>
  <c r="N6513" i="1"/>
  <c r="J6513" i="1"/>
  <c r="I6513" i="1"/>
  <c r="H6513" i="1"/>
  <c r="G6513" i="1"/>
  <c r="F6513" i="1"/>
  <c r="E6513" i="1"/>
  <c r="D6513" i="1"/>
  <c r="C6513" i="1"/>
  <c r="A6513" i="1"/>
  <c r="R6512" i="1"/>
  <c r="N6512" i="1"/>
  <c r="J6512" i="1"/>
  <c r="I6512" i="1"/>
  <c r="H6512" i="1"/>
  <c r="G6512" i="1"/>
  <c r="F6512" i="1"/>
  <c r="E6512" i="1"/>
  <c r="D6512" i="1"/>
  <c r="C6512" i="1"/>
  <c r="A6512" i="1"/>
  <c r="R6511" i="1"/>
  <c r="Q6511" i="1"/>
  <c r="N6511" i="1"/>
  <c r="J6511" i="1"/>
  <c r="I6511" i="1"/>
  <c r="H6511" i="1"/>
  <c r="G6511" i="1"/>
  <c r="F6511" i="1"/>
  <c r="E6511" i="1"/>
  <c r="D6511" i="1"/>
  <c r="C6511" i="1"/>
  <c r="A6511" i="1"/>
  <c r="R6510" i="1"/>
  <c r="N6510" i="1"/>
  <c r="J6510" i="1"/>
  <c r="I6510" i="1"/>
  <c r="H6510" i="1"/>
  <c r="G6510" i="1"/>
  <c r="F6510" i="1"/>
  <c r="E6510" i="1"/>
  <c r="D6510" i="1"/>
  <c r="C6510" i="1"/>
  <c r="A6510" i="1"/>
  <c r="R6509" i="1"/>
  <c r="Q6509" i="1"/>
  <c r="N6509" i="1"/>
  <c r="J6509" i="1"/>
  <c r="I6509" i="1"/>
  <c r="H6509" i="1"/>
  <c r="G6509" i="1"/>
  <c r="F6509" i="1"/>
  <c r="E6509" i="1"/>
  <c r="D6509" i="1"/>
  <c r="C6509" i="1"/>
  <c r="A6509" i="1"/>
  <c r="R6508" i="1"/>
  <c r="N6508" i="1"/>
  <c r="J6508" i="1"/>
  <c r="I6508" i="1"/>
  <c r="H6508" i="1"/>
  <c r="G6508" i="1"/>
  <c r="F6508" i="1"/>
  <c r="E6508" i="1"/>
  <c r="D6508" i="1"/>
  <c r="C6508" i="1"/>
  <c r="A6508" i="1"/>
  <c r="R6507" i="1"/>
  <c r="Q6507" i="1"/>
  <c r="N6507" i="1"/>
  <c r="J6507" i="1"/>
  <c r="I6507" i="1"/>
  <c r="H6507" i="1"/>
  <c r="G6507" i="1"/>
  <c r="F6507" i="1"/>
  <c r="E6507" i="1"/>
  <c r="D6507" i="1"/>
  <c r="C6507" i="1"/>
  <c r="A6507" i="1"/>
  <c r="R6506" i="1"/>
  <c r="N6506" i="1"/>
  <c r="J6506" i="1"/>
  <c r="I6506" i="1"/>
  <c r="H6506" i="1"/>
  <c r="G6506" i="1"/>
  <c r="F6506" i="1"/>
  <c r="E6506" i="1"/>
  <c r="D6506" i="1"/>
  <c r="C6506" i="1"/>
  <c r="A6506" i="1"/>
  <c r="R6505" i="1"/>
  <c r="Q6505" i="1"/>
  <c r="N6505" i="1"/>
  <c r="J6505" i="1"/>
  <c r="I6505" i="1"/>
  <c r="H6505" i="1"/>
  <c r="G6505" i="1"/>
  <c r="F6505" i="1"/>
  <c r="E6505" i="1"/>
  <c r="D6505" i="1"/>
  <c r="C6505" i="1"/>
  <c r="A6505" i="1"/>
  <c r="R6504" i="1"/>
  <c r="N6504" i="1"/>
  <c r="J6504" i="1"/>
  <c r="I6504" i="1"/>
  <c r="H6504" i="1"/>
  <c r="G6504" i="1"/>
  <c r="F6504" i="1"/>
  <c r="E6504" i="1"/>
  <c r="D6504" i="1"/>
  <c r="C6504" i="1"/>
  <c r="A6504" i="1"/>
  <c r="R6503" i="1"/>
  <c r="Q6503" i="1"/>
  <c r="N6503" i="1"/>
  <c r="J6503" i="1"/>
  <c r="I6503" i="1"/>
  <c r="H6503" i="1"/>
  <c r="G6503" i="1"/>
  <c r="F6503" i="1"/>
  <c r="E6503" i="1"/>
  <c r="D6503" i="1"/>
  <c r="C6503" i="1"/>
  <c r="A6503" i="1"/>
  <c r="R6502" i="1"/>
  <c r="Q6502" i="1"/>
  <c r="N6502" i="1"/>
  <c r="J6502" i="1"/>
  <c r="I6502" i="1"/>
  <c r="H6502" i="1"/>
  <c r="G6502" i="1"/>
  <c r="F6502" i="1"/>
  <c r="E6502" i="1"/>
  <c r="D6502" i="1"/>
  <c r="C6502" i="1"/>
  <c r="A6502" i="1"/>
  <c r="R6501" i="1"/>
  <c r="Q6501" i="1"/>
  <c r="N6501" i="1"/>
  <c r="J6501" i="1"/>
  <c r="I6501" i="1"/>
  <c r="H6501" i="1"/>
  <c r="G6501" i="1"/>
  <c r="F6501" i="1"/>
  <c r="E6501" i="1"/>
  <c r="D6501" i="1"/>
  <c r="C6501" i="1"/>
  <c r="A6501" i="1"/>
  <c r="R6500" i="1"/>
  <c r="N6500" i="1"/>
  <c r="J6500" i="1"/>
  <c r="I6500" i="1"/>
  <c r="H6500" i="1"/>
  <c r="G6500" i="1"/>
  <c r="F6500" i="1"/>
  <c r="E6500" i="1"/>
  <c r="D6500" i="1"/>
  <c r="C6500" i="1"/>
  <c r="A6500" i="1"/>
  <c r="R6499" i="1"/>
  <c r="Q6499" i="1"/>
  <c r="N6499" i="1"/>
  <c r="J6499" i="1"/>
  <c r="I6499" i="1"/>
  <c r="H6499" i="1"/>
  <c r="G6499" i="1"/>
  <c r="F6499" i="1"/>
  <c r="E6499" i="1"/>
  <c r="D6499" i="1"/>
  <c r="C6499" i="1"/>
  <c r="A6499" i="1"/>
  <c r="R6498" i="1"/>
  <c r="Q6498" i="1"/>
  <c r="N6498" i="1"/>
  <c r="J6498" i="1"/>
  <c r="I6498" i="1"/>
  <c r="H6498" i="1"/>
  <c r="G6498" i="1"/>
  <c r="F6498" i="1"/>
  <c r="E6498" i="1"/>
  <c r="D6498" i="1"/>
  <c r="C6498" i="1"/>
  <c r="A6498" i="1"/>
  <c r="R6497" i="1"/>
  <c r="Q6497" i="1"/>
  <c r="N6497" i="1"/>
  <c r="J6497" i="1"/>
  <c r="I6497" i="1"/>
  <c r="H6497" i="1"/>
  <c r="G6497" i="1"/>
  <c r="F6497" i="1"/>
  <c r="E6497" i="1"/>
  <c r="D6497" i="1"/>
  <c r="C6497" i="1"/>
  <c r="A6497" i="1"/>
  <c r="R6496" i="1"/>
  <c r="Q6496" i="1"/>
  <c r="N6496" i="1"/>
  <c r="J6496" i="1"/>
  <c r="I6496" i="1"/>
  <c r="H6496" i="1"/>
  <c r="G6496" i="1"/>
  <c r="F6496" i="1"/>
  <c r="E6496" i="1"/>
  <c r="D6496" i="1"/>
  <c r="C6496" i="1"/>
  <c r="A6496" i="1"/>
  <c r="R6495" i="1"/>
  <c r="Q6495" i="1"/>
  <c r="N6495" i="1"/>
  <c r="J6495" i="1"/>
  <c r="I6495" i="1"/>
  <c r="H6495" i="1"/>
  <c r="G6495" i="1"/>
  <c r="F6495" i="1"/>
  <c r="E6495" i="1"/>
  <c r="D6495" i="1"/>
  <c r="C6495" i="1"/>
  <c r="A6495" i="1"/>
  <c r="R6494" i="1"/>
  <c r="Q6494" i="1"/>
  <c r="N6494" i="1"/>
  <c r="J6494" i="1"/>
  <c r="I6494" i="1"/>
  <c r="H6494" i="1"/>
  <c r="G6494" i="1"/>
  <c r="F6494" i="1"/>
  <c r="E6494" i="1"/>
  <c r="D6494" i="1"/>
  <c r="C6494" i="1"/>
  <c r="A6494" i="1"/>
  <c r="R6493" i="1"/>
  <c r="N6493" i="1"/>
  <c r="J6493" i="1"/>
  <c r="I6493" i="1"/>
  <c r="H6493" i="1"/>
  <c r="G6493" i="1"/>
  <c r="F6493" i="1"/>
  <c r="E6493" i="1"/>
  <c r="D6493" i="1"/>
  <c r="C6493" i="1"/>
  <c r="A6493" i="1"/>
  <c r="R6492" i="1"/>
  <c r="Q6492" i="1"/>
  <c r="N6492" i="1"/>
  <c r="J6492" i="1"/>
  <c r="I6492" i="1"/>
  <c r="H6492" i="1"/>
  <c r="G6492" i="1"/>
  <c r="F6492" i="1"/>
  <c r="E6492" i="1"/>
  <c r="D6492" i="1"/>
  <c r="C6492" i="1"/>
  <c r="A6492" i="1"/>
  <c r="R6491" i="1"/>
  <c r="N6491" i="1"/>
  <c r="J6491" i="1"/>
  <c r="I6491" i="1"/>
  <c r="H6491" i="1"/>
  <c r="G6491" i="1"/>
  <c r="F6491" i="1"/>
  <c r="E6491" i="1"/>
  <c r="D6491" i="1"/>
  <c r="C6491" i="1"/>
  <c r="A6491" i="1"/>
  <c r="R6490" i="1"/>
  <c r="Q6490" i="1"/>
  <c r="N6490" i="1"/>
  <c r="J6490" i="1"/>
  <c r="I6490" i="1"/>
  <c r="H6490" i="1"/>
  <c r="G6490" i="1"/>
  <c r="F6490" i="1"/>
  <c r="E6490" i="1"/>
  <c r="D6490" i="1"/>
  <c r="C6490" i="1"/>
  <c r="A6490" i="1"/>
  <c r="R6489" i="1"/>
  <c r="Q6489" i="1"/>
  <c r="N6489" i="1"/>
  <c r="J6489" i="1"/>
  <c r="I6489" i="1"/>
  <c r="H6489" i="1"/>
  <c r="G6489" i="1"/>
  <c r="F6489" i="1"/>
  <c r="E6489" i="1"/>
  <c r="D6489" i="1"/>
  <c r="C6489" i="1"/>
  <c r="A6489" i="1"/>
  <c r="R6488" i="1"/>
  <c r="N6488" i="1"/>
  <c r="J6488" i="1"/>
  <c r="I6488" i="1"/>
  <c r="H6488" i="1"/>
  <c r="G6488" i="1"/>
  <c r="F6488" i="1"/>
  <c r="E6488" i="1"/>
  <c r="D6488" i="1"/>
  <c r="C6488" i="1"/>
  <c r="A6488" i="1"/>
  <c r="R6487" i="1"/>
  <c r="Q6487" i="1"/>
  <c r="N6487" i="1"/>
  <c r="J6487" i="1"/>
  <c r="I6487" i="1"/>
  <c r="H6487" i="1"/>
  <c r="G6487" i="1"/>
  <c r="F6487" i="1"/>
  <c r="E6487" i="1"/>
  <c r="D6487" i="1"/>
  <c r="C6487" i="1"/>
  <c r="A6487" i="1"/>
  <c r="R6486" i="1"/>
  <c r="Q6486" i="1"/>
  <c r="N6486" i="1"/>
  <c r="J6486" i="1"/>
  <c r="I6486" i="1"/>
  <c r="H6486" i="1"/>
  <c r="G6486" i="1"/>
  <c r="F6486" i="1"/>
  <c r="E6486" i="1"/>
  <c r="D6486" i="1"/>
  <c r="C6486" i="1"/>
  <c r="A6486" i="1"/>
  <c r="R6485" i="1"/>
  <c r="Q6485" i="1"/>
  <c r="N6485" i="1"/>
  <c r="J6485" i="1"/>
  <c r="I6485" i="1"/>
  <c r="H6485" i="1"/>
  <c r="G6485" i="1"/>
  <c r="F6485" i="1"/>
  <c r="E6485" i="1"/>
  <c r="D6485" i="1"/>
  <c r="C6485" i="1"/>
  <c r="A6485" i="1"/>
  <c r="R6484" i="1"/>
  <c r="Q6484" i="1"/>
  <c r="N6484" i="1"/>
  <c r="J6484" i="1"/>
  <c r="I6484" i="1"/>
  <c r="H6484" i="1"/>
  <c r="G6484" i="1"/>
  <c r="F6484" i="1"/>
  <c r="E6484" i="1"/>
  <c r="D6484" i="1"/>
  <c r="C6484" i="1"/>
  <c r="A6484" i="1"/>
  <c r="R6483" i="1"/>
  <c r="Q6483" i="1"/>
  <c r="N6483" i="1"/>
  <c r="J6483" i="1"/>
  <c r="I6483" i="1"/>
  <c r="H6483" i="1"/>
  <c r="G6483" i="1"/>
  <c r="F6483" i="1"/>
  <c r="E6483" i="1"/>
  <c r="D6483" i="1"/>
  <c r="C6483" i="1"/>
  <c r="A6483" i="1"/>
  <c r="R6482" i="1"/>
  <c r="N6482" i="1"/>
  <c r="J6482" i="1"/>
  <c r="I6482" i="1"/>
  <c r="H6482" i="1"/>
  <c r="G6482" i="1"/>
  <c r="F6482" i="1"/>
  <c r="E6482" i="1"/>
  <c r="D6482" i="1"/>
  <c r="C6482" i="1"/>
  <c r="A6482" i="1"/>
  <c r="R6481" i="1"/>
  <c r="Q6481" i="1"/>
  <c r="N6481" i="1"/>
  <c r="J6481" i="1"/>
  <c r="I6481" i="1"/>
  <c r="H6481" i="1"/>
  <c r="G6481" i="1"/>
  <c r="F6481" i="1"/>
  <c r="E6481" i="1"/>
  <c r="D6481" i="1"/>
  <c r="C6481" i="1"/>
  <c r="A6481" i="1"/>
  <c r="R6480" i="1"/>
  <c r="N6480" i="1"/>
  <c r="J6480" i="1"/>
  <c r="I6480" i="1"/>
  <c r="H6480" i="1"/>
  <c r="G6480" i="1"/>
  <c r="F6480" i="1"/>
  <c r="E6480" i="1"/>
  <c r="D6480" i="1"/>
  <c r="C6480" i="1"/>
  <c r="A6480" i="1"/>
  <c r="R6479" i="1"/>
  <c r="Q6479" i="1"/>
  <c r="N6479" i="1"/>
  <c r="J6479" i="1"/>
  <c r="I6479" i="1"/>
  <c r="H6479" i="1"/>
  <c r="G6479" i="1"/>
  <c r="F6479" i="1"/>
  <c r="E6479" i="1"/>
  <c r="D6479" i="1"/>
  <c r="C6479" i="1"/>
  <c r="A6479" i="1"/>
  <c r="R6478" i="1"/>
  <c r="N6478" i="1"/>
  <c r="J6478" i="1"/>
  <c r="I6478" i="1"/>
  <c r="H6478" i="1"/>
  <c r="G6478" i="1"/>
  <c r="F6478" i="1"/>
  <c r="E6478" i="1"/>
  <c r="D6478" i="1"/>
  <c r="C6478" i="1"/>
  <c r="A6478" i="1"/>
  <c r="R6477" i="1"/>
  <c r="Q6477" i="1"/>
  <c r="N6477" i="1"/>
  <c r="J6477" i="1"/>
  <c r="I6477" i="1"/>
  <c r="H6477" i="1"/>
  <c r="G6477" i="1"/>
  <c r="F6477" i="1"/>
  <c r="E6477" i="1"/>
  <c r="D6477" i="1"/>
  <c r="C6477" i="1"/>
  <c r="A6477" i="1"/>
  <c r="R6476" i="1"/>
  <c r="Q6476" i="1"/>
  <c r="N6476" i="1"/>
  <c r="J6476" i="1"/>
  <c r="I6476" i="1"/>
  <c r="H6476" i="1"/>
  <c r="G6476" i="1"/>
  <c r="F6476" i="1"/>
  <c r="E6476" i="1"/>
  <c r="D6476" i="1"/>
  <c r="C6476" i="1"/>
  <c r="A6476" i="1"/>
  <c r="R6475" i="1"/>
  <c r="Q6475" i="1"/>
  <c r="N6475" i="1"/>
  <c r="J6475" i="1"/>
  <c r="I6475" i="1"/>
  <c r="H6475" i="1"/>
  <c r="G6475" i="1"/>
  <c r="F6475" i="1"/>
  <c r="E6475" i="1"/>
  <c r="D6475" i="1"/>
  <c r="C6475" i="1"/>
  <c r="A6475" i="1"/>
  <c r="R6474" i="1"/>
  <c r="Q6474" i="1"/>
  <c r="N6474" i="1"/>
  <c r="J6474" i="1"/>
  <c r="I6474" i="1"/>
  <c r="H6474" i="1"/>
  <c r="G6474" i="1"/>
  <c r="F6474" i="1"/>
  <c r="E6474" i="1"/>
  <c r="D6474" i="1"/>
  <c r="C6474" i="1"/>
  <c r="A6474" i="1"/>
  <c r="R6473" i="1"/>
  <c r="N6473" i="1"/>
  <c r="J6473" i="1"/>
  <c r="I6473" i="1"/>
  <c r="H6473" i="1"/>
  <c r="G6473" i="1"/>
  <c r="F6473" i="1"/>
  <c r="E6473" i="1"/>
  <c r="D6473" i="1"/>
  <c r="C6473" i="1"/>
  <c r="A6473" i="1"/>
  <c r="R6472" i="1"/>
  <c r="Q6472" i="1"/>
  <c r="N6472" i="1"/>
  <c r="J6472" i="1"/>
  <c r="I6472" i="1"/>
  <c r="H6472" i="1"/>
  <c r="G6472" i="1"/>
  <c r="F6472" i="1"/>
  <c r="E6472" i="1"/>
  <c r="D6472" i="1"/>
  <c r="C6472" i="1"/>
  <c r="A6472" i="1"/>
  <c r="R6471" i="1"/>
  <c r="N6471" i="1"/>
  <c r="J6471" i="1"/>
  <c r="I6471" i="1"/>
  <c r="H6471" i="1"/>
  <c r="G6471" i="1"/>
  <c r="F6471" i="1"/>
  <c r="E6471" i="1"/>
  <c r="D6471" i="1"/>
  <c r="C6471" i="1"/>
  <c r="A6471" i="1"/>
  <c r="R6470" i="1"/>
  <c r="Q6470" i="1"/>
  <c r="N6470" i="1"/>
  <c r="J6470" i="1"/>
  <c r="I6470" i="1"/>
  <c r="H6470" i="1"/>
  <c r="G6470" i="1"/>
  <c r="F6470" i="1"/>
  <c r="E6470" i="1"/>
  <c r="D6470" i="1"/>
  <c r="C6470" i="1"/>
  <c r="A6470" i="1"/>
  <c r="R6469" i="1"/>
  <c r="N6469" i="1"/>
  <c r="J6469" i="1"/>
  <c r="I6469" i="1"/>
  <c r="H6469" i="1"/>
  <c r="G6469" i="1"/>
  <c r="F6469" i="1"/>
  <c r="E6469" i="1"/>
  <c r="D6469" i="1"/>
  <c r="C6469" i="1"/>
  <c r="A6469" i="1"/>
  <c r="R6468" i="1"/>
  <c r="Q6468" i="1"/>
  <c r="N6468" i="1"/>
  <c r="J6468" i="1"/>
  <c r="I6468" i="1"/>
  <c r="H6468" i="1"/>
  <c r="G6468" i="1"/>
  <c r="F6468" i="1"/>
  <c r="E6468" i="1"/>
  <c r="D6468" i="1"/>
  <c r="C6468" i="1"/>
  <c r="A6468" i="1"/>
  <c r="R6467" i="1"/>
  <c r="Q6467" i="1"/>
  <c r="N6467" i="1"/>
  <c r="J6467" i="1"/>
  <c r="I6467" i="1"/>
  <c r="H6467" i="1"/>
  <c r="G6467" i="1"/>
  <c r="F6467" i="1"/>
  <c r="E6467" i="1"/>
  <c r="D6467" i="1"/>
  <c r="C6467" i="1"/>
  <c r="A6467" i="1"/>
  <c r="R6466" i="1"/>
  <c r="N6466" i="1"/>
  <c r="J6466" i="1"/>
  <c r="I6466" i="1"/>
  <c r="H6466" i="1"/>
  <c r="G6466" i="1"/>
  <c r="F6466" i="1"/>
  <c r="E6466" i="1"/>
  <c r="D6466" i="1"/>
  <c r="C6466" i="1"/>
  <c r="A6466" i="1"/>
  <c r="R6465" i="1"/>
  <c r="Q6465" i="1"/>
  <c r="N6465" i="1"/>
  <c r="J6465" i="1"/>
  <c r="I6465" i="1"/>
  <c r="H6465" i="1"/>
  <c r="G6465" i="1"/>
  <c r="F6465" i="1"/>
  <c r="E6465" i="1"/>
  <c r="D6465" i="1"/>
  <c r="C6465" i="1"/>
  <c r="A6465" i="1"/>
  <c r="R6464" i="1"/>
  <c r="Q6464" i="1"/>
  <c r="N6464" i="1"/>
  <c r="J6464" i="1"/>
  <c r="I6464" i="1"/>
  <c r="H6464" i="1"/>
  <c r="G6464" i="1"/>
  <c r="F6464" i="1"/>
  <c r="E6464" i="1"/>
  <c r="D6464" i="1"/>
  <c r="C6464" i="1"/>
  <c r="A6464" i="1"/>
  <c r="R6463" i="1"/>
  <c r="Q6463" i="1"/>
  <c r="N6463" i="1"/>
  <c r="J6463" i="1"/>
  <c r="I6463" i="1"/>
  <c r="H6463" i="1"/>
  <c r="G6463" i="1"/>
  <c r="F6463" i="1"/>
  <c r="E6463" i="1"/>
  <c r="D6463" i="1"/>
  <c r="C6463" i="1"/>
  <c r="A6463" i="1"/>
  <c r="R6462" i="1"/>
  <c r="N6462" i="1"/>
  <c r="J6462" i="1"/>
  <c r="I6462" i="1"/>
  <c r="H6462" i="1"/>
  <c r="G6462" i="1"/>
  <c r="F6462" i="1"/>
  <c r="E6462" i="1"/>
  <c r="D6462" i="1"/>
  <c r="C6462" i="1"/>
  <c r="A6462" i="1"/>
  <c r="R6461" i="1"/>
  <c r="Q6461" i="1"/>
  <c r="N6461" i="1"/>
  <c r="J6461" i="1"/>
  <c r="I6461" i="1"/>
  <c r="H6461" i="1"/>
  <c r="G6461" i="1"/>
  <c r="F6461" i="1"/>
  <c r="E6461" i="1"/>
  <c r="D6461" i="1"/>
  <c r="C6461" i="1"/>
  <c r="A6461" i="1"/>
  <c r="R6460" i="1"/>
  <c r="N6460" i="1"/>
  <c r="J6460" i="1"/>
  <c r="I6460" i="1"/>
  <c r="H6460" i="1"/>
  <c r="G6460" i="1"/>
  <c r="F6460" i="1"/>
  <c r="E6460" i="1"/>
  <c r="D6460" i="1"/>
  <c r="C6460" i="1"/>
  <c r="A6460" i="1"/>
  <c r="R6459" i="1"/>
  <c r="Q6459" i="1"/>
  <c r="N6459" i="1"/>
  <c r="J6459" i="1"/>
  <c r="I6459" i="1"/>
  <c r="H6459" i="1"/>
  <c r="G6459" i="1"/>
  <c r="F6459" i="1"/>
  <c r="E6459" i="1"/>
  <c r="D6459" i="1"/>
  <c r="C6459" i="1"/>
  <c r="A6459" i="1"/>
  <c r="R6458" i="1"/>
  <c r="Q6458" i="1"/>
  <c r="N6458" i="1"/>
  <c r="J6458" i="1"/>
  <c r="I6458" i="1"/>
  <c r="H6458" i="1"/>
  <c r="G6458" i="1"/>
  <c r="F6458" i="1"/>
  <c r="E6458" i="1"/>
  <c r="D6458" i="1"/>
  <c r="C6458" i="1"/>
  <c r="A6458" i="1"/>
  <c r="R6457" i="1"/>
  <c r="N6457" i="1"/>
  <c r="J6457" i="1"/>
  <c r="I6457" i="1"/>
  <c r="H6457" i="1"/>
  <c r="G6457" i="1"/>
  <c r="F6457" i="1"/>
  <c r="E6457" i="1"/>
  <c r="D6457" i="1"/>
  <c r="C6457" i="1"/>
  <c r="A6457" i="1"/>
  <c r="R6456" i="1"/>
  <c r="Q6456" i="1"/>
  <c r="N6456" i="1"/>
  <c r="J6456" i="1"/>
  <c r="I6456" i="1"/>
  <c r="H6456" i="1"/>
  <c r="G6456" i="1"/>
  <c r="F6456" i="1"/>
  <c r="E6456" i="1"/>
  <c r="D6456" i="1"/>
  <c r="C6456" i="1"/>
  <c r="A6456" i="1"/>
  <c r="R6455" i="1"/>
  <c r="N6455" i="1"/>
  <c r="J6455" i="1"/>
  <c r="I6455" i="1"/>
  <c r="H6455" i="1"/>
  <c r="G6455" i="1"/>
  <c r="F6455" i="1"/>
  <c r="E6455" i="1"/>
  <c r="D6455" i="1"/>
  <c r="C6455" i="1"/>
  <c r="A6455" i="1"/>
  <c r="R6454" i="1"/>
  <c r="Q6454" i="1"/>
  <c r="N6454" i="1"/>
  <c r="J6454" i="1"/>
  <c r="I6454" i="1"/>
  <c r="H6454" i="1"/>
  <c r="G6454" i="1"/>
  <c r="F6454" i="1"/>
  <c r="E6454" i="1"/>
  <c r="D6454" i="1"/>
  <c r="C6454" i="1"/>
  <c r="A6454" i="1"/>
  <c r="R6453" i="1"/>
  <c r="N6453" i="1"/>
  <c r="J6453" i="1"/>
  <c r="I6453" i="1"/>
  <c r="H6453" i="1"/>
  <c r="G6453" i="1"/>
  <c r="F6453" i="1"/>
  <c r="E6453" i="1"/>
  <c r="D6453" i="1"/>
  <c r="C6453" i="1"/>
  <c r="A6453" i="1"/>
  <c r="R6452" i="1"/>
  <c r="Q6452" i="1"/>
  <c r="N6452" i="1"/>
  <c r="J6452" i="1"/>
  <c r="I6452" i="1"/>
  <c r="H6452" i="1"/>
  <c r="G6452" i="1"/>
  <c r="F6452" i="1"/>
  <c r="E6452" i="1"/>
  <c r="D6452" i="1"/>
  <c r="C6452" i="1"/>
  <c r="A6452" i="1"/>
  <c r="R6451" i="1"/>
  <c r="Q6451" i="1"/>
  <c r="N6451" i="1"/>
  <c r="J6451" i="1"/>
  <c r="I6451" i="1"/>
  <c r="H6451" i="1"/>
  <c r="G6451" i="1"/>
  <c r="F6451" i="1"/>
  <c r="E6451" i="1"/>
  <c r="D6451" i="1"/>
  <c r="C6451" i="1"/>
  <c r="A6451" i="1"/>
  <c r="R6450" i="1"/>
  <c r="Q6450" i="1"/>
  <c r="N6450" i="1"/>
  <c r="J6450" i="1"/>
  <c r="I6450" i="1"/>
  <c r="H6450" i="1"/>
  <c r="G6450" i="1"/>
  <c r="F6450" i="1"/>
  <c r="E6450" i="1"/>
  <c r="D6450" i="1"/>
  <c r="C6450" i="1"/>
  <c r="A6450" i="1"/>
  <c r="R6449" i="1"/>
  <c r="Q6449" i="1"/>
  <c r="N6449" i="1"/>
  <c r="J6449" i="1"/>
  <c r="I6449" i="1"/>
  <c r="H6449" i="1"/>
  <c r="G6449" i="1"/>
  <c r="F6449" i="1"/>
  <c r="E6449" i="1"/>
  <c r="D6449" i="1"/>
  <c r="C6449" i="1"/>
  <c r="A6449" i="1"/>
  <c r="R6448" i="1"/>
  <c r="Q6448" i="1"/>
  <c r="N6448" i="1"/>
  <c r="J6448" i="1"/>
  <c r="I6448" i="1"/>
  <c r="H6448" i="1"/>
  <c r="G6448" i="1"/>
  <c r="F6448" i="1"/>
  <c r="E6448" i="1"/>
  <c r="D6448" i="1"/>
  <c r="C6448" i="1"/>
  <c r="A6448" i="1"/>
  <c r="R6447" i="1"/>
  <c r="Q6447" i="1"/>
  <c r="N6447" i="1"/>
  <c r="J6447" i="1"/>
  <c r="I6447" i="1"/>
  <c r="H6447" i="1"/>
  <c r="G6447" i="1"/>
  <c r="F6447" i="1"/>
  <c r="E6447" i="1"/>
  <c r="D6447" i="1"/>
  <c r="C6447" i="1"/>
  <c r="A6447" i="1"/>
  <c r="R6446" i="1"/>
  <c r="Q6446" i="1"/>
  <c r="N6446" i="1"/>
  <c r="J6446" i="1"/>
  <c r="I6446" i="1"/>
  <c r="H6446" i="1"/>
  <c r="G6446" i="1"/>
  <c r="F6446" i="1"/>
  <c r="E6446" i="1"/>
  <c r="D6446" i="1"/>
  <c r="C6446" i="1"/>
  <c r="A6446" i="1"/>
  <c r="R6445" i="1"/>
  <c r="Q6445" i="1"/>
  <c r="N6445" i="1"/>
  <c r="J6445" i="1"/>
  <c r="I6445" i="1"/>
  <c r="H6445" i="1"/>
  <c r="G6445" i="1"/>
  <c r="F6445" i="1"/>
  <c r="E6445" i="1"/>
  <c r="D6445" i="1"/>
  <c r="C6445" i="1"/>
  <c r="A6445" i="1"/>
  <c r="R6444" i="1"/>
  <c r="Q6444" i="1"/>
  <c r="N6444" i="1"/>
  <c r="J6444" i="1"/>
  <c r="I6444" i="1"/>
  <c r="H6444" i="1"/>
  <c r="G6444" i="1"/>
  <c r="F6444" i="1"/>
  <c r="E6444" i="1"/>
  <c r="D6444" i="1"/>
  <c r="C6444" i="1"/>
  <c r="A6444" i="1"/>
  <c r="R6443" i="1"/>
  <c r="Q6443" i="1"/>
  <c r="N6443" i="1"/>
  <c r="J6443" i="1"/>
  <c r="I6443" i="1"/>
  <c r="H6443" i="1"/>
  <c r="G6443" i="1"/>
  <c r="F6443" i="1"/>
  <c r="E6443" i="1"/>
  <c r="D6443" i="1"/>
  <c r="C6443" i="1"/>
  <c r="A6443" i="1"/>
  <c r="R6442" i="1"/>
  <c r="N6442" i="1"/>
  <c r="J6442" i="1"/>
  <c r="I6442" i="1"/>
  <c r="H6442" i="1"/>
  <c r="G6442" i="1"/>
  <c r="F6442" i="1"/>
  <c r="E6442" i="1"/>
  <c r="D6442" i="1"/>
  <c r="C6442" i="1"/>
  <c r="A6442" i="1"/>
  <c r="R6441" i="1"/>
  <c r="Q6441" i="1"/>
  <c r="N6441" i="1"/>
  <c r="J6441" i="1"/>
  <c r="I6441" i="1"/>
  <c r="H6441" i="1"/>
  <c r="G6441" i="1"/>
  <c r="F6441" i="1"/>
  <c r="E6441" i="1"/>
  <c r="D6441" i="1"/>
  <c r="C6441" i="1"/>
  <c r="A6441" i="1"/>
  <c r="R6440" i="1"/>
  <c r="Q6440" i="1"/>
  <c r="N6440" i="1"/>
  <c r="J6440" i="1"/>
  <c r="I6440" i="1"/>
  <c r="H6440" i="1"/>
  <c r="G6440" i="1"/>
  <c r="F6440" i="1"/>
  <c r="E6440" i="1"/>
  <c r="D6440" i="1"/>
  <c r="C6440" i="1"/>
  <c r="A6440" i="1"/>
  <c r="R6439" i="1"/>
  <c r="Q6439" i="1"/>
  <c r="N6439" i="1"/>
  <c r="J6439" i="1"/>
  <c r="I6439" i="1"/>
  <c r="H6439" i="1"/>
  <c r="G6439" i="1"/>
  <c r="F6439" i="1"/>
  <c r="E6439" i="1"/>
  <c r="D6439" i="1"/>
  <c r="C6439" i="1"/>
  <c r="A6439" i="1"/>
  <c r="R6438" i="1"/>
  <c r="Q6438" i="1"/>
  <c r="N6438" i="1"/>
  <c r="J6438" i="1"/>
  <c r="I6438" i="1"/>
  <c r="H6438" i="1"/>
  <c r="G6438" i="1"/>
  <c r="F6438" i="1"/>
  <c r="E6438" i="1"/>
  <c r="D6438" i="1"/>
  <c r="C6438" i="1"/>
  <c r="A6438" i="1"/>
  <c r="R6437" i="1"/>
  <c r="Q6437" i="1"/>
  <c r="N6437" i="1"/>
  <c r="J6437" i="1"/>
  <c r="I6437" i="1"/>
  <c r="H6437" i="1"/>
  <c r="G6437" i="1"/>
  <c r="F6437" i="1"/>
  <c r="E6437" i="1"/>
  <c r="D6437" i="1"/>
  <c r="C6437" i="1"/>
  <c r="A6437" i="1"/>
  <c r="R6436" i="1"/>
  <c r="Q6436" i="1"/>
  <c r="N6436" i="1"/>
  <c r="J6436" i="1"/>
  <c r="I6436" i="1"/>
  <c r="H6436" i="1"/>
  <c r="G6436" i="1"/>
  <c r="F6436" i="1"/>
  <c r="E6436" i="1"/>
  <c r="D6436" i="1"/>
  <c r="C6436" i="1"/>
  <c r="A6436" i="1"/>
  <c r="R6435" i="1"/>
  <c r="Q6435" i="1"/>
  <c r="N6435" i="1"/>
  <c r="J6435" i="1"/>
  <c r="I6435" i="1"/>
  <c r="H6435" i="1"/>
  <c r="G6435" i="1"/>
  <c r="F6435" i="1"/>
  <c r="E6435" i="1"/>
  <c r="D6435" i="1"/>
  <c r="C6435" i="1"/>
  <c r="A6435" i="1"/>
  <c r="R6434" i="1"/>
  <c r="Q6434" i="1"/>
  <c r="N6434" i="1"/>
  <c r="J6434" i="1"/>
  <c r="I6434" i="1"/>
  <c r="H6434" i="1"/>
  <c r="G6434" i="1"/>
  <c r="F6434" i="1"/>
  <c r="E6434" i="1"/>
  <c r="D6434" i="1"/>
  <c r="C6434" i="1"/>
  <c r="A6434" i="1"/>
  <c r="R6433" i="1"/>
  <c r="Q6433" i="1"/>
  <c r="N6433" i="1"/>
  <c r="J6433" i="1"/>
  <c r="I6433" i="1"/>
  <c r="H6433" i="1"/>
  <c r="G6433" i="1"/>
  <c r="F6433" i="1"/>
  <c r="E6433" i="1"/>
  <c r="D6433" i="1"/>
  <c r="C6433" i="1"/>
  <c r="A6433" i="1"/>
  <c r="R6432" i="1"/>
  <c r="Q6432" i="1"/>
  <c r="N6432" i="1"/>
  <c r="J6432" i="1"/>
  <c r="I6432" i="1"/>
  <c r="H6432" i="1"/>
  <c r="G6432" i="1"/>
  <c r="F6432" i="1"/>
  <c r="E6432" i="1"/>
  <c r="D6432" i="1"/>
  <c r="C6432" i="1"/>
  <c r="A6432" i="1"/>
  <c r="R6431" i="1"/>
  <c r="Q6431" i="1"/>
  <c r="N6431" i="1"/>
  <c r="J6431" i="1"/>
  <c r="I6431" i="1"/>
  <c r="H6431" i="1"/>
  <c r="G6431" i="1"/>
  <c r="F6431" i="1"/>
  <c r="E6431" i="1"/>
  <c r="D6431" i="1"/>
  <c r="C6431" i="1"/>
  <c r="A6431" i="1"/>
  <c r="R6430" i="1"/>
  <c r="Q6430" i="1"/>
  <c r="N6430" i="1"/>
  <c r="J6430" i="1"/>
  <c r="I6430" i="1"/>
  <c r="H6430" i="1"/>
  <c r="G6430" i="1"/>
  <c r="F6430" i="1"/>
  <c r="E6430" i="1"/>
  <c r="D6430" i="1"/>
  <c r="C6430" i="1"/>
  <c r="A6430" i="1"/>
  <c r="R6429" i="1"/>
  <c r="N6429" i="1"/>
  <c r="J6429" i="1"/>
  <c r="I6429" i="1"/>
  <c r="H6429" i="1"/>
  <c r="G6429" i="1"/>
  <c r="F6429" i="1"/>
  <c r="E6429" i="1"/>
  <c r="D6429" i="1"/>
  <c r="C6429" i="1"/>
  <c r="A6429" i="1"/>
  <c r="R6428" i="1"/>
  <c r="Q6428" i="1"/>
  <c r="N6428" i="1"/>
  <c r="J6428" i="1"/>
  <c r="I6428" i="1"/>
  <c r="H6428" i="1"/>
  <c r="G6428" i="1"/>
  <c r="F6428" i="1"/>
  <c r="E6428" i="1"/>
  <c r="D6428" i="1"/>
  <c r="C6428" i="1"/>
  <c r="A6428" i="1"/>
  <c r="R6427" i="1"/>
  <c r="Q6427" i="1"/>
  <c r="N6427" i="1"/>
  <c r="J6427" i="1"/>
  <c r="I6427" i="1"/>
  <c r="H6427" i="1"/>
  <c r="G6427" i="1"/>
  <c r="F6427" i="1"/>
  <c r="E6427" i="1"/>
  <c r="D6427" i="1"/>
  <c r="C6427" i="1"/>
  <c r="A6427" i="1"/>
  <c r="R6426" i="1"/>
  <c r="Q6426" i="1"/>
  <c r="N6426" i="1"/>
  <c r="J6426" i="1"/>
  <c r="I6426" i="1"/>
  <c r="H6426" i="1"/>
  <c r="G6426" i="1"/>
  <c r="F6426" i="1"/>
  <c r="E6426" i="1"/>
  <c r="D6426" i="1"/>
  <c r="C6426" i="1"/>
  <c r="A6426" i="1"/>
  <c r="R6425" i="1"/>
  <c r="Q6425" i="1"/>
  <c r="N6425" i="1"/>
  <c r="J6425" i="1"/>
  <c r="I6425" i="1"/>
  <c r="H6425" i="1"/>
  <c r="G6425" i="1"/>
  <c r="F6425" i="1"/>
  <c r="E6425" i="1"/>
  <c r="D6425" i="1"/>
  <c r="C6425" i="1"/>
  <c r="A6425" i="1"/>
  <c r="R6424" i="1"/>
  <c r="Q6424" i="1"/>
  <c r="N6424" i="1"/>
  <c r="J6424" i="1"/>
  <c r="I6424" i="1"/>
  <c r="H6424" i="1"/>
  <c r="G6424" i="1"/>
  <c r="F6424" i="1"/>
  <c r="E6424" i="1"/>
  <c r="D6424" i="1"/>
  <c r="C6424" i="1"/>
  <c r="A6424" i="1"/>
  <c r="R6423" i="1"/>
  <c r="Q6423" i="1"/>
  <c r="N6423" i="1"/>
  <c r="J6423" i="1"/>
  <c r="I6423" i="1"/>
  <c r="H6423" i="1"/>
  <c r="G6423" i="1"/>
  <c r="F6423" i="1"/>
  <c r="E6423" i="1"/>
  <c r="D6423" i="1"/>
  <c r="C6423" i="1"/>
  <c r="A6423" i="1"/>
  <c r="R6422" i="1"/>
  <c r="Q6422" i="1"/>
  <c r="N6422" i="1"/>
  <c r="J6422" i="1"/>
  <c r="I6422" i="1"/>
  <c r="H6422" i="1"/>
  <c r="G6422" i="1"/>
  <c r="F6422" i="1"/>
  <c r="E6422" i="1"/>
  <c r="D6422" i="1"/>
  <c r="C6422" i="1"/>
  <c r="A6422" i="1"/>
  <c r="R6421" i="1"/>
  <c r="Q6421" i="1"/>
  <c r="N6421" i="1"/>
  <c r="J6421" i="1"/>
  <c r="I6421" i="1"/>
  <c r="H6421" i="1"/>
  <c r="G6421" i="1"/>
  <c r="F6421" i="1"/>
  <c r="E6421" i="1"/>
  <c r="D6421" i="1"/>
  <c r="C6421" i="1"/>
  <c r="A6421" i="1"/>
  <c r="R6420" i="1"/>
  <c r="Q6420" i="1"/>
  <c r="N6420" i="1"/>
  <c r="J6420" i="1"/>
  <c r="I6420" i="1"/>
  <c r="H6420" i="1"/>
  <c r="G6420" i="1"/>
  <c r="F6420" i="1"/>
  <c r="E6420" i="1"/>
  <c r="D6420" i="1"/>
  <c r="C6420" i="1"/>
  <c r="A6420" i="1"/>
  <c r="R6419" i="1"/>
  <c r="Q6419" i="1"/>
  <c r="N6419" i="1"/>
  <c r="J6419" i="1"/>
  <c r="I6419" i="1"/>
  <c r="H6419" i="1"/>
  <c r="G6419" i="1"/>
  <c r="F6419" i="1"/>
  <c r="E6419" i="1"/>
  <c r="D6419" i="1"/>
  <c r="C6419" i="1"/>
  <c r="A6419" i="1"/>
  <c r="R6418" i="1"/>
  <c r="Q6418" i="1"/>
  <c r="N6418" i="1"/>
  <c r="J6418" i="1"/>
  <c r="I6418" i="1"/>
  <c r="H6418" i="1"/>
  <c r="G6418" i="1"/>
  <c r="F6418" i="1"/>
  <c r="E6418" i="1"/>
  <c r="D6418" i="1"/>
  <c r="C6418" i="1"/>
  <c r="A6418" i="1"/>
  <c r="R6417" i="1"/>
  <c r="Q6417" i="1"/>
  <c r="N6417" i="1"/>
  <c r="J6417" i="1"/>
  <c r="I6417" i="1"/>
  <c r="H6417" i="1"/>
  <c r="G6417" i="1"/>
  <c r="F6417" i="1"/>
  <c r="E6417" i="1"/>
  <c r="D6417" i="1"/>
  <c r="C6417" i="1"/>
  <c r="A6417" i="1"/>
  <c r="R6416" i="1"/>
  <c r="Q6416" i="1"/>
  <c r="N6416" i="1"/>
  <c r="J6416" i="1"/>
  <c r="I6416" i="1"/>
  <c r="H6416" i="1"/>
  <c r="G6416" i="1"/>
  <c r="F6416" i="1"/>
  <c r="E6416" i="1"/>
  <c r="D6416" i="1"/>
  <c r="C6416" i="1"/>
  <c r="A6416" i="1"/>
  <c r="R6415" i="1"/>
  <c r="Q6415" i="1"/>
  <c r="N6415" i="1"/>
  <c r="J6415" i="1"/>
  <c r="I6415" i="1"/>
  <c r="H6415" i="1"/>
  <c r="G6415" i="1"/>
  <c r="F6415" i="1"/>
  <c r="E6415" i="1"/>
  <c r="D6415" i="1"/>
  <c r="C6415" i="1"/>
  <c r="A6415" i="1"/>
  <c r="R6414" i="1"/>
  <c r="Q6414" i="1"/>
  <c r="N6414" i="1"/>
  <c r="J6414" i="1"/>
  <c r="I6414" i="1"/>
  <c r="H6414" i="1"/>
  <c r="G6414" i="1"/>
  <c r="F6414" i="1"/>
  <c r="E6414" i="1"/>
  <c r="D6414" i="1"/>
  <c r="C6414" i="1"/>
  <c r="A6414" i="1"/>
  <c r="R6413" i="1"/>
  <c r="Q6413" i="1"/>
  <c r="N6413" i="1"/>
  <c r="J6413" i="1"/>
  <c r="I6413" i="1"/>
  <c r="H6413" i="1"/>
  <c r="G6413" i="1"/>
  <c r="F6413" i="1"/>
  <c r="E6413" i="1"/>
  <c r="D6413" i="1"/>
  <c r="C6413" i="1"/>
  <c r="A6413" i="1"/>
  <c r="R6412" i="1"/>
  <c r="Q6412" i="1"/>
  <c r="N6412" i="1"/>
  <c r="J6412" i="1"/>
  <c r="I6412" i="1"/>
  <c r="H6412" i="1"/>
  <c r="G6412" i="1"/>
  <c r="F6412" i="1"/>
  <c r="E6412" i="1"/>
  <c r="D6412" i="1"/>
  <c r="C6412" i="1"/>
  <c r="A6412" i="1"/>
  <c r="R6411" i="1"/>
  <c r="Q6411" i="1"/>
  <c r="N6411" i="1"/>
  <c r="J6411" i="1"/>
  <c r="I6411" i="1"/>
  <c r="H6411" i="1"/>
  <c r="G6411" i="1"/>
  <c r="F6411" i="1"/>
  <c r="E6411" i="1"/>
  <c r="D6411" i="1"/>
  <c r="C6411" i="1"/>
  <c r="A6411" i="1"/>
  <c r="R6410" i="1"/>
  <c r="Q6410" i="1"/>
  <c r="N6410" i="1"/>
  <c r="J6410" i="1"/>
  <c r="I6410" i="1"/>
  <c r="H6410" i="1"/>
  <c r="G6410" i="1"/>
  <c r="F6410" i="1"/>
  <c r="E6410" i="1"/>
  <c r="D6410" i="1"/>
  <c r="C6410" i="1"/>
  <c r="A6410" i="1"/>
  <c r="R6409" i="1"/>
  <c r="Q6409" i="1"/>
  <c r="N6409" i="1"/>
  <c r="J6409" i="1"/>
  <c r="I6409" i="1"/>
  <c r="H6409" i="1"/>
  <c r="G6409" i="1"/>
  <c r="F6409" i="1"/>
  <c r="E6409" i="1"/>
  <c r="D6409" i="1"/>
  <c r="C6409" i="1"/>
  <c r="A6409" i="1"/>
  <c r="R6408" i="1"/>
  <c r="Q6408" i="1"/>
  <c r="N6408" i="1"/>
  <c r="J6408" i="1"/>
  <c r="I6408" i="1"/>
  <c r="H6408" i="1"/>
  <c r="G6408" i="1"/>
  <c r="F6408" i="1"/>
  <c r="E6408" i="1"/>
  <c r="D6408" i="1"/>
  <c r="C6408" i="1"/>
  <c r="A6408" i="1"/>
  <c r="R6407" i="1"/>
  <c r="Q6407" i="1"/>
  <c r="N6407" i="1"/>
  <c r="J6407" i="1"/>
  <c r="I6407" i="1"/>
  <c r="H6407" i="1"/>
  <c r="G6407" i="1"/>
  <c r="F6407" i="1"/>
  <c r="E6407" i="1"/>
  <c r="D6407" i="1"/>
  <c r="C6407" i="1"/>
  <c r="A6407" i="1"/>
  <c r="R6406" i="1"/>
  <c r="Q6406" i="1"/>
  <c r="N6406" i="1"/>
  <c r="J6406" i="1"/>
  <c r="I6406" i="1"/>
  <c r="H6406" i="1"/>
  <c r="G6406" i="1"/>
  <c r="F6406" i="1"/>
  <c r="E6406" i="1"/>
  <c r="D6406" i="1"/>
  <c r="C6406" i="1"/>
  <c r="A6406" i="1"/>
  <c r="R6405" i="1"/>
  <c r="Q6405" i="1"/>
  <c r="N6405" i="1"/>
  <c r="J6405" i="1"/>
  <c r="I6405" i="1"/>
  <c r="H6405" i="1"/>
  <c r="G6405" i="1"/>
  <c r="F6405" i="1"/>
  <c r="E6405" i="1"/>
  <c r="D6405" i="1"/>
  <c r="C6405" i="1"/>
  <c r="A6405" i="1"/>
  <c r="R6404" i="1"/>
  <c r="Q6404" i="1"/>
  <c r="N6404" i="1"/>
  <c r="J6404" i="1"/>
  <c r="I6404" i="1"/>
  <c r="H6404" i="1"/>
  <c r="G6404" i="1"/>
  <c r="F6404" i="1"/>
  <c r="E6404" i="1"/>
  <c r="D6404" i="1"/>
  <c r="C6404" i="1"/>
  <c r="A6404" i="1"/>
  <c r="R6403" i="1"/>
  <c r="Q6403" i="1"/>
  <c r="N6403" i="1"/>
  <c r="J6403" i="1"/>
  <c r="I6403" i="1"/>
  <c r="H6403" i="1"/>
  <c r="G6403" i="1"/>
  <c r="F6403" i="1"/>
  <c r="E6403" i="1"/>
  <c r="D6403" i="1"/>
  <c r="C6403" i="1"/>
  <c r="A6403" i="1"/>
  <c r="R6402" i="1"/>
  <c r="Q6402" i="1"/>
  <c r="N6402" i="1"/>
  <c r="J6402" i="1"/>
  <c r="I6402" i="1"/>
  <c r="H6402" i="1"/>
  <c r="G6402" i="1"/>
  <c r="F6402" i="1"/>
  <c r="E6402" i="1"/>
  <c r="D6402" i="1"/>
  <c r="C6402" i="1"/>
  <c r="A6402" i="1"/>
  <c r="R6401" i="1"/>
  <c r="Q6401" i="1"/>
  <c r="N6401" i="1"/>
  <c r="J6401" i="1"/>
  <c r="I6401" i="1"/>
  <c r="H6401" i="1"/>
  <c r="G6401" i="1"/>
  <c r="F6401" i="1"/>
  <c r="E6401" i="1"/>
  <c r="D6401" i="1"/>
  <c r="C6401" i="1"/>
  <c r="A6401" i="1"/>
  <c r="R6400" i="1"/>
  <c r="Q6400" i="1"/>
  <c r="N6400" i="1"/>
  <c r="J6400" i="1"/>
  <c r="I6400" i="1"/>
  <c r="H6400" i="1"/>
  <c r="G6400" i="1"/>
  <c r="F6400" i="1"/>
  <c r="E6400" i="1"/>
  <c r="D6400" i="1"/>
  <c r="C6400" i="1"/>
  <c r="A6400" i="1"/>
  <c r="R6399" i="1"/>
  <c r="Q6399" i="1"/>
  <c r="N6399" i="1"/>
  <c r="J6399" i="1"/>
  <c r="I6399" i="1"/>
  <c r="H6399" i="1"/>
  <c r="G6399" i="1"/>
  <c r="F6399" i="1"/>
  <c r="E6399" i="1"/>
  <c r="D6399" i="1"/>
  <c r="C6399" i="1"/>
  <c r="A6399" i="1"/>
  <c r="R6398" i="1"/>
  <c r="Q6398" i="1"/>
  <c r="N6398" i="1"/>
  <c r="J6398" i="1"/>
  <c r="I6398" i="1"/>
  <c r="H6398" i="1"/>
  <c r="G6398" i="1"/>
  <c r="F6398" i="1"/>
  <c r="E6398" i="1"/>
  <c r="D6398" i="1"/>
  <c r="C6398" i="1"/>
  <c r="A6398" i="1"/>
  <c r="R6397" i="1"/>
  <c r="Q6397" i="1"/>
  <c r="N6397" i="1"/>
  <c r="J6397" i="1"/>
  <c r="I6397" i="1"/>
  <c r="H6397" i="1"/>
  <c r="G6397" i="1"/>
  <c r="F6397" i="1"/>
  <c r="E6397" i="1"/>
  <c r="D6397" i="1"/>
  <c r="C6397" i="1"/>
  <c r="A6397" i="1"/>
  <c r="R6396" i="1"/>
  <c r="Q6396" i="1"/>
  <c r="N6396" i="1"/>
  <c r="J6396" i="1"/>
  <c r="I6396" i="1"/>
  <c r="H6396" i="1"/>
  <c r="G6396" i="1"/>
  <c r="F6396" i="1"/>
  <c r="E6396" i="1"/>
  <c r="D6396" i="1"/>
  <c r="C6396" i="1"/>
  <c r="A6396" i="1"/>
  <c r="R6395" i="1"/>
  <c r="Q6395" i="1"/>
  <c r="N6395" i="1"/>
  <c r="J6395" i="1"/>
  <c r="I6395" i="1"/>
  <c r="H6395" i="1"/>
  <c r="G6395" i="1"/>
  <c r="F6395" i="1"/>
  <c r="E6395" i="1"/>
  <c r="D6395" i="1"/>
  <c r="C6395" i="1"/>
  <c r="A6395" i="1"/>
  <c r="R6394" i="1"/>
  <c r="Q6394" i="1"/>
  <c r="N6394" i="1"/>
  <c r="J6394" i="1"/>
  <c r="I6394" i="1"/>
  <c r="H6394" i="1"/>
  <c r="G6394" i="1"/>
  <c r="F6394" i="1"/>
  <c r="E6394" i="1"/>
  <c r="D6394" i="1"/>
  <c r="C6394" i="1"/>
  <c r="A6394" i="1"/>
  <c r="R6393" i="1"/>
  <c r="Q6393" i="1"/>
  <c r="N6393" i="1"/>
  <c r="J6393" i="1"/>
  <c r="I6393" i="1"/>
  <c r="H6393" i="1"/>
  <c r="G6393" i="1"/>
  <c r="F6393" i="1"/>
  <c r="E6393" i="1"/>
  <c r="D6393" i="1"/>
  <c r="C6393" i="1"/>
  <c r="A6393" i="1"/>
  <c r="R6392" i="1"/>
  <c r="Q6392" i="1"/>
  <c r="N6392" i="1"/>
  <c r="J6392" i="1"/>
  <c r="I6392" i="1"/>
  <c r="H6392" i="1"/>
  <c r="G6392" i="1"/>
  <c r="F6392" i="1"/>
  <c r="E6392" i="1"/>
  <c r="D6392" i="1"/>
  <c r="C6392" i="1"/>
  <c r="A6392" i="1"/>
  <c r="R6391" i="1"/>
  <c r="Q6391" i="1"/>
  <c r="N6391" i="1"/>
  <c r="J6391" i="1"/>
  <c r="I6391" i="1"/>
  <c r="H6391" i="1"/>
  <c r="G6391" i="1"/>
  <c r="F6391" i="1"/>
  <c r="E6391" i="1"/>
  <c r="D6391" i="1"/>
  <c r="C6391" i="1"/>
  <c r="A6391" i="1"/>
  <c r="R6390" i="1"/>
  <c r="Q6390" i="1"/>
  <c r="N6390" i="1"/>
  <c r="J6390" i="1"/>
  <c r="I6390" i="1"/>
  <c r="H6390" i="1"/>
  <c r="G6390" i="1"/>
  <c r="F6390" i="1"/>
  <c r="E6390" i="1"/>
  <c r="D6390" i="1"/>
  <c r="C6390" i="1"/>
  <c r="A6390" i="1"/>
  <c r="R6389" i="1"/>
  <c r="Q6389" i="1"/>
  <c r="N6389" i="1"/>
  <c r="J6389" i="1"/>
  <c r="I6389" i="1"/>
  <c r="H6389" i="1"/>
  <c r="G6389" i="1"/>
  <c r="F6389" i="1"/>
  <c r="E6389" i="1"/>
  <c r="D6389" i="1"/>
  <c r="C6389" i="1"/>
  <c r="A6389" i="1"/>
  <c r="R6388" i="1"/>
  <c r="Q6388" i="1"/>
  <c r="N6388" i="1"/>
  <c r="J6388" i="1"/>
  <c r="I6388" i="1"/>
  <c r="H6388" i="1"/>
  <c r="G6388" i="1"/>
  <c r="F6388" i="1"/>
  <c r="E6388" i="1"/>
  <c r="D6388" i="1"/>
  <c r="C6388" i="1"/>
  <c r="A6388" i="1"/>
  <c r="R6387" i="1"/>
  <c r="Q6387" i="1"/>
  <c r="N6387" i="1"/>
  <c r="J6387" i="1"/>
  <c r="I6387" i="1"/>
  <c r="H6387" i="1"/>
  <c r="G6387" i="1"/>
  <c r="F6387" i="1"/>
  <c r="E6387" i="1"/>
  <c r="D6387" i="1"/>
  <c r="C6387" i="1"/>
  <c r="A6387" i="1"/>
  <c r="R6386" i="1"/>
  <c r="Q6386" i="1"/>
  <c r="N6386" i="1"/>
  <c r="J6386" i="1"/>
  <c r="I6386" i="1"/>
  <c r="H6386" i="1"/>
  <c r="G6386" i="1"/>
  <c r="F6386" i="1"/>
  <c r="E6386" i="1"/>
  <c r="D6386" i="1"/>
  <c r="C6386" i="1"/>
  <c r="A6386" i="1"/>
  <c r="R6385" i="1"/>
  <c r="Q6385" i="1"/>
  <c r="N6385" i="1"/>
  <c r="J6385" i="1"/>
  <c r="I6385" i="1"/>
  <c r="H6385" i="1"/>
  <c r="G6385" i="1"/>
  <c r="F6385" i="1"/>
  <c r="E6385" i="1"/>
  <c r="D6385" i="1"/>
  <c r="C6385" i="1"/>
  <c r="A6385" i="1"/>
  <c r="R6384" i="1"/>
  <c r="Q6384" i="1"/>
  <c r="N6384" i="1"/>
  <c r="J6384" i="1"/>
  <c r="I6384" i="1"/>
  <c r="H6384" i="1"/>
  <c r="G6384" i="1"/>
  <c r="F6384" i="1"/>
  <c r="E6384" i="1"/>
  <c r="D6384" i="1"/>
  <c r="C6384" i="1"/>
  <c r="A6384" i="1"/>
  <c r="R6383" i="1"/>
  <c r="Q6383" i="1"/>
  <c r="N6383" i="1"/>
  <c r="J6383" i="1"/>
  <c r="I6383" i="1"/>
  <c r="H6383" i="1"/>
  <c r="G6383" i="1"/>
  <c r="F6383" i="1"/>
  <c r="E6383" i="1"/>
  <c r="D6383" i="1"/>
  <c r="C6383" i="1"/>
  <c r="A6383" i="1"/>
  <c r="R6382" i="1"/>
  <c r="Q6382" i="1"/>
  <c r="N6382" i="1"/>
  <c r="J6382" i="1"/>
  <c r="I6382" i="1"/>
  <c r="H6382" i="1"/>
  <c r="G6382" i="1"/>
  <c r="F6382" i="1"/>
  <c r="E6382" i="1"/>
  <c r="D6382" i="1"/>
  <c r="C6382" i="1"/>
  <c r="A6382" i="1"/>
  <c r="R6381" i="1"/>
  <c r="N6381" i="1"/>
  <c r="J6381" i="1"/>
  <c r="I6381" i="1"/>
  <c r="H6381" i="1"/>
  <c r="G6381" i="1"/>
  <c r="F6381" i="1"/>
  <c r="E6381" i="1"/>
  <c r="D6381" i="1"/>
  <c r="C6381" i="1"/>
  <c r="A6381" i="1"/>
  <c r="R6380" i="1"/>
  <c r="Q6380" i="1"/>
  <c r="N6380" i="1"/>
  <c r="J6380" i="1"/>
  <c r="I6380" i="1"/>
  <c r="H6380" i="1"/>
  <c r="G6380" i="1"/>
  <c r="F6380" i="1"/>
  <c r="E6380" i="1"/>
  <c r="D6380" i="1"/>
  <c r="C6380" i="1"/>
  <c r="A6380" i="1"/>
  <c r="R6379" i="1"/>
  <c r="N6379" i="1"/>
  <c r="J6379" i="1"/>
  <c r="I6379" i="1"/>
  <c r="H6379" i="1"/>
  <c r="G6379" i="1"/>
  <c r="F6379" i="1"/>
  <c r="E6379" i="1"/>
  <c r="D6379" i="1"/>
  <c r="C6379" i="1"/>
  <c r="A6379" i="1"/>
  <c r="R6378" i="1"/>
  <c r="Q6378" i="1"/>
  <c r="N6378" i="1"/>
  <c r="J6378" i="1"/>
  <c r="I6378" i="1"/>
  <c r="H6378" i="1"/>
  <c r="G6378" i="1"/>
  <c r="F6378" i="1"/>
  <c r="E6378" i="1"/>
  <c r="D6378" i="1"/>
  <c r="C6378" i="1"/>
  <c r="A6378" i="1"/>
  <c r="R6377" i="1"/>
  <c r="N6377" i="1"/>
  <c r="J6377" i="1"/>
  <c r="I6377" i="1"/>
  <c r="H6377" i="1"/>
  <c r="G6377" i="1"/>
  <c r="F6377" i="1"/>
  <c r="E6377" i="1"/>
  <c r="D6377" i="1"/>
  <c r="C6377" i="1"/>
  <c r="A6377" i="1"/>
  <c r="R6376" i="1"/>
  <c r="Q6376" i="1"/>
  <c r="N6376" i="1"/>
  <c r="J6376" i="1"/>
  <c r="I6376" i="1"/>
  <c r="H6376" i="1"/>
  <c r="G6376" i="1"/>
  <c r="F6376" i="1"/>
  <c r="E6376" i="1"/>
  <c r="D6376" i="1"/>
  <c r="C6376" i="1"/>
  <c r="A6376" i="1"/>
  <c r="R6375" i="1"/>
  <c r="N6375" i="1"/>
  <c r="J6375" i="1"/>
  <c r="I6375" i="1"/>
  <c r="H6375" i="1"/>
  <c r="G6375" i="1"/>
  <c r="F6375" i="1"/>
  <c r="E6375" i="1"/>
  <c r="D6375" i="1"/>
  <c r="C6375" i="1"/>
  <c r="B6375" i="1"/>
  <c r="A6375" i="1"/>
  <c r="R6374" i="1"/>
  <c r="Q6374" i="1"/>
  <c r="N6374" i="1"/>
  <c r="J6374" i="1"/>
  <c r="I6374" i="1"/>
  <c r="H6374" i="1"/>
  <c r="G6374" i="1"/>
  <c r="F6374" i="1"/>
  <c r="E6374" i="1"/>
  <c r="D6374" i="1"/>
  <c r="C6374" i="1"/>
  <c r="B6374" i="1"/>
  <c r="A6374" i="1"/>
  <c r="R6373" i="1"/>
  <c r="N6373" i="1"/>
  <c r="J6373" i="1"/>
  <c r="I6373" i="1"/>
  <c r="H6373" i="1"/>
  <c r="G6373" i="1"/>
  <c r="F6373" i="1"/>
  <c r="E6373" i="1"/>
  <c r="D6373" i="1"/>
  <c r="C6373" i="1"/>
  <c r="B6373" i="1"/>
  <c r="A6373" i="1"/>
  <c r="R6372" i="1"/>
  <c r="Q6372" i="1"/>
  <c r="N6372" i="1"/>
  <c r="J6372" i="1"/>
  <c r="I6372" i="1"/>
  <c r="H6372" i="1"/>
  <c r="G6372" i="1"/>
  <c r="F6372" i="1"/>
  <c r="E6372" i="1"/>
  <c r="D6372" i="1"/>
  <c r="C6372" i="1"/>
  <c r="B6372" i="1"/>
  <c r="A6372" i="1"/>
  <c r="R6371" i="1"/>
  <c r="N6371" i="1"/>
  <c r="J6371" i="1"/>
  <c r="I6371" i="1"/>
  <c r="H6371" i="1"/>
  <c r="G6371" i="1"/>
  <c r="F6371" i="1"/>
  <c r="E6371" i="1"/>
  <c r="D6371" i="1"/>
  <c r="C6371" i="1"/>
  <c r="B6371" i="1"/>
  <c r="A6371" i="1"/>
  <c r="R6370" i="1"/>
  <c r="Q6370" i="1"/>
  <c r="N6370" i="1"/>
  <c r="J6370" i="1"/>
  <c r="I6370" i="1"/>
  <c r="H6370" i="1"/>
  <c r="G6370" i="1"/>
  <c r="F6370" i="1"/>
  <c r="E6370" i="1"/>
  <c r="D6370" i="1"/>
  <c r="C6370" i="1"/>
  <c r="B6370" i="1"/>
  <c r="A6370" i="1"/>
  <c r="R6369" i="1"/>
  <c r="N6369" i="1"/>
  <c r="J6369" i="1"/>
  <c r="I6369" i="1"/>
  <c r="H6369" i="1"/>
  <c r="G6369" i="1"/>
  <c r="F6369" i="1"/>
  <c r="E6369" i="1"/>
  <c r="D6369" i="1"/>
  <c r="C6369" i="1"/>
  <c r="B6369" i="1"/>
  <c r="A6369" i="1"/>
  <c r="R6368" i="1"/>
  <c r="Q6368" i="1"/>
  <c r="N6368" i="1"/>
  <c r="J6368" i="1"/>
  <c r="I6368" i="1"/>
  <c r="H6368" i="1"/>
  <c r="G6368" i="1"/>
  <c r="F6368" i="1"/>
  <c r="E6368" i="1"/>
  <c r="D6368" i="1"/>
  <c r="C6368" i="1"/>
  <c r="B6368" i="1"/>
  <c r="A6368" i="1"/>
  <c r="R6367" i="1"/>
  <c r="N6367" i="1"/>
  <c r="J6367" i="1"/>
  <c r="I6367" i="1"/>
  <c r="H6367" i="1"/>
  <c r="G6367" i="1"/>
  <c r="F6367" i="1"/>
  <c r="E6367" i="1"/>
  <c r="D6367" i="1"/>
  <c r="C6367" i="1"/>
  <c r="B6367" i="1"/>
  <c r="A6367" i="1"/>
  <c r="R6366" i="1"/>
  <c r="Q6366" i="1"/>
  <c r="N6366" i="1"/>
  <c r="J6366" i="1"/>
  <c r="I6366" i="1"/>
  <c r="H6366" i="1"/>
  <c r="G6366" i="1"/>
  <c r="F6366" i="1"/>
  <c r="E6366" i="1"/>
  <c r="D6366" i="1"/>
  <c r="C6366" i="1"/>
  <c r="A6366" i="1"/>
  <c r="R6365" i="1"/>
  <c r="N6365" i="1"/>
  <c r="J6365" i="1"/>
  <c r="I6365" i="1"/>
  <c r="H6365" i="1"/>
  <c r="G6365" i="1"/>
  <c r="F6365" i="1"/>
  <c r="E6365" i="1"/>
  <c r="D6365" i="1"/>
  <c r="C6365" i="1"/>
  <c r="A6365" i="1"/>
  <c r="R6364" i="1"/>
  <c r="Q6364" i="1"/>
  <c r="N6364" i="1"/>
  <c r="J6364" i="1"/>
  <c r="I6364" i="1"/>
  <c r="H6364" i="1"/>
  <c r="G6364" i="1"/>
  <c r="F6364" i="1"/>
  <c r="E6364" i="1"/>
  <c r="D6364" i="1"/>
  <c r="C6364" i="1"/>
  <c r="A6364" i="1"/>
  <c r="R6363" i="1"/>
  <c r="N6363" i="1"/>
  <c r="J6363" i="1"/>
  <c r="I6363" i="1"/>
  <c r="H6363" i="1"/>
  <c r="G6363" i="1"/>
  <c r="F6363" i="1"/>
  <c r="E6363" i="1"/>
  <c r="D6363" i="1"/>
  <c r="C6363" i="1"/>
  <c r="A6363" i="1"/>
  <c r="R6362" i="1"/>
  <c r="Q6362" i="1"/>
  <c r="N6362" i="1"/>
  <c r="J6362" i="1"/>
  <c r="I6362" i="1"/>
  <c r="H6362" i="1"/>
  <c r="G6362" i="1"/>
  <c r="F6362" i="1"/>
  <c r="E6362" i="1"/>
  <c r="D6362" i="1"/>
  <c r="C6362" i="1"/>
  <c r="A6362" i="1"/>
  <c r="R6361" i="1"/>
  <c r="N6361" i="1"/>
  <c r="J6361" i="1"/>
  <c r="I6361" i="1"/>
  <c r="H6361" i="1"/>
  <c r="G6361" i="1"/>
  <c r="F6361" i="1"/>
  <c r="E6361" i="1"/>
  <c r="D6361" i="1"/>
  <c r="C6361" i="1"/>
  <c r="A6361" i="1"/>
  <c r="R6360" i="1"/>
  <c r="Q6360" i="1"/>
  <c r="N6360" i="1"/>
  <c r="J6360" i="1"/>
  <c r="I6360" i="1"/>
  <c r="H6360" i="1"/>
  <c r="G6360" i="1"/>
  <c r="F6360" i="1"/>
  <c r="E6360" i="1"/>
  <c r="D6360" i="1"/>
  <c r="C6360" i="1"/>
  <c r="A6360" i="1"/>
  <c r="R6359" i="1"/>
  <c r="N6359" i="1"/>
  <c r="J6359" i="1"/>
  <c r="I6359" i="1"/>
  <c r="H6359" i="1"/>
  <c r="G6359" i="1"/>
  <c r="F6359" i="1"/>
  <c r="E6359" i="1"/>
  <c r="D6359" i="1"/>
  <c r="C6359" i="1"/>
  <c r="A6359" i="1"/>
  <c r="R6358" i="1"/>
  <c r="Q6358" i="1"/>
  <c r="N6358" i="1"/>
  <c r="J6358" i="1"/>
  <c r="I6358" i="1"/>
  <c r="H6358" i="1"/>
  <c r="G6358" i="1"/>
  <c r="F6358" i="1"/>
  <c r="E6358" i="1"/>
  <c r="D6358" i="1"/>
  <c r="C6358" i="1"/>
  <c r="A6358" i="1"/>
  <c r="R6357" i="1"/>
  <c r="Q6357" i="1"/>
  <c r="N6357" i="1"/>
  <c r="J6357" i="1"/>
  <c r="I6357" i="1"/>
  <c r="H6357" i="1"/>
  <c r="G6357" i="1"/>
  <c r="F6357" i="1"/>
  <c r="E6357" i="1"/>
  <c r="D6357" i="1"/>
  <c r="C6357" i="1"/>
  <c r="A6357" i="1"/>
  <c r="R6356" i="1"/>
  <c r="Q6356" i="1"/>
  <c r="N6356" i="1"/>
  <c r="J6356" i="1"/>
  <c r="I6356" i="1"/>
  <c r="H6356" i="1"/>
  <c r="G6356" i="1"/>
  <c r="F6356" i="1"/>
  <c r="E6356" i="1"/>
  <c r="D6356" i="1"/>
  <c r="C6356" i="1"/>
  <c r="A6356" i="1"/>
  <c r="R6355" i="1"/>
  <c r="Q6355" i="1"/>
  <c r="N6355" i="1"/>
  <c r="J6355" i="1"/>
  <c r="I6355" i="1"/>
  <c r="H6355" i="1"/>
  <c r="G6355" i="1"/>
  <c r="F6355" i="1"/>
  <c r="E6355" i="1"/>
  <c r="D6355" i="1"/>
  <c r="C6355" i="1"/>
  <c r="A6355" i="1"/>
  <c r="R6354" i="1"/>
  <c r="Q6354" i="1"/>
  <c r="N6354" i="1"/>
  <c r="J6354" i="1"/>
  <c r="I6354" i="1"/>
  <c r="H6354" i="1"/>
  <c r="G6354" i="1"/>
  <c r="F6354" i="1"/>
  <c r="E6354" i="1"/>
  <c r="D6354" i="1"/>
  <c r="C6354" i="1"/>
  <c r="A6354" i="1"/>
  <c r="R6353" i="1"/>
  <c r="Q6353" i="1"/>
  <c r="N6353" i="1"/>
  <c r="J6353" i="1"/>
  <c r="I6353" i="1"/>
  <c r="H6353" i="1"/>
  <c r="G6353" i="1"/>
  <c r="F6353" i="1"/>
  <c r="E6353" i="1"/>
  <c r="D6353" i="1"/>
  <c r="C6353" i="1"/>
  <c r="A6353" i="1"/>
  <c r="R6352" i="1"/>
  <c r="Q6352" i="1"/>
  <c r="N6352" i="1"/>
  <c r="J6352" i="1"/>
  <c r="I6352" i="1"/>
  <c r="H6352" i="1"/>
  <c r="G6352" i="1"/>
  <c r="F6352" i="1"/>
  <c r="E6352" i="1"/>
  <c r="D6352" i="1"/>
  <c r="C6352" i="1"/>
  <c r="A6352" i="1"/>
  <c r="R6351" i="1"/>
  <c r="Q6351" i="1"/>
  <c r="N6351" i="1"/>
  <c r="J6351" i="1"/>
  <c r="I6351" i="1"/>
  <c r="H6351" i="1"/>
  <c r="G6351" i="1"/>
  <c r="F6351" i="1"/>
  <c r="E6351" i="1"/>
  <c r="D6351" i="1"/>
  <c r="C6351" i="1"/>
  <c r="A6351" i="1"/>
  <c r="R6350" i="1"/>
  <c r="Q6350" i="1"/>
  <c r="N6350" i="1"/>
  <c r="J6350" i="1"/>
  <c r="I6350" i="1"/>
  <c r="H6350" i="1"/>
  <c r="G6350" i="1"/>
  <c r="F6350" i="1"/>
  <c r="E6350" i="1"/>
  <c r="D6350" i="1"/>
  <c r="C6350" i="1"/>
  <c r="A6350" i="1"/>
  <c r="R6349" i="1"/>
  <c r="Q6349" i="1"/>
  <c r="N6349" i="1"/>
  <c r="J6349" i="1"/>
  <c r="I6349" i="1"/>
  <c r="H6349" i="1"/>
  <c r="G6349" i="1"/>
  <c r="F6349" i="1"/>
  <c r="E6349" i="1"/>
  <c r="D6349" i="1"/>
  <c r="C6349" i="1"/>
  <c r="A6349" i="1"/>
  <c r="R6348" i="1"/>
  <c r="Q6348" i="1"/>
  <c r="N6348" i="1"/>
  <c r="J6348" i="1"/>
  <c r="I6348" i="1"/>
  <c r="H6348" i="1"/>
  <c r="G6348" i="1"/>
  <c r="F6348" i="1"/>
  <c r="E6348" i="1"/>
  <c r="D6348" i="1"/>
  <c r="C6348" i="1"/>
  <c r="A6348" i="1"/>
  <c r="R6347" i="1"/>
  <c r="Q6347" i="1"/>
  <c r="N6347" i="1"/>
  <c r="J6347" i="1"/>
  <c r="I6347" i="1"/>
  <c r="H6347" i="1"/>
  <c r="G6347" i="1"/>
  <c r="F6347" i="1"/>
  <c r="E6347" i="1"/>
  <c r="D6347" i="1"/>
  <c r="C6347" i="1"/>
  <c r="A6347" i="1"/>
  <c r="R6346" i="1"/>
  <c r="Q6346" i="1"/>
  <c r="N6346" i="1"/>
  <c r="J6346" i="1"/>
  <c r="I6346" i="1"/>
  <c r="H6346" i="1"/>
  <c r="G6346" i="1"/>
  <c r="F6346" i="1"/>
  <c r="E6346" i="1"/>
  <c r="D6346" i="1"/>
  <c r="C6346" i="1"/>
  <c r="A6346" i="1"/>
  <c r="R6345" i="1"/>
  <c r="Q6345" i="1"/>
  <c r="N6345" i="1"/>
  <c r="J6345" i="1"/>
  <c r="I6345" i="1"/>
  <c r="H6345" i="1"/>
  <c r="G6345" i="1"/>
  <c r="F6345" i="1"/>
  <c r="E6345" i="1"/>
  <c r="D6345" i="1"/>
  <c r="C6345" i="1"/>
  <c r="A6345" i="1"/>
  <c r="R6344" i="1"/>
  <c r="Q6344" i="1"/>
  <c r="N6344" i="1"/>
  <c r="J6344" i="1"/>
  <c r="I6344" i="1"/>
  <c r="H6344" i="1"/>
  <c r="G6344" i="1"/>
  <c r="F6344" i="1"/>
  <c r="E6344" i="1"/>
  <c r="D6344" i="1"/>
  <c r="C6344" i="1"/>
  <c r="A6344" i="1"/>
  <c r="R6343" i="1"/>
  <c r="Q6343" i="1"/>
  <c r="N6343" i="1"/>
  <c r="J6343" i="1"/>
  <c r="I6343" i="1"/>
  <c r="H6343" i="1"/>
  <c r="G6343" i="1"/>
  <c r="F6343" i="1"/>
  <c r="E6343" i="1"/>
  <c r="D6343" i="1"/>
  <c r="C6343" i="1"/>
  <c r="A6343" i="1"/>
  <c r="R6342" i="1"/>
  <c r="Q6342" i="1"/>
  <c r="N6342" i="1"/>
  <c r="J6342" i="1"/>
  <c r="I6342" i="1"/>
  <c r="H6342" i="1"/>
  <c r="G6342" i="1"/>
  <c r="F6342" i="1"/>
  <c r="E6342" i="1"/>
  <c r="D6342" i="1"/>
  <c r="C6342" i="1"/>
  <c r="A6342" i="1"/>
  <c r="R6341" i="1"/>
  <c r="Q6341" i="1"/>
  <c r="N6341" i="1"/>
  <c r="J6341" i="1"/>
  <c r="I6341" i="1"/>
  <c r="H6341" i="1"/>
  <c r="G6341" i="1"/>
  <c r="F6341" i="1"/>
  <c r="E6341" i="1"/>
  <c r="D6341" i="1"/>
  <c r="C6341" i="1"/>
  <c r="A6341" i="1"/>
  <c r="R6340" i="1"/>
  <c r="Q6340" i="1"/>
  <c r="N6340" i="1"/>
  <c r="J6340" i="1"/>
  <c r="I6340" i="1"/>
  <c r="H6340" i="1"/>
  <c r="G6340" i="1"/>
  <c r="F6340" i="1"/>
  <c r="E6340" i="1"/>
  <c r="D6340" i="1"/>
  <c r="C6340" i="1"/>
  <c r="A6340" i="1"/>
  <c r="R6339" i="1"/>
  <c r="Q6339" i="1"/>
  <c r="N6339" i="1"/>
  <c r="J6339" i="1"/>
  <c r="I6339" i="1"/>
  <c r="H6339" i="1"/>
  <c r="G6339" i="1"/>
  <c r="F6339" i="1"/>
  <c r="E6339" i="1"/>
  <c r="D6339" i="1"/>
  <c r="C6339" i="1"/>
  <c r="A6339" i="1"/>
  <c r="R6338" i="1"/>
  <c r="Q6338" i="1"/>
  <c r="N6338" i="1"/>
  <c r="J6338" i="1"/>
  <c r="I6338" i="1"/>
  <c r="H6338" i="1"/>
  <c r="G6338" i="1"/>
  <c r="F6338" i="1"/>
  <c r="E6338" i="1"/>
  <c r="D6338" i="1"/>
  <c r="C6338" i="1"/>
  <c r="A6338" i="1"/>
  <c r="R6337" i="1"/>
  <c r="Q6337" i="1"/>
  <c r="N6337" i="1"/>
  <c r="J6337" i="1"/>
  <c r="I6337" i="1"/>
  <c r="H6337" i="1"/>
  <c r="G6337" i="1"/>
  <c r="F6337" i="1"/>
  <c r="E6337" i="1"/>
  <c r="D6337" i="1"/>
  <c r="C6337" i="1"/>
  <c r="A6337" i="1"/>
  <c r="R6336" i="1"/>
  <c r="Q6336" i="1"/>
  <c r="N6336" i="1"/>
  <c r="J6336" i="1"/>
  <c r="I6336" i="1"/>
  <c r="H6336" i="1"/>
  <c r="G6336" i="1"/>
  <c r="F6336" i="1"/>
  <c r="E6336" i="1"/>
  <c r="D6336" i="1"/>
  <c r="C6336" i="1"/>
  <c r="A6336" i="1"/>
  <c r="R6335" i="1"/>
  <c r="Q6335" i="1"/>
  <c r="N6335" i="1"/>
  <c r="J6335" i="1"/>
  <c r="I6335" i="1"/>
  <c r="H6335" i="1"/>
  <c r="G6335" i="1"/>
  <c r="F6335" i="1"/>
  <c r="E6335" i="1"/>
  <c r="D6335" i="1"/>
  <c r="C6335" i="1"/>
  <c r="A6335" i="1"/>
  <c r="R6334" i="1"/>
  <c r="Q6334" i="1"/>
  <c r="N6334" i="1"/>
  <c r="J6334" i="1"/>
  <c r="I6334" i="1"/>
  <c r="H6334" i="1"/>
  <c r="G6334" i="1"/>
  <c r="F6334" i="1"/>
  <c r="E6334" i="1"/>
  <c r="D6334" i="1"/>
  <c r="C6334" i="1"/>
  <c r="A6334" i="1"/>
  <c r="R6333" i="1"/>
  <c r="Q6333" i="1"/>
  <c r="N6333" i="1"/>
  <c r="J6333" i="1"/>
  <c r="I6333" i="1"/>
  <c r="H6333" i="1"/>
  <c r="G6333" i="1"/>
  <c r="F6333" i="1"/>
  <c r="E6333" i="1"/>
  <c r="D6333" i="1"/>
  <c r="C6333" i="1"/>
  <c r="A6333" i="1"/>
  <c r="R6332" i="1"/>
  <c r="Q6332" i="1"/>
  <c r="N6332" i="1"/>
  <c r="J6332" i="1"/>
  <c r="I6332" i="1"/>
  <c r="H6332" i="1"/>
  <c r="G6332" i="1"/>
  <c r="F6332" i="1"/>
  <c r="E6332" i="1"/>
  <c r="D6332" i="1"/>
  <c r="C6332" i="1"/>
  <c r="A6332" i="1"/>
  <c r="R6331" i="1"/>
  <c r="Q6331" i="1"/>
  <c r="N6331" i="1"/>
  <c r="J6331" i="1"/>
  <c r="I6331" i="1"/>
  <c r="H6331" i="1"/>
  <c r="G6331" i="1"/>
  <c r="F6331" i="1"/>
  <c r="E6331" i="1"/>
  <c r="D6331" i="1"/>
  <c r="C6331" i="1"/>
  <c r="A6331" i="1"/>
  <c r="R6330" i="1"/>
  <c r="Q6330" i="1"/>
  <c r="N6330" i="1"/>
  <c r="J6330" i="1"/>
  <c r="I6330" i="1"/>
  <c r="H6330" i="1"/>
  <c r="G6330" i="1"/>
  <c r="F6330" i="1"/>
  <c r="E6330" i="1"/>
  <c r="D6330" i="1"/>
  <c r="C6330" i="1"/>
  <c r="A6330" i="1"/>
  <c r="R6329" i="1"/>
  <c r="Q6329" i="1"/>
  <c r="N6329" i="1"/>
  <c r="J6329" i="1"/>
  <c r="I6329" i="1"/>
  <c r="H6329" i="1"/>
  <c r="G6329" i="1"/>
  <c r="F6329" i="1"/>
  <c r="E6329" i="1"/>
  <c r="D6329" i="1"/>
  <c r="C6329" i="1"/>
  <c r="A6329" i="1"/>
  <c r="R6328" i="1"/>
  <c r="Q6328" i="1"/>
  <c r="N6328" i="1"/>
  <c r="J6328" i="1"/>
  <c r="I6328" i="1"/>
  <c r="H6328" i="1"/>
  <c r="G6328" i="1"/>
  <c r="F6328" i="1"/>
  <c r="E6328" i="1"/>
  <c r="D6328" i="1"/>
  <c r="C6328" i="1"/>
  <c r="A6328" i="1"/>
  <c r="R6327" i="1"/>
  <c r="Q6327" i="1"/>
  <c r="N6327" i="1"/>
  <c r="J6327" i="1"/>
  <c r="I6327" i="1"/>
  <c r="H6327" i="1"/>
  <c r="G6327" i="1"/>
  <c r="F6327" i="1"/>
  <c r="E6327" i="1"/>
  <c r="D6327" i="1"/>
  <c r="C6327" i="1"/>
  <c r="A6327" i="1"/>
  <c r="R6326" i="1"/>
  <c r="Q6326" i="1"/>
  <c r="N6326" i="1"/>
  <c r="J6326" i="1"/>
  <c r="I6326" i="1"/>
  <c r="H6326" i="1"/>
  <c r="G6326" i="1"/>
  <c r="F6326" i="1"/>
  <c r="E6326" i="1"/>
  <c r="D6326" i="1"/>
  <c r="C6326" i="1"/>
  <c r="A6326" i="1"/>
  <c r="R6325" i="1"/>
  <c r="Q6325" i="1"/>
  <c r="N6325" i="1"/>
  <c r="J6325" i="1"/>
  <c r="I6325" i="1"/>
  <c r="H6325" i="1"/>
  <c r="G6325" i="1"/>
  <c r="F6325" i="1"/>
  <c r="E6325" i="1"/>
  <c r="D6325" i="1"/>
  <c r="C6325" i="1"/>
  <c r="A6325" i="1"/>
  <c r="R6324" i="1"/>
  <c r="Q6324" i="1"/>
  <c r="N6324" i="1"/>
  <c r="J6324" i="1"/>
  <c r="I6324" i="1"/>
  <c r="H6324" i="1"/>
  <c r="G6324" i="1"/>
  <c r="F6324" i="1"/>
  <c r="E6324" i="1"/>
  <c r="D6324" i="1"/>
  <c r="C6324" i="1"/>
  <c r="A6324" i="1"/>
  <c r="R6323" i="1"/>
  <c r="Q6323" i="1"/>
  <c r="N6323" i="1"/>
  <c r="J6323" i="1"/>
  <c r="I6323" i="1"/>
  <c r="H6323" i="1"/>
  <c r="G6323" i="1"/>
  <c r="F6323" i="1"/>
  <c r="E6323" i="1"/>
  <c r="D6323" i="1"/>
  <c r="C6323" i="1"/>
  <c r="A6323" i="1"/>
  <c r="R6322" i="1"/>
  <c r="Q6322" i="1"/>
  <c r="N6322" i="1"/>
  <c r="J6322" i="1"/>
  <c r="I6322" i="1"/>
  <c r="H6322" i="1"/>
  <c r="G6322" i="1"/>
  <c r="F6322" i="1"/>
  <c r="E6322" i="1"/>
  <c r="D6322" i="1"/>
  <c r="C6322" i="1"/>
  <c r="A6322" i="1"/>
  <c r="R6321" i="1"/>
  <c r="Q6321" i="1"/>
  <c r="N6321" i="1"/>
  <c r="J6321" i="1"/>
  <c r="I6321" i="1"/>
  <c r="H6321" i="1"/>
  <c r="G6321" i="1"/>
  <c r="F6321" i="1"/>
  <c r="E6321" i="1"/>
  <c r="D6321" i="1"/>
  <c r="C6321" i="1"/>
  <c r="A6321" i="1"/>
  <c r="R6320" i="1"/>
  <c r="Q6320" i="1"/>
  <c r="N6320" i="1"/>
  <c r="J6320" i="1"/>
  <c r="I6320" i="1"/>
  <c r="H6320" i="1"/>
  <c r="G6320" i="1"/>
  <c r="F6320" i="1"/>
  <c r="E6320" i="1"/>
  <c r="D6320" i="1"/>
  <c r="C6320" i="1"/>
  <c r="A6320" i="1"/>
  <c r="R6319" i="1"/>
  <c r="Q6319" i="1"/>
  <c r="N6319" i="1"/>
  <c r="J6319" i="1"/>
  <c r="I6319" i="1"/>
  <c r="H6319" i="1"/>
  <c r="G6319" i="1"/>
  <c r="F6319" i="1"/>
  <c r="E6319" i="1"/>
  <c r="D6319" i="1"/>
  <c r="C6319" i="1"/>
  <c r="A6319" i="1"/>
  <c r="R6318" i="1"/>
  <c r="Q6318" i="1"/>
  <c r="N6318" i="1"/>
  <c r="J6318" i="1"/>
  <c r="I6318" i="1"/>
  <c r="H6318" i="1"/>
  <c r="G6318" i="1"/>
  <c r="F6318" i="1"/>
  <c r="E6318" i="1"/>
  <c r="D6318" i="1"/>
  <c r="C6318" i="1"/>
  <c r="A6318" i="1"/>
  <c r="R6317" i="1"/>
  <c r="Q6317" i="1"/>
  <c r="N6317" i="1"/>
  <c r="J6317" i="1"/>
  <c r="I6317" i="1"/>
  <c r="H6317" i="1"/>
  <c r="G6317" i="1"/>
  <c r="F6317" i="1"/>
  <c r="E6317" i="1"/>
  <c r="D6317" i="1"/>
  <c r="C6317" i="1"/>
  <c r="A6317" i="1"/>
  <c r="R6316" i="1"/>
  <c r="Q6316" i="1"/>
  <c r="N6316" i="1"/>
  <c r="J6316" i="1"/>
  <c r="I6316" i="1"/>
  <c r="H6316" i="1"/>
  <c r="G6316" i="1"/>
  <c r="F6316" i="1"/>
  <c r="E6316" i="1"/>
  <c r="D6316" i="1"/>
  <c r="C6316" i="1"/>
  <c r="A6316" i="1"/>
  <c r="R6315" i="1"/>
  <c r="Q6315" i="1"/>
  <c r="N6315" i="1"/>
  <c r="J6315" i="1"/>
  <c r="I6315" i="1"/>
  <c r="H6315" i="1"/>
  <c r="G6315" i="1"/>
  <c r="F6315" i="1"/>
  <c r="E6315" i="1"/>
  <c r="D6315" i="1"/>
  <c r="C6315" i="1"/>
  <c r="A6315" i="1"/>
  <c r="R6314" i="1"/>
  <c r="Q6314" i="1"/>
  <c r="N6314" i="1"/>
  <c r="J6314" i="1"/>
  <c r="I6314" i="1"/>
  <c r="H6314" i="1"/>
  <c r="G6314" i="1"/>
  <c r="F6314" i="1"/>
  <c r="E6314" i="1"/>
  <c r="D6314" i="1"/>
  <c r="C6314" i="1"/>
  <c r="A6314" i="1"/>
  <c r="R6313" i="1"/>
  <c r="Q6313" i="1"/>
  <c r="N6313" i="1"/>
  <c r="J6313" i="1"/>
  <c r="I6313" i="1"/>
  <c r="H6313" i="1"/>
  <c r="G6313" i="1"/>
  <c r="F6313" i="1"/>
  <c r="E6313" i="1"/>
  <c r="D6313" i="1"/>
  <c r="C6313" i="1"/>
  <c r="A6313" i="1"/>
  <c r="R6312" i="1"/>
  <c r="Q6312" i="1"/>
  <c r="N6312" i="1"/>
  <c r="J6312" i="1"/>
  <c r="I6312" i="1"/>
  <c r="H6312" i="1"/>
  <c r="G6312" i="1"/>
  <c r="F6312" i="1"/>
  <c r="E6312" i="1"/>
  <c r="D6312" i="1"/>
  <c r="C6312" i="1"/>
  <c r="A6312" i="1"/>
  <c r="R6311" i="1"/>
  <c r="N6311" i="1"/>
  <c r="J6311" i="1"/>
  <c r="I6311" i="1"/>
  <c r="H6311" i="1"/>
  <c r="G6311" i="1"/>
  <c r="F6311" i="1"/>
  <c r="E6311" i="1"/>
  <c r="D6311" i="1"/>
  <c r="C6311" i="1"/>
  <c r="B6311" i="1"/>
  <c r="A6311" i="1"/>
  <c r="R6310" i="1"/>
  <c r="Q6310" i="1"/>
  <c r="N6310" i="1"/>
  <c r="J6310" i="1"/>
  <c r="I6310" i="1"/>
  <c r="H6310" i="1"/>
  <c r="G6310" i="1"/>
  <c r="F6310" i="1"/>
  <c r="E6310" i="1"/>
  <c r="D6310" i="1"/>
  <c r="C6310" i="1"/>
  <c r="B6310" i="1"/>
  <c r="A6310" i="1"/>
  <c r="R6309" i="1"/>
  <c r="N6309" i="1"/>
  <c r="J6309" i="1"/>
  <c r="I6309" i="1"/>
  <c r="H6309" i="1"/>
  <c r="G6309" i="1"/>
  <c r="F6309" i="1"/>
  <c r="E6309" i="1"/>
  <c r="D6309" i="1"/>
  <c r="C6309" i="1"/>
  <c r="B6309" i="1"/>
  <c r="A6309" i="1"/>
  <c r="R6308" i="1"/>
  <c r="Q6308" i="1"/>
  <c r="N6308" i="1"/>
  <c r="J6308" i="1"/>
  <c r="I6308" i="1"/>
  <c r="H6308" i="1"/>
  <c r="G6308" i="1"/>
  <c r="F6308" i="1"/>
  <c r="E6308" i="1"/>
  <c r="D6308" i="1"/>
  <c r="C6308" i="1"/>
  <c r="B6308" i="1"/>
  <c r="A6308" i="1"/>
  <c r="R6307" i="1"/>
  <c r="N6307" i="1"/>
  <c r="J6307" i="1"/>
  <c r="I6307" i="1"/>
  <c r="H6307" i="1"/>
  <c r="G6307" i="1"/>
  <c r="F6307" i="1"/>
  <c r="E6307" i="1"/>
  <c r="D6307" i="1"/>
  <c r="C6307" i="1"/>
  <c r="B6307" i="1"/>
  <c r="A6307" i="1"/>
  <c r="R6306" i="1"/>
  <c r="Q6306" i="1"/>
  <c r="N6306" i="1"/>
  <c r="J6306" i="1"/>
  <c r="I6306" i="1"/>
  <c r="H6306" i="1"/>
  <c r="G6306" i="1"/>
  <c r="F6306" i="1"/>
  <c r="E6306" i="1"/>
  <c r="D6306" i="1"/>
  <c r="C6306" i="1"/>
  <c r="A6306" i="1"/>
  <c r="R6305" i="1"/>
  <c r="N6305" i="1"/>
  <c r="J6305" i="1"/>
  <c r="I6305" i="1"/>
  <c r="H6305" i="1"/>
  <c r="G6305" i="1"/>
  <c r="F6305" i="1"/>
  <c r="E6305" i="1"/>
  <c r="D6305" i="1"/>
  <c r="C6305" i="1"/>
  <c r="A6305" i="1"/>
  <c r="R6304" i="1"/>
  <c r="Q6304" i="1"/>
  <c r="N6304" i="1"/>
  <c r="J6304" i="1"/>
  <c r="I6304" i="1"/>
  <c r="H6304" i="1"/>
  <c r="G6304" i="1"/>
  <c r="F6304" i="1"/>
  <c r="E6304" i="1"/>
  <c r="D6304" i="1"/>
  <c r="C6304" i="1"/>
  <c r="A6304" i="1"/>
  <c r="R6303" i="1"/>
  <c r="N6303" i="1"/>
  <c r="J6303" i="1"/>
  <c r="I6303" i="1"/>
  <c r="H6303" i="1"/>
  <c r="G6303" i="1"/>
  <c r="F6303" i="1"/>
  <c r="E6303" i="1"/>
  <c r="D6303" i="1"/>
  <c r="C6303" i="1"/>
  <c r="A6303" i="1"/>
  <c r="R6302" i="1"/>
  <c r="Q6302" i="1"/>
  <c r="N6302" i="1"/>
  <c r="J6302" i="1"/>
  <c r="I6302" i="1"/>
  <c r="H6302" i="1"/>
  <c r="G6302" i="1"/>
  <c r="F6302" i="1"/>
  <c r="E6302" i="1"/>
  <c r="D6302" i="1"/>
  <c r="C6302" i="1"/>
  <c r="A6302" i="1"/>
  <c r="R6301" i="1"/>
  <c r="N6301" i="1"/>
  <c r="J6301" i="1"/>
  <c r="I6301" i="1"/>
  <c r="H6301" i="1"/>
  <c r="G6301" i="1"/>
  <c r="F6301" i="1"/>
  <c r="E6301" i="1"/>
  <c r="D6301" i="1"/>
  <c r="C6301" i="1"/>
  <c r="A6301" i="1"/>
  <c r="R6300" i="1"/>
  <c r="Q6300" i="1"/>
  <c r="N6300" i="1"/>
  <c r="J6300" i="1"/>
  <c r="I6300" i="1"/>
  <c r="H6300" i="1"/>
  <c r="G6300" i="1"/>
  <c r="F6300" i="1"/>
  <c r="E6300" i="1"/>
  <c r="D6300" i="1"/>
  <c r="C6300" i="1"/>
  <c r="A6300" i="1"/>
  <c r="R6299" i="1"/>
  <c r="N6299" i="1"/>
  <c r="J6299" i="1"/>
  <c r="I6299" i="1"/>
  <c r="H6299" i="1"/>
  <c r="G6299" i="1"/>
  <c r="F6299" i="1"/>
  <c r="E6299" i="1"/>
  <c r="D6299" i="1"/>
  <c r="C6299" i="1"/>
  <c r="A6299" i="1"/>
  <c r="R6298" i="1"/>
  <c r="Q6298" i="1"/>
  <c r="N6298" i="1"/>
  <c r="J6298" i="1"/>
  <c r="I6298" i="1"/>
  <c r="H6298" i="1"/>
  <c r="G6298" i="1"/>
  <c r="F6298" i="1"/>
  <c r="E6298" i="1"/>
  <c r="D6298" i="1"/>
  <c r="C6298" i="1"/>
  <c r="A6298" i="1"/>
  <c r="R6297" i="1"/>
  <c r="N6297" i="1"/>
  <c r="J6297" i="1"/>
  <c r="I6297" i="1"/>
  <c r="H6297" i="1"/>
  <c r="G6297" i="1"/>
  <c r="F6297" i="1"/>
  <c r="E6297" i="1"/>
  <c r="D6297" i="1"/>
  <c r="C6297" i="1"/>
  <c r="A6297" i="1"/>
  <c r="R6296" i="1"/>
  <c r="Q6296" i="1"/>
  <c r="N6296" i="1"/>
  <c r="J6296" i="1"/>
  <c r="I6296" i="1"/>
  <c r="H6296" i="1"/>
  <c r="G6296" i="1"/>
  <c r="F6296" i="1"/>
  <c r="E6296" i="1"/>
  <c r="D6296" i="1"/>
  <c r="C6296" i="1"/>
  <c r="A6296" i="1"/>
  <c r="R6295" i="1"/>
  <c r="N6295" i="1"/>
  <c r="J6295" i="1"/>
  <c r="I6295" i="1"/>
  <c r="H6295" i="1"/>
  <c r="G6295" i="1"/>
  <c r="F6295" i="1"/>
  <c r="E6295" i="1"/>
  <c r="D6295" i="1"/>
  <c r="C6295" i="1"/>
  <c r="A6295" i="1"/>
  <c r="R6294" i="1"/>
  <c r="Q6294" i="1"/>
  <c r="N6294" i="1"/>
  <c r="J6294" i="1"/>
  <c r="I6294" i="1"/>
  <c r="H6294" i="1"/>
  <c r="G6294" i="1"/>
  <c r="F6294" i="1"/>
  <c r="E6294" i="1"/>
  <c r="D6294" i="1"/>
  <c r="C6294" i="1"/>
  <c r="A6294" i="1"/>
  <c r="R6293" i="1"/>
  <c r="N6293" i="1"/>
  <c r="J6293" i="1"/>
  <c r="I6293" i="1"/>
  <c r="H6293" i="1"/>
  <c r="G6293" i="1"/>
  <c r="F6293" i="1"/>
  <c r="E6293" i="1"/>
  <c r="D6293" i="1"/>
  <c r="C6293" i="1"/>
  <c r="A6293" i="1"/>
  <c r="R6292" i="1"/>
  <c r="Q6292" i="1"/>
  <c r="N6292" i="1"/>
  <c r="J6292" i="1"/>
  <c r="I6292" i="1"/>
  <c r="H6292" i="1"/>
  <c r="G6292" i="1"/>
  <c r="F6292" i="1"/>
  <c r="E6292" i="1"/>
  <c r="D6292" i="1"/>
  <c r="C6292" i="1"/>
  <c r="A6292" i="1"/>
  <c r="R6291" i="1"/>
  <c r="N6291" i="1"/>
  <c r="J6291" i="1"/>
  <c r="I6291" i="1"/>
  <c r="H6291" i="1"/>
  <c r="G6291" i="1"/>
  <c r="F6291" i="1"/>
  <c r="E6291" i="1"/>
  <c r="D6291" i="1"/>
  <c r="C6291" i="1"/>
  <c r="A6291" i="1"/>
  <c r="R6290" i="1"/>
  <c r="Q6290" i="1"/>
  <c r="N6290" i="1"/>
  <c r="J6290" i="1"/>
  <c r="I6290" i="1"/>
  <c r="H6290" i="1"/>
  <c r="G6290" i="1"/>
  <c r="F6290" i="1"/>
  <c r="E6290" i="1"/>
  <c r="D6290" i="1"/>
  <c r="C6290" i="1"/>
  <c r="A6290" i="1"/>
  <c r="R6289" i="1"/>
  <c r="N6289" i="1"/>
  <c r="J6289" i="1"/>
  <c r="I6289" i="1"/>
  <c r="H6289" i="1"/>
  <c r="G6289" i="1"/>
  <c r="F6289" i="1"/>
  <c r="E6289" i="1"/>
  <c r="D6289" i="1"/>
  <c r="C6289" i="1"/>
  <c r="A6289" i="1"/>
  <c r="R6288" i="1"/>
  <c r="Q6288" i="1"/>
  <c r="N6288" i="1"/>
  <c r="J6288" i="1"/>
  <c r="I6288" i="1"/>
  <c r="H6288" i="1"/>
  <c r="G6288" i="1"/>
  <c r="F6288" i="1"/>
  <c r="E6288" i="1"/>
  <c r="D6288" i="1"/>
  <c r="C6288" i="1"/>
  <c r="A6288" i="1"/>
  <c r="R6287" i="1"/>
  <c r="N6287" i="1"/>
  <c r="J6287" i="1"/>
  <c r="I6287" i="1"/>
  <c r="H6287" i="1"/>
  <c r="G6287" i="1"/>
  <c r="F6287" i="1"/>
  <c r="E6287" i="1"/>
  <c r="D6287" i="1"/>
  <c r="C6287" i="1"/>
  <c r="A6287" i="1"/>
  <c r="R6286" i="1"/>
  <c r="Q6286" i="1"/>
  <c r="N6286" i="1"/>
  <c r="J6286" i="1"/>
  <c r="I6286" i="1"/>
  <c r="H6286" i="1"/>
  <c r="G6286" i="1"/>
  <c r="F6286" i="1"/>
  <c r="E6286" i="1"/>
  <c r="D6286" i="1"/>
  <c r="C6286" i="1"/>
  <c r="A6286" i="1"/>
  <c r="R6285" i="1"/>
  <c r="N6285" i="1"/>
  <c r="J6285" i="1"/>
  <c r="I6285" i="1"/>
  <c r="H6285" i="1"/>
  <c r="G6285" i="1"/>
  <c r="F6285" i="1"/>
  <c r="E6285" i="1"/>
  <c r="D6285" i="1"/>
  <c r="C6285" i="1"/>
  <c r="A6285" i="1"/>
  <c r="R6284" i="1"/>
  <c r="Q6284" i="1"/>
  <c r="N6284" i="1"/>
  <c r="J6284" i="1"/>
  <c r="I6284" i="1"/>
  <c r="H6284" i="1"/>
  <c r="G6284" i="1"/>
  <c r="F6284" i="1"/>
  <c r="E6284" i="1"/>
  <c r="D6284" i="1"/>
  <c r="C6284" i="1"/>
  <c r="A6284" i="1"/>
  <c r="R6283" i="1"/>
  <c r="N6283" i="1"/>
  <c r="J6283" i="1"/>
  <c r="I6283" i="1"/>
  <c r="H6283" i="1"/>
  <c r="G6283" i="1"/>
  <c r="F6283" i="1"/>
  <c r="E6283" i="1"/>
  <c r="D6283" i="1"/>
  <c r="C6283" i="1"/>
  <c r="A6283" i="1"/>
  <c r="R6282" i="1"/>
  <c r="Q6282" i="1"/>
  <c r="N6282" i="1"/>
  <c r="J6282" i="1"/>
  <c r="I6282" i="1"/>
  <c r="H6282" i="1"/>
  <c r="G6282" i="1"/>
  <c r="F6282" i="1"/>
  <c r="E6282" i="1"/>
  <c r="D6282" i="1"/>
  <c r="C6282" i="1"/>
  <c r="A6282" i="1"/>
  <c r="R6281" i="1"/>
  <c r="N6281" i="1"/>
  <c r="J6281" i="1"/>
  <c r="I6281" i="1"/>
  <c r="H6281" i="1"/>
  <c r="G6281" i="1"/>
  <c r="F6281" i="1"/>
  <c r="E6281" i="1"/>
  <c r="D6281" i="1"/>
  <c r="C6281" i="1"/>
  <c r="A6281" i="1"/>
  <c r="R6280" i="1"/>
  <c r="Q6280" i="1"/>
  <c r="N6280" i="1"/>
  <c r="J6280" i="1"/>
  <c r="I6280" i="1"/>
  <c r="H6280" i="1"/>
  <c r="G6280" i="1"/>
  <c r="F6280" i="1"/>
  <c r="E6280" i="1"/>
  <c r="D6280" i="1"/>
  <c r="C6280" i="1"/>
  <c r="A6280" i="1"/>
  <c r="R6279" i="1"/>
  <c r="Q6279" i="1"/>
  <c r="N6279" i="1"/>
  <c r="J6279" i="1"/>
  <c r="I6279" i="1"/>
  <c r="H6279" i="1"/>
  <c r="G6279" i="1"/>
  <c r="F6279" i="1"/>
  <c r="E6279" i="1"/>
  <c r="D6279" i="1"/>
  <c r="C6279" i="1"/>
  <c r="A6279" i="1"/>
  <c r="R6278" i="1"/>
  <c r="N6278" i="1"/>
  <c r="J6278" i="1"/>
  <c r="I6278" i="1"/>
  <c r="H6278" i="1"/>
  <c r="G6278" i="1"/>
  <c r="F6278" i="1"/>
  <c r="E6278" i="1"/>
  <c r="D6278" i="1"/>
  <c r="C6278" i="1"/>
  <c r="A6278" i="1"/>
  <c r="R6277" i="1"/>
  <c r="Q6277" i="1"/>
  <c r="N6277" i="1"/>
  <c r="J6277" i="1"/>
  <c r="I6277" i="1"/>
  <c r="H6277" i="1"/>
  <c r="G6277" i="1"/>
  <c r="F6277" i="1"/>
  <c r="E6277" i="1"/>
  <c r="D6277" i="1"/>
  <c r="C6277" i="1"/>
  <c r="A6277" i="1"/>
  <c r="R6276" i="1"/>
  <c r="Q6276" i="1"/>
  <c r="N6276" i="1"/>
  <c r="J6276" i="1"/>
  <c r="I6276" i="1"/>
  <c r="H6276" i="1"/>
  <c r="G6276" i="1"/>
  <c r="F6276" i="1"/>
  <c r="E6276" i="1"/>
  <c r="D6276" i="1"/>
  <c r="C6276" i="1"/>
  <c r="A6276" i="1"/>
  <c r="R6275" i="1"/>
  <c r="N6275" i="1"/>
  <c r="J6275" i="1"/>
  <c r="I6275" i="1"/>
  <c r="H6275" i="1"/>
  <c r="G6275" i="1"/>
  <c r="F6275" i="1"/>
  <c r="E6275" i="1"/>
  <c r="D6275" i="1"/>
  <c r="C6275" i="1"/>
  <c r="B6275" i="1"/>
  <c r="A6275" i="1"/>
  <c r="R6274" i="1"/>
  <c r="Q6274" i="1"/>
  <c r="N6274" i="1"/>
  <c r="J6274" i="1"/>
  <c r="I6274" i="1"/>
  <c r="H6274" i="1"/>
  <c r="G6274" i="1"/>
  <c r="F6274" i="1"/>
  <c r="E6274" i="1"/>
  <c r="D6274" i="1"/>
  <c r="C6274" i="1"/>
  <c r="B6274" i="1"/>
  <c r="A6274" i="1"/>
  <c r="R6273" i="1"/>
  <c r="N6273" i="1"/>
  <c r="J6273" i="1"/>
  <c r="I6273" i="1"/>
  <c r="H6273" i="1"/>
  <c r="G6273" i="1"/>
  <c r="F6273" i="1"/>
  <c r="E6273" i="1"/>
  <c r="D6273" i="1"/>
  <c r="C6273" i="1"/>
  <c r="B6273" i="1"/>
  <c r="A6273" i="1"/>
  <c r="R6272" i="1"/>
  <c r="Q6272" i="1"/>
  <c r="N6272" i="1"/>
  <c r="J6272" i="1"/>
  <c r="I6272" i="1"/>
  <c r="H6272" i="1"/>
  <c r="G6272" i="1"/>
  <c r="F6272" i="1"/>
  <c r="E6272" i="1"/>
  <c r="D6272" i="1"/>
  <c r="C6272" i="1"/>
  <c r="B6272" i="1"/>
  <c r="A6272" i="1"/>
  <c r="R6271" i="1"/>
  <c r="N6271" i="1"/>
  <c r="J6271" i="1"/>
  <c r="I6271" i="1"/>
  <c r="H6271" i="1"/>
  <c r="G6271" i="1"/>
  <c r="F6271" i="1"/>
  <c r="E6271" i="1"/>
  <c r="D6271" i="1"/>
  <c r="C6271" i="1"/>
  <c r="B6271" i="1"/>
  <c r="A6271" i="1"/>
  <c r="R6270" i="1"/>
  <c r="Q6270" i="1"/>
  <c r="N6270" i="1"/>
  <c r="J6270" i="1"/>
  <c r="I6270" i="1"/>
  <c r="H6270" i="1"/>
  <c r="G6270" i="1"/>
  <c r="F6270" i="1"/>
  <c r="E6270" i="1"/>
  <c r="D6270" i="1"/>
  <c r="C6270" i="1"/>
  <c r="A6270" i="1"/>
  <c r="R6269" i="1"/>
  <c r="Q6269" i="1"/>
  <c r="N6269" i="1"/>
  <c r="J6269" i="1"/>
  <c r="I6269" i="1"/>
  <c r="H6269" i="1"/>
  <c r="G6269" i="1"/>
  <c r="F6269" i="1"/>
  <c r="E6269" i="1"/>
  <c r="D6269" i="1"/>
  <c r="C6269" i="1"/>
  <c r="A6269" i="1"/>
  <c r="R6268" i="1"/>
  <c r="N6268" i="1"/>
  <c r="J6268" i="1"/>
  <c r="I6268" i="1"/>
  <c r="H6268" i="1"/>
  <c r="G6268" i="1"/>
  <c r="F6268" i="1"/>
  <c r="E6268" i="1"/>
  <c r="D6268" i="1"/>
  <c r="C6268" i="1"/>
  <c r="A6268" i="1"/>
  <c r="R6267" i="1"/>
  <c r="Q6267" i="1"/>
  <c r="N6267" i="1"/>
  <c r="J6267" i="1"/>
  <c r="I6267" i="1"/>
  <c r="H6267" i="1"/>
  <c r="G6267" i="1"/>
  <c r="F6267" i="1"/>
  <c r="E6267" i="1"/>
  <c r="D6267" i="1"/>
  <c r="C6267" i="1"/>
  <c r="A6267" i="1"/>
  <c r="R6266" i="1"/>
  <c r="N6266" i="1"/>
  <c r="J6266" i="1"/>
  <c r="I6266" i="1"/>
  <c r="H6266" i="1"/>
  <c r="G6266" i="1"/>
  <c r="F6266" i="1"/>
  <c r="E6266" i="1"/>
  <c r="D6266" i="1"/>
  <c r="C6266" i="1"/>
  <c r="A6266" i="1"/>
  <c r="R6265" i="1"/>
  <c r="Q6265" i="1"/>
  <c r="N6265" i="1"/>
  <c r="J6265" i="1"/>
  <c r="I6265" i="1"/>
  <c r="H6265" i="1"/>
  <c r="G6265" i="1"/>
  <c r="F6265" i="1"/>
  <c r="E6265" i="1"/>
  <c r="D6265" i="1"/>
  <c r="C6265" i="1"/>
  <c r="A6265" i="1"/>
  <c r="R6264" i="1"/>
  <c r="N6264" i="1"/>
  <c r="J6264" i="1"/>
  <c r="I6264" i="1"/>
  <c r="H6264" i="1"/>
  <c r="G6264" i="1"/>
  <c r="F6264" i="1"/>
  <c r="E6264" i="1"/>
  <c r="D6264" i="1"/>
  <c r="C6264" i="1"/>
  <c r="A6264" i="1"/>
  <c r="R6263" i="1"/>
  <c r="Q6263" i="1"/>
  <c r="N6263" i="1"/>
  <c r="J6263" i="1"/>
  <c r="I6263" i="1"/>
  <c r="H6263" i="1"/>
  <c r="G6263" i="1"/>
  <c r="F6263" i="1"/>
  <c r="E6263" i="1"/>
  <c r="D6263" i="1"/>
  <c r="C6263" i="1"/>
  <c r="A6263" i="1"/>
  <c r="R6262" i="1"/>
  <c r="N6262" i="1"/>
  <c r="J6262" i="1"/>
  <c r="I6262" i="1"/>
  <c r="H6262" i="1"/>
  <c r="G6262" i="1"/>
  <c r="F6262" i="1"/>
  <c r="E6262" i="1"/>
  <c r="D6262" i="1"/>
  <c r="C6262" i="1"/>
  <c r="A6262" i="1"/>
  <c r="R6261" i="1"/>
  <c r="Q6261" i="1"/>
  <c r="N6261" i="1"/>
  <c r="J6261" i="1"/>
  <c r="I6261" i="1"/>
  <c r="H6261" i="1"/>
  <c r="G6261" i="1"/>
  <c r="F6261" i="1"/>
  <c r="E6261" i="1"/>
  <c r="D6261" i="1"/>
  <c r="C6261" i="1"/>
  <c r="A6261" i="1"/>
  <c r="R6260" i="1"/>
  <c r="N6260" i="1"/>
  <c r="J6260" i="1"/>
  <c r="I6260" i="1"/>
  <c r="H6260" i="1"/>
  <c r="G6260" i="1"/>
  <c r="F6260" i="1"/>
  <c r="E6260" i="1"/>
  <c r="D6260" i="1"/>
  <c r="C6260" i="1"/>
  <c r="A6260" i="1"/>
  <c r="R6259" i="1"/>
  <c r="Q6259" i="1"/>
  <c r="N6259" i="1"/>
  <c r="J6259" i="1"/>
  <c r="I6259" i="1"/>
  <c r="H6259" i="1"/>
  <c r="G6259" i="1"/>
  <c r="F6259" i="1"/>
  <c r="E6259" i="1"/>
  <c r="D6259" i="1"/>
  <c r="C6259" i="1"/>
  <c r="A6259" i="1"/>
  <c r="R6258" i="1"/>
  <c r="N6258" i="1"/>
  <c r="J6258" i="1"/>
  <c r="I6258" i="1"/>
  <c r="H6258" i="1"/>
  <c r="G6258" i="1"/>
  <c r="F6258" i="1"/>
  <c r="E6258" i="1"/>
  <c r="D6258" i="1"/>
  <c r="C6258" i="1"/>
  <c r="A6258" i="1"/>
  <c r="R6257" i="1"/>
  <c r="Q6257" i="1"/>
  <c r="N6257" i="1"/>
  <c r="J6257" i="1"/>
  <c r="I6257" i="1"/>
  <c r="H6257" i="1"/>
  <c r="G6257" i="1"/>
  <c r="F6257" i="1"/>
  <c r="E6257" i="1"/>
  <c r="D6257" i="1"/>
  <c r="C6257" i="1"/>
  <c r="A6257" i="1"/>
  <c r="R6256" i="1"/>
  <c r="Q6256" i="1"/>
  <c r="N6256" i="1"/>
  <c r="J6256" i="1"/>
  <c r="I6256" i="1"/>
  <c r="H6256" i="1"/>
  <c r="G6256" i="1"/>
  <c r="F6256" i="1"/>
  <c r="E6256" i="1"/>
  <c r="D6256" i="1"/>
  <c r="C6256" i="1"/>
  <c r="A6256" i="1"/>
  <c r="R6255" i="1"/>
  <c r="Q6255" i="1"/>
  <c r="N6255" i="1"/>
  <c r="J6255" i="1"/>
  <c r="I6255" i="1"/>
  <c r="H6255" i="1"/>
  <c r="G6255" i="1"/>
  <c r="F6255" i="1"/>
  <c r="E6255" i="1"/>
  <c r="D6255" i="1"/>
  <c r="C6255" i="1"/>
  <c r="A6255" i="1"/>
  <c r="R6254" i="1"/>
  <c r="Q6254" i="1"/>
  <c r="N6254" i="1"/>
  <c r="J6254" i="1"/>
  <c r="I6254" i="1"/>
  <c r="H6254" i="1"/>
  <c r="G6254" i="1"/>
  <c r="F6254" i="1"/>
  <c r="E6254" i="1"/>
  <c r="D6254" i="1"/>
  <c r="C6254" i="1"/>
  <c r="A6254" i="1"/>
  <c r="R6253" i="1"/>
  <c r="N6253" i="1"/>
  <c r="J6253" i="1"/>
  <c r="I6253" i="1"/>
  <c r="H6253" i="1"/>
  <c r="G6253" i="1"/>
  <c r="F6253" i="1"/>
  <c r="E6253" i="1"/>
  <c r="D6253" i="1"/>
  <c r="C6253" i="1"/>
  <c r="A6253" i="1"/>
  <c r="R6252" i="1"/>
  <c r="Q6252" i="1"/>
  <c r="N6252" i="1"/>
  <c r="J6252" i="1"/>
  <c r="I6252" i="1"/>
  <c r="H6252" i="1"/>
  <c r="G6252" i="1"/>
  <c r="F6252" i="1"/>
  <c r="E6252" i="1"/>
  <c r="D6252" i="1"/>
  <c r="C6252" i="1"/>
  <c r="A6252" i="1"/>
  <c r="R6251" i="1"/>
  <c r="Q6251" i="1"/>
  <c r="N6251" i="1"/>
  <c r="J6251" i="1"/>
  <c r="I6251" i="1"/>
  <c r="H6251" i="1"/>
  <c r="G6251" i="1"/>
  <c r="F6251" i="1"/>
  <c r="E6251" i="1"/>
  <c r="D6251" i="1"/>
  <c r="C6251" i="1"/>
  <c r="A6251" i="1"/>
  <c r="R6250" i="1"/>
  <c r="Q6250" i="1"/>
  <c r="N6250" i="1"/>
  <c r="J6250" i="1"/>
  <c r="I6250" i="1"/>
  <c r="H6250" i="1"/>
  <c r="G6250" i="1"/>
  <c r="F6250" i="1"/>
  <c r="E6250" i="1"/>
  <c r="D6250" i="1"/>
  <c r="C6250" i="1"/>
  <c r="A6250" i="1"/>
  <c r="R6249" i="1"/>
  <c r="Q6249" i="1"/>
  <c r="N6249" i="1"/>
  <c r="J6249" i="1"/>
  <c r="I6249" i="1"/>
  <c r="H6249" i="1"/>
  <c r="G6249" i="1"/>
  <c r="F6249" i="1"/>
  <c r="E6249" i="1"/>
  <c r="D6249" i="1"/>
  <c r="C6249" i="1"/>
  <c r="A6249" i="1"/>
  <c r="R6248" i="1"/>
  <c r="Q6248" i="1"/>
  <c r="N6248" i="1"/>
  <c r="J6248" i="1"/>
  <c r="I6248" i="1"/>
  <c r="H6248" i="1"/>
  <c r="G6248" i="1"/>
  <c r="F6248" i="1"/>
  <c r="E6248" i="1"/>
  <c r="D6248" i="1"/>
  <c r="C6248" i="1"/>
  <c r="A6248" i="1"/>
  <c r="R6247" i="1"/>
  <c r="Q6247" i="1"/>
  <c r="N6247" i="1"/>
  <c r="J6247" i="1"/>
  <c r="I6247" i="1"/>
  <c r="H6247" i="1"/>
  <c r="G6247" i="1"/>
  <c r="F6247" i="1"/>
  <c r="E6247" i="1"/>
  <c r="D6247" i="1"/>
  <c r="C6247" i="1"/>
  <c r="A6247" i="1"/>
  <c r="R6246" i="1"/>
  <c r="N6246" i="1"/>
  <c r="J6246" i="1"/>
  <c r="I6246" i="1"/>
  <c r="H6246" i="1"/>
  <c r="G6246" i="1"/>
  <c r="F6246" i="1"/>
  <c r="E6246" i="1"/>
  <c r="D6246" i="1"/>
  <c r="C6246" i="1"/>
  <c r="A6246" i="1"/>
  <c r="R6245" i="1"/>
  <c r="Q6245" i="1"/>
  <c r="N6245" i="1"/>
  <c r="J6245" i="1"/>
  <c r="I6245" i="1"/>
  <c r="H6245" i="1"/>
  <c r="G6245" i="1"/>
  <c r="F6245" i="1"/>
  <c r="E6245" i="1"/>
  <c r="D6245" i="1"/>
  <c r="C6245" i="1"/>
  <c r="A6245" i="1"/>
  <c r="R6244" i="1"/>
  <c r="N6244" i="1"/>
  <c r="J6244" i="1"/>
  <c r="I6244" i="1"/>
  <c r="H6244" i="1"/>
  <c r="G6244" i="1"/>
  <c r="F6244" i="1"/>
  <c r="E6244" i="1"/>
  <c r="D6244" i="1"/>
  <c r="C6244" i="1"/>
  <c r="A6244" i="1"/>
  <c r="R6243" i="1"/>
  <c r="Q6243" i="1"/>
  <c r="N6243" i="1"/>
  <c r="J6243" i="1"/>
  <c r="I6243" i="1"/>
  <c r="H6243" i="1"/>
  <c r="G6243" i="1"/>
  <c r="F6243" i="1"/>
  <c r="E6243" i="1"/>
  <c r="D6243" i="1"/>
  <c r="C6243" i="1"/>
  <c r="A6243" i="1"/>
  <c r="R6242" i="1"/>
  <c r="Q6242" i="1"/>
  <c r="N6242" i="1"/>
  <c r="J6242" i="1"/>
  <c r="I6242" i="1"/>
  <c r="H6242" i="1"/>
  <c r="G6242" i="1"/>
  <c r="F6242" i="1"/>
  <c r="E6242" i="1"/>
  <c r="D6242" i="1"/>
  <c r="C6242" i="1"/>
  <c r="A6242" i="1"/>
  <c r="R6241" i="1"/>
  <c r="Q6241" i="1"/>
  <c r="N6241" i="1"/>
  <c r="J6241" i="1"/>
  <c r="I6241" i="1"/>
  <c r="H6241" i="1"/>
  <c r="G6241" i="1"/>
  <c r="F6241" i="1"/>
  <c r="E6241" i="1"/>
  <c r="D6241" i="1"/>
  <c r="C6241" i="1"/>
  <c r="A6241" i="1"/>
  <c r="R6240" i="1"/>
  <c r="N6240" i="1"/>
  <c r="J6240" i="1"/>
  <c r="I6240" i="1"/>
  <c r="H6240" i="1"/>
  <c r="G6240" i="1"/>
  <c r="F6240" i="1"/>
  <c r="E6240" i="1"/>
  <c r="D6240" i="1"/>
  <c r="C6240" i="1"/>
  <c r="A6240" i="1"/>
  <c r="R6239" i="1"/>
  <c r="Q6239" i="1"/>
  <c r="N6239" i="1"/>
  <c r="J6239" i="1"/>
  <c r="I6239" i="1"/>
  <c r="H6239" i="1"/>
  <c r="G6239" i="1"/>
  <c r="F6239" i="1"/>
  <c r="E6239" i="1"/>
  <c r="D6239" i="1"/>
  <c r="C6239" i="1"/>
  <c r="A6239" i="1"/>
  <c r="R6238" i="1"/>
  <c r="Q6238" i="1"/>
  <c r="N6238" i="1"/>
  <c r="J6238" i="1"/>
  <c r="I6238" i="1"/>
  <c r="H6238" i="1"/>
  <c r="G6238" i="1"/>
  <c r="F6238" i="1"/>
  <c r="E6238" i="1"/>
  <c r="D6238" i="1"/>
  <c r="C6238" i="1"/>
  <c r="A6238" i="1"/>
  <c r="R6237" i="1"/>
  <c r="Q6237" i="1"/>
  <c r="N6237" i="1"/>
  <c r="J6237" i="1"/>
  <c r="I6237" i="1"/>
  <c r="H6237" i="1"/>
  <c r="G6237" i="1"/>
  <c r="F6237" i="1"/>
  <c r="E6237" i="1"/>
  <c r="D6237" i="1"/>
  <c r="C6237" i="1"/>
  <c r="A6237" i="1"/>
  <c r="R6236" i="1"/>
  <c r="N6236" i="1"/>
  <c r="J6236" i="1"/>
  <c r="I6236" i="1"/>
  <c r="H6236" i="1"/>
  <c r="G6236" i="1"/>
  <c r="F6236" i="1"/>
  <c r="E6236" i="1"/>
  <c r="D6236" i="1"/>
  <c r="C6236" i="1"/>
  <c r="A6236" i="1"/>
  <c r="R6235" i="1"/>
  <c r="Q6235" i="1"/>
  <c r="N6235" i="1"/>
  <c r="J6235" i="1"/>
  <c r="I6235" i="1"/>
  <c r="H6235" i="1"/>
  <c r="G6235" i="1"/>
  <c r="F6235" i="1"/>
  <c r="E6235" i="1"/>
  <c r="D6235" i="1"/>
  <c r="C6235" i="1"/>
  <c r="A6235" i="1"/>
  <c r="R6234" i="1"/>
  <c r="N6234" i="1"/>
  <c r="J6234" i="1"/>
  <c r="I6234" i="1"/>
  <c r="H6234" i="1"/>
  <c r="G6234" i="1"/>
  <c r="F6234" i="1"/>
  <c r="E6234" i="1"/>
  <c r="D6234" i="1"/>
  <c r="C6234" i="1"/>
  <c r="A6234" i="1"/>
  <c r="R6233" i="1"/>
  <c r="Q6233" i="1"/>
  <c r="N6233" i="1"/>
  <c r="J6233" i="1"/>
  <c r="I6233" i="1"/>
  <c r="H6233" i="1"/>
  <c r="G6233" i="1"/>
  <c r="F6233" i="1"/>
  <c r="E6233" i="1"/>
  <c r="D6233" i="1"/>
  <c r="C6233" i="1"/>
  <c r="A6233" i="1"/>
  <c r="R6232" i="1"/>
  <c r="Q6232" i="1"/>
  <c r="N6232" i="1"/>
  <c r="J6232" i="1"/>
  <c r="I6232" i="1"/>
  <c r="H6232" i="1"/>
  <c r="G6232" i="1"/>
  <c r="F6232" i="1"/>
  <c r="E6232" i="1"/>
  <c r="D6232" i="1"/>
  <c r="C6232" i="1"/>
  <c r="A6232" i="1"/>
  <c r="R6231" i="1"/>
  <c r="Q6231" i="1"/>
  <c r="N6231" i="1"/>
  <c r="J6231" i="1"/>
  <c r="I6231" i="1"/>
  <c r="H6231" i="1"/>
  <c r="G6231" i="1"/>
  <c r="F6231" i="1"/>
  <c r="E6231" i="1"/>
  <c r="D6231" i="1"/>
  <c r="C6231" i="1"/>
  <c r="A6231" i="1"/>
  <c r="R6230" i="1"/>
  <c r="N6230" i="1"/>
  <c r="J6230" i="1"/>
  <c r="I6230" i="1"/>
  <c r="H6230" i="1"/>
  <c r="G6230" i="1"/>
  <c r="F6230" i="1"/>
  <c r="E6230" i="1"/>
  <c r="D6230" i="1"/>
  <c r="C6230" i="1"/>
  <c r="A6230" i="1"/>
  <c r="R6229" i="1"/>
  <c r="Q6229" i="1"/>
  <c r="N6229" i="1"/>
  <c r="J6229" i="1"/>
  <c r="I6229" i="1"/>
  <c r="H6229" i="1"/>
  <c r="G6229" i="1"/>
  <c r="F6229" i="1"/>
  <c r="E6229" i="1"/>
  <c r="D6229" i="1"/>
  <c r="C6229" i="1"/>
  <c r="A6229" i="1"/>
  <c r="R6228" i="1"/>
  <c r="N6228" i="1"/>
  <c r="J6228" i="1"/>
  <c r="I6228" i="1"/>
  <c r="H6228" i="1"/>
  <c r="G6228" i="1"/>
  <c r="F6228" i="1"/>
  <c r="E6228" i="1"/>
  <c r="D6228" i="1"/>
  <c r="C6228" i="1"/>
  <c r="A6228" i="1"/>
  <c r="R6227" i="1"/>
  <c r="Q6227" i="1"/>
  <c r="N6227" i="1"/>
  <c r="J6227" i="1"/>
  <c r="I6227" i="1"/>
  <c r="H6227" i="1"/>
  <c r="G6227" i="1"/>
  <c r="F6227" i="1"/>
  <c r="E6227" i="1"/>
  <c r="D6227" i="1"/>
  <c r="C6227" i="1"/>
  <c r="A6227" i="1"/>
  <c r="R6226" i="1"/>
  <c r="Q6226" i="1"/>
  <c r="N6226" i="1"/>
  <c r="J6226" i="1"/>
  <c r="I6226" i="1"/>
  <c r="H6226" i="1"/>
  <c r="G6226" i="1"/>
  <c r="F6226" i="1"/>
  <c r="E6226" i="1"/>
  <c r="D6226" i="1"/>
  <c r="C6226" i="1"/>
  <c r="A6226" i="1"/>
  <c r="R6225" i="1"/>
  <c r="N6225" i="1"/>
  <c r="J6225" i="1"/>
  <c r="I6225" i="1"/>
  <c r="H6225" i="1"/>
  <c r="G6225" i="1"/>
  <c r="F6225" i="1"/>
  <c r="E6225" i="1"/>
  <c r="D6225" i="1"/>
  <c r="C6225" i="1"/>
  <c r="A6225" i="1"/>
  <c r="R6224" i="1"/>
  <c r="Q6224" i="1"/>
  <c r="N6224" i="1"/>
  <c r="J6224" i="1"/>
  <c r="I6224" i="1"/>
  <c r="H6224" i="1"/>
  <c r="G6224" i="1"/>
  <c r="F6224" i="1"/>
  <c r="E6224" i="1"/>
  <c r="D6224" i="1"/>
  <c r="C6224" i="1"/>
  <c r="A6224" i="1"/>
  <c r="R6223" i="1"/>
  <c r="N6223" i="1"/>
  <c r="J6223" i="1"/>
  <c r="I6223" i="1"/>
  <c r="H6223" i="1"/>
  <c r="G6223" i="1"/>
  <c r="F6223" i="1"/>
  <c r="E6223" i="1"/>
  <c r="D6223" i="1"/>
  <c r="C6223" i="1"/>
  <c r="A6223" i="1"/>
  <c r="R6222" i="1"/>
  <c r="Q6222" i="1"/>
  <c r="N6222" i="1"/>
  <c r="J6222" i="1"/>
  <c r="I6222" i="1"/>
  <c r="H6222" i="1"/>
  <c r="G6222" i="1"/>
  <c r="F6222" i="1"/>
  <c r="E6222" i="1"/>
  <c r="D6222" i="1"/>
  <c r="C6222" i="1"/>
  <c r="A6222" i="1"/>
  <c r="R6221" i="1"/>
  <c r="N6221" i="1"/>
  <c r="J6221" i="1"/>
  <c r="I6221" i="1"/>
  <c r="H6221" i="1"/>
  <c r="G6221" i="1"/>
  <c r="F6221" i="1"/>
  <c r="E6221" i="1"/>
  <c r="D6221" i="1"/>
  <c r="C6221" i="1"/>
  <c r="A6221" i="1"/>
  <c r="R6220" i="1"/>
  <c r="Q6220" i="1"/>
  <c r="N6220" i="1"/>
  <c r="J6220" i="1"/>
  <c r="I6220" i="1"/>
  <c r="H6220" i="1"/>
  <c r="G6220" i="1"/>
  <c r="F6220" i="1"/>
  <c r="E6220" i="1"/>
  <c r="D6220" i="1"/>
  <c r="C6220" i="1"/>
  <c r="A6220" i="1"/>
  <c r="R6219" i="1"/>
  <c r="Q6219" i="1"/>
  <c r="N6219" i="1"/>
  <c r="J6219" i="1"/>
  <c r="I6219" i="1"/>
  <c r="H6219" i="1"/>
  <c r="G6219" i="1"/>
  <c r="F6219" i="1"/>
  <c r="E6219" i="1"/>
  <c r="D6219" i="1"/>
  <c r="C6219" i="1"/>
  <c r="A6219" i="1"/>
  <c r="R6218" i="1"/>
  <c r="N6218" i="1"/>
  <c r="J6218" i="1"/>
  <c r="I6218" i="1"/>
  <c r="H6218" i="1"/>
  <c r="G6218" i="1"/>
  <c r="F6218" i="1"/>
  <c r="E6218" i="1"/>
  <c r="D6218" i="1"/>
  <c r="C6218" i="1"/>
  <c r="A6218" i="1"/>
  <c r="R6217" i="1"/>
  <c r="Q6217" i="1"/>
  <c r="N6217" i="1"/>
  <c r="J6217" i="1"/>
  <c r="I6217" i="1"/>
  <c r="H6217" i="1"/>
  <c r="G6217" i="1"/>
  <c r="F6217" i="1"/>
  <c r="E6217" i="1"/>
  <c r="D6217" i="1"/>
  <c r="C6217" i="1"/>
  <c r="A6217" i="1"/>
  <c r="R6216" i="1"/>
  <c r="Q6216" i="1"/>
  <c r="N6216" i="1"/>
  <c r="J6216" i="1"/>
  <c r="I6216" i="1"/>
  <c r="H6216" i="1"/>
  <c r="G6216" i="1"/>
  <c r="F6216" i="1"/>
  <c r="E6216" i="1"/>
  <c r="D6216" i="1"/>
  <c r="C6216" i="1"/>
  <c r="A6216" i="1"/>
  <c r="R6215" i="1"/>
  <c r="Q6215" i="1"/>
  <c r="N6215" i="1"/>
  <c r="J6215" i="1"/>
  <c r="I6215" i="1"/>
  <c r="H6215" i="1"/>
  <c r="G6215" i="1"/>
  <c r="F6215" i="1"/>
  <c r="E6215" i="1"/>
  <c r="D6215" i="1"/>
  <c r="C6215" i="1"/>
  <c r="A6215" i="1"/>
  <c r="R6214" i="1"/>
  <c r="Q6214" i="1"/>
  <c r="N6214" i="1"/>
  <c r="J6214" i="1"/>
  <c r="I6214" i="1"/>
  <c r="H6214" i="1"/>
  <c r="G6214" i="1"/>
  <c r="F6214" i="1"/>
  <c r="E6214" i="1"/>
  <c r="D6214" i="1"/>
  <c r="C6214" i="1"/>
  <c r="A6214" i="1"/>
  <c r="R6213" i="1"/>
  <c r="Q6213" i="1"/>
  <c r="N6213" i="1"/>
  <c r="J6213" i="1"/>
  <c r="I6213" i="1"/>
  <c r="H6213" i="1"/>
  <c r="G6213" i="1"/>
  <c r="F6213" i="1"/>
  <c r="E6213" i="1"/>
  <c r="D6213" i="1"/>
  <c r="C6213" i="1"/>
  <c r="A6213" i="1"/>
  <c r="R6212" i="1"/>
  <c r="N6212" i="1"/>
  <c r="J6212" i="1"/>
  <c r="I6212" i="1"/>
  <c r="H6212" i="1"/>
  <c r="G6212" i="1"/>
  <c r="F6212" i="1"/>
  <c r="E6212" i="1"/>
  <c r="D6212" i="1"/>
  <c r="C6212" i="1"/>
  <c r="A6212" i="1"/>
  <c r="R6211" i="1"/>
  <c r="Q6211" i="1"/>
  <c r="N6211" i="1"/>
  <c r="J6211" i="1"/>
  <c r="I6211" i="1"/>
  <c r="H6211" i="1"/>
  <c r="G6211" i="1"/>
  <c r="F6211" i="1"/>
  <c r="E6211" i="1"/>
  <c r="D6211" i="1"/>
  <c r="C6211" i="1"/>
  <c r="A6211" i="1"/>
  <c r="R6210" i="1"/>
  <c r="Q6210" i="1"/>
  <c r="N6210" i="1"/>
  <c r="J6210" i="1"/>
  <c r="I6210" i="1"/>
  <c r="H6210" i="1"/>
  <c r="G6210" i="1"/>
  <c r="F6210" i="1"/>
  <c r="E6210" i="1"/>
  <c r="D6210" i="1"/>
  <c r="C6210" i="1"/>
  <c r="A6210" i="1"/>
  <c r="R6209" i="1"/>
  <c r="Q6209" i="1"/>
  <c r="N6209" i="1"/>
  <c r="J6209" i="1"/>
  <c r="I6209" i="1"/>
  <c r="H6209" i="1"/>
  <c r="G6209" i="1"/>
  <c r="F6209" i="1"/>
  <c r="E6209" i="1"/>
  <c r="D6209" i="1"/>
  <c r="C6209" i="1"/>
  <c r="A6209" i="1"/>
  <c r="R6208" i="1"/>
  <c r="N6208" i="1"/>
  <c r="J6208" i="1"/>
  <c r="I6208" i="1"/>
  <c r="H6208" i="1"/>
  <c r="G6208" i="1"/>
  <c r="F6208" i="1"/>
  <c r="E6208" i="1"/>
  <c r="D6208" i="1"/>
  <c r="C6208" i="1"/>
  <c r="A6208" i="1"/>
  <c r="R6207" i="1"/>
  <c r="Q6207" i="1"/>
  <c r="N6207" i="1"/>
  <c r="J6207" i="1"/>
  <c r="I6207" i="1"/>
  <c r="H6207" i="1"/>
  <c r="G6207" i="1"/>
  <c r="F6207" i="1"/>
  <c r="E6207" i="1"/>
  <c r="D6207" i="1"/>
  <c r="C6207" i="1"/>
  <c r="A6207" i="1"/>
  <c r="R6206" i="1"/>
  <c r="Q6206" i="1"/>
  <c r="N6206" i="1"/>
  <c r="J6206" i="1"/>
  <c r="I6206" i="1"/>
  <c r="H6206" i="1"/>
  <c r="G6206" i="1"/>
  <c r="F6206" i="1"/>
  <c r="E6206" i="1"/>
  <c r="D6206" i="1"/>
  <c r="C6206" i="1"/>
  <c r="A6206" i="1"/>
  <c r="R6205" i="1"/>
  <c r="Q6205" i="1"/>
  <c r="N6205" i="1"/>
  <c r="J6205" i="1"/>
  <c r="I6205" i="1"/>
  <c r="H6205" i="1"/>
  <c r="G6205" i="1"/>
  <c r="F6205" i="1"/>
  <c r="E6205" i="1"/>
  <c r="D6205" i="1"/>
  <c r="C6205" i="1"/>
  <c r="A6205" i="1"/>
  <c r="R6204" i="1"/>
  <c r="Q6204" i="1"/>
  <c r="N6204" i="1"/>
  <c r="J6204" i="1"/>
  <c r="I6204" i="1"/>
  <c r="H6204" i="1"/>
  <c r="G6204" i="1"/>
  <c r="F6204" i="1"/>
  <c r="E6204" i="1"/>
  <c r="D6204" i="1"/>
  <c r="C6204" i="1"/>
  <c r="A6204" i="1"/>
  <c r="R6203" i="1"/>
  <c r="Q6203" i="1"/>
  <c r="N6203" i="1"/>
  <c r="J6203" i="1"/>
  <c r="I6203" i="1"/>
  <c r="H6203" i="1"/>
  <c r="G6203" i="1"/>
  <c r="F6203" i="1"/>
  <c r="E6203" i="1"/>
  <c r="D6203" i="1"/>
  <c r="C6203" i="1"/>
  <c r="A6203" i="1"/>
  <c r="R6202" i="1"/>
  <c r="Q6202" i="1"/>
  <c r="N6202" i="1"/>
  <c r="J6202" i="1"/>
  <c r="I6202" i="1"/>
  <c r="H6202" i="1"/>
  <c r="G6202" i="1"/>
  <c r="F6202" i="1"/>
  <c r="E6202" i="1"/>
  <c r="D6202" i="1"/>
  <c r="C6202" i="1"/>
  <c r="A6202" i="1"/>
  <c r="R6201" i="1"/>
  <c r="Q6201" i="1"/>
  <c r="N6201" i="1"/>
  <c r="J6201" i="1"/>
  <c r="I6201" i="1"/>
  <c r="H6201" i="1"/>
  <c r="G6201" i="1"/>
  <c r="F6201" i="1"/>
  <c r="E6201" i="1"/>
  <c r="D6201" i="1"/>
  <c r="C6201" i="1"/>
  <c r="A6201" i="1"/>
  <c r="R6200" i="1"/>
  <c r="Q6200" i="1"/>
  <c r="N6200" i="1"/>
  <c r="J6200" i="1"/>
  <c r="I6200" i="1"/>
  <c r="H6200" i="1"/>
  <c r="G6200" i="1"/>
  <c r="F6200" i="1"/>
  <c r="E6200" i="1"/>
  <c r="D6200" i="1"/>
  <c r="C6200" i="1"/>
  <c r="A6200" i="1"/>
  <c r="R6199" i="1"/>
  <c r="Q6199" i="1"/>
  <c r="N6199" i="1"/>
  <c r="J6199" i="1"/>
  <c r="I6199" i="1"/>
  <c r="H6199" i="1"/>
  <c r="G6199" i="1"/>
  <c r="F6199" i="1"/>
  <c r="E6199" i="1"/>
  <c r="D6199" i="1"/>
  <c r="C6199" i="1"/>
  <c r="A6199" i="1"/>
  <c r="R6198" i="1"/>
  <c r="Q6198" i="1"/>
  <c r="N6198" i="1"/>
  <c r="J6198" i="1"/>
  <c r="I6198" i="1"/>
  <c r="H6198" i="1"/>
  <c r="G6198" i="1"/>
  <c r="F6198" i="1"/>
  <c r="E6198" i="1"/>
  <c r="D6198" i="1"/>
  <c r="C6198" i="1"/>
  <c r="A6198" i="1"/>
  <c r="R6197" i="1"/>
  <c r="N6197" i="1"/>
  <c r="J6197" i="1"/>
  <c r="I6197" i="1"/>
  <c r="H6197" i="1"/>
  <c r="G6197" i="1"/>
  <c r="F6197" i="1"/>
  <c r="E6197" i="1"/>
  <c r="D6197" i="1"/>
  <c r="C6197" i="1"/>
  <c r="A6197" i="1"/>
  <c r="R6196" i="1"/>
  <c r="Q6196" i="1"/>
  <c r="N6196" i="1"/>
  <c r="J6196" i="1"/>
  <c r="I6196" i="1"/>
  <c r="H6196" i="1"/>
  <c r="G6196" i="1"/>
  <c r="F6196" i="1"/>
  <c r="E6196" i="1"/>
  <c r="D6196" i="1"/>
  <c r="C6196" i="1"/>
  <c r="A6196" i="1"/>
  <c r="R6195" i="1"/>
  <c r="Q6195" i="1"/>
  <c r="N6195" i="1"/>
  <c r="J6195" i="1"/>
  <c r="I6195" i="1"/>
  <c r="H6195" i="1"/>
  <c r="G6195" i="1"/>
  <c r="F6195" i="1"/>
  <c r="E6195" i="1"/>
  <c r="D6195" i="1"/>
  <c r="C6195" i="1"/>
  <c r="A6195" i="1"/>
  <c r="R6194" i="1"/>
  <c r="Q6194" i="1"/>
  <c r="N6194" i="1"/>
  <c r="J6194" i="1"/>
  <c r="I6194" i="1"/>
  <c r="H6194" i="1"/>
  <c r="G6194" i="1"/>
  <c r="F6194" i="1"/>
  <c r="E6194" i="1"/>
  <c r="D6194" i="1"/>
  <c r="C6194" i="1"/>
  <c r="A6194" i="1"/>
  <c r="R6193" i="1"/>
  <c r="Q6193" i="1"/>
  <c r="N6193" i="1"/>
  <c r="J6193" i="1"/>
  <c r="I6193" i="1"/>
  <c r="H6193" i="1"/>
  <c r="G6193" i="1"/>
  <c r="F6193" i="1"/>
  <c r="E6193" i="1"/>
  <c r="D6193" i="1"/>
  <c r="C6193" i="1"/>
  <c r="A6193" i="1"/>
  <c r="R6192" i="1"/>
  <c r="Q6192" i="1"/>
  <c r="N6192" i="1"/>
  <c r="J6192" i="1"/>
  <c r="I6192" i="1"/>
  <c r="H6192" i="1"/>
  <c r="G6192" i="1"/>
  <c r="F6192" i="1"/>
  <c r="E6192" i="1"/>
  <c r="D6192" i="1"/>
  <c r="C6192" i="1"/>
  <c r="A6192" i="1"/>
  <c r="R6191" i="1"/>
  <c r="Q6191" i="1"/>
  <c r="N6191" i="1"/>
  <c r="J6191" i="1"/>
  <c r="I6191" i="1"/>
  <c r="H6191" i="1"/>
  <c r="G6191" i="1"/>
  <c r="F6191" i="1"/>
  <c r="E6191" i="1"/>
  <c r="D6191" i="1"/>
  <c r="C6191" i="1"/>
  <c r="A6191" i="1"/>
  <c r="R6190" i="1"/>
  <c r="Q6190" i="1"/>
  <c r="N6190" i="1"/>
  <c r="J6190" i="1"/>
  <c r="I6190" i="1"/>
  <c r="H6190" i="1"/>
  <c r="G6190" i="1"/>
  <c r="F6190" i="1"/>
  <c r="E6190" i="1"/>
  <c r="D6190" i="1"/>
  <c r="C6190" i="1"/>
  <c r="A6190" i="1"/>
  <c r="R6189" i="1"/>
  <c r="Q6189" i="1"/>
  <c r="N6189" i="1"/>
  <c r="J6189" i="1"/>
  <c r="I6189" i="1"/>
  <c r="H6189" i="1"/>
  <c r="G6189" i="1"/>
  <c r="F6189" i="1"/>
  <c r="E6189" i="1"/>
  <c r="D6189" i="1"/>
  <c r="C6189" i="1"/>
  <c r="A6189" i="1"/>
  <c r="R6188" i="1"/>
  <c r="Q6188" i="1"/>
  <c r="N6188" i="1"/>
  <c r="J6188" i="1"/>
  <c r="I6188" i="1"/>
  <c r="H6188" i="1"/>
  <c r="G6188" i="1"/>
  <c r="F6188" i="1"/>
  <c r="E6188" i="1"/>
  <c r="D6188" i="1"/>
  <c r="C6188" i="1"/>
  <c r="A6188" i="1"/>
  <c r="R6187" i="1"/>
  <c r="Q6187" i="1"/>
  <c r="N6187" i="1"/>
  <c r="J6187" i="1"/>
  <c r="I6187" i="1"/>
  <c r="H6187" i="1"/>
  <c r="G6187" i="1"/>
  <c r="F6187" i="1"/>
  <c r="E6187" i="1"/>
  <c r="D6187" i="1"/>
  <c r="C6187" i="1"/>
  <c r="A6187" i="1"/>
  <c r="R6186" i="1"/>
  <c r="Q6186" i="1"/>
  <c r="N6186" i="1"/>
  <c r="J6186" i="1"/>
  <c r="I6186" i="1"/>
  <c r="H6186" i="1"/>
  <c r="G6186" i="1"/>
  <c r="F6186" i="1"/>
  <c r="E6186" i="1"/>
  <c r="D6186" i="1"/>
  <c r="C6186" i="1"/>
  <c r="A6186" i="1"/>
  <c r="R6185" i="1"/>
  <c r="Q6185" i="1"/>
  <c r="N6185" i="1"/>
  <c r="J6185" i="1"/>
  <c r="I6185" i="1"/>
  <c r="H6185" i="1"/>
  <c r="G6185" i="1"/>
  <c r="F6185" i="1"/>
  <c r="E6185" i="1"/>
  <c r="D6185" i="1"/>
  <c r="C6185" i="1"/>
  <c r="A6185" i="1"/>
  <c r="R6184" i="1"/>
  <c r="N6184" i="1"/>
  <c r="J6184" i="1"/>
  <c r="I6184" i="1"/>
  <c r="H6184" i="1"/>
  <c r="G6184" i="1"/>
  <c r="F6184" i="1"/>
  <c r="E6184" i="1"/>
  <c r="D6184" i="1"/>
  <c r="C6184" i="1"/>
  <c r="B6184" i="1"/>
  <c r="A6184" i="1"/>
  <c r="R6183" i="1"/>
  <c r="Q6183" i="1"/>
  <c r="N6183" i="1"/>
  <c r="J6183" i="1"/>
  <c r="I6183" i="1"/>
  <c r="H6183" i="1"/>
  <c r="G6183" i="1"/>
  <c r="F6183" i="1"/>
  <c r="E6183" i="1"/>
  <c r="D6183" i="1"/>
  <c r="C6183" i="1"/>
  <c r="B6183" i="1"/>
  <c r="A6183" i="1"/>
  <c r="R6182" i="1"/>
  <c r="N6182" i="1"/>
  <c r="J6182" i="1"/>
  <c r="I6182" i="1"/>
  <c r="H6182" i="1"/>
  <c r="G6182" i="1"/>
  <c r="F6182" i="1"/>
  <c r="E6182" i="1"/>
  <c r="D6182" i="1"/>
  <c r="C6182" i="1"/>
  <c r="B6182" i="1"/>
  <c r="A6182" i="1"/>
  <c r="R6181" i="1"/>
  <c r="Q6181" i="1"/>
  <c r="N6181" i="1"/>
  <c r="J6181" i="1"/>
  <c r="I6181" i="1"/>
  <c r="H6181" i="1"/>
  <c r="G6181" i="1"/>
  <c r="F6181" i="1"/>
  <c r="E6181" i="1"/>
  <c r="D6181" i="1"/>
  <c r="C6181" i="1"/>
  <c r="B6181" i="1"/>
  <c r="A6181" i="1"/>
  <c r="R6180" i="1"/>
  <c r="N6180" i="1"/>
  <c r="J6180" i="1"/>
  <c r="I6180" i="1"/>
  <c r="H6180" i="1"/>
  <c r="G6180" i="1"/>
  <c r="F6180" i="1"/>
  <c r="E6180" i="1"/>
  <c r="D6180" i="1"/>
  <c r="C6180" i="1"/>
  <c r="B6180" i="1"/>
  <c r="A6180" i="1"/>
  <c r="R6179" i="1"/>
  <c r="N6179" i="1"/>
  <c r="J6179" i="1"/>
  <c r="I6179" i="1"/>
  <c r="H6179" i="1"/>
  <c r="G6179" i="1"/>
  <c r="F6179" i="1"/>
  <c r="E6179" i="1"/>
  <c r="D6179" i="1"/>
  <c r="C6179" i="1"/>
  <c r="B6179" i="1"/>
  <c r="A6179" i="1"/>
  <c r="R6178" i="1"/>
  <c r="N6178" i="1"/>
  <c r="J6178" i="1"/>
  <c r="I6178" i="1"/>
  <c r="H6178" i="1"/>
  <c r="G6178" i="1"/>
  <c r="F6178" i="1"/>
  <c r="E6178" i="1"/>
  <c r="D6178" i="1"/>
  <c r="C6178" i="1"/>
  <c r="B6178" i="1"/>
  <c r="A6178" i="1"/>
  <c r="R6177" i="1"/>
  <c r="Q6177" i="1"/>
  <c r="N6177" i="1"/>
  <c r="J6177" i="1"/>
  <c r="I6177" i="1"/>
  <c r="H6177" i="1"/>
  <c r="G6177" i="1"/>
  <c r="F6177" i="1"/>
  <c r="E6177" i="1"/>
  <c r="D6177" i="1"/>
  <c r="C6177" i="1"/>
  <c r="A6177" i="1"/>
  <c r="R6176" i="1"/>
  <c r="N6176" i="1"/>
  <c r="J6176" i="1"/>
  <c r="I6176" i="1"/>
  <c r="H6176" i="1"/>
  <c r="G6176" i="1"/>
  <c r="F6176" i="1"/>
  <c r="E6176" i="1"/>
  <c r="D6176" i="1"/>
  <c r="C6176" i="1"/>
  <c r="A6176" i="1"/>
  <c r="R6175" i="1"/>
  <c r="Q6175" i="1"/>
  <c r="N6175" i="1"/>
  <c r="J6175" i="1"/>
  <c r="I6175" i="1"/>
  <c r="H6175" i="1"/>
  <c r="G6175" i="1"/>
  <c r="F6175" i="1"/>
  <c r="E6175" i="1"/>
  <c r="D6175" i="1"/>
  <c r="C6175" i="1"/>
  <c r="A6175" i="1"/>
  <c r="R6174" i="1"/>
  <c r="N6174" i="1"/>
  <c r="J6174" i="1"/>
  <c r="I6174" i="1"/>
  <c r="H6174" i="1"/>
  <c r="G6174" i="1"/>
  <c r="F6174" i="1"/>
  <c r="E6174" i="1"/>
  <c r="D6174" i="1"/>
  <c r="C6174" i="1"/>
  <c r="B6174" i="1"/>
  <c r="A6174" i="1"/>
  <c r="R6173" i="1"/>
  <c r="N6173" i="1"/>
  <c r="J6173" i="1"/>
  <c r="I6173" i="1"/>
  <c r="H6173" i="1"/>
  <c r="G6173" i="1"/>
  <c r="F6173" i="1"/>
  <c r="E6173" i="1"/>
  <c r="D6173" i="1"/>
  <c r="C6173" i="1"/>
  <c r="B6173" i="1"/>
  <c r="A6173" i="1"/>
  <c r="R6172" i="1"/>
  <c r="N6172" i="1"/>
  <c r="J6172" i="1"/>
  <c r="I6172" i="1"/>
  <c r="H6172" i="1"/>
  <c r="G6172" i="1"/>
  <c r="F6172" i="1"/>
  <c r="E6172" i="1"/>
  <c r="D6172" i="1"/>
  <c r="C6172" i="1"/>
  <c r="B6172" i="1"/>
  <c r="A6172" i="1"/>
  <c r="R6171" i="1"/>
  <c r="N6171" i="1"/>
  <c r="J6171" i="1"/>
  <c r="I6171" i="1"/>
  <c r="H6171" i="1"/>
  <c r="G6171" i="1"/>
  <c r="F6171" i="1"/>
  <c r="E6171" i="1"/>
  <c r="D6171" i="1"/>
  <c r="C6171" i="1"/>
  <c r="B6171" i="1"/>
  <c r="A6171" i="1"/>
  <c r="R6170" i="1"/>
  <c r="Q6170" i="1"/>
  <c r="N6170" i="1"/>
  <c r="J6170" i="1"/>
  <c r="I6170" i="1"/>
  <c r="H6170" i="1"/>
  <c r="G6170" i="1"/>
  <c r="F6170" i="1"/>
  <c r="E6170" i="1"/>
  <c r="D6170" i="1"/>
  <c r="C6170" i="1"/>
  <c r="A6170" i="1"/>
  <c r="R6169" i="1"/>
  <c r="N6169" i="1"/>
  <c r="J6169" i="1"/>
  <c r="I6169" i="1"/>
  <c r="H6169" i="1"/>
  <c r="G6169" i="1"/>
  <c r="F6169" i="1"/>
  <c r="E6169" i="1"/>
  <c r="D6169" i="1"/>
  <c r="C6169" i="1"/>
  <c r="A6169" i="1"/>
  <c r="R6168" i="1"/>
  <c r="Q6168" i="1"/>
  <c r="N6168" i="1"/>
  <c r="J6168" i="1"/>
  <c r="I6168" i="1"/>
  <c r="H6168" i="1"/>
  <c r="G6168" i="1"/>
  <c r="F6168" i="1"/>
  <c r="E6168" i="1"/>
  <c r="D6168" i="1"/>
  <c r="C6168" i="1"/>
  <c r="A6168" i="1"/>
  <c r="R6167" i="1"/>
  <c r="N6167" i="1"/>
  <c r="J6167" i="1"/>
  <c r="I6167" i="1"/>
  <c r="H6167" i="1"/>
  <c r="G6167" i="1"/>
  <c r="F6167" i="1"/>
  <c r="E6167" i="1"/>
  <c r="D6167" i="1"/>
  <c r="C6167" i="1"/>
  <c r="A6167" i="1"/>
  <c r="R6166" i="1"/>
  <c r="Q6166" i="1"/>
  <c r="N6166" i="1"/>
  <c r="J6166" i="1"/>
  <c r="I6166" i="1"/>
  <c r="H6166" i="1"/>
  <c r="G6166" i="1"/>
  <c r="F6166" i="1"/>
  <c r="E6166" i="1"/>
  <c r="D6166" i="1"/>
  <c r="C6166" i="1"/>
  <c r="A6166" i="1"/>
  <c r="R6165" i="1"/>
  <c r="N6165" i="1"/>
  <c r="J6165" i="1"/>
  <c r="I6165" i="1"/>
  <c r="H6165" i="1"/>
  <c r="G6165" i="1"/>
  <c r="F6165" i="1"/>
  <c r="E6165" i="1"/>
  <c r="D6165" i="1"/>
  <c r="C6165" i="1"/>
  <c r="B6165" i="1"/>
  <c r="A6165" i="1"/>
  <c r="R6164" i="1"/>
  <c r="Q6164" i="1"/>
  <c r="N6164" i="1"/>
  <c r="J6164" i="1"/>
  <c r="I6164" i="1"/>
  <c r="H6164" i="1"/>
  <c r="G6164" i="1"/>
  <c r="F6164" i="1"/>
  <c r="E6164" i="1"/>
  <c r="D6164" i="1"/>
  <c r="C6164" i="1"/>
  <c r="B6164" i="1"/>
  <c r="A6164" i="1"/>
  <c r="R6163" i="1"/>
  <c r="N6163" i="1"/>
  <c r="J6163" i="1"/>
  <c r="I6163" i="1"/>
  <c r="H6163" i="1"/>
  <c r="G6163" i="1"/>
  <c r="F6163" i="1"/>
  <c r="E6163" i="1"/>
  <c r="D6163" i="1"/>
  <c r="C6163" i="1"/>
  <c r="B6163" i="1"/>
  <c r="A6163" i="1"/>
  <c r="R6162" i="1"/>
  <c r="Q6162" i="1"/>
  <c r="N6162" i="1"/>
  <c r="J6162" i="1"/>
  <c r="I6162" i="1"/>
  <c r="H6162" i="1"/>
  <c r="G6162" i="1"/>
  <c r="F6162" i="1"/>
  <c r="E6162" i="1"/>
  <c r="D6162" i="1"/>
  <c r="C6162" i="1"/>
  <c r="B6162" i="1"/>
  <c r="A6162" i="1"/>
  <c r="R6161" i="1"/>
  <c r="N6161" i="1"/>
  <c r="J6161" i="1"/>
  <c r="I6161" i="1"/>
  <c r="H6161" i="1"/>
  <c r="G6161" i="1"/>
  <c r="F6161" i="1"/>
  <c r="E6161" i="1"/>
  <c r="D6161" i="1"/>
  <c r="C6161" i="1"/>
  <c r="B6161" i="1"/>
  <c r="A6161" i="1"/>
  <c r="R6160" i="1"/>
  <c r="Q6160" i="1"/>
  <c r="N6160" i="1"/>
  <c r="J6160" i="1"/>
  <c r="I6160" i="1"/>
  <c r="H6160" i="1"/>
  <c r="G6160" i="1"/>
  <c r="F6160" i="1"/>
  <c r="E6160" i="1"/>
  <c r="D6160" i="1"/>
  <c r="C6160" i="1"/>
  <c r="B6160" i="1"/>
  <c r="A6160" i="1"/>
  <c r="R6159" i="1"/>
  <c r="N6159" i="1"/>
  <c r="J6159" i="1"/>
  <c r="I6159" i="1"/>
  <c r="H6159" i="1"/>
  <c r="G6159" i="1"/>
  <c r="F6159" i="1"/>
  <c r="E6159" i="1"/>
  <c r="D6159" i="1"/>
  <c r="C6159" i="1"/>
  <c r="B6159" i="1"/>
  <c r="A6159" i="1"/>
  <c r="R6158" i="1"/>
  <c r="Q6158" i="1"/>
  <c r="N6158" i="1"/>
  <c r="J6158" i="1"/>
  <c r="I6158" i="1"/>
  <c r="H6158" i="1"/>
  <c r="G6158" i="1"/>
  <c r="F6158" i="1"/>
  <c r="E6158" i="1"/>
  <c r="D6158" i="1"/>
  <c r="C6158" i="1"/>
  <c r="B6158" i="1"/>
  <c r="A6158" i="1"/>
  <c r="R6157" i="1"/>
  <c r="N6157" i="1"/>
  <c r="J6157" i="1"/>
  <c r="I6157" i="1"/>
  <c r="H6157" i="1"/>
  <c r="G6157" i="1"/>
  <c r="F6157" i="1"/>
  <c r="E6157" i="1"/>
  <c r="D6157" i="1"/>
  <c r="C6157" i="1"/>
  <c r="B6157" i="1"/>
  <c r="A6157" i="1"/>
  <c r="R6156" i="1"/>
  <c r="N6156" i="1"/>
  <c r="J6156" i="1"/>
  <c r="I6156" i="1"/>
  <c r="H6156" i="1"/>
  <c r="G6156" i="1"/>
  <c r="F6156" i="1"/>
  <c r="E6156" i="1"/>
  <c r="D6156" i="1"/>
  <c r="C6156" i="1"/>
  <c r="B6156" i="1"/>
  <c r="A6156" i="1"/>
  <c r="R6155" i="1"/>
  <c r="Q6155" i="1"/>
  <c r="N6155" i="1"/>
  <c r="J6155" i="1"/>
  <c r="I6155" i="1"/>
  <c r="H6155" i="1"/>
  <c r="G6155" i="1"/>
  <c r="F6155" i="1"/>
  <c r="E6155" i="1"/>
  <c r="D6155" i="1"/>
  <c r="C6155" i="1"/>
  <c r="A6155" i="1"/>
  <c r="R6154" i="1"/>
  <c r="N6154" i="1"/>
  <c r="J6154" i="1"/>
  <c r="I6154" i="1"/>
  <c r="H6154" i="1"/>
  <c r="G6154" i="1"/>
  <c r="F6154" i="1"/>
  <c r="E6154" i="1"/>
  <c r="D6154" i="1"/>
  <c r="C6154" i="1"/>
  <c r="A6154" i="1"/>
  <c r="R6153" i="1"/>
  <c r="Q6153" i="1"/>
  <c r="N6153" i="1"/>
  <c r="J6153" i="1"/>
  <c r="I6153" i="1"/>
  <c r="H6153" i="1"/>
  <c r="G6153" i="1"/>
  <c r="F6153" i="1"/>
  <c r="E6153" i="1"/>
  <c r="D6153" i="1"/>
  <c r="C6153" i="1"/>
  <c r="A6153" i="1"/>
  <c r="R6152" i="1"/>
  <c r="N6152" i="1"/>
  <c r="J6152" i="1"/>
  <c r="I6152" i="1"/>
  <c r="H6152" i="1"/>
  <c r="G6152" i="1"/>
  <c r="F6152" i="1"/>
  <c r="E6152" i="1"/>
  <c r="D6152" i="1"/>
  <c r="C6152" i="1"/>
  <c r="A6152" i="1"/>
  <c r="R6151" i="1"/>
  <c r="Q6151" i="1"/>
  <c r="N6151" i="1"/>
  <c r="J6151" i="1"/>
  <c r="I6151" i="1"/>
  <c r="H6151" i="1"/>
  <c r="G6151" i="1"/>
  <c r="F6151" i="1"/>
  <c r="E6151" i="1"/>
  <c r="D6151" i="1"/>
  <c r="C6151" i="1"/>
  <c r="A6151" i="1"/>
  <c r="R6150" i="1"/>
  <c r="N6150" i="1"/>
  <c r="J6150" i="1"/>
  <c r="I6150" i="1"/>
  <c r="H6150" i="1"/>
  <c r="G6150" i="1"/>
  <c r="F6150" i="1"/>
  <c r="E6150" i="1"/>
  <c r="D6150" i="1"/>
  <c r="C6150" i="1"/>
  <c r="A6150" i="1"/>
  <c r="R6149" i="1"/>
  <c r="Q6149" i="1"/>
  <c r="N6149" i="1"/>
  <c r="J6149" i="1"/>
  <c r="I6149" i="1"/>
  <c r="H6149" i="1"/>
  <c r="G6149" i="1"/>
  <c r="F6149" i="1"/>
  <c r="E6149" i="1"/>
  <c r="D6149" i="1"/>
  <c r="C6149" i="1"/>
  <c r="A6149" i="1"/>
  <c r="R6148" i="1"/>
  <c r="N6148" i="1"/>
  <c r="J6148" i="1"/>
  <c r="I6148" i="1"/>
  <c r="H6148" i="1"/>
  <c r="G6148" i="1"/>
  <c r="F6148" i="1"/>
  <c r="E6148" i="1"/>
  <c r="D6148" i="1"/>
  <c r="C6148" i="1"/>
  <c r="A6148" i="1"/>
  <c r="R6147" i="1"/>
  <c r="Q6147" i="1"/>
  <c r="N6147" i="1"/>
  <c r="J6147" i="1"/>
  <c r="I6147" i="1"/>
  <c r="H6147" i="1"/>
  <c r="G6147" i="1"/>
  <c r="F6147" i="1"/>
  <c r="E6147" i="1"/>
  <c r="D6147" i="1"/>
  <c r="C6147" i="1"/>
  <c r="A6147" i="1"/>
  <c r="R6146" i="1"/>
  <c r="N6146" i="1"/>
  <c r="J6146" i="1"/>
  <c r="I6146" i="1"/>
  <c r="H6146" i="1"/>
  <c r="G6146" i="1"/>
  <c r="F6146" i="1"/>
  <c r="E6146" i="1"/>
  <c r="D6146" i="1"/>
  <c r="C6146" i="1"/>
  <c r="A6146" i="1"/>
  <c r="R6145" i="1"/>
  <c r="Q6145" i="1"/>
  <c r="N6145" i="1"/>
  <c r="J6145" i="1"/>
  <c r="I6145" i="1"/>
  <c r="H6145" i="1"/>
  <c r="G6145" i="1"/>
  <c r="F6145" i="1"/>
  <c r="E6145" i="1"/>
  <c r="D6145" i="1"/>
  <c r="C6145" i="1"/>
  <c r="A6145" i="1"/>
  <c r="R6144" i="1"/>
  <c r="Q6144" i="1"/>
  <c r="N6144" i="1"/>
  <c r="J6144" i="1"/>
  <c r="I6144" i="1"/>
  <c r="H6144" i="1"/>
  <c r="G6144" i="1"/>
  <c r="F6144" i="1"/>
  <c r="E6144" i="1"/>
  <c r="D6144" i="1"/>
  <c r="C6144" i="1"/>
  <c r="A6144" i="1"/>
  <c r="R6143" i="1"/>
  <c r="Q6143" i="1"/>
  <c r="N6143" i="1"/>
  <c r="J6143" i="1"/>
  <c r="I6143" i="1"/>
  <c r="H6143" i="1"/>
  <c r="G6143" i="1"/>
  <c r="F6143" i="1"/>
  <c r="E6143" i="1"/>
  <c r="D6143" i="1"/>
  <c r="C6143" i="1"/>
  <c r="A6143" i="1"/>
  <c r="R6142" i="1"/>
  <c r="Q6142" i="1"/>
  <c r="N6142" i="1"/>
  <c r="J6142" i="1"/>
  <c r="I6142" i="1"/>
  <c r="H6142" i="1"/>
  <c r="G6142" i="1"/>
  <c r="F6142" i="1"/>
  <c r="E6142" i="1"/>
  <c r="D6142" i="1"/>
  <c r="C6142" i="1"/>
  <c r="A6142" i="1"/>
  <c r="R6141" i="1"/>
  <c r="Q6141" i="1"/>
  <c r="N6141" i="1"/>
  <c r="J6141" i="1"/>
  <c r="I6141" i="1"/>
  <c r="H6141" i="1"/>
  <c r="G6141" i="1"/>
  <c r="F6141" i="1"/>
  <c r="E6141" i="1"/>
  <c r="D6141" i="1"/>
  <c r="C6141" i="1"/>
  <c r="A6141" i="1"/>
  <c r="R6140" i="1"/>
  <c r="Q6140" i="1"/>
  <c r="N6140" i="1"/>
  <c r="J6140" i="1"/>
  <c r="I6140" i="1"/>
  <c r="H6140" i="1"/>
  <c r="G6140" i="1"/>
  <c r="F6140" i="1"/>
  <c r="E6140" i="1"/>
  <c r="D6140" i="1"/>
  <c r="C6140" i="1"/>
  <c r="A6140" i="1"/>
  <c r="R6139" i="1"/>
  <c r="N6139" i="1"/>
  <c r="J6139" i="1"/>
  <c r="I6139" i="1"/>
  <c r="H6139" i="1"/>
  <c r="G6139" i="1"/>
  <c r="F6139" i="1"/>
  <c r="E6139" i="1"/>
  <c r="D6139" i="1"/>
  <c r="C6139" i="1"/>
  <c r="A6139" i="1"/>
  <c r="R6138" i="1"/>
  <c r="Q6138" i="1"/>
  <c r="N6138" i="1"/>
  <c r="J6138" i="1"/>
  <c r="I6138" i="1"/>
  <c r="H6138" i="1"/>
  <c r="G6138" i="1"/>
  <c r="F6138" i="1"/>
  <c r="E6138" i="1"/>
  <c r="D6138" i="1"/>
  <c r="C6138" i="1"/>
  <c r="A6138" i="1"/>
  <c r="R6137" i="1"/>
  <c r="N6137" i="1"/>
  <c r="J6137" i="1"/>
  <c r="I6137" i="1"/>
  <c r="H6137" i="1"/>
  <c r="G6137" i="1"/>
  <c r="F6137" i="1"/>
  <c r="E6137" i="1"/>
  <c r="D6137" i="1"/>
  <c r="C6137" i="1"/>
  <c r="A6137" i="1"/>
  <c r="R6136" i="1"/>
  <c r="Q6136" i="1"/>
  <c r="N6136" i="1"/>
  <c r="J6136" i="1"/>
  <c r="I6136" i="1"/>
  <c r="H6136" i="1"/>
  <c r="G6136" i="1"/>
  <c r="F6136" i="1"/>
  <c r="E6136" i="1"/>
  <c r="D6136" i="1"/>
  <c r="C6136" i="1"/>
  <c r="A6136" i="1"/>
  <c r="R6135" i="1"/>
  <c r="Q6135" i="1"/>
  <c r="N6135" i="1"/>
  <c r="J6135" i="1"/>
  <c r="I6135" i="1"/>
  <c r="H6135" i="1"/>
  <c r="G6135" i="1"/>
  <c r="F6135" i="1"/>
  <c r="E6135" i="1"/>
  <c r="D6135" i="1"/>
  <c r="C6135" i="1"/>
  <c r="A6135" i="1"/>
  <c r="R6134" i="1"/>
  <c r="Q6134" i="1"/>
  <c r="N6134" i="1"/>
  <c r="J6134" i="1"/>
  <c r="I6134" i="1"/>
  <c r="H6134" i="1"/>
  <c r="G6134" i="1"/>
  <c r="F6134" i="1"/>
  <c r="E6134" i="1"/>
  <c r="D6134" i="1"/>
  <c r="C6134" i="1"/>
  <c r="A6134" i="1"/>
  <c r="R6133" i="1"/>
  <c r="N6133" i="1"/>
  <c r="J6133" i="1"/>
  <c r="I6133" i="1"/>
  <c r="H6133" i="1"/>
  <c r="G6133" i="1"/>
  <c r="F6133" i="1"/>
  <c r="E6133" i="1"/>
  <c r="D6133" i="1"/>
  <c r="C6133" i="1"/>
  <c r="A6133" i="1"/>
  <c r="R6132" i="1"/>
  <c r="Q6132" i="1"/>
  <c r="N6132" i="1"/>
  <c r="J6132" i="1"/>
  <c r="I6132" i="1"/>
  <c r="H6132" i="1"/>
  <c r="G6132" i="1"/>
  <c r="F6132" i="1"/>
  <c r="E6132" i="1"/>
  <c r="D6132" i="1"/>
  <c r="C6132" i="1"/>
  <c r="A6132" i="1"/>
  <c r="R6131" i="1"/>
  <c r="N6131" i="1"/>
  <c r="J6131" i="1"/>
  <c r="I6131" i="1"/>
  <c r="H6131" i="1"/>
  <c r="G6131" i="1"/>
  <c r="F6131" i="1"/>
  <c r="E6131" i="1"/>
  <c r="D6131" i="1"/>
  <c r="C6131" i="1"/>
  <c r="A6131" i="1"/>
  <c r="R6130" i="1"/>
  <c r="Q6130" i="1"/>
  <c r="N6130" i="1"/>
  <c r="J6130" i="1"/>
  <c r="I6130" i="1"/>
  <c r="H6130" i="1"/>
  <c r="G6130" i="1"/>
  <c r="F6130" i="1"/>
  <c r="E6130" i="1"/>
  <c r="D6130" i="1"/>
  <c r="C6130" i="1"/>
  <c r="A6130" i="1"/>
  <c r="R6129" i="1"/>
  <c r="N6129" i="1"/>
  <c r="J6129" i="1"/>
  <c r="I6129" i="1"/>
  <c r="H6129" i="1"/>
  <c r="G6129" i="1"/>
  <c r="F6129" i="1"/>
  <c r="E6129" i="1"/>
  <c r="D6129" i="1"/>
  <c r="C6129" i="1"/>
  <c r="A6129" i="1"/>
  <c r="R6128" i="1"/>
  <c r="Q6128" i="1"/>
  <c r="N6128" i="1"/>
  <c r="J6128" i="1"/>
  <c r="I6128" i="1"/>
  <c r="H6128" i="1"/>
  <c r="G6128" i="1"/>
  <c r="F6128" i="1"/>
  <c r="E6128" i="1"/>
  <c r="D6128" i="1"/>
  <c r="C6128" i="1"/>
  <c r="A6128" i="1"/>
  <c r="R6127" i="1"/>
  <c r="Q6127" i="1"/>
  <c r="N6127" i="1"/>
  <c r="J6127" i="1"/>
  <c r="I6127" i="1"/>
  <c r="H6127" i="1"/>
  <c r="G6127" i="1"/>
  <c r="F6127" i="1"/>
  <c r="E6127" i="1"/>
  <c r="D6127" i="1"/>
  <c r="C6127" i="1"/>
  <c r="A6127" i="1"/>
  <c r="R6126" i="1"/>
  <c r="Q6126" i="1"/>
  <c r="N6126" i="1"/>
  <c r="J6126" i="1"/>
  <c r="I6126" i="1"/>
  <c r="H6126" i="1"/>
  <c r="G6126" i="1"/>
  <c r="F6126" i="1"/>
  <c r="E6126" i="1"/>
  <c r="D6126" i="1"/>
  <c r="C6126" i="1"/>
  <c r="A6126" i="1"/>
  <c r="R6125" i="1"/>
  <c r="N6125" i="1"/>
  <c r="J6125" i="1"/>
  <c r="I6125" i="1"/>
  <c r="H6125" i="1"/>
  <c r="G6125" i="1"/>
  <c r="F6125" i="1"/>
  <c r="E6125" i="1"/>
  <c r="D6125" i="1"/>
  <c r="C6125" i="1"/>
  <c r="A6125" i="1"/>
  <c r="R6124" i="1"/>
  <c r="Q6124" i="1"/>
  <c r="N6124" i="1"/>
  <c r="J6124" i="1"/>
  <c r="I6124" i="1"/>
  <c r="H6124" i="1"/>
  <c r="G6124" i="1"/>
  <c r="F6124" i="1"/>
  <c r="E6124" i="1"/>
  <c r="D6124" i="1"/>
  <c r="C6124" i="1"/>
  <c r="A6124" i="1"/>
  <c r="R6123" i="1"/>
  <c r="Q6123" i="1"/>
  <c r="N6123" i="1"/>
  <c r="J6123" i="1"/>
  <c r="I6123" i="1"/>
  <c r="H6123" i="1"/>
  <c r="G6123" i="1"/>
  <c r="F6123" i="1"/>
  <c r="E6123" i="1"/>
  <c r="D6123" i="1"/>
  <c r="C6123" i="1"/>
  <c r="A6123" i="1"/>
  <c r="R6122" i="1"/>
  <c r="Q6122" i="1"/>
  <c r="N6122" i="1"/>
  <c r="J6122" i="1"/>
  <c r="I6122" i="1"/>
  <c r="H6122" i="1"/>
  <c r="G6122" i="1"/>
  <c r="F6122" i="1"/>
  <c r="E6122" i="1"/>
  <c r="D6122" i="1"/>
  <c r="C6122" i="1"/>
  <c r="A6122" i="1"/>
  <c r="R6121" i="1"/>
  <c r="N6121" i="1"/>
  <c r="J6121" i="1"/>
  <c r="I6121" i="1"/>
  <c r="H6121" i="1"/>
  <c r="G6121" i="1"/>
  <c r="F6121" i="1"/>
  <c r="E6121" i="1"/>
  <c r="D6121" i="1"/>
  <c r="C6121" i="1"/>
  <c r="A6121" i="1"/>
  <c r="R6120" i="1"/>
  <c r="Q6120" i="1"/>
  <c r="N6120" i="1"/>
  <c r="J6120" i="1"/>
  <c r="I6120" i="1"/>
  <c r="H6120" i="1"/>
  <c r="G6120" i="1"/>
  <c r="F6120" i="1"/>
  <c r="E6120" i="1"/>
  <c r="D6120" i="1"/>
  <c r="C6120" i="1"/>
  <c r="A6120" i="1"/>
  <c r="R6119" i="1"/>
  <c r="N6119" i="1"/>
  <c r="J6119" i="1"/>
  <c r="I6119" i="1"/>
  <c r="H6119" i="1"/>
  <c r="G6119" i="1"/>
  <c r="F6119" i="1"/>
  <c r="E6119" i="1"/>
  <c r="D6119" i="1"/>
  <c r="C6119" i="1"/>
  <c r="A6119" i="1"/>
  <c r="R6118" i="1"/>
  <c r="Q6118" i="1"/>
  <c r="N6118" i="1"/>
  <c r="J6118" i="1"/>
  <c r="I6118" i="1"/>
  <c r="H6118" i="1"/>
  <c r="G6118" i="1"/>
  <c r="F6118" i="1"/>
  <c r="E6118" i="1"/>
  <c r="D6118" i="1"/>
  <c r="C6118" i="1"/>
  <c r="A6118" i="1"/>
  <c r="R6117" i="1"/>
  <c r="Q6117" i="1"/>
  <c r="N6117" i="1"/>
  <c r="J6117" i="1"/>
  <c r="I6117" i="1"/>
  <c r="H6117" i="1"/>
  <c r="G6117" i="1"/>
  <c r="F6117" i="1"/>
  <c r="E6117" i="1"/>
  <c r="D6117" i="1"/>
  <c r="C6117" i="1"/>
  <c r="A6117" i="1"/>
  <c r="R6116" i="1"/>
  <c r="N6116" i="1"/>
  <c r="J6116" i="1"/>
  <c r="I6116" i="1"/>
  <c r="H6116" i="1"/>
  <c r="G6116" i="1"/>
  <c r="F6116" i="1"/>
  <c r="E6116" i="1"/>
  <c r="D6116" i="1"/>
  <c r="C6116" i="1"/>
  <c r="A6116" i="1"/>
  <c r="R6115" i="1"/>
  <c r="Q6115" i="1"/>
  <c r="N6115" i="1"/>
  <c r="J6115" i="1"/>
  <c r="I6115" i="1"/>
  <c r="H6115" i="1"/>
  <c r="G6115" i="1"/>
  <c r="F6115" i="1"/>
  <c r="E6115" i="1"/>
  <c r="D6115" i="1"/>
  <c r="C6115" i="1"/>
  <c r="A6115" i="1"/>
  <c r="R6114" i="1"/>
  <c r="Q6114" i="1"/>
  <c r="N6114" i="1"/>
  <c r="J6114" i="1"/>
  <c r="I6114" i="1"/>
  <c r="H6114" i="1"/>
  <c r="G6114" i="1"/>
  <c r="F6114" i="1"/>
  <c r="E6114" i="1"/>
  <c r="D6114" i="1"/>
  <c r="C6114" i="1"/>
  <c r="A6114" i="1"/>
  <c r="R6113" i="1"/>
  <c r="N6113" i="1"/>
  <c r="J6113" i="1"/>
  <c r="I6113" i="1"/>
  <c r="H6113" i="1"/>
  <c r="G6113" i="1"/>
  <c r="F6113" i="1"/>
  <c r="E6113" i="1"/>
  <c r="D6113" i="1"/>
  <c r="C6113" i="1"/>
  <c r="A6113" i="1"/>
  <c r="R6112" i="1"/>
  <c r="Q6112" i="1"/>
  <c r="N6112" i="1"/>
  <c r="J6112" i="1"/>
  <c r="I6112" i="1"/>
  <c r="H6112" i="1"/>
  <c r="G6112" i="1"/>
  <c r="F6112" i="1"/>
  <c r="E6112" i="1"/>
  <c r="D6112" i="1"/>
  <c r="C6112" i="1"/>
  <c r="A6112" i="1"/>
  <c r="R6111" i="1"/>
  <c r="N6111" i="1"/>
  <c r="J6111" i="1"/>
  <c r="I6111" i="1"/>
  <c r="H6111" i="1"/>
  <c r="G6111" i="1"/>
  <c r="F6111" i="1"/>
  <c r="E6111" i="1"/>
  <c r="D6111" i="1"/>
  <c r="C6111" i="1"/>
  <c r="A6111" i="1"/>
  <c r="R6110" i="1"/>
  <c r="Q6110" i="1"/>
  <c r="N6110" i="1"/>
  <c r="J6110" i="1"/>
  <c r="I6110" i="1"/>
  <c r="H6110" i="1"/>
  <c r="G6110" i="1"/>
  <c r="F6110" i="1"/>
  <c r="E6110" i="1"/>
  <c r="D6110" i="1"/>
  <c r="C6110" i="1"/>
  <c r="A6110" i="1"/>
  <c r="R6109" i="1"/>
  <c r="N6109" i="1"/>
  <c r="J6109" i="1"/>
  <c r="I6109" i="1"/>
  <c r="H6109" i="1"/>
  <c r="G6109" i="1"/>
  <c r="F6109" i="1"/>
  <c r="E6109" i="1"/>
  <c r="D6109" i="1"/>
  <c r="C6109" i="1"/>
  <c r="B6109" i="1"/>
  <c r="A6109" i="1"/>
  <c r="R6108" i="1"/>
  <c r="Q6108" i="1"/>
  <c r="N6108" i="1"/>
  <c r="J6108" i="1"/>
  <c r="I6108" i="1"/>
  <c r="H6108" i="1"/>
  <c r="G6108" i="1"/>
  <c r="F6108" i="1"/>
  <c r="E6108" i="1"/>
  <c r="D6108" i="1"/>
  <c r="C6108" i="1"/>
  <c r="B6108" i="1"/>
  <c r="A6108" i="1"/>
  <c r="R6107" i="1"/>
  <c r="N6107" i="1"/>
  <c r="J6107" i="1"/>
  <c r="I6107" i="1"/>
  <c r="H6107" i="1"/>
  <c r="G6107" i="1"/>
  <c r="F6107" i="1"/>
  <c r="E6107" i="1"/>
  <c r="D6107" i="1"/>
  <c r="C6107" i="1"/>
  <c r="B6107" i="1"/>
  <c r="A6107" i="1"/>
  <c r="R6106" i="1"/>
  <c r="Q6106" i="1"/>
  <c r="N6106" i="1"/>
  <c r="J6106" i="1"/>
  <c r="I6106" i="1"/>
  <c r="H6106" i="1"/>
  <c r="G6106" i="1"/>
  <c r="F6106" i="1"/>
  <c r="E6106" i="1"/>
  <c r="D6106" i="1"/>
  <c r="C6106" i="1"/>
  <c r="A6106" i="1"/>
  <c r="R6105" i="1"/>
  <c r="N6105" i="1"/>
  <c r="J6105" i="1"/>
  <c r="I6105" i="1"/>
  <c r="H6105" i="1"/>
  <c r="G6105" i="1"/>
  <c r="F6105" i="1"/>
  <c r="E6105" i="1"/>
  <c r="D6105" i="1"/>
  <c r="C6105" i="1"/>
  <c r="A6105" i="1"/>
  <c r="R6104" i="1"/>
  <c r="Q6104" i="1"/>
  <c r="N6104" i="1"/>
  <c r="J6104" i="1"/>
  <c r="I6104" i="1"/>
  <c r="H6104" i="1"/>
  <c r="G6104" i="1"/>
  <c r="F6104" i="1"/>
  <c r="E6104" i="1"/>
  <c r="D6104" i="1"/>
  <c r="C6104" i="1"/>
  <c r="A6104" i="1"/>
  <c r="R6103" i="1"/>
  <c r="N6103" i="1"/>
  <c r="J6103" i="1"/>
  <c r="I6103" i="1"/>
  <c r="H6103" i="1"/>
  <c r="G6103" i="1"/>
  <c r="F6103" i="1"/>
  <c r="E6103" i="1"/>
  <c r="D6103" i="1"/>
  <c r="C6103" i="1"/>
  <c r="A6103" i="1"/>
  <c r="R6102" i="1"/>
  <c r="Q6102" i="1"/>
  <c r="N6102" i="1"/>
  <c r="J6102" i="1"/>
  <c r="I6102" i="1"/>
  <c r="H6102" i="1"/>
  <c r="G6102" i="1"/>
  <c r="F6102" i="1"/>
  <c r="E6102" i="1"/>
  <c r="D6102" i="1"/>
  <c r="C6102" i="1"/>
  <c r="A6102" i="1"/>
  <c r="R6101" i="1"/>
  <c r="N6101" i="1"/>
  <c r="J6101" i="1"/>
  <c r="I6101" i="1"/>
  <c r="H6101" i="1"/>
  <c r="G6101" i="1"/>
  <c r="F6101" i="1"/>
  <c r="E6101" i="1"/>
  <c r="D6101" i="1"/>
  <c r="C6101" i="1"/>
  <c r="A6101" i="1"/>
  <c r="R6100" i="1"/>
  <c r="Q6100" i="1"/>
  <c r="N6100" i="1"/>
  <c r="J6100" i="1"/>
  <c r="I6100" i="1"/>
  <c r="H6100" i="1"/>
  <c r="G6100" i="1"/>
  <c r="F6100" i="1"/>
  <c r="E6100" i="1"/>
  <c r="D6100" i="1"/>
  <c r="C6100" i="1"/>
  <c r="A6100" i="1"/>
  <c r="R6099" i="1"/>
  <c r="N6099" i="1"/>
  <c r="J6099" i="1"/>
  <c r="I6099" i="1"/>
  <c r="H6099" i="1"/>
  <c r="G6099" i="1"/>
  <c r="F6099" i="1"/>
  <c r="E6099" i="1"/>
  <c r="D6099" i="1"/>
  <c r="C6099" i="1"/>
  <c r="A6099" i="1"/>
  <c r="R6098" i="1"/>
  <c r="Q6098" i="1"/>
  <c r="N6098" i="1"/>
  <c r="J6098" i="1"/>
  <c r="I6098" i="1"/>
  <c r="H6098" i="1"/>
  <c r="G6098" i="1"/>
  <c r="F6098" i="1"/>
  <c r="E6098" i="1"/>
  <c r="D6098" i="1"/>
  <c r="C6098" i="1"/>
  <c r="A6098" i="1"/>
  <c r="R6097" i="1"/>
  <c r="N6097" i="1"/>
  <c r="J6097" i="1"/>
  <c r="I6097" i="1"/>
  <c r="H6097" i="1"/>
  <c r="G6097" i="1"/>
  <c r="F6097" i="1"/>
  <c r="E6097" i="1"/>
  <c r="D6097" i="1"/>
  <c r="C6097" i="1"/>
  <c r="A6097" i="1"/>
  <c r="R6096" i="1"/>
  <c r="Q6096" i="1"/>
  <c r="N6096" i="1"/>
  <c r="J6096" i="1"/>
  <c r="I6096" i="1"/>
  <c r="H6096" i="1"/>
  <c r="G6096" i="1"/>
  <c r="F6096" i="1"/>
  <c r="E6096" i="1"/>
  <c r="D6096" i="1"/>
  <c r="C6096" i="1"/>
  <c r="A6096" i="1"/>
  <c r="R6095" i="1"/>
  <c r="N6095" i="1"/>
  <c r="J6095" i="1"/>
  <c r="I6095" i="1"/>
  <c r="H6095" i="1"/>
  <c r="G6095" i="1"/>
  <c r="F6095" i="1"/>
  <c r="E6095" i="1"/>
  <c r="D6095" i="1"/>
  <c r="C6095" i="1"/>
  <c r="A6095" i="1"/>
  <c r="R6094" i="1"/>
  <c r="Q6094" i="1"/>
  <c r="N6094" i="1"/>
  <c r="J6094" i="1"/>
  <c r="I6094" i="1"/>
  <c r="H6094" i="1"/>
  <c r="G6094" i="1"/>
  <c r="F6094" i="1"/>
  <c r="E6094" i="1"/>
  <c r="D6094" i="1"/>
  <c r="C6094" i="1"/>
  <c r="A6094" i="1"/>
  <c r="R6093" i="1"/>
  <c r="N6093" i="1"/>
  <c r="J6093" i="1"/>
  <c r="I6093" i="1"/>
  <c r="H6093" i="1"/>
  <c r="G6093" i="1"/>
  <c r="F6093" i="1"/>
  <c r="E6093" i="1"/>
  <c r="D6093" i="1"/>
  <c r="C6093" i="1"/>
  <c r="A6093" i="1"/>
  <c r="R6092" i="1"/>
  <c r="Q6092" i="1"/>
  <c r="N6092" i="1"/>
  <c r="J6092" i="1"/>
  <c r="I6092" i="1"/>
  <c r="H6092" i="1"/>
  <c r="G6092" i="1"/>
  <c r="F6092" i="1"/>
  <c r="E6092" i="1"/>
  <c r="D6092" i="1"/>
  <c r="C6092" i="1"/>
  <c r="A6092" i="1"/>
  <c r="R6091" i="1"/>
  <c r="N6091" i="1"/>
  <c r="J6091" i="1"/>
  <c r="I6091" i="1"/>
  <c r="H6091" i="1"/>
  <c r="G6091" i="1"/>
  <c r="F6091" i="1"/>
  <c r="E6091" i="1"/>
  <c r="D6091" i="1"/>
  <c r="C6091" i="1"/>
  <c r="A6091" i="1"/>
  <c r="R6090" i="1"/>
  <c r="Q6090" i="1"/>
  <c r="N6090" i="1"/>
  <c r="J6090" i="1"/>
  <c r="I6090" i="1"/>
  <c r="H6090" i="1"/>
  <c r="G6090" i="1"/>
  <c r="F6090" i="1"/>
  <c r="E6090" i="1"/>
  <c r="D6090" i="1"/>
  <c r="C6090" i="1"/>
  <c r="A6090" i="1"/>
  <c r="R6089" i="1"/>
  <c r="N6089" i="1"/>
  <c r="J6089" i="1"/>
  <c r="I6089" i="1"/>
  <c r="H6089" i="1"/>
  <c r="G6089" i="1"/>
  <c r="F6089" i="1"/>
  <c r="E6089" i="1"/>
  <c r="D6089" i="1"/>
  <c r="C6089" i="1"/>
  <c r="A6089" i="1"/>
  <c r="R6088" i="1"/>
  <c r="Q6088" i="1"/>
  <c r="N6088" i="1"/>
  <c r="J6088" i="1"/>
  <c r="I6088" i="1"/>
  <c r="H6088" i="1"/>
  <c r="G6088" i="1"/>
  <c r="F6088" i="1"/>
  <c r="E6088" i="1"/>
  <c r="D6088" i="1"/>
  <c r="C6088" i="1"/>
  <c r="A6088" i="1"/>
  <c r="R6087" i="1"/>
  <c r="Q6087" i="1"/>
  <c r="N6087" i="1"/>
  <c r="J6087" i="1"/>
  <c r="I6087" i="1"/>
  <c r="H6087" i="1"/>
  <c r="G6087" i="1"/>
  <c r="F6087" i="1"/>
  <c r="E6087" i="1"/>
  <c r="D6087" i="1"/>
  <c r="C6087" i="1"/>
  <c r="A6087" i="1"/>
  <c r="R6086" i="1"/>
  <c r="Q6086" i="1"/>
  <c r="N6086" i="1"/>
  <c r="J6086" i="1"/>
  <c r="I6086" i="1"/>
  <c r="H6086" i="1"/>
  <c r="G6086" i="1"/>
  <c r="F6086" i="1"/>
  <c r="E6086" i="1"/>
  <c r="D6086" i="1"/>
  <c r="C6086" i="1"/>
  <c r="A6086" i="1"/>
  <c r="R6085" i="1"/>
  <c r="Q6085" i="1"/>
  <c r="N6085" i="1"/>
  <c r="J6085" i="1"/>
  <c r="I6085" i="1"/>
  <c r="H6085" i="1"/>
  <c r="G6085" i="1"/>
  <c r="F6085" i="1"/>
  <c r="E6085" i="1"/>
  <c r="D6085" i="1"/>
  <c r="C6085" i="1"/>
  <c r="A6085" i="1"/>
  <c r="R6084" i="1"/>
  <c r="Q6084" i="1"/>
  <c r="N6084" i="1"/>
  <c r="J6084" i="1"/>
  <c r="I6084" i="1"/>
  <c r="H6084" i="1"/>
  <c r="G6084" i="1"/>
  <c r="F6084" i="1"/>
  <c r="E6084" i="1"/>
  <c r="D6084" i="1"/>
  <c r="C6084" i="1"/>
  <c r="A6084" i="1"/>
  <c r="R6083" i="1"/>
  <c r="Q6083" i="1"/>
  <c r="N6083" i="1"/>
  <c r="J6083" i="1"/>
  <c r="I6083" i="1"/>
  <c r="H6083" i="1"/>
  <c r="G6083" i="1"/>
  <c r="F6083" i="1"/>
  <c r="E6083" i="1"/>
  <c r="D6083" i="1"/>
  <c r="C6083" i="1"/>
  <c r="A6083" i="1"/>
  <c r="R6082" i="1"/>
  <c r="Q6082" i="1"/>
  <c r="N6082" i="1"/>
  <c r="J6082" i="1"/>
  <c r="I6082" i="1"/>
  <c r="H6082" i="1"/>
  <c r="G6082" i="1"/>
  <c r="F6082" i="1"/>
  <c r="E6082" i="1"/>
  <c r="D6082" i="1"/>
  <c r="C6082" i="1"/>
  <c r="A6082" i="1"/>
  <c r="R6081" i="1"/>
  <c r="Q6081" i="1"/>
  <c r="N6081" i="1"/>
  <c r="J6081" i="1"/>
  <c r="I6081" i="1"/>
  <c r="H6081" i="1"/>
  <c r="G6081" i="1"/>
  <c r="F6081" i="1"/>
  <c r="E6081" i="1"/>
  <c r="D6081" i="1"/>
  <c r="C6081" i="1"/>
  <c r="A6081" i="1"/>
  <c r="R6080" i="1"/>
  <c r="Q6080" i="1"/>
  <c r="N6080" i="1"/>
  <c r="J6080" i="1"/>
  <c r="I6080" i="1"/>
  <c r="H6080" i="1"/>
  <c r="G6080" i="1"/>
  <c r="F6080" i="1"/>
  <c r="E6080" i="1"/>
  <c r="D6080" i="1"/>
  <c r="C6080" i="1"/>
  <c r="A6080" i="1"/>
  <c r="R6079" i="1"/>
  <c r="Q6079" i="1"/>
  <c r="N6079" i="1"/>
  <c r="J6079" i="1"/>
  <c r="I6079" i="1"/>
  <c r="H6079" i="1"/>
  <c r="G6079" i="1"/>
  <c r="F6079" i="1"/>
  <c r="E6079" i="1"/>
  <c r="D6079" i="1"/>
  <c r="C6079" i="1"/>
  <c r="A6079" i="1"/>
  <c r="R6078" i="1"/>
  <c r="N6078" i="1"/>
  <c r="J6078" i="1"/>
  <c r="I6078" i="1"/>
  <c r="H6078" i="1"/>
  <c r="G6078" i="1"/>
  <c r="F6078" i="1"/>
  <c r="E6078" i="1"/>
  <c r="D6078" i="1"/>
  <c r="C6078" i="1"/>
  <c r="A6078" i="1"/>
  <c r="R6077" i="1"/>
  <c r="Q6077" i="1"/>
  <c r="N6077" i="1"/>
  <c r="J6077" i="1"/>
  <c r="I6077" i="1"/>
  <c r="H6077" i="1"/>
  <c r="G6077" i="1"/>
  <c r="F6077" i="1"/>
  <c r="E6077" i="1"/>
  <c r="D6077" i="1"/>
  <c r="C6077" i="1"/>
  <c r="A6077" i="1"/>
  <c r="R6076" i="1"/>
  <c r="Q6076" i="1"/>
  <c r="N6076" i="1"/>
  <c r="J6076" i="1"/>
  <c r="I6076" i="1"/>
  <c r="H6076" i="1"/>
  <c r="G6076" i="1"/>
  <c r="F6076" i="1"/>
  <c r="E6076" i="1"/>
  <c r="D6076" i="1"/>
  <c r="C6076" i="1"/>
  <c r="A6076" i="1"/>
  <c r="R6075" i="1"/>
  <c r="Q6075" i="1"/>
  <c r="N6075" i="1"/>
  <c r="J6075" i="1"/>
  <c r="I6075" i="1"/>
  <c r="H6075" i="1"/>
  <c r="G6075" i="1"/>
  <c r="F6075" i="1"/>
  <c r="E6075" i="1"/>
  <c r="D6075" i="1"/>
  <c r="C6075" i="1"/>
  <c r="A6075" i="1"/>
  <c r="R6074" i="1"/>
  <c r="Q6074" i="1"/>
  <c r="N6074" i="1"/>
  <c r="J6074" i="1"/>
  <c r="I6074" i="1"/>
  <c r="H6074" i="1"/>
  <c r="G6074" i="1"/>
  <c r="F6074" i="1"/>
  <c r="E6074" i="1"/>
  <c r="D6074" i="1"/>
  <c r="C6074" i="1"/>
  <c r="A6074" i="1"/>
  <c r="R6073" i="1"/>
  <c r="Q6073" i="1"/>
  <c r="N6073" i="1"/>
  <c r="J6073" i="1"/>
  <c r="I6073" i="1"/>
  <c r="H6073" i="1"/>
  <c r="G6073" i="1"/>
  <c r="F6073" i="1"/>
  <c r="E6073" i="1"/>
  <c r="D6073" i="1"/>
  <c r="C6073" i="1"/>
  <c r="A6073" i="1"/>
  <c r="R6072" i="1"/>
  <c r="Q6072" i="1"/>
  <c r="N6072" i="1"/>
  <c r="J6072" i="1"/>
  <c r="I6072" i="1"/>
  <c r="H6072" i="1"/>
  <c r="G6072" i="1"/>
  <c r="F6072" i="1"/>
  <c r="E6072" i="1"/>
  <c r="D6072" i="1"/>
  <c r="C6072" i="1"/>
  <c r="A6072" i="1"/>
  <c r="R6071" i="1"/>
  <c r="Q6071" i="1"/>
  <c r="N6071" i="1"/>
  <c r="J6071" i="1"/>
  <c r="I6071" i="1"/>
  <c r="H6071" i="1"/>
  <c r="G6071" i="1"/>
  <c r="F6071" i="1"/>
  <c r="E6071" i="1"/>
  <c r="D6071" i="1"/>
  <c r="C6071" i="1"/>
  <c r="A6071" i="1"/>
  <c r="R6070" i="1"/>
  <c r="Q6070" i="1"/>
  <c r="N6070" i="1"/>
  <c r="J6070" i="1"/>
  <c r="I6070" i="1"/>
  <c r="H6070" i="1"/>
  <c r="G6070" i="1"/>
  <c r="F6070" i="1"/>
  <c r="E6070" i="1"/>
  <c r="D6070" i="1"/>
  <c r="C6070" i="1"/>
  <c r="A6070" i="1"/>
  <c r="R6069" i="1"/>
  <c r="Q6069" i="1"/>
  <c r="N6069" i="1"/>
  <c r="J6069" i="1"/>
  <c r="I6069" i="1"/>
  <c r="H6069" i="1"/>
  <c r="G6069" i="1"/>
  <c r="F6069" i="1"/>
  <c r="E6069" i="1"/>
  <c r="D6069" i="1"/>
  <c r="C6069" i="1"/>
  <c r="A6069" i="1"/>
  <c r="R6068" i="1"/>
  <c r="Q6068" i="1"/>
  <c r="N6068" i="1"/>
  <c r="J6068" i="1"/>
  <c r="I6068" i="1"/>
  <c r="H6068" i="1"/>
  <c r="G6068" i="1"/>
  <c r="F6068" i="1"/>
  <c r="E6068" i="1"/>
  <c r="D6068" i="1"/>
  <c r="C6068" i="1"/>
  <c r="A6068" i="1"/>
  <c r="R6067" i="1"/>
  <c r="Q6067" i="1"/>
  <c r="N6067" i="1"/>
  <c r="J6067" i="1"/>
  <c r="I6067" i="1"/>
  <c r="H6067" i="1"/>
  <c r="G6067" i="1"/>
  <c r="F6067" i="1"/>
  <c r="E6067" i="1"/>
  <c r="D6067" i="1"/>
  <c r="C6067" i="1"/>
  <c r="A6067" i="1"/>
  <c r="R6066" i="1"/>
  <c r="Q6066" i="1"/>
  <c r="N6066" i="1"/>
  <c r="J6066" i="1"/>
  <c r="I6066" i="1"/>
  <c r="H6066" i="1"/>
  <c r="G6066" i="1"/>
  <c r="F6066" i="1"/>
  <c r="E6066" i="1"/>
  <c r="D6066" i="1"/>
  <c r="C6066" i="1"/>
  <c r="A6066" i="1"/>
  <c r="R6065" i="1"/>
  <c r="Q6065" i="1"/>
  <c r="N6065" i="1"/>
  <c r="J6065" i="1"/>
  <c r="I6065" i="1"/>
  <c r="H6065" i="1"/>
  <c r="G6065" i="1"/>
  <c r="F6065" i="1"/>
  <c r="E6065" i="1"/>
  <c r="D6065" i="1"/>
  <c r="C6065" i="1"/>
  <c r="A6065" i="1"/>
  <c r="R6064" i="1"/>
  <c r="Q6064" i="1"/>
  <c r="N6064" i="1"/>
  <c r="J6064" i="1"/>
  <c r="I6064" i="1"/>
  <c r="H6064" i="1"/>
  <c r="G6064" i="1"/>
  <c r="F6064" i="1"/>
  <c r="E6064" i="1"/>
  <c r="D6064" i="1"/>
  <c r="C6064" i="1"/>
  <c r="A6064" i="1"/>
  <c r="R6063" i="1"/>
  <c r="Q6063" i="1"/>
  <c r="N6063" i="1"/>
  <c r="J6063" i="1"/>
  <c r="I6063" i="1"/>
  <c r="H6063" i="1"/>
  <c r="G6063" i="1"/>
  <c r="F6063" i="1"/>
  <c r="E6063" i="1"/>
  <c r="D6063" i="1"/>
  <c r="C6063" i="1"/>
  <c r="A6063" i="1"/>
  <c r="R6062" i="1"/>
  <c r="Q6062" i="1"/>
  <c r="N6062" i="1"/>
  <c r="J6062" i="1"/>
  <c r="I6062" i="1"/>
  <c r="H6062" i="1"/>
  <c r="G6062" i="1"/>
  <c r="F6062" i="1"/>
  <c r="E6062" i="1"/>
  <c r="D6062" i="1"/>
  <c r="C6062" i="1"/>
  <c r="A6062" i="1"/>
  <c r="R6061" i="1"/>
  <c r="Q6061" i="1"/>
  <c r="N6061" i="1"/>
  <c r="J6061" i="1"/>
  <c r="I6061" i="1"/>
  <c r="H6061" i="1"/>
  <c r="G6061" i="1"/>
  <c r="F6061" i="1"/>
  <c r="E6061" i="1"/>
  <c r="D6061" i="1"/>
  <c r="C6061" i="1"/>
  <c r="A6061" i="1"/>
  <c r="R6060" i="1"/>
  <c r="Q6060" i="1"/>
  <c r="N6060" i="1"/>
  <c r="J6060" i="1"/>
  <c r="I6060" i="1"/>
  <c r="H6060" i="1"/>
  <c r="G6060" i="1"/>
  <c r="F6060" i="1"/>
  <c r="E6060" i="1"/>
  <c r="D6060" i="1"/>
  <c r="C6060" i="1"/>
  <c r="A6060" i="1"/>
  <c r="R6059" i="1"/>
  <c r="Q6059" i="1"/>
  <c r="N6059" i="1"/>
  <c r="J6059" i="1"/>
  <c r="I6059" i="1"/>
  <c r="H6059" i="1"/>
  <c r="G6059" i="1"/>
  <c r="F6059" i="1"/>
  <c r="E6059" i="1"/>
  <c r="D6059" i="1"/>
  <c r="C6059" i="1"/>
  <c r="A6059" i="1"/>
  <c r="R6058" i="1"/>
  <c r="Q6058" i="1"/>
  <c r="N6058" i="1"/>
  <c r="J6058" i="1"/>
  <c r="I6058" i="1"/>
  <c r="H6058" i="1"/>
  <c r="G6058" i="1"/>
  <c r="F6058" i="1"/>
  <c r="E6058" i="1"/>
  <c r="D6058" i="1"/>
  <c r="C6058" i="1"/>
  <c r="A6058" i="1"/>
  <c r="R6057" i="1"/>
  <c r="Q6057" i="1"/>
  <c r="N6057" i="1"/>
  <c r="J6057" i="1"/>
  <c r="I6057" i="1"/>
  <c r="H6057" i="1"/>
  <c r="G6057" i="1"/>
  <c r="F6057" i="1"/>
  <c r="E6057" i="1"/>
  <c r="D6057" i="1"/>
  <c r="C6057" i="1"/>
  <c r="A6057" i="1"/>
  <c r="R6056" i="1"/>
  <c r="Q6056" i="1"/>
  <c r="N6056" i="1"/>
  <c r="J6056" i="1"/>
  <c r="I6056" i="1"/>
  <c r="H6056" i="1"/>
  <c r="G6056" i="1"/>
  <c r="F6056" i="1"/>
  <c r="E6056" i="1"/>
  <c r="D6056" i="1"/>
  <c r="C6056" i="1"/>
  <c r="A6056" i="1"/>
  <c r="R6055" i="1"/>
  <c r="Q6055" i="1"/>
  <c r="N6055" i="1"/>
  <c r="J6055" i="1"/>
  <c r="I6055" i="1"/>
  <c r="H6055" i="1"/>
  <c r="G6055" i="1"/>
  <c r="F6055" i="1"/>
  <c r="E6055" i="1"/>
  <c r="D6055" i="1"/>
  <c r="C6055" i="1"/>
  <c r="A6055" i="1"/>
  <c r="R6054" i="1"/>
  <c r="Q6054" i="1"/>
  <c r="N6054" i="1"/>
  <c r="J6054" i="1"/>
  <c r="I6054" i="1"/>
  <c r="H6054" i="1"/>
  <c r="G6054" i="1"/>
  <c r="F6054" i="1"/>
  <c r="E6054" i="1"/>
  <c r="D6054" i="1"/>
  <c r="C6054" i="1"/>
  <c r="A6054" i="1"/>
  <c r="R6053" i="1"/>
  <c r="Q6053" i="1"/>
  <c r="N6053" i="1"/>
  <c r="J6053" i="1"/>
  <c r="I6053" i="1"/>
  <c r="H6053" i="1"/>
  <c r="G6053" i="1"/>
  <c r="F6053" i="1"/>
  <c r="E6053" i="1"/>
  <c r="D6053" i="1"/>
  <c r="C6053" i="1"/>
  <c r="A6053" i="1"/>
  <c r="R6052" i="1"/>
  <c r="Q6052" i="1"/>
  <c r="N6052" i="1"/>
  <c r="J6052" i="1"/>
  <c r="I6052" i="1"/>
  <c r="H6052" i="1"/>
  <c r="G6052" i="1"/>
  <c r="F6052" i="1"/>
  <c r="E6052" i="1"/>
  <c r="D6052" i="1"/>
  <c r="C6052" i="1"/>
  <c r="A6052" i="1"/>
  <c r="R6051" i="1"/>
  <c r="Q6051" i="1"/>
  <c r="N6051" i="1"/>
  <c r="J6051" i="1"/>
  <c r="I6051" i="1"/>
  <c r="H6051" i="1"/>
  <c r="G6051" i="1"/>
  <c r="F6051" i="1"/>
  <c r="E6051" i="1"/>
  <c r="D6051" i="1"/>
  <c r="C6051" i="1"/>
  <c r="A6051" i="1"/>
  <c r="R6050" i="1"/>
  <c r="Q6050" i="1"/>
  <c r="N6050" i="1"/>
  <c r="J6050" i="1"/>
  <c r="I6050" i="1"/>
  <c r="H6050" i="1"/>
  <c r="G6050" i="1"/>
  <c r="F6050" i="1"/>
  <c r="E6050" i="1"/>
  <c r="D6050" i="1"/>
  <c r="C6050" i="1"/>
  <c r="A6050" i="1"/>
  <c r="R6049" i="1"/>
  <c r="Q6049" i="1"/>
  <c r="N6049" i="1"/>
  <c r="J6049" i="1"/>
  <c r="I6049" i="1"/>
  <c r="H6049" i="1"/>
  <c r="G6049" i="1"/>
  <c r="F6049" i="1"/>
  <c r="E6049" i="1"/>
  <c r="D6049" i="1"/>
  <c r="C6049" i="1"/>
  <c r="A6049" i="1"/>
  <c r="R6048" i="1"/>
  <c r="Q6048" i="1"/>
  <c r="N6048" i="1"/>
  <c r="J6048" i="1"/>
  <c r="I6048" i="1"/>
  <c r="H6048" i="1"/>
  <c r="G6048" i="1"/>
  <c r="F6048" i="1"/>
  <c r="E6048" i="1"/>
  <c r="D6048" i="1"/>
  <c r="C6048" i="1"/>
  <c r="A6048" i="1"/>
  <c r="R6047" i="1"/>
  <c r="Q6047" i="1"/>
  <c r="N6047" i="1"/>
  <c r="J6047" i="1"/>
  <c r="I6047" i="1"/>
  <c r="H6047" i="1"/>
  <c r="G6047" i="1"/>
  <c r="F6047" i="1"/>
  <c r="E6047" i="1"/>
  <c r="D6047" i="1"/>
  <c r="C6047" i="1"/>
  <c r="A6047" i="1"/>
  <c r="R6046" i="1"/>
  <c r="Q6046" i="1"/>
  <c r="N6046" i="1"/>
  <c r="J6046" i="1"/>
  <c r="I6046" i="1"/>
  <c r="H6046" i="1"/>
  <c r="G6046" i="1"/>
  <c r="F6046" i="1"/>
  <c r="E6046" i="1"/>
  <c r="D6046" i="1"/>
  <c r="C6046" i="1"/>
  <c r="A6046" i="1"/>
  <c r="R6045" i="1"/>
  <c r="Q6045" i="1"/>
  <c r="N6045" i="1"/>
  <c r="J6045" i="1"/>
  <c r="I6045" i="1"/>
  <c r="H6045" i="1"/>
  <c r="G6045" i="1"/>
  <c r="F6045" i="1"/>
  <c r="E6045" i="1"/>
  <c r="D6045" i="1"/>
  <c r="C6045" i="1"/>
  <c r="A6045" i="1"/>
  <c r="R6044" i="1"/>
  <c r="Q6044" i="1"/>
  <c r="N6044" i="1"/>
  <c r="J6044" i="1"/>
  <c r="I6044" i="1"/>
  <c r="H6044" i="1"/>
  <c r="G6044" i="1"/>
  <c r="F6044" i="1"/>
  <c r="E6044" i="1"/>
  <c r="D6044" i="1"/>
  <c r="C6044" i="1"/>
  <c r="A6044" i="1"/>
  <c r="R6043" i="1"/>
  <c r="Q6043" i="1"/>
  <c r="N6043" i="1"/>
  <c r="J6043" i="1"/>
  <c r="I6043" i="1"/>
  <c r="H6043" i="1"/>
  <c r="G6043" i="1"/>
  <c r="F6043" i="1"/>
  <c r="E6043" i="1"/>
  <c r="D6043" i="1"/>
  <c r="C6043" i="1"/>
  <c r="A6043" i="1"/>
  <c r="R6042" i="1"/>
  <c r="Q6042" i="1"/>
  <c r="N6042" i="1"/>
  <c r="J6042" i="1"/>
  <c r="I6042" i="1"/>
  <c r="H6042" i="1"/>
  <c r="G6042" i="1"/>
  <c r="F6042" i="1"/>
  <c r="E6042" i="1"/>
  <c r="D6042" i="1"/>
  <c r="C6042" i="1"/>
  <c r="A6042" i="1"/>
  <c r="R6041" i="1"/>
  <c r="Q6041" i="1"/>
  <c r="N6041" i="1"/>
  <c r="J6041" i="1"/>
  <c r="I6041" i="1"/>
  <c r="H6041" i="1"/>
  <c r="G6041" i="1"/>
  <c r="F6041" i="1"/>
  <c r="E6041" i="1"/>
  <c r="D6041" i="1"/>
  <c r="C6041" i="1"/>
  <c r="A6041" i="1"/>
  <c r="R6040" i="1"/>
  <c r="Q6040" i="1"/>
  <c r="N6040" i="1"/>
  <c r="J6040" i="1"/>
  <c r="I6040" i="1"/>
  <c r="H6040" i="1"/>
  <c r="G6040" i="1"/>
  <c r="F6040" i="1"/>
  <c r="E6040" i="1"/>
  <c r="D6040" i="1"/>
  <c r="C6040" i="1"/>
  <c r="A6040" i="1"/>
  <c r="R6039" i="1"/>
  <c r="Q6039" i="1"/>
  <c r="N6039" i="1"/>
  <c r="J6039" i="1"/>
  <c r="I6039" i="1"/>
  <c r="H6039" i="1"/>
  <c r="G6039" i="1"/>
  <c r="F6039" i="1"/>
  <c r="E6039" i="1"/>
  <c r="D6039" i="1"/>
  <c r="C6039" i="1"/>
  <c r="A6039" i="1"/>
  <c r="R6038" i="1"/>
  <c r="Q6038" i="1"/>
  <c r="N6038" i="1"/>
  <c r="J6038" i="1"/>
  <c r="I6038" i="1"/>
  <c r="H6038" i="1"/>
  <c r="G6038" i="1"/>
  <c r="F6038" i="1"/>
  <c r="E6038" i="1"/>
  <c r="D6038" i="1"/>
  <c r="C6038" i="1"/>
  <c r="A6038" i="1"/>
  <c r="R6037" i="1"/>
  <c r="Q6037" i="1"/>
  <c r="N6037" i="1"/>
  <c r="J6037" i="1"/>
  <c r="I6037" i="1"/>
  <c r="H6037" i="1"/>
  <c r="G6037" i="1"/>
  <c r="F6037" i="1"/>
  <c r="E6037" i="1"/>
  <c r="D6037" i="1"/>
  <c r="C6037" i="1"/>
  <c r="A6037" i="1"/>
  <c r="R6036" i="1"/>
  <c r="Q6036" i="1"/>
  <c r="N6036" i="1"/>
  <c r="J6036" i="1"/>
  <c r="I6036" i="1"/>
  <c r="H6036" i="1"/>
  <c r="G6036" i="1"/>
  <c r="F6036" i="1"/>
  <c r="E6036" i="1"/>
  <c r="D6036" i="1"/>
  <c r="C6036" i="1"/>
  <c r="A6036" i="1"/>
  <c r="R6035" i="1"/>
  <c r="Q6035" i="1"/>
  <c r="N6035" i="1"/>
  <c r="J6035" i="1"/>
  <c r="I6035" i="1"/>
  <c r="H6035" i="1"/>
  <c r="G6035" i="1"/>
  <c r="F6035" i="1"/>
  <c r="E6035" i="1"/>
  <c r="D6035" i="1"/>
  <c r="C6035" i="1"/>
  <c r="A6035" i="1"/>
  <c r="R6034" i="1"/>
  <c r="Q6034" i="1"/>
  <c r="N6034" i="1"/>
  <c r="J6034" i="1"/>
  <c r="I6034" i="1"/>
  <c r="H6034" i="1"/>
  <c r="G6034" i="1"/>
  <c r="F6034" i="1"/>
  <c r="E6034" i="1"/>
  <c r="D6034" i="1"/>
  <c r="C6034" i="1"/>
  <c r="A6034" i="1"/>
  <c r="R6033" i="1"/>
  <c r="Q6033" i="1"/>
  <c r="N6033" i="1"/>
  <c r="J6033" i="1"/>
  <c r="I6033" i="1"/>
  <c r="H6033" i="1"/>
  <c r="G6033" i="1"/>
  <c r="F6033" i="1"/>
  <c r="E6033" i="1"/>
  <c r="D6033" i="1"/>
  <c r="C6033" i="1"/>
  <c r="A6033" i="1"/>
  <c r="R6032" i="1"/>
  <c r="Q6032" i="1"/>
  <c r="N6032" i="1"/>
  <c r="J6032" i="1"/>
  <c r="I6032" i="1"/>
  <c r="H6032" i="1"/>
  <c r="G6032" i="1"/>
  <c r="F6032" i="1"/>
  <c r="E6032" i="1"/>
  <c r="D6032" i="1"/>
  <c r="C6032" i="1"/>
  <c r="A6032" i="1"/>
  <c r="R6031" i="1"/>
  <c r="Q6031" i="1"/>
  <c r="N6031" i="1"/>
  <c r="J6031" i="1"/>
  <c r="I6031" i="1"/>
  <c r="H6031" i="1"/>
  <c r="G6031" i="1"/>
  <c r="F6031" i="1"/>
  <c r="E6031" i="1"/>
  <c r="D6031" i="1"/>
  <c r="C6031" i="1"/>
  <c r="A6031" i="1"/>
  <c r="R6030" i="1"/>
  <c r="N6030" i="1"/>
  <c r="J6030" i="1"/>
  <c r="I6030" i="1"/>
  <c r="H6030" i="1"/>
  <c r="G6030" i="1"/>
  <c r="F6030" i="1"/>
  <c r="E6030" i="1"/>
  <c r="D6030" i="1"/>
  <c r="C6030" i="1"/>
  <c r="A6030" i="1"/>
  <c r="R6029" i="1"/>
  <c r="Q6029" i="1"/>
  <c r="N6029" i="1"/>
  <c r="J6029" i="1"/>
  <c r="I6029" i="1"/>
  <c r="H6029" i="1"/>
  <c r="G6029" i="1"/>
  <c r="F6029" i="1"/>
  <c r="E6029" i="1"/>
  <c r="D6029" i="1"/>
  <c r="C6029" i="1"/>
  <c r="A6029" i="1"/>
  <c r="R6028" i="1"/>
  <c r="Q6028" i="1"/>
  <c r="N6028" i="1"/>
  <c r="J6028" i="1"/>
  <c r="I6028" i="1"/>
  <c r="H6028" i="1"/>
  <c r="G6028" i="1"/>
  <c r="F6028" i="1"/>
  <c r="E6028" i="1"/>
  <c r="D6028" i="1"/>
  <c r="C6028" i="1"/>
  <c r="A6028" i="1"/>
  <c r="R6027" i="1"/>
  <c r="Q6027" i="1"/>
  <c r="N6027" i="1"/>
  <c r="J6027" i="1"/>
  <c r="I6027" i="1"/>
  <c r="H6027" i="1"/>
  <c r="G6027" i="1"/>
  <c r="F6027" i="1"/>
  <c r="E6027" i="1"/>
  <c r="D6027" i="1"/>
  <c r="C6027" i="1"/>
  <c r="A6027" i="1"/>
  <c r="R6026" i="1"/>
  <c r="Q6026" i="1"/>
  <c r="N6026" i="1"/>
  <c r="J6026" i="1"/>
  <c r="I6026" i="1"/>
  <c r="H6026" i="1"/>
  <c r="G6026" i="1"/>
  <c r="F6026" i="1"/>
  <c r="E6026" i="1"/>
  <c r="D6026" i="1"/>
  <c r="C6026" i="1"/>
  <c r="A6026" i="1"/>
  <c r="R6025" i="1"/>
  <c r="Q6025" i="1"/>
  <c r="N6025" i="1"/>
  <c r="J6025" i="1"/>
  <c r="I6025" i="1"/>
  <c r="H6025" i="1"/>
  <c r="G6025" i="1"/>
  <c r="F6025" i="1"/>
  <c r="E6025" i="1"/>
  <c r="D6025" i="1"/>
  <c r="C6025" i="1"/>
  <c r="A6025" i="1"/>
  <c r="R6024" i="1"/>
  <c r="Q6024" i="1"/>
  <c r="N6024" i="1"/>
  <c r="J6024" i="1"/>
  <c r="I6024" i="1"/>
  <c r="H6024" i="1"/>
  <c r="G6024" i="1"/>
  <c r="F6024" i="1"/>
  <c r="E6024" i="1"/>
  <c r="D6024" i="1"/>
  <c r="C6024" i="1"/>
  <c r="A6024" i="1"/>
  <c r="R6023" i="1"/>
  <c r="Q6023" i="1"/>
  <c r="N6023" i="1"/>
  <c r="J6023" i="1"/>
  <c r="I6023" i="1"/>
  <c r="H6023" i="1"/>
  <c r="G6023" i="1"/>
  <c r="F6023" i="1"/>
  <c r="E6023" i="1"/>
  <c r="D6023" i="1"/>
  <c r="C6023" i="1"/>
  <c r="A6023" i="1"/>
  <c r="R6022" i="1"/>
  <c r="Q6022" i="1"/>
  <c r="N6022" i="1"/>
  <c r="J6022" i="1"/>
  <c r="I6022" i="1"/>
  <c r="H6022" i="1"/>
  <c r="G6022" i="1"/>
  <c r="F6022" i="1"/>
  <c r="E6022" i="1"/>
  <c r="D6022" i="1"/>
  <c r="C6022" i="1"/>
  <c r="A6022" i="1"/>
  <c r="R6021" i="1"/>
  <c r="Q6021" i="1"/>
  <c r="N6021" i="1"/>
  <c r="J6021" i="1"/>
  <c r="I6021" i="1"/>
  <c r="H6021" i="1"/>
  <c r="G6021" i="1"/>
  <c r="F6021" i="1"/>
  <c r="E6021" i="1"/>
  <c r="D6021" i="1"/>
  <c r="C6021" i="1"/>
  <c r="A6021" i="1"/>
  <c r="R6020" i="1"/>
  <c r="Q6020" i="1"/>
  <c r="N6020" i="1"/>
  <c r="J6020" i="1"/>
  <c r="I6020" i="1"/>
  <c r="H6020" i="1"/>
  <c r="G6020" i="1"/>
  <c r="F6020" i="1"/>
  <c r="E6020" i="1"/>
  <c r="D6020" i="1"/>
  <c r="C6020" i="1"/>
  <c r="A6020" i="1"/>
  <c r="R6019" i="1"/>
  <c r="Q6019" i="1"/>
  <c r="N6019" i="1"/>
  <c r="J6019" i="1"/>
  <c r="I6019" i="1"/>
  <c r="H6019" i="1"/>
  <c r="G6019" i="1"/>
  <c r="F6019" i="1"/>
  <c r="E6019" i="1"/>
  <c r="D6019" i="1"/>
  <c r="C6019" i="1"/>
  <c r="A6019" i="1"/>
  <c r="R6018" i="1"/>
  <c r="Q6018" i="1"/>
  <c r="N6018" i="1"/>
  <c r="J6018" i="1"/>
  <c r="I6018" i="1"/>
  <c r="H6018" i="1"/>
  <c r="G6018" i="1"/>
  <c r="F6018" i="1"/>
  <c r="E6018" i="1"/>
  <c r="D6018" i="1"/>
  <c r="C6018" i="1"/>
  <c r="A6018" i="1"/>
  <c r="R6017" i="1"/>
  <c r="N6017" i="1"/>
  <c r="J6017" i="1"/>
  <c r="I6017" i="1"/>
  <c r="H6017" i="1"/>
  <c r="G6017" i="1"/>
  <c r="F6017" i="1"/>
  <c r="E6017" i="1"/>
  <c r="D6017" i="1"/>
  <c r="C6017" i="1"/>
  <c r="B6017" i="1"/>
  <c r="A6017" i="1"/>
  <c r="R6016" i="1"/>
  <c r="Q6016" i="1"/>
  <c r="N6016" i="1"/>
  <c r="J6016" i="1"/>
  <c r="I6016" i="1"/>
  <c r="H6016" i="1"/>
  <c r="G6016" i="1"/>
  <c r="F6016" i="1"/>
  <c r="E6016" i="1"/>
  <c r="D6016" i="1"/>
  <c r="C6016" i="1"/>
  <c r="B6016" i="1"/>
  <c r="A6016" i="1"/>
  <c r="R6015" i="1"/>
  <c r="N6015" i="1"/>
  <c r="J6015" i="1"/>
  <c r="I6015" i="1"/>
  <c r="H6015" i="1"/>
  <c r="G6015" i="1"/>
  <c r="F6015" i="1"/>
  <c r="E6015" i="1"/>
  <c r="D6015" i="1"/>
  <c r="C6015" i="1"/>
  <c r="B6015" i="1"/>
  <c r="A6015" i="1"/>
  <c r="R6014" i="1"/>
  <c r="Q6014" i="1"/>
  <c r="N6014" i="1"/>
  <c r="J6014" i="1"/>
  <c r="I6014" i="1"/>
  <c r="H6014" i="1"/>
  <c r="G6014" i="1"/>
  <c r="F6014" i="1"/>
  <c r="E6014" i="1"/>
  <c r="D6014" i="1"/>
  <c r="C6014" i="1"/>
  <c r="B6014" i="1"/>
  <c r="A6014" i="1"/>
  <c r="R6013" i="1"/>
  <c r="N6013" i="1"/>
  <c r="J6013" i="1"/>
  <c r="I6013" i="1"/>
  <c r="H6013" i="1"/>
  <c r="G6013" i="1"/>
  <c r="F6013" i="1"/>
  <c r="E6013" i="1"/>
  <c r="D6013" i="1"/>
  <c r="C6013" i="1"/>
  <c r="B6013" i="1"/>
  <c r="A6013" i="1"/>
  <c r="R6012" i="1"/>
  <c r="Q6012" i="1"/>
  <c r="N6012" i="1"/>
  <c r="J6012" i="1"/>
  <c r="I6012" i="1"/>
  <c r="H6012" i="1"/>
  <c r="G6012" i="1"/>
  <c r="F6012" i="1"/>
  <c r="E6012" i="1"/>
  <c r="D6012" i="1"/>
  <c r="C6012" i="1"/>
  <c r="A6012" i="1"/>
  <c r="R6011" i="1"/>
  <c r="N6011" i="1"/>
  <c r="J6011" i="1"/>
  <c r="I6011" i="1"/>
  <c r="H6011" i="1"/>
  <c r="G6011" i="1"/>
  <c r="F6011" i="1"/>
  <c r="E6011" i="1"/>
  <c r="D6011" i="1"/>
  <c r="C6011" i="1"/>
  <c r="B6011" i="1"/>
  <c r="A6011" i="1"/>
  <c r="R6010" i="1"/>
  <c r="N6010" i="1"/>
  <c r="J6010" i="1"/>
  <c r="I6010" i="1"/>
  <c r="H6010" i="1"/>
  <c r="G6010" i="1"/>
  <c r="F6010" i="1"/>
  <c r="E6010" i="1"/>
  <c r="D6010" i="1"/>
  <c r="C6010" i="1"/>
  <c r="B6010" i="1"/>
  <c r="A6010" i="1"/>
  <c r="R6009" i="1"/>
  <c r="Q6009" i="1"/>
  <c r="N6009" i="1"/>
  <c r="J6009" i="1"/>
  <c r="I6009" i="1"/>
  <c r="H6009" i="1"/>
  <c r="G6009" i="1"/>
  <c r="F6009" i="1"/>
  <c r="E6009" i="1"/>
  <c r="D6009" i="1"/>
  <c r="C6009" i="1"/>
  <c r="B6009" i="1"/>
  <c r="A6009" i="1"/>
  <c r="R6008" i="1"/>
  <c r="N6008" i="1"/>
  <c r="J6008" i="1"/>
  <c r="I6008" i="1"/>
  <c r="H6008" i="1"/>
  <c r="G6008" i="1"/>
  <c r="F6008" i="1"/>
  <c r="E6008" i="1"/>
  <c r="D6008" i="1"/>
  <c r="C6008" i="1"/>
  <c r="B6008" i="1"/>
  <c r="A6008" i="1"/>
  <c r="R6007" i="1"/>
  <c r="Q6007" i="1"/>
  <c r="N6007" i="1"/>
  <c r="J6007" i="1"/>
  <c r="I6007" i="1"/>
  <c r="H6007" i="1"/>
  <c r="G6007" i="1"/>
  <c r="F6007" i="1"/>
  <c r="E6007" i="1"/>
  <c r="D6007" i="1"/>
  <c r="C6007" i="1"/>
  <c r="A6007" i="1"/>
  <c r="R6006" i="1"/>
  <c r="N6006" i="1"/>
  <c r="J6006" i="1"/>
  <c r="I6006" i="1"/>
  <c r="H6006" i="1"/>
  <c r="G6006" i="1"/>
  <c r="F6006" i="1"/>
  <c r="E6006" i="1"/>
  <c r="D6006" i="1"/>
  <c r="C6006" i="1"/>
  <c r="A6006" i="1"/>
  <c r="R6005" i="1"/>
  <c r="Q6005" i="1"/>
  <c r="N6005" i="1"/>
  <c r="J6005" i="1"/>
  <c r="I6005" i="1"/>
  <c r="H6005" i="1"/>
  <c r="G6005" i="1"/>
  <c r="F6005" i="1"/>
  <c r="E6005" i="1"/>
  <c r="D6005" i="1"/>
  <c r="C6005" i="1"/>
  <c r="A6005" i="1"/>
  <c r="R6004" i="1"/>
  <c r="N6004" i="1"/>
  <c r="J6004" i="1"/>
  <c r="I6004" i="1"/>
  <c r="H6004" i="1"/>
  <c r="G6004" i="1"/>
  <c r="F6004" i="1"/>
  <c r="E6004" i="1"/>
  <c r="D6004" i="1"/>
  <c r="C6004" i="1"/>
  <c r="A6004" i="1"/>
  <c r="R6003" i="1"/>
  <c r="Q6003" i="1"/>
  <c r="N6003" i="1"/>
  <c r="J6003" i="1"/>
  <c r="I6003" i="1"/>
  <c r="H6003" i="1"/>
  <c r="G6003" i="1"/>
  <c r="F6003" i="1"/>
  <c r="E6003" i="1"/>
  <c r="D6003" i="1"/>
  <c r="C6003" i="1"/>
  <c r="A6003" i="1"/>
  <c r="R6002" i="1"/>
  <c r="N6002" i="1"/>
  <c r="J6002" i="1"/>
  <c r="I6002" i="1"/>
  <c r="H6002" i="1"/>
  <c r="G6002" i="1"/>
  <c r="F6002" i="1"/>
  <c r="E6002" i="1"/>
  <c r="D6002" i="1"/>
  <c r="C6002" i="1"/>
  <c r="A6002" i="1"/>
  <c r="R6001" i="1"/>
  <c r="Q6001" i="1"/>
  <c r="N6001" i="1"/>
  <c r="J6001" i="1"/>
  <c r="I6001" i="1"/>
  <c r="H6001" i="1"/>
  <c r="G6001" i="1"/>
  <c r="F6001" i="1"/>
  <c r="E6001" i="1"/>
  <c r="D6001" i="1"/>
  <c r="C6001" i="1"/>
  <c r="A6001" i="1"/>
  <c r="R6000" i="1"/>
  <c r="Q6000" i="1"/>
  <c r="N6000" i="1"/>
  <c r="J6000" i="1"/>
  <c r="I6000" i="1"/>
  <c r="H6000" i="1"/>
  <c r="G6000" i="1"/>
  <c r="F6000" i="1"/>
  <c r="E6000" i="1"/>
  <c r="D6000" i="1"/>
  <c r="C6000" i="1"/>
  <c r="A6000" i="1"/>
  <c r="R5999" i="1"/>
  <c r="Q5999" i="1"/>
  <c r="N5999" i="1"/>
  <c r="J5999" i="1"/>
  <c r="I5999" i="1"/>
  <c r="H5999" i="1"/>
  <c r="G5999" i="1"/>
  <c r="F5999" i="1"/>
  <c r="E5999" i="1"/>
  <c r="D5999" i="1"/>
  <c r="C5999" i="1"/>
  <c r="A5999" i="1"/>
  <c r="R5998" i="1"/>
  <c r="Q5998" i="1"/>
  <c r="N5998" i="1"/>
  <c r="J5998" i="1"/>
  <c r="I5998" i="1"/>
  <c r="H5998" i="1"/>
  <c r="G5998" i="1"/>
  <c r="F5998" i="1"/>
  <c r="E5998" i="1"/>
  <c r="D5998" i="1"/>
  <c r="C5998" i="1"/>
  <c r="A5998" i="1"/>
  <c r="R5997" i="1"/>
  <c r="Q5997" i="1"/>
  <c r="N5997" i="1"/>
  <c r="J5997" i="1"/>
  <c r="I5997" i="1"/>
  <c r="H5997" i="1"/>
  <c r="G5997" i="1"/>
  <c r="F5997" i="1"/>
  <c r="E5997" i="1"/>
  <c r="D5997" i="1"/>
  <c r="C5997" i="1"/>
  <c r="A5997" i="1"/>
  <c r="R5996" i="1"/>
  <c r="Q5996" i="1"/>
  <c r="N5996" i="1"/>
  <c r="J5996" i="1"/>
  <c r="I5996" i="1"/>
  <c r="H5996" i="1"/>
  <c r="G5996" i="1"/>
  <c r="F5996" i="1"/>
  <c r="E5996" i="1"/>
  <c r="D5996" i="1"/>
  <c r="C5996" i="1"/>
  <c r="A5996" i="1"/>
  <c r="R5995" i="1"/>
  <c r="N5995" i="1"/>
  <c r="J5995" i="1"/>
  <c r="I5995" i="1"/>
  <c r="H5995" i="1"/>
  <c r="G5995" i="1"/>
  <c r="F5995" i="1"/>
  <c r="E5995" i="1"/>
  <c r="D5995" i="1"/>
  <c r="C5995" i="1"/>
  <c r="A5995" i="1"/>
  <c r="R5994" i="1"/>
  <c r="Q5994" i="1"/>
  <c r="N5994" i="1"/>
  <c r="J5994" i="1"/>
  <c r="I5994" i="1"/>
  <c r="H5994" i="1"/>
  <c r="G5994" i="1"/>
  <c r="F5994" i="1"/>
  <c r="E5994" i="1"/>
  <c r="D5994" i="1"/>
  <c r="C5994" i="1"/>
  <c r="A5994" i="1"/>
  <c r="R5993" i="1"/>
  <c r="Q5993" i="1"/>
  <c r="N5993" i="1"/>
  <c r="J5993" i="1"/>
  <c r="I5993" i="1"/>
  <c r="H5993" i="1"/>
  <c r="G5993" i="1"/>
  <c r="F5993" i="1"/>
  <c r="E5993" i="1"/>
  <c r="D5993" i="1"/>
  <c r="C5993" i="1"/>
  <c r="A5993" i="1"/>
  <c r="R5992" i="1"/>
  <c r="Q5992" i="1"/>
  <c r="N5992" i="1"/>
  <c r="J5992" i="1"/>
  <c r="I5992" i="1"/>
  <c r="H5992" i="1"/>
  <c r="G5992" i="1"/>
  <c r="F5992" i="1"/>
  <c r="E5992" i="1"/>
  <c r="D5992" i="1"/>
  <c r="C5992" i="1"/>
  <c r="A5992" i="1"/>
  <c r="R5991" i="1"/>
  <c r="N5991" i="1"/>
  <c r="J5991" i="1"/>
  <c r="I5991" i="1"/>
  <c r="H5991" i="1"/>
  <c r="G5991" i="1"/>
  <c r="F5991" i="1"/>
  <c r="E5991" i="1"/>
  <c r="D5991" i="1"/>
  <c r="C5991" i="1"/>
  <c r="A5991" i="1"/>
  <c r="R5990" i="1"/>
  <c r="Q5990" i="1"/>
  <c r="N5990" i="1"/>
  <c r="J5990" i="1"/>
  <c r="I5990" i="1"/>
  <c r="H5990" i="1"/>
  <c r="G5990" i="1"/>
  <c r="F5990" i="1"/>
  <c r="E5990" i="1"/>
  <c r="D5990" i="1"/>
  <c r="C5990" i="1"/>
  <c r="A5990" i="1"/>
  <c r="R5989" i="1"/>
  <c r="Q5989" i="1"/>
  <c r="N5989" i="1"/>
  <c r="J5989" i="1"/>
  <c r="I5989" i="1"/>
  <c r="H5989" i="1"/>
  <c r="G5989" i="1"/>
  <c r="F5989" i="1"/>
  <c r="E5989" i="1"/>
  <c r="D5989" i="1"/>
  <c r="C5989" i="1"/>
  <c r="A5989" i="1"/>
  <c r="R5988" i="1"/>
  <c r="Q5988" i="1"/>
  <c r="N5988" i="1"/>
  <c r="J5988" i="1"/>
  <c r="I5988" i="1"/>
  <c r="H5988" i="1"/>
  <c r="G5988" i="1"/>
  <c r="F5988" i="1"/>
  <c r="E5988" i="1"/>
  <c r="D5988" i="1"/>
  <c r="C5988" i="1"/>
  <c r="A5988" i="1"/>
  <c r="R5987" i="1"/>
  <c r="N5987" i="1"/>
  <c r="J5987" i="1"/>
  <c r="I5987" i="1"/>
  <c r="H5987" i="1"/>
  <c r="G5987" i="1"/>
  <c r="F5987" i="1"/>
  <c r="E5987" i="1"/>
  <c r="D5987" i="1"/>
  <c r="C5987" i="1"/>
  <c r="B5987" i="1"/>
  <c r="A5987" i="1"/>
  <c r="R5986" i="1"/>
  <c r="Q5986" i="1"/>
  <c r="N5986" i="1"/>
  <c r="J5986" i="1"/>
  <c r="I5986" i="1"/>
  <c r="H5986" i="1"/>
  <c r="G5986" i="1"/>
  <c r="F5986" i="1"/>
  <c r="E5986" i="1"/>
  <c r="D5986" i="1"/>
  <c r="C5986" i="1"/>
  <c r="B5986" i="1"/>
  <c r="A5986" i="1"/>
  <c r="R5985" i="1"/>
  <c r="N5985" i="1"/>
  <c r="J5985" i="1"/>
  <c r="I5985" i="1"/>
  <c r="H5985" i="1"/>
  <c r="G5985" i="1"/>
  <c r="F5985" i="1"/>
  <c r="E5985" i="1"/>
  <c r="D5985" i="1"/>
  <c r="C5985" i="1"/>
  <c r="B5985" i="1"/>
  <c r="A5985" i="1"/>
  <c r="R5984" i="1"/>
  <c r="Q5984" i="1"/>
  <c r="N5984" i="1"/>
  <c r="J5984" i="1"/>
  <c r="I5984" i="1"/>
  <c r="H5984" i="1"/>
  <c r="G5984" i="1"/>
  <c r="F5984" i="1"/>
  <c r="E5984" i="1"/>
  <c r="D5984" i="1"/>
  <c r="C5984" i="1"/>
  <c r="A5984" i="1"/>
  <c r="R5983" i="1"/>
  <c r="N5983" i="1"/>
  <c r="J5983" i="1"/>
  <c r="I5983" i="1"/>
  <c r="H5983" i="1"/>
  <c r="G5983" i="1"/>
  <c r="F5983" i="1"/>
  <c r="E5983" i="1"/>
  <c r="D5983" i="1"/>
  <c r="C5983" i="1"/>
  <c r="A5983" i="1"/>
  <c r="R5982" i="1"/>
  <c r="Q5982" i="1"/>
  <c r="N5982" i="1"/>
  <c r="J5982" i="1"/>
  <c r="I5982" i="1"/>
  <c r="H5982" i="1"/>
  <c r="G5982" i="1"/>
  <c r="F5982" i="1"/>
  <c r="E5982" i="1"/>
  <c r="D5982" i="1"/>
  <c r="C5982" i="1"/>
  <c r="A5982" i="1"/>
  <c r="R5981" i="1"/>
  <c r="N5981" i="1"/>
  <c r="J5981" i="1"/>
  <c r="I5981" i="1"/>
  <c r="H5981" i="1"/>
  <c r="G5981" i="1"/>
  <c r="F5981" i="1"/>
  <c r="E5981" i="1"/>
  <c r="D5981" i="1"/>
  <c r="C5981" i="1"/>
  <c r="A5981" i="1"/>
  <c r="R5980" i="1"/>
  <c r="Q5980" i="1"/>
  <c r="N5980" i="1"/>
  <c r="J5980" i="1"/>
  <c r="I5980" i="1"/>
  <c r="H5980" i="1"/>
  <c r="G5980" i="1"/>
  <c r="F5980" i="1"/>
  <c r="E5980" i="1"/>
  <c r="D5980" i="1"/>
  <c r="C5980" i="1"/>
  <c r="A5980" i="1"/>
  <c r="R5979" i="1"/>
  <c r="N5979" i="1"/>
  <c r="J5979" i="1"/>
  <c r="I5979" i="1"/>
  <c r="H5979" i="1"/>
  <c r="G5979" i="1"/>
  <c r="F5979" i="1"/>
  <c r="E5979" i="1"/>
  <c r="D5979" i="1"/>
  <c r="C5979" i="1"/>
  <c r="A5979" i="1"/>
  <c r="R5978" i="1"/>
  <c r="Q5978" i="1"/>
  <c r="N5978" i="1"/>
  <c r="J5978" i="1"/>
  <c r="I5978" i="1"/>
  <c r="H5978" i="1"/>
  <c r="G5978" i="1"/>
  <c r="F5978" i="1"/>
  <c r="E5978" i="1"/>
  <c r="D5978" i="1"/>
  <c r="C5978" i="1"/>
  <c r="A5978" i="1"/>
  <c r="R5977" i="1"/>
  <c r="N5977" i="1"/>
  <c r="J5977" i="1"/>
  <c r="I5977" i="1"/>
  <c r="H5977" i="1"/>
  <c r="G5977" i="1"/>
  <c r="F5977" i="1"/>
  <c r="E5977" i="1"/>
  <c r="D5977" i="1"/>
  <c r="C5977" i="1"/>
  <c r="A5977" i="1"/>
  <c r="R5976" i="1"/>
  <c r="Q5976" i="1"/>
  <c r="N5976" i="1"/>
  <c r="J5976" i="1"/>
  <c r="I5976" i="1"/>
  <c r="H5976" i="1"/>
  <c r="G5976" i="1"/>
  <c r="F5976" i="1"/>
  <c r="E5976" i="1"/>
  <c r="D5976" i="1"/>
  <c r="C5976" i="1"/>
  <c r="A5976" i="1"/>
  <c r="R5975" i="1"/>
  <c r="N5975" i="1"/>
  <c r="J5975" i="1"/>
  <c r="I5975" i="1"/>
  <c r="H5975" i="1"/>
  <c r="G5975" i="1"/>
  <c r="F5975" i="1"/>
  <c r="E5975" i="1"/>
  <c r="D5975" i="1"/>
  <c r="C5975" i="1"/>
  <c r="B5975" i="1"/>
  <c r="A5975" i="1"/>
  <c r="R5974" i="1"/>
  <c r="N5974" i="1"/>
  <c r="J5974" i="1"/>
  <c r="I5974" i="1"/>
  <c r="H5974" i="1"/>
  <c r="G5974" i="1"/>
  <c r="F5974" i="1"/>
  <c r="E5974" i="1"/>
  <c r="D5974" i="1"/>
  <c r="C5974" i="1"/>
  <c r="B5974" i="1"/>
  <c r="A5974" i="1"/>
  <c r="R5973" i="1"/>
  <c r="Q5973" i="1"/>
  <c r="N5973" i="1"/>
  <c r="J5973" i="1"/>
  <c r="I5973" i="1"/>
  <c r="H5973" i="1"/>
  <c r="G5973" i="1"/>
  <c r="F5973" i="1"/>
  <c r="E5973" i="1"/>
  <c r="D5973" i="1"/>
  <c r="C5973" i="1"/>
  <c r="B5973" i="1"/>
  <c r="A5973" i="1"/>
  <c r="R5972" i="1"/>
  <c r="N5972" i="1"/>
  <c r="J5972" i="1"/>
  <c r="I5972" i="1"/>
  <c r="H5972" i="1"/>
  <c r="G5972" i="1"/>
  <c r="F5972" i="1"/>
  <c r="E5972" i="1"/>
  <c r="D5972" i="1"/>
  <c r="C5972" i="1"/>
  <c r="B5972" i="1"/>
  <c r="A5972" i="1"/>
  <c r="R5971" i="1"/>
  <c r="Q5971" i="1"/>
  <c r="N5971" i="1"/>
  <c r="J5971" i="1"/>
  <c r="I5971" i="1"/>
  <c r="H5971" i="1"/>
  <c r="G5971" i="1"/>
  <c r="F5971" i="1"/>
  <c r="E5971" i="1"/>
  <c r="D5971" i="1"/>
  <c r="C5971" i="1"/>
  <c r="A5971" i="1"/>
  <c r="R5970" i="1"/>
  <c r="N5970" i="1"/>
  <c r="J5970" i="1"/>
  <c r="I5970" i="1"/>
  <c r="H5970" i="1"/>
  <c r="G5970" i="1"/>
  <c r="F5970" i="1"/>
  <c r="E5970" i="1"/>
  <c r="D5970" i="1"/>
  <c r="C5970" i="1"/>
  <c r="A5970" i="1"/>
  <c r="R5969" i="1"/>
  <c r="Q5969" i="1"/>
  <c r="N5969" i="1"/>
  <c r="J5969" i="1"/>
  <c r="I5969" i="1"/>
  <c r="H5969" i="1"/>
  <c r="G5969" i="1"/>
  <c r="F5969" i="1"/>
  <c r="E5969" i="1"/>
  <c r="D5969" i="1"/>
  <c r="C5969" i="1"/>
  <c r="A5969" i="1"/>
  <c r="R5968" i="1"/>
  <c r="N5968" i="1"/>
  <c r="J5968" i="1"/>
  <c r="I5968" i="1"/>
  <c r="H5968" i="1"/>
  <c r="G5968" i="1"/>
  <c r="F5968" i="1"/>
  <c r="E5968" i="1"/>
  <c r="D5968" i="1"/>
  <c r="C5968" i="1"/>
  <c r="A5968" i="1"/>
  <c r="R5967" i="1"/>
  <c r="Q5967" i="1"/>
  <c r="N5967" i="1"/>
  <c r="J5967" i="1"/>
  <c r="I5967" i="1"/>
  <c r="H5967" i="1"/>
  <c r="G5967" i="1"/>
  <c r="F5967" i="1"/>
  <c r="E5967" i="1"/>
  <c r="D5967" i="1"/>
  <c r="C5967" i="1"/>
  <c r="A5967" i="1"/>
  <c r="R5966" i="1"/>
  <c r="N5966" i="1"/>
  <c r="J5966" i="1"/>
  <c r="I5966" i="1"/>
  <c r="H5966" i="1"/>
  <c r="G5966" i="1"/>
  <c r="F5966" i="1"/>
  <c r="E5966" i="1"/>
  <c r="D5966" i="1"/>
  <c r="C5966" i="1"/>
  <c r="A5966" i="1"/>
  <c r="R5965" i="1"/>
  <c r="Q5965" i="1"/>
  <c r="N5965" i="1"/>
  <c r="J5965" i="1"/>
  <c r="I5965" i="1"/>
  <c r="H5965" i="1"/>
  <c r="G5965" i="1"/>
  <c r="F5965" i="1"/>
  <c r="E5965" i="1"/>
  <c r="D5965" i="1"/>
  <c r="C5965" i="1"/>
  <c r="A5965" i="1"/>
  <c r="R5964" i="1"/>
  <c r="N5964" i="1"/>
  <c r="J5964" i="1"/>
  <c r="I5964" i="1"/>
  <c r="H5964" i="1"/>
  <c r="G5964" i="1"/>
  <c r="F5964" i="1"/>
  <c r="E5964" i="1"/>
  <c r="D5964" i="1"/>
  <c r="C5964" i="1"/>
  <c r="A5964" i="1"/>
  <c r="R5963" i="1"/>
  <c r="Q5963" i="1"/>
  <c r="N5963" i="1"/>
  <c r="J5963" i="1"/>
  <c r="I5963" i="1"/>
  <c r="H5963" i="1"/>
  <c r="G5963" i="1"/>
  <c r="F5963" i="1"/>
  <c r="E5963" i="1"/>
  <c r="D5963" i="1"/>
  <c r="C5963" i="1"/>
  <c r="A5963" i="1"/>
  <c r="R5962" i="1"/>
  <c r="N5962" i="1"/>
  <c r="J5962" i="1"/>
  <c r="I5962" i="1"/>
  <c r="H5962" i="1"/>
  <c r="G5962" i="1"/>
  <c r="F5962" i="1"/>
  <c r="E5962" i="1"/>
  <c r="D5962" i="1"/>
  <c r="C5962" i="1"/>
  <c r="A5962" i="1"/>
  <c r="R5961" i="1"/>
  <c r="Q5961" i="1"/>
  <c r="N5961" i="1"/>
  <c r="J5961" i="1"/>
  <c r="I5961" i="1"/>
  <c r="H5961" i="1"/>
  <c r="G5961" i="1"/>
  <c r="F5961" i="1"/>
  <c r="E5961" i="1"/>
  <c r="D5961" i="1"/>
  <c r="C5961" i="1"/>
  <c r="A5961" i="1"/>
  <c r="R5960" i="1"/>
  <c r="N5960" i="1"/>
  <c r="J5960" i="1"/>
  <c r="I5960" i="1"/>
  <c r="H5960" i="1"/>
  <c r="G5960" i="1"/>
  <c r="F5960" i="1"/>
  <c r="E5960" i="1"/>
  <c r="D5960" i="1"/>
  <c r="C5960" i="1"/>
  <c r="A5960" i="1"/>
  <c r="R5959" i="1"/>
  <c r="Q5959" i="1"/>
  <c r="N5959" i="1"/>
  <c r="J5959" i="1"/>
  <c r="I5959" i="1"/>
  <c r="H5959" i="1"/>
  <c r="G5959" i="1"/>
  <c r="F5959" i="1"/>
  <c r="E5959" i="1"/>
  <c r="D5959" i="1"/>
  <c r="C5959" i="1"/>
  <c r="A5959" i="1"/>
  <c r="R5958" i="1"/>
  <c r="Q5958" i="1"/>
  <c r="N5958" i="1"/>
  <c r="J5958" i="1"/>
  <c r="I5958" i="1"/>
  <c r="H5958" i="1"/>
  <c r="G5958" i="1"/>
  <c r="F5958" i="1"/>
  <c r="E5958" i="1"/>
  <c r="D5958" i="1"/>
  <c r="C5958" i="1"/>
  <c r="A5958" i="1"/>
  <c r="R5957" i="1"/>
  <c r="N5957" i="1"/>
  <c r="J5957" i="1"/>
  <c r="I5957" i="1"/>
  <c r="H5957" i="1"/>
  <c r="G5957" i="1"/>
  <c r="F5957" i="1"/>
  <c r="E5957" i="1"/>
  <c r="D5957" i="1"/>
  <c r="C5957" i="1"/>
  <c r="A5957" i="1"/>
  <c r="R5956" i="1"/>
  <c r="Q5956" i="1"/>
  <c r="N5956" i="1"/>
  <c r="J5956" i="1"/>
  <c r="I5956" i="1"/>
  <c r="H5956" i="1"/>
  <c r="G5956" i="1"/>
  <c r="F5956" i="1"/>
  <c r="E5956" i="1"/>
  <c r="D5956" i="1"/>
  <c r="C5956" i="1"/>
  <c r="A5956" i="1"/>
  <c r="R5955" i="1"/>
  <c r="N5955" i="1"/>
  <c r="J5955" i="1"/>
  <c r="I5955" i="1"/>
  <c r="H5955" i="1"/>
  <c r="G5955" i="1"/>
  <c r="F5955" i="1"/>
  <c r="E5955" i="1"/>
  <c r="D5955" i="1"/>
  <c r="C5955" i="1"/>
  <c r="A5955" i="1"/>
  <c r="R5954" i="1"/>
  <c r="Q5954" i="1"/>
  <c r="N5954" i="1"/>
  <c r="J5954" i="1"/>
  <c r="I5954" i="1"/>
  <c r="H5954" i="1"/>
  <c r="G5954" i="1"/>
  <c r="F5954" i="1"/>
  <c r="E5954" i="1"/>
  <c r="D5954" i="1"/>
  <c r="C5954" i="1"/>
  <c r="A5954" i="1"/>
  <c r="R5953" i="1"/>
  <c r="N5953" i="1"/>
  <c r="J5953" i="1"/>
  <c r="I5953" i="1"/>
  <c r="H5953" i="1"/>
  <c r="G5953" i="1"/>
  <c r="F5953" i="1"/>
  <c r="E5953" i="1"/>
  <c r="D5953" i="1"/>
  <c r="C5953" i="1"/>
  <c r="A5953" i="1"/>
  <c r="R5952" i="1"/>
  <c r="Q5952" i="1"/>
  <c r="N5952" i="1"/>
  <c r="J5952" i="1"/>
  <c r="I5952" i="1"/>
  <c r="H5952" i="1"/>
  <c r="G5952" i="1"/>
  <c r="F5952" i="1"/>
  <c r="E5952" i="1"/>
  <c r="D5952" i="1"/>
  <c r="C5952" i="1"/>
  <c r="A5952" i="1"/>
  <c r="R5951" i="1"/>
  <c r="Q5951" i="1"/>
  <c r="N5951" i="1"/>
  <c r="J5951" i="1"/>
  <c r="I5951" i="1"/>
  <c r="H5951" i="1"/>
  <c r="G5951" i="1"/>
  <c r="F5951" i="1"/>
  <c r="E5951" i="1"/>
  <c r="D5951" i="1"/>
  <c r="C5951" i="1"/>
  <c r="A5951" i="1"/>
  <c r="R5950" i="1"/>
  <c r="N5950" i="1"/>
  <c r="J5950" i="1"/>
  <c r="I5950" i="1"/>
  <c r="H5950" i="1"/>
  <c r="G5950" i="1"/>
  <c r="F5950" i="1"/>
  <c r="E5950" i="1"/>
  <c r="D5950" i="1"/>
  <c r="C5950" i="1"/>
  <c r="A5950" i="1"/>
  <c r="R5949" i="1"/>
  <c r="Q5949" i="1"/>
  <c r="N5949" i="1"/>
  <c r="J5949" i="1"/>
  <c r="I5949" i="1"/>
  <c r="H5949" i="1"/>
  <c r="G5949" i="1"/>
  <c r="F5949" i="1"/>
  <c r="E5949" i="1"/>
  <c r="D5949" i="1"/>
  <c r="C5949" i="1"/>
  <c r="A5949" i="1"/>
  <c r="R5948" i="1"/>
  <c r="Q5948" i="1"/>
  <c r="N5948" i="1"/>
  <c r="J5948" i="1"/>
  <c r="I5948" i="1"/>
  <c r="H5948" i="1"/>
  <c r="G5948" i="1"/>
  <c r="F5948" i="1"/>
  <c r="E5948" i="1"/>
  <c r="D5948" i="1"/>
  <c r="C5948" i="1"/>
  <c r="A5948" i="1"/>
  <c r="R5947" i="1"/>
  <c r="N5947" i="1"/>
  <c r="J5947" i="1"/>
  <c r="I5947" i="1"/>
  <c r="H5947" i="1"/>
  <c r="G5947" i="1"/>
  <c r="F5947" i="1"/>
  <c r="E5947" i="1"/>
  <c r="D5947" i="1"/>
  <c r="C5947" i="1"/>
  <c r="A5947" i="1"/>
  <c r="R5946" i="1"/>
  <c r="Q5946" i="1"/>
  <c r="N5946" i="1"/>
  <c r="J5946" i="1"/>
  <c r="I5946" i="1"/>
  <c r="H5946" i="1"/>
  <c r="G5946" i="1"/>
  <c r="F5946" i="1"/>
  <c r="E5946" i="1"/>
  <c r="D5946" i="1"/>
  <c r="C5946" i="1"/>
  <c r="A5946" i="1"/>
  <c r="R5945" i="1"/>
  <c r="N5945" i="1"/>
  <c r="J5945" i="1"/>
  <c r="I5945" i="1"/>
  <c r="H5945" i="1"/>
  <c r="G5945" i="1"/>
  <c r="F5945" i="1"/>
  <c r="E5945" i="1"/>
  <c r="D5945" i="1"/>
  <c r="C5945" i="1"/>
  <c r="A5945" i="1"/>
  <c r="R5944" i="1"/>
  <c r="Q5944" i="1"/>
  <c r="N5944" i="1"/>
  <c r="J5944" i="1"/>
  <c r="I5944" i="1"/>
  <c r="H5944" i="1"/>
  <c r="G5944" i="1"/>
  <c r="F5944" i="1"/>
  <c r="E5944" i="1"/>
  <c r="D5944" i="1"/>
  <c r="C5944" i="1"/>
  <c r="A5944" i="1"/>
  <c r="R5943" i="1"/>
  <c r="N5943" i="1"/>
  <c r="J5943" i="1"/>
  <c r="I5943" i="1"/>
  <c r="H5943" i="1"/>
  <c r="G5943" i="1"/>
  <c r="F5943" i="1"/>
  <c r="E5943" i="1"/>
  <c r="D5943" i="1"/>
  <c r="C5943" i="1"/>
  <c r="A5943" i="1"/>
  <c r="R5942" i="1"/>
  <c r="Q5942" i="1"/>
  <c r="N5942" i="1"/>
  <c r="J5942" i="1"/>
  <c r="I5942" i="1"/>
  <c r="H5942" i="1"/>
  <c r="G5942" i="1"/>
  <c r="F5942" i="1"/>
  <c r="E5942" i="1"/>
  <c r="D5942" i="1"/>
  <c r="C5942" i="1"/>
  <c r="A5942" i="1"/>
  <c r="R5941" i="1"/>
  <c r="N5941" i="1"/>
  <c r="J5941" i="1"/>
  <c r="I5941" i="1"/>
  <c r="H5941" i="1"/>
  <c r="G5941" i="1"/>
  <c r="F5941" i="1"/>
  <c r="E5941" i="1"/>
  <c r="D5941" i="1"/>
  <c r="C5941" i="1"/>
  <c r="A5941" i="1"/>
  <c r="R5940" i="1"/>
  <c r="Q5940" i="1"/>
  <c r="N5940" i="1"/>
  <c r="J5940" i="1"/>
  <c r="I5940" i="1"/>
  <c r="H5940" i="1"/>
  <c r="G5940" i="1"/>
  <c r="F5940" i="1"/>
  <c r="E5940" i="1"/>
  <c r="D5940" i="1"/>
  <c r="C5940" i="1"/>
  <c r="A5940" i="1"/>
  <c r="R5939" i="1"/>
  <c r="N5939" i="1"/>
  <c r="J5939" i="1"/>
  <c r="I5939" i="1"/>
  <c r="H5939" i="1"/>
  <c r="G5939" i="1"/>
  <c r="F5939" i="1"/>
  <c r="E5939" i="1"/>
  <c r="D5939" i="1"/>
  <c r="C5939" i="1"/>
  <c r="B5939" i="1"/>
  <c r="A5939" i="1"/>
  <c r="R5938" i="1"/>
  <c r="N5938" i="1"/>
  <c r="J5938" i="1"/>
  <c r="I5938" i="1"/>
  <c r="H5938" i="1"/>
  <c r="G5938" i="1"/>
  <c r="F5938" i="1"/>
  <c r="E5938" i="1"/>
  <c r="D5938" i="1"/>
  <c r="C5938" i="1"/>
  <c r="B5938" i="1"/>
  <c r="A5938" i="1"/>
  <c r="R5937" i="1"/>
  <c r="Q5937" i="1"/>
  <c r="N5937" i="1"/>
  <c r="J5937" i="1"/>
  <c r="I5937" i="1"/>
  <c r="H5937" i="1"/>
  <c r="G5937" i="1"/>
  <c r="F5937" i="1"/>
  <c r="E5937" i="1"/>
  <c r="D5937" i="1"/>
  <c r="C5937" i="1"/>
  <c r="A5937" i="1"/>
  <c r="R5936" i="1"/>
  <c r="N5936" i="1"/>
  <c r="J5936" i="1"/>
  <c r="I5936" i="1"/>
  <c r="H5936" i="1"/>
  <c r="G5936" i="1"/>
  <c r="F5936" i="1"/>
  <c r="E5936" i="1"/>
  <c r="D5936" i="1"/>
  <c r="C5936" i="1"/>
  <c r="A5936" i="1"/>
  <c r="R5935" i="1"/>
  <c r="Q5935" i="1"/>
  <c r="N5935" i="1"/>
  <c r="J5935" i="1"/>
  <c r="I5935" i="1"/>
  <c r="H5935" i="1"/>
  <c r="G5935" i="1"/>
  <c r="F5935" i="1"/>
  <c r="E5935" i="1"/>
  <c r="D5935" i="1"/>
  <c r="C5935" i="1"/>
  <c r="A5935" i="1"/>
  <c r="R5934" i="1"/>
  <c r="N5934" i="1"/>
  <c r="J5934" i="1"/>
  <c r="I5934" i="1"/>
  <c r="H5934" i="1"/>
  <c r="G5934" i="1"/>
  <c r="F5934" i="1"/>
  <c r="E5934" i="1"/>
  <c r="D5934" i="1"/>
  <c r="C5934" i="1"/>
  <c r="A5934" i="1"/>
  <c r="R5933" i="1"/>
  <c r="Q5933" i="1"/>
  <c r="N5933" i="1"/>
  <c r="J5933" i="1"/>
  <c r="I5933" i="1"/>
  <c r="H5933" i="1"/>
  <c r="G5933" i="1"/>
  <c r="F5933" i="1"/>
  <c r="E5933" i="1"/>
  <c r="D5933" i="1"/>
  <c r="C5933" i="1"/>
  <c r="A5933" i="1"/>
  <c r="R5932" i="1"/>
  <c r="N5932" i="1"/>
  <c r="J5932" i="1"/>
  <c r="I5932" i="1"/>
  <c r="H5932" i="1"/>
  <c r="G5932" i="1"/>
  <c r="F5932" i="1"/>
  <c r="E5932" i="1"/>
  <c r="D5932" i="1"/>
  <c r="C5932" i="1"/>
  <c r="A5932" i="1"/>
  <c r="R5931" i="1"/>
  <c r="Q5931" i="1"/>
  <c r="N5931" i="1"/>
  <c r="J5931" i="1"/>
  <c r="I5931" i="1"/>
  <c r="H5931" i="1"/>
  <c r="G5931" i="1"/>
  <c r="F5931" i="1"/>
  <c r="E5931" i="1"/>
  <c r="D5931" i="1"/>
  <c r="C5931" i="1"/>
  <c r="A5931" i="1"/>
  <c r="R5930" i="1"/>
  <c r="N5930" i="1"/>
  <c r="J5930" i="1"/>
  <c r="I5930" i="1"/>
  <c r="H5930" i="1"/>
  <c r="G5930" i="1"/>
  <c r="F5930" i="1"/>
  <c r="E5930" i="1"/>
  <c r="D5930" i="1"/>
  <c r="C5930" i="1"/>
  <c r="A5930" i="1"/>
  <c r="R5929" i="1"/>
  <c r="Q5929" i="1"/>
  <c r="N5929" i="1"/>
  <c r="J5929" i="1"/>
  <c r="I5929" i="1"/>
  <c r="H5929" i="1"/>
  <c r="G5929" i="1"/>
  <c r="F5929" i="1"/>
  <c r="E5929" i="1"/>
  <c r="D5929" i="1"/>
  <c r="C5929" i="1"/>
  <c r="A5929" i="1"/>
  <c r="R5928" i="1"/>
  <c r="Q5928" i="1"/>
  <c r="N5928" i="1"/>
  <c r="J5928" i="1"/>
  <c r="I5928" i="1"/>
  <c r="H5928" i="1"/>
  <c r="G5928" i="1"/>
  <c r="F5928" i="1"/>
  <c r="E5928" i="1"/>
  <c r="D5928" i="1"/>
  <c r="C5928" i="1"/>
  <c r="A5928" i="1"/>
  <c r="R5927" i="1"/>
  <c r="Q5927" i="1"/>
  <c r="N5927" i="1"/>
  <c r="J5927" i="1"/>
  <c r="I5927" i="1"/>
  <c r="H5927" i="1"/>
  <c r="G5927" i="1"/>
  <c r="F5927" i="1"/>
  <c r="E5927" i="1"/>
  <c r="D5927" i="1"/>
  <c r="C5927" i="1"/>
  <c r="A5927" i="1"/>
  <c r="R5926" i="1"/>
  <c r="N5926" i="1"/>
  <c r="J5926" i="1"/>
  <c r="I5926" i="1"/>
  <c r="H5926" i="1"/>
  <c r="G5926" i="1"/>
  <c r="F5926" i="1"/>
  <c r="E5926" i="1"/>
  <c r="D5926" i="1"/>
  <c r="C5926" i="1"/>
  <c r="A5926" i="1"/>
  <c r="R5925" i="1"/>
  <c r="Q5925" i="1"/>
  <c r="N5925" i="1"/>
  <c r="J5925" i="1"/>
  <c r="I5925" i="1"/>
  <c r="H5925" i="1"/>
  <c r="G5925" i="1"/>
  <c r="F5925" i="1"/>
  <c r="E5925" i="1"/>
  <c r="D5925" i="1"/>
  <c r="C5925" i="1"/>
  <c r="A5925" i="1"/>
  <c r="R5924" i="1"/>
  <c r="N5924" i="1"/>
  <c r="J5924" i="1"/>
  <c r="I5924" i="1"/>
  <c r="H5924" i="1"/>
  <c r="G5924" i="1"/>
  <c r="F5924" i="1"/>
  <c r="E5924" i="1"/>
  <c r="D5924" i="1"/>
  <c r="C5924" i="1"/>
  <c r="A5924" i="1"/>
  <c r="R5923" i="1"/>
  <c r="Q5923" i="1"/>
  <c r="N5923" i="1"/>
  <c r="J5923" i="1"/>
  <c r="I5923" i="1"/>
  <c r="H5923" i="1"/>
  <c r="G5923" i="1"/>
  <c r="F5923" i="1"/>
  <c r="E5923" i="1"/>
  <c r="D5923" i="1"/>
  <c r="C5923" i="1"/>
  <c r="A5923" i="1"/>
  <c r="R5922" i="1"/>
  <c r="N5922" i="1"/>
  <c r="J5922" i="1"/>
  <c r="I5922" i="1"/>
  <c r="H5922" i="1"/>
  <c r="G5922" i="1"/>
  <c r="F5922" i="1"/>
  <c r="E5922" i="1"/>
  <c r="D5922" i="1"/>
  <c r="C5922" i="1"/>
  <c r="A5922" i="1"/>
  <c r="R5921" i="1"/>
  <c r="Q5921" i="1"/>
  <c r="N5921" i="1"/>
  <c r="J5921" i="1"/>
  <c r="I5921" i="1"/>
  <c r="H5921" i="1"/>
  <c r="G5921" i="1"/>
  <c r="F5921" i="1"/>
  <c r="E5921" i="1"/>
  <c r="D5921" i="1"/>
  <c r="C5921" i="1"/>
  <c r="A5921" i="1"/>
  <c r="R5920" i="1"/>
  <c r="Q5920" i="1"/>
  <c r="N5920" i="1"/>
  <c r="J5920" i="1"/>
  <c r="I5920" i="1"/>
  <c r="H5920" i="1"/>
  <c r="G5920" i="1"/>
  <c r="F5920" i="1"/>
  <c r="E5920" i="1"/>
  <c r="D5920" i="1"/>
  <c r="C5920" i="1"/>
  <c r="A5920" i="1"/>
  <c r="R5919" i="1"/>
  <c r="Q5919" i="1"/>
  <c r="N5919" i="1"/>
  <c r="J5919" i="1"/>
  <c r="I5919" i="1"/>
  <c r="H5919" i="1"/>
  <c r="G5919" i="1"/>
  <c r="F5919" i="1"/>
  <c r="E5919" i="1"/>
  <c r="D5919" i="1"/>
  <c r="C5919" i="1"/>
  <c r="A5919" i="1"/>
  <c r="R5918" i="1"/>
  <c r="Q5918" i="1"/>
  <c r="N5918" i="1"/>
  <c r="J5918" i="1"/>
  <c r="I5918" i="1"/>
  <c r="H5918" i="1"/>
  <c r="G5918" i="1"/>
  <c r="F5918" i="1"/>
  <c r="E5918" i="1"/>
  <c r="D5918" i="1"/>
  <c r="C5918" i="1"/>
  <c r="A5918" i="1"/>
  <c r="R5917" i="1"/>
  <c r="Q5917" i="1"/>
  <c r="N5917" i="1"/>
  <c r="J5917" i="1"/>
  <c r="I5917" i="1"/>
  <c r="H5917" i="1"/>
  <c r="G5917" i="1"/>
  <c r="F5917" i="1"/>
  <c r="E5917" i="1"/>
  <c r="D5917" i="1"/>
  <c r="C5917" i="1"/>
  <c r="A5917" i="1"/>
  <c r="R5916" i="1"/>
  <c r="Q5916" i="1"/>
  <c r="N5916" i="1"/>
  <c r="J5916" i="1"/>
  <c r="I5916" i="1"/>
  <c r="H5916" i="1"/>
  <c r="G5916" i="1"/>
  <c r="F5916" i="1"/>
  <c r="E5916" i="1"/>
  <c r="D5916" i="1"/>
  <c r="C5916" i="1"/>
  <c r="A5916" i="1"/>
  <c r="R5915" i="1"/>
  <c r="Q5915" i="1"/>
  <c r="N5915" i="1"/>
  <c r="J5915" i="1"/>
  <c r="I5915" i="1"/>
  <c r="H5915" i="1"/>
  <c r="G5915" i="1"/>
  <c r="F5915" i="1"/>
  <c r="E5915" i="1"/>
  <c r="D5915" i="1"/>
  <c r="C5915" i="1"/>
  <c r="A5915" i="1"/>
  <c r="R5914" i="1"/>
  <c r="Q5914" i="1"/>
  <c r="N5914" i="1"/>
  <c r="J5914" i="1"/>
  <c r="I5914" i="1"/>
  <c r="H5914" i="1"/>
  <c r="G5914" i="1"/>
  <c r="F5914" i="1"/>
  <c r="E5914" i="1"/>
  <c r="D5914" i="1"/>
  <c r="C5914" i="1"/>
  <c r="A5914" i="1"/>
  <c r="R5913" i="1"/>
  <c r="Q5913" i="1"/>
  <c r="N5913" i="1"/>
  <c r="J5913" i="1"/>
  <c r="I5913" i="1"/>
  <c r="H5913" i="1"/>
  <c r="G5913" i="1"/>
  <c r="F5913" i="1"/>
  <c r="E5913" i="1"/>
  <c r="D5913" i="1"/>
  <c r="C5913" i="1"/>
  <c r="A5913" i="1"/>
  <c r="R5912" i="1"/>
  <c r="Q5912" i="1"/>
  <c r="N5912" i="1"/>
  <c r="J5912" i="1"/>
  <c r="I5912" i="1"/>
  <c r="H5912" i="1"/>
  <c r="G5912" i="1"/>
  <c r="F5912" i="1"/>
  <c r="E5912" i="1"/>
  <c r="D5912" i="1"/>
  <c r="C5912" i="1"/>
  <c r="A5912" i="1"/>
  <c r="R5911" i="1"/>
  <c r="N5911" i="1"/>
  <c r="J5911" i="1"/>
  <c r="I5911" i="1"/>
  <c r="H5911" i="1"/>
  <c r="G5911" i="1"/>
  <c r="F5911" i="1"/>
  <c r="E5911" i="1"/>
  <c r="D5911" i="1"/>
  <c r="C5911" i="1"/>
  <c r="A5911" i="1"/>
  <c r="R5910" i="1"/>
  <c r="Q5910" i="1"/>
  <c r="N5910" i="1"/>
  <c r="J5910" i="1"/>
  <c r="I5910" i="1"/>
  <c r="H5910" i="1"/>
  <c r="G5910" i="1"/>
  <c r="F5910" i="1"/>
  <c r="E5910" i="1"/>
  <c r="D5910" i="1"/>
  <c r="C5910" i="1"/>
  <c r="A5910" i="1"/>
  <c r="R5909" i="1"/>
  <c r="Q5909" i="1"/>
  <c r="N5909" i="1"/>
  <c r="J5909" i="1"/>
  <c r="I5909" i="1"/>
  <c r="H5909" i="1"/>
  <c r="G5909" i="1"/>
  <c r="F5909" i="1"/>
  <c r="E5909" i="1"/>
  <c r="D5909" i="1"/>
  <c r="C5909" i="1"/>
  <c r="A5909" i="1"/>
  <c r="R5908" i="1"/>
  <c r="Q5908" i="1"/>
  <c r="N5908" i="1"/>
  <c r="J5908" i="1"/>
  <c r="I5908" i="1"/>
  <c r="H5908" i="1"/>
  <c r="G5908" i="1"/>
  <c r="F5908" i="1"/>
  <c r="E5908" i="1"/>
  <c r="D5908" i="1"/>
  <c r="C5908" i="1"/>
  <c r="A5908" i="1"/>
  <c r="R5907" i="1"/>
  <c r="Q5907" i="1"/>
  <c r="N5907" i="1"/>
  <c r="J5907" i="1"/>
  <c r="I5907" i="1"/>
  <c r="H5907" i="1"/>
  <c r="G5907" i="1"/>
  <c r="F5907" i="1"/>
  <c r="E5907" i="1"/>
  <c r="D5907" i="1"/>
  <c r="C5907" i="1"/>
  <c r="A5907" i="1"/>
  <c r="R5906" i="1"/>
  <c r="Q5906" i="1"/>
  <c r="N5906" i="1"/>
  <c r="J5906" i="1"/>
  <c r="I5906" i="1"/>
  <c r="H5906" i="1"/>
  <c r="G5906" i="1"/>
  <c r="F5906" i="1"/>
  <c r="E5906" i="1"/>
  <c r="D5906" i="1"/>
  <c r="C5906" i="1"/>
  <c r="A5906" i="1"/>
  <c r="R5905" i="1"/>
  <c r="Q5905" i="1"/>
  <c r="N5905" i="1"/>
  <c r="J5905" i="1"/>
  <c r="I5905" i="1"/>
  <c r="H5905" i="1"/>
  <c r="G5905" i="1"/>
  <c r="F5905" i="1"/>
  <c r="E5905" i="1"/>
  <c r="D5905" i="1"/>
  <c r="C5905" i="1"/>
  <c r="A5905" i="1"/>
  <c r="R5904" i="1"/>
  <c r="Q5904" i="1"/>
  <c r="N5904" i="1"/>
  <c r="J5904" i="1"/>
  <c r="I5904" i="1"/>
  <c r="H5904" i="1"/>
  <c r="G5904" i="1"/>
  <c r="F5904" i="1"/>
  <c r="E5904" i="1"/>
  <c r="D5904" i="1"/>
  <c r="C5904" i="1"/>
  <c r="A5904" i="1"/>
  <c r="R5903" i="1"/>
  <c r="Q5903" i="1"/>
  <c r="N5903" i="1"/>
  <c r="J5903" i="1"/>
  <c r="I5903" i="1"/>
  <c r="H5903" i="1"/>
  <c r="G5903" i="1"/>
  <c r="F5903" i="1"/>
  <c r="E5903" i="1"/>
  <c r="D5903" i="1"/>
  <c r="C5903" i="1"/>
  <c r="A5903" i="1"/>
  <c r="R5902" i="1"/>
  <c r="Q5902" i="1"/>
  <c r="N5902" i="1"/>
  <c r="J5902" i="1"/>
  <c r="I5902" i="1"/>
  <c r="H5902" i="1"/>
  <c r="G5902" i="1"/>
  <c r="F5902" i="1"/>
  <c r="E5902" i="1"/>
  <c r="D5902" i="1"/>
  <c r="C5902" i="1"/>
  <c r="A5902" i="1"/>
  <c r="R5901" i="1"/>
  <c r="Q5901" i="1"/>
  <c r="N5901" i="1"/>
  <c r="J5901" i="1"/>
  <c r="I5901" i="1"/>
  <c r="H5901" i="1"/>
  <c r="G5901" i="1"/>
  <c r="F5901" i="1"/>
  <c r="E5901" i="1"/>
  <c r="D5901" i="1"/>
  <c r="C5901" i="1"/>
  <c r="A5901" i="1"/>
  <c r="R5900" i="1"/>
  <c r="Q5900" i="1"/>
  <c r="N5900" i="1"/>
  <c r="J5900" i="1"/>
  <c r="I5900" i="1"/>
  <c r="H5900" i="1"/>
  <c r="G5900" i="1"/>
  <c r="F5900" i="1"/>
  <c r="E5900" i="1"/>
  <c r="D5900" i="1"/>
  <c r="C5900" i="1"/>
  <c r="A5900" i="1"/>
  <c r="R5899" i="1"/>
  <c r="Q5899" i="1"/>
  <c r="N5899" i="1"/>
  <c r="J5899" i="1"/>
  <c r="I5899" i="1"/>
  <c r="H5899" i="1"/>
  <c r="G5899" i="1"/>
  <c r="F5899" i="1"/>
  <c r="E5899" i="1"/>
  <c r="D5899" i="1"/>
  <c r="C5899" i="1"/>
  <c r="A5899" i="1"/>
  <c r="R5898" i="1"/>
  <c r="Q5898" i="1"/>
  <c r="N5898" i="1"/>
  <c r="J5898" i="1"/>
  <c r="I5898" i="1"/>
  <c r="H5898" i="1"/>
  <c r="G5898" i="1"/>
  <c r="F5898" i="1"/>
  <c r="E5898" i="1"/>
  <c r="D5898" i="1"/>
  <c r="C5898" i="1"/>
  <c r="A5898" i="1"/>
  <c r="R5897" i="1"/>
  <c r="Q5897" i="1"/>
  <c r="N5897" i="1"/>
  <c r="J5897" i="1"/>
  <c r="I5897" i="1"/>
  <c r="H5897" i="1"/>
  <c r="G5897" i="1"/>
  <c r="F5897" i="1"/>
  <c r="E5897" i="1"/>
  <c r="D5897" i="1"/>
  <c r="C5897" i="1"/>
  <c r="A5897" i="1"/>
  <c r="R5896" i="1"/>
  <c r="Q5896" i="1"/>
  <c r="N5896" i="1"/>
  <c r="J5896" i="1"/>
  <c r="I5896" i="1"/>
  <c r="H5896" i="1"/>
  <c r="G5896" i="1"/>
  <c r="F5896" i="1"/>
  <c r="E5896" i="1"/>
  <c r="D5896" i="1"/>
  <c r="C5896" i="1"/>
  <c r="A5896" i="1"/>
  <c r="R5895" i="1"/>
  <c r="Q5895" i="1"/>
  <c r="N5895" i="1"/>
  <c r="J5895" i="1"/>
  <c r="I5895" i="1"/>
  <c r="H5895" i="1"/>
  <c r="G5895" i="1"/>
  <c r="F5895" i="1"/>
  <c r="E5895" i="1"/>
  <c r="D5895" i="1"/>
  <c r="C5895" i="1"/>
  <c r="A5895" i="1"/>
  <c r="R5894" i="1"/>
  <c r="Q5894" i="1"/>
  <c r="N5894" i="1"/>
  <c r="J5894" i="1"/>
  <c r="I5894" i="1"/>
  <c r="H5894" i="1"/>
  <c r="G5894" i="1"/>
  <c r="F5894" i="1"/>
  <c r="E5894" i="1"/>
  <c r="D5894" i="1"/>
  <c r="C5894" i="1"/>
  <c r="A5894" i="1"/>
  <c r="R5893" i="1"/>
  <c r="Q5893" i="1"/>
  <c r="N5893" i="1"/>
  <c r="J5893" i="1"/>
  <c r="I5893" i="1"/>
  <c r="H5893" i="1"/>
  <c r="G5893" i="1"/>
  <c r="F5893" i="1"/>
  <c r="E5893" i="1"/>
  <c r="D5893" i="1"/>
  <c r="C5893" i="1"/>
  <c r="A5893" i="1"/>
  <c r="R5892" i="1"/>
  <c r="Q5892" i="1"/>
  <c r="N5892" i="1"/>
  <c r="J5892" i="1"/>
  <c r="I5892" i="1"/>
  <c r="H5892" i="1"/>
  <c r="G5892" i="1"/>
  <c r="F5892" i="1"/>
  <c r="E5892" i="1"/>
  <c r="D5892" i="1"/>
  <c r="C5892" i="1"/>
  <c r="A5892" i="1"/>
  <c r="R5891" i="1"/>
  <c r="Q5891" i="1"/>
  <c r="N5891" i="1"/>
  <c r="J5891" i="1"/>
  <c r="I5891" i="1"/>
  <c r="H5891" i="1"/>
  <c r="G5891" i="1"/>
  <c r="F5891" i="1"/>
  <c r="E5891" i="1"/>
  <c r="D5891" i="1"/>
  <c r="C5891" i="1"/>
  <c r="A5891" i="1"/>
  <c r="R5890" i="1"/>
  <c r="Q5890" i="1"/>
  <c r="N5890" i="1"/>
  <c r="J5890" i="1"/>
  <c r="I5890" i="1"/>
  <c r="H5890" i="1"/>
  <c r="G5890" i="1"/>
  <c r="F5890" i="1"/>
  <c r="E5890" i="1"/>
  <c r="D5890" i="1"/>
  <c r="C5890" i="1"/>
  <c r="A5890" i="1"/>
  <c r="R5889" i="1"/>
  <c r="Q5889" i="1"/>
  <c r="N5889" i="1"/>
  <c r="J5889" i="1"/>
  <c r="I5889" i="1"/>
  <c r="H5889" i="1"/>
  <c r="G5889" i="1"/>
  <c r="F5889" i="1"/>
  <c r="E5889" i="1"/>
  <c r="D5889" i="1"/>
  <c r="C5889" i="1"/>
  <c r="A5889" i="1"/>
  <c r="R5888" i="1"/>
  <c r="Q5888" i="1"/>
  <c r="N5888" i="1"/>
  <c r="J5888" i="1"/>
  <c r="I5888" i="1"/>
  <c r="H5888" i="1"/>
  <c r="G5888" i="1"/>
  <c r="F5888" i="1"/>
  <c r="E5888" i="1"/>
  <c r="D5888" i="1"/>
  <c r="C5888" i="1"/>
  <c r="A5888" i="1"/>
  <c r="R5887" i="1"/>
  <c r="Q5887" i="1"/>
  <c r="N5887" i="1"/>
  <c r="J5887" i="1"/>
  <c r="I5887" i="1"/>
  <c r="H5887" i="1"/>
  <c r="G5887" i="1"/>
  <c r="F5887" i="1"/>
  <c r="E5887" i="1"/>
  <c r="D5887" i="1"/>
  <c r="C5887" i="1"/>
  <c r="A5887" i="1"/>
  <c r="R5886" i="1"/>
  <c r="Q5886" i="1"/>
  <c r="N5886" i="1"/>
  <c r="J5886" i="1"/>
  <c r="I5886" i="1"/>
  <c r="H5886" i="1"/>
  <c r="G5886" i="1"/>
  <c r="F5886" i="1"/>
  <c r="E5886" i="1"/>
  <c r="D5886" i="1"/>
  <c r="C5886" i="1"/>
  <c r="A5886" i="1"/>
  <c r="R5885" i="1"/>
  <c r="Q5885" i="1"/>
  <c r="N5885" i="1"/>
  <c r="J5885" i="1"/>
  <c r="I5885" i="1"/>
  <c r="H5885" i="1"/>
  <c r="G5885" i="1"/>
  <c r="F5885" i="1"/>
  <c r="E5885" i="1"/>
  <c r="D5885" i="1"/>
  <c r="C5885" i="1"/>
  <c r="A5885" i="1"/>
  <c r="R5884" i="1"/>
  <c r="Q5884" i="1"/>
  <c r="N5884" i="1"/>
  <c r="J5884" i="1"/>
  <c r="I5884" i="1"/>
  <c r="H5884" i="1"/>
  <c r="G5884" i="1"/>
  <c r="F5884" i="1"/>
  <c r="E5884" i="1"/>
  <c r="D5884" i="1"/>
  <c r="C5884" i="1"/>
  <c r="A5884" i="1"/>
  <c r="R5883" i="1"/>
  <c r="Q5883" i="1"/>
  <c r="N5883" i="1"/>
  <c r="J5883" i="1"/>
  <c r="I5883" i="1"/>
  <c r="H5883" i="1"/>
  <c r="G5883" i="1"/>
  <c r="F5883" i="1"/>
  <c r="E5883" i="1"/>
  <c r="D5883" i="1"/>
  <c r="C5883" i="1"/>
  <c r="A5883" i="1"/>
  <c r="R5882" i="1"/>
  <c r="Q5882" i="1"/>
  <c r="N5882" i="1"/>
  <c r="J5882" i="1"/>
  <c r="I5882" i="1"/>
  <c r="H5882" i="1"/>
  <c r="G5882" i="1"/>
  <c r="F5882" i="1"/>
  <c r="E5882" i="1"/>
  <c r="D5882" i="1"/>
  <c r="C5882" i="1"/>
  <c r="A5882" i="1"/>
  <c r="R5881" i="1"/>
  <c r="Q5881" i="1"/>
  <c r="N5881" i="1"/>
  <c r="J5881" i="1"/>
  <c r="I5881" i="1"/>
  <c r="H5881" i="1"/>
  <c r="G5881" i="1"/>
  <c r="F5881" i="1"/>
  <c r="E5881" i="1"/>
  <c r="D5881" i="1"/>
  <c r="C5881" i="1"/>
  <c r="A5881" i="1"/>
  <c r="R5880" i="1"/>
  <c r="Q5880" i="1"/>
  <c r="N5880" i="1"/>
  <c r="J5880" i="1"/>
  <c r="I5880" i="1"/>
  <c r="H5880" i="1"/>
  <c r="G5880" i="1"/>
  <c r="F5880" i="1"/>
  <c r="E5880" i="1"/>
  <c r="D5880" i="1"/>
  <c r="C5880" i="1"/>
  <c r="A5880" i="1"/>
  <c r="R5879" i="1"/>
  <c r="Q5879" i="1"/>
  <c r="N5879" i="1"/>
  <c r="J5879" i="1"/>
  <c r="I5879" i="1"/>
  <c r="H5879" i="1"/>
  <c r="G5879" i="1"/>
  <c r="F5879" i="1"/>
  <c r="E5879" i="1"/>
  <c r="D5879" i="1"/>
  <c r="C5879" i="1"/>
  <c r="A5879" i="1"/>
  <c r="R5878" i="1"/>
  <c r="Q5878" i="1"/>
  <c r="N5878" i="1"/>
  <c r="J5878" i="1"/>
  <c r="I5878" i="1"/>
  <c r="H5878" i="1"/>
  <c r="G5878" i="1"/>
  <c r="F5878" i="1"/>
  <c r="E5878" i="1"/>
  <c r="D5878" i="1"/>
  <c r="C5878" i="1"/>
  <c r="A5878" i="1"/>
  <c r="R5877" i="1"/>
  <c r="Q5877" i="1"/>
  <c r="N5877" i="1"/>
  <c r="J5877" i="1"/>
  <c r="I5877" i="1"/>
  <c r="H5877" i="1"/>
  <c r="G5877" i="1"/>
  <c r="F5877" i="1"/>
  <c r="E5877" i="1"/>
  <c r="D5877" i="1"/>
  <c r="C5877" i="1"/>
  <c r="A5877" i="1"/>
  <c r="R5876" i="1"/>
  <c r="Q5876" i="1"/>
  <c r="N5876" i="1"/>
  <c r="J5876" i="1"/>
  <c r="I5876" i="1"/>
  <c r="H5876" i="1"/>
  <c r="G5876" i="1"/>
  <c r="F5876" i="1"/>
  <c r="E5876" i="1"/>
  <c r="D5876" i="1"/>
  <c r="C5876" i="1"/>
  <c r="A5876" i="1"/>
  <c r="R5875" i="1"/>
  <c r="Q5875" i="1"/>
  <c r="N5875" i="1"/>
  <c r="J5875" i="1"/>
  <c r="I5875" i="1"/>
  <c r="H5875" i="1"/>
  <c r="G5875" i="1"/>
  <c r="F5875" i="1"/>
  <c r="E5875" i="1"/>
  <c r="D5875" i="1"/>
  <c r="C5875" i="1"/>
  <c r="A5875" i="1"/>
  <c r="R5874" i="1"/>
  <c r="Q5874" i="1"/>
  <c r="N5874" i="1"/>
  <c r="J5874" i="1"/>
  <c r="I5874" i="1"/>
  <c r="H5874" i="1"/>
  <c r="G5874" i="1"/>
  <c r="F5874" i="1"/>
  <c r="E5874" i="1"/>
  <c r="D5874" i="1"/>
  <c r="C5874" i="1"/>
  <c r="A5874" i="1"/>
  <c r="R5873" i="1"/>
  <c r="Q5873" i="1"/>
  <c r="N5873" i="1"/>
  <c r="J5873" i="1"/>
  <c r="I5873" i="1"/>
  <c r="H5873" i="1"/>
  <c r="G5873" i="1"/>
  <c r="F5873" i="1"/>
  <c r="E5873" i="1"/>
  <c r="D5873" i="1"/>
  <c r="C5873" i="1"/>
  <c r="A5873" i="1"/>
  <c r="R5872" i="1"/>
  <c r="Q5872" i="1"/>
  <c r="N5872" i="1"/>
  <c r="J5872" i="1"/>
  <c r="I5872" i="1"/>
  <c r="H5872" i="1"/>
  <c r="G5872" i="1"/>
  <c r="F5872" i="1"/>
  <c r="E5872" i="1"/>
  <c r="D5872" i="1"/>
  <c r="C5872" i="1"/>
  <c r="A5872" i="1"/>
  <c r="R5871" i="1"/>
  <c r="Q5871" i="1"/>
  <c r="N5871" i="1"/>
  <c r="J5871" i="1"/>
  <c r="I5871" i="1"/>
  <c r="H5871" i="1"/>
  <c r="G5871" i="1"/>
  <c r="F5871" i="1"/>
  <c r="E5871" i="1"/>
  <c r="D5871" i="1"/>
  <c r="C5871" i="1"/>
  <c r="A5871" i="1"/>
  <c r="R5870" i="1"/>
  <c r="Q5870" i="1"/>
  <c r="N5870" i="1"/>
  <c r="J5870" i="1"/>
  <c r="I5870" i="1"/>
  <c r="H5870" i="1"/>
  <c r="G5870" i="1"/>
  <c r="F5870" i="1"/>
  <c r="E5870" i="1"/>
  <c r="D5870" i="1"/>
  <c r="C5870" i="1"/>
  <c r="A5870" i="1"/>
  <c r="R5869" i="1"/>
  <c r="Q5869" i="1"/>
  <c r="N5869" i="1"/>
  <c r="J5869" i="1"/>
  <c r="I5869" i="1"/>
  <c r="H5869" i="1"/>
  <c r="G5869" i="1"/>
  <c r="F5869" i="1"/>
  <c r="E5869" i="1"/>
  <c r="D5869" i="1"/>
  <c r="C5869" i="1"/>
  <c r="A5869" i="1"/>
  <c r="R5868" i="1"/>
  <c r="Q5868" i="1"/>
  <c r="N5868" i="1"/>
  <c r="J5868" i="1"/>
  <c r="I5868" i="1"/>
  <c r="H5868" i="1"/>
  <c r="G5868" i="1"/>
  <c r="F5868" i="1"/>
  <c r="E5868" i="1"/>
  <c r="D5868" i="1"/>
  <c r="C5868" i="1"/>
  <c r="A5868" i="1"/>
  <c r="R5867" i="1"/>
  <c r="Q5867" i="1"/>
  <c r="N5867" i="1"/>
  <c r="J5867" i="1"/>
  <c r="I5867" i="1"/>
  <c r="H5867" i="1"/>
  <c r="G5867" i="1"/>
  <c r="F5867" i="1"/>
  <c r="E5867" i="1"/>
  <c r="D5867" i="1"/>
  <c r="C5867" i="1"/>
  <c r="A5867" i="1"/>
  <c r="R5866" i="1"/>
  <c r="Q5866" i="1"/>
  <c r="N5866" i="1"/>
  <c r="J5866" i="1"/>
  <c r="I5866" i="1"/>
  <c r="H5866" i="1"/>
  <c r="G5866" i="1"/>
  <c r="F5866" i="1"/>
  <c r="E5866" i="1"/>
  <c r="D5866" i="1"/>
  <c r="C5866" i="1"/>
  <c r="A5866" i="1"/>
  <c r="R5865" i="1"/>
  <c r="Q5865" i="1"/>
  <c r="N5865" i="1"/>
  <c r="J5865" i="1"/>
  <c r="I5865" i="1"/>
  <c r="H5865" i="1"/>
  <c r="G5865" i="1"/>
  <c r="F5865" i="1"/>
  <c r="E5865" i="1"/>
  <c r="D5865" i="1"/>
  <c r="C5865" i="1"/>
  <c r="A5865" i="1"/>
  <c r="R5864" i="1"/>
  <c r="Q5864" i="1"/>
  <c r="N5864" i="1"/>
  <c r="J5864" i="1"/>
  <c r="I5864" i="1"/>
  <c r="H5864" i="1"/>
  <c r="G5864" i="1"/>
  <c r="F5864" i="1"/>
  <c r="E5864" i="1"/>
  <c r="D5864" i="1"/>
  <c r="C5864" i="1"/>
  <c r="A5864" i="1"/>
  <c r="R5863" i="1"/>
  <c r="N5863" i="1"/>
  <c r="J5863" i="1"/>
  <c r="I5863" i="1"/>
  <c r="H5863" i="1"/>
  <c r="G5863" i="1"/>
  <c r="F5863" i="1"/>
  <c r="E5863" i="1"/>
  <c r="D5863" i="1"/>
  <c r="C5863" i="1"/>
  <c r="A5863" i="1"/>
  <c r="R5862" i="1"/>
  <c r="Q5862" i="1"/>
  <c r="N5862" i="1"/>
  <c r="J5862" i="1"/>
  <c r="I5862" i="1"/>
  <c r="H5862" i="1"/>
  <c r="G5862" i="1"/>
  <c r="F5862" i="1"/>
  <c r="E5862" i="1"/>
  <c r="D5862" i="1"/>
  <c r="C5862" i="1"/>
  <c r="A5862" i="1"/>
  <c r="R5861" i="1"/>
  <c r="Q5861" i="1"/>
  <c r="N5861" i="1"/>
  <c r="J5861" i="1"/>
  <c r="I5861" i="1"/>
  <c r="H5861" i="1"/>
  <c r="G5861" i="1"/>
  <c r="F5861" i="1"/>
  <c r="E5861" i="1"/>
  <c r="D5861" i="1"/>
  <c r="C5861" i="1"/>
  <c r="A5861" i="1"/>
  <c r="R5860" i="1"/>
  <c r="Q5860" i="1"/>
  <c r="N5860" i="1"/>
  <c r="J5860" i="1"/>
  <c r="I5860" i="1"/>
  <c r="H5860" i="1"/>
  <c r="G5860" i="1"/>
  <c r="F5860" i="1"/>
  <c r="E5860" i="1"/>
  <c r="D5860" i="1"/>
  <c r="C5860" i="1"/>
  <c r="A5860" i="1"/>
  <c r="R5859" i="1"/>
  <c r="Q5859" i="1"/>
  <c r="N5859" i="1"/>
  <c r="J5859" i="1"/>
  <c r="I5859" i="1"/>
  <c r="H5859" i="1"/>
  <c r="G5859" i="1"/>
  <c r="F5859" i="1"/>
  <c r="E5859" i="1"/>
  <c r="D5859" i="1"/>
  <c r="C5859" i="1"/>
  <c r="A5859" i="1"/>
  <c r="R5858" i="1"/>
  <c r="Q5858" i="1"/>
  <c r="N5858" i="1"/>
  <c r="J5858" i="1"/>
  <c r="I5858" i="1"/>
  <c r="H5858" i="1"/>
  <c r="G5858" i="1"/>
  <c r="F5858" i="1"/>
  <c r="E5858" i="1"/>
  <c r="D5858" i="1"/>
  <c r="C5858" i="1"/>
  <c r="A5858" i="1"/>
  <c r="R5857" i="1"/>
  <c r="Q5857" i="1"/>
  <c r="N5857" i="1"/>
  <c r="J5857" i="1"/>
  <c r="I5857" i="1"/>
  <c r="H5857" i="1"/>
  <c r="G5857" i="1"/>
  <c r="F5857" i="1"/>
  <c r="E5857" i="1"/>
  <c r="D5857" i="1"/>
  <c r="C5857" i="1"/>
  <c r="A5857" i="1"/>
  <c r="R5856" i="1"/>
  <c r="Q5856" i="1"/>
  <c r="N5856" i="1"/>
  <c r="J5856" i="1"/>
  <c r="I5856" i="1"/>
  <c r="H5856" i="1"/>
  <c r="G5856" i="1"/>
  <c r="F5856" i="1"/>
  <c r="E5856" i="1"/>
  <c r="D5856" i="1"/>
  <c r="C5856" i="1"/>
  <c r="A5856" i="1"/>
  <c r="R5855" i="1"/>
  <c r="Q5855" i="1"/>
  <c r="N5855" i="1"/>
  <c r="J5855" i="1"/>
  <c r="I5855" i="1"/>
  <c r="H5855" i="1"/>
  <c r="G5855" i="1"/>
  <c r="F5855" i="1"/>
  <c r="E5855" i="1"/>
  <c r="D5855" i="1"/>
  <c r="C5855" i="1"/>
  <c r="A5855" i="1"/>
  <c r="R5854" i="1"/>
  <c r="Q5854" i="1"/>
  <c r="N5854" i="1"/>
  <c r="J5854" i="1"/>
  <c r="I5854" i="1"/>
  <c r="H5854" i="1"/>
  <c r="G5854" i="1"/>
  <c r="F5854" i="1"/>
  <c r="E5854" i="1"/>
  <c r="D5854" i="1"/>
  <c r="C5854" i="1"/>
  <c r="A5854" i="1"/>
  <c r="R5853" i="1"/>
  <c r="Q5853" i="1"/>
  <c r="N5853" i="1"/>
  <c r="J5853" i="1"/>
  <c r="I5853" i="1"/>
  <c r="H5853" i="1"/>
  <c r="G5853" i="1"/>
  <c r="F5853" i="1"/>
  <c r="E5853" i="1"/>
  <c r="D5853" i="1"/>
  <c r="C5853" i="1"/>
  <c r="A5853" i="1"/>
  <c r="R5852" i="1"/>
  <c r="Q5852" i="1"/>
  <c r="N5852" i="1"/>
  <c r="J5852" i="1"/>
  <c r="I5852" i="1"/>
  <c r="H5852" i="1"/>
  <c r="G5852" i="1"/>
  <c r="F5852" i="1"/>
  <c r="E5852" i="1"/>
  <c r="D5852" i="1"/>
  <c r="C5852" i="1"/>
  <c r="A5852" i="1"/>
  <c r="R5851" i="1"/>
  <c r="Q5851" i="1"/>
  <c r="N5851" i="1"/>
  <c r="J5851" i="1"/>
  <c r="I5851" i="1"/>
  <c r="H5851" i="1"/>
  <c r="G5851" i="1"/>
  <c r="F5851" i="1"/>
  <c r="E5851" i="1"/>
  <c r="D5851" i="1"/>
  <c r="C5851" i="1"/>
  <c r="A5851" i="1"/>
  <c r="R5850" i="1"/>
  <c r="N5850" i="1"/>
  <c r="J5850" i="1"/>
  <c r="I5850" i="1"/>
  <c r="H5850" i="1"/>
  <c r="G5850" i="1"/>
  <c r="F5850" i="1"/>
  <c r="E5850" i="1"/>
  <c r="D5850" i="1"/>
  <c r="C5850" i="1"/>
  <c r="A5850" i="1"/>
  <c r="R5849" i="1"/>
  <c r="Q5849" i="1"/>
  <c r="N5849" i="1"/>
  <c r="J5849" i="1"/>
  <c r="I5849" i="1"/>
  <c r="H5849" i="1"/>
  <c r="G5849" i="1"/>
  <c r="F5849" i="1"/>
  <c r="E5849" i="1"/>
  <c r="D5849" i="1"/>
  <c r="C5849" i="1"/>
  <c r="A5849" i="1"/>
  <c r="R5848" i="1"/>
  <c r="N5848" i="1"/>
  <c r="J5848" i="1"/>
  <c r="I5848" i="1"/>
  <c r="H5848" i="1"/>
  <c r="G5848" i="1"/>
  <c r="F5848" i="1"/>
  <c r="E5848" i="1"/>
  <c r="D5848" i="1"/>
  <c r="C5848" i="1"/>
  <c r="B5848" i="1"/>
  <c r="A5848" i="1"/>
  <c r="R5847" i="1"/>
  <c r="Q5847" i="1"/>
  <c r="N5847" i="1"/>
  <c r="J5847" i="1"/>
  <c r="I5847" i="1"/>
  <c r="H5847" i="1"/>
  <c r="G5847" i="1"/>
  <c r="F5847" i="1"/>
  <c r="E5847" i="1"/>
  <c r="D5847" i="1"/>
  <c r="C5847" i="1"/>
  <c r="B5847" i="1"/>
  <c r="A5847" i="1"/>
  <c r="R5846" i="1"/>
  <c r="N5846" i="1"/>
  <c r="J5846" i="1"/>
  <c r="I5846" i="1"/>
  <c r="H5846" i="1"/>
  <c r="G5846" i="1"/>
  <c r="F5846" i="1"/>
  <c r="E5846" i="1"/>
  <c r="D5846" i="1"/>
  <c r="C5846" i="1"/>
  <c r="B5846" i="1"/>
  <c r="A5846" i="1"/>
  <c r="R5845" i="1"/>
  <c r="Q5845" i="1"/>
  <c r="N5845" i="1"/>
  <c r="J5845" i="1"/>
  <c r="I5845" i="1"/>
  <c r="H5845" i="1"/>
  <c r="G5845" i="1"/>
  <c r="F5845" i="1"/>
  <c r="E5845" i="1"/>
  <c r="D5845" i="1"/>
  <c r="C5845" i="1"/>
  <c r="B5845" i="1"/>
  <c r="A5845" i="1"/>
  <c r="R5844" i="1"/>
  <c r="N5844" i="1"/>
  <c r="J5844" i="1"/>
  <c r="I5844" i="1"/>
  <c r="H5844" i="1"/>
  <c r="G5844" i="1"/>
  <c r="F5844" i="1"/>
  <c r="E5844" i="1"/>
  <c r="D5844" i="1"/>
  <c r="C5844" i="1"/>
  <c r="B5844" i="1"/>
  <c r="A5844" i="1"/>
  <c r="R5843" i="1"/>
  <c r="Q5843" i="1"/>
  <c r="N5843" i="1"/>
  <c r="J5843" i="1"/>
  <c r="I5843" i="1"/>
  <c r="H5843" i="1"/>
  <c r="G5843" i="1"/>
  <c r="F5843" i="1"/>
  <c r="E5843" i="1"/>
  <c r="D5843" i="1"/>
  <c r="C5843" i="1"/>
  <c r="B5843" i="1"/>
  <c r="A5843" i="1"/>
  <c r="R5842" i="1"/>
  <c r="N5842" i="1"/>
  <c r="J5842" i="1"/>
  <c r="I5842" i="1"/>
  <c r="H5842" i="1"/>
  <c r="G5842" i="1"/>
  <c r="F5842" i="1"/>
  <c r="E5842" i="1"/>
  <c r="D5842" i="1"/>
  <c r="C5842" i="1"/>
  <c r="B5842" i="1"/>
  <c r="A5842" i="1"/>
  <c r="R5841" i="1"/>
  <c r="Q5841" i="1"/>
  <c r="N5841" i="1"/>
  <c r="J5841" i="1"/>
  <c r="I5841" i="1"/>
  <c r="H5841" i="1"/>
  <c r="G5841" i="1"/>
  <c r="F5841" i="1"/>
  <c r="E5841" i="1"/>
  <c r="D5841" i="1"/>
  <c r="C5841" i="1"/>
  <c r="B5841" i="1"/>
  <c r="A5841" i="1"/>
  <c r="R5840" i="1"/>
  <c r="N5840" i="1"/>
  <c r="J5840" i="1"/>
  <c r="I5840" i="1"/>
  <c r="H5840" i="1"/>
  <c r="G5840" i="1"/>
  <c r="F5840" i="1"/>
  <c r="E5840" i="1"/>
  <c r="D5840" i="1"/>
  <c r="C5840" i="1"/>
  <c r="B5840" i="1"/>
  <c r="A5840" i="1"/>
  <c r="R5839" i="1"/>
  <c r="Q5839" i="1"/>
  <c r="N5839" i="1"/>
  <c r="J5839" i="1"/>
  <c r="I5839" i="1"/>
  <c r="H5839" i="1"/>
  <c r="G5839" i="1"/>
  <c r="F5839" i="1"/>
  <c r="E5839" i="1"/>
  <c r="D5839" i="1"/>
  <c r="C5839" i="1"/>
  <c r="B5839" i="1"/>
  <c r="A5839" i="1"/>
  <c r="R5838" i="1"/>
  <c r="N5838" i="1"/>
  <c r="J5838" i="1"/>
  <c r="I5838" i="1"/>
  <c r="H5838" i="1"/>
  <c r="G5838" i="1"/>
  <c r="F5838" i="1"/>
  <c r="E5838" i="1"/>
  <c r="D5838" i="1"/>
  <c r="C5838" i="1"/>
  <c r="B5838" i="1"/>
  <c r="A5838" i="1"/>
  <c r="R5837" i="1"/>
  <c r="Q5837" i="1"/>
  <c r="N5837" i="1"/>
  <c r="J5837" i="1"/>
  <c r="I5837" i="1"/>
  <c r="H5837" i="1"/>
  <c r="G5837" i="1"/>
  <c r="F5837" i="1"/>
  <c r="E5837" i="1"/>
  <c r="D5837" i="1"/>
  <c r="C5837" i="1"/>
  <c r="A5837" i="1"/>
  <c r="R5836" i="1"/>
  <c r="N5836" i="1"/>
  <c r="J5836" i="1"/>
  <c r="I5836" i="1"/>
  <c r="H5836" i="1"/>
  <c r="G5836" i="1"/>
  <c r="F5836" i="1"/>
  <c r="E5836" i="1"/>
  <c r="D5836" i="1"/>
  <c r="C5836" i="1"/>
  <c r="B5836" i="1"/>
  <c r="A5836" i="1"/>
  <c r="R5835" i="1"/>
  <c r="N5835" i="1"/>
  <c r="J5835" i="1"/>
  <c r="I5835" i="1"/>
  <c r="H5835" i="1"/>
  <c r="G5835" i="1"/>
  <c r="F5835" i="1"/>
  <c r="E5835" i="1"/>
  <c r="D5835" i="1"/>
  <c r="C5835" i="1"/>
  <c r="B5835" i="1"/>
  <c r="A5835" i="1"/>
  <c r="R5834" i="1"/>
  <c r="Q5834" i="1"/>
  <c r="N5834" i="1"/>
  <c r="J5834" i="1"/>
  <c r="I5834" i="1"/>
  <c r="H5834" i="1"/>
  <c r="G5834" i="1"/>
  <c r="F5834" i="1"/>
  <c r="E5834" i="1"/>
  <c r="D5834" i="1"/>
  <c r="C5834" i="1"/>
  <c r="B5834" i="1"/>
  <c r="A5834" i="1"/>
  <c r="R5833" i="1"/>
  <c r="N5833" i="1"/>
  <c r="J5833" i="1"/>
  <c r="I5833" i="1"/>
  <c r="H5833" i="1"/>
  <c r="G5833" i="1"/>
  <c r="F5833" i="1"/>
  <c r="E5833" i="1"/>
  <c r="D5833" i="1"/>
  <c r="C5833" i="1"/>
  <c r="B5833" i="1"/>
  <c r="A5833" i="1"/>
  <c r="R5832" i="1"/>
  <c r="Q5832" i="1"/>
  <c r="N5832" i="1"/>
  <c r="J5832" i="1"/>
  <c r="I5832" i="1"/>
  <c r="H5832" i="1"/>
  <c r="G5832" i="1"/>
  <c r="F5832" i="1"/>
  <c r="E5832" i="1"/>
  <c r="D5832" i="1"/>
  <c r="C5832" i="1"/>
  <c r="B5832" i="1"/>
  <c r="A5832" i="1"/>
  <c r="R5831" i="1"/>
  <c r="N5831" i="1"/>
  <c r="J5831" i="1"/>
  <c r="I5831" i="1"/>
  <c r="H5831" i="1"/>
  <c r="G5831" i="1"/>
  <c r="F5831" i="1"/>
  <c r="E5831" i="1"/>
  <c r="D5831" i="1"/>
  <c r="C5831" i="1"/>
  <c r="B5831" i="1"/>
  <c r="A5831" i="1"/>
  <c r="R5830" i="1"/>
  <c r="Q5830" i="1"/>
  <c r="N5830" i="1"/>
  <c r="J5830" i="1"/>
  <c r="I5830" i="1"/>
  <c r="H5830" i="1"/>
  <c r="G5830" i="1"/>
  <c r="F5830" i="1"/>
  <c r="E5830" i="1"/>
  <c r="D5830" i="1"/>
  <c r="C5830" i="1"/>
  <c r="B5830" i="1"/>
  <c r="A5830" i="1"/>
  <c r="R5829" i="1"/>
  <c r="N5829" i="1"/>
  <c r="J5829" i="1"/>
  <c r="I5829" i="1"/>
  <c r="H5829" i="1"/>
  <c r="G5829" i="1"/>
  <c r="F5829" i="1"/>
  <c r="E5829" i="1"/>
  <c r="D5829" i="1"/>
  <c r="C5829" i="1"/>
  <c r="B5829" i="1"/>
  <c r="A5829" i="1"/>
  <c r="R5828" i="1"/>
  <c r="Q5828" i="1"/>
  <c r="N5828" i="1"/>
  <c r="J5828" i="1"/>
  <c r="I5828" i="1"/>
  <c r="H5828" i="1"/>
  <c r="G5828" i="1"/>
  <c r="F5828" i="1"/>
  <c r="E5828" i="1"/>
  <c r="D5828" i="1"/>
  <c r="C5828" i="1"/>
  <c r="B5828" i="1"/>
  <c r="A5828" i="1"/>
  <c r="R5827" i="1"/>
  <c r="N5827" i="1"/>
  <c r="J5827" i="1"/>
  <c r="I5827" i="1"/>
  <c r="H5827" i="1"/>
  <c r="G5827" i="1"/>
  <c r="F5827" i="1"/>
  <c r="E5827" i="1"/>
  <c r="D5827" i="1"/>
  <c r="C5827" i="1"/>
  <c r="B5827" i="1"/>
  <c r="A5827" i="1"/>
  <c r="R5826" i="1"/>
  <c r="Q5826" i="1"/>
  <c r="N5826" i="1"/>
  <c r="J5826" i="1"/>
  <c r="I5826" i="1"/>
  <c r="H5826" i="1"/>
  <c r="G5826" i="1"/>
  <c r="F5826" i="1"/>
  <c r="E5826" i="1"/>
  <c r="D5826" i="1"/>
  <c r="C5826" i="1"/>
  <c r="A5826" i="1"/>
  <c r="R5825" i="1"/>
  <c r="N5825" i="1"/>
  <c r="J5825" i="1"/>
  <c r="I5825" i="1"/>
  <c r="H5825" i="1"/>
  <c r="G5825" i="1"/>
  <c r="F5825" i="1"/>
  <c r="E5825" i="1"/>
  <c r="D5825" i="1"/>
  <c r="C5825" i="1"/>
  <c r="A5825" i="1"/>
  <c r="R5824" i="1"/>
  <c r="Q5824" i="1"/>
  <c r="N5824" i="1"/>
  <c r="J5824" i="1"/>
  <c r="I5824" i="1"/>
  <c r="H5824" i="1"/>
  <c r="G5824" i="1"/>
  <c r="F5824" i="1"/>
  <c r="E5824" i="1"/>
  <c r="D5824" i="1"/>
  <c r="C5824" i="1"/>
  <c r="A5824" i="1"/>
  <c r="R5823" i="1"/>
  <c r="N5823" i="1"/>
  <c r="J5823" i="1"/>
  <c r="I5823" i="1"/>
  <c r="H5823" i="1"/>
  <c r="G5823" i="1"/>
  <c r="F5823" i="1"/>
  <c r="E5823" i="1"/>
  <c r="D5823" i="1"/>
  <c r="C5823" i="1"/>
  <c r="B5823" i="1"/>
  <c r="A5823" i="1"/>
  <c r="R5822" i="1"/>
  <c r="Q5822" i="1"/>
  <c r="N5822" i="1"/>
  <c r="J5822" i="1"/>
  <c r="I5822" i="1"/>
  <c r="H5822" i="1"/>
  <c r="G5822" i="1"/>
  <c r="F5822" i="1"/>
  <c r="E5822" i="1"/>
  <c r="D5822" i="1"/>
  <c r="C5822" i="1"/>
  <c r="B5822" i="1"/>
  <c r="A5822" i="1"/>
  <c r="R5821" i="1"/>
  <c r="N5821" i="1"/>
  <c r="J5821" i="1"/>
  <c r="I5821" i="1"/>
  <c r="H5821" i="1"/>
  <c r="G5821" i="1"/>
  <c r="F5821" i="1"/>
  <c r="E5821" i="1"/>
  <c r="D5821" i="1"/>
  <c r="C5821" i="1"/>
  <c r="B5821" i="1"/>
  <c r="A5821" i="1"/>
  <c r="R5820" i="1"/>
  <c r="Q5820" i="1"/>
  <c r="N5820" i="1"/>
  <c r="J5820" i="1"/>
  <c r="I5820" i="1"/>
  <c r="H5820" i="1"/>
  <c r="G5820" i="1"/>
  <c r="F5820" i="1"/>
  <c r="E5820" i="1"/>
  <c r="D5820" i="1"/>
  <c r="C5820" i="1"/>
  <c r="B5820" i="1"/>
  <c r="A5820" i="1"/>
  <c r="R5819" i="1"/>
  <c r="N5819" i="1"/>
  <c r="J5819" i="1"/>
  <c r="I5819" i="1"/>
  <c r="H5819" i="1"/>
  <c r="G5819" i="1"/>
  <c r="F5819" i="1"/>
  <c r="E5819" i="1"/>
  <c r="D5819" i="1"/>
  <c r="C5819" i="1"/>
  <c r="B5819" i="1"/>
  <c r="A5819" i="1"/>
  <c r="R5818" i="1"/>
  <c r="Q5818" i="1"/>
  <c r="N5818" i="1"/>
  <c r="J5818" i="1"/>
  <c r="I5818" i="1"/>
  <c r="H5818" i="1"/>
  <c r="G5818" i="1"/>
  <c r="F5818" i="1"/>
  <c r="E5818" i="1"/>
  <c r="D5818" i="1"/>
  <c r="C5818" i="1"/>
  <c r="B5818" i="1"/>
  <c r="A5818" i="1"/>
  <c r="R5817" i="1"/>
  <c r="N5817" i="1"/>
  <c r="J5817" i="1"/>
  <c r="I5817" i="1"/>
  <c r="H5817" i="1"/>
  <c r="G5817" i="1"/>
  <c r="F5817" i="1"/>
  <c r="E5817" i="1"/>
  <c r="D5817" i="1"/>
  <c r="C5817" i="1"/>
  <c r="B5817" i="1"/>
  <c r="A5817" i="1"/>
  <c r="R5816" i="1"/>
  <c r="Q5816" i="1"/>
  <c r="N5816" i="1"/>
  <c r="J5816" i="1"/>
  <c r="I5816" i="1"/>
  <c r="H5816" i="1"/>
  <c r="G5816" i="1"/>
  <c r="F5816" i="1"/>
  <c r="E5816" i="1"/>
  <c r="D5816" i="1"/>
  <c r="C5816" i="1"/>
  <c r="A5816" i="1"/>
  <c r="R5815" i="1"/>
  <c r="N5815" i="1"/>
  <c r="J5815" i="1"/>
  <c r="I5815" i="1"/>
  <c r="H5815" i="1"/>
  <c r="G5815" i="1"/>
  <c r="F5815" i="1"/>
  <c r="E5815" i="1"/>
  <c r="D5815" i="1"/>
  <c r="C5815" i="1"/>
  <c r="A5815" i="1"/>
  <c r="R5814" i="1"/>
  <c r="Q5814" i="1"/>
  <c r="N5814" i="1"/>
  <c r="J5814" i="1"/>
  <c r="I5814" i="1"/>
  <c r="H5814" i="1"/>
  <c r="G5814" i="1"/>
  <c r="F5814" i="1"/>
  <c r="E5814" i="1"/>
  <c r="D5814" i="1"/>
  <c r="C5814" i="1"/>
  <c r="A5814" i="1"/>
  <c r="R5813" i="1"/>
  <c r="N5813" i="1"/>
  <c r="J5813" i="1"/>
  <c r="I5813" i="1"/>
  <c r="H5813" i="1"/>
  <c r="G5813" i="1"/>
  <c r="F5813" i="1"/>
  <c r="E5813" i="1"/>
  <c r="D5813" i="1"/>
  <c r="C5813" i="1"/>
  <c r="A5813" i="1"/>
  <c r="R5812" i="1"/>
  <c r="Q5812" i="1"/>
  <c r="N5812" i="1"/>
  <c r="J5812" i="1"/>
  <c r="I5812" i="1"/>
  <c r="H5812" i="1"/>
  <c r="G5812" i="1"/>
  <c r="F5812" i="1"/>
  <c r="E5812" i="1"/>
  <c r="D5812" i="1"/>
  <c r="C5812" i="1"/>
  <c r="A5812" i="1"/>
  <c r="R5811" i="1"/>
  <c r="N5811" i="1"/>
  <c r="J5811" i="1"/>
  <c r="I5811" i="1"/>
  <c r="H5811" i="1"/>
  <c r="G5811" i="1"/>
  <c r="F5811" i="1"/>
  <c r="E5811" i="1"/>
  <c r="D5811" i="1"/>
  <c r="C5811" i="1"/>
  <c r="A5811" i="1"/>
  <c r="R5810" i="1"/>
  <c r="Q5810" i="1"/>
  <c r="N5810" i="1"/>
  <c r="J5810" i="1"/>
  <c r="I5810" i="1"/>
  <c r="H5810" i="1"/>
  <c r="G5810" i="1"/>
  <c r="F5810" i="1"/>
  <c r="E5810" i="1"/>
  <c r="D5810" i="1"/>
  <c r="C5810" i="1"/>
  <c r="A5810" i="1"/>
  <c r="R5809" i="1"/>
  <c r="N5809" i="1"/>
  <c r="J5809" i="1"/>
  <c r="I5809" i="1"/>
  <c r="H5809" i="1"/>
  <c r="G5809" i="1"/>
  <c r="F5809" i="1"/>
  <c r="E5809" i="1"/>
  <c r="D5809" i="1"/>
  <c r="C5809" i="1"/>
  <c r="A5809" i="1"/>
  <c r="R5808" i="1"/>
  <c r="Q5808" i="1"/>
  <c r="N5808" i="1"/>
  <c r="J5808" i="1"/>
  <c r="I5808" i="1"/>
  <c r="H5808" i="1"/>
  <c r="G5808" i="1"/>
  <c r="F5808" i="1"/>
  <c r="E5808" i="1"/>
  <c r="D5808" i="1"/>
  <c r="C5808" i="1"/>
  <c r="A5808" i="1"/>
  <c r="R5807" i="1"/>
  <c r="N5807" i="1"/>
  <c r="J5807" i="1"/>
  <c r="I5807" i="1"/>
  <c r="H5807" i="1"/>
  <c r="G5807" i="1"/>
  <c r="F5807" i="1"/>
  <c r="E5807" i="1"/>
  <c r="D5807" i="1"/>
  <c r="C5807" i="1"/>
  <c r="A5807" i="1"/>
  <c r="R5806" i="1"/>
  <c r="Q5806" i="1"/>
  <c r="N5806" i="1"/>
  <c r="J5806" i="1"/>
  <c r="I5806" i="1"/>
  <c r="H5806" i="1"/>
  <c r="G5806" i="1"/>
  <c r="F5806" i="1"/>
  <c r="E5806" i="1"/>
  <c r="D5806" i="1"/>
  <c r="C5806" i="1"/>
  <c r="A5806" i="1"/>
  <c r="R5805" i="1"/>
  <c r="N5805" i="1"/>
  <c r="J5805" i="1"/>
  <c r="I5805" i="1"/>
  <c r="H5805" i="1"/>
  <c r="G5805" i="1"/>
  <c r="F5805" i="1"/>
  <c r="E5805" i="1"/>
  <c r="D5805" i="1"/>
  <c r="C5805" i="1"/>
  <c r="A5805" i="1"/>
  <c r="R5804" i="1"/>
  <c r="Q5804" i="1"/>
  <c r="N5804" i="1"/>
  <c r="J5804" i="1"/>
  <c r="I5804" i="1"/>
  <c r="H5804" i="1"/>
  <c r="G5804" i="1"/>
  <c r="F5804" i="1"/>
  <c r="E5804" i="1"/>
  <c r="D5804" i="1"/>
  <c r="C5804" i="1"/>
  <c r="A5804" i="1"/>
  <c r="R5803" i="1"/>
  <c r="N5803" i="1"/>
  <c r="J5803" i="1"/>
  <c r="I5803" i="1"/>
  <c r="H5803" i="1"/>
  <c r="G5803" i="1"/>
  <c r="F5803" i="1"/>
  <c r="E5803" i="1"/>
  <c r="D5803" i="1"/>
  <c r="C5803" i="1"/>
  <c r="A5803" i="1"/>
  <c r="R5802" i="1"/>
  <c r="Q5802" i="1"/>
  <c r="N5802" i="1"/>
  <c r="J5802" i="1"/>
  <c r="I5802" i="1"/>
  <c r="H5802" i="1"/>
  <c r="G5802" i="1"/>
  <c r="F5802" i="1"/>
  <c r="E5802" i="1"/>
  <c r="D5802" i="1"/>
  <c r="C5802" i="1"/>
  <c r="A5802" i="1"/>
  <c r="R5801" i="1"/>
  <c r="N5801" i="1"/>
  <c r="J5801" i="1"/>
  <c r="I5801" i="1"/>
  <c r="H5801" i="1"/>
  <c r="G5801" i="1"/>
  <c r="F5801" i="1"/>
  <c r="E5801" i="1"/>
  <c r="D5801" i="1"/>
  <c r="C5801" i="1"/>
  <c r="A5801" i="1"/>
  <c r="R5800" i="1"/>
  <c r="Q5800" i="1"/>
  <c r="N5800" i="1"/>
  <c r="J5800" i="1"/>
  <c r="I5800" i="1"/>
  <c r="H5800" i="1"/>
  <c r="G5800" i="1"/>
  <c r="F5800" i="1"/>
  <c r="E5800" i="1"/>
  <c r="D5800" i="1"/>
  <c r="C5800" i="1"/>
  <c r="A5800" i="1"/>
  <c r="R5799" i="1"/>
  <c r="N5799" i="1"/>
  <c r="J5799" i="1"/>
  <c r="I5799" i="1"/>
  <c r="H5799" i="1"/>
  <c r="G5799" i="1"/>
  <c r="F5799" i="1"/>
  <c r="E5799" i="1"/>
  <c r="D5799" i="1"/>
  <c r="C5799" i="1"/>
  <c r="A5799" i="1"/>
  <c r="R5798" i="1"/>
  <c r="Q5798" i="1"/>
  <c r="N5798" i="1"/>
  <c r="J5798" i="1"/>
  <c r="I5798" i="1"/>
  <c r="H5798" i="1"/>
  <c r="G5798" i="1"/>
  <c r="F5798" i="1"/>
  <c r="E5798" i="1"/>
  <c r="D5798" i="1"/>
  <c r="C5798" i="1"/>
  <c r="A5798" i="1"/>
  <c r="R5797" i="1"/>
  <c r="N5797" i="1"/>
  <c r="J5797" i="1"/>
  <c r="I5797" i="1"/>
  <c r="H5797" i="1"/>
  <c r="G5797" i="1"/>
  <c r="F5797" i="1"/>
  <c r="E5797" i="1"/>
  <c r="D5797" i="1"/>
  <c r="C5797" i="1"/>
  <c r="A5797" i="1"/>
  <c r="R5796" i="1"/>
  <c r="Q5796" i="1"/>
  <c r="N5796" i="1"/>
  <c r="J5796" i="1"/>
  <c r="I5796" i="1"/>
  <c r="H5796" i="1"/>
  <c r="G5796" i="1"/>
  <c r="F5796" i="1"/>
  <c r="E5796" i="1"/>
  <c r="D5796" i="1"/>
  <c r="C5796" i="1"/>
  <c r="A5796" i="1"/>
  <c r="R5795" i="1"/>
  <c r="N5795" i="1"/>
  <c r="J5795" i="1"/>
  <c r="I5795" i="1"/>
  <c r="H5795" i="1"/>
  <c r="G5795" i="1"/>
  <c r="F5795" i="1"/>
  <c r="E5795" i="1"/>
  <c r="D5795" i="1"/>
  <c r="C5795" i="1"/>
  <c r="A5795" i="1"/>
  <c r="R5794" i="1"/>
  <c r="Q5794" i="1"/>
  <c r="N5794" i="1"/>
  <c r="J5794" i="1"/>
  <c r="I5794" i="1"/>
  <c r="H5794" i="1"/>
  <c r="G5794" i="1"/>
  <c r="F5794" i="1"/>
  <c r="E5794" i="1"/>
  <c r="D5794" i="1"/>
  <c r="C5794" i="1"/>
  <c r="A5794" i="1"/>
  <c r="R5793" i="1"/>
  <c r="Q5793" i="1"/>
  <c r="N5793" i="1"/>
  <c r="J5793" i="1"/>
  <c r="I5793" i="1"/>
  <c r="H5793" i="1"/>
  <c r="G5793" i="1"/>
  <c r="F5793" i="1"/>
  <c r="E5793" i="1"/>
  <c r="D5793" i="1"/>
  <c r="C5793" i="1"/>
  <c r="A5793" i="1"/>
  <c r="R5792" i="1"/>
  <c r="N5792" i="1"/>
  <c r="J5792" i="1"/>
  <c r="I5792" i="1"/>
  <c r="H5792" i="1"/>
  <c r="G5792" i="1"/>
  <c r="F5792" i="1"/>
  <c r="E5792" i="1"/>
  <c r="D5792" i="1"/>
  <c r="C5792" i="1"/>
  <c r="A5792" i="1"/>
  <c r="R5791" i="1"/>
  <c r="Q5791" i="1"/>
  <c r="N5791" i="1"/>
  <c r="J5791" i="1"/>
  <c r="I5791" i="1"/>
  <c r="H5791" i="1"/>
  <c r="G5791" i="1"/>
  <c r="F5791" i="1"/>
  <c r="E5791" i="1"/>
  <c r="D5791" i="1"/>
  <c r="C5791" i="1"/>
  <c r="A5791" i="1"/>
  <c r="R5790" i="1"/>
  <c r="Q5790" i="1"/>
  <c r="N5790" i="1"/>
  <c r="J5790" i="1"/>
  <c r="I5790" i="1"/>
  <c r="H5790" i="1"/>
  <c r="G5790" i="1"/>
  <c r="F5790" i="1"/>
  <c r="E5790" i="1"/>
  <c r="D5790" i="1"/>
  <c r="C5790" i="1"/>
  <c r="A5790" i="1"/>
  <c r="R5789" i="1"/>
  <c r="N5789" i="1"/>
  <c r="J5789" i="1"/>
  <c r="I5789" i="1"/>
  <c r="H5789" i="1"/>
  <c r="G5789" i="1"/>
  <c r="F5789" i="1"/>
  <c r="E5789" i="1"/>
  <c r="D5789" i="1"/>
  <c r="C5789" i="1"/>
  <c r="A5789" i="1"/>
  <c r="R5788" i="1"/>
  <c r="Q5788" i="1"/>
  <c r="N5788" i="1"/>
  <c r="J5788" i="1"/>
  <c r="I5788" i="1"/>
  <c r="H5788" i="1"/>
  <c r="G5788" i="1"/>
  <c r="F5788" i="1"/>
  <c r="E5788" i="1"/>
  <c r="D5788" i="1"/>
  <c r="C5788" i="1"/>
  <c r="A5788" i="1"/>
  <c r="R5787" i="1"/>
  <c r="N5787" i="1"/>
  <c r="J5787" i="1"/>
  <c r="I5787" i="1"/>
  <c r="H5787" i="1"/>
  <c r="G5787" i="1"/>
  <c r="F5787" i="1"/>
  <c r="E5787" i="1"/>
  <c r="D5787" i="1"/>
  <c r="C5787" i="1"/>
  <c r="B5787" i="1"/>
  <c r="A5787" i="1"/>
  <c r="R5786" i="1"/>
  <c r="N5786" i="1"/>
  <c r="J5786" i="1"/>
  <c r="I5786" i="1"/>
  <c r="H5786" i="1"/>
  <c r="G5786" i="1"/>
  <c r="F5786" i="1"/>
  <c r="E5786" i="1"/>
  <c r="D5786" i="1"/>
  <c r="C5786" i="1"/>
  <c r="B5786" i="1"/>
  <c r="A5786" i="1"/>
  <c r="R5785" i="1"/>
  <c r="Q5785" i="1"/>
  <c r="N5785" i="1"/>
  <c r="J5785" i="1"/>
  <c r="I5785" i="1"/>
  <c r="H5785" i="1"/>
  <c r="G5785" i="1"/>
  <c r="F5785" i="1"/>
  <c r="E5785" i="1"/>
  <c r="D5785" i="1"/>
  <c r="C5785" i="1"/>
  <c r="A5785" i="1"/>
  <c r="R5784" i="1"/>
  <c r="N5784" i="1"/>
  <c r="J5784" i="1"/>
  <c r="I5784" i="1"/>
  <c r="H5784" i="1"/>
  <c r="G5784" i="1"/>
  <c r="F5784" i="1"/>
  <c r="E5784" i="1"/>
  <c r="D5784" i="1"/>
  <c r="C5784" i="1"/>
  <c r="A5784" i="1"/>
  <c r="R5783" i="1"/>
  <c r="Q5783" i="1"/>
  <c r="N5783" i="1"/>
  <c r="J5783" i="1"/>
  <c r="I5783" i="1"/>
  <c r="H5783" i="1"/>
  <c r="G5783" i="1"/>
  <c r="F5783" i="1"/>
  <c r="E5783" i="1"/>
  <c r="D5783" i="1"/>
  <c r="C5783" i="1"/>
  <c r="A5783" i="1"/>
  <c r="R5782" i="1"/>
  <c r="Q5782" i="1"/>
  <c r="N5782" i="1"/>
  <c r="J5782" i="1"/>
  <c r="I5782" i="1"/>
  <c r="H5782" i="1"/>
  <c r="G5782" i="1"/>
  <c r="F5782" i="1"/>
  <c r="E5782" i="1"/>
  <c r="D5782" i="1"/>
  <c r="C5782" i="1"/>
  <c r="A5782" i="1"/>
  <c r="R5781" i="1"/>
  <c r="Q5781" i="1"/>
  <c r="N5781" i="1"/>
  <c r="J5781" i="1"/>
  <c r="I5781" i="1"/>
  <c r="H5781" i="1"/>
  <c r="G5781" i="1"/>
  <c r="F5781" i="1"/>
  <c r="E5781" i="1"/>
  <c r="D5781" i="1"/>
  <c r="C5781" i="1"/>
  <c r="A5781" i="1"/>
  <c r="R5780" i="1"/>
  <c r="N5780" i="1"/>
  <c r="J5780" i="1"/>
  <c r="I5780" i="1"/>
  <c r="H5780" i="1"/>
  <c r="G5780" i="1"/>
  <c r="F5780" i="1"/>
  <c r="E5780" i="1"/>
  <c r="D5780" i="1"/>
  <c r="C5780" i="1"/>
  <c r="A5780" i="1"/>
  <c r="R5779" i="1"/>
  <c r="Q5779" i="1"/>
  <c r="N5779" i="1"/>
  <c r="J5779" i="1"/>
  <c r="I5779" i="1"/>
  <c r="H5779" i="1"/>
  <c r="G5779" i="1"/>
  <c r="F5779" i="1"/>
  <c r="E5779" i="1"/>
  <c r="D5779" i="1"/>
  <c r="C5779" i="1"/>
  <c r="A5779" i="1"/>
  <c r="R5778" i="1"/>
  <c r="N5778" i="1"/>
  <c r="J5778" i="1"/>
  <c r="I5778" i="1"/>
  <c r="H5778" i="1"/>
  <c r="G5778" i="1"/>
  <c r="F5778" i="1"/>
  <c r="E5778" i="1"/>
  <c r="D5778" i="1"/>
  <c r="C5778" i="1"/>
  <c r="B5778" i="1"/>
  <c r="A5778" i="1"/>
  <c r="R5777" i="1"/>
  <c r="N5777" i="1"/>
  <c r="J5777" i="1"/>
  <c r="I5777" i="1"/>
  <c r="H5777" i="1"/>
  <c r="G5777" i="1"/>
  <c r="F5777" i="1"/>
  <c r="E5777" i="1"/>
  <c r="D5777" i="1"/>
  <c r="C5777" i="1"/>
  <c r="B5777" i="1"/>
  <c r="A5777" i="1"/>
  <c r="R5776" i="1"/>
  <c r="Q5776" i="1"/>
  <c r="N5776" i="1"/>
  <c r="J5776" i="1"/>
  <c r="I5776" i="1"/>
  <c r="H5776" i="1"/>
  <c r="G5776" i="1"/>
  <c r="F5776" i="1"/>
  <c r="E5776" i="1"/>
  <c r="D5776" i="1"/>
  <c r="C5776" i="1"/>
  <c r="A5776" i="1"/>
  <c r="R5775" i="1"/>
  <c r="N5775" i="1"/>
  <c r="J5775" i="1"/>
  <c r="I5775" i="1"/>
  <c r="H5775" i="1"/>
  <c r="G5775" i="1"/>
  <c r="F5775" i="1"/>
  <c r="E5775" i="1"/>
  <c r="D5775" i="1"/>
  <c r="C5775" i="1"/>
  <c r="A5775" i="1"/>
  <c r="R5774" i="1"/>
  <c r="Q5774" i="1"/>
  <c r="N5774" i="1"/>
  <c r="J5774" i="1"/>
  <c r="I5774" i="1"/>
  <c r="H5774" i="1"/>
  <c r="G5774" i="1"/>
  <c r="F5774" i="1"/>
  <c r="E5774" i="1"/>
  <c r="D5774" i="1"/>
  <c r="C5774" i="1"/>
  <c r="A5774" i="1"/>
  <c r="R5773" i="1"/>
  <c r="N5773" i="1"/>
  <c r="J5773" i="1"/>
  <c r="I5773" i="1"/>
  <c r="H5773" i="1"/>
  <c r="G5773" i="1"/>
  <c r="F5773" i="1"/>
  <c r="E5773" i="1"/>
  <c r="D5773" i="1"/>
  <c r="C5773" i="1"/>
  <c r="A5773" i="1"/>
  <c r="R5772" i="1"/>
  <c r="Q5772" i="1"/>
  <c r="N5772" i="1"/>
  <c r="J5772" i="1"/>
  <c r="I5772" i="1"/>
  <c r="H5772" i="1"/>
  <c r="G5772" i="1"/>
  <c r="F5772" i="1"/>
  <c r="E5772" i="1"/>
  <c r="D5772" i="1"/>
  <c r="C5772" i="1"/>
  <c r="A5772" i="1"/>
  <c r="R5771" i="1"/>
  <c r="Q5771" i="1"/>
  <c r="N5771" i="1"/>
  <c r="J5771" i="1"/>
  <c r="I5771" i="1"/>
  <c r="H5771" i="1"/>
  <c r="G5771" i="1"/>
  <c r="F5771" i="1"/>
  <c r="E5771" i="1"/>
  <c r="D5771" i="1"/>
  <c r="C5771" i="1"/>
  <c r="A5771" i="1"/>
  <c r="R5770" i="1"/>
  <c r="Q5770" i="1"/>
  <c r="N5770" i="1"/>
  <c r="J5770" i="1"/>
  <c r="I5770" i="1"/>
  <c r="H5770" i="1"/>
  <c r="G5770" i="1"/>
  <c r="F5770" i="1"/>
  <c r="E5770" i="1"/>
  <c r="D5770" i="1"/>
  <c r="C5770" i="1"/>
  <c r="A5770" i="1"/>
  <c r="R5769" i="1"/>
  <c r="N5769" i="1"/>
  <c r="J5769" i="1"/>
  <c r="I5769" i="1"/>
  <c r="H5769" i="1"/>
  <c r="G5769" i="1"/>
  <c r="F5769" i="1"/>
  <c r="E5769" i="1"/>
  <c r="D5769" i="1"/>
  <c r="C5769" i="1"/>
  <c r="A5769" i="1"/>
  <c r="R5768" i="1"/>
  <c r="Q5768" i="1"/>
  <c r="N5768" i="1"/>
  <c r="J5768" i="1"/>
  <c r="I5768" i="1"/>
  <c r="H5768" i="1"/>
  <c r="G5768" i="1"/>
  <c r="F5768" i="1"/>
  <c r="E5768" i="1"/>
  <c r="D5768" i="1"/>
  <c r="C5768" i="1"/>
  <c r="A5768" i="1"/>
  <c r="R5767" i="1"/>
  <c r="N5767" i="1"/>
  <c r="J5767" i="1"/>
  <c r="I5767" i="1"/>
  <c r="H5767" i="1"/>
  <c r="G5767" i="1"/>
  <c r="F5767" i="1"/>
  <c r="E5767" i="1"/>
  <c r="D5767" i="1"/>
  <c r="C5767" i="1"/>
  <c r="A5767" i="1"/>
  <c r="R5766" i="1"/>
  <c r="Q5766" i="1"/>
  <c r="N5766" i="1"/>
  <c r="J5766" i="1"/>
  <c r="I5766" i="1"/>
  <c r="H5766" i="1"/>
  <c r="G5766" i="1"/>
  <c r="F5766" i="1"/>
  <c r="E5766" i="1"/>
  <c r="D5766" i="1"/>
  <c r="C5766" i="1"/>
  <c r="A5766" i="1"/>
  <c r="R5765" i="1"/>
  <c r="N5765" i="1"/>
  <c r="J5765" i="1"/>
  <c r="I5765" i="1"/>
  <c r="H5765" i="1"/>
  <c r="G5765" i="1"/>
  <c r="F5765" i="1"/>
  <c r="E5765" i="1"/>
  <c r="D5765" i="1"/>
  <c r="C5765" i="1"/>
  <c r="A5765" i="1"/>
  <c r="R5764" i="1"/>
  <c r="Q5764" i="1"/>
  <c r="N5764" i="1"/>
  <c r="J5764" i="1"/>
  <c r="I5764" i="1"/>
  <c r="H5764" i="1"/>
  <c r="G5764" i="1"/>
  <c r="F5764" i="1"/>
  <c r="E5764" i="1"/>
  <c r="D5764" i="1"/>
  <c r="C5764" i="1"/>
  <c r="A5764" i="1"/>
  <c r="R5763" i="1"/>
  <c r="N5763" i="1"/>
  <c r="J5763" i="1"/>
  <c r="I5763" i="1"/>
  <c r="H5763" i="1"/>
  <c r="G5763" i="1"/>
  <c r="F5763" i="1"/>
  <c r="E5763" i="1"/>
  <c r="D5763" i="1"/>
  <c r="C5763" i="1"/>
  <c r="A5763" i="1"/>
  <c r="R5762" i="1"/>
  <c r="Q5762" i="1"/>
  <c r="N5762" i="1"/>
  <c r="J5762" i="1"/>
  <c r="I5762" i="1"/>
  <c r="H5762" i="1"/>
  <c r="G5762" i="1"/>
  <c r="F5762" i="1"/>
  <c r="E5762" i="1"/>
  <c r="D5762" i="1"/>
  <c r="C5762" i="1"/>
  <c r="A5762" i="1"/>
  <c r="R5761" i="1"/>
  <c r="Q5761" i="1"/>
  <c r="N5761" i="1"/>
  <c r="J5761" i="1"/>
  <c r="I5761" i="1"/>
  <c r="H5761" i="1"/>
  <c r="G5761" i="1"/>
  <c r="F5761" i="1"/>
  <c r="E5761" i="1"/>
  <c r="D5761" i="1"/>
  <c r="C5761" i="1"/>
  <c r="A5761" i="1"/>
  <c r="R5760" i="1"/>
  <c r="Q5760" i="1"/>
  <c r="N5760" i="1"/>
  <c r="J5760" i="1"/>
  <c r="I5760" i="1"/>
  <c r="H5760" i="1"/>
  <c r="G5760" i="1"/>
  <c r="F5760" i="1"/>
  <c r="E5760" i="1"/>
  <c r="D5760" i="1"/>
  <c r="C5760" i="1"/>
  <c r="A5760" i="1"/>
  <c r="R5759" i="1"/>
  <c r="Q5759" i="1"/>
  <c r="N5759" i="1"/>
  <c r="J5759" i="1"/>
  <c r="I5759" i="1"/>
  <c r="H5759" i="1"/>
  <c r="G5759" i="1"/>
  <c r="F5759" i="1"/>
  <c r="E5759" i="1"/>
  <c r="D5759" i="1"/>
  <c r="C5759" i="1"/>
  <c r="A5759" i="1"/>
  <c r="R5758" i="1"/>
  <c r="Q5758" i="1"/>
  <c r="N5758" i="1"/>
  <c r="J5758" i="1"/>
  <c r="I5758" i="1"/>
  <c r="H5758" i="1"/>
  <c r="G5758" i="1"/>
  <c r="F5758" i="1"/>
  <c r="E5758" i="1"/>
  <c r="D5758" i="1"/>
  <c r="C5758" i="1"/>
  <c r="A5758" i="1"/>
  <c r="R5757" i="1"/>
  <c r="Q5757" i="1"/>
  <c r="N5757" i="1"/>
  <c r="J5757" i="1"/>
  <c r="I5757" i="1"/>
  <c r="H5757" i="1"/>
  <c r="G5757" i="1"/>
  <c r="F5757" i="1"/>
  <c r="E5757" i="1"/>
  <c r="D5757" i="1"/>
  <c r="C5757" i="1"/>
  <c r="A5757" i="1"/>
  <c r="R5756" i="1"/>
  <c r="Q5756" i="1"/>
  <c r="N5756" i="1"/>
  <c r="J5756" i="1"/>
  <c r="I5756" i="1"/>
  <c r="H5756" i="1"/>
  <c r="G5756" i="1"/>
  <c r="F5756" i="1"/>
  <c r="E5756" i="1"/>
  <c r="D5756" i="1"/>
  <c r="C5756" i="1"/>
  <c r="A5756" i="1"/>
  <c r="R5755" i="1"/>
  <c r="Q5755" i="1"/>
  <c r="N5755" i="1"/>
  <c r="J5755" i="1"/>
  <c r="I5755" i="1"/>
  <c r="H5755" i="1"/>
  <c r="G5755" i="1"/>
  <c r="F5755" i="1"/>
  <c r="E5755" i="1"/>
  <c r="D5755" i="1"/>
  <c r="C5755" i="1"/>
  <c r="A5755" i="1"/>
  <c r="R5754" i="1"/>
  <c r="Q5754" i="1"/>
  <c r="N5754" i="1"/>
  <c r="J5754" i="1"/>
  <c r="I5754" i="1"/>
  <c r="H5754" i="1"/>
  <c r="G5754" i="1"/>
  <c r="F5754" i="1"/>
  <c r="E5754" i="1"/>
  <c r="D5754" i="1"/>
  <c r="C5754" i="1"/>
  <c r="A5754" i="1"/>
  <c r="R5753" i="1"/>
  <c r="Q5753" i="1"/>
  <c r="N5753" i="1"/>
  <c r="J5753" i="1"/>
  <c r="I5753" i="1"/>
  <c r="H5753" i="1"/>
  <c r="G5753" i="1"/>
  <c r="F5753" i="1"/>
  <c r="E5753" i="1"/>
  <c r="D5753" i="1"/>
  <c r="C5753" i="1"/>
  <c r="A5753" i="1"/>
  <c r="R5752" i="1"/>
  <c r="N5752" i="1"/>
  <c r="J5752" i="1"/>
  <c r="I5752" i="1"/>
  <c r="H5752" i="1"/>
  <c r="G5752" i="1"/>
  <c r="F5752" i="1"/>
  <c r="E5752" i="1"/>
  <c r="D5752" i="1"/>
  <c r="C5752" i="1"/>
  <c r="A5752" i="1"/>
  <c r="R5751" i="1"/>
  <c r="Q5751" i="1"/>
  <c r="N5751" i="1"/>
  <c r="J5751" i="1"/>
  <c r="I5751" i="1"/>
  <c r="H5751" i="1"/>
  <c r="G5751" i="1"/>
  <c r="F5751" i="1"/>
  <c r="E5751" i="1"/>
  <c r="D5751" i="1"/>
  <c r="C5751" i="1"/>
  <c r="A5751" i="1"/>
  <c r="R5750" i="1"/>
  <c r="Q5750" i="1"/>
  <c r="N5750" i="1"/>
  <c r="J5750" i="1"/>
  <c r="I5750" i="1"/>
  <c r="H5750" i="1"/>
  <c r="G5750" i="1"/>
  <c r="F5750" i="1"/>
  <c r="E5750" i="1"/>
  <c r="D5750" i="1"/>
  <c r="C5750" i="1"/>
  <c r="A5750" i="1"/>
  <c r="R5749" i="1"/>
  <c r="Q5749" i="1"/>
  <c r="N5749" i="1"/>
  <c r="J5749" i="1"/>
  <c r="I5749" i="1"/>
  <c r="H5749" i="1"/>
  <c r="G5749" i="1"/>
  <c r="F5749" i="1"/>
  <c r="E5749" i="1"/>
  <c r="D5749" i="1"/>
  <c r="C5749" i="1"/>
  <c r="A5749" i="1"/>
  <c r="R5748" i="1"/>
  <c r="Q5748" i="1"/>
  <c r="N5748" i="1"/>
  <c r="J5748" i="1"/>
  <c r="I5748" i="1"/>
  <c r="H5748" i="1"/>
  <c r="G5748" i="1"/>
  <c r="F5748" i="1"/>
  <c r="E5748" i="1"/>
  <c r="D5748" i="1"/>
  <c r="C5748" i="1"/>
  <c r="A5748" i="1"/>
  <c r="R5747" i="1"/>
  <c r="Q5747" i="1"/>
  <c r="N5747" i="1"/>
  <c r="J5747" i="1"/>
  <c r="I5747" i="1"/>
  <c r="H5747" i="1"/>
  <c r="G5747" i="1"/>
  <c r="F5747" i="1"/>
  <c r="E5747" i="1"/>
  <c r="D5747" i="1"/>
  <c r="C5747" i="1"/>
  <c r="A5747" i="1"/>
  <c r="R5746" i="1"/>
  <c r="Q5746" i="1"/>
  <c r="N5746" i="1"/>
  <c r="J5746" i="1"/>
  <c r="I5746" i="1"/>
  <c r="H5746" i="1"/>
  <c r="G5746" i="1"/>
  <c r="F5746" i="1"/>
  <c r="E5746" i="1"/>
  <c r="D5746" i="1"/>
  <c r="C5746" i="1"/>
  <c r="A5746" i="1"/>
  <c r="R5745" i="1"/>
  <c r="Q5745" i="1"/>
  <c r="N5745" i="1"/>
  <c r="J5745" i="1"/>
  <c r="I5745" i="1"/>
  <c r="H5745" i="1"/>
  <c r="G5745" i="1"/>
  <c r="F5745" i="1"/>
  <c r="E5745" i="1"/>
  <c r="D5745" i="1"/>
  <c r="C5745" i="1"/>
  <c r="A5745" i="1"/>
  <c r="R5744" i="1"/>
  <c r="Q5744" i="1"/>
  <c r="N5744" i="1"/>
  <c r="J5744" i="1"/>
  <c r="I5744" i="1"/>
  <c r="H5744" i="1"/>
  <c r="G5744" i="1"/>
  <c r="F5744" i="1"/>
  <c r="E5744" i="1"/>
  <c r="D5744" i="1"/>
  <c r="C5744" i="1"/>
  <c r="A5744" i="1"/>
  <c r="R5743" i="1"/>
  <c r="Q5743" i="1"/>
  <c r="N5743" i="1"/>
  <c r="J5743" i="1"/>
  <c r="I5743" i="1"/>
  <c r="H5743" i="1"/>
  <c r="G5743" i="1"/>
  <c r="F5743" i="1"/>
  <c r="E5743" i="1"/>
  <c r="D5743" i="1"/>
  <c r="C5743" i="1"/>
  <c r="A5743" i="1"/>
  <c r="R5742" i="1"/>
  <c r="Q5742" i="1"/>
  <c r="N5742" i="1"/>
  <c r="J5742" i="1"/>
  <c r="I5742" i="1"/>
  <c r="H5742" i="1"/>
  <c r="G5742" i="1"/>
  <c r="F5742" i="1"/>
  <c r="E5742" i="1"/>
  <c r="D5742" i="1"/>
  <c r="C5742" i="1"/>
  <c r="A5742" i="1"/>
  <c r="R5741" i="1"/>
  <c r="Q5741" i="1"/>
  <c r="N5741" i="1"/>
  <c r="J5741" i="1"/>
  <c r="I5741" i="1"/>
  <c r="H5741" i="1"/>
  <c r="G5741" i="1"/>
  <c r="F5741" i="1"/>
  <c r="E5741" i="1"/>
  <c r="D5741" i="1"/>
  <c r="C5741" i="1"/>
  <c r="A5741" i="1"/>
  <c r="R5740" i="1"/>
  <c r="Q5740" i="1"/>
  <c r="N5740" i="1"/>
  <c r="J5740" i="1"/>
  <c r="I5740" i="1"/>
  <c r="H5740" i="1"/>
  <c r="G5740" i="1"/>
  <c r="F5740" i="1"/>
  <c r="E5740" i="1"/>
  <c r="D5740" i="1"/>
  <c r="C5740" i="1"/>
  <c r="A5740" i="1"/>
  <c r="R5739" i="1"/>
  <c r="N5739" i="1"/>
  <c r="J5739" i="1"/>
  <c r="I5739" i="1"/>
  <c r="H5739" i="1"/>
  <c r="G5739" i="1"/>
  <c r="F5739" i="1"/>
  <c r="E5739" i="1"/>
  <c r="D5739" i="1"/>
  <c r="C5739" i="1"/>
  <c r="A5739" i="1"/>
  <c r="R5738" i="1"/>
  <c r="Q5738" i="1"/>
  <c r="N5738" i="1"/>
  <c r="J5738" i="1"/>
  <c r="I5738" i="1"/>
  <c r="H5738" i="1"/>
  <c r="G5738" i="1"/>
  <c r="F5738" i="1"/>
  <c r="E5738" i="1"/>
  <c r="D5738" i="1"/>
  <c r="C5738" i="1"/>
  <c r="A5738" i="1"/>
  <c r="R5737" i="1"/>
  <c r="Q5737" i="1"/>
  <c r="N5737" i="1"/>
  <c r="J5737" i="1"/>
  <c r="I5737" i="1"/>
  <c r="H5737" i="1"/>
  <c r="G5737" i="1"/>
  <c r="F5737" i="1"/>
  <c r="E5737" i="1"/>
  <c r="D5737" i="1"/>
  <c r="C5737" i="1"/>
  <c r="A5737" i="1"/>
  <c r="R5736" i="1"/>
  <c r="Q5736" i="1"/>
  <c r="N5736" i="1"/>
  <c r="J5736" i="1"/>
  <c r="I5736" i="1"/>
  <c r="H5736" i="1"/>
  <c r="G5736" i="1"/>
  <c r="F5736" i="1"/>
  <c r="E5736" i="1"/>
  <c r="D5736" i="1"/>
  <c r="C5736" i="1"/>
  <c r="A5736" i="1"/>
  <c r="R5735" i="1"/>
  <c r="Q5735" i="1"/>
  <c r="N5735" i="1"/>
  <c r="J5735" i="1"/>
  <c r="I5735" i="1"/>
  <c r="H5735" i="1"/>
  <c r="G5735" i="1"/>
  <c r="F5735" i="1"/>
  <c r="E5735" i="1"/>
  <c r="D5735" i="1"/>
  <c r="C5735" i="1"/>
  <c r="A5735" i="1"/>
  <c r="R5734" i="1"/>
  <c r="Q5734" i="1"/>
  <c r="N5734" i="1"/>
  <c r="J5734" i="1"/>
  <c r="I5734" i="1"/>
  <c r="H5734" i="1"/>
  <c r="G5734" i="1"/>
  <c r="F5734" i="1"/>
  <c r="E5734" i="1"/>
  <c r="D5734" i="1"/>
  <c r="C5734" i="1"/>
  <c r="A5734" i="1"/>
  <c r="R5733" i="1"/>
  <c r="Q5733" i="1"/>
  <c r="N5733" i="1"/>
  <c r="J5733" i="1"/>
  <c r="I5733" i="1"/>
  <c r="H5733" i="1"/>
  <c r="G5733" i="1"/>
  <c r="F5733" i="1"/>
  <c r="E5733" i="1"/>
  <c r="D5733" i="1"/>
  <c r="C5733" i="1"/>
  <c r="A5733" i="1"/>
  <c r="R5732" i="1"/>
  <c r="Q5732" i="1"/>
  <c r="N5732" i="1"/>
  <c r="J5732" i="1"/>
  <c r="I5732" i="1"/>
  <c r="H5732" i="1"/>
  <c r="G5732" i="1"/>
  <c r="F5732" i="1"/>
  <c r="E5732" i="1"/>
  <c r="D5732" i="1"/>
  <c r="C5732" i="1"/>
  <c r="A5732" i="1"/>
  <c r="R5731" i="1"/>
  <c r="Q5731" i="1"/>
  <c r="N5731" i="1"/>
  <c r="J5731" i="1"/>
  <c r="I5731" i="1"/>
  <c r="H5731" i="1"/>
  <c r="G5731" i="1"/>
  <c r="F5731" i="1"/>
  <c r="E5731" i="1"/>
  <c r="D5731" i="1"/>
  <c r="C5731" i="1"/>
  <c r="A5731" i="1"/>
  <c r="R5730" i="1"/>
  <c r="Q5730" i="1"/>
  <c r="N5730" i="1"/>
  <c r="J5730" i="1"/>
  <c r="I5730" i="1"/>
  <c r="H5730" i="1"/>
  <c r="G5730" i="1"/>
  <c r="F5730" i="1"/>
  <c r="E5730" i="1"/>
  <c r="D5730" i="1"/>
  <c r="C5730" i="1"/>
  <c r="A5730" i="1"/>
  <c r="R5729" i="1"/>
  <c r="Q5729" i="1"/>
  <c r="N5729" i="1"/>
  <c r="J5729" i="1"/>
  <c r="I5729" i="1"/>
  <c r="H5729" i="1"/>
  <c r="G5729" i="1"/>
  <c r="F5729" i="1"/>
  <c r="E5729" i="1"/>
  <c r="D5729" i="1"/>
  <c r="C5729" i="1"/>
  <c r="A5729" i="1"/>
  <c r="R5728" i="1"/>
  <c r="Q5728" i="1"/>
  <c r="N5728" i="1"/>
  <c r="J5728" i="1"/>
  <c r="I5728" i="1"/>
  <c r="H5728" i="1"/>
  <c r="G5728" i="1"/>
  <c r="F5728" i="1"/>
  <c r="E5728" i="1"/>
  <c r="D5728" i="1"/>
  <c r="C5728" i="1"/>
  <c r="A5728" i="1"/>
  <c r="R5727" i="1"/>
  <c r="Q5727" i="1"/>
  <c r="N5727" i="1"/>
  <c r="J5727" i="1"/>
  <c r="I5727" i="1"/>
  <c r="H5727" i="1"/>
  <c r="G5727" i="1"/>
  <c r="F5727" i="1"/>
  <c r="E5727" i="1"/>
  <c r="D5727" i="1"/>
  <c r="C5727" i="1"/>
  <c r="A5727" i="1"/>
  <c r="R5726" i="1"/>
  <c r="Q5726" i="1"/>
  <c r="N5726" i="1"/>
  <c r="J5726" i="1"/>
  <c r="I5726" i="1"/>
  <c r="H5726" i="1"/>
  <c r="G5726" i="1"/>
  <c r="F5726" i="1"/>
  <c r="E5726" i="1"/>
  <c r="D5726" i="1"/>
  <c r="C5726" i="1"/>
  <c r="A5726" i="1"/>
  <c r="R5725" i="1"/>
  <c r="Q5725" i="1"/>
  <c r="N5725" i="1"/>
  <c r="J5725" i="1"/>
  <c r="I5725" i="1"/>
  <c r="H5725" i="1"/>
  <c r="G5725" i="1"/>
  <c r="F5725" i="1"/>
  <c r="E5725" i="1"/>
  <c r="D5725" i="1"/>
  <c r="C5725" i="1"/>
  <c r="A5725" i="1"/>
  <c r="R5724" i="1"/>
  <c r="Q5724" i="1"/>
  <c r="N5724" i="1"/>
  <c r="J5724" i="1"/>
  <c r="I5724" i="1"/>
  <c r="H5724" i="1"/>
  <c r="G5724" i="1"/>
  <c r="F5724" i="1"/>
  <c r="E5724" i="1"/>
  <c r="D5724" i="1"/>
  <c r="C5724" i="1"/>
  <c r="A5724" i="1"/>
  <c r="R5723" i="1"/>
  <c r="Q5723" i="1"/>
  <c r="N5723" i="1"/>
  <c r="J5723" i="1"/>
  <c r="I5723" i="1"/>
  <c r="H5723" i="1"/>
  <c r="G5723" i="1"/>
  <c r="F5723" i="1"/>
  <c r="E5723" i="1"/>
  <c r="D5723" i="1"/>
  <c r="C5723" i="1"/>
  <c r="A5723" i="1"/>
  <c r="R5722" i="1"/>
  <c r="Q5722" i="1"/>
  <c r="N5722" i="1"/>
  <c r="J5722" i="1"/>
  <c r="I5722" i="1"/>
  <c r="H5722" i="1"/>
  <c r="G5722" i="1"/>
  <c r="F5722" i="1"/>
  <c r="E5722" i="1"/>
  <c r="D5722" i="1"/>
  <c r="C5722" i="1"/>
  <c r="A5722" i="1"/>
  <c r="R5721" i="1"/>
  <c r="Q5721" i="1"/>
  <c r="N5721" i="1"/>
  <c r="J5721" i="1"/>
  <c r="I5721" i="1"/>
  <c r="H5721" i="1"/>
  <c r="G5721" i="1"/>
  <c r="F5721" i="1"/>
  <c r="E5721" i="1"/>
  <c r="D5721" i="1"/>
  <c r="C5721" i="1"/>
  <c r="A5721" i="1"/>
  <c r="R5720" i="1"/>
  <c r="Q5720" i="1"/>
  <c r="N5720" i="1"/>
  <c r="J5720" i="1"/>
  <c r="I5720" i="1"/>
  <c r="H5720" i="1"/>
  <c r="G5720" i="1"/>
  <c r="F5720" i="1"/>
  <c r="E5720" i="1"/>
  <c r="D5720" i="1"/>
  <c r="C5720" i="1"/>
  <c r="A5720" i="1"/>
  <c r="R5719" i="1"/>
  <c r="Q5719" i="1"/>
  <c r="N5719" i="1"/>
  <c r="J5719" i="1"/>
  <c r="I5719" i="1"/>
  <c r="H5719" i="1"/>
  <c r="G5719" i="1"/>
  <c r="F5719" i="1"/>
  <c r="E5719" i="1"/>
  <c r="D5719" i="1"/>
  <c r="C5719" i="1"/>
  <c r="A5719" i="1"/>
  <c r="R5718" i="1"/>
  <c r="Q5718" i="1"/>
  <c r="N5718" i="1"/>
  <c r="J5718" i="1"/>
  <c r="I5718" i="1"/>
  <c r="H5718" i="1"/>
  <c r="G5718" i="1"/>
  <c r="F5718" i="1"/>
  <c r="E5718" i="1"/>
  <c r="D5718" i="1"/>
  <c r="C5718" i="1"/>
  <c r="A5718" i="1"/>
  <c r="R5717" i="1"/>
  <c r="Q5717" i="1"/>
  <c r="N5717" i="1"/>
  <c r="J5717" i="1"/>
  <c r="I5717" i="1"/>
  <c r="H5717" i="1"/>
  <c r="G5717" i="1"/>
  <c r="F5717" i="1"/>
  <c r="E5717" i="1"/>
  <c r="D5717" i="1"/>
  <c r="C5717" i="1"/>
  <c r="A5717" i="1"/>
  <c r="R5716" i="1"/>
  <c r="Q5716" i="1"/>
  <c r="N5716" i="1"/>
  <c r="J5716" i="1"/>
  <c r="I5716" i="1"/>
  <c r="H5716" i="1"/>
  <c r="G5716" i="1"/>
  <c r="F5716" i="1"/>
  <c r="E5716" i="1"/>
  <c r="D5716" i="1"/>
  <c r="C5716" i="1"/>
  <c r="A5716" i="1"/>
  <c r="R5715" i="1"/>
  <c r="Q5715" i="1"/>
  <c r="N5715" i="1"/>
  <c r="J5715" i="1"/>
  <c r="I5715" i="1"/>
  <c r="H5715" i="1"/>
  <c r="G5715" i="1"/>
  <c r="F5715" i="1"/>
  <c r="E5715" i="1"/>
  <c r="D5715" i="1"/>
  <c r="C5715" i="1"/>
  <c r="A5715" i="1"/>
  <c r="R5714" i="1"/>
  <c r="Q5714" i="1"/>
  <c r="N5714" i="1"/>
  <c r="J5714" i="1"/>
  <c r="I5714" i="1"/>
  <c r="H5714" i="1"/>
  <c r="G5714" i="1"/>
  <c r="F5714" i="1"/>
  <c r="E5714" i="1"/>
  <c r="D5714" i="1"/>
  <c r="C5714" i="1"/>
  <c r="A5714" i="1"/>
  <c r="R5713" i="1"/>
  <c r="Q5713" i="1"/>
  <c r="N5713" i="1"/>
  <c r="J5713" i="1"/>
  <c r="I5713" i="1"/>
  <c r="H5713" i="1"/>
  <c r="G5713" i="1"/>
  <c r="F5713" i="1"/>
  <c r="E5713" i="1"/>
  <c r="D5713" i="1"/>
  <c r="C5713" i="1"/>
  <c r="A5713" i="1"/>
  <c r="R5712" i="1"/>
  <c r="Q5712" i="1"/>
  <c r="N5712" i="1"/>
  <c r="J5712" i="1"/>
  <c r="I5712" i="1"/>
  <c r="H5712" i="1"/>
  <c r="G5712" i="1"/>
  <c r="F5712" i="1"/>
  <c r="E5712" i="1"/>
  <c r="D5712" i="1"/>
  <c r="C5712" i="1"/>
  <c r="A5712" i="1"/>
  <c r="R5711" i="1"/>
  <c r="Q5711" i="1"/>
  <c r="N5711" i="1"/>
  <c r="J5711" i="1"/>
  <c r="I5711" i="1"/>
  <c r="H5711" i="1"/>
  <c r="G5711" i="1"/>
  <c r="F5711" i="1"/>
  <c r="E5711" i="1"/>
  <c r="D5711" i="1"/>
  <c r="C5711" i="1"/>
  <c r="A5711" i="1"/>
  <c r="R5710" i="1"/>
  <c r="Q5710" i="1"/>
  <c r="N5710" i="1"/>
  <c r="J5710" i="1"/>
  <c r="I5710" i="1"/>
  <c r="H5710" i="1"/>
  <c r="G5710" i="1"/>
  <c r="F5710" i="1"/>
  <c r="E5710" i="1"/>
  <c r="D5710" i="1"/>
  <c r="C5710" i="1"/>
  <c r="A5710" i="1"/>
  <c r="R5709" i="1"/>
  <c r="Q5709" i="1"/>
  <c r="N5709" i="1"/>
  <c r="J5709" i="1"/>
  <c r="I5709" i="1"/>
  <c r="H5709" i="1"/>
  <c r="G5709" i="1"/>
  <c r="F5709" i="1"/>
  <c r="E5709" i="1"/>
  <c r="D5709" i="1"/>
  <c r="C5709" i="1"/>
  <c r="A5709" i="1"/>
  <c r="R5708" i="1"/>
  <c r="Q5708" i="1"/>
  <c r="N5708" i="1"/>
  <c r="J5708" i="1"/>
  <c r="I5708" i="1"/>
  <c r="H5708" i="1"/>
  <c r="G5708" i="1"/>
  <c r="F5708" i="1"/>
  <c r="E5708" i="1"/>
  <c r="D5708" i="1"/>
  <c r="C5708" i="1"/>
  <c r="A5708" i="1"/>
  <c r="R5707" i="1"/>
  <c r="Q5707" i="1"/>
  <c r="N5707" i="1"/>
  <c r="J5707" i="1"/>
  <c r="I5707" i="1"/>
  <c r="H5707" i="1"/>
  <c r="G5707" i="1"/>
  <c r="F5707" i="1"/>
  <c r="E5707" i="1"/>
  <c r="D5707" i="1"/>
  <c r="C5707" i="1"/>
  <c r="A5707" i="1"/>
  <c r="R5706" i="1"/>
  <c r="Q5706" i="1"/>
  <c r="N5706" i="1"/>
  <c r="J5706" i="1"/>
  <c r="I5706" i="1"/>
  <c r="H5706" i="1"/>
  <c r="G5706" i="1"/>
  <c r="F5706" i="1"/>
  <c r="E5706" i="1"/>
  <c r="D5706" i="1"/>
  <c r="C5706" i="1"/>
  <c r="A5706" i="1"/>
  <c r="R5705" i="1"/>
  <c r="Q5705" i="1"/>
  <c r="N5705" i="1"/>
  <c r="J5705" i="1"/>
  <c r="I5705" i="1"/>
  <c r="H5705" i="1"/>
  <c r="G5705" i="1"/>
  <c r="F5705" i="1"/>
  <c r="E5705" i="1"/>
  <c r="D5705" i="1"/>
  <c r="C5705" i="1"/>
  <c r="A5705" i="1"/>
  <c r="R5704" i="1"/>
  <c r="Q5704" i="1"/>
  <c r="N5704" i="1"/>
  <c r="J5704" i="1"/>
  <c r="I5704" i="1"/>
  <c r="H5704" i="1"/>
  <c r="G5704" i="1"/>
  <c r="F5704" i="1"/>
  <c r="E5704" i="1"/>
  <c r="D5704" i="1"/>
  <c r="C5704" i="1"/>
  <c r="A5704" i="1"/>
  <c r="R5703" i="1"/>
  <c r="Q5703" i="1"/>
  <c r="N5703" i="1"/>
  <c r="J5703" i="1"/>
  <c r="I5703" i="1"/>
  <c r="H5703" i="1"/>
  <c r="G5703" i="1"/>
  <c r="F5703" i="1"/>
  <c r="E5703" i="1"/>
  <c r="D5703" i="1"/>
  <c r="C5703" i="1"/>
  <c r="A5703" i="1"/>
  <c r="R5702" i="1"/>
  <c r="Q5702" i="1"/>
  <c r="N5702" i="1"/>
  <c r="J5702" i="1"/>
  <c r="I5702" i="1"/>
  <c r="H5702" i="1"/>
  <c r="G5702" i="1"/>
  <c r="F5702" i="1"/>
  <c r="E5702" i="1"/>
  <c r="D5702" i="1"/>
  <c r="C5702" i="1"/>
  <c r="A5702" i="1"/>
  <c r="R5701" i="1"/>
  <c r="Q5701" i="1"/>
  <c r="N5701" i="1"/>
  <c r="J5701" i="1"/>
  <c r="I5701" i="1"/>
  <c r="H5701" i="1"/>
  <c r="G5701" i="1"/>
  <c r="F5701" i="1"/>
  <c r="E5701" i="1"/>
  <c r="D5701" i="1"/>
  <c r="C5701" i="1"/>
  <c r="A5701" i="1"/>
  <c r="R5700" i="1"/>
  <c r="Q5700" i="1"/>
  <c r="N5700" i="1"/>
  <c r="J5700" i="1"/>
  <c r="I5700" i="1"/>
  <c r="H5700" i="1"/>
  <c r="G5700" i="1"/>
  <c r="F5700" i="1"/>
  <c r="E5700" i="1"/>
  <c r="D5700" i="1"/>
  <c r="C5700" i="1"/>
  <c r="A5700" i="1"/>
  <c r="R5699" i="1"/>
  <c r="Q5699" i="1"/>
  <c r="N5699" i="1"/>
  <c r="J5699" i="1"/>
  <c r="I5699" i="1"/>
  <c r="H5699" i="1"/>
  <c r="G5699" i="1"/>
  <c r="F5699" i="1"/>
  <c r="E5699" i="1"/>
  <c r="D5699" i="1"/>
  <c r="C5699" i="1"/>
  <c r="A5699" i="1"/>
  <c r="R5698" i="1"/>
  <c r="Q5698" i="1"/>
  <c r="N5698" i="1"/>
  <c r="J5698" i="1"/>
  <c r="I5698" i="1"/>
  <c r="H5698" i="1"/>
  <c r="G5698" i="1"/>
  <c r="F5698" i="1"/>
  <c r="E5698" i="1"/>
  <c r="D5698" i="1"/>
  <c r="C5698" i="1"/>
  <c r="A5698" i="1"/>
  <c r="R5697" i="1"/>
  <c r="Q5697" i="1"/>
  <c r="N5697" i="1"/>
  <c r="J5697" i="1"/>
  <c r="I5697" i="1"/>
  <c r="H5697" i="1"/>
  <c r="G5697" i="1"/>
  <c r="F5697" i="1"/>
  <c r="E5697" i="1"/>
  <c r="D5697" i="1"/>
  <c r="C5697" i="1"/>
  <c r="A5697" i="1"/>
  <c r="R5696" i="1"/>
  <c r="Q5696" i="1"/>
  <c r="N5696" i="1"/>
  <c r="J5696" i="1"/>
  <c r="I5696" i="1"/>
  <c r="H5696" i="1"/>
  <c r="G5696" i="1"/>
  <c r="F5696" i="1"/>
  <c r="E5696" i="1"/>
  <c r="D5696" i="1"/>
  <c r="C5696" i="1"/>
  <c r="A5696" i="1"/>
  <c r="R5695" i="1"/>
  <c r="Q5695" i="1"/>
  <c r="N5695" i="1"/>
  <c r="J5695" i="1"/>
  <c r="I5695" i="1"/>
  <c r="H5695" i="1"/>
  <c r="G5695" i="1"/>
  <c r="F5695" i="1"/>
  <c r="E5695" i="1"/>
  <c r="D5695" i="1"/>
  <c r="C5695" i="1"/>
  <c r="A5695" i="1"/>
  <c r="R5694" i="1"/>
  <c r="Q5694" i="1"/>
  <c r="N5694" i="1"/>
  <c r="J5694" i="1"/>
  <c r="I5694" i="1"/>
  <c r="H5694" i="1"/>
  <c r="G5694" i="1"/>
  <c r="F5694" i="1"/>
  <c r="E5694" i="1"/>
  <c r="D5694" i="1"/>
  <c r="C5694" i="1"/>
  <c r="A5694" i="1"/>
  <c r="R5693" i="1"/>
  <c r="Q5693" i="1"/>
  <c r="N5693" i="1"/>
  <c r="J5693" i="1"/>
  <c r="I5693" i="1"/>
  <c r="H5693" i="1"/>
  <c r="G5693" i="1"/>
  <c r="F5693" i="1"/>
  <c r="E5693" i="1"/>
  <c r="D5693" i="1"/>
  <c r="C5693" i="1"/>
  <c r="A5693" i="1"/>
  <c r="R5692" i="1"/>
  <c r="Q5692" i="1"/>
  <c r="N5692" i="1"/>
  <c r="J5692" i="1"/>
  <c r="I5692" i="1"/>
  <c r="H5692" i="1"/>
  <c r="G5692" i="1"/>
  <c r="F5692" i="1"/>
  <c r="E5692" i="1"/>
  <c r="D5692" i="1"/>
  <c r="C5692" i="1"/>
  <c r="A5692" i="1"/>
  <c r="R5691" i="1"/>
  <c r="N5691" i="1"/>
  <c r="J5691" i="1"/>
  <c r="I5691" i="1"/>
  <c r="H5691" i="1"/>
  <c r="G5691" i="1"/>
  <c r="F5691" i="1"/>
  <c r="E5691" i="1"/>
  <c r="D5691" i="1"/>
  <c r="C5691" i="1"/>
  <c r="B5691" i="1"/>
  <c r="A5691" i="1"/>
  <c r="R5690" i="1"/>
  <c r="Q5690" i="1"/>
  <c r="N5690" i="1"/>
  <c r="J5690" i="1"/>
  <c r="I5690" i="1"/>
  <c r="H5690" i="1"/>
  <c r="G5690" i="1"/>
  <c r="F5690" i="1"/>
  <c r="E5690" i="1"/>
  <c r="D5690" i="1"/>
  <c r="C5690" i="1"/>
  <c r="B5690" i="1"/>
  <c r="A5690" i="1"/>
  <c r="R5689" i="1"/>
  <c r="N5689" i="1"/>
  <c r="J5689" i="1"/>
  <c r="I5689" i="1"/>
  <c r="H5689" i="1"/>
  <c r="G5689" i="1"/>
  <c r="F5689" i="1"/>
  <c r="E5689" i="1"/>
  <c r="D5689" i="1"/>
  <c r="C5689" i="1"/>
  <c r="B5689" i="1"/>
  <c r="A5689" i="1"/>
  <c r="R5688" i="1"/>
  <c r="Q5688" i="1"/>
  <c r="N5688" i="1"/>
  <c r="J5688" i="1"/>
  <c r="I5688" i="1"/>
  <c r="H5688" i="1"/>
  <c r="G5688" i="1"/>
  <c r="F5688" i="1"/>
  <c r="E5688" i="1"/>
  <c r="D5688" i="1"/>
  <c r="C5688" i="1"/>
  <c r="B5688" i="1"/>
  <c r="A5688" i="1"/>
  <c r="R5687" i="1"/>
  <c r="N5687" i="1"/>
  <c r="J5687" i="1"/>
  <c r="I5687" i="1"/>
  <c r="H5687" i="1"/>
  <c r="G5687" i="1"/>
  <c r="F5687" i="1"/>
  <c r="E5687" i="1"/>
  <c r="D5687" i="1"/>
  <c r="C5687" i="1"/>
  <c r="B5687" i="1"/>
  <c r="A5687" i="1"/>
  <c r="R5686" i="1"/>
  <c r="Q5686" i="1"/>
  <c r="N5686" i="1"/>
  <c r="J5686" i="1"/>
  <c r="I5686" i="1"/>
  <c r="H5686" i="1"/>
  <c r="G5686" i="1"/>
  <c r="F5686" i="1"/>
  <c r="E5686" i="1"/>
  <c r="D5686" i="1"/>
  <c r="C5686" i="1"/>
  <c r="B5686" i="1"/>
  <c r="A5686" i="1"/>
  <c r="R5685" i="1"/>
  <c r="N5685" i="1"/>
  <c r="J5685" i="1"/>
  <c r="I5685" i="1"/>
  <c r="H5685" i="1"/>
  <c r="G5685" i="1"/>
  <c r="F5685" i="1"/>
  <c r="E5685" i="1"/>
  <c r="D5685" i="1"/>
  <c r="C5685" i="1"/>
  <c r="B5685" i="1"/>
  <c r="A5685" i="1"/>
  <c r="R5684" i="1"/>
  <c r="Q5684" i="1"/>
  <c r="N5684" i="1"/>
  <c r="J5684" i="1"/>
  <c r="I5684" i="1"/>
  <c r="H5684" i="1"/>
  <c r="G5684" i="1"/>
  <c r="F5684" i="1"/>
  <c r="E5684" i="1"/>
  <c r="D5684" i="1"/>
  <c r="C5684" i="1"/>
  <c r="B5684" i="1"/>
  <c r="A5684" i="1"/>
  <c r="R5683" i="1"/>
  <c r="N5683" i="1"/>
  <c r="J5683" i="1"/>
  <c r="I5683" i="1"/>
  <c r="H5683" i="1"/>
  <c r="G5683" i="1"/>
  <c r="F5683" i="1"/>
  <c r="E5683" i="1"/>
  <c r="D5683" i="1"/>
  <c r="C5683" i="1"/>
  <c r="B5683" i="1"/>
  <c r="A5683" i="1"/>
  <c r="R5682" i="1"/>
  <c r="N5682" i="1"/>
  <c r="J5682" i="1"/>
  <c r="I5682" i="1"/>
  <c r="H5682" i="1"/>
  <c r="G5682" i="1"/>
  <c r="F5682" i="1"/>
  <c r="E5682" i="1"/>
  <c r="D5682" i="1"/>
  <c r="C5682" i="1"/>
  <c r="B5682" i="1"/>
  <c r="A5682" i="1"/>
  <c r="R5681" i="1"/>
  <c r="N5681" i="1"/>
  <c r="J5681" i="1"/>
  <c r="I5681" i="1"/>
  <c r="H5681" i="1"/>
  <c r="G5681" i="1"/>
  <c r="F5681" i="1"/>
  <c r="E5681" i="1"/>
  <c r="D5681" i="1"/>
  <c r="C5681" i="1"/>
  <c r="B5681" i="1"/>
  <c r="A5681" i="1"/>
  <c r="R5680" i="1"/>
  <c r="Q5680" i="1"/>
  <c r="N5680" i="1"/>
  <c r="J5680" i="1"/>
  <c r="I5680" i="1"/>
  <c r="H5680" i="1"/>
  <c r="G5680" i="1"/>
  <c r="F5680" i="1"/>
  <c r="E5680" i="1"/>
  <c r="D5680" i="1"/>
  <c r="C5680" i="1"/>
  <c r="A5680" i="1"/>
  <c r="R5679" i="1"/>
  <c r="N5679" i="1"/>
  <c r="J5679" i="1"/>
  <c r="I5679" i="1"/>
  <c r="H5679" i="1"/>
  <c r="G5679" i="1"/>
  <c r="F5679" i="1"/>
  <c r="E5679" i="1"/>
  <c r="D5679" i="1"/>
  <c r="C5679" i="1"/>
  <c r="A5679" i="1"/>
  <c r="R5678" i="1"/>
  <c r="Q5678" i="1"/>
  <c r="N5678" i="1"/>
  <c r="J5678" i="1"/>
  <c r="I5678" i="1"/>
  <c r="H5678" i="1"/>
  <c r="G5678" i="1"/>
  <c r="F5678" i="1"/>
  <c r="E5678" i="1"/>
  <c r="D5678" i="1"/>
  <c r="C5678" i="1"/>
  <c r="A5678" i="1"/>
  <c r="R5677" i="1"/>
  <c r="N5677" i="1"/>
  <c r="J5677" i="1"/>
  <c r="I5677" i="1"/>
  <c r="H5677" i="1"/>
  <c r="G5677" i="1"/>
  <c r="F5677" i="1"/>
  <c r="E5677" i="1"/>
  <c r="D5677" i="1"/>
  <c r="C5677" i="1"/>
  <c r="B5677" i="1"/>
  <c r="A5677" i="1"/>
  <c r="R5676" i="1"/>
  <c r="Q5676" i="1"/>
  <c r="N5676" i="1"/>
  <c r="J5676" i="1"/>
  <c r="I5676" i="1"/>
  <c r="H5676" i="1"/>
  <c r="G5676" i="1"/>
  <c r="F5676" i="1"/>
  <c r="E5676" i="1"/>
  <c r="D5676" i="1"/>
  <c r="C5676" i="1"/>
  <c r="B5676" i="1"/>
  <c r="A5676" i="1"/>
  <c r="R5675" i="1"/>
  <c r="N5675" i="1"/>
  <c r="J5675" i="1"/>
  <c r="I5675" i="1"/>
  <c r="H5675" i="1"/>
  <c r="G5675" i="1"/>
  <c r="F5675" i="1"/>
  <c r="E5675" i="1"/>
  <c r="D5675" i="1"/>
  <c r="C5675" i="1"/>
  <c r="B5675" i="1"/>
  <c r="A5675" i="1"/>
  <c r="R5674" i="1"/>
  <c r="Q5674" i="1"/>
  <c r="N5674" i="1"/>
  <c r="J5674" i="1"/>
  <c r="I5674" i="1"/>
  <c r="H5674" i="1"/>
  <c r="G5674" i="1"/>
  <c r="F5674" i="1"/>
  <c r="E5674" i="1"/>
  <c r="D5674" i="1"/>
  <c r="C5674" i="1"/>
  <c r="B5674" i="1"/>
  <c r="A5674" i="1"/>
  <c r="R5673" i="1"/>
  <c r="N5673" i="1"/>
  <c r="J5673" i="1"/>
  <c r="I5673" i="1"/>
  <c r="H5673" i="1"/>
  <c r="G5673" i="1"/>
  <c r="F5673" i="1"/>
  <c r="E5673" i="1"/>
  <c r="D5673" i="1"/>
  <c r="C5673" i="1"/>
  <c r="B5673" i="1"/>
  <c r="A5673" i="1"/>
  <c r="R5672" i="1"/>
  <c r="Q5672" i="1"/>
  <c r="N5672" i="1"/>
  <c r="J5672" i="1"/>
  <c r="I5672" i="1"/>
  <c r="H5672" i="1"/>
  <c r="G5672" i="1"/>
  <c r="F5672" i="1"/>
  <c r="E5672" i="1"/>
  <c r="D5672" i="1"/>
  <c r="C5672" i="1"/>
  <c r="B5672" i="1"/>
  <c r="A5672" i="1"/>
  <c r="R5671" i="1"/>
  <c r="N5671" i="1"/>
  <c r="J5671" i="1"/>
  <c r="I5671" i="1"/>
  <c r="H5671" i="1"/>
  <c r="G5671" i="1"/>
  <c r="F5671" i="1"/>
  <c r="E5671" i="1"/>
  <c r="D5671" i="1"/>
  <c r="C5671" i="1"/>
  <c r="B5671" i="1"/>
  <c r="A5671" i="1"/>
  <c r="R5670" i="1"/>
  <c r="Q5670" i="1"/>
  <c r="N5670" i="1"/>
  <c r="J5670" i="1"/>
  <c r="I5670" i="1"/>
  <c r="H5670" i="1"/>
  <c r="G5670" i="1"/>
  <c r="F5670" i="1"/>
  <c r="E5670" i="1"/>
  <c r="D5670" i="1"/>
  <c r="C5670" i="1"/>
  <c r="B5670" i="1"/>
  <c r="A5670" i="1"/>
  <c r="R5669" i="1"/>
  <c r="N5669" i="1"/>
  <c r="J5669" i="1"/>
  <c r="I5669" i="1"/>
  <c r="H5669" i="1"/>
  <c r="G5669" i="1"/>
  <c r="F5669" i="1"/>
  <c r="E5669" i="1"/>
  <c r="D5669" i="1"/>
  <c r="C5669" i="1"/>
  <c r="B5669" i="1"/>
  <c r="A5669" i="1"/>
  <c r="R5668" i="1"/>
  <c r="Q5668" i="1"/>
  <c r="N5668" i="1"/>
  <c r="J5668" i="1"/>
  <c r="I5668" i="1"/>
  <c r="H5668" i="1"/>
  <c r="G5668" i="1"/>
  <c r="F5668" i="1"/>
  <c r="E5668" i="1"/>
  <c r="D5668" i="1"/>
  <c r="C5668" i="1"/>
  <c r="B5668" i="1"/>
  <c r="A5668" i="1"/>
  <c r="R5667" i="1"/>
  <c r="N5667" i="1"/>
  <c r="J5667" i="1"/>
  <c r="I5667" i="1"/>
  <c r="H5667" i="1"/>
  <c r="G5667" i="1"/>
  <c r="F5667" i="1"/>
  <c r="E5667" i="1"/>
  <c r="D5667" i="1"/>
  <c r="C5667" i="1"/>
  <c r="B5667" i="1"/>
  <c r="A5667" i="1"/>
  <c r="R5666" i="1"/>
  <c r="Q5666" i="1"/>
  <c r="N5666" i="1"/>
  <c r="J5666" i="1"/>
  <c r="I5666" i="1"/>
  <c r="H5666" i="1"/>
  <c r="G5666" i="1"/>
  <c r="F5666" i="1"/>
  <c r="E5666" i="1"/>
  <c r="D5666" i="1"/>
  <c r="C5666" i="1"/>
  <c r="B5666" i="1"/>
  <c r="A5666" i="1"/>
  <c r="R5665" i="1"/>
  <c r="N5665" i="1"/>
  <c r="J5665" i="1"/>
  <c r="I5665" i="1"/>
  <c r="H5665" i="1"/>
  <c r="G5665" i="1"/>
  <c r="F5665" i="1"/>
  <c r="E5665" i="1"/>
  <c r="D5665" i="1"/>
  <c r="C5665" i="1"/>
  <c r="B5665" i="1"/>
  <c r="A5665" i="1"/>
  <c r="R5664" i="1"/>
  <c r="Q5664" i="1"/>
  <c r="N5664" i="1"/>
  <c r="J5664" i="1"/>
  <c r="I5664" i="1"/>
  <c r="H5664" i="1"/>
  <c r="G5664" i="1"/>
  <c r="F5664" i="1"/>
  <c r="E5664" i="1"/>
  <c r="D5664" i="1"/>
  <c r="C5664" i="1"/>
  <c r="B5664" i="1"/>
  <c r="A5664" i="1"/>
  <c r="R5663" i="1"/>
  <c r="N5663" i="1"/>
  <c r="J5663" i="1"/>
  <c r="I5663" i="1"/>
  <c r="H5663" i="1"/>
  <c r="G5663" i="1"/>
  <c r="F5663" i="1"/>
  <c r="E5663" i="1"/>
  <c r="D5663" i="1"/>
  <c r="C5663" i="1"/>
  <c r="B5663" i="1"/>
  <c r="A5663" i="1"/>
  <c r="R5662" i="1"/>
  <c r="Q5662" i="1"/>
  <c r="N5662" i="1"/>
  <c r="J5662" i="1"/>
  <c r="I5662" i="1"/>
  <c r="H5662" i="1"/>
  <c r="G5662" i="1"/>
  <c r="F5662" i="1"/>
  <c r="E5662" i="1"/>
  <c r="D5662" i="1"/>
  <c r="C5662" i="1"/>
  <c r="B5662" i="1"/>
  <c r="A5662" i="1"/>
  <c r="R5661" i="1"/>
  <c r="N5661" i="1"/>
  <c r="J5661" i="1"/>
  <c r="I5661" i="1"/>
  <c r="H5661" i="1"/>
  <c r="G5661" i="1"/>
  <c r="F5661" i="1"/>
  <c r="E5661" i="1"/>
  <c r="D5661" i="1"/>
  <c r="C5661" i="1"/>
  <c r="B5661" i="1"/>
  <c r="A5661" i="1"/>
  <c r="R5660" i="1"/>
  <c r="Q5660" i="1"/>
  <c r="N5660" i="1"/>
  <c r="J5660" i="1"/>
  <c r="I5660" i="1"/>
  <c r="H5660" i="1"/>
  <c r="G5660" i="1"/>
  <c r="F5660" i="1"/>
  <c r="E5660" i="1"/>
  <c r="D5660" i="1"/>
  <c r="C5660" i="1"/>
  <c r="B5660" i="1"/>
  <c r="A5660" i="1"/>
  <c r="R5659" i="1"/>
  <c r="N5659" i="1"/>
  <c r="J5659" i="1"/>
  <c r="I5659" i="1"/>
  <c r="H5659" i="1"/>
  <c r="G5659" i="1"/>
  <c r="F5659" i="1"/>
  <c r="E5659" i="1"/>
  <c r="D5659" i="1"/>
  <c r="C5659" i="1"/>
  <c r="B5659" i="1"/>
  <c r="A5659" i="1"/>
  <c r="R5658" i="1"/>
  <c r="Q5658" i="1"/>
  <c r="N5658" i="1"/>
  <c r="J5658" i="1"/>
  <c r="I5658" i="1"/>
  <c r="H5658" i="1"/>
  <c r="G5658" i="1"/>
  <c r="F5658" i="1"/>
  <c r="E5658" i="1"/>
  <c r="D5658" i="1"/>
  <c r="C5658" i="1"/>
  <c r="B5658" i="1"/>
  <c r="A5658" i="1"/>
  <c r="R5657" i="1"/>
  <c r="N5657" i="1"/>
  <c r="J5657" i="1"/>
  <c r="I5657" i="1"/>
  <c r="H5657" i="1"/>
  <c r="G5657" i="1"/>
  <c r="F5657" i="1"/>
  <c r="E5657" i="1"/>
  <c r="D5657" i="1"/>
  <c r="C5657" i="1"/>
  <c r="B5657" i="1"/>
  <c r="A5657" i="1"/>
  <c r="R5656" i="1"/>
  <c r="Q5656" i="1"/>
  <c r="N5656" i="1"/>
  <c r="J5656" i="1"/>
  <c r="I5656" i="1"/>
  <c r="H5656" i="1"/>
  <c r="G5656" i="1"/>
  <c r="F5656" i="1"/>
  <c r="E5656" i="1"/>
  <c r="D5656" i="1"/>
  <c r="C5656" i="1"/>
  <c r="B5656" i="1"/>
  <c r="A5656" i="1"/>
  <c r="R5655" i="1"/>
  <c r="N5655" i="1"/>
  <c r="J5655" i="1"/>
  <c r="I5655" i="1"/>
  <c r="H5655" i="1"/>
  <c r="G5655" i="1"/>
  <c r="F5655" i="1"/>
  <c r="E5655" i="1"/>
  <c r="D5655" i="1"/>
  <c r="C5655" i="1"/>
  <c r="B5655" i="1"/>
  <c r="A5655" i="1"/>
  <c r="R5654" i="1"/>
  <c r="Q5654" i="1"/>
  <c r="N5654" i="1"/>
  <c r="J5654" i="1"/>
  <c r="I5654" i="1"/>
  <c r="H5654" i="1"/>
  <c r="G5654" i="1"/>
  <c r="F5654" i="1"/>
  <c r="E5654" i="1"/>
  <c r="D5654" i="1"/>
  <c r="C5654" i="1"/>
  <c r="B5654" i="1"/>
  <c r="A5654" i="1"/>
  <c r="R5653" i="1"/>
  <c r="N5653" i="1"/>
  <c r="J5653" i="1"/>
  <c r="I5653" i="1"/>
  <c r="H5653" i="1"/>
  <c r="G5653" i="1"/>
  <c r="F5653" i="1"/>
  <c r="E5653" i="1"/>
  <c r="D5653" i="1"/>
  <c r="C5653" i="1"/>
  <c r="B5653" i="1"/>
  <c r="A5653" i="1"/>
  <c r="R5652" i="1"/>
  <c r="Q5652" i="1"/>
  <c r="N5652" i="1"/>
  <c r="J5652" i="1"/>
  <c r="I5652" i="1"/>
  <c r="H5652" i="1"/>
  <c r="G5652" i="1"/>
  <c r="F5652" i="1"/>
  <c r="E5652" i="1"/>
  <c r="D5652" i="1"/>
  <c r="C5652" i="1"/>
  <c r="B5652" i="1"/>
  <c r="A5652" i="1"/>
  <c r="R5651" i="1"/>
  <c r="N5651" i="1"/>
  <c r="J5651" i="1"/>
  <c r="I5651" i="1"/>
  <c r="H5651" i="1"/>
  <c r="G5651" i="1"/>
  <c r="F5651" i="1"/>
  <c r="E5651" i="1"/>
  <c r="D5651" i="1"/>
  <c r="C5651" i="1"/>
  <c r="B5651" i="1"/>
  <c r="A5651" i="1"/>
  <c r="R5650" i="1"/>
  <c r="Q5650" i="1"/>
  <c r="N5650" i="1"/>
  <c r="J5650" i="1"/>
  <c r="I5650" i="1"/>
  <c r="H5650" i="1"/>
  <c r="G5650" i="1"/>
  <c r="F5650" i="1"/>
  <c r="E5650" i="1"/>
  <c r="D5650" i="1"/>
  <c r="C5650" i="1"/>
  <c r="B5650" i="1"/>
  <c r="A5650" i="1"/>
  <c r="R5649" i="1"/>
  <c r="N5649" i="1"/>
  <c r="J5649" i="1"/>
  <c r="I5649" i="1"/>
  <c r="H5649" i="1"/>
  <c r="G5649" i="1"/>
  <c r="F5649" i="1"/>
  <c r="E5649" i="1"/>
  <c r="D5649" i="1"/>
  <c r="C5649" i="1"/>
  <c r="B5649" i="1"/>
  <c r="A5649" i="1"/>
  <c r="R5648" i="1"/>
  <c r="Q5648" i="1"/>
  <c r="N5648" i="1"/>
  <c r="J5648" i="1"/>
  <c r="I5648" i="1"/>
  <c r="H5648" i="1"/>
  <c r="G5648" i="1"/>
  <c r="F5648" i="1"/>
  <c r="E5648" i="1"/>
  <c r="D5648" i="1"/>
  <c r="C5648" i="1"/>
  <c r="A5648" i="1"/>
  <c r="R5647" i="1"/>
  <c r="N5647" i="1"/>
  <c r="J5647" i="1"/>
  <c r="I5647" i="1"/>
  <c r="H5647" i="1"/>
  <c r="G5647" i="1"/>
  <c r="F5647" i="1"/>
  <c r="E5647" i="1"/>
  <c r="D5647" i="1"/>
  <c r="C5647" i="1"/>
  <c r="A5647" i="1"/>
  <c r="R5646" i="1"/>
  <c r="Q5646" i="1"/>
  <c r="N5646" i="1"/>
  <c r="J5646" i="1"/>
  <c r="I5646" i="1"/>
  <c r="H5646" i="1"/>
  <c r="G5646" i="1"/>
  <c r="F5646" i="1"/>
  <c r="E5646" i="1"/>
  <c r="D5646" i="1"/>
  <c r="C5646" i="1"/>
  <c r="A5646" i="1"/>
  <c r="R5645" i="1"/>
  <c r="N5645" i="1"/>
  <c r="J5645" i="1"/>
  <c r="I5645" i="1"/>
  <c r="H5645" i="1"/>
  <c r="G5645" i="1"/>
  <c r="F5645" i="1"/>
  <c r="E5645" i="1"/>
  <c r="D5645" i="1"/>
  <c r="C5645" i="1"/>
  <c r="A5645" i="1"/>
  <c r="R5644" i="1"/>
  <c r="Q5644" i="1"/>
  <c r="N5644" i="1"/>
  <c r="J5644" i="1"/>
  <c r="I5644" i="1"/>
  <c r="H5644" i="1"/>
  <c r="G5644" i="1"/>
  <c r="F5644" i="1"/>
  <c r="E5644" i="1"/>
  <c r="D5644" i="1"/>
  <c r="C5644" i="1"/>
  <c r="A5644" i="1"/>
  <c r="R5643" i="1"/>
  <c r="N5643" i="1"/>
  <c r="J5643" i="1"/>
  <c r="I5643" i="1"/>
  <c r="H5643" i="1"/>
  <c r="G5643" i="1"/>
  <c r="F5643" i="1"/>
  <c r="E5643" i="1"/>
  <c r="D5643" i="1"/>
  <c r="C5643" i="1"/>
  <c r="A5643" i="1"/>
  <c r="R5642" i="1"/>
  <c r="Q5642" i="1"/>
  <c r="N5642" i="1"/>
  <c r="J5642" i="1"/>
  <c r="I5642" i="1"/>
  <c r="H5642" i="1"/>
  <c r="G5642" i="1"/>
  <c r="F5642" i="1"/>
  <c r="E5642" i="1"/>
  <c r="D5642" i="1"/>
  <c r="C5642" i="1"/>
  <c r="A5642" i="1"/>
  <c r="R5641" i="1"/>
  <c r="N5641" i="1"/>
  <c r="J5641" i="1"/>
  <c r="I5641" i="1"/>
  <c r="H5641" i="1"/>
  <c r="G5641" i="1"/>
  <c r="F5641" i="1"/>
  <c r="E5641" i="1"/>
  <c r="D5641" i="1"/>
  <c r="C5641" i="1"/>
  <c r="A5641" i="1"/>
  <c r="R5640" i="1"/>
  <c r="Q5640" i="1"/>
  <c r="N5640" i="1"/>
  <c r="J5640" i="1"/>
  <c r="I5640" i="1"/>
  <c r="H5640" i="1"/>
  <c r="G5640" i="1"/>
  <c r="F5640" i="1"/>
  <c r="E5640" i="1"/>
  <c r="D5640" i="1"/>
  <c r="C5640" i="1"/>
  <c r="A5640" i="1"/>
  <c r="R5639" i="1"/>
  <c r="N5639" i="1"/>
  <c r="J5639" i="1"/>
  <c r="I5639" i="1"/>
  <c r="H5639" i="1"/>
  <c r="G5639" i="1"/>
  <c r="F5639" i="1"/>
  <c r="E5639" i="1"/>
  <c r="D5639" i="1"/>
  <c r="C5639" i="1"/>
  <c r="A5639" i="1"/>
  <c r="R5638" i="1"/>
  <c r="Q5638" i="1"/>
  <c r="N5638" i="1"/>
  <c r="J5638" i="1"/>
  <c r="I5638" i="1"/>
  <c r="H5638" i="1"/>
  <c r="G5638" i="1"/>
  <c r="F5638" i="1"/>
  <c r="E5638" i="1"/>
  <c r="D5638" i="1"/>
  <c r="C5638" i="1"/>
  <c r="A5638" i="1"/>
  <c r="R5637" i="1"/>
  <c r="N5637" i="1"/>
  <c r="J5637" i="1"/>
  <c r="I5637" i="1"/>
  <c r="H5637" i="1"/>
  <c r="G5637" i="1"/>
  <c r="F5637" i="1"/>
  <c r="E5637" i="1"/>
  <c r="D5637" i="1"/>
  <c r="C5637" i="1"/>
  <c r="A5637" i="1"/>
  <c r="R5636" i="1"/>
  <c r="Q5636" i="1"/>
  <c r="N5636" i="1"/>
  <c r="J5636" i="1"/>
  <c r="I5636" i="1"/>
  <c r="H5636" i="1"/>
  <c r="G5636" i="1"/>
  <c r="F5636" i="1"/>
  <c r="E5636" i="1"/>
  <c r="D5636" i="1"/>
  <c r="C5636" i="1"/>
  <c r="A5636" i="1"/>
  <c r="R5635" i="1"/>
  <c r="N5635" i="1"/>
  <c r="J5635" i="1"/>
  <c r="I5635" i="1"/>
  <c r="H5635" i="1"/>
  <c r="G5635" i="1"/>
  <c r="F5635" i="1"/>
  <c r="E5635" i="1"/>
  <c r="D5635" i="1"/>
  <c r="C5635" i="1"/>
  <c r="A5635" i="1"/>
  <c r="R5634" i="1"/>
  <c r="Q5634" i="1"/>
  <c r="N5634" i="1"/>
  <c r="J5634" i="1"/>
  <c r="I5634" i="1"/>
  <c r="H5634" i="1"/>
  <c r="G5634" i="1"/>
  <c r="F5634" i="1"/>
  <c r="E5634" i="1"/>
  <c r="D5634" i="1"/>
  <c r="C5634" i="1"/>
  <c r="A5634" i="1"/>
  <c r="R5633" i="1"/>
  <c r="N5633" i="1"/>
  <c r="J5633" i="1"/>
  <c r="I5633" i="1"/>
  <c r="H5633" i="1"/>
  <c r="G5633" i="1"/>
  <c r="F5633" i="1"/>
  <c r="E5633" i="1"/>
  <c r="D5633" i="1"/>
  <c r="C5633" i="1"/>
  <c r="A5633" i="1"/>
  <c r="R5632" i="1"/>
  <c r="Q5632" i="1"/>
  <c r="N5632" i="1"/>
  <c r="J5632" i="1"/>
  <c r="I5632" i="1"/>
  <c r="H5632" i="1"/>
  <c r="G5632" i="1"/>
  <c r="F5632" i="1"/>
  <c r="E5632" i="1"/>
  <c r="D5632" i="1"/>
  <c r="C5632" i="1"/>
  <c r="A5632" i="1"/>
  <c r="R5631" i="1"/>
  <c r="N5631" i="1"/>
  <c r="J5631" i="1"/>
  <c r="I5631" i="1"/>
  <c r="H5631" i="1"/>
  <c r="G5631" i="1"/>
  <c r="F5631" i="1"/>
  <c r="E5631" i="1"/>
  <c r="D5631" i="1"/>
  <c r="C5631" i="1"/>
  <c r="A5631" i="1"/>
  <c r="R5630" i="1"/>
  <c r="Q5630" i="1"/>
  <c r="N5630" i="1"/>
  <c r="J5630" i="1"/>
  <c r="I5630" i="1"/>
  <c r="H5630" i="1"/>
  <c r="G5630" i="1"/>
  <c r="F5630" i="1"/>
  <c r="E5630" i="1"/>
  <c r="D5630" i="1"/>
  <c r="C5630" i="1"/>
  <c r="A5630" i="1"/>
  <c r="R5629" i="1"/>
  <c r="N5629" i="1"/>
  <c r="J5629" i="1"/>
  <c r="I5629" i="1"/>
  <c r="H5629" i="1"/>
  <c r="G5629" i="1"/>
  <c r="F5629" i="1"/>
  <c r="E5629" i="1"/>
  <c r="D5629" i="1"/>
  <c r="C5629" i="1"/>
  <c r="A5629" i="1"/>
  <c r="R5628" i="1"/>
  <c r="Q5628" i="1"/>
  <c r="N5628" i="1"/>
  <c r="J5628" i="1"/>
  <c r="I5628" i="1"/>
  <c r="H5628" i="1"/>
  <c r="G5628" i="1"/>
  <c r="F5628" i="1"/>
  <c r="E5628" i="1"/>
  <c r="D5628" i="1"/>
  <c r="C5628" i="1"/>
  <c r="A5628" i="1"/>
  <c r="R5627" i="1"/>
  <c r="N5627" i="1"/>
  <c r="J5627" i="1"/>
  <c r="I5627" i="1"/>
  <c r="H5627" i="1"/>
  <c r="G5627" i="1"/>
  <c r="F5627" i="1"/>
  <c r="E5627" i="1"/>
  <c r="D5627" i="1"/>
  <c r="C5627" i="1"/>
  <c r="A5627" i="1"/>
  <c r="R5626" i="1"/>
  <c r="Q5626" i="1"/>
  <c r="N5626" i="1"/>
  <c r="J5626" i="1"/>
  <c r="I5626" i="1"/>
  <c r="H5626" i="1"/>
  <c r="G5626" i="1"/>
  <c r="F5626" i="1"/>
  <c r="E5626" i="1"/>
  <c r="D5626" i="1"/>
  <c r="C5626" i="1"/>
  <c r="A5626" i="1"/>
  <c r="R5625" i="1"/>
  <c r="N5625" i="1"/>
  <c r="J5625" i="1"/>
  <c r="I5625" i="1"/>
  <c r="H5625" i="1"/>
  <c r="G5625" i="1"/>
  <c r="F5625" i="1"/>
  <c r="E5625" i="1"/>
  <c r="D5625" i="1"/>
  <c r="C5625" i="1"/>
  <c r="A5625" i="1"/>
  <c r="R5624" i="1"/>
  <c r="Q5624" i="1"/>
  <c r="N5624" i="1"/>
  <c r="J5624" i="1"/>
  <c r="I5624" i="1"/>
  <c r="H5624" i="1"/>
  <c r="G5624" i="1"/>
  <c r="F5624" i="1"/>
  <c r="E5624" i="1"/>
  <c r="D5624" i="1"/>
  <c r="C5624" i="1"/>
  <c r="A5624" i="1"/>
  <c r="R5623" i="1"/>
  <c r="N5623" i="1"/>
  <c r="J5623" i="1"/>
  <c r="I5623" i="1"/>
  <c r="H5623" i="1"/>
  <c r="G5623" i="1"/>
  <c r="F5623" i="1"/>
  <c r="E5623" i="1"/>
  <c r="D5623" i="1"/>
  <c r="C5623" i="1"/>
  <c r="A5623" i="1"/>
  <c r="R5622" i="1"/>
  <c r="Q5622" i="1"/>
  <c r="N5622" i="1"/>
  <c r="J5622" i="1"/>
  <c r="I5622" i="1"/>
  <c r="H5622" i="1"/>
  <c r="G5622" i="1"/>
  <c r="F5622" i="1"/>
  <c r="E5622" i="1"/>
  <c r="D5622" i="1"/>
  <c r="C5622" i="1"/>
  <c r="A5622" i="1"/>
  <c r="R5621" i="1"/>
  <c r="Q5621" i="1"/>
  <c r="N5621" i="1"/>
  <c r="J5621" i="1"/>
  <c r="I5621" i="1"/>
  <c r="H5621" i="1"/>
  <c r="G5621" i="1"/>
  <c r="F5621" i="1"/>
  <c r="E5621" i="1"/>
  <c r="D5621" i="1"/>
  <c r="C5621" i="1"/>
  <c r="A5621" i="1"/>
  <c r="R5620" i="1"/>
  <c r="N5620" i="1"/>
  <c r="J5620" i="1"/>
  <c r="I5620" i="1"/>
  <c r="H5620" i="1"/>
  <c r="G5620" i="1"/>
  <c r="F5620" i="1"/>
  <c r="E5620" i="1"/>
  <c r="D5620" i="1"/>
  <c r="C5620" i="1"/>
  <c r="A5620" i="1"/>
  <c r="R5619" i="1"/>
  <c r="Q5619" i="1"/>
  <c r="N5619" i="1"/>
  <c r="J5619" i="1"/>
  <c r="I5619" i="1"/>
  <c r="H5619" i="1"/>
  <c r="G5619" i="1"/>
  <c r="F5619" i="1"/>
  <c r="E5619" i="1"/>
  <c r="D5619" i="1"/>
  <c r="C5619" i="1"/>
  <c r="A5619" i="1"/>
  <c r="R5618" i="1"/>
  <c r="Q5618" i="1"/>
  <c r="N5618" i="1"/>
  <c r="J5618" i="1"/>
  <c r="I5618" i="1"/>
  <c r="H5618" i="1"/>
  <c r="G5618" i="1"/>
  <c r="F5618" i="1"/>
  <c r="E5618" i="1"/>
  <c r="D5618" i="1"/>
  <c r="C5618" i="1"/>
  <c r="A5618" i="1"/>
  <c r="R5617" i="1"/>
  <c r="N5617" i="1"/>
  <c r="J5617" i="1"/>
  <c r="I5617" i="1"/>
  <c r="H5617" i="1"/>
  <c r="G5617" i="1"/>
  <c r="F5617" i="1"/>
  <c r="E5617" i="1"/>
  <c r="D5617" i="1"/>
  <c r="C5617" i="1"/>
  <c r="A5617" i="1"/>
  <c r="R5616" i="1"/>
  <c r="Q5616" i="1"/>
  <c r="N5616" i="1"/>
  <c r="J5616" i="1"/>
  <c r="I5616" i="1"/>
  <c r="H5616" i="1"/>
  <c r="G5616" i="1"/>
  <c r="F5616" i="1"/>
  <c r="E5616" i="1"/>
  <c r="D5616" i="1"/>
  <c r="C5616" i="1"/>
  <c r="A5616" i="1"/>
  <c r="R5615" i="1"/>
  <c r="N5615" i="1"/>
  <c r="J5615" i="1"/>
  <c r="I5615" i="1"/>
  <c r="H5615" i="1"/>
  <c r="G5615" i="1"/>
  <c r="F5615" i="1"/>
  <c r="E5615" i="1"/>
  <c r="D5615" i="1"/>
  <c r="C5615" i="1"/>
  <c r="B5615" i="1"/>
  <c r="A5615" i="1"/>
  <c r="R5614" i="1"/>
  <c r="Q5614" i="1"/>
  <c r="N5614" i="1"/>
  <c r="J5614" i="1"/>
  <c r="I5614" i="1"/>
  <c r="H5614" i="1"/>
  <c r="G5614" i="1"/>
  <c r="F5614" i="1"/>
  <c r="E5614" i="1"/>
  <c r="D5614" i="1"/>
  <c r="C5614" i="1"/>
  <c r="B5614" i="1"/>
  <c r="A5614" i="1"/>
  <c r="R5613" i="1"/>
  <c r="N5613" i="1"/>
  <c r="J5613" i="1"/>
  <c r="I5613" i="1"/>
  <c r="H5613" i="1"/>
  <c r="G5613" i="1"/>
  <c r="F5613" i="1"/>
  <c r="E5613" i="1"/>
  <c r="D5613" i="1"/>
  <c r="C5613" i="1"/>
  <c r="B5613" i="1"/>
  <c r="A5613" i="1"/>
  <c r="R5612" i="1"/>
  <c r="Q5612" i="1"/>
  <c r="N5612" i="1"/>
  <c r="J5612" i="1"/>
  <c r="I5612" i="1"/>
  <c r="H5612" i="1"/>
  <c r="G5612" i="1"/>
  <c r="F5612" i="1"/>
  <c r="E5612" i="1"/>
  <c r="D5612" i="1"/>
  <c r="C5612" i="1"/>
  <c r="B5612" i="1"/>
  <c r="A5612" i="1"/>
  <c r="R5611" i="1"/>
  <c r="N5611" i="1"/>
  <c r="J5611" i="1"/>
  <c r="I5611" i="1"/>
  <c r="H5611" i="1"/>
  <c r="G5611" i="1"/>
  <c r="F5611" i="1"/>
  <c r="E5611" i="1"/>
  <c r="D5611" i="1"/>
  <c r="C5611" i="1"/>
  <c r="B5611" i="1"/>
  <c r="A5611" i="1"/>
  <c r="R5610" i="1"/>
  <c r="Q5610" i="1"/>
  <c r="N5610" i="1"/>
  <c r="J5610" i="1"/>
  <c r="I5610" i="1"/>
  <c r="H5610" i="1"/>
  <c r="G5610" i="1"/>
  <c r="F5610" i="1"/>
  <c r="E5610" i="1"/>
  <c r="D5610" i="1"/>
  <c r="C5610" i="1"/>
  <c r="B5610" i="1"/>
  <c r="A5610" i="1"/>
  <c r="R5609" i="1"/>
  <c r="N5609" i="1"/>
  <c r="J5609" i="1"/>
  <c r="I5609" i="1"/>
  <c r="H5609" i="1"/>
  <c r="G5609" i="1"/>
  <c r="F5609" i="1"/>
  <c r="E5609" i="1"/>
  <c r="D5609" i="1"/>
  <c r="C5609" i="1"/>
  <c r="B5609" i="1"/>
  <c r="A5609" i="1"/>
  <c r="R5608" i="1"/>
  <c r="Q5608" i="1"/>
  <c r="N5608" i="1"/>
  <c r="J5608" i="1"/>
  <c r="I5608" i="1"/>
  <c r="H5608" i="1"/>
  <c r="G5608" i="1"/>
  <c r="F5608" i="1"/>
  <c r="E5608" i="1"/>
  <c r="D5608" i="1"/>
  <c r="C5608" i="1"/>
  <c r="B5608" i="1"/>
  <c r="A5608" i="1"/>
  <c r="R5607" i="1"/>
  <c r="N5607" i="1"/>
  <c r="J5607" i="1"/>
  <c r="I5607" i="1"/>
  <c r="H5607" i="1"/>
  <c r="G5607" i="1"/>
  <c r="F5607" i="1"/>
  <c r="E5607" i="1"/>
  <c r="D5607" i="1"/>
  <c r="C5607" i="1"/>
  <c r="B5607" i="1"/>
  <c r="A5607" i="1"/>
  <c r="R5606" i="1"/>
  <c r="Q5606" i="1"/>
  <c r="N5606" i="1"/>
  <c r="J5606" i="1"/>
  <c r="I5606" i="1"/>
  <c r="H5606" i="1"/>
  <c r="G5606" i="1"/>
  <c r="F5606" i="1"/>
  <c r="E5606" i="1"/>
  <c r="D5606" i="1"/>
  <c r="C5606" i="1"/>
  <c r="B5606" i="1"/>
  <c r="A5606" i="1"/>
  <c r="R5605" i="1"/>
  <c r="N5605" i="1"/>
  <c r="J5605" i="1"/>
  <c r="I5605" i="1"/>
  <c r="H5605" i="1"/>
  <c r="G5605" i="1"/>
  <c r="F5605" i="1"/>
  <c r="E5605" i="1"/>
  <c r="D5605" i="1"/>
  <c r="C5605" i="1"/>
  <c r="B5605" i="1"/>
  <c r="A5605" i="1"/>
  <c r="R5604" i="1"/>
  <c r="Q5604" i="1"/>
  <c r="N5604" i="1"/>
  <c r="J5604" i="1"/>
  <c r="I5604" i="1"/>
  <c r="H5604" i="1"/>
  <c r="G5604" i="1"/>
  <c r="F5604" i="1"/>
  <c r="E5604" i="1"/>
  <c r="D5604" i="1"/>
  <c r="C5604" i="1"/>
  <c r="B5604" i="1"/>
  <c r="A5604" i="1"/>
  <c r="R5603" i="1"/>
  <c r="N5603" i="1"/>
  <c r="J5603" i="1"/>
  <c r="I5603" i="1"/>
  <c r="H5603" i="1"/>
  <c r="G5603" i="1"/>
  <c r="F5603" i="1"/>
  <c r="E5603" i="1"/>
  <c r="D5603" i="1"/>
  <c r="C5603" i="1"/>
  <c r="B5603" i="1"/>
  <c r="A5603" i="1"/>
  <c r="R5602" i="1"/>
  <c r="Q5602" i="1"/>
  <c r="N5602" i="1"/>
  <c r="J5602" i="1"/>
  <c r="I5602" i="1"/>
  <c r="H5602" i="1"/>
  <c r="G5602" i="1"/>
  <c r="F5602" i="1"/>
  <c r="E5602" i="1"/>
  <c r="D5602" i="1"/>
  <c r="C5602" i="1"/>
  <c r="B5602" i="1"/>
  <c r="A5602" i="1"/>
  <c r="R5601" i="1"/>
  <c r="N5601" i="1"/>
  <c r="J5601" i="1"/>
  <c r="I5601" i="1"/>
  <c r="H5601" i="1"/>
  <c r="G5601" i="1"/>
  <c r="F5601" i="1"/>
  <c r="E5601" i="1"/>
  <c r="D5601" i="1"/>
  <c r="C5601" i="1"/>
  <c r="B5601" i="1"/>
  <c r="A5601" i="1"/>
  <c r="R5600" i="1"/>
  <c r="Q5600" i="1"/>
  <c r="N5600" i="1"/>
  <c r="J5600" i="1"/>
  <c r="I5600" i="1"/>
  <c r="H5600" i="1"/>
  <c r="G5600" i="1"/>
  <c r="F5600" i="1"/>
  <c r="E5600" i="1"/>
  <c r="D5600" i="1"/>
  <c r="C5600" i="1"/>
  <c r="B5600" i="1"/>
  <c r="A5600" i="1"/>
  <c r="R5599" i="1"/>
  <c r="N5599" i="1"/>
  <c r="J5599" i="1"/>
  <c r="I5599" i="1"/>
  <c r="H5599" i="1"/>
  <c r="G5599" i="1"/>
  <c r="F5599" i="1"/>
  <c r="E5599" i="1"/>
  <c r="D5599" i="1"/>
  <c r="C5599" i="1"/>
  <c r="B5599" i="1"/>
  <c r="A5599" i="1"/>
  <c r="R5598" i="1"/>
  <c r="Q5598" i="1"/>
  <c r="N5598" i="1"/>
  <c r="J5598" i="1"/>
  <c r="I5598" i="1"/>
  <c r="H5598" i="1"/>
  <c r="G5598" i="1"/>
  <c r="F5598" i="1"/>
  <c r="E5598" i="1"/>
  <c r="D5598" i="1"/>
  <c r="C5598" i="1"/>
  <c r="A5598" i="1"/>
  <c r="R5597" i="1"/>
  <c r="N5597" i="1"/>
  <c r="J5597" i="1"/>
  <c r="I5597" i="1"/>
  <c r="H5597" i="1"/>
  <c r="G5597" i="1"/>
  <c r="F5597" i="1"/>
  <c r="E5597" i="1"/>
  <c r="D5597" i="1"/>
  <c r="C5597" i="1"/>
  <c r="A5597" i="1"/>
  <c r="R5596" i="1"/>
  <c r="Q5596" i="1"/>
  <c r="N5596" i="1"/>
  <c r="J5596" i="1"/>
  <c r="I5596" i="1"/>
  <c r="H5596" i="1"/>
  <c r="G5596" i="1"/>
  <c r="F5596" i="1"/>
  <c r="E5596" i="1"/>
  <c r="D5596" i="1"/>
  <c r="C5596" i="1"/>
  <c r="A5596" i="1"/>
  <c r="R5595" i="1"/>
  <c r="Q5595" i="1"/>
  <c r="N5595" i="1"/>
  <c r="J5595" i="1"/>
  <c r="I5595" i="1"/>
  <c r="H5595" i="1"/>
  <c r="G5595" i="1"/>
  <c r="F5595" i="1"/>
  <c r="E5595" i="1"/>
  <c r="D5595" i="1"/>
  <c r="C5595" i="1"/>
  <c r="A5595" i="1"/>
  <c r="R5594" i="1"/>
  <c r="Q5594" i="1"/>
  <c r="N5594" i="1"/>
  <c r="J5594" i="1"/>
  <c r="I5594" i="1"/>
  <c r="H5594" i="1"/>
  <c r="G5594" i="1"/>
  <c r="F5594" i="1"/>
  <c r="E5594" i="1"/>
  <c r="D5594" i="1"/>
  <c r="C5594" i="1"/>
  <c r="A5594" i="1"/>
  <c r="R5593" i="1"/>
  <c r="N5593" i="1"/>
  <c r="J5593" i="1"/>
  <c r="I5593" i="1"/>
  <c r="H5593" i="1"/>
  <c r="G5593" i="1"/>
  <c r="F5593" i="1"/>
  <c r="E5593" i="1"/>
  <c r="D5593" i="1"/>
  <c r="C5593" i="1"/>
  <c r="A5593" i="1"/>
  <c r="R5592" i="1"/>
  <c r="Q5592" i="1"/>
  <c r="N5592" i="1"/>
  <c r="J5592" i="1"/>
  <c r="I5592" i="1"/>
  <c r="H5592" i="1"/>
  <c r="G5592" i="1"/>
  <c r="F5592" i="1"/>
  <c r="E5592" i="1"/>
  <c r="D5592" i="1"/>
  <c r="C5592" i="1"/>
  <c r="A5592" i="1"/>
  <c r="R5591" i="1"/>
  <c r="N5591" i="1"/>
  <c r="J5591" i="1"/>
  <c r="I5591" i="1"/>
  <c r="H5591" i="1"/>
  <c r="G5591" i="1"/>
  <c r="F5591" i="1"/>
  <c r="E5591" i="1"/>
  <c r="D5591" i="1"/>
  <c r="C5591" i="1"/>
  <c r="A5591" i="1"/>
  <c r="R5590" i="1"/>
  <c r="Q5590" i="1"/>
  <c r="N5590" i="1"/>
  <c r="J5590" i="1"/>
  <c r="I5590" i="1"/>
  <c r="H5590" i="1"/>
  <c r="G5590" i="1"/>
  <c r="F5590" i="1"/>
  <c r="E5590" i="1"/>
  <c r="D5590" i="1"/>
  <c r="C5590" i="1"/>
  <c r="A5590" i="1"/>
  <c r="R5589" i="1"/>
  <c r="N5589" i="1"/>
  <c r="J5589" i="1"/>
  <c r="I5589" i="1"/>
  <c r="H5589" i="1"/>
  <c r="G5589" i="1"/>
  <c r="F5589" i="1"/>
  <c r="E5589" i="1"/>
  <c r="D5589" i="1"/>
  <c r="C5589" i="1"/>
  <c r="A5589" i="1"/>
  <c r="R5588" i="1"/>
  <c r="Q5588" i="1"/>
  <c r="N5588" i="1"/>
  <c r="J5588" i="1"/>
  <c r="I5588" i="1"/>
  <c r="H5588" i="1"/>
  <c r="G5588" i="1"/>
  <c r="F5588" i="1"/>
  <c r="E5588" i="1"/>
  <c r="D5588" i="1"/>
  <c r="C5588" i="1"/>
  <c r="A5588" i="1"/>
  <c r="R5587" i="1"/>
  <c r="N5587" i="1"/>
  <c r="J5587" i="1"/>
  <c r="I5587" i="1"/>
  <c r="H5587" i="1"/>
  <c r="G5587" i="1"/>
  <c r="F5587" i="1"/>
  <c r="E5587" i="1"/>
  <c r="D5587" i="1"/>
  <c r="C5587" i="1"/>
  <c r="A5587" i="1"/>
  <c r="R5586" i="1"/>
  <c r="Q5586" i="1"/>
  <c r="N5586" i="1"/>
  <c r="J5586" i="1"/>
  <c r="I5586" i="1"/>
  <c r="H5586" i="1"/>
  <c r="G5586" i="1"/>
  <c r="F5586" i="1"/>
  <c r="E5586" i="1"/>
  <c r="D5586" i="1"/>
  <c r="C5586" i="1"/>
  <c r="A5586" i="1"/>
  <c r="R5585" i="1"/>
  <c r="Q5585" i="1"/>
  <c r="N5585" i="1"/>
  <c r="J5585" i="1"/>
  <c r="I5585" i="1"/>
  <c r="H5585" i="1"/>
  <c r="G5585" i="1"/>
  <c r="F5585" i="1"/>
  <c r="E5585" i="1"/>
  <c r="D5585" i="1"/>
  <c r="C5585" i="1"/>
  <c r="A5585" i="1"/>
  <c r="R5584" i="1"/>
  <c r="Q5584" i="1"/>
  <c r="N5584" i="1"/>
  <c r="J5584" i="1"/>
  <c r="I5584" i="1"/>
  <c r="H5584" i="1"/>
  <c r="G5584" i="1"/>
  <c r="F5584" i="1"/>
  <c r="E5584" i="1"/>
  <c r="D5584" i="1"/>
  <c r="C5584" i="1"/>
  <c r="A5584" i="1"/>
  <c r="R5583" i="1"/>
  <c r="N5583" i="1"/>
  <c r="J5583" i="1"/>
  <c r="I5583" i="1"/>
  <c r="H5583" i="1"/>
  <c r="G5583" i="1"/>
  <c r="F5583" i="1"/>
  <c r="E5583" i="1"/>
  <c r="D5583" i="1"/>
  <c r="C5583" i="1"/>
  <c r="A5583" i="1"/>
  <c r="R5582" i="1"/>
  <c r="Q5582" i="1"/>
  <c r="N5582" i="1"/>
  <c r="J5582" i="1"/>
  <c r="I5582" i="1"/>
  <c r="H5582" i="1"/>
  <c r="G5582" i="1"/>
  <c r="F5582" i="1"/>
  <c r="E5582" i="1"/>
  <c r="D5582" i="1"/>
  <c r="C5582" i="1"/>
  <c r="A5582" i="1"/>
  <c r="R5581" i="1"/>
  <c r="N5581" i="1"/>
  <c r="J5581" i="1"/>
  <c r="I5581" i="1"/>
  <c r="H5581" i="1"/>
  <c r="G5581" i="1"/>
  <c r="F5581" i="1"/>
  <c r="E5581" i="1"/>
  <c r="D5581" i="1"/>
  <c r="C5581" i="1"/>
  <c r="A5581" i="1"/>
  <c r="R5580" i="1"/>
  <c r="Q5580" i="1"/>
  <c r="N5580" i="1"/>
  <c r="J5580" i="1"/>
  <c r="I5580" i="1"/>
  <c r="H5580" i="1"/>
  <c r="G5580" i="1"/>
  <c r="F5580" i="1"/>
  <c r="E5580" i="1"/>
  <c r="D5580" i="1"/>
  <c r="C5580" i="1"/>
  <c r="A5580" i="1"/>
  <c r="R5579" i="1"/>
  <c r="N5579" i="1"/>
  <c r="J5579" i="1"/>
  <c r="I5579" i="1"/>
  <c r="H5579" i="1"/>
  <c r="G5579" i="1"/>
  <c r="F5579" i="1"/>
  <c r="E5579" i="1"/>
  <c r="D5579" i="1"/>
  <c r="C5579" i="1"/>
  <c r="A5579" i="1"/>
  <c r="R5578" i="1"/>
  <c r="Q5578" i="1"/>
  <c r="N5578" i="1"/>
  <c r="J5578" i="1"/>
  <c r="I5578" i="1"/>
  <c r="H5578" i="1"/>
  <c r="G5578" i="1"/>
  <c r="F5578" i="1"/>
  <c r="E5578" i="1"/>
  <c r="D5578" i="1"/>
  <c r="C5578" i="1"/>
  <c r="A5578" i="1"/>
  <c r="R5577" i="1"/>
  <c r="Q5577" i="1"/>
  <c r="N5577" i="1"/>
  <c r="J5577" i="1"/>
  <c r="I5577" i="1"/>
  <c r="H5577" i="1"/>
  <c r="G5577" i="1"/>
  <c r="F5577" i="1"/>
  <c r="E5577" i="1"/>
  <c r="D5577" i="1"/>
  <c r="C5577" i="1"/>
  <c r="A5577" i="1"/>
  <c r="R5576" i="1"/>
  <c r="Q5576" i="1"/>
  <c r="N5576" i="1"/>
  <c r="J5576" i="1"/>
  <c r="I5576" i="1"/>
  <c r="H5576" i="1"/>
  <c r="G5576" i="1"/>
  <c r="F5576" i="1"/>
  <c r="E5576" i="1"/>
  <c r="D5576" i="1"/>
  <c r="C5576" i="1"/>
  <c r="A5576" i="1"/>
  <c r="R5575" i="1"/>
  <c r="Q5575" i="1"/>
  <c r="N5575" i="1"/>
  <c r="J5575" i="1"/>
  <c r="I5575" i="1"/>
  <c r="H5575" i="1"/>
  <c r="G5575" i="1"/>
  <c r="F5575" i="1"/>
  <c r="E5575" i="1"/>
  <c r="D5575" i="1"/>
  <c r="C5575" i="1"/>
  <c r="A5575" i="1"/>
  <c r="R5574" i="1"/>
  <c r="Q5574" i="1"/>
  <c r="N5574" i="1"/>
  <c r="J5574" i="1"/>
  <c r="I5574" i="1"/>
  <c r="H5574" i="1"/>
  <c r="G5574" i="1"/>
  <c r="F5574" i="1"/>
  <c r="E5574" i="1"/>
  <c r="D5574" i="1"/>
  <c r="C5574" i="1"/>
  <c r="A5574" i="1"/>
  <c r="R5573" i="1"/>
  <c r="Q5573" i="1"/>
  <c r="N5573" i="1"/>
  <c r="J5573" i="1"/>
  <c r="I5573" i="1"/>
  <c r="H5573" i="1"/>
  <c r="G5573" i="1"/>
  <c r="F5573" i="1"/>
  <c r="E5573" i="1"/>
  <c r="D5573" i="1"/>
  <c r="C5573" i="1"/>
  <c r="A5573" i="1"/>
  <c r="R5572" i="1"/>
  <c r="Q5572" i="1"/>
  <c r="N5572" i="1"/>
  <c r="J5572" i="1"/>
  <c r="I5572" i="1"/>
  <c r="H5572" i="1"/>
  <c r="G5572" i="1"/>
  <c r="F5572" i="1"/>
  <c r="E5572" i="1"/>
  <c r="D5572" i="1"/>
  <c r="C5572" i="1"/>
  <c r="A5572" i="1"/>
  <c r="R5571" i="1"/>
  <c r="Q5571" i="1"/>
  <c r="N5571" i="1"/>
  <c r="J5571" i="1"/>
  <c r="I5571" i="1"/>
  <c r="H5571" i="1"/>
  <c r="G5571" i="1"/>
  <c r="F5571" i="1"/>
  <c r="E5571" i="1"/>
  <c r="D5571" i="1"/>
  <c r="C5571" i="1"/>
  <c r="A5571" i="1"/>
  <c r="R5570" i="1"/>
  <c r="Q5570" i="1"/>
  <c r="N5570" i="1"/>
  <c r="J5570" i="1"/>
  <c r="I5570" i="1"/>
  <c r="H5570" i="1"/>
  <c r="G5570" i="1"/>
  <c r="F5570" i="1"/>
  <c r="E5570" i="1"/>
  <c r="D5570" i="1"/>
  <c r="C5570" i="1"/>
  <c r="A5570" i="1"/>
  <c r="R5569" i="1"/>
  <c r="Q5569" i="1"/>
  <c r="N5569" i="1"/>
  <c r="J5569" i="1"/>
  <c r="I5569" i="1"/>
  <c r="H5569" i="1"/>
  <c r="G5569" i="1"/>
  <c r="F5569" i="1"/>
  <c r="E5569" i="1"/>
  <c r="D5569" i="1"/>
  <c r="C5569" i="1"/>
  <c r="A5569" i="1"/>
  <c r="R5568" i="1"/>
  <c r="N5568" i="1"/>
  <c r="J5568" i="1"/>
  <c r="I5568" i="1"/>
  <c r="H5568" i="1"/>
  <c r="G5568" i="1"/>
  <c r="F5568" i="1"/>
  <c r="E5568" i="1"/>
  <c r="D5568" i="1"/>
  <c r="C5568" i="1"/>
  <c r="A5568" i="1"/>
  <c r="R5567" i="1"/>
  <c r="Q5567" i="1"/>
  <c r="N5567" i="1"/>
  <c r="J5567" i="1"/>
  <c r="I5567" i="1"/>
  <c r="H5567" i="1"/>
  <c r="G5567" i="1"/>
  <c r="F5567" i="1"/>
  <c r="E5567" i="1"/>
  <c r="D5567" i="1"/>
  <c r="C5567" i="1"/>
  <c r="A5567" i="1"/>
  <c r="R5566" i="1"/>
  <c r="N5566" i="1"/>
  <c r="J5566" i="1"/>
  <c r="I5566" i="1"/>
  <c r="H5566" i="1"/>
  <c r="G5566" i="1"/>
  <c r="F5566" i="1"/>
  <c r="E5566" i="1"/>
  <c r="D5566" i="1"/>
  <c r="C5566" i="1"/>
  <c r="A5566" i="1"/>
  <c r="R5565" i="1"/>
  <c r="Q5565" i="1"/>
  <c r="N5565" i="1"/>
  <c r="J5565" i="1"/>
  <c r="I5565" i="1"/>
  <c r="H5565" i="1"/>
  <c r="G5565" i="1"/>
  <c r="F5565" i="1"/>
  <c r="E5565" i="1"/>
  <c r="D5565" i="1"/>
  <c r="C5565" i="1"/>
  <c r="A5565" i="1"/>
  <c r="R5564" i="1"/>
  <c r="Q5564" i="1"/>
  <c r="N5564" i="1"/>
  <c r="J5564" i="1"/>
  <c r="I5564" i="1"/>
  <c r="H5564" i="1"/>
  <c r="G5564" i="1"/>
  <c r="F5564" i="1"/>
  <c r="E5564" i="1"/>
  <c r="D5564" i="1"/>
  <c r="C5564" i="1"/>
  <c r="A5564" i="1"/>
  <c r="R5563" i="1"/>
  <c r="Q5563" i="1"/>
  <c r="N5563" i="1"/>
  <c r="J5563" i="1"/>
  <c r="I5563" i="1"/>
  <c r="H5563" i="1"/>
  <c r="G5563" i="1"/>
  <c r="F5563" i="1"/>
  <c r="E5563" i="1"/>
  <c r="D5563" i="1"/>
  <c r="C5563" i="1"/>
  <c r="A5563" i="1"/>
  <c r="R5562" i="1"/>
  <c r="Q5562" i="1"/>
  <c r="N5562" i="1"/>
  <c r="J5562" i="1"/>
  <c r="I5562" i="1"/>
  <c r="H5562" i="1"/>
  <c r="G5562" i="1"/>
  <c r="F5562" i="1"/>
  <c r="E5562" i="1"/>
  <c r="D5562" i="1"/>
  <c r="C5562" i="1"/>
  <c r="A5562" i="1"/>
  <c r="R5561" i="1"/>
  <c r="Q5561" i="1"/>
  <c r="N5561" i="1"/>
  <c r="J5561" i="1"/>
  <c r="I5561" i="1"/>
  <c r="H5561" i="1"/>
  <c r="G5561" i="1"/>
  <c r="F5561" i="1"/>
  <c r="E5561" i="1"/>
  <c r="D5561" i="1"/>
  <c r="C5561" i="1"/>
  <c r="A5561" i="1"/>
  <c r="R5560" i="1"/>
  <c r="Q5560" i="1"/>
  <c r="N5560" i="1"/>
  <c r="J5560" i="1"/>
  <c r="I5560" i="1"/>
  <c r="H5560" i="1"/>
  <c r="G5560" i="1"/>
  <c r="F5560" i="1"/>
  <c r="E5560" i="1"/>
  <c r="D5560" i="1"/>
  <c r="C5560" i="1"/>
  <c r="A5560" i="1"/>
  <c r="R5559" i="1"/>
  <c r="Q5559" i="1"/>
  <c r="N5559" i="1"/>
  <c r="J5559" i="1"/>
  <c r="I5559" i="1"/>
  <c r="H5559" i="1"/>
  <c r="G5559" i="1"/>
  <c r="F5559" i="1"/>
  <c r="E5559" i="1"/>
  <c r="D5559" i="1"/>
  <c r="C5559" i="1"/>
  <c r="A5559" i="1"/>
  <c r="R5558" i="1"/>
  <c r="Q5558" i="1"/>
  <c r="N5558" i="1"/>
  <c r="J5558" i="1"/>
  <c r="I5558" i="1"/>
  <c r="H5558" i="1"/>
  <c r="G5558" i="1"/>
  <c r="F5558" i="1"/>
  <c r="E5558" i="1"/>
  <c r="D5558" i="1"/>
  <c r="C5558" i="1"/>
  <c r="A5558" i="1"/>
  <c r="R5557" i="1"/>
  <c r="Q5557" i="1"/>
  <c r="N5557" i="1"/>
  <c r="J5557" i="1"/>
  <c r="I5557" i="1"/>
  <c r="H5557" i="1"/>
  <c r="G5557" i="1"/>
  <c r="F5557" i="1"/>
  <c r="E5557" i="1"/>
  <c r="D5557" i="1"/>
  <c r="C5557" i="1"/>
  <c r="A5557" i="1"/>
  <c r="R5556" i="1"/>
  <c r="Q5556" i="1"/>
  <c r="N5556" i="1"/>
  <c r="J5556" i="1"/>
  <c r="I5556" i="1"/>
  <c r="H5556" i="1"/>
  <c r="G5556" i="1"/>
  <c r="F5556" i="1"/>
  <c r="E5556" i="1"/>
  <c r="D5556" i="1"/>
  <c r="C5556" i="1"/>
  <c r="A5556" i="1"/>
  <c r="R5555" i="1"/>
  <c r="Q5555" i="1"/>
  <c r="N5555" i="1"/>
  <c r="J5555" i="1"/>
  <c r="I5555" i="1"/>
  <c r="H5555" i="1"/>
  <c r="G5555" i="1"/>
  <c r="F5555" i="1"/>
  <c r="E5555" i="1"/>
  <c r="D5555" i="1"/>
  <c r="C5555" i="1"/>
  <c r="A5555" i="1"/>
  <c r="R5554" i="1"/>
  <c r="Q5554" i="1"/>
  <c r="N5554" i="1"/>
  <c r="J5554" i="1"/>
  <c r="I5554" i="1"/>
  <c r="H5554" i="1"/>
  <c r="G5554" i="1"/>
  <c r="F5554" i="1"/>
  <c r="E5554" i="1"/>
  <c r="D5554" i="1"/>
  <c r="C5554" i="1"/>
  <c r="A5554" i="1"/>
  <c r="R5553" i="1"/>
  <c r="Q5553" i="1"/>
  <c r="N5553" i="1"/>
  <c r="J5553" i="1"/>
  <c r="I5553" i="1"/>
  <c r="H5553" i="1"/>
  <c r="G5553" i="1"/>
  <c r="F5553" i="1"/>
  <c r="E5553" i="1"/>
  <c r="D5553" i="1"/>
  <c r="C5553" i="1"/>
  <c r="A5553" i="1"/>
  <c r="R5552" i="1"/>
  <c r="Q5552" i="1"/>
  <c r="N5552" i="1"/>
  <c r="J5552" i="1"/>
  <c r="I5552" i="1"/>
  <c r="H5552" i="1"/>
  <c r="G5552" i="1"/>
  <c r="F5552" i="1"/>
  <c r="E5552" i="1"/>
  <c r="D5552" i="1"/>
  <c r="C5552" i="1"/>
  <c r="A5552" i="1"/>
  <c r="R5551" i="1"/>
  <c r="Q5551" i="1"/>
  <c r="N5551" i="1"/>
  <c r="J5551" i="1"/>
  <c r="I5551" i="1"/>
  <c r="H5551" i="1"/>
  <c r="G5551" i="1"/>
  <c r="F5551" i="1"/>
  <c r="E5551" i="1"/>
  <c r="D5551" i="1"/>
  <c r="C5551" i="1"/>
  <c r="A5551" i="1"/>
  <c r="R5550" i="1"/>
  <c r="Q5550" i="1"/>
  <c r="N5550" i="1"/>
  <c r="J5550" i="1"/>
  <c r="I5550" i="1"/>
  <c r="H5550" i="1"/>
  <c r="G5550" i="1"/>
  <c r="F5550" i="1"/>
  <c r="E5550" i="1"/>
  <c r="D5550" i="1"/>
  <c r="C5550" i="1"/>
  <c r="A5550" i="1"/>
  <c r="R5549" i="1"/>
  <c r="Q5549" i="1"/>
  <c r="N5549" i="1"/>
  <c r="J5549" i="1"/>
  <c r="I5549" i="1"/>
  <c r="H5549" i="1"/>
  <c r="G5549" i="1"/>
  <c r="F5549" i="1"/>
  <c r="E5549" i="1"/>
  <c r="D5549" i="1"/>
  <c r="C5549" i="1"/>
  <c r="A5549" i="1"/>
  <c r="R5548" i="1"/>
  <c r="Q5548" i="1"/>
  <c r="N5548" i="1"/>
  <c r="J5548" i="1"/>
  <c r="I5548" i="1"/>
  <c r="H5548" i="1"/>
  <c r="G5548" i="1"/>
  <c r="F5548" i="1"/>
  <c r="E5548" i="1"/>
  <c r="D5548" i="1"/>
  <c r="C5548" i="1"/>
  <c r="A5548" i="1"/>
  <c r="R5547" i="1"/>
  <c r="Q5547" i="1"/>
  <c r="N5547" i="1"/>
  <c r="J5547" i="1"/>
  <c r="I5547" i="1"/>
  <c r="H5547" i="1"/>
  <c r="G5547" i="1"/>
  <c r="F5547" i="1"/>
  <c r="E5547" i="1"/>
  <c r="D5547" i="1"/>
  <c r="C5547" i="1"/>
  <c r="A5547" i="1"/>
  <c r="R5546" i="1"/>
  <c r="Q5546" i="1"/>
  <c r="N5546" i="1"/>
  <c r="J5546" i="1"/>
  <c r="I5546" i="1"/>
  <c r="H5546" i="1"/>
  <c r="G5546" i="1"/>
  <c r="F5546" i="1"/>
  <c r="E5546" i="1"/>
  <c r="D5546" i="1"/>
  <c r="C5546" i="1"/>
  <c r="A5546" i="1"/>
  <c r="R5545" i="1"/>
  <c r="Q5545" i="1"/>
  <c r="N5545" i="1"/>
  <c r="J5545" i="1"/>
  <c r="I5545" i="1"/>
  <c r="H5545" i="1"/>
  <c r="G5545" i="1"/>
  <c r="F5545" i="1"/>
  <c r="E5545" i="1"/>
  <c r="D5545" i="1"/>
  <c r="C5545" i="1"/>
  <c r="A5545" i="1"/>
  <c r="R5544" i="1"/>
  <c r="Q5544" i="1"/>
  <c r="N5544" i="1"/>
  <c r="J5544" i="1"/>
  <c r="I5544" i="1"/>
  <c r="H5544" i="1"/>
  <c r="G5544" i="1"/>
  <c r="F5544" i="1"/>
  <c r="E5544" i="1"/>
  <c r="D5544" i="1"/>
  <c r="C5544" i="1"/>
  <c r="A5544" i="1"/>
  <c r="R5543" i="1"/>
  <c r="Q5543" i="1"/>
  <c r="N5543" i="1"/>
  <c r="J5543" i="1"/>
  <c r="I5543" i="1"/>
  <c r="H5543" i="1"/>
  <c r="G5543" i="1"/>
  <c r="F5543" i="1"/>
  <c r="E5543" i="1"/>
  <c r="D5543" i="1"/>
  <c r="C5543" i="1"/>
  <c r="A5543" i="1"/>
  <c r="R5542" i="1"/>
  <c r="Q5542" i="1"/>
  <c r="N5542" i="1"/>
  <c r="J5542" i="1"/>
  <c r="I5542" i="1"/>
  <c r="H5542" i="1"/>
  <c r="G5542" i="1"/>
  <c r="F5542" i="1"/>
  <c r="E5542" i="1"/>
  <c r="D5542" i="1"/>
  <c r="C5542" i="1"/>
  <c r="A5542" i="1"/>
  <c r="R5541" i="1"/>
  <c r="Q5541" i="1"/>
  <c r="N5541" i="1"/>
  <c r="J5541" i="1"/>
  <c r="I5541" i="1"/>
  <c r="H5541" i="1"/>
  <c r="G5541" i="1"/>
  <c r="F5541" i="1"/>
  <c r="E5541" i="1"/>
  <c r="D5541" i="1"/>
  <c r="C5541" i="1"/>
  <c r="A5541" i="1"/>
  <c r="R5540" i="1"/>
  <c r="Q5540" i="1"/>
  <c r="N5540" i="1"/>
  <c r="J5540" i="1"/>
  <c r="I5540" i="1"/>
  <c r="H5540" i="1"/>
  <c r="G5540" i="1"/>
  <c r="F5540" i="1"/>
  <c r="E5540" i="1"/>
  <c r="D5540" i="1"/>
  <c r="C5540" i="1"/>
  <c r="A5540" i="1"/>
  <c r="R5539" i="1"/>
  <c r="Q5539" i="1"/>
  <c r="N5539" i="1"/>
  <c r="J5539" i="1"/>
  <c r="I5539" i="1"/>
  <c r="H5539" i="1"/>
  <c r="G5539" i="1"/>
  <c r="F5539" i="1"/>
  <c r="E5539" i="1"/>
  <c r="D5539" i="1"/>
  <c r="C5539" i="1"/>
  <c r="A5539" i="1"/>
  <c r="R5538" i="1"/>
  <c r="Q5538" i="1"/>
  <c r="N5538" i="1"/>
  <c r="J5538" i="1"/>
  <c r="I5538" i="1"/>
  <c r="H5538" i="1"/>
  <c r="G5538" i="1"/>
  <c r="F5538" i="1"/>
  <c r="E5538" i="1"/>
  <c r="D5538" i="1"/>
  <c r="C5538" i="1"/>
  <c r="A5538" i="1"/>
  <c r="R5537" i="1"/>
  <c r="Q5537" i="1"/>
  <c r="N5537" i="1"/>
  <c r="J5537" i="1"/>
  <c r="I5537" i="1"/>
  <c r="H5537" i="1"/>
  <c r="G5537" i="1"/>
  <c r="F5537" i="1"/>
  <c r="E5537" i="1"/>
  <c r="D5537" i="1"/>
  <c r="C5537" i="1"/>
  <c r="A5537" i="1"/>
  <c r="R5536" i="1"/>
  <c r="Q5536" i="1"/>
  <c r="N5536" i="1"/>
  <c r="J5536" i="1"/>
  <c r="I5536" i="1"/>
  <c r="H5536" i="1"/>
  <c r="G5536" i="1"/>
  <c r="F5536" i="1"/>
  <c r="E5536" i="1"/>
  <c r="D5536" i="1"/>
  <c r="C5536" i="1"/>
  <c r="A5536" i="1"/>
  <c r="R5535" i="1"/>
  <c r="Q5535" i="1"/>
  <c r="N5535" i="1"/>
  <c r="J5535" i="1"/>
  <c r="I5535" i="1"/>
  <c r="H5535" i="1"/>
  <c r="G5535" i="1"/>
  <c r="F5535" i="1"/>
  <c r="E5535" i="1"/>
  <c r="D5535" i="1"/>
  <c r="C5535" i="1"/>
  <c r="A5535" i="1"/>
  <c r="R5534" i="1"/>
  <c r="Q5534" i="1"/>
  <c r="N5534" i="1"/>
  <c r="J5534" i="1"/>
  <c r="I5534" i="1"/>
  <c r="H5534" i="1"/>
  <c r="G5534" i="1"/>
  <c r="F5534" i="1"/>
  <c r="E5534" i="1"/>
  <c r="D5534" i="1"/>
  <c r="C5534" i="1"/>
  <c r="A5534" i="1"/>
  <c r="R5533" i="1"/>
  <c r="Q5533" i="1"/>
  <c r="N5533" i="1"/>
  <c r="J5533" i="1"/>
  <c r="I5533" i="1"/>
  <c r="H5533" i="1"/>
  <c r="G5533" i="1"/>
  <c r="F5533" i="1"/>
  <c r="E5533" i="1"/>
  <c r="D5533" i="1"/>
  <c r="C5533" i="1"/>
  <c r="A5533" i="1"/>
  <c r="R5532" i="1"/>
  <c r="Q5532" i="1"/>
  <c r="N5532" i="1"/>
  <c r="J5532" i="1"/>
  <c r="I5532" i="1"/>
  <c r="H5532" i="1"/>
  <c r="G5532" i="1"/>
  <c r="F5532" i="1"/>
  <c r="E5532" i="1"/>
  <c r="D5532" i="1"/>
  <c r="C5532" i="1"/>
  <c r="A5532" i="1"/>
  <c r="R5531" i="1"/>
  <c r="Q5531" i="1"/>
  <c r="N5531" i="1"/>
  <c r="J5531" i="1"/>
  <c r="I5531" i="1"/>
  <c r="H5531" i="1"/>
  <c r="G5531" i="1"/>
  <c r="F5531" i="1"/>
  <c r="E5531" i="1"/>
  <c r="D5531" i="1"/>
  <c r="C5531" i="1"/>
  <c r="A5531" i="1"/>
  <c r="R5530" i="1"/>
  <c r="Q5530" i="1"/>
  <c r="N5530" i="1"/>
  <c r="J5530" i="1"/>
  <c r="I5530" i="1"/>
  <c r="H5530" i="1"/>
  <c r="G5530" i="1"/>
  <c r="F5530" i="1"/>
  <c r="E5530" i="1"/>
  <c r="D5530" i="1"/>
  <c r="C5530" i="1"/>
  <c r="A5530" i="1"/>
  <c r="R5529" i="1"/>
  <c r="Q5529" i="1"/>
  <c r="N5529" i="1"/>
  <c r="J5529" i="1"/>
  <c r="I5529" i="1"/>
  <c r="H5529" i="1"/>
  <c r="G5529" i="1"/>
  <c r="F5529" i="1"/>
  <c r="E5529" i="1"/>
  <c r="D5529" i="1"/>
  <c r="C5529" i="1"/>
  <c r="A5529" i="1"/>
  <c r="R5528" i="1"/>
  <c r="Q5528" i="1"/>
  <c r="N5528" i="1"/>
  <c r="J5528" i="1"/>
  <c r="I5528" i="1"/>
  <c r="H5528" i="1"/>
  <c r="G5528" i="1"/>
  <c r="F5528" i="1"/>
  <c r="E5528" i="1"/>
  <c r="D5528" i="1"/>
  <c r="C5528" i="1"/>
  <c r="A5528" i="1"/>
  <c r="R5527" i="1"/>
  <c r="Q5527" i="1"/>
  <c r="N5527" i="1"/>
  <c r="J5527" i="1"/>
  <c r="I5527" i="1"/>
  <c r="H5527" i="1"/>
  <c r="G5527" i="1"/>
  <c r="F5527" i="1"/>
  <c r="E5527" i="1"/>
  <c r="D5527" i="1"/>
  <c r="C5527" i="1"/>
  <c r="A5527" i="1"/>
  <c r="R5526" i="1"/>
  <c r="Q5526" i="1"/>
  <c r="N5526" i="1"/>
  <c r="J5526" i="1"/>
  <c r="I5526" i="1"/>
  <c r="H5526" i="1"/>
  <c r="G5526" i="1"/>
  <c r="F5526" i="1"/>
  <c r="E5526" i="1"/>
  <c r="D5526" i="1"/>
  <c r="C5526" i="1"/>
  <c r="A5526" i="1"/>
  <c r="R5525" i="1"/>
  <c r="Q5525" i="1"/>
  <c r="N5525" i="1"/>
  <c r="J5525" i="1"/>
  <c r="I5525" i="1"/>
  <c r="H5525" i="1"/>
  <c r="G5525" i="1"/>
  <c r="F5525" i="1"/>
  <c r="E5525" i="1"/>
  <c r="D5525" i="1"/>
  <c r="C5525" i="1"/>
  <c r="A5525" i="1"/>
  <c r="R5524" i="1"/>
  <c r="Q5524" i="1"/>
  <c r="N5524" i="1"/>
  <c r="J5524" i="1"/>
  <c r="I5524" i="1"/>
  <c r="H5524" i="1"/>
  <c r="G5524" i="1"/>
  <c r="F5524" i="1"/>
  <c r="E5524" i="1"/>
  <c r="D5524" i="1"/>
  <c r="C5524" i="1"/>
  <c r="A5524" i="1"/>
  <c r="R5523" i="1"/>
  <c r="Q5523" i="1"/>
  <c r="N5523" i="1"/>
  <c r="J5523" i="1"/>
  <c r="I5523" i="1"/>
  <c r="H5523" i="1"/>
  <c r="G5523" i="1"/>
  <c r="F5523" i="1"/>
  <c r="E5523" i="1"/>
  <c r="D5523" i="1"/>
  <c r="C5523" i="1"/>
  <c r="A5523" i="1"/>
  <c r="R5522" i="1"/>
  <c r="Q5522" i="1"/>
  <c r="N5522" i="1"/>
  <c r="J5522" i="1"/>
  <c r="I5522" i="1"/>
  <c r="H5522" i="1"/>
  <c r="G5522" i="1"/>
  <c r="F5522" i="1"/>
  <c r="E5522" i="1"/>
  <c r="D5522" i="1"/>
  <c r="C5522" i="1"/>
  <c r="A5522" i="1"/>
  <c r="R5521" i="1"/>
  <c r="Q5521" i="1"/>
  <c r="N5521" i="1"/>
  <c r="J5521" i="1"/>
  <c r="I5521" i="1"/>
  <c r="H5521" i="1"/>
  <c r="G5521" i="1"/>
  <c r="F5521" i="1"/>
  <c r="E5521" i="1"/>
  <c r="D5521" i="1"/>
  <c r="C5521" i="1"/>
  <c r="A5521" i="1"/>
  <c r="R5520" i="1"/>
  <c r="Q5520" i="1"/>
  <c r="N5520" i="1"/>
  <c r="J5520" i="1"/>
  <c r="I5520" i="1"/>
  <c r="H5520" i="1"/>
  <c r="G5520" i="1"/>
  <c r="F5520" i="1"/>
  <c r="E5520" i="1"/>
  <c r="D5520" i="1"/>
  <c r="C5520" i="1"/>
  <c r="A5520" i="1"/>
  <c r="R5519" i="1"/>
  <c r="Q5519" i="1"/>
  <c r="N5519" i="1"/>
  <c r="J5519" i="1"/>
  <c r="I5519" i="1"/>
  <c r="H5519" i="1"/>
  <c r="G5519" i="1"/>
  <c r="F5519" i="1"/>
  <c r="E5519" i="1"/>
  <c r="D5519" i="1"/>
  <c r="C5519" i="1"/>
  <c r="A5519" i="1"/>
  <c r="R5518" i="1"/>
  <c r="N5518" i="1"/>
  <c r="J5518" i="1"/>
  <c r="I5518" i="1"/>
  <c r="H5518" i="1"/>
  <c r="G5518" i="1"/>
  <c r="F5518" i="1"/>
  <c r="E5518" i="1"/>
  <c r="D5518" i="1"/>
  <c r="C5518" i="1"/>
  <c r="A5518" i="1"/>
  <c r="R5517" i="1"/>
  <c r="Q5517" i="1"/>
  <c r="N5517" i="1"/>
  <c r="J5517" i="1"/>
  <c r="I5517" i="1"/>
  <c r="H5517" i="1"/>
  <c r="G5517" i="1"/>
  <c r="F5517" i="1"/>
  <c r="E5517" i="1"/>
  <c r="D5517" i="1"/>
  <c r="C5517" i="1"/>
  <c r="A5517" i="1"/>
  <c r="R5516" i="1"/>
  <c r="Q5516" i="1"/>
  <c r="N5516" i="1"/>
  <c r="J5516" i="1"/>
  <c r="I5516" i="1"/>
  <c r="H5516" i="1"/>
  <c r="G5516" i="1"/>
  <c r="F5516" i="1"/>
  <c r="E5516" i="1"/>
  <c r="D5516" i="1"/>
  <c r="C5516" i="1"/>
  <c r="A5516" i="1"/>
  <c r="R5515" i="1"/>
  <c r="Q5515" i="1"/>
  <c r="N5515" i="1"/>
  <c r="J5515" i="1"/>
  <c r="I5515" i="1"/>
  <c r="H5515" i="1"/>
  <c r="G5515" i="1"/>
  <c r="F5515" i="1"/>
  <c r="E5515" i="1"/>
  <c r="D5515" i="1"/>
  <c r="C5515" i="1"/>
  <c r="A5515" i="1"/>
  <c r="R5514" i="1"/>
  <c r="Q5514" i="1"/>
  <c r="N5514" i="1"/>
  <c r="J5514" i="1"/>
  <c r="I5514" i="1"/>
  <c r="H5514" i="1"/>
  <c r="G5514" i="1"/>
  <c r="F5514" i="1"/>
  <c r="E5514" i="1"/>
  <c r="D5514" i="1"/>
  <c r="C5514" i="1"/>
  <c r="A5514" i="1"/>
  <c r="R5513" i="1"/>
  <c r="Q5513" i="1"/>
  <c r="N5513" i="1"/>
  <c r="J5513" i="1"/>
  <c r="I5513" i="1"/>
  <c r="H5513" i="1"/>
  <c r="G5513" i="1"/>
  <c r="F5513" i="1"/>
  <c r="E5513" i="1"/>
  <c r="D5513" i="1"/>
  <c r="C5513" i="1"/>
  <c r="A5513" i="1"/>
  <c r="R5512" i="1"/>
  <c r="Q5512" i="1"/>
  <c r="N5512" i="1"/>
  <c r="J5512" i="1"/>
  <c r="I5512" i="1"/>
  <c r="H5512" i="1"/>
  <c r="G5512" i="1"/>
  <c r="F5512" i="1"/>
  <c r="E5512" i="1"/>
  <c r="D5512" i="1"/>
  <c r="C5512" i="1"/>
  <c r="A5512" i="1"/>
  <c r="R5511" i="1"/>
  <c r="Q5511" i="1"/>
  <c r="N5511" i="1"/>
  <c r="J5511" i="1"/>
  <c r="I5511" i="1"/>
  <c r="H5511" i="1"/>
  <c r="G5511" i="1"/>
  <c r="F5511" i="1"/>
  <c r="E5511" i="1"/>
  <c r="D5511" i="1"/>
  <c r="C5511" i="1"/>
  <c r="A5511" i="1"/>
  <c r="R5510" i="1"/>
  <c r="Q5510" i="1"/>
  <c r="N5510" i="1"/>
  <c r="J5510" i="1"/>
  <c r="I5510" i="1"/>
  <c r="H5510" i="1"/>
  <c r="G5510" i="1"/>
  <c r="F5510" i="1"/>
  <c r="E5510" i="1"/>
  <c r="D5510" i="1"/>
  <c r="C5510" i="1"/>
  <c r="A5510" i="1"/>
  <c r="R5509" i="1"/>
  <c r="Q5509" i="1"/>
  <c r="N5509" i="1"/>
  <c r="J5509" i="1"/>
  <c r="I5509" i="1"/>
  <c r="H5509" i="1"/>
  <c r="G5509" i="1"/>
  <c r="F5509" i="1"/>
  <c r="E5509" i="1"/>
  <c r="D5509" i="1"/>
  <c r="C5509" i="1"/>
  <c r="A5509" i="1"/>
  <c r="R5508" i="1"/>
  <c r="Q5508" i="1"/>
  <c r="N5508" i="1"/>
  <c r="J5508" i="1"/>
  <c r="I5508" i="1"/>
  <c r="H5508" i="1"/>
  <c r="G5508" i="1"/>
  <c r="F5508" i="1"/>
  <c r="E5508" i="1"/>
  <c r="D5508" i="1"/>
  <c r="C5508" i="1"/>
  <c r="A5508" i="1"/>
  <c r="R5507" i="1"/>
  <c r="Q5507" i="1"/>
  <c r="N5507" i="1"/>
  <c r="J5507" i="1"/>
  <c r="I5507" i="1"/>
  <c r="H5507" i="1"/>
  <c r="G5507" i="1"/>
  <c r="F5507" i="1"/>
  <c r="E5507" i="1"/>
  <c r="D5507" i="1"/>
  <c r="C5507" i="1"/>
  <c r="A5507" i="1"/>
  <c r="R5506" i="1"/>
  <c r="Q5506" i="1"/>
  <c r="N5506" i="1"/>
  <c r="J5506" i="1"/>
  <c r="I5506" i="1"/>
  <c r="H5506" i="1"/>
  <c r="G5506" i="1"/>
  <c r="F5506" i="1"/>
  <c r="E5506" i="1"/>
  <c r="D5506" i="1"/>
  <c r="C5506" i="1"/>
  <c r="A5506" i="1"/>
  <c r="R5505" i="1"/>
  <c r="N5505" i="1"/>
  <c r="J5505" i="1"/>
  <c r="I5505" i="1"/>
  <c r="H5505" i="1"/>
  <c r="G5505" i="1"/>
  <c r="F5505" i="1"/>
  <c r="E5505" i="1"/>
  <c r="D5505" i="1"/>
  <c r="C5505" i="1"/>
  <c r="B5505" i="1"/>
  <c r="A5505" i="1"/>
  <c r="R5504" i="1"/>
  <c r="Q5504" i="1"/>
  <c r="N5504" i="1"/>
  <c r="J5504" i="1"/>
  <c r="I5504" i="1"/>
  <c r="H5504" i="1"/>
  <c r="G5504" i="1"/>
  <c r="F5504" i="1"/>
  <c r="E5504" i="1"/>
  <c r="D5504" i="1"/>
  <c r="C5504" i="1"/>
  <c r="B5504" i="1"/>
  <c r="A5504" i="1"/>
  <c r="R5503" i="1"/>
  <c r="N5503" i="1"/>
  <c r="J5503" i="1"/>
  <c r="I5503" i="1"/>
  <c r="H5503" i="1"/>
  <c r="G5503" i="1"/>
  <c r="F5503" i="1"/>
  <c r="E5503" i="1"/>
  <c r="D5503" i="1"/>
  <c r="C5503" i="1"/>
  <c r="B5503" i="1"/>
  <c r="A5503" i="1"/>
  <c r="R5502" i="1"/>
  <c r="N5502" i="1"/>
  <c r="J5502" i="1"/>
  <c r="I5502" i="1"/>
  <c r="H5502" i="1"/>
  <c r="G5502" i="1"/>
  <c r="F5502" i="1"/>
  <c r="E5502" i="1"/>
  <c r="D5502" i="1"/>
  <c r="C5502" i="1"/>
  <c r="B5502" i="1"/>
  <c r="A5502" i="1"/>
  <c r="R5501" i="1"/>
  <c r="N5501" i="1"/>
  <c r="J5501" i="1"/>
  <c r="I5501" i="1"/>
  <c r="H5501" i="1"/>
  <c r="G5501" i="1"/>
  <c r="F5501" i="1"/>
  <c r="E5501" i="1"/>
  <c r="D5501" i="1"/>
  <c r="C5501" i="1"/>
  <c r="B5501" i="1"/>
  <c r="A5501" i="1"/>
  <c r="R5500" i="1"/>
  <c r="Q5500" i="1"/>
  <c r="N5500" i="1"/>
  <c r="J5500" i="1"/>
  <c r="I5500" i="1"/>
  <c r="H5500" i="1"/>
  <c r="G5500" i="1"/>
  <c r="F5500" i="1"/>
  <c r="E5500" i="1"/>
  <c r="D5500" i="1"/>
  <c r="C5500" i="1"/>
  <c r="B5500" i="1"/>
  <c r="A5500" i="1"/>
  <c r="R5499" i="1"/>
  <c r="N5499" i="1"/>
  <c r="J5499" i="1"/>
  <c r="I5499" i="1"/>
  <c r="H5499" i="1"/>
  <c r="G5499" i="1"/>
  <c r="F5499" i="1"/>
  <c r="E5499" i="1"/>
  <c r="D5499" i="1"/>
  <c r="C5499" i="1"/>
  <c r="B5499" i="1"/>
  <c r="A5499" i="1"/>
  <c r="R5498" i="1"/>
  <c r="Q5498" i="1"/>
  <c r="N5498" i="1"/>
  <c r="J5498" i="1"/>
  <c r="I5498" i="1"/>
  <c r="H5498" i="1"/>
  <c r="G5498" i="1"/>
  <c r="F5498" i="1"/>
  <c r="E5498" i="1"/>
  <c r="D5498" i="1"/>
  <c r="C5498" i="1"/>
  <c r="B5498" i="1"/>
  <c r="A5498" i="1"/>
  <c r="R5497" i="1"/>
  <c r="N5497" i="1"/>
  <c r="J5497" i="1"/>
  <c r="I5497" i="1"/>
  <c r="H5497" i="1"/>
  <c r="G5497" i="1"/>
  <c r="F5497" i="1"/>
  <c r="E5497" i="1"/>
  <c r="D5497" i="1"/>
  <c r="C5497" i="1"/>
  <c r="B5497" i="1"/>
  <c r="A5497" i="1"/>
  <c r="R5496" i="1"/>
  <c r="Q5496" i="1"/>
  <c r="N5496" i="1"/>
  <c r="J5496" i="1"/>
  <c r="I5496" i="1"/>
  <c r="H5496" i="1"/>
  <c r="G5496" i="1"/>
  <c r="F5496" i="1"/>
  <c r="E5496" i="1"/>
  <c r="D5496" i="1"/>
  <c r="C5496" i="1"/>
  <c r="B5496" i="1"/>
  <c r="A5496" i="1"/>
  <c r="R5495" i="1"/>
  <c r="N5495" i="1"/>
  <c r="J5495" i="1"/>
  <c r="I5495" i="1"/>
  <c r="H5495" i="1"/>
  <c r="G5495" i="1"/>
  <c r="F5495" i="1"/>
  <c r="E5495" i="1"/>
  <c r="D5495" i="1"/>
  <c r="C5495" i="1"/>
  <c r="B5495" i="1"/>
  <c r="A5495" i="1"/>
  <c r="R5494" i="1"/>
  <c r="Q5494" i="1"/>
  <c r="N5494" i="1"/>
  <c r="J5494" i="1"/>
  <c r="I5494" i="1"/>
  <c r="H5494" i="1"/>
  <c r="G5494" i="1"/>
  <c r="F5494" i="1"/>
  <c r="E5494" i="1"/>
  <c r="D5494" i="1"/>
  <c r="C5494" i="1"/>
  <c r="B5494" i="1"/>
  <c r="A5494" i="1"/>
  <c r="R5493" i="1"/>
  <c r="N5493" i="1"/>
  <c r="J5493" i="1"/>
  <c r="I5493" i="1"/>
  <c r="H5493" i="1"/>
  <c r="G5493" i="1"/>
  <c r="F5493" i="1"/>
  <c r="E5493" i="1"/>
  <c r="D5493" i="1"/>
  <c r="C5493" i="1"/>
  <c r="B5493" i="1"/>
  <c r="A5493" i="1"/>
  <c r="R5492" i="1"/>
  <c r="Q5492" i="1"/>
  <c r="N5492" i="1"/>
  <c r="J5492" i="1"/>
  <c r="I5492" i="1"/>
  <c r="H5492" i="1"/>
  <c r="G5492" i="1"/>
  <c r="F5492" i="1"/>
  <c r="E5492" i="1"/>
  <c r="D5492" i="1"/>
  <c r="C5492" i="1"/>
  <c r="B5492" i="1"/>
  <c r="A5492" i="1"/>
  <c r="R5491" i="1"/>
  <c r="N5491" i="1"/>
  <c r="J5491" i="1"/>
  <c r="I5491" i="1"/>
  <c r="H5491" i="1"/>
  <c r="G5491" i="1"/>
  <c r="F5491" i="1"/>
  <c r="E5491" i="1"/>
  <c r="D5491" i="1"/>
  <c r="C5491" i="1"/>
  <c r="B5491" i="1"/>
  <c r="A5491" i="1"/>
  <c r="R5490" i="1"/>
  <c r="N5490" i="1"/>
  <c r="J5490" i="1"/>
  <c r="I5490" i="1"/>
  <c r="H5490" i="1"/>
  <c r="G5490" i="1"/>
  <c r="F5490" i="1"/>
  <c r="E5490" i="1"/>
  <c r="D5490" i="1"/>
  <c r="C5490" i="1"/>
  <c r="B5490" i="1"/>
  <c r="A5490" i="1"/>
  <c r="R5489" i="1"/>
  <c r="Q5489" i="1"/>
  <c r="N5489" i="1"/>
  <c r="J5489" i="1"/>
  <c r="I5489" i="1"/>
  <c r="H5489" i="1"/>
  <c r="G5489" i="1"/>
  <c r="F5489" i="1"/>
  <c r="E5489" i="1"/>
  <c r="D5489" i="1"/>
  <c r="C5489" i="1"/>
  <c r="B5489" i="1"/>
  <c r="A5489" i="1"/>
  <c r="R5488" i="1"/>
  <c r="N5488" i="1"/>
  <c r="J5488" i="1"/>
  <c r="I5488" i="1"/>
  <c r="H5488" i="1"/>
  <c r="G5488" i="1"/>
  <c r="F5488" i="1"/>
  <c r="E5488" i="1"/>
  <c r="D5488" i="1"/>
  <c r="C5488" i="1"/>
  <c r="B5488" i="1"/>
  <c r="A5488" i="1"/>
  <c r="R5487" i="1"/>
  <c r="Q5487" i="1"/>
  <c r="N5487" i="1"/>
  <c r="J5487" i="1"/>
  <c r="I5487" i="1"/>
  <c r="H5487" i="1"/>
  <c r="G5487" i="1"/>
  <c r="F5487" i="1"/>
  <c r="E5487" i="1"/>
  <c r="D5487" i="1"/>
  <c r="C5487" i="1"/>
  <c r="B5487" i="1"/>
  <c r="A5487" i="1"/>
  <c r="R5486" i="1"/>
  <c r="N5486" i="1"/>
  <c r="J5486" i="1"/>
  <c r="I5486" i="1"/>
  <c r="H5486" i="1"/>
  <c r="G5486" i="1"/>
  <c r="F5486" i="1"/>
  <c r="E5486" i="1"/>
  <c r="D5486" i="1"/>
  <c r="C5486" i="1"/>
  <c r="B5486" i="1"/>
  <c r="A5486" i="1"/>
  <c r="R5485" i="1"/>
  <c r="N5485" i="1"/>
  <c r="J5485" i="1"/>
  <c r="I5485" i="1"/>
  <c r="H5485" i="1"/>
  <c r="G5485" i="1"/>
  <c r="F5485" i="1"/>
  <c r="E5485" i="1"/>
  <c r="D5485" i="1"/>
  <c r="C5485" i="1"/>
  <c r="B5485" i="1"/>
  <c r="A5485" i="1"/>
  <c r="R5484" i="1"/>
  <c r="Q5484" i="1"/>
  <c r="N5484" i="1"/>
  <c r="J5484" i="1"/>
  <c r="I5484" i="1"/>
  <c r="H5484" i="1"/>
  <c r="G5484" i="1"/>
  <c r="F5484" i="1"/>
  <c r="E5484" i="1"/>
  <c r="D5484" i="1"/>
  <c r="C5484" i="1"/>
  <c r="B5484" i="1"/>
  <c r="A5484" i="1"/>
  <c r="R5483" i="1"/>
  <c r="N5483" i="1"/>
  <c r="J5483" i="1"/>
  <c r="I5483" i="1"/>
  <c r="H5483" i="1"/>
  <c r="G5483" i="1"/>
  <c r="F5483" i="1"/>
  <c r="E5483" i="1"/>
  <c r="D5483" i="1"/>
  <c r="C5483" i="1"/>
  <c r="B5483" i="1"/>
  <c r="A5483" i="1"/>
  <c r="R5482" i="1"/>
  <c r="Q5482" i="1"/>
  <c r="N5482" i="1"/>
  <c r="J5482" i="1"/>
  <c r="I5482" i="1"/>
  <c r="H5482" i="1"/>
  <c r="G5482" i="1"/>
  <c r="F5482" i="1"/>
  <c r="E5482" i="1"/>
  <c r="D5482" i="1"/>
  <c r="C5482" i="1"/>
  <c r="B5482" i="1"/>
  <c r="A5482" i="1"/>
  <c r="R5481" i="1"/>
  <c r="N5481" i="1"/>
  <c r="J5481" i="1"/>
  <c r="I5481" i="1"/>
  <c r="H5481" i="1"/>
  <c r="G5481" i="1"/>
  <c r="F5481" i="1"/>
  <c r="E5481" i="1"/>
  <c r="D5481" i="1"/>
  <c r="C5481" i="1"/>
  <c r="B5481" i="1"/>
  <c r="A5481" i="1"/>
  <c r="R5480" i="1"/>
  <c r="N5480" i="1"/>
  <c r="J5480" i="1"/>
  <c r="I5480" i="1"/>
  <c r="H5480" i="1"/>
  <c r="G5480" i="1"/>
  <c r="F5480" i="1"/>
  <c r="E5480" i="1"/>
  <c r="D5480" i="1"/>
  <c r="C5480" i="1"/>
  <c r="B5480" i="1"/>
  <c r="A5480" i="1"/>
  <c r="R5479" i="1"/>
  <c r="N5479" i="1"/>
  <c r="J5479" i="1"/>
  <c r="I5479" i="1"/>
  <c r="H5479" i="1"/>
  <c r="G5479" i="1"/>
  <c r="F5479" i="1"/>
  <c r="E5479" i="1"/>
  <c r="D5479" i="1"/>
  <c r="C5479" i="1"/>
  <c r="B5479" i="1"/>
  <c r="A5479" i="1"/>
  <c r="R5478" i="1"/>
  <c r="Q5478" i="1"/>
  <c r="N5478" i="1"/>
  <c r="J5478" i="1"/>
  <c r="I5478" i="1"/>
  <c r="H5478" i="1"/>
  <c r="G5478" i="1"/>
  <c r="F5478" i="1"/>
  <c r="E5478" i="1"/>
  <c r="D5478" i="1"/>
  <c r="C5478" i="1"/>
  <c r="B5478" i="1"/>
  <c r="A5478" i="1"/>
  <c r="R5477" i="1"/>
  <c r="N5477" i="1"/>
  <c r="J5477" i="1"/>
  <c r="I5477" i="1"/>
  <c r="H5477" i="1"/>
  <c r="G5477" i="1"/>
  <c r="F5477" i="1"/>
  <c r="E5477" i="1"/>
  <c r="D5477" i="1"/>
  <c r="C5477" i="1"/>
  <c r="B5477" i="1"/>
  <c r="A5477" i="1"/>
  <c r="R5476" i="1"/>
  <c r="N5476" i="1"/>
  <c r="J5476" i="1"/>
  <c r="I5476" i="1"/>
  <c r="H5476" i="1"/>
  <c r="G5476" i="1"/>
  <c r="F5476" i="1"/>
  <c r="E5476" i="1"/>
  <c r="D5476" i="1"/>
  <c r="C5476" i="1"/>
  <c r="B5476" i="1"/>
  <c r="A5476" i="1"/>
  <c r="R5475" i="1"/>
  <c r="Q5475" i="1"/>
  <c r="N5475" i="1"/>
  <c r="J5475" i="1"/>
  <c r="I5475" i="1"/>
  <c r="H5475" i="1"/>
  <c r="G5475" i="1"/>
  <c r="F5475" i="1"/>
  <c r="E5475" i="1"/>
  <c r="D5475" i="1"/>
  <c r="C5475" i="1"/>
  <c r="B5475" i="1"/>
  <c r="A5475" i="1"/>
  <c r="R5474" i="1"/>
  <c r="N5474" i="1"/>
  <c r="J5474" i="1"/>
  <c r="I5474" i="1"/>
  <c r="H5474" i="1"/>
  <c r="G5474" i="1"/>
  <c r="F5474" i="1"/>
  <c r="E5474" i="1"/>
  <c r="D5474" i="1"/>
  <c r="C5474" i="1"/>
  <c r="B5474" i="1"/>
  <c r="A5474" i="1"/>
  <c r="R5473" i="1"/>
  <c r="Q5473" i="1"/>
  <c r="N5473" i="1"/>
  <c r="J5473" i="1"/>
  <c r="I5473" i="1"/>
  <c r="H5473" i="1"/>
  <c r="G5473" i="1"/>
  <c r="F5473" i="1"/>
  <c r="E5473" i="1"/>
  <c r="D5473" i="1"/>
  <c r="C5473" i="1"/>
  <c r="B5473" i="1"/>
  <c r="A5473" i="1"/>
  <c r="R5472" i="1"/>
  <c r="N5472" i="1"/>
  <c r="J5472" i="1"/>
  <c r="I5472" i="1"/>
  <c r="H5472" i="1"/>
  <c r="G5472" i="1"/>
  <c r="F5472" i="1"/>
  <c r="E5472" i="1"/>
  <c r="D5472" i="1"/>
  <c r="C5472" i="1"/>
  <c r="B5472" i="1"/>
  <c r="A5472" i="1"/>
  <c r="R5471" i="1"/>
  <c r="Q5471" i="1"/>
  <c r="N5471" i="1"/>
  <c r="J5471" i="1"/>
  <c r="I5471" i="1"/>
  <c r="H5471" i="1"/>
  <c r="G5471" i="1"/>
  <c r="F5471" i="1"/>
  <c r="E5471" i="1"/>
  <c r="D5471" i="1"/>
  <c r="C5471" i="1"/>
  <c r="B5471" i="1"/>
  <c r="A5471" i="1"/>
  <c r="R5470" i="1"/>
  <c r="N5470" i="1"/>
  <c r="J5470" i="1"/>
  <c r="I5470" i="1"/>
  <c r="H5470" i="1"/>
  <c r="G5470" i="1"/>
  <c r="F5470" i="1"/>
  <c r="E5470" i="1"/>
  <c r="D5470" i="1"/>
  <c r="C5470" i="1"/>
  <c r="B5470" i="1"/>
  <c r="A5470" i="1"/>
  <c r="R5469" i="1"/>
  <c r="Q5469" i="1"/>
  <c r="N5469" i="1"/>
  <c r="J5469" i="1"/>
  <c r="I5469" i="1"/>
  <c r="H5469" i="1"/>
  <c r="G5469" i="1"/>
  <c r="F5469" i="1"/>
  <c r="E5469" i="1"/>
  <c r="D5469" i="1"/>
  <c r="C5469" i="1"/>
  <c r="B5469" i="1"/>
  <c r="A5469" i="1"/>
  <c r="R5468" i="1"/>
  <c r="N5468" i="1"/>
  <c r="J5468" i="1"/>
  <c r="I5468" i="1"/>
  <c r="H5468" i="1"/>
  <c r="G5468" i="1"/>
  <c r="F5468" i="1"/>
  <c r="E5468" i="1"/>
  <c r="D5468" i="1"/>
  <c r="C5468" i="1"/>
  <c r="B5468" i="1"/>
  <c r="A5468" i="1"/>
  <c r="R5467" i="1"/>
  <c r="Q5467" i="1"/>
  <c r="N5467" i="1"/>
  <c r="J5467" i="1"/>
  <c r="I5467" i="1"/>
  <c r="H5467" i="1"/>
  <c r="G5467" i="1"/>
  <c r="F5467" i="1"/>
  <c r="E5467" i="1"/>
  <c r="D5467" i="1"/>
  <c r="C5467" i="1"/>
  <c r="B5467" i="1"/>
  <c r="A5467" i="1"/>
  <c r="R5466" i="1"/>
  <c r="N5466" i="1"/>
  <c r="J5466" i="1"/>
  <c r="I5466" i="1"/>
  <c r="H5466" i="1"/>
  <c r="G5466" i="1"/>
  <c r="F5466" i="1"/>
  <c r="E5466" i="1"/>
  <c r="D5466" i="1"/>
  <c r="C5466" i="1"/>
  <c r="B5466" i="1"/>
  <c r="A5466" i="1"/>
  <c r="R5465" i="1"/>
  <c r="Q5465" i="1"/>
  <c r="N5465" i="1"/>
  <c r="J5465" i="1"/>
  <c r="I5465" i="1"/>
  <c r="H5465" i="1"/>
  <c r="G5465" i="1"/>
  <c r="F5465" i="1"/>
  <c r="E5465" i="1"/>
  <c r="D5465" i="1"/>
  <c r="C5465" i="1"/>
  <c r="B5465" i="1"/>
  <c r="A5465" i="1"/>
  <c r="R5464" i="1"/>
  <c r="N5464" i="1"/>
  <c r="J5464" i="1"/>
  <c r="I5464" i="1"/>
  <c r="H5464" i="1"/>
  <c r="G5464" i="1"/>
  <c r="F5464" i="1"/>
  <c r="E5464" i="1"/>
  <c r="D5464" i="1"/>
  <c r="C5464" i="1"/>
  <c r="B5464" i="1"/>
  <c r="A5464" i="1"/>
  <c r="R5463" i="1"/>
  <c r="Q5463" i="1"/>
  <c r="N5463" i="1"/>
  <c r="J5463" i="1"/>
  <c r="I5463" i="1"/>
  <c r="H5463" i="1"/>
  <c r="G5463" i="1"/>
  <c r="F5463" i="1"/>
  <c r="E5463" i="1"/>
  <c r="D5463" i="1"/>
  <c r="C5463" i="1"/>
  <c r="B5463" i="1"/>
  <c r="A5463" i="1"/>
  <c r="R5462" i="1"/>
  <c r="N5462" i="1"/>
  <c r="J5462" i="1"/>
  <c r="I5462" i="1"/>
  <c r="H5462" i="1"/>
  <c r="G5462" i="1"/>
  <c r="F5462" i="1"/>
  <c r="E5462" i="1"/>
  <c r="D5462" i="1"/>
  <c r="C5462" i="1"/>
  <c r="B5462" i="1"/>
  <c r="A5462" i="1"/>
  <c r="R5461" i="1"/>
  <c r="Q5461" i="1"/>
  <c r="N5461" i="1"/>
  <c r="J5461" i="1"/>
  <c r="I5461" i="1"/>
  <c r="H5461" i="1"/>
  <c r="G5461" i="1"/>
  <c r="F5461" i="1"/>
  <c r="E5461" i="1"/>
  <c r="D5461" i="1"/>
  <c r="C5461" i="1"/>
  <c r="B5461" i="1"/>
  <c r="A5461" i="1"/>
  <c r="R5460" i="1"/>
  <c r="N5460" i="1"/>
  <c r="J5460" i="1"/>
  <c r="I5460" i="1"/>
  <c r="H5460" i="1"/>
  <c r="G5460" i="1"/>
  <c r="F5460" i="1"/>
  <c r="E5460" i="1"/>
  <c r="D5460" i="1"/>
  <c r="C5460" i="1"/>
  <c r="B5460" i="1"/>
  <c r="A5460" i="1"/>
  <c r="R5459" i="1"/>
  <c r="Q5459" i="1"/>
  <c r="N5459" i="1"/>
  <c r="J5459" i="1"/>
  <c r="I5459" i="1"/>
  <c r="H5459" i="1"/>
  <c r="G5459" i="1"/>
  <c r="F5459" i="1"/>
  <c r="E5459" i="1"/>
  <c r="D5459" i="1"/>
  <c r="C5459" i="1"/>
  <c r="B5459" i="1"/>
  <c r="A5459" i="1"/>
  <c r="R5458" i="1"/>
  <c r="N5458" i="1"/>
  <c r="J5458" i="1"/>
  <c r="I5458" i="1"/>
  <c r="H5458" i="1"/>
  <c r="G5458" i="1"/>
  <c r="F5458" i="1"/>
  <c r="E5458" i="1"/>
  <c r="D5458" i="1"/>
  <c r="C5458" i="1"/>
  <c r="B5458" i="1"/>
  <c r="A5458" i="1"/>
  <c r="R5457" i="1"/>
  <c r="Q5457" i="1"/>
  <c r="N5457" i="1"/>
  <c r="J5457" i="1"/>
  <c r="I5457" i="1"/>
  <c r="H5457" i="1"/>
  <c r="G5457" i="1"/>
  <c r="F5457" i="1"/>
  <c r="E5457" i="1"/>
  <c r="D5457" i="1"/>
  <c r="C5457" i="1"/>
  <c r="B5457" i="1"/>
  <c r="A5457" i="1"/>
  <c r="R5456" i="1"/>
  <c r="N5456" i="1"/>
  <c r="J5456" i="1"/>
  <c r="I5456" i="1"/>
  <c r="H5456" i="1"/>
  <c r="G5456" i="1"/>
  <c r="F5456" i="1"/>
  <c r="E5456" i="1"/>
  <c r="D5456" i="1"/>
  <c r="C5456" i="1"/>
  <c r="B5456" i="1"/>
  <c r="A5456" i="1"/>
  <c r="R5455" i="1"/>
  <c r="Q5455" i="1"/>
  <c r="N5455" i="1"/>
  <c r="J5455" i="1"/>
  <c r="I5455" i="1"/>
  <c r="H5455" i="1"/>
  <c r="G5455" i="1"/>
  <c r="F5455" i="1"/>
  <c r="E5455" i="1"/>
  <c r="D5455" i="1"/>
  <c r="C5455" i="1"/>
  <c r="B5455" i="1"/>
  <c r="A5455" i="1"/>
  <c r="R5454" i="1"/>
  <c r="N5454" i="1"/>
  <c r="J5454" i="1"/>
  <c r="I5454" i="1"/>
  <c r="H5454" i="1"/>
  <c r="G5454" i="1"/>
  <c r="F5454" i="1"/>
  <c r="E5454" i="1"/>
  <c r="D5454" i="1"/>
  <c r="C5454" i="1"/>
  <c r="B5454" i="1"/>
  <c r="A5454" i="1"/>
  <c r="R5453" i="1"/>
  <c r="Q5453" i="1"/>
  <c r="N5453" i="1"/>
  <c r="J5453" i="1"/>
  <c r="I5453" i="1"/>
  <c r="H5453" i="1"/>
  <c r="G5453" i="1"/>
  <c r="F5453" i="1"/>
  <c r="E5453" i="1"/>
  <c r="D5453" i="1"/>
  <c r="C5453" i="1"/>
  <c r="B5453" i="1"/>
  <c r="A5453" i="1"/>
  <c r="R5452" i="1"/>
  <c r="N5452" i="1"/>
  <c r="J5452" i="1"/>
  <c r="I5452" i="1"/>
  <c r="H5452" i="1"/>
  <c r="G5452" i="1"/>
  <c r="F5452" i="1"/>
  <c r="E5452" i="1"/>
  <c r="D5452" i="1"/>
  <c r="C5452" i="1"/>
  <c r="B5452" i="1"/>
  <c r="A5452" i="1"/>
  <c r="R5451" i="1"/>
  <c r="Q5451" i="1"/>
  <c r="N5451" i="1"/>
  <c r="J5451" i="1"/>
  <c r="I5451" i="1"/>
  <c r="H5451" i="1"/>
  <c r="G5451" i="1"/>
  <c r="F5451" i="1"/>
  <c r="E5451" i="1"/>
  <c r="D5451" i="1"/>
  <c r="C5451" i="1"/>
  <c r="B5451" i="1"/>
  <c r="A5451" i="1"/>
  <c r="R5450" i="1"/>
  <c r="N5450" i="1"/>
  <c r="J5450" i="1"/>
  <c r="I5450" i="1"/>
  <c r="H5450" i="1"/>
  <c r="G5450" i="1"/>
  <c r="F5450" i="1"/>
  <c r="E5450" i="1"/>
  <c r="D5450" i="1"/>
  <c r="C5450" i="1"/>
  <c r="B5450" i="1"/>
  <c r="A5450" i="1"/>
  <c r="R5449" i="1"/>
  <c r="Q5449" i="1"/>
  <c r="N5449" i="1"/>
  <c r="J5449" i="1"/>
  <c r="I5449" i="1"/>
  <c r="H5449" i="1"/>
  <c r="G5449" i="1"/>
  <c r="F5449" i="1"/>
  <c r="E5449" i="1"/>
  <c r="D5449" i="1"/>
  <c r="C5449" i="1"/>
  <c r="B5449" i="1"/>
  <c r="A5449" i="1"/>
  <c r="R5448" i="1"/>
  <c r="N5448" i="1"/>
  <c r="J5448" i="1"/>
  <c r="I5448" i="1"/>
  <c r="H5448" i="1"/>
  <c r="G5448" i="1"/>
  <c r="F5448" i="1"/>
  <c r="E5448" i="1"/>
  <c r="D5448" i="1"/>
  <c r="C5448" i="1"/>
  <c r="B5448" i="1"/>
  <c r="A5448" i="1"/>
  <c r="R5447" i="1"/>
  <c r="Q5447" i="1"/>
  <c r="N5447" i="1"/>
  <c r="J5447" i="1"/>
  <c r="I5447" i="1"/>
  <c r="H5447" i="1"/>
  <c r="G5447" i="1"/>
  <c r="F5447" i="1"/>
  <c r="E5447" i="1"/>
  <c r="D5447" i="1"/>
  <c r="C5447" i="1"/>
  <c r="B5447" i="1"/>
  <c r="A5447" i="1"/>
  <c r="R5446" i="1"/>
  <c r="N5446" i="1"/>
  <c r="J5446" i="1"/>
  <c r="I5446" i="1"/>
  <c r="H5446" i="1"/>
  <c r="G5446" i="1"/>
  <c r="F5446" i="1"/>
  <c r="E5446" i="1"/>
  <c r="D5446" i="1"/>
  <c r="C5446" i="1"/>
  <c r="B5446" i="1"/>
  <c r="A5446" i="1"/>
  <c r="R5445" i="1"/>
  <c r="Q5445" i="1"/>
  <c r="N5445" i="1"/>
  <c r="J5445" i="1"/>
  <c r="I5445" i="1"/>
  <c r="H5445" i="1"/>
  <c r="G5445" i="1"/>
  <c r="F5445" i="1"/>
  <c r="E5445" i="1"/>
  <c r="D5445" i="1"/>
  <c r="C5445" i="1"/>
  <c r="A5445" i="1"/>
  <c r="R5444" i="1"/>
  <c r="N5444" i="1"/>
  <c r="J5444" i="1"/>
  <c r="I5444" i="1"/>
  <c r="H5444" i="1"/>
  <c r="G5444" i="1"/>
  <c r="F5444" i="1"/>
  <c r="E5444" i="1"/>
  <c r="D5444" i="1"/>
  <c r="C5444" i="1"/>
  <c r="A5444" i="1"/>
  <c r="R5443" i="1"/>
  <c r="Q5443" i="1"/>
  <c r="N5443" i="1"/>
  <c r="J5443" i="1"/>
  <c r="I5443" i="1"/>
  <c r="H5443" i="1"/>
  <c r="G5443" i="1"/>
  <c r="F5443" i="1"/>
  <c r="E5443" i="1"/>
  <c r="D5443" i="1"/>
  <c r="C5443" i="1"/>
  <c r="A5443" i="1"/>
  <c r="R5442" i="1"/>
  <c r="N5442" i="1"/>
  <c r="J5442" i="1"/>
  <c r="I5442" i="1"/>
  <c r="H5442" i="1"/>
  <c r="G5442" i="1"/>
  <c r="F5442" i="1"/>
  <c r="E5442" i="1"/>
  <c r="D5442" i="1"/>
  <c r="C5442" i="1"/>
  <c r="A5442" i="1"/>
  <c r="R5441" i="1"/>
  <c r="Q5441" i="1"/>
  <c r="N5441" i="1"/>
  <c r="J5441" i="1"/>
  <c r="I5441" i="1"/>
  <c r="H5441" i="1"/>
  <c r="G5441" i="1"/>
  <c r="F5441" i="1"/>
  <c r="E5441" i="1"/>
  <c r="D5441" i="1"/>
  <c r="C5441" i="1"/>
  <c r="A5441" i="1"/>
  <c r="R5440" i="1"/>
  <c r="N5440" i="1"/>
  <c r="J5440" i="1"/>
  <c r="I5440" i="1"/>
  <c r="H5440" i="1"/>
  <c r="G5440" i="1"/>
  <c r="F5440" i="1"/>
  <c r="E5440" i="1"/>
  <c r="D5440" i="1"/>
  <c r="C5440" i="1"/>
  <c r="A5440" i="1"/>
  <c r="R5439" i="1"/>
  <c r="Q5439" i="1"/>
  <c r="N5439" i="1"/>
  <c r="J5439" i="1"/>
  <c r="I5439" i="1"/>
  <c r="H5439" i="1"/>
  <c r="G5439" i="1"/>
  <c r="F5439" i="1"/>
  <c r="E5439" i="1"/>
  <c r="D5439" i="1"/>
  <c r="C5439" i="1"/>
  <c r="A5439" i="1"/>
  <c r="R5438" i="1"/>
  <c r="N5438" i="1"/>
  <c r="J5438" i="1"/>
  <c r="I5438" i="1"/>
  <c r="H5438" i="1"/>
  <c r="G5438" i="1"/>
  <c r="F5438" i="1"/>
  <c r="E5438" i="1"/>
  <c r="D5438" i="1"/>
  <c r="C5438" i="1"/>
  <c r="A5438" i="1"/>
  <c r="R5437" i="1"/>
  <c r="Q5437" i="1"/>
  <c r="N5437" i="1"/>
  <c r="J5437" i="1"/>
  <c r="I5437" i="1"/>
  <c r="H5437" i="1"/>
  <c r="G5437" i="1"/>
  <c r="F5437" i="1"/>
  <c r="E5437" i="1"/>
  <c r="D5437" i="1"/>
  <c r="C5437" i="1"/>
  <c r="A5437" i="1"/>
  <c r="R5436" i="1"/>
  <c r="N5436" i="1"/>
  <c r="J5436" i="1"/>
  <c r="I5436" i="1"/>
  <c r="H5436" i="1"/>
  <c r="G5436" i="1"/>
  <c r="F5436" i="1"/>
  <c r="E5436" i="1"/>
  <c r="D5436" i="1"/>
  <c r="C5436" i="1"/>
  <c r="A5436" i="1"/>
  <c r="R5435" i="1"/>
  <c r="Q5435" i="1"/>
  <c r="N5435" i="1"/>
  <c r="J5435" i="1"/>
  <c r="I5435" i="1"/>
  <c r="H5435" i="1"/>
  <c r="G5435" i="1"/>
  <c r="F5435" i="1"/>
  <c r="E5435" i="1"/>
  <c r="D5435" i="1"/>
  <c r="C5435" i="1"/>
  <c r="A5435" i="1"/>
  <c r="R5434" i="1"/>
  <c r="N5434" i="1"/>
  <c r="J5434" i="1"/>
  <c r="I5434" i="1"/>
  <c r="H5434" i="1"/>
  <c r="G5434" i="1"/>
  <c r="F5434" i="1"/>
  <c r="E5434" i="1"/>
  <c r="D5434" i="1"/>
  <c r="C5434" i="1"/>
  <c r="A5434" i="1"/>
  <c r="R5433" i="1"/>
  <c r="Q5433" i="1"/>
  <c r="N5433" i="1"/>
  <c r="J5433" i="1"/>
  <c r="I5433" i="1"/>
  <c r="H5433" i="1"/>
  <c r="G5433" i="1"/>
  <c r="F5433" i="1"/>
  <c r="E5433" i="1"/>
  <c r="D5433" i="1"/>
  <c r="C5433" i="1"/>
  <c r="A5433" i="1"/>
  <c r="R5432" i="1"/>
  <c r="N5432" i="1"/>
  <c r="J5432" i="1"/>
  <c r="I5432" i="1"/>
  <c r="H5432" i="1"/>
  <c r="G5432" i="1"/>
  <c r="F5432" i="1"/>
  <c r="E5432" i="1"/>
  <c r="D5432" i="1"/>
  <c r="C5432" i="1"/>
  <c r="A5432" i="1"/>
  <c r="R5431" i="1"/>
  <c r="Q5431" i="1"/>
  <c r="N5431" i="1"/>
  <c r="J5431" i="1"/>
  <c r="I5431" i="1"/>
  <c r="H5431" i="1"/>
  <c r="G5431" i="1"/>
  <c r="F5431" i="1"/>
  <c r="E5431" i="1"/>
  <c r="D5431" i="1"/>
  <c r="C5431" i="1"/>
  <c r="A5431" i="1"/>
  <c r="R5430" i="1"/>
  <c r="N5430" i="1"/>
  <c r="J5430" i="1"/>
  <c r="I5430" i="1"/>
  <c r="H5430" i="1"/>
  <c r="G5430" i="1"/>
  <c r="F5430" i="1"/>
  <c r="E5430" i="1"/>
  <c r="D5430" i="1"/>
  <c r="C5430" i="1"/>
  <c r="A5430" i="1"/>
  <c r="R5429" i="1"/>
  <c r="Q5429" i="1"/>
  <c r="N5429" i="1"/>
  <c r="J5429" i="1"/>
  <c r="I5429" i="1"/>
  <c r="H5429" i="1"/>
  <c r="G5429" i="1"/>
  <c r="F5429" i="1"/>
  <c r="E5429" i="1"/>
  <c r="D5429" i="1"/>
  <c r="C5429" i="1"/>
  <c r="A5429" i="1"/>
  <c r="R5428" i="1"/>
  <c r="N5428" i="1"/>
  <c r="J5428" i="1"/>
  <c r="I5428" i="1"/>
  <c r="H5428" i="1"/>
  <c r="G5428" i="1"/>
  <c r="F5428" i="1"/>
  <c r="E5428" i="1"/>
  <c r="D5428" i="1"/>
  <c r="C5428" i="1"/>
  <c r="A5428" i="1"/>
  <c r="R5427" i="1"/>
  <c r="Q5427" i="1"/>
  <c r="N5427" i="1"/>
  <c r="J5427" i="1"/>
  <c r="I5427" i="1"/>
  <c r="H5427" i="1"/>
  <c r="G5427" i="1"/>
  <c r="F5427" i="1"/>
  <c r="E5427" i="1"/>
  <c r="D5427" i="1"/>
  <c r="C5427" i="1"/>
  <c r="A5427" i="1"/>
  <c r="R5426" i="1"/>
  <c r="N5426" i="1"/>
  <c r="J5426" i="1"/>
  <c r="I5426" i="1"/>
  <c r="H5426" i="1"/>
  <c r="G5426" i="1"/>
  <c r="F5426" i="1"/>
  <c r="E5426" i="1"/>
  <c r="D5426" i="1"/>
  <c r="C5426" i="1"/>
  <c r="A5426" i="1"/>
  <c r="R5425" i="1"/>
  <c r="Q5425" i="1"/>
  <c r="N5425" i="1"/>
  <c r="J5425" i="1"/>
  <c r="I5425" i="1"/>
  <c r="H5425" i="1"/>
  <c r="G5425" i="1"/>
  <c r="F5425" i="1"/>
  <c r="E5425" i="1"/>
  <c r="D5425" i="1"/>
  <c r="C5425" i="1"/>
  <c r="A5425" i="1"/>
  <c r="R5424" i="1"/>
  <c r="N5424" i="1"/>
  <c r="J5424" i="1"/>
  <c r="I5424" i="1"/>
  <c r="H5424" i="1"/>
  <c r="G5424" i="1"/>
  <c r="F5424" i="1"/>
  <c r="E5424" i="1"/>
  <c r="D5424" i="1"/>
  <c r="C5424" i="1"/>
  <c r="A5424" i="1"/>
  <c r="R5423" i="1"/>
  <c r="Q5423" i="1"/>
  <c r="N5423" i="1"/>
  <c r="J5423" i="1"/>
  <c r="I5423" i="1"/>
  <c r="H5423" i="1"/>
  <c r="G5423" i="1"/>
  <c r="F5423" i="1"/>
  <c r="E5423" i="1"/>
  <c r="D5423" i="1"/>
  <c r="C5423" i="1"/>
  <c r="A5423" i="1"/>
  <c r="R5422" i="1"/>
  <c r="N5422" i="1"/>
  <c r="J5422" i="1"/>
  <c r="I5422" i="1"/>
  <c r="H5422" i="1"/>
  <c r="G5422" i="1"/>
  <c r="F5422" i="1"/>
  <c r="E5422" i="1"/>
  <c r="D5422" i="1"/>
  <c r="C5422" i="1"/>
  <c r="A5422" i="1"/>
  <c r="R5421" i="1"/>
  <c r="Q5421" i="1"/>
  <c r="N5421" i="1"/>
  <c r="J5421" i="1"/>
  <c r="I5421" i="1"/>
  <c r="H5421" i="1"/>
  <c r="G5421" i="1"/>
  <c r="F5421" i="1"/>
  <c r="E5421" i="1"/>
  <c r="D5421" i="1"/>
  <c r="C5421" i="1"/>
  <c r="A5421" i="1"/>
  <c r="R5420" i="1"/>
  <c r="N5420" i="1"/>
  <c r="J5420" i="1"/>
  <c r="I5420" i="1"/>
  <c r="H5420" i="1"/>
  <c r="G5420" i="1"/>
  <c r="F5420" i="1"/>
  <c r="E5420" i="1"/>
  <c r="D5420" i="1"/>
  <c r="C5420" i="1"/>
  <c r="A5420" i="1"/>
  <c r="R5419" i="1"/>
  <c r="Q5419" i="1"/>
  <c r="N5419" i="1"/>
  <c r="J5419" i="1"/>
  <c r="I5419" i="1"/>
  <c r="H5419" i="1"/>
  <c r="G5419" i="1"/>
  <c r="F5419" i="1"/>
  <c r="E5419" i="1"/>
  <c r="D5419" i="1"/>
  <c r="C5419" i="1"/>
  <c r="A5419" i="1"/>
  <c r="R5418" i="1"/>
  <c r="N5418" i="1"/>
  <c r="J5418" i="1"/>
  <c r="I5418" i="1"/>
  <c r="H5418" i="1"/>
  <c r="G5418" i="1"/>
  <c r="F5418" i="1"/>
  <c r="E5418" i="1"/>
  <c r="D5418" i="1"/>
  <c r="C5418" i="1"/>
  <c r="A5418" i="1"/>
  <c r="R5417" i="1"/>
  <c r="Q5417" i="1"/>
  <c r="N5417" i="1"/>
  <c r="J5417" i="1"/>
  <c r="I5417" i="1"/>
  <c r="H5417" i="1"/>
  <c r="G5417" i="1"/>
  <c r="F5417" i="1"/>
  <c r="E5417" i="1"/>
  <c r="D5417" i="1"/>
  <c r="C5417" i="1"/>
  <c r="A5417" i="1"/>
  <c r="R5416" i="1"/>
  <c r="Q5416" i="1"/>
  <c r="N5416" i="1"/>
  <c r="J5416" i="1"/>
  <c r="I5416" i="1"/>
  <c r="H5416" i="1"/>
  <c r="G5416" i="1"/>
  <c r="F5416" i="1"/>
  <c r="E5416" i="1"/>
  <c r="D5416" i="1"/>
  <c r="C5416" i="1"/>
  <c r="A5416" i="1"/>
  <c r="R5415" i="1"/>
  <c r="N5415" i="1"/>
  <c r="J5415" i="1"/>
  <c r="I5415" i="1"/>
  <c r="H5415" i="1"/>
  <c r="G5415" i="1"/>
  <c r="F5415" i="1"/>
  <c r="E5415" i="1"/>
  <c r="D5415" i="1"/>
  <c r="C5415" i="1"/>
  <c r="A5415" i="1"/>
  <c r="R5414" i="1"/>
  <c r="Q5414" i="1"/>
  <c r="N5414" i="1"/>
  <c r="J5414" i="1"/>
  <c r="I5414" i="1"/>
  <c r="H5414" i="1"/>
  <c r="G5414" i="1"/>
  <c r="F5414" i="1"/>
  <c r="E5414" i="1"/>
  <c r="D5414" i="1"/>
  <c r="C5414" i="1"/>
  <c r="A5414" i="1"/>
  <c r="R5413" i="1"/>
  <c r="N5413" i="1"/>
  <c r="J5413" i="1"/>
  <c r="I5413" i="1"/>
  <c r="H5413" i="1"/>
  <c r="G5413" i="1"/>
  <c r="F5413" i="1"/>
  <c r="E5413" i="1"/>
  <c r="D5413" i="1"/>
  <c r="C5413" i="1"/>
  <c r="B5413" i="1"/>
  <c r="A5413" i="1"/>
  <c r="R5412" i="1"/>
  <c r="Q5412" i="1"/>
  <c r="N5412" i="1"/>
  <c r="J5412" i="1"/>
  <c r="I5412" i="1"/>
  <c r="H5412" i="1"/>
  <c r="G5412" i="1"/>
  <c r="F5412" i="1"/>
  <c r="E5412" i="1"/>
  <c r="D5412" i="1"/>
  <c r="C5412" i="1"/>
  <c r="B5412" i="1"/>
  <c r="A5412" i="1"/>
  <c r="R5411" i="1"/>
  <c r="N5411" i="1"/>
  <c r="J5411" i="1"/>
  <c r="I5411" i="1"/>
  <c r="H5411" i="1"/>
  <c r="G5411" i="1"/>
  <c r="F5411" i="1"/>
  <c r="E5411" i="1"/>
  <c r="D5411" i="1"/>
  <c r="C5411" i="1"/>
  <c r="B5411" i="1"/>
  <c r="A5411" i="1"/>
  <c r="R5410" i="1"/>
  <c r="N5410" i="1"/>
  <c r="J5410" i="1"/>
  <c r="I5410" i="1"/>
  <c r="H5410" i="1"/>
  <c r="G5410" i="1"/>
  <c r="F5410" i="1"/>
  <c r="E5410" i="1"/>
  <c r="D5410" i="1"/>
  <c r="C5410" i="1"/>
  <c r="B5410" i="1"/>
  <c r="A5410" i="1"/>
  <c r="R5409" i="1"/>
  <c r="N5409" i="1"/>
  <c r="J5409" i="1"/>
  <c r="I5409" i="1"/>
  <c r="H5409" i="1"/>
  <c r="G5409" i="1"/>
  <c r="F5409" i="1"/>
  <c r="E5409" i="1"/>
  <c r="D5409" i="1"/>
  <c r="C5409" i="1"/>
  <c r="B5409" i="1"/>
  <c r="A5409" i="1"/>
  <c r="R5408" i="1"/>
  <c r="N5408" i="1"/>
  <c r="J5408" i="1"/>
  <c r="I5408" i="1"/>
  <c r="H5408" i="1"/>
  <c r="G5408" i="1"/>
  <c r="F5408" i="1"/>
  <c r="E5408" i="1"/>
  <c r="D5408" i="1"/>
  <c r="C5408" i="1"/>
  <c r="B5408" i="1"/>
  <c r="A5408" i="1"/>
  <c r="R5407" i="1"/>
  <c r="N5407" i="1"/>
  <c r="J5407" i="1"/>
  <c r="I5407" i="1"/>
  <c r="H5407" i="1"/>
  <c r="G5407" i="1"/>
  <c r="F5407" i="1"/>
  <c r="E5407" i="1"/>
  <c r="D5407" i="1"/>
  <c r="C5407" i="1"/>
  <c r="B5407" i="1"/>
  <c r="A5407" i="1"/>
  <c r="R5406" i="1"/>
  <c r="N5406" i="1"/>
  <c r="J5406" i="1"/>
  <c r="I5406" i="1"/>
  <c r="H5406" i="1"/>
  <c r="G5406" i="1"/>
  <c r="F5406" i="1"/>
  <c r="E5406" i="1"/>
  <c r="D5406" i="1"/>
  <c r="C5406" i="1"/>
  <c r="B5406" i="1"/>
  <c r="A5406" i="1"/>
  <c r="R5405" i="1"/>
  <c r="N5405" i="1"/>
  <c r="J5405" i="1"/>
  <c r="I5405" i="1"/>
  <c r="H5405" i="1"/>
  <c r="G5405" i="1"/>
  <c r="F5405" i="1"/>
  <c r="E5405" i="1"/>
  <c r="D5405" i="1"/>
  <c r="C5405" i="1"/>
  <c r="B5405" i="1"/>
  <c r="A5405" i="1"/>
  <c r="R5404" i="1"/>
  <c r="Q5404" i="1"/>
  <c r="N5404" i="1"/>
  <c r="J5404" i="1"/>
  <c r="I5404" i="1"/>
  <c r="H5404" i="1"/>
  <c r="G5404" i="1"/>
  <c r="F5404" i="1"/>
  <c r="E5404" i="1"/>
  <c r="D5404" i="1"/>
  <c r="C5404" i="1"/>
  <c r="A5404" i="1"/>
  <c r="R5403" i="1"/>
  <c r="N5403" i="1"/>
  <c r="J5403" i="1"/>
  <c r="I5403" i="1"/>
  <c r="H5403" i="1"/>
  <c r="G5403" i="1"/>
  <c r="F5403" i="1"/>
  <c r="E5403" i="1"/>
  <c r="D5403" i="1"/>
  <c r="C5403" i="1"/>
  <c r="A5403" i="1"/>
  <c r="R5402" i="1"/>
  <c r="Q5402" i="1"/>
  <c r="N5402" i="1"/>
  <c r="J5402" i="1"/>
  <c r="I5402" i="1"/>
  <c r="H5402" i="1"/>
  <c r="G5402" i="1"/>
  <c r="F5402" i="1"/>
  <c r="E5402" i="1"/>
  <c r="D5402" i="1"/>
  <c r="C5402" i="1"/>
  <c r="A5402" i="1"/>
  <c r="R5401" i="1"/>
  <c r="N5401" i="1"/>
  <c r="J5401" i="1"/>
  <c r="I5401" i="1"/>
  <c r="H5401" i="1"/>
  <c r="G5401" i="1"/>
  <c r="F5401" i="1"/>
  <c r="E5401" i="1"/>
  <c r="D5401" i="1"/>
  <c r="C5401" i="1"/>
  <c r="A5401" i="1"/>
  <c r="R5400" i="1"/>
  <c r="Q5400" i="1"/>
  <c r="N5400" i="1"/>
  <c r="J5400" i="1"/>
  <c r="I5400" i="1"/>
  <c r="H5400" i="1"/>
  <c r="G5400" i="1"/>
  <c r="F5400" i="1"/>
  <c r="E5400" i="1"/>
  <c r="D5400" i="1"/>
  <c r="C5400" i="1"/>
  <c r="A5400" i="1"/>
  <c r="R5399" i="1"/>
  <c r="Q5399" i="1"/>
  <c r="N5399" i="1"/>
  <c r="J5399" i="1"/>
  <c r="I5399" i="1"/>
  <c r="H5399" i="1"/>
  <c r="G5399" i="1"/>
  <c r="F5399" i="1"/>
  <c r="E5399" i="1"/>
  <c r="D5399" i="1"/>
  <c r="C5399" i="1"/>
  <c r="A5399" i="1"/>
  <c r="R5398" i="1"/>
  <c r="Q5398" i="1"/>
  <c r="N5398" i="1"/>
  <c r="J5398" i="1"/>
  <c r="I5398" i="1"/>
  <c r="H5398" i="1"/>
  <c r="G5398" i="1"/>
  <c r="F5398" i="1"/>
  <c r="E5398" i="1"/>
  <c r="D5398" i="1"/>
  <c r="C5398" i="1"/>
  <c r="A5398" i="1"/>
  <c r="R5397" i="1"/>
  <c r="Q5397" i="1"/>
  <c r="N5397" i="1"/>
  <c r="J5397" i="1"/>
  <c r="I5397" i="1"/>
  <c r="H5397" i="1"/>
  <c r="G5397" i="1"/>
  <c r="F5397" i="1"/>
  <c r="E5397" i="1"/>
  <c r="D5397" i="1"/>
  <c r="C5397" i="1"/>
  <c r="A5397" i="1"/>
  <c r="R5396" i="1"/>
  <c r="Q5396" i="1"/>
  <c r="N5396" i="1"/>
  <c r="J5396" i="1"/>
  <c r="I5396" i="1"/>
  <c r="H5396" i="1"/>
  <c r="G5396" i="1"/>
  <c r="F5396" i="1"/>
  <c r="E5396" i="1"/>
  <c r="D5396" i="1"/>
  <c r="C5396" i="1"/>
  <c r="A5396" i="1"/>
  <c r="R5395" i="1"/>
  <c r="Q5395" i="1"/>
  <c r="N5395" i="1"/>
  <c r="J5395" i="1"/>
  <c r="I5395" i="1"/>
  <c r="H5395" i="1"/>
  <c r="G5395" i="1"/>
  <c r="F5395" i="1"/>
  <c r="E5395" i="1"/>
  <c r="D5395" i="1"/>
  <c r="C5395" i="1"/>
  <c r="A5395" i="1"/>
  <c r="R5394" i="1"/>
  <c r="Q5394" i="1"/>
  <c r="N5394" i="1"/>
  <c r="J5394" i="1"/>
  <c r="I5394" i="1"/>
  <c r="H5394" i="1"/>
  <c r="G5394" i="1"/>
  <c r="F5394" i="1"/>
  <c r="E5394" i="1"/>
  <c r="D5394" i="1"/>
  <c r="C5394" i="1"/>
  <c r="A5394" i="1"/>
  <c r="R5393" i="1"/>
  <c r="Q5393" i="1"/>
  <c r="N5393" i="1"/>
  <c r="J5393" i="1"/>
  <c r="I5393" i="1"/>
  <c r="H5393" i="1"/>
  <c r="G5393" i="1"/>
  <c r="F5393" i="1"/>
  <c r="E5393" i="1"/>
  <c r="D5393" i="1"/>
  <c r="C5393" i="1"/>
  <c r="A5393" i="1"/>
  <c r="R5392" i="1"/>
  <c r="Q5392" i="1"/>
  <c r="N5392" i="1"/>
  <c r="J5392" i="1"/>
  <c r="I5392" i="1"/>
  <c r="H5392" i="1"/>
  <c r="G5392" i="1"/>
  <c r="F5392" i="1"/>
  <c r="E5392" i="1"/>
  <c r="D5392" i="1"/>
  <c r="C5392" i="1"/>
  <c r="A5392" i="1"/>
  <c r="R5391" i="1"/>
  <c r="Q5391" i="1"/>
  <c r="N5391" i="1"/>
  <c r="J5391" i="1"/>
  <c r="I5391" i="1"/>
  <c r="H5391" i="1"/>
  <c r="G5391" i="1"/>
  <c r="F5391" i="1"/>
  <c r="E5391" i="1"/>
  <c r="D5391" i="1"/>
  <c r="C5391" i="1"/>
  <c r="A5391" i="1"/>
  <c r="R5390" i="1"/>
  <c r="N5390" i="1"/>
  <c r="J5390" i="1"/>
  <c r="I5390" i="1"/>
  <c r="H5390" i="1"/>
  <c r="G5390" i="1"/>
  <c r="F5390" i="1"/>
  <c r="E5390" i="1"/>
  <c r="D5390" i="1"/>
  <c r="C5390" i="1"/>
  <c r="A5390" i="1"/>
  <c r="R5389" i="1"/>
  <c r="Q5389" i="1"/>
  <c r="N5389" i="1"/>
  <c r="J5389" i="1"/>
  <c r="I5389" i="1"/>
  <c r="H5389" i="1"/>
  <c r="G5389" i="1"/>
  <c r="F5389" i="1"/>
  <c r="E5389" i="1"/>
  <c r="D5389" i="1"/>
  <c r="C5389" i="1"/>
  <c r="A5389" i="1"/>
  <c r="R5388" i="1"/>
  <c r="Q5388" i="1"/>
  <c r="N5388" i="1"/>
  <c r="J5388" i="1"/>
  <c r="I5388" i="1"/>
  <c r="H5388" i="1"/>
  <c r="G5388" i="1"/>
  <c r="F5388" i="1"/>
  <c r="E5388" i="1"/>
  <c r="D5388" i="1"/>
  <c r="C5388" i="1"/>
  <c r="A5388" i="1"/>
  <c r="R5387" i="1"/>
  <c r="Q5387" i="1"/>
  <c r="N5387" i="1"/>
  <c r="J5387" i="1"/>
  <c r="I5387" i="1"/>
  <c r="H5387" i="1"/>
  <c r="G5387" i="1"/>
  <c r="F5387" i="1"/>
  <c r="E5387" i="1"/>
  <c r="D5387" i="1"/>
  <c r="C5387" i="1"/>
  <c r="A5387" i="1"/>
  <c r="R5386" i="1"/>
  <c r="Q5386" i="1"/>
  <c r="N5386" i="1"/>
  <c r="J5386" i="1"/>
  <c r="I5386" i="1"/>
  <c r="H5386" i="1"/>
  <c r="G5386" i="1"/>
  <c r="F5386" i="1"/>
  <c r="E5386" i="1"/>
  <c r="D5386" i="1"/>
  <c r="C5386" i="1"/>
  <c r="A5386" i="1"/>
  <c r="R5385" i="1"/>
  <c r="Q5385" i="1"/>
  <c r="N5385" i="1"/>
  <c r="J5385" i="1"/>
  <c r="I5385" i="1"/>
  <c r="H5385" i="1"/>
  <c r="G5385" i="1"/>
  <c r="F5385" i="1"/>
  <c r="E5385" i="1"/>
  <c r="D5385" i="1"/>
  <c r="C5385" i="1"/>
  <c r="A5385" i="1"/>
  <c r="R5384" i="1"/>
  <c r="Q5384" i="1"/>
  <c r="N5384" i="1"/>
  <c r="J5384" i="1"/>
  <c r="I5384" i="1"/>
  <c r="H5384" i="1"/>
  <c r="G5384" i="1"/>
  <c r="F5384" i="1"/>
  <c r="E5384" i="1"/>
  <c r="D5384" i="1"/>
  <c r="C5384" i="1"/>
  <c r="A5384" i="1"/>
  <c r="R5383" i="1"/>
  <c r="Q5383" i="1"/>
  <c r="N5383" i="1"/>
  <c r="J5383" i="1"/>
  <c r="I5383" i="1"/>
  <c r="H5383" i="1"/>
  <c r="G5383" i="1"/>
  <c r="F5383" i="1"/>
  <c r="E5383" i="1"/>
  <c r="D5383" i="1"/>
  <c r="C5383" i="1"/>
  <c r="A5383" i="1"/>
  <c r="R5382" i="1"/>
  <c r="Q5382" i="1"/>
  <c r="N5382" i="1"/>
  <c r="J5382" i="1"/>
  <c r="I5382" i="1"/>
  <c r="H5382" i="1"/>
  <c r="G5382" i="1"/>
  <c r="F5382" i="1"/>
  <c r="E5382" i="1"/>
  <c r="D5382" i="1"/>
  <c r="C5382" i="1"/>
  <c r="A5382" i="1"/>
  <c r="R5381" i="1"/>
  <c r="Q5381" i="1"/>
  <c r="N5381" i="1"/>
  <c r="J5381" i="1"/>
  <c r="I5381" i="1"/>
  <c r="H5381" i="1"/>
  <c r="G5381" i="1"/>
  <c r="F5381" i="1"/>
  <c r="E5381" i="1"/>
  <c r="D5381" i="1"/>
  <c r="C5381" i="1"/>
  <c r="A5381" i="1"/>
  <c r="R5380" i="1"/>
  <c r="Q5380" i="1"/>
  <c r="N5380" i="1"/>
  <c r="J5380" i="1"/>
  <c r="I5380" i="1"/>
  <c r="H5380" i="1"/>
  <c r="G5380" i="1"/>
  <c r="F5380" i="1"/>
  <c r="E5380" i="1"/>
  <c r="D5380" i="1"/>
  <c r="C5380" i="1"/>
  <c r="A5380" i="1"/>
  <c r="R5379" i="1"/>
  <c r="Q5379" i="1"/>
  <c r="N5379" i="1"/>
  <c r="J5379" i="1"/>
  <c r="I5379" i="1"/>
  <c r="H5379" i="1"/>
  <c r="G5379" i="1"/>
  <c r="F5379" i="1"/>
  <c r="E5379" i="1"/>
  <c r="D5379" i="1"/>
  <c r="C5379" i="1"/>
  <c r="A5379" i="1"/>
  <c r="R5378" i="1"/>
  <c r="Q5378" i="1"/>
  <c r="N5378" i="1"/>
  <c r="J5378" i="1"/>
  <c r="I5378" i="1"/>
  <c r="H5378" i="1"/>
  <c r="G5378" i="1"/>
  <c r="F5378" i="1"/>
  <c r="E5378" i="1"/>
  <c r="D5378" i="1"/>
  <c r="C5378" i="1"/>
  <c r="A5378" i="1"/>
  <c r="R5377" i="1"/>
  <c r="N5377" i="1"/>
  <c r="J5377" i="1"/>
  <c r="I5377" i="1"/>
  <c r="H5377" i="1"/>
  <c r="G5377" i="1"/>
  <c r="F5377" i="1"/>
  <c r="E5377" i="1"/>
  <c r="D5377" i="1"/>
  <c r="C5377" i="1"/>
  <c r="A5377" i="1"/>
  <c r="R5376" i="1"/>
  <c r="Q5376" i="1"/>
  <c r="N5376" i="1"/>
  <c r="J5376" i="1"/>
  <c r="I5376" i="1"/>
  <c r="H5376" i="1"/>
  <c r="G5376" i="1"/>
  <c r="F5376" i="1"/>
  <c r="E5376" i="1"/>
  <c r="D5376" i="1"/>
  <c r="C5376" i="1"/>
  <c r="A5376" i="1"/>
  <c r="R5375" i="1"/>
  <c r="Q5375" i="1"/>
  <c r="N5375" i="1"/>
  <c r="J5375" i="1"/>
  <c r="I5375" i="1"/>
  <c r="H5375" i="1"/>
  <c r="G5375" i="1"/>
  <c r="F5375" i="1"/>
  <c r="E5375" i="1"/>
  <c r="D5375" i="1"/>
  <c r="C5375" i="1"/>
  <c r="A5375" i="1"/>
  <c r="R5374" i="1"/>
  <c r="Q5374" i="1"/>
  <c r="N5374" i="1"/>
  <c r="J5374" i="1"/>
  <c r="I5374" i="1"/>
  <c r="H5374" i="1"/>
  <c r="G5374" i="1"/>
  <c r="F5374" i="1"/>
  <c r="E5374" i="1"/>
  <c r="D5374" i="1"/>
  <c r="C5374" i="1"/>
  <c r="A5374" i="1"/>
  <c r="R5373" i="1"/>
  <c r="Q5373" i="1"/>
  <c r="N5373" i="1"/>
  <c r="J5373" i="1"/>
  <c r="I5373" i="1"/>
  <c r="H5373" i="1"/>
  <c r="G5373" i="1"/>
  <c r="F5373" i="1"/>
  <c r="E5373" i="1"/>
  <c r="D5373" i="1"/>
  <c r="C5373" i="1"/>
  <c r="A5373" i="1"/>
  <c r="R5372" i="1"/>
  <c r="Q5372" i="1"/>
  <c r="N5372" i="1"/>
  <c r="J5372" i="1"/>
  <c r="I5372" i="1"/>
  <c r="H5372" i="1"/>
  <c r="G5372" i="1"/>
  <c r="F5372" i="1"/>
  <c r="E5372" i="1"/>
  <c r="D5372" i="1"/>
  <c r="C5372" i="1"/>
  <c r="A5372" i="1"/>
  <c r="R5371" i="1"/>
  <c r="Q5371" i="1"/>
  <c r="N5371" i="1"/>
  <c r="J5371" i="1"/>
  <c r="I5371" i="1"/>
  <c r="H5371" i="1"/>
  <c r="G5371" i="1"/>
  <c r="F5371" i="1"/>
  <c r="E5371" i="1"/>
  <c r="D5371" i="1"/>
  <c r="C5371" i="1"/>
  <c r="A5371" i="1"/>
  <c r="R5370" i="1"/>
  <c r="Q5370" i="1"/>
  <c r="N5370" i="1"/>
  <c r="J5370" i="1"/>
  <c r="I5370" i="1"/>
  <c r="H5370" i="1"/>
  <c r="G5370" i="1"/>
  <c r="F5370" i="1"/>
  <c r="E5370" i="1"/>
  <c r="D5370" i="1"/>
  <c r="C5370" i="1"/>
  <c r="A5370" i="1"/>
  <c r="R5369" i="1"/>
  <c r="Q5369" i="1"/>
  <c r="N5369" i="1"/>
  <c r="J5369" i="1"/>
  <c r="I5369" i="1"/>
  <c r="H5369" i="1"/>
  <c r="G5369" i="1"/>
  <c r="F5369" i="1"/>
  <c r="E5369" i="1"/>
  <c r="D5369" i="1"/>
  <c r="C5369" i="1"/>
  <c r="A5369" i="1"/>
  <c r="R5368" i="1"/>
  <c r="Q5368" i="1"/>
  <c r="N5368" i="1"/>
  <c r="J5368" i="1"/>
  <c r="I5368" i="1"/>
  <c r="H5368" i="1"/>
  <c r="G5368" i="1"/>
  <c r="F5368" i="1"/>
  <c r="E5368" i="1"/>
  <c r="D5368" i="1"/>
  <c r="C5368" i="1"/>
  <c r="A5368" i="1"/>
  <c r="R5367" i="1"/>
  <c r="Q5367" i="1"/>
  <c r="N5367" i="1"/>
  <c r="J5367" i="1"/>
  <c r="I5367" i="1"/>
  <c r="H5367" i="1"/>
  <c r="G5367" i="1"/>
  <c r="F5367" i="1"/>
  <c r="E5367" i="1"/>
  <c r="D5367" i="1"/>
  <c r="C5367" i="1"/>
  <c r="A5367" i="1"/>
  <c r="R5366" i="1"/>
  <c r="Q5366" i="1"/>
  <c r="N5366" i="1"/>
  <c r="J5366" i="1"/>
  <c r="I5366" i="1"/>
  <c r="H5366" i="1"/>
  <c r="G5366" i="1"/>
  <c r="F5366" i="1"/>
  <c r="E5366" i="1"/>
  <c r="D5366" i="1"/>
  <c r="C5366" i="1"/>
  <c r="A5366" i="1"/>
  <c r="R5365" i="1"/>
  <c r="Q5365" i="1"/>
  <c r="N5365" i="1"/>
  <c r="J5365" i="1"/>
  <c r="I5365" i="1"/>
  <c r="H5365" i="1"/>
  <c r="G5365" i="1"/>
  <c r="F5365" i="1"/>
  <c r="E5365" i="1"/>
  <c r="D5365" i="1"/>
  <c r="C5365" i="1"/>
  <c r="A5365" i="1"/>
  <c r="R5364" i="1"/>
  <c r="Q5364" i="1"/>
  <c r="N5364" i="1"/>
  <c r="J5364" i="1"/>
  <c r="I5364" i="1"/>
  <c r="H5364" i="1"/>
  <c r="G5364" i="1"/>
  <c r="F5364" i="1"/>
  <c r="E5364" i="1"/>
  <c r="D5364" i="1"/>
  <c r="C5364" i="1"/>
  <c r="A5364" i="1"/>
  <c r="R5363" i="1"/>
  <c r="Q5363" i="1"/>
  <c r="N5363" i="1"/>
  <c r="J5363" i="1"/>
  <c r="I5363" i="1"/>
  <c r="H5363" i="1"/>
  <c r="G5363" i="1"/>
  <c r="F5363" i="1"/>
  <c r="E5363" i="1"/>
  <c r="D5363" i="1"/>
  <c r="C5363" i="1"/>
  <c r="A5363" i="1"/>
  <c r="R5362" i="1"/>
  <c r="Q5362" i="1"/>
  <c r="N5362" i="1"/>
  <c r="J5362" i="1"/>
  <c r="I5362" i="1"/>
  <c r="H5362" i="1"/>
  <c r="G5362" i="1"/>
  <c r="F5362" i="1"/>
  <c r="E5362" i="1"/>
  <c r="D5362" i="1"/>
  <c r="C5362" i="1"/>
  <c r="A5362" i="1"/>
  <c r="R5361" i="1"/>
  <c r="Q5361" i="1"/>
  <c r="N5361" i="1"/>
  <c r="J5361" i="1"/>
  <c r="I5361" i="1"/>
  <c r="H5361" i="1"/>
  <c r="G5361" i="1"/>
  <c r="F5361" i="1"/>
  <c r="E5361" i="1"/>
  <c r="D5361" i="1"/>
  <c r="C5361" i="1"/>
  <c r="A5361" i="1"/>
  <c r="R5360" i="1"/>
  <c r="Q5360" i="1"/>
  <c r="N5360" i="1"/>
  <c r="J5360" i="1"/>
  <c r="I5360" i="1"/>
  <c r="H5360" i="1"/>
  <c r="G5360" i="1"/>
  <c r="F5360" i="1"/>
  <c r="E5360" i="1"/>
  <c r="D5360" i="1"/>
  <c r="C5360" i="1"/>
  <c r="A5360" i="1"/>
  <c r="R5359" i="1"/>
  <c r="Q5359" i="1"/>
  <c r="N5359" i="1"/>
  <c r="J5359" i="1"/>
  <c r="I5359" i="1"/>
  <c r="H5359" i="1"/>
  <c r="G5359" i="1"/>
  <c r="F5359" i="1"/>
  <c r="E5359" i="1"/>
  <c r="D5359" i="1"/>
  <c r="C5359" i="1"/>
  <c r="A5359" i="1"/>
  <c r="R5358" i="1"/>
  <c r="Q5358" i="1"/>
  <c r="N5358" i="1"/>
  <c r="J5358" i="1"/>
  <c r="I5358" i="1"/>
  <c r="H5358" i="1"/>
  <c r="G5358" i="1"/>
  <c r="F5358" i="1"/>
  <c r="E5358" i="1"/>
  <c r="D5358" i="1"/>
  <c r="C5358" i="1"/>
  <c r="A5358" i="1"/>
  <c r="R5357" i="1"/>
  <c r="Q5357" i="1"/>
  <c r="N5357" i="1"/>
  <c r="J5357" i="1"/>
  <c r="I5357" i="1"/>
  <c r="H5357" i="1"/>
  <c r="G5357" i="1"/>
  <c r="F5357" i="1"/>
  <c r="E5357" i="1"/>
  <c r="D5357" i="1"/>
  <c r="C5357" i="1"/>
  <c r="A5357" i="1"/>
  <c r="R5356" i="1"/>
  <c r="Q5356" i="1"/>
  <c r="N5356" i="1"/>
  <c r="J5356" i="1"/>
  <c r="I5356" i="1"/>
  <c r="H5356" i="1"/>
  <c r="G5356" i="1"/>
  <c r="F5356" i="1"/>
  <c r="E5356" i="1"/>
  <c r="D5356" i="1"/>
  <c r="C5356" i="1"/>
  <c r="A5356" i="1"/>
  <c r="R5355" i="1"/>
  <c r="Q5355" i="1"/>
  <c r="N5355" i="1"/>
  <c r="J5355" i="1"/>
  <c r="I5355" i="1"/>
  <c r="H5355" i="1"/>
  <c r="G5355" i="1"/>
  <c r="F5355" i="1"/>
  <c r="E5355" i="1"/>
  <c r="D5355" i="1"/>
  <c r="C5355" i="1"/>
  <c r="A5355" i="1"/>
  <c r="R5354" i="1"/>
  <c r="Q5354" i="1"/>
  <c r="N5354" i="1"/>
  <c r="J5354" i="1"/>
  <c r="I5354" i="1"/>
  <c r="H5354" i="1"/>
  <c r="G5354" i="1"/>
  <c r="F5354" i="1"/>
  <c r="E5354" i="1"/>
  <c r="D5354" i="1"/>
  <c r="C5354" i="1"/>
  <c r="A5354" i="1"/>
  <c r="R5353" i="1"/>
  <c r="Q5353" i="1"/>
  <c r="N5353" i="1"/>
  <c r="J5353" i="1"/>
  <c r="I5353" i="1"/>
  <c r="H5353" i="1"/>
  <c r="G5353" i="1"/>
  <c r="F5353" i="1"/>
  <c r="E5353" i="1"/>
  <c r="D5353" i="1"/>
  <c r="C5353" i="1"/>
  <c r="A5353" i="1"/>
  <c r="R5352" i="1"/>
  <c r="Q5352" i="1"/>
  <c r="N5352" i="1"/>
  <c r="J5352" i="1"/>
  <c r="I5352" i="1"/>
  <c r="H5352" i="1"/>
  <c r="G5352" i="1"/>
  <c r="F5352" i="1"/>
  <c r="E5352" i="1"/>
  <c r="D5352" i="1"/>
  <c r="C5352" i="1"/>
  <c r="A5352" i="1"/>
  <c r="R5351" i="1"/>
  <c r="Q5351" i="1"/>
  <c r="N5351" i="1"/>
  <c r="J5351" i="1"/>
  <c r="I5351" i="1"/>
  <c r="H5351" i="1"/>
  <c r="G5351" i="1"/>
  <c r="F5351" i="1"/>
  <c r="E5351" i="1"/>
  <c r="D5351" i="1"/>
  <c r="C5351" i="1"/>
  <c r="A5351" i="1"/>
  <c r="R5350" i="1"/>
  <c r="Q5350" i="1"/>
  <c r="N5350" i="1"/>
  <c r="J5350" i="1"/>
  <c r="I5350" i="1"/>
  <c r="H5350" i="1"/>
  <c r="G5350" i="1"/>
  <c r="F5350" i="1"/>
  <c r="E5350" i="1"/>
  <c r="D5350" i="1"/>
  <c r="C5350" i="1"/>
  <c r="A5350" i="1"/>
  <c r="R5349" i="1"/>
  <c r="Q5349" i="1"/>
  <c r="N5349" i="1"/>
  <c r="J5349" i="1"/>
  <c r="I5349" i="1"/>
  <c r="H5349" i="1"/>
  <c r="G5349" i="1"/>
  <c r="F5349" i="1"/>
  <c r="E5349" i="1"/>
  <c r="D5349" i="1"/>
  <c r="C5349" i="1"/>
  <c r="A5349" i="1"/>
  <c r="R5348" i="1"/>
  <c r="Q5348" i="1"/>
  <c r="N5348" i="1"/>
  <c r="J5348" i="1"/>
  <c r="I5348" i="1"/>
  <c r="H5348" i="1"/>
  <c r="G5348" i="1"/>
  <c r="F5348" i="1"/>
  <c r="E5348" i="1"/>
  <c r="D5348" i="1"/>
  <c r="C5348" i="1"/>
  <c r="A5348" i="1"/>
  <c r="R5347" i="1"/>
  <c r="Q5347" i="1"/>
  <c r="N5347" i="1"/>
  <c r="J5347" i="1"/>
  <c r="I5347" i="1"/>
  <c r="H5347" i="1"/>
  <c r="G5347" i="1"/>
  <c r="F5347" i="1"/>
  <c r="E5347" i="1"/>
  <c r="D5347" i="1"/>
  <c r="C5347" i="1"/>
  <c r="A5347" i="1"/>
  <c r="R5346" i="1"/>
  <c r="Q5346" i="1"/>
  <c r="N5346" i="1"/>
  <c r="J5346" i="1"/>
  <c r="I5346" i="1"/>
  <c r="H5346" i="1"/>
  <c r="G5346" i="1"/>
  <c r="F5346" i="1"/>
  <c r="E5346" i="1"/>
  <c r="D5346" i="1"/>
  <c r="C5346" i="1"/>
  <c r="A5346" i="1"/>
  <c r="R5345" i="1"/>
  <c r="Q5345" i="1"/>
  <c r="N5345" i="1"/>
  <c r="J5345" i="1"/>
  <c r="I5345" i="1"/>
  <c r="H5345" i="1"/>
  <c r="G5345" i="1"/>
  <c r="F5345" i="1"/>
  <c r="E5345" i="1"/>
  <c r="D5345" i="1"/>
  <c r="C5345" i="1"/>
  <c r="A5345" i="1"/>
  <c r="R5344" i="1"/>
  <c r="Q5344" i="1"/>
  <c r="N5344" i="1"/>
  <c r="J5344" i="1"/>
  <c r="I5344" i="1"/>
  <c r="H5344" i="1"/>
  <c r="G5344" i="1"/>
  <c r="F5344" i="1"/>
  <c r="E5344" i="1"/>
  <c r="D5344" i="1"/>
  <c r="C5344" i="1"/>
  <c r="A5344" i="1"/>
  <c r="R5343" i="1"/>
  <c r="Q5343" i="1"/>
  <c r="N5343" i="1"/>
  <c r="J5343" i="1"/>
  <c r="I5343" i="1"/>
  <c r="H5343" i="1"/>
  <c r="G5343" i="1"/>
  <c r="F5343" i="1"/>
  <c r="E5343" i="1"/>
  <c r="D5343" i="1"/>
  <c r="C5343" i="1"/>
  <c r="A5343" i="1"/>
  <c r="R5342" i="1"/>
  <c r="Q5342" i="1"/>
  <c r="N5342" i="1"/>
  <c r="J5342" i="1"/>
  <c r="I5342" i="1"/>
  <c r="H5342" i="1"/>
  <c r="G5342" i="1"/>
  <c r="F5342" i="1"/>
  <c r="E5342" i="1"/>
  <c r="D5342" i="1"/>
  <c r="C5342" i="1"/>
  <c r="A5342" i="1"/>
  <c r="R5341" i="1"/>
  <c r="Q5341" i="1"/>
  <c r="N5341" i="1"/>
  <c r="J5341" i="1"/>
  <c r="I5341" i="1"/>
  <c r="H5341" i="1"/>
  <c r="G5341" i="1"/>
  <c r="F5341" i="1"/>
  <c r="E5341" i="1"/>
  <c r="D5341" i="1"/>
  <c r="C5341" i="1"/>
  <c r="A5341" i="1"/>
  <c r="R5340" i="1"/>
  <c r="Q5340" i="1"/>
  <c r="N5340" i="1"/>
  <c r="J5340" i="1"/>
  <c r="I5340" i="1"/>
  <c r="H5340" i="1"/>
  <c r="G5340" i="1"/>
  <c r="F5340" i="1"/>
  <c r="E5340" i="1"/>
  <c r="D5340" i="1"/>
  <c r="C5340" i="1"/>
  <c r="A5340" i="1"/>
  <c r="R5339" i="1"/>
  <c r="Q5339" i="1"/>
  <c r="N5339" i="1"/>
  <c r="J5339" i="1"/>
  <c r="I5339" i="1"/>
  <c r="H5339" i="1"/>
  <c r="G5339" i="1"/>
  <c r="F5339" i="1"/>
  <c r="E5339" i="1"/>
  <c r="D5339" i="1"/>
  <c r="C5339" i="1"/>
  <c r="A5339" i="1"/>
  <c r="R5338" i="1"/>
  <c r="Q5338" i="1"/>
  <c r="N5338" i="1"/>
  <c r="J5338" i="1"/>
  <c r="I5338" i="1"/>
  <c r="H5338" i="1"/>
  <c r="G5338" i="1"/>
  <c r="F5338" i="1"/>
  <c r="E5338" i="1"/>
  <c r="D5338" i="1"/>
  <c r="C5338" i="1"/>
  <c r="A5338" i="1"/>
  <c r="R5337" i="1"/>
  <c r="Q5337" i="1"/>
  <c r="N5337" i="1"/>
  <c r="J5337" i="1"/>
  <c r="I5337" i="1"/>
  <c r="H5337" i="1"/>
  <c r="G5337" i="1"/>
  <c r="F5337" i="1"/>
  <c r="E5337" i="1"/>
  <c r="D5337" i="1"/>
  <c r="C5337" i="1"/>
  <c r="A5337" i="1"/>
  <c r="R5336" i="1"/>
  <c r="Q5336" i="1"/>
  <c r="N5336" i="1"/>
  <c r="J5336" i="1"/>
  <c r="I5336" i="1"/>
  <c r="H5336" i="1"/>
  <c r="G5336" i="1"/>
  <c r="F5336" i="1"/>
  <c r="E5336" i="1"/>
  <c r="D5336" i="1"/>
  <c r="C5336" i="1"/>
  <c r="A5336" i="1"/>
  <c r="R5335" i="1"/>
  <c r="Q5335" i="1"/>
  <c r="N5335" i="1"/>
  <c r="J5335" i="1"/>
  <c r="I5335" i="1"/>
  <c r="H5335" i="1"/>
  <c r="G5335" i="1"/>
  <c r="F5335" i="1"/>
  <c r="E5335" i="1"/>
  <c r="D5335" i="1"/>
  <c r="C5335" i="1"/>
  <c r="A5335" i="1"/>
  <c r="R5334" i="1"/>
  <c r="Q5334" i="1"/>
  <c r="N5334" i="1"/>
  <c r="J5334" i="1"/>
  <c r="I5334" i="1"/>
  <c r="H5334" i="1"/>
  <c r="G5334" i="1"/>
  <c r="F5334" i="1"/>
  <c r="E5334" i="1"/>
  <c r="D5334" i="1"/>
  <c r="C5334" i="1"/>
  <c r="A5334" i="1"/>
  <c r="R5333" i="1"/>
  <c r="Q5333" i="1"/>
  <c r="N5333" i="1"/>
  <c r="J5333" i="1"/>
  <c r="I5333" i="1"/>
  <c r="H5333" i="1"/>
  <c r="G5333" i="1"/>
  <c r="F5333" i="1"/>
  <c r="E5333" i="1"/>
  <c r="D5333" i="1"/>
  <c r="C5333" i="1"/>
  <c r="A5333" i="1"/>
  <c r="R5332" i="1"/>
  <c r="Q5332" i="1"/>
  <c r="N5332" i="1"/>
  <c r="J5332" i="1"/>
  <c r="I5332" i="1"/>
  <c r="H5332" i="1"/>
  <c r="G5332" i="1"/>
  <c r="F5332" i="1"/>
  <c r="E5332" i="1"/>
  <c r="D5332" i="1"/>
  <c r="C5332" i="1"/>
  <c r="A5332" i="1"/>
  <c r="R5331" i="1"/>
  <c r="Q5331" i="1"/>
  <c r="N5331" i="1"/>
  <c r="J5331" i="1"/>
  <c r="I5331" i="1"/>
  <c r="H5331" i="1"/>
  <c r="G5331" i="1"/>
  <c r="F5331" i="1"/>
  <c r="E5331" i="1"/>
  <c r="D5331" i="1"/>
  <c r="C5331" i="1"/>
  <c r="A5331" i="1"/>
  <c r="R5330" i="1"/>
  <c r="Q5330" i="1"/>
  <c r="N5330" i="1"/>
  <c r="J5330" i="1"/>
  <c r="I5330" i="1"/>
  <c r="H5330" i="1"/>
  <c r="G5330" i="1"/>
  <c r="F5330" i="1"/>
  <c r="E5330" i="1"/>
  <c r="D5330" i="1"/>
  <c r="C5330" i="1"/>
  <c r="A5330" i="1"/>
  <c r="R5329" i="1"/>
  <c r="N5329" i="1"/>
  <c r="J5329" i="1"/>
  <c r="I5329" i="1"/>
  <c r="H5329" i="1"/>
  <c r="G5329" i="1"/>
  <c r="F5329" i="1"/>
  <c r="E5329" i="1"/>
  <c r="D5329" i="1"/>
  <c r="C5329" i="1"/>
  <c r="A5329" i="1"/>
  <c r="R5328" i="1"/>
  <c r="Q5328" i="1"/>
  <c r="N5328" i="1"/>
  <c r="J5328" i="1"/>
  <c r="I5328" i="1"/>
  <c r="H5328" i="1"/>
  <c r="G5328" i="1"/>
  <c r="F5328" i="1"/>
  <c r="E5328" i="1"/>
  <c r="D5328" i="1"/>
  <c r="C5328" i="1"/>
  <c r="A5328" i="1"/>
  <c r="R5327" i="1"/>
  <c r="N5327" i="1"/>
  <c r="J5327" i="1"/>
  <c r="I5327" i="1"/>
  <c r="H5327" i="1"/>
  <c r="G5327" i="1"/>
  <c r="F5327" i="1"/>
  <c r="E5327" i="1"/>
  <c r="D5327" i="1"/>
  <c r="C5327" i="1"/>
  <c r="A5327" i="1"/>
  <c r="R5326" i="1"/>
  <c r="Q5326" i="1"/>
  <c r="N5326" i="1"/>
  <c r="J5326" i="1"/>
  <c r="I5326" i="1"/>
  <c r="H5326" i="1"/>
  <c r="G5326" i="1"/>
  <c r="F5326" i="1"/>
  <c r="E5326" i="1"/>
  <c r="D5326" i="1"/>
  <c r="C5326" i="1"/>
  <c r="A5326" i="1"/>
  <c r="R5325" i="1"/>
  <c r="N5325" i="1"/>
  <c r="J5325" i="1"/>
  <c r="I5325" i="1"/>
  <c r="H5325" i="1"/>
  <c r="G5325" i="1"/>
  <c r="F5325" i="1"/>
  <c r="E5325" i="1"/>
  <c r="D5325" i="1"/>
  <c r="C5325" i="1"/>
  <c r="A5325" i="1"/>
  <c r="R5324" i="1"/>
  <c r="Q5324" i="1"/>
  <c r="N5324" i="1"/>
  <c r="J5324" i="1"/>
  <c r="I5324" i="1"/>
  <c r="H5324" i="1"/>
  <c r="G5324" i="1"/>
  <c r="F5324" i="1"/>
  <c r="E5324" i="1"/>
  <c r="D5324" i="1"/>
  <c r="C5324" i="1"/>
  <c r="A5324" i="1"/>
  <c r="R5323" i="1"/>
  <c r="N5323" i="1"/>
  <c r="J5323" i="1"/>
  <c r="I5323" i="1"/>
  <c r="H5323" i="1"/>
  <c r="G5323" i="1"/>
  <c r="F5323" i="1"/>
  <c r="E5323" i="1"/>
  <c r="D5323" i="1"/>
  <c r="C5323" i="1"/>
  <c r="A5323" i="1"/>
  <c r="R5322" i="1"/>
  <c r="Q5322" i="1"/>
  <c r="N5322" i="1"/>
  <c r="J5322" i="1"/>
  <c r="I5322" i="1"/>
  <c r="H5322" i="1"/>
  <c r="G5322" i="1"/>
  <c r="F5322" i="1"/>
  <c r="E5322" i="1"/>
  <c r="D5322" i="1"/>
  <c r="C5322" i="1"/>
  <c r="A5322" i="1"/>
  <c r="R5321" i="1"/>
  <c r="Q5321" i="1"/>
  <c r="N5321" i="1"/>
  <c r="J5321" i="1"/>
  <c r="I5321" i="1"/>
  <c r="H5321" i="1"/>
  <c r="G5321" i="1"/>
  <c r="F5321" i="1"/>
  <c r="E5321" i="1"/>
  <c r="D5321" i="1"/>
  <c r="C5321" i="1"/>
  <c r="A5321" i="1"/>
  <c r="R5320" i="1"/>
  <c r="N5320" i="1"/>
  <c r="J5320" i="1"/>
  <c r="I5320" i="1"/>
  <c r="H5320" i="1"/>
  <c r="G5320" i="1"/>
  <c r="F5320" i="1"/>
  <c r="E5320" i="1"/>
  <c r="D5320" i="1"/>
  <c r="C5320" i="1"/>
  <c r="A5320" i="1"/>
  <c r="R5319" i="1"/>
  <c r="Q5319" i="1"/>
  <c r="N5319" i="1"/>
  <c r="J5319" i="1"/>
  <c r="I5319" i="1"/>
  <c r="H5319" i="1"/>
  <c r="G5319" i="1"/>
  <c r="F5319" i="1"/>
  <c r="E5319" i="1"/>
  <c r="D5319" i="1"/>
  <c r="C5319" i="1"/>
  <c r="A5319" i="1"/>
  <c r="R5318" i="1"/>
  <c r="N5318" i="1"/>
  <c r="J5318" i="1"/>
  <c r="I5318" i="1"/>
  <c r="H5318" i="1"/>
  <c r="G5318" i="1"/>
  <c r="F5318" i="1"/>
  <c r="E5318" i="1"/>
  <c r="D5318" i="1"/>
  <c r="C5318" i="1"/>
  <c r="A5318" i="1"/>
  <c r="R5317" i="1"/>
  <c r="Q5317" i="1"/>
  <c r="N5317" i="1"/>
  <c r="J5317" i="1"/>
  <c r="I5317" i="1"/>
  <c r="H5317" i="1"/>
  <c r="G5317" i="1"/>
  <c r="F5317" i="1"/>
  <c r="E5317" i="1"/>
  <c r="D5317" i="1"/>
  <c r="C5317" i="1"/>
  <c r="A5317" i="1"/>
  <c r="R5316" i="1"/>
  <c r="N5316" i="1"/>
  <c r="J5316" i="1"/>
  <c r="I5316" i="1"/>
  <c r="H5316" i="1"/>
  <c r="G5316" i="1"/>
  <c r="F5316" i="1"/>
  <c r="E5316" i="1"/>
  <c r="D5316" i="1"/>
  <c r="C5316" i="1"/>
  <c r="B5316" i="1"/>
  <c r="A5316" i="1"/>
  <c r="R5315" i="1"/>
  <c r="Q5315" i="1"/>
  <c r="N5315" i="1"/>
  <c r="J5315" i="1"/>
  <c r="I5315" i="1"/>
  <c r="H5315" i="1"/>
  <c r="G5315" i="1"/>
  <c r="F5315" i="1"/>
  <c r="E5315" i="1"/>
  <c r="D5315" i="1"/>
  <c r="C5315" i="1"/>
  <c r="B5315" i="1"/>
  <c r="A5315" i="1"/>
  <c r="R5314" i="1"/>
  <c r="N5314" i="1"/>
  <c r="J5314" i="1"/>
  <c r="I5314" i="1"/>
  <c r="H5314" i="1"/>
  <c r="G5314" i="1"/>
  <c r="F5314" i="1"/>
  <c r="E5314" i="1"/>
  <c r="D5314" i="1"/>
  <c r="C5314" i="1"/>
  <c r="B5314" i="1"/>
  <c r="A5314" i="1"/>
  <c r="R5313" i="1"/>
  <c r="N5313" i="1"/>
  <c r="J5313" i="1"/>
  <c r="I5313" i="1"/>
  <c r="H5313" i="1"/>
  <c r="G5313" i="1"/>
  <c r="F5313" i="1"/>
  <c r="E5313" i="1"/>
  <c r="D5313" i="1"/>
  <c r="C5313" i="1"/>
  <c r="B5313" i="1"/>
  <c r="A5313" i="1"/>
  <c r="R5312" i="1"/>
  <c r="N5312" i="1"/>
  <c r="J5312" i="1"/>
  <c r="I5312" i="1"/>
  <c r="H5312" i="1"/>
  <c r="G5312" i="1"/>
  <c r="F5312" i="1"/>
  <c r="E5312" i="1"/>
  <c r="D5312" i="1"/>
  <c r="C5312" i="1"/>
  <c r="B5312" i="1"/>
  <c r="A5312" i="1"/>
  <c r="R5311" i="1"/>
  <c r="Q5311" i="1"/>
  <c r="N5311" i="1"/>
  <c r="J5311" i="1"/>
  <c r="I5311" i="1"/>
  <c r="H5311" i="1"/>
  <c r="G5311" i="1"/>
  <c r="F5311" i="1"/>
  <c r="E5311" i="1"/>
  <c r="D5311" i="1"/>
  <c r="C5311" i="1"/>
  <c r="B5311" i="1"/>
  <c r="A5311" i="1"/>
  <c r="R5310" i="1"/>
  <c r="N5310" i="1"/>
  <c r="J5310" i="1"/>
  <c r="I5310" i="1"/>
  <c r="H5310" i="1"/>
  <c r="G5310" i="1"/>
  <c r="F5310" i="1"/>
  <c r="E5310" i="1"/>
  <c r="D5310" i="1"/>
  <c r="C5310" i="1"/>
  <c r="B5310" i="1"/>
  <c r="A5310" i="1"/>
  <c r="R5309" i="1"/>
  <c r="N5309" i="1"/>
  <c r="J5309" i="1"/>
  <c r="I5309" i="1"/>
  <c r="H5309" i="1"/>
  <c r="G5309" i="1"/>
  <c r="F5309" i="1"/>
  <c r="E5309" i="1"/>
  <c r="D5309" i="1"/>
  <c r="C5309" i="1"/>
  <c r="B5309" i="1"/>
  <c r="A5309" i="1"/>
  <c r="R5308" i="1"/>
  <c r="N5308" i="1"/>
  <c r="J5308" i="1"/>
  <c r="I5308" i="1"/>
  <c r="H5308" i="1"/>
  <c r="G5308" i="1"/>
  <c r="F5308" i="1"/>
  <c r="E5308" i="1"/>
  <c r="D5308" i="1"/>
  <c r="C5308" i="1"/>
  <c r="B5308" i="1"/>
  <c r="A5308" i="1"/>
  <c r="R5307" i="1"/>
  <c r="Q5307" i="1"/>
  <c r="N5307" i="1"/>
  <c r="J5307" i="1"/>
  <c r="I5307" i="1"/>
  <c r="H5307" i="1"/>
  <c r="G5307" i="1"/>
  <c r="F5307" i="1"/>
  <c r="E5307" i="1"/>
  <c r="D5307" i="1"/>
  <c r="C5307" i="1"/>
  <c r="B5307" i="1"/>
  <c r="A5307" i="1"/>
  <c r="R5306" i="1"/>
  <c r="N5306" i="1"/>
  <c r="J5306" i="1"/>
  <c r="I5306" i="1"/>
  <c r="H5306" i="1"/>
  <c r="G5306" i="1"/>
  <c r="F5306" i="1"/>
  <c r="E5306" i="1"/>
  <c r="D5306" i="1"/>
  <c r="C5306" i="1"/>
  <c r="B5306" i="1"/>
  <c r="A5306" i="1"/>
  <c r="R5305" i="1"/>
  <c r="Q5305" i="1"/>
  <c r="N5305" i="1"/>
  <c r="J5305" i="1"/>
  <c r="I5305" i="1"/>
  <c r="H5305" i="1"/>
  <c r="G5305" i="1"/>
  <c r="F5305" i="1"/>
  <c r="E5305" i="1"/>
  <c r="D5305" i="1"/>
  <c r="C5305" i="1"/>
  <c r="B5305" i="1"/>
  <c r="A5305" i="1"/>
  <c r="R5304" i="1"/>
  <c r="N5304" i="1"/>
  <c r="J5304" i="1"/>
  <c r="I5304" i="1"/>
  <c r="H5304" i="1"/>
  <c r="G5304" i="1"/>
  <c r="F5304" i="1"/>
  <c r="E5304" i="1"/>
  <c r="D5304" i="1"/>
  <c r="C5304" i="1"/>
  <c r="B5304" i="1"/>
  <c r="A5304" i="1"/>
  <c r="R5303" i="1"/>
  <c r="Q5303" i="1"/>
  <c r="N5303" i="1"/>
  <c r="J5303" i="1"/>
  <c r="I5303" i="1"/>
  <c r="H5303" i="1"/>
  <c r="G5303" i="1"/>
  <c r="F5303" i="1"/>
  <c r="E5303" i="1"/>
  <c r="D5303" i="1"/>
  <c r="C5303" i="1"/>
  <c r="B5303" i="1"/>
  <c r="A5303" i="1"/>
  <c r="R5302" i="1"/>
  <c r="N5302" i="1"/>
  <c r="J5302" i="1"/>
  <c r="I5302" i="1"/>
  <c r="H5302" i="1"/>
  <c r="G5302" i="1"/>
  <c r="F5302" i="1"/>
  <c r="E5302" i="1"/>
  <c r="D5302" i="1"/>
  <c r="C5302" i="1"/>
  <c r="B5302" i="1"/>
  <c r="A5302" i="1"/>
  <c r="R5301" i="1"/>
  <c r="Q5301" i="1"/>
  <c r="N5301" i="1"/>
  <c r="J5301" i="1"/>
  <c r="I5301" i="1"/>
  <c r="H5301" i="1"/>
  <c r="G5301" i="1"/>
  <c r="F5301" i="1"/>
  <c r="E5301" i="1"/>
  <c r="D5301" i="1"/>
  <c r="C5301" i="1"/>
  <c r="A5301" i="1"/>
  <c r="R5300" i="1"/>
  <c r="N5300" i="1"/>
  <c r="J5300" i="1"/>
  <c r="I5300" i="1"/>
  <c r="H5300" i="1"/>
  <c r="G5300" i="1"/>
  <c r="F5300" i="1"/>
  <c r="E5300" i="1"/>
  <c r="D5300" i="1"/>
  <c r="C5300" i="1"/>
  <c r="B5300" i="1"/>
  <c r="A5300" i="1"/>
  <c r="R5299" i="1"/>
  <c r="N5299" i="1"/>
  <c r="J5299" i="1"/>
  <c r="I5299" i="1"/>
  <c r="H5299" i="1"/>
  <c r="G5299" i="1"/>
  <c r="F5299" i="1"/>
  <c r="E5299" i="1"/>
  <c r="D5299" i="1"/>
  <c r="C5299" i="1"/>
  <c r="B5299" i="1"/>
  <c r="A5299" i="1"/>
  <c r="R5298" i="1"/>
  <c r="N5298" i="1"/>
  <c r="J5298" i="1"/>
  <c r="I5298" i="1"/>
  <c r="H5298" i="1"/>
  <c r="G5298" i="1"/>
  <c r="F5298" i="1"/>
  <c r="E5298" i="1"/>
  <c r="D5298" i="1"/>
  <c r="C5298" i="1"/>
  <c r="B5298" i="1"/>
  <c r="A5298" i="1"/>
  <c r="R5297" i="1"/>
  <c r="N5297" i="1"/>
  <c r="J5297" i="1"/>
  <c r="I5297" i="1"/>
  <c r="H5297" i="1"/>
  <c r="G5297" i="1"/>
  <c r="F5297" i="1"/>
  <c r="E5297" i="1"/>
  <c r="D5297" i="1"/>
  <c r="C5297" i="1"/>
  <c r="B5297" i="1"/>
  <c r="A5297" i="1"/>
  <c r="R5296" i="1"/>
  <c r="N5296" i="1"/>
  <c r="J5296" i="1"/>
  <c r="I5296" i="1"/>
  <c r="H5296" i="1"/>
  <c r="G5296" i="1"/>
  <c r="F5296" i="1"/>
  <c r="E5296" i="1"/>
  <c r="D5296" i="1"/>
  <c r="C5296" i="1"/>
  <c r="B5296" i="1"/>
  <c r="A5296" i="1"/>
  <c r="R5295" i="1"/>
  <c r="N5295" i="1"/>
  <c r="J5295" i="1"/>
  <c r="I5295" i="1"/>
  <c r="H5295" i="1"/>
  <c r="G5295" i="1"/>
  <c r="F5295" i="1"/>
  <c r="E5295" i="1"/>
  <c r="D5295" i="1"/>
  <c r="C5295" i="1"/>
  <c r="B5295" i="1"/>
  <c r="A5295" i="1"/>
  <c r="R5294" i="1"/>
  <c r="N5294" i="1"/>
  <c r="J5294" i="1"/>
  <c r="I5294" i="1"/>
  <c r="H5294" i="1"/>
  <c r="G5294" i="1"/>
  <c r="F5294" i="1"/>
  <c r="E5294" i="1"/>
  <c r="D5294" i="1"/>
  <c r="C5294" i="1"/>
  <c r="B5294" i="1"/>
  <c r="A5294" i="1"/>
  <c r="R5293" i="1"/>
  <c r="N5293" i="1"/>
  <c r="J5293" i="1"/>
  <c r="I5293" i="1"/>
  <c r="H5293" i="1"/>
  <c r="G5293" i="1"/>
  <c r="F5293" i="1"/>
  <c r="E5293" i="1"/>
  <c r="D5293" i="1"/>
  <c r="C5293" i="1"/>
  <c r="B5293" i="1"/>
  <c r="A5293" i="1"/>
  <c r="R5292" i="1"/>
  <c r="Q5292" i="1"/>
  <c r="N5292" i="1"/>
  <c r="J5292" i="1"/>
  <c r="I5292" i="1"/>
  <c r="H5292" i="1"/>
  <c r="G5292" i="1"/>
  <c r="F5292" i="1"/>
  <c r="E5292" i="1"/>
  <c r="D5292" i="1"/>
  <c r="C5292" i="1"/>
  <c r="A5292" i="1"/>
  <c r="R5291" i="1"/>
  <c r="N5291" i="1"/>
  <c r="J5291" i="1"/>
  <c r="I5291" i="1"/>
  <c r="H5291" i="1"/>
  <c r="G5291" i="1"/>
  <c r="F5291" i="1"/>
  <c r="E5291" i="1"/>
  <c r="D5291" i="1"/>
  <c r="C5291" i="1"/>
  <c r="A5291" i="1"/>
  <c r="R5290" i="1"/>
  <c r="Q5290" i="1"/>
  <c r="N5290" i="1"/>
  <c r="J5290" i="1"/>
  <c r="I5290" i="1"/>
  <c r="H5290" i="1"/>
  <c r="G5290" i="1"/>
  <c r="F5290" i="1"/>
  <c r="E5290" i="1"/>
  <c r="D5290" i="1"/>
  <c r="C5290" i="1"/>
  <c r="A5290" i="1"/>
  <c r="R5289" i="1"/>
  <c r="N5289" i="1"/>
  <c r="J5289" i="1"/>
  <c r="I5289" i="1"/>
  <c r="H5289" i="1"/>
  <c r="G5289" i="1"/>
  <c r="F5289" i="1"/>
  <c r="E5289" i="1"/>
  <c r="D5289" i="1"/>
  <c r="C5289" i="1"/>
  <c r="A5289" i="1"/>
  <c r="R5288" i="1"/>
  <c r="Q5288" i="1"/>
  <c r="N5288" i="1"/>
  <c r="J5288" i="1"/>
  <c r="I5288" i="1"/>
  <c r="H5288" i="1"/>
  <c r="G5288" i="1"/>
  <c r="F5288" i="1"/>
  <c r="E5288" i="1"/>
  <c r="D5288" i="1"/>
  <c r="C5288" i="1"/>
  <c r="A5288" i="1"/>
  <c r="R5287" i="1"/>
  <c r="N5287" i="1"/>
  <c r="J5287" i="1"/>
  <c r="I5287" i="1"/>
  <c r="H5287" i="1"/>
  <c r="G5287" i="1"/>
  <c r="F5287" i="1"/>
  <c r="E5287" i="1"/>
  <c r="D5287" i="1"/>
  <c r="C5287" i="1"/>
  <c r="A5287" i="1"/>
  <c r="R5286" i="1"/>
  <c r="Q5286" i="1"/>
  <c r="N5286" i="1"/>
  <c r="J5286" i="1"/>
  <c r="I5286" i="1"/>
  <c r="H5286" i="1"/>
  <c r="G5286" i="1"/>
  <c r="F5286" i="1"/>
  <c r="E5286" i="1"/>
  <c r="D5286" i="1"/>
  <c r="C5286" i="1"/>
  <c r="A5286" i="1"/>
  <c r="R5285" i="1"/>
  <c r="N5285" i="1"/>
  <c r="J5285" i="1"/>
  <c r="I5285" i="1"/>
  <c r="H5285" i="1"/>
  <c r="G5285" i="1"/>
  <c r="F5285" i="1"/>
  <c r="E5285" i="1"/>
  <c r="D5285" i="1"/>
  <c r="C5285" i="1"/>
  <c r="A5285" i="1"/>
  <c r="R5284" i="1"/>
  <c r="Q5284" i="1"/>
  <c r="N5284" i="1"/>
  <c r="J5284" i="1"/>
  <c r="I5284" i="1"/>
  <c r="H5284" i="1"/>
  <c r="G5284" i="1"/>
  <c r="F5284" i="1"/>
  <c r="E5284" i="1"/>
  <c r="D5284" i="1"/>
  <c r="C5284" i="1"/>
  <c r="A5284" i="1"/>
  <c r="R5283" i="1"/>
  <c r="N5283" i="1"/>
  <c r="J5283" i="1"/>
  <c r="I5283" i="1"/>
  <c r="H5283" i="1"/>
  <c r="G5283" i="1"/>
  <c r="F5283" i="1"/>
  <c r="E5283" i="1"/>
  <c r="D5283" i="1"/>
  <c r="C5283" i="1"/>
  <c r="A5283" i="1"/>
  <c r="R5282" i="1"/>
  <c r="Q5282" i="1"/>
  <c r="N5282" i="1"/>
  <c r="J5282" i="1"/>
  <c r="I5282" i="1"/>
  <c r="H5282" i="1"/>
  <c r="G5282" i="1"/>
  <c r="F5282" i="1"/>
  <c r="E5282" i="1"/>
  <c r="D5282" i="1"/>
  <c r="C5282" i="1"/>
  <c r="A5282" i="1"/>
  <c r="R5281" i="1"/>
  <c r="N5281" i="1"/>
  <c r="J5281" i="1"/>
  <c r="I5281" i="1"/>
  <c r="H5281" i="1"/>
  <c r="G5281" i="1"/>
  <c r="F5281" i="1"/>
  <c r="E5281" i="1"/>
  <c r="D5281" i="1"/>
  <c r="C5281" i="1"/>
  <c r="A5281" i="1"/>
  <c r="R5280" i="1"/>
  <c r="Q5280" i="1"/>
  <c r="N5280" i="1"/>
  <c r="J5280" i="1"/>
  <c r="I5280" i="1"/>
  <c r="H5280" i="1"/>
  <c r="G5280" i="1"/>
  <c r="F5280" i="1"/>
  <c r="E5280" i="1"/>
  <c r="D5280" i="1"/>
  <c r="C5280" i="1"/>
  <c r="A5280" i="1"/>
  <c r="R5279" i="1"/>
  <c r="N5279" i="1"/>
  <c r="J5279" i="1"/>
  <c r="I5279" i="1"/>
  <c r="H5279" i="1"/>
  <c r="G5279" i="1"/>
  <c r="F5279" i="1"/>
  <c r="E5279" i="1"/>
  <c r="D5279" i="1"/>
  <c r="C5279" i="1"/>
  <c r="A5279" i="1"/>
  <c r="R5278" i="1"/>
  <c r="Q5278" i="1"/>
  <c r="N5278" i="1"/>
  <c r="J5278" i="1"/>
  <c r="I5278" i="1"/>
  <c r="H5278" i="1"/>
  <c r="G5278" i="1"/>
  <c r="F5278" i="1"/>
  <c r="E5278" i="1"/>
  <c r="D5278" i="1"/>
  <c r="C5278" i="1"/>
  <c r="A5278" i="1"/>
  <c r="R5277" i="1"/>
  <c r="N5277" i="1"/>
  <c r="J5277" i="1"/>
  <c r="I5277" i="1"/>
  <c r="H5277" i="1"/>
  <c r="G5277" i="1"/>
  <c r="F5277" i="1"/>
  <c r="E5277" i="1"/>
  <c r="D5277" i="1"/>
  <c r="C5277" i="1"/>
  <c r="A5277" i="1"/>
  <c r="R5276" i="1"/>
  <c r="Q5276" i="1"/>
  <c r="N5276" i="1"/>
  <c r="J5276" i="1"/>
  <c r="I5276" i="1"/>
  <c r="H5276" i="1"/>
  <c r="G5276" i="1"/>
  <c r="F5276" i="1"/>
  <c r="E5276" i="1"/>
  <c r="D5276" i="1"/>
  <c r="C5276" i="1"/>
  <c r="A5276" i="1"/>
  <c r="R5275" i="1"/>
  <c r="Q5275" i="1"/>
  <c r="N5275" i="1"/>
  <c r="J5275" i="1"/>
  <c r="I5275" i="1"/>
  <c r="H5275" i="1"/>
  <c r="G5275" i="1"/>
  <c r="F5275" i="1"/>
  <c r="E5275" i="1"/>
  <c r="D5275" i="1"/>
  <c r="C5275" i="1"/>
  <c r="A5275" i="1"/>
  <c r="R5274" i="1"/>
  <c r="N5274" i="1"/>
  <c r="J5274" i="1"/>
  <c r="I5274" i="1"/>
  <c r="H5274" i="1"/>
  <c r="G5274" i="1"/>
  <c r="F5274" i="1"/>
  <c r="E5274" i="1"/>
  <c r="D5274" i="1"/>
  <c r="C5274" i="1"/>
  <c r="B5274" i="1"/>
  <c r="A5274" i="1"/>
  <c r="R5273" i="1"/>
  <c r="N5273" i="1"/>
  <c r="J5273" i="1"/>
  <c r="I5273" i="1"/>
  <c r="H5273" i="1"/>
  <c r="G5273" i="1"/>
  <c r="F5273" i="1"/>
  <c r="E5273" i="1"/>
  <c r="D5273" i="1"/>
  <c r="C5273" i="1"/>
  <c r="B5273" i="1"/>
  <c r="A5273" i="1"/>
  <c r="R5272" i="1"/>
  <c r="N5272" i="1"/>
  <c r="J5272" i="1"/>
  <c r="I5272" i="1"/>
  <c r="H5272" i="1"/>
  <c r="G5272" i="1"/>
  <c r="F5272" i="1"/>
  <c r="E5272" i="1"/>
  <c r="D5272" i="1"/>
  <c r="C5272" i="1"/>
  <c r="B5272" i="1"/>
  <c r="A5272" i="1"/>
  <c r="R5271" i="1"/>
  <c r="N5271" i="1"/>
  <c r="J5271" i="1"/>
  <c r="I5271" i="1"/>
  <c r="H5271" i="1"/>
  <c r="G5271" i="1"/>
  <c r="F5271" i="1"/>
  <c r="E5271" i="1"/>
  <c r="D5271" i="1"/>
  <c r="C5271" i="1"/>
  <c r="B5271" i="1"/>
  <c r="A5271" i="1"/>
  <c r="R5270" i="1"/>
  <c r="Q5270" i="1"/>
  <c r="N5270" i="1"/>
  <c r="J5270" i="1"/>
  <c r="I5270" i="1"/>
  <c r="H5270" i="1"/>
  <c r="G5270" i="1"/>
  <c r="F5270" i="1"/>
  <c r="E5270" i="1"/>
  <c r="D5270" i="1"/>
  <c r="C5270" i="1"/>
  <c r="A5270" i="1"/>
  <c r="R5269" i="1"/>
  <c r="N5269" i="1"/>
  <c r="J5269" i="1"/>
  <c r="I5269" i="1"/>
  <c r="H5269" i="1"/>
  <c r="G5269" i="1"/>
  <c r="F5269" i="1"/>
  <c r="E5269" i="1"/>
  <c r="D5269" i="1"/>
  <c r="C5269" i="1"/>
  <c r="A5269" i="1"/>
  <c r="R5268" i="1"/>
  <c r="Q5268" i="1"/>
  <c r="N5268" i="1"/>
  <c r="J5268" i="1"/>
  <c r="I5268" i="1"/>
  <c r="H5268" i="1"/>
  <c r="G5268" i="1"/>
  <c r="F5268" i="1"/>
  <c r="E5268" i="1"/>
  <c r="D5268" i="1"/>
  <c r="C5268" i="1"/>
  <c r="A5268" i="1"/>
  <c r="R5267" i="1"/>
  <c r="Q5267" i="1"/>
  <c r="N5267" i="1"/>
  <c r="J5267" i="1"/>
  <c r="I5267" i="1"/>
  <c r="H5267" i="1"/>
  <c r="G5267" i="1"/>
  <c r="F5267" i="1"/>
  <c r="E5267" i="1"/>
  <c r="D5267" i="1"/>
  <c r="C5267" i="1"/>
  <c r="A5267" i="1"/>
  <c r="R5266" i="1"/>
  <c r="N5266" i="1"/>
  <c r="J5266" i="1"/>
  <c r="I5266" i="1"/>
  <c r="H5266" i="1"/>
  <c r="G5266" i="1"/>
  <c r="F5266" i="1"/>
  <c r="E5266" i="1"/>
  <c r="D5266" i="1"/>
  <c r="C5266" i="1"/>
  <c r="A5266" i="1"/>
  <c r="R5265" i="1"/>
  <c r="Q5265" i="1"/>
  <c r="N5265" i="1"/>
  <c r="J5265" i="1"/>
  <c r="I5265" i="1"/>
  <c r="H5265" i="1"/>
  <c r="G5265" i="1"/>
  <c r="F5265" i="1"/>
  <c r="E5265" i="1"/>
  <c r="D5265" i="1"/>
  <c r="C5265" i="1"/>
  <c r="A5265" i="1"/>
  <c r="R5264" i="1"/>
  <c r="N5264" i="1"/>
  <c r="J5264" i="1"/>
  <c r="I5264" i="1"/>
  <c r="H5264" i="1"/>
  <c r="G5264" i="1"/>
  <c r="F5264" i="1"/>
  <c r="E5264" i="1"/>
  <c r="D5264" i="1"/>
  <c r="C5264" i="1"/>
  <c r="B5264" i="1"/>
  <c r="A5264" i="1"/>
  <c r="R5263" i="1"/>
  <c r="N5263" i="1"/>
  <c r="J5263" i="1"/>
  <c r="I5263" i="1"/>
  <c r="H5263" i="1"/>
  <c r="G5263" i="1"/>
  <c r="F5263" i="1"/>
  <c r="E5263" i="1"/>
  <c r="D5263" i="1"/>
  <c r="C5263" i="1"/>
  <c r="B5263" i="1"/>
  <c r="A5263" i="1"/>
  <c r="R5262" i="1"/>
  <c r="N5262" i="1"/>
  <c r="J5262" i="1"/>
  <c r="I5262" i="1"/>
  <c r="H5262" i="1"/>
  <c r="G5262" i="1"/>
  <c r="F5262" i="1"/>
  <c r="E5262" i="1"/>
  <c r="D5262" i="1"/>
  <c r="C5262" i="1"/>
  <c r="B5262" i="1"/>
  <c r="A5262" i="1"/>
  <c r="R5261" i="1"/>
  <c r="N5261" i="1"/>
  <c r="J5261" i="1"/>
  <c r="I5261" i="1"/>
  <c r="H5261" i="1"/>
  <c r="G5261" i="1"/>
  <c r="F5261" i="1"/>
  <c r="E5261" i="1"/>
  <c r="D5261" i="1"/>
  <c r="C5261" i="1"/>
  <c r="B5261" i="1"/>
  <c r="A5261" i="1"/>
  <c r="R5260" i="1"/>
  <c r="N5260" i="1"/>
  <c r="J5260" i="1"/>
  <c r="I5260" i="1"/>
  <c r="H5260" i="1"/>
  <c r="G5260" i="1"/>
  <c r="F5260" i="1"/>
  <c r="E5260" i="1"/>
  <c r="D5260" i="1"/>
  <c r="C5260" i="1"/>
  <c r="B5260" i="1"/>
  <c r="A5260" i="1"/>
  <c r="R5259" i="1"/>
  <c r="N5259" i="1"/>
  <c r="J5259" i="1"/>
  <c r="I5259" i="1"/>
  <c r="H5259" i="1"/>
  <c r="G5259" i="1"/>
  <c r="F5259" i="1"/>
  <c r="E5259" i="1"/>
  <c r="D5259" i="1"/>
  <c r="C5259" i="1"/>
  <c r="B5259" i="1"/>
  <c r="A5259" i="1"/>
  <c r="R5258" i="1"/>
  <c r="N5258" i="1"/>
  <c r="J5258" i="1"/>
  <c r="I5258" i="1"/>
  <c r="H5258" i="1"/>
  <c r="G5258" i="1"/>
  <c r="F5258" i="1"/>
  <c r="E5258" i="1"/>
  <c r="D5258" i="1"/>
  <c r="C5258" i="1"/>
  <c r="B5258" i="1"/>
  <c r="A5258" i="1"/>
  <c r="R5257" i="1"/>
  <c r="N5257" i="1"/>
  <c r="J5257" i="1"/>
  <c r="I5257" i="1"/>
  <c r="H5257" i="1"/>
  <c r="G5257" i="1"/>
  <c r="F5257" i="1"/>
  <c r="E5257" i="1"/>
  <c r="D5257" i="1"/>
  <c r="C5257" i="1"/>
  <c r="B5257" i="1"/>
  <c r="A5257" i="1"/>
  <c r="R5256" i="1"/>
  <c r="N5256" i="1"/>
  <c r="J5256" i="1"/>
  <c r="I5256" i="1"/>
  <c r="H5256" i="1"/>
  <c r="G5256" i="1"/>
  <c r="F5256" i="1"/>
  <c r="E5256" i="1"/>
  <c r="D5256" i="1"/>
  <c r="C5256" i="1"/>
  <c r="B5256" i="1"/>
  <c r="A5256" i="1"/>
  <c r="R5255" i="1"/>
  <c r="N5255" i="1"/>
  <c r="J5255" i="1"/>
  <c r="I5255" i="1"/>
  <c r="H5255" i="1"/>
  <c r="G5255" i="1"/>
  <c r="F5255" i="1"/>
  <c r="E5255" i="1"/>
  <c r="D5255" i="1"/>
  <c r="C5255" i="1"/>
  <c r="B5255" i="1"/>
  <c r="A5255" i="1"/>
  <c r="R5254" i="1"/>
  <c r="Q5254" i="1"/>
  <c r="N5254" i="1"/>
  <c r="J5254" i="1"/>
  <c r="I5254" i="1"/>
  <c r="H5254" i="1"/>
  <c r="G5254" i="1"/>
  <c r="F5254" i="1"/>
  <c r="E5254" i="1"/>
  <c r="D5254" i="1"/>
  <c r="C5254" i="1"/>
  <c r="B5254" i="1"/>
  <c r="A5254" i="1"/>
  <c r="R5253" i="1"/>
  <c r="N5253" i="1"/>
  <c r="J5253" i="1"/>
  <c r="I5253" i="1"/>
  <c r="H5253" i="1"/>
  <c r="G5253" i="1"/>
  <c r="F5253" i="1"/>
  <c r="E5253" i="1"/>
  <c r="D5253" i="1"/>
  <c r="C5253" i="1"/>
  <c r="B5253" i="1"/>
  <c r="A5253" i="1"/>
  <c r="R5252" i="1"/>
  <c r="Q5252" i="1"/>
  <c r="N5252" i="1"/>
  <c r="J5252" i="1"/>
  <c r="I5252" i="1"/>
  <c r="H5252" i="1"/>
  <c r="G5252" i="1"/>
  <c r="F5252" i="1"/>
  <c r="E5252" i="1"/>
  <c r="D5252" i="1"/>
  <c r="C5252" i="1"/>
  <c r="A5252" i="1"/>
  <c r="R5251" i="1"/>
  <c r="N5251" i="1"/>
  <c r="J5251" i="1"/>
  <c r="I5251" i="1"/>
  <c r="H5251" i="1"/>
  <c r="G5251" i="1"/>
  <c r="F5251" i="1"/>
  <c r="E5251" i="1"/>
  <c r="D5251" i="1"/>
  <c r="C5251" i="1"/>
  <c r="A5251" i="1"/>
  <c r="R5250" i="1"/>
  <c r="Q5250" i="1"/>
  <c r="N5250" i="1"/>
  <c r="J5250" i="1"/>
  <c r="I5250" i="1"/>
  <c r="H5250" i="1"/>
  <c r="G5250" i="1"/>
  <c r="F5250" i="1"/>
  <c r="E5250" i="1"/>
  <c r="D5250" i="1"/>
  <c r="C5250" i="1"/>
  <c r="A5250" i="1"/>
  <c r="R5249" i="1"/>
  <c r="N5249" i="1"/>
  <c r="J5249" i="1"/>
  <c r="I5249" i="1"/>
  <c r="H5249" i="1"/>
  <c r="G5249" i="1"/>
  <c r="F5249" i="1"/>
  <c r="E5249" i="1"/>
  <c r="D5249" i="1"/>
  <c r="C5249" i="1"/>
  <c r="A5249" i="1"/>
  <c r="R5248" i="1"/>
  <c r="Q5248" i="1"/>
  <c r="N5248" i="1"/>
  <c r="J5248" i="1"/>
  <c r="I5248" i="1"/>
  <c r="H5248" i="1"/>
  <c r="G5248" i="1"/>
  <c r="F5248" i="1"/>
  <c r="E5248" i="1"/>
  <c r="D5248" i="1"/>
  <c r="C5248" i="1"/>
  <c r="A5248" i="1"/>
  <c r="R5247" i="1"/>
  <c r="N5247" i="1"/>
  <c r="J5247" i="1"/>
  <c r="I5247" i="1"/>
  <c r="H5247" i="1"/>
  <c r="G5247" i="1"/>
  <c r="F5247" i="1"/>
  <c r="E5247" i="1"/>
  <c r="D5247" i="1"/>
  <c r="C5247" i="1"/>
  <c r="A5247" i="1"/>
  <c r="R5246" i="1"/>
  <c r="Q5246" i="1"/>
  <c r="N5246" i="1"/>
  <c r="J5246" i="1"/>
  <c r="I5246" i="1"/>
  <c r="H5246" i="1"/>
  <c r="G5246" i="1"/>
  <c r="F5246" i="1"/>
  <c r="E5246" i="1"/>
  <c r="D5246" i="1"/>
  <c r="C5246" i="1"/>
  <c r="A5246" i="1"/>
  <c r="R5245" i="1"/>
  <c r="N5245" i="1"/>
  <c r="J5245" i="1"/>
  <c r="I5245" i="1"/>
  <c r="H5245" i="1"/>
  <c r="G5245" i="1"/>
  <c r="F5245" i="1"/>
  <c r="E5245" i="1"/>
  <c r="D5245" i="1"/>
  <c r="C5245" i="1"/>
  <c r="A5245" i="1"/>
  <c r="R5244" i="1"/>
  <c r="Q5244" i="1"/>
  <c r="N5244" i="1"/>
  <c r="J5244" i="1"/>
  <c r="I5244" i="1"/>
  <c r="H5244" i="1"/>
  <c r="G5244" i="1"/>
  <c r="F5244" i="1"/>
  <c r="E5244" i="1"/>
  <c r="D5244" i="1"/>
  <c r="C5244" i="1"/>
  <c r="A5244" i="1"/>
  <c r="R5243" i="1"/>
  <c r="N5243" i="1"/>
  <c r="J5243" i="1"/>
  <c r="I5243" i="1"/>
  <c r="H5243" i="1"/>
  <c r="G5243" i="1"/>
  <c r="F5243" i="1"/>
  <c r="E5243" i="1"/>
  <c r="D5243" i="1"/>
  <c r="C5243" i="1"/>
  <c r="A5243" i="1"/>
  <c r="R5242" i="1"/>
  <c r="Q5242" i="1"/>
  <c r="N5242" i="1"/>
  <c r="J5242" i="1"/>
  <c r="I5242" i="1"/>
  <c r="H5242" i="1"/>
  <c r="G5242" i="1"/>
  <c r="F5242" i="1"/>
  <c r="E5242" i="1"/>
  <c r="D5242" i="1"/>
  <c r="C5242" i="1"/>
  <c r="A5242" i="1"/>
  <c r="R5241" i="1"/>
  <c r="N5241" i="1"/>
  <c r="J5241" i="1"/>
  <c r="I5241" i="1"/>
  <c r="H5241" i="1"/>
  <c r="G5241" i="1"/>
  <c r="F5241" i="1"/>
  <c r="E5241" i="1"/>
  <c r="D5241" i="1"/>
  <c r="C5241" i="1"/>
  <c r="A5241" i="1"/>
  <c r="R5240" i="1"/>
  <c r="Q5240" i="1"/>
  <c r="N5240" i="1"/>
  <c r="J5240" i="1"/>
  <c r="I5240" i="1"/>
  <c r="H5240" i="1"/>
  <c r="G5240" i="1"/>
  <c r="F5240" i="1"/>
  <c r="E5240" i="1"/>
  <c r="D5240" i="1"/>
  <c r="C5240" i="1"/>
  <c r="A5240" i="1"/>
  <c r="R5239" i="1"/>
  <c r="N5239" i="1"/>
  <c r="J5239" i="1"/>
  <c r="I5239" i="1"/>
  <c r="H5239" i="1"/>
  <c r="G5239" i="1"/>
  <c r="F5239" i="1"/>
  <c r="E5239" i="1"/>
  <c r="D5239" i="1"/>
  <c r="C5239" i="1"/>
  <c r="A5239" i="1"/>
  <c r="R5238" i="1"/>
  <c r="Q5238" i="1"/>
  <c r="N5238" i="1"/>
  <c r="J5238" i="1"/>
  <c r="I5238" i="1"/>
  <c r="H5238" i="1"/>
  <c r="G5238" i="1"/>
  <c r="F5238" i="1"/>
  <c r="E5238" i="1"/>
  <c r="D5238" i="1"/>
  <c r="C5238" i="1"/>
  <c r="A5238" i="1"/>
  <c r="R5237" i="1"/>
  <c r="Q5237" i="1"/>
  <c r="N5237" i="1"/>
  <c r="J5237" i="1"/>
  <c r="I5237" i="1"/>
  <c r="H5237" i="1"/>
  <c r="G5237" i="1"/>
  <c r="F5237" i="1"/>
  <c r="E5237" i="1"/>
  <c r="D5237" i="1"/>
  <c r="C5237" i="1"/>
  <c r="A5237" i="1"/>
  <c r="R5236" i="1"/>
  <c r="N5236" i="1"/>
  <c r="J5236" i="1"/>
  <c r="I5236" i="1"/>
  <c r="H5236" i="1"/>
  <c r="G5236" i="1"/>
  <c r="F5236" i="1"/>
  <c r="E5236" i="1"/>
  <c r="D5236" i="1"/>
  <c r="C5236" i="1"/>
  <c r="A5236" i="1"/>
  <c r="R5235" i="1"/>
  <c r="Q5235" i="1"/>
  <c r="N5235" i="1"/>
  <c r="J5235" i="1"/>
  <c r="I5235" i="1"/>
  <c r="H5235" i="1"/>
  <c r="G5235" i="1"/>
  <c r="F5235" i="1"/>
  <c r="E5235" i="1"/>
  <c r="D5235" i="1"/>
  <c r="C5235" i="1"/>
  <c r="A5235" i="1"/>
  <c r="R5234" i="1"/>
  <c r="N5234" i="1"/>
  <c r="J5234" i="1"/>
  <c r="I5234" i="1"/>
  <c r="H5234" i="1"/>
  <c r="G5234" i="1"/>
  <c r="F5234" i="1"/>
  <c r="E5234" i="1"/>
  <c r="D5234" i="1"/>
  <c r="C5234" i="1"/>
  <c r="A5234" i="1"/>
  <c r="R5233" i="1"/>
  <c r="Q5233" i="1"/>
  <c r="N5233" i="1"/>
  <c r="J5233" i="1"/>
  <c r="I5233" i="1"/>
  <c r="H5233" i="1"/>
  <c r="G5233" i="1"/>
  <c r="F5233" i="1"/>
  <c r="E5233" i="1"/>
  <c r="D5233" i="1"/>
  <c r="C5233" i="1"/>
  <c r="A5233" i="1"/>
  <c r="R5232" i="1"/>
  <c r="Q5232" i="1"/>
  <c r="N5232" i="1"/>
  <c r="J5232" i="1"/>
  <c r="I5232" i="1"/>
  <c r="H5232" i="1"/>
  <c r="G5232" i="1"/>
  <c r="F5232" i="1"/>
  <c r="E5232" i="1"/>
  <c r="D5232" i="1"/>
  <c r="C5232" i="1"/>
  <c r="A5232" i="1"/>
  <c r="R5231" i="1"/>
  <c r="Q5231" i="1"/>
  <c r="N5231" i="1"/>
  <c r="J5231" i="1"/>
  <c r="I5231" i="1"/>
  <c r="H5231" i="1"/>
  <c r="G5231" i="1"/>
  <c r="F5231" i="1"/>
  <c r="E5231" i="1"/>
  <c r="D5231" i="1"/>
  <c r="C5231" i="1"/>
  <c r="A5231" i="1"/>
  <c r="R5230" i="1"/>
  <c r="Q5230" i="1"/>
  <c r="N5230" i="1"/>
  <c r="J5230" i="1"/>
  <c r="I5230" i="1"/>
  <c r="H5230" i="1"/>
  <c r="G5230" i="1"/>
  <c r="F5230" i="1"/>
  <c r="E5230" i="1"/>
  <c r="D5230" i="1"/>
  <c r="C5230" i="1"/>
  <c r="A5230" i="1"/>
  <c r="R5229" i="1"/>
  <c r="Q5229" i="1"/>
  <c r="N5229" i="1"/>
  <c r="J5229" i="1"/>
  <c r="I5229" i="1"/>
  <c r="H5229" i="1"/>
  <c r="G5229" i="1"/>
  <c r="F5229" i="1"/>
  <c r="E5229" i="1"/>
  <c r="D5229" i="1"/>
  <c r="C5229" i="1"/>
  <c r="A5229" i="1"/>
  <c r="R5228" i="1"/>
  <c r="Q5228" i="1"/>
  <c r="N5228" i="1"/>
  <c r="J5228" i="1"/>
  <c r="I5228" i="1"/>
  <c r="H5228" i="1"/>
  <c r="G5228" i="1"/>
  <c r="F5228" i="1"/>
  <c r="E5228" i="1"/>
  <c r="D5228" i="1"/>
  <c r="C5228" i="1"/>
  <c r="A5228" i="1"/>
  <c r="R5227" i="1"/>
  <c r="Q5227" i="1"/>
  <c r="N5227" i="1"/>
  <c r="J5227" i="1"/>
  <c r="I5227" i="1"/>
  <c r="H5227" i="1"/>
  <c r="G5227" i="1"/>
  <c r="F5227" i="1"/>
  <c r="E5227" i="1"/>
  <c r="D5227" i="1"/>
  <c r="C5227" i="1"/>
  <c r="A5227" i="1"/>
  <c r="R5226" i="1"/>
  <c r="Q5226" i="1"/>
  <c r="N5226" i="1"/>
  <c r="J5226" i="1"/>
  <c r="I5226" i="1"/>
  <c r="H5226" i="1"/>
  <c r="G5226" i="1"/>
  <c r="F5226" i="1"/>
  <c r="E5226" i="1"/>
  <c r="D5226" i="1"/>
  <c r="C5226" i="1"/>
  <c r="A5226" i="1"/>
  <c r="R5225" i="1"/>
  <c r="Q5225" i="1"/>
  <c r="N5225" i="1"/>
  <c r="J5225" i="1"/>
  <c r="I5225" i="1"/>
  <c r="H5225" i="1"/>
  <c r="G5225" i="1"/>
  <c r="F5225" i="1"/>
  <c r="E5225" i="1"/>
  <c r="D5225" i="1"/>
  <c r="C5225" i="1"/>
  <c r="A5225" i="1"/>
  <c r="R5224" i="1"/>
  <c r="Q5224" i="1"/>
  <c r="N5224" i="1"/>
  <c r="J5224" i="1"/>
  <c r="I5224" i="1"/>
  <c r="H5224" i="1"/>
  <c r="G5224" i="1"/>
  <c r="F5224" i="1"/>
  <c r="E5224" i="1"/>
  <c r="D5224" i="1"/>
  <c r="C5224" i="1"/>
  <c r="A5224" i="1"/>
  <c r="R5223" i="1"/>
  <c r="Q5223" i="1"/>
  <c r="N5223" i="1"/>
  <c r="J5223" i="1"/>
  <c r="I5223" i="1"/>
  <c r="H5223" i="1"/>
  <c r="G5223" i="1"/>
  <c r="F5223" i="1"/>
  <c r="E5223" i="1"/>
  <c r="D5223" i="1"/>
  <c r="C5223" i="1"/>
  <c r="A5223" i="1"/>
  <c r="R5222" i="1"/>
  <c r="Q5222" i="1"/>
  <c r="N5222" i="1"/>
  <c r="J5222" i="1"/>
  <c r="I5222" i="1"/>
  <c r="H5222" i="1"/>
  <c r="G5222" i="1"/>
  <c r="F5222" i="1"/>
  <c r="E5222" i="1"/>
  <c r="D5222" i="1"/>
  <c r="C5222" i="1"/>
  <c r="A5222" i="1"/>
  <c r="R5221" i="1"/>
  <c r="Q5221" i="1"/>
  <c r="N5221" i="1"/>
  <c r="J5221" i="1"/>
  <c r="I5221" i="1"/>
  <c r="H5221" i="1"/>
  <c r="G5221" i="1"/>
  <c r="F5221" i="1"/>
  <c r="E5221" i="1"/>
  <c r="D5221" i="1"/>
  <c r="C5221" i="1"/>
  <c r="A5221" i="1"/>
  <c r="R5220" i="1"/>
  <c r="Q5220" i="1"/>
  <c r="N5220" i="1"/>
  <c r="J5220" i="1"/>
  <c r="I5220" i="1"/>
  <c r="H5220" i="1"/>
  <c r="G5220" i="1"/>
  <c r="F5220" i="1"/>
  <c r="E5220" i="1"/>
  <c r="D5220" i="1"/>
  <c r="C5220" i="1"/>
  <c r="A5220" i="1"/>
  <c r="R5219" i="1"/>
  <c r="Q5219" i="1"/>
  <c r="N5219" i="1"/>
  <c r="J5219" i="1"/>
  <c r="I5219" i="1"/>
  <c r="H5219" i="1"/>
  <c r="G5219" i="1"/>
  <c r="F5219" i="1"/>
  <c r="E5219" i="1"/>
  <c r="D5219" i="1"/>
  <c r="C5219" i="1"/>
  <c r="A5219" i="1"/>
  <c r="R5218" i="1"/>
  <c r="Q5218" i="1"/>
  <c r="N5218" i="1"/>
  <c r="J5218" i="1"/>
  <c r="I5218" i="1"/>
  <c r="H5218" i="1"/>
  <c r="G5218" i="1"/>
  <c r="F5218" i="1"/>
  <c r="E5218" i="1"/>
  <c r="D5218" i="1"/>
  <c r="C5218" i="1"/>
  <c r="A5218" i="1"/>
  <c r="R5217" i="1"/>
  <c r="Q5217" i="1"/>
  <c r="N5217" i="1"/>
  <c r="J5217" i="1"/>
  <c r="I5217" i="1"/>
  <c r="H5217" i="1"/>
  <c r="G5217" i="1"/>
  <c r="F5217" i="1"/>
  <c r="E5217" i="1"/>
  <c r="D5217" i="1"/>
  <c r="C5217" i="1"/>
  <c r="A5217" i="1"/>
  <c r="R5216" i="1"/>
  <c r="Q5216" i="1"/>
  <c r="N5216" i="1"/>
  <c r="J5216" i="1"/>
  <c r="I5216" i="1"/>
  <c r="H5216" i="1"/>
  <c r="G5216" i="1"/>
  <c r="F5216" i="1"/>
  <c r="E5216" i="1"/>
  <c r="D5216" i="1"/>
  <c r="C5216" i="1"/>
  <c r="A5216" i="1"/>
  <c r="R5215" i="1"/>
  <c r="Q5215" i="1"/>
  <c r="N5215" i="1"/>
  <c r="J5215" i="1"/>
  <c r="I5215" i="1"/>
  <c r="H5215" i="1"/>
  <c r="G5215" i="1"/>
  <c r="F5215" i="1"/>
  <c r="E5215" i="1"/>
  <c r="D5215" i="1"/>
  <c r="C5215" i="1"/>
  <c r="A5215" i="1"/>
  <c r="R5214" i="1"/>
  <c r="Q5214" i="1"/>
  <c r="N5214" i="1"/>
  <c r="J5214" i="1"/>
  <c r="I5214" i="1"/>
  <c r="H5214" i="1"/>
  <c r="G5214" i="1"/>
  <c r="F5214" i="1"/>
  <c r="E5214" i="1"/>
  <c r="D5214" i="1"/>
  <c r="C5214" i="1"/>
  <c r="A5214" i="1"/>
  <c r="R5213" i="1"/>
  <c r="Q5213" i="1"/>
  <c r="N5213" i="1"/>
  <c r="J5213" i="1"/>
  <c r="I5213" i="1"/>
  <c r="H5213" i="1"/>
  <c r="G5213" i="1"/>
  <c r="F5213" i="1"/>
  <c r="E5213" i="1"/>
  <c r="D5213" i="1"/>
  <c r="C5213" i="1"/>
  <c r="A5213" i="1"/>
  <c r="R5212" i="1"/>
  <c r="Q5212" i="1"/>
  <c r="N5212" i="1"/>
  <c r="J5212" i="1"/>
  <c r="I5212" i="1"/>
  <c r="H5212" i="1"/>
  <c r="G5212" i="1"/>
  <c r="F5212" i="1"/>
  <c r="E5212" i="1"/>
  <c r="D5212" i="1"/>
  <c r="C5212" i="1"/>
  <c r="A5212" i="1"/>
  <c r="R5211" i="1"/>
  <c r="Q5211" i="1"/>
  <c r="N5211" i="1"/>
  <c r="J5211" i="1"/>
  <c r="I5211" i="1"/>
  <c r="H5211" i="1"/>
  <c r="G5211" i="1"/>
  <c r="F5211" i="1"/>
  <c r="E5211" i="1"/>
  <c r="D5211" i="1"/>
  <c r="C5211" i="1"/>
  <c r="A5211" i="1"/>
  <c r="R5210" i="1"/>
  <c r="Q5210" i="1"/>
  <c r="N5210" i="1"/>
  <c r="J5210" i="1"/>
  <c r="I5210" i="1"/>
  <c r="H5210" i="1"/>
  <c r="G5210" i="1"/>
  <c r="F5210" i="1"/>
  <c r="E5210" i="1"/>
  <c r="D5210" i="1"/>
  <c r="C5210" i="1"/>
  <c r="A5210" i="1"/>
  <c r="R5209" i="1"/>
  <c r="Q5209" i="1"/>
  <c r="N5209" i="1"/>
  <c r="J5209" i="1"/>
  <c r="I5209" i="1"/>
  <c r="H5209" i="1"/>
  <c r="G5209" i="1"/>
  <c r="F5209" i="1"/>
  <c r="E5209" i="1"/>
  <c r="D5209" i="1"/>
  <c r="C5209" i="1"/>
  <c r="A5209" i="1"/>
  <c r="R5208" i="1"/>
  <c r="Q5208" i="1"/>
  <c r="N5208" i="1"/>
  <c r="J5208" i="1"/>
  <c r="I5208" i="1"/>
  <c r="H5208" i="1"/>
  <c r="G5208" i="1"/>
  <c r="F5208" i="1"/>
  <c r="E5208" i="1"/>
  <c r="D5208" i="1"/>
  <c r="C5208" i="1"/>
  <c r="A5208" i="1"/>
  <c r="R5207" i="1"/>
  <c r="Q5207" i="1"/>
  <c r="N5207" i="1"/>
  <c r="J5207" i="1"/>
  <c r="I5207" i="1"/>
  <c r="H5207" i="1"/>
  <c r="G5207" i="1"/>
  <c r="F5207" i="1"/>
  <c r="E5207" i="1"/>
  <c r="D5207" i="1"/>
  <c r="C5207" i="1"/>
  <c r="A5207" i="1"/>
  <c r="R5206" i="1"/>
  <c r="Q5206" i="1"/>
  <c r="N5206" i="1"/>
  <c r="J5206" i="1"/>
  <c r="I5206" i="1"/>
  <c r="H5206" i="1"/>
  <c r="G5206" i="1"/>
  <c r="F5206" i="1"/>
  <c r="E5206" i="1"/>
  <c r="D5206" i="1"/>
  <c r="C5206" i="1"/>
  <c r="A5206" i="1"/>
  <c r="R5205" i="1"/>
  <c r="Q5205" i="1"/>
  <c r="N5205" i="1"/>
  <c r="J5205" i="1"/>
  <c r="I5205" i="1"/>
  <c r="H5205" i="1"/>
  <c r="G5205" i="1"/>
  <c r="F5205" i="1"/>
  <c r="E5205" i="1"/>
  <c r="D5205" i="1"/>
  <c r="C5205" i="1"/>
  <c r="A5205" i="1"/>
  <c r="R5204" i="1"/>
  <c r="Q5204" i="1"/>
  <c r="N5204" i="1"/>
  <c r="J5204" i="1"/>
  <c r="I5204" i="1"/>
  <c r="H5204" i="1"/>
  <c r="G5204" i="1"/>
  <c r="F5204" i="1"/>
  <c r="E5204" i="1"/>
  <c r="D5204" i="1"/>
  <c r="C5204" i="1"/>
  <c r="A5204" i="1"/>
  <c r="R5203" i="1"/>
  <c r="Q5203" i="1"/>
  <c r="N5203" i="1"/>
  <c r="J5203" i="1"/>
  <c r="I5203" i="1"/>
  <c r="H5203" i="1"/>
  <c r="G5203" i="1"/>
  <c r="F5203" i="1"/>
  <c r="E5203" i="1"/>
  <c r="D5203" i="1"/>
  <c r="C5203" i="1"/>
  <c r="A5203" i="1"/>
  <c r="R5202" i="1"/>
  <c r="Q5202" i="1"/>
  <c r="N5202" i="1"/>
  <c r="J5202" i="1"/>
  <c r="I5202" i="1"/>
  <c r="H5202" i="1"/>
  <c r="G5202" i="1"/>
  <c r="F5202" i="1"/>
  <c r="E5202" i="1"/>
  <c r="D5202" i="1"/>
  <c r="C5202" i="1"/>
  <c r="A5202" i="1"/>
  <c r="R5201" i="1"/>
  <c r="Q5201" i="1"/>
  <c r="N5201" i="1"/>
  <c r="J5201" i="1"/>
  <c r="I5201" i="1"/>
  <c r="H5201" i="1"/>
  <c r="G5201" i="1"/>
  <c r="F5201" i="1"/>
  <c r="E5201" i="1"/>
  <c r="D5201" i="1"/>
  <c r="C5201" i="1"/>
  <c r="A5201" i="1"/>
  <c r="R5200" i="1"/>
  <c r="Q5200" i="1"/>
  <c r="N5200" i="1"/>
  <c r="J5200" i="1"/>
  <c r="I5200" i="1"/>
  <c r="H5200" i="1"/>
  <c r="G5200" i="1"/>
  <c r="F5200" i="1"/>
  <c r="E5200" i="1"/>
  <c r="D5200" i="1"/>
  <c r="C5200" i="1"/>
  <c r="A5200" i="1"/>
  <c r="R5199" i="1"/>
  <c r="Q5199" i="1"/>
  <c r="N5199" i="1"/>
  <c r="J5199" i="1"/>
  <c r="I5199" i="1"/>
  <c r="H5199" i="1"/>
  <c r="G5199" i="1"/>
  <c r="F5199" i="1"/>
  <c r="E5199" i="1"/>
  <c r="D5199" i="1"/>
  <c r="C5199" i="1"/>
  <c r="A5199" i="1"/>
  <c r="R5198" i="1"/>
  <c r="Q5198" i="1"/>
  <c r="N5198" i="1"/>
  <c r="J5198" i="1"/>
  <c r="I5198" i="1"/>
  <c r="H5198" i="1"/>
  <c r="G5198" i="1"/>
  <c r="F5198" i="1"/>
  <c r="E5198" i="1"/>
  <c r="D5198" i="1"/>
  <c r="C5198" i="1"/>
  <c r="A5198" i="1"/>
  <c r="R5197" i="1"/>
  <c r="Q5197" i="1"/>
  <c r="N5197" i="1"/>
  <c r="J5197" i="1"/>
  <c r="I5197" i="1"/>
  <c r="H5197" i="1"/>
  <c r="G5197" i="1"/>
  <c r="F5197" i="1"/>
  <c r="E5197" i="1"/>
  <c r="D5197" i="1"/>
  <c r="C5197" i="1"/>
  <c r="A5197" i="1"/>
  <c r="R5196" i="1"/>
  <c r="Q5196" i="1"/>
  <c r="N5196" i="1"/>
  <c r="J5196" i="1"/>
  <c r="I5196" i="1"/>
  <c r="H5196" i="1"/>
  <c r="G5196" i="1"/>
  <c r="F5196" i="1"/>
  <c r="E5196" i="1"/>
  <c r="D5196" i="1"/>
  <c r="C5196" i="1"/>
  <c r="A5196" i="1"/>
  <c r="R5195" i="1"/>
  <c r="Q5195" i="1"/>
  <c r="N5195" i="1"/>
  <c r="J5195" i="1"/>
  <c r="I5195" i="1"/>
  <c r="H5195" i="1"/>
  <c r="G5195" i="1"/>
  <c r="F5195" i="1"/>
  <c r="E5195" i="1"/>
  <c r="D5195" i="1"/>
  <c r="C5195" i="1"/>
  <c r="A5195" i="1"/>
  <c r="R5194" i="1"/>
  <c r="Q5194" i="1"/>
  <c r="N5194" i="1"/>
  <c r="J5194" i="1"/>
  <c r="I5194" i="1"/>
  <c r="H5194" i="1"/>
  <c r="G5194" i="1"/>
  <c r="F5194" i="1"/>
  <c r="E5194" i="1"/>
  <c r="D5194" i="1"/>
  <c r="C5194" i="1"/>
  <c r="A5194" i="1"/>
  <c r="R5193" i="1"/>
  <c r="Q5193" i="1"/>
  <c r="N5193" i="1"/>
  <c r="J5193" i="1"/>
  <c r="I5193" i="1"/>
  <c r="H5193" i="1"/>
  <c r="G5193" i="1"/>
  <c r="F5193" i="1"/>
  <c r="E5193" i="1"/>
  <c r="D5193" i="1"/>
  <c r="C5193" i="1"/>
  <c r="A5193" i="1"/>
  <c r="R5192" i="1"/>
  <c r="Q5192" i="1"/>
  <c r="N5192" i="1"/>
  <c r="J5192" i="1"/>
  <c r="I5192" i="1"/>
  <c r="H5192" i="1"/>
  <c r="G5192" i="1"/>
  <c r="F5192" i="1"/>
  <c r="E5192" i="1"/>
  <c r="D5192" i="1"/>
  <c r="C5192" i="1"/>
  <c r="A5192" i="1"/>
  <c r="R5191" i="1"/>
  <c r="Q5191" i="1"/>
  <c r="N5191" i="1"/>
  <c r="J5191" i="1"/>
  <c r="I5191" i="1"/>
  <c r="H5191" i="1"/>
  <c r="G5191" i="1"/>
  <c r="F5191" i="1"/>
  <c r="E5191" i="1"/>
  <c r="D5191" i="1"/>
  <c r="C5191" i="1"/>
  <c r="A5191" i="1"/>
  <c r="R5190" i="1"/>
  <c r="Q5190" i="1"/>
  <c r="N5190" i="1"/>
  <c r="J5190" i="1"/>
  <c r="I5190" i="1"/>
  <c r="H5190" i="1"/>
  <c r="G5190" i="1"/>
  <c r="F5190" i="1"/>
  <c r="E5190" i="1"/>
  <c r="D5190" i="1"/>
  <c r="C5190" i="1"/>
  <c r="A5190" i="1"/>
  <c r="R5189" i="1"/>
  <c r="Q5189" i="1"/>
  <c r="N5189" i="1"/>
  <c r="J5189" i="1"/>
  <c r="I5189" i="1"/>
  <c r="H5189" i="1"/>
  <c r="G5189" i="1"/>
  <c r="F5189" i="1"/>
  <c r="E5189" i="1"/>
  <c r="D5189" i="1"/>
  <c r="C5189" i="1"/>
  <c r="A5189" i="1"/>
  <c r="R5188" i="1"/>
  <c r="Q5188" i="1"/>
  <c r="N5188" i="1"/>
  <c r="J5188" i="1"/>
  <c r="I5188" i="1"/>
  <c r="H5188" i="1"/>
  <c r="G5188" i="1"/>
  <c r="F5188" i="1"/>
  <c r="E5188" i="1"/>
  <c r="D5188" i="1"/>
  <c r="C5188" i="1"/>
  <c r="A5188" i="1"/>
  <c r="R5187" i="1"/>
  <c r="Q5187" i="1"/>
  <c r="N5187" i="1"/>
  <c r="J5187" i="1"/>
  <c r="I5187" i="1"/>
  <c r="H5187" i="1"/>
  <c r="G5187" i="1"/>
  <c r="F5187" i="1"/>
  <c r="E5187" i="1"/>
  <c r="D5187" i="1"/>
  <c r="C5187" i="1"/>
  <c r="A5187" i="1"/>
  <c r="R5186" i="1"/>
  <c r="N5186" i="1"/>
  <c r="J5186" i="1"/>
  <c r="I5186" i="1"/>
  <c r="H5186" i="1"/>
  <c r="G5186" i="1"/>
  <c r="F5186" i="1"/>
  <c r="E5186" i="1"/>
  <c r="D5186" i="1"/>
  <c r="C5186" i="1"/>
  <c r="A5186" i="1"/>
  <c r="R5185" i="1"/>
  <c r="Q5185" i="1"/>
  <c r="N5185" i="1"/>
  <c r="J5185" i="1"/>
  <c r="I5185" i="1"/>
  <c r="H5185" i="1"/>
  <c r="G5185" i="1"/>
  <c r="F5185" i="1"/>
  <c r="E5185" i="1"/>
  <c r="D5185" i="1"/>
  <c r="C5185" i="1"/>
  <c r="A5185" i="1"/>
  <c r="R5184" i="1"/>
  <c r="Q5184" i="1"/>
  <c r="N5184" i="1"/>
  <c r="J5184" i="1"/>
  <c r="I5184" i="1"/>
  <c r="H5184" i="1"/>
  <c r="G5184" i="1"/>
  <c r="F5184" i="1"/>
  <c r="E5184" i="1"/>
  <c r="D5184" i="1"/>
  <c r="C5184" i="1"/>
  <c r="A5184" i="1"/>
  <c r="R5183" i="1"/>
  <c r="Q5183" i="1"/>
  <c r="N5183" i="1"/>
  <c r="J5183" i="1"/>
  <c r="I5183" i="1"/>
  <c r="H5183" i="1"/>
  <c r="G5183" i="1"/>
  <c r="F5183" i="1"/>
  <c r="E5183" i="1"/>
  <c r="D5183" i="1"/>
  <c r="C5183" i="1"/>
  <c r="A5183" i="1"/>
  <c r="R5182" i="1"/>
  <c r="Q5182" i="1"/>
  <c r="N5182" i="1"/>
  <c r="J5182" i="1"/>
  <c r="I5182" i="1"/>
  <c r="H5182" i="1"/>
  <c r="G5182" i="1"/>
  <c r="F5182" i="1"/>
  <c r="E5182" i="1"/>
  <c r="D5182" i="1"/>
  <c r="C5182" i="1"/>
  <c r="A5182" i="1"/>
  <c r="R5181" i="1"/>
  <c r="Q5181" i="1"/>
  <c r="N5181" i="1"/>
  <c r="J5181" i="1"/>
  <c r="I5181" i="1"/>
  <c r="H5181" i="1"/>
  <c r="G5181" i="1"/>
  <c r="F5181" i="1"/>
  <c r="E5181" i="1"/>
  <c r="D5181" i="1"/>
  <c r="C5181" i="1"/>
  <c r="A5181" i="1"/>
  <c r="R5180" i="1"/>
  <c r="Q5180" i="1"/>
  <c r="N5180" i="1"/>
  <c r="J5180" i="1"/>
  <c r="I5180" i="1"/>
  <c r="H5180" i="1"/>
  <c r="G5180" i="1"/>
  <c r="F5180" i="1"/>
  <c r="E5180" i="1"/>
  <c r="D5180" i="1"/>
  <c r="C5180" i="1"/>
  <c r="A5180" i="1"/>
  <c r="R5179" i="1"/>
  <c r="Q5179" i="1"/>
  <c r="N5179" i="1"/>
  <c r="J5179" i="1"/>
  <c r="I5179" i="1"/>
  <c r="H5179" i="1"/>
  <c r="G5179" i="1"/>
  <c r="F5179" i="1"/>
  <c r="E5179" i="1"/>
  <c r="D5179" i="1"/>
  <c r="C5179" i="1"/>
  <c r="A5179" i="1"/>
  <c r="R5178" i="1"/>
  <c r="Q5178" i="1"/>
  <c r="N5178" i="1"/>
  <c r="J5178" i="1"/>
  <c r="I5178" i="1"/>
  <c r="H5178" i="1"/>
  <c r="G5178" i="1"/>
  <c r="F5178" i="1"/>
  <c r="E5178" i="1"/>
  <c r="D5178" i="1"/>
  <c r="C5178" i="1"/>
  <c r="A5178" i="1"/>
  <c r="R5177" i="1"/>
  <c r="Q5177" i="1"/>
  <c r="N5177" i="1"/>
  <c r="J5177" i="1"/>
  <c r="I5177" i="1"/>
  <c r="H5177" i="1"/>
  <c r="G5177" i="1"/>
  <c r="F5177" i="1"/>
  <c r="E5177" i="1"/>
  <c r="D5177" i="1"/>
  <c r="C5177" i="1"/>
  <c r="A5177" i="1"/>
  <c r="R5176" i="1"/>
  <c r="N5176" i="1"/>
  <c r="J5176" i="1"/>
  <c r="I5176" i="1"/>
  <c r="H5176" i="1"/>
  <c r="G5176" i="1"/>
  <c r="F5176" i="1"/>
  <c r="E5176" i="1"/>
  <c r="D5176" i="1"/>
  <c r="C5176" i="1"/>
  <c r="A5176" i="1"/>
  <c r="R5175" i="1"/>
  <c r="Q5175" i="1"/>
  <c r="N5175" i="1"/>
  <c r="J5175" i="1"/>
  <c r="I5175" i="1"/>
  <c r="H5175" i="1"/>
  <c r="G5175" i="1"/>
  <c r="F5175" i="1"/>
  <c r="E5175" i="1"/>
  <c r="D5175" i="1"/>
  <c r="C5175" i="1"/>
  <c r="A5175" i="1"/>
  <c r="R5174" i="1"/>
  <c r="Q5174" i="1"/>
  <c r="N5174" i="1"/>
  <c r="J5174" i="1"/>
  <c r="I5174" i="1"/>
  <c r="H5174" i="1"/>
  <c r="G5174" i="1"/>
  <c r="F5174" i="1"/>
  <c r="E5174" i="1"/>
  <c r="D5174" i="1"/>
  <c r="C5174" i="1"/>
  <c r="A5174" i="1"/>
  <c r="R5173" i="1"/>
  <c r="Q5173" i="1"/>
  <c r="N5173" i="1"/>
  <c r="J5173" i="1"/>
  <c r="I5173" i="1"/>
  <c r="H5173" i="1"/>
  <c r="G5173" i="1"/>
  <c r="F5173" i="1"/>
  <c r="E5173" i="1"/>
  <c r="D5173" i="1"/>
  <c r="C5173" i="1"/>
  <c r="A5173" i="1"/>
  <c r="R5172" i="1"/>
  <c r="Q5172" i="1"/>
  <c r="N5172" i="1"/>
  <c r="J5172" i="1"/>
  <c r="I5172" i="1"/>
  <c r="H5172" i="1"/>
  <c r="G5172" i="1"/>
  <c r="F5172" i="1"/>
  <c r="E5172" i="1"/>
  <c r="D5172" i="1"/>
  <c r="C5172" i="1"/>
  <c r="A5172" i="1"/>
  <c r="R5171" i="1"/>
  <c r="Q5171" i="1"/>
  <c r="N5171" i="1"/>
  <c r="J5171" i="1"/>
  <c r="I5171" i="1"/>
  <c r="H5171" i="1"/>
  <c r="G5171" i="1"/>
  <c r="F5171" i="1"/>
  <c r="E5171" i="1"/>
  <c r="D5171" i="1"/>
  <c r="C5171" i="1"/>
  <c r="A5171" i="1"/>
  <c r="R5170" i="1"/>
  <c r="Q5170" i="1"/>
  <c r="N5170" i="1"/>
  <c r="J5170" i="1"/>
  <c r="I5170" i="1"/>
  <c r="H5170" i="1"/>
  <c r="G5170" i="1"/>
  <c r="F5170" i="1"/>
  <c r="E5170" i="1"/>
  <c r="D5170" i="1"/>
  <c r="C5170" i="1"/>
  <c r="A5170" i="1"/>
  <c r="R5169" i="1"/>
  <c r="Q5169" i="1"/>
  <c r="N5169" i="1"/>
  <c r="J5169" i="1"/>
  <c r="I5169" i="1"/>
  <c r="H5169" i="1"/>
  <c r="G5169" i="1"/>
  <c r="F5169" i="1"/>
  <c r="E5169" i="1"/>
  <c r="D5169" i="1"/>
  <c r="C5169" i="1"/>
  <c r="A5169" i="1"/>
  <c r="R5168" i="1"/>
  <c r="Q5168" i="1"/>
  <c r="N5168" i="1"/>
  <c r="J5168" i="1"/>
  <c r="I5168" i="1"/>
  <c r="H5168" i="1"/>
  <c r="G5168" i="1"/>
  <c r="F5168" i="1"/>
  <c r="E5168" i="1"/>
  <c r="D5168" i="1"/>
  <c r="C5168" i="1"/>
  <c r="A5168" i="1"/>
  <c r="R5167" i="1"/>
  <c r="Q5167" i="1"/>
  <c r="N5167" i="1"/>
  <c r="J5167" i="1"/>
  <c r="I5167" i="1"/>
  <c r="H5167" i="1"/>
  <c r="G5167" i="1"/>
  <c r="F5167" i="1"/>
  <c r="E5167" i="1"/>
  <c r="D5167" i="1"/>
  <c r="C5167" i="1"/>
  <c r="A5167" i="1"/>
  <c r="R5166" i="1"/>
  <c r="Q5166" i="1"/>
  <c r="N5166" i="1"/>
  <c r="J5166" i="1"/>
  <c r="I5166" i="1"/>
  <c r="H5166" i="1"/>
  <c r="G5166" i="1"/>
  <c r="F5166" i="1"/>
  <c r="E5166" i="1"/>
  <c r="D5166" i="1"/>
  <c r="C5166" i="1"/>
  <c r="A5166" i="1"/>
  <c r="R5165" i="1"/>
  <c r="Q5165" i="1"/>
  <c r="N5165" i="1"/>
  <c r="J5165" i="1"/>
  <c r="I5165" i="1"/>
  <c r="H5165" i="1"/>
  <c r="G5165" i="1"/>
  <c r="F5165" i="1"/>
  <c r="E5165" i="1"/>
  <c r="D5165" i="1"/>
  <c r="C5165" i="1"/>
  <c r="A5165" i="1"/>
  <c r="R5164" i="1"/>
  <c r="Q5164" i="1"/>
  <c r="N5164" i="1"/>
  <c r="J5164" i="1"/>
  <c r="I5164" i="1"/>
  <c r="H5164" i="1"/>
  <c r="G5164" i="1"/>
  <c r="F5164" i="1"/>
  <c r="E5164" i="1"/>
  <c r="D5164" i="1"/>
  <c r="C5164" i="1"/>
  <c r="A5164" i="1"/>
  <c r="R5163" i="1"/>
  <c r="N5163" i="1"/>
  <c r="J5163" i="1"/>
  <c r="I5163" i="1"/>
  <c r="H5163" i="1"/>
  <c r="G5163" i="1"/>
  <c r="F5163" i="1"/>
  <c r="E5163" i="1"/>
  <c r="D5163" i="1"/>
  <c r="C5163" i="1"/>
  <c r="B5163" i="1"/>
  <c r="A5163" i="1"/>
  <c r="R5162" i="1"/>
  <c r="Q5162" i="1"/>
  <c r="N5162" i="1"/>
  <c r="J5162" i="1"/>
  <c r="I5162" i="1"/>
  <c r="H5162" i="1"/>
  <c r="G5162" i="1"/>
  <c r="F5162" i="1"/>
  <c r="E5162" i="1"/>
  <c r="D5162" i="1"/>
  <c r="C5162" i="1"/>
  <c r="B5162" i="1"/>
  <c r="A5162" i="1"/>
  <c r="R5161" i="1"/>
  <c r="N5161" i="1"/>
  <c r="J5161" i="1"/>
  <c r="I5161" i="1"/>
  <c r="H5161" i="1"/>
  <c r="G5161" i="1"/>
  <c r="F5161" i="1"/>
  <c r="E5161" i="1"/>
  <c r="D5161" i="1"/>
  <c r="C5161" i="1"/>
  <c r="B5161" i="1"/>
  <c r="A5161" i="1"/>
  <c r="R5160" i="1"/>
  <c r="Q5160" i="1"/>
  <c r="N5160" i="1"/>
  <c r="J5160" i="1"/>
  <c r="I5160" i="1"/>
  <c r="H5160" i="1"/>
  <c r="G5160" i="1"/>
  <c r="F5160" i="1"/>
  <c r="E5160" i="1"/>
  <c r="D5160" i="1"/>
  <c r="C5160" i="1"/>
  <c r="B5160" i="1"/>
  <c r="A5160" i="1"/>
  <c r="R5159" i="1"/>
  <c r="N5159" i="1"/>
  <c r="J5159" i="1"/>
  <c r="I5159" i="1"/>
  <c r="H5159" i="1"/>
  <c r="G5159" i="1"/>
  <c r="F5159" i="1"/>
  <c r="E5159" i="1"/>
  <c r="D5159" i="1"/>
  <c r="C5159" i="1"/>
  <c r="B5159" i="1"/>
  <c r="A5159" i="1"/>
  <c r="R5158" i="1"/>
  <c r="Q5158" i="1"/>
  <c r="N5158" i="1"/>
  <c r="J5158" i="1"/>
  <c r="I5158" i="1"/>
  <c r="H5158" i="1"/>
  <c r="G5158" i="1"/>
  <c r="F5158" i="1"/>
  <c r="E5158" i="1"/>
  <c r="D5158" i="1"/>
  <c r="C5158" i="1"/>
  <c r="B5158" i="1"/>
  <c r="A5158" i="1"/>
  <c r="R5157" i="1"/>
  <c r="N5157" i="1"/>
  <c r="J5157" i="1"/>
  <c r="I5157" i="1"/>
  <c r="H5157" i="1"/>
  <c r="G5157" i="1"/>
  <c r="F5157" i="1"/>
  <c r="E5157" i="1"/>
  <c r="D5157" i="1"/>
  <c r="C5157" i="1"/>
  <c r="B5157" i="1"/>
  <c r="A5157" i="1"/>
  <c r="R5156" i="1"/>
  <c r="Q5156" i="1"/>
  <c r="N5156" i="1"/>
  <c r="J5156" i="1"/>
  <c r="I5156" i="1"/>
  <c r="H5156" i="1"/>
  <c r="G5156" i="1"/>
  <c r="F5156" i="1"/>
  <c r="E5156" i="1"/>
  <c r="D5156" i="1"/>
  <c r="C5156" i="1"/>
  <c r="B5156" i="1"/>
  <c r="A5156" i="1"/>
  <c r="R5155" i="1"/>
  <c r="N5155" i="1"/>
  <c r="J5155" i="1"/>
  <c r="I5155" i="1"/>
  <c r="H5155" i="1"/>
  <c r="G5155" i="1"/>
  <c r="F5155" i="1"/>
  <c r="E5155" i="1"/>
  <c r="D5155" i="1"/>
  <c r="C5155" i="1"/>
  <c r="B5155" i="1"/>
  <c r="A5155" i="1"/>
  <c r="R5154" i="1"/>
  <c r="N5154" i="1"/>
  <c r="J5154" i="1"/>
  <c r="I5154" i="1"/>
  <c r="H5154" i="1"/>
  <c r="G5154" i="1"/>
  <c r="F5154" i="1"/>
  <c r="E5154" i="1"/>
  <c r="D5154" i="1"/>
  <c r="C5154" i="1"/>
  <c r="B5154" i="1"/>
  <c r="A5154" i="1"/>
  <c r="R5153" i="1"/>
  <c r="Q5153" i="1"/>
  <c r="N5153" i="1"/>
  <c r="J5153" i="1"/>
  <c r="I5153" i="1"/>
  <c r="H5153" i="1"/>
  <c r="G5153" i="1"/>
  <c r="F5153" i="1"/>
  <c r="E5153" i="1"/>
  <c r="D5153" i="1"/>
  <c r="C5153" i="1"/>
  <c r="B5153" i="1"/>
  <c r="A5153" i="1"/>
  <c r="R5152" i="1"/>
  <c r="N5152" i="1"/>
  <c r="J5152" i="1"/>
  <c r="I5152" i="1"/>
  <c r="H5152" i="1"/>
  <c r="G5152" i="1"/>
  <c r="F5152" i="1"/>
  <c r="E5152" i="1"/>
  <c r="D5152" i="1"/>
  <c r="C5152" i="1"/>
  <c r="B5152" i="1"/>
  <c r="A5152" i="1"/>
  <c r="R5151" i="1"/>
  <c r="N5151" i="1"/>
  <c r="J5151" i="1"/>
  <c r="I5151" i="1"/>
  <c r="H5151" i="1"/>
  <c r="G5151" i="1"/>
  <c r="F5151" i="1"/>
  <c r="E5151" i="1"/>
  <c r="D5151" i="1"/>
  <c r="C5151" i="1"/>
  <c r="B5151" i="1"/>
  <c r="A5151" i="1"/>
  <c r="R5150" i="1"/>
  <c r="N5150" i="1"/>
  <c r="J5150" i="1"/>
  <c r="I5150" i="1"/>
  <c r="H5150" i="1"/>
  <c r="G5150" i="1"/>
  <c r="F5150" i="1"/>
  <c r="E5150" i="1"/>
  <c r="D5150" i="1"/>
  <c r="C5150" i="1"/>
  <c r="B5150" i="1"/>
  <c r="A5150" i="1"/>
  <c r="R5149" i="1"/>
  <c r="Q5149" i="1"/>
  <c r="N5149" i="1"/>
  <c r="J5149" i="1"/>
  <c r="I5149" i="1"/>
  <c r="H5149" i="1"/>
  <c r="G5149" i="1"/>
  <c r="F5149" i="1"/>
  <c r="E5149" i="1"/>
  <c r="D5149" i="1"/>
  <c r="C5149" i="1"/>
  <c r="B5149" i="1"/>
  <c r="A5149" i="1"/>
  <c r="R5148" i="1"/>
  <c r="N5148" i="1"/>
  <c r="J5148" i="1"/>
  <c r="I5148" i="1"/>
  <c r="H5148" i="1"/>
  <c r="G5148" i="1"/>
  <c r="F5148" i="1"/>
  <c r="E5148" i="1"/>
  <c r="D5148" i="1"/>
  <c r="C5148" i="1"/>
  <c r="B5148" i="1"/>
  <c r="A5148" i="1"/>
  <c r="R5147" i="1"/>
  <c r="Q5147" i="1"/>
  <c r="N5147" i="1"/>
  <c r="J5147" i="1"/>
  <c r="I5147" i="1"/>
  <c r="H5147" i="1"/>
  <c r="G5147" i="1"/>
  <c r="F5147" i="1"/>
  <c r="E5147" i="1"/>
  <c r="D5147" i="1"/>
  <c r="C5147" i="1"/>
  <c r="A5147" i="1"/>
  <c r="R5146" i="1"/>
  <c r="N5146" i="1"/>
  <c r="J5146" i="1"/>
  <c r="I5146" i="1"/>
  <c r="H5146" i="1"/>
  <c r="G5146" i="1"/>
  <c r="F5146" i="1"/>
  <c r="E5146" i="1"/>
  <c r="D5146" i="1"/>
  <c r="C5146" i="1"/>
  <c r="A5146" i="1"/>
  <c r="R5145" i="1"/>
  <c r="Q5145" i="1"/>
  <c r="N5145" i="1"/>
  <c r="J5145" i="1"/>
  <c r="I5145" i="1"/>
  <c r="H5145" i="1"/>
  <c r="G5145" i="1"/>
  <c r="F5145" i="1"/>
  <c r="E5145" i="1"/>
  <c r="D5145" i="1"/>
  <c r="C5145" i="1"/>
  <c r="A5145" i="1"/>
  <c r="R5144" i="1"/>
  <c r="N5144" i="1"/>
  <c r="J5144" i="1"/>
  <c r="I5144" i="1"/>
  <c r="H5144" i="1"/>
  <c r="G5144" i="1"/>
  <c r="F5144" i="1"/>
  <c r="E5144" i="1"/>
  <c r="D5144" i="1"/>
  <c r="C5144" i="1"/>
  <c r="B5144" i="1"/>
  <c r="A5144" i="1"/>
  <c r="R5143" i="1"/>
  <c r="Q5143" i="1"/>
  <c r="N5143" i="1"/>
  <c r="J5143" i="1"/>
  <c r="I5143" i="1"/>
  <c r="H5143" i="1"/>
  <c r="G5143" i="1"/>
  <c r="F5143" i="1"/>
  <c r="E5143" i="1"/>
  <c r="D5143" i="1"/>
  <c r="C5143" i="1"/>
  <c r="B5143" i="1"/>
  <c r="A5143" i="1"/>
  <c r="R5142" i="1"/>
  <c r="N5142" i="1"/>
  <c r="J5142" i="1"/>
  <c r="I5142" i="1"/>
  <c r="H5142" i="1"/>
  <c r="G5142" i="1"/>
  <c r="F5142" i="1"/>
  <c r="E5142" i="1"/>
  <c r="D5142" i="1"/>
  <c r="C5142" i="1"/>
  <c r="B5142" i="1"/>
  <c r="A5142" i="1"/>
  <c r="R5141" i="1"/>
  <c r="Q5141" i="1"/>
  <c r="N5141" i="1"/>
  <c r="J5141" i="1"/>
  <c r="I5141" i="1"/>
  <c r="H5141" i="1"/>
  <c r="G5141" i="1"/>
  <c r="F5141" i="1"/>
  <c r="E5141" i="1"/>
  <c r="D5141" i="1"/>
  <c r="C5141" i="1"/>
  <c r="B5141" i="1"/>
  <c r="A5141" i="1"/>
  <c r="R5140" i="1"/>
  <c r="N5140" i="1"/>
  <c r="J5140" i="1"/>
  <c r="I5140" i="1"/>
  <c r="H5140" i="1"/>
  <c r="G5140" i="1"/>
  <c r="F5140" i="1"/>
  <c r="E5140" i="1"/>
  <c r="D5140" i="1"/>
  <c r="C5140" i="1"/>
  <c r="B5140" i="1"/>
  <c r="A5140" i="1"/>
  <c r="R5139" i="1"/>
  <c r="Q5139" i="1"/>
  <c r="N5139" i="1"/>
  <c r="J5139" i="1"/>
  <c r="I5139" i="1"/>
  <c r="H5139" i="1"/>
  <c r="G5139" i="1"/>
  <c r="F5139" i="1"/>
  <c r="E5139" i="1"/>
  <c r="D5139" i="1"/>
  <c r="C5139" i="1"/>
  <c r="B5139" i="1"/>
  <c r="A5139" i="1"/>
  <c r="R5138" i="1"/>
  <c r="N5138" i="1"/>
  <c r="J5138" i="1"/>
  <c r="I5138" i="1"/>
  <c r="H5138" i="1"/>
  <c r="G5138" i="1"/>
  <c r="F5138" i="1"/>
  <c r="E5138" i="1"/>
  <c r="D5138" i="1"/>
  <c r="C5138" i="1"/>
  <c r="B5138" i="1"/>
  <c r="A5138" i="1"/>
  <c r="R5137" i="1"/>
  <c r="Q5137" i="1"/>
  <c r="N5137" i="1"/>
  <c r="J5137" i="1"/>
  <c r="I5137" i="1"/>
  <c r="H5137" i="1"/>
  <c r="G5137" i="1"/>
  <c r="F5137" i="1"/>
  <c r="E5137" i="1"/>
  <c r="D5137" i="1"/>
  <c r="C5137" i="1"/>
  <c r="B5137" i="1"/>
  <c r="A5137" i="1"/>
  <c r="R5136" i="1"/>
  <c r="N5136" i="1"/>
  <c r="J5136" i="1"/>
  <c r="I5136" i="1"/>
  <c r="H5136" i="1"/>
  <c r="G5136" i="1"/>
  <c r="F5136" i="1"/>
  <c r="E5136" i="1"/>
  <c r="D5136" i="1"/>
  <c r="C5136" i="1"/>
  <c r="B5136" i="1"/>
  <c r="A5136" i="1"/>
  <c r="R5135" i="1"/>
  <c r="Q5135" i="1"/>
  <c r="N5135" i="1"/>
  <c r="J5135" i="1"/>
  <c r="I5135" i="1"/>
  <c r="H5135" i="1"/>
  <c r="G5135" i="1"/>
  <c r="F5135" i="1"/>
  <c r="E5135" i="1"/>
  <c r="D5135" i="1"/>
  <c r="C5135" i="1"/>
  <c r="B5135" i="1"/>
  <c r="A5135" i="1"/>
  <c r="R5134" i="1"/>
  <c r="N5134" i="1"/>
  <c r="J5134" i="1"/>
  <c r="I5134" i="1"/>
  <c r="H5134" i="1"/>
  <c r="G5134" i="1"/>
  <c r="F5134" i="1"/>
  <c r="E5134" i="1"/>
  <c r="D5134" i="1"/>
  <c r="C5134" i="1"/>
  <c r="B5134" i="1"/>
  <c r="A5134" i="1"/>
  <c r="R5133" i="1"/>
  <c r="Q5133" i="1"/>
  <c r="N5133" i="1"/>
  <c r="J5133" i="1"/>
  <c r="I5133" i="1"/>
  <c r="H5133" i="1"/>
  <c r="G5133" i="1"/>
  <c r="F5133" i="1"/>
  <c r="E5133" i="1"/>
  <c r="D5133" i="1"/>
  <c r="C5133" i="1"/>
  <c r="B5133" i="1"/>
  <c r="A5133" i="1"/>
  <c r="R5132" i="1"/>
  <c r="N5132" i="1"/>
  <c r="J5132" i="1"/>
  <c r="I5132" i="1"/>
  <c r="H5132" i="1"/>
  <c r="G5132" i="1"/>
  <c r="F5132" i="1"/>
  <c r="E5132" i="1"/>
  <c r="D5132" i="1"/>
  <c r="C5132" i="1"/>
  <c r="B5132" i="1"/>
  <c r="A5132" i="1"/>
  <c r="R5131" i="1"/>
  <c r="Q5131" i="1"/>
  <c r="N5131" i="1"/>
  <c r="J5131" i="1"/>
  <c r="I5131" i="1"/>
  <c r="H5131" i="1"/>
  <c r="G5131" i="1"/>
  <c r="F5131" i="1"/>
  <c r="E5131" i="1"/>
  <c r="D5131" i="1"/>
  <c r="C5131" i="1"/>
  <c r="B5131" i="1"/>
  <c r="A5131" i="1"/>
  <c r="R5130" i="1"/>
  <c r="N5130" i="1"/>
  <c r="J5130" i="1"/>
  <c r="I5130" i="1"/>
  <c r="H5130" i="1"/>
  <c r="G5130" i="1"/>
  <c r="F5130" i="1"/>
  <c r="E5130" i="1"/>
  <c r="D5130" i="1"/>
  <c r="C5130" i="1"/>
  <c r="B5130" i="1"/>
  <c r="A5130" i="1"/>
  <c r="R5129" i="1"/>
  <c r="Q5129" i="1"/>
  <c r="N5129" i="1"/>
  <c r="J5129" i="1"/>
  <c r="I5129" i="1"/>
  <c r="H5129" i="1"/>
  <c r="G5129" i="1"/>
  <c r="F5129" i="1"/>
  <c r="E5129" i="1"/>
  <c r="D5129" i="1"/>
  <c r="C5129" i="1"/>
  <c r="B5129" i="1"/>
  <c r="A5129" i="1"/>
  <c r="R5128" i="1"/>
  <c r="N5128" i="1"/>
  <c r="J5128" i="1"/>
  <c r="I5128" i="1"/>
  <c r="H5128" i="1"/>
  <c r="G5128" i="1"/>
  <c r="F5128" i="1"/>
  <c r="E5128" i="1"/>
  <c r="D5128" i="1"/>
  <c r="C5128" i="1"/>
  <c r="B5128" i="1"/>
  <c r="A5128" i="1"/>
  <c r="R5127" i="1"/>
  <c r="Q5127" i="1"/>
  <c r="N5127" i="1"/>
  <c r="J5127" i="1"/>
  <c r="I5127" i="1"/>
  <c r="H5127" i="1"/>
  <c r="G5127" i="1"/>
  <c r="F5127" i="1"/>
  <c r="E5127" i="1"/>
  <c r="D5127" i="1"/>
  <c r="C5127" i="1"/>
  <c r="B5127" i="1"/>
  <c r="A5127" i="1"/>
  <c r="R5126" i="1"/>
  <c r="N5126" i="1"/>
  <c r="J5126" i="1"/>
  <c r="I5126" i="1"/>
  <c r="H5126" i="1"/>
  <c r="G5126" i="1"/>
  <c r="F5126" i="1"/>
  <c r="E5126" i="1"/>
  <c r="D5126" i="1"/>
  <c r="C5126" i="1"/>
  <c r="B5126" i="1"/>
  <c r="A5126" i="1"/>
  <c r="R5125" i="1"/>
  <c r="Q5125" i="1"/>
  <c r="N5125" i="1"/>
  <c r="J5125" i="1"/>
  <c r="I5125" i="1"/>
  <c r="H5125" i="1"/>
  <c r="G5125" i="1"/>
  <c r="F5125" i="1"/>
  <c r="E5125" i="1"/>
  <c r="D5125" i="1"/>
  <c r="C5125" i="1"/>
  <c r="B5125" i="1"/>
  <c r="A5125" i="1"/>
  <c r="R5124" i="1"/>
  <c r="N5124" i="1"/>
  <c r="J5124" i="1"/>
  <c r="I5124" i="1"/>
  <c r="H5124" i="1"/>
  <c r="G5124" i="1"/>
  <c r="F5124" i="1"/>
  <c r="E5124" i="1"/>
  <c r="D5124" i="1"/>
  <c r="C5124" i="1"/>
  <c r="B5124" i="1"/>
  <c r="A5124" i="1"/>
  <c r="R5123" i="1"/>
  <c r="Q5123" i="1"/>
  <c r="N5123" i="1"/>
  <c r="J5123" i="1"/>
  <c r="I5123" i="1"/>
  <c r="H5123" i="1"/>
  <c r="G5123" i="1"/>
  <c r="F5123" i="1"/>
  <c r="E5123" i="1"/>
  <c r="D5123" i="1"/>
  <c r="C5123" i="1"/>
  <c r="B5123" i="1"/>
  <c r="A5123" i="1"/>
  <c r="R5122" i="1"/>
  <c r="N5122" i="1"/>
  <c r="J5122" i="1"/>
  <c r="I5122" i="1"/>
  <c r="H5122" i="1"/>
  <c r="G5122" i="1"/>
  <c r="F5122" i="1"/>
  <c r="E5122" i="1"/>
  <c r="D5122" i="1"/>
  <c r="C5122" i="1"/>
  <c r="B5122" i="1"/>
  <c r="A5122" i="1"/>
  <c r="R5121" i="1"/>
  <c r="Q5121" i="1"/>
  <c r="N5121" i="1"/>
  <c r="J5121" i="1"/>
  <c r="I5121" i="1"/>
  <c r="H5121" i="1"/>
  <c r="G5121" i="1"/>
  <c r="F5121" i="1"/>
  <c r="E5121" i="1"/>
  <c r="D5121" i="1"/>
  <c r="C5121" i="1"/>
  <c r="B5121" i="1"/>
  <c r="A5121" i="1"/>
  <c r="R5120" i="1"/>
  <c r="N5120" i="1"/>
  <c r="J5120" i="1"/>
  <c r="I5120" i="1"/>
  <c r="H5120" i="1"/>
  <c r="G5120" i="1"/>
  <c r="F5120" i="1"/>
  <c r="E5120" i="1"/>
  <c r="D5120" i="1"/>
  <c r="C5120" i="1"/>
  <c r="B5120" i="1"/>
  <c r="A5120" i="1"/>
  <c r="R5119" i="1"/>
  <c r="Q5119" i="1"/>
  <c r="N5119" i="1"/>
  <c r="J5119" i="1"/>
  <c r="I5119" i="1"/>
  <c r="H5119" i="1"/>
  <c r="G5119" i="1"/>
  <c r="F5119" i="1"/>
  <c r="E5119" i="1"/>
  <c r="D5119" i="1"/>
  <c r="C5119" i="1"/>
  <c r="B5119" i="1"/>
  <c r="A5119" i="1"/>
  <c r="R5118" i="1"/>
  <c r="N5118" i="1"/>
  <c r="J5118" i="1"/>
  <c r="I5118" i="1"/>
  <c r="H5118" i="1"/>
  <c r="G5118" i="1"/>
  <c r="F5118" i="1"/>
  <c r="E5118" i="1"/>
  <c r="D5118" i="1"/>
  <c r="C5118" i="1"/>
  <c r="B5118" i="1"/>
  <c r="A5118" i="1"/>
  <c r="R5117" i="1"/>
  <c r="Q5117" i="1"/>
  <c r="N5117" i="1"/>
  <c r="J5117" i="1"/>
  <c r="I5117" i="1"/>
  <c r="H5117" i="1"/>
  <c r="G5117" i="1"/>
  <c r="F5117" i="1"/>
  <c r="E5117" i="1"/>
  <c r="D5117" i="1"/>
  <c r="C5117" i="1"/>
  <c r="B5117" i="1"/>
  <c r="A5117" i="1"/>
  <c r="R5116" i="1"/>
  <c r="N5116" i="1"/>
  <c r="J5116" i="1"/>
  <c r="I5116" i="1"/>
  <c r="H5116" i="1"/>
  <c r="G5116" i="1"/>
  <c r="F5116" i="1"/>
  <c r="E5116" i="1"/>
  <c r="D5116" i="1"/>
  <c r="C5116" i="1"/>
  <c r="B5116" i="1"/>
  <c r="A5116" i="1"/>
  <c r="R5115" i="1"/>
  <c r="Q5115" i="1"/>
  <c r="N5115" i="1"/>
  <c r="J5115" i="1"/>
  <c r="I5115" i="1"/>
  <c r="H5115" i="1"/>
  <c r="G5115" i="1"/>
  <c r="F5115" i="1"/>
  <c r="E5115" i="1"/>
  <c r="D5115" i="1"/>
  <c r="C5115" i="1"/>
  <c r="B5115" i="1"/>
  <c r="A5115" i="1"/>
  <c r="R5114" i="1"/>
  <c r="N5114" i="1"/>
  <c r="J5114" i="1"/>
  <c r="I5114" i="1"/>
  <c r="H5114" i="1"/>
  <c r="G5114" i="1"/>
  <c r="F5114" i="1"/>
  <c r="E5114" i="1"/>
  <c r="D5114" i="1"/>
  <c r="C5114" i="1"/>
  <c r="B5114" i="1"/>
  <c r="A5114" i="1"/>
  <c r="R5113" i="1"/>
  <c r="Q5113" i="1"/>
  <c r="N5113" i="1"/>
  <c r="J5113" i="1"/>
  <c r="I5113" i="1"/>
  <c r="H5113" i="1"/>
  <c r="G5113" i="1"/>
  <c r="F5113" i="1"/>
  <c r="E5113" i="1"/>
  <c r="D5113" i="1"/>
  <c r="C5113" i="1"/>
  <c r="B5113" i="1"/>
  <c r="A5113" i="1"/>
  <c r="R5112" i="1"/>
  <c r="N5112" i="1"/>
  <c r="J5112" i="1"/>
  <c r="I5112" i="1"/>
  <c r="H5112" i="1"/>
  <c r="G5112" i="1"/>
  <c r="F5112" i="1"/>
  <c r="E5112" i="1"/>
  <c r="D5112" i="1"/>
  <c r="C5112" i="1"/>
  <c r="B5112" i="1"/>
  <c r="A5112" i="1"/>
  <c r="R5111" i="1"/>
  <c r="Q5111" i="1"/>
  <c r="N5111" i="1"/>
  <c r="J5111" i="1"/>
  <c r="I5111" i="1"/>
  <c r="H5111" i="1"/>
  <c r="G5111" i="1"/>
  <c r="F5111" i="1"/>
  <c r="E5111" i="1"/>
  <c r="D5111" i="1"/>
  <c r="C5111" i="1"/>
  <c r="A5111" i="1"/>
  <c r="R5110" i="1"/>
  <c r="N5110" i="1"/>
  <c r="J5110" i="1"/>
  <c r="I5110" i="1"/>
  <c r="H5110" i="1"/>
  <c r="G5110" i="1"/>
  <c r="F5110" i="1"/>
  <c r="E5110" i="1"/>
  <c r="D5110" i="1"/>
  <c r="C5110" i="1"/>
  <c r="A5110" i="1"/>
  <c r="R5109" i="1"/>
  <c r="Q5109" i="1"/>
  <c r="N5109" i="1"/>
  <c r="J5109" i="1"/>
  <c r="I5109" i="1"/>
  <c r="H5109" i="1"/>
  <c r="G5109" i="1"/>
  <c r="F5109" i="1"/>
  <c r="E5109" i="1"/>
  <c r="D5109" i="1"/>
  <c r="C5109" i="1"/>
  <c r="A5109" i="1"/>
  <c r="R5108" i="1"/>
  <c r="N5108" i="1"/>
  <c r="J5108" i="1"/>
  <c r="I5108" i="1"/>
  <c r="H5108" i="1"/>
  <c r="G5108" i="1"/>
  <c r="F5108" i="1"/>
  <c r="E5108" i="1"/>
  <c r="D5108" i="1"/>
  <c r="C5108" i="1"/>
  <c r="A5108" i="1"/>
  <c r="R5107" i="1"/>
  <c r="Q5107" i="1"/>
  <c r="N5107" i="1"/>
  <c r="J5107" i="1"/>
  <c r="I5107" i="1"/>
  <c r="H5107" i="1"/>
  <c r="G5107" i="1"/>
  <c r="F5107" i="1"/>
  <c r="E5107" i="1"/>
  <c r="D5107" i="1"/>
  <c r="C5107" i="1"/>
  <c r="A5107" i="1"/>
  <c r="R5106" i="1"/>
  <c r="N5106" i="1"/>
  <c r="J5106" i="1"/>
  <c r="I5106" i="1"/>
  <c r="H5106" i="1"/>
  <c r="G5106" i="1"/>
  <c r="F5106" i="1"/>
  <c r="E5106" i="1"/>
  <c r="D5106" i="1"/>
  <c r="C5106" i="1"/>
  <c r="A5106" i="1"/>
  <c r="R5105" i="1"/>
  <c r="Q5105" i="1"/>
  <c r="N5105" i="1"/>
  <c r="J5105" i="1"/>
  <c r="I5105" i="1"/>
  <c r="H5105" i="1"/>
  <c r="G5105" i="1"/>
  <c r="F5105" i="1"/>
  <c r="E5105" i="1"/>
  <c r="D5105" i="1"/>
  <c r="C5105" i="1"/>
  <c r="A5105" i="1"/>
  <c r="R5104" i="1"/>
  <c r="N5104" i="1"/>
  <c r="J5104" i="1"/>
  <c r="I5104" i="1"/>
  <c r="H5104" i="1"/>
  <c r="G5104" i="1"/>
  <c r="F5104" i="1"/>
  <c r="E5104" i="1"/>
  <c r="D5104" i="1"/>
  <c r="C5104" i="1"/>
  <c r="A5104" i="1"/>
  <c r="R5103" i="1"/>
  <c r="Q5103" i="1"/>
  <c r="N5103" i="1"/>
  <c r="J5103" i="1"/>
  <c r="I5103" i="1"/>
  <c r="H5103" i="1"/>
  <c r="G5103" i="1"/>
  <c r="F5103" i="1"/>
  <c r="E5103" i="1"/>
  <c r="D5103" i="1"/>
  <c r="C5103" i="1"/>
  <c r="A5103" i="1"/>
  <c r="R5102" i="1"/>
  <c r="N5102" i="1"/>
  <c r="J5102" i="1"/>
  <c r="I5102" i="1"/>
  <c r="H5102" i="1"/>
  <c r="G5102" i="1"/>
  <c r="F5102" i="1"/>
  <c r="E5102" i="1"/>
  <c r="D5102" i="1"/>
  <c r="C5102" i="1"/>
  <c r="A5102" i="1"/>
  <c r="R5101" i="1"/>
  <c r="Q5101" i="1"/>
  <c r="N5101" i="1"/>
  <c r="J5101" i="1"/>
  <c r="I5101" i="1"/>
  <c r="H5101" i="1"/>
  <c r="G5101" i="1"/>
  <c r="F5101" i="1"/>
  <c r="E5101" i="1"/>
  <c r="D5101" i="1"/>
  <c r="C5101" i="1"/>
  <c r="A5101" i="1"/>
  <c r="R5100" i="1"/>
  <c r="N5100" i="1"/>
  <c r="J5100" i="1"/>
  <c r="I5100" i="1"/>
  <c r="H5100" i="1"/>
  <c r="G5100" i="1"/>
  <c r="F5100" i="1"/>
  <c r="E5100" i="1"/>
  <c r="D5100" i="1"/>
  <c r="C5100" i="1"/>
  <c r="A5100" i="1"/>
  <c r="R5099" i="1"/>
  <c r="Q5099" i="1"/>
  <c r="N5099" i="1"/>
  <c r="J5099" i="1"/>
  <c r="I5099" i="1"/>
  <c r="H5099" i="1"/>
  <c r="G5099" i="1"/>
  <c r="F5099" i="1"/>
  <c r="E5099" i="1"/>
  <c r="D5099" i="1"/>
  <c r="C5099" i="1"/>
  <c r="A5099" i="1"/>
  <c r="R5098" i="1"/>
  <c r="N5098" i="1"/>
  <c r="J5098" i="1"/>
  <c r="I5098" i="1"/>
  <c r="H5098" i="1"/>
  <c r="G5098" i="1"/>
  <c r="F5098" i="1"/>
  <c r="E5098" i="1"/>
  <c r="D5098" i="1"/>
  <c r="C5098" i="1"/>
  <c r="A5098" i="1"/>
  <c r="R5097" i="1"/>
  <c r="Q5097" i="1"/>
  <c r="N5097" i="1"/>
  <c r="J5097" i="1"/>
  <c r="I5097" i="1"/>
  <c r="H5097" i="1"/>
  <c r="G5097" i="1"/>
  <c r="F5097" i="1"/>
  <c r="E5097" i="1"/>
  <c r="D5097" i="1"/>
  <c r="C5097" i="1"/>
  <c r="A5097" i="1"/>
  <c r="R5096" i="1"/>
  <c r="N5096" i="1"/>
  <c r="J5096" i="1"/>
  <c r="I5096" i="1"/>
  <c r="H5096" i="1"/>
  <c r="G5096" i="1"/>
  <c r="F5096" i="1"/>
  <c r="E5096" i="1"/>
  <c r="D5096" i="1"/>
  <c r="C5096" i="1"/>
  <c r="A5096" i="1"/>
  <c r="R5095" i="1"/>
  <c r="Q5095" i="1"/>
  <c r="N5095" i="1"/>
  <c r="J5095" i="1"/>
  <c r="I5095" i="1"/>
  <c r="H5095" i="1"/>
  <c r="G5095" i="1"/>
  <c r="F5095" i="1"/>
  <c r="E5095" i="1"/>
  <c r="D5095" i="1"/>
  <c r="C5095" i="1"/>
  <c r="A5095" i="1"/>
  <c r="R5094" i="1"/>
  <c r="N5094" i="1"/>
  <c r="J5094" i="1"/>
  <c r="I5094" i="1"/>
  <c r="H5094" i="1"/>
  <c r="G5094" i="1"/>
  <c r="F5094" i="1"/>
  <c r="E5094" i="1"/>
  <c r="D5094" i="1"/>
  <c r="C5094" i="1"/>
  <c r="A5094" i="1"/>
  <c r="R5093" i="1"/>
  <c r="Q5093" i="1"/>
  <c r="N5093" i="1"/>
  <c r="J5093" i="1"/>
  <c r="I5093" i="1"/>
  <c r="H5093" i="1"/>
  <c r="G5093" i="1"/>
  <c r="F5093" i="1"/>
  <c r="E5093" i="1"/>
  <c r="D5093" i="1"/>
  <c r="C5093" i="1"/>
  <c r="A5093" i="1"/>
  <c r="R5092" i="1"/>
  <c r="N5092" i="1"/>
  <c r="J5092" i="1"/>
  <c r="I5092" i="1"/>
  <c r="H5092" i="1"/>
  <c r="G5092" i="1"/>
  <c r="F5092" i="1"/>
  <c r="E5092" i="1"/>
  <c r="D5092" i="1"/>
  <c r="C5092" i="1"/>
  <c r="A5092" i="1"/>
  <c r="R5091" i="1"/>
  <c r="Q5091" i="1"/>
  <c r="N5091" i="1"/>
  <c r="J5091" i="1"/>
  <c r="I5091" i="1"/>
  <c r="H5091" i="1"/>
  <c r="G5091" i="1"/>
  <c r="F5091" i="1"/>
  <c r="E5091" i="1"/>
  <c r="D5091" i="1"/>
  <c r="C5091" i="1"/>
  <c r="A5091" i="1"/>
  <c r="R5090" i="1"/>
  <c r="N5090" i="1"/>
  <c r="J5090" i="1"/>
  <c r="I5090" i="1"/>
  <c r="H5090" i="1"/>
  <c r="G5090" i="1"/>
  <c r="F5090" i="1"/>
  <c r="E5090" i="1"/>
  <c r="D5090" i="1"/>
  <c r="C5090" i="1"/>
  <c r="A5090" i="1"/>
  <c r="R5089" i="1"/>
  <c r="Q5089" i="1"/>
  <c r="N5089" i="1"/>
  <c r="J5089" i="1"/>
  <c r="I5089" i="1"/>
  <c r="H5089" i="1"/>
  <c r="G5089" i="1"/>
  <c r="F5089" i="1"/>
  <c r="E5089" i="1"/>
  <c r="D5089" i="1"/>
  <c r="C5089" i="1"/>
  <c r="A5089" i="1"/>
  <c r="R5088" i="1"/>
  <c r="N5088" i="1"/>
  <c r="J5088" i="1"/>
  <c r="I5088" i="1"/>
  <c r="H5088" i="1"/>
  <c r="G5088" i="1"/>
  <c r="F5088" i="1"/>
  <c r="E5088" i="1"/>
  <c r="D5088" i="1"/>
  <c r="C5088" i="1"/>
  <c r="A5088" i="1"/>
  <c r="R5087" i="1"/>
  <c r="Q5087" i="1"/>
  <c r="N5087" i="1"/>
  <c r="J5087" i="1"/>
  <c r="I5087" i="1"/>
  <c r="H5087" i="1"/>
  <c r="G5087" i="1"/>
  <c r="F5087" i="1"/>
  <c r="E5087" i="1"/>
  <c r="D5087" i="1"/>
  <c r="C5087" i="1"/>
  <c r="A5087" i="1"/>
  <c r="R5086" i="1"/>
  <c r="N5086" i="1"/>
  <c r="J5086" i="1"/>
  <c r="I5086" i="1"/>
  <c r="H5086" i="1"/>
  <c r="G5086" i="1"/>
  <c r="F5086" i="1"/>
  <c r="E5086" i="1"/>
  <c r="D5086" i="1"/>
  <c r="C5086" i="1"/>
  <c r="A5086" i="1"/>
  <c r="R5085" i="1"/>
  <c r="Q5085" i="1"/>
  <c r="N5085" i="1"/>
  <c r="J5085" i="1"/>
  <c r="I5085" i="1"/>
  <c r="H5085" i="1"/>
  <c r="G5085" i="1"/>
  <c r="F5085" i="1"/>
  <c r="E5085" i="1"/>
  <c r="D5085" i="1"/>
  <c r="C5085" i="1"/>
  <c r="A5085" i="1"/>
  <c r="R5084" i="1"/>
  <c r="Q5084" i="1"/>
  <c r="N5084" i="1"/>
  <c r="J5084" i="1"/>
  <c r="I5084" i="1"/>
  <c r="H5084" i="1"/>
  <c r="G5084" i="1"/>
  <c r="F5084" i="1"/>
  <c r="E5084" i="1"/>
  <c r="D5084" i="1"/>
  <c r="C5084" i="1"/>
  <c r="A5084" i="1"/>
  <c r="R5083" i="1"/>
  <c r="N5083" i="1"/>
  <c r="J5083" i="1"/>
  <c r="I5083" i="1"/>
  <c r="H5083" i="1"/>
  <c r="G5083" i="1"/>
  <c r="F5083" i="1"/>
  <c r="E5083" i="1"/>
  <c r="D5083" i="1"/>
  <c r="C5083" i="1"/>
  <c r="A5083" i="1"/>
  <c r="R5082" i="1"/>
  <c r="Q5082" i="1"/>
  <c r="N5082" i="1"/>
  <c r="J5082" i="1"/>
  <c r="I5082" i="1"/>
  <c r="H5082" i="1"/>
  <c r="G5082" i="1"/>
  <c r="F5082" i="1"/>
  <c r="E5082" i="1"/>
  <c r="D5082" i="1"/>
  <c r="C5082" i="1"/>
  <c r="A5082" i="1"/>
  <c r="R5081" i="1"/>
  <c r="N5081" i="1"/>
  <c r="J5081" i="1"/>
  <c r="I5081" i="1"/>
  <c r="H5081" i="1"/>
  <c r="G5081" i="1"/>
  <c r="F5081" i="1"/>
  <c r="E5081" i="1"/>
  <c r="D5081" i="1"/>
  <c r="C5081" i="1"/>
  <c r="B5081" i="1"/>
  <c r="A5081" i="1"/>
  <c r="R5080" i="1"/>
  <c r="Q5080" i="1"/>
  <c r="N5080" i="1"/>
  <c r="J5080" i="1"/>
  <c r="I5080" i="1"/>
  <c r="H5080" i="1"/>
  <c r="G5080" i="1"/>
  <c r="F5080" i="1"/>
  <c r="E5080" i="1"/>
  <c r="D5080" i="1"/>
  <c r="C5080" i="1"/>
  <c r="B5080" i="1"/>
  <c r="A5080" i="1"/>
  <c r="R5079" i="1"/>
  <c r="N5079" i="1"/>
  <c r="J5079" i="1"/>
  <c r="I5079" i="1"/>
  <c r="H5079" i="1"/>
  <c r="G5079" i="1"/>
  <c r="F5079" i="1"/>
  <c r="E5079" i="1"/>
  <c r="D5079" i="1"/>
  <c r="C5079" i="1"/>
  <c r="B5079" i="1"/>
  <c r="A5079" i="1"/>
  <c r="R5078" i="1"/>
  <c r="Q5078" i="1"/>
  <c r="N5078" i="1"/>
  <c r="J5078" i="1"/>
  <c r="I5078" i="1"/>
  <c r="H5078" i="1"/>
  <c r="G5078" i="1"/>
  <c r="F5078" i="1"/>
  <c r="E5078" i="1"/>
  <c r="D5078" i="1"/>
  <c r="C5078" i="1"/>
  <c r="B5078" i="1"/>
  <c r="A5078" i="1"/>
  <c r="R5077" i="1"/>
  <c r="N5077" i="1"/>
  <c r="J5077" i="1"/>
  <c r="I5077" i="1"/>
  <c r="H5077" i="1"/>
  <c r="G5077" i="1"/>
  <c r="F5077" i="1"/>
  <c r="E5077" i="1"/>
  <c r="D5077" i="1"/>
  <c r="C5077" i="1"/>
  <c r="B5077" i="1"/>
  <c r="A5077" i="1"/>
  <c r="R5076" i="1"/>
  <c r="Q5076" i="1"/>
  <c r="N5076" i="1"/>
  <c r="J5076" i="1"/>
  <c r="I5076" i="1"/>
  <c r="H5076" i="1"/>
  <c r="G5076" i="1"/>
  <c r="F5076" i="1"/>
  <c r="E5076" i="1"/>
  <c r="D5076" i="1"/>
  <c r="C5076" i="1"/>
  <c r="B5076" i="1"/>
  <c r="A5076" i="1"/>
  <c r="R5075" i="1"/>
  <c r="N5075" i="1"/>
  <c r="J5075" i="1"/>
  <c r="I5075" i="1"/>
  <c r="H5075" i="1"/>
  <c r="G5075" i="1"/>
  <c r="F5075" i="1"/>
  <c r="E5075" i="1"/>
  <c r="D5075" i="1"/>
  <c r="C5075" i="1"/>
  <c r="B5075" i="1"/>
  <c r="A5075" i="1"/>
  <c r="R5074" i="1"/>
  <c r="Q5074" i="1"/>
  <c r="N5074" i="1"/>
  <c r="J5074" i="1"/>
  <c r="I5074" i="1"/>
  <c r="H5074" i="1"/>
  <c r="G5074" i="1"/>
  <c r="F5074" i="1"/>
  <c r="E5074" i="1"/>
  <c r="D5074" i="1"/>
  <c r="C5074" i="1"/>
  <c r="B5074" i="1"/>
  <c r="A5074" i="1"/>
  <c r="R5073" i="1"/>
  <c r="N5073" i="1"/>
  <c r="J5073" i="1"/>
  <c r="I5073" i="1"/>
  <c r="H5073" i="1"/>
  <c r="G5073" i="1"/>
  <c r="F5073" i="1"/>
  <c r="E5073" i="1"/>
  <c r="D5073" i="1"/>
  <c r="C5073" i="1"/>
  <c r="B5073" i="1"/>
  <c r="A5073" i="1"/>
  <c r="R5072" i="1"/>
  <c r="Q5072" i="1"/>
  <c r="N5072" i="1"/>
  <c r="J5072" i="1"/>
  <c r="I5072" i="1"/>
  <c r="H5072" i="1"/>
  <c r="G5072" i="1"/>
  <c r="F5072" i="1"/>
  <c r="E5072" i="1"/>
  <c r="D5072" i="1"/>
  <c r="C5072" i="1"/>
  <c r="B5072" i="1"/>
  <c r="A5072" i="1"/>
  <c r="R5071" i="1"/>
  <c r="N5071" i="1"/>
  <c r="J5071" i="1"/>
  <c r="I5071" i="1"/>
  <c r="H5071" i="1"/>
  <c r="G5071" i="1"/>
  <c r="F5071" i="1"/>
  <c r="E5071" i="1"/>
  <c r="D5071" i="1"/>
  <c r="C5071" i="1"/>
  <c r="B5071" i="1"/>
  <c r="A5071" i="1"/>
  <c r="R5070" i="1"/>
  <c r="Q5070" i="1"/>
  <c r="N5070" i="1"/>
  <c r="J5070" i="1"/>
  <c r="I5070" i="1"/>
  <c r="H5070" i="1"/>
  <c r="G5070" i="1"/>
  <c r="F5070" i="1"/>
  <c r="E5070" i="1"/>
  <c r="D5070" i="1"/>
  <c r="C5070" i="1"/>
  <c r="B5070" i="1"/>
  <c r="A5070" i="1"/>
  <c r="R5069" i="1"/>
  <c r="N5069" i="1"/>
  <c r="J5069" i="1"/>
  <c r="I5069" i="1"/>
  <c r="H5069" i="1"/>
  <c r="G5069" i="1"/>
  <c r="F5069" i="1"/>
  <c r="E5069" i="1"/>
  <c r="D5069" i="1"/>
  <c r="C5069" i="1"/>
  <c r="B5069" i="1"/>
  <c r="A5069" i="1"/>
  <c r="R5068" i="1"/>
  <c r="Q5068" i="1"/>
  <c r="N5068" i="1"/>
  <c r="J5068" i="1"/>
  <c r="I5068" i="1"/>
  <c r="H5068" i="1"/>
  <c r="G5068" i="1"/>
  <c r="F5068" i="1"/>
  <c r="E5068" i="1"/>
  <c r="D5068" i="1"/>
  <c r="C5068" i="1"/>
  <c r="B5068" i="1"/>
  <c r="A5068" i="1"/>
  <c r="R5067" i="1"/>
  <c r="N5067" i="1"/>
  <c r="J5067" i="1"/>
  <c r="I5067" i="1"/>
  <c r="H5067" i="1"/>
  <c r="G5067" i="1"/>
  <c r="F5067" i="1"/>
  <c r="E5067" i="1"/>
  <c r="D5067" i="1"/>
  <c r="C5067" i="1"/>
  <c r="B5067" i="1"/>
  <c r="A5067" i="1"/>
  <c r="R5066" i="1"/>
  <c r="Q5066" i="1"/>
  <c r="N5066" i="1"/>
  <c r="J5066" i="1"/>
  <c r="I5066" i="1"/>
  <c r="H5066" i="1"/>
  <c r="G5066" i="1"/>
  <c r="F5066" i="1"/>
  <c r="E5066" i="1"/>
  <c r="D5066" i="1"/>
  <c r="C5066" i="1"/>
  <c r="B5066" i="1"/>
  <c r="A5066" i="1"/>
  <c r="R5065" i="1"/>
  <c r="N5065" i="1"/>
  <c r="J5065" i="1"/>
  <c r="I5065" i="1"/>
  <c r="H5065" i="1"/>
  <c r="G5065" i="1"/>
  <c r="F5065" i="1"/>
  <c r="E5065" i="1"/>
  <c r="D5065" i="1"/>
  <c r="C5065" i="1"/>
  <c r="B5065" i="1"/>
  <c r="A5065" i="1"/>
  <c r="R5064" i="1"/>
  <c r="Q5064" i="1"/>
  <c r="N5064" i="1"/>
  <c r="J5064" i="1"/>
  <c r="I5064" i="1"/>
  <c r="H5064" i="1"/>
  <c r="G5064" i="1"/>
  <c r="F5064" i="1"/>
  <c r="E5064" i="1"/>
  <c r="D5064" i="1"/>
  <c r="C5064" i="1"/>
  <c r="B5064" i="1"/>
  <c r="A5064" i="1"/>
  <c r="R5063" i="1"/>
  <c r="N5063" i="1"/>
  <c r="J5063" i="1"/>
  <c r="I5063" i="1"/>
  <c r="H5063" i="1"/>
  <c r="G5063" i="1"/>
  <c r="F5063" i="1"/>
  <c r="E5063" i="1"/>
  <c r="D5063" i="1"/>
  <c r="C5063" i="1"/>
  <c r="B5063" i="1"/>
  <c r="A5063" i="1"/>
  <c r="R5062" i="1"/>
  <c r="Q5062" i="1"/>
  <c r="N5062" i="1"/>
  <c r="J5062" i="1"/>
  <c r="I5062" i="1"/>
  <c r="H5062" i="1"/>
  <c r="G5062" i="1"/>
  <c r="F5062" i="1"/>
  <c r="E5062" i="1"/>
  <c r="D5062" i="1"/>
  <c r="C5062" i="1"/>
  <c r="B5062" i="1"/>
  <c r="A5062" i="1"/>
  <c r="R5061" i="1"/>
  <c r="N5061" i="1"/>
  <c r="J5061" i="1"/>
  <c r="I5061" i="1"/>
  <c r="H5061" i="1"/>
  <c r="G5061" i="1"/>
  <c r="F5061" i="1"/>
  <c r="E5061" i="1"/>
  <c r="D5061" i="1"/>
  <c r="C5061" i="1"/>
  <c r="B5061" i="1"/>
  <c r="A5061" i="1"/>
  <c r="R5060" i="1"/>
  <c r="Q5060" i="1"/>
  <c r="N5060" i="1"/>
  <c r="J5060" i="1"/>
  <c r="I5060" i="1"/>
  <c r="H5060" i="1"/>
  <c r="G5060" i="1"/>
  <c r="F5060" i="1"/>
  <c r="E5060" i="1"/>
  <c r="D5060" i="1"/>
  <c r="C5060" i="1"/>
  <c r="B5060" i="1"/>
  <c r="A5060" i="1"/>
  <c r="R5059" i="1"/>
  <c r="N5059" i="1"/>
  <c r="J5059" i="1"/>
  <c r="I5059" i="1"/>
  <c r="H5059" i="1"/>
  <c r="G5059" i="1"/>
  <c r="F5059" i="1"/>
  <c r="E5059" i="1"/>
  <c r="D5059" i="1"/>
  <c r="C5059" i="1"/>
  <c r="B5059" i="1"/>
  <c r="A5059" i="1"/>
  <c r="R5058" i="1"/>
  <c r="Q5058" i="1"/>
  <c r="N5058" i="1"/>
  <c r="J5058" i="1"/>
  <c r="I5058" i="1"/>
  <c r="H5058" i="1"/>
  <c r="G5058" i="1"/>
  <c r="F5058" i="1"/>
  <c r="E5058" i="1"/>
  <c r="D5058" i="1"/>
  <c r="C5058" i="1"/>
  <c r="B5058" i="1"/>
  <c r="A5058" i="1"/>
  <c r="R5057" i="1"/>
  <c r="N5057" i="1"/>
  <c r="J5057" i="1"/>
  <c r="I5057" i="1"/>
  <c r="H5057" i="1"/>
  <c r="G5057" i="1"/>
  <c r="F5057" i="1"/>
  <c r="E5057" i="1"/>
  <c r="D5057" i="1"/>
  <c r="C5057" i="1"/>
  <c r="B5057" i="1"/>
  <c r="A5057" i="1"/>
  <c r="R5056" i="1"/>
  <c r="Q5056" i="1"/>
  <c r="N5056" i="1"/>
  <c r="J5056" i="1"/>
  <c r="I5056" i="1"/>
  <c r="H5056" i="1"/>
  <c r="G5056" i="1"/>
  <c r="F5056" i="1"/>
  <c r="E5056" i="1"/>
  <c r="D5056" i="1"/>
  <c r="C5056" i="1"/>
  <c r="B5056" i="1"/>
  <c r="A5056" i="1"/>
  <c r="R5055" i="1"/>
  <c r="N5055" i="1"/>
  <c r="J5055" i="1"/>
  <c r="I5055" i="1"/>
  <c r="H5055" i="1"/>
  <c r="G5055" i="1"/>
  <c r="F5055" i="1"/>
  <c r="E5055" i="1"/>
  <c r="D5055" i="1"/>
  <c r="C5055" i="1"/>
  <c r="B5055" i="1"/>
  <c r="A5055" i="1"/>
  <c r="R5054" i="1"/>
  <c r="Q5054" i="1"/>
  <c r="N5054" i="1"/>
  <c r="J5054" i="1"/>
  <c r="I5054" i="1"/>
  <c r="H5054" i="1"/>
  <c r="G5054" i="1"/>
  <c r="F5054" i="1"/>
  <c r="E5054" i="1"/>
  <c r="D5054" i="1"/>
  <c r="A5054" i="1"/>
  <c r="R5053" i="1"/>
  <c r="N5053" i="1"/>
  <c r="J5053" i="1"/>
  <c r="I5053" i="1"/>
  <c r="H5053" i="1"/>
  <c r="G5053" i="1"/>
  <c r="F5053" i="1"/>
  <c r="E5053" i="1"/>
  <c r="D5053" i="1"/>
  <c r="A5053" i="1"/>
  <c r="R5052" i="1"/>
  <c r="Q5052" i="1"/>
  <c r="N5052" i="1"/>
  <c r="J5052" i="1"/>
  <c r="I5052" i="1"/>
  <c r="H5052" i="1"/>
  <c r="G5052" i="1"/>
  <c r="F5052" i="1"/>
  <c r="E5052" i="1"/>
  <c r="D5052" i="1"/>
  <c r="A5052" i="1"/>
  <c r="R5051" i="1"/>
  <c r="N5051" i="1"/>
  <c r="J5051" i="1"/>
  <c r="I5051" i="1"/>
  <c r="H5051" i="1"/>
  <c r="G5051" i="1"/>
  <c r="F5051" i="1"/>
  <c r="E5051" i="1"/>
  <c r="D5051" i="1"/>
  <c r="A5051" i="1"/>
  <c r="R5050" i="1"/>
  <c r="Q5050" i="1"/>
  <c r="N5050" i="1"/>
  <c r="J5050" i="1"/>
  <c r="I5050" i="1"/>
  <c r="H5050" i="1"/>
  <c r="G5050" i="1"/>
  <c r="F5050" i="1"/>
  <c r="E5050" i="1"/>
  <c r="D5050" i="1"/>
  <c r="A5050" i="1"/>
  <c r="R5049" i="1"/>
  <c r="Q5049" i="1"/>
  <c r="N5049" i="1"/>
  <c r="J5049" i="1"/>
  <c r="I5049" i="1"/>
  <c r="H5049" i="1"/>
  <c r="G5049" i="1"/>
  <c r="F5049" i="1"/>
  <c r="E5049" i="1"/>
  <c r="D5049" i="1"/>
  <c r="A5049" i="1"/>
  <c r="R5048" i="1"/>
  <c r="N5048" i="1"/>
  <c r="J5048" i="1"/>
  <c r="I5048" i="1"/>
  <c r="H5048" i="1"/>
  <c r="G5048" i="1"/>
  <c r="F5048" i="1"/>
  <c r="E5048" i="1"/>
  <c r="D5048" i="1"/>
  <c r="A5048" i="1"/>
  <c r="R5047" i="1"/>
  <c r="Q5047" i="1"/>
  <c r="N5047" i="1"/>
  <c r="J5047" i="1"/>
  <c r="I5047" i="1"/>
  <c r="H5047" i="1"/>
  <c r="G5047" i="1"/>
  <c r="F5047" i="1"/>
  <c r="E5047" i="1"/>
  <c r="D5047" i="1"/>
  <c r="A5047" i="1"/>
  <c r="R5046" i="1"/>
  <c r="N5046" i="1"/>
  <c r="J5046" i="1"/>
  <c r="I5046" i="1"/>
  <c r="H5046" i="1"/>
  <c r="G5046" i="1"/>
  <c r="F5046" i="1"/>
  <c r="E5046" i="1"/>
  <c r="D5046" i="1"/>
  <c r="A5046" i="1"/>
  <c r="R5045" i="1"/>
  <c r="Q5045" i="1"/>
  <c r="N5045" i="1"/>
  <c r="J5045" i="1"/>
  <c r="I5045" i="1"/>
  <c r="H5045" i="1"/>
  <c r="G5045" i="1"/>
  <c r="F5045" i="1"/>
  <c r="E5045" i="1"/>
  <c r="D5045" i="1"/>
  <c r="A5045" i="1"/>
  <c r="R5044" i="1"/>
  <c r="N5044" i="1"/>
  <c r="J5044" i="1"/>
  <c r="I5044" i="1"/>
  <c r="H5044" i="1"/>
  <c r="G5044" i="1"/>
  <c r="F5044" i="1"/>
  <c r="E5044" i="1"/>
  <c r="D5044" i="1"/>
  <c r="A5044" i="1"/>
  <c r="R5043" i="1"/>
  <c r="Q5043" i="1"/>
  <c r="N5043" i="1"/>
  <c r="J5043" i="1"/>
  <c r="I5043" i="1"/>
  <c r="H5043" i="1"/>
  <c r="G5043" i="1"/>
  <c r="F5043" i="1"/>
  <c r="E5043" i="1"/>
  <c r="D5043" i="1"/>
  <c r="A5043" i="1"/>
  <c r="R5042" i="1"/>
  <c r="Q5042" i="1"/>
  <c r="N5042" i="1"/>
  <c r="J5042" i="1"/>
  <c r="I5042" i="1"/>
  <c r="H5042" i="1"/>
  <c r="G5042" i="1"/>
  <c r="F5042" i="1"/>
  <c r="E5042" i="1"/>
  <c r="D5042" i="1"/>
  <c r="A5042" i="1"/>
  <c r="R5041" i="1"/>
  <c r="Q5041" i="1"/>
  <c r="N5041" i="1"/>
  <c r="J5041" i="1"/>
  <c r="I5041" i="1"/>
  <c r="H5041" i="1"/>
  <c r="G5041" i="1"/>
  <c r="F5041" i="1"/>
  <c r="E5041" i="1"/>
  <c r="D5041" i="1"/>
  <c r="A5041" i="1"/>
  <c r="R5040" i="1"/>
  <c r="Q5040" i="1"/>
  <c r="N5040" i="1"/>
  <c r="J5040" i="1"/>
  <c r="I5040" i="1"/>
  <c r="H5040" i="1"/>
  <c r="G5040" i="1"/>
  <c r="F5040" i="1"/>
  <c r="E5040" i="1"/>
  <c r="D5040" i="1"/>
  <c r="A5040" i="1"/>
  <c r="R5039" i="1"/>
  <c r="Q5039" i="1"/>
  <c r="N5039" i="1"/>
  <c r="J5039" i="1"/>
  <c r="I5039" i="1"/>
  <c r="H5039" i="1"/>
  <c r="G5039" i="1"/>
  <c r="F5039" i="1"/>
  <c r="E5039" i="1"/>
  <c r="D5039" i="1"/>
  <c r="A5039" i="1"/>
  <c r="R5038" i="1"/>
  <c r="Q5038" i="1"/>
  <c r="N5038" i="1"/>
  <c r="J5038" i="1"/>
  <c r="I5038" i="1"/>
  <c r="H5038" i="1"/>
  <c r="G5038" i="1"/>
  <c r="F5038" i="1"/>
  <c r="E5038" i="1"/>
  <c r="D5038" i="1"/>
  <c r="A5038" i="1"/>
  <c r="R5037" i="1"/>
  <c r="Q5037" i="1"/>
  <c r="N5037" i="1"/>
  <c r="J5037" i="1"/>
  <c r="I5037" i="1"/>
  <c r="H5037" i="1"/>
  <c r="G5037" i="1"/>
  <c r="F5037" i="1"/>
  <c r="E5037" i="1"/>
  <c r="D5037" i="1"/>
  <c r="A5037" i="1"/>
  <c r="R5036" i="1"/>
  <c r="Q5036" i="1"/>
  <c r="N5036" i="1"/>
  <c r="J5036" i="1"/>
  <c r="I5036" i="1"/>
  <c r="H5036" i="1"/>
  <c r="G5036" i="1"/>
  <c r="F5036" i="1"/>
  <c r="E5036" i="1"/>
  <c r="D5036" i="1"/>
  <c r="A5036" i="1"/>
  <c r="R5035" i="1"/>
  <c r="N5035" i="1"/>
  <c r="J5035" i="1"/>
  <c r="I5035" i="1"/>
  <c r="H5035" i="1"/>
  <c r="G5035" i="1"/>
  <c r="F5035" i="1"/>
  <c r="E5035" i="1"/>
  <c r="D5035" i="1"/>
  <c r="A5035" i="1"/>
  <c r="R5034" i="1"/>
  <c r="Q5034" i="1"/>
  <c r="N5034" i="1"/>
  <c r="J5034" i="1"/>
  <c r="I5034" i="1"/>
  <c r="H5034" i="1"/>
  <c r="G5034" i="1"/>
  <c r="F5034" i="1"/>
  <c r="E5034" i="1"/>
  <c r="D5034" i="1"/>
  <c r="A5034" i="1"/>
  <c r="R5033" i="1"/>
  <c r="Q5033" i="1"/>
  <c r="N5033" i="1"/>
  <c r="J5033" i="1"/>
  <c r="I5033" i="1"/>
  <c r="H5033" i="1"/>
  <c r="G5033" i="1"/>
  <c r="F5033" i="1"/>
  <c r="E5033" i="1"/>
  <c r="D5033" i="1"/>
  <c r="A5033" i="1"/>
  <c r="R5032" i="1"/>
  <c r="Q5032" i="1"/>
  <c r="N5032" i="1"/>
  <c r="J5032" i="1"/>
  <c r="I5032" i="1"/>
  <c r="H5032" i="1"/>
  <c r="G5032" i="1"/>
  <c r="F5032" i="1"/>
  <c r="E5032" i="1"/>
  <c r="D5032" i="1"/>
  <c r="A5032" i="1"/>
  <c r="R5031" i="1"/>
  <c r="Q5031" i="1"/>
  <c r="N5031" i="1"/>
  <c r="J5031" i="1"/>
  <c r="I5031" i="1"/>
  <c r="H5031" i="1"/>
  <c r="G5031" i="1"/>
  <c r="F5031" i="1"/>
  <c r="E5031" i="1"/>
  <c r="D5031" i="1"/>
  <c r="A5031" i="1"/>
  <c r="R5030" i="1"/>
  <c r="Q5030" i="1"/>
  <c r="N5030" i="1"/>
  <c r="J5030" i="1"/>
  <c r="I5030" i="1"/>
  <c r="H5030" i="1"/>
  <c r="G5030" i="1"/>
  <c r="F5030" i="1"/>
  <c r="E5030" i="1"/>
  <c r="D5030" i="1"/>
  <c r="A5030" i="1"/>
  <c r="R5029" i="1"/>
  <c r="Q5029" i="1"/>
  <c r="N5029" i="1"/>
  <c r="J5029" i="1"/>
  <c r="I5029" i="1"/>
  <c r="H5029" i="1"/>
  <c r="G5029" i="1"/>
  <c r="F5029" i="1"/>
  <c r="E5029" i="1"/>
  <c r="D5029" i="1"/>
  <c r="A5029" i="1"/>
  <c r="R5028" i="1"/>
  <c r="Q5028" i="1"/>
  <c r="N5028" i="1"/>
  <c r="J5028" i="1"/>
  <c r="I5028" i="1"/>
  <c r="H5028" i="1"/>
  <c r="G5028" i="1"/>
  <c r="F5028" i="1"/>
  <c r="E5028" i="1"/>
  <c r="D5028" i="1"/>
  <c r="A5028" i="1"/>
  <c r="R5027" i="1"/>
  <c r="Q5027" i="1"/>
  <c r="N5027" i="1"/>
  <c r="J5027" i="1"/>
  <c r="I5027" i="1"/>
  <c r="H5027" i="1"/>
  <c r="G5027" i="1"/>
  <c r="F5027" i="1"/>
  <c r="E5027" i="1"/>
  <c r="D5027" i="1"/>
  <c r="A5027" i="1"/>
  <c r="R5026" i="1"/>
  <c r="Q5026" i="1"/>
  <c r="N5026" i="1"/>
  <c r="J5026" i="1"/>
  <c r="I5026" i="1"/>
  <c r="H5026" i="1"/>
  <c r="G5026" i="1"/>
  <c r="F5026" i="1"/>
  <c r="E5026" i="1"/>
  <c r="D5026" i="1"/>
  <c r="A5026" i="1"/>
  <c r="R5025" i="1"/>
  <c r="Q5025" i="1"/>
  <c r="N5025" i="1"/>
  <c r="J5025" i="1"/>
  <c r="I5025" i="1"/>
  <c r="H5025" i="1"/>
  <c r="G5025" i="1"/>
  <c r="F5025" i="1"/>
  <c r="E5025" i="1"/>
  <c r="D5025" i="1"/>
  <c r="A5025" i="1"/>
  <c r="R5024" i="1"/>
  <c r="Q5024" i="1"/>
  <c r="N5024" i="1"/>
  <c r="J5024" i="1"/>
  <c r="I5024" i="1"/>
  <c r="H5024" i="1"/>
  <c r="G5024" i="1"/>
  <c r="F5024" i="1"/>
  <c r="E5024" i="1"/>
  <c r="D5024" i="1"/>
  <c r="A5024" i="1"/>
  <c r="R5023" i="1"/>
  <c r="Q5023" i="1"/>
  <c r="N5023" i="1"/>
  <c r="J5023" i="1"/>
  <c r="I5023" i="1"/>
  <c r="H5023" i="1"/>
  <c r="G5023" i="1"/>
  <c r="F5023" i="1"/>
  <c r="E5023" i="1"/>
  <c r="D5023" i="1"/>
  <c r="A5023" i="1"/>
  <c r="R5022" i="1"/>
  <c r="N5022" i="1"/>
  <c r="J5022" i="1"/>
  <c r="I5022" i="1"/>
  <c r="H5022" i="1"/>
  <c r="G5022" i="1"/>
  <c r="F5022" i="1"/>
  <c r="E5022" i="1"/>
  <c r="D5022" i="1"/>
  <c r="A5022" i="1"/>
  <c r="R5021" i="1"/>
  <c r="Q5021" i="1"/>
  <c r="N5021" i="1"/>
  <c r="J5021" i="1"/>
  <c r="I5021" i="1"/>
  <c r="H5021" i="1"/>
  <c r="G5021" i="1"/>
  <c r="F5021" i="1"/>
  <c r="E5021" i="1"/>
  <c r="D5021" i="1"/>
  <c r="A5021" i="1"/>
  <c r="R5020" i="1"/>
  <c r="Q5020" i="1"/>
  <c r="N5020" i="1"/>
  <c r="J5020" i="1"/>
  <c r="I5020" i="1"/>
  <c r="H5020" i="1"/>
  <c r="G5020" i="1"/>
  <c r="F5020" i="1"/>
  <c r="E5020" i="1"/>
  <c r="D5020" i="1"/>
  <c r="A5020" i="1"/>
  <c r="R5019" i="1"/>
  <c r="Q5019" i="1"/>
  <c r="N5019" i="1"/>
  <c r="J5019" i="1"/>
  <c r="I5019" i="1"/>
  <c r="H5019" i="1"/>
  <c r="G5019" i="1"/>
  <c r="F5019" i="1"/>
  <c r="E5019" i="1"/>
  <c r="D5019" i="1"/>
  <c r="A5019" i="1"/>
  <c r="R5018" i="1"/>
  <c r="Q5018" i="1"/>
  <c r="N5018" i="1"/>
  <c r="J5018" i="1"/>
  <c r="I5018" i="1"/>
  <c r="H5018" i="1"/>
  <c r="G5018" i="1"/>
  <c r="F5018" i="1"/>
  <c r="E5018" i="1"/>
  <c r="D5018" i="1"/>
  <c r="A5018" i="1"/>
  <c r="R5017" i="1"/>
  <c r="Q5017" i="1"/>
  <c r="N5017" i="1"/>
  <c r="J5017" i="1"/>
  <c r="I5017" i="1"/>
  <c r="H5017" i="1"/>
  <c r="G5017" i="1"/>
  <c r="F5017" i="1"/>
  <c r="E5017" i="1"/>
  <c r="D5017" i="1"/>
  <c r="A5017" i="1"/>
  <c r="R5016" i="1"/>
  <c r="Q5016" i="1"/>
  <c r="N5016" i="1"/>
  <c r="J5016" i="1"/>
  <c r="I5016" i="1"/>
  <c r="H5016" i="1"/>
  <c r="G5016" i="1"/>
  <c r="F5016" i="1"/>
  <c r="E5016" i="1"/>
  <c r="D5016" i="1"/>
  <c r="A5016" i="1"/>
  <c r="R5015" i="1"/>
  <c r="Q5015" i="1"/>
  <c r="N5015" i="1"/>
  <c r="J5015" i="1"/>
  <c r="I5015" i="1"/>
  <c r="H5015" i="1"/>
  <c r="G5015" i="1"/>
  <c r="F5015" i="1"/>
  <c r="E5015" i="1"/>
  <c r="D5015" i="1"/>
  <c r="A5015" i="1"/>
  <c r="R5014" i="1"/>
  <c r="Q5014" i="1"/>
  <c r="N5014" i="1"/>
  <c r="J5014" i="1"/>
  <c r="I5014" i="1"/>
  <c r="H5014" i="1"/>
  <c r="G5014" i="1"/>
  <c r="F5014" i="1"/>
  <c r="E5014" i="1"/>
  <c r="D5014" i="1"/>
  <c r="A5014" i="1"/>
  <c r="R5013" i="1"/>
  <c r="Q5013" i="1"/>
  <c r="N5013" i="1"/>
  <c r="J5013" i="1"/>
  <c r="I5013" i="1"/>
  <c r="H5013" i="1"/>
  <c r="G5013" i="1"/>
  <c r="F5013" i="1"/>
  <c r="E5013" i="1"/>
  <c r="D5013" i="1"/>
  <c r="A5013" i="1"/>
  <c r="R5012" i="1"/>
  <c r="Q5012" i="1"/>
  <c r="N5012" i="1"/>
  <c r="J5012" i="1"/>
  <c r="I5012" i="1"/>
  <c r="H5012" i="1"/>
  <c r="G5012" i="1"/>
  <c r="F5012" i="1"/>
  <c r="E5012" i="1"/>
  <c r="D5012" i="1"/>
  <c r="A5012" i="1"/>
  <c r="R5011" i="1"/>
  <c r="Q5011" i="1"/>
  <c r="N5011" i="1"/>
  <c r="J5011" i="1"/>
  <c r="I5011" i="1"/>
  <c r="H5011" i="1"/>
  <c r="G5011" i="1"/>
  <c r="F5011" i="1"/>
  <c r="E5011" i="1"/>
  <c r="D5011" i="1"/>
  <c r="A5011" i="1"/>
  <c r="R5010" i="1"/>
  <c r="Q5010" i="1"/>
  <c r="N5010" i="1"/>
  <c r="J5010" i="1"/>
  <c r="I5010" i="1"/>
  <c r="H5010" i="1"/>
  <c r="G5010" i="1"/>
  <c r="F5010" i="1"/>
  <c r="E5010" i="1"/>
  <c r="D5010" i="1"/>
  <c r="A5010" i="1"/>
  <c r="R5009" i="1"/>
  <c r="Q5009" i="1"/>
  <c r="N5009" i="1"/>
  <c r="J5009" i="1"/>
  <c r="I5009" i="1"/>
  <c r="H5009" i="1"/>
  <c r="G5009" i="1"/>
  <c r="F5009" i="1"/>
  <c r="E5009" i="1"/>
  <c r="D5009" i="1"/>
  <c r="A5009" i="1"/>
  <c r="R5008" i="1"/>
  <c r="Q5008" i="1"/>
  <c r="N5008" i="1"/>
  <c r="J5008" i="1"/>
  <c r="I5008" i="1"/>
  <c r="H5008" i="1"/>
  <c r="G5008" i="1"/>
  <c r="F5008" i="1"/>
  <c r="E5008" i="1"/>
  <c r="D5008" i="1"/>
  <c r="A5008" i="1"/>
  <c r="R5007" i="1"/>
  <c r="Q5007" i="1"/>
  <c r="N5007" i="1"/>
  <c r="J5007" i="1"/>
  <c r="I5007" i="1"/>
  <c r="H5007" i="1"/>
  <c r="G5007" i="1"/>
  <c r="F5007" i="1"/>
  <c r="E5007" i="1"/>
  <c r="D5007" i="1"/>
  <c r="A5007" i="1"/>
  <c r="R5006" i="1"/>
  <c r="Q5006" i="1"/>
  <c r="N5006" i="1"/>
  <c r="J5006" i="1"/>
  <c r="I5006" i="1"/>
  <c r="H5006" i="1"/>
  <c r="G5006" i="1"/>
  <c r="F5006" i="1"/>
  <c r="E5006" i="1"/>
  <c r="D5006" i="1"/>
  <c r="A5006" i="1"/>
  <c r="R5005" i="1"/>
  <c r="Q5005" i="1"/>
  <c r="N5005" i="1"/>
  <c r="J5005" i="1"/>
  <c r="I5005" i="1"/>
  <c r="H5005" i="1"/>
  <c r="G5005" i="1"/>
  <c r="F5005" i="1"/>
  <c r="E5005" i="1"/>
  <c r="D5005" i="1"/>
  <c r="A5005" i="1"/>
  <c r="R5004" i="1"/>
  <c r="Q5004" i="1"/>
  <c r="N5004" i="1"/>
  <c r="J5004" i="1"/>
  <c r="I5004" i="1"/>
  <c r="H5004" i="1"/>
  <c r="G5004" i="1"/>
  <c r="F5004" i="1"/>
  <c r="E5004" i="1"/>
  <c r="D5004" i="1"/>
  <c r="A5004" i="1"/>
  <c r="R5003" i="1"/>
  <c r="Q5003" i="1"/>
  <c r="N5003" i="1"/>
  <c r="J5003" i="1"/>
  <c r="I5003" i="1"/>
  <c r="H5003" i="1"/>
  <c r="G5003" i="1"/>
  <c r="F5003" i="1"/>
  <c r="E5003" i="1"/>
  <c r="D5003" i="1"/>
  <c r="A5003" i="1"/>
  <c r="R5002" i="1"/>
  <c r="Q5002" i="1"/>
  <c r="N5002" i="1"/>
  <c r="J5002" i="1"/>
  <c r="I5002" i="1"/>
  <c r="H5002" i="1"/>
  <c r="G5002" i="1"/>
  <c r="F5002" i="1"/>
  <c r="E5002" i="1"/>
  <c r="D5002" i="1"/>
  <c r="A5002" i="1"/>
  <c r="R5001" i="1"/>
  <c r="Q5001" i="1"/>
  <c r="N5001" i="1"/>
  <c r="J5001" i="1"/>
  <c r="I5001" i="1"/>
  <c r="H5001" i="1"/>
  <c r="G5001" i="1"/>
  <c r="F5001" i="1"/>
  <c r="E5001" i="1"/>
  <c r="D5001" i="1"/>
  <c r="A5001" i="1"/>
  <c r="R5000" i="1"/>
  <c r="Q5000" i="1"/>
  <c r="N5000" i="1"/>
  <c r="J5000" i="1"/>
  <c r="I5000" i="1"/>
  <c r="H5000" i="1"/>
  <c r="G5000" i="1"/>
  <c r="F5000" i="1"/>
  <c r="E5000" i="1"/>
  <c r="D5000" i="1"/>
  <c r="A5000" i="1"/>
  <c r="R4999" i="1"/>
  <c r="Q4999" i="1"/>
  <c r="N4999" i="1"/>
  <c r="J4999" i="1"/>
  <c r="I4999" i="1"/>
  <c r="H4999" i="1"/>
  <c r="G4999" i="1"/>
  <c r="F4999" i="1"/>
  <c r="E4999" i="1"/>
  <c r="D4999" i="1"/>
  <c r="A4999" i="1"/>
  <c r="R4998" i="1"/>
  <c r="Q4998" i="1"/>
  <c r="N4998" i="1"/>
  <c r="J4998" i="1"/>
  <c r="I4998" i="1"/>
  <c r="H4998" i="1"/>
  <c r="G4998" i="1"/>
  <c r="F4998" i="1"/>
  <c r="E4998" i="1"/>
  <c r="D4998" i="1"/>
  <c r="A4998" i="1"/>
  <c r="R4997" i="1"/>
  <c r="Q4997" i="1"/>
  <c r="N4997" i="1"/>
  <c r="J4997" i="1"/>
  <c r="I4997" i="1"/>
  <c r="H4997" i="1"/>
  <c r="G4997" i="1"/>
  <c r="F4997" i="1"/>
  <c r="E4997" i="1"/>
  <c r="D4997" i="1"/>
  <c r="A4997" i="1"/>
  <c r="R4996" i="1"/>
  <c r="Q4996" i="1"/>
  <c r="N4996" i="1"/>
  <c r="J4996" i="1"/>
  <c r="I4996" i="1"/>
  <c r="H4996" i="1"/>
  <c r="G4996" i="1"/>
  <c r="F4996" i="1"/>
  <c r="E4996" i="1"/>
  <c r="D4996" i="1"/>
  <c r="A4996" i="1"/>
  <c r="R4995" i="1"/>
  <c r="Q4995" i="1"/>
  <c r="N4995" i="1"/>
  <c r="J4995" i="1"/>
  <c r="I4995" i="1"/>
  <c r="H4995" i="1"/>
  <c r="G4995" i="1"/>
  <c r="F4995" i="1"/>
  <c r="E4995" i="1"/>
  <c r="D4995" i="1"/>
  <c r="A4995" i="1"/>
  <c r="R4994" i="1"/>
  <c r="Q4994" i="1"/>
  <c r="N4994" i="1"/>
  <c r="J4994" i="1"/>
  <c r="I4994" i="1"/>
  <c r="H4994" i="1"/>
  <c r="G4994" i="1"/>
  <c r="F4994" i="1"/>
  <c r="E4994" i="1"/>
  <c r="D4994" i="1"/>
  <c r="A4994" i="1"/>
  <c r="R4993" i="1"/>
  <c r="Q4993" i="1"/>
  <c r="N4993" i="1"/>
  <c r="J4993" i="1"/>
  <c r="I4993" i="1"/>
  <c r="H4993" i="1"/>
  <c r="G4993" i="1"/>
  <c r="F4993" i="1"/>
  <c r="E4993" i="1"/>
  <c r="D4993" i="1"/>
  <c r="A4993" i="1"/>
  <c r="R4992" i="1"/>
  <c r="Q4992" i="1"/>
  <c r="N4992" i="1"/>
  <c r="J4992" i="1"/>
  <c r="I4992" i="1"/>
  <c r="H4992" i="1"/>
  <c r="G4992" i="1"/>
  <c r="F4992" i="1"/>
  <c r="E4992" i="1"/>
  <c r="D4992" i="1"/>
  <c r="A4992" i="1"/>
  <c r="R4991" i="1"/>
  <c r="Q4991" i="1"/>
  <c r="N4991" i="1"/>
  <c r="J4991" i="1"/>
  <c r="I4991" i="1"/>
  <c r="H4991" i="1"/>
  <c r="G4991" i="1"/>
  <c r="F4991" i="1"/>
  <c r="E4991" i="1"/>
  <c r="D4991" i="1"/>
  <c r="A4991" i="1"/>
  <c r="R4990" i="1"/>
  <c r="Q4990" i="1"/>
  <c r="N4990" i="1"/>
  <c r="J4990" i="1"/>
  <c r="I4990" i="1"/>
  <c r="H4990" i="1"/>
  <c r="G4990" i="1"/>
  <c r="F4990" i="1"/>
  <c r="E4990" i="1"/>
  <c r="D4990" i="1"/>
  <c r="A4990" i="1"/>
  <c r="R4989" i="1"/>
  <c r="Q4989" i="1"/>
  <c r="N4989" i="1"/>
  <c r="J4989" i="1"/>
  <c r="I4989" i="1"/>
  <c r="H4989" i="1"/>
  <c r="G4989" i="1"/>
  <c r="F4989" i="1"/>
  <c r="E4989" i="1"/>
  <c r="D4989" i="1"/>
  <c r="A4989" i="1"/>
  <c r="R4988" i="1"/>
  <c r="Q4988" i="1"/>
  <c r="N4988" i="1"/>
  <c r="J4988" i="1"/>
  <c r="I4988" i="1"/>
  <c r="H4988" i="1"/>
  <c r="G4988" i="1"/>
  <c r="F4988" i="1"/>
  <c r="E4988" i="1"/>
  <c r="D4988" i="1"/>
  <c r="A4988" i="1"/>
  <c r="R4987" i="1"/>
  <c r="Q4987" i="1"/>
  <c r="N4987" i="1"/>
  <c r="J4987" i="1"/>
  <c r="I4987" i="1"/>
  <c r="H4987" i="1"/>
  <c r="G4987" i="1"/>
  <c r="F4987" i="1"/>
  <c r="E4987" i="1"/>
  <c r="D4987" i="1"/>
  <c r="A4987" i="1"/>
  <c r="R4986" i="1"/>
  <c r="Q4986" i="1"/>
  <c r="N4986" i="1"/>
  <c r="J4986" i="1"/>
  <c r="I4986" i="1"/>
  <c r="H4986" i="1"/>
  <c r="G4986" i="1"/>
  <c r="F4986" i="1"/>
  <c r="E4986" i="1"/>
  <c r="D4986" i="1"/>
  <c r="A4986" i="1"/>
  <c r="R4985" i="1"/>
  <c r="Q4985" i="1"/>
  <c r="N4985" i="1"/>
  <c r="J4985" i="1"/>
  <c r="I4985" i="1"/>
  <c r="H4985" i="1"/>
  <c r="G4985" i="1"/>
  <c r="F4985" i="1"/>
  <c r="E4985" i="1"/>
  <c r="D4985" i="1"/>
  <c r="A4985" i="1"/>
  <c r="R4984" i="1"/>
  <c r="Q4984" i="1"/>
  <c r="N4984" i="1"/>
  <c r="J4984" i="1"/>
  <c r="I4984" i="1"/>
  <c r="H4984" i="1"/>
  <c r="G4984" i="1"/>
  <c r="F4984" i="1"/>
  <c r="E4984" i="1"/>
  <c r="D4984" i="1"/>
  <c r="A4984" i="1"/>
  <c r="R4983" i="1"/>
  <c r="Q4983" i="1"/>
  <c r="N4983" i="1"/>
  <c r="J4983" i="1"/>
  <c r="I4983" i="1"/>
  <c r="H4983" i="1"/>
  <c r="G4983" i="1"/>
  <c r="F4983" i="1"/>
  <c r="E4983" i="1"/>
  <c r="D4983" i="1"/>
  <c r="A4983" i="1"/>
  <c r="R4982" i="1"/>
  <c r="Q4982" i="1"/>
  <c r="N4982" i="1"/>
  <c r="J4982" i="1"/>
  <c r="I4982" i="1"/>
  <c r="H4982" i="1"/>
  <c r="G4982" i="1"/>
  <c r="F4982" i="1"/>
  <c r="E4982" i="1"/>
  <c r="D4982" i="1"/>
  <c r="A4982" i="1"/>
  <c r="R4981" i="1"/>
  <c r="Q4981" i="1"/>
  <c r="N4981" i="1"/>
  <c r="J4981" i="1"/>
  <c r="I4981" i="1"/>
  <c r="H4981" i="1"/>
  <c r="G4981" i="1"/>
  <c r="F4981" i="1"/>
  <c r="E4981" i="1"/>
  <c r="D4981" i="1"/>
  <c r="A4981" i="1"/>
  <c r="R4980" i="1"/>
  <c r="Q4980" i="1"/>
  <c r="N4980" i="1"/>
  <c r="J4980" i="1"/>
  <c r="I4980" i="1"/>
  <c r="H4980" i="1"/>
  <c r="G4980" i="1"/>
  <c r="F4980" i="1"/>
  <c r="E4980" i="1"/>
  <c r="D4980" i="1"/>
  <c r="A4980" i="1"/>
  <c r="R4979" i="1"/>
  <c r="Q4979" i="1"/>
  <c r="N4979" i="1"/>
  <c r="J4979" i="1"/>
  <c r="I4979" i="1"/>
  <c r="H4979" i="1"/>
  <c r="G4979" i="1"/>
  <c r="F4979" i="1"/>
  <c r="E4979" i="1"/>
  <c r="D4979" i="1"/>
  <c r="A4979" i="1"/>
  <c r="R4978" i="1"/>
  <c r="Q4978" i="1"/>
  <c r="N4978" i="1"/>
  <c r="J4978" i="1"/>
  <c r="I4978" i="1"/>
  <c r="H4978" i="1"/>
  <c r="G4978" i="1"/>
  <c r="F4978" i="1"/>
  <c r="E4978" i="1"/>
  <c r="D4978" i="1"/>
  <c r="A4978" i="1"/>
  <c r="R4977" i="1"/>
  <c r="Q4977" i="1"/>
  <c r="N4977" i="1"/>
  <c r="J4977" i="1"/>
  <c r="I4977" i="1"/>
  <c r="H4977" i="1"/>
  <c r="G4977" i="1"/>
  <c r="F4977" i="1"/>
  <c r="E4977" i="1"/>
  <c r="D4977" i="1"/>
  <c r="A4977" i="1"/>
  <c r="R4976" i="1"/>
  <c r="Q4976" i="1"/>
  <c r="N4976" i="1"/>
  <c r="J4976" i="1"/>
  <c r="I4976" i="1"/>
  <c r="H4976" i="1"/>
  <c r="G4976" i="1"/>
  <c r="F4976" i="1"/>
  <c r="E4976" i="1"/>
  <c r="D4976" i="1"/>
  <c r="A4976" i="1"/>
  <c r="R4975" i="1"/>
  <c r="Q4975" i="1"/>
  <c r="N4975" i="1"/>
  <c r="J4975" i="1"/>
  <c r="I4975" i="1"/>
  <c r="H4975" i="1"/>
  <c r="G4975" i="1"/>
  <c r="F4975" i="1"/>
  <c r="E4975" i="1"/>
  <c r="D4975" i="1"/>
  <c r="A4975" i="1"/>
  <c r="R4974" i="1"/>
  <c r="N4974" i="1"/>
  <c r="J4974" i="1"/>
  <c r="I4974" i="1"/>
  <c r="H4974" i="1"/>
  <c r="G4974" i="1"/>
  <c r="F4974" i="1"/>
  <c r="E4974" i="1"/>
  <c r="D4974" i="1"/>
  <c r="C4974" i="1"/>
  <c r="B4974" i="1"/>
  <c r="A4974" i="1"/>
  <c r="R4973" i="1"/>
  <c r="N4973" i="1"/>
  <c r="J4973" i="1"/>
  <c r="I4973" i="1"/>
  <c r="H4973" i="1"/>
  <c r="G4973" i="1"/>
  <c r="F4973" i="1"/>
  <c r="E4973" i="1"/>
  <c r="D4973" i="1"/>
  <c r="C4973" i="1"/>
  <c r="B4973" i="1"/>
  <c r="A4973" i="1"/>
  <c r="R4972" i="1"/>
  <c r="N4972" i="1"/>
  <c r="J4972" i="1"/>
  <c r="I4972" i="1"/>
  <c r="H4972" i="1"/>
  <c r="G4972" i="1"/>
  <c r="F4972" i="1"/>
  <c r="E4972" i="1"/>
  <c r="D4972" i="1"/>
  <c r="C4972" i="1"/>
  <c r="B4972" i="1"/>
  <c r="A4972" i="1"/>
  <c r="R4971" i="1"/>
  <c r="N4971" i="1"/>
  <c r="J4971" i="1"/>
  <c r="I4971" i="1"/>
  <c r="H4971" i="1"/>
  <c r="G4971" i="1"/>
  <c r="F4971" i="1"/>
  <c r="E4971" i="1"/>
  <c r="D4971" i="1"/>
  <c r="C4971" i="1"/>
  <c r="B4971" i="1"/>
  <c r="A4971" i="1"/>
  <c r="R4970" i="1"/>
  <c r="N4970" i="1"/>
  <c r="J4970" i="1"/>
  <c r="I4970" i="1"/>
  <c r="H4970" i="1"/>
  <c r="G4970" i="1"/>
  <c r="F4970" i="1"/>
  <c r="E4970" i="1"/>
  <c r="D4970" i="1"/>
  <c r="C4970" i="1"/>
  <c r="B4970" i="1"/>
  <c r="A4970" i="1"/>
  <c r="R4969" i="1"/>
  <c r="N4969" i="1"/>
  <c r="J4969" i="1"/>
  <c r="I4969" i="1"/>
  <c r="H4969" i="1"/>
  <c r="G4969" i="1"/>
  <c r="F4969" i="1"/>
  <c r="E4969" i="1"/>
  <c r="D4969" i="1"/>
  <c r="C4969" i="1"/>
  <c r="B4969" i="1"/>
  <c r="A4969" i="1"/>
  <c r="R4968" i="1"/>
  <c r="N4968" i="1"/>
  <c r="J4968" i="1"/>
  <c r="I4968" i="1"/>
  <c r="H4968" i="1"/>
  <c r="G4968" i="1"/>
  <c r="F4968" i="1"/>
  <c r="E4968" i="1"/>
  <c r="D4968" i="1"/>
  <c r="C4968" i="1"/>
  <c r="B4968" i="1"/>
  <c r="A4968" i="1"/>
  <c r="R4967" i="1"/>
  <c r="Q4967" i="1"/>
  <c r="N4967" i="1"/>
  <c r="J4967" i="1"/>
  <c r="I4967" i="1"/>
  <c r="H4967" i="1"/>
  <c r="G4967" i="1"/>
  <c r="F4967" i="1"/>
  <c r="E4967" i="1"/>
  <c r="D4967" i="1"/>
  <c r="C4967" i="1"/>
  <c r="B4967" i="1"/>
  <c r="A4967" i="1"/>
  <c r="R4966" i="1"/>
  <c r="N4966" i="1"/>
  <c r="J4966" i="1"/>
  <c r="I4966" i="1"/>
  <c r="H4966" i="1"/>
  <c r="G4966" i="1"/>
  <c r="F4966" i="1"/>
  <c r="E4966" i="1"/>
  <c r="D4966" i="1"/>
  <c r="C4966" i="1"/>
  <c r="B4966" i="1"/>
  <c r="A4966" i="1"/>
  <c r="R4965" i="1"/>
  <c r="Q4965" i="1"/>
  <c r="N4965" i="1"/>
  <c r="J4965" i="1"/>
  <c r="I4965" i="1"/>
  <c r="H4965" i="1"/>
  <c r="G4965" i="1"/>
  <c r="F4965" i="1"/>
  <c r="E4965" i="1"/>
  <c r="D4965" i="1"/>
  <c r="C4965" i="1"/>
  <c r="B4965" i="1"/>
  <c r="A4965" i="1"/>
  <c r="R4964" i="1"/>
  <c r="N4964" i="1"/>
  <c r="J4964" i="1"/>
  <c r="I4964" i="1"/>
  <c r="H4964" i="1"/>
  <c r="G4964" i="1"/>
  <c r="F4964" i="1"/>
  <c r="E4964" i="1"/>
  <c r="D4964" i="1"/>
  <c r="C4964" i="1"/>
  <c r="B4964" i="1"/>
  <c r="A4964" i="1"/>
  <c r="R4963" i="1"/>
  <c r="N4963" i="1"/>
  <c r="J4963" i="1"/>
  <c r="I4963" i="1"/>
  <c r="H4963" i="1"/>
  <c r="G4963" i="1"/>
  <c r="F4963" i="1"/>
  <c r="E4963" i="1"/>
  <c r="D4963" i="1"/>
  <c r="C4963" i="1"/>
  <c r="B4963" i="1"/>
  <c r="A4963" i="1"/>
  <c r="R4962" i="1"/>
  <c r="Q4962" i="1"/>
  <c r="N4962" i="1"/>
  <c r="J4962" i="1"/>
  <c r="I4962" i="1"/>
  <c r="H4962" i="1"/>
  <c r="G4962" i="1"/>
  <c r="F4962" i="1"/>
  <c r="E4962" i="1"/>
  <c r="D4962" i="1"/>
  <c r="C4962" i="1"/>
  <c r="A4962" i="1"/>
  <c r="R4961" i="1"/>
  <c r="N4961" i="1"/>
  <c r="J4961" i="1"/>
  <c r="I4961" i="1"/>
  <c r="H4961" i="1"/>
  <c r="G4961" i="1"/>
  <c r="F4961" i="1"/>
  <c r="E4961" i="1"/>
  <c r="D4961" i="1"/>
  <c r="C4961" i="1"/>
  <c r="B4961" i="1"/>
  <c r="A4961" i="1"/>
  <c r="R4960" i="1"/>
  <c r="Q4960" i="1"/>
  <c r="N4960" i="1"/>
  <c r="J4960" i="1"/>
  <c r="I4960" i="1"/>
  <c r="H4960" i="1"/>
  <c r="G4960" i="1"/>
  <c r="F4960" i="1"/>
  <c r="E4960" i="1"/>
  <c r="D4960" i="1"/>
  <c r="C4960" i="1"/>
  <c r="B4960" i="1"/>
  <c r="A4960" i="1"/>
  <c r="R4959" i="1"/>
  <c r="N4959" i="1"/>
  <c r="J4959" i="1"/>
  <c r="I4959" i="1"/>
  <c r="H4959" i="1"/>
  <c r="G4959" i="1"/>
  <c r="F4959" i="1"/>
  <c r="E4959" i="1"/>
  <c r="D4959" i="1"/>
  <c r="C4959" i="1"/>
  <c r="B4959" i="1"/>
  <c r="A4959" i="1"/>
  <c r="R4958" i="1"/>
  <c r="Q4958" i="1"/>
  <c r="N4958" i="1"/>
  <c r="J4958" i="1"/>
  <c r="I4958" i="1"/>
  <c r="H4958" i="1"/>
  <c r="G4958" i="1"/>
  <c r="F4958" i="1"/>
  <c r="E4958" i="1"/>
  <c r="D4958" i="1"/>
  <c r="C4958" i="1"/>
  <c r="A4958" i="1"/>
  <c r="R4957" i="1"/>
  <c r="N4957" i="1"/>
  <c r="J4957" i="1"/>
  <c r="I4957" i="1"/>
  <c r="H4957" i="1"/>
  <c r="G4957" i="1"/>
  <c r="F4957" i="1"/>
  <c r="E4957" i="1"/>
  <c r="D4957" i="1"/>
  <c r="C4957" i="1"/>
  <c r="A4957" i="1"/>
  <c r="R4956" i="1"/>
  <c r="Q4956" i="1"/>
  <c r="N4956" i="1"/>
  <c r="J4956" i="1"/>
  <c r="I4956" i="1"/>
  <c r="H4956" i="1"/>
  <c r="G4956" i="1"/>
  <c r="F4956" i="1"/>
  <c r="E4956" i="1"/>
  <c r="D4956" i="1"/>
  <c r="C4956" i="1"/>
  <c r="A4956" i="1"/>
  <c r="R4955" i="1"/>
  <c r="N4955" i="1"/>
  <c r="J4955" i="1"/>
  <c r="I4955" i="1"/>
  <c r="H4955" i="1"/>
  <c r="G4955" i="1"/>
  <c r="F4955" i="1"/>
  <c r="E4955" i="1"/>
  <c r="D4955" i="1"/>
  <c r="C4955" i="1"/>
  <c r="A4955" i="1"/>
  <c r="R4954" i="1"/>
  <c r="Q4954" i="1"/>
  <c r="N4954" i="1"/>
  <c r="J4954" i="1"/>
  <c r="I4954" i="1"/>
  <c r="H4954" i="1"/>
  <c r="G4954" i="1"/>
  <c r="F4954" i="1"/>
  <c r="E4954" i="1"/>
  <c r="D4954" i="1"/>
  <c r="C4954" i="1"/>
  <c r="A4954" i="1"/>
  <c r="R4953" i="1"/>
  <c r="N4953" i="1"/>
  <c r="J4953" i="1"/>
  <c r="I4953" i="1"/>
  <c r="H4953" i="1"/>
  <c r="G4953" i="1"/>
  <c r="F4953" i="1"/>
  <c r="E4953" i="1"/>
  <c r="D4953" i="1"/>
  <c r="C4953" i="1"/>
  <c r="A4953" i="1"/>
  <c r="R4952" i="1"/>
  <c r="Q4952" i="1"/>
  <c r="N4952" i="1"/>
  <c r="J4952" i="1"/>
  <c r="I4952" i="1"/>
  <c r="H4952" i="1"/>
  <c r="G4952" i="1"/>
  <c r="F4952" i="1"/>
  <c r="E4952" i="1"/>
  <c r="D4952" i="1"/>
  <c r="C4952" i="1"/>
  <c r="A4952" i="1"/>
  <c r="R4951" i="1"/>
  <c r="N4951" i="1"/>
  <c r="J4951" i="1"/>
  <c r="I4951" i="1"/>
  <c r="H4951" i="1"/>
  <c r="G4951" i="1"/>
  <c r="F4951" i="1"/>
  <c r="E4951" i="1"/>
  <c r="D4951" i="1"/>
  <c r="C4951" i="1"/>
  <c r="A4951" i="1"/>
  <c r="R4950" i="1"/>
  <c r="Q4950" i="1"/>
  <c r="N4950" i="1"/>
  <c r="J4950" i="1"/>
  <c r="I4950" i="1"/>
  <c r="H4950" i="1"/>
  <c r="G4950" i="1"/>
  <c r="F4950" i="1"/>
  <c r="E4950" i="1"/>
  <c r="D4950" i="1"/>
  <c r="C4950" i="1"/>
  <c r="A4950" i="1"/>
  <c r="R4949" i="1"/>
  <c r="N4949" i="1"/>
  <c r="J4949" i="1"/>
  <c r="I4949" i="1"/>
  <c r="H4949" i="1"/>
  <c r="G4949" i="1"/>
  <c r="F4949" i="1"/>
  <c r="E4949" i="1"/>
  <c r="D4949" i="1"/>
  <c r="C4949" i="1"/>
  <c r="A4949" i="1"/>
  <c r="R4948" i="1"/>
  <c r="Q4948" i="1"/>
  <c r="N4948" i="1"/>
  <c r="J4948" i="1"/>
  <c r="I4948" i="1"/>
  <c r="H4948" i="1"/>
  <c r="G4948" i="1"/>
  <c r="F4948" i="1"/>
  <c r="E4948" i="1"/>
  <c r="D4948" i="1"/>
  <c r="C4948" i="1"/>
  <c r="A4948" i="1"/>
  <c r="R4947" i="1"/>
  <c r="Q4947" i="1"/>
  <c r="N4947" i="1"/>
  <c r="J4947" i="1"/>
  <c r="I4947" i="1"/>
  <c r="H4947" i="1"/>
  <c r="G4947" i="1"/>
  <c r="F4947" i="1"/>
  <c r="E4947" i="1"/>
  <c r="D4947" i="1"/>
  <c r="C4947" i="1"/>
  <c r="A4947" i="1"/>
  <c r="R4946" i="1"/>
  <c r="N4946" i="1"/>
  <c r="J4946" i="1"/>
  <c r="I4946" i="1"/>
  <c r="H4946" i="1"/>
  <c r="G4946" i="1"/>
  <c r="F4946" i="1"/>
  <c r="E4946" i="1"/>
  <c r="D4946" i="1"/>
  <c r="C4946" i="1"/>
  <c r="A4946" i="1"/>
  <c r="R4945" i="1"/>
  <c r="Q4945" i="1"/>
  <c r="N4945" i="1"/>
  <c r="J4945" i="1"/>
  <c r="I4945" i="1"/>
  <c r="H4945" i="1"/>
  <c r="G4945" i="1"/>
  <c r="F4945" i="1"/>
  <c r="E4945" i="1"/>
  <c r="D4945" i="1"/>
  <c r="C4945" i="1"/>
  <c r="A4945" i="1"/>
  <c r="R4944" i="1"/>
  <c r="N4944" i="1"/>
  <c r="J4944" i="1"/>
  <c r="I4944" i="1"/>
  <c r="H4944" i="1"/>
  <c r="G4944" i="1"/>
  <c r="F4944" i="1"/>
  <c r="E4944" i="1"/>
  <c r="D4944" i="1"/>
  <c r="C4944" i="1"/>
  <c r="A4944" i="1"/>
  <c r="R4943" i="1"/>
  <c r="Q4943" i="1"/>
  <c r="N4943" i="1"/>
  <c r="J4943" i="1"/>
  <c r="I4943" i="1"/>
  <c r="H4943" i="1"/>
  <c r="G4943" i="1"/>
  <c r="F4943" i="1"/>
  <c r="E4943" i="1"/>
  <c r="D4943" i="1"/>
  <c r="C4943" i="1"/>
  <c r="A4943" i="1"/>
  <c r="R4942" i="1"/>
  <c r="N4942" i="1"/>
  <c r="J4942" i="1"/>
  <c r="I4942" i="1"/>
  <c r="H4942" i="1"/>
  <c r="G4942" i="1"/>
  <c r="F4942" i="1"/>
  <c r="E4942" i="1"/>
  <c r="D4942" i="1"/>
  <c r="C4942" i="1"/>
  <c r="A4942" i="1"/>
  <c r="R4941" i="1"/>
  <c r="Q4941" i="1"/>
  <c r="N4941" i="1"/>
  <c r="J4941" i="1"/>
  <c r="I4941" i="1"/>
  <c r="H4941" i="1"/>
  <c r="G4941" i="1"/>
  <c r="F4941" i="1"/>
  <c r="E4941" i="1"/>
  <c r="D4941" i="1"/>
  <c r="C4941" i="1"/>
  <c r="A4941" i="1"/>
  <c r="R4940" i="1"/>
  <c r="Q4940" i="1"/>
  <c r="N4940" i="1"/>
  <c r="J4940" i="1"/>
  <c r="I4940" i="1"/>
  <c r="H4940" i="1"/>
  <c r="G4940" i="1"/>
  <c r="F4940" i="1"/>
  <c r="E4940" i="1"/>
  <c r="D4940" i="1"/>
  <c r="C4940" i="1"/>
  <c r="A4940" i="1"/>
  <c r="R4939" i="1"/>
  <c r="Q4939" i="1"/>
  <c r="N4939" i="1"/>
  <c r="J4939" i="1"/>
  <c r="I4939" i="1"/>
  <c r="H4939" i="1"/>
  <c r="G4939" i="1"/>
  <c r="F4939" i="1"/>
  <c r="E4939" i="1"/>
  <c r="D4939" i="1"/>
  <c r="C4939" i="1"/>
  <c r="A4939" i="1"/>
  <c r="R4938" i="1"/>
  <c r="N4938" i="1"/>
  <c r="J4938" i="1"/>
  <c r="I4938" i="1"/>
  <c r="H4938" i="1"/>
  <c r="G4938" i="1"/>
  <c r="F4938" i="1"/>
  <c r="E4938" i="1"/>
  <c r="D4938" i="1"/>
  <c r="C4938" i="1"/>
  <c r="B4938" i="1"/>
  <c r="A4938" i="1"/>
  <c r="R4937" i="1"/>
  <c r="Q4937" i="1"/>
  <c r="N4937" i="1"/>
  <c r="J4937" i="1"/>
  <c r="I4937" i="1"/>
  <c r="H4937" i="1"/>
  <c r="G4937" i="1"/>
  <c r="F4937" i="1"/>
  <c r="E4937" i="1"/>
  <c r="D4937" i="1"/>
  <c r="C4937" i="1"/>
  <c r="B4937" i="1"/>
  <c r="A4937" i="1"/>
  <c r="R4936" i="1"/>
  <c r="N4936" i="1"/>
  <c r="J4936" i="1"/>
  <c r="I4936" i="1"/>
  <c r="H4936" i="1"/>
  <c r="G4936" i="1"/>
  <c r="F4936" i="1"/>
  <c r="E4936" i="1"/>
  <c r="D4936" i="1"/>
  <c r="C4936" i="1"/>
  <c r="B4936" i="1"/>
  <c r="A4936" i="1"/>
  <c r="R4935" i="1"/>
  <c r="Q4935" i="1"/>
  <c r="N4935" i="1"/>
  <c r="J4935" i="1"/>
  <c r="I4935" i="1"/>
  <c r="H4935" i="1"/>
  <c r="G4935" i="1"/>
  <c r="F4935" i="1"/>
  <c r="E4935" i="1"/>
  <c r="D4935" i="1"/>
  <c r="C4935" i="1"/>
  <c r="B4935" i="1"/>
  <c r="A4935" i="1"/>
  <c r="R4934" i="1"/>
  <c r="N4934" i="1"/>
  <c r="J4934" i="1"/>
  <c r="I4934" i="1"/>
  <c r="H4934" i="1"/>
  <c r="G4934" i="1"/>
  <c r="F4934" i="1"/>
  <c r="E4934" i="1"/>
  <c r="D4934" i="1"/>
  <c r="C4934" i="1"/>
  <c r="B4934" i="1"/>
  <c r="A4934" i="1"/>
  <c r="R4933" i="1"/>
  <c r="Q4933" i="1"/>
  <c r="N4933" i="1"/>
  <c r="J4933" i="1"/>
  <c r="I4933" i="1"/>
  <c r="H4933" i="1"/>
  <c r="G4933" i="1"/>
  <c r="F4933" i="1"/>
  <c r="E4933" i="1"/>
  <c r="D4933" i="1"/>
  <c r="C4933" i="1"/>
  <c r="B4933" i="1"/>
  <c r="A4933" i="1"/>
  <c r="R4932" i="1"/>
  <c r="N4932" i="1"/>
  <c r="J4932" i="1"/>
  <c r="I4932" i="1"/>
  <c r="H4932" i="1"/>
  <c r="G4932" i="1"/>
  <c r="F4932" i="1"/>
  <c r="E4932" i="1"/>
  <c r="D4932" i="1"/>
  <c r="C4932" i="1"/>
  <c r="B4932" i="1"/>
  <c r="A4932" i="1"/>
  <c r="R4931" i="1"/>
  <c r="Q4931" i="1"/>
  <c r="N4931" i="1"/>
  <c r="J4931" i="1"/>
  <c r="I4931" i="1"/>
  <c r="H4931" i="1"/>
  <c r="G4931" i="1"/>
  <c r="F4931" i="1"/>
  <c r="E4931" i="1"/>
  <c r="D4931" i="1"/>
  <c r="C4931" i="1"/>
  <c r="B4931" i="1"/>
  <c r="A4931" i="1"/>
  <c r="R4930" i="1"/>
  <c r="N4930" i="1"/>
  <c r="J4930" i="1"/>
  <c r="I4930" i="1"/>
  <c r="H4930" i="1"/>
  <c r="G4930" i="1"/>
  <c r="F4930" i="1"/>
  <c r="E4930" i="1"/>
  <c r="D4930" i="1"/>
  <c r="C4930" i="1"/>
  <c r="B4930" i="1"/>
  <c r="A4930" i="1"/>
  <c r="R4929" i="1"/>
  <c r="Q4929" i="1"/>
  <c r="N4929" i="1"/>
  <c r="J4929" i="1"/>
  <c r="I4929" i="1"/>
  <c r="H4929" i="1"/>
  <c r="G4929" i="1"/>
  <c r="F4929" i="1"/>
  <c r="E4929" i="1"/>
  <c r="D4929" i="1"/>
  <c r="C4929" i="1"/>
  <c r="B4929" i="1"/>
  <c r="A4929" i="1"/>
  <c r="R4928" i="1"/>
  <c r="N4928" i="1"/>
  <c r="J4928" i="1"/>
  <c r="I4928" i="1"/>
  <c r="H4928" i="1"/>
  <c r="G4928" i="1"/>
  <c r="F4928" i="1"/>
  <c r="E4928" i="1"/>
  <c r="D4928" i="1"/>
  <c r="C4928" i="1"/>
  <c r="B4928" i="1"/>
  <c r="A4928" i="1"/>
  <c r="R4927" i="1"/>
  <c r="Q4927" i="1"/>
  <c r="N4927" i="1"/>
  <c r="J4927" i="1"/>
  <c r="I4927" i="1"/>
  <c r="H4927" i="1"/>
  <c r="G4927" i="1"/>
  <c r="F4927" i="1"/>
  <c r="E4927" i="1"/>
  <c r="D4927" i="1"/>
  <c r="C4927" i="1"/>
  <c r="B4927" i="1"/>
  <c r="A4927" i="1"/>
  <c r="R4926" i="1"/>
  <c r="N4926" i="1"/>
  <c r="J4926" i="1"/>
  <c r="I4926" i="1"/>
  <c r="H4926" i="1"/>
  <c r="G4926" i="1"/>
  <c r="F4926" i="1"/>
  <c r="E4926" i="1"/>
  <c r="D4926" i="1"/>
  <c r="C4926" i="1"/>
  <c r="B4926" i="1"/>
  <c r="A4926" i="1"/>
  <c r="R4925" i="1"/>
  <c r="Q4925" i="1"/>
  <c r="N4925" i="1"/>
  <c r="J4925" i="1"/>
  <c r="I4925" i="1"/>
  <c r="H4925" i="1"/>
  <c r="G4925" i="1"/>
  <c r="F4925" i="1"/>
  <c r="E4925" i="1"/>
  <c r="D4925" i="1"/>
  <c r="C4925" i="1"/>
  <c r="B4925" i="1"/>
  <c r="A4925" i="1"/>
  <c r="R4924" i="1"/>
  <c r="N4924" i="1"/>
  <c r="J4924" i="1"/>
  <c r="I4924" i="1"/>
  <c r="H4924" i="1"/>
  <c r="G4924" i="1"/>
  <c r="F4924" i="1"/>
  <c r="E4924" i="1"/>
  <c r="D4924" i="1"/>
  <c r="C4924" i="1"/>
  <c r="B4924" i="1"/>
  <c r="A4924" i="1"/>
  <c r="R4923" i="1"/>
  <c r="Q4923" i="1"/>
  <c r="N4923" i="1"/>
  <c r="J4923" i="1"/>
  <c r="I4923" i="1"/>
  <c r="H4923" i="1"/>
  <c r="G4923" i="1"/>
  <c r="F4923" i="1"/>
  <c r="E4923" i="1"/>
  <c r="D4923" i="1"/>
  <c r="C4923" i="1"/>
  <c r="B4923" i="1"/>
  <c r="A4923" i="1"/>
  <c r="R4922" i="1"/>
  <c r="N4922" i="1"/>
  <c r="J4922" i="1"/>
  <c r="I4922" i="1"/>
  <c r="H4922" i="1"/>
  <c r="G4922" i="1"/>
  <c r="F4922" i="1"/>
  <c r="E4922" i="1"/>
  <c r="D4922" i="1"/>
  <c r="C4922" i="1"/>
  <c r="B4922" i="1"/>
  <c r="A4922" i="1"/>
  <c r="R4921" i="1"/>
  <c r="Q4921" i="1"/>
  <c r="N4921" i="1"/>
  <c r="J4921" i="1"/>
  <c r="I4921" i="1"/>
  <c r="H4921" i="1"/>
  <c r="G4921" i="1"/>
  <c r="F4921" i="1"/>
  <c r="E4921" i="1"/>
  <c r="D4921" i="1"/>
  <c r="C4921" i="1"/>
  <c r="B4921" i="1"/>
  <c r="A4921" i="1"/>
  <c r="R4920" i="1"/>
  <c r="N4920" i="1"/>
  <c r="J4920" i="1"/>
  <c r="I4920" i="1"/>
  <c r="H4920" i="1"/>
  <c r="G4920" i="1"/>
  <c r="F4920" i="1"/>
  <c r="E4920" i="1"/>
  <c r="D4920" i="1"/>
  <c r="C4920" i="1"/>
  <c r="B4920" i="1"/>
  <c r="A4920" i="1"/>
  <c r="R4919" i="1"/>
  <c r="Q4919" i="1"/>
  <c r="N4919" i="1"/>
  <c r="J4919" i="1"/>
  <c r="I4919" i="1"/>
  <c r="H4919" i="1"/>
  <c r="G4919" i="1"/>
  <c r="F4919" i="1"/>
  <c r="E4919" i="1"/>
  <c r="D4919" i="1"/>
  <c r="C4919" i="1"/>
  <c r="A4919" i="1"/>
  <c r="R4918" i="1"/>
  <c r="N4918" i="1"/>
  <c r="J4918" i="1"/>
  <c r="I4918" i="1"/>
  <c r="H4918" i="1"/>
  <c r="G4918" i="1"/>
  <c r="F4918" i="1"/>
  <c r="E4918" i="1"/>
  <c r="D4918" i="1"/>
  <c r="C4918" i="1"/>
  <c r="B4918" i="1"/>
  <c r="A4918" i="1"/>
  <c r="R4917" i="1"/>
  <c r="N4917" i="1"/>
  <c r="J4917" i="1"/>
  <c r="I4917" i="1"/>
  <c r="H4917" i="1"/>
  <c r="G4917" i="1"/>
  <c r="F4917" i="1"/>
  <c r="E4917" i="1"/>
  <c r="D4917" i="1"/>
  <c r="C4917" i="1"/>
  <c r="B4917" i="1"/>
  <c r="A4917" i="1"/>
  <c r="R4916" i="1"/>
  <c r="N4916" i="1"/>
  <c r="J4916" i="1"/>
  <c r="I4916" i="1"/>
  <c r="H4916" i="1"/>
  <c r="G4916" i="1"/>
  <c r="F4916" i="1"/>
  <c r="E4916" i="1"/>
  <c r="D4916" i="1"/>
  <c r="C4916" i="1"/>
  <c r="B4916" i="1"/>
  <c r="A4916" i="1"/>
  <c r="R4915" i="1"/>
  <c r="N4915" i="1"/>
  <c r="J4915" i="1"/>
  <c r="I4915" i="1"/>
  <c r="H4915" i="1"/>
  <c r="G4915" i="1"/>
  <c r="F4915" i="1"/>
  <c r="E4915" i="1"/>
  <c r="D4915" i="1"/>
  <c r="C4915" i="1"/>
  <c r="B4915" i="1"/>
  <c r="A4915" i="1"/>
  <c r="R4914" i="1"/>
  <c r="N4914" i="1"/>
  <c r="J4914" i="1"/>
  <c r="I4914" i="1"/>
  <c r="H4914" i="1"/>
  <c r="G4914" i="1"/>
  <c r="F4914" i="1"/>
  <c r="E4914" i="1"/>
  <c r="D4914" i="1"/>
  <c r="C4914" i="1"/>
  <c r="B4914" i="1"/>
  <c r="A4914" i="1"/>
  <c r="R4913" i="1"/>
  <c r="N4913" i="1"/>
  <c r="J4913" i="1"/>
  <c r="I4913" i="1"/>
  <c r="H4913" i="1"/>
  <c r="G4913" i="1"/>
  <c r="F4913" i="1"/>
  <c r="E4913" i="1"/>
  <c r="D4913" i="1"/>
  <c r="C4913" i="1"/>
  <c r="B4913" i="1"/>
  <c r="A4913" i="1"/>
  <c r="R4912" i="1"/>
  <c r="N4912" i="1"/>
  <c r="J4912" i="1"/>
  <c r="I4912" i="1"/>
  <c r="H4912" i="1"/>
  <c r="G4912" i="1"/>
  <c r="F4912" i="1"/>
  <c r="E4912" i="1"/>
  <c r="D4912" i="1"/>
  <c r="C4912" i="1"/>
  <c r="B4912" i="1"/>
  <c r="A4912" i="1"/>
  <c r="R4911" i="1"/>
  <c r="N4911" i="1"/>
  <c r="J4911" i="1"/>
  <c r="I4911" i="1"/>
  <c r="H4911" i="1"/>
  <c r="G4911" i="1"/>
  <c r="F4911" i="1"/>
  <c r="E4911" i="1"/>
  <c r="D4911" i="1"/>
  <c r="C4911" i="1"/>
  <c r="B4911" i="1"/>
  <c r="A4911" i="1"/>
  <c r="R4910" i="1"/>
  <c r="N4910" i="1"/>
  <c r="J4910" i="1"/>
  <c r="I4910" i="1"/>
  <c r="H4910" i="1"/>
  <c r="G4910" i="1"/>
  <c r="F4910" i="1"/>
  <c r="E4910" i="1"/>
  <c r="D4910" i="1"/>
  <c r="C4910" i="1"/>
  <c r="B4910" i="1"/>
  <c r="A4910" i="1"/>
  <c r="R4909" i="1"/>
  <c r="N4909" i="1"/>
  <c r="J4909" i="1"/>
  <c r="I4909" i="1"/>
  <c r="H4909" i="1"/>
  <c r="G4909" i="1"/>
  <c r="F4909" i="1"/>
  <c r="E4909" i="1"/>
  <c r="D4909" i="1"/>
  <c r="C4909" i="1"/>
  <c r="B4909" i="1"/>
  <c r="A4909" i="1"/>
  <c r="R4908" i="1"/>
  <c r="N4908" i="1"/>
  <c r="J4908" i="1"/>
  <c r="I4908" i="1"/>
  <c r="H4908" i="1"/>
  <c r="G4908" i="1"/>
  <c r="F4908" i="1"/>
  <c r="E4908" i="1"/>
  <c r="D4908" i="1"/>
  <c r="C4908" i="1"/>
  <c r="B4908" i="1"/>
  <c r="A4908" i="1"/>
  <c r="R4907" i="1"/>
  <c r="Q4907" i="1"/>
  <c r="N4907" i="1"/>
  <c r="J4907" i="1"/>
  <c r="I4907" i="1"/>
  <c r="H4907" i="1"/>
  <c r="G4907" i="1"/>
  <c r="F4907" i="1"/>
  <c r="E4907" i="1"/>
  <c r="D4907" i="1"/>
  <c r="C4907" i="1"/>
  <c r="A4907" i="1"/>
  <c r="R4906" i="1"/>
  <c r="N4906" i="1"/>
  <c r="J4906" i="1"/>
  <c r="I4906" i="1"/>
  <c r="H4906" i="1"/>
  <c r="G4906" i="1"/>
  <c r="F4906" i="1"/>
  <c r="E4906" i="1"/>
  <c r="D4906" i="1"/>
  <c r="C4906" i="1"/>
  <c r="A4906" i="1"/>
  <c r="R4905" i="1"/>
  <c r="Q4905" i="1"/>
  <c r="N4905" i="1"/>
  <c r="J4905" i="1"/>
  <c r="I4905" i="1"/>
  <c r="H4905" i="1"/>
  <c r="G4905" i="1"/>
  <c r="F4905" i="1"/>
  <c r="E4905" i="1"/>
  <c r="D4905" i="1"/>
  <c r="C4905" i="1"/>
  <c r="A4905" i="1"/>
  <c r="R4904" i="1"/>
  <c r="N4904" i="1"/>
  <c r="J4904" i="1"/>
  <c r="I4904" i="1"/>
  <c r="H4904" i="1"/>
  <c r="G4904" i="1"/>
  <c r="F4904" i="1"/>
  <c r="E4904" i="1"/>
  <c r="D4904" i="1"/>
  <c r="C4904" i="1"/>
  <c r="A4904" i="1"/>
  <c r="R4903" i="1"/>
  <c r="Q4903" i="1"/>
  <c r="N4903" i="1"/>
  <c r="J4903" i="1"/>
  <c r="I4903" i="1"/>
  <c r="H4903" i="1"/>
  <c r="G4903" i="1"/>
  <c r="F4903" i="1"/>
  <c r="E4903" i="1"/>
  <c r="D4903" i="1"/>
  <c r="C4903" i="1"/>
  <c r="A4903" i="1"/>
  <c r="R4902" i="1"/>
  <c r="Q4902" i="1"/>
  <c r="N4902" i="1"/>
  <c r="J4902" i="1"/>
  <c r="I4902" i="1"/>
  <c r="H4902" i="1"/>
  <c r="G4902" i="1"/>
  <c r="F4902" i="1"/>
  <c r="E4902" i="1"/>
  <c r="D4902" i="1"/>
  <c r="C4902" i="1"/>
  <c r="A4902" i="1"/>
  <c r="R4901" i="1"/>
  <c r="N4901" i="1"/>
  <c r="J4901" i="1"/>
  <c r="I4901" i="1"/>
  <c r="H4901" i="1"/>
  <c r="G4901" i="1"/>
  <c r="F4901" i="1"/>
  <c r="E4901" i="1"/>
  <c r="D4901" i="1"/>
  <c r="C4901" i="1"/>
  <c r="A4901" i="1"/>
  <c r="R4900" i="1"/>
  <c r="Q4900" i="1"/>
  <c r="N4900" i="1"/>
  <c r="J4900" i="1"/>
  <c r="I4900" i="1"/>
  <c r="H4900" i="1"/>
  <c r="G4900" i="1"/>
  <c r="F4900" i="1"/>
  <c r="E4900" i="1"/>
  <c r="D4900" i="1"/>
  <c r="C4900" i="1"/>
  <c r="A4900" i="1"/>
  <c r="R4899" i="1"/>
  <c r="N4899" i="1"/>
  <c r="J4899" i="1"/>
  <c r="I4899" i="1"/>
  <c r="H4899" i="1"/>
  <c r="G4899" i="1"/>
  <c r="F4899" i="1"/>
  <c r="E4899" i="1"/>
  <c r="D4899" i="1"/>
  <c r="C4899" i="1"/>
  <c r="A4899" i="1"/>
  <c r="R4898" i="1"/>
  <c r="Q4898" i="1"/>
  <c r="N4898" i="1"/>
  <c r="J4898" i="1"/>
  <c r="I4898" i="1"/>
  <c r="H4898" i="1"/>
  <c r="G4898" i="1"/>
  <c r="F4898" i="1"/>
  <c r="E4898" i="1"/>
  <c r="D4898" i="1"/>
  <c r="C4898" i="1"/>
  <c r="A4898" i="1"/>
  <c r="R4897" i="1"/>
  <c r="N4897" i="1"/>
  <c r="J4897" i="1"/>
  <c r="I4897" i="1"/>
  <c r="H4897" i="1"/>
  <c r="G4897" i="1"/>
  <c r="F4897" i="1"/>
  <c r="E4897" i="1"/>
  <c r="D4897" i="1"/>
  <c r="C4897" i="1"/>
  <c r="A4897" i="1"/>
  <c r="R4896" i="1"/>
  <c r="Q4896" i="1"/>
  <c r="N4896" i="1"/>
  <c r="J4896" i="1"/>
  <c r="I4896" i="1"/>
  <c r="H4896" i="1"/>
  <c r="G4896" i="1"/>
  <c r="F4896" i="1"/>
  <c r="E4896" i="1"/>
  <c r="D4896" i="1"/>
  <c r="C4896" i="1"/>
  <c r="A4896" i="1"/>
  <c r="R4895" i="1"/>
  <c r="N4895" i="1"/>
  <c r="J4895" i="1"/>
  <c r="I4895" i="1"/>
  <c r="H4895" i="1"/>
  <c r="G4895" i="1"/>
  <c r="F4895" i="1"/>
  <c r="E4895" i="1"/>
  <c r="D4895" i="1"/>
  <c r="C4895" i="1"/>
  <c r="A4895" i="1"/>
  <c r="R4894" i="1"/>
  <c r="Q4894" i="1"/>
  <c r="N4894" i="1"/>
  <c r="J4894" i="1"/>
  <c r="I4894" i="1"/>
  <c r="H4894" i="1"/>
  <c r="G4894" i="1"/>
  <c r="F4894" i="1"/>
  <c r="E4894" i="1"/>
  <c r="D4894" i="1"/>
  <c r="C4894" i="1"/>
  <c r="A4894" i="1"/>
  <c r="R4893" i="1"/>
  <c r="N4893" i="1"/>
  <c r="J4893" i="1"/>
  <c r="I4893" i="1"/>
  <c r="H4893" i="1"/>
  <c r="G4893" i="1"/>
  <c r="F4893" i="1"/>
  <c r="E4893" i="1"/>
  <c r="D4893" i="1"/>
  <c r="C4893" i="1"/>
  <c r="A4893" i="1"/>
  <c r="R4892" i="1"/>
  <c r="Q4892" i="1"/>
  <c r="N4892" i="1"/>
  <c r="J4892" i="1"/>
  <c r="I4892" i="1"/>
  <c r="H4892" i="1"/>
  <c r="G4892" i="1"/>
  <c r="F4892" i="1"/>
  <c r="E4892" i="1"/>
  <c r="D4892" i="1"/>
  <c r="C4892" i="1"/>
  <c r="A4892" i="1"/>
  <c r="R4891" i="1"/>
  <c r="N4891" i="1"/>
  <c r="J4891" i="1"/>
  <c r="I4891" i="1"/>
  <c r="H4891" i="1"/>
  <c r="G4891" i="1"/>
  <c r="F4891" i="1"/>
  <c r="E4891" i="1"/>
  <c r="D4891" i="1"/>
  <c r="C4891" i="1"/>
  <c r="A4891" i="1"/>
  <c r="R4890" i="1"/>
  <c r="Q4890" i="1"/>
  <c r="N4890" i="1"/>
  <c r="J4890" i="1"/>
  <c r="I4890" i="1"/>
  <c r="H4890" i="1"/>
  <c r="G4890" i="1"/>
  <c r="F4890" i="1"/>
  <c r="E4890" i="1"/>
  <c r="D4890" i="1"/>
  <c r="C4890" i="1"/>
  <c r="A4890" i="1"/>
  <c r="R4889" i="1"/>
  <c r="Q4889" i="1"/>
  <c r="N4889" i="1"/>
  <c r="J4889" i="1"/>
  <c r="I4889" i="1"/>
  <c r="H4889" i="1"/>
  <c r="G4889" i="1"/>
  <c r="F4889" i="1"/>
  <c r="E4889" i="1"/>
  <c r="D4889" i="1"/>
  <c r="C4889" i="1"/>
  <c r="A4889" i="1"/>
  <c r="R4888" i="1"/>
  <c r="Q4888" i="1"/>
  <c r="N4888" i="1"/>
  <c r="J4888" i="1"/>
  <c r="I4888" i="1"/>
  <c r="H4888" i="1"/>
  <c r="G4888" i="1"/>
  <c r="F4888" i="1"/>
  <c r="E4888" i="1"/>
  <c r="D4888" i="1"/>
  <c r="C4888" i="1"/>
  <c r="A4888" i="1"/>
  <c r="R4887" i="1"/>
  <c r="Q4887" i="1"/>
  <c r="N4887" i="1"/>
  <c r="J4887" i="1"/>
  <c r="I4887" i="1"/>
  <c r="H4887" i="1"/>
  <c r="G4887" i="1"/>
  <c r="F4887" i="1"/>
  <c r="E4887" i="1"/>
  <c r="D4887" i="1"/>
  <c r="C4887" i="1"/>
  <c r="A4887" i="1"/>
  <c r="R4886" i="1"/>
  <c r="Q4886" i="1"/>
  <c r="N4886" i="1"/>
  <c r="J4886" i="1"/>
  <c r="I4886" i="1"/>
  <c r="H4886" i="1"/>
  <c r="G4886" i="1"/>
  <c r="F4886" i="1"/>
  <c r="E4886" i="1"/>
  <c r="D4886" i="1"/>
  <c r="C4886" i="1"/>
  <c r="A4886" i="1"/>
  <c r="R4885" i="1"/>
  <c r="Q4885" i="1"/>
  <c r="N4885" i="1"/>
  <c r="J4885" i="1"/>
  <c r="I4885" i="1"/>
  <c r="H4885" i="1"/>
  <c r="G4885" i="1"/>
  <c r="F4885" i="1"/>
  <c r="E4885" i="1"/>
  <c r="D4885" i="1"/>
  <c r="C4885" i="1"/>
  <c r="A4885" i="1"/>
  <c r="R4884" i="1"/>
  <c r="Q4884" i="1"/>
  <c r="N4884" i="1"/>
  <c r="J4884" i="1"/>
  <c r="I4884" i="1"/>
  <c r="H4884" i="1"/>
  <c r="G4884" i="1"/>
  <c r="F4884" i="1"/>
  <c r="E4884" i="1"/>
  <c r="D4884" i="1"/>
  <c r="C4884" i="1"/>
  <c r="A4884" i="1"/>
  <c r="R4883" i="1"/>
  <c r="Q4883" i="1"/>
  <c r="N4883" i="1"/>
  <c r="J4883" i="1"/>
  <c r="I4883" i="1"/>
  <c r="H4883" i="1"/>
  <c r="G4883" i="1"/>
  <c r="F4883" i="1"/>
  <c r="E4883" i="1"/>
  <c r="D4883" i="1"/>
  <c r="C4883" i="1"/>
  <c r="A4883" i="1"/>
  <c r="R4882" i="1"/>
  <c r="Q4882" i="1"/>
  <c r="N4882" i="1"/>
  <c r="J4882" i="1"/>
  <c r="I4882" i="1"/>
  <c r="H4882" i="1"/>
  <c r="G4882" i="1"/>
  <c r="F4882" i="1"/>
  <c r="E4882" i="1"/>
  <c r="D4882" i="1"/>
  <c r="C4882" i="1"/>
  <c r="A4882" i="1"/>
  <c r="R4881" i="1"/>
  <c r="Q4881" i="1"/>
  <c r="N4881" i="1"/>
  <c r="J4881" i="1"/>
  <c r="I4881" i="1"/>
  <c r="H4881" i="1"/>
  <c r="G4881" i="1"/>
  <c r="F4881" i="1"/>
  <c r="E4881" i="1"/>
  <c r="D4881" i="1"/>
  <c r="C4881" i="1"/>
  <c r="A4881" i="1"/>
  <c r="R4880" i="1"/>
  <c r="Q4880" i="1"/>
  <c r="N4880" i="1"/>
  <c r="J4880" i="1"/>
  <c r="I4880" i="1"/>
  <c r="H4880" i="1"/>
  <c r="G4880" i="1"/>
  <c r="F4880" i="1"/>
  <c r="E4880" i="1"/>
  <c r="D4880" i="1"/>
  <c r="C4880" i="1"/>
  <c r="A4880" i="1"/>
  <c r="R4879" i="1"/>
  <c r="Q4879" i="1"/>
  <c r="N4879" i="1"/>
  <c r="J4879" i="1"/>
  <c r="I4879" i="1"/>
  <c r="H4879" i="1"/>
  <c r="G4879" i="1"/>
  <c r="F4879" i="1"/>
  <c r="E4879" i="1"/>
  <c r="D4879" i="1"/>
  <c r="C4879" i="1"/>
  <c r="A4879" i="1"/>
  <c r="R4878" i="1"/>
  <c r="Q4878" i="1"/>
  <c r="N4878" i="1"/>
  <c r="J4878" i="1"/>
  <c r="I4878" i="1"/>
  <c r="H4878" i="1"/>
  <c r="G4878" i="1"/>
  <c r="F4878" i="1"/>
  <c r="E4878" i="1"/>
  <c r="D4878" i="1"/>
  <c r="C4878" i="1"/>
  <c r="A4878" i="1"/>
  <c r="R4877" i="1"/>
  <c r="Q4877" i="1"/>
  <c r="N4877" i="1"/>
  <c r="J4877" i="1"/>
  <c r="I4877" i="1"/>
  <c r="H4877" i="1"/>
  <c r="G4877" i="1"/>
  <c r="F4877" i="1"/>
  <c r="E4877" i="1"/>
  <c r="D4877" i="1"/>
  <c r="C4877" i="1"/>
  <c r="A4877" i="1"/>
  <c r="R4876" i="1"/>
  <c r="Q4876" i="1"/>
  <c r="N4876" i="1"/>
  <c r="J4876" i="1"/>
  <c r="I4876" i="1"/>
  <c r="H4876" i="1"/>
  <c r="G4876" i="1"/>
  <c r="F4876" i="1"/>
  <c r="E4876" i="1"/>
  <c r="D4876" i="1"/>
  <c r="C4876" i="1"/>
  <c r="A4876" i="1"/>
  <c r="R4875" i="1"/>
  <c r="Q4875" i="1"/>
  <c r="N4875" i="1"/>
  <c r="J4875" i="1"/>
  <c r="I4875" i="1"/>
  <c r="H4875" i="1"/>
  <c r="G4875" i="1"/>
  <c r="F4875" i="1"/>
  <c r="E4875" i="1"/>
  <c r="D4875" i="1"/>
  <c r="C4875" i="1"/>
  <c r="A4875" i="1"/>
  <c r="R4874" i="1"/>
  <c r="Q4874" i="1"/>
  <c r="N4874" i="1"/>
  <c r="J4874" i="1"/>
  <c r="I4874" i="1"/>
  <c r="H4874" i="1"/>
  <c r="G4874" i="1"/>
  <c r="F4874" i="1"/>
  <c r="E4874" i="1"/>
  <c r="D4874" i="1"/>
  <c r="C4874" i="1"/>
  <c r="A4874" i="1"/>
  <c r="R4873" i="1"/>
  <c r="Q4873" i="1"/>
  <c r="N4873" i="1"/>
  <c r="J4873" i="1"/>
  <c r="I4873" i="1"/>
  <c r="H4873" i="1"/>
  <c r="G4873" i="1"/>
  <c r="F4873" i="1"/>
  <c r="E4873" i="1"/>
  <c r="D4873" i="1"/>
  <c r="C4873" i="1"/>
  <c r="A4873" i="1"/>
  <c r="R4872" i="1"/>
  <c r="Q4872" i="1"/>
  <c r="N4872" i="1"/>
  <c r="J4872" i="1"/>
  <c r="I4872" i="1"/>
  <c r="H4872" i="1"/>
  <c r="G4872" i="1"/>
  <c r="F4872" i="1"/>
  <c r="E4872" i="1"/>
  <c r="D4872" i="1"/>
  <c r="C4872" i="1"/>
  <c r="A4872" i="1"/>
  <c r="R4871" i="1"/>
  <c r="Q4871" i="1"/>
  <c r="N4871" i="1"/>
  <c r="J4871" i="1"/>
  <c r="I4871" i="1"/>
  <c r="H4871" i="1"/>
  <c r="G4871" i="1"/>
  <c r="F4871" i="1"/>
  <c r="E4871" i="1"/>
  <c r="D4871" i="1"/>
  <c r="C4871" i="1"/>
  <c r="A4871" i="1"/>
  <c r="R4870" i="1"/>
  <c r="Q4870" i="1"/>
  <c r="N4870" i="1"/>
  <c r="J4870" i="1"/>
  <c r="I4870" i="1"/>
  <c r="H4870" i="1"/>
  <c r="G4870" i="1"/>
  <c r="F4870" i="1"/>
  <c r="E4870" i="1"/>
  <c r="D4870" i="1"/>
  <c r="C4870" i="1"/>
  <c r="A4870" i="1"/>
  <c r="R4869" i="1"/>
  <c r="Q4869" i="1"/>
  <c r="N4869" i="1"/>
  <c r="J4869" i="1"/>
  <c r="I4869" i="1"/>
  <c r="H4869" i="1"/>
  <c r="G4869" i="1"/>
  <c r="F4869" i="1"/>
  <c r="E4869" i="1"/>
  <c r="D4869" i="1"/>
  <c r="C4869" i="1"/>
  <c r="A4869" i="1"/>
  <c r="R4868" i="1"/>
  <c r="Q4868" i="1"/>
  <c r="N4868" i="1"/>
  <c r="J4868" i="1"/>
  <c r="I4868" i="1"/>
  <c r="H4868" i="1"/>
  <c r="G4868" i="1"/>
  <c r="F4868" i="1"/>
  <c r="E4868" i="1"/>
  <c r="D4868" i="1"/>
  <c r="C4868" i="1"/>
  <c r="A4868" i="1"/>
  <c r="R4867" i="1"/>
  <c r="Q4867" i="1"/>
  <c r="N4867" i="1"/>
  <c r="J4867" i="1"/>
  <c r="I4867" i="1"/>
  <c r="H4867" i="1"/>
  <c r="G4867" i="1"/>
  <c r="F4867" i="1"/>
  <c r="E4867" i="1"/>
  <c r="D4867" i="1"/>
  <c r="C4867" i="1"/>
  <c r="A4867" i="1"/>
  <c r="R4866" i="1"/>
  <c r="Q4866" i="1"/>
  <c r="N4866" i="1"/>
  <c r="J4866" i="1"/>
  <c r="I4866" i="1"/>
  <c r="H4866" i="1"/>
  <c r="G4866" i="1"/>
  <c r="F4866" i="1"/>
  <c r="E4866" i="1"/>
  <c r="D4866" i="1"/>
  <c r="C4866" i="1"/>
  <c r="A4866" i="1"/>
  <c r="R4865" i="1"/>
  <c r="Q4865" i="1"/>
  <c r="N4865" i="1"/>
  <c r="J4865" i="1"/>
  <c r="I4865" i="1"/>
  <c r="H4865" i="1"/>
  <c r="G4865" i="1"/>
  <c r="F4865" i="1"/>
  <c r="E4865" i="1"/>
  <c r="D4865" i="1"/>
  <c r="C4865" i="1"/>
  <c r="A4865" i="1"/>
  <c r="R4864" i="1"/>
  <c r="Q4864" i="1"/>
  <c r="N4864" i="1"/>
  <c r="J4864" i="1"/>
  <c r="I4864" i="1"/>
  <c r="H4864" i="1"/>
  <c r="G4864" i="1"/>
  <c r="F4864" i="1"/>
  <c r="E4864" i="1"/>
  <c r="D4864" i="1"/>
  <c r="C4864" i="1"/>
  <c r="A4864" i="1"/>
  <c r="R4863" i="1"/>
  <c r="Q4863" i="1"/>
  <c r="N4863" i="1"/>
  <c r="J4863" i="1"/>
  <c r="I4863" i="1"/>
  <c r="H4863" i="1"/>
  <c r="G4863" i="1"/>
  <c r="F4863" i="1"/>
  <c r="E4863" i="1"/>
  <c r="D4863" i="1"/>
  <c r="C4863" i="1"/>
  <c r="A4863" i="1"/>
  <c r="R4862" i="1"/>
  <c r="Q4862" i="1"/>
  <c r="N4862" i="1"/>
  <c r="J4862" i="1"/>
  <c r="I4862" i="1"/>
  <c r="H4862" i="1"/>
  <c r="G4862" i="1"/>
  <c r="F4862" i="1"/>
  <c r="E4862" i="1"/>
  <c r="D4862" i="1"/>
  <c r="C4862" i="1"/>
  <c r="A4862" i="1"/>
  <c r="R4861" i="1"/>
  <c r="Q4861" i="1"/>
  <c r="N4861" i="1"/>
  <c r="J4861" i="1"/>
  <c r="I4861" i="1"/>
  <c r="H4861" i="1"/>
  <c r="G4861" i="1"/>
  <c r="F4861" i="1"/>
  <c r="E4861" i="1"/>
  <c r="D4861" i="1"/>
  <c r="C4861" i="1"/>
  <c r="A4861" i="1"/>
  <c r="R4860" i="1"/>
  <c r="Q4860" i="1"/>
  <c r="N4860" i="1"/>
  <c r="J4860" i="1"/>
  <c r="I4860" i="1"/>
  <c r="H4860" i="1"/>
  <c r="G4860" i="1"/>
  <c r="F4860" i="1"/>
  <c r="E4860" i="1"/>
  <c r="D4860" i="1"/>
  <c r="C4860" i="1"/>
  <c r="A4860" i="1"/>
  <c r="R4859" i="1"/>
  <c r="Q4859" i="1"/>
  <c r="N4859" i="1"/>
  <c r="J4859" i="1"/>
  <c r="I4859" i="1"/>
  <c r="H4859" i="1"/>
  <c r="G4859" i="1"/>
  <c r="F4859" i="1"/>
  <c r="E4859" i="1"/>
  <c r="D4859" i="1"/>
  <c r="C4859" i="1"/>
  <c r="A4859" i="1"/>
  <c r="R4858" i="1"/>
  <c r="Q4858" i="1"/>
  <c r="N4858" i="1"/>
  <c r="J4858" i="1"/>
  <c r="I4858" i="1"/>
  <c r="H4858" i="1"/>
  <c r="G4858" i="1"/>
  <c r="F4858" i="1"/>
  <c r="E4858" i="1"/>
  <c r="D4858" i="1"/>
  <c r="C4858" i="1"/>
  <c r="A4858" i="1"/>
  <c r="R4857" i="1"/>
  <c r="Q4857" i="1"/>
  <c r="N4857" i="1"/>
  <c r="J4857" i="1"/>
  <c r="I4857" i="1"/>
  <c r="H4857" i="1"/>
  <c r="G4857" i="1"/>
  <c r="F4857" i="1"/>
  <c r="E4857" i="1"/>
  <c r="D4857" i="1"/>
  <c r="C4857" i="1"/>
  <c r="A4857" i="1"/>
  <c r="R4856" i="1"/>
  <c r="Q4856" i="1"/>
  <c r="N4856" i="1"/>
  <c r="J4856" i="1"/>
  <c r="I4856" i="1"/>
  <c r="H4856" i="1"/>
  <c r="G4856" i="1"/>
  <c r="F4856" i="1"/>
  <c r="E4856" i="1"/>
  <c r="D4856" i="1"/>
  <c r="C4856" i="1"/>
  <c r="A4856" i="1"/>
  <c r="R4855" i="1"/>
  <c r="Q4855" i="1"/>
  <c r="N4855" i="1"/>
  <c r="J4855" i="1"/>
  <c r="I4855" i="1"/>
  <c r="H4855" i="1"/>
  <c r="G4855" i="1"/>
  <c r="F4855" i="1"/>
  <c r="E4855" i="1"/>
  <c r="D4855" i="1"/>
  <c r="C4855" i="1"/>
  <c r="A4855" i="1"/>
  <c r="R4854" i="1"/>
  <c r="Q4854" i="1"/>
  <c r="N4854" i="1"/>
  <c r="J4854" i="1"/>
  <c r="I4854" i="1"/>
  <c r="H4854" i="1"/>
  <c r="G4854" i="1"/>
  <c r="F4854" i="1"/>
  <c r="E4854" i="1"/>
  <c r="D4854" i="1"/>
  <c r="C4854" i="1"/>
  <c r="A4854" i="1"/>
  <c r="R4853" i="1"/>
  <c r="Q4853" i="1"/>
  <c r="N4853" i="1"/>
  <c r="J4853" i="1"/>
  <c r="I4853" i="1"/>
  <c r="H4853" i="1"/>
  <c r="G4853" i="1"/>
  <c r="F4853" i="1"/>
  <c r="E4853" i="1"/>
  <c r="D4853" i="1"/>
  <c r="C4853" i="1"/>
  <c r="A4853" i="1"/>
  <c r="R4852" i="1"/>
  <c r="Q4852" i="1"/>
  <c r="N4852" i="1"/>
  <c r="J4852" i="1"/>
  <c r="I4852" i="1"/>
  <c r="H4852" i="1"/>
  <c r="G4852" i="1"/>
  <c r="F4852" i="1"/>
  <c r="E4852" i="1"/>
  <c r="D4852" i="1"/>
  <c r="C4852" i="1"/>
  <c r="A4852" i="1"/>
  <c r="R4851" i="1"/>
  <c r="Q4851" i="1"/>
  <c r="N4851" i="1"/>
  <c r="J4851" i="1"/>
  <c r="I4851" i="1"/>
  <c r="H4851" i="1"/>
  <c r="G4851" i="1"/>
  <c r="F4851" i="1"/>
  <c r="E4851" i="1"/>
  <c r="D4851" i="1"/>
  <c r="C4851" i="1"/>
  <c r="A4851" i="1"/>
  <c r="R4850" i="1"/>
  <c r="Q4850" i="1"/>
  <c r="N4850" i="1"/>
  <c r="J4850" i="1"/>
  <c r="I4850" i="1"/>
  <c r="H4850" i="1"/>
  <c r="G4850" i="1"/>
  <c r="F4850" i="1"/>
  <c r="E4850" i="1"/>
  <c r="D4850" i="1"/>
  <c r="C4850" i="1"/>
  <c r="A4850" i="1"/>
  <c r="R4849" i="1"/>
  <c r="Q4849" i="1"/>
  <c r="N4849" i="1"/>
  <c r="J4849" i="1"/>
  <c r="I4849" i="1"/>
  <c r="H4849" i="1"/>
  <c r="G4849" i="1"/>
  <c r="F4849" i="1"/>
  <c r="E4849" i="1"/>
  <c r="D4849" i="1"/>
  <c r="C4849" i="1"/>
  <c r="A4849" i="1"/>
  <c r="R4848" i="1"/>
  <c r="Q4848" i="1"/>
  <c r="N4848" i="1"/>
  <c r="J4848" i="1"/>
  <c r="I4848" i="1"/>
  <c r="H4848" i="1"/>
  <c r="G4848" i="1"/>
  <c r="F4848" i="1"/>
  <c r="E4848" i="1"/>
  <c r="D4848" i="1"/>
  <c r="C4848" i="1"/>
  <c r="A4848" i="1"/>
  <c r="R4847" i="1"/>
  <c r="Q4847" i="1"/>
  <c r="N4847" i="1"/>
  <c r="J4847" i="1"/>
  <c r="I4847" i="1"/>
  <c r="H4847" i="1"/>
  <c r="G4847" i="1"/>
  <c r="F4847" i="1"/>
  <c r="E4847" i="1"/>
  <c r="D4847" i="1"/>
  <c r="C4847" i="1"/>
  <c r="A4847" i="1"/>
  <c r="R4846" i="1"/>
  <c r="Q4846" i="1"/>
  <c r="N4846" i="1"/>
  <c r="J4846" i="1"/>
  <c r="I4846" i="1"/>
  <c r="H4846" i="1"/>
  <c r="G4846" i="1"/>
  <c r="F4846" i="1"/>
  <c r="E4846" i="1"/>
  <c r="D4846" i="1"/>
  <c r="C4846" i="1"/>
  <c r="A4846" i="1"/>
  <c r="R4845" i="1"/>
  <c r="Q4845" i="1"/>
  <c r="N4845" i="1"/>
  <c r="J4845" i="1"/>
  <c r="I4845" i="1"/>
  <c r="H4845" i="1"/>
  <c r="G4845" i="1"/>
  <c r="F4845" i="1"/>
  <c r="E4845" i="1"/>
  <c r="D4845" i="1"/>
  <c r="C4845" i="1"/>
  <c r="A4845" i="1"/>
  <c r="R4844" i="1"/>
  <c r="Q4844" i="1"/>
  <c r="N4844" i="1"/>
  <c r="J4844" i="1"/>
  <c r="I4844" i="1"/>
  <c r="H4844" i="1"/>
  <c r="G4844" i="1"/>
  <c r="F4844" i="1"/>
  <c r="E4844" i="1"/>
  <c r="D4844" i="1"/>
  <c r="C4844" i="1"/>
  <c r="A4844" i="1"/>
  <c r="R4843" i="1"/>
  <c r="N4843" i="1"/>
  <c r="J4843" i="1"/>
  <c r="I4843" i="1"/>
  <c r="H4843" i="1"/>
  <c r="G4843" i="1"/>
  <c r="F4843" i="1"/>
  <c r="E4843" i="1"/>
  <c r="D4843" i="1"/>
  <c r="C4843" i="1"/>
  <c r="A4843" i="1"/>
  <c r="R4842" i="1"/>
  <c r="Q4842" i="1"/>
  <c r="N4842" i="1"/>
  <c r="J4842" i="1"/>
  <c r="I4842" i="1"/>
  <c r="H4842" i="1"/>
  <c r="G4842" i="1"/>
  <c r="F4842" i="1"/>
  <c r="E4842" i="1"/>
  <c r="D4842" i="1"/>
  <c r="C4842" i="1"/>
  <c r="A4842" i="1"/>
  <c r="R4841" i="1"/>
  <c r="Q4841" i="1"/>
  <c r="N4841" i="1"/>
  <c r="J4841" i="1"/>
  <c r="I4841" i="1"/>
  <c r="H4841" i="1"/>
  <c r="G4841" i="1"/>
  <c r="F4841" i="1"/>
  <c r="E4841" i="1"/>
  <c r="D4841" i="1"/>
  <c r="C4841" i="1"/>
  <c r="A4841" i="1"/>
  <c r="R4840" i="1"/>
  <c r="Q4840" i="1"/>
  <c r="N4840" i="1"/>
  <c r="J4840" i="1"/>
  <c r="I4840" i="1"/>
  <c r="H4840" i="1"/>
  <c r="G4840" i="1"/>
  <c r="F4840" i="1"/>
  <c r="E4840" i="1"/>
  <c r="D4840" i="1"/>
  <c r="C4840" i="1"/>
  <c r="A4840" i="1"/>
  <c r="R4839" i="1"/>
  <c r="Q4839" i="1"/>
  <c r="N4839" i="1"/>
  <c r="J4839" i="1"/>
  <c r="I4839" i="1"/>
  <c r="H4839" i="1"/>
  <c r="G4839" i="1"/>
  <c r="F4839" i="1"/>
  <c r="E4839" i="1"/>
  <c r="D4839" i="1"/>
  <c r="C4839" i="1"/>
  <c r="A4839" i="1"/>
  <c r="R4838" i="1"/>
  <c r="Q4838" i="1"/>
  <c r="N4838" i="1"/>
  <c r="J4838" i="1"/>
  <c r="I4838" i="1"/>
  <c r="H4838" i="1"/>
  <c r="G4838" i="1"/>
  <c r="F4838" i="1"/>
  <c r="E4838" i="1"/>
  <c r="D4838" i="1"/>
  <c r="C4838" i="1"/>
  <c r="A4838" i="1"/>
  <c r="R4837" i="1"/>
  <c r="Q4837" i="1"/>
  <c r="N4837" i="1"/>
  <c r="J4837" i="1"/>
  <c r="I4837" i="1"/>
  <c r="H4837" i="1"/>
  <c r="G4837" i="1"/>
  <c r="F4837" i="1"/>
  <c r="E4837" i="1"/>
  <c r="D4837" i="1"/>
  <c r="C4837" i="1"/>
  <c r="A4837" i="1"/>
  <c r="R4836" i="1"/>
  <c r="Q4836" i="1"/>
  <c r="N4836" i="1"/>
  <c r="J4836" i="1"/>
  <c r="I4836" i="1"/>
  <c r="H4836" i="1"/>
  <c r="G4836" i="1"/>
  <c r="F4836" i="1"/>
  <c r="E4836" i="1"/>
  <c r="D4836" i="1"/>
  <c r="C4836" i="1"/>
  <c r="A4836" i="1"/>
  <c r="R4835" i="1"/>
  <c r="Q4835" i="1"/>
  <c r="N4835" i="1"/>
  <c r="J4835" i="1"/>
  <c r="I4835" i="1"/>
  <c r="H4835" i="1"/>
  <c r="G4835" i="1"/>
  <c r="F4835" i="1"/>
  <c r="E4835" i="1"/>
  <c r="D4835" i="1"/>
  <c r="C4835" i="1"/>
  <c r="A4835" i="1"/>
  <c r="R4834" i="1"/>
  <c r="N4834" i="1"/>
  <c r="J4834" i="1"/>
  <c r="I4834" i="1"/>
  <c r="H4834" i="1"/>
  <c r="G4834" i="1"/>
  <c r="F4834" i="1"/>
  <c r="E4834" i="1"/>
  <c r="D4834" i="1"/>
  <c r="C4834" i="1"/>
  <c r="A4834" i="1"/>
  <c r="R4833" i="1"/>
  <c r="Q4833" i="1"/>
  <c r="N4833" i="1"/>
  <c r="J4833" i="1"/>
  <c r="I4833" i="1"/>
  <c r="H4833" i="1"/>
  <c r="G4833" i="1"/>
  <c r="F4833" i="1"/>
  <c r="E4833" i="1"/>
  <c r="D4833" i="1"/>
  <c r="C4833" i="1"/>
  <c r="A4833" i="1"/>
  <c r="R4832" i="1"/>
  <c r="Q4832" i="1"/>
  <c r="N4832" i="1"/>
  <c r="J4832" i="1"/>
  <c r="I4832" i="1"/>
  <c r="H4832" i="1"/>
  <c r="G4832" i="1"/>
  <c r="F4832" i="1"/>
  <c r="E4832" i="1"/>
  <c r="D4832" i="1"/>
  <c r="C4832" i="1"/>
  <c r="A4832" i="1"/>
  <c r="R4831" i="1"/>
  <c r="Q4831" i="1"/>
  <c r="N4831" i="1"/>
  <c r="J4831" i="1"/>
  <c r="I4831" i="1"/>
  <c r="H4831" i="1"/>
  <c r="G4831" i="1"/>
  <c r="F4831" i="1"/>
  <c r="E4831" i="1"/>
  <c r="D4831" i="1"/>
  <c r="C4831" i="1"/>
  <c r="A4831" i="1"/>
  <c r="R4830" i="1"/>
  <c r="Q4830" i="1"/>
  <c r="N4830" i="1"/>
  <c r="J4830" i="1"/>
  <c r="I4830" i="1"/>
  <c r="H4830" i="1"/>
  <c r="G4830" i="1"/>
  <c r="F4830" i="1"/>
  <c r="E4830" i="1"/>
  <c r="D4830" i="1"/>
  <c r="C4830" i="1"/>
  <c r="A4830" i="1"/>
  <c r="R4829" i="1"/>
  <c r="Q4829" i="1"/>
  <c r="N4829" i="1"/>
  <c r="J4829" i="1"/>
  <c r="I4829" i="1"/>
  <c r="H4829" i="1"/>
  <c r="G4829" i="1"/>
  <c r="F4829" i="1"/>
  <c r="E4829" i="1"/>
  <c r="D4829" i="1"/>
  <c r="C4829" i="1"/>
  <c r="A4829" i="1"/>
  <c r="R4828" i="1"/>
  <c r="Q4828" i="1"/>
  <c r="N4828" i="1"/>
  <c r="J4828" i="1"/>
  <c r="I4828" i="1"/>
  <c r="H4828" i="1"/>
  <c r="G4828" i="1"/>
  <c r="F4828" i="1"/>
  <c r="E4828" i="1"/>
  <c r="D4828" i="1"/>
  <c r="C4828" i="1"/>
  <c r="A4828" i="1"/>
  <c r="R4827" i="1"/>
  <c r="Q4827" i="1"/>
  <c r="N4827" i="1"/>
  <c r="J4827" i="1"/>
  <c r="I4827" i="1"/>
  <c r="H4827" i="1"/>
  <c r="G4827" i="1"/>
  <c r="F4827" i="1"/>
  <c r="E4827" i="1"/>
  <c r="D4827" i="1"/>
  <c r="C4827" i="1"/>
  <c r="A4827" i="1"/>
  <c r="R4826" i="1"/>
  <c r="Q4826" i="1"/>
  <c r="N4826" i="1"/>
  <c r="J4826" i="1"/>
  <c r="I4826" i="1"/>
  <c r="H4826" i="1"/>
  <c r="G4826" i="1"/>
  <c r="F4826" i="1"/>
  <c r="E4826" i="1"/>
  <c r="D4826" i="1"/>
  <c r="C4826" i="1"/>
  <c r="A4826" i="1"/>
  <c r="R4825" i="1"/>
  <c r="Q4825" i="1"/>
  <c r="N4825" i="1"/>
  <c r="J4825" i="1"/>
  <c r="I4825" i="1"/>
  <c r="H4825" i="1"/>
  <c r="G4825" i="1"/>
  <c r="F4825" i="1"/>
  <c r="E4825" i="1"/>
  <c r="D4825" i="1"/>
  <c r="C4825" i="1"/>
  <c r="A4825" i="1"/>
  <c r="R4824" i="1"/>
  <c r="Q4824" i="1"/>
  <c r="N4824" i="1"/>
  <c r="J4824" i="1"/>
  <c r="I4824" i="1"/>
  <c r="H4824" i="1"/>
  <c r="G4824" i="1"/>
  <c r="F4824" i="1"/>
  <c r="E4824" i="1"/>
  <c r="D4824" i="1"/>
  <c r="C4824" i="1"/>
  <c r="A4824" i="1"/>
  <c r="R4823" i="1"/>
  <c r="Q4823" i="1"/>
  <c r="N4823" i="1"/>
  <c r="J4823" i="1"/>
  <c r="I4823" i="1"/>
  <c r="H4823" i="1"/>
  <c r="G4823" i="1"/>
  <c r="F4823" i="1"/>
  <c r="E4823" i="1"/>
  <c r="D4823" i="1"/>
  <c r="C4823" i="1"/>
  <c r="A4823" i="1"/>
  <c r="R4822" i="1"/>
  <c r="Q4822" i="1"/>
  <c r="N4822" i="1"/>
  <c r="J4822" i="1"/>
  <c r="I4822" i="1"/>
  <c r="H4822" i="1"/>
  <c r="G4822" i="1"/>
  <c r="F4822" i="1"/>
  <c r="E4822" i="1"/>
  <c r="D4822" i="1"/>
  <c r="C4822" i="1"/>
  <c r="A4822" i="1"/>
  <c r="R4821" i="1"/>
  <c r="N4821" i="1"/>
  <c r="J4821" i="1"/>
  <c r="I4821" i="1"/>
  <c r="H4821" i="1"/>
  <c r="G4821" i="1"/>
  <c r="F4821" i="1"/>
  <c r="E4821" i="1"/>
  <c r="D4821" i="1"/>
  <c r="C4821" i="1"/>
  <c r="A4821" i="1"/>
  <c r="R4820" i="1"/>
  <c r="Q4820" i="1"/>
  <c r="N4820" i="1"/>
  <c r="J4820" i="1"/>
  <c r="I4820" i="1"/>
  <c r="H4820" i="1"/>
  <c r="G4820" i="1"/>
  <c r="F4820" i="1"/>
  <c r="E4820" i="1"/>
  <c r="D4820" i="1"/>
  <c r="C4820" i="1"/>
  <c r="A4820" i="1"/>
  <c r="R4819" i="1"/>
  <c r="N4819" i="1"/>
  <c r="J4819" i="1"/>
  <c r="I4819" i="1"/>
  <c r="H4819" i="1"/>
  <c r="G4819" i="1"/>
  <c r="F4819" i="1"/>
  <c r="E4819" i="1"/>
  <c r="D4819" i="1"/>
  <c r="C4819" i="1"/>
  <c r="A4819" i="1"/>
  <c r="R4818" i="1"/>
  <c r="Q4818" i="1"/>
  <c r="N4818" i="1"/>
  <c r="J4818" i="1"/>
  <c r="I4818" i="1"/>
  <c r="H4818" i="1"/>
  <c r="G4818" i="1"/>
  <c r="F4818" i="1"/>
  <c r="E4818" i="1"/>
  <c r="D4818" i="1"/>
  <c r="C4818" i="1"/>
  <c r="A4818" i="1"/>
  <c r="R4817" i="1"/>
  <c r="N4817" i="1"/>
  <c r="J4817" i="1"/>
  <c r="I4817" i="1"/>
  <c r="H4817" i="1"/>
  <c r="G4817" i="1"/>
  <c r="F4817" i="1"/>
  <c r="E4817" i="1"/>
  <c r="D4817" i="1"/>
  <c r="C4817" i="1"/>
  <c r="A4817" i="1"/>
  <c r="R4816" i="1"/>
  <c r="Q4816" i="1"/>
  <c r="N4816" i="1"/>
  <c r="J4816" i="1"/>
  <c r="I4816" i="1"/>
  <c r="H4816" i="1"/>
  <c r="G4816" i="1"/>
  <c r="F4816" i="1"/>
  <c r="E4816" i="1"/>
  <c r="D4816" i="1"/>
  <c r="C4816" i="1"/>
  <c r="A4816" i="1"/>
  <c r="R4815" i="1"/>
  <c r="N4815" i="1"/>
  <c r="J4815" i="1"/>
  <c r="I4815" i="1"/>
  <c r="H4815" i="1"/>
  <c r="G4815" i="1"/>
  <c r="F4815" i="1"/>
  <c r="E4815" i="1"/>
  <c r="D4815" i="1"/>
  <c r="C4815" i="1"/>
  <c r="A4815" i="1"/>
  <c r="R4814" i="1"/>
  <c r="Q4814" i="1"/>
  <c r="N4814" i="1"/>
  <c r="J4814" i="1"/>
  <c r="I4814" i="1"/>
  <c r="H4814" i="1"/>
  <c r="G4814" i="1"/>
  <c r="F4814" i="1"/>
  <c r="E4814" i="1"/>
  <c r="D4814" i="1"/>
  <c r="C4814" i="1"/>
  <c r="A4814" i="1"/>
  <c r="R4813" i="1"/>
  <c r="N4813" i="1"/>
  <c r="J4813" i="1"/>
  <c r="I4813" i="1"/>
  <c r="H4813" i="1"/>
  <c r="G4813" i="1"/>
  <c r="F4813" i="1"/>
  <c r="E4813" i="1"/>
  <c r="D4813" i="1"/>
  <c r="C4813" i="1"/>
  <c r="B4813" i="1"/>
  <c r="A4813" i="1"/>
  <c r="R4812" i="1"/>
  <c r="Q4812" i="1"/>
  <c r="N4812" i="1"/>
  <c r="J4812" i="1"/>
  <c r="I4812" i="1"/>
  <c r="H4812" i="1"/>
  <c r="G4812" i="1"/>
  <c r="F4812" i="1"/>
  <c r="E4812" i="1"/>
  <c r="D4812" i="1"/>
  <c r="C4812" i="1"/>
  <c r="B4812" i="1"/>
  <c r="A4812" i="1"/>
  <c r="R4811" i="1"/>
  <c r="N4811" i="1"/>
  <c r="J4811" i="1"/>
  <c r="I4811" i="1"/>
  <c r="H4811" i="1"/>
  <c r="G4811" i="1"/>
  <c r="F4811" i="1"/>
  <c r="E4811" i="1"/>
  <c r="D4811" i="1"/>
  <c r="C4811" i="1"/>
  <c r="B4811" i="1"/>
  <c r="A4811" i="1"/>
  <c r="R4810" i="1"/>
  <c r="Q4810" i="1"/>
  <c r="N4810" i="1"/>
  <c r="J4810" i="1"/>
  <c r="I4810" i="1"/>
  <c r="H4810" i="1"/>
  <c r="G4810" i="1"/>
  <c r="F4810" i="1"/>
  <c r="E4810" i="1"/>
  <c r="D4810" i="1"/>
  <c r="C4810" i="1"/>
  <c r="B4810" i="1"/>
  <c r="A4810" i="1"/>
  <c r="R4809" i="1"/>
  <c r="N4809" i="1"/>
  <c r="J4809" i="1"/>
  <c r="I4809" i="1"/>
  <c r="H4809" i="1"/>
  <c r="G4809" i="1"/>
  <c r="F4809" i="1"/>
  <c r="E4809" i="1"/>
  <c r="D4809" i="1"/>
  <c r="C4809" i="1"/>
  <c r="B4809" i="1"/>
  <c r="A4809" i="1"/>
  <c r="R4808" i="1"/>
  <c r="Q4808" i="1"/>
  <c r="N4808" i="1"/>
  <c r="J4808" i="1"/>
  <c r="I4808" i="1"/>
  <c r="H4808" i="1"/>
  <c r="G4808" i="1"/>
  <c r="F4808" i="1"/>
  <c r="E4808" i="1"/>
  <c r="D4808" i="1"/>
  <c r="C4808" i="1"/>
  <c r="B4808" i="1"/>
  <c r="A4808" i="1"/>
  <c r="R4807" i="1"/>
  <c r="N4807" i="1"/>
  <c r="J4807" i="1"/>
  <c r="I4807" i="1"/>
  <c r="H4807" i="1"/>
  <c r="G4807" i="1"/>
  <c r="F4807" i="1"/>
  <c r="E4807" i="1"/>
  <c r="D4807" i="1"/>
  <c r="C4807" i="1"/>
  <c r="B4807" i="1"/>
  <c r="A4807" i="1"/>
  <c r="R4806" i="1"/>
  <c r="N4806" i="1"/>
  <c r="J4806" i="1"/>
  <c r="I4806" i="1"/>
  <c r="H4806" i="1"/>
  <c r="G4806" i="1"/>
  <c r="F4806" i="1"/>
  <c r="E4806" i="1"/>
  <c r="D4806" i="1"/>
  <c r="C4806" i="1"/>
  <c r="B4806" i="1"/>
  <c r="A4806" i="1"/>
  <c r="R4805" i="1"/>
  <c r="Q4805" i="1"/>
  <c r="N4805" i="1"/>
  <c r="J4805" i="1"/>
  <c r="I4805" i="1"/>
  <c r="H4805" i="1"/>
  <c r="G4805" i="1"/>
  <c r="F4805" i="1"/>
  <c r="E4805" i="1"/>
  <c r="D4805" i="1"/>
  <c r="C4805" i="1"/>
  <c r="A4805" i="1"/>
  <c r="R4804" i="1"/>
  <c r="N4804" i="1"/>
  <c r="J4804" i="1"/>
  <c r="I4804" i="1"/>
  <c r="H4804" i="1"/>
  <c r="G4804" i="1"/>
  <c r="F4804" i="1"/>
  <c r="E4804" i="1"/>
  <c r="D4804" i="1"/>
  <c r="C4804" i="1"/>
  <c r="A4804" i="1"/>
  <c r="R4803" i="1"/>
  <c r="Q4803" i="1"/>
  <c r="N4803" i="1"/>
  <c r="J4803" i="1"/>
  <c r="I4803" i="1"/>
  <c r="H4803" i="1"/>
  <c r="G4803" i="1"/>
  <c r="F4803" i="1"/>
  <c r="E4803" i="1"/>
  <c r="D4803" i="1"/>
  <c r="C4803" i="1"/>
  <c r="A4803" i="1"/>
  <c r="R4802" i="1"/>
  <c r="N4802" i="1"/>
  <c r="J4802" i="1"/>
  <c r="I4802" i="1"/>
  <c r="H4802" i="1"/>
  <c r="G4802" i="1"/>
  <c r="F4802" i="1"/>
  <c r="E4802" i="1"/>
  <c r="D4802" i="1"/>
  <c r="C4802" i="1"/>
  <c r="A4802" i="1"/>
  <c r="R4801" i="1"/>
  <c r="Q4801" i="1"/>
  <c r="N4801" i="1"/>
  <c r="J4801" i="1"/>
  <c r="I4801" i="1"/>
  <c r="H4801" i="1"/>
  <c r="G4801" i="1"/>
  <c r="F4801" i="1"/>
  <c r="E4801" i="1"/>
  <c r="D4801" i="1"/>
  <c r="C4801" i="1"/>
  <c r="A4801" i="1"/>
  <c r="R4800" i="1"/>
  <c r="N4800" i="1"/>
  <c r="J4800" i="1"/>
  <c r="I4800" i="1"/>
  <c r="H4800" i="1"/>
  <c r="G4800" i="1"/>
  <c r="F4800" i="1"/>
  <c r="E4800" i="1"/>
  <c r="D4800" i="1"/>
  <c r="C4800" i="1"/>
  <c r="B4800" i="1"/>
  <c r="A4800" i="1"/>
  <c r="R4799" i="1"/>
  <c r="N4799" i="1"/>
  <c r="J4799" i="1"/>
  <c r="I4799" i="1"/>
  <c r="H4799" i="1"/>
  <c r="G4799" i="1"/>
  <c r="F4799" i="1"/>
  <c r="E4799" i="1"/>
  <c r="D4799" i="1"/>
  <c r="C4799" i="1"/>
  <c r="B4799" i="1"/>
  <c r="A4799" i="1"/>
  <c r="R4798" i="1"/>
  <c r="Q4798" i="1"/>
  <c r="N4798" i="1"/>
  <c r="J4798" i="1"/>
  <c r="I4798" i="1"/>
  <c r="H4798" i="1"/>
  <c r="G4798" i="1"/>
  <c r="F4798" i="1"/>
  <c r="E4798" i="1"/>
  <c r="D4798" i="1"/>
  <c r="C4798" i="1"/>
  <c r="B4798" i="1"/>
  <c r="A4798" i="1"/>
  <c r="R4797" i="1"/>
  <c r="N4797" i="1"/>
  <c r="J4797" i="1"/>
  <c r="I4797" i="1"/>
  <c r="H4797" i="1"/>
  <c r="G4797" i="1"/>
  <c r="F4797" i="1"/>
  <c r="E4797" i="1"/>
  <c r="D4797" i="1"/>
  <c r="C4797" i="1"/>
  <c r="B4797" i="1"/>
  <c r="A4797" i="1"/>
  <c r="R4796" i="1"/>
  <c r="Q4796" i="1"/>
  <c r="N4796" i="1"/>
  <c r="J4796" i="1"/>
  <c r="I4796" i="1"/>
  <c r="H4796" i="1"/>
  <c r="G4796" i="1"/>
  <c r="F4796" i="1"/>
  <c r="E4796" i="1"/>
  <c r="D4796" i="1"/>
  <c r="C4796" i="1"/>
  <c r="B4796" i="1"/>
  <c r="A4796" i="1"/>
  <c r="R4795" i="1"/>
  <c r="N4795" i="1"/>
  <c r="J4795" i="1"/>
  <c r="I4795" i="1"/>
  <c r="H4795" i="1"/>
  <c r="G4795" i="1"/>
  <c r="F4795" i="1"/>
  <c r="E4795" i="1"/>
  <c r="D4795" i="1"/>
  <c r="C4795" i="1"/>
  <c r="B4795" i="1"/>
  <c r="A4795" i="1"/>
  <c r="R4794" i="1"/>
  <c r="Q4794" i="1"/>
  <c r="N4794" i="1"/>
  <c r="J4794" i="1"/>
  <c r="I4794" i="1"/>
  <c r="H4794" i="1"/>
  <c r="G4794" i="1"/>
  <c r="F4794" i="1"/>
  <c r="E4794" i="1"/>
  <c r="D4794" i="1"/>
  <c r="C4794" i="1"/>
  <c r="B4794" i="1"/>
  <c r="A4794" i="1"/>
  <c r="R4793" i="1"/>
  <c r="N4793" i="1"/>
  <c r="J4793" i="1"/>
  <c r="I4793" i="1"/>
  <c r="H4793" i="1"/>
  <c r="G4793" i="1"/>
  <c r="F4793" i="1"/>
  <c r="E4793" i="1"/>
  <c r="D4793" i="1"/>
  <c r="C4793" i="1"/>
  <c r="B4793" i="1"/>
  <c r="A4793" i="1"/>
  <c r="R4792" i="1"/>
  <c r="Q4792" i="1"/>
  <c r="N4792" i="1"/>
  <c r="J4792" i="1"/>
  <c r="I4792" i="1"/>
  <c r="H4792" i="1"/>
  <c r="G4792" i="1"/>
  <c r="F4792" i="1"/>
  <c r="E4792" i="1"/>
  <c r="D4792" i="1"/>
  <c r="C4792" i="1"/>
  <c r="B4792" i="1"/>
  <c r="A4792" i="1"/>
  <c r="R4791" i="1"/>
  <c r="N4791" i="1"/>
  <c r="J4791" i="1"/>
  <c r="I4791" i="1"/>
  <c r="H4791" i="1"/>
  <c r="G4791" i="1"/>
  <c r="F4791" i="1"/>
  <c r="E4791" i="1"/>
  <c r="D4791" i="1"/>
  <c r="C4791" i="1"/>
  <c r="B4791" i="1"/>
  <c r="A4791" i="1"/>
  <c r="R4790" i="1"/>
  <c r="Q4790" i="1"/>
  <c r="N4790" i="1"/>
  <c r="J4790" i="1"/>
  <c r="I4790" i="1"/>
  <c r="H4790" i="1"/>
  <c r="G4790" i="1"/>
  <c r="F4790" i="1"/>
  <c r="E4790" i="1"/>
  <c r="D4790" i="1"/>
  <c r="C4790" i="1"/>
  <c r="B4790" i="1"/>
  <c r="A4790" i="1"/>
  <c r="R4789" i="1"/>
  <c r="N4789" i="1"/>
  <c r="J4789" i="1"/>
  <c r="I4789" i="1"/>
  <c r="H4789" i="1"/>
  <c r="G4789" i="1"/>
  <c r="F4789" i="1"/>
  <c r="E4789" i="1"/>
  <c r="D4789" i="1"/>
  <c r="C4789" i="1"/>
  <c r="B4789" i="1"/>
  <c r="A4789" i="1"/>
  <c r="R4788" i="1"/>
  <c r="Q4788" i="1"/>
  <c r="N4788" i="1"/>
  <c r="J4788" i="1"/>
  <c r="I4788" i="1"/>
  <c r="H4788" i="1"/>
  <c r="G4788" i="1"/>
  <c r="F4788" i="1"/>
  <c r="E4788" i="1"/>
  <c r="D4788" i="1"/>
  <c r="C4788" i="1"/>
  <c r="B4788" i="1"/>
  <c r="A4788" i="1"/>
  <c r="R4787" i="1"/>
  <c r="N4787" i="1"/>
  <c r="J4787" i="1"/>
  <c r="I4787" i="1"/>
  <c r="H4787" i="1"/>
  <c r="G4787" i="1"/>
  <c r="F4787" i="1"/>
  <c r="E4787" i="1"/>
  <c r="D4787" i="1"/>
  <c r="C4787" i="1"/>
  <c r="B4787" i="1"/>
  <c r="A4787" i="1"/>
  <c r="R4786" i="1"/>
  <c r="Q4786" i="1"/>
  <c r="N4786" i="1"/>
  <c r="J4786" i="1"/>
  <c r="I4786" i="1"/>
  <c r="H4786" i="1"/>
  <c r="G4786" i="1"/>
  <c r="F4786" i="1"/>
  <c r="E4786" i="1"/>
  <c r="D4786" i="1"/>
  <c r="C4786" i="1"/>
  <c r="B4786" i="1"/>
  <c r="A4786" i="1"/>
  <c r="R4785" i="1"/>
  <c r="N4785" i="1"/>
  <c r="J4785" i="1"/>
  <c r="I4785" i="1"/>
  <c r="H4785" i="1"/>
  <c r="G4785" i="1"/>
  <c r="F4785" i="1"/>
  <c r="E4785" i="1"/>
  <c r="D4785" i="1"/>
  <c r="C4785" i="1"/>
  <c r="B4785" i="1"/>
  <c r="A4785" i="1"/>
  <c r="R4784" i="1"/>
  <c r="Q4784" i="1"/>
  <c r="N4784" i="1"/>
  <c r="J4784" i="1"/>
  <c r="I4784" i="1"/>
  <c r="H4784" i="1"/>
  <c r="G4784" i="1"/>
  <c r="F4784" i="1"/>
  <c r="E4784" i="1"/>
  <c r="D4784" i="1"/>
  <c r="C4784" i="1"/>
  <c r="B4784" i="1"/>
  <c r="A4784" i="1"/>
  <c r="R4783" i="1"/>
  <c r="N4783" i="1"/>
  <c r="J4783" i="1"/>
  <c r="I4783" i="1"/>
  <c r="H4783" i="1"/>
  <c r="G4783" i="1"/>
  <c r="F4783" i="1"/>
  <c r="E4783" i="1"/>
  <c r="D4783" i="1"/>
  <c r="C4783" i="1"/>
  <c r="B4783" i="1"/>
  <c r="A4783" i="1"/>
  <c r="R4782" i="1"/>
  <c r="Q4782" i="1"/>
  <c r="N4782" i="1"/>
  <c r="J4782" i="1"/>
  <c r="I4782" i="1"/>
  <c r="H4782" i="1"/>
  <c r="G4782" i="1"/>
  <c r="F4782" i="1"/>
  <c r="E4782" i="1"/>
  <c r="D4782" i="1"/>
  <c r="C4782" i="1"/>
  <c r="B4782" i="1"/>
  <c r="A4782" i="1"/>
  <c r="R4781" i="1"/>
  <c r="N4781" i="1"/>
  <c r="J4781" i="1"/>
  <c r="I4781" i="1"/>
  <c r="H4781" i="1"/>
  <c r="G4781" i="1"/>
  <c r="F4781" i="1"/>
  <c r="E4781" i="1"/>
  <c r="D4781" i="1"/>
  <c r="C4781" i="1"/>
  <c r="B4781" i="1"/>
  <c r="A4781" i="1"/>
  <c r="R4780" i="1"/>
  <c r="Q4780" i="1"/>
  <c r="N4780" i="1"/>
  <c r="J4780" i="1"/>
  <c r="I4780" i="1"/>
  <c r="H4780" i="1"/>
  <c r="G4780" i="1"/>
  <c r="F4780" i="1"/>
  <c r="E4780" i="1"/>
  <c r="D4780" i="1"/>
  <c r="C4780" i="1"/>
  <c r="B4780" i="1"/>
  <c r="A4780" i="1"/>
  <c r="R4779" i="1"/>
  <c r="N4779" i="1"/>
  <c r="J4779" i="1"/>
  <c r="I4779" i="1"/>
  <c r="H4779" i="1"/>
  <c r="G4779" i="1"/>
  <c r="F4779" i="1"/>
  <c r="E4779" i="1"/>
  <c r="D4779" i="1"/>
  <c r="C4779" i="1"/>
  <c r="B4779" i="1"/>
  <c r="A4779" i="1"/>
  <c r="R4778" i="1"/>
  <c r="Q4778" i="1"/>
  <c r="N4778" i="1"/>
  <c r="J4778" i="1"/>
  <c r="I4778" i="1"/>
  <c r="H4778" i="1"/>
  <c r="G4778" i="1"/>
  <c r="F4778" i="1"/>
  <c r="E4778" i="1"/>
  <c r="D4778" i="1"/>
  <c r="C4778" i="1"/>
  <c r="B4778" i="1"/>
  <c r="A4778" i="1"/>
  <c r="R4777" i="1"/>
  <c r="N4777" i="1"/>
  <c r="J4777" i="1"/>
  <c r="I4777" i="1"/>
  <c r="H4777" i="1"/>
  <c r="G4777" i="1"/>
  <c r="F4777" i="1"/>
  <c r="E4777" i="1"/>
  <c r="D4777" i="1"/>
  <c r="C4777" i="1"/>
  <c r="B4777" i="1"/>
  <c r="A4777" i="1"/>
  <c r="R4776" i="1"/>
  <c r="Q4776" i="1"/>
  <c r="N4776" i="1"/>
  <c r="J4776" i="1"/>
  <c r="I4776" i="1"/>
  <c r="H4776" i="1"/>
  <c r="G4776" i="1"/>
  <c r="F4776" i="1"/>
  <c r="E4776" i="1"/>
  <c r="D4776" i="1"/>
  <c r="C4776" i="1"/>
  <c r="A4776" i="1"/>
  <c r="R4775" i="1"/>
  <c r="N4775" i="1"/>
  <c r="J4775" i="1"/>
  <c r="I4775" i="1"/>
  <c r="H4775" i="1"/>
  <c r="G4775" i="1"/>
  <c r="F4775" i="1"/>
  <c r="E4775" i="1"/>
  <c r="D4775" i="1"/>
  <c r="C4775" i="1"/>
  <c r="A4775" i="1"/>
  <c r="R4774" i="1"/>
  <c r="Q4774" i="1"/>
  <c r="N4774" i="1"/>
  <c r="J4774" i="1"/>
  <c r="I4774" i="1"/>
  <c r="H4774" i="1"/>
  <c r="G4774" i="1"/>
  <c r="F4774" i="1"/>
  <c r="E4774" i="1"/>
  <c r="D4774" i="1"/>
  <c r="C4774" i="1"/>
  <c r="A4774" i="1"/>
  <c r="R4773" i="1"/>
  <c r="N4773" i="1"/>
  <c r="J4773" i="1"/>
  <c r="I4773" i="1"/>
  <c r="H4773" i="1"/>
  <c r="G4773" i="1"/>
  <c r="F4773" i="1"/>
  <c r="E4773" i="1"/>
  <c r="D4773" i="1"/>
  <c r="C4773" i="1"/>
  <c r="A4773" i="1"/>
  <c r="R4772" i="1"/>
  <c r="Q4772" i="1"/>
  <c r="N4772" i="1"/>
  <c r="J4772" i="1"/>
  <c r="I4772" i="1"/>
  <c r="H4772" i="1"/>
  <c r="G4772" i="1"/>
  <c r="F4772" i="1"/>
  <c r="E4772" i="1"/>
  <c r="D4772" i="1"/>
  <c r="C4772" i="1"/>
  <c r="A4772" i="1"/>
  <c r="R4771" i="1"/>
  <c r="N4771" i="1"/>
  <c r="J4771" i="1"/>
  <c r="I4771" i="1"/>
  <c r="H4771" i="1"/>
  <c r="G4771" i="1"/>
  <c r="F4771" i="1"/>
  <c r="E4771" i="1"/>
  <c r="D4771" i="1"/>
  <c r="C4771" i="1"/>
  <c r="A4771" i="1"/>
  <c r="R4770" i="1"/>
  <c r="Q4770" i="1"/>
  <c r="N4770" i="1"/>
  <c r="J4770" i="1"/>
  <c r="I4770" i="1"/>
  <c r="H4770" i="1"/>
  <c r="G4770" i="1"/>
  <c r="F4770" i="1"/>
  <c r="E4770" i="1"/>
  <c r="D4770" i="1"/>
  <c r="C4770" i="1"/>
  <c r="A4770" i="1"/>
  <c r="R4769" i="1"/>
  <c r="N4769" i="1"/>
  <c r="J4769" i="1"/>
  <c r="I4769" i="1"/>
  <c r="H4769" i="1"/>
  <c r="G4769" i="1"/>
  <c r="F4769" i="1"/>
  <c r="E4769" i="1"/>
  <c r="D4769" i="1"/>
  <c r="C4769" i="1"/>
  <c r="A4769" i="1"/>
  <c r="R4768" i="1"/>
  <c r="Q4768" i="1"/>
  <c r="N4768" i="1"/>
  <c r="J4768" i="1"/>
  <c r="I4768" i="1"/>
  <c r="H4768" i="1"/>
  <c r="G4768" i="1"/>
  <c r="F4768" i="1"/>
  <c r="E4768" i="1"/>
  <c r="D4768" i="1"/>
  <c r="C4768" i="1"/>
  <c r="A4768" i="1"/>
  <c r="R4767" i="1"/>
  <c r="N4767" i="1"/>
  <c r="J4767" i="1"/>
  <c r="I4767" i="1"/>
  <c r="H4767" i="1"/>
  <c r="G4767" i="1"/>
  <c r="F4767" i="1"/>
  <c r="E4767" i="1"/>
  <c r="D4767" i="1"/>
  <c r="C4767" i="1"/>
  <c r="A4767" i="1"/>
  <c r="R4766" i="1"/>
  <c r="Q4766" i="1"/>
  <c r="N4766" i="1"/>
  <c r="J4766" i="1"/>
  <c r="I4766" i="1"/>
  <c r="H4766" i="1"/>
  <c r="G4766" i="1"/>
  <c r="F4766" i="1"/>
  <c r="E4766" i="1"/>
  <c r="D4766" i="1"/>
  <c r="C4766" i="1"/>
  <c r="A4766" i="1"/>
  <c r="R4765" i="1"/>
  <c r="N4765" i="1"/>
  <c r="J4765" i="1"/>
  <c r="I4765" i="1"/>
  <c r="H4765" i="1"/>
  <c r="G4765" i="1"/>
  <c r="F4765" i="1"/>
  <c r="E4765" i="1"/>
  <c r="D4765" i="1"/>
  <c r="C4765" i="1"/>
  <c r="A4765" i="1"/>
  <c r="R4764" i="1"/>
  <c r="Q4764" i="1"/>
  <c r="N4764" i="1"/>
  <c r="J4764" i="1"/>
  <c r="I4764" i="1"/>
  <c r="H4764" i="1"/>
  <c r="G4764" i="1"/>
  <c r="F4764" i="1"/>
  <c r="E4764" i="1"/>
  <c r="D4764" i="1"/>
  <c r="C4764" i="1"/>
  <c r="A4764" i="1"/>
  <c r="R4763" i="1"/>
  <c r="N4763" i="1"/>
  <c r="J4763" i="1"/>
  <c r="I4763" i="1"/>
  <c r="H4763" i="1"/>
  <c r="G4763" i="1"/>
  <c r="F4763" i="1"/>
  <c r="E4763" i="1"/>
  <c r="D4763" i="1"/>
  <c r="C4763" i="1"/>
  <c r="A4763" i="1"/>
  <c r="R4762" i="1"/>
  <c r="Q4762" i="1"/>
  <c r="N4762" i="1"/>
  <c r="J4762" i="1"/>
  <c r="I4762" i="1"/>
  <c r="H4762" i="1"/>
  <c r="G4762" i="1"/>
  <c r="F4762" i="1"/>
  <c r="E4762" i="1"/>
  <c r="D4762" i="1"/>
  <c r="C4762" i="1"/>
  <c r="A4762" i="1"/>
  <c r="R4761" i="1"/>
  <c r="Q4761" i="1"/>
  <c r="N4761" i="1"/>
  <c r="J4761" i="1"/>
  <c r="I4761" i="1"/>
  <c r="H4761" i="1"/>
  <c r="G4761" i="1"/>
  <c r="F4761" i="1"/>
  <c r="E4761" i="1"/>
  <c r="D4761" i="1"/>
  <c r="C4761" i="1"/>
  <c r="A4761" i="1"/>
  <c r="R4760" i="1"/>
  <c r="N4760" i="1"/>
  <c r="J4760" i="1"/>
  <c r="I4760" i="1"/>
  <c r="H4760" i="1"/>
  <c r="G4760" i="1"/>
  <c r="F4760" i="1"/>
  <c r="E4760" i="1"/>
  <c r="D4760" i="1"/>
  <c r="C4760" i="1"/>
  <c r="A4760" i="1"/>
  <c r="R4759" i="1"/>
  <c r="Q4759" i="1"/>
  <c r="N4759" i="1"/>
  <c r="J4759" i="1"/>
  <c r="I4759" i="1"/>
  <c r="H4759" i="1"/>
  <c r="G4759" i="1"/>
  <c r="F4759" i="1"/>
  <c r="E4759" i="1"/>
  <c r="D4759" i="1"/>
  <c r="C4759" i="1"/>
  <c r="A4759" i="1"/>
  <c r="R4758" i="1"/>
  <c r="Q4758" i="1"/>
  <c r="N4758" i="1"/>
  <c r="J4758" i="1"/>
  <c r="I4758" i="1"/>
  <c r="H4758" i="1"/>
  <c r="G4758" i="1"/>
  <c r="F4758" i="1"/>
  <c r="E4758" i="1"/>
  <c r="D4758" i="1"/>
  <c r="C4758" i="1"/>
  <c r="A4758" i="1"/>
  <c r="R4757" i="1"/>
  <c r="N4757" i="1"/>
  <c r="J4757" i="1"/>
  <c r="I4757" i="1"/>
  <c r="H4757" i="1"/>
  <c r="G4757" i="1"/>
  <c r="F4757" i="1"/>
  <c r="E4757" i="1"/>
  <c r="D4757" i="1"/>
  <c r="C4757" i="1"/>
  <c r="A4757" i="1"/>
  <c r="R4756" i="1"/>
  <c r="Q4756" i="1"/>
  <c r="N4756" i="1"/>
  <c r="J4756" i="1"/>
  <c r="I4756" i="1"/>
  <c r="H4756" i="1"/>
  <c r="G4756" i="1"/>
  <c r="F4756" i="1"/>
  <c r="E4756" i="1"/>
  <c r="D4756" i="1"/>
  <c r="C4756" i="1"/>
  <c r="A4756" i="1"/>
  <c r="R4755" i="1"/>
  <c r="N4755" i="1"/>
  <c r="J4755" i="1"/>
  <c r="I4755" i="1"/>
  <c r="H4755" i="1"/>
  <c r="G4755" i="1"/>
  <c r="F4755" i="1"/>
  <c r="E4755" i="1"/>
  <c r="D4755" i="1"/>
  <c r="C4755" i="1"/>
  <c r="B4755" i="1"/>
  <c r="A4755" i="1"/>
  <c r="R4754" i="1"/>
  <c r="N4754" i="1"/>
  <c r="J4754" i="1"/>
  <c r="I4754" i="1"/>
  <c r="H4754" i="1"/>
  <c r="G4754" i="1"/>
  <c r="F4754" i="1"/>
  <c r="E4754" i="1"/>
  <c r="D4754" i="1"/>
  <c r="C4754" i="1"/>
  <c r="B4754" i="1"/>
  <c r="A4754" i="1"/>
  <c r="R4753" i="1"/>
  <c r="N4753" i="1"/>
  <c r="J4753" i="1"/>
  <c r="I4753" i="1"/>
  <c r="H4753" i="1"/>
  <c r="G4753" i="1"/>
  <c r="F4753" i="1"/>
  <c r="E4753" i="1"/>
  <c r="D4753" i="1"/>
  <c r="C4753" i="1"/>
  <c r="B4753" i="1"/>
  <c r="A4753" i="1"/>
  <c r="R4752" i="1"/>
  <c r="N4752" i="1"/>
  <c r="J4752" i="1"/>
  <c r="I4752" i="1"/>
  <c r="H4752" i="1"/>
  <c r="G4752" i="1"/>
  <c r="F4752" i="1"/>
  <c r="E4752" i="1"/>
  <c r="D4752" i="1"/>
  <c r="C4752" i="1"/>
  <c r="B4752" i="1"/>
  <c r="A4752" i="1"/>
  <c r="R4751" i="1"/>
  <c r="N4751" i="1"/>
  <c r="J4751" i="1"/>
  <c r="I4751" i="1"/>
  <c r="H4751" i="1"/>
  <c r="G4751" i="1"/>
  <c r="F4751" i="1"/>
  <c r="E4751" i="1"/>
  <c r="D4751" i="1"/>
  <c r="C4751" i="1"/>
  <c r="B4751" i="1"/>
  <c r="A4751" i="1"/>
  <c r="R4750" i="1"/>
  <c r="N4750" i="1"/>
  <c r="J4750" i="1"/>
  <c r="I4750" i="1"/>
  <c r="H4750" i="1"/>
  <c r="G4750" i="1"/>
  <c r="F4750" i="1"/>
  <c r="E4750" i="1"/>
  <c r="D4750" i="1"/>
  <c r="C4750" i="1"/>
  <c r="B4750" i="1"/>
  <c r="A4750" i="1"/>
  <c r="R4749" i="1"/>
  <c r="N4749" i="1"/>
  <c r="J4749" i="1"/>
  <c r="I4749" i="1"/>
  <c r="H4749" i="1"/>
  <c r="G4749" i="1"/>
  <c r="F4749" i="1"/>
  <c r="E4749" i="1"/>
  <c r="D4749" i="1"/>
  <c r="C4749" i="1"/>
  <c r="B4749" i="1"/>
  <c r="A4749" i="1"/>
  <c r="R4748" i="1"/>
  <c r="N4748" i="1"/>
  <c r="J4748" i="1"/>
  <c r="I4748" i="1"/>
  <c r="H4748" i="1"/>
  <c r="G4748" i="1"/>
  <c r="F4748" i="1"/>
  <c r="E4748" i="1"/>
  <c r="D4748" i="1"/>
  <c r="C4748" i="1"/>
  <c r="B4748" i="1"/>
  <c r="A4748" i="1"/>
  <c r="R4747" i="1"/>
  <c r="Q4747" i="1"/>
  <c r="N4747" i="1"/>
  <c r="J4747" i="1"/>
  <c r="I4747" i="1"/>
  <c r="H4747" i="1"/>
  <c r="G4747" i="1"/>
  <c r="F4747" i="1"/>
  <c r="E4747" i="1"/>
  <c r="D4747" i="1"/>
  <c r="C4747" i="1"/>
  <c r="B4747" i="1"/>
  <c r="A4747" i="1"/>
  <c r="R4746" i="1"/>
  <c r="N4746" i="1"/>
  <c r="J4746" i="1"/>
  <c r="I4746" i="1"/>
  <c r="H4746" i="1"/>
  <c r="G4746" i="1"/>
  <c r="F4746" i="1"/>
  <c r="E4746" i="1"/>
  <c r="D4746" i="1"/>
  <c r="C4746" i="1"/>
  <c r="B4746" i="1"/>
  <c r="A4746" i="1"/>
  <c r="R4745" i="1"/>
  <c r="Q4745" i="1"/>
  <c r="N4745" i="1"/>
  <c r="J4745" i="1"/>
  <c r="I4745" i="1"/>
  <c r="H4745" i="1"/>
  <c r="G4745" i="1"/>
  <c r="F4745" i="1"/>
  <c r="E4745" i="1"/>
  <c r="D4745" i="1"/>
  <c r="C4745" i="1"/>
  <c r="B4745" i="1"/>
  <c r="A4745" i="1"/>
  <c r="R4744" i="1"/>
  <c r="N4744" i="1"/>
  <c r="J4744" i="1"/>
  <c r="I4744" i="1"/>
  <c r="H4744" i="1"/>
  <c r="G4744" i="1"/>
  <c r="F4744" i="1"/>
  <c r="E4744" i="1"/>
  <c r="D4744" i="1"/>
  <c r="C4744" i="1"/>
  <c r="B4744" i="1"/>
  <c r="A4744" i="1"/>
  <c r="R4743" i="1"/>
  <c r="N4743" i="1"/>
  <c r="J4743" i="1"/>
  <c r="I4743" i="1"/>
  <c r="H4743" i="1"/>
  <c r="G4743" i="1"/>
  <c r="F4743" i="1"/>
  <c r="E4743" i="1"/>
  <c r="D4743" i="1"/>
  <c r="C4743" i="1"/>
  <c r="B4743" i="1"/>
  <c r="A4743" i="1"/>
  <c r="R4742" i="1"/>
  <c r="Q4742" i="1"/>
  <c r="N4742" i="1"/>
  <c r="J4742" i="1"/>
  <c r="I4742" i="1"/>
  <c r="H4742" i="1"/>
  <c r="G4742" i="1"/>
  <c r="F4742" i="1"/>
  <c r="E4742" i="1"/>
  <c r="D4742" i="1"/>
  <c r="C4742" i="1"/>
  <c r="A4742" i="1"/>
  <c r="R4741" i="1"/>
  <c r="N4741" i="1"/>
  <c r="J4741" i="1"/>
  <c r="I4741" i="1"/>
  <c r="H4741" i="1"/>
  <c r="G4741" i="1"/>
  <c r="F4741" i="1"/>
  <c r="E4741" i="1"/>
  <c r="D4741" i="1"/>
  <c r="C4741" i="1"/>
  <c r="A4741" i="1"/>
  <c r="R4740" i="1"/>
  <c r="Q4740" i="1"/>
  <c r="N4740" i="1"/>
  <c r="J4740" i="1"/>
  <c r="I4740" i="1"/>
  <c r="H4740" i="1"/>
  <c r="G4740" i="1"/>
  <c r="F4740" i="1"/>
  <c r="E4740" i="1"/>
  <c r="D4740" i="1"/>
  <c r="C4740" i="1"/>
  <c r="A4740" i="1"/>
  <c r="R4739" i="1"/>
  <c r="N4739" i="1"/>
  <c r="J4739" i="1"/>
  <c r="I4739" i="1"/>
  <c r="H4739" i="1"/>
  <c r="G4739" i="1"/>
  <c r="F4739" i="1"/>
  <c r="E4739" i="1"/>
  <c r="D4739" i="1"/>
  <c r="C4739" i="1"/>
  <c r="A4739" i="1"/>
  <c r="R4738" i="1"/>
  <c r="Q4738" i="1"/>
  <c r="N4738" i="1"/>
  <c r="J4738" i="1"/>
  <c r="I4738" i="1"/>
  <c r="H4738" i="1"/>
  <c r="G4738" i="1"/>
  <c r="F4738" i="1"/>
  <c r="E4738" i="1"/>
  <c r="D4738" i="1"/>
  <c r="C4738" i="1"/>
  <c r="A4738" i="1"/>
  <c r="R4737" i="1"/>
  <c r="N4737" i="1"/>
  <c r="J4737" i="1"/>
  <c r="I4737" i="1"/>
  <c r="H4737" i="1"/>
  <c r="G4737" i="1"/>
  <c r="F4737" i="1"/>
  <c r="E4737" i="1"/>
  <c r="D4737" i="1"/>
  <c r="C4737" i="1"/>
  <c r="A4737" i="1"/>
  <c r="R4736" i="1"/>
  <c r="Q4736" i="1"/>
  <c r="N4736" i="1"/>
  <c r="J4736" i="1"/>
  <c r="I4736" i="1"/>
  <c r="H4736" i="1"/>
  <c r="G4736" i="1"/>
  <c r="F4736" i="1"/>
  <c r="E4736" i="1"/>
  <c r="D4736" i="1"/>
  <c r="C4736" i="1"/>
  <c r="A4736" i="1"/>
  <c r="R4735" i="1"/>
  <c r="N4735" i="1"/>
  <c r="J4735" i="1"/>
  <c r="I4735" i="1"/>
  <c r="H4735" i="1"/>
  <c r="G4735" i="1"/>
  <c r="F4735" i="1"/>
  <c r="E4735" i="1"/>
  <c r="D4735" i="1"/>
  <c r="C4735" i="1"/>
  <c r="A4735" i="1"/>
  <c r="R4734" i="1"/>
  <c r="Q4734" i="1"/>
  <c r="N4734" i="1"/>
  <c r="J4734" i="1"/>
  <c r="I4734" i="1"/>
  <c r="H4734" i="1"/>
  <c r="G4734" i="1"/>
  <c r="F4734" i="1"/>
  <c r="E4734" i="1"/>
  <c r="D4734" i="1"/>
  <c r="C4734" i="1"/>
  <c r="A4734" i="1"/>
  <c r="R4733" i="1"/>
  <c r="N4733" i="1"/>
  <c r="J4733" i="1"/>
  <c r="I4733" i="1"/>
  <c r="H4733" i="1"/>
  <c r="G4733" i="1"/>
  <c r="F4733" i="1"/>
  <c r="E4733" i="1"/>
  <c r="D4733" i="1"/>
  <c r="C4733" i="1"/>
  <c r="A4733" i="1"/>
  <c r="R4732" i="1"/>
  <c r="Q4732" i="1"/>
  <c r="N4732" i="1"/>
  <c r="J4732" i="1"/>
  <c r="I4732" i="1"/>
  <c r="H4732" i="1"/>
  <c r="G4732" i="1"/>
  <c r="F4732" i="1"/>
  <c r="E4732" i="1"/>
  <c r="D4732" i="1"/>
  <c r="C4732" i="1"/>
  <c r="A4732" i="1"/>
  <c r="R4731" i="1"/>
  <c r="N4731" i="1"/>
  <c r="J4731" i="1"/>
  <c r="I4731" i="1"/>
  <c r="H4731" i="1"/>
  <c r="G4731" i="1"/>
  <c r="F4731" i="1"/>
  <c r="E4731" i="1"/>
  <c r="D4731" i="1"/>
  <c r="C4731" i="1"/>
  <c r="A4731" i="1"/>
  <c r="R4730" i="1"/>
  <c r="Q4730" i="1"/>
  <c r="N4730" i="1"/>
  <c r="J4730" i="1"/>
  <c r="I4730" i="1"/>
  <c r="H4730" i="1"/>
  <c r="G4730" i="1"/>
  <c r="F4730" i="1"/>
  <c r="E4730" i="1"/>
  <c r="D4730" i="1"/>
  <c r="C4730" i="1"/>
  <c r="A4730" i="1"/>
  <c r="R4729" i="1"/>
  <c r="N4729" i="1"/>
  <c r="J4729" i="1"/>
  <c r="I4729" i="1"/>
  <c r="H4729" i="1"/>
  <c r="G4729" i="1"/>
  <c r="F4729" i="1"/>
  <c r="E4729" i="1"/>
  <c r="D4729" i="1"/>
  <c r="C4729" i="1"/>
  <c r="A4729" i="1"/>
  <c r="R4728" i="1"/>
  <c r="Q4728" i="1"/>
  <c r="N4728" i="1"/>
  <c r="J4728" i="1"/>
  <c r="I4728" i="1"/>
  <c r="H4728" i="1"/>
  <c r="G4728" i="1"/>
  <c r="F4728" i="1"/>
  <c r="E4728" i="1"/>
  <c r="D4728" i="1"/>
  <c r="C4728" i="1"/>
  <c r="A4728" i="1"/>
  <c r="R4727" i="1"/>
  <c r="Q4727" i="1"/>
  <c r="N4727" i="1"/>
  <c r="J4727" i="1"/>
  <c r="I4727" i="1"/>
  <c r="H4727" i="1"/>
  <c r="G4727" i="1"/>
  <c r="F4727" i="1"/>
  <c r="E4727" i="1"/>
  <c r="D4727" i="1"/>
  <c r="C4727" i="1"/>
  <c r="A4727" i="1"/>
  <c r="R4726" i="1"/>
  <c r="Q4726" i="1"/>
  <c r="N4726" i="1"/>
  <c r="J4726" i="1"/>
  <c r="I4726" i="1"/>
  <c r="H4726" i="1"/>
  <c r="G4726" i="1"/>
  <c r="F4726" i="1"/>
  <c r="E4726" i="1"/>
  <c r="D4726" i="1"/>
  <c r="C4726" i="1"/>
  <c r="A4726" i="1"/>
  <c r="R4725" i="1"/>
  <c r="Q4725" i="1"/>
  <c r="N4725" i="1"/>
  <c r="J4725" i="1"/>
  <c r="I4725" i="1"/>
  <c r="H4725" i="1"/>
  <c r="G4725" i="1"/>
  <c r="F4725" i="1"/>
  <c r="E4725" i="1"/>
  <c r="D4725" i="1"/>
  <c r="C4725" i="1"/>
  <c r="A4725" i="1"/>
  <c r="R4724" i="1"/>
  <c r="Q4724" i="1"/>
  <c r="N4724" i="1"/>
  <c r="J4724" i="1"/>
  <c r="I4724" i="1"/>
  <c r="H4724" i="1"/>
  <c r="G4724" i="1"/>
  <c r="F4724" i="1"/>
  <c r="E4724" i="1"/>
  <c r="D4724" i="1"/>
  <c r="C4724" i="1"/>
  <c r="A4724" i="1"/>
  <c r="R4723" i="1"/>
  <c r="Q4723" i="1"/>
  <c r="N4723" i="1"/>
  <c r="J4723" i="1"/>
  <c r="I4723" i="1"/>
  <c r="H4723" i="1"/>
  <c r="G4723" i="1"/>
  <c r="F4723" i="1"/>
  <c r="E4723" i="1"/>
  <c r="D4723" i="1"/>
  <c r="C4723" i="1"/>
  <c r="A4723" i="1"/>
  <c r="R4722" i="1"/>
  <c r="Q4722" i="1"/>
  <c r="N4722" i="1"/>
  <c r="J4722" i="1"/>
  <c r="I4722" i="1"/>
  <c r="H4722" i="1"/>
  <c r="G4722" i="1"/>
  <c r="F4722" i="1"/>
  <c r="E4722" i="1"/>
  <c r="D4722" i="1"/>
  <c r="C4722" i="1"/>
  <c r="A4722" i="1"/>
  <c r="R4721" i="1"/>
  <c r="Q4721" i="1"/>
  <c r="N4721" i="1"/>
  <c r="J4721" i="1"/>
  <c r="I4721" i="1"/>
  <c r="H4721" i="1"/>
  <c r="G4721" i="1"/>
  <c r="F4721" i="1"/>
  <c r="E4721" i="1"/>
  <c r="D4721" i="1"/>
  <c r="C4721" i="1"/>
  <c r="A4721" i="1"/>
  <c r="R4720" i="1"/>
  <c r="Q4720" i="1"/>
  <c r="N4720" i="1"/>
  <c r="J4720" i="1"/>
  <c r="I4720" i="1"/>
  <c r="H4720" i="1"/>
  <c r="G4720" i="1"/>
  <c r="F4720" i="1"/>
  <c r="E4720" i="1"/>
  <c r="D4720" i="1"/>
  <c r="C4720" i="1"/>
  <c r="A4720" i="1"/>
  <c r="R4719" i="1"/>
  <c r="Q4719" i="1"/>
  <c r="N4719" i="1"/>
  <c r="J4719" i="1"/>
  <c r="I4719" i="1"/>
  <c r="H4719" i="1"/>
  <c r="G4719" i="1"/>
  <c r="F4719" i="1"/>
  <c r="E4719" i="1"/>
  <c r="D4719" i="1"/>
  <c r="C4719" i="1"/>
  <c r="A4719" i="1"/>
  <c r="R4718" i="1"/>
  <c r="Q4718" i="1"/>
  <c r="N4718" i="1"/>
  <c r="J4718" i="1"/>
  <c r="I4718" i="1"/>
  <c r="H4718" i="1"/>
  <c r="G4718" i="1"/>
  <c r="F4718" i="1"/>
  <c r="E4718" i="1"/>
  <c r="D4718" i="1"/>
  <c r="C4718" i="1"/>
  <c r="A4718" i="1"/>
  <c r="R4717" i="1"/>
  <c r="Q4717" i="1"/>
  <c r="N4717" i="1"/>
  <c r="J4717" i="1"/>
  <c r="I4717" i="1"/>
  <c r="H4717" i="1"/>
  <c r="G4717" i="1"/>
  <c r="F4717" i="1"/>
  <c r="E4717" i="1"/>
  <c r="D4717" i="1"/>
  <c r="C4717" i="1"/>
  <c r="A4717" i="1"/>
  <c r="R4716" i="1"/>
  <c r="Q4716" i="1"/>
  <c r="N4716" i="1"/>
  <c r="J4716" i="1"/>
  <c r="I4716" i="1"/>
  <c r="H4716" i="1"/>
  <c r="G4716" i="1"/>
  <c r="F4716" i="1"/>
  <c r="E4716" i="1"/>
  <c r="D4716" i="1"/>
  <c r="C4716" i="1"/>
  <c r="A4716" i="1"/>
  <c r="R4715" i="1"/>
  <c r="Q4715" i="1"/>
  <c r="N4715" i="1"/>
  <c r="J4715" i="1"/>
  <c r="I4715" i="1"/>
  <c r="H4715" i="1"/>
  <c r="G4715" i="1"/>
  <c r="F4715" i="1"/>
  <c r="E4715" i="1"/>
  <c r="D4715" i="1"/>
  <c r="C4715" i="1"/>
  <c r="A4715" i="1"/>
  <c r="R4714" i="1"/>
  <c r="Q4714" i="1"/>
  <c r="N4714" i="1"/>
  <c r="J4714" i="1"/>
  <c r="I4714" i="1"/>
  <c r="H4714" i="1"/>
  <c r="G4714" i="1"/>
  <c r="F4714" i="1"/>
  <c r="E4714" i="1"/>
  <c r="D4714" i="1"/>
  <c r="C4714" i="1"/>
  <c r="A4714" i="1"/>
  <c r="R4713" i="1"/>
  <c r="Q4713" i="1"/>
  <c r="N4713" i="1"/>
  <c r="J4713" i="1"/>
  <c r="I4713" i="1"/>
  <c r="H4713" i="1"/>
  <c r="G4713" i="1"/>
  <c r="F4713" i="1"/>
  <c r="E4713" i="1"/>
  <c r="D4713" i="1"/>
  <c r="C4713" i="1"/>
  <c r="A4713" i="1"/>
  <c r="R4712" i="1"/>
  <c r="Q4712" i="1"/>
  <c r="N4712" i="1"/>
  <c r="J4712" i="1"/>
  <c r="I4712" i="1"/>
  <c r="H4712" i="1"/>
  <c r="G4712" i="1"/>
  <c r="F4712" i="1"/>
  <c r="E4712" i="1"/>
  <c r="D4712" i="1"/>
  <c r="C4712" i="1"/>
  <c r="A4712" i="1"/>
  <c r="R4711" i="1"/>
  <c r="Q4711" i="1"/>
  <c r="N4711" i="1"/>
  <c r="J4711" i="1"/>
  <c r="I4711" i="1"/>
  <c r="H4711" i="1"/>
  <c r="G4711" i="1"/>
  <c r="F4711" i="1"/>
  <c r="E4711" i="1"/>
  <c r="D4711" i="1"/>
  <c r="C4711" i="1"/>
  <c r="A4711" i="1"/>
  <c r="R4710" i="1"/>
  <c r="Q4710" i="1"/>
  <c r="N4710" i="1"/>
  <c r="J4710" i="1"/>
  <c r="I4710" i="1"/>
  <c r="H4710" i="1"/>
  <c r="G4710" i="1"/>
  <c r="F4710" i="1"/>
  <c r="E4710" i="1"/>
  <c r="D4710" i="1"/>
  <c r="C4710" i="1"/>
  <c r="A4710" i="1"/>
  <c r="R4709" i="1"/>
  <c r="Q4709" i="1"/>
  <c r="N4709" i="1"/>
  <c r="J4709" i="1"/>
  <c r="I4709" i="1"/>
  <c r="H4709" i="1"/>
  <c r="G4709" i="1"/>
  <c r="F4709" i="1"/>
  <c r="E4709" i="1"/>
  <c r="D4709" i="1"/>
  <c r="C4709" i="1"/>
  <c r="A4709" i="1"/>
  <c r="R4708" i="1"/>
  <c r="Q4708" i="1"/>
  <c r="N4708" i="1"/>
  <c r="J4708" i="1"/>
  <c r="I4708" i="1"/>
  <c r="H4708" i="1"/>
  <c r="G4708" i="1"/>
  <c r="F4708" i="1"/>
  <c r="E4708" i="1"/>
  <c r="D4708" i="1"/>
  <c r="C4708" i="1"/>
  <c r="A4708" i="1"/>
  <c r="R4707" i="1"/>
  <c r="Q4707" i="1"/>
  <c r="N4707" i="1"/>
  <c r="J4707" i="1"/>
  <c r="I4707" i="1"/>
  <c r="H4707" i="1"/>
  <c r="G4707" i="1"/>
  <c r="F4707" i="1"/>
  <c r="E4707" i="1"/>
  <c r="D4707" i="1"/>
  <c r="C4707" i="1"/>
  <c r="A4707" i="1"/>
  <c r="R4706" i="1"/>
  <c r="Q4706" i="1"/>
  <c r="N4706" i="1"/>
  <c r="J4706" i="1"/>
  <c r="I4706" i="1"/>
  <c r="H4706" i="1"/>
  <c r="G4706" i="1"/>
  <c r="F4706" i="1"/>
  <c r="E4706" i="1"/>
  <c r="D4706" i="1"/>
  <c r="C4706" i="1"/>
  <c r="A4706" i="1"/>
  <c r="R4705" i="1"/>
  <c r="Q4705" i="1"/>
  <c r="N4705" i="1"/>
  <c r="J4705" i="1"/>
  <c r="I4705" i="1"/>
  <c r="H4705" i="1"/>
  <c r="G4705" i="1"/>
  <c r="F4705" i="1"/>
  <c r="E4705" i="1"/>
  <c r="D4705" i="1"/>
  <c r="C4705" i="1"/>
  <c r="A4705" i="1"/>
  <c r="R4704" i="1"/>
  <c r="Q4704" i="1"/>
  <c r="N4704" i="1"/>
  <c r="J4704" i="1"/>
  <c r="I4704" i="1"/>
  <c r="H4704" i="1"/>
  <c r="G4704" i="1"/>
  <c r="F4704" i="1"/>
  <c r="E4704" i="1"/>
  <c r="D4704" i="1"/>
  <c r="C4704" i="1"/>
  <c r="A4704" i="1"/>
  <c r="R4703" i="1"/>
  <c r="Q4703" i="1"/>
  <c r="N4703" i="1"/>
  <c r="J4703" i="1"/>
  <c r="I4703" i="1"/>
  <c r="H4703" i="1"/>
  <c r="G4703" i="1"/>
  <c r="F4703" i="1"/>
  <c r="E4703" i="1"/>
  <c r="D4703" i="1"/>
  <c r="C4703" i="1"/>
  <c r="A4703" i="1"/>
  <c r="R4702" i="1"/>
  <c r="Q4702" i="1"/>
  <c r="N4702" i="1"/>
  <c r="J4702" i="1"/>
  <c r="I4702" i="1"/>
  <c r="H4702" i="1"/>
  <c r="G4702" i="1"/>
  <c r="F4702" i="1"/>
  <c r="E4702" i="1"/>
  <c r="D4702" i="1"/>
  <c r="C4702" i="1"/>
  <c r="A4702" i="1"/>
  <c r="R4701" i="1"/>
  <c r="Q4701" i="1"/>
  <c r="N4701" i="1"/>
  <c r="J4701" i="1"/>
  <c r="I4701" i="1"/>
  <c r="H4701" i="1"/>
  <c r="G4701" i="1"/>
  <c r="F4701" i="1"/>
  <c r="E4701" i="1"/>
  <c r="D4701" i="1"/>
  <c r="C4701" i="1"/>
  <c r="A4701" i="1"/>
  <c r="R4700" i="1"/>
  <c r="Q4700" i="1"/>
  <c r="N4700" i="1"/>
  <c r="J4700" i="1"/>
  <c r="I4700" i="1"/>
  <c r="H4700" i="1"/>
  <c r="G4700" i="1"/>
  <c r="F4700" i="1"/>
  <c r="E4700" i="1"/>
  <c r="D4700" i="1"/>
  <c r="C4700" i="1"/>
  <c r="A4700" i="1"/>
  <c r="R4699" i="1"/>
  <c r="Q4699" i="1"/>
  <c r="N4699" i="1"/>
  <c r="J4699" i="1"/>
  <c r="I4699" i="1"/>
  <c r="H4699" i="1"/>
  <c r="G4699" i="1"/>
  <c r="F4699" i="1"/>
  <c r="E4699" i="1"/>
  <c r="D4699" i="1"/>
  <c r="C4699" i="1"/>
  <c r="A4699" i="1"/>
  <c r="R4698" i="1"/>
  <c r="Q4698" i="1"/>
  <c r="N4698" i="1"/>
  <c r="J4698" i="1"/>
  <c r="I4698" i="1"/>
  <c r="H4698" i="1"/>
  <c r="G4698" i="1"/>
  <c r="F4698" i="1"/>
  <c r="E4698" i="1"/>
  <c r="D4698" i="1"/>
  <c r="C4698" i="1"/>
  <c r="A4698" i="1"/>
  <c r="R4697" i="1"/>
  <c r="Q4697" i="1"/>
  <c r="N4697" i="1"/>
  <c r="J4697" i="1"/>
  <c r="I4697" i="1"/>
  <c r="H4697" i="1"/>
  <c r="G4697" i="1"/>
  <c r="F4697" i="1"/>
  <c r="E4697" i="1"/>
  <c r="D4697" i="1"/>
  <c r="C4697" i="1"/>
  <c r="A4697" i="1"/>
  <c r="R4696" i="1"/>
  <c r="Q4696" i="1"/>
  <c r="N4696" i="1"/>
  <c r="J4696" i="1"/>
  <c r="I4696" i="1"/>
  <c r="H4696" i="1"/>
  <c r="G4696" i="1"/>
  <c r="F4696" i="1"/>
  <c r="E4696" i="1"/>
  <c r="D4696" i="1"/>
  <c r="C4696" i="1"/>
  <c r="A4696" i="1"/>
  <c r="R4695" i="1"/>
  <c r="Q4695" i="1"/>
  <c r="N4695" i="1"/>
  <c r="J4695" i="1"/>
  <c r="I4695" i="1"/>
  <c r="H4695" i="1"/>
  <c r="G4695" i="1"/>
  <c r="F4695" i="1"/>
  <c r="E4695" i="1"/>
  <c r="D4695" i="1"/>
  <c r="C4695" i="1"/>
  <c r="A4695" i="1"/>
  <c r="R4694" i="1"/>
  <c r="Q4694" i="1"/>
  <c r="N4694" i="1"/>
  <c r="J4694" i="1"/>
  <c r="I4694" i="1"/>
  <c r="H4694" i="1"/>
  <c r="G4694" i="1"/>
  <c r="F4694" i="1"/>
  <c r="E4694" i="1"/>
  <c r="D4694" i="1"/>
  <c r="C4694" i="1"/>
  <c r="A4694" i="1"/>
  <c r="R4693" i="1"/>
  <c r="Q4693" i="1"/>
  <c r="N4693" i="1"/>
  <c r="J4693" i="1"/>
  <c r="I4693" i="1"/>
  <c r="H4693" i="1"/>
  <c r="G4693" i="1"/>
  <c r="F4693" i="1"/>
  <c r="E4693" i="1"/>
  <c r="D4693" i="1"/>
  <c r="C4693" i="1"/>
  <c r="A4693" i="1"/>
  <c r="R4692" i="1"/>
  <c r="Q4692" i="1"/>
  <c r="N4692" i="1"/>
  <c r="J4692" i="1"/>
  <c r="I4692" i="1"/>
  <c r="H4692" i="1"/>
  <c r="G4692" i="1"/>
  <c r="F4692" i="1"/>
  <c r="E4692" i="1"/>
  <c r="D4692" i="1"/>
  <c r="C4692" i="1"/>
  <c r="A4692" i="1"/>
  <c r="R4691" i="1"/>
  <c r="Q4691" i="1"/>
  <c r="N4691" i="1"/>
  <c r="J4691" i="1"/>
  <c r="I4691" i="1"/>
  <c r="H4691" i="1"/>
  <c r="G4691" i="1"/>
  <c r="F4691" i="1"/>
  <c r="E4691" i="1"/>
  <c r="D4691" i="1"/>
  <c r="C4691" i="1"/>
  <c r="A4691" i="1"/>
  <c r="R4690" i="1"/>
  <c r="Q4690" i="1"/>
  <c r="N4690" i="1"/>
  <c r="J4690" i="1"/>
  <c r="I4690" i="1"/>
  <c r="H4690" i="1"/>
  <c r="G4690" i="1"/>
  <c r="F4690" i="1"/>
  <c r="E4690" i="1"/>
  <c r="D4690" i="1"/>
  <c r="C4690" i="1"/>
  <c r="A4690" i="1"/>
  <c r="R4689" i="1"/>
  <c r="Q4689" i="1"/>
  <c r="N4689" i="1"/>
  <c r="J4689" i="1"/>
  <c r="I4689" i="1"/>
  <c r="H4689" i="1"/>
  <c r="G4689" i="1"/>
  <c r="F4689" i="1"/>
  <c r="E4689" i="1"/>
  <c r="D4689" i="1"/>
  <c r="C4689" i="1"/>
  <c r="A4689" i="1"/>
  <c r="R4688" i="1"/>
  <c r="Q4688" i="1"/>
  <c r="N4688" i="1"/>
  <c r="J4688" i="1"/>
  <c r="I4688" i="1"/>
  <c r="H4688" i="1"/>
  <c r="G4688" i="1"/>
  <c r="F4688" i="1"/>
  <c r="E4688" i="1"/>
  <c r="D4688" i="1"/>
  <c r="C4688" i="1"/>
  <c r="A4688" i="1"/>
  <c r="R4687" i="1"/>
  <c r="Q4687" i="1"/>
  <c r="N4687" i="1"/>
  <c r="J4687" i="1"/>
  <c r="I4687" i="1"/>
  <c r="H4687" i="1"/>
  <c r="G4687" i="1"/>
  <c r="F4687" i="1"/>
  <c r="E4687" i="1"/>
  <c r="D4687" i="1"/>
  <c r="C4687" i="1"/>
  <c r="A4687" i="1"/>
  <c r="R4686" i="1"/>
  <c r="Q4686" i="1"/>
  <c r="N4686" i="1"/>
  <c r="J4686" i="1"/>
  <c r="I4686" i="1"/>
  <c r="H4686" i="1"/>
  <c r="G4686" i="1"/>
  <c r="F4686" i="1"/>
  <c r="E4686" i="1"/>
  <c r="D4686" i="1"/>
  <c r="C4686" i="1"/>
  <c r="A4686" i="1"/>
  <c r="R4685" i="1"/>
  <c r="Q4685" i="1"/>
  <c r="N4685" i="1"/>
  <c r="J4685" i="1"/>
  <c r="I4685" i="1"/>
  <c r="H4685" i="1"/>
  <c r="G4685" i="1"/>
  <c r="F4685" i="1"/>
  <c r="E4685" i="1"/>
  <c r="D4685" i="1"/>
  <c r="C4685" i="1"/>
  <c r="A4685" i="1"/>
  <c r="R4684" i="1"/>
  <c r="Q4684" i="1"/>
  <c r="N4684" i="1"/>
  <c r="J4684" i="1"/>
  <c r="I4684" i="1"/>
  <c r="H4684" i="1"/>
  <c r="G4684" i="1"/>
  <c r="F4684" i="1"/>
  <c r="E4684" i="1"/>
  <c r="D4684" i="1"/>
  <c r="C4684" i="1"/>
  <c r="A4684" i="1"/>
  <c r="R4683" i="1"/>
  <c r="Q4683" i="1"/>
  <c r="N4683" i="1"/>
  <c r="J4683" i="1"/>
  <c r="I4683" i="1"/>
  <c r="H4683" i="1"/>
  <c r="G4683" i="1"/>
  <c r="F4683" i="1"/>
  <c r="E4683" i="1"/>
  <c r="D4683" i="1"/>
  <c r="C4683" i="1"/>
  <c r="A4683" i="1"/>
  <c r="R4682" i="1"/>
  <c r="Q4682" i="1"/>
  <c r="N4682" i="1"/>
  <c r="J4682" i="1"/>
  <c r="I4682" i="1"/>
  <c r="H4682" i="1"/>
  <c r="G4682" i="1"/>
  <c r="F4682" i="1"/>
  <c r="E4682" i="1"/>
  <c r="D4682" i="1"/>
  <c r="C4682" i="1"/>
  <c r="A4682" i="1"/>
  <c r="R4681" i="1"/>
  <c r="N4681" i="1"/>
  <c r="J4681" i="1"/>
  <c r="I4681" i="1"/>
  <c r="H4681" i="1"/>
  <c r="G4681" i="1"/>
  <c r="F4681" i="1"/>
  <c r="E4681" i="1"/>
  <c r="D4681" i="1"/>
  <c r="C4681" i="1"/>
  <c r="A4681" i="1"/>
  <c r="R4680" i="1"/>
  <c r="Q4680" i="1"/>
  <c r="N4680" i="1"/>
  <c r="J4680" i="1"/>
  <c r="I4680" i="1"/>
  <c r="H4680" i="1"/>
  <c r="G4680" i="1"/>
  <c r="F4680" i="1"/>
  <c r="E4680" i="1"/>
  <c r="D4680" i="1"/>
  <c r="C4680" i="1"/>
  <c r="A4680" i="1"/>
  <c r="R4679" i="1"/>
  <c r="Q4679" i="1"/>
  <c r="N4679" i="1"/>
  <c r="J4679" i="1"/>
  <c r="I4679" i="1"/>
  <c r="H4679" i="1"/>
  <c r="G4679" i="1"/>
  <c r="F4679" i="1"/>
  <c r="E4679" i="1"/>
  <c r="D4679" i="1"/>
  <c r="C4679" i="1"/>
  <c r="A4679" i="1"/>
  <c r="R4678" i="1"/>
  <c r="Q4678" i="1"/>
  <c r="N4678" i="1"/>
  <c r="J4678" i="1"/>
  <c r="I4678" i="1"/>
  <c r="H4678" i="1"/>
  <c r="G4678" i="1"/>
  <c r="F4678" i="1"/>
  <c r="E4678" i="1"/>
  <c r="D4678" i="1"/>
  <c r="C4678" i="1"/>
  <c r="A4678" i="1"/>
  <c r="R4677" i="1"/>
  <c r="Q4677" i="1"/>
  <c r="N4677" i="1"/>
  <c r="J4677" i="1"/>
  <c r="I4677" i="1"/>
  <c r="H4677" i="1"/>
  <c r="G4677" i="1"/>
  <c r="F4677" i="1"/>
  <c r="E4677" i="1"/>
  <c r="D4677" i="1"/>
  <c r="C4677" i="1"/>
  <c r="A4677" i="1"/>
  <c r="R4676" i="1"/>
  <c r="Q4676" i="1"/>
  <c r="N4676" i="1"/>
  <c r="J4676" i="1"/>
  <c r="I4676" i="1"/>
  <c r="H4676" i="1"/>
  <c r="G4676" i="1"/>
  <c r="F4676" i="1"/>
  <c r="E4676" i="1"/>
  <c r="D4676" i="1"/>
  <c r="C4676" i="1"/>
  <c r="A4676" i="1"/>
  <c r="R4675" i="1"/>
  <c r="Q4675" i="1"/>
  <c r="N4675" i="1"/>
  <c r="J4675" i="1"/>
  <c r="I4675" i="1"/>
  <c r="H4675" i="1"/>
  <c r="G4675" i="1"/>
  <c r="F4675" i="1"/>
  <c r="E4675" i="1"/>
  <c r="D4675" i="1"/>
  <c r="C4675" i="1"/>
  <c r="A4675" i="1"/>
  <c r="R4674" i="1"/>
  <c r="Q4674" i="1"/>
  <c r="N4674" i="1"/>
  <c r="J4674" i="1"/>
  <c r="I4674" i="1"/>
  <c r="H4674" i="1"/>
  <c r="G4674" i="1"/>
  <c r="F4674" i="1"/>
  <c r="E4674" i="1"/>
  <c r="D4674" i="1"/>
  <c r="C4674" i="1"/>
  <c r="A4674" i="1"/>
  <c r="R4673" i="1"/>
  <c r="Q4673" i="1"/>
  <c r="N4673" i="1"/>
  <c r="J4673" i="1"/>
  <c r="I4673" i="1"/>
  <c r="H4673" i="1"/>
  <c r="G4673" i="1"/>
  <c r="F4673" i="1"/>
  <c r="E4673" i="1"/>
  <c r="D4673" i="1"/>
  <c r="C4673" i="1"/>
  <c r="A4673" i="1"/>
  <c r="R4672" i="1"/>
  <c r="Q4672" i="1"/>
  <c r="N4672" i="1"/>
  <c r="J4672" i="1"/>
  <c r="I4672" i="1"/>
  <c r="H4672" i="1"/>
  <c r="G4672" i="1"/>
  <c r="F4672" i="1"/>
  <c r="E4672" i="1"/>
  <c r="D4672" i="1"/>
  <c r="C4672" i="1"/>
  <c r="A4672" i="1"/>
  <c r="R4671" i="1"/>
  <c r="Q4671" i="1"/>
  <c r="N4671" i="1"/>
  <c r="J4671" i="1"/>
  <c r="I4671" i="1"/>
  <c r="H4671" i="1"/>
  <c r="G4671" i="1"/>
  <c r="F4671" i="1"/>
  <c r="E4671" i="1"/>
  <c r="D4671" i="1"/>
  <c r="C4671" i="1"/>
  <c r="A4671" i="1"/>
  <c r="R4670" i="1"/>
  <c r="Q4670" i="1"/>
  <c r="N4670" i="1"/>
  <c r="J4670" i="1"/>
  <c r="I4670" i="1"/>
  <c r="H4670" i="1"/>
  <c r="G4670" i="1"/>
  <c r="F4670" i="1"/>
  <c r="E4670" i="1"/>
  <c r="D4670" i="1"/>
  <c r="C4670" i="1"/>
  <c r="A4670" i="1"/>
  <c r="R4669" i="1"/>
  <c r="N4669" i="1"/>
  <c r="J4669" i="1"/>
  <c r="I4669" i="1"/>
  <c r="H4669" i="1"/>
  <c r="G4669" i="1"/>
  <c r="F4669" i="1"/>
  <c r="E4669" i="1"/>
  <c r="D4669" i="1"/>
  <c r="C4669" i="1"/>
  <c r="A4669" i="1"/>
  <c r="R4668" i="1"/>
  <c r="Q4668" i="1"/>
  <c r="N4668" i="1"/>
  <c r="J4668" i="1"/>
  <c r="I4668" i="1"/>
  <c r="H4668" i="1"/>
  <c r="G4668" i="1"/>
  <c r="F4668" i="1"/>
  <c r="E4668" i="1"/>
  <c r="D4668" i="1"/>
  <c r="C4668" i="1"/>
  <c r="A4668" i="1"/>
  <c r="R4667" i="1"/>
  <c r="Q4667" i="1"/>
  <c r="N4667" i="1"/>
  <c r="J4667" i="1"/>
  <c r="I4667" i="1"/>
  <c r="H4667" i="1"/>
  <c r="G4667" i="1"/>
  <c r="F4667" i="1"/>
  <c r="E4667" i="1"/>
  <c r="D4667" i="1"/>
  <c r="C4667" i="1"/>
  <c r="A4667" i="1"/>
  <c r="R4666" i="1"/>
  <c r="Q4666" i="1"/>
  <c r="N4666" i="1"/>
  <c r="J4666" i="1"/>
  <c r="I4666" i="1"/>
  <c r="H4666" i="1"/>
  <c r="G4666" i="1"/>
  <c r="F4666" i="1"/>
  <c r="E4666" i="1"/>
  <c r="D4666" i="1"/>
  <c r="C4666" i="1"/>
  <c r="A4666" i="1"/>
  <c r="R4665" i="1"/>
  <c r="Q4665" i="1"/>
  <c r="N4665" i="1"/>
  <c r="J4665" i="1"/>
  <c r="I4665" i="1"/>
  <c r="H4665" i="1"/>
  <c r="G4665" i="1"/>
  <c r="F4665" i="1"/>
  <c r="E4665" i="1"/>
  <c r="D4665" i="1"/>
  <c r="C4665" i="1"/>
  <c r="A4665" i="1"/>
  <c r="R4664" i="1"/>
  <c r="Q4664" i="1"/>
  <c r="N4664" i="1"/>
  <c r="J4664" i="1"/>
  <c r="I4664" i="1"/>
  <c r="H4664" i="1"/>
  <c r="G4664" i="1"/>
  <c r="F4664" i="1"/>
  <c r="E4664" i="1"/>
  <c r="D4664" i="1"/>
  <c r="C4664" i="1"/>
  <c r="A4664" i="1"/>
  <c r="R4663" i="1"/>
  <c r="Q4663" i="1"/>
  <c r="N4663" i="1"/>
  <c r="J4663" i="1"/>
  <c r="I4663" i="1"/>
  <c r="H4663" i="1"/>
  <c r="G4663" i="1"/>
  <c r="F4663" i="1"/>
  <c r="E4663" i="1"/>
  <c r="D4663" i="1"/>
  <c r="C4663" i="1"/>
  <c r="A4663" i="1"/>
  <c r="R4662" i="1"/>
  <c r="Q4662" i="1"/>
  <c r="N4662" i="1"/>
  <c r="J4662" i="1"/>
  <c r="I4662" i="1"/>
  <c r="H4662" i="1"/>
  <c r="G4662" i="1"/>
  <c r="F4662" i="1"/>
  <c r="E4662" i="1"/>
  <c r="D4662" i="1"/>
  <c r="C4662" i="1"/>
  <c r="A4662" i="1"/>
  <c r="R4661" i="1"/>
  <c r="Q4661" i="1"/>
  <c r="N4661" i="1"/>
  <c r="J4661" i="1"/>
  <c r="I4661" i="1"/>
  <c r="H4661" i="1"/>
  <c r="G4661" i="1"/>
  <c r="F4661" i="1"/>
  <c r="E4661" i="1"/>
  <c r="D4661" i="1"/>
  <c r="C4661" i="1"/>
  <c r="A4661" i="1"/>
  <c r="R4660" i="1"/>
  <c r="N4660" i="1"/>
  <c r="J4660" i="1"/>
  <c r="I4660" i="1"/>
  <c r="H4660" i="1"/>
  <c r="G4660" i="1"/>
  <c r="F4660" i="1"/>
  <c r="E4660" i="1"/>
  <c r="D4660" i="1"/>
  <c r="C4660" i="1"/>
  <c r="B4660" i="1"/>
  <c r="A4660" i="1"/>
  <c r="R4659" i="1"/>
  <c r="Q4659" i="1"/>
  <c r="N4659" i="1"/>
  <c r="J4659" i="1"/>
  <c r="I4659" i="1"/>
  <c r="H4659" i="1"/>
  <c r="G4659" i="1"/>
  <c r="F4659" i="1"/>
  <c r="E4659" i="1"/>
  <c r="D4659" i="1"/>
  <c r="C4659" i="1"/>
  <c r="B4659" i="1"/>
  <c r="A4659" i="1"/>
  <c r="R4658" i="1"/>
  <c r="N4658" i="1"/>
  <c r="J4658" i="1"/>
  <c r="I4658" i="1"/>
  <c r="H4658" i="1"/>
  <c r="G4658" i="1"/>
  <c r="F4658" i="1"/>
  <c r="E4658" i="1"/>
  <c r="D4658" i="1"/>
  <c r="C4658" i="1"/>
  <c r="B4658" i="1"/>
  <c r="A4658" i="1"/>
  <c r="R4657" i="1"/>
  <c r="Q4657" i="1"/>
  <c r="N4657" i="1"/>
  <c r="J4657" i="1"/>
  <c r="I4657" i="1"/>
  <c r="H4657" i="1"/>
  <c r="G4657" i="1"/>
  <c r="F4657" i="1"/>
  <c r="E4657" i="1"/>
  <c r="D4657" i="1"/>
  <c r="C4657" i="1"/>
  <c r="B4657" i="1"/>
  <c r="A4657" i="1"/>
  <c r="R4656" i="1"/>
  <c r="N4656" i="1"/>
  <c r="J4656" i="1"/>
  <c r="I4656" i="1"/>
  <c r="H4656" i="1"/>
  <c r="G4656" i="1"/>
  <c r="F4656" i="1"/>
  <c r="E4656" i="1"/>
  <c r="D4656" i="1"/>
  <c r="C4656" i="1"/>
  <c r="B4656" i="1"/>
  <c r="A4656" i="1"/>
  <c r="R4655" i="1"/>
  <c r="Q4655" i="1"/>
  <c r="N4655" i="1"/>
  <c r="J4655" i="1"/>
  <c r="I4655" i="1"/>
  <c r="H4655" i="1"/>
  <c r="G4655" i="1"/>
  <c r="F4655" i="1"/>
  <c r="E4655" i="1"/>
  <c r="D4655" i="1"/>
  <c r="C4655" i="1"/>
  <c r="B4655" i="1"/>
  <c r="A4655" i="1"/>
  <c r="R4654" i="1"/>
  <c r="N4654" i="1"/>
  <c r="J4654" i="1"/>
  <c r="I4654" i="1"/>
  <c r="H4654" i="1"/>
  <c r="G4654" i="1"/>
  <c r="F4654" i="1"/>
  <c r="E4654" i="1"/>
  <c r="D4654" i="1"/>
  <c r="C4654" i="1"/>
  <c r="B4654" i="1"/>
  <c r="A4654" i="1"/>
  <c r="R4653" i="1"/>
  <c r="Q4653" i="1"/>
  <c r="N4653" i="1"/>
  <c r="J4653" i="1"/>
  <c r="I4653" i="1"/>
  <c r="H4653" i="1"/>
  <c r="G4653" i="1"/>
  <c r="F4653" i="1"/>
  <c r="E4653" i="1"/>
  <c r="D4653" i="1"/>
  <c r="C4653" i="1"/>
  <c r="B4653" i="1"/>
  <c r="A4653" i="1"/>
  <c r="R4652" i="1"/>
  <c r="N4652" i="1"/>
  <c r="J4652" i="1"/>
  <c r="I4652" i="1"/>
  <c r="H4652" i="1"/>
  <c r="G4652" i="1"/>
  <c r="F4652" i="1"/>
  <c r="E4652" i="1"/>
  <c r="D4652" i="1"/>
  <c r="C4652" i="1"/>
  <c r="B4652" i="1"/>
  <c r="A4652" i="1"/>
  <c r="R4651" i="1"/>
  <c r="Q4651" i="1"/>
  <c r="N4651" i="1"/>
  <c r="J4651" i="1"/>
  <c r="I4651" i="1"/>
  <c r="H4651" i="1"/>
  <c r="G4651" i="1"/>
  <c r="F4651" i="1"/>
  <c r="E4651" i="1"/>
  <c r="D4651" i="1"/>
  <c r="C4651" i="1"/>
  <c r="A4651" i="1"/>
  <c r="R4650" i="1"/>
  <c r="N4650" i="1"/>
  <c r="J4650" i="1"/>
  <c r="I4650" i="1"/>
  <c r="H4650" i="1"/>
  <c r="G4650" i="1"/>
  <c r="F4650" i="1"/>
  <c r="E4650" i="1"/>
  <c r="D4650" i="1"/>
  <c r="C4650" i="1"/>
  <c r="B4650" i="1"/>
  <c r="A4650" i="1"/>
  <c r="R4649" i="1"/>
  <c r="N4649" i="1"/>
  <c r="J4649" i="1"/>
  <c r="I4649" i="1"/>
  <c r="H4649" i="1"/>
  <c r="G4649" i="1"/>
  <c r="F4649" i="1"/>
  <c r="E4649" i="1"/>
  <c r="D4649" i="1"/>
  <c r="C4649" i="1"/>
  <c r="B4649" i="1"/>
  <c r="A4649" i="1"/>
  <c r="R4648" i="1"/>
  <c r="Q4648" i="1"/>
  <c r="N4648" i="1"/>
  <c r="J4648" i="1"/>
  <c r="I4648" i="1"/>
  <c r="H4648" i="1"/>
  <c r="G4648" i="1"/>
  <c r="F4648" i="1"/>
  <c r="E4648" i="1"/>
  <c r="D4648" i="1"/>
  <c r="C4648" i="1"/>
  <c r="B4648" i="1"/>
  <c r="A4648" i="1"/>
  <c r="R4647" i="1"/>
  <c r="N4647" i="1"/>
  <c r="J4647" i="1"/>
  <c r="I4647" i="1"/>
  <c r="H4647" i="1"/>
  <c r="G4647" i="1"/>
  <c r="F4647" i="1"/>
  <c r="E4647" i="1"/>
  <c r="D4647" i="1"/>
  <c r="C4647" i="1"/>
  <c r="B4647" i="1"/>
  <c r="A4647" i="1"/>
  <c r="R4646" i="1"/>
  <c r="Q4646" i="1"/>
  <c r="N4646" i="1"/>
  <c r="J4646" i="1"/>
  <c r="I4646" i="1"/>
  <c r="H4646" i="1"/>
  <c r="G4646" i="1"/>
  <c r="F4646" i="1"/>
  <c r="E4646" i="1"/>
  <c r="D4646" i="1"/>
  <c r="C4646" i="1"/>
  <c r="A4646" i="1"/>
  <c r="R4645" i="1"/>
  <c r="N4645" i="1"/>
  <c r="J4645" i="1"/>
  <c r="I4645" i="1"/>
  <c r="H4645" i="1"/>
  <c r="G4645" i="1"/>
  <c r="F4645" i="1"/>
  <c r="E4645" i="1"/>
  <c r="D4645" i="1"/>
  <c r="C4645" i="1"/>
  <c r="A4645" i="1"/>
  <c r="R4644" i="1"/>
  <c r="Q4644" i="1"/>
  <c r="N4644" i="1"/>
  <c r="J4644" i="1"/>
  <c r="I4644" i="1"/>
  <c r="H4644" i="1"/>
  <c r="G4644" i="1"/>
  <c r="F4644" i="1"/>
  <c r="E4644" i="1"/>
  <c r="D4644" i="1"/>
  <c r="C4644" i="1"/>
  <c r="A4644" i="1"/>
  <c r="R4643" i="1"/>
  <c r="N4643" i="1"/>
  <c r="J4643" i="1"/>
  <c r="I4643" i="1"/>
  <c r="H4643" i="1"/>
  <c r="G4643" i="1"/>
  <c r="F4643" i="1"/>
  <c r="E4643" i="1"/>
  <c r="D4643" i="1"/>
  <c r="C4643" i="1"/>
  <c r="A4643" i="1"/>
  <c r="R4642" i="1"/>
  <c r="Q4642" i="1"/>
  <c r="N4642" i="1"/>
  <c r="J4642" i="1"/>
  <c r="I4642" i="1"/>
  <c r="H4642" i="1"/>
  <c r="G4642" i="1"/>
  <c r="F4642" i="1"/>
  <c r="E4642" i="1"/>
  <c r="D4642" i="1"/>
  <c r="C4642" i="1"/>
  <c r="A4642" i="1"/>
  <c r="R4641" i="1"/>
  <c r="N4641" i="1"/>
  <c r="J4641" i="1"/>
  <c r="I4641" i="1"/>
  <c r="H4641" i="1"/>
  <c r="G4641" i="1"/>
  <c r="F4641" i="1"/>
  <c r="E4641" i="1"/>
  <c r="D4641" i="1"/>
  <c r="C4641" i="1"/>
  <c r="A4641" i="1"/>
  <c r="R4640" i="1"/>
  <c r="Q4640" i="1"/>
  <c r="N4640" i="1"/>
  <c r="J4640" i="1"/>
  <c r="I4640" i="1"/>
  <c r="H4640" i="1"/>
  <c r="G4640" i="1"/>
  <c r="F4640" i="1"/>
  <c r="E4640" i="1"/>
  <c r="D4640" i="1"/>
  <c r="C4640" i="1"/>
  <c r="A4640" i="1"/>
  <c r="R4639" i="1"/>
  <c r="N4639" i="1"/>
  <c r="J4639" i="1"/>
  <c r="I4639" i="1"/>
  <c r="H4639" i="1"/>
  <c r="G4639" i="1"/>
  <c r="F4639" i="1"/>
  <c r="E4639" i="1"/>
  <c r="D4639" i="1"/>
  <c r="C4639" i="1"/>
  <c r="A4639" i="1"/>
  <c r="R4638" i="1"/>
  <c r="Q4638" i="1"/>
  <c r="N4638" i="1"/>
  <c r="J4638" i="1"/>
  <c r="I4638" i="1"/>
  <c r="H4638" i="1"/>
  <c r="G4638" i="1"/>
  <c r="F4638" i="1"/>
  <c r="E4638" i="1"/>
  <c r="D4638" i="1"/>
  <c r="C4638" i="1"/>
  <c r="A4638" i="1"/>
  <c r="R4637" i="1"/>
  <c r="N4637" i="1"/>
  <c r="J4637" i="1"/>
  <c r="I4637" i="1"/>
  <c r="H4637" i="1"/>
  <c r="G4637" i="1"/>
  <c r="F4637" i="1"/>
  <c r="E4637" i="1"/>
  <c r="D4637" i="1"/>
  <c r="C4637" i="1"/>
  <c r="A4637" i="1"/>
  <c r="R4636" i="1"/>
  <c r="Q4636" i="1"/>
  <c r="N4636" i="1"/>
  <c r="J4636" i="1"/>
  <c r="I4636" i="1"/>
  <c r="H4636" i="1"/>
  <c r="G4636" i="1"/>
  <c r="F4636" i="1"/>
  <c r="E4636" i="1"/>
  <c r="D4636" i="1"/>
  <c r="C4636" i="1"/>
  <c r="A4636" i="1"/>
  <c r="R4635" i="1"/>
  <c r="N4635" i="1"/>
  <c r="J4635" i="1"/>
  <c r="I4635" i="1"/>
  <c r="H4635" i="1"/>
  <c r="G4635" i="1"/>
  <c r="F4635" i="1"/>
  <c r="E4635" i="1"/>
  <c r="D4635" i="1"/>
  <c r="C4635" i="1"/>
  <c r="A4635" i="1"/>
  <c r="R4634" i="1"/>
  <c r="Q4634" i="1"/>
  <c r="N4634" i="1"/>
  <c r="J4634" i="1"/>
  <c r="I4634" i="1"/>
  <c r="H4634" i="1"/>
  <c r="G4634" i="1"/>
  <c r="F4634" i="1"/>
  <c r="E4634" i="1"/>
  <c r="D4634" i="1"/>
  <c r="C4634" i="1"/>
  <c r="A4634" i="1"/>
  <c r="R4633" i="1"/>
  <c r="N4633" i="1"/>
  <c r="J4633" i="1"/>
  <c r="I4633" i="1"/>
  <c r="H4633" i="1"/>
  <c r="G4633" i="1"/>
  <c r="F4633" i="1"/>
  <c r="E4633" i="1"/>
  <c r="D4633" i="1"/>
  <c r="C4633" i="1"/>
  <c r="A4633" i="1"/>
  <c r="R4632" i="1"/>
  <c r="Q4632" i="1"/>
  <c r="N4632" i="1"/>
  <c r="J4632" i="1"/>
  <c r="I4632" i="1"/>
  <c r="H4632" i="1"/>
  <c r="G4632" i="1"/>
  <c r="F4632" i="1"/>
  <c r="E4632" i="1"/>
  <c r="D4632" i="1"/>
  <c r="C4632" i="1"/>
  <c r="A4632" i="1"/>
  <c r="R4631" i="1"/>
  <c r="Q4631" i="1"/>
  <c r="N4631" i="1"/>
  <c r="J4631" i="1"/>
  <c r="I4631" i="1"/>
  <c r="H4631" i="1"/>
  <c r="G4631" i="1"/>
  <c r="F4631" i="1"/>
  <c r="E4631" i="1"/>
  <c r="D4631" i="1"/>
  <c r="C4631" i="1"/>
  <c r="A4631" i="1"/>
  <c r="R4630" i="1"/>
  <c r="Q4630" i="1"/>
  <c r="N4630" i="1"/>
  <c r="J4630" i="1"/>
  <c r="I4630" i="1"/>
  <c r="H4630" i="1"/>
  <c r="G4630" i="1"/>
  <c r="F4630" i="1"/>
  <c r="E4630" i="1"/>
  <c r="D4630" i="1"/>
  <c r="C4630" i="1"/>
  <c r="A4630" i="1"/>
  <c r="R4629" i="1"/>
  <c r="N4629" i="1"/>
  <c r="J4629" i="1"/>
  <c r="I4629" i="1"/>
  <c r="H4629" i="1"/>
  <c r="G4629" i="1"/>
  <c r="F4629" i="1"/>
  <c r="E4629" i="1"/>
  <c r="D4629" i="1"/>
  <c r="C4629" i="1"/>
  <c r="A4629" i="1"/>
  <c r="R4628" i="1"/>
  <c r="Q4628" i="1"/>
  <c r="N4628" i="1"/>
  <c r="J4628" i="1"/>
  <c r="I4628" i="1"/>
  <c r="H4628" i="1"/>
  <c r="G4628" i="1"/>
  <c r="F4628" i="1"/>
  <c r="E4628" i="1"/>
  <c r="D4628" i="1"/>
  <c r="C4628" i="1"/>
  <c r="A4628" i="1"/>
  <c r="R4627" i="1"/>
  <c r="N4627" i="1"/>
  <c r="J4627" i="1"/>
  <c r="I4627" i="1"/>
  <c r="H4627" i="1"/>
  <c r="G4627" i="1"/>
  <c r="F4627" i="1"/>
  <c r="E4627" i="1"/>
  <c r="D4627" i="1"/>
  <c r="C4627" i="1"/>
  <c r="A4627" i="1"/>
  <c r="R4626" i="1"/>
  <c r="Q4626" i="1"/>
  <c r="N4626" i="1"/>
  <c r="J4626" i="1"/>
  <c r="I4626" i="1"/>
  <c r="H4626" i="1"/>
  <c r="G4626" i="1"/>
  <c r="F4626" i="1"/>
  <c r="E4626" i="1"/>
  <c r="D4626" i="1"/>
  <c r="C4626" i="1"/>
  <c r="A4626" i="1"/>
  <c r="R4625" i="1"/>
  <c r="N4625" i="1"/>
  <c r="J4625" i="1"/>
  <c r="I4625" i="1"/>
  <c r="H4625" i="1"/>
  <c r="G4625" i="1"/>
  <c r="F4625" i="1"/>
  <c r="E4625" i="1"/>
  <c r="D4625" i="1"/>
  <c r="C4625" i="1"/>
  <c r="A4625" i="1"/>
  <c r="R4624" i="1"/>
  <c r="Q4624" i="1"/>
  <c r="N4624" i="1"/>
  <c r="J4624" i="1"/>
  <c r="I4624" i="1"/>
  <c r="H4624" i="1"/>
  <c r="G4624" i="1"/>
  <c r="F4624" i="1"/>
  <c r="E4624" i="1"/>
  <c r="D4624" i="1"/>
  <c r="C4624" i="1"/>
  <c r="A4624" i="1"/>
  <c r="R4623" i="1"/>
  <c r="N4623" i="1"/>
  <c r="J4623" i="1"/>
  <c r="I4623" i="1"/>
  <c r="H4623" i="1"/>
  <c r="G4623" i="1"/>
  <c r="F4623" i="1"/>
  <c r="E4623" i="1"/>
  <c r="D4623" i="1"/>
  <c r="C4623" i="1"/>
  <c r="A4623" i="1"/>
  <c r="R4622" i="1"/>
  <c r="Q4622" i="1"/>
  <c r="N4622" i="1"/>
  <c r="J4622" i="1"/>
  <c r="I4622" i="1"/>
  <c r="H4622" i="1"/>
  <c r="G4622" i="1"/>
  <c r="F4622" i="1"/>
  <c r="E4622" i="1"/>
  <c r="D4622" i="1"/>
  <c r="C4622" i="1"/>
  <c r="A4622" i="1"/>
  <c r="R4621" i="1"/>
  <c r="N4621" i="1"/>
  <c r="J4621" i="1"/>
  <c r="I4621" i="1"/>
  <c r="H4621" i="1"/>
  <c r="G4621" i="1"/>
  <c r="F4621" i="1"/>
  <c r="E4621" i="1"/>
  <c r="D4621" i="1"/>
  <c r="C4621" i="1"/>
  <c r="A4621" i="1"/>
  <c r="R4620" i="1"/>
  <c r="Q4620" i="1"/>
  <c r="N4620" i="1"/>
  <c r="J4620" i="1"/>
  <c r="I4620" i="1"/>
  <c r="H4620" i="1"/>
  <c r="G4620" i="1"/>
  <c r="F4620" i="1"/>
  <c r="E4620" i="1"/>
  <c r="D4620" i="1"/>
  <c r="C4620" i="1"/>
  <c r="A4620" i="1"/>
  <c r="R4619" i="1"/>
  <c r="Q4619" i="1"/>
  <c r="N4619" i="1"/>
  <c r="J4619" i="1"/>
  <c r="I4619" i="1"/>
  <c r="H4619" i="1"/>
  <c r="G4619" i="1"/>
  <c r="F4619" i="1"/>
  <c r="E4619" i="1"/>
  <c r="D4619" i="1"/>
  <c r="C4619" i="1"/>
  <c r="A4619" i="1"/>
  <c r="R4618" i="1"/>
  <c r="N4618" i="1"/>
  <c r="J4618" i="1"/>
  <c r="I4618" i="1"/>
  <c r="H4618" i="1"/>
  <c r="G4618" i="1"/>
  <c r="F4618" i="1"/>
  <c r="E4618" i="1"/>
  <c r="D4618" i="1"/>
  <c r="C4618" i="1"/>
  <c r="A4618" i="1"/>
  <c r="R4617" i="1"/>
  <c r="Q4617" i="1"/>
  <c r="N4617" i="1"/>
  <c r="J4617" i="1"/>
  <c r="I4617" i="1"/>
  <c r="H4617" i="1"/>
  <c r="G4617" i="1"/>
  <c r="F4617" i="1"/>
  <c r="E4617" i="1"/>
  <c r="D4617" i="1"/>
  <c r="C4617" i="1"/>
  <c r="A4617" i="1"/>
  <c r="R4616" i="1"/>
  <c r="Q4616" i="1"/>
  <c r="N4616" i="1"/>
  <c r="J4616" i="1"/>
  <c r="I4616" i="1"/>
  <c r="H4616" i="1"/>
  <c r="G4616" i="1"/>
  <c r="F4616" i="1"/>
  <c r="E4616" i="1"/>
  <c r="D4616" i="1"/>
  <c r="C4616" i="1"/>
  <c r="A4616" i="1"/>
  <c r="R4615" i="1"/>
  <c r="N4615" i="1"/>
  <c r="J4615" i="1"/>
  <c r="I4615" i="1"/>
  <c r="H4615" i="1"/>
  <c r="G4615" i="1"/>
  <c r="F4615" i="1"/>
  <c r="E4615" i="1"/>
  <c r="D4615" i="1"/>
  <c r="C4615" i="1"/>
  <c r="A4615" i="1"/>
  <c r="R4614" i="1"/>
  <c r="Q4614" i="1"/>
  <c r="N4614" i="1"/>
  <c r="J4614" i="1"/>
  <c r="I4614" i="1"/>
  <c r="H4614" i="1"/>
  <c r="G4614" i="1"/>
  <c r="F4614" i="1"/>
  <c r="E4614" i="1"/>
  <c r="D4614" i="1"/>
  <c r="C4614" i="1"/>
  <c r="A4614" i="1"/>
  <c r="R4613" i="1"/>
  <c r="N4613" i="1"/>
  <c r="J4613" i="1"/>
  <c r="I4613" i="1"/>
  <c r="H4613" i="1"/>
  <c r="G4613" i="1"/>
  <c r="F4613" i="1"/>
  <c r="E4613" i="1"/>
  <c r="D4613" i="1"/>
  <c r="C4613" i="1"/>
  <c r="B4613" i="1"/>
  <c r="A4613" i="1"/>
  <c r="R4612" i="1"/>
  <c r="Q4612" i="1"/>
  <c r="N4612" i="1"/>
  <c r="J4612" i="1"/>
  <c r="I4612" i="1"/>
  <c r="H4612" i="1"/>
  <c r="G4612" i="1"/>
  <c r="F4612" i="1"/>
  <c r="E4612" i="1"/>
  <c r="D4612" i="1"/>
  <c r="C4612" i="1"/>
  <c r="B4612" i="1"/>
  <c r="A4612" i="1"/>
  <c r="R4611" i="1"/>
  <c r="N4611" i="1"/>
  <c r="J4611" i="1"/>
  <c r="I4611" i="1"/>
  <c r="H4611" i="1"/>
  <c r="G4611" i="1"/>
  <c r="F4611" i="1"/>
  <c r="E4611" i="1"/>
  <c r="D4611" i="1"/>
  <c r="C4611" i="1"/>
  <c r="B4611" i="1"/>
  <c r="A4611" i="1"/>
  <c r="R4610" i="1"/>
  <c r="Q4610" i="1"/>
  <c r="N4610" i="1"/>
  <c r="J4610" i="1"/>
  <c r="I4610" i="1"/>
  <c r="H4610" i="1"/>
  <c r="G4610" i="1"/>
  <c r="F4610" i="1"/>
  <c r="E4610" i="1"/>
  <c r="D4610" i="1"/>
  <c r="C4610" i="1"/>
  <c r="B4610" i="1"/>
  <c r="A4610" i="1"/>
  <c r="R4609" i="1"/>
  <c r="N4609" i="1"/>
  <c r="J4609" i="1"/>
  <c r="I4609" i="1"/>
  <c r="H4609" i="1"/>
  <c r="G4609" i="1"/>
  <c r="F4609" i="1"/>
  <c r="E4609" i="1"/>
  <c r="D4609" i="1"/>
  <c r="C4609" i="1"/>
  <c r="B4609" i="1"/>
  <c r="A4609" i="1"/>
  <c r="R4608" i="1"/>
  <c r="Q4608" i="1"/>
  <c r="N4608" i="1"/>
  <c r="J4608" i="1"/>
  <c r="I4608" i="1"/>
  <c r="H4608" i="1"/>
  <c r="G4608" i="1"/>
  <c r="F4608" i="1"/>
  <c r="E4608" i="1"/>
  <c r="D4608" i="1"/>
  <c r="C4608" i="1"/>
  <c r="B4608" i="1"/>
  <c r="A4608" i="1"/>
  <c r="R4607" i="1"/>
  <c r="N4607" i="1"/>
  <c r="J4607" i="1"/>
  <c r="I4607" i="1"/>
  <c r="H4607" i="1"/>
  <c r="G4607" i="1"/>
  <c r="F4607" i="1"/>
  <c r="E4607" i="1"/>
  <c r="D4607" i="1"/>
  <c r="C4607" i="1"/>
  <c r="B4607" i="1"/>
  <c r="A4607" i="1"/>
  <c r="R4606" i="1"/>
  <c r="Q4606" i="1"/>
  <c r="N4606" i="1"/>
  <c r="J4606" i="1"/>
  <c r="I4606" i="1"/>
  <c r="H4606" i="1"/>
  <c r="G4606" i="1"/>
  <c r="F4606" i="1"/>
  <c r="E4606" i="1"/>
  <c r="D4606" i="1"/>
  <c r="C4606" i="1"/>
  <c r="B4606" i="1"/>
  <c r="A4606" i="1"/>
  <c r="R4605" i="1"/>
  <c r="N4605" i="1"/>
  <c r="J4605" i="1"/>
  <c r="I4605" i="1"/>
  <c r="H4605" i="1"/>
  <c r="G4605" i="1"/>
  <c r="F4605" i="1"/>
  <c r="E4605" i="1"/>
  <c r="D4605" i="1"/>
  <c r="C4605" i="1"/>
  <c r="B4605" i="1"/>
  <c r="A4605" i="1"/>
  <c r="R4604" i="1"/>
  <c r="Q4604" i="1"/>
  <c r="N4604" i="1"/>
  <c r="J4604" i="1"/>
  <c r="I4604" i="1"/>
  <c r="H4604" i="1"/>
  <c r="G4604" i="1"/>
  <c r="F4604" i="1"/>
  <c r="E4604" i="1"/>
  <c r="D4604" i="1"/>
  <c r="C4604" i="1"/>
  <c r="B4604" i="1"/>
  <c r="A4604" i="1"/>
  <c r="R4603" i="1"/>
  <c r="N4603" i="1"/>
  <c r="J4603" i="1"/>
  <c r="I4603" i="1"/>
  <c r="H4603" i="1"/>
  <c r="G4603" i="1"/>
  <c r="F4603" i="1"/>
  <c r="E4603" i="1"/>
  <c r="D4603" i="1"/>
  <c r="C4603" i="1"/>
  <c r="B4603" i="1"/>
  <c r="A4603" i="1"/>
  <c r="R4602" i="1"/>
  <c r="Q4602" i="1"/>
  <c r="N4602" i="1"/>
  <c r="J4602" i="1"/>
  <c r="I4602" i="1"/>
  <c r="H4602" i="1"/>
  <c r="G4602" i="1"/>
  <c r="F4602" i="1"/>
  <c r="E4602" i="1"/>
  <c r="D4602" i="1"/>
  <c r="C4602" i="1"/>
  <c r="B4602" i="1"/>
  <c r="A4602" i="1"/>
  <c r="R4601" i="1"/>
  <c r="N4601" i="1"/>
  <c r="J4601" i="1"/>
  <c r="I4601" i="1"/>
  <c r="H4601" i="1"/>
  <c r="G4601" i="1"/>
  <c r="F4601" i="1"/>
  <c r="E4601" i="1"/>
  <c r="D4601" i="1"/>
  <c r="C4601" i="1"/>
  <c r="B4601" i="1"/>
  <c r="A4601" i="1"/>
  <c r="R4600" i="1"/>
  <c r="Q4600" i="1"/>
  <c r="N4600" i="1"/>
  <c r="J4600" i="1"/>
  <c r="I4600" i="1"/>
  <c r="H4600" i="1"/>
  <c r="G4600" i="1"/>
  <c r="F4600" i="1"/>
  <c r="E4600" i="1"/>
  <c r="D4600" i="1"/>
  <c r="C4600" i="1"/>
  <c r="B4600" i="1"/>
  <c r="A4600" i="1"/>
  <c r="R4599" i="1"/>
  <c r="N4599" i="1"/>
  <c r="J4599" i="1"/>
  <c r="I4599" i="1"/>
  <c r="H4599" i="1"/>
  <c r="G4599" i="1"/>
  <c r="F4599" i="1"/>
  <c r="E4599" i="1"/>
  <c r="D4599" i="1"/>
  <c r="C4599" i="1"/>
  <c r="B4599" i="1"/>
  <c r="A4599" i="1"/>
  <c r="R4598" i="1"/>
  <c r="Q4598" i="1"/>
  <c r="N4598" i="1"/>
  <c r="J4598" i="1"/>
  <c r="I4598" i="1"/>
  <c r="H4598" i="1"/>
  <c r="G4598" i="1"/>
  <c r="F4598" i="1"/>
  <c r="E4598" i="1"/>
  <c r="D4598" i="1"/>
  <c r="C4598" i="1"/>
  <c r="B4598" i="1"/>
  <c r="A4598" i="1"/>
  <c r="R4597" i="1"/>
  <c r="N4597" i="1"/>
  <c r="J4597" i="1"/>
  <c r="I4597" i="1"/>
  <c r="H4597" i="1"/>
  <c r="G4597" i="1"/>
  <c r="F4597" i="1"/>
  <c r="E4597" i="1"/>
  <c r="D4597" i="1"/>
  <c r="C4597" i="1"/>
  <c r="B4597" i="1"/>
  <c r="A4597" i="1"/>
  <c r="R4596" i="1"/>
  <c r="Q4596" i="1"/>
  <c r="N4596" i="1"/>
  <c r="J4596" i="1"/>
  <c r="I4596" i="1"/>
  <c r="H4596" i="1"/>
  <c r="G4596" i="1"/>
  <c r="F4596" i="1"/>
  <c r="E4596" i="1"/>
  <c r="D4596" i="1"/>
  <c r="C4596" i="1"/>
  <c r="B4596" i="1"/>
  <c r="A4596" i="1"/>
  <c r="R4595" i="1"/>
  <c r="N4595" i="1"/>
  <c r="J4595" i="1"/>
  <c r="I4595" i="1"/>
  <c r="H4595" i="1"/>
  <c r="G4595" i="1"/>
  <c r="F4595" i="1"/>
  <c r="E4595" i="1"/>
  <c r="D4595" i="1"/>
  <c r="C4595" i="1"/>
  <c r="B4595" i="1"/>
  <c r="A4595" i="1"/>
  <c r="R4594" i="1"/>
  <c r="Q4594" i="1"/>
  <c r="N4594" i="1"/>
  <c r="J4594" i="1"/>
  <c r="I4594" i="1"/>
  <c r="H4594" i="1"/>
  <c r="G4594" i="1"/>
  <c r="F4594" i="1"/>
  <c r="E4594" i="1"/>
  <c r="D4594" i="1"/>
  <c r="C4594" i="1"/>
  <c r="B4594" i="1"/>
  <c r="A4594" i="1"/>
  <c r="R4593" i="1"/>
  <c r="N4593" i="1"/>
  <c r="J4593" i="1"/>
  <c r="I4593" i="1"/>
  <c r="H4593" i="1"/>
  <c r="G4593" i="1"/>
  <c r="F4593" i="1"/>
  <c r="E4593" i="1"/>
  <c r="D4593" i="1"/>
  <c r="C4593" i="1"/>
  <c r="B4593" i="1"/>
  <c r="A4593" i="1"/>
  <c r="R4592" i="1"/>
  <c r="Q4592" i="1"/>
  <c r="N4592" i="1"/>
  <c r="J4592" i="1"/>
  <c r="I4592" i="1"/>
  <c r="H4592" i="1"/>
  <c r="G4592" i="1"/>
  <c r="F4592" i="1"/>
  <c r="E4592" i="1"/>
  <c r="D4592" i="1"/>
  <c r="C4592" i="1"/>
  <c r="B4592" i="1"/>
  <c r="A4592" i="1"/>
  <c r="R4591" i="1"/>
  <c r="N4591" i="1"/>
  <c r="J4591" i="1"/>
  <c r="I4591" i="1"/>
  <c r="H4591" i="1"/>
  <c r="G4591" i="1"/>
  <c r="F4591" i="1"/>
  <c r="E4591" i="1"/>
  <c r="D4591" i="1"/>
  <c r="C4591" i="1"/>
  <c r="B4591" i="1"/>
  <c r="A4591" i="1"/>
  <c r="R4590" i="1"/>
  <c r="Q4590" i="1"/>
  <c r="N4590" i="1"/>
  <c r="J4590" i="1"/>
  <c r="I4590" i="1"/>
  <c r="H4590" i="1"/>
  <c r="G4590" i="1"/>
  <c r="F4590" i="1"/>
  <c r="E4590" i="1"/>
  <c r="D4590" i="1"/>
  <c r="C4590" i="1"/>
  <c r="B4590" i="1"/>
  <c r="A4590" i="1"/>
  <c r="R4589" i="1"/>
  <c r="N4589" i="1"/>
  <c r="J4589" i="1"/>
  <c r="I4589" i="1"/>
  <c r="H4589" i="1"/>
  <c r="G4589" i="1"/>
  <c r="F4589" i="1"/>
  <c r="E4589" i="1"/>
  <c r="D4589" i="1"/>
  <c r="C4589" i="1"/>
  <c r="B4589" i="1"/>
  <c r="A4589" i="1"/>
  <c r="R4588" i="1"/>
  <c r="Q4588" i="1"/>
  <c r="N4588" i="1"/>
  <c r="J4588" i="1"/>
  <c r="I4588" i="1"/>
  <c r="H4588" i="1"/>
  <c r="G4588" i="1"/>
  <c r="F4588" i="1"/>
  <c r="E4588" i="1"/>
  <c r="D4588" i="1"/>
  <c r="C4588" i="1"/>
  <c r="B4588" i="1"/>
  <c r="A4588" i="1"/>
  <c r="R4587" i="1"/>
  <c r="N4587" i="1"/>
  <c r="J4587" i="1"/>
  <c r="I4587" i="1"/>
  <c r="H4587" i="1"/>
  <c r="G4587" i="1"/>
  <c r="F4587" i="1"/>
  <c r="E4587" i="1"/>
  <c r="D4587" i="1"/>
  <c r="C4587" i="1"/>
  <c r="B4587" i="1"/>
  <c r="A4587" i="1"/>
  <c r="R4586" i="1"/>
  <c r="Q4586" i="1"/>
  <c r="N4586" i="1"/>
  <c r="J4586" i="1"/>
  <c r="I4586" i="1"/>
  <c r="H4586" i="1"/>
  <c r="G4586" i="1"/>
  <c r="F4586" i="1"/>
  <c r="E4586" i="1"/>
  <c r="D4586" i="1"/>
  <c r="C4586" i="1"/>
  <c r="A4586" i="1"/>
  <c r="R4585" i="1"/>
  <c r="N4585" i="1"/>
  <c r="J4585" i="1"/>
  <c r="I4585" i="1"/>
  <c r="H4585" i="1"/>
  <c r="G4585" i="1"/>
  <c r="F4585" i="1"/>
  <c r="E4585" i="1"/>
  <c r="D4585" i="1"/>
  <c r="C4585" i="1"/>
  <c r="B4585" i="1"/>
  <c r="A4585" i="1"/>
  <c r="R4584" i="1"/>
  <c r="N4584" i="1"/>
  <c r="J4584" i="1"/>
  <c r="I4584" i="1"/>
  <c r="H4584" i="1"/>
  <c r="G4584" i="1"/>
  <c r="F4584" i="1"/>
  <c r="E4584" i="1"/>
  <c r="D4584" i="1"/>
  <c r="C4584" i="1"/>
  <c r="B4584" i="1"/>
  <c r="A4584" i="1"/>
  <c r="R4583" i="1"/>
  <c r="N4583" i="1"/>
  <c r="J4583" i="1"/>
  <c r="I4583" i="1"/>
  <c r="H4583" i="1"/>
  <c r="G4583" i="1"/>
  <c r="F4583" i="1"/>
  <c r="E4583" i="1"/>
  <c r="D4583" i="1"/>
  <c r="C4583" i="1"/>
  <c r="B4583" i="1"/>
  <c r="A4583" i="1"/>
  <c r="R4582" i="1"/>
  <c r="N4582" i="1"/>
  <c r="J4582" i="1"/>
  <c r="I4582" i="1"/>
  <c r="H4582" i="1"/>
  <c r="G4582" i="1"/>
  <c r="F4582" i="1"/>
  <c r="E4582" i="1"/>
  <c r="D4582" i="1"/>
  <c r="C4582" i="1"/>
  <c r="B4582" i="1"/>
  <c r="A4582" i="1"/>
  <c r="R4581" i="1"/>
  <c r="N4581" i="1"/>
  <c r="J4581" i="1"/>
  <c r="I4581" i="1"/>
  <c r="H4581" i="1"/>
  <c r="G4581" i="1"/>
  <c r="F4581" i="1"/>
  <c r="E4581" i="1"/>
  <c r="D4581" i="1"/>
  <c r="C4581" i="1"/>
  <c r="B4581" i="1"/>
  <c r="A4581" i="1"/>
  <c r="R4580" i="1"/>
  <c r="N4580" i="1"/>
  <c r="J4580" i="1"/>
  <c r="I4580" i="1"/>
  <c r="H4580" i="1"/>
  <c r="G4580" i="1"/>
  <c r="F4580" i="1"/>
  <c r="E4580" i="1"/>
  <c r="D4580" i="1"/>
  <c r="C4580" i="1"/>
  <c r="B4580" i="1"/>
  <c r="A4580" i="1"/>
  <c r="R4579" i="1"/>
  <c r="N4579" i="1"/>
  <c r="J4579" i="1"/>
  <c r="I4579" i="1"/>
  <c r="H4579" i="1"/>
  <c r="G4579" i="1"/>
  <c r="F4579" i="1"/>
  <c r="E4579" i="1"/>
  <c r="D4579" i="1"/>
  <c r="C4579" i="1"/>
  <c r="B4579" i="1"/>
  <c r="A4579" i="1"/>
  <c r="R4578" i="1"/>
  <c r="N4578" i="1"/>
  <c r="J4578" i="1"/>
  <c r="I4578" i="1"/>
  <c r="H4578" i="1"/>
  <c r="G4578" i="1"/>
  <c r="F4578" i="1"/>
  <c r="E4578" i="1"/>
  <c r="D4578" i="1"/>
  <c r="C4578" i="1"/>
  <c r="B4578" i="1"/>
  <c r="A4578" i="1"/>
  <c r="R4577" i="1"/>
  <c r="Q4577" i="1"/>
  <c r="N4577" i="1"/>
  <c r="J4577" i="1"/>
  <c r="I4577" i="1"/>
  <c r="H4577" i="1"/>
  <c r="G4577" i="1"/>
  <c r="F4577" i="1"/>
  <c r="E4577" i="1"/>
  <c r="D4577" i="1"/>
  <c r="C4577" i="1"/>
  <c r="A4577" i="1"/>
  <c r="R4576" i="1"/>
  <c r="N4576" i="1"/>
  <c r="J4576" i="1"/>
  <c r="I4576" i="1"/>
  <c r="H4576" i="1"/>
  <c r="G4576" i="1"/>
  <c r="F4576" i="1"/>
  <c r="E4576" i="1"/>
  <c r="D4576" i="1"/>
  <c r="C4576" i="1"/>
  <c r="A4576" i="1"/>
  <c r="R4575" i="1"/>
  <c r="Q4575" i="1"/>
  <c r="N4575" i="1"/>
  <c r="J4575" i="1"/>
  <c r="I4575" i="1"/>
  <c r="H4575" i="1"/>
  <c r="G4575" i="1"/>
  <c r="F4575" i="1"/>
  <c r="E4575" i="1"/>
  <c r="D4575" i="1"/>
  <c r="C4575" i="1"/>
  <c r="A4575" i="1"/>
  <c r="R4574" i="1"/>
  <c r="N4574" i="1"/>
  <c r="J4574" i="1"/>
  <c r="I4574" i="1"/>
  <c r="H4574" i="1"/>
  <c r="G4574" i="1"/>
  <c r="F4574" i="1"/>
  <c r="E4574" i="1"/>
  <c r="D4574" i="1"/>
  <c r="C4574" i="1"/>
  <c r="A4574" i="1"/>
  <c r="R4573" i="1"/>
  <c r="Q4573" i="1"/>
  <c r="N4573" i="1"/>
  <c r="J4573" i="1"/>
  <c r="I4573" i="1"/>
  <c r="H4573" i="1"/>
  <c r="G4573" i="1"/>
  <c r="F4573" i="1"/>
  <c r="E4573" i="1"/>
  <c r="D4573" i="1"/>
  <c r="C4573" i="1"/>
  <c r="A4573" i="1"/>
  <c r="R4572" i="1"/>
  <c r="N4572" i="1"/>
  <c r="J4572" i="1"/>
  <c r="I4572" i="1"/>
  <c r="H4572" i="1"/>
  <c r="G4572" i="1"/>
  <c r="F4572" i="1"/>
  <c r="E4572" i="1"/>
  <c r="D4572" i="1"/>
  <c r="C4572" i="1"/>
  <c r="A4572" i="1"/>
  <c r="R4571" i="1"/>
  <c r="Q4571" i="1"/>
  <c r="N4571" i="1"/>
  <c r="J4571" i="1"/>
  <c r="I4571" i="1"/>
  <c r="H4571" i="1"/>
  <c r="G4571" i="1"/>
  <c r="F4571" i="1"/>
  <c r="E4571" i="1"/>
  <c r="D4571" i="1"/>
  <c r="C4571" i="1"/>
  <c r="A4571" i="1"/>
  <c r="R4570" i="1"/>
  <c r="N4570" i="1"/>
  <c r="J4570" i="1"/>
  <c r="I4570" i="1"/>
  <c r="H4570" i="1"/>
  <c r="G4570" i="1"/>
  <c r="F4570" i="1"/>
  <c r="E4570" i="1"/>
  <c r="D4570" i="1"/>
  <c r="C4570" i="1"/>
  <c r="A4570" i="1"/>
  <c r="R4569" i="1"/>
  <c r="Q4569" i="1"/>
  <c r="N4569" i="1"/>
  <c r="J4569" i="1"/>
  <c r="I4569" i="1"/>
  <c r="H4569" i="1"/>
  <c r="G4569" i="1"/>
  <c r="F4569" i="1"/>
  <c r="E4569" i="1"/>
  <c r="D4569" i="1"/>
  <c r="C4569" i="1"/>
  <c r="A4569" i="1"/>
  <c r="R4568" i="1"/>
  <c r="N4568" i="1"/>
  <c r="J4568" i="1"/>
  <c r="I4568" i="1"/>
  <c r="H4568" i="1"/>
  <c r="G4568" i="1"/>
  <c r="F4568" i="1"/>
  <c r="E4568" i="1"/>
  <c r="D4568" i="1"/>
  <c r="C4568" i="1"/>
  <c r="A4568" i="1"/>
  <c r="R4567" i="1"/>
  <c r="Q4567" i="1"/>
  <c r="N4567" i="1"/>
  <c r="J4567" i="1"/>
  <c r="I4567" i="1"/>
  <c r="H4567" i="1"/>
  <c r="G4567" i="1"/>
  <c r="F4567" i="1"/>
  <c r="E4567" i="1"/>
  <c r="D4567" i="1"/>
  <c r="C4567" i="1"/>
  <c r="A4567" i="1"/>
  <c r="R4566" i="1"/>
  <c r="N4566" i="1"/>
  <c r="J4566" i="1"/>
  <c r="I4566" i="1"/>
  <c r="H4566" i="1"/>
  <c r="G4566" i="1"/>
  <c r="F4566" i="1"/>
  <c r="E4566" i="1"/>
  <c r="D4566" i="1"/>
  <c r="C4566" i="1"/>
  <c r="A4566" i="1"/>
  <c r="R4565" i="1"/>
  <c r="Q4565" i="1"/>
  <c r="N4565" i="1"/>
  <c r="J4565" i="1"/>
  <c r="I4565" i="1"/>
  <c r="H4565" i="1"/>
  <c r="G4565" i="1"/>
  <c r="F4565" i="1"/>
  <c r="E4565" i="1"/>
  <c r="D4565" i="1"/>
  <c r="C4565" i="1"/>
  <c r="A4565" i="1"/>
  <c r="R4564" i="1"/>
  <c r="Q4564" i="1"/>
  <c r="N4564" i="1"/>
  <c r="J4564" i="1"/>
  <c r="I4564" i="1"/>
  <c r="H4564" i="1"/>
  <c r="G4564" i="1"/>
  <c r="F4564" i="1"/>
  <c r="E4564" i="1"/>
  <c r="D4564" i="1"/>
  <c r="C4564" i="1"/>
  <c r="A4564" i="1"/>
  <c r="R4563" i="1"/>
  <c r="Q4563" i="1"/>
  <c r="N4563" i="1"/>
  <c r="J4563" i="1"/>
  <c r="I4563" i="1"/>
  <c r="H4563" i="1"/>
  <c r="G4563" i="1"/>
  <c r="F4563" i="1"/>
  <c r="E4563" i="1"/>
  <c r="D4563" i="1"/>
  <c r="C4563" i="1"/>
  <c r="A4563" i="1"/>
  <c r="R4562" i="1"/>
  <c r="Q4562" i="1"/>
  <c r="N4562" i="1"/>
  <c r="J4562" i="1"/>
  <c r="I4562" i="1"/>
  <c r="H4562" i="1"/>
  <c r="G4562" i="1"/>
  <c r="F4562" i="1"/>
  <c r="E4562" i="1"/>
  <c r="D4562" i="1"/>
  <c r="C4562" i="1"/>
  <c r="A4562" i="1"/>
  <c r="R4561" i="1"/>
  <c r="Q4561" i="1"/>
  <c r="N4561" i="1"/>
  <c r="J4561" i="1"/>
  <c r="I4561" i="1"/>
  <c r="H4561" i="1"/>
  <c r="G4561" i="1"/>
  <c r="F4561" i="1"/>
  <c r="E4561" i="1"/>
  <c r="D4561" i="1"/>
  <c r="C4561" i="1"/>
  <c r="A4561" i="1"/>
  <c r="R4560" i="1"/>
  <c r="Q4560" i="1"/>
  <c r="N4560" i="1"/>
  <c r="J4560" i="1"/>
  <c r="I4560" i="1"/>
  <c r="H4560" i="1"/>
  <c r="G4560" i="1"/>
  <c r="F4560" i="1"/>
  <c r="E4560" i="1"/>
  <c r="D4560" i="1"/>
  <c r="C4560" i="1"/>
  <c r="A4560" i="1"/>
  <c r="R4559" i="1"/>
  <c r="Q4559" i="1"/>
  <c r="N4559" i="1"/>
  <c r="J4559" i="1"/>
  <c r="I4559" i="1"/>
  <c r="H4559" i="1"/>
  <c r="G4559" i="1"/>
  <c r="F4559" i="1"/>
  <c r="E4559" i="1"/>
  <c r="D4559" i="1"/>
  <c r="C4559" i="1"/>
  <c r="A4559" i="1"/>
  <c r="R4558" i="1"/>
  <c r="Q4558" i="1"/>
  <c r="N4558" i="1"/>
  <c r="J4558" i="1"/>
  <c r="I4558" i="1"/>
  <c r="H4558" i="1"/>
  <c r="G4558" i="1"/>
  <c r="F4558" i="1"/>
  <c r="E4558" i="1"/>
  <c r="D4558" i="1"/>
  <c r="C4558" i="1"/>
  <c r="A4558" i="1"/>
  <c r="R4557" i="1"/>
  <c r="N4557" i="1"/>
  <c r="J4557" i="1"/>
  <c r="I4557" i="1"/>
  <c r="H4557" i="1"/>
  <c r="G4557" i="1"/>
  <c r="F4557" i="1"/>
  <c r="E4557" i="1"/>
  <c r="D4557" i="1"/>
  <c r="C4557" i="1"/>
  <c r="A4557" i="1"/>
  <c r="R4556" i="1"/>
  <c r="Q4556" i="1"/>
  <c r="N4556" i="1"/>
  <c r="J4556" i="1"/>
  <c r="I4556" i="1"/>
  <c r="H4556" i="1"/>
  <c r="G4556" i="1"/>
  <c r="F4556" i="1"/>
  <c r="E4556" i="1"/>
  <c r="D4556" i="1"/>
  <c r="C4556" i="1"/>
  <c r="A4556" i="1"/>
  <c r="R4555" i="1"/>
  <c r="Q4555" i="1"/>
  <c r="N4555" i="1"/>
  <c r="J4555" i="1"/>
  <c r="I4555" i="1"/>
  <c r="H4555" i="1"/>
  <c r="G4555" i="1"/>
  <c r="F4555" i="1"/>
  <c r="E4555" i="1"/>
  <c r="D4555" i="1"/>
  <c r="C4555" i="1"/>
  <c r="A4555" i="1"/>
  <c r="R4554" i="1"/>
  <c r="Q4554" i="1"/>
  <c r="N4554" i="1"/>
  <c r="J4554" i="1"/>
  <c r="I4554" i="1"/>
  <c r="H4554" i="1"/>
  <c r="G4554" i="1"/>
  <c r="F4554" i="1"/>
  <c r="E4554" i="1"/>
  <c r="D4554" i="1"/>
  <c r="C4554" i="1"/>
  <c r="A4554" i="1"/>
  <c r="R4553" i="1"/>
  <c r="Q4553" i="1"/>
  <c r="N4553" i="1"/>
  <c r="J4553" i="1"/>
  <c r="I4553" i="1"/>
  <c r="H4553" i="1"/>
  <c r="G4553" i="1"/>
  <c r="F4553" i="1"/>
  <c r="E4553" i="1"/>
  <c r="D4553" i="1"/>
  <c r="C4553" i="1"/>
  <c r="A4553" i="1"/>
  <c r="R4552" i="1"/>
  <c r="Q4552" i="1"/>
  <c r="N4552" i="1"/>
  <c r="J4552" i="1"/>
  <c r="I4552" i="1"/>
  <c r="H4552" i="1"/>
  <c r="G4552" i="1"/>
  <c r="F4552" i="1"/>
  <c r="E4552" i="1"/>
  <c r="D4552" i="1"/>
  <c r="C4552" i="1"/>
  <c r="A4552" i="1"/>
  <c r="R4551" i="1"/>
  <c r="Q4551" i="1"/>
  <c r="N4551" i="1"/>
  <c r="J4551" i="1"/>
  <c r="I4551" i="1"/>
  <c r="H4551" i="1"/>
  <c r="G4551" i="1"/>
  <c r="F4551" i="1"/>
  <c r="E4551" i="1"/>
  <c r="D4551" i="1"/>
  <c r="C4551" i="1"/>
  <c r="A4551" i="1"/>
  <c r="R4550" i="1"/>
  <c r="Q4550" i="1"/>
  <c r="N4550" i="1"/>
  <c r="J4550" i="1"/>
  <c r="I4550" i="1"/>
  <c r="H4550" i="1"/>
  <c r="G4550" i="1"/>
  <c r="F4550" i="1"/>
  <c r="E4550" i="1"/>
  <c r="D4550" i="1"/>
  <c r="C4550" i="1"/>
  <c r="A4550" i="1"/>
  <c r="R4549" i="1"/>
  <c r="Q4549" i="1"/>
  <c r="N4549" i="1"/>
  <c r="J4549" i="1"/>
  <c r="I4549" i="1"/>
  <c r="H4549" i="1"/>
  <c r="G4549" i="1"/>
  <c r="F4549" i="1"/>
  <c r="E4549" i="1"/>
  <c r="D4549" i="1"/>
  <c r="C4549" i="1"/>
  <c r="A4549" i="1"/>
  <c r="R4548" i="1"/>
  <c r="Q4548" i="1"/>
  <c r="N4548" i="1"/>
  <c r="J4548" i="1"/>
  <c r="I4548" i="1"/>
  <c r="H4548" i="1"/>
  <c r="G4548" i="1"/>
  <c r="F4548" i="1"/>
  <c r="E4548" i="1"/>
  <c r="D4548" i="1"/>
  <c r="C4548" i="1"/>
  <c r="A4548" i="1"/>
  <c r="R4547" i="1"/>
  <c r="Q4547" i="1"/>
  <c r="N4547" i="1"/>
  <c r="J4547" i="1"/>
  <c r="I4547" i="1"/>
  <c r="H4547" i="1"/>
  <c r="G4547" i="1"/>
  <c r="F4547" i="1"/>
  <c r="E4547" i="1"/>
  <c r="D4547" i="1"/>
  <c r="C4547" i="1"/>
  <c r="A4547" i="1"/>
  <c r="R4546" i="1"/>
  <c r="Q4546" i="1"/>
  <c r="N4546" i="1"/>
  <c r="J4546" i="1"/>
  <c r="I4546" i="1"/>
  <c r="H4546" i="1"/>
  <c r="G4546" i="1"/>
  <c r="F4546" i="1"/>
  <c r="E4546" i="1"/>
  <c r="D4546" i="1"/>
  <c r="C4546" i="1"/>
  <c r="A4546" i="1"/>
  <c r="R4545" i="1"/>
  <c r="Q4545" i="1"/>
  <c r="N4545" i="1"/>
  <c r="J4545" i="1"/>
  <c r="I4545" i="1"/>
  <c r="H4545" i="1"/>
  <c r="G4545" i="1"/>
  <c r="F4545" i="1"/>
  <c r="E4545" i="1"/>
  <c r="D4545" i="1"/>
  <c r="C4545" i="1"/>
  <c r="A4545" i="1"/>
  <c r="R4544" i="1"/>
  <c r="Q4544" i="1"/>
  <c r="N4544" i="1"/>
  <c r="J4544" i="1"/>
  <c r="I4544" i="1"/>
  <c r="H4544" i="1"/>
  <c r="G4544" i="1"/>
  <c r="F4544" i="1"/>
  <c r="E4544" i="1"/>
  <c r="D4544" i="1"/>
  <c r="C4544" i="1"/>
  <c r="A4544" i="1"/>
  <c r="R4543" i="1"/>
  <c r="Q4543" i="1"/>
  <c r="N4543" i="1"/>
  <c r="J4543" i="1"/>
  <c r="I4543" i="1"/>
  <c r="H4543" i="1"/>
  <c r="G4543" i="1"/>
  <c r="F4543" i="1"/>
  <c r="E4543" i="1"/>
  <c r="D4543" i="1"/>
  <c r="C4543" i="1"/>
  <c r="A4543" i="1"/>
  <c r="R4542" i="1"/>
  <c r="Q4542" i="1"/>
  <c r="N4542" i="1"/>
  <c r="J4542" i="1"/>
  <c r="I4542" i="1"/>
  <c r="H4542" i="1"/>
  <c r="G4542" i="1"/>
  <c r="F4542" i="1"/>
  <c r="E4542" i="1"/>
  <c r="D4542" i="1"/>
  <c r="C4542" i="1"/>
  <c r="A4542" i="1"/>
  <c r="R4541" i="1"/>
  <c r="Q4541" i="1"/>
  <c r="N4541" i="1"/>
  <c r="J4541" i="1"/>
  <c r="I4541" i="1"/>
  <c r="H4541" i="1"/>
  <c r="G4541" i="1"/>
  <c r="F4541" i="1"/>
  <c r="E4541" i="1"/>
  <c r="D4541" i="1"/>
  <c r="C4541" i="1"/>
  <c r="A4541" i="1"/>
  <c r="R4540" i="1"/>
  <c r="Q4540" i="1"/>
  <c r="N4540" i="1"/>
  <c r="J4540" i="1"/>
  <c r="I4540" i="1"/>
  <c r="H4540" i="1"/>
  <c r="G4540" i="1"/>
  <c r="F4540" i="1"/>
  <c r="E4540" i="1"/>
  <c r="D4540" i="1"/>
  <c r="C4540" i="1"/>
  <c r="A4540" i="1"/>
  <c r="R4539" i="1"/>
  <c r="Q4539" i="1"/>
  <c r="N4539" i="1"/>
  <c r="J4539" i="1"/>
  <c r="I4539" i="1"/>
  <c r="H4539" i="1"/>
  <c r="G4539" i="1"/>
  <c r="F4539" i="1"/>
  <c r="E4539" i="1"/>
  <c r="D4539" i="1"/>
  <c r="C4539" i="1"/>
  <c r="A4539" i="1"/>
  <c r="R4538" i="1"/>
  <c r="Q4538" i="1"/>
  <c r="N4538" i="1"/>
  <c r="J4538" i="1"/>
  <c r="I4538" i="1"/>
  <c r="H4538" i="1"/>
  <c r="G4538" i="1"/>
  <c r="F4538" i="1"/>
  <c r="E4538" i="1"/>
  <c r="D4538" i="1"/>
  <c r="C4538" i="1"/>
  <c r="A4538" i="1"/>
  <c r="R4537" i="1"/>
  <c r="Q4537" i="1"/>
  <c r="N4537" i="1"/>
  <c r="J4537" i="1"/>
  <c r="I4537" i="1"/>
  <c r="H4537" i="1"/>
  <c r="G4537" i="1"/>
  <c r="F4537" i="1"/>
  <c r="E4537" i="1"/>
  <c r="D4537" i="1"/>
  <c r="C4537" i="1"/>
  <c r="A4537" i="1"/>
  <c r="R4536" i="1"/>
  <c r="Q4536" i="1"/>
  <c r="N4536" i="1"/>
  <c r="J4536" i="1"/>
  <c r="I4536" i="1"/>
  <c r="H4536" i="1"/>
  <c r="G4536" i="1"/>
  <c r="F4536" i="1"/>
  <c r="E4536" i="1"/>
  <c r="D4536" i="1"/>
  <c r="C4536" i="1"/>
  <c r="A4536" i="1"/>
  <c r="R4535" i="1"/>
  <c r="Q4535" i="1"/>
  <c r="N4535" i="1"/>
  <c r="J4535" i="1"/>
  <c r="I4535" i="1"/>
  <c r="H4535" i="1"/>
  <c r="G4535" i="1"/>
  <c r="F4535" i="1"/>
  <c r="E4535" i="1"/>
  <c r="D4535" i="1"/>
  <c r="C4535" i="1"/>
  <c r="A4535" i="1"/>
  <c r="R4534" i="1"/>
  <c r="Q4534" i="1"/>
  <c r="N4534" i="1"/>
  <c r="J4534" i="1"/>
  <c r="I4534" i="1"/>
  <c r="H4534" i="1"/>
  <c r="G4534" i="1"/>
  <c r="F4534" i="1"/>
  <c r="E4534" i="1"/>
  <c r="D4534" i="1"/>
  <c r="C4534" i="1"/>
  <c r="A4534" i="1"/>
  <c r="R4533" i="1"/>
  <c r="Q4533" i="1"/>
  <c r="N4533" i="1"/>
  <c r="J4533" i="1"/>
  <c r="I4533" i="1"/>
  <c r="H4533" i="1"/>
  <c r="G4533" i="1"/>
  <c r="F4533" i="1"/>
  <c r="E4533" i="1"/>
  <c r="D4533" i="1"/>
  <c r="C4533" i="1"/>
  <c r="A4533" i="1"/>
  <c r="R4532" i="1"/>
  <c r="Q4532" i="1"/>
  <c r="N4532" i="1"/>
  <c r="J4532" i="1"/>
  <c r="I4532" i="1"/>
  <c r="H4532" i="1"/>
  <c r="G4532" i="1"/>
  <c r="F4532" i="1"/>
  <c r="E4532" i="1"/>
  <c r="D4532" i="1"/>
  <c r="C4532" i="1"/>
  <c r="A4532" i="1"/>
  <c r="R4531" i="1"/>
  <c r="Q4531" i="1"/>
  <c r="N4531" i="1"/>
  <c r="J4531" i="1"/>
  <c r="I4531" i="1"/>
  <c r="H4531" i="1"/>
  <c r="G4531" i="1"/>
  <c r="F4531" i="1"/>
  <c r="E4531" i="1"/>
  <c r="D4531" i="1"/>
  <c r="C4531" i="1"/>
  <c r="A4531" i="1"/>
  <c r="R4530" i="1"/>
  <c r="Q4530" i="1"/>
  <c r="N4530" i="1"/>
  <c r="J4530" i="1"/>
  <c r="I4530" i="1"/>
  <c r="H4530" i="1"/>
  <c r="G4530" i="1"/>
  <c r="F4530" i="1"/>
  <c r="E4530" i="1"/>
  <c r="D4530" i="1"/>
  <c r="C4530" i="1"/>
  <c r="A4530" i="1"/>
  <c r="R4529" i="1"/>
  <c r="Q4529" i="1"/>
  <c r="N4529" i="1"/>
  <c r="J4529" i="1"/>
  <c r="I4529" i="1"/>
  <c r="H4529" i="1"/>
  <c r="G4529" i="1"/>
  <c r="F4529" i="1"/>
  <c r="E4529" i="1"/>
  <c r="D4529" i="1"/>
  <c r="C4529" i="1"/>
  <c r="A4529" i="1"/>
  <c r="R4528" i="1"/>
  <c r="Q4528" i="1"/>
  <c r="N4528" i="1"/>
  <c r="J4528" i="1"/>
  <c r="I4528" i="1"/>
  <c r="H4528" i="1"/>
  <c r="G4528" i="1"/>
  <c r="F4528" i="1"/>
  <c r="E4528" i="1"/>
  <c r="D4528" i="1"/>
  <c r="C4528" i="1"/>
  <c r="A4528" i="1"/>
  <c r="R4527" i="1"/>
  <c r="Q4527" i="1"/>
  <c r="N4527" i="1"/>
  <c r="J4527" i="1"/>
  <c r="I4527" i="1"/>
  <c r="H4527" i="1"/>
  <c r="G4527" i="1"/>
  <c r="F4527" i="1"/>
  <c r="E4527" i="1"/>
  <c r="D4527" i="1"/>
  <c r="C4527" i="1"/>
  <c r="A4527" i="1"/>
  <c r="R4526" i="1"/>
  <c r="Q4526" i="1"/>
  <c r="N4526" i="1"/>
  <c r="J4526" i="1"/>
  <c r="I4526" i="1"/>
  <c r="H4526" i="1"/>
  <c r="G4526" i="1"/>
  <c r="F4526" i="1"/>
  <c r="E4526" i="1"/>
  <c r="D4526" i="1"/>
  <c r="C4526" i="1"/>
  <c r="A4526" i="1"/>
  <c r="R4525" i="1"/>
  <c r="Q4525" i="1"/>
  <c r="N4525" i="1"/>
  <c r="J4525" i="1"/>
  <c r="I4525" i="1"/>
  <c r="H4525" i="1"/>
  <c r="G4525" i="1"/>
  <c r="F4525" i="1"/>
  <c r="E4525" i="1"/>
  <c r="D4525" i="1"/>
  <c r="C4525" i="1"/>
  <c r="A4525" i="1"/>
  <c r="R4524" i="1"/>
  <c r="Q4524" i="1"/>
  <c r="N4524" i="1"/>
  <c r="J4524" i="1"/>
  <c r="I4524" i="1"/>
  <c r="H4524" i="1"/>
  <c r="G4524" i="1"/>
  <c r="F4524" i="1"/>
  <c r="E4524" i="1"/>
  <c r="D4524" i="1"/>
  <c r="C4524" i="1"/>
  <c r="A4524" i="1"/>
  <c r="R4523" i="1"/>
  <c r="Q4523" i="1"/>
  <c r="N4523" i="1"/>
  <c r="J4523" i="1"/>
  <c r="I4523" i="1"/>
  <c r="H4523" i="1"/>
  <c r="G4523" i="1"/>
  <c r="F4523" i="1"/>
  <c r="E4523" i="1"/>
  <c r="D4523" i="1"/>
  <c r="C4523" i="1"/>
  <c r="A4523" i="1"/>
  <c r="R4522" i="1"/>
  <c r="Q4522" i="1"/>
  <c r="N4522" i="1"/>
  <c r="J4522" i="1"/>
  <c r="I4522" i="1"/>
  <c r="H4522" i="1"/>
  <c r="G4522" i="1"/>
  <c r="F4522" i="1"/>
  <c r="E4522" i="1"/>
  <c r="D4522" i="1"/>
  <c r="C4522" i="1"/>
  <c r="A4522" i="1"/>
  <c r="R4521" i="1"/>
  <c r="Q4521" i="1"/>
  <c r="N4521" i="1"/>
  <c r="J4521" i="1"/>
  <c r="I4521" i="1"/>
  <c r="H4521" i="1"/>
  <c r="G4521" i="1"/>
  <c r="F4521" i="1"/>
  <c r="E4521" i="1"/>
  <c r="D4521" i="1"/>
  <c r="C4521" i="1"/>
  <c r="A4521" i="1"/>
  <c r="R4520" i="1"/>
  <c r="Q4520" i="1"/>
  <c r="N4520" i="1"/>
  <c r="J4520" i="1"/>
  <c r="I4520" i="1"/>
  <c r="H4520" i="1"/>
  <c r="G4520" i="1"/>
  <c r="F4520" i="1"/>
  <c r="E4520" i="1"/>
  <c r="D4520" i="1"/>
  <c r="C4520" i="1"/>
  <c r="A4520" i="1"/>
  <c r="R4519" i="1"/>
  <c r="Q4519" i="1"/>
  <c r="N4519" i="1"/>
  <c r="J4519" i="1"/>
  <c r="I4519" i="1"/>
  <c r="H4519" i="1"/>
  <c r="G4519" i="1"/>
  <c r="F4519" i="1"/>
  <c r="E4519" i="1"/>
  <c r="D4519" i="1"/>
  <c r="C4519" i="1"/>
  <c r="A4519" i="1"/>
  <c r="R4518" i="1"/>
  <c r="Q4518" i="1"/>
  <c r="N4518" i="1"/>
  <c r="J4518" i="1"/>
  <c r="I4518" i="1"/>
  <c r="H4518" i="1"/>
  <c r="G4518" i="1"/>
  <c r="F4518" i="1"/>
  <c r="E4518" i="1"/>
  <c r="D4518" i="1"/>
  <c r="C4518" i="1"/>
  <c r="A4518" i="1"/>
  <c r="R4517" i="1"/>
  <c r="Q4517" i="1"/>
  <c r="N4517" i="1"/>
  <c r="J4517" i="1"/>
  <c r="I4517" i="1"/>
  <c r="H4517" i="1"/>
  <c r="G4517" i="1"/>
  <c r="F4517" i="1"/>
  <c r="E4517" i="1"/>
  <c r="D4517" i="1"/>
  <c r="C4517" i="1"/>
  <c r="A4517" i="1"/>
  <c r="R4516" i="1"/>
  <c r="Q4516" i="1"/>
  <c r="N4516" i="1"/>
  <c r="J4516" i="1"/>
  <c r="I4516" i="1"/>
  <c r="H4516" i="1"/>
  <c r="G4516" i="1"/>
  <c r="F4516" i="1"/>
  <c r="E4516" i="1"/>
  <c r="D4516" i="1"/>
  <c r="C4516" i="1"/>
  <c r="A4516" i="1"/>
  <c r="R4515" i="1"/>
  <c r="Q4515" i="1"/>
  <c r="N4515" i="1"/>
  <c r="J4515" i="1"/>
  <c r="I4515" i="1"/>
  <c r="H4515" i="1"/>
  <c r="G4515" i="1"/>
  <c r="F4515" i="1"/>
  <c r="E4515" i="1"/>
  <c r="D4515" i="1"/>
  <c r="C4515" i="1"/>
  <c r="A4515" i="1"/>
  <c r="R4514" i="1"/>
  <c r="Q4514" i="1"/>
  <c r="N4514" i="1"/>
  <c r="J4514" i="1"/>
  <c r="I4514" i="1"/>
  <c r="H4514" i="1"/>
  <c r="G4514" i="1"/>
  <c r="F4514" i="1"/>
  <c r="E4514" i="1"/>
  <c r="D4514" i="1"/>
  <c r="C4514" i="1"/>
  <c r="A4514" i="1"/>
  <c r="R4513" i="1"/>
  <c r="Q4513" i="1"/>
  <c r="N4513" i="1"/>
  <c r="J4513" i="1"/>
  <c r="I4513" i="1"/>
  <c r="H4513" i="1"/>
  <c r="G4513" i="1"/>
  <c r="F4513" i="1"/>
  <c r="E4513" i="1"/>
  <c r="D4513" i="1"/>
  <c r="C4513" i="1"/>
  <c r="A4513" i="1"/>
  <c r="R4512" i="1"/>
  <c r="Q4512" i="1"/>
  <c r="N4512" i="1"/>
  <c r="J4512" i="1"/>
  <c r="I4512" i="1"/>
  <c r="H4512" i="1"/>
  <c r="G4512" i="1"/>
  <c r="F4512" i="1"/>
  <c r="E4512" i="1"/>
  <c r="D4512" i="1"/>
  <c r="C4512" i="1"/>
  <c r="A4512" i="1"/>
  <c r="R4511" i="1"/>
  <c r="Q4511" i="1"/>
  <c r="N4511" i="1"/>
  <c r="J4511" i="1"/>
  <c r="I4511" i="1"/>
  <c r="H4511" i="1"/>
  <c r="G4511" i="1"/>
  <c r="F4511" i="1"/>
  <c r="E4511" i="1"/>
  <c r="D4511" i="1"/>
  <c r="C4511" i="1"/>
  <c r="A4511" i="1"/>
  <c r="R4510" i="1"/>
  <c r="N4510" i="1"/>
  <c r="J4510" i="1"/>
  <c r="I4510" i="1"/>
  <c r="H4510" i="1"/>
  <c r="G4510" i="1"/>
  <c r="F4510" i="1"/>
  <c r="E4510" i="1"/>
  <c r="D4510" i="1"/>
  <c r="C4510" i="1"/>
  <c r="A4510" i="1"/>
  <c r="R4509" i="1"/>
  <c r="Q4509" i="1"/>
  <c r="N4509" i="1"/>
  <c r="J4509" i="1"/>
  <c r="I4509" i="1"/>
  <c r="H4509" i="1"/>
  <c r="G4509" i="1"/>
  <c r="F4509" i="1"/>
  <c r="E4509" i="1"/>
  <c r="D4509" i="1"/>
  <c r="C4509" i="1"/>
  <c r="A4509" i="1"/>
  <c r="R4508" i="1"/>
  <c r="Q4508" i="1"/>
  <c r="N4508" i="1"/>
  <c r="J4508" i="1"/>
  <c r="I4508" i="1"/>
  <c r="H4508" i="1"/>
  <c r="G4508" i="1"/>
  <c r="F4508" i="1"/>
  <c r="E4508" i="1"/>
  <c r="D4508" i="1"/>
  <c r="C4508" i="1"/>
  <c r="A4508" i="1"/>
  <c r="R4507" i="1"/>
  <c r="Q4507" i="1"/>
  <c r="N4507" i="1"/>
  <c r="J4507" i="1"/>
  <c r="I4507" i="1"/>
  <c r="H4507" i="1"/>
  <c r="G4507" i="1"/>
  <c r="F4507" i="1"/>
  <c r="E4507" i="1"/>
  <c r="D4507" i="1"/>
  <c r="C4507" i="1"/>
  <c r="A4507" i="1"/>
  <c r="R4506" i="1"/>
  <c r="Q4506" i="1"/>
  <c r="N4506" i="1"/>
  <c r="J4506" i="1"/>
  <c r="I4506" i="1"/>
  <c r="H4506" i="1"/>
  <c r="G4506" i="1"/>
  <c r="F4506" i="1"/>
  <c r="E4506" i="1"/>
  <c r="D4506" i="1"/>
  <c r="C4506" i="1"/>
  <c r="A4506" i="1"/>
  <c r="R4505" i="1"/>
  <c r="Q4505" i="1"/>
  <c r="N4505" i="1"/>
  <c r="J4505" i="1"/>
  <c r="I4505" i="1"/>
  <c r="H4505" i="1"/>
  <c r="G4505" i="1"/>
  <c r="F4505" i="1"/>
  <c r="E4505" i="1"/>
  <c r="D4505" i="1"/>
  <c r="C4505" i="1"/>
  <c r="A4505" i="1"/>
  <c r="R4504" i="1"/>
  <c r="Q4504" i="1"/>
  <c r="N4504" i="1"/>
  <c r="J4504" i="1"/>
  <c r="I4504" i="1"/>
  <c r="H4504" i="1"/>
  <c r="G4504" i="1"/>
  <c r="F4504" i="1"/>
  <c r="E4504" i="1"/>
  <c r="D4504" i="1"/>
  <c r="C4504" i="1"/>
  <c r="A4504" i="1"/>
  <c r="R4503" i="1"/>
  <c r="Q4503" i="1"/>
  <c r="N4503" i="1"/>
  <c r="J4503" i="1"/>
  <c r="I4503" i="1"/>
  <c r="H4503" i="1"/>
  <c r="G4503" i="1"/>
  <c r="F4503" i="1"/>
  <c r="E4503" i="1"/>
  <c r="D4503" i="1"/>
  <c r="C4503" i="1"/>
  <c r="A4503" i="1"/>
  <c r="R4502" i="1"/>
  <c r="Q4502" i="1"/>
  <c r="N4502" i="1"/>
  <c r="J4502" i="1"/>
  <c r="I4502" i="1"/>
  <c r="H4502" i="1"/>
  <c r="G4502" i="1"/>
  <c r="F4502" i="1"/>
  <c r="E4502" i="1"/>
  <c r="D4502" i="1"/>
  <c r="C4502" i="1"/>
  <c r="A4502" i="1"/>
  <c r="R4501" i="1"/>
  <c r="Q4501" i="1"/>
  <c r="N4501" i="1"/>
  <c r="J4501" i="1"/>
  <c r="I4501" i="1"/>
  <c r="H4501" i="1"/>
  <c r="G4501" i="1"/>
  <c r="F4501" i="1"/>
  <c r="E4501" i="1"/>
  <c r="D4501" i="1"/>
  <c r="C4501" i="1"/>
  <c r="A4501" i="1"/>
  <c r="R4500" i="1"/>
  <c r="Q4500" i="1"/>
  <c r="N4500" i="1"/>
  <c r="J4500" i="1"/>
  <c r="I4500" i="1"/>
  <c r="H4500" i="1"/>
  <c r="G4500" i="1"/>
  <c r="F4500" i="1"/>
  <c r="E4500" i="1"/>
  <c r="D4500" i="1"/>
  <c r="C4500" i="1"/>
  <c r="A4500" i="1"/>
  <c r="R4499" i="1"/>
  <c r="Q4499" i="1"/>
  <c r="N4499" i="1"/>
  <c r="J4499" i="1"/>
  <c r="I4499" i="1"/>
  <c r="H4499" i="1"/>
  <c r="G4499" i="1"/>
  <c r="F4499" i="1"/>
  <c r="E4499" i="1"/>
  <c r="D4499" i="1"/>
  <c r="C4499" i="1"/>
  <c r="A4499" i="1"/>
  <c r="R4498" i="1"/>
  <c r="N4498" i="1"/>
  <c r="J4498" i="1"/>
  <c r="I4498" i="1"/>
  <c r="H4498" i="1"/>
  <c r="G4498" i="1"/>
  <c r="F4498" i="1"/>
  <c r="E4498" i="1"/>
  <c r="D4498" i="1"/>
  <c r="C4498" i="1"/>
  <c r="B4498" i="1"/>
  <c r="A4498" i="1"/>
  <c r="R4497" i="1"/>
  <c r="Q4497" i="1"/>
  <c r="N4497" i="1"/>
  <c r="J4497" i="1"/>
  <c r="I4497" i="1"/>
  <c r="H4497" i="1"/>
  <c r="G4497" i="1"/>
  <c r="F4497" i="1"/>
  <c r="E4497" i="1"/>
  <c r="D4497" i="1"/>
  <c r="C4497" i="1"/>
  <c r="B4497" i="1"/>
  <c r="A4497" i="1"/>
  <c r="R4496" i="1"/>
  <c r="N4496" i="1"/>
  <c r="J4496" i="1"/>
  <c r="I4496" i="1"/>
  <c r="H4496" i="1"/>
  <c r="G4496" i="1"/>
  <c r="F4496" i="1"/>
  <c r="E4496" i="1"/>
  <c r="D4496" i="1"/>
  <c r="C4496" i="1"/>
  <c r="B4496" i="1"/>
  <c r="A4496" i="1"/>
  <c r="R4495" i="1"/>
  <c r="Q4495" i="1"/>
  <c r="N4495" i="1"/>
  <c r="J4495" i="1"/>
  <c r="I4495" i="1"/>
  <c r="H4495" i="1"/>
  <c r="G4495" i="1"/>
  <c r="F4495" i="1"/>
  <c r="E4495" i="1"/>
  <c r="D4495" i="1"/>
  <c r="C4495" i="1"/>
  <c r="B4495" i="1"/>
  <c r="A4495" i="1"/>
  <c r="R4494" i="1"/>
  <c r="N4494" i="1"/>
  <c r="J4494" i="1"/>
  <c r="I4494" i="1"/>
  <c r="H4494" i="1"/>
  <c r="G4494" i="1"/>
  <c r="F4494" i="1"/>
  <c r="E4494" i="1"/>
  <c r="D4494" i="1"/>
  <c r="C4494" i="1"/>
  <c r="B4494" i="1"/>
  <c r="A4494" i="1"/>
  <c r="R4493" i="1"/>
  <c r="Q4493" i="1"/>
  <c r="N4493" i="1"/>
  <c r="J4493" i="1"/>
  <c r="I4493" i="1"/>
  <c r="H4493" i="1"/>
  <c r="G4493" i="1"/>
  <c r="F4493" i="1"/>
  <c r="E4493" i="1"/>
  <c r="D4493" i="1"/>
  <c r="C4493" i="1"/>
  <c r="A4493" i="1"/>
  <c r="R4492" i="1"/>
  <c r="N4492" i="1"/>
  <c r="J4492" i="1"/>
  <c r="I4492" i="1"/>
  <c r="H4492" i="1"/>
  <c r="G4492" i="1"/>
  <c r="F4492" i="1"/>
  <c r="E4492" i="1"/>
  <c r="D4492" i="1"/>
  <c r="C4492" i="1"/>
  <c r="A4492" i="1"/>
  <c r="R4491" i="1"/>
  <c r="Q4491" i="1"/>
  <c r="N4491" i="1"/>
  <c r="J4491" i="1"/>
  <c r="I4491" i="1"/>
  <c r="H4491" i="1"/>
  <c r="G4491" i="1"/>
  <c r="F4491" i="1"/>
  <c r="E4491" i="1"/>
  <c r="D4491" i="1"/>
  <c r="C4491" i="1"/>
  <c r="A4491" i="1"/>
  <c r="R4490" i="1"/>
  <c r="N4490" i="1"/>
  <c r="J4490" i="1"/>
  <c r="I4490" i="1"/>
  <c r="H4490" i="1"/>
  <c r="G4490" i="1"/>
  <c r="F4490" i="1"/>
  <c r="E4490" i="1"/>
  <c r="D4490" i="1"/>
  <c r="C4490" i="1"/>
  <c r="B4490" i="1"/>
  <c r="A4490" i="1"/>
  <c r="R4489" i="1"/>
  <c r="Q4489" i="1"/>
  <c r="N4489" i="1"/>
  <c r="J4489" i="1"/>
  <c r="I4489" i="1"/>
  <c r="H4489" i="1"/>
  <c r="G4489" i="1"/>
  <c r="F4489" i="1"/>
  <c r="E4489" i="1"/>
  <c r="D4489" i="1"/>
  <c r="C4489" i="1"/>
  <c r="B4489" i="1"/>
  <c r="A4489" i="1"/>
  <c r="R4488" i="1"/>
  <c r="N4488" i="1"/>
  <c r="J4488" i="1"/>
  <c r="I4488" i="1"/>
  <c r="H4488" i="1"/>
  <c r="G4488" i="1"/>
  <c r="F4488" i="1"/>
  <c r="E4488" i="1"/>
  <c r="D4488" i="1"/>
  <c r="C4488" i="1"/>
  <c r="B4488" i="1"/>
  <c r="A4488" i="1"/>
  <c r="R4487" i="1"/>
  <c r="Q4487" i="1"/>
  <c r="N4487" i="1"/>
  <c r="J4487" i="1"/>
  <c r="I4487" i="1"/>
  <c r="H4487" i="1"/>
  <c r="G4487" i="1"/>
  <c r="F4487" i="1"/>
  <c r="E4487" i="1"/>
  <c r="D4487" i="1"/>
  <c r="C4487" i="1"/>
  <c r="B4487" i="1"/>
  <c r="A4487" i="1"/>
  <c r="R4486" i="1"/>
  <c r="N4486" i="1"/>
  <c r="J4486" i="1"/>
  <c r="I4486" i="1"/>
  <c r="H4486" i="1"/>
  <c r="G4486" i="1"/>
  <c r="F4486" i="1"/>
  <c r="E4486" i="1"/>
  <c r="D4486" i="1"/>
  <c r="C4486" i="1"/>
  <c r="B4486" i="1"/>
  <c r="A4486" i="1"/>
  <c r="R4485" i="1"/>
  <c r="Q4485" i="1"/>
  <c r="N4485" i="1"/>
  <c r="J4485" i="1"/>
  <c r="I4485" i="1"/>
  <c r="H4485" i="1"/>
  <c r="G4485" i="1"/>
  <c r="F4485" i="1"/>
  <c r="E4485" i="1"/>
  <c r="D4485" i="1"/>
  <c r="C4485" i="1"/>
  <c r="B4485" i="1"/>
  <c r="A4485" i="1"/>
  <c r="R4484" i="1"/>
  <c r="N4484" i="1"/>
  <c r="J4484" i="1"/>
  <c r="I4484" i="1"/>
  <c r="H4484" i="1"/>
  <c r="G4484" i="1"/>
  <c r="F4484" i="1"/>
  <c r="E4484" i="1"/>
  <c r="D4484" i="1"/>
  <c r="C4484" i="1"/>
  <c r="B4484" i="1"/>
  <c r="A4484" i="1"/>
  <c r="R4483" i="1"/>
  <c r="Q4483" i="1"/>
  <c r="N4483" i="1"/>
  <c r="J4483" i="1"/>
  <c r="I4483" i="1"/>
  <c r="H4483" i="1"/>
  <c r="G4483" i="1"/>
  <c r="F4483" i="1"/>
  <c r="E4483" i="1"/>
  <c r="D4483" i="1"/>
  <c r="C4483" i="1"/>
  <c r="B4483" i="1"/>
  <c r="A4483" i="1"/>
  <c r="R4482" i="1"/>
  <c r="N4482" i="1"/>
  <c r="J4482" i="1"/>
  <c r="I4482" i="1"/>
  <c r="H4482" i="1"/>
  <c r="G4482" i="1"/>
  <c r="F4482" i="1"/>
  <c r="E4482" i="1"/>
  <c r="D4482" i="1"/>
  <c r="C4482" i="1"/>
  <c r="B4482" i="1"/>
  <c r="A4482" i="1"/>
  <c r="R4481" i="1"/>
  <c r="N4481" i="1"/>
  <c r="J4481" i="1"/>
  <c r="I4481" i="1"/>
  <c r="H4481" i="1"/>
  <c r="G4481" i="1"/>
  <c r="F4481" i="1"/>
  <c r="E4481" i="1"/>
  <c r="D4481" i="1"/>
  <c r="C4481" i="1"/>
  <c r="B4481" i="1"/>
  <c r="A4481" i="1"/>
  <c r="R4480" i="1"/>
  <c r="N4480" i="1"/>
  <c r="J4480" i="1"/>
  <c r="I4480" i="1"/>
  <c r="H4480" i="1"/>
  <c r="G4480" i="1"/>
  <c r="F4480" i="1"/>
  <c r="E4480" i="1"/>
  <c r="D4480" i="1"/>
  <c r="C4480" i="1"/>
  <c r="B4480" i="1"/>
  <c r="A4480" i="1"/>
  <c r="R4479" i="1"/>
  <c r="Q4479" i="1"/>
  <c r="N4479" i="1"/>
  <c r="J4479" i="1"/>
  <c r="I4479" i="1"/>
  <c r="H4479" i="1"/>
  <c r="G4479" i="1"/>
  <c r="F4479" i="1"/>
  <c r="E4479" i="1"/>
  <c r="D4479" i="1"/>
  <c r="C4479" i="1"/>
  <c r="A4479" i="1"/>
  <c r="R4478" i="1"/>
  <c r="N4478" i="1"/>
  <c r="J4478" i="1"/>
  <c r="I4478" i="1"/>
  <c r="H4478" i="1"/>
  <c r="G4478" i="1"/>
  <c r="F4478" i="1"/>
  <c r="E4478" i="1"/>
  <c r="D4478" i="1"/>
  <c r="C4478" i="1"/>
  <c r="A4478" i="1"/>
  <c r="R4477" i="1"/>
  <c r="Q4477" i="1"/>
  <c r="N4477" i="1"/>
  <c r="J4477" i="1"/>
  <c r="I4477" i="1"/>
  <c r="H4477" i="1"/>
  <c r="G4477" i="1"/>
  <c r="F4477" i="1"/>
  <c r="E4477" i="1"/>
  <c r="D4477" i="1"/>
  <c r="C4477" i="1"/>
  <c r="A4477" i="1"/>
  <c r="R4476" i="1"/>
  <c r="N4476" i="1"/>
  <c r="J4476" i="1"/>
  <c r="I4476" i="1"/>
  <c r="H4476" i="1"/>
  <c r="G4476" i="1"/>
  <c r="F4476" i="1"/>
  <c r="E4476" i="1"/>
  <c r="D4476" i="1"/>
  <c r="C4476" i="1"/>
  <c r="B4476" i="1"/>
  <c r="A4476" i="1"/>
  <c r="R4475" i="1"/>
  <c r="N4475" i="1"/>
  <c r="J4475" i="1"/>
  <c r="I4475" i="1"/>
  <c r="H4475" i="1"/>
  <c r="G4475" i="1"/>
  <c r="F4475" i="1"/>
  <c r="E4475" i="1"/>
  <c r="D4475" i="1"/>
  <c r="C4475" i="1"/>
  <c r="B4475" i="1"/>
  <c r="A4475" i="1"/>
  <c r="R4474" i="1"/>
  <c r="Q4474" i="1"/>
  <c r="N4474" i="1"/>
  <c r="J4474" i="1"/>
  <c r="I4474" i="1"/>
  <c r="H4474" i="1"/>
  <c r="G4474" i="1"/>
  <c r="F4474" i="1"/>
  <c r="E4474" i="1"/>
  <c r="D4474" i="1"/>
  <c r="C4474" i="1"/>
  <c r="B4474" i="1"/>
  <c r="A4474" i="1"/>
  <c r="R4473" i="1"/>
  <c r="N4473" i="1"/>
  <c r="J4473" i="1"/>
  <c r="I4473" i="1"/>
  <c r="H4473" i="1"/>
  <c r="G4473" i="1"/>
  <c r="F4473" i="1"/>
  <c r="E4473" i="1"/>
  <c r="D4473" i="1"/>
  <c r="C4473" i="1"/>
  <c r="B4473" i="1"/>
  <c r="A4473" i="1"/>
  <c r="R4472" i="1"/>
  <c r="Q4472" i="1"/>
  <c r="N4472" i="1"/>
  <c r="J4472" i="1"/>
  <c r="I4472" i="1"/>
  <c r="H4472" i="1"/>
  <c r="G4472" i="1"/>
  <c r="F4472" i="1"/>
  <c r="E4472" i="1"/>
  <c r="D4472" i="1"/>
  <c r="C4472" i="1"/>
  <c r="B4472" i="1"/>
  <c r="A4472" i="1"/>
  <c r="R4471" i="1"/>
  <c r="N4471" i="1"/>
  <c r="J4471" i="1"/>
  <c r="I4471" i="1"/>
  <c r="H4471" i="1"/>
  <c r="G4471" i="1"/>
  <c r="F4471" i="1"/>
  <c r="E4471" i="1"/>
  <c r="D4471" i="1"/>
  <c r="C4471" i="1"/>
  <c r="B4471" i="1"/>
  <c r="A4471" i="1"/>
  <c r="R4470" i="1"/>
  <c r="Q4470" i="1"/>
  <c r="N4470" i="1"/>
  <c r="J4470" i="1"/>
  <c r="I4470" i="1"/>
  <c r="H4470" i="1"/>
  <c r="G4470" i="1"/>
  <c r="F4470" i="1"/>
  <c r="E4470" i="1"/>
  <c r="D4470" i="1"/>
  <c r="C4470" i="1"/>
  <c r="B4470" i="1"/>
  <c r="A4470" i="1"/>
  <c r="R4469" i="1"/>
  <c r="N4469" i="1"/>
  <c r="J4469" i="1"/>
  <c r="I4469" i="1"/>
  <c r="H4469" i="1"/>
  <c r="G4469" i="1"/>
  <c r="F4469" i="1"/>
  <c r="E4469" i="1"/>
  <c r="D4469" i="1"/>
  <c r="C4469" i="1"/>
  <c r="B4469" i="1"/>
  <c r="A4469" i="1"/>
  <c r="R4468" i="1"/>
  <c r="Q4468" i="1"/>
  <c r="N4468" i="1"/>
  <c r="J4468" i="1"/>
  <c r="I4468" i="1"/>
  <c r="H4468" i="1"/>
  <c r="G4468" i="1"/>
  <c r="F4468" i="1"/>
  <c r="E4468" i="1"/>
  <c r="D4468" i="1"/>
  <c r="C4468" i="1"/>
  <c r="B4468" i="1"/>
  <c r="A4468" i="1"/>
  <c r="R4467" i="1"/>
  <c r="N4467" i="1"/>
  <c r="J4467" i="1"/>
  <c r="I4467" i="1"/>
  <c r="H4467" i="1"/>
  <c r="G4467" i="1"/>
  <c r="F4467" i="1"/>
  <c r="E4467" i="1"/>
  <c r="D4467" i="1"/>
  <c r="C4467" i="1"/>
  <c r="B4467" i="1"/>
  <c r="A4467" i="1"/>
  <c r="R4466" i="1"/>
  <c r="Q4466" i="1"/>
  <c r="N4466" i="1"/>
  <c r="J4466" i="1"/>
  <c r="I4466" i="1"/>
  <c r="H4466" i="1"/>
  <c r="G4466" i="1"/>
  <c r="F4466" i="1"/>
  <c r="E4466" i="1"/>
  <c r="D4466" i="1"/>
  <c r="C4466" i="1"/>
  <c r="B4466" i="1"/>
  <c r="A4466" i="1"/>
  <c r="R4465" i="1"/>
  <c r="N4465" i="1"/>
  <c r="J4465" i="1"/>
  <c r="I4465" i="1"/>
  <c r="H4465" i="1"/>
  <c r="G4465" i="1"/>
  <c r="F4465" i="1"/>
  <c r="E4465" i="1"/>
  <c r="D4465" i="1"/>
  <c r="C4465" i="1"/>
  <c r="B4465" i="1"/>
  <c r="A4465" i="1"/>
  <c r="R4464" i="1"/>
  <c r="Q4464" i="1"/>
  <c r="N4464" i="1"/>
  <c r="J4464" i="1"/>
  <c r="I4464" i="1"/>
  <c r="H4464" i="1"/>
  <c r="G4464" i="1"/>
  <c r="F4464" i="1"/>
  <c r="E4464" i="1"/>
  <c r="D4464" i="1"/>
  <c r="C4464" i="1"/>
  <c r="B4464" i="1"/>
  <c r="A4464" i="1"/>
  <c r="R4463" i="1"/>
  <c r="N4463" i="1"/>
  <c r="J4463" i="1"/>
  <c r="I4463" i="1"/>
  <c r="H4463" i="1"/>
  <c r="G4463" i="1"/>
  <c r="F4463" i="1"/>
  <c r="E4463" i="1"/>
  <c r="D4463" i="1"/>
  <c r="C4463" i="1"/>
  <c r="B4463" i="1"/>
  <c r="A4463" i="1"/>
  <c r="R4462" i="1"/>
  <c r="Q4462" i="1"/>
  <c r="N4462" i="1"/>
  <c r="J4462" i="1"/>
  <c r="I4462" i="1"/>
  <c r="H4462" i="1"/>
  <c r="G4462" i="1"/>
  <c r="F4462" i="1"/>
  <c r="E4462" i="1"/>
  <c r="D4462" i="1"/>
  <c r="C4462" i="1"/>
  <c r="B4462" i="1"/>
  <c r="A4462" i="1"/>
  <c r="R4461" i="1"/>
  <c r="N4461" i="1"/>
  <c r="J4461" i="1"/>
  <c r="I4461" i="1"/>
  <c r="H4461" i="1"/>
  <c r="G4461" i="1"/>
  <c r="F4461" i="1"/>
  <c r="E4461" i="1"/>
  <c r="D4461" i="1"/>
  <c r="C4461" i="1"/>
  <c r="B4461" i="1"/>
  <c r="A4461" i="1"/>
  <c r="R4460" i="1"/>
  <c r="Q4460" i="1"/>
  <c r="N4460" i="1"/>
  <c r="J4460" i="1"/>
  <c r="I4460" i="1"/>
  <c r="H4460" i="1"/>
  <c r="G4460" i="1"/>
  <c r="F4460" i="1"/>
  <c r="E4460" i="1"/>
  <c r="D4460" i="1"/>
  <c r="C4460" i="1"/>
  <c r="B4460" i="1"/>
  <c r="A4460" i="1"/>
  <c r="R4459" i="1"/>
  <c r="N4459" i="1"/>
  <c r="J4459" i="1"/>
  <c r="I4459" i="1"/>
  <c r="H4459" i="1"/>
  <c r="G4459" i="1"/>
  <c r="F4459" i="1"/>
  <c r="E4459" i="1"/>
  <c r="D4459" i="1"/>
  <c r="C4459" i="1"/>
  <c r="B4459" i="1"/>
  <c r="A4459" i="1"/>
  <c r="R4458" i="1"/>
  <c r="Q4458" i="1"/>
  <c r="N4458" i="1"/>
  <c r="J4458" i="1"/>
  <c r="I4458" i="1"/>
  <c r="H4458" i="1"/>
  <c r="G4458" i="1"/>
  <c r="F4458" i="1"/>
  <c r="E4458" i="1"/>
  <c r="D4458" i="1"/>
  <c r="C4458" i="1"/>
  <c r="B4458" i="1"/>
  <c r="A4458" i="1"/>
  <c r="R4457" i="1"/>
  <c r="N4457" i="1"/>
  <c r="J4457" i="1"/>
  <c r="I4457" i="1"/>
  <c r="H4457" i="1"/>
  <c r="G4457" i="1"/>
  <c r="F4457" i="1"/>
  <c r="E4457" i="1"/>
  <c r="D4457" i="1"/>
  <c r="C4457" i="1"/>
  <c r="B4457" i="1"/>
  <c r="A4457" i="1"/>
  <c r="R4456" i="1"/>
  <c r="Q4456" i="1"/>
  <c r="N4456" i="1"/>
  <c r="J4456" i="1"/>
  <c r="I4456" i="1"/>
  <c r="H4456" i="1"/>
  <c r="G4456" i="1"/>
  <c r="F4456" i="1"/>
  <c r="E4456" i="1"/>
  <c r="D4456" i="1"/>
  <c r="C4456" i="1"/>
  <c r="B4456" i="1"/>
  <c r="A4456" i="1"/>
  <c r="R4455" i="1"/>
  <c r="N4455" i="1"/>
  <c r="J4455" i="1"/>
  <c r="I4455" i="1"/>
  <c r="H4455" i="1"/>
  <c r="G4455" i="1"/>
  <c r="F4455" i="1"/>
  <c r="E4455" i="1"/>
  <c r="D4455" i="1"/>
  <c r="C4455" i="1"/>
  <c r="B4455" i="1"/>
  <c r="A4455" i="1"/>
  <c r="R4454" i="1"/>
  <c r="Q4454" i="1"/>
  <c r="N4454" i="1"/>
  <c r="J4454" i="1"/>
  <c r="I4454" i="1"/>
  <c r="H4454" i="1"/>
  <c r="G4454" i="1"/>
  <c r="F4454" i="1"/>
  <c r="E4454" i="1"/>
  <c r="D4454" i="1"/>
  <c r="C4454" i="1"/>
  <c r="B4454" i="1"/>
  <c r="A4454" i="1"/>
  <c r="R4453" i="1"/>
  <c r="N4453" i="1"/>
  <c r="J4453" i="1"/>
  <c r="I4453" i="1"/>
  <c r="H4453" i="1"/>
  <c r="G4453" i="1"/>
  <c r="F4453" i="1"/>
  <c r="E4453" i="1"/>
  <c r="D4453" i="1"/>
  <c r="C4453" i="1"/>
  <c r="B4453" i="1"/>
  <c r="A4453" i="1"/>
  <c r="R4452" i="1"/>
  <c r="Q4452" i="1"/>
  <c r="N4452" i="1"/>
  <c r="J4452" i="1"/>
  <c r="I4452" i="1"/>
  <c r="H4452" i="1"/>
  <c r="G4452" i="1"/>
  <c r="F4452" i="1"/>
  <c r="E4452" i="1"/>
  <c r="D4452" i="1"/>
  <c r="C4452" i="1"/>
  <c r="B4452" i="1"/>
  <c r="A4452" i="1"/>
  <c r="R4451" i="1"/>
  <c r="N4451" i="1"/>
  <c r="J4451" i="1"/>
  <c r="I4451" i="1"/>
  <c r="H4451" i="1"/>
  <c r="G4451" i="1"/>
  <c r="F4451" i="1"/>
  <c r="E4451" i="1"/>
  <c r="D4451" i="1"/>
  <c r="C4451" i="1"/>
  <c r="B4451" i="1"/>
  <c r="A4451" i="1"/>
  <c r="R4450" i="1"/>
  <c r="Q4450" i="1"/>
  <c r="N4450" i="1"/>
  <c r="J4450" i="1"/>
  <c r="I4450" i="1"/>
  <c r="H4450" i="1"/>
  <c r="G4450" i="1"/>
  <c r="F4450" i="1"/>
  <c r="E4450" i="1"/>
  <c r="D4450" i="1"/>
  <c r="C4450" i="1"/>
  <c r="B4450" i="1"/>
  <c r="A4450" i="1"/>
  <c r="R4449" i="1"/>
  <c r="N4449" i="1"/>
  <c r="J4449" i="1"/>
  <c r="I4449" i="1"/>
  <c r="H4449" i="1"/>
  <c r="G4449" i="1"/>
  <c r="F4449" i="1"/>
  <c r="E4449" i="1"/>
  <c r="D4449" i="1"/>
  <c r="C4449" i="1"/>
  <c r="B4449" i="1"/>
  <c r="A4449" i="1"/>
  <c r="R4448" i="1"/>
  <c r="Q4448" i="1"/>
  <c r="N4448" i="1"/>
  <c r="J4448" i="1"/>
  <c r="I4448" i="1"/>
  <c r="H4448" i="1"/>
  <c r="G4448" i="1"/>
  <c r="F4448" i="1"/>
  <c r="E4448" i="1"/>
  <c r="D4448" i="1"/>
  <c r="C4448" i="1"/>
  <c r="B4448" i="1"/>
  <c r="A4448" i="1"/>
  <c r="R4447" i="1"/>
  <c r="N4447" i="1"/>
  <c r="J4447" i="1"/>
  <c r="I4447" i="1"/>
  <c r="H4447" i="1"/>
  <c r="G4447" i="1"/>
  <c r="F4447" i="1"/>
  <c r="E4447" i="1"/>
  <c r="D4447" i="1"/>
  <c r="C4447" i="1"/>
  <c r="B4447" i="1"/>
  <c r="A4447" i="1"/>
  <c r="R4446" i="1"/>
  <c r="Q4446" i="1"/>
  <c r="N4446" i="1"/>
  <c r="J4446" i="1"/>
  <c r="I4446" i="1"/>
  <c r="H4446" i="1"/>
  <c r="G4446" i="1"/>
  <c r="F4446" i="1"/>
  <c r="E4446" i="1"/>
  <c r="D4446" i="1"/>
  <c r="C4446" i="1"/>
  <c r="B4446" i="1"/>
  <c r="A4446" i="1"/>
  <c r="R4445" i="1"/>
  <c r="N4445" i="1"/>
  <c r="J4445" i="1"/>
  <c r="I4445" i="1"/>
  <c r="H4445" i="1"/>
  <c r="G4445" i="1"/>
  <c r="F4445" i="1"/>
  <c r="E4445" i="1"/>
  <c r="D4445" i="1"/>
  <c r="C4445" i="1"/>
  <c r="B4445" i="1"/>
  <c r="A4445" i="1"/>
  <c r="R4444" i="1"/>
  <c r="Q4444" i="1"/>
  <c r="N4444" i="1"/>
  <c r="J4444" i="1"/>
  <c r="I4444" i="1"/>
  <c r="H4444" i="1"/>
  <c r="G4444" i="1"/>
  <c r="F4444" i="1"/>
  <c r="E4444" i="1"/>
  <c r="D4444" i="1"/>
  <c r="C4444" i="1"/>
  <c r="B4444" i="1"/>
  <c r="A4444" i="1"/>
  <c r="R4443" i="1"/>
  <c r="N4443" i="1"/>
  <c r="J4443" i="1"/>
  <c r="I4443" i="1"/>
  <c r="H4443" i="1"/>
  <c r="G4443" i="1"/>
  <c r="F4443" i="1"/>
  <c r="E4443" i="1"/>
  <c r="D4443" i="1"/>
  <c r="C4443" i="1"/>
  <c r="B4443" i="1"/>
  <c r="A4443" i="1"/>
  <c r="R4442" i="1"/>
  <c r="Q4442" i="1"/>
  <c r="N4442" i="1"/>
  <c r="J4442" i="1"/>
  <c r="I4442" i="1"/>
  <c r="H4442" i="1"/>
  <c r="G4442" i="1"/>
  <c r="F4442" i="1"/>
  <c r="E4442" i="1"/>
  <c r="D4442" i="1"/>
  <c r="C4442" i="1"/>
  <c r="A4442" i="1"/>
  <c r="R4441" i="1"/>
  <c r="N4441" i="1"/>
  <c r="J4441" i="1"/>
  <c r="I4441" i="1"/>
  <c r="H4441" i="1"/>
  <c r="G4441" i="1"/>
  <c r="F4441" i="1"/>
  <c r="E4441" i="1"/>
  <c r="D4441" i="1"/>
  <c r="C4441" i="1"/>
  <c r="A4441" i="1"/>
  <c r="R4440" i="1"/>
  <c r="Q4440" i="1"/>
  <c r="N4440" i="1"/>
  <c r="J4440" i="1"/>
  <c r="I4440" i="1"/>
  <c r="H4440" i="1"/>
  <c r="G4440" i="1"/>
  <c r="F4440" i="1"/>
  <c r="E4440" i="1"/>
  <c r="D4440" i="1"/>
  <c r="C4440" i="1"/>
  <c r="A4440" i="1"/>
  <c r="R4439" i="1"/>
  <c r="N4439" i="1"/>
  <c r="J4439" i="1"/>
  <c r="I4439" i="1"/>
  <c r="H4439" i="1"/>
  <c r="G4439" i="1"/>
  <c r="F4439" i="1"/>
  <c r="E4439" i="1"/>
  <c r="D4439" i="1"/>
  <c r="C4439" i="1"/>
  <c r="A4439" i="1"/>
  <c r="R4438" i="1"/>
  <c r="Q4438" i="1"/>
  <c r="N4438" i="1"/>
  <c r="J4438" i="1"/>
  <c r="I4438" i="1"/>
  <c r="H4438" i="1"/>
  <c r="G4438" i="1"/>
  <c r="F4438" i="1"/>
  <c r="E4438" i="1"/>
  <c r="D4438" i="1"/>
  <c r="C4438" i="1"/>
  <c r="A4438" i="1"/>
  <c r="R4437" i="1"/>
  <c r="N4437" i="1"/>
  <c r="J4437" i="1"/>
  <c r="I4437" i="1"/>
  <c r="H4437" i="1"/>
  <c r="G4437" i="1"/>
  <c r="F4437" i="1"/>
  <c r="E4437" i="1"/>
  <c r="D4437" i="1"/>
  <c r="C4437" i="1"/>
  <c r="A4437" i="1"/>
  <c r="R4436" i="1"/>
  <c r="Q4436" i="1"/>
  <c r="N4436" i="1"/>
  <c r="J4436" i="1"/>
  <c r="I4436" i="1"/>
  <c r="H4436" i="1"/>
  <c r="G4436" i="1"/>
  <c r="F4436" i="1"/>
  <c r="E4436" i="1"/>
  <c r="D4436" i="1"/>
  <c r="C4436" i="1"/>
  <c r="A4436" i="1"/>
  <c r="R4435" i="1"/>
  <c r="N4435" i="1"/>
  <c r="J4435" i="1"/>
  <c r="I4435" i="1"/>
  <c r="H4435" i="1"/>
  <c r="G4435" i="1"/>
  <c r="F4435" i="1"/>
  <c r="E4435" i="1"/>
  <c r="D4435" i="1"/>
  <c r="C4435" i="1"/>
  <c r="A4435" i="1"/>
  <c r="R4434" i="1"/>
  <c r="Q4434" i="1"/>
  <c r="N4434" i="1"/>
  <c r="J4434" i="1"/>
  <c r="I4434" i="1"/>
  <c r="H4434" i="1"/>
  <c r="G4434" i="1"/>
  <c r="F4434" i="1"/>
  <c r="E4434" i="1"/>
  <c r="D4434" i="1"/>
  <c r="C4434" i="1"/>
  <c r="A4434" i="1"/>
  <c r="R4433" i="1"/>
  <c r="N4433" i="1"/>
  <c r="J4433" i="1"/>
  <c r="I4433" i="1"/>
  <c r="H4433" i="1"/>
  <c r="G4433" i="1"/>
  <c r="F4433" i="1"/>
  <c r="E4433" i="1"/>
  <c r="D4433" i="1"/>
  <c r="C4433" i="1"/>
  <c r="A4433" i="1"/>
  <c r="R4432" i="1"/>
  <c r="Q4432" i="1"/>
  <c r="N4432" i="1"/>
  <c r="J4432" i="1"/>
  <c r="I4432" i="1"/>
  <c r="H4432" i="1"/>
  <c r="G4432" i="1"/>
  <c r="F4432" i="1"/>
  <c r="E4432" i="1"/>
  <c r="D4432" i="1"/>
  <c r="C4432" i="1"/>
  <c r="A4432" i="1"/>
  <c r="R4431" i="1"/>
  <c r="N4431" i="1"/>
  <c r="J4431" i="1"/>
  <c r="I4431" i="1"/>
  <c r="H4431" i="1"/>
  <c r="G4431" i="1"/>
  <c r="F4431" i="1"/>
  <c r="E4431" i="1"/>
  <c r="D4431" i="1"/>
  <c r="C4431" i="1"/>
  <c r="A4431" i="1"/>
  <c r="R4430" i="1"/>
  <c r="Q4430" i="1"/>
  <c r="N4430" i="1"/>
  <c r="J4430" i="1"/>
  <c r="I4430" i="1"/>
  <c r="H4430" i="1"/>
  <c r="G4430" i="1"/>
  <c r="F4430" i="1"/>
  <c r="E4430" i="1"/>
  <c r="D4430" i="1"/>
  <c r="C4430" i="1"/>
  <c r="A4430" i="1"/>
  <c r="R4429" i="1"/>
  <c r="N4429" i="1"/>
  <c r="J4429" i="1"/>
  <c r="I4429" i="1"/>
  <c r="H4429" i="1"/>
  <c r="G4429" i="1"/>
  <c r="F4429" i="1"/>
  <c r="E4429" i="1"/>
  <c r="D4429" i="1"/>
  <c r="C4429" i="1"/>
  <c r="A4429" i="1"/>
  <c r="R4428" i="1"/>
  <c r="Q4428" i="1"/>
  <c r="N4428" i="1"/>
  <c r="J4428" i="1"/>
  <c r="I4428" i="1"/>
  <c r="H4428" i="1"/>
  <c r="G4428" i="1"/>
  <c r="F4428" i="1"/>
  <c r="E4428" i="1"/>
  <c r="D4428" i="1"/>
  <c r="C4428" i="1"/>
  <c r="A4428" i="1"/>
  <c r="R4427" i="1"/>
  <c r="N4427" i="1"/>
  <c r="J4427" i="1"/>
  <c r="I4427" i="1"/>
  <c r="H4427" i="1"/>
  <c r="G4427" i="1"/>
  <c r="F4427" i="1"/>
  <c r="E4427" i="1"/>
  <c r="D4427" i="1"/>
  <c r="C4427" i="1"/>
  <c r="A4427" i="1"/>
  <c r="R4426" i="1"/>
  <c r="Q4426" i="1"/>
  <c r="N4426" i="1"/>
  <c r="J4426" i="1"/>
  <c r="I4426" i="1"/>
  <c r="H4426" i="1"/>
  <c r="G4426" i="1"/>
  <c r="F4426" i="1"/>
  <c r="E4426" i="1"/>
  <c r="D4426" i="1"/>
  <c r="C4426" i="1"/>
  <c r="A4426" i="1"/>
  <c r="R4425" i="1"/>
  <c r="Q4425" i="1"/>
  <c r="N4425" i="1"/>
  <c r="J4425" i="1"/>
  <c r="I4425" i="1"/>
  <c r="H4425" i="1"/>
  <c r="G4425" i="1"/>
  <c r="F4425" i="1"/>
  <c r="E4425" i="1"/>
  <c r="D4425" i="1"/>
  <c r="C4425" i="1"/>
  <c r="A4425" i="1"/>
  <c r="R4424" i="1"/>
  <c r="Q4424" i="1"/>
  <c r="N4424" i="1"/>
  <c r="J4424" i="1"/>
  <c r="I4424" i="1"/>
  <c r="H4424" i="1"/>
  <c r="G4424" i="1"/>
  <c r="F4424" i="1"/>
  <c r="E4424" i="1"/>
  <c r="D4424" i="1"/>
  <c r="C4424" i="1"/>
  <c r="A4424" i="1"/>
  <c r="R4423" i="1"/>
  <c r="N4423" i="1"/>
  <c r="J4423" i="1"/>
  <c r="I4423" i="1"/>
  <c r="H4423" i="1"/>
  <c r="G4423" i="1"/>
  <c r="F4423" i="1"/>
  <c r="E4423" i="1"/>
  <c r="D4423" i="1"/>
  <c r="C4423" i="1"/>
  <c r="A4423" i="1"/>
  <c r="R4422" i="1"/>
  <c r="Q4422" i="1"/>
  <c r="N4422" i="1"/>
  <c r="J4422" i="1"/>
  <c r="I4422" i="1"/>
  <c r="H4422" i="1"/>
  <c r="G4422" i="1"/>
  <c r="F4422" i="1"/>
  <c r="E4422" i="1"/>
  <c r="D4422" i="1"/>
  <c r="C4422" i="1"/>
  <c r="A4422" i="1"/>
  <c r="R4421" i="1"/>
  <c r="N4421" i="1"/>
  <c r="J4421" i="1"/>
  <c r="I4421" i="1"/>
  <c r="H4421" i="1"/>
  <c r="G4421" i="1"/>
  <c r="F4421" i="1"/>
  <c r="E4421" i="1"/>
  <c r="D4421" i="1"/>
  <c r="C4421" i="1"/>
  <c r="A4421" i="1"/>
  <c r="R4420" i="1"/>
  <c r="Q4420" i="1"/>
  <c r="N4420" i="1"/>
  <c r="J4420" i="1"/>
  <c r="I4420" i="1"/>
  <c r="H4420" i="1"/>
  <c r="G4420" i="1"/>
  <c r="F4420" i="1"/>
  <c r="E4420" i="1"/>
  <c r="D4420" i="1"/>
  <c r="C4420" i="1"/>
  <c r="A4420" i="1"/>
  <c r="R4419" i="1"/>
  <c r="N4419" i="1"/>
  <c r="J4419" i="1"/>
  <c r="I4419" i="1"/>
  <c r="H4419" i="1"/>
  <c r="G4419" i="1"/>
  <c r="F4419" i="1"/>
  <c r="E4419" i="1"/>
  <c r="D4419" i="1"/>
  <c r="C4419" i="1"/>
  <c r="A4419" i="1"/>
  <c r="R4418" i="1"/>
  <c r="Q4418" i="1"/>
  <c r="N4418" i="1"/>
  <c r="J4418" i="1"/>
  <c r="I4418" i="1"/>
  <c r="H4418" i="1"/>
  <c r="G4418" i="1"/>
  <c r="F4418" i="1"/>
  <c r="E4418" i="1"/>
  <c r="D4418" i="1"/>
  <c r="C4418" i="1"/>
  <c r="A4418" i="1"/>
  <c r="R4417" i="1"/>
  <c r="Q4417" i="1"/>
  <c r="N4417" i="1"/>
  <c r="J4417" i="1"/>
  <c r="I4417" i="1"/>
  <c r="H4417" i="1"/>
  <c r="G4417" i="1"/>
  <c r="F4417" i="1"/>
  <c r="E4417" i="1"/>
  <c r="D4417" i="1"/>
  <c r="C4417" i="1"/>
  <c r="A4417" i="1"/>
  <c r="R4416" i="1"/>
  <c r="N4416" i="1"/>
  <c r="J4416" i="1"/>
  <c r="I4416" i="1"/>
  <c r="H4416" i="1"/>
  <c r="G4416" i="1"/>
  <c r="F4416" i="1"/>
  <c r="E4416" i="1"/>
  <c r="D4416" i="1"/>
  <c r="C4416" i="1"/>
  <c r="A4416" i="1"/>
  <c r="R4415" i="1"/>
  <c r="Q4415" i="1"/>
  <c r="N4415" i="1"/>
  <c r="J4415" i="1"/>
  <c r="I4415" i="1"/>
  <c r="H4415" i="1"/>
  <c r="G4415" i="1"/>
  <c r="F4415" i="1"/>
  <c r="E4415" i="1"/>
  <c r="D4415" i="1"/>
  <c r="C4415" i="1"/>
  <c r="A4415" i="1"/>
  <c r="R4414" i="1"/>
  <c r="N4414" i="1"/>
  <c r="J4414" i="1"/>
  <c r="I4414" i="1"/>
  <c r="H4414" i="1"/>
  <c r="G4414" i="1"/>
  <c r="F4414" i="1"/>
  <c r="E4414" i="1"/>
  <c r="D4414" i="1"/>
  <c r="C4414" i="1"/>
  <c r="B4414" i="1"/>
  <c r="A4414" i="1"/>
  <c r="R4413" i="1"/>
  <c r="Q4413" i="1"/>
  <c r="N4413" i="1"/>
  <c r="J4413" i="1"/>
  <c r="I4413" i="1"/>
  <c r="H4413" i="1"/>
  <c r="G4413" i="1"/>
  <c r="F4413" i="1"/>
  <c r="E4413" i="1"/>
  <c r="D4413" i="1"/>
  <c r="C4413" i="1"/>
  <c r="B4413" i="1"/>
  <c r="A4413" i="1"/>
  <c r="R4412" i="1"/>
  <c r="N4412" i="1"/>
  <c r="J4412" i="1"/>
  <c r="I4412" i="1"/>
  <c r="H4412" i="1"/>
  <c r="G4412" i="1"/>
  <c r="F4412" i="1"/>
  <c r="E4412" i="1"/>
  <c r="D4412" i="1"/>
  <c r="C4412" i="1"/>
  <c r="B4412" i="1"/>
  <c r="A4412" i="1"/>
  <c r="R4411" i="1"/>
  <c r="Q4411" i="1"/>
  <c r="N4411" i="1"/>
  <c r="J4411" i="1"/>
  <c r="I4411" i="1"/>
  <c r="H4411" i="1"/>
  <c r="G4411" i="1"/>
  <c r="F4411" i="1"/>
  <c r="E4411" i="1"/>
  <c r="D4411" i="1"/>
  <c r="C4411" i="1"/>
  <c r="B4411" i="1"/>
  <c r="A4411" i="1"/>
  <c r="R4410" i="1"/>
  <c r="N4410" i="1"/>
  <c r="J4410" i="1"/>
  <c r="I4410" i="1"/>
  <c r="H4410" i="1"/>
  <c r="G4410" i="1"/>
  <c r="F4410" i="1"/>
  <c r="E4410" i="1"/>
  <c r="D4410" i="1"/>
  <c r="C4410" i="1"/>
  <c r="B4410" i="1"/>
  <c r="A4410" i="1"/>
  <c r="R4409" i="1"/>
  <c r="Q4409" i="1"/>
  <c r="N4409" i="1"/>
  <c r="J4409" i="1"/>
  <c r="I4409" i="1"/>
  <c r="H4409" i="1"/>
  <c r="G4409" i="1"/>
  <c r="F4409" i="1"/>
  <c r="E4409" i="1"/>
  <c r="D4409" i="1"/>
  <c r="C4409" i="1"/>
  <c r="B4409" i="1"/>
  <c r="A4409" i="1"/>
  <c r="R4408" i="1"/>
  <c r="N4408" i="1"/>
  <c r="J4408" i="1"/>
  <c r="I4408" i="1"/>
  <c r="H4408" i="1"/>
  <c r="G4408" i="1"/>
  <c r="F4408" i="1"/>
  <c r="E4408" i="1"/>
  <c r="D4408" i="1"/>
  <c r="C4408" i="1"/>
  <c r="B4408" i="1"/>
  <c r="A4408" i="1"/>
  <c r="R4407" i="1"/>
  <c r="Q4407" i="1"/>
  <c r="N4407" i="1"/>
  <c r="J4407" i="1"/>
  <c r="I4407" i="1"/>
  <c r="H4407" i="1"/>
  <c r="G4407" i="1"/>
  <c r="F4407" i="1"/>
  <c r="E4407" i="1"/>
  <c r="D4407" i="1"/>
  <c r="C4407" i="1"/>
  <c r="B4407" i="1"/>
  <c r="A4407" i="1"/>
  <c r="R4406" i="1"/>
  <c r="N4406" i="1"/>
  <c r="J4406" i="1"/>
  <c r="I4406" i="1"/>
  <c r="H4406" i="1"/>
  <c r="G4406" i="1"/>
  <c r="F4406" i="1"/>
  <c r="E4406" i="1"/>
  <c r="D4406" i="1"/>
  <c r="C4406" i="1"/>
  <c r="B4406" i="1"/>
  <c r="A4406" i="1"/>
  <c r="R4405" i="1"/>
  <c r="Q4405" i="1"/>
  <c r="N4405" i="1"/>
  <c r="J4405" i="1"/>
  <c r="I4405" i="1"/>
  <c r="H4405" i="1"/>
  <c r="G4405" i="1"/>
  <c r="F4405" i="1"/>
  <c r="E4405" i="1"/>
  <c r="D4405" i="1"/>
  <c r="C4405" i="1"/>
  <c r="B4405" i="1"/>
  <c r="A4405" i="1"/>
  <c r="R4404" i="1"/>
  <c r="N4404" i="1"/>
  <c r="J4404" i="1"/>
  <c r="I4404" i="1"/>
  <c r="H4404" i="1"/>
  <c r="G4404" i="1"/>
  <c r="F4404" i="1"/>
  <c r="E4404" i="1"/>
  <c r="D4404" i="1"/>
  <c r="C4404" i="1"/>
  <c r="B4404" i="1"/>
  <c r="A4404" i="1"/>
  <c r="R4403" i="1"/>
  <c r="Q4403" i="1"/>
  <c r="N4403" i="1"/>
  <c r="J4403" i="1"/>
  <c r="I4403" i="1"/>
  <c r="H4403" i="1"/>
  <c r="G4403" i="1"/>
  <c r="F4403" i="1"/>
  <c r="E4403" i="1"/>
  <c r="D4403" i="1"/>
  <c r="C4403" i="1"/>
  <c r="B4403" i="1"/>
  <c r="A4403" i="1"/>
  <c r="R4402" i="1"/>
  <c r="N4402" i="1"/>
  <c r="J4402" i="1"/>
  <c r="I4402" i="1"/>
  <c r="H4402" i="1"/>
  <c r="G4402" i="1"/>
  <c r="F4402" i="1"/>
  <c r="E4402" i="1"/>
  <c r="D4402" i="1"/>
  <c r="C4402" i="1"/>
  <c r="B4402" i="1"/>
  <c r="A4402" i="1"/>
  <c r="R4401" i="1"/>
  <c r="Q4401" i="1"/>
  <c r="N4401" i="1"/>
  <c r="J4401" i="1"/>
  <c r="I4401" i="1"/>
  <c r="H4401" i="1"/>
  <c r="G4401" i="1"/>
  <c r="F4401" i="1"/>
  <c r="E4401" i="1"/>
  <c r="D4401" i="1"/>
  <c r="C4401" i="1"/>
  <c r="A4401" i="1"/>
  <c r="R4400" i="1"/>
  <c r="N4400" i="1"/>
  <c r="J4400" i="1"/>
  <c r="I4400" i="1"/>
  <c r="H4400" i="1"/>
  <c r="G4400" i="1"/>
  <c r="F4400" i="1"/>
  <c r="E4400" i="1"/>
  <c r="D4400" i="1"/>
  <c r="C4400" i="1"/>
  <c r="A4400" i="1"/>
  <c r="R4399" i="1"/>
  <c r="Q4399" i="1"/>
  <c r="N4399" i="1"/>
  <c r="J4399" i="1"/>
  <c r="I4399" i="1"/>
  <c r="H4399" i="1"/>
  <c r="G4399" i="1"/>
  <c r="F4399" i="1"/>
  <c r="E4399" i="1"/>
  <c r="D4399" i="1"/>
  <c r="C4399" i="1"/>
  <c r="A4399" i="1"/>
  <c r="R4398" i="1"/>
  <c r="N4398" i="1"/>
  <c r="J4398" i="1"/>
  <c r="I4398" i="1"/>
  <c r="H4398" i="1"/>
  <c r="G4398" i="1"/>
  <c r="F4398" i="1"/>
  <c r="E4398" i="1"/>
  <c r="D4398" i="1"/>
  <c r="C4398" i="1"/>
  <c r="A4398" i="1"/>
  <c r="R4397" i="1"/>
  <c r="Q4397" i="1"/>
  <c r="N4397" i="1"/>
  <c r="J4397" i="1"/>
  <c r="I4397" i="1"/>
  <c r="H4397" i="1"/>
  <c r="G4397" i="1"/>
  <c r="F4397" i="1"/>
  <c r="E4397" i="1"/>
  <c r="D4397" i="1"/>
  <c r="C4397" i="1"/>
  <c r="A4397" i="1"/>
  <c r="R4396" i="1"/>
  <c r="N4396" i="1"/>
  <c r="J4396" i="1"/>
  <c r="I4396" i="1"/>
  <c r="H4396" i="1"/>
  <c r="G4396" i="1"/>
  <c r="F4396" i="1"/>
  <c r="E4396" i="1"/>
  <c r="D4396" i="1"/>
  <c r="C4396" i="1"/>
  <c r="A4396" i="1"/>
  <c r="R4395" i="1"/>
  <c r="Q4395" i="1"/>
  <c r="N4395" i="1"/>
  <c r="J4395" i="1"/>
  <c r="I4395" i="1"/>
  <c r="H4395" i="1"/>
  <c r="G4395" i="1"/>
  <c r="F4395" i="1"/>
  <c r="E4395" i="1"/>
  <c r="D4395" i="1"/>
  <c r="C4395" i="1"/>
  <c r="A4395" i="1"/>
  <c r="R4394" i="1"/>
  <c r="N4394" i="1"/>
  <c r="J4394" i="1"/>
  <c r="I4394" i="1"/>
  <c r="H4394" i="1"/>
  <c r="G4394" i="1"/>
  <c r="F4394" i="1"/>
  <c r="E4394" i="1"/>
  <c r="D4394" i="1"/>
  <c r="C4394" i="1"/>
  <c r="A4394" i="1"/>
  <c r="R4393" i="1"/>
  <c r="Q4393" i="1"/>
  <c r="N4393" i="1"/>
  <c r="J4393" i="1"/>
  <c r="I4393" i="1"/>
  <c r="H4393" i="1"/>
  <c r="G4393" i="1"/>
  <c r="F4393" i="1"/>
  <c r="E4393" i="1"/>
  <c r="D4393" i="1"/>
  <c r="C4393" i="1"/>
  <c r="A4393" i="1"/>
  <c r="R4392" i="1"/>
  <c r="N4392" i="1"/>
  <c r="J4392" i="1"/>
  <c r="I4392" i="1"/>
  <c r="H4392" i="1"/>
  <c r="G4392" i="1"/>
  <c r="F4392" i="1"/>
  <c r="E4392" i="1"/>
  <c r="D4392" i="1"/>
  <c r="C4392" i="1"/>
  <c r="A4392" i="1"/>
  <c r="R4391" i="1"/>
  <c r="Q4391" i="1"/>
  <c r="N4391" i="1"/>
  <c r="J4391" i="1"/>
  <c r="I4391" i="1"/>
  <c r="H4391" i="1"/>
  <c r="G4391" i="1"/>
  <c r="F4391" i="1"/>
  <c r="E4391" i="1"/>
  <c r="D4391" i="1"/>
  <c r="C4391" i="1"/>
  <c r="A4391" i="1"/>
  <c r="R4390" i="1"/>
  <c r="N4390" i="1"/>
  <c r="J4390" i="1"/>
  <c r="I4390" i="1"/>
  <c r="H4390" i="1"/>
  <c r="G4390" i="1"/>
  <c r="F4390" i="1"/>
  <c r="E4390" i="1"/>
  <c r="D4390" i="1"/>
  <c r="C4390" i="1"/>
  <c r="A4390" i="1"/>
  <c r="R4389" i="1"/>
  <c r="Q4389" i="1"/>
  <c r="N4389" i="1"/>
  <c r="J4389" i="1"/>
  <c r="I4389" i="1"/>
  <c r="H4389" i="1"/>
  <c r="G4389" i="1"/>
  <c r="F4389" i="1"/>
  <c r="E4389" i="1"/>
  <c r="D4389" i="1"/>
  <c r="C4389" i="1"/>
  <c r="A4389" i="1"/>
  <c r="R4388" i="1"/>
  <c r="Q4388" i="1"/>
  <c r="N4388" i="1"/>
  <c r="J4388" i="1"/>
  <c r="I4388" i="1"/>
  <c r="H4388" i="1"/>
  <c r="G4388" i="1"/>
  <c r="F4388" i="1"/>
  <c r="E4388" i="1"/>
  <c r="D4388" i="1"/>
  <c r="C4388" i="1"/>
  <c r="A4388" i="1"/>
  <c r="R4387" i="1"/>
  <c r="Q4387" i="1"/>
  <c r="N4387" i="1"/>
  <c r="J4387" i="1"/>
  <c r="I4387" i="1"/>
  <c r="H4387" i="1"/>
  <c r="G4387" i="1"/>
  <c r="F4387" i="1"/>
  <c r="E4387" i="1"/>
  <c r="D4387" i="1"/>
  <c r="C4387" i="1"/>
  <c r="A4387" i="1"/>
  <c r="R4386" i="1"/>
  <c r="Q4386" i="1"/>
  <c r="N4386" i="1"/>
  <c r="J4386" i="1"/>
  <c r="I4386" i="1"/>
  <c r="H4386" i="1"/>
  <c r="G4386" i="1"/>
  <c r="F4386" i="1"/>
  <c r="E4386" i="1"/>
  <c r="D4386" i="1"/>
  <c r="C4386" i="1"/>
  <c r="A4386" i="1"/>
  <c r="R4385" i="1"/>
  <c r="Q4385" i="1"/>
  <c r="N4385" i="1"/>
  <c r="J4385" i="1"/>
  <c r="I4385" i="1"/>
  <c r="H4385" i="1"/>
  <c r="G4385" i="1"/>
  <c r="F4385" i="1"/>
  <c r="E4385" i="1"/>
  <c r="D4385" i="1"/>
  <c r="C4385" i="1"/>
  <c r="A4385" i="1"/>
  <c r="R4384" i="1"/>
  <c r="Q4384" i="1"/>
  <c r="N4384" i="1"/>
  <c r="J4384" i="1"/>
  <c r="I4384" i="1"/>
  <c r="H4384" i="1"/>
  <c r="G4384" i="1"/>
  <c r="F4384" i="1"/>
  <c r="E4384" i="1"/>
  <c r="D4384" i="1"/>
  <c r="C4384" i="1"/>
  <c r="A4384" i="1"/>
  <c r="R4383" i="1"/>
  <c r="Q4383" i="1"/>
  <c r="N4383" i="1"/>
  <c r="J4383" i="1"/>
  <c r="I4383" i="1"/>
  <c r="H4383" i="1"/>
  <c r="G4383" i="1"/>
  <c r="F4383" i="1"/>
  <c r="E4383" i="1"/>
  <c r="D4383" i="1"/>
  <c r="C4383" i="1"/>
  <c r="A4383" i="1"/>
  <c r="R4382" i="1"/>
  <c r="Q4382" i="1"/>
  <c r="N4382" i="1"/>
  <c r="J4382" i="1"/>
  <c r="I4382" i="1"/>
  <c r="H4382" i="1"/>
  <c r="G4382" i="1"/>
  <c r="F4382" i="1"/>
  <c r="E4382" i="1"/>
  <c r="D4382" i="1"/>
  <c r="C4382" i="1"/>
  <c r="A4382" i="1"/>
  <c r="R4381" i="1"/>
  <c r="Q4381" i="1"/>
  <c r="N4381" i="1"/>
  <c r="J4381" i="1"/>
  <c r="I4381" i="1"/>
  <c r="H4381" i="1"/>
  <c r="G4381" i="1"/>
  <c r="F4381" i="1"/>
  <c r="E4381" i="1"/>
  <c r="D4381" i="1"/>
  <c r="C4381" i="1"/>
  <c r="A4381" i="1"/>
  <c r="R4380" i="1"/>
  <c r="Q4380" i="1"/>
  <c r="N4380" i="1"/>
  <c r="J4380" i="1"/>
  <c r="I4380" i="1"/>
  <c r="H4380" i="1"/>
  <c r="G4380" i="1"/>
  <c r="F4380" i="1"/>
  <c r="E4380" i="1"/>
  <c r="D4380" i="1"/>
  <c r="C4380" i="1"/>
  <c r="A4380" i="1"/>
  <c r="R4379" i="1"/>
  <c r="Q4379" i="1"/>
  <c r="N4379" i="1"/>
  <c r="J4379" i="1"/>
  <c r="I4379" i="1"/>
  <c r="H4379" i="1"/>
  <c r="G4379" i="1"/>
  <c r="F4379" i="1"/>
  <c r="E4379" i="1"/>
  <c r="D4379" i="1"/>
  <c r="C4379" i="1"/>
  <c r="A4379" i="1"/>
  <c r="R4378" i="1"/>
  <c r="Q4378" i="1"/>
  <c r="N4378" i="1"/>
  <c r="J4378" i="1"/>
  <c r="I4378" i="1"/>
  <c r="H4378" i="1"/>
  <c r="G4378" i="1"/>
  <c r="F4378" i="1"/>
  <c r="E4378" i="1"/>
  <c r="D4378" i="1"/>
  <c r="C4378" i="1"/>
  <c r="A4378" i="1"/>
  <c r="R4377" i="1"/>
  <c r="Q4377" i="1"/>
  <c r="N4377" i="1"/>
  <c r="J4377" i="1"/>
  <c r="I4377" i="1"/>
  <c r="H4377" i="1"/>
  <c r="G4377" i="1"/>
  <c r="F4377" i="1"/>
  <c r="E4377" i="1"/>
  <c r="D4377" i="1"/>
  <c r="C4377" i="1"/>
  <c r="A4377" i="1"/>
  <c r="R4376" i="1"/>
  <c r="Q4376" i="1"/>
  <c r="N4376" i="1"/>
  <c r="J4376" i="1"/>
  <c r="I4376" i="1"/>
  <c r="H4376" i="1"/>
  <c r="G4376" i="1"/>
  <c r="F4376" i="1"/>
  <c r="E4376" i="1"/>
  <c r="D4376" i="1"/>
  <c r="C4376" i="1"/>
  <c r="A4376" i="1"/>
  <c r="R4375" i="1"/>
  <c r="Q4375" i="1"/>
  <c r="N4375" i="1"/>
  <c r="J4375" i="1"/>
  <c r="I4375" i="1"/>
  <c r="H4375" i="1"/>
  <c r="G4375" i="1"/>
  <c r="F4375" i="1"/>
  <c r="E4375" i="1"/>
  <c r="D4375" i="1"/>
  <c r="C4375" i="1"/>
  <c r="A4375" i="1"/>
  <c r="R4374" i="1"/>
  <c r="Q4374" i="1"/>
  <c r="N4374" i="1"/>
  <c r="J4374" i="1"/>
  <c r="I4374" i="1"/>
  <c r="H4374" i="1"/>
  <c r="G4374" i="1"/>
  <c r="F4374" i="1"/>
  <c r="E4374" i="1"/>
  <c r="D4374" i="1"/>
  <c r="C4374" i="1"/>
  <c r="A4374" i="1"/>
  <c r="R4373" i="1"/>
  <c r="Q4373" i="1"/>
  <c r="N4373" i="1"/>
  <c r="J4373" i="1"/>
  <c r="I4373" i="1"/>
  <c r="H4373" i="1"/>
  <c r="G4373" i="1"/>
  <c r="F4373" i="1"/>
  <c r="E4373" i="1"/>
  <c r="D4373" i="1"/>
  <c r="C4373" i="1"/>
  <c r="A4373" i="1"/>
  <c r="R4372" i="1"/>
  <c r="Q4372" i="1"/>
  <c r="N4372" i="1"/>
  <c r="J4372" i="1"/>
  <c r="I4372" i="1"/>
  <c r="H4372" i="1"/>
  <c r="G4372" i="1"/>
  <c r="F4372" i="1"/>
  <c r="E4372" i="1"/>
  <c r="D4372" i="1"/>
  <c r="C4372" i="1"/>
  <c r="A4372" i="1"/>
  <c r="R4371" i="1"/>
  <c r="Q4371" i="1"/>
  <c r="N4371" i="1"/>
  <c r="J4371" i="1"/>
  <c r="I4371" i="1"/>
  <c r="H4371" i="1"/>
  <c r="G4371" i="1"/>
  <c r="F4371" i="1"/>
  <c r="E4371" i="1"/>
  <c r="D4371" i="1"/>
  <c r="C4371" i="1"/>
  <c r="A4371" i="1"/>
  <c r="R4370" i="1"/>
  <c r="Q4370" i="1"/>
  <c r="N4370" i="1"/>
  <c r="J4370" i="1"/>
  <c r="I4370" i="1"/>
  <c r="H4370" i="1"/>
  <c r="G4370" i="1"/>
  <c r="F4370" i="1"/>
  <c r="E4370" i="1"/>
  <c r="D4370" i="1"/>
  <c r="C4370" i="1"/>
  <c r="A4370" i="1"/>
  <c r="R4369" i="1"/>
  <c r="Q4369" i="1"/>
  <c r="N4369" i="1"/>
  <c r="J4369" i="1"/>
  <c r="I4369" i="1"/>
  <c r="H4369" i="1"/>
  <c r="G4369" i="1"/>
  <c r="F4369" i="1"/>
  <c r="E4369" i="1"/>
  <c r="D4369" i="1"/>
  <c r="C4369" i="1"/>
  <c r="A4369" i="1"/>
  <c r="R4368" i="1"/>
  <c r="Q4368" i="1"/>
  <c r="N4368" i="1"/>
  <c r="J4368" i="1"/>
  <c r="I4368" i="1"/>
  <c r="H4368" i="1"/>
  <c r="G4368" i="1"/>
  <c r="F4368" i="1"/>
  <c r="E4368" i="1"/>
  <c r="D4368" i="1"/>
  <c r="C4368" i="1"/>
  <c r="A4368" i="1"/>
  <c r="R4367" i="1"/>
  <c r="Q4367" i="1"/>
  <c r="N4367" i="1"/>
  <c r="J4367" i="1"/>
  <c r="I4367" i="1"/>
  <c r="H4367" i="1"/>
  <c r="G4367" i="1"/>
  <c r="F4367" i="1"/>
  <c r="E4367" i="1"/>
  <c r="D4367" i="1"/>
  <c r="C4367" i="1"/>
  <c r="A4367" i="1"/>
  <c r="R4366" i="1"/>
  <c r="Q4366" i="1"/>
  <c r="N4366" i="1"/>
  <c r="J4366" i="1"/>
  <c r="I4366" i="1"/>
  <c r="H4366" i="1"/>
  <c r="G4366" i="1"/>
  <c r="F4366" i="1"/>
  <c r="E4366" i="1"/>
  <c r="D4366" i="1"/>
  <c r="C4366" i="1"/>
  <c r="A4366" i="1"/>
  <c r="R4365" i="1"/>
  <c r="Q4365" i="1"/>
  <c r="N4365" i="1"/>
  <c r="J4365" i="1"/>
  <c r="I4365" i="1"/>
  <c r="H4365" i="1"/>
  <c r="G4365" i="1"/>
  <c r="F4365" i="1"/>
  <c r="E4365" i="1"/>
  <c r="D4365" i="1"/>
  <c r="C4365" i="1"/>
  <c r="A4365" i="1"/>
  <c r="R4364" i="1"/>
  <c r="Q4364" i="1"/>
  <c r="N4364" i="1"/>
  <c r="J4364" i="1"/>
  <c r="I4364" i="1"/>
  <c r="H4364" i="1"/>
  <c r="G4364" i="1"/>
  <c r="F4364" i="1"/>
  <c r="E4364" i="1"/>
  <c r="D4364" i="1"/>
  <c r="C4364" i="1"/>
  <c r="A4364" i="1"/>
  <c r="R4363" i="1"/>
  <c r="Q4363" i="1"/>
  <c r="N4363" i="1"/>
  <c r="J4363" i="1"/>
  <c r="I4363" i="1"/>
  <c r="H4363" i="1"/>
  <c r="G4363" i="1"/>
  <c r="F4363" i="1"/>
  <c r="E4363" i="1"/>
  <c r="D4363" i="1"/>
  <c r="C4363" i="1"/>
  <c r="A4363" i="1"/>
  <c r="R4362" i="1"/>
  <c r="Q4362" i="1"/>
  <c r="N4362" i="1"/>
  <c r="J4362" i="1"/>
  <c r="I4362" i="1"/>
  <c r="H4362" i="1"/>
  <c r="G4362" i="1"/>
  <c r="F4362" i="1"/>
  <c r="E4362" i="1"/>
  <c r="D4362" i="1"/>
  <c r="C4362" i="1"/>
  <c r="A4362" i="1"/>
  <c r="R4361" i="1"/>
  <c r="Q4361" i="1"/>
  <c r="N4361" i="1"/>
  <c r="J4361" i="1"/>
  <c r="I4361" i="1"/>
  <c r="H4361" i="1"/>
  <c r="G4361" i="1"/>
  <c r="F4361" i="1"/>
  <c r="E4361" i="1"/>
  <c r="D4361" i="1"/>
  <c r="C4361" i="1"/>
  <c r="A4361" i="1"/>
  <c r="R4360" i="1"/>
  <c r="Q4360" i="1"/>
  <c r="N4360" i="1"/>
  <c r="J4360" i="1"/>
  <c r="I4360" i="1"/>
  <c r="H4360" i="1"/>
  <c r="G4360" i="1"/>
  <c r="F4360" i="1"/>
  <c r="E4360" i="1"/>
  <c r="D4360" i="1"/>
  <c r="C4360" i="1"/>
  <c r="A4360" i="1"/>
  <c r="R4359" i="1"/>
  <c r="Q4359" i="1"/>
  <c r="N4359" i="1"/>
  <c r="J4359" i="1"/>
  <c r="I4359" i="1"/>
  <c r="H4359" i="1"/>
  <c r="G4359" i="1"/>
  <c r="F4359" i="1"/>
  <c r="E4359" i="1"/>
  <c r="D4359" i="1"/>
  <c r="C4359" i="1"/>
  <c r="A4359" i="1"/>
  <c r="R4358" i="1"/>
  <c r="Q4358" i="1"/>
  <c r="N4358" i="1"/>
  <c r="J4358" i="1"/>
  <c r="I4358" i="1"/>
  <c r="H4358" i="1"/>
  <c r="G4358" i="1"/>
  <c r="F4358" i="1"/>
  <c r="E4358" i="1"/>
  <c r="D4358" i="1"/>
  <c r="C4358" i="1"/>
  <c r="A4358" i="1"/>
  <c r="R4357" i="1"/>
  <c r="Q4357" i="1"/>
  <c r="N4357" i="1"/>
  <c r="J4357" i="1"/>
  <c r="I4357" i="1"/>
  <c r="H4357" i="1"/>
  <c r="G4357" i="1"/>
  <c r="F4357" i="1"/>
  <c r="E4357" i="1"/>
  <c r="D4357" i="1"/>
  <c r="C4357" i="1"/>
  <c r="A4357" i="1"/>
  <c r="R4356" i="1"/>
  <c r="Q4356" i="1"/>
  <c r="N4356" i="1"/>
  <c r="J4356" i="1"/>
  <c r="I4356" i="1"/>
  <c r="H4356" i="1"/>
  <c r="G4356" i="1"/>
  <c r="F4356" i="1"/>
  <c r="E4356" i="1"/>
  <c r="D4356" i="1"/>
  <c r="C4356" i="1"/>
  <c r="A4356" i="1"/>
  <c r="R4355" i="1"/>
  <c r="Q4355" i="1"/>
  <c r="N4355" i="1"/>
  <c r="J4355" i="1"/>
  <c r="I4355" i="1"/>
  <c r="H4355" i="1"/>
  <c r="G4355" i="1"/>
  <c r="F4355" i="1"/>
  <c r="E4355" i="1"/>
  <c r="D4355" i="1"/>
  <c r="C4355" i="1"/>
  <c r="A4355" i="1"/>
  <c r="R4354" i="1"/>
  <c r="Q4354" i="1"/>
  <c r="N4354" i="1"/>
  <c r="J4354" i="1"/>
  <c r="I4354" i="1"/>
  <c r="H4354" i="1"/>
  <c r="G4354" i="1"/>
  <c r="F4354" i="1"/>
  <c r="E4354" i="1"/>
  <c r="D4354" i="1"/>
  <c r="C4354" i="1"/>
  <c r="A4354" i="1"/>
  <c r="R4353" i="1"/>
  <c r="Q4353" i="1"/>
  <c r="N4353" i="1"/>
  <c r="J4353" i="1"/>
  <c r="I4353" i="1"/>
  <c r="H4353" i="1"/>
  <c r="G4353" i="1"/>
  <c r="F4353" i="1"/>
  <c r="E4353" i="1"/>
  <c r="D4353" i="1"/>
  <c r="C4353" i="1"/>
  <c r="A4353" i="1"/>
  <c r="R4352" i="1"/>
  <c r="Q4352" i="1"/>
  <c r="N4352" i="1"/>
  <c r="J4352" i="1"/>
  <c r="I4352" i="1"/>
  <c r="H4352" i="1"/>
  <c r="G4352" i="1"/>
  <c r="F4352" i="1"/>
  <c r="E4352" i="1"/>
  <c r="D4352" i="1"/>
  <c r="C4352" i="1"/>
  <c r="A4352" i="1"/>
  <c r="R4351" i="1"/>
  <c r="Q4351" i="1"/>
  <c r="N4351" i="1"/>
  <c r="J4351" i="1"/>
  <c r="I4351" i="1"/>
  <c r="H4351" i="1"/>
  <c r="G4351" i="1"/>
  <c r="F4351" i="1"/>
  <c r="E4351" i="1"/>
  <c r="D4351" i="1"/>
  <c r="C4351" i="1"/>
  <c r="A4351" i="1"/>
  <c r="R4350" i="1"/>
  <c r="Q4350" i="1"/>
  <c r="N4350" i="1"/>
  <c r="J4350" i="1"/>
  <c r="I4350" i="1"/>
  <c r="H4350" i="1"/>
  <c r="G4350" i="1"/>
  <c r="F4350" i="1"/>
  <c r="E4350" i="1"/>
  <c r="D4350" i="1"/>
  <c r="C4350" i="1"/>
  <c r="A4350" i="1"/>
  <c r="R4349" i="1"/>
  <c r="Q4349" i="1"/>
  <c r="N4349" i="1"/>
  <c r="J4349" i="1"/>
  <c r="I4349" i="1"/>
  <c r="H4349" i="1"/>
  <c r="G4349" i="1"/>
  <c r="F4349" i="1"/>
  <c r="E4349" i="1"/>
  <c r="D4349" i="1"/>
  <c r="C4349" i="1"/>
  <c r="A4349" i="1"/>
  <c r="R4348" i="1"/>
  <c r="Q4348" i="1"/>
  <c r="N4348" i="1"/>
  <c r="J4348" i="1"/>
  <c r="I4348" i="1"/>
  <c r="H4348" i="1"/>
  <c r="G4348" i="1"/>
  <c r="F4348" i="1"/>
  <c r="E4348" i="1"/>
  <c r="D4348" i="1"/>
  <c r="C4348" i="1"/>
  <c r="A4348" i="1"/>
  <c r="R4347" i="1"/>
  <c r="Q4347" i="1"/>
  <c r="N4347" i="1"/>
  <c r="J4347" i="1"/>
  <c r="I4347" i="1"/>
  <c r="H4347" i="1"/>
  <c r="G4347" i="1"/>
  <c r="F4347" i="1"/>
  <c r="E4347" i="1"/>
  <c r="D4347" i="1"/>
  <c r="C4347" i="1"/>
  <c r="A4347" i="1"/>
  <c r="R4346" i="1"/>
  <c r="Q4346" i="1"/>
  <c r="N4346" i="1"/>
  <c r="J4346" i="1"/>
  <c r="I4346" i="1"/>
  <c r="H4346" i="1"/>
  <c r="G4346" i="1"/>
  <c r="F4346" i="1"/>
  <c r="E4346" i="1"/>
  <c r="D4346" i="1"/>
  <c r="C4346" i="1"/>
  <c r="A4346" i="1"/>
  <c r="R4345" i="1"/>
  <c r="Q4345" i="1"/>
  <c r="N4345" i="1"/>
  <c r="J4345" i="1"/>
  <c r="I4345" i="1"/>
  <c r="H4345" i="1"/>
  <c r="G4345" i="1"/>
  <c r="F4345" i="1"/>
  <c r="E4345" i="1"/>
  <c r="D4345" i="1"/>
  <c r="C4345" i="1"/>
  <c r="A4345" i="1"/>
  <c r="R4344" i="1"/>
  <c r="N4344" i="1"/>
  <c r="J4344" i="1"/>
  <c r="I4344" i="1"/>
  <c r="H4344" i="1"/>
  <c r="G4344" i="1"/>
  <c r="F4344" i="1"/>
  <c r="E4344" i="1"/>
  <c r="D4344" i="1"/>
  <c r="C4344" i="1"/>
  <c r="A4344" i="1"/>
  <c r="R4343" i="1"/>
  <c r="Q4343" i="1"/>
  <c r="N4343" i="1"/>
  <c r="J4343" i="1"/>
  <c r="I4343" i="1"/>
  <c r="H4343" i="1"/>
  <c r="G4343" i="1"/>
  <c r="F4343" i="1"/>
  <c r="E4343" i="1"/>
  <c r="D4343" i="1"/>
  <c r="C4343" i="1"/>
  <c r="A4343" i="1"/>
  <c r="R4342" i="1"/>
  <c r="Q4342" i="1"/>
  <c r="N4342" i="1"/>
  <c r="J4342" i="1"/>
  <c r="I4342" i="1"/>
  <c r="H4342" i="1"/>
  <c r="G4342" i="1"/>
  <c r="F4342" i="1"/>
  <c r="E4342" i="1"/>
  <c r="D4342" i="1"/>
  <c r="C4342" i="1"/>
  <c r="A4342" i="1"/>
  <c r="R4341" i="1"/>
  <c r="Q4341" i="1"/>
  <c r="N4341" i="1"/>
  <c r="J4341" i="1"/>
  <c r="I4341" i="1"/>
  <c r="H4341" i="1"/>
  <c r="G4341" i="1"/>
  <c r="F4341" i="1"/>
  <c r="E4341" i="1"/>
  <c r="D4341" i="1"/>
  <c r="C4341" i="1"/>
  <c r="A4341" i="1"/>
  <c r="R4340" i="1"/>
  <c r="Q4340" i="1"/>
  <c r="N4340" i="1"/>
  <c r="J4340" i="1"/>
  <c r="I4340" i="1"/>
  <c r="H4340" i="1"/>
  <c r="G4340" i="1"/>
  <c r="F4340" i="1"/>
  <c r="E4340" i="1"/>
  <c r="D4340" i="1"/>
  <c r="C4340" i="1"/>
  <c r="A4340" i="1"/>
  <c r="R4339" i="1"/>
  <c r="Q4339" i="1"/>
  <c r="N4339" i="1"/>
  <c r="J4339" i="1"/>
  <c r="I4339" i="1"/>
  <c r="H4339" i="1"/>
  <c r="G4339" i="1"/>
  <c r="F4339" i="1"/>
  <c r="E4339" i="1"/>
  <c r="D4339" i="1"/>
  <c r="C4339" i="1"/>
  <c r="A4339" i="1"/>
  <c r="R4338" i="1"/>
  <c r="Q4338" i="1"/>
  <c r="N4338" i="1"/>
  <c r="J4338" i="1"/>
  <c r="I4338" i="1"/>
  <c r="H4338" i="1"/>
  <c r="G4338" i="1"/>
  <c r="F4338" i="1"/>
  <c r="E4338" i="1"/>
  <c r="D4338" i="1"/>
  <c r="C4338" i="1"/>
  <c r="A4338" i="1"/>
  <c r="R4337" i="1"/>
  <c r="Q4337" i="1"/>
  <c r="N4337" i="1"/>
  <c r="J4337" i="1"/>
  <c r="I4337" i="1"/>
  <c r="H4337" i="1"/>
  <c r="G4337" i="1"/>
  <c r="F4337" i="1"/>
  <c r="E4337" i="1"/>
  <c r="D4337" i="1"/>
  <c r="C4337" i="1"/>
  <c r="A4337" i="1"/>
  <c r="R4336" i="1"/>
  <c r="Q4336" i="1"/>
  <c r="N4336" i="1"/>
  <c r="J4336" i="1"/>
  <c r="I4336" i="1"/>
  <c r="H4336" i="1"/>
  <c r="G4336" i="1"/>
  <c r="F4336" i="1"/>
  <c r="E4336" i="1"/>
  <c r="D4336" i="1"/>
  <c r="C4336" i="1"/>
  <c r="A4336" i="1"/>
  <c r="R4335" i="1"/>
  <c r="N4335" i="1"/>
  <c r="J4335" i="1"/>
  <c r="I4335" i="1"/>
  <c r="H4335" i="1"/>
  <c r="G4335" i="1"/>
  <c r="F4335" i="1"/>
  <c r="E4335" i="1"/>
  <c r="D4335" i="1"/>
  <c r="C4335" i="1"/>
  <c r="A4335" i="1"/>
  <c r="R4334" i="1"/>
  <c r="Q4334" i="1"/>
  <c r="N4334" i="1"/>
  <c r="J4334" i="1"/>
  <c r="I4334" i="1"/>
  <c r="H4334" i="1"/>
  <c r="G4334" i="1"/>
  <c r="F4334" i="1"/>
  <c r="E4334" i="1"/>
  <c r="D4334" i="1"/>
  <c r="C4334" i="1"/>
  <c r="A4334" i="1"/>
  <c r="R4333" i="1"/>
  <c r="Q4333" i="1"/>
  <c r="N4333" i="1"/>
  <c r="J4333" i="1"/>
  <c r="I4333" i="1"/>
  <c r="H4333" i="1"/>
  <c r="G4333" i="1"/>
  <c r="F4333" i="1"/>
  <c r="E4333" i="1"/>
  <c r="D4333" i="1"/>
  <c r="C4333" i="1"/>
  <c r="A4333" i="1"/>
  <c r="R4332" i="1"/>
  <c r="Q4332" i="1"/>
  <c r="N4332" i="1"/>
  <c r="J4332" i="1"/>
  <c r="I4332" i="1"/>
  <c r="H4332" i="1"/>
  <c r="G4332" i="1"/>
  <c r="F4332" i="1"/>
  <c r="E4332" i="1"/>
  <c r="D4332" i="1"/>
  <c r="C4332" i="1"/>
  <c r="A4332" i="1"/>
  <c r="R4331" i="1"/>
  <c r="Q4331" i="1"/>
  <c r="N4331" i="1"/>
  <c r="J4331" i="1"/>
  <c r="I4331" i="1"/>
  <c r="H4331" i="1"/>
  <c r="G4331" i="1"/>
  <c r="F4331" i="1"/>
  <c r="E4331" i="1"/>
  <c r="D4331" i="1"/>
  <c r="C4331" i="1"/>
  <c r="A4331" i="1"/>
  <c r="R4330" i="1"/>
  <c r="Q4330" i="1"/>
  <c r="N4330" i="1"/>
  <c r="J4330" i="1"/>
  <c r="I4330" i="1"/>
  <c r="H4330" i="1"/>
  <c r="G4330" i="1"/>
  <c r="F4330" i="1"/>
  <c r="E4330" i="1"/>
  <c r="D4330" i="1"/>
  <c r="C4330" i="1"/>
  <c r="A4330" i="1"/>
  <c r="R4329" i="1"/>
  <c r="Q4329" i="1"/>
  <c r="N4329" i="1"/>
  <c r="J4329" i="1"/>
  <c r="I4329" i="1"/>
  <c r="H4329" i="1"/>
  <c r="G4329" i="1"/>
  <c r="F4329" i="1"/>
  <c r="E4329" i="1"/>
  <c r="D4329" i="1"/>
  <c r="C4329" i="1"/>
  <c r="A4329" i="1"/>
  <c r="R4328" i="1"/>
  <c r="Q4328" i="1"/>
  <c r="N4328" i="1"/>
  <c r="J4328" i="1"/>
  <c r="I4328" i="1"/>
  <c r="H4328" i="1"/>
  <c r="G4328" i="1"/>
  <c r="F4328" i="1"/>
  <c r="E4328" i="1"/>
  <c r="D4328" i="1"/>
  <c r="C4328" i="1"/>
  <c r="A4328" i="1"/>
  <c r="R4327" i="1"/>
  <c r="Q4327" i="1"/>
  <c r="N4327" i="1"/>
  <c r="J4327" i="1"/>
  <c r="I4327" i="1"/>
  <c r="H4327" i="1"/>
  <c r="G4327" i="1"/>
  <c r="F4327" i="1"/>
  <c r="E4327" i="1"/>
  <c r="D4327" i="1"/>
  <c r="C4327" i="1"/>
  <c r="A4327" i="1"/>
  <c r="R4326" i="1"/>
  <c r="Q4326" i="1"/>
  <c r="N4326" i="1"/>
  <c r="J4326" i="1"/>
  <c r="I4326" i="1"/>
  <c r="H4326" i="1"/>
  <c r="G4326" i="1"/>
  <c r="F4326" i="1"/>
  <c r="E4326" i="1"/>
  <c r="D4326" i="1"/>
  <c r="C4326" i="1"/>
  <c r="A4326" i="1"/>
  <c r="R4325" i="1"/>
  <c r="Q4325" i="1"/>
  <c r="N4325" i="1"/>
  <c r="J4325" i="1"/>
  <c r="I4325" i="1"/>
  <c r="H4325" i="1"/>
  <c r="G4325" i="1"/>
  <c r="F4325" i="1"/>
  <c r="E4325" i="1"/>
  <c r="D4325" i="1"/>
  <c r="C4325" i="1"/>
  <c r="A4325" i="1"/>
  <c r="R4324" i="1"/>
  <c r="Q4324" i="1"/>
  <c r="N4324" i="1"/>
  <c r="J4324" i="1"/>
  <c r="I4324" i="1"/>
  <c r="H4324" i="1"/>
  <c r="G4324" i="1"/>
  <c r="F4324" i="1"/>
  <c r="E4324" i="1"/>
  <c r="D4324" i="1"/>
  <c r="C4324" i="1"/>
  <c r="A4324" i="1"/>
  <c r="R4323" i="1"/>
  <c r="N4323" i="1"/>
  <c r="J4323" i="1"/>
  <c r="I4323" i="1"/>
  <c r="H4323" i="1"/>
  <c r="G4323" i="1"/>
  <c r="F4323" i="1"/>
  <c r="E4323" i="1"/>
  <c r="D4323" i="1"/>
  <c r="C4323" i="1"/>
  <c r="B4323" i="1"/>
  <c r="A4323" i="1"/>
  <c r="R4322" i="1"/>
  <c r="Q4322" i="1"/>
  <c r="N4322" i="1"/>
  <c r="J4322" i="1"/>
  <c r="I4322" i="1"/>
  <c r="H4322" i="1"/>
  <c r="G4322" i="1"/>
  <c r="F4322" i="1"/>
  <c r="E4322" i="1"/>
  <c r="D4322" i="1"/>
  <c r="C4322" i="1"/>
  <c r="B4322" i="1"/>
  <c r="A4322" i="1"/>
  <c r="R4321" i="1"/>
  <c r="N4321" i="1"/>
  <c r="J4321" i="1"/>
  <c r="I4321" i="1"/>
  <c r="H4321" i="1"/>
  <c r="G4321" i="1"/>
  <c r="F4321" i="1"/>
  <c r="E4321" i="1"/>
  <c r="D4321" i="1"/>
  <c r="C4321" i="1"/>
  <c r="B4321" i="1"/>
  <c r="A4321" i="1"/>
  <c r="R4320" i="1"/>
  <c r="Q4320" i="1"/>
  <c r="N4320" i="1"/>
  <c r="J4320" i="1"/>
  <c r="I4320" i="1"/>
  <c r="H4320" i="1"/>
  <c r="G4320" i="1"/>
  <c r="F4320" i="1"/>
  <c r="E4320" i="1"/>
  <c r="D4320" i="1"/>
  <c r="C4320" i="1"/>
  <c r="B4320" i="1"/>
  <c r="A4320" i="1"/>
  <c r="R4319" i="1"/>
  <c r="N4319" i="1"/>
  <c r="J4319" i="1"/>
  <c r="I4319" i="1"/>
  <c r="H4319" i="1"/>
  <c r="G4319" i="1"/>
  <c r="F4319" i="1"/>
  <c r="E4319" i="1"/>
  <c r="D4319" i="1"/>
  <c r="C4319" i="1"/>
  <c r="B4319" i="1"/>
  <c r="A4319" i="1"/>
  <c r="R4318" i="1"/>
  <c r="Q4318" i="1"/>
  <c r="N4318" i="1"/>
  <c r="J4318" i="1"/>
  <c r="I4318" i="1"/>
  <c r="H4318" i="1"/>
  <c r="G4318" i="1"/>
  <c r="F4318" i="1"/>
  <c r="E4318" i="1"/>
  <c r="D4318" i="1"/>
  <c r="C4318" i="1"/>
  <c r="B4318" i="1"/>
  <c r="A4318" i="1"/>
  <c r="R4317" i="1"/>
  <c r="N4317" i="1"/>
  <c r="J4317" i="1"/>
  <c r="I4317" i="1"/>
  <c r="H4317" i="1"/>
  <c r="G4317" i="1"/>
  <c r="F4317" i="1"/>
  <c r="E4317" i="1"/>
  <c r="D4317" i="1"/>
  <c r="C4317" i="1"/>
  <c r="B4317" i="1"/>
  <c r="A4317" i="1"/>
  <c r="R4316" i="1"/>
  <c r="Q4316" i="1"/>
  <c r="N4316" i="1"/>
  <c r="J4316" i="1"/>
  <c r="I4316" i="1"/>
  <c r="H4316" i="1"/>
  <c r="G4316" i="1"/>
  <c r="F4316" i="1"/>
  <c r="E4316" i="1"/>
  <c r="D4316" i="1"/>
  <c r="C4316" i="1"/>
  <c r="B4316" i="1"/>
  <c r="A4316" i="1"/>
  <c r="R4315" i="1"/>
  <c r="N4315" i="1"/>
  <c r="J4315" i="1"/>
  <c r="I4315" i="1"/>
  <c r="H4315" i="1"/>
  <c r="G4315" i="1"/>
  <c r="F4315" i="1"/>
  <c r="E4315" i="1"/>
  <c r="D4315" i="1"/>
  <c r="C4315" i="1"/>
  <c r="B4315" i="1"/>
  <c r="A4315" i="1"/>
  <c r="R4314" i="1"/>
  <c r="Q4314" i="1"/>
  <c r="N4314" i="1"/>
  <c r="J4314" i="1"/>
  <c r="I4314" i="1"/>
  <c r="H4314" i="1"/>
  <c r="G4314" i="1"/>
  <c r="F4314" i="1"/>
  <c r="E4314" i="1"/>
  <c r="D4314" i="1"/>
  <c r="C4314" i="1"/>
  <c r="B4314" i="1"/>
  <c r="A4314" i="1"/>
  <c r="R4313" i="1"/>
  <c r="N4313" i="1"/>
  <c r="J4313" i="1"/>
  <c r="I4313" i="1"/>
  <c r="H4313" i="1"/>
  <c r="G4313" i="1"/>
  <c r="F4313" i="1"/>
  <c r="E4313" i="1"/>
  <c r="D4313" i="1"/>
  <c r="C4313" i="1"/>
  <c r="B4313" i="1"/>
  <c r="A4313" i="1"/>
  <c r="R4312" i="1"/>
  <c r="N4312" i="1"/>
  <c r="J4312" i="1"/>
  <c r="I4312" i="1"/>
  <c r="H4312" i="1"/>
  <c r="G4312" i="1"/>
  <c r="F4312" i="1"/>
  <c r="E4312" i="1"/>
  <c r="D4312" i="1"/>
  <c r="C4312" i="1"/>
  <c r="B4312" i="1"/>
  <c r="A4312" i="1"/>
  <c r="R4311" i="1"/>
  <c r="N4311" i="1"/>
  <c r="J4311" i="1"/>
  <c r="I4311" i="1"/>
  <c r="H4311" i="1"/>
  <c r="G4311" i="1"/>
  <c r="F4311" i="1"/>
  <c r="E4311" i="1"/>
  <c r="D4311" i="1"/>
  <c r="C4311" i="1"/>
  <c r="B4311" i="1"/>
  <c r="A4311" i="1"/>
  <c r="R4310" i="1"/>
  <c r="Q4310" i="1"/>
  <c r="N4310" i="1"/>
  <c r="J4310" i="1"/>
  <c r="I4310" i="1"/>
  <c r="H4310" i="1"/>
  <c r="G4310" i="1"/>
  <c r="F4310" i="1"/>
  <c r="E4310" i="1"/>
  <c r="D4310" i="1"/>
  <c r="C4310" i="1"/>
  <c r="B4310" i="1"/>
  <c r="A4310" i="1"/>
  <c r="R4309" i="1"/>
  <c r="N4309" i="1"/>
  <c r="J4309" i="1"/>
  <c r="I4309" i="1"/>
  <c r="H4309" i="1"/>
  <c r="G4309" i="1"/>
  <c r="F4309" i="1"/>
  <c r="E4309" i="1"/>
  <c r="D4309" i="1"/>
  <c r="C4309" i="1"/>
  <c r="B4309" i="1"/>
  <c r="A4309" i="1"/>
  <c r="R4308" i="1"/>
  <c r="Q4308" i="1"/>
  <c r="N4308" i="1"/>
  <c r="J4308" i="1"/>
  <c r="I4308" i="1"/>
  <c r="H4308" i="1"/>
  <c r="G4308" i="1"/>
  <c r="F4308" i="1"/>
  <c r="E4308" i="1"/>
  <c r="D4308" i="1"/>
  <c r="C4308" i="1"/>
  <c r="B4308" i="1"/>
  <c r="A4308" i="1"/>
  <c r="R4307" i="1"/>
  <c r="N4307" i="1"/>
  <c r="J4307" i="1"/>
  <c r="I4307" i="1"/>
  <c r="H4307" i="1"/>
  <c r="G4307" i="1"/>
  <c r="F4307" i="1"/>
  <c r="E4307" i="1"/>
  <c r="D4307" i="1"/>
  <c r="C4307" i="1"/>
  <c r="B4307" i="1"/>
  <c r="A4307" i="1"/>
  <c r="R4306" i="1"/>
  <c r="Q4306" i="1"/>
  <c r="N4306" i="1"/>
  <c r="J4306" i="1"/>
  <c r="I4306" i="1"/>
  <c r="H4306" i="1"/>
  <c r="G4306" i="1"/>
  <c r="F4306" i="1"/>
  <c r="E4306" i="1"/>
  <c r="D4306" i="1"/>
  <c r="C4306" i="1"/>
  <c r="B4306" i="1"/>
  <c r="A4306" i="1"/>
  <c r="R4305" i="1"/>
  <c r="N4305" i="1"/>
  <c r="J4305" i="1"/>
  <c r="I4305" i="1"/>
  <c r="H4305" i="1"/>
  <c r="G4305" i="1"/>
  <c r="F4305" i="1"/>
  <c r="E4305" i="1"/>
  <c r="D4305" i="1"/>
  <c r="C4305" i="1"/>
  <c r="B4305" i="1"/>
  <c r="A4305" i="1"/>
  <c r="R4304" i="1"/>
  <c r="Q4304" i="1"/>
  <c r="N4304" i="1"/>
  <c r="J4304" i="1"/>
  <c r="I4304" i="1"/>
  <c r="H4304" i="1"/>
  <c r="G4304" i="1"/>
  <c r="F4304" i="1"/>
  <c r="E4304" i="1"/>
  <c r="D4304" i="1"/>
  <c r="C4304" i="1"/>
  <c r="B4304" i="1"/>
  <c r="A4304" i="1"/>
  <c r="R4303" i="1"/>
  <c r="N4303" i="1"/>
  <c r="J4303" i="1"/>
  <c r="I4303" i="1"/>
  <c r="H4303" i="1"/>
  <c r="G4303" i="1"/>
  <c r="F4303" i="1"/>
  <c r="E4303" i="1"/>
  <c r="D4303" i="1"/>
  <c r="C4303" i="1"/>
  <c r="B4303" i="1"/>
  <c r="A4303" i="1"/>
  <c r="R4302" i="1"/>
  <c r="Q4302" i="1"/>
  <c r="N4302" i="1"/>
  <c r="J4302" i="1"/>
  <c r="I4302" i="1"/>
  <c r="H4302" i="1"/>
  <c r="G4302" i="1"/>
  <c r="F4302" i="1"/>
  <c r="E4302" i="1"/>
  <c r="D4302" i="1"/>
  <c r="C4302" i="1"/>
  <c r="B4302" i="1"/>
  <c r="A4302" i="1"/>
  <c r="R4301" i="1"/>
  <c r="N4301" i="1"/>
  <c r="J4301" i="1"/>
  <c r="I4301" i="1"/>
  <c r="H4301" i="1"/>
  <c r="G4301" i="1"/>
  <c r="F4301" i="1"/>
  <c r="E4301" i="1"/>
  <c r="D4301" i="1"/>
  <c r="C4301" i="1"/>
  <c r="B4301" i="1"/>
  <c r="A4301" i="1"/>
  <c r="R4300" i="1"/>
  <c r="Q4300" i="1"/>
  <c r="N4300" i="1"/>
  <c r="J4300" i="1"/>
  <c r="I4300" i="1"/>
  <c r="H4300" i="1"/>
  <c r="G4300" i="1"/>
  <c r="F4300" i="1"/>
  <c r="E4300" i="1"/>
  <c r="D4300" i="1"/>
  <c r="C4300" i="1"/>
  <c r="B4300" i="1"/>
  <c r="A4300" i="1"/>
  <c r="R4299" i="1"/>
  <c r="N4299" i="1"/>
  <c r="J4299" i="1"/>
  <c r="I4299" i="1"/>
  <c r="H4299" i="1"/>
  <c r="G4299" i="1"/>
  <c r="F4299" i="1"/>
  <c r="E4299" i="1"/>
  <c r="D4299" i="1"/>
  <c r="C4299" i="1"/>
  <c r="B4299" i="1"/>
  <c r="A4299" i="1"/>
  <c r="R4298" i="1"/>
  <c r="Q4298" i="1"/>
  <c r="N4298" i="1"/>
  <c r="J4298" i="1"/>
  <c r="I4298" i="1"/>
  <c r="H4298" i="1"/>
  <c r="G4298" i="1"/>
  <c r="F4298" i="1"/>
  <c r="E4298" i="1"/>
  <c r="D4298" i="1"/>
  <c r="C4298" i="1"/>
  <c r="B4298" i="1"/>
  <c r="A4298" i="1"/>
  <c r="R4297" i="1"/>
  <c r="N4297" i="1"/>
  <c r="J4297" i="1"/>
  <c r="I4297" i="1"/>
  <c r="H4297" i="1"/>
  <c r="G4297" i="1"/>
  <c r="F4297" i="1"/>
  <c r="E4297" i="1"/>
  <c r="D4297" i="1"/>
  <c r="C4297" i="1"/>
  <c r="B4297" i="1"/>
  <c r="A4297" i="1"/>
  <c r="R4296" i="1"/>
  <c r="Q4296" i="1"/>
  <c r="N4296" i="1"/>
  <c r="J4296" i="1"/>
  <c r="I4296" i="1"/>
  <c r="H4296" i="1"/>
  <c r="G4296" i="1"/>
  <c r="F4296" i="1"/>
  <c r="E4296" i="1"/>
  <c r="D4296" i="1"/>
  <c r="C4296" i="1"/>
  <c r="B4296" i="1"/>
  <c r="A4296" i="1"/>
  <c r="R4295" i="1"/>
  <c r="N4295" i="1"/>
  <c r="J4295" i="1"/>
  <c r="I4295" i="1"/>
  <c r="H4295" i="1"/>
  <c r="G4295" i="1"/>
  <c r="F4295" i="1"/>
  <c r="E4295" i="1"/>
  <c r="D4295" i="1"/>
  <c r="C4295" i="1"/>
  <c r="B4295" i="1"/>
  <c r="A4295" i="1"/>
  <c r="R4294" i="1"/>
  <c r="Q4294" i="1"/>
  <c r="N4294" i="1"/>
  <c r="J4294" i="1"/>
  <c r="I4294" i="1"/>
  <c r="H4294" i="1"/>
  <c r="G4294" i="1"/>
  <c r="F4294" i="1"/>
  <c r="E4294" i="1"/>
  <c r="D4294" i="1"/>
  <c r="C4294" i="1"/>
  <c r="B4294" i="1"/>
  <c r="A4294" i="1"/>
  <c r="R4293" i="1"/>
  <c r="N4293" i="1"/>
  <c r="J4293" i="1"/>
  <c r="I4293" i="1"/>
  <c r="H4293" i="1"/>
  <c r="G4293" i="1"/>
  <c r="F4293" i="1"/>
  <c r="E4293" i="1"/>
  <c r="D4293" i="1"/>
  <c r="C4293" i="1"/>
  <c r="B4293" i="1"/>
  <c r="A4293" i="1"/>
  <c r="R4292" i="1"/>
  <c r="Q4292" i="1"/>
  <c r="N4292" i="1"/>
  <c r="J4292" i="1"/>
  <c r="I4292" i="1"/>
  <c r="H4292" i="1"/>
  <c r="G4292" i="1"/>
  <c r="F4292" i="1"/>
  <c r="E4292" i="1"/>
  <c r="D4292" i="1"/>
  <c r="C4292" i="1"/>
  <c r="B4292" i="1"/>
  <c r="A4292" i="1"/>
  <c r="R4291" i="1"/>
  <c r="N4291" i="1"/>
  <c r="J4291" i="1"/>
  <c r="I4291" i="1"/>
  <c r="H4291" i="1"/>
  <c r="G4291" i="1"/>
  <c r="F4291" i="1"/>
  <c r="E4291" i="1"/>
  <c r="D4291" i="1"/>
  <c r="C4291" i="1"/>
  <c r="B4291" i="1"/>
  <c r="A4291" i="1"/>
  <c r="R4290" i="1"/>
  <c r="Q4290" i="1"/>
  <c r="N4290" i="1"/>
  <c r="J4290" i="1"/>
  <c r="I4290" i="1"/>
  <c r="H4290" i="1"/>
  <c r="G4290" i="1"/>
  <c r="F4290" i="1"/>
  <c r="E4290" i="1"/>
  <c r="D4290" i="1"/>
  <c r="C4290" i="1"/>
  <c r="B4290" i="1"/>
  <c r="A4290" i="1"/>
  <c r="R4289" i="1"/>
  <c r="N4289" i="1"/>
  <c r="J4289" i="1"/>
  <c r="I4289" i="1"/>
  <c r="H4289" i="1"/>
  <c r="G4289" i="1"/>
  <c r="F4289" i="1"/>
  <c r="E4289" i="1"/>
  <c r="D4289" i="1"/>
  <c r="C4289" i="1"/>
  <c r="B4289" i="1"/>
  <c r="A4289" i="1"/>
  <c r="R4288" i="1"/>
  <c r="Q4288" i="1"/>
  <c r="N4288" i="1"/>
  <c r="J4288" i="1"/>
  <c r="I4288" i="1"/>
  <c r="H4288" i="1"/>
  <c r="G4288" i="1"/>
  <c r="F4288" i="1"/>
  <c r="E4288" i="1"/>
  <c r="D4288" i="1"/>
  <c r="C4288" i="1"/>
  <c r="B4288" i="1"/>
  <c r="A4288" i="1"/>
  <c r="R4287" i="1"/>
  <c r="N4287" i="1"/>
  <c r="J4287" i="1"/>
  <c r="I4287" i="1"/>
  <c r="H4287" i="1"/>
  <c r="G4287" i="1"/>
  <c r="F4287" i="1"/>
  <c r="E4287" i="1"/>
  <c r="D4287" i="1"/>
  <c r="C4287" i="1"/>
  <c r="B4287" i="1"/>
  <c r="A4287" i="1"/>
  <c r="R4286" i="1"/>
  <c r="Q4286" i="1"/>
  <c r="N4286" i="1"/>
  <c r="J4286" i="1"/>
  <c r="I4286" i="1"/>
  <c r="H4286" i="1"/>
  <c r="G4286" i="1"/>
  <c r="F4286" i="1"/>
  <c r="E4286" i="1"/>
  <c r="D4286" i="1"/>
  <c r="C4286" i="1"/>
  <c r="B4286" i="1"/>
  <c r="A4286" i="1"/>
  <c r="R4285" i="1"/>
  <c r="N4285" i="1"/>
  <c r="J4285" i="1"/>
  <c r="I4285" i="1"/>
  <c r="H4285" i="1"/>
  <c r="G4285" i="1"/>
  <c r="F4285" i="1"/>
  <c r="E4285" i="1"/>
  <c r="D4285" i="1"/>
  <c r="C4285" i="1"/>
  <c r="B4285" i="1"/>
  <c r="A4285" i="1"/>
  <c r="R4284" i="1"/>
  <c r="Q4284" i="1"/>
  <c r="N4284" i="1"/>
  <c r="J4284" i="1"/>
  <c r="I4284" i="1"/>
  <c r="H4284" i="1"/>
  <c r="G4284" i="1"/>
  <c r="F4284" i="1"/>
  <c r="E4284" i="1"/>
  <c r="D4284" i="1"/>
  <c r="C4284" i="1"/>
  <c r="B4284" i="1"/>
  <c r="A4284" i="1"/>
  <c r="R4283" i="1"/>
  <c r="N4283" i="1"/>
  <c r="J4283" i="1"/>
  <c r="I4283" i="1"/>
  <c r="H4283" i="1"/>
  <c r="G4283" i="1"/>
  <c r="F4283" i="1"/>
  <c r="E4283" i="1"/>
  <c r="D4283" i="1"/>
  <c r="C4283" i="1"/>
  <c r="B4283" i="1"/>
  <c r="A4283" i="1"/>
  <c r="R4282" i="1"/>
  <c r="Q4282" i="1"/>
  <c r="N4282" i="1"/>
  <c r="J4282" i="1"/>
  <c r="I4282" i="1"/>
  <c r="H4282" i="1"/>
  <c r="G4282" i="1"/>
  <c r="F4282" i="1"/>
  <c r="E4282" i="1"/>
  <c r="D4282" i="1"/>
  <c r="C4282" i="1"/>
  <c r="B4282" i="1"/>
  <c r="A4282" i="1"/>
  <c r="R4281" i="1"/>
  <c r="N4281" i="1"/>
  <c r="J4281" i="1"/>
  <c r="I4281" i="1"/>
  <c r="H4281" i="1"/>
  <c r="G4281" i="1"/>
  <c r="F4281" i="1"/>
  <c r="E4281" i="1"/>
  <c r="D4281" i="1"/>
  <c r="C4281" i="1"/>
  <c r="B4281" i="1"/>
  <c r="A4281" i="1"/>
  <c r="R4280" i="1"/>
  <c r="Q4280" i="1"/>
  <c r="N4280" i="1"/>
  <c r="J4280" i="1"/>
  <c r="I4280" i="1"/>
  <c r="H4280" i="1"/>
  <c r="G4280" i="1"/>
  <c r="F4280" i="1"/>
  <c r="E4280" i="1"/>
  <c r="D4280" i="1"/>
  <c r="C4280" i="1"/>
  <c r="B4280" i="1"/>
  <c r="A4280" i="1"/>
  <c r="R4279" i="1"/>
  <c r="N4279" i="1"/>
  <c r="J4279" i="1"/>
  <c r="I4279" i="1"/>
  <c r="H4279" i="1"/>
  <c r="G4279" i="1"/>
  <c r="F4279" i="1"/>
  <c r="E4279" i="1"/>
  <c r="D4279" i="1"/>
  <c r="C4279" i="1"/>
  <c r="B4279" i="1"/>
  <c r="A4279" i="1"/>
  <c r="R4278" i="1"/>
  <c r="N4278" i="1"/>
  <c r="J4278" i="1"/>
  <c r="I4278" i="1"/>
  <c r="H4278" i="1"/>
  <c r="G4278" i="1"/>
  <c r="F4278" i="1"/>
  <c r="E4278" i="1"/>
  <c r="D4278" i="1"/>
  <c r="C4278" i="1"/>
  <c r="B4278" i="1"/>
  <c r="A4278" i="1"/>
  <c r="R4277" i="1"/>
  <c r="Q4277" i="1"/>
  <c r="N4277" i="1"/>
  <c r="J4277" i="1"/>
  <c r="I4277" i="1"/>
  <c r="H4277" i="1"/>
  <c r="G4277" i="1"/>
  <c r="F4277" i="1"/>
  <c r="E4277" i="1"/>
  <c r="D4277" i="1"/>
  <c r="C4277" i="1"/>
  <c r="A4277" i="1"/>
  <c r="R4276" i="1"/>
  <c r="N4276" i="1"/>
  <c r="J4276" i="1"/>
  <c r="I4276" i="1"/>
  <c r="H4276" i="1"/>
  <c r="G4276" i="1"/>
  <c r="F4276" i="1"/>
  <c r="E4276" i="1"/>
  <c r="D4276" i="1"/>
  <c r="C4276" i="1"/>
  <c r="A4276" i="1"/>
  <c r="R4275" i="1"/>
  <c r="Q4275" i="1"/>
  <c r="N4275" i="1"/>
  <c r="J4275" i="1"/>
  <c r="I4275" i="1"/>
  <c r="H4275" i="1"/>
  <c r="G4275" i="1"/>
  <c r="F4275" i="1"/>
  <c r="E4275" i="1"/>
  <c r="D4275" i="1"/>
  <c r="C4275" i="1"/>
  <c r="A4275" i="1"/>
  <c r="R4274" i="1"/>
  <c r="N4274" i="1"/>
  <c r="J4274" i="1"/>
  <c r="I4274" i="1"/>
  <c r="H4274" i="1"/>
  <c r="G4274" i="1"/>
  <c r="F4274" i="1"/>
  <c r="E4274" i="1"/>
  <c r="D4274" i="1"/>
  <c r="C4274" i="1"/>
  <c r="B4274" i="1"/>
  <c r="A4274" i="1"/>
  <c r="R4273" i="1"/>
  <c r="Q4273" i="1"/>
  <c r="N4273" i="1"/>
  <c r="J4273" i="1"/>
  <c r="I4273" i="1"/>
  <c r="H4273" i="1"/>
  <c r="G4273" i="1"/>
  <c r="F4273" i="1"/>
  <c r="E4273" i="1"/>
  <c r="D4273" i="1"/>
  <c r="C4273" i="1"/>
  <c r="B4273" i="1"/>
  <c r="A4273" i="1"/>
  <c r="R4272" i="1"/>
  <c r="N4272" i="1"/>
  <c r="J4272" i="1"/>
  <c r="I4272" i="1"/>
  <c r="H4272" i="1"/>
  <c r="G4272" i="1"/>
  <c r="F4272" i="1"/>
  <c r="E4272" i="1"/>
  <c r="D4272" i="1"/>
  <c r="C4272" i="1"/>
  <c r="B4272" i="1"/>
  <c r="A4272" i="1"/>
  <c r="R4271" i="1"/>
  <c r="Q4271" i="1"/>
  <c r="N4271" i="1"/>
  <c r="J4271" i="1"/>
  <c r="I4271" i="1"/>
  <c r="H4271" i="1"/>
  <c r="G4271" i="1"/>
  <c r="F4271" i="1"/>
  <c r="E4271" i="1"/>
  <c r="D4271" i="1"/>
  <c r="C4271" i="1"/>
  <c r="B4271" i="1"/>
  <c r="A4271" i="1"/>
  <c r="R4270" i="1"/>
  <c r="N4270" i="1"/>
  <c r="J4270" i="1"/>
  <c r="I4270" i="1"/>
  <c r="H4270" i="1"/>
  <c r="G4270" i="1"/>
  <c r="F4270" i="1"/>
  <c r="E4270" i="1"/>
  <c r="D4270" i="1"/>
  <c r="C4270" i="1"/>
  <c r="B4270" i="1"/>
  <c r="A4270" i="1"/>
  <c r="R4269" i="1"/>
  <c r="Q4269" i="1"/>
  <c r="N4269" i="1"/>
  <c r="J4269" i="1"/>
  <c r="I4269" i="1"/>
  <c r="H4269" i="1"/>
  <c r="G4269" i="1"/>
  <c r="F4269" i="1"/>
  <c r="E4269" i="1"/>
  <c r="D4269" i="1"/>
  <c r="C4269" i="1"/>
  <c r="B4269" i="1"/>
  <c r="A4269" i="1"/>
  <c r="R4268" i="1"/>
  <c r="N4268" i="1"/>
  <c r="J4268" i="1"/>
  <c r="I4268" i="1"/>
  <c r="H4268" i="1"/>
  <c r="G4268" i="1"/>
  <c r="F4268" i="1"/>
  <c r="E4268" i="1"/>
  <c r="D4268" i="1"/>
  <c r="C4268" i="1"/>
  <c r="B4268" i="1"/>
  <c r="A4268" i="1"/>
  <c r="R4267" i="1"/>
  <c r="Q4267" i="1"/>
  <c r="N4267" i="1"/>
  <c r="J4267" i="1"/>
  <c r="I4267" i="1"/>
  <c r="H4267" i="1"/>
  <c r="G4267" i="1"/>
  <c r="F4267" i="1"/>
  <c r="E4267" i="1"/>
  <c r="D4267" i="1"/>
  <c r="C4267" i="1"/>
  <c r="B4267" i="1"/>
  <c r="A4267" i="1"/>
  <c r="R4266" i="1"/>
  <c r="N4266" i="1"/>
  <c r="J4266" i="1"/>
  <c r="I4266" i="1"/>
  <c r="H4266" i="1"/>
  <c r="G4266" i="1"/>
  <c r="F4266" i="1"/>
  <c r="E4266" i="1"/>
  <c r="D4266" i="1"/>
  <c r="C4266" i="1"/>
  <c r="B4266" i="1"/>
  <c r="A4266" i="1"/>
  <c r="R4265" i="1"/>
  <c r="Q4265" i="1"/>
  <c r="N4265" i="1"/>
  <c r="J4265" i="1"/>
  <c r="I4265" i="1"/>
  <c r="H4265" i="1"/>
  <c r="G4265" i="1"/>
  <c r="F4265" i="1"/>
  <c r="E4265" i="1"/>
  <c r="D4265" i="1"/>
  <c r="C4265" i="1"/>
  <c r="B4265" i="1"/>
  <c r="A4265" i="1"/>
  <c r="R4264" i="1"/>
  <c r="N4264" i="1"/>
  <c r="J4264" i="1"/>
  <c r="I4264" i="1"/>
  <c r="H4264" i="1"/>
  <c r="G4264" i="1"/>
  <c r="F4264" i="1"/>
  <c r="E4264" i="1"/>
  <c r="D4264" i="1"/>
  <c r="C4264" i="1"/>
  <c r="B4264" i="1"/>
  <c r="A4264" i="1"/>
  <c r="R4263" i="1"/>
  <c r="Q4263" i="1"/>
  <c r="N4263" i="1"/>
  <c r="J4263" i="1"/>
  <c r="I4263" i="1"/>
  <c r="H4263" i="1"/>
  <c r="G4263" i="1"/>
  <c r="F4263" i="1"/>
  <c r="E4263" i="1"/>
  <c r="D4263" i="1"/>
  <c r="C4263" i="1"/>
  <c r="B4263" i="1"/>
  <c r="A4263" i="1"/>
  <c r="R4262" i="1"/>
  <c r="N4262" i="1"/>
  <c r="J4262" i="1"/>
  <c r="I4262" i="1"/>
  <c r="H4262" i="1"/>
  <c r="G4262" i="1"/>
  <c r="F4262" i="1"/>
  <c r="E4262" i="1"/>
  <c r="D4262" i="1"/>
  <c r="C4262" i="1"/>
  <c r="B4262" i="1"/>
  <c r="A4262" i="1"/>
  <c r="R4261" i="1"/>
  <c r="Q4261" i="1"/>
  <c r="N4261" i="1"/>
  <c r="J4261" i="1"/>
  <c r="I4261" i="1"/>
  <c r="H4261" i="1"/>
  <c r="G4261" i="1"/>
  <c r="F4261" i="1"/>
  <c r="E4261" i="1"/>
  <c r="D4261" i="1"/>
  <c r="C4261" i="1"/>
  <c r="B4261" i="1"/>
  <c r="A4261" i="1"/>
  <c r="R4260" i="1"/>
  <c r="N4260" i="1"/>
  <c r="J4260" i="1"/>
  <c r="I4260" i="1"/>
  <c r="H4260" i="1"/>
  <c r="G4260" i="1"/>
  <c r="F4260" i="1"/>
  <c r="E4260" i="1"/>
  <c r="D4260" i="1"/>
  <c r="C4260" i="1"/>
  <c r="B4260" i="1"/>
  <c r="A4260" i="1"/>
  <c r="R4259" i="1"/>
  <c r="Q4259" i="1"/>
  <c r="N4259" i="1"/>
  <c r="J4259" i="1"/>
  <c r="I4259" i="1"/>
  <c r="H4259" i="1"/>
  <c r="G4259" i="1"/>
  <c r="F4259" i="1"/>
  <c r="E4259" i="1"/>
  <c r="D4259" i="1"/>
  <c r="C4259" i="1"/>
  <c r="B4259" i="1"/>
  <c r="A4259" i="1"/>
  <c r="R4258" i="1"/>
  <c r="N4258" i="1"/>
  <c r="J4258" i="1"/>
  <c r="I4258" i="1"/>
  <c r="H4258" i="1"/>
  <c r="G4258" i="1"/>
  <c r="F4258" i="1"/>
  <c r="E4258" i="1"/>
  <c r="D4258" i="1"/>
  <c r="C4258" i="1"/>
  <c r="B4258" i="1"/>
  <c r="A4258" i="1"/>
  <c r="R4257" i="1"/>
  <c r="Q4257" i="1"/>
  <c r="N4257" i="1"/>
  <c r="J4257" i="1"/>
  <c r="I4257" i="1"/>
  <c r="H4257" i="1"/>
  <c r="G4257" i="1"/>
  <c r="F4257" i="1"/>
  <c r="E4257" i="1"/>
  <c r="D4257" i="1"/>
  <c r="C4257" i="1"/>
  <c r="B4257" i="1"/>
  <c r="A4257" i="1"/>
  <c r="R4256" i="1"/>
  <c r="N4256" i="1"/>
  <c r="J4256" i="1"/>
  <c r="I4256" i="1"/>
  <c r="H4256" i="1"/>
  <c r="G4256" i="1"/>
  <c r="F4256" i="1"/>
  <c r="E4256" i="1"/>
  <c r="D4256" i="1"/>
  <c r="C4256" i="1"/>
  <c r="B4256" i="1"/>
  <c r="A4256" i="1"/>
  <c r="R4255" i="1"/>
  <c r="Q4255" i="1"/>
  <c r="N4255" i="1"/>
  <c r="J4255" i="1"/>
  <c r="I4255" i="1"/>
  <c r="H4255" i="1"/>
  <c r="G4255" i="1"/>
  <c r="F4255" i="1"/>
  <c r="E4255" i="1"/>
  <c r="D4255" i="1"/>
  <c r="C4255" i="1"/>
  <c r="B4255" i="1"/>
  <c r="A4255" i="1"/>
  <c r="R4254" i="1"/>
  <c r="N4254" i="1"/>
  <c r="J4254" i="1"/>
  <c r="I4254" i="1"/>
  <c r="H4254" i="1"/>
  <c r="G4254" i="1"/>
  <c r="F4254" i="1"/>
  <c r="E4254" i="1"/>
  <c r="D4254" i="1"/>
  <c r="C4254" i="1"/>
  <c r="B4254" i="1"/>
  <c r="A4254" i="1"/>
  <c r="R4253" i="1"/>
  <c r="Q4253" i="1"/>
  <c r="N4253" i="1"/>
  <c r="J4253" i="1"/>
  <c r="I4253" i="1"/>
  <c r="H4253" i="1"/>
  <c r="G4253" i="1"/>
  <c r="F4253" i="1"/>
  <c r="E4253" i="1"/>
  <c r="D4253" i="1"/>
  <c r="C4253" i="1"/>
  <c r="B4253" i="1"/>
  <c r="A4253" i="1"/>
  <c r="R4252" i="1"/>
  <c r="N4252" i="1"/>
  <c r="J4252" i="1"/>
  <c r="I4252" i="1"/>
  <c r="H4252" i="1"/>
  <c r="G4252" i="1"/>
  <c r="F4252" i="1"/>
  <c r="E4252" i="1"/>
  <c r="D4252" i="1"/>
  <c r="C4252" i="1"/>
  <c r="B4252" i="1"/>
  <c r="A4252" i="1"/>
  <c r="R4251" i="1"/>
  <c r="Q4251" i="1"/>
  <c r="N4251" i="1"/>
  <c r="J4251" i="1"/>
  <c r="I4251" i="1"/>
  <c r="H4251" i="1"/>
  <c r="G4251" i="1"/>
  <c r="F4251" i="1"/>
  <c r="E4251" i="1"/>
  <c r="D4251" i="1"/>
  <c r="C4251" i="1"/>
  <c r="B4251" i="1"/>
  <c r="A4251" i="1"/>
  <c r="R4250" i="1"/>
  <c r="N4250" i="1"/>
  <c r="J4250" i="1"/>
  <c r="I4250" i="1"/>
  <c r="H4250" i="1"/>
  <c r="G4250" i="1"/>
  <c r="F4250" i="1"/>
  <c r="E4250" i="1"/>
  <c r="D4250" i="1"/>
  <c r="C4250" i="1"/>
  <c r="B4250" i="1"/>
  <c r="A4250" i="1"/>
  <c r="R4249" i="1"/>
  <c r="Q4249" i="1"/>
  <c r="N4249" i="1"/>
  <c r="J4249" i="1"/>
  <c r="I4249" i="1"/>
  <c r="H4249" i="1"/>
  <c r="G4249" i="1"/>
  <c r="F4249" i="1"/>
  <c r="E4249" i="1"/>
  <c r="D4249" i="1"/>
  <c r="C4249" i="1"/>
  <c r="B4249" i="1"/>
  <c r="A4249" i="1"/>
  <c r="R4248" i="1"/>
  <c r="N4248" i="1"/>
  <c r="J4248" i="1"/>
  <c r="I4248" i="1"/>
  <c r="H4248" i="1"/>
  <c r="G4248" i="1"/>
  <c r="F4248" i="1"/>
  <c r="E4248" i="1"/>
  <c r="D4248" i="1"/>
  <c r="C4248" i="1"/>
  <c r="B4248" i="1"/>
  <c r="A4248" i="1"/>
  <c r="R4247" i="1"/>
  <c r="Q4247" i="1"/>
  <c r="N4247" i="1"/>
  <c r="J4247" i="1"/>
  <c r="I4247" i="1"/>
  <c r="H4247" i="1"/>
  <c r="G4247" i="1"/>
  <c r="F4247" i="1"/>
  <c r="E4247" i="1"/>
  <c r="D4247" i="1"/>
  <c r="C4247" i="1"/>
  <c r="B4247" i="1"/>
  <c r="A4247" i="1"/>
  <c r="R4246" i="1"/>
  <c r="N4246" i="1"/>
  <c r="J4246" i="1"/>
  <c r="I4246" i="1"/>
  <c r="H4246" i="1"/>
  <c r="G4246" i="1"/>
  <c r="F4246" i="1"/>
  <c r="E4246" i="1"/>
  <c r="D4246" i="1"/>
  <c r="C4246" i="1"/>
  <c r="B4246" i="1"/>
  <c r="A4246" i="1"/>
  <c r="R4245" i="1"/>
  <c r="Q4245" i="1"/>
  <c r="N4245" i="1"/>
  <c r="J4245" i="1"/>
  <c r="I4245" i="1"/>
  <c r="H4245" i="1"/>
  <c r="G4245" i="1"/>
  <c r="F4245" i="1"/>
  <c r="E4245" i="1"/>
  <c r="D4245" i="1"/>
  <c r="C4245" i="1"/>
  <c r="B4245" i="1"/>
  <c r="A4245" i="1"/>
  <c r="R4244" i="1"/>
  <c r="N4244" i="1"/>
  <c r="J4244" i="1"/>
  <c r="I4244" i="1"/>
  <c r="H4244" i="1"/>
  <c r="G4244" i="1"/>
  <c r="F4244" i="1"/>
  <c r="E4244" i="1"/>
  <c r="D4244" i="1"/>
  <c r="C4244" i="1"/>
  <c r="B4244" i="1"/>
  <c r="A4244" i="1"/>
  <c r="R4243" i="1"/>
  <c r="Q4243" i="1"/>
  <c r="N4243" i="1"/>
  <c r="J4243" i="1"/>
  <c r="I4243" i="1"/>
  <c r="H4243" i="1"/>
  <c r="G4243" i="1"/>
  <c r="F4243" i="1"/>
  <c r="E4243" i="1"/>
  <c r="D4243" i="1"/>
  <c r="C4243" i="1"/>
  <c r="A4243" i="1"/>
  <c r="R4242" i="1"/>
  <c r="N4242" i="1"/>
  <c r="J4242" i="1"/>
  <c r="I4242" i="1"/>
  <c r="H4242" i="1"/>
  <c r="G4242" i="1"/>
  <c r="F4242" i="1"/>
  <c r="E4242" i="1"/>
  <c r="D4242" i="1"/>
  <c r="C4242" i="1"/>
  <c r="A4242" i="1"/>
  <c r="R4241" i="1"/>
  <c r="Q4241" i="1"/>
  <c r="N4241" i="1"/>
  <c r="J4241" i="1"/>
  <c r="I4241" i="1"/>
  <c r="H4241" i="1"/>
  <c r="G4241" i="1"/>
  <c r="F4241" i="1"/>
  <c r="E4241" i="1"/>
  <c r="D4241" i="1"/>
  <c r="C4241" i="1"/>
  <c r="A4241" i="1"/>
  <c r="R4240" i="1"/>
  <c r="N4240" i="1"/>
  <c r="J4240" i="1"/>
  <c r="I4240" i="1"/>
  <c r="H4240" i="1"/>
  <c r="G4240" i="1"/>
  <c r="F4240" i="1"/>
  <c r="E4240" i="1"/>
  <c r="D4240" i="1"/>
  <c r="C4240" i="1"/>
  <c r="A4240" i="1"/>
  <c r="R4239" i="1"/>
  <c r="Q4239" i="1"/>
  <c r="N4239" i="1"/>
  <c r="J4239" i="1"/>
  <c r="I4239" i="1"/>
  <c r="H4239" i="1"/>
  <c r="G4239" i="1"/>
  <c r="F4239" i="1"/>
  <c r="E4239" i="1"/>
  <c r="D4239" i="1"/>
  <c r="C4239" i="1"/>
  <c r="A4239" i="1"/>
  <c r="R4238" i="1"/>
  <c r="N4238" i="1"/>
  <c r="J4238" i="1"/>
  <c r="I4238" i="1"/>
  <c r="H4238" i="1"/>
  <c r="G4238" i="1"/>
  <c r="F4238" i="1"/>
  <c r="E4238" i="1"/>
  <c r="D4238" i="1"/>
  <c r="C4238" i="1"/>
  <c r="A4238" i="1"/>
  <c r="R4237" i="1"/>
  <c r="Q4237" i="1"/>
  <c r="N4237" i="1"/>
  <c r="J4237" i="1"/>
  <c r="I4237" i="1"/>
  <c r="H4237" i="1"/>
  <c r="G4237" i="1"/>
  <c r="F4237" i="1"/>
  <c r="E4237" i="1"/>
  <c r="D4237" i="1"/>
  <c r="C4237" i="1"/>
  <c r="A4237" i="1"/>
  <c r="R4236" i="1"/>
  <c r="N4236" i="1"/>
  <c r="J4236" i="1"/>
  <c r="I4236" i="1"/>
  <c r="H4236" i="1"/>
  <c r="G4236" i="1"/>
  <c r="F4236" i="1"/>
  <c r="E4236" i="1"/>
  <c r="D4236" i="1"/>
  <c r="C4236" i="1"/>
  <c r="A4236" i="1"/>
  <c r="R4235" i="1"/>
  <c r="Q4235" i="1"/>
  <c r="N4235" i="1"/>
  <c r="J4235" i="1"/>
  <c r="I4235" i="1"/>
  <c r="H4235" i="1"/>
  <c r="G4235" i="1"/>
  <c r="F4235" i="1"/>
  <c r="E4235" i="1"/>
  <c r="D4235" i="1"/>
  <c r="C4235" i="1"/>
  <c r="A4235" i="1"/>
  <c r="R4234" i="1"/>
  <c r="N4234" i="1"/>
  <c r="J4234" i="1"/>
  <c r="I4234" i="1"/>
  <c r="H4234" i="1"/>
  <c r="G4234" i="1"/>
  <c r="F4234" i="1"/>
  <c r="E4234" i="1"/>
  <c r="D4234" i="1"/>
  <c r="C4234" i="1"/>
  <c r="A4234" i="1"/>
  <c r="R4233" i="1"/>
  <c r="Q4233" i="1"/>
  <c r="N4233" i="1"/>
  <c r="J4233" i="1"/>
  <c r="I4233" i="1"/>
  <c r="H4233" i="1"/>
  <c r="G4233" i="1"/>
  <c r="F4233" i="1"/>
  <c r="E4233" i="1"/>
  <c r="D4233" i="1"/>
  <c r="C4233" i="1"/>
  <c r="A4233" i="1"/>
  <c r="R4232" i="1"/>
  <c r="N4232" i="1"/>
  <c r="J4232" i="1"/>
  <c r="I4232" i="1"/>
  <c r="H4232" i="1"/>
  <c r="G4232" i="1"/>
  <c r="F4232" i="1"/>
  <c r="E4232" i="1"/>
  <c r="D4232" i="1"/>
  <c r="C4232" i="1"/>
  <c r="A4232" i="1"/>
  <c r="R4231" i="1"/>
  <c r="Q4231" i="1"/>
  <c r="N4231" i="1"/>
  <c r="J4231" i="1"/>
  <c r="I4231" i="1"/>
  <c r="H4231" i="1"/>
  <c r="G4231" i="1"/>
  <c r="F4231" i="1"/>
  <c r="E4231" i="1"/>
  <c r="D4231" i="1"/>
  <c r="C4231" i="1"/>
  <c r="A4231" i="1"/>
  <c r="R4230" i="1"/>
  <c r="Q4230" i="1"/>
  <c r="N4230" i="1"/>
  <c r="J4230" i="1"/>
  <c r="I4230" i="1"/>
  <c r="H4230" i="1"/>
  <c r="G4230" i="1"/>
  <c r="F4230" i="1"/>
  <c r="E4230" i="1"/>
  <c r="D4230" i="1"/>
  <c r="C4230" i="1"/>
  <c r="A4230" i="1"/>
  <c r="R4229" i="1"/>
  <c r="Q4229" i="1"/>
  <c r="N4229" i="1"/>
  <c r="J4229" i="1"/>
  <c r="I4229" i="1"/>
  <c r="H4229" i="1"/>
  <c r="G4229" i="1"/>
  <c r="F4229" i="1"/>
  <c r="E4229" i="1"/>
  <c r="D4229" i="1"/>
  <c r="C4229" i="1"/>
  <c r="A4229" i="1"/>
  <c r="R4228" i="1"/>
  <c r="N4228" i="1"/>
  <c r="J4228" i="1"/>
  <c r="I4228" i="1"/>
  <c r="H4228" i="1"/>
  <c r="G4228" i="1"/>
  <c r="F4228" i="1"/>
  <c r="E4228" i="1"/>
  <c r="D4228" i="1"/>
  <c r="C4228" i="1"/>
  <c r="A4228" i="1"/>
  <c r="R4227" i="1"/>
  <c r="Q4227" i="1"/>
  <c r="N4227" i="1"/>
  <c r="J4227" i="1"/>
  <c r="I4227" i="1"/>
  <c r="H4227" i="1"/>
  <c r="G4227" i="1"/>
  <c r="F4227" i="1"/>
  <c r="E4227" i="1"/>
  <c r="D4227" i="1"/>
  <c r="C4227" i="1"/>
  <c r="A4227" i="1"/>
  <c r="R4226" i="1"/>
  <c r="N4226" i="1"/>
  <c r="J4226" i="1"/>
  <c r="I4226" i="1"/>
  <c r="H4226" i="1"/>
  <c r="G4226" i="1"/>
  <c r="F4226" i="1"/>
  <c r="E4226" i="1"/>
  <c r="D4226" i="1"/>
  <c r="C4226" i="1"/>
  <c r="A4226" i="1"/>
  <c r="R4225" i="1"/>
  <c r="Q4225" i="1"/>
  <c r="N4225" i="1"/>
  <c r="J4225" i="1"/>
  <c r="I4225" i="1"/>
  <c r="H4225" i="1"/>
  <c r="G4225" i="1"/>
  <c r="F4225" i="1"/>
  <c r="E4225" i="1"/>
  <c r="D4225" i="1"/>
  <c r="C4225" i="1"/>
  <c r="A4225" i="1"/>
  <c r="R4224" i="1"/>
  <c r="N4224" i="1"/>
  <c r="J4224" i="1"/>
  <c r="I4224" i="1"/>
  <c r="H4224" i="1"/>
  <c r="G4224" i="1"/>
  <c r="F4224" i="1"/>
  <c r="E4224" i="1"/>
  <c r="D4224" i="1"/>
  <c r="C4224" i="1"/>
  <c r="A4224" i="1"/>
  <c r="R4223" i="1"/>
  <c r="Q4223" i="1"/>
  <c r="N4223" i="1"/>
  <c r="J4223" i="1"/>
  <c r="I4223" i="1"/>
  <c r="H4223" i="1"/>
  <c r="G4223" i="1"/>
  <c r="F4223" i="1"/>
  <c r="E4223" i="1"/>
  <c r="D4223" i="1"/>
  <c r="C4223" i="1"/>
  <c r="A4223" i="1"/>
  <c r="R4222" i="1"/>
  <c r="N4222" i="1"/>
  <c r="J4222" i="1"/>
  <c r="I4222" i="1"/>
  <c r="H4222" i="1"/>
  <c r="G4222" i="1"/>
  <c r="F4222" i="1"/>
  <c r="E4222" i="1"/>
  <c r="D4222" i="1"/>
  <c r="C4222" i="1"/>
  <c r="A4222" i="1"/>
  <c r="R4221" i="1"/>
  <c r="Q4221" i="1"/>
  <c r="N4221" i="1"/>
  <c r="J4221" i="1"/>
  <c r="I4221" i="1"/>
  <c r="H4221" i="1"/>
  <c r="G4221" i="1"/>
  <c r="F4221" i="1"/>
  <c r="E4221" i="1"/>
  <c r="D4221" i="1"/>
  <c r="C4221" i="1"/>
  <c r="A4221" i="1"/>
  <c r="R4220" i="1"/>
  <c r="N4220" i="1"/>
  <c r="J4220" i="1"/>
  <c r="I4220" i="1"/>
  <c r="H4220" i="1"/>
  <c r="G4220" i="1"/>
  <c r="F4220" i="1"/>
  <c r="E4220" i="1"/>
  <c r="D4220" i="1"/>
  <c r="C4220" i="1"/>
  <c r="A4220" i="1"/>
  <c r="R4219" i="1"/>
  <c r="Q4219" i="1"/>
  <c r="N4219" i="1"/>
  <c r="J4219" i="1"/>
  <c r="I4219" i="1"/>
  <c r="H4219" i="1"/>
  <c r="G4219" i="1"/>
  <c r="F4219" i="1"/>
  <c r="E4219" i="1"/>
  <c r="D4219" i="1"/>
  <c r="C4219" i="1"/>
  <c r="A4219" i="1"/>
  <c r="R4218" i="1"/>
  <c r="Q4218" i="1"/>
  <c r="N4218" i="1"/>
  <c r="J4218" i="1"/>
  <c r="I4218" i="1"/>
  <c r="H4218" i="1"/>
  <c r="G4218" i="1"/>
  <c r="F4218" i="1"/>
  <c r="E4218" i="1"/>
  <c r="D4218" i="1"/>
  <c r="C4218" i="1"/>
  <c r="A4218" i="1"/>
  <c r="R4217" i="1"/>
  <c r="N4217" i="1"/>
  <c r="J4217" i="1"/>
  <c r="I4217" i="1"/>
  <c r="H4217" i="1"/>
  <c r="G4217" i="1"/>
  <c r="F4217" i="1"/>
  <c r="E4217" i="1"/>
  <c r="D4217" i="1"/>
  <c r="C4217" i="1"/>
  <c r="A4217" i="1"/>
  <c r="R4216" i="1"/>
  <c r="Q4216" i="1"/>
  <c r="N4216" i="1"/>
  <c r="J4216" i="1"/>
  <c r="I4216" i="1"/>
  <c r="H4216" i="1"/>
  <c r="G4216" i="1"/>
  <c r="F4216" i="1"/>
  <c r="E4216" i="1"/>
  <c r="D4216" i="1"/>
  <c r="C4216" i="1"/>
  <c r="A4216" i="1"/>
  <c r="R4215" i="1"/>
  <c r="Q4215" i="1"/>
  <c r="N4215" i="1"/>
  <c r="J4215" i="1"/>
  <c r="I4215" i="1"/>
  <c r="H4215" i="1"/>
  <c r="G4215" i="1"/>
  <c r="F4215" i="1"/>
  <c r="E4215" i="1"/>
  <c r="D4215" i="1"/>
  <c r="C4215" i="1"/>
  <c r="A4215" i="1"/>
  <c r="R4214" i="1"/>
  <c r="N4214" i="1"/>
  <c r="J4214" i="1"/>
  <c r="I4214" i="1"/>
  <c r="H4214" i="1"/>
  <c r="G4214" i="1"/>
  <c r="F4214" i="1"/>
  <c r="E4214" i="1"/>
  <c r="D4214" i="1"/>
  <c r="C4214" i="1"/>
  <c r="A4214" i="1"/>
  <c r="R4213" i="1"/>
  <c r="Q4213" i="1"/>
  <c r="N4213" i="1"/>
  <c r="J4213" i="1"/>
  <c r="I4213" i="1"/>
  <c r="H4213" i="1"/>
  <c r="G4213" i="1"/>
  <c r="F4213" i="1"/>
  <c r="E4213" i="1"/>
  <c r="D4213" i="1"/>
  <c r="C4213" i="1"/>
  <c r="A4213" i="1"/>
  <c r="R4212" i="1"/>
  <c r="N4212" i="1"/>
  <c r="J4212" i="1"/>
  <c r="I4212" i="1"/>
  <c r="H4212" i="1"/>
  <c r="G4212" i="1"/>
  <c r="F4212" i="1"/>
  <c r="E4212" i="1"/>
  <c r="D4212" i="1"/>
  <c r="C4212" i="1"/>
  <c r="B4212" i="1"/>
  <c r="A4212" i="1"/>
  <c r="R4211" i="1"/>
  <c r="Q4211" i="1"/>
  <c r="N4211" i="1"/>
  <c r="J4211" i="1"/>
  <c r="I4211" i="1"/>
  <c r="H4211" i="1"/>
  <c r="G4211" i="1"/>
  <c r="F4211" i="1"/>
  <c r="E4211" i="1"/>
  <c r="D4211" i="1"/>
  <c r="C4211" i="1"/>
  <c r="B4211" i="1"/>
  <c r="A4211" i="1"/>
  <c r="R4210" i="1"/>
  <c r="N4210" i="1"/>
  <c r="J4210" i="1"/>
  <c r="I4210" i="1"/>
  <c r="H4210" i="1"/>
  <c r="G4210" i="1"/>
  <c r="F4210" i="1"/>
  <c r="E4210" i="1"/>
  <c r="D4210" i="1"/>
  <c r="C4210" i="1"/>
  <c r="B4210" i="1"/>
  <c r="A4210" i="1"/>
  <c r="R4209" i="1"/>
  <c r="Q4209" i="1"/>
  <c r="N4209" i="1"/>
  <c r="J4209" i="1"/>
  <c r="I4209" i="1"/>
  <c r="H4209" i="1"/>
  <c r="G4209" i="1"/>
  <c r="F4209" i="1"/>
  <c r="E4209" i="1"/>
  <c r="D4209" i="1"/>
  <c r="C4209" i="1"/>
  <c r="B4209" i="1"/>
  <c r="A4209" i="1"/>
  <c r="R4208" i="1"/>
  <c r="N4208" i="1"/>
  <c r="J4208" i="1"/>
  <c r="I4208" i="1"/>
  <c r="H4208" i="1"/>
  <c r="G4208" i="1"/>
  <c r="F4208" i="1"/>
  <c r="E4208" i="1"/>
  <c r="D4208" i="1"/>
  <c r="C4208" i="1"/>
  <c r="B4208" i="1"/>
  <c r="A4208" i="1"/>
  <c r="R4207" i="1"/>
  <c r="Q4207" i="1"/>
  <c r="N4207" i="1"/>
  <c r="J4207" i="1"/>
  <c r="I4207" i="1"/>
  <c r="H4207" i="1"/>
  <c r="G4207" i="1"/>
  <c r="F4207" i="1"/>
  <c r="E4207" i="1"/>
  <c r="D4207" i="1"/>
  <c r="C4207" i="1"/>
  <c r="B4207" i="1"/>
  <c r="A4207" i="1"/>
  <c r="R4206" i="1"/>
  <c r="N4206" i="1"/>
  <c r="J4206" i="1"/>
  <c r="I4206" i="1"/>
  <c r="H4206" i="1"/>
  <c r="G4206" i="1"/>
  <c r="F4206" i="1"/>
  <c r="E4206" i="1"/>
  <c r="D4206" i="1"/>
  <c r="C4206" i="1"/>
  <c r="B4206" i="1"/>
  <c r="A4206" i="1"/>
  <c r="R4205" i="1"/>
  <c r="Q4205" i="1"/>
  <c r="N4205" i="1"/>
  <c r="J4205" i="1"/>
  <c r="I4205" i="1"/>
  <c r="H4205" i="1"/>
  <c r="G4205" i="1"/>
  <c r="F4205" i="1"/>
  <c r="E4205" i="1"/>
  <c r="D4205" i="1"/>
  <c r="C4205" i="1"/>
  <c r="B4205" i="1"/>
  <c r="A4205" i="1"/>
  <c r="R4204" i="1"/>
  <c r="N4204" i="1"/>
  <c r="J4204" i="1"/>
  <c r="I4204" i="1"/>
  <c r="H4204" i="1"/>
  <c r="G4204" i="1"/>
  <c r="F4204" i="1"/>
  <c r="E4204" i="1"/>
  <c r="D4204" i="1"/>
  <c r="C4204" i="1"/>
  <c r="B4204" i="1"/>
  <c r="A4204" i="1"/>
  <c r="R4203" i="1"/>
  <c r="Q4203" i="1"/>
  <c r="N4203" i="1"/>
  <c r="J4203" i="1"/>
  <c r="I4203" i="1"/>
  <c r="H4203" i="1"/>
  <c r="G4203" i="1"/>
  <c r="F4203" i="1"/>
  <c r="E4203" i="1"/>
  <c r="D4203" i="1"/>
  <c r="C4203" i="1"/>
  <c r="B4203" i="1"/>
  <c r="A4203" i="1"/>
  <c r="R4202" i="1"/>
  <c r="N4202" i="1"/>
  <c r="J4202" i="1"/>
  <c r="I4202" i="1"/>
  <c r="H4202" i="1"/>
  <c r="G4202" i="1"/>
  <c r="F4202" i="1"/>
  <c r="E4202" i="1"/>
  <c r="D4202" i="1"/>
  <c r="C4202" i="1"/>
  <c r="B4202" i="1"/>
  <c r="A4202" i="1"/>
  <c r="R4201" i="1"/>
  <c r="Q4201" i="1"/>
  <c r="N4201" i="1"/>
  <c r="J4201" i="1"/>
  <c r="I4201" i="1"/>
  <c r="H4201" i="1"/>
  <c r="G4201" i="1"/>
  <c r="F4201" i="1"/>
  <c r="E4201" i="1"/>
  <c r="D4201" i="1"/>
  <c r="C4201" i="1"/>
  <c r="B4201" i="1"/>
  <c r="A4201" i="1"/>
  <c r="R4200" i="1"/>
  <c r="N4200" i="1"/>
  <c r="J4200" i="1"/>
  <c r="I4200" i="1"/>
  <c r="H4200" i="1"/>
  <c r="G4200" i="1"/>
  <c r="F4200" i="1"/>
  <c r="E4200" i="1"/>
  <c r="D4200" i="1"/>
  <c r="C4200" i="1"/>
  <c r="B4200" i="1"/>
  <c r="A4200" i="1"/>
  <c r="R4199" i="1"/>
  <c r="Q4199" i="1"/>
  <c r="N4199" i="1"/>
  <c r="J4199" i="1"/>
  <c r="I4199" i="1"/>
  <c r="H4199" i="1"/>
  <c r="G4199" i="1"/>
  <c r="F4199" i="1"/>
  <c r="E4199" i="1"/>
  <c r="D4199" i="1"/>
  <c r="C4199" i="1"/>
  <c r="B4199" i="1"/>
  <c r="A4199" i="1"/>
  <c r="R4198" i="1"/>
  <c r="N4198" i="1"/>
  <c r="J4198" i="1"/>
  <c r="I4198" i="1"/>
  <c r="H4198" i="1"/>
  <c r="G4198" i="1"/>
  <c r="F4198" i="1"/>
  <c r="E4198" i="1"/>
  <c r="D4198" i="1"/>
  <c r="C4198" i="1"/>
  <c r="B4198" i="1"/>
  <c r="A4198" i="1"/>
  <c r="R4197" i="1"/>
  <c r="Q4197" i="1"/>
  <c r="N4197" i="1"/>
  <c r="J4197" i="1"/>
  <c r="I4197" i="1"/>
  <c r="H4197" i="1"/>
  <c r="G4197" i="1"/>
  <c r="F4197" i="1"/>
  <c r="E4197" i="1"/>
  <c r="D4197" i="1"/>
  <c r="C4197" i="1"/>
  <c r="A4197" i="1"/>
  <c r="R4196" i="1"/>
  <c r="N4196" i="1"/>
  <c r="J4196" i="1"/>
  <c r="I4196" i="1"/>
  <c r="H4196" i="1"/>
  <c r="G4196" i="1"/>
  <c r="F4196" i="1"/>
  <c r="E4196" i="1"/>
  <c r="D4196" i="1"/>
  <c r="C4196" i="1"/>
  <c r="A4196" i="1"/>
  <c r="R4195" i="1"/>
  <c r="Q4195" i="1"/>
  <c r="N4195" i="1"/>
  <c r="J4195" i="1"/>
  <c r="I4195" i="1"/>
  <c r="H4195" i="1"/>
  <c r="G4195" i="1"/>
  <c r="F4195" i="1"/>
  <c r="E4195" i="1"/>
  <c r="D4195" i="1"/>
  <c r="C4195" i="1"/>
  <c r="A4195" i="1"/>
  <c r="R4194" i="1"/>
  <c r="N4194" i="1"/>
  <c r="J4194" i="1"/>
  <c r="I4194" i="1"/>
  <c r="H4194" i="1"/>
  <c r="G4194" i="1"/>
  <c r="F4194" i="1"/>
  <c r="E4194" i="1"/>
  <c r="D4194" i="1"/>
  <c r="C4194" i="1"/>
  <c r="A4194" i="1"/>
  <c r="R4193" i="1"/>
  <c r="Q4193" i="1"/>
  <c r="N4193" i="1"/>
  <c r="J4193" i="1"/>
  <c r="I4193" i="1"/>
  <c r="H4193" i="1"/>
  <c r="G4193" i="1"/>
  <c r="F4193" i="1"/>
  <c r="E4193" i="1"/>
  <c r="D4193" i="1"/>
  <c r="C4193" i="1"/>
  <c r="A4193" i="1"/>
  <c r="R4192" i="1"/>
  <c r="N4192" i="1"/>
  <c r="J4192" i="1"/>
  <c r="I4192" i="1"/>
  <c r="H4192" i="1"/>
  <c r="G4192" i="1"/>
  <c r="F4192" i="1"/>
  <c r="E4192" i="1"/>
  <c r="D4192" i="1"/>
  <c r="C4192" i="1"/>
  <c r="A4192" i="1"/>
  <c r="R4191" i="1"/>
  <c r="Q4191" i="1"/>
  <c r="N4191" i="1"/>
  <c r="J4191" i="1"/>
  <c r="I4191" i="1"/>
  <c r="H4191" i="1"/>
  <c r="G4191" i="1"/>
  <c r="F4191" i="1"/>
  <c r="E4191" i="1"/>
  <c r="D4191" i="1"/>
  <c r="C4191" i="1"/>
  <c r="A4191" i="1"/>
  <c r="R4190" i="1"/>
  <c r="N4190" i="1"/>
  <c r="J4190" i="1"/>
  <c r="I4190" i="1"/>
  <c r="H4190" i="1"/>
  <c r="G4190" i="1"/>
  <c r="F4190" i="1"/>
  <c r="E4190" i="1"/>
  <c r="D4190" i="1"/>
  <c r="C4190" i="1"/>
  <c r="A4190" i="1"/>
  <c r="R4189" i="1"/>
  <c r="Q4189" i="1"/>
  <c r="N4189" i="1"/>
  <c r="J4189" i="1"/>
  <c r="I4189" i="1"/>
  <c r="H4189" i="1"/>
  <c r="G4189" i="1"/>
  <c r="F4189" i="1"/>
  <c r="E4189" i="1"/>
  <c r="D4189" i="1"/>
  <c r="C4189" i="1"/>
  <c r="A4189" i="1"/>
  <c r="R4188" i="1"/>
  <c r="N4188" i="1"/>
  <c r="J4188" i="1"/>
  <c r="I4188" i="1"/>
  <c r="H4188" i="1"/>
  <c r="G4188" i="1"/>
  <c r="F4188" i="1"/>
  <c r="E4188" i="1"/>
  <c r="D4188" i="1"/>
  <c r="C4188" i="1"/>
  <c r="A4188" i="1"/>
  <c r="R4187" i="1"/>
  <c r="Q4187" i="1"/>
  <c r="N4187" i="1"/>
  <c r="J4187" i="1"/>
  <c r="I4187" i="1"/>
  <c r="H4187" i="1"/>
  <c r="G4187" i="1"/>
  <c r="F4187" i="1"/>
  <c r="E4187" i="1"/>
  <c r="D4187" i="1"/>
  <c r="C4187" i="1"/>
  <c r="A4187" i="1"/>
  <c r="R4186" i="1"/>
  <c r="N4186" i="1"/>
  <c r="J4186" i="1"/>
  <c r="I4186" i="1"/>
  <c r="H4186" i="1"/>
  <c r="G4186" i="1"/>
  <c r="F4186" i="1"/>
  <c r="E4186" i="1"/>
  <c r="D4186" i="1"/>
  <c r="C4186" i="1"/>
  <c r="A4186" i="1"/>
  <c r="R4185" i="1"/>
  <c r="Q4185" i="1"/>
  <c r="N4185" i="1"/>
  <c r="J4185" i="1"/>
  <c r="I4185" i="1"/>
  <c r="H4185" i="1"/>
  <c r="G4185" i="1"/>
  <c r="F4185" i="1"/>
  <c r="E4185" i="1"/>
  <c r="D4185" i="1"/>
  <c r="C4185" i="1"/>
  <c r="A4185" i="1"/>
  <c r="R4184" i="1"/>
  <c r="Q4184" i="1"/>
  <c r="N4184" i="1"/>
  <c r="J4184" i="1"/>
  <c r="I4184" i="1"/>
  <c r="H4184" i="1"/>
  <c r="G4184" i="1"/>
  <c r="F4184" i="1"/>
  <c r="E4184" i="1"/>
  <c r="D4184" i="1"/>
  <c r="C4184" i="1"/>
  <c r="A4184" i="1"/>
  <c r="R4183" i="1"/>
  <c r="Q4183" i="1"/>
  <c r="N4183" i="1"/>
  <c r="J4183" i="1"/>
  <c r="I4183" i="1"/>
  <c r="H4183" i="1"/>
  <c r="G4183" i="1"/>
  <c r="F4183" i="1"/>
  <c r="E4183" i="1"/>
  <c r="D4183" i="1"/>
  <c r="C4183" i="1"/>
  <c r="A4183" i="1"/>
  <c r="R4182" i="1"/>
  <c r="Q4182" i="1"/>
  <c r="N4182" i="1"/>
  <c r="J4182" i="1"/>
  <c r="I4182" i="1"/>
  <c r="H4182" i="1"/>
  <c r="G4182" i="1"/>
  <c r="F4182" i="1"/>
  <c r="E4182" i="1"/>
  <c r="D4182" i="1"/>
  <c r="C4182" i="1"/>
  <c r="A4182" i="1"/>
  <c r="R4181" i="1"/>
  <c r="Q4181" i="1"/>
  <c r="N4181" i="1"/>
  <c r="J4181" i="1"/>
  <c r="I4181" i="1"/>
  <c r="H4181" i="1"/>
  <c r="G4181" i="1"/>
  <c r="F4181" i="1"/>
  <c r="E4181" i="1"/>
  <c r="D4181" i="1"/>
  <c r="C4181" i="1"/>
  <c r="A4181" i="1"/>
  <c r="R4180" i="1"/>
  <c r="Q4180" i="1"/>
  <c r="N4180" i="1"/>
  <c r="J4180" i="1"/>
  <c r="I4180" i="1"/>
  <c r="H4180" i="1"/>
  <c r="G4180" i="1"/>
  <c r="F4180" i="1"/>
  <c r="E4180" i="1"/>
  <c r="D4180" i="1"/>
  <c r="C4180" i="1"/>
  <c r="A4180" i="1"/>
  <c r="R4179" i="1"/>
  <c r="Q4179" i="1"/>
  <c r="N4179" i="1"/>
  <c r="J4179" i="1"/>
  <c r="I4179" i="1"/>
  <c r="H4179" i="1"/>
  <c r="G4179" i="1"/>
  <c r="F4179" i="1"/>
  <c r="E4179" i="1"/>
  <c r="D4179" i="1"/>
  <c r="C4179" i="1"/>
  <c r="A4179" i="1"/>
  <c r="R4178" i="1"/>
  <c r="Q4178" i="1"/>
  <c r="N4178" i="1"/>
  <c r="J4178" i="1"/>
  <c r="I4178" i="1"/>
  <c r="H4178" i="1"/>
  <c r="G4178" i="1"/>
  <c r="F4178" i="1"/>
  <c r="E4178" i="1"/>
  <c r="D4178" i="1"/>
  <c r="C4178" i="1"/>
  <c r="A4178" i="1"/>
  <c r="R4177" i="1"/>
  <c r="Q4177" i="1"/>
  <c r="N4177" i="1"/>
  <c r="J4177" i="1"/>
  <c r="I4177" i="1"/>
  <c r="H4177" i="1"/>
  <c r="G4177" i="1"/>
  <c r="F4177" i="1"/>
  <c r="E4177" i="1"/>
  <c r="D4177" i="1"/>
  <c r="C4177" i="1"/>
  <c r="A4177" i="1"/>
  <c r="R4176" i="1"/>
  <c r="Q4176" i="1"/>
  <c r="N4176" i="1"/>
  <c r="J4176" i="1"/>
  <c r="I4176" i="1"/>
  <c r="H4176" i="1"/>
  <c r="G4176" i="1"/>
  <c r="F4176" i="1"/>
  <c r="E4176" i="1"/>
  <c r="D4176" i="1"/>
  <c r="C4176" i="1"/>
  <c r="A4176" i="1"/>
  <c r="R4175" i="1"/>
  <c r="Q4175" i="1"/>
  <c r="N4175" i="1"/>
  <c r="J4175" i="1"/>
  <c r="I4175" i="1"/>
  <c r="H4175" i="1"/>
  <c r="G4175" i="1"/>
  <c r="F4175" i="1"/>
  <c r="E4175" i="1"/>
  <c r="D4175" i="1"/>
  <c r="C4175" i="1"/>
  <c r="A4175" i="1"/>
  <c r="R4174" i="1"/>
  <c r="Q4174" i="1"/>
  <c r="N4174" i="1"/>
  <c r="J4174" i="1"/>
  <c r="I4174" i="1"/>
  <c r="H4174" i="1"/>
  <c r="G4174" i="1"/>
  <c r="F4174" i="1"/>
  <c r="E4174" i="1"/>
  <c r="D4174" i="1"/>
  <c r="C4174" i="1"/>
  <c r="A4174" i="1"/>
  <c r="R4173" i="1"/>
  <c r="Q4173" i="1"/>
  <c r="N4173" i="1"/>
  <c r="J4173" i="1"/>
  <c r="I4173" i="1"/>
  <c r="H4173" i="1"/>
  <c r="G4173" i="1"/>
  <c r="F4173" i="1"/>
  <c r="E4173" i="1"/>
  <c r="D4173" i="1"/>
  <c r="C4173" i="1"/>
  <c r="A4173" i="1"/>
  <c r="R4172" i="1"/>
  <c r="Q4172" i="1"/>
  <c r="N4172" i="1"/>
  <c r="J4172" i="1"/>
  <c r="I4172" i="1"/>
  <c r="H4172" i="1"/>
  <c r="G4172" i="1"/>
  <c r="F4172" i="1"/>
  <c r="E4172" i="1"/>
  <c r="D4172" i="1"/>
  <c r="C4172" i="1"/>
  <c r="A4172" i="1"/>
  <c r="R4171" i="1"/>
  <c r="Q4171" i="1"/>
  <c r="N4171" i="1"/>
  <c r="J4171" i="1"/>
  <c r="I4171" i="1"/>
  <c r="H4171" i="1"/>
  <c r="G4171" i="1"/>
  <c r="F4171" i="1"/>
  <c r="E4171" i="1"/>
  <c r="D4171" i="1"/>
  <c r="C4171" i="1"/>
  <c r="A4171" i="1"/>
  <c r="R4170" i="1"/>
  <c r="Q4170" i="1"/>
  <c r="N4170" i="1"/>
  <c r="J4170" i="1"/>
  <c r="I4170" i="1"/>
  <c r="H4170" i="1"/>
  <c r="G4170" i="1"/>
  <c r="F4170" i="1"/>
  <c r="E4170" i="1"/>
  <c r="D4170" i="1"/>
  <c r="C4170" i="1"/>
  <c r="A4170" i="1"/>
  <c r="R4169" i="1"/>
  <c r="Q4169" i="1"/>
  <c r="N4169" i="1"/>
  <c r="J4169" i="1"/>
  <c r="I4169" i="1"/>
  <c r="H4169" i="1"/>
  <c r="G4169" i="1"/>
  <c r="F4169" i="1"/>
  <c r="E4169" i="1"/>
  <c r="D4169" i="1"/>
  <c r="C4169" i="1"/>
  <c r="A4169" i="1"/>
  <c r="R4168" i="1"/>
  <c r="Q4168" i="1"/>
  <c r="N4168" i="1"/>
  <c r="J4168" i="1"/>
  <c r="I4168" i="1"/>
  <c r="H4168" i="1"/>
  <c r="G4168" i="1"/>
  <c r="F4168" i="1"/>
  <c r="E4168" i="1"/>
  <c r="D4168" i="1"/>
  <c r="C4168" i="1"/>
  <c r="A4168" i="1"/>
  <c r="R4167" i="1"/>
  <c r="Q4167" i="1"/>
  <c r="N4167" i="1"/>
  <c r="J4167" i="1"/>
  <c r="I4167" i="1"/>
  <c r="H4167" i="1"/>
  <c r="G4167" i="1"/>
  <c r="F4167" i="1"/>
  <c r="E4167" i="1"/>
  <c r="D4167" i="1"/>
  <c r="C4167" i="1"/>
  <c r="A4167" i="1"/>
  <c r="R4166" i="1"/>
  <c r="Q4166" i="1"/>
  <c r="N4166" i="1"/>
  <c r="J4166" i="1"/>
  <c r="I4166" i="1"/>
  <c r="H4166" i="1"/>
  <c r="G4166" i="1"/>
  <c r="F4166" i="1"/>
  <c r="E4166" i="1"/>
  <c r="D4166" i="1"/>
  <c r="C4166" i="1"/>
  <c r="A4166" i="1"/>
  <c r="R4165" i="1"/>
  <c r="Q4165" i="1"/>
  <c r="N4165" i="1"/>
  <c r="J4165" i="1"/>
  <c r="I4165" i="1"/>
  <c r="H4165" i="1"/>
  <c r="G4165" i="1"/>
  <c r="F4165" i="1"/>
  <c r="E4165" i="1"/>
  <c r="D4165" i="1"/>
  <c r="C4165" i="1"/>
  <c r="A4165" i="1"/>
  <c r="R4164" i="1"/>
  <c r="Q4164" i="1"/>
  <c r="N4164" i="1"/>
  <c r="J4164" i="1"/>
  <c r="I4164" i="1"/>
  <c r="H4164" i="1"/>
  <c r="G4164" i="1"/>
  <c r="F4164" i="1"/>
  <c r="E4164" i="1"/>
  <c r="D4164" i="1"/>
  <c r="C4164" i="1"/>
  <c r="A4164" i="1"/>
  <c r="R4163" i="1"/>
  <c r="Q4163" i="1"/>
  <c r="N4163" i="1"/>
  <c r="J4163" i="1"/>
  <c r="I4163" i="1"/>
  <c r="H4163" i="1"/>
  <c r="G4163" i="1"/>
  <c r="F4163" i="1"/>
  <c r="E4163" i="1"/>
  <c r="D4163" i="1"/>
  <c r="C4163" i="1"/>
  <c r="A4163" i="1"/>
  <c r="R4162" i="1"/>
  <c r="Q4162" i="1"/>
  <c r="N4162" i="1"/>
  <c r="J4162" i="1"/>
  <c r="I4162" i="1"/>
  <c r="H4162" i="1"/>
  <c r="G4162" i="1"/>
  <c r="F4162" i="1"/>
  <c r="E4162" i="1"/>
  <c r="D4162" i="1"/>
  <c r="C4162" i="1"/>
  <c r="A4162" i="1"/>
  <c r="R4161" i="1"/>
  <c r="Q4161" i="1"/>
  <c r="N4161" i="1"/>
  <c r="J4161" i="1"/>
  <c r="I4161" i="1"/>
  <c r="H4161" i="1"/>
  <c r="G4161" i="1"/>
  <c r="F4161" i="1"/>
  <c r="E4161" i="1"/>
  <c r="D4161" i="1"/>
  <c r="C4161" i="1"/>
  <c r="A4161" i="1"/>
  <c r="R4160" i="1"/>
  <c r="Q4160" i="1"/>
  <c r="N4160" i="1"/>
  <c r="J4160" i="1"/>
  <c r="I4160" i="1"/>
  <c r="H4160" i="1"/>
  <c r="G4160" i="1"/>
  <c r="F4160" i="1"/>
  <c r="E4160" i="1"/>
  <c r="D4160" i="1"/>
  <c r="C4160" i="1"/>
  <c r="A4160" i="1"/>
  <c r="R4159" i="1"/>
  <c r="Q4159" i="1"/>
  <c r="N4159" i="1"/>
  <c r="J4159" i="1"/>
  <c r="I4159" i="1"/>
  <c r="H4159" i="1"/>
  <c r="G4159" i="1"/>
  <c r="F4159" i="1"/>
  <c r="E4159" i="1"/>
  <c r="D4159" i="1"/>
  <c r="C4159" i="1"/>
  <c r="A4159" i="1"/>
  <c r="R4158" i="1"/>
  <c r="Q4158" i="1"/>
  <c r="N4158" i="1"/>
  <c r="J4158" i="1"/>
  <c r="I4158" i="1"/>
  <c r="H4158" i="1"/>
  <c r="G4158" i="1"/>
  <c r="F4158" i="1"/>
  <c r="E4158" i="1"/>
  <c r="D4158" i="1"/>
  <c r="C4158" i="1"/>
  <c r="A4158" i="1"/>
  <c r="R4157" i="1"/>
  <c r="Q4157" i="1"/>
  <c r="N4157" i="1"/>
  <c r="J4157" i="1"/>
  <c r="I4157" i="1"/>
  <c r="H4157" i="1"/>
  <c r="G4157" i="1"/>
  <c r="F4157" i="1"/>
  <c r="E4157" i="1"/>
  <c r="D4157" i="1"/>
  <c r="C4157" i="1"/>
  <c r="A4157" i="1"/>
  <c r="R4156" i="1"/>
  <c r="Q4156" i="1"/>
  <c r="N4156" i="1"/>
  <c r="J4156" i="1"/>
  <c r="I4156" i="1"/>
  <c r="H4156" i="1"/>
  <c r="G4156" i="1"/>
  <c r="F4156" i="1"/>
  <c r="E4156" i="1"/>
  <c r="D4156" i="1"/>
  <c r="C4156" i="1"/>
  <c r="A4156" i="1"/>
  <c r="R4155" i="1"/>
  <c r="Q4155" i="1"/>
  <c r="N4155" i="1"/>
  <c r="J4155" i="1"/>
  <c r="I4155" i="1"/>
  <c r="H4155" i="1"/>
  <c r="G4155" i="1"/>
  <c r="F4155" i="1"/>
  <c r="E4155" i="1"/>
  <c r="D4155" i="1"/>
  <c r="C4155" i="1"/>
  <c r="A4155" i="1"/>
  <c r="R4154" i="1"/>
  <c r="Q4154" i="1"/>
  <c r="N4154" i="1"/>
  <c r="J4154" i="1"/>
  <c r="I4154" i="1"/>
  <c r="H4154" i="1"/>
  <c r="G4154" i="1"/>
  <c r="F4154" i="1"/>
  <c r="E4154" i="1"/>
  <c r="D4154" i="1"/>
  <c r="C4154" i="1"/>
  <c r="A4154" i="1"/>
  <c r="R4153" i="1"/>
  <c r="Q4153" i="1"/>
  <c r="N4153" i="1"/>
  <c r="J4153" i="1"/>
  <c r="I4153" i="1"/>
  <c r="H4153" i="1"/>
  <c r="G4153" i="1"/>
  <c r="F4153" i="1"/>
  <c r="E4153" i="1"/>
  <c r="D4153" i="1"/>
  <c r="C4153" i="1"/>
  <c r="A4153" i="1"/>
  <c r="R4152" i="1"/>
  <c r="Q4152" i="1"/>
  <c r="N4152" i="1"/>
  <c r="J4152" i="1"/>
  <c r="I4152" i="1"/>
  <c r="H4152" i="1"/>
  <c r="G4152" i="1"/>
  <c r="F4152" i="1"/>
  <c r="E4152" i="1"/>
  <c r="D4152" i="1"/>
  <c r="C4152" i="1"/>
  <c r="A4152" i="1"/>
  <c r="R4151" i="1"/>
  <c r="Q4151" i="1"/>
  <c r="N4151" i="1"/>
  <c r="J4151" i="1"/>
  <c r="I4151" i="1"/>
  <c r="H4151" i="1"/>
  <c r="G4151" i="1"/>
  <c r="F4151" i="1"/>
  <c r="E4151" i="1"/>
  <c r="D4151" i="1"/>
  <c r="C4151" i="1"/>
  <c r="A4151" i="1"/>
  <c r="R4150" i="1"/>
  <c r="Q4150" i="1"/>
  <c r="N4150" i="1"/>
  <c r="J4150" i="1"/>
  <c r="I4150" i="1"/>
  <c r="H4150" i="1"/>
  <c r="G4150" i="1"/>
  <c r="F4150" i="1"/>
  <c r="E4150" i="1"/>
  <c r="D4150" i="1"/>
  <c r="C4150" i="1"/>
  <c r="A4150" i="1"/>
  <c r="R4149" i="1"/>
  <c r="Q4149" i="1"/>
  <c r="N4149" i="1"/>
  <c r="J4149" i="1"/>
  <c r="I4149" i="1"/>
  <c r="H4149" i="1"/>
  <c r="G4149" i="1"/>
  <c r="F4149" i="1"/>
  <c r="E4149" i="1"/>
  <c r="D4149" i="1"/>
  <c r="C4149" i="1"/>
  <c r="A4149" i="1"/>
  <c r="R4148" i="1"/>
  <c r="Q4148" i="1"/>
  <c r="N4148" i="1"/>
  <c r="J4148" i="1"/>
  <c r="I4148" i="1"/>
  <c r="H4148" i="1"/>
  <c r="G4148" i="1"/>
  <c r="F4148" i="1"/>
  <c r="E4148" i="1"/>
  <c r="D4148" i="1"/>
  <c r="C4148" i="1"/>
  <c r="A4148" i="1"/>
  <c r="R4147" i="1"/>
  <c r="Q4147" i="1"/>
  <c r="N4147" i="1"/>
  <c r="J4147" i="1"/>
  <c r="I4147" i="1"/>
  <c r="H4147" i="1"/>
  <c r="G4147" i="1"/>
  <c r="F4147" i="1"/>
  <c r="E4147" i="1"/>
  <c r="D4147" i="1"/>
  <c r="C4147" i="1"/>
  <c r="A4147" i="1"/>
  <c r="R4146" i="1"/>
  <c r="Q4146" i="1"/>
  <c r="N4146" i="1"/>
  <c r="J4146" i="1"/>
  <c r="I4146" i="1"/>
  <c r="H4146" i="1"/>
  <c r="G4146" i="1"/>
  <c r="F4146" i="1"/>
  <c r="E4146" i="1"/>
  <c r="D4146" i="1"/>
  <c r="C4146" i="1"/>
  <c r="A4146" i="1"/>
  <c r="R4145" i="1"/>
  <c r="Q4145" i="1"/>
  <c r="N4145" i="1"/>
  <c r="J4145" i="1"/>
  <c r="I4145" i="1"/>
  <c r="H4145" i="1"/>
  <c r="G4145" i="1"/>
  <c r="F4145" i="1"/>
  <c r="E4145" i="1"/>
  <c r="D4145" i="1"/>
  <c r="C4145" i="1"/>
  <c r="A4145" i="1"/>
  <c r="R4144" i="1"/>
  <c r="Q4144" i="1"/>
  <c r="N4144" i="1"/>
  <c r="J4144" i="1"/>
  <c r="I4144" i="1"/>
  <c r="H4144" i="1"/>
  <c r="G4144" i="1"/>
  <c r="F4144" i="1"/>
  <c r="E4144" i="1"/>
  <c r="D4144" i="1"/>
  <c r="C4144" i="1"/>
  <c r="A4144" i="1"/>
  <c r="R4143" i="1"/>
  <c r="Q4143" i="1"/>
  <c r="N4143" i="1"/>
  <c r="J4143" i="1"/>
  <c r="I4143" i="1"/>
  <c r="H4143" i="1"/>
  <c r="G4143" i="1"/>
  <c r="F4143" i="1"/>
  <c r="E4143" i="1"/>
  <c r="D4143" i="1"/>
  <c r="C4143" i="1"/>
  <c r="A4143" i="1"/>
  <c r="R4142" i="1"/>
  <c r="Q4142" i="1"/>
  <c r="N4142" i="1"/>
  <c r="J4142" i="1"/>
  <c r="I4142" i="1"/>
  <c r="H4142" i="1"/>
  <c r="G4142" i="1"/>
  <c r="F4142" i="1"/>
  <c r="E4142" i="1"/>
  <c r="D4142" i="1"/>
  <c r="C4142" i="1"/>
  <c r="A4142" i="1"/>
  <c r="R4141" i="1"/>
  <c r="Q4141" i="1"/>
  <c r="N4141" i="1"/>
  <c r="J4141" i="1"/>
  <c r="I4141" i="1"/>
  <c r="H4141" i="1"/>
  <c r="G4141" i="1"/>
  <c r="F4141" i="1"/>
  <c r="E4141" i="1"/>
  <c r="D4141" i="1"/>
  <c r="C4141" i="1"/>
  <c r="A4141" i="1"/>
  <c r="R4140" i="1"/>
  <c r="N4140" i="1"/>
  <c r="J4140" i="1"/>
  <c r="I4140" i="1"/>
  <c r="H4140" i="1"/>
  <c r="G4140" i="1"/>
  <c r="F4140" i="1"/>
  <c r="E4140" i="1"/>
  <c r="D4140" i="1"/>
  <c r="C4140" i="1"/>
  <c r="A4140" i="1"/>
  <c r="R4139" i="1"/>
  <c r="Q4139" i="1"/>
  <c r="N4139" i="1"/>
  <c r="J4139" i="1"/>
  <c r="I4139" i="1"/>
  <c r="H4139" i="1"/>
  <c r="G4139" i="1"/>
  <c r="F4139" i="1"/>
  <c r="E4139" i="1"/>
  <c r="D4139" i="1"/>
  <c r="C4139" i="1"/>
  <c r="A4139" i="1"/>
  <c r="R4138" i="1"/>
  <c r="Q4138" i="1"/>
  <c r="N4138" i="1"/>
  <c r="J4138" i="1"/>
  <c r="I4138" i="1"/>
  <c r="H4138" i="1"/>
  <c r="G4138" i="1"/>
  <c r="F4138" i="1"/>
  <c r="E4138" i="1"/>
  <c r="D4138" i="1"/>
  <c r="C4138" i="1"/>
  <c r="A4138" i="1"/>
  <c r="R4137" i="1"/>
  <c r="Q4137" i="1"/>
  <c r="N4137" i="1"/>
  <c r="J4137" i="1"/>
  <c r="I4137" i="1"/>
  <c r="H4137" i="1"/>
  <c r="G4137" i="1"/>
  <c r="F4137" i="1"/>
  <c r="E4137" i="1"/>
  <c r="D4137" i="1"/>
  <c r="C4137" i="1"/>
  <c r="A4137" i="1"/>
  <c r="R4136" i="1"/>
  <c r="Q4136" i="1"/>
  <c r="N4136" i="1"/>
  <c r="J4136" i="1"/>
  <c r="I4136" i="1"/>
  <c r="H4136" i="1"/>
  <c r="G4136" i="1"/>
  <c r="F4136" i="1"/>
  <c r="E4136" i="1"/>
  <c r="D4136" i="1"/>
  <c r="C4136" i="1"/>
  <c r="A4136" i="1"/>
  <c r="R4135" i="1"/>
  <c r="Q4135" i="1"/>
  <c r="N4135" i="1"/>
  <c r="J4135" i="1"/>
  <c r="I4135" i="1"/>
  <c r="H4135" i="1"/>
  <c r="G4135" i="1"/>
  <c r="F4135" i="1"/>
  <c r="E4135" i="1"/>
  <c r="D4135" i="1"/>
  <c r="C4135" i="1"/>
  <c r="A4135" i="1"/>
  <c r="R4134" i="1"/>
  <c r="Q4134" i="1"/>
  <c r="N4134" i="1"/>
  <c r="J4134" i="1"/>
  <c r="I4134" i="1"/>
  <c r="H4134" i="1"/>
  <c r="G4134" i="1"/>
  <c r="F4134" i="1"/>
  <c r="E4134" i="1"/>
  <c r="D4134" i="1"/>
  <c r="C4134" i="1"/>
  <c r="A4134" i="1"/>
  <c r="R4133" i="1"/>
  <c r="Q4133" i="1"/>
  <c r="N4133" i="1"/>
  <c r="J4133" i="1"/>
  <c r="I4133" i="1"/>
  <c r="H4133" i="1"/>
  <c r="G4133" i="1"/>
  <c r="F4133" i="1"/>
  <c r="E4133" i="1"/>
  <c r="D4133" i="1"/>
  <c r="C4133" i="1"/>
  <c r="A4133" i="1"/>
  <c r="R4132" i="1"/>
  <c r="Q4132" i="1"/>
  <c r="N4132" i="1"/>
  <c r="J4132" i="1"/>
  <c r="I4132" i="1"/>
  <c r="H4132" i="1"/>
  <c r="G4132" i="1"/>
  <c r="F4132" i="1"/>
  <c r="E4132" i="1"/>
  <c r="D4132" i="1"/>
  <c r="C4132" i="1"/>
  <c r="A4132" i="1"/>
  <c r="R4131" i="1"/>
  <c r="N4131" i="1"/>
  <c r="J4131" i="1"/>
  <c r="I4131" i="1"/>
  <c r="H4131" i="1"/>
  <c r="G4131" i="1"/>
  <c r="F4131" i="1"/>
  <c r="E4131" i="1"/>
  <c r="D4131" i="1"/>
  <c r="C4131" i="1"/>
  <c r="A4131" i="1"/>
  <c r="R4130" i="1"/>
  <c r="Q4130" i="1"/>
  <c r="N4130" i="1"/>
  <c r="J4130" i="1"/>
  <c r="I4130" i="1"/>
  <c r="H4130" i="1"/>
  <c r="G4130" i="1"/>
  <c r="F4130" i="1"/>
  <c r="E4130" i="1"/>
  <c r="D4130" i="1"/>
  <c r="C4130" i="1"/>
  <c r="A4130" i="1"/>
  <c r="R4129" i="1"/>
  <c r="Q4129" i="1"/>
  <c r="N4129" i="1"/>
  <c r="J4129" i="1"/>
  <c r="I4129" i="1"/>
  <c r="H4129" i="1"/>
  <c r="G4129" i="1"/>
  <c r="F4129" i="1"/>
  <c r="E4129" i="1"/>
  <c r="D4129" i="1"/>
  <c r="C4129" i="1"/>
  <c r="A4129" i="1"/>
  <c r="R4128" i="1"/>
  <c r="Q4128" i="1"/>
  <c r="N4128" i="1"/>
  <c r="J4128" i="1"/>
  <c r="I4128" i="1"/>
  <c r="H4128" i="1"/>
  <c r="G4128" i="1"/>
  <c r="F4128" i="1"/>
  <c r="E4128" i="1"/>
  <c r="D4128" i="1"/>
  <c r="C4128" i="1"/>
  <c r="A4128" i="1"/>
  <c r="R4127" i="1"/>
  <c r="Q4127" i="1"/>
  <c r="N4127" i="1"/>
  <c r="J4127" i="1"/>
  <c r="I4127" i="1"/>
  <c r="H4127" i="1"/>
  <c r="G4127" i="1"/>
  <c r="F4127" i="1"/>
  <c r="E4127" i="1"/>
  <c r="D4127" i="1"/>
  <c r="C4127" i="1"/>
  <c r="A4127" i="1"/>
  <c r="R4126" i="1"/>
  <c r="Q4126" i="1"/>
  <c r="N4126" i="1"/>
  <c r="J4126" i="1"/>
  <c r="I4126" i="1"/>
  <c r="H4126" i="1"/>
  <c r="G4126" i="1"/>
  <c r="F4126" i="1"/>
  <c r="E4126" i="1"/>
  <c r="D4126" i="1"/>
  <c r="C4126" i="1"/>
  <c r="A4126" i="1"/>
  <c r="R4125" i="1"/>
  <c r="Q4125" i="1"/>
  <c r="N4125" i="1"/>
  <c r="J4125" i="1"/>
  <c r="I4125" i="1"/>
  <c r="H4125" i="1"/>
  <c r="G4125" i="1"/>
  <c r="F4125" i="1"/>
  <c r="E4125" i="1"/>
  <c r="D4125" i="1"/>
  <c r="C4125" i="1"/>
  <c r="A4125" i="1"/>
  <c r="R4124" i="1"/>
  <c r="Q4124" i="1"/>
  <c r="N4124" i="1"/>
  <c r="J4124" i="1"/>
  <c r="I4124" i="1"/>
  <c r="H4124" i="1"/>
  <c r="G4124" i="1"/>
  <c r="F4124" i="1"/>
  <c r="E4124" i="1"/>
  <c r="D4124" i="1"/>
  <c r="C4124" i="1"/>
  <c r="A4124" i="1"/>
  <c r="R4123" i="1"/>
  <c r="Q4123" i="1"/>
  <c r="N4123" i="1"/>
  <c r="J4123" i="1"/>
  <c r="I4123" i="1"/>
  <c r="H4123" i="1"/>
  <c r="G4123" i="1"/>
  <c r="F4123" i="1"/>
  <c r="E4123" i="1"/>
  <c r="D4123" i="1"/>
  <c r="C4123" i="1"/>
  <c r="A4123" i="1"/>
  <c r="R4122" i="1"/>
  <c r="Q4122" i="1"/>
  <c r="N4122" i="1"/>
  <c r="J4122" i="1"/>
  <c r="I4122" i="1"/>
  <c r="H4122" i="1"/>
  <c r="G4122" i="1"/>
  <c r="F4122" i="1"/>
  <c r="E4122" i="1"/>
  <c r="D4122" i="1"/>
  <c r="C4122" i="1"/>
  <c r="A4122" i="1"/>
  <c r="R4121" i="1"/>
  <c r="Q4121" i="1"/>
  <c r="N4121" i="1"/>
  <c r="J4121" i="1"/>
  <c r="I4121" i="1"/>
  <c r="H4121" i="1"/>
  <c r="G4121" i="1"/>
  <c r="F4121" i="1"/>
  <c r="E4121" i="1"/>
  <c r="D4121" i="1"/>
  <c r="C4121" i="1"/>
  <c r="A4121" i="1"/>
  <c r="R4120" i="1"/>
  <c r="Q4120" i="1"/>
  <c r="N4120" i="1"/>
  <c r="J4120" i="1"/>
  <c r="I4120" i="1"/>
  <c r="H4120" i="1"/>
  <c r="G4120" i="1"/>
  <c r="F4120" i="1"/>
  <c r="E4120" i="1"/>
  <c r="D4120" i="1"/>
  <c r="C4120" i="1"/>
  <c r="A4120" i="1"/>
  <c r="R4119" i="1"/>
  <c r="N4119" i="1"/>
  <c r="J4119" i="1"/>
  <c r="I4119" i="1"/>
  <c r="H4119" i="1"/>
  <c r="G4119" i="1"/>
  <c r="F4119" i="1"/>
  <c r="E4119" i="1"/>
  <c r="D4119" i="1"/>
  <c r="C4119" i="1"/>
  <c r="B4119" i="1"/>
  <c r="A4119" i="1"/>
  <c r="R4118" i="1"/>
  <c r="Q4118" i="1"/>
  <c r="N4118" i="1"/>
  <c r="J4118" i="1"/>
  <c r="I4118" i="1"/>
  <c r="H4118" i="1"/>
  <c r="G4118" i="1"/>
  <c r="F4118" i="1"/>
  <c r="E4118" i="1"/>
  <c r="D4118" i="1"/>
  <c r="C4118" i="1"/>
  <c r="B4118" i="1"/>
  <c r="A4118" i="1"/>
  <c r="R4117" i="1"/>
  <c r="N4117" i="1"/>
  <c r="J4117" i="1"/>
  <c r="I4117" i="1"/>
  <c r="H4117" i="1"/>
  <c r="G4117" i="1"/>
  <c r="F4117" i="1"/>
  <c r="E4117" i="1"/>
  <c r="D4117" i="1"/>
  <c r="C4117" i="1"/>
  <c r="B4117" i="1"/>
  <c r="A4117" i="1"/>
  <c r="R4116" i="1"/>
  <c r="Q4116" i="1"/>
  <c r="N4116" i="1"/>
  <c r="J4116" i="1"/>
  <c r="I4116" i="1"/>
  <c r="H4116" i="1"/>
  <c r="G4116" i="1"/>
  <c r="F4116" i="1"/>
  <c r="E4116" i="1"/>
  <c r="D4116" i="1"/>
  <c r="C4116" i="1"/>
  <c r="B4116" i="1"/>
  <c r="A4116" i="1"/>
  <c r="R4115" i="1"/>
  <c r="N4115" i="1"/>
  <c r="J4115" i="1"/>
  <c r="I4115" i="1"/>
  <c r="H4115" i="1"/>
  <c r="G4115" i="1"/>
  <c r="F4115" i="1"/>
  <c r="E4115" i="1"/>
  <c r="D4115" i="1"/>
  <c r="C4115" i="1"/>
  <c r="B4115" i="1"/>
  <c r="A4115" i="1"/>
  <c r="R4114" i="1"/>
  <c r="Q4114" i="1"/>
  <c r="N4114" i="1"/>
  <c r="J4114" i="1"/>
  <c r="I4114" i="1"/>
  <c r="H4114" i="1"/>
  <c r="G4114" i="1"/>
  <c r="F4114" i="1"/>
  <c r="E4114" i="1"/>
  <c r="D4114" i="1"/>
  <c r="C4114" i="1"/>
  <c r="B4114" i="1"/>
  <c r="A4114" i="1"/>
  <c r="R4113" i="1"/>
  <c r="N4113" i="1"/>
  <c r="J4113" i="1"/>
  <c r="I4113" i="1"/>
  <c r="H4113" i="1"/>
  <c r="G4113" i="1"/>
  <c r="F4113" i="1"/>
  <c r="E4113" i="1"/>
  <c r="D4113" i="1"/>
  <c r="C4113" i="1"/>
  <c r="B4113" i="1"/>
  <c r="A4113" i="1"/>
  <c r="R4112" i="1"/>
  <c r="Q4112" i="1"/>
  <c r="N4112" i="1"/>
  <c r="J4112" i="1"/>
  <c r="I4112" i="1"/>
  <c r="H4112" i="1"/>
  <c r="G4112" i="1"/>
  <c r="F4112" i="1"/>
  <c r="E4112" i="1"/>
  <c r="D4112" i="1"/>
  <c r="C4112" i="1"/>
  <c r="B4112" i="1"/>
  <c r="A4112" i="1"/>
  <c r="R4111" i="1"/>
  <c r="N4111" i="1"/>
  <c r="J4111" i="1"/>
  <c r="I4111" i="1"/>
  <c r="H4111" i="1"/>
  <c r="G4111" i="1"/>
  <c r="F4111" i="1"/>
  <c r="E4111" i="1"/>
  <c r="D4111" i="1"/>
  <c r="C4111" i="1"/>
  <c r="B4111" i="1"/>
  <c r="A4111" i="1"/>
  <c r="R4110" i="1"/>
  <c r="Q4110" i="1"/>
  <c r="N4110" i="1"/>
  <c r="J4110" i="1"/>
  <c r="I4110" i="1"/>
  <c r="H4110" i="1"/>
  <c r="G4110" i="1"/>
  <c r="F4110" i="1"/>
  <c r="E4110" i="1"/>
  <c r="D4110" i="1"/>
  <c r="C4110" i="1"/>
  <c r="A4110" i="1"/>
  <c r="R4109" i="1"/>
  <c r="N4109" i="1"/>
  <c r="J4109" i="1"/>
  <c r="I4109" i="1"/>
  <c r="H4109" i="1"/>
  <c r="G4109" i="1"/>
  <c r="F4109" i="1"/>
  <c r="E4109" i="1"/>
  <c r="D4109" i="1"/>
  <c r="C4109" i="1"/>
  <c r="A4109" i="1"/>
  <c r="R4108" i="1"/>
  <c r="Q4108" i="1"/>
  <c r="N4108" i="1"/>
  <c r="J4108" i="1"/>
  <c r="I4108" i="1"/>
  <c r="H4108" i="1"/>
  <c r="G4108" i="1"/>
  <c r="F4108" i="1"/>
  <c r="E4108" i="1"/>
  <c r="D4108" i="1"/>
  <c r="C4108" i="1"/>
  <c r="A4108" i="1"/>
  <c r="R4107" i="1"/>
  <c r="N4107" i="1"/>
  <c r="J4107" i="1"/>
  <c r="I4107" i="1"/>
  <c r="H4107" i="1"/>
  <c r="G4107" i="1"/>
  <c r="F4107" i="1"/>
  <c r="E4107" i="1"/>
  <c r="D4107" i="1"/>
  <c r="C4107" i="1"/>
  <c r="A4107" i="1"/>
  <c r="R4106" i="1"/>
  <c r="Q4106" i="1"/>
  <c r="N4106" i="1"/>
  <c r="J4106" i="1"/>
  <c r="I4106" i="1"/>
  <c r="H4106" i="1"/>
  <c r="G4106" i="1"/>
  <c r="F4106" i="1"/>
  <c r="E4106" i="1"/>
  <c r="D4106" i="1"/>
  <c r="C4106" i="1"/>
  <c r="A4106" i="1"/>
  <c r="R4105" i="1"/>
  <c r="N4105" i="1"/>
  <c r="J4105" i="1"/>
  <c r="I4105" i="1"/>
  <c r="H4105" i="1"/>
  <c r="G4105" i="1"/>
  <c r="F4105" i="1"/>
  <c r="E4105" i="1"/>
  <c r="D4105" i="1"/>
  <c r="C4105" i="1"/>
  <c r="A4105" i="1"/>
  <c r="R4104" i="1"/>
  <c r="Q4104" i="1"/>
  <c r="N4104" i="1"/>
  <c r="J4104" i="1"/>
  <c r="I4104" i="1"/>
  <c r="H4104" i="1"/>
  <c r="G4104" i="1"/>
  <c r="F4104" i="1"/>
  <c r="E4104" i="1"/>
  <c r="D4104" i="1"/>
  <c r="C4104" i="1"/>
  <c r="A4104" i="1"/>
  <c r="R4103" i="1"/>
  <c r="N4103" i="1"/>
  <c r="J4103" i="1"/>
  <c r="I4103" i="1"/>
  <c r="H4103" i="1"/>
  <c r="G4103" i="1"/>
  <c r="F4103" i="1"/>
  <c r="E4103" i="1"/>
  <c r="D4103" i="1"/>
  <c r="C4103" i="1"/>
  <c r="A4103" i="1"/>
  <c r="R4102" i="1"/>
  <c r="Q4102" i="1"/>
  <c r="N4102" i="1"/>
  <c r="J4102" i="1"/>
  <c r="I4102" i="1"/>
  <c r="H4102" i="1"/>
  <c r="G4102" i="1"/>
  <c r="F4102" i="1"/>
  <c r="E4102" i="1"/>
  <c r="D4102" i="1"/>
  <c r="C4102" i="1"/>
  <c r="A4102" i="1"/>
  <c r="R4101" i="1"/>
  <c r="N4101" i="1"/>
  <c r="J4101" i="1"/>
  <c r="I4101" i="1"/>
  <c r="H4101" i="1"/>
  <c r="G4101" i="1"/>
  <c r="F4101" i="1"/>
  <c r="E4101" i="1"/>
  <c r="D4101" i="1"/>
  <c r="C4101" i="1"/>
  <c r="B4101" i="1"/>
  <c r="A4101" i="1"/>
  <c r="R4100" i="1"/>
  <c r="N4100" i="1"/>
  <c r="J4100" i="1"/>
  <c r="I4100" i="1"/>
  <c r="H4100" i="1"/>
  <c r="G4100" i="1"/>
  <c r="F4100" i="1"/>
  <c r="E4100" i="1"/>
  <c r="D4100" i="1"/>
  <c r="C4100" i="1"/>
  <c r="B4100" i="1"/>
  <c r="A4100" i="1"/>
  <c r="R4099" i="1"/>
  <c r="N4099" i="1"/>
  <c r="J4099" i="1"/>
  <c r="I4099" i="1"/>
  <c r="H4099" i="1"/>
  <c r="G4099" i="1"/>
  <c r="F4099" i="1"/>
  <c r="E4099" i="1"/>
  <c r="D4099" i="1"/>
  <c r="C4099" i="1"/>
  <c r="B4099" i="1"/>
  <c r="A4099" i="1"/>
  <c r="R4098" i="1"/>
  <c r="N4098" i="1"/>
  <c r="J4098" i="1"/>
  <c r="I4098" i="1"/>
  <c r="H4098" i="1"/>
  <c r="G4098" i="1"/>
  <c r="F4098" i="1"/>
  <c r="E4098" i="1"/>
  <c r="D4098" i="1"/>
  <c r="C4098" i="1"/>
  <c r="B4098" i="1"/>
  <c r="A4098" i="1"/>
  <c r="R4097" i="1"/>
  <c r="N4097" i="1"/>
  <c r="J4097" i="1"/>
  <c r="I4097" i="1"/>
  <c r="H4097" i="1"/>
  <c r="G4097" i="1"/>
  <c r="F4097" i="1"/>
  <c r="E4097" i="1"/>
  <c r="D4097" i="1"/>
  <c r="C4097" i="1"/>
  <c r="B4097" i="1"/>
  <c r="A4097" i="1"/>
  <c r="R4096" i="1"/>
  <c r="N4096" i="1"/>
  <c r="J4096" i="1"/>
  <c r="I4096" i="1"/>
  <c r="H4096" i="1"/>
  <c r="G4096" i="1"/>
  <c r="F4096" i="1"/>
  <c r="E4096" i="1"/>
  <c r="D4096" i="1"/>
  <c r="C4096" i="1"/>
  <c r="B4096" i="1"/>
  <c r="A4096" i="1"/>
  <c r="R4095" i="1"/>
  <c r="N4095" i="1"/>
  <c r="J4095" i="1"/>
  <c r="I4095" i="1"/>
  <c r="H4095" i="1"/>
  <c r="G4095" i="1"/>
  <c r="F4095" i="1"/>
  <c r="E4095" i="1"/>
  <c r="D4095" i="1"/>
  <c r="C4095" i="1"/>
  <c r="B4095" i="1"/>
  <c r="A4095" i="1"/>
  <c r="R4094" i="1"/>
  <c r="N4094" i="1"/>
  <c r="J4094" i="1"/>
  <c r="I4094" i="1"/>
  <c r="H4094" i="1"/>
  <c r="G4094" i="1"/>
  <c r="F4094" i="1"/>
  <c r="E4094" i="1"/>
  <c r="D4094" i="1"/>
  <c r="C4094" i="1"/>
  <c r="B4094" i="1"/>
  <c r="A4094" i="1"/>
  <c r="R4093" i="1"/>
  <c r="N4093" i="1"/>
  <c r="J4093" i="1"/>
  <c r="I4093" i="1"/>
  <c r="H4093" i="1"/>
  <c r="G4093" i="1"/>
  <c r="F4093" i="1"/>
  <c r="E4093" i="1"/>
  <c r="D4093" i="1"/>
  <c r="C4093" i="1"/>
  <c r="B4093" i="1"/>
  <c r="A4093" i="1"/>
  <c r="R4092" i="1"/>
  <c r="N4092" i="1"/>
  <c r="J4092" i="1"/>
  <c r="I4092" i="1"/>
  <c r="H4092" i="1"/>
  <c r="G4092" i="1"/>
  <c r="F4092" i="1"/>
  <c r="E4092" i="1"/>
  <c r="D4092" i="1"/>
  <c r="C4092" i="1"/>
  <c r="B4092" i="1"/>
  <c r="A4092" i="1"/>
  <c r="R4091" i="1"/>
  <c r="N4091" i="1"/>
  <c r="J4091" i="1"/>
  <c r="I4091" i="1"/>
  <c r="H4091" i="1"/>
  <c r="G4091" i="1"/>
  <c r="F4091" i="1"/>
  <c r="E4091" i="1"/>
  <c r="D4091" i="1"/>
  <c r="C4091" i="1"/>
  <c r="B4091" i="1"/>
  <c r="A4091" i="1"/>
  <c r="R4090" i="1"/>
  <c r="N4090" i="1"/>
  <c r="J4090" i="1"/>
  <c r="I4090" i="1"/>
  <c r="H4090" i="1"/>
  <c r="G4090" i="1"/>
  <c r="F4090" i="1"/>
  <c r="E4090" i="1"/>
  <c r="D4090" i="1"/>
  <c r="C4090" i="1"/>
  <c r="B4090" i="1"/>
  <c r="A4090" i="1"/>
  <c r="R4089" i="1"/>
  <c r="N4089" i="1"/>
  <c r="J4089" i="1"/>
  <c r="I4089" i="1"/>
  <c r="H4089" i="1"/>
  <c r="G4089" i="1"/>
  <c r="F4089" i="1"/>
  <c r="E4089" i="1"/>
  <c r="D4089" i="1"/>
  <c r="C4089" i="1"/>
  <c r="B4089" i="1"/>
  <c r="A4089" i="1"/>
  <c r="R4088" i="1"/>
  <c r="N4088" i="1"/>
  <c r="J4088" i="1"/>
  <c r="I4088" i="1"/>
  <c r="H4088" i="1"/>
  <c r="G4088" i="1"/>
  <c r="F4088" i="1"/>
  <c r="E4088" i="1"/>
  <c r="D4088" i="1"/>
  <c r="C4088" i="1"/>
  <c r="B4088" i="1"/>
  <c r="A4088" i="1"/>
  <c r="R4087" i="1"/>
  <c r="N4087" i="1"/>
  <c r="J4087" i="1"/>
  <c r="I4087" i="1"/>
  <c r="H4087" i="1"/>
  <c r="G4087" i="1"/>
  <c r="F4087" i="1"/>
  <c r="E4087" i="1"/>
  <c r="D4087" i="1"/>
  <c r="C4087" i="1"/>
  <c r="B4087" i="1"/>
  <c r="A4087" i="1"/>
  <c r="R4086" i="1"/>
  <c r="N4086" i="1"/>
  <c r="J4086" i="1"/>
  <c r="I4086" i="1"/>
  <c r="H4086" i="1"/>
  <c r="G4086" i="1"/>
  <c r="F4086" i="1"/>
  <c r="E4086" i="1"/>
  <c r="D4086" i="1"/>
  <c r="C4086" i="1"/>
  <c r="B4086" i="1"/>
  <c r="A4086" i="1"/>
  <c r="R4085" i="1"/>
  <c r="Q4085" i="1"/>
  <c r="N4085" i="1"/>
  <c r="J4085" i="1"/>
  <c r="I4085" i="1"/>
  <c r="H4085" i="1"/>
  <c r="G4085" i="1"/>
  <c r="F4085" i="1"/>
  <c r="E4085" i="1"/>
  <c r="D4085" i="1"/>
  <c r="C4085" i="1"/>
  <c r="A4085" i="1"/>
  <c r="R4084" i="1"/>
  <c r="N4084" i="1"/>
  <c r="J4084" i="1"/>
  <c r="I4084" i="1"/>
  <c r="H4084" i="1"/>
  <c r="G4084" i="1"/>
  <c r="F4084" i="1"/>
  <c r="E4084" i="1"/>
  <c r="D4084" i="1"/>
  <c r="C4084" i="1"/>
  <c r="A4084" i="1"/>
  <c r="R4083" i="1"/>
  <c r="Q4083" i="1"/>
  <c r="N4083" i="1"/>
  <c r="J4083" i="1"/>
  <c r="I4083" i="1"/>
  <c r="H4083" i="1"/>
  <c r="G4083" i="1"/>
  <c r="F4083" i="1"/>
  <c r="E4083" i="1"/>
  <c r="D4083" i="1"/>
  <c r="C4083" i="1"/>
  <c r="A4083" i="1"/>
  <c r="R4082" i="1"/>
  <c r="N4082" i="1"/>
  <c r="J4082" i="1"/>
  <c r="I4082" i="1"/>
  <c r="H4082" i="1"/>
  <c r="G4082" i="1"/>
  <c r="F4082" i="1"/>
  <c r="E4082" i="1"/>
  <c r="D4082" i="1"/>
  <c r="C4082" i="1"/>
  <c r="A4082" i="1"/>
  <c r="R4081" i="1"/>
  <c r="Q4081" i="1"/>
  <c r="N4081" i="1"/>
  <c r="J4081" i="1"/>
  <c r="I4081" i="1"/>
  <c r="H4081" i="1"/>
  <c r="G4081" i="1"/>
  <c r="F4081" i="1"/>
  <c r="E4081" i="1"/>
  <c r="D4081" i="1"/>
  <c r="C4081" i="1"/>
  <c r="A4081" i="1"/>
  <c r="R4080" i="1"/>
  <c r="N4080" i="1"/>
  <c r="J4080" i="1"/>
  <c r="I4080" i="1"/>
  <c r="H4080" i="1"/>
  <c r="G4080" i="1"/>
  <c r="F4080" i="1"/>
  <c r="E4080" i="1"/>
  <c r="D4080" i="1"/>
  <c r="C4080" i="1"/>
  <c r="A4080" i="1"/>
  <c r="R4079" i="1"/>
  <c r="Q4079" i="1"/>
  <c r="N4079" i="1"/>
  <c r="J4079" i="1"/>
  <c r="I4079" i="1"/>
  <c r="H4079" i="1"/>
  <c r="G4079" i="1"/>
  <c r="F4079" i="1"/>
  <c r="E4079" i="1"/>
  <c r="D4079" i="1"/>
  <c r="C4079" i="1"/>
  <c r="A4079" i="1"/>
  <c r="R4078" i="1"/>
  <c r="N4078" i="1"/>
  <c r="J4078" i="1"/>
  <c r="I4078" i="1"/>
  <c r="H4078" i="1"/>
  <c r="G4078" i="1"/>
  <c r="F4078" i="1"/>
  <c r="E4078" i="1"/>
  <c r="D4078" i="1"/>
  <c r="C4078" i="1"/>
  <c r="A4078" i="1"/>
  <c r="R4077" i="1"/>
  <c r="Q4077" i="1"/>
  <c r="N4077" i="1"/>
  <c r="J4077" i="1"/>
  <c r="I4077" i="1"/>
  <c r="H4077" i="1"/>
  <c r="G4077" i="1"/>
  <c r="F4077" i="1"/>
  <c r="E4077" i="1"/>
  <c r="D4077" i="1"/>
  <c r="C4077" i="1"/>
  <c r="A4077" i="1"/>
  <c r="R4076" i="1"/>
  <c r="Q4076" i="1"/>
  <c r="N4076" i="1"/>
  <c r="J4076" i="1"/>
  <c r="I4076" i="1"/>
  <c r="H4076" i="1"/>
  <c r="G4076" i="1"/>
  <c r="F4076" i="1"/>
  <c r="E4076" i="1"/>
  <c r="D4076" i="1"/>
  <c r="C4076" i="1"/>
  <c r="A4076" i="1"/>
  <c r="R4075" i="1"/>
  <c r="Q4075" i="1"/>
  <c r="N4075" i="1"/>
  <c r="J4075" i="1"/>
  <c r="I4075" i="1"/>
  <c r="H4075" i="1"/>
  <c r="G4075" i="1"/>
  <c r="F4075" i="1"/>
  <c r="E4075" i="1"/>
  <c r="D4075" i="1"/>
  <c r="C4075" i="1"/>
  <c r="A4075" i="1"/>
  <c r="R4074" i="1"/>
  <c r="N4074" i="1"/>
  <c r="J4074" i="1"/>
  <c r="I4074" i="1"/>
  <c r="H4074" i="1"/>
  <c r="G4074" i="1"/>
  <c r="F4074" i="1"/>
  <c r="E4074" i="1"/>
  <c r="D4074" i="1"/>
  <c r="C4074" i="1"/>
  <c r="A4074" i="1"/>
  <c r="R4073" i="1"/>
  <c r="Q4073" i="1"/>
  <c r="N4073" i="1"/>
  <c r="J4073" i="1"/>
  <c r="I4073" i="1"/>
  <c r="H4073" i="1"/>
  <c r="G4073" i="1"/>
  <c r="F4073" i="1"/>
  <c r="E4073" i="1"/>
  <c r="D4073" i="1"/>
  <c r="C4073" i="1"/>
  <c r="A4073" i="1"/>
  <c r="R4072" i="1"/>
  <c r="N4072" i="1"/>
  <c r="J4072" i="1"/>
  <c r="I4072" i="1"/>
  <c r="H4072" i="1"/>
  <c r="G4072" i="1"/>
  <c r="F4072" i="1"/>
  <c r="E4072" i="1"/>
  <c r="D4072" i="1"/>
  <c r="C4072" i="1"/>
  <c r="A4072" i="1"/>
  <c r="R4071" i="1"/>
  <c r="Q4071" i="1"/>
  <c r="N4071" i="1"/>
  <c r="J4071" i="1"/>
  <c r="I4071" i="1"/>
  <c r="H4071" i="1"/>
  <c r="G4071" i="1"/>
  <c r="F4071" i="1"/>
  <c r="E4071" i="1"/>
  <c r="D4071" i="1"/>
  <c r="C4071" i="1"/>
  <c r="A4071" i="1"/>
  <c r="R4070" i="1"/>
  <c r="N4070" i="1"/>
  <c r="J4070" i="1"/>
  <c r="I4070" i="1"/>
  <c r="H4070" i="1"/>
  <c r="G4070" i="1"/>
  <c r="F4070" i="1"/>
  <c r="E4070" i="1"/>
  <c r="D4070" i="1"/>
  <c r="C4070" i="1"/>
  <c r="A4070" i="1"/>
  <c r="R4069" i="1"/>
  <c r="Q4069" i="1"/>
  <c r="N4069" i="1"/>
  <c r="J4069" i="1"/>
  <c r="I4069" i="1"/>
  <c r="H4069" i="1"/>
  <c r="G4069" i="1"/>
  <c r="F4069" i="1"/>
  <c r="E4069" i="1"/>
  <c r="D4069" i="1"/>
  <c r="C4069" i="1"/>
  <c r="A4069" i="1"/>
  <c r="R4068" i="1"/>
  <c r="N4068" i="1"/>
  <c r="J4068" i="1"/>
  <c r="I4068" i="1"/>
  <c r="H4068" i="1"/>
  <c r="G4068" i="1"/>
  <c r="F4068" i="1"/>
  <c r="E4068" i="1"/>
  <c r="D4068" i="1"/>
  <c r="C4068" i="1"/>
  <c r="A4068" i="1"/>
  <c r="R4067" i="1"/>
  <c r="Q4067" i="1"/>
  <c r="N4067" i="1"/>
  <c r="J4067" i="1"/>
  <c r="I4067" i="1"/>
  <c r="H4067" i="1"/>
  <c r="G4067" i="1"/>
  <c r="F4067" i="1"/>
  <c r="E4067" i="1"/>
  <c r="D4067" i="1"/>
  <c r="C4067" i="1"/>
  <c r="A4067" i="1"/>
  <c r="R4066" i="1"/>
  <c r="N4066" i="1"/>
  <c r="J4066" i="1"/>
  <c r="I4066" i="1"/>
  <c r="H4066" i="1"/>
  <c r="G4066" i="1"/>
  <c r="F4066" i="1"/>
  <c r="E4066" i="1"/>
  <c r="D4066" i="1"/>
  <c r="C4066" i="1"/>
  <c r="A4066" i="1"/>
  <c r="R4065" i="1"/>
  <c r="Q4065" i="1"/>
  <c r="N4065" i="1"/>
  <c r="J4065" i="1"/>
  <c r="I4065" i="1"/>
  <c r="H4065" i="1"/>
  <c r="G4065" i="1"/>
  <c r="F4065" i="1"/>
  <c r="E4065" i="1"/>
  <c r="D4065" i="1"/>
  <c r="C4065" i="1"/>
  <c r="A4065" i="1"/>
  <c r="R4064" i="1"/>
  <c r="N4064" i="1"/>
  <c r="J4064" i="1"/>
  <c r="I4064" i="1"/>
  <c r="H4064" i="1"/>
  <c r="G4064" i="1"/>
  <c r="F4064" i="1"/>
  <c r="E4064" i="1"/>
  <c r="D4064" i="1"/>
  <c r="C4064" i="1"/>
  <c r="A4064" i="1"/>
  <c r="R4063" i="1"/>
  <c r="Q4063" i="1"/>
  <c r="N4063" i="1"/>
  <c r="J4063" i="1"/>
  <c r="I4063" i="1"/>
  <c r="H4063" i="1"/>
  <c r="G4063" i="1"/>
  <c r="F4063" i="1"/>
  <c r="E4063" i="1"/>
  <c r="D4063" i="1"/>
  <c r="C4063" i="1"/>
  <c r="A4063" i="1"/>
  <c r="R4062" i="1"/>
  <c r="Q4062" i="1"/>
  <c r="N4062" i="1"/>
  <c r="J4062" i="1"/>
  <c r="I4062" i="1"/>
  <c r="H4062" i="1"/>
  <c r="G4062" i="1"/>
  <c r="F4062" i="1"/>
  <c r="E4062" i="1"/>
  <c r="D4062" i="1"/>
  <c r="C4062" i="1"/>
  <c r="A4062" i="1"/>
  <c r="R4061" i="1"/>
  <c r="N4061" i="1"/>
  <c r="J4061" i="1"/>
  <c r="I4061" i="1"/>
  <c r="H4061" i="1"/>
  <c r="G4061" i="1"/>
  <c r="F4061" i="1"/>
  <c r="E4061" i="1"/>
  <c r="D4061" i="1"/>
  <c r="C4061" i="1"/>
  <c r="A4061" i="1"/>
  <c r="R4060" i="1"/>
  <c r="Q4060" i="1"/>
  <c r="N4060" i="1"/>
  <c r="J4060" i="1"/>
  <c r="I4060" i="1"/>
  <c r="H4060" i="1"/>
  <c r="G4060" i="1"/>
  <c r="F4060" i="1"/>
  <c r="E4060" i="1"/>
  <c r="D4060" i="1"/>
  <c r="C4060" i="1"/>
  <c r="A4060" i="1"/>
  <c r="R4059" i="1"/>
  <c r="N4059" i="1"/>
  <c r="J4059" i="1"/>
  <c r="I4059" i="1"/>
  <c r="H4059" i="1"/>
  <c r="G4059" i="1"/>
  <c r="F4059" i="1"/>
  <c r="E4059" i="1"/>
  <c r="D4059" i="1"/>
  <c r="C4059" i="1"/>
  <c r="A4059" i="1"/>
  <c r="R4058" i="1"/>
  <c r="Q4058" i="1"/>
  <c r="N4058" i="1"/>
  <c r="J4058" i="1"/>
  <c r="I4058" i="1"/>
  <c r="H4058" i="1"/>
  <c r="G4058" i="1"/>
  <c r="F4058" i="1"/>
  <c r="E4058" i="1"/>
  <c r="D4058" i="1"/>
  <c r="C4058" i="1"/>
  <c r="A4058" i="1"/>
  <c r="R4057" i="1"/>
  <c r="N4057" i="1"/>
  <c r="J4057" i="1"/>
  <c r="I4057" i="1"/>
  <c r="H4057" i="1"/>
  <c r="G4057" i="1"/>
  <c r="F4057" i="1"/>
  <c r="E4057" i="1"/>
  <c r="D4057" i="1"/>
  <c r="C4057" i="1"/>
  <c r="B4057" i="1"/>
  <c r="A4057" i="1"/>
  <c r="R4056" i="1"/>
  <c r="N4056" i="1"/>
  <c r="J4056" i="1"/>
  <c r="I4056" i="1"/>
  <c r="H4056" i="1"/>
  <c r="G4056" i="1"/>
  <c r="F4056" i="1"/>
  <c r="E4056" i="1"/>
  <c r="D4056" i="1"/>
  <c r="C4056" i="1"/>
  <c r="B4056" i="1"/>
  <c r="A4056" i="1"/>
  <c r="R4055" i="1"/>
  <c r="N4055" i="1"/>
  <c r="J4055" i="1"/>
  <c r="I4055" i="1"/>
  <c r="H4055" i="1"/>
  <c r="G4055" i="1"/>
  <c r="F4055" i="1"/>
  <c r="E4055" i="1"/>
  <c r="D4055" i="1"/>
  <c r="C4055" i="1"/>
  <c r="B4055" i="1"/>
  <c r="A4055" i="1"/>
  <c r="R4054" i="1"/>
  <c r="N4054" i="1"/>
  <c r="J4054" i="1"/>
  <c r="I4054" i="1"/>
  <c r="H4054" i="1"/>
  <c r="G4054" i="1"/>
  <c r="F4054" i="1"/>
  <c r="E4054" i="1"/>
  <c r="D4054" i="1"/>
  <c r="C4054" i="1"/>
  <c r="B4054" i="1"/>
  <c r="A4054" i="1"/>
  <c r="R4053" i="1"/>
  <c r="N4053" i="1"/>
  <c r="J4053" i="1"/>
  <c r="I4053" i="1"/>
  <c r="H4053" i="1"/>
  <c r="G4053" i="1"/>
  <c r="F4053" i="1"/>
  <c r="E4053" i="1"/>
  <c r="D4053" i="1"/>
  <c r="C4053" i="1"/>
  <c r="B4053" i="1"/>
  <c r="A4053" i="1"/>
  <c r="R4052" i="1"/>
  <c r="N4052" i="1"/>
  <c r="J4052" i="1"/>
  <c r="I4052" i="1"/>
  <c r="H4052" i="1"/>
  <c r="G4052" i="1"/>
  <c r="F4052" i="1"/>
  <c r="E4052" i="1"/>
  <c r="D4052" i="1"/>
  <c r="C4052" i="1"/>
  <c r="B4052" i="1"/>
  <c r="A4052" i="1"/>
  <c r="R4051" i="1"/>
  <c r="N4051" i="1"/>
  <c r="J4051" i="1"/>
  <c r="I4051" i="1"/>
  <c r="H4051" i="1"/>
  <c r="G4051" i="1"/>
  <c r="F4051" i="1"/>
  <c r="E4051" i="1"/>
  <c r="D4051" i="1"/>
  <c r="C4051" i="1"/>
  <c r="B4051" i="1"/>
  <c r="A4051" i="1"/>
  <c r="R4050" i="1"/>
  <c r="Q4050" i="1"/>
  <c r="N4050" i="1"/>
  <c r="J4050" i="1"/>
  <c r="I4050" i="1"/>
  <c r="H4050" i="1"/>
  <c r="G4050" i="1"/>
  <c r="F4050" i="1"/>
  <c r="E4050" i="1"/>
  <c r="D4050" i="1"/>
  <c r="C4050" i="1"/>
  <c r="A4050" i="1"/>
  <c r="R4049" i="1"/>
  <c r="N4049" i="1"/>
  <c r="J4049" i="1"/>
  <c r="I4049" i="1"/>
  <c r="H4049" i="1"/>
  <c r="G4049" i="1"/>
  <c r="F4049" i="1"/>
  <c r="E4049" i="1"/>
  <c r="D4049" i="1"/>
  <c r="C4049" i="1"/>
  <c r="A4049" i="1"/>
  <c r="R4048" i="1"/>
  <c r="Q4048" i="1"/>
  <c r="N4048" i="1"/>
  <c r="J4048" i="1"/>
  <c r="I4048" i="1"/>
  <c r="H4048" i="1"/>
  <c r="G4048" i="1"/>
  <c r="F4048" i="1"/>
  <c r="E4048" i="1"/>
  <c r="D4048" i="1"/>
  <c r="C4048" i="1"/>
  <c r="A4048" i="1"/>
  <c r="R4047" i="1"/>
  <c r="N4047" i="1"/>
  <c r="J4047" i="1"/>
  <c r="I4047" i="1"/>
  <c r="H4047" i="1"/>
  <c r="G4047" i="1"/>
  <c r="F4047" i="1"/>
  <c r="E4047" i="1"/>
  <c r="D4047" i="1"/>
  <c r="C4047" i="1"/>
  <c r="A4047" i="1"/>
  <c r="R4046" i="1"/>
  <c r="Q4046" i="1"/>
  <c r="N4046" i="1"/>
  <c r="J4046" i="1"/>
  <c r="I4046" i="1"/>
  <c r="H4046" i="1"/>
  <c r="G4046" i="1"/>
  <c r="F4046" i="1"/>
  <c r="E4046" i="1"/>
  <c r="D4046" i="1"/>
  <c r="C4046" i="1"/>
  <c r="A4046" i="1"/>
  <c r="R4045" i="1"/>
  <c r="N4045" i="1"/>
  <c r="J4045" i="1"/>
  <c r="I4045" i="1"/>
  <c r="H4045" i="1"/>
  <c r="G4045" i="1"/>
  <c r="F4045" i="1"/>
  <c r="E4045" i="1"/>
  <c r="D4045" i="1"/>
  <c r="C4045" i="1"/>
  <c r="A4045" i="1"/>
  <c r="R4044" i="1"/>
  <c r="Q4044" i="1"/>
  <c r="N4044" i="1"/>
  <c r="J4044" i="1"/>
  <c r="I4044" i="1"/>
  <c r="H4044" i="1"/>
  <c r="G4044" i="1"/>
  <c r="F4044" i="1"/>
  <c r="E4044" i="1"/>
  <c r="D4044" i="1"/>
  <c r="C4044" i="1"/>
  <c r="A4044" i="1"/>
  <c r="R4043" i="1"/>
  <c r="N4043" i="1"/>
  <c r="J4043" i="1"/>
  <c r="I4043" i="1"/>
  <c r="H4043" i="1"/>
  <c r="G4043" i="1"/>
  <c r="F4043" i="1"/>
  <c r="E4043" i="1"/>
  <c r="D4043" i="1"/>
  <c r="C4043" i="1"/>
  <c r="A4043" i="1"/>
  <c r="R4042" i="1"/>
  <c r="Q4042" i="1"/>
  <c r="N4042" i="1"/>
  <c r="J4042" i="1"/>
  <c r="I4042" i="1"/>
  <c r="H4042" i="1"/>
  <c r="G4042" i="1"/>
  <c r="F4042" i="1"/>
  <c r="E4042" i="1"/>
  <c r="D4042" i="1"/>
  <c r="C4042" i="1"/>
  <c r="A4042" i="1"/>
  <c r="R4041" i="1"/>
  <c r="N4041" i="1"/>
  <c r="J4041" i="1"/>
  <c r="I4041" i="1"/>
  <c r="H4041" i="1"/>
  <c r="G4041" i="1"/>
  <c r="F4041" i="1"/>
  <c r="E4041" i="1"/>
  <c r="D4041" i="1"/>
  <c r="C4041" i="1"/>
  <c r="A4041" i="1"/>
  <c r="R4040" i="1"/>
  <c r="Q4040" i="1"/>
  <c r="N4040" i="1"/>
  <c r="J4040" i="1"/>
  <c r="I4040" i="1"/>
  <c r="H4040" i="1"/>
  <c r="G4040" i="1"/>
  <c r="F4040" i="1"/>
  <c r="E4040" i="1"/>
  <c r="D4040" i="1"/>
  <c r="C4040" i="1"/>
  <c r="A4040" i="1"/>
  <c r="R4039" i="1"/>
  <c r="N4039" i="1"/>
  <c r="J4039" i="1"/>
  <c r="I4039" i="1"/>
  <c r="H4039" i="1"/>
  <c r="G4039" i="1"/>
  <c r="F4039" i="1"/>
  <c r="E4039" i="1"/>
  <c r="D4039" i="1"/>
  <c r="C4039" i="1"/>
  <c r="A4039" i="1"/>
  <c r="R4038" i="1"/>
  <c r="Q4038" i="1"/>
  <c r="N4038" i="1"/>
  <c r="J4038" i="1"/>
  <c r="I4038" i="1"/>
  <c r="H4038" i="1"/>
  <c r="G4038" i="1"/>
  <c r="F4038" i="1"/>
  <c r="E4038" i="1"/>
  <c r="D4038" i="1"/>
  <c r="C4038" i="1"/>
  <c r="A4038" i="1"/>
  <c r="R4037" i="1"/>
  <c r="Q4037" i="1"/>
  <c r="N4037" i="1"/>
  <c r="J4037" i="1"/>
  <c r="I4037" i="1"/>
  <c r="H4037" i="1"/>
  <c r="G4037" i="1"/>
  <c r="F4037" i="1"/>
  <c r="E4037" i="1"/>
  <c r="D4037" i="1"/>
  <c r="C4037" i="1"/>
  <c r="A4037" i="1"/>
  <c r="R4036" i="1"/>
  <c r="Q4036" i="1"/>
  <c r="N4036" i="1"/>
  <c r="J4036" i="1"/>
  <c r="I4036" i="1"/>
  <c r="H4036" i="1"/>
  <c r="G4036" i="1"/>
  <c r="F4036" i="1"/>
  <c r="E4036" i="1"/>
  <c r="D4036" i="1"/>
  <c r="C4036" i="1"/>
  <c r="A4036" i="1"/>
  <c r="R4035" i="1"/>
  <c r="Q4035" i="1"/>
  <c r="N4035" i="1"/>
  <c r="J4035" i="1"/>
  <c r="I4035" i="1"/>
  <c r="H4035" i="1"/>
  <c r="G4035" i="1"/>
  <c r="F4035" i="1"/>
  <c r="E4035" i="1"/>
  <c r="D4035" i="1"/>
  <c r="C4035" i="1"/>
  <c r="A4035" i="1"/>
  <c r="R4034" i="1"/>
  <c r="Q4034" i="1"/>
  <c r="N4034" i="1"/>
  <c r="J4034" i="1"/>
  <c r="I4034" i="1"/>
  <c r="H4034" i="1"/>
  <c r="G4034" i="1"/>
  <c r="F4034" i="1"/>
  <c r="E4034" i="1"/>
  <c r="D4034" i="1"/>
  <c r="C4034" i="1"/>
  <c r="A4034" i="1"/>
  <c r="R4033" i="1"/>
  <c r="Q4033" i="1"/>
  <c r="N4033" i="1"/>
  <c r="J4033" i="1"/>
  <c r="I4033" i="1"/>
  <c r="H4033" i="1"/>
  <c r="G4033" i="1"/>
  <c r="F4033" i="1"/>
  <c r="E4033" i="1"/>
  <c r="D4033" i="1"/>
  <c r="C4033" i="1"/>
  <c r="A4033" i="1"/>
  <c r="R4032" i="1"/>
  <c r="Q4032" i="1"/>
  <c r="N4032" i="1"/>
  <c r="J4032" i="1"/>
  <c r="I4032" i="1"/>
  <c r="H4032" i="1"/>
  <c r="G4032" i="1"/>
  <c r="F4032" i="1"/>
  <c r="E4032" i="1"/>
  <c r="D4032" i="1"/>
  <c r="C4032" i="1"/>
  <c r="A4032" i="1"/>
  <c r="R4031" i="1"/>
  <c r="Q4031" i="1"/>
  <c r="N4031" i="1"/>
  <c r="J4031" i="1"/>
  <c r="I4031" i="1"/>
  <c r="H4031" i="1"/>
  <c r="G4031" i="1"/>
  <c r="F4031" i="1"/>
  <c r="E4031" i="1"/>
  <c r="D4031" i="1"/>
  <c r="C4031" i="1"/>
  <c r="A4031" i="1"/>
  <c r="R4030" i="1"/>
  <c r="Q4030" i="1"/>
  <c r="N4030" i="1"/>
  <c r="J4030" i="1"/>
  <c r="I4030" i="1"/>
  <c r="H4030" i="1"/>
  <c r="G4030" i="1"/>
  <c r="F4030" i="1"/>
  <c r="E4030" i="1"/>
  <c r="D4030" i="1"/>
  <c r="C4030" i="1"/>
  <c r="A4030" i="1"/>
  <c r="R4029" i="1"/>
  <c r="Q4029" i="1"/>
  <c r="N4029" i="1"/>
  <c r="J4029" i="1"/>
  <c r="I4029" i="1"/>
  <c r="H4029" i="1"/>
  <c r="G4029" i="1"/>
  <c r="F4029" i="1"/>
  <c r="E4029" i="1"/>
  <c r="D4029" i="1"/>
  <c r="C4029" i="1"/>
  <c r="A4029" i="1"/>
  <c r="R4028" i="1"/>
  <c r="Q4028" i="1"/>
  <c r="N4028" i="1"/>
  <c r="J4028" i="1"/>
  <c r="I4028" i="1"/>
  <c r="H4028" i="1"/>
  <c r="G4028" i="1"/>
  <c r="F4028" i="1"/>
  <c r="E4028" i="1"/>
  <c r="D4028" i="1"/>
  <c r="C4028" i="1"/>
  <c r="A4028" i="1"/>
  <c r="R4027" i="1"/>
  <c r="Q4027" i="1"/>
  <c r="N4027" i="1"/>
  <c r="J4027" i="1"/>
  <c r="I4027" i="1"/>
  <c r="H4027" i="1"/>
  <c r="G4027" i="1"/>
  <c r="F4027" i="1"/>
  <c r="E4027" i="1"/>
  <c r="D4027" i="1"/>
  <c r="C4027" i="1"/>
  <c r="A4027" i="1"/>
  <c r="R4026" i="1"/>
  <c r="Q4026" i="1"/>
  <c r="N4026" i="1"/>
  <c r="J4026" i="1"/>
  <c r="I4026" i="1"/>
  <c r="H4026" i="1"/>
  <c r="G4026" i="1"/>
  <c r="F4026" i="1"/>
  <c r="E4026" i="1"/>
  <c r="D4026" i="1"/>
  <c r="C4026" i="1"/>
  <c r="A4026" i="1"/>
  <c r="R4025" i="1"/>
  <c r="Q4025" i="1"/>
  <c r="N4025" i="1"/>
  <c r="J4025" i="1"/>
  <c r="I4025" i="1"/>
  <c r="H4025" i="1"/>
  <c r="G4025" i="1"/>
  <c r="F4025" i="1"/>
  <c r="E4025" i="1"/>
  <c r="D4025" i="1"/>
  <c r="C4025" i="1"/>
  <c r="A4025" i="1"/>
  <c r="R4024" i="1"/>
  <c r="Q4024" i="1"/>
  <c r="N4024" i="1"/>
  <c r="J4024" i="1"/>
  <c r="I4024" i="1"/>
  <c r="H4024" i="1"/>
  <c r="G4024" i="1"/>
  <c r="F4024" i="1"/>
  <c r="E4024" i="1"/>
  <c r="D4024" i="1"/>
  <c r="C4024" i="1"/>
  <c r="A4024" i="1"/>
  <c r="R4023" i="1"/>
  <c r="Q4023" i="1"/>
  <c r="N4023" i="1"/>
  <c r="J4023" i="1"/>
  <c r="I4023" i="1"/>
  <c r="H4023" i="1"/>
  <c r="G4023" i="1"/>
  <c r="F4023" i="1"/>
  <c r="E4023" i="1"/>
  <c r="D4023" i="1"/>
  <c r="C4023" i="1"/>
  <c r="A4023" i="1"/>
  <c r="R4022" i="1"/>
  <c r="Q4022" i="1"/>
  <c r="N4022" i="1"/>
  <c r="J4022" i="1"/>
  <c r="I4022" i="1"/>
  <c r="H4022" i="1"/>
  <c r="G4022" i="1"/>
  <c r="F4022" i="1"/>
  <c r="E4022" i="1"/>
  <c r="D4022" i="1"/>
  <c r="C4022" i="1"/>
  <c r="A4022" i="1"/>
  <c r="R4021" i="1"/>
  <c r="Q4021" i="1"/>
  <c r="N4021" i="1"/>
  <c r="J4021" i="1"/>
  <c r="I4021" i="1"/>
  <c r="H4021" i="1"/>
  <c r="G4021" i="1"/>
  <c r="F4021" i="1"/>
  <c r="E4021" i="1"/>
  <c r="D4021" i="1"/>
  <c r="C4021" i="1"/>
  <c r="A4021" i="1"/>
  <c r="R4020" i="1"/>
  <c r="Q4020" i="1"/>
  <c r="N4020" i="1"/>
  <c r="J4020" i="1"/>
  <c r="I4020" i="1"/>
  <c r="H4020" i="1"/>
  <c r="G4020" i="1"/>
  <c r="F4020" i="1"/>
  <c r="E4020" i="1"/>
  <c r="D4020" i="1"/>
  <c r="C4020" i="1"/>
  <c r="A4020" i="1"/>
  <c r="R4019" i="1"/>
  <c r="Q4019" i="1"/>
  <c r="N4019" i="1"/>
  <c r="J4019" i="1"/>
  <c r="I4019" i="1"/>
  <c r="H4019" i="1"/>
  <c r="G4019" i="1"/>
  <c r="F4019" i="1"/>
  <c r="E4019" i="1"/>
  <c r="D4019" i="1"/>
  <c r="C4019" i="1"/>
  <c r="A4019" i="1"/>
  <c r="R4018" i="1"/>
  <c r="Q4018" i="1"/>
  <c r="N4018" i="1"/>
  <c r="J4018" i="1"/>
  <c r="I4018" i="1"/>
  <c r="H4018" i="1"/>
  <c r="G4018" i="1"/>
  <c r="F4018" i="1"/>
  <c r="E4018" i="1"/>
  <c r="D4018" i="1"/>
  <c r="C4018" i="1"/>
  <c r="A4018" i="1"/>
  <c r="R4017" i="1"/>
  <c r="Q4017" i="1"/>
  <c r="N4017" i="1"/>
  <c r="J4017" i="1"/>
  <c r="I4017" i="1"/>
  <c r="H4017" i="1"/>
  <c r="G4017" i="1"/>
  <c r="F4017" i="1"/>
  <c r="E4017" i="1"/>
  <c r="D4017" i="1"/>
  <c r="C4017" i="1"/>
  <c r="A4017" i="1"/>
  <c r="R4016" i="1"/>
  <c r="Q4016" i="1"/>
  <c r="N4016" i="1"/>
  <c r="J4016" i="1"/>
  <c r="I4016" i="1"/>
  <c r="H4016" i="1"/>
  <c r="G4016" i="1"/>
  <c r="F4016" i="1"/>
  <c r="E4016" i="1"/>
  <c r="D4016" i="1"/>
  <c r="C4016" i="1"/>
  <c r="A4016" i="1"/>
  <c r="R4015" i="1"/>
  <c r="Q4015" i="1"/>
  <c r="N4015" i="1"/>
  <c r="J4015" i="1"/>
  <c r="I4015" i="1"/>
  <c r="H4015" i="1"/>
  <c r="G4015" i="1"/>
  <c r="F4015" i="1"/>
  <c r="E4015" i="1"/>
  <c r="D4015" i="1"/>
  <c r="C4015" i="1"/>
  <c r="A4015" i="1"/>
  <c r="R4014" i="1"/>
  <c r="Q4014" i="1"/>
  <c r="N4014" i="1"/>
  <c r="J4014" i="1"/>
  <c r="I4014" i="1"/>
  <c r="H4014" i="1"/>
  <c r="G4014" i="1"/>
  <c r="F4014" i="1"/>
  <c r="E4014" i="1"/>
  <c r="D4014" i="1"/>
  <c r="C4014" i="1"/>
  <c r="A4014" i="1"/>
  <c r="R4013" i="1"/>
  <c r="Q4013" i="1"/>
  <c r="N4013" i="1"/>
  <c r="J4013" i="1"/>
  <c r="I4013" i="1"/>
  <c r="H4013" i="1"/>
  <c r="G4013" i="1"/>
  <c r="F4013" i="1"/>
  <c r="E4013" i="1"/>
  <c r="D4013" i="1"/>
  <c r="C4013" i="1"/>
  <c r="A4013" i="1"/>
  <c r="R4012" i="1"/>
  <c r="Q4012" i="1"/>
  <c r="N4012" i="1"/>
  <c r="J4012" i="1"/>
  <c r="I4012" i="1"/>
  <c r="H4012" i="1"/>
  <c r="G4012" i="1"/>
  <c r="F4012" i="1"/>
  <c r="E4012" i="1"/>
  <c r="D4012" i="1"/>
  <c r="C4012" i="1"/>
  <c r="A4012" i="1"/>
  <c r="R4011" i="1"/>
  <c r="Q4011" i="1"/>
  <c r="N4011" i="1"/>
  <c r="J4011" i="1"/>
  <c r="I4011" i="1"/>
  <c r="H4011" i="1"/>
  <c r="G4011" i="1"/>
  <c r="F4011" i="1"/>
  <c r="E4011" i="1"/>
  <c r="D4011" i="1"/>
  <c r="C4011" i="1"/>
  <c r="A4011" i="1"/>
  <c r="R4010" i="1"/>
  <c r="Q4010" i="1"/>
  <c r="N4010" i="1"/>
  <c r="J4010" i="1"/>
  <c r="I4010" i="1"/>
  <c r="H4010" i="1"/>
  <c r="G4010" i="1"/>
  <c r="F4010" i="1"/>
  <c r="E4010" i="1"/>
  <c r="D4010" i="1"/>
  <c r="C4010" i="1"/>
  <c r="A4010" i="1"/>
  <c r="R4009" i="1"/>
  <c r="Q4009" i="1"/>
  <c r="N4009" i="1"/>
  <c r="J4009" i="1"/>
  <c r="I4009" i="1"/>
  <c r="H4009" i="1"/>
  <c r="G4009" i="1"/>
  <c r="F4009" i="1"/>
  <c r="E4009" i="1"/>
  <c r="D4009" i="1"/>
  <c r="C4009" i="1"/>
  <c r="A4009" i="1"/>
  <c r="R4008" i="1"/>
  <c r="Q4008" i="1"/>
  <c r="N4008" i="1"/>
  <c r="J4008" i="1"/>
  <c r="I4008" i="1"/>
  <c r="H4008" i="1"/>
  <c r="G4008" i="1"/>
  <c r="F4008" i="1"/>
  <c r="E4008" i="1"/>
  <c r="D4008" i="1"/>
  <c r="C4008" i="1"/>
  <c r="A4008" i="1"/>
  <c r="R4007" i="1"/>
  <c r="Q4007" i="1"/>
  <c r="N4007" i="1"/>
  <c r="J4007" i="1"/>
  <c r="I4007" i="1"/>
  <c r="H4007" i="1"/>
  <c r="G4007" i="1"/>
  <c r="F4007" i="1"/>
  <c r="E4007" i="1"/>
  <c r="D4007" i="1"/>
  <c r="C4007" i="1"/>
  <c r="A4007" i="1"/>
  <c r="R4006" i="1"/>
  <c r="Q4006" i="1"/>
  <c r="N4006" i="1"/>
  <c r="J4006" i="1"/>
  <c r="I4006" i="1"/>
  <c r="H4006" i="1"/>
  <c r="G4006" i="1"/>
  <c r="F4006" i="1"/>
  <c r="E4006" i="1"/>
  <c r="D4006" i="1"/>
  <c r="C4006" i="1"/>
  <c r="A4006" i="1"/>
  <c r="R4005" i="1"/>
  <c r="Q4005" i="1"/>
  <c r="N4005" i="1"/>
  <c r="J4005" i="1"/>
  <c r="I4005" i="1"/>
  <c r="H4005" i="1"/>
  <c r="G4005" i="1"/>
  <c r="F4005" i="1"/>
  <c r="E4005" i="1"/>
  <c r="D4005" i="1"/>
  <c r="C4005" i="1"/>
  <c r="A4005" i="1"/>
  <c r="R4004" i="1"/>
  <c r="Q4004" i="1"/>
  <c r="N4004" i="1"/>
  <c r="J4004" i="1"/>
  <c r="I4004" i="1"/>
  <c r="H4004" i="1"/>
  <c r="G4004" i="1"/>
  <c r="F4004" i="1"/>
  <c r="E4004" i="1"/>
  <c r="D4004" i="1"/>
  <c r="C4004" i="1"/>
  <c r="A4004" i="1"/>
  <c r="R4003" i="1"/>
  <c r="Q4003" i="1"/>
  <c r="N4003" i="1"/>
  <c r="J4003" i="1"/>
  <c r="I4003" i="1"/>
  <c r="H4003" i="1"/>
  <c r="G4003" i="1"/>
  <c r="F4003" i="1"/>
  <c r="E4003" i="1"/>
  <c r="D4003" i="1"/>
  <c r="C4003" i="1"/>
  <c r="A4003" i="1"/>
  <c r="R4002" i="1"/>
  <c r="Q4002" i="1"/>
  <c r="N4002" i="1"/>
  <c r="J4002" i="1"/>
  <c r="I4002" i="1"/>
  <c r="H4002" i="1"/>
  <c r="G4002" i="1"/>
  <c r="F4002" i="1"/>
  <c r="E4002" i="1"/>
  <c r="D4002" i="1"/>
  <c r="C4002" i="1"/>
  <c r="A4002" i="1"/>
  <c r="R4001" i="1"/>
  <c r="Q4001" i="1"/>
  <c r="N4001" i="1"/>
  <c r="J4001" i="1"/>
  <c r="I4001" i="1"/>
  <c r="H4001" i="1"/>
  <c r="G4001" i="1"/>
  <c r="F4001" i="1"/>
  <c r="E4001" i="1"/>
  <c r="D4001" i="1"/>
  <c r="C4001" i="1"/>
  <c r="A4001" i="1"/>
  <c r="R4000" i="1"/>
  <c r="Q4000" i="1"/>
  <c r="N4000" i="1"/>
  <c r="J4000" i="1"/>
  <c r="I4000" i="1"/>
  <c r="H4000" i="1"/>
  <c r="G4000" i="1"/>
  <c r="F4000" i="1"/>
  <c r="E4000" i="1"/>
  <c r="D4000" i="1"/>
  <c r="C4000" i="1"/>
  <c r="A4000" i="1"/>
  <c r="R3999" i="1"/>
  <c r="Q3999" i="1"/>
  <c r="N3999" i="1"/>
  <c r="J3999" i="1"/>
  <c r="I3999" i="1"/>
  <c r="H3999" i="1"/>
  <c r="G3999" i="1"/>
  <c r="F3999" i="1"/>
  <c r="E3999" i="1"/>
  <c r="D3999" i="1"/>
  <c r="C3999" i="1"/>
  <c r="A3999" i="1"/>
  <c r="R3998" i="1"/>
  <c r="Q3998" i="1"/>
  <c r="N3998" i="1"/>
  <c r="J3998" i="1"/>
  <c r="I3998" i="1"/>
  <c r="H3998" i="1"/>
  <c r="G3998" i="1"/>
  <c r="F3998" i="1"/>
  <c r="E3998" i="1"/>
  <c r="D3998" i="1"/>
  <c r="C3998" i="1"/>
  <c r="A3998" i="1"/>
  <c r="R3997" i="1"/>
  <c r="Q3997" i="1"/>
  <c r="N3997" i="1"/>
  <c r="J3997" i="1"/>
  <c r="I3997" i="1"/>
  <c r="H3997" i="1"/>
  <c r="G3997" i="1"/>
  <c r="F3997" i="1"/>
  <c r="E3997" i="1"/>
  <c r="D3997" i="1"/>
  <c r="C3997" i="1"/>
  <c r="A3997" i="1"/>
  <c r="R3996" i="1"/>
  <c r="Q3996" i="1"/>
  <c r="N3996" i="1"/>
  <c r="J3996" i="1"/>
  <c r="I3996" i="1"/>
  <c r="H3996" i="1"/>
  <c r="G3996" i="1"/>
  <c r="F3996" i="1"/>
  <c r="E3996" i="1"/>
  <c r="D3996" i="1"/>
  <c r="C3996" i="1"/>
  <c r="A3996" i="1"/>
  <c r="R3995" i="1"/>
  <c r="Q3995" i="1"/>
  <c r="N3995" i="1"/>
  <c r="J3995" i="1"/>
  <c r="I3995" i="1"/>
  <c r="H3995" i="1"/>
  <c r="G3995" i="1"/>
  <c r="F3995" i="1"/>
  <c r="E3995" i="1"/>
  <c r="D3995" i="1"/>
  <c r="C3995" i="1"/>
  <c r="A3995" i="1"/>
  <c r="R3994" i="1"/>
  <c r="Q3994" i="1"/>
  <c r="N3994" i="1"/>
  <c r="J3994" i="1"/>
  <c r="I3994" i="1"/>
  <c r="H3994" i="1"/>
  <c r="G3994" i="1"/>
  <c r="F3994" i="1"/>
  <c r="E3994" i="1"/>
  <c r="D3994" i="1"/>
  <c r="C3994" i="1"/>
  <c r="A3994" i="1"/>
  <c r="R3993" i="1"/>
  <c r="N3993" i="1"/>
  <c r="J3993" i="1"/>
  <c r="I3993" i="1"/>
  <c r="H3993" i="1"/>
  <c r="G3993" i="1"/>
  <c r="F3993" i="1"/>
  <c r="E3993" i="1"/>
  <c r="D3993" i="1"/>
  <c r="C3993" i="1"/>
  <c r="A3993" i="1"/>
  <c r="R3992" i="1"/>
  <c r="Q3992" i="1"/>
  <c r="N3992" i="1"/>
  <c r="J3992" i="1"/>
  <c r="I3992" i="1"/>
  <c r="H3992" i="1"/>
  <c r="G3992" i="1"/>
  <c r="F3992" i="1"/>
  <c r="E3992" i="1"/>
  <c r="D3992" i="1"/>
  <c r="C3992" i="1"/>
  <c r="A3992" i="1"/>
  <c r="R3991" i="1"/>
  <c r="Q3991" i="1"/>
  <c r="N3991" i="1"/>
  <c r="J3991" i="1"/>
  <c r="I3991" i="1"/>
  <c r="H3991" i="1"/>
  <c r="G3991" i="1"/>
  <c r="F3991" i="1"/>
  <c r="E3991" i="1"/>
  <c r="D3991" i="1"/>
  <c r="C3991" i="1"/>
  <c r="A3991" i="1"/>
  <c r="R3990" i="1"/>
  <c r="Q3990" i="1"/>
  <c r="N3990" i="1"/>
  <c r="J3990" i="1"/>
  <c r="I3990" i="1"/>
  <c r="H3990" i="1"/>
  <c r="G3990" i="1"/>
  <c r="F3990" i="1"/>
  <c r="E3990" i="1"/>
  <c r="D3990" i="1"/>
  <c r="C3990" i="1"/>
  <c r="A3990" i="1"/>
  <c r="R3989" i="1"/>
  <c r="Q3989" i="1"/>
  <c r="N3989" i="1"/>
  <c r="J3989" i="1"/>
  <c r="I3989" i="1"/>
  <c r="H3989" i="1"/>
  <c r="G3989" i="1"/>
  <c r="F3989" i="1"/>
  <c r="E3989" i="1"/>
  <c r="D3989" i="1"/>
  <c r="C3989" i="1"/>
  <c r="A3989" i="1"/>
  <c r="R3988" i="1"/>
  <c r="Q3988" i="1"/>
  <c r="N3988" i="1"/>
  <c r="J3988" i="1"/>
  <c r="I3988" i="1"/>
  <c r="H3988" i="1"/>
  <c r="G3988" i="1"/>
  <c r="F3988" i="1"/>
  <c r="E3988" i="1"/>
  <c r="D3988" i="1"/>
  <c r="C3988" i="1"/>
  <c r="A3988" i="1"/>
  <c r="R3987" i="1"/>
  <c r="Q3987" i="1"/>
  <c r="N3987" i="1"/>
  <c r="J3987" i="1"/>
  <c r="I3987" i="1"/>
  <c r="H3987" i="1"/>
  <c r="G3987" i="1"/>
  <c r="F3987" i="1"/>
  <c r="E3987" i="1"/>
  <c r="D3987" i="1"/>
  <c r="C3987" i="1"/>
  <c r="A3987" i="1"/>
  <c r="R3986" i="1"/>
  <c r="Q3986" i="1"/>
  <c r="N3986" i="1"/>
  <c r="J3986" i="1"/>
  <c r="I3986" i="1"/>
  <c r="H3986" i="1"/>
  <c r="G3986" i="1"/>
  <c r="F3986" i="1"/>
  <c r="E3986" i="1"/>
  <c r="D3986" i="1"/>
  <c r="C3986" i="1"/>
  <c r="A3986" i="1"/>
  <c r="R3985" i="1"/>
  <c r="Q3985" i="1"/>
  <c r="N3985" i="1"/>
  <c r="J3985" i="1"/>
  <c r="I3985" i="1"/>
  <c r="H3985" i="1"/>
  <c r="G3985" i="1"/>
  <c r="F3985" i="1"/>
  <c r="E3985" i="1"/>
  <c r="D3985" i="1"/>
  <c r="C3985" i="1"/>
  <c r="A3985" i="1"/>
  <c r="R3984" i="1"/>
  <c r="Q3984" i="1"/>
  <c r="N3984" i="1"/>
  <c r="J3984" i="1"/>
  <c r="I3984" i="1"/>
  <c r="H3984" i="1"/>
  <c r="G3984" i="1"/>
  <c r="F3984" i="1"/>
  <c r="E3984" i="1"/>
  <c r="D3984" i="1"/>
  <c r="C3984" i="1"/>
  <c r="A3984" i="1"/>
  <c r="R3983" i="1"/>
  <c r="Q3983" i="1"/>
  <c r="N3983" i="1"/>
  <c r="J3983" i="1"/>
  <c r="I3983" i="1"/>
  <c r="H3983" i="1"/>
  <c r="G3983" i="1"/>
  <c r="F3983" i="1"/>
  <c r="E3983" i="1"/>
  <c r="D3983" i="1"/>
  <c r="C3983" i="1"/>
  <c r="A3983" i="1"/>
  <c r="R3982" i="1"/>
  <c r="Q3982" i="1"/>
  <c r="N3982" i="1"/>
  <c r="J3982" i="1"/>
  <c r="I3982" i="1"/>
  <c r="H3982" i="1"/>
  <c r="G3982" i="1"/>
  <c r="F3982" i="1"/>
  <c r="E3982" i="1"/>
  <c r="D3982" i="1"/>
  <c r="C3982" i="1"/>
  <c r="A3982" i="1"/>
  <c r="R3981" i="1"/>
  <c r="N3981" i="1"/>
  <c r="J3981" i="1"/>
  <c r="I3981" i="1"/>
  <c r="H3981" i="1"/>
  <c r="G3981" i="1"/>
  <c r="F3981" i="1"/>
  <c r="E3981" i="1"/>
  <c r="D3981" i="1"/>
  <c r="C3981" i="1"/>
  <c r="A3981" i="1"/>
  <c r="R3980" i="1"/>
  <c r="Q3980" i="1"/>
  <c r="N3980" i="1"/>
  <c r="J3980" i="1"/>
  <c r="I3980" i="1"/>
  <c r="H3980" i="1"/>
  <c r="G3980" i="1"/>
  <c r="F3980" i="1"/>
  <c r="E3980" i="1"/>
  <c r="D3980" i="1"/>
  <c r="C3980" i="1"/>
  <c r="A3980" i="1"/>
  <c r="R3979" i="1"/>
  <c r="Q3979" i="1"/>
  <c r="N3979" i="1"/>
  <c r="J3979" i="1"/>
  <c r="I3979" i="1"/>
  <c r="H3979" i="1"/>
  <c r="G3979" i="1"/>
  <c r="F3979" i="1"/>
  <c r="E3979" i="1"/>
  <c r="D3979" i="1"/>
  <c r="C3979" i="1"/>
  <c r="A3979" i="1"/>
  <c r="R3978" i="1"/>
  <c r="Q3978" i="1"/>
  <c r="N3978" i="1"/>
  <c r="J3978" i="1"/>
  <c r="I3978" i="1"/>
  <c r="H3978" i="1"/>
  <c r="G3978" i="1"/>
  <c r="F3978" i="1"/>
  <c r="E3978" i="1"/>
  <c r="D3978" i="1"/>
  <c r="C3978" i="1"/>
  <c r="A3978" i="1"/>
  <c r="R3977" i="1"/>
  <c r="Q3977" i="1"/>
  <c r="N3977" i="1"/>
  <c r="J3977" i="1"/>
  <c r="I3977" i="1"/>
  <c r="H3977" i="1"/>
  <c r="G3977" i="1"/>
  <c r="F3977" i="1"/>
  <c r="E3977" i="1"/>
  <c r="D3977" i="1"/>
  <c r="C3977" i="1"/>
  <c r="A3977" i="1"/>
  <c r="R3976" i="1"/>
  <c r="Q3976" i="1"/>
  <c r="N3976" i="1"/>
  <c r="J3976" i="1"/>
  <c r="I3976" i="1"/>
  <c r="H3976" i="1"/>
  <c r="G3976" i="1"/>
  <c r="F3976" i="1"/>
  <c r="E3976" i="1"/>
  <c r="D3976" i="1"/>
  <c r="C3976" i="1"/>
  <c r="A3976" i="1"/>
  <c r="R3975" i="1"/>
  <c r="Q3975" i="1"/>
  <c r="N3975" i="1"/>
  <c r="J3975" i="1"/>
  <c r="I3975" i="1"/>
  <c r="H3975" i="1"/>
  <c r="G3975" i="1"/>
  <c r="F3975" i="1"/>
  <c r="E3975" i="1"/>
  <c r="D3975" i="1"/>
  <c r="C3975" i="1"/>
  <c r="A3975" i="1"/>
  <c r="R3974" i="1"/>
  <c r="Q3974" i="1"/>
  <c r="N3974" i="1"/>
  <c r="J3974" i="1"/>
  <c r="I3974" i="1"/>
  <c r="H3974" i="1"/>
  <c r="G3974" i="1"/>
  <c r="F3974" i="1"/>
  <c r="E3974" i="1"/>
  <c r="D3974" i="1"/>
  <c r="C3974" i="1"/>
  <c r="A3974" i="1"/>
  <c r="R3973" i="1"/>
  <c r="Q3973" i="1"/>
  <c r="N3973" i="1"/>
  <c r="J3973" i="1"/>
  <c r="I3973" i="1"/>
  <c r="H3973" i="1"/>
  <c r="G3973" i="1"/>
  <c r="F3973" i="1"/>
  <c r="E3973" i="1"/>
  <c r="D3973" i="1"/>
  <c r="C3973" i="1"/>
  <c r="A3973" i="1"/>
  <c r="R3972" i="1"/>
  <c r="N3972" i="1"/>
  <c r="J3972" i="1"/>
  <c r="I3972" i="1"/>
  <c r="H3972" i="1"/>
  <c r="G3972" i="1"/>
  <c r="F3972" i="1"/>
  <c r="E3972" i="1"/>
  <c r="D3972" i="1"/>
  <c r="C3972" i="1"/>
  <c r="B3972" i="1"/>
  <c r="A3972" i="1"/>
  <c r="R3971" i="1"/>
  <c r="N3971" i="1"/>
  <c r="J3971" i="1"/>
  <c r="I3971" i="1"/>
  <c r="H3971" i="1"/>
  <c r="G3971" i="1"/>
  <c r="F3971" i="1"/>
  <c r="E3971" i="1"/>
  <c r="D3971" i="1"/>
  <c r="C3971" i="1"/>
  <c r="B3971" i="1"/>
  <c r="A3971" i="1"/>
  <c r="R3970" i="1"/>
  <c r="N3970" i="1"/>
  <c r="J3970" i="1"/>
  <c r="I3970" i="1"/>
  <c r="H3970" i="1"/>
  <c r="G3970" i="1"/>
  <c r="F3970" i="1"/>
  <c r="E3970" i="1"/>
  <c r="D3970" i="1"/>
  <c r="C3970" i="1"/>
  <c r="B3970" i="1"/>
  <c r="A3970" i="1"/>
  <c r="R3969" i="1"/>
  <c r="N3969" i="1"/>
  <c r="J3969" i="1"/>
  <c r="I3969" i="1"/>
  <c r="H3969" i="1"/>
  <c r="G3969" i="1"/>
  <c r="F3969" i="1"/>
  <c r="E3969" i="1"/>
  <c r="D3969" i="1"/>
  <c r="C3969" i="1"/>
  <c r="B3969" i="1"/>
  <c r="A3969" i="1"/>
  <c r="R3968" i="1"/>
  <c r="N3968" i="1"/>
  <c r="J3968" i="1"/>
  <c r="I3968" i="1"/>
  <c r="H3968" i="1"/>
  <c r="G3968" i="1"/>
  <c r="F3968" i="1"/>
  <c r="E3968" i="1"/>
  <c r="D3968" i="1"/>
  <c r="C3968" i="1"/>
  <c r="B3968" i="1"/>
  <c r="A3968" i="1"/>
  <c r="R3967" i="1"/>
  <c r="Q3967" i="1"/>
  <c r="N3967" i="1"/>
  <c r="J3967" i="1"/>
  <c r="I3967" i="1"/>
  <c r="H3967" i="1"/>
  <c r="G3967" i="1"/>
  <c r="F3967" i="1"/>
  <c r="E3967" i="1"/>
  <c r="D3967" i="1"/>
  <c r="C3967" i="1"/>
  <c r="A3967" i="1"/>
  <c r="R3966" i="1"/>
  <c r="N3966" i="1"/>
  <c r="J3966" i="1"/>
  <c r="I3966" i="1"/>
  <c r="H3966" i="1"/>
  <c r="G3966" i="1"/>
  <c r="F3966" i="1"/>
  <c r="E3966" i="1"/>
  <c r="D3966" i="1"/>
  <c r="C3966" i="1"/>
  <c r="A3966" i="1"/>
  <c r="R3965" i="1"/>
  <c r="Q3965" i="1"/>
  <c r="N3965" i="1"/>
  <c r="J3965" i="1"/>
  <c r="I3965" i="1"/>
  <c r="H3965" i="1"/>
  <c r="G3965" i="1"/>
  <c r="F3965" i="1"/>
  <c r="E3965" i="1"/>
  <c r="D3965" i="1"/>
  <c r="C3965" i="1"/>
  <c r="A3965" i="1"/>
  <c r="R3964" i="1"/>
  <c r="N3964" i="1"/>
  <c r="J3964" i="1"/>
  <c r="I3964" i="1"/>
  <c r="H3964" i="1"/>
  <c r="G3964" i="1"/>
  <c r="F3964" i="1"/>
  <c r="E3964" i="1"/>
  <c r="D3964" i="1"/>
  <c r="C3964" i="1"/>
  <c r="A3964" i="1"/>
  <c r="R3963" i="1"/>
  <c r="Q3963" i="1"/>
  <c r="N3963" i="1"/>
  <c r="J3963" i="1"/>
  <c r="I3963" i="1"/>
  <c r="H3963" i="1"/>
  <c r="G3963" i="1"/>
  <c r="F3963" i="1"/>
  <c r="E3963" i="1"/>
  <c r="D3963" i="1"/>
  <c r="C3963" i="1"/>
  <c r="A3963" i="1"/>
  <c r="R3962" i="1"/>
  <c r="N3962" i="1"/>
  <c r="J3962" i="1"/>
  <c r="I3962" i="1"/>
  <c r="H3962" i="1"/>
  <c r="G3962" i="1"/>
  <c r="F3962" i="1"/>
  <c r="E3962" i="1"/>
  <c r="D3962" i="1"/>
  <c r="C3962" i="1"/>
  <c r="A3962" i="1"/>
  <c r="R3961" i="1"/>
  <c r="Q3961" i="1"/>
  <c r="N3961" i="1"/>
  <c r="J3961" i="1"/>
  <c r="I3961" i="1"/>
  <c r="H3961" i="1"/>
  <c r="G3961" i="1"/>
  <c r="F3961" i="1"/>
  <c r="E3961" i="1"/>
  <c r="D3961" i="1"/>
  <c r="C3961" i="1"/>
  <c r="A3961" i="1"/>
  <c r="R3960" i="1"/>
  <c r="N3960" i="1"/>
  <c r="J3960" i="1"/>
  <c r="I3960" i="1"/>
  <c r="H3960" i="1"/>
  <c r="G3960" i="1"/>
  <c r="F3960" i="1"/>
  <c r="E3960" i="1"/>
  <c r="D3960" i="1"/>
  <c r="C3960" i="1"/>
  <c r="B3960" i="1"/>
  <c r="A3960" i="1"/>
  <c r="R3959" i="1"/>
  <c r="N3959" i="1"/>
  <c r="J3959" i="1"/>
  <c r="I3959" i="1"/>
  <c r="H3959" i="1"/>
  <c r="G3959" i="1"/>
  <c r="F3959" i="1"/>
  <c r="E3959" i="1"/>
  <c r="D3959" i="1"/>
  <c r="C3959" i="1"/>
  <c r="B3959" i="1"/>
  <c r="A3959" i="1"/>
  <c r="R3958" i="1"/>
  <c r="N3958" i="1"/>
  <c r="J3958" i="1"/>
  <c r="I3958" i="1"/>
  <c r="H3958" i="1"/>
  <c r="G3958" i="1"/>
  <c r="F3958" i="1"/>
  <c r="E3958" i="1"/>
  <c r="D3958" i="1"/>
  <c r="C3958" i="1"/>
  <c r="B3958" i="1"/>
  <c r="A3958" i="1"/>
  <c r="R3957" i="1"/>
  <c r="Q3957" i="1"/>
  <c r="N3957" i="1"/>
  <c r="J3957" i="1"/>
  <c r="I3957" i="1"/>
  <c r="H3957" i="1"/>
  <c r="G3957" i="1"/>
  <c r="F3957" i="1"/>
  <c r="E3957" i="1"/>
  <c r="D3957" i="1"/>
  <c r="C3957" i="1"/>
  <c r="B3957" i="1"/>
  <c r="A3957" i="1"/>
  <c r="R3956" i="1"/>
  <c r="N3956" i="1"/>
  <c r="J3956" i="1"/>
  <c r="I3956" i="1"/>
  <c r="H3956" i="1"/>
  <c r="G3956" i="1"/>
  <c r="F3956" i="1"/>
  <c r="E3956" i="1"/>
  <c r="D3956" i="1"/>
  <c r="C3956" i="1"/>
  <c r="B3956" i="1"/>
  <c r="A3956" i="1"/>
  <c r="R3955" i="1"/>
  <c r="Q3955" i="1"/>
  <c r="N3955" i="1"/>
  <c r="J3955" i="1"/>
  <c r="I3955" i="1"/>
  <c r="H3955" i="1"/>
  <c r="G3955" i="1"/>
  <c r="F3955" i="1"/>
  <c r="E3955" i="1"/>
  <c r="D3955" i="1"/>
  <c r="C3955" i="1"/>
  <c r="B3955" i="1"/>
  <c r="A3955" i="1"/>
  <c r="R3954" i="1"/>
  <c r="N3954" i="1"/>
  <c r="J3954" i="1"/>
  <c r="I3954" i="1"/>
  <c r="H3954" i="1"/>
  <c r="G3954" i="1"/>
  <c r="F3954" i="1"/>
  <c r="E3954" i="1"/>
  <c r="D3954" i="1"/>
  <c r="C3954" i="1"/>
  <c r="B3954" i="1"/>
  <c r="A3954" i="1"/>
  <c r="R3953" i="1"/>
  <c r="Q3953" i="1"/>
  <c r="N3953" i="1"/>
  <c r="J3953" i="1"/>
  <c r="I3953" i="1"/>
  <c r="H3953" i="1"/>
  <c r="G3953" i="1"/>
  <c r="F3953" i="1"/>
  <c r="E3953" i="1"/>
  <c r="D3953" i="1"/>
  <c r="C3953" i="1"/>
  <c r="B3953" i="1"/>
  <c r="A3953" i="1"/>
  <c r="R3952" i="1"/>
  <c r="N3952" i="1"/>
  <c r="J3952" i="1"/>
  <c r="I3952" i="1"/>
  <c r="H3952" i="1"/>
  <c r="G3952" i="1"/>
  <c r="F3952" i="1"/>
  <c r="E3952" i="1"/>
  <c r="D3952" i="1"/>
  <c r="C3952" i="1"/>
  <c r="B3952" i="1"/>
  <c r="A3952" i="1"/>
  <c r="R3951" i="1"/>
  <c r="N3951" i="1"/>
  <c r="J3951" i="1"/>
  <c r="I3951" i="1"/>
  <c r="H3951" i="1"/>
  <c r="G3951" i="1"/>
  <c r="F3951" i="1"/>
  <c r="E3951" i="1"/>
  <c r="D3951" i="1"/>
  <c r="C3951" i="1"/>
  <c r="B3951" i="1"/>
  <c r="A3951" i="1"/>
  <c r="R3950" i="1"/>
  <c r="Q3950" i="1"/>
  <c r="N3950" i="1"/>
  <c r="J3950" i="1"/>
  <c r="I3950" i="1"/>
  <c r="H3950" i="1"/>
  <c r="G3950" i="1"/>
  <c r="F3950" i="1"/>
  <c r="E3950" i="1"/>
  <c r="D3950" i="1"/>
  <c r="C3950" i="1"/>
  <c r="B3950" i="1"/>
  <c r="A3950" i="1"/>
  <c r="R3949" i="1"/>
  <c r="N3949" i="1"/>
  <c r="J3949" i="1"/>
  <c r="I3949" i="1"/>
  <c r="H3949" i="1"/>
  <c r="G3949" i="1"/>
  <c r="F3949" i="1"/>
  <c r="E3949" i="1"/>
  <c r="D3949" i="1"/>
  <c r="C3949" i="1"/>
  <c r="B3949" i="1"/>
  <c r="A3949" i="1"/>
  <c r="R3948" i="1"/>
  <c r="N3948" i="1"/>
  <c r="J3948" i="1"/>
  <c r="I3948" i="1"/>
  <c r="H3948" i="1"/>
  <c r="G3948" i="1"/>
  <c r="F3948" i="1"/>
  <c r="E3948" i="1"/>
  <c r="D3948" i="1"/>
  <c r="C3948" i="1"/>
  <c r="B3948" i="1"/>
  <c r="A3948" i="1"/>
  <c r="R3947" i="1"/>
  <c r="N3947" i="1"/>
  <c r="J3947" i="1"/>
  <c r="I3947" i="1"/>
  <c r="H3947" i="1"/>
  <c r="G3947" i="1"/>
  <c r="F3947" i="1"/>
  <c r="E3947" i="1"/>
  <c r="D3947" i="1"/>
  <c r="C3947" i="1"/>
  <c r="B3947" i="1"/>
  <c r="A3947" i="1"/>
  <c r="R3946" i="1"/>
  <c r="N3946" i="1"/>
  <c r="J3946" i="1"/>
  <c r="I3946" i="1"/>
  <c r="H3946" i="1"/>
  <c r="G3946" i="1"/>
  <c r="F3946" i="1"/>
  <c r="E3946" i="1"/>
  <c r="D3946" i="1"/>
  <c r="C3946" i="1"/>
  <c r="B3946" i="1"/>
  <c r="A3946" i="1"/>
  <c r="R3945" i="1"/>
  <c r="N3945" i="1"/>
  <c r="J3945" i="1"/>
  <c r="I3945" i="1"/>
  <c r="H3945" i="1"/>
  <c r="G3945" i="1"/>
  <c r="F3945" i="1"/>
  <c r="E3945" i="1"/>
  <c r="D3945" i="1"/>
  <c r="C3945" i="1"/>
  <c r="B3945" i="1"/>
  <c r="A3945" i="1"/>
  <c r="R3944" i="1"/>
  <c r="N3944" i="1"/>
  <c r="J3944" i="1"/>
  <c r="I3944" i="1"/>
  <c r="H3944" i="1"/>
  <c r="G3944" i="1"/>
  <c r="F3944" i="1"/>
  <c r="E3944" i="1"/>
  <c r="D3944" i="1"/>
  <c r="C3944" i="1"/>
  <c r="B3944" i="1"/>
  <c r="A3944" i="1"/>
  <c r="R3943" i="1"/>
  <c r="N3943" i="1"/>
  <c r="J3943" i="1"/>
  <c r="I3943" i="1"/>
  <c r="H3943" i="1"/>
  <c r="G3943" i="1"/>
  <c r="F3943" i="1"/>
  <c r="E3943" i="1"/>
  <c r="D3943" i="1"/>
  <c r="C3943" i="1"/>
  <c r="B3943" i="1"/>
  <c r="A3943" i="1"/>
  <c r="R3942" i="1"/>
  <c r="N3942" i="1"/>
  <c r="J3942" i="1"/>
  <c r="I3942" i="1"/>
  <c r="H3942" i="1"/>
  <c r="G3942" i="1"/>
  <c r="F3942" i="1"/>
  <c r="E3942" i="1"/>
  <c r="D3942" i="1"/>
  <c r="C3942" i="1"/>
  <c r="B3942" i="1"/>
  <c r="A3942" i="1"/>
  <c r="R3941" i="1"/>
  <c r="N3941" i="1"/>
  <c r="J3941" i="1"/>
  <c r="I3941" i="1"/>
  <c r="H3941" i="1"/>
  <c r="G3941" i="1"/>
  <c r="F3941" i="1"/>
  <c r="E3941" i="1"/>
  <c r="D3941" i="1"/>
  <c r="C3941" i="1"/>
  <c r="B3941" i="1"/>
  <c r="A3941" i="1"/>
  <c r="R3940" i="1"/>
  <c r="N3940" i="1"/>
  <c r="J3940" i="1"/>
  <c r="I3940" i="1"/>
  <c r="H3940" i="1"/>
  <c r="G3940" i="1"/>
  <c r="F3940" i="1"/>
  <c r="E3940" i="1"/>
  <c r="D3940" i="1"/>
  <c r="C3940" i="1"/>
  <c r="B3940" i="1"/>
  <c r="A3940" i="1"/>
  <c r="R3939" i="1"/>
  <c r="N3939" i="1"/>
  <c r="J3939" i="1"/>
  <c r="I3939" i="1"/>
  <c r="H3939" i="1"/>
  <c r="G3939" i="1"/>
  <c r="F3939" i="1"/>
  <c r="E3939" i="1"/>
  <c r="D3939" i="1"/>
  <c r="C3939" i="1"/>
  <c r="B3939" i="1"/>
  <c r="A3939" i="1"/>
  <c r="R3938" i="1"/>
  <c r="N3938" i="1"/>
  <c r="J3938" i="1"/>
  <c r="I3938" i="1"/>
  <c r="H3938" i="1"/>
  <c r="G3938" i="1"/>
  <c r="F3938" i="1"/>
  <c r="E3938" i="1"/>
  <c r="D3938" i="1"/>
  <c r="C3938" i="1"/>
  <c r="B3938" i="1"/>
  <c r="A3938" i="1"/>
  <c r="R3937" i="1"/>
  <c r="N3937" i="1"/>
  <c r="J3937" i="1"/>
  <c r="I3937" i="1"/>
  <c r="H3937" i="1"/>
  <c r="G3937" i="1"/>
  <c r="F3937" i="1"/>
  <c r="E3937" i="1"/>
  <c r="D3937" i="1"/>
  <c r="C3937" i="1"/>
  <c r="B3937" i="1"/>
  <c r="A3937" i="1"/>
  <c r="R3936" i="1"/>
  <c r="Q3936" i="1"/>
  <c r="N3936" i="1"/>
  <c r="J3936" i="1"/>
  <c r="I3936" i="1"/>
  <c r="H3936" i="1"/>
  <c r="G3936" i="1"/>
  <c r="F3936" i="1"/>
  <c r="E3936" i="1"/>
  <c r="D3936" i="1"/>
  <c r="C3936" i="1"/>
  <c r="A3936" i="1"/>
  <c r="R3935" i="1"/>
  <c r="N3935" i="1"/>
  <c r="J3935" i="1"/>
  <c r="I3935" i="1"/>
  <c r="H3935" i="1"/>
  <c r="G3935" i="1"/>
  <c r="F3935" i="1"/>
  <c r="E3935" i="1"/>
  <c r="D3935" i="1"/>
  <c r="C3935" i="1"/>
  <c r="A3935" i="1"/>
  <c r="R3934" i="1"/>
  <c r="Q3934" i="1"/>
  <c r="N3934" i="1"/>
  <c r="J3934" i="1"/>
  <c r="I3934" i="1"/>
  <c r="H3934" i="1"/>
  <c r="G3934" i="1"/>
  <c r="F3934" i="1"/>
  <c r="E3934" i="1"/>
  <c r="D3934" i="1"/>
  <c r="C3934" i="1"/>
  <c r="A3934" i="1"/>
  <c r="R3933" i="1"/>
  <c r="N3933" i="1"/>
  <c r="J3933" i="1"/>
  <c r="I3933" i="1"/>
  <c r="H3933" i="1"/>
  <c r="G3933" i="1"/>
  <c r="F3933" i="1"/>
  <c r="E3933" i="1"/>
  <c r="D3933" i="1"/>
  <c r="C3933" i="1"/>
  <c r="A3933" i="1"/>
  <c r="R3932" i="1"/>
  <c r="Q3932" i="1"/>
  <c r="N3932" i="1"/>
  <c r="J3932" i="1"/>
  <c r="I3932" i="1"/>
  <c r="H3932" i="1"/>
  <c r="G3932" i="1"/>
  <c r="F3932" i="1"/>
  <c r="E3932" i="1"/>
  <c r="D3932" i="1"/>
  <c r="C3932" i="1"/>
  <c r="A3932" i="1"/>
  <c r="R3931" i="1"/>
  <c r="N3931" i="1"/>
  <c r="J3931" i="1"/>
  <c r="I3931" i="1"/>
  <c r="H3931" i="1"/>
  <c r="G3931" i="1"/>
  <c r="F3931" i="1"/>
  <c r="E3931" i="1"/>
  <c r="D3931" i="1"/>
  <c r="C3931" i="1"/>
  <c r="A3931" i="1"/>
  <c r="R3930" i="1"/>
  <c r="Q3930" i="1"/>
  <c r="N3930" i="1"/>
  <c r="J3930" i="1"/>
  <c r="I3930" i="1"/>
  <c r="H3930" i="1"/>
  <c r="G3930" i="1"/>
  <c r="F3930" i="1"/>
  <c r="E3930" i="1"/>
  <c r="D3930" i="1"/>
  <c r="C3930" i="1"/>
  <c r="A3930" i="1"/>
  <c r="R3929" i="1"/>
  <c r="N3929" i="1"/>
  <c r="J3929" i="1"/>
  <c r="I3929" i="1"/>
  <c r="H3929" i="1"/>
  <c r="G3929" i="1"/>
  <c r="F3929" i="1"/>
  <c r="E3929" i="1"/>
  <c r="D3929" i="1"/>
  <c r="C3929" i="1"/>
  <c r="A3929" i="1"/>
  <c r="R3928" i="1"/>
  <c r="Q3928" i="1"/>
  <c r="N3928" i="1"/>
  <c r="J3928" i="1"/>
  <c r="I3928" i="1"/>
  <c r="H3928" i="1"/>
  <c r="G3928" i="1"/>
  <c r="F3928" i="1"/>
  <c r="E3928" i="1"/>
  <c r="D3928" i="1"/>
  <c r="C3928" i="1"/>
  <c r="A3928" i="1"/>
  <c r="R3927" i="1"/>
  <c r="Q3927" i="1"/>
  <c r="N3927" i="1"/>
  <c r="J3927" i="1"/>
  <c r="I3927" i="1"/>
  <c r="H3927" i="1"/>
  <c r="G3927" i="1"/>
  <c r="F3927" i="1"/>
  <c r="E3927" i="1"/>
  <c r="D3927" i="1"/>
  <c r="C3927" i="1"/>
  <c r="A3927" i="1"/>
  <c r="R3926" i="1"/>
  <c r="Q3926" i="1"/>
  <c r="N3926" i="1"/>
  <c r="J3926" i="1"/>
  <c r="I3926" i="1"/>
  <c r="H3926" i="1"/>
  <c r="G3926" i="1"/>
  <c r="F3926" i="1"/>
  <c r="E3926" i="1"/>
  <c r="D3926" i="1"/>
  <c r="C3926" i="1"/>
  <c r="A3926" i="1"/>
  <c r="R3925" i="1"/>
  <c r="N3925" i="1"/>
  <c r="J3925" i="1"/>
  <c r="I3925" i="1"/>
  <c r="H3925" i="1"/>
  <c r="G3925" i="1"/>
  <c r="F3925" i="1"/>
  <c r="E3925" i="1"/>
  <c r="D3925" i="1"/>
  <c r="C3925" i="1"/>
  <c r="A3925" i="1"/>
  <c r="R3924" i="1"/>
  <c r="Q3924" i="1"/>
  <c r="N3924" i="1"/>
  <c r="J3924" i="1"/>
  <c r="I3924" i="1"/>
  <c r="H3924" i="1"/>
  <c r="G3924" i="1"/>
  <c r="F3924" i="1"/>
  <c r="E3924" i="1"/>
  <c r="D3924" i="1"/>
  <c r="C3924" i="1"/>
  <c r="A3924" i="1"/>
  <c r="R3923" i="1"/>
  <c r="N3923" i="1"/>
  <c r="J3923" i="1"/>
  <c r="I3923" i="1"/>
  <c r="H3923" i="1"/>
  <c r="G3923" i="1"/>
  <c r="F3923" i="1"/>
  <c r="E3923" i="1"/>
  <c r="D3923" i="1"/>
  <c r="C3923" i="1"/>
  <c r="A3923" i="1"/>
  <c r="R3922" i="1"/>
  <c r="Q3922" i="1"/>
  <c r="N3922" i="1"/>
  <c r="J3922" i="1"/>
  <c r="I3922" i="1"/>
  <c r="H3922" i="1"/>
  <c r="G3922" i="1"/>
  <c r="F3922" i="1"/>
  <c r="E3922" i="1"/>
  <c r="D3922" i="1"/>
  <c r="C3922" i="1"/>
  <c r="A3922" i="1"/>
  <c r="R3921" i="1"/>
  <c r="N3921" i="1"/>
  <c r="J3921" i="1"/>
  <c r="I3921" i="1"/>
  <c r="H3921" i="1"/>
  <c r="G3921" i="1"/>
  <c r="F3921" i="1"/>
  <c r="E3921" i="1"/>
  <c r="D3921" i="1"/>
  <c r="C3921" i="1"/>
  <c r="A3921" i="1"/>
  <c r="R3920" i="1"/>
  <c r="Q3920" i="1"/>
  <c r="N3920" i="1"/>
  <c r="J3920" i="1"/>
  <c r="I3920" i="1"/>
  <c r="H3920" i="1"/>
  <c r="G3920" i="1"/>
  <c r="F3920" i="1"/>
  <c r="E3920" i="1"/>
  <c r="D3920" i="1"/>
  <c r="C3920" i="1"/>
  <c r="A3920" i="1"/>
  <c r="R3919" i="1"/>
  <c r="N3919" i="1"/>
  <c r="J3919" i="1"/>
  <c r="I3919" i="1"/>
  <c r="H3919" i="1"/>
  <c r="G3919" i="1"/>
  <c r="F3919" i="1"/>
  <c r="E3919" i="1"/>
  <c r="D3919" i="1"/>
  <c r="C3919" i="1"/>
  <c r="A3919" i="1"/>
  <c r="R3918" i="1"/>
  <c r="Q3918" i="1"/>
  <c r="N3918" i="1"/>
  <c r="J3918" i="1"/>
  <c r="I3918" i="1"/>
  <c r="H3918" i="1"/>
  <c r="G3918" i="1"/>
  <c r="F3918" i="1"/>
  <c r="E3918" i="1"/>
  <c r="D3918" i="1"/>
  <c r="C3918" i="1"/>
  <c r="A3918" i="1"/>
  <c r="R3917" i="1"/>
  <c r="N3917" i="1"/>
  <c r="J3917" i="1"/>
  <c r="I3917" i="1"/>
  <c r="H3917" i="1"/>
  <c r="G3917" i="1"/>
  <c r="F3917" i="1"/>
  <c r="E3917" i="1"/>
  <c r="D3917" i="1"/>
  <c r="C3917" i="1"/>
  <c r="A3917" i="1"/>
  <c r="R3916" i="1"/>
  <c r="Q3916" i="1"/>
  <c r="N3916" i="1"/>
  <c r="J3916" i="1"/>
  <c r="I3916" i="1"/>
  <c r="H3916" i="1"/>
  <c r="G3916" i="1"/>
  <c r="F3916" i="1"/>
  <c r="E3916" i="1"/>
  <c r="D3916" i="1"/>
  <c r="C3916" i="1"/>
  <c r="A3916" i="1"/>
  <c r="R3915" i="1"/>
  <c r="N3915" i="1"/>
  <c r="J3915" i="1"/>
  <c r="I3915" i="1"/>
  <c r="H3915" i="1"/>
  <c r="G3915" i="1"/>
  <c r="F3915" i="1"/>
  <c r="E3915" i="1"/>
  <c r="D3915" i="1"/>
  <c r="C3915" i="1"/>
  <c r="A3915" i="1"/>
  <c r="R3914" i="1"/>
  <c r="Q3914" i="1"/>
  <c r="N3914" i="1"/>
  <c r="J3914" i="1"/>
  <c r="I3914" i="1"/>
  <c r="H3914" i="1"/>
  <c r="G3914" i="1"/>
  <c r="F3914" i="1"/>
  <c r="E3914" i="1"/>
  <c r="D3914" i="1"/>
  <c r="C3914" i="1"/>
  <c r="A3914" i="1"/>
  <c r="R3913" i="1"/>
  <c r="Q3913" i="1"/>
  <c r="N3913" i="1"/>
  <c r="J3913" i="1"/>
  <c r="I3913" i="1"/>
  <c r="H3913" i="1"/>
  <c r="G3913" i="1"/>
  <c r="F3913" i="1"/>
  <c r="E3913" i="1"/>
  <c r="D3913" i="1"/>
  <c r="C3913" i="1"/>
  <c r="A3913" i="1"/>
  <c r="R3912" i="1"/>
  <c r="N3912" i="1"/>
  <c r="J3912" i="1"/>
  <c r="I3912" i="1"/>
  <c r="H3912" i="1"/>
  <c r="G3912" i="1"/>
  <c r="F3912" i="1"/>
  <c r="E3912" i="1"/>
  <c r="D3912" i="1"/>
  <c r="C3912" i="1"/>
  <c r="A3912" i="1"/>
  <c r="R3911" i="1"/>
  <c r="Q3911" i="1"/>
  <c r="N3911" i="1"/>
  <c r="J3911" i="1"/>
  <c r="I3911" i="1"/>
  <c r="H3911" i="1"/>
  <c r="G3911" i="1"/>
  <c r="F3911" i="1"/>
  <c r="E3911" i="1"/>
  <c r="D3911" i="1"/>
  <c r="C3911" i="1"/>
  <c r="A3911" i="1"/>
  <c r="R3910" i="1"/>
  <c r="N3910" i="1"/>
  <c r="J3910" i="1"/>
  <c r="I3910" i="1"/>
  <c r="H3910" i="1"/>
  <c r="G3910" i="1"/>
  <c r="F3910" i="1"/>
  <c r="E3910" i="1"/>
  <c r="D3910" i="1"/>
  <c r="C3910" i="1"/>
  <c r="B3910" i="1"/>
  <c r="A3910" i="1"/>
  <c r="R3909" i="1"/>
  <c r="N3909" i="1"/>
  <c r="J3909" i="1"/>
  <c r="I3909" i="1"/>
  <c r="H3909" i="1"/>
  <c r="G3909" i="1"/>
  <c r="F3909" i="1"/>
  <c r="E3909" i="1"/>
  <c r="D3909" i="1"/>
  <c r="C3909" i="1"/>
  <c r="B3909" i="1"/>
  <c r="A3909" i="1"/>
  <c r="R3908" i="1"/>
  <c r="N3908" i="1"/>
  <c r="J3908" i="1"/>
  <c r="I3908" i="1"/>
  <c r="H3908" i="1"/>
  <c r="G3908" i="1"/>
  <c r="F3908" i="1"/>
  <c r="E3908" i="1"/>
  <c r="D3908" i="1"/>
  <c r="C3908" i="1"/>
  <c r="B3908" i="1"/>
  <c r="A3908" i="1"/>
  <c r="R3907" i="1"/>
  <c r="N3907" i="1"/>
  <c r="J3907" i="1"/>
  <c r="I3907" i="1"/>
  <c r="H3907" i="1"/>
  <c r="G3907" i="1"/>
  <c r="F3907" i="1"/>
  <c r="E3907" i="1"/>
  <c r="D3907" i="1"/>
  <c r="C3907" i="1"/>
  <c r="B3907" i="1"/>
  <c r="A3907" i="1"/>
  <c r="R3906" i="1"/>
  <c r="N3906" i="1"/>
  <c r="J3906" i="1"/>
  <c r="I3906" i="1"/>
  <c r="H3906" i="1"/>
  <c r="G3906" i="1"/>
  <c r="F3906" i="1"/>
  <c r="E3906" i="1"/>
  <c r="D3906" i="1"/>
  <c r="C3906" i="1"/>
  <c r="B3906" i="1"/>
  <c r="A3906" i="1"/>
  <c r="R3905" i="1"/>
  <c r="N3905" i="1"/>
  <c r="J3905" i="1"/>
  <c r="I3905" i="1"/>
  <c r="H3905" i="1"/>
  <c r="G3905" i="1"/>
  <c r="F3905" i="1"/>
  <c r="E3905" i="1"/>
  <c r="D3905" i="1"/>
  <c r="C3905" i="1"/>
  <c r="B3905" i="1"/>
  <c r="A3905" i="1"/>
  <c r="R3904" i="1"/>
  <c r="N3904" i="1"/>
  <c r="J3904" i="1"/>
  <c r="I3904" i="1"/>
  <c r="H3904" i="1"/>
  <c r="G3904" i="1"/>
  <c r="F3904" i="1"/>
  <c r="E3904" i="1"/>
  <c r="D3904" i="1"/>
  <c r="C3904" i="1"/>
  <c r="B3904" i="1"/>
  <c r="A3904" i="1"/>
  <c r="R3903" i="1"/>
  <c r="N3903" i="1"/>
  <c r="J3903" i="1"/>
  <c r="I3903" i="1"/>
  <c r="H3903" i="1"/>
  <c r="G3903" i="1"/>
  <c r="F3903" i="1"/>
  <c r="E3903" i="1"/>
  <c r="D3903" i="1"/>
  <c r="C3903" i="1"/>
  <c r="B3903" i="1"/>
  <c r="A3903" i="1"/>
  <c r="R3902" i="1"/>
  <c r="N3902" i="1"/>
  <c r="J3902" i="1"/>
  <c r="I3902" i="1"/>
  <c r="H3902" i="1"/>
  <c r="G3902" i="1"/>
  <c r="F3902" i="1"/>
  <c r="E3902" i="1"/>
  <c r="D3902" i="1"/>
  <c r="C3902" i="1"/>
  <c r="B3902" i="1"/>
  <c r="A3902" i="1"/>
  <c r="R3901" i="1"/>
  <c r="Q3901" i="1"/>
  <c r="N3901" i="1"/>
  <c r="J3901" i="1"/>
  <c r="I3901" i="1"/>
  <c r="H3901" i="1"/>
  <c r="G3901" i="1"/>
  <c r="F3901" i="1"/>
  <c r="E3901" i="1"/>
  <c r="D3901" i="1"/>
  <c r="C3901" i="1"/>
  <c r="A3901" i="1"/>
  <c r="R3900" i="1"/>
  <c r="N3900" i="1"/>
  <c r="J3900" i="1"/>
  <c r="I3900" i="1"/>
  <c r="H3900" i="1"/>
  <c r="G3900" i="1"/>
  <c r="F3900" i="1"/>
  <c r="E3900" i="1"/>
  <c r="D3900" i="1"/>
  <c r="C3900" i="1"/>
  <c r="A3900" i="1"/>
  <c r="R3899" i="1"/>
  <c r="Q3899" i="1"/>
  <c r="N3899" i="1"/>
  <c r="J3899" i="1"/>
  <c r="I3899" i="1"/>
  <c r="H3899" i="1"/>
  <c r="G3899" i="1"/>
  <c r="F3899" i="1"/>
  <c r="E3899" i="1"/>
  <c r="D3899" i="1"/>
  <c r="C3899" i="1"/>
  <c r="A3899" i="1"/>
  <c r="R3898" i="1"/>
  <c r="N3898" i="1"/>
  <c r="J3898" i="1"/>
  <c r="I3898" i="1"/>
  <c r="H3898" i="1"/>
  <c r="G3898" i="1"/>
  <c r="F3898" i="1"/>
  <c r="E3898" i="1"/>
  <c r="D3898" i="1"/>
  <c r="C3898" i="1"/>
  <c r="A3898" i="1"/>
  <c r="R3897" i="1"/>
  <c r="Q3897" i="1"/>
  <c r="N3897" i="1"/>
  <c r="J3897" i="1"/>
  <c r="I3897" i="1"/>
  <c r="H3897" i="1"/>
  <c r="G3897" i="1"/>
  <c r="F3897" i="1"/>
  <c r="E3897" i="1"/>
  <c r="D3897" i="1"/>
  <c r="C3897" i="1"/>
  <c r="A3897" i="1"/>
  <c r="R3896" i="1"/>
  <c r="N3896" i="1"/>
  <c r="J3896" i="1"/>
  <c r="I3896" i="1"/>
  <c r="H3896" i="1"/>
  <c r="G3896" i="1"/>
  <c r="F3896" i="1"/>
  <c r="E3896" i="1"/>
  <c r="D3896" i="1"/>
  <c r="C3896" i="1"/>
  <c r="A3896" i="1"/>
  <c r="R3895" i="1"/>
  <c r="Q3895" i="1"/>
  <c r="N3895" i="1"/>
  <c r="J3895" i="1"/>
  <c r="I3895" i="1"/>
  <c r="H3895" i="1"/>
  <c r="G3895" i="1"/>
  <c r="F3895" i="1"/>
  <c r="E3895" i="1"/>
  <c r="D3895" i="1"/>
  <c r="C3895" i="1"/>
  <c r="A3895" i="1"/>
  <c r="R3894" i="1"/>
  <c r="N3894" i="1"/>
  <c r="J3894" i="1"/>
  <c r="I3894" i="1"/>
  <c r="H3894" i="1"/>
  <c r="G3894" i="1"/>
  <c r="F3894" i="1"/>
  <c r="E3894" i="1"/>
  <c r="D3894" i="1"/>
  <c r="C3894" i="1"/>
  <c r="A3894" i="1"/>
  <c r="R3893" i="1"/>
  <c r="Q3893" i="1"/>
  <c r="N3893" i="1"/>
  <c r="J3893" i="1"/>
  <c r="I3893" i="1"/>
  <c r="H3893" i="1"/>
  <c r="G3893" i="1"/>
  <c r="F3893" i="1"/>
  <c r="E3893" i="1"/>
  <c r="D3893" i="1"/>
  <c r="C3893" i="1"/>
  <c r="A3893" i="1"/>
  <c r="R3892" i="1"/>
  <c r="N3892" i="1"/>
  <c r="J3892" i="1"/>
  <c r="I3892" i="1"/>
  <c r="H3892" i="1"/>
  <c r="G3892" i="1"/>
  <c r="F3892" i="1"/>
  <c r="E3892" i="1"/>
  <c r="D3892" i="1"/>
  <c r="C3892" i="1"/>
  <c r="A3892" i="1"/>
  <c r="R3891" i="1"/>
  <c r="Q3891" i="1"/>
  <c r="N3891" i="1"/>
  <c r="J3891" i="1"/>
  <c r="I3891" i="1"/>
  <c r="H3891" i="1"/>
  <c r="G3891" i="1"/>
  <c r="F3891" i="1"/>
  <c r="E3891" i="1"/>
  <c r="D3891" i="1"/>
  <c r="C3891" i="1"/>
  <c r="A3891" i="1"/>
  <c r="R3890" i="1"/>
  <c r="N3890" i="1"/>
  <c r="J3890" i="1"/>
  <c r="I3890" i="1"/>
  <c r="H3890" i="1"/>
  <c r="G3890" i="1"/>
  <c r="F3890" i="1"/>
  <c r="E3890" i="1"/>
  <c r="D3890" i="1"/>
  <c r="C3890" i="1"/>
  <c r="A3890" i="1"/>
  <c r="R3889" i="1"/>
  <c r="Q3889" i="1"/>
  <c r="N3889" i="1"/>
  <c r="J3889" i="1"/>
  <c r="I3889" i="1"/>
  <c r="H3889" i="1"/>
  <c r="G3889" i="1"/>
  <c r="F3889" i="1"/>
  <c r="E3889" i="1"/>
  <c r="D3889" i="1"/>
  <c r="C3889" i="1"/>
  <c r="A3889" i="1"/>
  <c r="R3888" i="1"/>
  <c r="N3888" i="1"/>
  <c r="J3888" i="1"/>
  <c r="I3888" i="1"/>
  <c r="H3888" i="1"/>
  <c r="G3888" i="1"/>
  <c r="F3888" i="1"/>
  <c r="E3888" i="1"/>
  <c r="D3888" i="1"/>
  <c r="C3888" i="1"/>
  <c r="A3888" i="1"/>
  <c r="R3887" i="1"/>
  <c r="Q3887" i="1"/>
  <c r="N3887" i="1"/>
  <c r="J3887" i="1"/>
  <c r="I3887" i="1"/>
  <c r="H3887" i="1"/>
  <c r="G3887" i="1"/>
  <c r="F3887" i="1"/>
  <c r="E3887" i="1"/>
  <c r="D3887" i="1"/>
  <c r="C3887" i="1"/>
  <c r="A3887" i="1"/>
  <c r="R3886" i="1"/>
  <c r="N3886" i="1"/>
  <c r="J3886" i="1"/>
  <c r="I3886" i="1"/>
  <c r="H3886" i="1"/>
  <c r="G3886" i="1"/>
  <c r="F3886" i="1"/>
  <c r="E3886" i="1"/>
  <c r="D3886" i="1"/>
  <c r="C3886" i="1"/>
  <c r="A3886" i="1"/>
  <c r="R3885" i="1"/>
  <c r="Q3885" i="1"/>
  <c r="N3885" i="1"/>
  <c r="J3885" i="1"/>
  <c r="I3885" i="1"/>
  <c r="H3885" i="1"/>
  <c r="G3885" i="1"/>
  <c r="F3885" i="1"/>
  <c r="E3885" i="1"/>
  <c r="D3885" i="1"/>
  <c r="C3885" i="1"/>
  <c r="A3885" i="1"/>
  <c r="R3884" i="1"/>
  <c r="Q3884" i="1"/>
  <c r="N3884" i="1"/>
  <c r="J3884" i="1"/>
  <c r="I3884" i="1"/>
  <c r="H3884" i="1"/>
  <c r="G3884" i="1"/>
  <c r="F3884" i="1"/>
  <c r="E3884" i="1"/>
  <c r="D3884" i="1"/>
  <c r="C3884" i="1"/>
  <c r="A3884" i="1"/>
  <c r="R3883" i="1"/>
  <c r="Q3883" i="1"/>
  <c r="N3883" i="1"/>
  <c r="J3883" i="1"/>
  <c r="I3883" i="1"/>
  <c r="H3883" i="1"/>
  <c r="G3883" i="1"/>
  <c r="F3883" i="1"/>
  <c r="E3883" i="1"/>
  <c r="D3883" i="1"/>
  <c r="C3883" i="1"/>
  <c r="A3883" i="1"/>
  <c r="R3882" i="1"/>
  <c r="Q3882" i="1"/>
  <c r="N3882" i="1"/>
  <c r="J3882" i="1"/>
  <c r="I3882" i="1"/>
  <c r="H3882" i="1"/>
  <c r="G3882" i="1"/>
  <c r="F3882" i="1"/>
  <c r="E3882" i="1"/>
  <c r="D3882" i="1"/>
  <c r="C3882" i="1"/>
  <c r="A3882" i="1"/>
  <c r="R3881" i="1"/>
  <c r="Q3881" i="1"/>
  <c r="N3881" i="1"/>
  <c r="J3881" i="1"/>
  <c r="I3881" i="1"/>
  <c r="H3881" i="1"/>
  <c r="G3881" i="1"/>
  <c r="F3881" i="1"/>
  <c r="E3881" i="1"/>
  <c r="D3881" i="1"/>
  <c r="C3881" i="1"/>
  <c r="A3881" i="1"/>
  <c r="R3880" i="1"/>
  <c r="Q3880" i="1"/>
  <c r="N3880" i="1"/>
  <c r="J3880" i="1"/>
  <c r="I3880" i="1"/>
  <c r="H3880" i="1"/>
  <c r="G3880" i="1"/>
  <c r="F3880" i="1"/>
  <c r="E3880" i="1"/>
  <c r="D3880" i="1"/>
  <c r="C3880" i="1"/>
  <c r="A3880" i="1"/>
  <c r="R3879" i="1"/>
  <c r="Q3879" i="1"/>
  <c r="N3879" i="1"/>
  <c r="J3879" i="1"/>
  <c r="I3879" i="1"/>
  <c r="H3879" i="1"/>
  <c r="G3879" i="1"/>
  <c r="F3879" i="1"/>
  <c r="E3879" i="1"/>
  <c r="D3879" i="1"/>
  <c r="C3879" i="1"/>
  <c r="A3879" i="1"/>
  <c r="R3878" i="1"/>
  <c r="Q3878" i="1"/>
  <c r="N3878" i="1"/>
  <c r="J3878" i="1"/>
  <c r="I3878" i="1"/>
  <c r="H3878" i="1"/>
  <c r="G3878" i="1"/>
  <c r="F3878" i="1"/>
  <c r="E3878" i="1"/>
  <c r="D3878" i="1"/>
  <c r="C3878" i="1"/>
  <c r="A3878" i="1"/>
  <c r="R3877" i="1"/>
  <c r="N3877" i="1"/>
  <c r="J3877" i="1"/>
  <c r="I3877" i="1"/>
  <c r="H3877" i="1"/>
  <c r="G3877" i="1"/>
  <c r="F3877" i="1"/>
  <c r="E3877" i="1"/>
  <c r="D3877" i="1"/>
  <c r="C3877" i="1"/>
  <c r="A3877" i="1"/>
  <c r="R3876" i="1"/>
  <c r="Q3876" i="1"/>
  <c r="N3876" i="1"/>
  <c r="J3876" i="1"/>
  <c r="I3876" i="1"/>
  <c r="H3876" i="1"/>
  <c r="G3876" i="1"/>
  <c r="F3876" i="1"/>
  <c r="E3876" i="1"/>
  <c r="D3876" i="1"/>
  <c r="C3876" i="1"/>
  <c r="A3876" i="1"/>
  <c r="R3875" i="1"/>
  <c r="Q3875" i="1"/>
  <c r="N3875" i="1"/>
  <c r="J3875" i="1"/>
  <c r="I3875" i="1"/>
  <c r="H3875" i="1"/>
  <c r="G3875" i="1"/>
  <c r="F3875" i="1"/>
  <c r="E3875" i="1"/>
  <c r="D3875" i="1"/>
  <c r="C3875" i="1"/>
  <c r="A3875" i="1"/>
  <c r="R3874" i="1"/>
  <c r="Q3874" i="1"/>
  <c r="N3874" i="1"/>
  <c r="J3874" i="1"/>
  <c r="I3874" i="1"/>
  <c r="H3874" i="1"/>
  <c r="G3874" i="1"/>
  <c r="F3874" i="1"/>
  <c r="E3874" i="1"/>
  <c r="D3874" i="1"/>
  <c r="C3874" i="1"/>
  <c r="A3874" i="1"/>
  <c r="R3873" i="1"/>
  <c r="Q3873" i="1"/>
  <c r="N3873" i="1"/>
  <c r="J3873" i="1"/>
  <c r="I3873" i="1"/>
  <c r="H3873" i="1"/>
  <c r="G3873" i="1"/>
  <c r="F3873" i="1"/>
  <c r="E3873" i="1"/>
  <c r="D3873" i="1"/>
  <c r="C3873" i="1"/>
  <c r="A3873" i="1"/>
  <c r="R3872" i="1"/>
  <c r="Q3872" i="1"/>
  <c r="N3872" i="1"/>
  <c r="J3872" i="1"/>
  <c r="I3872" i="1"/>
  <c r="H3872" i="1"/>
  <c r="G3872" i="1"/>
  <c r="F3872" i="1"/>
  <c r="E3872" i="1"/>
  <c r="D3872" i="1"/>
  <c r="C3872" i="1"/>
  <c r="A3872" i="1"/>
  <c r="R3871" i="1"/>
  <c r="Q3871" i="1"/>
  <c r="N3871" i="1"/>
  <c r="J3871" i="1"/>
  <c r="I3871" i="1"/>
  <c r="H3871" i="1"/>
  <c r="G3871" i="1"/>
  <c r="F3871" i="1"/>
  <c r="E3871" i="1"/>
  <c r="D3871" i="1"/>
  <c r="C3871" i="1"/>
  <c r="A3871" i="1"/>
  <c r="R3870" i="1"/>
  <c r="Q3870" i="1"/>
  <c r="N3870" i="1"/>
  <c r="J3870" i="1"/>
  <c r="I3870" i="1"/>
  <c r="H3870" i="1"/>
  <c r="G3870" i="1"/>
  <c r="F3870" i="1"/>
  <c r="E3870" i="1"/>
  <c r="D3870" i="1"/>
  <c r="C3870" i="1"/>
  <c r="A3870" i="1"/>
  <c r="R3869" i="1"/>
  <c r="Q3869" i="1"/>
  <c r="N3869" i="1"/>
  <c r="J3869" i="1"/>
  <c r="I3869" i="1"/>
  <c r="H3869" i="1"/>
  <c r="G3869" i="1"/>
  <c r="F3869" i="1"/>
  <c r="E3869" i="1"/>
  <c r="D3869" i="1"/>
  <c r="C3869" i="1"/>
  <c r="A3869" i="1"/>
  <c r="R3868" i="1"/>
  <c r="Q3868" i="1"/>
  <c r="N3868" i="1"/>
  <c r="J3868" i="1"/>
  <c r="I3868" i="1"/>
  <c r="H3868" i="1"/>
  <c r="G3868" i="1"/>
  <c r="F3868" i="1"/>
  <c r="E3868" i="1"/>
  <c r="D3868" i="1"/>
  <c r="C3868" i="1"/>
  <c r="A3868" i="1"/>
  <c r="R3867" i="1"/>
  <c r="Q3867" i="1"/>
  <c r="N3867" i="1"/>
  <c r="J3867" i="1"/>
  <c r="I3867" i="1"/>
  <c r="H3867" i="1"/>
  <c r="G3867" i="1"/>
  <c r="F3867" i="1"/>
  <c r="E3867" i="1"/>
  <c r="D3867" i="1"/>
  <c r="C3867" i="1"/>
  <c r="A3867" i="1"/>
  <c r="R3866" i="1"/>
  <c r="Q3866" i="1"/>
  <c r="N3866" i="1"/>
  <c r="J3866" i="1"/>
  <c r="I3866" i="1"/>
  <c r="H3866" i="1"/>
  <c r="G3866" i="1"/>
  <c r="F3866" i="1"/>
  <c r="E3866" i="1"/>
  <c r="D3866" i="1"/>
  <c r="C3866" i="1"/>
  <c r="A3866" i="1"/>
  <c r="R3865" i="1"/>
  <c r="N3865" i="1"/>
  <c r="J3865" i="1"/>
  <c r="I3865" i="1"/>
  <c r="H3865" i="1"/>
  <c r="G3865" i="1"/>
  <c r="F3865" i="1"/>
  <c r="E3865" i="1"/>
  <c r="D3865" i="1"/>
  <c r="C3865" i="1"/>
  <c r="A3865" i="1"/>
  <c r="R3864" i="1"/>
  <c r="Q3864" i="1"/>
  <c r="N3864" i="1"/>
  <c r="J3864" i="1"/>
  <c r="I3864" i="1"/>
  <c r="H3864" i="1"/>
  <c r="G3864" i="1"/>
  <c r="F3864" i="1"/>
  <c r="E3864" i="1"/>
  <c r="D3864" i="1"/>
  <c r="C3864" i="1"/>
  <c r="A3864" i="1"/>
  <c r="R3863" i="1"/>
  <c r="Q3863" i="1"/>
  <c r="N3863" i="1"/>
  <c r="J3863" i="1"/>
  <c r="I3863" i="1"/>
  <c r="H3863" i="1"/>
  <c r="G3863" i="1"/>
  <c r="F3863" i="1"/>
  <c r="E3863" i="1"/>
  <c r="D3863" i="1"/>
  <c r="C3863" i="1"/>
  <c r="A3863" i="1"/>
  <c r="R3862" i="1"/>
  <c r="Q3862" i="1"/>
  <c r="N3862" i="1"/>
  <c r="J3862" i="1"/>
  <c r="I3862" i="1"/>
  <c r="H3862" i="1"/>
  <c r="G3862" i="1"/>
  <c r="F3862" i="1"/>
  <c r="E3862" i="1"/>
  <c r="D3862" i="1"/>
  <c r="C3862" i="1"/>
  <c r="A3862" i="1"/>
  <c r="R3861" i="1"/>
  <c r="Q3861" i="1"/>
  <c r="N3861" i="1"/>
  <c r="J3861" i="1"/>
  <c r="I3861" i="1"/>
  <c r="H3861" i="1"/>
  <c r="G3861" i="1"/>
  <c r="F3861" i="1"/>
  <c r="E3861" i="1"/>
  <c r="D3861" i="1"/>
  <c r="C3861" i="1"/>
  <c r="A3861" i="1"/>
  <c r="R3860" i="1"/>
  <c r="Q3860" i="1"/>
  <c r="N3860" i="1"/>
  <c r="J3860" i="1"/>
  <c r="I3860" i="1"/>
  <c r="H3860" i="1"/>
  <c r="G3860" i="1"/>
  <c r="F3860" i="1"/>
  <c r="E3860" i="1"/>
  <c r="D3860" i="1"/>
  <c r="C3860" i="1"/>
  <c r="A3860" i="1"/>
  <c r="R3859" i="1"/>
  <c r="Q3859" i="1"/>
  <c r="N3859" i="1"/>
  <c r="J3859" i="1"/>
  <c r="I3859" i="1"/>
  <c r="H3859" i="1"/>
  <c r="G3859" i="1"/>
  <c r="F3859" i="1"/>
  <c r="E3859" i="1"/>
  <c r="D3859" i="1"/>
  <c r="C3859" i="1"/>
  <c r="A3859" i="1"/>
  <c r="R3858" i="1"/>
  <c r="Q3858" i="1"/>
  <c r="N3858" i="1"/>
  <c r="J3858" i="1"/>
  <c r="I3858" i="1"/>
  <c r="H3858" i="1"/>
  <c r="G3858" i="1"/>
  <c r="F3858" i="1"/>
  <c r="E3858" i="1"/>
  <c r="D3858" i="1"/>
  <c r="C3858" i="1"/>
  <c r="A3858" i="1"/>
  <c r="R3857" i="1"/>
  <c r="Q3857" i="1"/>
  <c r="N3857" i="1"/>
  <c r="J3857" i="1"/>
  <c r="I3857" i="1"/>
  <c r="H3857" i="1"/>
  <c r="G3857" i="1"/>
  <c r="F3857" i="1"/>
  <c r="E3857" i="1"/>
  <c r="D3857" i="1"/>
  <c r="C3857" i="1"/>
  <c r="A3857" i="1"/>
  <c r="R3856" i="1"/>
  <c r="Q3856" i="1"/>
  <c r="N3856" i="1"/>
  <c r="J3856" i="1"/>
  <c r="I3856" i="1"/>
  <c r="H3856" i="1"/>
  <c r="G3856" i="1"/>
  <c r="F3856" i="1"/>
  <c r="E3856" i="1"/>
  <c r="D3856" i="1"/>
  <c r="C3856" i="1"/>
  <c r="A3856" i="1"/>
  <c r="R3855" i="1"/>
  <c r="Q3855" i="1"/>
  <c r="N3855" i="1"/>
  <c r="J3855" i="1"/>
  <c r="I3855" i="1"/>
  <c r="H3855" i="1"/>
  <c r="G3855" i="1"/>
  <c r="F3855" i="1"/>
  <c r="E3855" i="1"/>
  <c r="D3855" i="1"/>
  <c r="C3855" i="1"/>
  <c r="A3855" i="1"/>
  <c r="R3854" i="1"/>
  <c r="Q3854" i="1"/>
  <c r="N3854" i="1"/>
  <c r="J3854" i="1"/>
  <c r="I3854" i="1"/>
  <c r="H3854" i="1"/>
  <c r="G3854" i="1"/>
  <c r="F3854" i="1"/>
  <c r="E3854" i="1"/>
  <c r="D3854" i="1"/>
  <c r="C3854" i="1"/>
  <c r="A3854" i="1"/>
  <c r="R3853" i="1"/>
  <c r="Q3853" i="1"/>
  <c r="N3853" i="1"/>
  <c r="J3853" i="1"/>
  <c r="I3853" i="1"/>
  <c r="H3853" i="1"/>
  <c r="G3853" i="1"/>
  <c r="F3853" i="1"/>
  <c r="E3853" i="1"/>
  <c r="D3853" i="1"/>
  <c r="C3853" i="1"/>
  <c r="A3853" i="1"/>
  <c r="R3852" i="1"/>
  <c r="Q3852" i="1"/>
  <c r="N3852" i="1"/>
  <c r="J3852" i="1"/>
  <c r="I3852" i="1"/>
  <c r="H3852" i="1"/>
  <c r="G3852" i="1"/>
  <c r="F3852" i="1"/>
  <c r="E3852" i="1"/>
  <c r="D3852" i="1"/>
  <c r="C3852" i="1"/>
  <c r="A3852" i="1"/>
  <c r="R3851" i="1"/>
  <c r="Q3851" i="1"/>
  <c r="N3851" i="1"/>
  <c r="J3851" i="1"/>
  <c r="I3851" i="1"/>
  <c r="H3851" i="1"/>
  <c r="G3851" i="1"/>
  <c r="F3851" i="1"/>
  <c r="E3851" i="1"/>
  <c r="D3851" i="1"/>
  <c r="C3851" i="1"/>
  <c r="A3851" i="1"/>
  <c r="R3850" i="1"/>
  <c r="Q3850" i="1"/>
  <c r="N3850" i="1"/>
  <c r="J3850" i="1"/>
  <c r="I3850" i="1"/>
  <c r="H3850" i="1"/>
  <c r="G3850" i="1"/>
  <c r="F3850" i="1"/>
  <c r="E3850" i="1"/>
  <c r="D3850" i="1"/>
  <c r="C3850" i="1"/>
  <c r="A3850" i="1"/>
  <c r="R3849" i="1"/>
  <c r="Q3849" i="1"/>
  <c r="N3849" i="1"/>
  <c r="J3849" i="1"/>
  <c r="I3849" i="1"/>
  <c r="H3849" i="1"/>
  <c r="G3849" i="1"/>
  <c r="F3849" i="1"/>
  <c r="E3849" i="1"/>
  <c r="D3849" i="1"/>
  <c r="C3849" i="1"/>
  <c r="A3849" i="1"/>
  <c r="R3848" i="1"/>
  <c r="Q3848" i="1"/>
  <c r="N3848" i="1"/>
  <c r="J3848" i="1"/>
  <c r="I3848" i="1"/>
  <c r="H3848" i="1"/>
  <c r="G3848" i="1"/>
  <c r="F3848" i="1"/>
  <c r="E3848" i="1"/>
  <c r="D3848" i="1"/>
  <c r="C3848" i="1"/>
  <c r="A3848" i="1"/>
  <c r="R3847" i="1"/>
  <c r="Q3847" i="1"/>
  <c r="N3847" i="1"/>
  <c r="J3847" i="1"/>
  <c r="I3847" i="1"/>
  <c r="H3847" i="1"/>
  <c r="G3847" i="1"/>
  <c r="F3847" i="1"/>
  <c r="E3847" i="1"/>
  <c r="D3847" i="1"/>
  <c r="C3847" i="1"/>
  <c r="A3847" i="1"/>
  <c r="R3846" i="1"/>
  <c r="Q3846" i="1"/>
  <c r="N3846" i="1"/>
  <c r="J3846" i="1"/>
  <c r="I3846" i="1"/>
  <c r="H3846" i="1"/>
  <c r="G3846" i="1"/>
  <c r="F3846" i="1"/>
  <c r="E3846" i="1"/>
  <c r="D3846" i="1"/>
  <c r="C3846" i="1"/>
  <c r="A3846" i="1"/>
  <c r="R3845" i="1"/>
  <c r="Q3845" i="1"/>
  <c r="N3845" i="1"/>
  <c r="J3845" i="1"/>
  <c r="I3845" i="1"/>
  <c r="H3845" i="1"/>
  <c r="G3845" i="1"/>
  <c r="F3845" i="1"/>
  <c r="E3845" i="1"/>
  <c r="D3845" i="1"/>
  <c r="C3845" i="1"/>
  <c r="A3845" i="1"/>
  <c r="R3844" i="1"/>
  <c r="Q3844" i="1"/>
  <c r="N3844" i="1"/>
  <c r="J3844" i="1"/>
  <c r="I3844" i="1"/>
  <c r="H3844" i="1"/>
  <c r="G3844" i="1"/>
  <c r="F3844" i="1"/>
  <c r="E3844" i="1"/>
  <c r="D3844" i="1"/>
  <c r="C3844" i="1"/>
  <c r="A3844" i="1"/>
  <c r="R3843" i="1"/>
  <c r="Q3843" i="1"/>
  <c r="N3843" i="1"/>
  <c r="J3843" i="1"/>
  <c r="I3843" i="1"/>
  <c r="H3843" i="1"/>
  <c r="G3843" i="1"/>
  <c r="F3843" i="1"/>
  <c r="E3843" i="1"/>
  <c r="D3843" i="1"/>
  <c r="C3843" i="1"/>
  <c r="A3843" i="1"/>
  <c r="R3842" i="1"/>
  <c r="Q3842" i="1"/>
  <c r="N3842" i="1"/>
  <c r="J3842" i="1"/>
  <c r="I3842" i="1"/>
  <c r="H3842" i="1"/>
  <c r="G3842" i="1"/>
  <c r="F3842" i="1"/>
  <c r="E3842" i="1"/>
  <c r="D3842" i="1"/>
  <c r="C3842" i="1"/>
  <c r="A3842" i="1"/>
  <c r="R3841" i="1"/>
  <c r="Q3841" i="1"/>
  <c r="N3841" i="1"/>
  <c r="J3841" i="1"/>
  <c r="I3841" i="1"/>
  <c r="H3841" i="1"/>
  <c r="G3841" i="1"/>
  <c r="F3841" i="1"/>
  <c r="E3841" i="1"/>
  <c r="D3841" i="1"/>
  <c r="C3841" i="1"/>
  <c r="A3841" i="1"/>
  <c r="R3840" i="1"/>
  <c r="Q3840" i="1"/>
  <c r="N3840" i="1"/>
  <c r="J3840" i="1"/>
  <c r="I3840" i="1"/>
  <c r="H3840" i="1"/>
  <c r="G3840" i="1"/>
  <c r="F3840" i="1"/>
  <c r="E3840" i="1"/>
  <c r="D3840" i="1"/>
  <c r="C3840" i="1"/>
  <c r="A3840" i="1"/>
  <c r="R3839" i="1"/>
  <c r="Q3839" i="1"/>
  <c r="N3839" i="1"/>
  <c r="J3839" i="1"/>
  <c r="I3839" i="1"/>
  <c r="H3839" i="1"/>
  <c r="G3839" i="1"/>
  <c r="F3839" i="1"/>
  <c r="E3839" i="1"/>
  <c r="D3839" i="1"/>
  <c r="C3839" i="1"/>
  <c r="A3839" i="1"/>
  <c r="R3838" i="1"/>
  <c r="Q3838" i="1"/>
  <c r="N3838" i="1"/>
  <c r="J3838" i="1"/>
  <c r="I3838" i="1"/>
  <c r="H3838" i="1"/>
  <c r="G3838" i="1"/>
  <c r="F3838" i="1"/>
  <c r="E3838" i="1"/>
  <c r="D3838" i="1"/>
  <c r="C3838" i="1"/>
  <c r="A3838" i="1"/>
  <c r="R3837" i="1"/>
  <c r="Q3837" i="1"/>
  <c r="N3837" i="1"/>
  <c r="J3837" i="1"/>
  <c r="I3837" i="1"/>
  <c r="H3837" i="1"/>
  <c r="G3837" i="1"/>
  <c r="F3837" i="1"/>
  <c r="E3837" i="1"/>
  <c r="D3837" i="1"/>
  <c r="C3837" i="1"/>
  <c r="A3837" i="1"/>
  <c r="R3836" i="1"/>
  <c r="Q3836" i="1"/>
  <c r="N3836" i="1"/>
  <c r="J3836" i="1"/>
  <c r="I3836" i="1"/>
  <c r="H3836" i="1"/>
  <c r="G3836" i="1"/>
  <c r="F3836" i="1"/>
  <c r="E3836" i="1"/>
  <c r="D3836" i="1"/>
  <c r="C3836" i="1"/>
  <c r="A3836" i="1"/>
  <c r="R3835" i="1"/>
  <c r="Q3835" i="1"/>
  <c r="N3835" i="1"/>
  <c r="J3835" i="1"/>
  <c r="I3835" i="1"/>
  <c r="H3835" i="1"/>
  <c r="G3835" i="1"/>
  <c r="F3835" i="1"/>
  <c r="E3835" i="1"/>
  <c r="D3835" i="1"/>
  <c r="C3835" i="1"/>
  <c r="A3835" i="1"/>
  <c r="R3834" i="1"/>
  <c r="Q3834" i="1"/>
  <c r="N3834" i="1"/>
  <c r="J3834" i="1"/>
  <c r="I3834" i="1"/>
  <c r="H3834" i="1"/>
  <c r="G3834" i="1"/>
  <c r="F3834" i="1"/>
  <c r="E3834" i="1"/>
  <c r="D3834" i="1"/>
  <c r="C3834" i="1"/>
  <c r="A3834" i="1"/>
  <c r="R3833" i="1"/>
  <c r="Q3833" i="1"/>
  <c r="N3833" i="1"/>
  <c r="J3833" i="1"/>
  <c r="I3833" i="1"/>
  <c r="H3833" i="1"/>
  <c r="G3833" i="1"/>
  <c r="F3833" i="1"/>
  <c r="E3833" i="1"/>
  <c r="D3833" i="1"/>
  <c r="C3833" i="1"/>
  <c r="A3833" i="1"/>
  <c r="R3832" i="1"/>
  <c r="Q3832" i="1"/>
  <c r="N3832" i="1"/>
  <c r="J3832" i="1"/>
  <c r="I3832" i="1"/>
  <c r="H3832" i="1"/>
  <c r="G3832" i="1"/>
  <c r="F3832" i="1"/>
  <c r="E3832" i="1"/>
  <c r="D3832" i="1"/>
  <c r="C3832" i="1"/>
  <c r="A3832" i="1"/>
  <c r="R3831" i="1"/>
  <c r="Q3831" i="1"/>
  <c r="N3831" i="1"/>
  <c r="J3831" i="1"/>
  <c r="I3831" i="1"/>
  <c r="H3831" i="1"/>
  <c r="G3831" i="1"/>
  <c r="F3831" i="1"/>
  <c r="E3831" i="1"/>
  <c r="D3831" i="1"/>
  <c r="C3831" i="1"/>
  <c r="A3831" i="1"/>
  <c r="R3830" i="1"/>
  <c r="Q3830" i="1"/>
  <c r="N3830" i="1"/>
  <c r="J3830" i="1"/>
  <c r="I3830" i="1"/>
  <c r="H3830" i="1"/>
  <c r="G3830" i="1"/>
  <c r="F3830" i="1"/>
  <c r="E3830" i="1"/>
  <c r="D3830" i="1"/>
  <c r="C3830" i="1"/>
  <c r="A3830" i="1"/>
  <c r="R3829" i="1"/>
  <c r="Q3829" i="1"/>
  <c r="N3829" i="1"/>
  <c r="J3829" i="1"/>
  <c r="I3829" i="1"/>
  <c r="H3829" i="1"/>
  <c r="G3829" i="1"/>
  <c r="F3829" i="1"/>
  <c r="E3829" i="1"/>
  <c r="D3829" i="1"/>
  <c r="C3829" i="1"/>
  <c r="A3829" i="1"/>
  <c r="R3828" i="1"/>
  <c r="Q3828" i="1"/>
  <c r="N3828" i="1"/>
  <c r="J3828" i="1"/>
  <c r="I3828" i="1"/>
  <c r="H3828" i="1"/>
  <c r="G3828" i="1"/>
  <c r="F3828" i="1"/>
  <c r="E3828" i="1"/>
  <c r="D3828" i="1"/>
  <c r="C3828" i="1"/>
  <c r="A3828" i="1"/>
  <c r="R3827" i="1"/>
  <c r="Q3827" i="1"/>
  <c r="N3827" i="1"/>
  <c r="J3827" i="1"/>
  <c r="I3827" i="1"/>
  <c r="H3827" i="1"/>
  <c r="G3827" i="1"/>
  <c r="F3827" i="1"/>
  <c r="E3827" i="1"/>
  <c r="D3827" i="1"/>
  <c r="C3827" i="1"/>
  <c r="A3827" i="1"/>
  <c r="R3826" i="1"/>
  <c r="Q3826" i="1"/>
  <c r="N3826" i="1"/>
  <c r="J3826" i="1"/>
  <c r="I3826" i="1"/>
  <c r="H3826" i="1"/>
  <c r="G3826" i="1"/>
  <c r="F3826" i="1"/>
  <c r="E3826" i="1"/>
  <c r="D3826" i="1"/>
  <c r="C3826" i="1"/>
  <c r="A3826" i="1"/>
  <c r="R3825" i="1"/>
  <c r="Q3825" i="1"/>
  <c r="N3825" i="1"/>
  <c r="J3825" i="1"/>
  <c r="I3825" i="1"/>
  <c r="H3825" i="1"/>
  <c r="G3825" i="1"/>
  <c r="F3825" i="1"/>
  <c r="E3825" i="1"/>
  <c r="D3825" i="1"/>
  <c r="C3825" i="1"/>
  <c r="A3825" i="1"/>
  <c r="R3824" i="1"/>
  <c r="Q3824" i="1"/>
  <c r="N3824" i="1"/>
  <c r="J3824" i="1"/>
  <c r="I3824" i="1"/>
  <c r="H3824" i="1"/>
  <c r="G3824" i="1"/>
  <c r="F3824" i="1"/>
  <c r="E3824" i="1"/>
  <c r="D3824" i="1"/>
  <c r="C3824" i="1"/>
  <c r="A3824" i="1"/>
  <c r="R3823" i="1"/>
  <c r="Q3823" i="1"/>
  <c r="N3823" i="1"/>
  <c r="J3823" i="1"/>
  <c r="I3823" i="1"/>
  <c r="H3823" i="1"/>
  <c r="G3823" i="1"/>
  <c r="F3823" i="1"/>
  <c r="E3823" i="1"/>
  <c r="D3823" i="1"/>
  <c r="C3823" i="1"/>
  <c r="A3823" i="1"/>
  <c r="R3822" i="1"/>
  <c r="Q3822" i="1"/>
  <c r="N3822" i="1"/>
  <c r="J3822" i="1"/>
  <c r="I3822" i="1"/>
  <c r="H3822" i="1"/>
  <c r="G3822" i="1"/>
  <c r="F3822" i="1"/>
  <c r="E3822" i="1"/>
  <c r="D3822" i="1"/>
  <c r="C3822" i="1"/>
  <c r="A3822" i="1"/>
  <c r="R3821" i="1"/>
  <c r="Q3821" i="1"/>
  <c r="N3821" i="1"/>
  <c r="J3821" i="1"/>
  <c r="I3821" i="1"/>
  <c r="H3821" i="1"/>
  <c r="G3821" i="1"/>
  <c r="F3821" i="1"/>
  <c r="E3821" i="1"/>
  <c r="D3821" i="1"/>
  <c r="C3821" i="1"/>
  <c r="A3821" i="1"/>
  <c r="R3820" i="1"/>
  <c r="Q3820" i="1"/>
  <c r="N3820" i="1"/>
  <c r="J3820" i="1"/>
  <c r="I3820" i="1"/>
  <c r="H3820" i="1"/>
  <c r="G3820" i="1"/>
  <c r="F3820" i="1"/>
  <c r="E3820" i="1"/>
  <c r="D3820" i="1"/>
  <c r="C3820" i="1"/>
  <c r="A3820" i="1"/>
  <c r="R3819" i="1"/>
  <c r="N3819" i="1"/>
  <c r="J3819" i="1"/>
  <c r="I3819" i="1"/>
  <c r="H3819" i="1"/>
  <c r="G3819" i="1"/>
  <c r="F3819" i="1"/>
  <c r="E3819" i="1"/>
  <c r="D3819" i="1"/>
  <c r="C3819" i="1"/>
  <c r="B3819" i="1"/>
  <c r="A3819" i="1"/>
  <c r="R3818" i="1"/>
  <c r="Q3818" i="1"/>
  <c r="N3818" i="1"/>
  <c r="J3818" i="1"/>
  <c r="I3818" i="1"/>
  <c r="H3818" i="1"/>
  <c r="G3818" i="1"/>
  <c r="F3818" i="1"/>
  <c r="E3818" i="1"/>
  <c r="D3818" i="1"/>
  <c r="C3818" i="1"/>
  <c r="B3818" i="1"/>
  <c r="A3818" i="1"/>
  <c r="R3817" i="1"/>
  <c r="N3817" i="1"/>
  <c r="J3817" i="1"/>
  <c r="I3817" i="1"/>
  <c r="H3817" i="1"/>
  <c r="G3817" i="1"/>
  <c r="F3817" i="1"/>
  <c r="E3817" i="1"/>
  <c r="D3817" i="1"/>
  <c r="C3817" i="1"/>
  <c r="B3817" i="1"/>
  <c r="A3817" i="1"/>
  <c r="R3816" i="1"/>
  <c r="Q3816" i="1"/>
  <c r="N3816" i="1"/>
  <c r="J3816" i="1"/>
  <c r="I3816" i="1"/>
  <c r="H3816" i="1"/>
  <c r="G3816" i="1"/>
  <c r="F3816" i="1"/>
  <c r="E3816" i="1"/>
  <c r="D3816" i="1"/>
  <c r="C3816" i="1"/>
  <c r="B3816" i="1"/>
  <c r="A3816" i="1"/>
  <c r="R3815" i="1"/>
  <c r="N3815" i="1"/>
  <c r="J3815" i="1"/>
  <c r="I3815" i="1"/>
  <c r="H3815" i="1"/>
  <c r="G3815" i="1"/>
  <c r="F3815" i="1"/>
  <c r="E3815" i="1"/>
  <c r="D3815" i="1"/>
  <c r="C3815" i="1"/>
  <c r="B3815" i="1"/>
  <c r="A3815" i="1"/>
  <c r="R3814" i="1"/>
  <c r="N3814" i="1"/>
  <c r="J3814" i="1"/>
  <c r="I3814" i="1"/>
  <c r="H3814" i="1"/>
  <c r="G3814" i="1"/>
  <c r="F3814" i="1"/>
  <c r="E3814" i="1"/>
  <c r="D3814" i="1"/>
  <c r="C3814" i="1"/>
  <c r="B3814" i="1"/>
  <c r="A3814" i="1"/>
  <c r="R3813" i="1"/>
  <c r="N3813" i="1"/>
  <c r="J3813" i="1"/>
  <c r="I3813" i="1"/>
  <c r="H3813" i="1"/>
  <c r="G3813" i="1"/>
  <c r="F3813" i="1"/>
  <c r="E3813" i="1"/>
  <c r="D3813" i="1"/>
  <c r="C3813" i="1"/>
  <c r="B3813" i="1"/>
  <c r="A3813" i="1"/>
  <c r="R3812" i="1"/>
  <c r="N3812" i="1"/>
  <c r="J3812" i="1"/>
  <c r="I3812" i="1"/>
  <c r="H3812" i="1"/>
  <c r="G3812" i="1"/>
  <c r="F3812" i="1"/>
  <c r="E3812" i="1"/>
  <c r="D3812" i="1"/>
  <c r="C3812" i="1"/>
  <c r="B3812" i="1"/>
  <c r="A3812" i="1"/>
  <c r="R3811" i="1"/>
  <c r="N3811" i="1"/>
  <c r="J3811" i="1"/>
  <c r="I3811" i="1"/>
  <c r="H3811" i="1"/>
  <c r="G3811" i="1"/>
  <c r="F3811" i="1"/>
  <c r="E3811" i="1"/>
  <c r="D3811" i="1"/>
  <c r="C3811" i="1"/>
  <c r="B3811" i="1"/>
  <c r="A3811" i="1"/>
  <c r="R3810" i="1"/>
  <c r="N3810" i="1"/>
  <c r="J3810" i="1"/>
  <c r="I3810" i="1"/>
  <c r="H3810" i="1"/>
  <c r="G3810" i="1"/>
  <c r="F3810" i="1"/>
  <c r="E3810" i="1"/>
  <c r="D3810" i="1"/>
  <c r="C3810" i="1"/>
  <c r="B3810" i="1"/>
  <c r="A3810" i="1"/>
  <c r="R3809" i="1"/>
  <c r="N3809" i="1"/>
  <c r="J3809" i="1"/>
  <c r="I3809" i="1"/>
  <c r="H3809" i="1"/>
  <c r="G3809" i="1"/>
  <c r="F3809" i="1"/>
  <c r="E3809" i="1"/>
  <c r="D3809" i="1"/>
  <c r="C3809" i="1"/>
  <c r="B3809" i="1"/>
  <c r="A3809" i="1"/>
  <c r="R3808" i="1"/>
  <c r="Q3808" i="1"/>
  <c r="N3808" i="1"/>
  <c r="J3808" i="1"/>
  <c r="I3808" i="1"/>
  <c r="H3808" i="1"/>
  <c r="G3808" i="1"/>
  <c r="F3808" i="1"/>
  <c r="E3808" i="1"/>
  <c r="D3808" i="1"/>
  <c r="C3808" i="1"/>
  <c r="A3808" i="1"/>
  <c r="R3807" i="1"/>
  <c r="N3807" i="1"/>
  <c r="J3807" i="1"/>
  <c r="I3807" i="1"/>
  <c r="H3807" i="1"/>
  <c r="G3807" i="1"/>
  <c r="F3807" i="1"/>
  <c r="E3807" i="1"/>
  <c r="D3807" i="1"/>
  <c r="C3807" i="1"/>
  <c r="A3807" i="1"/>
  <c r="R3806" i="1"/>
  <c r="Q3806" i="1"/>
  <c r="N3806" i="1"/>
  <c r="J3806" i="1"/>
  <c r="I3806" i="1"/>
  <c r="H3806" i="1"/>
  <c r="G3806" i="1"/>
  <c r="F3806" i="1"/>
  <c r="E3806" i="1"/>
  <c r="D3806" i="1"/>
  <c r="C3806" i="1"/>
  <c r="A3806" i="1"/>
  <c r="R3805" i="1"/>
  <c r="N3805" i="1"/>
  <c r="J3805" i="1"/>
  <c r="I3805" i="1"/>
  <c r="H3805" i="1"/>
  <c r="G3805" i="1"/>
  <c r="F3805" i="1"/>
  <c r="E3805" i="1"/>
  <c r="D3805" i="1"/>
  <c r="C3805" i="1"/>
  <c r="B3805" i="1"/>
  <c r="A3805" i="1"/>
  <c r="R3804" i="1"/>
  <c r="N3804" i="1"/>
  <c r="J3804" i="1"/>
  <c r="I3804" i="1"/>
  <c r="H3804" i="1"/>
  <c r="G3804" i="1"/>
  <c r="F3804" i="1"/>
  <c r="E3804" i="1"/>
  <c r="D3804" i="1"/>
  <c r="C3804" i="1"/>
  <c r="B3804" i="1"/>
  <c r="A3804" i="1"/>
  <c r="R3803" i="1"/>
  <c r="Q3803" i="1"/>
  <c r="N3803" i="1"/>
  <c r="J3803" i="1"/>
  <c r="I3803" i="1"/>
  <c r="H3803" i="1"/>
  <c r="G3803" i="1"/>
  <c r="F3803" i="1"/>
  <c r="E3803" i="1"/>
  <c r="D3803" i="1"/>
  <c r="C3803" i="1"/>
  <c r="A3803" i="1"/>
  <c r="R3802" i="1"/>
  <c r="N3802" i="1"/>
  <c r="J3802" i="1"/>
  <c r="I3802" i="1"/>
  <c r="H3802" i="1"/>
  <c r="G3802" i="1"/>
  <c r="F3802" i="1"/>
  <c r="E3802" i="1"/>
  <c r="D3802" i="1"/>
  <c r="C3802" i="1"/>
  <c r="A3802" i="1"/>
  <c r="R3801" i="1"/>
  <c r="Q3801" i="1"/>
  <c r="N3801" i="1"/>
  <c r="J3801" i="1"/>
  <c r="I3801" i="1"/>
  <c r="H3801" i="1"/>
  <c r="G3801" i="1"/>
  <c r="F3801" i="1"/>
  <c r="E3801" i="1"/>
  <c r="D3801" i="1"/>
  <c r="C3801" i="1"/>
  <c r="A3801" i="1"/>
  <c r="R3800" i="1"/>
  <c r="N3800" i="1"/>
  <c r="J3800" i="1"/>
  <c r="I3800" i="1"/>
  <c r="H3800" i="1"/>
  <c r="G3800" i="1"/>
  <c r="F3800" i="1"/>
  <c r="E3800" i="1"/>
  <c r="D3800" i="1"/>
  <c r="C3800" i="1"/>
  <c r="A3800" i="1"/>
  <c r="R3799" i="1"/>
  <c r="Q3799" i="1"/>
  <c r="N3799" i="1"/>
  <c r="J3799" i="1"/>
  <c r="I3799" i="1"/>
  <c r="H3799" i="1"/>
  <c r="G3799" i="1"/>
  <c r="F3799" i="1"/>
  <c r="E3799" i="1"/>
  <c r="D3799" i="1"/>
  <c r="C3799" i="1"/>
  <c r="A3799" i="1"/>
  <c r="R3798" i="1"/>
  <c r="N3798" i="1"/>
  <c r="J3798" i="1"/>
  <c r="I3798" i="1"/>
  <c r="H3798" i="1"/>
  <c r="G3798" i="1"/>
  <c r="F3798" i="1"/>
  <c r="E3798" i="1"/>
  <c r="D3798" i="1"/>
  <c r="C3798" i="1"/>
  <c r="A3798" i="1"/>
  <c r="R3797" i="1"/>
  <c r="Q3797" i="1"/>
  <c r="N3797" i="1"/>
  <c r="J3797" i="1"/>
  <c r="I3797" i="1"/>
  <c r="H3797" i="1"/>
  <c r="G3797" i="1"/>
  <c r="F3797" i="1"/>
  <c r="E3797" i="1"/>
  <c r="D3797" i="1"/>
  <c r="C3797" i="1"/>
  <c r="A3797" i="1"/>
  <c r="R3796" i="1"/>
  <c r="N3796" i="1"/>
  <c r="J3796" i="1"/>
  <c r="I3796" i="1"/>
  <c r="H3796" i="1"/>
  <c r="G3796" i="1"/>
  <c r="F3796" i="1"/>
  <c r="E3796" i="1"/>
  <c r="D3796" i="1"/>
  <c r="C3796" i="1"/>
  <c r="B3796" i="1"/>
  <c r="A3796" i="1"/>
  <c r="R3795" i="1"/>
  <c r="N3795" i="1"/>
  <c r="J3795" i="1"/>
  <c r="I3795" i="1"/>
  <c r="H3795" i="1"/>
  <c r="G3795" i="1"/>
  <c r="F3795" i="1"/>
  <c r="E3795" i="1"/>
  <c r="D3795" i="1"/>
  <c r="C3795" i="1"/>
  <c r="B3795" i="1"/>
  <c r="A3795" i="1"/>
  <c r="R3794" i="1"/>
  <c r="N3794" i="1"/>
  <c r="J3794" i="1"/>
  <c r="I3794" i="1"/>
  <c r="H3794" i="1"/>
  <c r="G3794" i="1"/>
  <c r="F3794" i="1"/>
  <c r="E3794" i="1"/>
  <c r="D3794" i="1"/>
  <c r="C3794" i="1"/>
  <c r="B3794" i="1"/>
  <c r="A3794" i="1"/>
  <c r="R3793" i="1"/>
  <c r="N3793" i="1"/>
  <c r="J3793" i="1"/>
  <c r="I3793" i="1"/>
  <c r="H3793" i="1"/>
  <c r="G3793" i="1"/>
  <c r="F3793" i="1"/>
  <c r="E3793" i="1"/>
  <c r="D3793" i="1"/>
  <c r="C3793" i="1"/>
  <c r="B3793" i="1"/>
  <c r="A3793" i="1"/>
  <c r="R3792" i="1"/>
  <c r="N3792" i="1"/>
  <c r="J3792" i="1"/>
  <c r="I3792" i="1"/>
  <c r="H3792" i="1"/>
  <c r="G3792" i="1"/>
  <c r="F3792" i="1"/>
  <c r="E3792" i="1"/>
  <c r="D3792" i="1"/>
  <c r="C3792" i="1"/>
  <c r="B3792" i="1"/>
  <c r="A3792" i="1"/>
  <c r="R3791" i="1"/>
  <c r="N3791" i="1"/>
  <c r="J3791" i="1"/>
  <c r="I3791" i="1"/>
  <c r="H3791" i="1"/>
  <c r="G3791" i="1"/>
  <c r="F3791" i="1"/>
  <c r="E3791" i="1"/>
  <c r="D3791" i="1"/>
  <c r="C3791" i="1"/>
  <c r="B3791" i="1"/>
  <c r="A3791" i="1"/>
  <c r="R3790" i="1"/>
  <c r="N3790" i="1"/>
  <c r="J3790" i="1"/>
  <c r="I3790" i="1"/>
  <c r="H3790" i="1"/>
  <c r="G3790" i="1"/>
  <c r="F3790" i="1"/>
  <c r="E3790" i="1"/>
  <c r="D3790" i="1"/>
  <c r="C3790" i="1"/>
  <c r="B3790" i="1"/>
  <c r="A3790" i="1"/>
  <c r="R3789" i="1"/>
  <c r="N3789" i="1"/>
  <c r="J3789" i="1"/>
  <c r="I3789" i="1"/>
  <c r="H3789" i="1"/>
  <c r="G3789" i="1"/>
  <c r="F3789" i="1"/>
  <c r="E3789" i="1"/>
  <c r="D3789" i="1"/>
  <c r="C3789" i="1"/>
  <c r="B3789" i="1"/>
  <c r="A3789" i="1"/>
  <c r="R3788" i="1"/>
  <c r="N3788" i="1"/>
  <c r="J3788" i="1"/>
  <c r="I3788" i="1"/>
  <c r="H3788" i="1"/>
  <c r="G3788" i="1"/>
  <c r="F3788" i="1"/>
  <c r="E3788" i="1"/>
  <c r="D3788" i="1"/>
  <c r="C3788" i="1"/>
  <c r="B3788" i="1"/>
  <c r="A3788" i="1"/>
  <c r="R3787" i="1"/>
  <c r="N3787" i="1"/>
  <c r="J3787" i="1"/>
  <c r="I3787" i="1"/>
  <c r="H3787" i="1"/>
  <c r="G3787" i="1"/>
  <c r="F3787" i="1"/>
  <c r="E3787" i="1"/>
  <c r="D3787" i="1"/>
  <c r="C3787" i="1"/>
  <c r="B3787" i="1"/>
  <c r="A3787" i="1"/>
  <c r="R3786" i="1"/>
  <c r="N3786" i="1"/>
  <c r="J3786" i="1"/>
  <c r="I3786" i="1"/>
  <c r="H3786" i="1"/>
  <c r="G3786" i="1"/>
  <c r="F3786" i="1"/>
  <c r="E3786" i="1"/>
  <c r="D3786" i="1"/>
  <c r="C3786" i="1"/>
  <c r="B3786" i="1"/>
  <c r="A3786" i="1"/>
  <c r="R3785" i="1"/>
  <c r="N3785" i="1"/>
  <c r="J3785" i="1"/>
  <c r="I3785" i="1"/>
  <c r="H3785" i="1"/>
  <c r="G3785" i="1"/>
  <c r="F3785" i="1"/>
  <c r="E3785" i="1"/>
  <c r="D3785" i="1"/>
  <c r="C3785" i="1"/>
  <c r="B3785" i="1"/>
  <c r="A3785" i="1"/>
  <c r="R3784" i="1"/>
  <c r="N3784" i="1"/>
  <c r="J3784" i="1"/>
  <c r="I3784" i="1"/>
  <c r="H3784" i="1"/>
  <c r="G3784" i="1"/>
  <c r="F3784" i="1"/>
  <c r="E3784" i="1"/>
  <c r="D3784" i="1"/>
  <c r="C3784" i="1"/>
  <c r="B3784" i="1"/>
  <c r="A3784" i="1"/>
  <c r="R3783" i="1"/>
  <c r="N3783" i="1"/>
  <c r="J3783" i="1"/>
  <c r="I3783" i="1"/>
  <c r="H3783" i="1"/>
  <c r="G3783" i="1"/>
  <c r="F3783" i="1"/>
  <c r="E3783" i="1"/>
  <c r="D3783" i="1"/>
  <c r="C3783" i="1"/>
  <c r="B3783" i="1"/>
  <c r="A3783" i="1"/>
  <c r="R3782" i="1"/>
  <c r="N3782" i="1"/>
  <c r="J3782" i="1"/>
  <c r="I3782" i="1"/>
  <c r="H3782" i="1"/>
  <c r="G3782" i="1"/>
  <c r="F3782" i="1"/>
  <c r="E3782" i="1"/>
  <c r="D3782" i="1"/>
  <c r="C3782" i="1"/>
  <c r="B3782" i="1"/>
  <c r="A3782" i="1"/>
  <c r="R3781" i="1"/>
  <c r="Q3781" i="1"/>
  <c r="N3781" i="1"/>
  <c r="J3781" i="1"/>
  <c r="I3781" i="1"/>
  <c r="H3781" i="1"/>
  <c r="G3781" i="1"/>
  <c r="F3781" i="1"/>
  <c r="E3781" i="1"/>
  <c r="D3781" i="1"/>
  <c r="C3781" i="1"/>
  <c r="A3781" i="1"/>
  <c r="R3780" i="1"/>
  <c r="N3780" i="1"/>
  <c r="J3780" i="1"/>
  <c r="I3780" i="1"/>
  <c r="H3780" i="1"/>
  <c r="G3780" i="1"/>
  <c r="F3780" i="1"/>
  <c r="E3780" i="1"/>
  <c r="D3780" i="1"/>
  <c r="C3780" i="1"/>
  <c r="A3780" i="1"/>
  <c r="R3779" i="1"/>
  <c r="Q3779" i="1"/>
  <c r="N3779" i="1"/>
  <c r="J3779" i="1"/>
  <c r="I3779" i="1"/>
  <c r="H3779" i="1"/>
  <c r="G3779" i="1"/>
  <c r="F3779" i="1"/>
  <c r="E3779" i="1"/>
  <c r="D3779" i="1"/>
  <c r="C3779" i="1"/>
  <c r="A3779" i="1"/>
  <c r="R3778" i="1"/>
  <c r="N3778" i="1"/>
  <c r="J3778" i="1"/>
  <c r="I3778" i="1"/>
  <c r="H3778" i="1"/>
  <c r="G3778" i="1"/>
  <c r="F3778" i="1"/>
  <c r="E3778" i="1"/>
  <c r="D3778" i="1"/>
  <c r="C3778" i="1"/>
  <c r="A3778" i="1"/>
  <c r="R3777" i="1"/>
  <c r="Q3777" i="1"/>
  <c r="N3777" i="1"/>
  <c r="J3777" i="1"/>
  <c r="I3777" i="1"/>
  <c r="H3777" i="1"/>
  <c r="G3777" i="1"/>
  <c r="F3777" i="1"/>
  <c r="E3777" i="1"/>
  <c r="D3777" i="1"/>
  <c r="C3777" i="1"/>
  <c r="A3777" i="1"/>
  <c r="R3776" i="1"/>
  <c r="N3776" i="1"/>
  <c r="J3776" i="1"/>
  <c r="I3776" i="1"/>
  <c r="H3776" i="1"/>
  <c r="G3776" i="1"/>
  <c r="F3776" i="1"/>
  <c r="E3776" i="1"/>
  <c r="D3776" i="1"/>
  <c r="C3776" i="1"/>
  <c r="A3776" i="1"/>
  <c r="R3775" i="1"/>
  <c r="Q3775" i="1"/>
  <c r="N3775" i="1"/>
  <c r="J3775" i="1"/>
  <c r="I3775" i="1"/>
  <c r="H3775" i="1"/>
  <c r="G3775" i="1"/>
  <c r="F3775" i="1"/>
  <c r="E3775" i="1"/>
  <c r="D3775" i="1"/>
  <c r="C3775" i="1"/>
  <c r="A3775" i="1"/>
  <c r="R3774" i="1"/>
  <c r="N3774" i="1"/>
  <c r="J3774" i="1"/>
  <c r="I3774" i="1"/>
  <c r="H3774" i="1"/>
  <c r="G3774" i="1"/>
  <c r="F3774" i="1"/>
  <c r="E3774" i="1"/>
  <c r="D3774" i="1"/>
  <c r="C3774" i="1"/>
  <c r="A3774" i="1"/>
  <c r="R3773" i="1"/>
  <c r="Q3773" i="1"/>
  <c r="N3773" i="1"/>
  <c r="J3773" i="1"/>
  <c r="I3773" i="1"/>
  <c r="H3773" i="1"/>
  <c r="G3773" i="1"/>
  <c r="F3773" i="1"/>
  <c r="E3773" i="1"/>
  <c r="D3773" i="1"/>
  <c r="C3773" i="1"/>
  <c r="A3773" i="1"/>
  <c r="R3772" i="1"/>
  <c r="N3772" i="1"/>
  <c r="J3772" i="1"/>
  <c r="I3772" i="1"/>
  <c r="H3772" i="1"/>
  <c r="G3772" i="1"/>
  <c r="F3772" i="1"/>
  <c r="E3772" i="1"/>
  <c r="D3772" i="1"/>
  <c r="C3772" i="1"/>
  <c r="A3772" i="1"/>
  <c r="R3771" i="1"/>
  <c r="Q3771" i="1"/>
  <c r="N3771" i="1"/>
  <c r="J3771" i="1"/>
  <c r="I3771" i="1"/>
  <c r="H3771" i="1"/>
  <c r="G3771" i="1"/>
  <c r="F3771" i="1"/>
  <c r="E3771" i="1"/>
  <c r="D3771" i="1"/>
  <c r="C3771" i="1"/>
  <c r="A3771" i="1"/>
  <c r="R3770" i="1"/>
  <c r="N3770" i="1"/>
  <c r="J3770" i="1"/>
  <c r="I3770" i="1"/>
  <c r="H3770" i="1"/>
  <c r="G3770" i="1"/>
  <c r="F3770" i="1"/>
  <c r="E3770" i="1"/>
  <c r="D3770" i="1"/>
  <c r="C3770" i="1"/>
  <c r="A3770" i="1"/>
  <c r="R3769" i="1"/>
  <c r="Q3769" i="1"/>
  <c r="N3769" i="1"/>
  <c r="J3769" i="1"/>
  <c r="I3769" i="1"/>
  <c r="H3769" i="1"/>
  <c r="G3769" i="1"/>
  <c r="F3769" i="1"/>
  <c r="E3769" i="1"/>
  <c r="D3769" i="1"/>
  <c r="C3769" i="1"/>
  <c r="A3769" i="1"/>
  <c r="R3768" i="1"/>
  <c r="N3768" i="1"/>
  <c r="J3768" i="1"/>
  <c r="I3768" i="1"/>
  <c r="H3768" i="1"/>
  <c r="G3768" i="1"/>
  <c r="F3768" i="1"/>
  <c r="E3768" i="1"/>
  <c r="D3768" i="1"/>
  <c r="C3768" i="1"/>
  <c r="A3768" i="1"/>
  <c r="R3767" i="1"/>
  <c r="Q3767" i="1"/>
  <c r="N3767" i="1"/>
  <c r="J3767" i="1"/>
  <c r="I3767" i="1"/>
  <c r="H3767" i="1"/>
  <c r="G3767" i="1"/>
  <c r="F3767" i="1"/>
  <c r="E3767" i="1"/>
  <c r="D3767" i="1"/>
  <c r="C3767" i="1"/>
  <c r="A3767" i="1"/>
  <c r="R3766" i="1"/>
  <c r="N3766" i="1"/>
  <c r="J3766" i="1"/>
  <c r="I3766" i="1"/>
  <c r="H3766" i="1"/>
  <c r="G3766" i="1"/>
  <c r="F3766" i="1"/>
  <c r="E3766" i="1"/>
  <c r="D3766" i="1"/>
  <c r="C3766" i="1"/>
  <c r="A3766" i="1"/>
  <c r="R3765" i="1"/>
  <c r="Q3765" i="1"/>
  <c r="N3765" i="1"/>
  <c r="J3765" i="1"/>
  <c r="I3765" i="1"/>
  <c r="H3765" i="1"/>
  <c r="G3765" i="1"/>
  <c r="F3765" i="1"/>
  <c r="E3765" i="1"/>
  <c r="D3765" i="1"/>
  <c r="C3765" i="1"/>
  <c r="A3765" i="1"/>
  <c r="R3764" i="1"/>
  <c r="Q3764" i="1"/>
  <c r="N3764" i="1"/>
  <c r="J3764" i="1"/>
  <c r="I3764" i="1"/>
  <c r="H3764" i="1"/>
  <c r="G3764" i="1"/>
  <c r="F3764" i="1"/>
  <c r="E3764" i="1"/>
  <c r="D3764" i="1"/>
  <c r="C3764" i="1"/>
  <c r="A3764" i="1"/>
  <c r="R3763" i="1"/>
  <c r="Q3763" i="1"/>
  <c r="N3763" i="1"/>
  <c r="J3763" i="1"/>
  <c r="I3763" i="1"/>
  <c r="H3763" i="1"/>
  <c r="G3763" i="1"/>
  <c r="F3763" i="1"/>
  <c r="E3763" i="1"/>
  <c r="D3763" i="1"/>
  <c r="C3763" i="1"/>
  <c r="A3763" i="1"/>
  <c r="R3762" i="1"/>
  <c r="N3762" i="1"/>
  <c r="J3762" i="1"/>
  <c r="I3762" i="1"/>
  <c r="H3762" i="1"/>
  <c r="G3762" i="1"/>
  <c r="F3762" i="1"/>
  <c r="E3762" i="1"/>
  <c r="D3762" i="1"/>
  <c r="C3762" i="1"/>
  <c r="A3762" i="1"/>
  <c r="R3761" i="1"/>
  <c r="Q3761" i="1"/>
  <c r="N3761" i="1"/>
  <c r="J3761" i="1"/>
  <c r="I3761" i="1"/>
  <c r="H3761" i="1"/>
  <c r="G3761" i="1"/>
  <c r="F3761" i="1"/>
  <c r="E3761" i="1"/>
  <c r="D3761" i="1"/>
  <c r="C3761" i="1"/>
  <c r="A3761" i="1"/>
  <c r="R3760" i="1"/>
  <c r="N3760" i="1"/>
  <c r="J3760" i="1"/>
  <c r="I3760" i="1"/>
  <c r="H3760" i="1"/>
  <c r="G3760" i="1"/>
  <c r="F3760" i="1"/>
  <c r="E3760" i="1"/>
  <c r="D3760" i="1"/>
  <c r="C3760" i="1"/>
  <c r="A3760" i="1"/>
  <c r="R3759" i="1"/>
  <c r="Q3759" i="1"/>
  <c r="N3759" i="1"/>
  <c r="J3759" i="1"/>
  <c r="I3759" i="1"/>
  <c r="H3759" i="1"/>
  <c r="G3759" i="1"/>
  <c r="F3759" i="1"/>
  <c r="E3759" i="1"/>
  <c r="D3759" i="1"/>
  <c r="C3759" i="1"/>
  <c r="A3759" i="1"/>
  <c r="R3758" i="1"/>
  <c r="N3758" i="1"/>
  <c r="J3758" i="1"/>
  <c r="I3758" i="1"/>
  <c r="H3758" i="1"/>
  <c r="G3758" i="1"/>
  <c r="F3758" i="1"/>
  <c r="E3758" i="1"/>
  <c r="D3758" i="1"/>
  <c r="C3758" i="1"/>
  <c r="A3758" i="1"/>
  <c r="R3757" i="1"/>
  <c r="Q3757" i="1"/>
  <c r="N3757" i="1"/>
  <c r="J3757" i="1"/>
  <c r="I3757" i="1"/>
  <c r="H3757" i="1"/>
  <c r="G3757" i="1"/>
  <c r="F3757" i="1"/>
  <c r="E3757" i="1"/>
  <c r="D3757" i="1"/>
  <c r="C3757" i="1"/>
  <c r="A3757" i="1"/>
  <c r="R3756" i="1"/>
  <c r="Q3756" i="1"/>
  <c r="N3756" i="1"/>
  <c r="J3756" i="1"/>
  <c r="I3756" i="1"/>
  <c r="H3756" i="1"/>
  <c r="G3756" i="1"/>
  <c r="F3756" i="1"/>
  <c r="E3756" i="1"/>
  <c r="D3756" i="1"/>
  <c r="C3756" i="1"/>
  <c r="A3756" i="1"/>
  <c r="R3755" i="1"/>
  <c r="N3755" i="1"/>
  <c r="J3755" i="1"/>
  <c r="I3755" i="1"/>
  <c r="H3755" i="1"/>
  <c r="G3755" i="1"/>
  <c r="F3755" i="1"/>
  <c r="E3755" i="1"/>
  <c r="D3755" i="1"/>
  <c r="C3755" i="1"/>
  <c r="A3755" i="1"/>
  <c r="R3754" i="1"/>
  <c r="Q3754" i="1"/>
  <c r="N3754" i="1"/>
  <c r="J3754" i="1"/>
  <c r="I3754" i="1"/>
  <c r="H3754" i="1"/>
  <c r="G3754" i="1"/>
  <c r="F3754" i="1"/>
  <c r="E3754" i="1"/>
  <c r="D3754" i="1"/>
  <c r="C3754" i="1"/>
  <c r="A3754" i="1"/>
  <c r="R3753" i="1"/>
  <c r="N3753" i="1"/>
  <c r="J3753" i="1"/>
  <c r="I3753" i="1"/>
  <c r="H3753" i="1"/>
  <c r="G3753" i="1"/>
  <c r="F3753" i="1"/>
  <c r="E3753" i="1"/>
  <c r="D3753" i="1"/>
  <c r="C3753" i="1"/>
  <c r="B3753" i="1"/>
  <c r="A3753" i="1"/>
  <c r="R3752" i="1"/>
  <c r="N3752" i="1"/>
  <c r="J3752" i="1"/>
  <c r="I3752" i="1"/>
  <c r="H3752" i="1"/>
  <c r="G3752" i="1"/>
  <c r="F3752" i="1"/>
  <c r="E3752" i="1"/>
  <c r="D3752" i="1"/>
  <c r="C3752" i="1"/>
  <c r="B3752" i="1"/>
  <c r="A3752" i="1"/>
  <c r="R3751" i="1"/>
  <c r="N3751" i="1"/>
  <c r="J3751" i="1"/>
  <c r="I3751" i="1"/>
  <c r="H3751" i="1"/>
  <c r="G3751" i="1"/>
  <c r="F3751" i="1"/>
  <c r="E3751" i="1"/>
  <c r="D3751" i="1"/>
  <c r="C3751" i="1"/>
  <c r="B3751" i="1"/>
  <c r="A3751" i="1"/>
  <c r="R3750" i="1"/>
  <c r="N3750" i="1"/>
  <c r="J3750" i="1"/>
  <c r="I3750" i="1"/>
  <c r="H3750" i="1"/>
  <c r="G3750" i="1"/>
  <c r="F3750" i="1"/>
  <c r="E3750" i="1"/>
  <c r="D3750" i="1"/>
  <c r="C3750" i="1"/>
  <c r="B3750" i="1"/>
  <c r="A3750" i="1"/>
  <c r="R3749" i="1"/>
  <c r="N3749" i="1"/>
  <c r="J3749" i="1"/>
  <c r="I3749" i="1"/>
  <c r="H3749" i="1"/>
  <c r="G3749" i="1"/>
  <c r="F3749" i="1"/>
  <c r="E3749" i="1"/>
  <c r="D3749" i="1"/>
  <c r="C3749" i="1"/>
  <c r="B3749" i="1"/>
  <c r="A3749" i="1"/>
  <c r="R3748" i="1"/>
  <c r="N3748" i="1"/>
  <c r="J3748" i="1"/>
  <c r="I3748" i="1"/>
  <c r="H3748" i="1"/>
  <c r="G3748" i="1"/>
  <c r="F3748" i="1"/>
  <c r="E3748" i="1"/>
  <c r="D3748" i="1"/>
  <c r="C3748" i="1"/>
  <c r="B3748" i="1"/>
  <c r="A3748" i="1"/>
  <c r="R3747" i="1"/>
  <c r="N3747" i="1"/>
  <c r="J3747" i="1"/>
  <c r="I3747" i="1"/>
  <c r="H3747" i="1"/>
  <c r="G3747" i="1"/>
  <c r="F3747" i="1"/>
  <c r="E3747" i="1"/>
  <c r="D3747" i="1"/>
  <c r="C3747" i="1"/>
  <c r="B3747" i="1"/>
  <c r="A3747" i="1"/>
  <c r="R3746" i="1"/>
  <c r="Q3746" i="1"/>
  <c r="N3746" i="1"/>
  <c r="J3746" i="1"/>
  <c r="I3746" i="1"/>
  <c r="H3746" i="1"/>
  <c r="G3746" i="1"/>
  <c r="F3746" i="1"/>
  <c r="E3746" i="1"/>
  <c r="D3746" i="1"/>
  <c r="C3746" i="1"/>
  <c r="B3746" i="1"/>
  <c r="A3746" i="1"/>
  <c r="R3745" i="1"/>
  <c r="N3745" i="1"/>
  <c r="J3745" i="1"/>
  <c r="I3745" i="1"/>
  <c r="H3745" i="1"/>
  <c r="G3745" i="1"/>
  <c r="F3745" i="1"/>
  <c r="E3745" i="1"/>
  <c r="D3745" i="1"/>
  <c r="C3745" i="1"/>
  <c r="B3745" i="1"/>
  <c r="A3745" i="1"/>
  <c r="R3744" i="1"/>
  <c r="Q3744" i="1"/>
  <c r="N3744" i="1"/>
  <c r="J3744" i="1"/>
  <c r="I3744" i="1"/>
  <c r="H3744" i="1"/>
  <c r="G3744" i="1"/>
  <c r="F3744" i="1"/>
  <c r="E3744" i="1"/>
  <c r="D3744" i="1"/>
  <c r="C3744" i="1"/>
  <c r="A3744" i="1"/>
  <c r="R3743" i="1"/>
  <c r="N3743" i="1"/>
  <c r="J3743" i="1"/>
  <c r="I3743" i="1"/>
  <c r="H3743" i="1"/>
  <c r="G3743" i="1"/>
  <c r="F3743" i="1"/>
  <c r="E3743" i="1"/>
  <c r="D3743" i="1"/>
  <c r="C3743" i="1"/>
  <c r="A3743" i="1"/>
  <c r="R3742" i="1"/>
  <c r="Q3742" i="1"/>
  <c r="N3742" i="1"/>
  <c r="J3742" i="1"/>
  <c r="I3742" i="1"/>
  <c r="H3742" i="1"/>
  <c r="G3742" i="1"/>
  <c r="F3742" i="1"/>
  <c r="E3742" i="1"/>
  <c r="D3742" i="1"/>
  <c r="C3742" i="1"/>
  <c r="A3742" i="1"/>
  <c r="R3741" i="1"/>
  <c r="N3741" i="1"/>
  <c r="J3741" i="1"/>
  <c r="I3741" i="1"/>
  <c r="H3741" i="1"/>
  <c r="G3741" i="1"/>
  <c r="F3741" i="1"/>
  <c r="E3741" i="1"/>
  <c r="D3741" i="1"/>
  <c r="C3741" i="1"/>
  <c r="A3741" i="1"/>
  <c r="R3740" i="1"/>
  <c r="Q3740" i="1"/>
  <c r="N3740" i="1"/>
  <c r="J3740" i="1"/>
  <c r="I3740" i="1"/>
  <c r="H3740" i="1"/>
  <c r="G3740" i="1"/>
  <c r="F3740" i="1"/>
  <c r="E3740" i="1"/>
  <c r="D3740" i="1"/>
  <c r="C3740" i="1"/>
  <c r="A3740" i="1"/>
  <c r="R3739" i="1"/>
  <c r="N3739" i="1"/>
  <c r="J3739" i="1"/>
  <c r="I3739" i="1"/>
  <c r="H3739" i="1"/>
  <c r="G3739" i="1"/>
  <c r="F3739" i="1"/>
  <c r="E3739" i="1"/>
  <c r="D3739" i="1"/>
  <c r="C3739" i="1"/>
  <c r="A3739" i="1"/>
  <c r="R3738" i="1"/>
  <c r="Q3738" i="1"/>
  <c r="N3738" i="1"/>
  <c r="J3738" i="1"/>
  <c r="I3738" i="1"/>
  <c r="H3738" i="1"/>
  <c r="G3738" i="1"/>
  <c r="F3738" i="1"/>
  <c r="E3738" i="1"/>
  <c r="D3738" i="1"/>
  <c r="C3738" i="1"/>
  <c r="A3738" i="1"/>
  <c r="R3737" i="1"/>
  <c r="N3737" i="1"/>
  <c r="J3737" i="1"/>
  <c r="I3737" i="1"/>
  <c r="H3737" i="1"/>
  <c r="G3737" i="1"/>
  <c r="F3737" i="1"/>
  <c r="E3737" i="1"/>
  <c r="D3737" i="1"/>
  <c r="C3737" i="1"/>
  <c r="A3737" i="1"/>
  <c r="R3736" i="1"/>
  <c r="Q3736" i="1"/>
  <c r="N3736" i="1"/>
  <c r="J3736" i="1"/>
  <c r="I3736" i="1"/>
  <c r="H3736" i="1"/>
  <c r="G3736" i="1"/>
  <c r="F3736" i="1"/>
  <c r="E3736" i="1"/>
  <c r="D3736" i="1"/>
  <c r="C3736" i="1"/>
  <c r="A3736" i="1"/>
  <c r="R3735" i="1"/>
  <c r="N3735" i="1"/>
  <c r="J3735" i="1"/>
  <c r="I3735" i="1"/>
  <c r="H3735" i="1"/>
  <c r="G3735" i="1"/>
  <c r="F3735" i="1"/>
  <c r="E3735" i="1"/>
  <c r="D3735" i="1"/>
  <c r="C3735" i="1"/>
  <c r="A3735" i="1"/>
  <c r="R3734" i="1"/>
  <c r="Q3734" i="1"/>
  <c r="N3734" i="1"/>
  <c r="J3734" i="1"/>
  <c r="I3734" i="1"/>
  <c r="H3734" i="1"/>
  <c r="G3734" i="1"/>
  <c r="F3734" i="1"/>
  <c r="E3734" i="1"/>
  <c r="D3734" i="1"/>
  <c r="C3734" i="1"/>
  <c r="A3734" i="1"/>
  <c r="R3733" i="1"/>
  <c r="N3733" i="1"/>
  <c r="J3733" i="1"/>
  <c r="I3733" i="1"/>
  <c r="H3733" i="1"/>
  <c r="G3733" i="1"/>
  <c r="F3733" i="1"/>
  <c r="E3733" i="1"/>
  <c r="D3733" i="1"/>
  <c r="C3733" i="1"/>
  <c r="A3733" i="1"/>
  <c r="R3732" i="1"/>
  <c r="Q3732" i="1"/>
  <c r="N3732" i="1"/>
  <c r="J3732" i="1"/>
  <c r="I3732" i="1"/>
  <c r="H3732" i="1"/>
  <c r="G3732" i="1"/>
  <c r="F3732" i="1"/>
  <c r="E3732" i="1"/>
  <c r="D3732" i="1"/>
  <c r="C3732" i="1"/>
  <c r="A3732" i="1"/>
  <c r="R3731" i="1"/>
  <c r="Q3731" i="1"/>
  <c r="N3731" i="1"/>
  <c r="J3731" i="1"/>
  <c r="I3731" i="1"/>
  <c r="H3731" i="1"/>
  <c r="G3731" i="1"/>
  <c r="F3731" i="1"/>
  <c r="E3731" i="1"/>
  <c r="D3731" i="1"/>
  <c r="C3731" i="1"/>
  <c r="A3731" i="1"/>
  <c r="R3730" i="1"/>
  <c r="Q3730" i="1"/>
  <c r="N3730" i="1"/>
  <c r="J3730" i="1"/>
  <c r="I3730" i="1"/>
  <c r="H3730" i="1"/>
  <c r="G3730" i="1"/>
  <c r="F3730" i="1"/>
  <c r="E3730" i="1"/>
  <c r="D3730" i="1"/>
  <c r="C3730" i="1"/>
  <c r="A3730" i="1"/>
  <c r="R3729" i="1"/>
  <c r="Q3729" i="1"/>
  <c r="N3729" i="1"/>
  <c r="J3729" i="1"/>
  <c r="I3729" i="1"/>
  <c r="H3729" i="1"/>
  <c r="G3729" i="1"/>
  <c r="F3729" i="1"/>
  <c r="E3729" i="1"/>
  <c r="D3729" i="1"/>
  <c r="C3729" i="1"/>
  <c r="A3729" i="1"/>
  <c r="R3728" i="1"/>
  <c r="Q3728" i="1"/>
  <c r="N3728" i="1"/>
  <c r="J3728" i="1"/>
  <c r="I3728" i="1"/>
  <c r="H3728" i="1"/>
  <c r="G3728" i="1"/>
  <c r="F3728" i="1"/>
  <c r="E3728" i="1"/>
  <c r="D3728" i="1"/>
  <c r="C3728" i="1"/>
  <c r="A3728" i="1"/>
  <c r="R3727" i="1"/>
  <c r="Q3727" i="1"/>
  <c r="N3727" i="1"/>
  <c r="J3727" i="1"/>
  <c r="I3727" i="1"/>
  <c r="H3727" i="1"/>
  <c r="G3727" i="1"/>
  <c r="F3727" i="1"/>
  <c r="E3727" i="1"/>
  <c r="D3727" i="1"/>
  <c r="C3727" i="1"/>
  <c r="A3727" i="1"/>
  <c r="R3726" i="1"/>
  <c r="Q3726" i="1"/>
  <c r="N3726" i="1"/>
  <c r="J3726" i="1"/>
  <c r="I3726" i="1"/>
  <c r="H3726" i="1"/>
  <c r="G3726" i="1"/>
  <c r="F3726" i="1"/>
  <c r="E3726" i="1"/>
  <c r="D3726" i="1"/>
  <c r="C3726" i="1"/>
  <c r="A3726" i="1"/>
  <c r="R3725" i="1"/>
  <c r="Q3725" i="1"/>
  <c r="N3725" i="1"/>
  <c r="J3725" i="1"/>
  <c r="I3725" i="1"/>
  <c r="H3725" i="1"/>
  <c r="G3725" i="1"/>
  <c r="F3725" i="1"/>
  <c r="E3725" i="1"/>
  <c r="D3725" i="1"/>
  <c r="C3725" i="1"/>
  <c r="A3725" i="1"/>
  <c r="R3724" i="1"/>
  <c r="Q3724" i="1"/>
  <c r="N3724" i="1"/>
  <c r="J3724" i="1"/>
  <c r="I3724" i="1"/>
  <c r="H3724" i="1"/>
  <c r="G3724" i="1"/>
  <c r="F3724" i="1"/>
  <c r="E3724" i="1"/>
  <c r="D3724" i="1"/>
  <c r="C3724" i="1"/>
  <c r="A3724" i="1"/>
  <c r="R3723" i="1"/>
  <c r="Q3723" i="1"/>
  <c r="N3723" i="1"/>
  <c r="J3723" i="1"/>
  <c r="I3723" i="1"/>
  <c r="H3723" i="1"/>
  <c r="G3723" i="1"/>
  <c r="F3723" i="1"/>
  <c r="E3723" i="1"/>
  <c r="D3723" i="1"/>
  <c r="C3723" i="1"/>
  <c r="A3723" i="1"/>
  <c r="R3722" i="1"/>
  <c r="Q3722" i="1"/>
  <c r="N3722" i="1"/>
  <c r="J3722" i="1"/>
  <c r="I3722" i="1"/>
  <c r="H3722" i="1"/>
  <c r="G3722" i="1"/>
  <c r="F3722" i="1"/>
  <c r="E3722" i="1"/>
  <c r="D3722" i="1"/>
  <c r="C3722" i="1"/>
  <c r="A3722" i="1"/>
  <c r="R3721" i="1"/>
  <c r="Q3721" i="1"/>
  <c r="N3721" i="1"/>
  <c r="J3721" i="1"/>
  <c r="I3721" i="1"/>
  <c r="H3721" i="1"/>
  <c r="G3721" i="1"/>
  <c r="F3721" i="1"/>
  <c r="E3721" i="1"/>
  <c r="D3721" i="1"/>
  <c r="C3721" i="1"/>
  <c r="A3721" i="1"/>
  <c r="R3720" i="1"/>
  <c r="Q3720" i="1"/>
  <c r="N3720" i="1"/>
  <c r="J3720" i="1"/>
  <c r="I3720" i="1"/>
  <c r="H3720" i="1"/>
  <c r="G3720" i="1"/>
  <c r="F3720" i="1"/>
  <c r="E3720" i="1"/>
  <c r="D3720" i="1"/>
  <c r="C3720" i="1"/>
  <c r="A3720" i="1"/>
  <c r="R3719" i="1"/>
  <c r="Q3719" i="1"/>
  <c r="N3719" i="1"/>
  <c r="J3719" i="1"/>
  <c r="I3719" i="1"/>
  <c r="H3719" i="1"/>
  <c r="G3719" i="1"/>
  <c r="F3719" i="1"/>
  <c r="E3719" i="1"/>
  <c r="D3719" i="1"/>
  <c r="C3719" i="1"/>
  <c r="A3719" i="1"/>
  <c r="R3718" i="1"/>
  <c r="Q3718" i="1"/>
  <c r="N3718" i="1"/>
  <c r="J3718" i="1"/>
  <c r="I3718" i="1"/>
  <c r="H3718" i="1"/>
  <c r="G3718" i="1"/>
  <c r="F3718" i="1"/>
  <c r="E3718" i="1"/>
  <c r="D3718" i="1"/>
  <c r="C3718" i="1"/>
  <c r="A3718" i="1"/>
  <c r="R3717" i="1"/>
  <c r="Q3717" i="1"/>
  <c r="N3717" i="1"/>
  <c r="J3717" i="1"/>
  <c r="I3717" i="1"/>
  <c r="H3717" i="1"/>
  <c r="G3717" i="1"/>
  <c r="F3717" i="1"/>
  <c r="E3717" i="1"/>
  <c r="D3717" i="1"/>
  <c r="C3717" i="1"/>
  <c r="A3717" i="1"/>
  <c r="R3716" i="1"/>
  <c r="Q3716" i="1"/>
  <c r="N3716" i="1"/>
  <c r="J3716" i="1"/>
  <c r="I3716" i="1"/>
  <c r="H3716" i="1"/>
  <c r="G3716" i="1"/>
  <c r="F3716" i="1"/>
  <c r="E3716" i="1"/>
  <c r="D3716" i="1"/>
  <c r="C3716" i="1"/>
  <c r="A3716" i="1"/>
  <c r="R3715" i="1"/>
  <c r="Q3715" i="1"/>
  <c r="N3715" i="1"/>
  <c r="J3715" i="1"/>
  <c r="I3715" i="1"/>
  <c r="H3715" i="1"/>
  <c r="G3715" i="1"/>
  <c r="F3715" i="1"/>
  <c r="E3715" i="1"/>
  <c r="D3715" i="1"/>
  <c r="C3715" i="1"/>
  <c r="A3715" i="1"/>
  <c r="R3714" i="1"/>
  <c r="Q3714" i="1"/>
  <c r="N3714" i="1"/>
  <c r="J3714" i="1"/>
  <c r="I3714" i="1"/>
  <c r="H3714" i="1"/>
  <c r="G3714" i="1"/>
  <c r="F3714" i="1"/>
  <c r="E3714" i="1"/>
  <c r="D3714" i="1"/>
  <c r="C3714" i="1"/>
  <c r="A3714" i="1"/>
  <c r="R3713" i="1"/>
  <c r="Q3713" i="1"/>
  <c r="N3713" i="1"/>
  <c r="J3713" i="1"/>
  <c r="I3713" i="1"/>
  <c r="H3713" i="1"/>
  <c r="G3713" i="1"/>
  <c r="F3713" i="1"/>
  <c r="E3713" i="1"/>
  <c r="D3713" i="1"/>
  <c r="C3713" i="1"/>
  <c r="A3713" i="1"/>
  <c r="R3712" i="1"/>
  <c r="Q3712" i="1"/>
  <c r="N3712" i="1"/>
  <c r="J3712" i="1"/>
  <c r="I3712" i="1"/>
  <c r="H3712" i="1"/>
  <c r="G3712" i="1"/>
  <c r="F3712" i="1"/>
  <c r="E3712" i="1"/>
  <c r="D3712" i="1"/>
  <c r="C3712" i="1"/>
  <c r="A3712" i="1"/>
  <c r="R3711" i="1"/>
  <c r="Q3711" i="1"/>
  <c r="N3711" i="1"/>
  <c r="J3711" i="1"/>
  <c r="I3711" i="1"/>
  <c r="H3711" i="1"/>
  <c r="G3711" i="1"/>
  <c r="F3711" i="1"/>
  <c r="E3711" i="1"/>
  <c r="D3711" i="1"/>
  <c r="C3711" i="1"/>
  <c r="A3711" i="1"/>
  <c r="R3710" i="1"/>
  <c r="Q3710" i="1"/>
  <c r="N3710" i="1"/>
  <c r="J3710" i="1"/>
  <c r="I3710" i="1"/>
  <c r="H3710" i="1"/>
  <c r="G3710" i="1"/>
  <c r="F3710" i="1"/>
  <c r="E3710" i="1"/>
  <c r="D3710" i="1"/>
  <c r="C3710" i="1"/>
  <c r="A3710" i="1"/>
  <c r="R3709" i="1"/>
  <c r="Q3709" i="1"/>
  <c r="N3709" i="1"/>
  <c r="J3709" i="1"/>
  <c r="I3709" i="1"/>
  <c r="H3709" i="1"/>
  <c r="G3709" i="1"/>
  <c r="F3709" i="1"/>
  <c r="E3709" i="1"/>
  <c r="D3709" i="1"/>
  <c r="C3709" i="1"/>
  <c r="A3709" i="1"/>
  <c r="R3708" i="1"/>
  <c r="Q3708" i="1"/>
  <c r="N3708" i="1"/>
  <c r="J3708" i="1"/>
  <c r="I3708" i="1"/>
  <c r="H3708" i="1"/>
  <c r="G3708" i="1"/>
  <c r="F3708" i="1"/>
  <c r="E3708" i="1"/>
  <c r="D3708" i="1"/>
  <c r="C3708" i="1"/>
  <c r="A3708" i="1"/>
  <c r="R3707" i="1"/>
  <c r="Q3707" i="1"/>
  <c r="N3707" i="1"/>
  <c r="J3707" i="1"/>
  <c r="I3707" i="1"/>
  <c r="H3707" i="1"/>
  <c r="G3707" i="1"/>
  <c r="F3707" i="1"/>
  <c r="E3707" i="1"/>
  <c r="D3707" i="1"/>
  <c r="C3707" i="1"/>
  <c r="A3707" i="1"/>
  <c r="R3706" i="1"/>
  <c r="Q3706" i="1"/>
  <c r="N3706" i="1"/>
  <c r="J3706" i="1"/>
  <c r="I3706" i="1"/>
  <c r="H3706" i="1"/>
  <c r="G3706" i="1"/>
  <c r="F3706" i="1"/>
  <c r="E3706" i="1"/>
  <c r="D3706" i="1"/>
  <c r="C3706" i="1"/>
  <c r="A3706" i="1"/>
  <c r="R3705" i="1"/>
  <c r="Q3705" i="1"/>
  <c r="N3705" i="1"/>
  <c r="J3705" i="1"/>
  <c r="I3705" i="1"/>
  <c r="H3705" i="1"/>
  <c r="G3705" i="1"/>
  <c r="F3705" i="1"/>
  <c r="E3705" i="1"/>
  <c r="D3705" i="1"/>
  <c r="C3705" i="1"/>
  <c r="A3705" i="1"/>
  <c r="R3704" i="1"/>
  <c r="Q3704" i="1"/>
  <c r="N3704" i="1"/>
  <c r="J3704" i="1"/>
  <c r="I3704" i="1"/>
  <c r="H3704" i="1"/>
  <c r="G3704" i="1"/>
  <c r="F3704" i="1"/>
  <c r="E3704" i="1"/>
  <c r="D3704" i="1"/>
  <c r="C3704" i="1"/>
  <c r="A3704" i="1"/>
  <c r="R3703" i="1"/>
  <c r="Q3703" i="1"/>
  <c r="N3703" i="1"/>
  <c r="J3703" i="1"/>
  <c r="I3703" i="1"/>
  <c r="H3703" i="1"/>
  <c r="G3703" i="1"/>
  <c r="F3703" i="1"/>
  <c r="E3703" i="1"/>
  <c r="D3703" i="1"/>
  <c r="C3703" i="1"/>
  <c r="A3703" i="1"/>
  <c r="R3702" i="1"/>
  <c r="Q3702" i="1"/>
  <c r="N3702" i="1"/>
  <c r="J3702" i="1"/>
  <c r="I3702" i="1"/>
  <c r="H3702" i="1"/>
  <c r="G3702" i="1"/>
  <c r="F3702" i="1"/>
  <c r="E3702" i="1"/>
  <c r="D3702" i="1"/>
  <c r="C3702" i="1"/>
  <c r="A3702" i="1"/>
  <c r="R3701" i="1"/>
  <c r="Q3701" i="1"/>
  <c r="N3701" i="1"/>
  <c r="J3701" i="1"/>
  <c r="I3701" i="1"/>
  <c r="H3701" i="1"/>
  <c r="G3701" i="1"/>
  <c r="F3701" i="1"/>
  <c r="E3701" i="1"/>
  <c r="D3701" i="1"/>
  <c r="C3701" i="1"/>
  <c r="A3701" i="1"/>
  <c r="R3700" i="1"/>
  <c r="Q3700" i="1"/>
  <c r="N3700" i="1"/>
  <c r="J3700" i="1"/>
  <c r="I3700" i="1"/>
  <c r="H3700" i="1"/>
  <c r="G3700" i="1"/>
  <c r="F3700" i="1"/>
  <c r="E3700" i="1"/>
  <c r="D3700" i="1"/>
  <c r="C3700" i="1"/>
  <c r="A3700" i="1"/>
  <c r="R3699" i="1"/>
  <c r="Q3699" i="1"/>
  <c r="N3699" i="1"/>
  <c r="J3699" i="1"/>
  <c r="I3699" i="1"/>
  <c r="H3699" i="1"/>
  <c r="G3699" i="1"/>
  <c r="F3699" i="1"/>
  <c r="E3699" i="1"/>
  <c r="D3699" i="1"/>
  <c r="C3699" i="1"/>
  <c r="A3699" i="1"/>
  <c r="R3698" i="1"/>
  <c r="Q3698" i="1"/>
  <c r="N3698" i="1"/>
  <c r="J3698" i="1"/>
  <c r="I3698" i="1"/>
  <c r="H3698" i="1"/>
  <c r="G3698" i="1"/>
  <c r="F3698" i="1"/>
  <c r="E3698" i="1"/>
  <c r="D3698" i="1"/>
  <c r="C3698" i="1"/>
  <c r="A3698" i="1"/>
  <c r="R3697" i="1"/>
  <c r="Q3697" i="1"/>
  <c r="N3697" i="1"/>
  <c r="J3697" i="1"/>
  <c r="I3697" i="1"/>
  <c r="H3697" i="1"/>
  <c r="G3697" i="1"/>
  <c r="F3697" i="1"/>
  <c r="E3697" i="1"/>
  <c r="D3697" i="1"/>
  <c r="C3697" i="1"/>
  <c r="A3697" i="1"/>
  <c r="R3696" i="1"/>
  <c r="Q3696" i="1"/>
  <c r="N3696" i="1"/>
  <c r="J3696" i="1"/>
  <c r="I3696" i="1"/>
  <c r="H3696" i="1"/>
  <c r="G3696" i="1"/>
  <c r="F3696" i="1"/>
  <c r="E3696" i="1"/>
  <c r="D3696" i="1"/>
  <c r="C3696" i="1"/>
  <c r="A3696" i="1"/>
  <c r="R3695" i="1"/>
  <c r="Q3695" i="1"/>
  <c r="N3695" i="1"/>
  <c r="J3695" i="1"/>
  <c r="I3695" i="1"/>
  <c r="H3695" i="1"/>
  <c r="G3695" i="1"/>
  <c r="F3695" i="1"/>
  <c r="E3695" i="1"/>
  <c r="D3695" i="1"/>
  <c r="C3695" i="1"/>
  <c r="A3695" i="1"/>
  <c r="R3694" i="1"/>
  <c r="Q3694" i="1"/>
  <c r="N3694" i="1"/>
  <c r="J3694" i="1"/>
  <c r="I3694" i="1"/>
  <c r="H3694" i="1"/>
  <c r="G3694" i="1"/>
  <c r="F3694" i="1"/>
  <c r="E3694" i="1"/>
  <c r="D3694" i="1"/>
  <c r="C3694" i="1"/>
  <c r="A3694" i="1"/>
  <c r="R3693" i="1"/>
  <c r="Q3693" i="1"/>
  <c r="N3693" i="1"/>
  <c r="J3693" i="1"/>
  <c r="I3693" i="1"/>
  <c r="H3693" i="1"/>
  <c r="G3693" i="1"/>
  <c r="F3693" i="1"/>
  <c r="E3693" i="1"/>
  <c r="D3693" i="1"/>
  <c r="C3693" i="1"/>
  <c r="A3693" i="1"/>
  <c r="R3692" i="1"/>
  <c r="Q3692" i="1"/>
  <c r="N3692" i="1"/>
  <c r="J3692" i="1"/>
  <c r="I3692" i="1"/>
  <c r="H3692" i="1"/>
  <c r="G3692" i="1"/>
  <c r="F3692" i="1"/>
  <c r="E3692" i="1"/>
  <c r="D3692" i="1"/>
  <c r="C3692" i="1"/>
  <c r="A3692" i="1"/>
  <c r="R3691" i="1"/>
  <c r="Q3691" i="1"/>
  <c r="N3691" i="1"/>
  <c r="J3691" i="1"/>
  <c r="I3691" i="1"/>
  <c r="H3691" i="1"/>
  <c r="G3691" i="1"/>
  <c r="F3691" i="1"/>
  <c r="E3691" i="1"/>
  <c r="D3691" i="1"/>
  <c r="C3691" i="1"/>
  <c r="A3691" i="1"/>
  <c r="R3690" i="1"/>
  <c r="Q3690" i="1"/>
  <c r="N3690" i="1"/>
  <c r="J3690" i="1"/>
  <c r="I3690" i="1"/>
  <c r="H3690" i="1"/>
  <c r="G3690" i="1"/>
  <c r="F3690" i="1"/>
  <c r="E3690" i="1"/>
  <c r="D3690" i="1"/>
  <c r="C3690" i="1"/>
  <c r="A3690" i="1"/>
  <c r="R3689" i="1"/>
  <c r="Q3689" i="1"/>
  <c r="N3689" i="1"/>
  <c r="J3689" i="1"/>
  <c r="I3689" i="1"/>
  <c r="H3689" i="1"/>
  <c r="G3689" i="1"/>
  <c r="F3689" i="1"/>
  <c r="E3689" i="1"/>
  <c r="D3689" i="1"/>
  <c r="C3689" i="1"/>
  <c r="A3689" i="1"/>
  <c r="R3688" i="1"/>
  <c r="Q3688" i="1"/>
  <c r="N3688" i="1"/>
  <c r="J3688" i="1"/>
  <c r="I3688" i="1"/>
  <c r="H3688" i="1"/>
  <c r="G3688" i="1"/>
  <c r="F3688" i="1"/>
  <c r="E3688" i="1"/>
  <c r="D3688" i="1"/>
  <c r="C3688" i="1"/>
  <c r="A3688" i="1"/>
  <c r="R3687" i="1"/>
  <c r="N3687" i="1"/>
  <c r="J3687" i="1"/>
  <c r="I3687" i="1"/>
  <c r="H3687" i="1"/>
  <c r="G3687" i="1"/>
  <c r="F3687" i="1"/>
  <c r="E3687" i="1"/>
  <c r="D3687" i="1"/>
  <c r="C3687" i="1"/>
  <c r="A3687" i="1"/>
  <c r="R3686" i="1"/>
  <c r="Q3686" i="1"/>
  <c r="N3686" i="1"/>
  <c r="J3686" i="1"/>
  <c r="I3686" i="1"/>
  <c r="H3686" i="1"/>
  <c r="G3686" i="1"/>
  <c r="F3686" i="1"/>
  <c r="E3686" i="1"/>
  <c r="D3686" i="1"/>
  <c r="C3686" i="1"/>
  <c r="A3686" i="1"/>
  <c r="R3685" i="1"/>
  <c r="Q3685" i="1"/>
  <c r="N3685" i="1"/>
  <c r="J3685" i="1"/>
  <c r="I3685" i="1"/>
  <c r="H3685" i="1"/>
  <c r="G3685" i="1"/>
  <c r="F3685" i="1"/>
  <c r="E3685" i="1"/>
  <c r="D3685" i="1"/>
  <c r="C3685" i="1"/>
  <c r="A3685" i="1"/>
  <c r="R3684" i="1"/>
  <c r="Q3684" i="1"/>
  <c r="N3684" i="1"/>
  <c r="J3684" i="1"/>
  <c r="I3684" i="1"/>
  <c r="H3684" i="1"/>
  <c r="G3684" i="1"/>
  <c r="F3684" i="1"/>
  <c r="E3684" i="1"/>
  <c r="D3684" i="1"/>
  <c r="C3684" i="1"/>
  <c r="A3684" i="1"/>
  <c r="R3683" i="1"/>
  <c r="Q3683" i="1"/>
  <c r="N3683" i="1"/>
  <c r="J3683" i="1"/>
  <c r="I3683" i="1"/>
  <c r="H3683" i="1"/>
  <c r="G3683" i="1"/>
  <c r="F3683" i="1"/>
  <c r="E3683" i="1"/>
  <c r="D3683" i="1"/>
  <c r="C3683" i="1"/>
  <c r="A3683" i="1"/>
  <c r="R3682" i="1"/>
  <c r="Q3682" i="1"/>
  <c r="N3682" i="1"/>
  <c r="J3682" i="1"/>
  <c r="I3682" i="1"/>
  <c r="H3682" i="1"/>
  <c r="G3682" i="1"/>
  <c r="F3682" i="1"/>
  <c r="E3682" i="1"/>
  <c r="D3682" i="1"/>
  <c r="C3682" i="1"/>
  <c r="A3682" i="1"/>
  <c r="R3681" i="1"/>
  <c r="Q3681" i="1"/>
  <c r="N3681" i="1"/>
  <c r="J3681" i="1"/>
  <c r="I3681" i="1"/>
  <c r="H3681" i="1"/>
  <c r="G3681" i="1"/>
  <c r="F3681" i="1"/>
  <c r="E3681" i="1"/>
  <c r="D3681" i="1"/>
  <c r="C3681" i="1"/>
  <c r="A3681" i="1"/>
  <c r="R3680" i="1"/>
  <c r="Q3680" i="1"/>
  <c r="N3680" i="1"/>
  <c r="J3680" i="1"/>
  <c r="I3680" i="1"/>
  <c r="H3680" i="1"/>
  <c r="G3680" i="1"/>
  <c r="F3680" i="1"/>
  <c r="E3680" i="1"/>
  <c r="D3680" i="1"/>
  <c r="C3680" i="1"/>
  <c r="A3680" i="1"/>
  <c r="R3679" i="1"/>
  <c r="Q3679" i="1"/>
  <c r="N3679" i="1"/>
  <c r="J3679" i="1"/>
  <c r="I3679" i="1"/>
  <c r="H3679" i="1"/>
  <c r="G3679" i="1"/>
  <c r="F3679" i="1"/>
  <c r="E3679" i="1"/>
  <c r="D3679" i="1"/>
  <c r="C3679" i="1"/>
  <c r="A3679" i="1"/>
  <c r="R3678" i="1"/>
  <c r="N3678" i="1"/>
  <c r="J3678" i="1"/>
  <c r="I3678" i="1"/>
  <c r="H3678" i="1"/>
  <c r="G3678" i="1"/>
  <c r="F3678" i="1"/>
  <c r="E3678" i="1"/>
  <c r="D3678" i="1"/>
  <c r="C3678" i="1"/>
  <c r="A3678" i="1"/>
  <c r="R3677" i="1"/>
  <c r="Q3677" i="1"/>
  <c r="N3677" i="1"/>
  <c r="J3677" i="1"/>
  <c r="I3677" i="1"/>
  <c r="H3677" i="1"/>
  <c r="G3677" i="1"/>
  <c r="F3677" i="1"/>
  <c r="E3677" i="1"/>
  <c r="D3677" i="1"/>
  <c r="C3677" i="1"/>
  <c r="A3677" i="1"/>
  <c r="R3676" i="1"/>
  <c r="Q3676" i="1"/>
  <c r="N3676" i="1"/>
  <c r="J3676" i="1"/>
  <c r="I3676" i="1"/>
  <c r="H3676" i="1"/>
  <c r="G3676" i="1"/>
  <c r="F3676" i="1"/>
  <c r="E3676" i="1"/>
  <c r="D3676" i="1"/>
  <c r="C3676" i="1"/>
  <c r="A3676" i="1"/>
  <c r="R3675" i="1"/>
  <c r="Q3675" i="1"/>
  <c r="N3675" i="1"/>
  <c r="J3675" i="1"/>
  <c r="I3675" i="1"/>
  <c r="H3675" i="1"/>
  <c r="G3675" i="1"/>
  <c r="F3675" i="1"/>
  <c r="E3675" i="1"/>
  <c r="D3675" i="1"/>
  <c r="C3675" i="1"/>
  <c r="A3675" i="1"/>
  <c r="R3674" i="1"/>
  <c r="Q3674" i="1"/>
  <c r="N3674" i="1"/>
  <c r="J3674" i="1"/>
  <c r="I3674" i="1"/>
  <c r="H3674" i="1"/>
  <c r="G3674" i="1"/>
  <c r="F3674" i="1"/>
  <c r="E3674" i="1"/>
  <c r="D3674" i="1"/>
  <c r="C3674" i="1"/>
  <c r="A3674" i="1"/>
  <c r="R3673" i="1"/>
  <c r="Q3673" i="1"/>
  <c r="N3673" i="1"/>
  <c r="J3673" i="1"/>
  <c r="I3673" i="1"/>
  <c r="H3673" i="1"/>
  <c r="G3673" i="1"/>
  <c r="F3673" i="1"/>
  <c r="E3673" i="1"/>
  <c r="D3673" i="1"/>
  <c r="C3673" i="1"/>
  <c r="A3673" i="1"/>
  <c r="R3672" i="1"/>
  <c r="Q3672" i="1"/>
  <c r="N3672" i="1"/>
  <c r="J3672" i="1"/>
  <c r="I3672" i="1"/>
  <c r="H3672" i="1"/>
  <c r="G3672" i="1"/>
  <c r="F3672" i="1"/>
  <c r="E3672" i="1"/>
  <c r="D3672" i="1"/>
  <c r="C3672" i="1"/>
  <c r="A3672" i="1"/>
  <c r="R3671" i="1"/>
  <c r="Q3671" i="1"/>
  <c r="N3671" i="1"/>
  <c r="J3671" i="1"/>
  <c r="I3671" i="1"/>
  <c r="H3671" i="1"/>
  <c r="G3671" i="1"/>
  <c r="F3671" i="1"/>
  <c r="E3671" i="1"/>
  <c r="D3671" i="1"/>
  <c r="C3671" i="1"/>
  <c r="A3671" i="1"/>
  <c r="R3670" i="1"/>
  <c r="Q3670" i="1"/>
  <c r="N3670" i="1"/>
  <c r="J3670" i="1"/>
  <c r="I3670" i="1"/>
  <c r="H3670" i="1"/>
  <c r="G3670" i="1"/>
  <c r="F3670" i="1"/>
  <c r="E3670" i="1"/>
  <c r="D3670" i="1"/>
  <c r="C3670" i="1"/>
  <c r="A3670" i="1"/>
  <c r="R3669" i="1"/>
  <c r="Q3669" i="1"/>
  <c r="N3669" i="1"/>
  <c r="J3669" i="1"/>
  <c r="I3669" i="1"/>
  <c r="H3669" i="1"/>
  <c r="G3669" i="1"/>
  <c r="F3669" i="1"/>
  <c r="E3669" i="1"/>
  <c r="D3669" i="1"/>
  <c r="C3669" i="1"/>
  <c r="A3669" i="1"/>
  <c r="R3668" i="1"/>
  <c r="Q3668" i="1"/>
  <c r="N3668" i="1"/>
  <c r="J3668" i="1"/>
  <c r="I3668" i="1"/>
  <c r="H3668" i="1"/>
  <c r="G3668" i="1"/>
  <c r="F3668" i="1"/>
  <c r="E3668" i="1"/>
  <c r="D3668" i="1"/>
  <c r="C3668" i="1"/>
  <c r="A3668" i="1"/>
  <c r="R3667" i="1"/>
  <c r="Q3667" i="1"/>
  <c r="N3667" i="1"/>
  <c r="J3667" i="1"/>
  <c r="I3667" i="1"/>
  <c r="H3667" i="1"/>
  <c r="G3667" i="1"/>
  <c r="F3667" i="1"/>
  <c r="E3667" i="1"/>
  <c r="D3667" i="1"/>
  <c r="C3667" i="1"/>
  <c r="A3667" i="1"/>
  <c r="R3666" i="1"/>
  <c r="N3666" i="1"/>
  <c r="J3666" i="1"/>
  <c r="I3666" i="1"/>
  <c r="H3666" i="1"/>
  <c r="G3666" i="1"/>
  <c r="F3666" i="1"/>
  <c r="E3666" i="1"/>
  <c r="D3666" i="1"/>
  <c r="C3666" i="1"/>
  <c r="B3666" i="1"/>
  <c r="A3666" i="1"/>
  <c r="R3665" i="1"/>
  <c r="Q3665" i="1"/>
  <c r="N3665" i="1"/>
  <c r="J3665" i="1"/>
  <c r="I3665" i="1"/>
  <c r="H3665" i="1"/>
  <c r="G3665" i="1"/>
  <c r="F3665" i="1"/>
  <c r="E3665" i="1"/>
  <c r="D3665" i="1"/>
  <c r="C3665" i="1"/>
  <c r="B3665" i="1"/>
  <c r="A3665" i="1"/>
  <c r="R3664" i="1"/>
  <c r="N3664" i="1"/>
  <c r="J3664" i="1"/>
  <c r="I3664" i="1"/>
  <c r="H3664" i="1"/>
  <c r="G3664" i="1"/>
  <c r="F3664" i="1"/>
  <c r="E3664" i="1"/>
  <c r="D3664" i="1"/>
  <c r="C3664" i="1"/>
  <c r="B3664" i="1"/>
  <c r="A3664" i="1"/>
  <c r="R3663" i="1"/>
  <c r="Q3663" i="1"/>
  <c r="N3663" i="1"/>
  <c r="J3663" i="1"/>
  <c r="I3663" i="1"/>
  <c r="H3663" i="1"/>
  <c r="G3663" i="1"/>
  <c r="F3663" i="1"/>
  <c r="E3663" i="1"/>
  <c r="D3663" i="1"/>
  <c r="C3663" i="1"/>
  <c r="B3663" i="1"/>
  <c r="A3663" i="1"/>
  <c r="R3662" i="1"/>
  <c r="N3662" i="1"/>
  <c r="J3662" i="1"/>
  <c r="I3662" i="1"/>
  <c r="H3662" i="1"/>
  <c r="G3662" i="1"/>
  <c r="F3662" i="1"/>
  <c r="E3662" i="1"/>
  <c r="D3662" i="1"/>
  <c r="C3662" i="1"/>
  <c r="B3662" i="1"/>
  <c r="A3662" i="1"/>
  <c r="R3661" i="1"/>
  <c r="Q3661" i="1"/>
  <c r="N3661" i="1"/>
  <c r="J3661" i="1"/>
  <c r="I3661" i="1"/>
  <c r="H3661" i="1"/>
  <c r="G3661" i="1"/>
  <c r="F3661" i="1"/>
  <c r="E3661" i="1"/>
  <c r="D3661" i="1"/>
  <c r="C3661" i="1"/>
  <c r="B3661" i="1"/>
  <c r="A3661" i="1"/>
  <c r="R3660" i="1"/>
  <c r="N3660" i="1"/>
  <c r="J3660" i="1"/>
  <c r="I3660" i="1"/>
  <c r="H3660" i="1"/>
  <c r="G3660" i="1"/>
  <c r="F3660" i="1"/>
  <c r="E3660" i="1"/>
  <c r="D3660" i="1"/>
  <c r="C3660" i="1"/>
  <c r="B3660" i="1"/>
  <c r="A3660" i="1"/>
  <c r="R3659" i="1"/>
  <c r="Q3659" i="1"/>
  <c r="N3659" i="1"/>
  <c r="J3659" i="1"/>
  <c r="I3659" i="1"/>
  <c r="H3659" i="1"/>
  <c r="G3659" i="1"/>
  <c r="F3659" i="1"/>
  <c r="E3659" i="1"/>
  <c r="D3659" i="1"/>
  <c r="C3659" i="1"/>
  <c r="A3659" i="1"/>
  <c r="R3658" i="1"/>
  <c r="N3658" i="1"/>
  <c r="J3658" i="1"/>
  <c r="I3658" i="1"/>
  <c r="H3658" i="1"/>
  <c r="G3658" i="1"/>
  <c r="F3658" i="1"/>
  <c r="E3658" i="1"/>
  <c r="D3658" i="1"/>
  <c r="C3658" i="1"/>
  <c r="A3658" i="1"/>
  <c r="R3657" i="1"/>
  <c r="Q3657" i="1"/>
  <c r="N3657" i="1"/>
  <c r="J3657" i="1"/>
  <c r="I3657" i="1"/>
  <c r="H3657" i="1"/>
  <c r="G3657" i="1"/>
  <c r="F3657" i="1"/>
  <c r="E3657" i="1"/>
  <c r="D3657" i="1"/>
  <c r="C3657" i="1"/>
  <c r="A3657" i="1"/>
  <c r="R3656" i="1"/>
  <c r="N3656" i="1"/>
  <c r="J3656" i="1"/>
  <c r="I3656" i="1"/>
  <c r="H3656" i="1"/>
  <c r="G3656" i="1"/>
  <c r="F3656" i="1"/>
  <c r="E3656" i="1"/>
  <c r="D3656" i="1"/>
  <c r="C3656" i="1"/>
  <c r="B3656" i="1"/>
  <c r="A3656" i="1"/>
  <c r="R3655" i="1"/>
  <c r="N3655" i="1"/>
  <c r="J3655" i="1"/>
  <c r="I3655" i="1"/>
  <c r="H3655" i="1"/>
  <c r="G3655" i="1"/>
  <c r="F3655" i="1"/>
  <c r="E3655" i="1"/>
  <c r="D3655" i="1"/>
  <c r="C3655" i="1"/>
  <c r="B3655" i="1"/>
  <c r="A3655" i="1"/>
  <c r="R3654" i="1"/>
  <c r="Q3654" i="1"/>
  <c r="N3654" i="1"/>
  <c r="J3654" i="1"/>
  <c r="I3654" i="1"/>
  <c r="H3654" i="1"/>
  <c r="G3654" i="1"/>
  <c r="F3654" i="1"/>
  <c r="E3654" i="1"/>
  <c r="D3654" i="1"/>
  <c r="C3654" i="1"/>
  <c r="B3654" i="1"/>
  <c r="A3654" i="1"/>
  <c r="R3653" i="1"/>
  <c r="N3653" i="1"/>
  <c r="J3653" i="1"/>
  <c r="I3653" i="1"/>
  <c r="H3653" i="1"/>
  <c r="G3653" i="1"/>
  <c r="F3653" i="1"/>
  <c r="E3653" i="1"/>
  <c r="D3653" i="1"/>
  <c r="C3653" i="1"/>
  <c r="B3653" i="1"/>
  <c r="A3653" i="1"/>
  <c r="R3652" i="1"/>
  <c r="Q3652" i="1"/>
  <c r="N3652" i="1"/>
  <c r="J3652" i="1"/>
  <c r="I3652" i="1"/>
  <c r="H3652" i="1"/>
  <c r="G3652" i="1"/>
  <c r="F3652" i="1"/>
  <c r="E3652" i="1"/>
  <c r="D3652" i="1"/>
  <c r="C3652" i="1"/>
  <c r="B3652" i="1"/>
  <c r="A3652" i="1"/>
  <c r="R3651" i="1"/>
  <c r="N3651" i="1"/>
  <c r="J3651" i="1"/>
  <c r="I3651" i="1"/>
  <c r="H3651" i="1"/>
  <c r="G3651" i="1"/>
  <c r="F3651" i="1"/>
  <c r="E3651" i="1"/>
  <c r="D3651" i="1"/>
  <c r="C3651" i="1"/>
  <c r="B3651" i="1"/>
  <c r="A3651" i="1"/>
  <c r="R3650" i="1"/>
  <c r="Q3650" i="1"/>
  <c r="N3650" i="1"/>
  <c r="J3650" i="1"/>
  <c r="I3650" i="1"/>
  <c r="H3650" i="1"/>
  <c r="G3650" i="1"/>
  <c r="F3650" i="1"/>
  <c r="E3650" i="1"/>
  <c r="D3650" i="1"/>
  <c r="C3650" i="1"/>
  <c r="B3650" i="1"/>
  <c r="A3650" i="1"/>
  <c r="R3649" i="1"/>
  <c r="N3649" i="1"/>
  <c r="J3649" i="1"/>
  <c r="I3649" i="1"/>
  <c r="H3649" i="1"/>
  <c r="G3649" i="1"/>
  <c r="F3649" i="1"/>
  <c r="E3649" i="1"/>
  <c r="D3649" i="1"/>
  <c r="C3649" i="1"/>
  <c r="B3649" i="1"/>
  <c r="A3649" i="1"/>
  <c r="R3648" i="1"/>
  <c r="Q3648" i="1"/>
  <c r="N3648" i="1"/>
  <c r="J3648" i="1"/>
  <c r="I3648" i="1"/>
  <c r="H3648" i="1"/>
  <c r="G3648" i="1"/>
  <c r="F3648" i="1"/>
  <c r="E3648" i="1"/>
  <c r="D3648" i="1"/>
  <c r="C3648" i="1"/>
  <c r="A3648" i="1"/>
  <c r="R3647" i="1"/>
  <c r="N3647" i="1"/>
  <c r="J3647" i="1"/>
  <c r="I3647" i="1"/>
  <c r="H3647" i="1"/>
  <c r="G3647" i="1"/>
  <c r="F3647" i="1"/>
  <c r="E3647" i="1"/>
  <c r="D3647" i="1"/>
  <c r="C3647" i="1"/>
  <c r="B3647" i="1"/>
  <c r="A3647" i="1"/>
  <c r="R3646" i="1"/>
  <c r="N3646" i="1"/>
  <c r="J3646" i="1"/>
  <c r="I3646" i="1"/>
  <c r="H3646" i="1"/>
  <c r="G3646" i="1"/>
  <c r="F3646" i="1"/>
  <c r="E3646" i="1"/>
  <c r="D3646" i="1"/>
  <c r="C3646" i="1"/>
  <c r="B3646" i="1"/>
  <c r="A3646" i="1"/>
  <c r="R3645" i="1"/>
  <c r="N3645" i="1"/>
  <c r="J3645" i="1"/>
  <c r="I3645" i="1"/>
  <c r="H3645" i="1"/>
  <c r="G3645" i="1"/>
  <c r="F3645" i="1"/>
  <c r="E3645" i="1"/>
  <c r="D3645" i="1"/>
  <c r="C3645" i="1"/>
  <c r="B3645" i="1"/>
  <c r="A3645" i="1"/>
  <c r="R3644" i="1"/>
  <c r="N3644" i="1"/>
  <c r="J3644" i="1"/>
  <c r="I3644" i="1"/>
  <c r="H3644" i="1"/>
  <c r="G3644" i="1"/>
  <c r="F3644" i="1"/>
  <c r="E3644" i="1"/>
  <c r="D3644" i="1"/>
  <c r="C3644" i="1"/>
  <c r="B3644" i="1"/>
  <c r="A3644" i="1"/>
  <c r="R3643" i="1"/>
  <c r="N3643" i="1"/>
  <c r="J3643" i="1"/>
  <c r="I3643" i="1"/>
  <c r="H3643" i="1"/>
  <c r="G3643" i="1"/>
  <c r="F3643" i="1"/>
  <c r="E3643" i="1"/>
  <c r="D3643" i="1"/>
  <c r="C3643" i="1"/>
  <c r="B3643" i="1"/>
  <c r="A3643" i="1"/>
  <c r="R3642" i="1"/>
  <c r="N3642" i="1"/>
  <c r="J3642" i="1"/>
  <c r="I3642" i="1"/>
  <c r="H3642" i="1"/>
  <c r="G3642" i="1"/>
  <c r="F3642" i="1"/>
  <c r="E3642" i="1"/>
  <c r="D3642" i="1"/>
  <c r="C3642" i="1"/>
  <c r="B3642" i="1"/>
  <c r="A3642" i="1"/>
  <c r="R3641" i="1"/>
  <c r="N3641" i="1"/>
  <c r="J3641" i="1"/>
  <c r="I3641" i="1"/>
  <c r="H3641" i="1"/>
  <c r="G3641" i="1"/>
  <c r="F3641" i="1"/>
  <c r="E3641" i="1"/>
  <c r="D3641" i="1"/>
  <c r="C3641" i="1"/>
  <c r="B3641" i="1"/>
  <c r="A3641" i="1"/>
  <c r="R3640" i="1"/>
  <c r="N3640" i="1"/>
  <c r="J3640" i="1"/>
  <c r="I3640" i="1"/>
  <c r="H3640" i="1"/>
  <c r="G3640" i="1"/>
  <c r="F3640" i="1"/>
  <c r="E3640" i="1"/>
  <c r="D3640" i="1"/>
  <c r="C3640" i="1"/>
  <c r="B3640" i="1"/>
  <c r="A3640" i="1"/>
  <c r="R3639" i="1"/>
  <c r="N3639" i="1"/>
  <c r="J3639" i="1"/>
  <c r="I3639" i="1"/>
  <c r="H3639" i="1"/>
  <c r="G3639" i="1"/>
  <c r="F3639" i="1"/>
  <c r="E3639" i="1"/>
  <c r="D3639" i="1"/>
  <c r="C3639" i="1"/>
  <c r="B3639" i="1"/>
  <c r="A3639" i="1"/>
  <c r="R3638" i="1"/>
  <c r="N3638" i="1"/>
  <c r="J3638" i="1"/>
  <c r="I3638" i="1"/>
  <c r="H3638" i="1"/>
  <c r="G3638" i="1"/>
  <c r="F3638" i="1"/>
  <c r="E3638" i="1"/>
  <c r="D3638" i="1"/>
  <c r="C3638" i="1"/>
  <c r="B3638" i="1"/>
  <c r="A3638" i="1"/>
  <c r="R3637" i="1"/>
  <c r="N3637" i="1"/>
  <c r="J3637" i="1"/>
  <c r="I3637" i="1"/>
  <c r="H3637" i="1"/>
  <c r="G3637" i="1"/>
  <c r="F3637" i="1"/>
  <c r="E3637" i="1"/>
  <c r="D3637" i="1"/>
  <c r="C3637" i="1"/>
  <c r="B3637" i="1"/>
  <c r="A3637" i="1"/>
  <c r="R3636" i="1"/>
  <c r="N3636" i="1"/>
  <c r="J3636" i="1"/>
  <c r="I3636" i="1"/>
  <c r="H3636" i="1"/>
  <c r="G3636" i="1"/>
  <c r="F3636" i="1"/>
  <c r="E3636" i="1"/>
  <c r="D3636" i="1"/>
  <c r="C3636" i="1"/>
  <c r="B3636" i="1"/>
  <c r="A3636" i="1"/>
  <c r="R3635" i="1"/>
  <c r="N3635" i="1"/>
  <c r="J3635" i="1"/>
  <c r="I3635" i="1"/>
  <c r="H3635" i="1"/>
  <c r="G3635" i="1"/>
  <c r="F3635" i="1"/>
  <c r="E3635" i="1"/>
  <c r="D3635" i="1"/>
  <c r="C3635" i="1"/>
  <c r="B3635" i="1"/>
  <c r="A3635" i="1"/>
  <c r="R3634" i="1"/>
  <c r="N3634" i="1"/>
  <c r="J3634" i="1"/>
  <c r="I3634" i="1"/>
  <c r="H3634" i="1"/>
  <c r="G3634" i="1"/>
  <c r="F3634" i="1"/>
  <c r="E3634" i="1"/>
  <c r="D3634" i="1"/>
  <c r="C3634" i="1"/>
  <c r="B3634" i="1"/>
  <c r="A3634" i="1"/>
  <c r="R3633" i="1"/>
  <c r="Q3633" i="1"/>
  <c r="N3633" i="1"/>
  <c r="J3633" i="1"/>
  <c r="I3633" i="1"/>
  <c r="H3633" i="1"/>
  <c r="G3633" i="1"/>
  <c r="F3633" i="1"/>
  <c r="E3633" i="1"/>
  <c r="D3633" i="1"/>
  <c r="C3633" i="1"/>
  <c r="B3633" i="1"/>
  <c r="A3633" i="1"/>
  <c r="R3632" i="1"/>
  <c r="N3632" i="1"/>
  <c r="J3632" i="1"/>
  <c r="I3632" i="1"/>
  <c r="H3632" i="1"/>
  <c r="G3632" i="1"/>
  <c r="F3632" i="1"/>
  <c r="E3632" i="1"/>
  <c r="D3632" i="1"/>
  <c r="C3632" i="1"/>
  <c r="B3632" i="1"/>
  <c r="A3632" i="1"/>
  <c r="R3631" i="1"/>
  <c r="Q3631" i="1"/>
  <c r="N3631" i="1"/>
  <c r="J3631" i="1"/>
  <c r="I3631" i="1"/>
  <c r="H3631" i="1"/>
  <c r="G3631" i="1"/>
  <c r="F3631" i="1"/>
  <c r="E3631" i="1"/>
  <c r="D3631" i="1"/>
  <c r="C3631" i="1"/>
  <c r="A3631" i="1"/>
  <c r="R3630" i="1"/>
  <c r="N3630" i="1"/>
  <c r="J3630" i="1"/>
  <c r="I3630" i="1"/>
  <c r="H3630" i="1"/>
  <c r="G3630" i="1"/>
  <c r="F3630" i="1"/>
  <c r="E3630" i="1"/>
  <c r="D3630" i="1"/>
  <c r="C3630" i="1"/>
  <c r="A3630" i="1"/>
  <c r="R3629" i="1"/>
  <c r="Q3629" i="1"/>
  <c r="N3629" i="1"/>
  <c r="J3629" i="1"/>
  <c r="I3629" i="1"/>
  <c r="H3629" i="1"/>
  <c r="G3629" i="1"/>
  <c r="F3629" i="1"/>
  <c r="E3629" i="1"/>
  <c r="D3629" i="1"/>
  <c r="C3629" i="1"/>
  <c r="A3629" i="1"/>
  <c r="R3628" i="1"/>
  <c r="N3628" i="1"/>
  <c r="J3628" i="1"/>
  <c r="I3628" i="1"/>
  <c r="H3628" i="1"/>
  <c r="G3628" i="1"/>
  <c r="F3628" i="1"/>
  <c r="E3628" i="1"/>
  <c r="D3628" i="1"/>
  <c r="C3628" i="1"/>
  <c r="A3628" i="1"/>
  <c r="R3627" i="1"/>
  <c r="Q3627" i="1"/>
  <c r="N3627" i="1"/>
  <c r="J3627" i="1"/>
  <c r="I3627" i="1"/>
  <c r="H3627" i="1"/>
  <c r="G3627" i="1"/>
  <c r="F3627" i="1"/>
  <c r="E3627" i="1"/>
  <c r="D3627" i="1"/>
  <c r="C3627" i="1"/>
  <c r="A3627" i="1"/>
  <c r="R3626" i="1"/>
  <c r="N3626" i="1"/>
  <c r="J3626" i="1"/>
  <c r="I3626" i="1"/>
  <c r="H3626" i="1"/>
  <c r="G3626" i="1"/>
  <c r="F3626" i="1"/>
  <c r="E3626" i="1"/>
  <c r="D3626" i="1"/>
  <c r="C3626" i="1"/>
  <c r="A3626" i="1"/>
  <c r="R3625" i="1"/>
  <c r="Q3625" i="1"/>
  <c r="N3625" i="1"/>
  <c r="J3625" i="1"/>
  <c r="I3625" i="1"/>
  <c r="H3625" i="1"/>
  <c r="G3625" i="1"/>
  <c r="F3625" i="1"/>
  <c r="E3625" i="1"/>
  <c r="D3625" i="1"/>
  <c r="C3625" i="1"/>
  <c r="A3625" i="1"/>
  <c r="R3624" i="1"/>
  <c r="N3624" i="1"/>
  <c r="J3624" i="1"/>
  <c r="I3624" i="1"/>
  <c r="H3624" i="1"/>
  <c r="G3624" i="1"/>
  <c r="F3624" i="1"/>
  <c r="E3624" i="1"/>
  <c r="D3624" i="1"/>
  <c r="C3624" i="1"/>
  <c r="A3624" i="1"/>
  <c r="R3623" i="1"/>
  <c r="Q3623" i="1"/>
  <c r="N3623" i="1"/>
  <c r="J3623" i="1"/>
  <c r="I3623" i="1"/>
  <c r="H3623" i="1"/>
  <c r="G3623" i="1"/>
  <c r="F3623" i="1"/>
  <c r="E3623" i="1"/>
  <c r="D3623" i="1"/>
  <c r="C3623" i="1"/>
  <c r="A3623" i="1"/>
  <c r="R3622" i="1"/>
  <c r="Q3622" i="1"/>
  <c r="N3622" i="1"/>
  <c r="J3622" i="1"/>
  <c r="I3622" i="1"/>
  <c r="H3622" i="1"/>
  <c r="G3622" i="1"/>
  <c r="F3622" i="1"/>
  <c r="E3622" i="1"/>
  <c r="D3622" i="1"/>
  <c r="C3622" i="1"/>
  <c r="A3622" i="1"/>
  <c r="R3621" i="1"/>
  <c r="N3621" i="1"/>
  <c r="J3621" i="1"/>
  <c r="I3621" i="1"/>
  <c r="H3621" i="1"/>
  <c r="G3621" i="1"/>
  <c r="F3621" i="1"/>
  <c r="E3621" i="1"/>
  <c r="D3621" i="1"/>
  <c r="C3621" i="1"/>
  <c r="A3621" i="1"/>
  <c r="R3620" i="1"/>
  <c r="Q3620" i="1"/>
  <c r="N3620" i="1"/>
  <c r="J3620" i="1"/>
  <c r="I3620" i="1"/>
  <c r="H3620" i="1"/>
  <c r="G3620" i="1"/>
  <c r="F3620" i="1"/>
  <c r="E3620" i="1"/>
  <c r="D3620" i="1"/>
  <c r="C3620" i="1"/>
  <c r="A3620" i="1"/>
  <c r="R3619" i="1"/>
  <c r="N3619" i="1"/>
  <c r="J3619" i="1"/>
  <c r="I3619" i="1"/>
  <c r="H3619" i="1"/>
  <c r="G3619" i="1"/>
  <c r="F3619" i="1"/>
  <c r="E3619" i="1"/>
  <c r="D3619" i="1"/>
  <c r="C3619" i="1"/>
  <c r="A3619" i="1"/>
  <c r="R3618" i="1"/>
  <c r="Q3618" i="1"/>
  <c r="N3618" i="1"/>
  <c r="J3618" i="1"/>
  <c r="I3618" i="1"/>
  <c r="H3618" i="1"/>
  <c r="G3618" i="1"/>
  <c r="F3618" i="1"/>
  <c r="E3618" i="1"/>
  <c r="D3618" i="1"/>
  <c r="C3618" i="1"/>
  <c r="A3618" i="1"/>
  <c r="R3617" i="1"/>
  <c r="N3617" i="1"/>
  <c r="J3617" i="1"/>
  <c r="I3617" i="1"/>
  <c r="H3617" i="1"/>
  <c r="G3617" i="1"/>
  <c r="F3617" i="1"/>
  <c r="E3617" i="1"/>
  <c r="D3617" i="1"/>
  <c r="C3617" i="1"/>
  <c r="A3617" i="1"/>
  <c r="R3616" i="1"/>
  <c r="Q3616" i="1"/>
  <c r="N3616" i="1"/>
  <c r="J3616" i="1"/>
  <c r="I3616" i="1"/>
  <c r="H3616" i="1"/>
  <c r="G3616" i="1"/>
  <c r="F3616" i="1"/>
  <c r="E3616" i="1"/>
  <c r="D3616" i="1"/>
  <c r="C3616" i="1"/>
  <c r="A3616" i="1"/>
  <c r="R3615" i="1"/>
  <c r="N3615" i="1"/>
  <c r="J3615" i="1"/>
  <c r="I3615" i="1"/>
  <c r="H3615" i="1"/>
  <c r="G3615" i="1"/>
  <c r="F3615" i="1"/>
  <c r="E3615" i="1"/>
  <c r="D3615" i="1"/>
  <c r="C3615" i="1"/>
  <c r="A3615" i="1"/>
  <c r="R3614" i="1"/>
  <c r="Q3614" i="1"/>
  <c r="N3614" i="1"/>
  <c r="J3614" i="1"/>
  <c r="I3614" i="1"/>
  <c r="H3614" i="1"/>
  <c r="G3614" i="1"/>
  <c r="F3614" i="1"/>
  <c r="E3614" i="1"/>
  <c r="D3614" i="1"/>
  <c r="C3614" i="1"/>
  <c r="A3614" i="1"/>
  <c r="R3613" i="1"/>
  <c r="N3613" i="1"/>
  <c r="J3613" i="1"/>
  <c r="I3613" i="1"/>
  <c r="H3613" i="1"/>
  <c r="G3613" i="1"/>
  <c r="F3613" i="1"/>
  <c r="E3613" i="1"/>
  <c r="D3613" i="1"/>
  <c r="C3613" i="1"/>
  <c r="A3613" i="1"/>
  <c r="R3612" i="1"/>
  <c r="Q3612" i="1"/>
  <c r="N3612" i="1"/>
  <c r="J3612" i="1"/>
  <c r="I3612" i="1"/>
  <c r="H3612" i="1"/>
  <c r="G3612" i="1"/>
  <c r="F3612" i="1"/>
  <c r="E3612" i="1"/>
  <c r="D3612" i="1"/>
  <c r="C3612" i="1"/>
  <c r="A3612" i="1"/>
  <c r="R3611" i="1"/>
  <c r="Q3611" i="1"/>
  <c r="N3611" i="1"/>
  <c r="J3611" i="1"/>
  <c r="I3611" i="1"/>
  <c r="H3611" i="1"/>
  <c r="G3611" i="1"/>
  <c r="F3611" i="1"/>
  <c r="E3611" i="1"/>
  <c r="D3611" i="1"/>
  <c r="C3611" i="1"/>
  <c r="A3611" i="1"/>
  <c r="R3610" i="1"/>
  <c r="Q3610" i="1"/>
  <c r="N3610" i="1"/>
  <c r="J3610" i="1"/>
  <c r="I3610" i="1"/>
  <c r="H3610" i="1"/>
  <c r="G3610" i="1"/>
  <c r="F3610" i="1"/>
  <c r="E3610" i="1"/>
  <c r="D3610" i="1"/>
  <c r="C3610" i="1"/>
  <c r="A3610" i="1"/>
  <c r="R3609" i="1"/>
  <c r="N3609" i="1"/>
  <c r="J3609" i="1"/>
  <c r="I3609" i="1"/>
  <c r="H3609" i="1"/>
  <c r="G3609" i="1"/>
  <c r="F3609" i="1"/>
  <c r="E3609" i="1"/>
  <c r="D3609" i="1"/>
  <c r="C3609" i="1"/>
  <c r="A3609" i="1"/>
  <c r="R3608" i="1"/>
  <c r="Q3608" i="1"/>
  <c r="N3608" i="1"/>
  <c r="J3608" i="1"/>
  <c r="I3608" i="1"/>
  <c r="H3608" i="1"/>
  <c r="G3608" i="1"/>
  <c r="F3608" i="1"/>
  <c r="E3608" i="1"/>
  <c r="D3608" i="1"/>
  <c r="C3608" i="1"/>
  <c r="A3608" i="1"/>
  <c r="R3607" i="1"/>
  <c r="N3607" i="1"/>
  <c r="J3607" i="1"/>
  <c r="I3607" i="1"/>
  <c r="H3607" i="1"/>
  <c r="G3607" i="1"/>
  <c r="F3607" i="1"/>
  <c r="E3607" i="1"/>
  <c r="D3607" i="1"/>
  <c r="C3607" i="1"/>
  <c r="A3607" i="1"/>
  <c r="R3606" i="1"/>
  <c r="Q3606" i="1"/>
  <c r="N3606" i="1"/>
  <c r="J3606" i="1"/>
  <c r="I3606" i="1"/>
  <c r="H3606" i="1"/>
  <c r="G3606" i="1"/>
  <c r="F3606" i="1"/>
  <c r="E3606" i="1"/>
  <c r="D3606" i="1"/>
  <c r="C3606" i="1"/>
  <c r="A3606" i="1"/>
  <c r="R3605" i="1"/>
  <c r="N3605" i="1"/>
  <c r="J3605" i="1"/>
  <c r="I3605" i="1"/>
  <c r="H3605" i="1"/>
  <c r="G3605" i="1"/>
  <c r="F3605" i="1"/>
  <c r="E3605" i="1"/>
  <c r="D3605" i="1"/>
  <c r="C3605" i="1"/>
  <c r="A3605" i="1"/>
  <c r="R3604" i="1"/>
  <c r="Q3604" i="1"/>
  <c r="N3604" i="1"/>
  <c r="J3604" i="1"/>
  <c r="I3604" i="1"/>
  <c r="H3604" i="1"/>
  <c r="G3604" i="1"/>
  <c r="F3604" i="1"/>
  <c r="E3604" i="1"/>
  <c r="D3604" i="1"/>
  <c r="C3604" i="1"/>
  <c r="A3604" i="1"/>
  <c r="R3603" i="1"/>
  <c r="N3603" i="1"/>
  <c r="J3603" i="1"/>
  <c r="I3603" i="1"/>
  <c r="H3603" i="1"/>
  <c r="G3603" i="1"/>
  <c r="F3603" i="1"/>
  <c r="E3603" i="1"/>
  <c r="D3603" i="1"/>
  <c r="C3603" i="1"/>
  <c r="B3603" i="1"/>
  <c r="A3603" i="1"/>
  <c r="R3602" i="1"/>
  <c r="Q3602" i="1"/>
  <c r="N3602" i="1"/>
  <c r="J3602" i="1"/>
  <c r="I3602" i="1"/>
  <c r="H3602" i="1"/>
  <c r="G3602" i="1"/>
  <c r="F3602" i="1"/>
  <c r="E3602" i="1"/>
  <c r="D3602" i="1"/>
  <c r="C3602" i="1"/>
  <c r="B3602" i="1"/>
  <c r="A3602" i="1"/>
  <c r="R3601" i="1"/>
  <c r="N3601" i="1"/>
  <c r="J3601" i="1"/>
  <c r="I3601" i="1"/>
  <c r="H3601" i="1"/>
  <c r="G3601" i="1"/>
  <c r="F3601" i="1"/>
  <c r="E3601" i="1"/>
  <c r="D3601" i="1"/>
  <c r="C3601" i="1"/>
  <c r="B3601" i="1"/>
  <c r="A3601" i="1"/>
  <c r="R3600" i="1"/>
  <c r="Q3600" i="1"/>
  <c r="N3600" i="1"/>
  <c r="J3600" i="1"/>
  <c r="I3600" i="1"/>
  <c r="H3600" i="1"/>
  <c r="G3600" i="1"/>
  <c r="F3600" i="1"/>
  <c r="E3600" i="1"/>
  <c r="D3600" i="1"/>
  <c r="C3600" i="1"/>
  <c r="B3600" i="1"/>
  <c r="A3600" i="1"/>
  <c r="R3599" i="1"/>
  <c r="N3599" i="1"/>
  <c r="J3599" i="1"/>
  <c r="I3599" i="1"/>
  <c r="H3599" i="1"/>
  <c r="G3599" i="1"/>
  <c r="F3599" i="1"/>
  <c r="E3599" i="1"/>
  <c r="D3599" i="1"/>
  <c r="C3599" i="1"/>
  <c r="B3599" i="1"/>
  <c r="A3599" i="1"/>
  <c r="R3598" i="1"/>
  <c r="Q3598" i="1"/>
  <c r="N3598" i="1"/>
  <c r="J3598" i="1"/>
  <c r="I3598" i="1"/>
  <c r="H3598" i="1"/>
  <c r="G3598" i="1"/>
  <c r="F3598" i="1"/>
  <c r="E3598" i="1"/>
  <c r="D3598" i="1"/>
  <c r="C3598" i="1"/>
  <c r="B3598" i="1"/>
  <c r="A3598" i="1"/>
  <c r="R3597" i="1"/>
  <c r="N3597" i="1"/>
  <c r="J3597" i="1"/>
  <c r="I3597" i="1"/>
  <c r="H3597" i="1"/>
  <c r="G3597" i="1"/>
  <c r="F3597" i="1"/>
  <c r="E3597" i="1"/>
  <c r="D3597" i="1"/>
  <c r="C3597" i="1"/>
  <c r="B3597" i="1"/>
  <c r="A3597" i="1"/>
  <c r="R3596" i="1"/>
  <c r="Q3596" i="1"/>
  <c r="N3596" i="1"/>
  <c r="J3596" i="1"/>
  <c r="I3596" i="1"/>
  <c r="H3596" i="1"/>
  <c r="G3596" i="1"/>
  <c r="F3596" i="1"/>
  <c r="E3596" i="1"/>
  <c r="D3596" i="1"/>
  <c r="C3596" i="1"/>
  <c r="B3596" i="1"/>
  <c r="A3596" i="1"/>
  <c r="R3595" i="1"/>
  <c r="N3595" i="1"/>
  <c r="J3595" i="1"/>
  <c r="I3595" i="1"/>
  <c r="H3595" i="1"/>
  <c r="G3595" i="1"/>
  <c r="F3595" i="1"/>
  <c r="E3595" i="1"/>
  <c r="D3595" i="1"/>
  <c r="C3595" i="1"/>
  <c r="B3595" i="1"/>
  <c r="A3595" i="1"/>
  <c r="R3594" i="1"/>
  <c r="Q3594" i="1"/>
  <c r="N3594" i="1"/>
  <c r="J3594" i="1"/>
  <c r="I3594" i="1"/>
  <c r="H3594" i="1"/>
  <c r="G3594" i="1"/>
  <c r="F3594" i="1"/>
  <c r="E3594" i="1"/>
  <c r="D3594" i="1"/>
  <c r="C3594" i="1"/>
  <c r="B3594" i="1"/>
  <c r="A3594" i="1"/>
  <c r="R3593" i="1"/>
  <c r="N3593" i="1"/>
  <c r="J3593" i="1"/>
  <c r="I3593" i="1"/>
  <c r="H3593" i="1"/>
  <c r="G3593" i="1"/>
  <c r="F3593" i="1"/>
  <c r="E3593" i="1"/>
  <c r="D3593" i="1"/>
  <c r="C3593" i="1"/>
  <c r="B3593" i="1"/>
  <c r="A3593" i="1"/>
  <c r="R3592" i="1"/>
  <c r="Q3592" i="1"/>
  <c r="N3592" i="1"/>
  <c r="J3592" i="1"/>
  <c r="I3592" i="1"/>
  <c r="H3592" i="1"/>
  <c r="G3592" i="1"/>
  <c r="F3592" i="1"/>
  <c r="E3592" i="1"/>
  <c r="D3592" i="1"/>
  <c r="C3592" i="1"/>
  <c r="B3592" i="1"/>
  <c r="A3592" i="1"/>
  <c r="R3591" i="1"/>
  <c r="N3591" i="1"/>
  <c r="J3591" i="1"/>
  <c r="I3591" i="1"/>
  <c r="H3591" i="1"/>
  <c r="G3591" i="1"/>
  <c r="F3591" i="1"/>
  <c r="E3591" i="1"/>
  <c r="D3591" i="1"/>
  <c r="C3591" i="1"/>
  <c r="B3591" i="1"/>
  <c r="A3591" i="1"/>
  <c r="R3590" i="1"/>
  <c r="Q3590" i="1"/>
  <c r="N3590" i="1"/>
  <c r="J3590" i="1"/>
  <c r="I3590" i="1"/>
  <c r="H3590" i="1"/>
  <c r="G3590" i="1"/>
  <c r="F3590" i="1"/>
  <c r="E3590" i="1"/>
  <c r="D3590" i="1"/>
  <c r="C3590" i="1"/>
  <c r="B3590" i="1"/>
  <c r="A3590" i="1"/>
  <c r="R3589" i="1"/>
  <c r="N3589" i="1"/>
  <c r="J3589" i="1"/>
  <c r="I3589" i="1"/>
  <c r="H3589" i="1"/>
  <c r="G3589" i="1"/>
  <c r="F3589" i="1"/>
  <c r="E3589" i="1"/>
  <c r="D3589" i="1"/>
  <c r="C3589" i="1"/>
  <c r="B3589" i="1"/>
  <c r="A3589" i="1"/>
  <c r="R3588" i="1"/>
  <c r="Q3588" i="1"/>
  <c r="N3588" i="1"/>
  <c r="J3588" i="1"/>
  <c r="I3588" i="1"/>
  <c r="H3588" i="1"/>
  <c r="G3588" i="1"/>
  <c r="F3588" i="1"/>
  <c r="E3588" i="1"/>
  <c r="D3588" i="1"/>
  <c r="C3588" i="1"/>
  <c r="B3588" i="1"/>
  <c r="A3588" i="1"/>
  <c r="R3587" i="1"/>
  <c r="N3587" i="1"/>
  <c r="J3587" i="1"/>
  <c r="I3587" i="1"/>
  <c r="H3587" i="1"/>
  <c r="G3587" i="1"/>
  <c r="F3587" i="1"/>
  <c r="E3587" i="1"/>
  <c r="D3587" i="1"/>
  <c r="C3587" i="1"/>
  <c r="B3587" i="1"/>
  <c r="A3587" i="1"/>
  <c r="R3586" i="1"/>
  <c r="Q3586" i="1"/>
  <c r="N3586" i="1"/>
  <c r="J3586" i="1"/>
  <c r="I3586" i="1"/>
  <c r="H3586" i="1"/>
  <c r="G3586" i="1"/>
  <c r="F3586" i="1"/>
  <c r="E3586" i="1"/>
  <c r="D3586" i="1"/>
  <c r="C3586" i="1"/>
  <c r="B3586" i="1"/>
  <c r="A3586" i="1"/>
  <c r="R3585" i="1"/>
  <c r="N3585" i="1"/>
  <c r="J3585" i="1"/>
  <c r="I3585" i="1"/>
  <c r="H3585" i="1"/>
  <c r="G3585" i="1"/>
  <c r="F3585" i="1"/>
  <c r="E3585" i="1"/>
  <c r="D3585" i="1"/>
  <c r="C3585" i="1"/>
  <c r="B3585" i="1"/>
  <c r="A3585" i="1"/>
  <c r="R3584" i="1"/>
  <c r="Q3584" i="1"/>
  <c r="N3584" i="1"/>
  <c r="J3584" i="1"/>
  <c r="I3584" i="1"/>
  <c r="H3584" i="1"/>
  <c r="G3584" i="1"/>
  <c r="F3584" i="1"/>
  <c r="E3584" i="1"/>
  <c r="D3584" i="1"/>
  <c r="C3584" i="1"/>
  <c r="B3584" i="1"/>
  <c r="A3584" i="1"/>
  <c r="R3583" i="1"/>
  <c r="N3583" i="1"/>
  <c r="J3583" i="1"/>
  <c r="I3583" i="1"/>
  <c r="H3583" i="1"/>
  <c r="G3583" i="1"/>
  <c r="F3583" i="1"/>
  <c r="E3583" i="1"/>
  <c r="D3583" i="1"/>
  <c r="C3583" i="1"/>
  <c r="B3583" i="1"/>
  <c r="A3583" i="1"/>
  <c r="R3582" i="1"/>
  <c r="Q3582" i="1"/>
  <c r="N3582" i="1"/>
  <c r="J3582" i="1"/>
  <c r="I3582" i="1"/>
  <c r="H3582" i="1"/>
  <c r="G3582" i="1"/>
  <c r="F3582" i="1"/>
  <c r="E3582" i="1"/>
  <c r="D3582" i="1"/>
  <c r="C3582" i="1"/>
  <c r="B3582" i="1"/>
  <c r="A3582" i="1"/>
  <c r="R3581" i="1"/>
  <c r="N3581" i="1"/>
  <c r="J3581" i="1"/>
  <c r="I3581" i="1"/>
  <c r="H3581" i="1"/>
  <c r="G3581" i="1"/>
  <c r="F3581" i="1"/>
  <c r="E3581" i="1"/>
  <c r="D3581" i="1"/>
  <c r="C3581" i="1"/>
  <c r="B3581" i="1"/>
  <c r="A3581" i="1"/>
  <c r="R3580" i="1"/>
  <c r="Q3580" i="1"/>
  <c r="N3580" i="1"/>
  <c r="J3580" i="1"/>
  <c r="I3580" i="1"/>
  <c r="H3580" i="1"/>
  <c r="G3580" i="1"/>
  <c r="F3580" i="1"/>
  <c r="E3580" i="1"/>
  <c r="D3580" i="1"/>
  <c r="C3580" i="1"/>
  <c r="B3580" i="1"/>
  <c r="A3580" i="1"/>
  <c r="R3579" i="1"/>
  <c r="N3579" i="1"/>
  <c r="J3579" i="1"/>
  <c r="I3579" i="1"/>
  <c r="H3579" i="1"/>
  <c r="G3579" i="1"/>
  <c r="F3579" i="1"/>
  <c r="E3579" i="1"/>
  <c r="D3579" i="1"/>
  <c r="C3579" i="1"/>
  <c r="B3579" i="1"/>
  <c r="A3579" i="1"/>
  <c r="R3578" i="1"/>
  <c r="Q3578" i="1"/>
  <c r="N3578" i="1"/>
  <c r="J3578" i="1"/>
  <c r="I3578" i="1"/>
  <c r="H3578" i="1"/>
  <c r="G3578" i="1"/>
  <c r="F3578" i="1"/>
  <c r="E3578" i="1"/>
  <c r="D3578" i="1"/>
  <c r="C3578" i="1"/>
  <c r="A3578" i="1"/>
  <c r="R3577" i="1"/>
  <c r="N3577" i="1"/>
  <c r="J3577" i="1"/>
  <c r="I3577" i="1"/>
  <c r="H3577" i="1"/>
  <c r="G3577" i="1"/>
  <c r="F3577" i="1"/>
  <c r="E3577" i="1"/>
  <c r="D3577" i="1"/>
  <c r="C3577" i="1"/>
  <c r="A3577" i="1"/>
  <c r="R3576" i="1"/>
  <c r="Q3576" i="1"/>
  <c r="N3576" i="1"/>
  <c r="J3576" i="1"/>
  <c r="I3576" i="1"/>
  <c r="H3576" i="1"/>
  <c r="G3576" i="1"/>
  <c r="F3576" i="1"/>
  <c r="E3576" i="1"/>
  <c r="D3576" i="1"/>
  <c r="C3576" i="1"/>
  <c r="A3576" i="1"/>
  <c r="R3575" i="1"/>
  <c r="N3575" i="1"/>
  <c r="J3575" i="1"/>
  <c r="I3575" i="1"/>
  <c r="H3575" i="1"/>
  <c r="G3575" i="1"/>
  <c r="F3575" i="1"/>
  <c r="E3575" i="1"/>
  <c r="D3575" i="1"/>
  <c r="C3575" i="1"/>
  <c r="A3575" i="1"/>
  <c r="R3574" i="1"/>
  <c r="Q3574" i="1"/>
  <c r="N3574" i="1"/>
  <c r="J3574" i="1"/>
  <c r="I3574" i="1"/>
  <c r="H3574" i="1"/>
  <c r="G3574" i="1"/>
  <c r="F3574" i="1"/>
  <c r="E3574" i="1"/>
  <c r="D3574" i="1"/>
  <c r="C3574" i="1"/>
  <c r="A3574" i="1"/>
  <c r="R3573" i="1"/>
  <c r="N3573" i="1"/>
  <c r="J3573" i="1"/>
  <c r="I3573" i="1"/>
  <c r="H3573" i="1"/>
  <c r="G3573" i="1"/>
  <c r="F3573" i="1"/>
  <c r="E3573" i="1"/>
  <c r="D3573" i="1"/>
  <c r="C3573" i="1"/>
  <c r="A3573" i="1"/>
  <c r="R3572" i="1"/>
  <c r="Q3572" i="1"/>
  <c r="N3572" i="1"/>
  <c r="J3572" i="1"/>
  <c r="I3572" i="1"/>
  <c r="H3572" i="1"/>
  <c r="G3572" i="1"/>
  <c r="F3572" i="1"/>
  <c r="E3572" i="1"/>
  <c r="D3572" i="1"/>
  <c r="C3572" i="1"/>
  <c r="A3572" i="1"/>
  <c r="R3571" i="1"/>
  <c r="N3571" i="1"/>
  <c r="J3571" i="1"/>
  <c r="I3571" i="1"/>
  <c r="H3571" i="1"/>
  <c r="G3571" i="1"/>
  <c r="F3571" i="1"/>
  <c r="E3571" i="1"/>
  <c r="D3571" i="1"/>
  <c r="C3571" i="1"/>
  <c r="A3571" i="1"/>
  <c r="R3570" i="1"/>
  <c r="Q3570" i="1"/>
  <c r="N3570" i="1"/>
  <c r="J3570" i="1"/>
  <c r="I3570" i="1"/>
  <c r="H3570" i="1"/>
  <c r="G3570" i="1"/>
  <c r="F3570" i="1"/>
  <c r="E3570" i="1"/>
  <c r="D3570" i="1"/>
  <c r="C3570" i="1"/>
  <c r="A3570" i="1"/>
  <c r="R3569" i="1"/>
  <c r="N3569" i="1"/>
  <c r="J3569" i="1"/>
  <c r="I3569" i="1"/>
  <c r="H3569" i="1"/>
  <c r="G3569" i="1"/>
  <c r="F3569" i="1"/>
  <c r="E3569" i="1"/>
  <c r="D3569" i="1"/>
  <c r="C3569" i="1"/>
  <c r="A3569" i="1"/>
  <c r="R3568" i="1"/>
  <c r="Q3568" i="1"/>
  <c r="N3568" i="1"/>
  <c r="J3568" i="1"/>
  <c r="I3568" i="1"/>
  <c r="H3568" i="1"/>
  <c r="G3568" i="1"/>
  <c r="F3568" i="1"/>
  <c r="E3568" i="1"/>
  <c r="D3568" i="1"/>
  <c r="C3568" i="1"/>
  <c r="A3568" i="1"/>
  <c r="R3567" i="1"/>
  <c r="N3567" i="1"/>
  <c r="J3567" i="1"/>
  <c r="I3567" i="1"/>
  <c r="H3567" i="1"/>
  <c r="G3567" i="1"/>
  <c r="F3567" i="1"/>
  <c r="E3567" i="1"/>
  <c r="D3567" i="1"/>
  <c r="C3567" i="1"/>
  <c r="A3567" i="1"/>
  <c r="R3566" i="1"/>
  <c r="Q3566" i="1"/>
  <c r="N3566" i="1"/>
  <c r="J3566" i="1"/>
  <c r="I3566" i="1"/>
  <c r="H3566" i="1"/>
  <c r="G3566" i="1"/>
  <c r="F3566" i="1"/>
  <c r="E3566" i="1"/>
  <c r="D3566" i="1"/>
  <c r="C3566" i="1"/>
  <c r="A3566" i="1"/>
  <c r="R3565" i="1"/>
  <c r="N3565" i="1"/>
  <c r="J3565" i="1"/>
  <c r="I3565" i="1"/>
  <c r="H3565" i="1"/>
  <c r="G3565" i="1"/>
  <c r="F3565" i="1"/>
  <c r="E3565" i="1"/>
  <c r="D3565" i="1"/>
  <c r="C3565" i="1"/>
  <c r="A3565" i="1"/>
  <c r="R3564" i="1"/>
  <c r="Q3564" i="1"/>
  <c r="N3564" i="1"/>
  <c r="J3564" i="1"/>
  <c r="I3564" i="1"/>
  <c r="H3564" i="1"/>
  <c r="G3564" i="1"/>
  <c r="F3564" i="1"/>
  <c r="E3564" i="1"/>
  <c r="D3564" i="1"/>
  <c r="C3564" i="1"/>
  <c r="A3564" i="1"/>
  <c r="R3563" i="1"/>
  <c r="N3563" i="1"/>
  <c r="J3563" i="1"/>
  <c r="I3563" i="1"/>
  <c r="H3563" i="1"/>
  <c r="G3563" i="1"/>
  <c r="F3563" i="1"/>
  <c r="E3563" i="1"/>
  <c r="D3563" i="1"/>
  <c r="C3563" i="1"/>
  <c r="A3563" i="1"/>
  <c r="R3562" i="1"/>
  <c r="Q3562" i="1"/>
  <c r="N3562" i="1"/>
  <c r="J3562" i="1"/>
  <c r="I3562" i="1"/>
  <c r="H3562" i="1"/>
  <c r="G3562" i="1"/>
  <c r="F3562" i="1"/>
  <c r="E3562" i="1"/>
  <c r="D3562" i="1"/>
  <c r="C3562" i="1"/>
  <c r="A3562" i="1"/>
  <c r="R3561" i="1"/>
  <c r="N3561" i="1"/>
  <c r="J3561" i="1"/>
  <c r="I3561" i="1"/>
  <c r="H3561" i="1"/>
  <c r="G3561" i="1"/>
  <c r="F3561" i="1"/>
  <c r="E3561" i="1"/>
  <c r="D3561" i="1"/>
  <c r="C3561" i="1"/>
  <c r="A3561" i="1"/>
  <c r="R3560" i="1"/>
  <c r="Q3560" i="1"/>
  <c r="N3560" i="1"/>
  <c r="J3560" i="1"/>
  <c r="I3560" i="1"/>
  <c r="H3560" i="1"/>
  <c r="G3560" i="1"/>
  <c r="F3560" i="1"/>
  <c r="E3560" i="1"/>
  <c r="D3560" i="1"/>
  <c r="C3560" i="1"/>
  <c r="A3560" i="1"/>
  <c r="R3559" i="1"/>
  <c r="N3559" i="1"/>
  <c r="J3559" i="1"/>
  <c r="I3559" i="1"/>
  <c r="H3559" i="1"/>
  <c r="G3559" i="1"/>
  <c r="F3559" i="1"/>
  <c r="E3559" i="1"/>
  <c r="D3559" i="1"/>
  <c r="C3559" i="1"/>
  <c r="A3559" i="1"/>
  <c r="R3558" i="1"/>
  <c r="Q3558" i="1"/>
  <c r="N3558" i="1"/>
  <c r="J3558" i="1"/>
  <c r="I3558" i="1"/>
  <c r="H3558" i="1"/>
  <c r="G3558" i="1"/>
  <c r="F3558" i="1"/>
  <c r="E3558" i="1"/>
  <c r="D3558" i="1"/>
  <c r="C3558" i="1"/>
  <c r="A3558" i="1"/>
  <c r="R3557" i="1"/>
  <c r="Q3557" i="1"/>
  <c r="N3557" i="1"/>
  <c r="J3557" i="1"/>
  <c r="I3557" i="1"/>
  <c r="H3557" i="1"/>
  <c r="G3557" i="1"/>
  <c r="F3557" i="1"/>
  <c r="E3557" i="1"/>
  <c r="D3557" i="1"/>
  <c r="C3557" i="1"/>
  <c r="A3557" i="1"/>
  <c r="R3556" i="1"/>
  <c r="Q3556" i="1"/>
  <c r="N3556" i="1"/>
  <c r="J3556" i="1"/>
  <c r="I3556" i="1"/>
  <c r="H3556" i="1"/>
  <c r="G3556" i="1"/>
  <c r="F3556" i="1"/>
  <c r="E3556" i="1"/>
  <c r="D3556" i="1"/>
  <c r="C3556" i="1"/>
  <c r="A3556" i="1"/>
  <c r="R3555" i="1"/>
  <c r="Q3555" i="1"/>
  <c r="N3555" i="1"/>
  <c r="J3555" i="1"/>
  <c r="I3555" i="1"/>
  <c r="H3555" i="1"/>
  <c r="G3555" i="1"/>
  <c r="F3555" i="1"/>
  <c r="E3555" i="1"/>
  <c r="D3555" i="1"/>
  <c r="C3555" i="1"/>
  <c r="A3555" i="1"/>
  <c r="R3554" i="1"/>
  <c r="Q3554" i="1"/>
  <c r="N3554" i="1"/>
  <c r="J3554" i="1"/>
  <c r="I3554" i="1"/>
  <c r="H3554" i="1"/>
  <c r="G3554" i="1"/>
  <c r="F3554" i="1"/>
  <c r="E3554" i="1"/>
  <c r="D3554" i="1"/>
  <c r="C3554" i="1"/>
  <c r="A3554" i="1"/>
  <c r="R3553" i="1"/>
  <c r="Q3553" i="1"/>
  <c r="N3553" i="1"/>
  <c r="J3553" i="1"/>
  <c r="I3553" i="1"/>
  <c r="H3553" i="1"/>
  <c r="G3553" i="1"/>
  <c r="F3553" i="1"/>
  <c r="E3553" i="1"/>
  <c r="D3553" i="1"/>
  <c r="C3553" i="1"/>
  <c r="A3553" i="1"/>
  <c r="R3552" i="1"/>
  <c r="Q3552" i="1"/>
  <c r="N3552" i="1"/>
  <c r="J3552" i="1"/>
  <c r="I3552" i="1"/>
  <c r="H3552" i="1"/>
  <c r="G3552" i="1"/>
  <c r="F3552" i="1"/>
  <c r="E3552" i="1"/>
  <c r="D3552" i="1"/>
  <c r="C3552" i="1"/>
  <c r="A3552" i="1"/>
  <c r="R3551" i="1"/>
  <c r="Q3551" i="1"/>
  <c r="N3551" i="1"/>
  <c r="J3551" i="1"/>
  <c r="I3551" i="1"/>
  <c r="H3551" i="1"/>
  <c r="G3551" i="1"/>
  <c r="F3551" i="1"/>
  <c r="E3551" i="1"/>
  <c r="D3551" i="1"/>
  <c r="C3551" i="1"/>
  <c r="A3551" i="1"/>
  <c r="R3550" i="1"/>
  <c r="N3550" i="1"/>
  <c r="J3550" i="1"/>
  <c r="I3550" i="1"/>
  <c r="H3550" i="1"/>
  <c r="G3550" i="1"/>
  <c r="F3550" i="1"/>
  <c r="E3550" i="1"/>
  <c r="D3550" i="1"/>
  <c r="C3550" i="1"/>
  <c r="A3550" i="1"/>
  <c r="R3549" i="1"/>
  <c r="Q3549" i="1"/>
  <c r="N3549" i="1"/>
  <c r="J3549" i="1"/>
  <c r="I3549" i="1"/>
  <c r="H3549" i="1"/>
  <c r="G3549" i="1"/>
  <c r="F3549" i="1"/>
  <c r="E3549" i="1"/>
  <c r="D3549" i="1"/>
  <c r="C3549" i="1"/>
  <c r="A3549" i="1"/>
  <c r="R3548" i="1"/>
  <c r="Q3548" i="1"/>
  <c r="N3548" i="1"/>
  <c r="J3548" i="1"/>
  <c r="I3548" i="1"/>
  <c r="H3548" i="1"/>
  <c r="G3548" i="1"/>
  <c r="F3548" i="1"/>
  <c r="E3548" i="1"/>
  <c r="D3548" i="1"/>
  <c r="C3548" i="1"/>
  <c r="A3548" i="1"/>
  <c r="R3547" i="1"/>
  <c r="Q3547" i="1"/>
  <c r="N3547" i="1"/>
  <c r="J3547" i="1"/>
  <c r="I3547" i="1"/>
  <c r="H3547" i="1"/>
  <c r="G3547" i="1"/>
  <c r="F3547" i="1"/>
  <c r="E3547" i="1"/>
  <c r="D3547" i="1"/>
  <c r="C3547" i="1"/>
  <c r="A3547" i="1"/>
  <c r="R3546" i="1"/>
  <c r="Q3546" i="1"/>
  <c r="N3546" i="1"/>
  <c r="J3546" i="1"/>
  <c r="I3546" i="1"/>
  <c r="H3546" i="1"/>
  <c r="G3546" i="1"/>
  <c r="F3546" i="1"/>
  <c r="E3546" i="1"/>
  <c r="D3546" i="1"/>
  <c r="C3546" i="1"/>
  <c r="A3546" i="1"/>
  <c r="R3545" i="1"/>
  <c r="Q3545" i="1"/>
  <c r="N3545" i="1"/>
  <c r="J3545" i="1"/>
  <c r="I3545" i="1"/>
  <c r="H3545" i="1"/>
  <c r="G3545" i="1"/>
  <c r="F3545" i="1"/>
  <c r="E3545" i="1"/>
  <c r="D3545" i="1"/>
  <c r="C3545" i="1"/>
  <c r="A3545" i="1"/>
  <c r="R3544" i="1"/>
  <c r="Q3544" i="1"/>
  <c r="N3544" i="1"/>
  <c r="J3544" i="1"/>
  <c r="I3544" i="1"/>
  <c r="H3544" i="1"/>
  <c r="G3544" i="1"/>
  <c r="F3544" i="1"/>
  <c r="E3544" i="1"/>
  <c r="D3544" i="1"/>
  <c r="C3544" i="1"/>
  <c r="A3544" i="1"/>
  <c r="R3543" i="1"/>
  <c r="Q3543" i="1"/>
  <c r="N3543" i="1"/>
  <c r="J3543" i="1"/>
  <c r="I3543" i="1"/>
  <c r="H3543" i="1"/>
  <c r="G3543" i="1"/>
  <c r="F3543" i="1"/>
  <c r="E3543" i="1"/>
  <c r="D3543" i="1"/>
  <c r="C3543" i="1"/>
  <c r="A3543" i="1"/>
  <c r="R3542" i="1"/>
  <c r="Q3542" i="1"/>
  <c r="N3542" i="1"/>
  <c r="J3542" i="1"/>
  <c r="I3542" i="1"/>
  <c r="H3542" i="1"/>
  <c r="G3542" i="1"/>
  <c r="F3542" i="1"/>
  <c r="E3542" i="1"/>
  <c r="D3542" i="1"/>
  <c r="C3542" i="1"/>
  <c r="A3542" i="1"/>
  <c r="R3541" i="1"/>
  <c r="Q3541" i="1"/>
  <c r="N3541" i="1"/>
  <c r="J3541" i="1"/>
  <c r="I3541" i="1"/>
  <c r="H3541" i="1"/>
  <c r="G3541" i="1"/>
  <c r="F3541" i="1"/>
  <c r="E3541" i="1"/>
  <c r="D3541" i="1"/>
  <c r="C3541" i="1"/>
  <c r="A3541" i="1"/>
  <c r="R3540" i="1"/>
  <c r="Q3540" i="1"/>
  <c r="N3540" i="1"/>
  <c r="J3540" i="1"/>
  <c r="I3540" i="1"/>
  <c r="H3540" i="1"/>
  <c r="G3540" i="1"/>
  <c r="F3540" i="1"/>
  <c r="E3540" i="1"/>
  <c r="D3540" i="1"/>
  <c r="C3540" i="1"/>
  <c r="A3540" i="1"/>
  <c r="R3539" i="1"/>
  <c r="Q3539" i="1"/>
  <c r="N3539" i="1"/>
  <c r="J3539" i="1"/>
  <c r="I3539" i="1"/>
  <c r="H3539" i="1"/>
  <c r="G3539" i="1"/>
  <c r="F3539" i="1"/>
  <c r="E3539" i="1"/>
  <c r="D3539" i="1"/>
  <c r="C3539" i="1"/>
  <c r="A3539" i="1"/>
  <c r="R3538" i="1"/>
  <c r="N3538" i="1"/>
  <c r="J3538" i="1"/>
  <c r="I3538" i="1"/>
  <c r="H3538" i="1"/>
  <c r="G3538" i="1"/>
  <c r="F3538" i="1"/>
  <c r="E3538" i="1"/>
  <c r="D3538" i="1"/>
  <c r="C3538" i="1"/>
  <c r="A3538" i="1"/>
  <c r="R3537" i="1"/>
  <c r="Q3537" i="1"/>
  <c r="N3537" i="1"/>
  <c r="J3537" i="1"/>
  <c r="I3537" i="1"/>
  <c r="H3537" i="1"/>
  <c r="G3537" i="1"/>
  <c r="F3537" i="1"/>
  <c r="E3537" i="1"/>
  <c r="D3537" i="1"/>
  <c r="C3537" i="1"/>
  <c r="A3537" i="1"/>
  <c r="R3536" i="1"/>
  <c r="Q3536" i="1"/>
  <c r="N3536" i="1"/>
  <c r="J3536" i="1"/>
  <c r="I3536" i="1"/>
  <c r="H3536" i="1"/>
  <c r="G3536" i="1"/>
  <c r="F3536" i="1"/>
  <c r="E3536" i="1"/>
  <c r="D3536" i="1"/>
  <c r="C3536" i="1"/>
  <c r="A3536" i="1"/>
  <c r="R3535" i="1"/>
  <c r="Q3535" i="1"/>
  <c r="N3535" i="1"/>
  <c r="J3535" i="1"/>
  <c r="I3535" i="1"/>
  <c r="H3535" i="1"/>
  <c r="G3535" i="1"/>
  <c r="F3535" i="1"/>
  <c r="E3535" i="1"/>
  <c r="D3535" i="1"/>
  <c r="C3535" i="1"/>
  <c r="A3535" i="1"/>
  <c r="R3534" i="1"/>
  <c r="Q3534" i="1"/>
  <c r="N3534" i="1"/>
  <c r="J3534" i="1"/>
  <c r="I3534" i="1"/>
  <c r="H3534" i="1"/>
  <c r="G3534" i="1"/>
  <c r="F3534" i="1"/>
  <c r="E3534" i="1"/>
  <c r="D3534" i="1"/>
  <c r="C3534" i="1"/>
  <c r="A3534" i="1"/>
  <c r="R3533" i="1"/>
  <c r="Q3533" i="1"/>
  <c r="N3533" i="1"/>
  <c r="J3533" i="1"/>
  <c r="I3533" i="1"/>
  <c r="H3533" i="1"/>
  <c r="G3533" i="1"/>
  <c r="F3533" i="1"/>
  <c r="E3533" i="1"/>
  <c r="D3533" i="1"/>
  <c r="C3533" i="1"/>
  <c r="A3533" i="1"/>
  <c r="R3532" i="1"/>
  <c r="Q3532" i="1"/>
  <c r="N3532" i="1"/>
  <c r="J3532" i="1"/>
  <c r="I3532" i="1"/>
  <c r="H3532" i="1"/>
  <c r="G3532" i="1"/>
  <c r="F3532" i="1"/>
  <c r="E3532" i="1"/>
  <c r="D3532" i="1"/>
  <c r="C3532" i="1"/>
  <c r="A3532" i="1"/>
  <c r="R3531" i="1"/>
  <c r="Q3531" i="1"/>
  <c r="N3531" i="1"/>
  <c r="J3531" i="1"/>
  <c r="I3531" i="1"/>
  <c r="H3531" i="1"/>
  <c r="G3531" i="1"/>
  <c r="F3531" i="1"/>
  <c r="E3531" i="1"/>
  <c r="D3531" i="1"/>
  <c r="C3531" i="1"/>
  <c r="A3531" i="1"/>
  <c r="R3530" i="1"/>
  <c r="Q3530" i="1"/>
  <c r="N3530" i="1"/>
  <c r="J3530" i="1"/>
  <c r="I3530" i="1"/>
  <c r="H3530" i="1"/>
  <c r="G3530" i="1"/>
  <c r="F3530" i="1"/>
  <c r="E3530" i="1"/>
  <c r="D3530" i="1"/>
  <c r="C3530" i="1"/>
  <c r="A3530" i="1"/>
  <c r="R3529" i="1"/>
  <c r="Q3529" i="1"/>
  <c r="N3529" i="1"/>
  <c r="J3529" i="1"/>
  <c r="I3529" i="1"/>
  <c r="H3529" i="1"/>
  <c r="G3529" i="1"/>
  <c r="F3529" i="1"/>
  <c r="E3529" i="1"/>
  <c r="D3529" i="1"/>
  <c r="C3529" i="1"/>
  <c r="A3529" i="1"/>
  <c r="R3528" i="1"/>
  <c r="Q3528" i="1"/>
  <c r="N3528" i="1"/>
  <c r="J3528" i="1"/>
  <c r="I3528" i="1"/>
  <c r="H3528" i="1"/>
  <c r="G3528" i="1"/>
  <c r="F3528" i="1"/>
  <c r="E3528" i="1"/>
  <c r="D3528" i="1"/>
  <c r="C3528" i="1"/>
  <c r="A3528" i="1"/>
  <c r="R3527" i="1"/>
  <c r="Q3527" i="1"/>
  <c r="N3527" i="1"/>
  <c r="J3527" i="1"/>
  <c r="I3527" i="1"/>
  <c r="H3527" i="1"/>
  <c r="G3527" i="1"/>
  <c r="F3527" i="1"/>
  <c r="E3527" i="1"/>
  <c r="D3527" i="1"/>
  <c r="C3527" i="1"/>
  <c r="A3527" i="1"/>
  <c r="R3526" i="1"/>
  <c r="Q3526" i="1"/>
  <c r="N3526" i="1"/>
  <c r="J3526" i="1"/>
  <c r="I3526" i="1"/>
  <c r="H3526" i="1"/>
  <c r="G3526" i="1"/>
  <c r="F3526" i="1"/>
  <c r="E3526" i="1"/>
  <c r="D3526" i="1"/>
  <c r="C3526" i="1"/>
  <c r="A3526" i="1"/>
  <c r="R3525" i="1"/>
  <c r="Q3525" i="1"/>
  <c r="N3525" i="1"/>
  <c r="J3525" i="1"/>
  <c r="I3525" i="1"/>
  <c r="H3525" i="1"/>
  <c r="G3525" i="1"/>
  <c r="F3525" i="1"/>
  <c r="E3525" i="1"/>
  <c r="D3525" i="1"/>
  <c r="C3525" i="1"/>
  <c r="A3525" i="1"/>
  <c r="R3524" i="1"/>
  <c r="Q3524" i="1"/>
  <c r="N3524" i="1"/>
  <c r="J3524" i="1"/>
  <c r="I3524" i="1"/>
  <c r="H3524" i="1"/>
  <c r="G3524" i="1"/>
  <c r="F3524" i="1"/>
  <c r="E3524" i="1"/>
  <c r="D3524" i="1"/>
  <c r="C3524" i="1"/>
  <c r="A3524" i="1"/>
  <c r="R3523" i="1"/>
  <c r="Q3523" i="1"/>
  <c r="N3523" i="1"/>
  <c r="J3523" i="1"/>
  <c r="I3523" i="1"/>
  <c r="H3523" i="1"/>
  <c r="G3523" i="1"/>
  <c r="F3523" i="1"/>
  <c r="E3523" i="1"/>
  <c r="D3523" i="1"/>
  <c r="C3523" i="1"/>
  <c r="A3523" i="1"/>
  <c r="R3522" i="1"/>
  <c r="Q3522" i="1"/>
  <c r="N3522" i="1"/>
  <c r="J3522" i="1"/>
  <c r="I3522" i="1"/>
  <c r="H3522" i="1"/>
  <c r="G3522" i="1"/>
  <c r="F3522" i="1"/>
  <c r="E3522" i="1"/>
  <c r="D3522" i="1"/>
  <c r="C3522" i="1"/>
  <c r="A3522" i="1"/>
  <c r="R3521" i="1"/>
  <c r="Q3521" i="1"/>
  <c r="N3521" i="1"/>
  <c r="J3521" i="1"/>
  <c r="I3521" i="1"/>
  <c r="H3521" i="1"/>
  <c r="G3521" i="1"/>
  <c r="F3521" i="1"/>
  <c r="E3521" i="1"/>
  <c r="D3521" i="1"/>
  <c r="C3521" i="1"/>
  <c r="A3521" i="1"/>
  <c r="R3520" i="1"/>
  <c r="Q3520" i="1"/>
  <c r="N3520" i="1"/>
  <c r="J3520" i="1"/>
  <c r="I3520" i="1"/>
  <c r="H3520" i="1"/>
  <c r="G3520" i="1"/>
  <c r="F3520" i="1"/>
  <c r="E3520" i="1"/>
  <c r="D3520" i="1"/>
  <c r="C3520" i="1"/>
  <c r="A3520" i="1"/>
  <c r="R3519" i="1"/>
  <c r="Q3519" i="1"/>
  <c r="N3519" i="1"/>
  <c r="J3519" i="1"/>
  <c r="I3519" i="1"/>
  <c r="H3519" i="1"/>
  <c r="G3519" i="1"/>
  <c r="F3519" i="1"/>
  <c r="E3519" i="1"/>
  <c r="D3519" i="1"/>
  <c r="C3519" i="1"/>
  <c r="A3519" i="1"/>
  <c r="R3518" i="1"/>
  <c r="Q3518" i="1"/>
  <c r="N3518" i="1"/>
  <c r="J3518" i="1"/>
  <c r="I3518" i="1"/>
  <c r="H3518" i="1"/>
  <c r="G3518" i="1"/>
  <c r="F3518" i="1"/>
  <c r="E3518" i="1"/>
  <c r="D3518" i="1"/>
  <c r="C3518" i="1"/>
  <c r="A3518" i="1"/>
  <c r="R3517" i="1"/>
  <c r="Q3517" i="1"/>
  <c r="N3517" i="1"/>
  <c r="J3517" i="1"/>
  <c r="I3517" i="1"/>
  <c r="H3517" i="1"/>
  <c r="G3517" i="1"/>
  <c r="F3517" i="1"/>
  <c r="E3517" i="1"/>
  <c r="D3517" i="1"/>
  <c r="C3517" i="1"/>
  <c r="A3517" i="1"/>
  <c r="R3516" i="1"/>
  <c r="Q3516" i="1"/>
  <c r="N3516" i="1"/>
  <c r="J3516" i="1"/>
  <c r="I3516" i="1"/>
  <c r="H3516" i="1"/>
  <c r="G3516" i="1"/>
  <c r="F3516" i="1"/>
  <c r="E3516" i="1"/>
  <c r="D3516" i="1"/>
  <c r="C3516" i="1"/>
  <c r="A3516" i="1"/>
  <c r="R3515" i="1"/>
  <c r="Q3515" i="1"/>
  <c r="N3515" i="1"/>
  <c r="J3515" i="1"/>
  <c r="I3515" i="1"/>
  <c r="H3515" i="1"/>
  <c r="G3515" i="1"/>
  <c r="F3515" i="1"/>
  <c r="E3515" i="1"/>
  <c r="D3515" i="1"/>
  <c r="C3515" i="1"/>
  <c r="A3515" i="1"/>
  <c r="R3514" i="1"/>
  <c r="Q3514" i="1"/>
  <c r="N3514" i="1"/>
  <c r="J3514" i="1"/>
  <c r="I3514" i="1"/>
  <c r="H3514" i="1"/>
  <c r="G3514" i="1"/>
  <c r="F3514" i="1"/>
  <c r="E3514" i="1"/>
  <c r="D3514" i="1"/>
  <c r="C3514" i="1"/>
  <c r="A3514" i="1"/>
  <c r="R3513" i="1"/>
  <c r="Q3513" i="1"/>
  <c r="N3513" i="1"/>
  <c r="J3513" i="1"/>
  <c r="I3513" i="1"/>
  <c r="H3513" i="1"/>
  <c r="G3513" i="1"/>
  <c r="F3513" i="1"/>
  <c r="E3513" i="1"/>
  <c r="D3513" i="1"/>
  <c r="C3513" i="1"/>
  <c r="A3513" i="1"/>
  <c r="R3512" i="1"/>
  <c r="Q3512" i="1"/>
  <c r="N3512" i="1"/>
  <c r="J3512" i="1"/>
  <c r="I3512" i="1"/>
  <c r="H3512" i="1"/>
  <c r="G3512" i="1"/>
  <c r="F3512" i="1"/>
  <c r="E3512" i="1"/>
  <c r="D3512" i="1"/>
  <c r="C3512" i="1"/>
  <c r="A3512" i="1"/>
  <c r="R3511" i="1"/>
  <c r="Q3511" i="1"/>
  <c r="N3511" i="1"/>
  <c r="J3511" i="1"/>
  <c r="I3511" i="1"/>
  <c r="H3511" i="1"/>
  <c r="G3511" i="1"/>
  <c r="F3511" i="1"/>
  <c r="E3511" i="1"/>
  <c r="D3511" i="1"/>
  <c r="C3511" i="1"/>
  <c r="A3511" i="1"/>
  <c r="R3510" i="1"/>
  <c r="Q3510" i="1"/>
  <c r="N3510" i="1"/>
  <c r="J3510" i="1"/>
  <c r="I3510" i="1"/>
  <c r="H3510" i="1"/>
  <c r="G3510" i="1"/>
  <c r="F3510" i="1"/>
  <c r="E3510" i="1"/>
  <c r="D3510" i="1"/>
  <c r="C3510" i="1"/>
  <c r="A3510" i="1"/>
  <c r="R3509" i="1"/>
  <c r="Q3509" i="1"/>
  <c r="N3509" i="1"/>
  <c r="J3509" i="1"/>
  <c r="I3509" i="1"/>
  <c r="H3509" i="1"/>
  <c r="G3509" i="1"/>
  <c r="F3509" i="1"/>
  <c r="E3509" i="1"/>
  <c r="D3509" i="1"/>
  <c r="C3509" i="1"/>
  <c r="A3509" i="1"/>
  <c r="R3508" i="1"/>
  <c r="Q3508" i="1"/>
  <c r="N3508" i="1"/>
  <c r="J3508" i="1"/>
  <c r="I3508" i="1"/>
  <c r="H3508" i="1"/>
  <c r="G3508" i="1"/>
  <c r="F3508" i="1"/>
  <c r="E3508" i="1"/>
  <c r="D3508" i="1"/>
  <c r="C3508" i="1"/>
  <c r="A3508" i="1"/>
  <c r="R3507" i="1"/>
  <c r="Q3507" i="1"/>
  <c r="N3507" i="1"/>
  <c r="J3507" i="1"/>
  <c r="I3507" i="1"/>
  <c r="H3507" i="1"/>
  <c r="G3507" i="1"/>
  <c r="F3507" i="1"/>
  <c r="E3507" i="1"/>
  <c r="D3507" i="1"/>
  <c r="C3507" i="1"/>
  <c r="A3507" i="1"/>
  <c r="R3506" i="1"/>
  <c r="Q3506" i="1"/>
  <c r="N3506" i="1"/>
  <c r="J3506" i="1"/>
  <c r="I3506" i="1"/>
  <c r="H3506" i="1"/>
  <c r="G3506" i="1"/>
  <c r="F3506" i="1"/>
  <c r="E3506" i="1"/>
  <c r="D3506" i="1"/>
  <c r="C3506" i="1"/>
  <c r="A3506" i="1"/>
  <c r="R3505" i="1"/>
  <c r="Q3505" i="1"/>
  <c r="N3505" i="1"/>
  <c r="J3505" i="1"/>
  <c r="I3505" i="1"/>
  <c r="H3505" i="1"/>
  <c r="G3505" i="1"/>
  <c r="F3505" i="1"/>
  <c r="E3505" i="1"/>
  <c r="D3505" i="1"/>
  <c r="C3505" i="1"/>
  <c r="A3505" i="1"/>
  <c r="R3504" i="1"/>
  <c r="Q3504" i="1"/>
  <c r="N3504" i="1"/>
  <c r="J3504" i="1"/>
  <c r="I3504" i="1"/>
  <c r="H3504" i="1"/>
  <c r="G3504" i="1"/>
  <c r="F3504" i="1"/>
  <c r="E3504" i="1"/>
  <c r="D3504" i="1"/>
  <c r="C3504" i="1"/>
  <c r="A3504" i="1"/>
  <c r="R3503" i="1"/>
  <c r="Q3503" i="1"/>
  <c r="N3503" i="1"/>
  <c r="J3503" i="1"/>
  <c r="I3503" i="1"/>
  <c r="H3503" i="1"/>
  <c r="G3503" i="1"/>
  <c r="F3503" i="1"/>
  <c r="E3503" i="1"/>
  <c r="D3503" i="1"/>
  <c r="C3503" i="1"/>
  <c r="A3503" i="1"/>
  <c r="R3502" i="1"/>
  <c r="Q3502" i="1"/>
  <c r="N3502" i="1"/>
  <c r="J3502" i="1"/>
  <c r="I3502" i="1"/>
  <c r="H3502" i="1"/>
  <c r="G3502" i="1"/>
  <c r="F3502" i="1"/>
  <c r="E3502" i="1"/>
  <c r="D3502" i="1"/>
  <c r="C3502" i="1"/>
  <c r="A3502" i="1"/>
  <c r="R3501" i="1"/>
  <c r="Q3501" i="1"/>
  <c r="N3501" i="1"/>
  <c r="J3501" i="1"/>
  <c r="I3501" i="1"/>
  <c r="H3501" i="1"/>
  <c r="G3501" i="1"/>
  <c r="F3501" i="1"/>
  <c r="E3501" i="1"/>
  <c r="D3501" i="1"/>
  <c r="C3501" i="1"/>
  <c r="A3501" i="1"/>
  <c r="R3500" i="1"/>
  <c r="Q3500" i="1"/>
  <c r="N3500" i="1"/>
  <c r="J3500" i="1"/>
  <c r="I3500" i="1"/>
  <c r="H3500" i="1"/>
  <c r="G3500" i="1"/>
  <c r="F3500" i="1"/>
  <c r="E3500" i="1"/>
  <c r="D3500" i="1"/>
  <c r="C3500" i="1"/>
  <c r="A3500" i="1"/>
  <c r="R3499" i="1"/>
  <c r="Q3499" i="1"/>
  <c r="N3499" i="1"/>
  <c r="J3499" i="1"/>
  <c r="I3499" i="1"/>
  <c r="H3499" i="1"/>
  <c r="G3499" i="1"/>
  <c r="F3499" i="1"/>
  <c r="E3499" i="1"/>
  <c r="D3499" i="1"/>
  <c r="C3499" i="1"/>
  <c r="A3499" i="1"/>
  <c r="R3498" i="1"/>
  <c r="Q3498" i="1"/>
  <c r="N3498" i="1"/>
  <c r="J3498" i="1"/>
  <c r="I3498" i="1"/>
  <c r="H3498" i="1"/>
  <c r="G3498" i="1"/>
  <c r="F3498" i="1"/>
  <c r="E3498" i="1"/>
  <c r="D3498" i="1"/>
  <c r="C3498" i="1"/>
  <c r="A3498" i="1"/>
  <c r="R3497" i="1"/>
  <c r="Q3497" i="1"/>
  <c r="N3497" i="1"/>
  <c r="J3497" i="1"/>
  <c r="I3497" i="1"/>
  <c r="H3497" i="1"/>
  <c r="G3497" i="1"/>
  <c r="F3497" i="1"/>
  <c r="E3497" i="1"/>
  <c r="D3497" i="1"/>
  <c r="C3497" i="1"/>
  <c r="A3497" i="1"/>
  <c r="R3496" i="1"/>
  <c r="Q3496" i="1"/>
  <c r="N3496" i="1"/>
  <c r="J3496" i="1"/>
  <c r="I3496" i="1"/>
  <c r="H3496" i="1"/>
  <c r="G3496" i="1"/>
  <c r="F3496" i="1"/>
  <c r="E3496" i="1"/>
  <c r="D3496" i="1"/>
  <c r="C3496" i="1"/>
  <c r="A3496" i="1"/>
  <c r="R3495" i="1"/>
  <c r="Q3495" i="1"/>
  <c r="N3495" i="1"/>
  <c r="J3495" i="1"/>
  <c r="I3495" i="1"/>
  <c r="H3495" i="1"/>
  <c r="G3495" i="1"/>
  <c r="F3495" i="1"/>
  <c r="E3495" i="1"/>
  <c r="D3495" i="1"/>
  <c r="C3495" i="1"/>
  <c r="A3495" i="1"/>
  <c r="R3494" i="1"/>
  <c r="Q3494" i="1"/>
  <c r="N3494" i="1"/>
  <c r="J3494" i="1"/>
  <c r="I3494" i="1"/>
  <c r="H3494" i="1"/>
  <c r="G3494" i="1"/>
  <c r="F3494" i="1"/>
  <c r="E3494" i="1"/>
  <c r="D3494" i="1"/>
  <c r="C3494" i="1"/>
  <c r="A3494" i="1"/>
  <c r="R3493" i="1"/>
  <c r="Q3493" i="1"/>
  <c r="N3493" i="1"/>
  <c r="J3493" i="1"/>
  <c r="I3493" i="1"/>
  <c r="H3493" i="1"/>
  <c r="G3493" i="1"/>
  <c r="F3493" i="1"/>
  <c r="E3493" i="1"/>
  <c r="D3493" i="1"/>
  <c r="C3493" i="1"/>
  <c r="A3493" i="1"/>
  <c r="R3492" i="1"/>
  <c r="N3492" i="1"/>
  <c r="J3492" i="1"/>
  <c r="I3492" i="1"/>
  <c r="H3492" i="1"/>
  <c r="G3492" i="1"/>
  <c r="F3492" i="1"/>
  <c r="E3492" i="1"/>
  <c r="D3492" i="1"/>
  <c r="C3492" i="1"/>
  <c r="B3492" i="1"/>
  <c r="A3492" i="1"/>
  <c r="R3491" i="1"/>
  <c r="Q3491" i="1"/>
  <c r="N3491" i="1"/>
  <c r="J3491" i="1"/>
  <c r="I3491" i="1"/>
  <c r="H3491" i="1"/>
  <c r="G3491" i="1"/>
  <c r="F3491" i="1"/>
  <c r="E3491" i="1"/>
  <c r="D3491" i="1"/>
  <c r="C3491" i="1"/>
  <c r="B3491" i="1"/>
  <c r="A3491" i="1"/>
  <c r="R3490" i="1"/>
  <c r="N3490" i="1"/>
  <c r="J3490" i="1"/>
  <c r="I3490" i="1"/>
  <c r="H3490" i="1"/>
  <c r="G3490" i="1"/>
  <c r="F3490" i="1"/>
  <c r="E3490" i="1"/>
  <c r="D3490" i="1"/>
  <c r="C3490" i="1"/>
  <c r="B3490" i="1"/>
  <c r="A3490" i="1"/>
  <c r="R3489" i="1"/>
  <c r="Q3489" i="1"/>
  <c r="N3489" i="1"/>
  <c r="J3489" i="1"/>
  <c r="I3489" i="1"/>
  <c r="H3489" i="1"/>
  <c r="G3489" i="1"/>
  <c r="F3489" i="1"/>
  <c r="E3489" i="1"/>
  <c r="D3489" i="1"/>
  <c r="C3489" i="1"/>
  <c r="B3489" i="1"/>
  <c r="A3489" i="1"/>
  <c r="R3488" i="1"/>
  <c r="N3488" i="1"/>
  <c r="J3488" i="1"/>
  <c r="I3488" i="1"/>
  <c r="H3488" i="1"/>
  <c r="G3488" i="1"/>
  <c r="F3488" i="1"/>
  <c r="E3488" i="1"/>
  <c r="D3488" i="1"/>
  <c r="C3488" i="1"/>
  <c r="B3488" i="1"/>
  <c r="A3488" i="1"/>
  <c r="R3487" i="1"/>
  <c r="Q3487" i="1"/>
  <c r="N3487" i="1"/>
  <c r="J3487" i="1"/>
  <c r="I3487" i="1"/>
  <c r="H3487" i="1"/>
  <c r="G3487" i="1"/>
  <c r="F3487" i="1"/>
  <c r="E3487" i="1"/>
  <c r="D3487" i="1"/>
  <c r="C3487" i="1"/>
  <c r="B3487" i="1"/>
  <c r="A3487" i="1"/>
  <c r="R3486" i="1"/>
  <c r="N3486" i="1"/>
  <c r="J3486" i="1"/>
  <c r="I3486" i="1"/>
  <c r="H3486" i="1"/>
  <c r="G3486" i="1"/>
  <c r="F3486" i="1"/>
  <c r="E3486" i="1"/>
  <c r="D3486" i="1"/>
  <c r="C3486" i="1"/>
  <c r="B3486" i="1"/>
  <c r="A3486" i="1"/>
  <c r="R3485" i="1"/>
  <c r="Q3485" i="1"/>
  <c r="N3485" i="1"/>
  <c r="J3485" i="1"/>
  <c r="I3485" i="1"/>
  <c r="H3485" i="1"/>
  <c r="G3485" i="1"/>
  <c r="F3485" i="1"/>
  <c r="E3485" i="1"/>
  <c r="D3485" i="1"/>
  <c r="C3485" i="1"/>
  <c r="B3485" i="1"/>
  <c r="A3485" i="1"/>
  <c r="R3484" i="1"/>
  <c r="N3484" i="1"/>
  <c r="J3484" i="1"/>
  <c r="I3484" i="1"/>
  <c r="H3484" i="1"/>
  <c r="G3484" i="1"/>
  <c r="F3484" i="1"/>
  <c r="E3484" i="1"/>
  <c r="D3484" i="1"/>
  <c r="C3484" i="1"/>
  <c r="B3484" i="1"/>
  <c r="A3484" i="1"/>
  <c r="R3483" i="1"/>
  <c r="Q3483" i="1"/>
  <c r="N3483" i="1"/>
  <c r="J3483" i="1"/>
  <c r="I3483" i="1"/>
  <c r="H3483" i="1"/>
  <c r="G3483" i="1"/>
  <c r="F3483" i="1"/>
  <c r="E3483" i="1"/>
  <c r="D3483" i="1"/>
  <c r="C3483" i="1"/>
  <c r="A3483" i="1"/>
  <c r="R3482" i="1"/>
  <c r="N3482" i="1"/>
  <c r="J3482" i="1"/>
  <c r="I3482" i="1"/>
  <c r="H3482" i="1"/>
  <c r="G3482" i="1"/>
  <c r="F3482" i="1"/>
  <c r="E3482" i="1"/>
  <c r="D3482" i="1"/>
  <c r="C3482" i="1"/>
  <c r="A3482" i="1"/>
  <c r="R3481" i="1"/>
  <c r="Q3481" i="1"/>
  <c r="N3481" i="1"/>
  <c r="J3481" i="1"/>
  <c r="I3481" i="1"/>
  <c r="H3481" i="1"/>
  <c r="G3481" i="1"/>
  <c r="F3481" i="1"/>
  <c r="E3481" i="1"/>
  <c r="D3481" i="1"/>
  <c r="C3481" i="1"/>
  <c r="A3481" i="1"/>
  <c r="R3480" i="1"/>
  <c r="N3480" i="1"/>
  <c r="J3480" i="1"/>
  <c r="I3480" i="1"/>
  <c r="H3480" i="1"/>
  <c r="G3480" i="1"/>
  <c r="F3480" i="1"/>
  <c r="E3480" i="1"/>
  <c r="D3480" i="1"/>
  <c r="C3480" i="1"/>
  <c r="A3480" i="1"/>
  <c r="R3479" i="1"/>
  <c r="Q3479" i="1"/>
  <c r="N3479" i="1"/>
  <c r="J3479" i="1"/>
  <c r="I3479" i="1"/>
  <c r="H3479" i="1"/>
  <c r="G3479" i="1"/>
  <c r="F3479" i="1"/>
  <c r="E3479" i="1"/>
  <c r="D3479" i="1"/>
  <c r="C3479" i="1"/>
  <c r="A3479" i="1"/>
  <c r="R3478" i="1"/>
  <c r="N3478" i="1"/>
  <c r="J3478" i="1"/>
  <c r="I3478" i="1"/>
  <c r="H3478" i="1"/>
  <c r="G3478" i="1"/>
  <c r="F3478" i="1"/>
  <c r="E3478" i="1"/>
  <c r="D3478" i="1"/>
  <c r="C3478" i="1"/>
  <c r="A3478" i="1"/>
  <c r="R3477" i="1"/>
  <c r="Q3477" i="1"/>
  <c r="N3477" i="1"/>
  <c r="J3477" i="1"/>
  <c r="I3477" i="1"/>
  <c r="H3477" i="1"/>
  <c r="G3477" i="1"/>
  <c r="F3477" i="1"/>
  <c r="E3477" i="1"/>
  <c r="D3477" i="1"/>
  <c r="C3477" i="1"/>
  <c r="A3477" i="1"/>
  <c r="R3476" i="1"/>
  <c r="N3476" i="1"/>
  <c r="J3476" i="1"/>
  <c r="I3476" i="1"/>
  <c r="H3476" i="1"/>
  <c r="G3476" i="1"/>
  <c r="F3476" i="1"/>
  <c r="E3476" i="1"/>
  <c r="D3476" i="1"/>
  <c r="C3476" i="1"/>
  <c r="A3476" i="1"/>
  <c r="R3475" i="1"/>
  <c r="Q3475" i="1"/>
  <c r="N3475" i="1"/>
  <c r="J3475" i="1"/>
  <c r="I3475" i="1"/>
  <c r="H3475" i="1"/>
  <c r="G3475" i="1"/>
  <c r="F3475" i="1"/>
  <c r="E3475" i="1"/>
  <c r="D3475" i="1"/>
  <c r="C3475" i="1"/>
  <c r="A3475" i="1"/>
  <c r="R3474" i="1"/>
  <c r="N3474" i="1"/>
  <c r="J3474" i="1"/>
  <c r="I3474" i="1"/>
  <c r="H3474" i="1"/>
  <c r="G3474" i="1"/>
  <c r="F3474" i="1"/>
  <c r="E3474" i="1"/>
  <c r="D3474" i="1"/>
  <c r="C3474" i="1"/>
  <c r="A3474" i="1"/>
  <c r="R3473" i="1"/>
  <c r="Q3473" i="1"/>
  <c r="N3473" i="1"/>
  <c r="J3473" i="1"/>
  <c r="I3473" i="1"/>
  <c r="H3473" i="1"/>
  <c r="G3473" i="1"/>
  <c r="F3473" i="1"/>
  <c r="E3473" i="1"/>
  <c r="D3473" i="1"/>
  <c r="C3473" i="1"/>
  <c r="A3473" i="1"/>
  <c r="R3472" i="1"/>
  <c r="N3472" i="1"/>
  <c r="J3472" i="1"/>
  <c r="I3472" i="1"/>
  <c r="H3472" i="1"/>
  <c r="G3472" i="1"/>
  <c r="F3472" i="1"/>
  <c r="E3472" i="1"/>
  <c r="D3472" i="1"/>
  <c r="C3472" i="1"/>
  <c r="A3472" i="1"/>
  <c r="R3471" i="1"/>
  <c r="Q3471" i="1"/>
  <c r="N3471" i="1"/>
  <c r="J3471" i="1"/>
  <c r="I3471" i="1"/>
  <c r="H3471" i="1"/>
  <c r="G3471" i="1"/>
  <c r="F3471" i="1"/>
  <c r="E3471" i="1"/>
  <c r="D3471" i="1"/>
  <c r="C3471" i="1"/>
  <c r="A3471" i="1"/>
  <c r="R3470" i="1"/>
  <c r="N3470" i="1"/>
  <c r="J3470" i="1"/>
  <c r="I3470" i="1"/>
  <c r="H3470" i="1"/>
  <c r="G3470" i="1"/>
  <c r="F3470" i="1"/>
  <c r="E3470" i="1"/>
  <c r="D3470" i="1"/>
  <c r="C3470" i="1"/>
  <c r="A3470" i="1"/>
  <c r="R3469" i="1"/>
  <c r="Q3469" i="1"/>
  <c r="N3469" i="1"/>
  <c r="J3469" i="1"/>
  <c r="I3469" i="1"/>
  <c r="H3469" i="1"/>
  <c r="G3469" i="1"/>
  <c r="F3469" i="1"/>
  <c r="E3469" i="1"/>
  <c r="D3469" i="1"/>
  <c r="C3469" i="1"/>
  <c r="A3469" i="1"/>
  <c r="R3468" i="1"/>
  <c r="N3468" i="1"/>
  <c r="J3468" i="1"/>
  <c r="I3468" i="1"/>
  <c r="H3468" i="1"/>
  <c r="G3468" i="1"/>
  <c r="F3468" i="1"/>
  <c r="E3468" i="1"/>
  <c r="D3468" i="1"/>
  <c r="C3468" i="1"/>
  <c r="A3468" i="1"/>
  <c r="R3467" i="1"/>
  <c r="Q3467" i="1"/>
  <c r="N3467" i="1"/>
  <c r="J3467" i="1"/>
  <c r="I3467" i="1"/>
  <c r="H3467" i="1"/>
  <c r="G3467" i="1"/>
  <c r="F3467" i="1"/>
  <c r="E3467" i="1"/>
  <c r="D3467" i="1"/>
  <c r="C3467" i="1"/>
  <c r="A3467" i="1"/>
  <c r="R3466" i="1"/>
  <c r="N3466" i="1"/>
  <c r="J3466" i="1"/>
  <c r="I3466" i="1"/>
  <c r="H3466" i="1"/>
  <c r="G3466" i="1"/>
  <c r="F3466" i="1"/>
  <c r="E3466" i="1"/>
  <c r="D3466" i="1"/>
  <c r="C3466" i="1"/>
  <c r="A3466" i="1"/>
  <c r="R3465" i="1"/>
  <c r="Q3465" i="1"/>
  <c r="N3465" i="1"/>
  <c r="J3465" i="1"/>
  <c r="I3465" i="1"/>
  <c r="H3465" i="1"/>
  <c r="G3465" i="1"/>
  <c r="F3465" i="1"/>
  <c r="E3465" i="1"/>
  <c r="D3465" i="1"/>
  <c r="C3465" i="1"/>
  <c r="A3465" i="1"/>
  <c r="R3464" i="1"/>
  <c r="N3464" i="1"/>
  <c r="J3464" i="1"/>
  <c r="I3464" i="1"/>
  <c r="H3464" i="1"/>
  <c r="G3464" i="1"/>
  <c r="F3464" i="1"/>
  <c r="E3464" i="1"/>
  <c r="D3464" i="1"/>
  <c r="C3464" i="1"/>
  <c r="A3464" i="1"/>
  <c r="R3463" i="1"/>
  <c r="Q3463" i="1"/>
  <c r="N3463" i="1"/>
  <c r="J3463" i="1"/>
  <c r="I3463" i="1"/>
  <c r="H3463" i="1"/>
  <c r="G3463" i="1"/>
  <c r="F3463" i="1"/>
  <c r="E3463" i="1"/>
  <c r="D3463" i="1"/>
  <c r="C3463" i="1"/>
  <c r="A3463" i="1"/>
  <c r="R3462" i="1"/>
  <c r="N3462" i="1"/>
  <c r="J3462" i="1"/>
  <c r="I3462" i="1"/>
  <c r="H3462" i="1"/>
  <c r="G3462" i="1"/>
  <c r="F3462" i="1"/>
  <c r="E3462" i="1"/>
  <c r="D3462" i="1"/>
  <c r="C3462" i="1"/>
  <c r="A3462" i="1"/>
  <c r="R3461" i="1"/>
  <c r="Q3461" i="1"/>
  <c r="N3461" i="1"/>
  <c r="J3461" i="1"/>
  <c r="I3461" i="1"/>
  <c r="H3461" i="1"/>
  <c r="G3461" i="1"/>
  <c r="F3461" i="1"/>
  <c r="E3461" i="1"/>
  <c r="D3461" i="1"/>
  <c r="C3461" i="1"/>
  <c r="A3461" i="1"/>
  <c r="R3460" i="1"/>
  <c r="Q3460" i="1"/>
  <c r="N3460" i="1"/>
  <c r="J3460" i="1"/>
  <c r="I3460" i="1"/>
  <c r="H3460" i="1"/>
  <c r="G3460" i="1"/>
  <c r="F3460" i="1"/>
  <c r="E3460" i="1"/>
  <c r="D3460" i="1"/>
  <c r="C3460" i="1"/>
  <c r="A3460" i="1"/>
  <c r="R3459" i="1"/>
  <c r="Q3459" i="1"/>
  <c r="N3459" i="1"/>
  <c r="J3459" i="1"/>
  <c r="I3459" i="1"/>
  <c r="H3459" i="1"/>
  <c r="G3459" i="1"/>
  <c r="F3459" i="1"/>
  <c r="E3459" i="1"/>
  <c r="D3459" i="1"/>
  <c r="C3459" i="1"/>
  <c r="A3459" i="1"/>
  <c r="R3458" i="1"/>
  <c r="N3458" i="1"/>
  <c r="J3458" i="1"/>
  <c r="I3458" i="1"/>
  <c r="H3458" i="1"/>
  <c r="G3458" i="1"/>
  <c r="F3458" i="1"/>
  <c r="E3458" i="1"/>
  <c r="D3458" i="1"/>
  <c r="C3458" i="1"/>
  <c r="A3458" i="1"/>
  <c r="R3457" i="1"/>
  <c r="Q3457" i="1"/>
  <c r="N3457" i="1"/>
  <c r="J3457" i="1"/>
  <c r="I3457" i="1"/>
  <c r="H3457" i="1"/>
  <c r="G3457" i="1"/>
  <c r="F3457" i="1"/>
  <c r="E3457" i="1"/>
  <c r="D3457" i="1"/>
  <c r="C3457" i="1"/>
  <c r="A3457" i="1"/>
  <c r="R3456" i="1"/>
  <c r="N3456" i="1"/>
  <c r="J3456" i="1"/>
  <c r="I3456" i="1"/>
  <c r="H3456" i="1"/>
  <c r="G3456" i="1"/>
  <c r="F3456" i="1"/>
  <c r="E3456" i="1"/>
  <c r="D3456" i="1"/>
  <c r="C3456" i="1"/>
  <c r="A3456" i="1"/>
  <c r="R3455" i="1"/>
  <c r="Q3455" i="1"/>
  <c r="N3455" i="1"/>
  <c r="J3455" i="1"/>
  <c r="I3455" i="1"/>
  <c r="H3455" i="1"/>
  <c r="G3455" i="1"/>
  <c r="F3455" i="1"/>
  <c r="E3455" i="1"/>
  <c r="D3455" i="1"/>
  <c r="C3455" i="1"/>
  <c r="A3455" i="1"/>
  <c r="R3454" i="1"/>
  <c r="N3454" i="1"/>
  <c r="J3454" i="1"/>
  <c r="I3454" i="1"/>
  <c r="H3454" i="1"/>
  <c r="G3454" i="1"/>
  <c r="F3454" i="1"/>
  <c r="E3454" i="1"/>
  <c r="D3454" i="1"/>
  <c r="C3454" i="1"/>
  <c r="A3454" i="1"/>
  <c r="R3453" i="1"/>
  <c r="Q3453" i="1"/>
  <c r="N3453" i="1"/>
  <c r="J3453" i="1"/>
  <c r="I3453" i="1"/>
  <c r="H3453" i="1"/>
  <c r="G3453" i="1"/>
  <c r="F3453" i="1"/>
  <c r="E3453" i="1"/>
  <c r="D3453" i="1"/>
  <c r="C3453" i="1"/>
  <c r="A3453" i="1"/>
  <c r="R3452" i="1"/>
  <c r="N3452" i="1"/>
  <c r="J3452" i="1"/>
  <c r="I3452" i="1"/>
  <c r="H3452" i="1"/>
  <c r="G3452" i="1"/>
  <c r="F3452" i="1"/>
  <c r="E3452" i="1"/>
  <c r="D3452" i="1"/>
  <c r="C3452" i="1"/>
  <c r="A3452" i="1"/>
  <c r="R3451" i="1"/>
  <c r="Q3451" i="1"/>
  <c r="N3451" i="1"/>
  <c r="J3451" i="1"/>
  <c r="I3451" i="1"/>
  <c r="H3451" i="1"/>
  <c r="G3451" i="1"/>
  <c r="F3451" i="1"/>
  <c r="E3451" i="1"/>
  <c r="D3451" i="1"/>
  <c r="C3451" i="1"/>
  <c r="A3451" i="1"/>
  <c r="R3450" i="1"/>
  <c r="Q3450" i="1"/>
  <c r="N3450" i="1"/>
  <c r="J3450" i="1"/>
  <c r="I3450" i="1"/>
  <c r="H3450" i="1"/>
  <c r="G3450" i="1"/>
  <c r="F3450" i="1"/>
  <c r="E3450" i="1"/>
  <c r="D3450" i="1"/>
  <c r="C3450" i="1"/>
  <c r="A3450" i="1"/>
  <c r="R3449" i="1"/>
  <c r="N3449" i="1"/>
  <c r="J3449" i="1"/>
  <c r="I3449" i="1"/>
  <c r="H3449" i="1"/>
  <c r="G3449" i="1"/>
  <c r="F3449" i="1"/>
  <c r="E3449" i="1"/>
  <c r="D3449" i="1"/>
  <c r="C3449" i="1"/>
  <c r="A3449" i="1"/>
  <c r="R3448" i="1"/>
  <c r="Q3448" i="1"/>
  <c r="N3448" i="1"/>
  <c r="J3448" i="1"/>
  <c r="I3448" i="1"/>
  <c r="H3448" i="1"/>
  <c r="G3448" i="1"/>
  <c r="F3448" i="1"/>
  <c r="E3448" i="1"/>
  <c r="D3448" i="1"/>
  <c r="C3448" i="1"/>
  <c r="A3448" i="1"/>
  <c r="R3447" i="1"/>
  <c r="N3447" i="1"/>
  <c r="J3447" i="1"/>
  <c r="I3447" i="1"/>
  <c r="H3447" i="1"/>
  <c r="G3447" i="1"/>
  <c r="F3447" i="1"/>
  <c r="E3447" i="1"/>
  <c r="D3447" i="1"/>
  <c r="C3447" i="1"/>
  <c r="B3447" i="1"/>
  <c r="A3447" i="1"/>
  <c r="R3446" i="1"/>
  <c r="N3446" i="1"/>
  <c r="J3446" i="1"/>
  <c r="I3446" i="1"/>
  <c r="H3446" i="1"/>
  <c r="G3446" i="1"/>
  <c r="F3446" i="1"/>
  <c r="E3446" i="1"/>
  <c r="D3446" i="1"/>
  <c r="C3446" i="1"/>
  <c r="B3446" i="1"/>
  <c r="A3446" i="1"/>
  <c r="R3445" i="1"/>
  <c r="N3445" i="1"/>
  <c r="J3445" i="1"/>
  <c r="I3445" i="1"/>
  <c r="H3445" i="1"/>
  <c r="G3445" i="1"/>
  <c r="F3445" i="1"/>
  <c r="E3445" i="1"/>
  <c r="D3445" i="1"/>
  <c r="C3445" i="1"/>
  <c r="B3445" i="1"/>
  <c r="A3445" i="1"/>
  <c r="R3444" i="1"/>
  <c r="N3444" i="1"/>
  <c r="J3444" i="1"/>
  <c r="I3444" i="1"/>
  <c r="H3444" i="1"/>
  <c r="G3444" i="1"/>
  <c r="F3444" i="1"/>
  <c r="E3444" i="1"/>
  <c r="D3444" i="1"/>
  <c r="C3444" i="1"/>
  <c r="B3444" i="1"/>
  <c r="A3444" i="1"/>
  <c r="R3443" i="1"/>
  <c r="N3443" i="1"/>
  <c r="J3443" i="1"/>
  <c r="I3443" i="1"/>
  <c r="H3443" i="1"/>
  <c r="G3443" i="1"/>
  <c r="F3443" i="1"/>
  <c r="E3443" i="1"/>
  <c r="D3443" i="1"/>
  <c r="C3443" i="1"/>
  <c r="B3443" i="1"/>
  <c r="A3443" i="1"/>
  <c r="R3442" i="1"/>
  <c r="N3442" i="1"/>
  <c r="J3442" i="1"/>
  <c r="I3442" i="1"/>
  <c r="H3442" i="1"/>
  <c r="G3442" i="1"/>
  <c r="F3442" i="1"/>
  <c r="E3442" i="1"/>
  <c r="D3442" i="1"/>
  <c r="C3442" i="1"/>
  <c r="B3442" i="1"/>
  <c r="A3442" i="1"/>
  <c r="R3441" i="1"/>
  <c r="N3441" i="1"/>
  <c r="J3441" i="1"/>
  <c r="I3441" i="1"/>
  <c r="H3441" i="1"/>
  <c r="G3441" i="1"/>
  <c r="F3441" i="1"/>
  <c r="E3441" i="1"/>
  <c r="D3441" i="1"/>
  <c r="C3441" i="1"/>
  <c r="B3441" i="1"/>
  <c r="A3441" i="1"/>
  <c r="R3440" i="1"/>
  <c r="N3440" i="1"/>
  <c r="J3440" i="1"/>
  <c r="I3440" i="1"/>
  <c r="H3440" i="1"/>
  <c r="G3440" i="1"/>
  <c r="F3440" i="1"/>
  <c r="E3440" i="1"/>
  <c r="D3440" i="1"/>
  <c r="C3440" i="1"/>
  <c r="B3440" i="1"/>
  <c r="A3440" i="1"/>
  <c r="R3439" i="1"/>
  <c r="N3439" i="1"/>
  <c r="J3439" i="1"/>
  <c r="I3439" i="1"/>
  <c r="H3439" i="1"/>
  <c r="G3439" i="1"/>
  <c r="F3439" i="1"/>
  <c r="E3439" i="1"/>
  <c r="D3439" i="1"/>
  <c r="C3439" i="1"/>
  <c r="B3439" i="1"/>
  <c r="A3439" i="1"/>
  <c r="R3438" i="1"/>
  <c r="N3438" i="1"/>
  <c r="J3438" i="1"/>
  <c r="I3438" i="1"/>
  <c r="H3438" i="1"/>
  <c r="G3438" i="1"/>
  <c r="F3438" i="1"/>
  <c r="E3438" i="1"/>
  <c r="D3438" i="1"/>
  <c r="C3438" i="1"/>
  <c r="B3438" i="1"/>
  <c r="A3438" i="1"/>
  <c r="R3437" i="1"/>
  <c r="N3437" i="1"/>
  <c r="J3437" i="1"/>
  <c r="I3437" i="1"/>
  <c r="H3437" i="1"/>
  <c r="G3437" i="1"/>
  <c r="F3437" i="1"/>
  <c r="E3437" i="1"/>
  <c r="D3437" i="1"/>
  <c r="C3437" i="1"/>
  <c r="B3437" i="1"/>
  <c r="A3437" i="1"/>
  <c r="R3436" i="1"/>
  <c r="N3436" i="1"/>
  <c r="J3436" i="1"/>
  <c r="I3436" i="1"/>
  <c r="H3436" i="1"/>
  <c r="G3436" i="1"/>
  <c r="F3436" i="1"/>
  <c r="E3436" i="1"/>
  <c r="D3436" i="1"/>
  <c r="C3436" i="1"/>
  <c r="B3436" i="1"/>
  <c r="A3436" i="1"/>
  <c r="R3435" i="1"/>
  <c r="N3435" i="1"/>
  <c r="J3435" i="1"/>
  <c r="I3435" i="1"/>
  <c r="H3435" i="1"/>
  <c r="G3435" i="1"/>
  <c r="F3435" i="1"/>
  <c r="E3435" i="1"/>
  <c r="D3435" i="1"/>
  <c r="C3435" i="1"/>
  <c r="B3435" i="1"/>
  <c r="A3435" i="1"/>
  <c r="R3434" i="1"/>
  <c r="N3434" i="1"/>
  <c r="J3434" i="1"/>
  <c r="I3434" i="1"/>
  <c r="H3434" i="1"/>
  <c r="G3434" i="1"/>
  <c r="F3434" i="1"/>
  <c r="E3434" i="1"/>
  <c r="D3434" i="1"/>
  <c r="C3434" i="1"/>
  <c r="B3434" i="1"/>
  <c r="A3434" i="1"/>
  <c r="R3433" i="1"/>
  <c r="N3433" i="1"/>
  <c r="J3433" i="1"/>
  <c r="I3433" i="1"/>
  <c r="H3433" i="1"/>
  <c r="G3433" i="1"/>
  <c r="F3433" i="1"/>
  <c r="E3433" i="1"/>
  <c r="D3433" i="1"/>
  <c r="C3433" i="1"/>
  <c r="B3433" i="1"/>
  <c r="A3433" i="1"/>
  <c r="R3432" i="1"/>
  <c r="N3432" i="1"/>
  <c r="J3432" i="1"/>
  <c r="I3432" i="1"/>
  <c r="H3432" i="1"/>
  <c r="G3432" i="1"/>
  <c r="F3432" i="1"/>
  <c r="E3432" i="1"/>
  <c r="D3432" i="1"/>
  <c r="C3432" i="1"/>
  <c r="B3432" i="1"/>
  <c r="A3432" i="1"/>
  <c r="R3431" i="1"/>
  <c r="Q3431" i="1"/>
  <c r="N3431" i="1"/>
  <c r="J3431" i="1"/>
  <c r="I3431" i="1"/>
  <c r="H3431" i="1"/>
  <c r="G3431" i="1"/>
  <c r="F3431" i="1"/>
  <c r="E3431" i="1"/>
  <c r="D3431" i="1"/>
  <c r="C3431" i="1"/>
  <c r="B3431" i="1"/>
  <c r="A3431" i="1"/>
  <c r="R3430" i="1"/>
  <c r="N3430" i="1"/>
  <c r="J3430" i="1"/>
  <c r="I3430" i="1"/>
  <c r="H3430" i="1"/>
  <c r="G3430" i="1"/>
  <c r="F3430" i="1"/>
  <c r="E3430" i="1"/>
  <c r="D3430" i="1"/>
  <c r="C3430" i="1"/>
  <c r="B3430" i="1"/>
  <c r="A3430" i="1"/>
  <c r="R3429" i="1"/>
  <c r="Q3429" i="1"/>
  <c r="N3429" i="1"/>
  <c r="J3429" i="1"/>
  <c r="I3429" i="1"/>
  <c r="H3429" i="1"/>
  <c r="G3429" i="1"/>
  <c r="F3429" i="1"/>
  <c r="E3429" i="1"/>
  <c r="D3429" i="1"/>
  <c r="C3429" i="1"/>
  <c r="B3429" i="1"/>
  <c r="A3429" i="1"/>
  <c r="R3428" i="1"/>
  <c r="N3428" i="1"/>
  <c r="J3428" i="1"/>
  <c r="I3428" i="1"/>
  <c r="H3428" i="1"/>
  <c r="G3428" i="1"/>
  <c r="F3428" i="1"/>
  <c r="E3428" i="1"/>
  <c r="D3428" i="1"/>
  <c r="C3428" i="1"/>
  <c r="B3428" i="1"/>
  <c r="A3428" i="1"/>
  <c r="R3427" i="1"/>
  <c r="Q3427" i="1"/>
  <c r="N3427" i="1"/>
  <c r="J3427" i="1"/>
  <c r="I3427" i="1"/>
  <c r="H3427" i="1"/>
  <c r="G3427" i="1"/>
  <c r="F3427" i="1"/>
  <c r="E3427" i="1"/>
  <c r="D3427" i="1"/>
  <c r="C3427" i="1"/>
  <c r="B3427" i="1"/>
  <c r="A3427" i="1"/>
  <c r="R3426" i="1"/>
  <c r="N3426" i="1"/>
  <c r="J3426" i="1"/>
  <c r="I3426" i="1"/>
  <c r="H3426" i="1"/>
  <c r="G3426" i="1"/>
  <c r="F3426" i="1"/>
  <c r="E3426" i="1"/>
  <c r="D3426" i="1"/>
  <c r="C3426" i="1"/>
  <c r="B3426" i="1"/>
  <c r="A3426" i="1"/>
  <c r="R3425" i="1"/>
  <c r="Q3425" i="1"/>
  <c r="N3425" i="1"/>
  <c r="J3425" i="1"/>
  <c r="I3425" i="1"/>
  <c r="H3425" i="1"/>
  <c r="G3425" i="1"/>
  <c r="F3425" i="1"/>
  <c r="E3425" i="1"/>
  <c r="D3425" i="1"/>
  <c r="C3425" i="1"/>
  <c r="B3425" i="1"/>
  <c r="A3425" i="1"/>
  <c r="R3424" i="1"/>
  <c r="N3424" i="1"/>
  <c r="J3424" i="1"/>
  <c r="I3424" i="1"/>
  <c r="H3424" i="1"/>
  <c r="G3424" i="1"/>
  <c r="F3424" i="1"/>
  <c r="E3424" i="1"/>
  <c r="D3424" i="1"/>
  <c r="C3424" i="1"/>
  <c r="B3424" i="1"/>
  <c r="A3424" i="1"/>
  <c r="R3423" i="1"/>
  <c r="Q3423" i="1"/>
  <c r="N3423" i="1"/>
  <c r="J3423" i="1"/>
  <c r="I3423" i="1"/>
  <c r="H3423" i="1"/>
  <c r="G3423" i="1"/>
  <c r="F3423" i="1"/>
  <c r="E3423" i="1"/>
  <c r="D3423" i="1"/>
  <c r="C3423" i="1"/>
  <c r="B3423" i="1"/>
  <c r="A3423" i="1"/>
  <c r="R3422" i="1"/>
  <c r="N3422" i="1"/>
  <c r="J3422" i="1"/>
  <c r="I3422" i="1"/>
  <c r="H3422" i="1"/>
  <c r="G3422" i="1"/>
  <c r="F3422" i="1"/>
  <c r="E3422" i="1"/>
  <c r="D3422" i="1"/>
  <c r="C3422" i="1"/>
  <c r="B3422" i="1"/>
  <c r="A3422" i="1"/>
  <c r="R3421" i="1"/>
  <c r="Q3421" i="1"/>
  <c r="N3421" i="1"/>
  <c r="J3421" i="1"/>
  <c r="I3421" i="1"/>
  <c r="H3421" i="1"/>
  <c r="G3421" i="1"/>
  <c r="F3421" i="1"/>
  <c r="E3421" i="1"/>
  <c r="D3421" i="1"/>
  <c r="C3421" i="1"/>
  <c r="B3421" i="1"/>
  <c r="A3421" i="1"/>
  <c r="R3420" i="1"/>
  <c r="N3420" i="1"/>
  <c r="J3420" i="1"/>
  <c r="I3420" i="1"/>
  <c r="H3420" i="1"/>
  <c r="G3420" i="1"/>
  <c r="F3420" i="1"/>
  <c r="E3420" i="1"/>
  <c r="D3420" i="1"/>
  <c r="C3420" i="1"/>
  <c r="B3420" i="1"/>
  <c r="A3420" i="1"/>
  <c r="R3419" i="1"/>
  <c r="Q3419" i="1"/>
  <c r="N3419" i="1"/>
  <c r="J3419" i="1"/>
  <c r="I3419" i="1"/>
  <c r="H3419" i="1"/>
  <c r="G3419" i="1"/>
  <c r="F3419" i="1"/>
  <c r="E3419" i="1"/>
  <c r="D3419" i="1"/>
  <c r="C3419" i="1"/>
  <c r="B3419" i="1"/>
  <c r="A3419" i="1"/>
  <c r="R3418" i="1"/>
  <c r="N3418" i="1"/>
  <c r="J3418" i="1"/>
  <c r="I3418" i="1"/>
  <c r="H3418" i="1"/>
  <c r="G3418" i="1"/>
  <c r="F3418" i="1"/>
  <c r="E3418" i="1"/>
  <c r="D3418" i="1"/>
  <c r="C3418" i="1"/>
  <c r="B3418" i="1"/>
  <c r="A3418" i="1"/>
  <c r="R3417" i="1"/>
  <c r="Q3417" i="1"/>
  <c r="N3417" i="1"/>
  <c r="J3417" i="1"/>
  <c r="I3417" i="1"/>
  <c r="H3417" i="1"/>
  <c r="G3417" i="1"/>
  <c r="F3417" i="1"/>
  <c r="E3417" i="1"/>
  <c r="D3417" i="1"/>
  <c r="C3417" i="1"/>
  <c r="B3417" i="1"/>
  <c r="A3417" i="1"/>
  <c r="R3416" i="1"/>
  <c r="N3416" i="1"/>
  <c r="J3416" i="1"/>
  <c r="I3416" i="1"/>
  <c r="H3416" i="1"/>
  <c r="G3416" i="1"/>
  <c r="F3416" i="1"/>
  <c r="E3416" i="1"/>
  <c r="D3416" i="1"/>
  <c r="C3416" i="1"/>
  <c r="B3416" i="1"/>
  <c r="A3416" i="1"/>
  <c r="R3415" i="1"/>
  <c r="Q3415" i="1"/>
  <c r="N3415" i="1"/>
  <c r="J3415" i="1"/>
  <c r="I3415" i="1"/>
  <c r="H3415" i="1"/>
  <c r="G3415" i="1"/>
  <c r="F3415" i="1"/>
  <c r="E3415" i="1"/>
  <c r="D3415" i="1"/>
  <c r="C3415" i="1"/>
  <c r="B3415" i="1"/>
  <c r="A3415" i="1"/>
  <c r="R3414" i="1"/>
  <c r="N3414" i="1"/>
  <c r="J3414" i="1"/>
  <c r="I3414" i="1"/>
  <c r="H3414" i="1"/>
  <c r="G3414" i="1"/>
  <c r="F3414" i="1"/>
  <c r="E3414" i="1"/>
  <c r="D3414" i="1"/>
  <c r="C3414" i="1"/>
  <c r="B3414" i="1"/>
  <c r="A3414" i="1"/>
  <c r="R3413" i="1"/>
  <c r="Q3413" i="1"/>
  <c r="N3413" i="1"/>
  <c r="J3413" i="1"/>
  <c r="I3413" i="1"/>
  <c r="H3413" i="1"/>
  <c r="G3413" i="1"/>
  <c r="F3413" i="1"/>
  <c r="E3413" i="1"/>
  <c r="D3413" i="1"/>
  <c r="C3413" i="1"/>
  <c r="B3413" i="1"/>
  <c r="A3413" i="1"/>
  <c r="R3412" i="1"/>
  <c r="N3412" i="1"/>
  <c r="J3412" i="1"/>
  <c r="I3412" i="1"/>
  <c r="H3412" i="1"/>
  <c r="G3412" i="1"/>
  <c r="F3412" i="1"/>
  <c r="E3412" i="1"/>
  <c r="D3412" i="1"/>
  <c r="C3412" i="1"/>
  <c r="B3412" i="1"/>
  <c r="A3412" i="1"/>
  <c r="R3411" i="1"/>
  <c r="Q3411" i="1"/>
  <c r="N3411" i="1"/>
  <c r="J3411" i="1"/>
  <c r="I3411" i="1"/>
  <c r="H3411" i="1"/>
  <c r="G3411" i="1"/>
  <c r="F3411" i="1"/>
  <c r="E3411" i="1"/>
  <c r="D3411" i="1"/>
  <c r="C3411" i="1"/>
  <c r="A3411" i="1"/>
  <c r="R3410" i="1"/>
  <c r="N3410" i="1"/>
  <c r="J3410" i="1"/>
  <c r="I3410" i="1"/>
  <c r="H3410" i="1"/>
  <c r="G3410" i="1"/>
  <c r="F3410" i="1"/>
  <c r="E3410" i="1"/>
  <c r="D3410" i="1"/>
  <c r="C3410" i="1"/>
  <c r="A3410" i="1"/>
  <c r="R3409" i="1"/>
  <c r="Q3409" i="1"/>
  <c r="N3409" i="1"/>
  <c r="J3409" i="1"/>
  <c r="I3409" i="1"/>
  <c r="H3409" i="1"/>
  <c r="G3409" i="1"/>
  <c r="F3409" i="1"/>
  <c r="E3409" i="1"/>
  <c r="D3409" i="1"/>
  <c r="C3409" i="1"/>
  <c r="A3409" i="1"/>
  <c r="R3408" i="1"/>
  <c r="N3408" i="1"/>
  <c r="J3408" i="1"/>
  <c r="I3408" i="1"/>
  <c r="H3408" i="1"/>
  <c r="G3408" i="1"/>
  <c r="F3408" i="1"/>
  <c r="E3408" i="1"/>
  <c r="D3408" i="1"/>
  <c r="C3408" i="1"/>
  <c r="A3408" i="1"/>
  <c r="R3407" i="1"/>
  <c r="Q3407" i="1"/>
  <c r="N3407" i="1"/>
  <c r="J3407" i="1"/>
  <c r="I3407" i="1"/>
  <c r="H3407" i="1"/>
  <c r="G3407" i="1"/>
  <c r="F3407" i="1"/>
  <c r="E3407" i="1"/>
  <c r="D3407" i="1"/>
  <c r="C3407" i="1"/>
  <c r="A3407" i="1"/>
  <c r="R3406" i="1"/>
  <c r="N3406" i="1"/>
  <c r="J3406" i="1"/>
  <c r="I3406" i="1"/>
  <c r="H3406" i="1"/>
  <c r="G3406" i="1"/>
  <c r="F3406" i="1"/>
  <c r="E3406" i="1"/>
  <c r="D3406" i="1"/>
  <c r="C3406" i="1"/>
  <c r="A3406" i="1"/>
  <c r="R3405" i="1"/>
  <c r="Q3405" i="1"/>
  <c r="N3405" i="1"/>
  <c r="J3405" i="1"/>
  <c r="I3405" i="1"/>
  <c r="H3405" i="1"/>
  <c r="G3405" i="1"/>
  <c r="F3405" i="1"/>
  <c r="E3405" i="1"/>
  <c r="D3405" i="1"/>
  <c r="C3405" i="1"/>
  <c r="A3405" i="1"/>
  <c r="R3404" i="1"/>
  <c r="N3404" i="1"/>
  <c r="J3404" i="1"/>
  <c r="I3404" i="1"/>
  <c r="H3404" i="1"/>
  <c r="G3404" i="1"/>
  <c r="F3404" i="1"/>
  <c r="E3404" i="1"/>
  <c r="D3404" i="1"/>
  <c r="C3404" i="1"/>
  <c r="A3404" i="1"/>
  <c r="R3403" i="1"/>
  <c r="Q3403" i="1"/>
  <c r="N3403" i="1"/>
  <c r="J3403" i="1"/>
  <c r="I3403" i="1"/>
  <c r="H3403" i="1"/>
  <c r="G3403" i="1"/>
  <c r="F3403" i="1"/>
  <c r="E3403" i="1"/>
  <c r="D3403" i="1"/>
  <c r="C3403" i="1"/>
  <c r="A3403" i="1"/>
  <c r="R3402" i="1"/>
  <c r="N3402" i="1"/>
  <c r="J3402" i="1"/>
  <c r="I3402" i="1"/>
  <c r="H3402" i="1"/>
  <c r="G3402" i="1"/>
  <c r="F3402" i="1"/>
  <c r="E3402" i="1"/>
  <c r="D3402" i="1"/>
  <c r="C3402" i="1"/>
  <c r="A3402" i="1"/>
  <c r="R3401" i="1"/>
  <c r="Q3401" i="1"/>
  <c r="N3401" i="1"/>
  <c r="J3401" i="1"/>
  <c r="I3401" i="1"/>
  <c r="H3401" i="1"/>
  <c r="G3401" i="1"/>
  <c r="F3401" i="1"/>
  <c r="E3401" i="1"/>
  <c r="D3401" i="1"/>
  <c r="C3401" i="1"/>
  <c r="A3401" i="1"/>
  <c r="R3400" i="1"/>
  <c r="N3400" i="1"/>
  <c r="J3400" i="1"/>
  <c r="I3400" i="1"/>
  <c r="H3400" i="1"/>
  <c r="G3400" i="1"/>
  <c r="F3400" i="1"/>
  <c r="E3400" i="1"/>
  <c r="D3400" i="1"/>
  <c r="C3400" i="1"/>
  <c r="A3400" i="1"/>
  <c r="R3399" i="1"/>
  <c r="Q3399" i="1"/>
  <c r="N3399" i="1"/>
  <c r="J3399" i="1"/>
  <c r="I3399" i="1"/>
  <c r="H3399" i="1"/>
  <c r="G3399" i="1"/>
  <c r="F3399" i="1"/>
  <c r="E3399" i="1"/>
  <c r="D3399" i="1"/>
  <c r="C3399" i="1"/>
  <c r="A3399" i="1"/>
  <c r="R3398" i="1"/>
  <c r="N3398" i="1"/>
  <c r="J3398" i="1"/>
  <c r="I3398" i="1"/>
  <c r="H3398" i="1"/>
  <c r="G3398" i="1"/>
  <c r="F3398" i="1"/>
  <c r="E3398" i="1"/>
  <c r="D3398" i="1"/>
  <c r="C3398" i="1"/>
  <c r="A3398" i="1"/>
  <c r="R3397" i="1"/>
  <c r="Q3397" i="1"/>
  <c r="N3397" i="1"/>
  <c r="J3397" i="1"/>
  <c r="I3397" i="1"/>
  <c r="H3397" i="1"/>
  <c r="G3397" i="1"/>
  <c r="F3397" i="1"/>
  <c r="E3397" i="1"/>
  <c r="D3397" i="1"/>
  <c r="C3397" i="1"/>
  <c r="A3397" i="1"/>
  <c r="R3396" i="1"/>
  <c r="N3396" i="1"/>
  <c r="J3396" i="1"/>
  <c r="I3396" i="1"/>
  <c r="H3396" i="1"/>
  <c r="G3396" i="1"/>
  <c r="F3396" i="1"/>
  <c r="E3396" i="1"/>
  <c r="D3396" i="1"/>
  <c r="C3396" i="1"/>
  <c r="A3396" i="1"/>
  <c r="R3395" i="1"/>
  <c r="Q3395" i="1"/>
  <c r="N3395" i="1"/>
  <c r="J3395" i="1"/>
  <c r="I3395" i="1"/>
  <c r="H3395" i="1"/>
  <c r="G3395" i="1"/>
  <c r="F3395" i="1"/>
  <c r="E3395" i="1"/>
  <c r="D3395" i="1"/>
  <c r="C3395" i="1"/>
  <c r="A3395" i="1"/>
  <c r="R3394" i="1"/>
  <c r="N3394" i="1"/>
  <c r="J3394" i="1"/>
  <c r="I3394" i="1"/>
  <c r="H3394" i="1"/>
  <c r="G3394" i="1"/>
  <c r="F3394" i="1"/>
  <c r="E3394" i="1"/>
  <c r="D3394" i="1"/>
  <c r="C3394" i="1"/>
  <c r="A3394" i="1"/>
  <c r="R3393" i="1"/>
  <c r="Q3393" i="1"/>
  <c r="N3393" i="1"/>
  <c r="J3393" i="1"/>
  <c r="I3393" i="1"/>
  <c r="H3393" i="1"/>
  <c r="G3393" i="1"/>
  <c r="F3393" i="1"/>
  <c r="E3393" i="1"/>
  <c r="D3393" i="1"/>
  <c r="C3393" i="1"/>
  <c r="A3393" i="1"/>
  <c r="R3392" i="1"/>
  <c r="Q3392" i="1"/>
  <c r="N3392" i="1"/>
  <c r="J3392" i="1"/>
  <c r="I3392" i="1"/>
  <c r="H3392" i="1"/>
  <c r="G3392" i="1"/>
  <c r="F3392" i="1"/>
  <c r="E3392" i="1"/>
  <c r="D3392" i="1"/>
  <c r="C3392" i="1"/>
  <c r="A3392" i="1"/>
  <c r="R3391" i="1"/>
  <c r="Q3391" i="1"/>
  <c r="N3391" i="1"/>
  <c r="J3391" i="1"/>
  <c r="I3391" i="1"/>
  <c r="H3391" i="1"/>
  <c r="G3391" i="1"/>
  <c r="F3391" i="1"/>
  <c r="E3391" i="1"/>
  <c r="D3391" i="1"/>
  <c r="C3391" i="1"/>
  <c r="A3391" i="1"/>
  <c r="R3390" i="1"/>
  <c r="Q3390" i="1"/>
  <c r="N3390" i="1"/>
  <c r="J3390" i="1"/>
  <c r="I3390" i="1"/>
  <c r="H3390" i="1"/>
  <c r="G3390" i="1"/>
  <c r="F3390" i="1"/>
  <c r="E3390" i="1"/>
  <c r="D3390" i="1"/>
  <c r="C3390" i="1"/>
  <c r="A3390" i="1"/>
  <c r="R3389" i="1"/>
  <c r="Q3389" i="1"/>
  <c r="N3389" i="1"/>
  <c r="J3389" i="1"/>
  <c r="I3389" i="1"/>
  <c r="H3389" i="1"/>
  <c r="G3389" i="1"/>
  <c r="F3389" i="1"/>
  <c r="E3389" i="1"/>
  <c r="D3389" i="1"/>
  <c r="C3389" i="1"/>
  <c r="A3389" i="1"/>
  <c r="R3388" i="1"/>
  <c r="Q3388" i="1"/>
  <c r="N3388" i="1"/>
  <c r="J3388" i="1"/>
  <c r="I3388" i="1"/>
  <c r="H3388" i="1"/>
  <c r="G3388" i="1"/>
  <c r="F3388" i="1"/>
  <c r="E3388" i="1"/>
  <c r="D3388" i="1"/>
  <c r="C3388" i="1"/>
  <c r="A3388" i="1"/>
  <c r="R3387" i="1"/>
  <c r="Q3387" i="1"/>
  <c r="N3387" i="1"/>
  <c r="J3387" i="1"/>
  <c r="I3387" i="1"/>
  <c r="H3387" i="1"/>
  <c r="G3387" i="1"/>
  <c r="F3387" i="1"/>
  <c r="E3387" i="1"/>
  <c r="D3387" i="1"/>
  <c r="C3387" i="1"/>
  <c r="A3387" i="1"/>
  <c r="R3386" i="1"/>
  <c r="Q3386" i="1"/>
  <c r="N3386" i="1"/>
  <c r="J3386" i="1"/>
  <c r="I3386" i="1"/>
  <c r="H3386" i="1"/>
  <c r="G3386" i="1"/>
  <c r="F3386" i="1"/>
  <c r="E3386" i="1"/>
  <c r="D3386" i="1"/>
  <c r="C3386" i="1"/>
  <c r="A3386" i="1"/>
  <c r="R3385" i="1"/>
  <c r="Q3385" i="1"/>
  <c r="N3385" i="1"/>
  <c r="J3385" i="1"/>
  <c r="I3385" i="1"/>
  <c r="H3385" i="1"/>
  <c r="G3385" i="1"/>
  <c r="F3385" i="1"/>
  <c r="E3385" i="1"/>
  <c r="D3385" i="1"/>
  <c r="C3385" i="1"/>
  <c r="A3385" i="1"/>
  <c r="R3384" i="1"/>
  <c r="Q3384" i="1"/>
  <c r="N3384" i="1"/>
  <c r="J3384" i="1"/>
  <c r="I3384" i="1"/>
  <c r="H3384" i="1"/>
  <c r="G3384" i="1"/>
  <c r="F3384" i="1"/>
  <c r="E3384" i="1"/>
  <c r="D3384" i="1"/>
  <c r="C3384" i="1"/>
  <c r="A3384" i="1"/>
  <c r="R3383" i="1"/>
  <c r="Q3383" i="1"/>
  <c r="N3383" i="1"/>
  <c r="J3383" i="1"/>
  <c r="I3383" i="1"/>
  <c r="H3383" i="1"/>
  <c r="G3383" i="1"/>
  <c r="F3383" i="1"/>
  <c r="E3383" i="1"/>
  <c r="D3383" i="1"/>
  <c r="C3383" i="1"/>
  <c r="A3383" i="1"/>
  <c r="R3382" i="1"/>
  <c r="Q3382" i="1"/>
  <c r="N3382" i="1"/>
  <c r="J3382" i="1"/>
  <c r="I3382" i="1"/>
  <c r="H3382" i="1"/>
  <c r="G3382" i="1"/>
  <c r="F3382" i="1"/>
  <c r="E3382" i="1"/>
  <c r="D3382" i="1"/>
  <c r="C3382" i="1"/>
  <c r="A3382" i="1"/>
  <c r="R3381" i="1"/>
  <c r="Q3381" i="1"/>
  <c r="N3381" i="1"/>
  <c r="J3381" i="1"/>
  <c r="I3381" i="1"/>
  <c r="H3381" i="1"/>
  <c r="G3381" i="1"/>
  <c r="F3381" i="1"/>
  <c r="E3381" i="1"/>
  <c r="D3381" i="1"/>
  <c r="C3381" i="1"/>
  <c r="A3381" i="1"/>
  <c r="R3380" i="1"/>
  <c r="Q3380" i="1"/>
  <c r="N3380" i="1"/>
  <c r="J3380" i="1"/>
  <c r="I3380" i="1"/>
  <c r="H3380" i="1"/>
  <c r="G3380" i="1"/>
  <c r="F3380" i="1"/>
  <c r="E3380" i="1"/>
  <c r="D3380" i="1"/>
  <c r="C3380" i="1"/>
  <c r="A3380" i="1"/>
  <c r="R3379" i="1"/>
  <c r="Q3379" i="1"/>
  <c r="N3379" i="1"/>
  <c r="J3379" i="1"/>
  <c r="I3379" i="1"/>
  <c r="H3379" i="1"/>
  <c r="G3379" i="1"/>
  <c r="F3379" i="1"/>
  <c r="E3379" i="1"/>
  <c r="D3379" i="1"/>
  <c r="C3379" i="1"/>
  <c r="A3379" i="1"/>
  <c r="R3378" i="1"/>
  <c r="Q3378" i="1"/>
  <c r="N3378" i="1"/>
  <c r="J3378" i="1"/>
  <c r="I3378" i="1"/>
  <c r="H3378" i="1"/>
  <c r="G3378" i="1"/>
  <c r="F3378" i="1"/>
  <c r="E3378" i="1"/>
  <c r="D3378" i="1"/>
  <c r="C3378" i="1"/>
  <c r="A3378" i="1"/>
  <c r="R3377" i="1"/>
  <c r="Q3377" i="1"/>
  <c r="N3377" i="1"/>
  <c r="J3377" i="1"/>
  <c r="I3377" i="1"/>
  <c r="H3377" i="1"/>
  <c r="G3377" i="1"/>
  <c r="F3377" i="1"/>
  <c r="E3377" i="1"/>
  <c r="D3377" i="1"/>
  <c r="C3377" i="1"/>
  <c r="A3377" i="1"/>
  <c r="R3376" i="1"/>
  <c r="Q3376" i="1"/>
  <c r="N3376" i="1"/>
  <c r="J3376" i="1"/>
  <c r="I3376" i="1"/>
  <c r="H3376" i="1"/>
  <c r="G3376" i="1"/>
  <c r="F3376" i="1"/>
  <c r="E3376" i="1"/>
  <c r="D3376" i="1"/>
  <c r="C3376" i="1"/>
  <c r="A3376" i="1"/>
  <c r="R3375" i="1"/>
  <c r="Q3375" i="1"/>
  <c r="N3375" i="1"/>
  <c r="J3375" i="1"/>
  <c r="I3375" i="1"/>
  <c r="H3375" i="1"/>
  <c r="G3375" i="1"/>
  <c r="F3375" i="1"/>
  <c r="E3375" i="1"/>
  <c r="D3375" i="1"/>
  <c r="C3375" i="1"/>
  <c r="A3375" i="1"/>
  <c r="R3374" i="1"/>
  <c r="Q3374" i="1"/>
  <c r="N3374" i="1"/>
  <c r="J3374" i="1"/>
  <c r="I3374" i="1"/>
  <c r="H3374" i="1"/>
  <c r="G3374" i="1"/>
  <c r="F3374" i="1"/>
  <c r="E3374" i="1"/>
  <c r="D3374" i="1"/>
  <c r="C3374" i="1"/>
  <c r="A3374" i="1"/>
  <c r="R3373" i="1"/>
  <c r="Q3373" i="1"/>
  <c r="N3373" i="1"/>
  <c r="J3373" i="1"/>
  <c r="I3373" i="1"/>
  <c r="H3373" i="1"/>
  <c r="G3373" i="1"/>
  <c r="F3373" i="1"/>
  <c r="E3373" i="1"/>
  <c r="D3373" i="1"/>
  <c r="C3373" i="1"/>
  <c r="A3373" i="1"/>
  <c r="R3372" i="1"/>
  <c r="Q3372" i="1"/>
  <c r="N3372" i="1"/>
  <c r="J3372" i="1"/>
  <c r="I3372" i="1"/>
  <c r="H3372" i="1"/>
  <c r="G3372" i="1"/>
  <c r="F3372" i="1"/>
  <c r="E3372" i="1"/>
  <c r="D3372" i="1"/>
  <c r="C3372" i="1"/>
  <c r="A3372" i="1"/>
  <c r="R3371" i="1"/>
  <c r="Q3371" i="1"/>
  <c r="N3371" i="1"/>
  <c r="J3371" i="1"/>
  <c r="I3371" i="1"/>
  <c r="H3371" i="1"/>
  <c r="G3371" i="1"/>
  <c r="F3371" i="1"/>
  <c r="E3371" i="1"/>
  <c r="D3371" i="1"/>
  <c r="C3371" i="1"/>
  <c r="A3371" i="1"/>
  <c r="R3370" i="1"/>
  <c r="Q3370" i="1"/>
  <c r="N3370" i="1"/>
  <c r="J3370" i="1"/>
  <c r="I3370" i="1"/>
  <c r="H3370" i="1"/>
  <c r="G3370" i="1"/>
  <c r="F3370" i="1"/>
  <c r="E3370" i="1"/>
  <c r="D3370" i="1"/>
  <c r="C3370" i="1"/>
  <c r="A3370" i="1"/>
  <c r="R3369" i="1"/>
  <c r="Q3369" i="1"/>
  <c r="N3369" i="1"/>
  <c r="J3369" i="1"/>
  <c r="I3369" i="1"/>
  <c r="H3369" i="1"/>
  <c r="G3369" i="1"/>
  <c r="F3369" i="1"/>
  <c r="E3369" i="1"/>
  <c r="D3369" i="1"/>
  <c r="C3369" i="1"/>
  <c r="A3369" i="1"/>
  <c r="R3368" i="1"/>
  <c r="Q3368" i="1"/>
  <c r="N3368" i="1"/>
  <c r="J3368" i="1"/>
  <c r="I3368" i="1"/>
  <c r="H3368" i="1"/>
  <c r="G3368" i="1"/>
  <c r="F3368" i="1"/>
  <c r="E3368" i="1"/>
  <c r="D3368" i="1"/>
  <c r="C3368" i="1"/>
  <c r="A3368" i="1"/>
  <c r="R3367" i="1"/>
  <c r="Q3367" i="1"/>
  <c r="N3367" i="1"/>
  <c r="J3367" i="1"/>
  <c r="I3367" i="1"/>
  <c r="H3367" i="1"/>
  <c r="G3367" i="1"/>
  <c r="F3367" i="1"/>
  <c r="E3367" i="1"/>
  <c r="D3367" i="1"/>
  <c r="C3367" i="1"/>
  <c r="A3367" i="1"/>
  <c r="R3366" i="1"/>
  <c r="Q3366" i="1"/>
  <c r="N3366" i="1"/>
  <c r="J3366" i="1"/>
  <c r="I3366" i="1"/>
  <c r="H3366" i="1"/>
  <c r="G3366" i="1"/>
  <c r="F3366" i="1"/>
  <c r="E3366" i="1"/>
  <c r="D3366" i="1"/>
  <c r="C3366" i="1"/>
  <c r="A3366" i="1"/>
  <c r="R3365" i="1"/>
  <c r="Q3365" i="1"/>
  <c r="N3365" i="1"/>
  <c r="J3365" i="1"/>
  <c r="I3365" i="1"/>
  <c r="H3365" i="1"/>
  <c r="G3365" i="1"/>
  <c r="F3365" i="1"/>
  <c r="E3365" i="1"/>
  <c r="D3365" i="1"/>
  <c r="C3365" i="1"/>
  <c r="A3365" i="1"/>
  <c r="R3364" i="1"/>
  <c r="Q3364" i="1"/>
  <c r="N3364" i="1"/>
  <c r="J3364" i="1"/>
  <c r="I3364" i="1"/>
  <c r="H3364" i="1"/>
  <c r="G3364" i="1"/>
  <c r="F3364" i="1"/>
  <c r="E3364" i="1"/>
  <c r="D3364" i="1"/>
  <c r="C3364" i="1"/>
  <c r="A3364" i="1"/>
  <c r="R3363" i="1"/>
  <c r="Q3363" i="1"/>
  <c r="N3363" i="1"/>
  <c r="J3363" i="1"/>
  <c r="I3363" i="1"/>
  <c r="H3363" i="1"/>
  <c r="G3363" i="1"/>
  <c r="F3363" i="1"/>
  <c r="E3363" i="1"/>
  <c r="D3363" i="1"/>
  <c r="C3363" i="1"/>
  <c r="A3363" i="1"/>
  <c r="R3362" i="1"/>
  <c r="Q3362" i="1"/>
  <c r="N3362" i="1"/>
  <c r="J3362" i="1"/>
  <c r="I3362" i="1"/>
  <c r="H3362" i="1"/>
  <c r="G3362" i="1"/>
  <c r="F3362" i="1"/>
  <c r="E3362" i="1"/>
  <c r="D3362" i="1"/>
  <c r="C3362" i="1"/>
  <c r="A3362" i="1"/>
  <c r="R3361" i="1"/>
  <c r="Q3361" i="1"/>
  <c r="N3361" i="1"/>
  <c r="J3361" i="1"/>
  <c r="I3361" i="1"/>
  <c r="H3361" i="1"/>
  <c r="G3361" i="1"/>
  <c r="F3361" i="1"/>
  <c r="E3361" i="1"/>
  <c r="D3361" i="1"/>
  <c r="C3361" i="1"/>
  <c r="A3361" i="1"/>
  <c r="R3360" i="1"/>
  <c r="Q3360" i="1"/>
  <c r="N3360" i="1"/>
  <c r="J3360" i="1"/>
  <c r="I3360" i="1"/>
  <c r="H3360" i="1"/>
  <c r="G3360" i="1"/>
  <c r="F3360" i="1"/>
  <c r="E3360" i="1"/>
  <c r="D3360" i="1"/>
  <c r="C3360" i="1"/>
  <c r="A3360" i="1"/>
  <c r="R3359" i="1"/>
  <c r="Q3359" i="1"/>
  <c r="N3359" i="1"/>
  <c r="J3359" i="1"/>
  <c r="I3359" i="1"/>
  <c r="H3359" i="1"/>
  <c r="G3359" i="1"/>
  <c r="F3359" i="1"/>
  <c r="E3359" i="1"/>
  <c r="D3359" i="1"/>
  <c r="C3359" i="1"/>
  <c r="A3359" i="1"/>
  <c r="R3358" i="1"/>
  <c r="Q3358" i="1"/>
  <c r="N3358" i="1"/>
  <c r="J3358" i="1"/>
  <c r="I3358" i="1"/>
  <c r="H3358" i="1"/>
  <c r="G3358" i="1"/>
  <c r="F3358" i="1"/>
  <c r="E3358" i="1"/>
  <c r="D3358" i="1"/>
  <c r="C3358" i="1"/>
  <c r="A3358" i="1"/>
  <c r="R3357" i="1"/>
  <c r="Q3357" i="1"/>
  <c r="N3357" i="1"/>
  <c r="J3357" i="1"/>
  <c r="I3357" i="1"/>
  <c r="H3357" i="1"/>
  <c r="G3357" i="1"/>
  <c r="F3357" i="1"/>
  <c r="E3357" i="1"/>
  <c r="D3357" i="1"/>
  <c r="C3357" i="1"/>
  <c r="A3357" i="1"/>
  <c r="R3356" i="1"/>
  <c r="Q3356" i="1"/>
  <c r="N3356" i="1"/>
  <c r="J3356" i="1"/>
  <c r="I3356" i="1"/>
  <c r="H3356" i="1"/>
  <c r="G3356" i="1"/>
  <c r="F3356" i="1"/>
  <c r="E3356" i="1"/>
  <c r="D3356" i="1"/>
  <c r="C3356" i="1"/>
  <c r="A3356" i="1"/>
  <c r="R3355" i="1"/>
  <c r="Q3355" i="1"/>
  <c r="N3355" i="1"/>
  <c r="J3355" i="1"/>
  <c r="I3355" i="1"/>
  <c r="H3355" i="1"/>
  <c r="G3355" i="1"/>
  <c r="F3355" i="1"/>
  <c r="E3355" i="1"/>
  <c r="D3355" i="1"/>
  <c r="C3355" i="1"/>
  <c r="A3355" i="1"/>
  <c r="R3354" i="1"/>
  <c r="Q3354" i="1"/>
  <c r="N3354" i="1"/>
  <c r="J3354" i="1"/>
  <c r="I3354" i="1"/>
  <c r="H3354" i="1"/>
  <c r="G3354" i="1"/>
  <c r="F3354" i="1"/>
  <c r="E3354" i="1"/>
  <c r="D3354" i="1"/>
  <c r="C3354" i="1"/>
  <c r="A3354" i="1"/>
  <c r="R3353" i="1"/>
  <c r="Q3353" i="1"/>
  <c r="N3353" i="1"/>
  <c r="J3353" i="1"/>
  <c r="I3353" i="1"/>
  <c r="H3353" i="1"/>
  <c r="G3353" i="1"/>
  <c r="F3353" i="1"/>
  <c r="E3353" i="1"/>
  <c r="D3353" i="1"/>
  <c r="C3353" i="1"/>
  <c r="A3353" i="1"/>
  <c r="R3352" i="1"/>
  <c r="Q3352" i="1"/>
  <c r="N3352" i="1"/>
  <c r="J3352" i="1"/>
  <c r="I3352" i="1"/>
  <c r="H3352" i="1"/>
  <c r="G3352" i="1"/>
  <c r="F3352" i="1"/>
  <c r="E3352" i="1"/>
  <c r="D3352" i="1"/>
  <c r="C3352" i="1"/>
  <c r="A3352" i="1"/>
  <c r="R3351" i="1"/>
  <c r="Q3351" i="1"/>
  <c r="N3351" i="1"/>
  <c r="J3351" i="1"/>
  <c r="I3351" i="1"/>
  <c r="H3351" i="1"/>
  <c r="G3351" i="1"/>
  <c r="F3351" i="1"/>
  <c r="E3351" i="1"/>
  <c r="D3351" i="1"/>
  <c r="C3351" i="1"/>
  <c r="A3351" i="1"/>
  <c r="R3350" i="1"/>
  <c r="Q3350" i="1"/>
  <c r="N3350" i="1"/>
  <c r="J3350" i="1"/>
  <c r="I3350" i="1"/>
  <c r="H3350" i="1"/>
  <c r="G3350" i="1"/>
  <c r="F3350" i="1"/>
  <c r="E3350" i="1"/>
  <c r="D3350" i="1"/>
  <c r="C3350" i="1"/>
  <c r="A3350" i="1"/>
  <c r="R3349" i="1"/>
  <c r="Q3349" i="1"/>
  <c r="N3349" i="1"/>
  <c r="J3349" i="1"/>
  <c r="I3349" i="1"/>
  <c r="H3349" i="1"/>
  <c r="G3349" i="1"/>
  <c r="F3349" i="1"/>
  <c r="E3349" i="1"/>
  <c r="D3349" i="1"/>
  <c r="C3349" i="1"/>
  <c r="A3349" i="1"/>
  <c r="R3348" i="1"/>
  <c r="N3348" i="1"/>
  <c r="J3348" i="1"/>
  <c r="I3348" i="1"/>
  <c r="H3348" i="1"/>
  <c r="G3348" i="1"/>
  <c r="F3348" i="1"/>
  <c r="E3348" i="1"/>
  <c r="D3348" i="1"/>
  <c r="C3348" i="1"/>
  <c r="A3348" i="1"/>
  <c r="R3347" i="1"/>
  <c r="Q3347" i="1"/>
  <c r="N3347" i="1"/>
  <c r="J3347" i="1"/>
  <c r="I3347" i="1"/>
  <c r="H3347" i="1"/>
  <c r="G3347" i="1"/>
  <c r="F3347" i="1"/>
  <c r="E3347" i="1"/>
  <c r="D3347" i="1"/>
  <c r="C3347" i="1"/>
  <c r="A3347" i="1"/>
  <c r="R3346" i="1"/>
  <c r="Q3346" i="1"/>
  <c r="N3346" i="1"/>
  <c r="J3346" i="1"/>
  <c r="I3346" i="1"/>
  <c r="H3346" i="1"/>
  <c r="G3346" i="1"/>
  <c r="F3346" i="1"/>
  <c r="E3346" i="1"/>
  <c r="D3346" i="1"/>
  <c r="C3346" i="1"/>
  <c r="A3346" i="1"/>
  <c r="R3345" i="1"/>
  <c r="Q3345" i="1"/>
  <c r="N3345" i="1"/>
  <c r="J3345" i="1"/>
  <c r="I3345" i="1"/>
  <c r="H3345" i="1"/>
  <c r="G3345" i="1"/>
  <c r="F3345" i="1"/>
  <c r="E3345" i="1"/>
  <c r="D3345" i="1"/>
  <c r="C3345" i="1"/>
  <c r="A3345" i="1"/>
  <c r="R3344" i="1"/>
  <c r="Q3344" i="1"/>
  <c r="N3344" i="1"/>
  <c r="J3344" i="1"/>
  <c r="I3344" i="1"/>
  <c r="H3344" i="1"/>
  <c r="G3344" i="1"/>
  <c r="F3344" i="1"/>
  <c r="E3344" i="1"/>
  <c r="D3344" i="1"/>
  <c r="C3344" i="1"/>
  <c r="A3344" i="1"/>
  <c r="R3343" i="1"/>
  <c r="Q3343" i="1"/>
  <c r="N3343" i="1"/>
  <c r="J3343" i="1"/>
  <c r="I3343" i="1"/>
  <c r="H3343" i="1"/>
  <c r="G3343" i="1"/>
  <c r="F3343" i="1"/>
  <c r="E3343" i="1"/>
  <c r="D3343" i="1"/>
  <c r="C3343" i="1"/>
  <c r="A3343" i="1"/>
  <c r="R3342" i="1"/>
  <c r="Q3342" i="1"/>
  <c r="N3342" i="1"/>
  <c r="J3342" i="1"/>
  <c r="I3342" i="1"/>
  <c r="H3342" i="1"/>
  <c r="G3342" i="1"/>
  <c r="F3342" i="1"/>
  <c r="E3342" i="1"/>
  <c r="D3342" i="1"/>
  <c r="C3342" i="1"/>
  <c r="A3342" i="1"/>
  <c r="R3341" i="1"/>
  <c r="Q3341" i="1"/>
  <c r="N3341" i="1"/>
  <c r="J3341" i="1"/>
  <c r="I3341" i="1"/>
  <c r="H3341" i="1"/>
  <c r="G3341" i="1"/>
  <c r="F3341" i="1"/>
  <c r="E3341" i="1"/>
  <c r="D3341" i="1"/>
  <c r="C3341" i="1"/>
  <c r="A3341" i="1"/>
  <c r="R3340" i="1"/>
  <c r="Q3340" i="1"/>
  <c r="N3340" i="1"/>
  <c r="J3340" i="1"/>
  <c r="I3340" i="1"/>
  <c r="H3340" i="1"/>
  <c r="G3340" i="1"/>
  <c r="F3340" i="1"/>
  <c r="E3340" i="1"/>
  <c r="D3340" i="1"/>
  <c r="C3340" i="1"/>
  <c r="A3340" i="1"/>
  <c r="R3339" i="1"/>
  <c r="Q3339" i="1"/>
  <c r="N3339" i="1"/>
  <c r="J3339" i="1"/>
  <c r="I3339" i="1"/>
  <c r="H3339" i="1"/>
  <c r="G3339" i="1"/>
  <c r="F3339" i="1"/>
  <c r="E3339" i="1"/>
  <c r="D3339" i="1"/>
  <c r="C3339" i="1"/>
  <c r="A3339" i="1"/>
  <c r="R3338" i="1"/>
  <c r="Q3338" i="1"/>
  <c r="N3338" i="1"/>
  <c r="J3338" i="1"/>
  <c r="I3338" i="1"/>
  <c r="H3338" i="1"/>
  <c r="G3338" i="1"/>
  <c r="F3338" i="1"/>
  <c r="E3338" i="1"/>
  <c r="D3338" i="1"/>
  <c r="C3338" i="1"/>
  <c r="A3338" i="1"/>
  <c r="R3337" i="1"/>
  <c r="Q3337" i="1"/>
  <c r="N3337" i="1"/>
  <c r="J3337" i="1"/>
  <c r="I3337" i="1"/>
  <c r="H3337" i="1"/>
  <c r="G3337" i="1"/>
  <c r="F3337" i="1"/>
  <c r="E3337" i="1"/>
  <c r="D3337" i="1"/>
  <c r="C3337" i="1"/>
  <c r="A3337" i="1"/>
  <c r="R3336" i="1"/>
  <c r="N3336" i="1"/>
  <c r="J3336" i="1"/>
  <c r="I3336" i="1"/>
  <c r="H3336" i="1"/>
  <c r="G3336" i="1"/>
  <c r="F3336" i="1"/>
  <c r="E3336" i="1"/>
  <c r="D3336" i="1"/>
  <c r="C3336" i="1"/>
  <c r="A3336" i="1"/>
  <c r="R3335" i="1"/>
  <c r="Q3335" i="1"/>
  <c r="N3335" i="1"/>
  <c r="J3335" i="1"/>
  <c r="I3335" i="1"/>
  <c r="H3335" i="1"/>
  <c r="G3335" i="1"/>
  <c r="F3335" i="1"/>
  <c r="E3335" i="1"/>
  <c r="D3335" i="1"/>
  <c r="C3335" i="1"/>
  <c r="A3335" i="1"/>
  <c r="R3334" i="1"/>
  <c r="Q3334" i="1"/>
  <c r="N3334" i="1"/>
  <c r="J3334" i="1"/>
  <c r="I3334" i="1"/>
  <c r="H3334" i="1"/>
  <c r="G3334" i="1"/>
  <c r="F3334" i="1"/>
  <c r="E3334" i="1"/>
  <c r="D3334" i="1"/>
  <c r="C3334" i="1"/>
  <c r="A3334" i="1"/>
  <c r="R3333" i="1"/>
  <c r="Q3333" i="1"/>
  <c r="N3333" i="1"/>
  <c r="J3333" i="1"/>
  <c r="I3333" i="1"/>
  <c r="H3333" i="1"/>
  <c r="G3333" i="1"/>
  <c r="F3333" i="1"/>
  <c r="E3333" i="1"/>
  <c r="D3333" i="1"/>
  <c r="C3333" i="1"/>
  <c r="A3333" i="1"/>
  <c r="R3332" i="1"/>
  <c r="Q3332" i="1"/>
  <c r="N3332" i="1"/>
  <c r="J3332" i="1"/>
  <c r="I3332" i="1"/>
  <c r="H3332" i="1"/>
  <c r="G3332" i="1"/>
  <c r="F3332" i="1"/>
  <c r="E3332" i="1"/>
  <c r="D3332" i="1"/>
  <c r="C3332" i="1"/>
  <c r="A3332" i="1"/>
  <c r="R3331" i="1"/>
  <c r="Q3331" i="1"/>
  <c r="N3331" i="1"/>
  <c r="J3331" i="1"/>
  <c r="I3331" i="1"/>
  <c r="H3331" i="1"/>
  <c r="G3331" i="1"/>
  <c r="F3331" i="1"/>
  <c r="E3331" i="1"/>
  <c r="D3331" i="1"/>
  <c r="C3331" i="1"/>
  <c r="A3331" i="1"/>
  <c r="R3330" i="1"/>
  <c r="Q3330" i="1"/>
  <c r="N3330" i="1"/>
  <c r="J3330" i="1"/>
  <c r="I3330" i="1"/>
  <c r="H3330" i="1"/>
  <c r="G3330" i="1"/>
  <c r="F3330" i="1"/>
  <c r="E3330" i="1"/>
  <c r="D3330" i="1"/>
  <c r="C3330" i="1"/>
  <c r="A3330" i="1"/>
  <c r="R3329" i="1"/>
  <c r="Q3329" i="1"/>
  <c r="N3329" i="1"/>
  <c r="J3329" i="1"/>
  <c r="I3329" i="1"/>
  <c r="H3329" i="1"/>
  <c r="G3329" i="1"/>
  <c r="F3329" i="1"/>
  <c r="E3329" i="1"/>
  <c r="D3329" i="1"/>
  <c r="C3329" i="1"/>
  <c r="A3329" i="1"/>
  <c r="R3328" i="1"/>
  <c r="Q3328" i="1"/>
  <c r="N3328" i="1"/>
  <c r="J3328" i="1"/>
  <c r="I3328" i="1"/>
  <c r="H3328" i="1"/>
  <c r="G3328" i="1"/>
  <c r="F3328" i="1"/>
  <c r="E3328" i="1"/>
  <c r="D3328" i="1"/>
  <c r="C3328" i="1"/>
  <c r="A3328" i="1"/>
  <c r="R3327" i="1"/>
  <c r="N3327" i="1"/>
  <c r="J3327" i="1"/>
  <c r="I3327" i="1"/>
  <c r="H3327" i="1"/>
  <c r="G3327" i="1"/>
  <c r="F3327" i="1"/>
  <c r="E3327" i="1"/>
  <c r="D3327" i="1"/>
  <c r="C3327" i="1"/>
  <c r="A3327" i="1"/>
  <c r="R3326" i="1"/>
  <c r="Q3326" i="1"/>
  <c r="N3326" i="1"/>
  <c r="J3326" i="1"/>
  <c r="I3326" i="1"/>
  <c r="H3326" i="1"/>
  <c r="G3326" i="1"/>
  <c r="F3326" i="1"/>
  <c r="E3326" i="1"/>
  <c r="D3326" i="1"/>
  <c r="C3326" i="1"/>
  <c r="A3326" i="1"/>
  <c r="R3325" i="1"/>
  <c r="N3325" i="1"/>
  <c r="J3325" i="1"/>
  <c r="I3325" i="1"/>
  <c r="H3325" i="1"/>
  <c r="G3325" i="1"/>
  <c r="F3325" i="1"/>
  <c r="E3325" i="1"/>
  <c r="D3325" i="1"/>
  <c r="C3325" i="1"/>
  <c r="A3325" i="1"/>
  <c r="R3324" i="1"/>
  <c r="Q3324" i="1"/>
  <c r="N3324" i="1"/>
  <c r="J3324" i="1"/>
  <c r="I3324" i="1"/>
  <c r="H3324" i="1"/>
  <c r="G3324" i="1"/>
  <c r="F3324" i="1"/>
  <c r="E3324" i="1"/>
  <c r="D3324" i="1"/>
  <c r="C3324" i="1"/>
  <c r="A3324" i="1"/>
  <c r="R3323" i="1"/>
  <c r="N3323" i="1"/>
  <c r="J3323" i="1"/>
  <c r="I3323" i="1"/>
  <c r="H3323" i="1"/>
  <c r="G3323" i="1"/>
  <c r="F3323" i="1"/>
  <c r="E3323" i="1"/>
  <c r="D3323" i="1"/>
  <c r="C3323" i="1"/>
  <c r="B3323" i="1"/>
  <c r="A3323" i="1"/>
  <c r="R3322" i="1"/>
  <c r="Q3322" i="1"/>
  <c r="N3322" i="1"/>
  <c r="J3322" i="1"/>
  <c r="I3322" i="1"/>
  <c r="H3322" i="1"/>
  <c r="G3322" i="1"/>
  <c r="F3322" i="1"/>
  <c r="E3322" i="1"/>
  <c r="D3322" i="1"/>
  <c r="C3322" i="1"/>
  <c r="B3322" i="1"/>
  <c r="A3322" i="1"/>
  <c r="R3321" i="1"/>
  <c r="N3321" i="1"/>
  <c r="J3321" i="1"/>
  <c r="I3321" i="1"/>
  <c r="H3321" i="1"/>
  <c r="G3321" i="1"/>
  <c r="F3321" i="1"/>
  <c r="E3321" i="1"/>
  <c r="D3321" i="1"/>
  <c r="C3321" i="1"/>
  <c r="B3321" i="1"/>
  <c r="A3321" i="1"/>
  <c r="R3320" i="1"/>
  <c r="Q3320" i="1"/>
  <c r="N3320" i="1"/>
  <c r="J3320" i="1"/>
  <c r="I3320" i="1"/>
  <c r="H3320" i="1"/>
  <c r="G3320" i="1"/>
  <c r="F3320" i="1"/>
  <c r="E3320" i="1"/>
  <c r="D3320" i="1"/>
  <c r="C3320" i="1"/>
  <c r="B3320" i="1"/>
  <c r="A3320" i="1"/>
  <c r="R3319" i="1"/>
  <c r="N3319" i="1"/>
  <c r="J3319" i="1"/>
  <c r="I3319" i="1"/>
  <c r="H3319" i="1"/>
  <c r="G3319" i="1"/>
  <c r="F3319" i="1"/>
  <c r="E3319" i="1"/>
  <c r="D3319" i="1"/>
  <c r="C3319" i="1"/>
  <c r="B3319" i="1"/>
  <c r="A3319" i="1"/>
  <c r="R3318" i="1"/>
  <c r="Q3318" i="1"/>
  <c r="N3318" i="1"/>
  <c r="J3318" i="1"/>
  <c r="I3318" i="1"/>
  <c r="H3318" i="1"/>
  <c r="G3318" i="1"/>
  <c r="F3318" i="1"/>
  <c r="E3318" i="1"/>
  <c r="D3318" i="1"/>
  <c r="C3318" i="1"/>
  <c r="B3318" i="1"/>
  <c r="A3318" i="1"/>
  <c r="R3317" i="1"/>
  <c r="N3317" i="1"/>
  <c r="J3317" i="1"/>
  <c r="I3317" i="1"/>
  <c r="H3317" i="1"/>
  <c r="G3317" i="1"/>
  <c r="F3317" i="1"/>
  <c r="E3317" i="1"/>
  <c r="D3317" i="1"/>
  <c r="C3317" i="1"/>
  <c r="B3317" i="1"/>
  <c r="A3317" i="1"/>
  <c r="R3316" i="1"/>
  <c r="Q3316" i="1"/>
  <c r="N3316" i="1"/>
  <c r="J3316" i="1"/>
  <c r="I3316" i="1"/>
  <c r="H3316" i="1"/>
  <c r="G3316" i="1"/>
  <c r="F3316" i="1"/>
  <c r="E3316" i="1"/>
  <c r="D3316" i="1"/>
  <c r="C3316" i="1"/>
  <c r="B3316" i="1"/>
  <c r="A3316" i="1"/>
  <c r="R3315" i="1"/>
  <c r="N3315" i="1"/>
  <c r="J3315" i="1"/>
  <c r="I3315" i="1"/>
  <c r="H3315" i="1"/>
  <c r="G3315" i="1"/>
  <c r="F3315" i="1"/>
  <c r="E3315" i="1"/>
  <c r="D3315" i="1"/>
  <c r="C3315" i="1"/>
  <c r="B3315" i="1"/>
  <c r="A3315" i="1"/>
  <c r="R3314" i="1"/>
  <c r="Q3314" i="1"/>
  <c r="N3314" i="1"/>
  <c r="J3314" i="1"/>
  <c r="I3314" i="1"/>
  <c r="H3314" i="1"/>
  <c r="G3314" i="1"/>
  <c r="F3314" i="1"/>
  <c r="E3314" i="1"/>
  <c r="D3314" i="1"/>
  <c r="C3314" i="1"/>
  <c r="B3314" i="1"/>
  <c r="A3314" i="1"/>
  <c r="R3313" i="1"/>
  <c r="N3313" i="1"/>
  <c r="J3313" i="1"/>
  <c r="I3313" i="1"/>
  <c r="H3313" i="1"/>
  <c r="G3313" i="1"/>
  <c r="F3313" i="1"/>
  <c r="E3313" i="1"/>
  <c r="D3313" i="1"/>
  <c r="C3313" i="1"/>
  <c r="B3313" i="1"/>
  <c r="A3313" i="1"/>
  <c r="R3312" i="1"/>
  <c r="Q3312" i="1"/>
  <c r="N3312" i="1"/>
  <c r="J3312" i="1"/>
  <c r="I3312" i="1"/>
  <c r="H3312" i="1"/>
  <c r="G3312" i="1"/>
  <c r="F3312" i="1"/>
  <c r="E3312" i="1"/>
  <c r="D3312" i="1"/>
  <c r="C3312" i="1"/>
  <c r="B3312" i="1"/>
  <c r="A3312" i="1"/>
  <c r="R3311" i="1"/>
  <c r="N3311" i="1"/>
  <c r="J3311" i="1"/>
  <c r="I3311" i="1"/>
  <c r="H3311" i="1"/>
  <c r="G3311" i="1"/>
  <c r="F3311" i="1"/>
  <c r="E3311" i="1"/>
  <c r="D3311" i="1"/>
  <c r="C3311" i="1"/>
  <c r="B3311" i="1"/>
  <c r="A3311" i="1"/>
  <c r="R3310" i="1"/>
  <c r="Q3310" i="1"/>
  <c r="N3310" i="1"/>
  <c r="J3310" i="1"/>
  <c r="I3310" i="1"/>
  <c r="H3310" i="1"/>
  <c r="G3310" i="1"/>
  <c r="F3310" i="1"/>
  <c r="E3310" i="1"/>
  <c r="D3310" i="1"/>
  <c r="C3310" i="1"/>
  <c r="B3310" i="1"/>
  <c r="A3310" i="1"/>
  <c r="R3309" i="1"/>
  <c r="N3309" i="1"/>
  <c r="J3309" i="1"/>
  <c r="I3309" i="1"/>
  <c r="H3309" i="1"/>
  <c r="G3309" i="1"/>
  <c r="F3309" i="1"/>
  <c r="E3309" i="1"/>
  <c r="D3309" i="1"/>
  <c r="C3309" i="1"/>
  <c r="B3309" i="1"/>
  <c r="A3309" i="1"/>
  <c r="R3308" i="1"/>
  <c r="Q3308" i="1"/>
  <c r="N3308" i="1"/>
  <c r="J3308" i="1"/>
  <c r="I3308" i="1"/>
  <c r="H3308" i="1"/>
  <c r="G3308" i="1"/>
  <c r="F3308" i="1"/>
  <c r="E3308" i="1"/>
  <c r="D3308" i="1"/>
  <c r="C3308" i="1"/>
  <c r="B3308" i="1"/>
  <c r="A3308" i="1"/>
  <c r="R3307" i="1"/>
  <c r="N3307" i="1"/>
  <c r="J3307" i="1"/>
  <c r="I3307" i="1"/>
  <c r="H3307" i="1"/>
  <c r="G3307" i="1"/>
  <c r="F3307" i="1"/>
  <c r="E3307" i="1"/>
  <c r="D3307" i="1"/>
  <c r="C3307" i="1"/>
  <c r="B3307" i="1"/>
  <c r="A3307" i="1"/>
  <c r="R3306" i="1"/>
  <c r="Q3306" i="1"/>
  <c r="N3306" i="1"/>
  <c r="J3306" i="1"/>
  <c r="I3306" i="1"/>
  <c r="H3306" i="1"/>
  <c r="G3306" i="1"/>
  <c r="F3306" i="1"/>
  <c r="E3306" i="1"/>
  <c r="D3306" i="1"/>
  <c r="C3306" i="1"/>
  <c r="B3306" i="1"/>
  <c r="A3306" i="1"/>
  <c r="R3305" i="1"/>
  <c r="N3305" i="1"/>
  <c r="J3305" i="1"/>
  <c r="I3305" i="1"/>
  <c r="H3305" i="1"/>
  <c r="G3305" i="1"/>
  <c r="F3305" i="1"/>
  <c r="E3305" i="1"/>
  <c r="D3305" i="1"/>
  <c r="C3305" i="1"/>
  <c r="B3305" i="1"/>
  <c r="A3305" i="1"/>
  <c r="R3304" i="1"/>
  <c r="Q3304" i="1"/>
  <c r="N3304" i="1"/>
  <c r="J3304" i="1"/>
  <c r="I3304" i="1"/>
  <c r="H3304" i="1"/>
  <c r="G3304" i="1"/>
  <c r="F3304" i="1"/>
  <c r="E3304" i="1"/>
  <c r="D3304" i="1"/>
  <c r="C3304" i="1"/>
  <c r="B3304" i="1"/>
  <c r="A3304" i="1"/>
  <c r="R3303" i="1"/>
  <c r="N3303" i="1"/>
  <c r="J3303" i="1"/>
  <c r="I3303" i="1"/>
  <c r="H3303" i="1"/>
  <c r="G3303" i="1"/>
  <c r="F3303" i="1"/>
  <c r="E3303" i="1"/>
  <c r="D3303" i="1"/>
  <c r="C3303" i="1"/>
  <c r="B3303" i="1"/>
  <c r="A3303" i="1"/>
  <c r="R3302" i="1"/>
  <c r="Q3302" i="1"/>
  <c r="N3302" i="1"/>
  <c r="J3302" i="1"/>
  <c r="I3302" i="1"/>
  <c r="H3302" i="1"/>
  <c r="G3302" i="1"/>
  <c r="F3302" i="1"/>
  <c r="E3302" i="1"/>
  <c r="D3302" i="1"/>
  <c r="C3302" i="1"/>
  <c r="B3302" i="1"/>
  <c r="A3302" i="1"/>
  <c r="R3301" i="1"/>
  <c r="N3301" i="1"/>
  <c r="J3301" i="1"/>
  <c r="I3301" i="1"/>
  <c r="H3301" i="1"/>
  <c r="G3301" i="1"/>
  <c r="F3301" i="1"/>
  <c r="E3301" i="1"/>
  <c r="D3301" i="1"/>
  <c r="C3301" i="1"/>
  <c r="B3301" i="1"/>
  <c r="A3301" i="1"/>
  <c r="R3300" i="1"/>
  <c r="Q3300" i="1"/>
  <c r="N3300" i="1"/>
  <c r="J3300" i="1"/>
  <c r="I3300" i="1"/>
  <c r="H3300" i="1"/>
  <c r="G3300" i="1"/>
  <c r="F3300" i="1"/>
  <c r="E3300" i="1"/>
  <c r="D3300" i="1"/>
  <c r="C3300" i="1"/>
  <c r="B3300" i="1"/>
  <c r="A3300" i="1"/>
  <c r="R3299" i="1"/>
  <c r="N3299" i="1"/>
  <c r="J3299" i="1"/>
  <c r="I3299" i="1"/>
  <c r="H3299" i="1"/>
  <c r="G3299" i="1"/>
  <c r="F3299" i="1"/>
  <c r="E3299" i="1"/>
  <c r="D3299" i="1"/>
  <c r="C3299" i="1"/>
  <c r="B3299" i="1"/>
  <c r="A3299" i="1"/>
  <c r="R3298" i="1"/>
  <c r="Q3298" i="1"/>
  <c r="N3298" i="1"/>
  <c r="J3298" i="1"/>
  <c r="I3298" i="1"/>
  <c r="H3298" i="1"/>
  <c r="G3298" i="1"/>
  <c r="F3298" i="1"/>
  <c r="E3298" i="1"/>
  <c r="D3298" i="1"/>
  <c r="C3298" i="1"/>
  <c r="B3298" i="1"/>
  <c r="A3298" i="1"/>
  <c r="R3297" i="1"/>
  <c r="N3297" i="1"/>
  <c r="J3297" i="1"/>
  <c r="I3297" i="1"/>
  <c r="H3297" i="1"/>
  <c r="G3297" i="1"/>
  <c r="F3297" i="1"/>
  <c r="E3297" i="1"/>
  <c r="D3297" i="1"/>
  <c r="C3297" i="1"/>
  <c r="B3297" i="1"/>
  <c r="A3297" i="1"/>
  <c r="R3296" i="1"/>
  <c r="Q3296" i="1"/>
  <c r="N3296" i="1"/>
  <c r="J3296" i="1"/>
  <c r="I3296" i="1"/>
  <c r="H3296" i="1"/>
  <c r="G3296" i="1"/>
  <c r="F3296" i="1"/>
  <c r="E3296" i="1"/>
  <c r="D3296" i="1"/>
  <c r="C3296" i="1"/>
  <c r="B3296" i="1"/>
  <c r="A3296" i="1"/>
  <c r="R3295" i="1"/>
  <c r="N3295" i="1"/>
  <c r="J3295" i="1"/>
  <c r="I3295" i="1"/>
  <c r="H3295" i="1"/>
  <c r="G3295" i="1"/>
  <c r="F3295" i="1"/>
  <c r="E3295" i="1"/>
  <c r="D3295" i="1"/>
  <c r="C3295" i="1"/>
  <c r="B3295" i="1"/>
  <c r="A3295" i="1"/>
  <c r="R3294" i="1"/>
  <c r="N3294" i="1"/>
  <c r="J3294" i="1"/>
  <c r="I3294" i="1"/>
  <c r="H3294" i="1"/>
  <c r="G3294" i="1"/>
  <c r="F3294" i="1"/>
  <c r="E3294" i="1"/>
  <c r="D3294" i="1"/>
  <c r="C3294" i="1"/>
  <c r="B3294" i="1"/>
  <c r="A3294" i="1"/>
  <c r="R3293" i="1"/>
  <c r="N3293" i="1"/>
  <c r="J3293" i="1"/>
  <c r="I3293" i="1"/>
  <c r="H3293" i="1"/>
  <c r="G3293" i="1"/>
  <c r="F3293" i="1"/>
  <c r="E3293" i="1"/>
  <c r="D3293" i="1"/>
  <c r="C3293" i="1"/>
  <c r="B3293" i="1"/>
  <c r="A3293" i="1"/>
  <c r="R3292" i="1"/>
  <c r="N3292" i="1"/>
  <c r="J3292" i="1"/>
  <c r="I3292" i="1"/>
  <c r="H3292" i="1"/>
  <c r="G3292" i="1"/>
  <c r="F3292" i="1"/>
  <c r="E3292" i="1"/>
  <c r="D3292" i="1"/>
  <c r="C3292" i="1"/>
  <c r="B3292" i="1"/>
  <c r="A3292" i="1"/>
  <c r="R3291" i="1"/>
  <c r="Q3291" i="1"/>
  <c r="N3291" i="1"/>
  <c r="J3291" i="1"/>
  <c r="I3291" i="1"/>
  <c r="H3291" i="1"/>
  <c r="G3291" i="1"/>
  <c r="F3291" i="1"/>
  <c r="E3291" i="1"/>
  <c r="D3291" i="1"/>
  <c r="C3291" i="1"/>
  <c r="A3291" i="1"/>
  <c r="R3290" i="1"/>
  <c r="N3290" i="1"/>
  <c r="J3290" i="1"/>
  <c r="I3290" i="1"/>
  <c r="H3290" i="1"/>
  <c r="G3290" i="1"/>
  <c r="F3290" i="1"/>
  <c r="E3290" i="1"/>
  <c r="D3290" i="1"/>
  <c r="C3290" i="1"/>
  <c r="A3290" i="1"/>
  <c r="R3289" i="1"/>
  <c r="Q3289" i="1"/>
  <c r="N3289" i="1"/>
  <c r="J3289" i="1"/>
  <c r="I3289" i="1"/>
  <c r="H3289" i="1"/>
  <c r="G3289" i="1"/>
  <c r="F3289" i="1"/>
  <c r="E3289" i="1"/>
  <c r="D3289" i="1"/>
  <c r="C3289" i="1"/>
  <c r="A3289" i="1"/>
  <c r="R3288" i="1"/>
  <c r="N3288" i="1"/>
  <c r="J3288" i="1"/>
  <c r="I3288" i="1"/>
  <c r="H3288" i="1"/>
  <c r="G3288" i="1"/>
  <c r="F3288" i="1"/>
  <c r="E3288" i="1"/>
  <c r="D3288" i="1"/>
  <c r="C3288" i="1"/>
  <c r="A3288" i="1"/>
  <c r="R3287" i="1"/>
  <c r="Q3287" i="1"/>
  <c r="N3287" i="1"/>
  <c r="J3287" i="1"/>
  <c r="I3287" i="1"/>
  <c r="H3287" i="1"/>
  <c r="G3287" i="1"/>
  <c r="F3287" i="1"/>
  <c r="E3287" i="1"/>
  <c r="D3287" i="1"/>
  <c r="C3287" i="1"/>
  <c r="A3287" i="1"/>
  <c r="R3286" i="1"/>
  <c r="N3286" i="1"/>
  <c r="J3286" i="1"/>
  <c r="I3286" i="1"/>
  <c r="H3286" i="1"/>
  <c r="G3286" i="1"/>
  <c r="F3286" i="1"/>
  <c r="E3286" i="1"/>
  <c r="D3286" i="1"/>
  <c r="C3286" i="1"/>
  <c r="A3286" i="1"/>
  <c r="R3285" i="1"/>
  <c r="Q3285" i="1"/>
  <c r="N3285" i="1"/>
  <c r="J3285" i="1"/>
  <c r="I3285" i="1"/>
  <c r="H3285" i="1"/>
  <c r="G3285" i="1"/>
  <c r="F3285" i="1"/>
  <c r="E3285" i="1"/>
  <c r="D3285" i="1"/>
  <c r="C3285" i="1"/>
  <c r="A3285" i="1"/>
  <c r="R3284" i="1"/>
  <c r="N3284" i="1"/>
  <c r="J3284" i="1"/>
  <c r="I3284" i="1"/>
  <c r="H3284" i="1"/>
  <c r="G3284" i="1"/>
  <c r="F3284" i="1"/>
  <c r="E3284" i="1"/>
  <c r="D3284" i="1"/>
  <c r="C3284" i="1"/>
  <c r="A3284" i="1"/>
  <c r="R3283" i="1"/>
  <c r="Q3283" i="1"/>
  <c r="N3283" i="1"/>
  <c r="J3283" i="1"/>
  <c r="I3283" i="1"/>
  <c r="H3283" i="1"/>
  <c r="G3283" i="1"/>
  <c r="F3283" i="1"/>
  <c r="E3283" i="1"/>
  <c r="D3283" i="1"/>
  <c r="C3283" i="1"/>
  <c r="A3283" i="1"/>
  <c r="R3282" i="1"/>
  <c r="N3282" i="1"/>
  <c r="J3282" i="1"/>
  <c r="I3282" i="1"/>
  <c r="H3282" i="1"/>
  <c r="G3282" i="1"/>
  <c r="F3282" i="1"/>
  <c r="E3282" i="1"/>
  <c r="D3282" i="1"/>
  <c r="C3282" i="1"/>
  <c r="A3282" i="1"/>
  <c r="R3281" i="1"/>
  <c r="Q3281" i="1"/>
  <c r="N3281" i="1"/>
  <c r="J3281" i="1"/>
  <c r="I3281" i="1"/>
  <c r="H3281" i="1"/>
  <c r="G3281" i="1"/>
  <c r="F3281" i="1"/>
  <c r="E3281" i="1"/>
  <c r="D3281" i="1"/>
  <c r="C3281" i="1"/>
  <c r="A3281" i="1"/>
  <c r="R3280" i="1"/>
  <c r="N3280" i="1"/>
  <c r="J3280" i="1"/>
  <c r="I3280" i="1"/>
  <c r="H3280" i="1"/>
  <c r="G3280" i="1"/>
  <c r="F3280" i="1"/>
  <c r="E3280" i="1"/>
  <c r="D3280" i="1"/>
  <c r="C3280" i="1"/>
  <c r="A3280" i="1"/>
  <c r="R3279" i="1"/>
  <c r="Q3279" i="1"/>
  <c r="N3279" i="1"/>
  <c r="J3279" i="1"/>
  <c r="I3279" i="1"/>
  <c r="H3279" i="1"/>
  <c r="G3279" i="1"/>
  <c r="F3279" i="1"/>
  <c r="E3279" i="1"/>
  <c r="D3279" i="1"/>
  <c r="C3279" i="1"/>
  <c r="A3279" i="1"/>
  <c r="R3278" i="1"/>
  <c r="N3278" i="1"/>
  <c r="J3278" i="1"/>
  <c r="I3278" i="1"/>
  <c r="H3278" i="1"/>
  <c r="G3278" i="1"/>
  <c r="F3278" i="1"/>
  <c r="E3278" i="1"/>
  <c r="D3278" i="1"/>
  <c r="C3278" i="1"/>
  <c r="A3278" i="1"/>
  <c r="R3277" i="1"/>
  <c r="Q3277" i="1"/>
  <c r="N3277" i="1"/>
  <c r="J3277" i="1"/>
  <c r="I3277" i="1"/>
  <c r="H3277" i="1"/>
  <c r="G3277" i="1"/>
  <c r="F3277" i="1"/>
  <c r="E3277" i="1"/>
  <c r="D3277" i="1"/>
  <c r="C3277" i="1"/>
  <c r="A3277" i="1"/>
  <c r="R3276" i="1"/>
  <c r="N3276" i="1"/>
  <c r="J3276" i="1"/>
  <c r="I3276" i="1"/>
  <c r="H3276" i="1"/>
  <c r="G3276" i="1"/>
  <c r="F3276" i="1"/>
  <c r="E3276" i="1"/>
  <c r="D3276" i="1"/>
  <c r="C3276" i="1"/>
  <c r="A3276" i="1"/>
  <c r="R3275" i="1"/>
  <c r="Q3275" i="1"/>
  <c r="N3275" i="1"/>
  <c r="J3275" i="1"/>
  <c r="I3275" i="1"/>
  <c r="H3275" i="1"/>
  <c r="G3275" i="1"/>
  <c r="F3275" i="1"/>
  <c r="E3275" i="1"/>
  <c r="D3275" i="1"/>
  <c r="C3275" i="1"/>
  <c r="A3275" i="1"/>
  <c r="R3274" i="1"/>
  <c r="N3274" i="1"/>
  <c r="J3274" i="1"/>
  <c r="I3274" i="1"/>
  <c r="H3274" i="1"/>
  <c r="G3274" i="1"/>
  <c r="F3274" i="1"/>
  <c r="E3274" i="1"/>
  <c r="D3274" i="1"/>
  <c r="C3274" i="1"/>
  <c r="A3274" i="1"/>
  <c r="R3273" i="1"/>
  <c r="Q3273" i="1"/>
  <c r="N3273" i="1"/>
  <c r="J3273" i="1"/>
  <c r="I3273" i="1"/>
  <c r="H3273" i="1"/>
  <c r="G3273" i="1"/>
  <c r="F3273" i="1"/>
  <c r="E3273" i="1"/>
  <c r="D3273" i="1"/>
  <c r="C3273" i="1"/>
  <c r="A3273" i="1"/>
  <c r="R3272" i="1"/>
  <c r="N3272" i="1"/>
  <c r="J3272" i="1"/>
  <c r="I3272" i="1"/>
  <c r="H3272" i="1"/>
  <c r="G3272" i="1"/>
  <c r="F3272" i="1"/>
  <c r="E3272" i="1"/>
  <c r="D3272" i="1"/>
  <c r="C3272" i="1"/>
  <c r="A3272" i="1"/>
  <c r="R3271" i="1"/>
  <c r="Q3271" i="1"/>
  <c r="N3271" i="1"/>
  <c r="J3271" i="1"/>
  <c r="I3271" i="1"/>
  <c r="H3271" i="1"/>
  <c r="G3271" i="1"/>
  <c r="F3271" i="1"/>
  <c r="E3271" i="1"/>
  <c r="D3271" i="1"/>
  <c r="C3271" i="1"/>
  <c r="A3271" i="1"/>
  <c r="R3270" i="1"/>
  <c r="N3270" i="1"/>
  <c r="J3270" i="1"/>
  <c r="I3270" i="1"/>
  <c r="H3270" i="1"/>
  <c r="G3270" i="1"/>
  <c r="F3270" i="1"/>
  <c r="E3270" i="1"/>
  <c r="D3270" i="1"/>
  <c r="C3270" i="1"/>
  <c r="A3270" i="1"/>
  <c r="R3269" i="1"/>
  <c r="Q3269" i="1"/>
  <c r="N3269" i="1"/>
  <c r="J3269" i="1"/>
  <c r="I3269" i="1"/>
  <c r="H3269" i="1"/>
  <c r="G3269" i="1"/>
  <c r="F3269" i="1"/>
  <c r="E3269" i="1"/>
  <c r="D3269" i="1"/>
  <c r="C3269" i="1"/>
  <c r="A3269" i="1"/>
  <c r="R3268" i="1"/>
  <c r="Q3268" i="1"/>
  <c r="N3268" i="1"/>
  <c r="J3268" i="1"/>
  <c r="I3268" i="1"/>
  <c r="H3268" i="1"/>
  <c r="G3268" i="1"/>
  <c r="F3268" i="1"/>
  <c r="E3268" i="1"/>
  <c r="D3268" i="1"/>
  <c r="C3268" i="1"/>
  <c r="A3268" i="1"/>
  <c r="R3267" i="1"/>
  <c r="N3267" i="1"/>
  <c r="J3267" i="1"/>
  <c r="I3267" i="1"/>
  <c r="H3267" i="1"/>
  <c r="G3267" i="1"/>
  <c r="F3267" i="1"/>
  <c r="E3267" i="1"/>
  <c r="D3267" i="1"/>
  <c r="C3267" i="1"/>
  <c r="A3267" i="1"/>
  <c r="R3266" i="1"/>
  <c r="Q3266" i="1"/>
  <c r="N3266" i="1"/>
  <c r="J3266" i="1"/>
  <c r="I3266" i="1"/>
  <c r="H3266" i="1"/>
  <c r="G3266" i="1"/>
  <c r="F3266" i="1"/>
  <c r="E3266" i="1"/>
  <c r="D3266" i="1"/>
  <c r="C3266" i="1"/>
  <c r="A3266" i="1"/>
  <c r="R3265" i="1"/>
  <c r="N3265" i="1"/>
  <c r="J3265" i="1"/>
  <c r="I3265" i="1"/>
  <c r="H3265" i="1"/>
  <c r="G3265" i="1"/>
  <c r="F3265" i="1"/>
  <c r="E3265" i="1"/>
  <c r="D3265" i="1"/>
  <c r="C3265" i="1"/>
  <c r="B3265" i="1"/>
  <c r="A3265" i="1"/>
  <c r="R3264" i="1"/>
  <c r="Q3264" i="1"/>
  <c r="N3264" i="1"/>
  <c r="J3264" i="1"/>
  <c r="I3264" i="1"/>
  <c r="H3264" i="1"/>
  <c r="G3264" i="1"/>
  <c r="F3264" i="1"/>
  <c r="E3264" i="1"/>
  <c r="D3264" i="1"/>
  <c r="C3264" i="1"/>
  <c r="B3264" i="1"/>
  <c r="A3264" i="1"/>
  <c r="R3263" i="1"/>
  <c r="N3263" i="1"/>
  <c r="J3263" i="1"/>
  <c r="I3263" i="1"/>
  <c r="H3263" i="1"/>
  <c r="G3263" i="1"/>
  <c r="F3263" i="1"/>
  <c r="E3263" i="1"/>
  <c r="D3263" i="1"/>
  <c r="C3263" i="1"/>
  <c r="B3263" i="1"/>
  <c r="A3263" i="1"/>
  <c r="R3262" i="1"/>
  <c r="Q3262" i="1"/>
  <c r="N3262" i="1"/>
  <c r="J3262" i="1"/>
  <c r="I3262" i="1"/>
  <c r="H3262" i="1"/>
  <c r="G3262" i="1"/>
  <c r="F3262" i="1"/>
  <c r="E3262" i="1"/>
  <c r="D3262" i="1"/>
  <c r="C3262" i="1"/>
  <c r="B3262" i="1"/>
  <c r="A3262" i="1"/>
  <c r="R3261" i="1"/>
  <c r="N3261" i="1"/>
  <c r="J3261" i="1"/>
  <c r="I3261" i="1"/>
  <c r="H3261" i="1"/>
  <c r="G3261" i="1"/>
  <c r="F3261" i="1"/>
  <c r="E3261" i="1"/>
  <c r="D3261" i="1"/>
  <c r="C3261" i="1"/>
  <c r="B3261" i="1"/>
  <c r="A3261" i="1"/>
  <c r="R3260" i="1"/>
  <c r="Q3260" i="1"/>
  <c r="N3260" i="1"/>
  <c r="J3260" i="1"/>
  <c r="I3260" i="1"/>
  <c r="H3260" i="1"/>
  <c r="G3260" i="1"/>
  <c r="F3260" i="1"/>
  <c r="E3260" i="1"/>
  <c r="D3260" i="1"/>
  <c r="C3260" i="1"/>
  <c r="B3260" i="1"/>
  <c r="A3260" i="1"/>
  <c r="R3259" i="1"/>
  <c r="N3259" i="1"/>
  <c r="J3259" i="1"/>
  <c r="I3259" i="1"/>
  <c r="H3259" i="1"/>
  <c r="G3259" i="1"/>
  <c r="F3259" i="1"/>
  <c r="E3259" i="1"/>
  <c r="D3259" i="1"/>
  <c r="C3259" i="1"/>
  <c r="B3259" i="1"/>
  <c r="A3259" i="1"/>
  <c r="R3258" i="1"/>
  <c r="Q3258" i="1"/>
  <c r="N3258" i="1"/>
  <c r="J3258" i="1"/>
  <c r="I3258" i="1"/>
  <c r="H3258" i="1"/>
  <c r="G3258" i="1"/>
  <c r="F3258" i="1"/>
  <c r="E3258" i="1"/>
  <c r="D3258" i="1"/>
  <c r="C3258" i="1"/>
  <c r="B3258" i="1"/>
  <c r="A3258" i="1"/>
  <c r="R3257" i="1"/>
  <c r="N3257" i="1"/>
  <c r="J3257" i="1"/>
  <c r="I3257" i="1"/>
  <c r="H3257" i="1"/>
  <c r="G3257" i="1"/>
  <c r="F3257" i="1"/>
  <c r="E3257" i="1"/>
  <c r="D3257" i="1"/>
  <c r="C3257" i="1"/>
  <c r="B3257" i="1"/>
  <c r="A3257" i="1"/>
  <c r="R3256" i="1"/>
  <c r="Q3256" i="1"/>
  <c r="N3256" i="1"/>
  <c r="J3256" i="1"/>
  <c r="I3256" i="1"/>
  <c r="H3256" i="1"/>
  <c r="G3256" i="1"/>
  <c r="F3256" i="1"/>
  <c r="E3256" i="1"/>
  <c r="D3256" i="1"/>
  <c r="C3256" i="1"/>
  <c r="B3256" i="1"/>
  <c r="A3256" i="1"/>
  <c r="R3255" i="1"/>
  <c r="N3255" i="1"/>
  <c r="J3255" i="1"/>
  <c r="I3255" i="1"/>
  <c r="H3255" i="1"/>
  <c r="G3255" i="1"/>
  <c r="F3255" i="1"/>
  <c r="E3255" i="1"/>
  <c r="D3255" i="1"/>
  <c r="C3255" i="1"/>
  <c r="B3255" i="1"/>
  <c r="A3255" i="1"/>
  <c r="R3254" i="1"/>
  <c r="Q3254" i="1"/>
  <c r="N3254" i="1"/>
  <c r="J3254" i="1"/>
  <c r="I3254" i="1"/>
  <c r="H3254" i="1"/>
  <c r="G3254" i="1"/>
  <c r="F3254" i="1"/>
  <c r="E3254" i="1"/>
  <c r="D3254" i="1"/>
  <c r="C3254" i="1"/>
  <c r="B3254" i="1"/>
  <c r="A3254" i="1"/>
  <c r="R3253" i="1"/>
  <c r="N3253" i="1"/>
  <c r="J3253" i="1"/>
  <c r="I3253" i="1"/>
  <c r="H3253" i="1"/>
  <c r="G3253" i="1"/>
  <c r="F3253" i="1"/>
  <c r="E3253" i="1"/>
  <c r="D3253" i="1"/>
  <c r="C3253" i="1"/>
  <c r="B3253" i="1"/>
  <c r="A3253" i="1"/>
  <c r="R3252" i="1"/>
  <c r="Q3252" i="1"/>
  <c r="N3252" i="1"/>
  <c r="J3252" i="1"/>
  <c r="I3252" i="1"/>
  <c r="H3252" i="1"/>
  <c r="G3252" i="1"/>
  <c r="F3252" i="1"/>
  <c r="E3252" i="1"/>
  <c r="D3252" i="1"/>
  <c r="C3252" i="1"/>
  <c r="B3252" i="1"/>
  <c r="A3252" i="1"/>
  <c r="R3251" i="1"/>
  <c r="N3251" i="1"/>
  <c r="J3251" i="1"/>
  <c r="I3251" i="1"/>
  <c r="H3251" i="1"/>
  <c r="G3251" i="1"/>
  <c r="F3251" i="1"/>
  <c r="E3251" i="1"/>
  <c r="D3251" i="1"/>
  <c r="C3251" i="1"/>
  <c r="B3251" i="1"/>
  <c r="A3251" i="1"/>
  <c r="R3250" i="1"/>
  <c r="Q3250" i="1"/>
  <c r="N3250" i="1"/>
  <c r="J3250" i="1"/>
  <c r="I3250" i="1"/>
  <c r="H3250" i="1"/>
  <c r="G3250" i="1"/>
  <c r="F3250" i="1"/>
  <c r="E3250" i="1"/>
  <c r="D3250" i="1"/>
  <c r="C3250" i="1"/>
  <c r="B3250" i="1"/>
  <c r="A3250" i="1"/>
  <c r="R3249" i="1"/>
  <c r="N3249" i="1"/>
  <c r="J3249" i="1"/>
  <c r="I3249" i="1"/>
  <c r="H3249" i="1"/>
  <c r="G3249" i="1"/>
  <c r="F3249" i="1"/>
  <c r="E3249" i="1"/>
  <c r="D3249" i="1"/>
  <c r="C3249" i="1"/>
  <c r="B3249" i="1"/>
  <c r="A3249" i="1"/>
  <c r="R3248" i="1"/>
  <c r="Q3248" i="1"/>
  <c r="N3248" i="1"/>
  <c r="J3248" i="1"/>
  <c r="I3248" i="1"/>
  <c r="H3248" i="1"/>
  <c r="G3248" i="1"/>
  <c r="F3248" i="1"/>
  <c r="E3248" i="1"/>
  <c r="D3248" i="1"/>
  <c r="C3248" i="1"/>
  <c r="B3248" i="1"/>
  <c r="A3248" i="1"/>
  <c r="R3247" i="1"/>
  <c r="N3247" i="1"/>
  <c r="J3247" i="1"/>
  <c r="I3247" i="1"/>
  <c r="H3247" i="1"/>
  <c r="G3247" i="1"/>
  <c r="F3247" i="1"/>
  <c r="E3247" i="1"/>
  <c r="D3247" i="1"/>
  <c r="C3247" i="1"/>
  <c r="B3247" i="1"/>
  <c r="A3247" i="1"/>
  <c r="R3246" i="1"/>
  <c r="Q3246" i="1"/>
  <c r="N3246" i="1"/>
  <c r="J3246" i="1"/>
  <c r="I3246" i="1"/>
  <c r="H3246" i="1"/>
  <c r="G3246" i="1"/>
  <c r="F3246" i="1"/>
  <c r="E3246" i="1"/>
  <c r="D3246" i="1"/>
  <c r="C3246" i="1"/>
  <c r="B3246" i="1"/>
  <c r="A3246" i="1"/>
  <c r="R3245" i="1"/>
  <c r="N3245" i="1"/>
  <c r="J3245" i="1"/>
  <c r="I3245" i="1"/>
  <c r="H3245" i="1"/>
  <c r="G3245" i="1"/>
  <c r="F3245" i="1"/>
  <c r="E3245" i="1"/>
  <c r="D3245" i="1"/>
  <c r="C3245" i="1"/>
  <c r="B3245" i="1"/>
  <c r="A3245" i="1"/>
  <c r="R3244" i="1"/>
  <c r="Q3244" i="1"/>
  <c r="N3244" i="1"/>
  <c r="J3244" i="1"/>
  <c r="I3244" i="1"/>
  <c r="H3244" i="1"/>
  <c r="G3244" i="1"/>
  <c r="F3244" i="1"/>
  <c r="E3244" i="1"/>
  <c r="D3244" i="1"/>
  <c r="C3244" i="1"/>
  <c r="B3244" i="1"/>
  <c r="A3244" i="1"/>
  <c r="R3243" i="1"/>
  <c r="N3243" i="1"/>
  <c r="J3243" i="1"/>
  <c r="I3243" i="1"/>
  <c r="H3243" i="1"/>
  <c r="G3243" i="1"/>
  <c r="F3243" i="1"/>
  <c r="E3243" i="1"/>
  <c r="D3243" i="1"/>
  <c r="C3243" i="1"/>
  <c r="B3243" i="1"/>
  <c r="A3243" i="1"/>
  <c r="R3242" i="1"/>
  <c r="Q3242" i="1"/>
  <c r="N3242" i="1"/>
  <c r="J3242" i="1"/>
  <c r="I3242" i="1"/>
  <c r="H3242" i="1"/>
  <c r="G3242" i="1"/>
  <c r="F3242" i="1"/>
  <c r="E3242" i="1"/>
  <c r="D3242" i="1"/>
  <c r="C3242" i="1"/>
  <c r="B3242" i="1"/>
  <c r="A3242" i="1"/>
  <c r="R3241" i="1"/>
  <c r="N3241" i="1"/>
  <c r="J3241" i="1"/>
  <c r="I3241" i="1"/>
  <c r="H3241" i="1"/>
  <c r="G3241" i="1"/>
  <c r="F3241" i="1"/>
  <c r="E3241" i="1"/>
  <c r="D3241" i="1"/>
  <c r="C3241" i="1"/>
  <c r="B3241" i="1"/>
  <c r="A3241" i="1"/>
  <c r="R3240" i="1"/>
  <c r="Q3240" i="1"/>
  <c r="N3240" i="1"/>
  <c r="J3240" i="1"/>
  <c r="I3240" i="1"/>
  <c r="H3240" i="1"/>
  <c r="G3240" i="1"/>
  <c r="F3240" i="1"/>
  <c r="E3240" i="1"/>
  <c r="D3240" i="1"/>
  <c r="C3240" i="1"/>
  <c r="B3240" i="1"/>
  <c r="A3240" i="1"/>
  <c r="R3239" i="1"/>
  <c r="N3239" i="1"/>
  <c r="J3239" i="1"/>
  <c r="I3239" i="1"/>
  <c r="H3239" i="1"/>
  <c r="G3239" i="1"/>
  <c r="F3239" i="1"/>
  <c r="E3239" i="1"/>
  <c r="D3239" i="1"/>
  <c r="C3239" i="1"/>
  <c r="B3239" i="1"/>
  <c r="A3239" i="1"/>
  <c r="R3238" i="1"/>
  <c r="Q3238" i="1"/>
  <c r="N3238" i="1"/>
  <c r="J3238" i="1"/>
  <c r="I3238" i="1"/>
  <c r="H3238" i="1"/>
  <c r="G3238" i="1"/>
  <c r="F3238" i="1"/>
  <c r="E3238" i="1"/>
  <c r="D3238" i="1"/>
  <c r="C3238" i="1"/>
  <c r="A3238" i="1"/>
  <c r="R3237" i="1"/>
  <c r="N3237" i="1"/>
  <c r="J3237" i="1"/>
  <c r="I3237" i="1"/>
  <c r="H3237" i="1"/>
  <c r="G3237" i="1"/>
  <c r="F3237" i="1"/>
  <c r="E3237" i="1"/>
  <c r="D3237" i="1"/>
  <c r="C3237" i="1"/>
  <c r="A3237" i="1"/>
  <c r="R3236" i="1"/>
  <c r="Q3236" i="1"/>
  <c r="N3236" i="1"/>
  <c r="J3236" i="1"/>
  <c r="I3236" i="1"/>
  <c r="H3236" i="1"/>
  <c r="G3236" i="1"/>
  <c r="F3236" i="1"/>
  <c r="E3236" i="1"/>
  <c r="D3236" i="1"/>
  <c r="C3236" i="1"/>
  <c r="A3236" i="1"/>
  <c r="R3235" i="1"/>
  <c r="N3235" i="1"/>
  <c r="J3235" i="1"/>
  <c r="I3235" i="1"/>
  <c r="H3235" i="1"/>
  <c r="G3235" i="1"/>
  <c r="F3235" i="1"/>
  <c r="E3235" i="1"/>
  <c r="D3235" i="1"/>
  <c r="C3235" i="1"/>
  <c r="A3235" i="1"/>
  <c r="R3234" i="1"/>
  <c r="Q3234" i="1"/>
  <c r="N3234" i="1"/>
  <c r="J3234" i="1"/>
  <c r="I3234" i="1"/>
  <c r="H3234" i="1"/>
  <c r="G3234" i="1"/>
  <c r="F3234" i="1"/>
  <c r="E3234" i="1"/>
  <c r="D3234" i="1"/>
  <c r="C3234" i="1"/>
  <c r="A3234" i="1"/>
  <c r="R3233" i="1"/>
  <c r="Q3233" i="1"/>
  <c r="N3233" i="1"/>
  <c r="J3233" i="1"/>
  <c r="I3233" i="1"/>
  <c r="H3233" i="1"/>
  <c r="G3233" i="1"/>
  <c r="F3233" i="1"/>
  <c r="E3233" i="1"/>
  <c r="D3233" i="1"/>
  <c r="C3233" i="1"/>
  <c r="A3233" i="1"/>
  <c r="R3232" i="1"/>
  <c r="Q3232" i="1"/>
  <c r="N3232" i="1"/>
  <c r="J3232" i="1"/>
  <c r="I3232" i="1"/>
  <c r="H3232" i="1"/>
  <c r="G3232" i="1"/>
  <c r="F3232" i="1"/>
  <c r="E3232" i="1"/>
  <c r="D3232" i="1"/>
  <c r="C3232" i="1"/>
  <c r="A3232" i="1"/>
  <c r="R3231" i="1"/>
  <c r="N3231" i="1"/>
  <c r="J3231" i="1"/>
  <c r="I3231" i="1"/>
  <c r="H3231" i="1"/>
  <c r="G3231" i="1"/>
  <c r="F3231" i="1"/>
  <c r="E3231" i="1"/>
  <c r="D3231" i="1"/>
  <c r="C3231" i="1"/>
  <c r="A3231" i="1"/>
  <c r="R3230" i="1"/>
  <c r="Q3230" i="1"/>
  <c r="N3230" i="1"/>
  <c r="J3230" i="1"/>
  <c r="I3230" i="1"/>
  <c r="H3230" i="1"/>
  <c r="G3230" i="1"/>
  <c r="F3230" i="1"/>
  <c r="E3230" i="1"/>
  <c r="D3230" i="1"/>
  <c r="C3230" i="1"/>
  <c r="A3230" i="1"/>
  <c r="R3229" i="1"/>
  <c r="N3229" i="1"/>
  <c r="J3229" i="1"/>
  <c r="I3229" i="1"/>
  <c r="H3229" i="1"/>
  <c r="G3229" i="1"/>
  <c r="F3229" i="1"/>
  <c r="E3229" i="1"/>
  <c r="D3229" i="1"/>
  <c r="C3229" i="1"/>
  <c r="A3229" i="1"/>
  <c r="R3228" i="1"/>
  <c r="Q3228" i="1"/>
  <c r="N3228" i="1"/>
  <c r="J3228" i="1"/>
  <c r="I3228" i="1"/>
  <c r="H3228" i="1"/>
  <c r="G3228" i="1"/>
  <c r="F3228" i="1"/>
  <c r="E3228" i="1"/>
  <c r="D3228" i="1"/>
  <c r="C3228" i="1"/>
  <c r="A3228" i="1"/>
  <c r="R3227" i="1"/>
  <c r="N3227" i="1"/>
  <c r="J3227" i="1"/>
  <c r="I3227" i="1"/>
  <c r="H3227" i="1"/>
  <c r="G3227" i="1"/>
  <c r="F3227" i="1"/>
  <c r="E3227" i="1"/>
  <c r="D3227" i="1"/>
  <c r="C3227" i="1"/>
  <c r="A3227" i="1"/>
  <c r="R3226" i="1"/>
  <c r="Q3226" i="1"/>
  <c r="N3226" i="1"/>
  <c r="J3226" i="1"/>
  <c r="I3226" i="1"/>
  <c r="H3226" i="1"/>
  <c r="G3226" i="1"/>
  <c r="F3226" i="1"/>
  <c r="E3226" i="1"/>
  <c r="D3226" i="1"/>
  <c r="C3226" i="1"/>
  <c r="A3226" i="1"/>
  <c r="R3225" i="1"/>
  <c r="N3225" i="1"/>
  <c r="J3225" i="1"/>
  <c r="I3225" i="1"/>
  <c r="H3225" i="1"/>
  <c r="G3225" i="1"/>
  <c r="F3225" i="1"/>
  <c r="E3225" i="1"/>
  <c r="D3225" i="1"/>
  <c r="C3225" i="1"/>
  <c r="A3225" i="1"/>
  <c r="R3224" i="1"/>
  <c r="Q3224" i="1"/>
  <c r="N3224" i="1"/>
  <c r="J3224" i="1"/>
  <c r="I3224" i="1"/>
  <c r="H3224" i="1"/>
  <c r="G3224" i="1"/>
  <c r="F3224" i="1"/>
  <c r="E3224" i="1"/>
  <c r="D3224" i="1"/>
  <c r="C3224" i="1"/>
  <c r="A3224" i="1"/>
  <c r="R3223" i="1"/>
  <c r="N3223" i="1"/>
  <c r="J3223" i="1"/>
  <c r="I3223" i="1"/>
  <c r="H3223" i="1"/>
  <c r="G3223" i="1"/>
  <c r="F3223" i="1"/>
  <c r="E3223" i="1"/>
  <c r="D3223" i="1"/>
  <c r="C3223" i="1"/>
  <c r="A3223" i="1"/>
  <c r="R3222" i="1"/>
  <c r="Q3222" i="1"/>
  <c r="N3222" i="1"/>
  <c r="J3222" i="1"/>
  <c r="I3222" i="1"/>
  <c r="H3222" i="1"/>
  <c r="G3222" i="1"/>
  <c r="F3222" i="1"/>
  <c r="E3222" i="1"/>
  <c r="D3222" i="1"/>
  <c r="C3222" i="1"/>
  <c r="A3222" i="1"/>
  <c r="R3221" i="1"/>
  <c r="N3221" i="1"/>
  <c r="J3221" i="1"/>
  <c r="I3221" i="1"/>
  <c r="H3221" i="1"/>
  <c r="G3221" i="1"/>
  <c r="F3221" i="1"/>
  <c r="E3221" i="1"/>
  <c r="D3221" i="1"/>
  <c r="C3221" i="1"/>
  <c r="A3221" i="1"/>
  <c r="R3220" i="1"/>
  <c r="Q3220" i="1"/>
  <c r="N3220" i="1"/>
  <c r="J3220" i="1"/>
  <c r="I3220" i="1"/>
  <c r="H3220" i="1"/>
  <c r="G3220" i="1"/>
  <c r="F3220" i="1"/>
  <c r="E3220" i="1"/>
  <c r="D3220" i="1"/>
  <c r="C3220" i="1"/>
  <c r="A3220" i="1"/>
  <c r="R3219" i="1"/>
  <c r="N3219" i="1"/>
  <c r="J3219" i="1"/>
  <c r="I3219" i="1"/>
  <c r="H3219" i="1"/>
  <c r="G3219" i="1"/>
  <c r="F3219" i="1"/>
  <c r="E3219" i="1"/>
  <c r="D3219" i="1"/>
  <c r="C3219" i="1"/>
  <c r="A3219" i="1"/>
  <c r="R3218" i="1"/>
  <c r="Q3218" i="1"/>
  <c r="N3218" i="1"/>
  <c r="J3218" i="1"/>
  <c r="I3218" i="1"/>
  <c r="H3218" i="1"/>
  <c r="G3218" i="1"/>
  <c r="F3218" i="1"/>
  <c r="E3218" i="1"/>
  <c r="D3218" i="1"/>
  <c r="C3218" i="1"/>
  <c r="A3218" i="1"/>
  <c r="R3217" i="1"/>
  <c r="N3217" i="1"/>
  <c r="J3217" i="1"/>
  <c r="I3217" i="1"/>
  <c r="H3217" i="1"/>
  <c r="G3217" i="1"/>
  <c r="F3217" i="1"/>
  <c r="E3217" i="1"/>
  <c r="D3217" i="1"/>
  <c r="C3217" i="1"/>
  <c r="A3217" i="1"/>
  <c r="R3216" i="1"/>
  <c r="Q3216" i="1"/>
  <c r="N3216" i="1"/>
  <c r="J3216" i="1"/>
  <c r="I3216" i="1"/>
  <c r="H3216" i="1"/>
  <c r="G3216" i="1"/>
  <c r="F3216" i="1"/>
  <c r="E3216" i="1"/>
  <c r="D3216" i="1"/>
  <c r="C3216" i="1"/>
  <c r="A3216" i="1"/>
  <c r="R3215" i="1"/>
  <c r="Q3215" i="1"/>
  <c r="N3215" i="1"/>
  <c r="J3215" i="1"/>
  <c r="I3215" i="1"/>
  <c r="H3215" i="1"/>
  <c r="G3215" i="1"/>
  <c r="F3215" i="1"/>
  <c r="E3215" i="1"/>
  <c r="D3215" i="1"/>
  <c r="C3215" i="1"/>
  <c r="A3215" i="1"/>
  <c r="R3214" i="1"/>
  <c r="Q3214" i="1"/>
  <c r="N3214" i="1"/>
  <c r="J3214" i="1"/>
  <c r="I3214" i="1"/>
  <c r="H3214" i="1"/>
  <c r="G3214" i="1"/>
  <c r="F3214" i="1"/>
  <c r="E3214" i="1"/>
  <c r="D3214" i="1"/>
  <c r="C3214" i="1"/>
  <c r="A3214" i="1"/>
  <c r="R3213" i="1"/>
  <c r="Q3213" i="1"/>
  <c r="N3213" i="1"/>
  <c r="J3213" i="1"/>
  <c r="I3213" i="1"/>
  <c r="H3213" i="1"/>
  <c r="G3213" i="1"/>
  <c r="F3213" i="1"/>
  <c r="E3213" i="1"/>
  <c r="D3213" i="1"/>
  <c r="C3213" i="1"/>
  <c r="A3213" i="1"/>
  <c r="R3212" i="1"/>
  <c r="Q3212" i="1"/>
  <c r="N3212" i="1"/>
  <c r="J3212" i="1"/>
  <c r="I3212" i="1"/>
  <c r="H3212" i="1"/>
  <c r="G3212" i="1"/>
  <c r="F3212" i="1"/>
  <c r="E3212" i="1"/>
  <c r="D3212" i="1"/>
  <c r="C3212" i="1"/>
  <c r="A3212" i="1"/>
  <c r="R3211" i="1"/>
  <c r="Q3211" i="1"/>
  <c r="N3211" i="1"/>
  <c r="J3211" i="1"/>
  <c r="I3211" i="1"/>
  <c r="H3211" i="1"/>
  <c r="G3211" i="1"/>
  <c r="F3211" i="1"/>
  <c r="E3211" i="1"/>
  <c r="D3211" i="1"/>
  <c r="C3211" i="1"/>
  <c r="A3211" i="1"/>
  <c r="R3210" i="1"/>
  <c r="Q3210" i="1"/>
  <c r="N3210" i="1"/>
  <c r="J3210" i="1"/>
  <c r="I3210" i="1"/>
  <c r="H3210" i="1"/>
  <c r="G3210" i="1"/>
  <c r="F3210" i="1"/>
  <c r="E3210" i="1"/>
  <c r="D3210" i="1"/>
  <c r="C3210" i="1"/>
  <c r="A3210" i="1"/>
  <c r="R3209" i="1"/>
  <c r="Q3209" i="1"/>
  <c r="N3209" i="1"/>
  <c r="J3209" i="1"/>
  <c r="I3209" i="1"/>
  <c r="H3209" i="1"/>
  <c r="G3209" i="1"/>
  <c r="F3209" i="1"/>
  <c r="E3209" i="1"/>
  <c r="D3209" i="1"/>
  <c r="C3209" i="1"/>
  <c r="A3209" i="1"/>
  <c r="R3208" i="1"/>
  <c r="Q3208" i="1"/>
  <c r="N3208" i="1"/>
  <c r="J3208" i="1"/>
  <c r="I3208" i="1"/>
  <c r="H3208" i="1"/>
  <c r="G3208" i="1"/>
  <c r="F3208" i="1"/>
  <c r="E3208" i="1"/>
  <c r="D3208" i="1"/>
  <c r="C3208" i="1"/>
  <c r="A3208" i="1"/>
  <c r="R3207" i="1"/>
  <c r="Q3207" i="1"/>
  <c r="N3207" i="1"/>
  <c r="J3207" i="1"/>
  <c r="I3207" i="1"/>
  <c r="H3207" i="1"/>
  <c r="G3207" i="1"/>
  <c r="F3207" i="1"/>
  <c r="E3207" i="1"/>
  <c r="D3207" i="1"/>
  <c r="C3207" i="1"/>
  <c r="A3207" i="1"/>
  <c r="R3206" i="1"/>
  <c r="Q3206" i="1"/>
  <c r="N3206" i="1"/>
  <c r="J3206" i="1"/>
  <c r="I3206" i="1"/>
  <c r="H3206" i="1"/>
  <c r="G3206" i="1"/>
  <c r="F3206" i="1"/>
  <c r="E3206" i="1"/>
  <c r="D3206" i="1"/>
  <c r="C3206" i="1"/>
  <c r="A3206" i="1"/>
  <c r="R3205" i="1"/>
  <c r="Q3205" i="1"/>
  <c r="N3205" i="1"/>
  <c r="J3205" i="1"/>
  <c r="I3205" i="1"/>
  <c r="H3205" i="1"/>
  <c r="G3205" i="1"/>
  <c r="F3205" i="1"/>
  <c r="E3205" i="1"/>
  <c r="D3205" i="1"/>
  <c r="C3205" i="1"/>
  <c r="A3205" i="1"/>
  <c r="R3204" i="1"/>
  <c r="Q3204" i="1"/>
  <c r="N3204" i="1"/>
  <c r="J3204" i="1"/>
  <c r="I3204" i="1"/>
  <c r="H3204" i="1"/>
  <c r="G3204" i="1"/>
  <c r="F3204" i="1"/>
  <c r="E3204" i="1"/>
  <c r="D3204" i="1"/>
  <c r="C3204" i="1"/>
  <c r="A3204" i="1"/>
  <c r="R3203" i="1"/>
  <c r="Q3203" i="1"/>
  <c r="N3203" i="1"/>
  <c r="J3203" i="1"/>
  <c r="I3203" i="1"/>
  <c r="H3203" i="1"/>
  <c r="G3203" i="1"/>
  <c r="F3203" i="1"/>
  <c r="E3203" i="1"/>
  <c r="D3203" i="1"/>
  <c r="C3203" i="1"/>
  <c r="A3203" i="1"/>
  <c r="R3202" i="1"/>
  <c r="Q3202" i="1"/>
  <c r="N3202" i="1"/>
  <c r="J3202" i="1"/>
  <c r="I3202" i="1"/>
  <c r="H3202" i="1"/>
  <c r="G3202" i="1"/>
  <c r="F3202" i="1"/>
  <c r="E3202" i="1"/>
  <c r="D3202" i="1"/>
  <c r="C3202" i="1"/>
  <c r="A3202" i="1"/>
  <c r="R3201" i="1"/>
  <c r="Q3201" i="1"/>
  <c r="N3201" i="1"/>
  <c r="J3201" i="1"/>
  <c r="I3201" i="1"/>
  <c r="H3201" i="1"/>
  <c r="G3201" i="1"/>
  <c r="F3201" i="1"/>
  <c r="E3201" i="1"/>
  <c r="D3201" i="1"/>
  <c r="C3201" i="1"/>
  <c r="A3201" i="1"/>
  <c r="R3200" i="1"/>
  <c r="Q3200" i="1"/>
  <c r="N3200" i="1"/>
  <c r="J3200" i="1"/>
  <c r="I3200" i="1"/>
  <c r="H3200" i="1"/>
  <c r="G3200" i="1"/>
  <c r="F3200" i="1"/>
  <c r="E3200" i="1"/>
  <c r="D3200" i="1"/>
  <c r="C3200" i="1"/>
  <c r="A3200" i="1"/>
  <c r="R3199" i="1"/>
  <c r="Q3199" i="1"/>
  <c r="N3199" i="1"/>
  <c r="J3199" i="1"/>
  <c r="I3199" i="1"/>
  <c r="H3199" i="1"/>
  <c r="G3199" i="1"/>
  <c r="F3199" i="1"/>
  <c r="E3199" i="1"/>
  <c r="D3199" i="1"/>
  <c r="C3199" i="1"/>
  <c r="A3199" i="1"/>
  <c r="R3198" i="1"/>
  <c r="Q3198" i="1"/>
  <c r="N3198" i="1"/>
  <c r="J3198" i="1"/>
  <c r="I3198" i="1"/>
  <c r="H3198" i="1"/>
  <c r="G3198" i="1"/>
  <c r="F3198" i="1"/>
  <c r="E3198" i="1"/>
  <c r="D3198" i="1"/>
  <c r="C3198" i="1"/>
  <c r="A3198" i="1"/>
  <c r="R3197" i="1"/>
  <c r="Q3197" i="1"/>
  <c r="N3197" i="1"/>
  <c r="J3197" i="1"/>
  <c r="I3197" i="1"/>
  <c r="H3197" i="1"/>
  <c r="G3197" i="1"/>
  <c r="F3197" i="1"/>
  <c r="E3197" i="1"/>
  <c r="D3197" i="1"/>
  <c r="C3197" i="1"/>
  <c r="A3197" i="1"/>
  <c r="R3196" i="1"/>
  <c r="Q3196" i="1"/>
  <c r="N3196" i="1"/>
  <c r="J3196" i="1"/>
  <c r="I3196" i="1"/>
  <c r="H3196" i="1"/>
  <c r="G3196" i="1"/>
  <c r="F3196" i="1"/>
  <c r="E3196" i="1"/>
  <c r="D3196" i="1"/>
  <c r="C3196" i="1"/>
  <c r="A3196" i="1"/>
  <c r="R3195" i="1"/>
  <c r="Q3195" i="1"/>
  <c r="N3195" i="1"/>
  <c r="J3195" i="1"/>
  <c r="I3195" i="1"/>
  <c r="H3195" i="1"/>
  <c r="G3195" i="1"/>
  <c r="F3195" i="1"/>
  <c r="E3195" i="1"/>
  <c r="D3195" i="1"/>
  <c r="C3195" i="1"/>
  <c r="A3195" i="1"/>
  <c r="R3194" i="1"/>
  <c r="Q3194" i="1"/>
  <c r="N3194" i="1"/>
  <c r="J3194" i="1"/>
  <c r="I3194" i="1"/>
  <c r="H3194" i="1"/>
  <c r="G3194" i="1"/>
  <c r="F3194" i="1"/>
  <c r="E3194" i="1"/>
  <c r="D3194" i="1"/>
  <c r="C3194" i="1"/>
  <c r="A3194" i="1"/>
  <c r="R3193" i="1"/>
  <c r="Q3193" i="1"/>
  <c r="N3193" i="1"/>
  <c r="J3193" i="1"/>
  <c r="I3193" i="1"/>
  <c r="H3193" i="1"/>
  <c r="G3193" i="1"/>
  <c r="F3193" i="1"/>
  <c r="E3193" i="1"/>
  <c r="D3193" i="1"/>
  <c r="C3193" i="1"/>
  <c r="A3193" i="1"/>
  <c r="R3192" i="1"/>
  <c r="Q3192" i="1"/>
  <c r="N3192" i="1"/>
  <c r="J3192" i="1"/>
  <c r="I3192" i="1"/>
  <c r="H3192" i="1"/>
  <c r="G3192" i="1"/>
  <c r="F3192" i="1"/>
  <c r="E3192" i="1"/>
  <c r="D3192" i="1"/>
  <c r="C3192" i="1"/>
  <c r="A3192" i="1"/>
  <c r="R3191" i="1"/>
  <c r="Q3191" i="1"/>
  <c r="N3191" i="1"/>
  <c r="J3191" i="1"/>
  <c r="I3191" i="1"/>
  <c r="H3191" i="1"/>
  <c r="G3191" i="1"/>
  <c r="F3191" i="1"/>
  <c r="E3191" i="1"/>
  <c r="D3191" i="1"/>
  <c r="C3191" i="1"/>
  <c r="A3191" i="1"/>
  <c r="R3190" i="1"/>
  <c r="Q3190" i="1"/>
  <c r="N3190" i="1"/>
  <c r="J3190" i="1"/>
  <c r="I3190" i="1"/>
  <c r="H3190" i="1"/>
  <c r="G3190" i="1"/>
  <c r="F3190" i="1"/>
  <c r="E3190" i="1"/>
  <c r="D3190" i="1"/>
  <c r="C3190" i="1"/>
  <c r="A3190" i="1"/>
  <c r="R3189" i="1"/>
  <c r="Q3189" i="1"/>
  <c r="N3189" i="1"/>
  <c r="J3189" i="1"/>
  <c r="I3189" i="1"/>
  <c r="H3189" i="1"/>
  <c r="G3189" i="1"/>
  <c r="F3189" i="1"/>
  <c r="E3189" i="1"/>
  <c r="D3189" i="1"/>
  <c r="C3189" i="1"/>
  <c r="A3189" i="1"/>
  <c r="R3188" i="1"/>
  <c r="Q3188" i="1"/>
  <c r="N3188" i="1"/>
  <c r="J3188" i="1"/>
  <c r="I3188" i="1"/>
  <c r="H3188" i="1"/>
  <c r="G3188" i="1"/>
  <c r="F3188" i="1"/>
  <c r="E3188" i="1"/>
  <c r="D3188" i="1"/>
  <c r="C3188" i="1"/>
  <c r="A3188" i="1"/>
  <c r="R3187" i="1"/>
  <c r="Q3187" i="1"/>
  <c r="N3187" i="1"/>
  <c r="J3187" i="1"/>
  <c r="I3187" i="1"/>
  <c r="H3187" i="1"/>
  <c r="G3187" i="1"/>
  <c r="F3187" i="1"/>
  <c r="E3187" i="1"/>
  <c r="D3187" i="1"/>
  <c r="C3187" i="1"/>
  <c r="A3187" i="1"/>
  <c r="R3186" i="1"/>
  <c r="Q3186" i="1"/>
  <c r="N3186" i="1"/>
  <c r="J3186" i="1"/>
  <c r="I3186" i="1"/>
  <c r="H3186" i="1"/>
  <c r="G3186" i="1"/>
  <c r="F3186" i="1"/>
  <c r="E3186" i="1"/>
  <c r="D3186" i="1"/>
  <c r="C3186" i="1"/>
  <c r="A3186" i="1"/>
  <c r="R3185" i="1"/>
  <c r="Q3185" i="1"/>
  <c r="N3185" i="1"/>
  <c r="J3185" i="1"/>
  <c r="I3185" i="1"/>
  <c r="H3185" i="1"/>
  <c r="G3185" i="1"/>
  <c r="F3185" i="1"/>
  <c r="E3185" i="1"/>
  <c r="D3185" i="1"/>
  <c r="C3185" i="1"/>
  <c r="A3185" i="1"/>
  <c r="R3184" i="1"/>
  <c r="Q3184" i="1"/>
  <c r="N3184" i="1"/>
  <c r="J3184" i="1"/>
  <c r="I3184" i="1"/>
  <c r="H3184" i="1"/>
  <c r="G3184" i="1"/>
  <c r="F3184" i="1"/>
  <c r="E3184" i="1"/>
  <c r="D3184" i="1"/>
  <c r="C3184" i="1"/>
  <c r="A3184" i="1"/>
  <c r="R3183" i="1"/>
  <c r="Q3183" i="1"/>
  <c r="N3183" i="1"/>
  <c r="J3183" i="1"/>
  <c r="I3183" i="1"/>
  <c r="H3183" i="1"/>
  <c r="G3183" i="1"/>
  <c r="F3183" i="1"/>
  <c r="E3183" i="1"/>
  <c r="D3183" i="1"/>
  <c r="C3183" i="1"/>
  <c r="A3183" i="1"/>
  <c r="R3182" i="1"/>
  <c r="Q3182" i="1"/>
  <c r="N3182" i="1"/>
  <c r="J3182" i="1"/>
  <c r="I3182" i="1"/>
  <c r="H3182" i="1"/>
  <c r="G3182" i="1"/>
  <c r="F3182" i="1"/>
  <c r="E3182" i="1"/>
  <c r="D3182" i="1"/>
  <c r="C3182" i="1"/>
  <c r="A3182" i="1"/>
  <c r="R3181" i="1"/>
  <c r="Q3181" i="1"/>
  <c r="N3181" i="1"/>
  <c r="J3181" i="1"/>
  <c r="I3181" i="1"/>
  <c r="H3181" i="1"/>
  <c r="G3181" i="1"/>
  <c r="F3181" i="1"/>
  <c r="E3181" i="1"/>
  <c r="D3181" i="1"/>
  <c r="C3181" i="1"/>
  <c r="A3181" i="1"/>
  <c r="R3180" i="1"/>
  <c r="Q3180" i="1"/>
  <c r="N3180" i="1"/>
  <c r="J3180" i="1"/>
  <c r="I3180" i="1"/>
  <c r="H3180" i="1"/>
  <c r="G3180" i="1"/>
  <c r="F3180" i="1"/>
  <c r="E3180" i="1"/>
  <c r="D3180" i="1"/>
  <c r="C3180" i="1"/>
  <c r="A3180" i="1"/>
  <c r="R3179" i="1"/>
  <c r="Q3179" i="1"/>
  <c r="N3179" i="1"/>
  <c r="J3179" i="1"/>
  <c r="I3179" i="1"/>
  <c r="H3179" i="1"/>
  <c r="G3179" i="1"/>
  <c r="F3179" i="1"/>
  <c r="E3179" i="1"/>
  <c r="D3179" i="1"/>
  <c r="C3179" i="1"/>
  <c r="A3179" i="1"/>
  <c r="R3178" i="1"/>
  <c r="Q3178" i="1"/>
  <c r="N3178" i="1"/>
  <c r="J3178" i="1"/>
  <c r="I3178" i="1"/>
  <c r="H3178" i="1"/>
  <c r="G3178" i="1"/>
  <c r="F3178" i="1"/>
  <c r="E3178" i="1"/>
  <c r="D3178" i="1"/>
  <c r="C3178" i="1"/>
  <c r="A3178" i="1"/>
  <c r="R3177" i="1"/>
  <c r="Q3177" i="1"/>
  <c r="N3177" i="1"/>
  <c r="J3177" i="1"/>
  <c r="I3177" i="1"/>
  <c r="H3177" i="1"/>
  <c r="G3177" i="1"/>
  <c r="F3177" i="1"/>
  <c r="E3177" i="1"/>
  <c r="D3177" i="1"/>
  <c r="C3177" i="1"/>
  <c r="A3177" i="1"/>
  <c r="R3176" i="1"/>
  <c r="Q3176" i="1"/>
  <c r="N3176" i="1"/>
  <c r="J3176" i="1"/>
  <c r="I3176" i="1"/>
  <c r="H3176" i="1"/>
  <c r="G3176" i="1"/>
  <c r="F3176" i="1"/>
  <c r="E3176" i="1"/>
  <c r="D3176" i="1"/>
  <c r="C3176" i="1"/>
  <c r="A3176" i="1"/>
  <c r="R3175" i="1"/>
  <c r="Q3175" i="1"/>
  <c r="N3175" i="1"/>
  <c r="J3175" i="1"/>
  <c r="I3175" i="1"/>
  <c r="H3175" i="1"/>
  <c r="G3175" i="1"/>
  <c r="F3175" i="1"/>
  <c r="E3175" i="1"/>
  <c r="D3175" i="1"/>
  <c r="C3175" i="1"/>
  <c r="A3175" i="1"/>
  <c r="R3174" i="1"/>
  <c r="Q3174" i="1"/>
  <c r="N3174" i="1"/>
  <c r="J3174" i="1"/>
  <c r="I3174" i="1"/>
  <c r="H3174" i="1"/>
  <c r="G3174" i="1"/>
  <c r="F3174" i="1"/>
  <c r="E3174" i="1"/>
  <c r="D3174" i="1"/>
  <c r="C3174" i="1"/>
  <c r="A3174" i="1"/>
  <c r="R3173" i="1"/>
  <c r="Q3173" i="1"/>
  <c r="N3173" i="1"/>
  <c r="J3173" i="1"/>
  <c r="I3173" i="1"/>
  <c r="H3173" i="1"/>
  <c r="G3173" i="1"/>
  <c r="F3173" i="1"/>
  <c r="E3173" i="1"/>
  <c r="D3173" i="1"/>
  <c r="C3173" i="1"/>
  <c r="A3173" i="1"/>
  <c r="R3172" i="1"/>
  <c r="N3172" i="1"/>
  <c r="J3172" i="1"/>
  <c r="I3172" i="1"/>
  <c r="H3172" i="1"/>
  <c r="G3172" i="1"/>
  <c r="F3172" i="1"/>
  <c r="E3172" i="1"/>
  <c r="D3172" i="1"/>
  <c r="C3172" i="1"/>
  <c r="A3172" i="1"/>
  <c r="R3171" i="1"/>
  <c r="Q3171" i="1"/>
  <c r="N3171" i="1"/>
  <c r="J3171" i="1"/>
  <c r="I3171" i="1"/>
  <c r="H3171" i="1"/>
  <c r="G3171" i="1"/>
  <c r="F3171" i="1"/>
  <c r="E3171" i="1"/>
  <c r="D3171" i="1"/>
  <c r="C3171" i="1"/>
  <c r="A3171" i="1"/>
  <c r="R3170" i="1"/>
  <c r="Q3170" i="1"/>
  <c r="N3170" i="1"/>
  <c r="J3170" i="1"/>
  <c r="I3170" i="1"/>
  <c r="H3170" i="1"/>
  <c r="G3170" i="1"/>
  <c r="F3170" i="1"/>
  <c r="E3170" i="1"/>
  <c r="D3170" i="1"/>
  <c r="C3170" i="1"/>
  <c r="A3170" i="1"/>
  <c r="R3169" i="1"/>
  <c r="Q3169" i="1"/>
  <c r="N3169" i="1"/>
  <c r="J3169" i="1"/>
  <c r="I3169" i="1"/>
  <c r="H3169" i="1"/>
  <c r="G3169" i="1"/>
  <c r="F3169" i="1"/>
  <c r="E3169" i="1"/>
  <c r="D3169" i="1"/>
  <c r="C3169" i="1"/>
  <c r="A3169" i="1"/>
  <c r="R3168" i="1"/>
  <c r="Q3168" i="1"/>
  <c r="N3168" i="1"/>
  <c r="J3168" i="1"/>
  <c r="I3168" i="1"/>
  <c r="H3168" i="1"/>
  <c r="G3168" i="1"/>
  <c r="F3168" i="1"/>
  <c r="E3168" i="1"/>
  <c r="D3168" i="1"/>
  <c r="C3168" i="1"/>
  <c r="A3168" i="1"/>
  <c r="R3167" i="1"/>
  <c r="Q3167" i="1"/>
  <c r="N3167" i="1"/>
  <c r="J3167" i="1"/>
  <c r="I3167" i="1"/>
  <c r="H3167" i="1"/>
  <c r="G3167" i="1"/>
  <c r="F3167" i="1"/>
  <c r="E3167" i="1"/>
  <c r="D3167" i="1"/>
  <c r="C3167" i="1"/>
  <c r="A3167" i="1"/>
  <c r="R3166" i="1"/>
  <c r="Q3166" i="1"/>
  <c r="N3166" i="1"/>
  <c r="J3166" i="1"/>
  <c r="I3166" i="1"/>
  <c r="H3166" i="1"/>
  <c r="G3166" i="1"/>
  <c r="F3166" i="1"/>
  <c r="E3166" i="1"/>
  <c r="D3166" i="1"/>
  <c r="C3166" i="1"/>
  <c r="A3166" i="1"/>
  <c r="R3165" i="1"/>
  <c r="Q3165" i="1"/>
  <c r="N3165" i="1"/>
  <c r="J3165" i="1"/>
  <c r="I3165" i="1"/>
  <c r="H3165" i="1"/>
  <c r="G3165" i="1"/>
  <c r="F3165" i="1"/>
  <c r="E3165" i="1"/>
  <c r="D3165" i="1"/>
  <c r="C3165" i="1"/>
  <c r="A3165" i="1"/>
  <c r="R3164" i="1"/>
  <c r="Q3164" i="1"/>
  <c r="N3164" i="1"/>
  <c r="J3164" i="1"/>
  <c r="I3164" i="1"/>
  <c r="H3164" i="1"/>
  <c r="G3164" i="1"/>
  <c r="F3164" i="1"/>
  <c r="E3164" i="1"/>
  <c r="D3164" i="1"/>
  <c r="C3164" i="1"/>
  <c r="A3164" i="1"/>
  <c r="R3163" i="1"/>
  <c r="Q3163" i="1"/>
  <c r="N3163" i="1"/>
  <c r="J3163" i="1"/>
  <c r="I3163" i="1"/>
  <c r="H3163" i="1"/>
  <c r="G3163" i="1"/>
  <c r="F3163" i="1"/>
  <c r="E3163" i="1"/>
  <c r="D3163" i="1"/>
  <c r="C3163" i="1"/>
  <c r="A3163" i="1"/>
  <c r="R3162" i="1"/>
  <c r="Q3162" i="1"/>
  <c r="N3162" i="1"/>
  <c r="J3162" i="1"/>
  <c r="I3162" i="1"/>
  <c r="H3162" i="1"/>
  <c r="G3162" i="1"/>
  <c r="F3162" i="1"/>
  <c r="E3162" i="1"/>
  <c r="D3162" i="1"/>
  <c r="C3162" i="1"/>
  <c r="A3162" i="1"/>
  <c r="R3161" i="1"/>
  <c r="Q3161" i="1"/>
  <c r="N3161" i="1"/>
  <c r="J3161" i="1"/>
  <c r="I3161" i="1"/>
  <c r="H3161" i="1"/>
  <c r="G3161" i="1"/>
  <c r="F3161" i="1"/>
  <c r="E3161" i="1"/>
  <c r="D3161" i="1"/>
  <c r="C3161" i="1"/>
  <c r="A3161" i="1"/>
  <c r="R3160" i="1"/>
  <c r="N3160" i="1"/>
  <c r="J3160" i="1"/>
  <c r="I3160" i="1"/>
  <c r="H3160" i="1"/>
  <c r="G3160" i="1"/>
  <c r="F3160" i="1"/>
  <c r="E3160" i="1"/>
  <c r="D3160" i="1"/>
  <c r="C3160" i="1"/>
  <c r="A3160" i="1"/>
  <c r="R3159" i="1"/>
  <c r="Q3159" i="1"/>
  <c r="N3159" i="1"/>
  <c r="J3159" i="1"/>
  <c r="I3159" i="1"/>
  <c r="H3159" i="1"/>
  <c r="G3159" i="1"/>
  <c r="F3159" i="1"/>
  <c r="E3159" i="1"/>
  <c r="D3159" i="1"/>
  <c r="C3159" i="1"/>
  <c r="A3159" i="1"/>
  <c r="R3158" i="1"/>
  <c r="Q3158" i="1"/>
  <c r="N3158" i="1"/>
  <c r="J3158" i="1"/>
  <c r="I3158" i="1"/>
  <c r="H3158" i="1"/>
  <c r="G3158" i="1"/>
  <c r="F3158" i="1"/>
  <c r="E3158" i="1"/>
  <c r="D3158" i="1"/>
  <c r="C3158" i="1"/>
  <c r="A3158" i="1"/>
  <c r="R3157" i="1"/>
  <c r="Q3157" i="1"/>
  <c r="N3157" i="1"/>
  <c r="J3157" i="1"/>
  <c r="I3157" i="1"/>
  <c r="H3157" i="1"/>
  <c r="G3157" i="1"/>
  <c r="F3157" i="1"/>
  <c r="E3157" i="1"/>
  <c r="D3157" i="1"/>
  <c r="C3157" i="1"/>
  <c r="A3157" i="1"/>
  <c r="R3156" i="1"/>
  <c r="Q3156" i="1"/>
  <c r="N3156" i="1"/>
  <c r="J3156" i="1"/>
  <c r="I3156" i="1"/>
  <c r="H3156" i="1"/>
  <c r="G3156" i="1"/>
  <c r="F3156" i="1"/>
  <c r="E3156" i="1"/>
  <c r="D3156" i="1"/>
  <c r="C3156" i="1"/>
  <c r="A3156" i="1"/>
  <c r="R3155" i="1"/>
  <c r="Q3155" i="1"/>
  <c r="N3155" i="1"/>
  <c r="J3155" i="1"/>
  <c r="I3155" i="1"/>
  <c r="H3155" i="1"/>
  <c r="G3155" i="1"/>
  <c r="F3155" i="1"/>
  <c r="E3155" i="1"/>
  <c r="D3155" i="1"/>
  <c r="C3155" i="1"/>
  <c r="A3155" i="1"/>
  <c r="R3154" i="1"/>
  <c r="Q3154" i="1"/>
  <c r="N3154" i="1"/>
  <c r="J3154" i="1"/>
  <c r="I3154" i="1"/>
  <c r="H3154" i="1"/>
  <c r="G3154" i="1"/>
  <c r="F3154" i="1"/>
  <c r="E3154" i="1"/>
  <c r="D3154" i="1"/>
  <c r="C3154" i="1"/>
  <c r="A3154" i="1"/>
  <c r="R3153" i="1"/>
  <c r="Q3153" i="1"/>
  <c r="N3153" i="1"/>
  <c r="J3153" i="1"/>
  <c r="I3153" i="1"/>
  <c r="H3153" i="1"/>
  <c r="G3153" i="1"/>
  <c r="F3153" i="1"/>
  <c r="E3153" i="1"/>
  <c r="D3153" i="1"/>
  <c r="C3153" i="1"/>
  <c r="A3153" i="1"/>
  <c r="R3152" i="1"/>
  <c r="Q3152" i="1"/>
  <c r="N3152" i="1"/>
  <c r="J3152" i="1"/>
  <c r="I3152" i="1"/>
  <c r="H3152" i="1"/>
  <c r="G3152" i="1"/>
  <c r="F3152" i="1"/>
  <c r="E3152" i="1"/>
  <c r="D3152" i="1"/>
  <c r="C3152" i="1"/>
  <c r="A3152" i="1"/>
  <c r="R3151" i="1"/>
  <c r="N3151" i="1"/>
  <c r="J3151" i="1"/>
  <c r="I3151" i="1"/>
  <c r="H3151" i="1"/>
  <c r="G3151" i="1"/>
  <c r="F3151" i="1"/>
  <c r="E3151" i="1"/>
  <c r="D3151" i="1"/>
  <c r="C3151" i="1"/>
  <c r="B3151" i="1"/>
  <c r="A3151" i="1"/>
  <c r="R3150" i="1"/>
  <c r="Q3150" i="1"/>
  <c r="N3150" i="1"/>
  <c r="J3150" i="1"/>
  <c r="I3150" i="1"/>
  <c r="H3150" i="1"/>
  <c r="G3150" i="1"/>
  <c r="F3150" i="1"/>
  <c r="E3150" i="1"/>
  <c r="D3150" i="1"/>
  <c r="C3150" i="1"/>
  <c r="A3150" i="1"/>
  <c r="R3149" i="1"/>
  <c r="N3149" i="1"/>
  <c r="J3149" i="1"/>
  <c r="I3149" i="1"/>
  <c r="H3149" i="1"/>
  <c r="G3149" i="1"/>
  <c r="F3149" i="1"/>
  <c r="E3149" i="1"/>
  <c r="D3149" i="1"/>
  <c r="C3149" i="1"/>
  <c r="B3149" i="1"/>
  <c r="A3149" i="1"/>
  <c r="R3148" i="1"/>
  <c r="Q3148" i="1"/>
  <c r="N3148" i="1"/>
  <c r="J3148" i="1"/>
  <c r="I3148" i="1"/>
  <c r="H3148" i="1"/>
  <c r="G3148" i="1"/>
  <c r="F3148" i="1"/>
  <c r="E3148" i="1"/>
  <c r="D3148" i="1"/>
  <c r="C3148" i="1"/>
  <c r="B3148" i="1"/>
  <c r="A3148" i="1"/>
  <c r="R3147" i="1"/>
  <c r="N3147" i="1"/>
  <c r="J3147" i="1"/>
  <c r="I3147" i="1"/>
  <c r="H3147" i="1"/>
  <c r="G3147" i="1"/>
  <c r="F3147" i="1"/>
  <c r="E3147" i="1"/>
  <c r="D3147" i="1"/>
  <c r="C3147" i="1"/>
  <c r="B3147" i="1"/>
  <c r="A3147" i="1"/>
  <c r="R3146" i="1"/>
  <c r="Q3146" i="1"/>
  <c r="N3146" i="1"/>
  <c r="J3146" i="1"/>
  <c r="I3146" i="1"/>
  <c r="H3146" i="1"/>
  <c r="G3146" i="1"/>
  <c r="F3146" i="1"/>
  <c r="E3146" i="1"/>
  <c r="D3146" i="1"/>
  <c r="C3146" i="1"/>
  <c r="A3146" i="1"/>
  <c r="R3145" i="1"/>
  <c r="N3145" i="1"/>
  <c r="J3145" i="1"/>
  <c r="I3145" i="1"/>
  <c r="H3145" i="1"/>
  <c r="G3145" i="1"/>
  <c r="F3145" i="1"/>
  <c r="E3145" i="1"/>
  <c r="D3145" i="1"/>
  <c r="C3145" i="1"/>
  <c r="A3145" i="1"/>
  <c r="R3144" i="1"/>
  <c r="Q3144" i="1"/>
  <c r="N3144" i="1"/>
  <c r="J3144" i="1"/>
  <c r="I3144" i="1"/>
  <c r="H3144" i="1"/>
  <c r="G3144" i="1"/>
  <c r="F3144" i="1"/>
  <c r="E3144" i="1"/>
  <c r="D3144" i="1"/>
  <c r="C3144" i="1"/>
  <c r="A3144" i="1"/>
  <c r="R3143" i="1"/>
  <c r="N3143" i="1"/>
  <c r="J3143" i="1"/>
  <c r="I3143" i="1"/>
  <c r="H3143" i="1"/>
  <c r="G3143" i="1"/>
  <c r="F3143" i="1"/>
  <c r="E3143" i="1"/>
  <c r="D3143" i="1"/>
  <c r="C3143" i="1"/>
  <c r="A3143" i="1"/>
  <c r="R3142" i="1"/>
  <c r="Q3142" i="1"/>
  <c r="N3142" i="1"/>
  <c r="J3142" i="1"/>
  <c r="I3142" i="1"/>
  <c r="H3142" i="1"/>
  <c r="G3142" i="1"/>
  <c r="F3142" i="1"/>
  <c r="E3142" i="1"/>
  <c r="D3142" i="1"/>
  <c r="C3142" i="1"/>
  <c r="A3142" i="1"/>
  <c r="R3141" i="1"/>
  <c r="N3141" i="1"/>
  <c r="J3141" i="1"/>
  <c r="I3141" i="1"/>
  <c r="H3141" i="1"/>
  <c r="G3141" i="1"/>
  <c r="F3141" i="1"/>
  <c r="E3141" i="1"/>
  <c r="D3141" i="1"/>
  <c r="C3141" i="1"/>
  <c r="A3141" i="1"/>
  <c r="R3140" i="1"/>
  <c r="Q3140" i="1"/>
  <c r="N3140" i="1"/>
  <c r="J3140" i="1"/>
  <c r="I3140" i="1"/>
  <c r="H3140" i="1"/>
  <c r="G3140" i="1"/>
  <c r="F3140" i="1"/>
  <c r="E3140" i="1"/>
  <c r="D3140" i="1"/>
  <c r="C3140" i="1"/>
  <c r="A3140" i="1"/>
  <c r="R3139" i="1"/>
  <c r="N3139" i="1"/>
  <c r="J3139" i="1"/>
  <c r="I3139" i="1"/>
  <c r="H3139" i="1"/>
  <c r="G3139" i="1"/>
  <c r="F3139" i="1"/>
  <c r="E3139" i="1"/>
  <c r="D3139" i="1"/>
  <c r="C3139" i="1"/>
  <c r="B3139" i="1"/>
  <c r="A3139" i="1"/>
  <c r="R3138" i="1"/>
  <c r="N3138" i="1"/>
  <c r="J3138" i="1"/>
  <c r="I3138" i="1"/>
  <c r="H3138" i="1"/>
  <c r="G3138" i="1"/>
  <c r="F3138" i="1"/>
  <c r="E3138" i="1"/>
  <c r="D3138" i="1"/>
  <c r="C3138" i="1"/>
  <c r="B3138" i="1"/>
  <c r="A3138" i="1"/>
  <c r="R3137" i="1"/>
  <c r="N3137" i="1"/>
  <c r="J3137" i="1"/>
  <c r="I3137" i="1"/>
  <c r="H3137" i="1"/>
  <c r="G3137" i="1"/>
  <c r="F3137" i="1"/>
  <c r="E3137" i="1"/>
  <c r="D3137" i="1"/>
  <c r="C3137" i="1"/>
  <c r="B3137" i="1"/>
  <c r="A3137" i="1"/>
  <c r="R3136" i="1"/>
  <c r="N3136" i="1"/>
  <c r="J3136" i="1"/>
  <c r="I3136" i="1"/>
  <c r="H3136" i="1"/>
  <c r="G3136" i="1"/>
  <c r="F3136" i="1"/>
  <c r="E3136" i="1"/>
  <c r="D3136" i="1"/>
  <c r="C3136" i="1"/>
  <c r="B3136" i="1"/>
  <c r="A3136" i="1"/>
  <c r="R3135" i="1"/>
  <c r="N3135" i="1"/>
  <c r="J3135" i="1"/>
  <c r="I3135" i="1"/>
  <c r="H3135" i="1"/>
  <c r="G3135" i="1"/>
  <c r="F3135" i="1"/>
  <c r="E3135" i="1"/>
  <c r="D3135" i="1"/>
  <c r="C3135" i="1"/>
  <c r="B3135" i="1"/>
  <c r="A3135" i="1"/>
  <c r="R3134" i="1"/>
  <c r="Q3134" i="1"/>
  <c r="N3134" i="1"/>
  <c r="J3134" i="1"/>
  <c r="I3134" i="1"/>
  <c r="H3134" i="1"/>
  <c r="G3134" i="1"/>
  <c r="F3134" i="1"/>
  <c r="E3134" i="1"/>
  <c r="D3134" i="1"/>
  <c r="C3134" i="1"/>
  <c r="A3134" i="1"/>
  <c r="R3133" i="1"/>
  <c r="N3133" i="1"/>
  <c r="J3133" i="1"/>
  <c r="I3133" i="1"/>
  <c r="H3133" i="1"/>
  <c r="G3133" i="1"/>
  <c r="F3133" i="1"/>
  <c r="E3133" i="1"/>
  <c r="D3133" i="1"/>
  <c r="C3133" i="1"/>
  <c r="A3133" i="1"/>
  <c r="R3132" i="1"/>
  <c r="Q3132" i="1"/>
  <c r="N3132" i="1"/>
  <c r="J3132" i="1"/>
  <c r="I3132" i="1"/>
  <c r="H3132" i="1"/>
  <c r="G3132" i="1"/>
  <c r="F3132" i="1"/>
  <c r="E3132" i="1"/>
  <c r="D3132" i="1"/>
  <c r="C3132" i="1"/>
  <c r="A3132" i="1"/>
  <c r="R3131" i="1"/>
  <c r="N3131" i="1"/>
  <c r="J3131" i="1"/>
  <c r="I3131" i="1"/>
  <c r="H3131" i="1"/>
  <c r="G3131" i="1"/>
  <c r="F3131" i="1"/>
  <c r="E3131" i="1"/>
  <c r="D3131" i="1"/>
  <c r="C3131" i="1"/>
  <c r="A3131" i="1"/>
  <c r="R3130" i="1"/>
  <c r="Q3130" i="1"/>
  <c r="N3130" i="1"/>
  <c r="J3130" i="1"/>
  <c r="I3130" i="1"/>
  <c r="H3130" i="1"/>
  <c r="G3130" i="1"/>
  <c r="F3130" i="1"/>
  <c r="E3130" i="1"/>
  <c r="D3130" i="1"/>
  <c r="C3130" i="1"/>
  <c r="A3130" i="1"/>
  <c r="R3129" i="1"/>
  <c r="N3129" i="1"/>
  <c r="J3129" i="1"/>
  <c r="I3129" i="1"/>
  <c r="H3129" i="1"/>
  <c r="G3129" i="1"/>
  <c r="F3129" i="1"/>
  <c r="E3129" i="1"/>
  <c r="D3129" i="1"/>
  <c r="C3129" i="1"/>
  <c r="A3129" i="1"/>
  <c r="R3128" i="1"/>
  <c r="Q3128" i="1"/>
  <c r="N3128" i="1"/>
  <c r="J3128" i="1"/>
  <c r="I3128" i="1"/>
  <c r="H3128" i="1"/>
  <c r="G3128" i="1"/>
  <c r="F3128" i="1"/>
  <c r="E3128" i="1"/>
  <c r="D3128" i="1"/>
  <c r="C3128" i="1"/>
  <c r="A3128" i="1"/>
  <c r="R3127" i="1"/>
  <c r="N3127" i="1"/>
  <c r="J3127" i="1"/>
  <c r="I3127" i="1"/>
  <c r="H3127" i="1"/>
  <c r="G3127" i="1"/>
  <c r="F3127" i="1"/>
  <c r="E3127" i="1"/>
  <c r="D3127" i="1"/>
  <c r="C3127" i="1"/>
  <c r="A3127" i="1"/>
  <c r="R3126" i="1"/>
  <c r="Q3126" i="1"/>
  <c r="N3126" i="1"/>
  <c r="J3126" i="1"/>
  <c r="I3126" i="1"/>
  <c r="H3126" i="1"/>
  <c r="G3126" i="1"/>
  <c r="F3126" i="1"/>
  <c r="E3126" i="1"/>
  <c r="D3126" i="1"/>
  <c r="C3126" i="1"/>
  <c r="A3126" i="1"/>
  <c r="R3125" i="1"/>
  <c r="N3125" i="1"/>
  <c r="J3125" i="1"/>
  <c r="I3125" i="1"/>
  <c r="H3125" i="1"/>
  <c r="G3125" i="1"/>
  <c r="F3125" i="1"/>
  <c r="E3125" i="1"/>
  <c r="D3125" i="1"/>
  <c r="C3125" i="1"/>
  <c r="A3125" i="1"/>
  <c r="R3124" i="1"/>
  <c r="Q3124" i="1"/>
  <c r="N3124" i="1"/>
  <c r="J3124" i="1"/>
  <c r="I3124" i="1"/>
  <c r="H3124" i="1"/>
  <c r="G3124" i="1"/>
  <c r="F3124" i="1"/>
  <c r="E3124" i="1"/>
  <c r="D3124" i="1"/>
  <c r="C3124" i="1"/>
  <c r="A3124" i="1"/>
  <c r="R3123" i="1"/>
  <c r="N3123" i="1"/>
  <c r="J3123" i="1"/>
  <c r="I3123" i="1"/>
  <c r="H3123" i="1"/>
  <c r="G3123" i="1"/>
  <c r="F3123" i="1"/>
  <c r="E3123" i="1"/>
  <c r="D3123" i="1"/>
  <c r="C3123" i="1"/>
  <c r="A3123" i="1"/>
  <c r="R3122" i="1"/>
  <c r="Q3122" i="1"/>
  <c r="N3122" i="1"/>
  <c r="J3122" i="1"/>
  <c r="I3122" i="1"/>
  <c r="H3122" i="1"/>
  <c r="G3122" i="1"/>
  <c r="F3122" i="1"/>
  <c r="E3122" i="1"/>
  <c r="D3122" i="1"/>
  <c r="C3122" i="1"/>
  <c r="A3122" i="1"/>
  <c r="R3121" i="1"/>
  <c r="N3121" i="1"/>
  <c r="J3121" i="1"/>
  <c r="I3121" i="1"/>
  <c r="H3121" i="1"/>
  <c r="G3121" i="1"/>
  <c r="F3121" i="1"/>
  <c r="E3121" i="1"/>
  <c r="D3121" i="1"/>
  <c r="C3121" i="1"/>
  <c r="A3121" i="1"/>
  <c r="R3120" i="1"/>
  <c r="Q3120" i="1"/>
  <c r="N3120" i="1"/>
  <c r="J3120" i="1"/>
  <c r="I3120" i="1"/>
  <c r="H3120" i="1"/>
  <c r="G3120" i="1"/>
  <c r="F3120" i="1"/>
  <c r="E3120" i="1"/>
  <c r="D3120" i="1"/>
  <c r="C3120" i="1"/>
  <c r="A3120" i="1"/>
  <c r="R3119" i="1"/>
  <c r="N3119" i="1"/>
  <c r="J3119" i="1"/>
  <c r="I3119" i="1"/>
  <c r="H3119" i="1"/>
  <c r="G3119" i="1"/>
  <c r="F3119" i="1"/>
  <c r="E3119" i="1"/>
  <c r="D3119" i="1"/>
  <c r="C3119" i="1"/>
  <c r="A3119" i="1"/>
  <c r="R3118" i="1"/>
  <c r="Q3118" i="1"/>
  <c r="N3118" i="1"/>
  <c r="J3118" i="1"/>
  <c r="I3118" i="1"/>
  <c r="H3118" i="1"/>
  <c r="G3118" i="1"/>
  <c r="F3118" i="1"/>
  <c r="E3118" i="1"/>
  <c r="D3118" i="1"/>
  <c r="C3118" i="1"/>
  <c r="A3118" i="1"/>
  <c r="R3117" i="1"/>
  <c r="N3117" i="1"/>
  <c r="J3117" i="1"/>
  <c r="I3117" i="1"/>
  <c r="H3117" i="1"/>
  <c r="G3117" i="1"/>
  <c r="F3117" i="1"/>
  <c r="E3117" i="1"/>
  <c r="D3117" i="1"/>
  <c r="C3117" i="1"/>
  <c r="A3117" i="1"/>
  <c r="R3116" i="1"/>
  <c r="Q3116" i="1"/>
  <c r="N3116" i="1"/>
  <c r="J3116" i="1"/>
  <c r="I3116" i="1"/>
  <c r="H3116" i="1"/>
  <c r="G3116" i="1"/>
  <c r="F3116" i="1"/>
  <c r="E3116" i="1"/>
  <c r="D3116" i="1"/>
  <c r="C3116" i="1"/>
  <c r="A3116" i="1"/>
  <c r="R3115" i="1"/>
  <c r="N3115" i="1"/>
  <c r="J3115" i="1"/>
  <c r="I3115" i="1"/>
  <c r="H3115" i="1"/>
  <c r="G3115" i="1"/>
  <c r="F3115" i="1"/>
  <c r="E3115" i="1"/>
  <c r="D3115" i="1"/>
  <c r="C3115" i="1"/>
  <c r="A3115" i="1"/>
  <c r="R3114" i="1"/>
  <c r="Q3114" i="1"/>
  <c r="N3114" i="1"/>
  <c r="J3114" i="1"/>
  <c r="I3114" i="1"/>
  <c r="H3114" i="1"/>
  <c r="G3114" i="1"/>
  <c r="F3114" i="1"/>
  <c r="E3114" i="1"/>
  <c r="D3114" i="1"/>
  <c r="C3114" i="1"/>
  <c r="A3114" i="1"/>
  <c r="R3113" i="1"/>
  <c r="N3113" i="1"/>
  <c r="J3113" i="1"/>
  <c r="I3113" i="1"/>
  <c r="H3113" i="1"/>
  <c r="G3113" i="1"/>
  <c r="F3113" i="1"/>
  <c r="E3113" i="1"/>
  <c r="D3113" i="1"/>
  <c r="C3113" i="1"/>
  <c r="A3113" i="1"/>
  <c r="R3112" i="1"/>
  <c r="Q3112" i="1"/>
  <c r="N3112" i="1"/>
  <c r="J3112" i="1"/>
  <c r="I3112" i="1"/>
  <c r="H3112" i="1"/>
  <c r="G3112" i="1"/>
  <c r="F3112" i="1"/>
  <c r="E3112" i="1"/>
  <c r="D3112" i="1"/>
  <c r="C3112" i="1"/>
  <c r="A3112" i="1"/>
  <c r="R3111" i="1"/>
  <c r="N3111" i="1"/>
  <c r="J3111" i="1"/>
  <c r="I3111" i="1"/>
  <c r="H3111" i="1"/>
  <c r="G3111" i="1"/>
  <c r="F3111" i="1"/>
  <c r="E3111" i="1"/>
  <c r="D3111" i="1"/>
  <c r="C3111" i="1"/>
  <c r="A3111" i="1"/>
  <c r="R3110" i="1"/>
  <c r="Q3110" i="1"/>
  <c r="N3110" i="1"/>
  <c r="J3110" i="1"/>
  <c r="I3110" i="1"/>
  <c r="H3110" i="1"/>
  <c r="G3110" i="1"/>
  <c r="F3110" i="1"/>
  <c r="E3110" i="1"/>
  <c r="D3110" i="1"/>
  <c r="C3110" i="1"/>
  <c r="A3110" i="1"/>
  <c r="R3109" i="1"/>
  <c r="N3109" i="1"/>
  <c r="J3109" i="1"/>
  <c r="I3109" i="1"/>
  <c r="H3109" i="1"/>
  <c r="G3109" i="1"/>
  <c r="F3109" i="1"/>
  <c r="E3109" i="1"/>
  <c r="D3109" i="1"/>
  <c r="C3109" i="1"/>
  <c r="A3109" i="1"/>
  <c r="R3108" i="1"/>
  <c r="Q3108" i="1"/>
  <c r="N3108" i="1"/>
  <c r="J3108" i="1"/>
  <c r="I3108" i="1"/>
  <c r="H3108" i="1"/>
  <c r="G3108" i="1"/>
  <c r="F3108" i="1"/>
  <c r="E3108" i="1"/>
  <c r="D3108" i="1"/>
  <c r="C3108" i="1"/>
  <c r="A3108" i="1"/>
  <c r="R3107" i="1"/>
  <c r="Q3107" i="1"/>
  <c r="N3107" i="1"/>
  <c r="J3107" i="1"/>
  <c r="I3107" i="1"/>
  <c r="H3107" i="1"/>
  <c r="G3107" i="1"/>
  <c r="F3107" i="1"/>
  <c r="E3107" i="1"/>
  <c r="D3107" i="1"/>
  <c r="C3107" i="1"/>
  <c r="A3107" i="1"/>
  <c r="R3106" i="1"/>
  <c r="N3106" i="1"/>
  <c r="J3106" i="1"/>
  <c r="I3106" i="1"/>
  <c r="H3106" i="1"/>
  <c r="G3106" i="1"/>
  <c r="F3106" i="1"/>
  <c r="E3106" i="1"/>
  <c r="D3106" i="1"/>
  <c r="C3106" i="1"/>
  <c r="A3106" i="1"/>
  <c r="R3105" i="1"/>
  <c r="Q3105" i="1"/>
  <c r="N3105" i="1"/>
  <c r="J3105" i="1"/>
  <c r="I3105" i="1"/>
  <c r="H3105" i="1"/>
  <c r="G3105" i="1"/>
  <c r="F3105" i="1"/>
  <c r="E3105" i="1"/>
  <c r="D3105" i="1"/>
  <c r="C3105" i="1"/>
  <c r="A3105" i="1"/>
  <c r="R3104" i="1"/>
  <c r="N3104" i="1"/>
  <c r="J3104" i="1"/>
  <c r="I3104" i="1"/>
  <c r="H3104" i="1"/>
  <c r="G3104" i="1"/>
  <c r="F3104" i="1"/>
  <c r="E3104" i="1"/>
  <c r="D3104" i="1"/>
  <c r="C3104" i="1"/>
  <c r="B3104" i="1"/>
  <c r="A3104" i="1"/>
  <c r="R3103" i="1"/>
  <c r="Q3103" i="1"/>
  <c r="N3103" i="1"/>
  <c r="J3103" i="1"/>
  <c r="I3103" i="1"/>
  <c r="H3103" i="1"/>
  <c r="G3103" i="1"/>
  <c r="F3103" i="1"/>
  <c r="E3103" i="1"/>
  <c r="D3103" i="1"/>
  <c r="C3103" i="1"/>
  <c r="B3103" i="1"/>
  <c r="A3103" i="1"/>
  <c r="R3102" i="1"/>
  <c r="N3102" i="1"/>
  <c r="J3102" i="1"/>
  <c r="I3102" i="1"/>
  <c r="H3102" i="1"/>
  <c r="G3102" i="1"/>
  <c r="F3102" i="1"/>
  <c r="E3102" i="1"/>
  <c r="D3102" i="1"/>
  <c r="C3102" i="1"/>
  <c r="B3102" i="1"/>
  <c r="A3102" i="1"/>
  <c r="R3101" i="1"/>
  <c r="Q3101" i="1"/>
  <c r="N3101" i="1"/>
  <c r="J3101" i="1"/>
  <c r="I3101" i="1"/>
  <c r="H3101" i="1"/>
  <c r="G3101" i="1"/>
  <c r="F3101" i="1"/>
  <c r="E3101" i="1"/>
  <c r="D3101" i="1"/>
  <c r="C3101" i="1"/>
  <c r="B3101" i="1"/>
  <c r="A3101" i="1"/>
  <c r="R3100" i="1"/>
  <c r="N3100" i="1"/>
  <c r="J3100" i="1"/>
  <c r="I3100" i="1"/>
  <c r="H3100" i="1"/>
  <c r="G3100" i="1"/>
  <c r="F3100" i="1"/>
  <c r="E3100" i="1"/>
  <c r="D3100" i="1"/>
  <c r="C3100" i="1"/>
  <c r="B3100" i="1"/>
  <c r="A3100" i="1"/>
  <c r="R3099" i="1"/>
  <c r="Q3099" i="1"/>
  <c r="N3099" i="1"/>
  <c r="J3099" i="1"/>
  <c r="I3099" i="1"/>
  <c r="H3099" i="1"/>
  <c r="G3099" i="1"/>
  <c r="F3099" i="1"/>
  <c r="E3099" i="1"/>
  <c r="D3099" i="1"/>
  <c r="C3099" i="1"/>
  <c r="B3099" i="1"/>
  <c r="A3099" i="1"/>
  <c r="R3098" i="1"/>
  <c r="N3098" i="1"/>
  <c r="J3098" i="1"/>
  <c r="I3098" i="1"/>
  <c r="H3098" i="1"/>
  <c r="G3098" i="1"/>
  <c r="F3098" i="1"/>
  <c r="E3098" i="1"/>
  <c r="D3098" i="1"/>
  <c r="C3098" i="1"/>
  <c r="B3098" i="1"/>
  <c r="A3098" i="1"/>
  <c r="R3097" i="1"/>
  <c r="Q3097" i="1"/>
  <c r="N3097" i="1"/>
  <c r="J3097" i="1"/>
  <c r="I3097" i="1"/>
  <c r="H3097" i="1"/>
  <c r="G3097" i="1"/>
  <c r="F3097" i="1"/>
  <c r="E3097" i="1"/>
  <c r="D3097" i="1"/>
  <c r="C3097" i="1"/>
  <c r="B3097" i="1"/>
  <c r="A3097" i="1"/>
  <c r="R3096" i="1"/>
  <c r="N3096" i="1"/>
  <c r="J3096" i="1"/>
  <c r="I3096" i="1"/>
  <c r="H3096" i="1"/>
  <c r="G3096" i="1"/>
  <c r="F3096" i="1"/>
  <c r="E3096" i="1"/>
  <c r="D3096" i="1"/>
  <c r="C3096" i="1"/>
  <c r="B3096" i="1"/>
  <c r="A3096" i="1"/>
  <c r="R3095" i="1"/>
  <c r="Q3095" i="1"/>
  <c r="N3095" i="1"/>
  <c r="J3095" i="1"/>
  <c r="I3095" i="1"/>
  <c r="H3095" i="1"/>
  <c r="G3095" i="1"/>
  <c r="F3095" i="1"/>
  <c r="E3095" i="1"/>
  <c r="D3095" i="1"/>
  <c r="C3095" i="1"/>
  <c r="B3095" i="1"/>
  <c r="A3095" i="1"/>
  <c r="R3094" i="1"/>
  <c r="N3094" i="1"/>
  <c r="J3094" i="1"/>
  <c r="I3094" i="1"/>
  <c r="H3094" i="1"/>
  <c r="G3094" i="1"/>
  <c r="F3094" i="1"/>
  <c r="E3094" i="1"/>
  <c r="D3094" i="1"/>
  <c r="C3094" i="1"/>
  <c r="B3094" i="1"/>
  <c r="A3094" i="1"/>
  <c r="R3093" i="1"/>
  <c r="Q3093" i="1"/>
  <c r="N3093" i="1"/>
  <c r="J3093" i="1"/>
  <c r="I3093" i="1"/>
  <c r="H3093" i="1"/>
  <c r="G3093" i="1"/>
  <c r="F3093" i="1"/>
  <c r="E3093" i="1"/>
  <c r="D3093" i="1"/>
  <c r="C3093" i="1"/>
  <c r="B3093" i="1"/>
  <c r="A3093" i="1"/>
  <c r="R3092" i="1"/>
  <c r="N3092" i="1"/>
  <c r="J3092" i="1"/>
  <c r="I3092" i="1"/>
  <c r="H3092" i="1"/>
  <c r="G3092" i="1"/>
  <c r="F3092" i="1"/>
  <c r="E3092" i="1"/>
  <c r="D3092" i="1"/>
  <c r="C3092" i="1"/>
  <c r="B3092" i="1"/>
  <c r="A3092" i="1"/>
  <c r="R3091" i="1"/>
  <c r="Q3091" i="1"/>
  <c r="N3091" i="1"/>
  <c r="J3091" i="1"/>
  <c r="I3091" i="1"/>
  <c r="H3091" i="1"/>
  <c r="G3091" i="1"/>
  <c r="F3091" i="1"/>
  <c r="E3091" i="1"/>
  <c r="D3091" i="1"/>
  <c r="C3091" i="1"/>
  <c r="B3091" i="1"/>
  <c r="A3091" i="1"/>
  <c r="R3090" i="1"/>
  <c r="N3090" i="1"/>
  <c r="J3090" i="1"/>
  <c r="I3090" i="1"/>
  <c r="H3090" i="1"/>
  <c r="G3090" i="1"/>
  <c r="F3090" i="1"/>
  <c r="E3090" i="1"/>
  <c r="D3090" i="1"/>
  <c r="C3090" i="1"/>
  <c r="B3090" i="1"/>
  <c r="A3090" i="1"/>
  <c r="R3089" i="1"/>
  <c r="Q3089" i="1"/>
  <c r="N3089" i="1"/>
  <c r="J3089" i="1"/>
  <c r="I3089" i="1"/>
  <c r="H3089" i="1"/>
  <c r="G3089" i="1"/>
  <c r="F3089" i="1"/>
  <c r="E3089" i="1"/>
  <c r="D3089" i="1"/>
  <c r="C3089" i="1"/>
  <c r="B3089" i="1"/>
  <c r="A3089" i="1"/>
  <c r="R3088" i="1"/>
  <c r="N3088" i="1"/>
  <c r="J3088" i="1"/>
  <c r="I3088" i="1"/>
  <c r="H3088" i="1"/>
  <c r="G3088" i="1"/>
  <c r="F3088" i="1"/>
  <c r="E3088" i="1"/>
  <c r="D3088" i="1"/>
  <c r="C3088" i="1"/>
  <c r="B3088" i="1"/>
  <c r="A3088" i="1"/>
  <c r="R3087" i="1"/>
  <c r="Q3087" i="1"/>
  <c r="N3087" i="1"/>
  <c r="J3087" i="1"/>
  <c r="I3087" i="1"/>
  <c r="H3087" i="1"/>
  <c r="G3087" i="1"/>
  <c r="F3087" i="1"/>
  <c r="E3087" i="1"/>
  <c r="D3087" i="1"/>
  <c r="C3087" i="1"/>
  <c r="B3087" i="1"/>
  <c r="A3087" i="1"/>
  <c r="R3086" i="1"/>
  <c r="N3086" i="1"/>
  <c r="J3086" i="1"/>
  <c r="I3086" i="1"/>
  <c r="H3086" i="1"/>
  <c r="G3086" i="1"/>
  <c r="F3086" i="1"/>
  <c r="E3086" i="1"/>
  <c r="D3086" i="1"/>
  <c r="C3086" i="1"/>
  <c r="B3086" i="1"/>
  <c r="A3086" i="1"/>
  <c r="R3085" i="1"/>
  <c r="Q3085" i="1"/>
  <c r="N3085" i="1"/>
  <c r="J3085" i="1"/>
  <c r="I3085" i="1"/>
  <c r="H3085" i="1"/>
  <c r="G3085" i="1"/>
  <c r="F3085" i="1"/>
  <c r="E3085" i="1"/>
  <c r="D3085" i="1"/>
  <c r="C3085" i="1"/>
  <c r="B3085" i="1"/>
  <c r="A3085" i="1"/>
  <c r="R3084" i="1"/>
  <c r="N3084" i="1"/>
  <c r="J3084" i="1"/>
  <c r="I3084" i="1"/>
  <c r="H3084" i="1"/>
  <c r="G3084" i="1"/>
  <c r="F3084" i="1"/>
  <c r="E3084" i="1"/>
  <c r="D3084" i="1"/>
  <c r="C3084" i="1"/>
  <c r="B3084" i="1"/>
  <c r="A3084" i="1"/>
  <c r="R3083" i="1"/>
  <c r="Q3083" i="1"/>
  <c r="N3083" i="1"/>
  <c r="J3083" i="1"/>
  <c r="I3083" i="1"/>
  <c r="H3083" i="1"/>
  <c r="G3083" i="1"/>
  <c r="F3083" i="1"/>
  <c r="E3083" i="1"/>
  <c r="D3083" i="1"/>
  <c r="C3083" i="1"/>
  <c r="B3083" i="1"/>
  <c r="A3083" i="1"/>
  <c r="R3082" i="1"/>
  <c r="N3082" i="1"/>
  <c r="J3082" i="1"/>
  <c r="I3082" i="1"/>
  <c r="H3082" i="1"/>
  <c r="G3082" i="1"/>
  <c r="F3082" i="1"/>
  <c r="E3082" i="1"/>
  <c r="D3082" i="1"/>
  <c r="C3082" i="1"/>
  <c r="B3082" i="1"/>
  <c r="A3082" i="1"/>
  <c r="R3081" i="1"/>
  <c r="Q3081" i="1"/>
  <c r="N3081" i="1"/>
  <c r="J3081" i="1"/>
  <c r="I3081" i="1"/>
  <c r="H3081" i="1"/>
  <c r="G3081" i="1"/>
  <c r="F3081" i="1"/>
  <c r="E3081" i="1"/>
  <c r="D3081" i="1"/>
  <c r="C3081" i="1"/>
  <c r="B3081" i="1"/>
  <c r="A3081" i="1"/>
  <c r="R3080" i="1"/>
  <c r="N3080" i="1"/>
  <c r="J3080" i="1"/>
  <c r="I3080" i="1"/>
  <c r="H3080" i="1"/>
  <c r="G3080" i="1"/>
  <c r="F3080" i="1"/>
  <c r="E3080" i="1"/>
  <c r="D3080" i="1"/>
  <c r="C3080" i="1"/>
  <c r="B3080" i="1"/>
  <c r="A3080" i="1"/>
  <c r="R3079" i="1"/>
  <c r="Q3079" i="1"/>
  <c r="N3079" i="1"/>
  <c r="J3079" i="1"/>
  <c r="I3079" i="1"/>
  <c r="H3079" i="1"/>
  <c r="G3079" i="1"/>
  <c r="F3079" i="1"/>
  <c r="E3079" i="1"/>
  <c r="D3079" i="1"/>
  <c r="C3079" i="1"/>
  <c r="B3079" i="1"/>
  <c r="A3079" i="1"/>
  <c r="R3078" i="1"/>
  <c r="N3078" i="1"/>
  <c r="J3078" i="1"/>
  <c r="I3078" i="1"/>
  <c r="H3078" i="1"/>
  <c r="G3078" i="1"/>
  <c r="F3078" i="1"/>
  <c r="E3078" i="1"/>
  <c r="D3078" i="1"/>
  <c r="C3078" i="1"/>
  <c r="B3078" i="1"/>
  <c r="A3078" i="1"/>
  <c r="R3077" i="1"/>
  <c r="Q3077" i="1"/>
  <c r="N3077" i="1"/>
  <c r="J3077" i="1"/>
  <c r="I3077" i="1"/>
  <c r="H3077" i="1"/>
  <c r="G3077" i="1"/>
  <c r="F3077" i="1"/>
  <c r="E3077" i="1"/>
  <c r="D3077" i="1"/>
  <c r="C3077" i="1"/>
  <c r="B3077" i="1"/>
  <c r="A3077" i="1"/>
  <c r="R3076" i="1"/>
  <c r="N3076" i="1"/>
  <c r="J3076" i="1"/>
  <c r="I3076" i="1"/>
  <c r="H3076" i="1"/>
  <c r="G3076" i="1"/>
  <c r="F3076" i="1"/>
  <c r="E3076" i="1"/>
  <c r="D3076" i="1"/>
  <c r="C3076" i="1"/>
  <c r="B3076" i="1"/>
  <c r="A3076" i="1"/>
  <c r="R3075" i="1"/>
  <c r="Q3075" i="1"/>
  <c r="N3075" i="1"/>
  <c r="J3075" i="1"/>
  <c r="I3075" i="1"/>
  <c r="H3075" i="1"/>
  <c r="G3075" i="1"/>
  <c r="F3075" i="1"/>
  <c r="E3075" i="1"/>
  <c r="D3075" i="1"/>
  <c r="C3075" i="1"/>
  <c r="B3075" i="1"/>
  <c r="A3075" i="1"/>
  <c r="R3074" i="1"/>
  <c r="N3074" i="1"/>
  <c r="J3074" i="1"/>
  <c r="I3074" i="1"/>
  <c r="H3074" i="1"/>
  <c r="G3074" i="1"/>
  <c r="F3074" i="1"/>
  <c r="E3074" i="1"/>
  <c r="D3074" i="1"/>
  <c r="C3074" i="1"/>
  <c r="B3074" i="1"/>
  <c r="A3074" i="1"/>
  <c r="R3073" i="1"/>
  <c r="Q3073" i="1"/>
  <c r="N3073" i="1"/>
  <c r="J3073" i="1"/>
  <c r="I3073" i="1"/>
  <c r="H3073" i="1"/>
  <c r="G3073" i="1"/>
  <c r="F3073" i="1"/>
  <c r="E3073" i="1"/>
  <c r="D3073" i="1"/>
  <c r="C3073" i="1"/>
  <c r="B3073" i="1"/>
  <c r="A3073" i="1"/>
  <c r="R3072" i="1"/>
  <c r="N3072" i="1"/>
  <c r="J3072" i="1"/>
  <c r="I3072" i="1"/>
  <c r="H3072" i="1"/>
  <c r="G3072" i="1"/>
  <c r="F3072" i="1"/>
  <c r="E3072" i="1"/>
  <c r="D3072" i="1"/>
  <c r="C3072" i="1"/>
  <c r="B3072" i="1"/>
  <c r="A3072" i="1"/>
  <c r="R3071" i="1"/>
  <c r="Q3071" i="1"/>
  <c r="N3071" i="1"/>
  <c r="J3071" i="1"/>
  <c r="I3071" i="1"/>
  <c r="H3071" i="1"/>
  <c r="G3071" i="1"/>
  <c r="F3071" i="1"/>
  <c r="E3071" i="1"/>
  <c r="D3071" i="1"/>
  <c r="C3071" i="1"/>
  <c r="B3071" i="1"/>
  <c r="A3071" i="1"/>
  <c r="R3070" i="1"/>
  <c r="N3070" i="1"/>
  <c r="J3070" i="1"/>
  <c r="I3070" i="1"/>
  <c r="H3070" i="1"/>
  <c r="G3070" i="1"/>
  <c r="F3070" i="1"/>
  <c r="E3070" i="1"/>
  <c r="D3070" i="1"/>
  <c r="C3070" i="1"/>
  <c r="B3070" i="1"/>
  <c r="A3070" i="1"/>
  <c r="R3069" i="1"/>
  <c r="Q3069" i="1"/>
  <c r="N3069" i="1"/>
  <c r="J3069" i="1"/>
  <c r="I3069" i="1"/>
  <c r="H3069" i="1"/>
  <c r="G3069" i="1"/>
  <c r="F3069" i="1"/>
  <c r="E3069" i="1"/>
  <c r="D3069" i="1"/>
  <c r="C3069" i="1"/>
  <c r="B3069" i="1"/>
  <c r="A3069" i="1"/>
  <c r="R3068" i="1"/>
  <c r="N3068" i="1"/>
  <c r="J3068" i="1"/>
  <c r="I3068" i="1"/>
  <c r="H3068" i="1"/>
  <c r="G3068" i="1"/>
  <c r="F3068" i="1"/>
  <c r="E3068" i="1"/>
  <c r="D3068" i="1"/>
  <c r="C3068" i="1"/>
  <c r="B3068" i="1"/>
  <c r="A3068" i="1"/>
  <c r="R3067" i="1"/>
  <c r="Q3067" i="1"/>
  <c r="N3067" i="1"/>
  <c r="J3067" i="1"/>
  <c r="I3067" i="1"/>
  <c r="H3067" i="1"/>
  <c r="G3067" i="1"/>
  <c r="F3067" i="1"/>
  <c r="E3067" i="1"/>
  <c r="D3067" i="1"/>
  <c r="C3067" i="1"/>
  <c r="B3067" i="1"/>
  <c r="A3067" i="1"/>
  <c r="R3066" i="1"/>
  <c r="N3066" i="1"/>
  <c r="J3066" i="1"/>
  <c r="I3066" i="1"/>
  <c r="H3066" i="1"/>
  <c r="G3066" i="1"/>
  <c r="F3066" i="1"/>
  <c r="E3066" i="1"/>
  <c r="D3066" i="1"/>
  <c r="C3066" i="1"/>
  <c r="B3066" i="1"/>
  <c r="A3066" i="1"/>
  <c r="R3065" i="1"/>
  <c r="Q3065" i="1"/>
  <c r="N3065" i="1"/>
  <c r="J3065" i="1"/>
  <c r="I3065" i="1"/>
  <c r="H3065" i="1"/>
  <c r="G3065" i="1"/>
  <c r="F3065" i="1"/>
  <c r="E3065" i="1"/>
  <c r="D3065" i="1"/>
  <c r="C3065" i="1"/>
  <c r="B3065" i="1"/>
  <c r="A3065" i="1"/>
  <c r="R3064" i="1"/>
  <c r="N3064" i="1"/>
  <c r="J3064" i="1"/>
  <c r="I3064" i="1"/>
  <c r="H3064" i="1"/>
  <c r="G3064" i="1"/>
  <c r="F3064" i="1"/>
  <c r="E3064" i="1"/>
  <c r="D3064" i="1"/>
  <c r="C3064" i="1"/>
  <c r="B3064" i="1"/>
  <c r="A3064" i="1"/>
  <c r="R3063" i="1"/>
  <c r="Q3063" i="1"/>
  <c r="N3063" i="1"/>
  <c r="J3063" i="1"/>
  <c r="I3063" i="1"/>
  <c r="H3063" i="1"/>
  <c r="G3063" i="1"/>
  <c r="F3063" i="1"/>
  <c r="E3063" i="1"/>
  <c r="D3063" i="1"/>
  <c r="C3063" i="1"/>
  <c r="A3063" i="1"/>
  <c r="R3062" i="1"/>
  <c r="N3062" i="1"/>
  <c r="J3062" i="1"/>
  <c r="I3062" i="1"/>
  <c r="H3062" i="1"/>
  <c r="G3062" i="1"/>
  <c r="F3062" i="1"/>
  <c r="E3062" i="1"/>
  <c r="D3062" i="1"/>
  <c r="C3062" i="1"/>
  <c r="A3062" i="1"/>
  <c r="R3061" i="1"/>
  <c r="Q3061" i="1"/>
  <c r="N3061" i="1"/>
  <c r="J3061" i="1"/>
  <c r="I3061" i="1"/>
  <c r="H3061" i="1"/>
  <c r="G3061" i="1"/>
  <c r="F3061" i="1"/>
  <c r="E3061" i="1"/>
  <c r="D3061" i="1"/>
  <c r="C3061" i="1"/>
  <c r="A3061" i="1"/>
  <c r="R3060" i="1"/>
  <c r="N3060" i="1"/>
  <c r="J3060" i="1"/>
  <c r="I3060" i="1"/>
  <c r="H3060" i="1"/>
  <c r="G3060" i="1"/>
  <c r="F3060" i="1"/>
  <c r="E3060" i="1"/>
  <c r="D3060" i="1"/>
  <c r="C3060" i="1"/>
  <c r="A3060" i="1"/>
  <c r="R3059" i="1"/>
  <c r="Q3059" i="1"/>
  <c r="N3059" i="1"/>
  <c r="J3059" i="1"/>
  <c r="I3059" i="1"/>
  <c r="H3059" i="1"/>
  <c r="G3059" i="1"/>
  <c r="F3059" i="1"/>
  <c r="E3059" i="1"/>
  <c r="D3059" i="1"/>
  <c r="C3059" i="1"/>
  <c r="A3059" i="1"/>
  <c r="R3058" i="1"/>
  <c r="Q3058" i="1"/>
  <c r="N3058" i="1"/>
  <c r="J3058" i="1"/>
  <c r="I3058" i="1"/>
  <c r="H3058" i="1"/>
  <c r="G3058" i="1"/>
  <c r="F3058" i="1"/>
  <c r="E3058" i="1"/>
  <c r="D3058" i="1"/>
  <c r="C3058" i="1"/>
  <c r="A3058" i="1"/>
  <c r="R3057" i="1"/>
  <c r="Q3057" i="1"/>
  <c r="N3057" i="1"/>
  <c r="J3057" i="1"/>
  <c r="I3057" i="1"/>
  <c r="H3057" i="1"/>
  <c r="G3057" i="1"/>
  <c r="F3057" i="1"/>
  <c r="E3057" i="1"/>
  <c r="D3057" i="1"/>
  <c r="C3057" i="1"/>
  <c r="A3057" i="1"/>
  <c r="R3056" i="1"/>
  <c r="N3056" i="1"/>
  <c r="J3056" i="1"/>
  <c r="I3056" i="1"/>
  <c r="H3056" i="1"/>
  <c r="G3056" i="1"/>
  <c r="F3056" i="1"/>
  <c r="E3056" i="1"/>
  <c r="D3056" i="1"/>
  <c r="C3056" i="1"/>
  <c r="A3056" i="1"/>
  <c r="R3055" i="1"/>
  <c r="Q3055" i="1"/>
  <c r="N3055" i="1"/>
  <c r="J3055" i="1"/>
  <c r="I3055" i="1"/>
  <c r="H3055" i="1"/>
  <c r="G3055" i="1"/>
  <c r="F3055" i="1"/>
  <c r="E3055" i="1"/>
  <c r="D3055" i="1"/>
  <c r="C3055" i="1"/>
  <c r="A3055" i="1"/>
  <c r="R3054" i="1"/>
  <c r="N3054" i="1"/>
  <c r="J3054" i="1"/>
  <c r="I3054" i="1"/>
  <c r="H3054" i="1"/>
  <c r="G3054" i="1"/>
  <c r="F3054" i="1"/>
  <c r="E3054" i="1"/>
  <c r="D3054" i="1"/>
  <c r="C3054" i="1"/>
  <c r="A3054" i="1"/>
  <c r="R3053" i="1"/>
  <c r="Q3053" i="1"/>
  <c r="N3053" i="1"/>
  <c r="J3053" i="1"/>
  <c r="I3053" i="1"/>
  <c r="H3053" i="1"/>
  <c r="G3053" i="1"/>
  <c r="F3053" i="1"/>
  <c r="E3053" i="1"/>
  <c r="D3053" i="1"/>
  <c r="C3053" i="1"/>
  <c r="A3053" i="1"/>
  <c r="R3052" i="1"/>
  <c r="N3052" i="1"/>
  <c r="J3052" i="1"/>
  <c r="I3052" i="1"/>
  <c r="H3052" i="1"/>
  <c r="G3052" i="1"/>
  <c r="F3052" i="1"/>
  <c r="E3052" i="1"/>
  <c r="D3052" i="1"/>
  <c r="C3052" i="1"/>
  <c r="A3052" i="1"/>
  <c r="R3051" i="1"/>
  <c r="Q3051" i="1"/>
  <c r="N3051" i="1"/>
  <c r="J3051" i="1"/>
  <c r="I3051" i="1"/>
  <c r="H3051" i="1"/>
  <c r="G3051" i="1"/>
  <c r="F3051" i="1"/>
  <c r="E3051" i="1"/>
  <c r="D3051" i="1"/>
  <c r="C3051" i="1"/>
  <c r="A3051" i="1"/>
  <c r="R3050" i="1"/>
  <c r="Q3050" i="1"/>
  <c r="N3050" i="1"/>
  <c r="J3050" i="1"/>
  <c r="I3050" i="1"/>
  <c r="H3050" i="1"/>
  <c r="G3050" i="1"/>
  <c r="F3050" i="1"/>
  <c r="E3050" i="1"/>
  <c r="D3050" i="1"/>
  <c r="C3050" i="1"/>
  <c r="A3050" i="1"/>
  <c r="R3049" i="1"/>
  <c r="Q3049" i="1"/>
  <c r="N3049" i="1"/>
  <c r="J3049" i="1"/>
  <c r="I3049" i="1"/>
  <c r="H3049" i="1"/>
  <c r="G3049" i="1"/>
  <c r="F3049" i="1"/>
  <c r="E3049" i="1"/>
  <c r="D3049" i="1"/>
  <c r="C3049" i="1"/>
  <c r="A3049" i="1"/>
  <c r="R3048" i="1"/>
  <c r="Q3048" i="1"/>
  <c r="N3048" i="1"/>
  <c r="J3048" i="1"/>
  <c r="I3048" i="1"/>
  <c r="H3048" i="1"/>
  <c r="G3048" i="1"/>
  <c r="F3048" i="1"/>
  <c r="E3048" i="1"/>
  <c r="D3048" i="1"/>
  <c r="C3048" i="1"/>
  <c r="A3048" i="1"/>
  <c r="R3047" i="1"/>
  <c r="Q3047" i="1"/>
  <c r="N3047" i="1"/>
  <c r="J3047" i="1"/>
  <c r="I3047" i="1"/>
  <c r="H3047" i="1"/>
  <c r="G3047" i="1"/>
  <c r="F3047" i="1"/>
  <c r="E3047" i="1"/>
  <c r="D3047" i="1"/>
  <c r="C3047" i="1"/>
  <c r="A3047" i="1"/>
  <c r="R3046" i="1"/>
  <c r="Q3046" i="1"/>
  <c r="N3046" i="1"/>
  <c r="J3046" i="1"/>
  <c r="I3046" i="1"/>
  <c r="H3046" i="1"/>
  <c r="G3046" i="1"/>
  <c r="F3046" i="1"/>
  <c r="E3046" i="1"/>
  <c r="D3046" i="1"/>
  <c r="C3046" i="1"/>
  <c r="A3046" i="1"/>
  <c r="R3045" i="1"/>
  <c r="Q3045" i="1"/>
  <c r="N3045" i="1"/>
  <c r="J3045" i="1"/>
  <c r="I3045" i="1"/>
  <c r="H3045" i="1"/>
  <c r="G3045" i="1"/>
  <c r="F3045" i="1"/>
  <c r="E3045" i="1"/>
  <c r="D3045" i="1"/>
  <c r="C3045" i="1"/>
  <c r="A3045" i="1"/>
  <c r="R3044" i="1"/>
  <c r="Q3044" i="1"/>
  <c r="N3044" i="1"/>
  <c r="J3044" i="1"/>
  <c r="I3044" i="1"/>
  <c r="H3044" i="1"/>
  <c r="G3044" i="1"/>
  <c r="F3044" i="1"/>
  <c r="E3044" i="1"/>
  <c r="D3044" i="1"/>
  <c r="C3044" i="1"/>
  <c r="A3044" i="1"/>
  <c r="R3043" i="1"/>
  <c r="N3043" i="1"/>
  <c r="J3043" i="1"/>
  <c r="I3043" i="1"/>
  <c r="H3043" i="1"/>
  <c r="G3043" i="1"/>
  <c r="F3043" i="1"/>
  <c r="E3043" i="1"/>
  <c r="D3043" i="1"/>
  <c r="C3043" i="1"/>
  <c r="A3043" i="1"/>
  <c r="R3042" i="1"/>
  <c r="Q3042" i="1"/>
  <c r="N3042" i="1"/>
  <c r="J3042" i="1"/>
  <c r="I3042" i="1"/>
  <c r="H3042" i="1"/>
  <c r="G3042" i="1"/>
  <c r="F3042" i="1"/>
  <c r="E3042" i="1"/>
  <c r="D3042" i="1"/>
  <c r="C3042" i="1"/>
  <c r="A3042" i="1"/>
  <c r="R3041" i="1"/>
  <c r="Q3041" i="1"/>
  <c r="N3041" i="1"/>
  <c r="J3041" i="1"/>
  <c r="I3041" i="1"/>
  <c r="H3041" i="1"/>
  <c r="G3041" i="1"/>
  <c r="F3041" i="1"/>
  <c r="E3041" i="1"/>
  <c r="D3041" i="1"/>
  <c r="C3041" i="1"/>
  <c r="A3041" i="1"/>
  <c r="R3040" i="1"/>
  <c r="Q3040" i="1"/>
  <c r="N3040" i="1"/>
  <c r="J3040" i="1"/>
  <c r="I3040" i="1"/>
  <c r="H3040" i="1"/>
  <c r="G3040" i="1"/>
  <c r="F3040" i="1"/>
  <c r="E3040" i="1"/>
  <c r="D3040" i="1"/>
  <c r="C3040" i="1"/>
  <c r="A3040" i="1"/>
  <c r="R3039" i="1"/>
  <c r="Q3039" i="1"/>
  <c r="N3039" i="1"/>
  <c r="J3039" i="1"/>
  <c r="I3039" i="1"/>
  <c r="H3039" i="1"/>
  <c r="G3039" i="1"/>
  <c r="F3039" i="1"/>
  <c r="E3039" i="1"/>
  <c r="D3039" i="1"/>
  <c r="C3039" i="1"/>
  <c r="A3039" i="1"/>
  <c r="R3038" i="1"/>
  <c r="Q3038" i="1"/>
  <c r="N3038" i="1"/>
  <c r="J3038" i="1"/>
  <c r="I3038" i="1"/>
  <c r="H3038" i="1"/>
  <c r="G3038" i="1"/>
  <c r="F3038" i="1"/>
  <c r="E3038" i="1"/>
  <c r="D3038" i="1"/>
  <c r="C3038" i="1"/>
  <c r="A3038" i="1"/>
  <c r="R3037" i="1"/>
  <c r="Q3037" i="1"/>
  <c r="N3037" i="1"/>
  <c r="J3037" i="1"/>
  <c r="I3037" i="1"/>
  <c r="H3037" i="1"/>
  <c r="G3037" i="1"/>
  <c r="F3037" i="1"/>
  <c r="E3037" i="1"/>
  <c r="D3037" i="1"/>
  <c r="C3037" i="1"/>
  <c r="A3037" i="1"/>
  <c r="R3036" i="1"/>
  <c r="Q3036" i="1"/>
  <c r="N3036" i="1"/>
  <c r="J3036" i="1"/>
  <c r="I3036" i="1"/>
  <c r="H3036" i="1"/>
  <c r="G3036" i="1"/>
  <c r="F3036" i="1"/>
  <c r="E3036" i="1"/>
  <c r="D3036" i="1"/>
  <c r="C3036" i="1"/>
  <c r="A3036" i="1"/>
  <c r="R3035" i="1"/>
  <c r="Q3035" i="1"/>
  <c r="N3035" i="1"/>
  <c r="J3035" i="1"/>
  <c r="I3035" i="1"/>
  <c r="H3035" i="1"/>
  <c r="G3035" i="1"/>
  <c r="F3035" i="1"/>
  <c r="E3035" i="1"/>
  <c r="D3035" i="1"/>
  <c r="C3035" i="1"/>
  <c r="A3035" i="1"/>
  <c r="R3034" i="1"/>
  <c r="Q3034" i="1"/>
  <c r="N3034" i="1"/>
  <c r="J3034" i="1"/>
  <c r="I3034" i="1"/>
  <c r="H3034" i="1"/>
  <c r="G3034" i="1"/>
  <c r="F3034" i="1"/>
  <c r="E3034" i="1"/>
  <c r="D3034" i="1"/>
  <c r="C3034" i="1"/>
  <c r="A3034" i="1"/>
  <c r="R3033" i="1"/>
  <c r="Q3033" i="1"/>
  <c r="N3033" i="1"/>
  <c r="J3033" i="1"/>
  <c r="I3033" i="1"/>
  <c r="H3033" i="1"/>
  <c r="G3033" i="1"/>
  <c r="F3033" i="1"/>
  <c r="E3033" i="1"/>
  <c r="D3033" i="1"/>
  <c r="C3033" i="1"/>
  <c r="A3033" i="1"/>
  <c r="R3032" i="1"/>
  <c r="Q3032" i="1"/>
  <c r="N3032" i="1"/>
  <c r="J3032" i="1"/>
  <c r="I3032" i="1"/>
  <c r="H3032" i="1"/>
  <c r="G3032" i="1"/>
  <c r="F3032" i="1"/>
  <c r="E3032" i="1"/>
  <c r="D3032" i="1"/>
  <c r="C3032" i="1"/>
  <c r="A3032" i="1"/>
  <c r="R3031" i="1"/>
  <c r="Q3031" i="1"/>
  <c r="N3031" i="1"/>
  <c r="J3031" i="1"/>
  <c r="I3031" i="1"/>
  <c r="H3031" i="1"/>
  <c r="G3031" i="1"/>
  <c r="F3031" i="1"/>
  <c r="E3031" i="1"/>
  <c r="D3031" i="1"/>
  <c r="C3031" i="1"/>
  <c r="A3031" i="1"/>
  <c r="R3030" i="1"/>
  <c r="Q3030" i="1"/>
  <c r="N3030" i="1"/>
  <c r="J3030" i="1"/>
  <c r="I3030" i="1"/>
  <c r="H3030" i="1"/>
  <c r="G3030" i="1"/>
  <c r="F3030" i="1"/>
  <c r="E3030" i="1"/>
  <c r="D3030" i="1"/>
  <c r="C3030" i="1"/>
  <c r="A3030" i="1"/>
  <c r="R3029" i="1"/>
  <c r="Q3029" i="1"/>
  <c r="N3029" i="1"/>
  <c r="J3029" i="1"/>
  <c r="I3029" i="1"/>
  <c r="H3029" i="1"/>
  <c r="G3029" i="1"/>
  <c r="F3029" i="1"/>
  <c r="E3029" i="1"/>
  <c r="D3029" i="1"/>
  <c r="C3029" i="1"/>
  <c r="A3029" i="1"/>
  <c r="R3028" i="1"/>
  <c r="Q3028" i="1"/>
  <c r="N3028" i="1"/>
  <c r="J3028" i="1"/>
  <c r="I3028" i="1"/>
  <c r="H3028" i="1"/>
  <c r="G3028" i="1"/>
  <c r="F3028" i="1"/>
  <c r="E3028" i="1"/>
  <c r="D3028" i="1"/>
  <c r="C3028" i="1"/>
  <c r="A3028" i="1"/>
  <c r="R3027" i="1"/>
  <c r="Q3027" i="1"/>
  <c r="N3027" i="1"/>
  <c r="J3027" i="1"/>
  <c r="I3027" i="1"/>
  <c r="H3027" i="1"/>
  <c r="G3027" i="1"/>
  <c r="F3027" i="1"/>
  <c r="E3027" i="1"/>
  <c r="D3027" i="1"/>
  <c r="C3027" i="1"/>
  <c r="A3027" i="1"/>
  <c r="R3026" i="1"/>
  <c r="Q3026" i="1"/>
  <c r="N3026" i="1"/>
  <c r="J3026" i="1"/>
  <c r="I3026" i="1"/>
  <c r="H3026" i="1"/>
  <c r="G3026" i="1"/>
  <c r="F3026" i="1"/>
  <c r="E3026" i="1"/>
  <c r="D3026" i="1"/>
  <c r="C3026" i="1"/>
  <c r="A3026" i="1"/>
  <c r="R3025" i="1"/>
  <c r="Q3025" i="1"/>
  <c r="N3025" i="1"/>
  <c r="J3025" i="1"/>
  <c r="I3025" i="1"/>
  <c r="H3025" i="1"/>
  <c r="G3025" i="1"/>
  <c r="F3025" i="1"/>
  <c r="E3025" i="1"/>
  <c r="D3025" i="1"/>
  <c r="C3025" i="1"/>
  <c r="A3025" i="1"/>
  <c r="R3024" i="1"/>
  <c r="Q3024" i="1"/>
  <c r="N3024" i="1"/>
  <c r="J3024" i="1"/>
  <c r="I3024" i="1"/>
  <c r="H3024" i="1"/>
  <c r="G3024" i="1"/>
  <c r="F3024" i="1"/>
  <c r="E3024" i="1"/>
  <c r="D3024" i="1"/>
  <c r="C3024" i="1"/>
  <c r="A3024" i="1"/>
  <c r="R3023" i="1"/>
  <c r="Q3023" i="1"/>
  <c r="N3023" i="1"/>
  <c r="J3023" i="1"/>
  <c r="I3023" i="1"/>
  <c r="H3023" i="1"/>
  <c r="G3023" i="1"/>
  <c r="F3023" i="1"/>
  <c r="E3023" i="1"/>
  <c r="D3023" i="1"/>
  <c r="C3023" i="1"/>
  <c r="A3023" i="1"/>
  <c r="R3022" i="1"/>
  <c r="Q3022" i="1"/>
  <c r="N3022" i="1"/>
  <c r="J3022" i="1"/>
  <c r="I3022" i="1"/>
  <c r="H3022" i="1"/>
  <c r="G3022" i="1"/>
  <c r="F3022" i="1"/>
  <c r="E3022" i="1"/>
  <c r="D3022" i="1"/>
  <c r="C3022" i="1"/>
  <c r="A3022" i="1"/>
  <c r="R3021" i="1"/>
  <c r="Q3021" i="1"/>
  <c r="N3021" i="1"/>
  <c r="J3021" i="1"/>
  <c r="I3021" i="1"/>
  <c r="H3021" i="1"/>
  <c r="G3021" i="1"/>
  <c r="F3021" i="1"/>
  <c r="E3021" i="1"/>
  <c r="D3021" i="1"/>
  <c r="C3021" i="1"/>
  <c r="A3021" i="1"/>
  <c r="R3020" i="1"/>
  <c r="Q3020" i="1"/>
  <c r="N3020" i="1"/>
  <c r="J3020" i="1"/>
  <c r="I3020" i="1"/>
  <c r="H3020" i="1"/>
  <c r="G3020" i="1"/>
  <c r="F3020" i="1"/>
  <c r="E3020" i="1"/>
  <c r="D3020" i="1"/>
  <c r="C3020" i="1"/>
  <c r="A3020" i="1"/>
  <c r="R3019" i="1"/>
  <c r="Q3019" i="1"/>
  <c r="N3019" i="1"/>
  <c r="J3019" i="1"/>
  <c r="I3019" i="1"/>
  <c r="H3019" i="1"/>
  <c r="G3019" i="1"/>
  <c r="F3019" i="1"/>
  <c r="E3019" i="1"/>
  <c r="D3019" i="1"/>
  <c r="C3019" i="1"/>
  <c r="A3019" i="1"/>
  <c r="R3018" i="1"/>
  <c r="Q3018" i="1"/>
  <c r="N3018" i="1"/>
  <c r="J3018" i="1"/>
  <c r="I3018" i="1"/>
  <c r="H3018" i="1"/>
  <c r="G3018" i="1"/>
  <c r="F3018" i="1"/>
  <c r="E3018" i="1"/>
  <c r="D3018" i="1"/>
  <c r="C3018" i="1"/>
  <c r="A3018" i="1"/>
  <c r="R3017" i="1"/>
  <c r="Q3017" i="1"/>
  <c r="N3017" i="1"/>
  <c r="J3017" i="1"/>
  <c r="I3017" i="1"/>
  <c r="H3017" i="1"/>
  <c r="G3017" i="1"/>
  <c r="F3017" i="1"/>
  <c r="E3017" i="1"/>
  <c r="D3017" i="1"/>
  <c r="C3017" i="1"/>
  <c r="A3017" i="1"/>
  <c r="R3016" i="1"/>
  <c r="Q3016" i="1"/>
  <c r="N3016" i="1"/>
  <c r="J3016" i="1"/>
  <c r="I3016" i="1"/>
  <c r="H3016" i="1"/>
  <c r="G3016" i="1"/>
  <c r="F3016" i="1"/>
  <c r="E3016" i="1"/>
  <c r="D3016" i="1"/>
  <c r="C3016" i="1"/>
  <c r="A3016" i="1"/>
  <c r="R3015" i="1"/>
  <c r="Q3015" i="1"/>
  <c r="N3015" i="1"/>
  <c r="J3015" i="1"/>
  <c r="I3015" i="1"/>
  <c r="H3015" i="1"/>
  <c r="G3015" i="1"/>
  <c r="F3015" i="1"/>
  <c r="E3015" i="1"/>
  <c r="D3015" i="1"/>
  <c r="C3015" i="1"/>
  <c r="A3015" i="1"/>
  <c r="R3014" i="1"/>
  <c r="Q3014" i="1"/>
  <c r="N3014" i="1"/>
  <c r="J3014" i="1"/>
  <c r="I3014" i="1"/>
  <c r="H3014" i="1"/>
  <c r="G3014" i="1"/>
  <c r="F3014" i="1"/>
  <c r="E3014" i="1"/>
  <c r="D3014" i="1"/>
  <c r="C3014" i="1"/>
  <c r="A3014" i="1"/>
  <c r="R3013" i="1"/>
  <c r="Q3013" i="1"/>
  <c r="N3013" i="1"/>
  <c r="J3013" i="1"/>
  <c r="I3013" i="1"/>
  <c r="H3013" i="1"/>
  <c r="G3013" i="1"/>
  <c r="F3013" i="1"/>
  <c r="E3013" i="1"/>
  <c r="D3013" i="1"/>
  <c r="C3013" i="1"/>
  <c r="A3013" i="1"/>
  <c r="R3012" i="1"/>
  <c r="Q3012" i="1"/>
  <c r="N3012" i="1"/>
  <c r="J3012" i="1"/>
  <c r="I3012" i="1"/>
  <c r="H3012" i="1"/>
  <c r="G3012" i="1"/>
  <c r="F3012" i="1"/>
  <c r="E3012" i="1"/>
  <c r="D3012" i="1"/>
  <c r="C3012" i="1"/>
  <c r="A3012" i="1"/>
  <c r="R3011" i="1"/>
  <c r="Q3011" i="1"/>
  <c r="N3011" i="1"/>
  <c r="J3011" i="1"/>
  <c r="I3011" i="1"/>
  <c r="H3011" i="1"/>
  <c r="G3011" i="1"/>
  <c r="F3011" i="1"/>
  <c r="E3011" i="1"/>
  <c r="D3011" i="1"/>
  <c r="C3011" i="1"/>
  <c r="A3011" i="1"/>
  <c r="R3010" i="1"/>
  <c r="Q3010" i="1"/>
  <c r="N3010" i="1"/>
  <c r="J3010" i="1"/>
  <c r="I3010" i="1"/>
  <c r="H3010" i="1"/>
  <c r="G3010" i="1"/>
  <c r="F3010" i="1"/>
  <c r="E3010" i="1"/>
  <c r="D3010" i="1"/>
  <c r="C3010" i="1"/>
  <c r="A3010" i="1"/>
  <c r="R3009" i="1"/>
  <c r="Q3009" i="1"/>
  <c r="N3009" i="1"/>
  <c r="J3009" i="1"/>
  <c r="I3009" i="1"/>
  <c r="H3009" i="1"/>
  <c r="G3009" i="1"/>
  <c r="F3009" i="1"/>
  <c r="E3009" i="1"/>
  <c r="D3009" i="1"/>
  <c r="C3009" i="1"/>
  <c r="A3009" i="1"/>
  <c r="R3008" i="1"/>
  <c r="Q3008" i="1"/>
  <c r="N3008" i="1"/>
  <c r="J3008" i="1"/>
  <c r="I3008" i="1"/>
  <c r="H3008" i="1"/>
  <c r="G3008" i="1"/>
  <c r="F3008" i="1"/>
  <c r="E3008" i="1"/>
  <c r="D3008" i="1"/>
  <c r="C3008" i="1"/>
  <c r="A3008" i="1"/>
  <c r="R3007" i="1"/>
  <c r="Q3007" i="1"/>
  <c r="N3007" i="1"/>
  <c r="J3007" i="1"/>
  <c r="I3007" i="1"/>
  <c r="H3007" i="1"/>
  <c r="G3007" i="1"/>
  <c r="F3007" i="1"/>
  <c r="E3007" i="1"/>
  <c r="D3007" i="1"/>
  <c r="C3007" i="1"/>
  <c r="A3007" i="1"/>
  <c r="R3006" i="1"/>
  <c r="Q3006" i="1"/>
  <c r="N3006" i="1"/>
  <c r="J3006" i="1"/>
  <c r="I3006" i="1"/>
  <c r="H3006" i="1"/>
  <c r="G3006" i="1"/>
  <c r="F3006" i="1"/>
  <c r="E3006" i="1"/>
  <c r="D3006" i="1"/>
  <c r="C3006" i="1"/>
  <c r="A3006" i="1"/>
  <c r="R3005" i="1"/>
  <c r="Q3005" i="1"/>
  <c r="N3005" i="1"/>
  <c r="J3005" i="1"/>
  <c r="I3005" i="1"/>
  <c r="H3005" i="1"/>
  <c r="G3005" i="1"/>
  <c r="F3005" i="1"/>
  <c r="E3005" i="1"/>
  <c r="D3005" i="1"/>
  <c r="C3005" i="1"/>
  <c r="A3005" i="1"/>
  <c r="R3004" i="1"/>
  <c r="Q3004" i="1"/>
  <c r="N3004" i="1"/>
  <c r="J3004" i="1"/>
  <c r="I3004" i="1"/>
  <c r="H3004" i="1"/>
  <c r="G3004" i="1"/>
  <c r="F3004" i="1"/>
  <c r="E3004" i="1"/>
  <c r="D3004" i="1"/>
  <c r="C3004" i="1"/>
  <c r="A3004" i="1"/>
  <c r="R3003" i="1"/>
  <c r="Q3003" i="1"/>
  <c r="N3003" i="1"/>
  <c r="J3003" i="1"/>
  <c r="I3003" i="1"/>
  <c r="H3003" i="1"/>
  <c r="G3003" i="1"/>
  <c r="F3003" i="1"/>
  <c r="E3003" i="1"/>
  <c r="D3003" i="1"/>
  <c r="C3003" i="1"/>
  <c r="A3003" i="1"/>
  <c r="R3002" i="1"/>
  <c r="Q3002" i="1"/>
  <c r="N3002" i="1"/>
  <c r="J3002" i="1"/>
  <c r="I3002" i="1"/>
  <c r="H3002" i="1"/>
  <c r="G3002" i="1"/>
  <c r="F3002" i="1"/>
  <c r="E3002" i="1"/>
  <c r="D3002" i="1"/>
  <c r="C3002" i="1"/>
  <c r="A3002" i="1"/>
  <c r="R3001" i="1"/>
  <c r="Q3001" i="1"/>
  <c r="N3001" i="1"/>
  <c r="J3001" i="1"/>
  <c r="I3001" i="1"/>
  <c r="H3001" i="1"/>
  <c r="G3001" i="1"/>
  <c r="F3001" i="1"/>
  <c r="E3001" i="1"/>
  <c r="D3001" i="1"/>
  <c r="C3001" i="1"/>
  <c r="A3001" i="1"/>
  <c r="R3000" i="1"/>
  <c r="Q3000" i="1"/>
  <c r="N3000" i="1"/>
  <c r="J3000" i="1"/>
  <c r="I3000" i="1"/>
  <c r="H3000" i="1"/>
  <c r="G3000" i="1"/>
  <c r="F3000" i="1"/>
  <c r="E3000" i="1"/>
  <c r="D3000" i="1"/>
  <c r="C3000" i="1"/>
  <c r="A3000" i="1"/>
  <c r="R2999" i="1"/>
  <c r="Q2999" i="1"/>
  <c r="N2999" i="1"/>
  <c r="J2999" i="1"/>
  <c r="I2999" i="1"/>
  <c r="H2999" i="1"/>
  <c r="G2999" i="1"/>
  <c r="F2999" i="1"/>
  <c r="E2999" i="1"/>
  <c r="D2999" i="1"/>
  <c r="C2999" i="1"/>
  <c r="A2999" i="1"/>
  <c r="R2998" i="1"/>
  <c r="Q2998" i="1"/>
  <c r="N2998" i="1"/>
  <c r="J2998" i="1"/>
  <c r="I2998" i="1"/>
  <c r="H2998" i="1"/>
  <c r="G2998" i="1"/>
  <c r="F2998" i="1"/>
  <c r="E2998" i="1"/>
  <c r="D2998" i="1"/>
  <c r="C2998" i="1"/>
  <c r="A2998" i="1"/>
  <c r="R2997" i="1"/>
  <c r="N2997" i="1"/>
  <c r="J2997" i="1"/>
  <c r="I2997" i="1"/>
  <c r="H2997" i="1"/>
  <c r="G2997" i="1"/>
  <c r="F2997" i="1"/>
  <c r="E2997" i="1"/>
  <c r="D2997" i="1"/>
  <c r="C2997" i="1"/>
  <c r="A2997" i="1"/>
  <c r="R2996" i="1"/>
  <c r="Q2996" i="1"/>
  <c r="N2996" i="1"/>
  <c r="J2996" i="1"/>
  <c r="I2996" i="1"/>
  <c r="H2996" i="1"/>
  <c r="G2996" i="1"/>
  <c r="F2996" i="1"/>
  <c r="E2996" i="1"/>
  <c r="D2996" i="1"/>
  <c r="C2996" i="1"/>
  <c r="A2996" i="1"/>
  <c r="R2995" i="1"/>
  <c r="Q2995" i="1"/>
  <c r="N2995" i="1"/>
  <c r="J2995" i="1"/>
  <c r="I2995" i="1"/>
  <c r="H2995" i="1"/>
  <c r="G2995" i="1"/>
  <c r="F2995" i="1"/>
  <c r="E2995" i="1"/>
  <c r="D2995" i="1"/>
  <c r="C2995" i="1"/>
  <c r="A2995" i="1"/>
  <c r="R2994" i="1"/>
  <c r="Q2994" i="1"/>
  <c r="N2994" i="1"/>
  <c r="J2994" i="1"/>
  <c r="I2994" i="1"/>
  <c r="H2994" i="1"/>
  <c r="G2994" i="1"/>
  <c r="F2994" i="1"/>
  <c r="E2994" i="1"/>
  <c r="D2994" i="1"/>
  <c r="C2994" i="1"/>
  <c r="A2994" i="1"/>
  <c r="R2993" i="1"/>
  <c r="Q2993" i="1"/>
  <c r="N2993" i="1"/>
  <c r="J2993" i="1"/>
  <c r="I2993" i="1"/>
  <c r="H2993" i="1"/>
  <c r="G2993" i="1"/>
  <c r="F2993" i="1"/>
  <c r="E2993" i="1"/>
  <c r="D2993" i="1"/>
  <c r="C2993" i="1"/>
  <c r="A2993" i="1"/>
  <c r="R2992" i="1"/>
  <c r="Q2992" i="1"/>
  <c r="N2992" i="1"/>
  <c r="J2992" i="1"/>
  <c r="I2992" i="1"/>
  <c r="H2992" i="1"/>
  <c r="G2992" i="1"/>
  <c r="F2992" i="1"/>
  <c r="E2992" i="1"/>
  <c r="D2992" i="1"/>
  <c r="C2992" i="1"/>
  <c r="A2992" i="1"/>
  <c r="R2991" i="1"/>
  <c r="Q2991" i="1"/>
  <c r="N2991" i="1"/>
  <c r="J2991" i="1"/>
  <c r="I2991" i="1"/>
  <c r="H2991" i="1"/>
  <c r="G2991" i="1"/>
  <c r="F2991" i="1"/>
  <c r="E2991" i="1"/>
  <c r="D2991" i="1"/>
  <c r="C2991" i="1"/>
  <c r="A2991" i="1"/>
  <c r="R2990" i="1"/>
  <c r="Q2990" i="1"/>
  <c r="N2990" i="1"/>
  <c r="J2990" i="1"/>
  <c r="I2990" i="1"/>
  <c r="H2990" i="1"/>
  <c r="G2990" i="1"/>
  <c r="F2990" i="1"/>
  <c r="E2990" i="1"/>
  <c r="D2990" i="1"/>
  <c r="C2990" i="1"/>
  <c r="A2990" i="1"/>
  <c r="R2989" i="1"/>
  <c r="Q2989" i="1"/>
  <c r="N2989" i="1"/>
  <c r="J2989" i="1"/>
  <c r="I2989" i="1"/>
  <c r="H2989" i="1"/>
  <c r="G2989" i="1"/>
  <c r="F2989" i="1"/>
  <c r="E2989" i="1"/>
  <c r="D2989" i="1"/>
  <c r="C2989" i="1"/>
  <c r="A2989" i="1"/>
  <c r="R2988" i="1"/>
  <c r="Q2988" i="1"/>
  <c r="N2988" i="1"/>
  <c r="J2988" i="1"/>
  <c r="I2988" i="1"/>
  <c r="H2988" i="1"/>
  <c r="G2988" i="1"/>
  <c r="F2988" i="1"/>
  <c r="E2988" i="1"/>
  <c r="D2988" i="1"/>
  <c r="C2988" i="1"/>
  <c r="A2988" i="1"/>
  <c r="R2987" i="1"/>
  <c r="Q2987" i="1"/>
  <c r="N2987" i="1"/>
  <c r="J2987" i="1"/>
  <c r="I2987" i="1"/>
  <c r="H2987" i="1"/>
  <c r="G2987" i="1"/>
  <c r="F2987" i="1"/>
  <c r="E2987" i="1"/>
  <c r="D2987" i="1"/>
  <c r="C2987" i="1"/>
  <c r="A2987" i="1"/>
  <c r="R2986" i="1"/>
  <c r="Q2986" i="1"/>
  <c r="N2986" i="1"/>
  <c r="J2986" i="1"/>
  <c r="I2986" i="1"/>
  <c r="H2986" i="1"/>
  <c r="G2986" i="1"/>
  <c r="F2986" i="1"/>
  <c r="E2986" i="1"/>
  <c r="D2986" i="1"/>
  <c r="C2986" i="1"/>
  <c r="A2986" i="1"/>
  <c r="R2985" i="1"/>
  <c r="N2985" i="1"/>
  <c r="J2985" i="1"/>
  <c r="I2985" i="1"/>
  <c r="H2985" i="1"/>
  <c r="G2985" i="1"/>
  <c r="F2985" i="1"/>
  <c r="E2985" i="1"/>
  <c r="D2985" i="1"/>
  <c r="C2985" i="1"/>
  <c r="B2985" i="1"/>
  <c r="A2985" i="1"/>
  <c r="R2984" i="1"/>
  <c r="N2984" i="1"/>
  <c r="J2984" i="1"/>
  <c r="I2984" i="1"/>
  <c r="H2984" i="1"/>
  <c r="G2984" i="1"/>
  <c r="F2984" i="1"/>
  <c r="E2984" i="1"/>
  <c r="D2984" i="1"/>
  <c r="C2984" i="1"/>
  <c r="B2984" i="1"/>
  <c r="A2984" i="1"/>
  <c r="R2983" i="1"/>
  <c r="N2983" i="1"/>
  <c r="J2983" i="1"/>
  <c r="I2983" i="1"/>
  <c r="H2983" i="1"/>
  <c r="G2983" i="1"/>
  <c r="F2983" i="1"/>
  <c r="E2983" i="1"/>
  <c r="D2983" i="1"/>
  <c r="C2983" i="1"/>
  <c r="B2983" i="1"/>
  <c r="A2983" i="1"/>
  <c r="R2982" i="1"/>
  <c r="N2982" i="1"/>
  <c r="J2982" i="1"/>
  <c r="I2982" i="1"/>
  <c r="H2982" i="1"/>
  <c r="G2982" i="1"/>
  <c r="F2982" i="1"/>
  <c r="E2982" i="1"/>
  <c r="D2982" i="1"/>
  <c r="C2982" i="1"/>
  <c r="B2982" i="1"/>
  <c r="A2982" i="1"/>
  <c r="R2981" i="1"/>
  <c r="N2981" i="1"/>
  <c r="J2981" i="1"/>
  <c r="I2981" i="1"/>
  <c r="H2981" i="1"/>
  <c r="G2981" i="1"/>
  <c r="F2981" i="1"/>
  <c r="E2981" i="1"/>
  <c r="D2981" i="1"/>
  <c r="C2981" i="1"/>
  <c r="B2981" i="1"/>
  <c r="A2981" i="1"/>
  <c r="R2980" i="1"/>
  <c r="N2980" i="1"/>
  <c r="J2980" i="1"/>
  <c r="I2980" i="1"/>
  <c r="H2980" i="1"/>
  <c r="G2980" i="1"/>
  <c r="F2980" i="1"/>
  <c r="E2980" i="1"/>
  <c r="D2980" i="1"/>
  <c r="C2980" i="1"/>
  <c r="B2980" i="1"/>
  <c r="A2980" i="1"/>
  <c r="R2979" i="1"/>
  <c r="Q2979" i="1"/>
  <c r="N2979" i="1"/>
  <c r="J2979" i="1"/>
  <c r="I2979" i="1"/>
  <c r="H2979" i="1"/>
  <c r="G2979" i="1"/>
  <c r="F2979" i="1"/>
  <c r="E2979" i="1"/>
  <c r="D2979" i="1"/>
  <c r="C2979" i="1"/>
  <c r="A2979" i="1"/>
  <c r="R2978" i="1"/>
  <c r="N2978" i="1"/>
  <c r="J2978" i="1"/>
  <c r="I2978" i="1"/>
  <c r="H2978" i="1"/>
  <c r="G2978" i="1"/>
  <c r="F2978" i="1"/>
  <c r="E2978" i="1"/>
  <c r="D2978" i="1"/>
  <c r="C2978" i="1"/>
  <c r="A2978" i="1"/>
  <c r="R2977" i="1"/>
  <c r="Q2977" i="1"/>
  <c r="N2977" i="1"/>
  <c r="J2977" i="1"/>
  <c r="I2977" i="1"/>
  <c r="H2977" i="1"/>
  <c r="G2977" i="1"/>
  <c r="F2977" i="1"/>
  <c r="E2977" i="1"/>
  <c r="D2977" i="1"/>
  <c r="C2977" i="1"/>
  <c r="A2977" i="1"/>
  <c r="R2976" i="1"/>
  <c r="N2976" i="1"/>
  <c r="J2976" i="1"/>
  <c r="I2976" i="1"/>
  <c r="H2976" i="1"/>
  <c r="G2976" i="1"/>
  <c r="F2976" i="1"/>
  <c r="E2976" i="1"/>
  <c r="D2976" i="1"/>
  <c r="C2976" i="1"/>
  <c r="A2976" i="1"/>
  <c r="R2975" i="1"/>
  <c r="Q2975" i="1"/>
  <c r="N2975" i="1"/>
  <c r="J2975" i="1"/>
  <c r="I2975" i="1"/>
  <c r="H2975" i="1"/>
  <c r="G2975" i="1"/>
  <c r="F2975" i="1"/>
  <c r="E2975" i="1"/>
  <c r="D2975" i="1"/>
  <c r="C2975" i="1"/>
  <c r="A2975" i="1"/>
  <c r="R2974" i="1"/>
  <c r="N2974" i="1"/>
  <c r="J2974" i="1"/>
  <c r="I2974" i="1"/>
  <c r="H2974" i="1"/>
  <c r="G2974" i="1"/>
  <c r="F2974" i="1"/>
  <c r="E2974" i="1"/>
  <c r="D2974" i="1"/>
  <c r="C2974" i="1"/>
  <c r="B2974" i="1"/>
  <c r="A2974" i="1"/>
  <c r="R2973" i="1"/>
  <c r="N2973" i="1"/>
  <c r="J2973" i="1"/>
  <c r="I2973" i="1"/>
  <c r="H2973" i="1"/>
  <c r="G2973" i="1"/>
  <c r="F2973" i="1"/>
  <c r="E2973" i="1"/>
  <c r="D2973" i="1"/>
  <c r="C2973" i="1"/>
  <c r="B2973" i="1"/>
  <c r="A2973" i="1"/>
  <c r="R2972" i="1"/>
  <c r="N2972" i="1"/>
  <c r="J2972" i="1"/>
  <c r="I2972" i="1"/>
  <c r="H2972" i="1"/>
  <c r="G2972" i="1"/>
  <c r="F2972" i="1"/>
  <c r="E2972" i="1"/>
  <c r="D2972" i="1"/>
  <c r="C2972" i="1"/>
  <c r="B2972" i="1"/>
  <c r="A2972" i="1"/>
  <c r="R2971" i="1"/>
  <c r="N2971" i="1"/>
  <c r="J2971" i="1"/>
  <c r="I2971" i="1"/>
  <c r="H2971" i="1"/>
  <c r="G2971" i="1"/>
  <c r="F2971" i="1"/>
  <c r="E2971" i="1"/>
  <c r="D2971" i="1"/>
  <c r="C2971" i="1"/>
  <c r="B2971" i="1"/>
  <c r="A2971" i="1"/>
  <c r="R2970" i="1"/>
  <c r="Q2970" i="1"/>
  <c r="N2970" i="1"/>
  <c r="J2970" i="1"/>
  <c r="I2970" i="1"/>
  <c r="H2970" i="1"/>
  <c r="G2970" i="1"/>
  <c r="F2970" i="1"/>
  <c r="E2970" i="1"/>
  <c r="D2970" i="1"/>
  <c r="C2970" i="1"/>
  <c r="B2970" i="1"/>
  <c r="A2970" i="1"/>
  <c r="R2969" i="1"/>
  <c r="N2969" i="1"/>
  <c r="J2969" i="1"/>
  <c r="I2969" i="1"/>
  <c r="H2969" i="1"/>
  <c r="G2969" i="1"/>
  <c r="F2969" i="1"/>
  <c r="E2969" i="1"/>
  <c r="D2969" i="1"/>
  <c r="C2969" i="1"/>
  <c r="B2969" i="1"/>
  <c r="A2969" i="1"/>
  <c r="R2968" i="1"/>
  <c r="Q2968" i="1"/>
  <c r="N2968" i="1"/>
  <c r="J2968" i="1"/>
  <c r="I2968" i="1"/>
  <c r="H2968" i="1"/>
  <c r="G2968" i="1"/>
  <c r="F2968" i="1"/>
  <c r="E2968" i="1"/>
  <c r="D2968" i="1"/>
  <c r="C2968" i="1"/>
  <c r="B2968" i="1"/>
  <c r="A2968" i="1"/>
  <c r="R2967" i="1"/>
  <c r="N2967" i="1"/>
  <c r="J2967" i="1"/>
  <c r="I2967" i="1"/>
  <c r="H2967" i="1"/>
  <c r="G2967" i="1"/>
  <c r="F2967" i="1"/>
  <c r="E2967" i="1"/>
  <c r="D2967" i="1"/>
  <c r="C2967" i="1"/>
  <c r="B2967" i="1"/>
  <c r="A2967" i="1"/>
  <c r="R2966" i="1"/>
  <c r="Q2966" i="1"/>
  <c r="N2966" i="1"/>
  <c r="J2966" i="1"/>
  <c r="I2966" i="1"/>
  <c r="H2966" i="1"/>
  <c r="G2966" i="1"/>
  <c r="F2966" i="1"/>
  <c r="E2966" i="1"/>
  <c r="D2966" i="1"/>
  <c r="C2966" i="1"/>
  <c r="B2966" i="1"/>
  <c r="A2966" i="1"/>
  <c r="R2965" i="1"/>
  <c r="N2965" i="1"/>
  <c r="J2965" i="1"/>
  <c r="I2965" i="1"/>
  <c r="H2965" i="1"/>
  <c r="G2965" i="1"/>
  <c r="F2965" i="1"/>
  <c r="E2965" i="1"/>
  <c r="D2965" i="1"/>
  <c r="C2965" i="1"/>
  <c r="B2965" i="1"/>
  <c r="A2965" i="1"/>
  <c r="R2964" i="1"/>
  <c r="Q2964" i="1"/>
  <c r="N2964" i="1"/>
  <c r="J2964" i="1"/>
  <c r="I2964" i="1"/>
  <c r="H2964" i="1"/>
  <c r="G2964" i="1"/>
  <c r="F2964" i="1"/>
  <c r="E2964" i="1"/>
  <c r="D2964" i="1"/>
  <c r="C2964" i="1"/>
  <c r="B2964" i="1"/>
  <c r="A2964" i="1"/>
  <c r="R2963" i="1"/>
  <c r="N2963" i="1"/>
  <c r="J2963" i="1"/>
  <c r="I2963" i="1"/>
  <c r="H2963" i="1"/>
  <c r="G2963" i="1"/>
  <c r="F2963" i="1"/>
  <c r="E2963" i="1"/>
  <c r="D2963" i="1"/>
  <c r="C2963" i="1"/>
  <c r="B2963" i="1"/>
  <c r="A2963" i="1"/>
  <c r="R2962" i="1"/>
  <c r="Q2962" i="1"/>
  <c r="N2962" i="1"/>
  <c r="J2962" i="1"/>
  <c r="I2962" i="1"/>
  <c r="H2962" i="1"/>
  <c r="G2962" i="1"/>
  <c r="F2962" i="1"/>
  <c r="E2962" i="1"/>
  <c r="D2962" i="1"/>
  <c r="C2962" i="1"/>
  <c r="A2962" i="1"/>
  <c r="R2961" i="1"/>
  <c r="N2961" i="1"/>
  <c r="J2961" i="1"/>
  <c r="I2961" i="1"/>
  <c r="H2961" i="1"/>
  <c r="G2961" i="1"/>
  <c r="F2961" i="1"/>
  <c r="E2961" i="1"/>
  <c r="D2961" i="1"/>
  <c r="C2961" i="1"/>
  <c r="A2961" i="1"/>
  <c r="R2960" i="1"/>
  <c r="Q2960" i="1"/>
  <c r="N2960" i="1"/>
  <c r="J2960" i="1"/>
  <c r="I2960" i="1"/>
  <c r="H2960" i="1"/>
  <c r="G2960" i="1"/>
  <c r="F2960" i="1"/>
  <c r="E2960" i="1"/>
  <c r="D2960" i="1"/>
  <c r="C2960" i="1"/>
  <c r="A2960" i="1"/>
  <c r="R2959" i="1"/>
  <c r="N2959" i="1"/>
  <c r="J2959" i="1"/>
  <c r="I2959" i="1"/>
  <c r="H2959" i="1"/>
  <c r="G2959" i="1"/>
  <c r="F2959" i="1"/>
  <c r="E2959" i="1"/>
  <c r="D2959" i="1"/>
  <c r="C2959" i="1"/>
  <c r="A2959" i="1"/>
  <c r="R2958" i="1"/>
  <c r="Q2958" i="1"/>
  <c r="N2958" i="1"/>
  <c r="J2958" i="1"/>
  <c r="I2958" i="1"/>
  <c r="H2958" i="1"/>
  <c r="G2958" i="1"/>
  <c r="F2958" i="1"/>
  <c r="E2958" i="1"/>
  <c r="D2958" i="1"/>
  <c r="C2958" i="1"/>
  <c r="A2958" i="1"/>
  <c r="R2957" i="1"/>
  <c r="N2957" i="1"/>
  <c r="J2957" i="1"/>
  <c r="I2957" i="1"/>
  <c r="H2957" i="1"/>
  <c r="G2957" i="1"/>
  <c r="F2957" i="1"/>
  <c r="E2957" i="1"/>
  <c r="D2957" i="1"/>
  <c r="C2957" i="1"/>
  <c r="A2957" i="1"/>
  <c r="R2956" i="1"/>
  <c r="Q2956" i="1"/>
  <c r="N2956" i="1"/>
  <c r="J2956" i="1"/>
  <c r="I2956" i="1"/>
  <c r="H2956" i="1"/>
  <c r="G2956" i="1"/>
  <c r="F2956" i="1"/>
  <c r="E2956" i="1"/>
  <c r="D2956" i="1"/>
  <c r="C2956" i="1"/>
  <c r="A2956" i="1"/>
  <c r="R2955" i="1"/>
  <c r="Q2955" i="1"/>
  <c r="N2955" i="1"/>
  <c r="J2955" i="1"/>
  <c r="I2955" i="1"/>
  <c r="H2955" i="1"/>
  <c r="G2955" i="1"/>
  <c r="F2955" i="1"/>
  <c r="E2955" i="1"/>
  <c r="D2955" i="1"/>
  <c r="C2955" i="1"/>
  <c r="A2955" i="1"/>
  <c r="R2954" i="1"/>
  <c r="N2954" i="1"/>
  <c r="J2954" i="1"/>
  <c r="I2954" i="1"/>
  <c r="H2954" i="1"/>
  <c r="G2954" i="1"/>
  <c r="F2954" i="1"/>
  <c r="E2954" i="1"/>
  <c r="D2954" i="1"/>
  <c r="C2954" i="1"/>
  <c r="B2954" i="1"/>
  <c r="A2954" i="1"/>
  <c r="R2953" i="1"/>
  <c r="N2953" i="1"/>
  <c r="J2953" i="1"/>
  <c r="I2953" i="1"/>
  <c r="H2953" i="1"/>
  <c r="G2953" i="1"/>
  <c r="F2953" i="1"/>
  <c r="E2953" i="1"/>
  <c r="D2953" i="1"/>
  <c r="C2953" i="1"/>
  <c r="B2953" i="1"/>
  <c r="A2953" i="1"/>
  <c r="R2952" i="1"/>
  <c r="N2952" i="1"/>
  <c r="J2952" i="1"/>
  <c r="I2952" i="1"/>
  <c r="H2952" i="1"/>
  <c r="G2952" i="1"/>
  <c r="F2952" i="1"/>
  <c r="E2952" i="1"/>
  <c r="D2952" i="1"/>
  <c r="C2952" i="1"/>
  <c r="B2952" i="1"/>
  <c r="A2952" i="1"/>
  <c r="R2951" i="1"/>
  <c r="Q2951" i="1"/>
  <c r="N2951" i="1"/>
  <c r="J2951" i="1"/>
  <c r="I2951" i="1"/>
  <c r="H2951" i="1"/>
  <c r="G2951" i="1"/>
  <c r="F2951" i="1"/>
  <c r="E2951" i="1"/>
  <c r="D2951" i="1"/>
  <c r="C2951" i="1"/>
  <c r="B2951" i="1"/>
  <c r="A2951" i="1"/>
  <c r="R2950" i="1"/>
  <c r="N2950" i="1"/>
  <c r="J2950" i="1"/>
  <c r="I2950" i="1"/>
  <c r="H2950" i="1"/>
  <c r="G2950" i="1"/>
  <c r="F2950" i="1"/>
  <c r="E2950" i="1"/>
  <c r="D2950" i="1"/>
  <c r="C2950" i="1"/>
  <c r="B2950" i="1"/>
  <c r="A2950" i="1"/>
  <c r="R2949" i="1"/>
  <c r="Q2949" i="1"/>
  <c r="N2949" i="1"/>
  <c r="J2949" i="1"/>
  <c r="I2949" i="1"/>
  <c r="H2949" i="1"/>
  <c r="G2949" i="1"/>
  <c r="F2949" i="1"/>
  <c r="E2949" i="1"/>
  <c r="D2949" i="1"/>
  <c r="C2949" i="1"/>
  <c r="A2949" i="1"/>
  <c r="R2948" i="1"/>
  <c r="N2948" i="1"/>
  <c r="J2948" i="1"/>
  <c r="I2948" i="1"/>
  <c r="H2948" i="1"/>
  <c r="G2948" i="1"/>
  <c r="F2948" i="1"/>
  <c r="E2948" i="1"/>
  <c r="D2948" i="1"/>
  <c r="C2948" i="1"/>
  <c r="A2948" i="1"/>
  <c r="R2947" i="1"/>
  <c r="Q2947" i="1"/>
  <c r="N2947" i="1"/>
  <c r="J2947" i="1"/>
  <c r="I2947" i="1"/>
  <c r="H2947" i="1"/>
  <c r="G2947" i="1"/>
  <c r="F2947" i="1"/>
  <c r="E2947" i="1"/>
  <c r="D2947" i="1"/>
  <c r="C2947" i="1"/>
  <c r="A2947" i="1"/>
  <c r="R2946" i="1"/>
  <c r="N2946" i="1"/>
  <c r="J2946" i="1"/>
  <c r="I2946" i="1"/>
  <c r="H2946" i="1"/>
  <c r="G2946" i="1"/>
  <c r="F2946" i="1"/>
  <c r="E2946" i="1"/>
  <c r="D2946" i="1"/>
  <c r="C2946" i="1"/>
  <c r="A2946" i="1"/>
  <c r="R2945" i="1"/>
  <c r="Q2945" i="1"/>
  <c r="N2945" i="1"/>
  <c r="J2945" i="1"/>
  <c r="I2945" i="1"/>
  <c r="H2945" i="1"/>
  <c r="G2945" i="1"/>
  <c r="F2945" i="1"/>
  <c r="E2945" i="1"/>
  <c r="D2945" i="1"/>
  <c r="C2945" i="1"/>
  <c r="A2945" i="1"/>
  <c r="R2944" i="1"/>
  <c r="N2944" i="1"/>
  <c r="J2944" i="1"/>
  <c r="I2944" i="1"/>
  <c r="H2944" i="1"/>
  <c r="G2944" i="1"/>
  <c r="F2944" i="1"/>
  <c r="E2944" i="1"/>
  <c r="D2944" i="1"/>
  <c r="C2944" i="1"/>
  <c r="A2944" i="1"/>
  <c r="R2943" i="1"/>
  <c r="Q2943" i="1"/>
  <c r="N2943" i="1"/>
  <c r="J2943" i="1"/>
  <c r="I2943" i="1"/>
  <c r="H2943" i="1"/>
  <c r="G2943" i="1"/>
  <c r="F2943" i="1"/>
  <c r="E2943" i="1"/>
  <c r="D2943" i="1"/>
  <c r="C2943" i="1"/>
  <c r="A2943" i="1"/>
  <c r="R2942" i="1"/>
  <c r="N2942" i="1"/>
  <c r="J2942" i="1"/>
  <c r="I2942" i="1"/>
  <c r="H2942" i="1"/>
  <c r="G2942" i="1"/>
  <c r="F2942" i="1"/>
  <c r="E2942" i="1"/>
  <c r="D2942" i="1"/>
  <c r="C2942" i="1"/>
  <c r="A2942" i="1"/>
  <c r="R2941" i="1"/>
  <c r="Q2941" i="1"/>
  <c r="N2941" i="1"/>
  <c r="J2941" i="1"/>
  <c r="I2941" i="1"/>
  <c r="H2941" i="1"/>
  <c r="G2941" i="1"/>
  <c r="F2941" i="1"/>
  <c r="E2941" i="1"/>
  <c r="D2941" i="1"/>
  <c r="C2941" i="1"/>
  <c r="A2941" i="1"/>
  <c r="R2940" i="1"/>
  <c r="N2940" i="1"/>
  <c r="J2940" i="1"/>
  <c r="I2940" i="1"/>
  <c r="H2940" i="1"/>
  <c r="G2940" i="1"/>
  <c r="F2940" i="1"/>
  <c r="E2940" i="1"/>
  <c r="D2940" i="1"/>
  <c r="C2940" i="1"/>
  <c r="A2940" i="1"/>
  <c r="R2939" i="1"/>
  <c r="Q2939" i="1"/>
  <c r="N2939" i="1"/>
  <c r="J2939" i="1"/>
  <c r="I2939" i="1"/>
  <c r="H2939" i="1"/>
  <c r="G2939" i="1"/>
  <c r="F2939" i="1"/>
  <c r="E2939" i="1"/>
  <c r="D2939" i="1"/>
  <c r="C2939" i="1"/>
  <c r="A2939" i="1"/>
  <c r="R2938" i="1"/>
  <c r="N2938" i="1"/>
  <c r="J2938" i="1"/>
  <c r="I2938" i="1"/>
  <c r="H2938" i="1"/>
  <c r="G2938" i="1"/>
  <c r="F2938" i="1"/>
  <c r="E2938" i="1"/>
  <c r="D2938" i="1"/>
  <c r="C2938" i="1"/>
  <c r="A2938" i="1"/>
  <c r="R2937" i="1"/>
  <c r="Q2937" i="1"/>
  <c r="N2937" i="1"/>
  <c r="J2937" i="1"/>
  <c r="I2937" i="1"/>
  <c r="H2937" i="1"/>
  <c r="G2937" i="1"/>
  <c r="F2937" i="1"/>
  <c r="E2937" i="1"/>
  <c r="D2937" i="1"/>
  <c r="C2937" i="1"/>
  <c r="A2937" i="1"/>
  <c r="R2936" i="1"/>
  <c r="Q2936" i="1"/>
  <c r="N2936" i="1"/>
  <c r="J2936" i="1"/>
  <c r="I2936" i="1"/>
  <c r="H2936" i="1"/>
  <c r="G2936" i="1"/>
  <c r="F2936" i="1"/>
  <c r="E2936" i="1"/>
  <c r="D2936" i="1"/>
  <c r="C2936" i="1"/>
  <c r="A2936" i="1"/>
  <c r="R2935" i="1"/>
  <c r="N2935" i="1"/>
  <c r="J2935" i="1"/>
  <c r="I2935" i="1"/>
  <c r="H2935" i="1"/>
  <c r="G2935" i="1"/>
  <c r="F2935" i="1"/>
  <c r="E2935" i="1"/>
  <c r="D2935" i="1"/>
  <c r="C2935" i="1"/>
  <c r="A2935" i="1"/>
  <c r="R2934" i="1"/>
  <c r="Q2934" i="1"/>
  <c r="N2934" i="1"/>
  <c r="J2934" i="1"/>
  <c r="I2934" i="1"/>
  <c r="H2934" i="1"/>
  <c r="G2934" i="1"/>
  <c r="F2934" i="1"/>
  <c r="E2934" i="1"/>
  <c r="D2934" i="1"/>
  <c r="C2934" i="1"/>
  <c r="A2934" i="1"/>
  <c r="R2933" i="1"/>
  <c r="N2933" i="1"/>
  <c r="J2933" i="1"/>
  <c r="I2933" i="1"/>
  <c r="H2933" i="1"/>
  <c r="G2933" i="1"/>
  <c r="F2933" i="1"/>
  <c r="E2933" i="1"/>
  <c r="D2933" i="1"/>
  <c r="C2933" i="1"/>
  <c r="B2933" i="1"/>
  <c r="A2933" i="1"/>
  <c r="R2932" i="1"/>
  <c r="N2932" i="1"/>
  <c r="J2932" i="1"/>
  <c r="I2932" i="1"/>
  <c r="H2932" i="1"/>
  <c r="G2932" i="1"/>
  <c r="F2932" i="1"/>
  <c r="E2932" i="1"/>
  <c r="D2932" i="1"/>
  <c r="C2932" i="1"/>
  <c r="B2932" i="1"/>
  <c r="A2932" i="1"/>
  <c r="R2931" i="1"/>
  <c r="N2931" i="1"/>
  <c r="J2931" i="1"/>
  <c r="I2931" i="1"/>
  <c r="H2931" i="1"/>
  <c r="G2931" i="1"/>
  <c r="F2931" i="1"/>
  <c r="E2931" i="1"/>
  <c r="D2931" i="1"/>
  <c r="C2931" i="1"/>
  <c r="B2931" i="1"/>
  <c r="A2931" i="1"/>
  <c r="R2930" i="1"/>
  <c r="N2930" i="1"/>
  <c r="J2930" i="1"/>
  <c r="I2930" i="1"/>
  <c r="H2930" i="1"/>
  <c r="G2930" i="1"/>
  <c r="F2930" i="1"/>
  <c r="E2930" i="1"/>
  <c r="D2930" i="1"/>
  <c r="C2930" i="1"/>
  <c r="B2930" i="1"/>
  <c r="A2930" i="1"/>
  <c r="R2929" i="1"/>
  <c r="N2929" i="1"/>
  <c r="J2929" i="1"/>
  <c r="I2929" i="1"/>
  <c r="H2929" i="1"/>
  <c r="G2929" i="1"/>
  <c r="F2929" i="1"/>
  <c r="E2929" i="1"/>
  <c r="D2929" i="1"/>
  <c r="C2929" i="1"/>
  <c r="B2929" i="1"/>
  <c r="A2929" i="1"/>
  <c r="R2928" i="1"/>
  <c r="N2928" i="1"/>
  <c r="J2928" i="1"/>
  <c r="I2928" i="1"/>
  <c r="H2928" i="1"/>
  <c r="G2928" i="1"/>
  <c r="F2928" i="1"/>
  <c r="E2928" i="1"/>
  <c r="D2928" i="1"/>
  <c r="C2928" i="1"/>
  <c r="B2928" i="1"/>
  <c r="A2928" i="1"/>
  <c r="R2927" i="1"/>
  <c r="N2927" i="1"/>
  <c r="J2927" i="1"/>
  <c r="I2927" i="1"/>
  <c r="H2927" i="1"/>
  <c r="G2927" i="1"/>
  <c r="F2927" i="1"/>
  <c r="E2927" i="1"/>
  <c r="D2927" i="1"/>
  <c r="C2927" i="1"/>
  <c r="B2927" i="1"/>
  <c r="A2927" i="1"/>
  <c r="R2926" i="1"/>
  <c r="N2926" i="1"/>
  <c r="J2926" i="1"/>
  <c r="I2926" i="1"/>
  <c r="H2926" i="1"/>
  <c r="G2926" i="1"/>
  <c r="F2926" i="1"/>
  <c r="E2926" i="1"/>
  <c r="D2926" i="1"/>
  <c r="C2926" i="1"/>
  <c r="B2926" i="1"/>
  <c r="A2926" i="1"/>
  <c r="R2925" i="1"/>
  <c r="N2925" i="1"/>
  <c r="J2925" i="1"/>
  <c r="I2925" i="1"/>
  <c r="H2925" i="1"/>
  <c r="G2925" i="1"/>
  <c r="F2925" i="1"/>
  <c r="E2925" i="1"/>
  <c r="D2925" i="1"/>
  <c r="C2925" i="1"/>
  <c r="B2925" i="1"/>
  <c r="A2925" i="1"/>
  <c r="R2924" i="1"/>
  <c r="N2924" i="1"/>
  <c r="J2924" i="1"/>
  <c r="I2924" i="1"/>
  <c r="H2924" i="1"/>
  <c r="G2924" i="1"/>
  <c r="F2924" i="1"/>
  <c r="E2924" i="1"/>
  <c r="D2924" i="1"/>
  <c r="C2924" i="1"/>
  <c r="B2924" i="1"/>
  <c r="A2924" i="1"/>
  <c r="R2923" i="1"/>
  <c r="Q2923" i="1"/>
  <c r="N2923" i="1"/>
  <c r="J2923" i="1"/>
  <c r="I2923" i="1"/>
  <c r="H2923" i="1"/>
  <c r="G2923" i="1"/>
  <c r="F2923" i="1"/>
  <c r="E2923" i="1"/>
  <c r="D2923" i="1"/>
  <c r="C2923" i="1"/>
  <c r="B2923" i="1"/>
  <c r="A2923" i="1"/>
  <c r="R2922" i="1"/>
  <c r="N2922" i="1"/>
  <c r="J2922" i="1"/>
  <c r="I2922" i="1"/>
  <c r="H2922" i="1"/>
  <c r="G2922" i="1"/>
  <c r="F2922" i="1"/>
  <c r="E2922" i="1"/>
  <c r="D2922" i="1"/>
  <c r="C2922" i="1"/>
  <c r="B2922" i="1"/>
  <c r="A2922" i="1"/>
  <c r="R2921" i="1"/>
  <c r="Q2921" i="1"/>
  <c r="N2921" i="1"/>
  <c r="J2921" i="1"/>
  <c r="I2921" i="1"/>
  <c r="H2921" i="1"/>
  <c r="G2921" i="1"/>
  <c r="F2921" i="1"/>
  <c r="E2921" i="1"/>
  <c r="D2921" i="1"/>
  <c r="C2921" i="1"/>
  <c r="B2921" i="1"/>
  <c r="A2921" i="1"/>
  <c r="R2920" i="1"/>
  <c r="N2920" i="1"/>
  <c r="J2920" i="1"/>
  <c r="I2920" i="1"/>
  <c r="H2920" i="1"/>
  <c r="G2920" i="1"/>
  <c r="F2920" i="1"/>
  <c r="E2920" i="1"/>
  <c r="D2920" i="1"/>
  <c r="C2920" i="1"/>
  <c r="B2920" i="1"/>
  <c r="A2920" i="1"/>
  <c r="R2919" i="1"/>
  <c r="Q2919" i="1"/>
  <c r="N2919" i="1"/>
  <c r="J2919" i="1"/>
  <c r="I2919" i="1"/>
  <c r="H2919" i="1"/>
  <c r="G2919" i="1"/>
  <c r="F2919" i="1"/>
  <c r="E2919" i="1"/>
  <c r="D2919" i="1"/>
  <c r="C2919" i="1"/>
  <c r="B2919" i="1"/>
  <c r="A2919" i="1"/>
  <c r="R2918" i="1"/>
  <c r="N2918" i="1"/>
  <c r="J2918" i="1"/>
  <c r="I2918" i="1"/>
  <c r="H2918" i="1"/>
  <c r="G2918" i="1"/>
  <c r="F2918" i="1"/>
  <c r="E2918" i="1"/>
  <c r="D2918" i="1"/>
  <c r="C2918" i="1"/>
  <c r="B2918" i="1"/>
  <c r="A2918" i="1"/>
  <c r="R2917" i="1"/>
  <c r="Q2917" i="1"/>
  <c r="N2917" i="1"/>
  <c r="J2917" i="1"/>
  <c r="I2917" i="1"/>
  <c r="H2917" i="1"/>
  <c r="G2917" i="1"/>
  <c r="F2917" i="1"/>
  <c r="E2917" i="1"/>
  <c r="D2917" i="1"/>
  <c r="C2917" i="1"/>
  <c r="B2917" i="1"/>
  <c r="A2917" i="1"/>
  <c r="R2916" i="1"/>
  <c r="N2916" i="1"/>
  <c r="J2916" i="1"/>
  <c r="I2916" i="1"/>
  <c r="H2916" i="1"/>
  <c r="G2916" i="1"/>
  <c r="F2916" i="1"/>
  <c r="E2916" i="1"/>
  <c r="D2916" i="1"/>
  <c r="C2916" i="1"/>
  <c r="B2916" i="1"/>
  <c r="A2916" i="1"/>
  <c r="R2915" i="1"/>
  <c r="Q2915" i="1"/>
  <c r="N2915" i="1"/>
  <c r="J2915" i="1"/>
  <c r="I2915" i="1"/>
  <c r="H2915" i="1"/>
  <c r="G2915" i="1"/>
  <c r="F2915" i="1"/>
  <c r="E2915" i="1"/>
  <c r="D2915" i="1"/>
  <c r="C2915" i="1"/>
  <c r="B2915" i="1"/>
  <c r="A2915" i="1"/>
  <c r="R2914" i="1"/>
  <c r="N2914" i="1"/>
  <c r="J2914" i="1"/>
  <c r="I2914" i="1"/>
  <c r="H2914" i="1"/>
  <c r="G2914" i="1"/>
  <c r="F2914" i="1"/>
  <c r="E2914" i="1"/>
  <c r="D2914" i="1"/>
  <c r="C2914" i="1"/>
  <c r="B2914" i="1"/>
  <c r="A2914" i="1"/>
  <c r="R2913" i="1"/>
  <c r="Q2913" i="1"/>
  <c r="N2913" i="1"/>
  <c r="J2913" i="1"/>
  <c r="I2913" i="1"/>
  <c r="H2913" i="1"/>
  <c r="G2913" i="1"/>
  <c r="F2913" i="1"/>
  <c r="E2913" i="1"/>
  <c r="D2913" i="1"/>
  <c r="C2913" i="1"/>
  <c r="B2913" i="1"/>
  <c r="A2913" i="1"/>
  <c r="R2912" i="1"/>
  <c r="N2912" i="1"/>
  <c r="J2912" i="1"/>
  <c r="I2912" i="1"/>
  <c r="H2912" i="1"/>
  <c r="G2912" i="1"/>
  <c r="F2912" i="1"/>
  <c r="E2912" i="1"/>
  <c r="D2912" i="1"/>
  <c r="C2912" i="1"/>
  <c r="B2912" i="1"/>
  <c r="A2912" i="1"/>
  <c r="R2911" i="1"/>
  <c r="N2911" i="1"/>
  <c r="J2911" i="1"/>
  <c r="I2911" i="1"/>
  <c r="H2911" i="1"/>
  <c r="G2911" i="1"/>
  <c r="F2911" i="1"/>
  <c r="E2911" i="1"/>
  <c r="D2911" i="1"/>
  <c r="C2911" i="1"/>
  <c r="B2911" i="1"/>
  <c r="A2911" i="1"/>
  <c r="R2910" i="1"/>
  <c r="N2910" i="1"/>
  <c r="J2910" i="1"/>
  <c r="I2910" i="1"/>
  <c r="H2910" i="1"/>
  <c r="G2910" i="1"/>
  <c r="F2910" i="1"/>
  <c r="E2910" i="1"/>
  <c r="D2910" i="1"/>
  <c r="C2910" i="1"/>
  <c r="B2910" i="1"/>
  <c r="A2910" i="1"/>
  <c r="R2909" i="1"/>
  <c r="N2909" i="1"/>
  <c r="J2909" i="1"/>
  <c r="I2909" i="1"/>
  <c r="H2909" i="1"/>
  <c r="G2909" i="1"/>
  <c r="F2909" i="1"/>
  <c r="E2909" i="1"/>
  <c r="D2909" i="1"/>
  <c r="C2909" i="1"/>
  <c r="B2909" i="1"/>
  <c r="A2909" i="1"/>
  <c r="R2908" i="1"/>
  <c r="N2908" i="1"/>
  <c r="J2908" i="1"/>
  <c r="I2908" i="1"/>
  <c r="H2908" i="1"/>
  <c r="G2908" i="1"/>
  <c r="F2908" i="1"/>
  <c r="E2908" i="1"/>
  <c r="D2908" i="1"/>
  <c r="C2908" i="1"/>
  <c r="B2908" i="1"/>
  <c r="A2908" i="1"/>
  <c r="R2907" i="1"/>
  <c r="N2907" i="1"/>
  <c r="J2907" i="1"/>
  <c r="I2907" i="1"/>
  <c r="H2907" i="1"/>
  <c r="G2907" i="1"/>
  <c r="F2907" i="1"/>
  <c r="E2907" i="1"/>
  <c r="D2907" i="1"/>
  <c r="C2907" i="1"/>
  <c r="B2907" i="1"/>
  <c r="A2907" i="1"/>
  <c r="R2906" i="1"/>
  <c r="N2906" i="1"/>
  <c r="J2906" i="1"/>
  <c r="I2906" i="1"/>
  <c r="H2906" i="1"/>
  <c r="G2906" i="1"/>
  <c r="F2906" i="1"/>
  <c r="E2906" i="1"/>
  <c r="D2906" i="1"/>
  <c r="C2906" i="1"/>
  <c r="B2906" i="1"/>
  <c r="A2906" i="1"/>
  <c r="R2905" i="1"/>
  <c r="N2905" i="1"/>
  <c r="J2905" i="1"/>
  <c r="I2905" i="1"/>
  <c r="H2905" i="1"/>
  <c r="G2905" i="1"/>
  <c r="F2905" i="1"/>
  <c r="E2905" i="1"/>
  <c r="D2905" i="1"/>
  <c r="C2905" i="1"/>
  <c r="B2905" i="1"/>
  <c r="A2905" i="1"/>
  <c r="R2904" i="1"/>
  <c r="N2904" i="1"/>
  <c r="J2904" i="1"/>
  <c r="I2904" i="1"/>
  <c r="H2904" i="1"/>
  <c r="G2904" i="1"/>
  <c r="F2904" i="1"/>
  <c r="E2904" i="1"/>
  <c r="D2904" i="1"/>
  <c r="C2904" i="1"/>
  <c r="B2904" i="1"/>
  <c r="A2904" i="1"/>
  <c r="R2903" i="1"/>
  <c r="N2903" i="1"/>
  <c r="J2903" i="1"/>
  <c r="I2903" i="1"/>
  <c r="H2903" i="1"/>
  <c r="G2903" i="1"/>
  <c r="F2903" i="1"/>
  <c r="E2903" i="1"/>
  <c r="D2903" i="1"/>
  <c r="C2903" i="1"/>
  <c r="B2903" i="1"/>
  <c r="A2903" i="1"/>
  <c r="R2902" i="1"/>
  <c r="N2902" i="1"/>
  <c r="J2902" i="1"/>
  <c r="I2902" i="1"/>
  <c r="H2902" i="1"/>
  <c r="G2902" i="1"/>
  <c r="F2902" i="1"/>
  <c r="E2902" i="1"/>
  <c r="D2902" i="1"/>
  <c r="C2902" i="1"/>
  <c r="B2902" i="1"/>
  <c r="A2902" i="1"/>
  <c r="R2901" i="1"/>
  <c r="N2901" i="1"/>
  <c r="J2901" i="1"/>
  <c r="I2901" i="1"/>
  <c r="H2901" i="1"/>
  <c r="G2901" i="1"/>
  <c r="F2901" i="1"/>
  <c r="E2901" i="1"/>
  <c r="D2901" i="1"/>
  <c r="C2901" i="1"/>
  <c r="B2901" i="1"/>
  <c r="A2901" i="1"/>
  <c r="R2900" i="1"/>
  <c r="N2900" i="1"/>
  <c r="J2900" i="1"/>
  <c r="I2900" i="1"/>
  <c r="H2900" i="1"/>
  <c r="G2900" i="1"/>
  <c r="F2900" i="1"/>
  <c r="E2900" i="1"/>
  <c r="D2900" i="1"/>
  <c r="C2900" i="1"/>
  <c r="B2900" i="1"/>
  <c r="A2900" i="1"/>
  <c r="R2899" i="1"/>
  <c r="N2899" i="1"/>
  <c r="J2899" i="1"/>
  <c r="I2899" i="1"/>
  <c r="H2899" i="1"/>
  <c r="G2899" i="1"/>
  <c r="F2899" i="1"/>
  <c r="E2899" i="1"/>
  <c r="D2899" i="1"/>
  <c r="C2899" i="1"/>
  <c r="B2899" i="1"/>
  <c r="A2899" i="1"/>
  <c r="R2898" i="1"/>
  <c r="N2898" i="1"/>
  <c r="J2898" i="1"/>
  <c r="I2898" i="1"/>
  <c r="H2898" i="1"/>
  <c r="G2898" i="1"/>
  <c r="F2898" i="1"/>
  <c r="E2898" i="1"/>
  <c r="D2898" i="1"/>
  <c r="C2898" i="1"/>
  <c r="B2898" i="1"/>
  <c r="A2898" i="1"/>
  <c r="R2897" i="1"/>
  <c r="Q2897" i="1"/>
  <c r="N2897" i="1"/>
  <c r="J2897" i="1"/>
  <c r="I2897" i="1"/>
  <c r="H2897" i="1"/>
  <c r="G2897" i="1"/>
  <c r="F2897" i="1"/>
  <c r="E2897" i="1"/>
  <c r="D2897" i="1"/>
  <c r="C2897" i="1"/>
  <c r="A2897" i="1"/>
  <c r="R2896" i="1"/>
  <c r="N2896" i="1"/>
  <c r="J2896" i="1"/>
  <c r="I2896" i="1"/>
  <c r="H2896" i="1"/>
  <c r="G2896" i="1"/>
  <c r="F2896" i="1"/>
  <c r="E2896" i="1"/>
  <c r="D2896" i="1"/>
  <c r="C2896" i="1"/>
  <c r="A2896" i="1"/>
  <c r="R2895" i="1"/>
  <c r="Q2895" i="1"/>
  <c r="N2895" i="1"/>
  <c r="J2895" i="1"/>
  <c r="I2895" i="1"/>
  <c r="H2895" i="1"/>
  <c r="G2895" i="1"/>
  <c r="F2895" i="1"/>
  <c r="E2895" i="1"/>
  <c r="D2895" i="1"/>
  <c r="C2895" i="1"/>
  <c r="A2895" i="1"/>
  <c r="R2894" i="1"/>
  <c r="N2894" i="1"/>
  <c r="J2894" i="1"/>
  <c r="I2894" i="1"/>
  <c r="H2894" i="1"/>
  <c r="G2894" i="1"/>
  <c r="F2894" i="1"/>
  <c r="E2894" i="1"/>
  <c r="D2894" i="1"/>
  <c r="C2894" i="1"/>
  <c r="A2894" i="1"/>
  <c r="R2893" i="1"/>
  <c r="Q2893" i="1"/>
  <c r="N2893" i="1"/>
  <c r="J2893" i="1"/>
  <c r="I2893" i="1"/>
  <c r="H2893" i="1"/>
  <c r="G2893" i="1"/>
  <c r="F2893" i="1"/>
  <c r="E2893" i="1"/>
  <c r="D2893" i="1"/>
  <c r="C2893" i="1"/>
  <c r="A2893" i="1"/>
  <c r="R2892" i="1"/>
  <c r="N2892" i="1"/>
  <c r="J2892" i="1"/>
  <c r="I2892" i="1"/>
  <c r="H2892" i="1"/>
  <c r="G2892" i="1"/>
  <c r="F2892" i="1"/>
  <c r="E2892" i="1"/>
  <c r="D2892" i="1"/>
  <c r="C2892" i="1"/>
  <c r="A2892" i="1"/>
  <c r="R2891" i="1"/>
  <c r="Q2891" i="1"/>
  <c r="N2891" i="1"/>
  <c r="J2891" i="1"/>
  <c r="I2891" i="1"/>
  <c r="H2891" i="1"/>
  <c r="G2891" i="1"/>
  <c r="F2891" i="1"/>
  <c r="E2891" i="1"/>
  <c r="D2891" i="1"/>
  <c r="C2891" i="1"/>
  <c r="A2891" i="1"/>
  <c r="R2890" i="1"/>
  <c r="N2890" i="1"/>
  <c r="J2890" i="1"/>
  <c r="I2890" i="1"/>
  <c r="H2890" i="1"/>
  <c r="G2890" i="1"/>
  <c r="F2890" i="1"/>
  <c r="E2890" i="1"/>
  <c r="D2890" i="1"/>
  <c r="C2890" i="1"/>
  <c r="A2890" i="1"/>
  <c r="R2889" i="1"/>
  <c r="Q2889" i="1"/>
  <c r="N2889" i="1"/>
  <c r="J2889" i="1"/>
  <c r="I2889" i="1"/>
  <c r="H2889" i="1"/>
  <c r="G2889" i="1"/>
  <c r="F2889" i="1"/>
  <c r="E2889" i="1"/>
  <c r="D2889" i="1"/>
  <c r="C2889" i="1"/>
  <c r="A2889" i="1"/>
  <c r="R2888" i="1"/>
  <c r="N2888" i="1"/>
  <c r="J2888" i="1"/>
  <c r="I2888" i="1"/>
  <c r="H2888" i="1"/>
  <c r="G2888" i="1"/>
  <c r="F2888" i="1"/>
  <c r="E2888" i="1"/>
  <c r="D2888" i="1"/>
  <c r="C2888" i="1"/>
  <c r="A2888" i="1"/>
  <c r="R2887" i="1"/>
  <c r="Q2887" i="1"/>
  <c r="N2887" i="1"/>
  <c r="J2887" i="1"/>
  <c r="I2887" i="1"/>
  <c r="H2887" i="1"/>
  <c r="G2887" i="1"/>
  <c r="F2887" i="1"/>
  <c r="E2887" i="1"/>
  <c r="D2887" i="1"/>
  <c r="C2887" i="1"/>
  <c r="A2887" i="1"/>
  <c r="R2886" i="1"/>
  <c r="Q2886" i="1"/>
  <c r="N2886" i="1"/>
  <c r="J2886" i="1"/>
  <c r="I2886" i="1"/>
  <c r="H2886" i="1"/>
  <c r="G2886" i="1"/>
  <c r="F2886" i="1"/>
  <c r="E2886" i="1"/>
  <c r="D2886" i="1"/>
  <c r="C2886" i="1"/>
  <c r="A2886" i="1"/>
  <c r="R2885" i="1"/>
  <c r="Q2885" i="1"/>
  <c r="N2885" i="1"/>
  <c r="J2885" i="1"/>
  <c r="I2885" i="1"/>
  <c r="H2885" i="1"/>
  <c r="G2885" i="1"/>
  <c r="F2885" i="1"/>
  <c r="E2885" i="1"/>
  <c r="D2885" i="1"/>
  <c r="C2885" i="1"/>
  <c r="A2885" i="1"/>
  <c r="R2884" i="1"/>
  <c r="N2884" i="1"/>
  <c r="J2884" i="1"/>
  <c r="I2884" i="1"/>
  <c r="H2884" i="1"/>
  <c r="G2884" i="1"/>
  <c r="F2884" i="1"/>
  <c r="E2884" i="1"/>
  <c r="D2884" i="1"/>
  <c r="C2884" i="1"/>
  <c r="A2884" i="1"/>
  <c r="R2883" i="1"/>
  <c r="Q2883" i="1"/>
  <c r="N2883" i="1"/>
  <c r="J2883" i="1"/>
  <c r="I2883" i="1"/>
  <c r="H2883" i="1"/>
  <c r="G2883" i="1"/>
  <c r="F2883" i="1"/>
  <c r="E2883" i="1"/>
  <c r="D2883" i="1"/>
  <c r="C2883" i="1"/>
  <c r="A2883" i="1"/>
  <c r="R2882" i="1"/>
  <c r="N2882" i="1"/>
  <c r="J2882" i="1"/>
  <c r="I2882" i="1"/>
  <c r="H2882" i="1"/>
  <c r="G2882" i="1"/>
  <c r="F2882" i="1"/>
  <c r="E2882" i="1"/>
  <c r="D2882" i="1"/>
  <c r="C2882" i="1"/>
  <c r="A2882" i="1"/>
  <c r="R2881" i="1"/>
  <c r="Q2881" i="1"/>
  <c r="N2881" i="1"/>
  <c r="J2881" i="1"/>
  <c r="I2881" i="1"/>
  <c r="H2881" i="1"/>
  <c r="G2881" i="1"/>
  <c r="F2881" i="1"/>
  <c r="E2881" i="1"/>
  <c r="D2881" i="1"/>
  <c r="C2881" i="1"/>
  <c r="A2881" i="1"/>
  <c r="R2880" i="1"/>
  <c r="N2880" i="1"/>
  <c r="J2880" i="1"/>
  <c r="I2880" i="1"/>
  <c r="H2880" i="1"/>
  <c r="G2880" i="1"/>
  <c r="F2880" i="1"/>
  <c r="E2880" i="1"/>
  <c r="D2880" i="1"/>
  <c r="C2880" i="1"/>
  <c r="A2880" i="1"/>
  <c r="R2879" i="1"/>
  <c r="Q2879" i="1"/>
  <c r="N2879" i="1"/>
  <c r="J2879" i="1"/>
  <c r="I2879" i="1"/>
  <c r="H2879" i="1"/>
  <c r="G2879" i="1"/>
  <c r="F2879" i="1"/>
  <c r="E2879" i="1"/>
  <c r="D2879" i="1"/>
  <c r="C2879" i="1"/>
  <c r="A2879" i="1"/>
  <c r="R2878" i="1"/>
  <c r="N2878" i="1"/>
  <c r="J2878" i="1"/>
  <c r="I2878" i="1"/>
  <c r="H2878" i="1"/>
  <c r="G2878" i="1"/>
  <c r="F2878" i="1"/>
  <c r="E2878" i="1"/>
  <c r="D2878" i="1"/>
  <c r="C2878" i="1"/>
  <c r="A2878" i="1"/>
  <c r="R2877" i="1"/>
  <c r="Q2877" i="1"/>
  <c r="N2877" i="1"/>
  <c r="J2877" i="1"/>
  <c r="I2877" i="1"/>
  <c r="H2877" i="1"/>
  <c r="G2877" i="1"/>
  <c r="F2877" i="1"/>
  <c r="E2877" i="1"/>
  <c r="D2877" i="1"/>
  <c r="C2877" i="1"/>
  <c r="A2877" i="1"/>
  <c r="R2876" i="1"/>
  <c r="N2876" i="1"/>
  <c r="J2876" i="1"/>
  <c r="I2876" i="1"/>
  <c r="H2876" i="1"/>
  <c r="G2876" i="1"/>
  <c r="F2876" i="1"/>
  <c r="E2876" i="1"/>
  <c r="D2876" i="1"/>
  <c r="C2876" i="1"/>
  <c r="A2876" i="1"/>
  <c r="R2875" i="1"/>
  <c r="Q2875" i="1"/>
  <c r="N2875" i="1"/>
  <c r="J2875" i="1"/>
  <c r="I2875" i="1"/>
  <c r="H2875" i="1"/>
  <c r="G2875" i="1"/>
  <c r="F2875" i="1"/>
  <c r="E2875" i="1"/>
  <c r="D2875" i="1"/>
  <c r="C2875" i="1"/>
  <c r="A2875" i="1"/>
  <c r="R2874" i="1"/>
  <c r="N2874" i="1"/>
  <c r="J2874" i="1"/>
  <c r="I2874" i="1"/>
  <c r="H2874" i="1"/>
  <c r="G2874" i="1"/>
  <c r="F2874" i="1"/>
  <c r="E2874" i="1"/>
  <c r="D2874" i="1"/>
  <c r="C2874" i="1"/>
  <c r="A2874" i="1"/>
  <c r="R2873" i="1"/>
  <c r="Q2873" i="1"/>
  <c r="N2873" i="1"/>
  <c r="J2873" i="1"/>
  <c r="I2873" i="1"/>
  <c r="H2873" i="1"/>
  <c r="G2873" i="1"/>
  <c r="F2873" i="1"/>
  <c r="E2873" i="1"/>
  <c r="D2873" i="1"/>
  <c r="C2873" i="1"/>
  <c r="A2873" i="1"/>
  <c r="R2872" i="1"/>
  <c r="N2872" i="1"/>
  <c r="J2872" i="1"/>
  <c r="I2872" i="1"/>
  <c r="H2872" i="1"/>
  <c r="G2872" i="1"/>
  <c r="F2872" i="1"/>
  <c r="E2872" i="1"/>
  <c r="D2872" i="1"/>
  <c r="C2872" i="1"/>
  <c r="A2872" i="1"/>
  <c r="R2871" i="1"/>
  <c r="Q2871" i="1"/>
  <c r="N2871" i="1"/>
  <c r="J2871" i="1"/>
  <c r="I2871" i="1"/>
  <c r="H2871" i="1"/>
  <c r="G2871" i="1"/>
  <c r="F2871" i="1"/>
  <c r="E2871" i="1"/>
  <c r="D2871" i="1"/>
  <c r="C2871" i="1"/>
  <c r="A2871" i="1"/>
  <c r="R2870" i="1"/>
  <c r="N2870" i="1"/>
  <c r="J2870" i="1"/>
  <c r="I2870" i="1"/>
  <c r="H2870" i="1"/>
  <c r="G2870" i="1"/>
  <c r="F2870" i="1"/>
  <c r="E2870" i="1"/>
  <c r="D2870" i="1"/>
  <c r="C2870" i="1"/>
  <c r="A2870" i="1"/>
  <c r="R2869" i="1"/>
  <c r="Q2869" i="1"/>
  <c r="N2869" i="1"/>
  <c r="J2869" i="1"/>
  <c r="I2869" i="1"/>
  <c r="H2869" i="1"/>
  <c r="G2869" i="1"/>
  <c r="F2869" i="1"/>
  <c r="E2869" i="1"/>
  <c r="D2869" i="1"/>
  <c r="C2869" i="1"/>
  <c r="A2869" i="1"/>
  <c r="R2868" i="1"/>
  <c r="N2868" i="1"/>
  <c r="J2868" i="1"/>
  <c r="I2868" i="1"/>
  <c r="H2868" i="1"/>
  <c r="G2868" i="1"/>
  <c r="F2868" i="1"/>
  <c r="E2868" i="1"/>
  <c r="D2868" i="1"/>
  <c r="C2868" i="1"/>
  <c r="A2868" i="1"/>
  <c r="R2867" i="1"/>
  <c r="Q2867" i="1"/>
  <c r="N2867" i="1"/>
  <c r="J2867" i="1"/>
  <c r="I2867" i="1"/>
  <c r="H2867" i="1"/>
  <c r="G2867" i="1"/>
  <c r="F2867" i="1"/>
  <c r="E2867" i="1"/>
  <c r="D2867" i="1"/>
  <c r="C2867" i="1"/>
  <c r="A2867" i="1"/>
  <c r="R2866" i="1"/>
  <c r="Q2866" i="1"/>
  <c r="N2866" i="1"/>
  <c r="J2866" i="1"/>
  <c r="I2866" i="1"/>
  <c r="H2866" i="1"/>
  <c r="G2866" i="1"/>
  <c r="F2866" i="1"/>
  <c r="E2866" i="1"/>
  <c r="D2866" i="1"/>
  <c r="C2866" i="1"/>
  <c r="A2866" i="1"/>
  <c r="R2865" i="1"/>
  <c r="Q2865" i="1"/>
  <c r="N2865" i="1"/>
  <c r="J2865" i="1"/>
  <c r="I2865" i="1"/>
  <c r="H2865" i="1"/>
  <c r="G2865" i="1"/>
  <c r="F2865" i="1"/>
  <c r="E2865" i="1"/>
  <c r="D2865" i="1"/>
  <c r="C2865" i="1"/>
  <c r="A2865" i="1"/>
  <c r="R2864" i="1"/>
  <c r="Q2864" i="1"/>
  <c r="N2864" i="1"/>
  <c r="J2864" i="1"/>
  <c r="I2864" i="1"/>
  <c r="H2864" i="1"/>
  <c r="G2864" i="1"/>
  <c r="F2864" i="1"/>
  <c r="E2864" i="1"/>
  <c r="D2864" i="1"/>
  <c r="C2864" i="1"/>
  <c r="A2864" i="1"/>
  <c r="R2863" i="1"/>
  <c r="Q2863" i="1"/>
  <c r="N2863" i="1"/>
  <c r="J2863" i="1"/>
  <c r="I2863" i="1"/>
  <c r="H2863" i="1"/>
  <c r="G2863" i="1"/>
  <c r="F2863" i="1"/>
  <c r="E2863" i="1"/>
  <c r="D2863" i="1"/>
  <c r="C2863" i="1"/>
  <c r="A2863" i="1"/>
  <c r="R2862" i="1"/>
  <c r="Q2862" i="1"/>
  <c r="N2862" i="1"/>
  <c r="J2862" i="1"/>
  <c r="I2862" i="1"/>
  <c r="H2862" i="1"/>
  <c r="G2862" i="1"/>
  <c r="F2862" i="1"/>
  <c r="E2862" i="1"/>
  <c r="D2862" i="1"/>
  <c r="C2862" i="1"/>
  <c r="A2862" i="1"/>
  <c r="R2861" i="1"/>
  <c r="Q2861" i="1"/>
  <c r="N2861" i="1"/>
  <c r="J2861" i="1"/>
  <c r="I2861" i="1"/>
  <c r="H2861" i="1"/>
  <c r="G2861" i="1"/>
  <c r="F2861" i="1"/>
  <c r="E2861" i="1"/>
  <c r="D2861" i="1"/>
  <c r="C2861" i="1"/>
  <c r="A2861" i="1"/>
  <c r="R2860" i="1"/>
  <c r="Q2860" i="1"/>
  <c r="N2860" i="1"/>
  <c r="J2860" i="1"/>
  <c r="I2860" i="1"/>
  <c r="H2860" i="1"/>
  <c r="G2860" i="1"/>
  <c r="F2860" i="1"/>
  <c r="E2860" i="1"/>
  <c r="D2860" i="1"/>
  <c r="C2860" i="1"/>
  <c r="A2860" i="1"/>
  <c r="R2859" i="1"/>
  <c r="Q2859" i="1"/>
  <c r="N2859" i="1"/>
  <c r="J2859" i="1"/>
  <c r="I2859" i="1"/>
  <c r="H2859" i="1"/>
  <c r="G2859" i="1"/>
  <c r="F2859" i="1"/>
  <c r="E2859" i="1"/>
  <c r="D2859" i="1"/>
  <c r="C2859" i="1"/>
  <c r="A2859" i="1"/>
  <c r="R2858" i="1"/>
  <c r="Q2858" i="1"/>
  <c r="N2858" i="1"/>
  <c r="J2858" i="1"/>
  <c r="I2858" i="1"/>
  <c r="H2858" i="1"/>
  <c r="G2858" i="1"/>
  <c r="F2858" i="1"/>
  <c r="E2858" i="1"/>
  <c r="D2858" i="1"/>
  <c r="C2858" i="1"/>
  <c r="A2858" i="1"/>
  <c r="R2857" i="1"/>
  <c r="Q2857" i="1"/>
  <c r="N2857" i="1"/>
  <c r="J2857" i="1"/>
  <c r="I2857" i="1"/>
  <c r="H2857" i="1"/>
  <c r="G2857" i="1"/>
  <c r="F2857" i="1"/>
  <c r="E2857" i="1"/>
  <c r="D2857" i="1"/>
  <c r="C2857" i="1"/>
  <c r="A2857" i="1"/>
  <c r="R2856" i="1"/>
  <c r="Q2856" i="1"/>
  <c r="N2856" i="1"/>
  <c r="J2856" i="1"/>
  <c r="I2856" i="1"/>
  <c r="H2856" i="1"/>
  <c r="G2856" i="1"/>
  <c r="F2856" i="1"/>
  <c r="E2856" i="1"/>
  <c r="D2856" i="1"/>
  <c r="C2856" i="1"/>
  <c r="A2856" i="1"/>
  <c r="R2855" i="1"/>
  <c r="Q2855" i="1"/>
  <c r="N2855" i="1"/>
  <c r="J2855" i="1"/>
  <c r="I2855" i="1"/>
  <c r="H2855" i="1"/>
  <c r="G2855" i="1"/>
  <c r="F2855" i="1"/>
  <c r="E2855" i="1"/>
  <c r="D2855" i="1"/>
  <c r="C2855" i="1"/>
  <c r="A2855" i="1"/>
  <c r="R2854" i="1"/>
  <c r="Q2854" i="1"/>
  <c r="N2854" i="1"/>
  <c r="J2854" i="1"/>
  <c r="I2854" i="1"/>
  <c r="H2854" i="1"/>
  <c r="G2854" i="1"/>
  <c r="F2854" i="1"/>
  <c r="E2854" i="1"/>
  <c r="D2854" i="1"/>
  <c r="C2854" i="1"/>
  <c r="A2854" i="1"/>
  <c r="R2853" i="1"/>
  <c r="Q2853" i="1"/>
  <c r="N2853" i="1"/>
  <c r="J2853" i="1"/>
  <c r="I2853" i="1"/>
  <c r="H2853" i="1"/>
  <c r="G2853" i="1"/>
  <c r="F2853" i="1"/>
  <c r="E2853" i="1"/>
  <c r="D2853" i="1"/>
  <c r="C2853" i="1"/>
  <c r="A2853" i="1"/>
  <c r="R2852" i="1"/>
  <c r="Q2852" i="1"/>
  <c r="N2852" i="1"/>
  <c r="J2852" i="1"/>
  <c r="I2852" i="1"/>
  <c r="H2852" i="1"/>
  <c r="G2852" i="1"/>
  <c r="F2852" i="1"/>
  <c r="E2852" i="1"/>
  <c r="D2852" i="1"/>
  <c r="C2852" i="1"/>
  <c r="A2852" i="1"/>
  <c r="R2851" i="1"/>
  <c r="Q2851" i="1"/>
  <c r="N2851" i="1"/>
  <c r="J2851" i="1"/>
  <c r="I2851" i="1"/>
  <c r="H2851" i="1"/>
  <c r="G2851" i="1"/>
  <c r="F2851" i="1"/>
  <c r="E2851" i="1"/>
  <c r="D2851" i="1"/>
  <c r="C2851" i="1"/>
  <c r="A2851" i="1"/>
  <c r="R2850" i="1"/>
  <c r="Q2850" i="1"/>
  <c r="N2850" i="1"/>
  <c r="J2850" i="1"/>
  <c r="I2850" i="1"/>
  <c r="H2850" i="1"/>
  <c r="G2850" i="1"/>
  <c r="F2850" i="1"/>
  <c r="E2850" i="1"/>
  <c r="D2850" i="1"/>
  <c r="C2850" i="1"/>
  <c r="A2850" i="1"/>
  <c r="R2849" i="1"/>
  <c r="Q2849" i="1"/>
  <c r="N2849" i="1"/>
  <c r="J2849" i="1"/>
  <c r="I2849" i="1"/>
  <c r="H2849" i="1"/>
  <c r="G2849" i="1"/>
  <c r="F2849" i="1"/>
  <c r="E2849" i="1"/>
  <c r="D2849" i="1"/>
  <c r="C2849" i="1"/>
  <c r="A2849" i="1"/>
  <c r="R2848" i="1"/>
  <c r="Q2848" i="1"/>
  <c r="N2848" i="1"/>
  <c r="J2848" i="1"/>
  <c r="I2848" i="1"/>
  <c r="H2848" i="1"/>
  <c r="G2848" i="1"/>
  <c r="F2848" i="1"/>
  <c r="E2848" i="1"/>
  <c r="D2848" i="1"/>
  <c r="C2848" i="1"/>
  <c r="A2848" i="1"/>
  <c r="R2847" i="1"/>
  <c r="Q2847" i="1"/>
  <c r="N2847" i="1"/>
  <c r="J2847" i="1"/>
  <c r="I2847" i="1"/>
  <c r="H2847" i="1"/>
  <c r="G2847" i="1"/>
  <c r="F2847" i="1"/>
  <c r="E2847" i="1"/>
  <c r="D2847" i="1"/>
  <c r="C2847" i="1"/>
  <c r="A2847" i="1"/>
  <c r="R2846" i="1"/>
  <c r="Q2846" i="1"/>
  <c r="N2846" i="1"/>
  <c r="J2846" i="1"/>
  <c r="I2846" i="1"/>
  <c r="H2846" i="1"/>
  <c r="G2846" i="1"/>
  <c r="F2846" i="1"/>
  <c r="E2846" i="1"/>
  <c r="D2846" i="1"/>
  <c r="C2846" i="1"/>
  <c r="A2846" i="1"/>
  <c r="R2845" i="1"/>
  <c r="Q2845" i="1"/>
  <c r="N2845" i="1"/>
  <c r="J2845" i="1"/>
  <c r="I2845" i="1"/>
  <c r="H2845" i="1"/>
  <c r="G2845" i="1"/>
  <c r="F2845" i="1"/>
  <c r="E2845" i="1"/>
  <c r="D2845" i="1"/>
  <c r="C2845" i="1"/>
  <c r="A2845" i="1"/>
  <c r="R2844" i="1"/>
  <c r="Q2844" i="1"/>
  <c r="N2844" i="1"/>
  <c r="J2844" i="1"/>
  <c r="I2844" i="1"/>
  <c r="H2844" i="1"/>
  <c r="G2844" i="1"/>
  <c r="F2844" i="1"/>
  <c r="E2844" i="1"/>
  <c r="D2844" i="1"/>
  <c r="C2844" i="1"/>
  <c r="A2844" i="1"/>
  <c r="R2843" i="1"/>
  <c r="Q2843" i="1"/>
  <c r="N2843" i="1"/>
  <c r="J2843" i="1"/>
  <c r="I2843" i="1"/>
  <c r="H2843" i="1"/>
  <c r="G2843" i="1"/>
  <c r="F2843" i="1"/>
  <c r="E2843" i="1"/>
  <c r="D2843" i="1"/>
  <c r="C2843" i="1"/>
  <c r="A2843" i="1"/>
  <c r="R2842" i="1"/>
  <c r="Q2842" i="1"/>
  <c r="N2842" i="1"/>
  <c r="J2842" i="1"/>
  <c r="I2842" i="1"/>
  <c r="H2842" i="1"/>
  <c r="G2842" i="1"/>
  <c r="F2842" i="1"/>
  <c r="E2842" i="1"/>
  <c r="D2842" i="1"/>
  <c r="C2842" i="1"/>
  <c r="A2842" i="1"/>
  <c r="R2841" i="1"/>
  <c r="Q2841" i="1"/>
  <c r="N2841" i="1"/>
  <c r="J2841" i="1"/>
  <c r="I2841" i="1"/>
  <c r="H2841" i="1"/>
  <c r="G2841" i="1"/>
  <c r="F2841" i="1"/>
  <c r="E2841" i="1"/>
  <c r="D2841" i="1"/>
  <c r="C2841" i="1"/>
  <c r="A2841" i="1"/>
  <c r="R2840" i="1"/>
  <c r="Q2840" i="1"/>
  <c r="N2840" i="1"/>
  <c r="J2840" i="1"/>
  <c r="I2840" i="1"/>
  <c r="H2840" i="1"/>
  <c r="G2840" i="1"/>
  <c r="F2840" i="1"/>
  <c r="E2840" i="1"/>
  <c r="D2840" i="1"/>
  <c r="C2840" i="1"/>
  <c r="A2840" i="1"/>
  <c r="R2839" i="1"/>
  <c r="Q2839" i="1"/>
  <c r="N2839" i="1"/>
  <c r="J2839" i="1"/>
  <c r="I2839" i="1"/>
  <c r="H2839" i="1"/>
  <c r="G2839" i="1"/>
  <c r="F2839" i="1"/>
  <c r="E2839" i="1"/>
  <c r="D2839" i="1"/>
  <c r="C2839" i="1"/>
  <c r="A2839" i="1"/>
  <c r="R2838" i="1"/>
  <c r="Q2838" i="1"/>
  <c r="N2838" i="1"/>
  <c r="J2838" i="1"/>
  <c r="I2838" i="1"/>
  <c r="H2838" i="1"/>
  <c r="G2838" i="1"/>
  <c r="F2838" i="1"/>
  <c r="E2838" i="1"/>
  <c r="D2838" i="1"/>
  <c r="C2838" i="1"/>
  <c r="A2838" i="1"/>
  <c r="R2837" i="1"/>
  <c r="Q2837" i="1"/>
  <c r="N2837" i="1"/>
  <c r="J2837" i="1"/>
  <c r="I2837" i="1"/>
  <c r="H2837" i="1"/>
  <c r="G2837" i="1"/>
  <c r="F2837" i="1"/>
  <c r="E2837" i="1"/>
  <c r="D2837" i="1"/>
  <c r="C2837" i="1"/>
  <c r="A2837" i="1"/>
  <c r="R2836" i="1"/>
  <c r="Q2836" i="1"/>
  <c r="N2836" i="1"/>
  <c r="J2836" i="1"/>
  <c r="I2836" i="1"/>
  <c r="H2836" i="1"/>
  <c r="G2836" i="1"/>
  <c r="F2836" i="1"/>
  <c r="E2836" i="1"/>
  <c r="D2836" i="1"/>
  <c r="C2836" i="1"/>
  <c r="A2836" i="1"/>
  <c r="R2835" i="1"/>
  <c r="Q2835" i="1"/>
  <c r="N2835" i="1"/>
  <c r="J2835" i="1"/>
  <c r="I2835" i="1"/>
  <c r="H2835" i="1"/>
  <c r="G2835" i="1"/>
  <c r="F2835" i="1"/>
  <c r="E2835" i="1"/>
  <c r="D2835" i="1"/>
  <c r="C2835" i="1"/>
  <c r="A2835" i="1"/>
  <c r="R2834" i="1"/>
  <c r="Q2834" i="1"/>
  <c r="N2834" i="1"/>
  <c r="J2834" i="1"/>
  <c r="I2834" i="1"/>
  <c r="H2834" i="1"/>
  <c r="G2834" i="1"/>
  <c r="F2834" i="1"/>
  <c r="E2834" i="1"/>
  <c r="D2834" i="1"/>
  <c r="C2834" i="1"/>
  <c r="A2834" i="1"/>
  <c r="R2833" i="1"/>
  <c r="Q2833" i="1"/>
  <c r="N2833" i="1"/>
  <c r="J2833" i="1"/>
  <c r="I2833" i="1"/>
  <c r="H2833" i="1"/>
  <c r="G2833" i="1"/>
  <c r="F2833" i="1"/>
  <c r="E2833" i="1"/>
  <c r="D2833" i="1"/>
  <c r="C2833" i="1"/>
  <c r="A2833" i="1"/>
  <c r="R2832" i="1"/>
  <c r="Q2832" i="1"/>
  <c r="N2832" i="1"/>
  <c r="J2832" i="1"/>
  <c r="I2832" i="1"/>
  <c r="H2832" i="1"/>
  <c r="G2832" i="1"/>
  <c r="F2832" i="1"/>
  <c r="E2832" i="1"/>
  <c r="D2832" i="1"/>
  <c r="C2832" i="1"/>
  <c r="A2832" i="1"/>
  <c r="R2831" i="1"/>
  <c r="Q2831" i="1"/>
  <c r="N2831" i="1"/>
  <c r="J2831" i="1"/>
  <c r="I2831" i="1"/>
  <c r="H2831" i="1"/>
  <c r="G2831" i="1"/>
  <c r="F2831" i="1"/>
  <c r="E2831" i="1"/>
  <c r="D2831" i="1"/>
  <c r="C2831" i="1"/>
  <c r="A2831" i="1"/>
  <c r="R2830" i="1"/>
  <c r="Q2830" i="1"/>
  <c r="N2830" i="1"/>
  <c r="J2830" i="1"/>
  <c r="I2830" i="1"/>
  <c r="H2830" i="1"/>
  <c r="G2830" i="1"/>
  <c r="F2830" i="1"/>
  <c r="E2830" i="1"/>
  <c r="D2830" i="1"/>
  <c r="C2830" i="1"/>
  <c r="A2830" i="1"/>
  <c r="R2829" i="1"/>
  <c r="Q2829" i="1"/>
  <c r="N2829" i="1"/>
  <c r="J2829" i="1"/>
  <c r="I2829" i="1"/>
  <c r="H2829" i="1"/>
  <c r="G2829" i="1"/>
  <c r="F2829" i="1"/>
  <c r="E2829" i="1"/>
  <c r="D2829" i="1"/>
  <c r="C2829" i="1"/>
  <c r="A2829" i="1"/>
  <c r="R2828" i="1"/>
  <c r="Q2828" i="1"/>
  <c r="N2828" i="1"/>
  <c r="J2828" i="1"/>
  <c r="I2828" i="1"/>
  <c r="H2828" i="1"/>
  <c r="G2828" i="1"/>
  <c r="F2828" i="1"/>
  <c r="E2828" i="1"/>
  <c r="D2828" i="1"/>
  <c r="C2828" i="1"/>
  <c r="A2828" i="1"/>
  <c r="R2827" i="1"/>
  <c r="Q2827" i="1"/>
  <c r="N2827" i="1"/>
  <c r="J2827" i="1"/>
  <c r="I2827" i="1"/>
  <c r="H2827" i="1"/>
  <c r="G2827" i="1"/>
  <c r="F2827" i="1"/>
  <c r="E2827" i="1"/>
  <c r="D2827" i="1"/>
  <c r="C2827" i="1"/>
  <c r="A2827" i="1"/>
  <c r="R2826" i="1"/>
  <c r="Q2826" i="1"/>
  <c r="N2826" i="1"/>
  <c r="J2826" i="1"/>
  <c r="I2826" i="1"/>
  <c r="H2826" i="1"/>
  <c r="G2826" i="1"/>
  <c r="F2826" i="1"/>
  <c r="E2826" i="1"/>
  <c r="D2826" i="1"/>
  <c r="C2826" i="1"/>
  <c r="A2826" i="1"/>
  <c r="R2825" i="1"/>
  <c r="Q2825" i="1"/>
  <c r="N2825" i="1"/>
  <c r="J2825" i="1"/>
  <c r="I2825" i="1"/>
  <c r="H2825" i="1"/>
  <c r="G2825" i="1"/>
  <c r="F2825" i="1"/>
  <c r="E2825" i="1"/>
  <c r="D2825" i="1"/>
  <c r="C2825" i="1"/>
  <c r="A2825" i="1"/>
  <c r="R2824" i="1"/>
  <c r="Q2824" i="1"/>
  <c r="N2824" i="1"/>
  <c r="J2824" i="1"/>
  <c r="I2824" i="1"/>
  <c r="H2824" i="1"/>
  <c r="G2824" i="1"/>
  <c r="F2824" i="1"/>
  <c r="E2824" i="1"/>
  <c r="D2824" i="1"/>
  <c r="C2824" i="1"/>
  <c r="A2824" i="1"/>
  <c r="R2823" i="1"/>
  <c r="Q2823" i="1"/>
  <c r="N2823" i="1"/>
  <c r="J2823" i="1"/>
  <c r="I2823" i="1"/>
  <c r="H2823" i="1"/>
  <c r="G2823" i="1"/>
  <c r="F2823" i="1"/>
  <c r="E2823" i="1"/>
  <c r="D2823" i="1"/>
  <c r="C2823" i="1"/>
  <c r="A2823" i="1"/>
  <c r="R2822" i="1"/>
  <c r="N2822" i="1"/>
  <c r="J2822" i="1"/>
  <c r="I2822" i="1"/>
  <c r="H2822" i="1"/>
  <c r="G2822" i="1"/>
  <c r="F2822" i="1"/>
  <c r="E2822" i="1"/>
  <c r="D2822" i="1"/>
  <c r="C2822" i="1"/>
  <c r="A2822" i="1"/>
  <c r="R2821" i="1"/>
  <c r="Q2821" i="1"/>
  <c r="N2821" i="1"/>
  <c r="J2821" i="1"/>
  <c r="I2821" i="1"/>
  <c r="H2821" i="1"/>
  <c r="G2821" i="1"/>
  <c r="F2821" i="1"/>
  <c r="E2821" i="1"/>
  <c r="D2821" i="1"/>
  <c r="C2821" i="1"/>
  <c r="A2821" i="1"/>
  <c r="R2820" i="1"/>
  <c r="Q2820" i="1"/>
  <c r="N2820" i="1"/>
  <c r="J2820" i="1"/>
  <c r="I2820" i="1"/>
  <c r="H2820" i="1"/>
  <c r="G2820" i="1"/>
  <c r="F2820" i="1"/>
  <c r="E2820" i="1"/>
  <c r="D2820" i="1"/>
  <c r="C2820" i="1"/>
  <c r="A2820" i="1"/>
  <c r="R2819" i="1"/>
  <c r="Q2819" i="1"/>
  <c r="N2819" i="1"/>
  <c r="J2819" i="1"/>
  <c r="I2819" i="1"/>
  <c r="H2819" i="1"/>
  <c r="G2819" i="1"/>
  <c r="F2819" i="1"/>
  <c r="E2819" i="1"/>
  <c r="D2819" i="1"/>
  <c r="C2819" i="1"/>
  <c r="A2819" i="1"/>
  <c r="R2818" i="1"/>
  <c r="Q2818" i="1"/>
  <c r="N2818" i="1"/>
  <c r="J2818" i="1"/>
  <c r="I2818" i="1"/>
  <c r="H2818" i="1"/>
  <c r="G2818" i="1"/>
  <c r="F2818" i="1"/>
  <c r="E2818" i="1"/>
  <c r="D2818" i="1"/>
  <c r="C2818" i="1"/>
  <c r="A2818" i="1"/>
  <c r="R2817" i="1"/>
  <c r="Q2817" i="1"/>
  <c r="N2817" i="1"/>
  <c r="J2817" i="1"/>
  <c r="I2817" i="1"/>
  <c r="H2817" i="1"/>
  <c r="G2817" i="1"/>
  <c r="F2817" i="1"/>
  <c r="E2817" i="1"/>
  <c r="D2817" i="1"/>
  <c r="C2817" i="1"/>
  <c r="A2817" i="1"/>
  <c r="R2816" i="1"/>
  <c r="Q2816" i="1"/>
  <c r="N2816" i="1"/>
  <c r="J2816" i="1"/>
  <c r="I2816" i="1"/>
  <c r="H2816" i="1"/>
  <c r="G2816" i="1"/>
  <c r="F2816" i="1"/>
  <c r="E2816" i="1"/>
  <c r="D2816" i="1"/>
  <c r="C2816" i="1"/>
  <c r="A2816" i="1"/>
  <c r="R2815" i="1"/>
  <c r="Q2815" i="1"/>
  <c r="N2815" i="1"/>
  <c r="J2815" i="1"/>
  <c r="I2815" i="1"/>
  <c r="H2815" i="1"/>
  <c r="G2815" i="1"/>
  <c r="F2815" i="1"/>
  <c r="E2815" i="1"/>
  <c r="D2815" i="1"/>
  <c r="C2815" i="1"/>
  <c r="A2815" i="1"/>
  <c r="R2814" i="1"/>
  <c r="Q2814" i="1"/>
  <c r="N2814" i="1"/>
  <c r="J2814" i="1"/>
  <c r="I2814" i="1"/>
  <c r="H2814" i="1"/>
  <c r="G2814" i="1"/>
  <c r="F2814" i="1"/>
  <c r="E2814" i="1"/>
  <c r="D2814" i="1"/>
  <c r="C2814" i="1"/>
  <c r="A2814" i="1"/>
  <c r="R2813" i="1"/>
  <c r="Q2813" i="1"/>
  <c r="N2813" i="1"/>
  <c r="J2813" i="1"/>
  <c r="I2813" i="1"/>
  <c r="H2813" i="1"/>
  <c r="G2813" i="1"/>
  <c r="F2813" i="1"/>
  <c r="E2813" i="1"/>
  <c r="D2813" i="1"/>
  <c r="C2813" i="1"/>
  <c r="A2813" i="1"/>
  <c r="R2812" i="1"/>
  <c r="Q2812" i="1"/>
  <c r="N2812" i="1"/>
  <c r="J2812" i="1"/>
  <c r="I2812" i="1"/>
  <c r="H2812" i="1"/>
  <c r="G2812" i="1"/>
  <c r="F2812" i="1"/>
  <c r="E2812" i="1"/>
  <c r="D2812" i="1"/>
  <c r="C2812" i="1"/>
  <c r="A2812" i="1"/>
  <c r="R2811" i="1"/>
  <c r="Q2811" i="1"/>
  <c r="N2811" i="1"/>
  <c r="J2811" i="1"/>
  <c r="I2811" i="1"/>
  <c r="H2811" i="1"/>
  <c r="G2811" i="1"/>
  <c r="F2811" i="1"/>
  <c r="E2811" i="1"/>
  <c r="D2811" i="1"/>
  <c r="C2811" i="1"/>
  <c r="A2811" i="1"/>
  <c r="R2810" i="1"/>
  <c r="N2810" i="1"/>
  <c r="J2810" i="1"/>
  <c r="I2810" i="1"/>
  <c r="H2810" i="1"/>
  <c r="G2810" i="1"/>
  <c r="F2810" i="1"/>
  <c r="E2810" i="1"/>
  <c r="D2810" i="1"/>
  <c r="C2810" i="1"/>
  <c r="A2810" i="1"/>
  <c r="R2809" i="1"/>
  <c r="Q2809" i="1"/>
  <c r="N2809" i="1"/>
  <c r="J2809" i="1"/>
  <c r="I2809" i="1"/>
  <c r="H2809" i="1"/>
  <c r="G2809" i="1"/>
  <c r="F2809" i="1"/>
  <c r="E2809" i="1"/>
  <c r="D2809" i="1"/>
  <c r="C2809" i="1"/>
  <c r="A2809" i="1"/>
  <c r="R2808" i="1"/>
  <c r="Q2808" i="1"/>
  <c r="N2808" i="1"/>
  <c r="J2808" i="1"/>
  <c r="I2808" i="1"/>
  <c r="H2808" i="1"/>
  <c r="G2808" i="1"/>
  <c r="F2808" i="1"/>
  <c r="E2808" i="1"/>
  <c r="D2808" i="1"/>
  <c r="C2808" i="1"/>
  <c r="A2808" i="1"/>
  <c r="R2807" i="1"/>
  <c r="Q2807" i="1"/>
  <c r="N2807" i="1"/>
  <c r="J2807" i="1"/>
  <c r="I2807" i="1"/>
  <c r="H2807" i="1"/>
  <c r="G2807" i="1"/>
  <c r="F2807" i="1"/>
  <c r="E2807" i="1"/>
  <c r="D2807" i="1"/>
  <c r="C2807" i="1"/>
  <c r="A2807" i="1"/>
  <c r="R2806" i="1"/>
  <c r="Q2806" i="1"/>
  <c r="N2806" i="1"/>
  <c r="J2806" i="1"/>
  <c r="I2806" i="1"/>
  <c r="H2806" i="1"/>
  <c r="G2806" i="1"/>
  <c r="F2806" i="1"/>
  <c r="E2806" i="1"/>
  <c r="D2806" i="1"/>
  <c r="C2806" i="1"/>
  <c r="A2806" i="1"/>
  <c r="R2805" i="1"/>
  <c r="Q2805" i="1"/>
  <c r="N2805" i="1"/>
  <c r="J2805" i="1"/>
  <c r="I2805" i="1"/>
  <c r="H2805" i="1"/>
  <c r="G2805" i="1"/>
  <c r="F2805" i="1"/>
  <c r="E2805" i="1"/>
  <c r="D2805" i="1"/>
  <c r="C2805" i="1"/>
  <c r="A2805" i="1"/>
  <c r="R2804" i="1"/>
  <c r="Q2804" i="1"/>
  <c r="N2804" i="1"/>
  <c r="J2804" i="1"/>
  <c r="I2804" i="1"/>
  <c r="H2804" i="1"/>
  <c r="G2804" i="1"/>
  <c r="F2804" i="1"/>
  <c r="E2804" i="1"/>
  <c r="D2804" i="1"/>
  <c r="C2804" i="1"/>
  <c r="A2804" i="1"/>
  <c r="R2803" i="1"/>
  <c r="Q2803" i="1"/>
  <c r="N2803" i="1"/>
  <c r="J2803" i="1"/>
  <c r="I2803" i="1"/>
  <c r="H2803" i="1"/>
  <c r="G2803" i="1"/>
  <c r="F2803" i="1"/>
  <c r="E2803" i="1"/>
  <c r="D2803" i="1"/>
  <c r="C2803" i="1"/>
  <c r="A2803" i="1"/>
  <c r="R2802" i="1"/>
  <c r="Q2802" i="1"/>
  <c r="N2802" i="1"/>
  <c r="J2802" i="1"/>
  <c r="I2802" i="1"/>
  <c r="H2802" i="1"/>
  <c r="G2802" i="1"/>
  <c r="F2802" i="1"/>
  <c r="E2802" i="1"/>
  <c r="D2802" i="1"/>
  <c r="C2802" i="1"/>
  <c r="A2802" i="1"/>
  <c r="R2801" i="1"/>
  <c r="N2801" i="1"/>
  <c r="J2801" i="1"/>
  <c r="I2801" i="1"/>
  <c r="H2801" i="1"/>
  <c r="G2801" i="1"/>
  <c r="F2801" i="1"/>
  <c r="E2801" i="1"/>
  <c r="D2801" i="1"/>
  <c r="C2801" i="1"/>
  <c r="B2801" i="1"/>
  <c r="A2801" i="1"/>
  <c r="R2800" i="1"/>
  <c r="Q2800" i="1"/>
  <c r="N2800" i="1"/>
  <c r="J2800" i="1"/>
  <c r="I2800" i="1"/>
  <c r="H2800" i="1"/>
  <c r="G2800" i="1"/>
  <c r="F2800" i="1"/>
  <c r="E2800" i="1"/>
  <c r="D2800" i="1"/>
  <c r="C2800" i="1"/>
  <c r="B2800" i="1"/>
  <c r="A2800" i="1"/>
  <c r="R2799" i="1"/>
  <c r="N2799" i="1"/>
  <c r="J2799" i="1"/>
  <c r="I2799" i="1"/>
  <c r="H2799" i="1"/>
  <c r="G2799" i="1"/>
  <c r="F2799" i="1"/>
  <c r="E2799" i="1"/>
  <c r="D2799" i="1"/>
  <c r="C2799" i="1"/>
  <c r="B2799" i="1"/>
  <c r="A2799" i="1"/>
  <c r="R2798" i="1"/>
  <c r="N2798" i="1"/>
  <c r="J2798" i="1"/>
  <c r="I2798" i="1"/>
  <c r="H2798" i="1"/>
  <c r="G2798" i="1"/>
  <c r="F2798" i="1"/>
  <c r="E2798" i="1"/>
  <c r="D2798" i="1"/>
  <c r="C2798" i="1"/>
  <c r="B2798" i="1"/>
  <c r="A2798" i="1"/>
  <c r="R2797" i="1"/>
  <c r="N2797" i="1"/>
  <c r="J2797" i="1"/>
  <c r="I2797" i="1"/>
  <c r="H2797" i="1"/>
  <c r="G2797" i="1"/>
  <c r="F2797" i="1"/>
  <c r="E2797" i="1"/>
  <c r="D2797" i="1"/>
  <c r="C2797" i="1"/>
  <c r="B2797" i="1"/>
  <c r="A2797" i="1"/>
  <c r="R2796" i="1"/>
  <c r="N2796" i="1"/>
  <c r="J2796" i="1"/>
  <c r="I2796" i="1"/>
  <c r="H2796" i="1"/>
  <c r="G2796" i="1"/>
  <c r="F2796" i="1"/>
  <c r="E2796" i="1"/>
  <c r="D2796" i="1"/>
  <c r="C2796" i="1"/>
  <c r="B2796" i="1"/>
  <c r="A2796" i="1"/>
  <c r="R2795" i="1"/>
  <c r="N2795" i="1"/>
  <c r="J2795" i="1"/>
  <c r="I2795" i="1"/>
  <c r="H2795" i="1"/>
  <c r="G2795" i="1"/>
  <c r="F2795" i="1"/>
  <c r="E2795" i="1"/>
  <c r="D2795" i="1"/>
  <c r="C2795" i="1"/>
  <c r="B2795" i="1"/>
  <c r="A2795" i="1"/>
  <c r="R2794" i="1"/>
  <c r="N2794" i="1"/>
  <c r="J2794" i="1"/>
  <c r="I2794" i="1"/>
  <c r="H2794" i="1"/>
  <c r="G2794" i="1"/>
  <c r="F2794" i="1"/>
  <c r="E2794" i="1"/>
  <c r="D2794" i="1"/>
  <c r="C2794" i="1"/>
  <c r="B2794" i="1"/>
  <c r="A2794" i="1"/>
  <c r="R2793" i="1"/>
  <c r="Q2793" i="1"/>
  <c r="N2793" i="1"/>
  <c r="J2793" i="1"/>
  <c r="I2793" i="1"/>
  <c r="H2793" i="1"/>
  <c r="G2793" i="1"/>
  <c r="F2793" i="1"/>
  <c r="E2793" i="1"/>
  <c r="D2793" i="1"/>
  <c r="C2793" i="1"/>
  <c r="A2793" i="1"/>
  <c r="R2792" i="1"/>
  <c r="N2792" i="1"/>
  <c r="J2792" i="1"/>
  <c r="I2792" i="1"/>
  <c r="H2792" i="1"/>
  <c r="G2792" i="1"/>
  <c r="F2792" i="1"/>
  <c r="E2792" i="1"/>
  <c r="D2792" i="1"/>
  <c r="C2792" i="1"/>
  <c r="A2792" i="1"/>
  <c r="R2791" i="1"/>
  <c r="Q2791" i="1"/>
  <c r="N2791" i="1"/>
  <c r="J2791" i="1"/>
  <c r="I2791" i="1"/>
  <c r="H2791" i="1"/>
  <c r="G2791" i="1"/>
  <c r="F2791" i="1"/>
  <c r="E2791" i="1"/>
  <c r="D2791" i="1"/>
  <c r="C2791" i="1"/>
  <c r="A2791" i="1"/>
  <c r="R2790" i="1"/>
  <c r="N2790" i="1"/>
  <c r="J2790" i="1"/>
  <c r="I2790" i="1"/>
  <c r="H2790" i="1"/>
  <c r="G2790" i="1"/>
  <c r="F2790" i="1"/>
  <c r="E2790" i="1"/>
  <c r="D2790" i="1"/>
  <c r="C2790" i="1"/>
  <c r="A2790" i="1"/>
  <c r="R2789" i="1"/>
  <c r="Q2789" i="1"/>
  <c r="N2789" i="1"/>
  <c r="J2789" i="1"/>
  <c r="I2789" i="1"/>
  <c r="H2789" i="1"/>
  <c r="G2789" i="1"/>
  <c r="F2789" i="1"/>
  <c r="E2789" i="1"/>
  <c r="D2789" i="1"/>
  <c r="C2789" i="1"/>
  <c r="A2789" i="1"/>
  <c r="R2788" i="1"/>
  <c r="N2788" i="1"/>
  <c r="J2788" i="1"/>
  <c r="I2788" i="1"/>
  <c r="H2788" i="1"/>
  <c r="G2788" i="1"/>
  <c r="F2788" i="1"/>
  <c r="E2788" i="1"/>
  <c r="D2788" i="1"/>
  <c r="C2788" i="1"/>
  <c r="B2788" i="1"/>
  <c r="A2788" i="1"/>
  <c r="R2787" i="1"/>
  <c r="N2787" i="1"/>
  <c r="J2787" i="1"/>
  <c r="I2787" i="1"/>
  <c r="H2787" i="1"/>
  <c r="G2787" i="1"/>
  <c r="F2787" i="1"/>
  <c r="E2787" i="1"/>
  <c r="D2787" i="1"/>
  <c r="C2787" i="1"/>
  <c r="B2787" i="1"/>
  <c r="A2787" i="1"/>
  <c r="R2786" i="1"/>
  <c r="N2786" i="1"/>
  <c r="J2786" i="1"/>
  <c r="I2786" i="1"/>
  <c r="H2786" i="1"/>
  <c r="G2786" i="1"/>
  <c r="F2786" i="1"/>
  <c r="E2786" i="1"/>
  <c r="D2786" i="1"/>
  <c r="C2786" i="1"/>
  <c r="B2786" i="1"/>
  <c r="A2786" i="1"/>
  <c r="R2785" i="1"/>
  <c r="N2785" i="1"/>
  <c r="J2785" i="1"/>
  <c r="I2785" i="1"/>
  <c r="H2785" i="1"/>
  <c r="G2785" i="1"/>
  <c r="F2785" i="1"/>
  <c r="E2785" i="1"/>
  <c r="D2785" i="1"/>
  <c r="C2785" i="1"/>
  <c r="B2785" i="1"/>
  <c r="A2785" i="1"/>
  <c r="R2784" i="1"/>
  <c r="N2784" i="1"/>
  <c r="J2784" i="1"/>
  <c r="I2784" i="1"/>
  <c r="H2784" i="1"/>
  <c r="G2784" i="1"/>
  <c r="F2784" i="1"/>
  <c r="E2784" i="1"/>
  <c r="D2784" i="1"/>
  <c r="C2784" i="1"/>
  <c r="B2784" i="1"/>
  <c r="A2784" i="1"/>
  <c r="R2783" i="1"/>
  <c r="N2783" i="1"/>
  <c r="J2783" i="1"/>
  <c r="I2783" i="1"/>
  <c r="H2783" i="1"/>
  <c r="G2783" i="1"/>
  <c r="F2783" i="1"/>
  <c r="E2783" i="1"/>
  <c r="D2783" i="1"/>
  <c r="C2783" i="1"/>
  <c r="B2783" i="1"/>
  <c r="A2783" i="1"/>
  <c r="R2782" i="1"/>
  <c r="N2782" i="1"/>
  <c r="J2782" i="1"/>
  <c r="I2782" i="1"/>
  <c r="H2782" i="1"/>
  <c r="G2782" i="1"/>
  <c r="F2782" i="1"/>
  <c r="E2782" i="1"/>
  <c r="D2782" i="1"/>
  <c r="C2782" i="1"/>
  <c r="B2782" i="1"/>
  <c r="A2782" i="1"/>
  <c r="R2781" i="1"/>
  <c r="N2781" i="1"/>
  <c r="J2781" i="1"/>
  <c r="I2781" i="1"/>
  <c r="H2781" i="1"/>
  <c r="G2781" i="1"/>
  <c r="F2781" i="1"/>
  <c r="E2781" i="1"/>
  <c r="D2781" i="1"/>
  <c r="C2781" i="1"/>
  <c r="B2781" i="1"/>
  <c r="A2781" i="1"/>
  <c r="R2780" i="1"/>
  <c r="N2780" i="1"/>
  <c r="J2780" i="1"/>
  <c r="I2780" i="1"/>
  <c r="H2780" i="1"/>
  <c r="G2780" i="1"/>
  <c r="F2780" i="1"/>
  <c r="E2780" i="1"/>
  <c r="D2780" i="1"/>
  <c r="C2780" i="1"/>
  <c r="B2780" i="1"/>
  <c r="A2780" i="1"/>
  <c r="R2779" i="1"/>
  <c r="N2779" i="1"/>
  <c r="J2779" i="1"/>
  <c r="I2779" i="1"/>
  <c r="H2779" i="1"/>
  <c r="G2779" i="1"/>
  <c r="F2779" i="1"/>
  <c r="E2779" i="1"/>
  <c r="D2779" i="1"/>
  <c r="C2779" i="1"/>
  <c r="B2779" i="1"/>
  <c r="A2779" i="1"/>
  <c r="R2778" i="1"/>
  <c r="N2778" i="1"/>
  <c r="J2778" i="1"/>
  <c r="I2778" i="1"/>
  <c r="H2778" i="1"/>
  <c r="G2778" i="1"/>
  <c r="F2778" i="1"/>
  <c r="E2778" i="1"/>
  <c r="D2778" i="1"/>
  <c r="C2778" i="1"/>
  <c r="B2778" i="1"/>
  <c r="A2778" i="1"/>
  <c r="R2777" i="1"/>
  <c r="N2777" i="1"/>
  <c r="J2777" i="1"/>
  <c r="I2777" i="1"/>
  <c r="H2777" i="1"/>
  <c r="G2777" i="1"/>
  <c r="F2777" i="1"/>
  <c r="E2777" i="1"/>
  <c r="D2777" i="1"/>
  <c r="C2777" i="1"/>
  <c r="B2777" i="1"/>
  <c r="A2777" i="1"/>
  <c r="R2776" i="1"/>
  <c r="N2776" i="1"/>
  <c r="J2776" i="1"/>
  <c r="I2776" i="1"/>
  <c r="H2776" i="1"/>
  <c r="G2776" i="1"/>
  <c r="F2776" i="1"/>
  <c r="E2776" i="1"/>
  <c r="D2776" i="1"/>
  <c r="C2776" i="1"/>
  <c r="B2776" i="1"/>
  <c r="A2776" i="1"/>
  <c r="R2775" i="1"/>
  <c r="N2775" i="1"/>
  <c r="J2775" i="1"/>
  <c r="I2775" i="1"/>
  <c r="H2775" i="1"/>
  <c r="G2775" i="1"/>
  <c r="F2775" i="1"/>
  <c r="E2775" i="1"/>
  <c r="D2775" i="1"/>
  <c r="C2775" i="1"/>
  <c r="B2775" i="1"/>
  <c r="A2775" i="1"/>
  <c r="R2774" i="1"/>
  <c r="N2774" i="1"/>
  <c r="J2774" i="1"/>
  <c r="I2774" i="1"/>
  <c r="H2774" i="1"/>
  <c r="G2774" i="1"/>
  <c r="F2774" i="1"/>
  <c r="E2774" i="1"/>
  <c r="D2774" i="1"/>
  <c r="C2774" i="1"/>
  <c r="B2774" i="1"/>
  <c r="A2774" i="1"/>
  <c r="R2773" i="1"/>
  <c r="Q2773" i="1"/>
  <c r="N2773" i="1"/>
  <c r="J2773" i="1"/>
  <c r="I2773" i="1"/>
  <c r="H2773" i="1"/>
  <c r="G2773" i="1"/>
  <c r="F2773" i="1"/>
  <c r="E2773" i="1"/>
  <c r="D2773" i="1"/>
  <c r="C2773" i="1"/>
  <c r="A2773" i="1"/>
  <c r="R2772" i="1"/>
  <c r="N2772" i="1"/>
  <c r="J2772" i="1"/>
  <c r="I2772" i="1"/>
  <c r="H2772" i="1"/>
  <c r="G2772" i="1"/>
  <c r="F2772" i="1"/>
  <c r="E2772" i="1"/>
  <c r="D2772" i="1"/>
  <c r="C2772" i="1"/>
  <c r="A2772" i="1"/>
  <c r="R2771" i="1"/>
  <c r="Q2771" i="1"/>
  <c r="N2771" i="1"/>
  <c r="J2771" i="1"/>
  <c r="I2771" i="1"/>
  <c r="H2771" i="1"/>
  <c r="G2771" i="1"/>
  <c r="F2771" i="1"/>
  <c r="E2771" i="1"/>
  <c r="D2771" i="1"/>
  <c r="C2771" i="1"/>
  <c r="A2771" i="1"/>
  <c r="R2770" i="1"/>
  <c r="N2770" i="1"/>
  <c r="J2770" i="1"/>
  <c r="I2770" i="1"/>
  <c r="H2770" i="1"/>
  <c r="G2770" i="1"/>
  <c r="F2770" i="1"/>
  <c r="E2770" i="1"/>
  <c r="D2770" i="1"/>
  <c r="C2770" i="1"/>
  <c r="A2770" i="1"/>
  <c r="R2769" i="1"/>
  <c r="Q2769" i="1"/>
  <c r="N2769" i="1"/>
  <c r="J2769" i="1"/>
  <c r="I2769" i="1"/>
  <c r="H2769" i="1"/>
  <c r="G2769" i="1"/>
  <c r="F2769" i="1"/>
  <c r="E2769" i="1"/>
  <c r="D2769" i="1"/>
  <c r="C2769" i="1"/>
  <c r="A2769" i="1"/>
  <c r="R2768" i="1"/>
  <c r="N2768" i="1"/>
  <c r="J2768" i="1"/>
  <c r="I2768" i="1"/>
  <c r="H2768" i="1"/>
  <c r="G2768" i="1"/>
  <c r="F2768" i="1"/>
  <c r="E2768" i="1"/>
  <c r="D2768" i="1"/>
  <c r="C2768" i="1"/>
  <c r="A2768" i="1"/>
  <c r="R2767" i="1"/>
  <c r="Q2767" i="1"/>
  <c r="N2767" i="1"/>
  <c r="J2767" i="1"/>
  <c r="I2767" i="1"/>
  <c r="H2767" i="1"/>
  <c r="G2767" i="1"/>
  <c r="F2767" i="1"/>
  <c r="E2767" i="1"/>
  <c r="D2767" i="1"/>
  <c r="C2767" i="1"/>
  <c r="A2767" i="1"/>
  <c r="R2766" i="1"/>
  <c r="N2766" i="1"/>
  <c r="J2766" i="1"/>
  <c r="I2766" i="1"/>
  <c r="H2766" i="1"/>
  <c r="G2766" i="1"/>
  <c r="F2766" i="1"/>
  <c r="E2766" i="1"/>
  <c r="D2766" i="1"/>
  <c r="C2766" i="1"/>
  <c r="A2766" i="1"/>
  <c r="R2765" i="1"/>
  <c r="Q2765" i="1"/>
  <c r="N2765" i="1"/>
  <c r="J2765" i="1"/>
  <c r="I2765" i="1"/>
  <c r="H2765" i="1"/>
  <c r="G2765" i="1"/>
  <c r="F2765" i="1"/>
  <c r="E2765" i="1"/>
  <c r="D2765" i="1"/>
  <c r="C2765" i="1"/>
  <c r="A2765" i="1"/>
  <c r="R2764" i="1"/>
  <c r="Q2764" i="1"/>
  <c r="N2764" i="1"/>
  <c r="J2764" i="1"/>
  <c r="I2764" i="1"/>
  <c r="H2764" i="1"/>
  <c r="G2764" i="1"/>
  <c r="F2764" i="1"/>
  <c r="E2764" i="1"/>
  <c r="D2764" i="1"/>
  <c r="C2764" i="1"/>
  <c r="A2764" i="1"/>
  <c r="R2763" i="1"/>
  <c r="N2763" i="1"/>
  <c r="J2763" i="1"/>
  <c r="I2763" i="1"/>
  <c r="H2763" i="1"/>
  <c r="G2763" i="1"/>
  <c r="F2763" i="1"/>
  <c r="E2763" i="1"/>
  <c r="D2763" i="1"/>
  <c r="C2763" i="1"/>
  <c r="A2763" i="1"/>
  <c r="R2762" i="1"/>
  <c r="Q2762" i="1"/>
  <c r="N2762" i="1"/>
  <c r="J2762" i="1"/>
  <c r="I2762" i="1"/>
  <c r="H2762" i="1"/>
  <c r="G2762" i="1"/>
  <c r="F2762" i="1"/>
  <c r="E2762" i="1"/>
  <c r="D2762" i="1"/>
  <c r="C2762" i="1"/>
  <c r="A2762" i="1"/>
  <c r="R2761" i="1"/>
  <c r="N2761" i="1"/>
  <c r="J2761" i="1"/>
  <c r="I2761" i="1"/>
  <c r="H2761" i="1"/>
  <c r="G2761" i="1"/>
  <c r="F2761" i="1"/>
  <c r="E2761" i="1"/>
  <c r="D2761" i="1"/>
  <c r="C2761" i="1"/>
  <c r="A2761" i="1"/>
  <c r="R2760" i="1"/>
  <c r="Q2760" i="1"/>
  <c r="N2760" i="1"/>
  <c r="J2760" i="1"/>
  <c r="I2760" i="1"/>
  <c r="H2760" i="1"/>
  <c r="G2760" i="1"/>
  <c r="F2760" i="1"/>
  <c r="E2760" i="1"/>
  <c r="D2760" i="1"/>
  <c r="C2760" i="1"/>
  <c r="A2760" i="1"/>
  <c r="R2759" i="1"/>
  <c r="N2759" i="1"/>
  <c r="J2759" i="1"/>
  <c r="I2759" i="1"/>
  <c r="H2759" i="1"/>
  <c r="G2759" i="1"/>
  <c r="F2759" i="1"/>
  <c r="E2759" i="1"/>
  <c r="D2759" i="1"/>
  <c r="C2759" i="1"/>
  <c r="A2759" i="1"/>
  <c r="R2758" i="1"/>
  <c r="Q2758" i="1"/>
  <c r="N2758" i="1"/>
  <c r="J2758" i="1"/>
  <c r="I2758" i="1"/>
  <c r="H2758" i="1"/>
  <c r="G2758" i="1"/>
  <c r="F2758" i="1"/>
  <c r="E2758" i="1"/>
  <c r="D2758" i="1"/>
  <c r="C2758" i="1"/>
  <c r="A2758" i="1"/>
  <c r="R2757" i="1"/>
  <c r="N2757" i="1"/>
  <c r="J2757" i="1"/>
  <c r="I2757" i="1"/>
  <c r="H2757" i="1"/>
  <c r="G2757" i="1"/>
  <c r="F2757" i="1"/>
  <c r="E2757" i="1"/>
  <c r="D2757" i="1"/>
  <c r="C2757" i="1"/>
  <c r="A2757" i="1"/>
  <c r="R2756" i="1"/>
  <c r="Q2756" i="1"/>
  <c r="N2756" i="1"/>
  <c r="J2756" i="1"/>
  <c r="I2756" i="1"/>
  <c r="H2756" i="1"/>
  <c r="G2756" i="1"/>
  <c r="F2756" i="1"/>
  <c r="E2756" i="1"/>
  <c r="D2756" i="1"/>
  <c r="C2756" i="1"/>
  <c r="A2756" i="1"/>
  <c r="R2755" i="1"/>
  <c r="N2755" i="1"/>
  <c r="J2755" i="1"/>
  <c r="I2755" i="1"/>
  <c r="H2755" i="1"/>
  <c r="G2755" i="1"/>
  <c r="F2755" i="1"/>
  <c r="E2755" i="1"/>
  <c r="D2755" i="1"/>
  <c r="C2755" i="1"/>
  <c r="A2755" i="1"/>
  <c r="R2754" i="1"/>
  <c r="Q2754" i="1"/>
  <c r="N2754" i="1"/>
  <c r="J2754" i="1"/>
  <c r="I2754" i="1"/>
  <c r="H2754" i="1"/>
  <c r="G2754" i="1"/>
  <c r="F2754" i="1"/>
  <c r="E2754" i="1"/>
  <c r="D2754" i="1"/>
  <c r="C2754" i="1"/>
  <c r="A2754" i="1"/>
  <c r="R2753" i="1"/>
  <c r="N2753" i="1"/>
  <c r="J2753" i="1"/>
  <c r="I2753" i="1"/>
  <c r="H2753" i="1"/>
  <c r="G2753" i="1"/>
  <c r="F2753" i="1"/>
  <c r="E2753" i="1"/>
  <c r="D2753" i="1"/>
  <c r="C2753" i="1"/>
  <c r="A2753" i="1"/>
  <c r="R2752" i="1"/>
  <c r="Q2752" i="1"/>
  <c r="N2752" i="1"/>
  <c r="J2752" i="1"/>
  <c r="I2752" i="1"/>
  <c r="H2752" i="1"/>
  <c r="G2752" i="1"/>
  <c r="F2752" i="1"/>
  <c r="E2752" i="1"/>
  <c r="D2752" i="1"/>
  <c r="C2752" i="1"/>
  <c r="A2752" i="1"/>
  <c r="R2751" i="1"/>
  <c r="N2751" i="1"/>
  <c r="J2751" i="1"/>
  <c r="I2751" i="1"/>
  <c r="H2751" i="1"/>
  <c r="G2751" i="1"/>
  <c r="F2751" i="1"/>
  <c r="E2751" i="1"/>
  <c r="D2751" i="1"/>
  <c r="C2751" i="1"/>
  <c r="A2751" i="1"/>
  <c r="R2750" i="1"/>
  <c r="Q2750" i="1"/>
  <c r="N2750" i="1"/>
  <c r="J2750" i="1"/>
  <c r="I2750" i="1"/>
  <c r="H2750" i="1"/>
  <c r="G2750" i="1"/>
  <c r="F2750" i="1"/>
  <c r="E2750" i="1"/>
  <c r="D2750" i="1"/>
  <c r="C2750" i="1"/>
  <c r="A2750" i="1"/>
  <c r="R2749" i="1"/>
  <c r="N2749" i="1"/>
  <c r="J2749" i="1"/>
  <c r="I2749" i="1"/>
  <c r="H2749" i="1"/>
  <c r="G2749" i="1"/>
  <c r="F2749" i="1"/>
  <c r="E2749" i="1"/>
  <c r="D2749" i="1"/>
  <c r="C2749" i="1"/>
  <c r="A2749" i="1"/>
  <c r="R2748" i="1"/>
  <c r="Q2748" i="1"/>
  <c r="N2748" i="1"/>
  <c r="J2748" i="1"/>
  <c r="I2748" i="1"/>
  <c r="H2748" i="1"/>
  <c r="G2748" i="1"/>
  <c r="F2748" i="1"/>
  <c r="E2748" i="1"/>
  <c r="D2748" i="1"/>
  <c r="C2748" i="1"/>
  <c r="A2748" i="1"/>
  <c r="R2747" i="1"/>
  <c r="Q2747" i="1"/>
  <c r="N2747" i="1"/>
  <c r="J2747" i="1"/>
  <c r="I2747" i="1"/>
  <c r="H2747" i="1"/>
  <c r="G2747" i="1"/>
  <c r="F2747" i="1"/>
  <c r="E2747" i="1"/>
  <c r="D2747" i="1"/>
  <c r="C2747" i="1"/>
  <c r="A2747" i="1"/>
  <c r="R2746" i="1"/>
  <c r="N2746" i="1"/>
  <c r="J2746" i="1"/>
  <c r="I2746" i="1"/>
  <c r="H2746" i="1"/>
  <c r="G2746" i="1"/>
  <c r="F2746" i="1"/>
  <c r="E2746" i="1"/>
  <c r="D2746" i="1"/>
  <c r="C2746" i="1"/>
  <c r="A2746" i="1"/>
  <c r="R2745" i="1"/>
  <c r="Q2745" i="1"/>
  <c r="N2745" i="1"/>
  <c r="J2745" i="1"/>
  <c r="I2745" i="1"/>
  <c r="H2745" i="1"/>
  <c r="G2745" i="1"/>
  <c r="F2745" i="1"/>
  <c r="E2745" i="1"/>
  <c r="D2745" i="1"/>
  <c r="C2745" i="1"/>
  <c r="A2745" i="1"/>
  <c r="R2744" i="1"/>
  <c r="N2744" i="1"/>
  <c r="J2744" i="1"/>
  <c r="I2744" i="1"/>
  <c r="H2744" i="1"/>
  <c r="G2744" i="1"/>
  <c r="F2744" i="1"/>
  <c r="E2744" i="1"/>
  <c r="D2744" i="1"/>
  <c r="C2744" i="1"/>
  <c r="B2744" i="1"/>
  <c r="A2744" i="1"/>
  <c r="R2743" i="1"/>
  <c r="Q2743" i="1"/>
  <c r="N2743" i="1"/>
  <c r="J2743" i="1"/>
  <c r="I2743" i="1"/>
  <c r="H2743" i="1"/>
  <c r="G2743" i="1"/>
  <c r="F2743" i="1"/>
  <c r="E2743" i="1"/>
  <c r="D2743" i="1"/>
  <c r="C2743" i="1"/>
  <c r="B2743" i="1"/>
  <c r="A2743" i="1"/>
  <c r="R2742" i="1"/>
  <c r="N2742" i="1"/>
  <c r="J2742" i="1"/>
  <c r="I2742" i="1"/>
  <c r="H2742" i="1"/>
  <c r="G2742" i="1"/>
  <c r="F2742" i="1"/>
  <c r="E2742" i="1"/>
  <c r="D2742" i="1"/>
  <c r="C2742" i="1"/>
  <c r="B2742" i="1"/>
  <c r="A2742" i="1"/>
  <c r="R2741" i="1"/>
  <c r="N2741" i="1"/>
  <c r="J2741" i="1"/>
  <c r="I2741" i="1"/>
  <c r="H2741" i="1"/>
  <c r="G2741" i="1"/>
  <c r="F2741" i="1"/>
  <c r="E2741" i="1"/>
  <c r="D2741" i="1"/>
  <c r="C2741" i="1"/>
  <c r="B2741" i="1"/>
  <c r="A2741" i="1"/>
  <c r="R2740" i="1"/>
  <c r="N2740" i="1"/>
  <c r="J2740" i="1"/>
  <c r="I2740" i="1"/>
  <c r="H2740" i="1"/>
  <c r="G2740" i="1"/>
  <c r="F2740" i="1"/>
  <c r="E2740" i="1"/>
  <c r="D2740" i="1"/>
  <c r="C2740" i="1"/>
  <c r="B2740" i="1"/>
  <c r="A2740" i="1"/>
  <c r="R2739" i="1"/>
  <c r="N2739" i="1"/>
  <c r="J2739" i="1"/>
  <c r="I2739" i="1"/>
  <c r="H2739" i="1"/>
  <c r="G2739" i="1"/>
  <c r="F2739" i="1"/>
  <c r="E2739" i="1"/>
  <c r="D2739" i="1"/>
  <c r="C2739" i="1"/>
  <c r="B2739" i="1"/>
  <c r="A2739" i="1"/>
  <c r="R2738" i="1"/>
  <c r="N2738" i="1"/>
  <c r="J2738" i="1"/>
  <c r="I2738" i="1"/>
  <c r="H2738" i="1"/>
  <c r="G2738" i="1"/>
  <c r="F2738" i="1"/>
  <c r="E2738" i="1"/>
  <c r="D2738" i="1"/>
  <c r="C2738" i="1"/>
  <c r="B2738" i="1"/>
  <c r="A2738" i="1"/>
  <c r="R2737" i="1"/>
  <c r="N2737" i="1"/>
  <c r="J2737" i="1"/>
  <c r="I2737" i="1"/>
  <c r="H2737" i="1"/>
  <c r="G2737" i="1"/>
  <c r="F2737" i="1"/>
  <c r="E2737" i="1"/>
  <c r="D2737" i="1"/>
  <c r="C2737" i="1"/>
  <c r="B2737" i="1"/>
  <c r="A2737" i="1"/>
  <c r="R2736" i="1"/>
  <c r="N2736" i="1"/>
  <c r="J2736" i="1"/>
  <c r="I2736" i="1"/>
  <c r="H2736" i="1"/>
  <c r="G2736" i="1"/>
  <c r="F2736" i="1"/>
  <c r="E2736" i="1"/>
  <c r="D2736" i="1"/>
  <c r="C2736" i="1"/>
  <c r="B2736" i="1"/>
  <c r="A2736" i="1"/>
  <c r="R2735" i="1"/>
  <c r="N2735" i="1"/>
  <c r="J2735" i="1"/>
  <c r="I2735" i="1"/>
  <c r="H2735" i="1"/>
  <c r="G2735" i="1"/>
  <c r="F2735" i="1"/>
  <c r="E2735" i="1"/>
  <c r="D2735" i="1"/>
  <c r="C2735" i="1"/>
  <c r="B2735" i="1"/>
  <c r="A2735" i="1"/>
  <c r="R2734" i="1"/>
  <c r="N2734" i="1"/>
  <c r="J2734" i="1"/>
  <c r="I2734" i="1"/>
  <c r="H2734" i="1"/>
  <c r="G2734" i="1"/>
  <c r="F2734" i="1"/>
  <c r="E2734" i="1"/>
  <c r="D2734" i="1"/>
  <c r="C2734" i="1"/>
  <c r="B2734" i="1"/>
  <c r="A2734" i="1"/>
  <c r="R2733" i="1"/>
  <c r="Q2733" i="1"/>
  <c r="N2733" i="1"/>
  <c r="J2733" i="1"/>
  <c r="I2733" i="1"/>
  <c r="H2733" i="1"/>
  <c r="G2733" i="1"/>
  <c r="F2733" i="1"/>
  <c r="E2733" i="1"/>
  <c r="D2733" i="1"/>
  <c r="C2733" i="1"/>
  <c r="A2733" i="1"/>
  <c r="R2732" i="1"/>
  <c r="Q2732" i="1"/>
  <c r="N2732" i="1"/>
  <c r="J2732" i="1"/>
  <c r="I2732" i="1"/>
  <c r="H2732" i="1"/>
  <c r="G2732" i="1"/>
  <c r="F2732" i="1"/>
  <c r="E2732" i="1"/>
  <c r="D2732" i="1"/>
  <c r="C2732" i="1"/>
  <c r="A2732" i="1"/>
  <c r="R2731" i="1"/>
  <c r="Q2731" i="1"/>
  <c r="N2731" i="1"/>
  <c r="J2731" i="1"/>
  <c r="I2731" i="1"/>
  <c r="H2731" i="1"/>
  <c r="G2731" i="1"/>
  <c r="F2731" i="1"/>
  <c r="E2731" i="1"/>
  <c r="D2731" i="1"/>
  <c r="C2731" i="1"/>
  <c r="A2731" i="1"/>
  <c r="R2730" i="1"/>
  <c r="N2730" i="1"/>
  <c r="J2730" i="1"/>
  <c r="I2730" i="1"/>
  <c r="H2730" i="1"/>
  <c r="G2730" i="1"/>
  <c r="F2730" i="1"/>
  <c r="E2730" i="1"/>
  <c r="D2730" i="1"/>
  <c r="C2730" i="1"/>
  <c r="A2730" i="1"/>
  <c r="R2729" i="1"/>
  <c r="Q2729" i="1"/>
  <c r="N2729" i="1"/>
  <c r="J2729" i="1"/>
  <c r="I2729" i="1"/>
  <c r="H2729" i="1"/>
  <c r="G2729" i="1"/>
  <c r="F2729" i="1"/>
  <c r="E2729" i="1"/>
  <c r="D2729" i="1"/>
  <c r="C2729" i="1"/>
  <c r="A2729" i="1"/>
  <c r="R2728" i="1"/>
  <c r="N2728" i="1"/>
  <c r="J2728" i="1"/>
  <c r="I2728" i="1"/>
  <c r="H2728" i="1"/>
  <c r="G2728" i="1"/>
  <c r="F2728" i="1"/>
  <c r="E2728" i="1"/>
  <c r="D2728" i="1"/>
  <c r="C2728" i="1"/>
  <c r="A2728" i="1"/>
  <c r="R2727" i="1"/>
  <c r="Q2727" i="1"/>
  <c r="N2727" i="1"/>
  <c r="J2727" i="1"/>
  <c r="I2727" i="1"/>
  <c r="H2727" i="1"/>
  <c r="G2727" i="1"/>
  <c r="F2727" i="1"/>
  <c r="E2727" i="1"/>
  <c r="D2727" i="1"/>
  <c r="C2727" i="1"/>
  <c r="A2727" i="1"/>
  <c r="R2726" i="1"/>
  <c r="N2726" i="1"/>
  <c r="J2726" i="1"/>
  <c r="I2726" i="1"/>
  <c r="H2726" i="1"/>
  <c r="G2726" i="1"/>
  <c r="F2726" i="1"/>
  <c r="E2726" i="1"/>
  <c r="D2726" i="1"/>
  <c r="C2726" i="1"/>
  <c r="A2726" i="1"/>
  <c r="R2725" i="1"/>
  <c r="Q2725" i="1"/>
  <c r="N2725" i="1"/>
  <c r="J2725" i="1"/>
  <c r="I2725" i="1"/>
  <c r="H2725" i="1"/>
  <c r="G2725" i="1"/>
  <c r="F2725" i="1"/>
  <c r="E2725" i="1"/>
  <c r="D2725" i="1"/>
  <c r="C2725" i="1"/>
  <c r="A2725" i="1"/>
  <c r="R2724" i="1"/>
  <c r="N2724" i="1"/>
  <c r="J2724" i="1"/>
  <c r="I2724" i="1"/>
  <c r="H2724" i="1"/>
  <c r="G2724" i="1"/>
  <c r="F2724" i="1"/>
  <c r="E2724" i="1"/>
  <c r="D2724" i="1"/>
  <c r="C2724" i="1"/>
  <c r="A2724" i="1"/>
  <c r="R2723" i="1"/>
  <c r="Q2723" i="1"/>
  <c r="N2723" i="1"/>
  <c r="J2723" i="1"/>
  <c r="I2723" i="1"/>
  <c r="H2723" i="1"/>
  <c r="G2723" i="1"/>
  <c r="F2723" i="1"/>
  <c r="E2723" i="1"/>
  <c r="D2723" i="1"/>
  <c r="C2723" i="1"/>
  <c r="A2723" i="1"/>
  <c r="R2722" i="1"/>
  <c r="N2722" i="1"/>
  <c r="J2722" i="1"/>
  <c r="I2722" i="1"/>
  <c r="H2722" i="1"/>
  <c r="G2722" i="1"/>
  <c r="F2722" i="1"/>
  <c r="E2722" i="1"/>
  <c r="D2722" i="1"/>
  <c r="C2722" i="1"/>
  <c r="A2722" i="1"/>
  <c r="R2721" i="1"/>
  <c r="Q2721" i="1"/>
  <c r="N2721" i="1"/>
  <c r="J2721" i="1"/>
  <c r="I2721" i="1"/>
  <c r="H2721" i="1"/>
  <c r="G2721" i="1"/>
  <c r="F2721" i="1"/>
  <c r="E2721" i="1"/>
  <c r="D2721" i="1"/>
  <c r="C2721" i="1"/>
  <c r="A2721" i="1"/>
  <c r="R2720" i="1"/>
  <c r="N2720" i="1"/>
  <c r="J2720" i="1"/>
  <c r="I2720" i="1"/>
  <c r="H2720" i="1"/>
  <c r="G2720" i="1"/>
  <c r="F2720" i="1"/>
  <c r="E2720" i="1"/>
  <c r="D2720" i="1"/>
  <c r="C2720" i="1"/>
  <c r="A2720" i="1"/>
  <c r="R2719" i="1"/>
  <c r="Q2719" i="1"/>
  <c r="N2719" i="1"/>
  <c r="J2719" i="1"/>
  <c r="I2719" i="1"/>
  <c r="H2719" i="1"/>
  <c r="G2719" i="1"/>
  <c r="F2719" i="1"/>
  <c r="E2719" i="1"/>
  <c r="D2719" i="1"/>
  <c r="C2719" i="1"/>
  <c r="A2719" i="1"/>
  <c r="R2718" i="1"/>
  <c r="N2718" i="1"/>
  <c r="J2718" i="1"/>
  <c r="I2718" i="1"/>
  <c r="H2718" i="1"/>
  <c r="G2718" i="1"/>
  <c r="F2718" i="1"/>
  <c r="E2718" i="1"/>
  <c r="D2718" i="1"/>
  <c r="C2718" i="1"/>
  <c r="A2718" i="1"/>
  <c r="R2717" i="1"/>
  <c r="Q2717" i="1"/>
  <c r="N2717" i="1"/>
  <c r="J2717" i="1"/>
  <c r="I2717" i="1"/>
  <c r="H2717" i="1"/>
  <c r="G2717" i="1"/>
  <c r="F2717" i="1"/>
  <c r="E2717" i="1"/>
  <c r="D2717" i="1"/>
  <c r="C2717" i="1"/>
  <c r="A2717" i="1"/>
  <c r="R2716" i="1"/>
  <c r="N2716" i="1"/>
  <c r="J2716" i="1"/>
  <c r="I2716" i="1"/>
  <c r="H2716" i="1"/>
  <c r="G2716" i="1"/>
  <c r="F2716" i="1"/>
  <c r="E2716" i="1"/>
  <c r="D2716" i="1"/>
  <c r="C2716" i="1"/>
  <c r="A2716" i="1"/>
  <c r="R2715" i="1"/>
  <c r="Q2715" i="1"/>
  <c r="N2715" i="1"/>
  <c r="J2715" i="1"/>
  <c r="I2715" i="1"/>
  <c r="H2715" i="1"/>
  <c r="G2715" i="1"/>
  <c r="F2715" i="1"/>
  <c r="E2715" i="1"/>
  <c r="D2715" i="1"/>
  <c r="C2715" i="1"/>
  <c r="A2715" i="1"/>
  <c r="R2714" i="1"/>
  <c r="Q2714" i="1"/>
  <c r="N2714" i="1"/>
  <c r="J2714" i="1"/>
  <c r="I2714" i="1"/>
  <c r="H2714" i="1"/>
  <c r="G2714" i="1"/>
  <c r="F2714" i="1"/>
  <c r="E2714" i="1"/>
  <c r="D2714" i="1"/>
  <c r="C2714" i="1"/>
  <c r="A2714" i="1"/>
  <c r="R2713" i="1"/>
  <c r="Q2713" i="1"/>
  <c r="N2713" i="1"/>
  <c r="J2713" i="1"/>
  <c r="I2713" i="1"/>
  <c r="H2713" i="1"/>
  <c r="G2713" i="1"/>
  <c r="F2713" i="1"/>
  <c r="E2713" i="1"/>
  <c r="D2713" i="1"/>
  <c r="C2713" i="1"/>
  <c r="A2713" i="1"/>
  <c r="R2712" i="1"/>
  <c r="Q2712" i="1"/>
  <c r="N2712" i="1"/>
  <c r="J2712" i="1"/>
  <c r="I2712" i="1"/>
  <c r="H2712" i="1"/>
  <c r="G2712" i="1"/>
  <c r="F2712" i="1"/>
  <c r="E2712" i="1"/>
  <c r="D2712" i="1"/>
  <c r="C2712" i="1"/>
  <c r="A2712" i="1"/>
  <c r="R2711" i="1"/>
  <c r="Q2711" i="1"/>
  <c r="N2711" i="1"/>
  <c r="J2711" i="1"/>
  <c r="I2711" i="1"/>
  <c r="H2711" i="1"/>
  <c r="G2711" i="1"/>
  <c r="F2711" i="1"/>
  <c r="E2711" i="1"/>
  <c r="D2711" i="1"/>
  <c r="C2711" i="1"/>
  <c r="A2711" i="1"/>
  <c r="R2710" i="1"/>
  <c r="Q2710" i="1"/>
  <c r="N2710" i="1"/>
  <c r="J2710" i="1"/>
  <c r="I2710" i="1"/>
  <c r="H2710" i="1"/>
  <c r="G2710" i="1"/>
  <c r="F2710" i="1"/>
  <c r="E2710" i="1"/>
  <c r="D2710" i="1"/>
  <c r="C2710" i="1"/>
  <c r="A2710" i="1"/>
  <c r="R2709" i="1"/>
  <c r="Q2709" i="1"/>
  <c r="N2709" i="1"/>
  <c r="J2709" i="1"/>
  <c r="I2709" i="1"/>
  <c r="H2709" i="1"/>
  <c r="G2709" i="1"/>
  <c r="F2709" i="1"/>
  <c r="E2709" i="1"/>
  <c r="D2709" i="1"/>
  <c r="C2709" i="1"/>
  <c r="A2709" i="1"/>
  <c r="R2708" i="1"/>
  <c r="Q2708" i="1"/>
  <c r="N2708" i="1"/>
  <c r="J2708" i="1"/>
  <c r="I2708" i="1"/>
  <c r="H2708" i="1"/>
  <c r="G2708" i="1"/>
  <c r="F2708" i="1"/>
  <c r="E2708" i="1"/>
  <c r="D2708" i="1"/>
  <c r="C2708" i="1"/>
  <c r="A2708" i="1"/>
  <c r="R2707" i="1"/>
  <c r="Q2707" i="1"/>
  <c r="N2707" i="1"/>
  <c r="J2707" i="1"/>
  <c r="I2707" i="1"/>
  <c r="H2707" i="1"/>
  <c r="G2707" i="1"/>
  <c r="F2707" i="1"/>
  <c r="E2707" i="1"/>
  <c r="D2707" i="1"/>
  <c r="C2707" i="1"/>
  <c r="A2707" i="1"/>
  <c r="R2706" i="1"/>
  <c r="Q2706" i="1"/>
  <c r="N2706" i="1"/>
  <c r="J2706" i="1"/>
  <c r="I2706" i="1"/>
  <c r="H2706" i="1"/>
  <c r="G2706" i="1"/>
  <c r="F2706" i="1"/>
  <c r="E2706" i="1"/>
  <c r="D2706" i="1"/>
  <c r="C2706" i="1"/>
  <c r="A2706" i="1"/>
  <c r="R2705" i="1"/>
  <c r="Q2705" i="1"/>
  <c r="N2705" i="1"/>
  <c r="J2705" i="1"/>
  <c r="I2705" i="1"/>
  <c r="H2705" i="1"/>
  <c r="G2705" i="1"/>
  <c r="F2705" i="1"/>
  <c r="E2705" i="1"/>
  <c r="D2705" i="1"/>
  <c r="C2705" i="1"/>
  <c r="A2705" i="1"/>
  <c r="R2704" i="1"/>
  <c r="Q2704" i="1"/>
  <c r="N2704" i="1"/>
  <c r="J2704" i="1"/>
  <c r="I2704" i="1"/>
  <c r="H2704" i="1"/>
  <c r="G2704" i="1"/>
  <c r="F2704" i="1"/>
  <c r="E2704" i="1"/>
  <c r="D2704" i="1"/>
  <c r="C2704" i="1"/>
  <c r="A2704" i="1"/>
  <c r="R2703" i="1"/>
  <c r="Q2703" i="1"/>
  <c r="N2703" i="1"/>
  <c r="J2703" i="1"/>
  <c r="I2703" i="1"/>
  <c r="H2703" i="1"/>
  <c r="G2703" i="1"/>
  <c r="F2703" i="1"/>
  <c r="E2703" i="1"/>
  <c r="D2703" i="1"/>
  <c r="C2703" i="1"/>
  <c r="A2703" i="1"/>
  <c r="R2702" i="1"/>
  <c r="Q2702" i="1"/>
  <c r="N2702" i="1"/>
  <c r="J2702" i="1"/>
  <c r="I2702" i="1"/>
  <c r="H2702" i="1"/>
  <c r="G2702" i="1"/>
  <c r="F2702" i="1"/>
  <c r="E2702" i="1"/>
  <c r="D2702" i="1"/>
  <c r="C2702" i="1"/>
  <c r="A2702" i="1"/>
  <c r="R2701" i="1"/>
  <c r="Q2701" i="1"/>
  <c r="N2701" i="1"/>
  <c r="J2701" i="1"/>
  <c r="I2701" i="1"/>
  <c r="H2701" i="1"/>
  <c r="G2701" i="1"/>
  <c r="F2701" i="1"/>
  <c r="E2701" i="1"/>
  <c r="D2701" i="1"/>
  <c r="C2701" i="1"/>
  <c r="A2701" i="1"/>
  <c r="R2700" i="1"/>
  <c r="Q2700" i="1"/>
  <c r="N2700" i="1"/>
  <c r="J2700" i="1"/>
  <c r="I2700" i="1"/>
  <c r="H2700" i="1"/>
  <c r="G2700" i="1"/>
  <c r="F2700" i="1"/>
  <c r="E2700" i="1"/>
  <c r="D2700" i="1"/>
  <c r="C2700" i="1"/>
  <c r="A2700" i="1"/>
  <c r="R2699" i="1"/>
  <c r="Q2699" i="1"/>
  <c r="N2699" i="1"/>
  <c r="J2699" i="1"/>
  <c r="I2699" i="1"/>
  <c r="H2699" i="1"/>
  <c r="G2699" i="1"/>
  <c r="F2699" i="1"/>
  <c r="E2699" i="1"/>
  <c r="D2699" i="1"/>
  <c r="C2699" i="1"/>
  <c r="A2699" i="1"/>
  <c r="R2698" i="1"/>
  <c r="Q2698" i="1"/>
  <c r="N2698" i="1"/>
  <c r="J2698" i="1"/>
  <c r="I2698" i="1"/>
  <c r="H2698" i="1"/>
  <c r="G2698" i="1"/>
  <c r="F2698" i="1"/>
  <c r="E2698" i="1"/>
  <c r="D2698" i="1"/>
  <c r="C2698" i="1"/>
  <c r="A2698" i="1"/>
  <c r="R2697" i="1"/>
  <c r="Q2697" i="1"/>
  <c r="N2697" i="1"/>
  <c r="J2697" i="1"/>
  <c r="I2697" i="1"/>
  <c r="H2697" i="1"/>
  <c r="G2697" i="1"/>
  <c r="F2697" i="1"/>
  <c r="E2697" i="1"/>
  <c r="D2697" i="1"/>
  <c r="C2697" i="1"/>
  <c r="A2697" i="1"/>
  <c r="R2696" i="1"/>
  <c r="Q2696" i="1"/>
  <c r="N2696" i="1"/>
  <c r="J2696" i="1"/>
  <c r="I2696" i="1"/>
  <c r="H2696" i="1"/>
  <c r="G2696" i="1"/>
  <c r="F2696" i="1"/>
  <c r="E2696" i="1"/>
  <c r="D2696" i="1"/>
  <c r="C2696" i="1"/>
  <c r="A2696" i="1"/>
  <c r="R2695" i="1"/>
  <c r="Q2695" i="1"/>
  <c r="N2695" i="1"/>
  <c r="J2695" i="1"/>
  <c r="I2695" i="1"/>
  <c r="H2695" i="1"/>
  <c r="G2695" i="1"/>
  <c r="F2695" i="1"/>
  <c r="E2695" i="1"/>
  <c r="D2695" i="1"/>
  <c r="C2695" i="1"/>
  <c r="A2695" i="1"/>
  <c r="R2694" i="1"/>
  <c r="Q2694" i="1"/>
  <c r="N2694" i="1"/>
  <c r="J2694" i="1"/>
  <c r="I2694" i="1"/>
  <c r="H2694" i="1"/>
  <c r="G2694" i="1"/>
  <c r="F2694" i="1"/>
  <c r="E2694" i="1"/>
  <c r="D2694" i="1"/>
  <c r="C2694" i="1"/>
  <c r="A2694" i="1"/>
  <c r="R2693" i="1"/>
  <c r="Q2693" i="1"/>
  <c r="N2693" i="1"/>
  <c r="J2693" i="1"/>
  <c r="I2693" i="1"/>
  <c r="H2693" i="1"/>
  <c r="G2693" i="1"/>
  <c r="F2693" i="1"/>
  <c r="E2693" i="1"/>
  <c r="D2693" i="1"/>
  <c r="C2693" i="1"/>
  <c r="A2693" i="1"/>
  <c r="R2692" i="1"/>
  <c r="Q2692" i="1"/>
  <c r="N2692" i="1"/>
  <c r="J2692" i="1"/>
  <c r="I2692" i="1"/>
  <c r="H2692" i="1"/>
  <c r="G2692" i="1"/>
  <c r="F2692" i="1"/>
  <c r="E2692" i="1"/>
  <c r="D2692" i="1"/>
  <c r="C2692" i="1"/>
  <c r="A2692" i="1"/>
  <c r="R2691" i="1"/>
  <c r="Q2691" i="1"/>
  <c r="N2691" i="1"/>
  <c r="J2691" i="1"/>
  <c r="I2691" i="1"/>
  <c r="H2691" i="1"/>
  <c r="G2691" i="1"/>
  <c r="F2691" i="1"/>
  <c r="E2691" i="1"/>
  <c r="D2691" i="1"/>
  <c r="C2691" i="1"/>
  <c r="A2691" i="1"/>
  <c r="R2690" i="1"/>
  <c r="Q2690" i="1"/>
  <c r="N2690" i="1"/>
  <c r="J2690" i="1"/>
  <c r="I2690" i="1"/>
  <c r="H2690" i="1"/>
  <c r="G2690" i="1"/>
  <c r="F2690" i="1"/>
  <c r="E2690" i="1"/>
  <c r="D2690" i="1"/>
  <c r="C2690" i="1"/>
  <c r="A2690" i="1"/>
  <c r="R2689" i="1"/>
  <c r="Q2689" i="1"/>
  <c r="N2689" i="1"/>
  <c r="J2689" i="1"/>
  <c r="I2689" i="1"/>
  <c r="H2689" i="1"/>
  <c r="G2689" i="1"/>
  <c r="F2689" i="1"/>
  <c r="E2689" i="1"/>
  <c r="D2689" i="1"/>
  <c r="C2689" i="1"/>
  <c r="A2689" i="1"/>
  <c r="R2688" i="1"/>
  <c r="Q2688" i="1"/>
  <c r="N2688" i="1"/>
  <c r="J2688" i="1"/>
  <c r="I2688" i="1"/>
  <c r="H2688" i="1"/>
  <c r="G2688" i="1"/>
  <c r="F2688" i="1"/>
  <c r="E2688" i="1"/>
  <c r="D2688" i="1"/>
  <c r="C2688" i="1"/>
  <c r="A2688" i="1"/>
  <c r="R2687" i="1"/>
  <c r="Q2687" i="1"/>
  <c r="N2687" i="1"/>
  <c r="J2687" i="1"/>
  <c r="I2687" i="1"/>
  <c r="H2687" i="1"/>
  <c r="G2687" i="1"/>
  <c r="F2687" i="1"/>
  <c r="E2687" i="1"/>
  <c r="D2687" i="1"/>
  <c r="C2687" i="1"/>
  <c r="A2687" i="1"/>
  <c r="R2686" i="1"/>
  <c r="Q2686" i="1"/>
  <c r="N2686" i="1"/>
  <c r="J2686" i="1"/>
  <c r="I2686" i="1"/>
  <c r="H2686" i="1"/>
  <c r="G2686" i="1"/>
  <c r="F2686" i="1"/>
  <c r="E2686" i="1"/>
  <c r="D2686" i="1"/>
  <c r="C2686" i="1"/>
  <c r="A2686" i="1"/>
  <c r="R2685" i="1"/>
  <c r="Q2685" i="1"/>
  <c r="N2685" i="1"/>
  <c r="J2685" i="1"/>
  <c r="I2685" i="1"/>
  <c r="H2685" i="1"/>
  <c r="G2685" i="1"/>
  <c r="F2685" i="1"/>
  <c r="E2685" i="1"/>
  <c r="D2685" i="1"/>
  <c r="C2685" i="1"/>
  <c r="A2685" i="1"/>
  <c r="R2684" i="1"/>
  <c r="Q2684" i="1"/>
  <c r="N2684" i="1"/>
  <c r="J2684" i="1"/>
  <c r="I2684" i="1"/>
  <c r="H2684" i="1"/>
  <c r="G2684" i="1"/>
  <c r="F2684" i="1"/>
  <c r="E2684" i="1"/>
  <c r="D2684" i="1"/>
  <c r="C2684" i="1"/>
  <c r="A2684" i="1"/>
  <c r="R2683" i="1"/>
  <c r="Q2683" i="1"/>
  <c r="N2683" i="1"/>
  <c r="J2683" i="1"/>
  <c r="I2683" i="1"/>
  <c r="H2683" i="1"/>
  <c r="G2683" i="1"/>
  <c r="F2683" i="1"/>
  <c r="E2683" i="1"/>
  <c r="D2683" i="1"/>
  <c r="C2683" i="1"/>
  <c r="A2683" i="1"/>
  <c r="R2682" i="1"/>
  <c r="Q2682" i="1"/>
  <c r="N2682" i="1"/>
  <c r="J2682" i="1"/>
  <c r="I2682" i="1"/>
  <c r="H2682" i="1"/>
  <c r="G2682" i="1"/>
  <c r="F2682" i="1"/>
  <c r="E2682" i="1"/>
  <c r="D2682" i="1"/>
  <c r="C2682" i="1"/>
  <c r="A2682" i="1"/>
  <c r="R2681" i="1"/>
  <c r="Q2681" i="1"/>
  <c r="N2681" i="1"/>
  <c r="J2681" i="1"/>
  <c r="I2681" i="1"/>
  <c r="H2681" i="1"/>
  <c r="G2681" i="1"/>
  <c r="F2681" i="1"/>
  <c r="E2681" i="1"/>
  <c r="D2681" i="1"/>
  <c r="C2681" i="1"/>
  <c r="A2681" i="1"/>
  <c r="R2680" i="1"/>
  <c r="Q2680" i="1"/>
  <c r="N2680" i="1"/>
  <c r="J2680" i="1"/>
  <c r="I2680" i="1"/>
  <c r="H2680" i="1"/>
  <c r="G2680" i="1"/>
  <c r="F2680" i="1"/>
  <c r="E2680" i="1"/>
  <c r="D2680" i="1"/>
  <c r="C2680" i="1"/>
  <c r="A2680" i="1"/>
  <c r="R2679" i="1"/>
  <c r="Q2679" i="1"/>
  <c r="N2679" i="1"/>
  <c r="J2679" i="1"/>
  <c r="I2679" i="1"/>
  <c r="H2679" i="1"/>
  <c r="G2679" i="1"/>
  <c r="F2679" i="1"/>
  <c r="E2679" i="1"/>
  <c r="D2679" i="1"/>
  <c r="C2679" i="1"/>
  <c r="A2679" i="1"/>
  <c r="R2678" i="1"/>
  <c r="Q2678" i="1"/>
  <c r="N2678" i="1"/>
  <c r="J2678" i="1"/>
  <c r="I2678" i="1"/>
  <c r="H2678" i="1"/>
  <c r="G2678" i="1"/>
  <c r="F2678" i="1"/>
  <c r="E2678" i="1"/>
  <c r="D2678" i="1"/>
  <c r="C2678" i="1"/>
  <c r="A2678" i="1"/>
  <c r="R2677" i="1"/>
  <c r="Q2677" i="1"/>
  <c r="N2677" i="1"/>
  <c r="J2677" i="1"/>
  <c r="I2677" i="1"/>
  <c r="H2677" i="1"/>
  <c r="G2677" i="1"/>
  <c r="F2677" i="1"/>
  <c r="E2677" i="1"/>
  <c r="D2677" i="1"/>
  <c r="C2677" i="1"/>
  <c r="A2677" i="1"/>
  <c r="R2676" i="1"/>
  <c r="Q2676" i="1"/>
  <c r="N2676" i="1"/>
  <c r="J2676" i="1"/>
  <c r="I2676" i="1"/>
  <c r="H2676" i="1"/>
  <c r="G2676" i="1"/>
  <c r="F2676" i="1"/>
  <c r="E2676" i="1"/>
  <c r="D2676" i="1"/>
  <c r="C2676" i="1"/>
  <c r="A2676" i="1"/>
  <c r="R2675" i="1"/>
  <c r="Q2675" i="1"/>
  <c r="N2675" i="1"/>
  <c r="J2675" i="1"/>
  <c r="I2675" i="1"/>
  <c r="H2675" i="1"/>
  <c r="G2675" i="1"/>
  <c r="F2675" i="1"/>
  <c r="E2675" i="1"/>
  <c r="D2675" i="1"/>
  <c r="C2675" i="1"/>
  <c r="A2675" i="1"/>
  <c r="R2674" i="1"/>
  <c r="Q2674" i="1"/>
  <c r="N2674" i="1"/>
  <c r="J2674" i="1"/>
  <c r="I2674" i="1"/>
  <c r="H2674" i="1"/>
  <c r="G2674" i="1"/>
  <c r="F2674" i="1"/>
  <c r="E2674" i="1"/>
  <c r="D2674" i="1"/>
  <c r="C2674" i="1"/>
  <c r="A2674" i="1"/>
  <c r="R2673" i="1"/>
  <c r="Q2673" i="1"/>
  <c r="N2673" i="1"/>
  <c r="J2673" i="1"/>
  <c r="I2673" i="1"/>
  <c r="H2673" i="1"/>
  <c r="G2673" i="1"/>
  <c r="F2673" i="1"/>
  <c r="E2673" i="1"/>
  <c r="D2673" i="1"/>
  <c r="C2673" i="1"/>
  <c r="A2673" i="1"/>
  <c r="R2672" i="1"/>
  <c r="Q2672" i="1"/>
  <c r="N2672" i="1"/>
  <c r="J2672" i="1"/>
  <c r="I2672" i="1"/>
  <c r="H2672" i="1"/>
  <c r="G2672" i="1"/>
  <c r="F2672" i="1"/>
  <c r="E2672" i="1"/>
  <c r="D2672" i="1"/>
  <c r="C2672" i="1"/>
  <c r="A2672" i="1"/>
  <c r="R2671" i="1"/>
  <c r="Q2671" i="1"/>
  <c r="N2671" i="1"/>
  <c r="J2671" i="1"/>
  <c r="I2671" i="1"/>
  <c r="H2671" i="1"/>
  <c r="G2671" i="1"/>
  <c r="F2671" i="1"/>
  <c r="E2671" i="1"/>
  <c r="D2671" i="1"/>
  <c r="C2671" i="1"/>
  <c r="A2671" i="1"/>
  <c r="R2670" i="1"/>
  <c r="N2670" i="1"/>
  <c r="J2670" i="1"/>
  <c r="I2670" i="1"/>
  <c r="H2670" i="1"/>
  <c r="G2670" i="1"/>
  <c r="F2670" i="1"/>
  <c r="E2670" i="1"/>
  <c r="D2670" i="1"/>
  <c r="C2670" i="1"/>
  <c r="A2670" i="1"/>
  <c r="R2669" i="1"/>
  <c r="Q2669" i="1"/>
  <c r="N2669" i="1"/>
  <c r="J2669" i="1"/>
  <c r="I2669" i="1"/>
  <c r="H2669" i="1"/>
  <c r="G2669" i="1"/>
  <c r="F2669" i="1"/>
  <c r="E2669" i="1"/>
  <c r="D2669" i="1"/>
  <c r="C2669" i="1"/>
  <c r="A2669" i="1"/>
  <c r="R2668" i="1"/>
  <c r="Q2668" i="1"/>
  <c r="N2668" i="1"/>
  <c r="J2668" i="1"/>
  <c r="I2668" i="1"/>
  <c r="H2668" i="1"/>
  <c r="G2668" i="1"/>
  <c r="F2668" i="1"/>
  <c r="E2668" i="1"/>
  <c r="D2668" i="1"/>
  <c r="C2668" i="1"/>
  <c r="A2668" i="1"/>
  <c r="R2667" i="1"/>
  <c r="Q2667" i="1"/>
  <c r="N2667" i="1"/>
  <c r="J2667" i="1"/>
  <c r="I2667" i="1"/>
  <c r="H2667" i="1"/>
  <c r="G2667" i="1"/>
  <c r="F2667" i="1"/>
  <c r="E2667" i="1"/>
  <c r="D2667" i="1"/>
  <c r="C2667" i="1"/>
  <c r="A2667" i="1"/>
  <c r="R2666" i="1"/>
  <c r="Q2666" i="1"/>
  <c r="N2666" i="1"/>
  <c r="J2666" i="1"/>
  <c r="I2666" i="1"/>
  <c r="H2666" i="1"/>
  <c r="G2666" i="1"/>
  <c r="F2666" i="1"/>
  <c r="E2666" i="1"/>
  <c r="D2666" i="1"/>
  <c r="C2666" i="1"/>
  <c r="A2666" i="1"/>
  <c r="R2665" i="1"/>
  <c r="Q2665" i="1"/>
  <c r="N2665" i="1"/>
  <c r="J2665" i="1"/>
  <c r="I2665" i="1"/>
  <c r="H2665" i="1"/>
  <c r="G2665" i="1"/>
  <c r="F2665" i="1"/>
  <c r="E2665" i="1"/>
  <c r="D2665" i="1"/>
  <c r="C2665" i="1"/>
  <c r="A2665" i="1"/>
  <c r="R2664" i="1"/>
  <c r="Q2664" i="1"/>
  <c r="N2664" i="1"/>
  <c r="J2664" i="1"/>
  <c r="I2664" i="1"/>
  <c r="H2664" i="1"/>
  <c r="G2664" i="1"/>
  <c r="F2664" i="1"/>
  <c r="E2664" i="1"/>
  <c r="D2664" i="1"/>
  <c r="C2664" i="1"/>
  <c r="A2664" i="1"/>
  <c r="R2663" i="1"/>
  <c r="Q2663" i="1"/>
  <c r="N2663" i="1"/>
  <c r="J2663" i="1"/>
  <c r="I2663" i="1"/>
  <c r="H2663" i="1"/>
  <c r="G2663" i="1"/>
  <c r="F2663" i="1"/>
  <c r="E2663" i="1"/>
  <c r="D2663" i="1"/>
  <c r="C2663" i="1"/>
  <c r="A2663" i="1"/>
  <c r="R2662" i="1"/>
  <c r="Q2662" i="1"/>
  <c r="N2662" i="1"/>
  <c r="J2662" i="1"/>
  <c r="I2662" i="1"/>
  <c r="H2662" i="1"/>
  <c r="G2662" i="1"/>
  <c r="F2662" i="1"/>
  <c r="E2662" i="1"/>
  <c r="D2662" i="1"/>
  <c r="C2662" i="1"/>
  <c r="A2662" i="1"/>
  <c r="R2661" i="1"/>
  <c r="Q2661" i="1"/>
  <c r="N2661" i="1"/>
  <c r="J2661" i="1"/>
  <c r="I2661" i="1"/>
  <c r="H2661" i="1"/>
  <c r="G2661" i="1"/>
  <c r="F2661" i="1"/>
  <c r="E2661" i="1"/>
  <c r="D2661" i="1"/>
  <c r="C2661" i="1"/>
  <c r="A2661" i="1"/>
  <c r="R2660" i="1"/>
  <c r="Q2660" i="1"/>
  <c r="N2660" i="1"/>
  <c r="J2660" i="1"/>
  <c r="I2660" i="1"/>
  <c r="H2660" i="1"/>
  <c r="G2660" i="1"/>
  <c r="F2660" i="1"/>
  <c r="E2660" i="1"/>
  <c r="D2660" i="1"/>
  <c r="C2660" i="1"/>
  <c r="A2660" i="1"/>
  <c r="R2659" i="1"/>
  <c r="Q2659" i="1"/>
  <c r="N2659" i="1"/>
  <c r="J2659" i="1"/>
  <c r="I2659" i="1"/>
  <c r="H2659" i="1"/>
  <c r="G2659" i="1"/>
  <c r="F2659" i="1"/>
  <c r="E2659" i="1"/>
  <c r="D2659" i="1"/>
  <c r="C2659" i="1"/>
  <c r="A2659" i="1"/>
  <c r="R2658" i="1"/>
  <c r="N2658" i="1"/>
  <c r="J2658" i="1"/>
  <c r="I2658" i="1"/>
  <c r="H2658" i="1"/>
  <c r="G2658" i="1"/>
  <c r="F2658" i="1"/>
  <c r="E2658" i="1"/>
  <c r="D2658" i="1"/>
  <c r="C2658" i="1"/>
  <c r="A2658" i="1"/>
  <c r="R2657" i="1"/>
  <c r="Q2657" i="1"/>
  <c r="N2657" i="1"/>
  <c r="J2657" i="1"/>
  <c r="I2657" i="1"/>
  <c r="H2657" i="1"/>
  <c r="G2657" i="1"/>
  <c r="F2657" i="1"/>
  <c r="E2657" i="1"/>
  <c r="D2657" i="1"/>
  <c r="C2657" i="1"/>
  <c r="A2657" i="1"/>
  <c r="R2656" i="1"/>
  <c r="Q2656" i="1"/>
  <c r="N2656" i="1"/>
  <c r="J2656" i="1"/>
  <c r="I2656" i="1"/>
  <c r="H2656" i="1"/>
  <c r="G2656" i="1"/>
  <c r="F2656" i="1"/>
  <c r="E2656" i="1"/>
  <c r="D2656" i="1"/>
  <c r="C2656" i="1"/>
  <c r="A2656" i="1"/>
  <c r="R2655" i="1"/>
  <c r="Q2655" i="1"/>
  <c r="N2655" i="1"/>
  <c r="J2655" i="1"/>
  <c r="I2655" i="1"/>
  <c r="H2655" i="1"/>
  <c r="G2655" i="1"/>
  <c r="F2655" i="1"/>
  <c r="E2655" i="1"/>
  <c r="D2655" i="1"/>
  <c r="C2655" i="1"/>
  <c r="A2655" i="1"/>
  <c r="R2654" i="1"/>
  <c r="Q2654" i="1"/>
  <c r="N2654" i="1"/>
  <c r="J2654" i="1"/>
  <c r="I2654" i="1"/>
  <c r="H2654" i="1"/>
  <c r="G2654" i="1"/>
  <c r="F2654" i="1"/>
  <c r="E2654" i="1"/>
  <c r="D2654" i="1"/>
  <c r="C2654" i="1"/>
  <c r="A2654" i="1"/>
  <c r="R2653" i="1"/>
  <c r="Q2653" i="1"/>
  <c r="N2653" i="1"/>
  <c r="J2653" i="1"/>
  <c r="I2653" i="1"/>
  <c r="H2653" i="1"/>
  <c r="G2653" i="1"/>
  <c r="F2653" i="1"/>
  <c r="E2653" i="1"/>
  <c r="D2653" i="1"/>
  <c r="C2653" i="1"/>
  <c r="A2653" i="1"/>
  <c r="R2652" i="1"/>
  <c r="Q2652" i="1"/>
  <c r="N2652" i="1"/>
  <c r="J2652" i="1"/>
  <c r="I2652" i="1"/>
  <c r="H2652" i="1"/>
  <c r="G2652" i="1"/>
  <c r="F2652" i="1"/>
  <c r="E2652" i="1"/>
  <c r="D2652" i="1"/>
  <c r="C2652" i="1"/>
  <c r="A2652" i="1"/>
  <c r="R2651" i="1"/>
  <c r="Q2651" i="1"/>
  <c r="N2651" i="1"/>
  <c r="J2651" i="1"/>
  <c r="I2651" i="1"/>
  <c r="H2651" i="1"/>
  <c r="G2651" i="1"/>
  <c r="F2651" i="1"/>
  <c r="E2651" i="1"/>
  <c r="D2651" i="1"/>
  <c r="C2651" i="1"/>
  <c r="A2651" i="1"/>
  <c r="R2650" i="1"/>
  <c r="Q2650" i="1"/>
  <c r="N2650" i="1"/>
  <c r="J2650" i="1"/>
  <c r="I2650" i="1"/>
  <c r="H2650" i="1"/>
  <c r="G2650" i="1"/>
  <c r="F2650" i="1"/>
  <c r="E2650" i="1"/>
  <c r="D2650" i="1"/>
  <c r="C2650" i="1"/>
  <c r="A2650" i="1"/>
  <c r="R2649" i="1"/>
  <c r="N2649" i="1"/>
  <c r="J2649" i="1"/>
  <c r="I2649" i="1"/>
  <c r="H2649" i="1"/>
  <c r="G2649" i="1"/>
  <c r="F2649" i="1"/>
  <c r="E2649" i="1"/>
  <c r="D2649" i="1"/>
  <c r="C2649" i="1"/>
  <c r="B2649" i="1"/>
  <c r="A2649" i="1"/>
  <c r="R2648" i="1"/>
  <c r="Q2648" i="1"/>
  <c r="N2648" i="1"/>
  <c r="J2648" i="1"/>
  <c r="I2648" i="1"/>
  <c r="H2648" i="1"/>
  <c r="G2648" i="1"/>
  <c r="F2648" i="1"/>
  <c r="E2648" i="1"/>
  <c r="D2648" i="1"/>
  <c r="C2648" i="1"/>
  <c r="B2648" i="1"/>
  <c r="A2648" i="1"/>
  <c r="R2647" i="1"/>
  <c r="N2647" i="1"/>
  <c r="J2647" i="1"/>
  <c r="I2647" i="1"/>
  <c r="H2647" i="1"/>
  <c r="G2647" i="1"/>
  <c r="F2647" i="1"/>
  <c r="E2647" i="1"/>
  <c r="D2647" i="1"/>
  <c r="C2647" i="1"/>
  <c r="B2647" i="1"/>
  <c r="A2647" i="1"/>
  <c r="R2646" i="1"/>
  <c r="Q2646" i="1"/>
  <c r="N2646" i="1"/>
  <c r="J2646" i="1"/>
  <c r="I2646" i="1"/>
  <c r="H2646" i="1"/>
  <c r="G2646" i="1"/>
  <c r="F2646" i="1"/>
  <c r="E2646" i="1"/>
  <c r="D2646" i="1"/>
  <c r="C2646" i="1"/>
  <c r="B2646" i="1"/>
  <c r="A2646" i="1"/>
  <c r="R2645" i="1"/>
  <c r="N2645" i="1"/>
  <c r="J2645" i="1"/>
  <c r="I2645" i="1"/>
  <c r="H2645" i="1"/>
  <c r="G2645" i="1"/>
  <c r="F2645" i="1"/>
  <c r="E2645" i="1"/>
  <c r="D2645" i="1"/>
  <c r="C2645" i="1"/>
  <c r="B2645" i="1"/>
  <c r="A2645" i="1"/>
  <c r="R2644" i="1"/>
  <c r="N2644" i="1"/>
  <c r="J2644" i="1"/>
  <c r="I2644" i="1"/>
  <c r="H2644" i="1"/>
  <c r="G2644" i="1"/>
  <c r="F2644" i="1"/>
  <c r="E2644" i="1"/>
  <c r="D2644" i="1"/>
  <c r="C2644" i="1"/>
  <c r="B2644" i="1"/>
  <c r="A2644" i="1"/>
  <c r="R2643" i="1"/>
  <c r="N2643" i="1"/>
  <c r="J2643" i="1"/>
  <c r="I2643" i="1"/>
  <c r="H2643" i="1"/>
  <c r="G2643" i="1"/>
  <c r="F2643" i="1"/>
  <c r="E2643" i="1"/>
  <c r="D2643" i="1"/>
  <c r="C2643" i="1"/>
  <c r="B2643" i="1"/>
  <c r="A2643" i="1"/>
  <c r="R2642" i="1"/>
  <c r="Q2642" i="1"/>
  <c r="N2642" i="1"/>
  <c r="J2642" i="1"/>
  <c r="I2642" i="1"/>
  <c r="H2642" i="1"/>
  <c r="G2642" i="1"/>
  <c r="F2642" i="1"/>
  <c r="E2642" i="1"/>
  <c r="D2642" i="1"/>
  <c r="C2642" i="1"/>
  <c r="A2642" i="1"/>
  <c r="R2641" i="1"/>
  <c r="N2641" i="1"/>
  <c r="J2641" i="1"/>
  <c r="I2641" i="1"/>
  <c r="H2641" i="1"/>
  <c r="G2641" i="1"/>
  <c r="F2641" i="1"/>
  <c r="E2641" i="1"/>
  <c r="D2641" i="1"/>
  <c r="C2641" i="1"/>
  <c r="A2641" i="1"/>
  <c r="R2640" i="1"/>
  <c r="Q2640" i="1"/>
  <c r="N2640" i="1"/>
  <c r="J2640" i="1"/>
  <c r="I2640" i="1"/>
  <c r="H2640" i="1"/>
  <c r="G2640" i="1"/>
  <c r="F2640" i="1"/>
  <c r="E2640" i="1"/>
  <c r="D2640" i="1"/>
  <c r="C2640" i="1"/>
  <c r="A2640" i="1"/>
  <c r="R2639" i="1"/>
  <c r="N2639" i="1"/>
  <c r="J2639" i="1"/>
  <c r="I2639" i="1"/>
  <c r="H2639" i="1"/>
  <c r="G2639" i="1"/>
  <c r="F2639" i="1"/>
  <c r="E2639" i="1"/>
  <c r="D2639" i="1"/>
  <c r="C2639" i="1"/>
  <c r="B2639" i="1"/>
  <c r="A2639" i="1"/>
  <c r="R2638" i="1"/>
  <c r="N2638" i="1"/>
  <c r="J2638" i="1"/>
  <c r="I2638" i="1"/>
  <c r="H2638" i="1"/>
  <c r="G2638" i="1"/>
  <c r="F2638" i="1"/>
  <c r="E2638" i="1"/>
  <c r="D2638" i="1"/>
  <c r="C2638" i="1"/>
  <c r="B2638" i="1"/>
  <c r="A2638" i="1"/>
  <c r="R2637" i="1"/>
  <c r="Q2637" i="1"/>
  <c r="N2637" i="1"/>
  <c r="J2637" i="1"/>
  <c r="I2637" i="1"/>
  <c r="H2637" i="1"/>
  <c r="G2637" i="1"/>
  <c r="F2637" i="1"/>
  <c r="E2637" i="1"/>
  <c r="D2637" i="1"/>
  <c r="C2637" i="1"/>
  <c r="A2637" i="1"/>
  <c r="R2636" i="1"/>
  <c r="N2636" i="1"/>
  <c r="J2636" i="1"/>
  <c r="I2636" i="1"/>
  <c r="H2636" i="1"/>
  <c r="G2636" i="1"/>
  <c r="F2636" i="1"/>
  <c r="E2636" i="1"/>
  <c r="D2636" i="1"/>
  <c r="C2636" i="1"/>
  <c r="B2636" i="1"/>
  <c r="A2636" i="1"/>
  <c r="R2635" i="1"/>
  <c r="N2635" i="1"/>
  <c r="J2635" i="1"/>
  <c r="I2635" i="1"/>
  <c r="H2635" i="1"/>
  <c r="G2635" i="1"/>
  <c r="F2635" i="1"/>
  <c r="E2635" i="1"/>
  <c r="D2635" i="1"/>
  <c r="C2635" i="1"/>
  <c r="B2635" i="1"/>
  <c r="A2635" i="1"/>
  <c r="R2634" i="1"/>
  <c r="N2634" i="1"/>
  <c r="J2634" i="1"/>
  <c r="I2634" i="1"/>
  <c r="H2634" i="1"/>
  <c r="G2634" i="1"/>
  <c r="F2634" i="1"/>
  <c r="E2634" i="1"/>
  <c r="D2634" i="1"/>
  <c r="C2634" i="1"/>
  <c r="B2634" i="1"/>
  <c r="A2634" i="1"/>
  <c r="R2633" i="1"/>
  <c r="N2633" i="1"/>
  <c r="J2633" i="1"/>
  <c r="I2633" i="1"/>
  <c r="H2633" i="1"/>
  <c r="G2633" i="1"/>
  <c r="F2633" i="1"/>
  <c r="E2633" i="1"/>
  <c r="D2633" i="1"/>
  <c r="C2633" i="1"/>
  <c r="B2633" i="1"/>
  <c r="A2633" i="1"/>
  <c r="R2632" i="1"/>
  <c r="N2632" i="1"/>
  <c r="J2632" i="1"/>
  <c r="I2632" i="1"/>
  <c r="H2632" i="1"/>
  <c r="G2632" i="1"/>
  <c r="F2632" i="1"/>
  <c r="E2632" i="1"/>
  <c r="D2632" i="1"/>
  <c r="C2632" i="1"/>
  <c r="B2632" i="1"/>
  <c r="A2632" i="1"/>
  <c r="R2631" i="1"/>
  <c r="N2631" i="1"/>
  <c r="J2631" i="1"/>
  <c r="I2631" i="1"/>
  <c r="H2631" i="1"/>
  <c r="G2631" i="1"/>
  <c r="F2631" i="1"/>
  <c r="E2631" i="1"/>
  <c r="D2631" i="1"/>
  <c r="C2631" i="1"/>
  <c r="B2631" i="1"/>
  <c r="A2631" i="1"/>
  <c r="R2630" i="1"/>
  <c r="N2630" i="1"/>
  <c r="J2630" i="1"/>
  <c r="I2630" i="1"/>
  <c r="H2630" i="1"/>
  <c r="G2630" i="1"/>
  <c r="F2630" i="1"/>
  <c r="E2630" i="1"/>
  <c r="D2630" i="1"/>
  <c r="C2630" i="1"/>
  <c r="B2630" i="1"/>
  <c r="A2630" i="1"/>
  <c r="R2629" i="1"/>
  <c r="N2629" i="1"/>
  <c r="J2629" i="1"/>
  <c r="I2629" i="1"/>
  <c r="H2629" i="1"/>
  <c r="G2629" i="1"/>
  <c r="F2629" i="1"/>
  <c r="E2629" i="1"/>
  <c r="D2629" i="1"/>
  <c r="C2629" i="1"/>
  <c r="B2629" i="1"/>
  <c r="A2629" i="1"/>
  <c r="R2628" i="1"/>
  <c r="N2628" i="1"/>
  <c r="J2628" i="1"/>
  <c r="I2628" i="1"/>
  <c r="H2628" i="1"/>
  <c r="G2628" i="1"/>
  <c r="F2628" i="1"/>
  <c r="E2628" i="1"/>
  <c r="D2628" i="1"/>
  <c r="C2628" i="1"/>
  <c r="B2628" i="1"/>
  <c r="A2628" i="1"/>
  <c r="R2627" i="1"/>
  <c r="N2627" i="1"/>
  <c r="J2627" i="1"/>
  <c r="I2627" i="1"/>
  <c r="H2627" i="1"/>
  <c r="G2627" i="1"/>
  <c r="F2627" i="1"/>
  <c r="E2627" i="1"/>
  <c r="D2627" i="1"/>
  <c r="C2627" i="1"/>
  <c r="B2627" i="1"/>
  <c r="A2627" i="1"/>
  <c r="R2626" i="1"/>
  <c r="N2626" i="1"/>
  <c r="J2626" i="1"/>
  <c r="I2626" i="1"/>
  <c r="H2626" i="1"/>
  <c r="G2626" i="1"/>
  <c r="F2626" i="1"/>
  <c r="E2626" i="1"/>
  <c r="D2626" i="1"/>
  <c r="C2626" i="1"/>
  <c r="B2626" i="1"/>
  <c r="A2626" i="1"/>
  <c r="R2625" i="1"/>
  <c r="N2625" i="1"/>
  <c r="J2625" i="1"/>
  <c r="I2625" i="1"/>
  <c r="H2625" i="1"/>
  <c r="G2625" i="1"/>
  <c r="F2625" i="1"/>
  <c r="E2625" i="1"/>
  <c r="D2625" i="1"/>
  <c r="C2625" i="1"/>
  <c r="B2625" i="1"/>
  <c r="A2625" i="1"/>
  <c r="R2624" i="1"/>
  <c r="N2624" i="1"/>
  <c r="J2624" i="1"/>
  <c r="I2624" i="1"/>
  <c r="H2624" i="1"/>
  <c r="G2624" i="1"/>
  <c r="F2624" i="1"/>
  <c r="E2624" i="1"/>
  <c r="D2624" i="1"/>
  <c r="C2624" i="1"/>
  <c r="B2624" i="1"/>
  <c r="A2624" i="1"/>
  <c r="R2623" i="1"/>
  <c r="N2623" i="1"/>
  <c r="J2623" i="1"/>
  <c r="I2623" i="1"/>
  <c r="H2623" i="1"/>
  <c r="G2623" i="1"/>
  <c r="F2623" i="1"/>
  <c r="E2623" i="1"/>
  <c r="D2623" i="1"/>
  <c r="C2623" i="1"/>
  <c r="B2623" i="1"/>
  <c r="A2623" i="1"/>
  <c r="R2622" i="1"/>
  <c r="Q2622" i="1"/>
  <c r="N2622" i="1"/>
  <c r="J2622" i="1"/>
  <c r="I2622" i="1"/>
  <c r="H2622" i="1"/>
  <c r="G2622" i="1"/>
  <c r="F2622" i="1"/>
  <c r="E2622" i="1"/>
  <c r="D2622" i="1"/>
  <c r="C2622" i="1"/>
  <c r="B2622" i="1"/>
  <c r="A2622" i="1"/>
  <c r="R2621" i="1"/>
  <c r="N2621" i="1"/>
  <c r="J2621" i="1"/>
  <c r="I2621" i="1"/>
  <c r="H2621" i="1"/>
  <c r="G2621" i="1"/>
  <c r="F2621" i="1"/>
  <c r="E2621" i="1"/>
  <c r="D2621" i="1"/>
  <c r="C2621" i="1"/>
  <c r="B2621" i="1"/>
  <c r="A2621" i="1"/>
  <c r="R2620" i="1"/>
  <c r="Q2620" i="1"/>
  <c r="N2620" i="1"/>
  <c r="J2620" i="1"/>
  <c r="I2620" i="1"/>
  <c r="H2620" i="1"/>
  <c r="G2620" i="1"/>
  <c r="F2620" i="1"/>
  <c r="E2620" i="1"/>
  <c r="D2620" i="1"/>
  <c r="C2620" i="1"/>
  <c r="A2620" i="1"/>
  <c r="R2619" i="1"/>
  <c r="N2619" i="1"/>
  <c r="J2619" i="1"/>
  <c r="I2619" i="1"/>
  <c r="H2619" i="1"/>
  <c r="G2619" i="1"/>
  <c r="F2619" i="1"/>
  <c r="E2619" i="1"/>
  <c r="D2619" i="1"/>
  <c r="C2619" i="1"/>
  <c r="A2619" i="1"/>
  <c r="R2618" i="1"/>
  <c r="Q2618" i="1"/>
  <c r="N2618" i="1"/>
  <c r="J2618" i="1"/>
  <c r="I2618" i="1"/>
  <c r="H2618" i="1"/>
  <c r="G2618" i="1"/>
  <c r="F2618" i="1"/>
  <c r="E2618" i="1"/>
  <c r="D2618" i="1"/>
  <c r="C2618" i="1"/>
  <c r="A2618" i="1"/>
  <c r="R2617" i="1"/>
  <c r="N2617" i="1"/>
  <c r="J2617" i="1"/>
  <c r="I2617" i="1"/>
  <c r="H2617" i="1"/>
  <c r="G2617" i="1"/>
  <c r="F2617" i="1"/>
  <c r="E2617" i="1"/>
  <c r="D2617" i="1"/>
  <c r="C2617" i="1"/>
  <c r="A2617" i="1"/>
  <c r="R2616" i="1"/>
  <c r="Q2616" i="1"/>
  <c r="N2616" i="1"/>
  <c r="J2616" i="1"/>
  <c r="I2616" i="1"/>
  <c r="H2616" i="1"/>
  <c r="G2616" i="1"/>
  <c r="F2616" i="1"/>
  <c r="E2616" i="1"/>
  <c r="D2616" i="1"/>
  <c r="C2616" i="1"/>
  <c r="A2616" i="1"/>
  <c r="R2615" i="1"/>
  <c r="N2615" i="1"/>
  <c r="J2615" i="1"/>
  <c r="I2615" i="1"/>
  <c r="H2615" i="1"/>
  <c r="G2615" i="1"/>
  <c r="F2615" i="1"/>
  <c r="E2615" i="1"/>
  <c r="D2615" i="1"/>
  <c r="C2615" i="1"/>
  <c r="A2615" i="1"/>
  <c r="R2614" i="1"/>
  <c r="Q2614" i="1"/>
  <c r="N2614" i="1"/>
  <c r="J2614" i="1"/>
  <c r="I2614" i="1"/>
  <c r="H2614" i="1"/>
  <c r="G2614" i="1"/>
  <c r="F2614" i="1"/>
  <c r="E2614" i="1"/>
  <c r="D2614" i="1"/>
  <c r="C2614" i="1"/>
  <c r="A2614" i="1"/>
  <c r="R2613" i="1"/>
  <c r="N2613" i="1"/>
  <c r="J2613" i="1"/>
  <c r="I2613" i="1"/>
  <c r="H2613" i="1"/>
  <c r="G2613" i="1"/>
  <c r="F2613" i="1"/>
  <c r="E2613" i="1"/>
  <c r="D2613" i="1"/>
  <c r="C2613" i="1"/>
  <c r="A2613" i="1"/>
  <c r="R2612" i="1"/>
  <c r="Q2612" i="1"/>
  <c r="N2612" i="1"/>
  <c r="J2612" i="1"/>
  <c r="I2612" i="1"/>
  <c r="H2612" i="1"/>
  <c r="G2612" i="1"/>
  <c r="F2612" i="1"/>
  <c r="E2612" i="1"/>
  <c r="D2612" i="1"/>
  <c r="C2612" i="1"/>
  <c r="A2612" i="1"/>
  <c r="R2611" i="1"/>
  <c r="N2611" i="1"/>
  <c r="J2611" i="1"/>
  <c r="I2611" i="1"/>
  <c r="H2611" i="1"/>
  <c r="G2611" i="1"/>
  <c r="F2611" i="1"/>
  <c r="E2611" i="1"/>
  <c r="D2611" i="1"/>
  <c r="C2611" i="1"/>
  <c r="A2611" i="1"/>
  <c r="R2610" i="1"/>
  <c r="Q2610" i="1"/>
  <c r="N2610" i="1"/>
  <c r="J2610" i="1"/>
  <c r="I2610" i="1"/>
  <c r="H2610" i="1"/>
  <c r="G2610" i="1"/>
  <c r="F2610" i="1"/>
  <c r="E2610" i="1"/>
  <c r="D2610" i="1"/>
  <c r="C2610" i="1"/>
  <c r="A2610" i="1"/>
  <c r="R2609" i="1"/>
  <c r="N2609" i="1"/>
  <c r="J2609" i="1"/>
  <c r="I2609" i="1"/>
  <c r="H2609" i="1"/>
  <c r="G2609" i="1"/>
  <c r="F2609" i="1"/>
  <c r="E2609" i="1"/>
  <c r="D2609" i="1"/>
  <c r="C2609" i="1"/>
  <c r="A2609" i="1"/>
  <c r="R2608" i="1"/>
  <c r="Q2608" i="1"/>
  <c r="N2608" i="1"/>
  <c r="J2608" i="1"/>
  <c r="I2608" i="1"/>
  <c r="H2608" i="1"/>
  <c r="G2608" i="1"/>
  <c r="F2608" i="1"/>
  <c r="E2608" i="1"/>
  <c r="D2608" i="1"/>
  <c r="C2608" i="1"/>
  <c r="A2608" i="1"/>
  <c r="R2607" i="1"/>
  <c r="N2607" i="1"/>
  <c r="J2607" i="1"/>
  <c r="I2607" i="1"/>
  <c r="H2607" i="1"/>
  <c r="G2607" i="1"/>
  <c r="F2607" i="1"/>
  <c r="E2607" i="1"/>
  <c r="D2607" i="1"/>
  <c r="C2607" i="1"/>
  <c r="A2607" i="1"/>
  <c r="R2606" i="1"/>
  <c r="Q2606" i="1"/>
  <c r="N2606" i="1"/>
  <c r="J2606" i="1"/>
  <c r="I2606" i="1"/>
  <c r="H2606" i="1"/>
  <c r="G2606" i="1"/>
  <c r="F2606" i="1"/>
  <c r="E2606" i="1"/>
  <c r="D2606" i="1"/>
  <c r="C2606" i="1"/>
  <c r="A2606" i="1"/>
  <c r="R2605" i="1"/>
  <c r="N2605" i="1"/>
  <c r="J2605" i="1"/>
  <c r="I2605" i="1"/>
  <c r="H2605" i="1"/>
  <c r="G2605" i="1"/>
  <c r="F2605" i="1"/>
  <c r="E2605" i="1"/>
  <c r="D2605" i="1"/>
  <c r="C2605" i="1"/>
  <c r="A2605" i="1"/>
  <c r="R2604" i="1"/>
  <c r="Q2604" i="1"/>
  <c r="N2604" i="1"/>
  <c r="J2604" i="1"/>
  <c r="I2604" i="1"/>
  <c r="H2604" i="1"/>
  <c r="G2604" i="1"/>
  <c r="F2604" i="1"/>
  <c r="E2604" i="1"/>
  <c r="D2604" i="1"/>
  <c r="C2604" i="1"/>
  <c r="A2604" i="1"/>
  <c r="R2603" i="1"/>
  <c r="N2603" i="1"/>
  <c r="J2603" i="1"/>
  <c r="I2603" i="1"/>
  <c r="H2603" i="1"/>
  <c r="G2603" i="1"/>
  <c r="F2603" i="1"/>
  <c r="E2603" i="1"/>
  <c r="D2603" i="1"/>
  <c r="C2603" i="1"/>
  <c r="A2603" i="1"/>
  <c r="R2602" i="1"/>
  <c r="Q2602" i="1"/>
  <c r="N2602" i="1"/>
  <c r="J2602" i="1"/>
  <c r="I2602" i="1"/>
  <c r="H2602" i="1"/>
  <c r="G2602" i="1"/>
  <c r="F2602" i="1"/>
  <c r="E2602" i="1"/>
  <c r="D2602" i="1"/>
  <c r="C2602" i="1"/>
  <c r="A2602" i="1"/>
  <c r="R2601" i="1"/>
  <c r="N2601" i="1"/>
  <c r="J2601" i="1"/>
  <c r="I2601" i="1"/>
  <c r="H2601" i="1"/>
  <c r="G2601" i="1"/>
  <c r="F2601" i="1"/>
  <c r="E2601" i="1"/>
  <c r="D2601" i="1"/>
  <c r="C2601" i="1"/>
  <c r="A2601" i="1"/>
  <c r="R2600" i="1"/>
  <c r="Q2600" i="1"/>
  <c r="N2600" i="1"/>
  <c r="J2600" i="1"/>
  <c r="I2600" i="1"/>
  <c r="H2600" i="1"/>
  <c r="G2600" i="1"/>
  <c r="F2600" i="1"/>
  <c r="E2600" i="1"/>
  <c r="D2600" i="1"/>
  <c r="C2600" i="1"/>
  <c r="A2600" i="1"/>
  <c r="R2599" i="1"/>
  <c r="N2599" i="1"/>
  <c r="J2599" i="1"/>
  <c r="I2599" i="1"/>
  <c r="H2599" i="1"/>
  <c r="G2599" i="1"/>
  <c r="F2599" i="1"/>
  <c r="E2599" i="1"/>
  <c r="D2599" i="1"/>
  <c r="C2599" i="1"/>
  <c r="A2599" i="1"/>
  <c r="R2598" i="1"/>
  <c r="Q2598" i="1"/>
  <c r="N2598" i="1"/>
  <c r="J2598" i="1"/>
  <c r="I2598" i="1"/>
  <c r="H2598" i="1"/>
  <c r="G2598" i="1"/>
  <c r="F2598" i="1"/>
  <c r="E2598" i="1"/>
  <c r="D2598" i="1"/>
  <c r="C2598" i="1"/>
  <c r="A2598" i="1"/>
  <c r="R2597" i="1"/>
  <c r="Q2597" i="1"/>
  <c r="N2597" i="1"/>
  <c r="J2597" i="1"/>
  <c r="I2597" i="1"/>
  <c r="H2597" i="1"/>
  <c r="G2597" i="1"/>
  <c r="F2597" i="1"/>
  <c r="E2597" i="1"/>
  <c r="D2597" i="1"/>
  <c r="C2597" i="1"/>
  <c r="A2597" i="1"/>
  <c r="R2596" i="1"/>
  <c r="N2596" i="1"/>
  <c r="J2596" i="1"/>
  <c r="I2596" i="1"/>
  <c r="H2596" i="1"/>
  <c r="G2596" i="1"/>
  <c r="F2596" i="1"/>
  <c r="E2596" i="1"/>
  <c r="D2596" i="1"/>
  <c r="C2596" i="1"/>
  <c r="A2596" i="1"/>
  <c r="R2595" i="1"/>
  <c r="Q2595" i="1"/>
  <c r="N2595" i="1"/>
  <c r="J2595" i="1"/>
  <c r="I2595" i="1"/>
  <c r="H2595" i="1"/>
  <c r="G2595" i="1"/>
  <c r="F2595" i="1"/>
  <c r="E2595" i="1"/>
  <c r="D2595" i="1"/>
  <c r="C2595" i="1"/>
  <c r="A2595" i="1"/>
  <c r="R2594" i="1"/>
  <c r="N2594" i="1"/>
  <c r="J2594" i="1"/>
  <c r="I2594" i="1"/>
  <c r="H2594" i="1"/>
  <c r="G2594" i="1"/>
  <c r="F2594" i="1"/>
  <c r="E2594" i="1"/>
  <c r="D2594" i="1"/>
  <c r="C2594" i="1"/>
  <c r="B2594" i="1"/>
  <c r="A2594" i="1"/>
  <c r="R2593" i="1"/>
  <c r="N2593" i="1"/>
  <c r="J2593" i="1"/>
  <c r="I2593" i="1"/>
  <c r="H2593" i="1"/>
  <c r="G2593" i="1"/>
  <c r="F2593" i="1"/>
  <c r="E2593" i="1"/>
  <c r="D2593" i="1"/>
  <c r="C2593" i="1"/>
  <c r="B2593" i="1"/>
  <c r="A2593" i="1"/>
  <c r="R2592" i="1"/>
  <c r="N2592" i="1"/>
  <c r="J2592" i="1"/>
  <c r="I2592" i="1"/>
  <c r="H2592" i="1"/>
  <c r="G2592" i="1"/>
  <c r="F2592" i="1"/>
  <c r="E2592" i="1"/>
  <c r="D2592" i="1"/>
  <c r="C2592" i="1"/>
  <c r="B2592" i="1"/>
  <c r="A2592" i="1"/>
  <c r="R2591" i="1"/>
  <c r="N2591" i="1"/>
  <c r="J2591" i="1"/>
  <c r="I2591" i="1"/>
  <c r="H2591" i="1"/>
  <c r="G2591" i="1"/>
  <c r="F2591" i="1"/>
  <c r="E2591" i="1"/>
  <c r="D2591" i="1"/>
  <c r="C2591" i="1"/>
  <c r="B2591" i="1"/>
  <c r="A2591" i="1"/>
  <c r="R2590" i="1"/>
  <c r="Q2590" i="1"/>
  <c r="N2590" i="1"/>
  <c r="J2590" i="1"/>
  <c r="I2590" i="1"/>
  <c r="H2590" i="1"/>
  <c r="G2590" i="1"/>
  <c r="F2590" i="1"/>
  <c r="E2590" i="1"/>
  <c r="D2590" i="1"/>
  <c r="C2590" i="1"/>
  <c r="A2590" i="1"/>
  <c r="R2589" i="1"/>
  <c r="Q2589" i="1"/>
  <c r="N2589" i="1"/>
  <c r="J2589" i="1"/>
  <c r="I2589" i="1"/>
  <c r="H2589" i="1"/>
  <c r="G2589" i="1"/>
  <c r="F2589" i="1"/>
  <c r="E2589" i="1"/>
  <c r="D2589" i="1"/>
  <c r="C2589" i="1"/>
  <c r="A2589" i="1"/>
  <c r="R2588" i="1"/>
  <c r="Q2588" i="1"/>
  <c r="N2588" i="1"/>
  <c r="J2588" i="1"/>
  <c r="I2588" i="1"/>
  <c r="H2588" i="1"/>
  <c r="G2588" i="1"/>
  <c r="F2588" i="1"/>
  <c r="E2588" i="1"/>
  <c r="D2588" i="1"/>
  <c r="C2588" i="1"/>
  <c r="A2588" i="1"/>
  <c r="R2587" i="1"/>
  <c r="N2587" i="1"/>
  <c r="J2587" i="1"/>
  <c r="I2587" i="1"/>
  <c r="H2587" i="1"/>
  <c r="G2587" i="1"/>
  <c r="F2587" i="1"/>
  <c r="E2587" i="1"/>
  <c r="D2587" i="1"/>
  <c r="C2587" i="1"/>
  <c r="A2587" i="1"/>
  <c r="R2586" i="1"/>
  <c r="Q2586" i="1"/>
  <c r="N2586" i="1"/>
  <c r="J2586" i="1"/>
  <c r="I2586" i="1"/>
  <c r="H2586" i="1"/>
  <c r="G2586" i="1"/>
  <c r="F2586" i="1"/>
  <c r="E2586" i="1"/>
  <c r="D2586" i="1"/>
  <c r="C2586" i="1"/>
  <c r="A2586" i="1"/>
  <c r="R2585" i="1"/>
  <c r="N2585" i="1"/>
  <c r="J2585" i="1"/>
  <c r="I2585" i="1"/>
  <c r="H2585" i="1"/>
  <c r="G2585" i="1"/>
  <c r="F2585" i="1"/>
  <c r="E2585" i="1"/>
  <c r="D2585" i="1"/>
  <c r="C2585" i="1"/>
  <c r="A2585" i="1"/>
  <c r="R2584" i="1"/>
  <c r="Q2584" i="1"/>
  <c r="N2584" i="1"/>
  <c r="J2584" i="1"/>
  <c r="I2584" i="1"/>
  <c r="H2584" i="1"/>
  <c r="G2584" i="1"/>
  <c r="F2584" i="1"/>
  <c r="E2584" i="1"/>
  <c r="D2584" i="1"/>
  <c r="C2584" i="1"/>
  <c r="A2584" i="1"/>
  <c r="R2583" i="1"/>
  <c r="N2583" i="1"/>
  <c r="J2583" i="1"/>
  <c r="I2583" i="1"/>
  <c r="H2583" i="1"/>
  <c r="G2583" i="1"/>
  <c r="F2583" i="1"/>
  <c r="E2583" i="1"/>
  <c r="D2583" i="1"/>
  <c r="C2583" i="1"/>
  <c r="A2583" i="1"/>
  <c r="R2582" i="1"/>
  <c r="Q2582" i="1"/>
  <c r="N2582" i="1"/>
  <c r="J2582" i="1"/>
  <c r="I2582" i="1"/>
  <c r="H2582" i="1"/>
  <c r="G2582" i="1"/>
  <c r="F2582" i="1"/>
  <c r="E2582" i="1"/>
  <c r="D2582" i="1"/>
  <c r="C2582" i="1"/>
  <c r="A2582" i="1"/>
  <c r="R2581" i="1"/>
  <c r="Q2581" i="1"/>
  <c r="N2581" i="1"/>
  <c r="J2581" i="1"/>
  <c r="I2581" i="1"/>
  <c r="H2581" i="1"/>
  <c r="G2581" i="1"/>
  <c r="F2581" i="1"/>
  <c r="E2581" i="1"/>
  <c r="D2581" i="1"/>
  <c r="C2581" i="1"/>
  <c r="A2581" i="1"/>
  <c r="R2580" i="1"/>
  <c r="Q2580" i="1"/>
  <c r="N2580" i="1"/>
  <c r="J2580" i="1"/>
  <c r="I2580" i="1"/>
  <c r="H2580" i="1"/>
  <c r="G2580" i="1"/>
  <c r="F2580" i="1"/>
  <c r="E2580" i="1"/>
  <c r="D2580" i="1"/>
  <c r="C2580" i="1"/>
  <c r="A2580" i="1"/>
  <c r="R2579" i="1"/>
  <c r="Q2579" i="1"/>
  <c r="N2579" i="1"/>
  <c r="J2579" i="1"/>
  <c r="I2579" i="1"/>
  <c r="H2579" i="1"/>
  <c r="G2579" i="1"/>
  <c r="F2579" i="1"/>
  <c r="E2579" i="1"/>
  <c r="D2579" i="1"/>
  <c r="C2579" i="1"/>
  <c r="A2579" i="1"/>
  <c r="R2578" i="1"/>
  <c r="Q2578" i="1"/>
  <c r="N2578" i="1"/>
  <c r="J2578" i="1"/>
  <c r="I2578" i="1"/>
  <c r="H2578" i="1"/>
  <c r="G2578" i="1"/>
  <c r="F2578" i="1"/>
  <c r="E2578" i="1"/>
  <c r="D2578" i="1"/>
  <c r="C2578" i="1"/>
  <c r="A2578" i="1"/>
  <c r="R2577" i="1"/>
  <c r="Q2577" i="1"/>
  <c r="N2577" i="1"/>
  <c r="J2577" i="1"/>
  <c r="I2577" i="1"/>
  <c r="H2577" i="1"/>
  <c r="G2577" i="1"/>
  <c r="F2577" i="1"/>
  <c r="E2577" i="1"/>
  <c r="D2577" i="1"/>
  <c r="C2577" i="1"/>
  <c r="A2577" i="1"/>
  <c r="R2576" i="1"/>
  <c r="Q2576" i="1"/>
  <c r="N2576" i="1"/>
  <c r="J2576" i="1"/>
  <c r="I2576" i="1"/>
  <c r="H2576" i="1"/>
  <c r="G2576" i="1"/>
  <c r="F2576" i="1"/>
  <c r="E2576" i="1"/>
  <c r="D2576" i="1"/>
  <c r="C2576" i="1"/>
  <c r="A2576" i="1"/>
  <c r="R2575" i="1"/>
  <c r="Q2575" i="1"/>
  <c r="N2575" i="1"/>
  <c r="J2575" i="1"/>
  <c r="I2575" i="1"/>
  <c r="H2575" i="1"/>
  <c r="G2575" i="1"/>
  <c r="F2575" i="1"/>
  <c r="E2575" i="1"/>
  <c r="D2575" i="1"/>
  <c r="C2575" i="1"/>
  <c r="A2575" i="1"/>
  <c r="R2574" i="1"/>
  <c r="Q2574" i="1"/>
  <c r="N2574" i="1"/>
  <c r="J2574" i="1"/>
  <c r="I2574" i="1"/>
  <c r="H2574" i="1"/>
  <c r="G2574" i="1"/>
  <c r="F2574" i="1"/>
  <c r="E2574" i="1"/>
  <c r="D2574" i="1"/>
  <c r="C2574" i="1"/>
  <c r="A2574" i="1"/>
  <c r="R2573" i="1"/>
  <c r="Q2573" i="1"/>
  <c r="N2573" i="1"/>
  <c r="J2573" i="1"/>
  <c r="I2573" i="1"/>
  <c r="H2573" i="1"/>
  <c r="G2573" i="1"/>
  <c r="F2573" i="1"/>
  <c r="E2573" i="1"/>
  <c r="D2573" i="1"/>
  <c r="C2573" i="1"/>
  <c r="A2573" i="1"/>
  <c r="R2572" i="1"/>
  <c r="Q2572" i="1"/>
  <c r="N2572" i="1"/>
  <c r="J2572" i="1"/>
  <c r="I2572" i="1"/>
  <c r="H2572" i="1"/>
  <c r="G2572" i="1"/>
  <c r="F2572" i="1"/>
  <c r="E2572" i="1"/>
  <c r="D2572" i="1"/>
  <c r="C2572" i="1"/>
  <c r="A2572" i="1"/>
  <c r="R2571" i="1"/>
  <c r="N2571" i="1"/>
  <c r="J2571" i="1"/>
  <c r="I2571" i="1"/>
  <c r="H2571" i="1"/>
  <c r="G2571" i="1"/>
  <c r="F2571" i="1"/>
  <c r="E2571" i="1"/>
  <c r="D2571" i="1"/>
  <c r="C2571" i="1"/>
  <c r="A2571" i="1"/>
  <c r="R2570" i="1"/>
  <c r="Q2570" i="1"/>
  <c r="N2570" i="1"/>
  <c r="J2570" i="1"/>
  <c r="I2570" i="1"/>
  <c r="H2570" i="1"/>
  <c r="G2570" i="1"/>
  <c r="F2570" i="1"/>
  <c r="E2570" i="1"/>
  <c r="D2570" i="1"/>
  <c r="C2570" i="1"/>
  <c r="A2570" i="1"/>
  <c r="R2569" i="1"/>
  <c r="Q2569" i="1"/>
  <c r="N2569" i="1"/>
  <c r="J2569" i="1"/>
  <c r="I2569" i="1"/>
  <c r="H2569" i="1"/>
  <c r="G2569" i="1"/>
  <c r="F2569" i="1"/>
  <c r="E2569" i="1"/>
  <c r="D2569" i="1"/>
  <c r="C2569" i="1"/>
  <c r="A2569" i="1"/>
  <c r="R2568" i="1"/>
  <c r="Q2568" i="1"/>
  <c r="N2568" i="1"/>
  <c r="J2568" i="1"/>
  <c r="I2568" i="1"/>
  <c r="H2568" i="1"/>
  <c r="G2568" i="1"/>
  <c r="F2568" i="1"/>
  <c r="E2568" i="1"/>
  <c r="D2568" i="1"/>
  <c r="C2568" i="1"/>
  <c r="A2568" i="1"/>
  <c r="R2567" i="1"/>
  <c r="Q2567" i="1"/>
  <c r="N2567" i="1"/>
  <c r="J2567" i="1"/>
  <c r="I2567" i="1"/>
  <c r="H2567" i="1"/>
  <c r="G2567" i="1"/>
  <c r="F2567" i="1"/>
  <c r="E2567" i="1"/>
  <c r="D2567" i="1"/>
  <c r="C2567" i="1"/>
  <c r="A2567" i="1"/>
  <c r="R2566" i="1"/>
  <c r="Q2566" i="1"/>
  <c r="N2566" i="1"/>
  <c r="J2566" i="1"/>
  <c r="I2566" i="1"/>
  <c r="H2566" i="1"/>
  <c r="G2566" i="1"/>
  <c r="F2566" i="1"/>
  <c r="E2566" i="1"/>
  <c r="D2566" i="1"/>
  <c r="C2566" i="1"/>
  <c r="A2566" i="1"/>
  <c r="R2565" i="1"/>
  <c r="Q2565" i="1"/>
  <c r="N2565" i="1"/>
  <c r="J2565" i="1"/>
  <c r="I2565" i="1"/>
  <c r="H2565" i="1"/>
  <c r="G2565" i="1"/>
  <c r="F2565" i="1"/>
  <c r="E2565" i="1"/>
  <c r="D2565" i="1"/>
  <c r="C2565" i="1"/>
  <c r="A2565" i="1"/>
  <c r="R2564" i="1"/>
  <c r="Q2564" i="1"/>
  <c r="N2564" i="1"/>
  <c r="J2564" i="1"/>
  <c r="I2564" i="1"/>
  <c r="H2564" i="1"/>
  <c r="G2564" i="1"/>
  <c r="F2564" i="1"/>
  <c r="E2564" i="1"/>
  <c r="D2564" i="1"/>
  <c r="C2564" i="1"/>
  <c r="A2564" i="1"/>
  <c r="R2563" i="1"/>
  <c r="Q2563" i="1"/>
  <c r="N2563" i="1"/>
  <c r="J2563" i="1"/>
  <c r="I2563" i="1"/>
  <c r="H2563" i="1"/>
  <c r="G2563" i="1"/>
  <c r="F2563" i="1"/>
  <c r="E2563" i="1"/>
  <c r="D2563" i="1"/>
  <c r="C2563" i="1"/>
  <c r="A2563" i="1"/>
  <c r="R2562" i="1"/>
  <c r="Q2562" i="1"/>
  <c r="N2562" i="1"/>
  <c r="J2562" i="1"/>
  <c r="I2562" i="1"/>
  <c r="H2562" i="1"/>
  <c r="G2562" i="1"/>
  <c r="F2562" i="1"/>
  <c r="E2562" i="1"/>
  <c r="D2562" i="1"/>
  <c r="C2562" i="1"/>
  <c r="A2562" i="1"/>
  <c r="R2561" i="1"/>
  <c r="Q2561" i="1"/>
  <c r="N2561" i="1"/>
  <c r="J2561" i="1"/>
  <c r="I2561" i="1"/>
  <c r="H2561" i="1"/>
  <c r="G2561" i="1"/>
  <c r="F2561" i="1"/>
  <c r="E2561" i="1"/>
  <c r="D2561" i="1"/>
  <c r="C2561" i="1"/>
  <c r="A2561" i="1"/>
  <c r="R2560" i="1"/>
  <c r="Q2560" i="1"/>
  <c r="N2560" i="1"/>
  <c r="J2560" i="1"/>
  <c r="I2560" i="1"/>
  <c r="H2560" i="1"/>
  <c r="G2560" i="1"/>
  <c r="F2560" i="1"/>
  <c r="E2560" i="1"/>
  <c r="D2560" i="1"/>
  <c r="C2560" i="1"/>
  <c r="A2560" i="1"/>
  <c r="R2559" i="1"/>
  <c r="Q2559" i="1"/>
  <c r="N2559" i="1"/>
  <c r="J2559" i="1"/>
  <c r="I2559" i="1"/>
  <c r="H2559" i="1"/>
  <c r="G2559" i="1"/>
  <c r="F2559" i="1"/>
  <c r="E2559" i="1"/>
  <c r="D2559" i="1"/>
  <c r="C2559" i="1"/>
  <c r="A2559" i="1"/>
  <c r="R2558" i="1"/>
  <c r="Q2558" i="1"/>
  <c r="N2558" i="1"/>
  <c r="J2558" i="1"/>
  <c r="I2558" i="1"/>
  <c r="H2558" i="1"/>
  <c r="G2558" i="1"/>
  <c r="F2558" i="1"/>
  <c r="E2558" i="1"/>
  <c r="D2558" i="1"/>
  <c r="C2558" i="1"/>
  <c r="A2558" i="1"/>
  <c r="R2557" i="1"/>
  <c r="Q2557" i="1"/>
  <c r="N2557" i="1"/>
  <c r="J2557" i="1"/>
  <c r="I2557" i="1"/>
  <c r="H2557" i="1"/>
  <c r="G2557" i="1"/>
  <c r="F2557" i="1"/>
  <c r="E2557" i="1"/>
  <c r="D2557" i="1"/>
  <c r="C2557" i="1"/>
  <c r="A2557" i="1"/>
  <c r="R2556" i="1"/>
  <c r="Q2556" i="1"/>
  <c r="N2556" i="1"/>
  <c r="J2556" i="1"/>
  <c r="I2556" i="1"/>
  <c r="H2556" i="1"/>
  <c r="G2556" i="1"/>
  <c r="F2556" i="1"/>
  <c r="E2556" i="1"/>
  <c r="D2556" i="1"/>
  <c r="C2556" i="1"/>
  <c r="A2556" i="1"/>
  <c r="R2555" i="1"/>
  <c r="Q2555" i="1"/>
  <c r="N2555" i="1"/>
  <c r="J2555" i="1"/>
  <c r="I2555" i="1"/>
  <c r="H2555" i="1"/>
  <c r="G2555" i="1"/>
  <c r="F2555" i="1"/>
  <c r="E2555" i="1"/>
  <c r="D2555" i="1"/>
  <c r="C2555" i="1"/>
  <c r="A2555" i="1"/>
  <c r="R2554" i="1"/>
  <c r="Q2554" i="1"/>
  <c r="N2554" i="1"/>
  <c r="J2554" i="1"/>
  <c r="I2554" i="1"/>
  <c r="H2554" i="1"/>
  <c r="G2554" i="1"/>
  <c r="F2554" i="1"/>
  <c r="E2554" i="1"/>
  <c r="D2554" i="1"/>
  <c r="C2554" i="1"/>
  <c r="A2554" i="1"/>
  <c r="R2553" i="1"/>
  <c r="Q2553" i="1"/>
  <c r="N2553" i="1"/>
  <c r="J2553" i="1"/>
  <c r="I2553" i="1"/>
  <c r="H2553" i="1"/>
  <c r="G2553" i="1"/>
  <c r="F2553" i="1"/>
  <c r="E2553" i="1"/>
  <c r="D2553" i="1"/>
  <c r="C2553" i="1"/>
  <c r="A2553" i="1"/>
  <c r="R2552" i="1"/>
  <c r="Q2552" i="1"/>
  <c r="N2552" i="1"/>
  <c r="J2552" i="1"/>
  <c r="I2552" i="1"/>
  <c r="H2552" i="1"/>
  <c r="G2552" i="1"/>
  <c r="F2552" i="1"/>
  <c r="E2552" i="1"/>
  <c r="D2552" i="1"/>
  <c r="C2552" i="1"/>
  <c r="A2552" i="1"/>
  <c r="R2551" i="1"/>
  <c r="Q2551" i="1"/>
  <c r="N2551" i="1"/>
  <c r="J2551" i="1"/>
  <c r="I2551" i="1"/>
  <c r="H2551" i="1"/>
  <c r="G2551" i="1"/>
  <c r="F2551" i="1"/>
  <c r="E2551" i="1"/>
  <c r="D2551" i="1"/>
  <c r="C2551" i="1"/>
  <c r="A2551" i="1"/>
  <c r="R2550" i="1"/>
  <c r="Q2550" i="1"/>
  <c r="N2550" i="1"/>
  <c r="J2550" i="1"/>
  <c r="I2550" i="1"/>
  <c r="H2550" i="1"/>
  <c r="G2550" i="1"/>
  <c r="F2550" i="1"/>
  <c r="E2550" i="1"/>
  <c r="D2550" i="1"/>
  <c r="C2550" i="1"/>
  <c r="A2550" i="1"/>
  <c r="R2549" i="1"/>
  <c r="Q2549" i="1"/>
  <c r="N2549" i="1"/>
  <c r="J2549" i="1"/>
  <c r="I2549" i="1"/>
  <c r="H2549" i="1"/>
  <c r="G2549" i="1"/>
  <c r="F2549" i="1"/>
  <c r="E2549" i="1"/>
  <c r="D2549" i="1"/>
  <c r="C2549" i="1"/>
  <c r="A2549" i="1"/>
  <c r="R2548" i="1"/>
  <c r="Q2548" i="1"/>
  <c r="N2548" i="1"/>
  <c r="J2548" i="1"/>
  <c r="I2548" i="1"/>
  <c r="H2548" i="1"/>
  <c r="G2548" i="1"/>
  <c r="F2548" i="1"/>
  <c r="E2548" i="1"/>
  <c r="D2548" i="1"/>
  <c r="C2548" i="1"/>
  <c r="A2548" i="1"/>
  <c r="R2547" i="1"/>
  <c r="Q2547" i="1"/>
  <c r="N2547" i="1"/>
  <c r="J2547" i="1"/>
  <c r="I2547" i="1"/>
  <c r="H2547" i="1"/>
  <c r="G2547" i="1"/>
  <c r="F2547" i="1"/>
  <c r="E2547" i="1"/>
  <c r="D2547" i="1"/>
  <c r="C2547" i="1"/>
  <c r="A2547" i="1"/>
  <c r="R2546" i="1"/>
  <c r="Q2546" i="1"/>
  <c r="N2546" i="1"/>
  <c r="J2546" i="1"/>
  <c r="I2546" i="1"/>
  <c r="H2546" i="1"/>
  <c r="G2546" i="1"/>
  <c r="F2546" i="1"/>
  <c r="E2546" i="1"/>
  <c r="D2546" i="1"/>
  <c r="C2546" i="1"/>
  <c r="A2546" i="1"/>
  <c r="R2545" i="1"/>
  <c r="Q2545" i="1"/>
  <c r="N2545" i="1"/>
  <c r="J2545" i="1"/>
  <c r="I2545" i="1"/>
  <c r="H2545" i="1"/>
  <c r="G2545" i="1"/>
  <c r="F2545" i="1"/>
  <c r="E2545" i="1"/>
  <c r="D2545" i="1"/>
  <c r="C2545" i="1"/>
  <c r="A2545" i="1"/>
  <c r="R2544" i="1"/>
  <c r="Q2544" i="1"/>
  <c r="N2544" i="1"/>
  <c r="J2544" i="1"/>
  <c r="I2544" i="1"/>
  <c r="H2544" i="1"/>
  <c r="G2544" i="1"/>
  <c r="F2544" i="1"/>
  <c r="E2544" i="1"/>
  <c r="D2544" i="1"/>
  <c r="C2544" i="1"/>
  <c r="A2544" i="1"/>
  <c r="R2543" i="1"/>
  <c r="Q2543" i="1"/>
  <c r="N2543" i="1"/>
  <c r="J2543" i="1"/>
  <c r="I2543" i="1"/>
  <c r="H2543" i="1"/>
  <c r="G2543" i="1"/>
  <c r="F2543" i="1"/>
  <c r="E2543" i="1"/>
  <c r="D2543" i="1"/>
  <c r="C2543" i="1"/>
  <c r="A2543" i="1"/>
  <c r="R2542" i="1"/>
  <c r="Q2542" i="1"/>
  <c r="N2542" i="1"/>
  <c r="J2542" i="1"/>
  <c r="I2542" i="1"/>
  <c r="H2542" i="1"/>
  <c r="G2542" i="1"/>
  <c r="F2542" i="1"/>
  <c r="E2542" i="1"/>
  <c r="D2542" i="1"/>
  <c r="C2542" i="1"/>
  <c r="A2542" i="1"/>
  <c r="R2541" i="1"/>
  <c r="Q2541" i="1"/>
  <c r="N2541" i="1"/>
  <c r="J2541" i="1"/>
  <c r="I2541" i="1"/>
  <c r="H2541" i="1"/>
  <c r="G2541" i="1"/>
  <c r="F2541" i="1"/>
  <c r="E2541" i="1"/>
  <c r="D2541" i="1"/>
  <c r="C2541" i="1"/>
  <c r="A2541" i="1"/>
  <c r="R2540" i="1"/>
  <c r="Q2540" i="1"/>
  <c r="N2540" i="1"/>
  <c r="J2540" i="1"/>
  <c r="I2540" i="1"/>
  <c r="H2540" i="1"/>
  <c r="G2540" i="1"/>
  <c r="F2540" i="1"/>
  <c r="E2540" i="1"/>
  <c r="D2540" i="1"/>
  <c r="C2540" i="1"/>
  <c r="A2540" i="1"/>
  <c r="R2539" i="1"/>
  <c r="Q2539" i="1"/>
  <c r="N2539" i="1"/>
  <c r="J2539" i="1"/>
  <c r="I2539" i="1"/>
  <c r="H2539" i="1"/>
  <c r="G2539" i="1"/>
  <c r="F2539" i="1"/>
  <c r="E2539" i="1"/>
  <c r="D2539" i="1"/>
  <c r="C2539" i="1"/>
  <c r="A2539" i="1"/>
  <c r="R2538" i="1"/>
  <c r="Q2538" i="1"/>
  <c r="N2538" i="1"/>
  <c r="J2538" i="1"/>
  <c r="I2538" i="1"/>
  <c r="H2538" i="1"/>
  <c r="G2538" i="1"/>
  <c r="F2538" i="1"/>
  <c r="E2538" i="1"/>
  <c r="D2538" i="1"/>
  <c r="C2538" i="1"/>
  <c r="A2538" i="1"/>
  <c r="R2537" i="1"/>
  <c r="Q2537" i="1"/>
  <c r="N2537" i="1"/>
  <c r="J2537" i="1"/>
  <c r="I2537" i="1"/>
  <c r="H2537" i="1"/>
  <c r="G2537" i="1"/>
  <c r="F2537" i="1"/>
  <c r="E2537" i="1"/>
  <c r="D2537" i="1"/>
  <c r="C2537" i="1"/>
  <c r="A2537" i="1"/>
  <c r="R2536" i="1"/>
  <c r="Q2536" i="1"/>
  <c r="N2536" i="1"/>
  <c r="J2536" i="1"/>
  <c r="I2536" i="1"/>
  <c r="H2536" i="1"/>
  <c r="G2536" i="1"/>
  <c r="F2536" i="1"/>
  <c r="E2536" i="1"/>
  <c r="D2536" i="1"/>
  <c r="C2536" i="1"/>
  <c r="A2536" i="1"/>
  <c r="R2535" i="1"/>
  <c r="Q2535" i="1"/>
  <c r="N2535" i="1"/>
  <c r="J2535" i="1"/>
  <c r="I2535" i="1"/>
  <c r="H2535" i="1"/>
  <c r="G2535" i="1"/>
  <c r="F2535" i="1"/>
  <c r="E2535" i="1"/>
  <c r="D2535" i="1"/>
  <c r="C2535" i="1"/>
  <c r="A2535" i="1"/>
  <c r="R2534" i="1"/>
  <c r="Q2534" i="1"/>
  <c r="N2534" i="1"/>
  <c r="J2534" i="1"/>
  <c r="I2534" i="1"/>
  <c r="H2534" i="1"/>
  <c r="G2534" i="1"/>
  <c r="F2534" i="1"/>
  <c r="E2534" i="1"/>
  <c r="D2534" i="1"/>
  <c r="C2534" i="1"/>
  <c r="A2534" i="1"/>
  <c r="R2533" i="1"/>
  <c r="Q2533" i="1"/>
  <c r="N2533" i="1"/>
  <c r="J2533" i="1"/>
  <c r="I2533" i="1"/>
  <c r="H2533" i="1"/>
  <c r="G2533" i="1"/>
  <c r="F2533" i="1"/>
  <c r="E2533" i="1"/>
  <c r="D2533" i="1"/>
  <c r="C2533" i="1"/>
  <c r="A2533" i="1"/>
  <c r="R2532" i="1"/>
  <c r="Q2532" i="1"/>
  <c r="N2532" i="1"/>
  <c r="J2532" i="1"/>
  <c r="I2532" i="1"/>
  <c r="H2532" i="1"/>
  <c r="G2532" i="1"/>
  <c r="F2532" i="1"/>
  <c r="E2532" i="1"/>
  <c r="D2532" i="1"/>
  <c r="C2532" i="1"/>
  <c r="A2532" i="1"/>
  <c r="R2531" i="1"/>
  <c r="Q2531" i="1"/>
  <c r="N2531" i="1"/>
  <c r="J2531" i="1"/>
  <c r="I2531" i="1"/>
  <c r="H2531" i="1"/>
  <c r="G2531" i="1"/>
  <c r="F2531" i="1"/>
  <c r="E2531" i="1"/>
  <c r="D2531" i="1"/>
  <c r="C2531" i="1"/>
  <c r="A2531" i="1"/>
  <c r="R2530" i="1"/>
  <c r="Q2530" i="1"/>
  <c r="N2530" i="1"/>
  <c r="J2530" i="1"/>
  <c r="I2530" i="1"/>
  <c r="H2530" i="1"/>
  <c r="G2530" i="1"/>
  <c r="F2530" i="1"/>
  <c r="E2530" i="1"/>
  <c r="D2530" i="1"/>
  <c r="C2530" i="1"/>
  <c r="A2530" i="1"/>
  <c r="R2529" i="1"/>
  <c r="Q2529" i="1"/>
  <c r="N2529" i="1"/>
  <c r="J2529" i="1"/>
  <c r="I2529" i="1"/>
  <c r="H2529" i="1"/>
  <c r="G2529" i="1"/>
  <c r="F2529" i="1"/>
  <c r="E2529" i="1"/>
  <c r="D2529" i="1"/>
  <c r="C2529" i="1"/>
  <c r="A2529" i="1"/>
  <c r="R2528" i="1"/>
  <c r="Q2528" i="1"/>
  <c r="N2528" i="1"/>
  <c r="J2528" i="1"/>
  <c r="I2528" i="1"/>
  <c r="H2528" i="1"/>
  <c r="G2528" i="1"/>
  <c r="F2528" i="1"/>
  <c r="E2528" i="1"/>
  <c r="D2528" i="1"/>
  <c r="C2528" i="1"/>
  <c r="A2528" i="1"/>
  <c r="R2527" i="1"/>
  <c r="Q2527" i="1"/>
  <c r="N2527" i="1"/>
  <c r="J2527" i="1"/>
  <c r="I2527" i="1"/>
  <c r="H2527" i="1"/>
  <c r="G2527" i="1"/>
  <c r="F2527" i="1"/>
  <c r="E2527" i="1"/>
  <c r="D2527" i="1"/>
  <c r="C2527" i="1"/>
  <c r="A2527" i="1"/>
  <c r="R2526" i="1"/>
  <c r="Q2526" i="1"/>
  <c r="N2526" i="1"/>
  <c r="J2526" i="1"/>
  <c r="I2526" i="1"/>
  <c r="H2526" i="1"/>
  <c r="G2526" i="1"/>
  <c r="F2526" i="1"/>
  <c r="E2526" i="1"/>
  <c r="D2526" i="1"/>
  <c r="C2526" i="1"/>
  <c r="A2526" i="1"/>
  <c r="R2525" i="1"/>
  <c r="N2525" i="1"/>
  <c r="J2525" i="1"/>
  <c r="I2525" i="1"/>
  <c r="H2525" i="1"/>
  <c r="G2525" i="1"/>
  <c r="F2525" i="1"/>
  <c r="E2525" i="1"/>
  <c r="D2525" i="1"/>
  <c r="C2525" i="1"/>
  <c r="A2525" i="1"/>
  <c r="R2524" i="1"/>
  <c r="Q2524" i="1"/>
  <c r="N2524" i="1"/>
  <c r="J2524" i="1"/>
  <c r="I2524" i="1"/>
  <c r="H2524" i="1"/>
  <c r="G2524" i="1"/>
  <c r="F2524" i="1"/>
  <c r="E2524" i="1"/>
  <c r="D2524" i="1"/>
  <c r="C2524" i="1"/>
  <c r="A2524" i="1"/>
  <c r="R2523" i="1"/>
  <c r="Q2523" i="1"/>
  <c r="N2523" i="1"/>
  <c r="J2523" i="1"/>
  <c r="I2523" i="1"/>
  <c r="H2523" i="1"/>
  <c r="G2523" i="1"/>
  <c r="F2523" i="1"/>
  <c r="E2523" i="1"/>
  <c r="D2523" i="1"/>
  <c r="C2523" i="1"/>
  <c r="A2523" i="1"/>
  <c r="R2522" i="1"/>
  <c r="Q2522" i="1"/>
  <c r="N2522" i="1"/>
  <c r="J2522" i="1"/>
  <c r="I2522" i="1"/>
  <c r="H2522" i="1"/>
  <c r="G2522" i="1"/>
  <c r="F2522" i="1"/>
  <c r="E2522" i="1"/>
  <c r="D2522" i="1"/>
  <c r="C2522" i="1"/>
  <c r="A2522" i="1"/>
  <c r="R2521" i="1"/>
  <c r="Q2521" i="1"/>
  <c r="N2521" i="1"/>
  <c r="J2521" i="1"/>
  <c r="I2521" i="1"/>
  <c r="H2521" i="1"/>
  <c r="G2521" i="1"/>
  <c r="F2521" i="1"/>
  <c r="E2521" i="1"/>
  <c r="D2521" i="1"/>
  <c r="C2521" i="1"/>
  <c r="A2521" i="1"/>
  <c r="R2520" i="1"/>
  <c r="Q2520" i="1"/>
  <c r="N2520" i="1"/>
  <c r="J2520" i="1"/>
  <c r="I2520" i="1"/>
  <c r="H2520" i="1"/>
  <c r="G2520" i="1"/>
  <c r="F2520" i="1"/>
  <c r="E2520" i="1"/>
  <c r="D2520" i="1"/>
  <c r="C2520" i="1"/>
  <c r="A2520" i="1"/>
  <c r="R2519" i="1"/>
  <c r="Q2519" i="1"/>
  <c r="N2519" i="1"/>
  <c r="J2519" i="1"/>
  <c r="I2519" i="1"/>
  <c r="H2519" i="1"/>
  <c r="G2519" i="1"/>
  <c r="F2519" i="1"/>
  <c r="E2519" i="1"/>
  <c r="D2519" i="1"/>
  <c r="C2519" i="1"/>
  <c r="A2519" i="1"/>
  <c r="R2518" i="1"/>
  <c r="Q2518" i="1"/>
  <c r="N2518" i="1"/>
  <c r="J2518" i="1"/>
  <c r="I2518" i="1"/>
  <c r="H2518" i="1"/>
  <c r="G2518" i="1"/>
  <c r="F2518" i="1"/>
  <c r="E2518" i="1"/>
  <c r="D2518" i="1"/>
  <c r="C2518" i="1"/>
  <c r="A2518" i="1"/>
  <c r="R2517" i="1"/>
  <c r="Q2517" i="1"/>
  <c r="N2517" i="1"/>
  <c r="J2517" i="1"/>
  <c r="I2517" i="1"/>
  <c r="H2517" i="1"/>
  <c r="G2517" i="1"/>
  <c r="F2517" i="1"/>
  <c r="E2517" i="1"/>
  <c r="D2517" i="1"/>
  <c r="C2517" i="1"/>
  <c r="A2517" i="1"/>
  <c r="R2516" i="1"/>
  <c r="N2516" i="1"/>
  <c r="J2516" i="1"/>
  <c r="I2516" i="1"/>
  <c r="H2516" i="1"/>
  <c r="G2516" i="1"/>
  <c r="F2516" i="1"/>
  <c r="E2516" i="1"/>
  <c r="D2516" i="1"/>
  <c r="C2516" i="1"/>
  <c r="B2516" i="1"/>
  <c r="A2516" i="1"/>
  <c r="R2515" i="1"/>
  <c r="N2515" i="1"/>
  <c r="J2515" i="1"/>
  <c r="I2515" i="1"/>
  <c r="H2515" i="1"/>
  <c r="G2515" i="1"/>
  <c r="F2515" i="1"/>
  <c r="E2515" i="1"/>
  <c r="D2515" i="1"/>
  <c r="C2515" i="1"/>
  <c r="B2515" i="1"/>
  <c r="A2515" i="1"/>
  <c r="R2514" i="1"/>
  <c r="N2514" i="1"/>
  <c r="J2514" i="1"/>
  <c r="I2514" i="1"/>
  <c r="H2514" i="1"/>
  <c r="G2514" i="1"/>
  <c r="F2514" i="1"/>
  <c r="E2514" i="1"/>
  <c r="D2514" i="1"/>
  <c r="C2514" i="1"/>
  <c r="B2514" i="1"/>
  <c r="A2514" i="1"/>
  <c r="R2513" i="1"/>
  <c r="N2513" i="1"/>
  <c r="J2513" i="1"/>
  <c r="I2513" i="1"/>
  <c r="H2513" i="1"/>
  <c r="G2513" i="1"/>
  <c r="F2513" i="1"/>
  <c r="E2513" i="1"/>
  <c r="D2513" i="1"/>
  <c r="C2513" i="1"/>
  <c r="B2513" i="1"/>
  <c r="A2513" i="1"/>
  <c r="R2512" i="1"/>
  <c r="Q2512" i="1"/>
  <c r="N2512" i="1"/>
  <c r="J2512" i="1"/>
  <c r="I2512" i="1"/>
  <c r="H2512" i="1"/>
  <c r="G2512" i="1"/>
  <c r="F2512" i="1"/>
  <c r="E2512" i="1"/>
  <c r="D2512" i="1"/>
  <c r="C2512" i="1"/>
  <c r="B2512" i="1"/>
  <c r="A2512" i="1"/>
  <c r="R2511" i="1"/>
  <c r="N2511" i="1"/>
  <c r="J2511" i="1"/>
  <c r="I2511" i="1"/>
  <c r="H2511" i="1"/>
  <c r="G2511" i="1"/>
  <c r="F2511" i="1"/>
  <c r="E2511" i="1"/>
  <c r="D2511" i="1"/>
  <c r="C2511" i="1"/>
  <c r="B2511" i="1"/>
  <c r="A2511" i="1"/>
  <c r="R2510" i="1"/>
  <c r="Q2510" i="1"/>
  <c r="N2510" i="1"/>
  <c r="J2510" i="1"/>
  <c r="I2510" i="1"/>
  <c r="H2510" i="1"/>
  <c r="G2510" i="1"/>
  <c r="F2510" i="1"/>
  <c r="E2510" i="1"/>
  <c r="D2510" i="1"/>
  <c r="C2510" i="1"/>
  <c r="B2510" i="1"/>
  <c r="A2510" i="1"/>
  <c r="R2509" i="1"/>
  <c r="N2509" i="1"/>
  <c r="J2509" i="1"/>
  <c r="I2509" i="1"/>
  <c r="H2509" i="1"/>
  <c r="G2509" i="1"/>
  <c r="F2509" i="1"/>
  <c r="E2509" i="1"/>
  <c r="D2509" i="1"/>
  <c r="C2509" i="1"/>
  <c r="B2509" i="1"/>
  <c r="A2509" i="1"/>
  <c r="R2508" i="1"/>
  <c r="Q2508" i="1"/>
  <c r="N2508" i="1"/>
  <c r="J2508" i="1"/>
  <c r="I2508" i="1"/>
  <c r="H2508" i="1"/>
  <c r="G2508" i="1"/>
  <c r="F2508" i="1"/>
  <c r="E2508" i="1"/>
  <c r="D2508" i="1"/>
  <c r="C2508" i="1"/>
  <c r="B2508" i="1"/>
  <c r="A2508" i="1"/>
  <c r="R2507" i="1"/>
  <c r="N2507" i="1"/>
  <c r="J2507" i="1"/>
  <c r="I2507" i="1"/>
  <c r="H2507" i="1"/>
  <c r="G2507" i="1"/>
  <c r="F2507" i="1"/>
  <c r="E2507" i="1"/>
  <c r="D2507" i="1"/>
  <c r="C2507" i="1"/>
  <c r="B2507" i="1"/>
  <c r="A2507" i="1"/>
  <c r="R2506" i="1"/>
  <c r="N2506" i="1"/>
  <c r="J2506" i="1"/>
  <c r="I2506" i="1"/>
  <c r="H2506" i="1"/>
  <c r="G2506" i="1"/>
  <c r="F2506" i="1"/>
  <c r="E2506" i="1"/>
  <c r="D2506" i="1"/>
  <c r="C2506" i="1"/>
  <c r="B2506" i="1"/>
  <c r="A2506" i="1"/>
  <c r="R2505" i="1"/>
  <c r="N2505" i="1"/>
  <c r="J2505" i="1"/>
  <c r="I2505" i="1"/>
  <c r="H2505" i="1"/>
  <c r="G2505" i="1"/>
  <c r="F2505" i="1"/>
  <c r="E2505" i="1"/>
  <c r="D2505" i="1"/>
  <c r="C2505" i="1"/>
  <c r="B2505" i="1"/>
  <c r="A2505" i="1"/>
  <c r="R2504" i="1"/>
  <c r="N2504" i="1"/>
  <c r="J2504" i="1"/>
  <c r="I2504" i="1"/>
  <c r="H2504" i="1"/>
  <c r="G2504" i="1"/>
  <c r="F2504" i="1"/>
  <c r="E2504" i="1"/>
  <c r="D2504" i="1"/>
  <c r="C2504" i="1"/>
  <c r="B2504" i="1"/>
  <c r="A2504" i="1"/>
  <c r="R2503" i="1"/>
  <c r="Q2503" i="1"/>
  <c r="N2503" i="1"/>
  <c r="J2503" i="1"/>
  <c r="I2503" i="1"/>
  <c r="H2503" i="1"/>
  <c r="G2503" i="1"/>
  <c r="F2503" i="1"/>
  <c r="E2503" i="1"/>
  <c r="D2503" i="1"/>
  <c r="C2503" i="1"/>
  <c r="A2503" i="1"/>
  <c r="R2502" i="1"/>
  <c r="N2502" i="1"/>
  <c r="J2502" i="1"/>
  <c r="I2502" i="1"/>
  <c r="H2502" i="1"/>
  <c r="G2502" i="1"/>
  <c r="F2502" i="1"/>
  <c r="E2502" i="1"/>
  <c r="D2502" i="1"/>
  <c r="C2502" i="1"/>
  <c r="A2502" i="1"/>
  <c r="R2501" i="1"/>
  <c r="Q2501" i="1"/>
  <c r="N2501" i="1"/>
  <c r="J2501" i="1"/>
  <c r="I2501" i="1"/>
  <c r="H2501" i="1"/>
  <c r="G2501" i="1"/>
  <c r="F2501" i="1"/>
  <c r="E2501" i="1"/>
  <c r="D2501" i="1"/>
  <c r="C2501" i="1"/>
  <c r="A2501" i="1"/>
  <c r="R2500" i="1"/>
  <c r="N2500" i="1"/>
  <c r="J2500" i="1"/>
  <c r="I2500" i="1"/>
  <c r="H2500" i="1"/>
  <c r="G2500" i="1"/>
  <c r="F2500" i="1"/>
  <c r="E2500" i="1"/>
  <c r="D2500" i="1"/>
  <c r="C2500" i="1"/>
  <c r="A2500" i="1"/>
  <c r="R2499" i="1"/>
  <c r="Q2499" i="1"/>
  <c r="N2499" i="1"/>
  <c r="J2499" i="1"/>
  <c r="I2499" i="1"/>
  <c r="H2499" i="1"/>
  <c r="G2499" i="1"/>
  <c r="F2499" i="1"/>
  <c r="E2499" i="1"/>
  <c r="D2499" i="1"/>
  <c r="C2499" i="1"/>
  <c r="A2499" i="1"/>
  <c r="R2498" i="1"/>
  <c r="N2498" i="1"/>
  <c r="J2498" i="1"/>
  <c r="I2498" i="1"/>
  <c r="H2498" i="1"/>
  <c r="G2498" i="1"/>
  <c r="F2498" i="1"/>
  <c r="E2498" i="1"/>
  <c r="D2498" i="1"/>
  <c r="C2498" i="1"/>
  <c r="B2498" i="1"/>
  <c r="A2498" i="1"/>
  <c r="R2497" i="1"/>
  <c r="Q2497" i="1"/>
  <c r="N2497" i="1"/>
  <c r="J2497" i="1"/>
  <c r="I2497" i="1"/>
  <c r="H2497" i="1"/>
  <c r="G2497" i="1"/>
  <c r="F2497" i="1"/>
  <c r="E2497" i="1"/>
  <c r="D2497" i="1"/>
  <c r="C2497" i="1"/>
  <c r="B2497" i="1"/>
  <c r="A2497" i="1"/>
  <c r="R2496" i="1"/>
  <c r="N2496" i="1"/>
  <c r="J2496" i="1"/>
  <c r="I2496" i="1"/>
  <c r="H2496" i="1"/>
  <c r="G2496" i="1"/>
  <c r="F2496" i="1"/>
  <c r="E2496" i="1"/>
  <c r="D2496" i="1"/>
  <c r="C2496" i="1"/>
  <c r="B2496" i="1"/>
  <c r="A2496" i="1"/>
  <c r="R2495" i="1"/>
  <c r="Q2495" i="1"/>
  <c r="N2495" i="1"/>
  <c r="J2495" i="1"/>
  <c r="I2495" i="1"/>
  <c r="H2495" i="1"/>
  <c r="G2495" i="1"/>
  <c r="F2495" i="1"/>
  <c r="E2495" i="1"/>
  <c r="D2495" i="1"/>
  <c r="C2495" i="1"/>
  <c r="B2495" i="1"/>
  <c r="A2495" i="1"/>
  <c r="R2494" i="1"/>
  <c r="N2494" i="1"/>
  <c r="J2494" i="1"/>
  <c r="I2494" i="1"/>
  <c r="H2494" i="1"/>
  <c r="G2494" i="1"/>
  <c r="F2494" i="1"/>
  <c r="E2494" i="1"/>
  <c r="D2494" i="1"/>
  <c r="C2494" i="1"/>
  <c r="B2494" i="1"/>
  <c r="A2494" i="1"/>
  <c r="R2493" i="1"/>
  <c r="N2493" i="1"/>
  <c r="J2493" i="1"/>
  <c r="I2493" i="1"/>
  <c r="H2493" i="1"/>
  <c r="G2493" i="1"/>
  <c r="F2493" i="1"/>
  <c r="E2493" i="1"/>
  <c r="D2493" i="1"/>
  <c r="C2493" i="1"/>
  <c r="B2493" i="1"/>
  <c r="A2493" i="1"/>
  <c r="R2492" i="1"/>
  <c r="Q2492" i="1"/>
  <c r="N2492" i="1"/>
  <c r="J2492" i="1"/>
  <c r="I2492" i="1"/>
  <c r="H2492" i="1"/>
  <c r="G2492" i="1"/>
  <c r="F2492" i="1"/>
  <c r="E2492" i="1"/>
  <c r="D2492" i="1"/>
  <c r="C2492" i="1"/>
  <c r="A2492" i="1"/>
  <c r="R2491" i="1"/>
  <c r="N2491" i="1"/>
  <c r="J2491" i="1"/>
  <c r="I2491" i="1"/>
  <c r="H2491" i="1"/>
  <c r="G2491" i="1"/>
  <c r="F2491" i="1"/>
  <c r="E2491" i="1"/>
  <c r="D2491" i="1"/>
  <c r="C2491" i="1"/>
  <c r="B2491" i="1"/>
  <c r="A2491" i="1"/>
  <c r="R2490" i="1"/>
  <c r="N2490" i="1"/>
  <c r="J2490" i="1"/>
  <c r="I2490" i="1"/>
  <c r="H2490" i="1"/>
  <c r="G2490" i="1"/>
  <c r="F2490" i="1"/>
  <c r="E2490" i="1"/>
  <c r="D2490" i="1"/>
  <c r="C2490" i="1"/>
  <c r="B2490" i="1"/>
  <c r="A2490" i="1"/>
  <c r="R2489" i="1"/>
  <c r="N2489" i="1"/>
  <c r="J2489" i="1"/>
  <c r="I2489" i="1"/>
  <c r="H2489" i="1"/>
  <c r="G2489" i="1"/>
  <c r="F2489" i="1"/>
  <c r="E2489" i="1"/>
  <c r="D2489" i="1"/>
  <c r="C2489" i="1"/>
  <c r="B2489" i="1"/>
  <c r="A2489" i="1"/>
  <c r="R2488" i="1"/>
  <c r="N2488" i="1"/>
  <c r="J2488" i="1"/>
  <c r="I2488" i="1"/>
  <c r="H2488" i="1"/>
  <c r="G2488" i="1"/>
  <c r="F2488" i="1"/>
  <c r="E2488" i="1"/>
  <c r="D2488" i="1"/>
  <c r="C2488" i="1"/>
  <c r="B2488" i="1"/>
  <c r="A2488" i="1"/>
  <c r="R2487" i="1"/>
  <c r="N2487" i="1"/>
  <c r="J2487" i="1"/>
  <c r="I2487" i="1"/>
  <c r="H2487" i="1"/>
  <c r="G2487" i="1"/>
  <c r="F2487" i="1"/>
  <c r="E2487" i="1"/>
  <c r="D2487" i="1"/>
  <c r="C2487" i="1"/>
  <c r="B2487" i="1"/>
  <c r="A2487" i="1"/>
  <c r="R2486" i="1"/>
  <c r="N2486" i="1"/>
  <c r="J2486" i="1"/>
  <c r="I2486" i="1"/>
  <c r="H2486" i="1"/>
  <c r="G2486" i="1"/>
  <c r="F2486" i="1"/>
  <c r="E2486" i="1"/>
  <c r="D2486" i="1"/>
  <c r="C2486" i="1"/>
  <c r="B2486" i="1"/>
  <c r="A2486" i="1"/>
  <c r="R2485" i="1"/>
  <c r="N2485" i="1"/>
  <c r="J2485" i="1"/>
  <c r="I2485" i="1"/>
  <c r="H2485" i="1"/>
  <c r="G2485" i="1"/>
  <c r="F2485" i="1"/>
  <c r="E2485" i="1"/>
  <c r="D2485" i="1"/>
  <c r="C2485" i="1"/>
  <c r="B2485" i="1"/>
  <c r="A2485" i="1"/>
  <c r="R2484" i="1"/>
  <c r="N2484" i="1"/>
  <c r="J2484" i="1"/>
  <c r="I2484" i="1"/>
  <c r="H2484" i="1"/>
  <c r="G2484" i="1"/>
  <c r="F2484" i="1"/>
  <c r="E2484" i="1"/>
  <c r="D2484" i="1"/>
  <c r="C2484" i="1"/>
  <c r="B2484" i="1"/>
  <c r="A2484" i="1"/>
  <c r="R2483" i="1"/>
  <c r="N2483" i="1"/>
  <c r="J2483" i="1"/>
  <c r="I2483" i="1"/>
  <c r="H2483" i="1"/>
  <c r="G2483" i="1"/>
  <c r="F2483" i="1"/>
  <c r="E2483" i="1"/>
  <c r="D2483" i="1"/>
  <c r="C2483" i="1"/>
  <c r="B2483" i="1"/>
  <c r="A2483" i="1"/>
  <c r="R2482" i="1"/>
  <c r="N2482" i="1"/>
  <c r="J2482" i="1"/>
  <c r="I2482" i="1"/>
  <c r="H2482" i="1"/>
  <c r="G2482" i="1"/>
  <c r="F2482" i="1"/>
  <c r="E2482" i="1"/>
  <c r="D2482" i="1"/>
  <c r="C2482" i="1"/>
  <c r="B2482" i="1"/>
  <c r="A2482" i="1"/>
  <c r="R2481" i="1"/>
  <c r="N2481" i="1"/>
  <c r="J2481" i="1"/>
  <c r="I2481" i="1"/>
  <c r="H2481" i="1"/>
  <c r="G2481" i="1"/>
  <c r="F2481" i="1"/>
  <c r="E2481" i="1"/>
  <c r="D2481" i="1"/>
  <c r="C2481" i="1"/>
  <c r="B2481" i="1"/>
  <c r="A2481" i="1"/>
  <c r="R2480" i="1"/>
  <c r="N2480" i="1"/>
  <c r="J2480" i="1"/>
  <c r="I2480" i="1"/>
  <c r="H2480" i="1"/>
  <c r="G2480" i="1"/>
  <c r="F2480" i="1"/>
  <c r="E2480" i="1"/>
  <c r="D2480" i="1"/>
  <c r="C2480" i="1"/>
  <c r="B2480" i="1"/>
  <c r="A2480" i="1"/>
  <c r="R2479" i="1"/>
  <c r="N2479" i="1"/>
  <c r="J2479" i="1"/>
  <c r="I2479" i="1"/>
  <c r="H2479" i="1"/>
  <c r="G2479" i="1"/>
  <c r="F2479" i="1"/>
  <c r="E2479" i="1"/>
  <c r="D2479" i="1"/>
  <c r="C2479" i="1"/>
  <c r="B2479" i="1"/>
  <c r="A2479" i="1"/>
  <c r="R2478" i="1"/>
  <c r="N2478" i="1"/>
  <c r="J2478" i="1"/>
  <c r="I2478" i="1"/>
  <c r="H2478" i="1"/>
  <c r="G2478" i="1"/>
  <c r="F2478" i="1"/>
  <c r="E2478" i="1"/>
  <c r="D2478" i="1"/>
  <c r="C2478" i="1"/>
  <c r="B2478" i="1"/>
  <c r="A2478" i="1"/>
  <c r="R2477" i="1"/>
  <c r="Q2477" i="1"/>
  <c r="N2477" i="1"/>
  <c r="J2477" i="1"/>
  <c r="I2477" i="1"/>
  <c r="H2477" i="1"/>
  <c r="G2477" i="1"/>
  <c r="F2477" i="1"/>
  <c r="E2477" i="1"/>
  <c r="D2477" i="1"/>
  <c r="C2477" i="1"/>
  <c r="B2477" i="1"/>
  <c r="A2477" i="1"/>
  <c r="R2476" i="1"/>
  <c r="N2476" i="1"/>
  <c r="J2476" i="1"/>
  <c r="I2476" i="1"/>
  <c r="H2476" i="1"/>
  <c r="G2476" i="1"/>
  <c r="F2476" i="1"/>
  <c r="E2476" i="1"/>
  <c r="D2476" i="1"/>
  <c r="C2476" i="1"/>
  <c r="B2476" i="1"/>
  <c r="A2476" i="1"/>
  <c r="R2475" i="1"/>
  <c r="Q2475" i="1"/>
  <c r="N2475" i="1"/>
  <c r="J2475" i="1"/>
  <c r="I2475" i="1"/>
  <c r="H2475" i="1"/>
  <c r="G2475" i="1"/>
  <c r="F2475" i="1"/>
  <c r="E2475" i="1"/>
  <c r="D2475" i="1"/>
  <c r="C2475" i="1"/>
  <c r="B2475" i="1"/>
  <c r="A2475" i="1"/>
  <c r="R2474" i="1"/>
  <c r="N2474" i="1"/>
  <c r="J2474" i="1"/>
  <c r="I2474" i="1"/>
  <c r="H2474" i="1"/>
  <c r="G2474" i="1"/>
  <c r="F2474" i="1"/>
  <c r="E2474" i="1"/>
  <c r="D2474" i="1"/>
  <c r="C2474" i="1"/>
  <c r="B2474" i="1"/>
  <c r="A2474" i="1"/>
  <c r="R2473" i="1"/>
  <c r="Q2473" i="1"/>
  <c r="N2473" i="1"/>
  <c r="J2473" i="1"/>
  <c r="I2473" i="1"/>
  <c r="H2473" i="1"/>
  <c r="G2473" i="1"/>
  <c r="F2473" i="1"/>
  <c r="E2473" i="1"/>
  <c r="D2473" i="1"/>
  <c r="C2473" i="1"/>
  <c r="B2473" i="1"/>
  <c r="A2473" i="1"/>
  <c r="R2472" i="1"/>
  <c r="N2472" i="1"/>
  <c r="J2472" i="1"/>
  <c r="I2472" i="1"/>
  <c r="H2472" i="1"/>
  <c r="G2472" i="1"/>
  <c r="F2472" i="1"/>
  <c r="E2472" i="1"/>
  <c r="D2472" i="1"/>
  <c r="C2472" i="1"/>
  <c r="B2472" i="1"/>
  <c r="A2472" i="1"/>
  <c r="R2471" i="1"/>
  <c r="Q2471" i="1"/>
  <c r="N2471" i="1"/>
  <c r="J2471" i="1"/>
  <c r="I2471" i="1"/>
  <c r="H2471" i="1"/>
  <c r="G2471" i="1"/>
  <c r="F2471" i="1"/>
  <c r="E2471" i="1"/>
  <c r="D2471" i="1"/>
  <c r="C2471" i="1"/>
  <c r="B2471" i="1"/>
  <c r="A2471" i="1"/>
  <c r="R2470" i="1"/>
  <c r="N2470" i="1"/>
  <c r="J2470" i="1"/>
  <c r="I2470" i="1"/>
  <c r="H2470" i="1"/>
  <c r="G2470" i="1"/>
  <c r="F2470" i="1"/>
  <c r="E2470" i="1"/>
  <c r="D2470" i="1"/>
  <c r="C2470" i="1"/>
  <c r="B2470" i="1"/>
  <c r="A2470" i="1"/>
  <c r="R2469" i="1"/>
  <c r="Q2469" i="1"/>
  <c r="N2469" i="1"/>
  <c r="J2469" i="1"/>
  <c r="I2469" i="1"/>
  <c r="H2469" i="1"/>
  <c r="G2469" i="1"/>
  <c r="F2469" i="1"/>
  <c r="E2469" i="1"/>
  <c r="D2469" i="1"/>
  <c r="C2469" i="1"/>
  <c r="A2469" i="1"/>
  <c r="R2468" i="1"/>
  <c r="N2468" i="1"/>
  <c r="J2468" i="1"/>
  <c r="I2468" i="1"/>
  <c r="H2468" i="1"/>
  <c r="G2468" i="1"/>
  <c r="F2468" i="1"/>
  <c r="E2468" i="1"/>
  <c r="D2468" i="1"/>
  <c r="C2468" i="1"/>
  <c r="A2468" i="1"/>
  <c r="R2467" i="1"/>
  <c r="Q2467" i="1"/>
  <c r="N2467" i="1"/>
  <c r="J2467" i="1"/>
  <c r="I2467" i="1"/>
  <c r="H2467" i="1"/>
  <c r="G2467" i="1"/>
  <c r="F2467" i="1"/>
  <c r="E2467" i="1"/>
  <c r="D2467" i="1"/>
  <c r="C2467" i="1"/>
  <c r="A2467" i="1"/>
  <c r="R2466" i="1"/>
  <c r="Q2466" i="1"/>
  <c r="N2466" i="1"/>
  <c r="J2466" i="1"/>
  <c r="I2466" i="1"/>
  <c r="H2466" i="1"/>
  <c r="G2466" i="1"/>
  <c r="F2466" i="1"/>
  <c r="E2466" i="1"/>
  <c r="D2466" i="1"/>
  <c r="C2466" i="1"/>
  <c r="A2466" i="1"/>
  <c r="R2465" i="1"/>
  <c r="Q2465" i="1"/>
  <c r="N2465" i="1"/>
  <c r="J2465" i="1"/>
  <c r="I2465" i="1"/>
  <c r="H2465" i="1"/>
  <c r="G2465" i="1"/>
  <c r="F2465" i="1"/>
  <c r="E2465" i="1"/>
  <c r="D2465" i="1"/>
  <c r="C2465" i="1"/>
  <c r="A2465" i="1"/>
  <c r="R2464" i="1"/>
  <c r="N2464" i="1"/>
  <c r="J2464" i="1"/>
  <c r="I2464" i="1"/>
  <c r="H2464" i="1"/>
  <c r="G2464" i="1"/>
  <c r="F2464" i="1"/>
  <c r="E2464" i="1"/>
  <c r="D2464" i="1"/>
  <c r="C2464" i="1"/>
  <c r="A2464" i="1"/>
  <c r="R2463" i="1"/>
  <c r="Q2463" i="1"/>
  <c r="N2463" i="1"/>
  <c r="J2463" i="1"/>
  <c r="I2463" i="1"/>
  <c r="H2463" i="1"/>
  <c r="G2463" i="1"/>
  <c r="F2463" i="1"/>
  <c r="E2463" i="1"/>
  <c r="D2463" i="1"/>
  <c r="C2463" i="1"/>
  <c r="A2463" i="1"/>
  <c r="R2462" i="1"/>
  <c r="N2462" i="1"/>
  <c r="J2462" i="1"/>
  <c r="I2462" i="1"/>
  <c r="H2462" i="1"/>
  <c r="G2462" i="1"/>
  <c r="F2462" i="1"/>
  <c r="E2462" i="1"/>
  <c r="D2462" i="1"/>
  <c r="C2462" i="1"/>
  <c r="A2462" i="1"/>
  <c r="R2461" i="1"/>
  <c r="Q2461" i="1"/>
  <c r="N2461" i="1"/>
  <c r="J2461" i="1"/>
  <c r="I2461" i="1"/>
  <c r="H2461" i="1"/>
  <c r="G2461" i="1"/>
  <c r="F2461" i="1"/>
  <c r="E2461" i="1"/>
  <c r="D2461" i="1"/>
  <c r="C2461" i="1"/>
  <c r="A2461" i="1"/>
  <c r="R2460" i="1"/>
  <c r="N2460" i="1"/>
  <c r="J2460" i="1"/>
  <c r="I2460" i="1"/>
  <c r="H2460" i="1"/>
  <c r="G2460" i="1"/>
  <c r="F2460" i="1"/>
  <c r="E2460" i="1"/>
  <c r="D2460" i="1"/>
  <c r="C2460" i="1"/>
  <c r="A2460" i="1"/>
  <c r="R2459" i="1"/>
  <c r="Q2459" i="1"/>
  <c r="N2459" i="1"/>
  <c r="J2459" i="1"/>
  <c r="I2459" i="1"/>
  <c r="H2459" i="1"/>
  <c r="G2459" i="1"/>
  <c r="F2459" i="1"/>
  <c r="E2459" i="1"/>
  <c r="D2459" i="1"/>
  <c r="C2459" i="1"/>
  <c r="A2459" i="1"/>
  <c r="R2458" i="1"/>
  <c r="N2458" i="1"/>
  <c r="J2458" i="1"/>
  <c r="I2458" i="1"/>
  <c r="H2458" i="1"/>
  <c r="G2458" i="1"/>
  <c r="F2458" i="1"/>
  <c r="E2458" i="1"/>
  <c r="D2458" i="1"/>
  <c r="C2458" i="1"/>
  <c r="A2458" i="1"/>
  <c r="R2457" i="1"/>
  <c r="Q2457" i="1"/>
  <c r="N2457" i="1"/>
  <c r="J2457" i="1"/>
  <c r="I2457" i="1"/>
  <c r="H2457" i="1"/>
  <c r="G2457" i="1"/>
  <c r="F2457" i="1"/>
  <c r="E2457" i="1"/>
  <c r="D2457" i="1"/>
  <c r="C2457" i="1"/>
  <c r="A2457" i="1"/>
  <c r="R2456" i="1"/>
  <c r="N2456" i="1"/>
  <c r="J2456" i="1"/>
  <c r="I2456" i="1"/>
  <c r="H2456" i="1"/>
  <c r="G2456" i="1"/>
  <c r="F2456" i="1"/>
  <c r="E2456" i="1"/>
  <c r="D2456" i="1"/>
  <c r="C2456" i="1"/>
  <c r="A2456" i="1"/>
  <c r="R2455" i="1"/>
  <c r="Q2455" i="1"/>
  <c r="N2455" i="1"/>
  <c r="J2455" i="1"/>
  <c r="I2455" i="1"/>
  <c r="H2455" i="1"/>
  <c r="G2455" i="1"/>
  <c r="F2455" i="1"/>
  <c r="E2455" i="1"/>
  <c r="D2455" i="1"/>
  <c r="C2455" i="1"/>
  <c r="A2455" i="1"/>
  <c r="R2454" i="1"/>
  <c r="N2454" i="1"/>
  <c r="J2454" i="1"/>
  <c r="I2454" i="1"/>
  <c r="H2454" i="1"/>
  <c r="G2454" i="1"/>
  <c r="F2454" i="1"/>
  <c r="E2454" i="1"/>
  <c r="D2454" i="1"/>
  <c r="C2454" i="1"/>
  <c r="A2454" i="1"/>
  <c r="R2453" i="1"/>
  <c r="Q2453" i="1"/>
  <c r="N2453" i="1"/>
  <c r="J2453" i="1"/>
  <c r="I2453" i="1"/>
  <c r="H2453" i="1"/>
  <c r="G2453" i="1"/>
  <c r="F2453" i="1"/>
  <c r="E2453" i="1"/>
  <c r="D2453" i="1"/>
  <c r="C2453" i="1"/>
  <c r="A2453" i="1"/>
  <c r="R2452" i="1"/>
  <c r="N2452" i="1"/>
  <c r="J2452" i="1"/>
  <c r="I2452" i="1"/>
  <c r="H2452" i="1"/>
  <c r="G2452" i="1"/>
  <c r="F2452" i="1"/>
  <c r="E2452" i="1"/>
  <c r="D2452" i="1"/>
  <c r="C2452" i="1"/>
  <c r="A2452" i="1"/>
  <c r="R2451" i="1"/>
  <c r="Q2451" i="1"/>
  <c r="N2451" i="1"/>
  <c r="J2451" i="1"/>
  <c r="I2451" i="1"/>
  <c r="H2451" i="1"/>
  <c r="G2451" i="1"/>
  <c r="F2451" i="1"/>
  <c r="E2451" i="1"/>
  <c r="D2451" i="1"/>
  <c r="C2451" i="1"/>
  <c r="A2451" i="1"/>
  <c r="R2450" i="1"/>
  <c r="N2450" i="1"/>
  <c r="J2450" i="1"/>
  <c r="I2450" i="1"/>
  <c r="H2450" i="1"/>
  <c r="G2450" i="1"/>
  <c r="F2450" i="1"/>
  <c r="E2450" i="1"/>
  <c r="D2450" i="1"/>
  <c r="C2450" i="1"/>
  <c r="A2450" i="1"/>
  <c r="R2449" i="1"/>
  <c r="Q2449" i="1"/>
  <c r="N2449" i="1"/>
  <c r="J2449" i="1"/>
  <c r="I2449" i="1"/>
  <c r="H2449" i="1"/>
  <c r="G2449" i="1"/>
  <c r="F2449" i="1"/>
  <c r="E2449" i="1"/>
  <c r="D2449" i="1"/>
  <c r="C2449" i="1"/>
  <c r="A2449" i="1"/>
  <c r="R2448" i="1"/>
  <c r="N2448" i="1"/>
  <c r="J2448" i="1"/>
  <c r="I2448" i="1"/>
  <c r="H2448" i="1"/>
  <c r="G2448" i="1"/>
  <c r="F2448" i="1"/>
  <c r="E2448" i="1"/>
  <c r="D2448" i="1"/>
  <c r="C2448" i="1"/>
  <c r="A2448" i="1"/>
  <c r="R2447" i="1"/>
  <c r="Q2447" i="1"/>
  <c r="N2447" i="1"/>
  <c r="J2447" i="1"/>
  <c r="I2447" i="1"/>
  <c r="H2447" i="1"/>
  <c r="G2447" i="1"/>
  <c r="F2447" i="1"/>
  <c r="E2447" i="1"/>
  <c r="D2447" i="1"/>
  <c r="C2447" i="1"/>
  <c r="A2447" i="1"/>
  <c r="R2446" i="1"/>
  <c r="N2446" i="1"/>
  <c r="J2446" i="1"/>
  <c r="I2446" i="1"/>
  <c r="H2446" i="1"/>
  <c r="G2446" i="1"/>
  <c r="F2446" i="1"/>
  <c r="E2446" i="1"/>
  <c r="D2446" i="1"/>
  <c r="C2446" i="1"/>
  <c r="A2446" i="1"/>
  <c r="R2445" i="1"/>
  <c r="Q2445" i="1"/>
  <c r="N2445" i="1"/>
  <c r="J2445" i="1"/>
  <c r="I2445" i="1"/>
  <c r="H2445" i="1"/>
  <c r="G2445" i="1"/>
  <c r="F2445" i="1"/>
  <c r="E2445" i="1"/>
  <c r="D2445" i="1"/>
  <c r="C2445" i="1"/>
  <c r="A2445" i="1"/>
  <c r="R2444" i="1"/>
  <c r="Q2444" i="1"/>
  <c r="N2444" i="1"/>
  <c r="J2444" i="1"/>
  <c r="I2444" i="1"/>
  <c r="H2444" i="1"/>
  <c r="G2444" i="1"/>
  <c r="F2444" i="1"/>
  <c r="E2444" i="1"/>
  <c r="D2444" i="1"/>
  <c r="C2444" i="1"/>
  <c r="A2444" i="1"/>
  <c r="R2443" i="1"/>
  <c r="N2443" i="1"/>
  <c r="J2443" i="1"/>
  <c r="I2443" i="1"/>
  <c r="H2443" i="1"/>
  <c r="G2443" i="1"/>
  <c r="F2443" i="1"/>
  <c r="E2443" i="1"/>
  <c r="D2443" i="1"/>
  <c r="C2443" i="1"/>
  <c r="A2443" i="1"/>
  <c r="R2442" i="1"/>
  <c r="Q2442" i="1"/>
  <c r="N2442" i="1"/>
  <c r="J2442" i="1"/>
  <c r="I2442" i="1"/>
  <c r="H2442" i="1"/>
  <c r="G2442" i="1"/>
  <c r="F2442" i="1"/>
  <c r="E2442" i="1"/>
  <c r="D2442" i="1"/>
  <c r="C2442" i="1"/>
  <c r="A2442" i="1"/>
  <c r="R2441" i="1"/>
  <c r="N2441" i="1"/>
  <c r="J2441" i="1"/>
  <c r="I2441" i="1"/>
  <c r="H2441" i="1"/>
  <c r="G2441" i="1"/>
  <c r="F2441" i="1"/>
  <c r="E2441" i="1"/>
  <c r="D2441" i="1"/>
  <c r="C2441" i="1"/>
  <c r="B2441" i="1"/>
  <c r="A2441" i="1"/>
  <c r="R2440" i="1"/>
  <c r="N2440" i="1"/>
  <c r="J2440" i="1"/>
  <c r="I2440" i="1"/>
  <c r="H2440" i="1"/>
  <c r="G2440" i="1"/>
  <c r="F2440" i="1"/>
  <c r="E2440" i="1"/>
  <c r="D2440" i="1"/>
  <c r="C2440" i="1"/>
  <c r="B2440" i="1"/>
  <c r="A2440" i="1"/>
  <c r="R2439" i="1"/>
  <c r="N2439" i="1"/>
  <c r="J2439" i="1"/>
  <c r="I2439" i="1"/>
  <c r="H2439" i="1"/>
  <c r="G2439" i="1"/>
  <c r="F2439" i="1"/>
  <c r="E2439" i="1"/>
  <c r="D2439" i="1"/>
  <c r="C2439" i="1"/>
  <c r="B2439" i="1"/>
  <c r="A2439" i="1"/>
  <c r="R2438" i="1"/>
  <c r="N2438" i="1"/>
  <c r="J2438" i="1"/>
  <c r="I2438" i="1"/>
  <c r="H2438" i="1"/>
  <c r="G2438" i="1"/>
  <c r="F2438" i="1"/>
  <c r="E2438" i="1"/>
  <c r="D2438" i="1"/>
  <c r="C2438" i="1"/>
  <c r="B2438" i="1"/>
  <c r="A2438" i="1"/>
  <c r="R2437" i="1"/>
  <c r="Q2437" i="1"/>
  <c r="N2437" i="1"/>
  <c r="J2437" i="1"/>
  <c r="I2437" i="1"/>
  <c r="H2437" i="1"/>
  <c r="G2437" i="1"/>
  <c r="F2437" i="1"/>
  <c r="E2437" i="1"/>
  <c r="D2437" i="1"/>
  <c r="C2437" i="1"/>
  <c r="A2437" i="1"/>
  <c r="R2436" i="1"/>
  <c r="N2436" i="1"/>
  <c r="J2436" i="1"/>
  <c r="I2436" i="1"/>
  <c r="H2436" i="1"/>
  <c r="G2436" i="1"/>
  <c r="F2436" i="1"/>
  <c r="E2436" i="1"/>
  <c r="D2436" i="1"/>
  <c r="C2436" i="1"/>
  <c r="A2436" i="1"/>
  <c r="R2435" i="1"/>
  <c r="Q2435" i="1"/>
  <c r="N2435" i="1"/>
  <c r="J2435" i="1"/>
  <c r="I2435" i="1"/>
  <c r="H2435" i="1"/>
  <c r="G2435" i="1"/>
  <c r="F2435" i="1"/>
  <c r="E2435" i="1"/>
  <c r="D2435" i="1"/>
  <c r="C2435" i="1"/>
  <c r="A2435" i="1"/>
  <c r="R2434" i="1"/>
  <c r="N2434" i="1"/>
  <c r="J2434" i="1"/>
  <c r="I2434" i="1"/>
  <c r="H2434" i="1"/>
  <c r="G2434" i="1"/>
  <c r="F2434" i="1"/>
  <c r="E2434" i="1"/>
  <c r="D2434" i="1"/>
  <c r="C2434" i="1"/>
  <c r="A2434" i="1"/>
  <c r="R2433" i="1"/>
  <c r="Q2433" i="1"/>
  <c r="N2433" i="1"/>
  <c r="J2433" i="1"/>
  <c r="I2433" i="1"/>
  <c r="H2433" i="1"/>
  <c r="G2433" i="1"/>
  <c r="F2433" i="1"/>
  <c r="E2433" i="1"/>
  <c r="D2433" i="1"/>
  <c r="C2433" i="1"/>
  <c r="A2433" i="1"/>
  <c r="R2432" i="1"/>
  <c r="N2432" i="1"/>
  <c r="J2432" i="1"/>
  <c r="I2432" i="1"/>
  <c r="H2432" i="1"/>
  <c r="G2432" i="1"/>
  <c r="F2432" i="1"/>
  <c r="E2432" i="1"/>
  <c r="D2432" i="1"/>
  <c r="C2432" i="1"/>
  <c r="A2432" i="1"/>
  <c r="R2431" i="1"/>
  <c r="Q2431" i="1"/>
  <c r="N2431" i="1"/>
  <c r="J2431" i="1"/>
  <c r="I2431" i="1"/>
  <c r="H2431" i="1"/>
  <c r="G2431" i="1"/>
  <c r="F2431" i="1"/>
  <c r="E2431" i="1"/>
  <c r="D2431" i="1"/>
  <c r="C2431" i="1"/>
  <c r="A2431" i="1"/>
  <c r="R2430" i="1"/>
  <c r="Q2430" i="1"/>
  <c r="N2430" i="1"/>
  <c r="J2430" i="1"/>
  <c r="I2430" i="1"/>
  <c r="H2430" i="1"/>
  <c r="G2430" i="1"/>
  <c r="F2430" i="1"/>
  <c r="E2430" i="1"/>
  <c r="D2430" i="1"/>
  <c r="C2430" i="1"/>
  <c r="A2430" i="1"/>
  <c r="R2429" i="1"/>
  <c r="Q2429" i="1"/>
  <c r="N2429" i="1"/>
  <c r="J2429" i="1"/>
  <c r="I2429" i="1"/>
  <c r="H2429" i="1"/>
  <c r="G2429" i="1"/>
  <c r="F2429" i="1"/>
  <c r="E2429" i="1"/>
  <c r="D2429" i="1"/>
  <c r="C2429" i="1"/>
  <c r="A2429" i="1"/>
  <c r="R2428" i="1"/>
  <c r="Q2428" i="1"/>
  <c r="N2428" i="1"/>
  <c r="J2428" i="1"/>
  <c r="I2428" i="1"/>
  <c r="H2428" i="1"/>
  <c r="G2428" i="1"/>
  <c r="F2428" i="1"/>
  <c r="E2428" i="1"/>
  <c r="D2428" i="1"/>
  <c r="C2428" i="1"/>
  <c r="A2428" i="1"/>
  <c r="R2427" i="1"/>
  <c r="Q2427" i="1"/>
  <c r="N2427" i="1"/>
  <c r="J2427" i="1"/>
  <c r="I2427" i="1"/>
  <c r="H2427" i="1"/>
  <c r="G2427" i="1"/>
  <c r="F2427" i="1"/>
  <c r="E2427" i="1"/>
  <c r="D2427" i="1"/>
  <c r="C2427" i="1"/>
  <c r="A2427" i="1"/>
  <c r="R2426" i="1"/>
  <c r="Q2426" i="1"/>
  <c r="N2426" i="1"/>
  <c r="J2426" i="1"/>
  <c r="I2426" i="1"/>
  <c r="H2426" i="1"/>
  <c r="G2426" i="1"/>
  <c r="F2426" i="1"/>
  <c r="E2426" i="1"/>
  <c r="D2426" i="1"/>
  <c r="C2426" i="1"/>
  <c r="A2426" i="1"/>
  <c r="R2425" i="1"/>
  <c r="Q2425" i="1"/>
  <c r="N2425" i="1"/>
  <c r="J2425" i="1"/>
  <c r="I2425" i="1"/>
  <c r="H2425" i="1"/>
  <c r="G2425" i="1"/>
  <c r="F2425" i="1"/>
  <c r="E2425" i="1"/>
  <c r="D2425" i="1"/>
  <c r="C2425" i="1"/>
  <c r="A2425" i="1"/>
  <c r="R2424" i="1"/>
  <c r="Q2424" i="1"/>
  <c r="N2424" i="1"/>
  <c r="J2424" i="1"/>
  <c r="I2424" i="1"/>
  <c r="H2424" i="1"/>
  <c r="G2424" i="1"/>
  <c r="F2424" i="1"/>
  <c r="E2424" i="1"/>
  <c r="D2424" i="1"/>
  <c r="C2424" i="1"/>
  <c r="A2424" i="1"/>
  <c r="R2423" i="1"/>
  <c r="N2423" i="1"/>
  <c r="J2423" i="1"/>
  <c r="I2423" i="1"/>
  <c r="H2423" i="1"/>
  <c r="G2423" i="1"/>
  <c r="F2423" i="1"/>
  <c r="E2423" i="1"/>
  <c r="D2423" i="1"/>
  <c r="C2423" i="1"/>
  <c r="A2423" i="1"/>
  <c r="R2422" i="1"/>
  <c r="Q2422" i="1"/>
  <c r="N2422" i="1"/>
  <c r="J2422" i="1"/>
  <c r="I2422" i="1"/>
  <c r="H2422" i="1"/>
  <c r="G2422" i="1"/>
  <c r="F2422" i="1"/>
  <c r="E2422" i="1"/>
  <c r="D2422" i="1"/>
  <c r="C2422" i="1"/>
  <c r="A2422" i="1"/>
  <c r="R2421" i="1"/>
  <c r="Q2421" i="1"/>
  <c r="N2421" i="1"/>
  <c r="J2421" i="1"/>
  <c r="I2421" i="1"/>
  <c r="H2421" i="1"/>
  <c r="G2421" i="1"/>
  <c r="F2421" i="1"/>
  <c r="E2421" i="1"/>
  <c r="D2421" i="1"/>
  <c r="C2421" i="1"/>
  <c r="A2421" i="1"/>
  <c r="R2420" i="1"/>
  <c r="Q2420" i="1"/>
  <c r="N2420" i="1"/>
  <c r="J2420" i="1"/>
  <c r="I2420" i="1"/>
  <c r="H2420" i="1"/>
  <c r="G2420" i="1"/>
  <c r="F2420" i="1"/>
  <c r="E2420" i="1"/>
  <c r="D2420" i="1"/>
  <c r="C2420" i="1"/>
  <c r="A2420" i="1"/>
  <c r="R2419" i="1"/>
  <c r="Q2419" i="1"/>
  <c r="N2419" i="1"/>
  <c r="J2419" i="1"/>
  <c r="I2419" i="1"/>
  <c r="H2419" i="1"/>
  <c r="G2419" i="1"/>
  <c r="F2419" i="1"/>
  <c r="E2419" i="1"/>
  <c r="D2419" i="1"/>
  <c r="C2419" i="1"/>
  <c r="A2419" i="1"/>
  <c r="R2418" i="1"/>
  <c r="Q2418" i="1"/>
  <c r="N2418" i="1"/>
  <c r="J2418" i="1"/>
  <c r="I2418" i="1"/>
  <c r="H2418" i="1"/>
  <c r="G2418" i="1"/>
  <c r="F2418" i="1"/>
  <c r="E2418" i="1"/>
  <c r="D2418" i="1"/>
  <c r="C2418" i="1"/>
  <c r="A2418" i="1"/>
  <c r="R2417" i="1"/>
  <c r="Q2417" i="1"/>
  <c r="N2417" i="1"/>
  <c r="J2417" i="1"/>
  <c r="I2417" i="1"/>
  <c r="H2417" i="1"/>
  <c r="G2417" i="1"/>
  <c r="F2417" i="1"/>
  <c r="E2417" i="1"/>
  <c r="D2417" i="1"/>
  <c r="C2417" i="1"/>
  <c r="A2417" i="1"/>
  <c r="R2416" i="1"/>
  <c r="Q2416" i="1"/>
  <c r="N2416" i="1"/>
  <c r="J2416" i="1"/>
  <c r="I2416" i="1"/>
  <c r="H2416" i="1"/>
  <c r="G2416" i="1"/>
  <c r="F2416" i="1"/>
  <c r="E2416" i="1"/>
  <c r="D2416" i="1"/>
  <c r="C2416" i="1"/>
  <c r="A2416" i="1"/>
  <c r="R2415" i="1"/>
  <c r="Q2415" i="1"/>
  <c r="N2415" i="1"/>
  <c r="J2415" i="1"/>
  <c r="I2415" i="1"/>
  <c r="H2415" i="1"/>
  <c r="G2415" i="1"/>
  <c r="F2415" i="1"/>
  <c r="E2415" i="1"/>
  <c r="D2415" i="1"/>
  <c r="C2415" i="1"/>
  <c r="A2415" i="1"/>
  <c r="R2414" i="1"/>
  <c r="Q2414" i="1"/>
  <c r="N2414" i="1"/>
  <c r="J2414" i="1"/>
  <c r="I2414" i="1"/>
  <c r="H2414" i="1"/>
  <c r="G2414" i="1"/>
  <c r="F2414" i="1"/>
  <c r="E2414" i="1"/>
  <c r="D2414" i="1"/>
  <c r="C2414" i="1"/>
  <c r="A2414" i="1"/>
  <c r="R2413" i="1"/>
  <c r="Q2413" i="1"/>
  <c r="N2413" i="1"/>
  <c r="J2413" i="1"/>
  <c r="I2413" i="1"/>
  <c r="H2413" i="1"/>
  <c r="G2413" i="1"/>
  <c r="F2413" i="1"/>
  <c r="E2413" i="1"/>
  <c r="D2413" i="1"/>
  <c r="C2413" i="1"/>
  <c r="A2413" i="1"/>
  <c r="R2412" i="1"/>
  <c r="Q2412" i="1"/>
  <c r="N2412" i="1"/>
  <c r="J2412" i="1"/>
  <c r="I2412" i="1"/>
  <c r="H2412" i="1"/>
  <c r="G2412" i="1"/>
  <c r="F2412" i="1"/>
  <c r="E2412" i="1"/>
  <c r="D2412" i="1"/>
  <c r="C2412" i="1"/>
  <c r="A2412" i="1"/>
  <c r="R2411" i="1"/>
  <c r="Q2411" i="1"/>
  <c r="N2411" i="1"/>
  <c r="J2411" i="1"/>
  <c r="I2411" i="1"/>
  <c r="H2411" i="1"/>
  <c r="G2411" i="1"/>
  <c r="F2411" i="1"/>
  <c r="E2411" i="1"/>
  <c r="D2411" i="1"/>
  <c r="C2411" i="1"/>
  <c r="A2411" i="1"/>
  <c r="R2410" i="1"/>
  <c r="Q2410" i="1"/>
  <c r="N2410" i="1"/>
  <c r="J2410" i="1"/>
  <c r="I2410" i="1"/>
  <c r="H2410" i="1"/>
  <c r="G2410" i="1"/>
  <c r="F2410" i="1"/>
  <c r="E2410" i="1"/>
  <c r="D2410" i="1"/>
  <c r="C2410" i="1"/>
  <c r="A2410" i="1"/>
  <c r="R2409" i="1"/>
  <c r="Q2409" i="1"/>
  <c r="N2409" i="1"/>
  <c r="J2409" i="1"/>
  <c r="I2409" i="1"/>
  <c r="H2409" i="1"/>
  <c r="G2409" i="1"/>
  <c r="F2409" i="1"/>
  <c r="E2409" i="1"/>
  <c r="D2409" i="1"/>
  <c r="C2409" i="1"/>
  <c r="A2409" i="1"/>
  <c r="R2408" i="1"/>
  <c r="Q2408" i="1"/>
  <c r="N2408" i="1"/>
  <c r="J2408" i="1"/>
  <c r="I2408" i="1"/>
  <c r="H2408" i="1"/>
  <c r="G2408" i="1"/>
  <c r="F2408" i="1"/>
  <c r="E2408" i="1"/>
  <c r="D2408" i="1"/>
  <c r="C2408" i="1"/>
  <c r="A2408" i="1"/>
  <c r="R2407" i="1"/>
  <c r="Q2407" i="1"/>
  <c r="N2407" i="1"/>
  <c r="J2407" i="1"/>
  <c r="I2407" i="1"/>
  <c r="H2407" i="1"/>
  <c r="G2407" i="1"/>
  <c r="F2407" i="1"/>
  <c r="E2407" i="1"/>
  <c r="D2407" i="1"/>
  <c r="C2407" i="1"/>
  <c r="A2407" i="1"/>
  <c r="R2406" i="1"/>
  <c r="Q2406" i="1"/>
  <c r="N2406" i="1"/>
  <c r="J2406" i="1"/>
  <c r="I2406" i="1"/>
  <c r="H2406" i="1"/>
  <c r="G2406" i="1"/>
  <c r="F2406" i="1"/>
  <c r="E2406" i="1"/>
  <c r="D2406" i="1"/>
  <c r="C2406" i="1"/>
  <c r="A2406" i="1"/>
  <c r="R2405" i="1"/>
  <c r="Q2405" i="1"/>
  <c r="N2405" i="1"/>
  <c r="J2405" i="1"/>
  <c r="I2405" i="1"/>
  <c r="H2405" i="1"/>
  <c r="G2405" i="1"/>
  <c r="F2405" i="1"/>
  <c r="E2405" i="1"/>
  <c r="D2405" i="1"/>
  <c r="C2405" i="1"/>
  <c r="A2405" i="1"/>
  <c r="R2404" i="1"/>
  <c r="Q2404" i="1"/>
  <c r="N2404" i="1"/>
  <c r="J2404" i="1"/>
  <c r="I2404" i="1"/>
  <c r="H2404" i="1"/>
  <c r="G2404" i="1"/>
  <c r="F2404" i="1"/>
  <c r="E2404" i="1"/>
  <c r="D2404" i="1"/>
  <c r="C2404" i="1"/>
  <c r="A2404" i="1"/>
  <c r="R2403" i="1"/>
  <c r="Q2403" i="1"/>
  <c r="N2403" i="1"/>
  <c r="J2403" i="1"/>
  <c r="I2403" i="1"/>
  <c r="H2403" i="1"/>
  <c r="G2403" i="1"/>
  <c r="F2403" i="1"/>
  <c r="E2403" i="1"/>
  <c r="D2403" i="1"/>
  <c r="C2403" i="1"/>
  <c r="A2403" i="1"/>
  <c r="R2402" i="1"/>
  <c r="Q2402" i="1"/>
  <c r="N2402" i="1"/>
  <c r="J2402" i="1"/>
  <c r="I2402" i="1"/>
  <c r="H2402" i="1"/>
  <c r="G2402" i="1"/>
  <c r="F2402" i="1"/>
  <c r="E2402" i="1"/>
  <c r="D2402" i="1"/>
  <c r="C2402" i="1"/>
  <c r="A2402" i="1"/>
  <c r="R2401" i="1"/>
  <c r="Q2401" i="1"/>
  <c r="N2401" i="1"/>
  <c r="J2401" i="1"/>
  <c r="I2401" i="1"/>
  <c r="H2401" i="1"/>
  <c r="G2401" i="1"/>
  <c r="F2401" i="1"/>
  <c r="E2401" i="1"/>
  <c r="D2401" i="1"/>
  <c r="C2401" i="1"/>
  <c r="A2401" i="1"/>
  <c r="R2400" i="1"/>
  <c r="Q2400" i="1"/>
  <c r="N2400" i="1"/>
  <c r="J2400" i="1"/>
  <c r="I2400" i="1"/>
  <c r="H2400" i="1"/>
  <c r="G2400" i="1"/>
  <c r="F2400" i="1"/>
  <c r="E2400" i="1"/>
  <c r="D2400" i="1"/>
  <c r="C2400" i="1"/>
  <c r="A2400" i="1"/>
  <c r="R2399" i="1"/>
  <c r="Q2399" i="1"/>
  <c r="N2399" i="1"/>
  <c r="J2399" i="1"/>
  <c r="I2399" i="1"/>
  <c r="H2399" i="1"/>
  <c r="G2399" i="1"/>
  <c r="F2399" i="1"/>
  <c r="E2399" i="1"/>
  <c r="D2399" i="1"/>
  <c r="C2399" i="1"/>
  <c r="A2399" i="1"/>
  <c r="R2398" i="1"/>
  <c r="Q2398" i="1"/>
  <c r="N2398" i="1"/>
  <c r="J2398" i="1"/>
  <c r="I2398" i="1"/>
  <c r="H2398" i="1"/>
  <c r="G2398" i="1"/>
  <c r="F2398" i="1"/>
  <c r="E2398" i="1"/>
  <c r="D2398" i="1"/>
  <c r="C2398" i="1"/>
  <c r="A2398" i="1"/>
  <c r="R2397" i="1"/>
  <c r="Q2397" i="1"/>
  <c r="N2397" i="1"/>
  <c r="J2397" i="1"/>
  <c r="I2397" i="1"/>
  <c r="H2397" i="1"/>
  <c r="G2397" i="1"/>
  <c r="F2397" i="1"/>
  <c r="E2397" i="1"/>
  <c r="D2397" i="1"/>
  <c r="C2397" i="1"/>
  <c r="A2397" i="1"/>
  <c r="R2396" i="1"/>
  <c r="Q2396" i="1"/>
  <c r="N2396" i="1"/>
  <c r="J2396" i="1"/>
  <c r="I2396" i="1"/>
  <c r="H2396" i="1"/>
  <c r="G2396" i="1"/>
  <c r="F2396" i="1"/>
  <c r="E2396" i="1"/>
  <c r="D2396" i="1"/>
  <c r="C2396" i="1"/>
  <c r="A2396" i="1"/>
  <c r="R2395" i="1"/>
  <c r="Q2395" i="1"/>
  <c r="N2395" i="1"/>
  <c r="J2395" i="1"/>
  <c r="I2395" i="1"/>
  <c r="H2395" i="1"/>
  <c r="G2395" i="1"/>
  <c r="F2395" i="1"/>
  <c r="E2395" i="1"/>
  <c r="D2395" i="1"/>
  <c r="C2395" i="1"/>
  <c r="A2395" i="1"/>
  <c r="R2394" i="1"/>
  <c r="Q2394" i="1"/>
  <c r="N2394" i="1"/>
  <c r="J2394" i="1"/>
  <c r="I2394" i="1"/>
  <c r="H2394" i="1"/>
  <c r="G2394" i="1"/>
  <c r="F2394" i="1"/>
  <c r="E2394" i="1"/>
  <c r="D2394" i="1"/>
  <c r="C2394" i="1"/>
  <c r="A2394" i="1"/>
  <c r="R2393" i="1"/>
  <c r="Q2393" i="1"/>
  <c r="N2393" i="1"/>
  <c r="J2393" i="1"/>
  <c r="I2393" i="1"/>
  <c r="H2393" i="1"/>
  <c r="G2393" i="1"/>
  <c r="F2393" i="1"/>
  <c r="E2393" i="1"/>
  <c r="D2393" i="1"/>
  <c r="C2393" i="1"/>
  <c r="A2393" i="1"/>
  <c r="R2392" i="1"/>
  <c r="Q2392" i="1"/>
  <c r="N2392" i="1"/>
  <c r="J2392" i="1"/>
  <c r="I2392" i="1"/>
  <c r="H2392" i="1"/>
  <c r="G2392" i="1"/>
  <c r="F2392" i="1"/>
  <c r="E2392" i="1"/>
  <c r="D2392" i="1"/>
  <c r="C2392" i="1"/>
  <c r="A2392" i="1"/>
  <c r="R2391" i="1"/>
  <c r="Q2391" i="1"/>
  <c r="N2391" i="1"/>
  <c r="J2391" i="1"/>
  <c r="I2391" i="1"/>
  <c r="H2391" i="1"/>
  <c r="G2391" i="1"/>
  <c r="F2391" i="1"/>
  <c r="E2391" i="1"/>
  <c r="D2391" i="1"/>
  <c r="C2391" i="1"/>
  <c r="A2391" i="1"/>
  <c r="R2390" i="1"/>
  <c r="Q2390" i="1"/>
  <c r="N2390" i="1"/>
  <c r="J2390" i="1"/>
  <c r="I2390" i="1"/>
  <c r="H2390" i="1"/>
  <c r="G2390" i="1"/>
  <c r="F2390" i="1"/>
  <c r="E2390" i="1"/>
  <c r="D2390" i="1"/>
  <c r="C2390" i="1"/>
  <c r="A2390" i="1"/>
  <c r="R2389" i="1"/>
  <c r="Q2389" i="1"/>
  <c r="N2389" i="1"/>
  <c r="J2389" i="1"/>
  <c r="I2389" i="1"/>
  <c r="H2389" i="1"/>
  <c r="G2389" i="1"/>
  <c r="F2389" i="1"/>
  <c r="E2389" i="1"/>
  <c r="D2389" i="1"/>
  <c r="C2389" i="1"/>
  <c r="A2389" i="1"/>
  <c r="R2388" i="1"/>
  <c r="Q2388" i="1"/>
  <c r="N2388" i="1"/>
  <c r="J2388" i="1"/>
  <c r="I2388" i="1"/>
  <c r="H2388" i="1"/>
  <c r="G2388" i="1"/>
  <c r="F2388" i="1"/>
  <c r="E2388" i="1"/>
  <c r="D2388" i="1"/>
  <c r="C2388" i="1"/>
  <c r="A2388" i="1"/>
  <c r="R2387" i="1"/>
  <c r="Q2387" i="1"/>
  <c r="N2387" i="1"/>
  <c r="J2387" i="1"/>
  <c r="I2387" i="1"/>
  <c r="H2387" i="1"/>
  <c r="G2387" i="1"/>
  <c r="F2387" i="1"/>
  <c r="E2387" i="1"/>
  <c r="D2387" i="1"/>
  <c r="C2387" i="1"/>
  <c r="A2387" i="1"/>
  <c r="R2386" i="1"/>
  <c r="Q2386" i="1"/>
  <c r="N2386" i="1"/>
  <c r="J2386" i="1"/>
  <c r="I2386" i="1"/>
  <c r="H2386" i="1"/>
  <c r="G2386" i="1"/>
  <c r="F2386" i="1"/>
  <c r="E2386" i="1"/>
  <c r="D2386" i="1"/>
  <c r="C2386" i="1"/>
  <c r="A2386" i="1"/>
  <c r="R2385" i="1"/>
  <c r="Q2385" i="1"/>
  <c r="N2385" i="1"/>
  <c r="J2385" i="1"/>
  <c r="I2385" i="1"/>
  <c r="H2385" i="1"/>
  <c r="G2385" i="1"/>
  <c r="F2385" i="1"/>
  <c r="E2385" i="1"/>
  <c r="D2385" i="1"/>
  <c r="C2385" i="1"/>
  <c r="A2385" i="1"/>
  <c r="R2384" i="1"/>
  <c r="Q2384" i="1"/>
  <c r="N2384" i="1"/>
  <c r="J2384" i="1"/>
  <c r="I2384" i="1"/>
  <c r="H2384" i="1"/>
  <c r="G2384" i="1"/>
  <c r="F2384" i="1"/>
  <c r="E2384" i="1"/>
  <c r="D2384" i="1"/>
  <c r="C2384" i="1"/>
  <c r="A2384" i="1"/>
  <c r="R2383" i="1"/>
  <c r="Q2383" i="1"/>
  <c r="N2383" i="1"/>
  <c r="J2383" i="1"/>
  <c r="I2383" i="1"/>
  <c r="H2383" i="1"/>
  <c r="G2383" i="1"/>
  <c r="F2383" i="1"/>
  <c r="E2383" i="1"/>
  <c r="D2383" i="1"/>
  <c r="C2383" i="1"/>
  <c r="A2383" i="1"/>
  <c r="R2382" i="1"/>
  <c r="Q2382" i="1"/>
  <c r="N2382" i="1"/>
  <c r="J2382" i="1"/>
  <c r="I2382" i="1"/>
  <c r="H2382" i="1"/>
  <c r="G2382" i="1"/>
  <c r="F2382" i="1"/>
  <c r="E2382" i="1"/>
  <c r="D2382" i="1"/>
  <c r="C2382" i="1"/>
  <c r="A2382" i="1"/>
  <c r="R2381" i="1"/>
  <c r="Q2381" i="1"/>
  <c r="N2381" i="1"/>
  <c r="J2381" i="1"/>
  <c r="I2381" i="1"/>
  <c r="H2381" i="1"/>
  <c r="G2381" i="1"/>
  <c r="F2381" i="1"/>
  <c r="E2381" i="1"/>
  <c r="D2381" i="1"/>
  <c r="C2381" i="1"/>
  <c r="A2381" i="1"/>
  <c r="R2380" i="1"/>
  <c r="Q2380" i="1"/>
  <c r="N2380" i="1"/>
  <c r="J2380" i="1"/>
  <c r="I2380" i="1"/>
  <c r="H2380" i="1"/>
  <c r="G2380" i="1"/>
  <c r="F2380" i="1"/>
  <c r="E2380" i="1"/>
  <c r="D2380" i="1"/>
  <c r="C2380" i="1"/>
  <c r="A2380" i="1"/>
  <c r="R2379" i="1"/>
  <c r="Q2379" i="1"/>
  <c r="N2379" i="1"/>
  <c r="J2379" i="1"/>
  <c r="I2379" i="1"/>
  <c r="H2379" i="1"/>
  <c r="G2379" i="1"/>
  <c r="F2379" i="1"/>
  <c r="E2379" i="1"/>
  <c r="D2379" i="1"/>
  <c r="C2379" i="1"/>
  <c r="A2379" i="1"/>
  <c r="R2378" i="1"/>
  <c r="Q2378" i="1"/>
  <c r="N2378" i="1"/>
  <c r="J2378" i="1"/>
  <c r="I2378" i="1"/>
  <c r="H2378" i="1"/>
  <c r="G2378" i="1"/>
  <c r="F2378" i="1"/>
  <c r="E2378" i="1"/>
  <c r="D2378" i="1"/>
  <c r="C2378" i="1"/>
  <c r="A2378" i="1"/>
  <c r="R2377" i="1"/>
  <c r="N2377" i="1"/>
  <c r="J2377" i="1"/>
  <c r="I2377" i="1"/>
  <c r="H2377" i="1"/>
  <c r="G2377" i="1"/>
  <c r="F2377" i="1"/>
  <c r="E2377" i="1"/>
  <c r="D2377" i="1"/>
  <c r="C2377" i="1"/>
  <c r="A2377" i="1"/>
  <c r="R2376" i="1"/>
  <c r="Q2376" i="1"/>
  <c r="N2376" i="1"/>
  <c r="J2376" i="1"/>
  <c r="I2376" i="1"/>
  <c r="H2376" i="1"/>
  <c r="G2376" i="1"/>
  <c r="F2376" i="1"/>
  <c r="E2376" i="1"/>
  <c r="D2376" i="1"/>
  <c r="C2376" i="1"/>
  <c r="A2376" i="1"/>
  <c r="R2375" i="1"/>
  <c r="Q2375" i="1"/>
  <c r="N2375" i="1"/>
  <c r="J2375" i="1"/>
  <c r="I2375" i="1"/>
  <c r="H2375" i="1"/>
  <c r="G2375" i="1"/>
  <c r="F2375" i="1"/>
  <c r="E2375" i="1"/>
  <c r="D2375" i="1"/>
  <c r="C2375" i="1"/>
  <c r="A2375" i="1"/>
  <c r="R2374" i="1"/>
  <c r="Q2374" i="1"/>
  <c r="N2374" i="1"/>
  <c r="J2374" i="1"/>
  <c r="I2374" i="1"/>
  <c r="H2374" i="1"/>
  <c r="G2374" i="1"/>
  <c r="F2374" i="1"/>
  <c r="E2374" i="1"/>
  <c r="D2374" i="1"/>
  <c r="C2374" i="1"/>
  <c r="A2374" i="1"/>
  <c r="R2373" i="1"/>
  <c r="Q2373" i="1"/>
  <c r="N2373" i="1"/>
  <c r="J2373" i="1"/>
  <c r="I2373" i="1"/>
  <c r="H2373" i="1"/>
  <c r="G2373" i="1"/>
  <c r="F2373" i="1"/>
  <c r="E2373" i="1"/>
  <c r="D2373" i="1"/>
  <c r="C2373" i="1"/>
  <c r="A2373" i="1"/>
  <c r="R2372" i="1"/>
  <c r="Q2372" i="1"/>
  <c r="N2372" i="1"/>
  <c r="J2372" i="1"/>
  <c r="I2372" i="1"/>
  <c r="H2372" i="1"/>
  <c r="G2372" i="1"/>
  <c r="F2372" i="1"/>
  <c r="E2372" i="1"/>
  <c r="D2372" i="1"/>
  <c r="C2372" i="1"/>
  <c r="A2372" i="1"/>
  <c r="R2371" i="1"/>
  <c r="Q2371" i="1"/>
  <c r="N2371" i="1"/>
  <c r="J2371" i="1"/>
  <c r="I2371" i="1"/>
  <c r="H2371" i="1"/>
  <c r="G2371" i="1"/>
  <c r="F2371" i="1"/>
  <c r="E2371" i="1"/>
  <c r="D2371" i="1"/>
  <c r="C2371" i="1"/>
  <c r="A2371" i="1"/>
  <c r="R2370" i="1"/>
  <c r="Q2370" i="1"/>
  <c r="N2370" i="1"/>
  <c r="J2370" i="1"/>
  <c r="I2370" i="1"/>
  <c r="H2370" i="1"/>
  <c r="G2370" i="1"/>
  <c r="F2370" i="1"/>
  <c r="E2370" i="1"/>
  <c r="D2370" i="1"/>
  <c r="C2370" i="1"/>
  <c r="A2370" i="1"/>
  <c r="R2369" i="1"/>
  <c r="Q2369" i="1"/>
  <c r="N2369" i="1"/>
  <c r="J2369" i="1"/>
  <c r="I2369" i="1"/>
  <c r="H2369" i="1"/>
  <c r="G2369" i="1"/>
  <c r="F2369" i="1"/>
  <c r="E2369" i="1"/>
  <c r="D2369" i="1"/>
  <c r="C2369" i="1"/>
  <c r="A2369" i="1"/>
  <c r="R2368" i="1"/>
  <c r="Q2368" i="1"/>
  <c r="N2368" i="1"/>
  <c r="J2368" i="1"/>
  <c r="I2368" i="1"/>
  <c r="H2368" i="1"/>
  <c r="G2368" i="1"/>
  <c r="F2368" i="1"/>
  <c r="E2368" i="1"/>
  <c r="D2368" i="1"/>
  <c r="C2368" i="1"/>
  <c r="A2368" i="1"/>
  <c r="R2367" i="1"/>
  <c r="Q2367" i="1"/>
  <c r="N2367" i="1"/>
  <c r="J2367" i="1"/>
  <c r="I2367" i="1"/>
  <c r="H2367" i="1"/>
  <c r="G2367" i="1"/>
  <c r="F2367" i="1"/>
  <c r="E2367" i="1"/>
  <c r="D2367" i="1"/>
  <c r="C2367" i="1"/>
  <c r="A2367" i="1"/>
  <c r="R2366" i="1"/>
  <c r="Q2366" i="1"/>
  <c r="N2366" i="1"/>
  <c r="J2366" i="1"/>
  <c r="I2366" i="1"/>
  <c r="H2366" i="1"/>
  <c r="G2366" i="1"/>
  <c r="F2366" i="1"/>
  <c r="E2366" i="1"/>
  <c r="D2366" i="1"/>
  <c r="C2366" i="1"/>
  <c r="A2366" i="1"/>
  <c r="R2365" i="1"/>
  <c r="N2365" i="1"/>
  <c r="J2365" i="1"/>
  <c r="I2365" i="1"/>
  <c r="H2365" i="1"/>
  <c r="G2365" i="1"/>
  <c r="F2365" i="1"/>
  <c r="E2365" i="1"/>
  <c r="D2365" i="1"/>
  <c r="C2365" i="1"/>
  <c r="B2365" i="1"/>
  <c r="A2365" i="1"/>
  <c r="R2364" i="1"/>
  <c r="Q2364" i="1"/>
  <c r="N2364" i="1"/>
  <c r="J2364" i="1"/>
  <c r="I2364" i="1"/>
  <c r="H2364" i="1"/>
  <c r="G2364" i="1"/>
  <c r="F2364" i="1"/>
  <c r="E2364" i="1"/>
  <c r="D2364" i="1"/>
  <c r="C2364" i="1"/>
  <c r="B2364" i="1"/>
  <c r="A2364" i="1"/>
  <c r="R2363" i="1"/>
  <c r="N2363" i="1"/>
  <c r="J2363" i="1"/>
  <c r="I2363" i="1"/>
  <c r="H2363" i="1"/>
  <c r="G2363" i="1"/>
  <c r="F2363" i="1"/>
  <c r="E2363" i="1"/>
  <c r="D2363" i="1"/>
  <c r="C2363" i="1"/>
  <c r="B2363" i="1"/>
  <c r="A2363" i="1"/>
  <c r="R2362" i="1"/>
  <c r="Q2362" i="1"/>
  <c r="N2362" i="1"/>
  <c r="J2362" i="1"/>
  <c r="I2362" i="1"/>
  <c r="H2362" i="1"/>
  <c r="G2362" i="1"/>
  <c r="F2362" i="1"/>
  <c r="E2362" i="1"/>
  <c r="D2362" i="1"/>
  <c r="C2362" i="1"/>
  <c r="B2362" i="1"/>
  <c r="A2362" i="1"/>
  <c r="R2361" i="1"/>
  <c r="N2361" i="1"/>
  <c r="J2361" i="1"/>
  <c r="I2361" i="1"/>
  <c r="H2361" i="1"/>
  <c r="G2361" i="1"/>
  <c r="F2361" i="1"/>
  <c r="E2361" i="1"/>
  <c r="D2361" i="1"/>
  <c r="C2361" i="1"/>
  <c r="B2361" i="1"/>
  <c r="A2361" i="1"/>
  <c r="R2360" i="1"/>
  <c r="Q2360" i="1"/>
  <c r="N2360" i="1"/>
  <c r="J2360" i="1"/>
  <c r="I2360" i="1"/>
  <c r="H2360" i="1"/>
  <c r="G2360" i="1"/>
  <c r="F2360" i="1"/>
  <c r="E2360" i="1"/>
  <c r="D2360" i="1"/>
  <c r="C2360" i="1"/>
  <c r="B2360" i="1"/>
  <c r="A2360" i="1"/>
  <c r="R2359" i="1"/>
  <c r="N2359" i="1"/>
  <c r="J2359" i="1"/>
  <c r="I2359" i="1"/>
  <c r="H2359" i="1"/>
  <c r="G2359" i="1"/>
  <c r="F2359" i="1"/>
  <c r="E2359" i="1"/>
  <c r="D2359" i="1"/>
  <c r="C2359" i="1"/>
  <c r="B2359" i="1"/>
  <c r="A2359" i="1"/>
  <c r="R2358" i="1"/>
  <c r="N2358" i="1"/>
  <c r="J2358" i="1"/>
  <c r="I2358" i="1"/>
  <c r="H2358" i="1"/>
  <c r="G2358" i="1"/>
  <c r="F2358" i="1"/>
  <c r="E2358" i="1"/>
  <c r="D2358" i="1"/>
  <c r="C2358" i="1"/>
  <c r="B2358" i="1"/>
  <c r="A2358" i="1"/>
  <c r="R2357" i="1"/>
  <c r="N2357" i="1"/>
  <c r="J2357" i="1"/>
  <c r="I2357" i="1"/>
  <c r="H2357" i="1"/>
  <c r="G2357" i="1"/>
  <c r="F2357" i="1"/>
  <c r="E2357" i="1"/>
  <c r="D2357" i="1"/>
  <c r="C2357" i="1"/>
  <c r="B2357" i="1"/>
  <c r="A2357" i="1"/>
  <c r="R2356" i="1"/>
  <c r="N2356" i="1"/>
  <c r="J2356" i="1"/>
  <c r="I2356" i="1"/>
  <c r="H2356" i="1"/>
  <c r="G2356" i="1"/>
  <c r="F2356" i="1"/>
  <c r="E2356" i="1"/>
  <c r="D2356" i="1"/>
  <c r="C2356" i="1"/>
  <c r="B2356" i="1"/>
  <c r="A2356" i="1"/>
  <c r="R2355" i="1"/>
  <c r="N2355" i="1"/>
  <c r="J2355" i="1"/>
  <c r="I2355" i="1"/>
  <c r="H2355" i="1"/>
  <c r="G2355" i="1"/>
  <c r="F2355" i="1"/>
  <c r="E2355" i="1"/>
  <c r="D2355" i="1"/>
  <c r="C2355" i="1"/>
  <c r="B2355" i="1"/>
  <c r="A2355" i="1"/>
  <c r="R2354" i="1"/>
  <c r="N2354" i="1"/>
  <c r="J2354" i="1"/>
  <c r="I2354" i="1"/>
  <c r="H2354" i="1"/>
  <c r="G2354" i="1"/>
  <c r="F2354" i="1"/>
  <c r="E2354" i="1"/>
  <c r="D2354" i="1"/>
  <c r="C2354" i="1"/>
  <c r="B2354" i="1"/>
  <c r="A2354" i="1"/>
  <c r="R2353" i="1"/>
  <c r="N2353" i="1"/>
  <c r="J2353" i="1"/>
  <c r="I2353" i="1"/>
  <c r="H2353" i="1"/>
  <c r="G2353" i="1"/>
  <c r="F2353" i="1"/>
  <c r="E2353" i="1"/>
  <c r="D2353" i="1"/>
  <c r="C2353" i="1"/>
  <c r="B2353" i="1"/>
  <c r="A2353" i="1"/>
  <c r="R2352" i="1"/>
  <c r="N2352" i="1"/>
  <c r="J2352" i="1"/>
  <c r="I2352" i="1"/>
  <c r="H2352" i="1"/>
  <c r="G2352" i="1"/>
  <c r="F2352" i="1"/>
  <c r="E2352" i="1"/>
  <c r="D2352" i="1"/>
  <c r="C2352" i="1"/>
  <c r="B2352" i="1"/>
  <c r="A2352" i="1"/>
  <c r="R2351" i="1"/>
  <c r="Q2351" i="1"/>
  <c r="N2351" i="1"/>
  <c r="J2351" i="1"/>
  <c r="I2351" i="1"/>
  <c r="H2351" i="1"/>
  <c r="G2351" i="1"/>
  <c r="F2351" i="1"/>
  <c r="E2351" i="1"/>
  <c r="D2351" i="1"/>
  <c r="C2351" i="1"/>
  <c r="B2351" i="1"/>
  <c r="A2351" i="1"/>
  <c r="R2350" i="1"/>
  <c r="N2350" i="1"/>
  <c r="J2350" i="1"/>
  <c r="I2350" i="1"/>
  <c r="H2350" i="1"/>
  <c r="G2350" i="1"/>
  <c r="F2350" i="1"/>
  <c r="E2350" i="1"/>
  <c r="D2350" i="1"/>
  <c r="C2350" i="1"/>
  <c r="B2350" i="1"/>
  <c r="A2350" i="1"/>
  <c r="R2349" i="1"/>
  <c r="Q2349" i="1"/>
  <c r="N2349" i="1"/>
  <c r="J2349" i="1"/>
  <c r="I2349" i="1"/>
  <c r="H2349" i="1"/>
  <c r="G2349" i="1"/>
  <c r="F2349" i="1"/>
  <c r="E2349" i="1"/>
  <c r="D2349" i="1"/>
  <c r="C2349" i="1"/>
  <c r="A2349" i="1"/>
  <c r="R2348" i="1"/>
  <c r="N2348" i="1"/>
  <c r="J2348" i="1"/>
  <c r="I2348" i="1"/>
  <c r="H2348" i="1"/>
  <c r="G2348" i="1"/>
  <c r="F2348" i="1"/>
  <c r="E2348" i="1"/>
  <c r="D2348" i="1"/>
  <c r="C2348" i="1"/>
  <c r="A2348" i="1"/>
  <c r="R2347" i="1"/>
  <c r="Q2347" i="1"/>
  <c r="N2347" i="1"/>
  <c r="J2347" i="1"/>
  <c r="I2347" i="1"/>
  <c r="H2347" i="1"/>
  <c r="G2347" i="1"/>
  <c r="F2347" i="1"/>
  <c r="E2347" i="1"/>
  <c r="D2347" i="1"/>
  <c r="C2347" i="1"/>
  <c r="A2347" i="1"/>
  <c r="R2346" i="1"/>
  <c r="N2346" i="1"/>
  <c r="J2346" i="1"/>
  <c r="I2346" i="1"/>
  <c r="H2346" i="1"/>
  <c r="G2346" i="1"/>
  <c r="F2346" i="1"/>
  <c r="E2346" i="1"/>
  <c r="D2346" i="1"/>
  <c r="C2346" i="1"/>
  <c r="A2346" i="1"/>
  <c r="R2345" i="1"/>
  <c r="Q2345" i="1"/>
  <c r="N2345" i="1"/>
  <c r="J2345" i="1"/>
  <c r="I2345" i="1"/>
  <c r="H2345" i="1"/>
  <c r="G2345" i="1"/>
  <c r="F2345" i="1"/>
  <c r="E2345" i="1"/>
  <c r="D2345" i="1"/>
  <c r="C2345" i="1"/>
  <c r="A2345" i="1"/>
  <c r="R2344" i="1"/>
  <c r="N2344" i="1"/>
  <c r="J2344" i="1"/>
  <c r="I2344" i="1"/>
  <c r="H2344" i="1"/>
  <c r="G2344" i="1"/>
  <c r="F2344" i="1"/>
  <c r="E2344" i="1"/>
  <c r="D2344" i="1"/>
  <c r="C2344" i="1"/>
  <c r="A2344" i="1"/>
  <c r="R2343" i="1"/>
  <c r="Q2343" i="1"/>
  <c r="N2343" i="1"/>
  <c r="J2343" i="1"/>
  <c r="I2343" i="1"/>
  <c r="H2343" i="1"/>
  <c r="G2343" i="1"/>
  <c r="F2343" i="1"/>
  <c r="E2343" i="1"/>
  <c r="D2343" i="1"/>
  <c r="C2343" i="1"/>
  <c r="A2343" i="1"/>
  <c r="R2342" i="1"/>
  <c r="N2342" i="1"/>
  <c r="J2342" i="1"/>
  <c r="I2342" i="1"/>
  <c r="H2342" i="1"/>
  <c r="G2342" i="1"/>
  <c r="F2342" i="1"/>
  <c r="E2342" i="1"/>
  <c r="D2342" i="1"/>
  <c r="C2342" i="1"/>
  <c r="A2342" i="1"/>
  <c r="R2341" i="1"/>
  <c r="Q2341" i="1"/>
  <c r="N2341" i="1"/>
  <c r="J2341" i="1"/>
  <c r="I2341" i="1"/>
  <c r="H2341" i="1"/>
  <c r="G2341" i="1"/>
  <c r="F2341" i="1"/>
  <c r="E2341" i="1"/>
  <c r="D2341" i="1"/>
  <c r="C2341" i="1"/>
  <c r="A2341" i="1"/>
  <c r="R2340" i="1"/>
  <c r="N2340" i="1"/>
  <c r="J2340" i="1"/>
  <c r="I2340" i="1"/>
  <c r="H2340" i="1"/>
  <c r="G2340" i="1"/>
  <c r="F2340" i="1"/>
  <c r="E2340" i="1"/>
  <c r="D2340" i="1"/>
  <c r="C2340" i="1"/>
  <c r="A2340" i="1"/>
  <c r="R2339" i="1"/>
  <c r="Q2339" i="1"/>
  <c r="N2339" i="1"/>
  <c r="J2339" i="1"/>
  <c r="I2339" i="1"/>
  <c r="H2339" i="1"/>
  <c r="G2339" i="1"/>
  <c r="F2339" i="1"/>
  <c r="E2339" i="1"/>
  <c r="D2339" i="1"/>
  <c r="C2339" i="1"/>
  <c r="A2339" i="1"/>
  <c r="R2338" i="1"/>
  <c r="N2338" i="1"/>
  <c r="J2338" i="1"/>
  <c r="I2338" i="1"/>
  <c r="H2338" i="1"/>
  <c r="G2338" i="1"/>
  <c r="F2338" i="1"/>
  <c r="E2338" i="1"/>
  <c r="D2338" i="1"/>
  <c r="C2338" i="1"/>
  <c r="A2338" i="1"/>
  <c r="R2337" i="1"/>
  <c r="Q2337" i="1"/>
  <c r="N2337" i="1"/>
  <c r="J2337" i="1"/>
  <c r="I2337" i="1"/>
  <c r="H2337" i="1"/>
  <c r="G2337" i="1"/>
  <c r="F2337" i="1"/>
  <c r="E2337" i="1"/>
  <c r="D2337" i="1"/>
  <c r="C2337" i="1"/>
  <c r="A2337" i="1"/>
  <c r="R2336" i="1"/>
  <c r="N2336" i="1"/>
  <c r="J2336" i="1"/>
  <c r="I2336" i="1"/>
  <c r="H2336" i="1"/>
  <c r="G2336" i="1"/>
  <c r="F2336" i="1"/>
  <c r="E2336" i="1"/>
  <c r="D2336" i="1"/>
  <c r="C2336" i="1"/>
  <c r="B2336" i="1"/>
  <c r="A2336" i="1"/>
  <c r="R2335" i="1"/>
  <c r="N2335" i="1"/>
  <c r="J2335" i="1"/>
  <c r="I2335" i="1"/>
  <c r="H2335" i="1"/>
  <c r="G2335" i="1"/>
  <c r="F2335" i="1"/>
  <c r="E2335" i="1"/>
  <c r="D2335" i="1"/>
  <c r="C2335" i="1"/>
  <c r="B2335" i="1"/>
  <c r="A2335" i="1"/>
  <c r="R2334" i="1"/>
  <c r="N2334" i="1"/>
  <c r="J2334" i="1"/>
  <c r="I2334" i="1"/>
  <c r="H2334" i="1"/>
  <c r="G2334" i="1"/>
  <c r="F2334" i="1"/>
  <c r="E2334" i="1"/>
  <c r="D2334" i="1"/>
  <c r="C2334" i="1"/>
  <c r="B2334" i="1"/>
  <c r="A2334" i="1"/>
  <c r="R2333" i="1"/>
  <c r="N2333" i="1"/>
  <c r="J2333" i="1"/>
  <c r="I2333" i="1"/>
  <c r="H2333" i="1"/>
  <c r="G2333" i="1"/>
  <c r="F2333" i="1"/>
  <c r="E2333" i="1"/>
  <c r="D2333" i="1"/>
  <c r="C2333" i="1"/>
  <c r="B2333" i="1"/>
  <c r="A2333" i="1"/>
  <c r="R2332" i="1"/>
  <c r="N2332" i="1"/>
  <c r="J2332" i="1"/>
  <c r="I2332" i="1"/>
  <c r="H2332" i="1"/>
  <c r="G2332" i="1"/>
  <c r="F2332" i="1"/>
  <c r="E2332" i="1"/>
  <c r="D2332" i="1"/>
  <c r="C2332" i="1"/>
  <c r="B2332" i="1"/>
  <c r="A2332" i="1"/>
  <c r="R2331" i="1"/>
  <c r="N2331" i="1"/>
  <c r="J2331" i="1"/>
  <c r="I2331" i="1"/>
  <c r="H2331" i="1"/>
  <c r="G2331" i="1"/>
  <c r="F2331" i="1"/>
  <c r="E2331" i="1"/>
  <c r="D2331" i="1"/>
  <c r="C2331" i="1"/>
  <c r="B2331" i="1"/>
  <c r="A2331" i="1"/>
  <c r="R2330" i="1"/>
  <c r="N2330" i="1"/>
  <c r="J2330" i="1"/>
  <c r="I2330" i="1"/>
  <c r="H2330" i="1"/>
  <c r="G2330" i="1"/>
  <c r="F2330" i="1"/>
  <c r="E2330" i="1"/>
  <c r="D2330" i="1"/>
  <c r="C2330" i="1"/>
  <c r="B2330" i="1"/>
  <c r="A2330" i="1"/>
  <c r="R2329" i="1"/>
  <c r="N2329" i="1"/>
  <c r="J2329" i="1"/>
  <c r="I2329" i="1"/>
  <c r="H2329" i="1"/>
  <c r="G2329" i="1"/>
  <c r="F2329" i="1"/>
  <c r="E2329" i="1"/>
  <c r="D2329" i="1"/>
  <c r="C2329" i="1"/>
  <c r="B2329" i="1"/>
  <c r="A2329" i="1"/>
  <c r="R2328" i="1"/>
  <c r="N2328" i="1"/>
  <c r="J2328" i="1"/>
  <c r="I2328" i="1"/>
  <c r="H2328" i="1"/>
  <c r="G2328" i="1"/>
  <c r="F2328" i="1"/>
  <c r="E2328" i="1"/>
  <c r="D2328" i="1"/>
  <c r="C2328" i="1"/>
  <c r="B2328" i="1"/>
  <c r="A2328" i="1"/>
  <c r="R2327" i="1"/>
  <c r="N2327" i="1"/>
  <c r="J2327" i="1"/>
  <c r="I2327" i="1"/>
  <c r="H2327" i="1"/>
  <c r="G2327" i="1"/>
  <c r="F2327" i="1"/>
  <c r="E2327" i="1"/>
  <c r="D2327" i="1"/>
  <c r="C2327" i="1"/>
  <c r="B2327" i="1"/>
  <c r="A2327" i="1"/>
  <c r="R2326" i="1"/>
  <c r="Q2326" i="1"/>
  <c r="N2326" i="1"/>
  <c r="J2326" i="1"/>
  <c r="I2326" i="1"/>
  <c r="H2326" i="1"/>
  <c r="G2326" i="1"/>
  <c r="F2326" i="1"/>
  <c r="E2326" i="1"/>
  <c r="D2326" i="1"/>
  <c r="C2326" i="1"/>
  <c r="A2326" i="1"/>
  <c r="R2325" i="1"/>
  <c r="N2325" i="1"/>
  <c r="J2325" i="1"/>
  <c r="I2325" i="1"/>
  <c r="H2325" i="1"/>
  <c r="G2325" i="1"/>
  <c r="F2325" i="1"/>
  <c r="E2325" i="1"/>
  <c r="D2325" i="1"/>
  <c r="C2325" i="1"/>
  <c r="B2325" i="1"/>
  <c r="A2325" i="1"/>
  <c r="R2324" i="1"/>
  <c r="Q2324" i="1"/>
  <c r="N2324" i="1"/>
  <c r="J2324" i="1"/>
  <c r="I2324" i="1"/>
  <c r="H2324" i="1"/>
  <c r="G2324" i="1"/>
  <c r="F2324" i="1"/>
  <c r="E2324" i="1"/>
  <c r="D2324" i="1"/>
  <c r="C2324" i="1"/>
  <c r="A2324" i="1"/>
  <c r="R2323" i="1"/>
  <c r="N2323" i="1"/>
  <c r="J2323" i="1"/>
  <c r="I2323" i="1"/>
  <c r="H2323" i="1"/>
  <c r="G2323" i="1"/>
  <c r="F2323" i="1"/>
  <c r="E2323" i="1"/>
  <c r="D2323" i="1"/>
  <c r="C2323" i="1"/>
  <c r="A2323" i="1"/>
  <c r="R2322" i="1"/>
  <c r="Q2322" i="1"/>
  <c r="N2322" i="1"/>
  <c r="J2322" i="1"/>
  <c r="I2322" i="1"/>
  <c r="H2322" i="1"/>
  <c r="G2322" i="1"/>
  <c r="F2322" i="1"/>
  <c r="E2322" i="1"/>
  <c r="D2322" i="1"/>
  <c r="C2322" i="1"/>
  <c r="A2322" i="1"/>
  <c r="R2321" i="1"/>
  <c r="N2321" i="1"/>
  <c r="J2321" i="1"/>
  <c r="I2321" i="1"/>
  <c r="H2321" i="1"/>
  <c r="G2321" i="1"/>
  <c r="F2321" i="1"/>
  <c r="E2321" i="1"/>
  <c r="D2321" i="1"/>
  <c r="C2321" i="1"/>
  <c r="A2321" i="1"/>
  <c r="R2320" i="1"/>
  <c r="Q2320" i="1"/>
  <c r="N2320" i="1"/>
  <c r="J2320" i="1"/>
  <c r="I2320" i="1"/>
  <c r="H2320" i="1"/>
  <c r="G2320" i="1"/>
  <c r="F2320" i="1"/>
  <c r="E2320" i="1"/>
  <c r="D2320" i="1"/>
  <c r="C2320" i="1"/>
  <c r="A2320" i="1"/>
  <c r="R2319" i="1"/>
  <c r="N2319" i="1"/>
  <c r="J2319" i="1"/>
  <c r="I2319" i="1"/>
  <c r="H2319" i="1"/>
  <c r="G2319" i="1"/>
  <c r="F2319" i="1"/>
  <c r="E2319" i="1"/>
  <c r="D2319" i="1"/>
  <c r="C2319" i="1"/>
  <c r="A2319" i="1"/>
  <c r="R2318" i="1"/>
  <c r="Q2318" i="1"/>
  <c r="N2318" i="1"/>
  <c r="J2318" i="1"/>
  <c r="I2318" i="1"/>
  <c r="H2318" i="1"/>
  <c r="G2318" i="1"/>
  <c r="F2318" i="1"/>
  <c r="E2318" i="1"/>
  <c r="D2318" i="1"/>
  <c r="C2318" i="1"/>
  <c r="A2318" i="1"/>
  <c r="R2317" i="1"/>
  <c r="N2317" i="1"/>
  <c r="J2317" i="1"/>
  <c r="I2317" i="1"/>
  <c r="H2317" i="1"/>
  <c r="G2317" i="1"/>
  <c r="F2317" i="1"/>
  <c r="E2317" i="1"/>
  <c r="D2317" i="1"/>
  <c r="C2317" i="1"/>
  <c r="A2317" i="1"/>
  <c r="R2316" i="1"/>
  <c r="Q2316" i="1"/>
  <c r="N2316" i="1"/>
  <c r="J2316" i="1"/>
  <c r="I2316" i="1"/>
  <c r="H2316" i="1"/>
  <c r="G2316" i="1"/>
  <c r="F2316" i="1"/>
  <c r="E2316" i="1"/>
  <c r="D2316" i="1"/>
  <c r="C2316" i="1"/>
  <c r="A2316" i="1"/>
  <c r="R2315" i="1"/>
  <c r="N2315" i="1"/>
  <c r="J2315" i="1"/>
  <c r="I2315" i="1"/>
  <c r="H2315" i="1"/>
  <c r="G2315" i="1"/>
  <c r="F2315" i="1"/>
  <c r="E2315" i="1"/>
  <c r="D2315" i="1"/>
  <c r="C2315" i="1"/>
  <c r="A2315" i="1"/>
  <c r="R2314" i="1"/>
  <c r="Q2314" i="1"/>
  <c r="N2314" i="1"/>
  <c r="J2314" i="1"/>
  <c r="I2314" i="1"/>
  <c r="H2314" i="1"/>
  <c r="G2314" i="1"/>
  <c r="F2314" i="1"/>
  <c r="E2314" i="1"/>
  <c r="D2314" i="1"/>
  <c r="C2314" i="1"/>
  <c r="A2314" i="1"/>
  <c r="R2313" i="1"/>
  <c r="Q2313" i="1"/>
  <c r="N2313" i="1"/>
  <c r="J2313" i="1"/>
  <c r="I2313" i="1"/>
  <c r="H2313" i="1"/>
  <c r="G2313" i="1"/>
  <c r="F2313" i="1"/>
  <c r="E2313" i="1"/>
  <c r="D2313" i="1"/>
  <c r="C2313" i="1"/>
  <c r="A2313" i="1"/>
  <c r="R2312" i="1"/>
  <c r="Q2312" i="1"/>
  <c r="N2312" i="1"/>
  <c r="J2312" i="1"/>
  <c r="I2312" i="1"/>
  <c r="H2312" i="1"/>
  <c r="G2312" i="1"/>
  <c r="F2312" i="1"/>
  <c r="E2312" i="1"/>
  <c r="D2312" i="1"/>
  <c r="C2312" i="1"/>
  <c r="A2312" i="1"/>
  <c r="R2311" i="1"/>
  <c r="N2311" i="1"/>
  <c r="J2311" i="1"/>
  <c r="I2311" i="1"/>
  <c r="H2311" i="1"/>
  <c r="G2311" i="1"/>
  <c r="F2311" i="1"/>
  <c r="E2311" i="1"/>
  <c r="D2311" i="1"/>
  <c r="C2311" i="1"/>
  <c r="A2311" i="1"/>
  <c r="R2310" i="1"/>
  <c r="Q2310" i="1"/>
  <c r="N2310" i="1"/>
  <c r="J2310" i="1"/>
  <c r="I2310" i="1"/>
  <c r="H2310" i="1"/>
  <c r="G2310" i="1"/>
  <c r="F2310" i="1"/>
  <c r="E2310" i="1"/>
  <c r="D2310" i="1"/>
  <c r="C2310" i="1"/>
  <c r="A2310" i="1"/>
  <c r="R2309" i="1"/>
  <c r="N2309" i="1"/>
  <c r="J2309" i="1"/>
  <c r="I2309" i="1"/>
  <c r="H2309" i="1"/>
  <c r="G2309" i="1"/>
  <c r="F2309" i="1"/>
  <c r="E2309" i="1"/>
  <c r="D2309" i="1"/>
  <c r="C2309" i="1"/>
  <c r="A2309" i="1"/>
  <c r="R2308" i="1"/>
  <c r="Q2308" i="1"/>
  <c r="N2308" i="1"/>
  <c r="J2308" i="1"/>
  <c r="I2308" i="1"/>
  <c r="H2308" i="1"/>
  <c r="G2308" i="1"/>
  <c r="F2308" i="1"/>
  <c r="E2308" i="1"/>
  <c r="D2308" i="1"/>
  <c r="C2308" i="1"/>
  <c r="A2308" i="1"/>
  <c r="R2307" i="1"/>
  <c r="Q2307" i="1"/>
  <c r="N2307" i="1"/>
  <c r="J2307" i="1"/>
  <c r="I2307" i="1"/>
  <c r="H2307" i="1"/>
  <c r="G2307" i="1"/>
  <c r="F2307" i="1"/>
  <c r="E2307" i="1"/>
  <c r="D2307" i="1"/>
  <c r="C2307" i="1"/>
  <c r="A2307" i="1"/>
  <c r="R2306" i="1"/>
  <c r="N2306" i="1"/>
  <c r="J2306" i="1"/>
  <c r="I2306" i="1"/>
  <c r="H2306" i="1"/>
  <c r="G2306" i="1"/>
  <c r="F2306" i="1"/>
  <c r="E2306" i="1"/>
  <c r="D2306" i="1"/>
  <c r="C2306" i="1"/>
  <c r="A2306" i="1"/>
  <c r="R2305" i="1"/>
  <c r="Q2305" i="1"/>
  <c r="N2305" i="1"/>
  <c r="J2305" i="1"/>
  <c r="I2305" i="1"/>
  <c r="H2305" i="1"/>
  <c r="G2305" i="1"/>
  <c r="F2305" i="1"/>
  <c r="E2305" i="1"/>
  <c r="D2305" i="1"/>
  <c r="C2305" i="1"/>
  <c r="A2305" i="1"/>
  <c r="R2304" i="1"/>
  <c r="N2304" i="1"/>
  <c r="J2304" i="1"/>
  <c r="I2304" i="1"/>
  <c r="H2304" i="1"/>
  <c r="G2304" i="1"/>
  <c r="F2304" i="1"/>
  <c r="E2304" i="1"/>
  <c r="D2304" i="1"/>
  <c r="C2304" i="1"/>
  <c r="B2304" i="1"/>
  <c r="A2304" i="1"/>
  <c r="R2303" i="1"/>
  <c r="Q2303" i="1"/>
  <c r="N2303" i="1"/>
  <c r="J2303" i="1"/>
  <c r="I2303" i="1"/>
  <c r="H2303" i="1"/>
  <c r="G2303" i="1"/>
  <c r="F2303" i="1"/>
  <c r="E2303" i="1"/>
  <c r="D2303" i="1"/>
  <c r="C2303" i="1"/>
  <c r="B2303" i="1"/>
  <c r="A2303" i="1"/>
  <c r="R2302" i="1"/>
  <c r="N2302" i="1"/>
  <c r="J2302" i="1"/>
  <c r="I2302" i="1"/>
  <c r="H2302" i="1"/>
  <c r="G2302" i="1"/>
  <c r="F2302" i="1"/>
  <c r="E2302" i="1"/>
  <c r="D2302" i="1"/>
  <c r="C2302" i="1"/>
  <c r="B2302" i="1"/>
  <c r="A2302" i="1"/>
  <c r="R2301" i="1"/>
  <c r="N2301" i="1"/>
  <c r="J2301" i="1"/>
  <c r="I2301" i="1"/>
  <c r="H2301" i="1"/>
  <c r="G2301" i="1"/>
  <c r="F2301" i="1"/>
  <c r="E2301" i="1"/>
  <c r="D2301" i="1"/>
  <c r="C2301" i="1"/>
  <c r="B2301" i="1"/>
  <c r="A2301" i="1"/>
  <c r="R2300" i="1"/>
  <c r="N2300" i="1"/>
  <c r="J2300" i="1"/>
  <c r="I2300" i="1"/>
  <c r="H2300" i="1"/>
  <c r="G2300" i="1"/>
  <c r="F2300" i="1"/>
  <c r="E2300" i="1"/>
  <c r="D2300" i="1"/>
  <c r="C2300" i="1"/>
  <c r="B2300" i="1"/>
  <c r="A2300" i="1"/>
  <c r="R2299" i="1"/>
  <c r="N2299" i="1"/>
  <c r="J2299" i="1"/>
  <c r="I2299" i="1"/>
  <c r="H2299" i="1"/>
  <c r="G2299" i="1"/>
  <c r="F2299" i="1"/>
  <c r="E2299" i="1"/>
  <c r="D2299" i="1"/>
  <c r="C2299" i="1"/>
  <c r="B2299" i="1"/>
  <c r="A2299" i="1"/>
  <c r="R2298" i="1"/>
  <c r="N2298" i="1"/>
  <c r="J2298" i="1"/>
  <c r="I2298" i="1"/>
  <c r="H2298" i="1"/>
  <c r="G2298" i="1"/>
  <c r="F2298" i="1"/>
  <c r="E2298" i="1"/>
  <c r="D2298" i="1"/>
  <c r="C2298" i="1"/>
  <c r="B2298" i="1"/>
  <c r="A2298" i="1"/>
  <c r="R2297" i="1"/>
  <c r="Q2297" i="1"/>
  <c r="N2297" i="1"/>
  <c r="J2297" i="1"/>
  <c r="I2297" i="1"/>
  <c r="H2297" i="1"/>
  <c r="G2297" i="1"/>
  <c r="F2297" i="1"/>
  <c r="E2297" i="1"/>
  <c r="D2297" i="1"/>
  <c r="C2297" i="1"/>
  <c r="B2297" i="1"/>
  <c r="A2297" i="1"/>
  <c r="R2296" i="1"/>
  <c r="N2296" i="1"/>
  <c r="J2296" i="1"/>
  <c r="I2296" i="1"/>
  <c r="H2296" i="1"/>
  <c r="G2296" i="1"/>
  <c r="F2296" i="1"/>
  <c r="E2296" i="1"/>
  <c r="D2296" i="1"/>
  <c r="C2296" i="1"/>
  <c r="B2296" i="1"/>
  <c r="A2296" i="1"/>
  <c r="R2295" i="1"/>
  <c r="Q2295" i="1"/>
  <c r="N2295" i="1"/>
  <c r="J2295" i="1"/>
  <c r="I2295" i="1"/>
  <c r="H2295" i="1"/>
  <c r="G2295" i="1"/>
  <c r="F2295" i="1"/>
  <c r="E2295" i="1"/>
  <c r="D2295" i="1"/>
  <c r="C2295" i="1"/>
  <c r="B2295" i="1"/>
  <c r="A2295" i="1"/>
  <c r="R2294" i="1"/>
  <c r="N2294" i="1"/>
  <c r="J2294" i="1"/>
  <c r="I2294" i="1"/>
  <c r="H2294" i="1"/>
  <c r="G2294" i="1"/>
  <c r="F2294" i="1"/>
  <c r="E2294" i="1"/>
  <c r="D2294" i="1"/>
  <c r="C2294" i="1"/>
  <c r="B2294" i="1"/>
  <c r="A2294" i="1"/>
  <c r="R2293" i="1"/>
  <c r="Q2293" i="1"/>
  <c r="N2293" i="1"/>
  <c r="J2293" i="1"/>
  <c r="I2293" i="1"/>
  <c r="H2293" i="1"/>
  <c r="G2293" i="1"/>
  <c r="F2293" i="1"/>
  <c r="E2293" i="1"/>
  <c r="D2293" i="1"/>
  <c r="C2293" i="1"/>
  <c r="A2293" i="1"/>
  <c r="R2292" i="1"/>
  <c r="N2292" i="1"/>
  <c r="J2292" i="1"/>
  <c r="I2292" i="1"/>
  <c r="H2292" i="1"/>
  <c r="G2292" i="1"/>
  <c r="F2292" i="1"/>
  <c r="E2292" i="1"/>
  <c r="D2292" i="1"/>
  <c r="C2292" i="1"/>
  <c r="A2292" i="1"/>
  <c r="R2291" i="1"/>
  <c r="Q2291" i="1"/>
  <c r="N2291" i="1"/>
  <c r="J2291" i="1"/>
  <c r="I2291" i="1"/>
  <c r="H2291" i="1"/>
  <c r="G2291" i="1"/>
  <c r="F2291" i="1"/>
  <c r="E2291" i="1"/>
  <c r="D2291" i="1"/>
  <c r="C2291" i="1"/>
  <c r="A2291" i="1"/>
  <c r="R2290" i="1"/>
  <c r="N2290" i="1"/>
  <c r="J2290" i="1"/>
  <c r="I2290" i="1"/>
  <c r="H2290" i="1"/>
  <c r="G2290" i="1"/>
  <c r="F2290" i="1"/>
  <c r="E2290" i="1"/>
  <c r="D2290" i="1"/>
  <c r="C2290" i="1"/>
  <c r="A2290" i="1"/>
  <c r="R2289" i="1"/>
  <c r="Q2289" i="1"/>
  <c r="N2289" i="1"/>
  <c r="J2289" i="1"/>
  <c r="I2289" i="1"/>
  <c r="H2289" i="1"/>
  <c r="G2289" i="1"/>
  <c r="F2289" i="1"/>
  <c r="E2289" i="1"/>
  <c r="D2289" i="1"/>
  <c r="C2289" i="1"/>
  <c r="A2289" i="1"/>
  <c r="R2288" i="1"/>
  <c r="N2288" i="1"/>
  <c r="J2288" i="1"/>
  <c r="I2288" i="1"/>
  <c r="H2288" i="1"/>
  <c r="G2288" i="1"/>
  <c r="F2288" i="1"/>
  <c r="E2288" i="1"/>
  <c r="D2288" i="1"/>
  <c r="C2288" i="1"/>
  <c r="A2288" i="1"/>
  <c r="R2287" i="1"/>
  <c r="Q2287" i="1"/>
  <c r="N2287" i="1"/>
  <c r="J2287" i="1"/>
  <c r="I2287" i="1"/>
  <c r="H2287" i="1"/>
  <c r="G2287" i="1"/>
  <c r="F2287" i="1"/>
  <c r="E2287" i="1"/>
  <c r="D2287" i="1"/>
  <c r="C2287" i="1"/>
  <c r="A2287" i="1"/>
  <c r="R2286" i="1"/>
  <c r="N2286" i="1"/>
  <c r="J2286" i="1"/>
  <c r="I2286" i="1"/>
  <c r="H2286" i="1"/>
  <c r="G2286" i="1"/>
  <c r="F2286" i="1"/>
  <c r="E2286" i="1"/>
  <c r="D2286" i="1"/>
  <c r="C2286" i="1"/>
  <c r="A2286" i="1"/>
  <c r="R2285" i="1"/>
  <c r="Q2285" i="1"/>
  <c r="N2285" i="1"/>
  <c r="J2285" i="1"/>
  <c r="I2285" i="1"/>
  <c r="H2285" i="1"/>
  <c r="G2285" i="1"/>
  <c r="F2285" i="1"/>
  <c r="E2285" i="1"/>
  <c r="D2285" i="1"/>
  <c r="C2285" i="1"/>
  <c r="A2285" i="1"/>
  <c r="R2284" i="1"/>
  <c r="Q2284" i="1"/>
  <c r="N2284" i="1"/>
  <c r="J2284" i="1"/>
  <c r="I2284" i="1"/>
  <c r="H2284" i="1"/>
  <c r="G2284" i="1"/>
  <c r="F2284" i="1"/>
  <c r="E2284" i="1"/>
  <c r="D2284" i="1"/>
  <c r="C2284" i="1"/>
  <c r="A2284" i="1"/>
  <c r="R2283" i="1"/>
  <c r="Q2283" i="1"/>
  <c r="N2283" i="1"/>
  <c r="J2283" i="1"/>
  <c r="I2283" i="1"/>
  <c r="H2283" i="1"/>
  <c r="G2283" i="1"/>
  <c r="F2283" i="1"/>
  <c r="E2283" i="1"/>
  <c r="D2283" i="1"/>
  <c r="C2283" i="1"/>
  <c r="A2283" i="1"/>
  <c r="R2282" i="1"/>
  <c r="Q2282" i="1"/>
  <c r="N2282" i="1"/>
  <c r="J2282" i="1"/>
  <c r="I2282" i="1"/>
  <c r="H2282" i="1"/>
  <c r="G2282" i="1"/>
  <c r="F2282" i="1"/>
  <c r="E2282" i="1"/>
  <c r="D2282" i="1"/>
  <c r="C2282" i="1"/>
  <c r="A2282" i="1"/>
  <c r="R2281" i="1"/>
  <c r="Q2281" i="1"/>
  <c r="N2281" i="1"/>
  <c r="J2281" i="1"/>
  <c r="I2281" i="1"/>
  <c r="H2281" i="1"/>
  <c r="G2281" i="1"/>
  <c r="F2281" i="1"/>
  <c r="E2281" i="1"/>
  <c r="D2281" i="1"/>
  <c r="C2281" i="1"/>
  <c r="A2281" i="1"/>
  <c r="R2280" i="1"/>
  <c r="Q2280" i="1"/>
  <c r="N2280" i="1"/>
  <c r="J2280" i="1"/>
  <c r="I2280" i="1"/>
  <c r="H2280" i="1"/>
  <c r="G2280" i="1"/>
  <c r="F2280" i="1"/>
  <c r="E2280" i="1"/>
  <c r="D2280" i="1"/>
  <c r="C2280" i="1"/>
  <c r="A2280" i="1"/>
  <c r="R2279" i="1"/>
  <c r="Q2279" i="1"/>
  <c r="N2279" i="1"/>
  <c r="J2279" i="1"/>
  <c r="I2279" i="1"/>
  <c r="H2279" i="1"/>
  <c r="G2279" i="1"/>
  <c r="F2279" i="1"/>
  <c r="E2279" i="1"/>
  <c r="D2279" i="1"/>
  <c r="C2279" i="1"/>
  <c r="A2279" i="1"/>
  <c r="R2278" i="1"/>
  <c r="Q2278" i="1"/>
  <c r="N2278" i="1"/>
  <c r="J2278" i="1"/>
  <c r="I2278" i="1"/>
  <c r="H2278" i="1"/>
  <c r="G2278" i="1"/>
  <c r="F2278" i="1"/>
  <c r="E2278" i="1"/>
  <c r="D2278" i="1"/>
  <c r="C2278" i="1"/>
  <c r="A2278" i="1"/>
  <c r="R2277" i="1"/>
  <c r="Q2277" i="1"/>
  <c r="N2277" i="1"/>
  <c r="J2277" i="1"/>
  <c r="I2277" i="1"/>
  <c r="H2277" i="1"/>
  <c r="G2277" i="1"/>
  <c r="F2277" i="1"/>
  <c r="E2277" i="1"/>
  <c r="D2277" i="1"/>
  <c r="C2277" i="1"/>
  <c r="A2277" i="1"/>
  <c r="R2276" i="1"/>
  <c r="Q2276" i="1"/>
  <c r="N2276" i="1"/>
  <c r="J2276" i="1"/>
  <c r="I2276" i="1"/>
  <c r="H2276" i="1"/>
  <c r="G2276" i="1"/>
  <c r="F2276" i="1"/>
  <c r="E2276" i="1"/>
  <c r="D2276" i="1"/>
  <c r="C2276" i="1"/>
  <c r="A2276" i="1"/>
  <c r="R2275" i="1"/>
  <c r="Q2275" i="1"/>
  <c r="N2275" i="1"/>
  <c r="J2275" i="1"/>
  <c r="I2275" i="1"/>
  <c r="H2275" i="1"/>
  <c r="G2275" i="1"/>
  <c r="F2275" i="1"/>
  <c r="E2275" i="1"/>
  <c r="D2275" i="1"/>
  <c r="C2275" i="1"/>
  <c r="A2275" i="1"/>
  <c r="R2274" i="1"/>
  <c r="N2274" i="1"/>
  <c r="J2274" i="1"/>
  <c r="I2274" i="1"/>
  <c r="H2274" i="1"/>
  <c r="G2274" i="1"/>
  <c r="F2274" i="1"/>
  <c r="E2274" i="1"/>
  <c r="D2274" i="1"/>
  <c r="C2274" i="1"/>
  <c r="A2274" i="1"/>
  <c r="R2273" i="1"/>
  <c r="Q2273" i="1"/>
  <c r="N2273" i="1"/>
  <c r="J2273" i="1"/>
  <c r="I2273" i="1"/>
  <c r="H2273" i="1"/>
  <c r="G2273" i="1"/>
  <c r="F2273" i="1"/>
  <c r="E2273" i="1"/>
  <c r="D2273" i="1"/>
  <c r="C2273" i="1"/>
  <c r="A2273" i="1"/>
  <c r="R2272" i="1"/>
  <c r="Q2272" i="1"/>
  <c r="N2272" i="1"/>
  <c r="J2272" i="1"/>
  <c r="I2272" i="1"/>
  <c r="H2272" i="1"/>
  <c r="G2272" i="1"/>
  <c r="F2272" i="1"/>
  <c r="E2272" i="1"/>
  <c r="D2272" i="1"/>
  <c r="C2272" i="1"/>
  <c r="A2272" i="1"/>
  <c r="R2271" i="1"/>
  <c r="Q2271" i="1"/>
  <c r="N2271" i="1"/>
  <c r="J2271" i="1"/>
  <c r="I2271" i="1"/>
  <c r="H2271" i="1"/>
  <c r="G2271" i="1"/>
  <c r="F2271" i="1"/>
  <c r="E2271" i="1"/>
  <c r="D2271" i="1"/>
  <c r="C2271" i="1"/>
  <c r="A2271" i="1"/>
  <c r="R2270" i="1"/>
  <c r="Q2270" i="1"/>
  <c r="N2270" i="1"/>
  <c r="J2270" i="1"/>
  <c r="I2270" i="1"/>
  <c r="H2270" i="1"/>
  <c r="G2270" i="1"/>
  <c r="F2270" i="1"/>
  <c r="E2270" i="1"/>
  <c r="D2270" i="1"/>
  <c r="C2270" i="1"/>
  <c r="A2270" i="1"/>
  <c r="R2269" i="1"/>
  <c r="Q2269" i="1"/>
  <c r="N2269" i="1"/>
  <c r="J2269" i="1"/>
  <c r="I2269" i="1"/>
  <c r="H2269" i="1"/>
  <c r="G2269" i="1"/>
  <c r="F2269" i="1"/>
  <c r="E2269" i="1"/>
  <c r="D2269" i="1"/>
  <c r="C2269" i="1"/>
  <c r="A2269" i="1"/>
  <c r="R2268" i="1"/>
  <c r="Q2268" i="1"/>
  <c r="N2268" i="1"/>
  <c r="J2268" i="1"/>
  <c r="I2268" i="1"/>
  <c r="H2268" i="1"/>
  <c r="G2268" i="1"/>
  <c r="F2268" i="1"/>
  <c r="E2268" i="1"/>
  <c r="D2268" i="1"/>
  <c r="C2268" i="1"/>
  <c r="A2268" i="1"/>
  <c r="R2267" i="1"/>
  <c r="Q2267" i="1"/>
  <c r="N2267" i="1"/>
  <c r="J2267" i="1"/>
  <c r="I2267" i="1"/>
  <c r="H2267" i="1"/>
  <c r="G2267" i="1"/>
  <c r="F2267" i="1"/>
  <c r="E2267" i="1"/>
  <c r="D2267" i="1"/>
  <c r="C2267" i="1"/>
  <c r="A2267" i="1"/>
  <c r="R2266" i="1"/>
  <c r="N2266" i="1"/>
  <c r="J2266" i="1"/>
  <c r="I2266" i="1"/>
  <c r="H2266" i="1"/>
  <c r="G2266" i="1"/>
  <c r="F2266" i="1"/>
  <c r="E2266" i="1"/>
  <c r="D2266" i="1"/>
  <c r="C2266" i="1"/>
  <c r="A2266" i="1"/>
  <c r="R2265" i="1"/>
  <c r="Q2265" i="1"/>
  <c r="N2265" i="1"/>
  <c r="J2265" i="1"/>
  <c r="I2265" i="1"/>
  <c r="H2265" i="1"/>
  <c r="G2265" i="1"/>
  <c r="F2265" i="1"/>
  <c r="E2265" i="1"/>
  <c r="D2265" i="1"/>
  <c r="C2265" i="1"/>
  <c r="A2265" i="1"/>
  <c r="R2264" i="1"/>
  <c r="Q2264" i="1"/>
  <c r="N2264" i="1"/>
  <c r="J2264" i="1"/>
  <c r="I2264" i="1"/>
  <c r="H2264" i="1"/>
  <c r="G2264" i="1"/>
  <c r="F2264" i="1"/>
  <c r="E2264" i="1"/>
  <c r="D2264" i="1"/>
  <c r="C2264" i="1"/>
  <c r="A2264" i="1"/>
  <c r="R2263" i="1"/>
  <c r="Q2263" i="1"/>
  <c r="N2263" i="1"/>
  <c r="J2263" i="1"/>
  <c r="I2263" i="1"/>
  <c r="H2263" i="1"/>
  <c r="G2263" i="1"/>
  <c r="F2263" i="1"/>
  <c r="E2263" i="1"/>
  <c r="D2263" i="1"/>
  <c r="C2263" i="1"/>
  <c r="A2263" i="1"/>
  <c r="R2262" i="1"/>
  <c r="Q2262" i="1"/>
  <c r="N2262" i="1"/>
  <c r="J2262" i="1"/>
  <c r="I2262" i="1"/>
  <c r="H2262" i="1"/>
  <c r="G2262" i="1"/>
  <c r="F2262" i="1"/>
  <c r="E2262" i="1"/>
  <c r="D2262" i="1"/>
  <c r="C2262" i="1"/>
  <c r="A2262" i="1"/>
  <c r="R2261" i="1"/>
  <c r="Q2261" i="1"/>
  <c r="N2261" i="1"/>
  <c r="J2261" i="1"/>
  <c r="I2261" i="1"/>
  <c r="H2261" i="1"/>
  <c r="G2261" i="1"/>
  <c r="F2261" i="1"/>
  <c r="E2261" i="1"/>
  <c r="D2261" i="1"/>
  <c r="C2261" i="1"/>
  <c r="A2261" i="1"/>
  <c r="R2260" i="1"/>
  <c r="Q2260" i="1"/>
  <c r="N2260" i="1"/>
  <c r="J2260" i="1"/>
  <c r="I2260" i="1"/>
  <c r="H2260" i="1"/>
  <c r="G2260" i="1"/>
  <c r="F2260" i="1"/>
  <c r="E2260" i="1"/>
  <c r="D2260" i="1"/>
  <c r="C2260" i="1"/>
  <c r="A2260" i="1"/>
  <c r="R2259" i="1"/>
  <c r="Q2259" i="1"/>
  <c r="N2259" i="1"/>
  <c r="J2259" i="1"/>
  <c r="I2259" i="1"/>
  <c r="H2259" i="1"/>
  <c r="G2259" i="1"/>
  <c r="F2259" i="1"/>
  <c r="E2259" i="1"/>
  <c r="D2259" i="1"/>
  <c r="C2259" i="1"/>
  <c r="A2259" i="1"/>
  <c r="R2258" i="1"/>
  <c r="Q2258" i="1"/>
  <c r="N2258" i="1"/>
  <c r="J2258" i="1"/>
  <c r="I2258" i="1"/>
  <c r="H2258" i="1"/>
  <c r="G2258" i="1"/>
  <c r="F2258" i="1"/>
  <c r="E2258" i="1"/>
  <c r="D2258" i="1"/>
  <c r="C2258" i="1"/>
  <c r="A2258" i="1"/>
  <c r="R2257" i="1"/>
  <c r="Q2257" i="1"/>
  <c r="N2257" i="1"/>
  <c r="J2257" i="1"/>
  <c r="I2257" i="1"/>
  <c r="H2257" i="1"/>
  <c r="G2257" i="1"/>
  <c r="F2257" i="1"/>
  <c r="E2257" i="1"/>
  <c r="D2257" i="1"/>
  <c r="C2257" i="1"/>
  <c r="A2257" i="1"/>
  <c r="R2256" i="1"/>
  <c r="Q2256" i="1"/>
  <c r="N2256" i="1"/>
  <c r="J2256" i="1"/>
  <c r="I2256" i="1"/>
  <c r="H2256" i="1"/>
  <c r="G2256" i="1"/>
  <c r="F2256" i="1"/>
  <c r="E2256" i="1"/>
  <c r="D2256" i="1"/>
  <c r="C2256" i="1"/>
  <c r="A2256" i="1"/>
  <c r="R2255" i="1"/>
  <c r="Q2255" i="1"/>
  <c r="N2255" i="1"/>
  <c r="J2255" i="1"/>
  <c r="I2255" i="1"/>
  <c r="H2255" i="1"/>
  <c r="G2255" i="1"/>
  <c r="F2255" i="1"/>
  <c r="E2255" i="1"/>
  <c r="D2255" i="1"/>
  <c r="C2255" i="1"/>
  <c r="A2255" i="1"/>
  <c r="R2254" i="1"/>
  <c r="Q2254" i="1"/>
  <c r="N2254" i="1"/>
  <c r="J2254" i="1"/>
  <c r="I2254" i="1"/>
  <c r="H2254" i="1"/>
  <c r="G2254" i="1"/>
  <c r="F2254" i="1"/>
  <c r="E2254" i="1"/>
  <c r="D2254" i="1"/>
  <c r="C2254" i="1"/>
  <c r="A2254" i="1"/>
  <c r="R2253" i="1"/>
  <c r="Q2253" i="1"/>
  <c r="N2253" i="1"/>
  <c r="J2253" i="1"/>
  <c r="I2253" i="1"/>
  <c r="H2253" i="1"/>
  <c r="G2253" i="1"/>
  <c r="F2253" i="1"/>
  <c r="E2253" i="1"/>
  <c r="D2253" i="1"/>
  <c r="C2253" i="1"/>
  <c r="A2253" i="1"/>
  <c r="R2252" i="1"/>
  <c r="Q2252" i="1"/>
  <c r="N2252" i="1"/>
  <c r="J2252" i="1"/>
  <c r="I2252" i="1"/>
  <c r="H2252" i="1"/>
  <c r="G2252" i="1"/>
  <c r="F2252" i="1"/>
  <c r="E2252" i="1"/>
  <c r="D2252" i="1"/>
  <c r="C2252" i="1"/>
  <c r="A2252" i="1"/>
  <c r="R2251" i="1"/>
  <c r="Q2251" i="1"/>
  <c r="N2251" i="1"/>
  <c r="J2251" i="1"/>
  <c r="I2251" i="1"/>
  <c r="H2251" i="1"/>
  <c r="G2251" i="1"/>
  <c r="F2251" i="1"/>
  <c r="E2251" i="1"/>
  <c r="D2251" i="1"/>
  <c r="C2251" i="1"/>
  <c r="A2251" i="1"/>
  <c r="R2250" i="1"/>
  <c r="Q2250" i="1"/>
  <c r="N2250" i="1"/>
  <c r="J2250" i="1"/>
  <c r="I2250" i="1"/>
  <c r="H2250" i="1"/>
  <c r="G2250" i="1"/>
  <c r="F2250" i="1"/>
  <c r="E2250" i="1"/>
  <c r="D2250" i="1"/>
  <c r="C2250" i="1"/>
  <c r="A2250" i="1"/>
  <c r="R2249" i="1"/>
  <c r="Q2249" i="1"/>
  <c r="N2249" i="1"/>
  <c r="J2249" i="1"/>
  <c r="I2249" i="1"/>
  <c r="H2249" i="1"/>
  <c r="G2249" i="1"/>
  <c r="F2249" i="1"/>
  <c r="E2249" i="1"/>
  <c r="D2249" i="1"/>
  <c r="C2249" i="1"/>
  <c r="A2249" i="1"/>
  <c r="R2248" i="1"/>
  <c r="Q2248" i="1"/>
  <c r="N2248" i="1"/>
  <c r="J2248" i="1"/>
  <c r="I2248" i="1"/>
  <c r="H2248" i="1"/>
  <c r="G2248" i="1"/>
  <c r="F2248" i="1"/>
  <c r="E2248" i="1"/>
  <c r="D2248" i="1"/>
  <c r="C2248" i="1"/>
  <c r="A2248" i="1"/>
  <c r="R2247" i="1"/>
  <c r="Q2247" i="1"/>
  <c r="N2247" i="1"/>
  <c r="J2247" i="1"/>
  <c r="I2247" i="1"/>
  <c r="H2247" i="1"/>
  <c r="G2247" i="1"/>
  <c r="F2247" i="1"/>
  <c r="E2247" i="1"/>
  <c r="D2247" i="1"/>
  <c r="C2247" i="1"/>
  <c r="A2247" i="1"/>
  <c r="R2246" i="1"/>
  <c r="Q2246" i="1"/>
  <c r="N2246" i="1"/>
  <c r="J2246" i="1"/>
  <c r="I2246" i="1"/>
  <c r="H2246" i="1"/>
  <c r="G2246" i="1"/>
  <c r="F2246" i="1"/>
  <c r="E2246" i="1"/>
  <c r="D2246" i="1"/>
  <c r="C2246" i="1"/>
  <c r="A2246" i="1"/>
  <c r="R2245" i="1"/>
  <c r="Q2245" i="1"/>
  <c r="N2245" i="1"/>
  <c r="J2245" i="1"/>
  <c r="I2245" i="1"/>
  <c r="H2245" i="1"/>
  <c r="G2245" i="1"/>
  <c r="F2245" i="1"/>
  <c r="E2245" i="1"/>
  <c r="D2245" i="1"/>
  <c r="C2245" i="1"/>
  <c r="A2245" i="1"/>
  <c r="R2244" i="1"/>
  <c r="Q2244" i="1"/>
  <c r="N2244" i="1"/>
  <c r="J2244" i="1"/>
  <c r="I2244" i="1"/>
  <c r="H2244" i="1"/>
  <c r="G2244" i="1"/>
  <c r="F2244" i="1"/>
  <c r="E2244" i="1"/>
  <c r="D2244" i="1"/>
  <c r="C2244" i="1"/>
  <c r="A2244" i="1"/>
  <c r="R2243" i="1"/>
  <c r="Q2243" i="1"/>
  <c r="N2243" i="1"/>
  <c r="J2243" i="1"/>
  <c r="I2243" i="1"/>
  <c r="H2243" i="1"/>
  <c r="G2243" i="1"/>
  <c r="F2243" i="1"/>
  <c r="E2243" i="1"/>
  <c r="D2243" i="1"/>
  <c r="C2243" i="1"/>
  <c r="A2243" i="1"/>
  <c r="R2242" i="1"/>
  <c r="Q2242" i="1"/>
  <c r="N2242" i="1"/>
  <c r="J2242" i="1"/>
  <c r="I2242" i="1"/>
  <c r="H2242" i="1"/>
  <c r="G2242" i="1"/>
  <c r="F2242" i="1"/>
  <c r="E2242" i="1"/>
  <c r="D2242" i="1"/>
  <c r="C2242" i="1"/>
  <c r="A2242" i="1"/>
  <c r="R2241" i="1"/>
  <c r="Q2241" i="1"/>
  <c r="N2241" i="1"/>
  <c r="J2241" i="1"/>
  <c r="I2241" i="1"/>
  <c r="H2241" i="1"/>
  <c r="G2241" i="1"/>
  <c r="F2241" i="1"/>
  <c r="E2241" i="1"/>
  <c r="D2241" i="1"/>
  <c r="C2241" i="1"/>
  <c r="A2241" i="1"/>
  <c r="R2240" i="1"/>
  <c r="Q2240" i="1"/>
  <c r="N2240" i="1"/>
  <c r="J2240" i="1"/>
  <c r="I2240" i="1"/>
  <c r="H2240" i="1"/>
  <c r="G2240" i="1"/>
  <c r="F2240" i="1"/>
  <c r="E2240" i="1"/>
  <c r="D2240" i="1"/>
  <c r="C2240" i="1"/>
  <c r="A2240" i="1"/>
  <c r="R2239" i="1"/>
  <c r="Q2239" i="1"/>
  <c r="N2239" i="1"/>
  <c r="J2239" i="1"/>
  <c r="I2239" i="1"/>
  <c r="H2239" i="1"/>
  <c r="G2239" i="1"/>
  <c r="F2239" i="1"/>
  <c r="E2239" i="1"/>
  <c r="D2239" i="1"/>
  <c r="C2239" i="1"/>
  <c r="A2239" i="1"/>
  <c r="R2238" i="1"/>
  <c r="Q2238" i="1"/>
  <c r="N2238" i="1"/>
  <c r="J2238" i="1"/>
  <c r="I2238" i="1"/>
  <c r="H2238" i="1"/>
  <c r="G2238" i="1"/>
  <c r="F2238" i="1"/>
  <c r="E2238" i="1"/>
  <c r="D2238" i="1"/>
  <c r="C2238" i="1"/>
  <c r="A2238" i="1"/>
  <c r="R2237" i="1"/>
  <c r="Q2237" i="1"/>
  <c r="N2237" i="1"/>
  <c r="J2237" i="1"/>
  <c r="I2237" i="1"/>
  <c r="H2237" i="1"/>
  <c r="G2237" i="1"/>
  <c r="F2237" i="1"/>
  <c r="E2237" i="1"/>
  <c r="D2237" i="1"/>
  <c r="C2237" i="1"/>
  <c r="A2237" i="1"/>
  <c r="R2236" i="1"/>
  <c r="Q2236" i="1"/>
  <c r="N2236" i="1"/>
  <c r="J2236" i="1"/>
  <c r="I2236" i="1"/>
  <c r="H2236" i="1"/>
  <c r="G2236" i="1"/>
  <c r="F2236" i="1"/>
  <c r="E2236" i="1"/>
  <c r="D2236" i="1"/>
  <c r="C2236" i="1"/>
  <c r="A2236" i="1"/>
  <c r="R2235" i="1"/>
  <c r="Q2235" i="1"/>
  <c r="N2235" i="1"/>
  <c r="J2235" i="1"/>
  <c r="I2235" i="1"/>
  <c r="H2235" i="1"/>
  <c r="G2235" i="1"/>
  <c r="F2235" i="1"/>
  <c r="E2235" i="1"/>
  <c r="D2235" i="1"/>
  <c r="C2235" i="1"/>
  <c r="A2235" i="1"/>
  <c r="R2234" i="1"/>
  <c r="Q2234" i="1"/>
  <c r="N2234" i="1"/>
  <c r="J2234" i="1"/>
  <c r="I2234" i="1"/>
  <c r="H2234" i="1"/>
  <c r="G2234" i="1"/>
  <c r="F2234" i="1"/>
  <c r="E2234" i="1"/>
  <c r="D2234" i="1"/>
  <c r="C2234" i="1"/>
  <c r="A2234" i="1"/>
  <c r="R2233" i="1"/>
  <c r="Q2233" i="1"/>
  <c r="N2233" i="1"/>
  <c r="J2233" i="1"/>
  <c r="I2233" i="1"/>
  <c r="H2233" i="1"/>
  <c r="G2233" i="1"/>
  <c r="F2233" i="1"/>
  <c r="E2233" i="1"/>
  <c r="D2233" i="1"/>
  <c r="C2233" i="1"/>
  <c r="A2233" i="1"/>
  <c r="R2232" i="1"/>
  <c r="Q2232" i="1"/>
  <c r="N2232" i="1"/>
  <c r="J2232" i="1"/>
  <c r="I2232" i="1"/>
  <c r="H2232" i="1"/>
  <c r="G2232" i="1"/>
  <c r="F2232" i="1"/>
  <c r="E2232" i="1"/>
  <c r="D2232" i="1"/>
  <c r="C2232" i="1"/>
  <c r="A2232" i="1"/>
  <c r="R2231" i="1"/>
  <c r="Q2231" i="1"/>
  <c r="N2231" i="1"/>
  <c r="J2231" i="1"/>
  <c r="I2231" i="1"/>
  <c r="H2231" i="1"/>
  <c r="G2231" i="1"/>
  <c r="F2231" i="1"/>
  <c r="E2231" i="1"/>
  <c r="D2231" i="1"/>
  <c r="C2231" i="1"/>
  <c r="A2231" i="1"/>
  <c r="R2230" i="1"/>
  <c r="Q2230" i="1"/>
  <c r="N2230" i="1"/>
  <c r="J2230" i="1"/>
  <c r="I2230" i="1"/>
  <c r="H2230" i="1"/>
  <c r="G2230" i="1"/>
  <c r="F2230" i="1"/>
  <c r="E2230" i="1"/>
  <c r="D2230" i="1"/>
  <c r="C2230" i="1"/>
  <c r="A2230" i="1"/>
  <c r="R2229" i="1"/>
  <c r="Q2229" i="1"/>
  <c r="N2229" i="1"/>
  <c r="J2229" i="1"/>
  <c r="I2229" i="1"/>
  <c r="H2229" i="1"/>
  <c r="G2229" i="1"/>
  <c r="F2229" i="1"/>
  <c r="E2229" i="1"/>
  <c r="D2229" i="1"/>
  <c r="C2229" i="1"/>
  <c r="A2229" i="1"/>
  <c r="R2228" i="1"/>
  <c r="Q2228" i="1"/>
  <c r="N2228" i="1"/>
  <c r="J2228" i="1"/>
  <c r="I2228" i="1"/>
  <c r="H2228" i="1"/>
  <c r="G2228" i="1"/>
  <c r="F2228" i="1"/>
  <c r="E2228" i="1"/>
  <c r="D2228" i="1"/>
  <c r="C2228" i="1"/>
  <c r="A2228" i="1"/>
  <c r="R2227" i="1"/>
  <c r="Q2227" i="1"/>
  <c r="N2227" i="1"/>
  <c r="J2227" i="1"/>
  <c r="I2227" i="1"/>
  <c r="H2227" i="1"/>
  <c r="G2227" i="1"/>
  <c r="F2227" i="1"/>
  <c r="E2227" i="1"/>
  <c r="D2227" i="1"/>
  <c r="C2227" i="1"/>
  <c r="A2227" i="1"/>
  <c r="R2226" i="1"/>
  <c r="Q2226" i="1"/>
  <c r="N2226" i="1"/>
  <c r="J2226" i="1"/>
  <c r="I2226" i="1"/>
  <c r="H2226" i="1"/>
  <c r="G2226" i="1"/>
  <c r="F2226" i="1"/>
  <c r="E2226" i="1"/>
  <c r="D2226" i="1"/>
  <c r="C2226" i="1"/>
  <c r="A2226" i="1"/>
  <c r="R2225" i="1"/>
  <c r="Q2225" i="1"/>
  <c r="N2225" i="1"/>
  <c r="J2225" i="1"/>
  <c r="I2225" i="1"/>
  <c r="H2225" i="1"/>
  <c r="G2225" i="1"/>
  <c r="F2225" i="1"/>
  <c r="E2225" i="1"/>
  <c r="D2225" i="1"/>
  <c r="C2225" i="1"/>
  <c r="A2225" i="1"/>
  <c r="R2224" i="1"/>
  <c r="Q2224" i="1"/>
  <c r="N2224" i="1"/>
  <c r="J2224" i="1"/>
  <c r="I2224" i="1"/>
  <c r="H2224" i="1"/>
  <c r="G2224" i="1"/>
  <c r="F2224" i="1"/>
  <c r="E2224" i="1"/>
  <c r="D2224" i="1"/>
  <c r="C2224" i="1"/>
  <c r="A2224" i="1"/>
  <c r="R2223" i="1"/>
  <c r="Q2223" i="1"/>
  <c r="N2223" i="1"/>
  <c r="J2223" i="1"/>
  <c r="I2223" i="1"/>
  <c r="H2223" i="1"/>
  <c r="G2223" i="1"/>
  <c r="F2223" i="1"/>
  <c r="E2223" i="1"/>
  <c r="D2223" i="1"/>
  <c r="C2223" i="1"/>
  <c r="A2223" i="1"/>
  <c r="R2222" i="1"/>
  <c r="Q2222" i="1"/>
  <c r="N2222" i="1"/>
  <c r="J2222" i="1"/>
  <c r="I2222" i="1"/>
  <c r="H2222" i="1"/>
  <c r="G2222" i="1"/>
  <c r="F2222" i="1"/>
  <c r="E2222" i="1"/>
  <c r="D2222" i="1"/>
  <c r="C2222" i="1"/>
  <c r="A2222" i="1"/>
  <c r="R2221" i="1"/>
  <c r="Q2221" i="1"/>
  <c r="N2221" i="1"/>
  <c r="J2221" i="1"/>
  <c r="I2221" i="1"/>
  <c r="H2221" i="1"/>
  <c r="G2221" i="1"/>
  <c r="F2221" i="1"/>
  <c r="E2221" i="1"/>
  <c r="D2221" i="1"/>
  <c r="C2221" i="1"/>
  <c r="A2221" i="1"/>
  <c r="R2220" i="1"/>
  <c r="N2220" i="1"/>
  <c r="J2220" i="1"/>
  <c r="I2220" i="1"/>
  <c r="H2220" i="1"/>
  <c r="G2220" i="1"/>
  <c r="F2220" i="1"/>
  <c r="E2220" i="1"/>
  <c r="D2220" i="1"/>
  <c r="C2220" i="1"/>
  <c r="A2220" i="1"/>
  <c r="R2219" i="1"/>
  <c r="Q2219" i="1"/>
  <c r="N2219" i="1"/>
  <c r="J2219" i="1"/>
  <c r="I2219" i="1"/>
  <c r="H2219" i="1"/>
  <c r="G2219" i="1"/>
  <c r="F2219" i="1"/>
  <c r="E2219" i="1"/>
  <c r="D2219" i="1"/>
  <c r="C2219" i="1"/>
  <c r="A2219" i="1"/>
  <c r="R2218" i="1"/>
  <c r="N2218" i="1"/>
  <c r="J2218" i="1"/>
  <c r="I2218" i="1"/>
  <c r="H2218" i="1"/>
  <c r="G2218" i="1"/>
  <c r="F2218" i="1"/>
  <c r="E2218" i="1"/>
  <c r="D2218" i="1"/>
  <c r="C2218" i="1"/>
  <c r="A2218" i="1"/>
  <c r="R2217" i="1"/>
  <c r="Q2217" i="1"/>
  <c r="N2217" i="1"/>
  <c r="J2217" i="1"/>
  <c r="I2217" i="1"/>
  <c r="H2217" i="1"/>
  <c r="G2217" i="1"/>
  <c r="F2217" i="1"/>
  <c r="E2217" i="1"/>
  <c r="D2217" i="1"/>
  <c r="C2217" i="1"/>
  <c r="A2217" i="1"/>
  <c r="R2216" i="1"/>
  <c r="N2216" i="1"/>
  <c r="J2216" i="1"/>
  <c r="I2216" i="1"/>
  <c r="H2216" i="1"/>
  <c r="G2216" i="1"/>
  <c r="F2216" i="1"/>
  <c r="E2216" i="1"/>
  <c r="D2216" i="1"/>
  <c r="C2216" i="1"/>
  <c r="B2216" i="1"/>
  <c r="A2216" i="1"/>
  <c r="R2215" i="1"/>
  <c r="Q2215" i="1"/>
  <c r="N2215" i="1"/>
  <c r="J2215" i="1"/>
  <c r="I2215" i="1"/>
  <c r="H2215" i="1"/>
  <c r="G2215" i="1"/>
  <c r="F2215" i="1"/>
  <c r="E2215" i="1"/>
  <c r="D2215" i="1"/>
  <c r="C2215" i="1"/>
  <c r="B2215" i="1"/>
  <c r="A2215" i="1"/>
  <c r="R2214" i="1"/>
  <c r="N2214" i="1"/>
  <c r="J2214" i="1"/>
  <c r="I2214" i="1"/>
  <c r="H2214" i="1"/>
  <c r="G2214" i="1"/>
  <c r="F2214" i="1"/>
  <c r="E2214" i="1"/>
  <c r="D2214" i="1"/>
  <c r="C2214" i="1"/>
  <c r="B2214" i="1"/>
  <c r="A2214" i="1"/>
  <c r="R2213" i="1"/>
  <c r="N2213" i="1"/>
  <c r="J2213" i="1"/>
  <c r="I2213" i="1"/>
  <c r="H2213" i="1"/>
  <c r="G2213" i="1"/>
  <c r="F2213" i="1"/>
  <c r="E2213" i="1"/>
  <c r="D2213" i="1"/>
  <c r="C2213" i="1"/>
  <c r="B2213" i="1"/>
  <c r="A2213" i="1"/>
  <c r="R2212" i="1"/>
  <c r="N2212" i="1"/>
  <c r="J2212" i="1"/>
  <c r="I2212" i="1"/>
  <c r="H2212" i="1"/>
  <c r="G2212" i="1"/>
  <c r="F2212" i="1"/>
  <c r="E2212" i="1"/>
  <c r="D2212" i="1"/>
  <c r="C2212" i="1"/>
  <c r="B2212" i="1"/>
  <c r="A2212" i="1"/>
  <c r="R2211" i="1"/>
  <c r="Q2211" i="1"/>
  <c r="N2211" i="1"/>
  <c r="J2211" i="1"/>
  <c r="I2211" i="1"/>
  <c r="H2211" i="1"/>
  <c r="G2211" i="1"/>
  <c r="F2211" i="1"/>
  <c r="E2211" i="1"/>
  <c r="D2211" i="1"/>
  <c r="C2211" i="1"/>
  <c r="A2211" i="1"/>
  <c r="R2210" i="1"/>
  <c r="N2210" i="1"/>
  <c r="J2210" i="1"/>
  <c r="I2210" i="1"/>
  <c r="H2210" i="1"/>
  <c r="G2210" i="1"/>
  <c r="F2210" i="1"/>
  <c r="E2210" i="1"/>
  <c r="D2210" i="1"/>
  <c r="C2210" i="1"/>
  <c r="A2210" i="1"/>
  <c r="R2209" i="1"/>
  <c r="Q2209" i="1"/>
  <c r="N2209" i="1"/>
  <c r="J2209" i="1"/>
  <c r="I2209" i="1"/>
  <c r="H2209" i="1"/>
  <c r="G2209" i="1"/>
  <c r="F2209" i="1"/>
  <c r="E2209" i="1"/>
  <c r="D2209" i="1"/>
  <c r="C2209" i="1"/>
  <c r="A2209" i="1"/>
  <c r="R2208" i="1"/>
  <c r="N2208" i="1"/>
  <c r="J2208" i="1"/>
  <c r="I2208" i="1"/>
  <c r="H2208" i="1"/>
  <c r="G2208" i="1"/>
  <c r="F2208" i="1"/>
  <c r="E2208" i="1"/>
  <c r="D2208" i="1"/>
  <c r="C2208" i="1"/>
  <c r="A2208" i="1"/>
  <c r="R2207" i="1"/>
  <c r="Q2207" i="1"/>
  <c r="N2207" i="1"/>
  <c r="J2207" i="1"/>
  <c r="I2207" i="1"/>
  <c r="H2207" i="1"/>
  <c r="G2207" i="1"/>
  <c r="F2207" i="1"/>
  <c r="E2207" i="1"/>
  <c r="D2207" i="1"/>
  <c r="C2207" i="1"/>
  <c r="A2207" i="1"/>
  <c r="R2206" i="1"/>
  <c r="N2206" i="1"/>
  <c r="J2206" i="1"/>
  <c r="I2206" i="1"/>
  <c r="H2206" i="1"/>
  <c r="G2206" i="1"/>
  <c r="F2206" i="1"/>
  <c r="E2206" i="1"/>
  <c r="D2206" i="1"/>
  <c r="C2206" i="1"/>
  <c r="B2206" i="1"/>
  <c r="A2206" i="1"/>
  <c r="R2205" i="1"/>
  <c r="Q2205" i="1"/>
  <c r="N2205" i="1"/>
  <c r="J2205" i="1"/>
  <c r="I2205" i="1"/>
  <c r="H2205" i="1"/>
  <c r="G2205" i="1"/>
  <c r="F2205" i="1"/>
  <c r="E2205" i="1"/>
  <c r="D2205" i="1"/>
  <c r="C2205" i="1"/>
  <c r="B2205" i="1"/>
  <c r="A2205" i="1"/>
  <c r="R2204" i="1"/>
  <c r="N2204" i="1"/>
  <c r="J2204" i="1"/>
  <c r="I2204" i="1"/>
  <c r="H2204" i="1"/>
  <c r="G2204" i="1"/>
  <c r="F2204" i="1"/>
  <c r="E2204" i="1"/>
  <c r="D2204" i="1"/>
  <c r="C2204" i="1"/>
  <c r="B2204" i="1"/>
  <c r="A2204" i="1"/>
  <c r="R2203" i="1"/>
  <c r="Q2203" i="1"/>
  <c r="N2203" i="1"/>
  <c r="J2203" i="1"/>
  <c r="I2203" i="1"/>
  <c r="H2203" i="1"/>
  <c r="G2203" i="1"/>
  <c r="F2203" i="1"/>
  <c r="E2203" i="1"/>
  <c r="D2203" i="1"/>
  <c r="C2203" i="1"/>
  <c r="B2203" i="1"/>
  <c r="A2203" i="1"/>
  <c r="R2202" i="1"/>
  <c r="N2202" i="1"/>
  <c r="J2202" i="1"/>
  <c r="I2202" i="1"/>
  <c r="H2202" i="1"/>
  <c r="G2202" i="1"/>
  <c r="F2202" i="1"/>
  <c r="E2202" i="1"/>
  <c r="D2202" i="1"/>
  <c r="C2202" i="1"/>
  <c r="B2202" i="1"/>
  <c r="A2202" i="1"/>
  <c r="R2201" i="1"/>
  <c r="N2201" i="1"/>
  <c r="J2201" i="1"/>
  <c r="I2201" i="1"/>
  <c r="H2201" i="1"/>
  <c r="G2201" i="1"/>
  <c r="F2201" i="1"/>
  <c r="E2201" i="1"/>
  <c r="D2201" i="1"/>
  <c r="C2201" i="1"/>
  <c r="B2201" i="1"/>
  <c r="A2201" i="1"/>
  <c r="R2200" i="1"/>
  <c r="N2200" i="1"/>
  <c r="J2200" i="1"/>
  <c r="I2200" i="1"/>
  <c r="H2200" i="1"/>
  <c r="G2200" i="1"/>
  <c r="F2200" i="1"/>
  <c r="E2200" i="1"/>
  <c r="D2200" i="1"/>
  <c r="C2200" i="1"/>
  <c r="B2200" i="1"/>
  <c r="A2200" i="1"/>
  <c r="R2199" i="1"/>
  <c r="N2199" i="1"/>
  <c r="J2199" i="1"/>
  <c r="I2199" i="1"/>
  <c r="H2199" i="1"/>
  <c r="G2199" i="1"/>
  <c r="F2199" i="1"/>
  <c r="E2199" i="1"/>
  <c r="D2199" i="1"/>
  <c r="C2199" i="1"/>
  <c r="B2199" i="1"/>
  <c r="A2199" i="1"/>
  <c r="R2198" i="1"/>
  <c r="N2198" i="1"/>
  <c r="J2198" i="1"/>
  <c r="I2198" i="1"/>
  <c r="H2198" i="1"/>
  <c r="G2198" i="1"/>
  <c r="F2198" i="1"/>
  <c r="E2198" i="1"/>
  <c r="D2198" i="1"/>
  <c r="C2198" i="1"/>
  <c r="B2198" i="1"/>
  <c r="A2198" i="1"/>
  <c r="R2197" i="1"/>
  <c r="N2197" i="1"/>
  <c r="J2197" i="1"/>
  <c r="I2197" i="1"/>
  <c r="H2197" i="1"/>
  <c r="G2197" i="1"/>
  <c r="F2197" i="1"/>
  <c r="E2197" i="1"/>
  <c r="D2197" i="1"/>
  <c r="C2197" i="1"/>
  <c r="B2197" i="1"/>
  <c r="A2197" i="1"/>
  <c r="R2196" i="1"/>
  <c r="N2196" i="1"/>
  <c r="J2196" i="1"/>
  <c r="I2196" i="1"/>
  <c r="H2196" i="1"/>
  <c r="G2196" i="1"/>
  <c r="F2196" i="1"/>
  <c r="E2196" i="1"/>
  <c r="D2196" i="1"/>
  <c r="C2196" i="1"/>
  <c r="B2196" i="1"/>
  <c r="A2196" i="1"/>
  <c r="R2195" i="1"/>
  <c r="N2195" i="1"/>
  <c r="J2195" i="1"/>
  <c r="I2195" i="1"/>
  <c r="H2195" i="1"/>
  <c r="G2195" i="1"/>
  <c r="F2195" i="1"/>
  <c r="E2195" i="1"/>
  <c r="D2195" i="1"/>
  <c r="C2195" i="1"/>
  <c r="B2195" i="1"/>
  <c r="A2195" i="1"/>
  <c r="R2194" i="1"/>
  <c r="N2194" i="1"/>
  <c r="J2194" i="1"/>
  <c r="I2194" i="1"/>
  <c r="H2194" i="1"/>
  <c r="G2194" i="1"/>
  <c r="F2194" i="1"/>
  <c r="E2194" i="1"/>
  <c r="D2194" i="1"/>
  <c r="C2194" i="1"/>
  <c r="B2194" i="1"/>
  <c r="A2194" i="1"/>
  <c r="R2193" i="1"/>
  <c r="Q2193" i="1"/>
  <c r="N2193" i="1"/>
  <c r="J2193" i="1"/>
  <c r="I2193" i="1"/>
  <c r="H2193" i="1"/>
  <c r="G2193" i="1"/>
  <c r="F2193" i="1"/>
  <c r="E2193" i="1"/>
  <c r="D2193" i="1"/>
  <c r="C2193" i="1"/>
  <c r="B2193" i="1"/>
  <c r="A2193" i="1"/>
  <c r="R2192" i="1"/>
  <c r="N2192" i="1"/>
  <c r="J2192" i="1"/>
  <c r="I2192" i="1"/>
  <c r="H2192" i="1"/>
  <c r="G2192" i="1"/>
  <c r="F2192" i="1"/>
  <c r="E2192" i="1"/>
  <c r="D2192" i="1"/>
  <c r="C2192" i="1"/>
  <c r="B2192" i="1"/>
  <c r="A2192" i="1"/>
  <c r="R2191" i="1"/>
  <c r="Q2191" i="1"/>
  <c r="N2191" i="1"/>
  <c r="J2191" i="1"/>
  <c r="I2191" i="1"/>
  <c r="H2191" i="1"/>
  <c r="G2191" i="1"/>
  <c r="F2191" i="1"/>
  <c r="E2191" i="1"/>
  <c r="D2191" i="1"/>
  <c r="C2191" i="1"/>
  <c r="B2191" i="1"/>
  <c r="A2191" i="1"/>
  <c r="R2190" i="1"/>
  <c r="N2190" i="1"/>
  <c r="J2190" i="1"/>
  <c r="I2190" i="1"/>
  <c r="H2190" i="1"/>
  <c r="G2190" i="1"/>
  <c r="F2190" i="1"/>
  <c r="E2190" i="1"/>
  <c r="D2190" i="1"/>
  <c r="C2190" i="1"/>
  <c r="B2190" i="1"/>
  <c r="A2190" i="1"/>
  <c r="R2189" i="1"/>
  <c r="Q2189" i="1"/>
  <c r="N2189" i="1"/>
  <c r="J2189" i="1"/>
  <c r="I2189" i="1"/>
  <c r="H2189" i="1"/>
  <c r="G2189" i="1"/>
  <c r="F2189" i="1"/>
  <c r="E2189" i="1"/>
  <c r="D2189" i="1"/>
  <c r="C2189" i="1"/>
  <c r="A2189" i="1"/>
  <c r="R2188" i="1"/>
  <c r="N2188" i="1"/>
  <c r="J2188" i="1"/>
  <c r="I2188" i="1"/>
  <c r="H2188" i="1"/>
  <c r="G2188" i="1"/>
  <c r="F2188" i="1"/>
  <c r="E2188" i="1"/>
  <c r="D2188" i="1"/>
  <c r="C2188" i="1"/>
  <c r="A2188" i="1"/>
  <c r="R2187" i="1"/>
  <c r="Q2187" i="1"/>
  <c r="N2187" i="1"/>
  <c r="J2187" i="1"/>
  <c r="I2187" i="1"/>
  <c r="H2187" i="1"/>
  <c r="G2187" i="1"/>
  <c r="F2187" i="1"/>
  <c r="E2187" i="1"/>
  <c r="D2187" i="1"/>
  <c r="C2187" i="1"/>
  <c r="A2187" i="1"/>
  <c r="R2186" i="1"/>
  <c r="N2186" i="1"/>
  <c r="J2186" i="1"/>
  <c r="I2186" i="1"/>
  <c r="H2186" i="1"/>
  <c r="G2186" i="1"/>
  <c r="F2186" i="1"/>
  <c r="E2186" i="1"/>
  <c r="D2186" i="1"/>
  <c r="C2186" i="1"/>
  <c r="A2186" i="1"/>
  <c r="R2185" i="1"/>
  <c r="Q2185" i="1"/>
  <c r="N2185" i="1"/>
  <c r="J2185" i="1"/>
  <c r="I2185" i="1"/>
  <c r="H2185" i="1"/>
  <c r="G2185" i="1"/>
  <c r="F2185" i="1"/>
  <c r="E2185" i="1"/>
  <c r="D2185" i="1"/>
  <c r="C2185" i="1"/>
  <c r="A2185" i="1"/>
  <c r="R2184" i="1"/>
  <c r="N2184" i="1"/>
  <c r="J2184" i="1"/>
  <c r="I2184" i="1"/>
  <c r="H2184" i="1"/>
  <c r="G2184" i="1"/>
  <c r="F2184" i="1"/>
  <c r="E2184" i="1"/>
  <c r="D2184" i="1"/>
  <c r="C2184" i="1"/>
  <c r="A2184" i="1"/>
  <c r="R2183" i="1"/>
  <c r="Q2183" i="1"/>
  <c r="N2183" i="1"/>
  <c r="J2183" i="1"/>
  <c r="I2183" i="1"/>
  <c r="H2183" i="1"/>
  <c r="G2183" i="1"/>
  <c r="F2183" i="1"/>
  <c r="E2183" i="1"/>
  <c r="D2183" i="1"/>
  <c r="C2183" i="1"/>
  <c r="A2183" i="1"/>
  <c r="R2182" i="1"/>
  <c r="N2182" i="1"/>
  <c r="J2182" i="1"/>
  <c r="I2182" i="1"/>
  <c r="H2182" i="1"/>
  <c r="G2182" i="1"/>
  <c r="F2182" i="1"/>
  <c r="E2182" i="1"/>
  <c r="D2182" i="1"/>
  <c r="C2182" i="1"/>
  <c r="A2182" i="1"/>
  <c r="R2181" i="1"/>
  <c r="Q2181" i="1"/>
  <c r="N2181" i="1"/>
  <c r="J2181" i="1"/>
  <c r="I2181" i="1"/>
  <c r="H2181" i="1"/>
  <c r="G2181" i="1"/>
  <c r="F2181" i="1"/>
  <c r="E2181" i="1"/>
  <c r="D2181" i="1"/>
  <c r="C2181" i="1"/>
  <c r="A2181" i="1"/>
  <c r="R2180" i="1"/>
  <c r="N2180" i="1"/>
  <c r="J2180" i="1"/>
  <c r="I2180" i="1"/>
  <c r="H2180" i="1"/>
  <c r="G2180" i="1"/>
  <c r="F2180" i="1"/>
  <c r="E2180" i="1"/>
  <c r="D2180" i="1"/>
  <c r="C2180" i="1"/>
  <c r="A2180" i="1"/>
  <c r="R2179" i="1"/>
  <c r="Q2179" i="1"/>
  <c r="N2179" i="1"/>
  <c r="J2179" i="1"/>
  <c r="I2179" i="1"/>
  <c r="H2179" i="1"/>
  <c r="G2179" i="1"/>
  <c r="F2179" i="1"/>
  <c r="E2179" i="1"/>
  <c r="D2179" i="1"/>
  <c r="C2179" i="1"/>
  <c r="A2179" i="1"/>
  <c r="R2178" i="1"/>
  <c r="N2178" i="1"/>
  <c r="J2178" i="1"/>
  <c r="I2178" i="1"/>
  <c r="H2178" i="1"/>
  <c r="G2178" i="1"/>
  <c r="F2178" i="1"/>
  <c r="E2178" i="1"/>
  <c r="D2178" i="1"/>
  <c r="C2178" i="1"/>
  <c r="A2178" i="1"/>
  <c r="R2177" i="1"/>
  <c r="Q2177" i="1"/>
  <c r="N2177" i="1"/>
  <c r="J2177" i="1"/>
  <c r="I2177" i="1"/>
  <c r="H2177" i="1"/>
  <c r="G2177" i="1"/>
  <c r="F2177" i="1"/>
  <c r="E2177" i="1"/>
  <c r="D2177" i="1"/>
  <c r="C2177" i="1"/>
  <c r="A2177" i="1"/>
  <c r="R2176" i="1"/>
  <c r="N2176" i="1"/>
  <c r="J2176" i="1"/>
  <c r="I2176" i="1"/>
  <c r="H2176" i="1"/>
  <c r="G2176" i="1"/>
  <c r="F2176" i="1"/>
  <c r="E2176" i="1"/>
  <c r="D2176" i="1"/>
  <c r="C2176" i="1"/>
  <c r="A2176" i="1"/>
  <c r="R2175" i="1"/>
  <c r="Q2175" i="1"/>
  <c r="N2175" i="1"/>
  <c r="J2175" i="1"/>
  <c r="I2175" i="1"/>
  <c r="H2175" i="1"/>
  <c r="G2175" i="1"/>
  <c r="F2175" i="1"/>
  <c r="E2175" i="1"/>
  <c r="D2175" i="1"/>
  <c r="C2175" i="1"/>
  <c r="A2175" i="1"/>
  <c r="R2174" i="1"/>
  <c r="N2174" i="1"/>
  <c r="J2174" i="1"/>
  <c r="I2174" i="1"/>
  <c r="H2174" i="1"/>
  <c r="G2174" i="1"/>
  <c r="F2174" i="1"/>
  <c r="E2174" i="1"/>
  <c r="D2174" i="1"/>
  <c r="C2174" i="1"/>
  <c r="A2174" i="1"/>
  <c r="R2173" i="1"/>
  <c r="Q2173" i="1"/>
  <c r="N2173" i="1"/>
  <c r="J2173" i="1"/>
  <c r="I2173" i="1"/>
  <c r="H2173" i="1"/>
  <c r="G2173" i="1"/>
  <c r="F2173" i="1"/>
  <c r="E2173" i="1"/>
  <c r="D2173" i="1"/>
  <c r="C2173" i="1"/>
  <c r="A2173" i="1"/>
  <c r="R2172" i="1"/>
  <c r="N2172" i="1"/>
  <c r="J2172" i="1"/>
  <c r="I2172" i="1"/>
  <c r="H2172" i="1"/>
  <c r="G2172" i="1"/>
  <c r="F2172" i="1"/>
  <c r="E2172" i="1"/>
  <c r="D2172" i="1"/>
  <c r="C2172" i="1"/>
  <c r="B2172" i="1"/>
  <c r="A2172" i="1"/>
  <c r="R2171" i="1"/>
  <c r="Q2171" i="1"/>
  <c r="N2171" i="1"/>
  <c r="J2171" i="1"/>
  <c r="I2171" i="1"/>
  <c r="H2171" i="1"/>
  <c r="G2171" i="1"/>
  <c r="F2171" i="1"/>
  <c r="E2171" i="1"/>
  <c r="D2171" i="1"/>
  <c r="C2171" i="1"/>
  <c r="B2171" i="1"/>
  <c r="A2171" i="1"/>
  <c r="R2170" i="1"/>
  <c r="N2170" i="1"/>
  <c r="J2170" i="1"/>
  <c r="I2170" i="1"/>
  <c r="H2170" i="1"/>
  <c r="G2170" i="1"/>
  <c r="F2170" i="1"/>
  <c r="E2170" i="1"/>
  <c r="D2170" i="1"/>
  <c r="C2170" i="1"/>
  <c r="B2170" i="1"/>
  <c r="A2170" i="1"/>
  <c r="R2169" i="1"/>
  <c r="N2169" i="1"/>
  <c r="J2169" i="1"/>
  <c r="I2169" i="1"/>
  <c r="H2169" i="1"/>
  <c r="G2169" i="1"/>
  <c r="F2169" i="1"/>
  <c r="E2169" i="1"/>
  <c r="D2169" i="1"/>
  <c r="C2169" i="1"/>
  <c r="B2169" i="1"/>
  <c r="A2169" i="1"/>
  <c r="R2168" i="1"/>
  <c r="N2168" i="1"/>
  <c r="J2168" i="1"/>
  <c r="I2168" i="1"/>
  <c r="H2168" i="1"/>
  <c r="G2168" i="1"/>
  <c r="F2168" i="1"/>
  <c r="E2168" i="1"/>
  <c r="D2168" i="1"/>
  <c r="C2168" i="1"/>
  <c r="B2168" i="1"/>
  <c r="A2168" i="1"/>
  <c r="R2167" i="1"/>
  <c r="N2167" i="1"/>
  <c r="J2167" i="1"/>
  <c r="I2167" i="1"/>
  <c r="H2167" i="1"/>
  <c r="G2167" i="1"/>
  <c r="F2167" i="1"/>
  <c r="E2167" i="1"/>
  <c r="D2167" i="1"/>
  <c r="C2167" i="1"/>
  <c r="B2167" i="1"/>
  <c r="A2167" i="1"/>
  <c r="R2166" i="1"/>
  <c r="N2166" i="1"/>
  <c r="J2166" i="1"/>
  <c r="I2166" i="1"/>
  <c r="H2166" i="1"/>
  <c r="G2166" i="1"/>
  <c r="F2166" i="1"/>
  <c r="E2166" i="1"/>
  <c r="D2166" i="1"/>
  <c r="C2166" i="1"/>
  <c r="B2166" i="1"/>
  <c r="A2166" i="1"/>
  <c r="R2165" i="1"/>
  <c r="N2165" i="1"/>
  <c r="J2165" i="1"/>
  <c r="I2165" i="1"/>
  <c r="H2165" i="1"/>
  <c r="G2165" i="1"/>
  <c r="F2165" i="1"/>
  <c r="E2165" i="1"/>
  <c r="D2165" i="1"/>
  <c r="C2165" i="1"/>
  <c r="B2165" i="1"/>
  <c r="A2165" i="1"/>
  <c r="R2164" i="1"/>
  <c r="N2164" i="1"/>
  <c r="J2164" i="1"/>
  <c r="I2164" i="1"/>
  <c r="H2164" i="1"/>
  <c r="G2164" i="1"/>
  <c r="F2164" i="1"/>
  <c r="E2164" i="1"/>
  <c r="D2164" i="1"/>
  <c r="C2164" i="1"/>
  <c r="B2164" i="1"/>
  <c r="A2164" i="1"/>
  <c r="R2163" i="1"/>
  <c r="Q2163" i="1"/>
  <c r="N2163" i="1"/>
  <c r="J2163" i="1"/>
  <c r="I2163" i="1"/>
  <c r="H2163" i="1"/>
  <c r="G2163" i="1"/>
  <c r="F2163" i="1"/>
  <c r="E2163" i="1"/>
  <c r="D2163" i="1"/>
  <c r="C2163" i="1"/>
  <c r="B2163" i="1"/>
  <c r="A2163" i="1"/>
  <c r="R2162" i="1"/>
  <c r="N2162" i="1"/>
  <c r="J2162" i="1"/>
  <c r="I2162" i="1"/>
  <c r="H2162" i="1"/>
  <c r="G2162" i="1"/>
  <c r="F2162" i="1"/>
  <c r="E2162" i="1"/>
  <c r="D2162" i="1"/>
  <c r="C2162" i="1"/>
  <c r="B2162" i="1"/>
  <c r="A2162" i="1"/>
  <c r="R2161" i="1"/>
  <c r="Q2161" i="1"/>
  <c r="N2161" i="1"/>
  <c r="J2161" i="1"/>
  <c r="I2161" i="1"/>
  <c r="H2161" i="1"/>
  <c r="G2161" i="1"/>
  <c r="F2161" i="1"/>
  <c r="E2161" i="1"/>
  <c r="D2161" i="1"/>
  <c r="C2161" i="1"/>
  <c r="A2161" i="1"/>
  <c r="R2160" i="1"/>
  <c r="N2160" i="1"/>
  <c r="J2160" i="1"/>
  <c r="I2160" i="1"/>
  <c r="H2160" i="1"/>
  <c r="G2160" i="1"/>
  <c r="F2160" i="1"/>
  <c r="E2160" i="1"/>
  <c r="D2160" i="1"/>
  <c r="C2160" i="1"/>
  <c r="A2160" i="1"/>
  <c r="R2159" i="1"/>
  <c r="Q2159" i="1"/>
  <c r="N2159" i="1"/>
  <c r="J2159" i="1"/>
  <c r="I2159" i="1"/>
  <c r="H2159" i="1"/>
  <c r="G2159" i="1"/>
  <c r="F2159" i="1"/>
  <c r="E2159" i="1"/>
  <c r="D2159" i="1"/>
  <c r="C2159" i="1"/>
  <c r="A2159" i="1"/>
  <c r="R2158" i="1"/>
  <c r="Q2158" i="1"/>
  <c r="N2158" i="1"/>
  <c r="J2158" i="1"/>
  <c r="I2158" i="1"/>
  <c r="H2158" i="1"/>
  <c r="G2158" i="1"/>
  <c r="F2158" i="1"/>
  <c r="E2158" i="1"/>
  <c r="D2158" i="1"/>
  <c r="C2158" i="1"/>
  <c r="A2158" i="1"/>
  <c r="R2157" i="1"/>
  <c r="Q2157" i="1"/>
  <c r="N2157" i="1"/>
  <c r="J2157" i="1"/>
  <c r="I2157" i="1"/>
  <c r="H2157" i="1"/>
  <c r="G2157" i="1"/>
  <c r="F2157" i="1"/>
  <c r="E2157" i="1"/>
  <c r="D2157" i="1"/>
  <c r="C2157" i="1"/>
  <c r="A2157" i="1"/>
  <c r="R2156" i="1"/>
  <c r="N2156" i="1"/>
  <c r="J2156" i="1"/>
  <c r="I2156" i="1"/>
  <c r="H2156" i="1"/>
  <c r="G2156" i="1"/>
  <c r="F2156" i="1"/>
  <c r="E2156" i="1"/>
  <c r="D2156" i="1"/>
  <c r="C2156" i="1"/>
  <c r="A2156" i="1"/>
  <c r="R2155" i="1"/>
  <c r="Q2155" i="1"/>
  <c r="N2155" i="1"/>
  <c r="J2155" i="1"/>
  <c r="I2155" i="1"/>
  <c r="H2155" i="1"/>
  <c r="G2155" i="1"/>
  <c r="F2155" i="1"/>
  <c r="E2155" i="1"/>
  <c r="D2155" i="1"/>
  <c r="C2155" i="1"/>
  <c r="A2155" i="1"/>
  <c r="R2154" i="1"/>
  <c r="N2154" i="1"/>
  <c r="J2154" i="1"/>
  <c r="I2154" i="1"/>
  <c r="H2154" i="1"/>
  <c r="G2154" i="1"/>
  <c r="F2154" i="1"/>
  <c r="E2154" i="1"/>
  <c r="D2154" i="1"/>
  <c r="C2154" i="1"/>
  <c r="A2154" i="1"/>
  <c r="R2153" i="1"/>
  <c r="Q2153" i="1"/>
  <c r="N2153" i="1"/>
  <c r="J2153" i="1"/>
  <c r="I2153" i="1"/>
  <c r="H2153" i="1"/>
  <c r="G2153" i="1"/>
  <c r="F2153" i="1"/>
  <c r="E2153" i="1"/>
  <c r="D2153" i="1"/>
  <c r="C2153" i="1"/>
  <c r="A2153" i="1"/>
  <c r="R2152" i="1"/>
  <c r="N2152" i="1"/>
  <c r="J2152" i="1"/>
  <c r="I2152" i="1"/>
  <c r="H2152" i="1"/>
  <c r="G2152" i="1"/>
  <c r="F2152" i="1"/>
  <c r="E2152" i="1"/>
  <c r="D2152" i="1"/>
  <c r="C2152" i="1"/>
  <c r="A2152" i="1"/>
  <c r="R2151" i="1"/>
  <c r="Q2151" i="1"/>
  <c r="N2151" i="1"/>
  <c r="J2151" i="1"/>
  <c r="I2151" i="1"/>
  <c r="H2151" i="1"/>
  <c r="G2151" i="1"/>
  <c r="F2151" i="1"/>
  <c r="E2151" i="1"/>
  <c r="D2151" i="1"/>
  <c r="C2151" i="1"/>
  <c r="A2151" i="1"/>
  <c r="R2150" i="1"/>
  <c r="N2150" i="1"/>
  <c r="J2150" i="1"/>
  <c r="I2150" i="1"/>
  <c r="H2150" i="1"/>
  <c r="G2150" i="1"/>
  <c r="F2150" i="1"/>
  <c r="E2150" i="1"/>
  <c r="D2150" i="1"/>
  <c r="C2150" i="1"/>
  <c r="A2150" i="1"/>
  <c r="R2149" i="1"/>
  <c r="Q2149" i="1"/>
  <c r="N2149" i="1"/>
  <c r="J2149" i="1"/>
  <c r="I2149" i="1"/>
  <c r="H2149" i="1"/>
  <c r="G2149" i="1"/>
  <c r="F2149" i="1"/>
  <c r="E2149" i="1"/>
  <c r="D2149" i="1"/>
  <c r="C2149" i="1"/>
  <c r="A2149" i="1"/>
  <c r="R2148" i="1"/>
  <c r="Q2148" i="1"/>
  <c r="N2148" i="1"/>
  <c r="J2148" i="1"/>
  <c r="I2148" i="1"/>
  <c r="H2148" i="1"/>
  <c r="G2148" i="1"/>
  <c r="F2148" i="1"/>
  <c r="E2148" i="1"/>
  <c r="D2148" i="1"/>
  <c r="C2148" i="1"/>
  <c r="A2148" i="1"/>
  <c r="R2147" i="1"/>
  <c r="Q2147" i="1"/>
  <c r="N2147" i="1"/>
  <c r="J2147" i="1"/>
  <c r="I2147" i="1"/>
  <c r="H2147" i="1"/>
  <c r="G2147" i="1"/>
  <c r="F2147" i="1"/>
  <c r="E2147" i="1"/>
  <c r="D2147" i="1"/>
  <c r="C2147" i="1"/>
  <c r="A2147" i="1"/>
  <c r="R2146" i="1"/>
  <c r="Q2146" i="1"/>
  <c r="N2146" i="1"/>
  <c r="J2146" i="1"/>
  <c r="I2146" i="1"/>
  <c r="H2146" i="1"/>
  <c r="G2146" i="1"/>
  <c r="F2146" i="1"/>
  <c r="E2146" i="1"/>
  <c r="D2146" i="1"/>
  <c r="C2146" i="1"/>
  <c r="A2146" i="1"/>
  <c r="R2145" i="1"/>
  <c r="Q2145" i="1"/>
  <c r="N2145" i="1"/>
  <c r="J2145" i="1"/>
  <c r="I2145" i="1"/>
  <c r="H2145" i="1"/>
  <c r="G2145" i="1"/>
  <c r="F2145" i="1"/>
  <c r="E2145" i="1"/>
  <c r="D2145" i="1"/>
  <c r="C2145" i="1"/>
  <c r="A2145" i="1"/>
  <c r="R2144" i="1"/>
  <c r="Q2144" i="1"/>
  <c r="N2144" i="1"/>
  <c r="J2144" i="1"/>
  <c r="I2144" i="1"/>
  <c r="H2144" i="1"/>
  <c r="G2144" i="1"/>
  <c r="F2144" i="1"/>
  <c r="E2144" i="1"/>
  <c r="D2144" i="1"/>
  <c r="C2144" i="1"/>
  <c r="A2144" i="1"/>
  <c r="R2143" i="1"/>
  <c r="Q2143" i="1"/>
  <c r="N2143" i="1"/>
  <c r="J2143" i="1"/>
  <c r="I2143" i="1"/>
  <c r="H2143" i="1"/>
  <c r="G2143" i="1"/>
  <c r="F2143" i="1"/>
  <c r="E2143" i="1"/>
  <c r="D2143" i="1"/>
  <c r="C2143" i="1"/>
  <c r="A2143" i="1"/>
  <c r="R2142" i="1"/>
  <c r="N2142" i="1"/>
  <c r="J2142" i="1"/>
  <c r="I2142" i="1"/>
  <c r="H2142" i="1"/>
  <c r="G2142" i="1"/>
  <c r="F2142" i="1"/>
  <c r="E2142" i="1"/>
  <c r="D2142" i="1"/>
  <c r="C2142" i="1"/>
  <c r="A2142" i="1"/>
  <c r="R2141" i="1"/>
  <c r="Q2141" i="1"/>
  <c r="N2141" i="1"/>
  <c r="J2141" i="1"/>
  <c r="I2141" i="1"/>
  <c r="H2141" i="1"/>
  <c r="G2141" i="1"/>
  <c r="F2141" i="1"/>
  <c r="E2141" i="1"/>
  <c r="D2141" i="1"/>
  <c r="C2141" i="1"/>
  <c r="A2141" i="1"/>
  <c r="R2140" i="1"/>
  <c r="Q2140" i="1"/>
  <c r="N2140" i="1"/>
  <c r="J2140" i="1"/>
  <c r="I2140" i="1"/>
  <c r="H2140" i="1"/>
  <c r="G2140" i="1"/>
  <c r="F2140" i="1"/>
  <c r="E2140" i="1"/>
  <c r="D2140" i="1"/>
  <c r="C2140" i="1"/>
  <c r="A2140" i="1"/>
  <c r="R2139" i="1"/>
  <c r="Q2139" i="1"/>
  <c r="N2139" i="1"/>
  <c r="J2139" i="1"/>
  <c r="I2139" i="1"/>
  <c r="H2139" i="1"/>
  <c r="G2139" i="1"/>
  <c r="F2139" i="1"/>
  <c r="E2139" i="1"/>
  <c r="D2139" i="1"/>
  <c r="C2139" i="1"/>
  <c r="A2139" i="1"/>
  <c r="R2138" i="1"/>
  <c r="Q2138" i="1"/>
  <c r="N2138" i="1"/>
  <c r="J2138" i="1"/>
  <c r="I2138" i="1"/>
  <c r="H2138" i="1"/>
  <c r="G2138" i="1"/>
  <c r="F2138" i="1"/>
  <c r="E2138" i="1"/>
  <c r="D2138" i="1"/>
  <c r="C2138" i="1"/>
  <c r="A2138" i="1"/>
  <c r="R2137" i="1"/>
  <c r="Q2137" i="1"/>
  <c r="N2137" i="1"/>
  <c r="J2137" i="1"/>
  <c r="I2137" i="1"/>
  <c r="H2137" i="1"/>
  <c r="G2137" i="1"/>
  <c r="F2137" i="1"/>
  <c r="E2137" i="1"/>
  <c r="D2137" i="1"/>
  <c r="C2137" i="1"/>
  <c r="A2137" i="1"/>
  <c r="R2136" i="1"/>
  <c r="Q2136" i="1"/>
  <c r="N2136" i="1"/>
  <c r="J2136" i="1"/>
  <c r="I2136" i="1"/>
  <c r="H2136" i="1"/>
  <c r="G2136" i="1"/>
  <c r="F2136" i="1"/>
  <c r="E2136" i="1"/>
  <c r="D2136" i="1"/>
  <c r="C2136" i="1"/>
  <c r="A2136" i="1"/>
  <c r="R2135" i="1"/>
  <c r="Q2135" i="1"/>
  <c r="N2135" i="1"/>
  <c r="J2135" i="1"/>
  <c r="I2135" i="1"/>
  <c r="H2135" i="1"/>
  <c r="G2135" i="1"/>
  <c r="F2135" i="1"/>
  <c r="E2135" i="1"/>
  <c r="D2135" i="1"/>
  <c r="C2135" i="1"/>
  <c r="A2135" i="1"/>
  <c r="R2134" i="1"/>
  <c r="Q2134" i="1"/>
  <c r="N2134" i="1"/>
  <c r="J2134" i="1"/>
  <c r="I2134" i="1"/>
  <c r="H2134" i="1"/>
  <c r="G2134" i="1"/>
  <c r="F2134" i="1"/>
  <c r="E2134" i="1"/>
  <c r="D2134" i="1"/>
  <c r="C2134" i="1"/>
  <c r="A2134" i="1"/>
  <c r="R2133" i="1"/>
  <c r="Q2133" i="1"/>
  <c r="N2133" i="1"/>
  <c r="J2133" i="1"/>
  <c r="I2133" i="1"/>
  <c r="H2133" i="1"/>
  <c r="G2133" i="1"/>
  <c r="F2133" i="1"/>
  <c r="E2133" i="1"/>
  <c r="D2133" i="1"/>
  <c r="C2133" i="1"/>
  <c r="A2133" i="1"/>
  <c r="R2132" i="1"/>
  <c r="Q2132" i="1"/>
  <c r="N2132" i="1"/>
  <c r="J2132" i="1"/>
  <c r="I2132" i="1"/>
  <c r="H2132" i="1"/>
  <c r="G2132" i="1"/>
  <c r="F2132" i="1"/>
  <c r="E2132" i="1"/>
  <c r="D2132" i="1"/>
  <c r="C2132" i="1"/>
  <c r="A2132" i="1"/>
  <c r="R2131" i="1"/>
  <c r="Q2131" i="1"/>
  <c r="N2131" i="1"/>
  <c r="J2131" i="1"/>
  <c r="I2131" i="1"/>
  <c r="H2131" i="1"/>
  <c r="G2131" i="1"/>
  <c r="F2131" i="1"/>
  <c r="E2131" i="1"/>
  <c r="D2131" i="1"/>
  <c r="C2131" i="1"/>
  <c r="A2131" i="1"/>
  <c r="R2130" i="1"/>
  <c r="N2130" i="1"/>
  <c r="J2130" i="1"/>
  <c r="I2130" i="1"/>
  <c r="H2130" i="1"/>
  <c r="G2130" i="1"/>
  <c r="F2130" i="1"/>
  <c r="E2130" i="1"/>
  <c r="D2130" i="1"/>
  <c r="C2130" i="1"/>
  <c r="A2130" i="1"/>
  <c r="R2129" i="1"/>
  <c r="Q2129" i="1"/>
  <c r="N2129" i="1"/>
  <c r="J2129" i="1"/>
  <c r="I2129" i="1"/>
  <c r="H2129" i="1"/>
  <c r="G2129" i="1"/>
  <c r="F2129" i="1"/>
  <c r="E2129" i="1"/>
  <c r="D2129" i="1"/>
  <c r="C2129" i="1"/>
  <c r="A2129" i="1"/>
  <c r="R2128" i="1"/>
  <c r="Q2128" i="1"/>
  <c r="N2128" i="1"/>
  <c r="J2128" i="1"/>
  <c r="I2128" i="1"/>
  <c r="H2128" i="1"/>
  <c r="G2128" i="1"/>
  <c r="F2128" i="1"/>
  <c r="E2128" i="1"/>
  <c r="D2128" i="1"/>
  <c r="C2128" i="1"/>
  <c r="A2128" i="1"/>
  <c r="R2127" i="1"/>
  <c r="Q2127" i="1"/>
  <c r="N2127" i="1"/>
  <c r="J2127" i="1"/>
  <c r="I2127" i="1"/>
  <c r="H2127" i="1"/>
  <c r="G2127" i="1"/>
  <c r="F2127" i="1"/>
  <c r="E2127" i="1"/>
  <c r="D2127" i="1"/>
  <c r="C2127" i="1"/>
  <c r="A2127" i="1"/>
  <c r="R2126" i="1"/>
  <c r="Q2126" i="1"/>
  <c r="N2126" i="1"/>
  <c r="J2126" i="1"/>
  <c r="I2126" i="1"/>
  <c r="H2126" i="1"/>
  <c r="G2126" i="1"/>
  <c r="F2126" i="1"/>
  <c r="E2126" i="1"/>
  <c r="D2126" i="1"/>
  <c r="C2126" i="1"/>
  <c r="A2126" i="1"/>
  <c r="R2125" i="1"/>
  <c r="Q2125" i="1"/>
  <c r="N2125" i="1"/>
  <c r="J2125" i="1"/>
  <c r="I2125" i="1"/>
  <c r="H2125" i="1"/>
  <c r="G2125" i="1"/>
  <c r="F2125" i="1"/>
  <c r="E2125" i="1"/>
  <c r="D2125" i="1"/>
  <c r="C2125" i="1"/>
  <c r="A2125" i="1"/>
  <c r="R2124" i="1"/>
  <c r="Q2124" i="1"/>
  <c r="N2124" i="1"/>
  <c r="J2124" i="1"/>
  <c r="I2124" i="1"/>
  <c r="H2124" i="1"/>
  <c r="G2124" i="1"/>
  <c r="F2124" i="1"/>
  <c r="E2124" i="1"/>
  <c r="D2124" i="1"/>
  <c r="C2124" i="1"/>
  <c r="A2124" i="1"/>
  <c r="R2123" i="1"/>
  <c r="Q2123" i="1"/>
  <c r="N2123" i="1"/>
  <c r="J2123" i="1"/>
  <c r="I2123" i="1"/>
  <c r="H2123" i="1"/>
  <c r="G2123" i="1"/>
  <c r="F2123" i="1"/>
  <c r="E2123" i="1"/>
  <c r="D2123" i="1"/>
  <c r="C2123" i="1"/>
  <c r="A2123" i="1"/>
  <c r="R2122" i="1"/>
  <c r="Q2122" i="1"/>
  <c r="N2122" i="1"/>
  <c r="J2122" i="1"/>
  <c r="I2122" i="1"/>
  <c r="H2122" i="1"/>
  <c r="G2122" i="1"/>
  <c r="F2122" i="1"/>
  <c r="E2122" i="1"/>
  <c r="D2122" i="1"/>
  <c r="C2122" i="1"/>
  <c r="A2122" i="1"/>
  <c r="R2121" i="1"/>
  <c r="Q2121" i="1"/>
  <c r="N2121" i="1"/>
  <c r="J2121" i="1"/>
  <c r="I2121" i="1"/>
  <c r="H2121" i="1"/>
  <c r="G2121" i="1"/>
  <c r="F2121" i="1"/>
  <c r="E2121" i="1"/>
  <c r="D2121" i="1"/>
  <c r="C2121" i="1"/>
  <c r="A2121" i="1"/>
  <c r="R2120" i="1"/>
  <c r="Q2120" i="1"/>
  <c r="N2120" i="1"/>
  <c r="J2120" i="1"/>
  <c r="I2120" i="1"/>
  <c r="H2120" i="1"/>
  <c r="G2120" i="1"/>
  <c r="F2120" i="1"/>
  <c r="E2120" i="1"/>
  <c r="D2120" i="1"/>
  <c r="C2120" i="1"/>
  <c r="A2120" i="1"/>
  <c r="R2119" i="1"/>
  <c r="Q2119" i="1"/>
  <c r="N2119" i="1"/>
  <c r="J2119" i="1"/>
  <c r="I2119" i="1"/>
  <c r="H2119" i="1"/>
  <c r="G2119" i="1"/>
  <c r="F2119" i="1"/>
  <c r="E2119" i="1"/>
  <c r="D2119" i="1"/>
  <c r="C2119" i="1"/>
  <c r="A2119" i="1"/>
  <c r="R2118" i="1"/>
  <c r="Q2118" i="1"/>
  <c r="N2118" i="1"/>
  <c r="J2118" i="1"/>
  <c r="I2118" i="1"/>
  <c r="H2118" i="1"/>
  <c r="G2118" i="1"/>
  <c r="F2118" i="1"/>
  <c r="E2118" i="1"/>
  <c r="D2118" i="1"/>
  <c r="C2118" i="1"/>
  <c r="A2118" i="1"/>
  <c r="R2117" i="1"/>
  <c r="Q2117" i="1"/>
  <c r="N2117" i="1"/>
  <c r="J2117" i="1"/>
  <c r="I2117" i="1"/>
  <c r="H2117" i="1"/>
  <c r="G2117" i="1"/>
  <c r="F2117" i="1"/>
  <c r="E2117" i="1"/>
  <c r="D2117" i="1"/>
  <c r="C2117" i="1"/>
  <c r="A2117" i="1"/>
  <c r="R2116" i="1"/>
  <c r="Q2116" i="1"/>
  <c r="N2116" i="1"/>
  <c r="J2116" i="1"/>
  <c r="I2116" i="1"/>
  <c r="H2116" i="1"/>
  <c r="G2116" i="1"/>
  <c r="F2116" i="1"/>
  <c r="E2116" i="1"/>
  <c r="D2116" i="1"/>
  <c r="C2116" i="1"/>
  <c r="A2116" i="1"/>
  <c r="R2115" i="1"/>
  <c r="Q2115" i="1"/>
  <c r="N2115" i="1"/>
  <c r="J2115" i="1"/>
  <c r="I2115" i="1"/>
  <c r="H2115" i="1"/>
  <c r="G2115" i="1"/>
  <c r="F2115" i="1"/>
  <c r="E2115" i="1"/>
  <c r="D2115" i="1"/>
  <c r="C2115" i="1"/>
  <c r="A2115" i="1"/>
  <c r="R2114" i="1"/>
  <c r="Q2114" i="1"/>
  <c r="N2114" i="1"/>
  <c r="J2114" i="1"/>
  <c r="I2114" i="1"/>
  <c r="H2114" i="1"/>
  <c r="G2114" i="1"/>
  <c r="F2114" i="1"/>
  <c r="E2114" i="1"/>
  <c r="D2114" i="1"/>
  <c r="C2114" i="1"/>
  <c r="A2114" i="1"/>
  <c r="R2113" i="1"/>
  <c r="Q2113" i="1"/>
  <c r="N2113" i="1"/>
  <c r="J2113" i="1"/>
  <c r="I2113" i="1"/>
  <c r="H2113" i="1"/>
  <c r="G2113" i="1"/>
  <c r="F2113" i="1"/>
  <c r="E2113" i="1"/>
  <c r="D2113" i="1"/>
  <c r="C2113" i="1"/>
  <c r="A2113" i="1"/>
  <c r="R2112" i="1"/>
  <c r="Q2112" i="1"/>
  <c r="N2112" i="1"/>
  <c r="J2112" i="1"/>
  <c r="I2112" i="1"/>
  <c r="H2112" i="1"/>
  <c r="G2112" i="1"/>
  <c r="F2112" i="1"/>
  <c r="E2112" i="1"/>
  <c r="D2112" i="1"/>
  <c r="C2112" i="1"/>
  <c r="A2112" i="1"/>
  <c r="R2111" i="1"/>
  <c r="Q2111" i="1"/>
  <c r="N2111" i="1"/>
  <c r="J2111" i="1"/>
  <c r="I2111" i="1"/>
  <c r="H2111" i="1"/>
  <c r="G2111" i="1"/>
  <c r="F2111" i="1"/>
  <c r="E2111" i="1"/>
  <c r="D2111" i="1"/>
  <c r="C2111" i="1"/>
  <c r="A2111" i="1"/>
  <c r="R2110" i="1"/>
  <c r="Q2110" i="1"/>
  <c r="N2110" i="1"/>
  <c r="J2110" i="1"/>
  <c r="I2110" i="1"/>
  <c r="H2110" i="1"/>
  <c r="G2110" i="1"/>
  <c r="F2110" i="1"/>
  <c r="E2110" i="1"/>
  <c r="D2110" i="1"/>
  <c r="C2110" i="1"/>
  <c r="A2110" i="1"/>
  <c r="R2109" i="1"/>
  <c r="Q2109" i="1"/>
  <c r="N2109" i="1"/>
  <c r="J2109" i="1"/>
  <c r="I2109" i="1"/>
  <c r="H2109" i="1"/>
  <c r="G2109" i="1"/>
  <c r="F2109" i="1"/>
  <c r="E2109" i="1"/>
  <c r="D2109" i="1"/>
  <c r="C2109" i="1"/>
  <c r="A2109" i="1"/>
  <c r="R2108" i="1"/>
  <c r="Q2108" i="1"/>
  <c r="N2108" i="1"/>
  <c r="J2108" i="1"/>
  <c r="I2108" i="1"/>
  <c r="H2108" i="1"/>
  <c r="G2108" i="1"/>
  <c r="F2108" i="1"/>
  <c r="E2108" i="1"/>
  <c r="D2108" i="1"/>
  <c r="C2108" i="1"/>
  <c r="A2108" i="1"/>
  <c r="R2107" i="1"/>
  <c r="Q2107" i="1"/>
  <c r="N2107" i="1"/>
  <c r="J2107" i="1"/>
  <c r="I2107" i="1"/>
  <c r="H2107" i="1"/>
  <c r="G2107" i="1"/>
  <c r="F2107" i="1"/>
  <c r="E2107" i="1"/>
  <c r="D2107" i="1"/>
  <c r="C2107" i="1"/>
  <c r="A2107" i="1"/>
  <c r="R2106" i="1"/>
  <c r="Q2106" i="1"/>
  <c r="N2106" i="1"/>
  <c r="J2106" i="1"/>
  <c r="I2106" i="1"/>
  <c r="H2106" i="1"/>
  <c r="G2106" i="1"/>
  <c r="F2106" i="1"/>
  <c r="E2106" i="1"/>
  <c r="D2106" i="1"/>
  <c r="C2106" i="1"/>
  <c r="A2106" i="1"/>
  <c r="R2105" i="1"/>
  <c r="Q2105" i="1"/>
  <c r="N2105" i="1"/>
  <c r="J2105" i="1"/>
  <c r="I2105" i="1"/>
  <c r="H2105" i="1"/>
  <c r="G2105" i="1"/>
  <c r="F2105" i="1"/>
  <c r="E2105" i="1"/>
  <c r="D2105" i="1"/>
  <c r="C2105" i="1"/>
  <c r="A2105" i="1"/>
  <c r="R2104" i="1"/>
  <c r="Q2104" i="1"/>
  <c r="N2104" i="1"/>
  <c r="J2104" i="1"/>
  <c r="I2104" i="1"/>
  <c r="H2104" i="1"/>
  <c r="G2104" i="1"/>
  <c r="F2104" i="1"/>
  <c r="E2104" i="1"/>
  <c r="D2104" i="1"/>
  <c r="C2104" i="1"/>
  <c r="A2104" i="1"/>
  <c r="R2103" i="1"/>
  <c r="Q2103" i="1"/>
  <c r="N2103" i="1"/>
  <c r="J2103" i="1"/>
  <c r="I2103" i="1"/>
  <c r="H2103" i="1"/>
  <c r="G2103" i="1"/>
  <c r="F2103" i="1"/>
  <c r="E2103" i="1"/>
  <c r="D2103" i="1"/>
  <c r="C2103" i="1"/>
  <c r="A2103" i="1"/>
  <c r="R2102" i="1"/>
  <c r="Q2102" i="1"/>
  <c r="N2102" i="1"/>
  <c r="J2102" i="1"/>
  <c r="I2102" i="1"/>
  <c r="H2102" i="1"/>
  <c r="G2102" i="1"/>
  <c r="F2102" i="1"/>
  <c r="E2102" i="1"/>
  <c r="D2102" i="1"/>
  <c r="C2102" i="1"/>
  <c r="A2102" i="1"/>
  <c r="R2101" i="1"/>
  <c r="Q2101" i="1"/>
  <c r="N2101" i="1"/>
  <c r="J2101" i="1"/>
  <c r="I2101" i="1"/>
  <c r="H2101" i="1"/>
  <c r="G2101" i="1"/>
  <c r="F2101" i="1"/>
  <c r="E2101" i="1"/>
  <c r="D2101" i="1"/>
  <c r="C2101" i="1"/>
  <c r="A2101" i="1"/>
  <c r="R2100" i="1"/>
  <c r="Q2100" i="1"/>
  <c r="N2100" i="1"/>
  <c r="J2100" i="1"/>
  <c r="I2100" i="1"/>
  <c r="H2100" i="1"/>
  <c r="G2100" i="1"/>
  <c r="F2100" i="1"/>
  <c r="E2100" i="1"/>
  <c r="D2100" i="1"/>
  <c r="C2100" i="1"/>
  <c r="A2100" i="1"/>
  <c r="R2099" i="1"/>
  <c r="Q2099" i="1"/>
  <c r="N2099" i="1"/>
  <c r="J2099" i="1"/>
  <c r="I2099" i="1"/>
  <c r="H2099" i="1"/>
  <c r="G2099" i="1"/>
  <c r="F2099" i="1"/>
  <c r="E2099" i="1"/>
  <c r="D2099" i="1"/>
  <c r="C2099" i="1"/>
  <c r="A2099" i="1"/>
  <c r="R2098" i="1"/>
  <c r="Q2098" i="1"/>
  <c r="N2098" i="1"/>
  <c r="J2098" i="1"/>
  <c r="I2098" i="1"/>
  <c r="H2098" i="1"/>
  <c r="G2098" i="1"/>
  <c r="F2098" i="1"/>
  <c r="E2098" i="1"/>
  <c r="D2098" i="1"/>
  <c r="C2098" i="1"/>
  <c r="A2098" i="1"/>
  <c r="R2097" i="1"/>
  <c r="Q2097" i="1"/>
  <c r="N2097" i="1"/>
  <c r="J2097" i="1"/>
  <c r="I2097" i="1"/>
  <c r="H2097" i="1"/>
  <c r="G2097" i="1"/>
  <c r="F2097" i="1"/>
  <c r="E2097" i="1"/>
  <c r="D2097" i="1"/>
  <c r="C2097" i="1"/>
  <c r="A2097" i="1"/>
  <c r="R2096" i="1"/>
  <c r="Q2096" i="1"/>
  <c r="N2096" i="1"/>
  <c r="J2096" i="1"/>
  <c r="I2096" i="1"/>
  <c r="H2096" i="1"/>
  <c r="G2096" i="1"/>
  <c r="F2096" i="1"/>
  <c r="E2096" i="1"/>
  <c r="D2096" i="1"/>
  <c r="C2096" i="1"/>
  <c r="A2096" i="1"/>
  <c r="R2095" i="1"/>
  <c r="Q2095" i="1"/>
  <c r="N2095" i="1"/>
  <c r="J2095" i="1"/>
  <c r="I2095" i="1"/>
  <c r="H2095" i="1"/>
  <c r="G2095" i="1"/>
  <c r="F2095" i="1"/>
  <c r="E2095" i="1"/>
  <c r="D2095" i="1"/>
  <c r="C2095" i="1"/>
  <c r="A2095" i="1"/>
  <c r="R2094" i="1"/>
  <c r="Q2094" i="1"/>
  <c r="N2094" i="1"/>
  <c r="J2094" i="1"/>
  <c r="I2094" i="1"/>
  <c r="H2094" i="1"/>
  <c r="G2094" i="1"/>
  <c r="F2094" i="1"/>
  <c r="E2094" i="1"/>
  <c r="D2094" i="1"/>
  <c r="C2094" i="1"/>
  <c r="A2094" i="1"/>
  <c r="R2093" i="1"/>
  <c r="Q2093" i="1"/>
  <c r="N2093" i="1"/>
  <c r="J2093" i="1"/>
  <c r="I2093" i="1"/>
  <c r="H2093" i="1"/>
  <c r="G2093" i="1"/>
  <c r="F2093" i="1"/>
  <c r="E2093" i="1"/>
  <c r="D2093" i="1"/>
  <c r="C2093" i="1"/>
  <c r="A2093" i="1"/>
  <c r="R2092" i="1"/>
  <c r="Q2092" i="1"/>
  <c r="N2092" i="1"/>
  <c r="J2092" i="1"/>
  <c r="I2092" i="1"/>
  <c r="H2092" i="1"/>
  <c r="G2092" i="1"/>
  <c r="F2092" i="1"/>
  <c r="E2092" i="1"/>
  <c r="D2092" i="1"/>
  <c r="C2092" i="1"/>
  <c r="A2092" i="1"/>
  <c r="R2091" i="1"/>
  <c r="Q2091" i="1"/>
  <c r="N2091" i="1"/>
  <c r="J2091" i="1"/>
  <c r="I2091" i="1"/>
  <c r="H2091" i="1"/>
  <c r="G2091" i="1"/>
  <c r="F2091" i="1"/>
  <c r="E2091" i="1"/>
  <c r="D2091" i="1"/>
  <c r="C2091" i="1"/>
  <c r="A2091" i="1"/>
  <c r="R2090" i="1"/>
  <c r="Q2090" i="1"/>
  <c r="N2090" i="1"/>
  <c r="J2090" i="1"/>
  <c r="I2090" i="1"/>
  <c r="H2090" i="1"/>
  <c r="G2090" i="1"/>
  <c r="F2090" i="1"/>
  <c r="E2090" i="1"/>
  <c r="D2090" i="1"/>
  <c r="C2090" i="1"/>
  <c r="A2090" i="1"/>
  <c r="R2089" i="1"/>
  <c r="Q2089" i="1"/>
  <c r="N2089" i="1"/>
  <c r="J2089" i="1"/>
  <c r="I2089" i="1"/>
  <c r="H2089" i="1"/>
  <c r="G2089" i="1"/>
  <c r="F2089" i="1"/>
  <c r="E2089" i="1"/>
  <c r="D2089" i="1"/>
  <c r="C2089" i="1"/>
  <c r="A2089" i="1"/>
  <c r="R2088" i="1"/>
  <c r="Q2088" i="1"/>
  <c r="N2088" i="1"/>
  <c r="J2088" i="1"/>
  <c r="I2088" i="1"/>
  <c r="H2088" i="1"/>
  <c r="G2088" i="1"/>
  <c r="F2088" i="1"/>
  <c r="E2088" i="1"/>
  <c r="D2088" i="1"/>
  <c r="C2088" i="1"/>
  <c r="A2088" i="1"/>
  <c r="R2087" i="1"/>
  <c r="Q2087" i="1"/>
  <c r="N2087" i="1"/>
  <c r="J2087" i="1"/>
  <c r="I2087" i="1"/>
  <c r="H2087" i="1"/>
  <c r="G2087" i="1"/>
  <c r="F2087" i="1"/>
  <c r="E2087" i="1"/>
  <c r="D2087" i="1"/>
  <c r="C2087" i="1"/>
  <c r="A2087" i="1"/>
  <c r="R2086" i="1"/>
  <c r="Q2086" i="1"/>
  <c r="N2086" i="1"/>
  <c r="J2086" i="1"/>
  <c r="I2086" i="1"/>
  <c r="H2086" i="1"/>
  <c r="G2086" i="1"/>
  <c r="F2086" i="1"/>
  <c r="E2086" i="1"/>
  <c r="D2086" i="1"/>
  <c r="C2086" i="1"/>
  <c r="A2086" i="1"/>
  <c r="R2085" i="1"/>
  <c r="Q2085" i="1"/>
  <c r="N2085" i="1"/>
  <c r="J2085" i="1"/>
  <c r="I2085" i="1"/>
  <c r="H2085" i="1"/>
  <c r="G2085" i="1"/>
  <c r="F2085" i="1"/>
  <c r="E2085" i="1"/>
  <c r="D2085" i="1"/>
  <c r="C2085" i="1"/>
  <c r="A2085" i="1"/>
  <c r="R2084" i="1"/>
  <c r="N2084" i="1"/>
  <c r="J2084" i="1"/>
  <c r="I2084" i="1"/>
  <c r="H2084" i="1"/>
  <c r="G2084" i="1"/>
  <c r="F2084" i="1"/>
  <c r="E2084" i="1"/>
  <c r="D2084" i="1"/>
  <c r="C2084" i="1"/>
  <c r="B2084" i="1"/>
  <c r="A2084" i="1"/>
  <c r="R2083" i="1"/>
  <c r="N2083" i="1"/>
  <c r="J2083" i="1"/>
  <c r="I2083" i="1"/>
  <c r="H2083" i="1"/>
  <c r="G2083" i="1"/>
  <c r="F2083" i="1"/>
  <c r="E2083" i="1"/>
  <c r="D2083" i="1"/>
  <c r="C2083" i="1"/>
  <c r="B2083" i="1"/>
  <c r="A2083" i="1"/>
  <c r="R2082" i="1"/>
  <c r="Q2082" i="1"/>
  <c r="N2082" i="1"/>
  <c r="J2082" i="1"/>
  <c r="I2082" i="1"/>
  <c r="H2082" i="1"/>
  <c r="G2082" i="1"/>
  <c r="F2082" i="1"/>
  <c r="E2082" i="1"/>
  <c r="D2082" i="1"/>
  <c r="C2082" i="1"/>
  <c r="B2082" i="1"/>
  <c r="A2082" i="1"/>
  <c r="R2081" i="1"/>
  <c r="N2081" i="1"/>
  <c r="J2081" i="1"/>
  <c r="I2081" i="1"/>
  <c r="H2081" i="1"/>
  <c r="G2081" i="1"/>
  <c r="F2081" i="1"/>
  <c r="E2081" i="1"/>
  <c r="D2081" i="1"/>
  <c r="C2081" i="1"/>
  <c r="B2081" i="1"/>
  <c r="A2081" i="1"/>
  <c r="R2080" i="1"/>
  <c r="Q2080" i="1"/>
  <c r="N2080" i="1"/>
  <c r="J2080" i="1"/>
  <c r="I2080" i="1"/>
  <c r="H2080" i="1"/>
  <c r="G2080" i="1"/>
  <c r="F2080" i="1"/>
  <c r="E2080" i="1"/>
  <c r="D2080" i="1"/>
  <c r="C2080" i="1"/>
  <c r="A2080" i="1"/>
  <c r="R2079" i="1"/>
  <c r="N2079" i="1"/>
  <c r="J2079" i="1"/>
  <c r="I2079" i="1"/>
  <c r="H2079" i="1"/>
  <c r="G2079" i="1"/>
  <c r="F2079" i="1"/>
  <c r="E2079" i="1"/>
  <c r="D2079" i="1"/>
  <c r="C2079" i="1"/>
  <c r="B2079" i="1"/>
  <c r="A2079" i="1"/>
  <c r="R2078" i="1"/>
  <c r="N2078" i="1"/>
  <c r="J2078" i="1"/>
  <c r="I2078" i="1"/>
  <c r="H2078" i="1"/>
  <c r="G2078" i="1"/>
  <c r="F2078" i="1"/>
  <c r="E2078" i="1"/>
  <c r="D2078" i="1"/>
  <c r="C2078" i="1"/>
  <c r="B2078" i="1"/>
  <c r="A2078" i="1"/>
  <c r="R2077" i="1"/>
  <c r="N2077" i="1"/>
  <c r="J2077" i="1"/>
  <c r="I2077" i="1"/>
  <c r="H2077" i="1"/>
  <c r="G2077" i="1"/>
  <c r="F2077" i="1"/>
  <c r="E2077" i="1"/>
  <c r="D2077" i="1"/>
  <c r="C2077" i="1"/>
  <c r="B2077" i="1"/>
  <c r="A2077" i="1"/>
  <c r="R2076" i="1"/>
  <c r="N2076" i="1"/>
  <c r="J2076" i="1"/>
  <c r="I2076" i="1"/>
  <c r="H2076" i="1"/>
  <c r="G2076" i="1"/>
  <c r="F2076" i="1"/>
  <c r="E2076" i="1"/>
  <c r="D2076" i="1"/>
  <c r="C2076" i="1"/>
  <c r="B2076" i="1"/>
  <c r="A2076" i="1"/>
  <c r="R2075" i="1"/>
  <c r="N2075" i="1"/>
  <c r="J2075" i="1"/>
  <c r="I2075" i="1"/>
  <c r="H2075" i="1"/>
  <c r="G2075" i="1"/>
  <c r="F2075" i="1"/>
  <c r="E2075" i="1"/>
  <c r="D2075" i="1"/>
  <c r="C2075" i="1"/>
  <c r="B2075" i="1"/>
  <c r="A2075" i="1"/>
  <c r="R2074" i="1"/>
  <c r="N2074" i="1"/>
  <c r="J2074" i="1"/>
  <c r="I2074" i="1"/>
  <c r="H2074" i="1"/>
  <c r="G2074" i="1"/>
  <c r="F2074" i="1"/>
  <c r="E2074" i="1"/>
  <c r="D2074" i="1"/>
  <c r="C2074" i="1"/>
  <c r="B2074" i="1"/>
  <c r="A2074" i="1"/>
  <c r="R2073" i="1"/>
  <c r="N2073" i="1"/>
  <c r="J2073" i="1"/>
  <c r="I2073" i="1"/>
  <c r="H2073" i="1"/>
  <c r="G2073" i="1"/>
  <c r="F2073" i="1"/>
  <c r="E2073" i="1"/>
  <c r="D2073" i="1"/>
  <c r="C2073" i="1"/>
  <c r="B2073" i="1"/>
  <c r="A2073" i="1"/>
  <c r="R2072" i="1"/>
  <c r="N2072" i="1"/>
  <c r="J2072" i="1"/>
  <c r="I2072" i="1"/>
  <c r="H2072" i="1"/>
  <c r="G2072" i="1"/>
  <c r="F2072" i="1"/>
  <c r="E2072" i="1"/>
  <c r="D2072" i="1"/>
  <c r="C2072" i="1"/>
  <c r="B2072" i="1"/>
  <c r="A2072" i="1"/>
  <c r="R2071" i="1"/>
  <c r="Q2071" i="1"/>
  <c r="N2071" i="1"/>
  <c r="J2071" i="1"/>
  <c r="I2071" i="1"/>
  <c r="H2071" i="1"/>
  <c r="G2071" i="1"/>
  <c r="F2071" i="1"/>
  <c r="E2071" i="1"/>
  <c r="D2071" i="1"/>
  <c r="C2071" i="1"/>
  <c r="A2071" i="1"/>
  <c r="R2070" i="1"/>
  <c r="N2070" i="1"/>
  <c r="J2070" i="1"/>
  <c r="I2070" i="1"/>
  <c r="H2070" i="1"/>
  <c r="G2070" i="1"/>
  <c r="F2070" i="1"/>
  <c r="E2070" i="1"/>
  <c r="D2070" i="1"/>
  <c r="C2070" i="1"/>
  <c r="A2070" i="1"/>
  <c r="R2069" i="1"/>
  <c r="Q2069" i="1"/>
  <c r="N2069" i="1"/>
  <c r="J2069" i="1"/>
  <c r="I2069" i="1"/>
  <c r="H2069" i="1"/>
  <c r="G2069" i="1"/>
  <c r="F2069" i="1"/>
  <c r="E2069" i="1"/>
  <c r="D2069" i="1"/>
  <c r="C2069" i="1"/>
  <c r="A2069" i="1"/>
  <c r="R2068" i="1"/>
  <c r="N2068" i="1"/>
  <c r="J2068" i="1"/>
  <c r="I2068" i="1"/>
  <c r="H2068" i="1"/>
  <c r="G2068" i="1"/>
  <c r="F2068" i="1"/>
  <c r="E2068" i="1"/>
  <c r="D2068" i="1"/>
  <c r="C2068" i="1"/>
  <c r="A2068" i="1"/>
  <c r="R2067" i="1"/>
  <c r="Q2067" i="1"/>
  <c r="N2067" i="1"/>
  <c r="J2067" i="1"/>
  <c r="I2067" i="1"/>
  <c r="H2067" i="1"/>
  <c r="G2067" i="1"/>
  <c r="F2067" i="1"/>
  <c r="E2067" i="1"/>
  <c r="D2067" i="1"/>
  <c r="C2067" i="1"/>
  <c r="A2067" i="1"/>
  <c r="R2066" i="1"/>
  <c r="N2066" i="1"/>
  <c r="J2066" i="1"/>
  <c r="I2066" i="1"/>
  <c r="H2066" i="1"/>
  <c r="G2066" i="1"/>
  <c r="F2066" i="1"/>
  <c r="E2066" i="1"/>
  <c r="D2066" i="1"/>
  <c r="C2066" i="1"/>
  <c r="A2066" i="1"/>
  <c r="R2065" i="1"/>
  <c r="Q2065" i="1"/>
  <c r="N2065" i="1"/>
  <c r="J2065" i="1"/>
  <c r="I2065" i="1"/>
  <c r="H2065" i="1"/>
  <c r="G2065" i="1"/>
  <c r="F2065" i="1"/>
  <c r="E2065" i="1"/>
  <c r="D2065" i="1"/>
  <c r="C2065" i="1"/>
  <c r="A2065" i="1"/>
  <c r="R2064" i="1"/>
  <c r="N2064" i="1"/>
  <c r="J2064" i="1"/>
  <c r="I2064" i="1"/>
  <c r="H2064" i="1"/>
  <c r="G2064" i="1"/>
  <c r="F2064" i="1"/>
  <c r="E2064" i="1"/>
  <c r="D2064" i="1"/>
  <c r="C2064" i="1"/>
  <c r="A2064" i="1"/>
  <c r="R2063" i="1"/>
  <c r="Q2063" i="1"/>
  <c r="N2063" i="1"/>
  <c r="J2063" i="1"/>
  <c r="I2063" i="1"/>
  <c r="H2063" i="1"/>
  <c r="G2063" i="1"/>
  <c r="F2063" i="1"/>
  <c r="E2063" i="1"/>
  <c r="D2063" i="1"/>
  <c r="C2063" i="1"/>
  <c r="A2063" i="1"/>
  <c r="R2062" i="1"/>
  <c r="N2062" i="1"/>
  <c r="J2062" i="1"/>
  <c r="I2062" i="1"/>
  <c r="H2062" i="1"/>
  <c r="G2062" i="1"/>
  <c r="F2062" i="1"/>
  <c r="E2062" i="1"/>
  <c r="D2062" i="1"/>
  <c r="C2062" i="1"/>
  <c r="A2062" i="1"/>
  <c r="R2061" i="1"/>
  <c r="Q2061" i="1"/>
  <c r="N2061" i="1"/>
  <c r="J2061" i="1"/>
  <c r="I2061" i="1"/>
  <c r="H2061" i="1"/>
  <c r="G2061" i="1"/>
  <c r="F2061" i="1"/>
  <c r="E2061" i="1"/>
  <c r="D2061" i="1"/>
  <c r="C2061" i="1"/>
  <c r="A2061" i="1"/>
  <c r="R2060" i="1"/>
  <c r="N2060" i="1"/>
  <c r="J2060" i="1"/>
  <c r="I2060" i="1"/>
  <c r="H2060" i="1"/>
  <c r="G2060" i="1"/>
  <c r="F2060" i="1"/>
  <c r="E2060" i="1"/>
  <c r="D2060" i="1"/>
  <c r="C2060" i="1"/>
  <c r="A2060" i="1"/>
  <c r="R2059" i="1"/>
  <c r="Q2059" i="1"/>
  <c r="N2059" i="1"/>
  <c r="J2059" i="1"/>
  <c r="I2059" i="1"/>
  <c r="H2059" i="1"/>
  <c r="G2059" i="1"/>
  <c r="F2059" i="1"/>
  <c r="E2059" i="1"/>
  <c r="D2059" i="1"/>
  <c r="C2059" i="1"/>
  <c r="A2059" i="1"/>
  <c r="R2058" i="1"/>
  <c r="N2058" i="1"/>
  <c r="J2058" i="1"/>
  <c r="I2058" i="1"/>
  <c r="H2058" i="1"/>
  <c r="G2058" i="1"/>
  <c r="F2058" i="1"/>
  <c r="E2058" i="1"/>
  <c r="D2058" i="1"/>
  <c r="C2058" i="1"/>
  <c r="B2058" i="1"/>
  <c r="A2058" i="1"/>
  <c r="R2057" i="1"/>
  <c r="N2057" i="1"/>
  <c r="J2057" i="1"/>
  <c r="I2057" i="1"/>
  <c r="H2057" i="1"/>
  <c r="G2057" i="1"/>
  <c r="F2057" i="1"/>
  <c r="E2057" i="1"/>
  <c r="D2057" i="1"/>
  <c r="C2057" i="1"/>
  <c r="B2057" i="1"/>
  <c r="A2057" i="1"/>
  <c r="R2056" i="1"/>
  <c r="N2056" i="1"/>
  <c r="J2056" i="1"/>
  <c r="I2056" i="1"/>
  <c r="H2056" i="1"/>
  <c r="G2056" i="1"/>
  <c r="F2056" i="1"/>
  <c r="E2056" i="1"/>
  <c r="D2056" i="1"/>
  <c r="C2056" i="1"/>
  <c r="B2056" i="1"/>
  <c r="A2056" i="1"/>
  <c r="R2055" i="1"/>
  <c r="N2055" i="1"/>
  <c r="J2055" i="1"/>
  <c r="I2055" i="1"/>
  <c r="H2055" i="1"/>
  <c r="G2055" i="1"/>
  <c r="F2055" i="1"/>
  <c r="E2055" i="1"/>
  <c r="D2055" i="1"/>
  <c r="C2055" i="1"/>
  <c r="B2055" i="1"/>
  <c r="A2055" i="1"/>
  <c r="R2054" i="1"/>
  <c r="N2054" i="1"/>
  <c r="J2054" i="1"/>
  <c r="I2054" i="1"/>
  <c r="H2054" i="1"/>
  <c r="G2054" i="1"/>
  <c r="F2054" i="1"/>
  <c r="E2054" i="1"/>
  <c r="D2054" i="1"/>
  <c r="C2054" i="1"/>
  <c r="B2054" i="1"/>
  <c r="A2054" i="1"/>
  <c r="R2053" i="1"/>
  <c r="N2053" i="1"/>
  <c r="J2053" i="1"/>
  <c r="I2053" i="1"/>
  <c r="H2053" i="1"/>
  <c r="G2053" i="1"/>
  <c r="F2053" i="1"/>
  <c r="E2053" i="1"/>
  <c r="D2053" i="1"/>
  <c r="C2053" i="1"/>
  <c r="B2053" i="1"/>
  <c r="A2053" i="1"/>
  <c r="R2052" i="1"/>
  <c r="N2052" i="1"/>
  <c r="J2052" i="1"/>
  <c r="I2052" i="1"/>
  <c r="H2052" i="1"/>
  <c r="G2052" i="1"/>
  <c r="F2052" i="1"/>
  <c r="E2052" i="1"/>
  <c r="D2052" i="1"/>
  <c r="C2052" i="1"/>
  <c r="B2052" i="1"/>
  <c r="A2052" i="1"/>
  <c r="R2051" i="1"/>
  <c r="Q2051" i="1"/>
  <c r="N2051" i="1"/>
  <c r="J2051" i="1"/>
  <c r="I2051" i="1"/>
  <c r="H2051" i="1"/>
  <c r="G2051" i="1"/>
  <c r="F2051" i="1"/>
  <c r="E2051" i="1"/>
  <c r="D2051" i="1"/>
  <c r="C2051" i="1"/>
  <c r="B2051" i="1"/>
  <c r="A2051" i="1"/>
  <c r="R2050" i="1"/>
  <c r="N2050" i="1"/>
  <c r="J2050" i="1"/>
  <c r="I2050" i="1"/>
  <c r="H2050" i="1"/>
  <c r="G2050" i="1"/>
  <c r="F2050" i="1"/>
  <c r="E2050" i="1"/>
  <c r="D2050" i="1"/>
  <c r="C2050" i="1"/>
  <c r="B2050" i="1"/>
  <c r="A2050" i="1"/>
  <c r="R2049" i="1"/>
  <c r="Q2049" i="1"/>
  <c r="N2049" i="1"/>
  <c r="J2049" i="1"/>
  <c r="I2049" i="1"/>
  <c r="H2049" i="1"/>
  <c r="G2049" i="1"/>
  <c r="F2049" i="1"/>
  <c r="E2049" i="1"/>
  <c r="D2049" i="1"/>
  <c r="C2049" i="1"/>
  <c r="B2049" i="1"/>
  <c r="A2049" i="1"/>
  <c r="R2048" i="1"/>
  <c r="N2048" i="1"/>
  <c r="J2048" i="1"/>
  <c r="I2048" i="1"/>
  <c r="H2048" i="1"/>
  <c r="G2048" i="1"/>
  <c r="F2048" i="1"/>
  <c r="E2048" i="1"/>
  <c r="D2048" i="1"/>
  <c r="C2048" i="1"/>
  <c r="B2048" i="1"/>
  <c r="A2048" i="1"/>
  <c r="R2047" i="1"/>
  <c r="Q2047" i="1"/>
  <c r="N2047" i="1"/>
  <c r="J2047" i="1"/>
  <c r="I2047" i="1"/>
  <c r="H2047" i="1"/>
  <c r="G2047" i="1"/>
  <c r="F2047" i="1"/>
  <c r="E2047" i="1"/>
  <c r="D2047" i="1"/>
  <c r="C2047" i="1"/>
  <c r="A2047" i="1"/>
  <c r="R2046" i="1"/>
  <c r="N2046" i="1"/>
  <c r="J2046" i="1"/>
  <c r="I2046" i="1"/>
  <c r="H2046" i="1"/>
  <c r="G2046" i="1"/>
  <c r="F2046" i="1"/>
  <c r="E2046" i="1"/>
  <c r="D2046" i="1"/>
  <c r="C2046" i="1"/>
  <c r="A2046" i="1"/>
  <c r="R2045" i="1"/>
  <c r="Q2045" i="1"/>
  <c r="N2045" i="1"/>
  <c r="J2045" i="1"/>
  <c r="I2045" i="1"/>
  <c r="H2045" i="1"/>
  <c r="G2045" i="1"/>
  <c r="F2045" i="1"/>
  <c r="E2045" i="1"/>
  <c r="D2045" i="1"/>
  <c r="C2045" i="1"/>
  <c r="A2045" i="1"/>
  <c r="R2044" i="1"/>
  <c r="N2044" i="1"/>
  <c r="J2044" i="1"/>
  <c r="I2044" i="1"/>
  <c r="H2044" i="1"/>
  <c r="G2044" i="1"/>
  <c r="F2044" i="1"/>
  <c r="E2044" i="1"/>
  <c r="D2044" i="1"/>
  <c r="C2044" i="1"/>
  <c r="A2044" i="1"/>
  <c r="R2043" i="1"/>
  <c r="Q2043" i="1"/>
  <c r="N2043" i="1"/>
  <c r="J2043" i="1"/>
  <c r="I2043" i="1"/>
  <c r="H2043" i="1"/>
  <c r="G2043" i="1"/>
  <c r="F2043" i="1"/>
  <c r="E2043" i="1"/>
  <c r="D2043" i="1"/>
  <c r="C2043" i="1"/>
  <c r="A2043" i="1"/>
  <c r="R2042" i="1"/>
  <c r="N2042" i="1"/>
  <c r="J2042" i="1"/>
  <c r="I2042" i="1"/>
  <c r="H2042" i="1"/>
  <c r="G2042" i="1"/>
  <c r="F2042" i="1"/>
  <c r="E2042" i="1"/>
  <c r="D2042" i="1"/>
  <c r="C2042" i="1"/>
  <c r="A2042" i="1"/>
  <c r="R2041" i="1"/>
  <c r="Q2041" i="1"/>
  <c r="N2041" i="1"/>
  <c r="J2041" i="1"/>
  <c r="I2041" i="1"/>
  <c r="H2041" i="1"/>
  <c r="G2041" i="1"/>
  <c r="F2041" i="1"/>
  <c r="E2041" i="1"/>
  <c r="D2041" i="1"/>
  <c r="C2041" i="1"/>
  <c r="A2041" i="1"/>
  <c r="R2040" i="1"/>
  <c r="N2040" i="1"/>
  <c r="J2040" i="1"/>
  <c r="I2040" i="1"/>
  <c r="H2040" i="1"/>
  <c r="G2040" i="1"/>
  <c r="F2040" i="1"/>
  <c r="E2040" i="1"/>
  <c r="D2040" i="1"/>
  <c r="C2040" i="1"/>
  <c r="A2040" i="1"/>
  <c r="R2039" i="1"/>
  <c r="Q2039" i="1"/>
  <c r="N2039" i="1"/>
  <c r="J2039" i="1"/>
  <c r="I2039" i="1"/>
  <c r="H2039" i="1"/>
  <c r="G2039" i="1"/>
  <c r="F2039" i="1"/>
  <c r="E2039" i="1"/>
  <c r="D2039" i="1"/>
  <c r="C2039" i="1"/>
  <c r="A2039" i="1"/>
  <c r="R2038" i="1"/>
  <c r="N2038" i="1"/>
  <c r="J2038" i="1"/>
  <c r="I2038" i="1"/>
  <c r="H2038" i="1"/>
  <c r="G2038" i="1"/>
  <c r="F2038" i="1"/>
  <c r="E2038" i="1"/>
  <c r="D2038" i="1"/>
  <c r="C2038" i="1"/>
  <c r="A2038" i="1"/>
  <c r="R2037" i="1"/>
  <c r="Q2037" i="1"/>
  <c r="N2037" i="1"/>
  <c r="J2037" i="1"/>
  <c r="I2037" i="1"/>
  <c r="H2037" i="1"/>
  <c r="G2037" i="1"/>
  <c r="F2037" i="1"/>
  <c r="E2037" i="1"/>
  <c r="D2037" i="1"/>
  <c r="C2037" i="1"/>
  <c r="A2037" i="1"/>
  <c r="R2036" i="1"/>
  <c r="N2036" i="1"/>
  <c r="J2036" i="1"/>
  <c r="I2036" i="1"/>
  <c r="H2036" i="1"/>
  <c r="G2036" i="1"/>
  <c r="F2036" i="1"/>
  <c r="E2036" i="1"/>
  <c r="D2036" i="1"/>
  <c r="C2036" i="1"/>
  <c r="B2036" i="1"/>
  <c r="A2036" i="1"/>
  <c r="R2035" i="1"/>
  <c r="N2035" i="1"/>
  <c r="J2035" i="1"/>
  <c r="I2035" i="1"/>
  <c r="H2035" i="1"/>
  <c r="G2035" i="1"/>
  <c r="F2035" i="1"/>
  <c r="E2035" i="1"/>
  <c r="D2035" i="1"/>
  <c r="C2035" i="1"/>
  <c r="B2035" i="1"/>
  <c r="A2035" i="1"/>
  <c r="R2034" i="1"/>
  <c r="N2034" i="1"/>
  <c r="J2034" i="1"/>
  <c r="I2034" i="1"/>
  <c r="H2034" i="1"/>
  <c r="G2034" i="1"/>
  <c r="F2034" i="1"/>
  <c r="E2034" i="1"/>
  <c r="D2034" i="1"/>
  <c r="C2034" i="1"/>
  <c r="B2034" i="1"/>
  <c r="A2034" i="1"/>
  <c r="R2033" i="1"/>
  <c r="N2033" i="1"/>
  <c r="J2033" i="1"/>
  <c r="I2033" i="1"/>
  <c r="H2033" i="1"/>
  <c r="G2033" i="1"/>
  <c r="F2033" i="1"/>
  <c r="E2033" i="1"/>
  <c r="D2033" i="1"/>
  <c r="C2033" i="1"/>
  <c r="B2033" i="1"/>
  <c r="A2033" i="1"/>
  <c r="R2032" i="1"/>
  <c r="N2032" i="1"/>
  <c r="J2032" i="1"/>
  <c r="I2032" i="1"/>
  <c r="H2032" i="1"/>
  <c r="G2032" i="1"/>
  <c r="F2032" i="1"/>
  <c r="E2032" i="1"/>
  <c r="D2032" i="1"/>
  <c r="C2032" i="1"/>
  <c r="B2032" i="1"/>
  <c r="A2032" i="1"/>
  <c r="R2031" i="1"/>
  <c r="N2031" i="1"/>
  <c r="J2031" i="1"/>
  <c r="I2031" i="1"/>
  <c r="H2031" i="1"/>
  <c r="G2031" i="1"/>
  <c r="F2031" i="1"/>
  <c r="E2031" i="1"/>
  <c r="D2031" i="1"/>
  <c r="C2031" i="1"/>
  <c r="B2031" i="1"/>
  <c r="A2031" i="1"/>
  <c r="R2030" i="1"/>
  <c r="Q2030" i="1"/>
  <c r="N2030" i="1"/>
  <c r="J2030" i="1"/>
  <c r="I2030" i="1"/>
  <c r="H2030" i="1"/>
  <c r="G2030" i="1"/>
  <c r="F2030" i="1"/>
  <c r="E2030" i="1"/>
  <c r="D2030" i="1"/>
  <c r="C2030" i="1"/>
  <c r="A2030" i="1"/>
  <c r="R2029" i="1"/>
  <c r="N2029" i="1"/>
  <c r="J2029" i="1"/>
  <c r="I2029" i="1"/>
  <c r="H2029" i="1"/>
  <c r="G2029" i="1"/>
  <c r="F2029" i="1"/>
  <c r="E2029" i="1"/>
  <c r="D2029" i="1"/>
  <c r="C2029" i="1"/>
  <c r="A2029" i="1"/>
  <c r="R2028" i="1"/>
  <c r="Q2028" i="1"/>
  <c r="N2028" i="1"/>
  <c r="J2028" i="1"/>
  <c r="I2028" i="1"/>
  <c r="H2028" i="1"/>
  <c r="G2028" i="1"/>
  <c r="F2028" i="1"/>
  <c r="E2028" i="1"/>
  <c r="D2028" i="1"/>
  <c r="C2028" i="1"/>
  <c r="A2028" i="1"/>
  <c r="R2027" i="1"/>
  <c r="N2027" i="1"/>
  <c r="J2027" i="1"/>
  <c r="I2027" i="1"/>
  <c r="H2027" i="1"/>
  <c r="G2027" i="1"/>
  <c r="F2027" i="1"/>
  <c r="E2027" i="1"/>
  <c r="D2027" i="1"/>
  <c r="C2027" i="1"/>
  <c r="A2027" i="1"/>
  <c r="R2026" i="1"/>
  <c r="Q2026" i="1"/>
  <c r="N2026" i="1"/>
  <c r="J2026" i="1"/>
  <c r="I2026" i="1"/>
  <c r="H2026" i="1"/>
  <c r="G2026" i="1"/>
  <c r="F2026" i="1"/>
  <c r="E2026" i="1"/>
  <c r="D2026" i="1"/>
  <c r="C2026" i="1"/>
  <c r="A2026" i="1"/>
  <c r="R2025" i="1"/>
  <c r="N2025" i="1"/>
  <c r="J2025" i="1"/>
  <c r="I2025" i="1"/>
  <c r="H2025" i="1"/>
  <c r="G2025" i="1"/>
  <c r="F2025" i="1"/>
  <c r="E2025" i="1"/>
  <c r="D2025" i="1"/>
  <c r="C2025" i="1"/>
  <c r="A2025" i="1"/>
  <c r="R2024" i="1"/>
  <c r="Q2024" i="1"/>
  <c r="N2024" i="1"/>
  <c r="J2024" i="1"/>
  <c r="I2024" i="1"/>
  <c r="H2024" i="1"/>
  <c r="G2024" i="1"/>
  <c r="F2024" i="1"/>
  <c r="E2024" i="1"/>
  <c r="D2024" i="1"/>
  <c r="C2024" i="1"/>
  <c r="A2024" i="1"/>
  <c r="R2023" i="1"/>
  <c r="Q2023" i="1"/>
  <c r="N2023" i="1"/>
  <c r="J2023" i="1"/>
  <c r="I2023" i="1"/>
  <c r="H2023" i="1"/>
  <c r="G2023" i="1"/>
  <c r="F2023" i="1"/>
  <c r="E2023" i="1"/>
  <c r="D2023" i="1"/>
  <c r="C2023" i="1"/>
  <c r="A2023" i="1"/>
  <c r="R2022" i="1"/>
  <c r="Q2022" i="1"/>
  <c r="N2022" i="1"/>
  <c r="J2022" i="1"/>
  <c r="I2022" i="1"/>
  <c r="H2022" i="1"/>
  <c r="G2022" i="1"/>
  <c r="F2022" i="1"/>
  <c r="E2022" i="1"/>
  <c r="D2022" i="1"/>
  <c r="C2022" i="1"/>
  <c r="A2022" i="1"/>
  <c r="R2021" i="1"/>
  <c r="N2021" i="1"/>
  <c r="J2021" i="1"/>
  <c r="I2021" i="1"/>
  <c r="H2021" i="1"/>
  <c r="G2021" i="1"/>
  <c r="F2021" i="1"/>
  <c r="E2021" i="1"/>
  <c r="D2021" i="1"/>
  <c r="C2021" i="1"/>
  <c r="A2021" i="1"/>
  <c r="R2020" i="1"/>
  <c r="Q2020" i="1"/>
  <c r="N2020" i="1"/>
  <c r="J2020" i="1"/>
  <c r="I2020" i="1"/>
  <c r="H2020" i="1"/>
  <c r="G2020" i="1"/>
  <c r="F2020" i="1"/>
  <c r="E2020" i="1"/>
  <c r="D2020" i="1"/>
  <c r="C2020" i="1"/>
  <c r="A2020" i="1"/>
  <c r="R2019" i="1"/>
  <c r="N2019" i="1"/>
  <c r="J2019" i="1"/>
  <c r="I2019" i="1"/>
  <c r="H2019" i="1"/>
  <c r="G2019" i="1"/>
  <c r="F2019" i="1"/>
  <c r="E2019" i="1"/>
  <c r="D2019" i="1"/>
  <c r="C2019" i="1"/>
  <c r="A2019" i="1"/>
  <c r="R2018" i="1"/>
  <c r="Q2018" i="1"/>
  <c r="N2018" i="1"/>
  <c r="J2018" i="1"/>
  <c r="I2018" i="1"/>
  <c r="H2018" i="1"/>
  <c r="G2018" i="1"/>
  <c r="F2018" i="1"/>
  <c r="E2018" i="1"/>
  <c r="D2018" i="1"/>
  <c r="C2018" i="1"/>
  <c r="A2018" i="1"/>
  <c r="R2017" i="1"/>
  <c r="Q2017" i="1"/>
  <c r="N2017" i="1"/>
  <c r="J2017" i="1"/>
  <c r="I2017" i="1"/>
  <c r="H2017" i="1"/>
  <c r="G2017" i="1"/>
  <c r="F2017" i="1"/>
  <c r="E2017" i="1"/>
  <c r="D2017" i="1"/>
  <c r="C2017" i="1"/>
  <c r="A2017" i="1"/>
  <c r="R2016" i="1"/>
  <c r="Q2016" i="1"/>
  <c r="N2016" i="1"/>
  <c r="J2016" i="1"/>
  <c r="I2016" i="1"/>
  <c r="H2016" i="1"/>
  <c r="G2016" i="1"/>
  <c r="F2016" i="1"/>
  <c r="E2016" i="1"/>
  <c r="D2016" i="1"/>
  <c r="C2016" i="1"/>
  <c r="A2016" i="1"/>
  <c r="R2015" i="1"/>
  <c r="Q2015" i="1"/>
  <c r="N2015" i="1"/>
  <c r="J2015" i="1"/>
  <c r="I2015" i="1"/>
  <c r="H2015" i="1"/>
  <c r="G2015" i="1"/>
  <c r="F2015" i="1"/>
  <c r="E2015" i="1"/>
  <c r="D2015" i="1"/>
  <c r="C2015" i="1"/>
  <c r="A2015" i="1"/>
  <c r="R2014" i="1"/>
  <c r="Q2014" i="1"/>
  <c r="N2014" i="1"/>
  <c r="J2014" i="1"/>
  <c r="I2014" i="1"/>
  <c r="H2014" i="1"/>
  <c r="G2014" i="1"/>
  <c r="F2014" i="1"/>
  <c r="E2014" i="1"/>
  <c r="D2014" i="1"/>
  <c r="C2014" i="1"/>
  <c r="A2014" i="1"/>
  <c r="R2013" i="1"/>
  <c r="Q2013" i="1"/>
  <c r="N2013" i="1"/>
  <c r="J2013" i="1"/>
  <c r="I2013" i="1"/>
  <c r="H2013" i="1"/>
  <c r="G2013" i="1"/>
  <c r="F2013" i="1"/>
  <c r="E2013" i="1"/>
  <c r="D2013" i="1"/>
  <c r="C2013" i="1"/>
  <c r="A2013" i="1"/>
  <c r="R2012" i="1"/>
  <c r="Q2012" i="1"/>
  <c r="N2012" i="1"/>
  <c r="J2012" i="1"/>
  <c r="I2012" i="1"/>
  <c r="H2012" i="1"/>
  <c r="G2012" i="1"/>
  <c r="F2012" i="1"/>
  <c r="E2012" i="1"/>
  <c r="D2012" i="1"/>
  <c r="C2012" i="1"/>
  <c r="A2012" i="1"/>
  <c r="R2011" i="1"/>
  <c r="N2011" i="1"/>
  <c r="J2011" i="1"/>
  <c r="I2011" i="1"/>
  <c r="H2011" i="1"/>
  <c r="G2011" i="1"/>
  <c r="F2011" i="1"/>
  <c r="E2011" i="1"/>
  <c r="D2011" i="1"/>
  <c r="C2011" i="1"/>
  <c r="A2011" i="1"/>
  <c r="R2010" i="1"/>
  <c r="Q2010" i="1"/>
  <c r="N2010" i="1"/>
  <c r="J2010" i="1"/>
  <c r="I2010" i="1"/>
  <c r="H2010" i="1"/>
  <c r="G2010" i="1"/>
  <c r="F2010" i="1"/>
  <c r="E2010" i="1"/>
  <c r="D2010" i="1"/>
  <c r="C2010" i="1"/>
  <c r="A2010" i="1"/>
  <c r="R2009" i="1"/>
  <c r="Q2009" i="1"/>
  <c r="N2009" i="1"/>
  <c r="J2009" i="1"/>
  <c r="I2009" i="1"/>
  <c r="H2009" i="1"/>
  <c r="G2009" i="1"/>
  <c r="F2009" i="1"/>
  <c r="E2009" i="1"/>
  <c r="D2009" i="1"/>
  <c r="C2009" i="1"/>
  <c r="A2009" i="1"/>
  <c r="R2008" i="1"/>
  <c r="Q2008" i="1"/>
  <c r="N2008" i="1"/>
  <c r="J2008" i="1"/>
  <c r="I2008" i="1"/>
  <c r="H2008" i="1"/>
  <c r="G2008" i="1"/>
  <c r="F2008" i="1"/>
  <c r="E2008" i="1"/>
  <c r="D2008" i="1"/>
  <c r="C2008" i="1"/>
  <c r="A2008" i="1"/>
  <c r="R2007" i="1"/>
  <c r="Q2007" i="1"/>
  <c r="N2007" i="1"/>
  <c r="J2007" i="1"/>
  <c r="I2007" i="1"/>
  <c r="H2007" i="1"/>
  <c r="G2007" i="1"/>
  <c r="F2007" i="1"/>
  <c r="E2007" i="1"/>
  <c r="D2007" i="1"/>
  <c r="C2007" i="1"/>
  <c r="A2007" i="1"/>
  <c r="R2006" i="1"/>
  <c r="Q2006" i="1"/>
  <c r="N2006" i="1"/>
  <c r="J2006" i="1"/>
  <c r="I2006" i="1"/>
  <c r="H2006" i="1"/>
  <c r="G2006" i="1"/>
  <c r="F2006" i="1"/>
  <c r="E2006" i="1"/>
  <c r="D2006" i="1"/>
  <c r="C2006" i="1"/>
  <c r="A2006" i="1"/>
  <c r="R2005" i="1"/>
  <c r="Q2005" i="1"/>
  <c r="N2005" i="1"/>
  <c r="J2005" i="1"/>
  <c r="I2005" i="1"/>
  <c r="H2005" i="1"/>
  <c r="G2005" i="1"/>
  <c r="F2005" i="1"/>
  <c r="E2005" i="1"/>
  <c r="D2005" i="1"/>
  <c r="C2005" i="1"/>
  <c r="A2005" i="1"/>
  <c r="R2004" i="1"/>
  <c r="Q2004" i="1"/>
  <c r="N2004" i="1"/>
  <c r="J2004" i="1"/>
  <c r="I2004" i="1"/>
  <c r="H2004" i="1"/>
  <c r="G2004" i="1"/>
  <c r="F2004" i="1"/>
  <c r="E2004" i="1"/>
  <c r="D2004" i="1"/>
  <c r="C2004" i="1"/>
  <c r="A2004" i="1"/>
  <c r="R2003" i="1"/>
  <c r="Q2003" i="1"/>
  <c r="N2003" i="1"/>
  <c r="J2003" i="1"/>
  <c r="I2003" i="1"/>
  <c r="H2003" i="1"/>
  <c r="G2003" i="1"/>
  <c r="F2003" i="1"/>
  <c r="E2003" i="1"/>
  <c r="D2003" i="1"/>
  <c r="C2003" i="1"/>
  <c r="A2003" i="1"/>
  <c r="R2002" i="1"/>
  <c r="Q2002" i="1"/>
  <c r="N2002" i="1"/>
  <c r="J2002" i="1"/>
  <c r="I2002" i="1"/>
  <c r="H2002" i="1"/>
  <c r="G2002" i="1"/>
  <c r="F2002" i="1"/>
  <c r="E2002" i="1"/>
  <c r="D2002" i="1"/>
  <c r="C2002" i="1"/>
  <c r="A2002" i="1"/>
  <c r="R2001" i="1"/>
  <c r="Q2001" i="1"/>
  <c r="N2001" i="1"/>
  <c r="J2001" i="1"/>
  <c r="I2001" i="1"/>
  <c r="H2001" i="1"/>
  <c r="G2001" i="1"/>
  <c r="F2001" i="1"/>
  <c r="E2001" i="1"/>
  <c r="D2001" i="1"/>
  <c r="C2001" i="1"/>
  <c r="A2001" i="1"/>
  <c r="R2000" i="1"/>
  <c r="Q2000" i="1"/>
  <c r="N2000" i="1"/>
  <c r="J2000" i="1"/>
  <c r="I2000" i="1"/>
  <c r="H2000" i="1"/>
  <c r="G2000" i="1"/>
  <c r="F2000" i="1"/>
  <c r="E2000" i="1"/>
  <c r="D2000" i="1"/>
  <c r="C2000" i="1"/>
  <c r="A2000" i="1"/>
  <c r="R1999" i="1"/>
  <c r="N1999" i="1"/>
  <c r="J1999" i="1"/>
  <c r="I1999" i="1"/>
  <c r="H1999" i="1"/>
  <c r="G1999" i="1"/>
  <c r="F1999" i="1"/>
  <c r="E1999" i="1"/>
  <c r="D1999" i="1"/>
  <c r="C1999" i="1"/>
  <c r="A1999" i="1"/>
  <c r="R1998" i="1"/>
  <c r="Q1998" i="1"/>
  <c r="N1998" i="1"/>
  <c r="J1998" i="1"/>
  <c r="I1998" i="1"/>
  <c r="H1998" i="1"/>
  <c r="G1998" i="1"/>
  <c r="F1998" i="1"/>
  <c r="E1998" i="1"/>
  <c r="D1998" i="1"/>
  <c r="C1998" i="1"/>
  <c r="A1998" i="1"/>
  <c r="R1997" i="1"/>
  <c r="Q1997" i="1"/>
  <c r="N1997" i="1"/>
  <c r="J1997" i="1"/>
  <c r="I1997" i="1"/>
  <c r="H1997" i="1"/>
  <c r="G1997" i="1"/>
  <c r="F1997" i="1"/>
  <c r="E1997" i="1"/>
  <c r="D1997" i="1"/>
  <c r="C1997" i="1"/>
  <c r="A1997" i="1"/>
  <c r="R1996" i="1"/>
  <c r="Q1996" i="1"/>
  <c r="N1996" i="1"/>
  <c r="J1996" i="1"/>
  <c r="I1996" i="1"/>
  <c r="H1996" i="1"/>
  <c r="G1996" i="1"/>
  <c r="F1996" i="1"/>
  <c r="E1996" i="1"/>
  <c r="D1996" i="1"/>
  <c r="C1996" i="1"/>
  <c r="A1996" i="1"/>
  <c r="R1995" i="1"/>
  <c r="Q1995" i="1"/>
  <c r="N1995" i="1"/>
  <c r="J1995" i="1"/>
  <c r="I1995" i="1"/>
  <c r="H1995" i="1"/>
  <c r="G1995" i="1"/>
  <c r="F1995" i="1"/>
  <c r="E1995" i="1"/>
  <c r="D1995" i="1"/>
  <c r="C1995" i="1"/>
  <c r="A1995" i="1"/>
  <c r="R1994" i="1"/>
  <c r="Q1994" i="1"/>
  <c r="N1994" i="1"/>
  <c r="J1994" i="1"/>
  <c r="I1994" i="1"/>
  <c r="H1994" i="1"/>
  <c r="G1994" i="1"/>
  <c r="F1994" i="1"/>
  <c r="E1994" i="1"/>
  <c r="D1994" i="1"/>
  <c r="C1994" i="1"/>
  <c r="A1994" i="1"/>
  <c r="R1993" i="1"/>
  <c r="Q1993" i="1"/>
  <c r="N1993" i="1"/>
  <c r="J1993" i="1"/>
  <c r="I1993" i="1"/>
  <c r="H1993" i="1"/>
  <c r="G1993" i="1"/>
  <c r="F1993" i="1"/>
  <c r="E1993" i="1"/>
  <c r="D1993" i="1"/>
  <c r="C1993" i="1"/>
  <c r="A1993" i="1"/>
  <c r="R1992" i="1"/>
  <c r="Q1992" i="1"/>
  <c r="N1992" i="1"/>
  <c r="J1992" i="1"/>
  <c r="I1992" i="1"/>
  <c r="H1992" i="1"/>
  <c r="G1992" i="1"/>
  <c r="F1992" i="1"/>
  <c r="E1992" i="1"/>
  <c r="D1992" i="1"/>
  <c r="C1992" i="1"/>
  <c r="A1992" i="1"/>
  <c r="R1991" i="1"/>
  <c r="Q1991" i="1"/>
  <c r="N1991" i="1"/>
  <c r="J1991" i="1"/>
  <c r="I1991" i="1"/>
  <c r="H1991" i="1"/>
  <c r="G1991" i="1"/>
  <c r="F1991" i="1"/>
  <c r="E1991" i="1"/>
  <c r="D1991" i="1"/>
  <c r="C1991" i="1"/>
  <c r="A1991" i="1"/>
  <c r="R1990" i="1"/>
  <c r="Q1990" i="1"/>
  <c r="N1990" i="1"/>
  <c r="J1990" i="1"/>
  <c r="I1990" i="1"/>
  <c r="H1990" i="1"/>
  <c r="G1990" i="1"/>
  <c r="F1990" i="1"/>
  <c r="E1990" i="1"/>
  <c r="D1990" i="1"/>
  <c r="C1990" i="1"/>
  <c r="A1990" i="1"/>
  <c r="R1989" i="1"/>
  <c r="Q1989" i="1"/>
  <c r="N1989" i="1"/>
  <c r="J1989" i="1"/>
  <c r="I1989" i="1"/>
  <c r="H1989" i="1"/>
  <c r="G1989" i="1"/>
  <c r="F1989" i="1"/>
  <c r="E1989" i="1"/>
  <c r="D1989" i="1"/>
  <c r="C1989" i="1"/>
  <c r="A1989" i="1"/>
  <c r="R1988" i="1"/>
  <c r="Q1988" i="1"/>
  <c r="N1988" i="1"/>
  <c r="J1988" i="1"/>
  <c r="I1988" i="1"/>
  <c r="H1988" i="1"/>
  <c r="G1988" i="1"/>
  <c r="F1988" i="1"/>
  <c r="E1988" i="1"/>
  <c r="D1988" i="1"/>
  <c r="C1988" i="1"/>
  <c r="A1988" i="1"/>
  <c r="R1987" i="1"/>
  <c r="Q1987" i="1"/>
  <c r="N1987" i="1"/>
  <c r="J1987" i="1"/>
  <c r="I1987" i="1"/>
  <c r="H1987" i="1"/>
  <c r="G1987" i="1"/>
  <c r="F1987" i="1"/>
  <c r="E1987" i="1"/>
  <c r="D1987" i="1"/>
  <c r="C1987" i="1"/>
  <c r="A1987" i="1"/>
  <c r="R1986" i="1"/>
  <c r="Q1986" i="1"/>
  <c r="N1986" i="1"/>
  <c r="J1986" i="1"/>
  <c r="I1986" i="1"/>
  <c r="H1986" i="1"/>
  <c r="G1986" i="1"/>
  <c r="F1986" i="1"/>
  <c r="E1986" i="1"/>
  <c r="D1986" i="1"/>
  <c r="C1986" i="1"/>
  <c r="A1986" i="1"/>
  <c r="R1985" i="1"/>
  <c r="Q1985" i="1"/>
  <c r="N1985" i="1"/>
  <c r="J1985" i="1"/>
  <c r="I1985" i="1"/>
  <c r="H1985" i="1"/>
  <c r="G1985" i="1"/>
  <c r="F1985" i="1"/>
  <c r="E1985" i="1"/>
  <c r="D1985" i="1"/>
  <c r="C1985" i="1"/>
  <c r="A1985" i="1"/>
  <c r="R1984" i="1"/>
  <c r="Q1984" i="1"/>
  <c r="N1984" i="1"/>
  <c r="J1984" i="1"/>
  <c r="I1984" i="1"/>
  <c r="H1984" i="1"/>
  <c r="G1984" i="1"/>
  <c r="F1984" i="1"/>
  <c r="E1984" i="1"/>
  <c r="D1984" i="1"/>
  <c r="C1984" i="1"/>
  <c r="A1984" i="1"/>
  <c r="R1983" i="1"/>
  <c r="Q1983" i="1"/>
  <c r="N1983" i="1"/>
  <c r="J1983" i="1"/>
  <c r="I1983" i="1"/>
  <c r="H1983" i="1"/>
  <c r="G1983" i="1"/>
  <c r="F1983" i="1"/>
  <c r="E1983" i="1"/>
  <c r="D1983" i="1"/>
  <c r="C1983" i="1"/>
  <c r="A1983" i="1"/>
  <c r="R1982" i="1"/>
  <c r="Q1982" i="1"/>
  <c r="N1982" i="1"/>
  <c r="J1982" i="1"/>
  <c r="I1982" i="1"/>
  <c r="H1982" i="1"/>
  <c r="G1982" i="1"/>
  <c r="F1982" i="1"/>
  <c r="E1982" i="1"/>
  <c r="D1982" i="1"/>
  <c r="C1982" i="1"/>
  <c r="A1982" i="1"/>
  <c r="R1981" i="1"/>
  <c r="Q1981" i="1"/>
  <c r="N1981" i="1"/>
  <c r="J1981" i="1"/>
  <c r="I1981" i="1"/>
  <c r="H1981" i="1"/>
  <c r="G1981" i="1"/>
  <c r="F1981" i="1"/>
  <c r="E1981" i="1"/>
  <c r="D1981" i="1"/>
  <c r="C1981" i="1"/>
  <c r="A1981" i="1"/>
  <c r="R1980" i="1"/>
  <c r="Q1980" i="1"/>
  <c r="N1980" i="1"/>
  <c r="J1980" i="1"/>
  <c r="I1980" i="1"/>
  <c r="H1980" i="1"/>
  <c r="G1980" i="1"/>
  <c r="F1980" i="1"/>
  <c r="E1980" i="1"/>
  <c r="D1980" i="1"/>
  <c r="C1980" i="1"/>
  <c r="A1980" i="1"/>
  <c r="R1979" i="1"/>
  <c r="Q1979" i="1"/>
  <c r="N1979" i="1"/>
  <c r="J1979" i="1"/>
  <c r="I1979" i="1"/>
  <c r="H1979" i="1"/>
  <c r="G1979" i="1"/>
  <c r="F1979" i="1"/>
  <c r="E1979" i="1"/>
  <c r="D1979" i="1"/>
  <c r="C1979" i="1"/>
  <c r="A1979" i="1"/>
  <c r="R1978" i="1"/>
  <c r="Q1978" i="1"/>
  <c r="N1978" i="1"/>
  <c r="J1978" i="1"/>
  <c r="I1978" i="1"/>
  <c r="H1978" i="1"/>
  <c r="G1978" i="1"/>
  <c r="F1978" i="1"/>
  <c r="E1978" i="1"/>
  <c r="D1978" i="1"/>
  <c r="C1978" i="1"/>
  <c r="A1978" i="1"/>
  <c r="R1977" i="1"/>
  <c r="Q1977" i="1"/>
  <c r="N1977" i="1"/>
  <c r="J1977" i="1"/>
  <c r="I1977" i="1"/>
  <c r="H1977" i="1"/>
  <c r="G1977" i="1"/>
  <c r="F1977" i="1"/>
  <c r="E1977" i="1"/>
  <c r="D1977" i="1"/>
  <c r="C1977" i="1"/>
  <c r="A1977" i="1"/>
  <c r="R1976" i="1"/>
  <c r="Q1976" i="1"/>
  <c r="N1976" i="1"/>
  <c r="J1976" i="1"/>
  <c r="I1976" i="1"/>
  <c r="H1976" i="1"/>
  <c r="G1976" i="1"/>
  <c r="F1976" i="1"/>
  <c r="E1976" i="1"/>
  <c r="D1976" i="1"/>
  <c r="C1976" i="1"/>
  <c r="A1976" i="1"/>
  <c r="R1975" i="1"/>
  <c r="Q1975" i="1"/>
  <c r="N1975" i="1"/>
  <c r="J1975" i="1"/>
  <c r="I1975" i="1"/>
  <c r="H1975" i="1"/>
  <c r="G1975" i="1"/>
  <c r="F1975" i="1"/>
  <c r="E1975" i="1"/>
  <c r="D1975" i="1"/>
  <c r="C1975" i="1"/>
  <c r="A1975" i="1"/>
  <c r="R1974" i="1"/>
  <c r="Q1974" i="1"/>
  <c r="N1974" i="1"/>
  <c r="J1974" i="1"/>
  <c r="I1974" i="1"/>
  <c r="H1974" i="1"/>
  <c r="G1974" i="1"/>
  <c r="F1974" i="1"/>
  <c r="E1974" i="1"/>
  <c r="D1974" i="1"/>
  <c r="C1974" i="1"/>
  <c r="A1974" i="1"/>
  <c r="R1973" i="1"/>
  <c r="Q1973" i="1"/>
  <c r="N1973" i="1"/>
  <c r="J1973" i="1"/>
  <c r="I1973" i="1"/>
  <c r="H1973" i="1"/>
  <c r="G1973" i="1"/>
  <c r="F1973" i="1"/>
  <c r="E1973" i="1"/>
  <c r="D1973" i="1"/>
  <c r="C1973" i="1"/>
  <c r="A1973" i="1"/>
  <c r="R1972" i="1"/>
  <c r="Q1972" i="1"/>
  <c r="N1972" i="1"/>
  <c r="J1972" i="1"/>
  <c r="I1972" i="1"/>
  <c r="H1972" i="1"/>
  <c r="G1972" i="1"/>
  <c r="F1972" i="1"/>
  <c r="E1972" i="1"/>
  <c r="D1972" i="1"/>
  <c r="C1972" i="1"/>
  <c r="A1972" i="1"/>
  <c r="R1971" i="1"/>
  <c r="Q1971" i="1"/>
  <c r="N1971" i="1"/>
  <c r="J1971" i="1"/>
  <c r="I1971" i="1"/>
  <c r="H1971" i="1"/>
  <c r="G1971" i="1"/>
  <c r="F1971" i="1"/>
  <c r="E1971" i="1"/>
  <c r="D1971" i="1"/>
  <c r="C1971" i="1"/>
  <c r="A1971" i="1"/>
  <c r="R1970" i="1"/>
  <c r="Q1970" i="1"/>
  <c r="N1970" i="1"/>
  <c r="J1970" i="1"/>
  <c r="I1970" i="1"/>
  <c r="H1970" i="1"/>
  <c r="G1970" i="1"/>
  <c r="F1970" i="1"/>
  <c r="E1970" i="1"/>
  <c r="D1970" i="1"/>
  <c r="C1970" i="1"/>
  <c r="A1970" i="1"/>
  <c r="R1969" i="1"/>
  <c r="Q1969" i="1"/>
  <c r="N1969" i="1"/>
  <c r="J1969" i="1"/>
  <c r="I1969" i="1"/>
  <c r="H1969" i="1"/>
  <c r="G1969" i="1"/>
  <c r="F1969" i="1"/>
  <c r="E1969" i="1"/>
  <c r="D1969" i="1"/>
  <c r="C1969" i="1"/>
  <c r="A1969" i="1"/>
  <c r="R1968" i="1"/>
  <c r="Q1968" i="1"/>
  <c r="N1968" i="1"/>
  <c r="J1968" i="1"/>
  <c r="I1968" i="1"/>
  <c r="H1968" i="1"/>
  <c r="G1968" i="1"/>
  <c r="F1968" i="1"/>
  <c r="E1968" i="1"/>
  <c r="D1968" i="1"/>
  <c r="C1968" i="1"/>
  <c r="A1968" i="1"/>
  <c r="R1967" i="1"/>
  <c r="Q1967" i="1"/>
  <c r="N1967" i="1"/>
  <c r="J1967" i="1"/>
  <c r="I1967" i="1"/>
  <c r="H1967" i="1"/>
  <c r="G1967" i="1"/>
  <c r="F1967" i="1"/>
  <c r="E1967" i="1"/>
  <c r="D1967" i="1"/>
  <c r="C1967" i="1"/>
  <c r="A1967" i="1"/>
  <c r="R1966" i="1"/>
  <c r="Q1966" i="1"/>
  <c r="N1966" i="1"/>
  <c r="J1966" i="1"/>
  <c r="I1966" i="1"/>
  <c r="H1966" i="1"/>
  <c r="G1966" i="1"/>
  <c r="F1966" i="1"/>
  <c r="E1966" i="1"/>
  <c r="D1966" i="1"/>
  <c r="C1966" i="1"/>
  <c r="A1966" i="1"/>
  <c r="R1965" i="1"/>
  <c r="Q1965" i="1"/>
  <c r="N1965" i="1"/>
  <c r="J1965" i="1"/>
  <c r="I1965" i="1"/>
  <c r="H1965" i="1"/>
  <c r="G1965" i="1"/>
  <c r="F1965" i="1"/>
  <c r="E1965" i="1"/>
  <c r="D1965" i="1"/>
  <c r="C1965" i="1"/>
  <c r="A1965" i="1"/>
  <c r="R1964" i="1"/>
  <c r="Q1964" i="1"/>
  <c r="N1964" i="1"/>
  <c r="J1964" i="1"/>
  <c r="I1964" i="1"/>
  <c r="H1964" i="1"/>
  <c r="G1964" i="1"/>
  <c r="F1964" i="1"/>
  <c r="E1964" i="1"/>
  <c r="D1964" i="1"/>
  <c r="C1964" i="1"/>
  <c r="A1964" i="1"/>
  <c r="R1963" i="1"/>
  <c r="Q1963" i="1"/>
  <c r="N1963" i="1"/>
  <c r="J1963" i="1"/>
  <c r="I1963" i="1"/>
  <c r="H1963" i="1"/>
  <c r="G1963" i="1"/>
  <c r="F1963" i="1"/>
  <c r="E1963" i="1"/>
  <c r="D1963" i="1"/>
  <c r="C1963" i="1"/>
  <c r="A1963" i="1"/>
  <c r="R1962" i="1"/>
  <c r="Q1962" i="1"/>
  <c r="N1962" i="1"/>
  <c r="J1962" i="1"/>
  <c r="I1962" i="1"/>
  <c r="H1962" i="1"/>
  <c r="G1962" i="1"/>
  <c r="F1962" i="1"/>
  <c r="E1962" i="1"/>
  <c r="D1962" i="1"/>
  <c r="C1962" i="1"/>
  <c r="A1962" i="1"/>
  <c r="R1961" i="1"/>
  <c r="Q1961" i="1"/>
  <c r="N1961" i="1"/>
  <c r="J1961" i="1"/>
  <c r="I1961" i="1"/>
  <c r="H1961" i="1"/>
  <c r="G1961" i="1"/>
  <c r="F1961" i="1"/>
  <c r="E1961" i="1"/>
  <c r="D1961" i="1"/>
  <c r="C1961" i="1"/>
  <c r="A1961" i="1"/>
  <c r="R1960" i="1"/>
  <c r="Q1960" i="1"/>
  <c r="N1960" i="1"/>
  <c r="J1960" i="1"/>
  <c r="I1960" i="1"/>
  <c r="H1960" i="1"/>
  <c r="G1960" i="1"/>
  <c r="F1960" i="1"/>
  <c r="E1960" i="1"/>
  <c r="D1960" i="1"/>
  <c r="C1960" i="1"/>
  <c r="A1960" i="1"/>
  <c r="R1959" i="1"/>
  <c r="Q1959" i="1"/>
  <c r="N1959" i="1"/>
  <c r="J1959" i="1"/>
  <c r="I1959" i="1"/>
  <c r="H1959" i="1"/>
  <c r="G1959" i="1"/>
  <c r="F1959" i="1"/>
  <c r="E1959" i="1"/>
  <c r="D1959" i="1"/>
  <c r="C1959" i="1"/>
  <c r="A1959" i="1"/>
  <c r="R1958" i="1"/>
  <c r="Q1958" i="1"/>
  <c r="N1958" i="1"/>
  <c r="J1958" i="1"/>
  <c r="I1958" i="1"/>
  <c r="H1958" i="1"/>
  <c r="G1958" i="1"/>
  <c r="F1958" i="1"/>
  <c r="E1958" i="1"/>
  <c r="D1958" i="1"/>
  <c r="C1958" i="1"/>
  <c r="A1958" i="1"/>
  <c r="R1957" i="1"/>
  <c r="Q1957" i="1"/>
  <c r="N1957" i="1"/>
  <c r="J1957" i="1"/>
  <c r="I1957" i="1"/>
  <c r="H1957" i="1"/>
  <c r="G1957" i="1"/>
  <c r="F1957" i="1"/>
  <c r="E1957" i="1"/>
  <c r="D1957" i="1"/>
  <c r="C1957" i="1"/>
  <c r="A1957" i="1"/>
  <c r="R1956" i="1"/>
  <c r="Q1956" i="1"/>
  <c r="N1956" i="1"/>
  <c r="J1956" i="1"/>
  <c r="I1956" i="1"/>
  <c r="H1956" i="1"/>
  <c r="G1956" i="1"/>
  <c r="F1956" i="1"/>
  <c r="E1956" i="1"/>
  <c r="D1956" i="1"/>
  <c r="C1956" i="1"/>
  <c r="A1956" i="1"/>
  <c r="R1955" i="1"/>
  <c r="Q1955" i="1"/>
  <c r="N1955" i="1"/>
  <c r="J1955" i="1"/>
  <c r="I1955" i="1"/>
  <c r="H1955" i="1"/>
  <c r="G1955" i="1"/>
  <c r="F1955" i="1"/>
  <c r="E1955" i="1"/>
  <c r="D1955" i="1"/>
  <c r="C1955" i="1"/>
  <c r="A1955" i="1"/>
  <c r="R1954" i="1"/>
  <c r="Q1954" i="1"/>
  <c r="N1954" i="1"/>
  <c r="J1954" i="1"/>
  <c r="I1954" i="1"/>
  <c r="H1954" i="1"/>
  <c r="G1954" i="1"/>
  <c r="F1954" i="1"/>
  <c r="E1954" i="1"/>
  <c r="D1954" i="1"/>
  <c r="C1954" i="1"/>
  <c r="A1954" i="1"/>
  <c r="R1953" i="1"/>
  <c r="N1953" i="1"/>
  <c r="J1953" i="1"/>
  <c r="I1953" i="1"/>
  <c r="H1953" i="1"/>
  <c r="G1953" i="1"/>
  <c r="F1953" i="1"/>
  <c r="E1953" i="1"/>
  <c r="D1953" i="1"/>
  <c r="C1953" i="1"/>
  <c r="A1953" i="1"/>
  <c r="R1952" i="1"/>
  <c r="Q1952" i="1"/>
  <c r="N1952" i="1"/>
  <c r="J1952" i="1"/>
  <c r="I1952" i="1"/>
  <c r="H1952" i="1"/>
  <c r="G1952" i="1"/>
  <c r="F1952" i="1"/>
  <c r="E1952" i="1"/>
  <c r="D1952" i="1"/>
  <c r="C1952" i="1"/>
  <c r="A1952" i="1"/>
  <c r="R1951" i="1"/>
  <c r="N1951" i="1"/>
  <c r="J1951" i="1"/>
  <c r="I1951" i="1"/>
  <c r="H1951" i="1"/>
  <c r="G1951" i="1"/>
  <c r="F1951" i="1"/>
  <c r="E1951" i="1"/>
  <c r="D1951" i="1"/>
  <c r="C1951" i="1"/>
  <c r="B1951" i="1"/>
  <c r="A1951" i="1"/>
  <c r="R1950" i="1"/>
  <c r="N1950" i="1"/>
  <c r="J1950" i="1"/>
  <c r="I1950" i="1"/>
  <c r="H1950" i="1"/>
  <c r="G1950" i="1"/>
  <c r="F1950" i="1"/>
  <c r="E1950" i="1"/>
  <c r="D1950" i="1"/>
  <c r="C1950" i="1"/>
  <c r="B1950" i="1"/>
  <c r="A1950" i="1"/>
  <c r="R1949" i="1"/>
  <c r="Q1949" i="1"/>
  <c r="N1949" i="1"/>
  <c r="J1949" i="1"/>
  <c r="I1949" i="1"/>
  <c r="H1949" i="1"/>
  <c r="G1949" i="1"/>
  <c r="F1949" i="1"/>
  <c r="E1949" i="1"/>
  <c r="D1949" i="1"/>
  <c r="C1949" i="1"/>
  <c r="B1949" i="1"/>
  <c r="A1949" i="1"/>
  <c r="R1948" i="1"/>
  <c r="N1948" i="1"/>
  <c r="J1948" i="1"/>
  <c r="I1948" i="1"/>
  <c r="H1948" i="1"/>
  <c r="G1948" i="1"/>
  <c r="F1948" i="1"/>
  <c r="E1948" i="1"/>
  <c r="D1948" i="1"/>
  <c r="C1948" i="1"/>
  <c r="B1948" i="1"/>
  <c r="A1948" i="1"/>
  <c r="R1947" i="1"/>
  <c r="N1947" i="1"/>
  <c r="J1947" i="1"/>
  <c r="I1947" i="1"/>
  <c r="H1947" i="1"/>
  <c r="G1947" i="1"/>
  <c r="F1947" i="1"/>
  <c r="E1947" i="1"/>
  <c r="D1947" i="1"/>
  <c r="C1947" i="1"/>
  <c r="B1947" i="1"/>
  <c r="A1947" i="1"/>
  <c r="R1946" i="1"/>
  <c r="N1946" i="1"/>
  <c r="J1946" i="1"/>
  <c r="I1946" i="1"/>
  <c r="H1946" i="1"/>
  <c r="G1946" i="1"/>
  <c r="F1946" i="1"/>
  <c r="E1946" i="1"/>
  <c r="D1946" i="1"/>
  <c r="C1946" i="1"/>
  <c r="B1946" i="1"/>
  <c r="A1946" i="1"/>
  <c r="R1945" i="1"/>
  <c r="N1945" i="1"/>
  <c r="J1945" i="1"/>
  <c r="I1945" i="1"/>
  <c r="H1945" i="1"/>
  <c r="G1945" i="1"/>
  <c r="F1945" i="1"/>
  <c r="E1945" i="1"/>
  <c r="D1945" i="1"/>
  <c r="C1945" i="1"/>
  <c r="B1945" i="1"/>
  <c r="A1945" i="1"/>
  <c r="R1944" i="1"/>
  <c r="N1944" i="1"/>
  <c r="J1944" i="1"/>
  <c r="I1944" i="1"/>
  <c r="H1944" i="1"/>
  <c r="G1944" i="1"/>
  <c r="F1944" i="1"/>
  <c r="E1944" i="1"/>
  <c r="D1944" i="1"/>
  <c r="C1944" i="1"/>
  <c r="B1944" i="1"/>
  <c r="A1944" i="1"/>
  <c r="R1943" i="1"/>
  <c r="N1943" i="1"/>
  <c r="J1943" i="1"/>
  <c r="I1943" i="1"/>
  <c r="H1943" i="1"/>
  <c r="G1943" i="1"/>
  <c r="F1943" i="1"/>
  <c r="E1943" i="1"/>
  <c r="D1943" i="1"/>
  <c r="C1943" i="1"/>
  <c r="B1943" i="1"/>
  <c r="A1943" i="1"/>
  <c r="R1942" i="1"/>
  <c r="N1942" i="1"/>
  <c r="J1942" i="1"/>
  <c r="I1942" i="1"/>
  <c r="H1942" i="1"/>
  <c r="G1942" i="1"/>
  <c r="F1942" i="1"/>
  <c r="E1942" i="1"/>
  <c r="D1942" i="1"/>
  <c r="C1942" i="1"/>
  <c r="B1942" i="1"/>
  <c r="A1942" i="1"/>
  <c r="R1941" i="1"/>
  <c r="N1941" i="1"/>
  <c r="J1941" i="1"/>
  <c r="I1941" i="1"/>
  <c r="H1941" i="1"/>
  <c r="G1941" i="1"/>
  <c r="F1941" i="1"/>
  <c r="E1941" i="1"/>
  <c r="D1941" i="1"/>
  <c r="C1941" i="1"/>
  <c r="B1941" i="1"/>
  <c r="A1941" i="1"/>
  <c r="R1940" i="1"/>
  <c r="N1940" i="1"/>
  <c r="J1940" i="1"/>
  <c r="I1940" i="1"/>
  <c r="H1940" i="1"/>
  <c r="G1940" i="1"/>
  <c r="F1940" i="1"/>
  <c r="E1940" i="1"/>
  <c r="D1940" i="1"/>
  <c r="C1940" i="1"/>
  <c r="B1940" i="1"/>
  <c r="A1940" i="1"/>
  <c r="R1939" i="1"/>
  <c r="N1939" i="1"/>
  <c r="J1939" i="1"/>
  <c r="I1939" i="1"/>
  <c r="H1939" i="1"/>
  <c r="G1939" i="1"/>
  <c r="F1939" i="1"/>
  <c r="E1939" i="1"/>
  <c r="D1939" i="1"/>
  <c r="C1939" i="1"/>
  <c r="B1939" i="1"/>
  <c r="A1939" i="1"/>
  <c r="R1938" i="1"/>
  <c r="N1938" i="1"/>
  <c r="J1938" i="1"/>
  <c r="I1938" i="1"/>
  <c r="H1938" i="1"/>
  <c r="G1938" i="1"/>
  <c r="F1938" i="1"/>
  <c r="E1938" i="1"/>
  <c r="D1938" i="1"/>
  <c r="C1938" i="1"/>
  <c r="B1938" i="1"/>
  <c r="A1938" i="1"/>
  <c r="R1937" i="1"/>
  <c r="N1937" i="1"/>
  <c r="J1937" i="1"/>
  <c r="I1937" i="1"/>
  <c r="H1937" i="1"/>
  <c r="G1937" i="1"/>
  <c r="F1937" i="1"/>
  <c r="E1937" i="1"/>
  <c r="D1937" i="1"/>
  <c r="C1937" i="1"/>
  <c r="B1937" i="1"/>
  <c r="A1937" i="1"/>
  <c r="R1936" i="1"/>
  <c r="Q1936" i="1"/>
  <c r="N1936" i="1"/>
  <c r="J1936" i="1"/>
  <c r="I1936" i="1"/>
  <c r="H1936" i="1"/>
  <c r="G1936" i="1"/>
  <c r="F1936" i="1"/>
  <c r="E1936" i="1"/>
  <c r="D1936" i="1"/>
  <c r="C1936" i="1"/>
  <c r="A1936" i="1"/>
  <c r="R1935" i="1"/>
  <c r="N1935" i="1"/>
  <c r="J1935" i="1"/>
  <c r="I1935" i="1"/>
  <c r="H1935" i="1"/>
  <c r="G1935" i="1"/>
  <c r="F1935" i="1"/>
  <c r="E1935" i="1"/>
  <c r="D1935" i="1"/>
  <c r="C1935" i="1"/>
  <c r="A1935" i="1"/>
  <c r="R1934" i="1"/>
  <c r="Q1934" i="1"/>
  <c r="N1934" i="1"/>
  <c r="J1934" i="1"/>
  <c r="I1934" i="1"/>
  <c r="H1934" i="1"/>
  <c r="G1934" i="1"/>
  <c r="F1934" i="1"/>
  <c r="E1934" i="1"/>
  <c r="D1934" i="1"/>
  <c r="C1934" i="1"/>
  <c r="A1934" i="1"/>
  <c r="R1933" i="1"/>
  <c r="N1933" i="1"/>
  <c r="J1933" i="1"/>
  <c r="I1933" i="1"/>
  <c r="H1933" i="1"/>
  <c r="G1933" i="1"/>
  <c r="F1933" i="1"/>
  <c r="E1933" i="1"/>
  <c r="D1933" i="1"/>
  <c r="C1933" i="1"/>
  <c r="A1933" i="1"/>
  <c r="R1932" i="1"/>
  <c r="Q1932" i="1"/>
  <c r="N1932" i="1"/>
  <c r="J1932" i="1"/>
  <c r="I1932" i="1"/>
  <c r="H1932" i="1"/>
  <c r="G1932" i="1"/>
  <c r="F1932" i="1"/>
  <c r="E1932" i="1"/>
  <c r="D1932" i="1"/>
  <c r="C1932" i="1"/>
  <c r="A1932" i="1"/>
  <c r="R1931" i="1"/>
  <c r="N1931" i="1"/>
  <c r="J1931" i="1"/>
  <c r="I1931" i="1"/>
  <c r="H1931" i="1"/>
  <c r="G1931" i="1"/>
  <c r="F1931" i="1"/>
  <c r="E1931" i="1"/>
  <c r="D1931" i="1"/>
  <c r="C1931" i="1"/>
  <c r="A1931" i="1"/>
  <c r="R1930" i="1"/>
  <c r="Q1930" i="1"/>
  <c r="N1930" i="1"/>
  <c r="J1930" i="1"/>
  <c r="I1930" i="1"/>
  <c r="H1930" i="1"/>
  <c r="G1930" i="1"/>
  <c r="F1930" i="1"/>
  <c r="E1930" i="1"/>
  <c r="D1930" i="1"/>
  <c r="C1930" i="1"/>
  <c r="A1930" i="1"/>
  <c r="R1929" i="1"/>
  <c r="N1929" i="1"/>
  <c r="J1929" i="1"/>
  <c r="I1929" i="1"/>
  <c r="H1929" i="1"/>
  <c r="G1929" i="1"/>
  <c r="F1929" i="1"/>
  <c r="E1929" i="1"/>
  <c r="D1929" i="1"/>
  <c r="C1929" i="1"/>
  <c r="A1929" i="1"/>
  <c r="R1928" i="1"/>
  <c r="Q1928" i="1"/>
  <c r="N1928" i="1"/>
  <c r="J1928" i="1"/>
  <c r="I1928" i="1"/>
  <c r="H1928" i="1"/>
  <c r="G1928" i="1"/>
  <c r="F1928" i="1"/>
  <c r="E1928" i="1"/>
  <c r="D1928" i="1"/>
  <c r="C1928" i="1"/>
  <c r="A1928" i="1"/>
  <c r="R1927" i="1"/>
  <c r="N1927" i="1"/>
  <c r="J1927" i="1"/>
  <c r="I1927" i="1"/>
  <c r="H1927" i="1"/>
  <c r="G1927" i="1"/>
  <c r="F1927" i="1"/>
  <c r="E1927" i="1"/>
  <c r="D1927" i="1"/>
  <c r="C1927" i="1"/>
  <c r="A1927" i="1"/>
  <c r="R1926" i="1"/>
  <c r="Q1926" i="1"/>
  <c r="N1926" i="1"/>
  <c r="J1926" i="1"/>
  <c r="I1926" i="1"/>
  <c r="H1926" i="1"/>
  <c r="G1926" i="1"/>
  <c r="F1926" i="1"/>
  <c r="E1926" i="1"/>
  <c r="D1926" i="1"/>
  <c r="C1926" i="1"/>
  <c r="A1926" i="1"/>
  <c r="R1925" i="1"/>
  <c r="N1925" i="1"/>
  <c r="J1925" i="1"/>
  <c r="I1925" i="1"/>
  <c r="H1925" i="1"/>
  <c r="G1925" i="1"/>
  <c r="F1925" i="1"/>
  <c r="E1925" i="1"/>
  <c r="D1925" i="1"/>
  <c r="C1925" i="1"/>
  <c r="A1925" i="1"/>
  <c r="R1924" i="1"/>
  <c r="Q1924" i="1"/>
  <c r="N1924" i="1"/>
  <c r="J1924" i="1"/>
  <c r="I1924" i="1"/>
  <c r="H1924" i="1"/>
  <c r="G1924" i="1"/>
  <c r="F1924" i="1"/>
  <c r="E1924" i="1"/>
  <c r="D1924" i="1"/>
  <c r="C1924" i="1"/>
  <c r="A1924" i="1"/>
  <c r="R1923" i="1"/>
  <c r="N1923" i="1"/>
  <c r="J1923" i="1"/>
  <c r="I1923" i="1"/>
  <c r="H1923" i="1"/>
  <c r="G1923" i="1"/>
  <c r="F1923" i="1"/>
  <c r="E1923" i="1"/>
  <c r="D1923" i="1"/>
  <c r="C1923" i="1"/>
  <c r="A1923" i="1"/>
  <c r="R1922" i="1"/>
  <c r="Q1922" i="1"/>
  <c r="N1922" i="1"/>
  <c r="J1922" i="1"/>
  <c r="I1922" i="1"/>
  <c r="H1922" i="1"/>
  <c r="G1922" i="1"/>
  <c r="F1922" i="1"/>
  <c r="E1922" i="1"/>
  <c r="D1922" i="1"/>
  <c r="C1922" i="1"/>
  <c r="A1922" i="1"/>
  <c r="R1921" i="1"/>
  <c r="N1921" i="1"/>
  <c r="J1921" i="1"/>
  <c r="I1921" i="1"/>
  <c r="H1921" i="1"/>
  <c r="G1921" i="1"/>
  <c r="F1921" i="1"/>
  <c r="E1921" i="1"/>
  <c r="D1921" i="1"/>
  <c r="C1921" i="1"/>
  <c r="A1921" i="1"/>
  <c r="R1920" i="1"/>
  <c r="Q1920" i="1"/>
  <c r="N1920" i="1"/>
  <c r="J1920" i="1"/>
  <c r="I1920" i="1"/>
  <c r="H1920" i="1"/>
  <c r="G1920" i="1"/>
  <c r="F1920" i="1"/>
  <c r="E1920" i="1"/>
  <c r="D1920" i="1"/>
  <c r="C1920" i="1"/>
  <c r="A1920" i="1"/>
  <c r="R1919" i="1"/>
  <c r="N1919" i="1"/>
  <c r="J1919" i="1"/>
  <c r="I1919" i="1"/>
  <c r="H1919" i="1"/>
  <c r="G1919" i="1"/>
  <c r="F1919" i="1"/>
  <c r="E1919" i="1"/>
  <c r="D1919" i="1"/>
  <c r="C1919" i="1"/>
  <c r="A1919" i="1"/>
  <c r="R1918" i="1"/>
  <c r="Q1918" i="1"/>
  <c r="N1918" i="1"/>
  <c r="J1918" i="1"/>
  <c r="I1918" i="1"/>
  <c r="H1918" i="1"/>
  <c r="G1918" i="1"/>
  <c r="F1918" i="1"/>
  <c r="E1918" i="1"/>
  <c r="D1918" i="1"/>
  <c r="C1918" i="1"/>
  <c r="A1918" i="1"/>
  <c r="R1917" i="1"/>
  <c r="N1917" i="1"/>
  <c r="J1917" i="1"/>
  <c r="I1917" i="1"/>
  <c r="H1917" i="1"/>
  <c r="G1917" i="1"/>
  <c r="F1917" i="1"/>
  <c r="E1917" i="1"/>
  <c r="D1917" i="1"/>
  <c r="C1917" i="1"/>
  <c r="A1917" i="1"/>
  <c r="R1916" i="1"/>
  <c r="Q1916" i="1"/>
  <c r="N1916" i="1"/>
  <c r="J1916" i="1"/>
  <c r="I1916" i="1"/>
  <c r="H1916" i="1"/>
  <c r="G1916" i="1"/>
  <c r="F1916" i="1"/>
  <c r="E1916" i="1"/>
  <c r="D1916" i="1"/>
  <c r="C1916" i="1"/>
  <c r="A1916" i="1"/>
  <c r="R1915" i="1"/>
  <c r="N1915" i="1"/>
  <c r="J1915" i="1"/>
  <c r="I1915" i="1"/>
  <c r="H1915" i="1"/>
  <c r="G1915" i="1"/>
  <c r="F1915" i="1"/>
  <c r="E1915" i="1"/>
  <c r="D1915" i="1"/>
  <c r="C1915" i="1"/>
  <c r="B1915" i="1"/>
  <c r="A1915" i="1"/>
  <c r="R1914" i="1"/>
  <c r="N1914" i="1"/>
  <c r="J1914" i="1"/>
  <c r="I1914" i="1"/>
  <c r="H1914" i="1"/>
  <c r="G1914" i="1"/>
  <c r="F1914" i="1"/>
  <c r="E1914" i="1"/>
  <c r="D1914" i="1"/>
  <c r="C1914" i="1"/>
  <c r="B1914" i="1"/>
  <c r="A1914" i="1"/>
  <c r="R1913" i="1"/>
  <c r="Q1913" i="1"/>
  <c r="N1913" i="1"/>
  <c r="J1913" i="1"/>
  <c r="I1913" i="1"/>
  <c r="H1913" i="1"/>
  <c r="G1913" i="1"/>
  <c r="F1913" i="1"/>
  <c r="E1913" i="1"/>
  <c r="D1913" i="1"/>
  <c r="C1913" i="1"/>
  <c r="B1913" i="1"/>
  <c r="A1913" i="1"/>
  <c r="R1912" i="1"/>
  <c r="N1912" i="1"/>
  <c r="J1912" i="1"/>
  <c r="I1912" i="1"/>
  <c r="H1912" i="1"/>
  <c r="G1912" i="1"/>
  <c r="F1912" i="1"/>
  <c r="E1912" i="1"/>
  <c r="D1912" i="1"/>
  <c r="C1912" i="1"/>
  <c r="B1912" i="1"/>
  <c r="A1912" i="1"/>
  <c r="R1911" i="1"/>
  <c r="N1911" i="1"/>
  <c r="J1911" i="1"/>
  <c r="I1911" i="1"/>
  <c r="H1911" i="1"/>
  <c r="G1911" i="1"/>
  <c r="F1911" i="1"/>
  <c r="E1911" i="1"/>
  <c r="D1911" i="1"/>
  <c r="C1911" i="1"/>
  <c r="B1911" i="1"/>
  <c r="A1911" i="1"/>
  <c r="R1910" i="1"/>
  <c r="N1910" i="1"/>
  <c r="J1910" i="1"/>
  <c r="I1910" i="1"/>
  <c r="H1910" i="1"/>
  <c r="G1910" i="1"/>
  <c r="F1910" i="1"/>
  <c r="E1910" i="1"/>
  <c r="D1910" i="1"/>
  <c r="C1910" i="1"/>
  <c r="B1910" i="1"/>
  <c r="A1910" i="1"/>
  <c r="R1909" i="1"/>
  <c r="N1909" i="1"/>
  <c r="J1909" i="1"/>
  <c r="I1909" i="1"/>
  <c r="H1909" i="1"/>
  <c r="G1909" i="1"/>
  <c r="F1909" i="1"/>
  <c r="E1909" i="1"/>
  <c r="D1909" i="1"/>
  <c r="C1909" i="1"/>
  <c r="B1909" i="1"/>
  <c r="A1909" i="1"/>
  <c r="R1908" i="1"/>
  <c r="N1908" i="1"/>
  <c r="J1908" i="1"/>
  <c r="I1908" i="1"/>
  <c r="H1908" i="1"/>
  <c r="G1908" i="1"/>
  <c r="F1908" i="1"/>
  <c r="E1908" i="1"/>
  <c r="D1908" i="1"/>
  <c r="C1908" i="1"/>
  <c r="B1908" i="1"/>
  <c r="A1908" i="1"/>
  <c r="R1907" i="1"/>
  <c r="N1907" i="1"/>
  <c r="J1907" i="1"/>
  <c r="I1907" i="1"/>
  <c r="H1907" i="1"/>
  <c r="G1907" i="1"/>
  <c r="F1907" i="1"/>
  <c r="E1907" i="1"/>
  <c r="D1907" i="1"/>
  <c r="C1907" i="1"/>
  <c r="B1907" i="1"/>
  <c r="A1907" i="1"/>
  <c r="R1906" i="1"/>
  <c r="N1906" i="1"/>
  <c r="J1906" i="1"/>
  <c r="I1906" i="1"/>
  <c r="H1906" i="1"/>
  <c r="G1906" i="1"/>
  <c r="F1906" i="1"/>
  <c r="E1906" i="1"/>
  <c r="D1906" i="1"/>
  <c r="C1906" i="1"/>
  <c r="B1906" i="1"/>
  <c r="A1906" i="1"/>
  <c r="R1905" i="1"/>
  <c r="N1905" i="1"/>
  <c r="J1905" i="1"/>
  <c r="I1905" i="1"/>
  <c r="H1905" i="1"/>
  <c r="G1905" i="1"/>
  <c r="F1905" i="1"/>
  <c r="E1905" i="1"/>
  <c r="D1905" i="1"/>
  <c r="C1905" i="1"/>
  <c r="B1905" i="1"/>
  <c r="A1905" i="1"/>
  <c r="R1904" i="1"/>
  <c r="N1904" i="1"/>
  <c r="J1904" i="1"/>
  <c r="I1904" i="1"/>
  <c r="H1904" i="1"/>
  <c r="G1904" i="1"/>
  <c r="F1904" i="1"/>
  <c r="E1904" i="1"/>
  <c r="D1904" i="1"/>
  <c r="C1904" i="1"/>
  <c r="B1904" i="1"/>
  <c r="A1904" i="1"/>
  <c r="R1903" i="1"/>
  <c r="Q1903" i="1"/>
  <c r="N1903" i="1"/>
  <c r="J1903" i="1"/>
  <c r="I1903" i="1"/>
  <c r="H1903" i="1"/>
  <c r="G1903" i="1"/>
  <c r="F1903" i="1"/>
  <c r="E1903" i="1"/>
  <c r="D1903" i="1"/>
  <c r="C1903" i="1"/>
  <c r="B1903" i="1"/>
  <c r="A1903" i="1"/>
  <c r="R1902" i="1"/>
  <c r="N1902" i="1"/>
  <c r="J1902" i="1"/>
  <c r="I1902" i="1"/>
  <c r="H1902" i="1"/>
  <c r="G1902" i="1"/>
  <c r="F1902" i="1"/>
  <c r="E1902" i="1"/>
  <c r="D1902" i="1"/>
  <c r="C1902" i="1"/>
  <c r="B1902" i="1"/>
  <c r="A1902" i="1"/>
  <c r="R1901" i="1"/>
  <c r="Q1901" i="1"/>
  <c r="N1901" i="1"/>
  <c r="J1901" i="1"/>
  <c r="I1901" i="1"/>
  <c r="H1901" i="1"/>
  <c r="G1901" i="1"/>
  <c r="F1901" i="1"/>
  <c r="E1901" i="1"/>
  <c r="D1901" i="1"/>
  <c r="C1901" i="1"/>
  <c r="B1901" i="1"/>
  <c r="A1901" i="1"/>
  <c r="R1900" i="1"/>
  <c r="N1900" i="1"/>
  <c r="J1900" i="1"/>
  <c r="I1900" i="1"/>
  <c r="H1900" i="1"/>
  <c r="G1900" i="1"/>
  <c r="F1900" i="1"/>
  <c r="E1900" i="1"/>
  <c r="D1900" i="1"/>
  <c r="C1900" i="1"/>
  <c r="B1900" i="1"/>
  <c r="A1900" i="1"/>
  <c r="R1899" i="1"/>
  <c r="Q1899" i="1"/>
  <c r="N1899" i="1"/>
  <c r="J1899" i="1"/>
  <c r="I1899" i="1"/>
  <c r="H1899" i="1"/>
  <c r="G1899" i="1"/>
  <c r="F1899" i="1"/>
  <c r="E1899" i="1"/>
  <c r="D1899" i="1"/>
  <c r="C1899" i="1"/>
  <c r="A1899" i="1"/>
  <c r="R1898" i="1"/>
  <c r="N1898" i="1"/>
  <c r="J1898" i="1"/>
  <c r="I1898" i="1"/>
  <c r="H1898" i="1"/>
  <c r="G1898" i="1"/>
  <c r="F1898" i="1"/>
  <c r="E1898" i="1"/>
  <c r="D1898" i="1"/>
  <c r="C1898" i="1"/>
  <c r="A1898" i="1"/>
  <c r="R1897" i="1"/>
  <c r="Q1897" i="1"/>
  <c r="N1897" i="1"/>
  <c r="J1897" i="1"/>
  <c r="I1897" i="1"/>
  <c r="H1897" i="1"/>
  <c r="G1897" i="1"/>
  <c r="F1897" i="1"/>
  <c r="E1897" i="1"/>
  <c r="D1897" i="1"/>
  <c r="C1897" i="1"/>
  <c r="A1897" i="1"/>
  <c r="R1896" i="1"/>
  <c r="N1896" i="1"/>
  <c r="J1896" i="1"/>
  <c r="I1896" i="1"/>
  <c r="H1896" i="1"/>
  <c r="G1896" i="1"/>
  <c r="F1896" i="1"/>
  <c r="E1896" i="1"/>
  <c r="D1896" i="1"/>
  <c r="C1896" i="1"/>
  <c r="A1896" i="1"/>
  <c r="R1895" i="1"/>
  <c r="Q1895" i="1"/>
  <c r="N1895" i="1"/>
  <c r="J1895" i="1"/>
  <c r="I1895" i="1"/>
  <c r="H1895" i="1"/>
  <c r="G1895" i="1"/>
  <c r="F1895" i="1"/>
  <c r="E1895" i="1"/>
  <c r="D1895" i="1"/>
  <c r="C1895" i="1"/>
  <c r="A1895" i="1"/>
  <c r="R1894" i="1"/>
  <c r="N1894" i="1"/>
  <c r="J1894" i="1"/>
  <c r="I1894" i="1"/>
  <c r="H1894" i="1"/>
  <c r="G1894" i="1"/>
  <c r="F1894" i="1"/>
  <c r="E1894" i="1"/>
  <c r="D1894" i="1"/>
  <c r="C1894" i="1"/>
  <c r="A1894" i="1"/>
  <c r="R1893" i="1"/>
  <c r="Q1893" i="1"/>
  <c r="N1893" i="1"/>
  <c r="J1893" i="1"/>
  <c r="I1893" i="1"/>
  <c r="H1893" i="1"/>
  <c r="G1893" i="1"/>
  <c r="F1893" i="1"/>
  <c r="E1893" i="1"/>
  <c r="D1893" i="1"/>
  <c r="C1893" i="1"/>
  <c r="A1893" i="1"/>
  <c r="R1892" i="1"/>
  <c r="N1892" i="1"/>
  <c r="J1892" i="1"/>
  <c r="I1892" i="1"/>
  <c r="H1892" i="1"/>
  <c r="G1892" i="1"/>
  <c r="F1892" i="1"/>
  <c r="E1892" i="1"/>
  <c r="D1892" i="1"/>
  <c r="C1892" i="1"/>
  <c r="A1892" i="1"/>
  <c r="R1891" i="1"/>
  <c r="Q1891" i="1"/>
  <c r="N1891" i="1"/>
  <c r="J1891" i="1"/>
  <c r="I1891" i="1"/>
  <c r="H1891" i="1"/>
  <c r="G1891" i="1"/>
  <c r="F1891" i="1"/>
  <c r="E1891" i="1"/>
  <c r="D1891" i="1"/>
  <c r="C1891" i="1"/>
  <c r="A1891" i="1"/>
  <c r="R1890" i="1"/>
  <c r="N1890" i="1"/>
  <c r="J1890" i="1"/>
  <c r="I1890" i="1"/>
  <c r="H1890" i="1"/>
  <c r="G1890" i="1"/>
  <c r="F1890" i="1"/>
  <c r="E1890" i="1"/>
  <c r="D1890" i="1"/>
  <c r="C1890" i="1"/>
  <c r="A1890" i="1"/>
  <c r="R1889" i="1"/>
  <c r="Q1889" i="1"/>
  <c r="N1889" i="1"/>
  <c r="J1889" i="1"/>
  <c r="I1889" i="1"/>
  <c r="H1889" i="1"/>
  <c r="G1889" i="1"/>
  <c r="F1889" i="1"/>
  <c r="E1889" i="1"/>
  <c r="D1889" i="1"/>
  <c r="C1889" i="1"/>
  <c r="A1889" i="1"/>
  <c r="R1888" i="1"/>
  <c r="Q1888" i="1"/>
  <c r="N1888" i="1"/>
  <c r="J1888" i="1"/>
  <c r="I1888" i="1"/>
  <c r="H1888" i="1"/>
  <c r="G1888" i="1"/>
  <c r="F1888" i="1"/>
  <c r="E1888" i="1"/>
  <c r="D1888" i="1"/>
  <c r="C1888" i="1"/>
  <c r="A1888" i="1"/>
  <c r="R1887" i="1"/>
  <c r="Q1887" i="1"/>
  <c r="N1887" i="1"/>
  <c r="J1887" i="1"/>
  <c r="I1887" i="1"/>
  <c r="H1887" i="1"/>
  <c r="G1887" i="1"/>
  <c r="F1887" i="1"/>
  <c r="E1887" i="1"/>
  <c r="D1887" i="1"/>
  <c r="C1887" i="1"/>
  <c r="A1887" i="1"/>
  <c r="R1886" i="1"/>
  <c r="N1886" i="1"/>
  <c r="J1886" i="1"/>
  <c r="I1886" i="1"/>
  <c r="H1886" i="1"/>
  <c r="G1886" i="1"/>
  <c r="F1886" i="1"/>
  <c r="E1886" i="1"/>
  <c r="D1886" i="1"/>
  <c r="C1886" i="1"/>
  <c r="A1886" i="1"/>
  <c r="R1885" i="1"/>
  <c r="Q1885" i="1"/>
  <c r="N1885" i="1"/>
  <c r="J1885" i="1"/>
  <c r="I1885" i="1"/>
  <c r="H1885" i="1"/>
  <c r="G1885" i="1"/>
  <c r="F1885" i="1"/>
  <c r="E1885" i="1"/>
  <c r="D1885" i="1"/>
  <c r="C1885" i="1"/>
  <c r="A1885" i="1"/>
  <c r="R1884" i="1"/>
  <c r="N1884" i="1"/>
  <c r="J1884" i="1"/>
  <c r="I1884" i="1"/>
  <c r="H1884" i="1"/>
  <c r="G1884" i="1"/>
  <c r="F1884" i="1"/>
  <c r="E1884" i="1"/>
  <c r="D1884" i="1"/>
  <c r="C1884" i="1"/>
  <c r="A1884" i="1"/>
  <c r="R1883" i="1"/>
  <c r="Q1883" i="1"/>
  <c r="N1883" i="1"/>
  <c r="J1883" i="1"/>
  <c r="I1883" i="1"/>
  <c r="H1883" i="1"/>
  <c r="G1883" i="1"/>
  <c r="F1883" i="1"/>
  <c r="E1883" i="1"/>
  <c r="D1883" i="1"/>
  <c r="C1883" i="1"/>
  <c r="A1883" i="1"/>
  <c r="R1882" i="1"/>
  <c r="N1882" i="1"/>
  <c r="J1882" i="1"/>
  <c r="I1882" i="1"/>
  <c r="H1882" i="1"/>
  <c r="G1882" i="1"/>
  <c r="F1882" i="1"/>
  <c r="E1882" i="1"/>
  <c r="D1882" i="1"/>
  <c r="C1882" i="1"/>
  <c r="A1882" i="1"/>
  <c r="R1881" i="1"/>
  <c r="Q1881" i="1"/>
  <c r="N1881" i="1"/>
  <c r="J1881" i="1"/>
  <c r="I1881" i="1"/>
  <c r="H1881" i="1"/>
  <c r="G1881" i="1"/>
  <c r="F1881" i="1"/>
  <c r="E1881" i="1"/>
  <c r="D1881" i="1"/>
  <c r="C1881" i="1"/>
  <c r="A1881" i="1"/>
  <c r="R1880" i="1"/>
  <c r="Q1880" i="1"/>
  <c r="N1880" i="1"/>
  <c r="J1880" i="1"/>
  <c r="I1880" i="1"/>
  <c r="H1880" i="1"/>
  <c r="G1880" i="1"/>
  <c r="F1880" i="1"/>
  <c r="E1880" i="1"/>
  <c r="D1880" i="1"/>
  <c r="C1880" i="1"/>
  <c r="A1880" i="1"/>
  <c r="R1879" i="1"/>
  <c r="Q1879" i="1"/>
  <c r="N1879" i="1"/>
  <c r="J1879" i="1"/>
  <c r="I1879" i="1"/>
  <c r="H1879" i="1"/>
  <c r="G1879" i="1"/>
  <c r="F1879" i="1"/>
  <c r="E1879" i="1"/>
  <c r="D1879" i="1"/>
  <c r="C1879" i="1"/>
  <c r="A1879" i="1"/>
  <c r="R1878" i="1"/>
  <c r="Q1878" i="1"/>
  <c r="N1878" i="1"/>
  <c r="J1878" i="1"/>
  <c r="I1878" i="1"/>
  <c r="H1878" i="1"/>
  <c r="G1878" i="1"/>
  <c r="F1878" i="1"/>
  <c r="E1878" i="1"/>
  <c r="D1878" i="1"/>
  <c r="C1878" i="1"/>
  <c r="A1878" i="1"/>
  <c r="R1877" i="1"/>
  <c r="Q1877" i="1"/>
  <c r="N1877" i="1"/>
  <c r="J1877" i="1"/>
  <c r="I1877" i="1"/>
  <c r="H1877" i="1"/>
  <c r="G1877" i="1"/>
  <c r="F1877" i="1"/>
  <c r="E1877" i="1"/>
  <c r="D1877" i="1"/>
  <c r="C1877" i="1"/>
  <c r="A1877" i="1"/>
  <c r="R1876" i="1"/>
  <c r="Q1876" i="1"/>
  <c r="N1876" i="1"/>
  <c r="J1876" i="1"/>
  <c r="I1876" i="1"/>
  <c r="H1876" i="1"/>
  <c r="G1876" i="1"/>
  <c r="F1876" i="1"/>
  <c r="E1876" i="1"/>
  <c r="D1876" i="1"/>
  <c r="C1876" i="1"/>
  <c r="A1876" i="1"/>
  <c r="R1875" i="1"/>
  <c r="Q1875" i="1"/>
  <c r="N1875" i="1"/>
  <c r="J1875" i="1"/>
  <c r="I1875" i="1"/>
  <c r="H1875" i="1"/>
  <c r="G1875" i="1"/>
  <c r="F1875" i="1"/>
  <c r="E1875" i="1"/>
  <c r="D1875" i="1"/>
  <c r="C1875" i="1"/>
  <c r="A1875" i="1"/>
  <c r="R1874" i="1"/>
  <c r="Q1874" i="1"/>
  <c r="N1874" i="1"/>
  <c r="J1874" i="1"/>
  <c r="I1874" i="1"/>
  <c r="H1874" i="1"/>
  <c r="G1874" i="1"/>
  <c r="F1874" i="1"/>
  <c r="E1874" i="1"/>
  <c r="D1874" i="1"/>
  <c r="C1874" i="1"/>
  <c r="A1874" i="1"/>
  <c r="R1873" i="1"/>
  <c r="Q1873" i="1"/>
  <c r="N1873" i="1"/>
  <c r="J1873" i="1"/>
  <c r="I1873" i="1"/>
  <c r="H1873" i="1"/>
  <c r="G1873" i="1"/>
  <c r="F1873" i="1"/>
  <c r="E1873" i="1"/>
  <c r="D1873" i="1"/>
  <c r="C1873" i="1"/>
  <c r="A1873" i="1"/>
  <c r="R1872" i="1"/>
  <c r="Q1872" i="1"/>
  <c r="N1872" i="1"/>
  <c r="J1872" i="1"/>
  <c r="I1872" i="1"/>
  <c r="H1872" i="1"/>
  <c r="G1872" i="1"/>
  <c r="F1872" i="1"/>
  <c r="E1872" i="1"/>
  <c r="D1872" i="1"/>
  <c r="C1872" i="1"/>
  <c r="A1872" i="1"/>
  <c r="R1871" i="1"/>
  <c r="Q1871" i="1"/>
  <c r="N1871" i="1"/>
  <c r="J1871" i="1"/>
  <c r="I1871" i="1"/>
  <c r="H1871" i="1"/>
  <c r="G1871" i="1"/>
  <c r="F1871" i="1"/>
  <c r="E1871" i="1"/>
  <c r="D1871" i="1"/>
  <c r="C1871" i="1"/>
  <c r="A1871" i="1"/>
  <c r="R1870" i="1"/>
  <c r="N1870" i="1"/>
  <c r="J1870" i="1"/>
  <c r="I1870" i="1"/>
  <c r="H1870" i="1"/>
  <c r="G1870" i="1"/>
  <c r="F1870" i="1"/>
  <c r="E1870" i="1"/>
  <c r="D1870" i="1"/>
  <c r="C1870" i="1"/>
  <c r="A1870" i="1"/>
  <c r="R1869" i="1"/>
  <c r="Q1869" i="1"/>
  <c r="N1869" i="1"/>
  <c r="J1869" i="1"/>
  <c r="I1869" i="1"/>
  <c r="H1869" i="1"/>
  <c r="G1869" i="1"/>
  <c r="F1869" i="1"/>
  <c r="E1869" i="1"/>
  <c r="D1869" i="1"/>
  <c r="C1869" i="1"/>
  <c r="A1869" i="1"/>
  <c r="R1868" i="1"/>
  <c r="Q1868" i="1"/>
  <c r="N1868" i="1"/>
  <c r="J1868" i="1"/>
  <c r="I1868" i="1"/>
  <c r="H1868" i="1"/>
  <c r="G1868" i="1"/>
  <c r="F1868" i="1"/>
  <c r="E1868" i="1"/>
  <c r="D1868" i="1"/>
  <c r="C1868" i="1"/>
  <c r="A1868" i="1"/>
  <c r="R1867" i="1"/>
  <c r="Q1867" i="1"/>
  <c r="N1867" i="1"/>
  <c r="J1867" i="1"/>
  <c r="I1867" i="1"/>
  <c r="H1867" i="1"/>
  <c r="G1867" i="1"/>
  <c r="F1867" i="1"/>
  <c r="E1867" i="1"/>
  <c r="D1867" i="1"/>
  <c r="C1867" i="1"/>
  <c r="A1867" i="1"/>
  <c r="R1866" i="1"/>
  <c r="Q1866" i="1"/>
  <c r="N1866" i="1"/>
  <c r="J1866" i="1"/>
  <c r="I1866" i="1"/>
  <c r="H1866" i="1"/>
  <c r="G1866" i="1"/>
  <c r="F1866" i="1"/>
  <c r="E1866" i="1"/>
  <c r="D1866" i="1"/>
  <c r="C1866" i="1"/>
  <c r="A1866" i="1"/>
  <c r="R1865" i="1"/>
  <c r="Q1865" i="1"/>
  <c r="N1865" i="1"/>
  <c r="J1865" i="1"/>
  <c r="I1865" i="1"/>
  <c r="H1865" i="1"/>
  <c r="G1865" i="1"/>
  <c r="F1865" i="1"/>
  <c r="E1865" i="1"/>
  <c r="D1865" i="1"/>
  <c r="C1865" i="1"/>
  <c r="A1865" i="1"/>
  <c r="R1864" i="1"/>
  <c r="Q1864" i="1"/>
  <c r="N1864" i="1"/>
  <c r="J1864" i="1"/>
  <c r="I1864" i="1"/>
  <c r="H1864" i="1"/>
  <c r="G1864" i="1"/>
  <c r="F1864" i="1"/>
  <c r="E1864" i="1"/>
  <c r="D1864" i="1"/>
  <c r="C1864" i="1"/>
  <c r="A1864" i="1"/>
  <c r="R1863" i="1"/>
  <c r="Q1863" i="1"/>
  <c r="N1863" i="1"/>
  <c r="J1863" i="1"/>
  <c r="I1863" i="1"/>
  <c r="H1863" i="1"/>
  <c r="G1863" i="1"/>
  <c r="F1863" i="1"/>
  <c r="E1863" i="1"/>
  <c r="D1863" i="1"/>
  <c r="C1863" i="1"/>
  <c r="A1863" i="1"/>
  <c r="R1862" i="1"/>
  <c r="N1862" i="1"/>
  <c r="J1862" i="1"/>
  <c r="I1862" i="1"/>
  <c r="H1862" i="1"/>
  <c r="G1862" i="1"/>
  <c r="F1862" i="1"/>
  <c r="E1862" i="1"/>
  <c r="D1862" i="1"/>
  <c r="C1862" i="1"/>
  <c r="A1862" i="1"/>
  <c r="R1861" i="1"/>
  <c r="Q1861" i="1"/>
  <c r="N1861" i="1"/>
  <c r="J1861" i="1"/>
  <c r="I1861" i="1"/>
  <c r="H1861" i="1"/>
  <c r="G1861" i="1"/>
  <c r="F1861" i="1"/>
  <c r="E1861" i="1"/>
  <c r="D1861" i="1"/>
  <c r="C1861" i="1"/>
  <c r="A1861" i="1"/>
  <c r="R1860" i="1"/>
  <c r="Q1860" i="1"/>
  <c r="N1860" i="1"/>
  <c r="J1860" i="1"/>
  <c r="I1860" i="1"/>
  <c r="H1860" i="1"/>
  <c r="G1860" i="1"/>
  <c r="F1860" i="1"/>
  <c r="E1860" i="1"/>
  <c r="D1860" i="1"/>
  <c r="C1860" i="1"/>
  <c r="A1860" i="1"/>
  <c r="R1859" i="1"/>
  <c r="Q1859" i="1"/>
  <c r="N1859" i="1"/>
  <c r="J1859" i="1"/>
  <c r="I1859" i="1"/>
  <c r="H1859" i="1"/>
  <c r="G1859" i="1"/>
  <c r="F1859" i="1"/>
  <c r="E1859" i="1"/>
  <c r="D1859" i="1"/>
  <c r="C1859" i="1"/>
  <c r="A1859" i="1"/>
  <c r="R1858" i="1"/>
  <c r="Q1858" i="1"/>
  <c r="N1858" i="1"/>
  <c r="J1858" i="1"/>
  <c r="I1858" i="1"/>
  <c r="H1858" i="1"/>
  <c r="G1858" i="1"/>
  <c r="F1858" i="1"/>
  <c r="E1858" i="1"/>
  <c r="D1858" i="1"/>
  <c r="C1858" i="1"/>
  <c r="A1858" i="1"/>
  <c r="R1857" i="1"/>
  <c r="Q1857" i="1"/>
  <c r="N1857" i="1"/>
  <c r="J1857" i="1"/>
  <c r="I1857" i="1"/>
  <c r="H1857" i="1"/>
  <c r="G1857" i="1"/>
  <c r="F1857" i="1"/>
  <c r="E1857" i="1"/>
  <c r="D1857" i="1"/>
  <c r="C1857" i="1"/>
  <c r="A1857" i="1"/>
  <c r="R1856" i="1"/>
  <c r="Q1856" i="1"/>
  <c r="N1856" i="1"/>
  <c r="J1856" i="1"/>
  <c r="I1856" i="1"/>
  <c r="H1856" i="1"/>
  <c r="G1856" i="1"/>
  <c r="F1856" i="1"/>
  <c r="E1856" i="1"/>
  <c r="D1856" i="1"/>
  <c r="C1856" i="1"/>
  <c r="A1856" i="1"/>
  <c r="R1855" i="1"/>
  <c r="Q1855" i="1"/>
  <c r="N1855" i="1"/>
  <c r="J1855" i="1"/>
  <c r="I1855" i="1"/>
  <c r="H1855" i="1"/>
  <c r="G1855" i="1"/>
  <c r="F1855" i="1"/>
  <c r="E1855" i="1"/>
  <c r="D1855" i="1"/>
  <c r="C1855" i="1"/>
  <c r="A1855" i="1"/>
  <c r="R1854" i="1"/>
  <c r="Q1854" i="1"/>
  <c r="N1854" i="1"/>
  <c r="J1854" i="1"/>
  <c r="I1854" i="1"/>
  <c r="H1854" i="1"/>
  <c r="G1854" i="1"/>
  <c r="F1854" i="1"/>
  <c r="E1854" i="1"/>
  <c r="D1854" i="1"/>
  <c r="C1854" i="1"/>
  <c r="A1854" i="1"/>
  <c r="R1853" i="1"/>
  <c r="Q1853" i="1"/>
  <c r="N1853" i="1"/>
  <c r="J1853" i="1"/>
  <c r="I1853" i="1"/>
  <c r="H1853" i="1"/>
  <c r="G1853" i="1"/>
  <c r="F1853" i="1"/>
  <c r="E1853" i="1"/>
  <c r="D1853" i="1"/>
  <c r="C1853" i="1"/>
  <c r="A1853" i="1"/>
  <c r="R1852" i="1"/>
  <c r="Q1852" i="1"/>
  <c r="N1852" i="1"/>
  <c r="J1852" i="1"/>
  <c r="I1852" i="1"/>
  <c r="H1852" i="1"/>
  <c r="G1852" i="1"/>
  <c r="F1852" i="1"/>
  <c r="E1852" i="1"/>
  <c r="D1852" i="1"/>
  <c r="C1852" i="1"/>
  <c r="A1852" i="1"/>
  <c r="R1851" i="1"/>
  <c r="Q1851" i="1"/>
  <c r="N1851" i="1"/>
  <c r="J1851" i="1"/>
  <c r="I1851" i="1"/>
  <c r="H1851" i="1"/>
  <c r="G1851" i="1"/>
  <c r="F1851" i="1"/>
  <c r="E1851" i="1"/>
  <c r="D1851" i="1"/>
  <c r="C1851" i="1"/>
  <c r="A1851" i="1"/>
  <c r="R1850" i="1"/>
  <c r="Q1850" i="1"/>
  <c r="N1850" i="1"/>
  <c r="J1850" i="1"/>
  <c r="I1850" i="1"/>
  <c r="H1850" i="1"/>
  <c r="G1850" i="1"/>
  <c r="F1850" i="1"/>
  <c r="E1850" i="1"/>
  <c r="D1850" i="1"/>
  <c r="C1850" i="1"/>
  <c r="A1850" i="1"/>
  <c r="R1849" i="1"/>
  <c r="Q1849" i="1"/>
  <c r="N1849" i="1"/>
  <c r="J1849" i="1"/>
  <c r="I1849" i="1"/>
  <c r="H1849" i="1"/>
  <c r="G1849" i="1"/>
  <c r="F1849" i="1"/>
  <c r="E1849" i="1"/>
  <c r="D1849" i="1"/>
  <c r="C1849" i="1"/>
  <c r="A1849" i="1"/>
  <c r="R1848" i="1"/>
  <c r="Q1848" i="1"/>
  <c r="N1848" i="1"/>
  <c r="J1848" i="1"/>
  <c r="I1848" i="1"/>
  <c r="H1848" i="1"/>
  <c r="G1848" i="1"/>
  <c r="F1848" i="1"/>
  <c r="E1848" i="1"/>
  <c r="D1848" i="1"/>
  <c r="C1848" i="1"/>
  <c r="A1848" i="1"/>
  <c r="R1847" i="1"/>
  <c r="Q1847" i="1"/>
  <c r="N1847" i="1"/>
  <c r="J1847" i="1"/>
  <c r="I1847" i="1"/>
  <c r="H1847" i="1"/>
  <c r="G1847" i="1"/>
  <c r="F1847" i="1"/>
  <c r="E1847" i="1"/>
  <c r="D1847" i="1"/>
  <c r="C1847" i="1"/>
  <c r="A1847" i="1"/>
  <c r="R1846" i="1"/>
  <c r="Q1846" i="1"/>
  <c r="N1846" i="1"/>
  <c r="J1846" i="1"/>
  <c r="I1846" i="1"/>
  <c r="H1846" i="1"/>
  <c r="G1846" i="1"/>
  <c r="F1846" i="1"/>
  <c r="E1846" i="1"/>
  <c r="D1846" i="1"/>
  <c r="C1846" i="1"/>
  <c r="A1846" i="1"/>
  <c r="R1845" i="1"/>
  <c r="Q1845" i="1"/>
  <c r="N1845" i="1"/>
  <c r="J1845" i="1"/>
  <c r="I1845" i="1"/>
  <c r="H1845" i="1"/>
  <c r="G1845" i="1"/>
  <c r="F1845" i="1"/>
  <c r="E1845" i="1"/>
  <c r="D1845" i="1"/>
  <c r="C1845" i="1"/>
  <c r="A1845" i="1"/>
  <c r="R1844" i="1"/>
  <c r="Q1844" i="1"/>
  <c r="N1844" i="1"/>
  <c r="J1844" i="1"/>
  <c r="I1844" i="1"/>
  <c r="H1844" i="1"/>
  <c r="G1844" i="1"/>
  <c r="F1844" i="1"/>
  <c r="E1844" i="1"/>
  <c r="D1844" i="1"/>
  <c r="C1844" i="1"/>
  <c r="A1844" i="1"/>
  <c r="R1843" i="1"/>
  <c r="Q1843" i="1"/>
  <c r="N1843" i="1"/>
  <c r="J1843" i="1"/>
  <c r="I1843" i="1"/>
  <c r="H1843" i="1"/>
  <c r="G1843" i="1"/>
  <c r="F1843" i="1"/>
  <c r="E1843" i="1"/>
  <c r="D1843" i="1"/>
  <c r="C1843" i="1"/>
  <c r="A1843" i="1"/>
  <c r="R1842" i="1"/>
  <c r="Q1842" i="1"/>
  <c r="N1842" i="1"/>
  <c r="J1842" i="1"/>
  <c r="I1842" i="1"/>
  <c r="H1842" i="1"/>
  <c r="G1842" i="1"/>
  <c r="F1842" i="1"/>
  <c r="E1842" i="1"/>
  <c r="D1842" i="1"/>
  <c r="C1842" i="1"/>
  <c r="A1842" i="1"/>
  <c r="R1841" i="1"/>
  <c r="Q1841" i="1"/>
  <c r="N1841" i="1"/>
  <c r="J1841" i="1"/>
  <c r="I1841" i="1"/>
  <c r="H1841" i="1"/>
  <c r="G1841" i="1"/>
  <c r="F1841" i="1"/>
  <c r="E1841" i="1"/>
  <c r="D1841" i="1"/>
  <c r="C1841" i="1"/>
  <c r="A1841" i="1"/>
  <c r="R1840" i="1"/>
  <c r="Q1840" i="1"/>
  <c r="N1840" i="1"/>
  <c r="J1840" i="1"/>
  <c r="I1840" i="1"/>
  <c r="H1840" i="1"/>
  <c r="G1840" i="1"/>
  <c r="F1840" i="1"/>
  <c r="E1840" i="1"/>
  <c r="D1840" i="1"/>
  <c r="C1840" i="1"/>
  <c r="A1840" i="1"/>
  <c r="R1839" i="1"/>
  <c r="Q1839" i="1"/>
  <c r="N1839" i="1"/>
  <c r="J1839" i="1"/>
  <c r="I1839" i="1"/>
  <c r="H1839" i="1"/>
  <c r="G1839" i="1"/>
  <c r="F1839" i="1"/>
  <c r="E1839" i="1"/>
  <c r="D1839" i="1"/>
  <c r="C1839" i="1"/>
  <c r="A1839" i="1"/>
  <c r="R1838" i="1"/>
  <c r="Q1838" i="1"/>
  <c r="N1838" i="1"/>
  <c r="J1838" i="1"/>
  <c r="I1838" i="1"/>
  <c r="H1838" i="1"/>
  <c r="G1838" i="1"/>
  <c r="F1838" i="1"/>
  <c r="E1838" i="1"/>
  <c r="D1838" i="1"/>
  <c r="C1838" i="1"/>
  <c r="A1838" i="1"/>
  <c r="R1837" i="1"/>
  <c r="Q1837" i="1"/>
  <c r="N1837" i="1"/>
  <c r="J1837" i="1"/>
  <c r="I1837" i="1"/>
  <c r="H1837" i="1"/>
  <c r="G1837" i="1"/>
  <c r="F1837" i="1"/>
  <c r="E1837" i="1"/>
  <c r="D1837" i="1"/>
  <c r="C1837" i="1"/>
  <c r="A1837" i="1"/>
  <c r="R1836" i="1"/>
  <c r="Q1836" i="1"/>
  <c r="N1836" i="1"/>
  <c r="J1836" i="1"/>
  <c r="I1836" i="1"/>
  <c r="H1836" i="1"/>
  <c r="G1836" i="1"/>
  <c r="F1836" i="1"/>
  <c r="E1836" i="1"/>
  <c r="D1836" i="1"/>
  <c r="C1836" i="1"/>
  <c r="A1836" i="1"/>
  <c r="R1835" i="1"/>
  <c r="Q1835" i="1"/>
  <c r="N1835" i="1"/>
  <c r="J1835" i="1"/>
  <c r="I1835" i="1"/>
  <c r="H1835" i="1"/>
  <c r="G1835" i="1"/>
  <c r="F1835" i="1"/>
  <c r="E1835" i="1"/>
  <c r="D1835" i="1"/>
  <c r="C1835" i="1"/>
  <c r="A1835" i="1"/>
  <c r="R1834" i="1"/>
  <c r="Q1834" i="1"/>
  <c r="N1834" i="1"/>
  <c r="J1834" i="1"/>
  <c r="I1834" i="1"/>
  <c r="H1834" i="1"/>
  <c r="G1834" i="1"/>
  <c r="F1834" i="1"/>
  <c r="E1834" i="1"/>
  <c r="D1834" i="1"/>
  <c r="C1834" i="1"/>
  <c r="A1834" i="1"/>
  <c r="R1833" i="1"/>
  <c r="Q1833" i="1"/>
  <c r="N1833" i="1"/>
  <c r="J1833" i="1"/>
  <c r="I1833" i="1"/>
  <c r="H1833" i="1"/>
  <c r="G1833" i="1"/>
  <c r="F1833" i="1"/>
  <c r="E1833" i="1"/>
  <c r="D1833" i="1"/>
  <c r="C1833" i="1"/>
  <c r="A1833" i="1"/>
  <c r="R1832" i="1"/>
  <c r="Q1832" i="1"/>
  <c r="N1832" i="1"/>
  <c r="J1832" i="1"/>
  <c r="I1832" i="1"/>
  <c r="H1832" i="1"/>
  <c r="G1832" i="1"/>
  <c r="F1832" i="1"/>
  <c r="E1832" i="1"/>
  <c r="D1832" i="1"/>
  <c r="C1832" i="1"/>
  <c r="A1832" i="1"/>
  <c r="R1831" i="1"/>
  <c r="Q1831" i="1"/>
  <c r="N1831" i="1"/>
  <c r="J1831" i="1"/>
  <c r="I1831" i="1"/>
  <c r="H1831" i="1"/>
  <c r="G1831" i="1"/>
  <c r="F1831" i="1"/>
  <c r="E1831" i="1"/>
  <c r="D1831" i="1"/>
  <c r="C1831" i="1"/>
  <c r="A1831" i="1"/>
  <c r="R1830" i="1"/>
  <c r="Q1830" i="1"/>
  <c r="N1830" i="1"/>
  <c r="J1830" i="1"/>
  <c r="I1830" i="1"/>
  <c r="H1830" i="1"/>
  <c r="G1830" i="1"/>
  <c r="F1830" i="1"/>
  <c r="E1830" i="1"/>
  <c r="D1830" i="1"/>
  <c r="C1830" i="1"/>
  <c r="A1830" i="1"/>
  <c r="R1829" i="1"/>
  <c r="Q1829" i="1"/>
  <c r="N1829" i="1"/>
  <c r="J1829" i="1"/>
  <c r="I1829" i="1"/>
  <c r="H1829" i="1"/>
  <c r="G1829" i="1"/>
  <c r="F1829" i="1"/>
  <c r="E1829" i="1"/>
  <c r="D1829" i="1"/>
  <c r="C1829" i="1"/>
  <c r="A1829" i="1"/>
  <c r="R1828" i="1"/>
  <c r="Q1828" i="1"/>
  <c r="N1828" i="1"/>
  <c r="J1828" i="1"/>
  <c r="I1828" i="1"/>
  <c r="H1828" i="1"/>
  <c r="G1828" i="1"/>
  <c r="F1828" i="1"/>
  <c r="E1828" i="1"/>
  <c r="D1828" i="1"/>
  <c r="C1828" i="1"/>
  <c r="A1828" i="1"/>
  <c r="R1827" i="1"/>
  <c r="Q1827" i="1"/>
  <c r="N1827" i="1"/>
  <c r="J1827" i="1"/>
  <c r="I1827" i="1"/>
  <c r="H1827" i="1"/>
  <c r="G1827" i="1"/>
  <c r="F1827" i="1"/>
  <c r="E1827" i="1"/>
  <c r="D1827" i="1"/>
  <c r="C1827" i="1"/>
  <c r="A1827" i="1"/>
  <c r="R1826" i="1"/>
  <c r="Q1826" i="1"/>
  <c r="N1826" i="1"/>
  <c r="J1826" i="1"/>
  <c r="I1826" i="1"/>
  <c r="H1826" i="1"/>
  <c r="G1826" i="1"/>
  <c r="F1826" i="1"/>
  <c r="E1826" i="1"/>
  <c r="D1826" i="1"/>
  <c r="C1826" i="1"/>
  <c r="A1826" i="1"/>
  <c r="R1825" i="1"/>
  <c r="Q1825" i="1"/>
  <c r="N1825" i="1"/>
  <c r="J1825" i="1"/>
  <c r="I1825" i="1"/>
  <c r="H1825" i="1"/>
  <c r="G1825" i="1"/>
  <c r="F1825" i="1"/>
  <c r="E1825" i="1"/>
  <c r="D1825" i="1"/>
  <c r="C1825" i="1"/>
  <c r="A1825" i="1"/>
  <c r="R1824" i="1"/>
  <c r="Q1824" i="1"/>
  <c r="N1824" i="1"/>
  <c r="J1824" i="1"/>
  <c r="I1824" i="1"/>
  <c r="H1824" i="1"/>
  <c r="G1824" i="1"/>
  <c r="F1824" i="1"/>
  <c r="E1824" i="1"/>
  <c r="D1824" i="1"/>
  <c r="C1824" i="1"/>
  <c r="A1824" i="1"/>
  <c r="R1823" i="1"/>
  <c r="Q1823" i="1"/>
  <c r="N1823" i="1"/>
  <c r="J1823" i="1"/>
  <c r="I1823" i="1"/>
  <c r="H1823" i="1"/>
  <c r="G1823" i="1"/>
  <c r="F1823" i="1"/>
  <c r="E1823" i="1"/>
  <c r="D1823" i="1"/>
  <c r="C1823" i="1"/>
  <c r="A1823" i="1"/>
  <c r="R1822" i="1"/>
  <c r="Q1822" i="1"/>
  <c r="N1822" i="1"/>
  <c r="J1822" i="1"/>
  <c r="I1822" i="1"/>
  <c r="H1822" i="1"/>
  <c r="G1822" i="1"/>
  <c r="F1822" i="1"/>
  <c r="E1822" i="1"/>
  <c r="D1822" i="1"/>
  <c r="C1822" i="1"/>
  <c r="A1822" i="1"/>
  <c r="R1821" i="1"/>
  <c r="Q1821" i="1"/>
  <c r="N1821" i="1"/>
  <c r="J1821" i="1"/>
  <c r="I1821" i="1"/>
  <c r="H1821" i="1"/>
  <c r="G1821" i="1"/>
  <c r="F1821" i="1"/>
  <c r="E1821" i="1"/>
  <c r="D1821" i="1"/>
  <c r="C1821" i="1"/>
  <c r="A1821" i="1"/>
  <c r="R1820" i="1"/>
  <c r="Q1820" i="1"/>
  <c r="N1820" i="1"/>
  <c r="J1820" i="1"/>
  <c r="I1820" i="1"/>
  <c r="H1820" i="1"/>
  <c r="G1820" i="1"/>
  <c r="F1820" i="1"/>
  <c r="E1820" i="1"/>
  <c r="D1820" i="1"/>
  <c r="C1820" i="1"/>
  <c r="A1820" i="1"/>
  <c r="R1819" i="1"/>
  <c r="Q1819" i="1"/>
  <c r="N1819" i="1"/>
  <c r="J1819" i="1"/>
  <c r="I1819" i="1"/>
  <c r="H1819" i="1"/>
  <c r="G1819" i="1"/>
  <c r="F1819" i="1"/>
  <c r="E1819" i="1"/>
  <c r="D1819" i="1"/>
  <c r="C1819" i="1"/>
  <c r="A1819" i="1"/>
  <c r="R1818" i="1"/>
  <c r="Q1818" i="1"/>
  <c r="N1818" i="1"/>
  <c r="J1818" i="1"/>
  <c r="I1818" i="1"/>
  <c r="H1818" i="1"/>
  <c r="G1818" i="1"/>
  <c r="F1818" i="1"/>
  <c r="E1818" i="1"/>
  <c r="D1818" i="1"/>
  <c r="C1818" i="1"/>
  <c r="A1818" i="1"/>
  <c r="R1817" i="1"/>
  <c r="Q1817" i="1"/>
  <c r="N1817" i="1"/>
  <c r="J1817" i="1"/>
  <c r="I1817" i="1"/>
  <c r="H1817" i="1"/>
  <c r="G1817" i="1"/>
  <c r="F1817" i="1"/>
  <c r="E1817" i="1"/>
  <c r="D1817" i="1"/>
  <c r="C1817" i="1"/>
  <c r="A1817" i="1"/>
  <c r="R1816" i="1"/>
  <c r="N1816" i="1"/>
  <c r="J1816" i="1"/>
  <c r="I1816" i="1"/>
  <c r="H1816" i="1"/>
  <c r="G1816" i="1"/>
  <c r="F1816" i="1"/>
  <c r="E1816" i="1"/>
  <c r="D1816" i="1"/>
  <c r="C1816" i="1"/>
  <c r="B1816" i="1"/>
  <c r="A1816" i="1"/>
  <c r="R1815" i="1"/>
  <c r="Q1815" i="1"/>
  <c r="N1815" i="1"/>
  <c r="J1815" i="1"/>
  <c r="I1815" i="1"/>
  <c r="H1815" i="1"/>
  <c r="G1815" i="1"/>
  <c r="F1815" i="1"/>
  <c r="E1815" i="1"/>
  <c r="D1815" i="1"/>
  <c r="C1815" i="1"/>
  <c r="B1815" i="1"/>
  <c r="A1815" i="1"/>
  <c r="R1814" i="1"/>
  <c r="N1814" i="1"/>
  <c r="J1814" i="1"/>
  <c r="I1814" i="1"/>
  <c r="H1814" i="1"/>
  <c r="G1814" i="1"/>
  <c r="F1814" i="1"/>
  <c r="E1814" i="1"/>
  <c r="D1814" i="1"/>
  <c r="C1814" i="1"/>
  <c r="B1814" i="1"/>
  <c r="A1814" i="1"/>
  <c r="R1813" i="1"/>
  <c r="Q1813" i="1"/>
  <c r="N1813" i="1"/>
  <c r="J1813" i="1"/>
  <c r="I1813" i="1"/>
  <c r="H1813" i="1"/>
  <c r="G1813" i="1"/>
  <c r="F1813" i="1"/>
  <c r="E1813" i="1"/>
  <c r="D1813" i="1"/>
  <c r="C1813" i="1"/>
  <c r="B1813" i="1"/>
  <c r="A1813" i="1"/>
  <c r="R1812" i="1"/>
  <c r="N1812" i="1"/>
  <c r="J1812" i="1"/>
  <c r="I1812" i="1"/>
  <c r="H1812" i="1"/>
  <c r="G1812" i="1"/>
  <c r="F1812" i="1"/>
  <c r="E1812" i="1"/>
  <c r="D1812" i="1"/>
  <c r="C1812" i="1"/>
  <c r="B1812" i="1"/>
  <c r="A1812" i="1"/>
  <c r="R1811" i="1"/>
  <c r="Q1811" i="1"/>
  <c r="N1811" i="1"/>
  <c r="J1811" i="1"/>
  <c r="I1811" i="1"/>
  <c r="H1811" i="1"/>
  <c r="G1811" i="1"/>
  <c r="F1811" i="1"/>
  <c r="E1811" i="1"/>
  <c r="D1811" i="1"/>
  <c r="C1811" i="1"/>
  <c r="B1811" i="1"/>
  <c r="A1811" i="1"/>
  <c r="R1810" i="1"/>
  <c r="N1810" i="1"/>
  <c r="J1810" i="1"/>
  <c r="I1810" i="1"/>
  <c r="H1810" i="1"/>
  <c r="G1810" i="1"/>
  <c r="F1810" i="1"/>
  <c r="E1810" i="1"/>
  <c r="D1810" i="1"/>
  <c r="C1810" i="1"/>
  <c r="B1810" i="1"/>
  <c r="A1810" i="1"/>
  <c r="R1809" i="1"/>
  <c r="Q1809" i="1"/>
  <c r="N1809" i="1"/>
  <c r="J1809" i="1"/>
  <c r="I1809" i="1"/>
  <c r="H1809" i="1"/>
  <c r="G1809" i="1"/>
  <c r="F1809" i="1"/>
  <c r="E1809" i="1"/>
  <c r="D1809" i="1"/>
  <c r="C1809" i="1"/>
  <c r="B1809" i="1"/>
  <c r="A1809" i="1"/>
  <c r="R1808" i="1"/>
  <c r="N1808" i="1"/>
  <c r="J1808" i="1"/>
  <c r="I1808" i="1"/>
  <c r="H1808" i="1"/>
  <c r="G1808" i="1"/>
  <c r="F1808" i="1"/>
  <c r="E1808" i="1"/>
  <c r="D1808" i="1"/>
  <c r="C1808" i="1"/>
  <c r="B1808" i="1"/>
  <c r="A1808" i="1"/>
  <c r="R1807" i="1"/>
  <c r="Q1807" i="1"/>
  <c r="N1807" i="1"/>
  <c r="J1807" i="1"/>
  <c r="I1807" i="1"/>
  <c r="H1807" i="1"/>
  <c r="G1807" i="1"/>
  <c r="F1807" i="1"/>
  <c r="E1807" i="1"/>
  <c r="D1807" i="1"/>
  <c r="C1807" i="1"/>
  <c r="B1807" i="1"/>
  <c r="A1807" i="1"/>
  <c r="R1806" i="1"/>
  <c r="N1806" i="1"/>
  <c r="J1806" i="1"/>
  <c r="I1806" i="1"/>
  <c r="H1806" i="1"/>
  <c r="G1806" i="1"/>
  <c r="F1806" i="1"/>
  <c r="E1806" i="1"/>
  <c r="D1806" i="1"/>
  <c r="C1806" i="1"/>
  <c r="B1806" i="1"/>
  <c r="A1806" i="1"/>
  <c r="R1805" i="1"/>
  <c r="N1805" i="1"/>
  <c r="J1805" i="1"/>
  <c r="I1805" i="1"/>
  <c r="H1805" i="1"/>
  <c r="G1805" i="1"/>
  <c r="F1805" i="1"/>
  <c r="E1805" i="1"/>
  <c r="D1805" i="1"/>
  <c r="C1805" i="1"/>
  <c r="B1805" i="1"/>
  <c r="A1805" i="1"/>
  <c r="R1804" i="1"/>
  <c r="N1804" i="1"/>
  <c r="J1804" i="1"/>
  <c r="I1804" i="1"/>
  <c r="H1804" i="1"/>
  <c r="G1804" i="1"/>
  <c r="F1804" i="1"/>
  <c r="E1804" i="1"/>
  <c r="D1804" i="1"/>
  <c r="C1804" i="1"/>
  <c r="B1804" i="1"/>
  <c r="A1804" i="1"/>
  <c r="R1803" i="1"/>
  <c r="N1803" i="1"/>
  <c r="J1803" i="1"/>
  <c r="I1803" i="1"/>
  <c r="H1803" i="1"/>
  <c r="G1803" i="1"/>
  <c r="F1803" i="1"/>
  <c r="E1803" i="1"/>
  <c r="D1803" i="1"/>
  <c r="C1803" i="1"/>
  <c r="B1803" i="1"/>
  <c r="A1803" i="1"/>
  <c r="R1802" i="1"/>
  <c r="N1802" i="1"/>
  <c r="J1802" i="1"/>
  <c r="I1802" i="1"/>
  <c r="H1802" i="1"/>
  <c r="G1802" i="1"/>
  <c r="F1802" i="1"/>
  <c r="E1802" i="1"/>
  <c r="D1802" i="1"/>
  <c r="C1802" i="1"/>
  <c r="B1802" i="1"/>
  <c r="A1802" i="1"/>
  <c r="R1801" i="1"/>
  <c r="N1801" i="1"/>
  <c r="J1801" i="1"/>
  <c r="I1801" i="1"/>
  <c r="H1801" i="1"/>
  <c r="G1801" i="1"/>
  <c r="F1801" i="1"/>
  <c r="E1801" i="1"/>
  <c r="D1801" i="1"/>
  <c r="C1801" i="1"/>
  <c r="B1801" i="1"/>
  <c r="A1801" i="1"/>
  <c r="R1800" i="1"/>
  <c r="Q1800" i="1"/>
  <c r="N1800" i="1"/>
  <c r="J1800" i="1"/>
  <c r="I1800" i="1"/>
  <c r="H1800" i="1"/>
  <c r="G1800" i="1"/>
  <c r="F1800" i="1"/>
  <c r="E1800" i="1"/>
  <c r="D1800" i="1"/>
  <c r="C1800" i="1"/>
  <c r="A1800" i="1"/>
  <c r="R1799" i="1"/>
  <c r="N1799" i="1"/>
  <c r="J1799" i="1"/>
  <c r="I1799" i="1"/>
  <c r="H1799" i="1"/>
  <c r="G1799" i="1"/>
  <c r="F1799" i="1"/>
  <c r="E1799" i="1"/>
  <c r="D1799" i="1"/>
  <c r="C1799" i="1"/>
  <c r="A1799" i="1"/>
  <c r="R1798" i="1"/>
  <c r="Q1798" i="1"/>
  <c r="N1798" i="1"/>
  <c r="J1798" i="1"/>
  <c r="I1798" i="1"/>
  <c r="H1798" i="1"/>
  <c r="G1798" i="1"/>
  <c r="F1798" i="1"/>
  <c r="E1798" i="1"/>
  <c r="D1798" i="1"/>
  <c r="C1798" i="1"/>
  <c r="A1798" i="1"/>
  <c r="R1797" i="1"/>
  <c r="N1797" i="1"/>
  <c r="J1797" i="1"/>
  <c r="I1797" i="1"/>
  <c r="H1797" i="1"/>
  <c r="G1797" i="1"/>
  <c r="F1797" i="1"/>
  <c r="E1797" i="1"/>
  <c r="D1797" i="1"/>
  <c r="C1797" i="1"/>
  <c r="A1797" i="1"/>
  <c r="R1796" i="1"/>
  <c r="Q1796" i="1"/>
  <c r="N1796" i="1"/>
  <c r="J1796" i="1"/>
  <c r="I1796" i="1"/>
  <c r="H1796" i="1"/>
  <c r="G1796" i="1"/>
  <c r="F1796" i="1"/>
  <c r="E1796" i="1"/>
  <c r="D1796" i="1"/>
  <c r="C1796" i="1"/>
  <c r="A1796" i="1"/>
  <c r="R1795" i="1"/>
  <c r="N1795" i="1"/>
  <c r="J1795" i="1"/>
  <c r="I1795" i="1"/>
  <c r="H1795" i="1"/>
  <c r="G1795" i="1"/>
  <c r="F1795" i="1"/>
  <c r="E1795" i="1"/>
  <c r="D1795" i="1"/>
  <c r="C1795" i="1"/>
  <c r="A1795" i="1"/>
  <c r="R1794" i="1"/>
  <c r="Q1794" i="1"/>
  <c r="N1794" i="1"/>
  <c r="J1794" i="1"/>
  <c r="I1794" i="1"/>
  <c r="H1794" i="1"/>
  <c r="G1794" i="1"/>
  <c r="F1794" i="1"/>
  <c r="E1794" i="1"/>
  <c r="D1794" i="1"/>
  <c r="C1794" i="1"/>
  <c r="A1794" i="1"/>
  <c r="R1793" i="1"/>
  <c r="N1793" i="1"/>
  <c r="J1793" i="1"/>
  <c r="I1793" i="1"/>
  <c r="H1793" i="1"/>
  <c r="G1793" i="1"/>
  <c r="F1793" i="1"/>
  <c r="E1793" i="1"/>
  <c r="D1793" i="1"/>
  <c r="C1793" i="1"/>
  <c r="B1793" i="1"/>
  <c r="A1793" i="1"/>
  <c r="R1792" i="1"/>
  <c r="N1792" i="1"/>
  <c r="J1792" i="1"/>
  <c r="I1792" i="1"/>
  <c r="H1792" i="1"/>
  <c r="G1792" i="1"/>
  <c r="F1792" i="1"/>
  <c r="E1792" i="1"/>
  <c r="D1792" i="1"/>
  <c r="C1792" i="1"/>
  <c r="B1792" i="1"/>
  <c r="A1792" i="1"/>
  <c r="R1791" i="1"/>
  <c r="N1791" i="1"/>
  <c r="J1791" i="1"/>
  <c r="I1791" i="1"/>
  <c r="H1791" i="1"/>
  <c r="G1791" i="1"/>
  <c r="F1791" i="1"/>
  <c r="E1791" i="1"/>
  <c r="D1791" i="1"/>
  <c r="C1791" i="1"/>
  <c r="B1791" i="1"/>
  <c r="A1791" i="1"/>
  <c r="R1790" i="1"/>
  <c r="N1790" i="1"/>
  <c r="J1790" i="1"/>
  <c r="I1790" i="1"/>
  <c r="H1790" i="1"/>
  <c r="G1790" i="1"/>
  <c r="F1790" i="1"/>
  <c r="E1790" i="1"/>
  <c r="D1790" i="1"/>
  <c r="C1790" i="1"/>
  <c r="B1790" i="1"/>
  <c r="A1790" i="1"/>
  <c r="R1789" i="1"/>
  <c r="N1789" i="1"/>
  <c r="J1789" i="1"/>
  <c r="I1789" i="1"/>
  <c r="H1789" i="1"/>
  <c r="G1789" i="1"/>
  <c r="F1789" i="1"/>
  <c r="E1789" i="1"/>
  <c r="D1789" i="1"/>
  <c r="C1789" i="1"/>
  <c r="B1789" i="1"/>
  <c r="A1789" i="1"/>
  <c r="R1788" i="1"/>
  <c r="N1788" i="1"/>
  <c r="J1788" i="1"/>
  <c r="I1788" i="1"/>
  <c r="H1788" i="1"/>
  <c r="G1788" i="1"/>
  <c r="F1788" i="1"/>
  <c r="E1788" i="1"/>
  <c r="D1788" i="1"/>
  <c r="C1788" i="1"/>
  <c r="B1788" i="1"/>
  <c r="A1788" i="1"/>
  <c r="R1787" i="1"/>
  <c r="N1787" i="1"/>
  <c r="J1787" i="1"/>
  <c r="I1787" i="1"/>
  <c r="H1787" i="1"/>
  <c r="G1787" i="1"/>
  <c r="F1787" i="1"/>
  <c r="E1787" i="1"/>
  <c r="D1787" i="1"/>
  <c r="C1787" i="1"/>
  <c r="B1787" i="1"/>
  <c r="A1787" i="1"/>
  <c r="R1786" i="1"/>
  <c r="N1786" i="1"/>
  <c r="J1786" i="1"/>
  <c r="I1786" i="1"/>
  <c r="H1786" i="1"/>
  <c r="G1786" i="1"/>
  <c r="F1786" i="1"/>
  <c r="E1786" i="1"/>
  <c r="D1786" i="1"/>
  <c r="C1786" i="1"/>
  <c r="B1786" i="1"/>
  <c r="A1786" i="1"/>
  <c r="R1785" i="1"/>
  <c r="Q1785" i="1"/>
  <c r="N1785" i="1"/>
  <c r="J1785" i="1"/>
  <c r="I1785" i="1"/>
  <c r="H1785" i="1"/>
  <c r="G1785" i="1"/>
  <c r="F1785" i="1"/>
  <c r="E1785" i="1"/>
  <c r="D1785" i="1"/>
  <c r="C1785" i="1"/>
  <c r="A1785" i="1"/>
  <c r="R1784" i="1"/>
  <c r="N1784" i="1"/>
  <c r="J1784" i="1"/>
  <c r="I1784" i="1"/>
  <c r="H1784" i="1"/>
  <c r="G1784" i="1"/>
  <c r="F1784" i="1"/>
  <c r="E1784" i="1"/>
  <c r="D1784" i="1"/>
  <c r="C1784" i="1"/>
  <c r="A1784" i="1"/>
  <c r="R1783" i="1"/>
  <c r="Q1783" i="1"/>
  <c r="N1783" i="1"/>
  <c r="J1783" i="1"/>
  <c r="I1783" i="1"/>
  <c r="H1783" i="1"/>
  <c r="G1783" i="1"/>
  <c r="F1783" i="1"/>
  <c r="E1783" i="1"/>
  <c r="D1783" i="1"/>
  <c r="C1783" i="1"/>
  <c r="A1783" i="1"/>
  <c r="R1782" i="1"/>
  <c r="Q1782" i="1"/>
  <c r="N1782" i="1"/>
  <c r="J1782" i="1"/>
  <c r="I1782" i="1"/>
  <c r="H1782" i="1"/>
  <c r="G1782" i="1"/>
  <c r="F1782" i="1"/>
  <c r="E1782" i="1"/>
  <c r="D1782" i="1"/>
  <c r="C1782" i="1"/>
  <c r="A1782" i="1"/>
  <c r="R1781" i="1"/>
  <c r="Q1781" i="1"/>
  <c r="N1781" i="1"/>
  <c r="J1781" i="1"/>
  <c r="I1781" i="1"/>
  <c r="H1781" i="1"/>
  <c r="G1781" i="1"/>
  <c r="F1781" i="1"/>
  <c r="E1781" i="1"/>
  <c r="D1781" i="1"/>
  <c r="C1781" i="1"/>
  <c r="A1781" i="1"/>
  <c r="R1780" i="1"/>
  <c r="N1780" i="1"/>
  <c r="J1780" i="1"/>
  <c r="I1780" i="1"/>
  <c r="H1780" i="1"/>
  <c r="G1780" i="1"/>
  <c r="F1780" i="1"/>
  <c r="E1780" i="1"/>
  <c r="D1780" i="1"/>
  <c r="C1780" i="1"/>
  <c r="A1780" i="1"/>
  <c r="R1779" i="1"/>
  <c r="Q1779" i="1"/>
  <c r="N1779" i="1"/>
  <c r="J1779" i="1"/>
  <c r="I1779" i="1"/>
  <c r="H1779" i="1"/>
  <c r="G1779" i="1"/>
  <c r="F1779" i="1"/>
  <c r="E1779" i="1"/>
  <c r="D1779" i="1"/>
  <c r="C1779" i="1"/>
  <c r="A1779" i="1"/>
  <c r="R1778" i="1"/>
  <c r="N1778" i="1"/>
  <c r="J1778" i="1"/>
  <c r="I1778" i="1"/>
  <c r="H1778" i="1"/>
  <c r="G1778" i="1"/>
  <c r="F1778" i="1"/>
  <c r="E1778" i="1"/>
  <c r="D1778" i="1"/>
  <c r="C1778" i="1"/>
  <c r="A1778" i="1"/>
  <c r="R1777" i="1"/>
  <c r="Q1777" i="1"/>
  <c r="N1777" i="1"/>
  <c r="J1777" i="1"/>
  <c r="I1777" i="1"/>
  <c r="H1777" i="1"/>
  <c r="G1777" i="1"/>
  <c r="F1777" i="1"/>
  <c r="E1777" i="1"/>
  <c r="D1777" i="1"/>
  <c r="C1777" i="1"/>
  <c r="A1777" i="1"/>
  <c r="R1776" i="1"/>
  <c r="N1776" i="1"/>
  <c r="J1776" i="1"/>
  <c r="I1776" i="1"/>
  <c r="H1776" i="1"/>
  <c r="G1776" i="1"/>
  <c r="F1776" i="1"/>
  <c r="E1776" i="1"/>
  <c r="D1776" i="1"/>
  <c r="C1776" i="1"/>
  <c r="A1776" i="1"/>
  <c r="R1775" i="1"/>
  <c r="Q1775" i="1"/>
  <c r="N1775" i="1"/>
  <c r="J1775" i="1"/>
  <c r="I1775" i="1"/>
  <c r="H1775" i="1"/>
  <c r="G1775" i="1"/>
  <c r="F1775" i="1"/>
  <c r="E1775" i="1"/>
  <c r="D1775" i="1"/>
  <c r="C1775" i="1"/>
  <c r="A1775" i="1"/>
  <c r="R1774" i="1"/>
  <c r="N1774" i="1"/>
  <c r="J1774" i="1"/>
  <c r="I1774" i="1"/>
  <c r="H1774" i="1"/>
  <c r="G1774" i="1"/>
  <c r="F1774" i="1"/>
  <c r="E1774" i="1"/>
  <c r="D1774" i="1"/>
  <c r="C1774" i="1"/>
  <c r="A1774" i="1"/>
  <c r="R1773" i="1"/>
  <c r="Q1773" i="1"/>
  <c r="N1773" i="1"/>
  <c r="J1773" i="1"/>
  <c r="I1773" i="1"/>
  <c r="H1773" i="1"/>
  <c r="G1773" i="1"/>
  <c r="F1773" i="1"/>
  <c r="E1773" i="1"/>
  <c r="D1773" i="1"/>
  <c r="C1773" i="1"/>
  <c r="A1773" i="1"/>
  <c r="R1772" i="1"/>
  <c r="N1772" i="1"/>
  <c r="J1772" i="1"/>
  <c r="I1772" i="1"/>
  <c r="H1772" i="1"/>
  <c r="G1772" i="1"/>
  <c r="F1772" i="1"/>
  <c r="E1772" i="1"/>
  <c r="D1772" i="1"/>
  <c r="C1772" i="1"/>
  <c r="A1772" i="1"/>
  <c r="R1771" i="1"/>
  <c r="Q1771" i="1"/>
  <c r="N1771" i="1"/>
  <c r="J1771" i="1"/>
  <c r="I1771" i="1"/>
  <c r="H1771" i="1"/>
  <c r="G1771" i="1"/>
  <c r="F1771" i="1"/>
  <c r="E1771" i="1"/>
  <c r="D1771" i="1"/>
  <c r="C1771" i="1"/>
  <c r="A1771" i="1"/>
  <c r="R1770" i="1"/>
  <c r="N1770" i="1"/>
  <c r="J1770" i="1"/>
  <c r="I1770" i="1"/>
  <c r="H1770" i="1"/>
  <c r="G1770" i="1"/>
  <c r="F1770" i="1"/>
  <c r="E1770" i="1"/>
  <c r="D1770" i="1"/>
  <c r="C1770" i="1"/>
  <c r="B1770" i="1"/>
  <c r="A1770" i="1"/>
  <c r="R1769" i="1"/>
  <c r="N1769" i="1"/>
  <c r="J1769" i="1"/>
  <c r="I1769" i="1"/>
  <c r="H1769" i="1"/>
  <c r="G1769" i="1"/>
  <c r="F1769" i="1"/>
  <c r="E1769" i="1"/>
  <c r="D1769" i="1"/>
  <c r="C1769" i="1"/>
  <c r="B1769" i="1"/>
  <c r="A1769" i="1"/>
  <c r="R1768" i="1"/>
  <c r="N1768" i="1"/>
  <c r="J1768" i="1"/>
  <c r="I1768" i="1"/>
  <c r="H1768" i="1"/>
  <c r="G1768" i="1"/>
  <c r="F1768" i="1"/>
  <c r="E1768" i="1"/>
  <c r="D1768" i="1"/>
  <c r="C1768" i="1"/>
  <c r="B1768" i="1"/>
  <c r="A1768" i="1"/>
  <c r="R1767" i="1"/>
  <c r="N1767" i="1"/>
  <c r="J1767" i="1"/>
  <c r="I1767" i="1"/>
  <c r="H1767" i="1"/>
  <c r="G1767" i="1"/>
  <c r="F1767" i="1"/>
  <c r="E1767" i="1"/>
  <c r="D1767" i="1"/>
  <c r="C1767" i="1"/>
  <c r="B1767" i="1"/>
  <c r="A1767" i="1"/>
  <c r="R1766" i="1"/>
  <c r="N1766" i="1"/>
  <c r="J1766" i="1"/>
  <c r="I1766" i="1"/>
  <c r="H1766" i="1"/>
  <c r="G1766" i="1"/>
  <c r="F1766" i="1"/>
  <c r="E1766" i="1"/>
  <c r="D1766" i="1"/>
  <c r="C1766" i="1"/>
  <c r="B1766" i="1"/>
  <c r="A1766" i="1"/>
  <c r="R1765" i="1"/>
  <c r="Q1765" i="1"/>
  <c r="N1765" i="1"/>
  <c r="J1765" i="1"/>
  <c r="I1765" i="1"/>
  <c r="H1765" i="1"/>
  <c r="G1765" i="1"/>
  <c r="F1765" i="1"/>
  <c r="E1765" i="1"/>
  <c r="D1765" i="1"/>
  <c r="C1765" i="1"/>
  <c r="B1765" i="1"/>
  <c r="A1765" i="1"/>
  <c r="R1764" i="1"/>
  <c r="N1764" i="1"/>
  <c r="J1764" i="1"/>
  <c r="I1764" i="1"/>
  <c r="H1764" i="1"/>
  <c r="G1764" i="1"/>
  <c r="F1764" i="1"/>
  <c r="E1764" i="1"/>
  <c r="D1764" i="1"/>
  <c r="C1764" i="1"/>
  <c r="B1764" i="1"/>
  <c r="A1764" i="1"/>
  <c r="R1763" i="1"/>
  <c r="Q1763" i="1"/>
  <c r="N1763" i="1"/>
  <c r="J1763" i="1"/>
  <c r="I1763" i="1"/>
  <c r="H1763" i="1"/>
  <c r="G1763" i="1"/>
  <c r="F1763" i="1"/>
  <c r="E1763" i="1"/>
  <c r="D1763" i="1"/>
  <c r="C1763" i="1"/>
  <c r="B1763" i="1"/>
  <c r="A1763" i="1"/>
  <c r="R1762" i="1"/>
  <c r="N1762" i="1"/>
  <c r="J1762" i="1"/>
  <c r="I1762" i="1"/>
  <c r="H1762" i="1"/>
  <c r="G1762" i="1"/>
  <c r="F1762" i="1"/>
  <c r="E1762" i="1"/>
  <c r="D1762" i="1"/>
  <c r="C1762" i="1"/>
  <c r="B1762" i="1"/>
  <c r="A1762" i="1"/>
  <c r="R1761" i="1"/>
  <c r="Q1761" i="1"/>
  <c r="N1761" i="1"/>
  <c r="J1761" i="1"/>
  <c r="I1761" i="1"/>
  <c r="H1761" i="1"/>
  <c r="G1761" i="1"/>
  <c r="F1761" i="1"/>
  <c r="E1761" i="1"/>
  <c r="D1761" i="1"/>
  <c r="C1761" i="1"/>
  <c r="B1761" i="1"/>
  <c r="A1761" i="1"/>
  <c r="R1760" i="1"/>
  <c r="N1760" i="1"/>
  <c r="J1760" i="1"/>
  <c r="I1760" i="1"/>
  <c r="H1760" i="1"/>
  <c r="G1760" i="1"/>
  <c r="F1760" i="1"/>
  <c r="E1760" i="1"/>
  <c r="D1760" i="1"/>
  <c r="C1760" i="1"/>
  <c r="B1760" i="1"/>
  <c r="A1760" i="1"/>
  <c r="R1759" i="1"/>
  <c r="Q1759" i="1"/>
  <c r="N1759" i="1"/>
  <c r="J1759" i="1"/>
  <c r="I1759" i="1"/>
  <c r="H1759" i="1"/>
  <c r="G1759" i="1"/>
  <c r="F1759" i="1"/>
  <c r="E1759" i="1"/>
  <c r="D1759" i="1"/>
  <c r="C1759" i="1"/>
  <c r="B1759" i="1"/>
  <c r="A1759" i="1"/>
  <c r="R1758" i="1"/>
  <c r="N1758" i="1"/>
  <c r="J1758" i="1"/>
  <c r="I1758" i="1"/>
  <c r="H1758" i="1"/>
  <c r="G1758" i="1"/>
  <c r="F1758" i="1"/>
  <c r="E1758" i="1"/>
  <c r="D1758" i="1"/>
  <c r="C1758" i="1"/>
  <c r="B1758" i="1"/>
  <c r="A1758" i="1"/>
  <c r="R1757" i="1"/>
  <c r="Q1757" i="1"/>
  <c r="N1757" i="1"/>
  <c r="J1757" i="1"/>
  <c r="I1757" i="1"/>
  <c r="H1757" i="1"/>
  <c r="G1757" i="1"/>
  <c r="F1757" i="1"/>
  <c r="E1757" i="1"/>
  <c r="D1757" i="1"/>
  <c r="C1757" i="1"/>
  <c r="B1757" i="1"/>
  <c r="A1757" i="1"/>
  <c r="R1756" i="1"/>
  <c r="N1756" i="1"/>
  <c r="J1756" i="1"/>
  <c r="I1756" i="1"/>
  <c r="H1756" i="1"/>
  <c r="G1756" i="1"/>
  <c r="F1756" i="1"/>
  <c r="E1756" i="1"/>
  <c r="D1756" i="1"/>
  <c r="C1756" i="1"/>
  <c r="B1756" i="1"/>
  <c r="A1756" i="1"/>
  <c r="R1755" i="1"/>
  <c r="Q1755" i="1"/>
  <c r="N1755" i="1"/>
  <c r="J1755" i="1"/>
  <c r="I1755" i="1"/>
  <c r="H1755" i="1"/>
  <c r="G1755" i="1"/>
  <c r="F1755" i="1"/>
  <c r="E1755" i="1"/>
  <c r="D1755" i="1"/>
  <c r="C1755" i="1"/>
  <c r="A1755" i="1"/>
  <c r="R1754" i="1"/>
  <c r="N1754" i="1"/>
  <c r="J1754" i="1"/>
  <c r="I1754" i="1"/>
  <c r="H1754" i="1"/>
  <c r="G1754" i="1"/>
  <c r="F1754" i="1"/>
  <c r="E1754" i="1"/>
  <c r="D1754" i="1"/>
  <c r="C1754" i="1"/>
  <c r="A1754" i="1"/>
  <c r="R1753" i="1"/>
  <c r="Q1753" i="1"/>
  <c r="N1753" i="1"/>
  <c r="J1753" i="1"/>
  <c r="I1753" i="1"/>
  <c r="H1753" i="1"/>
  <c r="G1753" i="1"/>
  <c r="F1753" i="1"/>
  <c r="E1753" i="1"/>
  <c r="D1753" i="1"/>
  <c r="C1753" i="1"/>
  <c r="A1753" i="1"/>
  <c r="R1752" i="1"/>
  <c r="N1752" i="1"/>
  <c r="J1752" i="1"/>
  <c r="I1752" i="1"/>
  <c r="H1752" i="1"/>
  <c r="G1752" i="1"/>
  <c r="F1752" i="1"/>
  <c r="E1752" i="1"/>
  <c r="D1752" i="1"/>
  <c r="C1752" i="1"/>
  <c r="A1752" i="1"/>
  <c r="R1751" i="1"/>
  <c r="Q1751" i="1"/>
  <c r="N1751" i="1"/>
  <c r="J1751" i="1"/>
  <c r="I1751" i="1"/>
  <c r="H1751" i="1"/>
  <c r="G1751" i="1"/>
  <c r="F1751" i="1"/>
  <c r="E1751" i="1"/>
  <c r="D1751" i="1"/>
  <c r="C1751" i="1"/>
  <c r="A1751" i="1"/>
  <c r="R1750" i="1"/>
  <c r="N1750" i="1"/>
  <c r="J1750" i="1"/>
  <c r="I1750" i="1"/>
  <c r="H1750" i="1"/>
  <c r="G1750" i="1"/>
  <c r="F1750" i="1"/>
  <c r="E1750" i="1"/>
  <c r="D1750" i="1"/>
  <c r="C1750" i="1"/>
  <c r="A1750" i="1"/>
  <c r="R1749" i="1"/>
  <c r="Q1749" i="1"/>
  <c r="N1749" i="1"/>
  <c r="J1749" i="1"/>
  <c r="I1749" i="1"/>
  <c r="H1749" i="1"/>
  <c r="G1749" i="1"/>
  <c r="F1749" i="1"/>
  <c r="E1749" i="1"/>
  <c r="D1749" i="1"/>
  <c r="C1749" i="1"/>
  <c r="A1749" i="1"/>
  <c r="R1748" i="1"/>
  <c r="N1748" i="1"/>
  <c r="J1748" i="1"/>
  <c r="I1748" i="1"/>
  <c r="H1748" i="1"/>
  <c r="G1748" i="1"/>
  <c r="F1748" i="1"/>
  <c r="E1748" i="1"/>
  <c r="D1748" i="1"/>
  <c r="C1748" i="1"/>
  <c r="A1748" i="1"/>
  <c r="R1747" i="1"/>
  <c r="Q1747" i="1"/>
  <c r="N1747" i="1"/>
  <c r="J1747" i="1"/>
  <c r="I1747" i="1"/>
  <c r="H1747" i="1"/>
  <c r="G1747" i="1"/>
  <c r="F1747" i="1"/>
  <c r="E1747" i="1"/>
  <c r="D1747" i="1"/>
  <c r="C1747" i="1"/>
  <c r="A1747" i="1"/>
  <c r="R1746" i="1"/>
  <c r="Q1746" i="1"/>
  <c r="N1746" i="1"/>
  <c r="J1746" i="1"/>
  <c r="I1746" i="1"/>
  <c r="H1746" i="1"/>
  <c r="G1746" i="1"/>
  <c r="F1746" i="1"/>
  <c r="E1746" i="1"/>
  <c r="D1746" i="1"/>
  <c r="C1746" i="1"/>
  <c r="A1746" i="1"/>
  <c r="R1745" i="1"/>
  <c r="Q1745" i="1"/>
  <c r="N1745" i="1"/>
  <c r="J1745" i="1"/>
  <c r="I1745" i="1"/>
  <c r="H1745" i="1"/>
  <c r="G1745" i="1"/>
  <c r="F1745" i="1"/>
  <c r="E1745" i="1"/>
  <c r="D1745" i="1"/>
  <c r="C1745" i="1"/>
  <c r="A1745" i="1"/>
  <c r="R1744" i="1"/>
  <c r="Q1744" i="1"/>
  <c r="N1744" i="1"/>
  <c r="J1744" i="1"/>
  <c r="I1744" i="1"/>
  <c r="H1744" i="1"/>
  <c r="G1744" i="1"/>
  <c r="F1744" i="1"/>
  <c r="E1744" i="1"/>
  <c r="D1744" i="1"/>
  <c r="C1744" i="1"/>
  <c r="A1744" i="1"/>
  <c r="R1743" i="1"/>
  <c r="Q1743" i="1"/>
  <c r="N1743" i="1"/>
  <c r="J1743" i="1"/>
  <c r="I1743" i="1"/>
  <c r="H1743" i="1"/>
  <c r="G1743" i="1"/>
  <c r="F1743" i="1"/>
  <c r="E1743" i="1"/>
  <c r="D1743" i="1"/>
  <c r="C1743" i="1"/>
  <c r="A1743" i="1"/>
  <c r="R1742" i="1"/>
  <c r="N1742" i="1"/>
  <c r="J1742" i="1"/>
  <c r="I1742" i="1"/>
  <c r="H1742" i="1"/>
  <c r="G1742" i="1"/>
  <c r="F1742" i="1"/>
  <c r="E1742" i="1"/>
  <c r="D1742" i="1"/>
  <c r="C1742" i="1"/>
  <c r="A1742" i="1"/>
  <c r="R1741" i="1"/>
  <c r="Q1741" i="1"/>
  <c r="N1741" i="1"/>
  <c r="J1741" i="1"/>
  <c r="I1741" i="1"/>
  <c r="H1741" i="1"/>
  <c r="G1741" i="1"/>
  <c r="F1741" i="1"/>
  <c r="E1741" i="1"/>
  <c r="D1741" i="1"/>
  <c r="C1741" i="1"/>
  <c r="A1741" i="1"/>
  <c r="R1740" i="1"/>
  <c r="Q1740" i="1"/>
  <c r="N1740" i="1"/>
  <c r="J1740" i="1"/>
  <c r="I1740" i="1"/>
  <c r="H1740" i="1"/>
  <c r="G1740" i="1"/>
  <c r="F1740" i="1"/>
  <c r="E1740" i="1"/>
  <c r="D1740" i="1"/>
  <c r="C1740" i="1"/>
  <c r="A1740" i="1"/>
  <c r="R1739" i="1"/>
  <c r="Q1739" i="1"/>
  <c r="N1739" i="1"/>
  <c r="J1739" i="1"/>
  <c r="I1739" i="1"/>
  <c r="H1739" i="1"/>
  <c r="G1739" i="1"/>
  <c r="F1739" i="1"/>
  <c r="E1739" i="1"/>
  <c r="D1739" i="1"/>
  <c r="C1739" i="1"/>
  <c r="A1739" i="1"/>
  <c r="R1738" i="1"/>
  <c r="Q1738" i="1"/>
  <c r="N1738" i="1"/>
  <c r="J1738" i="1"/>
  <c r="I1738" i="1"/>
  <c r="H1738" i="1"/>
  <c r="G1738" i="1"/>
  <c r="F1738" i="1"/>
  <c r="E1738" i="1"/>
  <c r="D1738" i="1"/>
  <c r="C1738" i="1"/>
  <c r="A1738" i="1"/>
  <c r="R1737" i="1"/>
  <c r="Q1737" i="1"/>
  <c r="N1737" i="1"/>
  <c r="J1737" i="1"/>
  <c r="I1737" i="1"/>
  <c r="H1737" i="1"/>
  <c r="G1737" i="1"/>
  <c r="F1737" i="1"/>
  <c r="E1737" i="1"/>
  <c r="D1737" i="1"/>
  <c r="C1737" i="1"/>
  <c r="A1737" i="1"/>
  <c r="R1736" i="1"/>
  <c r="Q1736" i="1"/>
  <c r="N1736" i="1"/>
  <c r="J1736" i="1"/>
  <c r="I1736" i="1"/>
  <c r="H1736" i="1"/>
  <c r="G1736" i="1"/>
  <c r="F1736" i="1"/>
  <c r="E1736" i="1"/>
  <c r="D1736" i="1"/>
  <c r="C1736" i="1"/>
  <c r="A1736" i="1"/>
  <c r="R1735" i="1"/>
  <c r="Q1735" i="1"/>
  <c r="N1735" i="1"/>
  <c r="J1735" i="1"/>
  <c r="I1735" i="1"/>
  <c r="H1735" i="1"/>
  <c r="G1735" i="1"/>
  <c r="F1735" i="1"/>
  <c r="E1735" i="1"/>
  <c r="D1735" i="1"/>
  <c r="C1735" i="1"/>
  <c r="A1735" i="1"/>
  <c r="R1734" i="1"/>
  <c r="Q1734" i="1"/>
  <c r="N1734" i="1"/>
  <c r="J1734" i="1"/>
  <c r="I1734" i="1"/>
  <c r="H1734" i="1"/>
  <c r="G1734" i="1"/>
  <c r="F1734" i="1"/>
  <c r="E1734" i="1"/>
  <c r="D1734" i="1"/>
  <c r="C1734" i="1"/>
  <c r="A1734" i="1"/>
  <c r="R1733" i="1"/>
  <c r="Q1733" i="1"/>
  <c r="N1733" i="1"/>
  <c r="J1733" i="1"/>
  <c r="I1733" i="1"/>
  <c r="H1733" i="1"/>
  <c r="G1733" i="1"/>
  <c r="F1733" i="1"/>
  <c r="E1733" i="1"/>
  <c r="D1733" i="1"/>
  <c r="C1733" i="1"/>
  <c r="A1733" i="1"/>
  <c r="R1732" i="1"/>
  <c r="Q1732" i="1"/>
  <c r="N1732" i="1"/>
  <c r="J1732" i="1"/>
  <c r="I1732" i="1"/>
  <c r="H1732" i="1"/>
  <c r="G1732" i="1"/>
  <c r="F1732" i="1"/>
  <c r="E1732" i="1"/>
  <c r="D1732" i="1"/>
  <c r="C1732" i="1"/>
  <c r="A1732" i="1"/>
  <c r="R1731" i="1"/>
  <c r="Q1731" i="1"/>
  <c r="N1731" i="1"/>
  <c r="J1731" i="1"/>
  <c r="I1731" i="1"/>
  <c r="H1731" i="1"/>
  <c r="G1731" i="1"/>
  <c r="F1731" i="1"/>
  <c r="E1731" i="1"/>
  <c r="D1731" i="1"/>
  <c r="C1731" i="1"/>
  <c r="A1731" i="1"/>
  <c r="R1730" i="1"/>
  <c r="N1730" i="1"/>
  <c r="J1730" i="1"/>
  <c r="I1730" i="1"/>
  <c r="H1730" i="1"/>
  <c r="G1730" i="1"/>
  <c r="F1730" i="1"/>
  <c r="E1730" i="1"/>
  <c r="D1730" i="1"/>
  <c r="C1730" i="1"/>
  <c r="A1730" i="1"/>
  <c r="R1729" i="1"/>
  <c r="Q1729" i="1"/>
  <c r="N1729" i="1"/>
  <c r="J1729" i="1"/>
  <c r="I1729" i="1"/>
  <c r="H1729" i="1"/>
  <c r="G1729" i="1"/>
  <c r="F1729" i="1"/>
  <c r="E1729" i="1"/>
  <c r="D1729" i="1"/>
  <c r="C1729" i="1"/>
  <c r="A1729" i="1"/>
  <c r="R1728" i="1"/>
  <c r="Q1728" i="1"/>
  <c r="N1728" i="1"/>
  <c r="J1728" i="1"/>
  <c r="I1728" i="1"/>
  <c r="H1728" i="1"/>
  <c r="G1728" i="1"/>
  <c r="F1728" i="1"/>
  <c r="E1728" i="1"/>
  <c r="D1728" i="1"/>
  <c r="C1728" i="1"/>
  <c r="A1728" i="1"/>
  <c r="R1727" i="1"/>
  <c r="Q1727" i="1"/>
  <c r="N1727" i="1"/>
  <c r="J1727" i="1"/>
  <c r="I1727" i="1"/>
  <c r="H1727" i="1"/>
  <c r="G1727" i="1"/>
  <c r="F1727" i="1"/>
  <c r="E1727" i="1"/>
  <c r="D1727" i="1"/>
  <c r="C1727" i="1"/>
  <c r="A1727" i="1"/>
  <c r="R1726" i="1"/>
  <c r="Q1726" i="1"/>
  <c r="N1726" i="1"/>
  <c r="J1726" i="1"/>
  <c r="I1726" i="1"/>
  <c r="H1726" i="1"/>
  <c r="G1726" i="1"/>
  <c r="F1726" i="1"/>
  <c r="E1726" i="1"/>
  <c r="D1726" i="1"/>
  <c r="C1726" i="1"/>
  <c r="A1726" i="1"/>
  <c r="R1725" i="1"/>
  <c r="Q1725" i="1"/>
  <c r="N1725" i="1"/>
  <c r="J1725" i="1"/>
  <c r="I1725" i="1"/>
  <c r="H1725" i="1"/>
  <c r="G1725" i="1"/>
  <c r="F1725" i="1"/>
  <c r="E1725" i="1"/>
  <c r="D1725" i="1"/>
  <c r="C1725" i="1"/>
  <c r="A1725" i="1"/>
  <c r="R1724" i="1"/>
  <c r="Q1724" i="1"/>
  <c r="N1724" i="1"/>
  <c r="J1724" i="1"/>
  <c r="I1724" i="1"/>
  <c r="H1724" i="1"/>
  <c r="G1724" i="1"/>
  <c r="F1724" i="1"/>
  <c r="E1724" i="1"/>
  <c r="D1724" i="1"/>
  <c r="C1724" i="1"/>
  <c r="A1724" i="1"/>
  <c r="R1723" i="1"/>
  <c r="Q1723" i="1"/>
  <c r="N1723" i="1"/>
  <c r="J1723" i="1"/>
  <c r="I1723" i="1"/>
  <c r="H1723" i="1"/>
  <c r="G1723" i="1"/>
  <c r="F1723" i="1"/>
  <c r="E1723" i="1"/>
  <c r="D1723" i="1"/>
  <c r="C1723" i="1"/>
  <c r="A1723" i="1"/>
  <c r="R1722" i="1"/>
  <c r="Q1722" i="1"/>
  <c r="N1722" i="1"/>
  <c r="J1722" i="1"/>
  <c r="I1722" i="1"/>
  <c r="H1722" i="1"/>
  <c r="G1722" i="1"/>
  <c r="F1722" i="1"/>
  <c r="E1722" i="1"/>
  <c r="D1722" i="1"/>
  <c r="C1722" i="1"/>
  <c r="A1722" i="1"/>
  <c r="R1721" i="1"/>
  <c r="Q1721" i="1"/>
  <c r="N1721" i="1"/>
  <c r="J1721" i="1"/>
  <c r="I1721" i="1"/>
  <c r="H1721" i="1"/>
  <c r="G1721" i="1"/>
  <c r="F1721" i="1"/>
  <c r="E1721" i="1"/>
  <c r="D1721" i="1"/>
  <c r="C1721" i="1"/>
  <c r="A1721" i="1"/>
  <c r="R1720" i="1"/>
  <c r="Q1720" i="1"/>
  <c r="N1720" i="1"/>
  <c r="J1720" i="1"/>
  <c r="I1720" i="1"/>
  <c r="H1720" i="1"/>
  <c r="G1720" i="1"/>
  <c r="F1720" i="1"/>
  <c r="E1720" i="1"/>
  <c r="D1720" i="1"/>
  <c r="C1720" i="1"/>
  <c r="A1720" i="1"/>
  <c r="R1719" i="1"/>
  <c r="Q1719" i="1"/>
  <c r="N1719" i="1"/>
  <c r="J1719" i="1"/>
  <c r="I1719" i="1"/>
  <c r="H1719" i="1"/>
  <c r="G1719" i="1"/>
  <c r="F1719" i="1"/>
  <c r="E1719" i="1"/>
  <c r="D1719" i="1"/>
  <c r="C1719" i="1"/>
  <c r="A1719" i="1"/>
  <c r="R1718" i="1"/>
  <c r="Q1718" i="1"/>
  <c r="N1718" i="1"/>
  <c r="J1718" i="1"/>
  <c r="I1718" i="1"/>
  <c r="H1718" i="1"/>
  <c r="G1718" i="1"/>
  <c r="F1718" i="1"/>
  <c r="E1718" i="1"/>
  <c r="D1718" i="1"/>
  <c r="C1718" i="1"/>
  <c r="A1718" i="1"/>
  <c r="R1717" i="1"/>
  <c r="Q1717" i="1"/>
  <c r="N1717" i="1"/>
  <c r="J1717" i="1"/>
  <c r="I1717" i="1"/>
  <c r="H1717" i="1"/>
  <c r="G1717" i="1"/>
  <c r="F1717" i="1"/>
  <c r="E1717" i="1"/>
  <c r="D1717" i="1"/>
  <c r="C1717" i="1"/>
  <c r="A1717" i="1"/>
  <c r="R1716" i="1"/>
  <c r="Q1716" i="1"/>
  <c r="N1716" i="1"/>
  <c r="J1716" i="1"/>
  <c r="I1716" i="1"/>
  <c r="H1716" i="1"/>
  <c r="G1716" i="1"/>
  <c r="F1716" i="1"/>
  <c r="E1716" i="1"/>
  <c r="D1716" i="1"/>
  <c r="C1716" i="1"/>
  <c r="A1716" i="1"/>
  <c r="R1715" i="1"/>
  <c r="Q1715" i="1"/>
  <c r="N1715" i="1"/>
  <c r="J1715" i="1"/>
  <c r="I1715" i="1"/>
  <c r="H1715" i="1"/>
  <c r="G1715" i="1"/>
  <c r="F1715" i="1"/>
  <c r="E1715" i="1"/>
  <c r="D1715" i="1"/>
  <c r="C1715" i="1"/>
  <c r="A1715" i="1"/>
  <c r="R1714" i="1"/>
  <c r="Q1714" i="1"/>
  <c r="N1714" i="1"/>
  <c r="J1714" i="1"/>
  <c r="I1714" i="1"/>
  <c r="H1714" i="1"/>
  <c r="G1714" i="1"/>
  <c r="F1714" i="1"/>
  <c r="E1714" i="1"/>
  <c r="D1714" i="1"/>
  <c r="C1714" i="1"/>
  <c r="A1714" i="1"/>
  <c r="R1713" i="1"/>
  <c r="Q1713" i="1"/>
  <c r="N1713" i="1"/>
  <c r="J1713" i="1"/>
  <c r="I1713" i="1"/>
  <c r="H1713" i="1"/>
  <c r="G1713" i="1"/>
  <c r="F1713" i="1"/>
  <c r="E1713" i="1"/>
  <c r="D1713" i="1"/>
  <c r="C1713" i="1"/>
  <c r="A1713" i="1"/>
  <c r="R1712" i="1"/>
  <c r="Q1712" i="1"/>
  <c r="N1712" i="1"/>
  <c r="J1712" i="1"/>
  <c r="I1712" i="1"/>
  <c r="H1712" i="1"/>
  <c r="G1712" i="1"/>
  <c r="F1712" i="1"/>
  <c r="E1712" i="1"/>
  <c r="D1712" i="1"/>
  <c r="C1712" i="1"/>
  <c r="A1712" i="1"/>
  <c r="R1711" i="1"/>
  <c r="Q1711" i="1"/>
  <c r="N1711" i="1"/>
  <c r="J1711" i="1"/>
  <c r="I1711" i="1"/>
  <c r="H1711" i="1"/>
  <c r="G1711" i="1"/>
  <c r="F1711" i="1"/>
  <c r="E1711" i="1"/>
  <c r="D1711" i="1"/>
  <c r="C1711" i="1"/>
  <c r="A1711" i="1"/>
  <c r="R1710" i="1"/>
  <c r="Q1710" i="1"/>
  <c r="N1710" i="1"/>
  <c r="J1710" i="1"/>
  <c r="I1710" i="1"/>
  <c r="H1710" i="1"/>
  <c r="G1710" i="1"/>
  <c r="F1710" i="1"/>
  <c r="E1710" i="1"/>
  <c r="D1710" i="1"/>
  <c r="C1710" i="1"/>
  <c r="A1710" i="1"/>
  <c r="R1709" i="1"/>
  <c r="Q1709" i="1"/>
  <c r="N1709" i="1"/>
  <c r="J1709" i="1"/>
  <c r="I1709" i="1"/>
  <c r="H1709" i="1"/>
  <c r="G1709" i="1"/>
  <c r="F1709" i="1"/>
  <c r="E1709" i="1"/>
  <c r="D1709" i="1"/>
  <c r="C1709" i="1"/>
  <c r="A1709" i="1"/>
  <c r="R1708" i="1"/>
  <c r="Q1708" i="1"/>
  <c r="N1708" i="1"/>
  <c r="J1708" i="1"/>
  <c r="I1708" i="1"/>
  <c r="H1708" i="1"/>
  <c r="G1708" i="1"/>
  <c r="F1708" i="1"/>
  <c r="E1708" i="1"/>
  <c r="D1708" i="1"/>
  <c r="C1708" i="1"/>
  <c r="A1708" i="1"/>
  <c r="R1707" i="1"/>
  <c r="Q1707" i="1"/>
  <c r="N1707" i="1"/>
  <c r="J1707" i="1"/>
  <c r="I1707" i="1"/>
  <c r="H1707" i="1"/>
  <c r="G1707" i="1"/>
  <c r="F1707" i="1"/>
  <c r="E1707" i="1"/>
  <c r="D1707" i="1"/>
  <c r="C1707" i="1"/>
  <c r="A1707" i="1"/>
  <c r="R1706" i="1"/>
  <c r="Q1706" i="1"/>
  <c r="N1706" i="1"/>
  <c r="J1706" i="1"/>
  <c r="I1706" i="1"/>
  <c r="H1706" i="1"/>
  <c r="G1706" i="1"/>
  <c r="F1706" i="1"/>
  <c r="E1706" i="1"/>
  <c r="D1706" i="1"/>
  <c r="C1706" i="1"/>
  <c r="A1706" i="1"/>
  <c r="R1705" i="1"/>
  <c r="Q1705" i="1"/>
  <c r="N1705" i="1"/>
  <c r="J1705" i="1"/>
  <c r="I1705" i="1"/>
  <c r="H1705" i="1"/>
  <c r="G1705" i="1"/>
  <c r="F1705" i="1"/>
  <c r="E1705" i="1"/>
  <c r="D1705" i="1"/>
  <c r="C1705" i="1"/>
  <c r="A1705" i="1"/>
  <c r="R1704" i="1"/>
  <c r="Q1704" i="1"/>
  <c r="N1704" i="1"/>
  <c r="J1704" i="1"/>
  <c r="I1704" i="1"/>
  <c r="H1704" i="1"/>
  <c r="G1704" i="1"/>
  <c r="F1704" i="1"/>
  <c r="E1704" i="1"/>
  <c r="D1704" i="1"/>
  <c r="C1704" i="1"/>
  <c r="A1704" i="1"/>
  <c r="R1703" i="1"/>
  <c r="Q1703" i="1"/>
  <c r="N1703" i="1"/>
  <c r="J1703" i="1"/>
  <c r="I1703" i="1"/>
  <c r="H1703" i="1"/>
  <c r="G1703" i="1"/>
  <c r="F1703" i="1"/>
  <c r="E1703" i="1"/>
  <c r="D1703" i="1"/>
  <c r="C1703" i="1"/>
  <c r="A1703" i="1"/>
  <c r="R1702" i="1"/>
  <c r="Q1702" i="1"/>
  <c r="N1702" i="1"/>
  <c r="J1702" i="1"/>
  <c r="I1702" i="1"/>
  <c r="H1702" i="1"/>
  <c r="G1702" i="1"/>
  <c r="F1702" i="1"/>
  <c r="E1702" i="1"/>
  <c r="D1702" i="1"/>
  <c r="C1702" i="1"/>
  <c r="A1702" i="1"/>
  <c r="R1701" i="1"/>
  <c r="Q1701" i="1"/>
  <c r="N1701" i="1"/>
  <c r="J1701" i="1"/>
  <c r="I1701" i="1"/>
  <c r="H1701" i="1"/>
  <c r="G1701" i="1"/>
  <c r="F1701" i="1"/>
  <c r="E1701" i="1"/>
  <c r="D1701" i="1"/>
  <c r="C1701" i="1"/>
  <c r="A1701" i="1"/>
  <c r="R1700" i="1"/>
  <c r="Q1700" i="1"/>
  <c r="N1700" i="1"/>
  <c r="J1700" i="1"/>
  <c r="I1700" i="1"/>
  <c r="H1700" i="1"/>
  <c r="G1700" i="1"/>
  <c r="F1700" i="1"/>
  <c r="E1700" i="1"/>
  <c r="D1700" i="1"/>
  <c r="C1700" i="1"/>
  <c r="A1700" i="1"/>
  <c r="R1699" i="1"/>
  <c r="Q1699" i="1"/>
  <c r="N1699" i="1"/>
  <c r="J1699" i="1"/>
  <c r="I1699" i="1"/>
  <c r="H1699" i="1"/>
  <c r="G1699" i="1"/>
  <c r="F1699" i="1"/>
  <c r="E1699" i="1"/>
  <c r="D1699" i="1"/>
  <c r="C1699" i="1"/>
  <c r="A1699" i="1"/>
  <c r="R1698" i="1"/>
  <c r="Q1698" i="1"/>
  <c r="N1698" i="1"/>
  <c r="J1698" i="1"/>
  <c r="I1698" i="1"/>
  <c r="H1698" i="1"/>
  <c r="G1698" i="1"/>
  <c r="F1698" i="1"/>
  <c r="E1698" i="1"/>
  <c r="D1698" i="1"/>
  <c r="C1698" i="1"/>
  <c r="A1698" i="1"/>
  <c r="R1697" i="1"/>
  <c r="Q1697" i="1"/>
  <c r="N1697" i="1"/>
  <c r="J1697" i="1"/>
  <c r="I1697" i="1"/>
  <c r="H1697" i="1"/>
  <c r="G1697" i="1"/>
  <c r="F1697" i="1"/>
  <c r="E1697" i="1"/>
  <c r="D1697" i="1"/>
  <c r="C1697" i="1"/>
  <c r="A1697" i="1"/>
  <c r="R1696" i="1"/>
  <c r="Q1696" i="1"/>
  <c r="N1696" i="1"/>
  <c r="J1696" i="1"/>
  <c r="I1696" i="1"/>
  <c r="H1696" i="1"/>
  <c r="G1696" i="1"/>
  <c r="F1696" i="1"/>
  <c r="E1696" i="1"/>
  <c r="D1696" i="1"/>
  <c r="C1696" i="1"/>
  <c r="A1696" i="1"/>
  <c r="R1695" i="1"/>
  <c r="Q1695" i="1"/>
  <c r="N1695" i="1"/>
  <c r="J1695" i="1"/>
  <c r="I1695" i="1"/>
  <c r="H1695" i="1"/>
  <c r="G1695" i="1"/>
  <c r="F1695" i="1"/>
  <c r="E1695" i="1"/>
  <c r="D1695" i="1"/>
  <c r="C1695" i="1"/>
  <c r="A1695" i="1"/>
  <c r="R1694" i="1"/>
  <c r="Q1694" i="1"/>
  <c r="N1694" i="1"/>
  <c r="J1694" i="1"/>
  <c r="I1694" i="1"/>
  <c r="H1694" i="1"/>
  <c r="G1694" i="1"/>
  <c r="F1694" i="1"/>
  <c r="E1694" i="1"/>
  <c r="D1694" i="1"/>
  <c r="C1694" i="1"/>
  <c r="A1694" i="1"/>
  <c r="R1693" i="1"/>
  <c r="Q1693" i="1"/>
  <c r="N1693" i="1"/>
  <c r="J1693" i="1"/>
  <c r="I1693" i="1"/>
  <c r="H1693" i="1"/>
  <c r="G1693" i="1"/>
  <c r="F1693" i="1"/>
  <c r="E1693" i="1"/>
  <c r="D1693" i="1"/>
  <c r="C1693" i="1"/>
  <c r="A1693" i="1"/>
  <c r="R1692" i="1"/>
  <c r="Q1692" i="1"/>
  <c r="N1692" i="1"/>
  <c r="J1692" i="1"/>
  <c r="I1692" i="1"/>
  <c r="H1692" i="1"/>
  <c r="G1692" i="1"/>
  <c r="F1692" i="1"/>
  <c r="E1692" i="1"/>
  <c r="D1692" i="1"/>
  <c r="C1692" i="1"/>
  <c r="A1692" i="1"/>
  <c r="R1691" i="1"/>
  <c r="Q1691" i="1"/>
  <c r="N1691" i="1"/>
  <c r="J1691" i="1"/>
  <c r="I1691" i="1"/>
  <c r="H1691" i="1"/>
  <c r="G1691" i="1"/>
  <c r="F1691" i="1"/>
  <c r="E1691" i="1"/>
  <c r="D1691" i="1"/>
  <c r="C1691" i="1"/>
  <c r="A1691" i="1"/>
  <c r="R1690" i="1"/>
  <c r="Q1690" i="1"/>
  <c r="N1690" i="1"/>
  <c r="J1690" i="1"/>
  <c r="I1690" i="1"/>
  <c r="H1690" i="1"/>
  <c r="G1690" i="1"/>
  <c r="F1690" i="1"/>
  <c r="E1690" i="1"/>
  <c r="D1690" i="1"/>
  <c r="C1690" i="1"/>
  <c r="A1690" i="1"/>
  <c r="R1689" i="1"/>
  <c r="Q1689" i="1"/>
  <c r="N1689" i="1"/>
  <c r="J1689" i="1"/>
  <c r="I1689" i="1"/>
  <c r="H1689" i="1"/>
  <c r="G1689" i="1"/>
  <c r="F1689" i="1"/>
  <c r="E1689" i="1"/>
  <c r="D1689" i="1"/>
  <c r="C1689" i="1"/>
  <c r="A1689" i="1"/>
  <c r="R1688" i="1"/>
  <c r="Q1688" i="1"/>
  <c r="N1688" i="1"/>
  <c r="J1688" i="1"/>
  <c r="I1688" i="1"/>
  <c r="H1688" i="1"/>
  <c r="G1688" i="1"/>
  <c r="F1688" i="1"/>
  <c r="E1688" i="1"/>
  <c r="D1688" i="1"/>
  <c r="C1688" i="1"/>
  <c r="A1688" i="1"/>
  <c r="R1687" i="1"/>
  <c r="Q1687" i="1"/>
  <c r="N1687" i="1"/>
  <c r="J1687" i="1"/>
  <c r="I1687" i="1"/>
  <c r="H1687" i="1"/>
  <c r="G1687" i="1"/>
  <c r="F1687" i="1"/>
  <c r="E1687" i="1"/>
  <c r="D1687" i="1"/>
  <c r="C1687" i="1"/>
  <c r="A1687" i="1"/>
  <c r="R1686" i="1"/>
  <c r="Q1686" i="1"/>
  <c r="N1686" i="1"/>
  <c r="J1686" i="1"/>
  <c r="I1686" i="1"/>
  <c r="H1686" i="1"/>
  <c r="G1686" i="1"/>
  <c r="F1686" i="1"/>
  <c r="E1686" i="1"/>
  <c r="D1686" i="1"/>
  <c r="C1686" i="1"/>
  <c r="A1686" i="1"/>
  <c r="R1685" i="1"/>
  <c r="Q1685" i="1"/>
  <c r="N1685" i="1"/>
  <c r="J1685" i="1"/>
  <c r="I1685" i="1"/>
  <c r="H1685" i="1"/>
  <c r="G1685" i="1"/>
  <c r="F1685" i="1"/>
  <c r="E1685" i="1"/>
  <c r="D1685" i="1"/>
  <c r="C1685" i="1"/>
  <c r="A1685" i="1"/>
  <c r="R1684" i="1"/>
  <c r="N1684" i="1"/>
  <c r="J1684" i="1"/>
  <c r="I1684" i="1"/>
  <c r="H1684" i="1"/>
  <c r="G1684" i="1"/>
  <c r="F1684" i="1"/>
  <c r="E1684" i="1"/>
  <c r="D1684" i="1"/>
  <c r="C1684" i="1"/>
  <c r="B1684" i="1"/>
  <c r="A1684" i="1"/>
  <c r="R1683" i="1"/>
  <c r="N1683" i="1"/>
  <c r="J1683" i="1"/>
  <c r="I1683" i="1"/>
  <c r="H1683" i="1"/>
  <c r="G1683" i="1"/>
  <c r="F1683" i="1"/>
  <c r="E1683" i="1"/>
  <c r="D1683" i="1"/>
  <c r="C1683" i="1"/>
  <c r="B1683" i="1"/>
  <c r="A1683" i="1"/>
  <c r="R1682" i="1"/>
  <c r="Q1682" i="1"/>
  <c r="N1682" i="1"/>
  <c r="J1682" i="1"/>
  <c r="I1682" i="1"/>
  <c r="H1682" i="1"/>
  <c r="G1682" i="1"/>
  <c r="F1682" i="1"/>
  <c r="E1682" i="1"/>
  <c r="D1682" i="1"/>
  <c r="C1682" i="1"/>
  <c r="A1682" i="1"/>
  <c r="R1681" i="1"/>
  <c r="N1681" i="1"/>
  <c r="J1681" i="1"/>
  <c r="I1681" i="1"/>
  <c r="H1681" i="1"/>
  <c r="G1681" i="1"/>
  <c r="F1681" i="1"/>
  <c r="E1681" i="1"/>
  <c r="D1681" i="1"/>
  <c r="C1681" i="1"/>
  <c r="A1681" i="1"/>
  <c r="R1680" i="1"/>
  <c r="Q1680" i="1"/>
  <c r="N1680" i="1"/>
  <c r="J1680" i="1"/>
  <c r="I1680" i="1"/>
  <c r="H1680" i="1"/>
  <c r="G1680" i="1"/>
  <c r="F1680" i="1"/>
  <c r="E1680" i="1"/>
  <c r="D1680" i="1"/>
  <c r="C1680" i="1"/>
  <c r="A1680" i="1"/>
  <c r="R1679" i="1"/>
  <c r="N1679" i="1"/>
  <c r="J1679" i="1"/>
  <c r="I1679" i="1"/>
  <c r="H1679" i="1"/>
  <c r="G1679" i="1"/>
  <c r="F1679" i="1"/>
  <c r="E1679" i="1"/>
  <c r="D1679" i="1"/>
  <c r="C1679" i="1"/>
  <c r="B1679" i="1"/>
  <c r="A1679" i="1"/>
  <c r="R1678" i="1"/>
  <c r="Q1678" i="1"/>
  <c r="N1678" i="1"/>
  <c r="J1678" i="1"/>
  <c r="I1678" i="1"/>
  <c r="H1678" i="1"/>
  <c r="G1678" i="1"/>
  <c r="F1678" i="1"/>
  <c r="E1678" i="1"/>
  <c r="D1678" i="1"/>
  <c r="C1678" i="1"/>
  <c r="B1678" i="1"/>
  <c r="A1678" i="1"/>
  <c r="R1677" i="1"/>
  <c r="N1677" i="1"/>
  <c r="J1677" i="1"/>
  <c r="I1677" i="1"/>
  <c r="H1677" i="1"/>
  <c r="G1677" i="1"/>
  <c r="F1677" i="1"/>
  <c r="E1677" i="1"/>
  <c r="D1677" i="1"/>
  <c r="C1677" i="1"/>
  <c r="B1677" i="1"/>
  <c r="A1677" i="1"/>
  <c r="R1676" i="1"/>
  <c r="N1676" i="1"/>
  <c r="J1676" i="1"/>
  <c r="I1676" i="1"/>
  <c r="H1676" i="1"/>
  <c r="G1676" i="1"/>
  <c r="F1676" i="1"/>
  <c r="E1676" i="1"/>
  <c r="D1676" i="1"/>
  <c r="C1676" i="1"/>
  <c r="B1676" i="1"/>
  <c r="A1676" i="1"/>
  <c r="R1675" i="1"/>
  <c r="Q1675" i="1"/>
  <c r="N1675" i="1"/>
  <c r="J1675" i="1"/>
  <c r="I1675" i="1"/>
  <c r="H1675" i="1"/>
  <c r="G1675" i="1"/>
  <c r="F1675" i="1"/>
  <c r="E1675" i="1"/>
  <c r="D1675" i="1"/>
  <c r="C1675" i="1"/>
  <c r="B1675" i="1"/>
  <c r="A1675" i="1"/>
  <c r="R1674" i="1"/>
  <c r="N1674" i="1"/>
  <c r="J1674" i="1"/>
  <c r="I1674" i="1"/>
  <c r="H1674" i="1"/>
  <c r="G1674" i="1"/>
  <c r="F1674" i="1"/>
  <c r="E1674" i="1"/>
  <c r="D1674" i="1"/>
  <c r="C1674" i="1"/>
  <c r="B1674" i="1"/>
  <c r="A1674" i="1"/>
  <c r="R1673" i="1"/>
  <c r="Q1673" i="1"/>
  <c r="N1673" i="1"/>
  <c r="J1673" i="1"/>
  <c r="I1673" i="1"/>
  <c r="H1673" i="1"/>
  <c r="G1673" i="1"/>
  <c r="F1673" i="1"/>
  <c r="E1673" i="1"/>
  <c r="D1673" i="1"/>
  <c r="C1673" i="1"/>
  <c r="B1673" i="1"/>
  <c r="A1673" i="1"/>
  <c r="R1672" i="1"/>
  <c r="N1672" i="1"/>
  <c r="J1672" i="1"/>
  <c r="I1672" i="1"/>
  <c r="H1672" i="1"/>
  <c r="G1672" i="1"/>
  <c r="F1672" i="1"/>
  <c r="E1672" i="1"/>
  <c r="D1672" i="1"/>
  <c r="C1672" i="1"/>
  <c r="B1672" i="1"/>
  <c r="A1672" i="1"/>
  <c r="R1671" i="1"/>
  <c r="Q1671" i="1"/>
  <c r="N1671" i="1"/>
  <c r="J1671" i="1"/>
  <c r="I1671" i="1"/>
  <c r="H1671" i="1"/>
  <c r="G1671" i="1"/>
  <c r="F1671" i="1"/>
  <c r="E1671" i="1"/>
  <c r="D1671" i="1"/>
  <c r="C1671" i="1"/>
  <c r="B1671" i="1"/>
  <c r="A1671" i="1"/>
  <c r="R1670" i="1"/>
  <c r="N1670" i="1"/>
  <c r="J1670" i="1"/>
  <c r="I1670" i="1"/>
  <c r="H1670" i="1"/>
  <c r="G1670" i="1"/>
  <c r="F1670" i="1"/>
  <c r="E1670" i="1"/>
  <c r="D1670" i="1"/>
  <c r="C1670" i="1"/>
  <c r="B1670" i="1"/>
  <c r="A1670" i="1"/>
  <c r="R1669" i="1"/>
  <c r="Q1669" i="1"/>
  <c r="N1669" i="1"/>
  <c r="J1669" i="1"/>
  <c r="I1669" i="1"/>
  <c r="H1669" i="1"/>
  <c r="G1669" i="1"/>
  <c r="F1669" i="1"/>
  <c r="E1669" i="1"/>
  <c r="D1669" i="1"/>
  <c r="C1669" i="1"/>
  <c r="A1669" i="1"/>
  <c r="R1668" i="1"/>
  <c r="N1668" i="1"/>
  <c r="J1668" i="1"/>
  <c r="I1668" i="1"/>
  <c r="H1668" i="1"/>
  <c r="G1668" i="1"/>
  <c r="F1668" i="1"/>
  <c r="E1668" i="1"/>
  <c r="D1668" i="1"/>
  <c r="C1668" i="1"/>
  <c r="A1668" i="1"/>
  <c r="R1667" i="1"/>
  <c r="Q1667" i="1"/>
  <c r="N1667" i="1"/>
  <c r="J1667" i="1"/>
  <c r="I1667" i="1"/>
  <c r="H1667" i="1"/>
  <c r="G1667" i="1"/>
  <c r="F1667" i="1"/>
  <c r="E1667" i="1"/>
  <c r="D1667" i="1"/>
  <c r="C1667" i="1"/>
  <c r="A1667" i="1"/>
  <c r="R1666" i="1"/>
  <c r="N1666" i="1"/>
  <c r="J1666" i="1"/>
  <c r="I1666" i="1"/>
  <c r="H1666" i="1"/>
  <c r="G1666" i="1"/>
  <c r="F1666" i="1"/>
  <c r="E1666" i="1"/>
  <c r="D1666" i="1"/>
  <c r="C1666" i="1"/>
  <c r="B1666" i="1"/>
  <c r="A1666" i="1"/>
  <c r="R1665" i="1"/>
  <c r="N1665" i="1"/>
  <c r="J1665" i="1"/>
  <c r="I1665" i="1"/>
  <c r="H1665" i="1"/>
  <c r="G1665" i="1"/>
  <c r="F1665" i="1"/>
  <c r="E1665" i="1"/>
  <c r="D1665" i="1"/>
  <c r="C1665" i="1"/>
  <c r="B1665" i="1"/>
  <c r="A1665" i="1"/>
  <c r="R1664" i="1"/>
  <c r="N1664" i="1"/>
  <c r="J1664" i="1"/>
  <c r="I1664" i="1"/>
  <c r="H1664" i="1"/>
  <c r="G1664" i="1"/>
  <c r="F1664" i="1"/>
  <c r="E1664" i="1"/>
  <c r="D1664" i="1"/>
  <c r="C1664" i="1"/>
  <c r="B1664" i="1"/>
  <c r="A1664" i="1"/>
  <c r="R1663" i="1"/>
  <c r="N1663" i="1"/>
  <c r="J1663" i="1"/>
  <c r="I1663" i="1"/>
  <c r="H1663" i="1"/>
  <c r="G1663" i="1"/>
  <c r="F1663" i="1"/>
  <c r="E1663" i="1"/>
  <c r="D1663" i="1"/>
  <c r="C1663" i="1"/>
  <c r="B1663" i="1"/>
  <c r="A1663" i="1"/>
  <c r="R1662" i="1"/>
  <c r="N1662" i="1"/>
  <c r="J1662" i="1"/>
  <c r="I1662" i="1"/>
  <c r="H1662" i="1"/>
  <c r="G1662" i="1"/>
  <c r="F1662" i="1"/>
  <c r="E1662" i="1"/>
  <c r="D1662" i="1"/>
  <c r="C1662" i="1"/>
  <c r="B1662" i="1"/>
  <c r="A1662" i="1"/>
  <c r="R1661" i="1"/>
  <c r="N1661" i="1"/>
  <c r="J1661" i="1"/>
  <c r="I1661" i="1"/>
  <c r="H1661" i="1"/>
  <c r="G1661" i="1"/>
  <c r="F1661" i="1"/>
  <c r="E1661" i="1"/>
  <c r="D1661" i="1"/>
  <c r="C1661" i="1"/>
  <c r="B1661" i="1"/>
  <c r="A1661" i="1"/>
  <c r="R1660" i="1"/>
  <c r="N1660" i="1"/>
  <c r="J1660" i="1"/>
  <c r="I1660" i="1"/>
  <c r="H1660" i="1"/>
  <c r="G1660" i="1"/>
  <c r="F1660" i="1"/>
  <c r="E1660" i="1"/>
  <c r="D1660" i="1"/>
  <c r="C1660" i="1"/>
  <c r="B1660" i="1"/>
  <c r="A1660" i="1"/>
  <c r="R1659" i="1"/>
  <c r="Q1659" i="1"/>
  <c r="N1659" i="1"/>
  <c r="J1659" i="1"/>
  <c r="I1659" i="1"/>
  <c r="H1659" i="1"/>
  <c r="G1659" i="1"/>
  <c r="F1659" i="1"/>
  <c r="E1659" i="1"/>
  <c r="D1659" i="1"/>
  <c r="C1659" i="1"/>
  <c r="B1659" i="1"/>
  <c r="A1659" i="1"/>
  <c r="R1658" i="1"/>
  <c r="N1658" i="1"/>
  <c r="J1658" i="1"/>
  <c r="I1658" i="1"/>
  <c r="H1658" i="1"/>
  <c r="G1658" i="1"/>
  <c r="F1658" i="1"/>
  <c r="E1658" i="1"/>
  <c r="D1658" i="1"/>
  <c r="C1658" i="1"/>
  <c r="B1658" i="1"/>
  <c r="A1658" i="1"/>
  <c r="R1657" i="1"/>
  <c r="Q1657" i="1"/>
  <c r="N1657" i="1"/>
  <c r="J1657" i="1"/>
  <c r="I1657" i="1"/>
  <c r="H1657" i="1"/>
  <c r="G1657" i="1"/>
  <c r="F1657" i="1"/>
  <c r="E1657" i="1"/>
  <c r="D1657" i="1"/>
  <c r="C1657" i="1"/>
  <c r="A1657" i="1"/>
  <c r="R1656" i="1"/>
  <c r="N1656" i="1"/>
  <c r="J1656" i="1"/>
  <c r="I1656" i="1"/>
  <c r="H1656" i="1"/>
  <c r="G1656" i="1"/>
  <c r="F1656" i="1"/>
  <c r="E1656" i="1"/>
  <c r="D1656" i="1"/>
  <c r="C1656" i="1"/>
  <c r="A1656" i="1"/>
  <c r="R1655" i="1"/>
  <c r="Q1655" i="1"/>
  <c r="N1655" i="1"/>
  <c r="J1655" i="1"/>
  <c r="I1655" i="1"/>
  <c r="H1655" i="1"/>
  <c r="G1655" i="1"/>
  <c r="F1655" i="1"/>
  <c r="E1655" i="1"/>
  <c r="D1655" i="1"/>
  <c r="C1655" i="1"/>
  <c r="A1655" i="1"/>
  <c r="R1654" i="1"/>
  <c r="N1654" i="1"/>
  <c r="J1654" i="1"/>
  <c r="I1654" i="1"/>
  <c r="H1654" i="1"/>
  <c r="G1654" i="1"/>
  <c r="F1654" i="1"/>
  <c r="E1654" i="1"/>
  <c r="D1654" i="1"/>
  <c r="C1654" i="1"/>
  <c r="A1654" i="1"/>
  <c r="R1653" i="1"/>
  <c r="Q1653" i="1"/>
  <c r="N1653" i="1"/>
  <c r="J1653" i="1"/>
  <c r="I1653" i="1"/>
  <c r="H1653" i="1"/>
  <c r="G1653" i="1"/>
  <c r="F1653" i="1"/>
  <c r="E1653" i="1"/>
  <c r="D1653" i="1"/>
  <c r="C1653" i="1"/>
  <c r="A1653" i="1"/>
  <c r="R1652" i="1"/>
  <c r="N1652" i="1"/>
  <c r="J1652" i="1"/>
  <c r="I1652" i="1"/>
  <c r="H1652" i="1"/>
  <c r="G1652" i="1"/>
  <c r="F1652" i="1"/>
  <c r="E1652" i="1"/>
  <c r="D1652" i="1"/>
  <c r="C1652" i="1"/>
  <c r="A1652" i="1"/>
  <c r="R1651" i="1"/>
  <c r="Q1651" i="1"/>
  <c r="N1651" i="1"/>
  <c r="J1651" i="1"/>
  <c r="I1651" i="1"/>
  <c r="H1651" i="1"/>
  <c r="G1651" i="1"/>
  <c r="F1651" i="1"/>
  <c r="E1651" i="1"/>
  <c r="D1651" i="1"/>
  <c r="C1651" i="1"/>
  <c r="A1651" i="1"/>
  <c r="R1650" i="1"/>
  <c r="N1650" i="1"/>
  <c r="J1650" i="1"/>
  <c r="I1650" i="1"/>
  <c r="H1650" i="1"/>
  <c r="G1650" i="1"/>
  <c r="F1650" i="1"/>
  <c r="E1650" i="1"/>
  <c r="D1650" i="1"/>
  <c r="C1650" i="1"/>
  <c r="A1650" i="1"/>
  <c r="R1649" i="1"/>
  <c r="Q1649" i="1"/>
  <c r="N1649" i="1"/>
  <c r="J1649" i="1"/>
  <c r="I1649" i="1"/>
  <c r="H1649" i="1"/>
  <c r="G1649" i="1"/>
  <c r="F1649" i="1"/>
  <c r="E1649" i="1"/>
  <c r="D1649" i="1"/>
  <c r="C1649" i="1"/>
  <c r="A1649" i="1"/>
  <c r="R1648" i="1"/>
  <c r="N1648" i="1"/>
  <c r="J1648" i="1"/>
  <c r="I1648" i="1"/>
  <c r="H1648" i="1"/>
  <c r="G1648" i="1"/>
  <c r="F1648" i="1"/>
  <c r="E1648" i="1"/>
  <c r="D1648" i="1"/>
  <c r="C1648" i="1"/>
  <c r="B1648" i="1"/>
  <c r="A1648" i="1"/>
  <c r="R1647" i="1"/>
  <c r="N1647" i="1"/>
  <c r="J1647" i="1"/>
  <c r="I1647" i="1"/>
  <c r="H1647" i="1"/>
  <c r="G1647" i="1"/>
  <c r="F1647" i="1"/>
  <c r="E1647" i="1"/>
  <c r="D1647" i="1"/>
  <c r="C1647" i="1"/>
  <c r="B1647" i="1"/>
  <c r="A1647" i="1"/>
  <c r="R1646" i="1"/>
  <c r="N1646" i="1"/>
  <c r="J1646" i="1"/>
  <c r="I1646" i="1"/>
  <c r="H1646" i="1"/>
  <c r="G1646" i="1"/>
  <c r="F1646" i="1"/>
  <c r="E1646" i="1"/>
  <c r="D1646" i="1"/>
  <c r="C1646" i="1"/>
  <c r="B1646" i="1"/>
  <c r="A1646" i="1"/>
  <c r="R1645" i="1"/>
  <c r="N1645" i="1"/>
  <c r="J1645" i="1"/>
  <c r="I1645" i="1"/>
  <c r="H1645" i="1"/>
  <c r="G1645" i="1"/>
  <c r="F1645" i="1"/>
  <c r="E1645" i="1"/>
  <c r="D1645" i="1"/>
  <c r="C1645" i="1"/>
  <c r="B1645" i="1"/>
  <c r="A1645" i="1"/>
  <c r="R1644" i="1"/>
  <c r="Q1644" i="1"/>
  <c r="N1644" i="1"/>
  <c r="J1644" i="1"/>
  <c r="I1644" i="1"/>
  <c r="H1644" i="1"/>
  <c r="G1644" i="1"/>
  <c r="F1644" i="1"/>
  <c r="E1644" i="1"/>
  <c r="D1644" i="1"/>
  <c r="C1644" i="1"/>
  <c r="A1644" i="1"/>
  <c r="R1643" i="1"/>
  <c r="N1643" i="1"/>
  <c r="J1643" i="1"/>
  <c r="I1643" i="1"/>
  <c r="H1643" i="1"/>
  <c r="G1643" i="1"/>
  <c r="F1643" i="1"/>
  <c r="E1643" i="1"/>
  <c r="D1643" i="1"/>
  <c r="C1643" i="1"/>
  <c r="A1643" i="1"/>
  <c r="R1642" i="1"/>
  <c r="Q1642" i="1"/>
  <c r="N1642" i="1"/>
  <c r="J1642" i="1"/>
  <c r="I1642" i="1"/>
  <c r="H1642" i="1"/>
  <c r="G1642" i="1"/>
  <c r="F1642" i="1"/>
  <c r="E1642" i="1"/>
  <c r="D1642" i="1"/>
  <c r="C1642" i="1"/>
  <c r="A1642" i="1"/>
  <c r="R1641" i="1"/>
  <c r="N1641" i="1"/>
  <c r="J1641" i="1"/>
  <c r="I1641" i="1"/>
  <c r="H1641" i="1"/>
  <c r="G1641" i="1"/>
  <c r="F1641" i="1"/>
  <c r="E1641" i="1"/>
  <c r="D1641" i="1"/>
  <c r="C1641" i="1"/>
  <c r="A1641" i="1"/>
  <c r="R1640" i="1"/>
  <c r="Q1640" i="1"/>
  <c r="N1640" i="1"/>
  <c r="J1640" i="1"/>
  <c r="I1640" i="1"/>
  <c r="H1640" i="1"/>
  <c r="G1640" i="1"/>
  <c r="F1640" i="1"/>
  <c r="E1640" i="1"/>
  <c r="D1640" i="1"/>
  <c r="C1640" i="1"/>
  <c r="A1640" i="1"/>
  <c r="R1639" i="1"/>
  <c r="Q1639" i="1"/>
  <c r="N1639" i="1"/>
  <c r="J1639" i="1"/>
  <c r="I1639" i="1"/>
  <c r="H1639" i="1"/>
  <c r="G1639" i="1"/>
  <c r="F1639" i="1"/>
  <c r="E1639" i="1"/>
  <c r="D1639" i="1"/>
  <c r="C1639" i="1"/>
  <c r="A1639" i="1"/>
  <c r="R1638" i="1"/>
  <c r="Q1638" i="1"/>
  <c r="N1638" i="1"/>
  <c r="J1638" i="1"/>
  <c r="I1638" i="1"/>
  <c r="H1638" i="1"/>
  <c r="G1638" i="1"/>
  <c r="F1638" i="1"/>
  <c r="E1638" i="1"/>
  <c r="D1638" i="1"/>
  <c r="C1638" i="1"/>
  <c r="A1638" i="1"/>
  <c r="R1637" i="1"/>
  <c r="N1637" i="1"/>
  <c r="J1637" i="1"/>
  <c r="I1637" i="1"/>
  <c r="H1637" i="1"/>
  <c r="G1637" i="1"/>
  <c r="F1637" i="1"/>
  <c r="E1637" i="1"/>
  <c r="D1637" i="1"/>
  <c r="C1637" i="1"/>
  <c r="A1637" i="1"/>
  <c r="R1636" i="1"/>
  <c r="Q1636" i="1"/>
  <c r="N1636" i="1"/>
  <c r="J1636" i="1"/>
  <c r="I1636" i="1"/>
  <c r="H1636" i="1"/>
  <c r="G1636" i="1"/>
  <c r="F1636" i="1"/>
  <c r="E1636" i="1"/>
  <c r="D1636" i="1"/>
  <c r="C1636" i="1"/>
  <c r="A1636" i="1"/>
  <c r="R1635" i="1"/>
  <c r="Q1635" i="1"/>
  <c r="N1635" i="1"/>
  <c r="J1635" i="1"/>
  <c r="I1635" i="1"/>
  <c r="H1635" i="1"/>
  <c r="G1635" i="1"/>
  <c r="F1635" i="1"/>
  <c r="E1635" i="1"/>
  <c r="D1635" i="1"/>
  <c r="C1635" i="1"/>
  <c r="A1635" i="1"/>
  <c r="R1634" i="1"/>
  <c r="Q1634" i="1"/>
  <c r="N1634" i="1"/>
  <c r="J1634" i="1"/>
  <c r="I1634" i="1"/>
  <c r="H1634" i="1"/>
  <c r="G1634" i="1"/>
  <c r="F1634" i="1"/>
  <c r="E1634" i="1"/>
  <c r="D1634" i="1"/>
  <c r="C1634" i="1"/>
  <c r="A1634" i="1"/>
  <c r="R1633" i="1"/>
  <c r="Q1633" i="1"/>
  <c r="N1633" i="1"/>
  <c r="J1633" i="1"/>
  <c r="I1633" i="1"/>
  <c r="H1633" i="1"/>
  <c r="G1633" i="1"/>
  <c r="F1633" i="1"/>
  <c r="E1633" i="1"/>
  <c r="D1633" i="1"/>
  <c r="C1633" i="1"/>
  <c r="A1633" i="1"/>
  <c r="R1632" i="1"/>
  <c r="Q1632" i="1"/>
  <c r="N1632" i="1"/>
  <c r="J1632" i="1"/>
  <c r="I1632" i="1"/>
  <c r="H1632" i="1"/>
  <c r="G1632" i="1"/>
  <c r="F1632" i="1"/>
  <c r="E1632" i="1"/>
  <c r="D1632" i="1"/>
  <c r="C1632" i="1"/>
  <c r="A1632" i="1"/>
  <c r="R1631" i="1"/>
  <c r="N1631" i="1"/>
  <c r="J1631" i="1"/>
  <c r="I1631" i="1"/>
  <c r="H1631" i="1"/>
  <c r="G1631" i="1"/>
  <c r="F1631" i="1"/>
  <c r="E1631" i="1"/>
  <c r="D1631" i="1"/>
  <c r="C1631" i="1"/>
  <c r="A1631" i="1"/>
  <c r="R1630" i="1"/>
  <c r="Q1630" i="1"/>
  <c r="N1630" i="1"/>
  <c r="J1630" i="1"/>
  <c r="I1630" i="1"/>
  <c r="H1630" i="1"/>
  <c r="G1630" i="1"/>
  <c r="F1630" i="1"/>
  <c r="E1630" i="1"/>
  <c r="D1630" i="1"/>
  <c r="C1630" i="1"/>
  <c r="A1630" i="1"/>
  <c r="R1629" i="1"/>
  <c r="Q1629" i="1"/>
  <c r="N1629" i="1"/>
  <c r="J1629" i="1"/>
  <c r="I1629" i="1"/>
  <c r="H1629" i="1"/>
  <c r="G1629" i="1"/>
  <c r="F1629" i="1"/>
  <c r="E1629" i="1"/>
  <c r="D1629" i="1"/>
  <c r="C1629" i="1"/>
  <c r="A1629" i="1"/>
  <c r="R1628" i="1"/>
  <c r="Q1628" i="1"/>
  <c r="N1628" i="1"/>
  <c r="J1628" i="1"/>
  <c r="I1628" i="1"/>
  <c r="H1628" i="1"/>
  <c r="G1628" i="1"/>
  <c r="F1628" i="1"/>
  <c r="E1628" i="1"/>
  <c r="D1628" i="1"/>
  <c r="C1628" i="1"/>
  <c r="A1628" i="1"/>
  <c r="R1627" i="1"/>
  <c r="Q1627" i="1"/>
  <c r="N1627" i="1"/>
  <c r="J1627" i="1"/>
  <c r="I1627" i="1"/>
  <c r="H1627" i="1"/>
  <c r="G1627" i="1"/>
  <c r="F1627" i="1"/>
  <c r="E1627" i="1"/>
  <c r="D1627" i="1"/>
  <c r="C1627" i="1"/>
  <c r="A1627" i="1"/>
  <c r="R1626" i="1"/>
  <c r="Q1626" i="1"/>
  <c r="N1626" i="1"/>
  <c r="J1626" i="1"/>
  <c r="I1626" i="1"/>
  <c r="H1626" i="1"/>
  <c r="G1626" i="1"/>
  <c r="F1626" i="1"/>
  <c r="E1626" i="1"/>
  <c r="D1626" i="1"/>
  <c r="C1626" i="1"/>
  <c r="A1626" i="1"/>
  <c r="R1625" i="1"/>
  <c r="Q1625" i="1"/>
  <c r="N1625" i="1"/>
  <c r="J1625" i="1"/>
  <c r="I1625" i="1"/>
  <c r="H1625" i="1"/>
  <c r="G1625" i="1"/>
  <c r="F1625" i="1"/>
  <c r="E1625" i="1"/>
  <c r="D1625" i="1"/>
  <c r="C1625" i="1"/>
  <c r="A1625" i="1"/>
  <c r="R1624" i="1"/>
  <c r="Q1624" i="1"/>
  <c r="N1624" i="1"/>
  <c r="J1624" i="1"/>
  <c r="I1624" i="1"/>
  <c r="H1624" i="1"/>
  <c r="G1624" i="1"/>
  <c r="F1624" i="1"/>
  <c r="E1624" i="1"/>
  <c r="D1624" i="1"/>
  <c r="C1624" i="1"/>
  <c r="A1624" i="1"/>
  <c r="R1623" i="1"/>
  <c r="Q1623" i="1"/>
  <c r="N1623" i="1"/>
  <c r="J1623" i="1"/>
  <c r="I1623" i="1"/>
  <c r="H1623" i="1"/>
  <c r="G1623" i="1"/>
  <c r="F1623" i="1"/>
  <c r="E1623" i="1"/>
  <c r="D1623" i="1"/>
  <c r="C1623" i="1"/>
  <c r="A1623" i="1"/>
  <c r="R1622" i="1"/>
  <c r="Q1622" i="1"/>
  <c r="N1622" i="1"/>
  <c r="J1622" i="1"/>
  <c r="I1622" i="1"/>
  <c r="H1622" i="1"/>
  <c r="G1622" i="1"/>
  <c r="F1622" i="1"/>
  <c r="E1622" i="1"/>
  <c r="D1622" i="1"/>
  <c r="C1622" i="1"/>
  <c r="A1622" i="1"/>
  <c r="R1621" i="1"/>
  <c r="Q1621" i="1"/>
  <c r="N1621" i="1"/>
  <c r="J1621" i="1"/>
  <c r="I1621" i="1"/>
  <c r="H1621" i="1"/>
  <c r="G1621" i="1"/>
  <c r="F1621" i="1"/>
  <c r="E1621" i="1"/>
  <c r="D1621" i="1"/>
  <c r="C1621" i="1"/>
  <c r="A1621" i="1"/>
  <c r="R1620" i="1"/>
  <c r="Q1620" i="1"/>
  <c r="N1620" i="1"/>
  <c r="J1620" i="1"/>
  <c r="I1620" i="1"/>
  <c r="H1620" i="1"/>
  <c r="G1620" i="1"/>
  <c r="F1620" i="1"/>
  <c r="E1620" i="1"/>
  <c r="D1620" i="1"/>
  <c r="C1620" i="1"/>
  <c r="A1620" i="1"/>
  <c r="R1619" i="1"/>
  <c r="N1619" i="1"/>
  <c r="J1619" i="1"/>
  <c r="I1619" i="1"/>
  <c r="H1619" i="1"/>
  <c r="G1619" i="1"/>
  <c r="F1619" i="1"/>
  <c r="E1619" i="1"/>
  <c r="D1619" i="1"/>
  <c r="C1619" i="1"/>
  <c r="A1619" i="1"/>
  <c r="R1618" i="1"/>
  <c r="Q1618" i="1"/>
  <c r="N1618" i="1"/>
  <c r="J1618" i="1"/>
  <c r="I1618" i="1"/>
  <c r="H1618" i="1"/>
  <c r="G1618" i="1"/>
  <c r="F1618" i="1"/>
  <c r="E1618" i="1"/>
  <c r="D1618" i="1"/>
  <c r="C1618" i="1"/>
  <c r="A1618" i="1"/>
  <c r="R1617" i="1"/>
  <c r="Q1617" i="1"/>
  <c r="N1617" i="1"/>
  <c r="J1617" i="1"/>
  <c r="I1617" i="1"/>
  <c r="H1617" i="1"/>
  <c r="G1617" i="1"/>
  <c r="F1617" i="1"/>
  <c r="E1617" i="1"/>
  <c r="D1617" i="1"/>
  <c r="C1617" i="1"/>
  <c r="A1617" i="1"/>
  <c r="R1616" i="1"/>
  <c r="Q1616" i="1"/>
  <c r="N1616" i="1"/>
  <c r="J1616" i="1"/>
  <c r="I1616" i="1"/>
  <c r="H1616" i="1"/>
  <c r="G1616" i="1"/>
  <c r="F1616" i="1"/>
  <c r="E1616" i="1"/>
  <c r="D1616" i="1"/>
  <c r="C1616" i="1"/>
  <c r="A1616" i="1"/>
  <c r="R1615" i="1"/>
  <c r="Q1615" i="1"/>
  <c r="N1615" i="1"/>
  <c r="J1615" i="1"/>
  <c r="I1615" i="1"/>
  <c r="H1615" i="1"/>
  <c r="G1615" i="1"/>
  <c r="F1615" i="1"/>
  <c r="E1615" i="1"/>
  <c r="D1615" i="1"/>
  <c r="C1615" i="1"/>
  <c r="A1615" i="1"/>
  <c r="R1614" i="1"/>
  <c r="Q1614" i="1"/>
  <c r="N1614" i="1"/>
  <c r="J1614" i="1"/>
  <c r="I1614" i="1"/>
  <c r="H1614" i="1"/>
  <c r="G1614" i="1"/>
  <c r="F1614" i="1"/>
  <c r="E1614" i="1"/>
  <c r="D1614" i="1"/>
  <c r="C1614" i="1"/>
  <c r="A1614" i="1"/>
  <c r="R1613" i="1"/>
  <c r="Q1613" i="1"/>
  <c r="N1613" i="1"/>
  <c r="J1613" i="1"/>
  <c r="I1613" i="1"/>
  <c r="H1613" i="1"/>
  <c r="G1613" i="1"/>
  <c r="F1613" i="1"/>
  <c r="E1613" i="1"/>
  <c r="D1613" i="1"/>
  <c r="C1613" i="1"/>
  <c r="A1613" i="1"/>
  <c r="R1612" i="1"/>
  <c r="Q1612" i="1"/>
  <c r="N1612" i="1"/>
  <c r="J1612" i="1"/>
  <c r="I1612" i="1"/>
  <c r="H1612" i="1"/>
  <c r="G1612" i="1"/>
  <c r="F1612" i="1"/>
  <c r="E1612" i="1"/>
  <c r="D1612" i="1"/>
  <c r="C1612" i="1"/>
  <c r="A1612" i="1"/>
  <c r="R1611" i="1"/>
  <c r="Q1611" i="1"/>
  <c r="N1611" i="1"/>
  <c r="J1611" i="1"/>
  <c r="I1611" i="1"/>
  <c r="H1611" i="1"/>
  <c r="G1611" i="1"/>
  <c r="F1611" i="1"/>
  <c r="E1611" i="1"/>
  <c r="D1611" i="1"/>
  <c r="C1611" i="1"/>
  <c r="A1611" i="1"/>
  <c r="R1610" i="1"/>
  <c r="Q1610" i="1"/>
  <c r="N1610" i="1"/>
  <c r="J1610" i="1"/>
  <c r="I1610" i="1"/>
  <c r="H1610" i="1"/>
  <c r="G1610" i="1"/>
  <c r="F1610" i="1"/>
  <c r="E1610" i="1"/>
  <c r="D1610" i="1"/>
  <c r="C1610" i="1"/>
  <c r="A1610" i="1"/>
  <c r="R1609" i="1"/>
  <c r="Q1609" i="1"/>
  <c r="N1609" i="1"/>
  <c r="J1609" i="1"/>
  <c r="I1609" i="1"/>
  <c r="H1609" i="1"/>
  <c r="G1609" i="1"/>
  <c r="F1609" i="1"/>
  <c r="E1609" i="1"/>
  <c r="D1609" i="1"/>
  <c r="C1609" i="1"/>
  <c r="A1609" i="1"/>
  <c r="R1608" i="1"/>
  <c r="Q1608" i="1"/>
  <c r="N1608" i="1"/>
  <c r="J1608" i="1"/>
  <c r="I1608" i="1"/>
  <c r="H1608" i="1"/>
  <c r="G1608" i="1"/>
  <c r="F1608" i="1"/>
  <c r="E1608" i="1"/>
  <c r="D1608" i="1"/>
  <c r="C1608" i="1"/>
  <c r="A1608" i="1"/>
  <c r="R1607" i="1"/>
  <c r="Q1607" i="1"/>
  <c r="N1607" i="1"/>
  <c r="J1607" i="1"/>
  <c r="I1607" i="1"/>
  <c r="H1607" i="1"/>
  <c r="G1607" i="1"/>
  <c r="F1607" i="1"/>
  <c r="E1607" i="1"/>
  <c r="D1607" i="1"/>
  <c r="C1607" i="1"/>
  <c r="A1607" i="1"/>
  <c r="R1606" i="1"/>
  <c r="Q1606" i="1"/>
  <c r="N1606" i="1"/>
  <c r="J1606" i="1"/>
  <c r="I1606" i="1"/>
  <c r="H1606" i="1"/>
  <c r="G1606" i="1"/>
  <c r="F1606" i="1"/>
  <c r="E1606" i="1"/>
  <c r="D1606" i="1"/>
  <c r="C1606" i="1"/>
  <c r="A1606" i="1"/>
  <c r="R1605" i="1"/>
  <c r="Q1605" i="1"/>
  <c r="N1605" i="1"/>
  <c r="J1605" i="1"/>
  <c r="I1605" i="1"/>
  <c r="H1605" i="1"/>
  <c r="G1605" i="1"/>
  <c r="F1605" i="1"/>
  <c r="E1605" i="1"/>
  <c r="D1605" i="1"/>
  <c r="C1605" i="1"/>
  <c r="A1605" i="1"/>
  <c r="R1604" i="1"/>
  <c r="Q1604" i="1"/>
  <c r="N1604" i="1"/>
  <c r="J1604" i="1"/>
  <c r="I1604" i="1"/>
  <c r="H1604" i="1"/>
  <c r="G1604" i="1"/>
  <c r="F1604" i="1"/>
  <c r="E1604" i="1"/>
  <c r="D1604" i="1"/>
  <c r="C1604" i="1"/>
  <c r="A1604" i="1"/>
  <c r="R1603" i="1"/>
  <c r="Q1603" i="1"/>
  <c r="N1603" i="1"/>
  <c r="J1603" i="1"/>
  <c r="I1603" i="1"/>
  <c r="H1603" i="1"/>
  <c r="G1603" i="1"/>
  <c r="F1603" i="1"/>
  <c r="E1603" i="1"/>
  <c r="D1603" i="1"/>
  <c r="C1603" i="1"/>
  <c r="A1603" i="1"/>
  <c r="R1602" i="1"/>
  <c r="Q1602" i="1"/>
  <c r="N1602" i="1"/>
  <c r="J1602" i="1"/>
  <c r="I1602" i="1"/>
  <c r="H1602" i="1"/>
  <c r="G1602" i="1"/>
  <c r="F1602" i="1"/>
  <c r="E1602" i="1"/>
  <c r="D1602" i="1"/>
  <c r="C1602" i="1"/>
  <c r="A1602" i="1"/>
  <c r="R1601" i="1"/>
  <c r="Q1601" i="1"/>
  <c r="N1601" i="1"/>
  <c r="J1601" i="1"/>
  <c r="I1601" i="1"/>
  <c r="H1601" i="1"/>
  <c r="G1601" i="1"/>
  <c r="F1601" i="1"/>
  <c r="E1601" i="1"/>
  <c r="D1601" i="1"/>
  <c r="C1601" i="1"/>
  <c r="A1601" i="1"/>
  <c r="R1600" i="1"/>
  <c r="Q1600" i="1"/>
  <c r="N1600" i="1"/>
  <c r="J1600" i="1"/>
  <c r="I1600" i="1"/>
  <c r="H1600" i="1"/>
  <c r="G1600" i="1"/>
  <c r="F1600" i="1"/>
  <c r="E1600" i="1"/>
  <c r="D1600" i="1"/>
  <c r="C1600" i="1"/>
  <c r="A1600" i="1"/>
  <c r="R1599" i="1"/>
  <c r="Q1599" i="1"/>
  <c r="N1599" i="1"/>
  <c r="J1599" i="1"/>
  <c r="I1599" i="1"/>
  <c r="H1599" i="1"/>
  <c r="G1599" i="1"/>
  <c r="F1599" i="1"/>
  <c r="E1599" i="1"/>
  <c r="D1599" i="1"/>
  <c r="C1599" i="1"/>
  <c r="A1599" i="1"/>
  <c r="R1598" i="1"/>
  <c r="Q1598" i="1"/>
  <c r="N1598" i="1"/>
  <c r="J1598" i="1"/>
  <c r="I1598" i="1"/>
  <c r="H1598" i="1"/>
  <c r="G1598" i="1"/>
  <c r="F1598" i="1"/>
  <c r="E1598" i="1"/>
  <c r="D1598" i="1"/>
  <c r="C1598" i="1"/>
  <c r="A1598" i="1"/>
  <c r="R1597" i="1"/>
  <c r="Q1597" i="1"/>
  <c r="N1597" i="1"/>
  <c r="J1597" i="1"/>
  <c r="I1597" i="1"/>
  <c r="H1597" i="1"/>
  <c r="G1597" i="1"/>
  <c r="F1597" i="1"/>
  <c r="E1597" i="1"/>
  <c r="D1597" i="1"/>
  <c r="C1597" i="1"/>
  <c r="A1597" i="1"/>
  <c r="R1596" i="1"/>
  <c r="Q1596" i="1"/>
  <c r="N1596" i="1"/>
  <c r="J1596" i="1"/>
  <c r="I1596" i="1"/>
  <c r="H1596" i="1"/>
  <c r="G1596" i="1"/>
  <c r="F1596" i="1"/>
  <c r="E1596" i="1"/>
  <c r="D1596" i="1"/>
  <c r="C1596" i="1"/>
  <c r="A1596" i="1"/>
  <c r="R1595" i="1"/>
  <c r="Q1595" i="1"/>
  <c r="N1595" i="1"/>
  <c r="J1595" i="1"/>
  <c r="I1595" i="1"/>
  <c r="H1595" i="1"/>
  <c r="G1595" i="1"/>
  <c r="F1595" i="1"/>
  <c r="E1595" i="1"/>
  <c r="D1595" i="1"/>
  <c r="C1595" i="1"/>
  <c r="A1595" i="1"/>
  <c r="R1594" i="1"/>
  <c r="Q1594" i="1"/>
  <c r="N1594" i="1"/>
  <c r="J1594" i="1"/>
  <c r="I1594" i="1"/>
  <c r="H1594" i="1"/>
  <c r="G1594" i="1"/>
  <c r="F1594" i="1"/>
  <c r="E1594" i="1"/>
  <c r="D1594" i="1"/>
  <c r="C1594" i="1"/>
  <c r="A1594" i="1"/>
  <c r="R1593" i="1"/>
  <c r="Q1593" i="1"/>
  <c r="N1593" i="1"/>
  <c r="J1593" i="1"/>
  <c r="I1593" i="1"/>
  <c r="H1593" i="1"/>
  <c r="G1593" i="1"/>
  <c r="F1593" i="1"/>
  <c r="E1593" i="1"/>
  <c r="D1593" i="1"/>
  <c r="C1593" i="1"/>
  <c r="A1593" i="1"/>
  <c r="R1592" i="1"/>
  <c r="Q1592" i="1"/>
  <c r="N1592" i="1"/>
  <c r="J1592" i="1"/>
  <c r="I1592" i="1"/>
  <c r="H1592" i="1"/>
  <c r="G1592" i="1"/>
  <c r="F1592" i="1"/>
  <c r="E1592" i="1"/>
  <c r="D1592" i="1"/>
  <c r="C1592" i="1"/>
  <c r="A1592" i="1"/>
  <c r="R1591" i="1"/>
  <c r="Q1591" i="1"/>
  <c r="N1591" i="1"/>
  <c r="J1591" i="1"/>
  <c r="I1591" i="1"/>
  <c r="H1591" i="1"/>
  <c r="G1591" i="1"/>
  <c r="F1591" i="1"/>
  <c r="E1591" i="1"/>
  <c r="D1591" i="1"/>
  <c r="C1591" i="1"/>
  <c r="A1591" i="1"/>
  <c r="R1590" i="1"/>
  <c r="Q1590" i="1"/>
  <c r="N1590" i="1"/>
  <c r="J1590" i="1"/>
  <c r="I1590" i="1"/>
  <c r="H1590" i="1"/>
  <c r="G1590" i="1"/>
  <c r="F1590" i="1"/>
  <c r="E1590" i="1"/>
  <c r="D1590" i="1"/>
  <c r="C1590" i="1"/>
  <c r="A1590" i="1"/>
  <c r="R1589" i="1"/>
  <c r="Q1589" i="1"/>
  <c r="N1589" i="1"/>
  <c r="J1589" i="1"/>
  <c r="I1589" i="1"/>
  <c r="H1589" i="1"/>
  <c r="G1589" i="1"/>
  <c r="F1589" i="1"/>
  <c r="E1589" i="1"/>
  <c r="D1589" i="1"/>
  <c r="C1589" i="1"/>
  <c r="A1589" i="1"/>
  <c r="R1588" i="1"/>
  <c r="Q1588" i="1"/>
  <c r="N1588" i="1"/>
  <c r="J1588" i="1"/>
  <c r="I1588" i="1"/>
  <c r="H1588" i="1"/>
  <c r="G1588" i="1"/>
  <c r="F1588" i="1"/>
  <c r="E1588" i="1"/>
  <c r="D1588" i="1"/>
  <c r="C1588" i="1"/>
  <c r="A1588" i="1"/>
  <c r="R1587" i="1"/>
  <c r="Q1587" i="1"/>
  <c r="N1587" i="1"/>
  <c r="J1587" i="1"/>
  <c r="I1587" i="1"/>
  <c r="H1587" i="1"/>
  <c r="G1587" i="1"/>
  <c r="F1587" i="1"/>
  <c r="E1587" i="1"/>
  <c r="D1587" i="1"/>
  <c r="C1587" i="1"/>
  <c r="A1587" i="1"/>
  <c r="R1586" i="1"/>
  <c r="Q1586" i="1"/>
  <c r="N1586" i="1"/>
  <c r="J1586" i="1"/>
  <c r="I1586" i="1"/>
  <c r="H1586" i="1"/>
  <c r="G1586" i="1"/>
  <c r="F1586" i="1"/>
  <c r="E1586" i="1"/>
  <c r="D1586" i="1"/>
  <c r="C1586" i="1"/>
  <c r="A1586" i="1"/>
  <c r="R1585" i="1"/>
  <c r="Q1585" i="1"/>
  <c r="N1585" i="1"/>
  <c r="J1585" i="1"/>
  <c r="I1585" i="1"/>
  <c r="H1585" i="1"/>
  <c r="G1585" i="1"/>
  <c r="F1585" i="1"/>
  <c r="E1585" i="1"/>
  <c r="D1585" i="1"/>
  <c r="C1585" i="1"/>
  <c r="A1585" i="1"/>
  <c r="R1584" i="1"/>
  <c r="Q1584" i="1"/>
  <c r="N1584" i="1"/>
  <c r="J1584" i="1"/>
  <c r="I1584" i="1"/>
  <c r="H1584" i="1"/>
  <c r="G1584" i="1"/>
  <c r="F1584" i="1"/>
  <c r="E1584" i="1"/>
  <c r="D1584" i="1"/>
  <c r="C1584" i="1"/>
  <c r="A1584" i="1"/>
  <c r="R1583" i="1"/>
  <c r="Q1583" i="1"/>
  <c r="N1583" i="1"/>
  <c r="J1583" i="1"/>
  <c r="I1583" i="1"/>
  <c r="H1583" i="1"/>
  <c r="G1583" i="1"/>
  <c r="F1583" i="1"/>
  <c r="E1583" i="1"/>
  <c r="D1583" i="1"/>
  <c r="C1583" i="1"/>
  <c r="A1583" i="1"/>
  <c r="R1582" i="1"/>
  <c r="Q1582" i="1"/>
  <c r="N1582" i="1"/>
  <c r="J1582" i="1"/>
  <c r="I1582" i="1"/>
  <c r="H1582" i="1"/>
  <c r="G1582" i="1"/>
  <c r="F1582" i="1"/>
  <c r="E1582" i="1"/>
  <c r="D1582" i="1"/>
  <c r="C1582" i="1"/>
  <c r="A1582" i="1"/>
  <c r="R1581" i="1"/>
  <c r="Q1581" i="1"/>
  <c r="N1581" i="1"/>
  <c r="J1581" i="1"/>
  <c r="I1581" i="1"/>
  <c r="H1581" i="1"/>
  <c r="G1581" i="1"/>
  <c r="F1581" i="1"/>
  <c r="E1581" i="1"/>
  <c r="D1581" i="1"/>
  <c r="C1581" i="1"/>
  <c r="A1581" i="1"/>
  <c r="R1580" i="1"/>
  <c r="Q1580" i="1"/>
  <c r="N1580" i="1"/>
  <c r="J1580" i="1"/>
  <c r="I1580" i="1"/>
  <c r="H1580" i="1"/>
  <c r="G1580" i="1"/>
  <c r="F1580" i="1"/>
  <c r="E1580" i="1"/>
  <c r="D1580" i="1"/>
  <c r="C1580" i="1"/>
  <c r="A1580" i="1"/>
  <c r="R1579" i="1"/>
  <c r="Q1579" i="1"/>
  <c r="N1579" i="1"/>
  <c r="J1579" i="1"/>
  <c r="I1579" i="1"/>
  <c r="H1579" i="1"/>
  <c r="G1579" i="1"/>
  <c r="F1579" i="1"/>
  <c r="E1579" i="1"/>
  <c r="D1579" i="1"/>
  <c r="C1579" i="1"/>
  <c r="A1579" i="1"/>
  <c r="R1578" i="1"/>
  <c r="Q1578" i="1"/>
  <c r="N1578" i="1"/>
  <c r="J1578" i="1"/>
  <c r="I1578" i="1"/>
  <c r="H1578" i="1"/>
  <c r="G1578" i="1"/>
  <c r="F1578" i="1"/>
  <c r="E1578" i="1"/>
  <c r="D1578" i="1"/>
  <c r="C1578" i="1"/>
  <c r="A1578" i="1"/>
  <c r="R1577" i="1"/>
  <c r="Q1577" i="1"/>
  <c r="N1577" i="1"/>
  <c r="J1577" i="1"/>
  <c r="I1577" i="1"/>
  <c r="H1577" i="1"/>
  <c r="G1577" i="1"/>
  <c r="F1577" i="1"/>
  <c r="E1577" i="1"/>
  <c r="D1577" i="1"/>
  <c r="C1577" i="1"/>
  <c r="A1577" i="1"/>
  <c r="R1576" i="1"/>
  <c r="Q1576" i="1"/>
  <c r="N1576" i="1"/>
  <c r="J1576" i="1"/>
  <c r="I1576" i="1"/>
  <c r="H1576" i="1"/>
  <c r="G1576" i="1"/>
  <c r="F1576" i="1"/>
  <c r="E1576" i="1"/>
  <c r="D1576" i="1"/>
  <c r="C1576" i="1"/>
  <c r="A1576" i="1"/>
  <c r="R1575" i="1"/>
  <c r="Q1575" i="1"/>
  <c r="N1575" i="1"/>
  <c r="J1575" i="1"/>
  <c r="I1575" i="1"/>
  <c r="H1575" i="1"/>
  <c r="G1575" i="1"/>
  <c r="F1575" i="1"/>
  <c r="E1575" i="1"/>
  <c r="D1575" i="1"/>
  <c r="C1575" i="1"/>
  <c r="A1575" i="1"/>
  <c r="R1574" i="1"/>
  <c r="Q1574" i="1"/>
  <c r="N1574" i="1"/>
  <c r="J1574" i="1"/>
  <c r="I1574" i="1"/>
  <c r="H1574" i="1"/>
  <c r="G1574" i="1"/>
  <c r="F1574" i="1"/>
  <c r="E1574" i="1"/>
  <c r="D1574" i="1"/>
  <c r="C1574" i="1"/>
  <c r="A1574" i="1"/>
  <c r="R1573" i="1"/>
  <c r="N1573" i="1"/>
  <c r="J1573" i="1"/>
  <c r="I1573" i="1"/>
  <c r="H1573" i="1"/>
  <c r="G1573" i="1"/>
  <c r="F1573" i="1"/>
  <c r="E1573" i="1"/>
  <c r="D1573" i="1"/>
  <c r="C1573" i="1"/>
  <c r="B1573" i="1"/>
  <c r="A1573" i="1"/>
  <c r="R1572" i="1"/>
  <c r="N1572" i="1"/>
  <c r="J1572" i="1"/>
  <c r="I1572" i="1"/>
  <c r="H1572" i="1"/>
  <c r="G1572" i="1"/>
  <c r="F1572" i="1"/>
  <c r="E1572" i="1"/>
  <c r="D1572" i="1"/>
  <c r="C1572" i="1"/>
  <c r="B1572" i="1"/>
  <c r="A1572" i="1"/>
  <c r="R1571" i="1"/>
  <c r="Q1571" i="1"/>
  <c r="N1571" i="1"/>
  <c r="J1571" i="1"/>
  <c r="I1571" i="1"/>
  <c r="H1571" i="1"/>
  <c r="G1571" i="1"/>
  <c r="F1571" i="1"/>
  <c r="E1571" i="1"/>
  <c r="D1571" i="1"/>
  <c r="C1571" i="1"/>
  <c r="A1571" i="1"/>
  <c r="R1570" i="1"/>
  <c r="N1570" i="1"/>
  <c r="J1570" i="1"/>
  <c r="I1570" i="1"/>
  <c r="H1570" i="1"/>
  <c r="G1570" i="1"/>
  <c r="F1570" i="1"/>
  <c r="E1570" i="1"/>
  <c r="D1570" i="1"/>
  <c r="C1570" i="1"/>
  <c r="B1570" i="1"/>
  <c r="A1570" i="1"/>
  <c r="R1569" i="1"/>
  <c r="N1569" i="1"/>
  <c r="J1569" i="1"/>
  <c r="I1569" i="1"/>
  <c r="H1569" i="1"/>
  <c r="G1569" i="1"/>
  <c r="F1569" i="1"/>
  <c r="E1569" i="1"/>
  <c r="D1569" i="1"/>
  <c r="C1569" i="1"/>
  <c r="B1569" i="1"/>
  <c r="A1569" i="1"/>
  <c r="R1568" i="1"/>
  <c r="Q1568" i="1"/>
  <c r="N1568" i="1"/>
  <c r="J1568" i="1"/>
  <c r="I1568" i="1"/>
  <c r="H1568" i="1"/>
  <c r="G1568" i="1"/>
  <c r="F1568" i="1"/>
  <c r="E1568" i="1"/>
  <c r="D1568" i="1"/>
  <c r="C1568" i="1"/>
  <c r="B1568" i="1"/>
  <c r="A1568" i="1"/>
  <c r="R1567" i="1"/>
  <c r="N1567" i="1"/>
  <c r="J1567" i="1"/>
  <c r="I1567" i="1"/>
  <c r="H1567" i="1"/>
  <c r="G1567" i="1"/>
  <c r="F1567" i="1"/>
  <c r="E1567" i="1"/>
  <c r="D1567" i="1"/>
  <c r="C1567" i="1"/>
  <c r="B1567" i="1"/>
  <c r="A1567" i="1"/>
  <c r="R1566" i="1"/>
  <c r="N1566" i="1"/>
  <c r="J1566" i="1"/>
  <c r="I1566" i="1"/>
  <c r="H1566" i="1"/>
  <c r="G1566" i="1"/>
  <c r="F1566" i="1"/>
  <c r="E1566" i="1"/>
  <c r="D1566" i="1"/>
  <c r="C1566" i="1"/>
  <c r="B1566" i="1"/>
  <c r="A1566" i="1"/>
  <c r="R1565" i="1"/>
  <c r="N1565" i="1"/>
  <c r="J1565" i="1"/>
  <c r="I1565" i="1"/>
  <c r="H1565" i="1"/>
  <c r="G1565" i="1"/>
  <c r="F1565" i="1"/>
  <c r="E1565" i="1"/>
  <c r="D1565" i="1"/>
  <c r="C1565" i="1"/>
  <c r="B1565" i="1"/>
  <c r="A1565" i="1"/>
  <c r="R1564" i="1"/>
  <c r="N1564" i="1"/>
  <c r="J1564" i="1"/>
  <c r="I1564" i="1"/>
  <c r="H1564" i="1"/>
  <c r="G1564" i="1"/>
  <c r="F1564" i="1"/>
  <c r="E1564" i="1"/>
  <c r="D1564" i="1"/>
  <c r="C1564" i="1"/>
  <c r="B1564" i="1"/>
  <c r="A1564" i="1"/>
  <c r="R1563" i="1"/>
  <c r="N1563" i="1"/>
  <c r="J1563" i="1"/>
  <c r="I1563" i="1"/>
  <c r="H1563" i="1"/>
  <c r="G1563" i="1"/>
  <c r="F1563" i="1"/>
  <c r="E1563" i="1"/>
  <c r="D1563" i="1"/>
  <c r="C1563" i="1"/>
  <c r="B1563" i="1"/>
  <c r="A1563" i="1"/>
  <c r="R1562" i="1"/>
  <c r="N1562" i="1"/>
  <c r="J1562" i="1"/>
  <c r="I1562" i="1"/>
  <c r="H1562" i="1"/>
  <c r="G1562" i="1"/>
  <c r="F1562" i="1"/>
  <c r="E1562" i="1"/>
  <c r="D1562" i="1"/>
  <c r="C1562" i="1"/>
  <c r="B1562" i="1"/>
  <c r="A1562" i="1"/>
  <c r="R1561" i="1"/>
  <c r="Q1561" i="1"/>
  <c r="N1561" i="1"/>
  <c r="J1561" i="1"/>
  <c r="I1561" i="1"/>
  <c r="H1561" i="1"/>
  <c r="G1561" i="1"/>
  <c r="F1561" i="1"/>
  <c r="E1561" i="1"/>
  <c r="D1561" i="1"/>
  <c r="C1561" i="1"/>
  <c r="A1561" i="1"/>
  <c r="R1560" i="1"/>
  <c r="N1560" i="1"/>
  <c r="J1560" i="1"/>
  <c r="I1560" i="1"/>
  <c r="H1560" i="1"/>
  <c r="G1560" i="1"/>
  <c r="F1560" i="1"/>
  <c r="E1560" i="1"/>
  <c r="D1560" i="1"/>
  <c r="C1560" i="1"/>
  <c r="A1560" i="1"/>
  <c r="R1559" i="1"/>
  <c r="Q1559" i="1"/>
  <c r="N1559" i="1"/>
  <c r="J1559" i="1"/>
  <c r="I1559" i="1"/>
  <c r="H1559" i="1"/>
  <c r="G1559" i="1"/>
  <c r="F1559" i="1"/>
  <c r="E1559" i="1"/>
  <c r="D1559" i="1"/>
  <c r="C1559" i="1"/>
  <c r="A1559" i="1"/>
  <c r="R1558" i="1"/>
  <c r="N1558" i="1"/>
  <c r="J1558" i="1"/>
  <c r="I1558" i="1"/>
  <c r="H1558" i="1"/>
  <c r="G1558" i="1"/>
  <c r="F1558" i="1"/>
  <c r="E1558" i="1"/>
  <c r="D1558" i="1"/>
  <c r="C1558" i="1"/>
  <c r="A1558" i="1"/>
  <c r="R1557" i="1"/>
  <c r="Q1557" i="1"/>
  <c r="N1557" i="1"/>
  <c r="J1557" i="1"/>
  <c r="I1557" i="1"/>
  <c r="H1557" i="1"/>
  <c r="G1557" i="1"/>
  <c r="F1557" i="1"/>
  <c r="E1557" i="1"/>
  <c r="D1557" i="1"/>
  <c r="C1557" i="1"/>
  <c r="A1557" i="1"/>
  <c r="R1556" i="1"/>
  <c r="N1556" i="1"/>
  <c r="J1556" i="1"/>
  <c r="I1556" i="1"/>
  <c r="H1556" i="1"/>
  <c r="G1556" i="1"/>
  <c r="F1556" i="1"/>
  <c r="E1556" i="1"/>
  <c r="D1556" i="1"/>
  <c r="C1556" i="1"/>
  <c r="A1556" i="1"/>
  <c r="R1555" i="1"/>
  <c r="Q1555" i="1"/>
  <c r="N1555" i="1"/>
  <c r="J1555" i="1"/>
  <c r="I1555" i="1"/>
  <c r="H1555" i="1"/>
  <c r="G1555" i="1"/>
  <c r="F1555" i="1"/>
  <c r="E1555" i="1"/>
  <c r="D1555" i="1"/>
  <c r="C1555" i="1"/>
  <c r="A1555" i="1"/>
  <c r="R1554" i="1"/>
  <c r="N1554" i="1"/>
  <c r="J1554" i="1"/>
  <c r="I1554" i="1"/>
  <c r="H1554" i="1"/>
  <c r="G1554" i="1"/>
  <c r="F1554" i="1"/>
  <c r="E1554" i="1"/>
  <c r="D1554" i="1"/>
  <c r="C1554" i="1"/>
  <c r="A1554" i="1"/>
  <c r="R1553" i="1"/>
  <c r="Q1553" i="1"/>
  <c r="N1553" i="1"/>
  <c r="J1553" i="1"/>
  <c r="I1553" i="1"/>
  <c r="H1553" i="1"/>
  <c r="G1553" i="1"/>
  <c r="F1553" i="1"/>
  <c r="E1553" i="1"/>
  <c r="D1553" i="1"/>
  <c r="C1553" i="1"/>
  <c r="A1553" i="1"/>
  <c r="R1552" i="1"/>
  <c r="N1552" i="1"/>
  <c r="J1552" i="1"/>
  <c r="I1552" i="1"/>
  <c r="H1552" i="1"/>
  <c r="G1552" i="1"/>
  <c r="F1552" i="1"/>
  <c r="E1552" i="1"/>
  <c r="D1552" i="1"/>
  <c r="C1552" i="1"/>
  <c r="B1552" i="1"/>
  <c r="A1552" i="1"/>
  <c r="R1551" i="1"/>
  <c r="N1551" i="1"/>
  <c r="J1551" i="1"/>
  <c r="I1551" i="1"/>
  <c r="H1551" i="1"/>
  <c r="G1551" i="1"/>
  <c r="F1551" i="1"/>
  <c r="E1551" i="1"/>
  <c r="D1551" i="1"/>
  <c r="C1551" i="1"/>
  <c r="B1551" i="1"/>
  <c r="A1551" i="1"/>
  <c r="R1550" i="1"/>
  <c r="N1550" i="1"/>
  <c r="J1550" i="1"/>
  <c r="I1550" i="1"/>
  <c r="H1550" i="1"/>
  <c r="G1550" i="1"/>
  <c r="F1550" i="1"/>
  <c r="E1550" i="1"/>
  <c r="D1550" i="1"/>
  <c r="C1550" i="1"/>
  <c r="B1550" i="1"/>
  <c r="A1550" i="1"/>
  <c r="R1549" i="1"/>
  <c r="N1549" i="1"/>
  <c r="J1549" i="1"/>
  <c r="I1549" i="1"/>
  <c r="H1549" i="1"/>
  <c r="G1549" i="1"/>
  <c r="F1549" i="1"/>
  <c r="E1549" i="1"/>
  <c r="D1549" i="1"/>
  <c r="C1549" i="1"/>
  <c r="B1549" i="1"/>
  <c r="A1549" i="1"/>
  <c r="R1548" i="1"/>
  <c r="N1548" i="1"/>
  <c r="J1548" i="1"/>
  <c r="I1548" i="1"/>
  <c r="H1548" i="1"/>
  <c r="G1548" i="1"/>
  <c r="F1548" i="1"/>
  <c r="E1548" i="1"/>
  <c r="D1548" i="1"/>
  <c r="C1548" i="1"/>
  <c r="B1548" i="1"/>
  <c r="A1548" i="1"/>
  <c r="R1547" i="1"/>
  <c r="N1547" i="1"/>
  <c r="J1547" i="1"/>
  <c r="I1547" i="1"/>
  <c r="H1547" i="1"/>
  <c r="G1547" i="1"/>
  <c r="F1547" i="1"/>
  <c r="E1547" i="1"/>
  <c r="D1547" i="1"/>
  <c r="C1547" i="1"/>
  <c r="B1547" i="1"/>
  <c r="A1547" i="1"/>
  <c r="R1546" i="1"/>
  <c r="N1546" i="1"/>
  <c r="J1546" i="1"/>
  <c r="I1546" i="1"/>
  <c r="H1546" i="1"/>
  <c r="G1546" i="1"/>
  <c r="F1546" i="1"/>
  <c r="E1546" i="1"/>
  <c r="D1546" i="1"/>
  <c r="C1546" i="1"/>
  <c r="B1546" i="1"/>
  <c r="A1546" i="1"/>
  <c r="R1545" i="1"/>
  <c r="N1545" i="1"/>
  <c r="J1545" i="1"/>
  <c r="I1545" i="1"/>
  <c r="H1545" i="1"/>
  <c r="G1545" i="1"/>
  <c r="F1545" i="1"/>
  <c r="E1545" i="1"/>
  <c r="D1545" i="1"/>
  <c r="C1545" i="1"/>
  <c r="B1545" i="1"/>
  <c r="A1545" i="1"/>
  <c r="R1544" i="1"/>
  <c r="N1544" i="1"/>
  <c r="J1544" i="1"/>
  <c r="I1544" i="1"/>
  <c r="H1544" i="1"/>
  <c r="G1544" i="1"/>
  <c r="F1544" i="1"/>
  <c r="E1544" i="1"/>
  <c r="D1544" i="1"/>
  <c r="C1544" i="1"/>
  <c r="B1544" i="1"/>
  <c r="A1544" i="1"/>
  <c r="R1543" i="1"/>
  <c r="Q1543" i="1"/>
  <c r="N1543" i="1"/>
  <c r="J1543" i="1"/>
  <c r="I1543" i="1"/>
  <c r="H1543" i="1"/>
  <c r="G1543" i="1"/>
  <c r="F1543" i="1"/>
  <c r="E1543" i="1"/>
  <c r="D1543" i="1"/>
  <c r="C1543" i="1"/>
  <c r="A1543" i="1"/>
  <c r="R1542" i="1"/>
  <c r="N1542" i="1"/>
  <c r="J1542" i="1"/>
  <c r="I1542" i="1"/>
  <c r="H1542" i="1"/>
  <c r="G1542" i="1"/>
  <c r="F1542" i="1"/>
  <c r="E1542" i="1"/>
  <c r="D1542" i="1"/>
  <c r="C1542" i="1"/>
  <c r="A1542" i="1"/>
  <c r="R1541" i="1"/>
  <c r="Q1541" i="1"/>
  <c r="N1541" i="1"/>
  <c r="J1541" i="1"/>
  <c r="I1541" i="1"/>
  <c r="H1541" i="1"/>
  <c r="G1541" i="1"/>
  <c r="F1541" i="1"/>
  <c r="E1541" i="1"/>
  <c r="D1541" i="1"/>
  <c r="C1541" i="1"/>
  <c r="A1541" i="1"/>
  <c r="R1540" i="1"/>
  <c r="N1540" i="1"/>
  <c r="J1540" i="1"/>
  <c r="I1540" i="1"/>
  <c r="H1540" i="1"/>
  <c r="G1540" i="1"/>
  <c r="F1540" i="1"/>
  <c r="E1540" i="1"/>
  <c r="D1540" i="1"/>
  <c r="C1540" i="1"/>
  <c r="A1540" i="1"/>
  <c r="R1539" i="1"/>
  <c r="Q1539" i="1"/>
  <c r="N1539" i="1"/>
  <c r="J1539" i="1"/>
  <c r="I1539" i="1"/>
  <c r="H1539" i="1"/>
  <c r="G1539" i="1"/>
  <c r="F1539" i="1"/>
  <c r="E1539" i="1"/>
  <c r="D1539" i="1"/>
  <c r="C1539" i="1"/>
  <c r="A1539" i="1"/>
  <c r="R1538" i="1"/>
  <c r="N1538" i="1"/>
  <c r="J1538" i="1"/>
  <c r="I1538" i="1"/>
  <c r="H1538" i="1"/>
  <c r="G1538" i="1"/>
  <c r="F1538" i="1"/>
  <c r="E1538" i="1"/>
  <c r="D1538" i="1"/>
  <c r="C1538" i="1"/>
  <c r="A1538" i="1"/>
  <c r="R1537" i="1"/>
  <c r="Q1537" i="1"/>
  <c r="N1537" i="1"/>
  <c r="J1537" i="1"/>
  <c r="I1537" i="1"/>
  <c r="H1537" i="1"/>
  <c r="G1537" i="1"/>
  <c r="F1537" i="1"/>
  <c r="E1537" i="1"/>
  <c r="D1537" i="1"/>
  <c r="C1537" i="1"/>
  <c r="A1537" i="1"/>
  <c r="R1536" i="1"/>
  <c r="N1536" i="1"/>
  <c r="J1536" i="1"/>
  <c r="I1536" i="1"/>
  <c r="H1536" i="1"/>
  <c r="G1536" i="1"/>
  <c r="F1536" i="1"/>
  <c r="E1536" i="1"/>
  <c r="D1536" i="1"/>
  <c r="C1536" i="1"/>
  <c r="A1536" i="1"/>
  <c r="R1535" i="1"/>
  <c r="Q1535" i="1"/>
  <c r="N1535" i="1"/>
  <c r="J1535" i="1"/>
  <c r="I1535" i="1"/>
  <c r="H1535" i="1"/>
  <c r="G1535" i="1"/>
  <c r="F1535" i="1"/>
  <c r="E1535" i="1"/>
  <c r="D1535" i="1"/>
  <c r="C1535" i="1"/>
  <c r="A1535" i="1"/>
  <c r="R1534" i="1"/>
  <c r="N1534" i="1"/>
  <c r="J1534" i="1"/>
  <c r="I1534" i="1"/>
  <c r="H1534" i="1"/>
  <c r="G1534" i="1"/>
  <c r="F1534" i="1"/>
  <c r="E1534" i="1"/>
  <c r="D1534" i="1"/>
  <c r="C1534" i="1"/>
  <c r="A1534" i="1"/>
  <c r="R1533" i="1"/>
  <c r="Q1533" i="1"/>
  <c r="N1533" i="1"/>
  <c r="J1533" i="1"/>
  <c r="I1533" i="1"/>
  <c r="H1533" i="1"/>
  <c r="G1533" i="1"/>
  <c r="F1533" i="1"/>
  <c r="E1533" i="1"/>
  <c r="D1533" i="1"/>
  <c r="C1533" i="1"/>
  <c r="A1533" i="1"/>
  <c r="R1532" i="1"/>
  <c r="Q1532" i="1"/>
  <c r="N1532" i="1"/>
  <c r="J1532" i="1"/>
  <c r="I1532" i="1"/>
  <c r="H1532" i="1"/>
  <c r="G1532" i="1"/>
  <c r="F1532" i="1"/>
  <c r="E1532" i="1"/>
  <c r="D1532" i="1"/>
  <c r="C1532" i="1"/>
  <c r="A1532" i="1"/>
  <c r="R1531" i="1"/>
  <c r="Q1531" i="1"/>
  <c r="N1531" i="1"/>
  <c r="J1531" i="1"/>
  <c r="I1531" i="1"/>
  <c r="H1531" i="1"/>
  <c r="G1531" i="1"/>
  <c r="F1531" i="1"/>
  <c r="E1531" i="1"/>
  <c r="D1531" i="1"/>
  <c r="C1531" i="1"/>
  <c r="A1531" i="1"/>
  <c r="R1530" i="1"/>
  <c r="N1530" i="1"/>
  <c r="J1530" i="1"/>
  <c r="I1530" i="1"/>
  <c r="H1530" i="1"/>
  <c r="G1530" i="1"/>
  <c r="F1530" i="1"/>
  <c r="E1530" i="1"/>
  <c r="D1530" i="1"/>
  <c r="C1530" i="1"/>
  <c r="A1530" i="1"/>
  <c r="R1529" i="1"/>
  <c r="Q1529" i="1"/>
  <c r="N1529" i="1"/>
  <c r="J1529" i="1"/>
  <c r="I1529" i="1"/>
  <c r="H1529" i="1"/>
  <c r="G1529" i="1"/>
  <c r="F1529" i="1"/>
  <c r="E1529" i="1"/>
  <c r="D1529" i="1"/>
  <c r="C1529" i="1"/>
  <c r="A1529" i="1"/>
  <c r="R1528" i="1"/>
  <c r="N1528" i="1"/>
  <c r="J1528" i="1"/>
  <c r="I1528" i="1"/>
  <c r="H1528" i="1"/>
  <c r="G1528" i="1"/>
  <c r="F1528" i="1"/>
  <c r="E1528" i="1"/>
  <c r="D1528" i="1"/>
  <c r="C1528" i="1"/>
  <c r="B1528" i="1"/>
  <c r="A1528" i="1"/>
  <c r="R1527" i="1"/>
  <c r="N1527" i="1"/>
  <c r="J1527" i="1"/>
  <c r="I1527" i="1"/>
  <c r="H1527" i="1"/>
  <c r="G1527" i="1"/>
  <c r="F1527" i="1"/>
  <c r="E1527" i="1"/>
  <c r="D1527" i="1"/>
  <c r="C1527" i="1"/>
  <c r="B1527" i="1"/>
  <c r="A1527" i="1"/>
  <c r="R1526" i="1"/>
  <c r="N1526" i="1"/>
  <c r="J1526" i="1"/>
  <c r="I1526" i="1"/>
  <c r="H1526" i="1"/>
  <c r="G1526" i="1"/>
  <c r="F1526" i="1"/>
  <c r="E1526" i="1"/>
  <c r="D1526" i="1"/>
  <c r="C1526" i="1"/>
  <c r="B1526" i="1"/>
  <c r="A1526" i="1"/>
  <c r="R1525" i="1"/>
  <c r="N1525" i="1"/>
  <c r="J1525" i="1"/>
  <c r="I1525" i="1"/>
  <c r="H1525" i="1"/>
  <c r="G1525" i="1"/>
  <c r="F1525" i="1"/>
  <c r="E1525" i="1"/>
  <c r="D1525" i="1"/>
  <c r="C1525" i="1"/>
  <c r="B1525" i="1"/>
  <c r="A1525" i="1"/>
  <c r="R1524" i="1"/>
  <c r="N1524" i="1"/>
  <c r="J1524" i="1"/>
  <c r="I1524" i="1"/>
  <c r="H1524" i="1"/>
  <c r="G1524" i="1"/>
  <c r="F1524" i="1"/>
  <c r="E1524" i="1"/>
  <c r="D1524" i="1"/>
  <c r="C1524" i="1"/>
  <c r="B1524" i="1"/>
  <c r="A1524" i="1"/>
  <c r="R1523" i="1"/>
  <c r="Q1523" i="1"/>
  <c r="N1523" i="1"/>
  <c r="J1523" i="1"/>
  <c r="I1523" i="1"/>
  <c r="H1523" i="1"/>
  <c r="G1523" i="1"/>
  <c r="F1523" i="1"/>
  <c r="E1523" i="1"/>
  <c r="D1523" i="1"/>
  <c r="C1523" i="1"/>
  <c r="A1523" i="1"/>
  <c r="R1522" i="1"/>
  <c r="N1522" i="1"/>
  <c r="J1522" i="1"/>
  <c r="I1522" i="1"/>
  <c r="H1522" i="1"/>
  <c r="G1522" i="1"/>
  <c r="F1522" i="1"/>
  <c r="E1522" i="1"/>
  <c r="D1522" i="1"/>
  <c r="C1522" i="1"/>
  <c r="A1522" i="1"/>
  <c r="R1521" i="1"/>
  <c r="Q1521" i="1"/>
  <c r="N1521" i="1"/>
  <c r="J1521" i="1"/>
  <c r="I1521" i="1"/>
  <c r="H1521" i="1"/>
  <c r="G1521" i="1"/>
  <c r="F1521" i="1"/>
  <c r="E1521" i="1"/>
  <c r="D1521" i="1"/>
  <c r="C1521" i="1"/>
  <c r="A1521" i="1"/>
  <c r="R1520" i="1"/>
  <c r="N1520" i="1"/>
  <c r="J1520" i="1"/>
  <c r="I1520" i="1"/>
  <c r="H1520" i="1"/>
  <c r="G1520" i="1"/>
  <c r="F1520" i="1"/>
  <c r="E1520" i="1"/>
  <c r="D1520" i="1"/>
  <c r="C1520" i="1"/>
  <c r="A1520" i="1"/>
  <c r="R1519" i="1"/>
  <c r="Q1519" i="1"/>
  <c r="N1519" i="1"/>
  <c r="J1519" i="1"/>
  <c r="I1519" i="1"/>
  <c r="H1519" i="1"/>
  <c r="G1519" i="1"/>
  <c r="F1519" i="1"/>
  <c r="E1519" i="1"/>
  <c r="D1519" i="1"/>
  <c r="C1519" i="1"/>
  <c r="A1519" i="1"/>
  <c r="R1518" i="1"/>
  <c r="N1518" i="1"/>
  <c r="J1518" i="1"/>
  <c r="I1518" i="1"/>
  <c r="H1518" i="1"/>
  <c r="G1518" i="1"/>
  <c r="F1518" i="1"/>
  <c r="E1518" i="1"/>
  <c r="D1518" i="1"/>
  <c r="C1518" i="1"/>
  <c r="A1518" i="1"/>
  <c r="R1517" i="1"/>
  <c r="Q1517" i="1"/>
  <c r="N1517" i="1"/>
  <c r="J1517" i="1"/>
  <c r="I1517" i="1"/>
  <c r="H1517" i="1"/>
  <c r="G1517" i="1"/>
  <c r="F1517" i="1"/>
  <c r="E1517" i="1"/>
  <c r="D1517" i="1"/>
  <c r="C1517" i="1"/>
  <c r="A1517" i="1"/>
  <c r="R1516" i="1"/>
  <c r="N1516" i="1"/>
  <c r="J1516" i="1"/>
  <c r="I1516" i="1"/>
  <c r="H1516" i="1"/>
  <c r="G1516" i="1"/>
  <c r="F1516" i="1"/>
  <c r="E1516" i="1"/>
  <c r="D1516" i="1"/>
  <c r="C1516" i="1"/>
  <c r="A1516" i="1"/>
  <c r="R1515" i="1"/>
  <c r="Q1515" i="1"/>
  <c r="N1515" i="1"/>
  <c r="J1515" i="1"/>
  <c r="I1515" i="1"/>
  <c r="H1515" i="1"/>
  <c r="G1515" i="1"/>
  <c r="F1515" i="1"/>
  <c r="E1515" i="1"/>
  <c r="D1515" i="1"/>
  <c r="C1515" i="1"/>
  <c r="A1515" i="1"/>
  <c r="R1514" i="1"/>
  <c r="Q1514" i="1"/>
  <c r="N1514" i="1"/>
  <c r="J1514" i="1"/>
  <c r="I1514" i="1"/>
  <c r="H1514" i="1"/>
  <c r="G1514" i="1"/>
  <c r="F1514" i="1"/>
  <c r="E1514" i="1"/>
  <c r="D1514" i="1"/>
  <c r="C1514" i="1"/>
  <c r="A1514" i="1"/>
  <c r="R1513" i="1"/>
  <c r="Q1513" i="1"/>
  <c r="N1513" i="1"/>
  <c r="J1513" i="1"/>
  <c r="I1513" i="1"/>
  <c r="H1513" i="1"/>
  <c r="G1513" i="1"/>
  <c r="F1513" i="1"/>
  <c r="E1513" i="1"/>
  <c r="D1513" i="1"/>
  <c r="C1513" i="1"/>
  <c r="A1513" i="1"/>
  <c r="R1512" i="1"/>
  <c r="Q1512" i="1"/>
  <c r="N1512" i="1"/>
  <c r="J1512" i="1"/>
  <c r="I1512" i="1"/>
  <c r="H1512" i="1"/>
  <c r="G1512" i="1"/>
  <c r="F1512" i="1"/>
  <c r="E1512" i="1"/>
  <c r="D1512" i="1"/>
  <c r="C1512" i="1"/>
  <c r="A1512" i="1"/>
  <c r="R1511" i="1"/>
  <c r="Q1511" i="1"/>
  <c r="N1511" i="1"/>
  <c r="J1511" i="1"/>
  <c r="I1511" i="1"/>
  <c r="H1511" i="1"/>
  <c r="G1511" i="1"/>
  <c r="F1511" i="1"/>
  <c r="E1511" i="1"/>
  <c r="D1511" i="1"/>
  <c r="C1511" i="1"/>
  <c r="A1511" i="1"/>
  <c r="R1510" i="1"/>
  <c r="N1510" i="1"/>
  <c r="J1510" i="1"/>
  <c r="I1510" i="1"/>
  <c r="H1510" i="1"/>
  <c r="G1510" i="1"/>
  <c r="F1510" i="1"/>
  <c r="E1510" i="1"/>
  <c r="D1510" i="1"/>
  <c r="C1510" i="1"/>
  <c r="A1510" i="1"/>
  <c r="R1509" i="1"/>
  <c r="Q1509" i="1"/>
  <c r="N1509" i="1"/>
  <c r="J1509" i="1"/>
  <c r="I1509" i="1"/>
  <c r="H1509" i="1"/>
  <c r="G1509" i="1"/>
  <c r="F1509" i="1"/>
  <c r="E1509" i="1"/>
  <c r="D1509" i="1"/>
  <c r="C1509" i="1"/>
  <c r="A1509" i="1"/>
  <c r="R1508" i="1"/>
  <c r="Q1508" i="1"/>
  <c r="N1508" i="1"/>
  <c r="J1508" i="1"/>
  <c r="I1508" i="1"/>
  <c r="H1508" i="1"/>
  <c r="G1508" i="1"/>
  <c r="F1508" i="1"/>
  <c r="E1508" i="1"/>
  <c r="D1508" i="1"/>
  <c r="C1508" i="1"/>
  <c r="A1508" i="1"/>
  <c r="R1507" i="1"/>
  <c r="Q1507" i="1"/>
  <c r="N1507" i="1"/>
  <c r="J1507" i="1"/>
  <c r="I1507" i="1"/>
  <c r="H1507" i="1"/>
  <c r="G1507" i="1"/>
  <c r="F1507" i="1"/>
  <c r="E1507" i="1"/>
  <c r="D1507" i="1"/>
  <c r="C1507" i="1"/>
  <c r="A1507" i="1"/>
  <c r="R1506" i="1"/>
  <c r="Q1506" i="1"/>
  <c r="N1506" i="1"/>
  <c r="J1506" i="1"/>
  <c r="I1506" i="1"/>
  <c r="H1506" i="1"/>
  <c r="G1506" i="1"/>
  <c r="F1506" i="1"/>
  <c r="E1506" i="1"/>
  <c r="D1506" i="1"/>
  <c r="C1506" i="1"/>
  <c r="A1506" i="1"/>
  <c r="R1505" i="1"/>
  <c r="Q1505" i="1"/>
  <c r="N1505" i="1"/>
  <c r="J1505" i="1"/>
  <c r="I1505" i="1"/>
  <c r="H1505" i="1"/>
  <c r="G1505" i="1"/>
  <c r="F1505" i="1"/>
  <c r="E1505" i="1"/>
  <c r="D1505" i="1"/>
  <c r="C1505" i="1"/>
  <c r="A1505" i="1"/>
  <c r="R1504" i="1"/>
  <c r="Q1504" i="1"/>
  <c r="N1504" i="1"/>
  <c r="J1504" i="1"/>
  <c r="I1504" i="1"/>
  <c r="H1504" i="1"/>
  <c r="G1504" i="1"/>
  <c r="F1504" i="1"/>
  <c r="E1504" i="1"/>
  <c r="D1504" i="1"/>
  <c r="C1504" i="1"/>
  <c r="A1504" i="1"/>
  <c r="R1503" i="1"/>
  <c r="Q1503" i="1"/>
  <c r="N1503" i="1"/>
  <c r="J1503" i="1"/>
  <c r="I1503" i="1"/>
  <c r="H1503" i="1"/>
  <c r="G1503" i="1"/>
  <c r="F1503" i="1"/>
  <c r="E1503" i="1"/>
  <c r="D1503" i="1"/>
  <c r="C1503" i="1"/>
  <c r="A1503" i="1"/>
  <c r="R1502" i="1"/>
  <c r="Q1502" i="1"/>
  <c r="N1502" i="1"/>
  <c r="J1502" i="1"/>
  <c r="I1502" i="1"/>
  <c r="H1502" i="1"/>
  <c r="G1502" i="1"/>
  <c r="F1502" i="1"/>
  <c r="E1502" i="1"/>
  <c r="D1502" i="1"/>
  <c r="C1502" i="1"/>
  <c r="A1502" i="1"/>
  <c r="R1501" i="1"/>
  <c r="Q1501" i="1"/>
  <c r="N1501" i="1"/>
  <c r="J1501" i="1"/>
  <c r="I1501" i="1"/>
  <c r="H1501" i="1"/>
  <c r="G1501" i="1"/>
  <c r="F1501" i="1"/>
  <c r="E1501" i="1"/>
  <c r="D1501" i="1"/>
  <c r="C1501" i="1"/>
  <c r="A1501" i="1"/>
  <c r="R1500" i="1"/>
  <c r="Q1500" i="1"/>
  <c r="N1500" i="1"/>
  <c r="J1500" i="1"/>
  <c r="I1500" i="1"/>
  <c r="H1500" i="1"/>
  <c r="G1500" i="1"/>
  <c r="F1500" i="1"/>
  <c r="E1500" i="1"/>
  <c r="D1500" i="1"/>
  <c r="C1500" i="1"/>
  <c r="A1500" i="1"/>
  <c r="R1499" i="1"/>
  <c r="Q1499" i="1"/>
  <c r="N1499" i="1"/>
  <c r="J1499" i="1"/>
  <c r="I1499" i="1"/>
  <c r="H1499" i="1"/>
  <c r="G1499" i="1"/>
  <c r="F1499" i="1"/>
  <c r="E1499" i="1"/>
  <c r="D1499" i="1"/>
  <c r="C1499" i="1"/>
  <c r="A1499" i="1"/>
  <c r="R1498" i="1"/>
  <c r="N1498" i="1"/>
  <c r="J1498" i="1"/>
  <c r="I1498" i="1"/>
  <c r="H1498" i="1"/>
  <c r="G1498" i="1"/>
  <c r="F1498" i="1"/>
  <c r="E1498" i="1"/>
  <c r="D1498" i="1"/>
  <c r="C1498" i="1"/>
  <c r="A1498" i="1"/>
  <c r="R1497" i="1"/>
  <c r="Q1497" i="1"/>
  <c r="N1497" i="1"/>
  <c r="J1497" i="1"/>
  <c r="I1497" i="1"/>
  <c r="H1497" i="1"/>
  <c r="G1497" i="1"/>
  <c r="F1497" i="1"/>
  <c r="E1497" i="1"/>
  <c r="D1497" i="1"/>
  <c r="C1497" i="1"/>
  <c r="A1497" i="1"/>
  <c r="R1496" i="1"/>
  <c r="Q1496" i="1"/>
  <c r="N1496" i="1"/>
  <c r="J1496" i="1"/>
  <c r="I1496" i="1"/>
  <c r="H1496" i="1"/>
  <c r="G1496" i="1"/>
  <c r="F1496" i="1"/>
  <c r="E1496" i="1"/>
  <c r="D1496" i="1"/>
  <c r="C1496" i="1"/>
  <c r="A1496" i="1"/>
  <c r="R1495" i="1"/>
  <c r="Q1495" i="1"/>
  <c r="N1495" i="1"/>
  <c r="J1495" i="1"/>
  <c r="I1495" i="1"/>
  <c r="H1495" i="1"/>
  <c r="G1495" i="1"/>
  <c r="F1495" i="1"/>
  <c r="E1495" i="1"/>
  <c r="D1495" i="1"/>
  <c r="C1495" i="1"/>
  <c r="A1495" i="1"/>
  <c r="R1494" i="1"/>
  <c r="Q1494" i="1"/>
  <c r="N1494" i="1"/>
  <c r="J1494" i="1"/>
  <c r="I1494" i="1"/>
  <c r="H1494" i="1"/>
  <c r="G1494" i="1"/>
  <c r="F1494" i="1"/>
  <c r="E1494" i="1"/>
  <c r="D1494" i="1"/>
  <c r="C1494" i="1"/>
  <c r="A1494" i="1"/>
  <c r="R1493" i="1"/>
  <c r="Q1493" i="1"/>
  <c r="N1493" i="1"/>
  <c r="J1493" i="1"/>
  <c r="I1493" i="1"/>
  <c r="H1493" i="1"/>
  <c r="G1493" i="1"/>
  <c r="F1493" i="1"/>
  <c r="E1493" i="1"/>
  <c r="D1493" i="1"/>
  <c r="C1493" i="1"/>
  <c r="A1493" i="1"/>
  <c r="R1492" i="1"/>
  <c r="Q1492" i="1"/>
  <c r="N1492" i="1"/>
  <c r="J1492" i="1"/>
  <c r="I1492" i="1"/>
  <c r="H1492" i="1"/>
  <c r="G1492" i="1"/>
  <c r="F1492" i="1"/>
  <c r="E1492" i="1"/>
  <c r="D1492" i="1"/>
  <c r="C1492" i="1"/>
  <c r="A1492" i="1"/>
  <c r="R1491" i="1"/>
  <c r="Q1491" i="1"/>
  <c r="N1491" i="1"/>
  <c r="J1491" i="1"/>
  <c r="I1491" i="1"/>
  <c r="H1491" i="1"/>
  <c r="G1491" i="1"/>
  <c r="F1491" i="1"/>
  <c r="E1491" i="1"/>
  <c r="D1491" i="1"/>
  <c r="C1491" i="1"/>
  <c r="A1491" i="1"/>
  <c r="R1490" i="1"/>
  <c r="Q1490" i="1"/>
  <c r="N1490" i="1"/>
  <c r="J1490" i="1"/>
  <c r="I1490" i="1"/>
  <c r="H1490" i="1"/>
  <c r="G1490" i="1"/>
  <c r="F1490" i="1"/>
  <c r="E1490" i="1"/>
  <c r="D1490" i="1"/>
  <c r="C1490" i="1"/>
  <c r="A1490" i="1"/>
  <c r="R1489" i="1"/>
  <c r="Q1489" i="1"/>
  <c r="N1489" i="1"/>
  <c r="J1489" i="1"/>
  <c r="I1489" i="1"/>
  <c r="H1489" i="1"/>
  <c r="G1489" i="1"/>
  <c r="F1489" i="1"/>
  <c r="E1489" i="1"/>
  <c r="D1489" i="1"/>
  <c r="C1489" i="1"/>
  <c r="A1489" i="1"/>
  <c r="R1488" i="1"/>
  <c r="Q1488" i="1"/>
  <c r="N1488" i="1"/>
  <c r="J1488" i="1"/>
  <c r="I1488" i="1"/>
  <c r="H1488" i="1"/>
  <c r="G1488" i="1"/>
  <c r="F1488" i="1"/>
  <c r="E1488" i="1"/>
  <c r="D1488" i="1"/>
  <c r="C1488" i="1"/>
  <c r="A1488" i="1"/>
  <c r="R1487" i="1"/>
  <c r="Q1487" i="1"/>
  <c r="N1487" i="1"/>
  <c r="J1487" i="1"/>
  <c r="I1487" i="1"/>
  <c r="H1487" i="1"/>
  <c r="G1487" i="1"/>
  <c r="F1487" i="1"/>
  <c r="E1487" i="1"/>
  <c r="D1487" i="1"/>
  <c r="C1487" i="1"/>
  <c r="A1487" i="1"/>
  <c r="R1486" i="1"/>
  <c r="Q1486" i="1"/>
  <c r="N1486" i="1"/>
  <c r="J1486" i="1"/>
  <c r="I1486" i="1"/>
  <c r="H1486" i="1"/>
  <c r="G1486" i="1"/>
  <c r="F1486" i="1"/>
  <c r="E1486" i="1"/>
  <c r="D1486" i="1"/>
  <c r="C1486" i="1"/>
  <c r="A1486" i="1"/>
  <c r="R1485" i="1"/>
  <c r="Q1485" i="1"/>
  <c r="N1485" i="1"/>
  <c r="J1485" i="1"/>
  <c r="I1485" i="1"/>
  <c r="H1485" i="1"/>
  <c r="G1485" i="1"/>
  <c r="F1485" i="1"/>
  <c r="E1485" i="1"/>
  <c r="D1485" i="1"/>
  <c r="C1485" i="1"/>
  <c r="A1485" i="1"/>
  <c r="R1484" i="1"/>
  <c r="Q1484" i="1"/>
  <c r="N1484" i="1"/>
  <c r="J1484" i="1"/>
  <c r="I1484" i="1"/>
  <c r="H1484" i="1"/>
  <c r="G1484" i="1"/>
  <c r="F1484" i="1"/>
  <c r="E1484" i="1"/>
  <c r="D1484" i="1"/>
  <c r="C1484" i="1"/>
  <c r="A1484" i="1"/>
  <c r="R1483" i="1"/>
  <c r="Q1483" i="1"/>
  <c r="N1483" i="1"/>
  <c r="J1483" i="1"/>
  <c r="I1483" i="1"/>
  <c r="H1483" i="1"/>
  <c r="G1483" i="1"/>
  <c r="F1483" i="1"/>
  <c r="E1483" i="1"/>
  <c r="D1483" i="1"/>
  <c r="C1483" i="1"/>
  <c r="A1483" i="1"/>
  <c r="R1482" i="1"/>
  <c r="Q1482" i="1"/>
  <c r="N1482" i="1"/>
  <c r="J1482" i="1"/>
  <c r="I1482" i="1"/>
  <c r="H1482" i="1"/>
  <c r="G1482" i="1"/>
  <c r="F1482" i="1"/>
  <c r="E1482" i="1"/>
  <c r="D1482" i="1"/>
  <c r="C1482" i="1"/>
  <c r="A1482" i="1"/>
  <c r="R1481" i="1"/>
  <c r="Q1481" i="1"/>
  <c r="N1481" i="1"/>
  <c r="J1481" i="1"/>
  <c r="I1481" i="1"/>
  <c r="H1481" i="1"/>
  <c r="G1481" i="1"/>
  <c r="F1481" i="1"/>
  <c r="E1481" i="1"/>
  <c r="D1481" i="1"/>
  <c r="C1481" i="1"/>
  <c r="A1481" i="1"/>
  <c r="R1480" i="1"/>
  <c r="Q1480" i="1"/>
  <c r="N1480" i="1"/>
  <c r="J1480" i="1"/>
  <c r="I1480" i="1"/>
  <c r="H1480" i="1"/>
  <c r="G1480" i="1"/>
  <c r="F1480" i="1"/>
  <c r="E1480" i="1"/>
  <c r="D1480" i="1"/>
  <c r="C1480" i="1"/>
  <c r="A1480" i="1"/>
  <c r="R1479" i="1"/>
  <c r="Q1479" i="1"/>
  <c r="N1479" i="1"/>
  <c r="J1479" i="1"/>
  <c r="I1479" i="1"/>
  <c r="H1479" i="1"/>
  <c r="G1479" i="1"/>
  <c r="F1479" i="1"/>
  <c r="E1479" i="1"/>
  <c r="D1479" i="1"/>
  <c r="C1479" i="1"/>
  <c r="A1479" i="1"/>
  <c r="R1478" i="1"/>
  <c r="Q1478" i="1"/>
  <c r="N1478" i="1"/>
  <c r="J1478" i="1"/>
  <c r="I1478" i="1"/>
  <c r="H1478" i="1"/>
  <c r="G1478" i="1"/>
  <c r="F1478" i="1"/>
  <c r="E1478" i="1"/>
  <c r="D1478" i="1"/>
  <c r="C1478" i="1"/>
  <c r="A1478" i="1"/>
  <c r="R1477" i="1"/>
  <c r="Q1477" i="1"/>
  <c r="N1477" i="1"/>
  <c r="J1477" i="1"/>
  <c r="I1477" i="1"/>
  <c r="H1477" i="1"/>
  <c r="G1477" i="1"/>
  <c r="F1477" i="1"/>
  <c r="E1477" i="1"/>
  <c r="D1477" i="1"/>
  <c r="C1477" i="1"/>
  <c r="A1477" i="1"/>
  <c r="R1476" i="1"/>
  <c r="Q1476" i="1"/>
  <c r="N1476" i="1"/>
  <c r="J1476" i="1"/>
  <c r="I1476" i="1"/>
  <c r="H1476" i="1"/>
  <c r="G1476" i="1"/>
  <c r="F1476" i="1"/>
  <c r="E1476" i="1"/>
  <c r="D1476" i="1"/>
  <c r="C1476" i="1"/>
  <c r="A1476" i="1"/>
  <c r="R1475" i="1"/>
  <c r="Q1475" i="1"/>
  <c r="N1475" i="1"/>
  <c r="J1475" i="1"/>
  <c r="I1475" i="1"/>
  <c r="H1475" i="1"/>
  <c r="G1475" i="1"/>
  <c r="F1475" i="1"/>
  <c r="E1475" i="1"/>
  <c r="D1475" i="1"/>
  <c r="C1475" i="1"/>
  <c r="A1475" i="1"/>
  <c r="R1474" i="1"/>
  <c r="Q1474" i="1"/>
  <c r="N1474" i="1"/>
  <c r="J1474" i="1"/>
  <c r="I1474" i="1"/>
  <c r="H1474" i="1"/>
  <c r="G1474" i="1"/>
  <c r="F1474" i="1"/>
  <c r="E1474" i="1"/>
  <c r="D1474" i="1"/>
  <c r="C1474" i="1"/>
  <c r="A1474" i="1"/>
  <c r="R1473" i="1"/>
  <c r="Q1473" i="1"/>
  <c r="N1473" i="1"/>
  <c r="J1473" i="1"/>
  <c r="I1473" i="1"/>
  <c r="H1473" i="1"/>
  <c r="G1473" i="1"/>
  <c r="F1473" i="1"/>
  <c r="E1473" i="1"/>
  <c r="D1473" i="1"/>
  <c r="C1473" i="1"/>
  <c r="A1473" i="1"/>
  <c r="R1472" i="1"/>
  <c r="Q1472" i="1"/>
  <c r="N1472" i="1"/>
  <c r="J1472" i="1"/>
  <c r="I1472" i="1"/>
  <c r="H1472" i="1"/>
  <c r="G1472" i="1"/>
  <c r="F1472" i="1"/>
  <c r="E1472" i="1"/>
  <c r="D1472" i="1"/>
  <c r="C1472" i="1"/>
  <c r="A1472" i="1"/>
  <c r="R1471" i="1"/>
  <c r="Q1471" i="1"/>
  <c r="N1471" i="1"/>
  <c r="J1471" i="1"/>
  <c r="I1471" i="1"/>
  <c r="H1471" i="1"/>
  <c r="G1471" i="1"/>
  <c r="F1471" i="1"/>
  <c r="E1471" i="1"/>
  <c r="D1471" i="1"/>
  <c r="C1471" i="1"/>
  <c r="A1471" i="1"/>
  <c r="R1470" i="1"/>
  <c r="Q1470" i="1"/>
  <c r="N1470" i="1"/>
  <c r="J1470" i="1"/>
  <c r="I1470" i="1"/>
  <c r="H1470" i="1"/>
  <c r="G1470" i="1"/>
  <c r="F1470" i="1"/>
  <c r="E1470" i="1"/>
  <c r="D1470" i="1"/>
  <c r="C1470" i="1"/>
  <c r="A1470" i="1"/>
  <c r="R1469" i="1"/>
  <c r="Q1469" i="1"/>
  <c r="N1469" i="1"/>
  <c r="J1469" i="1"/>
  <c r="I1469" i="1"/>
  <c r="H1469" i="1"/>
  <c r="G1469" i="1"/>
  <c r="F1469" i="1"/>
  <c r="E1469" i="1"/>
  <c r="D1469" i="1"/>
  <c r="C1469" i="1"/>
  <c r="A1469" i="1"/>
  <c r="R1468" i="1"/>
  <c r="Q1468" i="1"/>
  <c r="N1468" i="1"/>
  <c r="J1468" i="1"/>
  <c r="I1468" i="1"/>
  <c r="H1468" i="1"/>
  <c r="G1468" i="1"/>
  <c r="F1468" i="1"/>
  <c r="E1468" i="1"/>
  <c r="D1468" i="1"/>
  <c r="C1468" i="1"/>
  <c r="A1468" i="1"/>
  <c r="R1467" i="1"/>
  <c r="Q1467" i="1"/>
  <c r="N1467" i="1"/>
  <c r="J1467" i="1"/>
  <c r="I1467" i="1"/>
  <c r="H1467" i="1"/>
  <c r="G1467" i="1"/>
  <c r="F1467" i="1"/>
  <c r="E1467" i="1"/>
  <c r="D1467" i="1"/>
  <c r="C1467" i="1"/>
  <c r="A1467" i="1"/>
  <c r="R1466" i="1"/>
  <c r="Q1466" i="1"/>
  <c r="N1466" i="1"/>
  <c r="J1466" i="1"/>
  <c r="I1466" i="1"/>
  <c r="H1466" i="1"/>
  <c r="G1466" i="1"/>
  <c r="F1466" i="1"/>
  <c r="E1466" i="1"/>
  <c r="D1466" i="1"/>
  <c r="C1466" i="1"/>
  <c r="A1466" i="1"/>
  <c r="R1465" i="1"/>
  <c r="Q1465" i="1"/>
  <c r="N1465" i="1"/>
  <c r="J1465" i="1"/>
  <c r="I1465" i="1"/>
  <c r="H1465" i="1"/>
  <c r="G1465" i="1"/>
  <c r="F1465" i="1"/>
  <c r="E1465" i="1"/>
  <c r="D1465" i="1"/>
  <c r="C1465" i="1"/>
  <c r="A1465" i="1"/>
  <c r="R1464" i="1"/>
  <c r="Q1464" i="1"/>
  <c r="N1464" i="1"/>
  <c r="J1464" i="1"/>
  <c r="I1464" i="1"/>
  <c r="H1464" i="1"/>
  <c r="G1464" i="1"/>
  <c r="F1464" i="1"/>
  <c r="E1464" i="1"/>
  <c r="D1464" i="1"/>
  <c r="C1464" i="1"/>
  <c r="A1464" i="1"/>
  <c r="R1463" i="1"/>
  <c r="Q1463" i="1"/>
  <c r="N1463" i="1"/>
  <c r="J1463" i="1"/>
  <c r="I1463" i="1"/>
  <c r="H1463" i="1"/>
  <c r="G1463" i="1"/>
  <c r="F1463" i="1"/>
  <c r="E1463" i="1"/>
  <c r="D1463" i="1"/>
  <c r="C1463" i="1"/>
  <c r="A1463" i="1"/>
  <c r="R1462" i="1"/>
  <c r="Q1462" i="1"/>
  <c r="N1462" i="1"/>
  <c r="J1462" i="1"/>
  <c r="I1462" i="1"/>
  <c r="H1462" i="1"/>
  <c r="G1462" i="1"/>
  <c r="F1462" i="1"/>
  <c r="E1462" i="1"/>
  <c r="D1462" i="1"/>
  <c r="C1462" i="1"/>
  <c r="A1462" i="1"/>
  <c r="R1461" i="1"/>
  <c r="Q1461" i="1"/>
  <c r="N1461" i="1"/>
  <c r="J1461" i="1"/>
  <c r="I1461" i="1"/>
  <c r="H1461" i="1"/>
  <c r="G1461" i="1"/>
  <c r="F1461" i="1"/>
  <c r="E1461" i="1"/>
  <c r="D1461" i="1"/>
  <c r="C1461" i="1"/>
  <c r="A1461" i="1"/>
  <c r="R1460" i="1"/>
  <c r="Q1460" i="1"/>
  <c r="N1460" i="1"/>
  <c r="J1460" i="1"/>
  <c r="I1460" i="1"/>
  <c r="H1460" i="1"/>
  <c r="G1460" i="1"/>
  <c r="F1460" i="1"/>
  <c r="E1460" i="1"/>
  <c r="D1460" i="1"/>
  <c r="C1460" i="1"/>
  <c r="A1460" i="1"/>
  <c r="R1459" i="1"/>
  <c r="Q1459" i="1"/>
  <c r="N1459" i="1"/>
  <c r="J1459" i="1"/>
  <c r="I1459" i="1"/>
  <c r="H1459" i="1"/>
  <c r="G1459" i="1"/>
  <c r="F1459" i="1"/>
  <c r="E1459" i="1"/>
  <c r="D1459" i="1"/>
  <c r="C1459" i="1"/>
  <c r="A1459" i="1"/>
  <c r="R1458" i="1"/>
  <c r="Q1458" i="1"/>
  <c r="N1458" i="1"/>
  <c r="J1458" i="1"/>
  <c r="I1458" i="1"/>
  <c r="H1458" i="1"/>
  <c r="G1458" i="1"/>
  <c r="F1458" i="1"/>
  <c r="E1458" i="1"/>
  <c r="D1458" i="1"/>
  <c r="C1458" i="1"/>
  <c r="A1458" i="1"/>
  <c r="R1457" i="1"/>
  <c r="Q1457" i="1"/>
  <c r="N1457" i="1"/>
  <c r="J1457" i="1"/>
  <c r="I1457" i="1"/>
  <c r="H1457" i="1"/>
  <c r="G1457" i="1"/>
  <c r="F1457" i="1"/>
  <c r="E1457" i="1"/>
  <c r="D1457" i="1"/>
  <c r="C1457" i="1"/>
  <c r="A1457" i="1"/>
  <c r="R1456" i="1"/>
  <c r="Q1456" i="1"/>
  <c r="N1456" i="1"/>
  <c r="J1456" i="1"/>
  <c r="I1456" i="1"/>
  <c r="H1456" i="1"/>
  <c r="G1456" i="1"/>
  <c r="F1456" i="1"/>
  <c r="E1456" i="1"/>
  <c r="D1456" i="1"/>
  <c r="C1456" i="1"/>
  <c r="A1456" i="1"/>
  <c r="R1455" i="1"/>
  <c r="Q1455" i="1"/>
  <c r="N1455" i="1"/>
  <c r="J1455" i="1"/>
  <c r="I1455" i="1"/>
  <c r="H1455" i="1"/>
  <c r="G1455" i="1"/>
  <c r="F1455" i="1"/>
  <c r="E1455" i="1"/>
  <c r="D1455" i="1"/>
  <c r="C1455" i="1"/>
  <c r="A1455" i="1"/>
  <c r="R1454" i="1"/>
  <c r="Q1454" i="1"/>
  <c r="N1454" i="1"/>
  <c r="J1454" i="1"/>
  <c r="I1454" i="1"/>
  <c r="H1454" i="1"/>
  <c r="G1454" i="1"/>
  <c r="F1454" i="1"/>
  <c r="E1454" i="1"/>
  <c r="D1454" i="1"/>
  <c r="C1454" i="1"/>
  <c r="A1454" i="1"/>
  <c r="R1453" i="1"/>
  <c r="Q1453" i="1"/>
  <c r="N1453" i="1"/>
  <c r="J1453" i="1"/>
  <c r="I1453" i="1"/>
  <c r="H1453" i="1"/>
  <c r="G1453" i="1"/>
  <c r="F1453" i="1"/>
  <c r="E1453" i="1"/>
  <c r="D1453" i="1"/>
  <c r="C1453" i="1"/>
  <c r="A1453" i="1"/>
  <c r="R1452" i="1"/>
  <c r="N1452" i="1"/>
  <c r="J1452" i="1"/>
  <c r="I1452" i="1"/>
  <c r="H1452" i="1"/>
  <c r="G1452" i="1"/>
  <c r="F1452" i="1"/>
  <c r="E1452" i="1"/>
  <c r="D1452" i="1"/>
  <c r="C1452" i="1"/>
  <c r="B1452" i="1"/>
  <c r="A1452" i="1"/>
  <c r="R1451" i="1"/>
  <c r="N1451" i="1"/>
  <c r="J1451" i="1"/>
  <c r="I1451" i="1"/>
  <c r="H1451" i="1"/>
  <c r="G1451" i="1"/>
  <c r="F1451" i="1"/>
  <c r="E1451" i="1"/>
  <c r="D1451" i="1"/>
  <c r="C1451" i="1"/>
  <c r="B1451" i="1"/>
  <c r="A1451" i="1"/>
  <c r="R1450" i="1"/>
  <c r="N1450" i="1"/>
  <c r="J1450" i="1"/>
  <c r="I1450" i="1"/>
  <c r="H1450" i="1"/>
  <c r="G1450" i="1"/>
  <c r="F1450" i="1"/>
  <c r="E1450" i="1"/>
  <c r="D1450" i="1"/>
  <c r="C1450" i="1"/>
  <c r="B1450" i="1"/>
  <c r="A1450" i="1"/>
  <c r="R1449" i="1"/>
  <c r="N1449" i="1"/>
  <c r="J1449" i="1"/>
  <c r="I1449" i="1"/>
  <c r="H1449" i="1"/>
  <c r="G1449" i="1"/>
  <c r="F1449" i="1"/>
  <c r="E1449" i="1"/>
  <c r="D1449" i="1"/>
  <c r="C1449" i="1"/>
  <c r="B1449" i="1"/>
  <c r="A1449" i="1"/>
  <c r="R1448" i="1"/>
  <c r="Q1448" i="1"/>
  <c r="N1448" i="1"/>
  <c r="J1448" i="1"/>
  <c r="I1448" i="1"/>
  <c r="H1448" i="1"/>
  <c r="G1448" i="1"/>
  <c r="F1448" i="1"/>
  <c r="E1448" i="1"/>
  <c r="D1448" i="1"/>
  <c r="C1448" i="1"/>
  <c r="A1448" i="1"/>
  <c r="R1447" i="1"/>
  <c r="N1447" i="1"/>
  <c r="J1447" i="1"/>
  <c r="I1447" i="1"/>
  <c r="H1447" i="1"/>
  <c r="G1447" i="1"/>
  <c r="F1447" i="1"/>
  <c r="E1447" i="1"/>
  <c r="D1447" i="1"/>
  <c r="C1447" i="1"/>
  <c r="A1447" i="1"/>
  <c r="R1446" i="1"/>
  <c r="Q1446" i="1"/>
  <c r="N1446" i="1"/>
  <c r="J1446" i="1"/>
  <c r="I1446" i="1"/>
  <c r="H1446" i="1"/>
  <c r="G1446" i="1"/>
  <c r="F1446" i="1"/>
  <c r="E1446" i="1"/>
  <c r="D1446" i="1"/>
  <c r="C1446" i="1"/>
  <c r="A1446" i="1"/>
  <c r="R1445" i="1"/>
  <c r="N1445" i="1"/>
  <c r="J1445" i="1"/>
  <c r="I1445" i="1"/>
  <c r="H1445" i="1"/>
  <c r="G1445" i="1"/>
  <c r="F1445" i="1"/>
  <c r="E1445" i="1"/>
  <c r="D1445" i="1"/>
  <c r="C1445" i="1"/>
  <c r="A1445" i="1"/>
  <c r="R1444" i="1"/>
  <c r="Q1444" i="1"/>
  <c r="N1444" i="1"/>
  <c r="J1444" i="1"/>
  <c r="I1444" i="1"/>
  <c r="H1444" i="1"/>
  <c r="G1444" i="1"/>
  <c r="F1444" i="1"/>
  <c r="E1444" i="1"/>
  <c r="D1444" i="1"/>
  <c r="C1444" i="1"/>
  <c r="A1444" i="1"/>
  <c r="R1443" i="1"/>
  <c r="N1443" i="1"/>
  <c r="J1443" i="1"/>
  <c r="I1443" i="1"/>
  <c r="H1443" i="1"/>
  <c r="G1443" i="1"/>
  <c r="F1443" i="1"/>
  <c r="E1443" i="1"/>
  <c r="D1443" i="1"/>
  <c r="C1443" i="1"/>
  <c r="B1443" i="1"/>
  <c r="A1443" i="1"/>
  <c r="R1442" i="1"/>
  <c r="N1442" i="1"/>
  <c r="J1442" i="1"/>
  <c r="I1442" i="1"/>
  <c r="H1442" i="1"/>
  <c r="G1442" i="1"/>
  <c r="F1442" i="1"/>
  <c r="E1442" i="1"/>
  <c r="D1442" i="1"/>
  <c r="C1442" i="1"/>
  <c r="B1442" i="1"/>
  <c r="A1442" i="1"/>
  <c r="R1441" i="1"/>
  <c r="N1441" i="1"/>
  <c r="J1441" i="1"/>
  <c r="I1441" i="1"/>
  <c r="H1441" i="1"/>
  <c r="G1441" i="1"/>
  <c r="F1441" i="1"/>
  <c r="E1441" i="1"/>
  <c r="D1441" i="1"/>
  <c r="C1441" i="1"/>
  <c r="B1441" i="1"/>
  <c r="A1441" i="1"/>
  <c r="R1440" i="1"/>
  <c r="N1440" i="1"/>
  <c r="J1440" i="1"/>
  <c r="I1440" i="1"/>
  <c r="H1440" i="1"/>
  <c r="G1440" i="1"/>
  <c r="F1440" i="1"/>
  <c r="E1440" i="1"/>
  <c r="D1440" i="1"/>
  <c r="C1440" i="1"/>
  <c r="B1440" i="1"/>
  <c r="A1440" i="1"/>
  <c r="R1439" i="1"/>
  <c r="N1439" i="1"/>
  <c r="J1439" i="1"/>
  <c r="I1439" i="1"/>
  <c r="H1439" i="1"/>
  <c r="G1439" i="1"/>
  <c r="F1439" i="1"/>
  <c r="E1439" i="1"/>
  <c r="D1439" i="1"/>
  <c r="C1439" i="1"/>
  <c r="B1439" i="1"/>
  <c r="A1439" i="1"/>
  <c r="R1438" i="1"/>
  <c r="N1438" i="1"/>
  <c r="J1438" i="1"/>
  <c r="I1438" i="1"/>
  <c r="H1438" i="1"/>
  <c r="G1438" i="1"/>
  <c r="F1438" i="1"/>
  <c r="E1438" i="1"/>
  <c r="D1438" i="1"/>
  <c r="C1438" i="1"/>
  <c r="B1438" i="1"/>
  <c r="A1438" i="1"/>
  <c r="R1437" i="1"/>
  <c r="N1437" i="1"/>
  <c r="J1437" i="1"/>
  <c r="I1437" i="1"/>
  <c r="H1437" i="1"/>
  <c r="G1437" i="1"/>
  <c r="F1437" i="1"/>
  <c r="E1437" i="1"/>
  <c r="D1437" i="1"/>
  <c r="C1437" i="1"/>
  <c r="B1437" i="1"/>
  <c r="A1437" i="1"/>
  <c r="R1436" i="1"/>
  <c r="N1436" i="1"/>
  <c r="J1436" i="1"/>
  <c r="I1436" i="1"/>
  <c r="H1436" i="1"/>
  <c r="G1436" i="1"/>
  <c r="F1436" i="1"/>
  <c r="E1436" i="1"/>
  <c r="D1436" i="1"/>
  <c r="C1436" i="1"/>
  <c r="B1436" i="1"/>
  <c r="A1436" i="1"/>
  <c r="R1435" i="1"/>
  <c r="N1435" i="1"/>
  <c r="J1435" i="1"/>
  <c r="I1435" i="1"/>
  <c r="H1435" i="1"/>
  <c r="G1435" i="1"/>
  <c r="F1435" i="1"/>
  <c r="E1435" i="1"/>
  <c r="D1435" i="1"/>
  <c r="C1435" i="1"/>
  <c r="B1435" i="1"/>
  <c r="A1435" i="1"/>
  <c r="R1434" i="1"/>
  <c r="N1434" i="1"/>
  <c r="J1434" i="1"/>
  <c r="I1434" i="1"/>
  <c r="H1434" i="1"/>
  <c r="G1434" i="1"/>
  <c r="F1434" i="1"/>
  <c r="E1434" i="1"/>
  <c r="D1434" i="1"/>
  <c r="C1434" i="1"/>
  <c r="B1434" i="1"/>
  <c r="A1434" i="1"/>
  <c r="R1433" i="1"/>
  <c r="N1433" i="1"/>
  <c r="J1433" i="1"/>
  <c r="I1433" i="1"/>
  <c r="H1433" i="1"/>
  <c r="G1433" i="1"/>
  <c r="F1433" i="1"/>
  <c r="E1433" i="1"/>
  <c r="D1433" i="1"/>
  <c r="C1433" i="1"/>
  <c r="B1433" i="1"/>
  <c r="A1433" i="1"/>
  <c r="R1432" i="1"/>
  <c r="Q1432" i="1"/>
  <c r="N1432" i="1"/>
  <c r="J1432" i="1"/>
  <c r="I1432" i="1"/>
  <c r="H1432" i="1"/>
  <c r="G1432" i="1"/>
  <c r="F1432" i="1"/>
  <c r="E1432" i="1"/>
  <c r="D1432" i="1"/>
  <c r="C1432" i="1"/>
  <c r="A1432" i="1"/>
  <c r="R1431" i="1"/>
  <c r="N1431" i="1"/>
  <c r="J1431" i="1"/>
  <c r="I1431" i="1"/>
  <c r="H1431" i="1"/>
  <c r="G1431" i="1"/>
  <c r="F1431" i="1"/>
  <c r="E1431" i="1"/>
  <c r="D1431" i="1"/>
  <c r="C1431" i="1"/>
  <c r="A1431" i="1"/>
  <c r="R1430" i="1"/>
  <c r="Q1430" i="1"/>
  <c r="N1430" i="1"/>
  <c r="J1430" i="1"/>
  <c r="I1430" i="1"/>
  <c r="H1430" i="1"/>
  <c r="G1430" i="1"/>
  <c r="F1430" i="1"/>
  <c r="E1430" i="1"/>
  <c r="D1430" i="1"/>
  <c r="C1430" i="1"/>
  <c r="A1430" i="1"/>
  <c r="R1429" i="1"/>
  <c r="N1429" i="1"/>
  <c r="J1429" i="1"/>
  <c r="I1429" i="1"/>
  <c r="H1429" i="1"/>
  <c r="G1429" i="1"/>
  <c r="F1429" i="1"/>
  <c r="E1429" i="1"/>
  <c r="D1429" i="1"/>
  <c r="C1429" i="1"/>
  <c r="A1429" i="1"/>
  <c r="R1428" i="1"/>
  <c r="Q1428" i="1"/>
  <c r="N1428" i="1"/>
  <c r="J1428" i="1"/>
  <c r="I1428" i="1"/>
  <c r="H1428" i="1"/>
  <c r="G1428" i="1"/>
  <c r="F1428" i="1"/>
  <c r="E1428" i="1"/>
  <c r="D1428" i="1"/>
  <c r="C1428" i="1"/>
  <c r="A1428" i="1"/>
  <c r="R1427" i="1"/>
  <c r="N1427" i="1"/>
  <c r="J1427" i="1"/>
  <c r="I1427" i="1"/>
  <c r="H1427" i="1"/>
  <c r="G1427" i="1"/>
  <c r="F1427" i="1"/>
  <c r="E1427" i="1"/>
  <c r="D1427" i="1"/>
  <c r="C1427" i="1"/>
  <c r="A1427" i="1"/>
  <c r="R1426" i="1"/>
  <c r="Q1426" i="1"/>
  <c r="N1426" i="1"/>
  <c r="J1426" i="1"/>
  <c r="I1426" i="1"/>
  <c r="H1426" i="1"/>
  <c r="G1426" i="1"/>
  <c r="F1426" i="1"/>
  <c r="E1426" i="1"/>
  <c r="D1426" i="1"/>
  <c r="C1426" i="1"/>
  <c r="A1426" i="1"/>
  <c r="R1425" i="1"/>
  <c r="N1425" i="1"/>
  <c r="J1425" i="1"/>
  <c r="I1425" i="1"/>
  <c r="H1425" i="1"/>
  <c r="G1425" i="1"/>
  <c r="F1425" i="1"/>
  <c r="E1425" i="1"/>
  <c r="D1425" i="1"/>
  <c r="C1425" i="1"/>
  <c r="A1425" i="1"/>
  <c r="R1424" i="1"/>
  <c r="Q1424" i="1"/>
  <c r="N1424" i="1"/>
  <c r="J1424" i="1"/>
  <c r="I1424" i="1"/>
  <c r="H1424" i="1"/>
  <c r="G1424" i="1"/>
  <c r="F1424" i="1"/>
  <c r="E1424" i="1"/>
  <c r="D1424" i="1"/>
  <c r="C1424" i="1"/>
  <c r="A1424" i="1"/>
  <c r="R1423" i="1"/>
  <c r="N1423" i="1"/>
  <c r="J1423" i="1"/>
  <c r="I1423" i="1"/>
  <c r="H1423" i="1"/>
  <c r="G1423" i="1"/>
  <c r="F1423" i="1"/>
  <c r="E1423" i="1"/>
  <c r="D1423" i="1"/>
  <c r="C1423" i="1"/>
  <c r="A1423" i="1"/>
  <c r="R1422" i="1"/>
  <c r="Q1422" i="1"/>
  <c r="N1422" i="1"/>
  <c r="J1422" i="1"/>
  <c r="I1422" i="1"/>
  <c r="H1422" i="1"/>
  <c r="G1422" i="1"/>
  <c r="F1422" i="1"/>
  <c r="E1422" i="1"/>
  <c r="D1422" i="1"/>
  <c r="C1422" i="1"/>
  <c r="A1422" i="1"/>
  <c r="R1421" i="1"/>
  <c r="N1421" i="1"/>
  <c r="J1421" i="1"/>
  <c r="I1421" i="1"/>
  <c r="H1421" i="1"/>
  <c r="G1421" i="1"/>
  <c r="F1421" i="1"/>
  <c r="E1421" i="1"/>
  <c r="D1421" i="1"/>
  <c r="C1421" i="1"/>
  <c r="A1421" i="1"/>
  <c r="R1420" i="1"/>
  <c r="Q1420" i="1"/>
  <c r="N1420" i="1"/>
  <c r="J1420" i="1"/>
  <c r="I1420" i="1"/>
  <c r="H1420" i="1"/>
  <c r="G1420" i="1"/>
  <c r="F1420" i="1"/>
  <c r="E1420" i="1"/>
  <c r="D1420" i="1"/>
  <c r="C1420" i="1"/>
  <c r="A1420" i="1"/>
  <c r="R1419" i="1"/>
  <c r="Q1419" i="1"/>
  <c r="N1419" i="1"/>
  <c r="J1419" i="1"/>
  <c r="I1419" i="1"/>
  <c r="H1419" i="1"/>
  <c r="G1419" i="1"/>
  <c r="F1419" i="1"/>
  <c r="E1419" i="1"/>
  <c r="D1419" i="1"/>
  <c r="C1419" i="1"/>
  <c r="A1419" i="1"/>
  <c r="R1418" i="1"/>
  <c r="Q1418" i="1"/>
  <c r="N1418" i="1"/>
  <c r="J1418" i="1"/>
  <c r="I1418" i="1"/>
  <c r="H1418" i="1"/>
  <c r="G1418" i="1"/>
  <c r="F1418" i="1"/>
  <c r="E1418" i="1"/>
  <c r="D1418" i="1"/>
  <c r="C1418" i="1"/>
  <c r="A1418" i="1"/>
  <c r="R1417" i="1"/>
  <c r="N1417" i="1"/>
  <c r="J1417" i="1"/>
  <c r="I1417" i="1"/>
  <c r="H1417" i="1"/>
  <c r="G1417" i="1"/>
  <c r="F1417" i="1"/>
  <c r="E1417" i="1"/>
  <c r="D1417" i="1"/>
  <c r="C1417" i="1"/>
  <c r="A1417" i="1"/>
  <c r="R1416" i="1"/>
  <c r="Q1416" i="1"/>
  <c r="N1416" i="1"/>
  <c r="J1416" i="1"/>
  <c r="I1416" i="1"/>
  <c r="H1416" i="1"/>
  <c r="G1416" i="1"/>
  <c r="F1416" i="1"/>
  <c r="E1416" i="1"/>
  <c r="D1416" i="1"/>
  <c r="C1416" i="1"/>
  <c r="A1416" i="1"/>
  <c r="R1415" i="1"/>
  <c r="N1415" i="1"/>
  <c r="J1415" i="1"/>
  <c r="I1415" i="1"/>
  <c r="H1415" i="1"/>
  <c r="G1415" i="1"/>
  <c r="F1415" i="1"/>
  <c r="E1415" i="1"/>
  <c r="D1415" i="1"/>
  <c r="C1415" i="1"/>
  <c r="B1415" i="1"/>
  <c r="A1415" i="1"/>
  <c r="R1414" i="1"/>
  <c r="N1414" i="1"/>
  <c r="J1414" i="1"/>
  <c r="I1414" i="1"/>
  <c r="H1414" i="1"/>
  <c r="G1414" i="1"/>
  <c r="F1414" i="1"/>
  <c r="E1414" i="1"/>
  <c r="D1414" i="1"/>
  <c r="C1414" i="1"/>
  <c r="B1414" i="1"/>
  <c r="A1414" i="1"/>
  <c r="R1413" i="1"/>
  <c r="N1413" i="1"/>
  <c r="J1413" i="1"/>
  <c r="I1413" i="1"/>
  <c r="H1413" i="1"/>
  <c r="G1413" i="1"/>
  <c r="F1413" i="1"/>
  <c r="E1413" i="1"/>
  <c r="D1413" i="1"/>
  <c r="C1413" i="1"/>
  <c r="B1413" i="1"/>
  <c r="A1413" i="1"/>
  <c r="R1412" i="1"/>
  <c r="N1412" i="1"/>
  <c r="J1412" i="1"/>
  <c r="I1412" i="1"/>
  <c r="H1412" i="1"/>
  <c r="G1412" i="1"/>
  <c r="F1412" i="1"/>
  <c r="E1412" i="1"/>
  <c r="D1412" i="1"/>
  <c r="C1412" i="1"/>
  <c r="B1412" i="1"/>
  <c r="A1412" i="1"/>
  <c r="R1411" i="1"/>
  <c r="Q1411" i="1"/>
  <c r="N1411" i="1"/>
  <c r="J1411" i="1"/>
  <c r="I1411" i="1"/>
  <c r="H1411" i="1"/>
  <c r="G1411" i="1"/>
  <c r="F1411" i="1"/>
  <c r="E1411" i="1"/>
  <c r="D1411" i="1"/>
  <c r="C1411" i="1"/>
  <c r="A1411" i="1"/>
  <c r="R1410" i="1"/>
  <c r="N1410" i="1"/>
  <c r="J1410" i="1"/>
  <c r="I1410" i="1"/>
  <c r="H1410" i="1"/>
  <c r="G1410" i="1"/>
  <c r="F1410" i="1"/>
  <c r="E1410" i="1"/>
  <c r="D1410" i="1"/>
  <c r="C1410" i="1"/>
  <c r="A1410" i="1"/>
  <c r="R1409" i="1"/>
  <c r="Q1409" i="1"/>
  <c r="N1409" i="1"/>
  <c r="J1409" i="1"/>
  <c r="I1409" i="1"/>
  <c r="H1409" i="1"/>
  <c r="G1409" i="1"/>
  <c r="F1409" i="1"/>
  <c r="E1409" i="1"/>
  <c r="D1409" i="1"/>
  <c r="C1409" i="1"/>
  <c r="A1409" i="1"/>
  <c r="R1408" i="1"/>
  <c r="N1408" i="1"/>
  <c r="J1408" i="1"/>
  <c r="I1408" i="1"/>
  <c r="H1408" i="1"/>
  <c r="G1408" i="1"/>
  <c r="F1408" i="1"/>
  <c r="E1408" i="1"/>
  <c r="D1408" i="1"/>
  <c r="C1408" i="1"/>
  <c r="A1408" i="1"/>
  <c r="R1407" i="1"/>
  <c r="Q1407" i="1"/>
  <c r="N1407" i="1"/>
  <c r="J1407" i="1"/>
  <c r="I1407" i="1"/>
  <c r="H1407" i="1"/>
  <c r="G1407" i="1"/>
  <c r="F1407" i="1"/>
  <c r="E1407" i="1"/>
  <c r="D1407" i="1"/>
  <c r="C1407" i="1"/>
  <c r="A1407" i="1"/>
  <c r="R1406" i="1"/>
  <c r="Q1406" i="1"/>
  <c r="N1406" i="1"/>
  <c r="J1406" i="1"/>
  <c r="I1406" i="1"/>
  <c r="H1406" i="1"/>
  <c r="G1406" i="1"/>
  <c r="F1406" i="1"/>
  <c r="E1406" i="1"/>
  <c r="D1406" i="1"/>
  <c r="C1406" i="1"/>
  <c r="A1406" i="1"/>
  <c r="R1405" i="1"/>
  <c r="Q1405" i="1"/>
  <c r="N1405" i="1"/>
  <c r="J1405" i="1"/>
  <c r="I1405" i="1"/>
  <c r="H1405" i="1"/>
  <c r="G1405" i="1"/>
  <c r="F1405" i="1"/>
  <c r="E1405" i="1"/>
  <c r="D1405" i="1"/>
  <c r="C1405" i="1"/>
  <c r="A1405" i="1"/>
  <c r="R1404" i="1"/>
  <c r="Q1404" i="1"/>
  <c r="N1404" i="1"/>
  <c r="J1404" i="1"/>
  <c r="I1404" i="1"/>
  <c r="H1404" i="1"/>
  <c r="G1404" i="1"/>
  <c r="F1404" i="1"/>
  <c r="E1404" i="1"/>
  <c r="D1404" i="1"/>
  <c r="C1404" i="1"/>
  <c r="A1404" i="1"/>
  <c r="R1403" i="1"/>
  <c r="Q1403" i="1"/>
  <c r="N1403" i="1"/>
  <c r="J1403" i="1"/>
  <c r="I1403" i="1"/>
  <c r="H1403" i="1"/>
  <c r="G1403" i="1"/>
  <c r="F1403" i="1"/>
  <c r="E1403" i="1"/>
  <c r="D1403" i="1"/>
  <c r="C1403" i="1"/>
  <c r="A1403" i="1"/>
  <c r="R1402" i="1"/>
  <c r="Q1402" i="1"/>
  <c r="N1402" i="1"/>
  <c r="J1402" i="1"/>
  <c r="I1402" i="1"/>
  <c r="H1402" i="1"/>
  <c r="G1402" i="1"/>
  <c r="F1402" i="1"/>
  <c r="E1402" i="1"/>
  <c r="D1402" i="1"/>
  <c r="C1402" i="1"/>
  <c r="A1402" i="1"/>
  <c r="R1401" i="1"/>
  <c r="Q1401" i="1"/>
  <c r="N1401" i="1"/>
  <c r="J1401" i="1"/>
  <c r="I1401" i="1"/>
  <c r="H1401" i="1"/>
  <c r="G1401" i="1"/>
  <c r="F1401" i="1"/>
  <c r="E1401" i="1"/>
  <c r="D1401" i="1"/>
  <c r="C1401" i="1"/>
  <c r="A1401" i="1"/>
  <c r="R1400" i="1"/>
  <c r="Q1400" i="1"/>
  <c r="N1400" i="1"/>
  <c r="J1400" i="1"/>
  <c r="I1400" i="1"/>
  <c r="H1400" i="1"/>
  <c r="G1400" i="1"/>
  <c r="F1400" i="1"/>
  <c r="E1400" i="1"/>
  <c r="D1400" i="1"/>
  <c r="C1400" i="1"/>
  <c r="A1400" i="1"/>
  <c r="R1399" i="1"/>
  <c r="Q1399" i="1"/>
  <c r="N1399" i="1"/>
  <c r="J1399" i="1"/>
  <c r="I1399" i="1"/>
  <c r="H1399" i="1"/>
  <c r="G1399" i="1"/>
  <c r="F1399" i="1"/>
  <c r="E1399" i="1"/>
  <c r="D1399" i="1"/>
  <c r="C1399" i="1"/>
  <c r="A1399" i="1"/>
  <c r="R1398" i="1"/>
  <c r="Q1398" i="1"/>
  <c r="N1398" i="1"/>
  <c r="J1398" i="1"/>
  <c r="I1398" i="1"/>
  <c r="H1398" i="1"/>
  <c r="G1398" i="1"/>
  <c r="F1398" i="1"/>
  <c r="E1398" i="1"/>
  <c r="D1398" i="1"/>
  <c r="C1398" i="1"/>
  <c r="A1398" i="1"/>
  <c r="R1397" i="1"/>
  <c r="Q1397" i="1"/>
  <c r="N1397" i="1"/>
  <c r="J1397" i="1"/>
  <c r="I1397" i="1"/>
  <c r="H1397" i="1"/>
  <c r="G1397" i="1"/>
  <c r="F1397" i="1"/>
  <c r="E1397" i="1"/>
  <c r="D1397" i="1"/>
  <c r="C1397" i="1"/>
  <c r="A1397" i="1"/>
  <c r="R1396" i="1"/>
  <c r="Q1396" i="1"/>
  <c r="N1396" i="1"/>
  <c r="J1396" i="1"/>
  <c r="I1396" i="1"/>
  <c r="H1396" i="1"/>
  <c r="G1396" i="1"/>
  <c r="F1396" i="1"/>
  <c r="E1396" i="1"/>
  <c r="D1396" i="1"/>
  <c r="C1396" i="1"/>
  <c r="A1396" i="1"/>
  <c r="R1395" i="1"/>
  <c r="Q1395" i="1"/>
  <c r="N1395" i="1"/>
  <c r="J1395" i="1"/>
  <c r="I1395" i="1"/>
  <c r="H1395" i="1"/>
  <c r="G1395" i="1"/>
  <c r="F1395" i="1"/>
  <c r="E1395" i="1"/>
  <c r="D1395" i="1"/>
  <c r="C1395" i="1"/>
  <c r="A1395" i="1"/>
  <c r="R1394" i="1"/>
  <c r="Q1394" i="1"/>
  <c r="N1394" i="1"/>
  <c r="J1394" i="1"/>
  <c r="I1394" i="1"/>
  <c r="H1394" i="1"/>
  <c r="G1394" i="1"/>
  <c r="F1394" i="1"/>
  <c r="E1394" i="1"/>
  <c r="D1394" i="1"/>
  <c r="C1394" i="1"/>
  <c r="A1394" i="1"/>
  <c r="R1393" i="1"/>
  <c r="Q1393" i="1"/>
  <c r="N1393" i="1"/>
  <c r="J1393" i="1"/>
  <c r="I1393" i="1"/>
  <c r="H1393" i="1"/>
  <c r="G1393" i="1"/>
  <c r="F1393" i="1"/>
  <c r="E1393" i="1"/>
  <c r="D1393" i="1"/>
  <c r="C1393" i="1"/>
  <c r="A1393" i="1"/>
  <c r="R1392" i="1"/>
  <c r="Q1392" i="1"/>
  <c r="N1392" i="1"/>
  <c r="J1392" i="1"/>
  <c r="I1392" i="1"/>
  <c r="H1392" i="1"/>
  <c r="G1392" i="1"/>
  <c r="F1392" i="1"/>
  <c r="E1392" i="1"/>
  <c r="D1392" i="1"/>
  <c r="C1392" i="1"/>
  <c r="A1392" i="1"/>
  <c r="R1391" i="1"/>
  <c r="Q1391" i="1"/>
  <c r="N1391" i="1"/>
  <c r="J1391" i="1"/>
  <c r="I1391" i="1"/>
  <c r="H1391" i="1"/>
  <c r="G1391" i="1"/>
  <c r="F1391" i="1"/>
  <c r="E1391" i="1"/>
  <c r="D1391" i="1"/>
  <c r="C1391" i="1"/>
  <c r="A1391" i="1"/>
  <c r="R1390" i="1"/>
  <c r="Q1390" i="1"/>
  <c r="N1390" i="1"/>
  <c r="J1390" i="1"/>
  <c r="I1390" i="1"/>
  <c r="H1390" i="1"/>
  <c r="G1390" i="1"/>
  <c r="F1390" i="1"/>
  <c r="E1390" i="1"/>
  <c r="D1390" i="1"/>
  <c r="C1390" i="1"/>
  <c r="A1390" i="1"/>
  <c r="R1389" i="1"/>
  <c r="Q1389" i="1"/>
  <c r="N1389" i="1"/>
  <c r="J1389" i="1"/>
  <c r="I1389" i="1"/>
  <c r="H1389" i="1"/>
  <c r="G1389" i="1"/>
  <c r="F1389" i="1"/>
  <c r="E1389" i="1"/>
  <c r="D1389" i="1"/>
  <c r="C1389" i="1"/>
  <c r="A1389" i="1"/>
  <c r="R1388" i="1"/>
  <c r="Q1388" i="1"/>
  <c r="N1388" i="1"/>
  <c r="J1388" i="1"/>
  <c r="I1388" i="1"/>
  <c r="H1388" i="1"/>
  <c r="G1388" i="1"/>
  <c r="F1388" i="1"/>
  <c r="E1388" i="1"/>
  <c r="D1388" i="1"/>
  <c r="C1388" i="1"/>
  <c r="A1388" i="1"/>
  <c r="R1387" i="1"/>
  <c r="Q1387" i="1"/>
  <c r="N1387" i="1"/>
  <c r="J1387" i="1"/>
  <c r="I1387" i="1"/>
  <c r="H1387" i="1"/>
  <c r="G1387" i="1"/>
  <c r="F1387" i="1"/>
  <c r="E1387" i="1"/>
  <c r="D1387" i="1"/>
  <c r="C1387" i="1"/>
  <c r="A1387" i="1"/>
  <c r="R1386" i="1"/>
  <c r="Q1386" i="1"/>
  <c r="N1386" i="1"/>
  <c r="J1386" i="1"/>
  <c r="I1386" i="1"/>
  <c r="H1386" i="1"/>
  <c r="G1386" i="1"/>
  <c r="F1386" i="1"/>
  <c r="E1386" i="1"/>
  <c r="D1386" i="1"/>
  <c r="C1386" i="1"/>
  <c r="A1386" i="1"/>
  <c r="R1385" i="1"/>
  <c r="Q1385" i="1"/>
  <c r="N1385" i="1"/>
  <c r="J1385" i="1"/>
  <c r="I1385" i="1"/>
  <c r="H1385" i="1"/>
  <c r="G1385" i="1"/>
  <c r="F1385" i="1"/>
  <c r="E1385" i="1"/>
  <c r="D1385" i="1"/>
  <c r="C1385" i="1"/>
  <c r="A1385" i="1"/>
  <c r="R1384" i="1"/>
  <c r="Q1384" i="1"/>
  <c r="N1384" i="1"/>
  <c r="J1384" i="1"/>
  <c r="I1384" i="1"/>
  <c r="H1384" i="1"/>
  <c r="G1384" i="1"/>
  <c r="F1384" i="1"/>
  <c r="E1384" i="1"/>
  <c r="D1384" i="1"/>
  <c r="C1384" i="1"/>
  <c r="A1384" i="1"/>
  <c r="R1383" i="1"/>
  <c r="Q1383" i="1"/>
  <c r="N1383" i="1"/>
  <c r="J1383" i="1"/>
  <c r="I1383" i="1"/>
  <c r="H1383" i="1"/>
  <c r="G1383" i="1"/>
  <c r="F1383" i="1"/>
  <c r="E1383" i="1"/>
  <c r="D1383" i="1"/>
  <c r="C1383" i="1"/>
  <c r="A1383" i="1"/>
  <c r="R1382" i="1"/>
  <c r="Q1382" i="1"/>
  <c r="N1382" i="1"/>
  <c r="J1382" i="1"/>
  <c r="I1382" i="1"/>
  <c r="H1382" i="1"/>
  <c r="G1382" i="1"/>
  <c r="F1382" i="1"/>
  <c r="E1382" i="1"/>
  <c r="D1382" i="1"/>
  <c r="C1382" i="1"/>
  <c r="A1382" i="1"/>
  <c r="R1381" i="1"/>
  <c r="Q1381" i="1"/>
  <c r="N1381" i="1"/>
  <c r="J1381" i="1"/>
  <c r="I1381" i="1"/>
  <c r="H1381" i="1"/>
  <c r="G1381" i="1"/>
  <c r="F1381" i="1"/>
  <c r="E1381" i="1"/>
  <c r="D1381" i="1"/>
  <c r="C1381" i="1"/>
  <c r="A1381" i="1"/>
  <c r="R1380" i="1"/>
  <c r="Q1380" i="1"/>
  <c r="N1380" i="1"/>
  <c r="J1380" i="1"/>
  <c r="I1380" i="1"/>
  <c r="H1380" i="1"/>
  <c r="G1380" i="1"/>
  <c r="F1380" i="1"/>
  <c r="E1380" i="1"/>
  <c r="D1380" i="1"/>
  <c r="C1380" i="1"/>
  <c r="A1380" i="1"/>
  <c r="R1379" i="1"/>
  <c r="Q1379" i="1"/>
  <c r="N1379" i="1"/>
  <c r="J1379" i="1"/>
  <c r="I1379" i="1"/>
  <c r="H1379" i="1"/>
  <c r="G1379" i="1"/>
  <c r="F1379" i="1"/>
  <c r="E1379" i="1"/>
  <c r="D1379" i="1"/>
  <c r="C1379" i="1"/>
  <c r="A1379" i="1"/>
  <c r="R1378" i="1"/>
  <c r="Q1378" i="1"/>
  <c r="N1378" i="1"/>
  <c r="J1378" i="1"/>
  <c r="I1378" i="1"/>
  <c r="H1378" i="1"/>
  <c r="G1378" i="1"/>
  <c r="F1378" i="1"/>
  <c r="E1378" i="1"/>
  <c r="D1378" i="1"/>
  <c r="C1378" i="1"/>
  <c r="A1378" i="1"/>
  <c r="R1377" i="1"/>
  <c r="Q1377" i="1"/>
  <c r="N1377" i="1"/>
  <c r="J1377" i="1"/>
  <c r="I1377" i="1"/>
  <c r="H1377" i="1"/>
  <c r="G1377" i="1"/>
  <c r="F1377" i="1"/>
  <c r="E1377" i="1"/>
  <c r="D1377" i="1"/>
  <c r="C1377" i="1"/>
  <c r="A1377" i="1"/>
  <c r="R1376" i="1"/>
  <c r="Q1376" i="1"/>
  <c r="N1376" i="1"/>
  <c r="J1376" i="1"/>
  <c r="I1376" i="1"/>
  <c r="H1376" i="1"/>
  <c r="G1376" i="1"/>
  <c r="F1376" i="1"/>
  <c r="E1376" i="1"/>
  <c r="D1376" i="1"/>
  <c r="C1376" i="1"/>
  <c r="A1376" i="1"/>
  <c r="R1375" i="1"/>
  <c r="Q1375" i="1"/>
  <c r="N1375" i="1"/>
  <c r="J1375" i="1"/>
  <c r="I1375" i="1"/>
  <c r="H1375" i="1"/>
  <c r="G1375" i="1"/>
  <c r="F1375" i="1"/>
  <c r="E1375" i="1"/>
  <c r="D1375" i="1"/>
  <c r="C1375" i="1"/>
  <c r="A1375" i="1"/>
  <c r="R1374" i="1"/>
  <c r="Q1374" i="1"/>
  <c r="N1374" i="1"/>
  <c r="J1374" i="1"/>
  <c r="I1374" i="1"/>
  <c r="H1374" i="1"/>
  <c r="G1374" i="1"/>
  <c r="F1374" i="1"/>
  <c r="E1374" i="1"/>
  <c r="D1374" i="1"/>
  <c r="C1374" i="1"/>
  <c r="A1374" i="1"/>
  <c r="R1373" i="1"/>
  <c r="Q1373" i="1"/>
  <c r="N1373" i="1"/>
  <c r="J1373" i="1"/>
  <c r="I1373" i="1"/>
  <c r="H1373" i="1"/>
  <c r="G1373" i="1"/>
  <c r="F1373" i="1"/>
  <c r="E1373" i="1"/>
  <c r="D1373" i="1"/>
  <c r="C1373" i="1"/>
  <c r="A1373" i="1"/>
  <c r="R1372" i="1"/>
  <c r="Q1372" i="1"/>
  <c r="N1372" i="1"/>
  <c r="J1372" i="1"/>
  <c r="I1372" i="1"/>
  <c r="H1372" i="1"/>
  <c r="G1372" i="1"/>
  <c r="F1372" i="1"/>
  <c r="E1372" i="1"/>
  <c r="D1372" i="1"/>
  <c r="C1372" i="1"/>
  <c r="A1372" i="1"/>
  <c r="R1371" i="1"/>
  <c r="Q1371" i="1"/>
  <c r="N1371" i="1"/>
  <c r="J1371" i="1"/>
  <c r="I1371" i="1"/>
  <c r="H1371" i="1"/>
  <c r="G1371" i="1"/>
  <c r="F1371" i="1"/>
  <c r="E1371" i="1"/>
  <c r="D1371" i="1"/>
  <c r="C1371" i="1"/>
  <c r="A1371" i="1"/>
  <c r="R1370" i="1"/>
  <c r="Q1370" i="1"/>
  <c r="N1370" i="1"/>
  <c r="J1370" i="1"/>
  <c r="I1370" i="1"/>
  <c r="H1370" i="1"/>
  <c r="G1370" i="1"/>
  <c r="F1370" i="1"/>
  <c r="E1370" i="1"/>
  <c r="D1370" i="1"/>
  <c r="C1370" i="1"/>
  <c r="A1370" i="1"/>
  <c r="R1369" i="1"/>
  <c r="Q1369" i="1"/>
  <c r="N1369" i="1"/>
  <c r="J1369" i="1"/>
  <c r="I1369" i="1"/>
  <c r="H1369" i="1"/>
  <c r="G1369" i="1"/>
  <c r="F1369" i="1"/>
  <c r="E1369" i="1"/>
  <c r="D1369" i="1"/>
  <c r="C1369" i="1"/>
  <c r="A1369" i="1"/>
  <c r="R1368" i="1"/>
  <c r="Q1368" i="1"/>
  <c r="N1368" i="1"/>
  <c r="J1368" i="1"/>
  <c r="I1368" i="1"/>
  <c r="H1368" i="1"/>
  <c r="G1368" i="1"/>
  <c r="F1368" i="1"/>
  <c r="E1368" i="1"/>
  <c r="D1368" i="1"/>
  <c r="C1368" i="1"/>
  <c r="A1368" i="1"/>
  <c r="R1367" i="1"/>
  <c r="Q1367" i="1"/>
  <c r="N1367" i="1"/>
  <c r="J1367" i="1"/>
  <c r="I1367" i="1"/>
  <c r="H1367" i="1"/>
  <c r="G1367" i="1"/>
  <c r="F1367" i="1"/>
  <c r="E1367" i="1"/>
  <c r="D1367" i="1"/>
  <c r="C1367" i="1"/>
  <c r="A1367" i="1"/>
  <c r="R1366" i="1"/>
  <c r="Q1366" i="1"/>
  <c r="N1366" i="1"/>
  <c r="J1366" i="1"/>
  <c r="I1366" i="1"/>
  <c r="H1366" i="1"/>
  <c r="G1366" i="1"/>
  <c r="F1366" i="1"/>
  <c r="E1366" i="1"/>
  <c r="D1366" i="1"/>
  <c r="C1366" i="1"/>
  <c r="A1366" i="1"/>
  <c r="R1365" i="1"/>
  <c r="Q1365" i="1"/>
  <c r="N1365" i="1"/>
  <c r="J1365" i="1"/>
  <c r="I1365" i="1"/>
  <c r="H1365" i="1"/>
  <c r="G1365" i="1"/>
  <c r="F1365" i="1"/>
  <c r="E1365" i="1"/>
  <c r="D1365" i="1"/>
  <c r="C1365" i="1"/>
  <c r="A1365" i="1"/>
  <c r="R1364" i="1"/>
  <c r="Q1364" i="1"/>
  <c r="N1364" i="1"/>
  <c r="J1364" i="1"/>
  <c r="I1364" i="1"/>
  <c r="H1364" i="1"/>
  <c r="G1364" i="1"/>
  <c r="F1364" i="1"/>
  <c r="E1364" i="1"/>
  <c r="D1364" i="1"/>
  <c r="C1364" i="1"/>
  <c r="A1364" i="1"/>
  <c r="R1363" i="1"/>
  <c r="Q1363" i="1"/>
  <c r="N1363" i="1"/>
  <c r="J1363" i="1"/>
  <c r="I1363" i="1"/>
  <c r="H1363" i="1"/>
  <c r="G1363" i="1"/>
  <c r="F1363" i="1"/>
  <c r="E1363" i="1"/>
  <c r="D1363" i="1"/>
  <c r="C1363" i="1"/>
  <c r="A1363" i="1"/>
  <c r="R1362" i="1"/>
  <c r="N1362" i="1"/>
  <c r="J1362" i="1"/>
  <c r="I1362" i="1"/>
  <c r="H1362" i="1"/>
  <c r="G1362" i="1"/>
  <c r="F1362" i="1"/>
  <c r="E1362" i="1"/>
  <c r="D1362" i="1"/>
  <c r="C1362" i="1"/>
  <c r="A1362" i="1"/>
  <c r="R1361" i="1"/>
  <c r="Q1361" i="1"/>
  <c r="N1361" i="1"/>
  <c r="J1361" i="1"/>
  <c r="I1361" i="1"/>
  <c r="H1361" i="1"/>
  <c r="G1361" i="1"/>
  <c r="F1361" i="1"/>
  <c r="E1361" i="1"/>
  <c r="D1361" i="1"/>
  <c r="C1361" i="1"/>
  <c r="A1361" i="1"/>
  <c r="R1360" i="1"/>
  <c r="Q1360" i="1"/>
  <c r="N1360" i="1"/>
  <c r="J1360" i="1"/>
  <c r="I1360" i="1"/>
  <c r="H1360" i="1"/>
  <c r="G1360" i="1"/>
  <c r="F1360" i="1"/>
  <c r="E1360" i="1"/>
  <c r="D1360" i="1"/>
  <c r="C1360" i="1"/>
  <c r="A1360" i="1"/>
  <c r="R1359" i="1"/>
  <c r="Q1359" i="1"/>
  <c r="N1359" i="1"/>
  <c r="J1359" i="1"/>
  <c r="I1359" i="1"/>
  <c r="H1359" i="1"/>
  <c r="G1359" i="1"/>
  <c r="F1359" i="1"/>
  <c r="E1359" i="1"/>
  <c r="D1359" i="1"/>
  <c r="C1359" i="1"/>
  <c r="A1359" i="1"/>
  <c r="R1358" i="1"/>
  <c r="Q1358" i="1"/>
  <c r="N1358" i="1"/>
  <c r="J1358" i="1"/>
  <c r="I1358" i="1"/>
  <c r="H1358" i="1"/>
  <c r="G1358" i="1"/>
  <c r="F1358" i="1"/>
  <c r="E1358" i="1"/>
  <c r="D1358" i="1"/>
  <c r="C1358" i="1"/>
  <c r="A1358" i="1"/>
  <c r="R1357" i="1"/>
  <c r="Q1357" i="1"/>
  <c r="N1357" i="1"/>
  <c r="J1357" i="1"/>
  <c r="I1357" i="1"/>
  <c r="H1357" i="1"/>
  <c r="G1357" i="1"/>
  <c r="F1357" i="1"/>
  <c r="E1357" i="1"/>
  <c r="D1357" i="1"/>
  <c r="C1357" i="1"/>
  <c r="A1357" i="1"/>
  <c r="R1356" i="1"/>
  <c r="Q1356" i="1"/>
  <c r="N1356" i="1"/>
  <c r="J1356" i="1"/>
  <c r="I1356" i="1"/>
  <c r="H1356" i="1"/>
  <c r="G1356" i="1"/>
  <c r="F1356" i="1"/>
  <c r="E1356" i="1"/>
  <c r="D1356" i="1"/>
  <c r="C1356" i="1"/>
  <c r="A1356" i="1"/>
  <c r="R1355" i="1"/>
  <c r="Q1355" i="1"/>
  <c r="N1355" i="1"/>
  <c r="J1355" i="1"/>
  <c r="I1355" i="1"/>
  <c r="H1355" i="1"/>
  <c r="G1355" i="1"/>
  <c r="F1355" i="1"/>
  <c r="E1355" i="1"/>
  <c r="D1355" i="1"/>
  <c r="C1355" i="1"/>
  <c r="A1355" i="1"/>
  <c r="R1354" i="1"/>
  <c r="Q1354" i="1"/>
  <c r="N1354" i="1"/>
  <c r="J1354" i="1"/>
  <c r="I1354" i="1"/>
  <c r="H1354" i="1"/>
  <c r="G1354" i="1"/>
  <c r="F1354" i="1"/>
  <c r="E1354" i="1"/>
  <c r="D1354" i="1"/>
  <c r="C1354" i="1"/>
  <c r="A1354" i="1"/>
  <c r="R1353" i="1"/>
  <c r="Q1353" i="1"/>
  <c r="N1353" i="1"/>
  <c r="J1353" i="1"/>
  <c r="I1353" i="1"/>
  <c r="H1353" i="1"/>
  <c r="G1353" i="1"/>
  <c r="F1353" i="1"/>
  <c r="E1353" i="1"/>
  <c r="D1353" i="1"/>
  <c r="C1353" i="1"/>
  <c r="A1353" i="1"/>
  <c r="R1352" i="1"/>
  <c r="Q1352" i="1"/>
  <c r="N1352" i="1"/>
  <c r="J1352" i="1"/>
  <c r="I1352" i="1"/>
  <c r="H1352" i="1"/>
  <c r="G1352" i="1"/>
  <c r="F1352" i="1"/>
  <c r="E1352" i="1"/>
  <c r="D1352" i="1"/>
  <c r="C1352" i="1"/>
  <c r="A1352" i="1"/>
  <c r="R1351" i="1"/>
  <c r="Q1351" i="1"/>
  <c r="N1351" i="1"/>
  <c r="J1351" i="1"/>
  <c r="I1351" i="1"/>
  <c r="H1351" i="1"/>
  <c r="G1351" i="1"/>
  <c r="F1351" i="1"/>
  <c r="E1351" i="1"/>
  <c r="D1351" i="1"/>
  <c r="C1351" i="1"/>
  <c r="A1351" i="1"/>
  <c r="R1350" i="1"/>
  <c r="N1350" i="1"/>
  <c r="J1350" i="1"/>
  <c r="I1350" i="1"/>
  <c r="H1350" i="1"/>
  <c r="G1350" i="1"/>
  <c r="F1350" i="1"/>
  <c r="E1350" i="1"/>
  <c r="D1350" i="1"/>
  <c r="C1350" i="1"/>
  <c r="A1350" i="1"/>
  <c r="R1349" i="1"/>
  <c r="Q1349" i="1"/>
  <c r="N1349" i="1"/>
  <c r="J1349" i="1"/>
  <c r="I1349" i="1"/>
  <c r="H1349" i="1"/>
  <c r="G1349" i="1"/>
  <c r="F1349" i="1"/>
  <c r="E1349" i="1"/>
  <c r="D1349" i="1"/>
  <c r="C1349" i="1"/>
  <c r="A1349" i="1"/>
  <c r="R1348" i="1"/>
  <c r="Q1348" i="1"/>
  <c r="N1348" i="1"/>
  <c r="J1348" i="1"/>
  <c r="I1348" i="1"/>
  <c r="H1348" i="1"/>
  <c r="G1348" i="1"/>
  <c r="F1348" i="1"/>
  <c r="E1348" i="1"/>
  <c r="D1348" i="1"/>
  <c r="C1348" i="1"/>
  <c r="A1348" i="1"/>
  <c r="R1347" i="1"/>
  <c r="Q1347" i="1"/>
  <c r="N1347" i="1"/>
  <c r="J1347" i="1"/>
  <c r="I1347" i="1"/>
  <c r="H1347" i="1"/>
  <c r="G1347" i="1"/>
  <c r="F1347" i="1"/>
  <c r="E1347" i="1"/>
  <c r="D1347" i="1"/>
  <c r="C1347" i="1"/>
  <c r="A1347" i="1"/>
  <c r="R1346" i="1"/>
  <c r="Q1346" i="1"/>
  <c r="N1346" i="1"/>
  <c r="J1346" i="1"/>
  <c r="I1346" i="1"/>
  <c r="H1346" i="1"/>
  <c r="G1346" i="1"/>
  <c r="F1346" i="1"/>
  <c r="E1346" i="1"/>
  <c r="D1346" i="1"/>
  <c r="C1346" i="1"/>
  <c r="A1346" i="1"/>
  <c r="R1345" i="1"/>
  <c r="Q1345" i="1"/>
  <c r="N1345" i="1"/>
  <c r="J1345" i="1"/>
  <c r="I1345" i="1"/>
  <c r="H1345" i="1"/>
  <c r="G1345" i="1"/>
  <c r="F1345" i="1"/>
  <c r="E1345" i="1"/>
  <c r="D1345" i="1"/>
  <c r="C1345" i="1"/>
  <c r="A1345" i="1"/>
  <c r="R1344" i="1"/>
  <c r="N1344" i="1"/>
  <c r="J1344" i="1"/>
  <c r="I1344" i="1"/>
  <c r="H1344" i="1"/>
  <c r="G1344" i="1"/>
  <c r="F1344" i="1"/>
  <c r="E1344" i="1"/>
  <c r="D1344" i="1"/>
  <c r="C1344" i="1"/>
  <c r="B1344" i="1"/>
  <c r="A1344" i="1"/>
  <c r="R1343" i="1"/>
  <c r="N1343" i="1"/>
  <c r="J1343" i="1"/>
  <c r="I1343" i="1"/>
  <c r="H1343" i="1"/>
  <c r="G1343" i="1"/>
  <c r="F1343" i="1"/>
  <c r="E1343" i="1"/>
  <c r="D1343" i="1"/>
  <c r="C1343" i="1"/>
  <c r="B1343" i="1"/>
  <c r="A1343" i="1"/>
  <c r="R1342" i="1"/>
  <c r="Q1342" i="1"/>
  <c r="N1342" i="1"/>
  <c r="J1342" i="1"/>
  <c r="I1342" i="1"/>
  <c r="H1342" i="1"/>
  <c r="G1342" i="1"/>
  <c r="F1342" i="1"/>
  <c r="E1342" i="1"/>
  <c r="D1342" i="1"/>
  <c r="C1342" i="1"/>
  <c r="A1342" i="1"/>
  <c r="R1341" i="1"/>
  <c r="N1341" i="1"/>
  <c r="J1341" i="1"/>
  <c r="I1341" i="1"/>
  <c r="H1341" i="1"/>
  <c r="G1341" i="1"/>
  <c r="F1341" i="1"/>
  <c r="E1341" i="1"/>
  <c r="D1341" i="1"/>
  <c r="C1341" i="1"/>
  <c r="B1341" i="1"/>
  <c r="A1341" i="1"/>
  <c r="R1340" i="1"/>
  <c r="Q1340" i="1"/>
  <c r="N1340" i="1"/>
  <c r="J1340" i="1"/>
  <c r="I1340" i="1"/>
  <c r="H1340" i="1"/>
  <c r="G1340" i="1"/>
  <c r="F1340" i="1"/>
  <c r="E1340" i="1"/>
  <c r="D1340" i="1"/>
  <c r="C1340" i="1"/>
  <c r="B1340" i="1"/>
  <c r="A1340" i="1"/>
  <c r="R1339" i="1"/>
  <c r="N1339" i="1"/>
  <c r="J1339" i="1"/>
  <c r="I1339" i="1"/>
  <c r="H1339" i="1"/>
  <c r="G1339" i="1"/>
  <c r="F1339" i="1"/>
  <c r="E1339" i="1"/>
  <c r="D1339" i="1"/>
  <c r="C1339" i="1"/>
  <c r="B1339" i="1"/>
  <c r="A1339" i="1"/>
  <c r="R1338" i="1"/>
  <c r="N1338" i="1"/>
  <c r="J1338" i="1"/>
  <c r="I1338" i="1"/>
  <c r="H1338" i="1"/>
  <c r="G1338" i="1"/>
  <c r="F1338" i="1"/>
  <c r="E1338" i="1"/>
  <c r="D1338" i="1"/>
  <c r="C1338" i="1"/>
  <c r="B1338" i="1"/>
  <c r="A1338" i="1"/>
  <c r="R1337" i="1"/>
  <c r="Q1337" i="1"/>
  <c r="N1337" i="1"/>
  <c r="J1337" i="1"/>
  <c r="I1337" i="1"/>
  <c r="H1337" i="1"/>
  <c r="G1337" i="1"/>
  <c r="F1337" i="1"/>
  <c r="E1337" i="1"/>
  <c r="D1337" i="1"/>
  <c r="C1337" i="1"/>
  <c r="B1337" i="1"/>
  <c r="A1337" i="1"/>
  <c r="R1336" i="1"/>
  <c r="N1336" i="1"/>
  <c r="J1336" i="1"/>
  <c r="I1336" i="1"/>
  <c r="H1336" i="1"/>
  <c r="G1336" i="1"/>
  <c r="F1336" i="1"/>
  <c r="E1336" i="1"/>
  <c r="D1336" i="1"/>
  <c r="C1336" i="1"/>
  <c r="B1336" i="1"/>
  <c r="A1336" i="1"/>
  <c r="R1335" i="1"/>
  <c r="N1335" i="1"/>
  <c r="J1335" i="1"/>
  <c r="I1335" i="1"/>
  <c r="H1335" i="1"/>
  <c r="G1335" i="1"/>
  <c r="F1335" i="1"/>
  <c r="E1335" i="1"/>
  <c r="D1335" i="1"/>
  <c r="C1335" i="1"/>
  <c r="B1335" i="1"/>
  <c r="A1335" i="1"/>
  <c r="R1334" i="1"/>
  <c r="N1334" i="1"/>
  <c r="J1334" i="1"/>
  <c r="I1334" i="1"/>
  <c r="H1334" i="1"/>
  <c r="G1334" i="1"/>
  <c r="F1334" i="1"/>
  <c r="E1334" i="1"/>
  <c r="D1334" i="1"/>
  <c r="C1334" i="1"/>
  <c r="B1334" i="1"/>
  <c r="A1334" i="1"/>
  <c r="R1333" i="1"/>
  <c r="N1333" i="1"/>
  <c r="J1333" i="1"/>
  <c r="I1333" i="1"/>
  <c r="H1333" i="1"/>
  <c r="G1333" i="1"/>
  <c r="F1333" i="1"/>
  <c r="E1333" i="1"/>
  <c r="D1333" i="1"/>
  <c r="C1333" i="1"/>
  <c r="B1333" i="1"/>
  <c r="A1333" i="1"/>
  <c r="R1332" i="1"/>
  <c r="N1332" i="1"/>
  <c r="J1332" i="1"/>
  <c r="I1332" i="1"/>
  <c r="H1332" i="1"/>
  <c r="G1332" i="1"/>
  <c r="F1332" i="1"/>
  <c r="E1332" i="1"/>
  <c r="D1332" i="1"/>
  <c r="C1332" i="1"/>
  <c r="B1332" i="1"/>
  <c r="A1332" i="1"/>
  <c r="R1331" i="1"/>
  <c r="N1331" i="1"/>
  <c r="J1331" i="1"/>
  <c r="I1331" i="1"/>
  <c r="H1331" i="1"/>
  <c r="G1331" i="1"/>
  <c r="F1331" i="1"/>
  <c r="E1331" i="1"/>
  <c r="D1331" i="1"/>
  <c r="C1331" i="1"/>
  <c r="B1331" i="1"/>
  <c r="A1331" i="1"/>
  <c r="R1330" i="1"/>
  <c r="Q1330" i="1"/>
  <c r="N1330" i="1"/>
  <c r="J1330" i="1"/>
  <c r="I1330" i="1"/>
  <c r="H1330" i="1"/>
  <c r="G1330" i="1"/>
  <c r="F1330" i="1"/>
  <c r="E1330" i="1"/>
  <c r="D1330" i="1"/>
  <c r="C1330" i="1"/>
  <c r="A1330" i="1"/>
  <c r="R1329" i="1"/>
  <c r="N1329" i="1"/>
  <c r="J1329" i="1"/>
  <c r="I1329" i="1"/>
  <c r="H1329" i="1"/>
  <c r="G1329" i="1"/>
  <c r="F1329" i="1"/>
  <c r="E1329" i="1"/>
  <c r="D1329" i="1"/>
  <c r="C1329" i="1"/>
  <c r="A1329" i="1"/>
  <c r="R1328" i="1"/>
  <c r="Q1328" i="1"/>
  <c r="N1328" i="1"/>
  <c r="J1328" i="1"/>
  <c r="I1328" i="1"/>
  <c r="H1328" i="1"/>
  <c r="G1328" i="1"/>
  <c r="F1328" i="1"/>
  <c r="E1328" i="1"/>
  <c r="D1328" i="1"/>
  <c r="C1328" i="1"/>
  <c r="A1328" i="1"/>
  <c r="R1327" i="1"/>
  <c r="N1327" i="1"/>
  <c r="J1327" i="1"/>
  <c r="I1327" i="1"/>
  <c r="H1327" i="1"/>
  <c r="G1327" i="1"/>
  <c r="F1327" i="1"/>
  <c r="E1327" i="1"/>
  <c r="D1327" i="1"/>
  <c r="C1327" i="1"/>
  <c r="B1327" i="1"/>
  <c r="A1327" i="1"/>
  <c r="R1326" i="1"/>
  <c r="Q1326" i="1"/>
  <c r="N1326" i="1"/>
  <c r="J1326" i="1"/>
  <c r="I1326" i="1"/>
  <c r="H1326" i="1"/>
  <c r="G1326" i="1"/>
  <c r="F1326" i="1"/>
  <c r="E1326" i="1"/>
  <c r="D1326" i="1"/>
  <c r="C1326" i="1"/>
  <c r="B1326" i="1"/>
  <c r="A1326" i="1"/>
  <c r="R1325" i="1"/>
  <c r="N1325" i="1"/>
  <c r="J1325" i="1"/>
  <c r="I1325" i="1"/>
  <c r="H1325" i="1"/>
  <c r="G1325" i="1"/>
  <c r="F1325" i="1"/>
  <c r="E1325" i="1"/>
  <c r="D1325" i="1"/>
  <c r="C1325" i="1"/>
  <c r="B1325" i="1"/>
  <c r="A1325" i="1"/>
  <c r="R1324" i="1"/>
  <c r="Q1324" i="1"/>
  <c r="N1324" i="1"/>
  <c r="J1324" i="1"/>
  <c r="I1324" i="1"/>
  <c r="H1324" i="1"/>
  <c r="G1324" i="1"/>
  <c r="F1324" i="1"/>
  <c r="E1324" i="1"/>
  <c r="D1324" i="1"/>
  <c r="C1324" i="1"/>
  <c r="B1324" i="1"/>
  <c r="A1324" i="1"/>
  <c r="R1323" i="1"/>
  <c r="N1323" i="1"/>
  <c r="J1323" i="1"/>
  <c r="I1323" i="1"/>
  <c r="H1323" i="1"/>
  <c r="G1323" i="1"/>
  <c r="F1323" i="1"/>
  <c r="E1323" i="1"/>
  <c r="D1323" i="1"/>
  <c r="C1323" i="1"/>
  <c r="B1323" i="1"/>
  <c r="A1323" i="1"/>
  <c r="R1322" i="1"/>
  <c r="Q1322" i="1"/>
  <c r="N1322" i="1"/>
  <c r="J1322" i="1"/>
  <c r="I1322" i="1"/>
  <c r="H1322" i="1"/>
  <c r="G1322" i="1"/>
  <c r="F1322" i="1"/>
  <c r="E1322" i="1"/>
  <c r="D1322" i="1"/>
  <c r="C1322" i="1"/>
  <c r="B1322" i="1"/>
  <c r="A1322" i="1"/>
  <c r="R1321" i="1"/>
  <c r="N1321" i="1"/>
  <c r="J1321" i="1"/>
  <c r="I1321" i="1"/>
  <c r="H1321" i="1"/>
  <c r="G1321" i="1"/>
  <c r="F1321" i="1"/>
  <c r="E1321" i="1"/>
  <c r="D1321" i="1"/>
  <c r="C1321" i="1"/>
  <c r="B1321" i="1"/>
  <c r="A1321" i="1"/>
  <c r="R1320" i="1"/>
  <c r="Q1320" i="1"/>
  <c r="N1320" i="1"/>
  <c r="J1320" i="1"/>
  <c r="I1320" i="1"/>
  <c r="H1320" i="1"/>
  <c r="G1320" i="1"/>
  <c r="F1320" i="1"/>
  <c r="E1320" i="1"/>
  <c r="D1320" i="1"/>
  <c r="C1320" i="1"/>
  <c r="B1320" i="1"/>
  <c r="A1320" i="1"/>
  <c r="R1319" i="1"/>
  <c r="N1319" i="1"/>
  <c r="J1319" i="1"/>
  <c r="I1319" i="1"/>
  <c r="H1319" i="1"/>
  <c r="G1319" i="1"/>
  <c r="F1319" i="1"/>
  <c r="E1319" i="1"/>
  <c r="D1319" i="1"/>
  <c r="C1319" i="1"/>
  <c r="B1319" i="1"/>
  <c r="A1319" i="1"/>
  <c r="R1318" i="1"/>
  <c r="N1318" i="1"/>
  <c r="J1318" i="1"/>
  <c r="I1318" i="1"/>
  <c r="H1318" i="1"/>
  <c r="G1318" i="1"/>
  <c r="F1318" i="1"/>
  <c r="E1318" i="1"/>
  <c r="D1318" i="1"/>
  <c r="C1318" i="1"/>
  <c r="B1318" i="1"/>
  <c r="A1318" i="1"/>
  <c r="R1317" i="1"/>
  <c r="N1317" i="1"/>
  <c r="J1317" i="1"/>
  <c r="I1317" i="1"/>
  <c r="H1317" i="1"/>
  <c r="G1317" i="1"/>
  <c r="F1317" i="1"/>
  <c r="E1317" i="1"/>
  <c r="D1317" i="1"/>
  <c r="C1317" i="1"/>
  <c r="B1317" i="1"/>
  <c r="A1317" i="1"/>
  <c r="R1316" i="1"/>
  <c r="Q1316" i="1"/>
  <c r="N1316" i="1"/>
  <c r="J1316" i="1"/>
  <c r="I1316" i="1"/>
  <c r="H1316" i="1"/>
  <c r="G1316" i="1"/>
  <c r="F1316" i="1"/>
  <c r="E1316" i="1"/>
  <c r="D1316" i="1"/>
  <c r="C1316" i="1"/>
  <c r="A1316" i="1"/>
  <c r="R1315" i="1"/>
  <c r="N1315" i="1"/>
  <c r="J1315" i="1"/>
  <c r="I1315" i="1"/>
  <c r="H1315" i="1"/>
  <c r="G1315" i="1"/>
  <c r="F1315" i="1"/>
  <c r="E1315" i="1"/>
  <c r="D1315" i="1"/>
  <c r="C1315" i="1"/>
  <c r="B1315" i="1"/>
  <c r="A1315" i="1"/>
  <c r="R1314" i="1"/>
  <c r="N1314" i="1"/>
  <c r="J1314" i="1"/>
  <c r="I1314" i="1"/>
  <c r="H1314" i="1"/>
  <c r="G1314" i="1"/>
  <c r="F1314" i="1"/>
  <c r="E1314" i="1"/>
  <c r="D1314" i="1"/>
  <c r="C1314" i="1"/>
  <c r="B1314" i="1"/>
  <c r="A1314" i="1"/>
  <c r="R1313" i="1"/>
  <c r="N1313" i="1"/>
  <c r="J1313" i="1"/>
  <c r="I1313" i="1"/>
  <c r="H1313" i="1"/>
  <c r="G1313" i="1"/>
  <c r="F1313" i="1"/>
  <c r="E1313" i="1"/>
  <c r="D1313" i="1"/>
  <c r="C1313" i="1"/>
  <c r="B1313" i="1"/>
  <c r="A1313" i="1"/>
  <c r="R1312" i="1"/>
  <c r="N1312" i="1"/>
  <c r="J1312" i="1"/>
  <c r="I1312" i="1"/>
  <c r="H1312" i="1"/>
  <c r="G1312" i="1"/>
  <c r="F1312" i="1"/>
  <c r="E1312" i="1"/>
  <c r="D1312" i="1"/>
  <c r="C1312" i="1"/>
  <c r="B1312" i="1"/>
  <c r="A1312" i="1"/>
  <c r="R1311" i="1"/>
  <c r="N1311" i="1"/>
  <c r="J1311" i="1"/>
  <c r="I1311" i="1"/>
  <c r="H1311" i="1"/>
  <c r="G1311" i="1"/>
  <c r="F1311" i="1"/>
  <c r="E1311" i="1"/>
  <c r="D1311" i="1"/>
  <c r="C1311" i="1"/>
  <c r="B1311" i="1"/>
  <c r="A1311" i="1"/>
  <c r="R1310" i="1"/>
  <c r="N1310" i="1"/>
  <c r="J1310" i="1"/>
  <c r="I1310" i="1"/>
  <c r="H1310" i="1"/>
  <c r="G1310" i="1"/>
  <c r="F1310" i="1"/>
  <c r="E1310" i="1"/>
  <c r="D1310" i="1"/>
  <c r="C1310" i="1"/>
  <c r="B1310" i="1"/>
  <c r="A1310" i="1"/>
  <c r="R1309" i="1"/>
  <c r="N1309" i="1"/>
  <c r="J1309" i="1"/>
  <c r="I1309" i="1"/>
  <c r="H1309" i="1"/>
  <c r="G1309" i="1"/>
  <c r="F1309" i="1"/>
  <c r="E1309" i="1"/>
  <c r="D1309" i="1"/>
  <c r="C1309" i="1"/>
  <c r="B1309" i="1"/>
  <c r="A1309" i="1"/>
  <c r="R1308" i="1"/>
  <c r="N1308" i="1"/>
  <c r="J1308" i="1"/>
  <c r="I1308" i="1"/>
  <c r="H1308" i="1"/>
  <c r="G1308" i="1"/>
  <c r="F1308" i="1"/>
  <c r="E1308" i="1"/>
  <c r="D1308" i="1"/>
  <c r="C1308" i="1"/>
  <c r="B1308" i="1"/>
  <c r="A1308" i="1"/>
  <c r="R1307" i="1"/>
  <c r="N1307" i="1"/>
  <c r="J1307" i="1"/>
  <c r="I1307" i="1"/>
  <c r="H1307" i="1"/>
  <c r="G1307" i="1"/>
  <c r="F1307" i="1"/>
  <c r="E1307" i="1"/>
  <c r="D1307" i="1"/>
  <c r="C1307" i="1"/>
  <c r="B1307" i="1"/>
  <c r="A1307" i="1"/>
  <c r="R1306" i="1"/>
  <c r="Q1306" i="1"/>
  <c r="N1306" i="1"/>
  <c r="J1306" i="1"/>
  <c r="I1306" i="1"/>
  <c r="H1306" i="1"/>
  <c r="G1306" i="1"/>
  <c r="F1306" i="1"/>
  <c r="E1306" i="1"/>
  <c r="D1306" i="1"/>
  <c r="C1306" i="1"/>
  <c r="A1306" i="1"/>
  <c r="R1305" i="1"/>
  <c r="N1305" i="1"/>
  <c r="J1305" i="1"/>
  <c r="I1305" i="1"/>
  <c r="H1305" i="1"/>
  <c r="G1305" i="1"/>
  <c r="F1305" i="1"/>
  <c r="E1305" i="1"/>
  <c r="D1305" i="1"/>
  <c r="C1305" i="1"/>
  <c r="A1305" i="1"/>
  <c r="R1304" i="1"/>
  <c r="Q1304" i="1"/>
  <c r="N1304" i="1"/>
  <c r="J1304" i="1"/>
  <c r="I1304" i="1"/>
  <c r="H1304" i="1"/>
  <c r="G1304" i="1"/>
  <c r="F1304" i="1"/>
  <c r="E1304" i="1"/>
  <c r="D1304" i="1"/>
  <c r="C1304" i="1"/>
  <c r="A1304" i="1"/>
  <c r="R1303" i="1"/>
  <c r="N1303" i="1"/>
  <c r="J1303" i="1"/>
  <c r="I1303" i="1"/>
  <c r="H1303" i="1"/>
  <c r="G1303" i="1"/>
  <c r="F1303" i="1"/>
  <c r="E1303" i="1"/>
  <c r="D1303" i="1"/>
  <c r="C1303" i="1"/>
  <c r="A1303" i="1"/>
  <c r="R1302" i="1"/>
  <c r="Q1302" i="1"/>
  <c r="N1302" i="1"/>
  <c r="J1302" i="1"/>
  <c r="I1302" i="1"/>
  <c r="H1302" i="1"/>
  <c r="G1302" i="1"/>
  <c r="F1302" i="1"/>
  <c r="E1302" i="1"/>
  <c r="D1302" i="1"/>
  <c r="C1302" i="1"/>
  <c r="A1302" i="1"/>
  <c r="R1301" i="1"/>
  <c r="N1301" i="1"/>
  <c r="J1301" i="1"/>
  <c r="I1301" i="1"/>
  <c r="H1301" i="1"/>
  <c r="G1301" i="1"/>
  <c r="F1301" i="1"/>
  <c r="E1301" i="1"/>
  <c r="D1301" i="1"/>
  <c r="C1301" i="1"/>
  <c r="A1301" i="1"/>
  <c r="R1300" i="1"/>
  <c r="Q1300" i="1"/>
  <c r="N1300" i="1"/>
  <c r="J1300" i="1"/>
  <c r="I1300" i="1"/>
  <c r="H1300" i="1"/>
  <c r="G1300" i="1"/>
  <c r="F1300" i="1"/>
  <c r="E1300" i="1"/>
  <c r="D1300" i="1"/>
  <c r="C1300" i="1"/>
  <c r="A1300" i="1"/>
  <c r="R1299" i="1"/>
  <c r="N1299" i="1"/>
  <c r="J1299" i="1"/>
  <c r="I1299" i="1"/>
  <c r="H1299" i="1"/>
  <c r="G1299" i="1"/>
  <c r="F1299" i="1"/>
  <c r="E1299" i="1"/>
  <c r="D1299" i="1"/>
  <c r="C1299" i="1"/>
  <c r="A1299" i="1"/>
  <c r="R1298" i="1"/>
  <c r="Q1298" i="1"/>
  <c r="N1298" i="1"/>
  <c r="J1298" i="1"/>
  <c r="I1298" i="1"/>
  <c r="H1298" i="1"/>
  <c r="G1298" i="1"/>
  <c r="F1298" i="1"/>
  <c r="E1298" i="1"/>
  <c r="D1298" i="1"/>
  <c r="C1298" i="1"/>
  <c r="A1298" i="1"/>
  <c r="R1297" i="1"/>
  <c r="N1297" i="1"/>
  <c r="J1297" i="1"/>
  <c r="I1297" i="1"/>
  <c r="H1297" i="1"/>
  <c r="G1297" i="1"/>
  <c r="F1297" i="1"/>
  <c r="E1297" i="1"/>
  <c r="D1297" i="1"/>
  <c r="C1297" i="1"/>
  <c r="A1297" i="1"/>
  <c r="R1296" i="1"/>
  <c r="Q1296" i="1"/>
  <c r="N1296" i="1"/>
  <c r="J1296" i="1"/>
  <c r="I1296" i="1"/>
  <c r="H1296" i="1"/>
  <c r="G1296" i="1"/>
  <c r="F1296" i="1"/>
  <c r="E1296" i="1"/>
  <c r="D1296" i="1"/>
  <c r="C1296" i="1"/>
  <c r="A1296" i="1"/>
  <c r="R1295" i="1"/>
  <c r="N1295" i="1"/>
  <c r="J1295" i="1"/>
  <c r="I1295" i="1"/>
  <c r="H1295" i="1"/>
  <c r="G1295" i="1"/>
  <c r="F1295" i="1"/>
  <c r="E1295" i="1"/>
  <c r="D1295" i="1"/>
  <c r="C1295" i="1"/>
  <c r="A1295" i="1"/>
  <c r="R1294" i="1"/>
  <c r="Q1294" i="1"/>
  <c r="N1294" i="1"/>
  <c r="J1294" i="1"/>
  <c r="I1294" i="1"/>
  <c r="H1294" i="1"/>
  <c r="G1294" i="1"/>
  <c r="F1294" i="1"/>
  <c r="E1294" i="1"/>
  <c r="D1294" i="1"/>
  <c r="C1294" i="1"/>
  <c r="A1294" i="1"/>
  <c r="R1293" i="1"/>
  <c r="N1293" i="1"/>
  <c r="J1293" i="1"/>
  <c r="I1293" i="1"/>
  <c r="H1293" i="1"/>
  <c r="G1293" i="1"/>
  <c r="F1293" i="1"/>
  <c r="E1293" i="1"/>
  <c r="D1293" i="1"/>
  <c r="C1293" i="1"/>
  <c r="A1293" i="1"/>
  <c r="R1292" i="1"/>
  <c r="Q1292" i="1"/>
  <c r="N1292" i="1"/>
  <c r="J1292" i="1"/>
  <c r="I1292" i="1"/>
  <c r="H1292" i="1"/>
  <c r="G1292" i="1"/>
  <c r="F1292" i="1"/>
  <c r="E1292" i="1"/>
  <c r="D1292" i="1"/>
  <c r="C1292" i="1"/>
  <c r="A1292" i="1"/>
  <c r="R1291" i="1"/>
  <c r="N1291" i="1"/>
  <c r="J1291" i="1"/>
  <c r="I1291" i="1"/>
  <c r="H1291" i="1"/>
  <c r="G1291" i="1"/>
  <c r="F1291" i="1"/>
  <c r="E1291" i="1"/>
  <c r="D1291" i="1"/>
  <c r="C1291" i="1"/>
  <c r="B1291" i="1"/>
  <c r="A1291" i="1"/>
  <c r="R1290" i="1"/>
  <c r="N1290" i="1"/>
  <c r="J1290" i="1"/>
  <c r="I1290" i="1"/>
  <c r="H1290" i="1"/>
  <c r="G1290" i="1"/>
  <c r="F1290" i="1"/>
  <c r="E1290" i="1"/>
  <c r="D1290" i="1"/>
  <c r="C1290" i="1"/>
  <c r="B1290" i="1"/>
  <c r="A1290" i="1"/>
  <c r="R1289" i="1"/>
  <c r="N1289" i="1"/>
  <c r="J1289" i="1"/>
  <c r="I1289" i="1"/>
  <c r="H1289" i="1"/>
  <c r="G1289" i="1"/>
  <c r="F1289" i="1"/>
  <c r="E1289" i="1"/>
  <c r="D1289" i="1"/>
  <c r="C1289" i="1"/>
  <c r="B1289" i="1"/>
  <c r="A1289" i="1"/>
  <c r="R1288" i="1"/>
  <c r="Q1288" i="1"/>
  <c r="N1288" i="1"/>
  <c r="J1288" i="1"/>
  <c r="I1288" i="1"/>
  <c r="H1288" i="1"/>
  <c r="G1288" i="1"/>
  <c r="F1288" i="1"/>
  <c r="E1288" i="1"/>
  <c r="D1288" i="1"/>
  <c r="C1288" i="1"/>
  <c r="A1288" i="1"/>
  <c r="R1287" i="1"/>
  <c r="N1287" i="1"/>
  <c r="J1287" i="1"/>
  <c r="I1287" i="1"/>
  <c r="H1287" i="1"/>
  <c r="G1287" i="1"/>
  <c r="F1287" i="1"/>
  <c r="E1287" i="1"/>
  <c r="D1287" i="1"/>
  <c r="C1287" i="1"/>
  <c r="A1287" i="1"/>
  <c r="R1286" i="1"/>
  <c r="Q1286" i="1"/>
  <c r="N1286" i="1"/>
  <c r="J1286" i="1"/>
  <c r="I1286" i="1"/>
  <c r="H1286" i="1"/>
  <c r="G1286" i="1"/>
  <c r="F1286" i="1"/>
  <c r="E1286" i="1"/>
  <c r="D1286" i="1"/>
  <c r="C1286" i="1"/>
  <c r="A1286" i="1"/>
  <c r="R1285" i="1"/>
  <c r="Q1285" i="1"/>
  <c r="N1285" i="1"/>
  <c r="J1285" i="1"/>
  <c r="I1285" i="1"/>
  <c r="H1285" i="1"/>
  <c r="G1285" i="1"/>
  <c r="F1285" i="1"/>
  <c r="E1285" i="1"/>
  <c r="D1285" i="1"/>
  <c r="C1285" i="1"/>
  <c r="A1285" i="1"/>
  <c r="R1284" i="1"/>
  <c r="Q1284" i="1"/>
  <c r="N1284" i="1"/>
  <c r="J1284" i="1"/>
  <c r="I1284" i="1"/>
  <c r="H1284" i="1"/>
  <c r="G1284" i="1"/>
  <c r="F1284" i="1"/>
  <c r="E1284" i="1"/>
  <c r="D1284" i="1"/>
  <c r="C1284" i="1"/>
  <c r="A1284" i="1"/>
  <c r="R1283" i="1"/>
  <c r="N1283" i="1"/>
  <c r="J1283" i="1"/>
  <c r="I1283" i="1"/>
  <c r="H1283" i="1"/>
  <c r="G1283" i="1"/>
  <c r="F1283" i="1"/>
  <c r="E1283" i="1"/>
  <c r="D1283" i="1"/>
  <c r="C1283" i="1"/>
  <c r="A1283" i="1"/>
  <c r="R1282" i="1"/>
  <c r="Q1282" i="1"/>
  <c r="N1282" i="1"/>
  <c r="J1282" i="1"/>
  <c r="I1282" i="1"/>
  <c r="H1282" i="1"/>
  <c r="G1282" i="1"/>
  <c r="F1282" i="1"/>
  <c r="E1282" i="1"/>
  <c r="D1282" i="1"/>
  <c r="C1282" i="1"/>
  <c r="A1282" i="1"/>
  <c r="R1281" i="1"/>
  <c r="N1281" i="1"/>
  <c r="J1281" i="1"/>
  <c r="I1281" i="1"/>
  <c r="H1281" i="1"/>
  <c r="G1281" i="1"/>
  <c r="F1281" i="1"/>
  <c r="E1281" i="1"/>
  <c r="D1281" i="1"/>
  <c r="C1281" i="1"/>
  <c r="A1281" i="1"/>
  <c r="R1280" i="1"/>
  <c r="Q1280" i="1"/>
  <c r="N1280" i="1"/>
  <c r="J1280" i="1"/>
  <c r="I1280" i="1"/>
  <c r="H1280" i="1"/>
  <c r="G1280" i="1"/>
  <c r="F1280" i="1"/>
  <c r="E1280" i="1"/>
  <c r="D1280" i="1"/>
  <c r="C1280" i="1"/>
  <c r="A1280" i="1"/>
  <c r="R1279" i="1"/>
  <c r="Q1279" i="1"/>
  <c r="N1279" i="1"/>
  <c r="J1279" i="1"/>
  <c r="I1279" i="1"/>
  <c r="H1279" i="1"/>
  <c r="G1279" i="1"/>
  <c r="F1279" i="1"/>
  <c r="E1279" i="1"/>
  <c r="D1279" i="1"/>
  <c r="C1279" i="1"/>
  <c r="A1279" i="1"/>
  <c r="R1278" i="1"/>
  <c r="Q1278" i="1"/>
  <c r="N1278" i="1"/>
  <c r="J1278" i="1"/>
  <c r="I1278" i="1"/>
  <c r="H1278" i="1"/>
  <c r="G1278" i="1"/>
  <c r="F1278" i="1"/>
  <c r="E1278" i="1"/>
  <c r="D1278" i="1"/>
  <c r="C1278" i="1"/>
  <c r="A1278" i="1"/>
  <c r="R1277" i="1"/>
  <c r="Q1277" i="1"/>
  <c r="N1277" i="1"/>
  <c r="J1277" i="1"/>
  <c r="I1277" i="1"/>
  <c r="H1277" i="1"/>
  <c r="G1277" i="1"/>
  <c r="F1277" i="1"/>
  <c r="E1277" i="1"/>
  <c r="D1277" i="1"/>
  <c r="C1277" i="1"/>
  <c r="A1277" i="1"/>
  <c r="R1276" i="1"/>
  <c r="Q1276" i="1"/>
  <c r="N1276" i="1"/>
  <c r="J1276" i="1"/>
  <c r="I1276" i="1"/>
  <c r="H1276" i="1"/>
  <c r="G1276" i="1"/>
  <c r="F1276" i="1"/>
  <c r="E1276" i="1"/>
  <c r="D1276" i="1"/>
  <c r="C1276" i="1"/>
  <c r="A1276" i="1"/>
  <c r="R1275" i="1"/>
  <c r="Q1275" i="1"/>
  <c r="N1275" i="1"/>
  <c r="J1275" i="1"/>
  <c r="I1275" i="1"/>
  <c r="H1275" i="1"/>
  <c r="G1275" i="1"/>
  <c r="F1275" i="1"/>
  <c r="E1275" i="1"/>
  <c r="D1275" i="1"/>
  <c r="C1275" i="1"/>
  <c r="A1275" i="1"/>
  <c r="R1274" i="1"/>
  <c r="Q1274" i="1"/>
  <c r="N1274" i="1"/>
  <c r="J1274" i="1"/>
  <c r="I1274" i="1"/>
  <c r="H1274" i="1"/>
  <c r="G1274" i="1"/>
  <c r="F1274" i="1"/>
  <c r="E1274" i="1"/>
  <c r="D1274" i="1"/>
  <c r="C1274" i="1"/>
  <c r="A1274" i="1"/>
  <c r="R1273" i="1"/>
  <c r="Q1273" i="1"/>
  <c r="N1273" i="1"/>
  <c r="J1273" i="1"/>
  <c r="I1273" i="1"/>
  <c r="H1273" i="1"/>
  <c r="G1273" i="1"/>
  <c r="F1273" i="1"/>
  <c r="E1273" i="1"/>
  <c r="D1273" i="1"/>
  <c r="C1273" i="1"/>
  <c r="A1273" i="1"/>
  <c r="R1272" i="1"/>
  <c r="Q1272" i="1"/>
  <c r="N1272" i="1"/>
  <c r="J1272" i="1"/>
  <c r="I1272" i="1"/>
  <c r="H1272" i="1"/>
  <c r="G1272" i="1"/>
  <c r="F1272" i="1"/>
  <c r="E1272" i="1"/>
  <c r="D1272" i="1"/>
  <c r="C1272" i="1"/>
  <c r="A1272" i="1"/>
  <c r="R1271" i="1"/>
  <c r="Q1271" i="1"/>
  <c r="N1271" i="1"/>
  <c r="J1271" i="1"/>
  <c r="I1271" i="1"/>
  <c r="H1271" i="1"/>
  <c r="G1271" i="1"/>
  <c r="F1271" i="1"/>
  <c r="E1271" i="1"/>
  <c r="D1271" i="1"/>
  <c r="C1271" i="1"/>
  <c r="A1271" i="1"/>
  <c r="R1270" i="1"/>
  <c r="Q1270" i="1"/>
  <c r="N1270" i="1"/>
  <c r="J1270" i="1"/>
  <c r="I1270" i="1"/>
  <c r="H1270" i="1"/>
  <c r="G1270" i="1"/>
  <c r="F1270" i="1"/>
  <c r="E1270" i="1"/>
  <c r="D1270" i="1"/>
  <c r="C1270" i="1"/>
  <c r="A1270" i="1"/>
  <c r="R1269" i="1"/>
  <c r="Q1269" i="1"/>
  <c r="N1269" i="1"/>
  <c r="J1269" i="1"/>
  <c r="I1269" i="1"/>
  <c r="H1269" i="1"/>
  <c r="G1269" i="1"/>
  <c r="F1269" i="1"/>
  <c r="E1269" i="1"/>
  <c r="D1269" i="1"/>
  <c r="C1269" i="1"/>
  <c r="A1269" i="1"/>
  <c r="R1268" i="1"/>
  <c r="Q1268" i="1"/>
  <c r="N1268" i="1"/>
  <c r="J1268" i="1"/>
  <c r="I1268" i="1"/>
  <c r="H1268" i="1"/>
  <c r="G1268" i="1"/>
  <c r="F1268" i="1"/>
  <c r="E1268" i="1"/>
  <c r="D1268" i="1"/>
  <c r="C1268" i="1"/>
  <c r="A1268" i="1"/>
  <c r="R1267" i="1"/>
  <c r="Q1267" i="1"/>
  <c r="N1267" i="1"/>
  <c r="J1267" i="1"/>
  <c r="I1267" i="1"/>
  <c r="H1267" i="1"/>
  <c r="G1267" i="1"/>
  <c r="F1267" i="1"/>
  <c r="E1267" i="1"/>
  <c r="D1267" i="1"/>
  <c r="C1267" i="1"/>
  <c r="A1267" i="1"/>
  <c r="R1266" i="1"/>
  <c r="Q1266" i="1"/>
  <c r="N1266" i="1"/>
  <c r="J1266" i="1"/>
  <c r="I1266" i="1"/>
  <c r="H1266" i="1"/>
  <c r="G1266" i="1"/>
  <c r="F1266" i="1"/>
  <c r="E1266" i="1"/>
  <c r="D1266" i="1"/>
  <c r="C1266" i="1"/>
  <c r="A1266" i="1"/>
  <c r="R1265" i="1"/>
  <c r="Q1265" i="1"/>
  <c r="N1265" i="1"/>
  <c r="J1265" i="1"/>
  <c r="I1265" i="1"/>
  <c r="H1265" i="1"/>
  <c r="G1265" i="1"/>
  <c r="F1265" i="1"/>
  <c r="E1265" i="1"/>
  <c r="D1265" i="1"/>
  <c r="C1265" i="1"/>
  <c r="A1265" i="1"/>
  <c r="R1264" i="1"/>
  <c r="Q1264" i="1"/>
  <c r="N1264" i="1"/>
  <c r="J1264" i="1"/>
  <c r="I1264" i="1"/>
  <c r="H1264" i="1"/>
  <c r="G1264" i="1"/>
  <c r="F1264" i="1"/>
  <c r="E1264" i="1"/>
  <c r="D1264" i="1"/>
  <c r="C1264" i="1"/>
  <c r="A1264" i="1"/>
  <c r="R1263" i="1"/>
  <c r="Q1263" i="1"/>
  <c r="N1263" i="1"/>
  <c r="J1263" i="1"/>
  <c r="I1263" i="1"/>
  <c r="H1263" i="1"/>
  <c r="G1263" i="1"/>
  <c r="F1263" i="1"/>
  <c r="E1263" i="1"/>
  <c r="D1263" i="1"/>
  <c r="C1263" i="1"/>
  <c r="A1263" i="1"/>
  <c r="R1262" i="1"/>
  <c r="Q1262" i="1"/>
  <c r="N1262" i="1"/>
  <c r="J1262" i="1"/>
  <c r="I1262" i="1"/>
  <c r="H1262" i="1"/>
  <c r="G1262" i="1"/>
  <c r="F1262" i="1"/>
  <c r="E1262" i="1"/>
  <c r="D1262" i="1"/>
  <c r="C1262" i="1"/>
  <c r="A1262" i="1"/>
  <c r="R1261" i="1"/>
  <c r="Q1261" i="1"/>
  <c r="N1261" i="1"/>
  <c r="J1261" i="1"/>
  <c r="I1261" i="1"/>
  <c r="H1261" i="1"/>
  <c r="G1261" i="1"/>
  <c r="F1261" i="1"/>
  <c r="E1261" i="1"/>
  <c r="D1261" i="1"/>
  <c r="C1261" i="1"/>
  <c r="A1261" i="1"/>
  <c r="R1260" i="1"/>
  <c r="Q1260" i="1"/>
  <c r="N1260" i="1"/>
  <c r="J1260" i="1"/>
  <c r="I1260" i="1"/>
  <c r="H1260" i="1"/>
  <c r="G1260" i="1"/>
  <c r="F1260" i="1"/>
  <c r="E1260" i="1"/>
  <c r="D1260" i="1"/>
  <c r="C1260" i="1"/>
  <c r="A1260" i="1"/>
  <c r="R1259" i="1"/>
  <c r="Q1259" i="1"/>
  <c r="N1259" i="1"/>
  <c r="J1259" i="1"/>
  <c r="I1259" i="1"/>
  <c r="H1259" i="1"/>
  <c r="G1259" i="1"/>
  <c r="F1259" i="1"/>
  <c r="E1259" i="1"/>
  <c r="D1259" i="1"/>
  <c r="C1259" i="1"/>
  <c r="A1259" i="1"/>
  <c r="R1258" i="1"/>
  <c r="Q1258" i="1"/>
  <c r="N1258" i="1"/>
  <c r="J1258" i="1"/>
  <c r="I1258" i="1"/>
  <c r="H1258" i="1"/>
  <c r="G1258" i="1"/>
  <c r="F1258" i="1"/>
  <c r="E1258" i="1"/>
  <c r="D1258" i="1"/>
  <c r="C1258" i="1"/>
  <c r="A1258" i="1"/>
  <c r="R1257" i="1"/>
  <c r="Q1257" i="1"/>
  <c r="N1257" i="1"/>
  <c r="J1257" i="1"/>
  <c r="I1257" i="1"/>
  <c r="H1257" i="1"/>
  <c r="G1257" i="1"/>
  <c r="F1257" i="1"/>
  <c r="E1257" i="1"/>
  <c r="D1257" i="1"/>
  <c r="C1257" i="1"/>
  <c r="A1257" i="1"/>
  <c r="R1256" i="1"/>
  <c r="Q1256" i="1"/>
  <c r="N1256" i="1"/>
  <c r="J1256" i="1"/>
  <c r="I1256" i="1"/>
  <c r="H1256" i="1"/>
  <c r="G1256" i="1"/>
  <c r="F1256" i="1"/>
  <c r="E1256" i="1"/>
  <c r="D1256" i="1"/>
  <c r="C1256" i="1"/>
  <c r="A1256" i="1"/>
  <c r="R1255" i="1"/>
  <c r="Q1255" i="1"/>
  <c r="N1255" i="1"/>
  <c r="J1255" i="1"/>
  <c r="I1255" i="1"/>
  <c r="H1255" i="1"/>
  <c r="G1255" i="1"/>
  <c r="F1255" i="1"/>
  <c r="E1255" i="1"/>
  <c r="D1255" i="1"/>
  <c r="C1255" i="1"/>
  <c r="A1255" i="1"/>
  <c r="R1254" i="1"/>
  <c r="Q1254" i="1"/>
  <c r="N1254" i="1"/>
  <c r="J1254" i="1"/>
  <c r="I1254" i="1"/>
  <c r="H1254" i="1"/>
  <c r="G1254" i="1"/>
  <c r="F1254" i="1"/>
  <c r="E1254" i="1"/>
  <c r="D1254" i="1"/>
  <c r="C1254" i="1"/>
  <c r="A1254" i="1"/>
  <c r="R1253" i="1"/>
  <c r="Q1253" i="1"/>
  <c r="N1253" i="1"/>
  <c r="J1253" i="1"/>
  <c r="I1253" i="1"/>
  <c r="H1253" i="1"/>
  <c r="G1253" i="1"/>
  <c r="F1253" i="1"/>
  <c r="E1253" i="1"/>
  <c r="D1253" i="1"/>
  <c r="C1253" i="1"/>
  <c r="A1253" i="1"/>
  <c r="R1252" i="1"/>
  <c r="Q1252" i="1"/>
  <c r="N1252" i="1"/>
  <c r="J1252" i="1"/>
  <c r="I1252" i="1"/>
  <c r="H1252" i="1"/>
  <c r="G1252" i="1"/>
  <c r="F1252" i="1"/>
  <c r="E1252" i="1"/>
  <c r="D1252" i="1"/>
  <c r="C1252" i="1"/>
  <c r="A1252" i="1"/>
  <c r="R1251" i="1"/>
  <c r="Q1251" i="1"/>
  <c r="N1251" i="1"/>
  <c r="J1251" i="1"/>
  <c r="I1251" i="1"/>
  <c r="H1251" i="1"/>
  <c r="G1251" i="1"/>
  <c r="F1251" i="1"/>
  <c r="E1251" i="1"/>
  <c r="D1251" i="1"/>
  <c r="C1251" i="1"/>
  <c r="A1251" i="1"/>
  <c r="R1250" i="1"/>
  <c r="Q1250" i="1"/>
  <c r="N1250" i="1"/>
  <c r="J1250" i="1"/>
  <c r="I1250" i="1"/>
  <c r="H1250" i="1"/>
  <c r="G1250" i="1"/>
  <c r="F1250" i="1"/>
  <c r="E1250" i="1"/>
  <c r="D1250" i="1"/>
  <c r="C1250" i="1"/>
  <c r="A1250" i="1"/>
  <c r="R1249" i="1"/>
  <c r="Q1249" i="1"/>
  <c r="N1249" i="1"/>
  <c r="J1249" i="1"/>
  <c r="I1249" i="1"/>
  <c r="H1249" i="1"/>
  <c r="G1249" i="1"/>
  <c r="F1249" i="1"/>
  <c r="E1249" i="1"/>
  <c r="D1249" i="1"/>
  <c r="C1249" i="1"/>
  <c r="A1249" i="1"/>
  <c r="R1248" i="1"/>
  <c r="Q1248" i="1"/>
  <c r="N1248" i="1"/>
  <c r="J1248" i="1"/>
  <c r="I1248" i="1"/>
  <c r="H1248" i="1"/>
  <c r="G1248" i="1"/>
  <c r="F1248" i="1"/>
  <c r="E1248" i="1"/>
  <c r="D1248" i="1"/>
  <c r="C1248" i="1"/>
  <c r="A1248" i="1"/>
  <c r="R1247" i="1"/>
  <c r="Q1247" i="1"/>
  <c r="N1247" i="1"/>
  <c r="J1247" i="1"/>
  <c r="I1247" i="1"/>
  <c r="H1247" i="1"/>
  <c r="G1247" i="1"/>
  <c r="F1247" i="1"/>
  <c r="E1247" i="1"/>
  <c r="D1247" i="1"/>
  <c r="C1247" i="1"/>
  <c r="A1247" i="1"/>
  <c r="R1246" i="1"/>
  <c r="Q1246" i="1"/>
  <c r="N1246" i="1"/>
  <c r="J1246" i="1"/>
  <c r="I1246" i="1"/>
  <c r="H1246" i="1"/>
  <c r="G1246" i="1"/>
  <c r="F1246" i="1"/>
  <c r="E1246" i="1"/>
  <c r="D1246" i="1"/>
  <c r="C1246" i="1"/>
  <c r="A1246" i="1"/>
  <c r="R1245" i="1"/>
  <c r="Q1245" i="1"/>
  <c r="N1245" i="1"/>
  <c r="J1245" i="1"/>
  <c r="I1245" i="1"/>
  <c r="H1245" i="1"/>
  <c r="G1245" i="1"/>
  <c r="F1245" i="1"/>
  <c r="E1245" i="1"/>
  <c r="D1245" i="1"/>
  <c r="C1245" i="1"/>
  <c r="A1245" i="1"/>
  <c r="R1244" i="1"/>
  <c r="Q1244" i="1"/>
  <c r="N1244" i="1"/>
  <c r="J1244" i="1"/>
  <c r="I1244" i="1"/>
  <c r="H1244" i="1"/>
  <c r="G1244" i="1"/>
  <c r="F1244" i="1"/>
  <c r="E1244" i="1"/>
  <c r="D1244" i="1"/>
  <c r="C1244" i="1"/>
  <c r="A1244" i="1"/>
  <c r="R1243" i="1"/>
  <c r="Q1243" i="1"/>
  <c r="N1243" i="1"/>
  <c r="J1243" i="1"/>
  <c r="I1243" i="1"/>
  <c r="H1243" i="1"/>
  <c r="G1243" i="1"/>
  <c r="F1243" i="1"/>
  <c r="E1243" i="1"/>
  <c r="D1243" i="1"/>
  <c r="C1243" i="1"/>
  <c r="A1243" i="1"/>
  <c r="R1242" i="1"/>
  <c r="Q1242" i="1"/>
  <c r="N1242" i="1"/>
  <c r="J1242" i="1"/>
  <c r="I1242" i="1"/>
  <c r="H1242" i="1"/>
  <c r="G1242" i="1"/>
  <c r="F1242" i="1"/>
  <c r="E1242" i="1"/>
  <c r="D1242" i="1"/>
  <c r="C1242" i="1"/>
  <c r="A1242" i="1"/>
  <c r="R1241" i="1"/>
  <c r="Q1241" i="1"/>
  <c r="N1241" i="1"/>
  <c r="J1241" i="1"/>
  <c r="I1241" i="1"/>
  <c r="H1241" i="1"/>
  <c r="G1241" i="1"/>
  <c r="F1241" i="1"/>
  <c r="E1241" i="1"/>
  <c r="D1241" i="1"/>
  <c r="C1241" i="1"/>
  <c r="A1241" i="1"/>
  <c r="R1240" i="1"/>
  <c r="Q1240" i="1"/>
  <c r="N1240" i="1"/>
  <c r="J1240" i="1"/>
  <c r="I1240" i="1"/>
  <c r="H1240" i="1"/>
  <c r="G1240" i="1"/>
  <c r="F1240" i="1"/>
  <c r="E1240" i="1"/>
  <c r="D1240" i="1"/>
  <c r="C1240" i="1"/>
  <c r="A1240" i="1"/>
  <c r="R1239" i="1"/>
  <c r="Q1239" i="1"/>
  <c r="N1239" i="1"/>
  <c r="J1239" i="1"/>
  <c r="I1239" i="1"/>
  <c r="H1239" i="1"/>
  <c r="G1239" i="1"/>
  <c r="F1239" i="1"/>
  <c r="E1239" i="1"/>
  <c r="D1239" i="1"/>
  <c r="C1239" i="1"/>
  <c r="A1239" i="1"/>
  <c r="R1238" i="1"/>
  <c r="Q1238" i="1"/>
  <c r="N1238" i="1"/>
  <c r="J1238" i="1"/>
  <c r="I1238" i="1"/>
  <c r="H1238" i="1"/>
  <c r="G1238" i="1"/>
  <c r="F1238" i="1"/>
  <c r="E1238" i="1"/>
  <c r="D1238" i="1"/>
  <c r="C1238" i="1"/>
  <c r="A1238" i="1"/>
  <c r="R1237" i="1"/>
  <c r="Q1237" i="1"/>
  <c r="N1237" i="1"/>
  <c r="J1237" i="1"/>
  <c r="I1237" i="1"/>
  <c r="H1237" i="1"/>
  <c r="G1237" i="1"/>
  <c r="F1237" i="1"/>
  <c r="E1237" i="1"/>
  <c r="D1237" i="1"/>
  <c r="C1237" i="1"/>
  <c r="A1237" i="1"/>
  <c r="R1236" i="1"/>
  <c r="Q1236" i="1"/>
  <c r="N1236" i="1"/>
  <c r="J1236" i="1"/>
  <c r="I1236" i="1"/>
  <c r="H1236" i="1"/>
  <c r="G1236" i="1"/>
  <c r="F1236" i="1"/>
  <c r="E1236" i="1"/>
  <c r="D1236" i="1"/>
  <c r="C1236" i="1"/>
  <c r="A1236" i="1"/>
  <c r="R1235" i="1"/>
  <c r="N1235" i="1"/>
  <c r="J1235" i="1"/>
  <c r="I1235" i="1"/>
  <c r="H1235" i="1"/>
  <c r="G1235" i="1"/>
  <c r="F1235" i="1"/>
  <c r="E1235" i="1"/>
  <c r="D1235" i="1"/>
  <c r="C1235" i="1"/>
  <c r="A1235" i="1"/>
  <c r="R1234" i="1"/>
  <c r="Q1234" i="1"/>
  <c r="N1234" i="1"/>
  <c r="J1234" i="1"/>
  <c r="I1234" i="1"/>
  <c r="H1234" i="1"/>
  <c r="G1234" i="1"/>
  <c r="F1234" i="1"/>
  <c r="E1234" i="1"/>
  <c r="D1234" i="1"/>
  <c r="C1234" i="1"/>
  <c r="A1234" i="1"/>
  <c r="R1233" i="1"/>
  <c r="Q1233" i="1"/>
  <c r="N1233" i="1"/>
  <c r="J1233" i="1"/>
  <c r="I1233" i="1"/>
  <c r="H1233" i="1"/>
  <c r="G1233" i="1"/>
  <c r="F1233" i="1"/>
  <c r="E1233" i="1"/>
  <c r="D1233" i="1"/>
  <c r="C1233" i="1"/>
  <c r="A1233" i="1"/>
  <c r="R1232" i="1"/>
  <c r="Q1232" i="1"/>
  <c r="N1232" i="1"/>
  <c r="J1232" i="1"/>
  <c r="I1232" i="1"/>
  <c r="H1232" i="1"/>
  <c r="G1232" i="1"/>
  <c r="F1232" i="1"/>
  <c r="E1232" i="1"/>
  <c r="D1232" i="1"/>
  <c r="C1232" i="1"/>
  <c r="A1232" i="1"/>
  <c r="R1231" i="1"/>
  <c r="Q1231" i="1"/>
  <c r="N1231" i="1"/>
  <c r="J1231" i="1"/>
  <c r="I1231" i="1"/>
  <c r="H1231" i="1"/>
  <c r="G1231" i="1"/>
  <c r="F1231" i="1"/>
  <c r="E1231" i="1"/>
  <c r="D1231" i="1"/>
  <c r="C1231" i="1"/>
  <c r="A1231" i="1"/>
  <c r="R1230" i="1"/>
  <c r="Q1230" i="1"/>
  <c r="N1230" i="1"/>
  <c r="J1230" i="1"/>
  <c r="I1230" i="1"/>
  <c r="H1230" i="1"/>
  <c r="G1230" i="1"/>
  <c r="F1230" i="1"/>
  <c r="E1230" i="1"/>
  <c r="D1230" i="1"/>
  <c r="C1230" i="1"/>
  <c r="A1230" i="1"/>
  <c r="R1229" i="1"/>
  <c r="Q1229" i="1"/>
  <c r="N1229" i="1"/>
  <c r="J1229" i="1"/>
  <c r="I1229" i="1"/>
  <c r="H1229" i="1"/>
  <c r="G1229" i="1"/>
  <c r="F1229" i="1"/>
  <c r="E1229" i="1"/>
  <c r="D1229" i="1"/>
  <c r="C1229" i="1"/>
  <c r="A1229" i="1"/>
  <c r="R1228" i="1"/>
  <c r="Q1228" i="1"/>
  <c r="N1228" i="1"/>
  <c r="J1228" i="1"/>
  <c r="I1228" i="1"/>
  <c r="H1228" i="1"/>
  <c r="G1228" i="1"/>
  <c r="F1228" i="1"/>
  <c r="E1228" i="1"/>
  <c r="D1228" i="1"/>
  <c r="C1228" i="1"/>
  <c r="A1228" i="1"/>
  <c r="R1227" i="1"/>
  <c r="Q1227" i="1"/>
  <c r="N1227" i="1"/>
  <c r="J1227" i="1"/>
  <c r="I1227" i="1"/>
  <c r="H1227" i="1"/>
  <c r="G1227" i="1"/>
  <c r="F1227" i="1"/>
  <c r="E1227" i="1"/>
  <c r="D1227" i="1"/>
  <c r="C1227" i="1"/>
  <c r="A1227" i="1"/>
  <c r="R1226" i="1"/>
  <c r="Q1226" i="1"/>
  <c r="N1226" i="1"/>
  <c r="J1226" i="1"/>
  <c r="I1226" i="1"/>
  <c r="H1226" i="1"/>
  <c r="G1226" i="1"/>
  <c r="F1226" i="1"/>
  <c r="E1226" i="1"/>
  <c r="D1226" i="1"/>
  <c r="C1226" i="1"/>
  <c r="A1226" i="1"/>
  <c r="R1225" i="1"/>
  <c r="Q1225" i="1"/>
  <c r="N1225" i="1"/>
  <c r="J1225" i="1"/>
  <c r="I1225" i="1"/>
  <c r="H1225" i="1"/>
  <c r="G1225" i="1"/>
  <c r="F1225" i="1"/>
  <c r="E1225" i="1"/>
  <c r="D1225" i="1"/>
  <c r="C1225" i="1"/>
  <c r="A1225" i="1"/>
  <c r="R1224" i="1"/>
  <c r="Q1224" i="1"/>
  <c r="N1224" i="1"/>
  <c r="J1224" i="1"/>
  <c r="I1224" i="1"/>
  <c r="H1224" i="1"/>
  <c r="G1224" i="1"/>
  <c r="F1224" i="1"/>
  <c r="E1224" i="1"/>
  <c r="D1224" i="1"/>
  <c r="C1224" i="1"/>
  <c r="A1224" i="1"/>
  <c r="R1223" i="1"/>
  <c r="N1223" i="1"/>
  <c r="J1223" i="1"/>
  <c r="I1223" i="1"/>
  <c r="H1223" i="1"/>
  <c r="G1223" i="1"/>
  <c r="F1223" i="1"/>
  <c r="E1223" i="1"/>
  <c r="D1223" i="1"/>
  <c r="C1223" i="1"/>
  <c r="A1223" i="1"/>
  <c r="R1222" i="1"/>
  <c r="Q1222" i="1"/>
  <c r="N1222" i="1"/>
  <c r="J1222" i="1"/>
  <c r="I1222" i="1"/>
  <c r="H1222" i="1"/>
  <c r="G1222" i="1"/>
  <c r="F1222" i="1"/>
  <c r="E1222" i="1"/>
  <c r="D1222" i="1"/>
  <c r="C1222" i="1"/>
  <c r="A1222" i="1"/>
  <c r="R1221" i="1"/>
  <c r="Q1221" i="1"/>
  <c r="N1221" i="1"/>
  <c r="J1221" i="1"/>
  <c r="I1221" i="1"/>
  <c r="H1221" i="1"/>
  <c r="G1221" i="1"/>
  <c r="F1221" i="1"/>
  <c r="E1221" i="1"/>
  <c r="D1221" i="1"/>
  <c r="C1221" i="1"/>
  <c r="A1221" i="1"/>
  <c r="R1220" i="1"/>
  <c r="Q1220" i="1"/>
  <c r="N1220" i="1"/>
  <c r="J1220" i="1"/>
  <c r="I1220" i="1"/>
  <c r="H1220" i="1"/>
  <c r="G1220" i="1"/>
  <c r="F1220" i="1"/>
  <c r="E1220" i="1"/>
  <c r="D1220" i="1"/>
  <c r="C1220" i="1"/>
  <c r="A1220" i="1"/>
  <c r="R1219" i="1"/>
  <c r="Q1219" i="1"/>
  <c r="N1219" i="1"/>
  <c r="J1219" i="1"/>
  <c r="I1219" i="1"/>
  <c r="H1219" i="1"/>
  <c r="G1219" i="1"/>
  <c r="F1219" i="1"/>
  <c r="E1219" i="1"/>
  <c r="D1219" i="1"/>
  <c r="C1219" i="1"/>
  <c r="A1219" i="1"/>
  <c r="R1218" i="1"/>
  <c r="Q1218" i="1"/>
  <c r="N1218" i="1"/>
  <c r="J1218" i="1"/>
  <c r="I1218" i="1"/>
  <c r="H1218" i="1"/>
  <c r="G1218" i="1"/>
  <c r="F1218" i="1"/>
  <c r="E1218" i="1"/>
  <c r="D1218" i="1"/>
  <c r="C1218" i="1"/>
  <c r="A1218" i="1"/>
  <c r="R1217" i="1"/>
  <c r="N1217" i="1"/>
  <c r="J1217" i="1"/>
  <c r="I1217" i="1"/>
  <c r="H1217" i="1"/>
  <c r="G1217" i="1"/>
  <c r="F1217" i="1"/>
  <c r="E1217" i="1"/>
  <c r="D1217" i="1"/>
  <c r="C1217" i="1"/>
  <c r="B1217" i="1"/>
  <c r="A1217" i="1"/>
  <c r="R1216" i="1"/>
  <c r="Q1216" i="1"/>
  <c r="N1216" i="1"/>
  <c r="J1216" i="1"/>
  <c r="I1216" i="1"/>
  <c r="H1216" i="1"/>
  <c r="G1216" i="1"/>
  <c r="F1216" i="1"/>
  <c r="E1216" i="1"/>
  <c r="D1216" i="1"/>
  <c r="C1216" i="1"/>
  <c r="B1216" i="1"/>
  <c r="A1216" i="1"/>
  <c r="R1215" i="1"/>
  <c r="N1215" i="1"/>
  <c r="J1215" i="1"/>
  <c r="I1215" i="1"/>
  <c r="H1215" i="1"/>
  <c r="G1215" i="1"/>
  <c r="F1215" i="1"/>
  <c r="E1215" i="1"/>
  <c r="D1215" i="1"/>
  <c r="C1215" i="1"/>
  <c r="B1215" i="1"/>
  <c r="A1215" i="1"/>
  <c r="R1214" i="1"/>
  <c r="Q1214" i="1"/>
  <c r="N1214" i="1"/>
  <c r="J1214" i="1"/>
  <c r="I1214" i="1"/>
  <c r="H1214" i="1"/>
  <c r="G1214" i="1"/>
  <c r="F1214" i="1"/>
  <c r="E1214" i="1"/>
  <c r="D1214" i="1"/>
  <c r="C1214" i="1"/>
  <c r="B1214" i="1"/>
  <c r="A1214" i="1"/>
  <c r="R1213" i="1"/>
  <c r="N1213" i="1"/>
  <c r="J1213" i="1"/>
  <c r="I1213" i="1"/>
  <c r="H1213" i="1"/>
  <c r="G1213" i="1"/>
  <c r="F1213" i="1"/>
  <c r="E1213" i="1"/>
  <c r="D1213" i="1"/>
  <c r="C1213" i="1"/>
  <c r="B1213" i="1"/>
  <c r="A1213" i="1"/>
  <c r="R1212" i="1"/>
  <c r="N1212" i="1"/>
  <c r="J1212" i="1"/>
  <c r="I1212" i="1"/>
  <c r="H1212" i="1"/>
  <c r="G1212" i="1"/>
  <c r="F1212" i="1"/>
  <c r="E1212" i="1"/>
  <c r="D1212" i="1"/>
  <c r="C1212" i="1"/>
  <c r="B1212" i="1"/>
  <c r="A1212" i="1"/>
  <c r="R1211" i="1"/>
  <c r="N1211" i="1"/>
  <c r="J1211" i="1"/>
  <c r="I1211" i="1"/>
  <c r="H1211" i="1"/>
  <c r="G1211" i="1"/>
  <c r="F1211" i="1"/>
  <c r="E1211" i="1"/>
  <c r="D1211" i="1"/>
  <c r="C1211" i="1"/>
  <c r="B1211" i="1"/>
  <c r="A1211" i="1"/>
  <c r="R1210" i="1"/>
  <c r="N1210" i="1"/>
  <c r="J1210" i="1"/>
  <c r="I1210" i="1"/>
  <c r="H1210" i="1"/>
  <c r="G1210" i="1"/>
  <c r="F1210" i="1"/>
  <c r="E1210" i="1"/>
  <c r="D1210" i="1"/>
  <c r="C1210" i="1"/>
  <c r="B1210" i="1"/>
  <c r="A1210" i="1"/>
  <c r="R1209" i="1"/>
  <c r="Q1209" i="1"/>
  <c r="N1209" i="1"/>
  <c r="J1209" i="1"/>
  <c r="I1209" i="1"/>
  <c r="H1209" i="1"/>
  <c r="G1209" i="1"/>
  <c r="F1209" i="1"/>
  <c r="E1209" i="1"/>
  <c r="D1209" i="1"/>
  <c r="C1209" i="1"/>
  <c r="A1209" i="1"/>
  <c r="R1208" i="1"/>
  <c r="N1208" i="1"/>
  <c r="J1208" i="1"/>
  <c r="I1208" i="1"/>
  <c r="H1208" i="1"/>
  <c r="G1208" i="1"/>
  <c r="F1208" i="1"/>
  <c r="E1208" i="1"/>
  <c r="D1208" i="1"/>
  <c r="C1208" i="1"/>
  <c r="A1208" i="1"/>
  <c r="R1207" i="1"/>
  <c r="Q1207" i="1"/>
  <c r="N1207" i="1"/>
  <c r="J1207" i="1"/>
  <c r="I1207" i="1"/>
  <c r="H1207" i="1"/>
  <c r="G1207" i="1"/>
  <c r="F1207" i="1"/>
  <c r="E1207" i="1"/>
  <c r="D1207" i="1"/>
  <c r="C1207" i="1"/>
  <c r="A1207" i="1"/>
  <c r="R1206" i="1"/>
  <c r="N1206" i="1"/>
  <c r="J1206" i="1"/>
  <c r="I1206" i="1"/>
  <c r="H1206" i="1"/>
  <c r="G1206" i="1"/>
  <c r="F1206" i="1"/>
  <c r="E1206" i="1"/>
  <c r="D1206" i="1"/>
  <c r="C1206" i="1"/>
  <c r="A1206" i="1"/>
  <c r="R1205" i="1"/>
  <c r="Q1205" i="1"/>
  <c r="N1205" i="1"/>
  <c r="J1205" i="1"/>
  <c r="I1205" i="1"/>
  <c r="H1205" i="1"/>
  <c r="G1205" i="1"/>
  <c r="F1205" i="1"/>
  <c r="E1205" i="1"/>
  <c r="D1205" i="1"/>
  <c r="C1205" i="1"/>
  <c r="A1205" i="1"/>
  <c r="R1204" i="1"/>
  <c r="N1204" i="1"/>
  <c r="J1204" i="1"/>
  <c r="I1204" i="1"/>
  <c r="H1204" i="1"/>
  <c r="G1204" i="1"/>
  <c r="F1204" i="1"/>
  <c r="E1204" i="1"/>
  <c r="D1204" i="1"/>
  <c r="C1204" i="1"/>
  <c r="B1204" i="1"/>
  <c r="A1204" i="1"/>
  <c r="R1203" i="1"/>
  <c r="N1203" i="1"/>
  <c r="J1203" i="1"/>
  <c r="I1203" i="1"/>
  <c r="H1203" i="1"/>
  <c r="G1203" i="1"/>
  <c r="F1203" i="1"/>
  <c r="E1203" i="1"/>
  <c r="D1203" i="1"/>
  <c r="C1203" i="1"/>
  <c r="B1203" i="1"/>
  <c r="A1203" i="1"/>
  <c r="R1202" i="1"/>
  <c r="N1202" i="1"/>
  <c r="J1202" i="1"/>
  <c r="I1202" i="1"/>
  <c r="H1202" i="1"/>
  <c r="G1202" i="1"/>
  <c r="F1202" i="1"/>
  <c r="E1202" i="1"/>
  <c r="D1202" i="1"/>
  <c r="C1202" i="1"/>
  <c r="B1202" i="1"/>
  <c r="A1202" i="1"/>
  <c r="R1201" i="1"/>
  <c r="N1201" i="1"/>
  <c r="J1201" i="1"/>
  <c r="I1201" i="1"/>
  <c r="H1201" i="1"/>
  <c r="G1201" i="1"/>
  <c r="F1201" i="1"/>
  <c r="E1201" i="1"/>
  <c r="D1201" i="1"/>
  <c r="C1201" i="1"/>
  <c r="B1201" i="1"/>
  <c r="A1201" i="1"/>
  <c r="R1200" i="1"/>
  <c r="N1200" i="1"/>
  <c r="J1200" i="1"/>
  <c r="I1200" i="1"/>
  <c r="H1200" i="1"/>
  <c r="G1200" i="1"/>
  <c r="F1200" i="1"/>
  <c r="E1200" i="1"/>
  <c r="D1200" i="1"/>
  <c r="C1200" i="1"/>
  <c r="B1200" i="1"/>
  <c r="A1200" i="1"/>
  <c r="R1199" i="1"/>
  <c r="N1199" i="1"/>
  <c r="J1199" i="1"/>
  <c r="I1199" i="1"/>
  <c r="H1199" i="1"/>
  <c r="G1199" i="1"/>
  <c r="F1199" i="1"/>
  <c r="E1199" i="1"/>
  <c r="D1199" i="1"/>
  <c r="C1199" i="1"/>
  <c r="B1199" i="1"/>
  <c r="A1199" i="1"/>
  <c r="R1198" i="1"/>
  <c r="N1198" i="1"/>
  <c r="J1198" i="1"/>
  <c r="I1198" i="1"/>
  <c r="H1198" i="1"/>
  <c r="G1198" i="1"/>
  <c r="F1198" i="1"/>
  <c r="E1198" i="1"/>
  <c r="D1198" i="1"/>
  <c r="C1198" i="1"/>
  <c r="B1198" i="1"/>
  <c r="A1198" i="1"/>
  <c r="R1197" i="1"/>
  <c r="N1197" i="1"/>
  <c r="J1197" i="1"/>
  <c r="I1197" i="1"/>
  <c r="H1197" i="1"/>
  <c r="G1197" i="1"/>
  <c r="F1197" i="1"/>
  <c r="E1197" i="1"/>
  <c r="D1197" i="1"/>
  <c r="C1197" i="1"/>
  <c r="B1197" i="1"/>
  <c r="A1197" i="1"/>
  <c r="R1196" i="1"/>
  <c r="Q1196" i="1"/>
  <c r="N1196" i="1"/>
  <c r="J1196" i="1"/>
  <c r="I1196" i="1"/>
  <c r="H1196" i="1"/>
  <c r="G1196" i="1"/>
  <c r="F1196" i="1"/>
  <c r="E1196" i="1"/>
  <c r="D1196" i="1"/>
  <c r="C1196" i="1"/>
  <c r="A1196" i="1"/>
  <c r="R1195" i="1"/>
  <c r="N1195" i="1"/>
  <c r="J1195" i="1"/>
  <c r="I1195" i="1"/>
  <c r="H1195" i="1"/>
  <c r="G1195" i="1"/>
  <c r="F1195" i="1"/>
  <c r="E1195" i="1"/>
  <c r="D1195" i="1"/>
  <c r="C1195" i="1"/>
  <c r="A1195" i="1"/>
  <c r="R1194" i="1"/>
  <c r="Q1194" i="1"/>
  <c r="N1194" i="1"/>
  <c r="J1194" i="1"/>
  <c r="I1194" i="1"/>
  <c r="H1194" i="1"/>
  <c r="G1194" i="1"/>
  <c r="F1194" i="1"/>
  <c r="E1194" i="1"/>
  <c r="D1194" i="1"/>
  <c r="C1194" i="1"/>
  <c r="A1194" i="1"/>
  <c r="R1193" i="1"/>
  <c r="N1193" i="1"/>
  <c r="J1193" i="1"/>
  <c r="I1193" i="1"/>
  <c r="H1193" i="1"/>
  <c r="G1193" i="1"/>
  <c r="F1193" i="1"/>
  <c r="E1193" i="1"/>
  <c r="D1193" i="1"/>
  <c r="C1193" i="1"/>
  <c r="A1193" i="1"/>
  <c r="R1192" i="1"/>
  <c r="Q1192" i="1"/>
  <c r="N1192" i="1"/>
  <c r="J1192" i="1"/>
  <c r="I1192" i="1"/>
  <c r="H1192" i="1"/>
  <c r="G1192" i="1"/>
  <c r="F1192" i="1"/>
  <c r="E1192" i="1"/>
  <c r="D1192" i="1"/>
  <c r="C1192" i="1"/>
  <c r="A1192" i="1"/>
  <c r="R1191" i="1"/>
  <c r="N1191" i="1"/>
  <c r="J1191" i="1"/>
  <c r="I1191" i="1"/>
  <c r="H1191" i="1"/>
  <c r="G1191" i="1"/>
  <c r="F1191" i="1"/>
  <c r="E1191" i="1"/>
  <c r="D1191" i="1"/>
  <c r="C1191" i="1"/>
  <c r="A1191" i="1"/>
  <c r="R1190" i="1"/>
  <c r="Q1190" i="1"/>
  <c r="N1190" i="1"/>
  <c r="J1190" i="1"/>
  <c r="I1190" i="1"/>
  <c r="H1190" i="1"/>
  <c r="G1190" i="1"/>
  <c r="F1190" i="1"/>
  <c r="E1190" i="1"/>
  <c r="D1190" i="1"/>
  <c r="C1190" i="1"/>
  <c r="A1190" i="1"/>
  <c r="R1189" i="1"/>
  <c r="N1189" i="1"/>
  <c r="J1189" i="1"/>
  <c r="I1189" i="1"/>
  <c r="H1189" i="1"/>
  <c r="G1189" i="1"/>
  <c r="F1189" i="1"/>
  <c r="E1189" i="1"/>
  <c r="D1189" i="1"/>
  <c r="C1189" i="1"/>
  <c r="A1189" i="1"/>
  <c r="R1188" i="1"/>
  <c r="Q1188" i="1"/>
  <c r="N1188" i="1"/>
  <c r="J1188" i="1"/>
  <c r="I1188" i="1"/>
  <c r="H1188" i="1"/>
  <c r="G1188" i="1"/>
  <c r="F1188" i="1"/>
  <c r="E1188" i="1"/>
  <c r="D1188" i="1"/>
  <c r="C1188" i="1"/>
  <c r="A1188" i="1"/>
  <c r="R1187" i="1"/>
  <c r="N1187" i="1"/>
  <c r="J1187" i="1"/>
  <c r="I1187" i="1"/>
  <c r="H1187" i="1"/>
  <c r="G1187" i="1"/>
  <c r="F1187" i="1"/>
  <c r="E1187" i="1"/>
  <c r="D1187" i="1"/>
  <c r="C1187" i="1"/>
  <c r="A1187" i="1"/>
  <c r="R1186" i="1"/>
  <c r="Q1186" i="1"/>
  <c r="N1186" i="1"/>
  <c r="J1186" i="1"/>
  <c r="I1186" i="1"/>
  <c r="H1186" i="1"/>
  <c r="G1186" i="1"/>
  <c r="F1186" i="1"/>
  <c r="E1186" i="1"/>
  <c r="D1186" i="1"/>
  <c r="C1186" i="1"/>
  <c r="A1186" i="1"/>
  <c r="R1185" i="1"/>
  <c r="N1185" i="1"/>
  <c r="J1185" i="1"/>
  <c r="I1185" i="1"/>
  <c r="H1185" i="1"/>
  <c r="G1185" i="1"/>
  <c r="F1185" i="1"/>
  <c r="E1185" i="1"/>
  <c r="D1185" i="1"/>
  <c r="C1185" i="1"/>
  <c r="A1185" i="1"/>
  <c r="R1184" i="1"/>
  <c r="Q1184" i="1"/>
  <c r="N1184" i="1"/>
  <c r="J1184" i="1"/>
  <c r="I1184" i="1"/>
  <c r="H1184" i="1"/>
  <c r="G1184" i="1"/>
  <c r="F1184" i="1"/>
  <c r="E1184" i="1"/>
  <c r="D1184" i="1"/>
  <c r="C1184" i="1"/>
  <c r="A1184" i="1"/>
  <c r="R1183" i="1"/>
  <c r="N1183" i="1"/>
  <c r="J1183" i="1"/>
  <c r="I1183" i="1"/>
  <c r="H1183" i="1"/>
  <c r="G1183" i="1"/>
  <c r="F1183" i="1"/>
  <c r="E1183" i="1"/>
  <c r="D1183" i="1"/>
  <c r="C1183" i="1"/>
  <c r="A1183" i="1"/>
  <c r="R1182" i="1"/>
  <c r="Q1182" i="1"/>
  <c r="N1182" i="1"/>
  <c r="J1182" i="1"/>
  <c r="I1182" i="1"/>
  <c r="H1182" i="1"/>
  <c r="G1182" i="1"/>
  <c r="F1182" i="1"/>
  <c r="E1182" i="1"/>
  <c r="D1182" i="1"/>
  <c r="C1182" i="1"/>
  <c r="A1182" i="1"/>
  <c r="R1181" i="1"/>
  <c r="N1181" i="1"/>
  <c r="J1181" i="1"/>
  <c r="I1181" i="1"/>
  <c r="H1181" i="1"/>
  <c r="G1181" i="1"/>
  <c r="F1181" i="1"/>
  <c r="E1181" i="1"/>
  <c r="D1181" i="1"/>
  <c r="C1181" i="1"/>
  <c r="A1181" i="1"/>
  <c r="R1180" i="1"/>
  <c r="Q1180" i="1"/>
  <c r="N1180" i="1"/>
  <c r="J1180" i="1"/>
  <c r="I1180" i="1"/>
  <c r="H1180" i="1"/>
  <c r="G1180" i="1"/>
  <c r="F1180" i="1"/>
  <c r="E1180" i="1"/>
  <c r="D1180" i="1"/>
  <c r="C1180" i="1"/>
  <c r="A1180" i="1"/>
  <c r="R1179" i="1"/>
  <c r="N1179" i="1"/>
  <c r="J1179" i="1"/>
  <c r="I1179" i="1"/>
  <c r="H1179" i="1"/>
  <c r="G1179" i="1"/>
  <c r="F1179" i="1"/>
  <c r="E1179" i="1"/>
  <c r="D1179" i="1"/>
  <c r="C1179" i="1"/>
  <c r="B1179" i="1"/>
  <c r="A1179" i="1"/>
  <c r="R1178" i="1"/>
  <c r="N1178" i="1"/>
  <c r="J1178" i="1"/>
  <c r="I1178" i="1"/>
  <c r="H1178" i="1"/>
  <c r="G1178" i="1"/>
  <c r="F1178" i="1"/>
  <c r="E1178" i="1"/>
  <c r="D1178" i="1"/>
  <c r="C1178" i="1"/>
  <c r="B1178" i="1"/>
  <c r="A1178" i="1"/>
  <c r="R1177" i="1"/>
  <c r="N1177" i="1"/>
  <c r="J1177" i="1"/>
  <c r="I1177" i="1"/>
  <c r="H1177" i="1"/>
  <c r="G1177" i="1"/>
  <c r="F1177" i="1"/>
  <c r="E1177" i="1"/>
  <c r="D1177" i="1"/>
  <c r="C1177" i="1"/>
  <c r="B1177" i="1"/>
  <c r="A1177" i="1"/>
  <c r="R1176" i="1"/>
  <c r="N1176" i="1"/>
  <c r="J1176" i="1"/>
  <c r="I1176" i="1"/>
  <c r="H1176" i="1"/>
  <c r="G1176" i="1"/>
  <c r="F1176" i="1"/>
  <c r="E1176" i="1"/>
  <c r="D1176" i="1"/>
  <c r="C1176" i="1"/>
  <c r="B1176" i="1"/>
  <c r="A1176" i="1"/>
  <c r="R1175" i="1"/>
  <c r="N1175" i="1"/>
  <c r="J1175" i="1"/>
  <c r="I1175" i="1"/>
  <c r="H1175" i="1"/>
  <c r="G1175" i="1"/>
  <c r="F1175" i="1"/>
  <c r="E1175" i="1"/>
  <c r="D1175" i="1"/>
  <c r="C1175" i="1"/>
  <c r="B1175" i="1"/>
  <c r="A1175" i="1"/>
  <c r="R1174" i="1"/>
  <c r="N1174" i="1"/>
  <c r="J1174" i="1"/>
  <c r="I1174" i="1"/>
  <c r="H1174" i="1"/>
  <c r="G1174" i="1"/>
  <c r="F1174" i="1"/>
  <c r="E1174" i="1"/>
  <c r="D1174" i="1"/>
  <c r="C1174" i="1"/>
  <c r="B1174" i="1"/>
  <c r="A1174" i="1"/>
  <c r="R1173" i="1"/>
  <c r="Q1173" i="1"/>
  <c r="N1173" i="1"/>
  <c r="J1173" i="1"/>
  <c r="I1173" i="1"/>
  <c r="H1173" i="1"/>
  <c r="G1173" i="1"/>
  <c r="F1173" i="1"/>
  <c r="E1173" i="1"/>
  <c r="D1173" i="1"/>
  <c r="C1173" i="1"/>
  <c r="B1173" i="1"/>
  <c r="A1173" i="1"/>
  <c r="R1172" i="1"/>
  <c r="N1172" i="1"/>
  <c r="J1172" i="1"/>
  <c r="I1172" i="1"/>
  <c r="H1172" i="1"/>
  <c r="G1172" i="1"/>
  <c r="F1172" i="1"/>
  <c r="E1172" i="1"/>
  <c r="D1172" i="1"/>
  <c r="C1172" i="1"/>
  <c r="B1172" i="1"/>
  <c r="A1172" i="1"/>
  <c r="R1171" i="1"/>
  <c r="Q1171" i="1"/>
  <c r="N1171" i="1"/>
  <c r="J1171" i="1"/>
  <c r="I1171" i="1"/>
  <c r="H1171" i="1"/>
  <c r="G1171" i="1"/>
  <c r="F1171" i="1"/>
  <c r="E1171" i="1"/>
  <c r="D1171" i="1"/>
  <c r="C1171" i="1"/>
  <c r="B1171" i="1"/>
  <c r="A1171" i="1"/>
  <c r="R1170" i="1"/>
  <c r="N1170" i="1"/>
  <c r="J1170" i="1"/>
  <c r="I1170" i="1"/>
  <c r="H1170" i="1"/>
  <c r="G1170" i="1"/>
  <c r="F1170" i="1"/>
  <c r="E1170" i="1"/>
  <c r="D1170" i="1"/>
  <c r="C1170" i="1"/>
  <c r="B1170" i="1"/>
  <c r="A1170" i="1"/>
  <c r="R1169" i="1"/>
  <c r="Q1169" i="1"/>
  <c r="N1169" i="1"/>
  <c r="J1169" i="1"/>
  <c r="I1169" i="1"/>
  <c r="H1169" i="1"/>
  <c r="G1169" i="1"/>
  <c r="F1169" i="1"/>
  <c r="E1169" i="1"/>
  <c r="D1169" i="1"/>
  <c r="C1169" i="1"/>
  <c r="B1169" i="1"/>
  <c r="A1169" i="1"/>
  <c r="R1168" i="1"/>
  <c r="N1168" i="1"/>
  <c r="J1168" i="1"/>
  <c r="I1168" i="1"/>
  <c r="H1168" i="1"/>
  <c r="G1168" i="1"/>
  <c r="F1168" i="1"/>
  <c r="E1168" i="1"/>
  <c r="D1168" i="1"/>
  <c r="C1168" i="1"/>
  <c r="B1168" i="1"/>
  <c r="A1168" i="1"/>
  <c r="R1167" i="1"/>
  <c r="Q1167" i="1"/>
  <c r="N1167" i="1"/>
  <c r="J1167" i="1"/>
  <c r="I1167" i="1"/>
  <c r="H1167" i="1"/>
  <c r="G1167" i="1"/>
  <c r="F1167" i="1"/>
  <c r="E1167" i="1"/>
  <c r="D1167" i="1"/>
  <c r="C1167" i="1"/>
  <c r="B1167" i="1"/>
  <c r="A1167" i="1"/>
  <c r="R1166" i="1"/>
  <c r="N1166" i="1"/>
  <c r="J1166" i="1"/>
  <c r="I1166" i="1"/>
  <c r="H1166" i="1"/>
  <c r="G1166" i="1"/>
  <c r="F1166" i="1"/>
  <c r="E1166" i="1"/>
  <c r="D1166" i="1"/>
  <c r="C1166" i="1"/>
  <c r="B1166" i="1"/>
  <c r="A1166" i="1"/>
  <c r="R1165" i="1"/>
  <c r="Q1165" i="1"/>
  <c r="N1165" i="1"/>
  <c r="J1165" i="1"/>
  <c r="I1165" i="1"/>
  <c r="H1165" i="1"/>
  <c r="G1165" i="1"/>
  <c r="F1165" i="1"/>
  <c r="E1165" i="1"/>
  <c r="D1165" i="1"/>
  <c r="C1165" i="1"/>
  <c r="A1165" i="1"/>
  <c r="R1164" i="1"/>
  <c r="N1164" i="1"/>
  <c r="J1164" i="1"/>
  <c r="I1164" i="1"/>
  <c r="H1164" i="1"/>
  <c r="G1164" i="1"/>
  <c r="F1164" i="1"/>
  <c r="E1164" i="1"/>
  <c r="D1164" i="1"/>
  <c r="C1164" i="1"/>
  <c r="A1164" i="1"/>
  <c r="R1163" i="1"/>
  <c r="Q1163" i="1"/>
  <c r="N1163" i="1"/>
  <c r="J1163" i="1"/>
  <c r="I1163" i="1"/>
  <c r="H1163" i="1"/>
  <c r="G1163" i="1"/>
  <c r="F1163" i="1"/>
  <c r="E1163" i="1"/>
  <c r="D1163" i="1"/>
  <c r="C1163" i="1"/>
  <c r="A1163" i="1"/>
  <c r="R1162" i="1"/>
  <c r="N1162" i="1"/>
  <c r="J1162" i="1"/>
  <c r="I1162" i="1"/>
  <c r="H1162" i="1"/>
  <c r="G1162" i="1"/>
  <c r="F1162" i="1"/>
  <c r="E1162" i="1"/>
  <c r="D1162" i="1"/>
  <c r="C1162" i="1"/>
  <c r="A1162" i="1"/>
  <c r="R1161" i="1"/>
  <c r="Q1161" i="1"/>
  <c r="N1161" i="1"/>
  <c r="J1161" i="1"/>
  <c r="I1161" i="1"/>
  <c r="H1161" i="1"/>
  <c r="G1161" i="1"/>
  <c r="F1161" i="1"/>
  <c r="E1161" i="1"/>
  <c r="D1161" i="1"/>
  <c r="C1161" i="1"/>
  <c r="A1161" i="1"/>
  <c r="R1160" i="1"/>
  <c r="Q1160" i="1"/>
  <c r="N1160" i="1"/>
  <c r="J1160" i="1"/>
  <c r="I1160" i="1"/>
  <c r="H1160" i="1"/>
  <c r="G1160" i="1"/>
  <c r="F1160" i="1"/>
  <c r="E1160" i="1"/>
  <c r="D1160" i="1"/>
  <c r="C1160" i="1"/>
  <c r="A1160" i="1"/>
  <c r="R1159" i="1"/>
  <c r="Q1159" i="1"/>
  <c r="N1159" i="1"/>
  <c r="J1159" i="1"/>
  <c r="I1159" i="1"/>
  <c r="H1159" i="1"/>
  <c r="G1159" i="1"/>
  <c r="F1159" i="1"/>
  <c r="E1159" i="1"/>
  <c r="D1159" i="1"/>
  <c r="C1159" i="1"/>
  <c r="A1159" i="1"/>
  <c r="R1158" i="1"/>
  <c r="N1158" i="1"/>
  <c r="J1158" i="1"/>
  <c r="I1158" i="1"/>
  <c r="H1158" i="1"/>
  <c r="G1158" i="1"/>
  <c r="F1158" i="1"/>
  <c r="E1158" i="1"/>
  <c r="D1158" i="1"/>
  <c r="C1158" i="1"/>
  <c r="A1158" i="1"/>
  <c r="R1157" i="1"/>
  <c r="Q1157" i="1"/>
  <c r="N1157" i="1"/>
  <c r="J1157" i="1"/>
  <c r="I1157" i="1"/>
  <c r="H1157" i="1"/>
  <c r="G1157" i="1"/>
  <c r="F1157" i="1"/>
  <c r="E1157" i="1"/>
  <c r="D1157" i="1"/>
  <c r="C1157" i="1"/>
  <c r="A1157" i="1"/>
  <c r="R1156" i="1"/>
  <c r="N1156" i="1"/>
  <c r="J1156" i="1"/>
  <c r="I1156" i="1"/>
  <c r="H1156" i="1"/>
  <c r="G1156" i="1"/>
  <c r="F1156" i="1"/>
  <c r="E1156" i="1"/>
  <c r="D1156" i="1"/>
  <c r="C1156" i="1"/>
  <c r="A1156" i="1"/>
  <c r="R1155" i="1"/>
  <c r="Q1155" i="1"/>
  <c r="N1155" i="1"/>
  <c r="J1155" i="1"/>
  <c r="I1155" i="1"/>
  <c r="H1155" i="1"/>
  <c r="G1155" i="1"/>
  <c r="F1155" i="1"/>
  <c r="E1155" i="1"/>
  <c r="D1155" i="1"/>
  <c r="C1155" i="1"/>
  <c r="A1155" i="1"/>
  <c r="R1154" i="1"/>
  <c r="N1154" i="1"/>
  <c r="J1154" i="1"/>
  <c r="I1154" i="1"/>
  <c r="H1154" i="1"/>
  <c r="G1154" i="1"/>
  <c r="F1154" i="1"/>
  <c r="E1154" i="1"/>
  <c r="D1154" i="1"/>
  <c r="C1154" i="1"/>
  <c r="A1154" i="1"/>
  <c r="R1153" i="1"/>
  <c r="Q1153" i="1"/>
  <c r="N1153" i="1"/>
  <c r="J1153" i="1"/>
  <c r="I1153" i="1"/>
  <c r="H1153" i="1"/>
  <c r="G1153" i="1"/>
  <c r="F1153" i="1"/>
  <c r="E1153" i="1"/>
  <c r="D1153" i="1"/>
  <c r="C1153" i="1"/>
  <c r="A1153" i="1"/>
  <c r="R1152" i="1"/>
  <c r="Q1152" i="1"/>
  <c r="N1152" i="1"/>
  <c r="J1152" i="1"/>
  <c r="I1152" i="1"/>
  <c r="H1152" i="1"/>
  <c r="G1152" i="1"/>
  <c r="F1152" i="1"/>
  <c r="E1152" i="1"/>
  <c r="D1152" i="1"/>
  <c r="C1152" i="1"/>
  <c r="A1152" i="1"/>
  <c r="R1151" i="1"/>
  <c r="Q1151" i="1"/>
  <c r="N1151" i="1"/>
  <c r="J1151" i="1"/>
  <c r="I1151" i="1"/>
  <c r="H1151" i="1"/>
  <c r="G1151" i="1"/>
  <c r="F1151" i="1"/>
  <c r="E1151" i="1"/>
  <c r="D1151" i="1"/>
  <c r="C1151" i="1"/>
  <c r="A1151" i="1"/>
  <c r="R1150" i="1"/>
  <c r="Q1150" i="1"/>
  <c r="N1150" i="1"/>
  <c r="J1150" i="1"/>
  <c r="I1150" i="1"/>
  <c r="H1150" i="1"/>
  <c r="G1150" i="1"/>
  <c r="F1150" i="1"/>
  <c r="E1150" i="1"/>
  <c r="D1150" i="1"/>
  <c r="C1150" i="1"/>
  <c r="A1150" i="1"/>
  <c r="R1149" i="1"/>
  <c r="Q1149" i="1"/>
  <c r="N1149" i="1"/>
  <c r="J1149" i="1"/>
  <c r="I1149" i="1"/>
  <c r="H1149" i="1"/>
  <c r="G1149" i="1"/>
  <c r="F1149" i="1"/>
  <c r="E1149" i="1"/>
  <c r="D1149" i="1"/>
  <c r="C1149" i="1"/>
  <c r="A1149" i="1"/>
  <c r="R1148" i="1"/>
  <c r="N1148" i="1"/>
  <c r="J1148" i="1"/>
  <c r="I1148" i="1"/>
  <c r="H1148" i="1"/>
  <c r="G1148" i="1"/>
  <c r="F1148" i="1"/>
  <c r="E1148" i="1"/>
  <c r="D1148" i="1"/>
  <c r="C1148" i="1"/>
  <c r="A1148" i="1"/>
  <c r="R1147" i="1"/>
  <c r="Q1147" i="1"/>
  <c r="N1147" i="1"/>
  <c r="J1147" i="1"/>
  <c r="I1147" i="1"/>
  <c r="H1147" i="1"/>
  <c r="G1147" i="1"/>
  <c r="F1147" i="1"/>
  <c r="E1147" i="1"/>
  <c r="D1147" i="1"/>
  <c r="C1147" i="1"/>
  <c r="A1147" i="1"/>
  <c r="R1146" i="1"/>
  <c r="Q1146" i="1"/>
  <c r="N1146" i="1"/>
  <c r="J1146" i="1"/>
  <c r="I1146" i="1"/>
  <c r="H1146" i="1"/>
  <c r="G1146" i="1"/>
  <c r="F1146" i="1"/>
  <c r="E1146" i="1"/>
  <c r="D1146" i="1"/>
  <c r="C1146" i="1"/>
  <c r="A1146" i="1"/>
  <c r="R1145" i="1"/>
  <c r="Q1145" i="1"/>
  <c r="N1145" i="1"/>
  <c r="J1145" i="1"/>
  <c r="I1145" i="1"/>
  <c r="H1145" i="1"/>
  <c r="G1145" i="1"/>
  <c r="F1145" i="1"/>
  <c r="E1145" i="1"/>
  <c r="D1145" i="1"/>
  <c r="C1145" i="1"/>
  <c r="A1145" i="1"/>
  <c r="R1144" i="1"/>
  <c r="Q1144" i="1"/>
  <c r="N1144" i="1"/>
  <c r="J1144" i="1"/>
  <c r="I1144" i="1"/>
  <c r="H1144" i="1"/>
  <c r="G1144" i="1"/>
  <c r="F1144" i="1"/>
  <c r="E1144" i="1"/>
  <c r="D1144" i="1"/>
  <c r="C1144" i="1"/>
  <c r="A1144" i="1"/>
  <c r="R1143" i="1"/>
  <c r="Q1143" i="1"/>
  <c r="N1143" i="1"/>
  <c r="J1143" i="1"/>
  <c r="I1143" i="1"/>
  <c r="H1143" i="1"/>
  <c r="G1143" i="1"/>
  <c r="F1143" i="1"/>
  <c r="E1143" i="1"/>
  <c r="D1143" i="1"/>
  <c r="C1143" i="1"/>
  <c r="A1143" i="1"/>
  <c r="R1142" i="1"/>
  <c r="Q1142" i="1"/>
  <c r="N1142" i="1"/>
  <c r="J1142" i="1"/>
  <c r="I1142" i="1"/>
  <c r="H1142" i="1"/>
  <c r="G1142" i="1"/>
  <c r="F1142" i="1"/>
  <c r="E1142" i="1"/>
  <c r="D1142" i="1"/>
  <c r="C1142" i="1"/>
  <c r="A1142" i="1"/>
  <c r="R1141" i="1"/>
  <c r="Q1141" i="1"/>
  <c r="N1141" i="1"/>
  <c r="J1141" i="1"/>
  <c r="I1141" i="1"/>
  <c r="H1141" i="1"/>
  <c r="G1141" i="1"/>
  <c r="F1141" i="1"/>
  <c r="E1141" i="1"/>
  <c r="D1141" i="1"/>
  <c r="C1141" i="1"/>
  <c r="A1141" i="1"/>
  <c r="R1140" i="1"/>
  <c r="Q1140" i="1"/>
  <c r="N1140" i="1"/>
  <c r="J1140" i="1"/>
  <c r="I1140" i="1"/>
  <c r="H1140" i="1"/>
  <c r="G1140" i="1"/>
  <c r="F1140" i="1"/>
  <c r="E1140" i="1"/>
  <c r="D1140" i="1"/>
  <c r="C1140" i="1"/>
  <c r="A1140" i="1"/>
  <c r="R1139" i="1"/>
  <c r="Q1139" i="1"/>
  <c r="N1139" i="1"/>
  <c r="J1139" i="1"/>
  <c r="I1139" i="1"/>
  <c r="H1139" i="1"/>
  <c r="G1139" i="1"/>
  <c r="F1139" i="1"/>
  <c r="E1139" i="1"/>
  <c r="D1139" i="1"/>
  <c r="C1139" i="1"/>
  <c r="A1139" i="1"/>
  <c r="R1138" i="1"/>
  <c r="Q1138" i="1"/>
  <c r="N1138" i="1"/>
  <c r="J1138" i="1"/>
  <c r="I1138" i="1"/>
  <c r="H1138" i="1"/>
  <c r="G1138" i="1"/>
  <c r="F1138" i="1"/>
  <c r="E1138" i="1"/>
  <c r="D1138" i="1"/>
  <c r="C1138" i="1"/>
  <c r="A1138" i="1"/>
  <c r="R1137" i="1"/>
  <c r="Q1137" i="1"/>
  <c r="N1137" i="1"/>
  <c r="J1137" i="1"/>
  <c r="I1137" i="1"/>
  <c r="H1137" i="1"/>
  <c r="G1137" i="1"/>
  <c r="F1137" i="1"/>
  <c r="E1137" i="1"/>
  <c r="D1137" i="1"/>
  <c r="C1137" i="1"/>
  <c r="A1137" i="1"/>
  <c r="R1136" i="1"/>
  <c r="N1136" i="1"/>
  <c r="J1136" i="1"/>
  <c r="I1136" i="1"/>
  <c r="H1136" i="1"/>
  <c r="G1136" i="1"/>
  <c r="F1136" i="1"/>
  <c r="E1136" i="1"/>
  <c r="D1136" i="1"/>
  <c r="C1136" i="1"/>
  <c r="A1136" i="1"/>
  <c r="R1135" i="1"/>
  <c r="Q1135" i="1"/>
  <c r="N1135" i="1"/>
  <c r="J1135" i="1"/>
  <c r="I1135" i="1"/>
  <c r="H1135" i="1"/>
  <c r="G1135" i="1"/>
  <c r="F1135" i="1"/>
  <c r="E1135" i="1"/>
  <c r="D1135" i="1"/>
  <c r="C1135" i="1"/>
  <c r="A1135" i="1"/>
  <c r="R1134" i="1"/>
  <c r="Q1134" i="1"/>
  <c r="N1134" i="1"/>
  <c r="J1134" i="1"/>
  <c r="I1134" i="1"/>
  <c r="H1134" i="1"/>
  <c r="G1134" i="1"/>
  <c r="F1134" i="1"/>
  <c r="E1134" i="1"/>
  <c r="D1134" i="1"/>
  <c r="C1134" i="1"/>
  <c r="A1134" i="1"/>
  <c r="R1133" i="1"/>
  <c r="Q1133" i="1"/>
  <c r="N1133" i="1"/>
  <c r="J1133" i="1"/>
  <c r="I1133" i="1"/>
  <c r="H1133" i="1"/>
  <c r="G1133" i="1"/>
  <c r="F1133" i="1"/>
  <c r="E1133" i="1"/>
  <c r="D1133" i="1"/>
  <c r="C1133" i="1"/>
  <c r="A1133" i="1"/>
  <c r="R1132" i="1"/>
  <c r="Q1132" i="1"/>
  <c r="N1132" i="1"/>
  <c r="J1132" i="1"/>
  <c r="I1132" i="1"/>
  <c r="H1132" i="1"/>
  <c r="G1132" i="1"/>
  <c r="F1132" i="1"/>
  <c r="E1132" i="1"/>
  <c r="D1132" i="1"/>
  <c r="C1132" i="1"/>
  <c r="A1132" i="1"/>
  <c r="R1131" i="1"/>
  <c r="Q1131" i="1"/>
  <c r="N1131" i="1"/>
  <c r="J1131" i="1"/>
  <c r="I1131" i="1"/>
  <c r="H1131" i="1"/>
  <c r="G1131" i="1"/>
  <c r="F1131" i="1"/>
  <c r="E1131" i="1"/>
  <c r="D1131" i="1"/>
  <c r="C1131" i="1"/>
  <c r="A1131" i="1"/>
  <c r="R1130" i="1"/>
  <c r="Q1130" i="1"/>
  <c r="N1130" i="1"/>
  <c r="J1130" i="1"/>
  <c r="I1130" i="1"/>
  <c r="H1130" i="1"/>
  <c r="G1130" i="1"/>
  <c r="F1130" i="1"/>
  <c r="E1130" i="1"/>
  <c r="D1130" i="1"/>
  <c r="C1130" i="1"/>
  <c r="A1130" i="1"/>
  <c r="R1129" i="1"/>
  <c r="Q1129" i="1"/>
  <c r="N1129" i="1"/>
  <c r="J1129" i="1"/>
  <c r="I1129" i="1"/>
  <c r="H1129" i="1"/>
  <c r="G1129" i="1"/>
  <c r="F1129" i="1"/>
  <c r="E1129" i="1"/>
  <c r="D1129" i="1"/>
  <c r="C1129" i="1"/>
  <c r="A1129" i="1"/>
  <c r="R1128" i="1"/>
  <c r="Q1128" i="1"/>
  <c r="N1128" i="1"/>
  <c r="J1128" i="1"/>
  <c r="I1128" i="1"/>
  <c r="H1128" i="1"/>
  <c r="G1128" i="1"/>
  <c r="F1128" i="1"/>
  <c r="E1128" i="1"/>
  <c r="D1128" i="1"/>
  <c r="C1128" i="1"/>
  <c r="A1128" i="1"/>
  <c r="R1127" i="1"/>
  <c r="Q1127" i="1"/>
  <c r="N1127" i="1"/>
  <c r="J1127" i="1"/>
  <c r="I1127" i="1"/>
  <c r="H1127" i="1"/>
  <c r="G1127" i="1"/>
  <c r="F1127" i="1"/>
  <c r="E1127" i="1"/>
  <c r="D1127" i="1"/>
  <c r="C1127" i="1"/>
  <c r="A1127" i="1"/>
  <c r="R1126" i="1"/>
  <c r="Q1126" i="1"/>
  <c r="N1126" i="1"/>
  <c r="J1126" i="1"/>
  <c r="I1126" i="1"/>
  <c r="H1126" i="1"/>
  <c r="G1126" i="1"/>
  <c r="F1126" i="1"/>
  <c r="E1126" i="1"/>
  <c r="D1126" i="1"/>
  <c r="C1126" i="1"/>
  <c r="A1126" i="1"/>
  <c r="R1125" i="1"/>
  <c r="Q1125" i="1"/>
  <c r="N1125" i="1"/>
  <c r="J1125" i="1"/>
  <c r="I1125" i="1"/>
  <c r="H1125" i="1"/>
  <c r="G1125" i="1"/>
  <c r="F1125" i="1"/>
  <c r="E1125" i="1"/>
  <c r="D1125" i="1"/>
  <c r="C1125" i="1"/>
  <c r="A1125" i="1"/>
  <c r="R1124" i="1"/>
  <c r="Q1124" i="1"/>
  <c r="N1124" i="1"/>
  <c r="J1124" i="1"/>
  <c r="I1124" i="1"/>
  <c r="H1124" i="1"/>
  <c r="G1124" i="1"/>
  <c r="F1124" i="1"/>
  <c r="E1124" i="1"/>
  <c r="D1124" i="1"/>
  <c r="C1124" i="1"/>
  <c r="A1124" i="1"/>
  <c r="R1123" i="1"/>
  <c r="Q1123" i="1"/>
  <c r="N1123" i="1"/>
  <c r="J1123" i="1"/>
  <c r="I1123" i="1"/>
  <c r="H1123" i="1"/>
  <c r="G1123" i="1"/>
  <c r="F1123" i="1"/>
  <c r="E1123" i="1"/>
  <c r="D1123" i="1"/>
  <c r="C1123" i="1"/>
  <c r="A1123" i="1"/>
  <c r="R1122" i="1"/>
  <c r="Q1122" i="1"/>
  <c r="N1122" i="1"/>
  <c r="J1122" i="1"/>
  <c r="I1122" i="1"/>
  <c r="H1122" i="1"/>
  <c r="G1122" i="1"/>
  <c r="F1122" i="1"/>
  <c r="E1122" i="1"/>
  <c r="D1122" i="1"/>
  <c r="C1122" i="1"/>
  <c r="A1122" i="1"/>
  <c r="R1121" i="1"/>
  <c r="Q1121" i="1"/>
  <c r="N1121" i="1"/>
  <c r="J1121" i="1"/>
  <c r="I1121" i="1"/>
  <c r="H1121" i="1"/>
  <c r="G1121" i="1"/>
  <c r="F1121" i="1"/>
  <c r="E1121" i="1"/>
  <c r="D1121" i="1"/>
  <c r="C1121" i="1"/>
  <c r="A1121" i="1"/>
  <c r="R1120" i="1"/>
  <c r="Q1120" i="1"/>
  <c r="N1120" i="1"/>
  <c r="J1120" i="1"/>
  <c r="I1120" i="1"/>
  <c r="H1120" i="1"/>
  <c r="G1120" i="1"/>
  <c r="F1120" i="1"/>
  <c r="E1120" i="1"/>
  <c r="D1120" i="1"/>
  <c r="C1120" i="1"/>
  <c r="A1120" i="1"/>
  <c r="R1119" i="1"/>
  <c r="Q1119" i="1"/>
  <c r="N1119" i="1"/>
  <c r="J1119" i="1"/>
  <c r="I1119" i="1"/>
  <c r="H1119" i="1"/>
  <c r="G1119" i="1"/>
  <c r="F1119" i="1"/>
  <c r="E1119" i="1"/>
  <c r="D1119" i="1"/>
  <c r="C1119" i="1"/>
  <c r="A1119" i="1"/>
  <c r="R1118" i="1"/>
  <c r="Q1118" i="1"/>
  <c r="N1118" i="1"/>
  <c r="J1118" i="1"/>
  <c r="I1118" i="1"/>
  <c r="H1118" i="1"/>
  <c r="G1118" i="1"/>
  <c r="F1118" i="1"/>
  <c r="E1118" i="1"/>
  <c r="D1118" i="1"/>
  <c r="C1118" i="1"/>
  <c r="A1118" i="1"/>
  <c r="R1117" i="1"/>
  <c r="Q1117" i="1"/>
  <c r="N1117" i="1"/>
  <c r="J1117" i="1"/>
  <c r="I1117" i="1"/>
  <c r="H1117" i="1"/>
  <c r="G1117" i="1"/>
  <c r="F1117" i="1"/>
  <c r="E1117" i="1"/>
  <c r="D1117" i="1"/>
  <c r="C1117" i="1"/>
  <c r="A1117" i="1"/>
  <c r="R1116" i="1"/>
  <c r="Q1116" i="1"/>
  <c r="N1116" i="1"/>
  <c r="J1116" i="1"/>
  <c r="I1116" i="1"/>
  <c r="H1116" i="1"/>
  <c r="G1116" i="1"/>
  <c r="F1116" i="1"/>
  <c r="E1116" i="1"/>
  <c r="D1116" i="1"/>
  <c r="C1116" i="1"/>
  <c r="A1116" i="1"/>
  <c r="R1115" i="1"/>
  <c r="Q1115" i="1"/>
  <c r="N1115" i="1"/>
  <c r="J1115" i="1"/>
  <c r="I1115" i="1"/>
  <c r="H1115" i="1"/>
  <c r="G1115" i="1"/>
  <c r="F1115" i="1"/>
  <c r="E1115" i="1"/>
  <c r="D1115" i="1"/>
  <c r="C1115" i="1"/>
  <c r="A1115" i="1"/>
  <c r="R1114" i="1"/>
  <c r="Q1114" i="1"/>
  <c r="N1114" i="1"/>
  <c r="J1114" i="1"/>
  <c r="I1114" i="1"/>
  <c r="H1114" i="1"/>
  <c r="G1114" i="1"/>
  <c r="F1114" i="1"/>
  <c r="E1114" i="1"/>
  <c r="D1114" i="1"/>
  <c r="C1114" i="1"/>
  <c r="A1114" i="1"/>
  <c r="R1113" i="1"/>
  <c r="Q1113" i="1"/>
  <c r="N1113" i="1"/>
  <c r="J1113" i="1"/>
  <c r="I1113" i="1"/>
  <c r="H1113" i="1"/>
  <c r="G1113" i="1"/>
  <c r="F1113" i="1"/>
  <c r="E1113" i="1"/>
  <c r="D1113" i="1"/>
  <c r="C1113" i="1"/>
  <c r="A1113" i="1"/>
  <c r="R1112" i="1"/>
  <c r="Q1112" i="1"/>
  <c r="N1112" i="1"/>
  <c r="J1112" i="1"/>
  <c r="I1112" i="1"/>
  <c r="H1112" i="1"/>
  <c r="G1112" i="1"/>
  <c r="F1112" i="1"/>
  <c r="E1112" i="1"/>
  <c r="D1112" i="1"/>
  <c r="C1112" i="1"/>
  <c r="A1112" i="1"/>
  <c r="R1111" i="1"/>
  <c r="Q1111" i="1"/>
  <c r="N1111" i="1"/>
  <c r="J1111" i="1"/>
  <c r="I1111" i="1"/>
  <c r="H1111" i="1"/>
  <c r="G1111" i="1"/>
  <c r="F1111" i="1"/>
  <c r="E1111" i="1"/>
  <c r="D1111" i="1"/>
  <c r="C1111" i="1"/>
  <c r="A1111" i="1"/>
  <c r="R1110" i="1"/>
  <c r="Q1110" i="1"/>
  <c r="N1110" i="1"/>
  <c r="J1110" i="1"/>
  <c r="I1110" i="1"/>
  <c r="H1110" i="1"/>
  <c r="G1110" i="1"/>
  <c r="F1110" i="1"/>
  <c r="E1110" i="1"/>
  <c r="D1110" i="1"/>
  <c r="C1110" i="1"/>
  <c r="A1110" i="1"/>
  <c r="R1109" i="1"/>
  <c r="Q1109" i="1"/>
  <c r="N1109" i="1"/>
  <c r="J1109" i="1"/>
  <c r="I1109" i="1"/>
  <c r="H1109" i="1"/>
  <c r="G1109" i="1"/>
  <c r="F1109" i="1"/>
  <c r="E1109" i="1"/>
  <c r="D1109" i="1"/>
  <c r="C1109" i="1"/>
  <c r="A1109" i="1"/>
  <c r="R1108" i="1"/>
  <c r="Q1108" i="1"/>
  <c r="N1108" i="1"/>
  <c r="J1108" i="1"/>
  <c r="I1108" i="1"/>
  <c r="H1108" i="1"/>
  <c r="G1108" i="1"/>
  <c r="F1108" i="1"/>
  <c r="E1108" i="1"/>
  <c r="D1108" i="1"/>
  <c r="C1108" i="1"/>
  <c r="A1108" i="1"/>
  <c r="R1107" i="1"/>
  <c r="Q1107" i="1"/>
  <c r="N1107" i="1"/>
  <c r="J1107" i="1"/>
  <c r="I1107" i="1"/>
  <c r="H1107" i="1"/>
  <c r="G1107" i="1"/>
  <c r="F1107" i="1"/>
  <c r="E1107" i="1"/>
  <c r="D1107" i="1"/>
  <c r="C1107" i="1"/>
  <c r="A1107" i="1"/>
  <c r="R1106" i="1"/>
  <c r="Q1106" i="1"/>
  <c r="N1106" i="1"/>
  <c r="J1106" i="1"/>
  <c r="I1106" i="1"/>
  <c r="H1106" i="1"/>
  <c r="G1106" i="1"/>
  <c r="F1106" i="1"/>
  <c r="E1106" i="1"/>
  <c r="D1106" i="1"/>
  <c r="C1106" i="1"/>
  <c r="A1106" i="1"/>
  <c r="R1105" i="1"/>
  <c r="Q1105" i="1"/>
  <c r="N1105" i="1"/>
  <c r="J1105" i="1"/>
  <c r="I1105" i="1"/>
  <c r="H1105" i="1"/>
  <c r="G1105" i="1"/>
  <c r="F1105" i="1"/>
  <c r="E1105" i="1"/>
  <c r="D1105" i="1"/>
  <c r="C1105" i="1"/>
  <c r="A1105" i="1"/>
  <c r="R1104" i="1"/>
  <c r="Q1104" i="1"/>
  <c r="N1104" i="1"/>
  <c r="J1104" i="1"/>
  <c r="I1104" i="1"/>
  <c r="H1104" i="1"/>
  <c r="G1104" i="1"/>
  <c r="F1104" i="1"/>
  <c r="E1104" i="1"/>
  <c r="D1104" i="1"/>
  <c r="C1104" i="1"/>
  <c r="A1104" i="1"/>
  <c r="R1103" i="1"/>
  <c r="Q1103" i="1"/>
  <c r="N1103" i="1"/>
  <c r="J1103" i="1"/>
  <c r="I1103" i="1"/>
  <c r="H1103" i="1"/>
  <c r="G1103" i="1"/>
  <c r="F1103" i="1"/>
  <c r="E1103" i="1"/>
  <c r="D1103" i="1"/>
  <c r="C1103" i="1"/>
  <c r="A1103" i="1"/>
  <c r="R1102" i="1"/>
  <c r="Q1102" i="1"/>
  <c r="N1102" i="1"/>
  <c r="J1102" i="1"/>
  <c r="I1102" i="1"/>
  <c r="H1102" i="1"/>
  <c r="G1102" i="1"/>
  <c r="F1102" i="1"/>
  <c r="E1102" i="1"/>
  <c r="D1102" i="1"/>
  <c r="C1102" i="1"/>
  <c r="A1102" i="1"/>
  <c r="R1101" i="1"/>
  <c r="Q1101" i="1"/>
  <c r="N1101" i="1"/>
  <c r="J1101" i="1"/>
  <c r="I1101" i="1"/>
  <c r="H1101" i="1"/>
  <c r="G1101" i="1"/>
  <c r="F1101" i="1"/>
  <c r="E1101" i="1"/>
  <c r="D1101" i="1"/>
  <c r="C1101" i="1"/>
  <c r="A1101" i="1"/>
  <c r="R1100" i="1"/>
  <c r="Q1100" i="1"/>
  <c r="N1100" i="1"/>
  <c r="J1100" i="1"/>
  <c r="I1100" i="1"/>
  <c r="H1100" i="1"/>
  <c r="G1100" i="1"/>
  <c r="F1100" i="1"/>
  <c r="E1100" i="1"/>
  <c r="D1100" i="1"/>
  <c r="C1100" i="1"/>
  <c r="A1100" i="1"/>
  <c r="R1099" i="1"/>
  <c r="Q1099" i="1"/>
  <c r="N1099" i="1"/>
  <c r="J1099" i="1"/>
  <c r="I1099" i="1"/>
  <c r="H1099" i="1"/>
  <c r="G1099" i="1"/>
  <c r="F1099" i="1"/>
  <c r="E1099" i="1"/>
  <c r="D1099" i="1"/>
  <c r="C1099" i="1"/>
  <c r="A1099" i="1"/>
  <c r="R1098" i="1"/>
  <c r="Q1098" i="1"/>
  <c r="N1098" i="1"/>
  <c r="J1098" i="1"/>
  <c r="I1098" i="1"/>
  <c r="H1098" i="1"/>
  <c r="G1098" i="1"/>
  <c r="F1098" i="1"/>
  <c r="E1098" i="1"/>
  <c r="D1098" i="1"/>
  <c r="C1098" i="1"/>
  <c r="A1098" i="1"/>
  <c r="R1097" i="1"/>
  <c r="Q1097" i="1"/>
  <c r="N1097" i="1"/>
  <c r="J1097" i="1"/>
  <c r="I1097" i="1"/>
  <c r="H1097" i="1"/>
  <c r="G1097" i="1"/>
  <c r="F1097" i="1"/>
  <c r="E1097" i="1"/>
  <c r="D1097" i="1"/>
  <c r="C1097" i="1"/>
  <c r="A1097" i="1"/>
  <c r="R1096" i="1"/>
  <c r="Q1096" i="1"/>
  <c r="N1096" i="1"/>
  <c r="J1096" i="1"/>
  <c r="I1096" i="1"/>
  <c r="H1096" i="1"/>
  <c r="G1096" i="1"/>
  <c r="F1096" i="1"/>
  <c r="E1096" i="1"/>
  <c r="D1096" i="1"/>
  <c r="C1096" i="1"/>
  <c r="A1096" i="1"/>
  <c r="R1095" i="1"/>
  <c r="Q1095" i="1"/>
  <c r="N1095" i="1"/>
  <c r="J1095" i="1"/>
  <c r="I1095" i="1"/>
  <c r="H1095" i="1"/>
  <c r="G1095" i="1"/>
  <c r="F1095" i="1"/>
  <c r="E1095" i="1"/>
  <c r="D1095" i="1"/>
  <c r="C1095" i="1"/>
  <c r="A1095" i="1"/>
  <c r="R1094" i="1"/>
  <c r="Q1094" i="1"/>
  <c r="N1094" i="1"/>
  <c r="J1094" i="1"/>
  <c r="I1094" i="1"/>
  <c r="H1094" i="1"/>
  <c r="G1094" i="1"/>
  <c r="F1094" i="1"/>
  <c r="E1094" i="1"/>
  <c r="D1094" i="1"/>
  <c r="C1094" i="1"/>
  <c r="A1094" i="1"/>
  <c r="R1093" i="1"/>
  <c r="Q1093" i="1"/>
  <c r="N1093" i="1"/>
  <c r="J1093" i="1"/>
  <c r="I1093" i="1"/>
  <c r="H1093" i="1"/>
  <c r="G1093" i="1"/>
  <c r="F1093" i="1"/>
  <c r="E1093" i="1"/>
  <c r="D1093" i="1"/>
  <c r="C1093" i="1"/>
  <c r="A1093" i="1"/>
  <c r="R1092" i="1"/>
  <c r="Q1092" i="1"/>
  <c r="N1092" i="1"/>
  <c r="J1092" i="1"/>
  <c r="I1092" i="1"/>
  <c r="H1092" i="1"/>
  <c r="G1092" i="1"/>
  <c r="F1092" i="1"/>
  <c r="E1092" i="1"/>
  <c r="D1092" i="1"/>
  <c r="C1092" i="1"/>
  <c r="A1092" i="1"/>
  <c r="R1091" i="1"/>
  <c r="N1091" i="1"/>
  <c r="J1091" i="1"/>
  <c r="I1091" i="1"/>
  <c r="H1091" i="1"/>
  <c r="G1091" i="1"/>
  <c r="F1091" i="1"/>
  <c r="E1091" i="1"/>
  <c r="D1091" i="1"/>
  <c r="C1091" i="1"/>
  <c r="B1091" i="1"/>
  <c r="A1091" i="1"/>
  <c r="R1090" i="1"/>
  <c r="N1090" i="1"/>
  <c r="J1090" i="1"/>
  <c r="I1090" i="1"/>
  <c r="H1090" i="1"/>
  <c r="G1090" i="1"/>
  <c r="F1090" i="1"/>
  <c r="E1090" i="1"/>
  <c r="D1090" i="1"/>
  <c r="C1090" i="1"/>
  <c r="B1090" i="1"/>
  <c r="A1090" i="1"/>
  <c r="R1089" i="1"/>
  <c r="N1089" i="1"/>
  <c r="J1089" i="1"/>
  <c r="I1089" i="1"/>
  <c r="H1089" i="1"/>
  <c r="G1089" i="1"/>
  <c r="F1089" i="1"/>
  <c r="E1089" i="1"/>
  <c r="D1089" i="1"/>
  <c r="C1089" i="1"/>
  <c r="B1089" i="1"/>
  <c r="A1089" i="1"/>
  <c r="R1088" i="1"/>
  <c r="N1088" i="1"/>
  <c r="J1088" i="1"/>
  <c r="I1088" i="1"/>
  <c r="H1088" i="1"/>
  <c r="G1088" i="1"/>
  <c r="F1088" i="1"/>
  <c r="E1088" i="1"/>
  <c r="D1088" i="1"/>
  <c r="C1088" i="1"/>
  <c r="B1088" i="1"/>
  <c r="A1088" i="1"/>
  <c r="R1087" i="1"/>
  <c r="Q1087" i="1"/>
  <c r="N1087" i="1"/>
  <c r="J1087" i="1"/>
  <c r="I1087" i="1"/>
  <c r="H1087" i="1"/>
  <c r="G1087" i="1"/>
  <c r="F1087" i="1"/>
  <c r="E1087" i="1"/>
  <c r="D1087" i="1"/>
  <c r="C1087" i="1"/>
  <c r="A1087" i="1"/>
  <c r="R1086" i="1"/>
  <c r="N1086" i="1"/>
  <c r="J1086" i="1"/>
  <c r="I1086" i="1"/>
  <c r="H1086" i="1"/>
  <c r="G1086" i="1"/>
  <c r="F1086" i="1"/>
  <c r="E1086" i="1"/>
  <c r="D1086" i="1"/>
  <c r="C1086" i="1"/>
  <c r="A1086" i="1"/>
  <c r="R1085" i="1"/>
  <c r="Q1085" i="1"/>
  <c r="N1085" i="1"/>
  <c r="J1085" i="1"/>
  <c r="I1085" i="1"/>
  <c r="H1085" i="1"/>
  <c r="G1085" i="1"/>
  <c r="F1085" i="1"/>
  <c r="E1085" i="1"/>
  <c r="D1085" i="1"/>
  <c r="C1085" i="1"/>
  <c r="A1085" i="1"/>
  <c r="R1084" i="1"/>
  <c r="N1084" i="1"/>
  <c r="J1084" i="1"/>
  <c r="I1084" i="1"/>
  <c r="H1084" i="1"/>
  <c r="G1084" i="1"/>
  <c r="F1084" i="1"/>
  <c r="E1084" i="1"/>
  <c r="D1084" i="1"/>
  <c r="C1084" i="1"/>
  <c r="A1084" i="1"/>
  <c r="R1083" i="1"/>
  <c r="Q1083" i="1"/>
  <c r="N1083" i="1"/>
  <c r="J1083" i="1"/>
  <c r="I1083" i="1"/>
  <c r="H1083" i="1"/>
  <c r="G1083" i="1"/>
  <c r="F1083" i="1"/>
  <c r="E1083" i="1"/>
  <c r="D1083" i="1"/>
  <c r="C1083" i="1"/>
  <c r="A1083" i="1"/>
  <c r="R1082" i="1"/>
  <c r="N1082" i="1"/>
  <c r="J1082" i="1"/>
  <c r="I1082" i="1"/>
  <c r="H1082" i="1"/>
  <c r="G1082" i="1"/>
  <c r="F1082" i="1"/>
  <c r="E1082" i="1"/>
  <c r="D1082" i="1"/>
  <c r="C1082" i="1"/>
  <c r="B1082" i="1"/>
  <c r="A1082" i="1"/>
  <c r="R1081" i="1"/>
  <c r="N1081" i="1"/>
  <c r="J1081" i="1"/>
  <c r="I1081" i="1"/>
  <c r="H1081" i="1"/>
  <c r="G1081" i="1"/>
  <c r="F1081" i="1"/>
  <c r="E1081" i="1"/>
  <c r="D1081" i="1"/>
  <c r="C1081" i="1"/>
  <c r="B1081" i="1"/>
  <c r="A1081" i="1"/>
  <c r="R1080" i="1"/>
  <c r="N1080" i="1"/>
  <c r="J1080" i="1"/>
  <c r="I1080" i="1"/>
  <c r="H1080" i="1"/>
  <c r="G1080" i="1"/>
  <c r="F1080" i="1"/>
  <c r="E1080" i="1"/>
  <c r="D1080" i="1"/>
  <c r="C1080" i="1"/>
  <c r="B1080" i="1"/>
  <c r="A1080" i="1"/>
  <c r="R1079" i="1"/>
  <c r="N1079" i="1"/>
  <c r="J1079" i="1"/>
  <c r="I1079" i="1"/>
  <c r="H1079" i="1"/>
  <c r="G1079" i="1"/>
  <c r="F1079" i="1"/>
  <c r="E1079" i="1"/>
  <c r="D1079" i="1"/>
  <c r="C1079" i="1"/>
  <c r="B1079" i="1"/>
  <c r="A1079" i="1"/>
  <c r="R1078" i="1"/>
  <c r="N1078" i="1"/>
  <c r="J1078" i="1"/>
  <c r="I1078" i="1"/>
  <c r="H1078" i="1"/>
  <c r="G1078" i="1"/>
  <c r="F1078" i="1"/>
  <c r="E1078" i="1"/>
  <c r="D1078" i="1"/>
  <c r="C1078" i="1"/>
  <c r="B1078" i="1"/>
  <c r="A1078" i="1"/>
  <c r="R1077" i="1"/>
  <c r="N1077" i="1"/>
  <c r="J1077" i="1"/>
  <c r="I1077" i="1"/>
  <c r="H1077" i="1"/>
  <c r="G1077" i="1"/>
  <c r="F1077" i="1"/>
  <c r="E1077" i="1"/>
  <c r="D1077" i="1"/>
  <c r="C1077" i="1"/>
  <c r="B1077" i="1"/>
  <c r="A1077" i="1"/>
  <c r="R1076" i="1"/>
  <c r="N1076" i="1"/>
  <c r="J1076" i="1"/>
  <c r="I1076" i="1"/>
  <c r="H1076" i="1"/>
  <c r="G1076" i="1"/>
  <c r="F1076" i="1"/>
  <c r="E1076" i="1"/>
  <c r="D1076" i="1"/>
  <c r="C1076" i="1"/>
  <c r="B1076" i="1"/>
  <c r="A1076" i="1"/>
  <c r="R1075" i="1"/>
  <c r="N1075" i="1"/>
  <c r="J1075" i="1"/>
  <c r="I1075" i="1"/>
  <c r="H1075" i="1"/>
  <c r="G1075" i="1"/>
  <c r="F1075" i="1"/>
  <c r="E1075" i="1"/>
  <c r="D1075" i="1"/>
  <c r="C1075" i="1"/>
  <c r="B1075" i="1"/>
  <c r="A1075" i="1"/>
  <c r="R1074" i="1"/>
  <c r="N1074" i="1"/>
  <c r="J1074" i="1"/>
  <c r="I1074" i="1"/>
  <c r="H1074" i="1"/>
  <c r="G1074" i="1"/>
  <c r="F1074" i="1"/>
  <c r="E1074" i="1"/>
  <c r="D1074" i="1"/>
  <c r="C1074" i="1"/>
  <c r="B1074" i="1"/>
  <c r="A1074" i="1"/>
  <c r="R1073" i="1"/>
  <c r="N1073" i="1"/>
  <c r="J1073" i="1"/>
  <c r="I1073" i="1"/>
  <c r="H1073" i="1"/>
  <c r="G1073" i="1"/>
  <c r="F1073" i="1"/>
  <c r="E1073" i="1"/>
  <c r="D1073" i="1"/>
  <c r="C1073" i="1"/>
  <c r="B1073" i="1"/>
  <c r="A1073" i="1"/>
  <c r="R1072" i="1"/>
  <c r="N1072" i="1"/>
  <c r="J1072" i="1"/>
  <c r="I1072" i="1"/>
  <c r="H1072" i="1"/>
  <c r="G1072" i="1"/>
  <c r="F1072" i="1"/>
  <c r="E1072" i="1"/>
  <c r="D1072" i="1"/>
  <c r="C1072" i="1"/>
  <c r="B1072" i="1"/>
  <c r="A1072" i="1"/>
  <c r="R1071" i="1"/>
  <c r="N1071" i="1"/>
  <c r="J1071" i="1"/>
  <c r="I1071" i="1"/>
  <c r="H1071" i="1"/>
  <c r="G1071" i="1"/>
  <c r="F1071" i="1"/>
  <c r="E1071" i="1"/>
  <c r="D1071" i="1"/>
  <c r="C1071" i="1"/>
  <c r="B1071" i="1"/>
  <c r="A1071" i="1"/>
  <c r="R1070" i="1"/>
  <c r="Q1070" i="1"/>
  <c r="N1070" i="1"/>
  <c r="J1070" i="1"/>
  <c r="I1070" i="1"/>
  <c r="H1070" i="1"/>
  <c r="G1070" i="1"/>
  <c r="F1070" i="1"/>
  <c r="E1070" i="1"/>
  <c r="D1070" i="1"/>
  <c r="C1070" i="1"/>
  <c r="A1070" i="1"/>
  <c r="R1069" i="1"/>
  <c r="N1069" i="1"/>
  <c r="J1069" i="1"/>
  <c r="I1069" i="1"/>
  <c r="H1069" i="1"/>
  <c r="G1069" i="1"/>
  <c r="F1069" i="1"/>
  <c r="E1069" i="1"/>
  <c r="D1069" i="1"/>
  <c r="C1069" i="1"/>
  <c r="A1069" i="1"/>
  <c r="R1068" i="1"/>
  <c r="Q1068" i="1"/>
  <c r="N1068" i="1"/>
  <c r="J1068" i="1"/>
  <c r="I1068" i="1"/>
  <c r="H1068" i="1"/>
  <c r="G1068" i="1"/>
  <c r="F1068" i="1"/>
  <c r="E1068" i="1"/>
  <c r="D1068" i="1"/>
  <c r="C1068" i="1"/>
  <c r="A1068" i="1"/>
  <c r="R1067" i="1"/>
  <c r="N1067" i="1"/>
  <c r="J1067" i="1"/>
  <c r="I1067" i="1"/>
  <c r="H1067" i="1"/>
  <c r="G1067" i="1"/>
  <c r="F1067" i="1"/>
  <c r="E1067" i="1"/>
  <c r="D1067" i="1"/>
  <c r="C1067" i="1"/>
  <c r="A1067" i="1"/>
  <c r="R1066" i="1"/>
  <c r="Q1066" i="1"/>
  <c r="N1066" i="1"/>
  <c r="J1066" i="1"/>
  <c r="I1066" i="1"/>
  <c r="H1066" i="1"/>
  <c r="G1066" i="1"/>
  <c r="F1066" i="1"/>
  <c r="E1066" i="1"/>
  <c r="D1066" i="1"/>
  <c r="C1066" i="1"/>
  <c r="A1066" i="1"/>
  <c r="R1065" i="1"/>
  <c r="N1065" i="1"/>
  <c r="J1065" i="1"/>
  <c r="I1065" i="1"/>
  <c r="H1065" i="1"/>
  <c r="G1065" i="1"/>
  <c r="F1065" i="1"/>
  <c r="E1065" i="1"/>
  <c r="D1065" i="1"/>
  <c r="C1065" i="1"/>
  <c r="A1065" i="1"/>
  <c r="R1064" i="1"/>
  <c r="Q1064" i="1"/>
  <c r="N1064" i="1"/>
  <c r="J1064" i="1"/>
  <c r="I1064" i="1"/>
  <c r="H1064" i="1"/>
  <c r="G1064" i="1"/>
  <c r="F1064" i="1"/>
  <c r="E1064" i="1"/>
  <c r="D1064" i="1"/>
  <c r="C1064" i="1"/>
  <c r="A1064" i="1"/>
  <c r="R1063" i="1"/>
  <c r="N1063" i="1"/>
  <c r="J1063" i="1"/>
  <c r="I1063" i="1"/>
  <c r="H1063" i="1"/>
  <c r="G1063" i="1"/>
  <c r="F1063" i="1"/>
  <c r="E1063" i="1"/>
  <c r="D1063" i="1"/>
  <c r="C1063" i="1"/>
  <c r="A1063" i="1"/>
  <c r="R1062" i="1"/>
  <c r="Q1062" i="1"/>
  <c r="N1062" i="1"/>
  <c r="J1062" i="1"/>
  <c r="I1062" i="1"/>
  <c r="H1062" i="1"/>
  <c r="G1062" i="1"/>
  <c r="F1062" i="1"/>
  <c r="E1062" i="1"/>
  <c r="D1062" i="1"/>
  <c r="C1062" i="1"/>
  <c r="A1062" i="1"/>
  <c r="R1061" i="1"/>
  <c r="N1061" i="1"/>
  <c r="J1061" i="1"/>
  <c r="I1061" i="1"/>
  <c r="H1061" i="1"/>
  <c r="G1061" i="1"/>
  <c r="F1061" i="1"/>
  <c r="E1061" i="1"/>
  <c r="D1061" i="1"/>
  <c r="C1061" i="1"/>
  <c r="A1061" i="1"/>
  <c r="R1060" i="1"/>
  <c r="Q1060" i="1"/>
  <c r="N1060" i="1"/>
  <c r="J1060" i="1"/>
  <c r="I1060" i="1"/>
  <c r="H1060" i="1"/>
  <c r="G1060" i="1"/>
  <c r="F1060" i="1"/>
  <c r="E1060" i="1"/>
  <c r="D1060" i="1"/>
  <c r="C1060" i="1"/>
  <c r="A1060" i="1"/>
  <c r="R1059" i="1"/>
  <c r="N1059" i="1"/>
  <c r="J1059" i="1"/>
  <c r="I1059" i="1"/>
  <c r="H1059" i="1"/>
  <c r="G1059" i="1"/>
  <c r="F1059" i="1"/>
  <c r="E1059" i="1"/>
  <c r="D1059" i="1"/>
  <c r="C1059" i="1"/>
  <c r="A1059" i="1"/>
  <c r="R1058" i="1"/>
  <c r="Q1058" i="1"/>
  <c r="N1058" i="1"/>
  <c r="J1058" i="1"/>
  <c r="I1058" i="1"/>
  <c r="H1058" i="1"/>
  <c r="G1058" i="1"/>
  <c r="F1058" i="1"/>
  <c r="E1058" i="1"/>
  <c r="D1058" i="1"/>
  <c r="C1058" i="1"/>
  <c r="A1058" i="1"/>
  <c r="R1057" i="1"/>
  <c r="N1057" i="1"/>
  <c r="J1057" i="1"/>
  <c r="I1057" i="1"/>
  <c r="H1057" i="1"/>
  <c r="G1057" i="1"/>
  <c r="F1057" i="1"/>
  <c r="E1057" i="1"/>
  <c r="D1057" i="1"/>
  <c r="C1057" i="1"/>
  <c r="A1057" i="1"/>
  <c r="R1056" i="1"/>
  <c r="Q1056" i="1"/>
  <c r="N1056" i="1"/>
  <c r="J1056" i="1"/>
  <c r="I1056" i="1"/>
  <c r="H1056" i="1"/>
  <c r="G1056" i="1"/>
  <c r="F1056" i="1"/>
  <c r="E1056" i="1"/>
  <c r="D1056" i="1"/>
  <c r="C1056" i="1"/>
  <c r="A1056" i="1"/>
  <c r="R1055" i="1"/>
  <c r="N1055" i="1"/>
  <c r="J1055" i="1"/>
  <c r="I1055" i="1"/>
  <c r="H1055" i="1"/>
  <c r="G1055" i="1"/>
  <c r="F1055" i="1"/>
  <c r="E1055" i="1"/>
  <c r="D1055" i="1"/>
  <c r="C1055" i="1"/>
  <c r="A1055" i="1"/>
  <c r="R1054" i="1"/>
  <c r="Q1054" i="1"/>
  <c r="N1054" i="1"/>
  <c r="J1054" i="1"/>
  <c r="I1054" i="1"/>
  <c r="H1054" i="1"/>
  <c r="G1054" i="1"/>
  <c r="F1054" i="1"/>
  <c r="E1054" i="1"/>
  <c r="D1054" i="1"/>
  <c r="C1054" i="1"/>
  <c r="A1054" i="1"/>
  <c r="R1053" i="1"/>
  <c r="N1053" i="1"/>
  <c r="J1053" i="1"/>
  <c r="I1053" i="1"/>
  <c r="H1053" i="1"/>
  <c r="G1053" i="1"/>
  <c r="F1053" i="1"/>
  <c r="E1053" i="1"/>
  <c r="D1053" i="1"/>
  <c r="C1053" i="1"/>
  <c r="A1053" i="1"/>
  <c r="R1052" i="1"/>
  <c r="Q1052" i="1"/>
  <c r="N1052" i="1"/>
  <c r="J1052" i="1"/>
  <c r="I1052" i="1"/>
  <c r="H1052" i="1"/>
  <c r="G1052" i="1"/>
  <c r="F1052" i="1"/>
  <c r="E1052" i="1"/>
  <c r="D1052" i="1"/>
  <c r="C1052" i="1"/>
  <c r="A1052" i="1"/>
  <c r="R1051" i="1"/>
  <c r="Q1051" i="1"/>
  <c r="N1051" i="1"/>
  <c r="J1051" i="1"/>
  <c r="I1051" i="1"/>
  <c r="H1051" i="1"/>
  <c r="G1051" i="1"/>
  <c r="F1051" i="1"/>
  <c r="E1051" i="1"/>
  <c r="D1051" i="1"/>
  <c r="C1051" i="1"/>
  <c r="A1051" i="1"/>
  <c r="R1050" i="1"/>
  <c r="Q1050" i="1"/>
  <c r="N1050" i="1"/>
  <c r="J1050" i="1"/>
  <c r="I1050" i="1"/>
  <c r="H1050" i="1"/>
  <c r="G1050" i="1"/>
  <c r="F1050" i="1"/>
  <c r="E1050" i="1"/>
  <c r="D1050" i="1"/>
  <c r="C1050" i="1"/>
  <c r="A1050" i="1"/>
  <c r="R1049" i="1"/>
  <c r="N1049" i="1"/>
  <c r="J1049" i="1"/>
  <c r="I1049" i="1"/>
  <c r="H1049" i="1"/>
  <c r="G1049" i="1"/>
  <c r="F1049" i="1"/>
  <c r="E1049" i="1"/>
  <c r="D1049" i="1"/>
  <c r="C1049" i="1"/>
  <c r="A1049" i="1"/>
  <c r="R1048" i="1"/>
  <c r="Q1048" i="1"/>
  <c r="N1048" i="1"/>
  <c r="J1048" i="1"/>
  <c r="I1048" i="1"/>
  <c r="H1048" i="1"/>
  <c r="G1048" i="1"/>
  <c r="F1048" i="1"/>
  <c r="E1048" i="1"/>
  <c r="D1048" i="1"/>
  <c r="C1048" i="1"/>
  <c r="A1048" i="1"/>
  <c r="R1047" i="1"/>
  <c r="N1047" i="1"/>
  <c r="J1047" i="1"/>
  <c r="I1047" i="1"/>
  <c r="H1047" i="1"/>
  <c r="G1047" i="1"/>
  <c r="F1047" i="1"/>
  <c r="E1047" i="1"/>
  <c r="D1047" i="1"/>
  <c r="C1047" i="1"/>
  <c r="B1047" i="1"/>
  <c r="A1047" i="1"/>
  <c r="R1046" i="1"/>
  <c r="Q1046" i="1"/>
  <c r="N1046" i="1"/>
  <c r="J1046" i="1"/>
  <c r="I1046" i="1"/>
  <c r="H1046" i="1"/>
  <c r="G1046" i="1"/>
  <c r="F1046" i="1"/>
  <c r="E1046" i="1"/>
  <c r="D1046" i="1"/>
  <c r="C1046" i="1"/>
  <c r="B1046" i="1"/>
  <c r="A1046" i="1"/>
  <c r="R1045" i="1"/>
  <c r="N1045" i="1"/>
  <c r="J1045" i="1"/>
  <c r="I1045" i="1"/>
  <c r="H1045" i="1"/>
  <c r="G1045" i="1"/>
  <c r="F1045" i="1"/>
  <c r="E1045" i="1"/>
  <c r="D1045" i="1"/>
  <c r="C1045" i="1"/>
  <c r="B1045" i="1"/>
  <c r="A1045" i="1"/>
  <c r="R1044" i="1"/>
  <c r="N1044" i="1"/>
  <c r="J1044" i="1"/>
  <c r="I1044" i="1"/>
  <c r="H1044" i="1"/>
  <c r="G1044" i="1"/>
  <c r="F1044" i="1"/>
  <c r="E1044" i="1"/>
  <c r="D1044" i="1"/>
  <c r="C1044" i="1"/>
  <c r="B1044" i="1"/>
  <c r="A1044" i="1"/>
  <c r="R1043" i="1"/>
  <c r="N1043" i="1"/>
  <c r="J1043" i="1"/>
  <c r="I1043" i="1"/>
  <c r="H1043" i="1"/>
  <c r="G1043" i="1"/>
  <c r="F1043" i="1"/>
  <c r="E1043" i="1"/>
  <c r="D1043" i="1"/>
  <c r="C1043" i="1"/>
  <c r="B1043" i="1"/>
  <c r="A1043" i="1"/>
  <c r="R1042" i="1"/>
  <c r="Q1042" i="1"/>
  <c r="N1042" i="1"/>
  <c r="J1042" i="1"/>
  <c r="I1042" i="1"/>
  <c r="H1042" i="1"/>
  <c r="G1042" i="1"/>
  <c r="F1042" i="1"/>
  <c r="E1042" i="1"/>
  <c r="D1042" i="1"/>
  <c r="C1042" i="1"/>
  <c r="A1042" i="1"/>
  <c r="R1041" i="1"/>
  <c r="N1041" i="1"/>
  <c r="J1041" i="1"/>
  <c r="I1041" i="1"/>
  <c r="H1041" i="1"/>
  <c r="G1041" i="1"/>
  <c r="F1041" i="1"/>
  <c r="E1041" i="1"/>
  <c r="D1041" i="1"/>
  <c r="C1041" i="1"/>
  <c r="A1041" i="1"/>
  <c r="R1040" i="1"/>
  <c r="Q1040" i="1"/>
  <c r="N1040" i="1"/>
  <c r="J1040" i="1"/>
  <c r="I1040" i="1"/>
  <c r="H1040" i="1"/>
  <c r="G1040" i="1"/>
  <c r="F1040" i="1"/>
  <c r="E1040" i="1"/>
  <c r="D1040" i="1"/>
  <c r="C1040" i="1"/>
  <c r="A1040" i="1"/>
  <c r="R1039" i="1"/>
  <c r="N1039" i="1"/>
  <c r="J1039" i="1"/>
  <c r="I1039" i="1"/>
  <c r="H1039" i="1"/>
  <c r="G1039" i="1"/>
  <c r="F1039" i="1"/>
  <c r="E1039" i="1"/>
  <c r="D1039" i="1"/>
  <c r="C1039" i="1"/>
  <c r="A1039" i="1"/>
  <c r="R1038" i="1"/>
  <c r="Q1038" i="1"/>
  <c r="N1038" i="1"/>
  <c r="J1038" i="1"/>
  <c r="I1038" i="1"/>
  <c r="H1038" i="1"/>
  <c r="G1038" i="1"/>
  <c r="F1038" i="1"/>
  <c r="E1038" i="1"/>
  <c r="D1038" i="1"/>
  <c r="C1038" i="1"/>
  <c r="A1038" i="1"/>
  <c r="R1037" i="1"/>
  <c r="Q1037" i="1"/>
  <c r="N1037" i="1"/>
  <c r="J1037" i="1"/>
  <c r="I1037" i="1"/>
  <c r="H1037" i="1"/>
  <c r="G1037" i="1"/>
  <c r="F1037" i="1"/>
  <c r="E1037" i="1"/>
  <c r="D1037" i="1"/>
  <c r="C1037" i="1"/>
  <c r="A1037" i="1"/>
  <c r="R1036" i="1"/>
  <c r="Q1036" i="1"/>
  <c r="N1036" i="1"/>
  <c r="J1036" i="1"/>
  <c r="I1036" i="1"/>
  <c r="H1036" i="1"/>
  <c r="G1036" i="1"/>
  <c r="F1036" i="1"/>
  <c r="E1036" i="1"/>
  <c r="D1036" i="1"/>
  <c r="C1036" i="1"/>
  <c r="A1036" i="1"/>
  <c r="R1035" i="1"/>
  <c r="Q1035" i="1"/>
  <c r="N1035" i="1"/>
  <c r="J1035" i="1"/>
  <c r="I1035" i="1"/>
  <c r="H1035" i="1"/>
  <c r="G1035" i="1"/>
  <c r="F1035" i="1"/>
  <c r="E1035" i="1"/>
  <c r="D1035" i="1"/>
  <c r="C1035" i="1"/>
  <c r="A1035" i="1"/>
  <c r="R1034" i="1"/>
  <c r="Q1034" i="1"/>
  <c r="N1034" i="1"/>
  <c r="J1034" i="1"/>
  <c r="I1034" i="1"/>
  <c r="H1034" i="1"/>
  <c r="G1034" i="1"/>
  <c r="F1034" i="1"/>
  <c r="E1034" i="1"/>
  <c r="D1034" i="1"/>
  <c r="C1034" i="1"/>
  <c r="A1034" i="1"/>
  <c r="R1033" i="1"/>
  <c r="Q1033" i="1"/>
  <c r="N1033" i="1"/>
  <c r="J1033" i="1"/>
  <c r="I1033" i="1"/>
  <c r="H1033" i="1"/>
  <c r="G1033" i="1"/>
  <c r="F1033" i="1"/>
  <c r="E1033" i="1"/>
  <c r="D1033" i="1"/>
  <c r="C1033" i="1"/>
  <c r="A1033" i="1"/>
  <c r="R1032" i="1"/>
  <c r="Q1032" i="1"/>
  <c r="N1032" i="1"/>
  <c r="J1032" i="1"/>
  <c r="I1032" i="1"/>
  <c r="H1032" i="1"/>
  <c r="G1032" i="1"/>
  <c r="F1032" i="1"/>
  <c r="E1032" i="1"/>
  <c r="D1032" i="1"/>
  <c r="C1032" i="1"/>
  <c r="A1032" i="1"/>
  <c r="R1031" i="1"/>
  <c r="Q1031" i="1"/>
  <c r="N1031" i="1"/>
  <c r="J1031" i="1"/>
  <c r="I1031" i="1"/>
  <c r="H1031" i="1"/>
  <c r="G1031" i="1"/>
  <c r="F1031" i="1"/>
  <c r="E1031" i="1"/>
  <c r="D1031" i="1"/>
  <c r="C1031" i="1"/>
  <c r="A1031" i="1"/>
  <c r="R1030" i="1"/>
  <c r="Q1030" i="1"/>
  <c r="N1030" i="1"/>
  <c r="J1030" i="1"/>
  <c r="I1030" i="1"/>
  <c r="H1030" i="1"/>
  <c r="G1030" i="1"/>
  <c r="F1030" i="1"/>
  <c r="E1030" i="1"/>
  <c r="D1030" i="1"/>
  <c r="C1030" i="1"/>
  <c r="A1030" i="1"/>
  <c r="R1029" i="1"/>
  <c r="Q1029" i="1"/>
  <c r="N1029" i="1"/>
  <c r="J1029" i="1"/>
  <c r="I1029" i="1"/>
  <c r="H1029" i="1"/>
  <c r="G1029" i="1"/>
  <c r="F1029" i="1"/>
  <c r="E1029" i="1"/>
  <c r="D1029" i="1"/>
  <c r="C1029" i="1"/>
  <c r="A1029" i="1"/>
  <c r="R1028" i="1"/>
  <c r="Q1028" i="1"/>
  <c r="N1028" i="1"/>
  <c r="J1028" i="1"/>
  <c r="I1028" i="1"/>
  <c r="H1028" i="1"/>
  <c r="G1028" i="1"/>
  <c r="F1028" i="1"/>
  <c r="E1028" i="1"/>
  <c r="D1028" i="1"/>
  <c r="C1028" i="1"/>
  <c r="A1028" i="1"/>
  <c r="R1027" i="1"/>
  <c r="Q1027" i="1"/>
  <c r="N1027" i="1"/>
  <c r="J1027" i="1"/>
  <c r="I1027" i="1"/>
  <c r="H1027" i="1"/>
  <c r="G1027" i="1"/>
  <c r="F1027" i="1"/>
  <c r="E1027" i="1"/>
  <c r="D1027" i="1"/>
  <c r="C1027" i="1"/>
  <c r="A1027" i="1"/>
  <c r="R1026" i="1"/>
  <c r="Q1026" i="1"/>
  <c r="N1026" i="1"/>
  <c r="J1026" i="1"/>
  <c r="I1026" i="1"/>
  <c r="H1026" i="1"/>
  <c r="G1026" i="1"/>
  <c r="F1026" i="1"/>
  <c r="E1026" i="1"/>
  <c r="D1026" i="1"/>
  <c r="C1026" i="1"/>
  <c r="A1026" i="1"/>
  <c r="R1025" i="1"/>
  <c r="Q1025" i="1"/>
  <c r="N1025" i="1"/>
  <c r="J1025" i="1"/>
  <c r="I1025" i="1"/>
  <c r="H1025" i="1"/>
  <c r="G1025" i="1"/>
  <c r="F1025" i="1"/>
  <c r="E1025" i="1"/>
  <c r="D1025" i="1"/>
  <c r="C1025" i="1"/>
  <c r="A1025" i="1"/>
  <c r="R1024" i="1"/>
  <c r="Q1024" i="1"/>
  <c r="N1024" i="1"/>
  <c r="J1024" i="1"/>
  <c r="I1024" i="1"/>
  <c r="H1024" i="1"/>
  <c r="G1024" i="1"/>
  <c r="F1024" i="1"/>
  <c r="E1024" i="1"/>
  <c r="D1024" i="1"/>
  <c r="C1024" i="1"/>
  <c r="A1024" i="1"/>
  <c r="R1023" i="1"/>
  <c r="Q1023" i="1"/>
  <c r="N1023" i="1"/>
  <c r="J1023" i="1"/>
  <c r="I1023" i="1"/>
  <c r="H1023" i="1"/>
  <c r="G1023" i="1"/>
  <c r="F1023" i="1"/>
  <c r="E1023" i="1"/>
  <c r="D1023" i="1"/>
  <c r="C1023" i="1"/>
  <c r="A1023" i="1"/>
  <c r="R1022" i="1"/>
  <c r="Q1022" i="1"/>
  <c r="N1022" i="1"/>
  <c r="J1022" i="1"/>
  <c r="I1022" i="1"/>
  <c r="H1022" i="1"/>
  <c r="G1022" i="1"/>
  <c r="F1022" i="1"/>
  <c r="E1022" i="1"/>
  <c r="D1022" i="1"/>
  <c r="C1022" i="1"/>
  <c r="A1022" i="1"/>
  <c r="R1021" i="1"/>
  <c r="Q1021" i="1"/>
  <c r="N1021" i="1"/>
  <c r="J1021" i="1"/>
  <c r="I1021" i="1"/>
  <c r="H1021" i="1"/>
  <c r="G1021" i="1"/>
  <c r="F1021" i="1"/>
  <c r="E1021" i="1"/>
  <c r="D1021" i="1"/>
  <c r="C1021" i="1"/>
  <c r="A1021" i="1"/>
  <c r="R1020" i="1"/>
  <c r="Q1020" i="1"/>
  <c r="N1020" i="1"/>
  <c r="J1020" i="1"/>
  <c r="I1020" i="1"/>
  <c r="H1020" i="1"/>
  <c r="G1020" i="1"/>
  <c r="F1020" i="1"/>
  <c r="E1020" i="1"/>
  <c r="D1020" i="1"/>
  <c r="C1020" i="1"/>
  <c r="A1020" i="1"/>
  <c r="R1019" i="1"/>
  <c r="Q1019" i="1"/>
  <c r="N1019" i="1"/>
  <c r="J1019" i="1"/>
  <c r="I1019" i="1"/>
  <c r="H1019" i="1"/>
  <c r="G1019" i="1"/>
  <c r="F1019" i="1"/>
  <c r="E1019" i="1"/>
  <c r="D1019" i="1"/>
  <c r="C1019" i="1"/>
  <c r="A1019" i="1"/>
  <c r="R1018" i="1"/>
  <c r="Q1018" i="1"/>
  <c r="N1018" i="1"/>
  <c r="J1018" i="1"/>
  <c r="I1018" i="1"/>
  <c r="H1018" i="1"/>
  <c r="G1018" i="1"/>
  <c r="F1018" i="1"/>
  <c r="E1018" i="1"/>
  <c r="D1018" i="1"/>
  <c r="C1018" i="1"/>
  <c r="A1018" i="1"/>
  <c r="R1017" i="1"/>
  <c r="Q1017" i="1"/>
  <c r="N1017" i="1"/>
  <c r="J1017" i="1"/>
  <c r="I1017" i="1"/>
  <c r="H1017" i="1"/>
  <c r="G1017" i="1"/>
  <c r="F1017" i="1"/>
  <c r="E1017" i="1"/>
  <c r="D1017" i="1"/>
  <c r="C1017" i="1"/>
  <c r="A1017" i="1"/>
  <c r="R1016" i="1"/>
  <c r="Q1016" i="1"/>
  <c r="N1016" i="1"/>
  <c r="J1016" i="1"/>
  <c r="I1016" i="1"/>
  <c r="H1016" i="1"/>
  <c r="G1016" i="1"/>
  <c r="F1016" i="1"/>
  <c r="E1016" i="1"/>
  <c r="D1016" i="1"/>
  <c r="C1016" i="1"/>
  <c r="A1016" i="1"/>
  <c r="R1015" i="1"/>
  <c r="Q1015" i="1"/>
  <c r="N1015" i="1"/>
  <c r="J1015" i="1"/>
  <c r="I1015" i="1"/>
  <c r="H1015" i="1"/>
  <c r="G1015" i="1"/>
  <c r="F1015" i="1"/>
  <c r="E1015" i="1"/>
  <c r="D1015" i="1"/>
  <c r="C1015" i="1"/>
  <c r="A1015" i="1"/>
  <c r="R1014" i="1"/>
  <c r="Q1014" i="1"/>
  <c r="N1014" i="1"/>
  <c r="J1014" i="1"/>
  <c r="I1014" i="1"/>
  <c r="H1014" i="1"/>
  <c r="G1014" i="1"/>
  <c r="F1014" i="1"/>
  <c r="E1014" i="1"/>
  <c r="D1014" i="1"/>
  <c r="C1014" i="1"/>
  <c r="A1014" i="1"/>
  <c r="R1013" i="1"/>
  <c r="Q1013" i="1"/>
  <c r="N1013" i="1"/>
  <c r="J1013" i="1"/>
  <c r="I1013" i="1"/>
  <c r="H1013" i="1"/>
  <c r="G1013" i="1"/>
  <c r="F1013" i="1"/>
  <c r="E1013" i="1"/>
  <c r="D1013" i="1"/>
  <c r="C1013" i="1"/>
  <c r="A1013" i="1"/>
  <c r="R1012" i="1"/>
  <c r="Q1012" i="1"/>
  <c r="N1012" i="1"/>
  <c r="J1012" i="1"/>
  <c r="I1012" i="1"/>
  <c r="H1012" i="1"/>
  <c r="G1012" i="1"/>
  <c r="F1012" i="1"/>
  <c r="E1012" i="1"/>
  <c r="D1012" i="1"/>
  <c r="C1012" i="1"/>
  <c r="A1012" i="1"/>
  <c r="R1011" i="1"/>
  <c r="Q1011" i="1"/>
  <c r="N1011" i="1"/>
  <c r="J1011" i="1"/>
  <c r="I1011" i="1"/>
  <c r="H1011" i="1"/>
  <c r="G1011" i="1"/>
  <c r="F1011" i="1"/>
  <c r="E1011" i="1"/>
  <c r="D1011" i="1"/>
  <c r="C1011" i="1"/>
  <c r="A1011" i="1"/>
  <c r="R1010" i="1"/>
  <c r="Q1010" i="1"/>
  <c r="N1010" i="1"/>
  <c r="J1010" i="1"/>
  <c r="I1010" i="1"/>
  <c r="H1010" i="1"/>
  <c r="G1010" i="1"/>
  <c r="F1010" i="1"/>
  <c r="E1010" i="1"/>
  <c r="D1010" i="1"/>
  <c r="C1010" i="1"/>
  <c r="A1010" i="1"/>
  <c r="R1009" i="1"/>
  <c r="Q1009" i="1"/>
  <c r="N1009" i="1"/>
  <c r="J1009" i="1"/>
  <c r="I1009" i="1"/>
  <c r="H1009" i="1"/>
  <c r="G1009" i="1"/>
  <c r="F1009" i="1"/>
  <c r="E1009" i="1"/>
  <c r="D1009" i="1"/>
  <c r="C1009" i="1"/>
  <c r="A1009" i="1"/>
  <c r="R1008" i="1"/>
  <c r="Q1008" i="1"/>
  <c r="N1008" i="1"/>
  <c r="J1008" i="1"/>
  <c r="I1008" i="1"/>
  <c r="H1008" i="1"/>
  <c r="G1008" i="1"/>
  <c r="F1008" i="1"/>
  <c r="E1008" i="1"/>
  <c r="D1008" i="1"/>
  <c r="C1008" i="1"/>
  <c r="A1008" i="1"/>
  <c r="R1007" i="1"/>
  <c r="Q1007" i="1"/>
  <c r="N1007" i="1"/>
  <c r="J1007" i="1"/>
  <c r="I1007" i="1"/>
  <c r="H1007" i="1"/>
  <c r="G1007" i="1"/>
  <c r="F1007" i="1"/>
  <c r="E1007" i="1"/>
  <c r="D1007" i="1"/>
  <c r="C1007" i="1"/>
  <c r="A1007" i="1"/>
  <c r="R1006" i="1"/>
  <c r="Q1006" i="1"/>
  <c r="N1006" i="1"/>
  <c r="J1006" i="1"/>
  <c r="I1006" i="1"/>
  <c r="H1006" i="1"/>
  <c r="G1006" i="1"/>
  <c r="F1006" i="1"/>
  <c r="E1006" i="1"/>
  <c r="D1006" i="1"/>
  <c r="C1006" i="1"/>
  <c r="A1006" i="1"/>
  <c r="R1005" i="1"/>
  <c r="Q1005" i="1"/>
  <c r="N1005" i="1"/>
  <c r="J1005" i="1"/>
  <c r="I1005" i="1"/>
  <c r="H1005" i="1"/>
  <c r="G1005" i="1"/>
  <c r="F1005" i="1"/>
  <c r="E1005" i="1"/>
  <c r="D1005" i="1"/>
  <c r="C1005" i="1"/>
  <c r="A1005" i="1"/>
  <c r="R1004" i="1"/>
  <c r="Q1004" i="1"/>
  <c r="N1004" i="1"/>
  <c r="J1004" i="1"/>
  <c r="I1004" i="1"/>
  <c r="H1004" i="1"/>
  <c r="G1004" i="1"/>
  <c r="F1004" i="1"/>
  <c r="E1004" i="1"/>
  <c r="D1004" i="1"/>
  <c r="C1004" i="1"/>
  <c r="A1004" i="1"/>
  <c r="R1003" i="1"/>
  <c r="Q1003" i="1"/>
  <c r="N1003" i="1"/>
  <c r="J1003" i="1"/>
  <c r="I1003" i="1"/>
  <c r="H1003" i="1"/>
  <c r="G1003" i="1"/>
  <c r="F1003" i="1"/>
  <c r="E1003" i="1"/>
  <c r="D1003" i="1"/>
  <c r="C1003" i="1"/>
  <c r="A1003" i="1"/>
  <c r="R1002" i="1"/>
  <c r="Q1002" i="1"/>
  <c r="N1002" i="1"/>
  <c r="J1002" i="1"/>
  <c r="I1002" i="1"/>
  <c r="H1002" i="1"/>
  <c r="G1002" i="1"/>
  <c r="F1002" i="1"/>
  <c r="E1002" i="1"/>
  <c r="D1002" i="1"/>
  <c r="C1002" i="1"/>
  <c r="A1002" i="1"/>
  <c r="R1001" i="1"/>
  <c r="Q1001" i="1"/>
  <c r="N1001" i="1"/>
  <c r="J1001" i="1"/>
  <c r="I1001" i="1"/>
  <c r="H1001" i="1"/>
  <c r="G1001" i="1"/>
  <c r="F1001" i="1"/>
  <c r="E1001" i="1"/>
  <c r="D1001" i="1"/>
  <c r="C1001" i="1"/>
  <c r="A1001" i="1"/>
  <c r="R1000" i="1"/>
  <c r="Q1000" i="1"/>
  <c r="N1000" i="1"/>
  <c r="J1000" i="1"/>
  <c r="I1000" i="1"/>
  <c r="H1000" i="1"/>
  <c r="G1000" i="1"/>
  <c r="F1000" i="1"/>
  <c r="E1000" i="1"/>
  <c r="D1000" i="1"/>
  <c r="C1000" i="1"/>
  <c r="A1000" i="1"/>
  <c r="R999" i="1"/>
  <c r="Q999" i="1"/>
  <c r="N999" i="1"/>
  <c r="J999" i="1"/>
  <c r="I999" i="1"/>
  <c r="H999" i="1"/>
  <c r="G999" i="1"/>
  <c r="F999" i="1"/>
  <c r="E999" i="1"/>
  <c r="D999" i="1"/>
  <c r="C999" i="1"/>
  <c r="A999" i="1"/>
  <c r="R998" i="1"/>
  <c r="Q998" i="1"/>
  <c r="N998" i="1"/>
  <c r="J998" i="1"/>
  <c r="I998" i="1"/>
  <c r="H998" i="1"/>
  <c r="G998" i="1"/>
  <c r="F998" i="1"/>
  <c r="E998" i="1"/>
  <c r="D998" i="1"/>
  <c r="C998" i="1"/>
  <c r="A998" i="1"/>
  <c r="R997" i="1"/>
  <c r="Q997" i="1"/>
  <c r="N997" i="1"/>
  <c r="J997" i="1"/>
  <c r="I997" i="1"/>
  <c r="H997" i="1"/>
  <c r="G997" i="1"/>
  <c r="F997" i="1"/>
  <c r="E997" i="1"/>
  <c r="D997" i="1"/>
  <c r="C997" i="1"/>
  <c r="A997" i="1"/>
  <c r="R996" i="1"/>
  <c r="Q996" i="1"/>
  <c r="N996" i="1"/>
  <c r="J996" i="1"/>
  <c r="I996" i="1"/>
  <c r="H996" i="1"/>
  <c r="G996" i="1"/>
  <c r="F996" i="1"/>
  <c r="E996" i="1"/>
  <c r="D996" i="1"/>
  <c r="C996" i="1"/>
  <c r="A996" i="1"/>
  <c r="R995" i="1"/>
  <c r="Q995" i="1"/>
  <c r="N995" i="1"/>
  <c r="J995" i="1"/>
  <c r="I995" i="1"/>
  <c r="H995" i="1"/>
  <c r="G995" i="1"/>
  <c r="F995" i="1"/>
  <c r="E995" i="1"/>
  <c r="D995" i="1"/>
  <c r="C995" i="1"/>
  <c r="A995" i="1"/>
  <c r="R994" i="1"/>
  <c r="Q994" i="1"/>
  <c r="N994" i="1"/>
  <c r="J994" i="1"/>
  <c r="I994" i="1"/>
  <c r="H994" i="1"/>
  <c r="G994" i="1"/>
  <c r="F994" i="1"/>
  <c r="E994" i="1"/>
  <c r="D994" i="1"/>
  <c r="C994" i="1"/>
  <c r="A994" i="1"/>
  <c r="R993" i="1"/>
  <c r="N993" i="1"/>
  <c r="J993" i="1"/>
  <c r="I993" i="1"/>
  <c r="H993" i="1"/>
  <c r="G993" i="1"/>
  <c r="F993" i="1"/>
  <c r="E993" i="1"/>
  <c r="D993" i="1"/>
  <c r="C993" i="1"/>
  <c r="A993" i="1"/>
  <c r="R992" i="1"/>
  <c r="Q992" i="1"/>
  <c r="N992" i="1"/>
  <c r="J992" i="1"/>
  <c r="I992" i="1"/>
  <c r="H992" i="1"/>
  <c r="G992" i="1"/>
  <c r="F992" i="1"/>
  <c r="E992" i="1"/>
  <c r="D992" i="1"/>
  <c r="C992" i="1"/>
  <c r="A992" i="1"/>
  <c r="R991" i="1"/>
  <c r="Q991" i="1"/>
  <c r="N991" i="1"/>
  <c r="J991" i="1"/>
  <c r="I991" i="1"/>
  <c r="H991" i="1"/>
  <c r="G991" i="1"/>
  <c r="F991" i="1"/>
  <c r="E991" i="1"/>
  <c r="D991" i="1"/>
  <c r="C991" i="1"/>
  <c r="A991" i="1"/>
  <c r="R990" i="1"/>
  <c r="Q990" i="1"/>
  <c r="N990" i="1"/>
  <c r="J990" i="1"/>
  <c r="I990" i="1"/>
  <c r="H990" i="1"/>
  <c r="G990" i="1"/>
  <c r="F990" i="1"/>
  <c r="E990" i="1"/>
  <c r="D990" i="1"/>
  <c r="C990" i="1"/>
  <c r="A990" i="1"/>
  <c r="R989" i="1"/>
  <c r="Q989" i="1"/>
  <c r="N989" i="1"/>
  <c r="J989" i="1"/>
  <c r="I989" i="1"/>
  <c r="H989" i="1"/>
  <c r="G989" i="1"/>
  <c r="F989" i="1"/>
  <c r="E989" i="1"/>
  <c r="D989" i="1"/>
  <c r="C989" i="1"/>
  <c r="A989" i="1"/>
  <c r="R988" i="1"/>
  <c r="Q988" i="1"/>
  <c r="N988" i="1"/>
  <c r="J988" i="1"/>
  <c r="I988" i="1"/>
  <c r="H988" i="1"/>
  <c r="G988" i="1"/>
  <c r="F988" i="1"/>
  <c r="E988" i="1"/>
  <c r="D988" i="1"/>
  <c r="C988" i="1"/>
  <c r="A988" i="1"/>
  <c r="R987" i="1"/>
  <c r="Q987" i="1"/>
  <c r="N987" i="1"/>
  <c r="J987" i="1"/>
  <c r="I987" i="1"/>
  <c r="H987" i="1"/>
  <c r="G987" i="1"/>
  <c r="F987" i="1"/>
  <c r="E987" i="1"/>
  <c r="D987" i="1"/>
  <c r="C987" i="1"/>
  <c r="A987" i="1"/>
  <c r="R986" i="1"/>
  <c r="Q986" i="1"/>
  <c r="N986" i="1"/>
  <c r="J986" i="1"/>
  <c r="I986" i="1"/>
  <c r="H986" i="1"/>
  <c r="G986" i="1"/>
  <c r="F986" i="1"/>
  <c r="E986" i="1"/>
  <c r="D986" i="1"/>
  <c r="C986" i="1"/>
  <c r="A986" i="1"/>
  <c r="R985" i="1"/>
  <c r="Q985" i="1"/>
  <c r="N985" i="1"/>
  <c r="J985" i="1"/>
  <c r="I985" i="1"/>
  <c r="H985" i="1"/>
  <c r="G985" i="1"/>
  <c r="F985" i="1"/>
  <c r="E985" i="1"/>
  <c r="D985" i="1"/>
  <c r="C985" i="1"/>
  <c r="A985" i="1"/>
  <c r="R984" i="1"/>
  <c r="Q984" i="1"/>
  <c r="N984" i="1"/>
  <c r="J984" i="1"/>
  <c r="I984" i="1"/>
  <c r="H984" i="1"/>
  <c r="G984" i="1"/>
  <c r="F984" i="1"/>
  <c r="E984" i="1"/>
  <c r="D984" i="1"/>
  <c r="C984" i="1"/>
  <c r="A984" i="1"/>
  <c r="R983" i="1"/>
  <c r="Q983" i="1"/>
  <c r="N983" i="1"/>
  <c r="J983" i="1"/>
  <c r="I983" i="1"/>
  <c r="H983" i="1"/>
  <c r="G983" i="1"/>
  <c r="F983" i="1"/>
  <c r="E983" i="1"/>
  <c r="D983" i="1"/>
  <c r="C983" i="1"/>
  <c r="A983" i="1"/>
  <c r="R982" i="1"/>
  <c r="Q982" i="1"/>
  <c r="N982" i="1"/>
  <c r="J982" i="1"/>
  <c r="I982" i="1"/>
  <c r="H982" i="1"/>
  <c r="G982" i="1"/>
  <c r="F982" i="1"/>
  <c r="E982" i="1"/>
  <c r="D982" i="1"/>
  <c r="C982" i="1"/>
  <c r="A982" i="1"/>
  <c r="R981" i="1"/>
  <c r="N981" i="1"/>
  <c r="J981" i="1"/>
  <c r="I981" i="1"/>
  <c r="H981" i="1"/>
  <c r="G981" i="1"/>
  <c r="F981" i="1"/>
  <c r="E981" i="1"/>
  <c r="D981" i="1"/>
  <c r="C981" i="1"/>
  <c r="A981" i="1"/>
  <c r="R980" i="1"/>
  <c r="Q980" i="1"/>
  <c r="N980" i="1"/>
  <c r="J980" i="1"/>
  <c r="I980" i="1"/>
  <c r="H980" i="1"/>
  <c r="G980" i="1"/>
  <c r="F980" i="1"/>
  <c r="E980" i="1"/>
  <c r="D980" i="1"/>
  <c r="C980" i="1"/>
  <c r="A980" i="1"/>
  <c r="R979" i="1"/>
  <c r="Q979" i="1"/>
  <c r="N979" i="1"/>
  <c r="J979" i="1"/>
  <c r="I979" i="1"/>
  <c r="H979" i="1"/>
  <c r="G979" i="1"/>
  <c r="F979" i="1"/>
  <c r="E979" i="1"/>
  <c r="D979" i="1"/>
  <c r="C979" i="1"/>
  <c r="A979" i="1"/>
  <c r="R978" i="1"/>
  <c r="Q978" i="1"/>
  <c r="N978" i="1"/>
  <c r="J978" i="1"/>
  <c r="I978" i="1"/>
  <c r="H978" i="1"/>
  <c r="G978" i="1"/>
  <c r="F978" i="1"/>
  <c r="E978" i="1"/>
  <c r="D978" i="1"/>
  <c r="C978" i="1"/>
  <c r="A978" i="1"/>
  <c r="R977" i="1"/>
  <c r="Q977" i="1"/>
  <c r="N977" i="1"/>
  <c r="J977" i="1"/>
  <c r="I977" i="1"/>
  <c r="H977" i="1"/>
  <c r="G977" i="1"/>
  <c r="F977" i="1"/>
  <c r="E977" i="1"/>
  <c r="D977" i="1"/>
  <c r="C977" i="1"/>
  <c r="A977" i="1"/>
  <c r="R976" i="1"/>
  <c r="Q976" i="1"/>
  <c r="N976" i="1"/>
  <c r="J976" i="1"/>
  <c r="I976" i="1"/>
  <c r="H976" i="1"/>
  <c r="G976" i="1"/>
  <c r="F976" i="1"/>
  <c r="E976" i="1"/>
  <c r="D976" i="1"/>
  <c r="C976" i="1"/>
  <c r="A976" i="1"/>
  <c r="R975" i="1"/>
  <c r="N975" i="1"/>
  <c r="J975" i="1"/>
  <c r="I975" i="1"/>
  <c r="H975" i="1"/>
  <c r="G975" i="1"/>
  <c r="F975" i="1"/>
  <c r="E975" i="1"/>
  <c r="D975" i="1"/>
  <c r="C975" i="1"/>
  <c r="B975" i="1"/>
  <c r="A975" i="1"/>
  <c r="R974" i="1"/>
  <c r="N974" i="1"/>
  <c r="J974" i="1"/>
  <c r="I974" i="1"/>
  <c r="H974" i="1"/>
  <c r="G974" i="1"/>
  <c r="F974" i="1"/>
  <c r="E974" i="1"/>
  <c r="D974" i="1"/>
  <c r="C974" i="1"/>
  <c r="B974" i="1"/>
  <c r="A974" i="1"/>
  <c r="R973" i="1"/>
  <c r="N973" i="1"/>
  <c r="J973" i="1"/>
  <c r="I973" i="1"/>
  <c r="H973" i="1"/>
  <c r="G973" i="1"/>
  <c r="F973" i="1"/>
  <c r="E973" i="1"/>
  <c r="D973" i="1"/>
  <c r="C973" i="1"/>
  <c r="B973" i="1"/>
  <c r="A973" i="1"/>
  <c r="R972" i="1"/>
  <c r="N972" i="1"/>
  <c r="J972" i="1"/>
  <c r="I972" i="1"/>
  <c r="H972" i="1"/>
  <c r="G972" i="1"/>
  <c r="F972" i="1"/>
  <c r="E972" i="1"/>
  <c r="D972" i="1"/>
  <c r="C972" i="1"/>
  <c r="B972" i="1"/>
  <c r="A972" i="1"/>
  <c r="R971" i="1"/>
  <c r="N971" i="1"/>
  <c r="J971" i="1"/>
  <c r="I971" i="1"/>
  <c r="H971" i="1"/>
  <c r="G971" i="1"/>
  <c r="F971" i="1"/>
  <c r="E971" i="1"/>
  <c r="D971" i="1"/>
  <c r="C971" i="1"/>
  <c r="B971" i="1"/>
  <c r="A971" i="1"/>
  <c r="R970" i="1"/>
  <c r="N970" i="1"/>
  <c r="J970" i="1"/>
  <c r="I970" i="1"/>
  <c r="H970" i="1"/>
  <c r="G970" i="1"/>
  <c r="F970" i="1"/>
  <c r="E970" i="1"/>
  <c r="D970" i="1"/>
  <c r="C970" i="1"/>
  <c r="B970" i="1"/>
  <c r="A970" i="1"/>
  <c r="R969" i="1"/>
  <c r="N969" i="1"/>
  <c r="J969" i="1"/>
  <c r="I969" i="1"/>
  <c r="H969" i="1"/>
  <c r="G969" i="1"/>
  <c r="F969" i="1"/>
  <c r="E969" i="1"/>
  <c r="D969" i="1"/>
  <c r="C969" i="1"/>
  <c r="B969" i="1"/>
  <c r="A969" i="1"/>
  <c r="R968" i="1"/>
  <c r="Q968" i="1"/>
  <c r="N968" i="1"/>
  <c r="J968" i="1"/>
  <c r="I968" i="1"/>
  <c r="H968" i="1"/>
  <c r="G968" i="1"/>
  <c r="F968" i="1"/>
  <c r="E968" i="1"/>
  <c r="D968" i="1"/>
  <c r="C968" i="1"/>
  <c r="A968" i="1"/>
  <c r="R967" i="1"/>
  <c r="N967" i="1"/>
  <c r="J967" i="1"/>
  <c r="I967" i="1"/>
  <c r="H967" i="1"/>
  <c r="G967" i="1"/>
  <c r="F967" i="1"/>
  <c r="E967" i="1"/>
  <c r="D967" i="1"/>
  <c r="C967" i="1"/>
  <c r="A967" i="1"/>
  <c r="R966" i="1"/>
  <c r="Q966" i="1"/>
  <c r="N966" i="1"/>
  <c r="J966" i="1"/>
  <c r="I966" i="1"/>
  <c r="H966" i="1"/>
  <c r="G966" i="1"/>
  <c r="F966" i="1"/>
  <c r="E966" i="1"/>
  <c r="D966" i="1"/>
  <c r="C966" i="1"/>
  <c r="A966" i="1"/>
  <c r="R965" i="1"/>
  <c r="N965" i="1"/>
  <c r="J965" i="1"/>
  <c r="I965" i="1"/>
  <c r="H965" i="1"/>
  <c r="G965" i="1"/>
  <c r="F965" i="1"/>
  <c r="E965" i="1"/>
  <c r="D965" i="1"/>
  <c r="C965" i="1"/>
  <c r="A965" i="1"/>
  <c r="R964" i="1"/>
  <c r="Q964" i="1"/>
  <c r="N964" i="1"/>
  <c r="J964" i="1"/>
  <c r="I964" i="1"/>
  <c r="H964" i="1"/>
  <c r="G964" i="1"/>
  <c r="F964" i="1"/>
  <c r="E964" i="1"/>
  <c r="D964" i="1"/>
  <c r="C964" i="1"/>
  <c r="A964" i="1"/>
  <c r="R963" i="1"/>
  <c r="N963" i="1"/>
  <c r="J963" i="1"/>
  <c r="I963" i="1"/>
  <c r="H963" i="1"/>
  <c r="G963" i="1"/>
  <c r="F963" i="1"/>
  <c r="E963" i="1"/>
  <c r="D963" i="1"/>
  <c r="C963" i="1"/>
  <c r="B963" i="1"/>
  <c r="A963" i="1"/>
  <c r="R962" i="1"/>
  <c r="N962" i="1"/>
  <c r="J962" i="1"/>
  <c r="I962" i="1"/>
  <c r="H962" i="1"/>
  <c r="G962" i="1"/>
  <c r="F962" i="1"/>
  <c r="E962" i="1"/>
  <c r="D962" i="1"/>
  <c r="C962" i="1"/>
  <c r="B962" i="1"/>
  <c r="A962" i="1"/>
  <c r="R961" i="1"/>
  <c r="Q961" i="1"/>
  <c r="N961" i="1"/>
  <c r="J961" i="1"/>
  <c r="I961" i="1"/>
  <c r="H961" i="1"/>
  <c r="G961" i="1"/>
  <c r="F961" i="1"/>
  <c r="E961" i="1"/>
  <c r="D961" i="1"/>
  <c r="C961" i="1"/>
  <c r="B961" i="1"/>
  <c r="A961" i="1"/>
  <c r="R960" i="1"/>
  <c r="N960" i="1"/>
  <c r="J960" i="1"/>
  <c r="I960" i="1"/>
  <c r="H960" i="1"/>
  <c r="G960" i="1"/>
  <c r="F960" i="1"/>
  <c r="E960" i="1"/>
  <c r="D960" i="1"/>
  <c r="C960" i="1"/>
  <c r="B960" i="1"/>
  <c r="A960" i="1"/>
  <c r="R959" i="1"/>
  <c r="N959" i="1"/>
  <c r="J959" i="1"/>
  <c r="I959" i="1"/>
  <c r="H959" i="1"/>
  <c r="G959" i="1"/>
  <c r="F959" i="1"/>
  <c r="E959" i="1"/>
  <c r="D959" i="1"/>
  <c r="C959" i="1"/>
  <c r="B959" i="1"/>
  <c r="A959" i="1"/>
  <c r="R958" i="1"/>
  <c r="N958" i="1"/>
  <c r="J958" i="1"/>
  <c r="I958" i="1"/>
  <c r="H958" i="1"/>
  <c r="G958" i="1"/>
  <c r="F958" i="1"/>
  <c r="E958" i="1"/>
  <c r="D958" i="1"/>
  <c r="C958" i="1"/>
  <c r="B958" i="1"/>
  <c r="A958" i="1"/>
  <c r="R957" i="1"/>
  <c r="N957" i="1"/>
  <c r="J957" i="1"/>
  <c r="I957" i="1"/>
  <c r="H957" i="1"/>
  <c r="G957" i="1"/>
  <c r="F957" i="1"/>
  <c r="E957" i="1"/>
  <c r="D957" i="1"/>
  <c r="C957" i="1"/>
  <c r="B957" i="1"/>
  <c r="A957" i="1"/>
  <c r="R956" i="1"/>
  <c r="N956" i="1"/>
  <c r="J956" i="1"/>
  <c r="I956" i="1"/>
  <c r="H956" i="1"/>
  <c r="G956" i="1"/>
  <c r="F956" i="1"/>
  <c r="E956" i="1"/>
  <c r="D956" i="1"/>
  <c r="C956" i="1"/>
  <c r="B956" i="1"/>
  <c r="A956" i="1"/>
  <c r="R955" i="1"/>
  <c r="N955" i="1"/>
  <c r="J955" i="1"/>
  <c r="I955" i="1"/>
  <c r="H955" i="1"/>
  <c r="G955" i="1"/>
  <c r="F955" i="1"/>
  <c r="E955" i="1"/>
  <c r="D955" i="1"/>
  <c r="C955" i="1"/>
  <c r="B955" i="1"/>
  <c r="A955" i="1"/>
  <c r="R954" i="1"/>
  <c r="N954" i="1"/>
  <c r="J954" i="1"/>
  <c r="I954" i="1"/>
  <c r="H954" i="1"/>
  <c r="G954" i="1"/>
  <c r="F954" i="1"/>
  <c r="E954" i="1"/>
  <c r="D954" i="1"/>
  <c r="C954" i="1"/>
  <c r="B954" i="1"/>
  <c r="A954" i="1"/>
  <c r="R953" i="1"/>
  <c r="N953" i="1"/>
  <c r="J953" i="1"/>
  <c r="I953" i="1"/>
  <c r="H953" i="1"/>
  <c r="G953" i="1"/>
  <c r="F953" i="1"/>
  <c r="E953" i="1"/>
  <c r="D953" i="1"/>
  <c r="C953" i="1"/>
  <c r="B953" i="1"/>
  <c r="A953" i="1"/>
  <c r="R952" i="1"/>
  <c r="N952" i="1"/>
  <c r="J952" i="1"/>
  <c r="I952" i="1"/>
  <c r="H952" i="1"/>
  <c r="G952" i="1"/>
  <c r="F952" i="1"/>
  <c r="E952" i="1"/>
  <c r="D952" i="1"/>
  <c r="C952" i="1"/>
  <c r="B952" i="1"/>
  <c r="A952" i="1"/>
  <c r="R951" i="1"/>
  <c r="N951" i="1"/>
  <c r="J951" i="1"/>
  <c r="I951" i="1"/>
  <c r="H951" i="1"/>
  <c r="G951" i="1"/>
  <c r="F951" i="1"/>
  <c r="E951" i="1"/>
  <c r="D951" i="1"/>
  <c r="C951" i="1"/>
  <c r="B951" i="1"/>
  <c r="A951" i="1"/>
  <c r="R950" i="1"/>
  <c r="N950" i="1"/>
  <c r="J950" i="1"/>
  <c r="I950" i="1"/>
  <c r="H950" i="1"/>
  <c r="G950" i="1"/>
  <c r="F950" i="1"/>
  <c r="E950" i="1"/>
  <c r="D950" i="1"/>
  <c r="C950" i="1"/>
  <c r="B950" i="1"/>
  <c r="A950" i="1"/>
  <c r="R949" i="1"/>
  <c r="N949" i="1"/>
  <c r="J949" i="1"/>
  <c r="I949" i="1"/>
  <c r="H949" i="1"/>
  <c r="G949" i="1"/>
  <c r="F949" i="1"/>
  <c r="E949" i="1"/>
  <c r="D949" i="1"/>
  <c r="C949" i="1"/>
  <c r="B949" i="1"/>
  <c r="A949" i="1"/>
  <c r="R948" i="1"/>
  <c r="N948" i="1"/>
  <c r="J948" i="1"/>
  <c r="I948" i="1"/>
  <c r="H948" i="1"/>
  <c r="G948" i="1"/>
  <c r="F948" i="1"/>
  <c r="E948" i="1"/>
  <c r="D948" i="1"/>
  <c r="C948" i="1"/>
  <c r="B948" i="1"/>
  <c r="A948" i="1"/>
  <c r="R947" i="1"/>
  <c r="N947" i="1"/>
  <c r="J947" i="1"/>
  <c r="I947" i="1"/>
  <c r="H947" i="1"/>
  <c r="G947" i="1"/>
  <c r="F947" i="1"/>
  <c r="E947" i="1"/>
  <c r="D947" i="1"/>
  <c r="C947" i="1"/>
  <c r="B947" i="1"/>
  <c r="A947" i="1"/>
  <c r="R946" i="1"/>
  <c r="N946" i="1"/>
  <c r="J946" i="1"/>
  <c r="I946" i="1"/>
  <c r="H946" i="1"/>
  <c r="G946" i="1"/>
  <c r="F946" i="1"/>
  <c r="E946" i="1"/>
  <c r="D946" i="1"/>
  <c r="C946" i="1"/>
  <c r="B946" i="1"/>
  <c r="A946" i="1"/>
  <c r="R945" i="1"/>
  <c r="Q945" i="1"/>
  <c r="N945" i="1"/>
  <c r="J945" i="1"/>
  <c r="I945" i="1"/>
  <c r="H945" i="1"/>
  <c r="G945" i="1"/>
  <c r="F945" i="1"/>
  <c r="E945" i="1"/>
  <c r="D945" i="1"/>
  <c r="C945" i="1"/>
  <c r="A945" i="1"/>
  <c r="R944" i="1"/>
  <c r="N944" i="1"/>
  <c r="J944" i="1"/>
  <c r="I944" i="1"/>
  <c r="H944" i="1"/>
  <c r="G944" i="1"/>
  <c r="F944" i="1"/>
  <c r="E944" i="1"/>
  <c r="D944" i="1"/>
  <c r="C944" i="1"/>
  <c r="A944" i="1"/>
  <c r="R943" i="1"/>
  <c r="Q943" i="1"/>
  <c r="N943" i="1"/>
  <c r="J943" i="1"/>
  <c r="I943" i="1"/>
  <c r="H943" i="1"/>
  <c r="G943" i="1"/>
  <c r="F943" i="1"/>
  <c r="E943" i="1"/>
  <c r="D943" i="1"/>
  <c r="C943" i="1"/>
  <c r="A943" i="1"/>
  <c r="R942" i="1"/>
  <c r="N942" i="1"/>
  <c r="J942" i="1"/>
  <c r="I942" i="1"/>
  <c r="H942" i="1"/>
  <c r="G942" i="1"/>
  <c r="F942" i="1"/>
  <c r="E942" i="1"/>
  <c r="D942" i="1"/>
  <c r="C942" i="1"/>
  <c r="A942" i="1"/>
  <c r="R941" i="1"/>
  <c r="Q941" i="1"/>
  <c r="N941" i="1"/>
  <c r="J941" i="1"/>
  <c r="I941" i="1"/>
  <c r="H941" i="1"/>
  <c r="G941" i="1"/>
  <c r="F941" i="1"/>
  <c r="E941" i="1"/>
  <c r="D941" i="1"/>
  <c r="C941" i="1"/>
  <c r="A941" i="1"/>
  <c r="R940" i="1"/>
  <c r="N940" i="1"/>
  <c r="J940" i="1"/>
  <c r="I940" i="1"/>
  <c r="H940" i="1"/>
  <c r="G940" i="1"/>
  <c r="F940" i="1"/>
  <c r="E940" i="1"/>
  <c r="D940" i="1"/>
  <c r="C940" i="1"/>
  <c r="A940" i="1"/>
  <c r="R939" i="1"/>
  <c r="Q939" i="1"/>
  <c r="N939" i="1"/>
  <c r="J939" i="1"/>
  <c r="I939" i="1"/>
  <c r="H939" i="1"/>
  <c r="G939" i="1"/>
  <c r="F939" i="1"/>
  <c r="E939" i="1"/>
  <c r="D939" i="1"/>
  <c r="C939" i="1"/>
  <c r="A939" i="1"/>
  <c r="R938" i="1"/>
  <c r="N938" i="1"/>
  <c r="J938" i="1"/>
  <c r="I938" i="1"/>
  <c r="H938" i="1"/>
  <c r="G938" i="1"/>
  <c r="F938" i="1"/>
  <c r="E938" i="1"/>
  <c r="D938" i="1"/>
  <c r="C938" i="1"/>
  <c r="A938" i="1"/>
  <c r="R937" i="1"/>
  <c r="Q937" i="1"/>
  <c r="N937" i="1"/>
  <c r="J937" i="1"/>
  <c r="I937" i="1"/>
  <c r="H937" i="1"/>
  <c r="G937" i="1"/>
  <c r="F937" i="1"/>
  <c r="E937" i="1"/>
  <c r="D937" i="1"/>
  <c r="C937" i="1"/>
  <c r="A937" i="1"/>
  <c r="R936" i="1"/>
  <c r="N936" i="1"/>
  <c r="J936" i="1"/>
  <c r="I936" i="1"/>
  <c r="H936" i="1"/>
  <c r="G936" i="1"/>
  <c r="F936" i="1"/>
  <c r="E936" i="1"/>
  <c r="D936" i="1"/>
  <c r="C936" i="1"/>
  <c r="A936" i="1"/>
  <c r="R935" i="1"/>
  <c r="Q935" i="1"/>
  <c r="N935" i="1"/>
  <c r="J935" i="1"/>
  <c r="I935" i="1"/>
  <c r="H935" i="1"/>
  <c r="G935" i="1"/>
  <c r="F935" i="1"/>
  <c r="E935" i="1"/>
  <c r="D935" i="1"/>
  <c r="C935" i="1"/>
  <c r="A935" i="1"/>
  <c r="R934" i="1"/>
  <c r="N934" i="1"/>
  <c r="J934" i="1"/>
  <c r="I934" i="1"/>
  <c r="H934" i="1"/>
  <c r="G934" i="1"/>
  <c r="F934" i="1"/>
  <c r="E934" i="1"/>
  <c r="D934" i="1"/>
  <c r="C934" i="1"/>
  <c r="A934" i="1"/>
  <c r="R933" i="1"/>
  <c r="Q933" i="1"/>
  <c r="N933" i="1"/>
  <c r="J933" i="1"/>
  <c r="I933" i="1"/>
  <c r="H933" i="1"/>
  <c r="G933" i="1"/>
  <c r="F933" i="1"/>
  <c r="E933" i="1"/>
  <c r="D933" i="1"/>
  <c r="C933" i="1"/>
  <c r="A933" i="1"/>
  <c r="R932" i="1"/>
  <c r="N932" i="1"/>
  <c r="J932" i="1"/>
  <c r="I932" i="1"/>
  <c r="H932" i="1"/>
  <c r="G932" i="1"/>
  <c r="F932" i="1"/>
  <c r="E932" i="1"/>
  <c r="D932" i="1"/>
  <c r="C932" i="1"/>
  <c r="A932" i="1"/>
  <c r="R931" i="1"/>
  <c r="Q931" i="1"/>
  <c r="N931" i="1"/>
  <c r="J931" i="1"/>
  <c r="I931" i="1"/>
  <c r="H931" i="1"/>
  <c r="G931" i="1"/>
  <c r="F931" i="1"/>
  <c r="E931" i="1"/>
  <c r="D931" i="1"/>
  <c r="C931" i="1"/>
  <c r="A931" i="1"/>
  <c r="R930" i="1"/>
  <c r="N930" i="1"/>
  <c r="J930" i="1"/>
  <c r="I930" i="1"/>
  <c r="H930" i="1"/>
  <c r="G930" i="1"/>
  <c r="F930" i="1"/>
  <c r="E930" i="1"/>
  <c r="D930" i="1"/>
  <c r="C930" i="1"/>
  <c r="A930" i="1"/>
  <c r="R929" i="1"/>
  <c r="Q929" i="1"/>
  <c r="N929" i="1"/>
  <c r="J929" i="1"/>
  <c r="I929" i="1"/>
  <c r="H929" i="1"/>
  <c r="G929" i="1"/>
  <c r="F929" i="1"/>
  <c r="E929" i="1"/>
  <c r="D929" i="1"/>
  <c r="C929" i="1"/>
  <c r="A929" i="1"/>
  <c r="R928" i="1"/>
  <c r="N928" i="1"/>
  <c r="J928" i="1"/>
  <c r="I928" i="1"/>
  <c r="H928" i="1"/>
  <c r="G928" i="1"/>
  <c r="F928" i="1"/>
  <c r="E928" i="1"/>
  <c r="D928" i="1"/>
  <c r="C928" i="1"/>
  <c r="A928" i="1"/>
  <c r="R927" i="1"/>
  <c r="Q927" i="1"/>
  <c r="N927" i="1"/>
  <c r="J927" i="1"/>
  <c r="I927" i="1"/>
  <c r="H927" i="1"/>
  <c r="G927" i="1"/>
  <c r="F927" i="1"/>
  <c r="E927" i="1"/>
  <c r="D927" i="1"/>
  <c r="C927" i="1"/>
  <c r="A927" i="1"/>
  <c r="R926" i="1"/>
  <c r="N926" i="1"/>
  <c r="J926" i="1"/>
  <c r="I926" i="1"/>
  <c r="H926" i="1"/>
  <c r="G926" i="1"/>
  <c r="F926" i="1"/>
  <c r="E926" i="1"/>
  <c r="D926" i="1"/>
  <c r="C926" i="1"/>
  <c r="B926" i="1"/>
  <c r="A926" i="1"/>
  <c r="R925" i="1"/>
  <c r="N925" i="1"/>
  <c r="J925" i="1"/>
  <c r="I925" i="1"/>
  <c r="H925" i="1"/>
  <c r="G925" i="1"/>
  <c r="F925" i="1"/>
  <c r="E925" i="1"/>
  <c r="D925" i="1"/>
  <c r="C925" i="1"/>
  <c r="B925" i="1"/>
  <c r="A925" i="1"/>
  <c r="R924" i="1"/>
  <c r="N924" i="1"/>
  <c r="J924" i="1"/>
  <c r="I924" i="1"/>
  <c r="H924" i="1"/>
  <c r="G924" i="1"/>
  <c r="F924" i="1"/>
  <c r="E924" i="1"/>
  <c r="D924" i="1"/>
  <c r="C924" i="1"/>
  <c r="B924" i="1"/>
  <c r="A924" i="1"/>
  <c r="R923" i="1"/>
  <c r="N923" i="1"/>
  <c r="J923" i="1"/>
  <c r="I923" i="1"/>
  <c r="H923" i="1"/>
  <c r="G923" i="1"/>
  <c r="F923" i="1"/>
  <c r="E923" i="1"/>
  <c r="D923" i="1"/>
  <c r="C923" i="1"/>
  <c r="B923" i="1"/>
  <c r="A923" i="1"/>
  <c r="R922" i="1"/>
  <c r="N922" i="1"/>
  <c r="J922" i="1"/>
  <c r="I922" i="1"/>
  <c r="H922" i="1"/>
  <c r="G922" i="1"/>
  <c r="F922" i="1"/>
  <c r="E922" i="1"/>
  <c r="D922" i="1"/>
  <c r="C922" i="1"/>
  <c r="B922" i="1"/>
  <c r="A922" i="1"/>
  <c r="R921" i="1"/>
  <c r="N921" i="1"/>
  <c r="J921" i="1"/>
  <c r="I921" i="1"/>
  <c r="H921" i="1"/>
  <c r="G921" i="1"/>
  <c r="F921" i="1"/>
  <c r="E921" i="1"/>
  <c r="D921" i="1"/>
  <c r="C921" i="1"/>
  <c r="B921" i="1"/>
  <c r="A921" i="1"/>
  <c r="R920" i="1"/>
  <c r="Q920" i="1"/>
  <c r="N920" i="1"/>
  <c r="J920" i="1"/>
  <c r="I920" i="1"/>
  <c r="H920" i="1"/>
  <c r="G920" i="1"/>
  <c r="F920" i="1"/>
  <c r="E920" i="1"/>
  <c r="D920" i="1"/>
  <c r="C920" i="1"/>
  <c r="A920" i="1"/>
  <c r="R919" i="1"/>
  <c r="N919" i="1"/>
  <c r="J919" i="1"/>
  <c r="I919" i="1"/>
  <c r="H919" i="1"/>
  <c r="G919" i="1"/>
  <c r="F919" i="1"/>
  <c r="E919" i="1"/>
  <c r="D919" i="1"/>
  <c r="C919" i="1"/>
  <c r="A919" i="1"/>
  <c r="R918" i="1"/>
  <c r="Q918" i="1"/>
  <c r="N918" i="1"/>
  <c r="J918" i="1"/>
  <c r="I918" i="1"/>
  <c r="H918" i="1"/>
  <c r="G918" i="1"/>
  <c r="F918" i="1"/>
  <c r="E918" i="1"/>
  <c r="D918" i="1"/>
  <c r="C918" i="1"/>
  <c r="A918" i="1"/>
  <c r="R917" i="1"/>
  <c r="N917" i="1"/>
  <c r="J917" i="1"/>
  <c r="I917" i="1"/>
  <c r="H917" i="1"/>
  <c r="G917" i="1"/>
  <c r="F917" i="1"/>
  <c r="E917" i="1"/>
  <c r="D917" i="1"/>
  <c r="C917" i="1"/>
  <c r="A917" i="1"/>
  <c r="R916" i="1"/>
  <c r="Q916" i="1"/>
  <c r="N916" i="1"/>
  <c r="J916" i="1"/>
  <c r="I916" i="1"/>
  <c r="H916" i="1"/>
  <c r="G916" i="1"/>
  <c r="F916" i="1"/>
  <c r="E916" i="1"/>
  <c r="D916" i="1"/>
  <c r="C916" i="1"/>
  <c r="A916" i="1"/>
  <c r="R915" i="1"/>
  <c r="N915" i="1"/>
  <c r="J915" i="1"/>
  <c r="I915" i="1"/>
  <c r="H915" i="1"/>
  <c r="G915" i="1"/>
  <c r="F915" i="1"/>
  <c r="E915" i="1"/>
  <c r="D915" i="1"/>
  <c r="C915" i="1"/>
  <c r="A915" i="1"/>
  <c r="R914" i="1"/>
  <c r="Q914" i="1"/>
  <c r="N914" i="1"/>
  <c r="J914" i="1"/>
  <c r="I914" i="1"/>
  <c r="H914" i="1"/>
  <c r="G914" i="1"/>
  <c r="F914" i="1"/>
  <c r="E914" i="1"/>
  <c r="D914" i="1"/>
  <c r="C914" i="1"/>
  <c r="A914" i="1"/>
  <c r="R913" i="1"/>
  <c r="N913" i="1"/>
  <c r="J913" i="1"/>
  <c r="I913" i="1"/>
  <c r="H913" i="1"/>
  <c r="G913" i="1"/>
  <c r="F913" i="1"/>
  <c r="E913" i="1"/>
  <c r="D913" i="1"/>
  <c r="C913" i="1"/>
  <c r="A913" i="1"/>
  <c r="R912" i="1"/>
  <c r="Q912" i="1"/>
  <c r="N912" i="1"/>
  <c r="J912" i="1"/>
  <c r="I912" i="1"/>
  <c r="H912" i="1"/>
  <c r="G912" i="1"/>
  <c r="F912" i="1"/>
  <c r="E912" i="1"/>
  <c r="D912" i="1"/>
  <c r="C912" i="1"/>
  <c r="A912" i="1"/>
  <c r="R911" i="1"/>
  <c r="Q911" i="1"/>
  <c r="N911" i="1"/>
  <c r="J911" i="1"/>
  <c r="I911" i="1"/>
  <c r="H911" i="1"/>
  <c r="G911" i="1"/>
  <c r="F911" i="1"/>
  <c r="E911" i="1"/>
  <c r="D911" i="1"/>
  <c r="C911" i="1"/>
  <c r="A911" i="1"/>
  <c r="R910" i="1"/>
  <c r="Q910" i="1"/>
  <c r="N910" i="1"/>
  <c r="J910" i="1"/>
  <c r="I910" i="1"/>
  <c r="H910" i="1"/>
  <c r="G910" i="1"/>
  <c r="F910" i="1"/>
  <c r="E910" i="1"/>
  <c r="D910" i="1"/>
  <c r="C910" i="1"/>
  <c r="A910" i="1"/>
  <c r="R909" i="1"/>
  <c r="N909" i="1"/>
  <c r="J909" i="1"/>
  <c r="I909" i="1"/>
  <c r="H909" i="1"/>
  <c r="G909" i="1"/>
  <c r="F909" i="1"/>
  <c r="E909" i="1"/>
  <c r="D909" i="1"/>
  <c r="C909" i="1"/>
  <c r="A909" i="1"/>
  <c r="R908" i="1"/>
  <c r="Q908" i="1"/>
  <c r="N908" i="1"/>
  <c r="J908" i="1"/>
  <c r="I908" i="1"/>
  <c r="H908" i="1"/>
  <c r="G908" i="1"/>
  <c r="F908" i="1"/>
  <c r="E908" i="1"/>
  <c r="D908" i="1"/>
  <c r="C908" i="1"/>
  <c r="A908" i="1"/>
  <c r="R907" i="1"/>
  <c r="Q907" i="1"/>
  <c r="N907" i="1"/>
  <c r="J907" i="1"/>
  <c r="I907" i="1"/>
  <c r="H907" i="1"/>
  <c r="G907" i="1"/>
  <c r="F907" i="1"/>
  <c r="E907" i="1"/>
  <c r="D907" i="1"/>
  <c r="C907" i="1"/>
  <c r="A907" i="1"/>
  <c r="R906" i="1"/>
  <c r="Q906" i="1"/>
  <c r="N906" i="1"/>
  <c r="J906" i="1"/>
  <c r="I906" i="1"/>
  <c r="H906" i="1"/>
  <c r="G906" i="1"/>
  <c r="F906" i="1"/>
  <c r="E906" i="1"/>
  <c r="D906" i="1"/>
  <c r="C906" i="1"/>
  <c r="A906" i="1"/>
  <c r="R905" i="1"/>
  <c r="Q905" i="1"/>
  <c r="N905" i="1"/>
  <c r="J905" i="1"/>
  <c r="I905" i="1"/>
  <c r="H905" i="1"/>
  <c r="G905" i="1"/>
  <c r="F905" i="1"/>
  <c r="E905" i="1"/>
  <c r="D905" i="1"/>
  <c r="C905" i="1"/>
  <c r="A905" i="1"/>
  <c r="R904" i="1"/>
  <c r="Q904" i="1"/>
  <c r="N904" i="1"/>
  <c r="J904" i="1"/>
  <c r="I904" i="1"/>
  <c r="H904" i="1"/>
  <c r="G904" i="1"/>
  <c r="F904" i="1"/>
  <c r="E904" i="1"/>
  <c r="D904" i="1"/>
  <c r="C904" i="1"/>
  <c r="A904" i="1"/>
  <c r="R903" i="1"/>
  <c r="Q903" i="1"/>
  <c r="N903" i="1"/>
  <c r="J903" i="1"/>
  <c r="I903" i="1"/>
  <c r="H903" i="1"/>
  <c r="G903" i="1"/>
  <c r="F903" i="1"/>
  <c r="E903" i="1"/>
  <c r="D903" i="1"/>
  <c r="C903" i="1"/>
  <c r="A903" i="1"/>
  <c r="R902" i="1"/>
  <c r="Q902" i="1"/>
  <c r="N902" i="1"/>
  <c r="J902" i="1"/>
  <c r="I902" i="1"/>
  <c r="H902" i="1"/>
  <c r="G902" i="1"/>
  <c r="F902" i="1"/>
  <c r="E902" i="1"/>
  <c r="D902" i="1"/>
  <c r="C902" i="1"/>
  <c r="A902" i="1"/>
  <c r="R901" i="1"/>
  <c r="Q901" i="1"/>
  <c r="N901" i="1"/>
  <c r="J901" i="1"/>
  <c r="I901" i="1"/>
  <c r="H901" i="1"/>
  <c r="G901" i="1"/>
  <c r="F901" i="1"/>
  <c r="E901" i="1"/>
  <c r="D901" i="1"/>
  <c r="C901" i="1"/>
  <c r="A901" i="1"/>
  <c r="R900" i="1"/>
  <c r="Q900" i="1"/>
  <c r="N900" i="1"/>
  <c r="J900" i="1"/>
  <c r="I900" i="1"/>
  <c r="H900" i="1"/>
  <c r="G900" i="1"/>
  <c r="F900" i="1"/>
  <c r="E900" i="1"/>
  <c r="D900" i="1"/>
  <c r="C900" i="1"/>
  <c r="A900" i="1"/>
  <c r="R899" i="1"/>
  <c r="Q899" i="1"/>
  <c r="N899" i="1"/>
  <c r="J899" i="1"/>
  <c r="I899" i="1"/>
  <c r="H899" i="1"/>
  <c r="G899" i="1"/>
  <c r="F899" i="1"/>
  <c r="E899" i="1"/>
  <c r="D899" i="1"/>
  <c r="C899" i="1"/>
  <c r="A899" i="1"/>
  <c r="R898" i="1"/>
  <c r="Q898" i="1"/>
  <c r="N898" i="1"/>
  <c r="J898" i="1"/>
  <c r="I898" i="1"/>
  <c r="H898" i="1"/>
  <c r="G898" i="1"/>
  <c r="F898" i="1"/>
  <c r="E898" i="1"/>
  <c r="D898" i="1"/>
  <c r="C898" i="1"/>
  <c r="A898" i="1"/>
  <c r="R897" i="1"/>
  <c r="Q897" i="1"/>
  <c r="N897" i="1"/>
  <c r="J897" i="1"/>
  <c r="I897" i="1"/>
  <c r="H897" i="1"/>
  <c r="G897" i="1"/>
  <c r="F897" i="1"/>
  <c r="E897" i="1"/>
  <c r="D897" i="1"/>
  <c r="C897" i="1"/>
  <c r="A897" i="1"/>
  <c r="R896" i="1"/>
  <c r="Q896" i="1"/>
  <c r="N896" i="1"/>
  <c r="J896" i="1"/>
  <c r="I896" i="1"/>
  <c r="H896" i="1"/>
  <c r="G896" i="1"/>
  <c r="F896" i="1"/>
  <c r="E896" i="1"/>
  <c r="D896" i="1"/>
  <c r="C896" i="1"/>
  <c r="A896" i="1"/>
  <c r="R895" i="1"/>
  <c r="Q895" i="1"/>
  <c r="N895" i="1"/>
  <c r="J895" i="1"/>
  <c r="I895" i="1"/>
  <c r="H895" i="1"/>
  <c r="G895" i="1"/>
  <c r="F895" i="1"/>
  <c r="E895" i="1"/>
  <c r="D895" i="1"/>
  <c r="C895" i="1"/>
  <c r="A895" i="1"/>
  <c r="R894" i="1"/>
  <c r="Q894" i="1"/>
  <c r="N894" i="1"/>
  <c r="J894" i="1"/>
  <c r="I894" i="1"/>
  <c r="H894" i="1"/>
  <c r="G894" i="1"/>
  <c r="F894" i="1"/>
  <c r="E894" i="1"/>
  <c r="D894" i="1"/>
  <c r="C894" i="1"/>
  <c r="A894" i="1"/>
  <c r="R893" i="1"/>
  <c r="Q893" i="1"/>
  <c r="N893" i="1"/>
  <c r="J893" i="1"/>
  <c r="I893" i="1"/>
  <c r="H893" i="1"/>
  <c r="G893" i="1"/>
  <c r="F893" i="1"/>
  <c r="E893" i="1"/>
  <c r="D893" i="1"/>
  <c r="C893" i="1"/>
  <c r="A893" i="1"/>
  <c r="R892" i="1"/>
  <c r="Q892" i="1"/>
  <c r="N892" i="1"/>
  <c r="J892" i="1"/>
  <c r="I892" i="1"/>
  <c r="H892" i="1"/>
  <c r="G892" i="1"/>
  <c r="F892" i="1"/>
  <c r="E892" i="1"/>
  <c r="D892" i="1"/>
  <c r="C892" i="1"/>
  <c r="A892" i="1"/>
  <c r="R891" i="1"/>
  <c r="Q891" i="1"/>
  <c r="N891" i="1"/>
  <c r="J891" i="1"/>
  <c r="I891" i="1"/>
  <c r="H891" i="1"/>
  <c r="G891" i="1"/>
  <c r="F891" i="1"/>
  <c r="E891" i="1"/>
  <c r="D891" i="1"/>
  <c r="C891" i="1"/>
  <c r="A891" i="1"/>
  <c r="R890" i="1"/>
  <c r="Q890" i="1"/>
  <c r="N890" i="1"/>
  <c r="J890" i="1"/>
  <c r="I890" i="1"/>
  <c r="H890" i="1"/>
  <c r="G890" i="1"/>
  <c r="F890" i="1"/>
  <c r="E890" i="1"/>
  <c r="D890" i="1"/>
  <c r="C890" i="1"/>
  <c r="A890" i="1"/>
  <c r="R889" i="1"/>
  <c r="Q889" i="1"/>
  <c r="N889" i="1"/>
  <c r="J889" i="1"/>
  <c r="I889" i="1"/>
  <c r="H889" i="1"/>
  <c r="G889" i="1"/>
  <c r="F889" i="1"/>
  <c r="E889" i="1"/>
  <c r="D889" i="1"/>
  <c r="C889" i="1"/>
  <c r="A889" i="1"/>
  <c r="R888" i="1"/>
  <c r="Q888" i="1"/>
  <c r="N888" i="1"/>
  <c r="J888" i="1"/>
  <c r="I888" i="1"/>
  <c r="H888" i="1"/>
  <c r="G888" i="1"/>
  <c r="F888" i="1"/>
  <c r="E888" i="1"/>
  <c r="D888" i="1"/>
  <c r="C888" i="1"/>
  <c r="A888" i="1"/>
  <c r="R887" i="1"/>
  <c r="Q887" i="1"/>
  <c r="N887" i="1"/>
  <c r="J887" i="1"/>
  <c r="I887" i="1"/>
  <c r="H887" i="1"/>
  <c r="G887" i="1"/>
  <c r="F887" i="1"/>
  <c r="E887" i="1"/>
  <c r="D887" i="1"/>
  <c r="C887" i="1"/>
  <c r="A887" i="1"/>
  <c r="R886" i="1"/>
  <c r="Q886" i="1"/>
  <c r="N886" i="1"/>
  <c r="J886" i="1"/>
  <c r="I886" i="1"/>
  <c r="H886" i="1"/>
  <c r="G886" i="1"/>
  <c r="F886" i="1"/>
  <c r="E886" i="1"/>
  <c r="D886" i="1"/>
  <c r="C886" i="1"/>
  <c r="A886" i="1"/>
  <c r="R885" i="1"/>
  <c r="Q885" i="1"/>
  <c r="N885" i="1"/>
  <c r="J885" i="1"/>
  <c r="I885" i="1"/>
  <c r="H885" i="1"/>
  <c r="G885" i="1"/>
  <c r="F885" i="1"/>
  <c r="E885" i="1"/>
  <c r="D885" i="1"/>
  <c r="C885" i="1"/>
  <c r="A885" i="1"/>
  <c r="R884" i="1"/>
  <c r="Q884" i="1"/>
  <c r="N884" i="1"/>
  <c r="J884" i="1"/>
  <c r="I884" i="1"/>
  <c r="H884" i="1"/>
  <c r="G884" i="1"/>
  <c r="F884" i="1"/>
  <c r="E884" i="1"/>
  <c r="D884" i="1"/>
  <c r="C884" i="1"/>
  <c r="A884" i="1"/>
  <c r="R883" i="1"/>
  <c r="Q883" i="1"/>
  <c r="N883" i="1"/>
  <c r="J883" i="1"/>
  <c r="I883" i="1"/>
  <c r="H883" i="1"/>
  <c r="G883" i="1"/>
  <c r="F883" i="1"/>
  <c r="E883" i="1"/>
  <c r="D883" i="1"/>
  <c r="C883" i="1"/>
  <c r="A883" i="1"/>
  <c r="R882" i="1"/>
  <c r="Q882" i="1"/>
  <c r="N882" i="1"/>
  <c r="J882" i="1"/>
  <c r="I882" i="1"/>
  <c r="H882" i="1"/>
  <c r="G882" i="1"/>
  <c r="F882" i="1"/>
  <c r="E882" i="1"/>
  <c r="D882" i="1"/>
  <c r="C882" i="1"/>
  <c r="A882" i="1"/>
  <c r="R881" i="1"/>
  <c r="Q881" i="1"/>
  <c r="N881" i="1"/>
  <c r="J881" i="1"/>
  <c r="I881" i="1"/>
  <c r="H881" i="1"/>
  <c r="G881" i="1"/>
  <c r="F881" i="1"/>
  <c r="E881" i="1"/>
  <c r="D881" i="1"/>
  <c r="C881" i="1"/>
  <c r="A881" i="1"/>
  <c r="R880" i="1"/>
  <c r="Q880" i="1"/>
  <c r="N880" i="1"/>
  <c r="J880" i="1"/>
  <c r="I880" i="1"/>
  <c r="H880" i="1"/>
  <c r="G880" i="1"/>
  <c r="F880" i="1"/>
  <c r="E880" i="1"/>
  <c r="D880" i="1"/>
  <c r="C880" i="1"/>
  <c r="A880" i="1"/>
  <c r="R879" i="1"/>
  <c r="Q879" i="1"/>
  <c r="N879" i="1"/>
  <c r="J879" i="1"/>
  <c r="I879" i="1"/>
  <c r="H879" i="1"/>
  <c r="G879" i="1"/>
  <c r="F879" i="1"/>
  <c r="E879" i="1"/>
  <c r="D879" i="1"/>
  <c r="C879" i="1"/>
  <c r="A879" i="1"/>
  <c r="R878" i="1"/>
  <c r="Q878" i="1"/>
  <c r="N878" i="1"/>
  <c r="J878" i="1"/>
  <c r="I878" i="1"/>
  <c r="H878" i="1"/>
  <c r="G878" i="1"/>
  <c r="F878" i="1"/>
  <c r="E878" i="1"/>
  <c r="D878" i="1"/>
  <c r="C878" i="1"/>
  <c r="A878" i="1"/>
  <c r="R877" i="1"/>
  <c r="Q877" i="1"/>
  <c r="N877" i="1"/>
  <c r="J877" i="1"/>
  <c r="I877" i="1"/>
  <c r="H877" i="1"/>
  <c r="G877" i="1"/>
  <c r="F877" i="1"/>
  <c r="E877" i="1"/>
  <c r="D877" i="1"/>
  <c r="C877" i="1"/>
  <c r="A877" i="1"/>
  <c r="R876" i="1"/>
  <c r="Q876" i="1"/>
  <c r="N876" i="1"/>
  <c r="J876" i="1"/>
  <c r="I876" i="1"/>
  <c r="H876" i="1"/>
  <c r="G876" i="1"/>
  <c r="F876" i="1"/>
  <c r="E876" i="1"/>
  <c r="D876" i="1"/>
  <c r="C876" i="1"/>
  <c r="A876" i="1"/>
  <c r="R875" i="1"/>
  <c r="Q875" i="1"/>
  <c r="N875" i="1"/>
  <c r="J875" i="1"/>
  <c r="I875" i="1"/>
  <c r="H875" i="1"/>
  <c r="G875" i="1"/>
  <c r="F875" i="1"/>
  <c r="E875" i="1"/>
  <c r="D875" i="1"/>
  <c r="C875" i="1"/>
  <c r="A875" i="1"/>
  <c r="R874" i="1"/>
  <c r="Q874" i="1"/>
  <c r="N874" i="1"/>
  <c r="J874" i="1"/>
  <c r="I874" i="1"/>
  <c r="H874" i="1"/>
  <c r="G874" i="1"/>
  <c r="F874" i="1"/>
  <c r="E874" i="1"/>
  <c r="D874" i="1"/>
  <c r="C874" i="1"/>
  <c r="A874" i="1"/>
  <c r="R873" i="1"/>
  <c r="Q873" i="1"/>
  <c r="N873" i="1"/>
  <c r="J873" i="1"/>
  <c r="I873" i="1"/>
  <c r="H873" i="1"/>
  <c r="G873" i="1"/>
  <c r="F873" i="1"/>
  <c r="E873" i="1"/>
  <c r="D873" i="1"/>
  <c r="C873" i="1"/>
  <c r="A873" i="1"/>
  <c r="R872" i="1"/>
  <c r="Q872" i="1"/>
  <c r="N872" i="1"/>
  <c r="J872" i="1"/>
  <c r="I872" i="1"/>
  <c r="H872" i="1"/>
  <c r="G872" i="1"/>
  <c r="F872" i="1"/>
  <c r="E872" i="1"/>
  <c r="D872" i="1"/>
  <c r="C872" i="1"/>
  <c r="A872" i="1"/>
  <c r="R871" i="1"/>
  <c r="Q871" i="1"/>
  <c r="N871" i="1"/>
  <c r="J871" i="1"/>
  <c r="I871" i="1"/>
  <c r="H871" i="1"/>
  <c r="G871" i="1"/>
  <c r="F871" i="1"/>
  <c r="E871" i="1"/>
  <c r="D871" i="1"/>
  <c r="C871" i="1"/>
  <c r="A871" i="1"/>
  <c r="R870" i="1"/>
  <c r="Q870" i="1"/>
  <c r="N870" i="1"/>
  <c r="J870" i="1"/>
  <c r="I870" i="1"/>
  <c r="H870" i="1"/>
  <c r="G870" i="1"/>
  <c r="F870" i="1"/>
  <c r="E870" i="1"/>
  <c r="D870" i="1"/>
  <c r="C870" i="1"/>
  <c r="A870" i="1"/>
  <c r="R869" i="1"/>
  <c r="Q869" i="1"/>
  <c r="N869" i="1"/>
  <c r="J869" i="1"/>
  <c r="I869" i="1"/>
  <c r="H869" i="1"/>
  <c r="G869" i="1"/>
  <c r="F869" i="1"/>
  <c r="E869" i="1"/>
  <c r="D869" i="1"/>
  <c r="C869" i="1"/>
  <c r="A869" i="1"/>
  <c r="R868" i="1"/>
  <c r="Q868" i="1"/>
  <c r="N868" i="1"/>
  <c r="J868" i="1"/>
  <c r="I868" i="1"/>
  <c r="H868" i="1"/>
  <c r="G868" i="1"/>
  <c r="F868" i="1"/>
  <c r="E868" i="1"/>
  <c r="D868" i="1"/>
  <c r="C868" i="1"/>
  <c r="A868" i="1"/>
  <c r="R867" i="1"/>
  <c r="Q867" i="1"/>
  <c r="N867" i="1"/>
  <c r="J867" i="1"/>
  <c r="I867" i="1"/>
  <c r="H867" i="1"/>
  <c r="G867" i="1"/>
  <c r="F867" i="1"/>
  <c r="E867" i="1"/>
  <c r="D867" i="1"/>
  <c r="C867" i="1"/>
  <c r="A867" i="1"/>
  <c r="R866" i="1"/>
  <c r="Q866" i="1"/>
  <c r="N866" i="1"/>
  <c r="J866" i="1"/>
  <c r="I866" i="1"/>
  <c r="H866" i="1"/>
  <c r="G866" i="1"/>
  <c r="F866" i="1"/>
  <c r="E866" i="1"/>
  <c r="D866" i="1"/>
  <c r="C866" i="1"/>
  <c r="A866" i="1"/>
  <c r="R865" i="1"/>
  <c r="Q865" i="1"/>
  <c r="N865" i="1"/>
  <c r="J865" i="1"/>
  <c r="I865" i="1"/>
  <c r="H865" i="1"/>
  <c r="G865" i="1"/>
  <c r="F865" i="1"/>
  <c r="E865" i="1"/>
  <c r="D865" i="1"/>
  <c r="C865" i="1"/>
  <c r="A865" i="1"/>
  <c r="R864" i="1"/>
  <c r="Q864" i="1"/>
  <c r="N864" i="1"/>
  <c r="J864" i="1"/>
  <c r="I864" i="1"/>
  <c r="H864" i="1"/>
  <c r="G864" i="1"/>
  <c r="F864" i="1"/>
  <c r="E864" i="1"/>
  <c r="D864" i="1"/>
  <c r="C864" i="1"/>
  <c r="A864" i="1"/>
  <c r="R863" i="1"/>
  <c r="N863" i="1"/>
  <c r="J863" i="1"/>
  <c r="I863" i="1"/>
  <c r="H863" i="1"/>
  <c r="G863" i="1"/>
  <c r="F863" i="1"/>
  <c r="E863" i="1"/>
  <c r="D863" i="1"/>
  <c r="C863" i="1"/>
  <c r="A863" i="1"/>
  <c r="R862" i="1"/>
  <c r="Q862" i="1"/>
  <c r="N862" i="1"/>
  <c r="J862" i="1"/>
  <c r="I862" i="1"/>
  <c r="H862" i="1"/>
  <c r="G862" i="1"/>
  <c r="F862" i="1"/>
  <c r="E862" i="1"/>
  <c r="D862" i="1"/>
  <c r="C862" i="1"/>
  <c r="A862" i="1"/>
  <c r="R861" i="1"/>
  <c r="Q861" i="1"/>
  <c r="N861" i="1"/>
  <c r="J861" i="1"/>
  <c r="I861" i="1"/>
  <c r="H861" i="1"/>
  <c r="G861" i="1"/>
  <c r="F861" i="1"/>
  <c r="E861" i="1"/>
  <c r="D861" i="1"/>
  <c r="C861" i="1"/>
  <c r="A861" i="1"/>
  <c r="R860" i="1"/>
  <c r="Q860" i="1"/>
  <c r="N860" i="1"/>
  <c r="J860" i="1"/>
  <c r="I860" i="1"/>
  <c r="H860" i="1"/>
  <c r="G860" i="1"/>
  <c r="F860" i="1"/>
  <c r="E860" i="1"/>
  <c r="D860" i="1"/>
  <c r="C860" i="1"/>
  <c r="A860" i="1"/>
  <c r="R859" i="1"/>
  <c r="Q859" i="1"/>
  <c r="N859" i="1"/>
  <c r="J859" i="1"/>
  <c r="I859" i="1"/>
  <c r="H859" i="1"/>
  <c r="G859" i="1"/>
  <c r="F859" i="1"/>
  <c r="E859" i="1"/>
  <c r="D859" i="1"/>
  <c r="C859" i="1"/>
  <c r="A859" i="1"/>
  <c r="R858" i="1"/>
  <c r="Q858" i="1"/>
  <c r="N858" i="1"/>
  <c r="J858" i="1"/>
  <c r="I858" i="1"/>
  <c r="H858" i="1"/>
  <c r="G858" i="1"/>
  <c r="F858" i="1"/>
  <c r="E858" i="1"/>
  <c r="D858" i="1"/>
  <c r="C858" i="1"/>
  <c r="A858" i="1"/>
  <c r="R857" i="1"/>
  <c r="N857" i="1"/>
  <c r="J857" i="1"/>
  <c r="I857" i="1"/>
  <c r="H857" i="1"/>
  <c r="G857" i="1"/>
  <c r="F857" i="1"/>
  <c r="E857" i="1"/>
  <c r="D857" i="1"/>
  <c r="C857" i="1"/>
  <c r="A857" i="1"/>
  <c r="R856" i="1"/>
  <c r="Q856" i="1"/>
  <c r="N856" i="1"/>
  <c r="J856" i="1"/>
  <c r="I856" i="1"/>
  <c r="H856" i="1"/>
  <c r="G856" i="1"/>
  <c r="F856" i="1"/>
  <c r="E856" i="1"/>
  <c r="D856" i="1"/>
  <c r="C856" i="1"/>
  <c r="A856" i="1"/>
  <c r="R855" i="1"/>
  <c r="Q855" i="1"/>
  <c r="N855" i="1"/>
  <c r="J855" i="1"/>
  <c r="I855" i="1"/>
  <c r="H855" i="1"/>
  <c r="G855" i="1"/>
  <c r="F855" i="1"/>
  <c r="E855" i="1"/>
  <c r="D855" i="1"/>
  <c r="C855" i="1"/>
  <c r="A855" i="1"/>
  <c r="R854" i="1"/>
  <c r="Q854" i="1"/>
  <c r="N854" i="1"/>
  <c r="J854" i="1"/>
  <c r="I854" i="1"/>
  <c r="H854" i="1"/>
  <c r="G854" i="1"/>
  <c r="F854" i="1"/>
  <c r="E854" i="1"/>
  <c r="D854" i="1"/>
  <c r="C854" i="1"/>
  <c r="A854" i="1"/>
  <c r="R853" i="1"/>
  <c r="Q853" i="1"/>
  <c r="N853" i="1"/>
  <c r="J853" i="1"/>
  <c r="I853" i="1"/>
  <c r="H853" i="1"/>
  <c r="G853" i="1"/>
  <c r="F853" i="1"/>
  <c r="E853" i="1"/>
  <c r="D853" i="1"/>
  <c r="C853" i="1"/>
  <c r="A853" i="1"/>
  <c r="R852" i="1"/>
  <c r="Q852" i="1"/>
  <c r="N852" i="1"/>
  <c r="J852" i="1"/>
  <c r="I852" i="1"/>
  <c r="H852" i="1"/>
  <c r="G852" i="1"/>
  <c r="F852" i="1"/>
  <c r="E852" i="1"/>
  <c r="D852" i="1"/>
  <c r="C852" i="1"/>
  <c r="A852" i="1"/>
  <c r="R851" i="1"/>
  <c r="Q851" i="1"/>
  <c r="N851" i="1"/>
  <c r="J851" i="1"/>
  <c r="I851" i="1"/>
  <c r="H851" i="1"/>
  <c r="G851" i="1"/>
  <c r="F851" i="1"/>
  <c r="E851" i="1"/>
  <c r="D851" i="1"/>
  <c r="C851" i="1"/>
  <c r="A851" i="1"/>
  <c r="R850" i="1"/>
  <c r="Q850" i="1"/>
  <c r="N850" i="1"/>
  <c r="J850" i="1"/>
  <c r="I850" i="1"/>
  <c r="H850" i="1"/>
  <c r="G850" i="1"/>
  <c r="F850" i="1"/>
  <c r="E850" i="1"/>
  <c r="D850" i="1"/>
  <c r="C850" i="1"/>
  <c r="A850" i="1"/>
  <c r="R849" i="1"/>
  <c r="Q849" i="1"/>
  <c r="N849" i="1"/>
  <c r="J849" i="1"/>
  <c r="I849" i="1"/>
  <c r="H849" i="1"/>
  <c r="G849" i="1"/>
  <c r="F849" i="1"/>
  <c r="E849" i="1"/>
  <c r="D849" i="1"/>
  <c r="C849" i="1"/>
  <c r="A849" i="1"/>
  <c r="R848" i="1"/>
  <c r="Q848" i="1"/>
  <c r="N848" i="1"/>
  <c r="J848" i="1"/>
  <c r="I848" i="1"/>
  <c r="H848" i="1"/>
  <c r="G848" i="1"/>
  <c r="F848" i="1"/>
  <c r="E848" i="1"/>
  <c r="D848" i="1"/>
  <c r="C848" i="1"/>
  <c r="A848" i="1"/>
  <c r="R847" i="1"/>
  <c r="Q847" i="1"/>
  <c r="N847" i="1"/>
  <c r="J847" i="1"/>
  <c r="I847" i="1"/>
  <c r="H847" i="1"/>
  <c r="G847" i="1"/>
  <c r="F847" i="1"/>
  <c r="E847" i="1"/>
  <c r="D847" i="1"/>
  <c r="C847" i="1"/>
  <c r="A847" i="1"/>
  <c r="R846" i="1"/>
  <c r="Q846" i="1"/>
  <c r="N846" i="1"/>
  <c r="J846" i="1"/>
  <c r="I846" i="1"/>
  <c r="H846" i="1"/>
  <c r="G846" i="1"/>
  <c r="F846" i="1"/>
  <c r="E846" i="1"/>
  <c r="D846" i="1"/>
  <c r="C846" i="1"/>
  <c r="A846" i="1"/>
  <c r="R845" i="1"/>
  <c r="N845" i="1"/>
  <c r="J845" i="1"/>
  <c r="I845" i="1"/>
  <c r="H845" i="1"/>
  <c r="G845" i="1"/>
  <c r="F845" i="1"/>
  <c r="E845" i="1"/>
  <c r="D845" i="1"/>
  <c r="C845" i="1"/>
  <c r="B845" i="1"/>
  <c r="A845" i="1"/>
  <c r="R844" i="1"/>
  <c r="Q844" i="1"/>
  <c r="N844" i="1"/>
  <c r="J844" i="1"/>
  <c r="I844" i="1"/>
  <c r="H844" i="1"/>
  <c r="G844" i="1"/>
  <c r="F844" i="1"/>
  <c r="E844" i="1"/>
  <c r="D844" i="1"/>
  <c r="C844" i="1"/>
  <c r="B844" i="1"/>
  <c r="A844" i="1"/>
  <c r="R843" i="1"/>
  <c r="N843" i="1"/>
  <c r="J843" i="1"/>
  <c r="I843" i="1"/>
  <c r="H843" i="1"/>
  <c r="G843" i="1"/>
  <c r="F843" i="1"/>
  <c r="E843" i="1"/>
  <c r="D843" i="1"/>
  <c r="C843" i="1"/>
  <c r="B843" i="1"/>
  <c r="A843" i="1"/>
  <c r="R842" i="1"/>
  <c r="Q842" i="1"/>
  <c r="N842" i="1"/>
  <c r="J842" i="1"/>
  <c r="I842" i="1"/>
  <c r="H842" i="1"/>
  <c r="G842" i="1"/>
  <c r="F842" i="1"/>
  <c r="E842" i="1"/>
  <c r="D842" i="1"/>
  <c r="C842" i="1"/>
  <c r="B842" i="1"/>
  <c r="A842" i="1"/>
  <c r="R841" i="1"/>
  <c r="N841" i="1"/>
  <c r="J841" i="1"/>
  <c r="I841" i="1"/>
  <c r="H841" i="1"/>
  <c r="G841" i="1"/>
  <c r="F841" i="1"/>
  <c r="E841" i="1"/>
  <c r="D841" i="1"/>
  <c r="C841" i="1"/>
  <c r="B841" i="1"/>
  <c r="A841" i="1"/>
  <c r="R840" i="1"/>
  <c r="Q840" i="1"/>
  <c r="N840" i="1"/>
  <c r="J840" i="1"/>
  <c r="I840" i="1"/>
  <c r="H840" i="1"/>
  <c r="G840" i="1"/>
  <c r="F840" i="1"/>
  <c r="E840" i="1"/>
  <c r="D840" i="1"/>
  <c r="C840" i="1"/>
  <c r="A840" i="1"/>
  <c r="R839" i="1"/>
  <c r="N839" i="1"/>
  <c r="J839" i="1"/>
  <c r="I839" i="1"/>
  <c r="H839" i="1"/>
  <c r="G839" i="1"/>
  <c r="F839" i="1"/>
  <c r="E839" i="1"/>
  <c r="D839" i="1"/>
  <c r="C839" i="1"/>
  <c r="A839" i="1"/>
  <c r="R838" i="1"/>
  <c r="Q838" i="1"/>
  <c r="N838" i="1"/>
  <c r="J838" i="1"/>
  <c r="I838" i="1"/>
  <c r="H838" i="1"/>
  <c r="G838" i="1"/>
  <c r="F838" i="1"/>
  <c r="E838" i="1"/>
  <c r="D838" i="1"/>
  <c r="C838" i="1"/>
  <c r="A838" i="1"/>
  <c r="R837" i="1"/>
  <c r="N837" i="1"/>
  <c r="J837" i="1"/>
  <c r="I837" i="1"/>
  <c r="H837" i="1"/>
  <c r="G837" i="1"/>
  <c r="F837" i="1"/>
  <c r="E837" i="1"/>
  <c r="D837" i="1"/>
  <c r="C837" i="1"/>
  <c r="A837" i="1"/>
  <c r="R836" i="1"/>
  <c r="Q836" i="1"/>
  <c r="N836" i="1"/>
  <c r="J836" i="1"/>
  <c r="I836" i="1"/>
  <c r="H836" i="1"/>
  <c r="G836" i="1"/>
  <c r="F836" i="1"/>
  <c r="E836" i="1"/>
  <c r="D836" i="1"/>
  <c r="C836" i="1"/>
  <c r="A836" i="1"/>
  <c r="R835" i="1"/>
  <c r="N835" i="1"/>
  <c r="J835" i="1"/>
  <c r="I835" i="1"/>
  <c r="H835" i="1"/>
  <c r="G835" i="1"/>
  <c r="F835" i="1"/>
  <c r="E835" i="1"/>
  <c r="D835" i="1"/>
  <c r="C835" i="1"/>
  <c r="A835" i="1"/>
  <c r="R834" i="1"/>
  <c r="Q834" i="1"/>
  <c r="N834" i="1"/>
  <c r="J834" i="1"/>
  <c r="I834" i="1"/>
  <c r="H834" i="1"/>
  <c r="G834" i="1"/>
  <c r="F834" i="1"/>
  <c r="E834" i="1"/>
  <c r="D834" i="1"/>
  <c r="C834" i="1"/>
  <c r="A834" i="1"/>
  <c r="R833" i="1"/>
  <c r="N833" i="1"/>
  <c r="J833" i="1"/>
  <c r="I833" i="1"/>
  <c r="H833" i="1"/>
  <c r="G833" i="1"/>
  <c r="F833" i="1"/>
  <c r="E833" i="1"/>
  <c r="D833" i="1"/>
  <c r="C833" i="1"/>
  <c r="B833" i="1"/>
  <c r="A833" i="1"/>
  <c r="R832" i="1"/>
  <c r="N832" i="1"/>
  <c r="J832" i="1"/>
  <c r="I832" i="1"/>
  <c r="H832" i="1"/>
  <c r="G832" i="1"/>
  <c r="F832" i="1"/>
  <c r="E832" i="1"/>
  <c r="D832" i="1"/>
  <c r="C832" i="1"/>
  <c r="B832" i="1"/>
  <c r="A832" i="1"/>
  <c r="R831" i="1"/>
  <c r="N831" i="1"/>
  <c r="J831" i="1"/>
  <c r="I831" i="1"/>
  <c r="H831" i="1"/>
  <c r="G831" i="1"/>
  <c r="F831" i="1"/>
  <c r="E831" i="1"/>
  <c r="D831" i="1"/>
  <c r="C831" i="1"/>
  <c r="B831" i="1"/>
  <c r="A831" i="1"/>
  <c r="R830" i="1"/>
  <c r="Q830" i="1"/>
  <c r="N830" i="1"/>
  <c r="J830" i="1"/>
  <c r="I830" i="1"/>
  <c r="H830" i="1"/>
  <c r="G830" i="1"/>
  <c r="F830" i="1"/>
  <c r="E830" i="1"/>
  <c r="D830" i="1"/>
  <c r="C830" i="1"/>
  <c r="A830" i="1"/>
  <c r="R829" i="1"/>
  <c r="N829" i="1"/>
  <c r="J829" i="1"/>
  <c r="I829" i="1"/>
  <c r="H829" i="1"/>
  <c r="G829" i="1"/>
  <c r="F829" i="1"/>
  <c r="E829" i="1"/>
  <c r="D829" i="1"/>
  <c r="C829" i="1"/>
  <c r="A829" i="1"/>
  <c r="R828" i="1"/>
  <c r="Q828" i="1"/>
  <c r="N828" i="1"/>
  <c r="J828" i="1"/>
  <c r="I828" i="1"/>
  <c r="H828" i="1"/>
  <c r="G828" i="1"/>
  <c r="F828" i="1"/>
  <c r="E828" i="1"/>
  <c r="D828" i="1"/>
  <c r="C828" i="1"/>
  <c r="A828" i="1"/>
  <c r="R827" i="1"/>
  <c r="N827" i="1"/>
  <c r="J827" i="1"/>
  <c r="I827" i="1"/>
  <c r="H827" i="1"/>
  <c r="G827" i="1"/>
  <c r="F827" i="1"/>
  <c r="E827" i="1"/>
  <c r="D827" i="1"/>
  <c r="C827" i="1"/>
  <c r="B827" i="1"/>
  <c r="A827" i="1"/>
  <c r="R826" i="1"/>
  <c r="Q826" i="1"/>
  <c r="N826" i="1"/>
  <c r="J826" i="1"/>
  <c r="I826" i="1"/>
  <c r="H826" i="1"/>
  <c r="G826" i="1"/>
  <c r="F826" i="1"/>
  <c r="E826" i="1"/>
  <c r="D826" i="1"/>
  <c r="C826" i="1"/>
  <c r="B826" i="1"/>
  <c r="A826" i="1"/>
  <c r="R825" i="1"/>
  <c r="N825" i="1"/>
  <c r="J825" i="1"/>
  <c r="I825" i="1"/>
  <c r="H825" i="1"/>
  <c r="G825" i="1"/>
  <c r="F825" i="1"/>
  <c r="E825" i="1"/>
  <c r="D825" i="1"/>
  <c r="C825" i="1"/>
  <c r="B825" i="1"/>
  <c r="A825" i="1"/>
  <c r="R824" i="1"/>
  <c r="Q824" i="1"/>
  <c r="N824" i="1"/>
  <c r="J824" i="1"/>
  <c r="I824" i="1"/>
  <c r="H824" i="1"/>
  <c r="G824" i="1"/>
  <c r="F824" i="1"/>
  <c r="E824" i="1"/>
  <c r="D824" i="1"/>
  <c r="C824" i="1"/>
  <c r="B824" i="1"/>
  <c r="A824" i="1"/>
  <c r="R823" i="1"/>
  <c r="N823" i="1"/>
  <c r="J823" i="1"/>
  <c r="I823" i="1"/>
  <c r="H823" i="1"/>
  <c r="G823" i="1"/>
  <c r="F823" i="1"/>
  <c r="E823" i="1"/>
  <c r="D823" i="1"/>
  <c r="C823" i="1"/>
  <c r="B823" i="1"/>
  <c r="A823" i="1"/>
  <c r="R822" i="1"/>
  <c r="N822" i="1"/>
  <c r="J822" i="1"/>
  <c r="I822" i="1"/>
  <c r="H822" i="1"/>
  <c r="G822" i="1"/>
  <c r="F822" i="1"/>
  <c r="E822" i="1"/>
  <c r="D822" i="1"/>
  <c r="C822" i="1"/>
  <c r="B822" i="1"/>
  <c r="A822" i="1"/>
  <c r="R821" i="1"/>
  <c r="N821" i="1"/>
  <c r="J821" i="1"/>
  <c r="I821" i="1"/>
  <c r="H821" i="1"/>
  <c r="G821" i="1"/>
  <c r="F821" i="1"/>
  <c r="E821" i="1"/>
  <c r="D821" i="1"/>
  <c r="C821" i="1"/>
  <c r="B821" i="1"/>
  <c r="A821" i="1"/>
  <c r="R820" i="1"/>
  <c r="N820" i="1"/>
  <c r="J820" i="1"/>
  <c r="I820" i="1"/>
  <c r="H820" i="1"/>
  <c r="G820" i="1"/>
  <c r="F820" i="1"/>
  <c r="E820" i="1"/>
  <c r="D820" i="1"/>
  <c r="C820" i="1"/>
  <c r="B820" i="1"/>
  <c r="A820" i="1"/>
  <c r="R819" i="1"/>
  <c r="N819" i="1"/>
  <c r="J819" i="1"/>
  <c r="I819" i="1"/>
  <c r="H819" i="1"/>
  <c r="G819" i="1"/>
  <c r="F819" i="1"/>
  <c r="E819" i="1"/>
  <c r="D819" i="1"/>
  <c r="C819" i="1"/>
  <c r="B819" i="1"/>
  <c r="A819" i="1"/>
  <c r="R818" i="1"/>
  <c r="N818" i="1"/>
  <c r="J818" i="1"/>
  <c r="I818" i="1"/>
  <c r="H818" i="1"/>
  <c r="G818" i="1"/>
  <c r="F818" i="1"/>
  <c r="E818" i="1"/>
  <c r="D818" i="1"/>
  <c r="C818" i="1"/>
  <c r="B818" i="1"/>
  <c r="A818" i="1"/>
  <c r="R817" i="1"/>
  <c r="N817" i="1"/>
  <c r="J817" i="1"/>
  <c r="I817" i="1"/>
  <c r="H817" i="1"/>
  <c r="G817" i="1"/>
  <c r="F817" i="1"/>
  <c r="E817" i="1"/>
  <c r="D817" i="1"/>
  <c r="C817" i="1"/>
  <c r="B817" i="1"/>
  <c r="A817" i="1"/>
  <c r="R816" i="1"/>
  <c r="N816" i="1"/>
  <c r="J816" i="1"/>
  <c r="I816" i="1"/>
  <c r="H816" i="1"/>
  <c r="G816" i="1"/>
  <c r="F816" i="1"/>
  <c r="E816" i="1"/>
  <c r="D816" i="1"/>
  <c r="C816" i="1"/>
  <c r="B816" i="1"/>
  <c r="A816" i="1"/>
  <c r="R815" i="1"/>
  <c r="Q815" i="1"/>
  <c r="N815" i="1"/>
  <c r="J815" i="1"/>
  <c r="I815" i="1"/>
  <c r="H815" i="1"/>
  <c r="G815" i="1"/>
  <c r="F815" i="1"/>
  <c r="E815" i="1"/>
  <c r="D815" i="1"/>
  <c r="C815" i="1"/>
  <c r="A815" i="1"/>
  <c r="R814" i="1"/>
  <c r="N814" i="1"/>
  <c r="J814" i="1"/>
  <c r="I814" i="1"/>
  <c r="H814" i="1"/>
  <c r="G814" i="1"/>
  <c r="F814" i="1"/>
  <c r="E814" i="1"/>
  <c r="D814" i="1"/>
  <c r="C814" i="1"/>
  <c r="A814" i="1"/>
  <c r="R813" i="1"/>
  <c r="Q813" i="1"/>
  <c r="N813" i="1"/>
  <c r="J813" i="1"/>
  <c r="I813" i="1"/>
  <c r="H813" i="1"/>
  <c r="G813" i="1"/>
  <c r="F813" i="1"/>
  <c r="E813" i="1"/>
  <c r="D813" i="1"/>
  <c r="C813" i="1"/>
  <c r="A813" i="1"/>
  <c r="R812" i="1"/>
  <c r="N812" i="1"/>
  <c r="J812" i="1"/>
  <c r="I812" i="1"/>
  <c r="H812" i="1"/>
  <c r="G812" i="1"/>
  <c r="F812" i="1"/>
  <c r="E812" i="1"/>
  <c r="D812" i="1"/>
  <c r="C812" i="1"/>
  <c r="A812" i="1"/>
  <c r="R811" i="1"/>
  <c r="Q811" i="1"/>
  <c r="N811" i="1"/>
  <c r="J811" i="1"/>
  <c r="I811" i="1"/>
  <c r="H811" i="1"/>
  <c r="G811" i="1"/>
  <c r="F811" i="1"/>
  <c r="E811" i="1"/>
  <c r="D811" i="1"/>
  <c r="C811" i="1"/>
  <c r="A811" i="1"/>
  <c r="R810" i="1"/>
  <c r="N810" i="1"/>
  <c r="J810" i="1"/>
  <c r="I810" i="1"/>
  <c r="H810" i="1"/>
  <c r="G810" i="1"/>
  <c r="F810" i="1"/>
  <c r="E810" i="1"/>
  <c r="D810" i="1"/>
  <c r="C810" i="1"/>
  <c r="A810" i="1"/>
  <c r="R809" i="1"/>
  <c r="Q809" i="1"/>
  <c r="N809" i="1"/>
  <c r="J809" i="1"/>
  <c r="I809" i="1"/>
  <c r="H809" i="1"/>
  <c r="G809" i="1"/>
  <c r="F809" i="1"/>
  <c r="E809" i="1"/>
  <c r="D809" i="1"/>
  <c r="C809" i="1"/>
  <c r="A809" i="1"/>
  <c r="R808" i="1"/>
  <c r="N808" i="1"/>
  <c r="J808" i="1"/>
  <c r="I808" i="1"/>
  <c r="H808" i="1"/>
  <c r="G808" i="1"/>
  <c r="F808" i="1"/>
  <c r="E808" i="1"/>
  <c r="D808" i="1"/>
  <c r="C808" i="1"/>
  <c r="A808" i="1"/>
  <c r="R807" i="1"/>
  <c r="Q807" i="1"/>
  <c r="N807" i="1"/>
  <c r="J807" i="1"/>
  <c r="I807" i="1"/>
  <c r="H807" i="1"/>
  <c r="G807" i="1"/>
  <c r="F807" i="1"/>
  <c r="E807" i="1"/>
  <c r="D807" i="1"/>
  <c r="C807" i="1"/>
  <c r="A807" i="1"/>
  <c r="R806" i="1"/>
  <c r="N806" i="1"/>
  <c r="J806" i="1"/>
  <c r="I806" i="1"/>
  <c r="H806" i="1"/>
  <c r="G806" i="1"/>
  <c r="F806" i="1"/>
  <c r="E806" i="1"/>
  <c r="D806" i="1"/>
  <c r="C806" i="1"/>
  <c r="A806" i="1"/>
  <c r="R805" i="1"/>
  <c r="Q805" i="1"/>
  <c r="N805" i="1"/>
  <c r="J805" i="1"/>
  <c r="I805" i="1"/>
  <c r="H805" i="1"/>
  <c r="G805" i="1"/>
  <c r="F805" i="1"/>
  <c r="E805" i="1"/>
  <c r="D805" i="1"/>
  <c r="C805" i="1"/>
  <c r="A805" i="1"/>
  <c r="R804" i="1"/>
  <c r="N804" i="1"/>
  <c r="J804" i="1"/>
  <c r="I804" i="1"/>
  <c r="H804" i="1"/>
  <c r="G804" i="1"/>
  <c r="F804" i="1"/>
  <c r="E804" i="1"/>
  <c r="D804" i="1"/>
  <c r="C804" i="1"/>
  <c r="A804" i="1"/>
  <c r="R803" i="1"/>
  <c r="Q803" i="1"/>
  <c r="N803" i="1"/>
  <c r="J803" i="1"/>
  <c r="I803" i="1"/>
  <c r="H803" i="1"/>
  <c r="G803" i="1"/>
  <c r="F803" i="1"/>
  <c r="E803" i="1"/>
  <c r="D803" i="1"/>
  <c r="C803" i="1"/>
  <c r="A803" i="1"/>
  <c r="R802" i="1"/>
  <c r="N802" i="1"/>
  <c r="J802" i="1"/>
  <c r="I802" i="1"/>
  <c r="H802" i="1"/>
  <c r="G802" i="1"/>
  <c r="F802" i="1"/>
  <c r="E802" i="1"/>
  <c r="D802" i="1"/>
  <c r="C802" i="1"/>
  <c r="B802" i="1"/>
  <c r="A802" i="1"/>
  <c r="R801" i="1"/>
  <c r="Q801" i="1"/>
  <c r="N801" i="1"/>
  <c r="J801" i="1"/>
  <c r="I801" i="1"/>
  <c r="H801" i="1"/>
  <c r="G801" i="1"/>
  <c r="F801" i="1"/>
  <c r="E801" i="1"/>
  <c r="D801" i="1"/>
  <c r="C801" i="1"/>
  <c r="B801" i="1"/>
  <c r="A801" i="1"/>
  <c r="R800" i="1"/>
  <c r="N800" i="1"/>
  <c r="J800" i="1"/>
  <c r="I800" i="1"/>
  <c r="H800" i="1"/>
  <c r="G800" i="1"/>
  <c r="F800" i="1"/>
  <c r="E800" i="1"/>
  <c r="D800" i="1"/>
  <c r="C800" i="1"/>
  <c r="B800" i="1"/>
  <c r="A800" i="1"/>
  <c r="R799" i="1"/>
  <c r="N799" i="1"/>
  <c r="J799" i="1"/>
  <c r="I799" i="1"/>
  <c r="H799" i="1"/>
  <c r="G799" i="1"/>
  <c r="F799" i="1"/>
  <c r="E799" i="1"/>
  <c r="D799" i="1"/>
  <c r="C799" i="1"/>
  <c r="B799" i="1"/>
  <c r="A799" i="1"/>
  <c r="R798" i="1"/>
  <c r="N798" i="1"/>
  <c r="J798" i="1"/>
  <c r="I798" i="1"/>
  <c r="H798" i="1"/>
  <c r="G798" i="1"/>
  <c r="F798" i="1"/>
  <c r="E798" i="1"/>
  <c r="D798" i="1"/>
  <c r="C798" i="1"/>
  <c r="B798" i="1"/>
  <c r="A798" i="1"/>
  <c r="R797" i="1"/>
  <c r="N797" i="1"/>
  <c r="J797" i="1"/>
  <c r="I797" i="1"/>
  <c r="H797" i="1"/>
  <c r="G797" i="1"/>
  <c r="F797" i="1"/>
  <c r="E797" i="1"/>
  <c r="D797" i="1"/>
  <c r="C797" i="1"/>
  <c r="B797" i="1"/>
  <c r="A797" i="1"/>
  <c r="R796" i="1"/>
  <c r="N796" i="1"/>
  <c r="J796" i="1"/>
  <c r="I796" i="1"/>
  <c r="H796" i="1"/>
  <c r="G796" i="1"/>
  <c r="F796" i="1"/>
  <c r="E796" i="1"/>
  <c r="D796" i="1"/>
  <c r="C796" i="1"/>
  <c r="B796" i="1"/>
  <c r="A796" i="1"/>
  <c r="R795" i="1"/>
  <c r="N795" i="1"/>
  <c r="J795" i="1"/>
  <c r="I795" i="1"/>
  <c r="H795" i="1"/>
  <c r="G795" i="1"/>
  <c r="F795" i="1"/>
  <c r="E795" i="1"/>
  <c r="D795" i="1"/>
  <c r="C795" i="1"/>
  <c r="B795" i="1"/>
  <c r="A795" i="1"/>
  <c r="R794" i="1"/>
  <c r="Q794" i="1"/>
  <c r="N794" i="1"/>
  <c r="J794" i="1"/>
  <c r="I794" i="1"/>
  <c r="H794" i="1"/>
  <c r="G794" i="1"/>
  <c r="F794" i="1"/>
  <c r="E794" i="1"/>
  <c r="D794" i="1"/>
  <c r="C794" i="1"/>
  <c r="A794" i="1"/>
  <c r="R793" i="1"/>
  <c r="N793" i="1"/>
  <c r="J793" i="1"/>
  <c r="I793" i="1"/>
  <c r="H793" i="1"/>
  <c r="G793" i="1"/>
  <c r="F793" i="1"/>
  <c r="E793" i="1"/>
  <c r="D793" i="1"/>
  <c r="C793" i="1"/>
  <c r="A793" i="1"/>
  <c r="R792" i="1"/>
  <c r="Q792" i="1"/>
  <c r="N792" i="1"/>
  <c r="J792" i="1"/>
  <c r="I792" i="1"/>
  <c r="H792" i="1"/>
  <c r="G792" i="1"/>
  <c r="F792" i="1"/>
  <c r="E792" i="1"/>
  <c r="D792" i="1"/>
  <c r="C792" i="1"/>
  <c r="A792" i="1"/>
  <c r="R791" i="1"/>
  <c r="Q791" i="1"/>
  <c r="N791" i="1"/>
  <c r="J791" i="1"/>
  <c r="I791" i="1"/>
  <c r="H791" i="1"/>
  <c r="G791" i="1"/>
  <c r="F791" i="1"/>
  <c r="E791" i="1"/>
  <c r="D791" i="1"/>
  <c r="C791" i="1"/>
  <c r="A791" i="1"/>
  <c r="R790" i="1"/>
  <c r="Q790" i="1"/>
  <c r="N790" i="1"/>
  <c r="J790" i="1"/>
  <c r="I790" i="1"/>
  <c r="H790" i="1"/>
  <c r="G790" i="1"/>
  <c r="F790" i="1"/>
  <c r="E790" i="1"/>
  <c r="D790" i="1"/>
  <c r="C790" i="1"/>
  <c r="A790" i="1"/>
  <c r="R789" i="1"/>
  <c r="N789" i="1"/>
  <c r="J789" i="1"/>
  <c r="I789" i="1"/>
  <c r="H789" i="1"/>
  <c r="G789" i="1"/>
  <c r="F789" i="1"/>
  <c r="E789" i="1"/>
  <c r="D789" i="1"/>
  <c r="C789" i="1"/>
  <c r="A789" i="1"/>
  <c r="R788" i="1"/>
  <c r="Q788" i="1"/>
  <c r="N788" i="1"/>
  <c r="J788" i="1"/>
  <c r="I788" i="1"/>
  <c r="H788" i="1"/>
  <c r="G788" i="1"/>
  <c r="F788" i="1"/>
  <c r="E788" i="1"/>
  <c r="D788" i="1"/>
  <c r="C788" i="1"/>
  <c r="A788" i="1"/>
  <c r="R787" i="1"/>
  <c r="N787" i="1"/>
  <c r="J787" i="1"/>
  <c r="I787" i="1"/>
  <c r="H787" i="1"/>
  <c r="G787" i="1"/>
  <c r="F787" i="1"/>
  <c r="E787" i="1"/>
  <c r="D787" i="1"/>
  <c r="C787" i="1"/>
  <c r="A787" i="1"/>
  <c r="R786" i="1"/>
  <c r="Q786" i="1"/>
  <c r="N786" i="1"/>
  <c r="J786" i="1"/>
  <c r="I786" i="1"/>
  <c r="H786" i="1"/>
  <c r="G786" i="1"/>
  <c r="F786" i="1"/>
  <c r="E786" i="1"/>
  <c r="D786" i="1"/>
  <c r="C786" i="1"/>
  <c r="A786" i="1"/>
  <c r="R785" i="1"/>
  <c r="N785" i="1"/>
  <c r="J785" i="1"/>
  <c r="I785" i="1"/>
  <c r="H785" i="1"/>
  <c r="G785" i="1"/>
  <c r="F785" i="1"/>
  <c r="E785" i="1"/>
  <c r="D785" i="1"/>
  <c r="C785" i="1"/>
  <c r="A785" i="1"/>
  <c r="R784" i="1"/>
  <c r="Q784" i="1"/>
  <c r="N784" i="1"/>
  <c r="J784" i="1"/>
  <c r="I784" i="1"/>
  <c r="H784" i="1"/>
  <c r="G784" i="1"/>
  <c r="F784" i="1"/>
  <c r="E784" i="1"/>
  <c r="D784" i="1"/>
  <c r="C784" i="1"/>
  <c r="A784" i="1"/>
  <c r="R783" i="1"/>
  <c r="N783" i="1"/>
  <c r="J783" i="1"/>
  <c r="I783" i="1"/>
  <c r="H783" i="1"/>
  <c r="G783" i="1"/>
  <c r="F783" i="1"/>
  <c r="E783" i="1"/>
  <c r="D783" i="1"/>
  <c r="C783" i="1"/>
  <c r="A783" i="1"/>
  <c r="R782" i="1"/>
  <c r="Q782" i="1"/>
  <c r="N782" i="1"/>
  <c r="J782" i="1"/>
  <c r="I782" i="1"/>
  <c r="H782" i="1"/>
  <c r="G782" i="1"/>
  <c r="F782" i="1"/>
  <c r="E782" i="1"/>
  <c r="D782" i="1"/>
  <c r="C782" i="1"/>
  <c r="A782" i="1"/>
  <c r="R781" i="1"/>
  <c r="Q781" i="1"/>
  <c r="N781" i="1"/>
  <c r="J781" i="1"/>
  <c r="I781" i="1"/>
  <c r="H781" i="1"/>
  <c r="G781" i="1"/>
  <c r="F781" i="1"/>
  <c r="E781" i="1"/>
  <c r="D781" i="1"/>
  <c r="C781" i="1"/>
  <c r="A781" i="1"/>
  <c r="R780" i="1"/>
  <c r="Q780" i="1"/>
  <c r="N780" i="1"/>
  <c r="J780" i="1"/>
  <c r="I780" i="1"/>
  <c r="H780" i="1"/>
  <c r="G780" i="1"/>
  <c r="F780" i="1"/>
  <c r="E780" i="1"/>
  <c r="D780" i="1"/>
  <c r="C780" i="1"/>
  <c r="A780" i="1"/>
  <c r="R779" i="1"/>
  <c r="Q779" i="1"/>
  <c r="N779" i="1"/>
  <c r="J779" i="1"/>
  <c r="I779" i="1"/>
  <c r="H779" i="1"/>
  <c r="G779" i="1"/>
  <c r="F779" i="1"/>
  <c r="E779" i="1"/>
  <c r="D779" i="1"/>
  <c r="C779" i="1"/>
  <c r="A779" i="1"/>
  <c r="R778" i="1"/>
  <c r="Q778" i="1"/>
  <c r="N778" i="1"/>
  <c r="J778" i="1"/>
  <c r="I778" i="1"/>
  <c r="H778" i="1"/>
  <c r="G778" i="1"/>
  <c r="F778" i="1"/>
  <c r="E778" i="1"/>
  <c r="D778" i="1"/>
  <c r="C778" i="1"/>
  <c r="A778" i="1"/>
  <c r="R777" i="1"/>
  <c r="Q777" i="1"/>
  <c r="N777" i="1"/>
  <c r="J777" i="1"/>
  <c r="I777" i="1"/>
  <c r="H777" i="1"/>
  <c r="G777" i="1"/>
  <c r="F777" i="1"/>
  <c r="E777" i="1"/>
  <c r="D777" i="1"/>
  <c r="C777" i="1"/>
  <c r="A777" i="1"/>
  <c r="R776" i="1"/>
  <c r="Q776" i="1"/>
  <c r="N776" i="1"/>
  <c r="J776" i="1"/>
  <c r="I776" i="1"/>
  <c r="H776" i="1"/>
  <c r="G776" i="1"/>
  <c r="F776" i="1"/>
  <c r="E776" i="1"/>
  <c r="D776" i="1"/>
  <c r="C776" i="1"/>
  <c r="A776" i="1"/>
  <c r="R775" i="1"/>
  <c r="Q775" i="1"/>
  <c r="N775" i="1"/>
  <c r="J775" i="1"/>
  <c r="I775" i="1"/>
  <c r="H775" i="1"/>
  <c r="G775" i="1"/>
  <c r="F775" i="1"/>
  <c r="E775" i="1"/>
  <c r="D775" i="1"/>
  <c r="C775" i="1"/>
  <c r="A775" i="1"/>
  <c r="R774" i="1"/>
  <c r="Q774" i="1"/>
  <c r="N774" i="1"/>
  <c r="J774" i="1"/>
  <c r="I774" i="1"/>
  <c r="H774" i="1"/>
  <c r="G774" i="1"/>
  <c r="F774" i="1"/>
  <c r="E774" i="1"/>
  <c r="D774" i="1"/>
  <c r="C774" i="1"/>
  <c r="A774" i="1"/>
  <c r="R773" i="1"/>
  <c r="Q773" i="1"/>
  <c r="N773" i="1"/>
  <c r="J773" i="1"/>
  <c r="I773" i="1"/>
  <c r="H773" i="1"/>
  <c r="G773" i="1"/>
  <c r="F773" i="1"/>
  <c r="E773" i="1"/>
  <c r="D773" i="1"/>
  <c r="C773" i="1"/>
  <c r="A773" i="1"/>
  <c r="R772" i="1"/>
  <c r="N772" i="1"/>
  <c r="J772" i="1"/>
  <c r="I772" i="1"/>
  <c r="H772" i="1"/>
  <c r="G772" i="1"/>
  <c r="F772" i="1"/>
  <c r="E772" i="1"/>
  <c r="D772" i="1"/>
  <c r="C772" i="1"/>
  <c r="A772" i="1"/>
  <c r="R771" i="1"/>
  <c r="Q771" i="1"/>
  <c r="N771" i="1"/>
  <c r="J771" i="1"/>
  <c r="I771" i="1"/>
  <c r="H771" i="1"/>
  <c r="G771" i="1"/>
  <c r="F771" i="1"/>
  <c r="E771" i="1"/>
  <c r="D771" i="1"/>
  <c r="C771" i="1"/>
  <c r="A771" i="1"/>
  <c r="R770" i="1"/>
  <c r="Q770" i="1"/>
  <c r="N770" i="1"/>
  <c r="J770" i="1"/>
  <c r="I770" i="1"/>
  <c r="H770" i="1"/>
  <c r="G770" i="1"/>
  <c r="F770" i="1"/>
  <c r="E770" i="1"/>
  <c r="D770" i="1"/>
  <c r="C770" i="1"/>
  <c r="A770" i="1"/>
  <c r="R769" i="1"/>
  <c r="Q769" i="1"/>
  <c r="N769" i="1"/>
  <c r="J769" i="1"/>
  <c r="I769" i="1"/>
  <c r="H769" i="1"/>
  <c r="G769" i="1"/>
  <c r="F769" i="1"/>
  <c r="E769" i="1"/>
  <c r="D769" i="1"/>
  <c r="C769" i="1"/>
  <c r="A769" i="1"/>
  <c r="R768" i="1"/>
  <c r="Q768" i="1"/>
  <c r="N768" i="1"/>
  <c r="J768" i="1"/>
  <c r="I768" i="1"/>
  <c r="H768" i="1"/>
  <c r="G768" i="1"/>
  <c r="F768" i="1"/>
  <c r="E768" i="1"/>
  <c r="D768" i="1"/>
  <c r="C768" i="1"/>
  <c r="A768" i="1"/>
  <c r="R767" i="1"/>
  <c r="Q767" i="1"/>
  <c r="N767" i="1"/>
  <c r="J767" i="1"/>
  <c r="I767" i="1"/>
  <c r="H767" i="1"/>
  <c r="G767" i="1"/>
  <c r="F767" i="1"/>
  <c r="E767" i="1"/>
  <c r="D767" i="1"/>
  <c r="C767" i="1"/>
  <c r="A767" i="1"/>
  <c r="R766" i="1"/>
  <c r="N766" i="1"/>
  <c r="J766" i="1"/>
  <c r="I766" i="1"/>
  <c r="H766" i="1"/>
  <c r="G766" i="1"/>
  <c r="F766" i="1"/>
  <c r="E766" i="1"/>
  <c r="D766" i="1"/>
  <c r="C766" i="1"/>
  <c r="A766" i="1"/>
  <c r="R765" i="1"/>
  <c r="Q765" i="1"/>
  <c r="N765" i="1"/>
  <c r="J765" i="1"/>
  <c r="I765" i="1"/>
  <c r="H765" i="1"/>
  <c r="G765" i="1"/>
  <c r="F765" i="1"/>
  <c r="E765" i="1"/>
  <c r="D765" i="1"/>
  <c r="C765" i="1"/>
  <c r="A765" i="1"/>
  <c r="R764" i="1"/>
  <c r="Q764" i="1"/>
  <c r="N764" i="1"/>
  <c r="J764" i="1"/>
  <c r="I764" i="1"/>
  <c r="H764" i="1"/>
  <c r="G764" i="1"/>
  <c r="F764" i="1"/>
  <c r="E764" i="1"/>
  <c r="D764" i="1"/>
  <c r="C764" i="1"/>
  <c r="A764" i="1"/>
  <c r="R763" i="1"/>
  <c r="Q763" i="1"/>
  <c r="N763" i="1"/>
  <c r="J763" i="1"/>
  <c r="I763" i="1"/>
  <c r="H763" i="1"/>
  <c r="G763" i="1"/>
  <c r="F763" i="1"/>
  <c r="E763" i="1"/>
  <c r="D763" i="1"/>
  <c r="C763" i="1"/>
  <c r="A763" i="1"/>
  <c r="R762" i="1"/>
  <c r="Q762" i="1"/>
  <c r="N762" i="1"/>
  <c r="J762" i="1"/>
  <c r="I762" i="1"/>
  <c r="H762" i="1"/>
  <c r="G762" i="1"/>
  <c r="F762" i="1"/>
  <c r="E762" i="1"/>
  <c r="D762" i="1"/>
  <c r="C762" i="1"/>
  <c r="A762" i="1"/>
  <c r="R761" i="1"/>
  <c r="Q761" i="1"/>
  <c r="N761" i="1"/>
  <c r="J761" i="1"/>
  <c r="I761" i="1"/>
  <c r="H761" i="1"/>
  <c r="G761" i="1"/>
  <c r="F761" i="1"/>
  <c r="E761" i="1"/>
  <c r="D761" i="1"/>
  <c r="C761" i="1"/>
  <c r="A761" i="1"/>
  <c r="R760" i="1"/>
  <c r="Q760" i="1"/>
  <c r="N760" i="1"/>
  <c r="J760" i="1"/>
  <c r="I760" i="1"/>
  <c r="H760" i="1"/>
  <c r="G760" i="1"/>
  <c r="F760" i="1"/>
  <c r="E760" i="1"/>
  <c r="D760" i="1"/>
  <c r="C760" i="1"/>
  <c r="A760" i="1"/>
  <c r="R759" i="1"/>
  <c r="Q759" i="1"/>
  <c r="N759" i="1"/>
  <c r="J759" i="1"/>
  <c r="I759" i="1"/>
  <c r="H759" i="1"/>
  <c r="G759" i="1"/>
  <c r="F759" i="1"/>
  <c r="E759" i="1"/>
  <c r="D759" i="1"/>
  <c r="C759" i="1"/>
  <c r="A759" i="1"/>
  <c r="R758" i="1"/>
  <c r="Q758" i="1"/>
  <c r="N758" i="1"/>
  <c r="J758" i="1"/>
  <c r="I758" i="1"/>
  <c r="H758" i="1"/>
  <c r="G758" i="1"/>
  <c r="F758" i="1"/>
  <c r="E758" i="1"/>
  <c r="D758" i="1"/>
  <c r="C758" i="1"/>
  <c r="A758" i="1"/>
  <c r="R757" i="1"/>
  <c r="Q757" i="1"/>
  <c r="N757" i="1"/>
  <c r="J757" i="1"/>
  <c r="I757" i="1"/>
  <c r="H757" i="1"/>
  <c r="G757" i="1"/>
  <c r="F757" i="1"/>
  <c r="E757" i="1"/>
  <c r="D757" i="1"/>
  <c r="C757" i="1"/>
  <c r="A757" i="1"/>
  <c r="R756" i="1"/>
  <c r="Q756" i="1"/>
  <c r="N756" i="1"/>
  <c r="J756" i="1"/>
  <c r="I756" i="1"/>
  <c r="H756" i="1"/>
  <c r="G756" i="1"/>
  <c r="F756" i="1"/>
  <c r="E756" i="1"/>
  <c r="D756" i="1"/>
  <c r="C756" i="1"/>
  <c r="A756" i="1"/>
  <c r="R755" i="1"/>
  <c r="Q755" i="1"/>
  <c r="N755" i="1"/>
  <c r="J755" i="1"/>
  <c r="I755" i="1"/>
  <c r="H755" i="1"/>
  <c r="G755" i="1"/>
  <c r="F755" i="1"/>
  <c r="E755" i="1"/>
  <c r="D755" i="1"/>
  <c r="C755" i="1"/>
  <c r="A755" i="1"/>
  <c r="R754" i="1"/>
  <c r="Q754" i="1"/>
  <c r="N754" i="1"/>
  <c r="J754" i="1"/>
  <c r="I754" i="1"/>
  <c r="H754" i="1"/>
  <c r="G754" i="1"/>
  <c r="F754" i="1"/>
  <c r="E754" i="1"/>
  <c r="D754" i="1"/>
  <c r="C754" i="1"/>
  <c r="A754" i="1"/>
  <c r="R753" i="1"/>
  <c r="Q753" i="1"/>
  <c r="N753" i="1"/>
  <c r="J753" i="1"/>
  <c r="I753" i="1"/>
  <c r="H753" i="1"/>
  <c r="G753" i="1"/>
  <c r="F753" i="1"/>
  <c r="E753" i="1"/>
  <c r="D753" i="1"/>
  <c r="C753" i="1"/>
  <c r="A753" i="1"/>
  <c r="R752" i="1"/>
  <c r="Q752" i="1"/>
  <c r="N752" i="1"/>
  <c r="J752" i="1"/>
  <c r="I752" i="1"/>
  <c r="H752" i="1"/>
  <c r="G752" i="1"/>
  <c r="F752" i="1"/>
  <c r="E752" i="1"/>
  <c r="D752" i="1"/>
  <c r="C752" i="1"/>
  <c r="A752" i="1"/>
  <c r="R751" i="1"/>
  <c r="Q751" i="1"/>
  <c r="N751" i="1"/>
  <c r="J751" i="1"/>
  <c r="I751" i="1"/>
  <c r="H751" i="1"/>
  <c r="G751" i="1"/>
  <c r="F751" i="1"/>
  <c r="E751" i="1"/>
  <c r="D751" i="1"/>
  <c r="C751" i="1"/>
  <c r="A751" i="1"/>
  <c r="R750" i="1"/>
  <c r="Q750" i="1"/>
  <c r="N750" i="1"/>
  <c r="J750" i="1"/>
  <c r="I750" i="1"/>
  <c r="H750" i="1"/>
  <c r="G750" i="1"/>
  <c r="F750" i="1"/>
  <c r="E750" i="1"/>
  <c r="D750" i="1"/>
  <c r="C750" i="1"/>
  <c r="A750" i="1"/>
  <c r="R749" i="1"/>
  <c r="Q749" i="1"/>
  <c r="N749" i="1"/>
  <c r="J749" i="1"/>
  <c r="I749" i="1"/>
  <c r="H749" i="1"/>
  <c r="G749" i="1"/>
  <c r="F749" i="1"/>
  <c r="E749" i="1"/>
  <c r="D749" i="1"/>
  <c r="C749" i="1"/>
  <c r="A749" i="1"/>
  <c r="R748" i="1"/>
  <c r="Q748" i="1"/>
  <c r="N748" i="1"/>
  <c r="J748" i="1"/>
  <c r="I748" i="1"/>
  <c r="H748" i="1"/>
  <c r="G748" i="1"/>
  <c r="F748" i="1"/>
  <c r="E748" i="1"/>
  <c r="D748" i="1"/>
  <c r="C748" i="1"/>
  <c r="A748" i="1"/>
  <c r="R747" i="1"/>
  <c r="Q747" i="1"/>
  <c r="N747" i="1"/>
  <c r="J747" i="1"/>
  <c r="I747" i="1"/>
  <c r="H747" i="1"/>
  <c r="G747" i="1"/>
  <c r="F747" i="1"/>
  <c r="E747" i="1"/>
  <c r="D747" i="1"/>
  <c r="C747" i="1"/>
  <c r="A747" i="1"/>
  <c r="R746" i="1"/>
  <c r="Q746" i="1"/>
  <c r="N746" i="1"/>
  <c r="J746" i="1"/>
  <c r="I746" i="1"/>
  <c r="H746" i="1"/>
  <c r="G746" i="1"/>
  <c r="F746" i="1"/>
  <c r="E746" i="1"/>
  <c r="D746" i="1"/>
  <c r="C746" i="1"/>
  <c r="A746" i="1"/>
  <c r="R745" i="1"/>
  <c r="Q745" i="1"/>
  <c r="N745" i="1"/>
  <c r="J745" i="1"/>
  <c r="I745" i="1"/>
  <c r="H745" i="1"/>
  <c r="G745" i="1"/>
  <c r="F745" i="1"/>
  <c r="E745" i="1"/>
  <c r="D745" i="1"/>
  <c r="C745" i="1"/>
  <c r="A745" i="1"/>
  <c r="R744" i="1"/>
  <c r="Q744" i="1"/>
  <c r="N744" i="1"/>
  <c r="J744" i="1"/>
  <c r="I744" i="1"/>
  <c r="H744" i="1"/>
  <c r="G744" i="1"/>
  <c r="F744" i="1"/>
  <c r="E744" i="1"/>
  <c r="D744" i="1"/>
  <c r="C744" i="1"/>
  <c r="A744" i="1"/>
  <c r="R743" i="1"/>
  <c r="Q743" i="1"/>
  <c r="N743" i="1"/>
  <c r="J743" i="1"/>
  <c r="I743" i="1"/>
  <c r="H743" i="1"/>
  <c r="G743" i="1"/>
  <c r="F743" i="1"/>
  <c r="E743" i="1"/>
  <c r="D743" i="1"/>
  <c r="C743" i="1"/>
  <c r="A743" i="1"/>
  <c r="R742" i="1"/>
  <c r="Q742" i="1"/>
  <c r="N742" i="1"/>
  <c r="J742" i="1"/>
  <c r="I742" i="1"/>
  <c r="H742" i="1"/>
  <c r="G742" i="1"/>
  <c r="F742" i="1"/>
  <c r="E742" i="1"/>
  <c r="D742" i="1"/>
  <c r="C742" i="1"/>
  <c r="A742" i="1"/>
  <c r="R741" i="1"/>
  <c r="Q741" i="1"/>
  <c r="N741" i="1"/>
  <c r="J741" i="1"/>
  <c r="I741" i="1"/>
  <c r="H741" i="1"/>
  <c r="G741" i="1"/>
  <c r="F741" i="1"/>
  <c r="E741" i="1"/>
  <c r="D741" i="1"/>
  <c r="C741" i="1"/>
  <c r="A741" i="1"/>
  <c r="R740" i="1"/>
  <c r="Q740" i="1"/>
  <c r="N740" i="1"/>
  <c r="J740" i="1"/>
  <c r="I740" i="1"/>
  <c r="H740" i="1"/>
  <c r="G740" i="1"/>
  <c r="F740" i="1"/>
  <c r="E740" i="1"/>
  <c r="D740" i="1"/>
  <c r="C740" i="1"/>
  <c r="A740" i="1"/>
  <c r="R739" i="1"/>
  <c r="Q739" i="1"/>
  <c r="N739" i="1"/>
  <c r="J739" i="1"/>
  <c r="I739" i="1"/>
  <c r="H739" i="1"/>
  <c r="G739" i="1"/>
  <c r="F739" i="1"/>
  <c r="E739" i="1"/>
  <c r="D739" i="1"/>
  <c r="C739" i="1"/>
  <c r="A739" i="1"/>
  <c r="R738" i="1"/>
  <c r="Q738" i="1"/>
  <c r="N738" i="1"/>
  <c r="J738" i="1"/>
  <c r="I738" i="1"/>
  <c r="H738" i="1"/>
  <c r="G738" i="1"/>
  <c r="F738" i="1"/>
  <c r="E738" i="1"/>
  <c r="D738" i="1"/>
  <c r="C738" i="1"/>
  <c r="A738" i="1"/>
  <c r="R737" i="1"/>
  <c r="Q737" i="1"/>
  <c r="N737" i="1"/>
  <c r="J737" i="1"/>
  <c r="I737" i="1"/>
  <c r="H737" i="1"/>
  <c r="G737" i="1"/>
  <c r="F737" i="1"/>
  <c r="E737" i="1"/>
  <c r="D737" i="1"/>
  <c r="C737" i="1"/>
  <c r="A737" i="1"/>
  <c r="R736" i="1"/>
  <c r="Q736" i="1"/>
  <c r="N736" i="1"/>
  <c r="J736" i="1"/>
  <c r="I736" i="1"/>
  <c r="H736" i="1"/>
  <c r="G736" i="1"/>
  <c r="F736" i="1"/>
  <c r="E736" i="1"/>
  <c r="D736" i="1"/>
  <c r="C736" i="1"/>
  <c r="A736" i="1"/>
  <c r="R735" i="1"/>
  <c r="Q735" i="1"/>
  <c r="N735" i="1"/>
  <c r="J735" i="1"/>
  <c r="I735" i="1"/>
  <c r="H735" i="1"/>
  <c r="G735" i="1"/>
  <c r="F735" i="1"/>
  <c r="E735" i="1"/>
  <c r="D735" i="1"/>
  <c r="C735" i="1"/>
  <c r="A735" i="1"/>
  <c r="R734" i="1"/>
  <c r="Q734" i="1"/>
  <c r="N734" i="1"/>
  <c r="J734" i="1"/>
  <c r="I734" i="1"/>
  <c r="H734" i="1"/>
  <c r="G734" i="1"/>
  <c r="F734" i="1"/>
  <c r="E734" i="1"/>
  <c r="D734" i="1"/>
  <c r="C734" i="1"/>
  <c r="A734" i="1"/>
  <c r="R733" i="1"/>
  <c r="Q733" i="1"/>
  <c r="N733" i="1"/>
  <c r="J733" i="1"/>
  <c r="I733" i="1"/>
  <c r="H733" i="1"/>
  <c r="G733" i="1"/>
  <c r="F733" i="1"/>
  <c r="E733" i="1"/>
  <c r="D733" i="1"/>
  <c r="C733" i="1"/>
  <c r="A733" i="1"/>
  <c r="R732" i="1"/>
  <c r="Q732" i="1"/>
  <c r="N732" i="1"/>
  <c r="J732" i="1"/>
  <c r="I732" i="1"/>
  <c r="H732" i="1"/>
  <c r="G732" i="1"/>
  <c r="F732" i="1"/>
  <c r="E732" i="1"/>
  <c r="D732" i="1"/>
  <c r="C732" i="1"/>
  <c r="A732" i="1"/>
  <c r="R731" i="1"/>
  <c r="Q731" i="1"/>
  <c r="N731" i="1"/>
  <c r="J731" i="1"/>
  <c r="I731" i="1"/>
  <c r="H731" i="1"/>
  <c r="G731" i="1"/>
  <c r="F731" i="1"/>
  <c r="E731" i="1"/>
  <c r="D731" i="1"/>
  <c r="C731" i="1"/>
  <c r="A731" i="1"/>
  <c r="R730" i="1"/>
  <c r="Q730" i="1"/>
  <c r="N730" i="1"/>
  <c r="J730" i="1"/>
  <c r="I730" i="1"/>
  <c r="H730" i="1"/>
  <c r="G730" i="1"/>
  <c r="F730" i="1"/>
  <c r="E730" i="1"/>
  <c r="D730" i="1"/>
  <c r="C730" i="1"/>
  <c r="A730" i="1"/>
  <c r="R729" i="1"/>
  <c r="Q729" i="1"/>
  <c r="N729" i="1"/>
  <c r="J729" i="1"/>
  <c r="I729" i="1"/>
  <c r="H729" i="1"/>
  <c r="G729" i="1"/>
  <c r="F729" i="1"/>
  <c r="E729" i="1"/>
  <c r="D729" i="1"/>
  <c r="C729" i="1"/>
  <c r="A729" i="1"/>
  <c r="R728" i="1"/>
  <c r="Q728" i="1"/>
  <c r="N728" i="1"/>
  <c r="J728" i="1"/>
  <c r="I728" i="1"/>
  <c r="H728" i="1"/>
  <c r="G728" i="1"/>
  <c r="F728" i="1"/>
  <c r="E728" i="1"/>
  <c r="D728" i="1"/>
  <c r="C728" i="1"/>
  <c r="A728" i="1"/>
  <c r="R727" i="1"/>
  <c r="Q727" i="1"/>
  <c r="N727" i="1"/>
  <c r="J727" i="1"/>
  <c r="I727" i="1"/>
  <c r="H727" i="1"/>
  <c r="G727" i="1"/>
  <c r="F727" i="1"/>
  <c r="E727" i="1"/>
  <c r="D727" i="1"/>
  <c r="C727" i="1"/>
  <c r="A727" i="1"/>
  <c r="R726" i="1"/>
  <c r="Q726" i="1"/>
  <c r="N726" i="1"/>
  <c r="J726" i="1"/>
  <c r="I726" i="1"/>
  <c r="H726" i="1"/>
  <c r="G726" i="1"/>
  <c r="F726" i="1"/>
  <c r="E726" i="1"/>
  <c r="D726" i="1"/>
  <c r="C726" i="1"/>
  <c r="A726" i="1"/>
  <c r="R725" i="1"/>
  <c r="Q725" i="1"/>
  <c r="N725" i="1"/>
  <c r="J725" i="1"/>
  <c r="I725" i="1"/>
  <c r="H725" i="1"/>
  <c r="G725" i="1"/>
  <c r="F725" i="1"/>
  <c r="E725" i="1"/>
  <c r="D725" i="1"/>
  <c r="C725" i="1"/>
  <c r="A725" i="1"/>
  <c r="R724" i="1"/>
  <c r="Q724" i="1"/>
  <c r="N724" i="1"/>
  <c r="J724" i="1"/>
  <c r="I724" i="1"/>
  <c r="H724" i="1"/>
  <c r="G724" i="1"/>
  <c r="F724" i="1"/>
  <c r="E724" i="1"/>
  <c r="D724" i="1"/>
  <c r="C724" i="1"/>
  <c r="A724" i="1"/>
  <c r="R723" i="1"/>
  <c r="Q723" i="1"/>
  <c r="N723" i="1"/>
  <c r="J723" i="1"/>
  <c r="I723" i="1"/>
  <c r="H723" i="1"/>
  <c r="G723" i="1"/>
  <c r="F723" i="1"/>
  <c r="E723" i="1"/>
  <c r="D723" i="1"/>
  <c r="C723" i="1"/>
  <c r="A723" i="1"/>
  <c r="R722" i="1"/>
  <c r="Q722" i="1"/>
  <c r="N722" i="1"/>
  <c r="J722" i="1"/>
  <c r="I722" i="1"/>
  <c r="H722" i="1"/>
  <c r="G722" i="1"/>
  <c r="F722" i="1"/>
  <c r="E722" i="1"/>
  <c r="D722" i="1"/>
  <c r="C722" i="1"/>
  <c r="A722" i="1"/>
  <c r="R721" i="1"/>
  <c r="Q721" i="1"/>
  <c r="N721" i="1"/>
  <c r="J721" i="1"/>
  <c r="I721" i="1"/>
  <c r="H721" i="1"/>
  <c r="G721" i="1"/>
  <c r="F721" i="1"/>
  <c r="E721" i="1"/>
  <c r="D721" i="1"/>
  <c r="C721" i="1"/>
  <c r="A721" i="1"/>
  <c r="R720" i="1"/>
  <c r="N720" i="1"/>
  <c r="J720" i="1"/>
  <c r="I720" i="1"/>
  <c r="H720" i="1"/>
  <c r="G720" i="1"/>
  <c r="F720" i="1"/>
  <c r="E720" i="1"/>
  <c r="D720" i="1"/>
  <c r="C720" i="1"/>
  <c r="B720" i="1"/>
  <c r="A720" i="1"/>
  <c r="R719" i="1"/>
  <c r="N719" i="1"/>
  <c r="J719" i="1"/>
  <c r="I719" i="1"/>
  <c r="H719" i="1"/>
  <c r="G719" i="1"/>
  <c r="F719" i="1"/>
  <c r="E719" i="1"/>
  <c r="D719" i="1"/>
  <c r="C719" i="1"/>
  <c r="B719" i="1"/>
  <c r="A719" i="1"/>
  <c r="R718" i="1"/>
  <c r="Q718" i="1"/>
  <c r="N718" i="1"/>
  <c r="J718" i="1"/>
  <c r="I718" i="1"/>
  <c r="H718" i="1"/>
  <c r="G718" i="1"/>
  <c r="F718" i="1"/>
  <c r="E718" i="1"/>
  <c r="D718" i="1"/>
  <c r="C718" i="1"/>
  <c r="A718" i="1"/>
  <c r="R717" i="1"/>
  <c r="N717" i="1"/>
  <c r="J717" i="1"/>
  <c r="I717" i="1"/>
  <c r="H717" i="1"/>
  <c r="G717" i="1"/>
  <c r="F717" i="1"/>
  <c r="E717" i="1"/>
  <c r="D717" i="1"/>
  <c r="C717" i="1"/>
  <c r="B717" i="1"/>
  <c r="A717" i="1"/>
  <c r="R716" i="1"/>
  <c r="N716" i="1"/>
  <c r="J716" i="1"/>
  <c r="I716" i="1"/>
  <c r="H716" i="1"/>
  <c r="G716" i="1"/>
  <c r="F716" i="1"/>
  <c r="E716" i="1"/>
  <c r="D716" i="1"/>
  <c r="C716" i="1"/>
  <c r="B716" i="1"/>
  <c r="A716" i="1"/>
  <c r="R715" i="1"/>
  <c r="Q715" i="1"/>
  <c r="N715" i="1"/>
  <c r="J715" i="1"/>
  <c r="I715" i="1"/>
  <c r="H715" i="1"/>
  <c r="G715" i="1"/>
  <c r="F715" i="1"/>
  <c r="E715" i="1"/>
  <c r="D715" i="1"/>
  <c r="C715" i="1"/>
  <c r="B715" i="1"/>
  <c r="A715" i="1"/>
  <c r="R714" i="1"/>
  <c r="N714" i="1"/>
  <c r="J714" i="1"/>
  <c r="I714" i="1"/>
  <c r="H714" i="1"/>
  <c r="G714" i="1"/>
  <c r="F714" i="1"/>
  <c r="E714" i="1"/>
  <c r="D714" i="1"/>
  <c r="C714" i="1"/>
  <c r="B714" i="1"/>
  <c r="A714" i="1"/>
  <c r="R713" i="1"/>
  <c r="N713" i="1"/>
  <c r="J713" i="1"/>
  <c r="I713" i="1"/>
  <c r="H713" i="1"/>
  <c r="G713" i="1"/>
  <c r="F713" i="1"/>
  <c r="E713" i="1"/>
  <c r="D713" i="1"/>
  <c r="C713" i="1"/>
  <c r="B713" i="1"/>
  <c r="A713" i="1"/>
  <c r="R712" i="1"/>
  <c r="Q712" i="1"/>
  <c r="N712" i="1"/>
  <c r="J712" i="1"/>
  <c r="I712" i="1"/>
  <c r="H712" i="1"/>
  <c r="G712" i="1"/>
  <c r="F712" i="1"/>
  <c r="E712" i="1"/>
  <c r="D712" i="1"/>
  <c r="C712" i="1"/>
  <c r="B712" i="1"/>
  <c r="A712" i="1"/>
  <c r="R711" i="1"/>
  <c r="N711" i="1"/>
  <c r="J711" i="1"/>
  <c r="I711" i="1"/>
  <c r="H711" i="1"/>
  <c r="G711" i="1"/>
  <c r="F711" i="1"/>
  <c r="E711" i="1"/>
  <c r="D711" i="1"/>
  <c r="C711" i="1"/>
  <c r="B711" i="1"/>
  <c r="A711" i="1"/>
  <c r="R710" i="1"/>
  <c r="Q710" i="1"/>
  <c r="N710" i="1"/>
  <c r="J710" i="1"/>
  <c r="I710" i="1"/>
  <c r="H710" i="1"/>
  <c r="G710" i="1"/>
  <c r="F710" i="1"/>
  <c r="E710" i="1"/>
  <c r="D710" i="1"/>
  <c r="C710" i="1"/>
  <c r="A710" i="1"/>
  <c r="R709" i="1"/>
  <c r="N709" i="1"/>
  <c r="J709" i="1"/>
  <c r="I709" i="1"/>
  <c r="H709" i="1"/>
  <c r="G709" i="1"/>
  <c r="F709" i="1"/>
  <c r="E709" i="1"/>
  <c r="D709" i="1"/>
  <c r="C709" i="1"/>
  <c r="B709" i="1"/>
  <c r="A709" i="1"/>
  <c r="R708" i="1"/>
  <c r="N708" i="1"/>
  <c r="J708" i="1"/>
  <c r="I708" i="1"/>
  <c r="H708" i="1"/>
  <c r="G708" i="1"/>
  <c r="F708" i="1"/>
  <c r="E708" i="1"/>
  <c r="D708" i="1"/>
  <c r="C708" i="1"/>
  <c r="B708" i="1"/>
  <c r="A708" i="1"/>
  <c r="R707" i="1"/>
  <c r="N707" i="1"/>
  <c r="J707" i="1"/>
  <c r="I707" i="1"/>
  <c r="H707" i="1"/>
  <c r="G707" i="1"/>
  <c r="F707" i="1"/>
  <c r="E707" i="1"/>
  <c r="D707" i="1"/>
  <c r="C707" i="1"/>
  <c r="B707" i="1"/>
  <c r="A707" i="1"/>
  <c r="R706" i="1"/>
  <c r="N706" i="1"/>
  <c r="J706" i="1"/>
  <c r="I706" i="1"/>
  <c r="H706" i="1"/>
  <c r="G706" i="1"/>
  <c r="F706" i="1"/>
  <c r="E706" i="1"/>
  <c r="D706" i="1"/>
  <c r="C706" i="1"/>
  <c r="B706" i="1"/>
  <c r="A706" i="1"/>
  <c r="R705" i="1"/>
  <c r="Q705" i="1"/>
  <c r="N705" i="1"/>
  <c r="J705" i="1"/>
  <c r="I705" i="1"/>
  <c r="H705" i="1"/>
  <c r="G705" i="1"/>
  <c r="F705" i="1"/>
  <c r="E705" i="1"/>
  <c r="D705" i="1"/>
  <c r="C705" i="1"/>
  <c r="A705" i="1"/>
  <c r="R704" i="1"/>
  <c r="N704" i="1"/>
  <c r="J704" i="1"/>
  <c r="I704" i="1"/>
  <c r="H704" i="1"/>
  <c r="G704" i="1"/>
  <c r="F704" i="1"/>
  <c r="E704" i="1"/>
  <c r="D704" i="1"/>
  <c r="C704" i="1"/>
  <c r="A704" i="1"/>
  <c r="R703" i="1"/>
  <c r="Q703" i="1"/>
  <c r="N703" i="1"/>
  <c r="J703" i="1"/>
  <c r="I703" i="1"/>
  <c r="H703" i="1"/>
  <c r="G703" i="1"/>
  <c r="F703" i="1"/>
  <c r="E703" i="1"/>
  <c r="D703" i="1"/>
  <c r="C703" i="1"/>
  <c r="A703" i="1"/>
  <c r="R702" i="1"/>
  <c r="N702" i="1"/>
  <c r="J702" i="1"/>
  <c r="I702" i="1"/>
  <c r="H702" i="1"/>
  <c r="G702" i="1"/>
  <c r="F702" i="1"/>
  <c r="E702" i="1"/>
  <c r="D702" i="1"/>
  <c r="C702" i="1"/>
  <c r="A702" i="1"/>
  <c r="R701" i="1"/>
  <c r="Q701" i="1"/>
  <c r="N701" i="1"/>
  <c r="J701" i="1"/>
  <c r="I701" i="1"/>
  <c r="H701" i="1"/>
  <c r="G701" i="1"/>
  <c r="F701" i="1"/>
  <c r="E701" i="1"/>
  <c r="D701" i="1"/>
  <c r="C701" i="1"/>
  <c r="A701" i="1"/>
  <c r="R700" i="1"/>
  <c r="N700" i="1"/>
  <c r="J700" i="1"/>
  <c r="I700" i="1"/>
  <c r="H700" i="1"/>
  <c r="G700" i="1"/>
  <c r="F700" i="1"/>
  <c r="E700" i="1"/>
  <c r="D700" i="1"/>
  <c r="C700" i="1"/>
  <c r="B700" i="1"/>
  <c r="A700" i="1"/>
  <c r="R699" i="1"/>
  <c r="N699" i="1"/>
  <c r="J699" i="1"/>
  <c r="I699" i="1"/>
  <c r="H699" i="1"/>
  <c r="G699" i="1"/>
  <c r="F699" i="1"/>
  <c r="E699" i="1"/>
  <c r="D699" i="1"/>
  <c r="C699" i="1"/>
  <c r="B699" i="1"/>
  <c r="A699" i="1"/>
  <c r="R698" i="1"/>
  <c r="N698" i="1"/>
  <c r="J698" i="1"/>
  <c r="I698" i="1"/>
  <c r="H698" i="1"/>
  <c r="G698" i="1"/>
  <c r="F698" i="1"/>
  <c r="E698" i="1"/>
  <c r="D698" i="1"/>
  <c r="C698" i="1"/>
  <c r="B698" i="1"/>
  <c r="A698" i="1"/>
  <c r="R697" i="1"/>
  <c r="N697" i="1"/>
  <c r="J697" i="1"/>
  <c r="I697" i="1"/>
  <c r="H697" i="1"/>
  <c r="G697" i="1"/>
  <c r="F697" i="1"/>
  <c r="E697" i="1"/>
  <c r="D697" i="1"/>
  <c r="C697" i="1"/>
  <c r="B697" i="1"/>
  <c r="A697" i="1"/>
  <c r="R696" i="1"/>
  <c r="N696" i="1"/>
  <c r="J696" i="1"/>
  <c r="I696" i="1"/>
  <c r="H696" i="1"/>
  <c r="G696" i="1"/>
  <c r="F696" i="1"/>
  <c r="E696" i="1"/>
  <c r="D696" i="1"/>
  <c r="C696" i="1"/>
  <c r="B696" i="1"/>
  <c r="A696" i="1"/>
  <c r="R695" i="1"/>
  <c r="N695" i="1"/>
  <c r="J695" i="1"/>
  <c r="I695" i="1"/>
  <c r="H695" i="1"/>
  <c r="G695" i="1"/>
  <c r="F695" i="1"/>
  <c r="E695" i="1"/>
  <c r="D695" i="1"/>
  <c r="C695" i="1"/>
  <c r="B695" i="1"/>
  <c r="A695" i="1"/>
  <c r="R694" i="1"/>
  <c r="N694" i="1"/>
  <c r="J694" i="1"/>
  <c r="I694" i="1"/>
  <c r="H694" i="1"/>
  <c r="G694" i="1"/>
  <c r="F694" i="1"/>
  <c r="E694" i="1"/>
  <c r="D694" i="1"/>
  <c r="C694" i="1"/>
  <c r="B694" i="1"/>
  <c r="A694" i="1"/>
  <c r="R693" i="1"/>
  <c r="N693" i="1"/>
  <c r="J693" i="1"/>
  <c r="I693" i="1"/>
  <c r="H693" i="1"/>
  <c r="G693" i="1"/>
  <c r="F693" i="1"/>
  <c r="E693" i="1"/>
  <c r="D693" i="1"/>
  <c r="C693" i="1"/>
  <c r="B693" i="1"/>
  <c r="A693" i="1"/>
  <c r="R692" i="1"/>
  <c r="N692" i="1"/>
  <c r="J692" i="1"/>
  <c r="I692" i="1"/>
  <c r="H692" i="1"/>
  <c r="G692" i="1"/>
  <c r="F692" i="1"/>
  <c r="E692" i="1"/>
  <c r="D692" i="1"/>
  <c r="C692" i="1"/>
  <c r="B692" i="1"/>
  <c r="A692" i="1"/>
  <c r="R691" i="1"/>
  <c r="N691" i="1"/>
  <c r="J691" i="1"/>
  <c r="I691" i="1"/>
  <c r="H691" i="1"/>
  <c r="G691" i="1"/>
  <c r="F691" i="1"/>
  <c r="E691" i="1"/>
  <c r="D691" i="1"/>
  <c r="C691" i="1"/>
  <c r="B691" i="1"/>
  <c r="A691" i="1"/>
  <c r="R690" i="1"/>
  <c r="Q690" i="1"/>
  <c r="N690" i="1"/>
  <c r="J690" i="1"/>
  <c r="I690" i="1"/>
  <c r="H690" i="1"/>
  <c r="G690" i="1"/>
  <c r="F690" i="1"/>
  <c r="E690" i="1"/>
  <c r="D690" i="1"/>
  <c r="C690" i="1"/>
  <c r="A690" i="1"/>
  <c r="R689" i="1"/>
  <c r="N689" i="1"/>
  <c r="J689" i="1"/>
  <c r="I689" i="1"/>
  <c r="H689" i="1"/>
  <c r="G689" i="1"/>
  <c r="F689" i="1"/>
  <c r="E689" i="1"/>
  <c r="D689" i="1"/>
  <c r="C689" i="1"/>
  <c r="A689" i="1"/>
  <c r="R688" i="1"/>
  <c r="Q688" i="1"/>
  <c r="N688" i="1"/>
  <c r="J688" i="1"/>
  <c r="I688" i="1"/>
  <c r="H688" i="1"/>
  <c r="G688" i="1"/>
  <c r="F688" i="1"/>
  <c r="E688" i="1"/>
  <c r="D688" i="1"/>
  <c r="C688" i="1"/>
  <c r="A688" i="1"/>
  <c r="R687" i="1"/>
  <c r="N687" i="1"/>
  <c r="J687" i="1"/>
  <c r="I687" i="1"/>
  <c r="H687" i="1"/>
  <c r="G687" i="1"/>
  <c r="F687" i="1"/>
  <c r="E687" i="1"/>
  <c r="D687" i="1"/>
  <c r="C687" i="1"/>
  <c r="A687" i="1"/>
  <c r="R686" i="1"/>
  <c r="Q686" i="1"/>
  <c r="N686" i="1"/>
  <c r="J686" i="1"/>
  <c r="I686" i="1"/>
  <c r="H686" i="1"/>
  <c r="G686" i="1"/>
  <c r="F686" i="1"/>
  <c r="E686" i="1"/>
  <c r="D686" i="1"/>
  <c r="C686" i="1"/>
  <c r="A686" i="1"/>
  <c r="R685" i="1"/>
  <c r="N685" i="1"/>
  <c r="J685" i="1"/>
  <c r="I685" i="1"/>
  <c r="H685" i="1"/>
  <c r="G685" i="1"/>
  <c r="F685" i="1"/>
  <c r="E685" i="1"/>
  <c r="D685" i="1"/>
  <c r="C685" i="1"/>
  <c r="A685" i="1"/>
  <c r="R684" i="1"/>
  <c r="Q684" i="1"/>
  <c r="N684" i="1"/>
  <c r="J684" i="1"/>
  <c r="I684" i="1"/>
  <c r="H684" i="1"/>
  <c r="G684" i="1"/>
  <c r="F684" i="1"/>
  <c r="E684" i="1"/>
  <c r="D684" i="1"/>
  <c r="C684" i="1"/>
  <c r="A684" i="1"/>
  <c r="R683" i="1"/>
  <c r="N683" i="1"/>
  <c r="J683" i="1"/>
  <c r="I683" i="1"/>
  <c r="H683" i="1"/>
  <c r="G683" i="1"/>
  <c r="F683" i="1"/>
  <c r="E683" i="1"/>
  <c r="D683" i="1"/>
  <c r="C683" i="1"/>
  <c r="A683" i="1"/>
  <c r="R682" i="1"/>
  <c r="Q682" i="1"/>
  <c r="N682" i="1"/>
  <c r="J682" i="1"/>
  <c r="I682" i="1"/>
  <c r="H682" i="1"/>
  <c r="G682" i="1"/>
  <c r="F682" i="1"/>
  <c r="E682" i="1"/>
  <c r="D682" i="1"/>
  <c r="C682" i="1"/>
  <c r="A682" i="1"/>
  <c r="R681" i="1"/>
  <c r="N681" i="1"/>
  <c r="J681" i="1"/>
  <c r="I681" i="1"/>
  <c r="H681" i="1"/>
  <c r="G681" i="1"/>
  <c r="F681" i="1"/>
  <c r="E681" i="1"/>
  <c r="D681" i="1"/>
  <c r="C681" i="1"/>
  <c r="A681" i="1"/>
  <c r="R680" i="1"/>
  <c r="Q680" i="1"/>
  <c r="N680" i="1"/>
  <c r="J680" i="1"/>
  <c r="I680" i="1"/>
  <c r="H680" i="1"/>
  <c r="G680" i="1"/>
  <c r="F680" i="1"/>
  <c r="E680" i="1"/>
  <c r="D680" i="1"/>
  <c r="C680" i="1"/>
  <c r="A680" i="1"/>
  <c r="R679" i="1"/>
  <c r="N679" i="1"/>
  <c r="J679" i="1"/>
  <c r="I679" i="1"/>
  <c r="H679" i="1"/>
  <c r="G679" i="1"/>
  <c r="F679" i="1"/>
  <c r="E679" i="1"/>
  <c r="D679" i="1"/>
  <c r="C679" i="1"/>
  <c r="A679" i="1"/>
  <c r="R678" i="1"/>
  <c r="Q678" i="1"/>
  <c r="N678" i="1"/>
  <c r="J678" i="1"/>
  <c r="I678" i="1"/>
  <c r="H678" i="1"/>
  <c r="G678" i="1"/>
  <c r="F678" i="1"/>
  <c r="E678" i="1"/>
  <c r="D678" i="1"/>
  <c r="C678" i="1"/>
  <c r="A678" i="1"/>
  <c r="R677" i="1"/>
  <c r="N677" i="1"/>
  <c r="J677" i="1"/>
  <c r="I677" i="1"/>
  <c r="H677" i="1"/>
  <c r="G677" i="1"/>
  <c r="F677" i="1"/>
  <c r="E677" i="1"/>
  <c r="D677" i="1"/>
  <c r="C677" i="1"/>
  <c r="A677" i="1"/>
  <c r="R676" i="1"/>
  <c r="Q676" i="1"/>
  <c r="N676" i="1"/>
  <c r="J676" i="1"/>
  <c r="I676" i="1"/>
  <c r="H676" i="1"/>
  <c r="G676" i="1"/>
  <c r="F676" i="1"/>
  <c r="E676" i="1"/>
  <c r="D676" i="1"/>
  <c r="C676" i="1"/>
  <c r="A676" i="1"/>
  <c r="R675" i="1"/>
  <c r="N675" i="1"/>
  <c r="J675" i="1"/>
  <c r="I675" i="1"/>
  <c r="H675" i="1"/>
  <c r="G675" i="1"/>
  <c r="F675" i="1"/>
  <c r="E675" i="1"/>
  <c r="D675" i="1"/>
  <c r="C675" i="1"/>
  <c r="A675" i="1"/>
  <c r="R674" i="1"/>
  <c r="Q674" i="1"/>
  <c r="N674" i="1"/>
  <c r="J674" i="1"/>
  <c r="I674" i="1"/>
  <c r="H674" i="1"/>
  <c r="G674" i="1"/>
  <c r="F674" i="1"/>
  <c r="E674" i="1"/>
  <c r="D674" i="1"/>
  <c r="C674" i="1"/>
  <c r="A674" i="1"/>
  <c r="R673" i="1"/>
  <c r="N673" i="1"/>
  <c r="J673" i="1"/>
  <c r="I673" i="1"/>
  <c r="H673" i="1"/>
  <c r="G673" i="1"/>
  <c r="F673" i="1"/>
  <c r="E673" i="1"/>
  <c r="D673" i="1"/>
  <c r="C673" i="1"/>
  <c r="B673" i="1"/>
  <c r="A673" i="1"/>
  <c r="R672" i="1"/>
  <c r="N672" i="1"/>
  <c r="J672" i="1"/>
  <c r="I672" i="1"/>
  <c r="H672" i="1"/>
  <c r="G672" i="1"/>
  <c r="F672" i="1"/>
  <c r="E672" i="1"/>
  <c r="D672" i="1"/>
  <c r="C672" i="1"/>
  <c r="B672" i="1"/>
  <c r="A672" i="1"/>
  <c r="R671" i="1"/>
  <c r="N671" i="1"/>
  <c r="J671" i="1"/>
  <c r="I671" i="1"/>
  <c r="H671" i="1"/>
  <c r="G671" i="1"/>
  <c r="F671" i="1"/>
  <c r="E671" i="1"/>
  <c r="D671" i="1"/>
  <c r="C671" i="1"/>
  <c r="B671" i="1"/>
  <c r="A671" i="1"/>
  <c r="R670" i="1"/>
  <c r="N670" i="1"/>
  <c r="J670" i="1"/>
  <c r="I670" i="1"/>
  <c r="H670" i="1"/>
  <c r="G670" i="1"/>
  <c r="F670" i="1"/>
  <c r="E670" i="1"/>
  <c r="D670" i="1"/>
  <c r="C670" i="1"/>
  <c r="B670" i="1"/>
  <c r="A670" i="1"/>
  <c r="R669" i="1"/>
  <c r="N669" i="1"/>
  <c r="J669" i="1"/>
  <c r="I669" i="1"/>
  <c r="H669" i="1"/>
  <c r="G669" i="1"/>
  <c r="F669" i="1"/>
  <c r="E669" i="1"/>
  <c r="D669" i="1"/>
  <c r="C669" i="1"/>
  <c r="B669" i="1"/>
  <c r="A669" i="1"/>
  <c r="R668" i="1"/>
  <c r="N668" i="1"/>
  <c r="J668" i="1"/>
  <c r="I668" i="1"/>
  <c r="H668" i="1"/>
  <c r="G668" i="1"/>
  <c r="F668" i="1"/>
  <c r="E668" i="1"/>
  <c r="D668" i="1"/>
  <c r="C668" i="1"/>
  <c r="B668" i="1"/>
  <c r="A668" i="1"/>
  <c r="R667" i="1"/>
  <c r="N667" i="1"/>
  <c r="J667" i="1"/>
  <c r="I667" i="1"/>
  <c r="H667" i="1"/>
  <c r="G667" i="1"/>
  <c r="F667" i="1"/>
  <c r="E667" i="1"/>
  <c r="D667" i="1"/>
  <c r="C667" i="1"/>
  <c r="B667" i="1"/>
  <c r="A667" i="1"/>
  <c r="R666" i="1"/>
  <c r="N666" i="1"/>
  <c r="J666" i="1"/>
  <c r="I666" i="1"/>
  <c r="H666" i="1"/>
  <c r="G666" i="1"/>
  <c r="F666" i="1"/>
  <c r="E666" i="1"/>
  <c r="D666" i="1"/>
  <c r="C666" i="1"/>
  <c r="B666" i="1"/>
  <c r="A666" i="1"/>
  <c r="R665" i="1"/>
  <c r="N665" i="1"/>
  <c r="J665" i="1"/>
  <c r="I665" i="1"/>
  <c r="H665" i="1"/>
  <c r="G665" i="1"/>
  <c r="F665" i="1"/>
  <c r="E665" i="1"/>
  <c r="D665" i="1"/>
  <c r="C665" i="1"/>
  <c r="B665" i="1"/>
  <c r="A665" i="1"/>
  <c r="R664" i="1"/>
  <c r="N664" i="1"/>
  <c r="J664" i="1"/>
  <c r="I664" i="1"/>
  <c r="H664" i="1"/>
  <c r="G664" i="1"/>
  <c r="F664" i="1"/>
  <c r="E664" i="1"/>
  <c r="D664" i="1"/>
  <c r="C664" i="1"/>
  <c r="B664" i="1"/>
  <c r="A664" i="1"/>
  <c r="R663" i="1"/>
  <c r="N663" i="1"/>
  <c r="J663" i="1"/>
  <c r="I663" i="1"/>
  <c r="H663" i="1"/>
  <c r="G663" i="1"/>
  <c r="F663" i="1"/>
  <c r="E663" i="1"/>
  <c r="D663" i="1"/>
  <c r="C663" i="1"/>
  <c r="B663" i="1"/>
  <c r="A663" i="1"/>
  <c r="R662" i="1"/>
  <c r="N662" i="1"/>
  <c r="J662" i="1"/>
  <c r="I662" i="1"/>
  <c r="H662" i="1"/>
  <c r="G662" i="1"/>
  <c r="F662" i="1"/>
  <c r="E662" i="1"/>
  <c r="D662" i="1"/>
  <c r="C662" i="1"/>
  <c r="B662" i="1"/>
  <c r="A662" i="1"/>
  <c r="R661" i="1"/>
  <c r="Q661" i="1"/>
  <c r="N661" i="1"/>
  <c r="J661" i="1"/>
  <c r="I661" i="1"/>
  <c r="H661" i="1"/>
  <c r="G661" i="1"/>
  <c r="F661" i="1"/>
  <c r="E661" i="1"/>
  <c r="D661" i="1"/>
  <c r="C661" i="1"/>
  <c r="A661" i="1"/>
  <c r="R660" i="1"/>
  <c r="N660" i="1"/>
  <c r="J660" i="1"/>
  <c r="I660" i="1"/>
  <c r="H660" i="1"/>
  <c r="G660" i="1"/>
  <c r="F660" i="1"/>
  <c r="E660" i="1"/>
  <c r="D660" i="1"/>
  <c r="C660" i="1"/>
  <c r="A660" i="1"/>
  <c r="R659" i="1"/>
  <c r="Q659" i="1"/>
  <c r="N659" i="1"/>
  <c r="J659" i="1"/>
  <c r="I659" i="1"/>
  <c r="H659" i="1"/>
  <c r="G659" i="1"/>
  <c r="F659" i="1"/>
  <c r="E659" i="1"/>
  <c r="D659" i="1"/>
  <c r="C659" i="1"/>
  <c r="A659" i="1"/>
  <c r="R658" i="1"/>
  <c r="N658" i="1"/>
  <c r="J658" i="1"/>
  <c r="I658" i="1"/>
  <c r="H658" i="1"/>
  <c r="G658" i="1"/>
  <c r="F658" i="1"/>
  <c r="E658" i="1"/>
  <c r="D658" i="1"/>
  <c r="C658" i="1"/>
  <c r="A658" i="1"/>
  <c r="R657" i="1"/>
  <c r="Q657" i="1"/>
  <c r="N657" i="1"/>
  <c r="J657" i="1"/>
  <c r="I657" i="1"/>
  <c r="H657" i="1"/>
  <c r="G657" i="1"/>
  <c r="F657" i="1"/>
  <c r="E657" i="1"/>
  <c r="D657" i="1"/>
  <c r="C657" i="1"/>
  <c r="A657" i="1"/>
  <c r="R656" i="1"/>
  <c r="N656" i="1"/>
  <c r="J656" i="1"/>
  <c r="I656" i="1"/>
  <c r="H656" i="1"/>
  <c r="G656" i="1"/>
  <c r="F656" i="1"/>
  <c r="E656" i="1"/>
  <c r="D656" i="1"/>
  <c r="C656" i="1"/>
  <c r="A656" i="1"/>
  <c r="R655" i="1"/>
  <c r="Q655" i="1"/>
  <c r="N655" i="1"/>
  <c r="J655" i="1"/>
  <c r="I655" i="1"/>
  <c r="H655" i="1"/>
  <c r="G655" i="1"/>
  <c r="F655" i="1"/>
  <c r="E655" i="1"/>
  <c r="D655" i="1"/>
  <c r="C655" i="1"/>
  <c r="A655" i="1"/>
  <c r="R654" i="1"/>
  <c r="N654" i="1"/>
  <c r="J654" i="1"/>
  <c r="I654" i="1"/>
  <c r="H654" i="1"/>
  <c r="G654" i="1"/>
  <c r="F654" i="1"/>
  <c r="E654" i="1"/>
  <c r="D654" i="1"/>
  <c r="C654" i="1"/>
  <c r="A654" i="1"/>
  <c r="R653" i="1"/>
  <c r="Q653" i="1"/>
  <c r="N653" i="1"/>
  <c r="J653" i="1"/>
  <c r="I653" i="1"/>
  <c r="H653" i="1"/>
  <c r="G653" i="1"/>
  <c r="F653" i="1"/>
  <c r="E653" i="1"/>
  <c r="D653" i="1"/>
  <c r="C653" i="1"/>
  <c r="A653" i="1"/>
  <c r="R652" i="1"/>
  <c r="N652" i="1"/>
  <c r="J652" i="1"/>
  <c r="I652" i="1"/>
  <c r="H652" i="1"/>
  <c r="G652" i="1"/>
  <c r="F652" i="1"/>
  <c r="E652" i="1"/>
  <c r="D652" i="1"/>
  <c r="C652" i="1"/>
  <c r="A652" i="1"/>
  <c r="R651" i="1"/>
  <c r="Q651" i="1"/>
  <c r="N651" i="1"/>
  <c r="J651" i="1"/>
  <c r="I651" i="1"/>
  <c r="H651" i="1"/>
  <c r="G651" i="1"/>
  <c r="F651" i="1"/>
  <c r="E651" i="1"/>
  <c r="D651" i="1"/>
  <c r="C651" i="1"/>
  <c r="A651" i="1"/>
  <c r="R650" i="1"/>
  <c r="N650" i="1"/>
  <c r="J650" i="1"/>
  <c r="I650" i="1"/>
  <c r="H650" i="1"/>
  <c r="G650" i="1"/>
  <c r="F650" i="1"/>
  <c r="E650" i="1"/>
  <c r="D650" i="1"/>
  <c r="C650" i="1"/>
  <c r="A650" i="1"/>
  <c r="R649" i="1"/>
  <c r="Q649" i="1"/>
  <c r="N649" i="1"/>
  <c r="J649" i="1"/>
  <c r="I649" i="1"/>
  <c r="H649" i="1"/>
  <c r="G649" i="1"/>
  <c r="F649" i="1"/>
  <c r="E649" i="1"/>
  <c r="D649" i="1"/>
  <c r="C649" i="1"/>
  <c r="A649" i="1"/>
  <c r="R648" i="1"/>
  <c r="N648" i="1"/>
  <c r="J648" i="1"/>
  <c r="I648" i="1"/>
  <c r="H648" i="1"/>
  <c r="G648" i="1"/>
  <c r="F648" i="1"/>
  <c r="E648" i="1"/>
  <c r="D648" i="1"/>
  <c r="C648" i="1"/>
  <c r="A648" i="1"/>
  <c r="R647" i="1"/>
  <c r="Q647" i="1"/>
  <c r="N647" i="1"/>
  <c r="J647" i="1"/>
  <c r="I647" i="1"/>
  <c r="H647" i="1"/>
  <c r="G647" i="1"/>
  <c r="F647" i="1"/>
  <c r="E647" i="1"/>
  <c r="D647" i="1"/>
  <c r="C647" i="1"/>
  <c r="A647" i="1"/>
  <c r="R646" i="1"/>
  <c r="Q646" i="1"/>
  <c r="N646" i="1"/>
  <c r="J646" i="1"/>
  <c r="I646" i="1"/>
  <c r="H646" i="1"/>
  <c r="G646" i="1"/>
  <c r="F646" i="1"/>
  <c r="E646" i="1"/>
  <c r="D646" i="1"/>
  <c r="C646" i="1"/>
  <c r="A646" i="1"/>
  <c r="R645" i="1"/>
  <c r="Q645" i="1"/>
  <c r="N645" i="1"/>
  <c r="J645" i="1"/>
  <c r="I645" i="1"/>
  <c r="H645" i="1"/>
  <c r="G645" i="1"/>
  <c r="F645" i="1"/>
  <c r="E645" i="1"/>
  <c r="D645" i="1"/>
  <c r="C645" i="1"/>
  <c r="A645" i="1"/>
  <c r="R644" i="1"/>
  <c r="N644" i="1"/>
  <c r="J644" i="1"/>
  <c r="I644" i="1"/>
  <c r="H644" i="1"/>
  <c r="G644" i="1"/>
  <c r="F644" i="1"/>
  <c r="E644" i="1"/>
  <c r="D644" i="1"/>
  <c r="C644" i="1"/>
  <c r="A644" i="1"/>
  <c r="R643" i="1"/>
  <c r="Q643" i="1"/>
  <c r="N643" i="1"/>
  <c r="J643" i="1"/>
  <c r="I643" i="1"/>
  <c r="H643" i="1"/>
  <c r="G643" i="1"/>
  <c r="F643" i="1"/>
  <c r="E643" i="1"/>
  <c r="D643" i="1"/>
  <c r="C643" i="1"/>
  <c r="A643" i="1"/>
  <c r="R642" i="1"/>
  <c r="N642" i="1"/>
  <c r="J642" i="1"/>
  <c r="I642" i="1"/>
  <c r="H642" i="1"/>
  <c r="G642" i="1"/>
  <c r="F642" i="1"/>
  <c r="E642" i="1"/>
  <c r="D642" i="1"/>
  <c r="C642" i="1"/>
  <c r="A642" i="1"/>
  <c r="R641" i="1"/>
  <c r="Q641" i="1"/>
  <c r="N641" i="1"/>
  <c r="J641" i="1"/>
  <c r="I641" i="1"/>
  <c r="H641" i="1"/>
  <c r="G641" i="1"/>
  <c r="F641" i="1"/>
  <c r="E641" i="1"/>
  <c r="D641" i="1"/>
  <c r="C641" i="1"/>
  <c r="A641" i="1"/>
  <c r="R640" i="1"/>
  <c r="N640" i="1"/>
  <c r="J640" i="1"/>
  <c r="I640" i="1"/>
  <c r="H640" i="1"/>
  <c r="G640" i="1"/>
  <c r="F640" i="1"/>
  <c r="E640" i="1"/>
  <c r="D640" i="1"/>
  <c r="C640" i="1"/>
  <c r="A640" i="1"/>
  <c r="R639" i="1"/>
  <c r="Q639" i="1"/>
  <c r="N639" i="1"/>
  <c r="J639" i="1"/>
  <c r="I639" i="1"/>
  <c r="H639" i="1"/>
  <c r="G639" i="1"/>
  <c r="F639" i="1"/>
  <c r="E639" i="1"/>
  <c r="D639" i="1"/>
  <c r="C639" i="1"/>
  <c r="A639" i="1"/>
  <c r="R638" i="1"/>
  <c r="N638" i="1"/>
  <c r="J638" i="1"/>
  <c r="I638" i="1"/>
  <c r="H638" i="1"/>
  <c r="G638" i="1"/>
  <c r="F638" i="1"/>
  <c r="E638" i="1"/>
  <c r="D638" i="1"/>
  <c r="C638" i="1"/>
  <c r="A638" i="1"/>
  <c r="R637" i="1"/>
  <c r="Q637" i="1"/>
  <c r="N637" i="1"/>
  <c r="J637" i="1"/>
  <c r="I637" i="1"/>
  <c r="H637" i="1"/>
  <c r="G637" i="1"/>
  <c r="F637" i="1"/>
  <c r="E637" i="1"/>
  <c r="D637" i="1"/>
  <c r="C637" i="1"/>
  <c r="A637" i="1"/>
  <c r="R636" i="1"/>
  <c r="Q636" i="1"/>
  <c r="N636" i="1"/>
  <c r="J636" i="1"/>
  <c r="I636" i="1"/>
  <c r="H636" i="1"/>
  <c r="G636" i="1"/>
  <c r="F636" i="1"/>
  <c r="E636" i="1"/>
  <c r="D636" i="1"/>
  <c r="C636" i="1"/>
  <c r="A636" i="1"/>
  <c r="R635" i="1"/>
  <c r="Q635" i="1"/>
  <c r="N635" i="1"/>
  <c r="J635" i="1"/>
  <c r="I635" i="1"/>
  <c r="H635" i="1"/>
  <c r="G635" i="1"/>
  <c r="F635" i="1"/>
  <c r="E635" i="1"/>
  <c r="D635" i="1"/>
  <c r="C635" i="1"/>
  <c r="A635" i="1"/>
  <c r="R634" i="1"/>
  <c r="Q634" i="1"/>
  <c r="N634" i="1"/>
  <c r="J634" i="1"/>
  <c r="I634" i="1"/>
  <c r="H634" i="1"/>
  <c r="G634" i="1"/>
  <c r="F634" i="1"/>
  <c r="E634" i="1"/>
  <c r="D634" i="1"/>
  <c r="C634" i="1"/>
  <c r="A634" i="1"/>
  <c r="R633" i="1"/>
  <c r="Q633" i="1"/>
  <c r="N633" i="1"/>
  <c r="J633" i="1"/>
  <c r="I633" i="1"/>
  <c r="H633" i="1"/>
  <c r="G633" i="1"/>
  <c r="F633" i="1"/>
  <c r="E633" i="1"/>
  <c r="D633" i="1"/>
  <c r="C633" i="1"/>
  <c r="A633" i="1"/>
  <c r="R632" i="1"/>
  <c r="Q632" i="1"/>
  <c r="N632" i="1"/>
  <c r="J632" i="1"/>
  <c r="I632" i="1"/>
  <c r="H632" i="1"/>
  <c r="G632" i="1"/>
  <c r="F632" i="1"/>
  <c r="E632" i="1"/>
  <c r="D632" i="1"/>
  <c r="C632" i="1"/>
  <c r="A632" i="1"/>
  <c r="R631" i="1"/>
  <c r="Q631" i="1"/>
  <c r="N631" i="1"/>
  <c r="J631" i="1"/>
  <c r="I631" i="1"/>
  <c r="H631" i="1"/>
  <c r="G631" i="1"/>
  <c r="F631" i="1"/>
  <c r="E631" i="1"/>
  <c r="D631" i="1"/>
  <c r="C631" i="1"/>
  <c r="A631" i="1"/>
  <c r="R630" i="1"/>
  <c r="Q630" i="1"/>
  <c r="N630" i="1"/>
  <c r="J630" i="1"/>
  <c r="I630" i="1"/>
  <c r="H630" i="1"/>
  <c r="G630" i="1"/>
  <c r="F630" i="1"/>
  <c r="E630" i="1"/>
  <c r="D630" i="1"/>
  <c r="C630" i="1"/>
  <c r="A630" i="1"/>
  <c r="R629" i="1"/>
  <c r="Q629" i="1"/>
  <c r="N629" i="1"/>
  <c r="J629" i="1"/>
  <c r="I629" i="1"/>
  <c r="H629" i="1"/>
  <c r="G629" i="1"/>
  <c r="F629" i="1"/>
  <c r="E629" i="1"/>
  <c r="D629" i="1"/>
  <c r="C629" i="1"/>
  <c r="A629" i="1"/>
  <c r="R628" i="1"/>
  <c r="Q628" i="1"/>
  <c r="N628" i="1"/>
  <c r="J628" i="1"/>
  <c r="I628" i="1"/>
  <c r="H628" i="1"/>
  <c r="G628" i="1"/>
  <c r="F628" i="1"/>
  <c r="E628" i="1"/>
  <c r="D628" i="1"/>
  <c r="C628" i="1"/>
  <c r="A628" i="1"/>
  <c r="R627" i="1"/>
  <c r="N627" i="1"/>
  <c r="J627" i="1"/>
  <c r="I627" i="1"/>
  <c r="H627" i="1"/>
  <c r="G627" i="1"/>
  <c r="F627" i="1"/>
  <c r="E627" i="1"/>
  <c r="D627" i="1"/>
  <c r="C627" i="1"/>
  <c r="A627" i="1"/>
  <c r="R626" i="1"/>
  <c r="Q626" i="1"/>
  <c r="N626" i="1"/>
  <c r="J626" i="1"/>
  <c r="I626" i="1"/>
  <c r="H626" i="1"/>
  <c r="G626" i="1"/>
  <c r="F626" i="1"/>
  <c r="E626" i="1"/>
  <c r="D626" i="1"/>
  <c r="C626" i="1"/>
  <c r="A626" i="1"/>
  <c r="R625" i="1"/>
  <c r="Q625" i="1"/>
  <c r="N625" i="1"/>
  <c r="J625" i="1"/>
  <c r="I625" i="1"/>
  <c r="H625" i="1"/>
  <c r="G625" i="1"/>
  <c r="F625" i="1"/>
  <c r="E625" i="1"/>
  <c r="D625" i="1"/>
  <c r="C625" i="1"/>
  <c r="A625" i="1"/>
  <c r="R624" i="1"/>
  <c r="Q624" i="1"/>
  <c r="N624" i="1"/>
  <c r="J624" i="1"/>
  <c r="I624" i="1"/>
  <c r="H624" i="1"/>
  <c r="G624" i="1"/>
  <c r="F624" i="1"/>
  <c r="E624" i="1"/>
  <c r="D624" i="1"/>
  <c r="C624" i="1"/>
  <c r="A624" i="1"/>
  <c r="R623" i="1"/>
  <c r="Q623" i="1"/>
  <c r="N623" i="1"/>
  <c r="J623" i="1"/>
  <c r="I623" i="1"/>
  <c r="H623" i="1"/>
  <c r="G623" i="1"/>
  <c r="F623" i="1"/>
  <c r="E623" i="1"/>
  <c r="D623" i="1"/>
  <c r="C623" i="1"/>
  <c r="A623" i="1"/>
  <c r="R622" i="1"/>
  <c r="Q622" i="1"/>
  <c r="N622" i="1"/>
  <c r="J622" i="1"/>
  <c r="I622" i="1"/>
  <c r="H622" i="1"/>
  <c r="G622" i="1"/>
  <c r="F622" i="1"/>
  <c r="E622" i="1"/>
  <c r="D622" i="1"/>
  <c r="C622" i="1"/>
  <c r="A622" i="1"/>
  <c r="R621" i="1"/>
  <c r="N621" i="1"/>
  <c r="J621" i="1"/>
  <c r="I621" i="1"/>
  <c r="H621" i="1"/>
  <c r="G621" i="1"/>
  <c r="F621" i="1"/>
  <c r="E621" i="1"/>
  <c r="D621" i="1"/>
  <c r="C621" i="1"/>
  <c r="A621" i="1"/>
  <c r="R620" i="1"/>
  <c r="Q620" i="1"/>
  <c r="N620" i="1"/>
  <c r="J620" i="1"/>
  <c r="I620" i="1"/>
  <c r="H620" i="1"/>
  <c r="G620" i="1"/>
  <c r="F620" i="1"/>
  <c r="E620" i="1"/>
  <c r="D620" i="1"/>
  <c r="C620" i="1"/>
  <c r="A620" i="1"/>
  <c r="R619" i="1"/>
  <c r="Q619" i="1"/>
  <c r="N619" i="1"/>
  <c r="J619" i="1"/>
  <c r="I619" i="1"/>
  <c r="H619" i="1"/>
  <c r="G619" i="1"/>
  <c r="F619" i="1"/>
  <c r="E619" i="1"/>
  <c r="D619" i="1"/>
  <c r="C619" i="1"/>
  <c r="A619" i="1"/>
  <c r="R618" i="1"/>
  <c r="Q618" i="1"/>
  <c r="N618" i="1"/>
  <c r="J618" i="1"/>
  <c r="I618" i="1"/>
  <c r="H618" i="1"/>
  <c r="G618" i="1"/>
  <c r="F618" i="1"/>
  <c r="E618" i="1"/>
  <c r="D618" i="1"/>
  <c r="C618" i="1"/>
  <c r="A618" i="1"/>
  <c r="R617" i="1"/>
  <c r="Q617" i="1"/>
  <c r="N617" i="1"/>
  <c r="J617" i="1"/>
  <c r="I617" i="1"/>
  <c r="H617" i="1"/>
  <c r="G617" i="1"/>
  <c r="F617" i="1"/>
  <c r="E617" i="1"/>
  <c r="D617" i="1"/>
  <c r="C617" i="1"/>
  <c r="A617" i="1"/>
  <c r="R616" i="1"/>
  <c r="Q616" i="1"/>
  <c r="N616" i="1"/>
  <c r="J616" i="1"/>
  <c r="I616" i="1"/>
  <c r="H616" i="1"/>
  <c r="G616" i="1"/>
  <c r="F616" i="1"/>
  <c r="E616" i="1"/>
  <c r="D616" i="1"/>
  <c r="C616" i="1"/>
  <c r="A616" i="1"/>
  <c r="R615" i="1"/>
  <c r="Q615" i="1"/>
  <c r="N615" i="1"/>
  <c r="J615" i="1"/>
  <c r="I615" i="1"/>
  <c r="H615" i="1"/>
  <c r="G615" i="1"/>
  <c r="F615" i="1"/>
  <c r="E615" i="1"/>
  <c r="D615" i="1"/>
  <c r="C615" i="1"/>
  <c r="A615" i="1"/>
  <c r="R614" i="1"/>
  <c r="Q614" i="1"/>
  <c r="N614" i="1"/>
  <c r="J614" i="1"/>
  <c r="I614" i="1"/>
  <c r="H614" i="1"/>
  <c r="G614" i="1"/>
  <c r="F614" i="1"/>
  <c r="E614" i="1"/>
  <c r="D614" i="1"/>
  <c r="C614" i="1"/>
  <c r="A614" i="1"/>
  <c r="R613" i="1"/>
  <c r="Q613" i="1"/>
  <c r="N613" i="1"/>
  <c r="J613" i="1"/>
  <c r="I613" i="1"/>
  <c r="H613" i="1"/>
  <c r="G613" i="1"/>
  <c r="F613" i="1"/>
  <c r="E613" i="1"/>
  <c r="D613" i="1"/>
  <c r="C613" i="1"/>
  <c r="A613" i="1"/>
  <c r="R612" i="1"/>
  <c r="Q612" i="1"/>
  <c r="N612" i="1"/>
  <c r="J612" i="1"/>
  <c r="I612" i="1"/>
  <c r="H612" i="1"/>
  <c r="G612" i="1"/>
  <c r="F612" i="1"/>
  <c r="E612" i="1"/>
  <c r="D612" i="1"/>
  <c r="C612" i="1"/>
  <c r="A612" i="1"/>
  <c r="R611" i="1"/>
  <c r="Q611" i="1"/>
  <c r="N611" i="1"/>
  <c r="J611" i="1"/>
  <c r="I611" i="1"/>
  <c r="H611" i="1"/>
  <c r="G611" i="1"/>
  <c r="F611" i="1"/>
  <c r="E611" i="1"/>
  <c r="D611" i="1"/>
  <c r="C611" i="1"/>
  <c r="A611" i="1"/>
  <c r="R610" i="1"/>
  <c r="Q610" i="1"/>
  <c r="N610" i="1"/>
  <c r="J610" i="1"/>
  <c r="I610" i="1"/>
  <c r="H610" i="1"/>
  <c r="G610" i="1"/>
  <c r="F610" i="1"/>
  <c r="E610" i="1"/>
  <c r="D610" i="1"/>
  <c r="C610" i="1"/>
  <c r="A610" i="1"/>
  <c r="R609" i="1"/>
  <c r="Q609" i="1"/>
  <c r="N609" i="1"/>
  <c r="J609" i="1"/>
  <c r="I609" i="1"/>
  <c r="H609" i="1"/>
  <c r="G609" i="1"/>
  <c r="F609" i="1"/>
  <c r="E609" i="1"/>
  <c r="D609" i="1"/>
  <c r="C609" i="1"/>
  <c r="A609" i="1"/>
  <c r="R608" i="1"/>
  <c r="Q608" i="1"/>
  <c r="N608" i="1"/>
  <c r="J608" i="1"/>
  <c r="I608" i="1"/>
  <c r="H608" i="1"/>
  <c r="G608" i="1"/>
  <c r="F608" i="1"/>
  <c r="E608" i="1"/>
  <c r="D608" i="1"/>
  <c r="C608" i="1"/>
  <c r="A608" i="1"/>
  <c r="R607" i="1"/>
  <c r="Q607" i="1"/>
  <c r="N607" i="1"/>
  <c r="J607" i="1"/>
  <c r="I607" i="1"/>
  <c r="H607" i="1"/>
  <c r="G607" i="1"/>
  <c r="F607" i="1"/>
  <c r="E607" i="1"/>
  <c r="D607" i="1"/>
  <c r="C607" i="1"/>
  <c r="A607" i="1"/>
  <c r="R606" i="1"/>
  <c r="Q606" i="1"/>
  <c r="N606" i="1"/>
  <c r="J606" i="1"/>
  <c r="I606" i="1"/>
  <c r="H606" i="1"/>
  <c r="G606" i="1"/>
  <c r="F606" i="1"/>
  <c r="E606" i="1"/>
  <c r="D606" i="1"/>
  <c r="C606" i="1"/>
  <c r="A606" i="1"/>
  <c r="R605" i="1"/>
  <c r="Q605" i="1"/>
  <c r="N605" i="1"/>
  <c r="J605" i="1"/>
  <c r="I605" i="1"/>
  <c r="H605" i="1"/>
  <c r="G605" i="1"/>
  <c r="F605" i="1"/>
  <c r="E605" i="1"/>
  <c r="D605" i="1"/>
  <c r="C605" i="1"/>
  <c r="A605" i="1"/>
  <c r="R604" i="1"/>
  <c r="Q604" i="1"/>
  <c r="N604" i="1"/>
  <c r="J604" i="1"/>
  <c r="I604" i="1"/>
  <c r="H604" i="1"/>
  <c r="G604" i="1"/>
  <c r="F604" i="1"/>
  <c r="E604" i="1"/>
  <c r="D604" i="1"/>
  <c r="C604" i="1"/>
  <c r="A604" i="1"/>
  <c r="R603" i="1"/>
  <c r="Q603" i="1"/>
  <c r="N603" i="1"/>
  <c r="J603" i="1"/>
  <c r="I603" i="1"/>
  <c r="H603" i="1"/>
  <c r="G603" i="1"/>
  <c r="F603" i="1"/>
  <c r="E603" i="1"/>
  <c r="D603" i="1"/>
  <c r="C603" i="1"/>
  <c r="A603" i="1"/>
  <c r="R602" i="1"/>
  <c r="Q602" i="1"/>
  <c r="N602" i="1"/>
  <c r="J602" i="1"/>
  <c r="I602" i="1"/>
  <c r="H602" i="1"/>
  <c r="G602" i="1"/>
  <c r="F602" i="1"/>
  <c r="E602" i="1"/>
  <c r="D602" i="1"/>
  <c r="C602" i="1"/>
  <c r="A602" i="1"/>
  <c r="R601" i="1"/>
  <c r="Q601" i="1"/>
  <c r="N601" i="1"/>
  <c r="J601" i="1"/>
  <c r="I601" i="1"/>
  <c r="H601" i="1"/>
  <c r="G601" i="1"/>
  <c r="F601" i="1"/>
  <c r="E601" i="1"/>
  <c r="D601" i="1"/>
  <c r="C601" i="1"/>
  <c r="A601" i="1"/>
  <c r="R600" i="1"/>
  <c r="Q600" i="1"/>
  <c r="N600" i="1"/>
  <c r="J600" i="1"/>
  <c r="I600" i="1"/>
  <c r="H600" i="1"/>
  <c r="G600" i="1"/>
  <c r="F600" i="1"/>
  <c r="E600" i="1"/>
  <c r="D600" i="1"/>
  <c r="C600" i="1"/>
  <c r="A600" i="1"/>
  <c r="R599" i="1"/>
  <c r="Q599" i="1"/>
  <c r="N599" i="1"/>
  <c r="J599" i="1"/>
  <c r="I599" i="1"/>
  <c r="H599" i="1"/>
  <c r="G599" i="1"/>
  <c r="F599" i="1"/>
  <c r="E599" i="1"/>
  <c r="D599" i="1"/>
  <c r="C599" i="1"/>
  <c r="A599" i="1"/>
  <c r="R598" i="1"/>
  <c r="Q598" i="1"/>
  <c r="N598" i="1"/>
  <c r="J598" i="1"/>
  <c r="I598" i="1"/>
  <c r="H598" i="1"/>
  <c r="G598" i="1"/>
  <c r="F598" i="1"/>
  <c r="E598" i="1"/>
  <c r="D598" i="1"/>
  <c r="C598" i="1"/>
  <c r="A598" i="1"/>
  <c r="R597" i="1"/>
  <c r="Q597" i="1"/>
  <c r="N597" i="1"/>
  <c r="J597" i="1"/>
  <c r="I597" i="1"/>
  <c r="H597" i="1"/>
  <c r="G597" i="1"/>
  <c r="F597" i="1"/>
  <c r="E597" i="1"/>
  <c r="D597" i="1"/>
  <c r="C597" i="1"/>
  <c r="A597" i="1"/>
  <c r="R596" i="1"/>
  <c r="Q596" i="1"/>
  <c r="N596" i="1"/>
  <c r="J596" i="1"/>
  <c r="I596" i="1"/>
  <c r="H596" i="1"/>
  <c r="G596" i="1"/>
  <c r="F596" i="1"/>
  <c r="E596" i="1"/>
  <c r="D596" i="1"/>
  <c r="C596" i="1"/>
  <c r="A596" i="1"/>
  <c r="R595" i="1"/>
  <c r="Q595" i="1"/>
  <c r="N595" i="1"/>
  <c r="J595" i="1"/>
  <c r="I595" i="1"/>
  <c r="H595" i="1"/>
  <c r="G595" i="1"/>
  <c r="F595" i="1"/>
  <c r="E595" i="1"/>
  <c r="D595" i="1"/>
  <c r="C595" i="1"/>
  <c r="A595" i="1"/>
  <c r="R594" i="1"/>
  <c r="Q594" i="1"/>
  <c r="N594" i="1"/>
  <c r="J594" i="1"/>
  <c r="I594" i="1"/>
  <c r="H594" i="1"/>
  <c r="G594" i="1"/>
  <c r="F594" i="1"/>
  <c r="E594" i="1"/>
  <c r="D594" i="1"/>
  <c r="C594" i="1"/>
  <c r="A594" i="1"/>
  <c r="R593" i="1"/>
  <c r="Q593" i="1"/>
  <c r="N593" i="1"/>
  <c r="J593" i="1"/>
  <c r="I593" i="1"/>
  <c r="H593" i="1"/>
  <c r="G593" i="1"/>
  <c r="F593" i="1"/>
  <c r="E593" i="1"/>
  <c r="D593" i="1"/>
  <c r="C593" i="1"/>
  <c r="A593" i="1"/>
  <c r="R592" i="1"/>
  <c r="Q592" i="1"/>
  <c r="N592" i="1"/>
  <c r="J592" i="1"/>
  <c r="I592" i="1"/>
  <c r="H592" i="1"/>
  <c r="G592" i="1"/>
  <c r="F592" i="1"/>
  <c r="E592" i="1"/>
  <c r="D592" i="1"/>
  <c r="C592" i="1"/>
  <c r="A592" i="1"/>
  <c r="R591" i="1"/>
  <c r="Q591" i="1"/>
  <c r="N591" i="1"/>
  <c r="J591" i="1"/>
  <c r="I591" i="1"/>
  <c r="H591" i="1"/>
  <c r="G591" i="1"/>
  <c r="F591" i="1"/>
  <c r="E591" i="1"/>
  <c r="D591" i="1"/>
  <c r="C591" i="1"/>
  <c r="A591" i="1"/>
  <c r="R590" i="1"/>
  <c r="Q590" i="1"/>
  <c r="N590" i="1"/>
  <c r="J590" i="1"/>
  <c r="I590" i="1"/>
  <c r="H590" i="1"/>
  <c r="G590" i="1"/>
  <c r="F590" i="1"/>
  <c r="E590" i="1"/>
  <c r="D590" i="1"/>
  <c r="C590" i="1"/>
  <c r="A590" i="1"/>
  <c r="R589" i="1"/>
  <c r="Q589" i="1"/>
  <c r="N589" i="1"/>
  <c r="J589" i="1"/>
  <c r="I589" i="1"/>
  <c r="H589" i="1"/>
  <c r="G589" i="1"/>
  <c r="F589" i="1"/>
  <c r="E589" i="1"/>
  <c r="D589" i="1"/>
  <c r="C589" i="1"/>
  <c r="A589" i="1"/>
  <c r="R588" i="1"/>
  <c r="Q588" i="1"/>
  <c r="N588" i="1"/>
  <c r="J588" i="1"/>
  <c r="I588" i="1"/>
  <c r="H588" i="1"/>
  <c r="G588" i="1"/>
  <c r="F588" i="1"/>
  <c r="E588" i="1"/>
  <c r="D588" i="1"/>
  <c r="C588" i="1"/>
  <c r="A588" i="1"/>
  <c r="R587" i="1"/>
  <c r="Q587" i="1"/>
  <c r="N587" i="1"/>
  <c r="J587" i="1"/>
  <c r="I587" i="1"/>
  <c r="H587" i="1"/>
  <c r="G587" i="1"/>
  <c r="F587" i="1"/>
  <c r="E587" i="1"/>
  <c r="D587" i="1"/>
  <c r="C587" i="1"/>
  <c r="A587" i="1"/>
  <c r="R586" i="1"/>
  <c r="Q586" i="1"/>
  <c r="N586" i="1"/>
  <c r="J586" i="1"/>
  <c r="I586" i="1"/>
  <c r="H586" i="1"/>
  <c r="G586" i="1"/>
  <c r="F586" i="1"/>
  <c r="E586" i="1"/>
  <c r="D586" i="1"/>
  <c r="C586" i="1"/>
  <c r="A586" i="1"/>
  <c r="R585" i="1"/>
  <c r="Q585" i="1"/>
  <c r="N585" i="1"/>
  <c r="J585" i="1"/>
  <c r="I585" i="1"/>
  <c r="H585" i="1"/>
  <c r="G585" i="1"/>
  <c r="F585" i="1"/>
  <c r="E585" i="1"/>
  <c r="D585" i="1"/>
  <c r="C585" i="1"/>
  <c r="A585" i="1"/>
  <c r="R584" i="1"/>
  <c r="Q584" i="1"/>
  <c r="N584" i="1"/>
  <c r="J584" i="1"/>
  <c r="I584" i="1"/>
  <c r="H584" i="1"/>
  <c r="G584" i="1"/>
  <c r="F584" i="1"/>
  <c r="E584" i="1"/>
  <c r="D584" i="1"/>
  <c r="C584" i="1"/>
  <c r="A584" i="1"/>
  <c r="R583" i="1"/>
  <c r="Q583" i="1"/>
  <c r="N583" i="1"/>
  <c r="J583" i="1"/>
  <c r="I583" i="1"/>
  <c r="H583" i="1"/>
  <c r="G583" i="1"/>
  <c r="F583" i="1"/>
  <c r="E583" i="1"/>
  <c r="D583" i="1"/>
  <c r="C583" i="1"/>
  <c r="A583" i="1"/>
  <c r="R582" i="1"/>
  <c r="Q582" i="1"/>
  <c r="N582" i="1"/>
  <c r="J582" i="1"/>
  <c r="I582" i="1"/>
  <c r="H582" i="1"/>
  <c r="G582" i="1"/>
  <c r="F582" i="1"/>
  <c r="E582" i="1"/>
  <c r="D582" i="1"/>
  <c r="C582" i="1"/>
  <c r="A582" i="1"/>
  <c r="R581" i="1"/>
  <c r="Q581" i="1"/>
  <c r="N581" i="1"/>
  <c r="J581" i="1"/>
  <c r="I581" i="1"/>
  <c r="H581" i="1"/>
  <c r="G581" i="1"/>
  <c r="F581" i="1"/>
  <c r="E581" i="1"/>
  <c r="D581" i="1"/>
  <c r="C581" i="1"/>
  <c r="A581" i="1"/>
  <c r="R580" i="1"/>
  <c r="Q580" i="1"/>
  <c r="N580" i="1"/>
  <c r="J580" i="1"/>
  <c r="I580" i="1"/>
  <c r="H580" i="1"/>
  <c r="G580" i="1"/>
  <c r="F580" i="1"/>
  <c r="E580" i="1"/>
  <c r="D580" i="1"/>
  <c r="C580" i="1"/>
  <c r="A580" i="1"/>
  <c r="R579" i="1"/>
  <c r="Q579" i="1"/>
  <c r="N579" i="1"/>
  <c r="J579" i="1"/>
  <c r="I579" i="1"/>
  <c r="H579" i="1"/>
  <c r="G579" i="1"/>
  <c r="F579" i="1"/>
  <c r="E579" i="1"/>
  <c r="D579" i="1"/>
  <c r="C579" i="1"/>
  <c r="A579" i="1"/>
  <c r="R578" i="1"/>
  <c r="Q578" i="1"/>
  <c r="N578" i="1"/>
  <c r="J578" i="1"/>
  <c r="I578" i="1"/>
  <c r="H578" i="1"/>
  <c r="G578" i="1"/>
  <c r="F578" i="1"/>
  <c r="E578" i="1"/>
  <c r="D578" i="1"/>
  <c r="C578" i="1"/>
  <c r="A578" i="1"/>
  <c r="R577" i="1"/>
  <c r="Q577" i="1"/>
  <c r="N577" i="1"/>
  <c r="J577" i="1"/>
  <c r="I577" i="1"/>
  <c r="H577" i="1"/>
  <c r="G577" i="1"/>
  <c r="F577" i="1"/>
  <c r="E577" i="1"/>
  <c r="D577" i="1"/>
  <c r="C577" i="1"/>
  <c r="A577" i="1"/>
  <c r="R576" i="1"/>
  <c r="Q576" i="1"/>
  <c r="N576" i="1"/>
  <c r="J576" i="1"/>
  <c r="I576" i="1"/>
  <c r="H576" i="1"/>
  <c r="G576" i="1"/>
  <c r="F576" i="1"/>
  <c r="E576" i="1"/>
  <c r="D576" i="1"/>
  <c r="C576" i="1"/>
  <c r="A576" i="1"/>
  <c r="R575" i="1"/>
  <c r="N575" i="1"/>
  <c r="J575" i="1"/>
  <c r="I575" i="1"/>
  <c r="H575" i="1"/>
  <c r="G575" i="1"/>
  <c r="F575" i="1"/>
  <c r="E575" i="1"/>
  <c r="D575" i="1"/>
  <c r="C575" i="1"/>
  <c r="B575" i="1"/>
  <c r="A575" i="1"/>
  <c r="R574" i="1"/>
  <c r="Q574" i="1"/>
  <c r="N574" i="1"/>
  <c r="J574" i="1"/>
  <c r="I574" i="1"/>
  <c r="H574" i="1"/>
  <c r="G574" i="1"/>
  <c r="F574" i="1"/>
  <c r="E574" i="1"/>
  <c r="D574" i="1"/>
  <c r="C574" i="1"/>
  <c r="B574" i="1"/>
  <c r="A574" i="1"/>
  <c r="R573" i="1"/>
  <c r="N573" i="1"/>
  <c r="J573" i="1"/>
  <c r="I573" i="1"/>
  <c r="H573" i="1"/>
  <c r="G573" i="1"/>
  <c r="F573" i="1"/>
  <c r="E573" i="1"/>
  <c r="D573" i="1"/>
  <c r="C573" i="1"/>
  <c r="B573" i="1"/>
  <c r="A573" i="1"/>
  <c r="R572" i="1"/>
  <c r="Q572" i="1"/>
  <c r="N572" i="1"/>
  <c r="J572" i="1"/>
  <c r="I572" i="1"/>
  <c r="H572" i="1"/>
  <c r="G572" i="1"/>
  <c r="F572" i="1"/>
  <c r="E572" i="1"/>
  <c r="D572" i="1"/>
  <c r="C572" i="1"/>
  <c r="B572" i="1"/>
  <c r="A572" i="1"/>
  <c r="R571" i="1"/>
  <c r="N571" i="1"/>
  <c r="J571" i="1"/>
  <c r="I571" i="1"/>
  <c r="H571" i="1"/>
  <c r="G571" i="1"/>
  <c r="F571" i="1"/>
  <c r="E571" i="1"/>
  <c r="D571" i="1"/>
  <c r="C571" i="1"/>
  <c r="B571" i="1"/>
  <c r="A571" i="1"/>
  <c r="R570" i="1"/>
  <c r="Q570" i="1"/>
  <c r="N570" i="1"/>
  <c r="J570" i="1"/>
  <c r="I570" i="1"/>
  <c r="H570" i="1"/>
  <c r="G570" i="1"/>
  <c r="F570" i="1"/>
  <c r="E570" i="1"/>
  <c r="D570" i="1"/>
  <c r="C570" i="1"/>
  <c r="B570" i="1"/>
  <c r="A570" i="1"/>
  <c r="R569" i="1"/>
  <c r="N569" i="1"/>
  <c r="J569" i="1"/>
  <c r="I569" i="1"/>
  <c r="H569" i="1"/>
  <c r="G569" i="1"/>
  <c r="F569" i="1"/>
  <c r="E569" i="1"/>
  <c r="D569" i="1"/>
  <c r="C569" i="1"/>
  <c r="B569" i="1"/>
  <c r="A569" i="1"/>
  <c r="R568" i="1"/>
  <c r="Q568" i="1"/>
  <c r="N568" i="1"/>
  <c r="J568" i="1"/>
  <c r="I568" i="1"/>
  <c r="H568" i="1"/>
  <c r="G568" i="1"/>
  <c r="F568" i="1"/>
  <c r="E568" i="1"/>
  <c r="D568" i="1"/>
  <c r="C568" i="1"/>
  <c r="B568" i="1"/>
  <c r="A568" i="1"/>
  <c r="R567" i="1"/>
  <c r="N567" i="1"/>
  <c r="J567" i="1"/>
  <c r="I567" i="1"/>
  <c r="H567" i="1"/>
  <c r="G567" i="1"/>
  <c r="F567" i="1"/>
  <c r="E567" i="1"/>
  <c r="D567" i="1"/>
  <c r="C567" i="1"/>
  <c r="B567" i="1"/>
  <c r="A567" i="1"/>
  <c r="R566" i="1"/>
  <c r="Q566" i="1"/>
  <c r="N566" i="1"/>
  <c r="J566" i="1"/>
  <c r="I566" i="1"/>
  <c r="H566" i="1"/>
  <c r="G566" i="1"/>
  <c r="F566" i="1"/>
  <c r="E566" i="1"/>
  <c r="D566" i="1"/>
  <c r="C566" i="1"/>
  <c r="A566" i="1"/>
  <c r="R565" i="1"/>
  <c r="N565" i="1"/>
  <c r="J565" i="1"/>
  <c r="I565" i="1"/>
  <c r="H565" i="1"/>
  <c r="G565" i="1"/>
  <c r="F565" i="1"/>
  <c r="E565" i="1"/>
  <c r="D565" i="1"/>
  <c r="C565" i="1"/>
  <c r="A565" i="1"/>
  <c r="R564" i="1"/>
  <c r="Q564" i="1"/>
  <c r="N564" i="1"/>
  <c r="J564" i="1"/>
  <c r="I564" i="1"/>
  <c r="H564" i="1"/>
  <c r="G564" i="1"/>
  <c r="F564" i="1"/>
  <c r="E564" i="1"/>
  <c r="D564" i="1"/>
  <c r="C564" i="1"/>
  <c r="A564" i="1"/>
  <c r="R563" i="1"/>
  <c r="N563" i="1"/>
  <c r="J563" i="1"/>
  <c r="I563" i="1"/>
  <c r="H563" i="1"/>
  <c r="G563" i="1"/>
  <c r="F563" i="1"/>
  <c r="E563" i="1"/>
  <c r="D563" i="1"/>
  <c r="C563" i="1"/>
  <c r="A563" i="1"/>
  <c r="R562" i="1"/>
  <c r="Q562" i="1"/>
  <c r="N562" i="1"/>
  <c r="J562" i="1"/>
  <c r="I562" i="1"/>
  <c r="H562" i="1"/>
  <c r="G562" i="1"/>
  <c r="F562" i="1"/>
  <c r="E562" i="1"/>
  <c r="D562" i="1"/>
  <c r="C562" i="1"/>
  <c r="A562" i="1"/>
  <c r="R561" i="1"/>
  <c r="N561" i="1"/>
  <c r="J561" i="1"/>
  <c r="I561" i="1"/>
  <c r="H561" i="1"/>
  <c r="G561" i="1"/>
  <c r="F561" i="1"/>
  <c r="E561" i="1"/>
  <c r="D561" i="1"/>
  <c r="C561" i="1"/>
  <c r="A561" i="1"/>
  <c r="R560" i="1"/>
  <c r="Q560" i="1"/>
  <c r="N560" i="1"/>
  <c r="J560" i="1"/>
  <c r="I560" i="1"/>
  <c r="H560" i="1"/>
  <c r="G560" i="1"/>
  <c r="F560" i="1"/>
  <c r="E560" i="1"/>
  <c r="D560" i="1"/>
  <c r="C560" i="1"/>
  <c r="A560" i="1"/>
  <c r="R559" i="1"/>
  <c r="N559" i="1"/>
  <c r="J559" i="1"/>
  <c r="I559" i="1"/>
  <c r="H559" i="1"/>
  <c r="G559" i="1"/>
  <c r="F559" i="1"/>
  <c r="E559" i="1"/>
  <c r="D559" i="1"/>
  <c r="C559" i="1"/>
  <c r="B559" i="1"/>
  <c r="A559" i="1"/>
  <c r="R558" i="1"/>
  <c r="N558" i="1"/>
  <c r="J558" i="1"/>
  <c r="I558" i="1"/>
  <c r="H558" i="1"/>
  <c r="G558" i="1"/>
  <c r="F558" i="1"/>
  <c r="E558" i="1"/>
  <c r="D558" i="1"/>
  <c r="C558" i="1"/>
  <c r="B558" i="1"/>
  <c r="A558" i="1"/>
  <c r="R557" i="1"/>
  <c r="N557" i="1"/>
  <c r="J557" i="1"/>
  <c r="I557" i="1"/>
  <c r="H557" i="1"/>
  <c r="G557" i="1"/>
  <c r="F557" i="1"/>
  <c r="E557" i="1"/>
  <c r="D557" i="1"/>
  <c r="C557" i="1"/>
  <c r="B557" i="1"/>
  <c r="A557" i="1"/>
  <c r="R556" i="1"/>
  <c r="Q556" i="1"/>
  <c r="N556" i="1"/>
  <c r="J556" i="1"/>
  <c r="I556" i="1"/>
  <c r="H556" i="1"/>
  <c r="G556" i="1"/>
  <c r="F556" i="1"/>
  <c r="E556" i="1"/>
  <c r="D556" i="1"/>
  <c r="C556" i="1"/>
  <c r="A556" i="1"/>
  <c r="R555" i="1"/>
  <c r="N555" i="1"/>
  <c r="J555" i="1"/>
  <c r="I555" i="1"/>
  <c r="H555" i="1"/>
  <c r="G555" i="1"/>
  <c r="F555" i="1"/>
  <c r="E555" i="1"/>
  <c r="D555" i="1"/>
  <c r="C555" i="1"/>
  <c r="A555" i="1"/>
  <c r="R554" i="1"/>
  <c r="Q554" i="1"/>
  <c r="N554" i="1"/>
  <c r="J554" i="1"/>
  <c r="I554" i="1"/>
  <c r="H554" i="1"/>
  <c r="G554" i="1"/>
  <c r="F554" i="1"/>
  <c r="E554" i="1"/>
  <c r="D554" i="1"/>
  <c r="C554" i="1"/>
  <c r="A554" i="1"/>
  <c r="R553" i="1"/>
  <c r="N553" i="1"/>
  <c r="J553" i="1"/>
  <c r="I553" i="1"/>
  <c r="H553" i="1"/>
  <c r="G553" i="1"/>
  <c r="F553" i="1"/>
  <c r="E553" i="1"/>
  <c r="D553" i="1"/>
  <c r="C553" i="1"/>
  <c r="B553" i="1"/>
  <c r="A553" i="1"/>
  <c r="R552" i="1"/>
  <c r="N552" i="1"/>
  <c r="J552" i="1"/>
  <c r="I552" i="1"/>
  <c r="H552" i="1"/>
  <c r="G552" i="1"/>
  <c r="F552" i="1"/>
  <c r="E552" i="1"/>
  <c r="D552" i="1"/>
  <c r="C552" i="1"/>
  <c r="B552" i="1"/>
  <c r="A552" i="1"/>
  <c r="R551" i="1"/>
  <c r="N551" i="1"/>
  <c r="J551" i="1"/>
  <c r="I551" i="1"/>
  <c r="H551" i="1"/>
  <c r="G551" i="1"/>
  <c r="F551" i="1"/>
  <c r="E551" i="1"/>
  <c r="D551" i="1"/>
  <c r="C551" i="1"/>
  <c r="B551" i="1"/>
  <c r="A551" i="1"/>
  <c r="R550" i="1"/>
  <c r="N550" i="1"/>
  <c r="J550" i="1"/>
  <c r="I550" i="1"/>
  <c r="H550" i="1"/>
  <c r="G550" i="1"/>
  <c r="F550" i="1"/>
  <c r="E550" i="1"/>
  <c r="D550" i="1"/>
  <c r="C550" i="1"/>
  <c r="B550" i="1"/>
  <c r="A550" i="1"/>
  <c r="R549" i="1"/>
  <c r="Q549" i="1"/>
  <c r="N549" i="1"/>
  <c r="J549" i="1"/>
  <c r="I549" i="1"/>
  <c r="H549" i="1"/>
  <c r="G549" i="1"/>
  <c r="F549" i="1"/>
  <c r="E549" i="1"/>
  <c r="D549" i="1"/>
  <c r="C549" i="1"/>
  <c r="A549" i="1"/>
  <c r="R548" i="1"/>
  <c r="N548" i="1"/>
  <c r="J548" i="1"/>
  <c r="I548" i="1"/>
  <c r="H548" i="1"/>
  <c r="G548" i="1"/>
  <c r="F548" i="1"/>
  <c r="E548" i="1"/>
  <c r="D548" i="1"/>
  <c r="C548" i="1"/>
  <c r="A548" i="1"/>
  <c r="R547" i="1"/>
  <c r="Q547" i="1"/>
  <c r="N547" i="1"/>
  <c r="J547" i="1"/>
  <c r="I547" i="1"/>
  <c r="H547" i="1"/>
  <c r="G547" i="1"/>
  <c r="F547" i="1"/>
  <c r="E547" i="1"/>
  <c r="D547" i="1"/>
  <c r="C547" i="1"/>
  <c r="A547" i="1"/>
  <c r="R546" i="1"/>
  <c r="N546" i="1"/>
  <c r="J546" i="1"/>
  <c r="I546" i="1"/>
  <c r="H546" i="1"/>
  <c r="G546" i="1"/>
  <c r="F546" i="1"/>
  <c r="E546" i="1"/>
  <c r="D546" i="1"/>
  <c r="C546" i="1"/>
  <c r="A546" i="1"/>
  <c r="R545" i="1"/>
  <c r="Q545" i="1"/>
  <c r="N545" i="1"/>
  <c r="J545" i="1"/>
  <c r="I545" i="1"/>
  <c r="H545" i="1"/>
  <c r="G545" i="1"/>
  <c r="F545" i="1"/>
  <c r="E545" i="1"/>
  <c r="D545" i="1"/>
  <c r="C545" i="1"/>
  <c r="A545" i="1"/>
  <c r="R544" i="1"/>
  <c r="N544" i="1"/>
  <c r="J544" i="1"/>
  <c r="I544" i="1"/>
  <c r="H544" i="1"/>
  <c r="G544" i="1"/>
  <c r="F544" i="1"/>
  <c r="E544" i="1"/>
  <c r="D544" i="1"/>
  <c r="C544" i="1"/>
  <c r="A544" i="1"/>
  <c r="R543" i="1"/>
  <c r="Q543" i="1"/>
  <c r="N543" i="1"/>
  <c r="J543" i="1"/>
  <c r="I543" i="1"/>
  <c r="H543" i="1"/>
  <c r="G543" i="1"/>
  <c r="F543" i="1"/>
  <c r="E543" i="1"/>
  <c r="D543" i="1"/>
  <c r="C543" i="1"/>
  <c r="A543" i="1"/>
  <c r="R542" i="1"/>
  <c r="Q542" i="1"/>
  <c r="N542" i="1"/>
  <c r="J542" i="1"/>
  <c r="I542" i="1"/>
  <c r="H542" i="1"/>
  <c r="G542" i="1"/>
  <c r="F542" i="1"/>
  <c r="E542" i="1"/>
  <c r="D542" i="1"/>
  <c r="C542" i="1"/>
  <c r="A542" i="1"/>
  <c r="R541" i="1"/>
  <c r="Q541" i="1"/>
  <c r="N541" i="1"/>
  <c r="J541" i="1"/>
  <c r="I541" i="1"/>
  <c r="H541" i="1"/>
  <c r="G541" i="1"/>
  <c r="F541" i="1"/>
  <c r="E541" i="1"/>
  <c r="D541" i="1"/>
  <c r="C541" i="1"/>
  <c r="A541" i="1"/>
  <c r="R540" i="1"/>
  <c r="Q540" i="1"/>
  <c r="N540" i="1"/>
  <c r="J540" i="1"/>
  <c r="I540" i="1"/>
  <c r="H540" i="1"/>
  <c r="G540" i="1"/>
  <c r="F540" i="1"/>
  <c r="E540" i="1"/>
  <c r="D540" i="1"/>
  <c r="C540" i="1"/>
  <c r="A540" i="1"/>
  <c r="R539" i="1"/>
  <c r="Q539" i="1"/>
  <c r="N539" i="1"/>
  <c r="J539" i="1"/>
  <c r="I539" i="1"/>
  <c r="H539" i="1"/>
  <c r="G539" i="1"/>
  <c r="F539" i="1"/>
  <c r="E539" i="1"/>
  <c r="D539" i="1"/>
  <c r="C539" i="1"/>
  <c r="A539" i="1"/>
  <c r="R538" i="1"/>
  <c r="N538" i="1"/>
  <c r="J538" i="1"/>
  <c r="I538" i="1"/>
  <c r="H538" i="1"/>
  <c r="G538" i="1"/>
  <c r="F538" i="1"/>
  <c r="E538" i="1"/>
  <c r="D538" i="1"/>
  <c r="C538" i="1"/>
  <c r="A538" i="1"/>
  <c r="R537" i="1"/>
  <c r="Q537" i="1"/>
  <c r="N537" i="1"/>
  <c r="J537" i="1"/>
  <c r="I537" i="1"/>
  <c r="H537" i="1"/>
  <c r="G537" i="1"/>
  <c r="F537" i="1"/>
  <c r="E537" i="1"/>
  <c r="D537" i="1"/>
  <c r="C537" i="1"/>
  <c r="A537" i="1"/>
  <c r="R536" i="1"/>
  <c r="Q536" i="1"/>
  <c r="N536" i="1"/>
  <c r="J536" i="1"/>
  <c r="I536" i="1"/>
  <c r="H536" i="1"/>
  <c r="G536" i="1"/>
  <c r="F536" i="1"/>
  <c r="E536" i="1"/>
  <c r="D536" i="1"/>
  <c r="C536" i="1"/>
  <c r="A536" i="1"/>
  <c r="R535" i="1"/>
  <c r="Q535" i="1"/>
  <c r="N535" i="1"/>
  <c r="J535" i="1"/>
  <c r="I535" i="1"/>
  <c r="H535" i="1"/>
  <c r="G535" i="1"/>
  <c r="F535" i="1"/>
  <c r="E535" i="1"/>
  <c r="D535" i="1"/>
  <c r="C535" i="1"/>
  <c r="A535" i="1"/>
  <c r="R534" i="1"/>
  <c r="Q534" i="1"/>
  <c r="N534" i="1"/>
  <c r="J534" i="1"/>
  <c r="I534" i="1"/>
  <c r="H534" i="1"/>
  <c r="G534" i="1"/>
  <c r="F534" i="1"/>
  <c r="E534" i="1"/>
  <c r="D534" i="1"/>
  <c r="C534" i="1"/>
  <c r="A534" i="1"/>
  <c r="R533" i="1"/>
  <c r="Q533" i="1"/>
  <c r="N533" i="1"/>
  <c r="J533" i="1"/>
  <c r="I533" i="1"/>
  <c r="H533" i="1"/>
  <c r="G533" i="1"/>
  <c r="F533" i="1"/>
  <c r="E533" i="1"/>
  <c r="D533" i="1"/>
  <c r="C533" i="1"/>
  <c r="A533" i="1"/>
  <c r="R532" i="1"/>
  <c r="Q532" i="1"/>
  <c r="N532" i="1"/>
  <c r="J532" i="1"/>
  <c r="I532" i="1"/>
  <c r="H532" i="1"/>
  <c r="G532" i="1"/>
  <c r="F532" i="1"/>
  <c r="E532" i="1"/>
  <c r="D532" i="1"/>
  <c r="C532" i="1"/>
  <c r="A532" i="1"/>
  <c r="R531" i="1"/>
  <c r="Q531" i="1"/>
  <c r="N531" i="1"/>
  <c r="J531" i="1"/>
  <c r="I531" i="1"/>
  <c r="H531" i="1"/>
  <c r="G531" i="1"/>
  <c r="F531" i="1"/>
  <c r="E531" i="1"/>
  <c r="D531" i="1"/>
  <c r="C531" i="1"/>
  <c r="A531" i="1"/>
  <c r="R530" i="1"/>
  <c r="Q530" i="1"/>
  <c r="N530" i="1"/>
  <c r="J530" i="1"/>
  <c r="I530" i="1"/>
  <c r="H530" i="1"/>
  <c r="G530" i="1"/>
  <c r="F530" i="1"/>
  <c r="E530" i="1"/>
  <c r="D530" i="1"/>
  <c r="C530" i="1"/>
  <c r="A530" i="1"/>
  <c r="R529" i="1"/>
  <c r="Q529" i="1"/>
  <c r="N529" i="1"/>
  <c r="J529" i="1"/>
  <c r="I529" i="1"/>
  <c r="H529" i="1"/>
  <c r="G529" i="1"/>
  <c r="F529" i="1"/>
  <c r="E529" i="1"/>
  <c r="D529" i="1"/>
  <c r="C529" i="1"/>
  <c r="A529" i="1"/>
  <c r="R528" i="1"/>
  <c r="Q528" i="1"/>
  <c r="N528" i="1"/>
  <c r="J528" i="1"/>
  <c r="I528" i="1"/>
  <c r="H528" i="1"/>
  <c r="G528" i="1"/>
  <c r="F528" i="1"/>
  <c r="E528" i="1"/>
  <c r="D528" i="1"/>
  <c r="C528" i="1"/>
  <c r="A528" i="1"/>
  <c r="R527" i="1"/>
  <c r="N527" i="1"/>
  <c r="J527" i="1"/>
  <c r="I527" i="1"/>
  <c r="H527" i="1"/>
  <c r="G527" i="1"/>
  <c r="F527" i="1"/>
  <c r="E527" i="1"/>
  <c r="D527" i="1"/>
  <c r="C527" i="1"/>
  <c r="A527" i="1"/>
  <c r="R526" i="1"/>
  <c r="Q526" i="1"/>
  <c r="N526" i="1"/>
  <c r="J526" i="1"/>
  <c r="I526" i="1"/>
  <c r="H526" i="1"/>
  <c r="G526" i="1"/>
  <c r="F526" i="1"/>
  <c r="E526" i="1"/>
  <c r="D526" i="1"/>
  <c r="C526" i="1"/>
  <c r="A526" i="1"/>
  <c r="R525" i="1"/>
  <c r="Q525" i="1"/>
  <c r="N525" i="1"/>
  <c r="J525" i="1"/>
  <c r="I525" i="1"/>
  <c r="H525" i="1"/>
  <c r="G525" i="1"/>
  <c r="F525" i="1"/>
  <c r="E525" i="1"/>
  <c r="D525" i="1"/>
  <c r="C525" i="1"/>
  <c r="A525" i="1"/>
  <c r="R524" i="1"/>
  <c r="Q524" i="1"/>
  <c r="N524" i="1"/>
  <c r="J524" i="1"/>
  <c r="I524" i="1"/>
  <c r="H524" i="1"/>
  <c r="G524" i="1"/>
  <c r="F524" i="1"/>
  <c r="E524" i="1"/>
  <c r="D524" i="1"/>
  <c r="C524" i="1"/>
  <c r="A524" i="1"/>
  <c r="R523" i="1"/>
  <c r="Q523" i="1"/>
  <c r="N523" i="1"/>
  <c r="J523" i="1"/>
  <c r="I523" i="1"/>
  <c r="H523" i="1"/>
  <c r="G523" i="1"/>
  <c r="F523" i="1"/>
  <c r="E523" i="1"/>
  <c r="D523" i="1"/>
  <c r="C523" i="1"/>
  <c r="A523" i="1"/>
  <c r="R522" i="1"/>
  <c r="Q522" i="1"/>
  <c r="N522" i="1"/>
  <c r="J522" i="1"/>
  <c r="I522" i="1"/>
  <c r="H522" i="1"/>
  <c r="G522" i="1"/>
  <c r="F522" i="1"/>
  <c r="E522" i="1"/>
  <c r="D522" i="1"/>
  <c r="C522" i="1"/>
  <c r="A522" i="1"/>
  <c r="R521" i="1"/>
  <c r="Q521" i="1"/>
  <c r="N521" i="1"/>
  <c r="J521" i="1"/>
  <c r="I521" i="1"/>
  <c r="H521" i="1"/>
  <c r="G521" i="1"/>
  <c r="F521" i="1"/>
  <c r="E521" i="1"/>
  <c r="D521" i="1"/>
  <c r="C521" i="1"/>
  <c r="A521" i="1"/>
  <c r="R520" i="1"/>
  <c r="Q520" i="1"/>
  <c r="N520" i="1"/>
  <c r="J520" i="1"/>
  <c r="I520" i="1"/>
  <c r="H520" i="1"/>
  <c r="G520" i="1"/>
  <c r="F520" i="1"/>
  <c r="E520" i="1"/>
  <c r="D520" i="1"/>
  <c r="C520" i="1"/>
  <c r="A520" i="1"/>
  <c r="R519" i="1"/>
  <c r="Q519" i="1"/>
  <c r="N519" i="1"/>
  <c r="J519" i="1"/>
  <c r="I519" i="1"/>
  <c r="H519" i="1"/>
  <c r="G519" i="1"/>
  <c r="F519" i="1"/>
  <c r="E519" i="1"/>
  <c r="D519" i="1"/>
  <c r="C519" i="1"/>
  <c r="A519" i="1"/>
  <c r="R518" i="1"/>
  <c r="Q518" i="1"/>
  <c r="N518" i="1"/>
  <c r="J518" i="1"/>
  <c r="I518" i="1"/>
  <c r="H518" i="1"/>
  <c r="G518" i="1"/>
  <c r="F518" i="1"/>
  <c r="E518" i="1"/>
  <c r="D518" i="1"/>
  <c r="C518" i="1"/>
  <c r="A518" i="1"/>
  <c r="R517" i="1"/>
  <c r="Q517" i="1"/>
  <c r="N517" i="1"/>
  <c r="J517" i="1"/>
  <c r="I517" i="1"/>
  <c r="H517" i="1"/>
  <c r="G517" i="1"/>
  <c r="F517" i="1"/>
  <c r="E517" i="1"/>
  <c r="D517" i="1"/>
  <c r="C517" i="1"/>
  <c r="A517" i="1"/>
  <c r="R516" i="1"/>
  <c r="Q516" i="1"/>
  <c r="N516" i="1"/>
  <c r="J516" i="1"/>
  <c r="I516" i="1"/>
  <c r="H516" i="1"/>
  <c r="G516" i="1"/>
  <c r="F516" i="1"/>
  <c r="E516" i="1"/>
  <c r="D516" i="1"/>
  <c r="C516" i="1"/>
  <c r="A516" i="1"/>
  <c r="R515" i="1"/>
  <c r="Q515" i="1"/>
  <c r="N515" i="1"/>
  <c r="J515" i="1"/>
  <c r="I515" i="1"/>
  <c r="H515" i="1"/>
  <c r="G515" i="1"/>
  <c r="F515" i="1"/>
  <c r="E515" i="1"/>
  <c r="D515" i="1"/>
  <c r="C515" i="1"/>
  <c r="A515" i="1"/>
  <c r="R514" i="1"/>
  <c r="Q514" i="1"/>
  <c r="N514" i="1"/>
  <c r="J514" i="1"/>
  <c r="I514" i="1"/>
  <c r="H514" i="1"/>
  <c r="G514" i="1"/>
  <c r="F514" i="1"/>
  <c r="E514" i="1"/>
  <c r="D514" i="1"/>
  <c r="C514" i="1"/>
  <c r="A514" i="1"/>
  <c r="R513" i="1"/>
  <c r="Q513" i="1"/>
  <c r="N513" i="1"/>
  <c r="J513" i="1"/>
  <c r="I513" i="1"/>
  <c r="H513" i="1"/>
  <c r="G513" i="1"/>
  <c r="F513" i="1"/>
  <c r="E513" i="1"/>
  <c r="D513" i="1"/>
  <c r="C513" i="1"/>
  <c r="A513" i="1"/>
  <c r="R512" i="1"/>
  <c r="Q512" i="1"/>
  <c r="N512" i="1"/>
  <c r="J512" i="1"/>
  <c r="I512" i="1"/>
  <c r="H512" i="1"/>
  <c r="G512" i="1"/>
  <c r="F512" i="1"/>
  <c r="E512" i="1"/>
  <c r="D512" i="1"/>
  <c r="C512" i="1"/>
  <c r="A512" i="1"/>
  <c r="R511" i="1"/>
  <c r="Q511" i="1"/>
  <c r="N511" i="1"/>
  <c r="J511" i="1"/>
  <c r="I511" i="1"/>
  <c r="H511" i="1"/>
  <c r="G511" i="1"/>
  <c r="F511" i="1"/>
  <c r="E511" i="1"/>
  <c r="D511" i="1"/>
  <c r="C511" i="1"/>
  <c r="A511" i="1"/>
  <c r="R510" i="1"/>
  <c r="Q510" i="1"/>
  <c r="N510" i="1"/>
  <c r="J510" i="1"/>
  <c r="I510" i="1"/>
  <c r="H510" i="1"/>
  <c r="G510" i="1"/>
  <c r="F510" i="1"/>
  <c r="E510" i="1"/>
  <c r="D510" i="1"/>
  <c r="C510" i="1"/>
  <c r="A510" i="1"/>
  <c r="R509" i="1"/>
  <c r="Q509" i="1"/>
  <c r="N509" i="1"/>
  <c r="J509" i="1"/>
  <c r="I509" i="1"/>
  <c r="H509" i="1"/>
  <c r="G509" i="1"/>
  <c r="F509" i="1"/>
  <c r="E509" i="1"/>
  <c r="D509" i="1"/>
  <c r="C509" i="1"/>
  <c r="A509" i="1"/>
  <c r="R508" i="1"/>
  <c r="Q508" i="1"/>
  <c r="N508" i="1"/>
  <c r="J508" i="1"/>
  <c r="I508" i="1"/>
  <c r="H508" i="1"/>
  <c r="G508" i="1"/>
  <c r="F508" i="1"/>
  <c r="E508" i="1"/>
  <c r="D508" i="1"/>
  <c r="C508" i="1"/>
  <c r="A508" i="1"/>
  <c r="R507" i="1"/>
  <c r="Q507" i="1"/>
  <c r="N507" i="1"/>
  <c r="J507" i="1"/>
  <c r="I507" i="1"/>
  <c r="H507" i="1"/>
  <c r="G507" i="1"/>
  <c r="F507" i="1"/>
  <c r="E507" i="1"/>
  <c r="D507" i="1"/>
  <c r="C507" i="1"/>
  <c r="A507" i="1"/>
  <c r="R506" i="1"/>
  <c r="Q506" i="1"/>
  <c r="N506" i="1"/>
  <c r="J506" i="1"/>
  <c r="I506" i="1"/>
  <c r="H506" i="1"/>
  <c r="G506" i="1"/>
  <c r="F506" i="1"/>
  <c r="E506" i="1"/>
  <c r="D506" i="1"/>
  <c r="C506" i="1"/>
  <c r="A506" i="1"/>
  <c r="R505" i="1"/>
  <c r="Q505" i="1"/>
  <c r="N505" i="1"/>
  <c r="J505" i="1"/>
  <c r="I505" i="1"/>
  <c r="H505" i="1"/>
  <c r="G505" i="1"/>
  <c r="F505" i="1"/>
  <c r="E505" i="1"/>
  <c r="D505" i="1"/>
  <c r="C505" i="1"/>
  <c r="A505" i="1"/>
  <c r="R504" i="1"/>
  <c r="Q504" i="1"/>
  <c r="N504" i="1"/>
  <c r="J504" i="1"/>
  <c r="I504" i="1"/>
  <c r="H504" i="1"/>
  <c r="G504" i="1"/>
  <c r="F504" i="1"/>
  <c r="E504" i="1"/>
  <c r="D504" i="1"/>
  <c r="C504" i="1"/>
  <c r="A504" i="1"/>
  <c r="R503" i="1"/>
  <c r="Q503" i="1"/>
  <c r="N503" i="1"/>
  <c r="J503" i="1"/>
  <c r="I503" i="1"/>
  <c r="H503" i="1"/>
  <c r="G503" i="1"/>
  <c r="F503" i="1"/>
  <c r="E503" i="1"/>
  <c r="D503" i="1"/>
  <c r="C503" i="1"/>
  <c r="A503" i="1"/>
  <c r="R502" i="1"/>
  <c r="Q502" i="1"/>
  <c r="N502" i="1"/>
  <c r="J502" i="1"/>
  <c r="I502" i="1"/>
  <c r="H502" i="1"/>
  <c r="G502" i="1"/>
  <c r="F502" i="1"/>
  <c r="E502" i="1"/>
  <c r="D502" i="1"/>
  <c r="C502" i="1"/>
  <c r="A502" i="1"/>
  <c r="R501" i="1"/>
  <c r="Q501" i="1"/>
  <c r="N501" i="1"/>
  <c r="J501" i="1"/>
  <c r="I501" i="1"/>
  <c r="H501" i="1"/>
  <c r="G501" i="1"/>
  <c r="F501" i="1"/>
  <c r="E501" i="1"/>
  <c r="D501" i="1"/>
  <c r="C501" i="1"/>
  <c r="A501" i="1"/>
  <c r="R500" i="1"/>
  <c r="Q500" i="1"/>
  <c r="N500" i="1"/>
  <c r="J500" i="1"/>
  <c r="I500" i="1"/>
  <c r="H500" i="1"/>
  <c r="G500" i="1"/>
  <c r="F500" i="1"/>
  <c r="E500" i="1"/>
  <c r="D500" i="1"/>
  <c r="C500" i="1"/>
  <c r="A500" i="1"/>
  <c r="R499" i="1"/>
  <c r="Q499" i="1"/>
  <c r="N499" i="1"/>
  <c r="J499" i="1"/>
  <c r="I499" i="1"/>
  <c r="H499" i="1"/>
  <c r="G499" i="1"/>
  <c r="F499" i="1"/>
  <c r="E499" i="1"/>
  <c r="D499" i="1"/>
  <c r="C499" i="1"/>
  <c r="A499" i="1"/>
  <c r="R498" i="1"/>
  <c r="Q498" i="1"/>
  <c r="N498" i="1"/>
  <c r="J498" i="1"/>
  <c r="I498" i="1"/>
  <c r="H498" i="1"/>
  <c r="G498" i="1"/>
  <c r="F498" i="1"/>
  <c r="E498" i="1"/>
  <c r="D498" i="1"/>
  <c r="C498" i="1"/>
  <c r="A498" i="1"/>
  <c r="R497" i="1"/>
  <c r="Q497" i="1"/>
  <c r="N497" i="1"/>
  <c r="J497" i="1"/>
  <c r="I497" i="1"/>
  <c r="H497" i="1"/>
  <c r="G497" i="1"/>
  <c r="F497" i="1"/>
  <c r="E497" i="1"/>
  <c r="D497" i="1"/>
  <c r="C497" i="1"/>
  <c r="A497" i="1"/>
  <c r="R496" i="1"/>
  <c r="Q496" i="1"/>
  <c r="N496" i="1"/>
  <c r="J496" i="1"/>
  <c r="I496" i="1"/>
  <c r="H496" i="1"/>
  <c r="G496" i="1"/>
  <c r="F496" i="1"/>
  <c r="E496" i="1"/>
  <c r="D496" i="1"/>
  <c r="C496" i="1"/>
  <c r="A496" i="1"/>
  <c r="R495" i="1"/>
  <c r="Q495" i="1"/>
  <c r="N495" i="1"/>
  <c r="J495" i="1"/>
  <c r="I495" i="1"/>
  <c r="H495" i="1"/>
  <c r="G495" i="1"/>
  <c r="F495" i="1"/>
  <c r="E495" i="1"/>
  <c r="D495" i="1"/>
  <c r="C495" i="1"/>
  <c r="A495" i="1"/>
  <c r="R494" i="1"/>
  <c r="Q494" i="1"/>
  <c r="N494" i="1"/>
  <c r="J494" i="1"/>
  <c r="I494" i="1"/>
  <c r="H494" i="1"/>
  <c r="G494" i="1"/>
  <c r="F494" i="1"/>
  <c r="E494" i="1"/>
  <c r="D494" i="1"/>
  <c r="C494" i="1"/>
  <c r="A494" i="1"/>
  <c r="R493" i="1"/>
  <c r="Q493" i="1"/>
  <c r="N493" i="1"/>
  <c r="J493" i="1"/>
  <c r="I493" i="1"/>
  <c r="H493" i="1"/>
  <c r="G493" i="1"/>
  <c r="F493" i="1"/>
  <c r="E493" i="1"/>
  <c r="D493" i="1"/>
  <c r="C493" i="1"/>
  <c r="A493" i="1"/>
  <c r="R492" i="1"/>
  <c r="Q492" i="1"/>
  <c r="N492" i="1"/>
  <c r="J492" i="1"/>
  <c r="I492" i="1"/>
  <c r="H492" i="1"/>
  <c r="G492" i="1"/>
  <c r="F492" i="1"/>
  <c r="E492" i="1"/>
  <c r="D492" i="1"/>
  <c r="C492" i="1"/>
  <c r="A492" i="1"/>
  <c r="R491" i="1"/>
  <c r="Q491" i="1"/>
  <c r="N491" i="1"/>
  <c r="J491" i="1"/>
  <c r="I491" i="1"/>
  <c r="H491" i="1"/>
  <c r="G491" i="1"/>
  <c r="F491" i="1"/>
  <c r="E491" i="1"/>
  <c r="D491" i="1"/>
  <c r="C491" i="1"/>
  <c r="A491" i="1"/>
  <c r="R490" i="1"/>
  <c r="Q490" i="1"/>
  <c r="N490" i="1"/>
  <c r="J490" i="1"/>
  <c r="I490" i="1"/>
  <c r="H490" i="1"/>
  <c r="G490" i="1"/>
  <c r="F490" i="1"/>
  <c r="E490" i="1"/>
  <c r="D490" i="1"/>
  <c r="C490" i="1"/>
  <c r="A490" i="1"/>
  <c r="R489" i="1"/>
  <c r="Q489" i="1"/>
  <c r="N489" i="1"/>
  <c r="J489" i="1"/>
  <c r="I489" i="1"/>
  <c r="H489" i="1"/>
  <c r="G489" i="1"/>
  <c r="F489" i="1"/>
  <c r="E489" i="1"/>
  <c r="D489" i="1"/>
  <c r="C489" i="1"/>
  <c r="A489" i="1"/>
  <c r="R488" i="1"/>
  <c r="Q488" i="1"/>
  <c r="N488" i="1"/>
  <c r="J488" i="1"/>
  <c r="I488" i="1"/>
  <c r="H488" i="1"/>
  <c r="G488" i="1"/>
  <c r="F488" i="1"/>
  <c r="E488" i="1"/>
  <c r="D488" i="1"/>
  <c r="C488" i="1"/>
  <c r="A488" i="1"/>
  <c r="R487" i="1"/>
  <c r="Q487" i="1"/>
  <c r="N487" i="1"/>
  <c r="J487" i="1"/>
  <c r="I487" i="1"/>
  <c r="H487" i="1"/>
  <c r="G487" i="1"/>
  <c r="F487" i="1"/>
  <c r="E487" i="1"/>
  <c r="D487" i="1"/>
  <c r="C487" i="1"/>
  <c r="A487" i="1"/>
  <c r="R486" i="1"/>
  <c r="Q486" i="1"/>
  <c r="N486" i="1"/>
  <c r="J486" i="1"/>
  <c r="I486" i="1"/>
  <c r="H486" i="1"/>
  <c r="G486" i="1"/>
  <c r="F486" i="1"/>
  <c r="E486" i="1"/>
  <c r="D486" i="1"/>
  <c r="C486" i="1"/>
  <c r="A486" i="1"/>
  <c r="R485" i="1"/>
  <c r="Q485" i="1"/>
  <c r="N485" i="1"/>
  <c r="J485" i="1"/>
  <c r="I485" i="1"/>
  <c r="H485" i="1"/>
  <c r="G485" i="1"/>
  <c r="F485" i="1"/>
  <c r="E485" i="1"/>
  <c r="D485" i="1"/>
  <c r="C485" i="1"/>
  <c r="A485" i="1"/>
  <c r="R484" i="1"/>
  <c r="Q484" i="1"/>
  <c r="N484" i="1"/>
  <c r="J484" i="1"/>
  <c r="I484" i="1"/>
  <c r="H484" i="1"/>
  <c r="G484" i="1"/>
  <c r="F484" i="1"/>
  <c r="E484" i="1"/>
  <c r="D484" i="1"/>
  <c r="C484" i="1"/>
  <c r="A484" i="1"/>
  <c r="R483" i="1"/>
  <c r="Q483" i="1"/>
  <c r="N483" i="1"/>
  <c r="J483" i="1"/>
  <c r="I483" i="1"/>
  <c r="H483" i="1"/>
  <c r="G483" i="1"/>
  <c r="F483" i="1"/>
  <c r="E483" i="1"/>
  <c r="D483" i="1"/>
  <c r="C483" i="1"/>
  <c r="A483" i="1"/>
  <c r="R482" i="1"/>
  <c r="Q482" i="1"/>
  <c r="N482" i="1"/>
  <c r="J482" i="1"/>
  <c r="I482" i="1"/>
  <c r="H482" i="1"/>
  <c r="G482" i="1"/>
  <c r="F482" i="1"/>
  <c r="E482" i="1"/>
  <c r="D482" i="1"/>
  <c r="C482" i="1"/>
  <c r="A482" i="1"/>
  <c r="R481" i="1"/>
  <c r="N481" i="1"/>
  <c r="J481" i="1"/>
  <c r="I481" i="1"/>
  <c r="H481" i="1"/>
  <c r="G481" i="1"/>
  <c r="F481" i="1"/>
  <c r="E481" i="1"/>
  <c r="D481" i="1"/>
  <c r="C481" i="1"/>
  <c r="B481" i="1"/>
  <c r="A481" i="1"/>
  <c r="R480" i="1"/>
  <c r="N480" i="1"/>
  <c r="J480" i="1"/>
  <c r="I480" i="1"/>
  <c r="H480" i="1"/>
  <c r="G480" i="1"/>
  <c r="F480" i="1"/>
  <c r="E480" i="1"/>
  <c r="D480" i="1"/>
  <c r="C480" i="1"/>
  <c r="B480" i="1"/>
  <c r="A480" i="1"/>
  <c r="R479" i="1"/>
  <c r="N479" i="1"/>
  <c r="J479" i="1"/>
  <c r="I479" i="1"/>
  <c r="H479" i="1"/>
  <c r="G479" i="1"/>
  <c r="F479" i="1"/>
  <c r="E479" i="1"/>
  <c r="D479" i="1"/>
  <c r="C479" i="1"/>
  <c r="B479" i="1"/>
  <c r="A479" i="1"/>
  <c r="R478" i="1"/>
  <c r="N478" i="1"/>
  <c r="J478" i="1"/>
  <c r="I478" i="1"/>
  <c r="H478" i="1"/>
  <c r="G478" i="1"/>
  <c r="F478" i="1"/>
  <c r="E478" i="1"/>
  <c r="D478" i="1"/>
  <c r="C478" i="1"/>
  <c r="B478" i="1"/>
  <c r="A478" i="1"/>
  <c r="R477" i="1"/>
  <c r="N477" i="1"/>
  <c r="J477" i="1"/>
  <c r="I477" i="1"/>
  <c r="H477" i="1"/>
  <c r="G477" i="1"/>
  <c r="F477" i="1"/>
  <c r="E477" i="1"/>
  <c r="D477" i="1"/>
  <c r="C477" i="1"/>
  <c r="B477" i="1"/>
  <c r="A477" i="1"/>
  <c r="R476" i="1"/>
  <c r="Q476" i="1"/>
  <c r="N476" i="1"/>
  <c r="J476" i="1"/>
  <c r="I476" i="1"/>
  <c r="H476" i="1"/>
  <c r="G476" i="1"/>
  <c r="F476" i="1"/>
  <c r="E476" i="1"/>
  <c r="D476" i="1"/>
  <c r="C476" i="1"/>
  <c r="A476" i="1"/>
  <c r="R475" i="1"/>
  <c r="N475" i="1"/>
  <c r="J475" i="1"/>
  <c r="I475" i="1"/>
  <c r="H475" i="1"/>
  <c r="G475" i="1"/>
  <c r="F475" i="1"/>
  <c r="E475" i="1"/>
  <c r="D475" i="1"/>
  <c r="C475" i="1"/>
  <c r="A475" i="1"/>
  <c r="R474" i="1"/>
  <c r="Q474" i="1"/>
  <c r="N474" i="1"/>
  <c r="J474" i="1"/>
  <c r="I474" i="1"/>
  <c r="H474" i="1"/>
  <c r="G474" i="1"/>
  <c r="F474" i="1"/>
  <c r="E474" i="1"/>
  <c r="D474" i="1"/>
  <c r="C474" i="1"/>
  <c r="A474" i="1"/>
  <c r="R473" i="1"/>
  <c r="Q473" i="1"/>
  <c r="N473" i="1"/>
  <c r="J473" i="1"/>
  <c r="I473" i="1"/>
  <c r="H473" i="1"/>
  <c r="G473" i="1"/>
  <c r="F473" i="1"/>
  <c r="E473" i="1"/>
  <c r="D473" i="1"/>
  <c r="C473" i="1"/>
  <c r="A473" i="1"/>
  <c r="R472" i="1"/>
  <c r="Q472" i="1"/>
  <c r="N472" i="1"/>
  <c r="J472" i="1"/>
  <c r="I472" i="1"/>
  <c r="H472" i="1"/>
  <c r="G472" i="1"/>
  <c r="F472" i="1"/>
  <c r="E472" i="1"/>
  <c r="D472" i="1"/>
  <c r="C472" i="1"/>
  <c r="A472" i="1"/>
  <c r="R471" i="1"/>
  <c r="N471" i="1"/>
  <c r="J471" i="1"/>
  <c r="I471" i="1"/>
  <c r="H471" i="1"/>
  <c r="G471" i="1"/>
  <c r="F471" i="1"/>
  <c r="E471" i="1"/>
  <c r="D471" i="1"/>
  <c r="C471" i="1"/>
  <c r="A471" i="1"/>
  <c r="R470" i="1"/>
  <c r="Q470" i="1"/>
  <c r="N470" i="1"/>
  <c r="J470" i="1"/>
  <c r="I470" i="1"/>
  <c r="H470" i="1"/>
  <c r="G470" i="1"/>
  <c r="F470" i="1"/>
  <c r="E470" i="1"/>
  <c r="D470" i="1"/>
  <c r="C470" i="1"/>
  <c r="A470" i="1"/>
  <c r="R469" i="1"/>
  <c r="N469" i="1"/>
  <c r="J469" i="1"/>
  <c r="I469" i="1"/>
  <c r="H469" i="1"/>
  <c r="G469" i="1"/>
  <c r="F469" i="1"/>
  <c r="E469" i="1"/>
  <c r="D469" i="1"/>
  <c r="C469" i="1"/>
  <c r="B469" i="1"/>
  <c r="A469" i="1"/>
  <c r="R468" i="1"/>
  <c r="N468" i="1"/>
  <c r="J468" i="1"/>
  <c r="I468" i="1"/>
  <c r="H468" i="1"/>
  <c r="G468" i="1"/>
  <c r="F468" i="1"/>
  <c r="E468" i="1"/>
  <c r="D468" i="1"/>
  <c r="C468" i="1"/>
  <c r="B468" i="1"/>
  <c r="A468" i="1"/>
  <c r="R467" i="1"/>
  <c r="N467" i="1"/>
  <c r="J467" i="1"/>
  <c r="I467" i="1"/>
  <c r="H467" i="1"/>
  <c r="G467" i="1"/>
  <c r="F467" i="1"/>
  <c r="E467" i="1"/>
  <c r="D467" i="1"/>
  <c r="C467" i="1"/>
  <c r="B467" i="1"/>
  <c r="A467" i="1"/>
  <c r="R466" i="1"/>
  <c r="N466" i="1"/>
  <c r="J466" i="1"/>
  <c r="I466" i="1"/>
  <c r="H466" i="1"/>
  <c r="G466" i="1"/>
  <c r="F466" i="1"/>
  <c r="E466" i="1"/>
  <c r="D466" i="1"/>
  <c r="C466" i="1"/>
  <c r="B466" i="1"/>
  <c r="A466" i="1"/>
  <c r="R465" i="1"/>
  <c r="Q465" i="1"/>
  <c r="N465" i="1"/>
  <c r="J465" i="1"/>
  <c r="I465" i="1"/>
  <c r="H465" i="1"/>
  <c r="G465" i="1"/>
  <c r="F465" i="1"/>
  <c r="E465" i="1"/>
  <c r="D465" i="1"/>
  <c r="C465" i="1"/>
  <c r="A465" i="1"/>
  <c r="R464" i="1"/>
  <c r="N464" i="1"/>
  <c r="J464" i="1"/>
  <c r="I464" i="1"/>
  <c r="H464" i="1"/>
  <c r="G464" i="1"/>
  <c r="F464" i="1"/>
  <c r="E464" i="1"/>
  <c r="D464" i="1"/>
  <c r="C464" i="1"/>
  <c r="A464" i="1"/>
  <c r="R463" i="1"/>
  <c r="Q463" i="1"/>
  <c r="N463" i="1"/>
  <c r="J463" i="1"/>
  <c r="I463" i="1"/>
  <c r="H463" i="1"/>
  <c r="G463" i="1"/>
  <c r="F463" i="1"/>
  <c r="E463" i="1"/>
  <c r="D463" i="1"/>
  <c r="C463" i="1"/>
  <c r="A463" i="1"/>
  <c r="R462" i="1"/>
  <c r="N462" i="1"/>
  <c r="J462" i="1"/>
  <c r="I462" i="1"/>
  <c r="H462" i="1"/>
  <c r="G462" i="1"/>
  <c r="F462" i="1"/>
  <c r="E462" i="1"/>
  <c r="D462" i="1"/>
  <c r="C462" i="1"/>
  <c r="B462" i="1"/>
  <c r="A462" i="1"/>
  <c r="R461" i="1"/>
  <c r="Q461" i="1"/>
  <c r="N461" i="1"/>
  <c r="J461" i="1"/>
  <c r="I461" i="1"/>
  <c r="H461" i="1"/>
  <c r="G461" i="1"/>
  <c r="F461" i="1"/>
  <c r="E461" i="1"/>
  <c r="D461" i="1"/>
  <c r="C461" i="1"/>
  <c r="B461" i="1"/>
  <c r="A461" i="1"/>
  <c r="R460" i="1"/>
  <c r="N460" i="1"/>
  <c r="J460" i="1"/>
  <c r="I460" i="1"/>
  <c r="H460" i="1"/>
  <c r="G460" i="1"/>
  <c r="F460" i="1"/>
  <c r="E460" i="1"/>
  <c r="D460" i="1"/>
  <c r="C460" i="1"/>
  <c r="B460" i="1"/>
  <c r="A460" i="1"/>
  <c r="R459" i="1"/>
  <c r="N459" i="1"/>
  <c r="J459" i="1"/>
  <c r="I459" i="1"/>
  <c r="H459" i="1"/>
  <c r="G459" i="1"/>
  <c r="F459" i="1"/>
  <c r="E459" i="1"/>
  <c r="D459" i="1"/>
  <c r="C459" i="1"/>
  <c r="B459" i="1"/>
  <c r="A459" i="1"/>
  <c r="R458" i="1"/>
  <c r="N458" i="1"/>
  <c r="J458" i="1"/>
  <c r="I458" i="1"/>
  <c r="H458" i="1"/>
  <c r="G458" i="1"/>
  <c r="F458" i="1"/>
  <c r="E458" i="1"/>
  <c r="D458" i="1"/>
  <c r="C458" i="1"/>
  <c r="B458" i="1"/>
  <c r="A458" i="1"/>
  <c r="R457" i="1"/>
  <c r="N457" i="1"/>
  <c r="J457" i="1"/>
  <c r="I457" i="1"/>
  <c r="H457" i="1"/>
  <c r="G457" i="1"/>
  <c r="F457" i="1"/>
  <c r="E457" i="1"/>
  <c r="D457" i="1"/>
  <c r="C457" i="1"/>
  <c r="B457" i="1"/>
  <c r="A457" i="1"/>
  <c r="R456" i="1"/>
  <c r="Q456" i="1"/>
  <c r="N456" i="1"/>
  <c r="J456" i="1"/>
  <c r="I456" i="1"/>
  <c r="H456" i="1"/>
  <c r="G456" i="1"/>
  <c r="F456" i="1"/>
  <c r="E456" i="1"/>
  <c r="D456" i="1"/>
  <c r="C456" i="1"/>
  <c r="A456" i="1"/>
  <c r="R455" i="1"/>
  <c r="N455" i="1"/>
  <c r="J455" i="1"/>
  <c r="I455" i="1"/>
  <c r="H455" i="1"/>
  <c r="G455" i="1"/>
  <c r="F455" i="1"/>
  <c r="E455" i="1"/>
  <c r="D455" i="1"/>
  <c r="C455" i="1"/>
  <c r="A455" i="1"/>
  <c r="R454" i="1"/>
  <c r="Q454" i="1"/>
  <c r="N454" i="1"/>
  <c r="J454" i="1"/>
  <c r="I454" i="1"/>
  <c r="H454" i="1"/>
  <c r="G454" i="1"/>
  <c r="F454" i="1"/>
  <c r="E454" i="1"/>
  <c r="D454" i="1"/>
  <c r="C454" i="1"/>
  <c r="A454" i="1"/>
  <c r="R453" i="1"/>
  <c r="N453" i="1"/>
  <c r="J453" i="1"/>
  <c r="I453" i="1"/>
  <c r="H453" i="1"/>
  <c r="G453" i="1"/>
  <c r="F453" i="1"/>
  <c r="E453" i="1"/>
  <c r="D453" i="1"/>
  <c r="C453" i="1"/>
  <c r="A453" i="1"/>
  <c r="R452" i="1"/>
  <c r="Q452" i="1"/>
  <c r="N452" i="1"/>
  <c r="J452" i="1"/>
  <c r="I452" i="1"/>
  <c r="H452" i="1"/>
  <c r="G452" i="1"/>
  <c r="F452" i="1"/>
  <c r="E452" i="1"/>
  <c r="D452" i="1"/>
  <c r="C452" i="1"/>
  <c r="A452" i="1"/>
  <c r="R451" i="1"/>
  <c r="N451" i="1"/>
  <c r="J451" i="1"/>
  <c r="I451" i="1"/>
  <c r="H451" i="1"/>
  <c r="G451" i="1"/>
  <c r="F451" i="1"/>
  <c r="E451" i="1"/>
  <c r="D451" i="1"/>
  <c r="C451" i="1"/>
  <c r="B451" i="1"/>
  <c r="A451" i="1"/>
  <c r="R450" i="1"/>
  <c r="N450" i="1"/>
  <c r="J450" i="1"/>
  <c r="I450" i="1"/>
  <c r="H450" i="1"/>
  <c r="G450" i="1"/>
  <c r="F450" i="1"/>
  <c r="E450" i="1"/>
  <c r="D450" i="1"/>
  <c r="C450" i="1"/>
  <c r="B450" i="1"/>
  <c r="A450" i="1"/>
  <c r="R449" i="1"/>
  <c r="N449" i="1"/>
  <c r="J449" i="1"/>
  <c r="I449" i="1"/>
  <c r="H449" i="1"/>
  <c r="G449" i="1"/>
  <c r="F449" i="1"/>
  <c r="E449" i="1"/>
  <c r="D449" i="1"/>
  <c r="C449" i="1"/>
  <c r="B449" i="1"/>
  <c r="A449" i="1"/>
  <c r="R448" i="1"/>
  <c r="N448" i="1"/>
  <c r="J448" i="1"/>
  <c r="I448" i="1"/>
  <c r="H448" i="1"/>
  <c r="G448" i="1"/>
  <c r="F448" i="1"/>
  <c r="E448" i="1"/>
  <c r="D448" i="1"/>
  <c r="C448" i="1"/>
  <c r="B448" i="1"/>
  <c r="A448" i="1"/>
  <c r="R447" i="1"/>
  <c r="Q447" i="1"/>
  <c r="N447" i="1"/>
  <c r="J447" i="1"/>
  <c r="I447" i="1"/>
  <c r="H447" i="1"/>
  <c r="G447" i="1"/>
  <c r="F447" i="1"/>
  <c r="E447" i="1"/>
  <c r="D447" i="1"/>
  <c r="C447" i="1"/>
  <c r="A447" i="1"/>
  <c r="R446" i="1"/>
  <c r="N446" i="1"/>
  <c r="J446" i="1"/>
  <c r="I446" i="1"/>
  <c r="H446" i="1"/>
  <c r="G446" i="1"/>
  <c r="F446" i="1"/>
  <c r="E446" i="1"/>
  <c r="D446" i="1"/>
  <c r="C446" i="1"/>
  <c r="A446" i="1"/>
  <c r="R445" i="1"/>
  <c r="Q445" i="1"/>
  <c r="N445" i="1"/>
  <c r="J445" i="1"/>
  <c r="I445" i="1"/>
  <c r="H445" i="1"/>
  <c r="G445" i="1"/>
  <c r="F445" i="1"/>
  <c r="E445" i="1"/>
  <c r="D445" i="1"/>
  <c r="C445" i="1"/>
  <c r="A445" i="1"/>
  <c r="R444" i="1"/>
  <c r="N444" i="1"/>
  <c r="J444" i="1"/>
  <c r="I444" i="1"/>
  <c r="H444" i="1"/>
  <c r="G444" i="1"/>
  <c r="F444" i="1"/>
  <c r="E444" i="1"/>
  <c r="D444" i="1"/>
  <c r="C444" i="1"/>
  <c r="B444" i="1"/>
  <c r="A444" i="1"/>
  <c r="R443" i="1"/>
  <c r="N443" i="1"/>
  <c r="J443" i="1"/>
  <c r="I443" i="1"/>
  <c r="H443" i="1"/>
  <c r="G443" i="1"/>
  <c r="F443" i="1"/>
  <c r="E443" i="1"/>
  <c r="D443" i="1"/>
  <c r="C443" i="1"/>
  <c r="B443" i="1"/>
  <c r="A443" i="1"/>
  <c r="R442" i="1"/>
  <c r="N442" i="1"/>
  <c r="J442" i="1"/>
  <c r="I442" i="1"/>
  <c r="H442" i="1"/>
  <c r="G442" i="1"/>
  <c r="F442" i="1"/>
  <c r="E442" i="1"/>
  <c r="D442" i="1"/>
  <c r="C442" i="1"/>
  <c r="B442" i="1"/>
  <c r="A442" i="1"/>
  <c r="R441" i="1"/>
  <c r="N441" i="1"/>
  <c r="J441" i="1"/>
  <c r="I441" i="1"/>
  <c r="H441" i="1"/>
  <c r="G441" i="1"/>
  <c r="F441" i="1"/>
  <c r="E441" i="1"/>
  <c r="D441" i="1"/>
  <c r="C441" i="1"/>
  <c r="B441" i="1"/>
  <c r="A441" i="1"/>
  <c r="R440" i="1"/>
  <c r="N440" i="1"/>
  <c r="J440" i="1"/>
  <c r="I440" i="1"/>
  <c r="H440" i="1"/>
  <c r="G440" i="1"/>
  <c r="F440" i="1"/>
  <c r="E440" i="1"/>
  <c r="D440" i="1"/>
  <c r="C440" i="1"/>
  <c r="B440" i="1"/>
  <c r="A440" i="1"/>
  <c r="R439" i="1"/>
  <c r="N439" i="1"/>
  <c r="J439" i="1"/>
  <c r="I439" i="1"/>
  <c r="H439" i="1"/>
  <c r="G439" i="1"/>
  <c r="F439" i="1"/>
  <c r="E439" i="1"/>
  <c r="D439" i="1"/>
  <c r="C439" i="1"/>
  <c r="B439" i="1"/>
  <c r="A439" i="1"/>
  <c r="R438" i="1"/>
  <c r="N438" i="1"/>
  <c r="J438" i="1"/>
  <c r="I438" i="1"/>
  <c r="H438" i="1"/>
  <c r="G438" i="1"/>
  <c r="F438" i="1"/>
  <c r="E438" i="1"/>
  <c r="D438" i="1"/>
  <c r="C438" i="1"/>
  <c r="B438" i="1"/>
  <c r="A438" i="1"/>
  <c r="R437" i="1"/>
  <c r="Q437" i="1"/>
  <c r="N437" i="1"/>
  <c r="J437" i="1"/>
  <c r="I437" i="1"/>
  <c r="H437" i="1"/>
  <c r="G437" i="1"/>
  <c r="F437" i="1"/>
  <c r="E437" i="1"/>
  <c r="D437" i="1"/>
  <c r="C437" i="1"/>
  <c r="A437" i="1"/>
  <c r="R436" i="1"/>
  <c r="N436" i="1"/>
  <c r="J436" i="1"/>
  <c r="I436" i="1"/>
  <c r="H436" i="1"/>
  <c r="G436" i="1"/>
  <c r="F436" i="1"/>
  <c r="E436" i="1"/>
  <c r="D436" i="1"/>
  <c r="C436" i="1"/>
  <c r="A436" i="1"/>
  <c r="R435" i="1"/>
  <c r="Q435" i="1"/>
  <c r="N435" i="1"/>
  <c r="J435" i="1"/>
  <c r="I435" i="1"/>
  <c r="H435" i="1"/>
  <c r="G435" i="1"/>
  <c r="F435" i="1"/>
  <c r="E435" i="1"/>
  <c r="D435" i="1"/>
  <c r="C435" i="1"/>
  <c r="A435" i="1"/>
  <c r="R434" i="1"/>
  <c r="N434" i="1"/>
  <c r="J434" i="1"/>
  <c r="I434" i="1"/>
  <c r="H434" i="1"/>
  <c r="G434" i="1"/>
  <c r="F434" i="1"/>
  <c r="E434" i="1"/>
  <c r="D434" i="1"/>
  <c r="C434" i="1"/>
  <c r="A434" i="1"/>
  <c r="R433" i="1"/>
  <c r="Q433" i="1"/>
  <c r="N433" i="1"/>
  <c r="J433" i="1"/>
  <c r="I433" i="1"/>
  <c r="H433" i="1"/>
  <c r="G433" i="1"/>
  <c r="F433" i="1"/>
  <c r="E433" i="1"/>
  <c r="D433" i="1"/>
  <c r="C433" i="1"/>
  <c r="A433" i="1"/>
  <c r="R432" i="1"/>
  <c r="Q432" i="1"/>
  <c r="N432" i="1"/>
  <c r="J432" i="1"/>
  <c r="I432" i="1"/>
  <c r="H432" i="1"/>
  <c r="G432" i="1"/>
  <c r="F432" i="1"/>
  <c r="E432" i="1"/>
  <c r="D432" i="1"/>
  <c r="C432" i="1"/>
  <c r="A432" i="1"/>
  <c r="R431" i="1"/>
  <c r="Q431" i="1"/>
  <c r="N431" i="1"/>
  <c r="J431" i="1"/>
  <c r="I431" i="1"/>
  <c r="H431" i="1"/>
  <c r="G431" i="1"/>
  <c r="F431" i="1"/>
  <c r="E431" i="1"/>
  <c r="D431" i="1"/>
  <c r="C431" i="1"/>
  <c r="A431" i="1"/>
  <c r="R430" i="1"/>
  <c r="N430" i="1"/>
  <c r="J430" i="1"/>
  <c r="I430" i="1"/>
  <c r="H430" i="1"/>
  <c r="G430" i="1"/>
  <c r="F430" i="1"/>
  <c r="E430" i="1"/>
  <c r="D430" i="1"/>
  <c r="C430" i="1"/>
  <c r="A430" i="1"/>
  <c r="R429" i="1"/>
  <c r="Q429" i="1"/>
  <c r="N429" i="1"/>
  <c r="J429" i="1"/>
  <c r="I429" i="1"/>
  <c r="H429" i="1"/>
  <c r="G429" i="1"/>
  <c r="F429" i="1"/>
  <c r="E429" i="1"/>
  <c r="D429" i="1"/>
  <c r="C429" i="1"/>
  <c r="A429" i="1"/>
  <c r="R428" i="1"/>
  <c r="N428" i="1"/>
  <c r="J428" i="1"/>
  <c r="I428" i="1"/>
  <c r="H428" i="1"/>
  <c r="G428" i="1"/>
  <c r="F428" i="1"/>
  <c r="E428" i="1"/>
  <c r="D428" i="1"/>
  <c r="C428" i="1"/>
  <c r="A428" i="1"/>
  <c r="R427" i="1"/>
  <c r="Q427" i="1"/>
  <c r="N427" i="1"/>
  <c r="J427" i="1"/>
  <c r="I427" i="1"/>
  <c r="H427" i="1"/>
  <c r="G427" i="1"/>
  <c r="F427" i="1"/>
  <c r="E427" i="1"/>
  <c r="D427" i="1"/>
  <c r="C427" i="1"/>
  <c r="A427" i="1"/>
  <c r="R426" i="1"/>
  <c r="N426" i="1"/>
  <c r="J426" i="1"/>
  <c r="I426" i="1"/>
  <c r="H426" i="1"/>
  <c r="G426" i="1"/>
  <c r="F426" i="1"/>
  <c r="E426" i="1"/>
  <c r="D426" i="1"/>
  <c r="C426" i="1"/>
  <c r="A426" i="1"/>
  <c r="R425" i="1"/>
  <c r="Q425" i="1"/>
  <c r="N425" i="1"/>
  <c r="J425" i="1"/>
  <c r="I425" i="1"/>
  <c r="H425" i="1"/>
  <c r="G425" i="1"/>
  <c r="F425" i="1"/>
  <c r="E425" i="1"/>
  <c r="D425" i="1"/>
  <c r="C425" i="1"/>
  <c r="A425" i="1"/>
  <c r="R424" i="1"/>
  <c r="N424" i="1"/>
  <c r="J424" i="1"/>
  <c r="I424" i="1"/>
  <c r="H424" i="1"/>
  <c r="G424" i="1"/>
  <c r="F424" i="1"/>
  <c r="E424" i="1"/>
  <c r="D424" i="1"/>
  <c r="C424" i="1"/>
  <c r="A424" i="1"/>
  <c r="R423" i="1"/>
  <c r="Q423" i="1"/>
  <c r="N423" i="1"/>
  <c r="J423" i="1"/>
  <c r="I423" i="1"/>
  <c r="H423" i="1"/>
  <c r="G423" i="1"/>
  <c r="F423" i="1"/>
  <c r="E423" i="1"/>
  <c r="D423" i="1"/>
  <c r="C423" i="1"/>
  <c r="A423" i="1"/>
  <c r="R422" i="1"/>
  <c r="Q422" i="1"/>
  <c r="N422" i="1"/>
  <c r="J422" i="1"/>
  <c r="I422" i="1"/>
  <c r="H422" i="1"/>
  <c r="G422" i="1"/>
  <c r="F422" i="1"/>
  <c r="E422" i="1"/>
  <c r="D422" i="1"/>
  <c r="C422" i="1"/>
  <c r="A422" i="1"/>
  <c r="R421" i="1"/>
  <c r="Q421" i="1"/>
  <c r="N421" i="1"/>
  <c r="J421" i="1"/>
  <c r="I421" i="1"/>
  <c r="H421" i="1"/>
  <c r="G421" i="1"/>
  <c r="F421" i="1"/>
  <c r="E421" i="1"/>
  <c r="D421" i="1"/>
  <c r="C421" i="1"/>
  <c r="A421" i="1"/>
  <c r="R420" i="1"/>
  <c r="Q420" i="1"/>
  <c r="N420" i="1"/>
  <c r="J420" i="1"/>
  <c r="I420" i="1"/>
  <c r="H420" i="1"/>
  <c r="G420" i="1"/>
  <c r="F420" i="1"/>
  <c r="E420" i="1"/>
  <c r="D420" i="1"/>
  <c r="C420" i="1"/>
  <c r="A420" i="1"/>
  <c r="R419" i="1"/>
  <c r="Q419" i="1"/>
  <c r="N419" i="1"/>
  <c r="J419" i="1"/>
  <c r="I419" i="1"/>
  <c r="H419" i="1"/>
  <c r="G419" i="1"/>
  <c r="F419" i="1"/>
  <c r="E419" i="1"/>
  <c r="D419" i="1"/>
  <c r="C419" i="1"/>
  <c r="A419" i="1"/>
  <c r="R418" i="1"/>
  <c r="Q418" i="1"/>
  <c r="N418" i="1"/>
  <c r="J418" i="1"/>
  <c r="I418" i="1"/>
  <c r="H418" i="1"/>
  <c r="G418" i="1"/>
  <c r="F418" i="1"/>
  <c r="E418" i="1"/>
  <c r="D418" i="1"/>
  <c r="C418" i="1"/>
  <c r="A418" i="1"/>
  <c r="R417" i="1"/>
  <c r="Q417" i="1"/>
  <c r="N417" i="1"/>
  <c r="J417" i="1"/>
  <c r="I417" i="1"/>
  <c r="H417" i="1"/>
  <c r="G417" i="1"/>
  <c r="F417" i="1"/>
  <c r="E417" i="1"/>
  <c r="D417" i="1"/>
  <c r="C417" i="1"/>
  <c r="A417" i="1"/>
  <c r="R416" i="1"/>
  <c r="Q416" i="1"/>
  <c r="N416" i="1"/>
  <c r="J416" i="1"/>
  <c r="I416" i="1"/>
  <c r="H416" i="1"/>
  <c r="G416" i="1"/>
  <c r="F416" i="1"/>
  <c r="E416" i="1"/>
  <c r="D416" i="1"/>
  <c r="C416" i="1"/>
  <c r="A416" i="1"/>
  <c r="R415" i="1"/>
  <c r="Q415" i="1"/>
  <c r="N415" i="1"/>
  <c r="J415" i="1"/>
  <c r="I415" i="1"/>
  <c r="H415" i="1"/>
  <c r="G415" i="1"/>
  <c r="F415" i="1"/>
  <c r="E415" i="1"/>
  <c r="D415" i="1"/>
  <c r="C415" i="1"/>
  <c r="A415" i="1"/>
  <c r="R414" i="1"/>
  <c r="Q414" i="1"/>
  <c r="N414" i="1"/>
  <c r="J414" i="1"/>
  <c r="I414" i="1"/>
  <c r="H414" i="1"/>
  <c r="G414" i="1"/>
  <c r="F414" i="1"/>
  <c r="E414" i="1"/>
  <c r="D414" i="1"/>
  <c r="C414" i="1"/>
  <c r="A414" i="1"/>
  <c r="R413" i="1"/>
  <c r="N413" i="1"/>
  <c r="J413" i="1"/>
  <c r="I413" i="1"/>
  <c r="H413" i="1"/>
  <c r="G413" i="1"/>
  <c r="F413" i="1"/>
  <c r="E413" i="1"/>
  <c r="D413" i="1"/>
  <c r="C413" i="1"/>
  <c r="A413" i="1"/>
  <c r="R412" i="1"/>
  <c r="Q412" i="1"/>
  <c r="N412" i="1"/>
  <c r="J412" i="1"/>
  <c r="I412" i="1"/>
  <c r="H412" i="1"/>
  <c r="G412" i="1"/>
  <c r="F412" i="1"/>
  <c r="E412" i="1"/>
  <c r="D412" i="1"/>
  <c r="C412" i="1"/>
  <c r="A412" i="1"/>
  <c r="R411" i="1"/>
  <c r="Q411" i="1"/>
  <c r="N411" i="1"/>
  <c r="J411" i="1"/>
  <c r="I411" i="1"/>
  <c r="H411" i="1"/>
  <c r="G411" i="1"/>
  <c r="F411" i="1"/>
  <c r="E411" i="1"/>
  <c r="D411" i="1"/>
  <c r="C411" i="1"/>
  <c r="A411" i="1"/>
  <c r="R410" i="1"/>
  <c r="Q410" i="1"/>
  <c r="N410" i="1"/>
  <c r="J410" i="1"/>
  <c r="I410" i="1"/>
  <c r="H410" i="1"/>
  <c r="G410" i="1"/>
  <c r="F410" i="1"/>
  <c r="E410" i="1"/>
  <c r="D410" i="1"/>
  <c r="C410" i="1"/>
  <c r="A410" i="1"/>
  <c r="R409" i="1"/>
  <c r="Q409" i="1"/>
  <c r="N409" i="1"/>
  <c r="J409" i="1"/>
  <c r="I409" i="1"/>
  <c r="H409" i="1"/>
  <c r="G409" i="1"/>
  <c r="F409" i="1"/>
  <c r="E409" i="1"/>
  <c r="D409" i="1"/>
  <c r="C409" i="1"/>
  <c r="A409" i="1"/>
  <c r="R408" i="1"/>
  <c r="Q408" i="1"/>
  <c r="N408" i="1"/>
  <c r="J408" i="1"/>
  <c r="I408" i="1"/>
  <c r="H408" i="1"/>
  <c r="G408" i="1"/>
  <c r="F408" i="1"/>
  <c r="E408" i="1"/>
  <c r="D408" i="1"/>
  <c r="C408" i="1"/>
  <c r="A408" i="1"/>
  <c r="R407" i="1"/>
  <c r="N407" i="1"/>
  <c r="J407" i="1"/>
  <c r="I407" i="1"/>
  <c r="H407" i="1"/>
  <c r="G407" i="1"/>
  <c r="F407" i="1"/>
  <c r="E407" i="1"/>
  <c r="D407" i="1"/>
  <c r="C407" i="1"/>
  <c r="A407" i="1"/>
  <c r="R406" i="1"/>
  <c r="Q406" i="1"/>
  <c r="N406" i="1"/>
  <c r="J406" i="1"/>
  <c r="I406" i="1"/>
  <c r="H406" i="1"/>
  <c r="G406" i="1"/>
  <c r="F406" i="1"/>
  <c r="E406" i="1"/>
  <c r="D406" i="1"/>
  <c r="C406" i="1"/>
  <c r="A406" i="1"/>
  <c r="R405" i="1"/>
  <c r="Q405" i="1"/>
  <c r="N405" i="1"/>
  <c r="J405" i="1"/>
  <c r="I405" i="1"/>
  <c r="H405" i="1"/>
  <c r="G405" i="1"/>
  <c r="F405" i="1"/>
  <c r="E405" i="1"/>
  <c r="D405" i="1"/>
  <c r="C405" i="1"/>
  <c r="A405" i="1"/>
  <c r="R404" i="1"/>
  <c r="Q404" i="1"/>
  <c r="N404" i="1"/>
  <c r="J404" i="1"/>
  <c r="I404" i="1"/>
  <c r="H404" i="1"/>
  <c r="G404" i="1"/>
  <c r="F404" i="1"/>
  <c r="E404" i="1"/>
  <c r="D404" i="1"/>
  <c r="C404" i="1"/>
  <c r="A404" i="1"/>
  <c r="R403" i="1"/>
  <c r="Q403" i="1"/>
  <c r="N403" i="1"/>
  <c r="J403" i="1"/>
  <c r="I403" i="1"/>
  <c r="H403" i="1"/>
  <c r="G403" i="1"/>
  <c r="F403" i="1"/>
  <c r="E403" i="1"/>
  <c r="D403" i="1"/>
  <c r="C403" i="1"/>
  <c r="A403" i="1"/>
  <c r="R402" i="1"/>
  <c r="Q402" i="1"/>
  <c r="N402" i="1"/>
  <c r="J402" i="1"/>
  <c r="I402" i="1"/>
  <c r="H402" i="1"/>
  <c r="G402" i="1"/>
  <c r="F402" i="1"/>
  <c r="E402" i="1"/>
  <c r="D402" i="1"/>
  <c r="C402" i="1"/>
  <c r="A402" i="1"/>
  <c r="R401" i="1"/>
  <c r="Q401" i="1"/>
  <c r="N401" i="1"/>
  <c r="J401" i="1"/>
  <c r="I401" i="1"/>
  <c r="H401" i="1"/>
  <c r="G401" i="1"/>
  <c r="F401" i="1"/>
  <c r="E401" i="1"/>
  <c r="D401" i="1"/>
  <c r="C401" i="1"/>
  <c r="A401" i="1"/>
  <c r="R400" i="1"/>
  <c r="Q400" i="1"/>
  <c r="N400" i="1"/>
  <c r="J400" i="1"/>
  <c r="I400" i="1"/>
  <c r="H400" i="1"/>
  <c r="G400" i="1"/>
  <c r="F400" i="1"/>
  <c r="E400" i="1"/>
  <c r="D400" i="1"/>
  <c r="C400" i="1"/>
  <c r="A400" i="1"/>
  <c r="R399" i="1"/>
  <c r="Q399" i="1"/>
  <c r="N399" i="1"/>
  <c r="J399" i="1"/>
  <c r="I399" i="1"/>
  <c r="H399" i="1"/>
  <c r="G399" i="1"/>
  <c r="F399" i="1"/>
  <c r="E399" i="1"/>
  <c r="D399" i="1"/>
  <c r="C399" i="1"/>
  <c r="A399" i="1"/>
  <c r="R398" i="1"/>
  <c r="Q398" i="1"/>
  <c r="N398" i="1"/>
  <c r="J398" i="1"/>
  <c r="I398" i="1"/>
  <c r="H398" i="1"/>
  <c r="G398" i="1"/>
  <c r="F398" i="1"/>
  <c r="E398" i="1"/>
  <c r="D398" i="1"/>
  <c r="C398" i="1"/>
  <c r="A398" i="1"/>
  <c r="R397" i="1"/>
  <c r="Q397" i="1"/>
  <c r="N397" i="1"/>
  <c r="J397" i="1"/>
  <c r="I397" i="1"/>
  <c r="H397" i="1"/>
  <c r="G397" i="1"/>
  <c r="F397" i="1"/>
  <c r="E397" i="1"/>
  <c r="D397" i="1"/>
  <c r="C397" i="1"/>
  <c r="A397" i="1"/>
  <c r="R396" i="1"/>
  <c r="Q396" i="1"/>
  <c r="N396" i="1"/>
  <c r="J396" i="1"/>
  <c r="I396" i="1"/>
  <c r="H396" i="1"/>
  <c r="G396" i="1"/>
  <c r="F396" i="1"/>
  <c r="E396" i="1"/>
  <c r="D396" i="1"/>
  <c r="C396" i="1"/>
  <c r="A396" i="1"/>
  <c r="R395" i="1"/>
  <c r="Q395" i="1"/>
  <c r="N395" i="1"/>
  <c r="J395" i="1"/>
  <c r="I395" i="1"/>
  <c r="H395" i="1"/>
  <c r="G395" i="1"/>
  <c r="F395" i="1"/>
  <c r="E395" i="1"/>
  <c r="D395" i="1"/>
  <c r="C395" i="1"/>
  <c r="A395" i="1"/>
  <c r="R394" i="1"/>
  <c r="Q394" i="1"/>
  <c r="N394" i="1"/>
  <c r="J394" i="1"/>
  <c r="I394" i="1"/>
  <c r="H394" i="1"/>
  <c r="G394" i="1"/>
  <c r="F394" i="1"/>
  <c r="E394" i="1"/>
  <c r="D394" i="1"/>
  <c r="C394" i="1"/>
  <c r="A394" i="1"/>
  <c r="R393" i="1"/>
  <c r="Q393" i="1"/>
  <c r="N393" i="1"/>
  <c r="J393" i="1"/>
  <c r="I393" i="1"/>
  <c r="H393" i="1"/>
  <c r="G393" i="1"/>
  <c r="F393" i="1"/>
  <c r="E393" i="1"/>
  <c r="D393" i="1"/>
  <c r="C393" i="1"/>
  <c r="A393" i="1"/>
  <c r="R392" i="1"/>
  <c r="Q392" i="1"/>
  <c r="N392" i="1"/>
  <c r="J392" i="1"/>
  <c r="I392" i="1"/>
  <c r="H392" i="1"/>
  <c r="G392" i="1"/>
  <c r="F392" i="1"/>
  <c r="E392" i="1"/>
  <c r="D392" i="1"/>
  <c r="C392" i="1"/>
  <c r="A392" i="1"/>
  <c r="R391" i="1"/>
  <c r="Q391" i="1"/>
  <c r="N391" i="1"/>
  <c r="J391" i="1"/>
  <c r="I391" i="1"/>
  <c r="H391" i="1"/>
  <c r="G391" i="1"/>
  <c r="F391" i="1"/>
  <c r="E391" i="1"/>
  <c r="D391" i="1"/>
  <c r="C391" i="1"/>
  <c r="A391" i="1"/>
  <c r="R390" i="1"/>
  <c r="Q390" i="1"/>
  <c r="N390" i="1"/>
  <c r="J390" i="1"/>
  <c r="I390" i="1"/>
  <c r="H390" i="1"/>
  <c r="G390" i="1"/>
  <c r="F390" i="1"/>
  <c r="E390" i="1"/>
  <c r="D390" i="1"/>
  <c r="C390" i="1"/>
  <c r="A390" i="1"/>
  <c r="R389" i="1"/>
  <c r="Q389" i="1"/>
  <c r="N389" i="1"/>
  <c r="J389" i="1"/>
  <c r="I389" i="1"/>
  <c r="H389" i="1"/>
  <c r="G389" i="1"/>
  <c r="F389" i="1"/>
  <c r="E389" i="1"/>
  <c r="D389" i="1"/>
  <c r="C389" i="1"/>
  <c r="A389" i="1"/>
  <c r="R388" i="1"/>
  <c r="Q388" i="1"/>
  <c r="N388" i="1"/>
  <c r="J388" i="1"/>
  <c r="I388" i="1"/>
  <c r="H388" i="1"/>
  <c r="G388" i="1"/>
  <c r="F388" i="1"/>
  <c r="E388" i="1"/>
  <c r="D388" i="1"/>
  <c r="C388" i="1"/>
  <c r="A388" i="1"/>
  <c r="R387" i="1"/>
  <c r="Q387" i="1"/>
  <c r="N387" i="1"/>
  <c r="J387" i="1"/>
  <c r="I387" i="1"/>
  <c r="H387" i="1"/>
  <c r="G387" i="1"/>
  <c r="F387" i="1"/>
  <c r="E387" i="1"/>
  <c r="D387" i="1"/>
  <c r="C387" i="1"/>
  <c r="A387" i="1"/>
  <c r="R386" i="1"/>
  <c r="Q386" i="1"/>
  <c r="N386" i="1"/>
  <c r="J386" i="1"/>
  <c r="I386" i="1"/>
  <c r="H386" i="1"/>
  <c r="G386" i="1"/>
  <c r="F386" i="1"/>
  <c r="E386" i="1"/>
  <c r="D386" i="1"/>
  <c r="C386" i="1"/>
  <c r="A386" i="1"/>
  <c r="R385" i="1"/>
  <c r="Q385" i="1"/>
  <c r="N385" i="1"/>
  <c r="J385" i="1"/>
  <c r="I385" i="1"/>
  <c r="H385" i="1"/>
  <c r="G385" i="1"/>
  <c r="F385" i="1"/>
  <c r="E385" i="1"/>
  <c r="D385" i="1"/>
  <c r="C385" i="1"/>
  <c r="A385" i="1"/>
  <c r="R384" i="1"/>
  <c r="Q384" i="1"/>
  <c r="N384" i="1"/>
  <c r="J384" i="1"/>
  <c r="I384" i="1"/>
  <c r="H384" i="1"/>
  <c r="G384" i="1"/>
  <c r="F384" i="1"/>
  <c r="E384" i="1"/>
  <c r="D384" i="1"/>
  <c r="C384" i="1"/>
  <c r="A384" i="1"/>
  <c r="R383" i="1"/>
  <c r="Q383" i="1"/>
  <c r="N383" i="1"/>
  <c r="J383" i="1"/>
  <c r="I383" i="1"/>
  <c r="H383" i="1"/>
  <c r="G383" i="1"/>
  <c r="F383" i="1"/>
  <c r="E383" i="1"/>
  <c r="D383" i="1"/>
  <c r="C383" i="1"/>
  <c r="A383" i="1"/>
  <c r="R382" i="1"/>
  <c r="Q382" i="1"/>
  <c r="N382" i="1"/>
  <c r="J382" i="1"/>
  <c r="I382" i="1"/>
  <c r="H382" i="1"/>
  <c r="G382" i="1"/>
  <c r="F382" i="1"/>
  <c r="E382" i="1"/>
  <c r="D382" i="1"/>
  <c r="C382" i="1"/>
  <c r="A382" i="1"/>
  <c r="R381" i="1"/>
  <c r="Q381" i="1"/>
  <c r="N381" i="1"/>
  <c r="J381" i="1"/>
  <c r="I381" i="1"/>
  <c r="H381" i="1"/>
  <c r="G381" i="1"/>
  <c r="F381" i="1"/>
  <c r="E381" i="1"/>
  <c r="D381" i="1"/>
  <c r="C381" i="1"/>
  <c r="A381" i="1"/>
  <c r="R380" i="1"/>
  <c r="Q380" i="1"/>
  <c r="N380" i="1"/>
  <c r="J380" i="1"/>
  <c r="I380" i="1"/>
  <c r="H380" i="1"/>
  <c r="G380" i="1"/>
  <c r="F380" i="1"/>
  <c r="E380" i="1"/>
  <c r="D380" i="1"/>
  <c r="C380" i="1"/>
  <c r="A380" i="1"/>
  <c r="R379" i="1"/>
  <c r="Q379" i="1"/>
  <c r="N379" i="1"/>
  <c r="J379" i="1"/>
  <c r="I379" i="1"/>
  <c r="H379" i="1"/>
  <c r="G379" i="1"/>
  <c r="F379" i="1"/>
  <c r="E379" i="1"/>
  <c r="D379" i="1"/>
  <c r="C379" i="1"/>
  <c r="A379" i="1"/>
  <c r="R378" i="1"/>
  <c r="Q378" i="1"/>
  <c r="N378" i="1"/>
  <c r="J378" i="1"/>
  <c r="I378" i="1"/>
  <c r="H378" i="1"/>
  <c r="G378" i="1"/>
  <c r="F378" i="1"/>
  <c r="E378" i="1"/>
  <c r="D378" i="1"/>
  <c r="C378" i="1"/>
  <c r="A378" i="1"/>
  <c r="R377" i="1"/>
  <c r="Q377" i="1"/>
  <c r="N377" i="1"/>
  <c r="J377" i="1"/>
  <c r="I377" i="1"/>
  <c r="H377" i="1"/>
  <c r="G377" i="1"/>
  <c r="F377" i="1"/>
  <c r="E377" i="1"/>
  <c r="D377" i="1"/>
  <c r="C377" i="1"/>
  <c r="A377" i="1"/>
  <c r="R376" i="1"/>
  <c r="Q376" i="1"/>
  <c r="N376" i="1"/>
  <c r="J376" i="1"/>
  <c r="I376" i="1"/>
  <c r="H376" i="1"/>
  <c r="G376" i="1"/>
  <c r="F376" i="1"/>
  <c r="E376" i="1"/>
  <c r="D376" i="1"/>
  <c r="C376" i="1"/>
  <c r="A376" i="1"/>
  <c r="R375" i="1"/>
  <c r="Q375" i="1"/>
  <c r="N375" i="1"/>
  <c r="J375" i="1"/>
  <c r="I375" i="1"/>
  <c r="H375" i="1"/>
  <c r="G375" i="1"/>
  <c r="F375" i="1"/>
  <c r="E375" i="1"/>
  <c r="D375" i="1"/>
  <c r="C375" i="1"/>
  <c r="A375" i="1"/>
  <c r="R374" i="1"/>
  <c r="Q374" i="1"/>
  <c r="N374" i="1"/>
  <c r="J374" i="1"/>
  <c r="I374" i="1"/>
  <c r="H374" i="1"/>
  <c r="G374" i="1"/>
  <c r="F374" i="1"/>
  <c r="E374" i="1"/>
  <c r="D374" i="1"/>
  <c r="C374" i="1"/>
  <c r="A374" i="1"/>
  <c r="R373" i="1"/>
  <c r="Q373" i="1"/>
  <c r="N373" i="1"/>
  <c r="J373" i="1"/>
  <c r="I373" i="1"/>
  <c r="H373" i="1"/>
  <c r="G373" i="1"/>
  <c r="F373" i="1"/>
  <c r="E373" i="1"/>
  <c r="D373" i="1"/>
  <c r="C373" i="1"/>
  <c r="A373" i="1"/>
  <c r="R372" i="1"/>
  <c r="Q372" i="1"/>
  <c r="N372" i="1"/>
  <c r="J372" i="1"/>
  <c r="I372" i="1"/>
  <c r="H372" i="1"/>
  <c r="G372" i="1"/>
  <c r="F372" i="1"/>
  <c r="E372" i="1"/>
  <c r="D372" i="1"/>
  <c r="C372" i="1"/>
  <c r="A372" i="1"/>
  <c r="R371" i="1"/>
  <c r="Q371" i="1"/>
  <c r="N371" i="1"/>
  <c r="J371" i="1"/>
  <c r="I371" i="1"/>
  <c r="H371" i="1"/>
  <c r="G371" i="1"/>
  <c r="F371" i="1"/>
  <c r="E371" i="1"/>
  <c r="D371" i="1"/>
  <c r="C371" i="1"/>
  <c r="A371" i="1"/>
  <c r="R370" i="1"/>
  <c r="Q370" i="1"/>
  <c r="N370" i="1"/>
  <c r="J370" i="1"/>
  <c r="I370" i="1"/>
  <c r="H370" i="1"/>
  <c r="G370" i="1"/>
  <c r="F370" i="1"/>
  <c r="E370" i="1"/>
  <c r="D370" i="1"/>
  <c r="C370" i="1"/>
  <c r="A370" i="1"/>
  <c r="R369" i="1"/>
  <c r="Q369" i="1"/>
  <c r="N369" i="1"/>
  <c r="J369" i="1"/>
  <c r="I369" i="1"/>
  <c r="H369" i="1"/>
  <c r="G369" i="1"/>
  <c r="F369" i="1"/>
  <c r="E369" i="1"/>
  <c r="D369" i="1"/>
  <c r="C369" i="1"/>
  <c r="A369" i="1"/>
  <c r="R368" i="1"/>
  <c r="Q368" i="1"/>
  <c r="N368" i="1"/>
  <c r="J368" i="1"/>
  <c r="I368" i="1"/>
  <c r="H368" i="1"/>
  <c r="G368" i="1"/>
  <c r="F368" i="1"/>
  <c r="E368" i="1"/>
  <c r="D368" i="1"/>
  <c r="C368" i="1"/>
  <c r="A368" i="1"/>
  <c r="R367" i="1"/>
  <c r="Q367" i="1"/>
  <c r="N367" i="1"/>
  <c r="J367" i="1"/>
  <c r="I367" i="1"/>
  <c r="H367" i="1"/>
  <c r="G367" i="1"/>
  <c r="F367" i="1"/>
  <c r="E367" i="1"/>
  <c r="D367" i="1"/>
  <c r="C367" i="1"/>
  <c r="A367" i="1"/>
  <c r="R366" i="1"/>
  <c r="Q366" i="1"/>
  <c r="N366" i="1"/>
  <c r="J366" i="1"/>
  <c r="I366" i="1"/>
  <c r="H366" i="1"/>
  <c r="G366" i="1"/>
  <c r="F366" i="1"/>
  <c r="E366" i="1"/>
  <c r="D366" i="1"/>
  <c r="C366" i="1"/>
  <c r="A366" i="1"/>
  <c r="R365" i="1"/>
  <c r="Q365" i="1"/>
  <c r="N365" i="1"/>
  <c r="J365" i="1"/>
  <c r="I365" i="1"/>
  <c r="H365" i="1"/>
  <c r="G365" i="1"/>
  <c r="F365" i="1"/>
  <c r="E365" i="1"/>
  <c r="D365" i="1"/>
  <c r="C365" i="1"/>
  <c r="A365" i="1"/>
  <c r="R364" i="1"/>
  <c r="Q364" i="1"/>
  <c r="N364" i="1"/>
  <c r="J364" i="1"/>
  <c r="I364" i="1"/>
  <c r="H364" i="1"/>
  <c r="G364" i="1"/>
  <c r="F364" i="1"/>
  <c r="E364" i="1"/>
  <c r="D364" i="1"/>
  <c r="C364" i="1"/>
  <c r="A364" i="1"/>
  <c r="R363" i="1"/>
  <c r="Q363" i="1"/>
  <c r="N363" i="1"/>
  <c r="J363" i="1"/>
  <c r="I363" i="1"/>
  <c r="H363" i="1"/>
  <c r="G363" i="1"/>
  <c r="F363" i="1"/>
  <c r="E363" i="1"/>
  <c r="D363" i="1"/>
  <c r="C363" i="1"/>
  <c r="A363" i="1"/>
  <c r="R362" i="1"/>
  <c r="Q362" i="1"/>
  <c r="N362" i="1"/>
  <c r="J362" i="1"/>
  <c r="I362" i="1"/>
  <c r="H362" i="1"/>
  <c r="G362" i="1"/>
  <c r="F362" i="1"/>
  <c r="E362" i="1"/>
  <c r="D362" i="1"/>
  <c r="C362" i="1"/>
  <c r="A362" i="1"/>
  <c r="R361" i="1"/>
  <c r="N361" i="1"/>
  <c r="J361" i="1"/>
  <c r="I361" i="1"/>
  <c r="H361" i="1"/>
  <c r="G361" i="1"/>
  <c r="F361" i="1"/>
  <c r="E361" i="1"/>
  <c r="D361" i="1"/>
  <c r="C361" i="1"/>
  <c r="B361" i="1"/>
  <c r="A361" i="1"/>
  <c r="R360" i="1"/>
  <c r="N360" i="1"/>
  <c r="J360" i="1"/>
  <c r="I360" i="1"/>
  <c r="H360" i="1"/>
  <c r="G360" i="1"/>
  <c r="F360" i="1"/>
  <c r="E360" i="1"/>
  <c r="D360" i="1"/>
  <c r="C360" i="1"/>
  <c r="B360" i="1"/>
  <c r="A360" i="1"/>
  <c r="R359" i="1"/>
  <c r="N359" i="1"/>
  <c r="J359" i="1"/>
  <c r="I359" i="1"/>
  <c r="H359" i="1"/>
  <c r="G359" i="1"/>
  <c r="F359" i="1"/>
  <c r="E359" i="1"/>
  <c r="D359" i="1"/>
  <c r="C359" i="1"/>
  <c r="B359" i="1"/>
  <c r="A359" i="1"/>
  <c r="R358" i="1"/>
  <c r="N358" i="1"/>
  <c r="J358" i="1"/>
  <c r="I358" i="1"/>
  <c r="H358" i="1"/>
  <c r="G358" i="1"/>
  <c r="F358" i="1"/>
  <c r="E358" i="1"/>
  <c r="D358" i="1"/>
  <c r="C358" i="1"/>
  <c r="B358" i="1"/>
  <c r="A358" i="1"/>
  <c r="R357" i="1"/>
  <c r="N357" i="1"/>
  <c r="J357" i="1"/>
  <c r="I357" i="1"/>
  <c r="H357" i="1"/>
  <c r="G357" i="1"/>
  <c r="F357" i="1"/>
  <c r="E357" i="1"/>
  <c r="D357" i="1"/>
  <c r="C357" i="1"/>
  <c r="B357" i="1"/>
  <c r="A357" i="1"/>
  <c r="R356" i="1"/>
  <c r="Q356" i="1"/>
  <c r="N356" i="1"/>
  <c r="J356" i="1"/>
  <c r="I356" i="1"/>
  <c r="H356" i="1"/>
  <c r="G356" i="1"/>
  <c r="F356" i="1"/>
  <c r="E356" i="1"/>
  <c r="D356" i="1"/>
  <c r="C356" i="1"/>
  <c r="B356" i="1"/>
  <c r="A356" i="1"/>
  <c r="R355" i="1"/>
  <c r="N355" i="1"/>
  <c r="J355" i="1"/>
  <c r="I355" i="1"/>
  <c r="H355" i="1"/>
  <c r="G355" i="1"/>
  <c r="F355" i="1"/>
  <c r="E355" i="1"/>
  <c r="D355" i="1"/>
  <c r="C355" i="1"/>
  <c r="B355" i="1"/>
  <c r="A355" i="1"/>
  <c r="R354" i="1"/>
  <c r="Q354" i="1"/>
  <c r="N354" i="1"/>
  <c r="J354" i="1"/>
  <c r="I354" i="1"/>
  <c r="H354" i="1"/>
  <c r="G354" i="1"/>
  <c r="F354" i="1"/>
  <c r="E354" i="1"/>
  <c r="D354" i="1"/>
  <c r="C354" i="1"/>
  <c r="B354" i="1"/>
  <c r="A354" i="1"/>
  <c r="R353" i="1"/>
  <c r="N353" i="1"/>
  <c r="J353" i="1"/>
  <c r="I353" i="1"/>
  <c r="H353" i="1"/>
  <c r="G353" i="1"/>
  <c r="F353" i="1"/>
  <c r="E353" i="1"/>
  <c r="D353" i="1"/>
  <c r="C353" i="1"/>
  <c r="B353" i="1"/>
  <c r="A353" i="1"/>
  <c r="R352" i="1"/>
  <c r="Q352" i="1"/>
  <c r="N352" i="1"/>
  <c r="J352" i="1"/>
  <c r="I352" i="1"/>
  <c r="H352" i="1"/>
  <c r="G352" i="1"/>
  <c r="F352" i="1"/>
  <c r="E352" i="1"/>
  <c r="D352" i="1"/>
  <c r="C352" i="1"/>
  <c r="B352" i="1"/>
  <c r="A352" i="1"/>
  <c r="R351" i="1"/>
  <c r="N351" i="1"/>
  <c r="J351" i="1"/>
  <c r="I351" i="1"/>
  <c r="H351" i="1"/>
  <c r="G351" i="1"/>
  <c r="F351" i="1"/>
  <c r="E351" i="1"/>
  <c r="D351" i="1"/>
  <c r="C351" i="1"/>
  <c r="B351" i="1"/>
  <c r="A351" i="1"/>
  <c r="R350" i="1"/>
  <c r="Q350" i="1"/>
  <c r="N350" i="1"/>
  <c r="J350" i="1"/>
  <c r="I350" i="1"/>
  <c r="H350" i="1"/>
  <c r="G350" i="1"/>
  <c r="F350" i="1"/>
  <c r="E350" i="1"/>
  <c r="D350" i="1"/>
  <c r="C350" i="1"/>
  <c r="B350" i="1"/>
  <c r="A350" i="1"/>
  <c r="R349" i="1"/>
  <c r="N349" i="1"/>
  <c r="J349" i="1"/>
  <c r="I349" i="1"/>
  <c r="H349" i="1"/>
  <c r="G349" i="1"/>
  <c r="F349" i="1"/>
  <c r="E349" i="1"/>
  <c r="D349" i="1"/>
  <c r="C349" i="1"/>
  <c r="B349" i="1"/>
  <c r="A349" i="1"/>
  <c r="R348" i="1"/>
  <c r="N348" i="1"/>
  <c r="J348" i="1"/>
  <c r="I348" i="1"/>
  <c r="H348" i="1"/>
  <c r="G348" i="1"/>
  <c r="F348" i="1"/>
  <c r="E348" i="1"/>
  <c r="D348" i="1"/>
  <c r="C348" i="1"/>
  <c r="B348" i="1"/>
  <c r="A348" i="1"/>
  <c r="R347" i="1"/>
  <c r="N347" i="1"/>
  <c r="J347" i="1"/>
  <c r="I347" i="1"/>
  <c r="H347" i="1"/>
  <c r="G347" i="1"/>
  <c r="F347" i="1"/>
  <c r="E347" i="1"/>
  <c r="D347" i="1"/>
  <c r="C347" i="1"/>
  <c r="B347" i="1"/>
  <c r="A347" i="1"/>
  <c r="R346" i="1"/>
  <c r="Q346" i="1"/>
  <c r="N346" i="1"/>
  <c r="J346" i="1"/>
  <c r="I346" i="1"/>
  <c r="H346" i="1"/>
  <c r="G346" i="1"/>
  <c r="F346" i="1"/>
  <c r="E346" i="1"/>
  <c r="D346" i="1"/>
  <c r="C346" i="1"/>
  <c r="A346" i="1"/>
  <c r="R345" i="1"/>
  <c r="N345" i="1"/>
  <c r="J345" i="1"/>
  <c r="I345" i="1"/>
  <c r="H345" i="1"/>
  <c r="G345" i="1"/>
  <c r="F345" i="1"/>
  <c r="E345" i="1"/>
  <c r="D345" i="1"/>
  <c r="C345" i="1"/>
  <c r="A345" i="1"/>
  <c r="R344" i="1"/>
  <c r="Q344" i="1"/>
  <c r="N344" i="1"/>
  <c r="J344" i="1"/>
  <c r="I344" i="1"/>
  <c r="H344" i="1"/>
  <c r="G344" i="1"/>
  <c r="F344" i="1"/>
  <c r="E344" i="1"/>
  <c r="D344" i="1"/>
  <c r="C344" i="1"/>
  <c r="A344" i="1"/>
  <c r="R343" i="1"/>
  <c r="N343" i="1"/>
  <c r="J343" i="1"/>
  <c r="I343" i="1"/>
  <c r="H343" i="1"/>
  <c r="G343" i="1"/>
  <c r="F343" i="1"/>
  <c r="E343" i="1"/>
  <c r="D343" i="1"/>
  <c r="C343" i="1"/>
  <c r="B343" i="1"/>
  <c r="A343" i="1"/>
  <c r="R342" i="1"/>
  <c r="N342" i="1"/>
  <c r="J342" i="1"/>
  <c r="I342" i="1"/>
  <c r="H342" i="1"/>
  <c r="G342" i="1"/>
  <c r="F342" i="1"/>
  <c r="E342" i="1"/>
  <c r="D342" i="1"/>
  <c r="C342" i="1"/>
  <c r="B342" i="1"/>
  <c r="A342" i="1"/>
  <c r="R341" i="1"/>
  <c r="Q341" i="1"/>
  <c r="N341" i="1"/>
  <c r="J341" i="1"/>
  <c r="I341" i="1"/>
  <c r="H341" i="1"/>
  <c r="G341" i="1"/>
  <c r="F341" i="1"/>
  <c r="E341" i="1"/>
  <c r="D341" i="1"/>
  <c r="C341" i="1"/>
  <c r="B341" i="1"/>
  <c r="A341" i="1"/>
  <c r="R340" i="1"/>
  <c r="N340" i="1"/>
  <c r="J340" i="1"/>
  <c r="I340" i="1"/>
  <c r="H340" i="1"/>
  <c r="G340" i="1"/>
  <c r="F340" i="1"/>
  <c r="E340" i="1"/>
  <c r="D340" i="1"/>
  <c r="C340" i="1"/>
  <c r="B340" i="1"/>
  <c r="A340" i="1"/>
  <c r="R339" i="1"/>
  <c r="N339" i="1"/>
  <c r="J339" i="1"/>
  <c r="I339" i="1"/>
  <c r="H339" i="1"/>
  <c r="G339" i="1"/>
  <c r="F339" i="1"/>
  <c r="E339" i="1"/>
  <c r="D339" i="1"/>
  <c r="C339" i="1"/>
  <c r="B339" i="1"/>
  <c r="A339" i="1"/>
  <c r="R338" i="1"/>
  <c r="N338" i="1"/>
  <c r="J338" i="1"/>
  <c r="I338" i="1"/>
  <c r="H338" i="1"/>
  <c r="G338" i="1"/>
  <c r="F338" i="1"/>
  <c r="E338" i="1"/>
  <c r="D338" i="1"/>
  <c r="C338" i="1"/>
  <c r="B338" i="1"/>
  <c r="A338" i="1"/>
  <c r="R337" i="1"/>
  <c r="N337" i="1"/>
  <c r="J337" i="1"/>
  <c r="I337" i="1"/>
  <c r="H337" i="1"/>
  <c r="G337" i="1"/>
  <c r="F337" i="1"/>
  <c r="E337" i="1"/>
  <c r="D337" i="1"/>
  <c r="C337" i="1"/>
  <c r="B337" i="1"/>
  <c r="A337" i="1"/>
  <c r="R336" i="1"/>
  <c r="Q336" i="1"/>
  <c r="N336" i="1"/>
  <c r="J336" i="1"/>
  <c r="I336" i="1"/>
  <c r="H336" i="1"/>
  <c r="G336" i="1"/>
  <c r="F336" i="1"/>
  <c r="E336" i="1"/>
  <c r="D336" i="1"/>
  <c r="C336" i="1"/>
  <c r="A336" i="1"/>
  <c r="R335" i="1"/>
  <c r="N335" i="1"/>
  <c r="J335" i="1"/>
  <c r="I335" i="1"/>
  <c r="H335" i="1"/>
  <c r="G335" i="1"/>
  <c r="F335" i="1"/>
  <c r="E335" i="1"/>
  <c r="D335" i="1"/>
  <c r="C335" i="1"/>
  <c r="A335" i="1"/>
  <c r="R334" i="1"/>
  <c r="Q334" i="1"/>
  <c r="N334" i="1"/>
  <c r="J334" i="1"/>
  <c r="I334" i="1"/>
  <c r="H334" i="1"/>
  <c r="G334" i="1"/>
  <c r="F334" i="1"/>
  <c r="E334" i="1"/>
  <c r="D334" i="1"/>
  <c r="C334" i="1"/>
  <c r="A334" i="1"/>
  <c r="R333" i="1"/>
  <c r="N333" i="1"/>
  <c r="J333" i="1"/>
  <c r="I333" i="1"/>
  <c r="H333" i="1"/>
  <c r="G333" i="1"/>
  <c r="F333" i="1"/>
  <c r="E333" i="1"/>
  <c r="D333" i="1"/>
  <c r="C333" i="1"/>
  <c r="A333" i="1"/>
  <c r="R332" i="1"/>
  <c r="Q332" i="1"/>
  <c r="N332" i="1"/>
  <c r="J332" i="1"/>
  <c r="I332" i="1"/>
  <c r="H332" i="1"/>
  <c r="G332" i="1"/>
  <c r="F332" i="1"/>
  <c r="E332" i="1"/>
  <c r="D332" i="1"/>
  <c r="C332" i="1"/>
  <c r="A332" i="1"/>
  <c r="R331" i="1"/>
  <c r="N331" i="1"/>
  <c r="J331" i="1"/>
  <c r="I331" i="1"/>
  <c r="H331" i="1"/>
  <c r="G331" i="1"/>
  <c r="F331" i="1"/>
  <c r="E331" i="1"/>
  <c r="D331" i="1"/>
  <c r="C331" i="1"/>
  <c r="B331" i="1"/>
  <c r="A331" i="1"/>
  <c r="R330" i="1"/>
  <c r="N330" i="1"/>
  <c r="J330" i="1"/>
  <c r="I330" i="1"/>
  <c r="H330" i="1"/>
  <c r="G330" i="1"/>
  <c r="F330" i="1"/>
  <c r="E330" i="1"/>
  <c r="D330" i="1"/>
  <c r="C330" i="1"/>
  <c r="B330" i="1"/>
  <c r="A330" i="1"/>
  <c r="R329" i="1"/>
  <c r="N329" i="1"/>
  <c r="J329" i="1"/>
  <c r="I329" i="1"/>
  <c r="H329" i="1"/>
  <c r="G329" i="1"/>
  <c r="F329" i="1"/>
  <c r="E329" i="1"/>
  <c r="D329" i="1"/>
  <c r="C329" i="1"/>
  <c r="B329" i="1"/>
  <c r="A329" i="1"/>
  <c r="R328" i="1"/>
  <c r="N328" i="1"/>
  <c r="J328" i="1"/>
  <c r="I328" i="1"/>
  <c r="H328" i="1"/>
  <c r="G328" i="1"/>
  <c r="F328" i="1"/>
  <c r="E328" i="1"/>
  <c r="D328" i="1"/>
  <c r="C328" i="1"/>
  <c r="B328" i="1"/>
  <c r="A328" i="1"/>
  <c r="R327" i="1"/>
  <c r="N327" i="1"/>
  <c r="J327" i="1"/>
  <c r="I327" i="1"/>
  <c r="H327" i="1"/>
  <c r="G327" i="1"/>
  <c r="F327" i="1"/>
  <c r="E327" i="1"/>
  <c r="D327" i="1"/>
  <c r="C327" i="1"/>
  <c r="B327" i="1"/>
  <c r="A327" i="1"/>
  <c r="R326" i="1"/>
  <c r="Q326" i="1"/>
  <c r="N326" i="1"/>
  <c r="J326" i="1"/>
  <c r="I326" i="1"/>
  <c r="H326" i="1"/>
  <c r="G326" i="1"/>
  <c r="F326" i="1"/>
  <c r="E326" i="1"/>
  <c r="D326" i="1"/>
  <c r="C326" i="1"/>
  <c r="B326" i="1"/>
  <c r="A326" i="1"/>
  <c r="R325" i="1"/>
  <c r="N325" i="1"/>
  <c r="J325" i="1"/>
  <c r="I325" i="1"/>
  <c r="H325" i="1"/>
  <c r="G325" i="1"/>
  <c r="F325" i="1"/>
  <c r="E325" i="1"/>
  <c r="D325" i="1"/>
  <c r="C325" i="1"/>
  <c r="B325" i="1"/>
  <c r="A325" i="1"/>
  <c r="R324" i="1"/>
  <c r="Q324" i="1"/>
  <c r="N324" i="1"/>
  <c r="J324" i="1"/>
  <c r="I324" i="1"/>
  <c r="H324" i="1"/>
  <c r="G324" i="1"/>
  <c r="F324" i="1"/>
  <c r="E324" i="1"/>
  <c r="D324" i="1"/>
  <c r="C324" i="1"/>
  <c r="A324" i="1"/>
  <c r="R323" i="1"/>
  <c r="N323" i="1"/>
  <c r="J323" i="1"/>
  <c r="I323" i="1"/>
  <c r="H323" i="1"/>
  <c r="G323" i="1"/>
  <c r="F323" i="1"/>
  <c r="E323" i="1"/>
  <c r="D323" i="1"/>
  <c r="C323" i="1"/>
  <c r="A323" i="1"/>
  <c r="R322" i="1"/>
  <c r="Q322" i="1"/>
  <c r="N322" i="1"/>
  <c r="J322" i="1"/>
  <c r="I322" i="1"/>
  <c r="H322" i="1"/>
  <c r="G322" i="1"/>
  <c r="F322" i="1"/>
  <c r="E322" i="1"/>
  <c r="D322" i="1"/>
  <c r="C322" i="1"/>
  <c r="A322" i="1"/>
  <c r="R321" i="1"/>
  <c r="N321" i="1"/>
  <c r="J321" i="1"/>
  <c r="I321" i="1"/>
  <c r="H321" i="1"/>
  <c r="G321" i="1"/>
  <c r="F321" i="1"/>
  <c r="E321" i="1"/>
  <c r="D321" i="1"/>
  <c r="C321" i="1"/>
  <c r="A321" i="1"/>
  <c r="R320" i="1"/>
  <c r="Q320" i="1"/>
  <c r="N320" i="1"/>
  <c r="J320" i="1"/>
  <c r="I320" i="1"/>
  <c r="H320" i="1"/>
  <c r="G320" i="1"/>
  <c r="F320" i="1"/>
  <c r="E320" i="1"/>
  <c r="D320" i="1"/>
  <c r="C320" i="1"/>
  <c r="A320" i="1"/>
  <c r="R319" i="1"/>
  <c r="N319" i="1"/>
  <c r="J319" i="1"/>
  <c r="I319" i="1"/>
  <c r="H319" i="1"/>
  <c r="G319" i="1"/>
  <c r="F319" i="1"/>
  <c r="E319" i="1"/>
  <c r="D319" i="1"/>
  <c r="C319" i="1"/>
  <c r="A319" i="1"/>
  <c r="R318" i="1"/>
  <c r="Q318" i="1"/>
  <c r="N318" i="1"/>
  <c r="J318" i="1"/>
  <c r="I318" i="1"/>
  <c r="H318" i="1"/>
  <c r="G318" i="1"/>
  <c r="F318" i="1"/>
  <c r="E318" i="1"/>
  <c r="D318" i="1"/>
  <c r="C318" i="1"/>
  <c r="A318" i="1"/>
  <c r="R317" i="1"/>
  <c r="N317" i="1"/>
  <c r="J317" i="1"/>
  <c r="I317" i="1"/>
  <c r="H317" i="1"/>
  <c r="G317" i="1"/>
  <c r="F317" i="1"/>
  <c r="E317" i="1"/>
  <c r="D317" i="1"/>
  <c r="C317" i="1"/>
  <c r="B317" i="1"/>
  <c r="A317" i="1"/>
  <c r="R316" i="1"/>
  <c r="N316" i="1"/>
  <c r="J316" i="1"/>
  <c r="I316" i="1"/>
  <c r="H316" i="1"/>
  <c r="G316" i="1"/>
  <c r="F316" i="1"/>
  <c r="E316" i="1"/>
  <c r="D316" i="1"/>
  <c r="C316" i="1"/>
  <c r="B316" i="1"/>
  <c r="A316" i="1"/>
  <c r="R315" i="1"/>
  <c r="N315" i="1"/>
  <c r="J315" i="1"/>
  <c r="I315" i="1"/>
  <c r="H315" i="1"/>
  <c r="G315" i="1"/>
  <c r="F315" i="1"/>
  <c r="E315" i="1"/>
  <c r="D315" i="1"/>
  <c r="C315" i="1"/>
  <c r="B315" i="1"/>
  <c r="A315" i="1"/>
  <c r="R314" i="1"/>
  <c r="Q314" i="1"/>
  <c r="N314" i="1"/>
  <c r="J314" i="1"/>
  <c r="I314" i="1"/>
  <c r="H314" i="1"/>
  <c r="G314" i="1"/>
  <c r="F314" i="1"/>
  <c r="E314" i="1"/>
  <c r="D314" i="1"/>
  <c r="C314" i="1"/>
  <c r="A314" i="1"/>
  <c r="R313" i="1"/>
  <c r="Q313" i="1"/>
  <c r="N313" i="1"/>
  <c r="J313" i="1"/>
  <c r="I313" i="1"/>
  <c r="H313" i="1"/>
  <c r="G313" i="1"/>
  <c r="F313" i="1"/>
  <c r="E313" i="1"/>
  <c r="D313" i="1"/>
  <c r="C313" i="1"/>
  <c r="A313" i="1"/>
  <c r="R312" i="1"/>
  <c r="Q312" i="1"/>
  <c r="N312" i="1"/>
  <c r="J312" i="1"/>
  <c r="I312" i="1"/>
  <c r="H312" i="1"/>
  <c r="G312" i="1"/>
  <c r="F312" i="1"/>
  <c r="E312" i="1"/>
  <c r="D312" i="1"/>
  <c r="C312" i="1"/>
  <c r="A312" i="1"/>
  <c r="R311" i="1"/>
  <c r="Q311" i="1"/>
  <c r="N311" i="1"/>
  <c r="J311" i="1"/>
  <c r="I311" i="1"/>
  <c r="H311" i="1"/>
  <c r="G311" i="1"/>
  <c r="F311" i="1"/>
  <c r="E311" i="1"/>
  <c r="D311" i="1"/>
  <c r="C311" i="1"/>
  <c r="A311" i="1"/>
  <c r="R310" i="1"/>
  <c r="Q310" i="1"/>
  <c r="N310" i="1"/>
  <c r="J310" i="1"/>
  <c r="I310" i="1"/>
  <c r="H310" i="1"/>
  <c r="G310" i="1"/>
  <c r="F310" i="1"/>
  <c r="E310" i="1"/>
  <c r="D310" i="1"/>
  <c r="C310" i="1"/>
  <c r="A310" i="1"/>
  <c r="R309" i="1"/>
  <c r="Q309" i="1"/>
  <c r="N309" i="1"/>
  <c r="J309" i="1"/>
  <c r="I309" i="1"/>
  <c r="H309" i="1"/>
  <c r="G309" i="1"/>
  <c r="F309" i="1"/>
  <c r="E309" i="1"/>
  <c r="D309" i="1"/>
  <c r="C309" i="1"/>
  <c r="A309" i="1"/>
  <c r="R308" i="1"/>
  <c r="Q308" i="1"/>
  <c r="N308" i="1"/>
  <c r="J308" i="1"/>
  <c r="I308" i="1"/>
  <c r="H308" i="1"/>
  <c r="G308" i="1"/>
  <c r="F308" i="1"/>
  <c r="E308" i="1"/>
  <c r="D308" i="1"/>
  <c r="C308" i="1"/>
  <c r="A308" i="1"/>
  <c r="R307" i="1"/>
  <c r="Q307" i="1"/>
  <c r="N307" i="1"/>
  <c r="J307" i="1"/>
  <c r="I307" i="1"/>
  <c r="H307" i="1"/>
  <c r="G307" i="1"/>
  <c r="F307" i="1"/>
  <c r="E307" i="1"/>
  <c r="D307" i="1"/>
  <c r="C307" i="1"/>
  <c r="A307" i="1"/>
  <c r="R306" i="1"/>
  <c r="Q306" i="1"/>
  <c r="N306" i="1"/>
  <c r="J306" i="1"/>
  <c r="I306" i="1"/>
  <c r="H306" i="1"/>
  <c r="G306" i="1"/>
  <c r="F306" i="1"/>
  <c r="E306" i="1"/>
  <c r="D306" i="1"/>
  <c r="C306" i="1"/>
  <c r="A306" i="1"/>
  <c r="R305" i="1"/>
  <c r="Q305" i="1"/>
  <c r="N305" i="1"/>
  <c r="J305" i="1"/>
  <c r="I305" i="1"/>
  <c r="H305" i="1"/>
  <c r="G305" i="1"/>
  <c r="F305" i="1"/>
  <c r="E305" i="1"/>
  <c r="D305" i="1"/>
  <c r="C305" i="1"/>
  <c r="A305" i="1"/>
  <c r="R304" i="1"/>
  <c r="Q304" i="1"/>
  <c r="N304" i="1"/>
  <c r="J304" i="1"/>
  <c r="I304" i="1"/>
  <c r="H304" i="1"/>
  <c r="G304" i="1"/>
  <c r="F304" i="1"/>
  <c r="E304" i="1"/>
  <c r="D304" i="1"/>
  <c r="C304" i="1"/>
  <c r="A304" i="1"/>
  <c r="R303" i="1"/>
  <c r="Q303" i="1"/>
  <c r="N303" i="1"/>
  <c r="J303" i="1"/>
  <c r="I303" i="1"/>
  <c r="H303" i="1"/>
  <c r="G303" i="1"/>
  <c r="F303" i="1"/>
  <c r="E303" i="1"/>
  <c r="D303" i="1"/>
  <c r="C303" i="1"/>
  <c r="A303" i="1"/>
  <c r="R302" i="1"/>
  <c r="Q302" i="1"/>
  <c r="N302" i="1"/>
  <c r="J302" i="1"/>
  <c r="I302" i="1"/>
  <c r="H302" i="1"/>
  <c r="G302" i="1"/>
  <c r="F302" i="1"/>
  <c r="E302" i="1"/>
  <c r="D302" i="1"/>
  <c r="C302" i="1"/>
  <c r="A302" i="1"/>
  <c r="R301" i="1"/>
  <c r="Q301" i="1"/>
  <c r="N301" i="1"/>
  <c r="J301" i="1"/>
  <c r="I301" i="1"/>
  <c r="H301" i="1"/>
  <c r="G301" i="1"/>
  <c r="F301" i="1"/>
  <c r="E301" i="1"/>
  <c r="D301" i="1"/>
  <c r="C301" i="1"/>
  <c r="A301" i="1"/>
  <c r="R300" i="1"/>
  <c r="Q300" i="1"/>
  <c r="N300" i="1"/>
  <c r="J300" i="1"/>
  <c r="I300" i="1"/>
  <c r="H300" i="1"/>
  <c r="G300" i="1"/>
  <c r="F300" i="1"/>
  <c r="E300" i="1"/>
  <c r="D300" i="1"/>
  <c r="C300" i="1"/>
  <c r="A300" i="1"/>
  <c r="R299" i="1"/>
  <c r="Q299" i="1"/>
  <c r="N299" i="1"/>
  <c r="J299" i="1"/>
  <c r="I299" i="1"/>
  <c r="H299" i="1"/>
  <c r="G299" i="1"/>
  <c r="F299" i="1"/>
  <c r="E299" i="1"/>
  <c r="D299" i="1"/>
  <c r="C299" i="1"/>
  <c r="A299" i="1"/>
  <c r="R298" i="1"/>
  <c r="Q298" i="1"/>
  <c r="N298" i="1"/>
  <c r="J298" i="1"/>
  <c r="I298" i="1"/>
  <c r="H298" i="1"/>
  <c r="G298" i="1"/>
  <c r="F298" i="1"/>
  <c r="E298" i="1"/>
  <c r="D298" i="1"/>
  <c r="C298" i="1"/>
  <c r="A298" i="1"/>
  <c r="R297" i="1"/>
  <c r="Q297" i="1"/>
  <c r="N297" i="1"/>
  <c r="J297" i="1"/>
  <c r="I297" i="1"/>
  <c r="H297" i="1"/>
  <c r="G297" i="1"/>
  <c r="F297" i="1"/>
  <c r="E297" i="1"/>
  <c r="D297" i="1"/>
  <c r="C297" i="1"/>
  <c r="A297" i="1"/>
  <c r="R296" i="1"/>
  <c r="Q296" i="1"/>
  <c r="N296" i="1"/>
  <c r="J296" i="1"/>
  <c r="I296" i="1"/>
  <c r="H296" i="1"/>
  <c r="G296" i="1"/>
  <c r="F296" i="1"/>
  <c r="E296" i="1"/>
  <c r="D296" i="1"/>
  <c r="C296" i="1"/>
  <c r="A296" i="1"/>
  <c r="R295" i="1"/>
  <c r="Q295" i="1"/>
  <c r="N295" i="1"/>
  <c r="J295" i="1"/>
  <c r="I295" i="1"/>
  <c r="H295" i="1"/>
  <c r="G295" i="1"/>
  <c r="F295" i="1"/>
  <c r="E295" i="1"/>
  <c r="D295" i="1"/>
  <c r="C295" i="1"/>
  <c r="A295" i="1"/>
  <c r="R294" i="1"/>
  <c r="Q294" i="1"/>
  <c r="N294" i="1"/>
  <c r="J294" i="1"/>
  <c r="I294" i="1"/>
  <c r="H294" i="1"/>
  <c r="G294" i="1"/>
  <c r="F294" i="1"/>
  <c r="E294" i="1"/>
  <c r="D294" i="1"/>
  <c r="C294" i="1"/>
  <c r="A294" i="1"/>
  <c r="R293" i="1"/>
  <c r="Q293" i="1"/>
  <c r="N293" i="1"/>
  <c r="J293" i="1"/>
  <c r="I293" i="1"/>
  <c r="H293" i="1"/>
  <c r="G293" i="1"/>
  <c r="F293" i="1"/>
  <c r="E293" i="1"/>
  <c r="D293" i="1"/>
  <c r="C293" i="1"/>
  <c r="A293" i="1"/>
  <c r="R292" i="1"/>
  <c r="Q292" i="1"/>
  <c r="N292" i="1"/>
  <c r="J292" i="1"/>
  <c r="I292" i="1"/>
  <c r="H292" i="1"/>
  <c r="G292" i="1"/>
  <c r="F292" i="1"/>
  <c r="E292" i="1"/>
  <c r="D292" i="1"/>
  <c r="C292" i="1"/>
  <c r="A292" i="1"/>
  <c r="R291" i="1"/>
  <c r="Q291" i="1"/>
  <c r="N291" i="1"/>
  <c r="J291" i="1"/>
  <c r="I291" i="1"/>
  <c r="H291" i="1"/>
  <c r="G291" i="1"/>
  <c r="F291" i="1"/>
  <c r="E291" i="1"/>
  <c r="D291" i="1"/>
  <c r="C291" i="1"/>
  <c r="A291" i="1"/>
  <c r="R290" i="1"/>
  <c r="Q290" i="1"/>
  <c r="N290" i="1"/>
  <c r="J290" i="1"/>
  <c r="I290" i="1"/>
  <c r="H290" i="1"/>
  <c r="G290" i="1"/>
  <c r="F290" i="1"/>
  <c r="E290" i="1"/>
  <c r="D290" i="1"/>
  <c r="C290" i="1"/>
  <c r="A290" i="1"/>
  <c r="R289" i="1"/>
  <c r="Q289" i="1"/>
  <c r="N289" i="1"/>
  <c r="J289" i="1"/>
  <c r="I289" i="1"/>
  <c r="H289" i="1"/>
  <c r="G289" i="1"/>
  <c r="F289" i="1"/>
  <c r="E289" i="1"/>
  <c r="D289" i="1"/>
  <c r="C289" i="1"/>
  <c r="A289" i="1"/>
  <c r="R288" i="1"/>
  <c r="Q288" i="1"/>
  <c r="N288" i="1"/>
  <c r="J288" i="1"/>
  <c r="I288" i="1"/>
  <c r="H288" i="1"/>
  <c r="G288" i="1"/>
  <c r="F288" i="1"/>
  <c r="E288" i="1"/>
  <c r="D288" i="1"/>
  <c r="C288" i="1"/>
  <c r="A288" i="1"/>
  <c r="R287" i="1"/>
  <c r="Q287" i="1"/>
  <c r="N287" i="1"/>
  <c r="J287" i="1"/>
  <c r="I287" i="1"/>
  <c r="H287" i="1"/>
  <c r="G287" i="1"/>
  <c r="F287" i="1"/>
  <c r="E287" i="1"/>
  <c r="D287" i="1"/>
  <c r="C287" i="1"/>
  <c r="A287" i="1"/>
  <c r="R286" i="1"/>
  <c r="Q286" i="1"/>
  <c r="N286" i="1"/>
  <c r="J286" i="1"/>
  <c r="I286" i="1"/>
  <c r="H286" i="1"/>
  <c r="G286" i="1"/>
  <c r="F286" i="1"/>
  <c r="E286" i="1"/>
  <c r="D286" i="1"/>
  <c r="C286" i="1"/>
  <c r="A286" i="1"/>
  <c r="R285" i="1"/>
  <c r="Q285" i="1"/>
  <c r="N285" i="1"/>
  <c r="J285" i="1"/>
  <c r="I285" i="1"/>
  <c r="H285" i="1"/>
  <c r="G285" i="1"/>
  <c r="F285" i="1"/>
  <c r="E285" i="1"/>
  <c r="D285" i="1"/>
  <c r="C285" i="1"/>
  <c r="A285" i="1"/>
  <c r="R284" i="1"/>
  <c r="Q284" i="1"/>
  <c r="N284" i="1"/>
  <c r="J284" i="1"/>
  <c r="I284" i="1"/>
  <c r="H284" i="1"/>
  <c r="G284" i="1"/>
  <c r="F284" i="1"/>
  <c r="E284" i="1"/>
  <c r="D284" i="1"/>
  <c r="C284" i="1"/>
  <c r="A284" i="1"/>
  <c r="R283" i="1"/>
  <c r="Q283" i="1"/>
  <c r="N283" i="1"/>
  <c r="J283" i="1"/>
  <c r="I283" i="1"/>
  <c r="H283" i="1"/>
  <c r="G283" i="1"/>
  <c r="F283" i="1"/>
  <c r="E283" i="1"/>
  <c r="D283" i="1"/>
  <c r="C283" i="1"/>
  <c r="A283" i="1"/>
  <c r="R282" i="1"/>
  <c r="Q282" i="1"/>
  <c r="N282" i="1"/>
  <c r="J282" i="1"/>
  <c r="I282" i="1"/>
  <c r="H282" i="1"/>
  <c r="G282" i="1"/>
  <c r="F282" i="1"/>
  <c r="E282" i="1"/>
  <c r="D282" i="1"/>
  <c r="C282" i="1"/>
  <c r="A282" i="1"/>
  <c r="R281" i="1"/>
  <c r="Q281" i="1"/>
  <c r="N281" i="1"/>
  <c r="J281" i="1"/>
  <c r="I281" i="1"/>
  <c r="H281" i="1"/>
  <c r="G281" i="1"/>
  <c r="F281" i="1"/>
  <c r="E281" i="1"/>
  <c r="D281" i="1"/>
  <c r="C281" i="1"/>
  <c r="A281" i="1"/>
  <c r="R280" i="1"/>
  <c r="Q280" i="1"/>
  <c r="N280" i="1"/>
  <c r="J280" i="1"/>
  <c r="I280" i="1"/>
  <c r="H280" i="1"/>
  <c r="G280" i="1"/>
  <c r="F280" i="1"/>
  <c r="E280" i="1"/>
  <c r="D280" i="1"/>
  <c r="C280" i="1"/>
  <c r="A280" i="1"/>
  <c r="R279" i="1"/>
  <c r="Q279" i="1"/>
  <c r="N279" i="1"/>
  <c r="J279" i="1"/>
  <c r="I279" i="1"/>
  <c r="H279" i="1"/>
  <c r="G279" i="1"/>
  <c r="F279" i="1"/>
  <c r="E279" i="1"/>
  <c r="D279" i="1"/>
  <c r="C279" i="1"/>
  <c r="A279" i="1"/>
  <c r="R278" i="1"/>
  <c r="Q278" i="1"/>
  <c r="N278" i="1"/>
  <c r="J278" i="1"/>
  <c r="I278" i="1"/>
  <c r="H278" i="1"/>
  <c r="G278" i="1"/>
  <c r="F278" i="1"/>
  <c r="E278" i="1"/>
  <c r="D278" i="1"/>
  <c r="C278" i="1"/>
  <c r="A278" i="1"/>
  <c r="R277" i="1"/>
  <c r="Q277" i="1"/>
  <c r="N277" i="1"/>
  <c r="J277" i="1"/>
  <c r="I277" i="1"/>
  <c r="H277" i="1"/>
  <c r="G277" i="1"/>
  <c r="F277" i="1"/>
  <c r="E277" i="1"/>
  <c r="D277" i="1"/>
  <c r="C277" i="1"/>
  <c r="A277" i="1"/>
  <c r="R276" i="1"/>
  <c r="Q276" i="1"/>
  <c r="N276" i="1"/>
  <c r="J276" i="1"/>
  <c r="I276" i="1"/>
  <c r="H276" i="1"/>
  <c r="G276" i="1"/>
  <c r="F276" i="1"/>
  <c r="E276" i="1"/>
  <c r="D276" i="1"/>
  <c r="C276" i="1"/>
  <c r="A276" i="1"/>
  <c r="R275" i="1"/>
  <c r="Q275" i="1"/>
  <c r="N275" i="1"/>
  <c r="J275" i="1"/>
  <c r="I275" i="1"/>
  <c r="H275" i="1"/>
  <c r="G275" i="1"/>
  <c r="F275" i="1"/>
  <c r="E275" i="1"/>
  <c r="D275" i="1"/>
  <c r="C275" i="1"/>
  <c r="A275" i="1"/>
  <c r="R274" i="1"/>
  <c r="Q274" i="1"/>
  <c r="N274" i="1"/>
  <c r="J274" i="1"/>
  <c r="I274" i="1"/>
  <c r="H274" i="1"/>
  <c r="G274" i="1"/>
  <c r="F274" i="1"/>
  <c r="E274" i="1"/>
  <c r="D274" i="1"/>
  <c r="C274" i="1"/>
  <c r="A274" i="1"/>
  <c r="R273" i="1"/>
  <c r="Q273" i="1"/>
  <c r="N273" i="1"/>
  <c r="J273" i="1"/>
  <c r="I273" i="1"/>
  <c r="H273" i="1"/>
  <c r="G273" i="1"/>
  <c r="F273" i="1"/>
  <c r="E273" i="1"/>
  <c r="D273" i="1"/>
  <c r="C273" i="1"/>
  <c r="A273" i="1"/>
  <c r="R272" i="1"/>
  <c r="Q272" i="1"/>
  <c r="N272" i="1"/>
  <c r="J272" i="1"/>
  <c r="I272" i="1"/>
  <c r="H272" i="1"/>
  <c r="G272" i="1"/>
  <c r="F272" i="1"/>
  <c r="E272" i="1"/>
  <c r="D272" i="1"/>
  <c r="C272" i="1"/>
  <c r="A272" i="1"/>
  <c r="R271" i="1"/>
  <c r="Q271" i="1"/>
  <c r="N271" i="1"/>
  <c r="J271" i="1"/>
  <c r="I271" i="1"/>
  <c r="H271" i="1"/>
  <c r="G271" i="1"/>
  <c r="F271" i="1"/>
  <c r="E271" i="1"/>
  <c r="D271" i="1"/>
  <c r="C271" i="1"/>
  <c r="A271" i="1"/>
  <c r="R270" i="1"/>
  <c r="Q270" i="1"/>
  <c r="N270" i="1"/>
  <c r="J270" i="1"/>
  <c r="I270" i="1"/>
  <c r="H270" i="1"/>
  <c r="G270" i="1"/>
  <c r="F270" i="1"/>
  <c r="E270" i="1"/>
  <c r="D270" i="1"/>
  <c r="C270" i="1"/>
  <c r="A270" i="1"/>
  <c r="R269" i="1"/>
  <c r="N269" i="1"/>
  <c r="J269" i="1"/>
  <c r="I269" i="1"/>
  <c r="H269" i="1"/>
  <c r="G269" i="1"/>
  <c r="F269" i="1"/>
  <c r="E269" i="1"/>
  <c r="D269" i="1"/>
  <c r="C269" i="1"/>
  <c r="A269" i="1"/>
  <c r="R268" i="1"/>
  <c r="Q268" i="1"/>
  <c r="N268" i="1"/>
  <c r="J268" i="1"/>
  <c r="I268" i="1"/>
  <c r="H268" i="1"/>
  <c r="G268" i="1"/>
  <c r="F268" i="1"/>
  <c r="E268" i="1"/>
  <c r="D268" i="1"/>
  <c r="C268" i="1"/>
  <c r="A268" i="1"/>
  <c r="R267" i="1"/>
  <c r="Q267" i="1"/>
  <c r="N267" i="1"/>
  <c r="J267" i="1"/>
  <c r="I267" i="1"/>
  <c r="H267" i="1"/>
  <c r="G267" i="1"/>
  <c r="F267" i="1"/>
  <c r="E267" i="1"/>
  <c r="D267" i="1"/>
  <c r="C267" i="1"/>
  <c r="A267" i="1"/>
  <c r="R266" i="1"/>
  <c r="Q266" i="1"/>
  <c r="N266" i="1"/>
  <c r="J266" i="1"/>
  <c r="I266" i="1"/>
  <c r="H266" i="1"/>
  <c r="G266" i="1"/>
  <c r="F266" i="1"/>
  <c r="E266" i="1"/>
  <c r="D266" i="1"/>
  <c r="C266" i="1"/>
  <c r="A266" i="1"/>
  <c r="R265" i="1"/>
  <c r="Q265" i="1"/>
  <c r="N265" i="1"/>
  <c r="J265" i="1"/>
  <c r="I265" i="1"/>
  <c r="H265" i="1"/>
  <c r="G265" i="1"/>
  <c r="F265" i="1"/>
  <c r="E265" i="1"/>
  <c r="D265" i="1"/>
  <c r="C265" i="1"/>
  <c r="A265" i="1"/>
  <c r="R264" i="1"/>
  <c r="Q264" i="1"/>
  <c r="N264" i="1"/>
  <c r="J264" i="1"/>
  <c r="I264" i="1"/>
  <c r="H264" i="1"/>
  <c r="G264" i="1"/>
  <c r="F264" i="1"/>
  <c r="E264" i="1"/>
  <c r="D264" i="1"/>
  <c r="C264" i="1"/>
  <c r="A264" i="1"/>
  <c r="R263" i="1"/>
  <c r="N263" i="1"/>
  <c r="J263" i="1"/>
  <c r="I263" i="1"/>
  <c r="H263" i="1"/>
  <c r="G263" i="1"/>
  <c r="F263" i="1"/>
  <c r="E263" i="1"/>
  <c r="D263" i="1"/>
  <c r="C263" i="1"/>
  <c r="A263" i="1"/>
  <c r="R262" i="1"/>
  <c r="Q262" i="1"/>
  <c r="N262" i="1"/>
  <c r="J262" i="1"/>
  <c r="I262" i="1"/>
  <c r="H262" i="1"/>
  <c r="G262" i="1"/>
  <c r="F262" i="1"/>
  <c r="E262" i="1"/>
  <c r="D262" i="1"/>
  <c r="C262" i="1"/>
  <c r="A262" i="1"/>
  <c r="R261" i="1"/>
  <c r="Q261" i="1"/>
  <c r="N261" i="1"/>
  <c r="J261" i="1"/>
  <c r="I261" i="1"/>
  <c r="H261" i="1"/>
  <c r="G261" i="1"/>
  <c r="F261" i="1"/>
  <c r="E261" i="1"/>
  <c r="D261" i="1"/>
  <c r="C261" i="1"/>
  <c r="A261" i="1"/>
  <c r="R260" i="1"/>
  <c r="Q260" i="1"/>
  <c r="N260" i="1"/>
  <c r="J260" i="1"/>
  <c r="I260" i="1"/>
  <c r="H260" i="1"/>
  <c r="G260" i="1"/>
  <c r="F260" i="1"/>
  <c r="E260" i="1"/>
  <c r="D260" i="1"/>
  <c r="C260" i="1"/>
  <c r="A260" i="1"/>
  <c r="R259" i="1"/>
  <c r="Q259" i="1"/>
  <c r="N259" i="1"/>
  <c r="J259" i="1"/>
  <c r="I259" i="1"/>
  <c r="H259" i="1"/>
  <c r="G259" i="1"/>
  <c r="F259" i="1"/>
  <c r="E259" i="1"/>
  <c r="D259" i="1"/>
  <c r="C259" i="1"/>
  <c r="A259" i="1"/>
  <c r="R258" i="1"/>
  <c r="Q258" i="1"/>
  <c r="N258" i="1"/>
  <c r="J258" i="1"/>
  <c r="I258" i="1"/>
  <c r="H258" i="1"/>
  <c r="G258" i="1"/>
  <c r="F258" i="1"/>
  <c r="E258" i="1"/>
  <c r="D258" i="1"/>
  <c r="C258" i="1"/>
  <c r="A258" i="1"/>
  <c r="R257" i="1"/>
  <c r="Q257" i="1"/>
  <c r="N257" i="1"/>
  <c r="J257" i="1"/>
  <c r="I257" i="1"/>
  <c r="H257" i="1"/>
  <c r="G257" i="1"/>
  <c r="F257" i="1"/>
  <c r="E257" i="1"/>
  <c r="D257" i="1"/>
  <c r="C257" i="1"/>
  <c r="A257" i="1"/>
  <c r="R256" i="1"/>
  <c r="Q256" i="1"/>
  <c r="N256" i="1"/>
  <c r="J256" i="1"/>
  <c r="I256" i="1"/>
  <c r="H256" i="1"/>
  <c r="G256" i="1"/>
  <c r="F256" i="1"/>
  <c r="E256" i="1"/>
  <c r="D256" i="1"/>
  <c r="C256" i="1"/>
  <c r="A256" i="1"/>
  <c r="R255" i="1"/>
  <c r="Q255" i="1"/>
  <c r="N255" i="1"/>
  <c r="J255" i="1"/>
  <c r="I255" i="1"/>
  <c r="H255" i="1"/>
  <c r="G255" i="1"/>
  <c r="F255" i="1"/>
  <c r="E255" i="1"/>
  <c r="D255" i="1"/>
  <c r="C255" i="1"/>
  <c r="A255" i="1"/>
  <c r="R254" i="1"/>
  <c r="Q254" i="1"/>
  <c r="N254" i="1"/>
  <c r="J254" i="1"/>
  <c r="I254" i="1"/>
  <c r="H254" i="1"/>
  <c r="G254" i="1"/>
  <c r="F254" i="1"/>
  <c r="E254" i="1"/>
  <c r="D254" i="1"/>
  <c r="C254" i="1"/>
  <c r="A254" i="1"/>
  <c r="R253" i="1"/>
  <c r="Q253" i="1"/>
  <c r="N253" i="1"/>
  <c r="J253" i="1"/>
  <c r="I253" i="1"/>
  <c r="H253" i="1"/>
  <c r="G253" i="1"/>
  <c r="F253" i="1"/>
  <c r="E253" i="1"/>
  <c r="D253" i="1"/>
  <c r="C253" i="1"/>
  <c r="A253" i="1"/>
  <c r="R252" i="1"/>
  <c r="N252" i="1"/>
  <c r="J252" i="1"/>
  <c r="I252" i="1"/>
  <c r="H252" i="1"/>
  <c r="G252" i="1"/>
  <c r="F252" i="1"/>
  <c r="E252" i="1"/>
  <c r="D252" i="1"/>
  <c r="C252" i="1"/>
  <c r="B252" i="1"/>
  <c r="A252" i="1"/>
  <c r="R251" i="1"/>
  <c r="N251" i="1"/>
  <c r="J251" i="1"/>
  <c r="I251" i="1"/>
  <c r="H251" i="1"/>
  <c r="G251" i="1"/>
  <c r="F251" i="1"/>
  <c r="E251" i="1"/>
  <c r="D251" i="1"/>
  <c r="C251" i="1"/>
  <c r="B251" i="1"/>
  <c r="A251" i="1"/>
  <c r="R250" i="1"/>
  <c r="N250" i="1"/>
  <c r="J250" i="1"/>
  <c r="I250" i="1"/>
  <c r="H250" i="1"/>
  <c r="G250" i="1"/>
  <c r="F250" i="1"/>
  <c r="E250" i="1"/>
  <c r="D250" i="1"/>
  <c r="C250" i="1"/>
  <c r="B250" i="1"/>
  <c r="A250" i="1"/>
  <c r="R249" i="1"/>
  <c r="N249" i="1"/>
  <c r="J249" i="1"/>
  <c r="I249" i="1"/>
  <c r="H249" i="1"/>
  <c r="G249" i="1"/>
  <c r="F249" i="1"/>
  <c r="E249" i="1"/>
  <c r="D249" i="1"/>
  <c r="C249" i="1"/>
  <c r="B249" i="1"/>
  <c r="A249" i="1"/>
  <c r="R248" i="1"/>
  <c r="N248" i="1"/>
  <c r="J248" i="1"/>
  <c r="I248" i="1"/>
  <c r="H248" i="1"/>
  <c r="G248" i="1"/>
  <c r="F248" i="1"/>
  <c r="E248" i="1"/>
  <c r="D248" i="1"/>
  <c r="C248" i="1"/>
  <c r="B248" i="1"/>
  <c r="A248" i="1"/>
  <c r="R247" i="1"/>
  <c r="Q247" i="1"/>
  <c r="N247" i="1"/>
  <c r="J247" i="1"/>
  <c r="I247" i="1"/>
  <c r="H247" i="1"/>
  <c r="G247" i="1"/>
  <c r="F247" i="1"/>
  <c r="E247" i="1"/>
  <c r="D247" i="1"/>
  <c r="C247" i="1"/>
  <c r="B247" i="1"/>
  <c r="A247" i="1"/>
  <c r="R246" i="1"/>
  <c r="N246" i="1"/>
  <c r="J246" i="1"/>
  <c r="I246" i="1"/>
  <c r="H246" i="1"/>
  <c r="F246" i="1"/>
  <c r="E246" i="1"/>
  <c r="D246" i="1"/>
  <c r="C246" i="1"/>
  <c r="B246" i="1"/>
  <c r="A246" i="1"/>
  <c r="R245" i="1"/>
  <c r="N245" i="1"/>
  <c r="J245" i="1"/>
  <c r="I245" i="1"/>
  <c r="H245" i="1"/>
  <c r="G245" i="1"/>
  <c r="F245" i="1"/>
  <c r="E245" i="1"/>
  <c r="D245" i="1"/>
  <c r="C245" i="1"/>
  <c r="B245" i="1"/>
  <c r="A245" i="1"/>
  <c r="R244" i="1"/>
  <c r="Q244" i="1"/>
  <c r="N244" i="1"/>
  <c r="J244" i="1"/>
  <c r="I244" i="1"/>
  <c r="H244" i="1"/>
  <c r="G244" i="1"/>
  <c r="F244" i="1"/>
  <c r="E244" i="1"/>
  <c r="D244" i="1"/>
  <c r="C244" i="1"/>
  <c r="A244" i="1"/>
  <c r="R243" i="1"/>
  <c r="Q243" i="1"/>
  <c r="N243" i="1"/>
  <c r="J243" i="1"/>
  <c r="I243" i="1"/>
  <c r="H243" i="1"/>
  <c r="G243" i="1"/>
  <c r="F243" i="1"/>
  <c r="E243" i="1"/>
  <c r="D243" i="1"/>
  <c r="C243" i="1"/>
  <c r="A243" i="1"/>
  <c r="R242" i="1"/>
  <c r="Q242" i="1"/>
  <c r="N242" i="1"/>
  <c r="J242" i="1"/>
  <c r="I242" i="1"/>
  <c r="H242" i="1"/>
  <c r="G242" i="1"/>
  <c r="F242" i="1"/>
  <c r="E242" i="1"/>
  <c r="D242" i="1"/>
  <c r="C242" i="1"/>
  <c r="A242" i="1"/>
  <c r="R241" i="1"/>
  <c r="N241" i="1"/>
  <c r="J241" i="1"/>
  <c r="I241" i="1"/>
  <c r="H241" i="1"/>
  <c r="G241" i="1"/>
  <c r="F241" i="1"/>
  <c r="E241" i="1"/>
  <c r="D241" i="1"/>
  <c r="C241" i="1"/>
  <c r="B241" i="1"/>
  <c r="A241" i="1"/>
  <c r="R240" i="1"/>
  <c r="N240" i="1"/>
  <c r="J240" i="1"/>
  <c r="I240" i="1"/>
  <c r="H240" i="1"/>
  <c r="G240" i="1"/>
  <c r="F240" i="1"/>
  <c r="E240" i="1"/>
  <c r="D240" i="1"/>
  <c r="C240" i="1"/>
  <c r="B240" i="1"/>
  <c r="A240" i="1"/>
  <c r="R239" i="1"/>
  <c r="Q239" i="1"/>
  <c r="N239" i="1"/>
  <c r="J239" i="1"/>
  <c r="I239" i="1"/>
  <c r="H239" i="1"/>
  <c r="G239" i="1"/>
  <c r="F239" i="1"/>
  <c r="E239" i="1"/>
  <c r="D239" i="1"/>
  <c r="C239" i="1"/>
  <c r="B239" i="1"/>
  <c r="A239" i="1"/>
  <c r="R238" i="1"/>
  <c r="N238" i="1"/>
  <c r="J238" i="1"/>
  <c r="I238" i="1"/>
  <c r="H238" i="1"/>
  <c r="G238" i="1"/>
  <c r="F238" i="1"/>
  <c r="E238" i="1"/>
  <c r="D238" i="1"/>
  <c r="C238" i="1"/>
  <c r="B238" i="1"/>
  <c r="A238" i="1"/>
  <c r="R237" i="1"/>
  <c r="Q237" i="1"/>
  <c r="N237" i="1"/>
  <c r="J237" i="1"/>
  <c r="I237" i="1"/>
  <c r="H237" i="1"/>
  <c r="G237" i="1"/>
  <c r="F237" i="1"/>
  <c r="E237" i="1"/>
  <c r="D237" i="1"/>
  <c r="C237" i="1"/>
  <c r="A237" i="1"/>
  <c r="R236" i="1"/>
  <c r="N236" i="1"/>
  <c r="J236" i="1"/>
  <c r="I236" i="1"/>
  <c r="H236" i="1"/>
  <c r="G236" i="1"/>
  <c r="F236" i="1"/>
  <c r="E236" i="1"/>
  <c r="D236" i="1"/>
  <c r="C236" i="1"/>
  <c r="B236" i="1"/>
  <c r="A236" i="1"/>
  <c r="R235" i="1"/>
  <c r="Q235" i="1"/>
  <c r="N235" i="1"/>
  <c r="J235" i="1"/>
  <c r="I235" i="1"/>
  <c r="H235" i="1"/>
  <c r="G235" i="1"/>
  <c r="F235" i="1"/>
  <c r="E235" i="1"/>
  <c r="D235" i="1"/>
  <c r="C235" i="1"/>
  <c r="B235" i="1"/>
  <c r="A235" i="1"/>
  <c r="R234" i="1"/>
  <c r="N234" i="1"/>
  <c r="J234" i="1"/>
  <c r="I234" i="1"/>
  <c r="H234" i="1"/>
  <c r="G234" i="1"/>
  <c r="F234" i="1"/>
  <c r="E234" i="1"/>
  <c r="D234" i="1"/>
  <c r="C234" i="1"/>
  <c r="B234" i="1"/>
  <c r="A234" i="1"/>
  <c r="R233" i="1"/>
  <c r="N233" i="1"/>
  <c r="J233" i="1"/>
  <c r="I233" i="1"/>
  <c r="H233" i="1"/>
  <c r="G233" i="1"/>
  <c r="F233" i="1"/>
  <c r="E233" i="1"/>
  <c r="D233" i="1"/>
  <c r="C233" i="1"/>
  <c r="B233" i="1"/>
  <c r="A233" i="1"/>
  <c r="R232" i="1"/>
  <c r="N232" i="1"/>
  <c r="J232" i="1"/>
  <c r="I232" i="1"/>
  <c r="H232" i="1"/>
  <c r="G232" i="1"/>
  <c r="F232" i="1"/>
  <c r="E232" i="1"/>
  <c r="D232" i="1"/>
  <c r="C232" i="1"/>
  <c r="B232" i="1"/>
  <c r="A232" i="1"/>
  <c r="R231" i="1"/>
  <c r="N231" i="1"/>
  <c r="J231" i="1"/>
  <c r="I231" i="1"/>
  <c r="H231" i="1"/>
  <c r="G231" i="1"/>
  <c r="F231" i="1"/>
  <c r="E231" i="1"/>
  <c r="D231" i="1"/>
  <c r="C231" i="1"/>
  <c r="B231" i="1"/>
  <c r="A231" i="1"/>
  <c r="R230" i="1"/>
  <c r="N230" i="1"/>
  <c r="J230" i="1"/>
  <c r="I230" i="1"/>
  <c r="H230" i="1"/>
  <c r="G230" i="1"/>
  <c r="F230" i="1"/>
  <c r="E230" i="1"/>
  <c r="D230" i="1"/>
  <c r="C230" i="1"/>
  <c r="B230" i="1"/>
  <c r="A230" i="1"/>
  <c r="R229" i="1"/>
  <c r="N229" i="1"/>
  <c r="J229" i="1"/>
  <c r="I229" i="1"/>
  <c r="H229" i="1"/>
  <c r="G229" i="1"/>
  <c r="F229" i="1"/>
  <c r="E229" i="1"/>
  <c r="D229" i="1"/>
  <c r="C229" i="1"/>
  <c r="B229" i="1"/>
  <c r="A229" i="1"/>
  <c r="R228" i="1"/>
  <c r="Q228" i="1"/>
  <c r="N228" i="1"/>
  <c r="J228" i="1"/>
  <c r="I228" i="1"/>
  <c r="H228" i="1"/>
  <c r="G228" i="1"/>
  <c r="F228" i="1"/>
  <c r="E228" i="1"/>
  <c r="D228" i="1"/>
  <c r="C228" i="1"/>
  <c r="A228" i="1"/>
  <c r="R227" i="1"/>
  <c r="N227" i="1"/>
  <c r="J227" i="1"/>
  <c r="I227" i="1"/>
  <c r="H227" i="1"/>
  <c r="G227" i="1"/>
  <c r="F227" i="1"/>
  <c r="E227" i="1"/>
  <c r="D227" i="1"/>
  <c r="C227" i="1"/>
  <c r="A227" i="1"/>
  <c r="R226" i="1"/>
  <c r="Q226" i="1"/>
  <c r="N226" i="1"/>
  <c r="J226" i="1"/>
  <c r="I226" i="1"/>
  <c r="H226" i="1"/>
  <c r="G226" i="1"/>
  <c r="F226" i="1"/>
  <c r="E226" i="1"/>
  <c r="D226" i="1"/>
  <c r="C226" i="1"/>
  <c r="A226" i="1"/>
  <c r="R225" i="1"/>
  <c r="N225" i="1"/>
  <c r="J225" i="1"/>
  <c r="I225" i="1"/>
  <c r="H225" i="1"/>
  <c r="G225" i="1"/>
  <c r="F225" i="1"/>
  <c r="E225" i="1"/>
  <c r="D225" i="1"/>
  <c r="C225" i="1"/>
  <c r="A225" i="1"/>
  <c r="R224" i="1"/>
  <c r="Q224" i="1"/>
  <c r="N224" i="1"/>
  <c r="J224" i="1"/>
  <c r="I224" i="1"/>
  <c r="H224" i="1"/>
  <c r="G224" i="1"/>
  <c r="F224" i="1"/>
  <c r="E224" i="1"/>
  <c r="D224" i="1"/>
  <c r="C224" i="1"/>
  <c r="A224" i="1"/>
  <c r="R223" i="1"/>
  <c r="N223" i="1"/>
  <c r="J223" i="1"/>
  <c r="I223" i="1"/>
  <c r="H223" i="1"/>
  <c r="G223" i="1"/>
  <c r="F223" i="1"/>
  <c r="E223" i="1"/>
  <c r="D223" i="1"/>
  <c r="C223" i="1"/>
  <c r="A223" i="1"/>
  <c r="R222" i="1"/>
  <c r="Q222" i="1"/>
  <c r="N222" i="1"/>
  <c r="J222" i="1"/>
  <c r="I222" i="1"/>
  <c r="H222" i="1"/>
  <c r="G222" i="1"/>
  <c r="F222" i="1"/>
  <c r="E222" i="1"/>
  <c r="D222" i="1"/>
  <c r="C222" i="1"/>
  <c r="A222" i="1"/>
  <c r="R221" i="1"/>
  <c r="N221" i="1"/>
  <c r="J221" i="1"/>
  <c r="I221" i="1"/>
  <c r="H221" i="1"/>
  <c r="G221" i="1"/>
  <c r="F221" i="1"/>
  <c r="E221" i="1"/>
  <c r="D221" i="1"/>
  <c r="C221" i="1"/>
  <c r="A221" i="1"/>
  <c r="R220" i="1"/>
  <c r="Q220" i="1"/>
  <c r="N220" i="1"/>
  <c r="J220" i="1"/>
  <c r="I220" i="1"/>
  <c r="H220" i="1"/>
  <c r="G220" i="1"/>
  <c r="F220" i="1"/>
  <c r="E220" i="1"/>
  <c r="D220" i="1"/>
  <c r="C220" i="1"/>
  <c r="A220" i="1"/>
  <c r="R219" i="1"/>
  <c r="N219" i="1"/>
  <c r="J219" i="1"/>
  <c r="I219" i="1"/>
  <c r="H219" i="1"/>
  <c r="G219" i="1"/>
  <c r="F219" i="1"/>
  <c r="E219" i="1"/>
  <c r="D219" i="1"/>
  <c r="C219" i="1"/>
  <c r="A219" i="1"/>
  <c r="R218" i="1"/>
  <c r="Q218" i="1"/>
  <c r="N218" i="1"/>
  <c r="J218" i="1"/>
  <c r="I218" i="1"/>
  <c r="H218" i="1"/>
  <c r="G218" i="1"/>
  <c r="F218" i="1"/>
  <c r="E218" i="1"/>
  <c r="D218" i="1"/>
  <c r="C218" i="1"/>
  <c r="A218" i="1"/>
  <c r="R217" i="1"/>
  <c r="N217" i="1"/>
  <c r="J217" i="1"/>
  <c r="I217" i="1"/>
  <c r="H217" i="1"/>
  <c r="G217" i="1"/>
  <c r="F217" i="1"/>
  <c r="E217" i="1"/>
  <c r="D217" i="1"/>
  <c r="C217" i="1"/>
  <c r="A217" i="1"/>
  <c r="R216" i="1"/>
  <c r="Q216" i="1"/>
  <c r="N216" i="1"/>
  <c r="J216" i="1"/>
  <c r="I216" i="1"/>
  <c r="H216" i="1"/>
  <c r="G216" i="1"/>
  <c r="F216" i="1"/>
  <c r="E216" i="1"/>
  <c r="D216" i="1"/>
  <c r="C216" i="1"/>
  <c r="A216" i="1"/>
  <c r="R215" i="1"/>
  <c r="N215" i="1"/>
  <c r="J215" i="1"/>
  <c r="I215" i="1"/>
  <c r="H215" i="1"/>
  <c r="G215" i="1"/>
  <c r="F215" i="1"/>
  <c r="E215" i="1"/>
  <c r="D215" i="1"/>
  <c r="C215" i="1"/>
  <c r="A215" i="1"/>
  <c r="R214" i="1"/>
  <c r="Q214" i="1"/>
  <c r="N214" i="1"/>
  <c r="J214" i="1"/>
  <c r="I214" i="1"/>
  <c r="H214" i="1"/>
  <c r="G214" i="1"/>
  <c r="F214" i="1"/>
  <c r="E214" i="1"/>
  <c r="D214" i="1"/>
  <c r="C214" i="1"/>
  <c r="A214" i="1"/>
  <c r="R213" i="1"/>
  <c r="N213" i="1"/>
  <c r="J213" i="1"/>
  <c r="I213" i="1"/>
  <c r="H213" i="1"/>
  <c r="G213" i="1"/>
  <c r="F213" i="1"/>
  <c r="E213" i="1"/>
  <c r="D213" i="1"/>
  <c r="C213" i="1"/>
  <c r="A213" i="1"/>
  <c r="R212" i="1"/>
  <c r="Q212" i="1"/>
  <c r="N212" i="1"/>
  <c r="J212" i="1"/>
  <c r="I212" i="1"/>
  <c r="H212" i="1"/>
  <c r="G212" i="1"/>
  <c r="F212" i="1"/>
  <c r="E212" i="1"/>
  <c r="D212" i="1"/>
  <c r="C212" i="1"/>
  <c r="A212" i="1"/>
  <c r="R211" i="1"/>
  <c r="Q211" i="1"/>
  <c r="N211" i="1"/>
  <c r="J211" i="1"/>
  <c r="I211" i="1"/>
  <c r="H211" i="1"/>
  <c r="G211" i="1"/>
  <c r="F211" i="1"/>
  <c r="E211" i="1"/>
  <c r="D211" i="1"/>
  <c r="C211" i="1"/>
  <c r="A211" i="1"/>
  <c r="R210" i="1"/>
  <c r="Q210" i="1"/>
  <c r="N210" i="1"/>
  <c r="J210" i="1"/>
  <c r="I210" i="1"/>
  <c r="H210" i="1"/>
  <c r="G210" i="1"/>
  <c r="F210" i="1"/>
  <c r="E210" i="1"/>
  <c r="D210" i="1"/>
  <c r="C210" i="1"/>
  <c r="A210" i="1"/>
  <c r="R209" i="1"/>
  <c r="Q209" i="1"/>
  <c r="N209" i="1"/>
  <c r="J209" i="1"/>
  <c r="I209" i="1"/>
  <c r="H209" i="1"/>
  <c r="G209" i="1"/>
  <c r="F209" i="1"/>
  <c r="E209" i="1"/>
  <c r="D209" i="1"/>
  <c r="C209" i="1"/>
  <c r="A209" i="1"/>
  <c r="R208" i="1"/>
  <c r="Q208" i="1"/>
  <c r="N208" i="1"/>
  <c r="J208" i="1"/>
  <c r="I208" i="1"/>
  <c r="H208" i="1"/>
  <c r="G208" i="1"/>
  <c r="F208" i="1"/>
  <c r="E208" i="1"/>
  <c r="D208" i="1"/>
  <c r="C208" i="1"/>
  <c r="A208" i="1"/>
  <c r="R207" i="1"/>
  <c r="N207" i="1"/>
  <c r="J207" i="1"/>
  <c r="I207" i="1"/>
  <c r="H207" i="1"/>
  <c r="G207" i="1"/>
  <c r="F207" i="1"/>
  <c r="E207" i="1"/>
  <c r="D207" i="1"/>
  <c r="C207" i="1"/>
  <c r="A207" i="1"/>
  <c r="R206" i="1"/>
  <c r="Q206" i="1"/>
  <c r="N206" i="1"/>
  <c r="J206" i="1"/>
  <c r="I206" i="1"/>
  <c r="H206" i="1"/>
  <c r="G206" i="1"/>
  <c r="F206" i="1"/>
  <c r="E206" i="1"/>
  <c r="D206" i="1"/>
  <c r="C206" i="1"/>
  <c r="A206" i="1"/>
  <c r="R205" i="1"/>
  <c r="Q205" i="1"/>
  <c r="N205" i="1"/>
  <c r="J205" i="1"/>
  <c r="I205" i="1"/>
  <c r="H205" i="1"/>
  <c r="G205" i="1"/>
  <c r="F205" i="1"/>
  <c r="E205" i="1"/>
  <c r="D205" i="1"/>
  <c r="C205" i="1"/>
  <c r="A205" i="1"/>
  <c r="R204" i="1"/>
  <c r="Q204" i="1"/>
  <c r="N204" i="1"/>
  <c r="J204" i="1"/>
  <c r="I204" i="1"/>
  <c r="H204" i="1"/>
  <c r="G204" i="1"/>
  <c r="F204" i="1"/>
  <c r="E204" i="1"/>
  <c r="D204" i="1"/>
  <c r="C204" i="1"/>
  <c r="A204" i="1"/>
  <c r="R203" i="1"/>
  <c r="Q203" i="1"/>
  <c r="N203" i="1"/>
  <c r="J203" i="1"/>
  <c r="I203" i="1"/>
  <c r="H203" i="1"/>
  <c r="G203" i="1"/>
  <c r="F203" i="1"/>
  <c r="E203" i="1"/>
  <c r="D203" i="1"/>
  <c r="C203" i="1"/>
  <c r="A203" i="1"/>
  <c r="R202" i="1"/>
  <c r="Q202" i="1"/>
  <c r="N202" i="1"/>
  <c r="J202" i="1"/>
  <c r="I202" i="1"/>
  <c r="H202" i="1"/>
  <c r="G202" i="1"/>
  <c r="F202" i="1"/>
  <c r="E202" i="1"/>
  <c r="D202" i="1"/>
  <c r="C202" i="1"/>
  <c r="A202" i="1"/>
  <c r="R201" i="1"/>
  <c r="Q201" i="1"/>
  <c r="N201" i="1"/>
  <c r="J201" i="1"/>
  <c r="I201" i="1"/>
  <c r="H201" i="1"/>
  <c r="G201" i="1"/>
  <c r="F201" i="1"/>
  <c r="E201" i="1"/>
  <c r="D201" i="1"/>
  <c r="C201" i="1"/>
  <c r="A201" i="1"/>
  <c r="R200" i="1"/>
  <c r="Q200" i="1"/>
  <c r="N200" i="1"/>
  <c r="J200" i="1"/>
  <c r="I200" i="1"/>
  <c r="H200" i="1"/>
  <c r="G200" i="1"/>
  <c r="F200" i="1"/>
  <c r="E200" i="1"/>
  <c r="D200" i="1"/>
  <c r="C200" i="1"/>
  <c r="A200" i="1"/>
  <c r="R199" i="1"/>
  <c r="Q199" i="1"/>
  <c r="N199" i="1"/>
  <c r="J199" i="1"/>
  <c r="I199" i="1"/>
  <c r="H199" i="1"/>
  <c r="G199" i="1"/>
  <c r="F199" i="1"/>
  <c r="E199" i="1"/>
  <c r="D199" i="1"/>
  <c r="C199" i="1"/>
  <c r="A199" i="1"/>
  <c r="R198" i="1"/>
  <c r="Q198" i="1"/>
  <c r="N198" i="1"/>
  <c r="J198" i="1"/>
  <c r="I198" i="1"/>
  <c r="H198" i="1"/>
  <c r="G198" i="1"/>
  <c r="F198" i="1"/>
  <c r="E198" i="1"/>
  <c r="D198" i="1"/>
  <c r="C198" i="1"/>
  <c r="A198" i="1"/>
  <c r="R197" i="1"/>
  <c r="Q197" i="1"/>
  <c r="N197" i="1"/>
  <c r="J197" i="1"/>
  <c r="I197" i="1"/>
  <c r="H197" i="1"/>
  <c r="G197" i="1"/>
  <c r="F197" i="1"/>
  <c r="E197" i="1"/>
  <c r="D197" i="1"/>
  <c r="C197" i="1"/>
  <c r="A197" i="1"/>
  <c r="R196" i="1"/>
  <c r="N196" i="1"/>
  <c r="J196" i="1"/>
  <c r="I196" i="1"/>
  <c r="H196" i="1"/>
  <c r="G196" i="1"/>
  <c r="F196" i="1"/>
  <c r="E196" i="1"/>
  <c r="D196" i="1"/>
  <c r="C196" i="1"/>
  <c r="A196" i="1"/>
  <c r="R195" i="1"/>
  <c r="Q195" i="1"/>
  <c r="N195" i="1"/>
  <c r="J195" i="1"/>
  <c r="I195" i="1"/>
  <c r="H195" i="1"/>
  <c r="G195" i="1"/>
  <c r="F195" i="1"/>
  <c r="E195" i="1"/>
  <c r="D195" i="1"/>
  <c r="C195" i="1"/>
  <c r="A195" i="1"/>
  <c r="R194" i="1"/>
  <c r="N194" i="1"/>
  <c r="J194" i="1"/>
  <c r="I194" i="1"/>
  <c r="H194" i="1"/>
  <c r="G194" i="1"/>
  <c r="F194" i="1"/>
  <c r="E194" i="1"/>
  <c r="D194" i="1"/>
  <c r="C194" i="1"/>
  <c r="A194" i="1"/>
  <c r="R193" i="1"/>
  <c r="Q193" i="1"/>
  <c r="N193" i="1"/>
  <c r="J193" i="1"/>
  <c r="I193" i="1"/>
  <c r="H193" i="1"/>
  <c r="G193" i="1"/>
  <c r="F193" i="1"/>
  <c r="E193" i="1"/>
  <c r="D193" i="1"/>
  <c r="C193" i="1"/>
  <c r="A193" i="1"/>
  <c r="R192" i="1"/>
  <c r="N192" i="1"/>
  <c r="J192" i="1"/>
  <c r="I192" i="1"/>
  <c r="H192" i="1"/>
  <c r="G192" i="1"/>
  <c r="F192" i="1"/>
  <c r="E192" i="1"/>
  <c r="D192" i="1"/>
  <c r="C192" i="1"/>
  <c r="A192" i="1"/>
  <c r="R191" i="1"/>
  <c r="Q191" i="1"/>
  <c r="N191" i="1"/>
  <c r="J191" i="1"/>
  <c r="I191" i="1"/>
  <c r="H191" i="1"/>
  <c r="G191" i="1"/>
  <c r="F191" i="1"/>
  <c r="E191" i="1"/>
  <c r="D191" i="1"/>
  <c r="C191" i="1"/>
  <c r="A191" i="1"/>
  <c r="R190" i="1"/>
  <c r="N190" i="1"/>
  <c r="J190" i="1"/>
  <c r="I190" i="1"/>
  <c r="H190" i="1"/>
  <c r="G190" i="1"/>
  <c r="F190" i="1"/>
  <c r="E190" i="1"/>
  <c r="D190" i="1"/>
  <c r="C190" i="1"/>
  <c r="A190" i="1"/>
  <c r="R189" i="1"/>
  <c r="Q189" i="1"/>
  <c r="N189" i="1"/>
  <c r="J189" i="1"/>
  <c r="I189" i="1"/>
  <c r="H189" i="1"/>
  <c r="G189" i="1"/>
  <c r="F189" i="1"/>
  <c r="E189" i="1"/>
  <c r="D189" i="1"/>
  <c r="C189" i="1"/>
  <c r="A189" i="1"/>
  <c r="R188" i="1"/>
  <c r="Q188" i="1"/>
  <c r="N188" i="1"/>
  <c r="J188" i="1"/>
  <c r="I188" i="1"/>
  <c r="H188" i="1"/>
  <c r="G188" i="1"/>
  <c r="F188" i="1"/>
  <c r="E188" i="1"/>
  <c r="D188" i="1"/>
  <c r="C188" i="1"/>
  <c r="A188" i="1"/>
  <c r="R187" i="1"/>
  <c r="Q187" i="1"/>
  <c r="N187" i="1"/>
  <c r="J187" i="1"/>
  <c r="I187" i="1"/>
  <c r="H187" i="1"/>
  <c r="G187" i="1"/>
  <c r="F187" i="1"/>
  <c r="E187" i="1"/>
  <c r="D187" i="1"/>
  <c r="C187" i="1"/>
  <c r="A187" i="1"/>
  <c r="R186" i="1"/>
  <c r="Q186" i="1"/>
  <c r="N186" i="1"/>
  <c r="J186" i="1"/>
  <c r="I186" i="1"/>
  <c r="H186" i="1"/>
  <c r="G186" i="1"/>
  <c r="F186" i="1"/>
  <c r="E186" i="1"/>
  <c r="D186" i="1"/>
  <c r="C186" i="1"/>
  <c r="A186" i="1"/>
  <c r="R185" i="1"/>
  <c r="Q185" i="1"/>
  <c r="N185" i="1"/>
  <c r="J185" i="1"/>
  <c r="I185" i="1"/>
  <c r="H185" i="1"/>
  <c r="G185" i="1"/>
  <c r="F185" i="1"/>
  <c r="E185" i="1"/>
  <c r="D185" i="1"/>
  <c r="C185" i="1"/>
  <c r="A185" i="1"/>
  <c r="R184" i="1"/>
  <c r="Q184" i="1"/>
  <c r="N184" i="1"/>
  <c r="J184" i="1"/>
  <c r="I184" i="1"/>
  <c r="H184" i="1"/>
  <c r="G184" i="1"/>
  <c r="F184" i="1"/>
  <c r="E184" i="1"/>
  <c r="D184" i="1"/>
  <c r="C184" i="1"/>
  <c r="A184" i="1"/>
  <c r="R183" i="1"/>
  <c r="Q183" i="1"/>
  <c r="N183" i="1"/>
  <c r="J183" i="1"/>
  <c r="I183" i="1"/>
  <c r="H183" i="1"/>
  <c r="G183" i="1"/>
  <c r="F183" i="1"/>
  <c r="E183" i="1"/>
  <c r="D183" i="1"/>
  <c r="C183" i="1"/>
  <c r="A183" i="1"/>
  <c r="R182" i="1"/>
  <c r="Q182" i="1"/>
  <c r="N182" i="1"/>
  <c r="J182" i="1"/>
  <c r="I182" i="1"/>
  <c r="H182" i="1"/>
  <c r="G182" i="1"/>
  <c r="F182" i="1"/>
  <c r="E182" i="1"/>
  <c r="D182" i="1"/>
  <c r="C182" i="1"/>
  <c r="A182" i="1"/>
  <c r="R181" i="1"/>
  <c r="Q181" i="1"/>
  <c r="N181" i="1"/>
  <c r="J181" i="1"/>
  <c r="I181" i="1"/>
  <c r="H181" i="1"/>
  <c r="G181" i="1"/>
  <c r="F181" i="1"/>
  <c r="E181" i="1"/>
  <c r="D181" i="1"/>
  <c r="C181" i="1"/>
  <c r="A181" i="1"/>
  <c r="R180" i="1"/>
  <c r="Q180" i="1"/>
  <c r="N180" i="1"/>
  <c r="J180" i="1"/>
  <c r="I180" i="1"/>
  <c r="H180" i="1"/>
  <c r="G180" i="1"/>
  <c r="F180" i="1"/>
  <c r="E180" i="1"/>
  <c r="D180" i="1"/>
  <c r="C180" i="1"/>
  <c r="A180" i="1"/>
  <c r="R179" i="1"/>
  <c r="Q179" i="1"/>
  <c r="N179" i="1"/>
  <c r="J179" i="1"/>
  <c r="I179" i="1"/>
  <c r="H179" i="1"/>
  <c r="G179" i="1"/>
  <c r="F179" i="1"/>
  <c r="E179" i="1"/>
  <c r="D179" i="1"/>
  <c r="C179" i="1"/>
  <c r="A179" i="1"/>
  <c r="R178" i="1"/>
  <c r="Q178" i="1"/>
  <c r="N178" i="1"/>
  <c r="J178" i="1"/>
  <c r="I178" i="1"/>
  <c r="H178" i="1"/>
  <c r="G178" i="1"/>
  <c r="F178" i="1"/>
  <c r="E178" i="1"/>
  <c r="D178" i="1"/>
  <c r="C178" i="1"/>
  <c r="A178" i="1"/>
  <c r="R177" i="1"/>
  <c r="Q177" i="1"/>
  <c r="N177" i="1"/>
  <c r="J177" i="1"/>
  <c r="I177" i="1"/>
  <c r="H177" i="1"/>
  <c r="G177" i="1"/>
  <c r="F177" i="1"/>
  <c r="E177" i="1"/>
  <c r="D177" i="1"/>
  <c r="C177" i="1"/>
  <c r="A177" i="1"/>
  <c r="R176" i="1"/>
  <c r="Q176" i="1"/>
  <c r="N176" i="1"/>
  <c r="J176" i="1"/>
  <c r="I176" i="1"/>
  <c r="H176" i="1"/>
  <c r="G176" i="1"/>
  <c r="F176" i="1"/>
  <c r="E176" i="1"/>
  <c r="D176" i="1"/>
  <c r="C176" i="1"/>
  <c r="A176" i="1"/>
  <c r="R175" i="1"/>
  <c r="Q175" i="1"/>
  <c r="N175" i="1"/>
  <c r="J175" i="1"/>
  <c r="I175" i="1"/>
  <c r="H175" i="1"/>
  <c r="G175" i="1"/>
  <c r="F175" i="1"/>
  <c r="E175" i="1"/>
  <c r="D175" i="1"/>
  <c r="C175" i="1"/>
  <c r="A175" i="1"/>
  <c r="R174" i="1"/>
  <c r="Q174" i="1"/>
  <c r="N174" i="1"/>
  <c r="J174" i="1"/>
  <c r="I174" i="1"/>
  <c r="H174" i="1"/>
  <c r="G174" i="1"/>
  <c r="F174" i="1"/>
  <c r="E174" i="1"/>
  <c r="D174" i="1"/>
  <c r="C174" i="1"/>
  <c r="A174" i="1"/>
  <c r="R173" i="1"/>
  <c r="Q173" i="1"/>
  <c r="N173" i="1"/>
  <c r="J173" i="1"/>
  <c r="I173" i="1"/>
  <c r="H173" i="1"/>
  <c r="G173" i="1"/>
  <c r="F173" i="1"/>
  <c r="E173" i="1"/>
  <c r="D173" i="1"/>
  <c r="C173" i="1"/>
  <c r="A173" i="1"/>
  <c r="R172" i="1"/>
  <c r="Q172" i="1"/>
  <c r="N172" i="1"/>
  <c r="J172" i="1"/>
  <c r="I172" i="1"/>
  <c r="H172" i="1"/>
  <c r="G172" i="1"/>
  <c r="F172" i="1"/>
  <c r="E172" i="1"/>
  <c r="D172" i="1"/>
  <c r="C172" i="1"/>
  <c r="A172" i="1"/>
  <c r="R171" i="1"/>
  <c r="Q171" i="1"/>
  <c r="N171" i="1"/>
  <c r="J171" i="1"/>
  <c r="I171" i="1"/>
  <c r="H171" i="1"/>
  <c r="G171" i="1"/>
  <c r="F171" i="1"/>
  <c r="E171" i="1"/>
  <c r="D171" i="1"/>
  <c r="C171" i="1"/>
  <c r="A171" i="1"/>
  <c r="R170" i="1"/>
  <c r="Q170" i="1"/>
  <c r="N170" i="1"/>
  <c r="J170" i="1"/>
  <c r="I170" i="1"/>
  <c r="H170" i="1"/>
  <c r="G170" i="1"/>
  <c r="F170" i="1"/>
  <c r="E170" i="1"/>
  <c r="D170" i="1"/>
  <c r="C170" i="1"/>
  <c r="A170" i="1"/>
  <c r="R169" i="1"/>
  <c r="Q169" i="1"/>
  <c r="N169" i="1"/>
  <c r="J169" i="1"/>
  <c r="I169" i="1"/>
  <c r="H169" i="1"/>
  <c r="G169" i="1"/>
  <c r="F169" i="1"/>
  <c r="E169" i="1"/>
  <c r="D169" i="1"/>
  <c r="C169" i="1"/>
  <c r="A169" i="1"/>
  <c r="R168" i="1"/>
  <c r="Q168" i="1"/>
  <c r="N168" i="1"/>
  <c r="J168" i="1"/>
  <c r="I168" i="1"/>
  <c r="H168" i="1"/>
  <c r="G168" i="1"/>
  <c r="F168" i="1"/>
  <c r="E168" i="1"/>
  <c r="D168" i="1"/>
  <c r="C168" i="1"/>
  <c r="A168" i="1"/>
  <c r="R167" i="1"/>
  <c r="Q167" i="1"/>
  <c r="N167" i="1"/>
  <c r="J167" i="1"/>
  <c r="I167" i="1"/>
  <c r="H167" i="1"/>
  <c r="G167" i="1"/>
  <c r="F167" i="1"/>
  <c r="E167" i="1"/>
  <c r="D167" i="1"/>
  <c r="C167" i="1"/>
  <c r="A167" i="1"/>
  <c r="R166" i="1"/>
  <c r="Q166" i="1"/>
  <c r="N166" i="1"/>
  <c r="J166" i="1"/>
  <c r="I166" i="1"/>
  <c r="H166" i="1"/>
  <c r="G166" i="1"/>
  <c r="F166" i="1"/>
  <c r="E166" i="1"/>
  <c r="D166" i="1"/>
  <c r="C166" i="1"/>
  <c r="A166" i="1"/>
  <c r="R165" i="1"/>
  <c r="Q165" i="1"/>
  <c r="N165" i="1"/>
  <c r="J165" i="1"/>
  <c r="I165" i="1"/>
  <c r="H165" i="1"/>
  <c r="G165" i="1"/>
  <c r="F165" i="1"/>
  <c r="E165" i="1"/>
  <c r="D165" i="1"/>
  <c r="C165" i="1"/>
  <c r="A165" i="1"/>
  <c r="R164" i="1"/>
  <c r="Q164" i="1"/>
  <c r="N164" i="1"/>
  <c r="J164" i="1"/>
  <c r="I164" i="1"/>
  <c r="H164" i="1"/>
  <c r="G164" i="1"/>
  <c r="F164" i="1"/>
  <c r="E164" i="1"/>
  <c r="D164" i="1"/>
  <c r="C164" i="1"/>
  <c r="A164" i="1"/>
  <c r="R163" i="1"/>
  <c r="Q163" i="1"/>
  <c r="N163" i="1"/>
  <c r="J163" i="1"/>
  <c r="I163" i="1"/>
  <c r="H163" i="1"/>
  <c r="G163" i="1"/>
  <c r="F163" i="1"/>
  <c r="E163" i="1"/>
  <c r="D163" i="1"/>
  <c r="C163" i="1"/>
  <c r="A163" i="1"/>
  <c r="R162" i="1"/>
  <c r="Q162" i="1"/>
  <c r="N162" i="1"/>
  <c r="J162" i="1"/>
  <c r="I162" i="1"/>
  <c r="H162" i="1"/>
  <c r="G162" i="1"/>
  <c r="F162" i="1"/>
  <c r="E162" i="1"/>
  <c r="D162" i="1"/>
  <c r="C162" i="1"/>
  <c r="A162" i="1"/>
  <c r="R161" i="1"/>
  <c r="Q161" i="1"/>
  <c r="N161" i="1"/>
  <c r="J161" i="1"/>
  <c r="I161" i="1"/>
  <c r="H161" i="1"/>
  <c r="G161" i="1"/>
  <c r="F161" i="1"/>
  <c r="E161" i="1"/>
  <c r="D161" i="1"/>
  <c r="C161" i="1"/>
  <c r="A161" i="1"/>
  <c r="R160" i="1"/>
  <c r="Q160" i="1"/>
  <c r="N160" i="1"/>
  <c r="J160" i="1"/>
  <c r="I160" i="1"/>
  <c r="H160" i="1"/>
  <c r="G160" i="1"/>
  <c r="F160" i="1"/>
  <c r="E160" i="1"/>
  <c r="D160" i="1"/>
  <c r="C160" i="1"/>
  <c r="A160" i="1"/>
  <c r="R159" i="1"/>
  <c r="Q159" i="1"/>
  <c r="N159" i="1"/>
  <c r="J159" i="1"/>
  <c r="I159" i="1"/>
  <c r="H159" i="1"/>
  <c r="G159" i="1"/>
  <c r="F159" i="1"/>
  <c r="E159" i="1"/>
  <c r="D159" i="1"/>
  <c r="C159" i="1"/>
  <c r="A159" i="1"/>
  <c r="R158" i="1"/>
  <c r="Q158" i="1"/>
  <c r="N158" i="1"/>
  <c r="J158" i="1"/>
  <c r="I158" i="1"/>
  <c r="H158" i="1"/>
  <c r="G158" i="1"/>
  <c r="F158" i="1"/>
  <c r="E158" i="1"/>
  <c r="D158" i="1"/>
  <c r="C158" i="1"/>
  <c r="A158" i="1"/>
  <c r="R157" i="1"/>
  <c r="Q157" i="1"/>
  <c r="N157" i="1"/>
  <c r="J157" i="1"/>
  <c r="I157" i="1"/>
  <c r="H157" i="1"/>
  <c r="G157" i="1"/>
  <c r="F157" i="1"/>
  <c r="E157" i="1"/>
  <c r="D157" i="1"/>
  <c r="C157" i="1"/>
  <c r="A157" i="1"/>
  <c r="R156" i="1"/>
  <c r="Q156" i="1"/>
  <c r="N156" i="1"/>
  <c r="J156" i="1"/>
  <c r="I156" i="1"/>
  <c r="H156" i="1"/>
  <c r="G156" i="1"/>
  <c r="F156" i="1"/>
  <c r="E156" i="1"/>
  <c r="D156" i="1"/>
  <c r="C156" i="1"/>
  <c r="A156" i="1"/>
  <c r="R155" i="1"/>
  <c r="Q155" i="1"/>
  <c r="N155" i="1"/>
  <c r="J155" i="1"/>
  <c r="I155" i="1"/>
  <c r="H155" i="1"/>
  <c r="G155" i="1"/>
  <c r="F155" i="1"/>
  <c r="E155" i="1"/>
  <c r="D155" i="1"/>
  <c r="C155" i="1"/>
  <c r="A155" i="1"/>
  <c r="R154" i="1"/>
  <c r="Q154" i="1"/>
  <c r="N154" i="1"/>
  <c r="J154" i="1"/>
  <c r="I154" i="1"/>
  <c r="H154" i="1"/>
  <c r="G154" i="1"/>
  <c r="F154" i="1"/>
  <c r="E154" i="1"/>
  <c r="D154" i="1"/>
  <c r="C154" i="1"/>
  <c r="A154" i="1"/>
  <c r="R153" i="1"/>
  <c r="Q153" i="1"/>
  <c r="N153" i="1"/>
  <c r="J153" i="1"/>
  <c r="I153" i="1"/>
  <c r="H153" i="1"/>
  <c r="G153" i="1"/>
  <c r="F153" i="1"/>
  <c r="E153" i="1"/>
  <c r="D153" i="1"/>
  <c r="C153" i="1"/>
  <c r="A153" i="1"/>
  <c r="R152" i="1"/>
  <c r="Q152" i="1"/>
  <c r="N152" i="1"/>
  <c r="J152" i="1"/>
  <c r="I152" i="1"/>
  <c r="H152" i="1"/>
  <c r="G152" i="1"/>
  <c r="F152" i="1"/>
  <c r="E152" i="1"/>
  <c r="D152" i="1"/>
  <c r="C152" i="1"/>
  <c r="A152" i="1"/>
  <c r="R151" i="1"/>
  <c r="Q151" i="1"/>
  <c r="N151" i="1"/>
  <c r="J151" i="1"/>
  <c r="I151" i="1"/>
  <c r="H151" i="1"/>
  <c r="G151" i="1"/>
  <c r="F151" i="1"/>
  <c r="E151" i="1"/>
  <c r="D151" i="1"/>
  <c r="C151" i="1"/>
  <c r="A151" i="1"/>
  <c r="R150" i="1"/>
  <c r="Q150" i="1"/>
  <c r="N150" i="1"/>
  <c r="J150" i="1"/>
  <c r="I150" i="1"/>
  <c r="H150" i="1"/>
  <c r="G150" i="1"/>
  <c r="F150" i="1"/>
  <c r="E150" i="1"/>
  <c r="D150" i="1"/>
  <c r="C150" i="1"/>
  <c r="A150" i="1"/>
  <c r="R149" i="1"/>
  <c r="Q149" i="1"/>
  <c r="N149" i="1"/>
  <c r="J149" i="1"/>
  <c r="I149" i="1"/>
  <c r="H149" i="1"/>
  <c r="G149" i="1"/>
  <c r="F149" i="1"/>
  <c r="E149" i="1"/>
  <c r="D149" i="1"/>
  <c r="C149" i="1"/>
  <c r="A149" i="1"/>
  <c r="R148" i="1"/>
  <c r="Q148" i="1"/>
  <c r="N148" i="1"/>
  <c r="J148" i="1"/>
  <c r="I148" i="1"/>
  <c r="H148" i="1"/>
  <c r="G148" i="1"/>
  <c r="F148" i="1"/>
  <c r="E148" i="1"/>
  <c r="D148" i="1"/>
  <c r="C148" i="1"/>
  <c r="A148" i="1"/>
  <c r="R147" i="1"/>
  <c r="Q147" i="1"/>
  <c r="N147" i="1"/>
  <c r="J147" i="1"/>
  <c r="I147" i="1"/>
  <c r="H147" i="1"/>
  <c r="G147" i="1"/>
  <c r="F147" i="1"/>
  <c r="E147" i="1"/>
  <c r="D147" i="1"/>
  <c r="C147" i="1"/>
  <c r="A147" i="1"/>
  <c r="R146" i="1"/>
  <c r="Q146" i="1"/>
  <c r="N146" i="1"/>
  <c r="J146" i="1"/>
  <c r="I146" i="1"/>
  <c r="H146" i="1"/>
  <c r="G146" i="1"/>
  <c r="F146" i="1"/>
  <c r="E146" i="1"/>
  <c r="D146" i="1"/>
  <c r="C146" i="1"/>
  <c r="A146" i="1"/>
  <c r="R145" i="1"/>
  <c r="Q145" i="1"/>
  <c r="N145" i="1"/>
  <c r="J145" i="1"/>
  <c r="I145" i="1"/>
  <c r="H145" i="1"/>
  <c r="G145" i="1"/>
  <c r="F145" i="1"/>
  <c r="E145" i="1"/>
  <c r="D145" i="1"/>
  <c r="C145" i="1"/>
  <c r="A145" i="1"/>
  <c r="R144" i="1"/>
  <c r="N144" i="1"/>
  <c r="J144" i="1"/>
  <c r="I144" i="1"/>
  <c r="H144" i="1"/>
  <c r="G144" i="1"/>
  <c r="F144" i="1"/>
  <c r="E144" i="1"/>
  <c r="D144" i="1"/>
  <c r="C144" i="1"/>
  <c r="B144" i="1"/>
  <c r="A144" i="1"/>
  <c r="R143" i="1"/>
  <c r="Q143" i="1"/>
  <c r="N143" i="1"/>
  <c r="J143" i="1"/>
  <c r="I143" i="1"/>
  <c r="H143" i="1"/>
  <c r="G143" i="1"/>
  <c r="F143" i="1"/>
  <c r="E143" i="1"/>
  <c r="D143" i="1"/>
  <c r="C143" i="1"/>
  <c r="B143" i="1"/>
  <c r="A143" i="1"/>
  <c r="R142" i="1"/>
  <c r="N142" i="1"/>
  <c r="J142" i="1"/>
  <c r="I142" i="1"/>
  <c r="H142" i="1"/>
  <c r="G142" i="1"/>
  <c r="F142" i="1"/>
  <c r="E142" i="1"/>
  <c r="D142" i="1"/>
  <c r="C142" i="1"/>
  <c r="B142" i="1"/>
  <c r="A142" i="1"/>
  <c r="R141" i="1"/>
  <c r="N141" i="1"/>
  <c r="J141" i="1"/>
  <c r="I141" i="1"/>
  <c r="H141" i="1"/>
  <c r="G141" i="1"/>
  <c r="F141" i="1"/>
  <c r="E141" i="1"/>
  <c r="D141" i="1"/>
  <c r="C141" i="1"/>
  <c r="B141" i="1"/>
  <c r="A141" i="1"/>
  <c r="R140" i="1"/>
  <c r="N140" i="1"/>
  <c r="J140" i="1"/>
  <c r="I140" i="1"/>
  <c r="H140" i="1"/>
  <c r="G140" i="1"/>
  <c r="F140" i="1"/>
  <c r="E140" i="1"/>
  <c r="D140" i="1"/>
  <c r="C140" i="1"/>
  <c r="B140" i="1"/>
  <c r="A140" i="1"/>
  <c r="R139" i="1"/>
  <c r="N139" i="1"/>
  <c r="J139" i="1"/>
  <c r="I139" i="1"/>
  <c r="H139" i="1"/>
  <c r="G139" i="1"/>
  <c r="F139" i="1"/>
  <c r="E139" i="1"/>
  <c r="D139" i="1"/>
  <c r="C139" i="1"/>
  <c r="B139" i="1"/>
  <c r="A139" i="1"/>
  <c r="R138" i="1"/>
  <c r="N138" i="1"/>
  <c r="J138" i="1"/>
  <c r="I138" i="1"/>
  <c r="H138" i="1"/>
  <c r="G138" i="1"/>
  <c r="F138" i="1"/>
  <c r="E138" i="1"/>
  <c r="D138" i="1"/>
  <c r="C138" i="1"/>
  <c r="B138" i="1"/>
  <c r="A138" i="1"/>
  <c r="R137" i="1"/>
  <c r="N137" i="1"/>
  <c r="J137" i="1"/>
  <c r="I137" i="1"/>
  <c r="H137" i="1"/>
  <c r="G137" i="1"/>
  <c r="F137" i="1"/>
  <c r="E137" i="1"/>
  <c r="D137" i="1"/>
  <c r="C137" i="1"/>
  <c r="B137" i="1"/>
  <c r="A137" i="1"/>
  <c r="R136" i="1"/>
  <c r="N136" i="1"/>
  <c r="J136" i="1"/>
  <c r="I136" i="1"/>
  <c r="H136" i="1"/>
  <c r="G136" i="1"/>
  <c r="F136" i="1"/>
  <c r="E136" i="1"/>
  <c r="D136" i="1"/>
  <c r="C136" i="1"/>
  <c r="B136" i="1"/>
  <c r="A136" i="1"/>
  <c r="R135" i="1"/>
  <c r="N135" i="1"/>
  <c r="J135" i="1"/>
  <c r="I135" i="1"/>
  <c r="H135" i="1"/>
  <c r="G135" i="1"/>
  <c r="F135" i="1"/>
  <c r="E135" i="1"/>
  <c r="D135" i="1"/>
  <c r="C135" i="1"/>
  <c r="B135" i="1"/>
  <c r="A135" i="1"/>
  <c r="R134" i="1"/>
  <c r="N134" i="1"/>
  <c r="J134" i="1"/>
  <c r="I134" i="1"/>
  <c r="H134" i="1"/>
  <c r="G134" i="1"/>
  <c r="F134" i="1"/>
  <c r="E134" i="1"/>
  <c r="D134" i="1"/>
  <c r="C134" i="1"/>
  <c r="B134" i="1"/>
  <c r="A134" i="1"/>
  <c r="R133" i="1"/>
  <c r="N133" i="1"/>
  <c r="J133" i="1"/>
  <c r="I133" i="1"/>
  <c r="H133" i="1"/>
  <c r="G133" i="1"/>
  <c r="F133" i="1"/>
  <c r="E133" i="1"/>
  <c r="D133" i="1"/>
  <c r="C133" i="1"/>
  <c r="B133" i="1"/>
  <c r="A133" i="1"/>
  <c r="R132" i="1"/>
  <c r="N132" i="1"/>
  <c r="J132" i="1"/>
  <c r="I132" i="1"/>
  <c r="H132" i="1"/>
  <c r="G132" i="1"/>
  <c r="F132" i="1"/>
  <c r="E132" i="1"/>
  <c r="D132" i="1"/>
  <c r="C132" i="1"/>
  <c r="B132" i="1"/>
  <c r="A132" i="1"/>
  <c r="R131" i="1"/>
  <c r="N131" i="1"/>
  <c r="J131" i="1"/>
  <c r="I131" i="1"/>
  <c r="H131" i="1"/>
  <c r="G131" i="1"/>
  <c r="F131" i="1"/>
  <c r="E131" i="1"/>
  <c r="D131" i="1"/>
  <c r="C131" i="1"/>
  <c r="B131" i="1"/>
  <c r="A131" i="1"/>
  <c r="R130" i="1"/>
  <c r="Q130" i="1"/>
  <c r="N130" i="1"/>
  <c r="J130" i="1"/>
  <c r="I130" i="1"/>
  <c r="H130" i="1"/>
  <c r="G130" i="1"/>
  <c r="F130" i="1"/>
  <c r="E130" i="1"/>
  <c r="D130" i="1"/>
  <c r="C130" i="1"/>
  <c r="A130" i="1"/>
  <c r="R129" i="1"/>
  <c r="N129" i="1"/>
  <c r="J129" i="1"/>
  <c r="I129" i="1"/>
  <c r="H129" i="1"/>
  <c r="G129" i="1"/>
  <c r="F129" i="1"/>
  <c r="E129" i="1"/>
  <c r="D129" i="1"/>
  <c r="C129" i="1"/>
  <c r="A129" i="1"/>
  <c r="R128" i="1"/>
  <c r="Q128" i="1"/>
  <c r="N128" i="1"/>
  <c r="J128" i="1"/>
  <c r="I128" i="1"/>
  <c r="H128" i="1"/>
  <c r="G128" i="1"/>
  <c r="F128" i="1"/>
  <c r="E128" i="1"/>
  <c r="D128" i="1"/>
  <c r="C128" i="1"/>
  <c r="A128" i="1"/>
  <c r="R127" i="1"/>
  <c r="N127" i="1"/>
  <c r="J127" i="1"/>
  <c r="I127" i="1"/>
  <c r="H127" i="1"/>
  <c r="G127" i="1"/>
  <c r="F127" i="1"/>
  <c r="E127" i="1"/>
  <c r="D127" i="1"/>
  <c r="C127" i="1"/>
  <c r="A127" i="1"/>
  <c r="R126" i="1"/>
  <c r="Q126" i="1"/>
  <c r="N126" i="1"/>
  <c r="J126" i="1"/>
  <c r="I126" i="1"/>
  <c r="H126" i="1"/>
  <c r="G126" i="1"/>
  <c r="F126" i="1"/>
  <c r="E126" i="1"/>
  <c r="D126" i="1"/>
  <c r="C126" i="1"/>
  <c r="A126" i="1"/>
  <c r="R125" i="1"/>
  <c r="N125" i="1"/>
  <c r="J125" i="1"/>
  <c r="I125" i="1"/>
  <c r="H125" i="1"/>
  <c r="G125" i="1"/>
  <c r="F125" i="1"/>
  <c r="E125" i="1"/>
  <c r="D125" i="1"/>
  <c r="C125" i="1"/>
  <c r="A125" i="1"/>
  <c r="R124" i="1"/>
  <c r="Q124" i="1"/>
  <c r="N124" i="1"/>
  <c r="J124" i="1"/>
  <c r="I124" i="1"/>
  <c r="H124" i="1"/>
  <c r="G124" i="1"/>
  <c r="F124" i="1"/>
  <c r="E124" i="1"/>
  <c r="D124" i="1"/>
  <c r="C124" i="1"/>
  <c r="A124" i="1"/>
  <c r="R123" i="1"/>
  <c r="N123" i="1"/>
  <c r="J123" i="1"/>
  <c r="I123" i="1"/>
  <c r="H123" i="1"/>
  <c r="G123" i="1"/>
  <c r="F123" i="1"/>
  <c r="E123" i="1"/>
  <c r="D123" i="1"/>
  <c r="C123" i="1"/>
  <c r="A123" i="1"/>
  <c r="R122" i="1"/>
  <c r="Q122" i="1"/>
  <c r="N122" i="1"/>
  <c r="J122" i="1"/>
  <c r="I122" i="1"/>
  <c r="H122" i="1"/>
  <c r="G122" i="1"/>
  <c r="F122" i="1"/>
  <c r="E122" i="1"/>
  <c r="D122" i="1"/>
  <c r="C122" i="1"/>
  <c r="A122" i="1"/>
  <c r="R121" i="1"/>
  <c r="N121" i="1"/>
  <c r="J121" i="1"/>
  <c r="I121" i="1"/>
  <c r="H121" i="1"/>
  <c r="G121" i="1"/>
  <c r="F121" i="1"/>
  <c r="E121" i="1"/>
  <c r="D121" i="1"/>
  <c r="C121" i="1"/>
  <c r="A121" i="1"/>
  <c r="R120" i="1"/>
  <c r="Q120" i="1"/>
  <c r="N120" i="1"/>
  <c r="J120" i="1"/>
  <c r="I120" i="1"/>
  <c r="H120" i="1"/>
  <c r="G120" i="1"/>
  <c r="F120" i="1"/>
  <c r="E120" i="1"/>
  <c r="D120" i="1"/>
  <c r="C120" i="1"/>
  <c r="A120" i="1"/>
  <c r="R119" i="1"/>
  <c r="N119" i="1"/>
  <c r="J119" i="1"/>
  <c r="I119" i="1"/>
  <c r="H119" i="1"/>
  <c r="G119" i="1"/>
  <c r="F119" i="1"/>
  <c r="E119" i="1"/>
  <c r="D119" i="1"/>
  <c r="C119" i="1"/>
  <c r="A119" i="1"/>
  <c r="R118" i="1"/>
  <c r="Q118" i="1"/>
  <c r="N118" i="1"/>
  <c r="J118" i="1"/>
  <c r="I118" i="1"/>
  <c r="H118" i="1"/>
  <c r="G118" i="1"/>
  <c r="F118" i="1"/>
  <c r="E118" i="1"/>
  <c r="D118" i="1"/>
  <c r="C118" i="1"/>
  <c r="A118" i="1"/>
  <c r="R117" i="1"/>
  <c r="Q117" i="1"/>
  <c r="N117" i="1"/>
  <c r="J117" i="1"/>
  <c r="I117" i="1"/>
  <c r="H117" i="1"/>
  <c r="G117" i="1"/>
  <c r="F117" i="1"/>
  <c r="E117" i="1"/>
  <c r="D117" i="1"/>
  <c r="C117" i="1"/>
  <c r="A117" i="1"/>
  <c r="R116" i="1"/>
  <c r="Q116" i="1"/>
  <c r="N116" i="1"/>
  <c r="J116" i="1"/>
  <c r="I116" i="1"/>
  <c r="H116" i="1"/>
  <c r="G116" i="1"/>
  <c r="F116" i="1"/>
  <c r="E116" i="1"/>
  <c r="D116" i="1"/>
  <c r="C116" i="1"/>
  <c r="A116" i="1"/>
  <c r="R115" i="1"/>
  <c r="N115" i="1"/>
  <c r="J115" i="1"/>
  <c r="I115" i="1"/>
  <c r="H115" i="1"/>
  <c r="G115" i="1"/>
  <c r="F115" i="1"/>
  <c r="E115" i="1"/>
  <c r="D115" i="1"/>
  <c r="C115" i="1"/>
  <c r="B115" i="1"/>
  <c r="A115" i="1"/>
  <c r="R114" i="1"/>
  <c r="Q114" i="1"/>
  <c r="N114" i="1"/>
  <c r="J114" i="1"/>
  <c r="I114" i="1"/>
  <c r="H114" i="1"/>
  <c r="G114" i="1"/>
  <c r="F114" i="1"/>
  <c r="E114" i="1"/>
  <c r="D114" i="1"/>
  <c r="C114" i="1"/>
  <c r="B114" i="1"/>
  <c r="A114" i="1"/>
  <c r="R113" i="1"/>
  <c r="N113" i="1"/>
  <c r="J113" i="1"/>
  <c r="I113" i="1"/>
  <c r="H113" i="1"/>
  <c r="G113" i="1"/>
  <c r="F113" i="1"/>
  <c r="E113" i="1"/>
  <c r="D113" i="1"/>
  <c r="C113" i="1"/>
  <c r="B113" i="1"/>
  <c r="A113" i="1"/>
  <c r="R112" i="1"/>
  <c r="Q112" i="1"/>
  <c r="N112" i="1"/>
  <c r="J112" i="1"/>
  <c r="I112" i="1"/>
  <c r="H112" i="1"/>
  <c r="G112" i="1"/>
  <c r="F112" i="1"/>
  <c r="E112" i="1"/>
  <c r="D112" i="1"/>
  <c r="C112" i="1"/>
  <c r="B112" i="1"/>
  <c r="A112" i="1"/>
  <c r="R111" i="1"/>
  <c r="N111" i="1"/>
  <c r="J111" i="1"/>
  <c r="I111" i="1"/>
  <c r="H111" i="1"/>
  <c r="G111" i="1"/>
  <c r="F111" i="1"/>
  <c r="E111" i="1"/>
  <c r="D111" i="1"/>
  <c r="C111" i="1"/>
  <c r="B111" i="1"/>
  <c r="A111" i="1"/>
  <c r="R110" i="1"/>
  <c r="Q110" i="1"/>
  <c r="N110" i="1"/>
  <c r="J110" i="1"/>
  <c r="I110" i="1"/>
  <c r="H110" i="1"/>
  <c r="G110" i="1"/>
  <c r="F110" i="1"/>
  <c r="E110" i="1"/>
  <c r="D110" i="1"/>
  <c r="C110" i="1"/>
  <c r="B110" i="1"/>
  <c r="A110" i="1"/>
  <c r="R109" i="1"/>
  <c r="N109" i="1"/>
  <c r="J109" i="1"/>
  <c r="I109" i="1"/>
  <c r="H109" i="1"/>
  <c r="G109" i="1"/>
  <c r="F109" i="1"/>
  <c r="E109" i="1"/>
  <c r="D109" i="1"/>
  <c r="C109" i="1"/>
  <c r="B109" i="1"/>
  <c r="A109" i="1"/>
  <c r="R108" i="1"/>
  <c r="Q108" i="1"/>
  <c r="N108" i="1"/>
  <c r="J108" i="1"/>
  <c r="I108" i="1"/>
  <c r="H108" i="1"/>
  <c r="G108" i="1"/>
  <c r="F108" i="1"/>
  <c r="E108" i="1"/>
  <c r="D108" i="1"/>
  <c r="C108" i="1"/>
  <c r="B108" i="1"/>
  <c r="A108" i="1"/>
  <c r="R107" i="1"/>
  <c r="N107" i="1"/>
  <c r="J107" i="1"/>
  <c r="I107" i="1"/>
  <c r="H107" i="1"/>
  <c r="G107" i="1"/>
  <c r="F107" i="1"/>
  <c r="E107" i="1"/>
  <c r="D107" i="1"/>
  <c r="C107" i="1"/>
  <c r="B107" i="1"/>
  <c r="A107" i="1"/>
  <c r="R106" i="1"/>
  <c r="Q106" i="1"/>
  <c r="N106" i="1"/>
  <c r="J106" i="1"/>
  <c r="I106" i="1"/>
  <c r="H106" i="1"/>
  <c r="G106" i="1"/>
  <c r="F106" i="1"/>
  <c r="E106" i="1"/>
  <c r="D106" i="1"/>
  <c r="C106" i="1"/>
  <c r="B106" i="1"/>
  <c r="A106" i="1"/>
  <c r="R105" i="1"/>
  <c r="N105" i="1"/>
  <c r="J105" i="1"/>
  <c r="I105" i="1"/>
  <c r="H105" i="1"/>
  <c r="G105" i="1"/>
  <c r="F105" i="1"/>
  <c r="E105" i="1"/>
  <c r="D105" i="1"/>
  <c r="C105" i="1"/>
  <c r="B105" i="1"/>
  <c r="A105" i="1"/>
  <c r="R104" i="1"/>
  <c r="Q104" i="1"/>
  <c r="N104" i="1"/>
  <c r="J104" i="1"/>
  <c r="I104" i="1"/>
  <c r="H104" i="1"/>
  <c r="G104" i="1"/>
  <c r="F104" i="1"/>
  <c r="E104" i="1"/>
  <c r="D104" i="1"/>
  <c r="C104" i="1"/>
  <c r="B104" i="1"/>
  <c r="A104" i="1"/>
  <c r="R103" i="1"/>
  <c r="N103" i="1"/>
  <c r="J103" i="1"/>
  <c r="I103" i="1"/>
  <c r="H103" i="1"/>
  <c r="G103" i="1"/>
  <c r="F103" i="1"/>
  <c r="E103" i="1"/>
  <c r="D103" i="1"/>
  <c r="C103" i="1"/>
  <c r="B103" i="1"/>
  <c r="A103" i="1"/>
  <c r="R102" i="1"/>
  <c r="N102" i="1"/>
  <c r="J102" i="1"/>
  <c r="I102" i="1"/>
  <c r="H102" i="1"/>
  <c r="G102" i="1"/>
  <c r="F102" i="1"/>
  <c r="E102" i="1"/>
  <c r="D102" i="1"/>
  <c r="C102" i="1"/>
  <c r="B102" i="1"/>
  <c r="A102" i="1"/>
  <c r="R101" i="1"/>
  <c r="N101" i="1"/>
  <c r="J101" i="1"/>
  <c r="I101" i="1"/>
  <c r="H101" i="1"/>
  <c r="G101" i="1"/>
  <c r="F101" i="1"/>
  <c r="E101" i="1"/>
  <c r="D101" i="1"/>
  <c r="C101" i="1"/>
  <c r="B101" i="1"/>
  <c r="A101" i="1"/>
  <c r="R100" i="1"/>
  <c r="N100" i="1"/>
  <c r="J100" i="1"/>
  <c r="I100" i="1"/>
  <c r="H100" i="1"/>
  <c r="G100" i="1"/>
  <c r="F100" i="1"/>
  <c r="E100" i="1"/>
  <c r="D100" i="1"/>
  <c r="C100" i="1"/>
  <c r="B100" i="1"/>
  <c r="A100" i="1"/>
  <c r="R99" i="1"/>
  <c r="N99" i="1"/>
  <c r="J99" i="1"/>
  <c r="I99" i="1"/>
  <c r="H99" i="1"/>
  <c r="G99" i="1"/>
  <c r="F99" i="1"/>
  <c r="E99" i="1"/>
  <c r="D99" i="1"/>
  <c r="C99" i="1"/>
  <c r="B99" i="1"/>
  <c r="A99" i="1"/>
  <c r="R98" i="1"/>
  <c r="N98" i="1"/>
  <c r="J98" i="1"/>
  <c r="I98" i="1"/>
  <c r="H98" i="1"/>
  <c r="G98" i="1"/>
  <c r="F98" i="1"/>
  <c r="E98" i="1"/>
  <c r="D98" i="1"/>
  <c r="C98" i="1"/>
  <c r="B98" i="1"/>
  <c r="A98" i="1"/>
  <c r="R97" i="1"/>
  <c r="N97" i="1"/>
  <c r="J97" i="1"/>
  <c r="I97" i="1"/>
  <c r="H97" i="1"/>
  <c r="G97" i="1"/>
  <c r="F97" i="1"/>
  <c r="E97" i="1"/>
  <c r="D97" i="1"/>
  <c r="C97" i="1"/>
  <c r="B97" i="1"/>
  <c r="A97" i="1"/>
  <c r="R96" i="1"/>
  <c r="N96" i="1"/>
  <c r="J96" i="1"/>
  <c r="I96" i="1"/>
  <c r="H96" i="1"/>
  <c r="G96" i="1"/>
  <c r="F96" i="1"/>
  <c r="E96" i="1"/>
  <c r="D96" i="1"/>
  <c r="C96" i="1"/>
  <c r="B96" i="1"/>
  <c r="A96" i="1"/>
  <c r="R95" i="1"/>
  <c r="N95" i="1"/>
  <c r="J95" i="1"/>
  <c r="I95" i="1"/>
  <c r="H95" i="1"/>
  <c r="G95" i="1"/>
  <c r="F95" i="1"/>
  <c r="E95" i="1"/>
  <c r="D95" i="1"/>
  <c r="C95" i="1"/>
  <c r="B95" i="1"/>
  <c r="A95" i="1"/>
  <c r="R94" i="1"/>
  <c r="N94" i="1"/>
  <c r="J94" i="1"/>
  <c r="I94" i="1"/>
  <c r="H94" i="1"/>
  <c r="G94" i="1"/>
  <c r="F94" i="1"/>
  <c r="E94" i="1"/>
  <c r="D94" i="1"/>
  <c r="C94" i="1"/>
  <c r="B94" i="1"/>
  <c r="A94" i="1"/>
  <c r="R93" i="1"/>
  <c r="N93" i="1"/>
  <c r="J93" i="1"/>
  <c r="I93" i="1"/>
  <c r="H93" i="1"/>
  <c r="G93" i="1"/>
  <c r="F93" i="1"/>
  <c r="E93" i="1"/>
  <c r="D93" i="1"/>
  <c r="C93" i="1"/>
  <c r="B93" i="1"/>
  <c r="A93" i="1"/>
  <c r="R92" i="1"/>
  <c r="Q92" i="1"/>
  <c r="N92" i="1"/>
  <c r="J92" i="1"/>
  <c r="I92" i="1"/>
  <c r="H92" i="1"/>
  <c r="G92" i="1"/>
  <c r="F92" i="1"/>
  <c r="E92" i="1"/>
  <c r="D92" i="1"/>
  <c r="C92" i="1"/>
  <c r="A92" i="1"/>
  <c r="R91" i="1"/>
  <c r="N91" i="1"/>
  <c r="J91" i="1"/>
  <c r="I91" i="1"/>
  <c r="H91" i="1"/>
  <c r="G91" i="1"/>
  <c r="F91" i="1"/>
  <c r="E91" i="1"/>
  <c r="D91" i="1"/>
  <c r="C91" i="1"/>
  <c r="B91" i="1"/>
  <c r="A91" i="1"/>
  <c r="R90" i="1"/>
  <c r="Q90" i="1"/>
  <c r="N90" i="1"/>
  <c r="J90" i="1"/>
  <c r="I90" i="1"/>
  <c r="H90" i="1"/>
  <c r="G90" i="1"/>
  <c r="F90" i="1"/>
  <c r="E90" i="1"/>
  <c r="D90" i="1"/>
  <c r="C90" i="1"/>
  <c r="A90" i="1"/>
  <c r="R89" i="1"/>
  <c r="N89" i="1"/>
  <c r="J89" i="1"/>
  <c r="I89" i="1"/>
  <c r="H89" i="1"/>
  <c r="G89" i="1"/>
  <c r="F89" i="1"/>
  <c r="E89" i="1"/>
  <c r="D89" i="1"/>
  <c r="C89" i="1"/>
  <c r="A89" i="1"/>
  <c r="R88" i="1"/>
  <c r="Q88" i="1"/>
  <c r="N88" i="1"/>
  <c r="J88" i="1"/>
  <c r="I88" i="1"/>
  <c r="H88" i="1"/>
  <c r="G88" i="1"/>
  <c r="F88" i="1"/>
  <c r="E88" i="1"/>
  <c r="D88" i="1"/>
  <c r="C88" i="1"/>
  <c r="A88" i="1"/>
  <c r="R87" i="1"/>
  <c r="N87" i="1"/>
  <c r="J87" i="1"/>
  <c r="I87" i="1"/>
  <c r="H87" i="1"/>
  <c r="G87" i="1"/>
  <c r="F87" i="1"/>
  <c r="E87" i="1"/>
  <c r="D87" i="1"/>
  <c r="C87" i="1"/>
  <c r="A87" i="1"/>
  <c r="R86" i="1"/>
  <c r="Q86" i="1"/>
  <c r="N86" i="1"/>
  <c r="J86" i="1"/>
  <c r="I86" i="1"/>
  <c r="H86" i="1"/>
  <c r="G86" i="1"/>
  <c r="F86" i="1"/>
  <c r="E86" i="1"/>
  <c r="D86" i="1"/>
  <c r="C86" i="1"/>
  <c r="A86" i="1"/>
  <c r="R85" i="1"/>
  <c r="N85" i="1"/>
  <c r="J85" i="1"/>
  <c r="I85" i="1"/>
  <c r="H85" i="1"/>
  <c r="G85" i="1"/>
  <c r="F85" i="1"/>
  <c r="E85" i="1"/>
  <c r="D85" i="1"/>
  <c r="C85" i="1"/>
  <c r="A85" i="1"/>
  <c r="R84" i="1"/>
  <c r="Q84" i="1"/>
  <c r="N84" i="1"/>
  <c r="J84" i="1"/>
  <c r="I84" i="1"/>
  <c r="H84" i="1"/>
  <c r="G84" i="1"/>
  <c r="F84" i="1"/>
  <c r="E84" i="1"/>
  <c r="D84" i="1"/>
  <c r="C84" i="1"/>
  <c r="A84" i="1"/>
  <c r="R83" i="1"/>
  <c r="N83" i="1"/>
  <c r="J83" i="1"/>
  <c r="I83" i="1"/>
  <c r="H83" i="1"/>
  <c r="G83" i="1"/>
  <c r="F83" i="1"/>
  <c r="E83" i="1"/>
  <c r="D83" i="1"/>
  <c r="C83" i="1"/>
  <c r="A83" i="1"/>
  <c r="R82" i="1"/>
  <c r="Q82" i="1"/>
  <c r="N82" i="1"/>
  <c r="J82" i="1"/>
  <c r="I82" i="1"/>
  <c r="H82" i="1"/>
  <c r="G82" i="1"/>
  <c r="F82" i="1"/>
  <c r="E82" i="1"/>
  <c r="D82" i="1"/>
  <c r="C82" i="1"/>
  <c r="A82" i="1"/>
  <c r="R81" i="1"/>
  <c r="N81" i="1"/>
  <c r="J81" i="1"/>
  <c r="I81" i="1"/>
  <c r="H81" i="1"/>
  <c r="G81" i="1"/>
  <c r="F81" i="1"/>
  <c r="E81" i="1"/>
  <c r="D81" i="1"/>
  <c r="C81" i="1"/>
  <c r="A81" i="1"/>
  <c r="R80" i="1"/>
  <c r="Q80" i="1"/>
  <c r="N80" i="1"/>
  <c r="J80" i="1"/>
  <c r="I80" i="1"/>
  <c r="H80" i="1"/>
  <c r="G80" i="1"/>
  <c r="F80" i="1"/>
  <c r="E80" i="1"/>
  <c r="D80" i="1"/>
  <c r="C80" i="1"/>
  <c r="A80" i="1"/>
  <c r="R79" i="1"/>
  <c r="N79" i="1"/>
  <c r="J79" i="1"/>
  <c r="I79" i="1"/>
  <c r="H79" i="1"/>
  <c r="G79" i="1"/>
  <c r="F79" i="1"/>
  <c r="E79" i="1"/>
  <c r="D79" i="1"/>
  <c r="C79" i="1"/>
  <c r="A79" i="1"/>
  <c r="R78" i="1"/>
  <c r="Q78" i="1"/>
  <c r="N78" i="1"/>
  <c r="J78" i="1"/>
  <c r="I78" i="1"/>
  <c r="H78" i="1"/>
  <c r="G78" i="1"/>
  <c r="F78" i="1"/>
  <c r="E78" i="1"/>
  <c r="D78" i="1"/>
  <c r="C78" i="1"/>
  <c r="A78" i="1"/>
  <c r="R77" i="1"/>
  <c r="N77" i="1"/>
  <c r="J77" i="1"/>
  <c r="I77" i="1"/>
  <c r="H77" i="1"/>
  <c r="G77" i="1"/>
  <c r="F77" i="1"/>
  <c r="E77" i="1"/>
  <c r="D77" i="1"/>
  <c r="C77" i="1"/>
  <c r="A77" i="1"/>
  <c r="R76" i="1"/>
  <c r="Q76" i="1"/>
  <c r="N76" i="1"/>
  <c r="J76" i="1"/>
  <c r="I76" i="1"/>
  <c r="H76" i="1"/>
  <c r="G76" i="1"/>
  <c r="F76" i="1"/>
  <c r="E76" i="1"/>
  <c r="D76" i="1"/>
  <c r="C76" i="1"/>
  <c r="A76" i="1"/>
  <c r="R75" i="1"/>
  <c r="N75" i="1"/>
  <c r="J75" i="1"/>
  <c r="I75" i="1"/>
  <c r="H75" i="1"/>
  <c r="G75" i="1"/>
  <c r="F75" i="1"/>
  <c r="E75" i="1"/>
  <c r="D75" i="1"/>
  <c r="C75" i="1"/>
  <c r="B75" i="1"/>
  <c r="A75" i="1"/>
  <c r="R74" i="1"/>
  <c r="Q74" i="1"/>
  <c r="N74" i="1"/>
  <c r="J74" i="1"/>
  <c r="I74" i="1"/>
  <c r="H74" i="1"/>
  <c r="G74" i="1"/>
  <c r="F74" i="1"/>
  <c r="E74" i="1"/>
  <c r="D74" i="1"/>
  <c r="C74" i="1"/>
  <c r="A74" i="1"/>
  <c r="R73" i="1"/>
  <c r="Q73" i="1"/>
  <c r="N73" i="1"/>
  <c r="J73" i="1"/>
  <c r="I73" i="1"/>
  <c r="H73" i="1"/>
  <c r="G73" i="1"/>
  <c r="F73" i="1"/>
  <c r="E73" i="1"/>
  <c r="D73" i="1"/>
  <c r="C73" i="1"/>
  <c r="A73" i="1"/>
  <c r="R72" i="1"/>
  <c r="Q72" i="1"/>
  <c r="N72" i="1"/>
  <c r="J72" i="1"/>
  <c r="I72" i="1"/>
  <c r="H72" i="1"/>
  <c r="G72" i="1"/>
  <c r="F72" i="1"/>
  <c r="E72" i="1"/>
  <c r="D72" i="1"/>
  <c r="C72" i="1"/>
  <c r="A72" i="1"/>
  <c r="R71" i="1"/>
  <c r="N71" i="1"/>
  <c r="J71" i="1"/>
  <c r="I71" i="1"/>
  <c r="H71" i="1"/>
  <c r="G71" i="1"/>
  <c r="F71" i="1"/>
  <c r="E71" i="1"/>
  <c r="D71" i="1"/>
  <c r="C71" i="1"/>
  <c r="B71" i="1"/>
  <c r="A71" i="1"/>
  <c r="R70" i="1"/>
  <c r="N70" i="1"/>
  <c r="J70" i="1"/>
  <c r="I70" i="1"/>
  <c r="H70" i="1"/>
  <c r="G70" i="1"/>
  <c r="F70" i="1"/>
  <c r="E70" i="1"/>
  <c r="D70" i="1"/>
  <c r="C70" i="1"/>
  <c r="B70" i="1"/>
  <c r="A70" i="1"/>
  <c r="R69" i="1"/>
  <c r="Q69" i="1"/>
  <c r="N69" i="1"/>
  <c r="J69" i="1"/>
  <c r="I69" i="1"/>
  <c r="H69" i="1"/>
  <c r="G69" i="1"/>
  <c r="F69" i="1"/>
  <c r="E69" i="1"/>
  <c r="D69" i="1"/>
  <c r="C69" i="1"/>
  <c r="A69" i="1"/>
  <c r="R68" i="1"/>
  <c r="N68" i="1"/>
  <c r="J68" i="1"/>
  <c r="I68" i="1"/>
  <c r="H68" i="1"/>
  <c r="G68" i="1"/>
  <c r="F68" i="1"/>
  <c r="E68" i="1"/>
  <c r="D68" i="1"/>
  <c r="C68" i="1"/>
  <c r="B68" i="1"/>
  <c r="A68" i="1"/>
  <c r="R67" i="1"/>
  <c r="Q67" i="1"/>
  <c r="N67" i="1"/>
  <c r="J67" i="1"/>
  <c r="I67" i="1"/>
  <c r="H67" i="1"/>
  <c r="G67" i="1"/>
  <c r="F67" i="1"/>
  <c r="E67" i="1"/>
  <c r="D67" i="1"/>
  <c r="C67" i="1"/>
  <c r="A67" i="1"/>
  <c r="R66" i="1"/>
  <c r="N66" i="1"/>
  <c r="J66" i="1"/>
  <c r="I66" i="1"/>
  <c r="H66" i="1"/>
  <c r="G66" i="1"/>
  <c r="F66" i="1"/>
  <c r="E66" i="1"/>
  <c r="D66" i="1"/>
  <c r="C66" i="1"/>
  <c r="B66" i="1"/>
  <c r="A66" i="1"/>
  <c r="R65" i="1"/>
  <c r="Q65" i="1"/>
  <c r="N65" i="1"/>
  <c r="J65" i="1"/>
  <c r="I65" i="1"/>
  <c r="H65" i="1"/>
  <c r="G65" i="1"/>
  <c r="F65" i="1"/>
  <c r="E65" i="1"/>
  <c r="D65" i="1"/>
  <c r="C65" i="1"/>
  <c r="A65" i="1"/>
  <c r="R64" i="1"/>
  <c r="N64" i="1"/>
  <c r="J64" i="1"/>
  <c r="I64" i="1"/>
  <c r="H64" i="1"/>
  <c r="G64" i="1"/>
  <c r="F64" i="1"/>
  <c r="E64" i="1"/>
  <c r="D64" i="1"/>
  <c r="C64" i="1"/>
  <c r="B64" i="1"/>
  <c r="A64" i="1"/>
  <c r="R63" i="1"/>
  <c r="Q63" i="1"/>
  <c r="N63" i="1"/>
  <c r="J63" i="1"/>
  <c r="I63" i="1"/>
  <c r="H63" i="1"/>
  <c r="G63" i="1"/>
  <c r="F63" i="1"/>
  <c r="E63" i="1"/>
  <c r="D63" i="1"/>
  <c r="C63" i="1"/>
  <c r="A63" i="1"/>
  <c r="R62" i="1"/>
  <c r="Q62" i="1"/>
  <c r="N62" i="1"/>
  <c r="J62" i="1"/>
  <c r="I62" i="1"/>
  <c r="H62" i="1"/>
  <c r="G62" i="1"/>
  <c r="F62" i="1"/>
  <c r="E62" i="1"/>
  <c r="D62" i="1"/>
  <c r="C62" i="1"/>
  <c r="A62" i="1"/>
  <c r="R61" i="1"/>
  <c r="Q61" i="1"/>
  <c r="N61" i="1"/>
  <c r="J61" i="1"/>
  <c r="I61" i="1"/>
  <c r="H61" i="1"/>
  <c r="G61" i="1"/>
  <c r="F61" i="1"/>
  <c r="E61" i="1"/>
  <c r="D61" i="1"/>
  <c r="C61" i="1"/>
  <c r="A61" i="1"/>
  <c r="R60" i="1"/>
  <c r="Q60" i="1"/>
  <c r="N60" i="1"/>
  <c r="J60" i="1"/>
  <c r="I60" i="1"/>
  <c r="H60" i="1"/>
  <c r="G60" i="1"/>
  <c r="F60" i="1"/>
  <c r="E60" i="1"/>
  <c r="D60" i="1"/>
  <c r="C60" i="1"/>
  <c r="A60" i="1"/>
  <c r="R59" i="1"/>
  <c r="Q59" i="1"/>
  <c r="N59" i="1"/>
  <c r="J59" i="1"/>
  <c r="I59" i="1"/>
  <c r="H59" i="1"/>
  <c r="G59" i="1"/>
  <c r="F59" i="1"/>
  <c r="E59" i="1"/>
  <c r="D59" i="1"/>
  <c r="C59" i="1"/>
  <c r="A59" i="1"/>
  <c r="R58" i="1"/>
  <c r="N58" i="1"/>
  <c r="J58" i="1"/>
  <c r="I58" i="1"/>
  <c r="H58" i="1"/>
  <c r="G58" i="1"/>
  <c r="F58" i="1"/>
  <c r="E58" i="1"/>
  <c r="D58" i="1"/>
  <c r="C58" i="1"/>
  <c r="B58" i="1"/>
  <c r="A58" i="1"/>
  <c r="R57" i="1"/>
  <c r="Q57" i="1"/>
  <c r="N57" i="1"/>
  <c r="J57" i="1"/>
  <c r="I57" i="1"/>
  <c r="H57" i="1"/>
  <c r="G57" i="1"/>
  <c r="F57" i="1"/>
  <c r="E57" i="1"/>
  <c r="D57" i="1"/>
  <c r="C57" i="1"/>
  <c r="A57" i="1"/>
  <c r="R56" i="1"/>
  <c r="Q56" i="1"/>
  <c r="N56" i="1"/>
  <c r="J56" i="1"/>
  <c r="I56" i="1"/>
  <c r="H56" i="1"/>
  <c r="G56" i="1"/>
  <c r="F56" i="1"/>
  <c r="E56" i="1"/>
  <c r="D56" i="1"/>
  <c r="C56" i="1"/>
  <c r="A56" i="1"/>
  <c r="R55" i="1"/>
  <c r="Q55" i="1"/>
  <c r="N55" i="1"/>
  <c r="J55" i="1"/>
  <c r="I55" i="1"/>
  <c r="H55" i="1"/>
  <c r="G55" i="1"/>
  <c r="F55" i="1"/>
  <c r="E55" i="1"/>
  <c r="D55" i="1"/>
  <c r="C55" i="1"/>
  <c r="A55" i="1"/>
  <c r="R54" i="1"/>
  <c r="Q54" i="1"/>
  <c r="N54" i="1"/>
  <c r="J54" i="1"/>
  <c r="I54" i="1"/>
  <c r="H54" i="1"/>
  <c r="G54" i="1"/>
  <c r="F54" i="1"/>
  <c r="E54" i="1"/>
  <c r="D54" i="1"/>
  <c r="C54" i="1"/>
  <c r="A54" i="1"/>
  <c r="R53" i="1"/>
  <c r="Q53" i="1"/>
  <c r="N53" i="1"/>
  <c r="J53" i="1"/>
  <c r="I53" i="1"/>
  <c r="H53" i="1"/>
  <c r="G53" i="1"/>
  <c r="F53" i="1"/>
  <c r="E53" i="1"/>
  <c r="D53" i="1"/>
  <c r="C53" i="1"/>
  <c r="A53" i="1"/>
  <c r="R52" i="1"/>
  <c r="Q52" i="1"/>
  <c r="N52" i="1"/>
  <c r="J52" i="1"/>
  <c r="I52" i="1"/>
  <c r="H52" i="1"/>
  <c r="G52" i="1"/>
  <c r="F52" i="1"/>
  <c r="E52" i="1"/>
  <c r="D52" i="1"/>
  <c r="C52" i="1"/>
  <c r="A52" i="1"/>
  <c r="R51" i="1"/>
  <c r="Q51" i="1"/>
  <c r="N51" i="1"/>
  <c r="J51" i="1"/>
  <c r="I51" i="1"/>
  <c r="H51" i="1"/>
  <c r="G51" i="1"/>
  <c r="F51" i="1"/>
  <c r="E51" i="1"/>
  <c r="D51" i="1"/>
  <c r="C51" i="1"/>
  <c r="A51" i="1"/>
  <c r="R50" i="1"/>
  <c r="Q50" i="1"/>
  <c r="N50" i="1"/>
  <c r="J50" i="1"/>
  <c r="I50" i="1"/>
  <c r="H50" i="1"/>
  <c r="G50" i="1"/>
  <c r="F50" i="1"/>
  <c r="E50" i="1"/>
  <c r="D50" i="1"/>
  <c r="C50" i="1"/>
  <c r="A50" i="1"/>
  <c r="R49" i="1"/>
  <c r="Q49" i="1"/>
  <c r="N49" i="1"/>
  <c r="J49" i="1"/>
  <c r="I49" i="1"/>
  <c r="H49" i="1"/>
  <c r="G49" i="1"/>
  <c r="F49" i="1"/>
  <c r="E49" i="1"/>
  <c r="D49" i="1"/>
  <c r="C49" i="1"/>
  <c r="A49" i="1"/>
  <c r="R48" i="1"/>
  <c r="N48" i="1"/>
  <c r="J48" i="1"/>
  <c r="I48" i="1"/>
  <c r="H48" i="1"/>
  <c r="G48" i="1"/>
  <c r="F48" i="1"/>
  <c r="E48" i="1"/>
  <c r="D48" i="1"/>
  <c r="C48" i="1"/>
  <c r="B48" i="1"/>
  <c r="A48" i="1"/>
  <c r="R47" i="1"/>
  <c r="Q47" i="1"/>
  <c r="N47" i="1"/>
  <c r="J47" i="1"/>
  <c r="I47" i="1"/>
  <c r="H47" i="1"/>
  <c r="G47" i="1"/>
  <c r="F47" i="1"/>
  <c r="E47" i="1"/>
  <c r="D47" i="1"/>
  <c r="C47" i="1"/>
  <c r="A47" i="1"/>
  <c r="R46" i="1"/>
  <c r="Q46" i="1"/>
  <c r="N46" i="1"/>
  <c r="J46" i="1"/>
  <c r="I46" i="1"/>
  <c r="H46" i="1"/>
  <c r="G46" i="1"/>
  <c r="F46" i="1"/>
  <c r="E46" i="1"/>
  <c r="D46" i="1"/>
  <c r="C46" i="1"/>
  <c r="A46" i="1"/>
  <c r="R45" i="1"/>
  <c r="Q45" i="1"/>
  <c r="N45" i="1"/>
  <c r="J45" i="1"/>
  <c r="I45" i="1"/>
  <c r="H45" i="1"/>
  <c r="G45" i="1"/>
  <c r="F45" i="1"/>
  <c r="E45" i="1"/>
  <c r="D45" i="1"/>
  <c r="C45" i="1"/>
  <c r="A45" i="1"/>
  <c r="R44" i="1"/>
  <c r="Q44" i="1"/>
  <c r="N44" i="1"/>
  <c r="J44" i="1"/>
  <c r="I44" i="1"/>
  <c r="H44" i="1"/>
  <c r="G44" i="1"/>
  <c r="F44" i="1"/>
  <c r="E44" i="1"/>
  <c r="D44" i="1"/>
  <c r="C44" i="1"/>
  <c r="A44" i="1"/>
  <c r="R43" i="1"/>
  <c r="Q43" i="1"/>
  <c r="N43" i="1"/>
  <c r="J43" i="1"/>
  <c r="I43" i="1"/>
  <c r="H43" i="1"/>
  <c r="G43" i="1"/>
  <c r="F43" i="1"/>
  <c r="E43" i="1"/>
  <c r="D43" i="1"/>
  <c r="C43" i="1"/>
  <c r="A43" i="1"/>
  <c r="R42" i="1"/>
  <c r="Q42" i="1"/>
  <c r="N42" i="1"/>
  <c r="J42" i="1"/>
  <c r="I42" i="1"/>
  <c r="H42" i="1"/>
  <c r="G42" i="1"/>
  <c r="F42" i="1"/>
  <c r="E42" i="1"/>
  <c r="D42" i="1"/>
  <c r="C42" i="1"/>
  <c r="A42" i="1"/>
  <c r="R41" i="1"/>
  <c r="Q41" i="1"/>
  <c r="N41" i="1"/>
  <c r="J41" i="1"/>
  <c r="I41" i="1"/>
  <c r="H41" i="1"/>
  <c r="G41" i="1"/>
  <c r="F41" i="1"/>
  <c r="E41" i="1"/>
  <c r="D41" i="1"/>
  <c r="C41" i="1"/>
  <c r="A41" i="1"/>
  <c r="R40" i="1"/>
  <c r="Q40" i="1"/>
  <c r="N40" i="1"/>
  <c r="J40" i="1"/>
  <c r="I40" i="1"/>
  <c r="H40" i="1"/>
  <c r="G40" i="1"/>
  <c r="F40" i="1"/>
  <c r="E40" i="1"/>
  <c r="D40" i="1"/>
  <c r="C40" i="1"/>
  <c r="A40" i="1"/>
  <c r="R39" i="1"/>
  <c r="Q39" i="1"/>
  <c r="N39" i="1"/>
  <c r="J39" i="1"/>
  <c r="I39" i="1"/>
  <c r="H39" i="1"/>
  <c r="G39" i="1"/>
  <c r="F39" i="1"/>
  <c r="E39" i="1"/>
  <c r="D39" i="1"/>
  <c r="C39" i="1"/>
  <c r="A39" i="1"/>
  <c r="R38" i="1"/>
  <c r="Q38" i="1"/>
  <c r="N38" i="1"/>
  <c r="J38" i="1"/>
  <c r="I38" i="1"/>
  <c r="H38" i="1"/>
  <c r="G38" i="1"/>
  <c r="F38" i="1"/>
  <c r="E38" i="1"/>
  <c r="D38" i="1"/>
  <c r="C38" i="1"/>
  <c r="A38" i="1"/>
  <c r="R37" i="1"/>
  <c r="Q37" i="1"/>
  <c r="N37" i="1"/>
  <c r="J37" i="1"/>
  <c r="I37" i="1"/>
  <c r="H37" i="1"/>
  <c r="G37" i="1"/>
  <c r="F37" i="1"/>
  <c r="E37" i="1"/>
  <c r="D37" i="1"/>
  <c r="C37" i="1"/>
  <c r="A37" i="1"/>
  <c r="R36" i="1"/>
  <c r="Q36" i="1"/>
  <c r="N36" i="1"/>
  <c r="J36" i="1"/>
  <c r="I36" i="1"/>
  <c r="H36" i="1"/>
  <c r="G36" i="1"/>
  <c r="F36" i="1"/>
  <c r="E36" i="1"/>
  <c r="D36" i="1"/>
  <c r="C36" i="1"/>
  <c r="A36" i="1"/>
  <c r="R35" i="1"/>
  <c r="Q35" i="1"/>
  <c r="N35" i="1"/>
  <c r="J35" i="1"/>
  <c r="I35" i="1"/>
  <c r="H35" i="1"/>
  <c r="G35" i="1"/>
  <c r="F35" i="1"/>
  <c r="E35" i="1"/>
  <c r="D35" i="1"/>
  <c r="C35" i="1"/>
  <c r="A35" i="1"/>
  <c r="R34" i="1"/>
  <c r="Q34" i="1"/>
  <c r="N34" i="1"/>
  <c r="J34" i="1"/>
  <c r="I34" i="1"/>
  <c r="H34" i="1"/>
  <c r="G34" i="1"/>
  <c r="F34" i="1"/>
  <c r="E34" i="1"/>
  <c r="D34" i="1"/>
  <c r="C34" i="1"/>
  <c r="A34" i="1"/>
  <c r="R33" i="1"/>
  <c r="Q33" i="1"/>
  <c r="N33" i="1"/>
  <c r="J33" i="1"/>
  <c r="I33" i="1"/>
  <c r="H33" i="1"/>
  <c r="G33" i="1"/>
  <c r="F33" i="1"/>
  <c r="E33" i="1"/>
  <c r="D33" i="1"/>
  <c r="C33" i="1"/>
  <c r="A33" i="1"/>
  <c r="R32" i="1"/>
  <c r="Q32" i="1"/>
  <c r="N32" i="1"/>
  <c r="J32" i="1"/>
  <c r="I32" i="1"/>
  <c r="H32" i="1"/>
  <c r="G32" i="1"/>
  <c r="F32" i="1"/>
  <c r="E32" i="1"/>
  <c r="D32" i="1"/>
  <c r="C32" i="1"/>
  <c r="A32" i="1"/>
  <c r="R31" i="1"/>
  <c r="Q31" i="1"/>
  <c r="N31" i="1"/>
  <c r="J31" i="1"/>
  <c r="I31" i="1"/>
  <c r="H31" i="1"/>
  <c r="G31" i="1"/>
  <c r="F31" i="1"/>
  <c r="E31" i="1"/>
  <c r="D31" i="1"/>
  <c r="C31" i="1"/>
  <c r="A31" i="1"/>
  <c r="R30" i="1"/>
  <c r="Q30" i="1"/>
  <c r="N30" i="1"/>
  <c r="J30" i="1"/>
  <c r="I30" i="1"/>
  <c r="H30" i="1"/>
  <c r="G30" i="1"/>
  <c r="F30" i="1"/>
  <c r="E30" i="1"/>
  <c r="D30" i="1"/>
  <c r="C30" i="1"/>
  <c r="A30" i="1"/>
  <c r="R29" i="1"/>
  <c r="Q29" i="1"/>
  <c r="N29" i="1"/>
  <c r="J29" i="1"/>
  <c r="I29" i="1"/>
  <c r="H29" i="1"/>
  <c r="G29" i="1"/>
  <c r="F29" i="1"/>
  <c r="E29" i="1"/>
  <c r="D29" i="1"/>
  <c r="C29" i="1"/>
  <c r="A29" i="1"/>
  <c r="R28" i="1"/>
  <c r="Q28" i="1"/>
  <c r="N28" i="1"/>
  <c r="J28" i="1"/>
  <c r="I28" i="1"/>
  <c r="H28" i="1"/>
  <c r="G28" i="1"/>
  <c r="F28" i="1"/>
  <c r="E28" i="1"/>
  <c r="D28" i="1"/>
  <c r="C28" i="1"/>
  <c r="A28" i="1"/>
  <c r="R27" i="1"/>
  <c r="Q27" i="1"/>
  <c r="N27" i="1"/>
  <c r="J27" i="1"/>
  <c r="I27" i="1"/>
  <c r="H27" i="1"/>
  <c r="G27" i="1"/>
  <c r="F27" i="1"/>
  <c r="E27" i="1"/>
  <c r="D27" i="1"/>
  <c r="C27" i="1"/>
  <c r="A27" i="1"/>
  <c r="R26" i="1"/>
  <c r="Q26" i="1"/>
  <c r="N26" i="1"/>
  <c r="J26" i="1"/>
  <c r="I26" i="1"/>
  <c r="H26" i="1"/>
  <c r="G26" i="1"/>
  <c r="F26" i="1"/>
  <c r="E26" i="1"/>
  <c r="D26" i="1"/>
  <c r="C26" i="1"/>
  <c r="A26" i="1"/>
  <c r="R25" i="1"/>
  <c r="Q25" i="1"/>
  <c r="N25" i="1"/>
  <c r="J25" i="1"/>
  <c r="I25" i="1"/>
  <c r="H25" i="1"/>
  <c r="G25" i="1"/>
  <c r="F25" i="1"/>
  <c r="E25" i="1"/>
  <c r="D25" i="1"/>
  <c r="C25" i="1"/>
  <c r="A25" i="1"/>
  <c r="R24" i="1"/>
  <c r="Q24" i="1"/>
  <c r="N24" i="1"/>
  <c r="J24" i="1"/>
  <c r="I24" i="1"/>
  <c r="H24" i="1"/>
  <c r="G24" i="1"/>
  <c r="F24" i="1"/>
  <c r="E24" i="1"/>
  <c r="D24" i="1"/>
  <c r="C24" i="1"/>
  <c r="A24" i="1"/>
  <c r="R23" i="1"/>
  <c r="Q23" i="1"/>
  <c r="N23" i="1"/>
  <c r="J23" i="1"/>
  <c r="I23" i="1"/>
  <c r="H23" i="1"/>
  <c r="G23" i="1"/>
  <c r="F23" i="1"/>
  <c r="E23" i="1"/>
  <c r="D23" i="1"/>
  <c r="C23" i="1"/>
  <c r="A23" i="1"/>
  <c r="R22" i="1"/>
  <c r="Q22" i="1"/>
  <c r="N22" i="1"/>
  <c r="J22" i="1"/>
  <c r="I22" i="1"/>
  <c r="H22" i="1"/>
  <c r="G22" i="1"/>
  <c r="F22" i="1"/>
  <c r="E22" i="1"/>
  <c r="D22" i="1"/>
  <c r="C22" i="1"/>
  <c r="A22" i="1"/>
  <c r="R21" i="1"/>
  <c r="Q21" i="1"/>
  <c r="N21" i="1"/>
  <c r="J21" i="1"/>
  <c r="I21" i="1"/>
  <c r="H21" i="1"/>
  <c r="G21" i="1"/>
  <c r="F21" i="1"/>
  <c r="E21" i="1"/>
  <c r="D21" i="1"/>
  <c r="C21" i="1"/>
  <c r="A21" i="1"/>
  <c r="R20" i="1"/>
  <c r="Q20" i="1"/>
  <c r="N20" i="1"/>
  <c r="J20" i="1"/>
  <c r="I20" i="1"/>
  <c r="H20" i="1"/>
  <c r="G20" i="1"/>
  <c r="F20" i="1"/>
  <c r="E20" i="1"/>
  <c r="D20" i="1"/>
  <c r="C20" i="1"/>
  <c r="A20" i="1"/>
  <c r="R19" i="1"/>
  <c r="Q19" i="1"/>
  <c r="N19" i="1"/>
  <c r="J19" i="1"/>
  <c r="I19" i="1"/>
  <c r="H19" i="1"/>
  <c r="G19" i="1"/>
  <c r="F19" i="1"/>
  <c r="E19" i="1"/>
  <c r="D19" i="1"/>
  <c r="C19" i="1"/>
  <c r="A19" i="1"/>
  <c r="R18" i="1"/>
  <c r="Q18" i="1"/>
  <c r="N18" i="1"/>
  <c r="J18" i="1"/>
  <c r="I18" i="1"/>
  <c r="H18" i="1"/>
  <c r="G18" i="1"/>
  <c r="F18" i="1"/>
  <c r="E18" i="1"/>
  <c r="D18" i="1"/>
  <c r="C18" i="1"/>
  <c r="A18" i="1"/>
  <c r="R17" i="1"/>
  <c r="Q17" i="1"/>
  <c r="N17" i="1"/>
  <c r="J17" i="1"/>
  <c r="I17" i="1"/>
  <c r="H17" i="1"/>
  <c r="G17" i="1"/>
  <c r="F17" i="1"/>
  <c r="E17" i="1"/>
  <c r="D17" i="1"/>
  <c r="C17" i="1"/>
  <c r="A17" i="1"/>
  <c r="R16" i="1"/>
  <c r="Q16" i="1"/>
  <c r="N16" i="1"/>
  <c r="J16" i="1"/>
  <c r="I16" i="1"/>
  <c r="H16" i="1"/>
  <c r="G16" i="1"/>
  <c r="F16" i="1"/>
  <c r="E16" i="1"/>
  <c r="D16" i="1"/>
  <c r="C16" i="1"/>
  <c r="A16" i="1"/>
  <c r="R15" i="1"/>
  <c r="Q15" i="1"/>
  <c r="N15" i="1"/>
  <c r="J15" i="1"/>
  <c r="I15" i="1"/>
  <c r="H15" i="1"/>
  <c r="G15" i="1"/>
  <c r="F15" i="1"/>
  <c r="E15" i="1"/>
  <c r="D15" i="1"/>
  <c r="C15" i="1"/>
  <c r="A15" i="1"/>
  <c r="R14" i="1"/>
  <c r="Q14" i="1"/>
  <c r="N14" i="1"/>
  <c r="J14" i="1"/>
  <c r="I14" i="1"/>
  <c r="H14" i="1"/>
  <c r="G14" i="1"/>
  <c r="F14" i="1"/>
  <c r="E14" i="1"/>
  <c r="D14" i="1"/>
  <c r="C14" i="1"/>
  <c r="A14" i="1"/>
  <c r="R13" i="1"/>
  <c r="Q13" i="1"/>
  <c r="N13" i="1"/>
  <c r="J13" i="1"/>
  <c r="I13" i="1"/>
  <c r="H13" i="1"/>
  <c r="G13" i="1"/>
  <c r="F13" i="1"/>
  <c r="E13" i="1"/>
  <c r="D13" i="1"/>
  <c r="C13" i="1"/>
  <c r="A13" i="1"/>
  <c r="R12" i="1"/>
  <c r="Q12" i="1"/>
  <c r="N12" i="1"/>
  <c r="J12" i="1"/>
  <c r="I12" i="1"/>
  <c r="H12" i="1"/>
  <c r="G12" i="1"/>
  <c r="F12" i="1"/>
  <c r="E12" i="1"/>
  <c r="D12" i="1"/>
  <c r="C12" i="1"/>
  <c r="A12" i="1"/>
  <c r="R11" i="1"/>
  <c r="Q11" i="1"/>
  <c r="N11" i="1"/>
  <c r="J11" i="1"/>
  <c r="I11" i="1"/>
  <c r="H11" i="1"/>
  <c r="G11" i="1"/>
  <c r="F11" i="1"/>
  <c r="E11" i="1"/>
  <c r="D11" i="1"/>
  <c r="C11" i="1"/>
  <c r="A11" i="1"/>
  <c r="R10" i="1"/>
  <c r="Q10" i="1"/>
  <c r="N10" i="1"/>
  <c r="J10" i="1"/>
  <c r="I10" i="1"/>
  <c r="H10" i="1"/>
  <c r="G10" i="1"/>
  <c r="F10" i="1"/>
  <c r="E10" i="1"/>
  <c r="D10" i="1"/>
  <c r="C10" i="1"/>
  <c r="A10" i="1"/>
  <c r="R9" i="1"/>
  <c r="Q9" i="1"/>
  <c r="N9" i="1"/>
  <c r="J9" i="1"/>
  <c r="I9" i="1"/>
  <c r="H9" i="1"/>
  <c r="G9" i="1"/>
  <c r="F9" i="1"/>
  <c r="E9" i="1"/>
  <c r="D9" i="1"/>
  <c r="C9" i="1"/>
  <c r="A9" i="1"/>
  <c r="R8" i="1"/>
  <c r="Q8" i="1"/>
  <c r="N8" i="1"/>
  <c r="J8" i="1"/>
  <c r="I8" i="1"/>
  <c r="H8" i="1"/>
  <c r="G8" i="1"/>
  <c r="F8" i="1"/>
  <c r="E8" i="1"/>
  <c r="D8" i="1"/>
  <c r="C8" i="1"/>
  <c r="A8" i="1"/>
  <c r="R7" i="1"/>
  <c r="Q7" i="1"/>
  <c r="N7" i="1"/>
  <c r="J7" i="1"/>
  <c r="I7" i="1"/>
  <c r="H7" i="1"/>
  <c r="G7" i="1"/>
  <c r="F7" i="1"/>
  <c r="E7" i="1"/>
  <c r="D7" i="1"/>
  <c r="C7" i="1"/>
  <c r="A7" i="1"/>
  <c r="R6" i="1"/>
  <c r="Q6" i="1"/>
  <c r="N6" i="1"/>
  <c r="J6" i="1"/>
  <c r="I6" i="1"/>
  <c r="H6" i="1"/>
  <c r="G6" i="1"/>
  <c r="F6" i="1"/>
  <c r="E6" i="1"/>
  <c r="D6" i="1"/>
  <c r="C6" i="1"/>
  <c r="A6" i="1"/>
  <c r="R5" i="1"/>
  <c r="Q5" i="1"/>
  <c r="N5" i="1"/>
  <c r="J5" i="1"/>
  <c r="I5" i="1"/>
  <c r="H5" i="1"/>
  <c r="G5" i="1"/>
  <c r="F5" i="1"/>
  <c r="E5" i="1"/>
  <c r="D5" i="1"/>
  <c r="C5" i="1"/>
  <c r="A5" i="1"/>
  <c r="R4" i="1"/>
  <c r="Q4" i="1"/>
  <c r="N4" i="1"/>
  <c r="J4" i="1"/>
  <c r="I4" i="1"/>
  <c r="H4" i="1"/>
  <c r="G4" i="1"/>
  <c r="F4" i="1"/>
  <c r="E4" i="1"/>
  <c r="D4" i="1"/>
  <c r="C4" i="1"/>
  <c r="A4" i="1"/>
  <c r="R3" i="1"/>
  <c r="Q3" i="1"/>
  <c r="J3" i="1"/>
  <c r="I3" i="1"/>
  <c r="H3" i="1"/>
  <c r="G3" i="1"/>
  <c r="F3" i="1"/>
  <c r="E3" i="1"/>
  <c r="D3" i="1"/>
  <c r="C3" i="1"/>
  <c r="A3" i="1"/>
  <c r="R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<sst xmlns="http://schemas.openxmlformats.org/spreadsheetml/2006/main" count="6584" uniqueCount="29">
  <si>
    <t>DATA MOVIMENTO</t>
  </si>
  <si>
    <t>ENTRADA/SAÍDA</t>
  </si>
  <si>
    <t>TIPO TÍTULO</t>
  </si>
  <si>
    <t>NÚMERO DOCTO</t>
  </si>
  <si>
    <t>QUEM GEROU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</si>
  <si>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</si>
  <si>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</si>
  <si>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</si>
  <si>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</si>
  <si>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</si>
  <si>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</si>
  <si>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</si>
  <si>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</si>
  <si>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</si>
  <si>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</si>
  <si>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</si>
  <si>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</si>
  <si>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</si>
  <si>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</si>
  <si>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</si>
  <si>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IOF/JUROS/DESP.FINANCEIRA (401)</t>
  </si>
  <si>
    <t>BANCO INTER (149)</t>
  </si>
  <si>
    <t>RECEITAS COM SETUP (117)</t>
  </si>
  <si>
    <t>DESPESAS COM EVENTOS (129)</t>
  </si>
  <si>
    <t>RECEITAS COM REEMBOLSOS (119)</t>
  </si>
  <si>
    <t>CAIXA MOVIMENTAÇÃO OPERACIONAL (132)</t>
  </si>
  <si>
    <t>CAIXA - COOPERATIVA (120)</t>
  </si>
  <si>
    <t>VALOR RATEADO FARMACIA</t>
  </si>
  <si>
    <t>PARCEIRO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</si>
</sst>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64"/>
  <sheetViews>
    <sheetView tabSelected="1" workbookViewId="0">
      <pane activePane="bottomRight" state="frozen"/>
      <selection activeCell="G246" sqref="G246"/>
    </sheetView>
  </sheetViews>
  <sheetFormatPr defaultColWidth="9.109375" defaultRowHeight="13.8"/>
  <cols>
    <col min="1" max="1" width="28.21875" customWidth="1"/>
    <col min="3" max="3" width="19.77734375" customWidth="1"/>
    <col min="7" max="7" width="41.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>
      <c r="A2" t="str">
        <f t="shared" ref="A2:A33" si="0">("02/01/2025")</f>
        <v>02/01/2025</v>
      </c>
      <c r="B2" t="str">
        <f>"ENTRADA"</f>
        <v>ENTRADA</v>
      </c>
      <c r="C2" t="str">
        <f t="shared" ref="C2:C33" si="1">"NFSE"</f>
        <v>NFSE</v>
      </c>
      <c r="D2" t="str">
        <f t="shared" ref="D2:D47" si="2">"2582"</f>
        <v>2582</v>
      </c>
      <c r="E2" t="str">
        <f t="shared" ref="E2:E33" si="3">"COM"</f>
        <v>COM</v>
      </c>
      <c r="F2" t="str">
        <f t="shared" ref="F2:F47" si="4">"FARMÁCIA INDIANA LJ 1 (10126)"</f>
        <v>FARMÁCIA INDIANA LJ 1 (10126)</v>
      </c>
      <c r="G2" t="str">
        <f t="shared" ref="G2:G47" si="5">"Serv.Prest. 16/12/2024 a 22/12/2024 - RPS: 357 - NFSe: 2582"</f>
        <v>Serv.Prest. 16/12/2024 a 22/12/2024 - RPS: 357 - NFSe: 2582</v>
      </c>
      <c r="H2" t="str">
        <f t="shared" ref="H2:H33" si="6">("01/01/2025")</f>
        <v>01/01/2025</v>
      </c>
      <c r="I2" t="str">
        <f t="shared" ref="I2:I33" si="7">("23/12/2024")</f>
        <v>23/12/2024</v>
      </c>
      <c r="J2" t="str">
        <f t="shared" ref="J2:J33" si="8">("02/01/2025")</f>
        <v>02/01/2025</v>
      </c>
      <c r="K2">
        <v>11954.2</v>
      </c>
      <c r="L2">
        <v>11954.2</v>
      </c>
      <c r="M2">
        <v>303</v>
      </c>
      <c r="N2" t="str">
        <f>"RECEITAS COM ENTREGAS"</f>
        <v>RECEITAS COM ENTREGAS</v>
      </c>
      <c r="O2">
        <v>11954.2</v>
      </c>
      <c r="R2" t="str">
        <f t="shared" ref="R2:R33" si="9">"RECEITAS COM ENTREGAS (303)"</f>
        <v>RECEITAS COM ENTREGAS (303)</v>
      </c>
      <c r="S2">
        <v>780</v>
      </c>
      <c r="T2">
        <v>667</v>
      </c>
      <c r="U2" t="s">
        <v>19</v>
      </c>
    </row>
    <row r="3" spans="1:21">
      <c r="A3" t="str">
        <f t="shared" si="0"/>
        <v>02/01/2025</v>
      </c>
      <c r="B3" t="str">
        <f t="shared" ref="B3:B47" si="10">"ENTRADA"</f>
        <v>ENTRADA</v>
      </c>
      <c r="C3" t="str">
        <f t="shared" si="1"/>
        <v>NFSE</v>
      </c>
      <c r="D3" t="str">
        <f t="shared" si="2"/>
        <v>2582</v>
      </c>
      <c r="E3" t="str">
        <f t="shared" si="3"/>
        <v>COM</v>
      </c>
      <c r="F3" t="str">
        <f t="shared" si="4"/>
        <v>FARMÁCIA INDIANA LJ 1 (10126)</v>
      </c>
      <c r="G3" t="str">
        <f t="shared" si="5"/>
        <v>Serv.Prest. 16/12/2024 a 22/12/2024 - RPS: 357 - NFSe: 2582</v>
      </c>
      <c r="H3" t="str">
        <f t="shared" si="6"/>
        <v>01/01/2025</v>
      </c>
      <c r="I3" t="str">
        <f t="shared" si="7"/>
        <v>23/12/2024</v>
      </c>
      <c r="J3" t="str">
        <f t="shared" si="8"/>
        <v>02/01/2025</v>
      </c>
      <c r="M3">
        <v>303</v>
      </c>
      <c r="N3" t="str">
        <f>"RECEITAS COM ENTREGAS"</f>
        <v>RECEITAS COM ENTREGAS</v>
      </c>
      <c r="P3">
        <v>1863.69</v>
      </c>
      <c r="Q3" t="str">
        <f>"FARMÁCIA INDIANA LJ 06 (10006)"</f>
        <v>FARMÁCIA INDIANA LJ 06 (10006)</v>
      </c>
      <c r="R3" t="str">
        <f t="shared" si="9"/>
        <v>RECEITAS COM ENTREGAS (303)</v>
      </c>
      <c r="S3">
        <v>780</v>
      </c>
      <c r="T3">
        <v>667</v>
      </c>
      <c r="U3" t="s">
        <v>19</v>
      </c>
    </row>
    <row r="4" spans="1:21">
      <c r="A4" t="str">
        <f t="shared" si="0"/>
        <v>02/01/2025</v>
      </c>
      <c r="B4" t="str">
        <f t="shared" si="10"/>
        <v>ENTRADA</v>
      </c>
      <c r="C4" t="str">
        <f t="shared" si="1"/>
        <v>NFSE</v>
      </c>
      <c r="D4" t="str">
        <f t="shared" si="2"/>
        <v>2582</v>
      </c>
      <c r="E4" t="str">
        <f t="shared" si="3"/>
        <v>COM</v>
      </c>
      <c r="F4" t="str">
        <f t="shared" si="4"/>
        <v>FARMÁCIA INDIANA LJ 1 (10126)</v>
      </c>
      <c r="G4" t="str">
        <f t="shared" si="5"/>
        <v>Serv.Prest. 16/12/2024 a 22/12/2024 - RPS: 357 - NFSe: 2582</v>
      </c>
      <c r="H4" t="str">
        <f t="shared" si="6"/>
        <v>01/01/2025</v>
      </c>
      <c r="I4" t="str">
        <f t="shared" si="7"/>
        <v>23/12/2024</v>
      </c>
      <c r="J4" t="str">
        <f t="shared" si="8"/>
        <v>02/01/2025</v>
      </c>
      <c r="M4">
        <v>303</v>
      </c>
      <c r="N4" t="str">
        <f t="shared" ref="N4:N33" si="11">"RECEITAS COM ENTREGAS"</f>
        <v>RECEITAS COM ENTREGAS</v>
      </c>
      <c r="P4">
        <v>1126.0899999999999</v>
      </c>
      <c r="Q4" t="str">
        <f>"FARMÁCIA INDIANA LJ 07 (10007)"</f>
        <v>FARMÁCIA INDIANA LJ 07 (10007)</v>
      </c>
      <c r="R4" t="str">
        <f t="shared" si="9"/>
        <v>RECEITAS COM ENTREGAS (303)</v>
      </c>
      <c r="S4">
        <v>780</v>
      </c>
      <c r="T4">
        <v>667</v>
      </c>
      <c r="U4" t="s">
        <v>19</v>
      </c>
    </row>
    <row r="5" spans="1:21">
      <c r="A5" t="str">
        <f t="shared" si="0"/>
        <v>02/01/2025</v>
      </c>
      <c r="B5" t="str">
        <f t="shared" si="10"/>
        <v>ENTRADA</v>
      </c>
      <c r="C5" t="str">
        <f t="shared" si="1"/>
        <v>NFSE</v>
      </c>
      <c r="D5" t="str">
        <f t="shared" si="2"/>
        <v>2582</v>
      </c>
      <c r="E5" t="str">
        <f t="shared" si="3"/>
        <v>COM</v>
      </c>
      <c r="F5" t="str">
        <f t="shared" si="4"/>
        <v>FARMÁCIA INDIANA LJ 1 (10126)</v>
      </c>
      <c r="G5" t="str">
        <f t="shared" si="5"/>
        <v>Serv.Prest. 16/12/2024 a 22/12/2024 - RPS: 357 - NFSe: 2582</v>
      </c>
      <c r="H5" t="str">
        <f t="shared" si="6"/>
        <v>01/01/2025</v>
      </c>
      <c r="I5" t="str">
        <f t="shared" si="7"/>
        <v>23/12/2024</v>
      </c>
      <c r="J5" t="str">
        <f t="shared" si="8"/>
        <v>02/01/2025</v>
      </c>
      <c r="M5">
        <v>303</v>
      </c>
      <c r="N5" t="str">
        <f t="shared" si="11"/>
        <v>RECEITAS COM ENTREGAS</v>
      </c>
      <c r="P5">
        <v>908.52</v>
      </c>
      <c r="Q5" t="str">
        <f>"FARMÁCIA INDIANA LJ 11 (10008)"</f>
        <v>FARMÁCIA INDIANA LJ 11 (10008)</v>
      </c>
      <c r="R5" t="str">
        <f t="shared" si="9"/>
        <v>RECEITAS COM ENTREGAS (303)</v>
      </c>
      <c r="S5">
        <v>780</v>
      </c>
      <c r="T5">
        <v>667</v>
      </c>
      <c r="U5" t="s">
        <v>19</v>
      </c>
    </row>
    <row r="6" spans="1:21">
      <c r="A6" t="str">
        <f t="shared" si="0"/>
        <v>02/01/2025</v>
      </c>
      <c r="B6" t="str">
        <f t="shared" si="10"/>
        <v>ENTRADA</v>
      </c>
      <c r="C6" t="str">
        <f t="shared" si="1"/>
        <v>NFSE</v>
      </c>
      <c r="D6" t="str">
        <f t="shared" si="2"/>
        <v>2582</v>
      </c>
      <c r="E6" t="str">
        <f t="shared" si="3"/>
        <v>COM</v>
      </c>
      <c r="F6" t="str">
        <f t="shared" si="4"/>
        <v>FARMÁCIA INDIANA LJ 1 (10126)</v>
      </c>
      <c r="G6" t="str">
        <f t="shared" si="5"/>
        <v>Serv.Prest. 16/12/2024 a 22/12/2024 - RPS: 357 - NFSe: 2582</v>
      </c>
      <c r="H6" t="str">
        <f t="shared" si="6"/>
        <v>01/01/2025</v>
      </c>
      <c r="I6" t="str">
        <f t="shared" si="7"/>
        <v>23/12/2024</v>
      </c>
      <c r="J6" t="str">
        <f t="shared" si="8"/>
        <v>02/01/2025</v>
      </c>
      <c r="M6">
        <v>303</v>
      </c>
      <c r="N6" t="str">
        <f t="shared" si="11"/>
        <v>RECEITAS COM ENTREGAS</v>
      </c>
      <c r="P6">
        <v>295.27</v>
      </c>
      <c r="Q6" t="str">
        <f>"FARMÁCIA INDIANA LJ 14 (10009)"</f>
        <v>FARMÁCIA INDIANA LJ 14 (10009)</v>
      </c>
      <c r="R6" t="str">
        <f t="shared" si="9"/>
        <v>RECEITAS COM ENTREGAS (303)</v>
      </c>
      <c r="S6">
        <v>780</v>
      </c>
      <c r="T6">
        <v>667</v>
      </c>
      <c r="U6" t="s">
        <v>19</v>
      </c>
    </row>
    <row r="7" spans="1:21">
      <c r="A7" t="str">
        <f t="shared" si="0"/>
        <v>02/01/2025</v>
      </c>
      <c r="B7" t="str">
        <f t="shared" si="10"/>
        <v>ENTRADA</v>
      </c>
      <c r="C7" t="str">
        <f t="shared" si="1"/>
        <v>NFSE</v>
      </c>
      <c r="D7" t="str">
        <f t="shared" si="2"/>
        <v>2582</v>
      </c>
      <c r="E7" t="str">
        <f t="shared" si="3"/>
        <v>COM</v>
      </c>
      <c r="F7" t="str">
        <f t="shared" si="4"/>
        <v>FARMÁCIA INDIANA LJ 1 (10126)</v>
      </c>
      <c r="G7" t="str">
        <f t="shared" si="5"/>
        <v>Serv.Prest. 16/12/2024 a 22/12/2024 - RPS: 357 - NFSe: 2582</v>
      </c>
      <c r="H7" t="str">
        <f t="shared" si="6"/>
        <v>01/01/2025</v>
      </c>
      <c r="I7" t="str">
        <f t="shared" si="7"/>
        <v>23/12/2024</v>
      </c>
      <c r="J7" t="str">
        <f t="shared" si="8"/>
        <v>02/01/2025</v>
      </c>
      <c r="M7">
        <v>303</v>
      </c>
      <c r="N7" t="str">
        <f t="shared" si="11"/>
        <v>RECEITAS COM ENTREGAS</v>
      </c>
      <c r="P7">
        <v>325.14999999999998</v>
      </c>
      <c r="Q7" t="str">
        <f>"FARMÁCIA INDIANA LJ 18 (10011)"</f>
        <v>FARMÁCIA INDIANA LJ 18 (10011)</v>
      </c>
      <c r="R7" t="str">
        <f t="shared" si="9"/>
        <v>RECEITAS COM ENTREGAS (303)</v>
      </c>
      <c r="S7">
        <v>780</v>
      </c>
      <c r="T7">
        <v>667</v>
      </c>
      <c r="U7" t="s">
        <v>19</v>
      </c>
    </row>
    <row r="8" spans="1:21">
      <c r="A8" t="str">
        <f t="shared" si="0"/>
        <v>02/01/2025</v>
      </c>
      <c r="B8" t="str">
        <f t="shared" si="10"/>
        <v>ENTRADA</v>
      </c>
      <c r="C8" t="str">
        <f t="shared" si="1"/>
        <v>NFSE</v>
      </c>
      <c r="D8" t="str">
        <f t="shared" si="2"/>
        <v>2582</v>
      </c>
      <c r="E8" t="str">
        <f t="shared" si="3"/>
        <v>COM</v>
      </c>
      <c r="F8" t="str">
        <f t="shared" si="4"/>
        <v>FARMÁCIA INDIANA LJ 1 (10126)</v>
      </c>
      <c r="G8" t="str">
        <f t="shared" si="5"/>
        <v>Serv.Prest. 16/12/2024 a 22/12/2024 - RPS: 357 - NFSe: 2582</v>
      </c>
      <c r="H8" t="str">
        <f t="shared" si="6"/>
        <v>01/01/2025</v>
      </c>
      <c r="I8" t="str">
        <f t="shared" si="7"/>
        <v>23/12/2024</v>
      </c>
      <c r="J8" t="str">
        <f t="shared" si="8"/>
        <v>02/01/2025</v>
      </c>
      <c r="M8">
        <v>303</v>
      </c>
      <c r="N8" t="str">
        <f t="shared" si="11"/>
        <v>RECEITAS COM ENTREGAS</v>
      </c>
      <c r="P8">
        <v>280.92</v>
      </c>
      <c r="Q8" t="str">
        <f>"FARMÁCIA INDIANA LJ 19 (10012)"</f>
        <v>FARMÁCIA INDIANA LJ 19 (10012)</v>
      </c>
      <c r="R8" t="str">
        <f t="shared" si="9"/>
        <v>RECEITAS COM ENTREGAS (303)</v>
      </c>
      <c r="S8">
        <v>780</v>
      </c>
      <c r="T8">
        <v>667</v>
      </c>
      <c r="U8" t="s">
        <v>19</v>
      </c>
    </row>
    <row r="9" spans="1:21">
      <c r="A9" t="str">
        <f t="shared" si="0"/>
        <v>02/01/2025</v>
      </c>
      <c r="B9" t="str">
        <f t="shared" si="10"/>
        <v>ENTRADA</v>
      </c>
      <c r="C9" t="str">
        <f t="shared" si="1"/>
        <v>NFSE</v>
      </c>
      <c r="D9" t="str">
        <f t="shared" si="2"/>
        <v>2582</v>
      </c>
      <c r="E9" t="str">
        <f t="shared" si="3"/>
        <v>COM</v>
      </c>
      <c r="F9" t="str">
        <f t="shared" si="4"/>
        <v>FARMÁCIA INDIANA LJ 1 (10126)</v>
      </c>
      <c r="G9" t="str">
        <f t="shared" si="5"/>
        <v>Serv.Prest. 16/12/2024 a 22/12/2024 - RPS: 357 - NFSe: 2582</v>
      </c>
      <c r="H9" t="str">
        <f t="shared" si="6"/>
        <v>01/01/2025</v>
      </c>
      <c r="I9" t="str">
        <f t="shared" si="7"/>
        <v>23/12/2024</v>
      </c>
      <c r="J9" t="str">
        <f t="shared" si="8"/>
        <v>02/01/2025</v>
      </c>
      <c r="M9">
        <v>303</v>
      </c>
      <c r="N9" t="str">
        <f t="shared" si="11"/>
        <v>RECEITAS COM ENTREGAS</v>
      </c>
      <c r="P9">
        <v>404.05</v>
      </c>
      <c r="Q9" t="str">
        <f>"FARMÁCIA INDIANA LJ 40 (10016)"</f>
        <v>FARMÁCIA INDIANA LJ 40 (10016)</v>
      </c>
      <c r="R9" t="str">
        <f t="shared" si="9"/>
        <v>RECEITAS COM ENTREGAS (303)</v>
      </c>
      <c r="S9">
        <v>780</v>
      </c>
      <c r="T9">
        <v>667</v>
      </c>
      <c r="U9" t="s">
        <v>19</v>
      </c>
    </row>
    <row r="10" spans="1:21">
      <c r="A10" t="str">
        <f t="shared" si="0"/>
        <v>02/01/2025</v>
      </c>
      <c r="B10" t="str">
        <f t="shared" si="10"/>
        <v>ENTRADA</v>
      </c>
      <c r="C10" t="str">
        <f t="shared" si="1"/>
        <v>NFSE</v>
      </c>
      <c r="D10" t="str">
        <f t="shared" si="2"/>
        <v>2582</v>
      </c>
      <c r="E10" t="str">
        <f t="shared" si="3"/>
        <v>COM</v>
      </c>
      <c r="F10" t="str">
        <f t="shared" si="4"/>
        <v>FARMÁCIA INDIANA LJ 1 (10126)</v>
      </c>
      <c r="G10" t="str">
        <f t="shared" si="5"/>
        <v>Serv.Prest. 16/12/2024 a 22/12/2024 - RPS: 357 - NFSe: 2582</v>
      </c>
      <c r="H10" t="str">
        <f t="shared" si="6"/>
        <v>01/01/2025</v>
      </c>
      <c r="I10" t="str">
        <f t="shared" si="7"/>
        <v>23/12/2024</v>
      </c>
      <c r="J10" t="str">
        <f t="shared" si="8"/>
        <v>02/01/2025</v>
      </c>
      <c r="M10">
        <v>303</v>
      </c>
      <c r="N10" t="str">
        <f t="shared" si="11"/>
        <v>RECEITAS COM ENTREGAS</v>
      </c>
      <c r="P10">
        <v>378.95</v>
      </c>
      <c r="Q10" t="str">
        <f>"FARMÁCIA INDIANA LJ 59 (10026)"</f>
        <v>FARMÁCIA INDIANA LJ 59 (10026)</v>
      </c>
      <c r="R10" t="str">
        <f t="shared" si="9"/>
        <v>RECEITAS COM ENTREGAS (303)</v>
      </c>
      <c r="S10">
        <v>780</v>
      </c>
      <c r="T10">
        <v>667</v>
      </c>
      <c r="U10" t="s">
        <v>19</v>
      </c>
    </row>
    <row r="11" spans="1:21">
      <c r="A11" t="str">
        <f t="shared" si="0"/>
        <v>02/01/2025</v>
      </c>
      <c r="B11" t="str">
        <f t="shared" si="10"/>
        <v>ENTRADA</v>
      </c>
      <c r="C11" t="str">
        <f t="shared" si="1"/>
        <v>NFSE</v>
      </c>
      <c r="D11" t="str">
        <f t="shared" si="2"/>
        <v>2582</v>
      </c>
      <c r="E11" t="str">
        <f t="shared" si="3"/>
        <v>COM</v>
      </c>
      <c r="F11" t="str">
        <f t="shared" si="4"/>
        <v>FARMÁCIA INDIANA LJ 1 (10126)</v>
      </c>
      <c r="G11" t="str">
        <f t="shared" si="5"/>
        <v>Serv.Prest. 16/12/2024 a 22/12/2024 - RPS: 357 - NFSe: 2582</v>
      </c>
      <c r="H11" t="str">
        <f t="shared" si="6"/>
        <v>01/01/2025</v>
      </c>
      <c r="I11" t="str">
        <f t="shared" si="7"/>
        <v>23/12/2024</v>
      </c>
      <c r="J11" t="str">
        <f t="shared" si="8"/>
        <v>02/01/2025</v>
      </c>
      <c r="M11">
        <v>303</v>
      </c>
      <c r="N11" t="str">
        <f t="shared" si="11"/>
        <v>RECEITAS COM ENTREGAS</v>
      </c>
      <c r="P11">
        <v>413.62</v>
      </c>
      <c r="Q11" t="str">
        <f>"FARMÁCIA INDIANA LJ 61 (10027)"</f>
        <v>FARMÁCIA INDIANA LJ 61 (10027)</v>
      </c>
      <c r="R11" t="str">
        <f t="shared" si="9"/>
        <v>RECEITAS COM ENTREGAS (303)</v>
      </c>
      <c r="S11">
        <v>780</v>
      </c>
      <c r="T11">
        <v>667</v>
      </c>
      <c r="U11" t="s">
        <v>19</v>
      </c>
    </row>
    <row r="12" spans="1:21">
      <c r="A12" t="str">
        <f t="shared" si="0"/>
        <v>02/01/2025</v>
      </c>
      <c r="B12" t="str">
        <f t="shared" si="10"/>
        <v>ENTRADA</v>
      </c>
      <c r="C12" t="str">
        <f t="shared" si="1"/>
        <v>NFSE</v>
      </c>
      <c r="D12" t="str">
        <f t="shared" si="2"/>
        <v>2582</v>
      </c>
      <c r="E12" t="str">
        <f t="shared" si="3"/>
        <v>COM</v>
      </c>
      <c r="F12" t="str">
        <f t="shared" si="4"/>
        <v>FARMÁCIA INDIANA LJ 1 (10126)</v>
      </c>
      <c r="G12" t="str">
        <f t="shared" si="5"/>
        <v>Serv.Prest. 16/12/2024 a 22/12/2024 - RPS: 357 - NFSe: 2582</v>
      </c>
      <c r="H12" t="str">
        <f t="shared" si="6"/>
        <v>01/01/2025</v>
      </c>
      <c r="I12" t="str">
        <f t="shared" si="7"/>
        <v>23/12/2024</v>
      </c>
      <c r="J12" t="str">
        <f t="shared" si="8"/>
        <v>02/01/2025</v>
      </c>
      <c r="M12">
        <v>303</v>
      </c>
      <c r="N12" t="str">
        <f t="shared" si="11"/>
        <v>RECEITAS COM ENTREGAS</v>
      </c>
      <c r="P12">
        <v>292.88</v>
      </c>
      <c r="Q12" t="str">
        <f>"FARMÁCIA INDIANA LJ 62 (10028)"</f>
        <v>FARMÁCIA INDIANA LJ 62 (10028)</v>
      </c>
      <c r="R12" t="str">
        <f t="shared" si="9"/>
        <v>RECEITAS COM ENTREGAS (303)</v>
      </c>
      <c r="S12">
        <v>780</v>
      </c>
      <c r="T12">
        <v>667</v>
      </c>
      <c r="U12" t="s">
        <v>19</v>
      </c>
    </row>
    <row r="13" spans="1:21">
      <c r="A13" t="str">
        <f t="shared" si="0"/>
        <v>02/01/2025</v>
      </c>
      <c r="B13" t="str">
        <f t="shared" si="10"/>
        <v>ENTRADA</v>
      </c>
      <c r="C13" t="str">
        <f t="shared" si="1"/>
        <v>NFSE</v>
      </c>
      <c r="D13" t="str">
        <f t="shared" si="2"/>
        <v>2582</v>
      </c>
      <c r="E13" t="str">
        <f t="shared" si="3"/>
        <v>COM</v>
      </c>
      <c r="F13" t="str">
        <f t="shared" si="4"/>
        <v>FARMÁCIA INDIANA LJ 1 (10126)</v>
      </c>
      <c r="G13" t="str">
        <f t="shared" si="5"/>
        <v>Serv.Prest. 16/12/2024 a 22/12/2024 - RPS: 357 - NFSe: 2582</v>
      </c>
      <c r="H13" t="str">
        <f t="shared" si="6"/>
        <v>01/01/2025</v>
      </c>
      <c r="I13" t="str">
        <f t="shared" si="7"/>
        <v>23/12/2024</v>
      </c>
      <c r="J13" t="str">
        <f t="shared" si="8"/>
        <v>02/01/2025</v>
      </c>
      <c r="M13">
        <v>303</v>
      </c>
      <c r="N13" t="str">
        <f t="shared" si="11"/>
        <v>RECEITAS COM ENTREGAS</v>
      </c>
      <c r="P13">
        <v>114.76</v>
      </c>
      <c r="Q13" t="str">
        <f>"FARMÁCIA INDIANA LJ 64 (10029)"</f>
        <v>FARMÁCIA INDIANA LJ 64 (10029)</v>
      </c>
      <c r="R13" t="str">
        <f t="shared" si="9"/>
        <v>RECEITAS COM ENTREGAS (303)</v>
      </c>
      <c r="S13">
        <v>780</v>
      </c>
      <c r="T13">
        <v>667</v>
      </c>
      <c r="U13" t="s">
        <v>19</v>
      </c>
    </row>
    <row r="14" spans="1:21">
      <c r="A14" t="str">
        <f t="shared" si="0"/>
        <v>02/01/2025</v>
      </c>
      <c r="B14" t="str">
        <f t="shared" si="10"/>
        <v>ENTRADA</v>
      </c>
      <c r="C14" t="str">
        <f t="shared" si="1"/>
        <v>NFSE</v>
      </c>
      <c r="D14" t="str">
        <f t="shared" si="2"/>
        <v>2582</v>
      </c>
      <c r="E14" t="str">
        <f t="shared" si="3"/>
        <v>COM</v>
      </c>
      <c r="F14" t="str">
        <f t="shared" si="4"/>
        <v>FARMÁCIA INDIANA LJ 1 (10126)</v>
      </c>
      <c r="G14" t="str">
        <f t="shared" si="5"/>
        <v>Serv.Prest. 16/12/2024 a 22/12/2024 - RPS: 357 - NFSe: 2582</v>
      </c>
      <c r="H14" t="str">
        <f t="shared" si="6"/>
        <v>01/01/2025</v>
      </c>
      <c r="I14" t="str">
        <f t="shared" si="7"/>
        <v>23/12/2024</v>
      </c>
      <c r="J14" t="str">
        <f t="shared" si="8"/>
        <v>02/01/2025</v>
      </c>
      <c r="M14">
        <v>303</v>
      </c>
      <c r="N14" t="str">
        <f t="shared" si="11"/>
        <v>RECEITAS COM ENTREGAS</v>
      </c>
      <c r="P14">
        <v>54.99</v>
      </c>
      <c r="Q14" t="str">
        <f>"FARMÁCIA INDIANA LJ 97 (10040)"</f>
        <v>FARMÁCIA INDIANA LJ 97 (10040)</v>
      </c>
      <c r="R14" t="str">
        <f t="shared" si="9"/>
        <v>RECEITAS COM ENTREGAS (303)</v>
      </c>
      <c r="S14">
        <v>780</v>
      </c>
      <c r="T14">
        <v>667</v>
      </c>
      <c r="U14" t="s">
        <v>19</v>
      </c>
    </row>
    <row r="15" spans="1:21">
      <c r="A15" t="str">
        <f t="shared" si="0"/>
        <v>02/01/2025</v>
      </c>
      <c r="B15" t="str">
        <f t="shared" si="10"/>
        <v>ENTRADA</v>
      </c>
      <c r="C15" t="str">
        <f t="shared" si="1"/>
        <v>NFSE</v>
      </c>
      <c r="D15" t="str">
        <f t="shared" si="2"/>
        <v>2582</v>
      </c>
      <c r="E15" t="str">
        <f t="shared" si="3"/>
        <v>COM</v>
      </c>
      <c r="F15" t="str">
        <f t="shared" si="4"/>
        <v>FARMÁCIA INDIANA LJ 1 (10126)</v>
      </c>
      <c r="G15" t="str">
        <f t="shared" si="5"/>
        <v>Serv.Prest. 16/12/2024 a 22/12/2024 - RPS: 357 - NFSe: 2582</v>
      </c>
      <c r="H15" t="str">
        <f t="shared" si="6"/>
        <v>01/01/2025</v>
      </c>
      <c r="I15" t="str">
        <f t="shared" si="7"/>
        <v>23/12/2024</v>
      </c>
      <c r="J15" t="str">
        <f t="shared" si="8"/>
        <v>02/01/2025</v>
      </c>
      <c r="M15">
        <v>303</v>
      </c>
      <c r="N15" t="str">
        <f t="shared" si="11"/>
        <v>RECEITAS COM ENTREGAS</v>
      </c>
      <c r="P15">
        <v>320.37</v>
      </c>
      <c r="Q15" t="str">
        <f>"FARMÁCIA INDIANA LJ 100 (10042)"</f>
        <v>FARMÁCIA INDIANA LJ 100 (10042)</v>
      </c>
      <c r="R15" t="str">
        <f t="shared" si="9"/>
        <v>RECEITAS COM ENTREGAS (303)</v>
      </c>
      <c r="S15">
        <v>780</v>
      </c>
      <c r="T15">
        <v>667</v>
      </c>
      <c r="U15" t="s">
        <v>19</v>
      </c>
    </row>
    <row r="16" spans="1:21">
      <c r="A16" t="str">
        <f t="shared" si="0"/>
        <v>02/01/2025</v>
      </c>
      <c r="B16" t="str">
        <f t="shared" si="10"/>
        <v>ENTRADA</v>
      </c>
      <c r="C16" t="str">
        <f t="shared" si="1"/>
        <v>NFSE</v>
      </c>
      <c r="D16" t="str">
        <f t="shared" si="2"/>
        <v>2582</v>
      </c>
      <c r="E16" t="str">
        <f t="shared" si="3"/>
        <v>COM</v>
      </c>
      <c r="F16" t="str">
        <f t="shared" si="4"/>
        <v>FARMÁCIA INDIANA LJ 1 (10126)</v>
      </c>
      <c r="G16" t="str">
        <f t="shared" si="5"/>
        <v>Serv.Prest. 16/12/2024 a 22/12/2024 - RPS: 357 - NFSe: 2582</v>
      </c>
      <c r="H16" t="str">
        <f t="shared" si="6"/>
        <v>01/01/2025</v>
      </c>
      <c r="I16" t="str">
        <f t="shared" si="7"/>
        <v>23/12/2024</v>
      </c>
      <c r="J16" t="str">
        <f t="shared" si="8"/>
        <v>02/01/2025</v>
      </c>
      <c r="M16">
        <v>303</v>
      </c>
      <c r="N16" t="str">
        <f t="shared" si="11"/>
        <v>RECEITAS COM ENTREGAS</v>
      </c>
      <c r="P16">
        <v>553.48</v>
      </c>
      <c r="Q16" t="str">
        <f>"FARMÁCIA INDIANA LJ 101 (10043)"</f>
        <v>FARMÁCIA INDIANA LJ 101 (10043)</v>
      </c>
      <c r="R16" t="str">
        <f t="shared" si="9"/>
        <v>RECEITAS COM ENTREGAS (303)</v>
      </c>
      <c r="S16">
        <v>780</v>
      </c>
      <c r="T16">
        <v>667</v>
      </c>
      <c r="U16" t="s">
        <v>19</v>
      </c>
    </row>
    <row r="17" spans="1:21">
      <c r="A17" t="str">
        <f t="shared" si="0"/>
        <v>02/01/2025</v>
      </c>
      <c r="B17" t="str">
        <f t="shared" si="10"/>
        <v>ENTRADA</v>
      </c>
      <c r="C17" t="str">
        <f t="shared" si="1"/>
        <v>NFSE</v>
      </c>
      <c r="D17" t="str">
        <f t="shared" si="2"/>
        <v>2582</v>
      </c>
      <c r="E17" t="str">
        <f t="shared" si="3"/>
        <v>COM</v>
      </c>
      <c r="F17" t="str">
        <f t="shared" si="4"/>
        <v>FARMÁCIA INDIANA LJ 1 (10126)</v>
      </c>
      <c r="G17" t="str">
        <f t="shared" si="5"/>
        <v>Serv.Prest. 16/12/2024 a 22/12/2024 - RPS: 357 - NFSe: 2582</v>
      </c>
      <c r="H17" t="str">
        <f t="shared" si="6"/>
        <v>01/01/2025</v>
      </c>
      <c r="I17" t="str">
        <f t="shared" si="7"/>
        <v>23/12/2024</v>
      </c>
      <c r="J17" t="str">
        <f t="shared" si="8"/>
        <v>02/01/2025</v>
      </c>
      <c r="M17">
        <v>303</v>
      </c>
      <c r="N17" t="str">
        <f t="shared" si="11"/>
        <v>RECEITAS COM ENTREGAS</v>
      </c>
      <c r="P17">
        <v>62.16</v>
      </c>
      <c r="Q17" t="str">
        <f>"FARMÁCIA INDIANA LJ 103 (10044)"</f>
        <v>FARMÁCIA INDIANA LJ 103 (10044)</v>
      </c>
      <c r="R17" t="str">
        <f t="shared" si="9"/>
        <v>RECEITAS COM ENTREGAS (303)</v>
      </c>
      <c r="S17">
        <v>780</v>
      </c>
      <c r="T17">
        <v>667</v>
      </c>
      <c r="U17" t="s">
        <v>19</v>
      </c>
    </row>
    <row r="18" spans="1:21">
      <c r="A18" t="str">
        <f t="shared" si="0"/>
        <v>02/01/2025</v>
      </c>
      <c r="B18" t="str">
        <f t="shared" si="10"/>
        <v>ENTRADA</v>
      </c>
      <c r="C18" t="str">
        <f t="shared" si="1"/>
        <v>NFSE</v>
      </c>
      <c r="D18" t="str">
        <f t="shared" si="2"/>
        <v>2582</v>
      </c>
      <c r="E18" t="str">
        <f t="shared" si="3"/>
        <v>COM</v>
      </c>
      <c r="F18" t="str">
        <f t="shared" si="4"/>
        <v>FARMÁCIA INDIANA LJ 1 (10126)</v>
      </c>
      <c r="G18" t="str">
        <f t="shared" si="5"/>
        <v>Serv.Prest. 16/12/2024 a 22/12/2024 - RPS: 357 - NFSe: 2582</v>
      </c>
      <c r="H18" t="str">
        <f t="shared" si="6"/>
        <v>01/01/2025</v>
      </c>
      <c r="I18" t="str">
        <f t="shared" si="7"/>
        <v>23/12/2024</v>
      </c>
      <c r="J18" t="str">
        <f t="shared" si="8"/>
        <v>02/01/2025</v>
      </c>
      <c r="M18">
        <v>303</v>
      </c>
      <c r="N18" t="str">
        <f t="shared" si="11"/>
        <v>RECEITAS COM ENTREGAS</v>
      </c>
      <c r="P18">
        <v>120.74</v>
      </c>
      <c r="Q18" t="str">
        <f>"FARMÁCIA INDIANA LJ 109 (10047)"</f>
        <v>FARMÁCIA INDIANA LJ 109 (10047)</v>
      </c>
      <c r="R18" t="str">
        <f t="shared" si="9"/>
        <v>RECEITAS COM ENTREGAS (303)</v>
      </c>
      <c r="S18">
        <v>780</v>
      </c>
      <c r="T18">
        <v>667</v>
      </c>
      <c r="U18" t="s">
        <v>19</v>
      </c>
    </row>
    <row r="19" spans="1:21">
      <c r="A19" t="str">
        <f t="shared" si="0"/>
        <v>02/01/2025</v>
      </c>
      <c r="B19" t="str">
        <f t="shared" si="10"/>
        <v>ENTRADA</v>
      </c>
      <c r="C19" t="str">
        <f t="shared" si="1"/>
        <v>NFSE</v>
      </c>
      <c r="D19" t="str">
        <f t="shared" si="2"/>
        <v>2582</v>
      </c>
      <c r="E19" t="str">
        <f t="shared" si="3"/>
        <v>COM</v>
      </c>
      <c r="F19" t="str">
        <f t="shared" si="4"/>
        <v>FARMÁCIA INDIANA LJ 1 (10126)</v>
      </c>
      <c r="G19" t="str">
        <f t="shared" si="5"/>
        <v>Serv.Prest. 16/12/2024 a 22/12/2024 - RPS: 357 - NFSe: 2582</v>
      </c>
      <c r="H19" t="str">
        <f t="shared" si="6"/>
        <v>01/01/2025</v>
      </c>
      <c r="I19" t="str">
        <f t="shared" si="7"/>
        <v>23/12/2024</v>
      </c>
      <c r="J19" t="str">
        <f t="shared" si="8"/>
        <v>02/01/2025</v>
      </c>
      <c r="M19">
        <v>303</v>
      </c>
      <c r="N19" t="str">
        <f t="shared" si="11"/>
        <v>RECEITAS COM ENTREGAS</v>
      </c>
      <c r="P19">
        <v>502.08</v>
      </c>
      <c r="Q19" t="str">
        <f>"FARMÁCIA INDIANA LJ 110 (10048)"</f>
        <v>FARMÁCIA INDIANA LJ 110 (10048)</v>
      </c>
      <c r="R19" t="str">
        <f t="shared" si="9"/>
        <v>RECEITAS COM ENTREGAS (303)</v>
      </c>
      <c r="S19">
        <v>780</v>
      </c>
      <c r="T19">
        <v>667</v>
      </c>
      <c r="U19" t="s">
        <v>19</v>
      </c>
    </row>
    <row r="20" spans="1:21">
      <c r="A20" t="str">
        <f t="shared" si="0"/>
        <v>02/01/2025</v>
      </c>
      <c r="B20" t="str">
        <f t="shared" si="10"/>
        <v>ENTRADA</v>
      </c>
      <c r="C20" t="str">
        <f t="shared" si="1"/>
        <v>NFSE</v>
      </c>
      <c r="D20" t="str">
        <f t="shared" si="2"/>
        <v>2582</v>
      </c>
      <c r="E20" t="str">
        <f t="shared" si="3"/>
        <v>COM</v>
      </c>
      <c r="F20" t="str">
        <f t="shared" si="4"/>
        <v>FARMÁCIA INDIANA LJ 1 (10126)</v>
      </c>
      <c r="G20" t="str">
        <f t="shared" si="5"/>
        <v>Serv.Prest. 16/12/2024 a 22/12/2024 - RPS: 357 - NFSe: 2582</v>
      </c>
      <c r="H20" t="str">
        <f t="shared" si="6"/>
        <v>01/01/2025</v>
      </c>
      <c r="I20" t="str">
        <f t="shared" si="7"/>
        <v>23/12/2024</v>
      </c>
      <c r="J20" t="str">
        <f t="shared" si="8"/>
        <v>02/01/2025</v>
      </c>
      <c r="M20">
        <v>303</v>
      </c>
      <c r="N20" t="str">
        <f t="shared" si="11"/>
        <v>RECEITAS COM ENTREGAS</v>
      </c>
      <c r="P20">
        <v>53.79</v>
      </c>
      <c r="Q20" t="str">
        <f>"FARMÁCIA INDIANA LJ 111 (10049)"</f>
        <v>FARMÁCIA INDIANA LJ 111 (10049)</v>
      </c>
      <c r="R20" t="str">
        <f t="shared" si="9"/>
        <v>RECEITAS COM ENTREGAS (303)</v>
      </c>
      <c r="S20">
        <v>780</v>
      </c>
      <c r="T20">
        <v>667</v>
      </c>
      <c r="U20" t="s">
        <v>19</v>
      </c>
    </row>
    <row r="21" spans="1:21">
      <c r="A21" t="str">
        <f t="shared" si="0"/>
        <v>02/01/2025</v>
      </c>
      <c r="B21" t="str">
        <f t="shared" si="10"/>
        <v>ENTRADA</v>
      </c>
      <c r="C21" t="str">
        <f t="shared" si="1"/>
        <v>NFSE</v>
      </c>
      <c r="D21" t="str">
        <f t="shared" si="2"/>
        <v>2582</v>
      </c>
      <c r="E21" t="str">
        <f t="shared" si="3"/>
        <v>COM</v>
      </c>
      <c r="F21" t="str">
        <f t="shared" si="4"/>
        <v>FARMÁCIA INDIANA LJ 1 (10126)</v>
      </c>
      <c r="G21" t="str">
        <f t="shared" si="5"/>
        <v>Serv.Prest. 16/12/2024 a 22/12/2024 - RPS: 357 - NFSe: 2582</v>
      </c>
      <c r="H21" t="str">
        <f t="shared" si="6"/>
        <v>01/01/2025</v>
      </c>
      <c r="I21" t="str">
        <f t="shared" si="7"/>
        <v>23/12/2024</v>
      </c>
      <c r="J21" t="str">
        <f t="shared" si="8"/>
        <v>02/01/2025</v>
      </c>
      <c r="M21">
        <v>303</v>
      </c>
      <c r="N21" t="str">
        <f t="shared" si="11"/>
        <v>RECEITAS COM ENTREGAS</v>
      </c>
      <c r="P21">
        <v>126.71</v>
      </c>
      <c r="Q21" t="str">
        <f>"FARMÁCIA INDIANA LJ 112 (10050)"</f>
        <v>FARMÁCIA INDIANA LJ 112 (10050)</v>
      </c>
      <c r="R21" t="str">
        <f t="shared" si="9"/>
        <v>RECEITAS COM ENTREGAS (303)</v>
      </c>
      <c r="S21">
        <v>780</v>
      </c>
      <c r="T21">
        <v>667</v>
      </c>
      <c r="U21" t="s">
        <v>19</v>
      </c>
    </row>
    <row r="22" spans="1:21">
      <c r="A22" t="str">
        <f t="shared" si="0"/>
        <v>02/01/2025</v>
      </c>
      <c r="B22" t="str">
        <f t="shared" si="10"/>
        <v>ENTRADA</v>
      </c>
      <c r="C22" t="str">
        <f t="shared" si="1"/>
        <v>NFSE</v>
      </c>
      <c r="D22" t="str">
        <f t="shared" si="2"/>
        <v>2582</v>
      </c>
      <c r="E22" t="str">
        <f t="shared" si="3"/>
        <v>COM</v>
      </c>
      <c r="F22" t="str">
        <f t="shared" si="4"/>
        <v>FARMÁCIA INDIANA LJ 1 (10126)</v>
      </c>
      <c r="G22" t="str">
        <f t="shared" si="5"/>
        <v>Serv.Prest. 16/12/2024 a 22/12/2024 - RPS: 357 - NFSe: 2582</v>
      </c>
      <c r="H22" t="str">
        <f t="shared" si="6"/>
        <v>01/01/2025</v>
      </c>
      <c r="I22" t="str">
        <f t="shared" si="7"/>
        <v>23/12/2024</v>
      </c>
      <c r="J22" t="str">
        <f t="shared" si="8"/>
        <v>02/01/2025</v>
      </c>
      <c r="M22">
        <v>303</v>
      </c>
      <c r="N22" t="str">
        <f t="shared" si="11"/>
        <v>RECEITAS COM ENTREGAS</v>
      </c>
      <c r="P22">
        <v>126.71</v>
      </c>
      <c r="Q22" t="str">
        <f>"FARMÁCIA INDIANA LJ 116 (10051)"</f>
        <v>FARMÁCIA INDIANA LJ 116 (10051)</v>
      </c>
      <c r="R22" t="str">
        <f t="shared" si="9"/>
        <v>RECEITAS COM ENTREGAS (303)</v>
      </c>
      <c r="S22">
        <v>780</v>
      </c>
      <c r="T22">
        <v>667</v>
      </c>
      <c r="U22" t="s">
        <v>19</v>
      </c>
    </row>
    <row r="23" spans="1:21">
      <c r="A23" t="str">
        <f t="shared" si="0"/>
        <v>02/01/2025</v>
      </c>
      <c r="B23" t="str">
        <f t="shared" si="10"/>
        <v>ENTRADA</v>
      </c>
      <c r="C23" t="str">
        <f t="shared" si="1"/>
        <v>NFSE</v>
      </c>
      <c r="D23" t="str">
        <f t="shared" si="2"/>
        <v>2582</v>
      </c>
      <c r="E23" t="str">
        <f t="shared" si="3"/>
        <v>COM</v>
      </c>
      <c r="F23" t="str">
        <f t="shared" si="4"/>
        <v>FARMÁCIA INDIANA LJ 1 (10126)</v>
      </c>
      <c r="G23" t="str">
        <f t="shared" si="5"/>
        <v>Serv.Prest. 16/12/2024 a 22/12/2024 - RPS: 357 - NFSe: 2582</v>
      </c>
      <c r="H23" t="str">
        <f t="shared" si="6"/>
        <v>01/01/2025</v>
      </c>
      <c r="I23" t="str">
        <f t="shared" si="7"/>
        <v>23/12/2024</v>
      </c>
      <c r="J23" t="str">
        <f t="shared" si="8"/>
        <v>02/01/2025</v>
      </c>
      <c r="M23">
        <v>303</v>
      </c>
      <c r="N23" t="str">
        <f t="shared" si="11"/>
        <v>RECEITAS COM ENTREGAS</v>
      </c>
      <c r="P23">
        <v>90.85</v>
      </c>
      <c r="Q23" t="str">
        <f>"FARMÁCIA INDIANA LJ 118 (10052)"</f>
        <v>FARMÁCIA INDIANA LJ 118 (10052)</v>
      </c>
      <c r="R23" t="str">
        <f t="shared" si="9"/>
        <v>RECEITAS COM ENTREGAS (303)</v>
      </c>
      <c r="S23">
        <v>780</v>
      </c>
      <c r="T23">
        <v>667</v>
      </c>
      <c r="U23" t="s">
        <v>19</v>
      </c>
    </row>
    <row r="24" spans="1:21">
      <c r="A24" t="str">
        <f t="shared" si="0"/>
        <v>02/01/2025</v>
      </c>
      <c r="B24" t="str">
        <f t="shared" si="10"/>
        <v>ENTRADA</v>
      </c>
      <c r="C24" t="str">
        <f t="shared" si="1"/>
        <v>NFSE</v>
      </c>
      <c r="D24" t="str">
        <f t="shared" si="2"/>
        <v>2582</v>
      </c>
      <c r="E24" t="str">
        <f t="shared" si="3"/>
        <v>COM</v>
      </c>
      <c r="F24" t="str">
        <f t="shared" si="4"/>
        <v>FARMÁCIA INDIANA LJ 1 (10126)</v>
      </c>
      <c r="G24" t="str">
        <f t="shared" si="5"/>
        <v>Serv.Prest. 16/12/2024 a 22/12/2024 - RPS: 357 - NFSe: 2582</v>
      </c>
      <c r="H24" t="str">
        <f t="shared" si="6"/>
        <v>01/01/2025</v>
      </c>
      <c r="I24" t="str">
        <f t="shared" si="7"/>
        <v>23/12/2024</v>
      </c>
      <c r="J24" t="str">
        <f t="shared" si="8"/>
        <v>02/01/2025</v>
      </c>
      <c r="M24">
        <v>303</v>
      </c>
      <c r="N24" t="str">
        <f t="shared" si="11"/>
        <v>RECEITAS COM ENTREGAS</v>
      </c>
      <c r="P24">
        <v>126.71</v>
      </c>
      <c r="Q24" t="str">
        <f>"FARMÁCIA INDIANA LJ 121 (10054)"</f>
        <v>FARMÁCIA INDIANA LJ 121 (10054)</v>
      </c>
      <c r="R24" t="str">
        <f t="shared" si="9"/>
        <v>RECEITAS COM ENTREGAS (303)</v>
      </c>
      <c r="S24">
        <v>780</v>
      </c>
      <c r="T24">
        <v>667</v>
      </c>
      <c r="U24" t="s">
        <v>19</v>
      </c>
    </row>
    <row r="25" spans="1:21">
      <c r="A25" t="str">
        <f t="shared" si="0"/>
        <v>02/01/2025</v>
      </c>
      <c r="B25" t="str">
        <f t="shared" si="10"/>
        <v>ENTRADA</v>
      </c>
      <c r="C25" t="str">
        <f t="shared" si="1"/>
        <v>NFSE</v>
      </c>
      <c r="D25" t="str">
        <f t="shared" si="2"/>
        <v>2582</v>
      </c>
      <c r="E25" t="str">
        <f t="shared" si="3"/>
        <v>COM</v>
      </c>
      <c r="F25" t="str">
        <f t="shared" si="4"/>
        <v>FARMÁCIA INDIANA LJ 1 (10126)</v>
      </c>
      <c r="G25" t="str">
        <f t="shared" si="5"/>
        <v>Serv.Prest. 16/12/2024 a 22/12/2024 - RPS: 357 - NFSe: 2582</v>
      </c>
      <c r="H25" t="str">
        <f t="shared" si="6"/>
        <v>01/01/2025</v>
      </c>
      <c r="I25" t="str">
        <f t="shared" si="7"/>
        <v>23/12/2024</v>
      </c>
      <c r="J25" t="str">
        <f t="shared" si="8"/>
        <v>02/01/2025</v>
      </c>
      <c r="M25">
        <v>303</v>
      </c>
      <c r="N25" t="str">
        <f t="shared" si="11"/>
        <v>RECEITAS COM ENTREGAS</v>
      </c>
      <c r="P25">
        <v>126.71</v>
      </c>
      <c r="Q25" t="str">
        <f>"FARMÁCIA INDIANA LJ 128 (10057)"</f>
        <v>FARMÁCIA INDIANA LJ 128 (10057)</v>
      </c>
      <c r="R25" t="str">
        <f t="shared" si="9"/>
        <v>RECEITAS COM ENTREGAS (303)</v>
      </c>
      <c r="S25">
        <v>780</v>
      </c>
      <c r="T25">
        <v>667</v>
      </c>
      <c r="U25" t="s">
        <v>19</v>
      </c>
    </row>
    <row r="26" spans="1:21">
      <c r="A26" t="str">
        <f t="shared" si="0"/>
        <v>02/01/2025</v>
      </c>
      <c r="B26" t="str">
        <f t="shared" si="10"/>
        <v>ENTRADA</v>
      </c>
      <c r="C26" t="str">
        <f t="shared" si="1"/>
        <v>NFSE</v>
      </c>
      <c r="D26" t="str">
        <f t="shared" si="2"/>
        <v>2582</v>
      </c>
      <c r="E26" t="str">
        <f t="shared" si="3"/>
        <v>COM</v>
      </c>
      <c r="F26" t="str">
        <f t="shared" si="4"/>
        <v>FARMÁCIA INDIANA LJ 1 (10126)</v>
      </c>
      <c r="G26" t="str">
        <f t="shared" si="5"/>
        <v>Serv.Prest. 16/12/2024 a 22/12/2024 - RPS: 357 - NFSe: 2582</v>
      </c>
      <c r="H26" t="str">
        <f t="shared" si="6"/>
        <v>01/01/2025</v>
      </c>
      <c r="I26" t="str">
        <f t="shared" si="7"/>
        <v>23/12/2024</v>
      </c>
      <c r="J26" t="str">
        <f t="shared" si="8"/>
        <v>02/01/2025</v>
      </c>
      <c r="M26">
        <v>303</v>
      </c>
      <c r="N26" t="str">
        <f t="shared" si="11"/>
        <v>RECEITAS COM ENTREGAS</v>
      </c>
      <c r="P26">
        <v>366.99</v>
      </c>
      <c r="Q26" t="str">
        <f>"FARMÁCIA INDIANA LJ 132 (10059)"</f>
        <v>FARMÁCIA INDIANA LJ 132 (10059)</v>
      </c>
      <c r="R26" t="str">
        <f t="shared" si="9"/>
        <v>RECEITAS COM ENTREGAS (303)</v>
      </c>
      <c r="S26">
        <v>780</v>
      </c>
      <c r="T26">
        <v>667</v>
      </c>
      <c r="U26" t="s">
        <v>19</v>
      </c>
    </row>
    <row r="27" spans="1:21">
      <c r="A27" t="str">
        <f t="shared" si="0"/>
        <v>02/01/2025</v>
      </c>
      <c r="B27" t="str">
        <f t="shared" si="10"/>
        <v>ENTRADA</v>
      </c>
      <c r="C27" t="str">
        <f t="shared" si="1"/>
        <v>NFSE</v>
      </c>
      <c r="D27" t="str">
        <f t="shared" si="2"/>
        <v>2582</v>
      </c>
      <c r="E27" t="str">
        <f t="shared" si="3"/>
        <v>COM</v>
      </c>
      <c r="F27" t="str">
        <f t="shared" si="4"/>
        <v>FARMÁCIA INDIANA LJ 1 (10126)</v>
      </c>
      <c r="G27" t="str">
        <f t="shared" si="5"/>
        <v>Serv.Prest. 16/12/2024 a 22/12/2024 - RPS: 357 - NFSe: 2582</v>
      </c>
      <c r="H27" t="str">
        <f t="shared" si="6"/>
        <v>01/01/2025</v>
      </c>
      <c r="I27" t="str">
        <f t="shared" si="7"/>
        <v>23/12/2024</v>
      </c>
      <c r="J27" t="str">
        <f t="shared" si="8"/>
        <v>02/01/2025</v>
      </c>
      <c r="M27">
        <v>303</v>
      </c>
      <c r="N27" t="str">
        <f t="shared" si="11"/>
        <v>RECEITAS COM ENTREGAS</v>
      </c>
      <c r="P27">
        <v>38.25</v>
      </c>
      <c r="Q27" t="str">
        <f>"FARMÁCIA INDIANA LJ 140 (10064)"</f>
        <v>FARMÁCIA INDIANA LJ 140 (10064)</v>
      </c>
      <c r="R27" t="str">
        <f t="shared" si="9"/>
        <v>RECEITAS COM ENTREGAS (303)</v>
      </c>
      <c r="S27">
        <v>780</v>
      </c>
      <c r="T27">
        <v>667</v>
      </c>
      <c r="U27" t="s">
        <v>19</v>
      </c>
    </row>
    <row r="28" spans="1:21">
      <c r="A28" t="str">
        <f t="shared" si="0"/>
        <v>02/01/2025</v>
      </c>
      <c r="B28" t="str">
        <f t="shared" si="10"/>
        <v>ENTRADA</v>
      </c>
      <c r="C28" t="str">
        <f t="shared" si="1"/>
        <v>NFSE</v>
      </c>
      <c r="D28" t="str">
        <f t="shared" si="2"/>
        <v>2582</v>
      </c>
      <c r="E28" t="str">
        <f t="shared" si="3"/>
        <v>COM</v>
      </c>
      <c r="F28" t="str">
        <f t="shared" si="4"/>
        <v>FARMÁCIA INDIANA LJ 1 (10126)</v>
      </c>
      <c r="G28" t="str">
        <f t="shared" si="5"/>
        <v>Serv.Prest. 16/12/2024 a 22/12/2024 - RPS: 357 - NFSe: 2582</v>
      </c>
      <c r="H28" t="str">
        <f t="shared" si="6"/>
        <v>01/01/2025</v>
      </c>
      <c r="I28" t="str">
        <f t="shared" si="7"/>
        <v>23/12/2024</v>
      </c>
      <c r="J28" t="str">
        <f t="shared" si="8"/>
        <v>02/01/2025</v>
      </c>
      <c r="M28">
        <v>303</v>
      </c>
      <c r="N28" t="str">
        <f t="shared" si="11"/>
        <v>RECEITAS COM ENTREGAS</v>
      </c>
      <c r="P28">
        <v>20.32</v>
      </c>
      <c r="Q28" t="str">
        <f>"FARMÁCIA INDIANA LJ 141 (10065)"</f>
        <v>FARMÁCIA INDIANA LJ 141 (10065)</v>
      </c>
      <c r="R28" t="str">
        <f t="shared" si="9"/>
        <v>RECEITAS COM ENTREGAS (303)</v>
      </c>
      <c r="S28">
        <v>780</v>
      </c>
      <c r="T28">
        <v>667</v>
      </c>
      <c r="U28" t="s">
        <v>19</v>
      </c>
    </row>
    <row r="29" spans="1:21">
      <c r="A29" t="str">
        <f t="shared" si="0"/>
        <v>02/01/2025</v>
      </c>
      <c r="B29" t="str">
        <f t="shared" si="10"/>
        <v>ENTRADA</v>
      </c>
      <c r="C29" t="str">
        <f t="shared" si="1"/>
        <v>NFSE</v>
      </c>
      <c r="D29" t="str">
        <f t="shared" si="2"/>
        <v>2582</v>
      </c>
      <c r="E29" t="str">
        <f t="shared" si="3"/>
        <v>COM</v>
      </c>
      <c r="F29" t="str">
        <f t="shared" si="4"/>
        <v>FARMÁCIA INDIANA LJ 1 (10126)</v>
      </c>
      <c r="G29" t="str">
        <f t="shared" si="5"/>
        <v>Serv.Prest. 16/12/2024 a 22/12/2024 - RPS: 357 - NFSe: 2582</v>
      </c>
      <c r="H29" t="str">
        <f t="shared" si="6"/>
        <v>01/01/2025</v>
      </c>
      <c r="I29" t="str">
        <f t="shared" si="7"/>
        <v>23/12/2024</v>
      </c>
      <c r="J29" t="str">
        <f t="shared" si="8"/>
        <v>02/01/2025</v>
      </c>
      <c r="M29">
        <v>303</v>
      </c>
      <c r="N29" t="str">
        <f t="shared" si="11"/>
        <v>RECEITAS COM ENTREGAS</v>
      </c>
      <c r="P29">
        <v>472.19</v>
      </c>
      <c r="Q29" t="str">
        <f>"FARMÁCIA INDIANA LJ 142 (10066)"</f>
        <v>FARMÁCIA INDIANA LJ 142 (10066)</v>
      </c>
      <c r="R29" t="str">
        <f t="shared" si="9"/>
        <v>RECEITAS COM ENTREGAS (303)</v>
      </c>
      <c r="S29">
        <v>780</v>
      </c>
      <c r="T29">
        <v>667</v>
      </c>
      <c r="U29" t="s">
        <v>19</v>
      </c>
    </row>
    <row r="30" spans="1:21">
      <c r="A30" t="str">
        <f t="shared" si="0"/>
        <v>02/01/2025</v>
      </c>
      <c r="B30" t="str">
        <f t="shared" si="10"/>
        <v>ENTRADA</v>
      </c>
      <c r="C30" t="str">
        <f t="shared" si="1"/>
        <v>NFSE</v>
      </c>
      <c r="D30" t="str">
        <f t="shared" si="2"/>
        <v>2582</v>
      </c>
      <c r="E30" t="str">
        <f t="shared" si="3"/>
        <v>COM</v>
      </c>
      <c r="F30" t="str">
        <f t="shared" si="4"/>
        <v>FARMÁCIA INDIANA LJ 1 (10126)</v>
      </c>
      <c r="G30" t="str">
        <f t="shared" si="5"/>
        <v>Serv.Prest. 16/12/2024 a 22/12/2024 - RPS: 357 - NFSe: 2582</v>
      </c>
      <c r="H30" t="str">
        <f t="shared" si="6"/>
        <v>01/01/2025</v>
      </c>
      <c r="I30" t="str">
        <f t="shared" si="7"/>
        <v>23/12/2024</v>
      </c>
      <c r="J30" t="str">
        <f t="shared" si="8"/>
        <v>02/01/2025</v>
      </c>
      <c r="M30">
        <v>303</v>
      </c>
      <c r="N30" t="str">
        <f t="shared" si="11"/>
        <v>RECEITAS COM ENTREGAS</v>
      </c>
      <c r="P30">
        <v>54.99</v>
      </c>
      <c r="Q30" t="str">
        <f>"FARMÁCIA INDIANA LJ 143 (10067)"</f>
        <v>FARMÁCIA INDIANA LJ 143 (10067)</v>
      </c>
      <c r="R30" t="str">
        <f t="shared" si="9"/>
        <v>RECEITAS COM ENTREGAS (303)</v>
      </c>
      <c r="S30">
        <v>780</v>
      </c>
      <c r="T30">
        <v>667</v>
      </c>
      <c r="U30" t="s">
        <v>19</v>
      </c>
    </row>
    <row r="31" spans="1:21">
      <c r="A31" t="str">
        <f t="shared" si="0"/>
        <v>02/01/2025</v>
      </c>
      <c r="B31" t="str">
        <f t="shared" si="10"/>
        <v>ENTRADA</v>
      </c>
      <c r="C31" t="str">
        <f t="shared" si="1"/>
        <v>NFSE</v>
      </c>
      <c r="D31" t="str">
        <f t="shared" si="2"/>
        <v>2582</v>
      </c>
      <c r="E31" t="str">
        <f t="shared" si="3"/>
        <v>COM</v>
      </c>
      <c r="F31" t="str">
        <f t="shared" si="4"/>
        <v>FARMÁCIA INDIANA LJ 1 (10126)</v>
      </c>
      <c r="G31" t="str">
        <f t="shared" si="5"/>
        <v>Serv.Prest. 16/12/2024 a 22/12/2024 - RPS: 357 - NFSe: 2582</v>
      </c>
      <c r="H31" t="str">
        <f t="shared" si="6"/>
        <v>01/01/2025</v>
      </c>
      <c r="I31" t="str">
        <f t="shared" si="7"/>
        <v>23/12/2024</v>
      </c>
      <c r="J31" t="str">
        <f t="shared" si="8"/>
        <v>02/01/2025</v>
      </c>
      <c r="M31">
        <v>303</v>
      </c>
      <c r="N31" t="str">
        <f t="shared" si="11"/>
        <v>RECEITAS COM ENTREGAS</v>
      </c>
      <c r="P31">
        <v>153.01</v>
      </c>
      <c r="Q31" t="str">
        <f>"FARMÁCIA INDIANA LJ 152 (10069)"</f>
        <v>FARMÁCIA INDIANA LJ 152 (10069)</v>
      </c>
      <c r="R31" t="str">
        <f t="shared" si="9"/>
        <v>RECEITAS COM ENTREGAS (303)</v>
      </c>
      <c r="S31">
        <v>780</v>
      </c>
      <c r="T31">
        <v>667</v>
      </c>
      <c r="U31" t="s">
        <v>19</v>
      </c>
    </row>
    <row r="32" spans="1:21">
      <c r="A32" t="str">
        <f t="shared" si="0"/>
        <v>02/01/2025</v>
      </c>
      <c r="B32" t="str">
        <f t="shared" si="10"/>
        <v>ENTRADA</v>
      </c>
      <c r="C32" t="str">
        <f t="shared" si="1"/>
        <v>NFSE</v>
      </c>
      <c r="D32" t="str">
        <f t="shared" si="2"/>
        <v>2582</v>
      </c>
      <c r="E32" t="str">
        <f t="shared" si="3"/>
        <v>COM</v>
      </c>
      <c r="F32" t="str">
        <f t="shared" si="4"/>
        <v>FARMÁCIA INDIANA LJ 1 (10126)</v>
      </c>
      <c r="G32" t="str">
        <f t="shared" si="5"/>
        <v>Serv.Prest. 16/12/2024 a 22/12/2024 - RPS: 357 - NFSe: 2582</v>
      </c>
      <c r="H32" t="str">
        <f t="shared" si="6"/>
        <v>01/01/2025</v>
      </c>
      <c r="I32" t="str">
        <f t="shared" si="7"/>
        <v>23/12/2024</v>
      </c>
      <c r="J32" t="str">
        <f t="shared" si="8"/>
        <v>02/01/2025</v>
      </c>
      <c r="M32">
        <v>303</v>
      </c>
      <c r="N32" t="str">
        <f t="shared" si="11"/>
        <v>RECEITAS COM ENTREGAS</v>
      </c>
      <c r="P32">
        <v>39.450000000000003</v>
      </c>
      <c r="Q32" t="str">
        <f>"FARMÁCIA INDIANA LJ 154 (10070)"</f>
        <v>FARMÁCIA INDIANA LJ 154 (10070)</v>
      </c>
      <c r="R32" t="str">
        <f t="shared" si="9"/>
        <v>RECEITAS COM ENTREGAS (303)</v>
      </c>
      <c r="S32">
        <v>780</v>
      </c>
      <c r="T32">
        <v>667</v>
      </c>
      <c r="U32" t="s">
        <v>19</v>
      </c>
    </row>
    <row r="33" spans="1:21">
      <c r="A33" t="str">
        <f t="shared" si="0"/>
        <v>02/01/2025</v>
      </c>
      <c r="B33" t="str">
        <f t="shared" si="10"/>
        <v>ENTRADA</v>
      </c>
      <c r="C33" t="str">
        <f t="shared" si="1"/>
        <v>NFSE</v>
      </c>
      <c r="D33" t="str">
        <f t="shared" si="2"/>
        <v>2582</v>
      </c>
      <c r="E33" t="str">
        <f t="shared" si="3"/>
        <v>COM</v>
      </c>
      <c r="F33" t="str">
        <f t="shared" si="4"/>
        <v>FARMÁCIA INDIANA LJ 1 (10126)</v>
      </c>
      <c r="G33" t="str">
        <f t="shared" si="5"/>
        <v>Serv.Prest. 16/12/2024 a 22/12/2024 - RPS: 357 - NFSe: 2582</v>
      </c>
      <c r="H33" t="str">
        <f t="shared" si="6"/>
        <v>01/01/2025</v>
      </c>
      <c r="I33" t="str">
        <f t="shared" si="7"/>
        <v>23/12/2024</v>
      </c>
      <c r="J33" t="str">
        <f t="shared" si="8"/>
        <v>02/01/2025</v>
      </c>
      <c r="M33">
        <v>303</v>
      </c>
      <c r="N33" t="str">
        <f t="shared" si="11"/>
        <v>RECEITAS COM ENTREGAS</v>
      </c>
      <c r="P33">
        <v>320.37</v>
      </c>
      <c r="Q33" t="str">
        <f>"FARMÁCIA INDIANA LJ 171 (10074)"</f>
        <v>FARMÁCIA INDIANA LJ 171 (10074)</v>
      </c>
      <c r="R33" t="str">
        <f t="shared" si="9"/>
        <v>RECEITAS COM ENTREGAS (303)</v>
      </c>
      <c r="S33">
        <v>780</v>
      </c>
      <c r="T33">
        <v>667</v>
      </c>
      <c r="U33" t="s">
        <v>19</v>
      </c>
    </row>
    <row r="34" spans="1:21">
      <c r="A34" t="str">
        <f t="shared" ref="A34:A70" si="12">("02/01/2025")</f>
        <v>02/01/2025</v>
      </c>
      <c r="B34" t="str">
        <f t="shared" si="10"/>
        <v>ENTRADA</v>
      </c>
      <c r="C34" t="str">
        <f t="shared" ref="C34:C69" si="13">"NFSE"</f>
        <v>NFSE</v>
      </c>
      <c r="D34" t="str">
        <f t="shared" si="2"/>
        <v>2582</v>
      </c>
      <c r="E34" t="str">
        <f t="shared" ref="E34:E69" si="14">"COM"</f>
        <v>COM</v>
      </c>
      <c r="F34" t="str">
        <f t="shared" si="4"/>
        <v>FARMÁCIA INDIANA LJ 1 (10126)</v>
      </c>
      <c r="G34" t="str">
        <f t="shared" si="5"/>
        <v>Serv.Prest. 16/12/2024 a 22/12/2024 - RPS: 357 - NFSe: 2582</v>
      </c>
      <c r="H34" t="str">
        <f t="shared" ref="H34:H65" si="15">("01/01/2025")</f>
        <v>01/01/2025</v>
      </c>
      <c r="I34" t="str">
        <f t="shared" ref="I34:I63" si="16">("23/12/2024")</f>
        <v>23/12/2024</v>
      </c>
      <c r="J34" t="str">
        <f t="shared" ref="J34:J70" si="17">("02/01/2025")</f>
        <v>02/01/2025</v>
      </c>
      <c r="M34">
        <v>303</v>
      </c>
      <c r="N34" t="str">
        <f t="shared" ref="N34:N69" si="18">"RECEITAS COM ENTREGAS"</f>
        <v>RECEITAS COM ENTREGAS</v>
      </c>
      <c r="P34">
        <v>131.5</v>
      </c>
      <c r="Q34" t="str">
        <f>"FARMÁCIA INDIANA LJ 175 (10076)"</f>
        <v>FARMÁCIA INDIANA LJ 175 (10076)</v>
      </c>
      <c r="R34" t="str">
        <f t="shared" ref="R34:R69" si="19">"RECEITAS COM ENTREGAS (303)"</f>
        <v>RECEITAS COM ENTREGAS (303)</v>
      </c>
      <c r="S34">
        <v>780</v>
      </c>
      <c r="T34">
        <v>667</v>
      </c>
      <c r="U34" t="s">
        <v>19</v>
      </c>
    </row>
    <row r="35" spans="1:21">
      <c r="A35" t="str">
        <f t="shared" si="12"/>
        <v>02/01/2025</v>
      </c>
      <c r="B35" t="str">
        <f t="shared" si="10"/>
        <v>ENTRADA</v>
      </c>
      <c r="C35" t="str">
        <f t="shared" si="13"/>
        <v>NFSE</v>
      </c>
      <c r="D35" t="str">
        <f t="shared" si="2"/>
        <v>2582</v>
      </c>
      <c r="E35" t="str">
        <f t="shared" si="14"/>
        <v>COM</v>
      </c>
      <c r="F35" t="str">
        <f t="shared" si="4"/>
        <v>FARMÁCIA INDIANA LJ 1 (10126)</v>
      </c>
      <c r="G35" t="str">
        <f t="shared" si="5"/>
        <v>Serv.Prest. 16/12/2024 a 22/12/2024 - RPS: 357 - NFSe: 2582</v>
      </c>
      <c r="H35" t="str">
        <f t="shared" si="15"/>
        <v>01/01/2025</v>
      </c>
      <c r="I35" t="str">
        <f t="shared" si="16"/>
        <v>23/12/2024</v>
      </c>
      <c r="J35" t="str">
        <f t="shared" si="17"/>
        <v>02/01/2025</v>
      </c>
      <c r="M35">
        <v>303</v>
      </c>
      <c r="N35" t="str">
        <f t="shared" si="18"/>
        <v>RECEITAS COM ENTREGAS</v>
      </c>
      <c r="P35">
        <v>137.47</v>
      </c>
      <c r="Q35" t="str">
        <f>"FARMÁCIA INDIANA LJ 178 (10077)"</f>
        <v>FARMÁCIA INDIANA LJ 178 (10077)</v>
      </c>
      <c r="R35" t="str">
        <f t="shared" si="19"/>
        <v>RECEITAS COM ENTREGAS (303)</v>
      </c>
      <c r="S35">
        <v>780</v>
      </c>
      <c r="T35">
        <v>667</v>
      </c>
      <c r="U35" t="s">
        <v>19</v>
      </c>
    </row>
    <row r="36" spans="1:21">
      <c r="A36" t="str">
        <f t="shared" si="12"/>
        <v>02/01/2025</v>
      </c>
      <c r="B36" t="str">
        <f t="shared" si="10"/>
        <v>ENTRADA</v>
      </c>
      <c r="C36" t="str">
        <f t="shared" si="13"/>
        <v>NFSE</v>
      </c>
      <c r="D36" t="str">
        <f t="shared" si="2"/>
        <v>2582</v>
      </c>
      <c r="E36" t="str">
        <f t="shared" si="14"/>
        <v>COM</v>
      </c>
      <c r="F36" t="str">
        <f t="shared" si="4"/>
        <v>FARMÁCIA INDIANA LJ 1 (10126)</v>
      </c>
      <c r="G36" t="str">
        <f t="shared" si="5"/>
        <v>Serv.Prest. 16/12/2024 a 22/12/2024 - RPS: 357 - NFSe: 2582</v>
      </c>
      <c r="H36" t="str">
        <f t="shared" si="15"/>
        <v>01/01/2025</v>
      </c>
      <c r="I36" t="str">
        <f t="shared" si="16"/>
        <v>23/12/2024</v>
      </c>
      <c r="J36" t="str">
        <f t="shared" si="17"/>
        <v>02/01/2025</v>
      </c>
      <c r="M36">
        <v>303</v>
      </c>
      <c r="N36" t="str">
        <f t="shared" si="18"/>
        <v>RECEITAS COM ENTREGAS</v>
      </c>
      <c r="P36">
        <v>80.09</v>
      </c>
      <c r="Q36" t="str">
        <f>"FARMÁCIA INDIANA LJ 182 (10079)"</f>
        <v>FARMÁCIA INDIANA LJ 182 (10079)</v>
      </c>
      <c r="R36" t="str">
        <f t="shared" si="19"/>
        <v>RECEITAS COM ENTREGAS (303)</v>
      </c>
      <c r="S36">
        <v>780</v>
      </c>
      <c r="T36">
        <v>667</v>
      </c>
      <c r="U36" t="s">
        <v>19</v>
      </c>
    </row>
    <row r="37" spans="1:21">
      <c r="A37" t="str">
        <f t="shared" si="12"/>
        <v>02/01/2025</v>
      </c>
      <c r="B37" t="str">
        <f t="shared" si="10"/>
        <v>ENTRADA</v>
      </c>
      <c r="C37" t="str">
        <f t="shared" si="13"/>
        <v>NFSE</v>
      </c>
      <c r="D37" t="str">
        <f t="shared" si="2"/>
        <v>2582</v>
      </c>
      <c r="E37" t="str">
        <f t="shared" si="14"/>
        <v>COM</v>
      </c>
      <c r="F37" t="str">
        <f t="shared" si="4"/>
        <v>FARMÁCIA INDIANA LJ 1 (10126)</v>
      </c>
      <c r="G37" t="str">
        <f t="shared" si="5"/>
        <v>Serv.Prest. 16/12/2024 a 22/12/2024 - RPS: 357 - NFSe: 2582</v>
      </c>
      <c r="H37" t="str">
        <f t="shared" si="15"/>
        <v>01/01/2025</v>
      </c>
      <c r="I37" t="str">
        <f t="shared" si="16"/>
        <v>23/12/2024</v>
      </c>
      <c r="J37" t="str">
        <f t="shared" si="17"/>
        <v>02/01/2025</v>
      </c>
      <c r="M37">
        <v>303</v>
      </c>
      <c r="N37" t="str">
        <f t="shared" si="18"/>
        <v>RECEITAS COM ENTREGAS</v>
      </c>
      <c r="P37">
        <v>39.450000000000003</v>
      </c>
      <c r="Q37" t="str">
        <f>"FARMÁCIA INDIANA LJ 184 (10080)"</f>
        <v>FARMÁCIA INDIANA LJ 184 (10080)</v>
      </c>
      <c r="R37" t="str">
        <f t="shared" si="19"/>
        <v>RECEITAS COM ENTREGAS (303)</v>
      </c>
      <c r="S37">
        <v>780</v>
      </c>
      <c r="T37">
        <v>667</v>
      </c>
      <c r="U37" t="s">
        <v>19</v>
      </c>
    </row>
    <row r="38" spans="1:21">
      <c r="A38" t="str">
        <f t="shared" si="12"/>
        <v>02/01/2025</v>
      </c>
      <c r="B38" t="str">
        <f t="shared" si="10"/>
        <v>ENTRADA</v>
      </c>
      <c r="C38" t="str">
        <f t="shared" si="13"/>
        <v>NFSE</v>
      </c>
      <c r="D38" t="str">
        <f t="shared" si="2"/>
        <v>2582</v>
      </c>
      <c r="E38" t="str">
        <f t="shared" si="14"/>
        <v>COM</v>
      </c>
      <c r="F38" t="str">
        <f t="shared" si="4"/>
        <v>FARMÁCIA INDIANA LJ 1 (10126)</v>
      </c>
      <c r="G38" t="str">
        <f t="shared" si="5"/>
        <v>Serv.Prest. 16/12/2024 a 22/12/2024 - RPS: 357 - NFSe: 2582</v>
      </c>
      <c r="H38" t="str">
        <f t="shared" si="15"/>
        <v>01/01/2025</v>
      </c>
      <c r="I38" t="str">
        <f t="shared" si="16"/>
        <v>23/12/2024</v>
      </c>
      <c r="J38" t="str">
        <f t="shared" si="17"/>
        <v>02/01/2025</v>
      </c>
      <c r="M38">
        <v>303</v>
      </c>
      <c r="N38" t="str">
        <f t="shared" si="18"/>
        <v>RECEITAS COM ENTREGAS</v>
      </c>
      <c r="P38">
        <v>80.09</v>
      </c>
      <c r="Q38" t="str">
        <f>"FARMÁCIA INDIANA LJ 186 (10081)"</f>
        <v>FARMÁCIA INDIANA LJ 186 (10081)</v>
      </c>
      <c r="R38" t="str">
        <f t="shared" si="19"/>
        <v>RECEITAS COM ENTREGAS (303)</v>
      </c>
      <c r="S38">
        <v>780</v>
      </c>
      <c r="T38">
        <v>667</v>
      </c>
      <c r="U38" t="s">
        <v>19</v>
      </c>
    </row>
    <row r="39" spans="1:21">
      <c r="A39" t="str">
        <f t="shared" si="12"/>
        <v>02/01/2025</v>
      </c>
      <c r="B39" t="str">
        <f t="shared" si="10"/>
        <v>ENTRADA</v>
      </c>
      <c r="C39" t="str">
        <f t="shared" si="13"/>
        <v>NFSE</v>
      </c>
      <c r="D39" t="str">
        <f t="shared" si="2"/>
        <v>2582</v>
      </c>
      <c r="E39" t="str">
        <f t="shared" si="14"/>
        <v>COM</v>
      </c>
      <c r="F39" t="str">
        <f t="shared" si="4"/>
        <v>FARMÁCIA INDIANA LJ 1 (10126)</v>
      </c>
      <c r="G39" t="str">
        <f t="shared" si="5"/>
        <v>Serv.Prest. 16/12/2024 a 22/12/2024 - RPS: 357 - NFSe: 2582</v>
      </c>
      <c r="H39" t="str">
        <f t="shared" si="15"/>
        <v>01/01/2025</v>
      </c>
      <c r="I39" t="str">
        <f t="shared" si="16"/>
        <v>23/12/2024</v>
      </c>
      <c r="J39" t="str">
        <f t="shared" si="17"/>
        <v>02/01/2025</v>
      </c>
      <c r="M39">
        <v>303</v>
      </c>
      <c r="N39" t="str">
        <f t="shared" si="18"/>
        <v>RECEITAS COM ENTREGAS</v>
      </c>
      <c r="P39">
        <v>58.58</v>
      </c>
      <c r="Q39" t="str">
        <f>"FARMÁCIA INDIANA LJ 192 (10082)"</f>
        <v>FARMÁCIA INDIANA LJ 192 (10082)</v>
      </c>
      <c r="R39" t="str">
        <f t="shared" si="19"/>
        <v>RECEITAS COM ENTREGAS (303)</v>
      </c>
      <c r="S39">
        <v>780</v>
      </c>
      <c r="T39">
        <v>667</v>
      </c>
      <c r="U39" t="s">
        <v>19</v>
      </c>
    </row>
    <row r="40" spans="1:21">
      <c r="A40" t="str">
        <f t="shared" si="12"/>
        <v>02/01/2025</v>
      </c>
      <c r="B40" t="str">
        <f t="shared" si="10"/>
        <v>ENTRADA</v>
      </c>
      <c r="C40" t="str">
        <f t="shared" si="13"/>
        <v>NFSE</v>
      </c>
      <c r="D40" t="str">
        <f t="shared" si="2"/>
        <v>2582</v>
      </c>
      <c r="E40" t="str">
        <f t="shared" si="14"/>
        <v>COM</v>
      </c>
      <c r="F40" t="str">
        <f t="shared" si="4"/>
        <v>FARMÁCIA INDIANA LJ 1 (10126)</v>
      </c>
      <c r="G40" t="str">
        <f t="shared" si="5"/>
        <v>Serv.Prest. 16/12/2024 a 22/12/2024 - RPS: 357 - NFSe: 2582</v>
      </c>
      <c r="H40" t="str">
        <f t="shared" si="15"/>
        <v>01/01/2025</v>
      </c>
      <c r="I40" t="str">
        <f t="shared" si="16"/>
        <v>23/12/2024</v>
      </c>
      <c r="J40" t="str">
        <f t="shared" si="17"/>
        <v>02/01/2025</v>
      </c>
      <c r="M40">
        <v>303</v>
      </c>
      <c r="N40" t="str">
        <f t="shared" si="18"/>
        <v>RECEITAS COM ENTREGAS</v>
      </c>
      <c r="P40">
        <v>39.450000000000003</v>
      </c>
      <c r="Q40" t="str">
        <f>"FARMÁCIA INDIANA LJ 195 (10083)"</f>
        <v>FARMÁCIA INDIANA LJ 195 (10083)</v>
      </c>
      <c r="R40" t="str">
        <f t="shared" si="19"/>
        <v>RECEITAS COM ENTREGAS (303)</v>
      </c>
      <c r="S40">
        <v>780</v>
      </c>
      <c r="T40">
        <v>667</v>
      </c>
      <c r="U40" t="s">
        <v>19</v>
      </c>
    </row>
    <row r="41" spans="1:21">
      <c r="A41" t="str">
        <f t="shared" si="12"/>
        <v>02/01/2025</v>
      </c>
      <c r="B41" t="str">
        <f t="shared" si="10"/>
        <v>ENTRADA</v>
      </c>
      <c r="C41" t="str">
        <f t="shared" si="13"/>
        <v>NFSE</v>
      </c>
      <c r="D41" t="str">
        <f t="shared" si="2"/>
        <v>2582</v>
      </c>
      <c r="E41" t="str">
        <f t="shared" si="14"/>
        <v>COM</v>
      </c>
      <c r="F41" t="str">
        <f t="shared" si="4"/>
        <v>FARMÁCIA INDIANA LJ 1 (10126)</v>
      </c>
      <c r="G41" t="str">
        <f t="shared" si="5"/>
        <v>Serv.Prest. 16/12/2024 a 22/12/2024 - RPS: 357 - NFSe: 2582</v>
      </c>
      <c r="H41" t="str">
        <f t="shared" si="15"/>
        <v>01/01/2025</v>
      </c>
      <c r="I41" t="str">
        <f t="shared" si="16"/>
        <v>23/12/2024</v>
      </c>
      <c r="J41" t="str">
        <f t="shared" si="17"/>
        <v>02/01/2025</v>
      </c>
      <c r="M41">
        <v>303</v>
      </c>
      <c r="N41" t="str">
        <f t="shared" si="18"/>
        <v>RECEITAS COM ENTREGAS</v>
      </c>
      <c r="P41">
        <v>478.17</v>
      </c>
      <c r="Q41" t="str">
        <f>"FARMÁCIA INDIANA LJ 202 (10085)"</f>
        <v>FARMÁCIA INDIANA LJ 202 (10085)</v>
      </c>
      <c r="R41" t="str">
        <f t="shared" si="19"/>
        <v>RECEITAS COM ENTREGAS (303)</v>
      </c>
      <c r="S41">
        <v>780</v>
      </c>
      <c r="T41">
        <v>667</v>
      </c>
      <c r="U41" t="s">
        <v>19</v>
      </c>
    </row>
    <row r="42" spans="1:21">
      <c r="A42" t="str">
        <f t="shared" si="12"/>
        <v>02/01/2025</v>
      </c>
      <c r="B42" t="str">
        <f t="shared" si="10"/>
        <v>ENTRADA</v>
      </c>
      <c r="C42" t="str">
        <f t="shared" si="13"/>
        <v>NFSE</v>
      </c>
      <c r="D42" t="str">
        <f t="shared" si="2"/>
        <v>2582</v>
      </c>
      <c r="E42" t="str">
        <f t="shared" si="14"/>
        <v>COM</v>
      </c>
      <c r="F42" t="str">
        <f t="shared" si="4"/>
        <v>FARMÁCIA INDIANA LJ 1 (10126)</v>
      </c>
      <c r="G42" t="str">
        <f t="shared" si="5"/>
        <v>Serv.Prest. 16/12/2024 a 22/12/2024 - RPS: 357 - NFSe: 2582</v>
      </c>
      <c r="H42" t="str">
        <f t="shared" si="15"/>
        <v>01/01/2025</v>
      </c>
      <c r="I42" t="str">
        <f t="shared" si="16"/>
        <v>23/12/2024</v>
      </c>
      <c r="J42" t="str">
        <f t="shared" si="17"/>
        <v>02/01/2025</v>
      </c>
      <c r="M42">
        <v>303</v>
      </c>
      <c r="N42" t="str">
        <f t="shared" si="18"/>
        <v>RECEITAS COM ENTREGAS</v>
      </c>
      <c r="P42">
        <v>106.39</v>
      </c>
      <c r="Q42" t="str">
        <f>"FARMÁCIA INDIANA LJ 204 (10087)"</f>
        <v>FARMÁCIA INDIANA LJ 204 (10087)</v>
      </c>
      <c r="R42" t="str">
        <f t="shared" si="19"/>
        <v>RECEITAS COM ENTREGAS (303)</v>
      </c>
      <c r="S42">
        <v>780</v>
      </c>
      <c r="T42">
        <v>667</v>
      </c>
      <c r="U42" t="s">
        <v>19</v>
      </c>
    </row>
    <row r="43" spans="1:21">
      <c r="A43" t="str">
        <f t="shared" si="12"/>
        <v>02/01/2025</v>
      </c>
      <c r="B43" t="str">
        <f t="shared" si="10"/>
        <v>ENTRADA</v>
      </c>
      <c r="C43" t="str">
        <f t="shared" si="13"/>
        <v>NFSE</v>
      </c>
      <c r="D43" t="str">
        <f t="shared" si="2"/>
        <v>2582</v>
      </c>
      <c r="E43" t="str">
        <f t="shared" si="14"/>
        <v>COM</v>
      </c>
      <c r="F43" t="str">
        <f t="shared" si="4"/>
        <v>FARMÁCIA INDIANA LJ 1 (10126)</v>
      </c>
      <c r="G43" t="str">
        <f t="shared" si="5"/>
        <v>Serv.Prest. 16/12/2024 a 22/12/2024 - RPS: 357 - NFSe: 2582</v>
      </c>
      <c r="H43" t="str">
        <f t="shared" si="15"/>
        <v>01/01/2025</v>
      </c>
      <c r="I43" t="str">
        <f t="shared" si="16"/>
        <v>23/12/2024</v>
      </c>
      <c r="J43" t="str">
        <f t="shared" si="17"/>
        <v>02/01/2025</v>
      </c>
      <c r="M43">
        <v>303</v>
      </c>
      <c r="N43" t="str">
        <f t="shared" si="18"/>
        <v>RECEITAS COM ENTREGAS</v>
      </c>
      <c r="P43">
        <v>96.83</v>
      </c>
      <c r="Q43" t="str">
        <f>"FARMÁCIA INDIANA LJ 207 (10088)"</f>
        <v>FARMÁCIA INDIANA LJ 207 (10088)</v>
      </c>
      <c r="R43" t="str">
        <f t="shared" si="19"/>
        <v>RECEITAS COM ENTREGAS (303)</v>
      </c>
      <c r="S43">
        <v>780</v>
      </c>
      <c r="T43">
        <v>667</v>
      </c>
      <c r="U43" t="s">
        <v>19</v>
      </c>
    </row>
    <row r="44" spans="1:21">
      <c r="A44" t="str">
        <f t="shared" si="12"/>
        <v>02/01/2025</v>
      </c>
      <c r="B44" t="str">
        <f t="shared" si="10"/>
        <v>ENTRADA</v>
      </c>
      <c r="C44" t="str">
        <f t="shared" si="13"/>
        <v>NFSE</v>
      </c>
      <c r="D44" t="str">
        <f t="shared" si="2"/>
        <v>2582</v>
      </c>
      <c r="E44" t="str">
        <f t="shared" si="14"/>
        <v>COM</v>
      </c>
      <c r="F44" t="str">
        <f t="shared" si="4"/>
        <v>FARMÁCIA INDIANA LJ 1 (10126)</v>
      </c>
      <c r="G44" t="str">
        <f t="shared" si="5"/>
        <v>Serv.Prest. 16/12/2024 a 22/12/2024 - RPS: 357 - NFSe: 2582</v>
      </c>
      <c r="H44" t="str">
        <f t="shared" si="15"/>
        <v>01/01/2025</v>
      </c>
      <c r="I44" t="str">
        <f t="shared" si="16"/>
        <v>23/12/2024</v>
      </c>
      <c r="J44" t="str">
        <f t="shared" si="17"/>
        <v>02/01/2025</v>
      </c>
      <c r="M44">
        <v>303</v>
      </c>
      <c r="N44" t="str">
        <f t="shared" si="18"/>
        <v>RECEITAS COM ENTREGAS</v>
      </c>
      <c r="P44">
        <v>124.32</v>
      </c>
      <c r="Q44" t="str">
        <f>"FARMÁCIA INDIANA LJ 209 (10089)"</f>
        <v>FARMÁCIA INDIANA LJ 209 (10089)</v>
      </c>
      <c r="R44" t="str">
        <f t="shared" si="19"/>
        <v>RECEITAS COM ENTREGAS (303)</v>
      </c>
      <c r="S44">
        <v>780</v>
      </c>
      <c r="T44">
        <v>667</v>
      </c>
      <c r="U44" t="s">
        <v>19</v>
      </c>
    </row>
    <row r="45" spans="1:21">
      <c r="A45" t="str">
        <f t="shared" si="12"/>
        <v>02/01/2025</v>
      </c>
      <c r="B45" t="str">
        <f t="shared" si="10"/>
        <v>ENTRADA</v>
      </c>
      <c r="C45" t="str">
        <f t="shared" si="13"/>
        <v>NFSE</v>
      </c>
      <c r="D45" t="str">
        <f t="shared" si="2"/>
        <v>2582</v>
      </c>
      <c r="E45" t="str">
        <f t="shared" si="14"/>
        <v>COM</v>
      </c>
      <c r="F45" t="str">
        <f t="shared" si="4"/>
        <v>FARMÁCIA INDIANA LJ 1 (10126)</v>
      </c>
      <c r="G45" t="str">
        <f t="shared" si="5"/>
        <v>Serv.Prest. 16/12/2024 a 22/12/2024 - RPS: 357 - NFSe: 2582</v>
      </c>
      <c r="H45" t="str">
        <f t="shared" si="15"/>
        <v>01/01/2025</v>
      </c>
      <c r="I45" t="str">
        <f t="shared" si="16"/>
        <v>23/12/2024</v>
      </c>
      <c r="J45" t="str">
        <f t="shared" si="17"/>
        <v>02/01/2025</v>
      </c>
      <c r="M45">
        <v>303</v>
      </c>
      <c r="N45" t="str">
        <f t="shared" si="18"/>
        <v>RECEITAS COM ENTREGAS</v>
      </c>
      <c r="P45">
        <v>160.19</v>
      </c>
      <c r="Q45" t="str">
        <f>"FARMÁCIA INDIANA LJ 219 (10091)"</f>
        <v>FARMÁCIA INDIANA LJ 219 (10091)</v>
      </c>
      <c r="R45" t="str">
        <f t="shared" si="19"/>
        <v>RECEITAS COM ENTREGAS (303)</v>
      </c>
      <c r="S45">
        <v>780</v>
      </c>
      <c r="T45">
        <v>667</v>
      </c>
      <c r="U45" t="s">
        <v>19</v>
      </c>
    </row>
    <row r="46" spans="1:21">
      <c r="A46" t="str">
        <f t="shared" si="12"/>
        <v>02/01/2025</v>
      </c>
      <c r="B46" t="str">
        <f t="shared" si="10"/>
        <v>ENTRADA</v>
      </c>
      <c r="C46" t="str">
        <f t="shared" si="13"/>
        <v>NFSE</v>
      </c>
      <c r="D46" t="str">
        <f t="shared" si="2"/>
        <v>2582</v>
      </c>
      <c r="E46" t="str">
        <f t="shared" si="14"/>
        <v>COM</v>
      </c>
      <c r="F46" t="str">
        <f t="shared" si="4"/>
        <v>FARMÁCIA INDIANA LJ 1 (10126)</v>
      </c>
      <c r="G46" t="str">
        <f t="shared" si="5"/>
        <v>Serv.Prest. 16/12/2024 a 22/12/2024 - RPS: 357 - NFSe: 2582</v>
      </c>
      <c r="H46" t="str">
        <f t="shared" si="15"/>
        <v>01/01/2025</v>
      </c>
      <c r="I46" t="str">
        <f t="shared" si="16"/>
        <v>23/12/2024</v>
      </c>
      <c r="J46" t="str">
        <f t="shared" si="17"/>
        <v>02/01/2025</v>
      </c>
      <c r="M46">
        <v>303</v>
      </c>
      <c r="N46" t="str">
        <f t="shared" si="18"/>
        <v>RECEITAS COM ENTREGAS</v>
      </c>
      <c r="P46">
        <v>102.81</v>
      </c>
      <c r="Q46" t="str">
        <f>"FARMÁCIA INDIANA LJ 220 (10092)"</f>
        <v>FARMÁCIA INDIANA LJ 220 (10092)</v>
      </c>
      <c r="R46" t="str">
        <f t="shared" si="19"/>
        <v>RECEITAS COM ENTREGAS (303)</v>
      </c>
      <c r="S46">
        <v>780</v>
      </c>
      <c r="T46">
        <v>667</v>
      </c>
      <c r="U46" t="s">
        <v>19</v>
      </c>
    </row>
    <row r="47" spans="1:21">
      <c r="A47" t="str">
        <f t="shared" si="12"/>
        <v>02/01/2025</v>
      </c>
      <c r="B47" t="str">
        <f t="shared" si="10"/>
        <v>ENTRADA</v>
      </c>
      <c r="C47" t="str">
        <f t="shared" si="13"/>
        <v>NFSE</v>
      </c>
      <c r="D47" t="str">
        <f t="shared" si="2"/>
        <v>2582</v>
      </c>
      <c r="E47" t="str">
        <f t="shared" si="14"/>
        <v>COM</v>
      </c>
      <c r="F47" t="str">
        <f t="shared" si="4"/>
        <v>FARMÁCIA INDIANA LJ 1 (10126)</v>
      </c>
      <c r="G47" t="str">
        <f t="shared" si="5"/>
        <v>Serv.Prest. 16/12/2024 a 22/12/2024 - RPS: 357 - NFSe: 2582</v>
      </c>
      <c r="H47" t="str">
        <f t="shared" si="15"/>
        <v>01/01/2025</v>
      </c>
      <c r="I47" t="str">
        <f t="shared" si="16"/>
        <v>23/12/2024</v>
      </c>
      <c r="J47" t="str">
        <f t="shared" si="17"/>
        <v>02/01/2025</v>
      </c>
      <c r="M47">
        <v>303</v>
      </c>
      <c r="N47" t="str">
        <f t="shared" si="18"/>
        <v>RECEITAS COM ENTREGAS</v>
      </c>
      <c r="P47">
        <v>184.09</v>
      </c>
      <c r="Q47" t="str">
        <f>"FARMÁCIA INDIANA LJ 185 (10141)"</f>
        <v>FARMÁCIA INDIANA LJ 185 (10141)</v>
      </c>
      <c r="R47" t="str">
        <f t="shared" si="19"/>
        <v>RECEITAS COM ENTREGAS (303)</v>
      </c>
      <c r="S47">
        <v>780</v>
      </c>
      <c r="T47">
        <v>667</v>
      </c>
      <c r="U47" t="s">
        <v>19</v>
      </c>
    </row>
    <row r="48" spans="1:21">
      <c r="A48" t="str">
        <f t="shared" si="12"/>
        <v>02/01/2025</v>
      </c>
      <c r="B48" t="str">
        <f>"ENTRADA"</f>
        <v>ENTRADA</v>
      </c>
      <c r="C48" t="str">
        <f t="shared" si="13"/>
        <v>NFSE</v>
      </c>
      <c r="D48" t="str">
        <f t="shared" ref="D48:D57" si="20">"2583"</f>
        <v>2583</v>
      </c>
      <c r="E48" t="str">
        <f t="shared" si="14"/>
        <v>COM</v>
      </c>
      <c r="F48" t="str">
        <f t="shared" ref="F48:F57" si="21">"FARMÁCIA INDIANA LJ 30 (10127)"</f>
        <v>FARMÁCIA INDIANA LJ 30 (10127)</v>
      </c>
      <c r="G48" t="str">
        <f t="shared" ref="G48:G57" si="22">"Serv.Prest. 16/12/2024 a 22/12/2024 - RPS: 358 - NFSe: 2583"</f>
        <v>Serv.Prest. 16/12/2024 a 22/12/2024 - RPS: 358 - NFSe: 2583</v>
      </c>
      <c r="H48" t="str">
        <f t="shared" si="15"/>
        <v>01/01/2025</v>
      </c>
      <c r="I48" t="str">
        <f t="shared" si="16"/>
        <v>23/12/2024</v>
      </c>
      <c r="J48" t="str">
        <f t="shared" si="17"/>
        <v>02/01/2025</v>
      </c>
      <c r="K48">
        <v>2131.19</v>
      </c>
      <c r="L48">
        <v>2131.19</v>
      </c>
      <c r="M48">
        <v>303</v>
      </c>
      <c r="N48" t="str">
        <f t="shared" si="18"/>
        <v>RECEITAS COM ENTREGAS</v>
      </c>
      <c r="O48">
        <v>2131.19</v>
      </c>
      <c r="R48" t="str">
        <f t="shared" si="19"/>
        <v>RECEITAS COM ENTREGAS (303)</v>
      </c>
      <c r="S48">
        <v>781</v>
      </c>
      <c r="T48">
        <v>668</v>
      </c>
      <c r="U48" t="s">
        <v>19</v>
      </c>
    </row>
    <row r="49" spans="1:21">
      <c r="A49" t="str">
        <f t="shared" si="12"/>
        <v>02/01/2025</v>
      </c>
      <c r="B49" t="str">
        <f t="shared" ref="B49:B57" si="23">"ENTRADA"</f>
        <v>ENTRADA</v>
      </c>
      <c r="C49" t="str">
        <f t="shared" si="13"/>
        <v>NFSE</v>
      </c>
      <c r="D49" t="str">
        <f t="shared" si="20"/>
        <v>2583</v>
      </c>
      <c r="E49" t="str">
        <f t="shared" si="14"/>
        <v>COM</v>
      </c>
      <c r="F49" t="str">
        <f t="shared" si="21"/>
        <v>FARMÁCIA INDIANA LJ 30 (10127)</v>
      </c>
      <c r="G49" t="str">
        <f t="shared" si="22"/>
        <v>Serv.Prest. 16/12/2024 a 22/12/2024 - RPS: 358 - NFSe: 2583</v>
      </c>
      <c r="H49" t="str">
        <f t="shared" si="15"/>
        <v>01/01/2025</v>
      </c>
      <c r="I49" t="str">
        <f t="shared" si="16"/>
        <v>23/12/2024</v>
      </c>
      <c r="J49" t="str">
        <f t="shared" si="17"/>
        <v>02/01/2025</v>
      </c>
      <c r="M49">
        <v>303</v>
      </c>
      <c r="N49" t="str">
        <f t="shared" si="18"/>
        <v>RECEITAS COM ENTREGAS</v>
      </c>
      <c r="P49">
        <v>309.45</v>
      </c>
      <c r="Q49" t="str">
        <f>"FARMÁCIA INDIANA LJ 34 (10014)"</f>
        <v>FARMÁCIA INDIANA LJ 34 (10014)</v>
      </c>
      <c r="R49" t="str">
        <f t="shared" si="19"/>
        <v>RECEITAS COM ENTREGAS (303)</v>
      </c>
      <c r="S49">
        <v>781</v>
      </c>
      <c r="T49">
        <v>668</v>
      </c>
      <c r="U49" t="s">
        <v>19</v>
      </c>
    </row>
    <row r="50" spans="1:21">
      <c r="A50" t="str">
        <f t="shared" si="12"/>
        <v>02/01/2025</v>
      </c>
      <c r="B50" t="str">
        <f t="shared" si="23"/>
        <v>ENTRADA</v>
      </c>
      <c r="C50" t="str">
        <f t="shared" si="13"/>
        <v>NFSE</v>
      </c>
      <c r="D50" t="str">
        <f t="shared" si="20"/>
        <v>2583</v>
      </c>
      <c r="E50" t="str">
        <f t="shared" si="14"/>
        <v>COM</v>
      </c>
      <c r="F50" t="str">
        <f t="shared" si="21"/>
        <v>FARMÁCIA INDIANA LJ 30 (10127)</v>
      </c>
      <c r="G50" t="str">
        <f t="shared" si="22"/>
        <v>Serv.Prest. 16/12/2024 a 22/12/2024 - RPS: 358 - NFSe: 2583</v>
      </c>
      <c r="H50" t="str">
        <f t="shared" si="15"/>
        <v>01/01/2025</v>
      </c>
      <c r="I50" t="str">
        <f t="shared" si="16"/>
        <v>23/12/2024</v>
      </c>
      <c r="J50" t="str">
        <f t="shared" si="17"/>
        <v>02/01/2025</v>
      </c>
      <c r="M50">
        <v>303</v>
      </c>
      <c r="N50" t="str">
        <f t="shared" si="18"/>
        <v>RECEITAS COM ENTREGAS</v>
      </c>
      <c r="P50">
        <v>235.92</v>
      </c>
      <c r="Q50" t="str">
        <f>"FARMÁCIA INDIANA LJ 35 (10015)"</f>
        <v>FARMÁCIA INDIANA LJ 35 (10015)</v>
      </c>
      <c r="R50" t="str">
        <f t="shared" si="19"/>
        <v>RECEITAS COM ENTREGAS (303)</v>
      </c>
      <c r="S50">
        <v>781</v>
      </c>
      <c r="T50">
        <v>668</v>
      </c>
      <c r="U50" t="s">
        <v>19</v>
      </c>
    </row>
    <row r="51" spans="1:21">
      <c r="A51" t="str">
        <f t="shared" si="12"/>
        <v>02/01/2025</v>
      </c>
      <c r="B51" t="str">
        <f t="shared" si="23"/>
        <v>ENTRADA</v>
      </c>
      <c r="C51" t="str">
        <f t="shared" si="13"/>
        <v>NFSE</v>
      </c>
      <c r="D51" t="str">
        <f t="shared" si="20"/>
        <v>2583</v>
      </c>
      <c r="E51" t="str">
        <f t="shared" si="14"/>
        <v>COM</v>
      </c>
      <c r="F51" t="str">
        <f t="shared" si="21"/>
        <v>FARMÁCIA INDIANA LJ 30 (10127)</v>
      </c>
      <c r="G51" t="str">
        <f t="shared" si="22"/>
        <v>Serv.Prest. 16/12/2024 a 22/12/2024 - RPS: 358 - NFSe: 2583</v>
      </c>
      <c r="H51" t="str">
        <f t="shared" si="15"/>
        <v>01/01/2025</v>
      </c>
      <c r="I51" t="str">
        <f t="shared" si="16"/>
        <v>23/12/2024</v>
      </c>
      <c r="J51" t="str">
        <f t="shared" si="17"/>
        <v>02/01/2025</v>
      </c>
      <c r="M51">
        <v>303</v>
      </c>
      <c r="N51" t="str">
        <f t="shared" si="18"/>
        <v>RECEITAS COM ENTREGAS</v>
      </c>
      <c r="P51">
        <v>205.45</v>
      </c>
      <c r="Q51" t="str">
        <f>"FARMÁCIA INDIANA LJ 48 (10018)"</f>
        <v>FARMÁCIA INDIANA LJ 48 (10018)</v>
      </c>
      <c r="R51" t="str">
        <f t="shared" si="19"/>
        <v>RECEITAS COM ENTREGAS (303)</v>
      </c>
      <c r="S51">
        <v>781</v>
      </c>
      <c r="T51">
        <v>668</v>
      </c>
      <c r="U51" t="s">
        <v>19</v>
      </c>
    </row>
    <row r="52" spans="1:21">
      <c r="A52" t="str">
        <f t="shared" si="12"/>
        <v>02/01/2025</v>
      </c>
      <c r="B52" t="str">
        <f t="shared" si="23"/>
        <v>ENTRADA</v>
      </c>
      <c r="C52" t="str">
        <f t="shared" si="13"/>
        <v>NFSE</v>
      </c>
      <c r="D52" t="str">
        <f t="shared" si="20"/>
        <v>2583</v>
      </c>
      <c r="E52" t="str">
        <f t="shared" si="14"/>
        <v>COM</v>
      </c>
      <c r="F52" t="str">
        <f t="shared" si="21"/>
        <v>FARMÁCIA INDIANA LJ 30 (10127)</v>
      </c>
      <c r="G52" t="str">
        <f t="shared" si="22"/>
        <v>Serv.Prest. 16/12/2024 a 22/12/2024 - RPS: 358 - NFSe: 2583</v>
      </c>
      <c r="H52" t="str">
        <f t="shared" si="15"/>
        <v>01/01/2025</v>
      </c>
      <c r="I52" t="str">
        <f t="shared" si="16"/>
        <v>23/12/2024</v>
      </c>
      <c r="J52" t="str">
        <f t="shared" si="17"/>
        <v>02/01/2025</v>
      </c>
      <c r="M52">
        <v>303</v>
      </c>
      <c r="N52" t="str">
        <f t="shared" si="18"/>
        <v>RECEITAS COM ENTREGAS</v>
      </c>
      <c r="P52">
        <v>320.10000000000002</v>
      </c>
      <c r="Q52" t="str">
        <f>"FARMÁCIA INDIANA LJ 65 (10030)"</f>
        <v>FARMÁCIA INDIANA LJ 65 (10030)</v>
      </c>
      <c r="R52" t="str">
        <f t="shared" si="19"/>
        <v>RECEITAS COM ENTREGAS (303)</v>
      </c>
      <c r="S52">
        <v>781</v>
      </c>
      <c r="T52">
        <v>668</v>
      </c>
      <c r="U52" t="s">
        <v>19</v>
      </c>
    </row>
    <row r="53" spans="1:21">
      <c r="A53" t="str">
        <f t="shared" si="12"/>
        <v>02/01/2025</v>
      </c>
      <c r="B53" t="str">
        <f t="shared" si="23"/>
        <v>ENTRADA</v>
      </c>
      <c r="C53" t="str">
        <f t="shared" si="13"/>
        <v>NFSE</v>
      </c>
      <c r="D53" t="str">
        <f t="shared" si="20"/>
        <v>2583</v>
      </c>
      <c r="E53" t="str">
        <f t="shared" si="14"/>
        <v>COM</v>
      </c>
      <c r="F53" t="str">
        <f t="shared" si="21"/>
        <v>FARMÁCIA INDIANA LJ 30 (10127)</v>
      </c>
      <c r="G53" t="str">
        <f t="shared" si="22"/>
        <v>Serv.Prest. 16/12/2024 a 22/12/2024 - RPS: 358 - NFSe: 2583</v>
      </c>
      <c r="H53" t="str">
        <f t="shared" si="15"/>
        <v>01/01/2025</v>
      </c>
      <c r="I53" t="str">
        <f t="shared" si="16"/>
        <v>23/12/2024</v>
      </c>
      <c r="J53" t="str">
        <f t="shared" si="17"/>
        <v>02/01/2025</v>
      </c>
      <c r="M53">
        <v>303</v>
      </c>
      <c r="N53" t="str">
        <f t="shared" si="18"/>
        <v>RECEITAS COM ENTREGAS</v>
      </c>
      <c r="P53">
        <v>235.5</v>
      </c>
      <c r="Q53" t="str">
        <f>"FARMÁCIA INDIANA LJ 91 (10037)"</f>
        <v>FARMÁCIA INDIANA LJ 91 (10037)</v>
      </c>
      <c r="R53" t="str">
        <f t="shared" si="19"/>
        <v>RECEITAS COM ENTREGAS (303)</v>
      </c>
      <c r="S53">
        <v>781</v>
      </c>
      <c r="T53">
        <v>668</v>
      </c>
      <c r="U53" t="s">
        <v>19</v>
      </c>
    </row>
    <row r="54" spans="1:21">
      <c r="A54" t="str">
        <f t="shared" si="12"/>
        <v>02/01/2025</v>
      </c>
      <c r="B54" t="str">
        <f t="shared" si="23"/>
        <v>ENTRADA</v>
      </c>
      <c r="C54" t="str">
        <f t="shared" si="13"/>
        <v>NFSE</v>
      </c>
      <c r="D54" t="str">
        <f t="shared" si="20"/>
        <v>2583</v>
      </c>
      <c r="E54" t="str">
        <f t="shared" si="14"/>
        <v>COM</v>
      </c>
      <c r="F54" t="str">
        <f t="shared" si="21"/>
        <v>FARMÁCIA INDIANA LJ 30 (10127)</v>
      </c>
      <c r="G54" t="str">
        <f t="shared" si="22"/>
        <v>Serv.Prest. 16/12/2024 a 22/12/2024 - RPS: 358 - NFSe: 2583</v>
      </c>
      <c r="H54" t="str">
        <f t="shared" si="15"/>
        <v>01/01/2025</v>
      </c>
      <c r="I54" t="str">
        <f t="shared" si="16"/>
        <v>23/12/2024</v>
      </c>
      <c r="J54" t="str">
        <f t="shared" si="17"/>
        <v>02/01/2025</v>
      </c>
      <c r="M54">
        <v>303</v>
      </c>
      <c r="N54" t="str">
        <f t="shared" si="18"/>
        <v>RECEITAS COM ENTREGAS</v>
      </c>
      <c r="P54">
        <v>349.52</v>
      </c>
      <c r="Q54" t="str">
        <f>"FARMÁCIA INDIANA LJ 95 (10039)"</f>
        <v>FARMÁCIA INDIANA LJ 95 (10039)</v>
      </c>
      <c r="R54" t="str">
        <f t="shared" si="19"/>
        <v>RECEITAS COM ENTREGAS (303)</v>
      </c>
      <c r="S54">
        <v>781</v>
      </c>
      <c r="T54">
        <v>668</v>
      </c>
      <c r="U54" t="s">
        <v>19</v>
      </c>
    </row>
    <row r="55" spans="1:21">
      <c r="A55" t="str">
        <f t="shared" si="12"/>
        <v>02/01/2025</v>
      </c>
      <c r="B55" t="str">
        <f t="shared" si="23"/>
        <v>ENTRADA</v>
      </c>
      <c r="C55" t="str">
        <f t="shared" si="13"/>
        <v>NFSE</v>
      </c>
      <c r="D55" t="str">
        <f t="shared" si="20"/>
        <v>2583</v>
      </c>
      <c r="E55" t="str">
        <f t="shared" si="14"/>
        <v>COM</v>
      </c>
      <c r="F55" t="str">
        <f t="shared" si="21"/>
        <v>FARMÁCIA INDIANA LJ 30 (10127)</v>
      </c>
      <c r="G55" t="str">
        <f t="shared" si="22"/>
        <v>Serv.Prest. 16/12/2024 a 22/12/2024 - RPS: 358 - NFSe: 2583</v>
      </c>
      <c r="H55" t="str">
        <f t="shared" si="15"/>
        <v>01/01/2025</v>
      </c>
      <c r="I55" t="str">
        <f t="shared" si="16"/>
        <v>23/12/2024</v>
      </c>
      <c r="J55" t="str">
        <f t="shared" si="17"/>
        <v>02/01/2025</v>
      </c>
      <c r="M55">
        <v>303</v>
      </c>
      <c r="N55" t="str">
        <f t="shared" si="18"/>
        <v>RECEITAS COM ENTREGAS</v>
      </c>
      <c r="P55">
        <v>160.05000000000001</v>
      </c>
      <c r="Q55" t="str">
        <f>"FARMÁCIA INDIANA LJ 145 (10068)"</f>
        <v>FARMÁCIA INDIANA LJ 145 (10068)</v>
      </c>
      <c r="R55" t="str">
        <f t="shared" si="19"/>
        <v>RECEITAS COM ENTREGAS (303)</v>
      </c>
      <c r="S55">
        <v>781</v>
      </c>
      <c r="T55">
        <v>668</v>
      </c>
      <c r="U55" t="s">
        <v>19</v>
      </c>
    </row>
    <row r="56" spans="1:21">
      <c r="A56" t="str">
        <f t="shared" si="12"/>
        <v>02/01/2025</v>
      </c>
      <c r="B56" t="str">
        <f t="shared" si="23"/>
        <v>ENTRADA</v>
      </c>
      <c r="C56" t="str">
        <f t="shared" si="13"/>
        <v>NFSE</v>
      </c>
      <c r="D56" t="str">
        <f t="shared" si="20"/>
        <v>2583</v>
      </c>
      <c r="E56" t="str">
        <f t="shared" si="14"/>
        <v>COM</v>
      </c>
      <c r="F56" t="str">
        <f t="shared" si="21"/>
        <v>FARMÁCIA INDIANA LJ 30 (10127)</v>
      </c>
      <c r="G56" t="str">
        <f t="shared" si="22"/>
        <v>Serv.Prest. 16/12/2024 a 22/12/2024 - RPS: 358 - NFSe: 2583</v>
      </c>
      <c r="H56" t="str">
        <f t="shared" si="15"/>
        <v>01/01/2025</v>
      </c>
      <c r="I56" t="str">
        <f t="shared" si="16"/>
        <v>23/12/2024</v>
      </c>
      <c r="J56" t="str">
        <f t="shared" si="17"/>
        <v>02/01/2025</v>
      </c>
      <c r="M56">
        <v>303</v>
      </c>
      <c r="N56" t="str">
        <f t="shared" si="18"/>
        <v>RECEITAS COM ENTREGAS</v>
      </c>
      <c r="P56">
        <v>155.15</v>
      </c>
      <c r="Q56" t="str">
        <f>"FARMÁCIA INDIANA LJ 169 (10073)"</f>
        <v>FARMÁCIA INDIANA LJ 169 (10073)</v>
      </c>
      <c r="R56" t="str">
        <f t="shared" si="19"/>
        <v>RECEITAS COM ENTREGAS (303)</v>
      </c>
      <c r="S56">
        <v>781</v>
      </c>
      <c r="T56">
        <v>668</v>
      </c>
      <c r="U56" t="s">
        <v>19</v>
      </c>
    </row>
    <row r="57" spans="1:21">
      <c r="A57" t="str">
        <f t="shared" si="12"/>
        <v>02/01/2025</v>
      </c>
      <c r="B57" t="str">
        <f t="shared" si="23"/>
        <v>ENTRADA</v>
      </c>
      <c r="C57" t="str">
        <f t="shared" si="13"/>
        <v>NFSE</v>
      </c>
      <c r="D57" t="str">
        <f t="shared" si="20"/>
        <v>2583</v>
      </c>
      <c r="E57" t="str">
        <f t="shared" si="14"/>
        <v>COM</v>
      </c>
      <c r="F57" t="str">
        <f t="shared" si="21"/>
        <v>FARMÁCIA INDIANA LJ 30 (10127)</v>
      </c>
      <c r="G57" t="str">
        <f t="shared" si="22"/>
        <v>Serv.Prest. 16/12/2024 a 22/12/2024 - RPS: 358 - NFSe: 2583</v>
      </c>
      <c r="H57" t="str">
        <f t="shared" si="15"/>
        <v>01/01/2025</v>
      </c>
      <c r="I57" t="str">
        <f t="shared" si="16"/>
        <v>23/12/2024</v>
      </c>
      <c r="J57" t="str">
        <f t="shared" si="17"/>
        <v>02/01/2025</v>
      </c>
      <c r="M57">
        <v>303</v>
      </c>
      <c r="N57" t="str">
        <f t="shared" si="18"/>
        <v>RECEITAS COM ENTREGAS</v>
      </c>
      <c r="P57">
        <v>160.05000000000001</v>
      </c>
      <c r="Q57" t="str">
        <f>"FARMÁCIA INDIANA LJ 173 (10075)"</f>
        <v>FARMÁCIA INDIANA LJ 173 (10075)</v>
      </c>
      <c r="R57" t="str">
        <f t="shared" si="19"/>
        <v>RECEITAS COM ENTREGAS (303)</v>
      </c>
      <c r="S57">
        <v>781</v>
      </c>
      <c r="T57">
        <v>668</v>
      </c>
      <c r="U57" t="s">
        <v>19</v>
      </c>
    </row>
    <row r="58" spans="1:21">
      <c r="A58" t="str">
        <f t="shared" si="12"/>
        <v>02/01/2025</v>
      </c>
      <c r="B58" t="str">
        <f>"ENTRADA"</f>
        <v>ENTRADA</v>
      </c>
      <c r="C58" t="str">
        <f t="shared" si="13"/>
        <v>NFSE</v>
      </c>
      <c r="D58" t="str">
        <f t="shared" ref="D58:D63" si="24">"2584"</f>
        <v>2584</v>
      </c>
      <c r="E58" t="str">
        <f t="shared" si="14"/>
        <v>COM</v>
      </c>
      <c r="F58" t="str">
        <f t="shared" ref="F58:F63" si="25">"FARMÁCIA INDIANA LJ 85 (10128)"</f>
        <v>FARMÁCIA INDIANA LJ 85 (10128)</v>
      </c>
      <c r="G58" t="str">
        <f t="shared" ref="G58:G63" si="26">"Serv.Prest. 16/12/2024 a 22/12/2024 - RPS: 359 - NFSe: 2584"</f>
        <v>Serv.Prest. 16/12/2024 a 22/12/2024 - RPS: 359 - NFSe: 2584</v>
      </c>
      <c r="H58" t="str">
        <f t="shared" si="15"/>
        <v>01/01/2025</v>
      </c>
      <c r="I58" t="str">
        <f t="shared" si="16"/>
        <v>23/12/2024</v>
      </c>
      <c r="J58" t="str">
        <f t="shared" si="17"/>
        <v>02/01/2025</v>
      </c>
      <c r="K58">
        <v>747.24</v>
      </c>
      <c r="L58">
        <v>747.24</v>
      </c>
      <c r="M58">
        <v>303</v>
      </c>
      <c r="N58" t="str">
        <f t="shared" si="18"/>
        <v>RECEITAS COM ENTREGAS</v>
      </c>
      <c r="O58">
        <v>747.24</v>
      </c>
      <c r="R58" t="str">
        <f t="shared" si="19"/>
        <v>RECEITAS COM ENTREGAS (303)</v>
      </c>
      <c r="S58">
        <v>782</v>
      </c>
      <c r="T58">
        <v>669</v>
      </c>
      <c r="U58" t="s">
        <v>19</v>
      </c>
    </row>
    <row r="59" spans="1:21">
      <c r="A59" t="str">
        <f t="shared" si="12"/>
        <v>02/01/2025</v>
      </c>
      <c r="B59" t="str">
        <f t="shared" ref="B59:B63" si="27">"ENTRADA"</f>
        <v>ENTRADA</v>
      </c>
      <c r="C59" t="str">
        <f t="shared" si="13"/>
        <v>NFSE</v>
      </c>
      <c r="D59" t="str">
        <f t="shared" si="24"/>
        <v>2584</v>
      </c>
      <c r="E59" t="str">
        <f t="shared" si="14"/>
        <v>COM</v>
      </c>
      <c r="F59" t="str">
        <f t="shared" si="25"/>
        <v>FARMÁCIA INDIANA LJ 85 (10128)</v>
      </c>
      <c r="G59" t="str">
        <f t="shared" si="26"/>
        <v>Serv.Prest. 16/12/2024 a 22/12/2024 - RPS: 359 - NFSe: 2584</v>
      </c>
      <c r="H59" t="str">
        <f t="shared" si="15"/>
        <v>01/01/2025</v>
      </c>
      <c r="I59" t="str">
        <f t="shared" si="16"/>
        <v>23/12/2024</v>
      </c>
      <c r="J59" t="str">
        <f t="shared" si="17"/>
        <v>02/01/2025</v>
      </c>
      <c r="M59">
        <v>303</v>
      </c>
      <c r="N59" t="str">
        <f t="shared" si="18"/>
        <v>RECEITAS COM ENTREGAS</v>
      </c>
      <c r="P59">
        <v>160.13</v>
      </c>
      <c r="Q59" t="str">
        <f>"FARMÁCIA INDIANA LJ 119 (10053)"</f>
        <v>FARMÁCIA INDIANA LJ 119 (10053)</v>
      </c>
      <c r="R59" t="str">
        <f t="shared" si="19"/>
        <v>RECEITAS COM ENTREGAS (303)</v>
      </c>
      <c r="S59">
        <v>782</v>
      </c>
      <c r="T59">
        <v>669</v>
      </c>
      <c r="U59" t="s">
        <v>19</v>
      </c>
    </row>
    <row r="60" spans="1:21">
      <c r="A60" t="str">
        <f t="shared" si="12"/>
        <v>02/01/2025</v>
      </c>
      <c r="B60" t="str">
        <f t="shared" si="27"/>
        <v>ENTRADA</v>
      </c>
      <c r="C60" t="str">
        <f t="shared" si="13"/>
        <v>NFSE</v>
      </c>
      <c r="D60" t="str">
        <f t="shared" si="24"/>
        <v>2584</v>
      </c>
      <c r="E60" t="str">
        <f t="shared" si="14"/>
        <v>COM</v>
      </c>
      <c r="F60" t="str">
        <f t="shared" si="25"/>
        <v>FARMÁCIA INDIANA LJ 85 (10128)</v>
      </c>
      <c r="G60" t="str">
        <f t="shared" si="26"/>
        <v>Serv.Prest. 16/12/2024 a 22/12/2024 - RPS: 359 - NFSe: 2584</v>
      </c>
      <c r="H60" t="str">
        <f t="shared" si="15"/>
        <v>01/01/2025</v>
      </c>
      <c r="I60" t="str">
        <f t="shared" si="16"/>
        <v>23/12/2024</v>
      </c>
      <c r="J60" t="str">
        <f t="shared" si="17"/>
        <v>02/01/2025</v>
      </c>
      <c r="M60">
        <v>303</v>
      </c>
      <c r="N60" t="str">
        <f t="shared" si="18"/>
        <v>RECEITAS COM ENTREGAS</v>
      </c>
      <c r="P60">
        <v>123.97</v>
      </c>
      <c r="Q60" t="str">
        <f>"FARMÁCIA INDIANA LJ 163 (10072)"</f>
        <v>FARMÁCIA INDIANA LJ 163 (10072)</v>
      </c>
      <c r="R60" t="str">
        <f t="shared" si="19"/>
        <v>RECEITAS COM ENTREGAS (303)</v>
      </c>
      <c r="S60">
        <v>782</v>
      </c>
      <c r="T60">
        <v>669</v>
      </c>
      <c r="U60" t="s">
        <v>19</v>
      </c>
    </row>
    <row r="61" spans="1:21">
      <c r="A61" t="str">
        <f t="shared" si="12"/>
        <v>02/01/2025</v>
      </c>
      <c r="B61" t="str">
        <f t="shared" si="27"/>
        <v>ENTRADA</v>
      </c>
      <c r="C61" t="str">
        <f t="shared" si="13"/>
        <v>NFSE</v>
      </c>
      <c r="D61" t="str">
        <f t="shared" si="24"/>
        <v>2584</v>
      </c>
      <c r="E61" t="str">
        <f t="shared" si="14"/>
        <v>COM</v>
      </c>
      <c r="F61" t="str">
        <f t="shared" si="25"/>
        <v>FARMÁCIA INDIANA LJ 85 (10128)</v>
      </c>
      <c r="G61" t="str">
        <f t="shared" si="26"/>
        <v>Serv.Prest. 16/12/2024 a 22/12/2024 - RPS: 359 - NFSe: 2584</v>
      </c>
      <c r="H61" t="str">
        <f t="shared" si="15"/>
        <v>01/01/2025</v>
      </c>
      <c r="I61" t="str">
        <f t="shared" si="16"/>
        <v>23/12/2024</v>
      </c>
      <c r="J61" t="str">
        <f t="shared" si="17"/>
        <v>02/01/2025</v>
      </c>
      <c r="M61">
        <v>303</v>
      </c>
      <c r="N61" t="str">
        <f t="shared" si="18"/>
        <v>RECEITAS COM ENTREGAS</v>
      </c>
      <c r="P61">
        <v>120.83</v>
      </c>
      <c r="Q61" t="str">
        <f>"FARMÁCIA INDIANA LJ 181 (10078)"</f>
        <v>FARMÁCIA INDIANA LJ 181 (10078)</v>
      </c>
      <c r="R61" t="str">
        <f t="shared" si="19"/>
        <v>RECEITAS COM ENTREGAS (303)</v>
      </c>
      <c r="S61">
        <v>782</v>
      </c>
      <c r="T61">
        <v>669</v>
      </c>
      <c r="U61" t="s">
        <v>19</v>
      </c>
    </row>
    <row r="62" spans="1:21">
      <c r="A62" t="str">
        <f t="shared" si="12"/>
        <v>02/01/2025</v>
      </c>
      <c r="B62" t="str">
        <f t="shared" si="27"/>
        <v>ENTRADA</v>
      </c>
      <c r="C62" t="str">
        <f t="shared" si="13"/>
        <v>NFSE</v>
      </c>
      <c r="D62" t="str">
        <f t="shared" si="24"/>
        <v>2584</v>
      </c>
      <c r="E62" t="str">
        <f t="shared" si="14"/>
        <v>COM</v>
      </c>
      <c r="F62" t="str">
        <f t="shared" si="25"/>
        <v>FARMÁCIA INDIANA LJ 85 (10128)</v>
      </c>
      <c r="G62" t="str">
        <f t="shared" si="26"/>
        <v>Serv.Prest. 16/12/2024 a 22/12/2024 - RPS: 359 - NFSe: 2584</v>
      </c>
      <c r="H62" t="str">
        <f t="shared" si="15"/>
        <v>01/01/2025</v>
      </c>
      <c r="I62" t="str">
        <f t="shared" si="16"/>
        <v>23/12/2024</v>
      </c>
      <c r="J62" t="str">
        <f t="shared" si="17"/>
        <v>02/01/2025</v>
      </c>
      <c r="M62">
        <v>303</v>
      </c>
      <c r="N62" t="str">
        <f t="shared" si="18"/>
        <v>RECEITAS COM ENTREGAS</v>
      </c>
      <c r="P62">
        <v>160.13</v>
      </c>
      <c r="Q62" t="str">
        <f>"FARMÁCIA INDIANA LJ 221 (10093)"</f>
        <v>FARMÁCIA INDIANA LJ 221 (10093)</v>
      </c>
      <c r="R62" t="str">
        <f t="shared" si="19"/>
        <v>RECEITAS COM ENTREGAS (303)</v>
      </c>
      <c r="S62">
        <v>782</v>
      </c>
      <c r="T62">
        <v>669</v>
      </c>
      <c r="U62" t="s">
        <v>19</v>
      </c>
    </row>
    <row r="63" spans="1:21">
      <c r="A63" t="str">
        <f t="shared" si="12"/>
        <v>02/01/2025</v>
      </c>
      <c r="B63" t="str">
        <f t="shared" si="27"/>
        <v>ENTRADA</v>
      </c>
      <c r="C63" t="str">
        <f t="shared" si="13"/>
        <v>NFSE</v>
      </c>
      <c r="D63" t="str">
        <f t="shared" si="24"/>
        <v>2584</v>
      </c>
      <c r="E63" t="str">
        <f t="shared" si="14"/>
        <v>COM</v>
      </c>
      <c r="F63" t="str">
        <f t="shared" si="25"/>
        <v>FARMÁCIA INDIANA LJ 85 (10128)</v>
      </c>
      <c r="G63" t="str">
        <f t="shared" si="26"/>
        <v>Serv.Prest. 16/12/2024 a 22/12/2024 - RPS: 359 - NFSe: 2584</v>
      </c>
      <c r="H63" t="str">
        <f t="shared" si="15"/>
        <v>01/01/2025</v>
      </c>
      <c r="I63" t="str">
        <f t="shared" si="16"/>
        <v>23/12/2024</v>
      </c>
      <c r="J63" t="str">
        <f t="shared" si="17"/>
        <v>02/01/2025</v>
      </c>
      <c r="M63">
        <v>303</v>
      </c>
      <c r="N63" t="str">
        <f t="shared" si="18"/>
        <v>RECEITAS COM ENTREGAS</v>
      </c>
      <c r="P63">
        <v>182.18</v>
      </c>
      <c r="Q63" t="str">
        <f>"FARMÁCIA INDIANA LJ 243 (10142)"</f>
        <v>FARMÁCIA INDIANA LJ 243 (10142)</v>
      </c>
      <c r="R63" t="str">
        <f t="shared" si="19"/>
        <v>RECEITAS COM ENTREGAS (303)</v>
      </c>
      <c r="S63">
        <v>782</v>
      </c>
      <c r="T63">
        <v>669</v>
      </c>
      <c r="U63" t="s">
        <v>19</v>
      </c>
    </row>
    <row r="64" spans="1:21">
      <c r="A64" t="str">
        <f t="shared" si="12"/>
        <v>02/01/2025</v>
      </c>
      <c r="B64" t="str">
        <f t="shared" ref="B64:B69" si="28">"ENTRADA"</f>
        <v>ENTRADA</v>
      </c>
      <c r="C64" t="str">
        <f t="shared" si="13"/>
        <v>NFSE</v>
      </c>
      <c r="D64" t="str">
        <f>"2595"</f>
        <v>2595</v>
      </c>
      <c r="E64" t="str">
        <f t="shared" si="14"/>
        <v>COM</v>
      </c>
      <c r="F64" t="str">
        <f>"JAL FARMACIA E DROGARIA LJ 2 (10138)"</f>
        <v>JAL FARMACIA E DROGARIA LJ 2 (10138)</v>
      </c>
      <c r="G64" t="str">
        <f>"Serv.Prest. 23/12/2024 a 29/12/2024 - RPS: 370 - NFSe: 2595"</f>
        <v>Serv.Prest. 23/12/2024 a 29/12/2024 - RPS: 370 - NFSe: 2595</v>
      </c>
      <c r="H64" t="str">
        <f t="shared" si="15"/>
        <v>01/01/2025</v>
      </c>
      <c r="I64" t="str">
        <f>("30/12/2024")</f>
        <v>30/12/2024</v>
      </c>
      <c r="J64" t="str">
        <f t="shared" si="17"/>
        <v>02/01/2025</v>
      </c>
      <c r="K64">
        <v>308.8</v>
      </c>
      <c r="L64">
        <v>308.8</v>
      </c>
      <c r="M64">
        <v>303</v>
      </c>
      <c r="N64" t="str">
        <f t="shared" si="18"/>
        <v>RECEITAS COM ENTREGAS</v>
      </c>
      <c r="O64">
        <v>308.8</v>
      </c>
      <c r="R64" t="str">
        <f t="shared" si="19"/>
        <v>RECEITAS COM ENTREGAS (303)</v>
      </c>
      <c r="S64">
        <v>783</v>
      </c>
      <c r="T64">
        <v>680</v>
      </c>
      <c r="U64" t="s">
        <v>19</v>
      </c>
    </row>
    <row r="65" spans="1:21">
      <c r="A65" t="str">
        <f t="shared" si="12"/>
        <v>02/01/2025</v>
      </c>
      <c r="B65" t="str">
        <f t="shared" si="28"/>
        <v>ENTRADA</v>
      </c>
      <c r="C65" t="str">
        <f t="shared" si="13"/>
        <v>NFSE</v>
      </c>
      <c r="D65" t="str">
        <f>"2595"</f>
        <v>2595</v>
      </c>
      <c r="E65" t="str">
        <f t="shared" si="14"/>
        <v>COM</v>
      </c>
      <c r="F65" t="str">
        <f>"JAL FARMACIA E DROGARIA LJ 2 (10138)"</f>
        <v>JAL FARMACIA E DROGARIA LJ 2 (10138)</v>
      </c>
      <c r="G65" t="str">
        <f>"Serv.Prest. 23/12/2024 a 29/12/2024 - RPS: 370 - NFSe: 2595"</f>
        <v>Serv.Prest. 23/12/2024 a 29/12/2024 - RPS: 370 - NFSe: 2595</v>
      </c>
      <c r="H65" t="str">
        <f t="shared" si="15"/>
        <v>01/01/2025</v>
      </c>
      <c r="I65" t="str">
        <f>("30/12/2024")</f>
        <v>30/12/2024</v>
      </c>
      <c r="J65" t="str">
        <f t="shared" si="17"/>
        <v>02/01/2025</v>
      </c>
      <c r="M65">
        <v>303</v>
      </c>
      <c r="N65" t="str">
        <f t="shared" si="18"/>
        <v>RECEITAS COM ENTREGAS</v>
      </c>
      <c r="P65">
        <v>308.8</v>
      </c>
      <c r="Q65" t="str">
        <f>"JAL FARMACIA E DROGARIA LJ 2 (10138)"</f>
        <v>JAL FARMACIA E DROGARIA LJ 2 (10138)</v>
      </c>
      <c r="R65" t="str">
        <f t="shared" si="19"/>
        <v>RECEITAS COM ENTREGAS (303)</v>
      </c>
      <c r="S65">
        <v>783</v>
      </c>
      <c r="T65">
        <v>680</v>
      </c>
      <c r="U65" t="s">
        <v>19</v>
      </c>
    </row>
    <row r="66" spans="1:21">
      <c r="A66" t="str">
        <f t="shared" si="12"/>
        <v>02/01/2025</v>
      </c>
      <c r="B66" t="str">
        <f t="shared" si="28"/>
        <v>ENTRADA</v>
      </c>
      <c r="C66" t="str">
        <f t="shared" si="13"/>
        <v>NFSE</v>
      </c>
      <c r="D66" t="str">
        <f>"2561"</f>
        <v>2561</v>
      </c>
      <c r="E66" t="str">
        <f t="shared" si="14"/>
        <v>COM</v>
      </c>
      <c r="F66" t="str">
        <f>"PAGMENOS - LJ 608 (10135)"</f>
        <v>PAGMENOS - LJ 608 (10135)</v>
      </c>
      <c r="G66" t="str">
        <f>"Serv.Prest. 09/12/2024 a 15/12/2024 - RPS: 336 - NFSe: 2561"</f>
        <v>Serv.Prest. 09/12/2024 a 15/12/2024 - RPS: 336 - NFSe: 2561</v>
      </c>
      <c r="H66" t="str">
        <f>("26/12/2024")</f>
        <v>26/12/2024</v>
      </c>
      <c r="I66" t="str">
        <f>("16/12/2024")</f>
        <v>16/12/2024</v>
      </c>
      <c r="J66" t="str">
        <f t="shared" si="17"/>
        <v>02/01/2025</v>
      </c>
      <c r="K66">
        <v>280.20999999999998</v>
      </c>
      <c r="L66">
        <v>280.20999999999998</v>
      </c>
      <c r="M66">
        <v>303</v>
      </c>
      <c r="N66" t="str">
        <f t="shared" si="18"/>
        <v>RECEITAS COM ENTREGAS</v>
      </c>
      <c r="O66">
        <v>280.20999999999998</v>
      </c>
      <c r="R66" t="str">
        <f t="shared" si="19"/>
        <v>RECEITAS COM ENTREGAS (303)</v>
      </c>
      <c r="S66">
        <v>784</v>
      </c>
      <c r="T66">
        <v>640</v>
      </c>
      <c r="U66" t="s">
        <v>19</v>
      </c>
    </row>
    <row r="67" spans="1:21">
      <c r="A67" t="str">
        <f t="shared" si="12"/>
        <v>02/01/2025</v>
      </c>
      <c r="B67" t="str">
        <f t="shared" si="28"/>
        <v>ENTRADA</v>
      </c>
      <c r="C67" t="str">
        <f t="shared" si="13"/>
        <v>NFSE</v>
      </c>
      <c r="D67" t="str">
        <f>"2561"</f>
        <v>2561</v>
      </c>
      <c r="E67" t="str">
        <f t="shared" si="14"/>
        <v>COM</v>
      </c>
      <c r="F67" t="str">
        <f>"PAGMENOS - LJ 608 (10135)"</f>
        <v>PAGMENOS - LJ 608 (10135)</v>
      </c>
      <c r="G67" t="str">
        <f>"Serv.Prest. 09/12/2024 a 15/12/2024 - RPS: 336 - NFSe: 2561"</f>
        <v>Serv.Prest. 09/12/2024 a 15/12/2024 - RPS: 336 - NFSe: 2561</v>
      </c>
      <c r="H67" t="str">
        <f>("26/12/2024")</f>
        <v>26/12/2024</v>
      </c>
      <c r="I67" t="str">
        <f>("16/12/2024")</f>
        <v>16/12/2024</v>
      </c>
      <c r="J67" t="str">
        <f t="shared" si="17"/>
        <v>02/01/2025</v>
      </c>
      <c r="M67">
        <v>303</v>
      </c>
      <c r="N67" t="str">
        <f t="shared" si="18"/>
        <v>RECEITAS COM ENTREGAS</v>
      </c>
      <c r="P67">
        <v>280.20999999999998</v>
      </c>
      <c r="Q67" t="str">
        <f>"PAGMENOS - LJ 608 (10135)"</f>
        <v>PAGMENOS - LJ 608 (10135)</v>
      </c>
      <c r="R67" t="str">
        <f t="shared" si="19"/>
        <v>RECEITAS COM ENTREGAS (303)</v>
      </c>
      <c r="S67">
        <v>784</v>
      </c>
      <c r="T67">
        <v>640</v>
      </c>
      <c r="U67" t="s">
        <v>19</v>
      </c>
    </row>
    <row r="68" spans="1:21">
      <c r="A68" t="str">
        <f t="shared" si="12"/>
        <v>02/01/2025</v>
      </c>
      <c r="B68" t="str">
        <f t="shared" si="28"/>
        <v>ENTRADA</v>
      </c>
      <c r="C68" t="str">
        <f t="shared" si="13"/>
        <v>NFSE</v>
      </c>
      <c r="D68" t="str">
        <f>"2562"</f>
        <v>2562</v>
      </c>
      <c r="E68" t="str">
        <f t="shared" si="14"/>
        <v>COM</v>
      </c>
      <c r="F68" t="str">
        <f>"PAGMENOS - LJ 657 (10136)"</f>
        <v>PAGMENOS - LJ 657 (10136)</v>
      </c>
      <c r="G68" t="str">
        <f>"Serv.Prest. 09/12/2024 a 15/12/2024 - RPS: 337 - NFSe: 2562"</f>
        <v>Serv.Prest. 09/12/2024 a 15/12/2024 - RPS: 337 - NFSe: 2562</v>
      </c>
      <c r="H68" t="str">
        <f>("26/12/2024")</f>
        <v>26/12/2024</v>
      </c>
      <c r="I68" t="str">
        <f>("16/12/2024")</f>
        <v>16/12/2024</v>
      </c>
      <c r="J68" t="str">
        <f t="shared" si="17"/>
        <v>02/01/2025</v>
      </c>
      <c r="K68">
        <v>596.6</v>
      </c>
      <c r="L68">
        <v>596.6</v>
      </c>
      <c r="M68">
        <v>303</v>
      </c>
      <c r="N68" t="str">
        <f t="shared" si="18"/>
        <v>RECEITAS COM ENTREGAS</v>
      </c>
      <c r="O68">
        <v>596.6</v>
      </c>
      <c r="R68" t="str">
        <f t="shared" si="19"/>
        <v>RECEITAS COM ENTREGAS (303)</v>
      </c>
      <c r="S68">
        <v>785</v>
      </c>
      <c r="T68">
        <v>641</v>
      </c>
      <c r="U68" t="s">
        <v>19</v>
      </c>
    </row>
    <row r="69" spans="1:21">
      <c r="A69" t="str">
        <f t="shared" si="12"/>
        <v>02/01/2025</v>
      </c>
      <c r="B69" t="str">
        <f t="shared" si="28"/>
        <v>ENTRADA</v>
      </c>
      <c r="C69" t="str">
        <f t="shared" si="13"/>
        <v>NFSE</v>
      </c>
      <c r="D69" t="str">
        <f>"2562"</f>
        <v>2562</v>
      </c>
      <c r="E69" t="str">
        <f t="shared" si="14"/>
        <v>COM</v>
      </c>
      <c r="F69" t="str">
        <f>"PAGMENOS - LJ 657 (10136)"</f>
        <v>PAGMENOS - LJ 657 (10136)</v>
      </c>
      <c r="G69" t="str">
        <f>"Serv.Prest. 09/12/2024 a 15/12/2024 - RPS: 337 - NFSe: 2562"</f>
        <v>Serv.Prest. 09/12/2024 a 15/12/2024 - RPS: 337 - NFSe: 2562</v>
      </c>
      <c r="H69" t="str">
        <f>("26/12/2024")</f>
        <v>26/12/2024</v>
      </c>
      <c r="I69" t="str">
        <f>("16/12/2024")</f>
        <v>16/12/2024</v>
      </c>
      <c r="J69" t="str">
        <f t="shared" si="17"/>
        <v>02/01/2025</v>
      </c>
      <c r="M69">
        <v>303</v>
      </c>
      <c r="N69" t="str">
        <f t="shared" si="18"/>
        <v>RECEITAS COM ENTREGAS</v>
      </c>
      <c r="P69">
        <v>596.6</v>
      </c>
      <c r="Q69" t="str">
        <f>"PAGMENOS - LJ 657 (10136)"</f>
        <v>PAGMENOS - LJ 657 (10136)</v>
      </c>
      <c r="R69" t="str">
        <f t="shared" si="19"/>
        <v>RECEITAS COM ENTREGAS (303)</v>
      </c>
      <c r="S69">
        <v>785</v>
      </c>
      <c r="T69">
        <v>641</v>
      </c>
      <c r="U69" t="s">
        <v>19</v>
      </c>
    </row>
    <row r="70" spans="1:21">
      <c r="A70" t="str">
        <f t="shared" si="12"/>
        <v>02/01/2025</v>
      </c>
      <c r="B70" t="str">
        <f>"SAÍDA"</f>
        <v>SAÍDA</v>
      </c>
      <c r="C70" t="str">
        <f>"JUROS"</f>
        <v>JUROS</v>
      </c>
      <c r="D70" t="str">
        <f>""</f>
        <v/>
      </c>
      <c r="E70" t="str">
        <f>"CXA"</f>
        <v>CXA</v>
      </c>
      <c r="F70" t="str">
        <f>""</f>
        <v/>
      </c>
      <c r="G70" t="str">
        <f>"TAXA BOLETO COMPENSADO"</f>
        <v>TAXA BOLETO COMPENSADO</v>
      </c>
      <c r="H70" t="str">
        <f>("02/01/2025")</f>
        <v>02/01/2025</v>
      </c>
      <c r="I70" t="str">
        <f>("02/01/2025")</f>
        <v>02/01/2025</v>
      </c>
      <c r="J70" t="str">
        <f t="shared" si="17"/>
        <v>02/01/2025</v>
      </c>
      <c r="K70">
        <v>1.7</v>
      </c>
      <c r="L70">
        <v>1.7</v>
      </c>
      <c r="M70">
        <v>401</v>
      </c>
      <c r="N70" t="str">
        <f>"IOF/JUROS/DESP.FINANCEIRA"</f>
        <v>IOF/JUROS/DESP.FINANCEIRA</v>
      </c>
      <c r="O70">
        <v>1.7</v>
      </c>
      <c r="R70" t="str">
        <f>"BANCO CORA (102)"</f>
        <v>BANCO CORA (102)</v>
      </c>
      <c r="S70">
        <v>786</v>
      </c>
      <c r="T70">
        <v>0</v>
      </c>
      <c r="U70" t="s">
        <v>20</v>
      </c>
    </row>
    <row r="71" spans="1:21">
      <c r="A71" t="str">
        <f t="shared" ref="A71:A102" si="29">("03/01/2025")</f>
        <v>03/01/2025</v>
      </c>
      <c r="B71" t="str">
        <f>"ENTRADA"</f>
        <v>ENTRADA</v>
      </c>
      <c r="C71" t="str">
        <f t="shared" ref="C71:C92" si="30">"NFSE"</f>
        <v>NFSE</v>
      </c>
      <c r="D71" t="str">
        <f>"2588"</f>
        <v>2588</v>
      </c>
      <c r="E71" t="str">
        <f t="shared" ref="E71:E92" si="31">"COM"</f>
        <v>COM</v>
      </c>
      <c r="F71" t="str">
        <f>"FRAN FARMA (10124)"</f>
        <v>FRAN FARMA (10124)</v>
      </c>
      <c r="G71" t="str">
        <f>"Serv.Prest. 23/12/2024 a 29/12/2024 - RPS: 363 - NFSe: 2588"</f>
        <v>Serv.Prest. 23/12/2024 a 29/12/2024 - RPS: 363 - NFSe: 2588</v>
      </c>
      <c r="H71" t="str">
        <f t="shared" ref="H71:H86" si="32">("01/01/2025")</f>
        <v>01/01/2025</v>
      </c>
      <c r="I71" t="str">
        <f t="shared" ref="I71:I88" si="33">("30/12/2024")</f>
        <v>30/12/2024</v>
      </c>
      <c r="J71" t="str">
        <f t="shared" ref="J71:J102" si="34">("03/01/2025")</f>
        <v>03/01/2025</v>
      </c>
      <c r="K71">
        <v>320</v>
      </c>
      <c r="L71">
        <v>320</v>
      </c>
      <c r="M71">
        <v>303</v>
      </c>
      <c r="N71" t="str">
        <f t="shared" ref="N71:N92" si="35">"RECEITAS COM ENTREGAS"</f>
        <v>RECEITAS COM ENTREGAS</v>
      </c>
      <c r="O71">
        <v>320</v>
      </c>
      <c r="R71" t="str">
        <f t="shared" ref="R71:R92" si="36">"RECEITAS COM ENTREGAS (303)"</f>
        <v>RECEITAS COM ENTREGAS (303)</v>
      </c>
      <c r="S71">
        <v>711</v>
      </c>
      <c r="T71">
        <v>673</v>
      </c>
      <c r="U71" t="s">
        <v>19</v>
      </c>
    </row>
    <row r="72" spans="1:21">
      <c r="A72" t="str">
        <f t="shared" si="29"/>
        <v>03/01/2025</v>
      </c>
      <c r="B72" t="str">
        <f t="shared" ref="B72:B74" si="37">"ENTRADA"</f>
        <v>ENTRADA</v>
      </c>
      <c r="C72" t="str">
        <f t="shared" si="30"/>
        <v>NFSE</v>
      </c>
      <c r="D72" t="str">
        <f>"2588"</f>
        <v>2588</v>
      </c>
      <c r="E72" t="str">
        <f t="shared" si="31"/>
        <v>COM</v>
      </c>
      <c r="F72" t="str">
        <f>"FRAN FARMA (10124)"</f>
        <v>FRAN FARMA (10124)</v>
      </c>
      <c r="G72" t="str">
        <f>"Serv.Prest. 23/12/2024 a 29/12/2024 - RPS: 363 - NFSe: 2588"</f>
        <v>Serv.Prest. 23/12/2024 a 29/12/2024 - RPS: 363 - NFSe: 2588</v>
      </c>
      <c r="H72" t="str">
        <f t="shared" si="32"/>
        <v>01/01/2025</v>
      </c>
      <c r="I72" t="str">
        <f t="shared" si="33"/>
        <v>30/12/2024</v>
      </c>
      <c r="J72" t="str">
        <f t="shared" si="34"/>
        <v>03/01/2025</v>
      </c>
      <c r="M72">
        <v>303</v>
      </c>
      <c r="N72" t="str">
        <f t="shared" si="35"/>
        <v>RECEITAS COM ENTREGAS</v>
      </c>
      <c r="P72">
        <v>64</v>
      </c>
      <c r="Q72" t="str">
        <f>"FRAN FARMA (10124)"</f>
        <v>FRAN FARMA (10124)</v>
      </c>
      <c r="R72" t="str">
        <f t="shared" si="36"/>
        <v>RECEITAS COM ENTREGAS (303)</v>
      </c>
      <c r="S72">
        <v>711</v>
      </c>
      <c r="T72">
        <v>673</v>
      </c>
      <c r="U72" t="s">
        <v>19</v>
      </c>
    </row>
    <row r="73" spans="1:21">
      <c r="A73" t="str">
        <f t="shared" si="29"/>
        <v>03/01/2025</v>
      </c>
      <c r="B73" t="str">
        <f t="shared" si="37"/>
        <v>ENTRADA</v>
      </c>
      <c r="C73" t="str">
        <f t="shared" si="30"/>
        <v>NFSE</v>
      </c>
      <c r="D73" t="str">
        <f>"2588"</f>
        <v>2588</v>
      </c>
      <c r="E73" t="str">
        <f t="shared" si="31"/>
        <v>COM</v>
      </c>
      <c r="F73" t="str">
        <f>"FRAN FARMA (10124)"</f>
        <v>FRAN FARMA (10124)</v>
      </c>
      <c r="G73" t="str">
        <f>"Serv.Prest. 23/12/2024 a 29/12/2024 - RPS: 363 - NFSe: 2588"</f>
        <v>Serv.Prest. 23/12/2024 a 29/12/2024 - RPS: 363 - NFSe: 2588</v>
      </c>
      <c r="H73" t="str">
        <f t="shared" si="32"/>
        <v>01/01/2025</v>
      </c>
      <c r="I73" t="str">
        <f t="shared" si="33"/>
        <v>30/12/2024</v>
      </c>
      <c r="J73" t="str">
        <f t="shared" si="34"/>
        <v>03/01/2025</v>
      </c>
      <c r="M73">
        <v>303</v>
      </c>
      <c r="N73" t="str">
        <f t="shared" si="35"/>
        <v>RECEITAS COM ENTREGAS</v>
      </c>
      <c r="P73">
        <v>192</v>
      </c>
      <c r="Q73" t="str">
        <f>"FRAN FARMA LJ 2 (10131)"</f>
        <v>FRAN FARMA LJ 2 (10131)</v>
      </c>
      <c r="R73" t="str">
        <f t="shared" si="36"/>
        <v>RECEITAS COM ENTREGAS (303)</v>
      </c>
      <c r="S73">
        <v>711</v>
      </c>
      <c r="T73">
        <v>673</v>
      </c>
      <c r="U73" t="s">
        <v>19</v>
      </c>
    </row>
    <row r="74" spans="1:21">
      <c r="A74" t="str">
        <f t="shared" si="29"/>
        <v>03/01/2025</v>
      </c>
      <c r="B74" t="str">
        <f t="shared" si="37"/>
        <v>ENTRADA</v>
      </c>
      <c r="C74" t="str">
        <f t="shared" si="30"/>
        <v>NFSE</v>
      </c>
      <c r="D74" t="str">
        <f>"2588"</f>
        <v>2588</v>
      </c>
      <c r="E74" t="str">
        <f t="shared" si="31"/>
        <v>COM</v>
      </c>
      <c r="F74" t="str">
        <f>"FRAN FARMA (10124)"</f>
        <v>FRAN FARMA (10124)</v>
      </c>
      <c r="G74" t="str">
        <f>"Serv.Prest. 23/12/2024 a 29/12/2024 - RPS: 363 - NFSe: 2588"</f>
        <v>Serv.Prest. 23/12/2024 a 29/12/2024 - RPS: 363 - NFSe: 2588</v>
      </c>
      <c r="H74" t="str">
        <f t="shared" si="32"/>
        <v>01/01/2025</v>
      </c>
      <c r="I74" t="str">
        <f t="shared" si="33"/>
        <v>30/12/2024</v>
      </c>
      <c r="J74" t="str">
        <f t="shared" si="34"/>
        <v>03/01/2025</v>
      </c>
      <c r="M74">
        <v>303</v>
      </c>
      <c r="N74" t="str">
        <f t="shared" si="35"/>
        <v>RECEITAS COM ENTREGAS</v>
      </c>
      <c r="P74">
        <v>64</v>
      </c>
      <c r="Q74" t="str">
        <f>"FRAN FARMA LJ 3 (10132)"</f>
        <v>FRAN FARMA LJ 3 (10132)</v>
      </c>
      <c r="R74" t="str">
        <f t="shared" si="36"/>
        <v>RECEITAS COM ENTREGAS (303)</v>
      </c>
      <c r="S74">
        <v>711</v>
      </c>
      <c r="T74">
        <v>673</v>
      </c>
      <c r="U74" t="s">
        <v>19</v>
      </c>
    </row>
    <row r="75" spans="1:21">
      <c r="A75" t="str">
        <f t="shared" si="29"/>
        <v>03/01/2025</v>
      </c>
      <c r="B75" t="str">
        <f>"ENTRADA"</f>
        <v>ENTRADA</v>
      </c>
      <c r="C75" t="str">
        <f t="shared" si="30"/>
        <v>NFSE</v>
      </c>
      <c r="D75" t="str">
        <f>"2585"</f>
        <v>2585</v>
      </c>
      <c r="E75" t="str">
        <f t="shared" si="31"/>
        <v>COM</v>
      </c>
      <c r="F75" t="str">
        <f>"DELTA LOJA 2 (10123)"</f>
        <v>DELTA LOJA 2 (10123)</v>
      </c>
      <c r="G75" t="str">
        <f>"Serv.Prest. 23/12/2024 a 29/12/2024 - RPS: 360 - NFSe: 2585"</f>
        <v>Serv.Prest. 23/12/2024 a 29/12/2024 - RPS: 360 - NFSe: 2585</v>
      </c>
      <c r="H75" t="str">
        <f t="shared" si="32"/>
        <v>01/01/2025</v>
      </c>
      <c r="I75" t="str">
        <f t="shared" si="33"/>
        <v>30/12/2024</v>
      </c>
      <c r="J75" t="str">
        <f t="shared" si="34"/>
        <v>03/01/2025</v>
      </c>
      <c r="K75">
        <v>480.48</v>
      </c>
      <c r="L75">
        <v>480.48</v>
      </c>
      <c r="M75">
        <v>303</v>
      </c>
      <c r="N75" t="str">
        <f t="shared" si="35"/>
        <v>RECEITAS COM ENTREGAS</v>
      </c>
      <c r="O75">
        <v>480.48</v>
      </c>
      <c r="R75" t="str">
        <f t="shared" si="36"/>
        <v>RECEITAS COM ENTREGAS (303)</v>
      </c>
      <c r="S75">
        <v>787</v>
      </c>
      <c r="T75">
        <v>670</v>
      </c>
      <c r="U75" t="s">
        <v>19</v>
      </c>
    </row>
    <row r="76" spans="1:21">
      <c r="A76" t="str">
        <f t="shared" si="29"/>
        <v>03/01/2025</v>
      </c>
      <c r="B76" t="str">
        <f t="shared" ref="B76:B90" si="38">"ENTRADA"</f>
        <v>ENTRADA</v>
      </c>
      <c r="C76" t="str">
        <f t="shared" si="30"/>
        <v>NFSE</v>
      </c>
      <c r="D76" t="str">
        <f>"2585"</f>
        <v>2585</v>
      </c>
      <c r="E76" t="str">
        <f t="shared" si="31"/>
        <v>COM</v>
      </c>
      <c r="F76" t="str">
        <f>"DELTA LOJA 2 (10123)"</f>
        <v>DELTA LOJA 2 (10123)</v>
      </c>
      <c r="G76" t="str">
        <f>"Serv.Prest. 23/12/2024 a 29/12/2024 - RPS: 360 - NFSe: 2585"</f>
        <v>Serv.Prest. 23/12/2024 a 29/12/2024 - RPS: 360 - NFSe: 2585</v>
      </c>
      <c r="H76" t="str">
        <f t="shared" si="32"/>
        <v>01/01/2025</v>
      </c>
      <c r="I76" t="str">
        <f t="shared" si="33"/>
        <v>30/12/2024</v>
      </c>
      <c r="J76" t="str">
        <f t="shared" si="34"/>
        <v>03/01/2025</v>
      </c>
      <c r="M76">
        <v>303</v>
      </c>
      <c r="N76" t="str">
        <f t="shared" si="35"/>
        <v>RECEITAS COM ENTREGAS</v>
      </c>
      <c r="P76">
        <v>480.48</v>
      </c>
      <c r="Q76" t="str">
        <f>"DELTA LOJA 2 (10123)"</f>
        <v>DELTA LOJA 2 (10123)</v>
      </c>
      <c r="R76" t="str">
        <f t="shared" si="36"/>
        <v>RECEITAS COM ENTREGAS (303)</v>
      </c>
      <c r="S76">
        <v>787</v>
      </c>
      <c r="T76">
        <v>670</v>
      </c>
      <c r="U76" t="s">
        <v>19</v>
      </c>
    </row>
    <row r="77" spans="1:21">
      <c r="A77" t="str">
        <f t="shared" si="29"/>
        <v>03/01/2025</v>
      </c>
      <c r="B77" t="str">
        <f t="shared" si="38"/>
        <v>ENTRADA</v>
      </c>
      <c r="C77" t="str">
        <f t="shared" si="30"/>
        <v>NFSE</v>
      </c>
      <c r="D77" t="str">
        <f>"2586"</f>
        <v>2586</v>
      </c>
      <c r="E77" t="str">
        <f t="shared" si="31"/>
        <v>COM</v>
      </c>
      <c r="F77" t="str">
        <f>"DROGA ELIDA (10121)"</f>
        <v>DROGA ELIDA (10121)</v>
      </c>
      <c r="G77" t="str">
        <f>"Serv.Prest. 23/12/2024 a 29/12/2024 - RPS: 361 - NFSe: 2586"</f>
        <v>Serv.Prest. 23/12/2024 a 29/12/2024 - RPS: 361 - NFSe: 2586</v>
      </c>
      <c r="H77" t="str">
        <f t="shared" si="32"/>
        <v>01/01/2025</v>
      </c>
      <c r="I77" t="str">
        <f t="shared" si="33"/>
        <v>30/12/2024</v>
      </c>
      <c r="J77" t="str">
        <f t="shared" si="34"/>
        <v>03/01/2025</v>
      </c>
      <c r="K77">
        <v>351.6</v>
      </c>
      <c r="L77">
        <v>351.6</v>
      </c>
      <c r="M77">
        <v>303</v>
      </c>
      <c r="N77" t="str">
        <f t="shared" si="35"/>
        <v>RECEITAS COM ENTREGAS</v>
      </c>
      <c r="O77">
        <v>351.6</v>
      </c>
      <c r="R77" t="str">
        <f t="shared" si="36"/>
        <v>RECEITAS COM ENTREGAS (303)</v>
      </c>
      <c r="S77">
        <v>788</v>
      </c>
      <c r="T77">
        <v>671</v>
      </c>
      <c r="U77" t="s">
        <v>19</v>
      </c>
    </row>
    <row r="78" spans="1:21">
      <c r="A78" t="str">
        <f t="shared" si="29"/>
        <v>03/01/2025</v>
      </c>
      <c r="B78" t="str">
        <f t="shared" si="38"/>
        <v>ENTRADA</v>
      </c>
      <c r="C78" t="str">
        <f t="shared" si="30"/>
        <v>NFSE</v>
      </c>
      <c r="D78" t="str">
        <f>"2586"</f>
        <v>2586</v>
      </c>
      <c r="E78" t="str">
        <f t="shared" si="31"/>
        <v>COM</v>
      </c>
      <c r="F78" t="str">
        <f>"DROGA ELIDA (10121)"</f>
        <v>DROGA ELIDA (10121)</v>
      </c>
      <c r="G78" t="str">
        <f>"Serv.Prest. 23/12/2024 a 29/12/2024 - RPS: 361 - NFSe: 2586"</f>
        <v>Serv.Prest. 23/12/2024 a 29/12/2024 - RPS: 361 - NFSe: 2586</v>
      </c>
      <c r="H78" t="str">
        <f t="shared" si="32"/>
        <v>01/01/2025</v>
      </c>
      <c r="I78" t="str">
        <f t="shared" si="33"/>
        <v>30/12/2024</v>
      </c>
      <c r="J78" t="str">
        <f t="shared" si="34"/>
        <v>03/01/2025</v>
      </c>
      <c r="M78">
        <v>303</v>
      </c>
      <c r="N78" t="str">
        <f t="shared" si="35"/>
        <v>RECEITAS COM ENTREGAS</v>
      </c>
      <c r="P78">
        <v>351.6</v>
      </c>
      <c r="Q78" t="str">
        <f>"DROGA ELIDA (10121)"</f>
        <v>DROGA ELIDA (10121)</v>
      </c>
      <c r="R78" t="str">
        <f t="shared" si="36"/>
        <v>RECEITAS COM ENTREGAS (303)</v>
      </c>
      <c r="S78">
        <v>788</v>
      </c>
      <c r="T78">
        <v>671</v>
      </c>
      <c r="U78" t="s">
        <v>19</v>
      </c>
    </row>
    <row r="79" spans="1:21">
      <c r="A79" t="str">
        <f t="shared" si="29"/>
        <v>03/01/2025</v>
      </c>
      <c r="B79" t="str">
        <f t="shared" si="38"/>
        <v>ENTRADA</v>
      </c>
      <c r="C79" t="str">
        <f t="shared" si="30"/>
        <v>NFSE</v>
      </c>
      <c r="D79" t="str">
        <f>"2587"</f>
        <v>2587</v>
      </c>
      <c r="E79" t="str">
        <f t="shared" si="31"/>
        <v>COM</v>
      </c>
      <c r="F79" t="str">
        <f>"DROGA MONICA (10147)"</f>
        <v>DROGA MONICA (10147)</v>
      </c>
      <c r="G79" t="str">
        <f>"Serv.Prest. 23/12/2024 a 29/12/2024 - RPS: 362 - NFSe: 2587"</f>
        <v>Serv.Prest. 23/12/2024 a 29/12/2024 - RPS: 362 - NFSe: 2587</v>
      </c>
      <c r="H79" t="str">
        <f t="shared" si="32"/>
        <v>01/01/2025</v>
      </c>
      <c r="I79" t="str">
        <f t="shared" si="33"/>
        <v>30/12/2024</v>
      </c>
      <c r="J79" t="str">
        <f t="shared" si="34"/>
        <v>03/01/2025</v>
      </c>
      <c r="K79">
        <v>386.4</v>
      </c>
      <c r="L79">
        <v>386.4</v>
      </c>
      <c r="M79">
        <v>303</v>
      </c>
      <c r="N79" t="str">
        <f t="shared" si="35"/>
        <v>RECEITAS COM ENTREGAS</v>
      </c>
      <c r="O79">
        <v>386.4</v>
      </c>
      <c r="R79" t="str">
        <f t="shared" si="36"/>
        <v>RECEITAS COM ENTREGAS (303)</v>
      </c>
      <c r="S79">
        <v>789</v>
      </c>
      <c r="T79">
        <v>672</v>
      </c>
      <c r="U79" t="s">
        <v>19</v>
      </c>
    </row>
    <row r="80" spans="1:21">
      <c r="A80" t="str">
        <f t="shared" si="29"/>
        <v>03/01/2025</v>
      </c>
      <c r="B80" t="str">
        <f t="shared" si="38"/>
        <v>ENTRADA</v>
      </c>
      <c r="C80" t="str">
        <f t="shared" si="30"/>
        <v>NFSE</v>
      </c>
      <c r="D80" t="str">
        <f>"2587"</f>
        <v>2587</v>
      </c>
      <c r="E80" t="str">
        <f t="shared" si="31"/>
        <v>COM</v>
      </c>
      <c r="F80" t="str">
        <f>"DROGA MONICA (10147)"</f>
        <v>DROGA MONICA (10147)</v>
      </c>
      <c r="G80" t="str">
        <f>"Serv.Prest. 23/12/2024 a 29/12/2024 - RPS: 362 - NFSe: 2587"</f>
        <v>Serv.Prest. 23/12/2024 a 29/12/2024 - RPS: 362 - NFSe: 2587</v>
      </c>
      <c r="H80" t="str">
        <f t="shared" si="32"/>
        <v>01/01/2025</v>
      </c>
      <c r="I80" t="str">
        <f t="shared" si="33"/>
        <v>30/12/2024</v>
      </c>
      <c r="J80" t="str">
        <f t="shared" si="34"/>
        <v>03/01/2025</v>
      </c>
      <c r="M80">
        <v>303</v>
      </c>
      <c r="N80" t="str">
        <f t="shared" si="35"/>
        <v>RECEITAS COM ENTREGAS</v>
      </c>
      <c r="P80">
        <v>386.4</v>
      </c>
      <c r="Q80" t="str">
        <f>"DROGA MONICA (10147)"</f>
        <v>DROGA MONICA (10147)</v>
      </c>
      <c r="R80" t="str">
        <f t="shared" si="36"/>
        <v>RECEITAS COM ENTREGAS (303)</v>
      </c>
      <c r="S80">
        <v>789</v>
      </c>
      <c r="T80">
        <v>672</v>
      </c>
      <c r="U80" t="s">
        <v>19</v>
      </c>
    </row>
    <row r="81" spans="1:21">
      <c r="A81" t="str">
        <f t="shared" si="29"/>
        <v>03/01/2025</v>
      </c>
      <c r="B81" t="str">
        <f t="shared" si="38"/>
        <v>ENTRADA</v>
      </c>
      <c r="C81" t="str">
        <f t="shared" si="30"/>
        <v>NFSE</v>
      </c>
      <c r="D81" t="str">
        <f>"2590"</f>
        <v>2590</v>
      </c>
      <c r="E81" t="str">
        <f t="shared" si="31"/>
        <v>COM</v>
      </c>
      <c r="F81" t="str">
        <f>"FARMACIA ECONOMIZE (10103)"</f>
        <v>FARMACIA ECONOMIZE (10103)</v>
      </c>
      <c r="G81" t="str">
        <f>"Serv.Prest. 23/12/2024 a 29/12/2024 - RPS: 365 - NFSe: 2590"</f>
        <v>Serv.Prest. 23/12/2024 a 29/12/2024 - RPS: 365 - NFSe: 2590</v>
      </c>
      <c r="H81" t="str">
        <f t="shared" si="32"/>
        <v>01/01/2025</v>
      </c>
      <c r="I81" t="str">
        <f t="shared" si="33"/>
        <v>30/12/2024</v>
      </c>
      <c r="J81" t="str">
        <f t="shared" si="34"/>
        <v>03/01/2025</v>
      </c>
      <c r="K81">
        <v>103.02</v>
      </c>
      <c r="L81">
        <v>103.02</v>
      </c>
      <c r="M81">
        <v>303</v>
      </c>
      <c r="N81" t="str">
        <f t="shared" si="35"/>
        <v>RECEITAS COM ENTREGAS</v>
      </c>
      <c r="O81">
        <v>103.02</v>
      </c>
      <c r="R81" t="str">
        <f t="shared" si="36"/>
        <v>RECEITAS COM ENTREGAS (303)</v>
      </c>
      <c r="S81">
        <v>790</v>
      </c>
      <c r="T81">
        <v>675</v>
      </c>
      <c r="U81" t="s">
        <v>19</v>
      </c>
    </row>
    <row r="82" spans="1:21">
      <c r="A82" t="str">
        <f t="shared" si="29"/>
        <v>03/01/2025</v>
      </c>
      <c r="B82" t="str">
        <f t="shared" si="38"/>
        <v>ENTRADA</v>
      </c>
      <c r="C82" t="str">
        <f t="shared" si="30"/>
        <v>NFSE</v>
      </c>
      <c r="D82" t="str">
        <f>"2590"</f>
        <v>2590</v>
      </c>
      <c r="E82" t="str">
        <f t="shared" si="31"/>
        <v>COM</v>
      </c>
      <c r="F82" t="str">
        <f>"FARMACIA ECONOMIZE (10103)"</f>
        <v>FARMACIA ECONOMIZE (10103)</v>
      </c>
      <c r="G82" t="str">
        <f>"Serv.Prest. 23/12/2024 a 29/12/2024 - RPS: 365 - NFSe: 2590"</f>
        <v>Serv.Prest. 23/12/2024 a 29/12/2024 - RPS: 365 - NFSe: 2590</v>
      </c>
      <c r="H82" t="str">
        <f t="shared" si="32"/>
        <v>01/01/2025</v>
      </c>
      <c r="I82" t="str">
        <f t="shared" si="33"/>
        <v>30/12/2024</v>
      </c>
      <c r="J82" t="str">
        <f t="shared" si="34"/>
        <v>03/01/2025</v>
      </c>
      <c r="M82">
        <v>303</v>
      </c>
      <c r="N82" t="str">
        <f t="shared" si="35"/>
        <v>RECEITAS COM ENTREGAS</v>
      </c>
      <c r="P82">
        <v>103.02</v>
      </c>
      <c r="Q82" t="str">
        <f>"FARMACIA ECONOMIZE (10103)"</f>
        <v>FARMACIA ECONOMIZE (10103)</v>
      </c>
      <c r="R82" t="str">
        <f t="shared" si="36"/>
        <v>RECEITAS COM ENTREGAS (303)</v>
      </c>
      <c r="S82">
        <v>790</v>
      </c>
      <c r="T82">
        <v>675</v>
      </c>
      <c r="U82" t="s">
        <v>19</v>
      </c>
    </row>
    <row r="83" spans="1:21">
      <c r="A83" t="str">
        <f t="shared" si="29"/>
        <v>03/01/2025</v>
      </c>
      <c r="B83" t="str">
        <f t="shared" si="38"/>
        <v>ENTRADA</v>
      </c>
      <c r="C83" t="str">
        <f t="shared" si="30"/>
        <v>NFSE</v>
      </c>
      <c r="D83" t="str">
        <f>"2591"</f>
        <v>2591</v>
      </c>
      <c r="E83" t="str">
        <f t="shared" si="31"/>
        <v>COM</v>
      </c>
      <c r="F83" t="str">
        <f>"DROGA CINTIA 2 (10144)"</f>
        <v>DROGA CINTIA 2 (10144)</v>
      </c>
      <c r="G83" t="str">
        <f>"Serv.Prest. 23/12/2024 a 29/12/2024 - RPS: 366 - NFSe: 2591"</f>
        <v>Serv.Prest. 23/12/2024 a 29/12/2024 - RPS: 366 - NFSe: 2591</v>
      </c>
      <c r="H83" t="str">
        <f t="shared" si="32"/>
        <v>01/01/2025</v>
      </c>
      <c r="I83" t="str">
        <f t="shared" si="33"/>
        <v>30/12/2024</v>
      </c>
      <c r="J83" t="str">
        <f t="shared" si="34"/>
        <v>03/01/2025</v>
      </c>
      <c r="K83">
        <v>160.47999999999999</v>
      </c>
      <c r="L83">
        <v>160.47999999999999</v>
      </c>
      <c r="M83">
        <v>303</v>
      </c>
      <c r="N83" t="str">
        <f t="shared" si="35"/>
        <v>RECEITAS COM ENTREGAS</v>
      </c>
      <c r="O83">
        <v>160.47999999999999</v>
      </c>
      <c r="R83" t="str">
        <f t="shared" si="36"/>
        <v>RECEITAS COM ENTREGAS (303)</v>
      </c>
      <c r="S83">
        <v>791</v>
      </c>
      <c r="T83">
        <v>676</v>
      </c>
      <c r="U83" t="s">
        <v>19</v>
      </c>
    </row>
    <row r="84" spans="1:21">
      <c r="A84" t="str">
        <f t="shared" si="29"/>
        <v>03/01/2025</v>
      </c>
      <c r="B84" t="str">
        <f t="shared" si="38"/>
        <v>ENTRADA</v>
      </c>
      <c r="C84" t="str">
        <f t="shared" si="30"/>
        <v>NFSE</v>
      </c>
      <c r="D84" t="str">
        <f>"2591"</f>
        <v>2591</v>
      </c>
      <c r="E84" t="str">
        <f t="shared" si="31"/>
        <v>COM</v>
      </c>
      <c r="F84" t="str">
        <f>"DROGA CINTIA 2 (10144)"</f>
        <v>DROGA CINTIA 2 (10144)</v>
      </c>
      <c r="G84" t="str">
        <f>"Serv.Prest. 23/12/2024 a 29/12/2024 - RPS: 366 - NFSe: 2591"</f>
        <v>Serv.Prest. 23/12/2024 a 29/12/2024 - RPS: 366 - NFSe: 2591</v>
      </c>
      <c r="H84" t="str">
        <f t="shared" si="32"/>
        <v>01/01/2025</v>
      </c>
      <c r="I84" t="str">
        <f t="shared" si="33"/>
        <v>30/12/2024</v>
      </c>
      <c r="J84" t="str">
        <f t="shared" si="34"/>
        <v>03/01/2025</v>
      </c>
      <c r="M84">
        <v>303</v>
      </c>
      <c r="N84" t="str">
        <f t="shared" si="35"/>
        <v>RECEITAS COM ENTREGAS</v>
      </c>
      <c r="P84">
        <v>160.47999999999999</v>
      </c>
      <c r="Q84" t="str">
        <f>"DROGA CINTIA 2 (10144)"</f>
        <v>DROGA CINTIA 2 (10144)</v>
      </c>
      <c r="R84" t="str">
        <f t="shared" si="36"/>
        <v>RECEITAS COM ENTREGAS (303)</v>
      </c>
      <c r="S84">
        <v>791</v>
      </c>
      <c r="T84">
        <v>676</v>
      </c>
      <c r="U84" t="s">
        <v>19</v>
      </c>
    </row>
    <row r="85" spans="1:21">
      <c r="A85" t="str">
        <f t="shared" si="29"/>
        <v>03/01/2025</v>
      </c>
      <c r="B85" t="str">
        <f t="shared" si="38"/>
        <v>ENTRADA</v>
      </c>
      <c r="C85" t="str">
        <f t="shared" si="30"/>
        <v>NFSE</v>
      </c>
      <c r="D85" t="str">
        <f>"2594"</f>
        <v>2594</v>
      </c>
      <c r="E85" t="str">
        <f t="shared" si="31"/>
        <v>COM</v>
      </c>
      <c r="F85" t="str">
        <f>"JAL FARMACIA E DROGARIA LJ 1 (10137)"</f>
        <v>JAL FARMACIA E DROGARIA LJ 1 (10137)</v>
      </c>
      <c r="G85" t="str">
        <f>"Serv.Prest. 23/12/2024 a 29/12/2024 - RPS: 369 - NFSe: 2594"</f>
        <v>Serv.Prest. 23/12/2024 a 29/12/2024 - RPS: 369 - NFSe: 2594</v>
      </c>
      <c r="H85" t="str">
        <f t="shared" si="32"/>
        <v>01/01/2025</v>
      </c>
      <c r="I85" t="str">
        <f t="shared" si="33"/>
        <v>30/12/2024</v>
      </c>
      <c r="J85" t="str">
        <f t="shared" si="34"/>
        <v>03/01/2025</v>
      </c>
      <c r="K85">
        <v>374.4</v>
      </c>
      <c r="L85">
        <v>374.4</v>
      </c>
      <c r="M85">
        <v>303</v>
      </c>
      <c r="N85" t="str">
        <f t="shared" si="35"/>
        <v>RECEITAS COM ENTREGAS</v>
      </c>
      <c r="O85">
        <v>374.4</v>
      </c>
      <c r="R85" t="str">
        <f t="shared" si="36"/>
        <v>RECEITAS COM ENTREGAS (303)</v>
      </c>
      <c r="S85">
        <v>792</v>
      </c>
      <c r="T85">
        <v>679</v>
      </c>
      <c r="U85" t="s">
        <v>19</v>
      </c>
    </row>
    <row r="86" spans="1:21">
      <c r="A86" t="str">
        <f t="shared" si="29"/>
        <v>03/01/2025</v>
      </c>
      <c r="B86" t="str">
        <f t="shared" si="38"/>
        <v>ENTRADA</v>
      </c>
      <c r="C86" t="str">
        <f t="shared" si="30"/>
        <v>NFSE</v>
      </c>
      <c r="D86" t="str">
        <f>"2594"</f>
        <v>2594</v>
      </c>
      <c r="E86" t="str">
        <f t="shared" si="31"/>
        <v>COM</v>
      </c>
      <c r="F86" t="str">
        <f>"JAL FARMACIA E DROGARIA LJ 1 (10137)"</f>
        <v>JAL FARMACIA E DROGARIA LJ 1 (10137)</v>
      </c>
      <c r="G86" t="str">
        <f>"Serv.Prest. 23/12/2024 a 29/12/2024 - RPS: 369 - NFSe: 2594"</f>
        <v>Serv.Prest. 23/12/2024 a 29/12/2024 - RPS: 369 - NFSe: 2594</v>
      </c>
      <c r="H86" t="str">
        <f t="shared" si="32"/>
        <v>01/01/2025</v>
      </c>
      <c r="I86" t="str">
        <f t="shared" si="33"/>
        <v>30/12/2024</v>
      </c>
      <c r="J86" t="str">
        <f t="shared" si="34"/>
        <v>03/01/2025</v>
      </c>
      <c r="M86">
        <v>303</v>
      </c>
      <c r="N86" t="str">
        <f t="shared" si="35"/>
        <v>RECEITAS COM ENTREGAS</v>
      </c>
      <c r="P86">
        <v>374.4</v>
      </c>
      <c r="Q86" t="str">
        <f>"JAL FARMACIA E DROGARIA LJ 1 (10137)"</f>
        <v>JAL FARMACIA E DROGARIA LJ 1 (10137)</v>
      </c>
      <c r="R86" t="str">
        <f t="shared" si="36"/>
        <v>RECEITAS COM ENTREGAS (303)</v>
      </c>
      <c r="S86">
        <v>792</v>
      </c>
      <c r="T86">
        <v>679</v>
      </c>
      <c r="U86" t="s">
        <v>19</v>
      </c>
    </row>
    <row r="87" spans="1:21">
      <c r="A87" t="str">
        <f t="shared" si="29"/>
        <v>03/01/2025</v>
      </c>
      <c r="B87" t="str">
        <f t="shared" si="38"/>
        <v>ENTRADA</v>
      </c>
      <c r="C87" t="str">
        <f t="shared" si="30"/>
        <v>NFSE</v>
      </c>
      <c r="D87" t="str">
        <f>"2596"</f>
        <v>2596</v>
      </c>
      <c r="E87" t="str">
        <f t="shared" si="31"/>
        <v>COM</v>
      </c>
      <c r="F87" t="str">
        <f>"DROGARIA POUPA MINAS (DOIS AMIGOS) 5 (10140)"</f>
        <v>DROGARIA POUPA MINAS (DOIS AMIGOS) 5 (10140)</v>
      </c>
      <c r="G87" t="str">
        <f>"Serv.Prest. 23/12/2024 a 29/12/2024 - RPS: 371 - NFSe: 2596"</f>
        <v>Serv.Prest. 23/12/2024 a 29/12/2024 - RPS: 371 - NFSe: 2596</v>
      </c>
      <c r="H87" t="str">
        <f>("02/01/2025")</f>
        <v>02/01/2025</v>
      </c>
      <c r="I87" t="str">
        <f t="shared" si="33"/>
        <v>30/12/2024</v>
      </c>
      <c r="J87" t="str">
        <f t="shared" si="34"/>
        <v>03/01/2025</v>
      </c>
      <c r="K87">
        <v>740.81</v>
      </c>
      <c r="L87">
        <v>740.81</v>
      </c>
      <c r="M87">
        <v>303</v>
      </c>
      <c r="N87" t="str">
        <f t="shared" si="35"/>
        <v>RECEITAS COM ENTREGAS</v>
      </c>
      <c r="O87">
        <v>740.81</v>
      </c>
      <c r="R87" t="str">
        <f t="shared" si="36"/>
        <v>RECEITAS COM ENTREGAS (303)</v>
      </c>
      <c r="S87">
        <v>793</v>
      </c>
      <c r="T87">
        <v>681</v>
      </c>
      <c r="U87" t="s">
        <v>19</v>
      </c>
    </row>
    <row r="88" spans="1:21">
      <c r="A88" t="str">
        <f t="shared" si="29"/>
        <v>03/01/2025</v>
      </c>
      <c r="B88" t="str">
        <f t="shared" si="38"/>
        <v>ENTRADA</v>
      </c>
      <c r="C88" t="str">
        <f t="shared" si="30"/>
        <v>NFSE</v>
      </c>
      <c r="D88" t="str">
        <f>"2596"</f>
        <v>2596</v>
      </c>
      <c r="E88" t="str">
        <f t="shared" si="31"/>
        <v>COM</v>
      </c>
      <c r="F88" t="str">
        <f>"DROGARIA POUPA MINAS (DOIS AMIGOS) 5 (10140)"</f>
        <v>DROGARIA POUPA MINAS (DOIS AMIGOS) 5 (10140)</v>
      </c>
      <c r="G88" t="str">
        <f>"Serv.Prest. 23/12/2024 a 29/12/2024 - RPS: 371 - NFSe: 2596"</f>
        <v>Serv.Prest. 23/12/2024 a 29/12/2024 - RPS: 371 - NFSe: 2596</v>
      </c>
      <c r="H88" t="str">
        <f>("02/01/2025")</f>
        <v>02/01/2025</v>
      </c>
      <c r="I88" t="str">
        <f t="shared" si="33"/>
        <v>30/12/2024</v>
      </c>
      <c r="J88" t="str">
        <f t="shared" si="34"/>
        <v>03/01/2025</v>
      </c>
      <c r="M88">
        <v>303</v>
      </c>
      <c r="N88" t="str">
        <f t="shared" si="35"/>
        <v>RECEITAS COM ENTREGAS</v>
      </c>
      <c r="P88">
        <v>740.81</v>
      </c>
      <c r="Q88" t="str">
        <f>"DROGARIA POUPA MINAS (ULTRAMINAS) (10116)"</f>
        <v>DROGARIA POUPA MINAS (ULTRAMINAS) (10116)</v>
      </c>
      <c r="R88" t="str">
        <f t="shared" si="36"/>
        <v>RECEITAS COM ENTREGAS (303)</v>
      </c>
      <c r="S88">
        <v>793</v>
      </c>
      <c r="T88">
        <v>681</v>
      </c>
      <c r="U88" t="s">
        <v>19</v>
      </c>
    </row>
    <row r="89" spans="1:21">
      <c r="A89" t="str">
        <f t="shared" si="29"/>
        <v>03/01/2025</v>
      </c>
      <c r="B89" t="str">
        <f t="shared" si="38"/>
        <v>ENTRADA</v>
      </c>
      <c r="C89" t="str">
        <f t="shared" si="30"/>
        <v>NFSE</v>
      </c>
      <c r="D89" t="str">
        <f>"2599"</f>
        <v>2599</v>
      </c>
      <c r="E89" t="str">
        <f t="shared" si="31"/>
        <v>COM</v>
      </c>
      <c r="F89" t="str">
        <f>"FARMELHOR ILHA DO GOVERNADOR (10139)"</f>
        <v>FARMELHOR ILHA DO GOVERNADOR (10139)</v>
      </c>
      <c r="G89" t="str">
        <f>"Serv.Prest. 23/12/2024 a 29/12/2024 - RPS: 374 - NFSe: 2599"</f>
        <v>Serv.Prest. 23/12/2024 a 29/12/2024 - RPS: 374 - NFSe: 2599</v>
      </c>
      <c r="H89" t="str">
        <f t="shared" ref="H89:H102" si="39">("03/01/2025")</f>
        <v>03/01/2025</v>
      </c>
      <c r="I89" t="str">
        <f>("02/01/2025")</f>
        <v>02/01/2025</v>
      </c>
      <c r="J89" t="str">
        <f t="shared" si="34"/>
        <v>03/01/2025</v>
      </c>
      <c r="K89">
        <v>352.64</v>
      </c>
      <c r="L89">
        <v>352.64</v>
      </c>
      <c r="M89">
        <v>303</v>
      </c>
      <c r="N89" t="str">
        <f t="shared" si="35"/>
        <v>RECEITAS COM ENTREGAS</v>
      </c>
      <c r="O89">
        <v>352.64</v>
      </c>
      <c r="R89" t="str">
        <f t="shared" si="36"/>
        <v>RECEITAS COM ENTREGAS (303)</v>
      </c>
      <c r="S89">
        <v>794</v>
      </c>
      <c r="T89">
        <v>684</v>
      </c>
      <c r="U89" t="s">
        <v>19</v>
      </c>
    </row>
    <row r="90" spans="1:21">
      <c r="A90" t="str">
        <f t="shared" si="29"/>
        <v>03/01/2025</v>
      </c>
      <c r="B90" t="str">
        <f t="shared" si="38"/>
        <v>ENTRADA</v>
      </c>
      <c r="C90" t="str">
        <f t="shared" si="30"/>
        <v>NFSE</v>
      </c>
      <c r="D90" t="str">
        <f>"2599"</f>
        <v>2599</v>
      </c>
      <c r="E90" t="str">
        <f t="shared" si="31"/>
        <v>COM</v>
      </c>
      <c r="F90" t="str">
        <f>"FARMELHOR ILHA DO GOVERNADOR (10139)"</f>
        <v>FARMELHOR ILHA DO GOVERNADOR (10139)</v>
      </c>
      <c r="G90" t="str">
        <f>"Serv.Prest. 23/12/2024 a 29/12/2024 - RPS: 374 - NFSe: 2599"</f>
        <v>Serv.Prest. 23/12/2024 a 29/12/2024 - RPS: 374 - NFSe: 2599</v>
      </c>
      <c r="H90" t="str">
        <f t="shared" si="39"/>
        <v>03/01/2025</v>
      </c>
      <c r="I90" t="str">
        <f>("02/01/2025")</f>
        <v>02/01/2025</v>
      </c>
      <c r="J90" t="str">
        <f t="shared" si="34"/>
        <v>03/01/2025</v>
      </c>
      <c r="M90">
        <v>303</v>
      </c>
      <c r="N90" t="str">
        <f t="shared" si="35"/>
        <v>RECEITAS COM ENTREGAS</v>
      </c>
      <c r="P90">
        <v>352.64</v>
      </c>
      <c r="Q90" t="str">
        <f>"FARMELHOR ILHA DO GOVERNADOR (10139)"</f>
        <v>FARMELHOR ILHA DO GOVERNADOR (10139)</v>
      </c>
      <c r="R90" t="str">
        <f t="shared" si="36"/>
        <v>RECEITAS COM ENTREGAS (303)</v>
      </c>
      <c r="S90">
        <v>794</v>
      </c>
      <c r="T90">
        <v>684</v>
      </c>
      <c r="U90" t="s">
        <v>19</v>
      </c>
    </row>
    <row r="91" spans="1:21">
      <c r="A91" t="str">
        <f t="shared" si="29"/>
        <v>03/01/2025</v>
      </c>
      <c r="B91" t="str">
        <f>"ENTRADA"</f>
        <v>ENTRADA</v>
      </c>
      <c r="C91" t="str">
        <f t="shared" si="30"/>
        <v>NFSE</v>
      </c>
      <c r="D91" t="str">
        <f>"2604"</f>
        <v>2604</v>
      </c>
      <c r="E91" t="str">
        <f t="shared" si="31"/>
        <v>COM</v>
      </c>
      <c r="F91" t="str">
        <f>"FARMELHOR ILHA DO GOVERNADOR (10139)"</f>
        <v>FARMELHOR ILHA DO GOVERNADOR (10139)</v>
      </c>
      <c r="G91" t="str">
        <f>"Serv.Prest. 23/12/2024 a 29/12/2024 - RPS: 378 - NFSe: 2604"</f>
        <v>Serv.Prest. 23/12/2024 a 29/12/2024 - RPS: 378 - NFSe: 2604</v>
      </c>
      <c r="H91" t="str">
        <f t="shared" si="39"/>
        <v>03/01/2025</v>
      </c>
      <c r="I91" t="str">
        <f t="shared" ref="I91:I102" si="40">("03/01/2025")</f>
        <v>03/01/2025</v>
      </c>
      <c r="J91" t="str">
        <f t="shared" si="34"/>
        <v>03/01/2025</v>
      </c>
      <c r="K91">
        <v>39.520000000000003</v>
      </c>
      <c r="L91">
        <v>39.520000000000003</v>
      </c>
      <c r="M91">
        <v>303</v>
      </c>
      <c r="N91" t="str">
        <f t="shared" si="35"/>
        <v>RECEITAS COM ENTREGAS</v>
      </c>
      <c r="O91">
        <v>39.520000000000003</v>
      </c>
      <c r="R91" t="str">
        <f t="shared" si="36"/>
        <v>RECEITAS COM ENTREGAS (303)</v>
      </c>
      <c r="S91">
        <v>795</v>
      </c>
      <c r="T91">
        <v>688</v>
      </c>
      <c r="U91" t="s">
        <v>19</v>
      </c>
    </row>
    <row r="92" spans="1:21">
      <c r="A92" t="str">
        <f t="shared" si="29"/>
        <v>03/01/2025</v>
      </c>
      <c r="B92" t="str">
        <f>"ENTRADA"</f>
        <v>ENTRADA</v>
      </c>
      <c r="C92" t="str">
        <f t="shared" si="30"/>
        <v>NFSE</v>
      </c>
      <c r="D92" t="str">
        <f>"2604"</f>
        <v>2604</v>
      </c>
      <c r="E92" t="str">
        <f t="shared" si="31"/>
        <v>COM</v>
      </c>
      <c r="F92" t="str">
        <f>"FARMELHOR ILHA DO GOVERNADOR (10139)"</f>
        <v>FARMELHOR ILHA DO GOVERNADOR (10139)</v>
      </c>
      <c r="G92" t="str">
        <f>"Serv.Prest. 23/12/2024 a 29/12/2024 - RPS: 378 - NFSe: 2604"</f>
        <v>Serv.Prest. 23/12/2024 a 29/12/2024 - RPS: 378 - NFSe: 2604</v>
      </c>
      <c r="H92" t="str">
        <f t="shared" si="39"/>
        <v>03/01/2025</v>
      </c>
      <c r="I92" t="str">
        <f t="shared" si="40"/>
        <v>03/01/2025</v>
      </c>
      <c r="J92" t="str">
        <f t="shared" si="34"/>
        <v>03/01/2025</v>
      </c>
      <c r="M92">
        <v>303</v>
      </c>
      <c r="N92" t="str">
        <f t="shared" si="35"/>
        <v>RECEITAS COM ENTREGAS</v>
      </c>
      <c r="P92">
        <v>39.520000000000003</v>
      </c>
      <c r="Q92" t="str">
        <f>"FARMELHOR ILHA DO GOVERNADOR (10139)"</f>
        <v>FARMELHOR ILHA DO GOVERNADOR (10139)</v>
      </c>
      <c r="R92" t="str">
        <f t="shared" si="36"/>
        <v>RECEITAS COM ENTREGAS (303)</v>
      </c>
      <c r="S92">
        <v>795</v>
      </c>
      <c r="T92">
        <v>688</v>
      </c>
      <c r="U92" t="s">
        <v>19</v>
      </c>
    </row>
    <row r="93" spans="1:21">
      <c r="A93" t="str">
        <f t="shared" si="29"/>
        <v>03/01/2025</v>
      </c>
      <c r="B93" t="str">
        <f t="shared" ref="B93:B114" si="41">"SAÍDA"</f>
        <v>SAÍDA</v>
      </c>
      <c r="C93" t="str">
        <f t="shared" ref="C93:C102" si="42">"JUROS"</f>
        <v>JUROS</v>
      </c>
      <c r="D93" t="str">
        <f>""</f>
        <v/>
      </c>
      <c r="E93" t="str">
        <f t="shared" ref="E93:E102" si="43">"CXA"</f>
        <v>CXA</v>
      </c>
      <c r="F93" t="str">
        <f>""</f>
        <v/>
      </c>
      <c r="G93" t="str">
        <f t="shared" ref="G93:G101" si="44">"TAXA BOLETO COMPENSADO"</f>
        <v>TAXA BOLETO COMPENSADO</v>
      </c>
      <c r="H93" t="str">
        <f t="shared" si="39"/>
        <v>03/01/2025</v>
      </c>
      <c r="I93" t="str">
        <f t="shared" si="40"/>
        <v>03/01/2025</v>
      </c>
      <c r="J93" t="str">
        <f t="shared" si="34"/>
        <v>03/01/2025</v>
      </c>
      <c r="K93">
        <v>1.7</v>
      </c>
      <c r="L93">
        <v>1.7</v>
      </c>
      <c r="M93">
        <v>401</v>
      </c>
      <c r="N93" t="str">
        <f t="shared" ref="N93:N102" si="45">"IOF/JUROS/DESP.FINANCEIRA"</f>
        <v>IOF/JUROS/DESP.FINANCEIRA</v>
      </c>
      <c r="O93">
        <v>1.7</v>
      </c>
      <c r="R93" t="str">
        <f t="shared" ref="R93:R114" si="46">"BANCO CORA (102)"</f>
        <v>BANCO CORA (102)</v>
      </c>
      <c r="S93">
        <v>796</v>
      </c>
      <c r="T93">
        <v>0</v>
      </c>
      <c r="U93" t="s">
        <v>20</v>
      </c>
    </row>
    <row r="94" spans="1:21">
      <c r="A94" t="str">
        <f t="shared" si="29"/>
        <v>03/01/2025</v>
      </c>
      <c r="B94" t="str">
        <f t="shared" si="41"/>
        <v>SAÍDA</v>
      </c>
      <c r="C94" t="str">
        <f t="shared" si="42"/>
        <v>JUROS</v>
      </c>
      <c r="D94" t="str">
        <f>""</f>
        <v/>
      </c>
      <c r="E94" t="str">
        <f t="shared" si="43"/>
        <v>CXA</v>
      </c>
      <c r="F94" t="str">
        <f>""</f>
        <v/>
      </c>
      <c r="G94" t="str">
        <f t="shared" si="44"/>
        <v>TAXA BOLETO COMPENSADO</v>
      </c>
      <c r="H94" t="str">
        <f t="shared" si="39"/>
        <v>03/01/2025</v>
      </c>
      <c r="I94" t="str">
        <f t="shared" si="40"/>
        <v>03/01/2025</v>
      </c>
      <c r="J94" t="str">
        <f t="shared" si="34"/>
        <v>03/01/2025</v>
      </c>
      <c r="K94">
        <v>1.7</v>
      </c>
      <c r="L94">
        <v>1.7</v>
      </c>
      <c r="M94">
        <v>401</v>
      </c>
      <c r="N94" t="str">
        <f t="shared" si="45"/>
        <v>IOF/JUROS/DESP.FINANCEIRA</v>
      </c>
      <c r="O94">
        <v>1.7</v>
      </c>
      <c r="R94" t="str">
        <f t="shared" si="46"/>
        <v>BANCO CORA (102)</v>
      </c>
      <c r="S94">
        <v>797</v>
      </c>
      <c r="T94">
        <v>0</v>
      </c>
      <c r="U94" t="s">
        <v>20</v>
      </c>
    </row>
    <row r="95" spans="1:21">
      <c r="A95" t="str">
        <f t="shared" si="29"/>
        <v>03/01/2025</v>
      </c>
      <c r="B95" t="str">
        <f t="shared" si="41"/>
        <v>SAÍDA</v>
      </c>
      <c r="C95" t="str">
        <f t="shared" si="42"/>
        <v>JUROS</v>
      </c>
      <c r="D95" t="str">
        <f>""</f>
        <v/>
      </c>
      <c r="E95" t="str">
        <f t="shared" si="43"/>
        <v>CXA</v>
      </c>
      <c r="F95" t="str">
        <f>""</f>
        <v/>
      </c>
      <c r="G95" t="str">
        <f t="shared" si="44"/>
        <v>TAXA BOLETO COMPENSADO</v>
      </c>
      <c r="H95" t="str">
        <f t="shared" si="39"/>
        <v>03/01/2025</v>
      </c>
      <c r="I95" t="str">
        <f t="shared" si="40"/>
        <v>03/01/2025</v>
      </c>
      <c r="J95" t="str">
        <f t="shared" si="34"/>
        <v>03/01/2025</v>
      </c>
      <c r="K95">
        <v>1.7</v>
      </c>
      <c r="L95">
        <v>1.7</v>
      </c>
      <c r="M95">
        <v>401</v>
      </c>
      <c r="N95" t="str">
        <f t="shared" si="45"/>
        <v>IOF/JUROS/DESP.FINANCEIRA</v>
      </c>
      <c r="O95">
        <v>1.7</v>
      </c>
      <c r="R95" t="str">
        <f t="shared" si="46"/>
        <v>BANCO CORA (102)</v>
      </c>
      <c r="S95">
        <v>798</v>
      </c>
      <c r="T95">
        <v>0</v>
      </c>
      <c r="U95" t="s">
        <v>20</v>
      </c>
    </row>
    <row r="96" spans="1:21">
      <c r="A96" t="str">
        <f t="shared" si="29"/>
        <v>03/01/2025</v>
      </c>
      <c r="B96" t="str">
        <f t="shared" si="41"/>
        <v>SAÍDA</v>
      </c>
      <c r="C96" t="str">
        <f t="shared" si="42"/>
        <v>JUROS</v>
      </c>
      <c r="D96" t="str">
        <f>""</f>
        <v/>
      </c>
      <c r="E96" t="str">
        <f t="shared" si="43"/>
        <v>CXA</v>
      </c>
      <c r="F96" t="str">
        <f>""</f>
        <v/>
      </c>
      <c r="G96" t="str">
        <f t="shared" si="44"/>
        <v>TAXA BOLETO COMPENSADO</v>
      </c>
      <c r="H96" t="str">
        <f t="shared" si="39"/>
        <v>03/01/2025</v>
      </c>
      <c r="I96" t="str">
        <f t="shared" si="40"/>
        <v>03/01/2025</v>
      </c>
      <c r="J96" t="str">
        <f t="shared" si="34"/>
        <v>03/01/2025</v>
      </c>
      <c r="K96">
        <v>1.7</v>
      </c>
      <c r="L96">
        <v>1.7</v>
      </c>
      <c r="M96">
        <v>401</v>
      </c>
      <c r="N96" t="str">
        <f t="shared" si="45"/>
        <v>IOF/JUROS/DESP.FINANCEIRA</v>
      </c>
      <c r="O96">
        <v>1.7</v>
      </c>
      <c r="R96" t="str">
        <f t="shared" si="46"/>
        <v>BANCO CORA (102)</v>
      </c>
      <c r="S96">
        <v>799</v>
      </c>
      <c r="T96">
        <v>0</v>
      </c>
      <c r="U96" t="s">
        <v>20</v>
      </c>
    </row>
    <row r="97" spans="1:21">
      <c r="A97" t="str">
        <f t="shared" si="29"/>
        <v>03/01/2025</v>
      </c>
      <c r="B97" t="str">
        <f t="shared" si="41"/>
        <v>SAÍDA</v>
      </c>
      <c r="C97" t="str">
        <f t="shared" si="42"/>
        <v>JUROS</v>
      </c>
      <c r="D97" t="str">
        <f>""</f>
        <v/>
      </c>
      <c r="E97" t="str">
        <f t="shared" si="43"/>
        <v>CXA</v>
      </c>
      <c r="F97" t="str">
        <f>""</f>
        <v/>
      </c>
      <c r="G97" t="str">
        <f t="shared" si="44"/>
        <v>TAXA BOLETO COMPENSADO</v>
      </c>
      <c r="H97" t="str">
        <f t="shared" si="39"/>
        <v>03/01/2025</v>
      </c>
      <c r="I97" t="str">
        <f t="shared" si="40"/>
        <v>03/01/2025</v>
      </c>
      <c r="J97" t="str">
        <f t="shared" si="34"/>
        <v>03/01/2025</v>
      </c>
      <c r="K97">
        <v>1.7</v>
      </c>
      <c r="L97">
        <v>1.7</v>
      </c>
      <c r="M97">
        <v>401</v>
      </c>
      <c r="N97" t="str">
        <f t="shared" si="45"/>
        <v>IOF/JUROS/DESP.FINANCEIRA</v>
      </c>
      <c r="O97">
        <v>1.7</v>
      </c>
      <c r="R97" t="str">
        <f t="shared" si="46"/>
        <v>BANCO CORA (102)</v>
      </c>
      <c r="S97">
        <v>800</v>
      </c>
      <c r="T97">
        <v>0</v>
      </c>
      <c r="U97" t="s">
        <v>20</v>
      </c>
    </row>
    <row r="98" spans="1:21">
      <c r="A98" t="str">
        <f t="shared" si="29"/>
        <v>03/01/2025</v>
      </c>
      <c r="B98" t="str">
        <f t="shared" si="41"/>
        <v>SAÍDA</v>
      </c>
      <c r="C98" t="str">
        <f t="shared" si="42"/>
        <v>JUROS</v>
      </c>
      <c r="D98" t="str">
        <f>""</f>
        <v/>
      </c>
      <c r="E98" t="str">
        <f t="shared" si="43"/>
        <v>CXA</v>
      </c>
      <c r="F98" t="str">
        <f>""</f>
        <v/>
      </c>
      <c r="G98" t="str">
        <f t="shared" si="44"/>
        <v>TAXA BOLETO COMPENSADO</v>
      </c>
      <c r="H98" t="str">
        <f t="shared" si="39"/>
        <v>03/01/2025</v>
      </c>
      <c r="I98" t="str">
        <f t="shared" si="40"/>
        <v>03/01/2025</v>
      </c>
      <c r="J98" t="str">
        <f t="shared" si="34"/>
        <v>03/01/2025</v>
      </c>
      <c r="K98">
        <v>1.7</v>
      </c>
      <c r="L98">
        <v>1.7</v>
      </c>
      <c r="M98">
        <v>401</v>
      </c>
      <c r="N98" t="str">
        <f t="shared" si="45"/>
        <v>IOF/JUROS/DESP.FINANCEIRA</v>
      </c>
      <c r="O98">
        <v>1.7</v>
      </c>
      <c r="R98" t="str">
        <f t="shared" si="46"/>
        <v>BANCO CORA (102)</v>
      </c>
      <c r="S98">
        <v>801</v>
      </c>
      <c r="T98">
        <v>0</v>
      </c>
      <c r="U98" t="s">
        <v>20</v>
      </c>
    </row>
    <row r="99" spans="1:21">
      <c r="A99" t="str">
        <f t="shared" si="29"/>
        <v>03/01/2025</v>
      </c>
      <c r="B99" t="str">
        <f t="shared" si="41"/>
        <v>SAÍDA</v>
      </c>
      <c r="C99" t="str">
        <f t="shared" si="42"/>
        <v>JUROS</v>
      </c>
      <c r="D99" t="str">
        <f>""</f>
        <v/>
      </c>
      <c r="E99" t="str">
        <f t="shared" si="43"/>
        <v>CXA</v>
      </c>
      <c r="F99" t="str">
        <f>""</f>
        <v/>
      </c>
      <c r="G99" t="str">
        <f t="shared" si="44"/>
        <v>TAXA BOLETO COMPENSADO</v>
      </c>
      <c r="H99" t="str">
        <f t="shared" si="39"/>
        <v>03/01/2025</v>
      </c>
      <c r="I99" t="str">
        <f t="shared" si="40"/>
        <v>03/01/2025</v>
      </c>
      <c r="J99" t="str">
        <f t="shared" si="34"/>
        <v>03/01/2025</v>
      </c>
      <c r="K99">
        <v>1.7</v>
      </c>
      <c r="L99">
        <v>1.7</v>
      </c>
      <c r="M99">
        <v>401</v>
      </c>
      <c r="N99" t="str">
        <f t="shared" si="45"/>
        <v>IOF/JUROS/DESP.FINANCEIRA</v>
      </c>
      <c r="O99">
        <v>1.7</v>
      </c>
      <c r="R99" t="str">
        <f t="shared" si="46"/>
        <v>BANCO CORA (102)</v>
      </c>
      <c r="S99">
        <v>802</v>
      </c>
      <c r="T99">
        <v>0</v>
      </c>
      <c r="U99" t="s">
        <v>20</v>
      </c>
    </row>
    <row r="100" spans="1:21">
      <c r="A100" t="str">
        <f t="shared" si="29"/>
        <v>03/01/2025</v>
      </c>
      <c r="B100" t="str">
        <f t="shared" si="41"/>
        <v>SAÍDA</v>
      </c>
      <c r="C100" t="str">
        <f t="shared" si="42"/>
        <v>JUROS</v>
      </c>
      <c r="D100" t="str">
        <f>""</f>
        <v/>
      </c>
      <c r="E100" t="str">
        <f t="shared" si="43"/>
        <v>CXA</v>
      </c>
      <c r="F100" t="str">
        <f>""</f>
        <v/>
      </c>
      <c r="G100" t="str">
        <f t="shared" si="44"/>
        <v>TAXA BOLETO COMPENSADO</v>
      </c>
      <c r="H100" t="str">
        <f t="shared" si="39"/>
        <v>03/01/2025</v>
      </c>
      <c r="I100" t="str">
        <f t="shared" si="40"/>
        <v>03/01/2025</v>
      </c>
      <c r="J100" t="str">
        <f t="shared" si="34"/>
        <v>03/01/2025</v>
      </c>
      <c r="K100">
        <v>1.7</v>
      </c>
      <c r="L100">
        <v>1.7</v>
      </c>
      <c r="M100">
        <v>401</v>
      </c>
      <c r="N100" t="str">
        <f t="shared" si="45"/>
        <v>IOF/JUROS/DESP.FINANCEIRA</v>
      </c>
      <c r="O100">
        <v>1.7</v>
      </c>
      <c r="R100" t="str">
        <f t="shared" si="46"/>
        <v>BANCO CORA (102)</v>
      </c>
      <c r="S100">
        <v>803</v>
      </c>
      <c r="T100">
        <v>0</v>
      </c>
      <c r="U100" t="s">
        <v>20</v>
      </c>
    </row>
    <row r="101" spans="1:21">
      <c r="A101" t="str">
        <f t="shared" si="29"/>
        <v>03/01/2025</v>
      </c>
      <c r="B101" t="str">
        <f t="shared" si="41"/>
        <v>SAÍDA</v>
      </c>
      <c r="C101" t="str">
        <f t="shared" si="42"/>
        <v>JUROS</v>
      </c>
      <c r="D101" t="str">
        <f>""</f>
        <v/>
      </c>
      <c r="E101" t="str">
        <f t="shared" si="43"/>
        <v>CXA</v>
      </c>
      <c r="F101" t="str">
        <f>""</f>
        <v/>
      </c>
      <c r="G101" t="str">
        <f t="shared" si="44"/>
        <v>TAXA BOLETO COMPENSADO</v>
      </c>
      <c r="H101" t="str">
        <f t="shared" si="39"/>
        <v>03/01/2025</v>
      </c>
      <c r="I101" t="str">
        <f t="shared" si="40"/>
        <v>03/01/2025</v>
      </c>
      <c r="J101" t="str">
        <f t="shared" si="34"/>
        <v>03/01/2025</v>
      </c>
      <c r="K101">
        <v>1.7</v>
      </c>
      <c r="L101">
        <v>1.7</v>
      </c>
      <c r="M101">
        <v>401</v>
      </c>
      <c r="N101" t="str">
        <f t="shared" si="45"/>
        <v>IOF/JUROS/DESP.FINANCEIRA</v>
      </c>
      <c r="O101">
        <v>1.7</v>
      </c>
      <c r="R101" t="str">
        <f t="shared" si="46"/>
        <v>BANCO CORA (102)</v>
      </c>
      <c r="S101">
        <v>804</v>
      </c>
      <c r="T101">
        <v>0</v>
      </c>
      <c r="U101" t="s">
        <v>20</v>
      </c>
    </row>
    <row r="102" spans="1:21">
      <c r="A102" t="str">
        <f t="shared" si="29"/>
        <v>03/01/2025</v>
      </c>
      <c r="B102" t="str">
        <f t="shared" si="41"/>
        <v>SAÍDA</v>
      </c>
      <c r="C102" t="str">
        <f t="shared" si="42"/>
        <v>JUROS</v>
      </c>
      <c r="D102" t="str">
        <f>""</f>
        <v/>
      </c>
      <c r="E102" t="str">
        <f t="shared" si="43"/>
        <v>CXA</v>
      </c>
      <c r="F102" t="str">
        <f>""</f>
        <v/>
      </c>
      <c r="G102" t="str">
        <f>"TAXA DE PIX VIA API"</f>
        <v>TAXA DE PIX VIA API</v>
      </c>
      <c r="H102" t="str">
        <f t="shared" si="39"/>
        <v>03/01/2025</v>
      </c>
      <c r="I102" t="str">
        <f t="shared" si="40"/>
        <v>03/01/2025</v>
      </c>
      <c r="J102" t="str">
        <f t="shared" si="34"/>
        <v>03/01/2025</v>
      </c>
      <c r="K102">
        <v>0.39</v>
      </c>
      <c r="L102">
        <v>0.39</v>
      </c>
      <c r="M102">
        <v>401</v>
      </c>
      <c r="N102" t="str">
        <f t="shared" si="45"/>
        <v>IOF/JUROS/DESP.FINANCEIRA</v>
      </c>
      <c r="O102">
        <v>0.39</v>
      </c>
      <c r="R102" t="str">
        <f t="shared" si="46"/>
        <v>BANCO CORA (102)</v>
      </c>
      <c r="S102">
        <v>805</v>
      </c>
      <c r="T102">
        <v>0</v>
      </c>
      <c r="U102" t="s">
        <v>20</v>
      </c>
    </row>
    <row r="103" spans="1:21">
      <c r="A103" t="str">
        <f t="shared" ref="A103:A114" si="47">("06/01/2025")</f>
        <v>06/01/2025</v>
      </c>
      <c r="B103" t="str">
        <f t="shared" si="41"/>
        <v>SAÍDA</v>
      </c>
      <c r="C103" t="str">
        <f>"BOLETO"</f>
        <v>BOLETO</v>
      </c>
      <c r="D103" t="str">
        <f>"01"</f>
        <v>01</v>
      </c>
      <c r="E103" t="str">
        <f t="shared" ref="E103:E130" si="48">"COM"</f>
        <v>COM</v>
      </c>
      <c r="F103" t="str">
        <f>"BANCO DO BRASIL (20001)"</f>
        <v>BANCO DO BRASIL (20001)</v>
      </c>
      <c r="G103" t="str">
        <f>"EMPRESTIMO FUI TECNOLOGIA"</f>
        <v>EMPRESTIMO FUI TECNOLOGIA</v>
      </c>
      <c r="H103" t="str">
        <f t="shared" ref="H103:H114" si="49">("06/01/2025")</f>
        <v>06/01/2025</v>
      </c>
      <c r="I103" t="str">
        <f>("23/07/2024")</f>
        <v>23/07/2024</v>
      </c>
      <c r="J103" t="str">
        <f t="shared" ref="J103:J114" si="50">("06/01/2025")</f>
        <v>06/01/2025</v>
      </c>
      <c r="K103">
        <v>508.77</v>
      </c>
      <c r="L103">
        <v>508.77</v>
      </c>
      <c r="M103">
        <v>114</v>
      </c>
      <c r="N103" t="str">
        <f>"EMPRESTIMOS"</f>
        <v>EMPRESTIMOS</v>
      </c>
      <c r="O103">
        <v>508.77</v>
      </c>
      <c r="R103" t="str">
        <f t="shared" si="46"/>
        <v>BANCO CORA (102)</v>
      </c>
      <c r="S103">
        <v>806</v>
      </c>
      <c r="T103">
        <v>70</v>
      </c>
      <c r="U103" t="s">
        <v>19</v>
      </c>
    </row>
    <row r="104" spans="1:21">
      <c r="A104" t="str">
        <f t="shared" si="47"/>
        <v>06/01/2025</v>
      </c>
      <c r="B104" t="str">
        <f t="shared" si="41"/>
        <v>SAÍDA</v>
      </c>
      <c r="C104" t="str">
        <f>"BOLETO"</f>
        <v>BOLETO</v>
      </c>
      <c r="D104" t="str">
        <f>"01"</f>
        <v>01</v>
      </c>
      <c r="E104" t="str">
        <f t="shared" si="48"/>
        <v>COM</v>
      </c>
      <c r="F104" t="str">
        <f>"BANCO DO BRASIL (20001)"</f>
        <v>BANCO DO BRASIL (20001)</v>
      </c>
      <c r="G104" t="str">
        <f>"EMPRESTIMO FUI TECNOLOGIA"</f>
        <v>EMPRESTIMO FUI TECNOLOGIA</v>
      </c>
      <c r="H104" t="str">
        <f t="shared" si="49"/>
        <v>06/01/2025</v>
      </c>
      <c r="I104" t="str">
        <f>("23/07/2024")</f>
        <v>23/07/2024</v>
      </c>
      <c r="J104" t="str">
        <f t="shared" si="50"/>
        <v>06/01/2025</v>
      </c>
      <c r="M104">
        <v>114</v>
      </c>
      <c r="N104" t="str">
        <f>"EMPRESTIMOS"</f>
        <v>EMPRESTIMOS</v>
      </c>
      <c r="P104">
        <v>508.77</v>
      </c>
      <c r="Q104" t="str">
        <f>"BANCO DO BRASIL (20001)"</f>
        <v>BANCO DO BRASIL (20001)</v>
      </c>
      <c r="R104" t="str">
        <f t="shared" si="46"/>
        <v>BANCO CORA (102)</v>
      </c>
      <c r="S104">
        <v>806</v>
      </c>
      <c r="T104">
        <v>70</v>
      </c>
      <c r="U104" t="s">
        <v>19</v>
      </c>
    </row>
    <row r="105" spans="1:21">
      <c r="A105" t="str">
        <f t="shared" si="47"/>
        <v>06/01/2025</v>
      </c>
      <c r="B105" t="str">
        <f t="shared" si="41"/>
        <v>SAÍDA</v>
      </c>
      <c r="C105" t="str">
        <f t="shared" ref="C105:C114" si="51">"PIX"</f>
        <v>PIX</v>
      </c>
      <c r="D105" t="str">
        <f>"07"</f>
        <v>07</v>
      </c>
      <c r="E105" t="str">
        <f t="shared" si="48"/>
        <v>COM</v>
      </c>
      <c r="F105" t="str">
        <f>"LILIANE DE FATIMA REZENDE JUSTINO (20013)"</f>
        <v>LILIANE DE FATIMA REZENDE JUSTINO (20013)</v>
      </c>
      <c r="G105" t="str">
        <f>"REF. PRO-LABORE MES 07/2024"</f>
        <v>REF. PRO-LABORE MES 07/2024</v>
      </c>
      <c r="H105" t="str">
        <f t="shared" si="49"/>
        <v>06/01/2025</v>
      </c>
      <c r="I105" t="str">
        <f t="shared" ref="I105:I110" si="52">("01/01/2025")</f>
        <v>01/01/2025</v>
      </c>
      <c r="J105" t="str">
        <f t="shared" si="50"/>
        <v>06/01/2025</v>
      </c>
      <c r="K105">
        <v>23333.33</v>
      </c>
      <c r="L105">
        <v>23333.33</v>
      </c>
      <c r="M105">
        <v>124</v>
      </c>
      <c r="N105" t="str">
        <f>"PRO LABORE - LILIANE"</f>
        <v>PRO LABORE - LILIANE</v>
      </c>
      <c r="O105">
        <v>23333.33</v>
      </c>
      <c r="R105" t="str">
        <f t="shared" si="46"/>
        <v>BANCO CORA (102)</v>
      </c>
      <c r="S105">
        <v>807</v>
      </c>
      <c r="T105">
        <v>563</v>
      </c>
      <c r="U105" t="s">
        <v>19</v>
      </c>
    </row>
    <row r="106" spans="1:21">
      <c r="A106" t="str">
        <f t="shared" si="47"/>
        <v>06/01/2025</v>
      </c>
      <c r="B106" t="str">
        <f t="shared" si="41"/>
        <v>SAÍDA</v>
      </c>
      <c r="C106" t="str">
        <f t="shared" si="51"/>
        <v>PIX</v>
      </c>
      <c r="D106" t="str">
        <f>"07"</f>
        <v>07</v>
      </c>
      <c r="E106" t="str">
        <f t="shared" si="48"/>
        <v>COM</v>
      </c>
      <c r="F106" t="str">
        <f>"LILIANE DE FATIMA REZENDE JUSTINO (20013)"</f>
        <v>LILIANE DE FATIMA REZENDE JUSTINO (20013)</v>
      </c>
      <c r="G106" t="str">
        <f>"REF. PRO-LABORE MES 07/2024"</f>
        <v>REF. PRO-LABORE MES 07/2024</v>
      </c>
      <c r="H106" t="str">
        <f t="shared" si="49"/>
        <v>06/01/2025</v>
      </c>
      <c r="I106" t="str">
        <f t="shared" si="52"/>
        <v>01/01/2025</v>
      </c>
      <c r="J106" t="str">
        <f t="shared" si="50"/>
        <v>06/01/2025</v>
      </c>
      <c r="M106">
        <v>124</v>
      </c>
      <c r="N106" t="str">
        <f>"PRO LABORE - LILIANE"</f>
        <v>PRO LABORE - LILIANE</v>
      </c>
      <c r="P106">
        <v>23333.33</v>
      </c>
      <c r="Q106" t="str">
        <f>"LILIANE DE FATIMA REZENDE JUSTINO (20013)"</f>
        <v>LILIANE DE FATIMA REZENDE JUSTINO (20013)</v>
      </c>
      <c r="R106" t="str">
        <f t="shared" si="46"/>
        <v>BANCO CORA (102)</v>
      </c>
      <c r="S106">
        <v>807</v>
      </c>
      <c r="T106">
        <v>563</v>
      </c>
      <c r="U106" t="s">
        <v>19</v>
      </c>
    </row>
    <row r="107" spans="1:21">
      <c r="A107" t="str">
        <f t="shared" si="47"/>
        <v>06/01/2025</v>
      </c>
      <c r="B107" t="str">
        <f t="shared" si="41"/>
        <v>SAÍDA</v>
      </c>
      <c r="C107" t="str">
        <f t="shared" si="51"/>
        <v>PIX</v>
      </c>
      <c r="D107" t="str">
        <f>"01"</f>
        <v>01</v>
      </c>
      <c r="E107" t="str">
        <f t="shared" si="48"/>
        <v>COM</v>
      </c>
      <c r="F107" t="str">
        <f>"LILIANE DE FATIMA REZENDE JUSTINO (20013)"</f>
        <v>LILIANE DE FATIMA REZENDE JUSTINO (20013)</v>
      </c>
      <c r="G107" t="str">
        <f>"REF. PREST. SERVICO LILIANE"</f>
        <v>REF. PREST. SERVICO LILIANE</v>
      </c>
      <c r="H107" t="str">
        <f t="shared" si="49"/>
        <v>06/01/2025</v>
      </c>
      <c r="I107" t="str">
        <f t="shared" si="52"/>
        <v>01/01/2025</v>
      </c>
      <c r="J107" t="str">
        <f t="shared" si="50"/>
        <v>06/01/2025</v>
      </c>
      <c r="K107">
        <v>1500</v>
      </c>
      <c r="L107">
        <v>1500</v>
      </c>
      <c r="M107">
        <v>103</v>
      </c>
      <c r="N107" t="str">
        <f>"PAGAMENTO DE FUNCIONÁRIOS"</f>
        <v>PAGAMENTO DE FUNCIONÁRIOS</v>
      </c>
      <c r="O107">
        <v>1500</v>
      </c>
      <c r="R107" t="str">
        <f t="shared" si="46"/>
        <v>BANCO CORA (102)</v>
      </c>
      <c r="S107">
        <v>808</v>
      </c>
      <c r="T107">
        <v>575</v>
      </c>
      <c r="U107" t="s">
        <v>19</v>
      </c>
    </row>
    <row r="108" spans="1:21">
      <c r="A108" t="str">
        <f t="shared" si="47"/>
        <v>06/01/2025</v>
      </c>
      <c r="B108" t="str">
        <f t="shared" si="41"/>
        <v>SAÍDA</v>
      </c>
      <c r="C108" t="str">
        <f t="shared" si="51"/>
        <v>PIX</v>
      </c>
      <c r="D108" t="str">
        <f>"01"</f>
        <v>01</v>
      </c>
      <c r="E108" t="str">
        <f t="shared" si="48"/>
        <v>COM</v>
      </c>
      <c r="F108" t="str">
        <f>"LILIANE DE FATIMA REZENDE JUSTINO (20013)"</f>
        <v>LILIANE DE FATIMA REZENDE JUSTINO (20013)</v>
      </c>
      <c r="G108" t="str">
        <f>"REF. PREST. SERVICO LILIANE"</f>
        <v>REF. PREST. SERVICO LILIANE</v>
      </c>
      <c r="H108" t="str">
        <f t="shared" si="49"/>
        <v>06/01/2025</v>
      </c>
      <c r="I108" t="str">
        <f t="shared" si="52"/>
        <v>01/01/2025</v>
      </c>
      <c r="J108" t="str">
        <f t="shared" si="50"/>
        <v>06/01/2025</v>
      </c>
      <c r="M108">
        <v>103</v>
      </c>
      <c r="N108" t="str">
        <f>"PAGAMENTO DE FUNCIONÁRIOS"</f>
        <v>PAGAMENTO DE FUNCIONÁRIOS</v>
      </c>
      <c r="P108">
        <v>1500</v>
      </c>
      <c r="Q108" t="str">
        <f>"LILIANE DE FATIMA REZENDE JUSTINO (20013)"</f>
        <v>LILIANE DE FATIMA REZENDE JUSTINO (20013)</v>
      </c>
      <c r="R108" t="str">
        <f t="shared" si="46"/>
        <v>BANCO CORA (102)</v>
      </c>
      <c r="S108">
        <v>808</v>
      </c>
      <c r="T108">
        <v>575</v>
      </c>
      <c r="U108" t="s">
        <v>19</v>
      </c>
    </row>
    <row r="109" spans="1:21">
      <c r="A109" t="str">
        <f t="shared" si="47"/>
        <v>06/01/2025</v>
      </c>
      <c r="B109" t="str">
        <f t="shared" si="41"/>
        <v>SAÍDA</v>
      </c>
      <c r="C109" t="str">
        <f t="shared" si="51"/>
        <v>PIX</v>
      </c>
      <c r="D109" t="str">
        <f>"0724"</f>
        <v>0724</v>
      </c>
      <c r="E109" t="str">
        <f t="shared" si="48"/>
        <v>COM</v>
      </c>
      <c r="F109" t="str">
        <f>"MARCELO REZENDE ARANTES (20014)"</f>
        <v>MARCELO REZENDE ARANTES (20014)</v>
      </c>
      <c r="G109" t="str">
        <f>"REF. PRO-LABORE MES 07/2024"</f>
        <v>REF. PRO-LABORE MES 07/2024</v>
      </c>
      <c r="H109" t="str">
        <f t="shared" si="49"/>
        <v>06/01/2025</v>
      </c>
      <c r="I109" t="str">
        <f t="shared" si="52"/>
        <v>01/01/2025</v>
      </c>
      <c r="J109" t="str">
        <f t="shared" si="50"/>
        <v>06/01/2025</v>
      </c>
      <c r="K109">
        <v>10000</v>
      </c>
      <c r="L109">
        <v>10000</v>
      </c>
      <c r="M109">
        <v>108</v>
      </c>
      <c r="N109" t="str">
        <f>"PRO LABORE - MARCELO"</f>
        <v>PRO LABORE - MARCELO</v>
      </c>
      <c r="O109">
        <v>10000</v>
      </c>
      <c r="R109" t="str">
        <f t="shared" si="46"/>
        <v>BANCO CORA (102)</v>
      </c>
      <c r="S109">
        <v>809</v>
      </c>
      <c r="T109">
        <v>587</v>
      </c>
      <c r="U109" t="s">
        <v>19</v>
      </c>
    </row>
    <row r="110" spans="1:21">
      <c r="A110" t="str">
        <f t="shared" si="47"/>
        <v>06/01/2025</v>
      </c>
      <c r="B110" t="str">
        <f t="shared" si="41"/>
        <v>SAÍDA</v>
      </c>
      <c r="C110" t="str">
        <f t="shared" si="51"/>
        <v>PIX</v>
      </c>
      <c r="D110" t="str">
        <f>"0724"</f>
        <v>0724</v>
      </c>
      <c r="E110" t="str">
        <f t="shared" si="48"/>
        <v>COM</v>
      </c>
      <c r="F110" t="str">
        <f>"MARCELO REZENDE ARANTES (20014)"</f>
        <v>MARCELO REZENDE ARANTES (20014)</v>
      </c>
      <c r="G110" t="str">
        <f>"REF. PRO-LABORE MES 07/2024"</f>
        <v>REF. PRO-LABORE MES 07/2024</v>
      </c>
      <c r="H110" t="str">
        <f t="shared" si="49"/>
        <v>06/01/2025</v>
      </c>
      <c r="I110" t="str">
        <f t="shared" si="52"/>
        <v>01/01/2025</v>
      </c>
      <c r="J110" t="str">
        <f t="shared" si="50"/>
        <v>06/01/2025</v>
      </c>
      <c r="M110">
        <v>108</v>
      </c>
      <c r="N110" t="str">
        <f>"PRO LABORE - MARCELO"</f>
        <v>PRO LABORE - MARCELO</v>
      </c>
      <c r="P110">
        <v>10000</v>
      </c>
      <c r="Q110" t="str">
        <f>"MARCELO REZENDE ARANTES (20014)"</f>
        <v>MARCELO REZENDE ARANTES (20014)</v>
      </c>
      <c r="R110" t="str">
        <f t="shared" si="46"/>
        <v>BANCO CORA (102)</v>
      </c>
      <c r="S110">
        <v>809</v>
      </c>
      <c r="T110">
        <v>587</v>
      </c>
      <c r="U110" t="s">
        <v>19</v>
      </c>
    </row>
    <row r="111" spans="1:21">
      <c r="A111" t="str">
        <f t="shared" si="47"/>
        <v>06/01/2025</v>
      </c>
      <c r="B111" t="str">
        <f t="shared" si="41"/>
        <v>SAÍDA</v>
      </c>
      <c r="C111" t="str">
        <f t="shared" si="51"/>
        <v>PIX</v>
      </c>
      <c r="D111" t="str">
        <f>"0601253000"</f>
        <v>0601253000</v>
      </c>
      <c r="E111" t="str">
        <f t="shared" si="48"/>
        <v>COM</v>
      </c>
      <c r="F111" t="str">
        <f>"YURI RODRIGUES OLIVEIRA (20064)"</f>
        <v>YURI RODRIGUES OLIVEIRA (20064)</v>
      </c>
      <c r="G111" t="str">
        <f>"COMISSAO VENDA SETUP"</f>
        <v>COMISSAO VENDA SETUP</v>
      </c>
      <c r="H111" t="str">
        <f t="shared" si="49"/>
        <v>06/01/2025</v>
      </c>
      <c r="I111" t="str">
        <f t="shared" ref="I111:I124" si="53">("06/01/2025")</f>
        <v>06/01/2025</v>
      </c>
      <c r="J111" t="str">
        <f t="shared" si="50"/>
        <v>06/01/2025</v>
      </c>
      <c r="K111">
        <v>1500</v>
      </c>
      <c r="L111">
        <v>1500</v>
      </c>
      <c r="M111">
        <v>126</v>
      </c>
      <c r="N111" t="str">
        <f>"COMISSÕES DE REPRESENTANTES"</f>
        <v>COMISSÕES DE REPRESENTANTES</v>
      </c>
      <c r="O111">
        <v>1500</v>
      </c>
      <c r="R111" t="str">
        <f t="shared" si="46"/>
        <v>BANCO CORA (102)</v>
      </c>
      <c r="S111">
        <v>907</v>
      </c>
      <c r="T111">
        <v>800</v>
      </c>
      <c r="U111" t="s">
        <v>19</v>
      </c>
    </row>
    <row r="112" spans="1:21">
      <c r="A112" t="str">
        <f t="shared" si="47"/>
        <v>06/01/2025</v>
      </c>
      <c r="B112" t="str">
        <f t="shared" si="41"/>
        <v>SAÍDA</v>
      </c>
      <c r="C112" t="str">
        <f t="shared" si="51"/>
        <v>PIX</v>
      </c>
      <c r="D112" t="str">
        <f>"0601253000"</f>
        <v>0601253000</v>
      </c>
      <c r="E112" t="str">
        <f t="shared" si="48"/>
        <v>COM</v>
      </c>
      <c r="F112" t="str">
        <f>"YURI RODRIGUES OLIVEIRA (20064)"</f>
        <v>YURI RODRIGUES OLIVEIRA (20064)</v>
      </c>
      <c r="G112" t="str">
        <f>"COMISSAO VENDA SETUP"</f>
        <v>COMISSAO VENDA SETUP</v>
      </c>
      <c r="H112" t="str">
        <f t="shared" si="49"/>
        <v>06/01/2025</v>
      </c>
      <c r="I112" t="str">
        <f t="shared" si="53"/>
        <v>06/01/2025</v>
      </c>
      <c r="J112" t="str">
        <f t="shared" si="50"/>
        <v>06/01/2025</v>
      </c>
      <c r="M112">
        <v>126</v>
      </c>
      <c r="N112" t="str">
        <f>"COMISSÕES DE REPRESENTANTES"</f>
        <v>COMISSÕES DE REPRESENTANTES</v>
      </c>
      <c r="P112">
        <v>1500</v>
      </c>
      <c r="Q112" t="str">
        <f>"YURI RODRIGUES OLIVEIRA (20064)"</f>
        <v>YURI RODRIGUES OLIVEIRA (20064)</v>
      </c>
      <c r="R112" t="str">
        <f t="shared" si="46"/>
        <v>BANCO CORA (102)</v>
      </c>
      <c r="S112">
        <v>907</v>
      </c>
      <c r="T112">
        <v>800</v>
      </c>
      <c r="U112" t="s">
        <v>19</v>
      </c>
    </row>
    <row r="113" spans="1:21">
      <c r="A113" t="str">
        <f t="shared" si="47"/>
        <v>06/01/2025</v>
      </c>
      <c r="B113" t="str">
        <f t="shared" si="41"/>
        <v>SAÍDA</v>
      </c>
      <c r="C113" t="str">
        <f t="shared" si="51"/>
        <v>PIX</v>
      </c>
      <c r="D113" t="str">
        <f>"0601253000"</f>
        <v>0601253000</v>
      </c>
      <c r="E113" t="str">
        <f t="shared" si="48"/>
        <v>COM</v>
      </c>
      <c r="F113" t="str">
        <f>"YURI RODRIGUES OLIVEIRA (20064)"</f>
        <v>YURI RODRIGUES OLIVEIRA (20064)</v>
      </c>
      <c r="G113" t="str">
        <f>"COMISSAO VENDA SETUP"</f>
        <v>COMISSAO VENDA SETUP</v>
      </c>
      <c r="H113" t="str">
        <f t="shared" si="49"/>
        <v>06/01/2025</v>
      </c>
      <c r="I113" t="str">
        <f t="shared" si="53"/>
        <v>06/01/2025</v>
      </c>
      <c r="J113" t="str">
        <f t="shared" si="50"/>
        <v>06/01/2025</v>
      </c>
      <c r="K113">
        <v>1500</v>
      </c>
      <c r="L113">
        <v>1500</v>
      </c>
      <c r="M113">
        <v>126</v>
      </c>
      <c r="N113" t="str">
        <f>"COMISSÕES DE REPRESENTANTES"</f>
        <v>COMISSÕES DE REPRESENTANTES</v>
      </c>
      <c r="O113">
        <v>1500</v>
      </c>
      <c r="R113" t="str">
        <f t="shared" si="46"/>
        <v>BANCO CORA (102)</v>
      </c>
      <c r="S113">
        <v>908</v>
      </c>
      <c r="T113">
        <v>801</v>
      </c>
      <c r="U113" t="s">
        <v>19</v>
      </c>
    </row>
    <row r="114" spans="1:21">
      <c r="A114" t="str">
        <f t="shared" si="47"/>
        <v>06/01/2025</v>
      </c>
      <c r="B114" t="str">
        <f t="shared" si="41"/>
        <v>SAÍDA</v>
      </c>
      <c r="C114" t="str">
        <f t="shared" si="51"/>
        <v>PIX</v>
      </c>
      <c r="D114" t="str">
        <f>"0601253000"</f>
        <v>0601253000</v>
      </c>
      <c r="E114" t="str">
        <f t="shared" si="48"/>
        <v>COM</v>
      </c>
      <c r="F114" t="str">
        <f>"YURI RODRIGUES OLIVEIRA (20064)"</f>
        <v>YURI RODRIGUES OLIVEIRA (20064)</v>
      </c>
      <c r="G114" t="str">
        <f>"COMISSAO VENDA SETUP"</f>
        <v>COMISSAO VENDA SETUP</v>
      </c>
      <c r="H114" t="str">
        <f t="shared" si="49"/>
        <v>06/01/2025</v>
      </c>
      <c r="I114" t="str">
        <f t="shared" si="53"/>
        <v>06/01/2025</v>
      </c>
      <c r="J114" t="str">
        <f t="shared" si="50"/>
        <v>06/01/2025</v>
      </c>
      <c r="M114">
        <v>126</v>
      </c>
      <c r="N114" t="str">
        <f>"COMISSÕES DE REPRESENTANTES"</f>
        <v>COMISSÕES DE REPRESENTANTES</v>
      </c>
      <c r="P114">
        <v>1500</v>
      </c>
      <c r="Q114" t="str">
        <f>"YURI RODRIGUES OLIVEIRA (20064)"</f>
        <v>YURI RODRIGUES OLIVEIRA (20064)</v>
      </c>
      <c r="R114" t="str">
        <f t="shared" si="46"/>
        <v>BANCO CORA (102)</v>
      </c>
      <c r="S114">
        <v>908</v>
      </c>
      <c r="T114">
        <v>801</v>
      </c>
      <c r="U114" t="s">
        <v>19</v>
      </c>
    </row>
    <row r="115" spans="1:21">
      <c r="A115" t="str">
        <f t="shared" ref="A115:A135" si="54">("08/01/2025")</f>
        <v>08/01/2025</v>
      </c>
      <c r="B115" t="str">
        <f>"ENTRADA"</f>
        <v>ENTRADA</v>
      </c>
      <c r="C115" t="str">
        <f t="shared" ref="C115:C130" si="55">"NFSE"</f>
        <v>NFSE</v>
      </c>
      <c r="D115" t="str">
        <f>"2609"</f>
        <v>2609</v>
      </c>
      <c r="E115" t="str">
        <f t="shared" si="48"/>
        <v>COM</v>
      </c>
      <c r="F115" t="str">
        <f>"FRAN FARMA (10124)"</f>
        <v>FRAN FARMA (10124)</v>
      </c>
      <c r="G115" t="str">
        <f>"Serv.Prest. 30/12/2024 a 05/01/2025 - RPS: 383 - NFSe: 2609"</f>
        <v>Serv.Prest. 30/12/2024 a 05/01/2025 - RPS: 383 - NFSe: 2609</v>
      </c>
      <c r="H115" t="str">
        <f t="shared" ref="H115:H126" si="56">("08/01/2025")</f>
        <v>08/01/2025</v>
      </c>
      <c r="I115" t="str">
        <f t="shared" si="53"/>
        <v>06/01/2025</v>
      </c>
      <c r="J115" t="str">
        <f t="shared" ref="J115:J135" si="57">("08/01/2025")</f>
        <v>08/01/2025</v>
      </c>
      <c r="K115">
        <v>320</v>
      </c>
      <c r="L115">
        <v>320</v>
      </c>
      <c r="M115">
        <v>303</v>
      </c>
      <c r="N115" t="str">
        <f t="shared" ref="N115:N130" si="58">"RECEITAS COM ENTREGAS"</f>
        <v>RECEITAS COM ENTREGAS</v>
      </c>
      <c r="O115">
        <v>320</v>
      </c>
      <c r="R115" t="str">
        <f t="shared" ref="R115:R130" si="59">"RECEITAS COM ENTREGAS (303)"</f>
        <v>RECEITAS COM ENTREGAS (303)</v>
      </c>
      <c r="S115">
        <v>712</v>
      </c>
      <c r="T115">
        <v>693</v>
      </c>
      <c r="U115" t="s">
        <v>19</v>
      </c>
    </row>
    <row r="116" spans="1:21">
      <c r="A116" t="str">
        <f t="shared" si="54"/>
        <v>08/01/2025</v>
      </c>
      <c r="B116" t="str">
        <f t="shared" ref="B116:B130" si="60">"ENTRADA"</f>
        <v>ENTRADA</v>
      </c>
      <c r="C116" t="str">
        <f t="shared" si="55"/>
        <v>NFSE</v>
      </c>
      <c r="D116" t="str">
        <f>"2609"</f>
        <v>2609</v>
      </c>
      <c r="E116" t="str">
        <f t="shared" si="48"/>
        <v>COM</v>
      </c>
      <c r="F116" t="str">
        <f>"FRAN FARMA (10124)"</f>
        <v>FRAN FARMA (10124)</v>
      </c>
      <c r="G116" t="str">
        <f>"Serv.Prest. 30/12/2024 a 05/01/2025 - RPS: 383 - NFSe: 2609"</f>
        <v>Serv.Prest. 30/12/2024 a 05/01/2025 - RPS: 383 - NFSe: 2609</v>
      </c>
      <c r="H116" t="str">
        <f t="shared" si="56"/>
        <v>08/01/2025</v>
      </c>
      <c r="I116" t="str">
        <f t="shared" si="53"/>
        <v>06/01/2025</v>
      </c>
      <c r="J116" t="str">
        <f t="shared" si="57"/>
        <v>08/01/2025</v>
      </c>
      <c r="M116">
        <v>303</v>
      </c>
      <c r="N116" t="str">
        <f t="shared" si="58"/>
        <v>RECEITAS COM ENTREGAS</v>
      </c>
      <c r="P116">
        <v>64</v>
      </c>
      <c r="Q116" t="str">
        <f>"FRAN FARMA (10124)"</f>
        <v>FRAN FARMA (10124)</v>
      </c>
      <c r="R116" t="str">
        <f t="shared" si="59"/>
        <v>RECEITAS COM ENTREGAS (303)</v>
      </c>
      <c r="S116">
        <v>712</v>
      </c>
      <c r="T116">
        <v>693</v>
      </c>
      <c r="U116" t="s">
        <v>19</v>
      </c>
    </row>
    <row r="117" spans="1:21">
      <c r="A117" t="str">
        <f t="shared" si="54"/>
        <v>08/01/2025</v>
      </c>
      <c r="B117" t="str">
        <f t="shared" si="60"/>
        <v>ENTRADA</v>
      </c>
      <c r="C117" t="str">
        <f t="shared" si="55"/>
        <v>NFSE</v>
      </c>
      <c r="D117" t="str">
        <f>"2609"</f>
        <v>2609</v>
      </c>
      <c r="E117" t="str">
        <f t="shared" si="48"/>
        <v>COM</v>
      </c>
      <c r="F117" t="str">
        <f>"FRAN FARMA (10124)"</f>
        <v>FRAN FARMA (10124)</v>
      </c>
      <c r="G117" t="str">
        <f>"Serv.Prest. 30/12/2024 a 05/01/2025 - RPS: 383 - NFSe: 2609"</f>
        <v>Serv.Prest. 30/12/2024 a 05/01/2025 - RPS: 383 - NFSe: 2609</v>
      </c>
      <c r="H117" t="str">
        <f t="shared" si="56"/>
        <v>08/01/2025</v>
      </c>
      <c r="I117" t="str">
        <f t="shared" si="53"/>
        <v>06/01/2025</v>
      </c>
      <c r="J117" t="str">
        <f t="shared" si="57"/>
        <v>08/01/2025</v>
      </c>
      <c r="M117">
        <v>303</v>
      </c>
      <c r="N117" t="str">
        <f t="shared" si="58"/>
        <v>RECEITAS COM ENTREGAS</v>
      </c>
      <c r="P117">
        <v>192</v>
      </c>
      <c r="Q117" t="str">
        <f>"FRAN FARMA LJ 2 (10131)"</f>
        <v>FRAN FARMA LJ 2 (10131)</v>
      </c>
      <c r="R117" t="str">
        <f t="shared" si="59"/>
        <v>RECEITAS COM ENTREGAS (303)</v>
      </c>
      <c r="S117">
        <v>712</v>
      </c>
      <c r="T117">
        <v>693</v>
      </c>
      <c r="U117" t="s">
        <v>19</v>
      </c>
    </row>
    <row r="118" spans="1:21">
      <c r="A118" t="str">
        <f t="shared" si="54"/>
        <v>08/01/2025</v>
      </c>
      <c r="B118" t="str">
        <f t="shared" si="60"/>
        <v>ENTRADA</v>
      </c>
      <c r="C118" t="str">
        <f t="shared" si="55"/>
        <v>NFSE</v>
      </c>
      <c r="D118" t="str">
        <f>"2609"</f>
        <v>2609</v>
      </c>
      <c r="E118" t="str">
        <f t="shared" si="48"/>
        <v>COM</v>
      </c>
      <c r="F118" t="str">
        <f>"FRAN FARMA (10124)"</f>
        <v>FRAN FARMA (10124)</v>
      </c>
      <c r="G118" t="str">
        <f>"Serv.Prest. 30/12/2024 a 05/01/2025 - RPS: 383 - NFSe: 2609"</f>
        <v>Serv.Prest. 30/12/2024 a 05/01/2025 - RPS: 383 - NFSe: 2609</v>
      </c>
      <c r="H118" t="str">
        <f t="shared" si="56"/>
        <v>08/01/2025</v>
      </c>
      <c r="I118" t="str">
        <f t="shared" si="53"/>
        <v>06/01/2025</v>
      </c>
      <c r="J118" t="str">
        <f t="shared" si="57"/>
        <v>08/01/2025</v>
      </c>
      <c r="M118">
        <v>303</v>
      </c>
      <c r="N118" t="str">
        <f t="shared" si="58"/>
        <v>RECEITAS COM ENTREGAS</v>
      </c>
      <c r="P118">
        <v>64</v>
      </c>
      <c r="Q118" t="str">
        <f>"FRAN FARMA LJ 3 (10132)"</f>
        <v>FRAN FARMA LJ 3 (10132)</v>
      </c>
      <c r="R118" t="str">
        <f t="shared" si="59"/>
        <v>RECEITAS COM ENTREGAS (303)</v>
      </c>
      <c r="S118">
        <v>712</v>
      </c>
      <c r="T118">
        <v>693</v>
      </c>
      <c r="U118" t="s">
        <v>19</v>
      </c>
    </row>
    <row r="119" spans="1:21">
      <c r="A119" t="str">
        <f t="shared" si="54"/>
        <v>08/01/2025</v>
      </c>
      <c r="B119" t="str">
        <f t="shared" si="60"/>
        <v>ENTRADA</v>
      </c>
      <c r="C119" t="str">
        <f t="shared" si="55"/>
        <v>NFSE</v>
      </c>
      <c r="D119" t="str">
        <f>"2607"</f>
        <v>2607</v>
      </c>
      <c r="E119" t="str">
        <f t="shared" si="48"/>
        <v>COM</v>
      </c>
      <c r="F119" t="str">
        <f>"DROGA ELIDA (10121)"</f>
        <v>DROGA ELIDA (10121)</v>
      </c>
      <c r="G119" t="str">
        <f>"Serv.Prest. 30/12/2024 a 05/01/2025 - RPS: 381 - NFSe: 2607"</f>
        <v>Serv.Prest. 30/12/2024 a 05/01/2025 - RPS: 381 - NFSe: 2607</v>
      </c>
      <c r="H119" t="str">
        <f t="shared" si="56"/>
        <v>08/01/2025</v>
      </c>
      <c r="I119" t="str">
        <f t="shared" si="53"/>
        <v>06/01/2025</v>
      </c>
      <c r="J119" t="str">
        <f t="shared" si="57"/>
        <v>08/01/2025</v>
      </c>
      <c r="K119">
        <v>259.2</v>
      </c>
      <c r="L119">
        <v>259.2</v>
      </c>
      <c r="M119">
        <v>303</v>
      </c>
      <c r="N119" t="str">
        <f t="shared" si="58"/>
        <v>RECEITAS COM ENTREGAS</v>
      </c>
      <c r="O119">
        <v>259.2</v>
      </c>
      <c r="R119" t="str">
        <f t="shared" si="59"/>
        <v>RECEITAS COM ENTREGAS (303)</v>
      </c>
      <c r="S119">
        <v>810</v>
      </c>
      <c r="T119">
        <v>691</v>
      </c>
      <c r="U119" t="s">
        <v>19</v>
      </c>
    </row>
    <row r="120" spans="1:21">
      <c r="A120" t="str">
        <f t="shared" si="54"/>
        <v>08/01/2025</v>
      </c>
      <c r="B120" t="str">
        <f t="shared" si="60"/>
        <v>ENTRADA</v>
      </c>
      <c r="C120" t="str">
        <f t="shared" si="55"/>
        <v>NFSE</v>
      </c>
      <c r="D120" t="str">
        <f>"2607"</f>
        <v>2607</v>
      </c>
      <c r="E120" t="str">
        <f t="shared" si="48"/>
        <v>COM</v>
      </c>
      <c r="F120" t="str">
        <f>"DROGA ELIDA (10121)"</f>
        <v>DROGA ELIDA (10121)</v>
      </c>
      <c r="G120" t="str">
        <f>"Serv.Prest. 30/12/2024 a 05/01/2025 - RPS: 381 - NFSe: 2607"</f>
        <v>Serv.Prest. 30/12/2024 a 05/01/2025 - RPS: 381 - NFSe: 2607</v>
      </c>
      <c r="H120" t="str">
        <f t="shared" si="56"/>
        <v>08/01/2025</v>
      </c>
      <c r="I120" t="str">
        <f t="shared" si="53"/>
        <v>06/01/2025</v>
      </c>
      <c r="J120" t="str">
        <f t="shared" si="57"/>
        <v>08/01/2025</v>
      </c>
      <c r="M120">
        <v>303</v>
      </c>
      <c r="N120" t="str">
        <f t="shared" si="58"/>
        <v>RECEITAS COM ENTREGAS</v>
      </c>
      <c r="P120">
        <v>259.2</v>
      </c>
      <c r="Q120" t="str">
        <f>"DROGA ELIDA (10121)"</f>
        <v>DROGA ELIDA (10121)</v>
      </c>
      <c r="R120" t="str">
        <f t="shared" si="59"/>
        <v>RECEITAS COM ENTREGAS (303)</v>
      </c>
      <c r="S120">
        <v>810</v>
      </c>
      <c r="T120">
        <v>691</v>
      </c>
      <c r="U120" t="s">
        <v>19</v>
      </c>
    </row>
    <row r="121" spans="1:21">
      <c r="A121" t="str">
        <f t="shared" si="54"/>
        <v>08/01/2025</v>
      </c>
      <c r="B121" t="str">
        <f t="shared" si="60"/>
        <v>ENTRADA</v>
      </c>
      <c r="C121" t="str">
        <f t="shared" si="55"/>
        <v>NFSE</v>
      </c>
      <c r="D121" t="str">
        <f>"2612"</f>
        <v>2612</v>
      </c>
      <c r="E121" t="str">
        <f t="shared" si="48"/>
        <v>COM</v>
      </c>
      <c r="F121" t="str">
        <f>"JAL FARMACIA E DROGARIA LJ 2 (10138)"</f>
        <v>JAL FARMACIA E DROGARIA LJ 2 (10138)</v>
      </c>
      <c r="G121" t="str">
        <f>"Serv.Prest. 30/12/2024 a 05/01/2025 - RPS: 386 - NFSe: 2612"</f>
        <v>Serv.Prest. 30/12/2024 a 05/01/2025 - RPS: 386 - NFSe: 2612</v>
      </c>
      <c r="H121" t="str">
        <f t="shared" si="56"/>
        <v>08/01/2025</v>
      </c>
      <c r="I121" t="str">
        <f t="shared" si="53"/>
        <v>06/01/2025</v>
      </c>
      <c r="J121" t="str">
        <f t="shared" si="57"/>
        <v>08/01/2025</v>
      </c>
      <c r="K121">
        <v>211.2</v>
      </c>
      <c r="L121">
        <v>211.2</v>
      </c>
      <c r="M121">
        <v>303</v>
      </c>
      <c r="N121" t="str">
        <f t="shared" si="58"/>
        <v>RECEITAS COM ENTREGAS</v>
      </c>
      <c r="O121">
        <v>211.2</v>
      </c>
      <c r="R121" t="str">
        <f t="shared" si="59"/>
        <v>RECEITAS COM ENTREGAS (303)</v>
      </c>
      <c r="S121">
        <v>811</v>
      </c>
      <c r="T121">
        <v>696</v>
      </c>
      <c r="U121" t="s">
        <v>19</v>
      </c>
    </row>
    <row r="122" spans="1:21">
      <c r="A122" t="str">
        <f t="shared" si="54"/>
        <v>08/01/2025</v>
      </c>
      <c r="B122" t="str">
        <f t="shared" si="60"/>
        <v>ENTRADA</v>
      </c>
      <c r="C122" t="str">
        <f t="shared" si="55"/>
        <v>NFSE</v>
      </c>
      <c r="D122" t="str">
        <f>"2612"</f>
        <v>2612</v>
      </c>
      <c r="E122" t="str">
        <f t="shared" si="48"/>
        <v>COM</v>
      </c>
      <c r="F122" t="str">
        <f>"JAL FARMACIA E DROGARIA LJ 2 (10138)"</f>
        <v>JAL FARMACIA E DROGARIA LJ 2 (10138)</v>
      </c>
      <c r="G122" t="str">
        <f>"Serv.Prest. 30/12/2024 a 05/01/2025 - RPS: 386 - NFSe: 2612"</f>
        <v>Serv.Prest. 30/12/2024 a 05/01/2025 - RPS: 386 - NFSe: 2612</v>
      </c>
      <c r="H122" t="str">
        <f t="shared" si="56"/>
        <v>08/01/2025</v>
      </c>
      <c r="I122" t="str">
        <f t="shared" si="53"/>
        <v>06/01/2025</v>
      </c>
      <c r="J122" t="str">
        <f t="shared" si="57"/>
        <v>08/01/2025</v>
      </c>
      <c r="M122">
        <v>303</v>
      </c>
      <c r="N122" t="str">
        <f t="shared" si="58"/>
        <v>RECEITAS COM ENTREGAS</v>
      </c>
      <c r="P122">
        <v>211.2</v>
      </c>
      <c r="Q122" t="str">
        <f>"JAL FARMACIA E DROGARIA LJ 2 (10138)"</f>
        <v>JAL FARMACIA E DROGARIA LJ 2 (10138)</v>
      </c>
      <c r="R122" t="str">
        <f t="shared" si="59"/>
        <v>RECEITAS COM ENTREGAS (303)</v>
      </c>
      <c r="S122">
        <v>811</v>
      </c>
      <c r="T122">
        <v>696</v>
      </c>
      <c r="U122" t="s">
        <v>19</v>
      </c>
    </row>
    <row r="123" spans="1:21">
      <c r="A123" t="str">
        <f t="shared" si="54"/>
        <v>08/01/2025</v>
      </c>
      <c r="B123" t="str">
        <f t="shared" si="60"/>
        <v>ENTRADA</v>
      </c>
      <c r="C123" t="str">
        <f t="shared" si="55"/>
        <v>NFSE</v>
      </c>
      <c r="D123" t="str">
        <f>"2615"</f>
        <v>2615</v>
      </c>
      <c r="E123" t="str">
        <f t="shared" si="48"/>
        <v>COM</v>
      </c>
      <c r="F123" t="str">
        <f>"DROGA CINTIA 2 (10144)"</f>
        <v>DROGA CINTIA 2 (10144)</v>
      </c>
      <c r="G123" t="str">
        <f>"Serv.Prest. 30/12/2024 a 05/01/2025 - RPS: 389 - NFSe: 2615"</f>
        <v>Serv.Prest. 30/12/2024 a 05/01/2025 - RPS: 389 - NFSe: 2615</v>
      </c>
      <c r="H123" t="str">
        <f t="shared" si="56"/>
        <v>08/01/2025</v>
      </c>
      <c r="I123" t="str">
        <f t="shared" si="53"/>
        <v>06/01/2025</v>
      </c>
      <c r="J123" t="str">
        <f t="shared" si="57"/>
        <v>08/01/2025</v>
      </c>
      <c r="K123">
        <v>160.47999999999999</v>
      </c>
      <c r="L123">
        <v>160.47999999999999</v>
      </c>
      <c r="M123">
        <v>303</v>
      </c>
      <c r="N123" t="str">
        <f t="shared" si="58"/>
        <v>RECEITAS COM ENTREGAS</v>
      </c>
      <c r="O123">
        <v>160.47999999999999</v>
      </c>
      <c r="R123" t="str">
        <f t="shared" si="59"/>
        <v>RECEITAS COM ENTREGAS (303)</v>
      </c>
      <c r="S123">
        <v>812</v>
      </c>
      <c r="T123">
        <v>699</v>
      </c>
      <c r="U123" t="s">
        <v>19</v>
      </c>
    </row>
    <row r="124" spans="1:21">
      <c r="A124" t="str">
        <f t="shared" si="54"/>
        <v>08/01/2025</v>
      </c>
      <c r="B124" t="str">
        <f t="shared" si="60"/>
        <v>ENTRADA</v>
      </c>
      <c r="C124" t="str">
        <f t="shared" si="55"/>
        <v>NFSE</v>
      </c>
      <c r="D124" t="str">
        <f>"2615"</f>
        <v>2615</v>
      </c>
      <c r="E124" t="str">
        <f t="shared" si="48"/>
        <v>COM</v>
      </c>
      <c r="F124" t="str">
        <f>"DROGA CINTIA 2 (10144)"</f>
        <v>DROGA CINTIA 2 (10144)</v>
      </c>
      <c r="G124" t="str">
        <f>"Serv.Prest. 30/12/2024 a 05/01/2025 - RPS: 389 - NFSe: 2615"</f>
        <v>Serv.Prest. 30/12/2024 a 05/01/2025 - RPS: 389 - NFSe: 2615</v>
      </c>
      <c r="H124" t="str">
        <f t="shared" si="56"/>
        <v>08/01/2025</v>
      </c>
      <c r="I124" t="str">
        <f t="shared" si="53"/>
        <v>06/01/2025</v>
      </c>
      <c r="J124" t="str">
        <f t="shared" si="57"/>
        <v>08/01/2025</v>
      </c>
      <c r="M124">
        <v>303</v>
      </c>
      <c r="N124" t="str">
        <f t="shared" si="58"/>
        <v>RECEITAS COM ENTREGAS</v>
      </c>
      <c r="P124">
        <v>160.47999999999999</v>
      </c>
      <c r="Q124" t="str">
        <f>"DROGA CINTIA 2 (10144)"</f>
        <v>DROGA CINTIA 2 (10144)</v>
      </c>
      <c r="R124" t="str">
        <f t="shared" si="59"/>
        <v>RECEITAS COM ENTREGAS (303)</v>
      </c>
      <c r="S124">
        <v>812</v>
      </c>
      <c r="T124">
        <v>699</v>
      </c>
      <c r="U124" t="s">
        <v>19</v>
      </c>
    </row>
    <row r="125" spans="1:21">
      <c r="A125" t="str">
        <f t="shared" si="54"/>
        <v>08/01/2025</v>
      </c>
      <c r="B125" t="str">
        <f t="shared" si="60"/>
        <v>ENTRADA</v>
      </c>
      <c r="C125" t="str">
        <f t="shared" si="55"/>
        <v>NFSE</v>
      </c>
      <c r="D125" t="str">
        <f>"2622"</f>
        <v>2622</v>
      </c>
      <c r="E125" t="str">
        <f t="shared" si="48"/>
        <v>COM</v>
      </c>
      <c r="F125" t="str">
        <f>"FARMELHOR ILHA DO GOVERNADOR (10139)"</f>
        <v>FARMELHOR ILHA DO GOVERNADOR (10139)</v>
      </c>
      <c r="G125" t="str">
        <f>"Serv.Prest. 30/12/2024 a 06/01/2025 - RPS: 396 - NFSe: 2622"</f>
        <v>Serv.Prest. 30/12/2024 a 06/01/2025 - RPS: 396 - NFSe: 2622</v>
      </c>
      <c r="H125" t="str">
        <f t="shared" si="56"/>
        <v>08/01/2025</v>
      </c>
      <c r="I125" t="str">
        <f>("07/01/2025")</f>
        <v>07/01/2025</v>
      </c>
      <c r="J125" t="str">
        <f t="shared" si="57"/>
        <v>08/01/2025</v>
      </c>
      <c r="K125">
        <v>378.48</v>
      </c>
      <c r="L125">
        <v>378.48</v>
      </c>
      <c r="M125">
        <v>303</v>
      </c>
      <c r="N125" t="str">
        <f t="shared" si="58"/>
        <v>RECEITAS COM ENTREGAS</v>
      </c>
      <c r="O125">
        <v>378.48</v>
      </c>
      <c r="R125" t="str">
        <f t="shared" si="59"/>
        <v>RECEITAS COM ENTREGAS (303)</v>
      </c>
      <c r="S125">
        <v>813</v>
      </c>
      <c r="T125">
        <v>711</v>
      </c>
      <c r="U125" t="s">
        <v>19</v>
      </c>
    </row>
    <row r="126" spans="1:21">
      <c r="A126" t="str">
        <f t="shared" si="54"/>
        <v>08/01/2025</v>
      </c>
      <c r="B126" t="str">
        <f t="shared" si="60"/>
        <v>ENTRADA</v>
      </c>
      <c r="C126" t="str">
        <f t="shared" si="55"/>
        <v>NFSE</v>
      </c>
      <c r="D126" t="str">
        <f>"2622"</f>
        <v>2622</v>
      </c>
      <c r="E126" t="str">
        <f t="shared" si="48"/>
        <v>COM</v>
      </c>
      <c r="F126" t="str">
        <f>"FARMELHOR ILHA DO GOVERNADOR (10139)"</f>
        <v>FARMELHOR ILHA DO GOVERNADOR (10139)</v>
      </c>
      <c r="G126" t="str">
        <f>"Serv.Prest. 30/12/2024 a 06/01/2025 - RPS: 396 - NFSe: 2622"</f>
        <v>Serv.Prest. 30/12/2024 a 06/01/2025 - RPS: 396 - NFSe: 2622</v>
      </c>
      <c r="H126" t="str">
        <f t="shared" si="56"/>
        <v>08/01/2025</v>
      </c>
      <c r="I126" t="str">
        <f>("07/01/2025")</f>
        <v>07/01/2025</v>
      </c>
      <c r="J126" t="str">
        <f t="shared" si="57"/>
        <v>08/01/2025</v>
      </c>
      <c r="M126">
        <v>303</v>
      </c>
      <c r="N126" t="str">
        <f t="shared" si="58"/>
        <v>RECEITAS COM ENTREGAS</v>
      </c>
      <c r="P126">
        <v>378.48</v>
      </c>
      <c r="Q126" t="str">
        <f>"FARMELHOR ILHA DO GOVERNADOR (10139)"</f>
        <v>FARMELHOR ILHA DO GOVERNADOR (10139)</v>
      </c>
      <c r="R126" t="str">
        <f t="shared" si="59"/>
        <v>RECEITAS COM ENTREGAS (303)</v>
      </c>
      <c r="S126">
        <v>813</v>
      </c>
      <c r="T126">
        <v>711</v>
      </c>
      <c r="U126" t="s">
        <v>19</v>
      </c>
    </row>
    <row r="127" spans="1:21">
      <c r="A127" t="str">
        <f t="shared" si="54"/>
        <v>08/01/2025</v>
      </c>
      <c r="B127" t="str">
        <f t="shared" si="60"/>
        <v>ENTRADA</v>
      </c>
      <c r="C127" t="str">
        <f t="shared" si="55"/>
        <v>NFSE</v>
      </c>
      <c r="D127" t="str">
        <f>"2578"</f>
        <v>2578</v>
      </c>
      <c r="E127" t="str">
        <f t="shared" si="48"/>
        <v>COM</v>
      </c>
      <c r="F127" t="str">
        <f>"EMPREENDIMENTOS PAGUE MENOS S/A (10135)"</f>
        <v>EMPREENDIMENTOS PAGUE MENOS S/A (10135)</v>
      </c>
      <c r="G127" t="str">
        <f>"Serv.Prest. 16/12/2024 a 22/12/2024 - RPS: 353 - NFSe: 2578"</f>
        <v>Serv.Prest. 16/12/2024 a 22/12/2024 - RPS: 353 - NFSe: 2578</v>
      </c>
      <c r="H127" t="str">
        <f>("02/01/2025")</f>
        <v>02/01/2025</v>
      </c>
      <c r="I127" t="str">
        <f>("23/12/2024")</f>
        <v>23/12/2024</v>
      </c>
      <c r="J127" t="str">
        <f t="shared" si="57"/>
        <v>08/01/2025</v>
      </c>
      <c r="K127">
        <v>280.20999999999998</v>
      </c>
      <c r="L127">
        <v>280.20999999999998</v>
      </c>
      <c r="M127">
        <v>303</v>
      </c>
      <c r="N127" t="str">
        <f t="shared" si="58"/>
        <v>RECEITAS COM ENTREGAS</v>
      </c>
      <c r="O127">
        <v>280.20999999999998</v>
      </c>
      <c r="R127" t="str">
        <f t="shared" si="59"/>
        <v>RECEITAS COM ENTREGAS (303)</v>
      </c>
      <c r="S127">
        <v>814</v>
      </c>
      <c r="T127">
        <v>663</v>
      </c>
      <c r="U127" t="s">
        <v>19</v>
      </c>
    </row>
    <row r="128" spans="1:21">
      <c r="A128" t="str">
        <f t="shared" si="54"/>
        <v>08/01/2025</v>
      </c>
      <c r="B128" t="str">
        <f t="shared" si="60"/>
        <v>ENTRADA</v>
      </c>
      <c r="C128" t="str">
        <f t="shared" si="55"/>
        <v>NFSE</v>
      </c>
      <c r="D128" t="str">
        <f>"2578"</f>
        <v>2578</v>
      </c>
      <c r="E128" t="str">
        <f t="shared" si="48"/>
        <v>COM</v>
      </c>
      <c r="F128" t="str">
        <f>"EMPREENDIMENTOS PAGUE MENOS S/A (10135)"</f>
        <v>EMPREENDIMENTOS PAGUE MENOS S/A (10135)</v>
      </c>
      <c r="G128" t="str">
        <f>"Serv.Prest. 16/12/2024 a 22/12/2024 - RPS: 353 - NFSe: 2578"</f>
        <v>Serv.Prest. 16/12/2024 a 22/12/2024 - RPS: 353 - NFSe: 2578</v>
      </c>
      <c r="H128" t="str">
        <f>("02/01/2025")</f>
        <v>02/01/2025</v>
      </c>
      <c r="I128" t="str">
        <f>("23/12/2024")</f>
        <v>23/12/2024</v>
      </c>
      <c r="J128" t="str">
        <f t="shared" si="57"/>
        <v>08/01/2025</v>
      </c>
      <c r="M128">
        <v>303</v>
      </c>
      <c r="N128" t="str">
        <f t="shared" si="58"/>
        <v>RECEITAS COM ENTREGAS</v>
      </c>
      <c r="P128">
        <v>280.20999999999998</v>
      </c>
      <c r="Q128" t="str">
        <f>"PAGMENOS - LJ 608 (10135)"</f>
        <v>PAGMENOS - LJ 608 (10135)</v>
      </c>
      <c r="R128" t="str">
        <f t="shared" si="59"/>
        <v>RECEITAS COM ENTREGAS (303)</v>
      </c>
      <c r="S128">
        <v>814</v>
      </c>
      <c r="T128">
        <v>663</v>
      </c>
      <c r="U128" t="s">
        <v>19</v>
      </c>
    </row>
    <row r="129" spans="1:21">
      <c r="A129" t="str">
        <f t="shared" si="54"/>
        <v>08/01/2025</v>
      </c>
      <c r="B129" t="str">
        <f t="shared" si="60"/>
        <v>ENTRADA</v>
      </c>
      <c r="C129" t="str">
        <f t="shared" si="55"/>
        <v>NFSE</v>
      </c>
      <c r="D129" t="str">
        <f>"2580"</f>
        <v>2580</v>
      </c>
      <c r="E129" t="str">
        <f t="shared" si="48"/>
        <v>COM</v>
      </c>
      <c r="F129" t="str">
        <f>"EMPREENDIMENTOS PAGUE MENOS S/A (10136)"</f>
        <v>EMPREENDIMENTOS PAGUE MENOS S/A (10136)</v>
      </c>
      <c r="G129" t="str">
        <f>"Serv.Prest. 16/12/2024 a 22/12/2024 - RPS: 355 - NFSe: 2580"</f>
        <v>Serv.Prest. 16/12/2024 a 22/12/2024 - RPS: 355 - NFSe: 2580</v>
      </c>
      <c r="H129" t="str">
        <f>("02/01/2025")</f>
        <v>02/01/2025</v>
      </c>
      <c r="I129" t="str">
        <f>("23/12/2024")</f>
        <v>23/12/2024</v>
      </c>
      <c r="J129" t="str">
        <f t="shared" si="57"/>
        <v>08/01/2025</v>
      </c>
      <c r="K129">
        <v>596.6</v>
      </c>
      <c r="L129">
        <v>596.6</v>
      </c>
      <c r="M129">
        <v>303</v>
      </c>
      <c r="N129" t="str">
        <f t="shared" si="58"/>
        <v>RECEITAS COM ENTREGAS</v>
      </c>
      <c r="O129">
        <v>596.6</v>
      </c>
      <c r="R129" t="str">
        <f t="shared" si="59"/>
        <v>RECEITAS COM ENTREGAS (303)</v>
      </c>
      <c r="S129">
        <v>815</v>
      </c>
      <c r="T129">
        <v>665</v>
      </c>
      <c r="U129" t="s">
        <v>19</v>
      </c>
    </row>
    <row r="130" spans="1:21">
      <c r="A130" t="str">
        <f t="shared" si="54"/>
        <v>08/01/2025</v>
      </c>
      <c r="B130" t="str">
        <f t="shared" si="60"/>
        <v>ENTRADA</v>
      </c>
      <c r="C130" t="str">
        <f t="shared" si="55"/>
        <v>NFSE</v>
      </c>
      <c r="D130" t="str">
        <f>"2580"</f>
        <v>2580</v>
      </c>
      <c r="E130" t="str">
        <f t="shared" si="48"/>
        <v>COM</v>
      </c>
      <c r="F130" t="str">
        <f>"EMPREENDIMENTOS PAGUE MENOS S/A (10136)"</f>
        <v>EMPREENDIMENTOS PAGUE MENOS S/A (10136)</v>
      </c>
      <c r="G130" t="str">
        <f>"Serv.Prest. 16/12/2024 a 22/12/2024 - RPS: 355 - NFSe: 2580"</f>
        <v>Serv.Prest. 16/12/2024 a 22/12/2024 - RPS: 355 - NFSe: 2580</v>
      </c>
      <c r="H130" t="str">
        <f>("02/01/2025")</f>
        <v>02/01/2025</v>
      </c>
      <c r="I130" t="str">
        <f>("23/12/2024")</f>
        <v>23/12/2024</v>
      </c>
      <c r="J130" t="str">
        <f t="shared" si="57"/>
        <v>08/01/2025</v>
      </c>
      <c r="M130">
        <v>303</v>
      </c>
      <c r="N130" t="str">
        <f t="shared" si="58"/>
        <v>RECEITAS COM ENTREGAS</v>
      </c>
      <c r="P130">
        <v>596.6</v>
      </c>
      <c r="Q130" t="str">
        <f>"PAGMENOS - LJ 657 (10136)"</f>
        <v>PAGMENOS - LJ 657 (10136)</v>
      </c>
      <c r="R130" t="str">
        <f t="shared" si="59"/>
        <v>RECEITAS COM ENTREGAS (303)</v>
      </c>
      <c r="S130">
        <v>815</v>
      </c>
      <c r="T130">
        <v>665</v>
      </c>
      <c r="U130" t="s">
        <v>19</v>
      </c>
    </row>
    <row r="131" spans="1:21">
      <c r="A131" t="str">
        <f t="shared" si="54"/>
        <v>08/01/2025</v>
      </c>
      <c r="B131" t="str">
        <f t="shared" ref="B131:B143" si="61">"SAÍDA"</f>
        <v>SAÍDA</v>
      </c>
      <c r="C131" t="str">
        <f t="shared" ref="C131:C141" si="62">"JUROS"</f>
        <v>JUROS</v>
      </c>
      <c r="D131" t="str">
        <f>""</f>
        <v/>
      </c>
      <c r="E131" t="str">
        <f t="shared" ref="E131:E141" si="63">"CXA"</f>
        <v>CXA</v>
      </c>
      <c r="F131" t="str">
        <f>""</f>
        <v/>
      </c>
      <c r="G131" t="str">
        <f t="shared" ref="G131:G141" si="64">"TAXA BOLETO COMPENSADO"</f>
        <v>TAXA BOLETO COMPENSADO</v>
      </c>
      <c r="H131" t="str">
        <f t="shared" ref="H131:I135" si="65">("08/01/2025")</f>
        <v>08/01/2025</v>
      </c>
      <c r="I131" t="str">
        <f t="shared" si="65"/>
        <v>08/01/2025</v>
      </c>
      <c r="J131" t="str">
        <f t="shared" si="57"/>
        <v>08/01/2025</v>
      </c>
      <c r="K131">
        <v>1.7</v>
      </c>
      <c r="L131">
        <v>1.7</v>
      </c>
      <c r="M131">
        <v>401</v>
      </c>
      <c r="N131" t="str">
        <f t="shared" ref="N131:N143" si="66">"IOF/JUROS/DESP.FINANCEIRA"</f>
        <v>IOF/JUROS/DESP.FINANCEIRA</v>
      </c>
      <c r="O131">
        <v>1.7</v>
      </c>
      <c r="R131" t="str">
        <f t="shared" ref="R131:R143" si="67">"BANCO CORA (102)"</f>
        <v>BANCO CORA (102)</v>
      </c>
      <c r="S131">
        <v>817</v>
      </c>
      <c r="T131">
        <v>0</v>
      </c>
      <c r="U131" t="s">
        <v>20</v>
      </c>
    </row>
    <row r="132" spans="1:21">
      <c r="A132" t="str">
        <f t="shared" si="54"/>
        <v>08/01/2025</v>
      </c>
      <c r="B132" t="str">
        <f t="shared" si="61"/>
        <v>SAÍDA</v>
      </c>
      <c r="C132" t="str">
        <f t="shared" si="62"/>
        <v>JUROS</v>
      </c>
      <c r="D132" t="str">
        <f>""</f>
        <v/>
      </c>
      <c r="E132" t="str">
        <f t="shared" si="63"/>
        <v>CXA</v>
      </c>
      <c r="F132" t="str">
        <f>""</f>
        <v/>
      </c>
      <c r="G132" t="str">
        <f t="shared" si="64"/>
        <v>TAXA BOLETO COMPENSADO</v>
      </c>
      <c r="H132" t="str">
        <f t="shared" si="65"/>
        <v>08/01/2025</v>
      </c>
      <c r="I132" t="str">
        <f t="shared" si="65"/>
        <v>08/01/2025</v>
      </c>
      <c r="J132" t="str">
        <f t="shared" si="57"/>
        <v>08/01/2025</v>
      </c>
      <c r="K132">
        <v>1.7</v>
      </c>
      <c r="L132">
        <v>1.7</v>
      </c>
      <c r="M132">
        <v>401</v>
      </c>
      <c r="N132" t="str">
        <f t="shared" si="66"/>
        <v>IOF/JUROS/DESP.FINANCEIRA</v>
      </c>
      <c r="O132">
        <v>1.7</v>
      </c>
      <c r="R132" t="str">
        <f t="shared" si="67"/>
        <v>BANCO CORA (102)</v>
      </c>
      <c r="S132">
        <v>818</v>
      </c>
      <c r="T132">
        <v>0</v>
      </c>
      <c r="U132" t="s">
        <v>20</v>
      </c>
    </row>
    <row r="133" spans="1:21">
      <c r="A133" t="str">
        <f t="shared" si="54"/>
        <v>08/01/2025</v>
      </c>
      <c r="B133" t="str">
        <f t="shared" si="61"/>
        <v>SAÍDA</v>
      </c>
      <c r="C133" t="str">
        <f t="shared" si="62"/>
        <v>JUROS</v>
      </c>
      <c r="D133" t="str">
        <f>""</f>
        <v/>
      </c>
      <c r="E133" t="str">
        <f t="shared" si="63"/>
        <v>CXA</v>
      </c>
      <c r="F133" t="str">
        <f>""</f>
        <v/>
      </c>
      <c r="G133" t="str">
        <f t="shared" si="64"/>
        <v>TAXA BOLETO COMPENSADO</v>
      </c>
      <c r="H133" t="str">
        <f t="shared" si="65"/>
        <v>08/01/2025</v>
      </c>
      <c r="I133" t="str">
        <f t="shared" si="65"/>
        <v>08/01/2025</v>
      </c>
      <c r="J133" t="str">
        <f t="shared" si="57"/>
        <v>08/01/2025</v>
      </c>
      <c r="K133">
        <v>1.7</v>
      </c>
      <c r="L133">
        <v>1.7</v>
      </c>
      <c r="M133">
        <v>401</v>
      </c>
      <c r="N133" t="str">
        <f t="shared" si="66"/>
        <v>IOF/JUROS/DESP.FINANCEIRA</v>
      </c>
      <c r="O133">
        <v>1.7</v>
      </c>
      <c r="R133" t="str">
        <f t="shared" si="67"/>
        <v>BANCO CORA (102)</v>
      </c>
      <c r="S133">
        <v>819</v>
      </c>
      <c r="T133">
        <v>0</v>
      </c>
      <c r="U133" t="s">
        <v>20</v>
      </c>
    </row>
    <row r="134" spans="1:21">
      <c r="A134" t="str">
        <f t="shared" si="54"/>
        <v>08/01/2025</v>
      </c>
      <c r="B134" t="str">
        <f t="shared" si="61"/>
        <v>SAÍDA</v>
      </c>
      <c r="C134" t="str">
        <f t="shared" si="62"/>
        <v>JUROS</v>
      </c>
      <c r="D134" t="str">
        <f>""</f>
        <v/>
      </c>
      <c r="E134" t="str">
        <f t="shared" si="63"/>
        <v>CXA</v>
      </c>
      <c r="F134" t="str">
        <f>""</f>
        <v/>
      </c>
      <c r="G134" t="str">
        <f t="shared" si="64"/>
        <v>TAXA BOLETO COMPENSADO</v>
      </c>
      <c r="H134" t="str">
        <f t="shared" si="65"/>
        <v>08/01/2025</v>
      </c>
      <c r="I134" t="str">
        <f t="shared" si="65"/>
        <v>08/01/2025</v>
      </c>
      <c r="J134" t="str">
        <f t="shared" si="57"/>
        <v>08/01/2025</v>
      </c>
      <c r="K134">
        <v>1.7</v>
      </c>
      <c r="L134">
        <v>1.7</v>
      </c>
      <c r="M134">
        <v>401</v>
      </c>
      <c r="N134" t="str">
        <f t="shared" si="66"/>
        <v>IOF/JUROS/DESP.FINANCEIRA</v>
      </c>
      <c r="O134">
        <v>1.7</v>
      </c>
      <c r="R134" t="str">
        <f t="shared" si="67"/>
        <v>BANCO CORA (102)</v>
      </c>
      <c r="S134">
        <v>820</v>
      </c>
      <c r="T134">
        <v>0</v>
      </c>
      <c r="U134" t="s">
        <v>20</v>
      </c>
    </row>
    <row r="135" spans="1:21">
      <c r="A135" t="str">
        <f t="shared" si="54"/>
        <v>08/01/2025</v>
      </c>
      <c r="B135" t="str">
        <f t="shared" si="61"/>
        <v>SAÍDA</v>
      </c>
      <c r="C135" t="str">
        <f t="shared" si="62"/>
        <v>JUROS</v>
      </c>
      <c r="D135" t="str">
        <f>""</f>
        <v/>
      </c>
      <c r="E135" t="str">
        <f t="shared" si="63"/>
        <v>CXA</v>
      </c>
      <c r="F135" t="str">
        <f>""</f>
        <v/>
      </c>
      <c r="G135" t="str">
        <f t="shared" si="64"/>
        <v>TAXA BOLETO COMPENSADO</v>
      </c>
      <c r="H135" t="str">
        <f t="shared" si="65"/>
        <v>08/01/2025</v>
      </c>
      <c r="I135" t="str">
        <f t="shared" si="65"/>
        <v>08/01/2025</v>
      </c>
      <c r="J135" t="str">
        <f t="shared" si="57"/>
        <v>08/01/2025</v>
      </c>
      <c r="K135">
        <v>1.7</v>
      </c>
      <c r="L135">
        <v>1.7</v>
      </c>
      <c r="M135">
        <v>401</v>
      </c>
      <c r="N135" t="str">
        <f t="shared" si="66"/>
        <v>IOF/JUROS/DESP.FINANCEIRA</v>
      </c>
      <c r="O135">
        <v>1.7</v>
      </c>
      <c r="R135" t="str">
        <f t="shared" si="67"/>
        <v>BANCO CORA (102)</v>
      </c>
      <c r="S135">
        <v>821</v>
      </c>
      <c r="T135">
        <v>0</v>
      </c>
      <c r="U135" t="s">
        <v>20</v>
      </c>
    </row>
    <row r="136" spans="1:21">
      <c r="A136" t="str">
        <f t="shared" ref="A136:A167" si="68">("09/01/2025")</f>
        <v>09/01/2025</v>
      </c>
      <c r="B136" t="str">
        <f t="shared" si="61"/>
        <v>SAÍDA</v>
      </c>
      <c r="C136" t="str">
        <f t="shared" si="62"/>
        <v>JUROS</v>
      </c>
      <c r="D136" t="str">
        <f>""</f>
        <v/>
      </c>
      <c r="E136" t="str">
        <f t="shared" si="63"/>
        <v>CXA</v>
      </c>
      <c r="F136" t="str">
        <f>""</f>
        <v/>
      </c>
      <c r="G136" t="str">
        <f t="shared" si="64"/>
        <v>TAXA BOLETO COMPENSADO</v>
      </c>
      <c r="H136" t="str">
        <f t="shared" ref="H136:J141" si="69">("09/01/2025")</f>
        <v>09/01/2025</v>
      </c>
      <c r="I136" t="str">
        <f t="shared" si="69"/>
        <v>09/01/2025</v>
      </c>
      <c r="J136" t="str">
        <f t="shared" si="69"/>
        <v>09/01/2025</v>
      </c>
      <c r="K136">
        <v>1.7</v>
      </c>
      <c r="L136">
        <v>1.7</v>
      </c>
      <c r="M136">
        <v>401</v>
      </c>
      <c r="N136" t="str">
        <f t="shared" si="66"/>
        <v>IOF/JUROS/DESP.FINANCEIRA</v>
      </c>
      <c r="O136">
        <v>1.7</v>
      </c>
      <c r="R136" t="str">
        <f t="shared" si="67"/>
        <v>BANCO CORA (102)</v>
      </c>
      <c r="S136">
        <v>822</v>
      </c>
      <c r="T136">
        <v>0</v>
      </c>
      <c r="U136" t="s">
        <v>20</v>
      </c>
    </row>
    <row r="137" spans="1:21">
      <c r="A137" t="str">
        <f t="shared" si="68"/>
        <v>09/01/2025</v>
      </c>
      <c r="B137" t="str">
        <f t="shared" si="61"/>
        <v>SAÍDA</v>
      </c>
      <c r="C137" t="str">
        <f t="shared" si="62"/>
        <v>JUROS</v>
      </c>
      <c r="D137" t="str">
        <f>""</f>
        <v/>
      </c>
      <c r="E137" t="str">
        <f t="shared" si="63"/>
        <v>CXA</v>
      </c>
      <c r="F137" t="str">
        <f>""</f>
        <v/>
      </c>
      <c r="G137" t="str">
        <f t="shared" si="64"/>
        <v>TAXA BOLETO COMPENSADO</v>
      </c>
      <c r="H137" t="str">
        <f t="shared" si="69"/>
        <v>09/01/2025</v>
      </c>
      <c r="I137" t="str">
        <f t="shared" si="69"/>
        <v>09/01/2025</v>
      </c>
      <c r="J137" t="str">
        <f t="shared" si="69"/>
        <v>09/01/2025</v>
      </c>
      <c r="K137">
        <v>1.7</v>
      </c>
      <c r="L137">
        <v>1.7</v>
      </c>
      <c r="M137">
        <v>401</v>
      </c>
      <c r="N137" t="str">
        <f t="shared" si="66"/>
        <v>IOF/JUROS/DESP.FINANCEIRA</v>
      </c>
      <c r="O137">
        <v>1.7</v>
      </c>
      <c r="R137" t="str">
        <f t="shared" si="67"/>
        <v>BANCO CORA (102)</v>
      </c>
      <c r="S137">
        <v>823</v>
      </c>
      <c r="T137">
        <v>0</v>
      </c>
      <c r="U137" t="s">
        <v>20</v>
      </c>
    </row>
    <row r="138" spans="1:21">
      <c r="A138" t="str">
        <f t="shared" si="68"/>
        <v>09/01/2025</v>
      </c>
      <c r="B138" t="str">
        <f t="shared" si="61"/>
        <v>SAÍDA</v>
      </c>
      <c r="C138" t="str">
        <f t="shared" si="62"/>
        <v>JUROS</v>
      </c>
      <c r="D138" t="str">
        <f>""</f>
        <v/>
      </c>
      <c r="E138" t="str">
        <f t="shared" si="63"/>
        <v>CXA</v>
      </c>
      <c r="F138" t="str">
        <f>""</f>
        <v/>
      </c>
      <c r="G138" t="str">
        <f t="shared" si="64"/>
        <v>TAXA BOLETO COMPENSADO</v>
      </c>
      <c r="H138" t="str">
        <f t="shared" si="69"/>
        <v>09/01/2025</v>
      </c>
      <c r="I138" t="str">
        <f t="shared" si="69"/>
        <v>09/01/2025</v>
      </c>
      <c r="J138" t="str">
        <f t="shared" si="69"/>
        <v>09/01/2025</v>
      </c>
      <c r="K138">
        <v>1.7</v>
      </c>
      <c r="L138">
        <v>1.7</v>
      </c>
      <c r="M138">
        <v>401</v>
      </c>
      <c r="N138" t="str">
        <f t="shared" si="66"/>
        <v>IOF/JUROS/DESP.FINANCEIRA</v>
      </c>
      <c r="O138">
        <v>1.7</v>
      </c>
      <c r="R138" t="str">
        <f t="shared" si="67"/>
        <v>BANCO CORA (102)</v>
      </c>
      <c r="S138">
        <v>824</v>
      </c>
      <c r="T138">
        <v>0</v>
      </c>
      <c r="U138" t="s">
        <v>20</v>
      </c>
    </row>
    <row r="139" spans="1:21">
      <c r="A139" t="str">
        <f t="shared" si="68"/>
        <v>09/01/2025</v>
      </c>
      <c r="B139" t="str">
        <f t="shared" si="61"/>
        <v>SAÍDA</v>
      </c>
      <c r="C139" t="str">
        <f t="shared" si="62"/>
        <v>JUROS</v>
      </c>
      <c r="D139" t="str">
        <f>""</f>
        <v/>
      </c>
      <c r="E139" t="str">
        <f t="shared" si="63"/>
        <v>CXA</v>
      </c>
      <c r="F139" t="str">
        <f>""</f>
        <v/>
      </c>
      <c r="G139" t="str">
        <f t="shared" si="64"/>
        <v>TAXA BOLETO COMPENSADO</v>
      </c>
      <c r="H139" t="str">
        <f t="shared" si="69"/>
        <v>09/01/2025</v>
      </c>
      <c r="I139" t="str">
        <f t="shared" si="69"/>
        <v>09/01/2025</v>
      </c>
      <c r="J139" t="str">
        <f t="shared" si="69"/>
        <v>09/01/2025</v>
      </c>
      <c r="K139">
        <v>1.7</v>
      </c>
      <c r="L139">
        <v>1.7</v>
      </c>
      <c r="M139">
        <v>401</v>
      </c>
      <c r="N139" t="str">
        <f t="shared" si="66"/>
        <v>IOF/JUROS/DESP.FINANCEIRA</v>
      </c>
      <c r="O139">
        <v>1.7</v>
      </c>
      <c r="R139" t="str">
        <f t="shared" si="67"/>
        <v>BANCO CORA (102)</v>
      </c>
      <c r="S139">
        <v>825</v>
      </c>
      <c r="T139">
        <v>0</v>
      </c>
      <c r="U139" t="s">
        <v>20</v>
      </c>
    </row>
    <row r="140" spans="1:21">
      <c r="A140" t="str">
        <f t="shared" si="68"/>
        <v>09/01/2025</v>
      </c>
      <c r="B140" t="str">
        <f t="shared" si="61"/>
        <v>SAÍDA</v>
      </c>
      <c r="C140" t="str">
        <f t="shared" si="62"/>
        <v>JUROS</v>
      </c>
      <c r="D140" t="str">
        <f>""</f>
        <v/>
      </c>
      <c r="E140" t="str">
        <f t="shared" si="63"/>
        <v>CXA</v>
      </c>
      <c r="F140" t="str">
        <f>""</f>
        <v/>
      </c>
      <c r="G140" t="str">
        <f t="shared" si="64"/>
        <v>TAXA BOLETO COMPENSADO</v>
      </c>
      <c r="H140" t="str">
        <f t="shared" si="69"/>
        <v>09/01/2025</v>
      </c>
      <c r="I140" t="str">
        <f t="shared" si="69"/>
        <v>09/01/2025</v>
      </c>
      <c r="J140" t="str">
        <f t="shared" si="69"/>
        <v>09/01/2025</v>
      </c>
      <c r="K140">
        <v>1.7</v>
      </c>
      <c r="L140">
        <v>1.7</v>
      </c>
      <c r="M140">
        <v>401</v>
      </c>
      <c r="N140" t="str">
        <f t="shared" si="66"/>
        <v>IOF/JUROS/DESP.FINANCEIRA</v>
      </c>
      <c r="O140">
        <v>1.7</v>
      </c>
      <c r="R140" t="str">
        <f t="shared" si="67"/>
        <v>BANCO CORA (102)</v>
      </c>
      <c r="S140">
        <v>826</v>
      </c>
      <c r="T140">
        <v>0</v>
      </c>
      <c r="U140" t="s">
        <v>20</v>
      </c>
    </row>
    <row r="141" spans="1:21">
      <c r="A141" t="str">
        <f t="shared" si="68"/>
        <v>09/01/2025</v>
      </c>
      <c r="B141" t="str">
        <f t="shared" si="61"/>
        <v>SAÍDA</v>
      </c>
      <c r="C141" t="str">
        <f t="shared" si="62"/>
        <v>JUROS</v>
      </c>
      <c r="D141" t="str">
        <f>""</f>
        <v/>
      </c>
      <c r="E141" t="str">
        <f t="shared" si="63"/>
        <v>CXA</v>
      </c>
      <c r="F141" t="str">
        <f>""</f>
        <v/>
      </c>
      <c r="G141" t="str">
        <f t="shared" si="64"/>
        <v>TAXA BOLETO COMPENSADO</v>
      </c>
      <c r="H141" t="str">
        <f t="shared" si="69"/>
        <v>09/01/2025</v>
      </c>
      <c r="I141" t="str">
        <f t="shared" si="69"/>
        <v>09/01/2025</v>
      </c>
      <c r="J141" t="str">
        <f t="shared" si="69"/>
        <v>09/01/2025</v>
      </c>
      <c r="K141">
        <v>1.7</v>
      </c>
      <c r="L141">
        <v>1.7</v>
      </c>
      <c r="M141">
        <v>401</v>
      </c>
      <c r="N141" t="str">
        <f t="shared" si="66"/>
        <v>IOF/JUROS/DESP.FINANCEIRA</v>
      </c>
      <c r="O141">
        <v>1.7</v>
      </c>
      <c r="R141" t="str">
        <f t="shared" si="67"/>
        <v>BANCO CORA (102)</v>
      </c>
      <c r="S141">
        <v>827</v>
      </c>
      <c r="T141">
        <v>0</v>
      </c>
      <c r="U141" t="s">
        <v>20</v>
      </c>
    </row>
    <row r="142" spans="1:21">
      <c r="A142" t="str">
        <f t="shared" si="68"/>
        <v>09/01/2025</v>
      </c>
      <c r="B142" t="str">
        <f t="shared" si="61"/>
        <v>SAÍDA</v>
      </c>
      <c r="C142" t="str">
        <f>"BOLETO"</f>
        <v>BOLETO</v>
      </c>
      <c r="D142" t="str">
        <f>"0901"</f>
        <v>0901</v>
      </c>
      <c r="E142" t="str">
        <f t="shared" ref="E142:E173" si="70">"COM"</f>
        <v>COM</v>
      </c>
      <c r="F142" t="str">
        <f>"CORA SOCIEDADE DE CREDITO, FINANCIAMENTO E INVESTIMENTO (20035)"</f>
        <v>CORA SOCIEDADE DE CREDITO, FINANCIAMENTO E INVESTIMENTO (20035)</v>
      </c>
      <c r="G142" t="str">
        <f>"DESPESAS COM TARIFAS BANCARIAS"</f>
        <v>DESPESAS COM TARIFAS BANCARIAS</v>
      </c>
      <c r="H142" t="str">
        <f>("09/01/2025")</f>
        <v>09/01/2025</v>
      </c>
      <c r="I142" t="str">
        <f>("01/01/2025")</f>
        <v>01/01/2025</v>
      </c>
      <c r="J142" t="str">
        <f t="shared" ref="J142:J173" si="71">("09/01/2025")</f>
        <v>09/01/2025</v>
      </c>
      <c r="K142">
        <v>44.9</v>
      </c>
      <c r="L142">
        <v>44.9</v>
      </c>
      <c r="M142">
        <v>401</v>
      </c>
      <c r="N142" t="str">
        <f t="shared" si="66"/>
        <v>IOF/JUROS/DESP.FINANCEIRA</v>
      </c>
      <c r="O142">
        <v>44.9</v>
      </c>
      <c r="R142" t="str">
        <f t="shared" si="67"/>
        <v>BANCO CORA (102)</v>
      </c>
      <c r="S142">
        <v>828</v>
      </c>
      <c r="T142">
        <v>743</v>
      </c>
      <c r="U142" t="s">
        <v>19</v>
      </c>
    </row>
    <row r="143" spans="1:21">
      <c r="A143" t="str">
        <f t="shared" si="68"/>
        <v>09/01/2025</v>
      </c>
      <c r="B143" t="str">
        <f t="shared" si="61"/>
        <v>SAÍDA</v>
      </c>
      <c r="C143" t="str">
        <f>"BOLETO"</f>
        <v>BOLETO</v>
      </c>
      <c r="D143" t="str">
        <f>"0901"</f>
        <v>0901</v>
      </c>
      <c r="E143" t="str">
        <f t="shared" si="70"/>
        <v>COM</v>
      </c>
      <c r="F143" t="str">
        <f>"CORA SOCIEDADE DE CREDITO, FINANCIAMENTO E INVESTIMENTO (20035)"</f>
        <v>CORA SOCIEDADE DE CREDITO, FINANCIAMENTO E INVESTIMENTO (20035)</v>
      </c>
      <c r="G143" t="str">
        <f>"DESPESAS COM TARIFAS BANCARIAS"</f>
        <v>DESPESAS COM TARIFAS BANCARIAS</v>
      </c>
      <c r="H143" t="str">
        <f>("09/01/2025")</f>
        <v>09/01/2025</v>
      </c>
      <c r="I143" t="str">
        <f>("01/01/2025")</f>
        <v>01/01/2025</v>
      </c>
      <c r="J143" t="str">
        <f t="shared" si="71"/>
        <v>09/01/2025</v>
      </c>
      <c r="M143">
        <v>401</v>
      </c>
      <c r="N143" t="str">
        <f t="shared" si="66"/>
        <v>IOF/JUROS/DESP.FINANCEIRA</v>
      </c>
      <c r="P143">
        <v>44.9</v>
      </c>
      <c r="Q143" t="str">
        <f>"CORA SOCIEDADE DE CREDITO, FINANCIAMENTO E INVESTIMENTO (20035)"</f>
        <v>CORA SOCIEDADE DE CREDITO, FINANCIAMENTO E INVESTIMENTO (20035)</v>
      </c>
      <c r="R143" t="str">
        <f t="shared" si="67"/>
        <v>BANCO CORA (102)</v>
      </c>
      <c r="S143">
        <v>828</v>
      </c>
      <c r="T143">
        <v>743</v>
      </c>
      <c r="U143" t="s">
        <v>19</v>
      </c>
    </row>
    <row r="144" spans="1:21">
      <c r="A144" t="str">
        <f t="shared" si="68"/>
        <v>09/01/2025</v>
      </c>
      <c r="B144" t="str">
        <f>"ENTRADA"</f>
        <v>ENTRADA</v>
      </c>
      <c r="C144" t="str">
        <f t="shared" ref="C144:C175" si="72">"NFSE"</f>
        <v>NFSE</v>
      </c>
      <c r="D144" t="str">
        <f t="shared" ref="D144:D189" si="73">"2600"</f>
        <v>2600</v>
      </c>
      <c r="E144" t="str">
        <f t="shared" si="70"/>
        <v>COM</v>
      </c>
      <c r="F144" t="str">
        <f t="shared" ref="F144:F189" si="74">"FARMÁCIA INDIANA LJ 1 (10126)"</f>
        <v>FARMÁCIA INDIANA LJ 1 (10126)</v>
      </c>
      <c r="G144" t="str">
        <f t="shared" ref="G144:G189" si="75">"Serv.Prest. 23/12/2024 a 29/12/2024 - RPS: 375 - NFSe: 2600"</f>
        <v>Serv.Prest. 23/12/2024 a 29/12/2024 - RPS: 375 - NFSe: 2600</v>
      </c>
      <c r="H144" t="str">
        <f t="shared" ref="H144:H175" si="76">("08/01/2025")</f>
        <v>08/01/2025</v>
      </c>
      <c r="I144" t="str">
        <f t="shared" ref="I144:I189" si="77">("02/01/2025")</f>
        <v>02/01/2025</v>
      </c>
      <c r="J144" t="str">
        <f t="shared" si="71"/>
        <v>09/01/2025</v>
      </c>
      <c r="K144">
        <v>10983.35</v>
      </c>
      <c r="L144">
        <v>10983.35</v>
      </c>
      <c r="M144">
        <v>303</v>
      </c>
      <c r="N144" t="str">
        <f t="shared" ref="N144:N175" si="78">"RECEITAS COM ENTREGAS"</f>
        <v>RECEITAS COM ENTREGAS</v>
      </c>
      <c r="O144">
        <v>10983.35</v>
      </c>
      <c r="R144" t="str">
        <f t="shared" ref="R144:R175" si="79">"RECEITAS COM ENTREGAS (303)"</f>
        <v>RECEITAS COM ENTREGAS (303)</v>
      </c>
      <c r="S144">
        <v>829</v>
      </c>
      <c r="T144">
        <v>685</v>
      </c>
      <c r="U144" t="s">
        <v>19</v>
      </c>
    </row>
    <row r="145" spans="1:21">
      <c r="A145" t="str">
        <f t="shared" si="68"/>
        <v>09/01/2025</v>
      </c>
      <c r="B145" t="str">
        <f t="shared" ref="B145:B208" si="80">"ENTRADA"</f>
        <v>ENTRADA</v>
      </c>
      <c r="C145" t="str">
        <f t="shared" si="72"/>
        <v>NFSE</v>
      </c>
      <c r="D145" t="str">
        <f t="shared" si="73"/>
        <v>2600</v>
      </c>
      <c r="E145" t="str">
        <f t="shared" si="70"/>
        <v>COM</v>
      </c>
      <c r="F145" t="str">
        <f t="shared" si="74"/>
        <v>FARMÁCIA INDIANA LJ 1 (10126)</v>
      </c>
      <c r="G145" t="str">
        <f t="shared" si="75"/>
        <v>Serv.Prest. 23/12/2024 a 29/12/2024 - RPS: 375 - NFSe: 2600</v>
      </c>
      <c r="H145" t="str">
        <f t="shared" si="76"/>
        <v>08/01/2025</v>
      </c>
      <c r="I145" t="str">
        <f t="shared" si="77"/>
        <v>02/01/2025</v>
      </c>
      <c r="J145" t="str">
        <f t="shared" si="71"/>
        <v>09/01/2025</v>
      </c>
      <c r="M145">
        <v>303</v>
      </c>
      <c r="N145" t="str">
        <f t="shared" si="78"/>
        <v>RECEITAS COM ENTREGAS</v>
      </c>
      <c r="P145">
        <v>1717.76</v>
      </c>
      <c r="Q145" t="str">
        <f>"FARMÁCIA INDIANA LJ 06 (10006)"</f>
        <v>FARMÁCIA INDIANA LJ 06 (10006)</v>
      </c>
      <c r="R145" t="str">
        <f t="shared" si="79"/>
        <v>RECEITAS COM ENTREGAS (303)</v>
      </c>
      <c r="S145">
        <v>829</v>
      </c>
      <c r="T145">
        <v>685</v>
      </c>
      <c r="U145" t="s">
        <v>19</v>
      </c>
    </row>
    <row r="146" spans="1:21">
      <c r="A146" t="str">
        <f t="shared" si="68"/>
        <v>09/01/2025</v>
      </c>
      <c r="B146" t="str">
        <f t="shared" si="80"/>
        <v>ENTRADA</v>
      </c>
      <c r="C146" t="str">
        <f t="shared" si="72"/>
        <v>NFSE</v>
      </c>
      <c r="D146" t="str">
        <f t="shared" si="73"/>
        <v>2600</v>
      </c>
      <c r="E146" t="str">
        <f t="shared" si="70"/>
        <v>COM</v>
      </c>
      <c r="F146" t="str">
        <f t="shared" si="74"/>
        <v>FARMÁCIA INDIANA LJ 1 (10126)</v>
      </c>
      <c r="G146" t="str">
        <f t="shared" si="75"/>
        <v>Serv.Prest. 23/12/2024 a 29/12/2024 - RPS: 375 - NFSe: 2600</v>
      </c>
      <c r="H146" t="str">
        <f t="shared" si="76"/>
        <v>08/01/2025</v>
      </c>
      <c r="I146" t="str">
        <f t="shared" si="77"/>
        <v>02/01/2025</v>
      </c>
      <c r="J146" t="str">
        <f t="shared" si="71"/>
        <v>09/01/2025</v>
      </c>
      <c r="M146">
        <v>303</v>
      </c>
      <c r="N146" t="str">
        <f t="shared" si="78"/>
        <v>RECEITAS COM ENTREGAS</v>
      </c>
      <c r="P146">
        <v>1068.68</v>
      </c>
      <c r="Q146" t="str">
        <f>"FARMÁCIA INDIANA LJ 07 (10007)"</f>
        <v>FARMÁCIA INDIANA LJ 07 (10007)</v>
      </c>
      <c r="R146" t="str">
        <f t="shared" si="79"/>
        <v>RECEITAS COM ENTREGAS (303)</v>
      </c>
      <c r="S146">
        <v>829</v>
      </c>
      <c r="T146">
        <v>685</v>
      </c>
      <c r="U146" t="s">
        <v>19</v>
      </c>
    </row>
    <row r="147" spans="1:21">
      <c r="A147" t="str">
        <f t="shared" si="68"/>
        <v>09/01/2025</v>
      </c>
      <c r="B147" t="str">
        <f t="shared" si="80"/>
        <v>ENTRADA</v>
      </c>
      <c r="C147" t="str">
        <f t="shared" si="72"/>
        <v>NFSE</v>
      </c>
      <c r="D147" t="str">
        <f t="shared" si="73"/>
        <v>2600</v>
      </c>
      <c r="E147" t="str">
        <f t="shared" si="70"/>
        <v>COM</v>
      </c>
      <c r="F147" t="str">
        <f t="shared" si="74"/>
        <v>FARMÁCIA INDIANA LJ 1 (10126)</v>
      </c>
      <c r="G147" t="str">
        <f t="shared" si="75"/>
        <v>Serv.Prest. 23/12/2024 a 29/12/2024 - RPS: 375 - NFSe: 2600</v>
      </c>
      <c r="H147" t="str">
        <f t="shared" si="76"/>
        <v>08/01/2025</v>
      </c>
      <c r="I147" t="str">
        <f t="shared" si="77"/>
        <v>02/01/2025</v>
      </c>
      <c r="J147" t="str">
        <f t="shared" si="71"/>
        <v>09/01/2025</v>
      </c>
      <c r="M147">
        <v>303</v>
      </c>
      <c r="N147" t="str">
        <f t="shared" si="78"/>
        <v>RECEITAS COM ENTREGAS</v>
      </c>
      <c r="P147">
        <v>827.05</v>
      </c>
      <c r="Q147" t="str">
        <f>"FARMÁCIA INDIANA LJ 11 (10008)"</f>
        <v>FARMÁCIA INDIANA LJ 11 (10008)</v>
      </c>
      <c r="R147" t="str">
        <f t="shared" si="79"/>
        <v>RECEITAS COM ENTREGAS (303)</v>
      </c>
      <c r="S147">
        <v>829</v>
      </c>
      <c r="T147">
        <v>685</v>
      </c>
      <c r="U147" t="s">
        <v>19</v>
      </c>
    </row>
    <row r="148" spans="1:21">
      <c r="A148" t="str">
        <f t="shared" si="68"/>
        <v>09/01/2025</v>
      </c>
      <c r="B148" t="str">
        <f t="shared" si="80"/>
        <v>ENTRADA</v>
      </c>
      <c r="C148" t="str">
        <f t="shared" si="72"/>
        <v>NFSE</v>
      </c>
      <c r="D148" t="str">
        <f t="shared" si="73"/>
        <v>2600</v>
      </c>
      <c r="E148" t="str">
        <f t="shared" si="70"/>
        <v>COM</v>
      </c>
      <c r="F148" t="str">
        <f t="shared" si="74"/>
        <v>FARMÁCIA INDIANA LJ 1 (10126)</v>
      </c>
      <c r="G148" t="str">
        <f t="shared" si="75"/>
        <v>Serv.Prest. 23/12/2024 a 29/12/2024 - RPS: 375 - NFSe: 2600</v>
      </c>
      <c r="H148" t="str">
        <f t="shared" si="76"/>
        <v>08/01/2025</v>
      </c>
      <c r="I148" t="str">
        <f t="shared" si="77"/>
        <v>02/01/2025</v>
      </c>
      <c r="J148" t="str">
        <f t="shared" si="71"/>
        <v>09/01/2025</v>
      </c>
      <c r="M148">
        <v>303</v>
      </c>
      <c r="N148" t="str">
        <f t="shared" si="78"/>
        <v>RECEITAS COM ENTREGAS</v>
      </c>
      <c r="P148">
        <v>280.08</v>
      </c>
      <c r="Q148" t="str">
        <f>"FARMÁCIA INDIANA LJ 14 (10009)"</f>
        <v>FARMÁCIA INDIANA LJ 14 (10009)</v>
      </c>
      <c r="R148" t="str">
        <f t="shared" si="79"/>
        <v>RECEITAS COM ENTREGAS (303)</v>
      </c>
      <c r="S148">
        <v>829</v>
      </c>
      <c r="T148">
        <v>685</v>
      </c>
      <c r="U148" t="s">
        <v>19</v>
      </c>
    </row>
    <row r="149" spans="1:21">
      <c r="A149" t="str">
        <f t="shared" si="68"/>
        <v>09/01/2025</v>
      </c>
      <c r="B149" t="str">
        <f t="shared" si="80"/>
        <v>ENTRADA</v>
      </c>
      <c r="C149" t="str">
        <f t="shared" si="72"/>
        <v>NFSE</v>
      </c>
      <c r="D149" t="str">
        <f t="shared" si="73"/>
        <v>2600</v>
      </c>
      <c r="E149" t="str">
        <f t="shared" si="70"/>
        <v>COM</v>
      </c>
      <c r="F149" t="str">
        <f t="shared" si="74"/>
        <v>FARMÁCIA INDIANA LJ 1 (10126)</v>
      </c>
      <c r="G149" t="str">
        <f t="shared" si="75"/>
        <v>Serv.Prest. 23/12/2024 a 29/12/2024 - RPS: 375 - NFSe: 2600</v>
      </c>
      <c r="H149" t="str">
        <f t="shared" si="76"/>
        <v>08/01/2025</v>
      </c>
      <c r="I149" t="str">
        <f t="shared" si="77"/>
        <v>02/01/2025</v>
      </c>
      <c r="J149" t="str">
        <f t="shared" si="71"/>
        <v>09/01/2025</v>
      </c>
      <c r="M149">
        <v>303</v>
      </c>
      <c r="N149" t="str">
        <f t="shared" si="78"/>
        <v>RECEITAS COM ENTREGAS</v>
      </c>
      <c r="P149">
        <v>285.57</v>
      </c>
      <c r="Q149" t="str">
        <f>"FARMÁCIA INDIANA LJ 18 (10011)"</f>
        <v>FARMÁCIA INDIANA LJ 18 (10011)</v>
      </c>
      <c r="R149" t="str">
        <f t="shared" si="79"/>
        <v>RECEITAS COM ENTREGAS (303)</v>
      </c>
      <c r="S149">
        <v>829</v>
      </c>
      <c r="T149">
        <v>685</v>
      </c>
      <c r="U149" t="s">
        <v>19</v>
      </c>
    </row>
    <row r="150" spans="1:21">
      <c r="A150" t="str">
        <f t="shared" si="68"/>
        <v>09/01/2025</v>
      </c>
      <c r="B150" t="str">
        <f t="shared" si="80"/>
        <v>ENTRADA</v>
      </c>
      <c r="C150" t="str">
        <f t="shared" si="72"/>
        <v>NFSE</v>
      </c>
      <c r="D150" t="str">
        <f t="shared" si="73"/>
        <v>2600</v>
      </c>
      <c r="E150" t="str">
        <f t="shared" si="70"/>
        <v>COM</v>
      </c>
      <c r="F150" t="str">
        <f t="shared" si="74"/>
        <v>FARMÁCIA INDIANA LJ 1 (10126)</v>
      </c>
      <c r="G150" t="str">
        <f t="shared" si="75"/>
        <v>Serv.Prest. 23/12/2024 a 29/12/2024 - RPS: 375 - NFSe: 2600</v>
      </c>
      <c r="H150" t="str">
        <f t="shared" si="76"/>
        <v>08/01/2025</v>
      </c>
      <c r="I150" t="str">
        <f t="shared" si="77"/>
        <v>02/01/2025</v>
      </c>
      <c r="J150" t="str">
        <f t="shared" si="71"/>
        <v>09/01/2025</v>
      </c>
      <c r="M150">
        <v>303</v>
      </c>
      <c r="N150" t="str">
        <f t="shared" si="78"/>
        <v>RECEITAS COM ENTREGAS</v>
      </c>
      <c r="P150">
        <v>286.67</v>
      </c>
      <c r="Q150" t="str">
        <f>"FARMÁCIA INDIANA LJ 19 (10012)"</f>
        <v>FARMÁCIA INDIANA LJ 19 (10012)</v>
      </c>
      <c r="R150" t="str">
        <f t="shared" si="79"/>
        <v>RECEITAS COM ENTREGAS (303)</v>
      </c>
      <c r="S150">
        <v>829</v>
      </c>
      <c r="T150">
        <v>685</v>
      </c>
      <c r="U150" t="s">
        <v>19</v>
      </c>
    </row>
    <row r="151" spans="1:21">
      <c r="A151" t="str">
        <f t="shared" si="68"/>
        <v>09/01/2025</v>
      </c>
      <c r="B151" t="str">
        <f t="shared" si="80"/>
        <v>ENTRADA</v>
      </c>
      <c r="C151" t="str">
        <f t="shared" si="72"/>
        <v>NFSE</v>
      </c>
      <c r="D151" t="str">
        <f t="shared" si="73"/>
        <v>2600</v>
      </c>
      <c r="E151" t="str">
        <f t="shared" si="70"/>
        <v>COM</v>
      </c>
      <c r="F151" t="str">
        <f t="shared" si="74"/>
        <v>FARMÁCIA INDIANA LJ 1 (10126)</v>
      </c>
      <c r="G151" t="str">
        <f t="shared" si="75"/>
        <v>Serv.Prest. 23/12/2024 a 29/12/2024 - RPS: 375 - NFSe: 2600</v>
      </c>
      <c r="H151" t="str">
        <f t="shared" si="76"/>
        <v>08/01/2025</v>
      </c>
      <c r="I151" t="str">
        <f t="shared" si="77"/>
        <v>02/01/2025</v>
      </c>
      <c r="J151" t="str">
        <f t="shared" si="71"/>
        <v>09/01/2025</v>
      </c>
      <c r="M151">
        <v>303</v>
      </c>
      <c r="N151" t="str">
        <f t="shared" si="78"/>
        <v>RECEITAS COM ENTREGAS</v>
      </c>
      <c r="P151">
        <v>378.93</v>
      </c>
      <c r="Q151" t="str">
        <f>"FARMÁCIA INDIANA LJ 40 (10016)"</f>
        <v>FARMÁCIA INDIANA LJ 40 (10016)</v>
      </c>
      <c r="R151" t="str">
        <f t="shared" si="79"/>
        <v>RECEITAS COM ENTREGAS (303)</v>
      </c>
      <c r="S151">
        <v>829</v>
      </c>
      <c r="T151">
        <v>685</v>
      </c>
      <c r="U151" t="s">
        <v>19</v>
      </c>
    </row>
    <row r="152" spans="1:21">
      <c r="A152" t="str">
        <f t="shared" si="68"/>
        <v>09/01/2025</v>
      </c>
      <c r="B152" t="str">
        <f t="shared" si="80"/>
        <v>ENTRADA</v>
      </c>
      <c r="C152" t="str">
        <f t="shared" si="72"/>
        <v>NFSE</v>
      </c>
      <c r="D152" t="str">
        <f t="shared" si="73"/>
        <v>2600</v>
      </c>
      <c r="E152" t="str">
        <f t="shared" si="70"/>
        <v>COM</v>
      </c>
      <c r="F152" t="str">
        <f t="shared" si="74"/>
        <v>FARMÁCIA INDIANA LJ 1 (10126)</v>
      </c>
      <c r="G152" t="str">
        <f t="shared" si="75"/>
        <v>Serv.Prest. 23/12/2024 a 29/12/2024 - RPS: 375 - NFSe: 2600</v>
      </c>
      <c r="H152" t="str">
        <f t="shared" si="76"/>
        <v>08/01/2025</v>
      </c>
      <c r="I152" t="str">
        <f t="shared" si="77"/>
        <v>02/01/2025</v>
      </c>
      <c r="J152" t="str">
        <f t="shared" si="71"/>
        <v>09/01/2025</v>
      </c>
      <c r="M152">
        <v>303</v>
      </c>
      <c r="N152" t="str">
        <f t="shared" si="78"/>
        <v>RECEITAS COM ENTREGAS</v>
      </c>
      <c r="P152">
        <v>324.01</v>
      </c>
      <c r="Q152" t="str">
        <f>"FARMÁCIA INDIANA LJ 59 (10026)"</f>
        <v>FARMÁCIA INDIANA LJ 59 (10026)</v>
      </c>
      <c r="R152" t="str">
        <f t="shared" si="79"/>
        <v>RECEITAS COM ENTREGAS (303)</v>
      </c>
      <c r="S152">
        <v>829</v>
      </c>
      <c r="T152">
        <v>685</v>
      </c>
      <c r="U152" t="s">
        <v>19</v>
      </c>
    </row>
    <row r="153" spans="1:21">
      <c r="A153" t="str">
        <f t="shared" si="68"/>
        <v>09/01/2025</v>
      </c>
      <c r="B153" t="str">
        <f t="shared" si="80"/>
        <v>ENTRADA</v>
      </c>
      <c r="C153" t="str">
        <f t="shared" si="72"/>
        <v>NFSE</v>
      </c>
      <c r="D153" t="str">
        <f t="shared" si="73"/>
        <v>2600</v>
      </c>
      <c r="E153" t="str">
        <f t="shared" si="70"/>
        <v>COM</v>
      </c>
      <c r="F153" t="str">
        <f t="shared" si="74"/>
        <v>FARMÁCIA INDIANA LJ 1 (10126)</v>
      </c>
      <c r="G153" t="str">
        <f t="shared" si="75"/>
        <v>Serv.Prest. 23/12/2024 a 29/12/2024 - RPS: 375 - NFSe: 2600</v>
      </c>
      <c r="H153" t="str">
        <f t="shared" si="76"/>
        <v>08/01/2025</v>
      </c>
      <c r="I153" t="str">
        <f t="shared" si="77"/>
        <v>02/01/2025</v>
      </c>
      <c r="J153" t="str">
        <f t="shared" si="71"/>
        <v>09/01/2025</v>
      </c>
      <c r="M153">
        <v>303</v>
      </c>
      <c r="N153" t="str">
        <f t="shared" si="78"/>
        <v>RECEITAS COM ENTREGAS</v>
      </c>
      <c r="P153">
        <v>447.02</v>
      </c>
      <c r="Q153" t="str">
        <f>"FARMÁCIA INDIANA LJ 61 (10027)"</f>
        <v>FARMÁCIA INDIANA LJ 61 (10027)</v>
      </c>
      <c r="R153" t="str">
        <f t="shared" si="79"/>
        <v>RECEITAS COM ENTREGAS (303)</v>
      </c>
      <c r="S153">
        <v>829</v>
      </c>
      <c r="T153">
        <v>685</v>
      </c>
      <c r="U153" t="s">
        <v>19</v>
      </c>
    </row>
    <row r="154" spans="1:21">
      <c r="A154" t="str">
        <f t="shared" si="68"/>
        <v>09/01/2025</v>
      </c>
      <c r="B154" t="str">
        <f t="shared" si="80"/>
        <v>ENTRADA</v>
      </c>
      <c r="C154" t="str">
        <f t="shared" si="72"/>
        <v>NFSE</v>
      </c>
      <c r="D154" t="str">
        <f t="shared" si="73"/>
        <v>2600</v>
      </c>
      <c r="E154" t="str">
        <f t="shared" si="70"/>
        <v>COM</v>
      </c>
      <c r="F154" t="str">
        <f t="shared" si="74"/>
        <v>FARMÁCIA INDIANA LJ 1 (10126)</v>
      </c>
      <c r="G154" t="str">
        <f t="shared" si="75"/>
        <v>Serv.Prest. 23/12/2024 a 29/12/2024 - RPS: 375 - NFSe: 2600</v>
      </c>
      <c r="H154" t="str">
        <f t="shared" si="76"/>
        <v>08/01/2025</v>
      </c>
      <c r="I154" t="str">
        <f t="shared" si="77"/>
        <v>02/01/2025</v>
      </c>
      <c r="J154" t="str">
        <f t="shared" si="71"/>
        <v>09/01/2025</v>
      </c>
      <c r="M154">
        <v>303</v>
      </c>
      <c r="N154" t="str">
        <f t="shared" si="78"/>
        <v>RECEITAS COM ENTREGAS</v>
      </c>
      <c r="P154">
        <v>292.16000000000003</v>
      </c>
      <c r="Q154" t="str">
        <f>"FARMÁCIA INDIANA LJ 62 (10028)"</f>
        <v>FARMÁCIA INDIANA LJ 62 (10028)</v>
      </c>
      <c r="R154" t="str">
        <f t="shared" si="79"/>
        <v>RECEITAS COM ENTREGAS (303)</v>
      </c>
      <c r="S154">
        <v>829</v>
      </c>
      <c r="T154">
        <v>685</v>
      </c>
      <c r="U154" t="s">
        <v>19</v>
      </c>
    </row>
    <row r="155" spans="1:21">
      <c r="A155" t="str">
        <f t="shared" si="68"/>
        <v>09/01/2025</v>
      </c>
      <c r="B155" t="str">
        <f t="shared" si="80"/>
        <v>ENTRADA</v>
      </c>
      <c r="C155" t="str">
        <f t="shared" si="72"/>
        <v>NFSE</v>
      </c>
      <c r="D155" t="str">
        <f t="shared" si="73"/>
        <v>2600</v>
      </c>
      <c r="E155" t="str">
        <f t="shared" si="70"/>
        <v>COM</v>
      </c>
      <c r="F155" t="str">
        <f t="shared" si="74"/>
        <v>FARMÁCIA INDIANA LJ 1 (10126)</v>
      </c>
      <c r="G155" t="str">
        <f t="shared" si="75"/>
        <v>Serv.Prest. 23/12/2024 a 29/12/2024 - RPS: 375 - NFSe: 2600</v>
      </c>
      <c r="H155" t="str">
        <f t="shared" si="76"/>
        <v>08/01/2025</v>
      </c>
      <c r="I155" t="str">
        <f t="shared" si="77"/>
        <v>02/01/2025</v>
      </c>
      <c r="J155" t="str">
        <f t="shared" si="71"/>
        <v>09/01/2025</v>
      </c>
      <c r="M155">
        <v>303</v>
      </c>
      <c r="N155" t="str">
        <f t="shared" si="78"/>
        <v>RECEITAS COM ENTREGAS</v>
      </c>
      <c r="P155">
        <v>115.33</v>
      </c>
      <c r="Q155" t="str">
        <f>"FARMÁCIA INDIANA LJ 64 (10029)"</f>
        <v>FARMÁCIA INDIANA LJ 64 (10029)</v>
      </c>
      <c r="R155" t="str">
        <f t="shared" si="79"/>
        <v>RECEITAS COM ENTREGAS (303)</v>
      </c>
      <c r="S155">
        <v>829</v>
      </c>
      <c r="T155">
        <v>685</v>
      </c>
      <c r="U155" t="s">
        <v>19</v>
      </c>
    </row>
    <row r="156" spans="1:21">
      <c r="A156" t="str">
        <f t="shared" si="68"/>
        <v>09/01/2025</v>
      </c>
      <c r="B156" t="str">
        <f t="shared" si="80"/>
        <v>ENTRADA</v>
      </c>
      <c r="C156" t="str">
        <f t="shared" si="72"/>
        <v>NFSE</v>
      </c>
      <c r="D156" t="str">
        <f t="shared" si="73"/>
        <v>2600</v>
      </c>
      <c r="E156" t="str">
        <f t="shared" si="70"/>
        <v>COM</v>
      </c>
      <c r="F156" t="str">
        <f t="shared" si="74"/>
        <v>FARMÁCIA INDIANA LJ 1 (10126)</v>
      </c>
      <c r="G156" t="str">
        <f t="shared" si="75"/>
        <v>Serv.Prest. 23/12/2024 a 29/12/2024 - RPS: 375 - NFSe: 2600</v>
      </c>
      <c r="H156" t="str">
        <f t="shared" si="76"/>
        <v>08/01/2025</v>
      </c>
      <c r="I156" t="str">
        <f t="shared" si="77"/>
        <v>02/01/2025</v>
      </c>
      <c r="J156" t="str">
        <f t="shared" si="71"/>
        <v>09/01/2025</v>
      </c>
      <c r="M156">
        <v>303</v>
      </c>
      <c r="N156" t="str">
        <f t="shared" si="78"/>
        <v>RECEITAS COM ENTREGAS</v>
      </c>
      <c r="P156">
        <v>54.92</v>
      </c>
      <c r="Q156" t="str">
        <f>"FARMÁCIA INDIANA LJ 97 (10040)"</f>
        <v>FARMÁCIA INDIANA LJ 97 (10040)</v>
      </c>
      <c r="R156" t="str">
        <f t="shared" si="79"/>
        <v>RECEITAS COM ENTREGAS (303)</v>
      </c>
      <c r="S156">
        <v>829</v>
      </c>
      <c r="T156">
        <v>685</v>
      </c>
      <c r="U156" t="s">
        <v>19</v>
      </c>
    </row>
    <row r="157" spans="1:21">
      <c r="A157" t="str">
        <f t="shared" si="68"/>
        <v>09/01/2025</v>
      </c>
      <c r="B157" t="str">
        <f t="shared" si="80"/>
        <v>ENTRADA</v>
      </c>
      <c r="C157" t="str">
        <f t="shared" si="72"/>
        <v>NFSE</v>
      </c>
      <c r="D157" t="str">
        <f t="shared" si="73"/>
        <v>2600</v>
      </c>
      <c r="E157" t="str">
        <f t="shared" si="70"/>
        <v>COM</v>
      </c>
      <c r="F157" t="str">
        <f t="shared" si="74"/>
        <v>FARMÁCIA INDIANA LJ 1 (10126)</v>
      </c>
      <c r="G157" t="str">
        <f t="shared" si="75"/>
        <v>Serv.Prest. 23/12/2024 a 29/12/2024 - RPS: 375 - NFSe: 2600</v>
      </c>
      <c r="H157" t="str">
        <f t="shared" si="76"/>
        <v>08/01/2025</v>
      </c>
      <c r="I157" t="str">
        <f t="shared" si="77"/>
        <v>02/01/2025</v>
      </c>
      <c r="J157" t="str">
        <f t="shared" si="71"/>
        <v>09/01/2025</v>
      </c>
      <c r="M157">
        <v>303</v>
      </c>
      <c r="N157" t="str">
        <f t="shared" si="78"/>
        <v>RECEITAS COM ENTREGAS</v>
      </c>
      <c r="P157">
        <v>320.70999999999998</v>
      </c>
      <c r="Q157" t="str">
        <f>"FARMÁCIA INDIANA LJ 100 (10042)"</f>
        <v>FARMÁCIA INDIANA LJ 100 (10042)</v>
      </c>
      <c r="R157" t="str">
        <f t="shared" si="79"/>
        <v>RECEITAS COM ENTREGAS (303)</v>
      </c>
      <c r="S157">
        <v>829</v>
      </c>
      <c r="T157">
        <v>685</v>
      </c>
      <c r="U157" t="s">
        <v>19</v>
      </c>
    </row>
    <row r="158" spans="1:21">
      <c r="A158" t="str">
        <f t="shared" si="68"/>
        <v>09/01/2025</v>
      </c>
      <c r="B158" t="str">
        <f t="shared" si="80"/>
        <v>ENTRADA</v>
      </c>
      <c r="C158" t="str">
        <f t="shared" si="72"/>
        <v>NFSE</v>
      </c>
      <c r="D158" t="str">
        <f t="shared" si="73"/>
        <v>2600</v>
      </c>
      <c r="E158" t="str">
        <f t="shared" si="70"/>
        <v>COM</v>
      </c>
      <c r="F158" t="str">
        <f t="shared" si="74"/>
        <v>FARMÁCIA INDIANA LJ 1 (10126)</v>
      </c>
      <c r="G158" t="str">
        <f t="shared" si="75"/>
        <v>Serv.Prest. 23/12/2024 a 29/12/2024 - RPS: 375 - NFSe: 2600</v>
      </c>
      <c r="H158" t="str">
        <f t="shared" si="76"/>
        <v>08/01/2025</v>
      </c>
      <c r="I158" t="str">
        <f t="shared" si="77"/>
        <v>02/01/2025</v>
      </c>
      <c r="J158" t="str">
        <f t="shared" si="71"/>
        <v>09/01/2025</v>
      </c>
      <c r="M158">
        <v>303</v>
      </c>
      <c r="N158" t="str">
        <f t="shared" si="78"/>
        <v>RECEITAS COM ENTREGAS</v>
      </c>
      <c r="P158">
        <v>442.63</v>
      </c>
      <c r="Q158" t="str">
        <f>"FARMÁCIA INDIANA LJ 101 (10043)"</f>
        <v>FARMÁCIA INDIANA LJ 101 (10043)</v>
      </c>
      <c r="R158" t="str">
        <f t="shared" si="79"/>
        <v>RECEITAS COM ENTREGAS (303)</v>
      </c>
      <c r="S158">
        <v>829</v>
      </c>
      <c r="T158">
        <v>685</v>
      </c>
      <c r="U158" t="s">
        <v>19</v>
      </c>
    </row>
    <row r="159" spans="1:21">
      <c r="A159" t="str">
        <f t="shared" si="68"/>
        <v>09/01/2025</v>
      </c>
      <c r="B159" t="str">
        <f t="shared" si="80"/>
        <v>ENTRADA</v>
      </c>
      <c r="C159" t="str">
        <f t="shared" si="72"/>
        <v>NFSE</v>
      </c>
      <c r="D159" t="str">
        <f t="shared" si="73"/>
        <v>2600</v>
      </c>
      <c r="E159" t="str">
        <f t="shared" si="70"/>
        <v>COM</v>
      </c>
      <c r="F159" t="str">
        <f t="shared" si="74"/>
        <v>FARMÁCIA INDIANA LJ 1 (10126)</v>
      </c>
      <c r="G159" t="str">
        <f t="shared" si="75"/>
        <v>Serv.Prest. 23/12/2024 a 29/12/2024 - RPS: 375 - NFSe: 2600</v>
      </c>
      <c r="H159" t="str">
        <f t="shared" si="76"/>
        <v>08/01/2025</v>
      </c>
      <c r="I159" t="str">
        <f t="shared" si="77"/>
        <v>02/01/2025</v>
      </c>
      <c r="J159" t="str">
        <f t="shared" si="71"/>
        <v>09/01/2025</v>
      </c>
      <c r="M159">
        <v>303</v>
      </c>
      <c r="N159" t="str">
        <f t="shared" si="78"/>
        <v>RECEITAS COM ENTREGAS</v>
      </c>
      <c r="P159">
        <v>61.51</v>
      </c>
      <c r="Q159" t="str">
        <f>"FARMÁCIA INDIANA LJ 103 (10044)"</f>
        <v>FARMÁCIA INDIANA LJ 103 (10044)</v>
      </c>
      <c r="R159" t="str">
        <f t="shared" si="79"/>
        <v>RECEITAS COM ENTREGAS (303)</v>
      </c>
      <c r="S159">
        <v>829</v>
      </c>
      <c r="T159">
        <v>685</v>
      </c>
      <c r="U159" t="s">
        <v>19</v>
      </c>
    </row>
    <row r="160" spans="1:21">
      <c r="A160" t="str">
        <f t="shared" si="68"/>
        <v>09/01/2025</v>
      </c>
      <c r="B160" t="str">
        <f t="shared" si="80"/>
        <v>ENTRADA</v>
      </c>
      <c r="C160" t="str">
        <f t="shared" si="72"/>
        <v>NFSE</v>
      </c>
      <c r="D160" t="str">
        <f t="shared" si="73"/>
        <v>2600</v>
      </c>
      <c r="E160" t="str">
        <f t="shared" si="70"/>
        <v>COM</v>
      </c>
      <c r="F160" t="str">
        <f t="shared" si="74"/>
        <v>FARMÁCIA INDIANA LJ 1 (10126)</v>
      </c>
      <c r="G160" t="str">
        <f t="shared" si="75"/>
        <v>Serv.Prest. 23/12/2024 a 29/12/2024 - RPS: 375 - NFSe: 2600</v>
      </c>
      <c r="H160" t="str">
        <f t="shared" si="76"/>
        <v>08/01/2025</v>
      </c>
      <c r="I160" t="str">
        <f t="shared" si="77"/>
        <v>02/01/2025</v>
      </c>
      <c r="J160" t="str">
        <f t="shared" si="71"/>
        <v>09/01/2025</v>
      </c>
      <c r="M160">
        <v>303</v>
      </c>
      <c r="N160" t="str">
        <f t="shared" si="78"/>
        <v>RECEITAS COM ENTREGAS</v>
      </c>
      <c r="P160">
        <v>76.88</v>
      </c>
      <c r="Q160" t="str">
        <f>"FARMÁCIA INDIANA LJ 109 (10047)"</f>
        <v>FARMÁCIA INDIANA LJ 109 (10047)</v>
      </c>
      <c r="R160" t="str">
        <f t="shared" si="79"/>
        <v>RECEITAS COM ENTREGAS (303)</v>
      </c>
      <c r="S160">
        <v>829</v>
      </c>
      <c r="T160">
        <v>685</v>
      </c>
      <c r="U160" t="s">
        <v>19</v>
      </c>
    </row>
    <row r="161" spans="1:21">
      <c r="A161" t="str">
        <f t="shared" si="68"/>
        <v>09/01/2025</v>
      </c>
      <c r="B161" t="str">
        <f t="shared" si="80"/>
        <v>ENTRADA</v>
      </c>
      <c r="C161" t="str">
        <f t="shared" si="72"/>
        <v>NFSE</v>
      </c>
      <c r="D161" t="str">
        <f t="shared" si="73"/>
        <v>2600</v>
      </c>
      <c r="E161" t="str">
        <f t="shared" si="70"/>
        <v>COM</v>
      </c>
      <c r="F161" t="str">
        <f t="shared" si="74"/>
        <v>FARMÁCIA INDIANA LJ 1 (10126)</v>
      </c>
      <c r="G161" t="str">
        <f t="shared" si="75"/>
        <v>Serv.Prest. 23/12/2024 a 29/12/2024 - RPS: 375 - NFSe: 2600</v>
      </c>
      <c r="H161" t="str">
        <f t="shared" si="76"/>
        <v>08/01/2025</v>
      </c>
      <c r="I161" t="str">
        <f t="shared" si="77"/>
        <v>02/01/2025</v>
      </c>
      <c r="J161" t="str">
        <f t="shared" si="71"/>
        <v>09/01/2025</v>
      </c>
      <c r="M161">
        <v>303</v>
      </c>
      <c r="N161" t="str">
        <f t="shared" si="78"/>
        <v>RECEITAS COM ENTREGAS</v>
      </c>
      <c r="P161">
        <v>501.94</v>
      </c>
      <c r="Q161" t="str">
        <f>"FARMÁCIA INDIANA LJ 110 (10048)"</f>
        <v>FARMÁCIA INDIANA LJ 110 (10048)</v>
      </c>
      <c r="R161" t="str">
        <f t="shared" si="79"/>
        <v>RECEITAS COM ENTREGAS (303)</v>
      </c>
      <c r="S161">
        <v>829</v>
      </c>
      <c r="T161">
        <v>685</v>
      </c>
      <c r="U161" t="s">
        <v>19</v>
      </c>
    </row>
    <row r="162" spans="1:21">
      <c r="A162" t="str">
        <f t="shared" si="68"/>
        <v>09/01/2025</v>
      </c>
      <c r="B162" t="str">
        <f t="shared" si="80"/>
        <v>ENTRADA</v>
      </c>
      <c r="C162" t="str">
        <f t="shared" si="72"/>
        <v>NFSE</v>
      </c>
      <c r="D162" t="str">
        <f t="shared" si="73"/>
        <v>2600</v>
      </c>
      <c r="E162" t="str">
        <f t="shared" si="70"/>
        <v>COM</v>
      </c>
      <c r="F162" t="str">
        <f t="shared" si="74"/>
        <v>FARMÁCIA INDIANA LJ 1 (10126)</v>
      </c>
      <c r="G162" t="str">
        <f t="shared" si="75"/>
        <v>Serv.Prest. 23/12/2024 a 29/12/2024 - RPS: 375 - NFSe: 2600</v>
      </c>
      <c r="H162" t="str">
        <f t="shared" si="76"/>
        <v>08/01/2025</v>
      </c>
      <c r="I162" t="str">
        <f t="shared" si="77"/>
        <v>02/01/2025</v>
      </c>
      <c r="J162" t="str">
        <f t="shared" si="71"/>
        <v>09/01/2025</v>
      </c>
      <c r="M162">
        <v>303</v>
      </c>
      <c r="N162" t="str">
        <f t="shared" si="78"/>
        <v>RECEITAS COM ENTREGAS</v>
      </c>
      <c r="P162">
        <v>53.82</v>
      </c>
      <c r="Q162" t="str">
        <f>"FARMÁCIA INDIANA LJ 111 (10049)"</f>
        <v>FARMÁCIA INDIANA LJ 111 (10049)</v>
      </c>
      <c r="R162" t="str">
        <f t="shared" si="79"/>
        <v>RECEITAS COM ENTREGAS (303)</v>
      </c>
      <c r="S162">
        <v>829</v>
      </c>
      <c r="T162">
        <v>685</v>
      </c>
      <c r="U162" t="s">
        <v>19</v>
      </c>
    </row>
    <row r="163" spans="1:21">
      <c r="A163" t="str">
        <f t="shared" si="68"/>
        <v>09/01/2025</v>
      </c>
      <c r="B163" t="str">
        <f t="shared" si="80"/>
        <v>ENTRADA</v>
      </c>
      <c r="C163" t="str">
        <f t="shared" si="72"/>
        <v>NFSE</v>
      </c>
      <c r="D163" t="str">
        <f t="shared" si="73"/>
        <v>2600</v>
      </c>
      <c r="E163" t="str">
        <f t="shared" si="70"/>
        <v>COM</v>
      </c>
      <c r="F163" t="str">
        <f t="shared" si="74"/>
        <v>FARMÁCIA INDIANA LJ 1 (10126)</v>
      </c>
      <c r="G163" t="str">
        <f t="shared" si="75"/>
        <v>Serv.Prest. 23/12/2024 a 29/12/2024 - RPS: 375 - NFSe: 2600</v>
      </c>
      <c r="H163" t="str">
        <f t="shared" si="76"/>
        <v>08/01/2025</v>
      </c>
      <c r="I163" t="str">
        <f t="shared" si="77"/>
        <v>02/01/2025</v>
      </c>
      <c r="J163" t="str">
        <f t="shared" si="71"/>
        <v>09/01/2025</v>
      </c>
      <c r="M163">
        <v>303</v>
      </c>
      <c r="N163" t="str">
        <f t="shared" si="78"/>
        <v>RECEITAS COM ENTREGAS</v>
      </c>
      <c r="P163">
        <v>126.31</v>
      </c>
      <c r="Q163" t="str">
        <f>"FARMÁCIA INDIANA LJ 112 (10050)"</f>
        <v>FARMÁCIA INDIANA LJ 112 (10050)</v>
      </c>
      <c r="R163" t="str">
        <f t="shared" si="79"/>
        <v>RECEITAS COM ENTREGAS (303)</v>
      </c>
      <c r="S163">
        <v>829</v>
      </c>
      <c r="T163">
        <v>685</v>
      </c>
      <c r="U163" t="s">
        <v>19</v>
      </c>
    </row>
    <row r="164" spans="1:21">
      <c r="A164" t="str">
        <f t="shared" si="68"/>
        <v>09/01/2025</v>
      </c>
      <c r="B164" t="str">
        <f t="shared" si="80"/>
        <v>ENTRADA</v>
      </c>
      <c r="C164" t="str">
        <f t="shared" si="72"/>
        <v>NFSE</v>
      </c>
      <c r="D164" t="str">
        <f t="shared" si="73"/>
        <v>2600</v>
      </c>
      <c r="E164" t="str">
        <f t="shared" si="70"/>
        <v>COM</v>
      </c>
      <c r="F164" t="str">
        <f t="shared" si="74"/>
        <v>FARMÁCIA INDIANA LJ 1 (10126)</v>
      </c>
      <c r="G164" t="str">
        <f t="shared" si="75"/>
        <v>Serv.Prest. 23/12/2024 a 29/12/2024 - RPS: 375 - NFSe: 2600</v>
      </c>
      <c r="H164" t="str">
        <f t="shared" si="76"/>
        <v>08/01/2025</v>
      </c>
      <c r="I164" t="str">
        <f t="shared" si="77"/>
        <v>02/01/2025</v>
      </c>
      <c r="J164" t="str">
        <f t="shared" si="71"/>
        <v>09/01/2025</v>
      </c>
      <c r="M164">
        <v>303</v>
      </c>
      <c r="N164" t="str">
        <f t="shared" si="78"/>
        <v>RECEITAS COM ENTREGAS</v>
      </c>
      <c r="P164">
        <v>126.31</v>
      </c>
      <c r="Q164" t="str">
        <f>"FARMÁCIA INDIANA LJ 116 (10051)"</f>
        <v>FARMÁCIA INDIANA LJ 116 (10051)</v>
      </c>
      <c r="R164" t="str">
        <f t="shared" si="79"/>
        <v>RECEITAS COM ENTREGAS (303)</v>
      </c>
      <c r="S164">
        <v>829</v>
      </c>
      <c r="T164">
        <v>685</v>
      </c>
      <c r="U164" t="s">
        <v>19</v>
      </c>
    </row>
    <row r="165" spans="1:21">
      <c r="A165" t="str">
        <f t="shared" si="68"/>
        <v>09/01/2025</v>
      </c>
      <c r="B165" t="str">
        <f t="shared" si="80"/>
        <v>ENTRADA</v>
      </c>
      <c r="C165" t="str">
        <f t="shared" si="72"/>
        <v>NFSE</v>
      </c>
      <c r="D165" t="str">
        <f t="shared" si="73"/>
        <v>2600</v>
      </c>
      <c r="E165" t="str">
        <f t="shared" si="70"/>
        <v>COM</v>
      </c>
      <c r="F165" t="str">
        <f t="shared" si="74"/>
        <v>FARMÁCIA INDIANA LJ 1 (10126)</v>
      </c>
      <c r="G165" t="str">
        <f t="shared" si="75"/>
        <v>Serv.Prest. 23/12/2024 a 29/12/2024 - RPS: 375 - NFSe: 2600</v>
      </c>
      <c r="H165" t="str">
        <f t="shared" si="76"/>
        <v>08/01/2025</v>
      </c>
      <c r="I165" t="str">
        <f t="shared" si="77"/>
        <v>02/01/2025</v>
      </c>
      <c r="J165" t="str">
        <f t="shared" si="71"/>
        <v>09/01/2025</v>
      </c>
      <c r="M165">
        <v>303</v>
      </c>
      <c r="N165" t="str">
        <f t="shared" si="78"/>
        <v>RECEITAS COM ENTREGAS</v>
      </c>
      <c r="P165">
        <v>91.16</v>
      </c>
      <c r="Q165" t="str">
        <f>"FARMÁCIA INDIANA LJ 118 (10052)"</f>
        <v>FARMÁCIA INDIANA LJ 118 (10052)</v>
      </c>
      <c r="R165" t="str">
        <f t="shared" si="79"/>
        <v>RECEITAS COM ENTREGAS (303)</v>
      </c>
      <c r="S165">
        <v>829</v>
      </c>
      <c r="T165">
        <v>685</v>
      </c>
      <c r="U165" t="s">
        <v>19</v>
      </c>
    </row>
    <row r="166" spans="1:21">
      <c r="A166" t="str">
        <f t="shared" si="68"/>
        <v>09/01/2025</v>
      </c>
      <c r="B166" t="str">
        <f t="shared" si="80"/>
        <v>ENTRADA</v>
      </c>
      <c r="C166" t="str">
        <f t="shared" si="72"/>
        <v>NFSE</v>
      </c>
      <c r="D166" t="str">
        <f t="shared" si="73"/>
        <v>2600</v>
      </c>
      <c r="E166" t="str">
        <f t="shared" si="70"/>
        <v>COM</v>
      </c>
      <c r="F166" t="str">
        <f t="shared" si="74"/>
        <v>FARMÁCIA INDIANA LJ 1 (10126)</v>
      </c>
      <c r="G166" t="str">
        <f t="shared" si="75"/>
        <v>Serv.Prest. 23/12/2024 a 29/12/2024 - RPS: 375 - NFSe: 2600</v>
      </c>
      <c r="H166" t="str">
        <f t="shared" si="76"/>
        <v>08/01/2025</v>
      </c>
      <c r="I166" t="str">
        <f t="shared" si="77"/>
        <v>02/01/2025</v>
      </c>
      <c r="J166" t="str">
        <f t="shared" si="71"/>
        <v>09/01/2025</v>
      </c>
      <c r="M166">
        <v>303</v>
      </c>
      <c r="N166" t="str">
        <f t="shared" si="78"/>
        <v>RECEITAS COM ENTREGAS</v>
      </c>
      <c r="P166">
        <v>126.31</v>
      </c>
      <c r="Q166" t="str">
        <f>"FARMÁCIA INDIANA LJ 121 (10054)"</f>
        <v>FARMÁCIA INDIANA LJ 121 (10054)</v>
      </c>
      <c r="R166" t="str">
        <f t="shared" si="79"/>
        <v>RECEITAS COM ENTREGAS (303)</v>
      </c>
      <c r="S166">
        <v>829</v>
      </c>
      <c r="T166">
        <v>685</v>
      </c>
      <c r="U166" t="s">
        <v>19</v>
      </c>
    </row>
    <row r="167" spans="1:21">
      <c r="A167" t="str">
        <f t="shared" si="68"/>
        <v>09/01/2025</v>
      </c>
      <c r="B167" t="str">
        <f t="shared" si="80"/>
        <v>ENTRADA</v>
      </c>
      <c r="C167" t="str">
        <f t="shared" si="72"/>
        <v>NFSE</v>
      </c>
      <c r="D167" t="str">
        <f t="shared" si="73"/>
        <v>2600</v>
      </c>
      <c r="E167" t="str">
        <f t="shared" si="70"/>
        <v>COM</v>
      </c>
      <c r="F167" t="str">
        <f t="shared" si="74"/>
        <v>FARMÁCIA INDIANA LJ 1 (10126)</v>
      </c>
      <c r="G167" t="str">
        <f t="shared" si="75"/>
        <v>Serv.Prest. 23/12/2024 a 29/12/2024 - RPS: 375 - NFSe: 2600</v>
      </c>
      <c r="H167" t="str">
        <f t="shared" si="76"/>
        <v>08/01/2025</v>
      </c>
      <c r="I167" t="str">
        <f t="shared" si="77"/>
        <v>02/01/2025</v>
      </c>
      <c r="J167" t="str">
        <f t="shared" si="71"/>
        <v>09/01/2025</v>
      </c>
      <c r="M167">
        <v>303</v>
      </c>
      <c r="N167" t="str">
        <f t="shared" si="78"/>
        <v>RECEITAS COM ENTREGAS</v>
      </c>
      <c r="P167">
        <v>126.31</v>
      </c>
      <c r="Q167" t="str">
        <f>"FARMÁCIA INDIANA LJ 128 (10057)"</f>
        <v>FARMÁCIA INDIANA LJ 128 (10057)</v>
      </c>
      <c r="R167" t="str">
        <f t="shared" si="79"/>
        <v>RECEITAS COM ENTREGAS (303)</v>
      </c>
      <c r="S167">
        <v>829</v>
      </c>
      <c r="T167">
        <v>685</v>
      </c>
      <c r="U167" t="s">
        <v>19</v>
      </c>
    </row>
    <row r="168" spans="1:21">
      <c r="A168" t="str">
        <f t="shared" ref="A168:A199" si="81">("09/01/2025")</f>
        <v>09/01/2025</v>
      </c>
      <c r="B168" t="str">
        <f t="shared" si="80"/>
        <v>ENTRADA</v>
      </c>
      <c r="C168" t="str">
        <f t="shared" si="72"/>
        <v>NFSE</v>
      </c>
      <c r="D168" t="str">
        <f t="shared" si="73"/>
        <v>2600</v>
      </c>
      <c r="E168" t="str">
        <f t="shared" si="70"/>
        <v>COM</v>
      </c>
      <c r="F168" t="str">
        <f t="shared" si="74"/>
        <v>FARMÁCIA INDIANA LJ 1 (10126)</v>
      </c>
      <c r="G168" t="str">
        <f t="shared" si="75"/>
        <v>Serv.Prest. 23/12/2024 a 29/12/2024 - RPS: 375 - NFSe: 2600</v>
      </c>
      <c r="H168" t="str">
        <f t="shared" si="76"/>
        <v>08/01/2025</v>
      </c>
      <c r="I168" t="str">
        <f t="shared" si="77"/>
        <v>02/01/2025</v>
      </c>
      <c r="J168" t="str">
        <f t="shared" si="71"/>
        <v>09/01/2025</v>
      </c>
      <c r="M168">
        <v>303</v>
      </c>
      <c r="N168" t="str">
        <f t="shared" si="78"/>
        <v>RECEITAS COM ENTREGAS</v>
      </c>
      <c r="P168">
        <v>303.14</v>
      </c>
      <c r="Q168" t="str">
        <f>"FARMÁCIA INDIANA LJ 132 (10059)"</f>
        <v>FARMÁCIA INDIANA LJ 132 (10059)</v>
      </c>
      <c r="R168" t="str">
        <f t="shared" si="79"/>
        <v>RECEITAS COM ENTREGAS (303)</v>
      </c>
      <c r="S168">
        <v>829</v>
      </c>
      <c r="T168">
        <v>685</v>
      </c>
      <c r="U168" t="s">
        <v>19</v>
      </c>
    </row>
    <row r="169" spans="1:21">
      <c r="A169" t="str">
        <f t="shared" si="81"/>
        <v>09/01/2025</v>
      </c>
      <c r="B169" t="str">
        <f t="shared" si="80"/>
        <v>ENTRADA</v>
      </c>
      <c r="C169" t="str">
        <f t="shared" si="72"/>
        <v>NFSE</v>
      </c>
      <c r="D169" t="str">
        <f t="shared" si="73"/>
        <v>2600</v>
      </c>
      <c r="E169" t="str">
        <f t="shared" si="70"/>
        <v>COM</v>
      </c>
      <c r="F169" t="str">
        <f t="shared" si="74"/>
        <v>FARMÁCIA INDIANA LJ 1 (10126)</v>
      </c>
      <c r="G169" t="str">
        <f t="shared" si="75"/>
        <v>Serv.Prest. 23/12/2024 a 29/12/2024 - RPS: 375 - NFSe: 2600</v>
      </c>
      <c r="H169" t="str">
        <f t="shared" si="76"/>
        <v>08/01/2025</v>
      </c>
      <c r="I169" t="str">
        <f t="shared" si="77"/>
        <v>02/01/2025</v>
      </c>
      <c r="J169" t="str">
        <f t="shared" si="71"/>
        <v>09/01/2025</v>
      </c>
      <c r="M169">
        <v>303</v>
      </c>
      <c r="N169" t="str">
        <f t="shared" si="78"/>
        <v>RECEITAS COM ENTREGAS</v>
      </c>
      <c r="P169">
        <v>38.44</v>
      </c>
      <c r="Q169" t="str">
        <f>"FARMÁCIA INDIANA LJ 140 (10064)"</f>
        <v>FARMÁCIA INDIANA LJ 140 (10064)</v>
      </c>
      <c r="R169" t="str">
        <f t="shared" si="79"/>
        <v>RECEITAS COM ENTREGAS (303)</v>
      </c>
      <c r="S169">
        <v>829</v>
      </c>
      <c r="T169">
        <v>685</v>
      </c>
      <c r="U169" t="s">
        <v>19</v>
      </c>
    </row>
    <row r="170" spans="1:21">
      <c r="A170" t="str">
        <f t="shared" si="81"/>
        <v>09/01/2025</v>
      </c>
      <c r="B170" t="str">
        <f t="shared" si="80"/>
        <v>ENTRADA</v>
      </c>
      <c r="C170" t="str">
        <f t="shared" si="72"/>
        <v>NFSE</v>
      </c>
      <c r="D170" t="str">
        <f t="shared" si="73"/>
        <v>2600</v>
      </c>
      <c r="E170" t="str">
        <f t="shared" si="70"/>
        <v>COM</v>
      </c>
      <c r="F170" t="str">
        <f t="shared" si="74"/>
        <v>FARMÁCIA INDIANA LJ 1 (10126)</v>
      </c>
      <c r="G170" t="str">
        <f t="shared" si="75"/>
        <v>Serv.Prest. 23/12/2024 a 29/12/2024 - RPS: 375 - NFSe: 2600</v>
      </c>
      <c r="H170" t="str">
        <f t="shared" si="76"/>
        <v>08/01/2025</v>
      </c>
      <c r="I170" t="str">
        <f t="shared" si="77"/>
        <v>02/01/2025</v>
      </c>
      <c r="J170" t="str">
        <f t="shared" si="71"/>
        <v>09/01/2025</v>
      </c>
      <c r="M170">
        <v>303</v>
      </c>
      <c r="N170" t="str">
        <f t="shared" si="78"/>
        <v>RECEITAS COM ENTREGAS</v>
      </c>
      <c r="P170">
        <v>20.87</v>
      </c>
      <c r="Q170" t="str">
        <f>"FARMÁCIA INDIANA LJ 141 (10065)"</f>
        <v>FARMÁCIA INDIANA LJ 141 (10065)</v>
      </c>
      <c r="R170" t="str">
        <f t="shared" si="79"/>
        <v>RECEITAS COM ENTREGAS (303)</v>
      </c>
      <c r="S170">
        <v>829</v>
      </c>
      <c r="T170">
        <v>685</v>
      </c>
      <c r="U170" t="s">
        <v>19</v>
      </c>
    </row>
    <row r="171" spans="1:21">
      <c r="A171" t="str">
        <f t="shared" si="81"/>
        <v>09/01/2025</v>
      </c>
      <c r="B171" t="str">
        <f t="shared" si="80"/>
        <v>ENTRADA</v>
      </c>
      <c r="C171" t="str">
        <f t="shared" si="72"/>
        <v>NFSE</v>
      </c>
      <c r="D171" t="str">
        <f t="shared" si="73"/>
        <v>2600</v>
      </c>
      <c r="E171" t="str">
        <f t="shared" si="70"/>
        <v>COM</v>
      </c>
      <c r="F171" t="str">
        <f t="shared" si="74"/>
        <v>FARMÁCIA INDIANA LJ 1 (10126)</v>
      </c>
      <c r="G171" t="str">
        <f t="shared" si="75"/>
        <v>Serv.Prest. 23/12/2024 a 29/12/2024 - RPS: 375 - NFSe: 2600</v>
      </c>
      <c r="H171" t="str">
        <f t="shared" si="76"/>
        <v>08/01/2025</v>
      </c>
      <c r="I171" t="str">
        <f t="shared" si="77"/>
        <v>02/01/2025</v>
      </c>
      <c r="J171" t="str">
        <f t="shared" si="71"/>
        <v>09/01/2025</v>
      </c>
      <c r="M171">
        <v>303</v>
      </c>
      <c r="N171" t="str">
        <f t="shared" si="78"/>
        <v>RECEITAS COM ENTREGAS</v>
      </c>
      <c r="P171">
        <v>494.25</v>
      </c>
      <c r="Q171" t="str">
        <f>"FARMÁCIA INDIANA LJ 142 (10066)"</f>
        <v>FARMÁCIA INDIANA LJ 142 (10066)</v>
      </c>
      <c r="R171" t="str">
        <f t="shared" si="79"/>
        <v>RECEITAS COM ENTREGAS (303)</v>
      </c>
      <c r="S171">
        <v>829</v>
      </c>
      <c r="T171">
        <v>685</v>
      </c>
      <c r="U171" t="s">
        <v>19</v>
      </c>
    </row>
    <row r="172" spans="1:21">
      <c r="A172" t="str">
        <f t="shared" si="81"/>
        <v>09/01/2025</v>
      </c>
      <c r="B172" t="str">
        <f t="shared" si="80"/>
        <v>ENTRADA</v>
      </c>
      <c r="C172" t="str">
        <f t="shared" si="72"/>
        <v>NFSE</v>
      </c>
      <c r="D172" t="str">
        <f t="shared" si="73"/>
        <v>2600</v>
      </c>
      <c r="E172" t="str">
        <f t="shared" si="70"/>
        <v>COM</v>
      </c>
      <c r="F172" t="str">
        <f t="shared" si="74"/>
        <v>FARMÁCIA INDIANA LJ 1 (10126)</v>
      </c>
      <c r="G172" t="str">
        <f t="shared" si="75"/>
        <v>Serv.Prest. 23/12/2024 a 29/12/2024 - RPS: 375 - NFSe: 2600</v>
      </c>
      <c r="H172" t="str">
        <f t="shared" si="76"/>
        <v>08/01/2025</v>
      </c>
      <c r="I172" t="str">
        <f t="shared" si="77"/>
        <v>02/01/2025</v>
      </c>
      <c r="J172" t="str">
        <f t="shared" si="71"/>
        <v>09/01/2025</v>
      </c>
      <c r="M172">
        <v>303</v>
      </c>
      <c r="N172" t="str">
        <f t="shared" si="78"/>
        <v>RECEITAS COM ENTREGAS</v>
      </c>
      <c r="P172">
        <v>54.92</v>
      </c>
      <c r="Q172" t="str">
        <f>"FARMÁCIA INDIANA LJ 143 (10067)"</f>
        <v>FARMÁCIA INDIANA LJ 143 (10067)</v>
      </c>
      <c r="R172" t="str">
        <f t="shared" si="79"/>
        <v>RECEITAS COM ENTREGAS (303)</v>
      </c>
      <c r="S172">
        <v>829</v>
      </c>
      <c r="T172">
        <v>685</v>
      </c>
      <c r="U172" t="s">
        <v>19</v>
      </c>
    </row>
    <row r="173" spans="1:21">
      <c r="A173" t="str">
        <f t="shared" si="81"/>
        <v>09/01/2025</v>
      </c>
      <c r="B173" t="str">
        <f t="shared" si="80"/>
        <v>ENTRADA</v>
      </c>
      <c r="C173" t="str">
        <f t="shared" si="72"/>
        <v>NFSE</v>
      </c>
      <c r="D173" t="str">
        <f t="shared" si="73"/>
        <v>2600</v>
      </c>
      <c r="E173" t="str">
        <f t="shared" si="70"/>
        <v>COM</v>
      </c>
      <c r="F173" t="str">
        <f t="shared" si="74"/>
        <v>FARMÁCIA INDIANA LJ 1 (10126)</v>
      </c>
      <c r="G173" t="str">
        <f t="shared" si="75"/>
        <v>Serv.Prest. 23/12/2024 a 29/12/2024 - RPS: 375 - NFSe: 2600</v>
      </c>
      <c r="H173" t="str">
        <f t="shared" si="76"/>
        <v>08/01/2025</v>
      </c>
      <c r="I173" t="str">
        <f t="shared" si="77"/>
        <v>02/01/2025</v>
      </c>
      <c r="J173" t="str">
        <f t="shared" si="71"/>
        <v>09/01/2025</v>
      </c>
      <c r="M173">
        <v>303</v>
      </c>
      <c r="N173" t="str">
        <f t="shared" si="78"/>
        <v>RECEITAS COM ENTREGAS</v>
      </c>
      <c r="P173">
        <v>138.38999999999999</v>
      </c>
      <c r="Q173" t="str">
        <f>"FARMÁCIA INDIANA LJ 152 (10069)"</f>
        <v>FARMÁCIA INDIANA LJ 152 (10069)</v>
      </c>
      <c r="R173" t="str">
        <f t="shared" si="79"/>
        <v>RECEITAS COM ENTREGAS (303)</v>
      </c>
      <c r="S173">
        <v>829</v>
      </c>
      <c r="T173">
        <v>685</v>
      </c>
      <c r="U173" t="s">
        <v>19</v>
      </c>
    </row>
    <row r="174" spans="1:21">
      <c r="A174" t="str">
        <f t="shared" si="81"/>
        <v>09/01/2025</v>
      </c>
      <c r="B174" t="str">
        <f t="shared" si="80"/>
        <v>ENTRADA</v>
      </c>
      <c r="C174" t="str">
        <f t="shared" si="72"/>
        <v>NFSE</v>
      </c>
      <c r="D174" t="str">
        <f t="shared" si="73"/>
        <v>2600</v>
      </c>
      <c r="E174" t="str">
        <f t="shared" ref="E174:E205" si="82">"COM"</f>
        <v>COM</v>
      </c>
      <c r="F174" t="str">
        <f t="shared" si="74"/>
        <v>FARMÁCIA INDIANA LJ 1 (10126)</v>
      </c>
      <c r="G174" t="str">
        <f t="shared" si="75"/>
        <v>Serv.Prest. 23/12/2024 a 29/12/2024 - RPS: 375 - NFSe: 2600</v>
      </c>
      <c r="H174" t="str">
        <f t="shared" si="76"/>
        <v>08/01/2025</v>
      </c>
      <c r="I174" t="str">
        <f t="shared" si="77"/>
        <v>02/01/2025</v>
      </c>
      <c r="J174" t="str">
        <f t="shared" ref="J174:J205" si="83">("09/01/2025")</f>
        <v>09/01/2025</v>
      </c>
      <c r="M174">
        <v>303</v>
      </c>
      <c r="N174" t="str">
        <f t="shared" si="78"/>
        <v>RECEITAS COM ENTREGAS</v>
      </c>
      <c r="P174">
        <v>39.54</v>
      </c>
      <c r="Q174" t="str">
        <f>"FARMÁCIA INDIANA LJ 154 (10070)"</f>
        <v>FARMÁCIA INDIANA LJ 154 (10070)</v>
      </c>
      <c r="R174" t="str">
        <f t="shared" si="79"/>
        <v>RECEITAS COM ENTREGAS (303)</v>
      </c>
      <c r="S174">
        <v>829</v>
      </c>
      <c r="T174">
        <v>685</v>
      </c>
      <c r="U174" t="s">
        <v>19</v>
      </c>
    </row>
    <row r="175" spans="1:21">
      <c r="A175" t="str">
        <f t="shared" si="81"/>
        <v>09/01/2025</v>
      </c>
      <c r="B175" t="str">
        <f t="shared" si="80"/>
        <v>ENTRADA</v>
      </c>
      <c r="C175" t="str">
        <f t="shared" si="72"/>
        <v>NFSE</v>
      </c>
      <c r="D175" t="str">
        <f t="shared" si="73"/>
        <v>2600</v>
      </c>
      <c r="E175" t="str">
        <f t="shared" si="82"/>
        <v>COM</v>
      </c>
      <c r="F175" t="str">
        <f t="shared" si="74"/>
        <v>FARMÁCIA INDIANA LJ 1 (10126)</v>
      </c>
      <c r="G175" t="str">
        <f t="shared" si="75"/>
        <v>Serv.Prest. 23/12/2024 a 29/12/2024 - RPS: 375 - NFSe: 2600</v>
      </c>
      <c r="H175" t="str">
        <f t="shared" si="76"/>
        <v>08/01/2025</v>
      </c>
      <c r="I175" t="str">
        <f t="shared" si="77"/>
        <v>02/01/2025</v>
      </c>
      <c r="J175" t="str">
        <f t="shared" si="83"/>
        <v>09/01/2025</v>
      </c>
      <c r="M175">
        <v>303</v>
      </c>
      <c r="N175" t="str">
        <f t="shared" si="78"/>
        <v>RECEITAS COM ENTREGAS</v>
      </c>
      <c r="P175">
        <v>320.70999999999998</v>
      </c>
      <c r="Q175" t="str">
        <f>"FARMÁCIA INDIANA LJ 171 (10074)"</f>
        <v>FARMÁCIA INDIANA LJ 171 (10074)</v>
      </c>
      <c r="R175" t="str">
        <f t="shared" si="79"/>
        <v>RECEITAS COM ENTREGAS (303)</v>
      </c>
      <c r="S175">
        <v>829</v>
      </c>
      <c r="T175">
        <v>685</v>
      </c>
      <c r="U175" t="s">
        <v>19</v>
      </c>
    </row>
    <row r="176" spans="1:21">
      <c r="A176" t="str">
        <f t="shared" si="81"/>
        <v>09/01/2025</v>
      </c>
      <c r="B176" t="str">
        <f t="shared" si="80"/>
        <v>ENTRADA</v>
      </c>
      <c r="C176" t="str">
        <f t="shared" ref="C176:C207" si="84">"NFSE"</f>
        <v>NFSE</v>
      </c>
      <c r="D176" t="str">
        <f t="shared" si="73"/>
        <v>2600</v>
      </c>
      <c r="E176" t="str">
        <f t="shared" si="82"/>
        <v>COM</v>
      </c>
      <c r="F176" t="str">
        <f t="shared" si="74"/>
        <v>FARMÁCIA INDIANA LJ 1 (10126)</v>
      </c>
      <c r="G176" t="str">
        <f t="shared" si="75"/>
        <v>Serv.Prest. 23/12/2024 a 29/12/2024 - RPS: 375 - NFSe: 2600</v>
      </c>
      <c r="H176" t="str">
        <f t="shared" ref="H176:H195" si="85">("08/01/2025")</f>
        <v>08/01/2025</v>
      </c>
      <c r="I176" t="str">
        <f t="shared" si="77"/>
        <v>02/01/2025</v>
      </c>
      <c r="J176" t="str">
        <f t="shared" si="83"/>
        <v>09/01/2025</v>
      </c>
      <c r="M176">
        <v>303</v>
      </c>
      <c r="N176" t="str">
        <f t="shared" ref="N176:N207" si="86">"RECEITAS COM ENTREGAS"</f>
        <v>RECEITAS COM ENTREGAS</v>
      </c>
      <c r="P176">
        <v>130.69999999999999</v>
      </c>
      <c r="Q176" t="str">
        <f>"FARMÁCIA INDIANA LJ 175 (10076)"</f>
        <v>FARMÁCIA INDIANA LJ 175 (10076)</v>
      </c>
      <c r="R176" t="str">
        <f t="shared" ref="R176:R207" si="87">"RECEITAS COM ENTREGAS (303)"</f>
        <v>RECEITAS COM ENTREGAS (303)</v>
      </c>
      <c r="S176">
        <v>829</v>
      </c>
      <c r="T176">
        <v>685</v>
      </c>
      <c r="U176" t="s">
        <v>19</v>
      </c>
    </row>
    <row r="177" spans="1:21">
      <c r="A177" t="str">
        <f t="shared" si="81"/>
        <v>09/01/2025</v>
      </c>
      <c r="B177" t="str">
        <f t="shared" si="80"/>
        <v>ENTRADA</v>
      </c>
      <c r="C177" t="str">
        <f t="shared" si="84"/>
        <v>NFSE</v>
      </c>
      <c r="D177" t="str">
        <f t="shared" si="73"/>
        <v>2600</v>
      </c>
      <c r="E177" t="str">
        <f t="shared" si="82"/>
        <v>COM</v>
      </c>
      <c r="F177" t="str">
        <f t="shared" si="74"/>
        <v>FARMÁCIA INDIANA LJ 1 (10126)</v>
      </c>
      <c r="G177" t="str">
        <f t="shared" si="75"/>
        <v>Serv.Prest. 23/12/2024 a 29/12/2024 - RPS: 375 - NFSe: 2600</v>
      </c>
      <c r="H177" t="str">
        <f t="shared" si="85"/>
        <v>08/01/2025</v>
      </c>
      <c r="I177" t="str">
        <f t="shared" si="77"/>
        <v>02/01/2025</v>
      </c>
      <c r="J177" t="str">
        <f t="shared" si="83"/>
        <v>09/01/2025</v>
      </c>
      <c r="M177">
        <v>303</v>
      </c>
      <c r="N177" t="str">
        <f t="shared" si="86"/>
        <v>RECEITAS COM ENTREGAS</v>
      </c>
      <c r="P177">
        <v>115.33</v>
      </c>
      <c r="Q177" t="str">
        <f>"FARMÁCIA INDIANA LJ 178 (10077)"</f>
        <v>FARMÁCIA INDIANA LJ 178 (10077)</v>
      </c>
      <c r="R177" t="str">
        <f t="shared" si="87"/>
        <v>RECEITAS COM ENTREGAS (303)</v>
      </c>
      <c r="S177">
        <v>829</v>
      </c>
      <c r="T177">
        <v>685</v>
      </c>
      <c r="U177" t="s">
        <v>19</v>
      </c>
    </row>
    <row r="178" spans="1:21">
      <c r="A178" t="str">
        <f t="shared" si="81"/>
        <v>09/01/2025</v>
      </c>
      <c r="B178" t="str">
        <f t="shared" si="80"/>
        <v>ENTRADA</v>
      </c>
      <c r="C178" t="str">
        <f t="shared" si="84"/>
        <v>NFSE</v>
      </c>
      <c r="D178" t="str">
        <f t="shared" si="73"/>
        <v>2600</v>
      </c>
      <c r="E178" t="str">
        <f t="shared" si="82"/>
        <v>COM</v>
      </c>
      <c r="F178" t="str">
        <f t="shared" si="74"/>
        <v>FARMÁCIA INDIANA LJ 1 (10126)</v>
      </c>
      <c r="G178" t="str">
        <f t="shared" si="75"/>
        <v>Serv.Prest. 23/12/2024 a 29/12/2024 - RPS: 375 - NFSe: 2600</v>
      </c>
      <c r="H178" t="str">
        <f t="shared" si="85"/>
        <v>08/01/2025</v>
      </c>
      <c r="I178" t="str">
        <f t="shared" si="77"/>
        <v>02/01/2025</v>
      </c>
      <c r="J178" t="str">
        <f t="shared" si="83"/>
        <v>09/01/2025</v>
      </c>
      <c r="M178">
        <v>303</v>
      </c>
      <c r="N178" t="str">
        <f t="shared" si="86"/>
        <v>RECEITAS COM ENTREGAS</v>
      </c>
      <c r="P178">
        <v>80.180000000000007</v>
      </c>
      <c r="Q178" t="str">
        <f>"FARMÁCIA INDIANA LJ 182 (10079)"</f>
        <v>FARMÁCIA INDIANA LJ 182 (10079)</v>
      </c>
      <c r="R178" t="str">
        <f t="shared" si="87"/>
        <v>RECEITAS COM ENTREGAS (303)</v>
      </c>
      <c r="S178">
        <v>829</v>
      </c>
      <c r="T178">
        <v>685</v>
      </c>
      <c r="U178" t="s">
        <v>19</v>
      </c>
    </row>
    <row r="179" spans="1:21">
      <c r="A179" t="str">
        <f t="shared" si="81"/>
        <v>09/01/2025</v>
      </c>
      <c r="B179" t="str">
        <f t="shared" si="80"/>
        <v>ENTRADA</v>
      </c>
      <c r="C179" t="str">
        <f t="shared" si="84"/>
        <v>NFSE</v>
      </c>
      <c r="D179" t="str">
        <f t="shared" si="73"/>
        <v>2600</v>
      </c>
      <c r="E179" t="str">
        <f t="shared" si="82"/>
        <v>COM</v>
      </c>
      <c r="F179" t="str">
        <f t="shared" si="74"/>
        <v>FARMÁCIA INDIANA LJ 1 (10126)</v>
      </c>
      <c r="G179" t="str">
        <f t="shared" si="75"/>
        <v>Serv.Prest. 23/12/2024 a 29/12/2024 - RPS: 375 - NFSe: 2600</v>
      </c>
      <c r="H179" t="str">
        <f t="shared" si="85"/>
        <v>08/01/2025</v>
      </c>
      <c r="I179" t="str">
        <f t="shared" si="77"/>
        <v>02/01/2025</v>
      </c>
      <c r="J179" t="str">
        <f t="shared" si="83"/>
        <v>09/01/2025</v>
      </c>
      <c r="M179">
        <v>303</v>
      </c>
      <c r="N179" t="str">
        <f t="shared" si="86"/>
        <v>RECEITAS COM ENTREGAS</v>
      </c>
      <c r="P179">
        <v>39.54</v>
      </c>
      <c r="Q179" t="str">
        <f>"FARMÁCIA INDIANA LJ 184 (10080)"</f>
        <v>FARMÁCIA INDIANA LJ 184 (10080)</v>
      </c>
      <c r="R179" t="str">
        <f t="shared" si="87"/>
        <v>RECEITAS COM ENTREGAS (303)</v>
      </c>
      <c r="S179">
        <v>829</v>
      </c>
      <c r="T179">
        <v>685</v>
      </c>
      <c r="U179" t="s">
        <v>19</v>
      </c>
    </row>
    <row r="180" spans="1:21">
      <c r="A180" t="str">
        <f t="shared" si="81"/>
        <v>09/01/2025</v>
      </c>
      <c r="B180" t="str">
        <f t="shared" si="80"/>
        <v>ENTRADA</v>
      </c>
      <c r="C180" t="str">
        <f t="shared" si="84"/>
        <v>NFSE</v>
      </c>
      <c r="D180" t="str">
        <f t="shared" si="73"/>
        <v>2600</v>
      </c>
      <c r="E180" t="str">
        <f t="shared" si="82"/>
        <v>COM</v>
      </c>
      <c r="F180" t="str">
        <f t="shared" si="74"/>
        <v>FARMÁCIA INDIANA LJ 1 (10126)</v>
      </c>
      <c r="G180" t="str">
        <f t="shared" si="75"/>
        <v>Serv.Prest. 23/12/2024 a 29/12/2024 - RPS: 375 - NFSe: 2600</v>
      </c>
      <c r="H180" t="str">
        <f t="shared" si="85"/>
        <v>08/01/2025</v>
      </c>
      <c r="I180" t="str">
        <f t="shared" si="77"/>
        <v>02/01/2025</v>
      </c>
      <c r="J180" t="str">
        <f t="shared" si="83"/>
        <v>09/01/2025</v>
      </c>
      <c r="M180">
        <v>303</v>
      </c>
      <c r="N180" t="str">
        <f t="shared" si="86"/>
        <v>RECEITAS COM ENTREGAS</v>
      </c>
      <c r="P180">
        <v>80.180000000000007</v>
      </c>
      <c r="Q180" t="str">
        <f>"FARMÁCIA INDIANA LJ 186 (10081)"</f>
        <v>FARMÁCIA INDIANA LJ 186 (10081)</v>
      </c>
      <c r="R180" t="str">
        <f t="shared" si="87"/>
        <v>RECEITAS COM ENTREGAS (303)</v>
      </c>
      <c r="S180">
        <v>829</v>
      </c>
      <c r="T180">
        <v>685</v>
      </c>
      <c r="U180" t="s">
        <v>19</v>
      </c>
    </row>
    <row r="181" spans="1:21">
      <c r="A181" t="str">
        <f t="shared" si="81"/>
        <v>09/01/2025</v>
      </c>
      <c r="B181" t="str">
        <f t="shared" si="80"/>
        <v>ENTRADA</v>
      </c>
      <c r="C181" t="str">
        <f t="shared" si="84"/>
        <v>NFSE</v>
      </c>
      <c r="D181" t="str">
        <f t="shared" si="73"/>
        <v>2600</v>
      </c>
      <c r="E181" t="str">
        <f t="shared" si="82"/>
        <v>COM</v>
      </c>
      <c r="F181" t="str">
        <f t="shared" si="74"/>
        <v>FARMÁCIA INDIANA LJ 1 (10126)</v>
      </c>
      <c r="G181" t="str">
        <f t="shared" si="75"/>
        <v>Serv.Prest. 23/12/2024 a 29/12/2024 - RPS: 375 - NFSe: 2600</v>
      </c>
      <c r="H181" t="str">
        <f t="shared" si="85"/>
        <v>08/01/2025</v>
      </c>
      <c r="I181" t="str">
        <f t="shared" si="77"/>
        <v>02/01/2025</v>
      </c>
      <c r="J181" t="str">
        <f t="shared" si="83"/>
        <v>09/01/2025</v>
      </c>
      <c r="M181">
        <v>303</v>
      </c>
      <c r="N181" t="str">
        <f t="shared" si="86"/>
        <v>RECEITAS COM ENTREGAS</v>
      </c>
      <c r="P181">
        <v>39.54</v>
      </c>
      <c r="Q181" t="str">
        <f>"FARMÁCIA INDIANA LJ 192 (10082)"</f>
        <v>FARMÁCIA INDIANA LJ 192 (10082)</v>
      </c>
      <c r="R181" t="str">
        <f t="shared" si="87"/>
        <v>RECEITAS COM ENTREGAS (303)</v>
      </c>
      <c r="S181">
        <v>829</v>
      </c>
      <c r="T181">
        <v>685</v>
      </c>
      <c r="U181" t="s">
        <v>19</v>
      </c>
    </row>
    <row r="182" spans="1:21">
      <c r="A182" t="str">
        <f t="shared" si="81"/>
        <v>09/01/2025</v>
      </c>
      <c r="B182" t="str">
        <f t="shared" si="80"/>
        <v>ENTRADA</v>
      </c>
      <c r="C182" t="str">
        <f t="shared" si="84"/>
        <v>NFSE</v>
      </c>
      <c r="D182" t="str">
        <f t="shared" si="73"/>
        <v>2600</v>
      </c>
      <c r="E182" t="str">
        <f t="shared" si="82"/>
        <v>COM</v>
      </c>
      <c r="F182" t="str">
        <f t="shared" si="74"/>
        <v>FARMÁCIA INDIANA LJ 1 (10126)</v>
      </c>
      <c r="G182" t="str">
        <f t="shared" si="75"/>
        <v>Serv.Prest. 23/12/2024 a 29/12/2024 - RPS: 375 - NFSe: 2600</v>
      </c>
      <c r="H182" t="str">
        <f t="shared" si="85"/>
        <v>08/01/2025</v>
      </c>
      <c r="I182" t="str">
        <f t="shared" si="77"/>
        <v>02/01/2025</v>
      </c>
      <c r="J182" t="str">
        <f t="shared" si="83"/>
        <v>09/01/2025</v>
      </c>
      <c r="M182">
        <v>303</v>
      </c>
      <c r="N182" t="str">
        <f t="shared" si="86"/>
        <v>RECEITAS COM ENTREGAS</v>
      </c>
      <c r="P182">
        <v>39.54</v>
      </c>
      <c r="Q182" t="str">
        <f>"FARMÁCIA INDIANA LJ 195 (10083)"</f>
        <v>FARMÁCIA INDIANA LJ 195 (10083)</v>
      </c>
      <c r="R182" t="str">
        <f t="shared" si="87"/>
        <v>RECEITAS COM ENTREGAS (303)</v>
      </c>
      <c r="S182">
        <v>829</v>
      </c>
      <c r="T182">
        <v>685</v>
      </c>
      <c r="U182" t="s">
        <v>19</v>
      </c>
    </row>
    <row r="183" spans="1:21">
      <c r="A183" t="str">
        <f t="shared" si="81"/>
        <v>09/01/2025</v>
      </c>
      <c r="B183" t="str">
        <f t="shared" si="80"/>
        <v>ENTRADA</v>
      </c>
      <c r="C183" t="str">
        <f t="shared" si="84"/>
        <v>NFSE</v>
      </c>
      <c r="D183" t="str">
        <f t="shared" si="73"/>
        <v>2600</v>
      </c>
      <c r="E183" t="str">
        <f t="shared" si="82"/>
        <v>COM</v>
      </c>
      <c r="F183" t="str">
        <f t="shared" si="74"/>
        <v>FARMÁCIA INDIANA LJ 1 (10126)</v>
      </c>
      <c r="G183" t="str">
        <f t="shared" si="75"/>
        <v>Serv.Prest. 23/12/2024 a 29/12/2024 - RPS: 375 - NFSe: 2600</v>
      </c>
      <c r="H183" t="str">
        <f t="shared" si="85"/>
        <v>08/01/2025</v>
      </c>
      <c r="I183" t="str">
        <f t="shared" si="77"/>
        <v>02/01/2025</v>
      </c>
      <c r="J183" t="str">
        <f t="shared" si="83"/>
        <v>09/01/2025</v>
      </c>
      <c r="M183">
        <v>303</v>
      </c>
      <c r="N183" t="str">
        <f t="shared" si="86"/>
        <v>RECEITAS COM ENTREGAS</v>
      </c>
      <c r="P183">
        <v>159.26</v>
      </c>
      <c r="Q183" t="str">
        <f>"FARMÁCIA INDIANA LJ 202 (10085)"</f>
        <v>FARMÁCIA INDIANA LJ 202 (10085)</v>
      </c>
      <c r="R183" t="str">
        <f t="shared" si="87"/>
        <v>RECEITAS COM ENTREGAS (303)</v>
      </c>
      <c r="S183">
        <v>829</v>
      </c>
      <c r="T183">
        <v>685</v>
      </c>
      <c r="U183" t="s">
        <v>19</v>
      </c>
    </row>
    <row r="184" spans="1:21">
      <c r="A184" t="str">
        <f t="shared" si="81"/>
        <v>09/01/2025</v>
      </c>
      <c r="B184" t="str">
        <f t="shared" si="80"/>
        <v>ENTRADA</v>
      </c>
      <c r="C184" t="str">
        <f t="shared" si="84"/>
        <v>NFSE</v>
      </c>
      <c r="D184" t="str">
        <f t="shared" si="73"/>
        <v>2600</v>
      </c>
      <c r="E184" t="str">
        <f t="shared" si="82"/>
        <v>COM</v>
      </c>
      <c r="F184" t="str">
        <f t="shared" si="74"/>
        <v>FARMÁCIA INDIANA LJ 1 (10126)</v>
      </c>
      <c r="G184" t="str">
        <f t="shared" si="75"/>
        <v>Serv.Prest. 23/12/2024 a 29/12/2024 - RPS: 375 - NFSe: 2600</v>
      </c>
      <c r="H184" t="str">
        <f t="shared" si="85"/>
        <v>08/01/2025</v>
      </c>
      <c r="I184" t="str">
        <f t="shared" si="77"/>
        <v>02/01/2025</v>
      </c>
      <c r="J184" t="str">
        <f t="shared" si="83"/>
        <v>09/01/2025</v>
      </c>
      <c r="M184">
        <v>303</v>
      </c>
      <c r="N184" t="str">
        <f t="shared" si="86"/>
        <v>RECEITAS COM ENTREGAS</v>
      </c>
      <c r="P184">
        <v>106.54</v>
      </c>
      <c r="Q184" t="str">
        <f>"FARMÁCIA INDIANA LJ 204 (10087)"</f>
        <v>FARMÁCIA INDIANA LJ 204 (10087)</v>
      </c>
      <c r="R184" t="str">
        <f t="shared" si="87"/>
        <v>RECEITAS COM ENTREGAS (303)</v>
      </c>
      <c r="S184">
        <v>829</v>
      </c>
      <c r="T184">
        <v>685</v>
      </c>
      <c r="U184" t="s">
        <v>19</v>
      </c>
    </row>
    <row r="185" spans="1:21">
      <c r="A185" t="str">
        <f t="shared" si="81"/>
        <v>09/01/2025</v>
      </c>
      <c r="B185" t="str">
        <f t="shared" si="80"/>
        <v>ENTRADA</v>
      </c>
      <c r="C185" t="str">
        <f t="shared" si="84"/>
        <v>NFSE</v>
      </c>
      <c r="D185" t="str">
        <f t="shared" si="73"/>
        <v>2600</v>
      </c>
      <c r="E185" t="str">
        <f t="shared" si="82"/>
        <v>COM</v>
      </c>
      <c r="F185" t="str">
        <f t="shared" si="74"/>
        <v>FARMÁCIA INDIANA LJ 1 (10126)</v>
      </c>
      <c r="G185" t="str">
        <f t="shared" si="75"/>
        <v>Serv.Prest. 23/12/2024 a 29/12/2024 - RPS: 375 - NFSe: 2600</v>
      </c>
      <c r="H185" t="str">
        <f t="shared" si="85"/>
        <v>08/01/2025</v>
      </c>
      <c r="I185" t="str">
        <f t="shared" si="77"/>
        <v>02/01/2025</v>
      </c>
      <c r="J185" t="str">
        <f t="shared" si="83"/>
        <v>09/01/2025</v>
      </c>
      <c r="M185">
        <v>303</v>
      </c>
      <c r="N185" t="str">
        <f t="shared" si="86"/>
        <v>RECEITAS COM ENTREGAS</v>
      </c>
      <c r="P185">
        <v>96.65</v>
      </c>
      <c r="Q185" t="str">
        <f>"FARMÁCIA INDIANA LJ 207 (10088)"</f>
        <v>FARMÁCIA INDIANA LJ 207 (10088)</v>
      </c>
      <c r="R185" t="str">
        <f t="shared" si="87"/>
        <v>RECEITAS COM ENTREGAS (303)</v>
      </c>
      <c r="S185">
        <v>829</v>
      </c>
      <c r="T185">
        <v>685</v>
      </c>
      <c r="U185" t="s">
        <v>19</v>
      </c>
    </row>
    <row r="186" spans="1:21">
      <c r="A186" t="str">
        <f t="shared" si="81"/>
        <v>09/01/2025</v>
      </c>
      <c r="B186" t="str">
        <f t="shared" si="80"/>
        <v>ENTRADA</v>
      </c>
      <c r="C186" t="str">
        <f t="shared" si="84"/>
        <v>NFSE</v>
      </c>
      <c r="D186" t="str">
        <f t="shared" si="73"/>
        <v>2600</v>
      </c>
      <c r="E186" t="str">
        <f t="shared" si="82"/>
        <v>COM</v>
      </c>
      <c r="F186" t="str">
        <f t="shared" si="74"/>
        <v>FARMÁCIA INDIANA LJ 1 (10126)</v>
      </c>
      <c r="G186" t="str">
        <f t="shared" si="75"/>
        <v>Serv.Prest. 23/12/2024 a 29/12/2024 - RPS: 375 - NFSe: 2600</v>
      </c>
      <c r="H186" t="str">
        <f t="shared" si="85"/>
        <v>08/01/2025</v>
      </c>
      <c r="I186" t="str">
        <f t="shared" si="77"/>
        <v>02/01/2025</v>
      </c>
      <c r="J186" t="str">
        <f t="shared" si="83"/>
        <v>09/01/2025</v>
      </c>
      <c r="M186">
        <v>303</v>
      </c>
      <c r="N186" t="str">
        <f t="shared" si="86"/>
        <v>RECEITAS COM ENTREGAS</v>
      </c>
      <c r="P186">
        <v>125.21</v>
      </c>
      <c r="Q186" t="str">
        <f>"FARMÁCIA INDIANA LJ 209 (10089)"</f>
        <v>FARMÁCIA INDIANA LJ 209 (10089)</v>
      </c>
      <c r="R186" t="str">
        <f t="shared" si="87"/>
        <v>RECEITAS COM ENTREGAS (303)</v>
      </c>
      <c r="S186">
        <v>829</v>
      </c>
      <c r="T186">
        <v>685</v>
      </c>
      <c r="U186" t="s">
        <v>19</v>
      </c>
    </row>
    <row r="187" spans="1:21">
      <c r="A187" t="str">
        <f t="shared" si="81"/>
        <v>09/01/2025</v>
      </c>
      <c r="B187" t="str">
        <f t="shared" si="80"/>
        <v>ENTRADA</v>
      </c>
      <c r="C187" t="str">
        <f t="shared" si="84"/>
        <v>NFSE</v>
      </c>
      <c r="D187" t="str">
        <f t="shared" si="73"/>
        <v>2600</v>
      </c>
      <c r="E187" t="str">
        <f t="shared" si="82"/>
        <v>COM</v>
      </c>
      <c r="F187" t="str">
        <f t="shared" si="74"/>
        <v>FARMÁCIA INDIANA LJ 1 (10126)</v>
      </c>
      <c r="G187" t="str">
        <f t="shared" si="75"/>
        <v>Serv.Prest. 23/12/2024 a 29/12/2024 - RPS: 375 - NFSe: 2600</v>
      </c>
      <c r="H187" t="str">
        <f t="shared" si="85"/>
        <v>08/01/2025</v>
      </c>
      <c r="I187" t="str">
        <f t="shared" si="77"/>
        <v>02/01/2025</v>
      </c>
      <c r="J187" t="str">
        <f t="shared" si="83"/>
        <v>09/01/2025</v>
      </c>
      <c r="M187">
        <v>303</v>
      </c>
      <c r="N187" t="str">
        <f t="shared" si="86"/>
        <v>RECEITAS COM ENTREGAS</v>
      </c>
      <c r="P187">
        <v>160.36000000000001</v>
      </c>
      <c r="Q187" t="str">
        <f>"FARMÁCIA INDIANA LJ 219 (10091)"</f>
        <v>FARMÁCIA INDIANA LJ 219 (10091)</v>
      </c>
      <c r="R187" t="str">
        <f t="shared" si="87"/>
        <v>RECEITAS COM ENTREGAS (303)</v>
      </c>
      <c r="S187">
        <v>829</v>
      </c>
      <c r="T187">
        <v>685</v>
      </c>
      <c r="U187" t="s">
        <v>19</v>
      </c>
    </row>
    <row r="188" spans="1:21">
      <c r="A188" t="str">
        <f t="shared" si="81"/>
        <v>09/01/2025</v>
      </c>
      <c r="B188" t="str">
        <f t="shared" si="80"/>
        <v>ENTRADA</v>
      </c>
      <c r="C188" t="str">
        <f t="shared" si="84"/>
        <v>NFSE</v>
      </c>
      <c r="D188" t="str">
        <f t="shared" si="73"/>
        <v>2600</v>
      </c>
      <c r="E188" t="str">
        <f t="shared" si="82"/>
        <v>COM</v>
      </c>
      <c r="F188" t="str">
        <f t="shared" si="74"/>
        <v>FARMÁCIA INDIANA LJ 1 (10126)</v>
      </c>
      <c r="G188" t="str">
        <f t="shared" si="75"/>
        <v>Serv.Prest. 23/12/2024 a 29/12/2024 - RPS: 375 - NFSe: 2600</v>
      </c>
      <c r="H188" t="str">
        <f t="shared" si="85"/>
        <v>08/01/2025</v>
      </c>
      <c r="I188" t="str">
        <f t="shared" si="77"/>
        <v>02/01/2025</v>
      </c>
      <c r="J188" t="str">
        <f t="shared" si="83"/>
        <v>09/01/2025</v>
      </c>
      <c r="M188">
        <v>303</v>
      </c>
      <c r="N188" t="str">
        <f t="shared" si="86"/>
        <v>RECEITAS COM ENTREGAS</v>
      </c>
      <c r="P188">
        <v>85.67</v>
      </c>
      <c r="Q188" t="str">
        <f>"FARMÁCIA INDIANA LJ 220 (10092)"</f>
        <v>FARMÁCIA INDIANA LJ 220 (10092)</v>
      </c>
      <c r="R188" t="str">
        <f t="shared" si="87"/>
        <v>RECEITAS COM ENTREGAS (303)</v>
      </c>
      <c r="S188">
        <v>829</v>
      </c>
      <c r="T188">
        <v>685</v>
      </c>
      <c r="U188" t="s">
        <v>19</v>
      </c>
    </row>
    <row r="189" spans="1:21">
      <c r="A189" t="str">
        <f t="shared" si="81"/>
        <v>09/01/2025</v>
      </c>
      <c r="B189" t="str">
        <f t="shared" si="80"/>
        <v>ENTRADA</v>
      </c>
      <c r="C189" t="str">
        <f t="shared" si="84"/>
        <v>NFSE</v>
      </c>
      <c r="D189" t="str">
        <f t="shared" si="73"/>
        <v>2600</v>
      </c>
      <c r="E189" t="str">
        <f t="shared" si="82"/>
        <v>COM</v>
      </c>
      <c r="F189" t="str">
        <f t="shared" si="74"/>
        <v>FARMÁCIA INDIANA LJ 1 (10126)</v>
      </c>
      <c r="G189" t="str">
        <f t="shared" si="75"/>
        <v>Serv.Prest. 23/12/2024 a 29/12/2024 - RPS: 375 - NFSe: 2600</v>
      </c>
      <c r="H189" t="str">
        <f t="shared" si="85"/>
        <v>08/01/2025</v>
      </c>
      <c r="I189" t="str">
        <f t="shared" si="77"/>
        <v>02/01/2025</v>
      </c>
      <c r="J189" t="str">
        <f t="shared" si="83"/>
        <v>09/01/2025</v>
      </c>
      <c r="M189">
        <v>303</v>
      </c>
      <c r="N189" t="str">
        <f t="shared" si="86"/>
        <v>RECEITAS COM ENTREGAS</v>
      </c>
      <c r="P189">
        <v>182.32</v>
      </c>
      <c r="Q189" t="str">
        <f>"FARMÁCIA INDIANA LJ 185 (10141)"</f>
        <v>FARMÁCIA INDIANA LJ 185 (10141)</v>
      </c>
      <c r="R189" t="str">
        <f t="shared" si="87"/>
        <v>RECEITAS COM ENTREGAS (303)</v>
      </c>
      <c r="S189">
        <v>829</v>
      </c>
      <c r="T189">
        <v>685</v>
      </c>
      <c r="U189" t="s">
        <v>19</v>
      </c>
    </row>
    <row r="190" spans="1:21">
      <c r="A190" t="str">
        <f t="shared" si="81"/>
        <v>09/01/2025</v>
      </c>
      <c r="B190" t="str">
        <f t="shared" si="80"/>
        <v>ENTRADA</v>
      </c>
      <c r="C190" t="str">
        <f t="shared" si="84"/>
        <v>NFSE</v>
      </c>
      <c r="D190" t="str">
        <f>"2606"</f>
        <v>2606</v>
      </c>
      <c r="E190" t="str">
        <f t="shared" si="82"/>
        <v>COM</v>
      </c>
      <c r="F190" t="str">
        <f>"DELTA LOJA 2 (10123)"</f>
        <v>DELTA LOJA 2 (10123)</v>
      </c>
      <c r="G190" t="str">
        <f>"Serv.Prest. 30/12/2024 a 05/01/2025 - RPS: 380 - NFSe: 2606"</f>
        <v>Serv.Prest. 30/12/2024 a 05/01/2025 - RPS: 380 - NFSe: 2606</v>
      </c>
      <c r="H190" t="str">
        <f t="shared" si="85"/>
        <v>08/01/2025</v>
      </c>
      <c r="I190" t="str">
        <f t="shared" ref="I190:I195" si="88">("06/01/2025")</f>
        <v>06/01/2025</v>
      </c>
      <c r="J190" t="str">
        <f t="shared" si="83"/>
        <v>09/01/2025</v>
      </c>
      <c r="K190">
        <v>480.48</v>
      </c>
      <c r="L190">
        <v>480.48</v>
      </c>
      <c r="M190">
        <v>303</v>
      </c>
      <c r="N190" t="str">
        <f t="shared" si="86"/>
        <v>RECEITAS COM ENTREGAS</v>
      </c>
      <c r="O190">
        <v>480.48</v>
      </c>
      <c r="R190" t="str">
        <f t="shared" si="87"/>
        <v>RECEITAS COM ENTREGAS (303)</v>
      </c>
      <c r="S190">
        <v>830</v>
      </c>
      <c r="T190">
        <v>690</v>
      </c>
      <c r="U190" t="s">
        <v>19</v>
      </c>
    </row>
    <row r="191" spans="1:21">
      <c r="A191" t="str">
        <f t="shared" si="81"/>
        <v>09/01/2025</v>
      </c>
      <c r="B191" t="str">
        <f t="shared" si="80"/>
        <v>ENTRADA</v>
      </c>
      <c r="C191" t="str">
        <f t="shared" si="84"/>
        <v>NFSE</v>
      </c>
      <c r="D191" t="str">
        <f>"2606"</f>
        <v>2606</v>
      </c>
      <c r="E191" t="str">
        <f t="shared" si="82"/>
        <v>COM</v>
      </c>
      <c r="F191" t="str">
        <f>"DELTA LOJA 2 (10123)"</f>
        <v>DELTA LOJA 2 (10123)</v>
      </c>
      <c r="G191" t="str">
        <f>"Serv.Prest. 30/12/2024 a 05/01/2025 - RPS: 380 - NFSe: 2606"</f>
        <v>Serv.Prest. 30/12/2024 a 05/01/2025 - RPS: 380 - NFSe: 2606</v>
      </c>
      <c r="H191" t="str">
        <f t="shared" si="85"/>
        <v>08/01/2025</v>
      </c>
      <c r="I191" t="str">
        <f t="shared" si="88"/>
        <v>06/01/2025</v>
      </c>
      <c r="J191" t="str">
        <f t="shared" si="83"/>
        <v>09/01/2025</v>
      </c>
      <c r="M191">
        <v>303</v>
      </c>
      <c r="N191" t="str">
        <f t="shared" si="86"/>
        <v>RECEITAS COM ENTREGAS</v>
      </c>
      <c r="P191">
        <v>480.48</v>
      </c>
      <c r="Q191" t="str">
        <f>"DELTA LOJA 2 (10123)"</f>
        <v>DELTA LOJA 2 (10123)</v>
      </c>
      <c r="R191" t="str">
        <f t="shared" si="87"/>
        <v>RECEITAS COM ENTREGAS (303)</v>
      </c>
      <c r="S191">
        <v>830</v>
      </c>
      <c r="T191">
        <v>690</v>
      </c>
      <c r="U191" t="s">
        <v>19</v>
      </c>
    </row>
    <row r="192" spans="1:21">
      <c r="A192" t="str">
        <f t="shared" si="81"/>
        <v>09/01/2025</v>
      </c>
      <c r="B192" t="str">
        <f t="shared" si="80"/>
        <v>ENTRADA</v>
      </c>
      <c r="C192" t="str">
        <f t="shared" si="84"/>
        <v>NFSE</v>
      </c>
      <c r="D192" t="str">
        <f>"2608"</f>
        <v>2608</v>
      </c>
      <c r="E192" t="str">
        <f t="shared" si="82"/>
        <v>COM</v>
      </c>
      <c r="F192" t="str">
        <f>"DROGA MONICA (10147)"</f>
        <v>DROGA MONICA (10147)</v>
      </c>
      <c r="G192" t="str">
        <f>"Serv.Prest. 30/12/2024 a 05/01/2025 - RPS: 382 - NFSe: 2608"</f>
        <v>Serv.Prest. 30/12/2024 a 05/01/2025 - RPS: 382 - NFSe: 2608</v>
      </c>
      <c r="H192" t="str">
        <f t="shared" si="85"/>
        <v>08/01/2025</v>
      </c>
      <c r="I192" t="str">
        <f t="shared" si="88"/>
        <v>06/01/2025</v>
      </c>
      <c r="J192" t="str">
        <f t="shared" si="83"/>
        <v>09/01/2025</v>
      </c>
      <c r="K192">
        <v>386.4</v>
      </c>
      <c r="L192">
        <v>386.4</v>
      </c>
      <c r="M192">
        <v>303</v>
      </c>
      <c r="N192" t="str">
        <f t="shared" si="86"/>
        <v>RECEITAS COM ENTREGAS</v>
      </c>
      <c r="O192">
        <v>386.4</v>
      </c>
      <c r="R192" t="str">
        <f t="shared" si="87"/>
        <v>RECEITAS COM ENTREGAS (303)</v>
      </c>
      <c r="S192">
        <v>831</v>
      </c>
      <c r="T192">
        <v>692</v>
      </c>
      <c r="U192" t="s">
        <v>19</v>
      </c>
    </row>
    <row r="193" spans="1:21">
      <c r="A193" t="str">
        <f t="shared" si="81"/>
        <v>09/01/2025</v>
      </c>
      <c r="B193" t="str">
        <f t="shared" si="80"/>
        <v>ENTRADA</v>
      </c>
      <c r="C193" t="str">
        <f t="shared" si="84"/>
        <v>NFSE</v>
      </c>
      <c r="D193" t="str">
        <f>"2608"</f>
        <v>2608</v>
      </c>
      <c r="E193" t="str">
        <f t="shared" si="82"/>
        <v>COM</v>
      </c>
      <c r="F193" t="str">
        <f>"DROGA MONICA (10147)"</f>
        <v>DROGA MONICA (10147)</v>
      </c>
      <c r="G193" t="str">
        <f>"Serv.Prest. 30/12/2024 a 05/01/2025 - RPS: 382 - NFSe: 2608"</f>
        <v>Serv.Prest. 30/12/2024 a 05/01/2025 - RPS: 382 - NFSe: 2608</v>
      </c>
      <c r="H193" t="str">
        <f t="shared" si="85"/>
        <v>08/01/2025</v>
      </c>
      <c r="I193" t="str">
        <f t="shared" si="88"/>
        <v>06/01/2025</v>
      </c>
      <c r="J193" t="str">
        <f t="shared" si="83"/>
        <v>09/01/2025</v>
      </c>
      <c r="M193">
        <v>303</v>
      </c>
      <c r="N193" t="str">
        <f t="shared" si="86"/>
        <v>RECEITAS COM ENTREGAS</v>
      </c>
      <c r="P193">
        <v>386.4</v>
      </c>
      <c r="Q193" t="str">
        <f>"DROGA MONICA (10147)"</f>
        <v>DROGA MONICA (10147)</v>
      </c>
      <c r="R193" t="str">
        <f t="shared" si="87"/>
        <v>RECEITAS COM ENTREGAS (303)</v>
      </c>
      <c r="S193">
        <v>831</v>
      </c>
      <c r="T193">
        <v>692</v>
      </c>
      <c r="U193" t="s">
        <v>19</v>
      </c>
    </row>
    <row r="194" spans="1:21">
      <c r="A194" t="str">
        <f t="shared" si="81"/>
        <v>09/01/2025</v>
      </c>
      <c r="B194" t="str">
        <f t="shared" si="80"/>
        <v>ENTRADA</v>
      </c>
      <c r="C194" t="str">
        <f t="shared" si="84"/>
        <v>NFSE</v>
      </c>
      <c r="D194" t="str">
        <f>"2611"</f>
        <v>2611</v>
      </c>
      <c r="E194" t="str">
        <f t="shared" si="82"/>
        <v>COM</v>
      </c>
      <c r="F194" t="str">
        <f>"JAL FARMACIA E DROGARIA LJ 1 (10137)"</f>
        <v>JAL FARMACIA E DROGARIA LJ 1 (10137)</v>
      </c>
      <c r="G194" t="str">
        <f>"Serv.Prest. 30/12/2024 a 05/01/2025 - RPS: 385 - NFSe: 2611"</f>
        <v>Serv.Prest. 30/12/2024 a 05/01/2025 - RPS: 385 - NFSe: 2611</v>
      </c>
      <c r="H194" t="str">
        <f t="shared" si="85"/>
        <v>08/01/2025</v>
      </c>
      <c r="I194" t="str">
        <f t="shared" si="88"/>
        <v>06/01/2025</v>
      </c>
      <c r="J194" t="str">
        <f t="shared" si="83"/>
        <v>09/01/2025</v>
      </c>
      <c r="K194">
        <v>312</v>
      </c>
      <c r="L194">
        <v>312</v>
      </c>
      <c r="M194">
        <v>303</v>
      </c>
      <c r="N194" t="str">
        <f t="shared" si="86"/>
        <v>RECEITAS COM ENTREGAS</v>
      </c>
      <c r="O194">
        <v>312</v>
      </c>
      <c r="R194" t="str">
        <f t="shared" si="87"/>
        <v>RECEITAS COM ENTREGAS (303)</v>
      </c>
      <c r="S194">
        <v>832</v>
      </c>
      <c r="T194">
        <v>695</v>
      </c>
      <c r="U194" t="s">
        <v>19</v>
      </c>
    </row>
    <row r="195" spans="1:21">
      <c r="A195" t="str">
        <f t="shared" si="81"/>
        <v>09/01/2025</v>
      </c>
      <c r="B195" t="str">
        <f t="shared" si="80"/>
        <v>ENTRADA</v>
      </c>
      <c r="C195" t="str">
        <f t="shared" si="84"/>
        <v>NFSE</v>
      </c>
      <c r="D195" t="str">
        <f>"2611"</f>
        <v>2611</v>
      </c>
      <c r="E195" t="str">
        <f t="shared" si="82"/>
        <v>COM</v>
      </c>
      <c r="F195" t="str">
        <f>"JAL FARMACIA E DROGARIA LJ 1 (10137)"</f>
        <v>JAL FARMACIA E DROGARIA LJ 1 (10137)</v>
      </c>
      <c r="G195" t="str">
        <f>"Serv.Prest. 30/12/2024 a 05/01/2025 - RPS: 385 - NFSe: 2611"</f>
        <v>Serv.Prest. 30/12/2024 a 05/01/2025 - RPS: 385 - NFSe: 2611</v>
      </c>
      <c r="H195" t="str">
        <f t="shared" si="85"/>
        <v>08/01/2025</v>
      </c>
      <c r="I195" t="str">
        <f t="shared" si="88"/>
        <v>06/01/2025</v>
      </c>
      <c r="J195" t="str">
        <f t="shared" si="83"/>
        <v>09/01/2025</v>
      </c>
      <c r="M195">
        <v>303</v>
      </c>
      <c r="N195" t="str">
        <f t="shared" si="86"/>
        <v>RECEITAS COM ENTREGAS</v>
      </c>
      <c r="P195">
        <v>312</v>
      </c>
      <c r="Q195" t="str">
        <f>"JAL FARMACIA E DROGARIA LJ 1 (10137)"</f>
        <v>JAL FARMACIA E DROGARIA LJ 1 (10137)</v>
      </c>
      <c r="R195" t="str">
        <f t="shared" si="87"/>
        <v>RECEITAS COM ENTREGAS (303)</v>
      </c>
      <c r="S195">
        <v>832</v>
      </c>
      <c r="T195">
        <v>695</v>
      </c>
      <c r="U195" t="s">
        <v>19</v>
      </c>
    </row>
    <row r="196" spans="1:21">
      <c r="A196" t="str">
        <f t="shared" si="81"/>
        <v>09/01/2025</v>
      </c>
      <c r="B196" t="str">
        <f t="shared" si="80"/>
        <v>ENTRADA</v>
      </c>
      <c r="C196" t="str">
        <f t="shared" si="84"/>
        <v>NFSE</v>
      </c>
      <c r="D196" t="str">
        <f t="shared" ref="D196:D206" si="89">"2601"</f>
        <v>2601</v>
      </c>
      <c r="E196" t="str">
        <f t="shared" si="82"/>
        <v>COM</v>
      </c>
      <c r="F196" t="str">
        <f t="shared" ref="F196:F206" si="90">"FARMÁCIA INDIANA LJ 30 (10127)"</f>
        <v>FARMÁCIA INDIANA LJ 30 (10127)</v>
      </c>
      <c r="G196" t="str">
        <f t="shared" ref="G196:G206" si="91">"Serv.Prest. 23/12/2024 a 29/12/2024 - RPS: 376 - NFSe: 2601"</f>
        <v>Serv.Prest. 23/12/2024 a 29/12/2024 - RPS: 376 - NFSe: 2601</v>
      </c>
      <c r="H196" t="str">
        <f t="shared" ref="H196:H218" si="92">("09/01/2025")</f>
        <v>09/01/2025</v>
      </c>
      <c r="I196" t="str">
        <f t="shared" ref="I196:I212" si="93">("02/01/2025")</f>
        <v>02/01/2025</v>
      </c>
      <c r="J196" t="str">
        <f t="shared" si="83"/>
        <v>09/01/2025</v>
      </c>
      <c r="K196">
        <v>2054.79</v>
      </c>
      <c r="L196">
        <v>2054.79</v>
      </c>
      <c r="M196">
        <v>303</v>
      </c>
      <c r="N196" t="str">
        <f t="shared" si="86"/>
        <v>RECEITAS COM ENTREGAS</v>
      </c>
      <c r="O196">
        <v>2054.79</v>
      </c>
      <c r="R196" t="str">
        <f t="shared" si="87"/>
        <v>RECEITAS COM ENTREGAS (303)</v>
      </c>
      <c r="S196">
        <v>833</v>
      </c>
      <c r="T196">
        <v>686</v>
      </c>
      <c r="U196" t="s">
        <v>19</v>
      </c>
    </row>
    <row r="197" spans="1:21">
      <c r="A197" t="str">
        <f t="shared" si="81"/>
        <v>09/01/2025</v>
      </c>
      <c r="B197" t="str">
        <f t="shared" si="80"/>
        <v>ENTRADA</v>
      </c>
      <c r="C197" t="str">
        <f t="shared" si="84"/>
        <v>NFSE</v>
      </c>
      <c r="D197" t="str">
        <f t="shared" si="89"/>
        <v>2601</v>
      </c>
      <c r="E197" t="str">
        <f t="shared" si="82"/>
        <v>COM</v>
      </c>
      <c r="F197" t="str">
        <f t="shared" si="90"/>
        <v>FARMÁCIA INDIANA LJ 30 (10127)</v>
      </c>
      <c r="G197" t="str">
        <f t="shared" si="91"/>
        <v>Serv.Prest. 23/12/2024 a 29/12/2024 - RPS: 376 - NFSe: 2601</v>
      </c>
      <c r="H197" t="str">
        <f t="shared" si="92"/>
        <v>09/01/2025</v>
      </c>
      <c r="I197" t="str">
        <f t="shared" si="93"/>
        <v>02/01/2025</v>
      </c>
      <c r="J197" t="str">
        <f t="shared" si="83"/>
        <v>09/01/2025</v>
      </c>
      <c r="M197">
        <v>303</v>
      </c>
      <c r="N197" t="str">
        <f t="shared" si="86"/>
        <v>RECEITAS COM ENTREGAS</v>
      </c>
      <c r="P197">
        <v>292.39999999999998</v>
      </c>
      <c r="Q197" t="str">
        <f>"FARMÁCIA INDIANA LJ 34 (10014)"</f>
        <v>FARMÁCIA INDIANA LJ 34 (10014)</v>
      </c>
      <c r="R197" t="str">
        <f t="shared" si="87"/>
        <v>RECEITAS COM ENTREGAS (303)</v>
      </c>
      <c r="S197">
        <v>833</v>
      </c>
      <c r="T197">
        <v>686</v>
      </c>
      <c r="U197" t="s">
        <v>19</v>
      </c>
    </row>
    <row r="198" spans="1:21">
      <c r="A198" t="str">
        <f t="shared" si="81"/>
        <v>09/01/2025</v>
      </c>
      <c r="B198" t="str">
        <f t="shared" si="80"/>
        <v>ENTRADA</v>
      </c>
      <c r="C198" t="str">
        <f t="shared" si="84"/>
        <v>NFSE</v>
      </c>
      <c r="D198" t="str">
        <f t="shared" si="89"/>
        <v>2601</v>
      </c>
      <c r="E198" t="str">
        <f t="shared" si="82"/>
        <v>COM</v>
      </c>
      <c r="F198" t="str">
        <f t="shared" si="90"/>
        <v>FARMÁCIA INDIANA LJ 30 (10127)</v>
      </c>
      <c r="G198" t="str">
        <f t="shared" si="91"/>
        <v>Serv.Prest. 23/12/2024 a 29/12/2024 - RPS: 376 - NFSe: 2601</v>
      </c>
      <c r="H198" t="str">
        <f t="shared" si="92"/>
        <v>09/01/2025</v>
      </c>
      <c r="I198" t="str">
        <f t="shared" si="93"/>
        <v>02/01/2025</v>
      </c>
      <c r="J198" t="str">
        <f t="shared" si="83"/>
        <v>09/01/2025</v>
      </c>
      <c r="M198">
        <v>303</v>
      </c>
      <c r="N198" t="str">
        <f t="shared" si="86"/>
        <v>RECEITAS COM ENTREGAS</v>
      </c>
      <c r="P198">
        <v>235.89</v>
      </c>
      <c r="Q198" t="str">
        <f>"FARMÁCIA INDIANA LJ 35 (10015)"</f>
        <v>FARMÁCIA INDIANA LJ 35 (10015)</v>
      </c>
      <c r="R198" t="str">
        <f t="shared" si="87"/>
        <v>RECEITAS COM ENTREGAS (303)</v>
      </c>
      <c r="S198">
        <v>833</v>
      </c>
      <c r="T198">
        <v>686</v>
      </c>
      <c r="U198" t="s">
        <v>19</v>
      </c>
    </row>
    <row r="199" spans="1:21">
      <c r="A199" t="str">
        <f t="shared" si="81"/>
        <v>09/01/2025</v>
      </c>
      <c r="B199" t="str">
        <f t="shared" si="80"/>
        <v>ENTRADA</v>
      </c>
      <c r="C199" t="str">
        <f t="shared" si="84"/>
        <v>NFSE</v>
      </c>
      <c r="D199" t="str">
        <f t="shared" si="89"/>
        <v>2601</v>
      </c>
      <c r="E199" t="str">
        <f t="shared" si="82"/>
        <v>COM</v>
      </c>
      <c r="F199" t="str">
        <f t="shared" si="90"/>
        <v>FARMÁCIA INDIANA LJ 30 (10127)</v>
      </c>
      <c r="G199" t="str">
        <f t="shared" si="91"/>
        <v>Serv.Prest. 23/12/2024 a 29/12/2024 - RPS: 376 - NFSe: 2601</v>
      </c>
      <c r="H199" t="str">
        <f t="shared" si="92"/>
        <v>09/01/2025</v>
      </c>
      <c r="I199" t="str">
        <f t="shared" si="93"/>
        <v>02/01/2025</v>
      </c>
      <c r="J199" t="str">
        <f t="shared" si="83"/>
        <v>09/01/2025</v>
      </c>
      <c r="M199">
        <v>303</v>
      </c>
      <c r="N199" t="str">
        <f t="shared" si="86"/>
        <v>RECEITAS COM ENTREGAS</v>
      </c>
      <c r="P199">
        <v>226.44</v>
      </c>
      <c r="Q199" t="str">
        <f>"FARMÁCIA INDIANA LJ 48 (10018)"</f>
        <v>FARMÁCIA INDIANA LJ 48 (10018)</v>
      </c>
      <c r="R199" t="str">
        <f t="shared" si="87"/>
        <v>RECEITAS COM ENTREGAS (303)</v>
      </c>
      <c r="S199">
        <v>833</v>
      </c>
      <c r="T199">
        <v>686</v>
      </c>
      <c r="U199" t="s">
        <v>19</v>
      </c>
    </row>
    <row r="200" spans="1:21">
      <c r="A200" t="str">
        <f t="shared" ref="A200:A218" si="94">("09/01/2025")</f>
        <v>09/01/2025</v>
      </c>
      <c r="B200" t="str">
        <f t="shared" si="80"/>
        <v>ENTRADA</v>
      </c>
      <c r="C200" t="str">
        <f t="shared" si="84"/>
        <v>NFSE</v>
      </c>
      <c r="D200" t="str">
        <f t="shared" si="89"/>
        <v>2601</v>
      </c>
      <c r="E200" t="str">
        <f t="shared" si="82"/>
        <v>COM</v>
      </c>
      <c r="F200" t="str">
        <f t="shared" si="90"/>
        <v>FARMÁCIA INDIANA LJ 30 (10127)</v>
      </c>
      <c r="G200" t="str">
        <f t="shared" si="91"/>
        <v>Serv.Prest. 23/12/2024 a 29/12/2024 - RPS: 376 - NFSe: 2601</v>
      </c>
      <c r="H200" t="str">
        <f t="shared" si="92"/>
        <v>09/01/2025</v>
      </c>
      <c r="I200" t="str">
        <f t="shared" si="93"/>
        <v>02/01/2025</v>
      </c>
      <c r="J200" t="str">
        <f t="shared" si="83"/>
        <v>09/01/2025</v>
      </c>
      <c r="M200">
        <v>303</v>
      </c>
      <c r="N200" t="str">
        <f t="shared" si="86"/>
        <v>RECEITAS COM ENTREGAS</v>
      </c>
      <c r="P200">
        <v>319.93</v>
      </c>
      <c r="Q200" t="str">
        <f>"FARMÁCIA INDIANA LJ 65 (10030)"</f>
        <v>FARMÁCIA INDIANA LJ 65 (10030)</v>
      </c>
      <c r="R200" t="str">
        <f t="shared" si="87"/>
        <v>RECEITAS COM ENTREGAS (303)</v>
      </c>
      <c r="S200">
        <v>833</v>
      </c>
      <c r="T200">
        <v>686</v>
      </c>
      <c r="U200" t="s">
        <v>19</v>
      </c>
    </row>
    <row r="201" spans="1:21">
      <c r="A201" t="str">
        <f t="shared" si="94"/>
        <v>09/01/2025</v>
      </c>
      <c r="B201" t="str">
        <f t="shared" si="80"/>
        <v>ENTRADA</v>
      </c>
      <c r="C201" t="str">
        <f t="shared" si="84"/>
        <v>NFSE</v>
      </c>
      <c r="D201" t="str">
        <f t="shared" si="89"/>
        <v>2601</v>
      </c>
      <c r="E201" t="str">
        <f t="shared" si="82"/>
        <v>COM</v>
      </c>
      <c r="F201" t="str">
        <f t="shared" si="90"/>
        <v>FARMÁCIA INDIANA LJ 30 (10127)</v>
      </c>
      <c r="G201" t="str">
        <f t="shared" si="91"/>
        <v>Serv.Prest. 23/12/2024 a 29/12/2024 - RPS: 376 - NFSe: 2601</v>
      </c>
      <c r="H201" t="str">
        <f t="shared" si="92"/>
        <v>09/01/2025</v>
      </c>
      <c r="I201" t="str">
        <f t="shared" si="93"/>
        <v>02/01/2025</v>
      </c>
      <c r="J201" t="str">
        <f t="shared" si="83"/>
        <v>09/01/2025</v>
      </c>
      <c r="M201">
        <v>303</v>
      </c>
      <c r="N201" t="str">
        <f t="shared" si="86"/>
        <v>RECEITAS COM ENTREGAS</v>
      </c>
      <c r="P201">
        <v>137.05000000000001</v>
      </c>
      <c r="Q201" t="str">
        <f>"FARMÁCIA INDIANA LJ 77 (10034)"</f>
        <v>FARMÁCIA INDIANA LJ 77 (10034)</v>
      </c>
      <c r="R201" t="str">
        <f t="shared" si="87"/>
        <v>RECEITAS COM ENTREGAS (303)</v>
      </c>
      <c r="S201">
        <v>833</v>
      </c>
      <c r="T201">
        <v>686</v>
      </c>
      <c r="U201" t="s">
        <v>19</v>
      </c>
    </row>
    <row r="202" spans="1:21">
      <c r="A202" t="str">
        <f t="shared" si="94"/>
        <v>09/01/2025</v>
      </c>
      <c r="B202" t="str">
        <f t="shared" si="80"/>
        <v>ENTRADA</v>
      </c>
      <c r="C202" t="str">
        <f t="shared" si="84"/>
        <v>NFSE</v>
      </c>
      <c r="D202" t="str">
        <f t="shared" si="89"/>
        <v>2601</v>
      </c>
      <c r="E202" t="str">
        <f t="shared" si="82"/>
        <v>COM</v>
      </c>
      <c r="F202" t="str">
        <f t="shared" si="90"/>
        <v>FARMÁCIA INDIANA LJ 30 (10127)</v>
      </c>
      <c r="G202" t="str">
        <f t="shared" si="91"/>
        <v>Serv.Prest. 23/12/2024 a 29/12/2024 - RPS: 376 - NFSe: 2601</v>
      </c>
      <c r="H202" t="str">
        <f t="shared" si="92"/>
        <v>09/01/2025</v>
      </c>
      <c r="I202" t="str">
        <f t="shared" si="93"/>
        <v>02/01/2025</v>
      </c>
      <c r="J202" t="str">
        <f t="shared" si="83"/>
        <v>09/01/2025</v>
      </c>
      <c r="M202">
        <v>303</v>
      </c>
      <c r="N202" t="str">
        <f t="shared" si="86"/>
        <v>RECEITAS COM ENTREGAS</v>
      </c>
      <c r="P202">
        <v>220.27</v>
      </c>
      <c r="Q202" t="str">
        <f>"FARMÁCIA INDIANA LJ 91 (10037)"</f>
        <v>FARMÁCIA INDIANA LJ 91 (10037)</v>
      </c>
      <c r="R202" t="str">
        <f t="shared" si="87"/>
        <v>RECEITAS COM ENTREGAS (303)</v>
      </c>
      <c r="S202">
        <v>833</v>
      </c>
      <c r="T202">
        <v>686</v>
      </c>
      <c r="U202" t="s">
        <v>19</v>
      </c>
    </row>
    <row r="203" spans="1:21">
      <c r="A203" t="str">
        <f t="shared" si="94"/>
        <v>09/01/2025</v>
      </c>
      <c r="B203" t="str">
        <f t="shared" si="80"/>
        <v>ENTRADA</v>
      </c>
      <c r="C203" t="str">
        <f t="shared" si="84"/>
        <v>NFSE</v>
      </c>
      <c r="D203" t="str">
        <f t="shared" si="89"/>
        <v>2601</v>
      </c>
      <c r="E203" t="str">
        <f t="shared" si="82"/>
        <v>COM</v>
      </c>
      <c r="F203" t="str">
        <f t="shared" si="90"/>
        <v>FARMÁCIA INDIANA LJ 30 (10127)</v>
      </c>
      <c r="G203" t="str">
        <f t="shared" si="91"/>
        <v>Serv.Prest. 23/12/2024 a 29/12/2024 - RPS: 376 - NFSe: 2601</v>
      </c>
      <c r="H203" t="str">
        <f t="shared" si="92"/>
        <v>09/01/2025</v>
      </c>
      <c r="I203" t="str">
        <f t="shared" si="93"/>
        <v>02/01/2025</v>
      </c>
      <c r="J203" t="str">
        <f t="shared" si="83"/>
        <v>09/01/2025</v>
      </c>
      <c r="M203">
        <v>303</v>
      </c>
      <c r="N203" t="str">
        <f t="shared" si="86"/>
        <v>RECEITAS COM ENTREGAS</v>
      </c>
      <c r="P203">
        <v>240.41</v>
      </c>
      <c r="Q203" t="str">
        <f>"FARMÁCIA INDIANA LJ 95 (10039)"</f>
        <v>FARMÁCIA INDIANA LJ 95 (10039)</v>
      </c>
      <c r="R203" t="str">
        <f t="shared" si="87"/>
        <v>RECEITAS COM ENTREGAS (303)</v>
      </c>
      <c r="S203">
        <v>833</v>
      </c>
      <c r="T203">
        <v>686</v>
      </c>
      <c r="U203" t="s">
        <v>19</v>
      </c>
    </row>
    <row r="204" spans="1:21">
      <c r="A204" t="str">
        <f t="shared" si="94"/>
        <v>09/01/2025</v>
      </c>
      <c r="B204" t="str">
        <f t="shared" si="80"/>
        <v>ENTRADA</v>
      </c>
      <c r="C204" t="str">
        <f t="shared" si="84"/>
        <v>NFSE</v>
      </c>
      <c r="D204" t="str">
        <f t="shared" si="89"/>
        <v>2601</v>
      </c>
      <c r="E204" t="str">
        <f t="shared" si="82"/>
        <v>COM</v>
      </c>
      <c r="F204" t="str">
        <f t="shared" si="90"/>
        <v>FARMÁCIA INDIANA LJ 30 (10127)</v>
      </c>
      <c r="G204" t="str">
        <f t="shared" si="91"/>
        <v>Serv.Prest. 23/12/2024 a 29/12/2024 - RPS: 376 - NFSe: 2601</v>
      </c>
      <c r="H204" t="str">
        <f t="shared" si="92"/>
        <v>09/01/2025</v>
      </c>
      <c r="I204" t="str">
        <f t="shared" si="93"/>
        <v>02/01/2025</v>
      </c>
      <c r="J204" t="str">
        <f t="shared" si="83"/>
        <v>09/01/2025</v>
      </c>
      <c r="M204">
        <v>303</v>
      </c>
      <c r="N204" t="str">
        <f t="shared" si="86"/>
        <v>RECEITAS COM ENTREGAS</v>
      </c>
      <c r="P204">
        <v>160.07</v>
      </c>
      <c r="Q204" t="str">
        <f>"FARMÁCIA INDIANA LJ 145 (10068)"</f>
        <v>FARMÁCIA INDIANA LJ 145 (10068)</v>
      </c>
      <c r="R204" t="str">
        <f t="shared" si="87"/>
        <v>RECEITAS COM ENTREGAS (303)</v>
      </c>
      <c r="S204">
        <v>833</v>
      </c>
      <c r="T204">
        <v>686</v>
      </c>
      <c r="U204" t="s">
        <v>19</v>
      </c>
    </row>
    <row r="205" spans="1:21">
      <c r="A205" t="str">
        <f t="shared" si="94"/>
        <v>09/01/2025</v>
      </c>
      <c r="B205" t="str">
        <f t="shared" si="80"/>
        <v>ENTRADA</v>
      </c>
      <c r="C205" t="str">
        <f t="shared" si="84"/>
        <v>NFSE</v>
      </c>
      <c r="D205" t="str">
        <f t="shared" si="89"/>
        <v>2601</v>
      </c>
      <c r="E205" t="str">
        <f t="shared" si="82"/>
        <v>COM</v>
      </c>
      <c r="F205" t="str">
        <f t="shared" si="90"/>
        <v>FARMÁCIA INDIANA LJ 30 (10127)</v>
      </c>
      <c r="G205" t="str">
        <f t="shared" si="91"/>
        <v>Serv.Prest. 23/12/2024 a 29/12/2024 - RPS: 376 - NFSe: 2601</v>
      </c>
      <c r="H205" t="str">
        <f t="shared" si="92"/>
        <v>09/01/2025</v>
      </c>
      <c r="I205" t="str">
        <f t="shared" si="93"/>
        <v>02/01/2025</v>
      </c>
      <c r="J205" t="str">
        <f t="shared" si="83"/>
        <v>09/01/2025</v>
      </c>
      <c r="M205">
        <v>303</v>
      </c>
      <c r="N205" t="str">
        <f t="shared" si="86"/>
        <v>RECEITAS COM ENTREGAS</v>
      </c>
      <c r="P205">
        <v>62.26</v>
      </c>
      <c r="Q205" t="str">
        <f>"FARMÁCIA INDIANA LJ 169 (10073)"</f>
        <v>FARMÁCIA INDIANA LJ 169 (10073)</v>
      </c>
      <c r="R205" t="str">
        <f t="shared" si="87"/>
        <v>RECEITAS COM ENTREGAS (303)</v>
      </c>
      <c r="S205">
        <v>833</v>
      </c>
      <c r="T205">
        <v>686</v>
      </c>
      <c r="U205" t="s">
        <v>19</v>
      </c>
    </row>
    <row r="206" spans="1:21">
      <c r="A206" t="str">
        <f t="shared" si="94"/>
        <v>09/01/2025</v>
      </c>
      <c r="B206" t="str">
        <f t="shared" si="80"/>
        <v>ENTRADA</v>
      </c>
      <c r="C206" t="str">
        <f t="shared" si="84"/>
        <v>NFSE</v>
      </c>
      <c r="D206" t="str">
        <f t="shared" si="89"/>
        <v>2601</v>
      </c>
      <c r="E206" t="str">
        <f t="shared" ref="E206:E228" si="95">"COM"</f>
        <v>COM</v>
      </c>
      <c r="F206" t="str">
        <f t="shared" si="90"/>
        <v>FARMÁCIA INDIANA LJ 30 (10127)</v>
      </c>
      <c r="G206" t="str">
        <f t="shared" si="91"/>
        <v>Serv.Prest. 23/12/2024 a 29/12/2024 - RPS: 376 - NFSe: 2601</v>
      </c>
      <c r="H206" t="str">
        <f t="shared" si="92"/>
        <v>09/01/2025</v>
      </c>
      <c r="I206" t="str">
        <f t="shared" si="93"/>
        <v>02/01/2025</v>
      </c>
      <c r="J206" t="str">
        <f t="shared" ref="J206:J218" si="96">("09/01/2025")</f>
        <v>09/01/2025</v>
      </c>
      <c r="M206">
        <v>303</v>
      </c>
      <c r="N206" t="str">
        <f t="shared" si="86"/>
        <v>RECEITAS COM ENTREGAS</v>
      </c>
      <c r="P206">
        <v>160.07</v>
      </c>
      <c r="Q206" t="str">
        <f>"FARMÁCIA INDIANA LJ 173 (10075)"</f>
        <v>FARMÁCIA INDIANA LJ 173 (10075)</v>
      </c>
      <c r="R206" t="str">
        <f t="shared" si="87"/>
        <v>RECEITAS COM ENTREGAS (303)</v>
      </c>
      <c r="S206">
        <v>833</v>
      </c>
      <c r="T206">
        <v>686</v>
      </c>
      <c r="U206" t="s">
        <v>19</v>
      </c>
    </row>
    <row r="207" spans="1:21">
      <c r="A207" t="str">
        <f t="shared" si="94"/>
        <v>09/01/2025</v>
      </c>
      <c r="B207" t="str">
        <f t="shared" si="80"/>
        <v>ENTRADA</v>
      </c>
      <c r="C207" t="str">
        <f t="shared" si="84"/>
        <v>NFSE</v>
      </c>
      <c r="D207" t="str">
        <f t="shared" ref="D207:D212" si="97">"2602"</f>
        <v>2602</v>
      </c>
      <c r="E207" t="str">
        <f t="shared" si="95"/>
        <v>COM</v>
      </c>
      <c r="F207" t="str">
        <f t="shared" ref="F207:F212" si="98">"FARMÁCIA INDIANA LJ 85 (10128)"</f>
        <v>FARMÁCIA INDIANA LJ 85 (10128)</v>
      </c>
      <c r="G207" t="str">
        <f t="shared" ref="G207:G212" si="99">"Serv.Prest. 23/12/2024 a 29/12/2024 - RPS: 377 - NFSe: 2602"</f>
        <v>Serv.Prest. 23/12/2024 a 29/12/2024 - RPS: 377 - NFSe: 2602</v>
      </c>
      <c r="H207" t="str">
        <f t="shared" si="92"/>
        <v>09/01/2025</v>
      </c>
      <c r="I207" t="str">
        <f t="shared" si="93"/>
        <v>02/01/2025</v>
      </c>
      <c r="J207" t="str">
        <f t="shared" si="96"/>
        <v>09/01/2025</v>
      </c>
      <c r="K207">
        <v>696.84</v>
      </c>
      <c r="L207">
        <v>696.84</v>
      </c>
      <c r="M207">
        <v>303</v>
      </c>
      <c r="N207" t="str">
        <f t="shared" si="86"/>
        <v>RECEITAS COM ENTREGAS</v>
      </c>
      <c r="O207">
        <v>696.84</v>
      </c>
      <c r="R207" t="str">
        <f t="shared" si="87"/>
        <v>RECEITAS COM ENTREGAS (303)</v>
      </c>
      <c r="S207">
        <v>834</v>
      </c>
      <c r="T207">
        <v>687</v>
      </c>
      <c r="U207" t="s">
        <v>19</v>
      </c>
    </row>
    <row r="208" spans="1:21">
      <c r="A208" t="str">
        <f t="shared" si="94"/>
        <v>09/01/2025</v>
      </c>
      <c r="B208" t="str">
        <f t="shared" si="80"/>
        <v>ENTRADA</v>
      </c>
      <c r="C208" t="str">
        <f t="shared" ref="C208:C228" si="100">"NFSE"</f>
        <v>NFSE</v>
      </c>
      <c r="D208" t="str">
        <f t="shared" si="97"/>
        <v>2602</v>
      </c>
      <c r="E208" t="str">
        <f t="shared" si="95"/>
        <v>COM</v>
      </c>
      <c r="F208" t="str">
        <f t="shared" si="98"/>
        <v>FARMÁCIA INDIANA LJ 85 (10128)</v>
      </c>
      <c r="G208" t="str">
        <f t="shared" si="99"/>
        <v>Serv.Prest. 23/12/2024 a 29/12/2024 - RPS: 377 - NFSe: 2602</v>
      </c>
      <c r="H208" t="str">
        <f t="shared" si="92"/>
        <v>09/01/2025</v>
      </c>
      <c r="I208" t="str">
        <f t="shared" si="93"/>
        <v>02/01/2025</v>
      </c>
      <c r="J208" t="str">
        <f t="shared" si="96"/>
        <v>09/01/2025</v>
      </c>
      <c r="M208">
        <v>303</v>
      </c>
      <c r="N208" t="str">
        <f t="shared" ref="N208:N228" si="101">"RECEITAS COM ENTREGAS"</f>
        <v>RECEITAS COM ENTREGAS</v>
      </c>
      <c r="P208">
        <v>160.13999999999999</v>
      </c>
      <c r="Q208" t="str">
        <f>"FARMÁCIA INDIANA LJ 119 (10053)"</f>
        <v>FARMÁCIA INDIANA LJ 119 (10053)</v>
      </c>
      <c r="R208" t="str">
        <f t="shared" ref="R208:R228" si="102">"RECEITAS COM ENTREGAS (303)"</f>
        <v>RECEITAS COM ENTREGAS (303)</v>
      </c>
      <c r="S208">
        <v>834</v>
      </c>
      <c r="T208">
        <v>687</v>
      </c>
      <c r="U208" t="s">
        <v>19</v>
      </c>
    </row>
    <row r="209" spans="1:21">
      <c r="A209" t="str">
        <f t="shared" si="94"/>
        <v>09/01/2025</v>
      </c>
      <c r="B209" t="str">
        <f t="shared" ref="B209:B228" si="103">"ENTRADA"</f>
        <v>ENTRADA</v>
      </c>
      <c r="C209" t="str">
        <f t="shared" si="100"/>
        <v>NFSE</v>
      </c>
      <c r="D209" t="str">
        <f t="shared" si="97"/>
        <v>2602</v>
      </c>
      <c r="E209" t="str">
        <f t="shared" si="95"/>
        <v>COM</v>
      </c>
      <c r="F209" t="str">
        <f t="shared" si="98"/>
        <v>FARMÁCIA INDIANA LJ 85 (10128)</v>
      </c>
      <c r="G209" t="str">
        <f t="shared" si="99"/>
        <v>Serv.Prest. 23/12/2024 a 29/12/2024 - RPS: 377 - NFSe: 2602</v>
      </c>
      <c r="H209" t="str">
        <f t="shared" si="92"/>
        <v>09/01/2025</v>
      </c>
      <c r="I209" t="str">
        <f t="shared" si="93"/>
        <v>02/01/2025</v>
      </c>
      <c r="J209" t="str">
        <f t="shared" si="96"/>
        <v>09/01/2025</v>
      </c>
      <c r="M209">
        <v>303</v>
      </c>
      <c r="N209" t="str">
        <f t="shared" si="101"/>
        <v>RECEITAS COM ENTREGAS</v>
      </c>
      <c r="P209">
        <v>126.41</v>
      </c>
      <c r="Q209" t="str">
        <f>"FARMÁCIA INDIANA LJ 163 (10072)"</f>
        <v>FARMÁCIA INDIANA LJ 163 (10072)</v>
      </c>
      <c r="R209" t="str">
        <f t="shared" si="102"/>
        <v>RECEITAS COM ENTREGAS (303)</v>
      </c>
      <c r="S209">
        <v>834</v>
      </c>
      <c r="T209">
        <v>687</v>
      </c>
      <c r="U209" t="s">
        <v>19</v>
      </c>
    </row>
    <row r="210" spans="1:21">
      <c r="A210" t="str">
        <f t="shared" si="94"/>
        <v>09/01/2025</v>
      </c>
      <c r="B210" t="str">
        <f t="shared" si="103"/>
        <v>ENTRADA</v>
      </c>
      <c r="C210" t="str">
        <f t="shared" si="100"/>
        <v>NFSE</v>
      </c>
      <c r="D210" t="str">
        <f t="shared" si="97"/>
        <v>2602</v>
      </c>
      <c r="E210" t="str">
        <f t="shared" si="95"/>
        <v>COM</v>
      </c>
      <c r="F210" t="str">
        <f t="shared" si="98"/>
        <v>FARMÁCIA INDIANA LJ 85 (10128)</v>
      </c>
      <c r="G210" t="str">
        <f t="shared" si="99"/>
        <v>Serv.Prest. 23/12/2024 a 29/12/2024 - RPS: 377 - NFSe: 2602</v>
      </c>
      <c r="H210" t="str">
        <f t="shared" si="92"/>
        <v>09/01/2025</v>
      </c>
      <c r="I210" t="str">
        <f t="shared" si="93"/>
        <v>02/01/2025</v>
      </c>
      <c r="J210" t="str">
        <f t="shared" si="96"/>
        <v>09/01/2025</v>
      </c>
      <c r="M210">
        <v>303</v>
      </c>
      <c r="N210" t="str">
        <f t="shared" si="101"/>
        <v>RECEITAS COM ENTREGAS</v>
      </c>
      <c r="P210">
        <v>68.010000000000005</v>
      </c>
      <c r="Q210" t="str">
        <f>"FARMÁCIA INDIANA LJ 181 (10078)"</f>
        <v>FARMÁCIA INDIANA LJ 181 (10078)</v>
      </c>
      <c r="R210" t="str">
        <f t="shared" si="102"/>
        <v>RECEITAS COM ENTREGAS (303)</v>
      </c>
      <c r="S210">
        <v>834</v>
      </c>
      <c r="T210">
        <v>687</v>
      </c>
      <c r="U210" t="s">
        <v>19</v>
      </c>
    </row>
    <row r="211" spans="1:21">
      <c r="A211" t="str">
        <f t="shared" si="94"/>
        <v>09/01/2025</v>
      </c>
      <c r="B211" t="str">
        <f t="shared" si="103"/>
        <v>ENTRADA</v>
      </c>
      <c r="C211" t="str">
        <f t="shared" si="100"/>
        <v>NFSE</v>
      </c>
      <c r="D211" t="str">
        <f t="shared" si="97"/>
        <v>2602</v>
      </c>
      <c r="E211" t="str">
        <f t="shared" si="95"/>
        <v>COM</v>
      </c>
      <c r="F211" t="str">
        <f t="shared" si="98"/>
        <v>FARMÁCIA INDIANA LJ 85 (10128)</v>
      </c>
      <c r="G211" t="str">
        <f t="shared" si="99"/>
        <v>Serv.Prest. 23/12/2024 a 29/12/2024 - RPS: 377 - NFSe: 2602</v>
      </c>
      <c r="H211" t="str">
        <f t="shared" si="92"/>
        <v>09/01/2025</v>
      </c>
      <c r="I211" t="str">
        <f t="shared" si="93"/>
        <v>02/01/2025</v>
      </c>
      <c r="J211" t="str">
        <f t="shared" si="96"/>
        <v>09/01/2025</v>
      </c>
      <c r="M211">
        <v>303</v>
      </c>
      <c r="N211" t="str">
        <f t="shared" si="101"/>
        <v>RECEITAS COM ENTREGAS</v>
      </c>
      <c r="P211">
        <v>160.13</v>
      </c>
      <c r="Q211" t="str">
        <f>"FARMÁCIA INDIANA LJ 221 (10093)"</f>
        <v>FARMÁCIA INDIANA LJ 221 (10093)</v>
      </c>
      <c r="R211" t="str">
        <f t="shared" si="102"/>
        <v>RECEITAS COM ENTREGAS (303)</v>
      </c>
      <c r="S211">
        <v>834</v>
      </c>
      <c r="T211">
        <v>687</v>
      </c>
      <c r="U211" t="s">
        <v>19</v>
      </c>
    </row>
    <row r="212" spans="1:21">
      <c r="A212" t="str">
        <f t="shared" si="94"/>
        <v>09/01/2025</v>
      </c>
      <c r="B212" t="str">
        <f t="shared" si="103"/>
        <v>ENTRADA</v>
      </c>
      <c r="C212" t="str">
        <f t="shared" si="100"/>
        <v>NFSE</v>
      </c>
      <c r="D212" t="str">
        <f t="shared" si="97"/>
        <v>2602</v>
      </c>
      <c r="E212" t="str">
        <f t="shared" si="95"/>
        <v>COM</v>
      </c>
      <c r="F212" t="str">
        <f t="shared" si="98"/>
        <v>FARMÁCIA INDIANA LJ 85 (10128)</v>
      </c>
      <c r="G212" t="str">
        <f t="shared" si="99"/>
        <v>Serv.Prest. 23/12/2024 a 29/12/2024 - RPS: 377 - NFSe: 2602</v>
      </c>
      <c r="H212" t="str">
        <f t="shared" si="92"/>
        <v>09/01/2025</v>
      </c>
      <c r="I212" t="str">
        <f t="shared" si="93"/>
        <v>02/01/2025</v>
      </c>
      <c r="J212" t="str">
        <f t="shared" si="96"/>
        <v>09/01/2025</v>
      </c>
      <c r="M212">
        <v>303</v>
      </c>
      <c r="N212" t="str">
        <f t="shared" si="101"/>
        <v>RECEITAS COM ENTREGAS</v>
      </c>
      <c r="P212">
        <v>182.15</v>
      </c>
      <c r="Q212" t="str">
        <f>"FARMÁCIA INDIANA LJ 243 (10142)"</f>
        <v>FARMÁCIA INDIANA LJ 243 (10142)</v>
      </c>
      <c r="R212" t="str">
        <f t="shared" si="102"/>
        <v>RECEITAS COM ENTREGAS (303)</v>
      </c>
      <c r="S212">
        <v>834</v>
      </c>
      <c r="T212">
        <v>687</v>
      </c>
      <c r="U212" t="s">
        <v>19</v>
      </c>
    </row>
    <row r="213" spans="1:21">
      <c r="A213" t="str">
        <f t="shared" si="94"/>
        <v>09/01/2025</v>
      </c>
      <c r="B213" t="str">
        <f t="shared" si="103"/>
        <v>ENTRADA</v>
      </c>
      <c r="C213" t="str">
        <f t="shared" si="100"/>
        <v>NFSE</v>
      </c>
      <c r="D213" t="str">
        <f>"2605"</f>
        <v>2605</v>
      </c>
      <c r="E213" t="str">
        <f t="shared" si="95"/>
        <v>COM</v>
      </c>
      <c r="F213" t="str">
        <f>"DROGARIA POUPA MINAS (DOIS AMIGOS) 5 (10140)"</f>
        <v>DROGARIA POUPA MINAS (DOIS AMIGOS) 5 (10140)</v>
      </c>
      <c r="G213" t="str">
        <f>"Serv.Prest. 01/12/2024 a 31/12/2024 - RPS: 379 - NFSe: 2605"</f>
        <v>Serv.Prest. 01/12/2024 a 31/12/2024 - RPS: 379 - NFSe: 2605</v>
      </c>
      <c r="H213" t="str">
        <f t="shared" si="92"/>
        <v>09/01/2025</v>
      </c>
      <c r="I213" t="str">
        <f>("04/01/2025")</f>
        <v>04/01/2025</v>
      </c>
      <c r="J213" t="str">
        <f t="shared" si="96"/>
        <v>09/01/2025</v>
      </c>
      <c r="K213">
        <v>788.06</v>
      </c>
      <c r="L213">
        <v>788.06</v>
      </c>
      <c r="M213">
        <v>303</v>
      </c>
      <c r="N213" t="str">
        <f t="shared" si="101"/>
        <v>RECEITAS COM ENTREGAS</v>
      </c>
      <c r="O213">
        <v>788.06</v>
      </c>
      <c r="R213" t="str">
        <f t="shared" si="102"/>
        <v>RECEITAS COM ENTREGAS (303)</v>
      </c>
      <c r="S213">
        <v>835</v>
      </c>
      <c r="T213">
        <v>689</v>
      </c>
      <c r="U213" t="s">
        <v>19</v>
      </c>
    </row>
    <row r="214" spans="1:21">
      <c r="A214" t="str">
        <f t="shared" si="94"/>
        <v>09/01/2025</v>
      </c>
      <c r="B214" t="str">
        <f t="shared" si="103"/>
        <v>ENTRADA</v>
      </c>
      <c r="C214" t="str">
        <f t="shared" si="100"/>
        <v>NFSE</v>
      </c>
      <c r="D214" t="str">
        <f>"2605"</f>
        <v>2605</v>
      </c>
      <c r="E214" t="str">
        <f t="shared" si="95"/>
        <v>COM</v>
      </c>
      <c r="F214" t="str">
        <f>"DROGARIA POUPA MINAS (DOIS AMIGOS) 5 (10140)"</f>
        <v>DROGARIA POUPA MINAS (DOIS AMIGOS) 5 (10140)</v>
      </c>
      <c r="G214" t="str">
        <f>"Serv.Prest. 01/12/2024 a 31/12/2024 - RPS: 379 - NFSe: 2605"</f>
        <v>Serv.Prest. 01/12/2024 a 31/12/2024 - RPS: 379 - NFSe: 2605</v>
      </c>
      <c r="H214" t="str">
        <f t="shared" si="92"/>
        <v>09/01/2025</v>
      </c>
      <c r="I214" t="str">
        <f>("04/01/2025")</f>
        <v>04/01/2025</v>
      </c>
      <c r="J214" t="str">
        <f t="shared" si="96"/>
        <v>09/01/2025</v>
      </c>
      <c r="M214">
        <v>303</v>
      </c>
      <c r="N214" t="str">
        <f t="shared" si="101"/>
        <v>RECEITAS COM ENTREGAS</v>
      </c>
      <c r="P214">
        <v>788.06</v>
      </c>
      <c r="Q214" t="str">
        <f>"DROGARIA POUPA MINAS (ULTRAMINAS) (10116)"</f>
        <v>DROGARIA POUPA MINAS (ULTRAMINAS) (10116)</v>
      </c>
      <c r="R214" t="str">
        <f t="shared" si="102"/>
        <v>RECEITAS COM ENTREGAS (303)</v>
      </c>
      <c r="S214">
        <v>835</v>
      </c>
      <c r="T214">
        <v>689</v>
      </c>
      <c r="U214" t="s">
        <v>19</v>
      </c>
    </row>
    <row r="215" spans="1:21">
      <c r="A215" t="str">
        <f t="shared" si="94"/>
        <v>09/01/2025</v>
      </c>
      <c r="B215" t="str">
        <f t="shared" si="103"/>
        <v>ENTRADA</v>
      </c>
      <c r="C215" t="str">
        <f t="shared" si="100"/>
        <v>NFSE</v>
      </c>
      <c r="D215" t="str">
        <f>"2614"</f>
        <v>2614</v>
      </c>
      <c r="E215" t="str">
        <f t="shared" si="95"/>
        <v>COM</v>
      </c>
      <c r="F215" t="str">
        <f>"DROGARIA POUPA MINAS (DOIS AMIGOS) 5 (10140)"</f>
        <v>DROGARIA POUPA MINAS (DOIS AMIGOS) 5 (10140)</v>
      </c>
      <c r="G215" t="str">
        <f>"Serv.Prest. 30/12/2024 a 05/01/2025 - RPS: 388 - NFSe: 2614"</f>
        <v>Serv.Prest. 30/12/2024 a 05/01/2025 - RPS: 388 - NFSe: 2614</v>
      </c>
      <c r="H215" t="str">
        <f t="shared" si="92"/>
        <v>09/01/2025</v>
      </c>
      <c r="I215" t="str">
        <f t="shared" ref="I215:I220" si="104">("06/01/2025")</f>
        <v>06/01/2025</v>
      </c>
      <c r="J215" t="str">
        <f t="shared" si="96"/>
        <v>09/01/2025</v>
      </c>
      <c r="K215">
        <v>714.07</v>
      </c>
      <c r="L215">
        <v>714.07</v>
      </c>
      <c r="M215">
        <v>303</v>
      </c>
      <c r="N215" t="str">
        <f t="shared" si="101"/>
        <v>RECEITAS COM ENTREGAS</v>
      </c>
      <c r="O215">
        <v>714.07</v>
      </c>
      <c r="R215" t="str">
        <f t="shared" si="102"/>
        <v>RECEITAS COM ENTREGAS (303)</v>
      </c>
      <c r="S215">
        <v>836</v>
      </c>
      <c r="T215">
        <v>698</v>
      </c>
      <c r="U215" t="s">
        <v>19</v>
      </c>
    </row>
    <row r="216" spans="1:21">
      <c r="A216" t="str">
        <f t="shared" si="94"/>
        <v>09/01/2025</v>
      </c>
      <c r="B216" t="str">
        <f t="shared" si="103"/>
        <v>ENTRADA</v>
      </c>
      <c r="C216" t="str">
        <f t="shared" si="100"/>
        <v>NFSE</v>
      </c>
      <c r="D216" t="str">
        <f>"2614"</f>
        <v>2614</v>
      </c>
      <c r="E216" t="str">
        <f t="shared" si="95"/>
        <v>COM</v>
      </c>
      <c r="F216" t="str">
        <f>"DROGARIA POUPA MINAS (DOIS AMIGOS) 5 (10140)"</f>
        <v>DROGARIA POUPA MINAS (DOIS AMIGOS) 5 (10140)</v>
      </c>
      <c r="G216" t="str">
        <f>"Serv.Prest. 30/12/2024 a 05/01/2025 - RPS: 388 - NFSe: 2614"</f>
        <v>Serv.Prest. 30/12/2024 a 05/01/2025 - RPS: 388 - NFSe: 2614</v>
      </c>
      <c r="H216" t="str">
        <f t="shared" si="92"/>
        <v>09/01/2025</v>
      </c>
      <c r="I216" t="str">
        <f t="shared" si="104"/>
        <v>06/01/2025</v>
      </c>
      <c r="J216" t="str">
        <f t="shared" si="96"/>
        <v>09/01/2025</v>
      </c>
      <c r="M216">
        <v>303</v>
      </c>
      <c r="N216" t="str">
        <f t="shared" si="101"/>
        <v>RECEITAS COM ENTREGAS</v>
      </c>
      <c r="P216">
        <v>714.07</v>
      </c>
      <c r="Q216" t="str">
        <f>"DROGARIA POUPA MINAS (ULTRAMINAS) (10116)"</f>
        <v>DROGARIA POUPA MINAS (ULTRAMINAS) (10116)</v>
      </c>
      <c r="R216" t="str">
        <f t="shared" si="102"/>
        <v>RECEITAS COM ENTREGAS (303)</v>
      </c>
      <c r="S216">
        <v>836</v>
      </c>
      <c r="T216">
        <v>698</v>
      </c>
      <c r="U216" t="s">
        <v>19</v>
      </c>
    </row>
    <row r="217" spans="1:21">
      <c r="A217" t="str">
        <f t="shared" si="94"/>
        <v>09/01/2025</v>
      </c>
      <c r="B217" t="str">
        <f t="shared" si="103"/>
        <v>ENTRADA</v>
      </c>
      <c r="C217" t="str">
        <f t="shared" si="100"/>
        <v>NFSE</v>
      </c>
      <c r="D217" t="str">
        <f>"2613"</f>
        <v>2613</v>
      </c>
      <c r="E217" t="str">
        <f t="shared" si="95"/>
        <v>COM</v>
      </c>
      <c r="F217" t="str">
        <f>"DROGARIA POUPA MINAS (ULTRAMINAS) 3 (10129)"</f>
        <v>DROGARIA POUPA MINAS (ULTRAMINAS) 3 (10129)</v>
      </c>
      <c r="G217" t="str">
        <f>"Serv.Prest. 30/12/2024 a 05/01/2025 - RPS: 387 - NFSe: 2613"</f>
        <v>Serv.Prest. 30/12/2024 a 05/01/2025 - RPS: 387 - NFSe: 2613</v>
      </c>
      <c r="H217" t="str">
        <f t="shared" si="92"/>
        <v>09/01/2025</v>
      </c>
      <c r="I217" t="str">
        <f t="shared" si="104"/>
        <v>06/01/2025</v>
      </c>
      <c r="J217" t="str">
        <f t="shared" si="96"/>
        <v>09/01/2025</v>
      </c>
      <c r="K217">
        <v>274.56</v>
      </c>
      <c r="L217">
        <v>274.56</v>
      </c>
      <c r="M217">
        <v>303</v>
      </c>
      <c r="N217" t="str">
        <f t="shared" si="101"/>
        <v>RECEITAS COM ENTREGAS</v>
      </c>
      <c r="O217">
        <v>274.56</v>
      </c>
      <c r="R217" t="str">
        <f t="shared" si="102"/>
        <v>RECEITAS COM ENTREGAS (303)</v>
      </c>
      <c r="S217">
        <v>862</v>
      </c>
      <c r="T217">
        <v>697</v>
      </c>
      <c r="U217" t="s">
        <v>19</v>
      </c>
    </row>
    <row r="218" spans="1:21">
      <c r="A218" t="str">
        <f t="shared" si="94"/>
        <v>09/01/2025</v>
      </c>
      <c r="B218" t="str">
        <f t="shared" si="103"/>
        <v>ENTRADA</v>
      </c>
      <c r="C218" t="str">
        <f t="shared" si="100"/>
        <v>NFSE</v>
      </c>
      <c r="D218" t="str">
        <f>"2613"</f>
        <v>2613</v>
      </c>
      <c r="E218" t="str">
        <f t="shared" si="95"/>
        <v>COM</v>
      </c>
      <c r="F218" t="str">
        <f>"DROGARIA POUPA MINAS (ULTRAMINAS) 3 (10129)"</f>
        <v>DROGARIA POUPA MINAS (ULTRAMINAS) 3 (10129)</v>
      </c>
      <c r="G218" t="str">
        <f>"Serv.Prest. 30/12/2024 a 05/01/2025 - RPS: 387 - NFSe: 2613"</f>
        <v>Serv.Prest. 30/12/2024 a 05/01/2025 - RPS: 387 - NFSe: 2613</v>
      </c>
      <c r="H218" t="str">
        <f t="shared" si="92"/>
        <v>09/01/2025</v>
      </c>
      <c r="I218" t="str">
        <f t="shared" si="104"/>
        <v>06/01/2025</v>
      </c>
      <c r="J218" t="str">
        <f t="shared" si="96"/>
        <v>09/01/2025</v>
      </c>
      <c r="M218">
        <v>303</v>
      </c>
      <c r="N218" t="str">
        <f t="shared" si="101"/>
        <v>RECEITAS COM ENTREGAS</v>
      </c>
      <c r="P218">
        <v>274.56</v>
      </c>
      <c r="Q218" t="str">
        <f>"DROGARIA POUPA MINAS (ULTRAMINAS) 3 (10129)"</f>
        <v>DROGARIA POUPA MINAS (ULTRAMINAS) 3 (10129)</v>
      </c>
      <c r="R218" t="str">
        <f t="shared" si="102"/>
        <v>RECEITAS COM ENTREGAS (303)</v>
      </c>
      <c r="S218">
        <v>862</v>
      </c>
      <c r="T218">
        <v>697</v>
      </c>
      <c r="U218" t="s">
        <v>19</v>
      </c>
    </row>
    <row r="219" spans="1:21">
      <c r="A219" t="str">
        <f t="shared" ref="A219:A233" si="105">("10/01/2025")</f>
        <v>10/01/2025</v>
      </c>
      <c r="B219" t="str">
        <f t="shared" si="103"/>
        <v>ENTRADA</v>
      </c>
      <c r="C219" t="str">
        <f t="shared" si="100"/>
        <v>NFSE</v>
      </c>
      <c r="D219" t="str">
        <f>"2610"</f>
        <v>2610</v>
      </c>
      <c r="E219" t="str">
        <f t="shared" si="95"/>
        <v>COM</v>
      </c>
      <c r="F219" t="str">
        <f>"FARMACIA ECONOMIZE (10103)"</f>
        <v>FARMACIA ECONOMIZE (10103)</v>
      </c>
      <c r="G219" t="str">
        <f>"Serv.Prest. 30/12/2024 a 05/01/2025 - RPS: 384 - NFSe: 2610"</f>
        <v>Serv.Prest. 30/12/2024 a 05/01/2025 - RPS: 384 - NFSe: 2610</v>
      </c>
      <c r="H219" t="str">
        <f>("08/01/2025")</f>
        <v>08/01/2025</v>
      </c>
      <c r="I219" t="str">
        <f t="shared" si="104"/>
        <v>06/01/2025</v>
      </c>
      <c r="J219" t="str">
        <f t="shared" ref="J219:J233" si="106">("10/01/2025")</f>
        <v>10/01/2025</v>
      </c>
      <c r="K219">
        <v>108.12</v>
      </c>
      <c r="L219">
        <v>110.31</v>
      </c>
      <c r="M219">
        <v>303</v>
      </c>
      <c r="N219" t="str">
        <f t="shared" si="101"/>
        <v>RECEITAS COM ENTREGAS</v>
      </c>
      <c r="O219">
        <v>110.31</v>
      </c>
      <c r="R219" t="str">
        <f t="shared" si="102"/>
        <v>RECEITAS COM ENTREGAS (303)</v>
      </c>
      <c r="S219">
        <v>839</v>
      </c>
      <c r="T219">
        <v>694</v>
      </c>
      <c r="U219" t="s">
        <v>19</v>
      </c>
    </row>
    <row r="220" spans="1:21">
      <c r="A220" t="str">
        <f t="shared" si="105"/>
        <v>10/01/2025</v>
      </c>
      <c r="B220" t="str">
        <f t="shared" si="103"/>
        <v>ENTRADA</v>
      </c>
      <c r="C220" t="str">
        <f t="shared" si="100"/>
        <v>NFSE</v>
      </c>
      <c r="D220" t="str">
        <f>"2610"</f>
        <v>2610</v>
      </c>
      <c r="E220" t="str">
        <f t="shared" si="95"/>
        <v>COM</v>
      </c>
      <c r="F220" t="str">
        <f>"FARMACIA ECONOMIZE (10103)"</f>
        <v>FARMACIA ECONOMIZE (10103)</v>
      </c>
      <c r="G220" t="str">
        <f>"Serv.Prest. 30/12/2024 a 05/01/2025 - RPS: 384 - NFSe: 2610"</f>
        <v>Serv.Prest. 30/12/2024 a 05/01/2025 - RPS: 384 - NFSe: 2610</v>
      </c>
      <c r="H220" t="str">
        <f>("08/01/2025")</f>
        <v>08/01/2025</v>
      </c>
      <c r="I220" t="str">
        <f t="shared" si="104"/>
        <v>06/01/2025</v>
      </c>
      <c r="J220" t="str">
        <f t="shared" si="106"/>
        <v>10/01/2025</v>
      </c>
      <c r="M220">
        <v>303</v>
      </c>
      <c r="N220" t="str">
        <f t="shared" si="101"/>
        <v>RECEITAS COM ENTREGAS</v>
      </c>
      <c r="P220">
        <v>110.31</v>
      </c>
      <c r="Q220" t="str">
        <f>"FARMACIA ECONOMIZE (10103)"</f>
        <v>FARMACIA ECONOMIZE (10103)</v>
      </c>
      <c r="R220" t="str">
        <f t="shared" si="102"/>
        <v>RECEITAS COM ENTREGAS (303)</v>
      </c>
      <c r="S220">
        <v>839</v>
      </c>
      <c r="T220">
        <v>694</v>
      </c>
      <c r="U220" t="s">
        <v>19</v>
      </c>
    </row>
    <row r="221" spans="1:21">
      <c r="A221" t="str">
        <f t="shared" si="105"/>
        <v>10/01/2025</v>
      </c>
      <c r="B221" t="str">
        <f t="shared" si="103"/>
        <v>ENTRADA</v>
      </c>
      <c r="C221" t="str">
        <f t="shared" si="100"/>
        <v>NFSE</v>
      </c>
      <c r="D221" t="str">
        <f>"2589"</f>
        <v>2589</v>
      </c>
      <c r="E221" t="str">
        <f t="shared" si="95"/>
        <v>COM</v>
      </c>
      <c r="F221" t="str">
        <f>"FARMACIA CRISTAL (10125)"</f>
        <v>FARMACIA CRISTAL (10125)</v>
      </c>
      <c r="G221" t="str">
        <f>"Serv.Prest. 23/12/2024 a 29/12/2024 - RPS: 364 - NFSe: 2589"</f>
        <v>Serv.Prest. 23/12/2024 a 29/12/2024 - RPS: 364 - NFSe: 2589</v>
      </c>
      <c r="H221" t="str">
        <f>("01/01/2025")</f>
        <v>01/01/2025</v>
      </c>
      <c r="I221" t="str">
        <f>("30/12/2024")</f>
        <v>30/12/2024</v>
      </c>
      <c r="J221" t="str">
        <f t="shared" si="106"/>
        <v>10/01/2025</v>
      </c>
      <c r="K221">
        <v>256.26</v>
      </c>
      <c r="L221">
        <v>262.06</v>
      </c>
      <c r="M221">
        <v>303</v>
      </c>
      <c r="N221" t="str">
        <f t="shared" si="101"/>
        <v>RECEITAS COM ENTREGAS</v>
      </c>
      <c r="O221">
        <v>262.06</v>
      </c>
      <c r="R221" t="str">
        <f t="shared" si="102"/>
        <v>RECEITAS COM ENTREGAS (303)</v>
      </c>
      <c r="S221">
        <v>840</v>
      </c>
      <c r="T221">
        <v>674</v>
      </c>
      <c r="U221" t="s">
        <v>19</v>
      </c>
    </row>
    <row r="222" spans="1:21">
      <c r="A222" t="str">
        <f t="shared" si="105"/>
        <v>10/01/2025</v>
      </c>
      <c r="B222" t="str">
        <f t="shared" si="103"/>
        <v>ENTRADA</v>
      </c>
      <c r="C222" t="str">
        <f t="shared" si="100"/>
        <v>NFSE</v>
      </c>
      <c r="D222" t="str">
        <f>"2589"</f>
        <v>2589</v>
      </c>
      <c r="E222" t="str">
        <f t="shared" si="95"/>
        <v>COM</v>
      </c>
      <c r="F222" t="str">
        <f>"FARMACIA CRISTAL (10125)"</f>
        <v>FARMACIA CRISTAL (10125)</v>
      </c>
      <c r="G222" t="str">
        <f>"Serv.Prest. 23/12/2024 a 29/12/2024 - RPS: 364 - NFSe: 2589"</f>
        <v>Serv.Prest. 23/12/2024 a 29/12/2024 - RPS: 364 - NFSe: 2589</v>
      </c>
      <c r="H222" t="str">
        <f>("01/01/2025")</f>
        <v>01/01/2025</v>
      </c>
      <c r="I222" t="str">
        <f>("30/12/2024")</f>
        <v>30/12/2024</v>
      </c>
      <c r="J222" t="str">
        <f t="shared" si="106"/>
        <v>10/01/2025</v>
      </c>
      <c r="M222">
        <v>303</v>
      </c>
      <c r="N222" t="str">
        <f t="shared" si="101"/>
        <v>RECEITAS COM ENTREGAS</v>
      </c>
      <c r="P222">
        <v>262.06</v>
      </c>
      <c r="Q222" t="str">
        <f>"FARMACIA CRISTAL (10125)"</f>
        <v>FARMACIA CRISTAL (10125)</v>
      </c>
      <c r="R222" t="str">
        <f t="shared" si="102"/>
        <v>RECEITAS COM ENTREGAS (303)</v>
      </c>
      <c r="S222">
        <v>840</v>
      </c>
      <c r="T222">
        <v>674</v>
      </c>
      <c r="U222" t="s">
        <v>19</v>
      </c>
    </row>
    <row r="223" spans="1:21">
      <c r="A223" t="str">
        <f t="shared" si="105"/>
        <v>10/01/2025</v>
      </c>
      <c r="B223" t="str">
        <f t="shared" si="103"/>
        <v>ENTRADA</v>
      </c>
      <c r="C223" t="str">
        <f t="shared" si="100"/>
        <v>NFSE</v>
      </c>
      <c r="D223" t="str">
        <f>"2618"</f>
        <v>2618</v>
      </c>
      <c r="E223" t="str">
        <f t="shared" si="95"/>
        <v>COM</v>
      </c>
      <c r="F223" t="str">
        <f>"FARMACIA CRISTAL (10125)"</f>
        <v>FARMACIA CRISTAL (10125)</v>
      </c>
      <c r="G223" t="str">
        <f>"Serv.Prest. 30/12/2024 a 05/01/2025 - RPS: 392 - NFSe: 2618"</f>
        <v>Serv.Prest. 30/12/2024 a 05/01/2025 - RPS: 392 - NFSe: 2618</v>
      </c>
      <c r="H223" t="str">
        <f>("08/01/2025")</f>
        <v>08/01/2025</v>
      </c>
      <c r="I223" t="str">
        <f>("06/01/2025")</f>
        <v>06/01/2025</v>
      </c>
      <c r="J223" t="str">
        <f t="shared" si="106"/>
        <v>10/01/2025</v>
      </c>
      <c r="K223">
        <v>256.26</v>
      </c>
      <c r="L223">
        <v>261.45999999999998</v>
      </c>
      <c r="M223">
        <v>303</v>
      </c>
      <c r="N223" t="str">
        <f t="shared" si="101"/>
        <v>RECEITAS COM ENTREGAS</v>
      </c>
      <c r="O223">
        <v>261.45999999999998</v>
      </c>
      <c r="R223" t="str">
        <f t="shared" si="102"/>
        <v>RECEITAS COM ENTREGAS (303)</v>
      </c>
      <c r="S223">
        <v>841</v>
      </c>
      <c r="T223">
        <v>706</v>
      </c>
      <c r="U223" t="s">
        <v>19</v>
      </c>
    </row>
    <row r="224" spans="1:21">
      <c r="A224" t="str">
        <f t="shared" si="105"/>
        <v>10/01/2025</v>
      </c>
      <c r="B224" t="str">
        <f t="shared" si="103"/>
        <v>ENTRADA</v>
      </c>
      <c r="C224" t="str">
        <f t="shared" si="100"/>
        <v>NFSE</v>
      </c>
      <c r="D224" t="str">
        <f>"2618"</f>
        <v>2618</v>
      </c>
      <c r="E224" t="str">
        <f t="shared" si="95"/>
        <v>COM</v>
      </c>
      <c r="F224" t="str">
        <f>"FARMACIA CRISTAL (10125)"</f>
        <v>FARMACIA CRISTAL (10125)</v>
      </c>
      <c r="G224" t="str">
        <f>"Serv.Prest. 30/12/2024 a 05/01/2025 - RPS: 392 - NFSe: 2618"</f>
        <v>Serv.Prest. 30/12/2024 a 05/01/2025 - RPS: 392 - NFSe: 2618</v>
      </c>
      <c r="H224" t="str">
        <f>("08/01/2025")</f>
        <v>08/01/2025</v>
      </c>
      <c r="I224" t="str">
        <f>("06/01/2025")</f>
        <v>06/01/2025</v>
      </c>
      <c r="J224" t="str">
        <f t="shared" si="106"/>
        <v>10/01/2025</v>
      </c>
      <c r="M224">
        <v>303</v>
      </c>
      <c r="N224" t="str">
        <f t="shared" si="101"/>
        <v>RECEITAS COM ENTREGAS</v>
      </c>
      <c r="P224">
        <v>261.45999999999998</v>
      </c>
      <c r="Q224" t="str">
        <f>"FARMACIA CRISTAL (10125)"</f>
        <v>FARMACIA CRISTAL (10125)</v>
      </c>
      <c r="R224" t="str">
        <f t="shared" si="102"/>
        <v>RECEITAS COM ENTREGAS (303)</v>
      </c>
      <c r="S224">
        <v>841</v>
      </c>
      <c r="T224">
        <v>706</v>
      </c>
      <c r="U224" t="s">
        <v>19</v>
      </c>
    </row>
    <row r="225" spans="1:21">
      <c r="A225" t="str">
        <f t="shared" si="105"/>
        <v>10/01/2025</v>
      </c>
      <c r="B225" t="str">
        <f t="shared" si="103"/>
        <v>ENTRADA</v>
      </c>
      <c r="C225" t="str">
        <f t="shared" si="100"/>
        <v>NFSE</v>
      </c>
      <c r="D225" t="str">
        <f>"2592"</f>
        <v>2592</v>
      </c>
      <c r="E225" t="str">
        <f t="shared" si="95"/>
        <v>COM</v>
      </c>
      <c r="F225" t="str">
        <f>"PAGMENOS - LJ 608 (10135)"</f>
        <v>PAGMENOS - LJ 608 (10135)</v>
      </c>
      <c r="G225" t="str">
        <f>"Serv.Prest. 23/12/2024 a 29/12/2024 - RPS: 367 - NFSe: 2592"</f>
        <v>Serv.Prest. 23/12/2024 a 29/12/2024 - RPS: 367 - NFSe: 2592</v>
      </c>
      <c r="H225" t="str">
        <f>("09/01/2025")</f>
        <v>09/01/2025</v>
      </c>
      <c r="I225" t="str">
        <f>("30/12/2024")</f>
        <v>30/12/2024</v>
      </c>
      <c r="J225" t="str">
        <f t="shared" si="106"/>
        <v>10/01/2025</v>
      </c>
      <c r="K225">
        <v>280.20999999999998</v>
      </c>
      <c r="L225">
        <v>280.20999999999998</v>
      </c>
      <c r="M225">
        <v>303</v>
      </c>
      <c r="N225" t="str">
        <f t="shared" si="101"/>
        <v>RECEITAS COM ENTREGAS</v>
      </c>
      <c r="O225">
        <v>280.20999999999998</v>
      </c>
      <c r="R225" t="str">
        <f t="shared" si="102"/>
        <v>RECEITAS COM ENTREGAS (303)</v>
      </c>
      <c r="S225">
        <v>842</v>
      </c>
      <c r="T225">
        <v>677</v>
      </c>
      <c r="U225" t="s">
        <v>19</v>
      </c>
    </row>
    <row r="226" spans="1:21">
      <c r="A226" t="str">
        <f t="shared" si="105"/>
        <v>10/01/2025</v>
      </c>
      <c r="B226" t="str">
        <f t="shared" si="103"/>
        <v>ENTRADA</v>
      </c>
      <c r="C226" t="str">
        <f t="shared" si="100"/>
        <v>NFSE</v>
      </c>
      <c r="D226" t="str">
        <f>"2592"</f>
        <v>2592</v>
      </c>
      <c r="E226" t="str">
        <f t="shared" si="95"/>
        <v>COM</v>
      </c>
      <c r="F226" t="str">
        <f>"PAGMENOS - LJ 608 (10135)"</f>
        <v>PAGMENOS - LJ 608 (10135)</v>
      </c>
      <c r="G226" t="str">
        <f>"Serv.Prest. 23/12/2024 a 29/12/2024 - RPS: 367 - NFSe: 2592"</f>
        <v>Serv.Prest. 23/12/2024 a 29/12/2024 - RPS: 367 - NFSe: 2592</v>
      </c>
      <c r="H226" t="str">
        <f>("09/01/2025")</f>
        <v>09/01/2025</v>
      </c>
      <c r="I226" t="str">
        <f>("30/12/2024")</f>
        <v>30/12/2024</v>
      </c>
      <c r="J226" t="str">
        <f t="shared" si="106"/>
        <v>10/01/2025</v>
      </c>
      <c r="M226">
        <v>303</v>
      </c>
      <c r="N226" t="str">
        <f t="shared" si="101"/>
        <v>RECEITAS COM ENTREGAS</v>
      </c>
      <c r="P226">
        <v>280.20999999999998</v>
      </c>
      <c r="Q226" t="str">
        <f>"PAGMENOS - LJ 608 (10135)"</f>
        <v>PAGMENOS - LJ 608 (10135)</v>
      </c>
      <c r="R226" t="str">
        <f t="shared" si="102"/>
        <v>RECEITAS COM ENTREGAS (303)</v>
      </c>
      <c r="S226">
        <v>842</v>
      </c>
      <c r="T226">
        <v>677</v>
      </c>
      <c r="U226" t="s">
        <v>19</v>
      </c>
    </row>
    <row r="227" spans="1:21">
      <c r="A227" t="str">
        <f t="shared" si="105"/>
        <v>10/01/2025</v>
      </c>
      <c r="B227" t="str">
        <f t="shared" si="103"/>
        <v>ENTRADA</v>
      </c>
      <c r="C227" t="str">
        <f t="shared" si="100"/>
        <v>NFSE</v>
      </c>
      <c r="D227" t="str">
        <f>"2593"</f>
        <v>2593</v>
      </c>
      <c r="E227" t="str">
        <f t="shared" si="95"/>
        <v>COM</v>
      </c>
      <c r="F227" t="str">
        <f>"PAGMENOS - LJ 657 (10136)"</f>
        <v>PAGMENOS - LJ 657 (10136)</v>
      </c>
      <c r="G227" t="str">
        <f>"Serv.Prest. 23/12/2024 a 29/12/2024 - RPS: 368 - NFSe: 2593"</f>
        <v>Serv.Prest. 23/12/2024 a 29/12/2024 - RPS: 368 - NFSe: 2593</v>
      </c>
      <c r="H227" t="str">
        <f>("09/01/2025")</f>
        <v>09/01/2025</v>
      </c>
      <c r="I227" t="str">
        <f>("30/12/2024")</f>
        <v>30/12/2024</v>
      </c>
      <c r="J227" t="str">
        <f t="shared" si="106"/>
        <v>10/01/2025</v>
      </c>
      <c r="K227">
        <v>596.6</v>
      </c>
      <c r="L227">
        <v>596.6</v>
      </c>
      <c r="M227">
        <v>303</v>
      </c>
      <c r="N227" t="str">
        <f t="shared" si="101"/>
        <v>RECEITAS COM ENTREGAS</v>
      </c>
      <c r="O227">
        <v>596.6</v>
      </c>
      <c r="R227" t="str">
        <f t="shared" si="102"/>
        <v>RECEITAS COM ENTREGAS (303)</v>
      </c>
      <c r="S227">
        <v>843</v>
      </c>
      <c r="T227">
        <v>678</v>
      </c>
      <c r="U227" t="s">
        <v>19</v>
      </c>
    </row>
    <row r="228" spans="1:21">
      <c r="A228" t="str">
        <f t="shared" si="105"/>
        <v>10/01/2025</v>
      </c>
      <c r="B228" t="str">
        <f t="shared" si="103"/>
        <v>ENTRADA</v>
      </c>
      <c r="C228" t="str">
        <f t="shared" si="100"/>
        <v>NFSE</v>
      </c>
      <c r="D228" t="str">
        <f>"2593"</f>
        <v>2593</v>
      </c>
      <c r="E228" t="str">
        <f t="shared" si="95"/>
        <v>COM</v>
      </c>
      <c r="F228" t="str">
        <f>"PAGMENOS - LJ 657 (10136)"</f>
        <v>PAGMENOS - LJ 657 (10136)</v>
      </c>
      <c r="G228" t="str">
        <f>"Serv.Prest. 23/12/2024 a 29/12/2024 - RPS: 368 - NFSe: 2593"</f>
        <v>Serv.Prest. 23/12/2024 a 29/12/2024 - RPS: 368 - NFSe: 2593</v>
      </c>
      <c r="H228" t="str">
        <f>("09/01/2025")</f>
        <v>09/01/2025</v>
      </c>
      <c r="I228" t="str">
        <f>("30/12/2024")</f>
        <v>30/12/2024</v>
      </c>
      <c r="J228" t="str">
        <f t="shared" si="106"/>
        <v>10/01/2025</v>
      </c>
      <c r="M228">
        <v>303</v>
      </c>
      <c r="N228" t="str">
        <f t="shared" si="101"/>
        <v>RECEITAS COM ENTREGAS</v>
      </c>
      <c r="P228">
        <v>596.6</v>
      </c>
      <c r="Q228" t="str">
        <f>"PAGMENOS - LJ 657 (10136)"</f>
        <v>PAGMENOS - LJ 657 (10136)</v>
      </c>
      <c r="R228" t="str">
        <f t="shared" si="102"/>
        <v>RECEITAS COM ENTREGAS (303)</v>
      </c>
      <c r="S228">
        <v>843</v>
      </c>
      <c r="T228">
        <v>678</v>
      </c>
      <c r="U228" t="s">
        <v>19</v>
      </c>
    </row>
    <row r="229" spans="1:21">
      <c r="A229" t="str">
        <f t="shared" si="105"/>
        <v>10/01/2025</v>
      </c>
      <c r="B229" t="str">
        <f t="shared" ref="B229:B235" si="107">"SAÍDA"</f>
        <v>SAÍDA</v>
      </c>
      <c r="C229" t="str">
        <f>"JUROS"</f>
        <v>JUROS</v>
      </c>
      <c r="D229" t="str">
        <f>""</f>
        <v/>
      </c>
      <c r="E229" t="str">
        <f>"CXA"</f>
        <v>CXA</v>
      </c>
      <c r="F229" t="str">
        <f>""</f>
        <v/>
      </c>
      <c r="G229" t="str">
        <f>"TAXA BOLETO COMPENSADO"</f>
        <v>TAXA BOLETO COMPENSADO</v>
      </c>
      <c r="H229" t="str">
        <f t="shared" ref="H229:I233" si="108">("10/01/2025")</f>
        <v>10/01/2025</v>
      </c>
      <c r="I229" t="str">
        <f t="shared" si="108"/>
        <v>10/01/2025</v>
      </c>
      <c r="J229" t="str">
        <f t="shared" si="106"/>
        <v>10/01/2025</v>
      </c>
      <c r="K229">
        <v>1.7</v>
      </c>
      <c r="L229">
        <v>1.7</v>
      </c>
      <c r="M229">
        <v>401</v>
      </c>
      <c r="N229" t="str">
        <f>"IOF/JUROS/DESP.FINANCEIRA"</f>
        <v>IOF/JUROS/DESP.FINANCEIRA</v>
      </c>
      <c r="O229">
        <v>1.7</v>
      </c>
      <c r="R229" t="str">
        <f t="shared" ref="R229:R235" si="109">"BANCO CORA (102)"</f>
        <v>BANCO CORA (102)</v>
      </c>
      <c r="S229">
        <v>844</v>
      </c>
      <c r="T229">
        <v>0</v>
      </c>
      <c r="U229" t="s">
        <v>20</v>
      </c>
    </row>
    <row r="230" spans="1:21">
      <c r="A230" t="str">
        <f t="shared" si="105"/>
        <v>10/01/2025</v>
      </c>
      <c r="B230" t="str">
        <f t="shared" si="107"/>
        <v>SAÍDA</v>
      </c>
      <c r="C230" t="str">
        <f>"JUROS"</f>
        <v>JUROS</v>
      </c>
      <c r="D230" t="str">
        <f>""</f>
        <v/>
      </c>
      <c r="E230" t="str">
        <f>"CXA"</f>
        <v>CXA</v>
      </c>
      <c r="F230" t="str">
        <f>""</f>
        <v/>
      </c>
      <c r="G230" t="str">
        <f>"TAXA BOLETO COMPENSADO"</f>
        <v>TAXA BOLETO COMPENSADO</v>
      </c>
      <c r="H230" t="str">
        <f t="shared" si="108"/>
        <v>10/01/2025</v>
      </c>
      <c r="I230" t="str">
        <f t="shared" si="108"/>
        <v>10/01/2025</v>
      </c>
      <c r="J230" t="str">
        <f t="shared" si="106"/>
        <v>10/01/2025</v>
      </c>
      <c r="K230">
        <v>1.7</v>
      </c>
      <c r="L230">
        <v>1.7</v>
      </c>
      <c r="M230">
        <v>401</v>
      </c>
      <c r="N230" t="str">
        <f>"IOF/JUROS/DESP.FINANCEIRA"</f>
        <v>IOF/JUROS/DESP.FINANCEIRA</v>
      </c>
      <c r="O230">
        <v>1.7</v>
      </c>
      <c r="R230" t="str">
        <f t="shared" si="109"/>
        <v>BANCO CORA (102)</v>
      </c>
      <c r="S230">
        <v>845</v>
      </c>
      <c r="T230">
        <v>0</v>
      </c>
      <c r="U230" t="s">
        <v>20</v>
      </c>
    </row>
    <row r="231" spans="1:21">
      <c r="A231" t="str">
        <f t="shared" si="105"/>
        <v>10/01/2025</v>
      </c>
      <c r="B231" t="str">
        <f t="shared" si="107"/>
        <v>SAÍDA</v>
      </c>
      <c r="C231" t="str">
        <f>"JUROS"</f>
        <v>JUROS</v>
      </c>
      <c r="D231" t="str">
        <f>""</f>
        <v/>
      </c>
      <c r="E231" t="str">
        <f>"CXA"</f>
        <v>CXA</v>
      </c>
      <c r="F231" t="str">
        <f>""</f>
        <v/>
      </c>
      <c r="G231" t="str">
        <f>"TAXA BOLETO COMPENSADO"</f>
        <v>TAXA BOLETO COMPENSADO</v>
      </c>
      <c r="H231" t="str">
        <f t="shared" si="108"/>
        <v>10/01/2025</v>
      </c>
      <c r="I231" t="str">
        <f t="shared" si="108"/>
        <v>10/01/2025</v>
      </c>
      <c r="J231" t="str">
        <f t="shared" si="106"/>
        <v>10/01/2025</v>
      </c>
      <c r="K231">
        <v>1.7</v>
      </c>
      <c r="L231">
        <v>1.7</v>
      </c>
      <c r="M231">
        <v>401</v>
      </c>
      <c r="N231" t="str">
        <f>"IOF/JUROS/DESP.FINANCEIRA"</f>
        <v>IOF/JUROS/DESP.FINANCEIRA</v>
      </c>
      <c r="O231">
        <v>1.7</v>
      </c>
      <c r="R231" t="str">
        <f t="shared" si="109"/>
        <v>BANCO CORA (102)</v>
      </c>
      <c r="S231">
        <v>846</v>
      </c>
      <c r="T231">
        <v>0</v>
      </c>
      <c r="U231" t="s">
        <v>20</v>
      </c>
    </row>
    <row r="232" spans="1:21">
      <c r="A232" t="str">
        <f t="shared" si="105"/>
        <v>10/01/2025</v>
      </c>
      <c r="B232" t="str">
        <f t="shared" si="107"/>
        <v>SAÍDA</v>
      </c>
      <c r="C232" t="str">
        <f>"JUROS"</f>
        <v>JUROS</v>
      </c>
      <c r="D232" t="str">
        <f>""</f>
        <v/>
      </c>
      <c r="E232" t="str">
        <f>"CXA"</f>
        <v>CXA</v>
      </c>
      <c r="F232" t="str">
        <f>""</f>
        <v/>
      </c>
      <c r="G232" t="str">
        <f>"TAXA BOLETO COMPENSADO"</f>
        <v>TAXA BOLETO COMPENSADO</v>
      </c>
      <c r="H232" t="str">
        <f t="shared" si="108"/>
        <v>10/01/2025</v>
      </c>
      <c r="I232" t="str">
        <f t="shared" si="108"/>
        <v>10/01/2025</v>
      </c>
      <c r="J232" t="str">
        <f t="shared" si="106"/>
        <v>10/01/2025</v>
      </c>
      <c r="K232">
        <v>1.7</v>
      </c>
      <c r="L232">
        <v>1.7</v>
      </c>
      <c r="M232">
        <v>401</v>
      </c>
      <c r="N232" t="str">
        <f>"IOF/JUROS/DESP.FINANCEIRA"</f>
        <v>IOF/JUROS/DESP.FINANCEIRA</v>
      </c>
      <c r="O232">
        <v>1.7</v>
      </c>
      <c r="R232" t="str">
        <f t="shared" si="109"/>
        <v>BANCO CORA (102)</v>
      </c>
      <c r="S232">
        <v>847</v>
      </c>
      <c r="T232">
        <v>0</v>
      </c>
      <c r="U232" t="s">
        <v>20</v>
      </c>
    </row>
    <row r="233" spans="1:21">
      <c r="A233" t="str">
        <f t="shared" si="105"/>
        <v>10/01/2025</v>
      </c>
      <c r="B233" t="str">
        <f t="shared" si="107"/>
        <v>SAÍDA</v>
      </c>
      <c r="C233" t="str">
        <f>"JUROS"</f>
        <v>JUROS</v>
      </c>
      <c r="D233" t="str">
        <f>""</f>
        <v/>
      </c>
      <c r="E233" t="str">
        <f>"CXA"</f>
        <v>CXA</v>
      </c>
      <c r="F233" t="str">
        <f>""</f>
        <v/>
      </c>
      <c r="G233" t="str">
        <f>"TAXA BOLETO COMPENSADO"</f>
        <v>TAXA BOLETO COMPENSADO</v>
      </c>
      <c r="H233" t="str">
        <f t="shared" si="108"/>
        <v>10/01/2025</v>
      </c>
      <c r="I233" t="str">
        <f t="shared" si="108"/>
        <v>10/01/2025</v>
      </c>
      <c r="J233" t="str">
        <f t="shared" si="106"/>
        <v>10/01/2025</v>
      </c>
      <c r="K233">
        <v>1.7</v>
      </c>
      <c r="L233">
        <v>1.7</v>
      </c>
      <c r="M233">
        <v>401</v>
      </c>
      <c r="N233" t="str">
        <f>"IOF/JUROS/DESP.FINANCEIRA"</f>
        <v>IOF/JUROS/DESP.FINANCEIRA</v>
      </c>
      <c r="O233">
        <v>1.7</v>
      </c>
      <c r="R233" t="str">
        <f t="shared" si="109"/>
        <v>BANCO CORA (102)</v>
      </c>
      <c r="S233">
        <v>848</v>
      </c>
      <c r="T233">
        <v>0</v>
      </c>
      <c r="U233" t="s">
        <v>20</v>
      </c>
    </row>
    <row r="234" spans="1:21">
      <c r="A234" t="str">
        <f>("13/01/2025")</f>
        <v>13/01/2025</v>
      </c>
      <c r="B234" t="str">
        <f t="shared" si="107"/>
        <v>SAÍDA</v>
      </c>
      <c r="C234" t="str">
        <f>"PIX"</f>
        <v>PIX</v>
      </c>
      <c r="D234" t="str">
        <f>"2012"</f>
        <v>2012</v>
      </c>
      <c r="E234" t="str">
        <f t="shared" ref="E234:E239" si="110">"COM"</f>
        <v>COM</v>
      </c>
      <c r="F234" t="str">
        <f>"LILIANE DE FATIMA REZENDE JUSTINO (20013)"</f>
        <v>LILIANE DE FATIMA REZENDE JUSTINO (20013)</v>
      </c>
      <c r="G234" t="str">
        <f>"DISTRIBUIÇÃO DE LUCRO"</f>
        <v>DISTRIBUIÇÃO DE LUCRO</v>
      </c>
      <c r="H234" t="str">
        <f>("20/12/2024")</f>
        <v>20/12/2024</v>
      </c>
      <c r="I234" t="str">
        <f>("20/12/2024")</f>
        <v>20/12/2024</v>
      </c>
      <c r="J234" t="str">
        <f>("13/01/2025")</f>
        <v>13/01/2025</v>
      </c>
      <c r="K234">
        <v>8000</v>
      </c>
      <c r="L234">
        <v>8000</v>
      </c>
      <c r="M234">
        <v>125</v>
      </c>
      <c r="N234" t="str">
        <f>"DISTRIBUIÇÃO DE LUCRO"</f>
        <v>DISTRIBUIÇÃO DE LUCRO</v>
      </c>
      <c r="O234">
        <v>8000</v>
      </c>
      <c r="R234" t="str">
        <f t="shared" si="109"/>
        <v>BANCO CORA (102)</v>
      </c>
      <c r="S234">
        <v>863</v>
      </c>
      <c r="T234">
        <v>755</v>
      </c>
      <c r="U234" t="s">
        <v>19</v>
      </c>
    </row>
    <row r="235" spans="1:21">
      <c r="A235" t="str">
        <f>("13/01/2025")</f>
        <v>13/01/2025</v>
      </c>
      <c r="B235" t="str">
        <f t="shared" si="107"/>
        <v>SAÍDA</v>
      </c>
      <c r="C235" t="str">
        <f>"PIX"</f>
        <v>PIX</v>
      </c>
      <c r="D235" t="str">
        <f>"2012"</f>
        <v>2012</v>
      </c>
      <c r="E235" t="str">
        <f t="shared" si="110"/>
        <v>COM</v>
      </c>
      <c r="F235" t="str">
        <f>"LILIANE DE FATIMA REZENDE JUSTINO (20013)"</f>
        <v>LILIANE DE FATIMA REZENDE JUSTINO (20013)</v>
      </c>
      <c r="G235" t="str">
        <f>"DISTRIBUIÇÃO DE LUCRO"</f>
        <v>DISTRIBUIÇÃO DE LUCRO</v>
      </c>
      <c r="H235" t="str">
        <f>("20/12/2024")</f>
        <v>20/12/2024</v>
      </c>
      <c r="I235" t="str">
        <f>("20/12/2024")</f>
        <v>20/12/2024</v>
      </c>
      <c r="J235" t="str">
        <f>("13/01/2025")</f>
        <v>13/01/2025</v>
      </c>
      <c r="M235">
        <v>125</v>
      </c>
      <c r="N235" t="str">
        <f>"DISTRIBUIÇÃO DE LUCRO"</f>
        <v>DISTRIBUIÇÃO DE LUCRO</v>
      </c>
      <c r="P235">
        <v>8000</v>
      </c>
      <c r="Q235" t="str">
        <f>"LILIANE DE FATIMA REZENDE JUSTINO (20013)"</f>
        <v>LILIANE DE FATIMA REZENDE JUSTINO (20013)</v>
      </c>
      <c r="R235" t="str">
        <f t="shared" si="109"/>
        <v>BANCO CORA (102)</v>
      </c>
      <c r="S235">
        <v>863</v>
      </c>
      <c r="T235">
        <v>755</v>
      </c>
      <c r="U235" t="s">
        <v>19</v>
      </c>
    </row>
    <row r="236" spans="1:21">
      <c r="A236" t="str">
        <f>("14/01/2025")</f>
        <v>14/01/2025</v>
      </c>
      <c r="B236" t="str">
        <f>"ENTRADA"</f>
        <v>ENTRADA</v>
      </c>
      <c r="C236" t="str">
        <f>"NFSE"</f>
        <v>NFSE</v>
      </c>
      <c r="D236" t="str">
        <f>"2628"</f>
        <v>2628</v>
      </c>
      <c r="E236" t="str">
        <f t="shared" si="110"/>
        <v>COM</v>
      </c>
      <c r="F236" t="str">
        <f>"DROGA CINTIA 2 (10144)"</f>
        <v>DROGA CINTIA 2 (10144)</v>
      </c>
      <c r="G236" t="str">
        <f>"Serv.Prest. 06/01/2025 a 12/01/2025 - RPS: 402 - NFSe: 2628"</f>
        <v>Serv.Prest. 06/01/2025 a 12/01/2025 - RPS: 402 - NFSe: 2628</v>
      </c>
      <c r="H236" t="str">
        <f>("15/01/2025")</f>
        <v>15/01/2025</v>
      </c>
      <c r="I236" t="str">
        <f>("13/01/2025")</f>
        <v>13/01/2025</v>
      </c>
      <c r="J236" t="str">
        <f>("14/01/2025")</f>
        <v>14/01/2025</v>
      </c>
      <c r="K236">
        <v>160.47999999999999</v>
      </c>
      <c r="L236">
        <v>160.47999999999999</v>
      </c>
      <c r="M236">
        <v>303</v>
      </c>
      <c r="N236" t="str">
        <f>"RECEITAS COM ENTREGAS"</f>
        <v>RECEITAS COM ENTREGAS</v>
      </c>
      <c r="O236">
        <v>160.47999999999999</v>
      </c>
      <c r="R236" t="str">
        <f>"RECEITAS COM ENTREGAS (303)"</f>
        <v>RECEITAS COM ENTREGAS (303)</v>
      </c>
      <c r="S236">
        <v>864</v>
      </c>
      <c r="T236">
        <v>731</v>
      </c>
      <c r="U236" t="s">
        <v>19</v>
      </c>
    </row>
    <row r="237" spans="1:21">
      <c r="A237" t="str">
        <f>("14/01/2025")</f>
        <v>14/01/2025</v>
      </c>
      <c r="B237" t="str">
        <f>"ENTRADA"</f>
        <v>ENTRADA</v>
      </c>
      <c r="C237" t="str">
        <f>"NFSE"</f>
        <v>NFSE</v>
      </c>
      <c r="D237" t="str">
        <f>"2628"</f>
        <v>2628</v>
      </c>
      <c r="E237" t="str">
        <f t="shared" si="110"/>
        <v>COM</v>
      </c>
      <c r="F237" t="str">
        <f>"DROGA CINTIA 2 (10144)"</f>
        <v>DROGA CINTIA 2 (10144)</v>
      </c>
      <c r="G237" t="str">
        <f>"Serv.Prest. 06/01/2025 a 12/01/2025 - RPS: 402 - NFSe: 2628"</f>
        <v>Serv.Prest. 06/01/2025 a 12/01/2025 - RPS: 402 - NFSe: 2628</v>
      </c>
      <c r="H237" t="str">
        <f>("15/01/2025")</f>
        <v>15/01/2025</v>
      </c>
      <c r="I237" t="str">
        <f>("13/01/2025")</f>
        <v>13/01/2025</v>
      </c>
      <c r="J237" t="str">
        <f>("14/01/2025")</f>
        <v>14/01/2025</v>
      </c>
      <c r="M237">
        <v>303</v>
      </c>
      <c r="N237" t="str">
        <f>"RECEITAS COM ENTREGAS"</f>
        <v>RECEITAS COM ENTREGAS</v>
      </c>
      <c r="P237">
        <v>160.47999999999999</v>
      </c>
      <c r="Q237" t="str">
        <f>"DROGA CINTIA 2 (10144)"</f>
        <v>DROGA CINTIA 2 (10144)</v>
      </c>
      <c r="R237" t="str">
        <f>"RECEITAS COM ENTREGAS (303)"</f>
        <v>RECEITAS COM ENTREGAS (303)</v>
      </c>
      <c r="S237">
        <v>864</v>
      </c>
      <c r="T237">
        <v>731</v>
      </c>
      <c r="U237" t="s">
        <v>19</v>
      </c>
    </row>
    <row r="238" spans="1:21">
      <c r="A238" t="str">
        <f>("14/01/2025")</f>
        <v>14/01/2025</v>
      </c>
      <c r="B238" t="str">
        <f>"SAÍDA"</f>
        <v>SAÍDA</v>
      </c>
      <c r="C238" t="str">
        <f>"PIX"</f>
        <v>PIX</v>
      </c>
      <c r="D238" t="str">
        <f>"1401"</f>
        <v>1401</v>
      </c>
      <c r="E238" t="str">
        <f t="shared" si="110"/>
        <v>COM</v>
      </c>
      <c r="F238" t="str">
        <f>"CONTA SIMPLES SOLUCOES DE PAGAMENTOS LTDA (20019)"</f>
        <v>CONTA SIMPLES SOLUCOES DE PAGAMENTOS LTDA (20019)</v>
      </c>
      <c r="G238" t="str">
        <f>"PUBLICIDADE E PROPAGANDAS EM REDES SOCIAIS"</f>
        <v>PUBLICIDADE E PROPAGANDAS EM REDES SOCIAIS</v>
      </c>
      <c r="H238" t="str">
        <f t="shared" ref="H238:I240" si="111">("14/01/2025")</f>
        <v>14/01/2025</v>
      </c>
      <c r="I238" t="str">
        <f t="shared" si="111"/>
        <v>14/01/2025</v>
      </c>
      <c r="J238" t="str">
        <f>("14/01/2025")</f>
        <v>14/01/2025</v>
      </c>
      <c r="K238">
        <v>500</v>
      </c>
      <c r="L238">
        <v>500</v>
      </c>
      <c r="M238">
        <v>127</v>
      </c>
      <c r="N238" t="str">
        <f>"PUBLICIDADE E PROPAGANDAS"</f>
        <v>PUBLICIDADE E PROPAGANDAS</v>
      </c>
      <c r="O238">
        <v>500</v>
      </c>
      <c r="R238" t="str">
        <f>"BANCO CORA (102)"</f>
        <v>BANCO CORA (102)</v>
      </c>
      <c r="S238">
        <v>865</v>
      </c>
      <c r="T238">
        <v>756</v>
      </c>
      <c r="U238" t="s">
        <v>19</v>
      </c>
    </row>
    <row r="239" spans="1:21">
      <c r="A239" t="str">
        <f>("14/01/2025")</f>
        <v>14/01/2025</v>
      </c>
      <c r="B239" t="str">
        <f>"SAÍDA"</f>
        <v>SAÍDA</v>
      </c>
      <c r="C239" t="str">
        <f>"PIX"</f>
        <v>PIX</v>
      </c>
      <c r="D239" t="str">
        <f>"1401"</f>
        <v>1401</v>
      </c>
      <c r="E239" t="str">
        <f t="shared" si="110"/>
        <v>COM</v>
      </c>
      <c r="F239" t="str">
        <f>"CONTA SIMPLES SOLUCOES DE PAGAMENTOS LTDA (20019)"</f>
        <v>CONTA SIMPLES SOLUCOES DE PAGAMENTOS LTDA (20019)</v>
      </c>
      <c r="G239" t="str">
        <f>"PUBLICIDADE E PROPAGANDAS EM REDES SOCIAIS"</f>
        <v>PUBLICIDADE E PROPAGANDAS EM REDES SOCIAIS</v>
      </c>
      <c r="H239" t="str">
        <f t="shared" si="111"/>
        <v>14/01/2025</v>
      </c>
      <c r="I239" t="str">
        <f t="shared" si="111"/>
        <v>14/01/2025</v>
      </c>
      <c r="J239" t="str">
        <f>("14/01/2025")</f>
        <v>14/01/2025</v>
      </c>
      <c r="M239">
        <v>127</v>
      </c>
      <c r="N239" t="str">
        <f>"PUBLICIDADE E PROPAGANDAS"</f>
        <v>PUBLICIDADE E PROPAGANDAS</v>
      </c>
      <c r="P239">
        <v>500</v>
      </c>
      <c r="Q239" t="str">
        <f>"CONTA SIMPLES SOLUCOES DE PAGAMENTOS LTDA (20019)"</f>
        <v>CONTA SIMPLES SOLUCOES DE PAGAMENTOS LTDA (20019)</v>
      </c>
      <c r="R239" t="str">
        <f>"BANCO CORA (102)"</f>
        <v>BANCO CORA (102)</v>
      </c>
      <c r="S239">
        <v>865</v>
      </c>
      <c r="T239">
        <v>756</v>
      </c>
      <c r="U239" t="s">
        <v>19</v>
      </c>
    </row>
    <row r="240" spans="1:21">
      <c r="A240" t="str">
        <f>("14/01/2025")</f>
        <v>14/01/2025</v>
      </c>
      <c r="B240" t="str">
        <f>"SAÍDA"</f>
        <v>SAÍDA</v>
      </c>
      <c r="C240" t="str">
        <f>"JUROS"</f>
        <v>JUROS</v>
      </c>
      <c r="D240" t="str">
        <f>""</f>
        <v/>
      </c>
      <c r="E240" t="str">
        <f>"CXA"</f>
        <v>CXA</v>
      </c>
      <c r="F240" t="str">
        <f>""</f>
        <v/>
      </c>
      <c r="G240" t="str">
        <f>"TAXA BOLETO COMPENSADO"</f>
        <v>TAXA BOLETO COMPENSADO</v>
      </c>
      <c r="H240" t="str">
        <f t="shared" si="111"/>
        <v>14/01/2025</v>
      </c>
      <c r="I240" t="str">
        <f t="shared" si="111"/>
        <v>14/01/2025</v>
      </c>
      <c r="J240" t="str">
        <f>("14/01/2025")</f>
        <v>14/01/2025</v>
      </c>
      <c r="K240">
        <v>1.7</v>
      </c>
      <c r="L240">
        <v>1.7</v>
      </c>
      <c r="M240">
        <v>401</v>
      </c>
      <c r="N240" t="str">
        <f>"IOF/JUROS/DESP.FINANCEIRA"</f>
        <v>IOF/JUROS/DESP.FINANCEIRA</v>
      </c>
      <c r="O240">
        <v>1.7</v>
      </c>
      <c r="R240" t="str">
        <f>"BANCO CORA (102)"</f>
        <v>BANCO CORA (102)</v>
      </c>
      <c r="S240">
        <v>866</v>
      </c>
      <c r="T240">
        <v>0</v>
      </c>
      <c r="U240" t="s">
        <v>20</v>
      </c>
    </row>
    <row r="241" spans="1:21">
      <c r="A241" t="str">
        <f t="shared" ref="A241:A272" si="112">("15/01/2025")</f>
        <v>15/01/2025</v>
      </c>
      <c r="B241" t="str">
        <f>"ENTRADA"</f>
        <v>ENTRADA</v>
      </c>
      <c r="C241" t="str">
        <f>"NFSE"</f>
        <v>NFSE</v>
      </c>
      <c r="D241" t="str">
        <f>"2625"</f>
        <v>2625</v>
      </c>
      <c r="E241" t="str">
        <f t="shared" ref="E241:E272" si="113">"COM"</f>
        <v>COM</v>
      </c>
      <c r="F241" t="str">
        <f>"FRAN FARMA (10124)"</f>
        <v>FRAN FARMA (10124)</v>
      </c>
      <c r="G241" t="str">
        <f>"Serv.Prest. 06/01/2025 a 12/01/2025 - RPS: 399 - NFSe: 2625"</f>
        <v>Serv.Prest. 06/01/2025 a 12/01/2025 - RPS: 399 - NFSe: 2625</v>
      </c>
      <c r="H241" t="str">
        <f>("15/01/2025")</f>
        <v>15/01/2025</v>
      </c>
      <c r="I241" t="str">
        <f>("13/01/2025")</f>
        <v>13/01/2025</v>
      </c>
      <c r="J241" t="str">
        <f t="shared" ref="J241:J272" si="114">("15/01/2025")</f>
        <v>15/01/2025</v>
      </c>
      <c r="K241">
        <v>320</v>
      </c>
      <c r="L241">
        <v>320</v>
      </c>
      <c r="M241">
        <v>303</v>
      </c>
      <c r="N241" t="str">
        <f>"RECEITAS COM ENTREGAS"</f>
        <v>RECEITAS COM ENTREGAS</v>
      </c>
      <c r="O241">
        <v>320</v>
      </c>
      <c r="R241" t="str">
        <f>"RECEITAS COM ENTREGAS (303)"</f>
        <v>RECEITAS COM ENTREGAS (303)</v>
      </c>
      <c r="S241">
        <v>713</v>
      </c>
      <c r="T241">
        <v>728</v>
      </c>
      <c r="U241" t="s">
        <v>19</v>
      </c>
    </row>
    <row r="242" spans="1:21">
      <c r="A242" t="str">
        <f t="shared" si="112"/>
        <v>15/01/2025</v>
      </c>
      <c r="B242" t="str">
        <f t="shared" ref="B242:B244" si="115">"ENTRADA"</f>
        <v>ENTRADA</v>
      </c>
      <c r="C242" t="str">
        <f>"NFSE"</f>
        <v>NFSE</v>
      </c>
      <c r="D242" t="str">
        <f>"2625"</f>
        <v>2625</v>
      </c>
      <c r="E242" t="str">
        <f t="shared" si="113"/>
        <v>COM</v>
      </c>
      <c r="F242" t="str">
        <f>"FRAN FARMA (10124)"</f>
        <v>FRAN FARMA (10124)</v>
      </c>
      <c r="G242" t="str">
        <f>"Serv.Prest. 06/01/2025 a 12/01/2025 - RPS: 399 - NFSe: 2625"</f>
        <v>Serv.Prest. 06/01/2025 a 12/01/2025 - RPS: 399 - NFSe: 2625</v>
      </c>
      <c r="H242" t="str">
        <f>("15/01/2025")</f>
        <v>15/01/2025</v>
      </c>
      <c r="I242" t="str">
        <f>("13/01/2025")</f>
        <v>13/01/2025</v>
      </c>
      <c r="J242" t="str">
        <f t="shared" si="114"/>
        <v>15/01/2025</v>
      </c>
      <c r="M242">
        <v>303</v>
      </c>
      <c r="N242" t="str">
        <f>"RECEITAS COM ENTREGAS"</f>
        <v>RECEITAS COM ENTREGAS</v>
      </c>
      <c r="P242">
        <v>64</v>
      </c>
      <c r="Q242" t="str">
        <f>"FRAN FARMA (10124)"</f>
        <v>FRAN FARMA (10124)</v>
      </c>
      <c r="R242" t="str">
        <f>"RECEITAS COM ENTREGAS (303)"</f>
        <v>RECEITAS COM ENTREGAS (303)</v>
      </c>
      <c r="S242">
        <v>713</v>
      </c>
      <c r="T242">
        <v>728</v>
      </c>
      <c r="U242" t="s">
        <v>19</v>
      </c>
    </row>
    <row r="243" spans="1:21">
      <c r="A243" t="str">
        <f t="shared" si="112"/>
        <v>15/01/2025</v>
      </c>
      <c r="B243" t="str">
        <f t="shared" si="115"/>
        <v>ENTRADA</v>
      </c>
      <c r="C243" t="str">
        <f>"NFSE"</f>
        <v>NFSE</v>
      </c>
      <c r="D243" t="str">
        <f>"2625"</f>
        <v>2625</v>
      </c>
      <c r="E243" t="str">
        <f t="shared" si="113"/>
        <v>COM</v>
      </c>
      <c r="F243" t="str">
        <f>"FRAN FARMA (10124)"</f>
        <v>FRAN FARMA (10124)</v>
      </c>
      <c r="G243" t="str">
        <f>"Serv.Prest. 06/01/2025 a 12/01/2025 - RPS: 399 - NFSe: 2625"</f>
        <v>Serv.Prest. 06/01/2025 a 12/01/2025 - RPS: 399 - NFSe: 2625</v>
      </c>
      <c r="H243" t="str">
        <f>("15/01/2025")</f>
        <v>15/01/2025</v>
      </c>
      <c r="I243" t="str">
        <f>("13/01/2025")</f>
        <v>13/01/2025</v>
      </c>
      <c r="J243" t="str">
        <f t="shared" si="114"/>
        <v>15/01/2025</v>
      </c>
      <c r="M243">
        <v>303</v>
      </c>
      <c r="N243" t="str">
        <f>"RECEITAS COM ENTREGAS"</f>
        <v>RECEITAS COM ENTREGAS</v>
      </c>
      <c r="P243">
        <v>192</v>
      </c>
      <c r="Q243" t="str">
        <f>"FRAN FARMA LJ 2 (10131)"</f>
        <v>FRAN FARMA LJ 2 (10131)</v>
      </c>
      <c r="R243" t="str">
        <f>"RECEITAS COM ENTREGAS (303)"</f>
        <v>RECEITAS COM ENTREGAS (303)</v>
      </c>
      <c r="S243">
        <v>713</v>
      </c>
      <c r="T243">
        <v>728</v>
      </c>
      <c r="U243" t="s">
        <v>19</v>
      </c>
    </row>
    <row r="244" spans="1:21">
      <c r="A244" t="str">
        <f t="shared" si="112"/>
        <v>15/01/2025</v>
      </c>
      <c r="B244" t="str">
        <f t="shared" si="115"/>
        <v>ENTRADA</v>
      </c>
      <c r="C244" t="str">
        <f>"NFSE"</f>
        <v>NFSE</v>
      </c>
      <c r="D244" t="str">
        <f>"2625"</f>
        <v>2625</v>
      </c>
      <c r="E244" t="str">
        <f t="shared" si="113"/>
        <v>COM</v>
      </c>
      <c r="F244" t="str">
        <f>"FRAN FARMA (10124)"</f>
        <v>FRAN FARMA (10124)</v>
      </c>
      <c r="G244" t="str">
        <f>"Serv.Prest. 06/01/2025 a 12/01/2025 - RPS: 399 - NFSe: 2625"</f>
        <v>Serv.Prest. 06/01/2025 a 12/01/2025 - RPS: 399 - NFSe: 2625</v>
      </c>
      <c r="H244" t="str">
        <f>("15/01/2025")</f>
        <v>15/01/2025</v>
      </c>
      <c r="I244" t="str">
        <f>("13/01/2025")</f>
        <v>13/01/2025</v>
      </c>
      <c r="J244" t="str">
        <f t="shared" si="114"/>
        <v>15/01/2025</v>
      </c>
      <c r="M244">
        <v>303</v>
      </c>
      <c r="N244" t="str">
        <f>"RECEITAS COM ENTREGAS"</f>
        <v>RECEITAS COM ENTREGAS</v>
      </c>
      <c r="P244">
        <v>64</v>
      </c>
      <c r="Q244" t="str">
        <f>"FRAN FARMA LJ 3 (10132)"</f>
        <v>FRAN FARMA LJ 3 (10132)</v>
      </c>
      <c r="R244" t="str">
        <f>"RECEITAS COM ENTREGAS (303)"</f>
        <v>RECEITAS COM ENTREGAS (303)</v>
      </c>
      <c r="S244">
        <v>713</v>
      </c>
      <c r="T244">
        <v>728</v>
      </c>
      <c r="U244" t="s">
        <v>19</v>
      </c>
    </row>
    <row r="245" spans="1:21">
      <c r="A245" t="str">
        <f t="shared" si="112"/>
        <v>15/01/2025</v>
      </c>
      <c r="B245" t="str">
        <f t="shared" ref="B245:B247" si="116">"SAÍDA"</f>
        <v>SAÍDA</v>
      </c>
      <c r="C245" t="str">
        <f>"BOLETO"</f>
        <v>BOLETO</v>
      </c>
      <c r="D245" t="str">
        <f>"10584959"</f>
        <v>10584959</v>
      </c>
      <c r="E245" t="str">
        <f t="shared" si="113"/>
        <v>COM</v>
      </c>
      <c r="F245" t="str">
        <f>"UNIODONTO REGIONAL COOPERATIVA ODONTOLOGICA LTDA. (20024)"</f>
        <v>UNIODONTO REGIONAL COOPERATIVA ODONTOLOGICA LTDA. (20024)</v>
      </c>
      <c r="G245" t="str">
        <f>"PLANO ODONTOLOGICO 09.12.24 A 08.01.25"</f>
        <v>PLANO ODONTOLOGICO 09.12.24 A 08.01.25</v>
      </c>
      <c r="H245" t="str">
        <f>("10/01/2025")</f>
        <v>10/01/2025</v>
      </c>
      <c r="I245" t="str">
        <f>("16/12/2024")</f>
        <v>16/12/2024</v>
      </c>
      <c r="J245" t="str">
        <f t="shared" si="114"/>
        <v>15/01/2025</v>
      </c>
      <c r="K245">
        <v>1579.2</v>
      </c>
      <c r="L245">
        <v>1613.41</v>
      </c>
      <c r="M245">
        <v>192</v>
      </c>
      <c r="N245" t="str">
        <f>"PLANOS E SEGUROS"</f>
        <v>PLANOS E SEGUROS</v>
      </c>
      <c r="O245">
        <v>1613.41</v>
      </c>
      <c r="R245" t="str">
        <f t="shared" ref="R245:R251" si="117">"BANCO CORA (102)"</f>
        <v>BANCO CORA (102)</v>
      </c>
      <c r="S245">
        <v>849</v>
      </c>
      <c r="T245">
        <v>724</v>
      </c>
      <c r="U245" t="s">
        <v>19</v>
      </c>
    </row>
    <row r="246" spans="1:21">
      <c r="A246" t="str">
        <f t="shared" si="112"/>
        <v>15/01/2025</v>
      </c>
      <c r="B246" t="str">
        <f t="shared" si="116"/>
        <v>SAÍDA</v>
      </c>
      <c r="C246" t="str">
        <f t="shared" ref="C246:C251" si="118">"PIX"</f>
        <v>PIX</v>
      </c>
      <c r="D246" t="str">
        <f t="shared" ref="D246:D251" si="119">"1501"</f>
        <v>1501</v>
      </c>
      <c r="E246" t="str">
        <f t="shared" si="113"/>
        <v>COM</v>
      </c>
      <c r="F246" t="str">
        <f>"ALBERTO KENNEDY ALMEIDA DE JESUS (20026)"</f>
        <v>ALBERTO KENNEDY ALMEIDA DE JESUS (20026)</v>
      </c>
      <c r="G246" t="str">
        <f>"PARTICIPAÇÃO NOS LUCROS FLUX FARMA"</f>
        <v>PARTICIPAÇÃO NOS LUCROS FLUX FARMA</v>
      </c>
      <c r="H246" t="str">
        <f t="shared" ref="H246:H277" si="120">("15/01/2025")</f>
        <v>15/01/2025</v>
      </c>
      <c r="I246" t="str">
        <f>("30/12/2024")</f>
        <v>30/12/2024</v>
      </c>
      <c r="J246" t="str">
        <f t="shared" si="114"/>
        <v>15/01/2025</v>
      </c>
      <c r="K246">
        <v>3194.43</v>
      </c>
      <c r="L246">
        <v>3194.43</v>
      </c>
      <c r="M246">
        <v>125</v>
      </c>
      <c r="N246" t="str">
        <f>"DISTRIBUIÇÃO DE LUCRO"</f>
        <v>DISTRIBUIÇÃO DE LUCRO</v>
      </c>
      <c r="O246">
        <v>3194.43</v>
      </c>
      <c r="R246" t="str">
        <f t="shared" si="117"/>
        <v>BANCO CORA (102)</v>
      </c>
      <c r="S246">
        <v>850</v>
      </c>
      <c r="T246">
        <v>702</v>
      </c>
      <c r="U246" t="s">
        <v>19</v>
      </c>
    </row>
    <row r="247" spans="1:21">
      <c r="A247" t="str">
        <f t="shared" si="112"/>
        <v>15/01/2025</v>
      </c>
      <c r="B247" t="str">
        <f t="shared" si="116"/>
        <v>SAÍDA</v>
      </c>
      <c r="C247" t="str">
        <f t="shared" si="118"/>
        <v>PIX</v>
      </c>
      <c r="D247" t="str">
        <f t="shared" si="119"/>
        <v>1501</v>
      </c>
      <c r="E247" t="str">
        <f t="shared" si="113"/>
        <v>COM</v>
      </c>
      <c r="F247" t="str">
        <f>"ALBERTO KENNEDY ALMEIDA DE JESUS (20026)"</f>
        <v>ALBERTO KENNEDY ALMEIDA DE JESUS (20026)</v>
      </c>
      <c r="G247" t="str">
        <f>"PARTICIPAÇÃO NOS LUCROS FLUX FARMA"</f>
        <v>PARTICIPAÇÃO NOS LUCROS FLUX FARMA</v>
      </c>
      <c r="H247" t="str">
        <f t="shared" si="120"/>
        <v>15/01/2025</v>
      </c>
      <c r="I247" t="str">
        <f>("30/12/2024")</f>
        <v>30/12/2024</v>
      </c>
      <c r="J247" t="str">
        <f t="shared" si="114"/>
        <v>15/01/2025</v>
      </c>
      <c r="M247">
        <v>125</v>
      </c>
      <c r="N247" t="str">
        <f>"DISTRIBUIÇÃO DE LUCRO"</f>
        <v>DISTRIBUIÇÃO DE LUCRO</v>
      </c>
      <c r="P247">
        <v>3194.43</v>
      </c>
      <c r="Q247" t="str">
        <f>"ALBERTO KENNEDY ALMEIDA DE JESUS (20026)"</f>
        <v>ALBERTO KENNEDY ALMEIDA DE JESUS (20026)</v>
      </c>
      <c r="R247" t="str">
        <f t="shared" si="117"/>
        <v>BANCO CORA (102)</v>
      </c>
      <c r="S247">
        <v>850</v>
      </c>
      <c r="T247">
        <v>702</v>
      </c>
      <c r="U247" t="s">
        <v>19</v>
      </c>
    </row>
    <row r="248" spans="1:21">
      <c r="A248" t="str">
        <f t="shared" si="112"/>
        <v>15/01/2025</v>
      </c>
      <c r="B248" t="str">
        <f>"ENTRADA"</f>
        <v>ENTRADA</v>
      </c>
      <c r="C248" t="str">
        <f t="shared" si="118"/>
        <v>PIX</v>
      </c>
      <c r="D248" t="str">
        <f t="shared" si="119"/>
        <v>1501</v>
      </c>
      <c r="E248" t="str">
        <f t="shared" si="113"/>
        <v>COM</v>
      </c>
      <c r="F248" t="str">
        <f>"EDSON BARROS DOS SANTOS 10882852604 (20025)"</f>
        <v>EDSON BARROS DOS SANTOS 10882852604 (20025)</v>
      </c>
      <c r="G248" t="str">
        <f>"REEMBOLSO ADIANTAMENTOS PARTICIPAÇÃO NOS LUCROS FLUX FARMA"</f>
        <v>REEMBOLSO ADIANTAMENTOS PARTICIPAÇÃO NOS LUCROS FLUX FARMA</v>
      </c>
      <c r="H248" t="str">
        <f t="shared" si="120"/>
        <v>15/01/2025</v>
      </c>
      <c r="I248" t="str">
        <f>("31/12/2024")</f>
        <v>31/12/2024</v>
      </c>
      <c r="J248" t="str">
        <f t="shared" si="114"/>
        <v>15/01/2025</v>
      </c>
      <c r="M248">
        <v>119</v>
      </c>
      <c r="N248" t="str">
        <f>"RECEITAS COM REEMBOLSOS"</f>
        <v>RECEITAS COM REEMBOLSOS</v>
      </c>
      <c r="O248">
        <v>750</v>
      </c>
      <c r="R248" t="str">
        <f t="shared" si="117"/>
        <v>BANCO CORA (102)</v>
      </c>
      <c r="S248">
        <v>851</v>
      </c>
      <c r="T248">
        <v>703</v>
      </c>
      <c r="U248" t="s">
        <v>19</v>
      </c>
    </row>
    <row r="249" spans="1:21">
      <c r="A249" t="str">
        <f t="shared" si="112"/>
        <v>15/01/2025</v>
      </c>
      <c r="B249" t="str">
        <f>"SAÍDA"</f>
        <v>SAÍDA</v>
      </c>
      <c r="C249" t="str">
        <f t="shared" si="118"/>
        <v>PIX</v>
      </c>
      <c r="D249" t="str">
        <f t="shared" si="119"/>
        <v>1501</v>
      </c>
      <c r="E249" t="str">
        <f t="shared" si="113"/>
        <v>COM</v>
      </c>
      <c r="F249" t="str">
        <f>"EDSON BARROS DOS SANTOS 10882852604 (20025)"</f>
        <v>EDSON BARROS DOS SANTOS 10882852604 (20025)</v>
      </c>
      <c r="G249" t="str">
        <f>"PARTICIPAÇÃO NOS LUCROS FLUX FARMA"</f>
        <v>PARTICIPAÇÃO NOS LUCROS FLUX FARMA</v>
      </c>
      <c r="H249" t="str">
        <f t="shared" si="120"/>
        <v>15/01/2025</v>
      </c>
      <c r="I249" t="str">
        <f>("31/12/2024")</f>
        <v>31/12/2024</v>
      </c>
      <c r="J249" t="str">
        <f t="shared" si="114"/>
        <v>15/01/2025</v>
      </c>
      <c r="K249">
        <v>4259.21</v>
      </c>
      <c r="L249">
        <v>3509.21</v>
      </c>
      <c r="M249">
        <v>125</v>
      </c>
      <c r="N249" t="str">
        <f>"DISTRIBUIÇÃO DE LUCRO"</f>
        <v>DISTRIBUIÇÃO DE LUCRO</v>
      </c>
      <c r="O249">
        <v>4259.21</v>
      </c>
      <c r="R249" t="str">
        <f t="shared" si="117"/>
        <v>BANCO CORA (102)</v>
      </c>
      <c r="S249">
        <v>851</v>
      </c>
      <c r="T249">
        <v>703</v>
      </c>
      <c r="U249" t="s">
        <v>19</v>
      </c>
    </row>
    <row r="250" spans="1:21">
      <c r="A250" t="str">
        <f t="shared" si="112"/>
        <v>15/01/2025</v>
      </c>
      <c r="B250" t="str">
        <f>"SAÍDA"</f>
        <v>SAÍDA</v>
      </c>
      <c r="C250" t="str">
        <f t="shared" si="118"/>
        <v>PIX</v>
      </c>
      <c r="D250" t="str">
        <f t="shared" si="119"/>
        <v>1501</v>
      </c>
      <c r="E250" t="str">
        <f t="shared" si="113"/>
        <v>COM</v>
      </c>
      <c r="F250" t="str">
        <f>"NATAN ALVES DA SILVA SA (20005)"</f>
        <v>NATAN ALVES DA SILVA SA (20005)</v>
      </c>
      <c r="G250" t="str">
        <f>"PARTICIPAÇÃO NOS LUCROS FLUX FARMA"</f>
        <v>PARTICIPAÇÃO NOS LUCROS FLUX FARMA</v>
      </c>
      <c r="H250" t="str">
        <f t="shared" si="120"/>
        <v>15/01/2025</v>
      </c>
      <c r="I250" t="str">
        <f>("31/12/2024")</f>
        <v>31/12/2024</v>
      </c>
      <c r="J250" t="str">
        <f t="shared" si="114"/>
        <v>15/01/2025</v>
      </c>
      <c r="K250">
        <v>4259.21</v>
      </c>
      <c r="L250">
        <v>4259.21</v>
      </c>
      <c r="M250">
        <v>125</v>
      </c>
      <c r="N250" t="str">
        <f>"DISTRIBUIÇÃO DE LUCRO"</f>
        <v>DISTRIBUIÇÃO DE LUCRO</v>
      </c>
      <c r="O250">
        <v>4259.21</v>
      </c>
      <c r="R250" t="str">
        <f t="shared" si="117"/>
        <v>BANCO CORA (102)</v>
      </c>
      <c r="S250">
        <v>852</v>
      </c>
      <c r="T250">
        <v>704</v>
      </c>
      <c r="U250" t="s">
        <v>19</v>
      </c>
    </row>
    <row r="251" spans="1:21">
      <c r="A251" t="str">
        <f t="shared" si="112"/>
        <v>15/01/2025</v>
      </c>
      <c r="B251" t="str">
        <f>"SAÍDA"</f>
        <v>SAÍDA</v>
      </c>
      <c r="C251" t="str">
        <f t="shared" si="118"/>
        <v>PIX</v>
      </c>
      <c r="D251" t="str">
        <f t="shared" si="119"/>
        <v>1501</v>
      </c>
      <c r="E251" t="str">
        <f t="shared" si="113"/>
        <v>COM</v>
      </c>
      <c r="F251" t="str">
        <f>"54.235.509 ROBERT MAGDIEL DE CARVALHO (20004)"</f>
        <v>54.235.509 ROBERT MAGDIEL DE CARVALHO (20004)</v>
      </c>
      <c r="G251" t="str">
        <f>"PARTICIPAÇÃO NOS LUCROS FLUX FARMA"</f>
        <v>PARTICIPAÇÃO NOS LUCROS FLUX FARMA</v>
      </c>
      <c r="H251" t="str">
        <f t="shared" si="120"/>
        <v>15/01/2025</v>
      </c>
      <c r="I251" t="str">
        <f>("31/12/2024")</f>
        <v>31/12/2024</v>
      </c>
      <c r="J251" t="str">
        <f t="shared" si="114"/>
        <v>15/01/2025</v>
      </c>
      <c r="K251">
        <v>4259.21</v>
      </c>
      <c r="L251">
        <v>4259.21</v>
      </c>
      <c r="M251">
        <v>125</v>
      </c>
      <c r="N251" t="str">
        <f>"DISTRIBUIÇÃO DE LUCRO"</f>
        <v>DISTRIBUIÇÃO DE LUCRO</v>
      </c>
      <c r="O251">
        <v>4259.21</v>
      </c>
      <c r="R251" t="str">
        <f t="shared" si="117"/>
        <v>BANCO CORA (102)</v>
      </c>
      <c r="S251">
        <v>853</v>
      </c>
      <c r="T251">
        <v>705</v>
      </c>
      <c r="U251" t="s">
        <v>19</v>
      </c>
    </row>
    <row r="252" spans="1:21">
      <c r="A252" t="str">
        <f t="shared" si="112"/>
        <v>15/01/2025</v>
      </c>
      <c r="B252" t="str">
        <f>"ENTRADA"</f>
        <v>ENTRADA</v>
      </c>
      <c r="C252" t="str">
        <f t="shared" ref="C252:C283" si="121">"NFSE"</f>
        <v>NFSE</v>
      </c>
      <c r="D252" t="str">
        <f t="shared" ref="D252:D262" si="122">"2619"</f>
        <v>2619</v>
      </c>
      <c r="E252" t="str">
        <f t="shared" si="113"/>
        <v>COM</v>
      </c>
      <c r="F252" t="str">
        <f t="shared" ref="F252:F262" si="123">"FARMÁCIA INDIANA LJ 30 (10127)"</f>
        <v>FARMÁCIA INDIANA LJ 30 (10127)</v>
      </c>
      <c r="G252" t="str">
        <f t="shared" ref="G252:G262" si="124">"Serv.Prest. 30/12/2024 a 05/01/2025 - RPS: 393 - NFSe: 2619"</f>
        <v>Serv.Prest. 30/12/2024 a 05/01/2025 - RPS: 393 - NFSe: 2619</v>
      </c>
      <c r="H252" t="str">
        <f t="shared" si="120"/>
        <v>15/01/2025</v>
      </c>
      <c r="I252" t="str">
        <f t="shared" ref="I252:I268" si="125">("06/01/2025")</f>
        <v>06/01/2025</v>
      </c>
      <c r="J252" t="str">
        <f t="shared" si="114"/>
        <v>15/01/2025</v>
      </c>
      <c r="K252">
        <v>2250.27</v>
      </c>
      <c r="L252">
        <v>2250.27</v>
      </c>
      <c r="M252">
        <v>303</v>
      </c>
      <c r="N252" t="str">
        <f t="shared" ref="N252:N283" si="126">"RECEITAS COM ENTREGAS"</f>
        <v>RECEITAS COM ENTREGAS</v>
      </c>
      <c r="O252">
        <v>2250.27</v>
      </c>
      <c r="R252" t="str">
        <f t="shared" ref="R252:R283" si="127">"RECEITAS COM ENTREGAS (303)"</f>
        <v>RECEITAS COM ENTREGAS (303)</v>
      </c>
      <c r="S252">
        <v>855</v>
      </c>
      <c r="T252">
        <v>707</v>
      </c>
      <c r="U252" t="s">
        <v>19</v>
      </c>
    </row>
    <row r="253" spans="1:21">
      <c r="A253" t="str">
        <f t="shared" si="112"/>
        <v>15/01/2025</v>
      </c>
      <c r="B253" t="str">
        <f t="shared" ref="B253:B314" si="128">"ENTRADA"</f>
        <v>ENTRADA</v>
      </c>
      <c r="C253" t="str">
        <f t="shared" si="121"/>
        <v>NFSE</v>
      </c>
      <c r="D253" t="str">
        <f t="shared" si="122"/>
        <v>2619</v>
      </c>
      <c r="E253" t="str">
        <f t="shared" si="113"/>
        <v>COM</v>
      </c>
      <c r="F253" t="str">
        <f t="shared" si="123"/>
        <v>FARMÁCIA INDIANA LJ 30 (10127)</v>
      </c>
      <c r="G253" t="str">
        <f t="shared" si="124"/>
        <v>Serv.Prest. 30/12/2024 a 05/01/2025 - RPS: 393 - NFSe: 2619</v>
      </c>
      <c r="H253" t="str">
        <f t="shared" si="120"/>
        <v>15/01/2025</v>
      </c>
      <c r="I253" t="str">
        <f t="shared" si="125"/>
        <v>06/01/2025</v>
      </c>
      <c r="J253" t="str">
        <f t="shared" si="114"/>
        <v>15/01/2025</v>
      </c>
      <c r="M253">
        <v>303</v>
      </c>
      <c r="N253" t="str">
        <f t="shared" si="126"/>
        <v>RECEITAS COM ENTREGAS</v>
      </c>
      <c r="P253">
        <v>256.98</v>
      </c>
      <c r="Q253" t="str">
        <f>"FARMÁCIA INDIANA LJ 34 (10014)"</f>
        <v>FARMÁCIA INDIANA LJ 34 (10014)</v>
      </c>
      <c r="R253" t="str">
        <f t="shared" si="127"/>
        <v>RECEITAS COM ENTREGAS (303)</v>
      </c>
      <c r="S253">
        <v>855</v>
      </c>
      <c r="T253">
        <v>707</v>
      </c>
      <c r="U253" t="s">
        <v>19</v>
      </c>
    </row>
    <row r="254" spans="1:21">
      <c r="A254" t="str">
        <f t="shared" si="112"/>
        <v>15/01/2025</v>
      </c>
      <c r="B254" t="str">
        <f t="shared" si="128"/>
        <v>ENTRADA</v>
      </c>
      <c r="C254" t="str">
        <f t="shared" si="121"/>
        <v>NFSE</v>
      </c>
      <c r="D254" t="str">
        <f t="shared" si="122"/>
        <v>2619</v>
      </c>
      <c r="E254" t="str">
        <f t="shared" si="113"/>
        <v>COM</v>
      </c>
      <c r="F254" t="str">
        <f t="shared" si="123"/>
        <v>FARMÁCIA INDIANA LJ 30 (10127)</v>
      </c>
      <c r="G254" t="str">
        <f t="shared" si="124"/>
        <v>Serv.Prest. 30/12/2024 a 05/01/2025 - RPS: 393 - NFSe: 2619</v>
      </c>
      <c r="H254" t="str">
        <f t="shared" si="120"/>
        <v>15/01/2025</v>
      </c>
      <c r="I254" t="str">
        <f t="shared" si="125"/>
        <v>06/01/2025</v>
      </c>
      <c r="J254" t="str">
        <f t="shared" si="114"/>
        <v>15/01/2025</v>
      </c>
      <c r="M254">
        <v>303</v>
      </c>
      <c r="N254" t="str">
        <f t="shared" si="126"/>
        <v>RECEITAS COM ENTREGAS</v>
      </c>
      <c r="P254">
        <v>235.83</v>
      </c>
      <c r="Q254" t="str">
        <f>"FARMÁCIA INDIANA LJ 35 (10015)"</f>
        <v>FARMÁCIA INDIANA LJ 35 (10015)</v>
      </c>
      <c r="R254" t="str">
        <f t="shared" si="127"/>
        <v>RECEITAS COM ENTREGAS (303)</v>
      </c>
      <c r="S254">
        <v>855</v>
      </c>
      <c r="T254">
        <v>707</v>
      </c>
      <c r="U254" t="s">
        <v>19</v>
      </c>
    </row>
    <row r="255" spans="1:21">
      <c r="A255" t="str">
        <f t="shared" si="112"/>
        <v>15/01/2025</v>
      </c>
      <c r="B255" t="str">
        <f t="shared" si="128"/>
        <v>ENTRADA</v>
      </c>
      <c r="C255" t="str">
        <f t="shared" si="121"/>
        <v>NFSE</v>
      </c>
      <c r="D255" t="str">
        <f t="shared" si="122"/>
        <v>2619</v>
      </c>
      <c r="E255" t="str">
        <f t="shared" si="113"/>
        <v>COM</v>
      </c>
      <c r="F255" t="str">
        <f t="shared" si="123"/>
        <v>FARMÁCIA INDIANA LJ 30 (10127)</v>
      </c>
      <c r="G255" t="str">
        <f t="shared" si="124"/>
        <v>Serv.Prest. 30/12/2024 a 05/01/2025 - RPS: 393 - NFSe: 2619</v>
      </c>
      <c r="H255" t="str">
        <f t="shared" si="120"/>
        <v>15/01/2025</v>
      </c>
      <c r="I255" t="str">
        <f t="shared" si="125"/>
        <v>06/01/2025</v>
      </c>
      <c r="J255" t="str">
        <f t="shared" si="114"/>
        <v>15/01/2025</v>
      </c>
      <c r="M255">
        <v>303</v>
      </c>
      <c r="N255" t="str">
        <f t="shared" si="126"/>
        <v>RECEITAS COM ENTREGAS</v>
      </c>
      <c r="P255">
        <v>119.94</v>
      </c>
      <c r="Q255" t="str">
        <f>"FARMÁCIA INDIANA LJ 48 (10018)"</f>
        <v>FARMÁCIA INDIANA LJ 48 (10018)</v>
      </c>
      <c r="R255" t="str">
        <f t="shared" si="127"/>
        <v>RECEITAS COM ENTREGAS (303)</v>
      </c>
      <c r="S255">
        <v>855</v>
      </c>
      <c r="T255">
        <v>707</v>
      </c>
      <c r="U255" t="s">
        <v>19</v>
      </c>
    </row>
    <row r="256" spans="1:21">
      <c r="A256" t="str">
        <f t="shared" si="112"/>
        <v>15/01/2025</v>
      </c>
      <c r="B256" t="str">
        <f t="shared" si="128"/>
        <v>ENTRADA</v>
      </c>
      <c r="C256" t="str">
        <f t="shared" si="121"/>
        <v>NFSE</v>
      </c>
      <c r="D256" t="str">
        <f t="shared" si="122"/>
        <v>2619</v>
      </c>
      <c r="E256" t="str">
        <f t="shared" si="113"/>
        <v>COM</v>
      </c>
      <c r="F256" t="str">
        <f t="shared" si="123"/>
        <v>FARMÁCIA INDIANA LJ 30 (10127)</v>
      </c>
      <c r="G256" t="str">
        <f t="shared" si="124"/>
        <v>Serv.Prest. 30/12/2024 a 05/01/2025 - RPS: 393 - NFSe: 2619</v>
      </c>
      <c r="H256" t="str">
        <f t="shared" si="120"/>
        <v>15/01/2025</v>
      </c>
      <c r="I256" t="str">
        <f t="shared" si="125"/>
        <v>06/01/2025</v>
      </c>
      <c r="J256" t="str">
        <f t="shared" si="114"/>
        <v>15/01/2025</v>
      </c>
      <c r="M256">
        <v>303</v>
      </c>
      <c r="N256" t="str">
        <f t="shared" si="126"/>
        <v>RECEITAS COM ENTREGAS</v>
      </c>
      <c r="P256">
        <v>319.99</v>
      </c>
      <c r="Q256" t="str">
        <f>"FARMÁCIA INDIANA LJ 65 (10030)"</f>
        <v>FARMÁCIA INDIANA LJ 65 (10030)</v>
      </c>
      <c r="R256" t="str">
        <f t="shared" si="127"/>
        <v>RECEITAS COM ENTREGAS (303)</v>
      </c>
      <c r="S256">
        <v>855</v>
      </c>
      <c r="T256">
        <v>707</v>
      </c>
      <c r="U256" t="s">
        <v>19</v>
      </c>
    </row>
    <row r="257" spans="1:21">
      <c r="A257" t="str">
        <f t="shared" si="112"/>
        <v>15/01/2025</v>
      </c>
      <c r="B257" t="str">
        <f t="shared" si="128"/>
        <v>ENTRADA</v>
      </c>
      <c r="C257" t="str">
        <f t="shared" si="121"/>
        <v>NFSE</v>
      </c>
      <c r="D257" t="str">
        <f t="shared" si="122"/>
        <v>2619</v>
      </c>
      <c r="E257" t="str">
        <f t="shared" si="113"/>
        <v>COM</v>
      </c>
      <c r="F257" t="str">
        <f t="shared" si="123"/>
        <v>FARMÁCIA INDIANA LJ 30 (10127)</v>
      </c>
      <c r="G257" t="str">
        <f t="shared" si="124"/>
        <v>Serv.Prest. 30/12/2024 a 05/01/2025 - RPS: 393 - NFSe: 2619</v>
      </c>
      <c r="H257" t="str">
        <f t="shared" si="120"/>
        <v>15/01/2025</v>
      </c>
      <c r="I257" t="str">
        <f t="shared" si="125"/>
        <v>06/01/2025</v>
      </c>
      <c r="J257" t="str">
        <f t="shared" si="114"/>
        <v>15/01/2025</v>
      </c>
      <c r="M257">
        <v>303</v>
      </c>
      <c r="N257" t="str">
        <f t="shared" si="126"/>
        <v>RECEITAS COM ENTREGAS</v>
      </c>
      <c r="P257">
        <v>137.04</v>
      </c>
      <c r="Q257" t="str">
        <f>"FARMÁCIA INDIANA LJ 77 (10034)"</f>
        <v>FARMÁCIA INDIANA LJ 77 (10034)</v>
      </c>
      <c r="R257" t="str">
        <f t="shared" si="127"/>
        <v>RECEITAS COM ENTREGAS (303)</v>
      </c>
      <c r="S257">
        <v>855</v>
      </c>
      <c r="T257">
        <v>707</v>
      </c>
      <c r="U257" t="s">
        <v>19</v>
      </c>
    </row>
    <row r="258" spans="1:21">
      <c r="A258" t="str">
        <f t="shared" si="112"/>
        <v>15/01/2025</v>
      </c>
      <c r="B258" t="str">
        <f t="shared" si="128"/>
        <v>ENTRADA</v>
      </c>
      <c r="C258" t="str">
        <f t="shared" si="121"/>
        <v>NFSE</v>
      </c>
      <c r="D258" t="str">
        <f t="shared" si="122"/>
        <v>2619</v>
      </c>
      <c r="E258" t="str">
        <f t="shared" si="113"/>
        <v>COM</v>
      </c>
      <c r="F258" t="str">
        <f t="shared" si="123"/>
        <v>FARMÁCIA INDIANA LJ 30 (10127)</v>
      </c>
      <c r="G258" t="str">
        <f t="shared" si="124"/>
        <v>Serv.Prest. 30/12/2024 a 05/01/2025 - RPS: 393 - NFSe: 2619</v>
      </c>
      <c r="H258" t="str">
        <f t="shared" si="120"/>
        <v>15/01/2025</v>
      </c>
      <c r="I258" t="str">
        <f t="shared" si="125"/>
        <v>06/01/2025</v>
      </c>
      <c r="J258" t="str">
        <f t="shared" si="114"/>
        <v>15/01/2025</v>
      </c>
      <c r="M258">
        <v>303</v>
      </c>
      <c r="N258" t="str">
        <f t="shared" si="126"/>
        <v>RECEITAS COM ENTREGAS</v>
      </c>
      <c r="P258">
        <v>161.12</v>
      </c>
      <c r="Q258" t="str">
        <f>"FARMÁCIA INDIANA LJ 91 (10037)"</f>
        <v>FARMÁCIA INDIANA LJ 91 (10037)</v>
      </c>
      <c r="R258" t="str">
        <f t="shared" si="127"/>
        <v>RECEITAS COM ENTREGAS (303)</v>
      </c>
      <c r="S258">
        <v>855</v>
      </c>
      <c r="T258">
        <v>707</v>
      </c>
      <c r="U258" t="s">
        <v>19</v>
      </c>
    </row>
    <row r="259" spans="1:21">
      <c r="A259" t="str">
        <f t="shared" si="112"/>
        <v>15/01/2025</v>
      </c>
      <c r="B259" t="str">
        <f t="shared" si="128"/>
        <v>ENTRADA</v>
      </c>
      <c r="C259" t="str">
        <f t="shared" si="121"/>
        <v>NFSE</v>
      </c>
      <c r="D259" t="str">
        <f t="shared" si="122"/>
        <v>2619</v>
      </c>
      <c r="E259" t="str">
        <f t="shared" si="113"/>
        <v>COM</v>
      </c>
      <c r="F259" t="str">
        <f t="shared" si="123"/>
        <v>FARMÁCIA INDIANA LJ 30 (10127)</v>
      </c>
      <c r="G259" t="str">
        <f t="shared" si="124"/>
        <v>Serv.Prest. 30/12/2024 a 05/01/2025 - RPS: 393 - NFSe: 2619</v>
      </c>
      <c r="H259" t="str">
        <f t="shared" si="120"/>
        <v>15/01/2025</v>
      </c>
      <c r="I259" t="str">
        <f t="shared" si="125"/>
        <v>06/01/2025</v>
      </c>
      <c r="J259" t="str">
        <f t="shared" si="114"/>
        <v>15/01/2025</v>
      </c>
      <c r="M259">
        <v>303</v>
      </c>
      <c r="N259" t="str">
        <f t="shared" si="126"/>
        <v>RECEITAS COM ENTREGAS</v>
      </c>
      <c r="P259">
        <v>471.88</v>
      </c>
      <c r="Q259" t="str">
        <f>"FARMÁCIA INDIANA LJ 95 (10039)"</f>
        <v>FARMÁCIA INDIANA LJ 95 (10039)</v>
      </c>
      <c r="R259" t="str">
        <f t="shared" si="127"/>
        <v>RECEITAS COM ENTREGAS (303)</v>
      </c>
      <c r="S259">
        <v>855</v>
      </c>
      <c r="T259">
        <v>707</v>
      </c>
      <c r="U259" t="s">
        <v>19</v>
      </c>
    </row>
    <row r="260" spans="1:21">
      <c r="A260" t="str">
        <f t="shared" si="112"/>
        <v>15/01/2025</v>
      </c>
      <c r="B260" t="str">
        <f t="shared" si="128"/>
        <v>ENTRADA</v>
      </c>
      <c r="C260" t="str">
        <f t="shared" si="121"/>
        <v>NFSE</v>
      </c>
      <c r="D260" t="str">
        <f t="shared" si="122"/>
        <v>2619</v>
      </c>
      <c r="E260" t="str">
        <f t="shared" si="113"/>
        <v>COM</v>
      </c>
      <c r="F260" t="str">
        <f t="shared" si="123"/>
        <v>FARMÁCIA INDIANA LJ 30 (10127)</v>
      </c>
      <c r="G260" t="str">
        <f t="shared" si="124"/>
        <v>Serv.Prest. 30/12/2024 a 05/01/2025 - RPS: 393 - NFSe: 2619</v>
      </c>
      <c r="H260" t="str">
        <f t="shared" si="120"/>
        <v>15/01/2025</v>
      </c>
      <c r="I260" t="str">
        <f t="shared" si="125"/>
        <v>06/01/2025</v>
      </c>
      <c r="J260" t="str">
        <f t="shared" si="114"/>
        <v>15/01/2025</v>
      </c>
      <c r="M260">
        <v>303</v>
      </c>
      <c r="N260" t="str">
        <f t="shared" si="126"/>
        <v>RECEITAS COM ENTREGAS</v>
      </c>
      <c r="P260">
        <v>159.99</v>
      </c>
      <c r="Q260" t="str">
        <f>"FARMÁCIA INDIANA LJ 145 (10068)"</f>
        <v>FARMÁCIA INDIANA LJ 145 (10068)</v>
      </c>
      <c r="R260" t="str">
        <f t="shared" si="127"/>
        <v>RECEITAS COM ENTREGAS (303)</v>
      </c>
      <c r="S260">
        <v>855</v>
      </c>
      <c r="T260">
        <v>707</v>
      </c>
      <c r="U260" t="s">
        <v>19</v>
      </c>
    </row>
    <row r="261" spans="1:21">
      <c r="A261" t="str">
        <f t="shared" si="112"/>
        <v>15/01/2025</v>
      </c>
      <c r="B261" t="str">
        <f t="shared" si="128"/>
        <v>ENTRADA</v>
      </c>
      <c r="C261" t="str">
        <f t="shared" si="121"/>
        <v>NFSE</v>
      </c>
      <c r="D261" t="str">
        <f t="shared" si="122"/>
        <v>2619</v>
      </c>
      <c r="E261" t="str">
        <f t="shared" si="113"/>
        <v>COM</v>
      </c>
      <c r="F261" t="str">
        <f t="shared" si="123"/>
        <v>FARMÁCIA INDIANA LJ 30 (10127)</v>
      </c>
      <c r="G261" t="str">
        <f t="shared" si="124"/>
        <v>Serv.Prest. 30/12/2024 a 05/01/2025 - RPS: 393 - NFSe: 2619</v>
      </c>
      <c r="H261" t="str">
        <f t="shared" si="120"/>
        <v>15/01/2025</v>
      </c>
      <c r="I261" t="str">
        <f t="shared" si="125"/>
        <v>06/01/2025</v>
      </c>
      <c r="J261" t="str">
        <f t="shared" si="114"/>
        <v>15/01/2025</v>
      </c>
      <c r="M261">
        <v>303</v>
      </c>
      <c r="N261" t="str">
        <f t="shared" si="126"/>
        <v>RECEITAS COM ENTREGAS</v>
      </c>
      <c r="P261">
        <v>227.28</v>
      </c>
      <c r="Q261" t="str">
        <f>"FARMÁCIA INDIANA LJ 169 (10073)"</f>
        <v>FARMÁCIA INDIANA LJ 169 (10073)</v>
      </c>
      <c r="R261" t="str">
        <f t="shared" si="127"/>
        <v>RECEITAS COM ENTREGAS (303)</v>
      </c>
      <c r="S261">
        <v>855</v>
      </c>
      <c r="T261">
        <v>707</v>
      </c>
      <c r="U261" t="s">
        <v>19</v>
      </c>
    </row>
    <row r="262" spans="1:21">
      <c r="A262" t="str">
        <f t="shared" si="112"/>
        <v>15/01/2025</v>
      </c>
      <c r="B262" t="str">
        <f t="shared" si="128"/>
        <v>ENTRADA</v>
      </c>
      <c r="C262" t="str">
        <f t="shared" si="121"/>
        <v>NFSE</v>
      </c>
      <c r="D262" t="str">
        <f t="shared" si="122"/>
        <v>2619</v>
      </c>
      <c r="E262" t="str">
        <f t="shared" si="113"/>
        <v>COM</v>
      </c>
      <c r="F262" t="str">
        <f t="shared" si="123"/>
        <v>FARMÁCIA INDIANA LJ 30 (10127)</v>
      </c>
      <c r="G262" t="str">
        <f t="shared" si="124"/>
        <v>Serv.Prest. 30/12/2024 a 05/01/2025 - RPS: 393 - NFSe: 2619</v>
      </c>
      <c r="H262" t="str">
        <f t="shared" si="120"/>
        <v>15/01/2025</v>
      </c>
      <c r="I262" t="str">
        <f t="shared" si="125"/>
        <v>06/01/2025</v>
      </c>
      <c r="J262" t="str">
        <f t="shared" si="114"/>
        <v>15/01/2025</v>
      </c>
      <c r="M262">
        <v>303</v>
      </c>
      <c r="N262" t="str">
        <f t="shared" si="126"/>
        <v>RECEITAS COM ENTREGAS</v>
      </c>
      <c r="P262">
        <v>160.22</v>
      </c>
      <c r="Q262" t="str">
        <f>"FARMÁCIA INDIANA LJ 173 (10075)"</f>
        <v>FARMÁCIA INDIANA LJ 173 (10075)</v>
      </c>
      <c r="R262" t="str">
        <f t="shared" si="127"/>
        <v>RECEITAS COM ENTREGAS (303)</v>
      </c>
      <c r="S262">
        <v>855</v>
      </c>
      <c r="T262">
        <v>707</v>
      </c>
      <c r="U262" t="s">
        <v>19</v>
      </c>
    </row>
    <row r="263" spans="1:21">
      <c r="A263" t="str">
        <f t="shared" si="112"/>
        <v>15/01/2025</v>
      </c>
      <c r="B263" t="str">
        <f t="shared" si="128"/>
        <v>ENTRADA</v>
      </c>
      <c r="C263" t="str">
        <f t="shared" si="121"/>
        <v>NFSE</v>
      </c>
      <c r="D263" t="str">
        <f t="shared" ref="D263:D268" si="129">"2620"</f>
        <v>2620</v>
      </c>
      <c r="E263" t="str">
        <f t="shared" si="113"/>
        <v>COM</v>
      </c>
      <c r="F263" t="str">
        <f t="shared" ref="F263:F268" si="130">"FARMÁCIA INDIANA LJ 85 (10128)"</f>
        <v>FARMÁCIA INDIANA LJ 85 (10128)</v>
      </c>
      <c r="G263" t="str">
        <f t="shared" ref="G263:G268" si="131">"Serv.Prest. 30/12/2024 a 05/01/2025 - RPS: 394 - NFSe: 2620"</f>
        <v>Serv.Prest. 30/12/2024 a 05/01/2025 - RPS: 394 - NFSe: 2620</v>
      </c>
      <c r="H263" t="str">
        <f t="shared" si="120"/>
        <v>15/01/2025</v>
      </c>
      <c r="I263" t="str">
        <f t="shared" si="125"/>
        <v>06/01/2025</v>
      </c>
      <c r="J263" t="str">
        <f t="shared" si="114"/>
        <v>15/01/2025</v>
      </c>
      <c r="K263">
        <v>690.84</v>
      </c>
      <c r="L263">
        <v>690.84</v>
      </c>
      <c r="M263">
        <v>303</v>
      </c>
      <c r="N263" t="str">
        <f t="shared" si="126"/>
        <v>RECEITAS COM ENTREGAS</v>
      </c>
      <c r="O263">
        <v>690.84</v>
      </c>
      <c r="R263" t="str">
        <f t="shared" si="127"/>
        <v>RECEITAS COM ENTREGAS (303)</v>
      </c>
      <c r="S263">
        <v>856</v>
      </c>
      <c r="T263">
        <v>708</v>
      </c>
      <c r="U263" t="s">
        <v>19</v>
      </c>
    </row>
    <row r="264" spans="1:21">
      <c r="A264" t="str">
        <f t="shared" si="112"/>
        <v>15/01/2025</v>
      </c>
      <c r="B264" t="str">
        <f t="shared" si="128"/>
        <v>ENTRADA</v>
      </c>
      <c r="C264" t="str">
        <f t="shared" si="121"/>
        <v>NFSE</v>
      </c>
      <c r="D264" t="str">
        <f t="shared" si="129"/>
        <v>2620</v>
      </c>
      <c r="E264" t="str">
        <f t="shared" si="113"/>
        <v>COM</v>
      </c>
      <c r="F264" t="str">
        <f t="shared" si="130"/>
        <v>FARMÁCIA INDIANA LJ 85 (10128)</v>
      </c>
      <c r="G264" t="str">
        <f t="shared" si="131"/>
        <v>Serv.Prest. 30/12/2024 a 05/01/2025 - RPS: 394 - NFSe: 2620</v>
      </c>
      <c r="H264" t="str">
        <f t="shared" si="120"/>
        <v>15/01/2025</v>
      </c>
      <c r="I264" t="str">
        <f t="shared" si="125"/>
        <v>06/01/2025</v>
      </c>
      <c r="J264" t="str">
        <f t="shared" si="114"/>
        <v>15/01/2025</v>
      </c>
      <c r="M264">
        <v>303</v>
      </c>
      <c r="N264" t="str">
        <f t="shared" si="126"/>
        <v>RECEITAS COM ENTREGAS</v>
      </c>
      <c r="P264">
        <v>160.13</v>
      </c>
      <c r="Q264" t="str">
        <f>"FARMÁCIA INDIANA LJ 119 (10053)"</f>
        <v>FARMÁCIA INDIANA LJ 119 (10053)</v>
      </c>
      <c r="R264" t="str">
        <f t="shared" si="127"/>
        <v>RECEITAS COM ENTREGAS (303)</v>
      </c>
      <c r="S264">
        <v>856</v>
      </c>
      <c r="T264">
        <v>708</v>
      </c>
      <c r="U264" t="s">
        <v>19</v>
      </c>
    </row>
    <row r="265" spans="1:21">
      <c r="A265" t="str">
        <f t="shared" si="112"/>
        <v>15/01/2025</v>
      </c>
      <c r="B265" t="str">
        <f t="shared" si="128"/>
        <v>ENTRADA</v>
      </c>
      <c r="C265" t="str">
        <f t="shared" si="121"/>
        <v>NFSE</v>
      </c>
      <c r="D265" t="str">
        <f t="shared" si="129"/>
        <v>2620</v>
      </c>
      <c r="E265" t="str">
        <f t="shared" si="113"/>
        <v>COM</v>
      </c>
      <c r="F265" t="str">
        <f t="shared" si="130"/>
        <v>FARMÁCIA INDIANA LJ 85 (10128)</v>
      </c>
      <c r="G265" t="str">
        <f t="shared" si="131"/>
        <v>Serv.Prest. 30/12/2024 a 05/01/2025 - RPS: 394 - NFSe: 2620</v>
      </c>
      <c r="H265" t="str">
        <f t="shared" si="120"/>
        <v>15/01/2025</v>
      </c>
      <c r="I265" t="str">
        <f t="shared" si="125"/>
        <v>06/01/2025</v>
      </c>
      <c r="J265" t="str">
        <f t="shared" si="114"/>
        <v>15/01/2025</v>
      </c>
      <c r="M265">
        <v>303</v>
      </c>
      <c r="N265" t="str">
        <f t="shared" si="126"/>
        <v>RECEITAS COM ENTREGAS</v>
      </c>
      <c r="P265">
        <v>96.79</v>
      </c>
      <c r="Q265" t="str">
        <f>"FARMÁCIA INDIANA LJ 163 (10072)"</f>
        <v>FARMÁCIA INDIANA LJ 163 (10072)</v>
      </c>
      <c r="R265" t="str">
        <f t="shared" si="127"/>
        <v>RECEITAS COM ENTREGAS (303)</v>
      </c>
      <c r="S265">
        <v>856</v>
      </c>
      <c r="T265">
        <v>708</v>
      </c>
      <c r="U265" t="s">
        <v>19</v>
      </c>
    </row>
    <row r="266" spans="1:21">
      <c r="A266" t="str">
        <f t="shared" si="112"/>
        <v>15/01/2025</v>
      </c>
      <c r="B266" t="str">
        <f t="shared" si="128"/>
        <v>ENTRADA</v>
      </c>
      <c r="C266" t="str">
        <f t="shared" si="121"/>
        <v>NFSE</v>
      </c>
      <c r="D266" t="str">
        <f t="shared" si="129"/>
        <v>2620</v>
      </c>
      <c r="E266" t="str">
        <f t="shared" si="113"/>
        <v>COM</v>
      </c>
      <c r="F266" t="str">
        <f t="shared" si="130"/>
        <v>FARMÁCIA INDIANA LJ 85 (10128)</v>
      </c>
      <c r="G266" t="str">
        <f t="shared" si="131"/>
        <v>Serv.Prest. 30/12/2024 a 05/01/2025 - RPS: 394 - NFSe: 2620</v>
      </c>
      <c r="H266" t="str">
        <f t="shared" si="120"/>
        <v>15/01/2025</v>
      </c>
      <c r="I266" t="str">
        <f t="shared" si="125"/>
        <v>06/01/2025</v>
      </c>
      <c r="J266" t="str">
        <f t="shared" si="114"/>
        <v>15/01/2025</v>
      </c>
      <c r="M266">
        <v>303</v>
      </c>
      <c r="N266" t="str">
        <f t="shared" si="126"/>
        <v>RECEITAS COM ENTREGAS</v>
      </c>
      <c r="P266">
        <v>91.61</v>
      </c>
      <c r="Q266" t="str">
        <f>"FARMÁCIA INDIANA LJ 181 (10078)"</f>
        <v>FARMÁCIA INDIANA LJ 181 (10078)</v>
      </c>
      <c r="R266" t="str">
        <f t="shared" si="127"/>
        <v>RECEITAS COM ENTREGAS (303)</v>
      </c>
      <c r="S266">
        <v>856</v>
      </c>
      <c r="T266">
        <v>708</v>
      </c>
      <c r="U266" t="s">
        <v>19</v>
      </c>
    </row>
    <row r="267" spans="1:21">
      <c r="A267" t="str">
        <f t="shared" si="112"/>
        <v>15/01/2025</v>
      </c>
      <c r="B267" t="str">
        <f t="shared" si="128"/>
        <v>ENTRADA</v>
      </c>
      <c r="C267" t="str">
        <f t="shared" si="121"/>
        <v>NFSE</v>
      </c>
      <c r="D267" t="str">
        <f t="shared" si="129"/>
        <v>2620</v>
      </c>
      <c r="E267" t="str">
        <f t="shared" si="113"/>
        <v>COM</v>
      </c>
      <c r="F267" t="str">
        <f t="shared" si="130"/>
        <v>FARMÁCIA INDIANA LJ 85 (10128)</v>
      </c>
      <c r="G267" t="str">
        <f t="shared" si="131"/>
        <v>Serv.Prest. 30/12/2024 a 05/01/2025 - RPS: 394 - NFSe: 2620</v>
      </c>
      <c r="H267" t="str">
        <f t="shared" si="120"/>
        <v>15/01/2025</v>
      </c>
      <c r="I267" t="str">
        <f t="shared" si="125"/>
        <v>06/01/2025</v>
      </c>
      <c r="J267" t="str">
        <f t="shared" si="114"/>
        <v>15/01/2025</v>
      </c>
      <c r="M267">
        <v>303</v>
      </c>
      <c r="N267" t="str">
        <f t="shared" si="126"/>
        <v>RECEITAS COM ENTREGAS</v>
      </c>
      <c r="P267">
        <v>160.13999999999999</v>
      </c>
      <c r="Q267" t="str">
        <f>"FARMÁCIA INDIANA LJ 221 (10093)"</f>
        <v>FARMÁCIA INDIANA LJ 221 (10093)</v>
      </c>
      <c r="R267" t="str">
        <f t="shared" si="127"/>
        <v>RECEITAS COM ENTREGAS (303)</v>
      </c>
      <c r="S267">
        <v>856</v>
      </c>
      <c r="T267">
        <v>708</v>
      </c>
      <c r="U267" t="s">
        <v>19</v>
      </c>
    </row>
    <row r="268" spans="1:21">
      <c r="A268" t="str">
        <f t="shared" si="112"/>
        <v>15/01/2025</v>
      </c>
      <c r="B268" t="str">
        <f t="shared" si="128"/>
        <v>ENTRADA</v>
      </c>
      <c r="C268" t="str">
        <f t="shared" si="121"/>
        <v>NFSE</v>
      </c>
      <c r="D268" t="str">
        <f t="shared" si="129"/>
        <v>2620</v>
      </c>
      <c r="E268" t="str">
        <f t="shared" si="113"/>
        <v>COM</v>
      </c>
      <c r="F268" t="str">
        <f t="shared" si="130"/>
        <v>FARMÁCIA INDIANA LJ 85 (10128)</v>
      </c>
      <c r="G268" t="str">
        <f t="shared" si="131"/>
        <v>Serv.Prest. 30/12/2024 a 05/01/2025 - RPS: 394 - NFSe: 2620</v>
      </c>
      <c r="H268" t="str">
        <f t="shared" si="120"/>
        <v>15/01/2025</v>
      </c>
      <c r="I268" t="str">
        <f t="shared" si="125"/>
        <v>06/01/2025</v>
      </c>
      <c r="J268" t="str">
        <f t="shared" si="114"/>
        <v>15/01/2025</v>
      </c>
      <c r="M268">
        <v>303</v>
      </c>
      <c r="N268" t="str">
        <f t="shared" si="126"/>
        <v>RECEITAS COM ENTREGAS</v>
      </c>
      <c r="P268">
        <v>182.17</v>
      </c>
      <c r="Q268" t="str">
        <f>"FARMÁCIA INDIANA LJ 243 (10142)"</f>
        <v>FARMÁCIA INDIANA LJ 243 (10142)</v>
      </c>
      <c r="R268" t="str">
        <f t="shared" si="127"/>
        <v>RECEITAS COM ENTREGAS (303)</v>
      </c>
      <c r="S268">
        <v>856</v>
      </c>
      <c r="T268">
        <v>708</v>
      </c>
      <c r="U268" t="s">
        <v>19</v>
      </c>
    </row>
    <row r="269" spans="1:21">
      <c r="A269" t="str">
        <f t="shared" si="112"/>
        <v>15/01/2025</v>
      </c>
      <c r="B269" t="str">
        <f t="shared" si="128"/>
        <v>ENTRADA</v>
      </c>
      <c r="C269" t="str">
        <f t="shared" si="121"/>
        <v>NFSE</v>
      </c>
      <c r="D269" t="str">
        <f t="shared" ref="D269:D314" si="132">"2621"</f>
        <v>2621</v>
      </c>
      <c r="E269" t="str">
        <f t="shared" si="113"/>
        <v>COM</v>
      </c>
      <c r="F269" t="str">
        <f t="shared" ref="F269:F314" si="133">"FARMÁCIA INDIANA LJ 1 (10126)"</f>
        <v>FARMÁCIA INDIANA LJ 1 (10126)</v>
      </c>
      <c r="G269" t="str">
        <f t="shared" ref="G269:G314" si="134">"Serv.Prest. 30/12/2024 a 05/01/2025 - RPS: 395 - NFSe: 2621"</f>
        <v>Serv.Prest. 30/12/2024 a 05/01/2025 - RPS: 395 - NFSe: 2621</v>
      </c>
      <c r="H269" t="str">
        <f t="shared" si="120"/>
        <v>15/01/2025</v>
      </c>
      <c r="I269" t="str">
        <f t="shared" ref="I269:I314" si="135">("07/01/2025")</f>
        <v>07/01/2025</v>
      </c>
      <c r="J269" t="str">
        <f t="shared" si="114"/>
        <v>15/01/2025</v>
      </c>
      <c r="K269">
        <v>10910.3</v>
      </c>
      <c r="L269">
        <v>10910.3</v>
      </c>
      <c r="M269">
        <v>303</v>
      </c>
      <c r="N269" t="str">
        <f t="shared" si="126"/>
        <v>RECEITAS COM ENTREGAS</v>
      </c>
      <c r="O269">
        <v>10910.3</v>
      </c>
      <c r="R269" t="str">
        <f t="shared" si="127"/>
        <v>RECEITAS COM ENTREGAS (303)</v>
      </c>
      <c r="S269">
        <v>857</v>
      </c>
      <c r="T269">
        <v>709</v>
      </c>
      <c r="U269" t="s">
        <v>19</v>
      </c>
    </row>
    <row r="270" spans="1:21">
      <c r="A270" t="str">
        <f t="shared" si="112"/>
        <v>15/01/2025</v>
      </c>
      <c r="B270" t="str">
        <f t="shared" si="128"/>
        <v>ENTRADA</v>
      </c>
      <c r="C270" t="str">
        <f t="shared" si="121"/>
        <v>NFSE</v>
      </c>
      <c r="D270" t="str">
        <f t="shared" si="132"/>
        <v>2621</v>
      </c>
      <c r="E270" t="str">
        <f t="shared" si="113"/>
        <v>COM</v>
      </c>
      <c r="F270" t="str">
        <f t="shared" si="133"/>
        <v>FARMÁCIA INDIANA LJ 1 (10126)</v>
      </c>
      <c r="G270" t="str">
        <f t="shared" si="134"/>
        <v>Serv.Prest. 30/12/2024 a 05/01/2025 - RPS: 395 - NFSe: 2621</v>
      </c>
      <c r="H270" t="str">
        <f t="shared" si="120"/>
        <v>15/01/2025</v>
      </c>
      <c r="I270" t="str">
        <f t="shared" si="135"/>
        <v>07/01/2025</v>
      </c>
      <c r="J270" t="str">
        <f t="shared" si="114"/>
        <v>15/01/2025</v>
      </c>
      <c r="M270">
        <v>303</v>
      </c>
      <c r="N270" t="str">
        <f t="shared" si="126"/>
        <v>RECEITAS COM ENTREGAS</v>
      </c>
      <c r="P270">
        <v>1925.63</v>
      </c>
      <c r="Q270" t="str">
        <f>"FARMÁCIA INDIANA LJ 06 (10006)"</f>
        <v>FARMÁCIA INDIANA LJ 06 (10006)</v>
      </c>
      <c r="R270" t="str">
        <f t="shared" si="127"/>
        <v>RECEITAS COM ENTREGAS (303)</v>
      </c>
      <c r="S270">
        <v>857</v>
      </c>
      <c r="T270">
        <v>709</v>
      </c>
      <c r="U270" t="s">
        <v>19</v>
      </c>
    </row>
    <row r="271" spans="1:21">
      <c r="A271" t="str">
        <f t="shared" si="112"/>
        <v>15/01/2025</v>
      </c>
      <c r="B271" t="str">
        <f t="shared" si="128"/>
        <v>ENTRADA</v>
      </c>
      <c r="C271" t="str">
        <f t="shared" si="121"/>
        <v>NFSE</v>
      </c>
      <c r="D271" t="str">
        <f t="shared" si="132"/>
        <v>2621</v>
      </c>
      <c r="E271" t="str">
        <f t="shared" si="113"/>
        <v>COM</v>
      </c>
      <c r="F271" t="str">
        <f t="shared" si="133"/>
        <v>FARMÁCIA INDIANA LJ 1 (10126)</v>
      </c>
      <c r="G271" t="str">
        <f t="shared" si="134"/>
        <v>Serv.Prest. 30/12/2024 a 05/01/2025 - RPS: 395 - NFSe: 2621</v>
      </c>
      <c r="H271" t="str">
        <f t="shared" si="120"/>
        <v>15/01/2025</v>
      </c>
      <c r="I271" t="str">
        <f t="shared" si="135"/>
        <v>07/01/2025</v>
      </c>
      <c r="J271" t="str">
        <f t="shared" si="114"/>
        <v>15/01/2025</v>
      </c>
      <c r="M271">
        <v>303</v>
      </c>
      <c r="N271" t="str">
        <f t="shared" si="126"/>
        <v>RECEITAS COM ENTREGAS</v>
      </c>
      <c r="P271">
        <v>1025.57</v>
      </c>
      <c r="Q271" t="str">
        <f>"FARMÁCIA INDIANA LJ 07 (10007)"</f>
        <v>FARMÁCIA INDIANA LJ 07 (10007)</v>
      </c>
      <c r="R271" t="str">
        <f t="shared" si="127"/>
        <v>RECEITAS COM ENTREGAS (303)</v>
      </c>
      <c r="S271">
        <v>857</v>
      </c>
      <c r="T271">
        <v>709</v>
      </c>
      <c r="U271" t="s">
        <v>19</v>
      </c>
    </row>
    <row r="272" spans="1:21">
      <c r="A272" t="str">
        <f t="shared" si="112"/>
        <v>15/01/2025</v>
      </c>
      <c r="B272" t="str">
        <f t="shared" si="128"/>
        <v>ENTRADA</v>
      </c>
      <c r="C272" t="str">
        <f t="shared" si="121"/>
        <v>NFSE</v>
      </c>
      <c r="D272" t="str">
        <f t="shared" si="132"/>
        <v>2621</v>
      </c>
      <c r="E272" t="str">
        <f t="shared" si="113"/>
        <v>COM</v>
      </c>
      <c r="F272" t="str">
        <f t="shared" si="133"/>
        <v>FARMÁCIA INDIANA LJ 1 (10126)</v>
      </c>
      <c r="G272" t="str">
        <f t="shared" si="134"/>
        <v>Serv.Prest. 30/12/2024 a 05/01/2025 - RPS: 395 - NFSe: 2621</v>
      </c>
      <c r="H272" t="str">
        <f t="shared" si="120"/>
        <v>15/01/2025</v>
      </c>
      <c r="I272" t="str">
        <f t="shared" si="135"/>
        <v>07/01/2025</v>
      </c>
      <c r="J272" t="str">
        <f t="shared" si="114"/>
        <v>15/01/2025</v>
      </c>
      <c r="M272">
        <v>303</v>
      </c>
      <c r="N272" t="str">
        <f t="shared" si="126"/>
        <v>RECEITAS COM ENTREGAS</v>
      </c>
      <c r="P272">
        <v>657.89</v>
      </c>
      <c r="Q272" t="str">
        <f>"FARMÁCIA INDIANA LJ 11 (10008)"</f>
        <v>FARMÁCIA INDIANA LJ 11 (10008)</v>
      </c>
      <c r="R272" t="str">
        <f t="shared" si="127"/>
        <v>RECEITAS COM ENTREGAS (303)</v>
      </c>
      <c r="S272">
        <v>857</v>
      </c>
      <c r="T272">
        <v>709</v>
      </c>
      <c r="U272" t="s">
        <v>19</v>
      </c>
    </row>
    <row r="273" spans="1:21">
      <c r="A273" t="str">
        <f t="shared" ref="A273:A304" si="136">("15/01/2025")</f>
        <v>15/01/2025</v>
      </c>
      <c r="B273" t="str">
        <f t="shared" si="128"/>
        <v>ENTRADA</v>
      </c>
      <c r="C273" t="str">
        <f t="shared" si="121"/>
        <v>NFSE</v>
      </c>
      <c r="D273" t="str">
        <f t="shared" si="132"/>
        <v>2621</v>
      </c>
      <c r="E273" t="str">
        <f t="shared" ref="E273:E304" si="137">"COM"</f>
        <v>COM</v>
      </c>
      <c r="F273" t="str">
        <f t="shared" si="133"/>
        <v>FARMÁCIA INDIANA LJ 1 (10126)</v>
      </c>
      <c r="G273" t="str">
        <f t="shared" si="134"/>
        <v>Serv.Prest. 30/12/2024 a 05/01/2025 - RPS: 395 - NFSe: 2621</v>
      </c>
      <c r="H273" t="str">
        <f t="shared" si="120"/>
        <v>15/01/2025</v>
      </c>
      <c r="I273" t="str">
        <f t="shared" si="135"/>
        <v>07/01/2025</v>
      </c>
      <c r="J273" t="str">
        <f t="shared" ref="J273:J304" si="138">("15/01/2025")</f>
        <v>15/01/2025</v>
      </c>
      <c r="M273">
        <v>303</v>
      </c>
      <c r="N273" t="str">
        <f t="shared" si="126"/>
        <v>RECEITAS COM ENTREGAS</v>
      </c>
      <c r="P273">
        <v>283.67</v>
      </c>
      <c r="Q273" t="str">
        <f>"FARMÁCIA INDIANA LJ 14 (10009)"</f>
        <v>FARMÁCIA INDIANA LJ 14 (10009)</v>
      </c>
      <c r="R273" t="str">
        <f t="shared" si="127"/>
        <v>RECEITAS COM ENTREGAS (303)</v>
      </c>
      <c r="S273">
        <v>857</v>
      </c>
      <c r="T273">
        <v>709</v>
      </c>
      <c r="U273" t="s">
        <v>19</v>
      </c>
    </row>
    <row r="274" spans="1:21">
      <c r="A274" t="str">
        <f t="shared" si="136"/>
        <v>15/01/2025</v>
      </c>
      <c r="B274" t="str">
        <f t="shared" si="128"/>
        <v>ENTRADA</v>
      </c>
      <c r="C274" t="str">
        <f t="shared" si="121"/>
        <v>NFSE</v>
      </c>
      <c r="D274" t="str">
        <f t="shared" si="132"/>
        <v>2621</v>
      </c>
      <c r="E274" t="str">
        <f t="shared" si="137"/>
        <v>COM</v>
      </c>
      <c r="F274" t="str">
        <f t="shared" si="133"/>
        <v>FARMÁCIA INDIANA LJ 1 (10126)</v>
      </c>
      <c r="G274" t="str">
        <f t="shared" si="134"/>
        <v>Serv.Prest. 30/12/2024 a 05/01/2025 - RPS: 395 - NFSe: 2621</v>
      </c>
      <c r="H274" t="str">
        <f t="shared" si="120"/>
        <v>15/01/2025</v>
      </c>
      <c r="I274" t="str">
        <f t="shared" si="135"/>
        <v>07/01/2025</v>
      </c>
      <c r="J274" t="str">
        <f t="shared" si="138"/>
        <v>15/01/2025</v>
      </c>
      <c r="M274">
        <v>303</v>
      </c>
      <c r="N274" t="str">
        <f t="shared" si="126"/>
        <v>RECEITAS COM ENTREGAS</v>
      </c>
      <c r="P274">
        <v>291.31</v>
      </c>
      <c r="Q274" t="str">
        <f>"FARMÁCIA INDIANA LJ 18 (10011)"</f>
        <v>FARMÁCIA INDIANA LJ 18 (10011)</v>
      </c>
      <c r="R274" t="str">
        <f t="shared" si="127"/>
        <v>RECEITAS COM ENTREGAS (303)</v>
      </c>
      <c r="S274">
        <v>857</v>
      </c>
      <c r="T274">
        <v>709</v>
      </c>
      <c r="U274" t="s">
        <v>19</v>
      </c>
    </row>
    <row r="275" spans="1:21">
      <c r="A275" t="str">
        <f t="shared" si="136"/>
        <v>15/01/2025</v>
      </c>
      <c r="B275" t="str">
        <f t="shared" si="128"/>
        <v>ENTRADA</v>
      </c>
      <c r="C275" t="str">
        <f t="shared" si="121"/>
        <v>NFSE</v>
      </c>
      <c r="D275" t="str">
        <f t="shared" si="132"/>
        <v>2621</v>
      </c>
      <c r="E275" t="str">
        <f t="shared" si="137"/>
        <v>COM</v>
      </c>
      <c r="F275" t="str">
        <f t="shared" si="133"/>
        <v>FARMÁCIA INDIANA LJ 1 (10126)</v>
      </c>
      <c r="G275" t="str">
        <f t="shared" si="134"/>
        <v>Serv.Prest. 30/12/2024 a 05/01/2025 - RPS: 395 - NFSe: 2621</v>
      </c>
      <c r="H275" t="str">
        <f t="shared" si="120"/>
        <v>15/01/2025</v>
      </c>
      <c r="I275" t="str">
        <f t="shared" si="135"/>
        <v>07/01/2025</v>
      </c>
      <c r="J275" t="str">
        <f t="shared" si="138"/>
        <v>15/01/2025</v>
      </c>
      <c r="M275">
        <v>303</v>
      </c>
      <c r="N275" t="str">
        <f t="shared" si="126"/>
        <v>RECEITAS COM ENTREGAS</v>
      </c>
      <c r="P275">
        <v>274.94</v>
      </c>
      <c r="Q275" t="str">
        <f>"FARMÁCIA INDIANA LJ 19 (10012)"</f>
        <v>FARMÁCIA INDIANA LJ 19 (10012)</v>
      </c>
      <c r="R275" t="str">
        <f t="shared" si="127"/>
        <v>RECEITAS COM ENTREGAS (303)</v>
      </c>
      <c r="S275">
        <v>857</v>
      </c>
      <c r="T275">
        <v>709</v>
      </c>
      <c r="U275" t="s">
        <v>19</v>
      </c>
    </row>
    <row r="276" spans="1:21">
      <c r="A276" t="str">
        <f t="shared" si="136"/>
        <v>15/01/2025</v>
      </c>
      <c r="B276" t="str">
        <f t="shared" si="128"/>
        <v>ENTRADA</v>
      </c>
      <c r="C276" t="str">
        <f t="shared" si="121"/>
        <v>NFSE</v>
      </c>
      <c r="D276" t="str">
        <f t="shared" si="132"/>
        <v>2621</v>
      </c>
      <c r="E276" t="str">
        <f t="shared" si="137"/>
        <v>COM</v>
      </c>
      <c r="F276" t="str">
        <f t="shared" si="133"/>
        <v>FARMÁCIA INDIANA LJ 1 (10126)</v>
      </c>
      <c r="G276" t="str">
        <f t="shared" si="134"/>
        <v>Serv.Prest. 30/12/2024 a 05/01/2025 - RPS: 395 - NFSe: 2621</v>
      </c>
      <c r="H276" t="str">
        <f t="shared" si="120"/>
        <v>15/01/2025</v>
      </c>
      <c r="I276" t="str">
        <f t="shared" si="135"/>
        <v>07/01/2025</v>
      </c>
      <c r="J276" t="str">
        <f t="shared" si="138"/>
        <v>15/01/2025</v>
      </c>
      <c r="M276">
        <v>303</v>
      </c>
      <c r="N276" t="str">
        <f t="shared" si="126"/>
        <v>RECEITAS COM ENTREGAS</v>
      </c>
      <c r="P276">
        <v>376.41</v>
      </c>
      <c r="Q276" t="str">
        <f>"FARMÁCIA INDIANA LJ 40 (10016)"</f>
        <v>FARMÁCIA INDIANA LJ 40 (10016)</v>
      </c>
      <c r="R276" t="str">
        <f t="shared" si="127"/>
        <v>RECEITAS COM ENTREGAS (303)</v>
      </c>
      <c r="S276">
        <v>857</v>
      </c>
      <c r="T276">
        <v>709</v>
      </c>
      <c r="U276" t="s">
        <v>19</v>
      </c>
    </row>
    <row r="277" spans="1:21">
      <c r="A277" t="str">
        <f t="shared" si="136"/>
        <v>15/01/2025</v>
      </c>
      <c r="B277" t="str">
        <f t="shared" si="128"/>
        <v>ENTRADA</v>
      </c>
      <c r="C277" t="str">
        <f t="shared" si="121"/>
        <v>NFSE</v>
      </c>
      <c r="D277" t="str">
        <f t="shared" si="132"/>
        <v>2621</v>
      </c>
      <c r="E277" t="str">
        <f t="shared" si="137"/>
        <v>COM</v>
      </c>
      <c r="F277" t="str">
        <f t="shared" si="133"/>
        <v>FARMÁCIA INDIANA LJ 1 (10126)</v>
      </c>
      <c r="G277" t="str">
        <f t="shared" si="134"/>
        <v>Serv.Prest. 30/12/2024 a 05/01/2025 - RPS: 395 - NFSe: 2621</v>
      </c>
      <c r="H277" t="str">
        <f t="shared" si="120"/>
        <v>15/01/2025</v>
      </c>
      <c r="I277" t="str">
        <f t="shared" si="135"/>
        <v>07/01/2025</v>
      </c>
      <c r="J277" t="str">
        <f t="shared" si="138"/>
        <v>15/01/2025</v>
      </c>
      <c r="M277">
        <v>303</v>
      </c>
      <c r="N277" t="str">
        <f t="shared" si="126"/>
        <v>RECEITAS COM ENTREGAS</v>
      </c>
      <c r="P277">
        <v>231.3</v>
      </c>
      <c r="Q277" t="str">
        <f>"FARMÁCIA INDIANA LJ 59 (10026)"</f>
        <v>FARMÁCIA INDIANA LJ 59 (10026)</v>
      </c>
      <c r="R277" t="str">
        <f t="shared" si="127"/>
        <v>RECEITAS COM ENTREGAS (303)</v>
      </c>
      <c r="S277">
        <v>857</v>
      </c>
      <c r="T277">
        <v>709</v>
      </c>
      <c r="U277" t="s">
        <v>19</v>
      </c>
    </row>
    <row r="278" spans="1:21">
      <c r="A278" t="str">
        <f t="shared" si="136"/>
        <v>15/01/2025</v>
      </c>
      <c r="B278" t="str">
        <f t="shared" si="128"/>
        <v>ENTRADA</v>
      </c>
      <c r="C278" t="str">
        <f t="shared" si="121"/>
        <v>NFSE</v>
      </c>
      <c r="D278" t="str">
        <f t="shared" si="132"/>
        <v>2621</v>
      </c>
      <c r="E278" t="str">
        <f t="shared" si="137"/>
        <v>COM</v>
      </c>
      <c r="F278" t="str">
        <f t="shared" si="133"/>
        <v>FARMÁCIA INDIANA LJ 1 (10126)</v>
      </c>
      <c r="G278" t="str">
        <f t="shared" si="134"/>
        <v>Serv.Prest. 30/12/2024 a 05/01/2025 - RPS: 395 - NFSe: 2621</v>
      </c>
      <c r="H278" t="str">
        <f t="shared" ref="H278:H309" si="139">("15/01/2025")</f>
        <v>15/01/2025</v>
      </c>
      <c r="I278" t="str">
        <f t="shared" si="135"/>
        <v>07/01/2025</v>
      </c>
      <c r="J278" t="str">
        <f t="shared" si="138"/>
        <v>15/01/2025</v>
      </c>
      <c r="M278">
        <v>303</v>
      </c>
      <c r="N278" t="str">
        <f t="shared" si="126"/>
        <v>RECEITAS COM ENTREGAS</v>
      </c>
      <c r="P278">
        <v>360.04</v>
      </c>
      <c r="Q278" t="str">
        <f>"FARMÁCIA INDIANA LJ 61 (10027)"</f>
        <v>FARMÁCIA INDIANA LJ 61 (10027)</v>
      </c>
      <c r="R278" t="str">
        <f t="shared" si="127"/>
        <v>RECEITAS COM ENTREGAS (303)</v>
      </c>
      <c r="S278">
        <v>857</v>
      </c>
      <c r="T278">
        <v>709</v>
      </c>
      <c r="U278" t="s">
        <v>19</v>
      </c>
    </row>
    <row r="279" spans="1:21">
      <c r="A279" t="str">
        <f t="shared" si="136"/>
        <v>15/01/2025</v>
      </c>
      <c r="B279" t="str">
        <f t="shared" si="128"/>
        <v>ENTRADA</v>
      </c>
      <c r="C279" t="str">
        <f t="shared" si="121"/>
        <v>NFSE</v>
      </c>
      <c r="D279" t="str">
        <f t="shared" si="132"/>
        <v>2621</v>
      </c>
      <c r="E279" t="str">
        <f t="shared" si="137"/>
        <v>COM</v>
      </c>
      <c r="F279" t="str">
        <f t="shared" si="133"/>
        <v>FARMÁCIA INDIANA LJ 1 (10126)</v>
      </c>
      <c r="G279" t="str">
        <f t="shared" si="134"/>
        <v>Serv.Prest. 30/12/2024 a 05/01/2025 - RPS: 395 - NFSe: 2621</v>
      </c>
      <c r="H279" t="str">
        <f t="shared" si="139"/>
        <v>15/01/2025</v>
      </c>
      <c r="I279" t="str">
        <f t="shared" si="135"/>
        <v>07/01/2025</v>
      </c>
      <c r="J279" t="str">
        <f t="shared" si="138"/>
        <v>15/01/2025</v>
      </c>
      <c r="M279">
        <v>303</v>
      </c>
      <c r="N279" t="str">
        <f t="shared" si="126"/>
        <v>RECEITAS COM ENTREGAS</v>
      </c>
      <c r="P279">
        <v>246.57</v>
      </c>
      <c r="Q279" t="str">
        <f>"FARMÁCIA INDIANA LJ 62 (10028)"</f>
        <v>FARMÁCIA INDIANA LJ 62 (10028)</v>
      </c>
      <c r="R279" t="str">
        <f t="shared" si="127"/>
        <v>RECEITAS COM ENTREGAS (303)</v>
      </c>
      <c r="S279">
        <v>857</v>
      </c>
      <c r="T279">
        <v>709</v>
      </c>
      <c r="U279" t="s">
        <v>19</v>
      </c>
    </row>
    <row r="280" spans="1:21">
      <c r="A280" t="str">
        <f t="shared" si="136"/>
        <v>15/01/2025</v>
      </c>
      <c r="B280" t="str">
        <f t="shared" si="128"/>
        <v>ENTRADA</v>
      </c>
      <c r="C280" t="str">
        <f t="shared" si="121"/>
        <v>NFSE</v>
      </c>
      <c r="D280" t="str">
        <f t="shared" si="132"/>
        <v>2621</v>
      </c>
      <c r="E280" t="str">
        <f t="shared" si="137"/>
        <v>COM</v>
      </c>
      <c r="F280" t="str">
        <f t="shared" si="133"/>
        <v>FARMÁCIA INDIANA LJ 1 (10126)</v>
      </c>
      <c r="G280" t="str">
        <f t="shared" si="134"/>
        <v>Serv.Prest. 30/12/2024 a 05/01/2025 - RPS: 395 - NFSe: 2621</v>
      </c>
      <c r="H280" t="str">
        <f t="shared" si="139"/>
        <v>15/01/2025</v>
      </c>
      <c r="I280" t="str">
        <f t="shared" si="135"/>
        <v>07/01/2025</v>
      </c>
      <c r="J280" t="str">
        <f t="shared" si="138"/>
        <v>15/01/2025</v>
      </c>
      <c r="M280">
        <v>303</v>
      </c>
      <c r="N280" t="str">
        <f t="shared" si="126"/>
        <v>RECEITAS COM ENTREGAS</v>
      </c>
      <c r="P280">
        <v>114.56</v>
      </c>
      <c r="Q280" t="str">
        <f>"FARMÁCIA INDIANA LJ 64 (10029)"</f>
        <v>FARMÁCIA INDIANA LJ 64 (10029)</v>
      </c>
      <c r="R280" t="str">
        <f t="shared" si="127"/>
        <v>RECEITAS COM ENTREGAS (303)</v>
      </c>
      <c r="S280">
        <v>857</v>
      </c>
      <c r="T280">
        <v>709</v>
      </c>
      <c r="U280" t="s">
        <v>19</v>
      </c>
    </row>
    <row r="281" spans="1:21">
      <c r="A281" t="str">
        <f t="shared" si="136"/>
        <v>15/01/2025</v>
      </c>
      <c r="B281" t="str">
        <f t="shared" si="128"/>
        <v>ENTRADA</v>
      </c>
      <c r="C281" t="str">
        <f t="shared" si="121"/>
        <v>NFSE</v>
      </c>
      <c r="D281" t="str">
        <f t="shared" si="132"/>
        <v>2621</v>
      </c>
      <c r="E281" t="str">
        <f t="shared" si="137"/>
        <v>COM</v>
      </c>
      <c r="F281" t="str">
        <f t="shared" si="133"/>
        <v>FARMÁCIA INDIANA LJ 1 (10126)</v>
      </c>
      <c r="G281" t="str">
        <f t="shared" si="134"/>
        <v>Serv.Prest. 30/12/2024 a 05/01/2025 - RPS: 395 - NFSe: 2621</v>
      </c>
      <c r="H281" t="str">
        <f t="shared" si="139"/>
        <v>15/01/2025</v>
      </c>
      <c r="I281" t="str">
        <f t="shared" si="135"/>
        <v>07/01/2025</v>
      </c>
      <c r="J281" t="str">
        <f t="shared" si="138"/>
        <v>15/01/2025</v>
      </c>
      <c r="M281">
        <v>303</v>
      </c>
      <c r="N281" t="str">
        <f t="shared" si="126"/>
        <v>RECEITAS COM ENTREGAS</v>
      </c>
      <c r="P281">
        <v>54.55</v>
      </c>
      <c r="Q281" t="str">
        <f>"FARMÁCIA INDIANA LJ 97 (10040)"</f>
        <v>FARMÁCIA INDIANA LJ 97 (10040)</v>
      </c>
      <c r="R281" t="str">
        <f t="shared" si="127"/>
        <v>RECEITAS COM ENTREGAS (303)</v>
      </c>
      <c r="S281">
        <v>857</v>
      </c>
      <c r="T281">
        <v>709</v>
      </c>
      <c r="U281" t="s">
        <v>19</v>
      </c>
    </row>
    <row r="282" spans="1:21">
      <c r="A282" t="str">
        <f t="shared" si="136"/>
        <v>15/01/2025</v>
      </c>
      <c r="B282" t="str">
        <f t="shared" si="128"/>
        <v>ENTRADA</v>
      </c>
      <c r="C282" t="str">
        <f t="shared" si="121"/>
        <v>NFSE</v>
      </c>
      <c r="D282" t="str">
        <f t="shared" si="132"/>
        <v>2621</v>
      </c>
      <c r="E282" t="str">
        <f t="shared" si="137"/>
        <v>COM</v>
      </c>
      <c r="F282" t="str">
        <f t="shared" si="133"/>
        <v>FARMÁCIA INDIANA LJ 1 (10126)</v>
      </c>
      <c r="G282" t="str">
        <f t="shared" si="134"/>
        <v>Serv.Prest. 30/12/2024 a 05/01/2025 - RPS: 395 - NFSe: 2621</v>
      </c>
      <c r="H282" t="str">
        <f t="shared" si="139"/>
        <v>15/01/2025</v>
      </c>
      <c r="I282" t="str">
        <f t="shared" si="135"/>
        <v>07/01/2025</v>
      </c>
      <c r="J282" t="str">
        <f t="shared" si="138"/>
        <v>15/01/2025</v>
      </c>
      <c r="M282">
        <v>303</v>
      </c>
      <c r="N282" t="str">
        <f t="shared" si="126"/>
        <v>RECEITAS COM ENTREGAS</v>
      </c>
      <c r="P282">
        <v>320.76</v>
      </c>
      <c r="Q282" t="str">
        <f>"FARMÁCIA INDIANA LJ 100 (10042)"</f>
        <v>FARMÁCIA INDIANA LJ 100 (10042)</v>
      </c>
      <c r="R282" t="str">
        <f t="shared" si="127"/>
        <v>RECEITAS COM ENTREGAS (303)</v>
      </c>
      <c r="S282">
        <v>857</v>
      </c>
      <c r="T282">
        <v>709</v>
      </c>
      <c r="U282" t="s">
        <v>19</v>
      </c>
    </row>
    <row r="283" spans="1:21">
      <c r="A283" t="str">
        <f t="shared" si="136"/>
        <v>15/01/2025</v>
      </c>
      <c r="B283" t="str">
        <f t="shared" si="128"/>
        <v>ENTRADA</v>
      </c>
      <c r="C283" t="str">
        <f t="shared" si="121"/>
        <v>NFSE</v>
      </c>
      <c r="D283" t="str">
        <f t="shared" si="132"/>
        <v>2621</v>
      </c>
      <c r="E283" t="str">
        <f t="shared" si="137"/>
        <v>COM</v>
      </c>
      <c r="F283" t="str">
        <f t="shared" si="133"/>
        <v>FARMÁCIA INDIANA LJ 1 (10126)</v>
      </c>
      <c r="G283" t="str">
        <f t="shared" si="134"/>
        <v>Serv.Prest. 30/12/2024 a 05/01/2025 - RPS: 395 - NFSe: 2621</v>
      </c>
      <c r="H283" t="str">
        <f t="shared" si="139"/>
        <v>15/01/2025</v>
      </c>
      <c r="I283" t="str">
        <f t="shared" si="135"/>
        <v>07/01/2025</v>
      </c>
      <c r="J283" t="str">
        <f t="shared" si="138"/>
        <v>15/01/2025</v>
      </c>
      <c r="M283">
        <v>303</v>
      </c>
      <c r="N283" t="str">
        <f t="shared" si="126"/>
        <v>RECEITAS COM ENTREGAS</v>
      </c>
      <c r="P283">
        <v>512.78</v>
      </c>
      <c r="Q283" t="str">
        <f>"FARMÁCIA INDIANA LJ 101 (10043)"</f>
        <v>FARMÁCIA INDIANA LJ 101 (10043)</v>
      </c>
      <c r="R283" t="str">
        <f t="shared" si="127"/>
        <v>RECEITAS COM ENTREGAS (303)</v>
      </c>
      <c r="S283">
        <v>857</v>
      </c>
      <c r="T283">
        <v>709</v>
      </c>
      <c r="U283" t="s">
        <v>19</v>
      </c>
    </row>
    <row r="284" spans="1:21">
      <c r="A284" t="str">
        <f t="shared" si="136"/>
        <v>15/01/2025</v>
      </c>
      <c r="B284" t="str">
        <f t="shared" si="128"/>
        <v>ENTRADA</v>
      </c>
      <c r="C284" t="str">
        <f t="shared" ref="C284:C314" si="140">"NFSE"</f>
        <v>NFSE</v>
      </c>
      <c r="D284" t="str">
        <f t="shared" si="132"/>
        <v>2621</v>
      </c>
      <c r="E284" t="str">
        <f t="shared" si="137"/>
        <v>COM</v>
      </c>
      <c r="F284" t="str">
        <f t="shared" si="133"/>
        <v>FARMÁCIA INDIANA LJ 1 (10126)</v>
      </c>
      <c r="G284" t="str">
        <f t="shared" si="134"/>
        <v>Serv.Prest. 30/12/2024 a 05/01/2025 - RPS: 395 - NFSe: 2621</v>
      </c>
      <c r="H284" t="str">
        <f t="shared" si="139"/>
        <v>15/01/2025</v>
      </c>
      <c r="I284" t="str">
        <f t="shared" si="135"/>
        <v>07/01/2025</v>
      </c>
      <c r="J284" t="str">
        <f t="shared" si="138"/>
        <v>15/01/2025</v>
      </c>
      <c r="M284">
        <v>303</v>
      </c>
      <c r="N284" t="str">
        <f t="shared" ref="N284:N314" si="141">"RECEITAS COM ENTREGAS"</f>
        <v>RECEITAS COM ENTREGAS</v>
      </c>
      <c r="P284">
        <v>62.19</v>
      </c>
      <c r="Q284" t="str">
        <f>"FARMÁCIA INDIANA LJ 103 (10044)"</f>
        <v>FARMÁCIA INDIANA LJ 103 (10044)</v>
      </c>
      <c r="R284" t="str">
        <f t="shared" ref="R284:R314" si="142">"RECEITAS COM ENTREGAS (303)"</f>
        <v>RECEITAS COM ENTREGAS (303)</v>
      </c>
      <c r="S284">
        <v>857</v>
      </c>
      <c r="T284">
        <v>709</v>
      </c>
      <c r="U284" t="s">
        <v>19</v>
      </c>
    </row>
    <row r="285" spans="1:21">
      <c r="A285" t="str">
        <f t="shared" si="136"/>
        <v>15/01/2025</v>
      </c>
      <c r="B285" t="str">
        <f t="shared" si="128"/>
        <v>ENTRADA</v>
      </c>
      <c r="C285" t="str">
        <f t="shared" si="140"/>
        <v>NFSE</v>
      </c>
      <c r="D285" t="str">
        <f t="shared" si="132"/>
        <v>2621</v>
      </c>
      <c r="E285" t="str">
        <f t="shared" si="137"/>
        <v>COM</v>
      </c>
      <c r="F285" t="str">
        <f t="shared" si="133"/>
        <v>FARMÁCIA INDIANA LJ 1 (10126)</v>
      </c>
      <c r="G285" t="str">
        <f t="shared" si="134"/>
        <v>Serv.Prest. 30/12/2024 a 05/01/2025 - RPS: 395 - NFSe: 2621</v>
      </c>
      <c r="H285" t="str">
        <f t="shared" si="139"/>
        <v>15/01/2025</v>
      </c>
      <c r="I285" t="str">
        <f t="shared" si="135"/>
        <v>07/01/2025</v>
      </c>
      <c r="J285" t="str">
        <f t="shared" si="138"/>
        <v>15/01/2025</v>
      </c>
      <c r="M285">
        <v>303</v>
      </c>
      <c r="N285" t="str">
        <f t="shared" si="141"/>
        <v>RECEITAS COM ENTREGAS</v>
      </c>
      <c r="P285">
        <v>80.739999999999995</v>
      </c>
      <c r="Q285" t="str">
        <f>"FARMÁCIA INDIANA LJ 109 (10047)"</f>
        <v>FARMÁCIA INDIANA LJ 109 (10047)</v>
      </c>
      <c r="R285" t="str">
        <f t="shared" si="142"/>
        <v>RECEITAS COM ENTREGAS (303)</v>
      </c>
      <c r="S285">
        <v>857</v>
      </c>
      <c r="T285">
        <v>709</v>
      </c>
      <c r="U285" t="s">
        <v>19</v>
      </c>
    </row>
    <row r="286" spans="1:21">
      <c r="A286" t="str">
        <f t="shared" si="136"/>
        <v>15/01/2025</v>
      </c>
      <c r="B286" t="str">
        <f t="shared" si="128"/>
        <v>ENTRADA</v>
      </c>
      <c r="C286" t="str">
        <f t="shared" si="140"/>
        <v>NFSE</v>
      </c>
      <c r="D286" t="str">
        <f t="shared" si="132"/>
        <v>2621</v>
      </c>
      <c r="E286" t="str">
        <f t="shared" si="137"/>
        <v>COM</v>
      </c>
      <c r="F286" t="str">
        <f t="shared" si="133"/>
        <v>FARMÁCIA INDIANA LJ 1 (10126)</v>
      </c>
      <c r="G286" t="str">
        <f t="shared" si="134"/>
        <v>Serv.Prest. 30/12/2024 a 05/01/2025 - RPS: 395 - NFSe: 2621</v>
      </c>
      <c r="H286" t="str">
        <f t="shared" si="139"/>
        <v>15/01/2025</v>
      </c>
      <c r="I286" t="str">
        <f t="shared" si="135"/>
        <v>07/01/2025</v>
      </c>
      <c r="J286" t="str">
        <f t="shared" si="138"/>
        <v>15/01/2025</v>
      </c>
      <c r="M286">
        <v>303</v>
      </c>
      <c r="N286" t="str">
        <f t="shared" si="141"/>
        <v>RECEITAS COM ENTREGAS</v>
      </c>
      <c r="P286">
        <v>501.87</v>
      </c>
      <c r="Q286" t="str">
        <f>"FARMÁCIA INDIANA LJ 110 (10048)"</f>
        <v>FARMÁCIA INDIANA LJ 110 (10048)</v>
      </c>
      <c r="R286" t="str">
        <f t="shared" si="142"/>
        <v>RECEITAS COM ENTREGAS (303)</v>
      </c>
      <c r="S286">
        <v>857</v>
      </c>
      <c r="T286">
        <v>709</v>
      </c>
      <c r="U286" t="s">
        <v>19</v>
      </c>
    </row>
    <row r="287" spans="1:21">
      <c r="A287" t="str">
        <f t="shared" si="136"/>
        <v>15/01/2025</v>
      </c>
      <c r="B287" t="str">
        <f t="shared" si="128"/>
        <v>ENTRADA</v>
      </c>
      <c r="C287" t="str">
        <f t="shared" si="140"/>
        <v>NFSE</v>
      </c>
      <c r="D287" t="str">
        <f t="shared" si="132"/>
        <v>2621</v>
      </c>
      <c r="E287" t="str">
        <f t="shared" si="137"/>
        <v>COM</v>
      </c>
      <c r="F287" t="str">
        <f t="shared" si="133"/>
        <v>FARMÁCIA INDIANA LJ 1 (10126)</v>
      </c>
      <c r="G287" t="str">
        <f t="shared" si="134"/>
        <v>Serv.Prest. 30/12/2024 a 05/01/2025 - RPS: 395 - NFSe: 2621</v>
      </c>
      <c r="H287" t="str">
        <f t="shared" si="139"/>
        <v>15/01/2025</v>
      </c>
      <c r="I287" t="str">
        <f t="shared" si="135"/>
        <v>07/01/2025</v>
      </c>
      <c r="J287" t="str">
        <f t="shared" si="138"/>
        <v>15/01/2025</v>
      </c>
      <c r="M287">
        <v>303</v>
      </c>
      <c r="N287" t="str">
        <f t="shared" si="141"/>
        <v>RECEITAS COM ENTREGAS</v>
      </c>
      <c r="P287">
        <v>53.46</v>
      </c>
      <c r="Q287" t="str">
        <f>"FARMÁCIA INDIANA LJ 111 (10049)"</f>
        <v>FARMÁCIA INDIANA LJ 111 (10049)</v>
      </c>
      <c r="R287" t="str">
        <f t="shared" si="142"/>
        <v>RECEITAS COM ENTREGAS (303)</v>
      </c>
      <c r="S287">
        <v>857</v>
      </c>
      <c r="T287">
        <v>709</v>
      </c>
      <c r="U287" t="s">
        <v>19</v>
      </c>
    </row>
    <row r="288" spans="1:21">
      <c r="A288" t="str">
        <f t="shared" si="136"/>
        <v>15/01/2025</v>
      </c>
      <c r="B288" t="str">
        <f t="shared" si="128"/>
        <v>ENTRADA</v>
      </c>
      <c r="C288" t="str">
        <f t="shared" si="140"/>
        <v>NFSE</v>
      </c>
      <c r="D288" t="str">
        <f t="shared" si="132"/>
        <v>2621</v>
      </c>
      <c r="E288" t="str">
        <f t="shared" si="137"/>
        <v>COM</v>
      </c>
      <c r="F288" t="str">
        <f t="shared" si="133"/>
        <v>FARMÁCIA INDIANA LJ 1 (10126)</v>
      </c>
      <c r="G288" t="str">
        <f t="shared" si="134"/>
        <v>Serv.Prest. 30/12/2024 a 05/01/2025 - RPS: 395 - NFSe: 2621</v>
      </c>
      <c r="H288" t="str">
        <f t="shared" si="139"/>
        <v>15/01/2025</v>
      </c>
      <c r="I288" t="str">
        <f t="shared" si="135"/>
        <v>07/01/2025</v>
      </c>
      <c r="J288" t="str">
        <f t="shared" si="138"/>
        <v>15/01/2025</v>
      </c>
      <c r="M288">
        <v>303</v>
      </c>
      <c r="N288" t="str">
        <f t="shared" si="141"/>
        <v>RECEITAS COM ENTREGAS</v>
      </c>
      <c r="P288">
        <v>126.56</v>
      </c>
      <c r="Q288" t="str">
        <f>"FARMÁCIA INDIANA LJ 112 (10050)"</f>
        <v>FARMÁCIA INDIANA LJ 112 (10050)</v>
      </c>
      <c r="R288" t="str">
        <f t="shared" si="142"/>
        <v>RECEITAS COM ENTREGAS (303)</v>
      </c>
      <c r="S288">
        <v>857</v>
      </c>
      <c r="T288">
        <v>709</v>
      </c>
      <c r="U288" t="s">
        <v>19</v>
      </c>
    </row>
    <row r="289" spans="1:21">
      <c r="A289" t="str">
        <f t="shared" si="136"/>
        <v>15/01/2025</v>
      </c>
      <c r="B289" t="str">
        <f t="shared" si="128"/>
        <v>ENTRADA</v>
      </c>
      <c r="C289" t="str">
        <f t="shared" si="140"/>
        <v>NFSE</v>
      </c>
      <c r="D289" t="str">
        <f t="shared" si="132"/>
        <v>2621</v>
      </c>
      <c r="E289" t="str">
        <f t="shared" si="137"/>
        <v>COM</v>
      </c>
      <c r="F289" t="str">
        <f t="shared" si="133"/>
        <v>FARMÁCIA INDIANA LJ 1 (10126)</v>
      </c>
      <c r="G289" t="str">
        <f t="shared" si="134"/>
        <v>Serv.Prest. 30/12/2024 a 05/01/2025 - RPS: 395 - NFSe: 2621</v>
      </c>
      <c r="H289" t="str">
        <f t="shared" si="139"/>
        <v>15/01/2025</v>
      </c>
      <c r="I289" t="str">
        <f t="shared" si="135"/>
        <v>07/01/2025</v>
      </c>
      <c r="J289" t="str">
        <f t="shared" si="138"/>
        <v>15/01/2025</v>
      </c>
      <c r="M289">
        <v>303</v>
      </c>
      <c r="N289" t="str">
        <f t="shared" si="141"/>
        <v>RECEITAS COM ENTREGAS</v>
      </c>
      <c r="P289">
        <v>126.56</v>
      </c>
      <c r="Q289" t="str">
        <f>"FARMÁCIA INDIANA LJ 116 (10051)"</f>
        <v>FARMÁCIA INDIANA LJ 116 (10051)</v>
      </c>
      <c r="R289" t="str">
        <f t="shared" si="142"/>
        <v>RECEITAS COM ENTREGAS (303)</v>
      </c>
      <c r="S289">
        <v>857</v>
      </c>
      <c r="T289">
        <v>709</v>
      </c>
      <c r="U289" t="s">
        <v>19</v>
      </c>
    </row>
    <row r="290" spans="1:21">
      <c r="A290" t="str">
        <f t="shared" si="136"/>
        <v>15/01/2025</v>
      </c>
      <c r="B290" t="str">
        <f t="shared" si="128"/>
        <v>ENTRADA</v>
      </c>
      <c r="C290" t="str">
        <f t="shared" si="140"/>
        <v>NFSE</v>
      </c>
      <c r="D290" t="str">
        <f t="shared" si="132"/>
        <v>2621</v>
      </c>
      <c r="E290" t="str">
        <f t="shared" si="137"/>
        <v>COM</v>
      </c>
      <c r="F290" t="str">
        <f t="shared" si="133"/>
        <v>FARMÁCIA INDIANA LJ 1 (10126)</v>
      </c>
      <c r="G290" t="str">
        <f t="shared" si="134"/>
        <v>Serv.Prest. 30/12/2024 a 05/01/2025 - RPS: 395 - NFSe: 2621</v>
      </c>
      <c r="H290" t="str">
        <f t="shared" si="139"/>
        <v>15/01/2025</v>
      </c>
      <c r="I290" t="str">
        <f t="shared" si="135"/>
        <v>07/01/2025</v>
      </c>
      <c r="J290" t="str">
        <f t="shared" si="138"/>
        <v>15/01/2025</v>
      </c>
      <c r="M290">
        <v>303</v>
      </c>
      <c r="N290" t="str">
        <f t="shared" si="141"/>
        <v>RECEITAS COM ENTREGAS</v>
      </c>
      <c r="P290">
        <v>90.56</v>
      </c>
      <c r="Q290" t="str">
        <f>"FARMÁCIA INDIANA LJ 118 (10052)"</f>
        <v>FARMÁCIA INDIANA LJ 118 (10052)</v>
      </c>
      <c r="R290" t="str">
        <f t="shared" si="142"/>
        <v>RECEITAS COM ENTREGAS (303)</v>
      </c>
      <c r="S290">
        <v>857</v>
      </c>
      <c r="T290">
        <v>709</v>
      </c>
      <c r="U290" t="s">
        <v>19</v>
      </c>
    </row>
    <row r="291" spans="1:21">
      <c r="A291" t="str">
        <f t="shared" si="136"/>
        <v>15/01/2025</v>
      </c>
      <c r="B291" t="str">
        <f t="shared" si="128"/>
        <v>ENTRADA</v>
      </c>
      <c r="C291" t="str">
        <f t="shared" si="140"/>
        <v>NFSE</v>
      </c>
      <c r="D291" t="str">
        <f t="shared" si="132"/>
        <v>2621</v>
      </c>
      <c r="E291" t="str">
        <f t="shared" si="137"/>
        <v>COM</v>
      </c>
      <c r="F291" t="str">
        <f t="shared" si="133"/>
        <v>FARMÁCIA INDIANA LJ 1 (10126)</v>
      </c>
      <c r="G291" t="str">
        <f t="shared" si="134"/>
        <v>Serv.Prest. 30/12/2024 a 05/01/2025 - RPS: 395 - NFSe: 2621</v>
      </c>
      <c r="H291" t="str">
        <f t="shared" si="139"/>
        <v>15/01/2025</v>
      </c>
      <c r="I291" t="str">
        <f t="shared" si="135"/>
        <v>07/01/2025</v>
      </c>
      <c r="J291" t="str">
        <f t="shared" si="138"/>
        <v>15/01/2025</v>
      </c>
      <c r="M291">
        <v>303</v>
      </c>
      <c r="N291" t="str">
        <f t="shared" si="141"/>
        <v>RECEITAS COM ENTREGAS</v>
      </c>
      <c r="P291">
        <v>126.56</v>
      </c>
      <c r="Q291" t="str">
        <f>"FARMÁCIA INDIANA LJ 121 (10054)"</f>
        <v>FARMÁCIA INDIANA LJ 121 (10054)</v>
      </c>
      <c r="R291" t="str">
        <f t="shared" si="142"/>
        <v>RECEITAS COM ENTREGAS (303)</v>
      </c>
      <c r="S291">
        <v>857</v>
      </c>
      <c r="T291">
        <v>709</v>
      </c>
      <c r="U291" t="s">
        <v>19</v>
      </c>
    </row>
    <row r="292" spans="1:21">
      <c r="A292" t="str">
        <f t="shared" si="136"/>
        <v>15/01/2025</v>
      </c>
      <c r="B292" t="str">
        <f t="shared" si="128"/>
        <v>ENTRADA</v>
      </c>
      <c r="C292" t="str">
        <f t="shared" si="140"/>
        <v>NFSE</v>
      </c>
      <c r="D292" t="str">
        <f t="shared" si="132"/>
        <v>2621</v>
      </c>
      <c r="E292" t="str">
        <f t="shared" si="137"/>
        <v>COM</v>
      </c>
      <c r="F292" t="str">
        <f t="shared" si="133"/>
        <v>FARMÁCIA INDIANA LJ 1 (10126)</v>
      </c>
      <c r="G292" t="str">
        <f t="shared" si="134"/>
        <v>Serv.Prest. 30/12/2024 a 05/01/2025 - RPS: 395 - NFSe: 2621</v>
      </c>
      <c r="H292" t="str">
        <f t="shared" si="139"/>
        <v>15/01/2025</v>
      </c>
      <c r="I292" t="str">
        <f t="shared" si="135"/>
        <v>07/01/2025</v>
      </c>
      <c r="J292" t="str">
        <f t="shared" si="138"/>
        <v>15/01/2025</v>
      </c>
      <c r="M292">
        <v>303</v>
      </c>
      <c r="N292" t="str">
        <f t="shared" si="141"/>
        <v>RECEITAS COM ENTREGAS</v>
      </c>
      <c r="P292">
        <v>126.56</v>
      </c>
      <c r="Q292" t="str">
        <f>"FARMÁCIA INDIANA LJ 128 (10057)"</f>
        <v>FARMÁCIA INDIANA LJ 128 (10057)</v>
      </c>
      <c r="R292" t="str">
        <f t="shared" si="142"/>
        <v>RECEITAS COM ENTREGAS (303)</v>
      </c>
      <c r="S292">
        <v>857</v>
      </c>
      <c r="T292">
        <v>709</v>
      </c>
      <c r="U292" t="s">
        <v>19</v>
      </c>
    </row>
    <row r="293" spans="1:21">
      <c r="A293" t="str">
        <f t="shared" si="136"/>
        <v>15/01/2025</v>
      </c>
      <c r="B293" t="str">
        <f t="shared" si="128"/>
        <v>ENTRADA</v>
      </c>
      <c r="C293" t="str">
        <f t="shared" si="140"/>
        <v>NFSE</v>
      </c>
      <c r="D293" t="str">
        <f t="shared" si="132"/>
        <v>2621</v>
      </c>
      <c r="E293" t="str">
        <f t="shared" si="137"/>
        <v>COM</v>
      </c>
      <c r="F293" t="str">
        <f t="shared" si="133"/>
        <v>FARMÁCIA INDIANA LJ 1 (10126)</v>
      </c>
      <c r="G293" t="str">
        <f t="shared" si="134"/>
        <v>Serv.Prest. 30/12/2024 a 05/01/2025 - RPS: 395 - NFSe: 2621</v>
      </c>
      <c r="H293" t="str">
        <f t="shared" si="139"/>
        <v>15/01/2025</v>
      </c>
      <c r="I293" t="str">
        <f t="shared" si="135"/>
        <v>07/01/2025</v>
      </c>
      <c r="J293" t="str">
        <f t="shared" si="138"/>
        <v>15/01/2025</v>
      </c>
      <c r="M293">
        <v>303</v>
      </c>
      <c r="N293" t="str">
        <f t="shared" si="141"/>
        <v>RECEITAS COM ENTREGAS</v>
      </c>
      <c r="P293">
        <v>305.49</v>
      </c>
      <c r="Q293" t="str">
        <f>"FARMÁCIA INDIANA LJ 132 (10059)"</f>
        <v>FARMÁCIA INDIANA LJ 132 (10059)</v>
      </c>
      <c r="R293" t="str">
        <f t="shared" si="142"/>
        <v>RECEITAS COM ENTREGAS (303)</v>
      </c>
      <c r="S293">
        <v>857</v>
      </c>
      <c r="T293">
        <v>709</v>
      </c>
      <c r="U293" t="s">
        <v>19</v>
      </c>
    </row>
    <row r="294" spans="1:21">
      <c r="A294" t="str">
        <f t="shared" si="136"/>
        <v>15/01/2025</v>
      </c>
      <c r="B294" t="str">
        <f t="shared" si="128"/>
        <v>ENTRADA</v>
      </c>
      <c r="C294" t="str">
        <f t="shared" si="140"/>
        <v>NFSE</v>
      </c>
      <c r="D294" t="str">
        <f t="shared" si="132"/>
        <v>2621</v>
      </c>
      <c r="E294" t="str">
        <f t="shared" si="137"/>
        <v>COM</v>
      </c>
      <c r="F294" t="str">
        <f t="shared" si="133"/>
        <v>FARMÁCIA INDIANA LJ 1 (10126)</v>
      </c>
      <c r="G294" t="str">
        <f t="shared" si="134"/>
        <v>Serv.Prest. 30/12/2024 a 05/01/2025 - RPS: 395 - NFSe: 2621</v>
      </c>
      <c r="H294" t="str">
        <f t="shared" si="139"/>
        <v>15/01/2025</v>
      </c>
      <c r="I294" t="str">
        <f t="shared" si="135"/>
        <v>07/01/2025</v>
      </c>
      <c r="J294" t="str">
        <f t="shared" si="138"/>
        <v>15/01/2025</v>
      </c>
      <c r="M294">
        <v>303</v>
      </c>
      <c r="N294" t="str">
        <f t="shared" si="141"/>
        <v>RECEITAS COM ENTREGAS</v>
      </c>
      <c r="P294">
        <v>38.19</v>
      </c>
      <c r="Q294" t="str">
        <f>"FARMÁCIA INDIANA LJ 140 (10064)"</f>
        <v>FARMÁCIA INDIANA LJ 140 (10064)</v>
      </c>
      <c r="R294" t="str">
        <f t="shared" si="142"/>
        <v>RECEITAS COM ENTREGAS (303)</v>
      </c>
      <c r="S294">
        <v>857</v>
      </c>
      <c r="T294">
        <v>709</v>
      </c>
      <c r="U294" t="s">
        <v>19</v>
      </c>
    </row>
    <row r="295" spans="1:21">
      <c r="A295" t="str">
        <f t="shared" si="136"/>
        <v>15/01/2025</v>
      </c>
      <c r="B295" t="str">
        <f t="shared" si="128"/>
        <v>ENTRADA</v>
      </c>
      <c r="C295" t="str">
        <f t="shared" si="140"/>
        <v>NFSE</v>
      </c>
      <c r="D295" t="str">
        <f t="shared" si="132"/>
        <v>2621</v>
      </c>
      <c r="E295" t="str">
        <f t="shared" si="137"/>
        <v>COM</v>
      </c>
      <c r="F295" t="str">
        <f t="shared" si="133"/>
        <v>FARMÁCIA INDIANA LJ 1 (10126)</v>
      </c>
      <c r="G295" t="str">
        <f t="shared" si="134"/>
        <v>Serv.Prest. 30/12/2024 a 05/01/2025 - RPS: 395 - NFSe: 2621</v>
      </c>
      <c r="H295" t="str">
        <f t="shared" si="139"/>
        <v>15/01/2025</v>
      </c>
      <c r="I295" t="str">
        <f t="shared" si="135"/>
        <v>07/01/2025</v>
      </c>
      <c r="J295" t="str">
        <f t="shared" si="138"/>
        <v>15/01/2025</v>
      </c>
      <c r="M295">
        <v>303</v>
      </c>
      <c r="N295" t="str">
        <f t="shared" si="141"/>
        <v>RECEITAS COM ENTREGAS</v>
      </c>
      <c r="P295">
        <v>20.73</v>
      </c>
      <c r="Q295" t="str">
        <f>"FARMÁCIA INDIANA LJ 141 (10065)"</f>
        <v>FARMÁCIA INDIANA LJ 141 (10065)</v>
      </c>
      <c r="R295" t="str">
        <f t="shared" si="142"/>
        <v>RECEITAS COM ENTREGAS (303)</v>
      </c>
      <c r="S295">
        <v>857</v>
      </c>
      <c r="T295">
        <v>709</v>
      </c>
      <c r="U295" t="s">
        <v>19</v>
      </c>
    </row>
    <row r="296" spans="1:21">
      <c r="A296" t="str">
        <f t="shared" si="136"/>
        <v>15/01/2025</v>
      </c>
      <c r="B296" t="str">
        <f t="shared" si="128"/>
        <v>ENTRADA</v>
      </c>
      <c r="C296" t="str">
        <f t="shared" si="140"/>
        <v>NFSE</v>
      </c>
      <c r="D296" t="str">
        <f t="shared" si="132"/>
        <v>2621</v>
      </c>
      <c r="E296" t="str">
        <f t="shared" si="137"/>
        <v>COM</v>
      </c>
      <c r="F296" t="str">
        <f t="shared" si="133"/>
        <v>FARMÁCIA INDIANA LJ 1 (10126)</v>
      </c>
      <c r="G296" t="str">
        <f t="shared" si="134"/>
        <v>Serv.Prest. 30/12/2024 a 05/01/2025 - RPS: 395 - NFSe: 2621</v>
      </c>
      <c r="H296" t="str">
        <f t="shared" si="139"/>
        <v>15/01/2025</v>
      </c>
      <c r="I296" t="str">
        <f t="shared" si="135"/>
        <v>07/01/2025</v>
      </c>
      <c r="J296" t="str">
        <f t="shared" si="138"/>
        <v>15/01/2025</v>
      </c>
      <c r="M296">
        <v>303</v>
      </c>
      <c r="N296" t="str">
        <f t="shared" si="141"/>
        <v>RECEITAS COM ENTREGAS</v>
      </c>
      <c r="P296">
        <v>504.06</v>
      </c>
      <c r="Q296" t="str">
        <f>"FARMÁCIA INDIANA LJ 142 (10066)"</f>
        <v>FARMÁCIA INDIANA LJ 142 (10066)</v>
      </c>
      <c r="R296" t="str">
        <f t="shared" si="142"/>
        <v>RECEITAS COM ENTREGAS (303)</v>
      </c>
      <c r="S296">
        <v>857</v>
      </c>
      <c r="T296">
        <v>709</v>
      </c>
      <c r="U296" t="s">
        <v>19</v>
      </c>
    </row>
    <row r="297" spans="1:21">
      <c r="A297" t="str">
        <f t="shared" si="136"/>
        <v>15/01/2025</v>
      </c>
      <c r="B297" t="str">
        <f t="shared" si="128"/>
        <v>ENTRADA</v>
      </c>
      <c r="C297" t="str">
        <f t="shared" si="140"/>
        <v>NFSE</v>
      </c>
      <c r="D297" t="str">
        <f t="shared" si="132"/>
        <v>2621</v>
      </c>
      <c r="E297" t="str">
        <f t="shared" si="137"/>
        <v>COM</v>
      </c>
      <c r="F297" t="str">
        <f t="shared" si="133"/>
        <v>FARMÁCIA INDIANA LJ 1 (10126)</v>
      </c>
      <c r="G297" t="str">
        <f t="shared" si="134"/>
        <v>Serv.Prest. 30/12/2024 a 05/01/2025 - RPS: 395 - NFSe: 2621</v>
      </c>
      <c r="H297" t="str">
        <f t="shared" si="139"/>
        <v>15/01/2025</v>
      </c>
      <c r="I297" t="str">
        <f t="shared" si="135"/>
        <v>07/01/2025</v>
      </c>
      <c r="J297" t="str">
        <f t="shared" si="138"/>
        <v>15/01/2025</v>
      </c>
      <c r="M297">
        <v>303</v>
      </c>
      <c r="N297" t="str">
        <f t="shared" si="141"/>
        <v>RECEITAS COM ENTREGAS</v>
      </c>
      <c r="P297">
        <v>54.55</v>
      </c>
      <c r="Q297" t="str">
        <f>"FARMÁCIA INDIANA LJ 143 (10067)"</f>
        <v>FARMÁCIA INDIANA LJ 143 (10067)</v>
      </c>
      <c r="R297" t="str">
        <f t="shared" si="142"/>
        <v>RECEITAS COM ENTREGAS (303)</v>
      </c>
      <c r="S297">
        <v>857</v>
      </c>
      <c r="T297">
        <v>709</v>
      </c>
      <c r="U297" t="s">
        <v>19</v>
      </c>
    </row>
    <row r="298" spans="1:21">
      <c r="A298" t="str">
        <f t="shared" si="136"/>
        <v>15/01/2025</v>
      </c>
      <c r="B298" t="str">
        <f t="shared" si="128"/>
        <v>ENTRADA</v>
      </c>
      <c r="C298" t="str">
        <f t="shared" si="140"/>
        <v>NFSE</v>
      </c>
      <c r="D298" t="str">
        <f t="shared" si="132"/>
        <v>2621</v>
      </c>
      <c r="E298" t="str">
        <f t="shared" si="137"/>
        <v>COM</v>
      </c>
      <c r="F298" t="str">
        <f t="shared" si="133"/>
        <v>FARMÁCIA INDIANA LJ 1 (10126)</v>
      </c>
      <c r="G298" t="str">
        <f t="shared" si="134"/>
        <v>Serv.Prest. 30/12/2024 a 05/01/2025 - RPS: 395 - NFSe: 2621</v>
      </c>
      <c r="H298" t="str">
        <f t="shared" si="139"/>
        <v>15/01/2025</v>
      </c>
      <c r="I298" t="str">
        <f t="shared" si="135"/>
        <v>07/01/2025</v>
      </c>
      <c r="J298" t="str">
        <f t="shared" si="138"/>
        <v>15/01/2025</v>
      </c>
      <c r="M298">
        <v>303</v>
      </c>
      <c r="N298" t="str">
        <f t="shared" si="141"/>
        <v>RECEITAS COM ENTREGAS</v>
      </c>
      <c r="P298">
        <v>146.19999999999999</v>
      </c>
      <c r="Q298" t="str">
        <f>"FARMÁCIA INDIANA LJ 152 (10069)"</f>
        <v>FARMÁCIA INDIANA LJ 152 (10069)</v>
      </c>
      <c r="R298" t="str">
        <f t="shared" si="142"/>
        <v>RECEITAS COM ENTREGAS (303)</v>
      </c>
      <c r="S298">
        <v>857</v>
      </c>
      <c r="T298">
        <v>709</v>
      </c>
      <c r="U298" t="s">
        <v>19</v>
      </c>
    </row>
    <row r="299" spans="1:21">
      <c r="A299" t="str">
        <f t="shared" si="136"/>
        <v>15/01/2025</v>
      </c>
      <c r="B299" t="str">
        <f t="shared" si="128"/>
        <v>ENTRADA</v>
      </c>
      <c r="C299" t="str">
        <f t="shared" si="140"/>
        <v>NFSE</v>
      </c>
      <c r="D299" t="str">
        <f t="shared" si="132"/>
        <v>2621</v>
      </c>
      <c r="E299" t="str">
        <f t="shared" si="137"/>
        <v>COM</v>
      </c>
      <c r="F299" t="str">
        <f t="shared" si="133"/>
        <v>FARMÁCIA INDIANA LJ 1 (10126)</v>
      </c>
      <c r="G299" t="str">
        <f t="shared" si="134"/>
        <v>Serv.Prest. 30/12/2024 a 05/01/2025 - RPS: 395 - NFSe: 2621</v>
      </c>
      <c r="H299" t="str">
        <f t="shared" si="139"/>
        <v>15/01/2025</v>
      </c>
      <c r="I299" t="str">
        <f t="shared" si="135"/>
        <v>07/01/2025</v>
      </c>
      <c r="J299" t="str">
        <f t="shared" si="138"/>
        <v>15/01/2025</v>
      </c>
      <c r="M299">
        <v>303</v>
      </c>
      <c r="N299" t="str">
        <f t="shared" si="141"/>
        <v>RECEITAS COM ENTREGAS</v>
      </c>
      <c r="P299">
        <v>39.28</v>
      </c>
      <c r="Q299" t="str">
        <f>"FARMÁCIA INDIANA LJ 154 (10070)"</f>
        <v>FARMÁCIA INDIANA LJ 154 (10070)</v>
      </c>
      <c r="R299" t="str">
        <f t="shared" si="142"/>
        <v>RECEITAS COM ENTREGAS (303)</v>
      </c>
      <c r="S299">
        <v>857</v>
      </c>
      <c r="T299">
        <v>709</v>
      </c>
      <c r="U299" t="s">
        <v>19</v>
      </c>
    </row>
    <row r="300" spans="1:21">
      <c r="A300" t="str">
        <f t="shared" si="136"/>
        <v>15/01/2025</v>
      </c>
      <c r="B300" t="str">
        <f t="shared" si="128"/>
        <v>ENTRADA</v>
      </c>
      <c r="C300" t="str">
        <f t="shared" si="140"/>
        <v>NFSE</v>
      </c>
      <c r="D300" t="str">
        <f t="shared" si="132"/>
        <v>2621</v>
      </c>
      <c r="E300" t="str">
        <f t="shared" si="137"/>
        <v>COM</v>
      </c>
      <c r="F300" t="str">
        <f t="shared" si="133"/>
        <v>FARMÁCIA INDIANA LJ 1 (10126)</v>
      </c>
      <c r="G300" t="str">
        <f t="shared" si="134"/>
        <v>Serv.Prest. 30/12/2024 a 05/01/2025 - RPS: 395 - NFSe: 2621</v>
      </c>
      <c r="H300" t="str">
        <f t="shared" si="139"/>
        <v>15/01/2025</v>
      </c>
      <c r="I300" t="str">
        <f t="shared" si="135"/>
        <v>07/01/2025</v>
      </c>
      <c r="J300" t="str">
        <f t="shared" si="138"/>
        <v>15/01/2025</v>
      </c>
      <c r="M300">
        <v>303</v>
      </c>
      <c r="N300" t="str">
        <f t="shared" si="141"/>
        <v>RECEITAS COM ENTREGAS</v>
      </c>
      <c r="P300">
        <v>403.68</v>
      </c>
      <c r="Q300" t="str">
        <f>"FARMÁCIA INDIANA LJ 171 (10074)"</f>
        <v>FARMÁCIA INDIANA LJ 171 (10074)</v>
      </c>
      <c r="R300" t="str">
        <f t="shared" si="142"/>
        <v>RECEITAS COM ENTREGAS (303)</v>
      </c>
      <c r="S300">
        <v>857</v>
      </c>
      <c r="T300">
        <v>709</v>
      </c>
      <c r="U300" t="s">
        <v>19</v>
      </c>
    </row>
    <row r="301" spans="1:21">
      <c r="A301" t="str">
        <f t="shared" si="136"/>
        <v>15/01/2025</v>
      </c>
      <c r="B301" t="str">
        <f t="shared" si="128"/>
        <v>ENTRADA</v>
      </c>
      <c r="C301" t="str">
        <f t="shared" si="140"/>
        <v>NFSE</v>
      </c>
      <c r="D301" t="str">
        <f t="shared" si="132"/>
        <v>2621</v>
      </c>
      <c r="E301" t="str">
        <f t="shared" si="137"/>
        <v>COM</v>
      </c>
      <c r="F301" t="str">
        <f t="shared" si="133"/>
        <v>FARMÁCIA INDIANA LJ 1 (10126)</v>
      </c>
      <c r="G301" t="str">
        <f t="shared" si="134"/>
        <v>Serv.Prest. 30/12/2024 a 05/01/2025 - RPS: 395 - NFSe: 2621</v>
      </c>
      <c r="H301" t="str">
        <f t="shared" si="139"/>
        <v>15/01/2025</v>
      </c>
      <c r="I301" t="str">
        <f t="shared" si="135"/>
        <v>07/01/2025</v>
      </c>
      <c r="J301" t="str">
        <f t="shared" si="138"/>
        <v>15/01/2025</v>
      </c>
      <c r="M301">
        <v>303</v>
      </c>
      <c r="N301" t="str">
        <f t="shared" si="141"/>
        <v>RECEITAS COM ENTREGAS</v>
      </c>
      <c r="P301">
        <v>130.91999999999999</v>
      </c>
      <c r="Q301" t="str">
        <f>"FARMÁCIA INDIANA LJ 175 (10076)"</f>
        <v>FARMÁCIA INDIANA LJ 175 (10076)</v>
      </c>
      <c r="R301" t="str">
        <f t="shared" si="142"/>
        <v>RECEITAS COM ENTREGAS (303)</v>
      </c>
      <c r="S301">
        <v>857</v>
      </c>
      <c r="T301">
        <v>709</v>
      </c>
      <c r="U301" t="s">
        <v>19</v>
      </c>
    </row>
    <row r="302" spans="1:21">
      <c r="A302" t="str">
        <f t="shared" si="136"/>
        <v>15/01/2025</v>
      </c>
      <c r="B302" t="str">
        <f t="shared" si="128"/>
        <v>ENTRADA</v>
      </c>
      <c r="C302" t="str">
        <f t="shared" si="140"/>
        <v>NFSE</v>
      </c>
      <c r="D302" t="str">
        <f t="shared" si="132"/>
        <v>2621</v>
      </c>
      <c r="E302" t="str">
        <f t="shared" si="137"/>
        <v>COM</v>
      </c>
      <c r="F302" t="str">
        <f t="shared" si="133"/>
        <v>FARMÁCIA INDIANA LJ 1 (10126)</v>
      </c>
      <c r="G302" t="str">
        <f t="shared" si="134"/>
        <v>Serv.Prest. 30/12/2024 a 05/01/2025 - RPS: 395 - NFSe: 2621</v>
      </c>
      <c r="H302" t="str">
        <f t="shared" si="139"/>
        <v>15/01/2025</v>
      </c>
      <c r="I302" t="str">
        <f t="shared" si="135"/>
        <v>07/01/2025</v>
      </c>
      <c r="J302" t="str">
        <f t="shared" si="138"/>
        <v>15/01/2025</v>
      </c>
      <c r="M302">
        <v>303</v>
      </c>
      <c r="N302" t="str">
        <f t="shared" si="141"/>
        <v>RECEITAS COM ENTREGAS</v>
      </c>
      <c r="P302">
        <v>114.56</v>
      </c>
      <c r="Q302" t="str">
        <f>"FARMÁCIA INDIANA LJ 178 (10077)"</f>
        <v>FARMÁCIA INDIANA LJ 178 (10077)</v>
      </c>
      <c r="R302" t="str">
        <f t="shared" si="142"/>
        <v>RECEITAS COM ENTREGAS (303)</v>
      </c>
      <c r="S302">
        <v>857</v>
      </c>
      <c r="T302">
        <v>709</v>
      </c>
      <c r="U302" t="s">
        <v>19</v>
      </c>
    </row>
    <row r="303" spans="1:21">
      <c r="A303" t="str">
        <f t="shared" si="136"/>
        <v>15/01/2025</v>
      </c>
      <c r="B303" t="str">
        <f t="shared" si="128"/>
        <v>ENTRADA</v>
      </c>
      <c r="C303" t="str">
        <f t="shared" si="140"/>
        <v>NFSE</v>
      </c>
      <c r="D303" t="str">
        <f t="shared" si="132"/>
        <v>2621</v>
      </c>
      <c r="E303" t="str">
        <f t="shared" si="137"/>
        <v>COM</v>
      </c>
      <c r="F303" t="str">
        <f t="shared" si="133"/>
        <v>FARMÁCIA INDIANA LJ 1 (10126)</v>
      </c>
      <c r="G303" t="str">
        <f t="shared" si="134"/>
        <v>Serv.Prest. 30/12/2024 a 05/01/2025 - RPS: 395 - NFSe: 2621</v>
      </c>
      <c r="H303" t="str">
        <f t="shared" si="139"/>
        <v>15/01/2025</v>
      </c>
      <c r="I303" t="str">
        <f t="shared" si="135"/>
        <v>07/01/2025</v>
      </c>
      <c r="J303" t="str">
        <f t="shared" si="138"/>
        <v>15/01/2025</v>
      </c>
      <c r="M303">
        <v>303</v>
      </c>
      <c r="N303" t="str">
        <f t="shared" si="141"/>
        <v>RECEITAS COM ENTREGAS</v>
      </c>
      <c r="P303">
        <v>79.650000000000006</v>
      </c>
      <c r="Q303" t="str">
        <f>"FARMÁCIA INDIANA LJ 182 (10079)"</f>
        <v>FARMÁCIA INDIANA LJ 182 (10079)</v>
      </c>
      <c r="R303" t="str">
        <f t="shared" si="142"/>
        <v>RECEITAS COM ENTREGAS (303)</v>
      </c>
      <c r="S303">
        <v>857</v>
      </c>
      <c r="T303">
        <v>709</v>
      </c>
      <c r="U303" t="s">
        <v>19</v>
      </c>
    </row>
    <row r="304" spans="1:21">
      <c r="A304" t="str">
        <f t="shared" si="136"/>
        <v>15/01/2025</v>
      </c>
      <c r="B304" t="str">
        <f t="shared" si="128"/>
        <v>ENTRADA</v>
      </c>
      <c r="C304" t="str">
        <f t="shared" si="140"/>
        <v>NFSE</v>
      </c>
      <c r="D304" t="str">
        <f t="shared" si="132"/>
        <v>2621</v>
      </c>
      <c r="E304" t="str">
        <f t="shared" si="137"/>
        <v>COM</v>
      </c>
      <c r="F304" t="str">
        <f t="shared" si="133"/>
        <v>FARMÁCIA INDIANA LJ 1 (10126)</v>
      </c>
      <c r="G304" t="str">
        <f t="shared" si="134"/>
        <v>Serv.Prest. 30/12/2024 a 05/01/2025 - RPS: 395 - NFSe: 2621</v>
      </c>
      <c r="H304" t="str">
        <f t="shared" si="139"/>
        <v>15/01/2025</v>
      </c>
      <c r="I304" t="str">
        <f t="shared" si="135"/>
        <v>07/01/2025</v>
      </c>
      <c r="J304" t="str">
        <f t="shared" si="138"/>
        <v>15/01/2025</v>
      </c>
      <c r="M304">
        <v>303</v>
      </c>
      <c r="N304" t="str">
        <f t="shared" si="141"/>
        <v>RECEITAS COM ENTREGAS</v>
      </c>
      <c r="P304">
        <v>40.369999999999997</v>
      </c>
      <c r="Q304" t="str">
        <f>"FARMÁCIA INDIANA LJ 184 (10080)"</f>
        <v>FARMÁCIA INDIANA LJ 184 (10080)</v>
      </c>
      <c r="R304" t="str">
        <f t="shared" si="142"/>
        <v>RECEITAS COM ENTREGAS (303)</v>
      </c>
      <c r="S304">
        <v>857</v>
      </c>
      <c r="T304">
        <v>709</v>
      </c>
      <c r="U304" t="s">
        <v>19</v>
      </c>
    </row>
    <row r="305" spans="1:21">
      <c r="A305" t="str">
        <f t="shared" ref="A305:A315" si="143">("15/01/2025")</f>
        <v>15/01/2025</v>
      </c>
      <c r="B305" t="str">
        <f t="shared" si="128"/>
        <v>ENTRADA</v>
      </c>
      <c r="C305" t="str">
        <f t="shared" si="140"/>
        <v>NFSE</v>
      </c>
      <c r="D305" t="str">
        <f t="shared" si="132"/>
        <v>2621</v>
      </c>
      <c r="E305" t="str">
        <f t="shared" ref="E305:E314" si="144">"COM"</f>
        <v>COM</v>
      </c>
      <c r="F305" t="str">
        <f t="shared" si="133"/>
        <v>FARMÁCIA INDIANA LJ 1 (10126)</v>
      </c>
      <c r="G305" t="str">
        <f t="shared" si="134"/>
        <v>Serv.Prest. 30/12/2024 a 05/01/2025 - RPS: 395 - NFSe: 2621</v>
      </c>
      <c r="H305" t="str">
        <f t="shared" si="139"/>
        <v>15/01/2025</v>
      </c>
      <c r="I305" t="str">
        <f t="shared" si="135"/>
        <v>07/01/2025</v>
      </c>
      <c r="J305" t="str">
        <f t="shared" ref="J305:J315" si="145">("15/01/2025")</f>
        <v>15/01/2025</v>
      </c>
      <c r="M305">
        <v>303</v>
      </c>
      <c r="N305" t="str">
        <f t="shared" si="141"/>
        <v>RECEITAS COM ENTREGAS</v>
      </c>
      <c r="P305">
        <v>79.650000000000006</v>
      </c>
      <c r="Q305" t="str">
        <f>"FARMÁCIA INDIANA LJ 186 (10081)"</f>
        <v>FARMÁCIA INDIANA LJ 186 (10081)</v>
      </c>
      <c r="R305" t="str">
        <f t="shared" si="142"/>
        <v>RECEITAS COM ENTREGAS (303)</v>
      </c>
      <c r="S305">
        <v>857</v>
      </c>
      <c r="T305">
        <v>709</v>
      </c>
      <c r="U305" t="s">
        <v>19</v>
      </c>
    </row>
    <row r="306" spans="1:21">
      <c r="A306" t="str">
        <f t="shared" si="143"/>
        <v>15/01/2025</v>
      </c>
      <c r="B306" t="str">
        <f t="shared" si="128"/>
        <v>ENTRADA</v>
      </c>
      <c r="C306" t="str">
        <f t="shared" si="140"/>
        <v>NFSE</v>
      </c>
      <c r="D306" t="str">
        <f t="shared" si="132"/>
        <v>2621</v>
      </c>
      <c r="E306" t="str">
        <f t="shared" si="144"/>
        <v>COM</v>
      </c>
      <c r="F306" t="str">
        <f t="shared" si="133"/>
        <v>FARMÁCIA INDIANA LJ 1 (10126)</v>
      </c>
      <c r="G306" t="str">
        <f t="shared" si="134"/>
        <v>Serv.Prest. 30/12/2024 a 05/01/2025 - RPS: 395 - NFSe: 2621</v>
      </c>
      <c r="H306" t="str">
        <f t="shared" si="139"/>
        <v>15/01/2025</v>
      </c>
      <c r="I306" t="str">
        <f t="shared" si="135"/>
        <v>07/01/2025</v>
      </c>
      <c r="J306" t="str">
        <f t="shared" si="145"/>
        <v>15/01/2025</v>
      </c>
      <c r="M306">
        <v>303</v>
      </c>
      <c r="N306" t="str">
        <f t="shared" si="141"/>
        <v>RECEITAS COM ENTREGAS</v>
      </c>
      <c r="P306">
        <v>39.28</v>
      </c>
      <c r="Q306" t="str">
        <f>"FARMÁCIA INDIANA LJ 192 (10082)"</f>
        <v>FARMÁCIA INDIANA LJ 192 (10082)</v>
      </c>
      <c r="R306" t="str">
        <f t="shared" si="142"/>
        <v>RECEITAS COM ENTREGAS (303)</v>
      </c>
      <c r="S306">
        <v>857</v>
      </c>
      <c r="T306">
        <v>709</v>
      </c>
      <c r="U306" t="s">
        <v>19</v>
      </c>
    </row>
    <row r="307" spans="1:21">
      <c r="A307" t="str">
        <f t="shared" si="143"/>
        <v>15/01/2025</v>
      </c>
      <c r="B307" t="str">
        <f t="shared" si="128"/>
        <v>ENTRADA</v>
      </c>
      <c r="C307" t="str">
        <f t="shared" si="140"/>
        <v>NFSE</v>
      </c>
      <c r="D307" t="str">
        <f t="shared" si="132"/>
        <v>2621</v>
      </c>
      <c r="E307" t="str">
        <f t="shared" si="144"/>
        <v>COM</v>
      </c>
      <c r="F307" t="str">
        <f t="shared" si="133"/>
        <v>FARMÁCIA INDIANA LJ 1 (10126)</v>
      </c>
      <c r="G307" t="str">
        <f t="shared" si="134"/>
        <v>Serv.Prest. 30/12/2024 a 05/01/2025 - RPS: 395 - NFSe: 2621</v>
      </c>
      <c r="H307" t="str">
        <f t="shared" si="139"/>
        <v>15/01/2025</v>
      </c>
      <c r="I307" t="str">
        <f t="shared" si="135"/>
        <v>07/01/2025</v>
      </c>
      <c r="J307" t="str">
        <f t="shared" si="145"/>
        <v>15/01/2025</v>
      </c>
      <c r="M307">
        <v>303</v>
      </c>
      <c r="N307" t="str">
        <f t="shared" si="141"/>
        <v>RECEITAS COM ENTREGAS</v>
      </c>
      <c r="P307">
        <v>40.369999999999997</v>
      </c>
      <c r="Q307" t="str">
        <f>"FARMÁCIA INDIANA LJ 195 (10083)"</f>
        <v>FARMÁCIA INDIANA LJ 195 (10083)</v>
      </c>
      <c r="R307" t="str">
        <f t="shared" si="142"/>
        <v>RECEITAS COM ENTREGAS (303)</v>
      </c>
      <c r="S307">
        <v>857</v>
      </c>
      <c r="T307">
        <v>709</v>
      </c>
      <c r="U307" t="s">
        <v>19</v>
      </c>
    </row>
    <row r="308" spans="1:21">
      <c r="A308" t="str">
        <f t="shared" si="143"/>
        <v>15/01/2025</v>
      </c>
      <c r="B308" t="str">
        <f t="shared" si="128"/>
        <v>ENTRADA</v>
      </c>
      <c r="C308" t="str">
        <f t="shared" si="140"/>
        <v>NFSE</v>
      </c>
      <c r="D308" t="str">
        <f t="shared" si="132"/>
        <v>2621</v>
      </c>
      <c r="E308" t="str">
        <f t="shared" si="144"/>
        <v>COM</v>
      </c>
      <c r="F308" t="str">
        <f t="shared" si="133"/>
        <v>FARMÁCIA INDIANA LJ 1 (10126)</v>
      </c>
      <c r="G308" t="str">
        <f t="shared" si="134"/>
        <v>Serv.Prest. 30/12/2024 a 05/01/2025 - RPS: 395 - NFSe: 2621</v>
      </c>
      <c r="H308" t="str">
        <f t="shared" si="139"/>
        <v>15/01/2025</v>
      </c>
      <c r="I308" t="str">
        <f t="shared" si="135"/>
        <v>07/01/2025</v>
      </c>
      <c r="J308" t="str">
        <f t="shared" si="145"/>
        <v>15/01/2025</v>
      </c>
      <c r="M308">
        <v>303</v>
      </c>
      <c r="N308" t="str">
        <f t="shared" si="141"/>
        <v>RECEITAS COM ENTREGAS</v>
      </c>
      <c r="P308">
        <v>159.29</v>
      </c>
      <c r="Q308" t="str">
        <f>"FARMÁCIA INDIANA LJ 202 (10085)"</f>
        <v>FARMÁCIA INDIANA LJ 202 (10085)</v>
      </c>
      <c r="R308" t="str">
        <f t="shared" si="142"/>
        <v>RECEITAS COM ENTREGAS (303)</v>
      </c>
      <c r="S308">
        <v>857</v>
      </c>
      <c r="T308">
        <v>709</v>
      </c>
      <c r="U308" t="s">
        <v>19</v>
      </c>
    </row>
    <row r="309" spans="1:21">
      <c r="A309" t="str">
        <f t="shared" si="143"/>
        <v>15/01/2025</v>
      </c>
      <c r="B309" t="str">
        <f t="shared" si="128"/>
        <v>ENTRADA</v>
      </c>
      <c r="C309" t="str">
        <f t="shared" si="140"/>
        <v>NFSE</v>
      </c>
      <c r="D309" t="str">
        <f t="shared" si="132"/>
        <v>2621</v>
      </c>
      <c r="E309" t="str">
        <f t="shared" si="144"/>
        <v>COM</v>
      </c>
      <c r="F309" t="str">
        <f t="shared" si="133"/>
        <v>FARMÁCIA INDIANA LJ 1 (10126)</v>
      </c>
      <c r="G309" t="str">
        <f t="shared" si="134"/>
        <v>Serv.Prest. 30/12/2024 a 05/01/2025 - RPS: 395 - NFSe: 2621</v>
      </c>
      <c r="H309" t="str">
        <f t="shared" si="139"/>
        <v>15/01/2025</v>
      </c>
      <c r="I309" t="str">
        <f t="shared" si="135"/>
        <v>07/01/2025</v>
      </c>
      <c r="J309" t="str">
        <f t="shared" si="145"/>
        <v>15/01/2025</v>
      </c>
      <c r="M309">
        <v>303</v>
      </c>
      <c r="N309" t="str">
        <f t="shared" si="141"/>
        <v>RECEITAS COM ENTREGAS</v>
      </c>
      <c r="P309">
        <v>106.92</v>
      </c>
      <c r="Q309" t="str">
        <f>"FARMÁCIA INDIANA LJ 204 (10087)"</f>
        <v>FARMÁCIA INDIANA LJ 204 (10087)</v>
      </c>
      <c r="R309" t="str">
        <f t="shared" si="142"/>
        <v>RECEITAS COM ENTREGAS (303)</v>
      </c>
      <c r="S309">
        <v>857</v>
      </c>
      <c r="T309">
        <v>709</v>
      </c>
      <c r="U309" t="s">
        <v>19</v>
      </c>
    </row>
    <row r="310" spans="1:21">
      <c r="A310" t="str">
        <f t="shared" si="143"/>
        <v>15/01/2025</v>
      </c>
      <c r="B310" t="str">
        <f t="shared" si="128"/>
        <v>ENTRADA</v>
      </c>
      <c r="C310" t="str">
        <f t="shared" si="140"/>
        <v>NFSE</v>
      </c>
      <c r="D310" t="str">
        <f t="shared" si="132"/>
        <v>2621</v>
      </c>
      <c r="E310" t="str">
        <f t="shared" si="144"/>
        <v>COM</v>
      </c>
      <c r="F310" t="str">
        <f t="shared" si="133"/>
        <v>FARMÁCIA INDIANA LJ 1 (10126)</v>
      </c>
      <c r="G310" t="str">
        <f t="shared" si="134"/>
        <v>Serv.Prest. 30/12/2024 a 05/01/2025 - RPS: 395 - NFSe: 2621</v>
      </c>
      <c r="H310" t="str">
        <f t="shared" ref="H310:H324" si="146">("15/01/2025")</f>
        <v>15/01/2025</v>
      </c>
      <c r="I310" t="str">
        <f t="shared" si="135"/>
        <v>07/01/2025</v>
      </c>
      <c r="J310" t="str">
        <f t="shared" si="145"/>
        <v>15/01/2025</v>
      </c>
      <c r="M310">
        <v>303</v>
      </c>
      <c r="N310" t="str">
        <f t="shared" si="141"/>
        <v>RECEITAS COM ENTREGAS</v>
      </c>
      <c r="P310">
        <v>97.1</v>
      </c>
      <c r="Q310" t="str">
        <f>"FARMÁCIA INDIANA LJ 207 (10088)"</f>
        <v>FARMÁCIA INDIANA LJ 207 (10088)</v>
      </c>
      <c r="R310" t="str">
        <f t="shared" si="142"/>
        <v>RECEITAS COM ENTREGAS (303)</v>
      </c>
      <c r="S310">
        <v>857</v>
      </c>
      <c r="T310">
        <v>709</v>
      </c>
      <c r="U310" t="s">
        <v>19</v>
      </c>
    </row>
    <row r="311" spans="1:21">
      <c r="A311" t="str">
        <f t="shared" si="143"/>
        <v>15/01/2025</v>
      </c>
      <c r="B311" t="str">
        <f t="shared" si="128"/>
        <v>ENTRADA</v>
      </c>
      <c r="C311" t="str">
        <f t="shared" si="140"/>
        <v>NFSE</v>
      </c>
      <c r="D311" t="str">
        <f t="shared" si="132"/>
        <v>2621</v>
      </c>
      <c r="E311" t="str">
        <f t="shared" si="144"/>
        <v>COM</v>
      </c>
      <c r="F311" t="str">
        <f t="shared" si="133"/>
        <v>FARMÁCIA INDIANA LJ 1 (10126)</v>
      </c>
      <c r="G311" t="str">
        <f t="shared" si="134"/>
        <v>Serv.Prest. 30/12/2024 a 05/01/2025 - RPS: 395 - NFSe: 2621</v>
      </c>
      <c r="H311" t="str">
        <f t="shared" si="146"/>
        <v>15/01/2025</v>
      </c>
      <c r="I311" t="str">
        <f t="shared" si="135"/>
        <v>07/01/2025</v>
      </c>
      <c r="J311" t="str">
        <f t="shared" si="145"/>
        <v>15/01/2025</v>
      </c>
      <c r="M311">
        <v>303</v>
      </c>
      <c r="N311" t="str">
        <f t="shared" si="141"/>
        <v>RECEITAS COM ENTREGAS</v>
      </c>
      <c r="P311">
        <v>124.38</v>
      </c>
      <c r="Q311" t="str">
        <f>"FARMÁCIA INDIANA LJ 209 (10089)"</f>
        <v>FARMÁCIA INDIANA LJ 209 (10089)</v>
      </c>
      <c r="R311" t="str">
        <f t="shared" si="142"/>
        <v>RECEITAS COM ENTREGAS (303)</v>
      </c>
      <c r="S311">
        <v>857</v>
      </c>
      <c r="T311">
        <v>709</v>
      </c>
      <c r="U311" t="s">
        <v>19</v>
      </c>
    </row>
    <row r="312" spans="1:21">
      <c r="A312" t="str">
        <f t="shared" si="143"/>
        <v>15/01/2025</v>
      </c>
      <c r="B312" t="str">
        <f t="shared" si="128"/>
        <v>ENTRADA</v>
      </c>
      <c r="C312" t="str">
        <f t="shared" si="140"/>
        <v>NFSE</v>
      </c>
      <c r="D312" t="str">
        <f t="shared" si="132"/>
        <v>2621</v>
      </c>
      <c r="E312" t="str">
        <f t="shared" si="144"/>
        <v>COM</v>
      </c>
      <c r="F312" t="str">
        <f t="shared" si="133"/>
        <v>FARMÁCIA INDIANA LJ 1 (10126)</v>
      </c>
      <c r="G312" t="str">
        <f t="shared" si="134"/>
        <v>Serv.Prest. 30/12/2024 a 05/01/2025 - RPS: 395 - NFSe: 2621</v>
      </c>
      <c r="H312" t="str">
        <f t="shared" si="146"/>
        <v>15/01/2025</v>
      </c>
      <c r="I312" t="str">
        <f t="shared" si="135"/>
        <v>07/01/2025</v>
      </c>
      <c r="J312" t="str">
        <f t="shared" si="145"/>
        <v>15/01/2025</v>
      </c>
      <c r="M312">
        <v>303</v>
      </c>
      <c r="N312" t="str">
        <f t="shared" si="141"/>
        <v>RECEITAS COM ENTREGAS</v>
      </c>
      <c r="P312">
        <v>160.38</v>
      </c>
      <c r="Q312" t="str">
        <f>"FARMÁCIA INDIANA LJ 219 (10091)"</f>
        <v>FARMÁCIA INDIANA LJ 219 (10091)</v>
      </c>
      <c r="R312" t="str">
        <f t="shared" si="142"/>
        <v>RECEITAS COM ENTREGAS (303)</v>
      </c>
      <c r="S312">
        <v>857</v>
      </c>
      <c r="T312">
        <v>709</v>
      </c>
      <c r="U312" t="s">
        <v>19</v>
      </c>
    </row>
    <row r="313" spans="1:21">
      <c r="A313" t="str">
        <f t="shared" si="143"/>
        <v>15/01/2025</v>
      </c>
      <c r="B313" t="str">
        <f t="shared" si="128"/>
        <v>ENTRADA</v>
      </c>
      <c r="C313" t="str">
        <f t="shared" si="140"/>
        <v>NFSE</v>
      </c>
      <c r="D313" t="str">
        <f t="shared" si="132"/>
        <v>2621</v>
      </c>
      <c r="E313" t="str">
        <f t="shared" si="144"/>
        <v>COM</v>
      </c>
      <c r="F313" t="str">
        <f t="shared" si="133"/>
        <v>FARMÁCIA INDIANA LJ 1 (10126)</v>
      </c>
      <c r="G313" t="str">
        <f t="shared" si="134"/>
        <v>Serv.Prest. 30/12/2024 a 05/01/2025 - RPS: 395 - NFSe: 2621</v>
      </c>
      <c r="H313" t="str">
        <f t="shared" si="146"/>
        <v>15/01/2025</v>
      </c>
      <c r="I313" t="str">
        <f t="shared" si="135"/>
        <v>07/01/2025</v>
      </c>
      <c r="J313" t="str">
        <f t="shared" si="145"/>
        <v>15/01/2025</v>
      </c>
      <c r="M313">
        <v>303</v>
      </c>
      <c r="N313" t="str">
        <f t="shared" si="141"/>
        <v>RECEITAS COM ENTREGAS</v>
      </c>
      <c r="P313">
        <v>69.83</v>
      </c>
      <c r="Q313" t="str">
        <f>"FARMÁCIA INDIANA LJ 220 (10092)"</f>
        <v>FARMÁCIA INDIANA LJ 220 (10092)</v>
      </c>
      <c r="R313" t="str">
        <f t="shared" si="142"/>
        <v>RECEITAS COM ENTREGAS (303)</v>
      </c>
      <c r="S313">
        <v>857</v>
      </c>
      <c r="T313">
        <v>709</v>
      </c>
      <c r="U313" t="s">
        <v>19</v>
      </c>
    </row>
    <row r="314" spans="1:21">
      <c r="A314" t="str">
        <f t="shared" si="143"/>
        <v>15/01/2025</v>
      </c>
      <c r="B314" t="str">
        <f t="shared" si="128"/>
        <v>ENTRADA</v>
      </c>
      <c r="C314" t="str">
        <f t="shared" si="140"/>
        <v>NFSE</v>
      </c>
      <c r="D314" t="str">
        <f t="shared" si="132"/>
        <v>2621</v>
      </c>
      <c r="E314" t="str">
        <f t="shared" si="144"/>
        <v>COM</v>
      </c>
      <c r="F314" t="str">
        <f t="shared" si="133"/>
        <v>FARMÁCIA INDIANA LJ 1 (10126)</v>
      </c>
      <c r="G314" t="str">
        <f t="shared" si="134"/>
        <v>Serv.Prest. 30/12/2024 a 05/01/2025 - RPS: 395 - NFSe: 2621</v>
      </c>
      <c r="H314" t="str">
        <f t="shared" si="146"/>
        <v>15/01/2025</v>
      </c>
      <c r="I314" t="str">
        <f t="shared" si="135"/>
        <v>07/01/2025</v>
      </c>
      <c r="J314" t="str">
        <f t="shared" si="145"/>
        <v>15/01/2025</v>
      </c>
      <c r="M314">
        <v>303</v>
      </c>
      <c r="N314" t="str">
        <f t="shared" si="141"/>
        <v>RECEITAS COM ENTREGAS</v>
      </c>
      <c r="P314">
        <v>184.38</v>
      </c>
      <c r="Q314" t="str">
        <f>"FARMÁCIA INDIANA LJ 185 (10141)"</f>
        <v>FARMÁCIA INDIANA LJ 185 (10141)</v>
      </c>
      <c r="R314" t="str">
        <f t="shared" si="142"/>
        <v>RECEITAS COM ENTREGAS (303)</v>
      </c>
      <c r="S314">
        <v>857</v>
      </c>
      <c r="T314">
        <v>709</v>
      </c>
      <c r="U314" t="s">
        <v>19</v>
      </c>
    </row>
    <row r="315" spans="1:21">
      <c r="A315" t="str">
        <f t="shared" si="143"/>
        <v>15/01/2025</v>
      </c>
      <c r="B315" t="str">
        <f t="shared" ref="B315:B316" si="147">"SAÍDA"</f>
        <v>SAÍDA</v>
      </c>
      <c r="C315" t="str">
        <f>"JUROS"</f>
        <v>JUROS</v>
      </c>
      <c r="D315" t="str">
        <f>""</f>
        <v/>
      </c>
      <c r="E315" t="str">
        <f>"CXA"</f>
        <v>CXA</v>
      </c>
      <c r="F315" t="str">
        <f>""</f>
        <v/>
      </c>
      <c r="G315" t="str">
        <f>"TAXA BOLETO COMPENSADO"</f>
        <v>TAXA BOLETO COMPENSADO</v>
      </c>
      <c r="H315" t="str">
        <f t="shared" si="146"/>
        <v>15/01/2025</v>
      </c>
      <c r="I315" t="str">
        <f>("15/01/2025")</f>
        <v>15/01/2025</v>
      </c>
      <c r="J315" t="str">
        <f t="shared" si="145"/>
        <v>15/01/2025</v>
      </c>
      <c r="K315">
        <v>1.7</v>
      </c>
      <c r="L315">
        <v>1.7</v>
      </c>
      <c r="M315">
        <v>401</v>
      </c>
      <c r="N315" t="str">
        <f>"IOF/JUROS/DESP.FINANCEIRA"</f>
        <v>IOF/JUROS/DESP.FINANCEIRA</v>
      </c>
      <c r="O315">
        <v>1.7</v>
      </c>
      <c r="R315" t="str">
        <f>"BANCO CORA (102)"</f>
        <v>BANCO CORA (102)</v>
      </c>
      <c r="S315">
        <v>867</v>
      </c>
      <c r="T315">
        <v>0</v>
      </c>
      <c r="U315" t="s">
        <v>20</v>
      </c>
    </row>
    <row r="316" spans="1:21">
      <c r="A316" t="str">
        <f t="shared" ref="A316:A339" si="148">("16/01/2025")</f>
        <v>16/01/2025</v>
      </c>
      <c r="B316" t="str">
        <f t="shared" si="147"/>
        <v>SAÍDA</v>
      </c>
      <c r="C316" t="str">
        <f>"PIX"</f>
        <v>PIX</v>
      </c>
      <c r="D316" t="str">
        <f>"1501"</f>
        <v>1501</v>
      </c>
      <c r="E316" t="str">
        <f t="shared" ref="E316:E326" si="149">"COM"</f>
        <v>COM</v>
      </c>
      <c r="F316" t="str">
        <f>"DROGARIA OLIVEIRA LTDA (10148)"</f>
        <v>DROGARIA OLIVEIRA LTDA (10148)</v>
      </c>
      <c r="G316" t="str">
        <f>"REEMBOLSO SETUP"</f>
        <v>REEMBOLSO SETUP</v>
      </c>
      <c r="H316" t="str">
        <f t="shared" si="146"/>
        <v>15/01/2025</v>
      </c>
      <c r="I316" t="str">
        <f>("23/12/2024")</f>
        <v>23/12/2024</v>
      </c>
      <c r="J316" t="str">
        <f t="shared" ref="J316:J339" si="150">("16/01/2025")</f>
        <v>16/01/2025</v>
      </c>
      <c r="K316">
        <v>1000</v>
      </c>
      <c r="L316">
        <v>1000</v>
      </c>
      <c r="M316">
        <v>122</v>
      </c>
      <c r="N316" t="str">
        <f>"DESPESAS COM REEMBOLSOS"</f>
        <v>DESPESAS COM REEMBOLSOS</v>
      </c>
      <c r="O316">
        <v>1000</v>
      </c>
      <c r="R316" t="str">
        <f>"BANCO CORA (102)"</f>
        <v>BANCO CORA (102)</v>
      </c>
      <c r="S316">
        <v>854</v>
      </c>
      <c r="T316">
        <v>710</v>
      </c>
      <c r="U316" t="s">
        <v>19</v>
      </c>
    </row>
    <row r="317" spans="1:21">
      <c r="A317" t="str">
        <f t="shared" si="148"/>
        <v>16/01/2025</v>
      </c>
      <c r="B317" t="str">
        <f>"ENTRADA"</f>
        <v>ENTRADA</v>
      </c>
      <c r="C317" t="str">
        <f t="shared" ref="C317:C324" si="151">"NFSE"</f>
        <v>NFSE</v>
      </c>
      <c r="D317" t="str">
        <f>"2624"</f>
        <v>2624</v>
      </c>
      <c r="E317" t="str">
        <f t="shared" si="149"/>
        <v>COM</v>
      </c>
      <c r="F317" t="str">
        <f>"DROGA MONICA (10147)"</f>
        <v>DROGA MONICA (10147)</v>
      </c>
      <c r="G317" t="str">
        <f>"Serv.Prest. 06/01/2025 a 12/01/2025 - RPS: 398 - NFSe: 2624"</f>
        <v>Serv.Prest. 06/01/2025 a 12/01/2025 - RPS: 398 - NFSe: 2624</v>
      </c>
      <c r="H317" t="str">
        <f t="shared" si="146"/>
        <v>15/01/2025</v>
      </c>
      <c r="I317" t="str">
        <f t="shared" ref="I317:I324" si="152">("13/01/2025")</f>
        <v>13/01/2025</v>
      </c>
      <c r="J317" t="str">
        <f t="shared" si="150"/>
        <v>16/01/2025</v>
      </c>
      <c r="K317">
        <v>386.4</v>
      </c>
      <c r="L317">
        <v>386.4</v>
      </c>
      <c r="M317">
        <v>303</v>
      </c>
      <c r="N317" t="str">
        <f t="shared" ref="N317:N324" si="153">"RECEITAS COM ENTREGAS"</f>
        <v>RECEITAS COM ENTREGAS</v>
      </c>
      <c r="O317">
        <v>386.4</v>
      </c>
      <c r="R317" t="str">
        <f t="shared" ref="R317:R324" si="154">"RECEITAS COM ENTREGAS (303)"</f>
        <v>RECEITAS COM ENTREGAS (303)</v>
      </c>
      <c r="S317">
        <v>858</v>
      </c>
      <c r="T317">
        <v>727</v>
      </c>
      <c r="U317" t="s">
        <v>19</v>
      </c>
    </row>
    <row r="318" spans="1:21">
      <c r="A318" t="str">
        <f t="shared" si="148"/>
        <v>16/01/2025</v>
      </c>
      <c r="B318" t="str">
        <f t="shared" ref="B318:B324" si="155">"ENTRADA"</f>
        <v>ENTRADA</v>
      </c>
      <c r="C318" t="str">
        <f t="shared" si="151"/>
        <v>NFSE</v>
      </c>
      <c r="D318" t="str">
        <f>"2624"</f>
        <v>2624</v>
      </c>
      <c r="E318" t="str">
        <f t="shared" si="149"/>
        <v>COM</v>
      </c>
      <c r="F318" t="str">
        <f>"DROGA MONICA (10147)"</f>
        <v>DROGA MONICA (10147)</v>
      </c>
      <c r="G318" t="str">
        <f>"Serv.Prest. 06/01/2025 a 12/01/2025 - RPS: 398 - NFSe: 2624"</f>
        <v>Serv.Prest. 06/01/2025 a 12/01/2025 - RPS: 398 - NFSe: 2624</v>
      </c>
      <c r="H318" t="str">
        <f t="shared" si="146"/>
        <v>15/01/2025</v>
      </c>
      <c r="I318" t="str">
        <f t="shared" si="152"/>
        <v>13/01/2025</v>
      </c>
      <c r="J318" t="str">
        <f t="shared" si="150"/>
        <v>16/01/2025</v>
      </c>
      <c r="M318">
        <v>303</v>
      </c>
      <c r="N318" t="str">
        <f t="shared" si="153"/>
        <v>RECEITAS COM ENTREGAS</v>
      </c>
      <c r="P318">
        <v>386.4</v>
      </c>
      <c r="Q318" t="str">
        <f>"DROGA MONICA (10147)"</f>
        <v>DROGA MONICA (10147)</v>
      </c>
      <c r="R318" t="str">
        <f t="shared" si="154"/>
        <v>RECEITAS COM ENTREGAS (303)</v>
      </c>
      <c r="S318">
        <v>858</v>
      </c>
      <c r="T318">
        <v>727</v>
      </c>
      <c r="U318" t="s">
        <v>19</v>
      </c>
    </row>
    <row r="319" spans="1:21">
      <c r="A319" t="str">
        <f t="shared" si="148"/>
        <v>16/01/2025</v>
      </c>
      <c r="B319" t="str">
        <f t="shared" si="155"/>
        <v>ENTRADA</v>
      </c>
      <c r="C319" t="str">
        <f t="shared" si="151"/>
        <v>NFSE</v>
      </c>
      <c r="D319" t="str">
        <f>"2629"</f>
        <v>2629</v>
      </c>
      <c r="E319" t="str">
        <f t="shared" si="149"/>
        <v>COM</v>
      </c>
      <c r="F319" t="str">
        <f>"JAL FARMACIA E DROGARIA LJ 1 (10137)"</f>
        <v>JAL FARMACIA E DROGARIA LJ 1 (10137)</v>
      </c>
      <c r="G319" t="str">
        <f>"Serv.Prest. 06/01/2025 a 12/01/2025 - RPS: 403 - NFSe: 2629"</f>
        <v>Serv.Prest. 06/01/2025 a 12/01/2025 - RPS: 403 - NFSe: 2629</v>
      </c>
      <c r="H319" t="str">
        <f t="shared" si="146"/>
        <v>15/01/2025</v>
      </c>
      <c r="I319" t="str">
        <f t="shared" si="152"/>
        <v>13/01/2025</v>
      </c>
      <c r="J319" t="str">
        <f t="shared" si="150"/>
        <v>16/01/2025</v>
      </c>
      <c r="K319">
        <v>388.8</v>
      </c>
      <c r="L319">
        <v>388.8</v>
      </c>
      <c r="M319">
        <v>303</v>
      </c>
      <c r="N319" t="str">
        <f t="shared" si="153"/>
        <v>RECEITAS COM ENTREGAS</v>
      </c>
      <c r="O319">
        <v>388.8</v>
      </c>
      <c r="R319" t="str">
        <f t="shared" si="154"/>
        <v>RECEITAS COM ENTREGAS (303)</v>
      </c>
      <c r="S319">
        <v>859</v>
      </c>
      <c r="T319">
        <v>732</v>
      </c>
      <c r="U319" t="s">
        <v>19</v>
      </c>
    </row>
    <row r="320" spans="1:21">
      <c r="A320" t="str">
        <f t="shared" si="148"/>
        <v>16/01/2025</v>
      </c>
      <c r="B320" t="str">
        <f t="shared" si="155"/>
        <v>ENTRADA</v>
      </c>
      <c r="C320" t="str">
        <f t="shared" si="151"/>
        <v>NFSE</v>
      </c>
      <c r="D320" t="str">
        <f>"2629"</f>
        <v>2629</v>
      </c>
      <c r="E320" t="str">
        <f t="shared" si="149"/>
        <v>COM</v>
      </c>
      <c r="F320" t="str">
        <f>"JAL FARMACIA E DROGARIA LJ 1 (10137)"</f>
        <v>JAL FARMACIA E DROGARIA LJ 1 (10137)</v>
      </c>
      <c r="G320" t="str">
        <f>"Serv.Prest. 06/01/2025 a 12/01/2025 - RPS: 403 - NFSe: 2629"</f>
        <v>Serv.Prest. 06/01/2025 a 12/01/2025 - RPS: 403 - NFSe: 2629</v>
      </c>
      <c r="H320" t="str">
        <f t="shared" si="146"/>
        <v>15/01/2025</v>
      </c>
      <c r="I320" t="str">
        <f t="shared" si="152"/>
        <v>13/01/2025</v>
      </c>
      <c r="J320" t="str">
        <f t="shared" si="150"/>
        <v>16/01/2025</v>
      </c>
      <c r="M320">
        <v>303</v>
      </c>
      <c r="N320" t="str">
        <f t="shared" si="153"/>
        <v>RECEITAS COM ENTREGAS</v>
      </c>
      <c r="P320">
        <v>388.8</v>
      </c>
      <c r="Q320" t="str">
        <f>"JAL FARMACIA E DROGARIA LJ 1 (10137)"</f>
        <v>JAL FARMACIA E DROGARIA LJ 1 (10137)</v>
      </c>
      <c r="R320" t="str">
        <f t="shared" si="154"/>
        <v>RECEITAS COM ENTREGAS (303)</v>
      </c>
      <c r="S320">
        <v>859</v>
      </c>
      <c r="T320">
        <v>732</v>
      </c>
      <c r="U320" t="s">
        <v>19</v>
      </c>
    </row>
    <row r="321" spans="1:21">
      <c r="A321" t="str">
        <f t="shared" si="148"/>
        <v>16/01/2025</v>
      </c>
      <c r="B321" t="str">
        <f t="shared" si="155"/>
        <v>ENTRADA</v>
      </c>
      <c r="C321" t="str">
        <f t="shared" si="151"/>
        <v>NFSE</v>
      </c>
      <c r="D321" t="str">
        <f>"2630"</f>
        <v>2630</v>
      </c>
      <c r="E321" t="str">
        <f t="shared" si="149"/>
        <v>COM</v>
      </c>
      <c r="F321" t="str">
        <f>"JAL FARMACIA E DROGARIA LJ 2 (10138)"</f>
        <v>JAL FARMACIA E DROGARIA LJ 2 (10138)</v>
      </c>
      <c r="G321" t="str">
        <f>"Serv.Prest. 06/01/2025 a 12/01/2025 - RPS: 404 - NFSe: 2630"</f>
        <v>Serv.Prest. 06/01/2025 a 12/01/2025 - RPS: 404 - NFSe: 2630</v>
      </c>
      <c r="H321" t="str">
        <f t="shared" si="146"/>
        <v>15/01/2025</v>
      </c>
      <c r="I321" t="str">
        <f t="shared" si="152"/>
        <v>13/01/2025</v>
      </c>
      <c r="J321" t="str">
        <f t="shared" si="150"/>
        <v>16/01/2025</v>
      </c>
      <c r="K321">
        <v>275.2</v>
      </c>
      <c r="L321">
        <v>275.2</v>
      </c>
      <c r="M321">
        <v>303</v>
      </c>
      <c r="N321" t="str">
        <f t="shared" si="153"/>
        <v>RECEITAS COM ENTREGAS</v>
      </c>
      <c r="O321">
        <v>275.2</v>
      </c>
      <c r="R321" t="str">
        <f t="shared" si="154"/>
        <v>RECEITAS COM ENTREGAS (303)</v>
      </c>
      <c r="S321">
        <v>860</v>
      </c>
      <c r="T321">
        <v>733</v>
      </c>
      <c r="U321" t="s">
        <v>19</v>
      </c>
    </row>
    <row r="322" spans="1:21">
      <c r="A322" t="str">
        <f t="shared" si="148"/>
        <v>16/01/2025</v>
      </c>
      <c r="B322" t="str">
        <f t="shared" si="155"/>
        <v>ENTRADA</v>
      </c>
      <c r="C322" t="str">
        <f t="shared" si="151"/>
        <v>NFSE</v>
      </c>
      <c r="D322" t="str">
        <f>"2630"</f>
        <v>2630</v>
      </c>
      <c r="E322" t="str">
        <f t="shared" si="149"/>
        <v>COM</v>
      </c>
      <c r="F322" t="str">
        <f>"JAL FARMACIA E DROGARIA LJ 2 (10138)"</f>
        <v>JAL FARMACIA E DROGARIA LJ 2 (10138)</v>
      </c>
      <c r="G322" t="str">
        <f>"Serv.Prest. 06/01/2025 a 12/01/2025 - RPS: 404 - NFSe: 2630"</f>
        <v>Serv.Prest. 06/01/2025 a 12/01/2025 - RPS: 404 - NFSe: 2630</v>
      </c>
      <c r="H322" t="str">
        <f t="shared" si="146"/>
        <v>15/01/2025</v>
      </c>
      <c r="I322" t="str">
        <f t="shared" si="152"/>
        <v>13/01/2025</v>
      </c>
      <c r="J322" t="str">
        <f t="shared" si="150"/>
        <v>16/01/2025</v>
      </c>
      <c r="M322">
        <v>303</v>
      </c>
      <c r="N322" t="str">
        <f t="shared" si="153"/>
        <v>RECEITAS COM ENTREGAS</v>
      </c>
      <c r="P322">
        <v>275.2</v>
      </c>
      <c r="Q322" t="str">
        <f>"JAL FARMACIA E DROGARIA LJ 2 (10138)"</f>
        <v>JAL FARMACIA E DROGARIA LJ 2 (10138)</v>
      </c>
      <c r="R322" t="str">
        <f t="shared" si="154"/>
        <v>RECEITAS COM ENTREGAS (303)</v>
      </c>
      <c r="S322">
        <v>860</v>
      </c>
      <c r="T322">
        <v>733</v>
      </c>
      <c r="U322" t="s">
        <v>19</v>
      </c>
    </row>
    <row r="323" spans="1:21">
      <c r="A323" t="str">
        <f t="shared" si="148"/>
        <v>16/01/2025</v>
      </c>
      <c r="B323" t="str">
        <f t="shared" si="155"/>
        <v>ENTRADA</v>
      </c>
      <c r="C323" t="str">
        <f t="shared" si="151"/>
        <v>NFSE</v>
      </c>
      <c r="D323" t="str">
        <f>"2636"</f>
        <v>2636</v>
      </c>
      <c r="E323" t="str">
        <f t="shared" si="149"/>
        <v>COM</v>
      </c>
      <c r="F323" t="str">
        <f>"DROGA ELIDA (10121)"</f>
        <v>DROGA ELIDA (10121)</v>
      </c>
      <c r="G323" t="str">
        <f>"Serv.Prest. 06/01/2025 a 12/01/2025 - RPS: 410 - NFSe: 2636"</f>
        <v>Serv.Prest. 06/01/2025 a 12/01/2025 - RPS: 410 - NFSe: 2636</v>
      </c>
      <c r="H323" t="str">
        <f t="shared" si="146"/>
        <v>15/01/2025</v>
      </c>
      <c r="I323" t="str">
        <f t="shared" si="152"/>
        <v>13/01/2025</v>
      </c>
      <c r="J323" t="str">
        <f t="shared" si="150"/>
        <v>16/01/2025</v>
      </c>
      <c r="K323">
        <v>441.6</v>
      </c>
      <c r="L323">
        <v>441.6</v>
      </c>
      <c r="M323">
        <v>303</v>
      </c>
      <c r="N323" t="str">
        <f t="shared" si="153"/>
        <v>RECEITAS COM ENTREGAS</v>
      </c>
      <c r="O323">
        <v>441.6</v>
      </c>
      <c r="R323" t="str">
        <f t="shared" si="154"/>
        <v>RECEITAS COM ENTREGAS (303)</v>
      </c>
      <c r="S323">
        <v>861</v>
      </c>
      <c r="T323">
        <v>739</v>
      </c>
      <c r="U323" t="s">
        <v>19</v>
      </c>
    </row>
    <row r="324" spans="1:21">
      <c r="A324" t="str">
        <f t="shared" si="148"/>
        <v>16/01/2025</v>
      </c>
      <c r="B324" t="str">
        <f t="shared" si="155"/>
        <v>ENTRADA</v>
      </c>
      <c r="C324" t="str">
        <f t="shared" si="151"/>
        <v>NFSE</v>
      </c>
      <c r="D324" t="str">
        <f>"2636"</f>
        <v>2636</v>
      </c>
      <c r="E324" t="str">
        <f t="shared" si="149"/>
        <v>COM</v>
      </c>
      <c r="F324" t="str">
        <f>"DROGA ELIDA (10121)"</f>
        <v>DROGA ELIDA (10121)</v>
      </c>
      <c r="G324" t="str">
        <f>"Serv.Prest. 06/01/2025 a 12/01/2025 - RPS: 410 - NFSe: 2636"</f>
        <v>Serv.Prest. 06/01/2025 a 12/01/2025 - RPS: 410 - NFSe: 2636</v>
      </c>
      <c r="H324" t="str">
        <f t="shared" si="146"/>
        <v>15/01/2025</v>
      </c>
      <c r="I324" t="str">
        <f t="shared" si="152"/>
        <v>13/01/2025</v>
      </c>
      <c r="J324" t="str">
        <f t="shared" si="150"/>
        <v>16/01/2025</v>
      </c>
      <c r="M324">
        <v>303</v>
      </c>
      <c r="N324" t="str">
        <f t="shared" si="153"/>
        <v>RECEITAS COM ENTREGAS</v>
      </c>
      <c r="P324">
        <v>441.6</v>
      </c>
      <c r="Q324" t="str">
        <f>"DROGA ELIDA (10121)"</f>
        <v>DROGA ELIDA (10121)</v>
      </c>
      <c r="R324" t="str">
        <f t="shared" si="154"/>
        <v>RECEITAS COM ENTREGAS (303)</v>
      </c>
      <c r="S324">
        <v>861</v>
      </c>
      <c r="T324">
        <v>739</v>
      </c>
      <c r="U324" t="s">
        <v>19</v>
      </c>
    </row>
    <row r="325" spans="1:21">
      <c r="A325" t="str">
        <f t="shared" si="148"/>
        <v>16/01/2025</v>
      </c>
      <c r="B325" t="str">
        <f t="shared" ref="B325:B330" si="156">"SAÍDA"</f>
        <v>SAÍDA</v>
      </c>
      <c r="C325" t="str">
        <f>"PIX"</f>
        <v>PIX</v>
      </c>
      <c r="D325" t="str">
        <f>"1601"</f>
        <v>1601</v>
      </c>
      <c r="E325" t="str">
        <f t="shared" si="149"/>
        <v>COM</v>
      </c>
      <c r="F325" t="str">
        <f>"MARCELO REZENDE ARANTES (20014)"</f>
        <v>MARCELO REZENDE ARANTES (20014)</v>
      </c>
      <c r="G325" t="str">
        <f>"DISTRIBUIÇÃO DE LUCRO"</f>
        <v>DISTRIBUIÇÃO DE LUCRO</v>
      </c>
      <c r="H325" t="str">
        <f t="shared" ref="H325:I330" si="157">("16/01/2025")</f>
        <v>16/01/2025</v>
      </c>
      <c r="I325" t="str">
        <f t="shared" si="157"/>
        <v>16/01/2025</v>
      </c>
      <c r="J325" t="str">
        <f t="shared" si="150"/>
        <v>16/01/2025</v>
      </c>
      <c r="K325">
        <v>3000</v>
      </c>
      <c r="L325">
        <v>3000</v>
      </c>
      <c r="M325">
        <v>125</v>
      </c>
      <c r="N325" t="str">
        <f>"DISTRIBUIÇÃO DE LUCRO"</f>
        <v>DISTRIBUIÇÃO DE LUCRO</v>
      </c>
      <c r="O325">
        <v>3000</v>
      </c>
      <c r="R325" t="str">
        <f t="shared" ref="R325:R330" si="158">"BANCO CORA (102)"</f>
        <v>BANCO CORA (102)</v>
      </c>
      <c r="S325">
        <v>868</v>
      </c>
      <c r="T325">
        <v>757</v>
      </c>
      <c r="U325" t="s">
        <v>19</v>
      </c>
    </row>
    <row r="326" spans="1:21">
      <c r="A326" t="str">
        <f t="shared" si="148"/>
        <v>16/01/2025</v>
      </c>
      <c r="B326" t="str">
        <f t="shared" si="156"/>
        <v>SAÍDA</v>
      </c>
      <c r="C326" t="str">
        <f>"PIX"</f>
        <v>PIX</v>
      </c>
      <c r="D326" t="str">
        <f>"1601"</f>
        <v>1601</v>
      </c>
      <c r="E326" t="str">
        <f t="shared" si="149"/>
        <v>COM</v>
      </c>
      <c r="F326" t="str">
        <f>"MARCELO REZENDE ARANTES (20014)"</f>
        <v>MARCELO REZENDE ARANTES (20014)</v>
      </c>
      <c r="G326" t="str">
        <f>"DISTRIBUIÇÃO DE LUCRO"</f>
        <v>DISTRIBUIÇÃO DE LUCRO</v>
      </c>
      <c r="H326" t="str">
        <f t="shared" si="157"/>
        <v>16/01/2025</v>
      </c>
      <c r="I326" t="str">
        <f t="shared" si="157"/>
        <v>16/01/2025</v>
      </c>
      <c r="J326" t="str">
        <f t="shared" si="150"/>
        <v>16/01/2025</v>
      </c>
      <c r="M326">
        <v>125</v>
      </c>
      <c r="N326" t="str">
        <f>"DISTRIBUIÇÃO DE LUCRO"</f>
        <v>DISTRIBUIÇÃO DE LUCRO</v>
      </c>
      <c r="P326">
        <v>3000</v>
      </c>
      <c r="Q326" t="str">
        <f>"MARCELO REZENDE ARANTES (20014)"</f>
        <v>MARCELO REZENDE ARANTES (20014)</v>
      </c>
      <c r="R326" t="str">
        <f t="shared" si="158"/>
        <v>BANCO CORA (102)</v>
      </c>
      <c r="S326">
        <v>868</v>
      </c>
      <c r="T326">
        <v>757</v>
      </c>
      <c r="U326" t="s">
        <v>19</v>
      </c>
    </row>
    <row r="327" spans="1:21">
      <c r="A327" t="str">
        <f t="shared" si="148"/>
        <v>16/01/2025</v>
      </c>
      <c r="B327" t="str">
        <f t="shared" si="156"/>
        <v>SAÍDA</v>
      </c>
      <c r="C327" t="str">
        <f>"JUROS"</f>
        <v>JUROS</v>
      </c>
      <c r="D327" t="str">
        <f>""</f>
        <v/>
      </c>
      <c r="E327" t="str">
        <f>"CXA"</f>
        <v>CXA</v>
      </c>
      <c r="F327" t="str">
        <f>""</f>
        <v/>
      </c>
      <c r="G327" t="str">
        <f>"TAXA BOLETO COMPENSADO"</f>
        <v>TAXA BOLETO COMPENSADO</v>
      </c>
      <c r="H327" t="str">
        <f t="shared" si="157"/>
        <v>16/01/2025</v>
      </c>
      <c r="I327" t="str">
        <f t="shared" si="157"/>
        <v>16/01/2025</v>
      </c>
      <c r="J327" t="str">
        <f t="shared" si="150"/>
        <v>16/01/2025</v>
      </c>
      <c r="K327">
        <v>1.7</v>
      </c>
      <c r="L327">
        <v>1.7</v>
      </c>
      <c r="M327">
        <v>401</v>
      </c>
      <c r="N327" t="str">
        <f>"IOF/JUROS/DESP.FINANCEIRA"</f>
        <v>IOF/JUROS/DESP.FINANCEIRA</v>
      </c>
      <c r="O327">
        <v>1.7</v>
      </c>
      <c r="R327" t="str">
        <f t="shared" si="158"/>
        <v>BANCO CORA (102)</v>
      </c>
      <c r="S327">
        <v>869</v>
      </c>
      <c r="T327">
        <v>0</v>
      </c>
      <c r="U327" t="s">
        <v>20</v>
      </c>
    </row>
    <row r="328" spans="1:21">
      <c r="A328" t="str">
        <f t="shared" si="148"/>
        <v>16/01/2025</v>
      </c>
      <c r="B328" t="str">
        <f t="shared" si="156"/>
        <v>SAÍDA</v>
      </c>
      <c r="C328" t="str">
        <f>"JUROS"</f>
        <v>JUROS</v>
      </c>
      <c r="D328" t="str">
        <f>""</f>
        <v/>
      </c>
      <c r="E328" t="str">
        <f>"CXA"</f>
        <v>CXA</v>
      </c>
      <c r="F328" t="str">
        <f>""</f>
        <v/>
      </c>
      <c r="G328" t="str">
        <f>"TAXA BOLETO COMPENSADO"</f>
        <v>TAXA BOLETO COMPENSADO</v>
      </c>
      <c r="H328" t="str">
        <f t="shared" si="157"/>
        <v>16/01/2025</v>
      </c>
      <c r="I328" t="str">
        <f t="shared" si="157"/>
        <v>16/01/2025</v>
      </c>
      <c r="J328" t="str">
        <f t="shared" si="150"/>
        <v>16/01/2025</v>
      </c>
      <c r="K328">
        <v>1.7</v>
      </c>
      <c r="L328">
        <v>1.7</v>
      </c>
      <c r="M328">
        <v>401</v>
      </c>
      <c r="N328" t="str">
        <f>"IOF/JUROS/DESP.FINANCEIRA"</f>
        <v>IOF/JUROS/DESP.FINANCEIRA</v>
      </c>
      <c r="O328">
        <v>1.7</v>
      </c>
      <c r="R328" t="str">
        <f t="shared" si="158"/>
        <v>BANCO CORA (102)</v>
      </c>
      <c r="S328">
        <v>870</v>
      </c>
      <c r="T328">
        <v>0</v>
      </c>
      <c r="U328" t="s">
        <v>20</v>
      </c>
    </row>
    <row r="329" spans="1:21">
      <c r="A329" t="str">
        <f t="shared" si="148"/>
        <v>16/01/2025</v>
      </c>
      <c r="B329" t="str">
        <f t="shared" si="156"/>
        <v>SAÍDA</v>
      </c>
      <c r="C329" t="str">
        <f>"JUROS"</f>
        <v>JUROS</v>
      </c>
      <c r="D329" t="str">
        <f>""</f>
        <v/>
      </c>
      <c r="E329" t="str">
        <f>"CXA"</f>
        <v>CXA</v>
      </c>
      <c r="F329" t="str">
        <f>""</f>
        <v/>
      </c>
      <c r="G329" t="str">
        <f>"TAXA BOLETO COMPENSADO"</f>
        <v>TAXA BOLETO COMPENSADO</v>
      </c>
      <c r="H329" t="str">
        <f t="shared" si="157"/>
        <v>16/01/2025</v>
      </c>
      <c r="I329" t="str">
        <f t="shared" si="157"/>
        <v>16/01/2025</v>
      </c>
      <c r="J329" t="str">
        <f t="shared" si="150"/>
        <v>16/01/2025</v>
      </c>
      <c r="K329">
        <v>1.7</v>
      </c>
      <c r="L329">
        <v>1.7</v>
      </c>
      <c r="M329">
        <v>401</v>
      </c>
      <c r="N329" t="str">
        <f>"IOF/JUROS/DESP.FINANCEIRA"</f>
        <v>IOF/JUROS/DESP.FINANCEIRA</v>
      </c>
      <c r="O329">
        <v>1.7</v>
      </c>
      <c r="R329" t="str">
        <f t="shared" si="158"/>
        <v>BANCO CORA (102)</v>
      </c>
      <c r="S329">
        <v>871</v>
      </c>
      <c r="T329">
        <v>0</v>
      </c>
      <c r="U329" t="s">
        <v>20</v>
      </c>
    </row>
    <row r="330" spans="1:21">
      <c r="A330" t="str">
        <f t="shared" si="148"/>
        <v>16/01/2025</v>
      </c>
      <c r="B330" t="str">
        <f t="shared" si="156"/>
        <v>SAÍDA</v>
      </c>
      <c r="C330" t="str">
        <f>"JUROS"</f>
        <v>JUROS</v>
      </c>
      <c r="D330" t="str">
        <f>""</f>
        <v/>
      </c>
      <c r="E330" t="str">
        <f>"CXA"</f>
        <v>CXA</v>
      </c>
      <c r="F330" t="str">
        <f>""</f>
        <v/>
      </c>
      <c r="G330" t="str">
        <f>"TAXA BOLETO COMPENSADO"</f>
        <v>TAXA BOLETO COMPENSADO</v>
      </c>
      <c r="H330" t="str">
        <f t="shared" si="157"/>
        <v>16/01/2025</v>
      </c>
      <c r="I330" t="str">
        <f t="shared" si="157"/>
        <v>16/01/2025</v>
      </c>
      <c r="J330" t="str">
        <f t="shared" si="150"/>
        <v>16/01/2025</v>
      </c>
      <c r="K330">
        <v>1.7</v>
      </c>
      <c r="L330">
        <v>1.7</v>
      </c>
      <c r="M330">
        <v>401</v>
      </c>
      <c r="N330" t="str">
        <f>"IOF/JUROS/DESP.FINANCEIRA"</f>
        <v>IOF/JUROS/DESP.FINANCEIRA</v>
      </c>
      <c r="O330">
        <v>1.7</v>
      </c>
      <c r="R330" t="str">
        <f t="shared" si="158"/>
        <v>BANCO CORA (102)</v>
      </c>
      <c r="S330">
        <v>872</v>
      </c>
      <c r="T330">
        <v>0</v>
      </c>
      <c r="U330" t="s">
        <v>20</v>
      </c>
    </row>
    <row r="331" spans="1:21">
      <c r="A331" t="str">
        <f t="shared" si="148"/>
        <v>16/01/2025</v>
      </c>
      <c r="B331" t="str">
        <f>"ENTRADA"</f>
        <v>ENTRADA</v>
      </c>
      <c r="C331" t="str">
        <f t="shared" ref="C331:C336" si="159">"NFSE"</f>
        <v>NFSE</v>
      </c>
      <c r="D331" t="str">
        <f>"2632"</f>
        <v>2632</v>
      </c>
      <c r="E331" t="str">
        <f t="shared" ref="E331:E336" si="160">"COM"</f>
        <v>COM</v>
      </c>
      <c r="F331" t="str">
        <f>"DROGARIA POUPA MINAS (DOIS AMIGOS) 5 (10140)"</f>
        <v>DROGARIA POUPA MINAS (DOIS AMIGOS) 5 (10140)</v>
      </c>
      <c r="G331" t="str">
        <f>"Serv.Prest. 06/01/2025 a 12/01/2025 - RPS: 406 - NFSe: 2632"</f>
        <v>Serv.Prest. 06/01/2025 a 12/01/2025 - RPS: 406 - NFSe: 2632</v>
      </c>
      <c r="H331" t="str">
        <f>("16/01/2025")</f>
        <v>16/01/2025</v>
      </c>
      <c r="I331" t="str">
        <f t="shared" ref="I331:I336" si="161">("13/01/2025")</f>
        <v>13/01/2025</v>
      </c>
      <c r="J331" t="str">
        <f t="shared" si="150"/>
        <v>16/01/2025</v>
      </c>
      <c r="K331">
        <v>854.92</v>
      </c>
      <c r="L331">
        <v>854.92</v>
      </c>
      <c r="M331">
        <v>303</v>
      </c>
      <c r="N331" t="str">
        <f t="shared" ref="N331:N336" si="162">"RECEITAS COM ENTREGAS"</f>
        <v>RECEITAS COM ENTREGAS</v>
      </c>
      <c r="O331">
        <v>854.92</v>
      </c>
      <c r="R331" t="str">
        <f t="shared" ref="R331:R336" si="163">"RECEITAS COM ENTREGAS (303)"</f>
        <v>RECEITAS COM ENTREGAS (303)</v>
      </c>
      <c r="S331">
        <v>873</v>
      </c>
      <c r="T331">
        <v>735</v>
      </c>
      <c r="U331" t="s">
        <v>19</v>
      </c>
    </row>
    <row r="332" spans="1:21">
      <c r="A332" t="str">
        <f t="shared" si="148"/>
        <v>16/01/2025</v>
      </c>
      <c r="B332" t="str">
        <f t="shared" ref="B332:B336" si="164">"ENTRADA"</f>
        <v>ENTRADA</v>
      </c>
      <c r="C332" t="str">
        <f t="shared" si="159"/>
        <v>NFSE</v>
      </c>
      <c r="D332" t="str">
        <f>"2632"</f>
        <v>2632</v>
      </c>
      <c r="E332" t="str">
        <f t="shared" si="160"/>
        <v>COM</v>
      </c>
      <c r="F332" t="str">
        <f>"DROGARIA POUPA MINAS (DOIS AMIGOS) 5 (10140)"</f>
        <v>DROGARIA POUPA MINAS (DOIS AMIGOS) 5 (10140)</v>
      </c>
      <c r="G332" t="str">
        <f>"Serv.Prest. 06/01/2025 a 12/01/2025 - RPS: 406 - NFSe: 2632"</f>
        <v>Serv.Prest. 06/01/2025 a 12/01/2025 - RPS: 406 - NFSe: 2632</v>
      </c>
      <c r="H332" t="str">
        <f>("16/01/2025")</f>
        <v>16/01/2025</v>
      </c>
      <c r="I332" t="str">
        <f t="shared" si="161"/>
        <v>13/01/2025</v>
      </c>
      <c r="J332" t="str">
        <f t="shared" si="150"/>
        <v>16/01/2025</v>
      </c>
      <c r="M332">
        <v>303</v>
      </c>
      <c r="N332" t="str">
        <f t="shared" si="162"/>
        <v>RECEITAS COM ENTREGAS</v>
      </c>
      <c r="P332">
        <v>854.92</v>
      </c>
      <c r="Q332" t="str">
        <f>"DROGARIA POUPA MINAS (ULTRAMINAS) (10116)"</f>
        <v>DROGARIA POUPA MINAS (ULTRAMINAS) (10116)</v>
      </c>
      <c r="R332" t="str">
        <f t="shared" si="163"/>
        <v>RECEITAS COM ENTREGAS (303)</v>
      </c>
      <c r="S332">
        <v>873</v>
      </c>
      <c r="T332">
        <v>735</v>
      </c>
      <c r="U332" t="s">
        <v>19</v>
      </c>
    </row>
    <row r="333" spans="1:21">
      <c r="A333" t="str">
        <f t="shared" si="148"/>
        <v>16/01/2025</v>
      </c>
      <c r="B333" t="str">
        <f t="shared" si="164"/>
        <v>ENTRADA</v>
      </c>
      <c r="C333" t="str">
        <f t="shared" si="159"/>
        <v>NFSE</v>
      </c>
      <c r="D333" t="str">
        <f>"2623"</f>
        <v>2623</v>
      </c>
      <c r="E333" t="str">
        <f t="shared" si="160"/>
        <v>COM</v>
      </c>
      <c r="F333" t="str">
        <f>"DELTA LOJA 2 (10123)"</f>
        <v>DELTA LOJA 2 (10123)</v>
      </c>
      <c r="G333" t="str">
        <f>"Serv.Prest. 06/01/2025 a 12/01/2025 - RPS: 397 - NFSe: 2623"</f>
        <v>Serv.Prest. 06/01/2025 a 12/01/2025 - RPS: 397 - NFSe: 2623</v>
      </c>
      <c r="H333" t="str">
        <f>("15/01/2025")</f>
        <v>15/01/2025</v>
      </c>
      <c r="I333" t="str">
        <f t="shared" si="161"/>
        <v>13/01/2025</v>
      </c>
      <c r="J333" t="str">
        <f t="shared" si="150"/>
        <v>16/01/2025</v>
      </c>
      <c r="K333">
        <v>480.48</v>
      </c>
      <c r="L333">
        <v>490.24</v>
      </c>
      <c r="M333">
        <v>303</v>
      </c>
      <c r="N333" t="str">
        <f t="shared" si="162"/>
        <v>RECEITAS COM ENTREGAS</v>
      </c>
      <c r="O333">
        <v>490.24</v>
      </c>
      <c r="R333" t="str">
        <f t="shared" si="163"/>
        <v>RECEITAS COM ENTREGAS (303)</v>
      </c>
      <c r="S333">
        <v>874</v>
      </c>
      <c r="T333">
        <v>726</v>
      </c>
      <c r="U333" t="s">
        <v>19</v>
      </c>
    </row>
    <row r="334" spans="1:21">
      <c r="A334" t="str">
        <f t="shared" si="148"/>
        <v>16/01/2025</v>
      </c>
      <c r="B334" t="str">
        <f t="shared" si="164"/>
        <v>ENTRADA</v>
      </c>
      <c r="C334" t="str">
        <f t="shared" si="159"/>
        <v>NFSE</v>
      </c>
      <c r="D334" t="str">
        <f>"2623"</f>
        <v>2623</v>
      </c>
      <c r="E334" t="str">
        <f t="shared" si="160"/>
        <v>COM</v>
      </c>
      <c r="F334" t="str">
        <f>"DELTA LOJA 2 (10123)"</f>
        <v>DELTA LOJA 2 (10123)</v>
      </c>
      <c r="G334" t="str">
        <f>"Serv.Prest. 06/01/2025 a 12/01/2025 - RPS: 397 - NFSe: 2623"</f>
        <v>Serv.Prest. 06/01/2025 a 12/01/2025 - RPS: 397 - NFSe: 2623</v>
      </c>
      <c r="H334" t="str">
        <f>("15/01/2025")</f>
        <v>15/01/2025</v>
      </c>
      <c r="I334" t="str">
        <f t="shared" si="161"/>
        <v>13/01/2025</v>
      </c>
      <c r="J334" t="str">
        <f t="shared" si="150"/>
        <v>16/01/2025</v>
      </c>
      <c r="M334">
        <v>303</v>
      </c>
      <c r="N334" t="str">
        <f t="shared" si="162"/>
        <v>RECEITAS COM ENTREGAS</v>
      </c>
      <c r="P334">
        <v>490.24</v>
      </c>
      <c r="Q334" t="str">
        <f>"DELTA LOJA 2 (10123)"</f>
        <v>DELTA LOJA 2 (10123)</v>
      </c>
      <c r="R334" t="str">
        <f t="shared" si="163"/>
        <v>RECEITAS COM ENTREGAS (303)</v>
      </c>
      <c r="S334">
        <v>874</v>
      </c>
      <c r="T334">
        <v>726</v>
      </c>
      <c r="U334" t="s">
        <v>19</v>
      </c>
    </row>
    <row r="335" spans="1:21">
      <c r="A335" t="str">
        <f t="shared" si="148"/>
        <v>16/01/2025</v>
      </c>
      <c r="B335" t="str">
        <f t="shared" si="164"/>
        <v>ENTRADA</v>
      </c>
      <c r="C335" t="str">
        <f t="shared" si="159"/>
        <v>NFSE</v>
      </c>
      <c r="D335" t="str">
        <f>"2631"</f>
        <v>2631</v>
      </c>
      <c r="E335" t="str">
        <f t="shared" si="160"/>
        <v>COM</v>
      </c>
      <c r="F335" t="str">
        <f>"DROGARIA POUPA MINAS (ULTRAMINAS) 3 (10129)"</f>
        <v>DROGARIA POUPA MINAS (ULTRAMINAS) 3 (10129)</v>
      </c>
      <c r="G335" t="str">
        <f>"Serv.Prest. 06/01/2025 a 12/01/2025 - RPS: 405 - NFSe: 2631"</f>
        <v>Serv.Prest. 06/01/2025 a 12/01/2025 - RPS: 405 - NFSe: 2631</v>
      </c>
      <c r="H335" t="str">
        <f>("16/01/2025")</f>
        <v>16/01/2025</v>
      </c>
      <c r="I335" t="str">
        <f t="shared" si="161"/>
        <v>13/01/2025</v>
      </c>
      <c r="J335" t="str">
        <f t="shared" si="150"/>
        <v>16/01/2025</v>
      </c>
      <c r="K335">
        <v>274.56</v>
      </c>
      <c r="L335">
        <v>274.56</v>
      </c>
      <c r="M335">
        <v>303</v>
      </c>
      <c r="N335" t="str">
        <f t="shared" si="162"/>
        <v>RECEITAS COM ENTREGAS</v>
      </c>
      <c r="O335">
        <v>274.56</v>
      </c>
      <c r="R335" t="str">
        <f t="shared" si="163"/>
        <v>RECEITAS COM ENTREGAS (303)</v>
      </c>
      <c r="S335">
        <v>875</v>
      </c>
      <c r="T335">
        <v>734</v>
      </c>
      <c r="U335" t="s">
        <v>19</v>
      </c>
    </row>
    <row r="336" spans="1:21">
      <c r="A336" t="str">
        <f t="shared" si="148"/>
        <v>16/01/2025</v>
      </c>
      <c r="B336" t="str">
        <f t="shared" si="164"/>
        <v>ENTRADA</v>
      </c>
      <c r="C336" t="str">
        <f t="shared" si="159"/>
        <v>NFSE</v>
      </c>
      <c r="D336" t="str">
        <f>"2631"</f>
        <v>2631</v>
      </c>
      <c r="E336" t="str">
        <f t="shared" si="160"/>
        <v>COM</v>
      </c>
      <c r="F336" t="str">
        <f>"DROGARIA POUPA MINAS (ULTRAMINAS) 3 (10129)"</f>
        <v>DROGARIA POUPA MINAS (ULTRAMINAS) 3 (10129)</v>
      </c>
      <c r="G336" t="str">
        <f>"Serv.Prest. 06/01/2025 a 12/01/2025 - RPS: 405 - NFSe: 2631"</f>
        <v>Serv.Prest. 06/01/2025 a 12/01/2025 - RPS: 405 - NFSe: 2631</v>
      </c>
      <c r="H336" t="str">
        <f>("16/01/2025")</f>
        <v>16/01/2025</v>
      </c>
      <c r="I336" t="str">
        <f t="shared" si="161"/>
        <v>13/01/2025</v>
      </c>
      <c r="J336" t="str">
        <f t="shared" si="150"/>
        <v>16/01/2025</v>
      </c>
      <c r="M336">
        <v>303</v>
      </c>
      <c r="N336" t="str">
        <f t="shared" si="162"/>
        <v>RECEITAS COM ENTREGAS</v>
      </c>
      <c r="P336">
        <v>274.56</v>
      </c>
      <c r="Q336" t="str">
        <f>"DROGARIA POUPA MINAS (ULTRAMINAS) 3 (10129)"</f>
        <v>DROGARIA POUPA MINAS (ULTRAMINAS) 3 (10129)</v>
      </c>
      <c r="R336" t="str">
        <f t="shared" si="163"/>
        <v>RECEITAS COM ENTREGAS (303)</v>
      </c>
      <c r="S336">
        <v>875</v>
      </c>
      <c r="T336">
        <v>734</v>
      </c>
      <c r="U336" t="s">
        <v>19</v>
      </c>
    </row>
    <row r="337" spans="1:21">
      <c r="A337" t="str">
        <f t="shared" si="148"/>
        <v>16/01/2025</v>
      </c>
      <c r="B337" t="str">
        <f t="shared" ref="B337:B342" si="165">"SAÍDA"</f>
        <v>SAÍDA</v>
      </c>
      <c r="C337" t="str">
        <f>"JUROS"</f>
        <v>JUROS</v>
      </c>
      <c r="D337" t="str">
        <f>""</f>
        <v/>
      </c>
      <c r="E337" t="str">
        <f>"CXA"</f>
        <v>CXA</v>
      </c>
      <c r="F337" t="str">
        <f>""</f>
        <v/>
      </c>
      <c r="G337" t="str">
        <f>"TAXA BOLETO COMPENSADO"</f>
        <v>TAXA BOLETO COMPENSADO</v>
      </c>
      <c r="H337" t="str">
        <f>("16/01/2025")</f>
        <v>16/01/2025</v>
      </c>
      <c r="I337" t="str">
        <f>("16/01/2025")</f>
        <v>16/01/2025</v>
      </c>
      <c r="J337" t="str">
        <f t="shared" si="150"/>
        <v>16/01/2025</v>
      </c>
      <c r="K337">
        <v>1.7</v>
      </c>
      <c r="L337">
        <v>1.7</v>
      </c>
      <c r="M337">
        <v>401</v>
      </c>
      <c r="N337" t="str">
        <f>"IOF/JUROS/DESP.FINANCEIRA"</f>
        <v>IOF/JUROS/DESP.FINANCEIRA</v>
      </c>
      <c r="O337">
        <v>1.7</v>
      </c>
      <c r="R337" t="str">
        <f t="shared" ref="R337:R342" si="166">"BANCO CORA (102)"</f>
        <v>BANCO CORA (102)</v>
      </c>
      <c r="S337">
        <v>876</v>
      </c>
      <c r="T337">
        <v>0</v>
      </c>
      <c r="U337" t="s">
        <v>20</v>
      </c>
    </row>
    <row r="338" spans="1:21">
      <c r="A338" t="str">
        <f t="shared" si="148"/>
        <v>16/01/2025</v>
      </c>
      <c r="B338" t="str">
        <f t="shared" si="165"/>
        <v>SAÍDA</v>
      </c>
      <c r="C338" t="str">
        <f>"JUROS"</f>
        <v>JUROS</v>
      </c>
      <c r="D338" t="str">
        <f>""</f>
        <v/>
      </c>
      <c r="E338" t="str">
        <f>"CXA"</f>
        <v>CXA</v>
      </c>
      <c r="F338" t="str">
        <f>""</f>
        <v/>
      </c>
      <c r="G338" t="str">
        <f>"TAXA BOLETO COMPENSADO"</f>
        <v>TAXA BOLETO COMPENSADO</v>
      </c>
      <c r="H338" t="str">
        <f>("16/01/2025")</f>
        <v>16/01/2025</v>
      </c>
      <c r="I338" t="str">
        <f>("16/01/2025")</f>
        <v>16/01/2025</v>
      </c>
      <c r="J338" t="str">
        <f t="shared" si="150"/>
        <v>16/01/2025</v>
      </c>
      <c r="K338">
        <v>1.7</v>
      </c>
      <c r="L338">
        <v>1.7</v>
      </c>
      <c r="M338">
        <v>401</v>
      </c>
      <c r="N338" t="str">
        <f>"IOF/JUROS/DESP.FINANCEIRA"</f>
        <v>IOF/JUROS/DESP.FINANCEIRA</v>
      </c>
      <c r="O338">
        <v>1.7</v>
      </c>
      <c r="R338" t="str">
        <f t="shared" si="166"/>
        <v>BANCO CORA (102)</v>
      </c>
      <c r="S338">
        <v>877</v>
      </c>
      <c r="T338">
        <v>0</v>
      </c>
      <c r="U338" t="s">
        <v>20</v>
      </c>
    </row>
    <row r="339" spans="1:21">
      <c r="A339" t="str">
        <f t="shared" si="148"/>
        <v>16/01/2025</v>
      </c>
      <c r="B339" t="str">
        <f t="shared" si="165"/>
        <v>SAÍDA</v>
      </c>
      <c r="C339" t="str">
        <f>"JUROS"</f>
        <v>JUROS</v>
      </c>
      <c r="D339" t="str">
        <f>""</f>
        <v/>
      </c>
      <c r="E339" t="str">
        <f>"CXA"</f>
        <v>CXA</v>
      </c>
      <c r="F339" t="str">
        <f>""</f>
        <v/>
      </c>
      <c r="G339" t="str">
        <f>"TAXA BOLETO COMPENSADO"</f>
        <v>TAXA BOLETO COMPENSADO</v>
      </c>
      <c r="H339" t="str">
        <f>("16/01/2025")</f>
        <v>16/01/2025</v>
      </c>
      <c r="I339" t="str">
        <f>("16/01/2025")</f>
        <v>16/01/2025</v>
      </c>
      <c r="J339" t="str">
        <f t="shared" si="150"/>
        <v>16/01/2025</v>
      </c>
      <c r="K339">
        <v>1.7</v>
      </c>
      <c r="L339">
        <v>1.7</v>
      </c>
      <c r="M339">
        <v>401</v>
      </c>
      <c r="N339" t="str">
        <f>"IOF/JUROS/DESP.FINANCEIRA"</f>
        <v>IOF/JUROS/DESP.FINANCEIRA</v>
      </c>
      <c r="O339">
        <v>1.7</v>
      </c>
      <c r="R339" t="str">
        <f t="shared" si="166"/>
        <v>BANCO CORA (102)</v>
      </c>
      <c r="S339">
        <v>878</v>
      </c>
      <c r="T339">
        <v>0</v>
      </c>
      <c r="U339" t="s">
        <v>20</v>
      </c>
    </row>
    <row r="340" spans="1:21">
      <c r="A340" t="str">
        <f t="shared" ref="A340:A348" si="167">("17/01/2025")</f>
        <v>17/01/2025</v>
      </c>
      <c r="B340" t="str">
        <f t="shared" si="165"/>
        <v>SAÍDA</v>
      </c>
      <c r="C340" t="str">
        <f>"PIX"</f>
        <v>PIX</v>
      </c>
      <c r="D340" t="str">
        <f>"1701"</f>
        <v>1701</v>
      </c>
      <c r="E340" t="str">
        <f t="shared" ref="E340:E346" si="168">"COM"</f>
        <v>COM</v>
      </c>
      <c r="F340" t="str">
        <f>"HUMBERTO CUSTODIO DE LIMA 03184561682 (20058)"</f>
        <v>HUMBERTO CUSTODIO DE LIMA 03184561682 (20058)</v>
      </c>
      <c r="G340" t="str">
        <f>"DESENVOLVIMENTO PLATAFORMA WEB APP FLUX FARMA - PIX E-MAIL humbertocustodio@yahoo.com.br"</f>
        <v>DESENVOLVIMENTO PLATAFORMA WEB APP FLUX FARMA - PIX E-MAIL humbertocustodio@yahoo.com.br</v>
      </c>
      <c r="H340" t="str">
        <f>("17/01/2025")</f>
        <v>17/01/2025</v>
      </c>
      <c r="I340" t="str">
        <f>("17/12/2024")</f>
        <v>17/12/2024</v>
      </c>
      <c r="J340" t="str">
        <f t="shared" ref="J340:J348" si="169">("17/01/2025")</f>
        <v>17/01/2025</v>
      </c>
      <c r="K340">
        <v>2000</v>
      </c>
      <c r="L340">
        <v>2000</v>
      </c>
      <c r="M340">
        <v>104</v>
      </c>
      <c r="N340" t="str">
        <f>"SOFTWARE / LICENÇAS"</f>
        <v>SOFTWARE / LICENÇAS</v>
      </c>
      <c r="O340">
        <v>2000</v>
      </c>
      <c r="R340" t="str">
        <f t="shared" si="166"/>
        <v>BANCO CORA (102)</v>
      </c>
      <c r="S340">
        <v>879</v>
      </c>
      <c r="T340">
        <v>649</v>
      </c>
      <c r="U340" t="s">
        <v>19</v>
      </c>
    </row>
    <row r="341" spans="1:21">
      <c r="A341" t="str">
        <f t="shared" si="167"/>
        <v>17/01/2025</v>
      </c>
      <c r="B341" t="str">
        <f t="shared" si="165"/>
        <v>SAÍDA</v>
      </c>
      <c r="C341" t="str">
        <f>"PIX"</f>
        <v>PIX</v>
      </c>
      <c r="D341" t="str">
        <f>"1701"</f>
        <v>1701</v>
      </c>
      <c r="E341" t="str">
        <f t="shared" si="168"/>
        <v>COM</v>
      </c>
      <c r="F341" t="str">
        <f>"HUMBERTO CUSTODIO DE LIMA 03184561682 (20058)"</f>
        <v>HUMBERTO CUSTODIO DE LIMA 03184561682 (20058)</v>
      </c>
      <c r="G341" t="str">
        <f>"DESENVOLVIMENTO PLATAFORMA WEB APP FLUX FARMA - PIX E-MAIL humbertocustodio@yahoo.com.br"</f>
        <v>DESENVOLVIMENTO PLATAFORMA WEB APP FLUX FARMA - PIX E-MAIL humbertocustodio@yahoo.com.br</v>
      </c>
      <c r="H341" t="str">
        <f>("17/01/2025")</f>
        <v>17/01/2025</v>
      </c>
      <c r="I341" t="str">
        <f>("17/12/2024")</f>
        <v>17/12/2024</v>
      </c>
      <c r="J341" t="str">
        <f t="shared" si="169"/>
        <v>17/01/2025</v>
      </c>
      <c r="M341">
        <v>104</v>
      </c>
      <c r="N341" t="str">
        <f>"SOFTWARE / LICENÇAS"</f>
        <v>SOFTWARE / LICENÇAS</v>
      </c>
      <c r="P341">
        <v>2000</v>
      </c>
      <c r="Q341" t="str">
        <f>"HUMBERTO CUSTODIO DE LIMA 03184561682 (20058)"</f>
        <v>HUMBERTO CUSTODIO DE LIMA 03184561682 (20058)</v>
      </c>
      <c r="R341" t="str">
        <f t="shared" si="166"/>
        <v>BANCO CORA (102)</v>
      </c>
      <c r="S341">
        <v>879</v>
      </c>
      <c r="T341">
        <v>649</v>
      </c>
      <c r="U341" t="s">
        <v>19</v>
      </c>
    </row>
    <row r="342" spans="1:21">
      <c r="A342" t="str">
        <f t="shared" si="167"/>
        <v>17/01/2025</v>
      </c>
      <c r="B342" t="str">
        <f t="shared" si="165"/>
        <v>SAÍDA</v>
      </c>
      <c r="C342" t="str">
        <f>"PIX"</f>
        <v>PIX</v>
      </c>
      <c r="D342" t="str">
        <f>"285"</f>
        <v>285</v>
      </c>
      <c r="E342" t="str">
        <f t="shared" si="168"/>
        <v>COM</v>
      </c>
      <c r="F342" t="str">
        <f>"FARMACON PARTICIPACOES LTDA (20033)"</f>
        <v>FARMACON PARTICIPACOES LTDA (20033)</v>
      </c>
      <c r="G342" t="str">
        <f>"DESPESAS COM PUBLICIDADE FARMACON 2025 - PIX CNPJ - CHAVE: 54.462.602/0001-90"</f>
        <v>DESPESAS COM PUBLICIDADE FARMACON 2025 - PIX CNPJ - CHAVE: 54.462.602/0001-90</v>
      </c>
      <c r="H342" t="str">
        <f>("17/01/2025")</f>
        <v>17/01/2025</v>
      </c>
      <c r="I342" t="str">
        <f>("09/01/2025")</f>
        <v>09/01/2025</v>
      </c>
      <c r="J342" t="str">
        <f t="shared" si="169"/>
        <v>17/01/2025</v>
      </c>
      <c r="K342">
        <v>420</v>
      </c>
      <c r="L342">
        <v>420</v>
      </c>
      <c r="M342">
        <v>127</v>
      </c>
      <c r="N342" t="str">
        <f>"PUBLICIDADE E PROPAGANDAS"</f>
        <v>PUBLICIDADE E PROPAGANDAS</v>
      </c>
      <c r="O342">
        <v>420</v>
      </c>
      <c r="R342" t="str">
        <f t="shared" si="166"/>
        <v>BANCO CORA (102)</v>
      </c>
      <c r="S342">
        <v>880</v>
      </c>
      <c r="T342">
        <v>725</v>
      </c>
      <c r="U342" t="s">
        <v>19</v>
      </c>
    </row>
    <row r="343" spans="1:21">
      <c r="A343" t="str">
        <f t="shared" si="167"/>
        <v>17/01/2025</v>
      </c>
      <c r="B343" t="str">
        <f>"ENTRADA"</f>
        <v>ENTRADA</v>
      </c>
      <c r="C343" t="str">
        <f>"NFSE"</f>
        <v>NFSE</v>
      </c>
      <c r="D343" t="str">
        <f>"2626"</f>
        <v>2626</v>
      </c>
      <c r="E343" t="str">
        <f t="shared" si="168"/>
        <v>COM</v>
      </c>
      <c r="F343" t="str">
        <f>"FARMACIA ECONOMIZE (10103)"</f>
        <v>FARMACIA ECONOMIZE (10103)</v>
      </c>
      <c r="G343" t="str">
        <f>"Serv.Prest. 06/01/2025 a 12/01/2025 - RPS: 400 - NFSe: 2626"</f>
        <v>Serv.Prest. 06/01/2025 a 12/01/2025 - RPS: 400 - NFSe: 2626</v>
      </c>
      <c r="H343" t="str">
        <f>("15/01/2025")</f>
        <v>15/01/2025</v>
      </c>
      <c r="I343" t="str">
        <f>("13/01/2025")</f>
        <v>13/01/2025</v>
      </c>
      <c r="J343" t="str">
        <f t="shared" si="169"/>
        <v>17/01/2025</v>
      </c>
      <c r="K343">
        <v>123.08</v>
      </c>
      <c r="L343">
        <v>125.58</v>
      </c>
      <c r="M343">
        <v>303</v>
      </c>
      <c r="N343" t="str">
        <f>"RECEITAS COM ENTREGAS"</f>
        <v>RECEITAS COM ENTREGAS</v>
      </c>
      <c r="O343">
        <v>125.58</v>
      </c>
      <c r="R343" t="str">
        <f>"RECEITAS COM ENTREGAS (303)"</f>
        <v>RECEITAS COM ENTREGAS (303)</v>
      </c>
      <c r="S343">
        <v>881</v>
      </c>
      <c r="T343">
        <v>729</v>
      </c>
      <c r="U343" t="s">
        <v>19</v>
      </c>
    </row>
    <row r="344" spans="1:21">
      <c r="A344" t="str">
        <f t="shared" si="167"/>
        <v>17/01/2025</v>
      </c>
      <c r="B344" t="str">
        <f t="shared" ref="B344:B346" si="170">"ENTRADA"</f>
        <v>ENTRADA</v>
      </c>
      <c r="C344" t="str">
        <f>"NFSE"</f>
        <v>NFSE</v>
      </c>
      <c r="D344" t="str">
        <f>"2626"</f>
        <v>2626</v>
      </c>
      <c r="E344" t="str">
        <f t="shared" si="168"/>
        <v>COM</v>
      </c>
      <c r="F344" t="str">
        <f>"FARMACIA ECONOMIZE (10103)"</f>
        <v>FARMACIA ECONOMIZE (10103)</v>
      </c>
      <c r="G344" t="str">
        <f>"Serv.Prest. 06/01/2025 a 12/01/2025 - RPS: 400 - NFSe: 2626"</f>
        <v>Serv.Prest. 06/01/2025 a 12/01/2025 - RPS: 400 - NFSe: 2626</v>
      </c>
      <c r="H344" t="str">
        <f>("15/01/2025")</f>
        <v>15/01/2025</v>
      </c>
      <c r="I344" t="str">
        <f>("13/01/2025")</f>
        <v>13/01/2025</v>
      </c>
      <c r="J344" t="str">
        <f t="shared" si="169"/>
        <v>17/01/2025</v>
      </c>
      <c r="M344">
        <v>303</v>
      </c>
      <c r="N344" t="str">
        <f>"RECEITAS COM ENTREGAS"</f>
        <v>RECEITAS COM ENTREGAS</v>
      </c>
      <c r="P344">
        <v>125.58</v>
      </c>
      <c r="Q344" t="str">
        <f>"FARMACIA ECONOMIZE (10103)"</f>
        <v>FARMACIA ECONOMIZE (10103)</v>
      </c>
      <c r="R344" t="str">
        <f>"RECEITAS COM ENTREGAS (303)"</f>
        <v>RECEITAS COM ENTREGAS (303)</v>
      </c>
      <c r="S344">
        <v>881</v>
      </c>
      <c r="T344">
        <v>729</v>
      </c>
      <c r="U344" t="s">
        <v>19</v>
      </c>
    </row>
    <row r="345" spans="1:21">
      <c r="A345" t="str">
        <f t="shared" si="167"/>
        <v>17/01/2025</v>
      </c>
      <c r="B345" t="str">
        <f t="shared" si="170"/>
        <v>ENTRADA</v>
      </c>
      <c r="C345" t="str">
        <f>"NFSE"</f>
        <v>NFSE</v>
      </c>
      <c r="D345" t="str">
        <f>"2498"</f>
        <v>2498</v>
      </c>
      <c r="E345" t="str">
        <f t="shared" si="168"/>
        <v>COM</v>
      </c>
      <c r="F345" t="str">
        <f>"DROGA ELIDA (10121)"</f>
        <v>DROGA ELIDA (10121)</v>
      </c>
      <c r="G345" t="str">
        <f>"Serv.Prest. 18/11/2024 a 24/11/2024 - RPS: 274 - NFSe: 2498"</f>
        <v>Serv.Prest. 18/11/2024 a 24/11/2024 - RPS: 274 - NFSe: 2498</v>
      </c>
      <c r="H345" t="str">
        <f>("16/01/2025")</f>
        <v>16/01/2025</v>
      </c>
      <c r="I345" t="str">
        <f>("25/11/2024")</f>
        <v>25/11/2024</v>
      </c>
      <c r="J345" t="str">
        <f t="shared" si="169"/>
        <v>17/01/2025</v>
      </c>
      <c r="K345">
        <v>350.4</v>
      </c>
      <c r="L345">
        <v>350.4</v>
      </c>
      <c r="M345">
        <v>303</v>
      </c>
      <c r="N345" t="str">
        <f>"RECEITAS COM ENTREGAS"</f>
        <v>RECEITAS COM ENTREGAS</v>
      </c>
      <c r="O345">
        <v>350.4</v>
      </c>
      <c r="R345" t="str">
        <f>"RECEITAS COM ENTREGAS (303)"</f>
        <v>RECEITAS COM ENTREGAS (303)</v>
      </c>
      <c r="S345">
        <v>882</v>
      </c>
      <c r="T345">
        <v>530</v>
      </c>
      <c r="U345" t="s">
        <v>19</v>
      </c>
    </row>
    <row r="346" spans="1:21">
      <c r="A346" t="str">
        <f t="shared" si="167"/>
        <v>17/01/2025</v>
      </c>
      <c r="B346" t="str">
        <f t="shared" si="170"/>
        <v>ENTRADA</v>
      </c>
      <c r="C346" t="str">
        <f>"NFSE"</f>
        <v>NFSE</v>
      </c>
      <c r="D346" t="str">
        <f>"2498"</f>
        <v>2498</v>
      </c>
      <c r="E346" t="str">
        <f t="shared" si="168"/>
        <v>COM</v>
      </c>
      <c r="F346" t="str">
        <f>"DROGA ELIDA (10121)"</f>
        <v>DROGA ELIDA (10121)</v>
      </c>
      <c r="G346" t="str">
        <f>"Serv.Prest. 18/11/2024 a 24/11/2024 - RPS: 274 - NFSe: 2498"</f>
        <v>Serv.Prest. 18/11/2024 a 24/11/2024 - RPS: 274 - NFSe: 2498</v>
      </c>
      <c r="H346" t="str">
        <f>("16/01/2025")</f>
        <v>16/01/2025</v>
      </c>
      <c r="I346" t="str">
        <f>("25/11/2024")</f>
        <v>25/11/2024</v>
      </c>
      <c r="J346" t="str">
        <f t="shared" si="169"/>
        <v>17/01/2025</v>
      </c>
      <c r="M346">
        <v>303</v>
      </c>
      <c r="N346" t="str">
        <f>"RECEITAS COM ENTREGAS"</f>
        <v>RECEITAS COM ENTREGAS</v>
      </c>
      <c r="P346">
        <v>350.4</v>
      </c>
      <c r="Q346" t="str">
        <f>"DROGA ELIDA (10121)"</f>
        <v>DROGA ELIDA (10121)</v>
      </c>
      <c r="R346" t="str">
        <f>"RECEITAS COM ENTREGAS (303)"</f>
        <v>RECEITAS COM ENTREGAS (303)</v>
      </c>
      <c r="S346">
        <v>882</v>
      </c>
      <c r="T346">
        <v>530</v>
      </c>
      <c r="U346" t="s">
        <v>19</v>
      </c>
    </row>
    <row r="347" spans="1:21">
      <c r="A347" t="str">
        <f t="shared" si="167"/>
        <v>17/01/2025</v>
      </c>
      <c r="B347" t="str">
        <f t="shared" ref="B347:B356" si="171">"SAÍDA"</f>
        <v>SAÍDA</v>
      </c>
      <c r="C347" t="str">
        <f>"JUROS"</f>
        <v>JUROS</v>
      </c>
      <c r="D347" t="str">
        <f>""</f>
        <v/>
      </c>
      <c r="E347" t="str">
        <f>"CXA"</f>
        <v>CXA</v>
      </c>
      <c r="F347" t="str">
        <f>""</f>
        <v/>
      </c>
      <c r="G347" t="str">
        <f>"TAXA BOLETO COMPENSADO"</f>
        <v>TAXA BOLETO COMPENSADO</v>
      </c>
      <c r="H347" t="str">
        <f>("17/01/2025")</f>
        <v>17/01/2025</v>
      </c>
      <c r="I347" t="str">
        <f>("17/01/2025")</f>
        <v>17/01/2025</v>
      </c>
      <c r="J347" t="str">
        <f t="shared" si="169"/>
        <v>17/01/2025</v>
      </c>
      <c r="K347">
        <v>1.7</v>
      </c>
      <c r="L347">
        <v>1.7</v>
      </c>
      <c r="M347">
        <v>401</v>
      </c>
      <c r="N347" t="str">
        <f>"IOF/JUROS/DESP.FINANCEIRA"</f>
        <v>IOF/JUROS/DESP.FINANCEIRA</v>
      </c>
      <c r="O347">
        <v>1.7</v>
      </c>
      <c r="R347" t="str">
        <f t="shared" ref="R347:R357" si="172">"BANCO CORA (102)"</f>
        <v>BANCO CORA (102)</v>
      </c>
      <c r="S347">
        <v>883</v>
      </c>
      <c r="T347">
        <v>0</v>
      </c>
      <c r="U347" t="s">
        <v>20</v>
      </c>
    </row>
    <row r="348" spans="1:21">
      <c r="A348" t="str">
        <f t="shared" si="167"/>
        <v>17/01/2025</v>
      </c>
      <c r="B348" t="str">
        <f t="shared" si="171"/>
        <v>SAÍDA</v>
      </c>
      <c r="C348" t="str">
        <f>"JUROS"</f>
        <v>JUROS</v>
      </c>
      <c r="D348" t="str">
        <f>""</f>
        <v/>
      </c>
      <c r="E348" t="str">
        <f>"CXA"</f>
        <v>CXA</v>
      </c>
      <c r="F348" t="str">
        <f>""</f>
        <v/>
      </c>
      <c r="G348" t="str">
        <f>"TAXA BOLETO COMPENSADO"</f>
        <v>TAXA BOLETO COMPENSADO</v>
      </c>
      <c r="H348" t="str">
        <f>("17/01/2025")</f>
        <v>17/01/2025</v>
      </c>
      <c r="I348" t="str">
        <f>("17/01/2025")</f>
        <v>17/01/2025</v>
      </c>
      <c r="J348" t="str">
        <f t="shared" si="169"/>
        <v>17/01/2025</v>
      </c>
      <c r="K348">
        <v>1.7</v>
      </c>
      <c r="L348">
        <v>1.7</v>
      </c>
      <c r="M348">
        <v>401</v>
      </c>
      <c r="N348" t="str">
        <f>"IOF/JUROS/DESP.FINANCEIRA"</f>
        <v>IOF/JUROS/DESP.FINANCEIRA</v>
      </c>
      <c r="O348">
        <v>1.7</v>
      </c>
      <c r="R348" t="str">
        <f t="shared" si="172"/>
        <v>BANCO CORA (102)</v>
      </c>
      <c r="S348">
        <v>884</v>
      </c>
      <c r="T348">
        <v>0</v>
      </c>
      <c r="U348" t="s">
        <v>20</v>
      </c>
    </row>
    <row r="349" spans="1:21">
      <c r="A349" t="str">
        <f>("20/01/2025")</f>
        <v>20/01/2025</v>
      </c>
      <c r="B349" t="str">
        <f t="shared" si="171"/>
        <v>SAÍDA</v>
      </c>
      <c r="C349" t="str">
        <f>"BOLETO"</f>
        <v>BOLETO</v>
      </c>
      <c r="D349" t="str">
        <f>"2240"</f>
        <v>2240</v>
      </c>
      <c r="E349" t="str">
        <f t="shared" ref="E349:E356" si="173">"COM"</f>
        <v>COM</v>
      </c>
      <c r="F349" t="str">
        <f>"INFINITY BRASIL LTDA (20020)"</f>
        <v>INFINITY BRASIL LTDA (20020)</v>
      </c>
      <c r="G349" t="str">
        <f>"SERVIDOR FLUX FARMA PERÍODO DEZEMBRO/2024"</f>
        <v>SERVIDOR FLUX FARMA PERÍODO DEZEMBRO/2024</v>
      </c>
      <c r="H349" t="str">
        <f t="shared" ref="H349:H356" si="174">("20/01/2025")</f>
        <v>20/01/2025</v>
      </c>
      <c r="I349" t="str">
        <f>("01/01/2025")</f>
        <v>01/01/2025</v>
      </c>
      <c r="J349" t="str">
        <f>("20/01/2025")</f>
        <v>20/01/2025</v>
      </c>
      <c r="K349">
        <v>549</v>
      </c>
      <c r="L349">
        <v>549</v>
      </c>
      <c r="M349">
        <v>104</v>
      </c>
      <c r="N349" t="str">
        <f>"SOFTWARE / LICENÇAS"</f>
        <v>SOFTWARE / LICENÇAS</v>
      </c>
      <c r="O349">
        <v>549</v>
      </c>
      <c r="R349" t="str">
        <f t="shared" si="172"/>
        <v>BANCO CORA (102)</v>
      </c>
      <c r="S349">
        <v>885</v>
      </c>
      <c r="T349">
        <v>625</v>
      </c>
      <c r="U349" t="s">
        <v>19</v>
      </c>
    </row>
    <row r="350" spans="1:21">
      <c r="A350" t="str">
        <f>("20/01/2025")</f>
        <v>20/01/2025</v>
      </c>
      <c r="B350" t="str">
        <f t="shared" si="171"/>
        <v>SAÍDA</v>
      </c>
      <c r="C350" t="str">
        <f>"BOLETO"</f>
        <v>BOLETO</v>
      </c>
      <c r="D350" t="str">
        <f>"2240"</f>
        <v>2240</v>
      </c>
      <c r="E350" t="str">
        <f t="shared" si="173"/>
        <v>COM</v>
      </c>
      <c r="F350" t="str">
        <f>"INFINITY BRASIL LTDA (20020)"</f>
        <v>INFINITY BRASIL LTDA (20020)</v>
      </c>
      <c r="G350" t="str">
        <f>"SERVIDOR FLUX FARMA PERÍODO DEZEMBRO/2024"</f>
        <v>SERVIDOR FLUX FARMA PERÍODO DEZEMBRO/2024</v>
      </c>
      <c r="H350" t="str">
        <f t="shared" si="174"/>
        <v>20/01/2025</v>
      </c>
      <c r="I350" t="str">
        <f>("01/01/2025")</f>
        <v>01/01/2025</v>
      </c>
      <c r="J350" t="str">
        <f>("20/01/2025")</f>
        <v>20/01/2025</v>
      </c>
      <c r="M350">
        <v>104</v>
      </c>
      <c r="N350" t="str">
        <f>"SOFTWARE / LICENÇAS"</f>
        <v>SOFTWARE / LICENÇAS</v>
      </c>
      <c r="P350">
        <v>549</v>
      </c>
      <c r="Q350" t="str">
        <f>"INFINITY BRASIL LTDA (20020)"</f>
        <v>INFINITY BRASIL LTDA (20020)</v>
      </c>
      <c r="R350" t="str">
        <f t="shared" si="172"/>
        <v>BANCO CORA (102)</v>
      </c>
      <c r="S350">
        <v>885</v>
      </c>
      <c r="T350">
        <v>625</v>
      </c>
      <c r="U350" t="s">
        <v>19</v>
      </c>
    </row>
    <row r="351" spans="1:21">
      <c r="A351" t="str">
        <f>("20/01/2025")</f>
        <v>20/01/2025</v>
      </c>
      <c r="B351" t="str">
        <f t="shared" si="171"/>
        <v>SAÍDA</v>
      </c>
      <c r="C351" t="str">
        <f>"PIX"</f>
        <v>PIX</v>
      </c>
      <c r="D351" t="str">
        <f>"2012"</f>
        <v>2012</v>
      </c>
      <c r="E351" t="str">
        <f t="shared" si="173"/>
        <v>COM</v>
      </c>
      <c r="F351" t="str">
        <f>"LILIANE DE FATIMA REZENDE JUSTINO (20013)"</f>
        <v>LILIANE DE FATIMA REZENDE JUSTINO (20013)</v>
      </c>
      <c r="G351" t="str">
        <f>"DISTRIBUIÇÃO DE LUCRO"</f>
        <v>DISTRIBUIÇÃO DE LUCRO</v>
      </c>
      <c r="H351" t="str">
        <f t="shared" si="174"/>
        <v>20/01/2025</v>
      </c>
      <c r="I351" t="str">
        <f>("20/12/2024")</f>
        <v>20/12/2024</v>
      </c>
      <c r="J351" t="str">
        <f>("20/01/2025")</f>
        <v>20/01/2025</v>
      </c>
      <c r="K351">
        <v>333.33</v>
      </c>
      <c r="L351">
        <v>333.33</v>
      </c>
      <c r="M351">
        <v>125</v>
      </c>
      <c r="N351" t="str">
        <f>"DISTRIBUIÇÃO DE LUCRO"</f>
        <v>DISTRIBUIÇÃO DE LUCRO</v>
      </c>
      <c r="O351">
        <v>333.33</v>
      </c>
      <c r="R351" t="str">
        <f t="shared" si="172"/>
        <v>BANCO CORA (102)</v>
      </c>
      <c r="S351">
        <v>886</v>
      </c>
      <c r="T351">
        <v>651</v>
      </c>
      <c r="U351" t="s">
        <v>19</v>
      </c>
    </row>
    <row r="352" spans="1:21">
      <c r="A352" t="str">
        <f>("20/01/2025")</f>
        <v>20/01/2025</v>
      </c>
      <c r="B352" t="str">
        <f t="shared" si="171"/>
        <v>SAÍDA</v>
      </c>
      <c r="C352" t="str">
        <f>"PIX"</f>
        <v>PIX</v>
      </c>
      <c r="D352" t="str">
        <f>"2012"</f>
        <v>2012</v>
      </c>
      <c r="E352" t="str">
        <f t="shared" si="173"/>
        <v>COM</v>
      </c>
      <c r="F352" t="str">
        <f>"LILIANE DE FATIMA REZENDE JUSTINO (20013)"</f>
        <v>LILIANE DE FATIMA REZENDE JUSTINO (20013)</v>
      </c>
      <c r="G352" t="str">
        <f>"DISTRIBUIÇÃO DE LUCRO"</f>
        <v>DISTRIBUIÇÃO DE LUCRO</v>
      </c>
      <c r="H352" t="str">
        <f t="shared" si="174"/>
        <v>20/01/2025</v>
      </c>
      <c r="I352" t="str">
        <f>("20/12/2024")</f>
        <v>20/12/2024</v>
      </c>
      <c r="J352" t="str">
        <f>("20/01/2025")</f>
        <v>20/01/2025</v>
      </c>
      <c r="M352">
        <v>125</v>
      </c>
      <c r="N352" t="str">
        <f>"DISTRIBUIÇÃO DE LUCRO"</f>
        <v>DISTRIBUIÇÃO DE LUCRO</v>
      </c>
      <c r="P352">
        <v>333.33</v>
      </c>
      <c r="Q352" t="str">
        <f>"LILIANE DE FATIMA REZENDE JUSTINO (20013)"</f>
        <v>LILIANE DE FATIMA REZENDE JUSTINO (20013)</v>
      </c>
      <c r="R352" t="str">
        <f t="shared" si="172"/>
        <v>BANCO CORA (102)</v>
      </c>
      <c r="S352">
        <v>886</v>
      </c>
      <c r="T352">
        <v>651</v>
      </c>
      <c r="U352" t="s">
        <v>19</v>
      </c>
    </row>
    <row r="353" spans="1:21">
      <c r="A353" t="str">
        <f t="shared" ref="A353:A360" si="175">("21/01/2025")</f>
        <v>21/01/2025</v>
      </c>
      <c r="B353" t="str">
        <f t="shared" si="171"/>
        <v>SAÍDA</v>
      </c>
      <c r="C353" t="str">
        <f>"BOLETO"</f>
        <v>BOLETO</v>
      </c>
      <c r="D353" t="str">
        <f>"072025010844631"</f>
        <v>072025010844631</v>
      </c>
      <c r="E353" t="str">
        <f t="shared" si="173"/>
        <v>COM</v>
      </c>
      <c r="F353" t="str">
        <f>"MINISTERIO DA FAZENDA (20009)"</f>
        <v>MINISTERIO DA FAZENDA (20009)</v>
      </c>
      <c r="G353" t="str">
        <f>"SIMPLES NACIONAL MES 12/2024"</f>
        <v>SIMPLES NACIONAL MES 12/2024</v>
      </c>
      <c r="H353" t="str">
        <f t="shared" si="174"/>
        <v>20/01/2025</v>
      </c>
      <c r="I353" t="str">
        <f>("31/10/2024")</f>
        <v>31/10/2024</v>
      </c>
      <c r="J353" t="str">
        <f t="shared" ref="J353:J360" si="176">("21/01/2025")</f>
        <v>21/01/2025</v>
      </c>
      <c r="K353">
        <v>10876.81</v>
      </c>
      <c r="L353">
        <v>10912.7</v>
      </c>
      <c r="M353">
        <v>144</v>
      </c>
      <c r="N353" t="str">
        <f>"SIMPLES NACIONAL (DASN)"</f>
        <v>SIMPLES NACIONAL (DASN)</v>
      </c>
      <c r="O353">
        <v>10912.7</v>
      </c>
      <c r="R353" t="str">
        <f t="shared" si="172"/>
        <v>BANCO CORA (102)</v>
      </c>
      <c r="S353">
        <v>887</v>
      </c>
      <c r="T353">
        <v>652</v>
      </c>
      <c r="U353" t="s">
        <v>19</v>
      </c>
    </row>
    <row r="354" spans="1:21">
      <c r="A354" t="str">
        <f t="shared" si="175"/>
        <v>21/01/2025</v>
      </c>
      <c r="B354" t="str">
        <f t="shared" si="171"/>
        <v>SAÍDA</v>
      </c>
      <c r="C354" t="str">
        <f>"BOLETO"</f>
        <v>BOLETO</v>
      </c>
      <c r="D354" t="str">
        <f>"072025010844631"</f>
        <v>072025010844631</v>
      </c>
      <c r="E354" t="str">
        <f t="shared" si="173"/>
        <v>COM</v>
      </c>
      <c r="F354" t="str">
        <f>"MINISTERIO DA FAZENDA (20009)"</f>
        <v>MINISTERIO DA FAZENDA (20009)</v>
      </c>
      <c r="G354" t="str">
        <f>"SIMPLES NACIONAL MES 12/2024"</f>
        <v>SIMPLES NACIONAL MES 12/2024</v>
      </c>
      <c r="H354" t="str">
        <f t="shared" si="174"/>
        <v>20/01/2025</v>
      </c>
      <c r="I354" t="str">
        <f>("31/10/2024")</f>
        <v>31/10/2024</v>
      </c>
      <c r="J354" t="str">
        <f t="shared" si="176"/>
        <v>21/01/2025</v>
      </c>
      <c r="M354">
        <v>144</v>
      </c>
      <c r="N354" t="str">
        <f>"SIMPLES NACIONAL (DASN)"</f>
        <v>SIMPLES NACIONAL (DASN)</v>
      </c>
      <c r="P354">
        <v>10912.7</v>
      </c>
      <c r="Q354" t="str">
        <f>"MINISTERIO DA FAZENDA (20009)"</f>
        <v>MINISTERIO DA FAZENDA (20009)</v>
      </c>
      <c r="R354" t="str">
        <f t="shared" si="172"/>
        <v>BANCO CORA (102)</v>
      </c>
      <c r="S354">
        <v>887</v>
      </c>
      <c r="T354">
        <v>652</v>
      </c>
      <c r="U354" t="s">
        <v>19</v>
      </c>
    </row>
    <row r="355" spans="1:21">
      <c r="A355" t="str">
        <f t="shared" si="175"/>
        <v>21/01/2025</v>
      </c>
      <c r="B355" t="str">
        <f t="shared" si="171"/>
        <v>SAÍDA</v>
      </c>
      <c r="C355" t="str">
        <f>"BOLETO"</f>
        <v>BOLETO</v>
      </c>
      <c r="D355" t="str">
        <f>"071624362910596"</f>
        <v>071624362910596</v>
      </c>
      <c r="E355" t="str">
        <f t="shared" si="173"/>
        <v>COM</v>
      </c>
      <c r="F355" t="str">
        <f>"MINISTERIO DA FAZENDA (20009)"</f>
        <v>MINISTERIO DA FAZENDA (20009)</v>
      </c>
      <c r="G355" t="str">
        <f>"INSS SOBRE PROLABORE"</f>
        <v>INSS SOBRE PROLABORE</v>
      </c>
      <c r="H355" t="str">
        <f t="shared" si="174"/>
        <v>20/01/2025</v>
      </c>
      <c r="I355" t="str">
        <f>("27/12/2024")</f>
        <v>27/12/2024</v>
      </c>
      <c r="J355" t="str">
        <f t="shared" si="176"/>
        <v>21/01/2025</v>
      </c>
      <c r="K355">
        <v>310.64</v>
      </c>
      <c r="L355">
        <v>311.66000000000003</v>
      </c>
      <c r="M355">
        <v>112</v>
      </c>
      <c r="N355" t="str">
        <f>"INSS - PRO-LABORE"</f>
        <v>INSS - PRO-LABORE</v>
      </c>
      <c r="O355">
        <v>311.66000000000003</v>
      </c>
      <c r="R355" t="str">
        <f t="shared" si="172"/>
        <v>BANCO CORA (102)</v>
      </c>
      <c r="S355">
        <v>888</v>
      </c>
      <c r="T355">
        <v>712</v>
      </c>
      <c r="U355" t="s">
        <v>19</v>
      </c>
    </row>
    <row r="356" spans="1:21">
      <c r="A356" t="str">
        <f t="shared" si="175"/>
        <v>21/01/2025</v>
      </c>
      <c r="B356" t="str">
        <f t="shared" si="171"/>
        <v>SAÍDA</v>
      </c>
      <c r="C356" t="str">
        <f>"BOLETO"</f>
        <v>BOLETO</v>
      </c>
      <c r="D356" t="str">
        <f>"071624362910596"</f>
        <v>071624362910596</v>
      </c>
      <c r="E356" t="str">
        <f t="shared" si="173"/>
        <v>COM</v>
      </c>
      <c r="F356" t="str">
        <f>"MINISTERIO DA FAZENDA (20009)"</f>
        <v>MINISTERIO DA FAZENDA (20009)</v>
      </c>
      <c r="G356" t="str">
        <f>"INSS SOBRE PROLABORE"</f>
        <v>INSS SOBRE PROLABORE</v>
      </c>
      <c r="H356" t="str">
        <f t="shared" si="174"/>
        <v>20/01/2025</v>
      </c>
      <c r="I356" t="str">
        <f>("27/12/2024")</f>
        <v>27/12/2024</v>
      </c>
      <c r="J356" t="str">
        <f t="shared" si="176"/>
        <v>21/01/2025</v>
      </c>
      <c r="M356">
        <v>112</v>
      </c>
      <c r="N356" t="str">
        <f>"INSS - PRO-LABORE"</f>
        <v>INSS - PRO-LABORE</v>
      </c>
      <c r="P356">
        <v>311.66000000000003</v>
      </c>
      <c r="Q356" t="str">
        <f>"MINISTERIO DA FAZENDA (20009)"</f>
        <v>MINISTERIO DA FAZENDA (20009)</v>
      </c>
      <c r="R356" t="str">
        <f t="shared" si="172"/>
        <v>BANCO CORA (102)</v>
      </c>
      <c r="S356">
        <v>888</v>
      </c>
      <c r="T356">
        <v>712</v>
      </c>
      <c r="U356" t="s">
        <v>19</v>
      </c>
    </row>
    <row r="357" spans="1:21">
      <c r="A357" t="str">
        <f t="shared" si="175"/>
        <v>21/01/2025</v>
      </c>
      <c r="B357" t="str">
        <f>"ENTRADA"</f>
        <v>ENTRADA</v>
      </c>
      <c r="C357" t="str">
        <f>"TRANSFERENCIA"</f>
        <v>TRANSFERENCIA</v>
      </c>
      <c r="D357" t="str">
        <f>""</f>
        <v/>
      </c>
      <c r="E357" t="str">
        <f>"TRF"</f>
        <v>TRF</v>
      </c>
      <c r="F357" t="str">
        <f>""</f>
        <v/>
      </c>
      <c r="G357" t="str">
        <f>"TRANSFERENCIA ENTRE CONTAS (149-&gt;102)"</f>
        <v>TRANSFERENCIA ENTRE CONTAS (149-&gt;102)</v>
      </c>
      <c r="H357" t="str">
        <f t="shared" ref="H357:I360" si="177">("21/01/2025")</f>
        <v>21/01/2025</v>
      </c>
      <c r="I357" t="str">
        <f t="shared" si="177"/>
        <v>21/01/2025</v>
      </c>
      <c r="J357" t="str">
        <f t="shared" si="176"/>
        <v>21/01/2025</v>
      </c>
      <c r="M357">
        <v>102</v>
      </c>
      <c r="N357" t="str">
        <f>"BANCO CORA"</f>
        <v>BANCO CORA</v>
      </c>
      <c r="O357">
        <v>14716.6</v>
      </c>
      <c r="R357" t="str">
        <f t="shared" si="172"/>
        <v>BANCO CORA (102)</v>
      </c>
      <c r="S357">
        <v>924</v>
      </c>
      <c r="T357">
        <v>0</v>
      </c>
      <c r="U357" t="s">
        <v>19</v>
      </c>
    </row>
    <row r="358" spans="1:21">
      <c r="A358" t="str">
        <f t="shared" si="175"/>
        <v>21/01/2025</v>
      </c>
      <c r="B358" t="str">
        <f>"SAÍDA"</f>
        <v>SAÍDA</v>
      </c>
      <c r="C358" t="str">
        <f>"TRANSFERENCIA"</f>
        <v>TRANSFERENCIA</v>
      </c>
      <c r="D358" t="str">
        <f>""</f>
        <v/>
      </c>
      <c r="E358" t="str">
        <f>"TRF"</f>
        <v>TRF</v>
      </c>
      <c r="F358" t="str">
        <f>""</f>
        <v/>
      </c>
      <c r="G358" t="str">
        <f>"TRANSFERENCIA ENTRE CONTAS (149-&gt;102)"</f>
        <v>TRANSFERENCIA ENTRE CONTAS (149-&gt;102)</v>
      </c>
      <c r="H358" t="str">
        <f t="shared" si="177"/>
        <v>21/01/2025</v>
      </c>
      <c r="I358" t="str">
        <f t="shared" si="177"/>
        <v>21/01/2025</v>
      </c>
      <c r="J358" t="str">
        <f t="shared" si="176"/>
        <v>21/01/2025</v>
      </c>
      <c r="M358">
        <v>149</v>
      </c>
      <c r="N358" t="str">
        <f>"BANCO INTER"</f>
        <v>BANCO INTER</v>
      </c>
      <c r="O358">
        <v>14716.6</v>
      </c>
      <c r="R358" t="str">
        <f>"BANCO INTER (149)"</f>
        <v>BANCO INTER (149)</v>
      </c>
      <c r="S358">
        <v>924</v>
      </c>
      <c r="T358">
        <v>0</v>
      </c>
      <c r="U358" t="s">
        <v>21</v>
      </c>
    </row>
    <row r="359" spans="1:21">
      <c r="A359" t="str">
        <f t="shared" si="175"/>
        <v>21/01/2025</v>
      </c>
      <c r="B359" t="str">
        <f>"ENTRADA"</f>
        <v>ENTRADA</v>
      </c>
      <c r="C359" t="str">
        <f>"TRANSFERENCIA"</f>
        <v>TRANSFERENCIA</v>
      </c>
      <c r="D359" t="str">
        <f>""</f>
        <v/>
      </c>
      <c r="E359" t="str">
        <f>"TRF"</f>
        <v>TRF</v>
      </c>
      <c r="F359" t="str">
        <f>""</f>
        <v/>
      </c>
      <c r="G359" t="str">
        <f>"TRANSFERENCIA ENTRE CONTAS (149-&gt;102)"</f>
        <v>TRANSFERENCIA ENTRE CONTAS (149-&gt;102)</v>
      </c>
      <c r="H359" t="str">
        <f t="shared" si="177"/>
        <v>21/01/2025</v>
      </c>
      <c r="I359" t="str">
        <f t="shared" si="177"/>
        <v>21/01/2025</v>
      </c>
      <c r="J359" t="str">
        <f t="shared" si="176"/>
        <v>21/01/2025</v>
      </c>
      <c r="M359">
        <v>102</v>
      </c>
      <c r="N359" t="str">
        <f>"BANCO CORA"</f>
        <v>BANCO CORA</v>
      </c>
      <c r="O359">
        <v>4900</v>
      </c>
      <c r="R359" t="str">
        <f>"BANCO CORA (102)"</f>
        <v>BANCO CORA (102)</v>
      </c>
      <c r="S359">
        <v>925</v>
      </c>
      <c r="T359">
        <v>0</v>
      </c>
      <c r="U359" t="s">
        <v>19</v>
      </c>
    </row>
    <row r="360" spans="1:21">
      <c r="A360" t="str">
        <f t="shared" si="175"/>
        <v>21/01/2025</v>
      </c>
      <c r="B360" t="str">
        <f>"SAÍDA"</f>
        <v>SAÍDA</v>
      </c>
      <c r="C360" t="str">
        <f>"TRANSFERENCIA"</f>
        <v>TRANSFERENCIA</v>
      </c>
      <c r="D360" t="str">
        <f>""</f>
        <v/>
      </c>
      <c r="E360" t="str">
        <f>"TRF"</f>
        <v>TRF</v>
      </c>
      <c r="F360" t="str">
        <f>""</f>
        <v/>
      </c>
      <c r="G360" t="str">
        <f>"TRANSFERENCIA ENTRE CONTAS (149-&gt;102)"</f>
        <v>TRANSFERENCIA ENTRE CONTAS (149-&gt;102)</v>
      </c>
      <c r="H360" t="str">
        <f t="shared" si="177"/>
        <v>21/01/2025</v>
      </c>
      <c r="I360" t="str">
        <f t="shared" si="177"/>
        <v>21/01/2025</v>
      </c>
      <c r="J360" t="str">
        <f t="shared" si="176"/>
        <v>21/01/2025</v>
      </c>
      <c r="M360">
        <v>149</v>
      </c>
      <c r="N360" t="str">
        <f>"BANCO INTER"</f>
        <v>BANCO INTER</v>
      </c>
      <c r="O360">
        <v>4900</v>
      </c>
      <c r="R360" t="str">
        <f>"BANCO INTER (149)"</f>
        <v>BANCO INTER (149)</v>
      </c>
      <c r="S360">
        <v>925</v>
      </c>
      <c r="T360">
        <v>0</v>
      </c>
      <c r="U360" t="s">
        <v>21</v>
      </c>
    </row>
    <row r="361" spans="1:21">
      <c r="A361" t="str">
        <f t="shared" ref="A361:A392" si="178">("22/01/2025")</f>
        <v>22/01/2025</v>
      </c>
      <c r="B361" t="str">
        <f>"ENTRADA"</f>
        <v>ENTRADA</v>
      </c>
      <c r="C361" t="str">
        <f t="shared" ref="C361:C392" si="179">"NFSE"</f>
        <v>NFSE</v>
      </c>
      <c r="D361" t="str">
        <f t="shared" ref="D361:D406" si="180">"2635"</f>
        <v>2635</v>
      </c>
      <c r="E361" t="str">
        <f t="shared" ref="E361:E392" si="181">"COM"</f>
        <v>COM</v>
      </c>
      <c r="F361" t="str">
        <f t="shared" ref="F361:F406" si="182">"FARMÁCIA INDIANA LJ 1 (10126)"</f>
        <v>FARMÁCIA INDIANA LJ 1 (10126)</v>
      </c>
      <c r="G361" t="str">
        <f t="shared" ref="G361:G406" si="183">"Serv.Prest. 06/01/2025 a 12/01/2025 - RPS: 409 - NFSe: 2635"</f>
        <v>Serv.Prest. 06/01/2025 a 12/01/2025 - RPS: 409 - NFSe: 2635</v>
      </c>
      <c r="H361" t="str">
        <f t="shared" ref="H361:H392" si="184">("22/01/2025")</f>
        <v>22/01/2025</v>
      </c>
      <c r="I361" t="str">
        <f t="shared" ref="I361:I392" si="185">("13/01/2025")</f>
        <v>13/01/2025</v>
      </c>
      <c r="J361" t="str">
        <f t="shared" ref="J361:J392" si="186">("22/01/2025")</f>
        <v>22/01/2025</v>
      </c>
      <c r="K361">
        <v>11799.34</v>
      </c>
      <c r="L361">
        <v>11799.34</v>
      </c>
      <c r="M361">
        <v>303</v>
      </c>
      <c r="N361" t="str">
        <f t="shared" ref="N361:N392" si="187">"RECEITAS COM ENTREGAS"</f>
        <v>RECEITAS COM ENTREGAS</v>
      </c>
      <c r="O361">
        <v>11799.34</v>
      </c>
      <c r="R361" t="str">
        <f t="shared" ref="R361:R392" si="188">"RECEITAS COM ENTREGAS (303)"</f>
        <v>RECEITAS COM ENTREGAS (303)</v>
      </c>
      <c r="S361">
        <v>890</v>
      </c>
      <c r="T361">
        <v>738</v>
      </c>
      <c r="U361" t="s">
        <v>19</v>
      </c>
    </row>
    <row r="362" spans="1:21">
      <c r="A362" t="str">
        <f t="shared" si="178"/>
        <v>22/01/2025</v>
      </c>
      <c r="B362" t="str">
        <f t="shared" ref="B362:B425" si="189">"ENTRADA"</f>
        <v>ENTRADA</v>
      </c>
      <c r="C362" t="str">
        <f t="shared" si="179"/>
        <v>NFSE</v>
      </c>
      <c r="D362" t="str">
        <f t="shared" si="180"/>
        <v>2635</v>
      </c>
      <c r="E362" t="str">
        <f t="shared" si="181"/>
        <v>COM</v>
      </c>
      <c r="F362" t="str">
        <f t="shared" si="182"/>
        <v>FARMÁCIA INDIANA LJ 1 (10126)</v>
      </c>
      <c r="G362" t="str">
        <f t="shared" si="183"/>
        <v>Serv.Prest. 06/01/2025 a 12/01/2025 - RPS: 409 - NFSe: 2635</v>
      </c>
      <c r="H362" t="str">
        <f t="shared" si="184"/>
        <v>22/01/2025</v>
      </c>
      <c r="I362" t="str">
        <f t="shared" si="185"/>
        <v>13/01/2025</v>
      </c>
      <c r="J362" t="str">
        <f t="shared" si="186"/>
        <v>22/01/2025</v>
      </c>
      <c r="M362">
        <v>303</v>
      </c>
      <c r="N362" t="str">
        <f t="shared" si="187"/>
        <v>RECEITAS COM ENTREGAS</v>
      </c>
      <c r="P362">
        <v>1840.71</v>
      </c>
      <c r="Q362" t="str">
        <f>"FARMÁCIA INDIANA LJ 06 (10006)"</f>
        <v>FARMÁCIA INDIANA LJ 06 (10006)</v>
      </c>
      <c r="R362" t="str">
        <f t="shared" si="188"/>
        <v>RECEITAS COM ENTREGAS (303)</v>
      </c>
      <c r="S362">
        <v>890</v>
      </c>
      <c r="T362">
        <v>738</v>
      </c>
      <c r="U362" t="s">
        <v>19</v>
      </c>
    </row>
    <row r="363" spans="1:21">
      <c r="A363" t="str">
        <f t="shared" si="178"/>
        <v>22/01/2025</v>
      </c>
      <c r="B363" t="str">
        <f t="shared" si="189"/>
        <v>ENTRADA</v>
      </c>
      <c r="C363" t="str">
        <f t="shared" si="179"/>
        <v>NFSE</v>
      </c>
      <c r="D363" t="str">
        <f t="shared" si="180"/>
        <v>2635</v>
      </c>
      <c r="E363" t="str">
        <f t="shared" si="181"/>
        <v>COM</v>
      </c>
      <c r="F363" t="str">
        <f t="shared" si="182"/>
        <v>FARMÁCIA INDIANA LJ 1 (10126)</v>
      </c>
      <c r="G363" t="str">
        <f t="shared" si="183"/>
        <v>Serv.Prest. 06/01/2025 a 12/01/2025 - RPS: 409 - NFSe: 2635</v>
      </c>
      <c r="H363" t="str">
        <f t="shared" si="184"/>
        <v>22/01/2025</v>
      </c>
      <c r="I363" t="str">
        <f t="shared" si="185"/>
        <v>13/01/2025</v>
      </c>
      <c r="J363" t="str">
        <f t="shared" si="186"/>
        <v>22/01/2025</v>
      </c>
      <c r="M363">
        <v>303</v>
      </c>
      <c r="N363" t="str">
        <f t="shared" si="187"/>
        <v>RECEITAS COM ENTREGAS</v>
      </c>
      <c r="P363">
        <v>1159.8800000000001</v>
      </c>
      <c r="Q363" t="str">
        <f>"FARMÁCIA INDIANA LJ 07 (10007)"</f>
        <v>FARMÁCIA INDIANA LJ 07 (10007)</v>
      </c>
      <c r="R363" t="str">
        <f t="shared" si="188"/>
        <v>RECEITAS COM ENTREGAS (303)</v>
      </c>
      <c r="S363">
        <v>890</v>
      </c>
      <c r="T363">
        <v>738</v>
      </c>
      <c r="U363" t="s">
        <v>19</v>
      </c>
    </row>
    <row r="364" spans="1:21">
      <c r="A364" t="str">
        <f t="shared" si="178"/>
        <v>22/01/2025</v>
      </c>
      <c r="B364" t="str">
        <f t="shared" si="189"/>
        <v>ENTRADA</v>
      </c>
      <c r="C364" t="str">
        <f t="shared" si="179"/>
        <v>NFSE</v>
      </c>
      <c r="D364" t="str">
        <f t="shared" si="180"/>
        <v>2635</v>
      </c>
      <c r="E364" t="str">
        <f t="shared" si="181"/>
        <v>COM</v>
      </c>
      <c r="F364" t="str">
        <f t="shared" si="182"/>
        <v>FARMÁCIA INDIANA LJ 1 (10126)</v>
      </c>
      <c r="G364" t="str">
        <f t="shared" si="183"/>
        <v>Serv.Prest. 06/01/2025 a 12/01/2025 - RPS: 409 - NFSe: 2635</v>
      </c>
      <c r="H364" t="str">
        <f t="shared" si="184"/>
        <v>22/01/2025</v>
      </c>
      <c r="I364" t="str">
        <f t="shared" si="185"/>
        <v>13/01/2025</v>
      </c>
      <c r="J364" t="str">
        <f t="shared" si="186"/>
        <v>22/01/2025</v>
      </c>
      <c r="M364">
        <v>303</v>
      </c>
      <c r="N364" t="str">
        <f t="shared" si="187"/>
        <v>RECEITAS COM ENTREGAS</v>
      </c>
      <c r="P364">
        <v>903.83</v>
      </c>
      <c r="Q364" t="str">
        <f>"FARMÁCIA INDIANA LJ 11 (10008)"</f>
        <v>FARMÁCIA INDIANA LJ 11 (10008)</v>
      </c>
      <c r="R364" t="str">
        <f t="shared" si="188"/>
        <v>RECEITAS COM ENTREGAS (303)</v>
      </c>
      <c r="S364">
        <v>890</v>
      </c>
      <c r="T364">
        <v>738</v>
      </c>
      <c r="U364" t="s">
        <v>19</v>
      </c>
    </row>
    <row r="365" spans="1:21">
      <c r="A365" t="str">
        <f t="shared" si="178"/>
        <v>22/01/2025</v>
      </c>
      <c r="B365" t="str">
        <f t="shared" si="189"/>
        <v>ENTRADA</v>
      </c>
      <c r="C365" t="str">
        <f t="shared" si="179"/>
        <v>NFSE</v>
      </c>
      <c r="D365" t="str">
        <f t="shared" si="180"/>
        <v>2635</v>
      </c>
      <c r="E365" t="str">
        <f t="shared" si="181"/>
        <v>COM</v>
      </c>
      <c r="F365" t="str">
        <f t="shared" si="182"/>
        <v>FARMÁCIA INDIANA LJ 1 (10126)</v>
      </c>
      <c r="G365" t="str">
        <f t="shared" si="183"/>
        <v>Serv.Prest. 06/01/2025 a 12/01/2025 - RPS: 409 - NFSe: 2635</v>
      </c>
      <c r="H365" t="str">
        <f t="shared" si="184"/>
        <v>22/01/2025</v>
      </c>
      <c r="I365" t="str">
        <f t="shared" si="185"/>
        <v>13/01/2025</v>
      </c>
      <c r="J365" t="str">
        <f t="shared" si="186"/>
        <v>22/01/2025</v>
      </c>
      <c r="M365">
        <v>303</v>
      </c>
      <c r="N365" t="str">
        <f t="shared" si="187"/>
        <v>RECEITAS COM ENTREGAS</v>
      </c>
      <c r="P365">
        <v>303.24</v>
      </c>
      <c r="Q365" t="str">
        <f>"FARMÁCIA INDIANA LJ 14 (10009)"</f>
        <v>FARMÁCIA INDIANA LJ 14 (10009)</v>
      </c>
      <c r="R365" t="str">
        <f t="shared" si="188"/>
        <v>RECEITAS COM ENTREGAS (303)</v>
      </c>
      <c r="S365">
        <v>890</v>
      </c>
      <c r="T365">
        <v>738</v>
      </c>
      <c r="U365" t="s">
        <v>19</v>
      </c>
    </row>
    <row r="366" spans="1:21">
      <c r="A366" t="str">
        <f t="shared" si="178"/>
        <v>22/01/2025</v>
      </c>
      <c r="B366" t="str">
        <f t="shared" si="189"/>
        <v>ENTRADA</v>
      </c>
      <c r="C366" t="str">
        <f t="shared" si="179"/>
        <v>NFSE</v>
      </c>
      <c r="D366" t="str">
        <f t="shared" si="180"/>
        <v>2635</v>
      </c>
      <c r="E366" t="str">
        <f t="shared" si="181"/>
        <v>COM</v>
      </c>
      <c r="F366" t="str">
        <f t="shared" si="182"/>
        <v>FARMÁCIA INDIANA LJ 1 (10126)</v>
      </c>
      <c r="G366" t="str">
        <f t="shared" si="183"/>
        <v>Serv.Prest. 06/01/2025 a 12/01/2025 - RPS: 409 - NFSe: 2635</v>
      </c>
      <c r="H366" t="str">
        <f t="shared" si="184"/>
        <v>22/01/2025</v>
      </c>
      <c r="I366" t="str">
        <f t="shared" si="185"/>
        <v>13/01/2025</v>
      </c>
      <c r="J366" t="str">
        <f t="shared" si="186"/>
        <v>22/01/2025</v>
      </c>
      <c r="M366">
        <v>303</v>
      </c>
      <c r="N366" t="str">
        <f t="shared" si="187"/>
        <v>RECEITAS COM ENTREGAS</v>
      </c>
      <c r="P366">
        <v>318.58</v>
      </c>
      <c r="Q366" t="str">
        <f>"FARMÁCIA INDIANA LJ 18 (10011)"</f>
        <v>FARMÁCIA INDIANA LJ 18 (10011)</v>
      </c>
      <c r="R366" t="str">
        <f t="shared" si="188"/>
        <v>RECEITAS COM ENTREGAS (303)</v>
      </c>
      <c r="S366">
        <v>890</v>
      </c>
      <c r="T366">
        <v>738</v>
      </c>
      <c r="U366" t="s">
        <v>19</v>
      </c>
    </row>
    <row r="367" spans="1:21">
      <c r="A367" t="str">
        <f t="shared" si="178"/>
        <v>22/01/2025</v>
      </c>
      <c r="B367" t="str">
        <f t="shared" si="189"/>
        <v>ENTRADA</v>
      </c>
      <c r="C367" t="str">
        <f t="shared" si="179"/>
        <v>NFSE</v>
      </c>
      <c r="D367" t="str">
        <f t="shared" si="180"/>
        <v>2635</v>
      </c>
      <c r="E367" t="str">
        <f t="shared" si="181"/>
        <v>COM</v>
      </c>
      <c r="F367" t="str">
        <f t="shared" si="182"/>
        <v>FARMÁCIA INDIANA LJ 1 (10126)</v>
      </c>
      <c r="G367" t="str">
        <f t="shared" si="183"/>
        <v>Serv.Prest. 06/01/2025 a 12/01/2025 - RPS: 409 - NFSe: 2635</v>
      </c>
      <c r="H367" t="str">
        <f t="shared" si="184"/>
        <v>22/01/2025</v>
      </c>
      <c r="I367" t="str">
        <f t="shared" si="185"/>
        <v>13/01/2025</v>
      </c>
      <c r="J367" t="str">
        <f t="shared" si="186"/>
        <v>22/01/2025</v>
      </c>
      <c r="M367">
        <v>303</v>
      </c>
      <c r="N367" t="str">
        <f t="shared" si="187"/>
        <v>RECEITAS COM ENTREGAS</v>
      </c>
      <c r="P367">
        <v>294.98</v>
      </c>
      <c r="Q367" t="str">
        <f>"FARMÁCIA INDIANA LJ 19 (10012)"</f>
        <v>FARMÁCIA INDIANA LJ 19 (10012)</v>
      </c>
      <c r="R367" t="str">
        <f t="shared" si="188"/>
        <v>RECEITAS COM ENTREGAS (303)</v>
      </c>
      <c r="S367">
        <v>890</v>
      </c>
      <c r="T367">
        <v>738</v>
      </c>
      <c r="U367" t="s">
        <v>19</v>
      </c>
    </row>
    <row r="368" spans="1:21">
      <c r="A368" t="str">
        <f t="shared" si="178"/>
        <v>22/01/2025</v>
      </c>
      <c r="B368" t="str">
        <f t="shared" si="189"/>
        <v>ENTRADA</v>
      </c>
      <c r="C368" t="str">
        <f t="shared" si="179"/>
        <v>NFSE</v>
      </c>
      <c r="D368" t="str">
        <f t="shared" si="180"/>
        <v>2635</v>
      </c>
      <c r="E368" t="str">
        <f t="shared" si="181"/>
        <v>COM</v>
      </c>
      <c r="F368" t="str">
        <f t="shared" si="182"/>
        <v>FARMÁCIA INDIANA LJ 1 (10126)</v>
      </c>
      <c r="G368" t="str">
        <f t="shared" si="183"/>
        <v>Serv.Prest. 06/01/2025 a 12/01/2025 - RPS: 409 - NFSe: 2635</v>
      </c>
      <c r="H368" t="str">
        <f t="shared" si="184"/>
        <v>22/01/2025</v>
      </c>
      <c r="I368" t="str">
        <f t="shared" si="185"/>
        <v>13/01/2025</v>
      </c>
      <c r="J368" t="str">
        <f t="shared" si="186"/>
        <v>22/01/2025</v>
      </c>
      <c r="M368">
        <v>303</v>
      </c>
      <c r="N368" t="str">
        <f t="shared" si="187"/>
        <v>RECEITAS COM ENTREGAS</v>
      </c>
      <c r="P368">
        <v>462.53</v>
      </c>
      <c r="Q368" t="str">
        <f>"FARMÁCIA INDIANA LJ 40 (10016)"</f>
        <v>FARMÁCIA INDIANA LJ 40 (10016)</v>
      </c>
      <c r="R368" t="str">
        <f t="shared" si="188"/>
        <v>RECEITAS COM ENTREGAS (303)</v>
      </c>
      <c r="S368">
        <v>890</v>
      </c>
      <c r="T368">
        <v>738</v>
      </c>
      <c r="U368" t="s">
        <v>19</v>
      </c>
    </row>
    <row r="369" spans="1:21">
      <c r="A369" t="str">
        <f t="shared" si="178"/>
        <v>22/01/2025</v>
      </c>
      <c r="B369" t="str">
        <f t="shared" si="189"/>
        <v>ENTRADA</v>
      </c>
      <c r="C369" t="str">
        <f t="shared" si="179"/>
        <v>NFSE</v>
      </c>
      <c r="D369" t="str">
        <f t="shared" si="180"/>
        <v>2635</v>
      </c>
      <c r="E369" t="str">
        <f t="shared" si="181"/>
        <v>COM</v>
      </c>
      <c r="F369" t="str">
        <f t="shared" si="182"/>
        <v>FARMÁCIA INDIANA LJ 1 (10126)</v>
      </c>
      <c r="G369" t="str">
        <f t="shared" si="183"/>
        <v>Serv.Prest. 06/01/2025 a 12/01/2025 - RPS: 409 - NFSe: 2635</v>
      </c>
      <c r="H369" t="str">
        <f t="shared" si="184"/>
        <v>22/01/2025</v>
      </c>
      <c r="I369" t="str">
        <f t="shared" si="185"/>
        <v>13/01/2025</v>
      </c>
      <c r="J369" t="str">
        <f t="shared" si="186"/>
        <v>22/01/2025</v>
      </c>
      <c r="M369">
        <v>303</v>
      </c>
      <c r="N369" t="str">
        <f t="shared" si="187"/>
        <v>RECEITAS COM ENTREGAS</v>
      </c>
      <c r="P369">
        <v>463.71</v>
      </c>
      <c r="Q369" t="str">
        <f>"FARMÁCIA INDIANA LJ 59 (10026)"</f>
        <v>FARMÁCIA INDIANA LJ 59 (10026)</v>
      </c>
      <c r="R369" t="str">
        <f t="shared" si="188"/>
        <v>RECEITAS COM ENTREGAS (303)</v>
      </c>
      <c r="S369">
        <v>890</v>
      </c>
      <c r="T369">
        <v>738</v>
      </c>
      <c r="U369" t="s">
        <v>19</v>
      </c>
    </row>
    <row r="370" spans="1:21">
      <c r="A370" t="str">
        <f t="shared" si="178"/>
        <v>22/01/2025</v>
      </c>
      <c r="B370" t="str">
        <f t="shared" si="189"/>
        <v>ENTRADA</v>
      </c>
      <c r="C370" t="str">
        <f t="shared" si="179"/>
        <v>NFSE</v>
      </c>
      <c r="D370" t="str">
        <f t="shared" si="180"/>
        <v>2635</v>
      </c>
      <c r="E370" t="str">
        <f t="shared" si="181"/>
        <v>COM</v>
      </c>
      <c r="F370" t="str">
        <f t="shared" si="182"/>
        <v>FARMÁCIA INDIANA LJ 1 (10126)</v>
      </c>
      <c r="G370" t="str">
        <f t="shared" si="183"/>
        <v>Serv.Prest. 06/01/2025 a 12/01/2025 - RPS: 409 - NFSe: 2635</v>
      </c>
      <c r="H370" t="str">
        <f t="shared" si="184"/>
        <v>22/01/2025</v>
      </c>
      <c r="I370" t="str">
        <f t="shared" si="185"/>
        <v>13/01/2025</v>
      </c>
      <c r="J370" t="str">
        <f t="shared" si="186"/>
        <v>22/01/2025</v>
      </c>
      <c r="M370">
        <v>303</v>
      </c>
      <c r="N370" t="str">
        <f t="shared" si="187"/>
        <v>RECEITAS COM ENTREGAS</v>
      </c>
      <c r="P370">
        <v>411.8</v>
      </c>
      <c r="Q370" t="str">
        <f>"FARMÁCIA INDIANA LJ 61 (10027)"</f>
        <v>FARMÁCIA INDIANA LJ 61 (10027)</v>
      </c>
      <c r="R370" t="str">
        <f t="shared" si="188"/>
        <v>RECEITAS COM ENTREGAS (303)</v>
      </c>
      <c r="S370">
        <v>890</v>
      </c>
      <c r="T370">
        <v>738</v>
      </c>
      <c r="U370" t="s">
        <v>19</v>
      </c>
    </row>
    <row r="371" spans="1:21">
      <c r="A371" t="str">
        <f t="shared" si="178"/>
        <v>22/01/2025</v>
      </c>
      <c r="B371" t="str">
        <f t="shared" si="189"/>
        <v>ENTRADA</v>
      </c>
      <c r="C371" t="str">
        <f t="shared" si="179"/>
        <v>NFSE</v>
      </c>
      <c r="D371" t="str">
        <f t="shared" si="180"/>
        <v>2635</v>
      </c>
      <c r="E371" t="str">
        <f t="shared" si="181"/>
        <v>COM</v>
      </c>
      <c r="F371" t="str">
        <f t="shared" si="182"/>
        <v>FARMÁCIA INDIANA LJ 1 (10126)</v>
      </c>
      <c r="G371" t="str">
        <f t="shared" si="183"/>
        <v>Serv.Prest. 06/01/2025 a 12/01/2025 - RPS: 409 - NFSe: 2635</v>
      </c>
      <c r="H371" t="str">
        <f t="shared" si="184"/>
        <v>22/01/2025</v>
      </c>
      <c r="I371" t="str">
        <f t="shared" si="185"/>
        <v>13/01/2025</v>
      </c>
      <c r="J371" t="str">
        <f t="shared" si="186"/>
        <v>22/01/2025</v>
      </c>
      <c r="M371">
        <v>303</v>
      </c>
      <c r="N371" t="str">
        <f t="shared" si="187"/>
        <v>RECEITAS COM ENTREGAS</v>
      </c>
      <c r="P371">
        <v>246.61</v>
      </c>
      <c r="Q371" t="str">
        <f>"FARMÁCIA INDIANA LJ 62 (10028)"</f>
        <v>FARMÁCIA INDIANA LJ 62 (10028)</v>
      </c>
      <c r="R371" t="str">
        <f t="shared" si="188"/>
        <v>RECEITAS COM ENTREGAS (303)</v>
      </c>
      <c r="S371">
        <v>890</v>
      </c>
      <c r="T371">
        <v>738</v>
      </c>
      <c r="U371" t="s">
        <v>19</v>
      </c>
    </row>
    <row r="372" spans="1:21">
      <c r="A372" t="str">
        <f t="shared" si="178"/>
        <v>22/01/2025</v>
      </c>
      <c r="B372" t="str">
        <f t="shared" si="189"/>
        <v>ENTRADA</v>
      </c>
      <c r="C372" t="str">
        <f t="shared" si="179"/>
        <v>NFSE</v>
      </c>
      <c r="D372" t="str">
        <f t="shared" si="180"/>
        <v>2635</v>
      </c>
      <c r="E372" t="str">
        <f t="shared" si="181"/>
        <v>COM</v>
      </c>
      <c r="F372" t="str">
        <f t="shared" si="182"/>
        <v>FARMÁCIA INDIANA LJ 1 (10126)</v>
      </c>
      <c r="G372" t="str">
        <f t="shared" si="183"/>
        <v>Serv.Prest. 06/01/2025 a 12/01/2025 - RPS: 409 - NFSe: 2635</v>
      </c>
      <c r="H372" t="str">
        <f t="shared" si="184"/>
        <v>22/01/2025</v>
      </c>
      <c r="I372" t="str">
        <f t="shared" si="185"/>
        <v>13/01/2025</v>
      </c>
      <c r="J372" t="str">
        <f t="shared" si="186"/>
        <v>22/01/2025</v>
      </c>
      <c r="M372">
        <v>303</v>
      </c>
      <c r="N372" t="str">
        <f t="shared" si="187"/>
        <v>RECEITAS COM ENTREGAS</v>
      </c>
      <c r="P372">
        <v>114.45</v>
      </c>
      <c r="Q372" t="str">
        <f>"FARMÁCIA INDIANA LJ 64 (10029)"</f>
        <v>FARMÁCIA INDIANA LJ 64 (10029)</v>
      </c>
      <c r="R372" t="str">
        <f t="shared" si="188"/>
        <v>RECEITAS COM ENTREGAS (303)</v>
      </c>
      <c r="S372">
        <v>890</v>
      </c>
      <c r="T372">
        <v>738</v>
      </c>
      <c r="U372" t="s">
        <v>19</v>
      </c>
    </row>
    <row r="373" spans="1:21">
      <c r="A373" t="str">
        <f t="shared" si="178"/>
        <v>22/01/2025</v>
      </c>
      <c r="B373" t="str">
        <f t="shared" si="189"/>
        <v>ENTRADA</v>
      </c>
      <c r="C373" t="str">
        <f t="shared" si="179"/>
        <v>NFSE</v>
      </c>
      <c r="D373" t="str">
        <f t="shared" si="180"/>
        <v>2635</v>
      </c>
      <c r="E373" t="str">
        <f t="shared" si="181"/>
        <v>COM</v>
      </c>
      <c r="F373" t="str">
        <f t="shared" si="182"/>
        <v>FARMÁCIA INDIANA LJ 1 (10126)</v>
      </c>
      <c r="G373" t="str">
        <f t="shared" si="183"/>
        <v>Serv.Prest. 06/01/2025 a 12/01/2025 - RPS: 409 - NFSe: 2635</v>
      </c>
      <c r="H373" t="str">
        <f t="shared" si="184"/>
        <v>22/01/2025</v>
      </c>
      <c r="I373" t="str">
        <f t="shared" si="185"/>
        <v>13/01/2025</v>
      </c>
      <c r="J373" t="str">
        <f t="shared" si="186"/>
        <v>22/01/2025</v>
      </c>
      <c r="M373">
        <v>303</v>
      </c>
      <c r="N373" t="str">
        <f t="shared" si="187"/>
        <v>RECEITAS COM ENTREGAS</v>
      </c>
      <c r="P373">
        <v>54.28</v>
      </c>
      <c r="Q373" t="str">
        <f>"FARMÁCIA INDIANA LJ 97 (10040)"</f>
        <v>FARMÁCIA INDIANA LJ 97 (10040)</v>
      </c>
      <c r="R373" t="str">
        <f t="shared" si="188"/>
        <v>RECEITAS COM ENTREGAS (303)</v>
      </c>
      <c r="S373">
        <v>890</v>
      </c>
      <c r="T373">
        <v>738</v>
      </c>
      <c r="U373" t="s">
        <v>19</v>
      </c>
    </row>
    <row r="374" spans="1:21">
      <c r="A374" t="str">
        <f t="shared" si="178"/>
        <v>22/01/2025</v>
      </c>
      <c r="B374" t="str">
        <f t="shared" si="189"/>
        <v>ENTRADA</v>
      </c>
      <c r="C374" t="str">
        <f t="shared" si="179"/>
        <v>NFSE</v>
      </c>
      <c r="D374" t="str">
        <f t="shared" si="180"/>
        <v>2635</v>
      </c>
      <c r="E374" t="str">
        <f t="shared" si="181"/>
        <v>COM</v>
      </c>
      <c r="F374" t="str">
        <f t="shared" si="182"/>
        <v>FARMÁCIA INDIANA LJ 1 (10126)</v>
      </c>
      <c r="G374" t="str">
        <f t="shared" si="183"/>
        <v>Serv.Prest. 06/01/2025 a 12/01/2025 - RPS: 409 - NFSe: 2635</v>
      </c>
      <c r="H374" t="str">
        <f t="shared" si="184"/>
        <v>22/01/2025</v>
      </c>
      <c r="I374" t="str">
        <f t="shared" si="185"/>
        <v>13/01/2025</v>
      </c>
      <c r="J374" t="str">
        <f t="shared" si="186"/>
        <v>22/01/2025</v>
      </c>
      <c r="M374">
        <v>303</v>
      </c>
      <c r="N374" t="str">
        <f t="shared" si="187"/>
        <v>RECEITAS COM ENTREGAS</v>
      </c>
      <c r="P374">
        <v>319.76</v>
      </c>
      <c r="Q374" t="str">
        <f>"FARMÁCIA INDIANA LJ 100 (10042)"</f>
        <v>FARMÁCIA INDIANA LJ 100 (10042)</v>
      </c>
      <c r="R374" t="str">
        <f t="shared" si="188"/>
        <v>RECEITAS COM ENTREGAS (303)</v>
      </c>
      <c r="S374">
        <v>890</v>
      </c>
      <c r="T374">
        <v>738</v>
      </c>
      <c r="U374" t="s">
        <v>19</v>
      </c>
    </row>
    <row r="375" spans="1:21">
      <c r="A375" t="str">
        <f t="shared" si="178"/>
        <v>22/01/2025</v>
      </c>
      <c r="B375" t="str">
        <f t="shared" si="189"/>
        <v>ENTRADA</v>
      </c>
      <c r="C375" t="str">
        <f t="shared" si="179"/>
        <v>NFSE</v>
      </c>
      <c r="D375" t="str">
        <f t="shared" si="180"/>
        <v>2635</v>
      </c>
      <c r="E375" t="str">
        <f t="shared" si="181"/>
        <v>COM</v>
      </c>
      <c r="F375" t="str">
        <f t="shared" si="182"/>
        <v>FARMÁCIA INDIANA LJ 1 (10126)</v>
      </c>
      <c r="G375" t="str">
        <f t="shared" si="183"/>
        <v>Serv.Prest. 06/01/2025 a 12/01/2025 - RPS: 409 - NFSe: 2635</v>
      </c>
      <c r="H375" t="str">
        <f t="shared" si="184"/>
        <v>22/01/2025</v>
      </c>
      <c r="I375" t="str">
        <f t="shared" si="185"/>
        <v>13/01/2025</v>
      </c>
      <c r="J375" t="str">
        <f t="shared" si="186"/>
        <v>22/01/2025</v>
      </c>
      <c r="M375">
        <v>303</v>
      </c>
      <c r="N375" t="str">
        <f t="shared" si="187"/>
        <v>RECEITAS COM ENTREGAS</v>
      </c>
      <c r="P375">
        <v>376.4</v>
      </c>
      <c r="Q375" t="str">
        <f>"FARMÁCIA INDIANA LJ 101 (10043)"</f>
        <v>FARMÁCIA INDIANA LJ 101 (10043)</v>
      </c>
      <c r="R375" t="str">
        <f t="shared" si="188"/>
        <v>RECEITAS COM ENTREGAS (303)</v>
      </c>
      <c r="S375">
        <v>890</v>
      </c>
      <c r="T375">
        <v>738</v>
      </c>
      <c r="U375" t="s">
        <v>19</v>
      </c>
    </row>
    <row r="376" spans="1:21">
      <c r="A376" t="str">
        <f t="shared" si="178"/>
        <v>22/01/2025</v>
      </c>
      <c r="B376" t="str">
        <f t="shared" si="189"/>
        <v>ENTRADA</v>
      </c>
      <c r="C376" t="str">
        <f t="shared" si="179"/>
        <v>NFSE</v>
      </c>
      <c r="D376" t="str">
        <f t="shared" si="180"/>
        <v>2635</v>
      </c>
      <c r="E376" t="str">
        <f t="shared" si="181"/>
        <v>COM</v>
      </c>
      <c r="F376" t="str">
        <f t="shared" si="182"/>
        <v>FARMÁCIA INDIANA LJ 1 (10126)</v>
      </c>
      <c r="G376" t="str">
        <f t="shared" si="183"/>
        <v>Serv.Prest. 06/01/2025 a 12/01/2025 - RPS: 409 - NFSe: 2635</v>
      </c>
      <c r="H376" t="str">
        <f t="shared" si="184"/>
        <v>22/01/2025</v>
      </c>
      <c r="I376" t="str">
        <f t="shared" si="185"/>
        <v>13/01/2025</v>
      </c>
      <c r="J376" t="str">
        <f t="shared" si="186"/>
        <v>22/01/2025</v>
      </c>
      <c r="M376">
        <v>303</v>
      </c>
      <c r="N376" t="str">
        <f t="shared" si="187"/>
        <v>RECEITAS COM ENTREGAS</v>
      </c>
      <c r="P376">
        <v>61.36</v>
      </c>
      <c r="Q376" t="str">
        <f>"FARMÁCIA INDIANA LJ 103 (10044)"</f>
        <v>FARMÁCIA INDIANA LJ 103 (10044)</v>
      </c>
      <c r="R376" t="str">
        <f t="shared" si="188"/>
        <v>RECEITAS COM ENTREGAS (303)</v>
      </c>
      <c r="S376">
        <v>890</v>
      </c>
      <c r="T376">
        <v>738</v>
      </c>
      <c r="U376" t="s">
        <v>19</v>
      </c>
    </row>
    <row r="377" spans="1:21">
      <c r="A377" t="str">
        <f t="shared" si="178"/>
        <v>22/01/2025</v>
      </c>
      <c r="B377" t="str">
        <f t="shared" si="189"/>
        <v>ENTRADA</v>
      </c>
      <c r="C377" t="str">
        <f t="shared" si="179"/>
        <v>NFSE</v>
      </c>
      <c r="D377" t="str">
        <f t="shared" si="180"/>
        <v>2635</v>
      </c>
      <c r="E377" t="str">
        <f t="shared" si="181"/>
        <v>COM</v>
      </c>
      <c r="F377" t="str">
        <f t="shared" si="182"/>
        <v>FARMÁCIA INDIANA LJ 1 (10126)</v>
      </c>
      <c r="G377" t="str">
        <f t="shared" si="183"/>
        <v>Serv.Prest. 06/01/2025 a 12/01/2025 - RPS: 409 - NFSe: 2635</v>
      </c>
      <c r="H377" t="str">
        <f t="shared" si="184"/>
        <v>22/01/2025</v>
      </c>
      <c r="I377" t="str">
        <f t="shared" si="185"/>
        <v>13/01/2025</v>
      </c>
      <c r="J377" t="str">
        <f t="shared" si="186"/>
        <v>22/01/2025</v>
      </c>
      <c r="M377">
        <v>303</v>
      </c>
      <c r="N377" t="str">
        <f t="shared" si="187"/>
        <v>RECEITAS COM ENTREGAS</v>
      </c>
      <c r="P377">
        <v>120.35</v>
      </c>
      <c r="Q377" t="str">
        <f>"FARMÁCIA INDIANA LJ 109 (10047)"</f>
        <v>FARMÁCIA INDIANA LJ 109 (10047)</v>
      </c>
      <c r="R377" t="str">
        <f t="shared" si="188"/>
        <v>RECEITAS COM ENTREGAS (303)</v>
      </c>
      <c r="S377">
        <v>890</v>
      </c>
      <c r="T377">
        <v>738</v>
      </c>
      <c r="U377" t="s">
        <v>19</v>
      </c>
    </row>
    <row r="378" spans="1:21">
      <c r="A378" t="str">
        <f t="shared" si="178"/>
        <v>22/01/2025</v>
      </c>
      <c r="B378" t="str">
        <f t="shared" si="189"/>
        <v>ENTRADA</v>
      </c>
      <c r="C378" t="str">
        <f t="shared" si="179"/>
        <v>NFSE</v>
      </c>
      <c r="D378" t="str">
        <f t="shared" si="180"/>
        <v>2635</v>
      </c>
      <c r="E378" t="str">
        <f t="shared" si="181"/>
        <v>COM</v>
      </c>
      <c r="F378" t="str">
        <f t="shared" si="182"/>
        <v>FARMÁCIA INDIANA LJ 1 (10126)</v>
      </c>
      <c r="G378" t="str">
        <f t="shared" si="183"/>
        <v>Serv.Prest. 06/01/2025 a 12/01/2025 - RPS: 409 - NFSe: 2635</v>
      </c>
      <c r="H378" t="str">
        <f t="shared" si="184"/>
        <v>22/01/2025</v>
      </c>
      <c r="I378" t="str">
        <f t="shared" si="185"/>
        <v>13/01/2025</v>
      </c>
      <c r="J378" t="str">
        <f t="shared" si="186"/>
        <v>22/01/2025</v>
      </c>
      <c r="M378">
        <v>303</v>
      </c>
      <c r="N378" t="str">
        <f t="shared" si="187"/>
        <v>RECEITAS COM ENTREGAS</v>
      </c>
      <c r="P378">
        <v>501.47</v>
      </c>
      <c r="Q378" t="str">
        <f>"FARMÁCIA INDIANA LJ 110 (10048)"</f>
        <v>FARMÁCIA INDIANA LJ 110 (10048)</v>
      </c>
      <c r="R378" t="str">
        <f t="shared" si="188"/>
        <v>RECEITAS COM ENTREGAS (303)</v>
      </c>
      <c r="S378">
        <v>890</v>
      </c>
      <c r="T378">
        <v>738</v>
      </c>
      <c r="U378" t="s">
        <v>19</v>
      </c>
    </row>
    <row r="379" spans="1:21">
      <c r="A379" t="str">
        <f t="shared" si="178"/>
        <v>22/01/2025</v>
      </c>
      <c r="B379" t="str">
        <f t="shared" si="189"/>
        <v>ENTRADA</v>
      </c>
      <c r="C379" t="str">
        <f t="shared" si="179"/>
        <v>NFSE</v>
      </c>
      <c r="D379" t="str">
        <f t="shared" si="180"/>
        <v>2635</v>
      </c>
      <c r="E379" t="str">
        <f t="shared" si="181"/>
        <v>COM</v>
      </c>
      <c r="F379" t="str">
        <f t="shared" si="182"/>
        <v>FARMÁCIA INDIANA LJ 1 (10126)</v>
      </c>
      <c r="G379" t="str">
        <f t="shared" si="183"/>
        <v>Serv.Prest. 06/01/2025 a 12/01/2025 - RPS: 409 - NFSe: 2635</v>
      </c>
      <c r="H379" t="str">
        <f t="shared" si="184"/>
        <v>22/01/2025</v>
      </c>
      <c r="I379" t="str">
        <f t="shared" si="185"/>
        <v>13/01/2025</v>
      </c>
      <c r="J379" t="str">
        <f t="shared" si="186"/>
        <v>22/01/2025</v>
      </c>
      <c r="M379">
        <v>303</v>
      </c>
      <c r="N379" t="str">
        <f t="shared" si="187"/>
        <v>RECEITAS COM ENTREGAS</v>
      </c>
      <c r="P379">
        <v>53.1</v>
      </c>
      <c r="Q379" t="str">
        <f>"FARMÁCIA INDIANA LJ 111 (10049)"</f>
        <v>FARMÁCIA INDIANA LJ 111 (10049)</v>
      </c>
      <c r="R379" t="str">
        <f t="shared" si="188"/>
        <v>RECEITAS COM ENTREGAS (303)</v>
      </c>
      <c r="S379">
        <v>890</v>
      </c>
      <c r="T379">
        <v>738</v>
      </c>
      <c r="U379" t="s">
        <v>19</v>
      </c>
    </row>
    <row r="380" spans="1:21">
      <c r="A380" t="str">
        <f t="shared" si="178"/>
        <v>22/01/2025</v>
      </c>
      <c r="B380" t="str">
        <f t="shared" si="189"/>
        <v>ENTRADA</v>
      </c>
      <c r="C380" t="str">
        <f t="shared" si="179"/>
        <v>NFSE</v>
      </c>
      <c r="D380" t="str">
        <f t="shared" si="180"/>
        <v>2635</v>
      </c>
      <c r="E380" t="str">
        <f t="shared" si="181"/>
        <v>COM</v>
      </c>
      <c r="F380" t="str">
        <f t="shared" si="182"/>
        <v>FARMÁCIA INDIANA LJ 1 (10126)</v>
      </c>
      <c r="G380" t="str">
        <f t="shared" si="183"/>
        <v>Serv.Prest. 06/01/2025 a 12/01/2025 - RPS: 409 - NFSe: 2635</v>
      </c>
      <c r="H380" t="str">
        <f t="shared" si="184"/>
        <v>22/01/2025</v>
      </c>
      <c r="I380" t="str">
        <f t="shared" si="185"/>
        <v>13/01/2025</v>
      </c>
      <c r="J380" t="str">
        <f t="shared" si="186"/>
        <v>22/01/2025</v>
      </c>
      <c r="M380">
        <v>303</v>
      </c>
      <c r="N380" t="str">
        <f t="shared" si="187"/>
        <v>RECEITAS COM ENTREGAS</v>
      </c>
      <c r="P380">
        <v>126.25</v>
      </c>
      <c r="Q380" t="str">
        <f>"FARMÁCIA INDIANA LJ 112 (10050)"</f>
        <v>FARMÁCIA INDIANA LJ 112 (10050)</v>
      </c>
      <c r="R380" t="str">
        <f t="shared" si="188"/>
        <v>RECEITAS COM ENTREGAS (303)</v>
      </c>
      <c r="S380">
        <v>890</v>
      </c>
      <c r="T380">
        <v>738</v>
      </c>
      <c r="U380" t="s">
        <v>19</v>
      </c>
    </row>
    <row r="381" spans="1:21">
      <c r="A381" t="str">
        <f t="shared" si="178"/>
        <v>22/01/2025</v>
      </c>
      <c r="B381" t="str">
        <f t="shared" si="189"/>
        <v>ENTRADA</v>
      </c>
      <c r="C381" t="str">
        <f t="shared" si="179"/>
        <v>NFSE</v>
      </c>
      <c r="D381" t="str">
        <f t="shared" si="180"/>
        <v>2635</v>
      </c>
      <c r="E381" t="str">
        <f t="shared" si="181"/>
        <v>COM</v>
      </c>
      <c r="F381" t="str">
        <f t="shared" si="182"/>
        <v>FARMÁCIA INDIANA LJ 1 (10126)</v>
      </c>
      <c r="G381" t="str">
        <f t="shared" si="183"/>
        <v>Serv.Prest. 06/01/2025 a 12/01/2025 - RPS: 409 - NFSe: 2635</v>
      </c>
      <c r="H381" t="str">
        <f t="shared" si="184"/>
        <v>22/01/2025</v>
      </c>
      <c r="I381" t="str">
        <f t="shared" si="185"/>
        <v>13/01/2025</v>
      </c>
      <c r="J381" t="str">
        <f t="shared" si="186"/>
        <v>22/01/2025</v>
      </c>
      <c r="M381">
        <v>303</v>
      </c>
      <c r="N381" t="str">
        <f t="shared" si="187"/>
        <v>RECEITAS COM ENTREGAS</v>
      </c>
      <c r="P381">
        <v>126.25</v>
      </c>
      <c r="Q381" t="str">
        <f>"FARMÁCIA INDIANA LJ 116 (10051)"</f>
        <v>FARMÁCIA INDIANA LJ 116 (10051)</v>
      </c>
      <c r="R381" t="str">
        <f t="shared" si="188"/>
        <v>RECEITAS COM ENTREGAS (303)</v>
      </c>
      <c r="S381">
        <v>890</v>
      </c>
      <c r="T381">
        <v>738</v>
      </c>
      <c r="U381" t="s">
        <v>19</v>
      </c>
    </row>
    <row r="382" spans="1:21">
      <c r="A382" t="str">
        <f t="shared" si="178"/>
        <v>22/01/2025</v>
      </c>
      <c r="B382" t="str">
        <f t="shared" si="189"/>
        <v>ENTRADA</v>
      </c>
      <c r="C382" t="str">
        <f t="shared" si="179"/>
        <v>NFSE</v>
      </c>
      <c r="D382" t="str">
        <f t="shared" si="180"/>
        <v>2635</v>
      </c>
      <c r="E382" t="str">
        <f t="shared" si="181"/>
        <v>COM</v>
      </c>
      <c r="F382" t="str">
        <f t="shared" si="182"/>
        <v>FARMÁCIA INDIANA LJ 1 (10126)</v>
      </c>
      <c r="G382" t="str">
        <f t="shared" si="183"/>
        <v>Serv.Prest. 06/01/2025 a 12/01/2025 - RPS: 409 - NFSe: 2635</v>
      </c>
      <c r="H382" t="str">
        <f t="shared" si="184"/>
        <v>22/01/2025</v>
      </c>
      <c r="I382" t="str">
        <f t="shared" si="185"/>
        <v>13/01/2025</v>
      </c>
      <c r="J382" t="str">
        <f t="shared" si="186"/>
        <v>22/01/2025</v>
      </c>
      <c r="M382">
        <v>303</v>
      </c>
      <c r="N382" t="str">
        <f t="shared" si="187"/>
        <v>RECEITAS COM ENTREGAS</v>
      </c>
      <c r="P382">
        <v>94.39</v>
      </c>
      <c r="Q382" t="str">
        <f>"FARMÁCIA INDIANA LJ 118 (10052)"</f>
        <v>FARMÁCIA INDIANA LJ 118 (10052)</v>
      </c>
      <c r="R382" t="str">
        <f t="shared" si="188"/>
        <v>RECEITAS COM ENTREGAS (303)</v>
      </c>
      <c r="S382">
        <v>890</v>
      </c>
      <c r="T382">
        <v>738</v>
      </c>
      <c r="U382" t="s">
        <v>19</v>
      </c>
    </row>
    <row r="383" spans="1:21">
      <c r="A383" t="str">
        <f t="shared" si="178"/>
        <v>22/01/2025</v>
      </c>
      <c r="B383" t="str">
        <f t="shared" si="189"/>
        <v>ENTRADA</v>
      </c>
      <c r="C383" t="str">
        <f t="shared" si="179"/>
        <v>NFSE</v>
      </c>
      <c r="D383" t="str">
        <f t="shared" si="180"/>
        <v>2635</v>
      </c>
      <c r="E383" t="str">
        <f t="shared" si="181"/>
        <v>COM</v>
      </c>
      <c r="F383" t="str">
        <f t="shared" si="182"/>
        <v>FARMÁCIA INDIANA LJ 1 (10126)</v>
      </c>
      <c r="G383" t="str">
        <f t="shared" si="183"/>
        <v>Serv.Prest. 06/01/2025 a 12/01/2025 - RPS: 409 - NFSe: 2635</v>
      </c>
      <c r="H383" t="str">
        <f t="shared" si="184"/>
        <v>22/01/2025</v>
      </c>
      <c r="I383" t="str">
        <f t="shared" si="185"/>
        <v>13/01/2025</v>
      </c>
      <c r="J383" t="str">
        <f t="shared" si="186"/>
        <v>22/01/2025</v>
      </c>
      <c r="M383">
        <v>303</v>
      </c>
      <c r="N383" t="str">
        <f t="shared" si="187"/>
        <v>RECEITAS COM ENTREGAS</v>
      </c>
      <c r="P383">
        <v>126.25</v>
      </c>
      <c r="Q383" t="str">
        <f>"FARMÁCIA INDIANA LJ 121 (10054)"</f>
        <v>FARMÁCIA INDIANA LJ 121 (10054)</v>
      </c>
      <c r="R383" t="str">
        <f t="shared" si="188"/>
        <v>RECEITAS COM ENTREGAS (303)</v>
      </c>
      <c r="S383">
        <v>890</v>
      </c>
      <c r="T383">
        <v>738</v>
      </c>
      <c r="U383" t="s">
        <v>19</v>
      </c>
    </row>
    <row r="384" spans="1:21">
      <c r="A384" t="str">
        <f t="shared" si="178"/>
        <v>22/01/2025</v>
      </c>
      <c r="B384" t="str">
        <f t="shared" si="189"/>
        <v>ENTRADA</v>
      </c>
      <c r="C384" t="str">
        <f t="shared" si="179"/>
        <v>NFSE</v>
      </c>
      <c r="D384" t="str">
        <f t="shared" si="180"/>
        <v>2635</v>
      </c>
      <c r="E384" t="str">
        <f t="shared" si="181"/>
        <v>COM</v>
      </c>
      <c r="F384" t="str">
        <f t="shared" si="182"/>
        <v>FARMÁCIA INDIANA LJ 1 (10126)</v>
      </c>
      <c r="G384" t="str">
        <f t="shared" si="183"/>
        <v>Serv.Prest. 06/01/2025 a 12/01/2025 - RPS: 409 - NFSe: 2635</v>
      </c>
      <c r="H384" t="str">
        <f t="shared" si="184"/>
        <v>22/01/2025</v>
      </c>
      <c r="I384" t="str">
        <f t="shared" si="185"/>
        <v>13/01/2025</v>
      </c>
      <c r="J384" t="str">
        <f t="shared" si="186"/>
        <v>22/01/2025</v>
      </c>
      <c r="M384">
        <v>303</v>
      </c>
      <c r="N384" t="str">
        <f t="shared" si="187"/>
        <v>RECEITAS COM ENTREGAS</v>
      </c>
      <c r="P384">
        <v>126.25</v>
      </c>
      <c r="Q384" t="str">
        <f>"FARMÁCIA INDIANA LJ 128 (10057)"</f>
        <v>FARMÁCIA INDIANA LJ 128 (10057)</v>
      </c>
      <c r="R384" t="str">
        <f t="shared" si="188"/>
        <v>RECEITAS COM ENTREGAS (303)</v>
      </c>
      <c r="S384">
        <v>890</v>
      </c>
      <c r="T384">
        <v>738</v>
      </c>
      <c r="U384" t="s">
        <v>19</v>
      </c>
    </row>
    <row r="385" spans="1:21">
      <c r="A385" t="str">
        <f t="shared" si="178"/>
        <v>22/01/2025</v>
      </c>
      <c r="B385" t="str">
        <f t="shared" si="189"/>
        <v>ENTRADA</v>
      </c>
      <c r="C385" t="str">
        <f t="shared" si="179"/>
        <v>NFSE</v>
      </c>
      <c r="D385" t="str">
        <f t="shared" si="180"/>
        <v>2635</v>
      </c>
      <c r="E385" t="str">
        <f t="shared" si="181"/>
        <v>COM</v>
      </c>
      <c r="F385" t="str">
        <f t="shared" si="182"/>
        <v>FARMÁCIA INDIANA LJ 1 (10126)</v>
      </c>
      <c r="G385" t="str">
        <f t="shared" si="183"/>
        <v>Serv.Prest. 06/01/2025 a 12/01/2025 - RPS: 409 - NFSe: 2635</v>
      </c>
      <c r="H385" t="str">
        <f t="shared" si="184"/>
        <v>22/01/2025</v>
      </c>
      <c r="I385" t="str">
        <f t="shared" si="185"/>
        <v>13/01/2025</v>
      </c>
      <c r="J385" t="str">
        <f t="shared" si="186"/>
        <v>22/01/2025</v>
      </c>
      <c r="M385">
        <v>303</v>
      </c>
      <c r="N385" t="str">
        <f t="shared" si="187"/>
        <v>RECEITAS COM ENTREGAS</v>
      </c>
      <c r="P385">
        <v>412.98</v>
      </c>
      <c r="Q385" t="str">
        <f>"FARMÁCIA INDIANA LJ 132 (10059)"</f>
        <v>FARMÁCIA INDIANA LJ 132 (10059)</v>
      </c>
      <c r="R385" t="str">
        <f t="shared" si="188"/>
        <v>RECEITAS COM ENTREGAS (303)</v>
      </c>
      <c r="S385">
        <v>890</v>
      </c>
      <c r="T385">
        <v>738</v>
      </c>
      <c r="U385" t="s">
        <v>19</v>
      </c>
    </row>
    <row r="386" spans="1:21">
      <c r="A386" t="str">
        <f t="shared" si="178"/>
        <v>22/01/2025</v>
      </c>
      <c r="B386" t="str">
        <f t="shared" si="189"/>
        <v>ENTRADA</v>
      </c>
      <c r="C386" t="str">
        <f t="shared" si="179"/>
        <v>NFSE</v>
      </c>
      <c r="D386" t="str">
        <f t="shared" si="180"/>
        <v>2635</v>
      </c>
      <c r="E386" t="str">
        <f t="shared" si="181"/>
        <v>COM</v>
      </c>
      <c r="F386" t="str">
        <f t="shared" si="182"/>
        <v>FARMÁCIA INDIANA LJ 1 (10126)</v>
      </c>
      <c r="G386" t="str">
        <f t="shared" si="183"/>
        <v>Serv.Prest. 06/01/2025 a 12/01/2025 - RPS: 409 - NFSe: 2635</v>
      </c>
      <c r="H386" t="str">
        <f t="shared" si="184"/>
        <v>22/01/2025</v>
      </c>
      <c r="I386" t="str">
        <f t="shared" si="185"/>
        <v>13/01/2025</v>
      </c>
      <c r="J386" t="str">
        <f t="shared" si="186"/>
        <v>22/01/2025</v>
      </c>
      <c r="M386">
        <v>303</v>
      </c>
      <c r="N386" t="str">
        <f t="shared" si="187"/>
        <v>RECEITAS COM ENTREGAS</v>
      </c>
      <c r="P386">
        <v>38.94</v>
      </c>
      <c r="Q386" t="str">
        <f>"FARMÁCIA INDIANA LJ 140 (10064)"</f>
        <v>FARMÁCIA INDIANA LJ 140 (10064)</v>
      </c>
      <c r="R386" t="str">
        <f t="shared" si="188"/>
        <v>RECEITAS COM ENTREGAS (303)</v>
      </c>
      <c r="S386">
        <v>890</v>
      </c>
      <c r="T386">
        <v>738</v>
      </c>
      <c r="U386" t="s">
        <v>19</v>
      </c>
    </row>
    <row r="387" spans="1:21">
      <c r="A387" t="str">
        <f t="shared" si="178"/>
        <v>22/01/2025</v>
      </c>
      <c r="B387" t="str">
        <f t="shared" si="189"/>
        <v>ENTRADA</v>
      </c>
      <c r="C387" t="str">
        <f t="shared" si="179"/>
        <v>NFSE</v>
      </c>
      <c r="D387" t="str">
        <f t="shared" si="180"/>
        <v>2635</v>
      </c>
      <c r="E387" t="str">
        <f t="shared" si="181"/>
        <v>COM</v>
      </c>
      <c r="F387" t="str">
        <f t="shared" si="182"/>
        <v>FARMÁCIA INDIANA LJ 1 (10126)</v>
      </c>
      <c r="G387" t="str">
        <f t="shared" si="183"/>
        <v>Serv.Prest. 06/01/2025 a 12/01/2025 - RPS: 409 - NFSe: 2635</v>
      </c>
      <c r="H387" t="str">
        <f t="shared" si="184"/>
        <v>22/01/2025</v>
      </c>
      <c r="I387" t="str">
        <f t="shared" si="185"/>
        <v>13/01/2025</v>
      </c>
      <c r="J387" t="str">
        <f t="shared" si="186"/>
        <v>22/01/2025</v>
      </c>
      <c r="M387">
        <v>303</v>
      </c>
      <c r="N387" t="str">
        <f t="shared" si="187"/>
        <v>RECEITAS COM ENTREGAS</v>
      </c>
      <c r="P387">
        <v>20.059999999999999</v>
      </c>
      <c r="Q387" t="str">
        <f>"FARMÁCIA INDIANA LJ 141 (10065)"</f>
        <v>FARMÁCIA INDIANA LJ 141 (10065)</v>
      </c>
      <c r="R387" t="str">
        <f t="shared" si="188"/>
        <v>RECEITAS COM ENTREGAS (303)</v>
      </c>
      <c r="S387">
        <v>890</v>
      </c>
      <c r="T387">
        <v>738</v>
      </c>
      <c r="U387" t="s">
        <v>19</v>
      </c>
    </row>
    <row r="388" spans="1:21">
      <c r="A388" t="str">
        <f t="shared" si="178"/>
        <v>22/01/2025</v>
      </c>
      <c r="B388" t="str">
        <f t="shared" si="189"/>
        <v>ENTRADA</v>
      </c>
      <c r="C388" t="str">
        <f t="shared" si="179"/>
        <v>NFSE</v>
      </c>
      <c r="D388" t="str">
        <f t="shared" si="180"/>
        <v>2635</v>
      </c>
      <c r="E388" t="str">
        <f t="shared" si="181"/>
        <v>COM</v>
      </c>
      <c r="F388" t="str">
        <f t="shared" si="182"/>
        <v>FARMÁCIA INDIANA LJ 1 (10126)</v>
      </c>
      <c r="G388" t="str">
        <f t="shared" si="183"/>
        <v>Serv.Prest. 06/01/2025 a 12/01/2025 - RPS: 409 - NFSe: 2635</v>
      </c>
      <c r="H388" t="str">
        <f t="shared" si="184"/>
        <v>22/01/2025</v>
      </c>
      <c r="I388" t="str">
        <f t="shared" si="185"/>
        <v>13/01/2025</v>
      </c>
      <c r="J388" t="str">
        <f t="shared" si="186"/>
        <v>22/01/2025</v>
      </c>
      <c r="M388">
        <v>303</v>
      </c>
      <c r="N388" t="str">
        <f t="shared" si="187"/>
        <v>RECEITAS COM ENTREGAS</v>
      </c>
      <c r="P388">
        <v>545.13</v>
      </c>
      <c r="Q388" t="str">
        <f>"FARMÁCIA INDIANA LJ 142 (10066)"</f>
        <v>FARMÁCIA INDIANA LJ 142 (10066)</v>
      </c>
      <c r="R388" t="str">
        <f t="shared" si="188"/>
        <v>RECEITAS COM ENTREGAS (303)</v>
      </c>
      <c r="S388">
        <v>890</v>
      </c>
      <c r="T388">
        <v>738</v>
      </c>
      <c r="U388" t="s">
        <v>19</v>
      </c>
    </row>
    <row r="389" spans="1:21">
      <c r="A389" t="str">
        <f t="shared" si="178"/>
        <v>22/01/2025</v>
      </c>
      <c r="B389" t="str">
        <f t="shared" si="189"/>
        <v>ENTRADA</v>
      </c>
      <c r="C389" t="str">
        <f t="shared" si="179"/>
        <v>NFSE</v>
      </c>
      <c r="D389" t="str">
        <f t="shared" si="180"/>
        <v>2635</v>
      </c>
      <c r="E389" t="str">
        <f t="shared" si="181"/>
        <v>COM</v>
      </c>
      <c r="F389" t="str">
        <f t="shared" si="182"/>
        <v>FARMÁCIA INDIANA LJ 1 (10126)</v>
      </c>
      <c r="G389" t="str">
        <f t="shared" si="183"/>
        <v>Serv.Prest. 06/01/2025 a 12/01/2025 - RPS: 409 - NFSe: 2635</v>
      </c>
      <c r="H389" t="str">
        <f t="shared" si="184"/>
        <v>22/01/2025</v>
      </c>
      <c r="I389" t="str">
        <f t="shared" si="185"/>
        <v>13/01/2025</v>
      </c>
      <c r="J389" t="str">
        <f t="shared" si="186"/>
        <v>22/01/2025</v>
      </c>
      <c r="M389">
        <v>303</v>
      </c>
      <c r="N389" t="str">
        <f t="shared" si="187"/>
        <v>RECEITAS COM ENTREGAS</v>
      </c>
      <c r="P389">
        <v>54.28</v>
      </c>
      <c r="Q389" t="str">
        <f>"FARMÁCIA INDIANA LJ 143 (10067)"</f>
        <v>FARMÁCIA INDIANA LJ 143 (10067)</v>
      </c>
      <c r="R389" t="str">
        <f t="shared" si="188"/>
        <v>RECEITAS COM ENTREGAS (303)</v>
      </c>
      <c r="S389">
        <v>890</v>
      </c>
      <c r="T389">
        <v>738</v>
      </c>
      <c r="U389" t="s">
        <v>19</v>
      </c>
    </row>
    <row r="390" spans="1:21">
      <c r="A390" t="str">
        <f t="shared" si="178"/>
        <v>22/01/2025</v>
      </c>
      <c r="B390" t="str">
        <f t="shared" si="189"/>
        <v>ENTRADA</v>
      </c>
      <c r="C390" t="str">
        <f t="shared" si="179"/>
        <v>NFSE</v>
      </c>
      <c r="D390" t="str">
        <f t="shared" si="180"/>
        <v>2635</v>
      </c>
      <c r="E390" t="str">
        <f t="shared" si="181"/>
        <v>COM</v>
      </c>
      <c r="F390" t="str">
        <f t="shared" si="182"/>
        <v>FARMÁCIA INDIANA LJ 1 (10126)</v>
      </c>
      <c r="G390" t="str">
        <f t="shared" si="183"/>
        <v>Serv.Prest. 06/01/2025 a 12/01/2025 - RPS: 409 - NFSe: 2635</v>
      </c>
      <c r="H390" t="str">
        <f t="shared" si="184"/>
        <v>22/01/2025</v>
      </c>
      <c r="I390" t="str">
        <f t="shared" si="185"/>
        <v>13/01/2025</v>
      </c>
      <c r="J390" t="str">
        <f t="shared" si="186"/>
        <v>22/01/2025</v>
      </c>
      <c r="M390">
        <v>303</v>
      </c>
      <c r="N390" t="str">
        <f t="shared" si="187"/>
        <v>RECEITAS COM ENTREGAS</v>
      </c>
      <c r="P390">
        <v>142.77000000000001</v>
      </c>
      <c r="Q390" t="str">
        <f>"FARMÁCIA INDIANA LJ 152 (10069)"</f>
        <v>FARMÁCIA INDIANA LJ 152 (10069)</v>
      </c>
      <c r="R390" t="str">
        <f t="shared" si="188"/>
        <v>RECEITAS COM ENTREGAS (303)</v>
      </c>
      <c r="S390">
        <v>890</v>
      </c>
      <c r="T390">
        <v>738</v>
      </c>
      <c r="U390" t="s">
        <v>19</v>
      </c>
    </row>
    <row r="391" spans="1:21">
      <c r="A391" t="str">
        <f t="shared" si="178"/>
        <v>22/01/2025</v>
      </c>
      <c r="B391" t="str">
        <f t="shared" si="189"/>
        <v>ENTRADA</v>
      </c>
      <c r="C391" t="str">
        <f t="shared" si="179"/>
        <v>NFSE</v>
      </c>
      <c r="D391" t="str">
        <f t="shared" si="180"/>
        <v>2635</v>
      </c>
      <c r="E391" t="str">
        <f t="shared" si="181"/>
        <v>COM</v>
      </c>
      <c r="F391" t="str">
        <f t="shared" si="182"/>
        <v>FARMÁCIA INDIANA LJ 1 (10126)</v>
      </c>
      <c r="G391" t="str">
        <f t="shared" si="183"/>
        <v>Serv.Prest. 06/01/2025 a 12/01/2025 - RPS: 409 - NFSe: 2635</v>
      </c>
      <c r="H391" t="str">
        <f t="shared" si="184"/>
        <v>22/01/2025</v>
      </c>
      <c r="I391" t="str">
        <f t="shared" si="185"/>
        <v>13/01/2025</v>
      </c>
      <c r="J391" t="str">
        <f t="shared" si="186"/>
        <v>22/01/2025</v>
      </c>
      <c r="M391">
        <v>303</v>
      </c>
      <c r="N391" t="str">
        <f t="shared" si="187"/>
        <v>RECEITAS COM ENTREGAS</v>
      </c>
      <c r="P391">
        <v>40.119999999999997</v>
      </c>
      <c r="Q391" t="str">
        <f>"FARMÁCIA INDIANA LJ 154 (10070)"</f>
        <v>FARMÁCIA INDIANA LJ 154 (10070)</v>
      </c>
      <c r="R391" t="str">
        <f t="shared" si="188"/>
        <v>RECEITAS COM ENTREGAS (303)</v>
      </c>
      <c r="S391">
        <v>890</v>
      </c>
      <c r="T391">
        <v>738</v>
      </c>
      <c r="U391" t="s">
        <v>19</v>
      </c>
    </row>
    <row r="392" spans="1:21">
      <c r="A392" t="str">
        <f t="shared" si="178"/>
        <v>22/01/2025</v>
      </c>
      <c r="B392" t="str">
        <f t="shared" si="189"/>
        <v>ENTRADA</v>
      </c>
      <c r="C392" t="str">
        <f t="shared" si="179"/>
        <v>NFSE</v>
      </c>
      <c r="D392" t="str">
        <f t="shared" si="180"/>
        <v>2635</v>
      </c>
      <c r="E392" t="str">
        <f t="shared" si="181"/>
        <v>COM</v>
      </c>
      <c r="F392" t="str">
        <f t="shared" si="182"/>
        <v>FARMÁCIA INDIANA LJ 1 (10126)</v>
      </c>
      <c r="G392" t="str">
        <f t="shared" si="183"/>
        <v>Serv.Prest. 06/01/2025 a 12/01/2025 - RPS: 409 - NFSe: 2635</v>
      </c>
      <c r="H392" t="str">
        <f t="shared" si="184"/>
        <v>22/01/2025</v>
      </c>
      <c r="I392" t="str">
        <f t="shared" si="185"/>
        <v>13/01/2025</v>
      </c>
      <c r="J392" t="str">
        <f t="shared" si="186"/>
        <v>22/01/2025</v>
      </c>
      <c r="M392">
        <v>303</v>
      </c>
      <c r="N392" t="str">
        <f t="shared" si="187"/>
        <v>RECEITAS COM ENTREGAS</v>
      </c>
      <c r="P392">
        <v>403.54</v>
      </c>
      <c r="Q392" t="str">
        <f>"FARMÁCIA INDIANA LJ 171 (10074)"</f>
        <v>FARMÁCIA INDIANA LJ 171 (10074)</v>
      </c>
      <c r="R392" t="str">
        <f t="shared" si="188"/>
        <v>RECEITAS COM ENTREGAS (303)</v>
      </c>
      <c r="S392">
        <v>890</v>
      </c>
      <c r="T392">
        <v>738</v>
      </c>
      <c r="U392" t="s">
        <v>19</v>
      </c>
    </row>
    <row r="393" spans="1:21">
      <c r="A393" t="str">
        <f t="shared" ref="A393:A424" si="190">("22/01/2025")</f>
        <v>22/01/2025</v>
      </c>
      <c r="B393" t="str">
        <f t="shared" si="189"/>
        <v>ENTRADA</v>
      </c>
      <c r="C393" t="str">
        <f t="shared" ref="C393:C424" si="191">"NFSE"</f>
        <v>NFSE</v>
      </c>
      <c r="D393" t="str">
        <f t="shared" si="180"/>
        <v>2635</v>
      </c>
      <c r="E393" t="str">
        <f t="shared" ref="E393:E424" si="192">"COM"</f>
        <v>COM</v>
      </c>
      <c r="F393" t="str">
        <f t="shared" si="182"/>
        <v>FARMÁCIA INDIANA LJ 1 (10126)</v>
      </c>
      <c r="G393" t="str">
        <f t="shared" si="183"/>
        <v>Serv.Prest. 06/01/2025 a 12/01/2025 - RPS: 409 - NFSe: 2635</v>
      </c>
      <c r="H393" t="str">
        <f t="shared" ref="H393:H424" si="193">("22/01/2025")</f>
        <v>22/01/2025</v>
      </c>
      <c r="I393" t="str">
        <f t="shared" ref="I393:I412" si="194">("13/01/2025")</f>
        <v>13/01/2025</v>
      </c>
      <c r="J393" t="str">
        <f t="shared" ref="J393:J424" si="195">("22/01/2025")</f>
        <v>22/01/2025</v>
      </c>
      <c r="M393">
        <v>303</v>
      </c>
      <c r="N393" t="str">
        <f t="shared" ref="N393:N424" si="196">"RECEITAS COM ENTREGAS"</f>
        <v>RECEITAS COM ENTREGAS</v>
      </c>
      <c r="P393">
        <v>130.97</v>
      </c>
      <c r="Q393" t="str">
        <f>"FARMÁCIA INDIANA LJ 175 (10076)"</f>
        <v>FARMÁCIA INDIANA LJ 175 (10076)</v>
      </c>
      <c r="R393" t="str">
        <f t="shared" ref="R393:R424" si="197">"RECEITAS COM ENTREGAS (303)"</f>
        <v>RECEITAS COM ENTREGAS (303)</v>
      </c>
      <c r="S393">
        <v>890</v>
      </c>
      <c r="T393">
        <v>738</v>
      </c>
      <c r="U393" t="s">
        <v>19</v>
      </c>
    </row>
    <row r="394" spans="1:21">
      <c r="A394" t="str">
        <f t="shared" si="190"/>
        <v>22/01/2025</v>
      </c>
      <c r="B394" t="str">
        <f t="shared" si="189"/>
        <v>ENTRADA</v>
      </c>
      <c r="C394" t="str">
        <f t="shared" si="191"/>
        <v>NFSE</v>
      </c>
      <c r="D394" t="str">
        <f t="shared" si="180"/>
        <v>2635</v>
      </c>
      <c r="E394" t="str">
        <f t="shared" si="192"/>
        <v>COM</v>
      </c>
      <c r="F394" t="str">
        <f t="shared" si="182"/>
        <v>FARMÁCIA INDIANA LJ 1 (10126)</v>
      </c>
      <c r="G394" t="str">
        <f t="shared" si="183"/>
        <v>Serv.Prest. 06/01/2025 a 12/01/2025 - RPS: 409 - NFSe: 2635</v>
      </c>
      <c r="H394" t="str">
        <f t="shared" si="193"/>
        <v>22/01/2025</v>
      </c>
      <c r="I394" t="str">
        <f t="shared" si="194"/>
        <v>13/01/2025</v>
      </c>
      <c r="J394" t="str">
        <f t="shared" si="195"/>
        <v>22/01/2025</v>
      </c>
      <c r="M394">
        <v>303</v>
      </c>
      <c r="N394" t="str">
        <f t="shared" si="196"/>
        <v>RECEITAS COM ENTREGAS</v>
      </c>
      <c r="P394">
        <v>114.45</v>
      </c>
      <c r="Q394" t="str">
        <f>"FARMÁCIA INDIANA LJ 178 (10077)"</f>
        <v>FARMÁCIA INDIANA LJ 178 (10077)</v>
      </c>
      <c r="R394" t="str">
        <f t="shared" si="197"/>
        <v>RECEITAS COM ENTREGAS (303)</v>
      </c>
      <c r="S394">
        <v>890</v>
      </c>
      <c r="T394">
        <v>738</v>
      </c>
      <c r="U394" t="s">
        <v>19</v>
      </c>
    </row>
    <row r="395" spans="1:21">
      <c r="A395" t="str">
        <f t="shared" si="190"/>
        <v>22/01/2025</v>
      </c>
      <c r="B395" t="str">
        <f t="shared" si="189"/>
        <v>ENTRADA</v>
      </c>
      <c r="C395" t="str">
        <f t="shared" si="191"/>
        <v>NFSE</v>
      </c>
      <c r="D395" t="str">
        <f t="shared" si="180"/>
        <v>2635</v>
      </c>
      <c r="E395" t="str">
        <f t="shared" si="192"/>
        <v>COM</v>
      </c>
      <c r="F395" t="str">
        <f t="shared" si="182"/>
        <v>FARMÁCIA INDIANA LJ 1 (10126)</v>
      </c>
      <c r="G395" t="str">
        <f t="shared" si="183"/>
        <v>Serv.Prest. 06/01/2025 a 12/01/2025 - RPS: 409 - NFSe: 2635</v>
      </c>
      <c r="H395" t="str">
        <f t="shared" si="193"/>
        <v>22/01/2025</v>
      </c>
      <c r="I395" t="str">
        <f t="shared" si="194"/>
        <v>13/01/2025</v>
      </c>
      <c r="J395" t="str">
        <f t="shared" si="195"/>
        <v>22/01/2025</v>
      </c>
      <c r="M395">
        <v>303</v>
      </c>
      <c r="N395" t="str">
        <f t="shared" si="196"/>
        <v>RECEITAS COM ENTREGAS</v>
      </c>
      <c r="P395">
        <v>80.239999999999995</v>
      </c>
      <c r="Q395" t="str">
        <f>"FARMÁCIA INDIANA LJ 182 (10079)"</f>
        <v>FARMÁCIA INDIANA LJ 182 (10079)</v>
      </c>
      <c r="R395" t="str">
        <f t="shared" si="197"/>
        <v>RECEITAS COM ENTREGAS (303)</v>
      </c>
      <c r="S395">
        <v>890</v>
      </c>
      <c r="T395">
        <v>738</v>
      </c>
      <c r="U395" t="s">
        <v>19</v>
      </c>
    </row>
    <row r="396" spans="1:21">
      <c r="A396" t="str">
        <f t="shared" si="190"/>
        <v>22/01/2025</v>
      </c>
      <c r="B396" t="str">
        <f t="shared" si="189"/>
        <v>ENTRADA</v>
      </c>
      <c r="C396" t="str">
        <f t="shared" si="191"/>
        <v>NFSE</v>
      </c>
      <c r="D396" t="str">
        <f t="shared" si="180"/>
        <v>2635</v>
      </c>
      <c r="E396" t="str">
        <f t="shared" si="192"/>
        <v>COM</v>
      </c>
      <c r="F396" t="str">
        <f t="shared" si="182"/>
        <v>FARMÁCIA INDIANA LJ 1 (10126)</v>
      </c>
      <c r="G396" t="str">
        <f t="shared" si="183"/>
        <v>Serv.Prest. 06/01/2025 a 12/01/2025 - RPS: 409 - NFSe: 2635</v>
      </c>
      <c r="H396" t="str">
        <f t="shared" si="193"/>
        <v>22/01/2025</v>
      </c>
      <c r="I396" t="str">
        <f t="shared" si="194"/>
        <v>13/01/2025</v>
      </c>
      <c r="J396" t="str">
        <f t="shared" si="195"/>
        <v>22/01/2025</v>
      </c>
      <c r="M396">
        <v>303</v>
      </c>
      <c r="N396" t="str">
        <f t="shared" si="196"/>
        <v>RECEITAS COM ENTREGAS</v>
      </c>
      <c r="P396">
        <v>40.119999999999997</v>
      </c>
      <c r="Q396" t="str">
        <f>"FARMÁCIA INDIANA LJ 184 (10080)"</f>
        <v>FARMÁCIA INDIANA LJ 184 (10080)</v>
      </c>
      <c r="R396" t="str">
        <f t="shared" si="197"/>
        <v>RECEITAS COM ENTREGAS (303)</v>
      </c>
      <c r="S396">
        <v>890</v>
      </c>
      <c r="T396">
        <v>738</v>
      </c>
      <c r="U396" t="s">
        <v>19</v>
      </c>
    </row>
    <row r="397" spans="1:21">
      <c r="A397" t="str">
        <f t="shared" si="190"/>
        <v>22/01/2025</v>
      </c>
      <c r="B397" t="str">
        <f t="shared" si="189"/>
        <v>ENTRADA</v>
      </c>
      <c r="C397" t="str">
        <f t="shared" si="191"/>
        <v>NFSE</v>
      </c>
      <c r="D397" t="str">
        <f t="shared" si="180"/>
        <v>2635</v>
      </c>
      <c r="E397" t="str">
        <f t="shared" si="192"/>
        <v>COM</v>
      </c>
      <c r="F397" t="str">
        <f t="shared" si="182"/>
        <v>FARMÁCIA INDIANA LJ 1 (10126)</v>
      </c>
      <c r="G397" t="str">
        <f t="shared" si="183"/>
        <v>Serv.Prest. 06/01/2025 a 12/01/2025 - RPS: 409 - NFSe: 2635</v>
      </c>
      <c r="H397" t="str">
        <f t="shared" si="193"/>
        <v>22/01/2025</v>
      </c>
      <c r="I397" t="str">
        <f t="shared" si="194"/>
        <v>13/01/2025</v>
      </c>
      <c r="J397" t="str">
        <f t="shared" si="195"/>
        <v>22/01/2025</v>
      </c>
      <c r="M397">
        <v>303</v>
      </c>
      <c r="N397" t="str">
        <f t="shared" si="196"/>
        <v>RECEITAS COM ENTREGAS</v>
      </c>
      <c r="P397">
        <v>80.239999999999995</v>
      </c>
      <c r="Q397" t="str">
        <f>"FARMÁCIA INDIANA LJ 186 (10081)"</f>
        <v>FARMÁCIA INDIANA LJ 186 (10081)</v>
      </c>
      <c r="R397" t="str">
        <f t="shared" si="197"/>
        <v>RECEITAS COM ENTREGAS (303)</v>
      </c>
      <c r="S397">
        <v>890</v>
      </c>
      <c r="T397">
        <v>738</v>
      </c>
      <c r="U397" t="s">
        <v>19</v>
      </c>
    </row>
    <row r="398" spans="1:21">
      <c r="A398" t="str">
        <f t="shared" si="190"/>
        <v>22/01/2025</v>
      </c>
      <c r="B398" t="str">
        <f t="shared" si="189"/>
        <v>ENTRADA</v>
      </c>
      <c r="C398" t="str">
        <f t="shared" si="191"/>
        <v>NFSE</v>
      </c>
      <c r="D398" t="str">
        <f t="shared" si="180"/>
        <v>2635</v>
      </c>
      <c r="E398" t="str">
        <f t="shared" si="192"/>
        <v>COM</v>
      </c>
      <c r="F398" t="str">
        <f t="shared" si="182"/>
        <v>FARMÁCIA INDIANA LJ 1 (10126)</v>
      </c>
      <c r="G398" t="str">
        <f t="shared" si="183"/>
        <v>Serv.Prest. 06/01/2025 a 12/01/2025 - RPS: 409 - NFSe: 2635</v>
      </c>
      <c r="H398" t="str">
        <f t="shared" si="193"/>
        <v>22/01/2025</v>
      </c>
      <c r="I398" t="str">
        <f t="shared" si="194"/>
        <v>13/01/2025</v>
      </c>
      <c r="J398" t="str">
        <f t="shared" si="195"/>
        <v>22/01/2025</v>
      </c>
      <c r="M398">
        <v>303</v>
      </c>
      <c r="N398" t="str">
        <f t="shared" si="196"/>
        <v>RECEITAS COM ENTREGAS</v>
      </c>
      <c r="P398">
        <v>128.61000000000001</v>
      </c>
      <c r="Q398" t="str">
        <f>"FARMÁCIA INDIANA LJ 192 (10082)"</f>
        <v>FARMÁCIA INDIANA LJ 192 (10082)</v>
      </c>
      <c r="R398" t="str">
        <f t="shared" si="197"/>
        <v>RECEITAS COM ENTREGAS (303)</v>
      </c>
      <c r="S398">
        <v>890</v>
      </c>
      <c r="T398">
        <v>738</v>
      </c>
      <c r="U398" t="s">
        <v>19</v>
      </c>
    </row>
    <row r="399" spans="1:21">
      <c r="A399" t="str">
        <f t="shared" si="190"/>
        <v>22/01/2025</v>
      </c>
      <c r="B399" t="str">
        <f t="shared" si="189"/>
        <v>ENTRADA</v>
      </c>
      <c r="C399" t="str">
        <f t="shared" si="191"/>
        <v>NFSE</v>
      </c>
      <c r="D399" t="str">
        <f t="shared" si="180"/>
        <v>2635</v>
      </c>
      <c r="E399" t="str">
        <f t="shared" si="192"/>
        <v>COM</v>
      </c>
      <c r="F399" t="str">
        <f t="shared" si="182"/>
        <v>FARMÁCIA INDIANA LJ 1 (10126)</v>
      </c>
      <c r="G399" t="str">
        <f t="shared" si="183"/>
        <v>Serv.Prest. 06/01/2025 a 12/01/2025 - RPS: 409 - NFSe: 2635</v>
      </c>
      <c r="H399" t="str">
        <f t="shared" si="193"/>
        <v>22/01/2025</v>
      </c>
      <c r="I399" t="str">
        <f t="shared" si="194"/>
        <v>13/01/2025</v>
      </c>
      <c r="J399" t="str">
        <f t="shared" si="195"/>
        <v>22/01/2025</v>
      </c>
      <c r="M399">
        <v>303</v>
      </c>
      <c r="N399" t="str">
        <f t="shared" si="196"/>
        <v>RECEITAS COM ENTREGAS</v>
      </c>
      <c r="P399">
        <v>40.119999999999997</v>
      </c>
      <c r="Q399" t="str">
        <f>"FARMÁCIA INDIANA LJ 195 (10083)"</f>
        <v>FARMÁCIA INDIANA LJ 195 (10083)</v>
      </c>
      <c r="R399" t="str">
        <f t="shared" si="197"/>
        <v>RECEITAS COM ENTREGAS (303)</v>
      </c>
      <c r="S399">
        <v>890</v>
      </c>
      <c r="T399">
        <v>738</v>
      </c>
      <c r="U399" t="s">
        <v>19</v>
      </c>
    </row>
    <row r="400" spans="1:21">
      <c r="A400" t="str">
        <f t="shared" si="190"/>
        <v>22/01/2025</v>
      </c>
      <c r="B400" t="str">
        <f t="shared" si="189"/>
        <v>ENTRADA</v>
      </c>
      <c r="C400" t="str">
        <f t="shared" si="191"/>
        <v>NFSE</v>
      </c>
      <c r="D400" t="str">
        <f t="shared" si="180"/>
        <v>2635</v>
      </c>
      <c r="E400" t="str">
        <f t="shared" si="192"/>
        <v>COM</v>
      </c>
      <c r="F400" t="str">
        <f t="shared" si="182"/>
        <v>FARMÁCIA INDIANA LJ 1 (10126)</v>
      </c>
      <c r="G400" t="str">
        <f t="shared" si="183"/>
        <v>Serv.Prest. 06/01/2025 a 12/01/2025 - RPS: 409 - NFSe: 2635</v>
      </c>
      <c r="H400" t="str">
        <f t="shared" si="193"/>
        <v>22/01/2025</v>
      </c>
      <c r="I400" t="str">
        <f t="shared" si="194"/>
        <v>13/01/2025</v>
      </c>
      <c r="J400" t="str">
        <f t="shared" si="195"/>
        <v>22/01/2025</v>
      </c>
      <c r="M400">
        <v>303</v>
      </c>
      <c r="N400" t="str">
        <f t="shared" si="196"/>
        <v>RECEITAS COM ENTREGAS</v>
      </c>
      <c r="P400">
        <v>159.29</v>
      </c>
      <c r="Q400" t="str">
        <f>"FARMÁCIA INDIANA LJ 202 (10085)"</f>
        <v>FARMÁCIA INDIANA LJ 202 (10085)</v>
      </c>
      <c r="R400" t="str">
        <f t="shared" si="197"/>
        <v>RECEITAS COM ENTREGAS (303)</v>
      </c>
      <c r="S400">
        <v>890</v>
      </c>
      <c r="T400">
        <v>738</v>
      </c>
      <c r="U400" t="s">
        <v>19</v>
      </c>
    </row>
    <row r="401" spans="1:21">
      <c r="A401" t="str">
        <f t="shared" si="190"/>
        <v>22/01/2025</v>
      </c>
      <c r="B401" t="str">
        <f t="shared" si="189"/>
        <v>ENTRADA</v>
      </c>
      <c r="C401" t="str">
        <f t="shared" si="191"/>
        <v>NFSE</v>
      </c>
      <c r="D401" t="str">
        <f t="shared" si="180"/>
        <v>2635</v>
      </c>
      <c r="E401" t="str">
        <f t="shared" si="192"/>
        <v>COM</v>
      </c>
      <c r="F401" t="str">
        <f t="shared" si="182"/>
        <v>FARMÁCIA INDIANA LJ 1 (10126)</v>
      </c>
      <c r="G401" t="str">
        <f t="shared" si="183"/>
        <v>Serv.Prest. 06/01/2025 a 12/01/2025 - RPS: 409 - NFSe: 2635</v>
      </c>
      <c r="H401" t="str">
        <f t="shared" si="193"/>
        <v>22/01/2025</v>
      </c>
      <c r="I401" t="str">
        <f t="shared" si="194"/>
        <v>13/01/2025</v>
      </c>
      <c r="J401" t="str">
        <f t="shared" si="195"/>
        <v>22/01/2025</v>
      </c>
      <c r="M401">
        <v>303</v>
      </c>
      <c r="N401" t="str">
        <f t="shared" si="196"/>
        <v>RECEITAS COM ENTREGAS</v>
      </c>
      <c r="P401">
        <v>106.19</v>
      </c>
      <c r="Q401" t="str">
        <f>"FARMÁCIA INDIANA LJ 204 (10087)"</f>
        <v>FARMÁCIA INDIANA LJ 204 (10087)</v>
      </c>
      <c r="R401" t="str">
        <f t="shared" si="197"/>
        <v>RECEITAS COM ENTREGAS (303)</v>
      </c>
      <c r="S401">
        <v>890</v>
      </c>
      <c r="T401">
        <v>738</v>
      </c>
      <c r="U401" t="s">
        <v>19</v>
      </c>
    </row>
    <row r="402" spans="1:21">
      <c r="A402" t="str">
        <f t="shared" si="190"/>
        <v>22/01/2025</v>
      </c>
      <c r="B402" t="str">
        <f t="shared" si="189"/>
        <v>ENTRADA</v>
      </c>
      <c r="C402" t="str">
        <f t="shared" si="191"/>
        <v>NFSE</v>
      </c>
      <c r="D402" t="str">
        <f t="shared" si="180"/>
        <v>2635</v>
      </c>
      <c r="E402" t="str">
        <f t="shared" si="192"/>
        <v>COM</v>
      </c>
      <c r="F402" t="str">
        <f t="shared" si="182"/>
        <v>FARMÁCIA INDIANA LJ 1 (10126)</v>
      </c>
      <c r="G402" t="str">
        <f t="shared" si="183"/>
        <v>Serv.Prest. 06/01/2025 a 12/01/2025 - RPS: 409 - NFSe: 2635</v>
      </c>
      <c r="H402" t="str">
        <f t="shared" si="193"/>
        <v>22/01/2025</v>
      </c>
      <c r="I402" t="str">
        <f t="shared" si="194"/>
        <v>13/01/2025</v>
      </c>
      <c r="J402" t="str">
        <f t="shared" si="195"/>
        <v>22/01/2025</v>
      </c>
      <c r="M402">
        <v>303</v>
      </c>
      <c r="N402" t="str">
        <f t="shared" si="196"/>
        <v>RECEITAS COM ENTREGAS</v>
      </c>
      <c r="P402">
        <v>96.75</v>
      </c>
      <c r="Q402" t="str">
        <f>"FARMÁCIA INDIANA LJ 207 (10088)"</f>
        <v>FARMÁCIA INDIANA LJ 207 (10088)</v>
      </c>
      <c r="R402" t="str">
        <f t="shared" si="197"/>
        <v>RECEITAS COM ENTREGAS (303)</v>
      </c>
      <c r="S402">
        <v>890</v>
      </c>
      <c r="T402">
        <v>738</v>
      </c>
      <c r="U402" t="s">
        <v>19</v>
      </c>
    </row>
    <row r="403" spans="1:21">
      <c r="A403" t="str">
        <f t="shared" si="190"/>
        <v>22/01/2025</v>
      </c>
      <c r="B403" t="str">
        <f t="shared" si="189"/>
        <v>ENTRADA</v>
      </c>
      <c r="C403" t="str">
        <f t="shared" si="191"/>
        <v>NFSE</v>
      </c>
      <c r="D403" t="str">
        <f t="shared" si="180"/>
        <v>2635</v>
      </c>
      <c r="E403" t="str">
        <f t="shared" si="192"/>
        <v>COM</v>
      </c>
      <c r="F403" t="str">
        <f t="shared" si="182"/>
        <v>FARMÁCIA INDIANA LJ 1 (10126)</v>
      </c>
      <c r="G403" t="str">
        <f t="shared" si="183"/>
        <v>Serv.Prest. 06/01/2025 a 12/01/2025 - RPS: 409 - NFSe: 2635</v>
      </c>
      <c r="H403" t="str">
        <f t="shared" si="193"/>
        <v>22/01/2025</v>
      </c>
      <c r="I403" t="str">
        <f t="shared" si="194"/>
        <v>13/01/2025</v>
      </c>
      <c r="J403" t="str">
        <f t="shared" si="195"/>
        <v>22/01/2025</v>
      </c>
      <c r="M403">
        <v>303</v>
      </c>
      <c r="N403" t="str">
        <f t="shared" si="196"/>
        <v>RECEITAS COM ENTREGAS</v>
      </c>
      <c r="P403">
        <v>125.07</v>
      </c>
      <c r="Q403" t="str">
        <f>"FARMÁCIA INDIANA LJ 209 (10089)"</f>
        <v>FARMÁCIA INDIANA LJ 209 (10089)</v>
      </c>
      <c r="R403" t="str">
        <f t="shared" si="197"/>
        <v>RECEITAS COM ENTREGAS (303)</v>
      </c>
      <c r="S403">
        <v>890</v>
      </c>
      <c r="T403">
        <v>738</v>
      </c>
      <c r="U403" t="s">
        <v>19</v>
      </c>
    </row>
    <row r="404" spans="1:21">
      <c r="A404" t="str">
        <f t="shared" si="190"/>
        <v>22/01/2025</v>
      </c>
      <c r="B404" t="str">
        <f t="shared" si="189"/>
        <v>ENTRADA</v>
      </c>
      <c r="C404" t="str">
        <f t="shared" si="191"/>
        <v>NFSE</v>
      </c>
      <c r="D404" t="str">
        <f t="shared" si="180"/>
        <v>2635</v>
      </c>
      <c r="E404" t="str">
        <f t="shared" si="192"/>
        <v>COM</v>
      </c>
      <c r="F404" t="str">
        <f t="shared" si="182"/>
        <v>FARMÁCIA INDIANA LJ 1 (10126)</v>
      </c>
      <c r="G404" t="str">
        <f t="shared" si="183"/>
        <v>Serv.Prest. 06/01/2025 a 12/01/2025 - RPS: 409 - NFSe: 2635</v>
      </c>
      <c r="H404" t="str">
        <f t="shared" si="193"/>
        <v>22/01/2025</v>
      </c>
      <c r="I404" t="str">
        <f t="shared" si="194"/>
        <v>13/01/2025</v>
      </c>
      <c r="J404" t="str">
        <f t="shared" si="195"/>
        <v>22/01/2025</v>
      </c>
      <c r="M404">
        <v>303</v>
      </c>
      <c r="N404" t="str">
        <f t="shared" si="196"/>
        <v>RECEITAS COM ENTREGAS</v>
      </c>
      <c r="P404">
        <v>160.47</v>
      </c>
      <c r="Q404" t="str">
        <f>"FARMÁCIA INDIANA LJ 219 (10091)"</f>
        <v>FARMÁCIA INDIANA LJ 219 (10091)</v>
      </c>
      <c r="R404" t="str">
        <f t="shared" si="197"/>
        <v>RECEITAS COM ENTREGAS (303)</v>
      </c>
      <c r="S404">
        <v>890</v>
      </c>
      <c r="T404">
        <v>738</v>
      </c>
      <c r="U404" t="s">
        <v>19</v>
      </c>
    </row>
    <row r="405" spans="1:21">
      <c r="A405" t="str">
        <f t="shared" si="190"/>
        <v>22/01/2025</v>
      </c>
      <c r="B405" t="str">
        <f t="shared" si="189"/>
        <v>ENTRADA</v>
      </c>
      <c r="C405" t="str">
        <f t="shared" si="191"/>
        <v>NFSE</v>
      </c>
      <c r="D405" t="str">
        <f t="shared" si="180"/>
        <v>2635</v>
      </c>
      <c r="E405" t="str">
        <f t="shared" si="192"/>
        <v>COM</v>
      </c>
      <c r="F405" t="str">
        <f t="shared" si="182"/>
        <v>FARMÁCIA INDIANA LJ 1 (10126)</v>
      </c>
      <c r="G405" t="str">
        <f t="shared" si="183"/>
        <v>Serv.Prest. 06/01/2025 a 12/01/2025 - RPS: 409 - NFSe: 2635</v>
      </c>
      <c r="H405" t="str">
        <f t="shared" si="193"/>
        <v>22/01/2025</v>
      </c>
      <c r="I405" t="str">
        <f t="shared" si="194"/>
        <v>13/01/2025</v>
      </c>
      <c r="J405" t="str">
        <f t="shared" si="195"/>
        <v>22/01/2025</v>
      </c>
      <c r="M405">
        <v>303</v>
      </c>
      <c r="N405" t="str">
        <f t="shared" si="196"/>
        <v>RECEITAS COM ENTREGAS</v>
      </c>
      <c r="P405">
        <v>86.14</v>
      </c>
      <c r="Q405" t="str">
        <f>"FARMÁCIA INDIANA LJ 220 (10092)"</f>
        <v>FARMÁCIA INDIANA LJ 220 (10092)</v>
      </c>
      <c r="R405" t="str">
        <f t="shared" si="197"/>
        <v>RECEITAS COM ENTREGAS (303)</v>
      </c>
      <c r="S405">
        <v>890</v>
      </c>
      <c r="T405">
        <v>738</v>
      </c>
      <c r="U405" t="s">
        <v>19</v>
      </c>
    </row>
    <row r="406" spans="1:21">
      <c r="A406" t="str">
        <f t="shared" si="190"/>
        <v>22/01/2025</v>
      </c>
      <c r="B406" t="str">
        <f t="shared" si="189"/>
        <v>ENTRADA</v>
      </c>
      <c r="C406" t="str">
        <f t="shared" si="191"/>
        <v>NFSE</v>
      </c>
      <c r="D406" t="str">
        <f t="shared" si="180"/>
        <v>2635</v>
      </c>
      <c r="E406" t="str">
        <f t="shared" si="192"/>
        <v>COM</v>
      </c>
      <c r="F406" t="str">
        <f t="shared" si="182"/>
        <v>FARMÁCIA INDIANA LJ 1 (10126)</v>
      </c>
      <c r="G406" t="str">
        <f t="shared" si="183"/>
        <v>Serv.Prest. 06/01/2025 a 12/01/2025 - RPS: 409 - NFSe: 2635</v>
      </c>
      <c r="H406" t="str">
        <f t="shared" si="193"/>
        <v>22/01/2025</v>
      </c>
      <c r="I406" t="str">
        <f t="shared" si="194"/>
        <v>13/01/2025</v>
      </c>
      <c r="J406" t="str">
        <f t="shared" si="195"/>
        <v>22/01/2025</v>
      </c>
      <c r="M406">
        <v>303</v>
      </c>
      <c r="N406" t="str">
        <f t="shared" si="196"/>
        <v>RECEITAS COM ENTREGAS</v>
      </c>
      <c r="P406">
        <v>186.43</v>
      </c>
      <c r="Q406" t="str">
        <f>"FARMÁCIA INDIANA LJ 185 (10141)"</f>
        <v>FARMÁCIA INDIANA LJ 185 (10141)</v>
      </c>
      <c r="R406" t="str">
        <f t="shared" si="197"/>
        <v>RECEITAS COM ENTREGAS (303)</v>
      </c>
      <c r="S406">
        <v>890</v>
      </c>
      <c r="T406">
        <v>738</v>
      </c>
      <c r="U406" t="s">
        <v>19</v>
      </c>
    </row>
    <row r="407" spans="1:21">
      <c r="A407" t="str">
        <f t="shared" si="190"/>
        <v>22/01/2025</v>
      </c>
      <c r="B407" t="str">
        <f t="shared" si="189"/>
        <v>ENTRADA</v>
      </c>
      <c r="C407" t="str">
        <f t="shared" si="191"/>
        <v>NFSE</v>
      </c>
      <c r="D407" t="str">
        <f t="shared" ref="D407:D412" si="198">"2637"</f>
        <v>2637</v>
      </c>
      <c r="E407" t="str">
        <f t="shared" si="192"/>
        <v>COM</v>
      </c>
      <c r="F407" t="str">
        <f t="shared" ref="F407:F412" si="199">"FARMÁCIA INDIANA LJ 85 (10128)"</f>
        <v>FARMÁCIA INDIANA LJ 85 (10128)</v>
      </c>
      <c r="G407" t="str">
        <f t="shared" ref="G407:G412" si="200">"Serv.Prest. 06/01/2025 a 12/01/2025 - RPS: 411 - NFSe: 2637"</f>
        <v>Serv.Prest. 06/01/2025 a 12/01/2025 - RPS: 411 - NFSe: 2637</v>
      </c>
      <c r="H407" t="str">
        <f t="shared" si="193"/>
        <v>22/01/2025</v>
      </c>
      <c r="I407" t="str">
        <f t="shared" si="194"/>
        <v>13/01/2025</v>
      </c>
      <c r="J407" t="str">
        <f t="shared" si="195"/>
        <v>22/01/2025</v>
      </c>
      <c r="K407">
        <v>711.64</v>
      </c>
      <c r="L407">
        <v>711.64</v>
      </c>
      <c r="M407">
        <v>303</v>
      </c>
      <c r="N407" t="str">
        <f t="shared" si="196"/>
        <v>RECEITAS COM ENTREGAS</v>
      </c>
      <c r="O407">
        <v>711.64</v>
      </c>
      <c r="R407" t="str">
        <f t="shared" si="197"/>
        <v>RECEITAS COM ENTREGAS (303)</v>
      </c>
      <c r="S407">
        <v>891</v>
      </c>
      <c r="T407">
        <v>740</v>
      </c>
      <c r="U407" t="s">
        <v>19</v>
      </c>
    </row>
    <row r="408" spans="1:21">
      <c r="A408" t="str">
        <f t="shared" si="190"/>
        <v>22/01/2025</v>
      </c>
      <c r="B408" t="str">
        <f t="shared" si="189"/>
        <v>ENTRADA</v>
      </c>
      <c r="C408" t="str">
        <f t="shared" si="191"/>
        <v>NFSE</v>
      </c>
      <c r="D408" t="str">
        <f t="shared" si="198"/>
        <v>2637</v>
      </c>
      <c r="E408" t="str">
        <f t="shared" si="192"/>
        <v>COM</v>
      </c>
      <c r="F408" t="str">
        <f t="shared" si="199"/>
        <v>FARMÁCIA INDIANA LJ 85 (10128)</v>
      </c>
      <c r="G408" t="str">
        <f t="shared" si="200"/>
        <v>Serv.Prest. 06/01/2025 a 12/01/2025 - RPS: 411 - NFSe: 2637</v>
      </c>
      <c r="H408" t="str">
        <f t="shared" si="193"/>
        <v>22/01/2025</v>
      </c>
      <c r="I408" t="str">
        <f t="shared" si="194"/>
        <v>13/01/2025</v>
      </c>
      <c r="J408" t="str">
        <f t="shared" si="195"/>
        <v>22/01/2025</v>
      </c>
      <c r="M408">
        <v>303</v>
      </c>
      <c r="N408" t="str">
        <f t="shared" si="196"/>
        <v>RECEITAS COM ENTREGAS</v>
      </c>
      <c r="P408">
        <v>160.19</v>
      </c>
      <c r="Q408" t="str">
        <f>"FARMÁCIA INDIANA LJ 119 (10053)"</f>
        <v>FARMÁCIA INDIANA LJ 119 (10053)</v>
      </c>
      <c r="R408" t="str">
        <f t="shared" si="197"/>
        <v>RECEITAS COM ENTREGAS (303)</v>
      </c>
      <c r="S408">
        <v>891</v>
      </c>
      <c r="T408">
        <v>740</v>
      </c>
      <c r="U408" t="s">
        <v>19</v>
      </c>
    </row>
    <row r="409" spans="1:21">
      <c r="A409" t="str">
        <f t="shared" si="190"/>
        <v>22/01/2025</v>
      </c>
      <c r="B409" t="str">
        <f t="shared" si="189"/>
        <v>ENTRADA</v>
      </c>
      <c r="C409" t="str">
        <f t="shared" si="191"/>
        <v>NFSE</v>
      </c>
      <c r="D409" t="str">
        <f t="shared" si="198"/>
        <v>2637</v>
      </c>
      <c r="E409" t="str">
        <f t="shared" si="192"/>
        <v>COM</v>
      </c>
      <c r="F409" t="str">
        <f t="shared" si="199"/>
        <v>FARMÁCIA INDIANA LJ 85 (10128)</v>
      </c>
      <c r="G409" t="str">
        <f t="shared" si="200"/>
        <v>Serv.Prest. 06/01/2025 a 12/01/2025 - RPS: 411 - NFSe: 2637</v>
      </c>
      <c r="H409" t="str">
        <f t="shared" si="193"/>
        <v>22/01/2025</v>
      </c>
      <c r="I409" t="str">
        <f t="shared" si="194"/>
        <v>13/01/2025</v>
      </c>
      <c r="J409" t="str">
        <f t="shared" si="195"/>
        <v>22/01/2025</v>
      </c>
      <c r="M409">
        <v>303</v>
      </c>
      <c r="N409" t="str">
        <f t="shared" si="196"/>
        <v>RECEITAS COM ENTREGAS</v>
      </c>
      <c r="P409">
        <v>119.98</v>
      </c>
      <c r="Q409" t="str">
        <f>"FARMÁCIA INDIANA LJ 163 (10072)"</f>
        <v>FARMÁCIA INDIANA LJ 163 (10072)</v>
      </c>
      <c r="R409" t="str">
        <f t="shared" si="197"/>
        <v>RECEITAS COM ENTREGAS (303)</v>
      </c>
      <c r="S409">
        <v>891</v>
      </c>
      <c r="T409">
        <v>740</v>
      </c>
      <c r="U409" t="s">
        <v>19</v>
      </c>
    </row>
    <row r="410" spans="1:21">
      <c r="A410" t="str">
        <f t="shared" si="190"/>
        <v>22/01/2025</v>
      </c>
      <c r="B410" t="str">
        <f t="shared" si="189"/>
        <v>ENTRADA</v>
      </c>
      <c r="C410" t="str">
        <f t="shared" si="191"/>
        <v>NFSE</v>
      </c>
      <c r="D410" t="str">
        <f t="shared" si="198"/>
        <v>2637</v>
      </c>
      <c r="E410" t="str">
        <f t="shared" si="192"/>
        <v>COM</v>
      </c>
      <c r="F410" t="str">
        <f t="shared" si="199"/>
        <v>FARMÁCIA INDIANA LJ 85 (10128)</v>
      </c>
      <c r="G410" t="str">
        <f t="shared" si="200"/>
        <v>Serv.Prest. 06/01/2025 a 12/01/2025 - RPS: 411 - NFSe: 2637</v>
      </c>
      <c r="H410" t="str">
        <f t="shared" si="193"/>
        <v>22/01/2025</v>
      </c>
      <c r="I410" t="str">
        <f t="shared" si="194"/>
        <v>13/01/2025</v>
      </c>
      <c r="J410" t="str">
        <f t="shared" si="195"/>
        <v>22/01/2025</v>
      </c>
      <c r="M410">
        <v>303</v>
      </c>
      <c r="N410" t="str">
        <f t="shared" si="196"/>
        <v>RECEITAS COM ENTREGAS</v>
      </c>
      <c r="P410">
        <v>89.17</v>
      </c>
      <c r="Q410" t="str">
        <f>"FARMÁCIA INDIANA LJ 181 (10078)"</f>
        <v>FARMÁCIA INDIANA LJ 181 (10078)</v>
      </c>
      <c r="R410" t="str">
        <f t="shared" si="197"/>
        <v>RECEITAS COM ENTREGAS (303)</v>
      </c>
      <c r="S410">
        <v>891</v>
      </c>
      <c r="T410">
        <v>740</v>
      </c>
      <c r="U410" t="s">
        <v>19</v>
      </c>
    </row>
    <row r="411" spans="1:21">
      <c r="A411" t="str">
        <f t="shared" si="190"/>
        <v>22/01/2025</v>
      </c>
      <c r="B411" t="str">
        <f t="shared" si="189"/>
        <v>ENTRADA</v>
      </c>
      <c r="C411" t="str">
        <f t="shared" si="191"/>
        <v>NFSE</v>
      </c>
      <c r="D411" t="str">
        <f t="shared" si="198"/>
        <v>2637</v>
      </c>
      <c r="E411" t="str">
        <f t="shared" si="192"/>
        <v>COM</v>
      </c>
      <c r="F411" t="str">
        <f t="shared" si="199"/>
        <v>FARMÁCIA INDIANA LJ 85 (10128)</v>
      </c>
      <c r="G411" t="str">
        <f t="shared" si="200"/>
        <v>Serv.Prest. 06/01/2025 a 12/01/2025 - RPS: 411 - NFSe: 2637</v>
      </c>
      <c r="H411" t="str">
        <f t="shared" si="193"/>
        <v>22/01/2025</v>
      </c>
      <c r="I411" t="str">
        <f t="shared" si="194"/>
        <v>13/01/2025</v>
      </c>
      <c r="J411" t="str">
        <f t="shared" si="195"/>
        <v>22/01/2025</v>
      </c>
      <c r="M411">
        <v>303</v>
      </c>
      <c r="N411" t="str">
        <f t="shared" si="196"/>
        <v>RECEITAS COM ENTREGAS</v>
      </c>
      <c r="P411">
        <v>160.19</v>
      </c>
      <c r="Q411" t="str">
        <f>"FARMÁCIA INDIANA LJ 221 (10093)"</f>
        <v>FARMÁCIA INDIANA LJ 221 (10093)</v>
      </c>
      <c r="R411" t="str">
        <f t="shared" si="197"/>
        <v>RECEITAS COM ENTREGAS (303)</v>
      </c>
      <c r="S411">
        <v>891</v>
      </c>
      <c r="T411">
        <v>740</v>
      </c>
      <c r="U411" t="s">
        <v>19</v>
      </c>
    </row>
    <row r="412" spans="1:21">
      <c r="A412" t="str">
        <f t="shared" si="190"/>
        <v>22/01/2025</v>
      </c>
      <c r="B412" t="str">
        <f t="shared" si="189"/>
        <v>ENTRADA</v>
      </c>
      <c r="C412" t="str">
        <f t="shared" si="191"/>
        <v>NFSE</v>
      </c>
      <c r="D412" t="str">
        <f t="shared" si="198"/>
        <v>2637</v>
      </c>
      <c r="E412" t="str">
        <f t="shared" si="192"/>
        <v>COM</v>
      </c>
      <c r="F412" t="str">
        <f t="shared" si="199"/>
        <v>FARMÁCIA INDIANA LJ 85 (10128)</v>
      </c>
      <c r="G412" t="str">
        <f t="shared" si="200"/>
        <v>Serv.Prest. 06/01/2025 a 12/01/2025 - RPS: 411 - NFSe: 2637</v>
      </c>
      <c r="H412" t="str">
        <f t="shared" si="193"/>
        <v>22/01/2025</v>
      </c>
      <c r="I412" t="str">
        <f t="shared" si="194"/>
        <v>13/01/2025</v>
      </c>
      <c r="J412" t="str">
        <f t="shared" si="195"/>
        <v>22/01/2025</v>
      </c>
      <c r="M412">
        <v>303</v>
      </c>
      <c r="N412" t="str">
        <f t="shared" si="196"/>
        <v>RECEITAS COM ENTREGAS</v>
      </c>
      <c r="P412">
        <v>182.11</v>
      </c>
      <c r="Q412" t="str">
        <f>"FARMÁCIA INDIANA LJ 243 (10142)"</f>
        <v>FARMÁCIA INDIANA LJ 243 (10142)</v>
      </c>
      <c r="R412" t="str">
        <f t="shared" si="197"/>
        <v>RECEITAS COM ENTREGAS (303)</v>
      </c>
      <c r="S412">
        <v>891</v>
      </c>
      <c r="T412">
        <v>740</v>
      </c>
      <c r="U412" t="s">
        <v>19</v>
      </c>
    </row>
    <row r="413" spans="1:21">
      <c r="A413" t="str">
        <f t="shared" si="190"/>
        <v>22/01/2025</v>
      </c>
      <c r="B413" t="str">
        <f t="shared" si="189"/>
        <v>ENTRADA</v>
      </c>
      <c r="C413" t="str">
        <f t="shared" si="191"/>
        <v>NFSE</v>
      </c>
      <c r="D413" t="str">
        <f t="shared" ref="D413:D423" si="201">"2638"</f>
        <v>2638</v>
      </c>
      <c r="E413" t="str">
        <f t="shared" si="192"/>
        <v>COM</v>
      </c>
      <c r="F413" t="str">
        <f t="shared" ref="F413:F423" si="202">"FARMÁCIA INDIANA LJ 30 (10127)"</f>
        <v>FARMÁCIA INDIANA LJ 30 (10127)</v>
      </c>
      <c r="G413" t="str">
        <f t="shared" ref="G413:G423" si="203">"Serv.Prest. 06/01/2025 a 12/01/2025 - RPS: 412 - NFSe: 2638"</f>
        <v>Serv.Prest. 06/01/2025 a 12/01/2025 - RPS: 412 - NFSe: 2638</v>
      </c>
      <c r="H413" t="str">
        <f t="shared" si="193"/>
        <v>22/01/2025</v>
      </c>
      <c r="I413" t="str">
        <f t="shared" ref="I413:I423" si="204">("14/01/2025")</f>
        <v>14/01/2025</v>
      </c>
      <c r="J413" t="str">
        <f t="shared" si="195"/>
        <v>22/01/2025</v>
      </c>
      <c r="K413">
        <v>2341.0100000000002</v>
      </c>
      <c r="L413">
        <v>2341.0100000000002</v>
      </c>
      <c r="M413">
        <v>303</v>
      </c>
      <c r="N413" t="str">
        <f t="shared" si="196"/>
        <v>RECEITAS COM ENTREGAS</v>
      </c>
      <c r="O413">
        <v>2341.0100000000002</v>
      </c>
      <c r="R413" t="str">
        <f t="shared" si="197"/>
        <v>RECEITAS COM ENTREGAS (303)</v>
      </c>
      <c r="S413">
        <v>892</v>
      </c>
      <c r="T413">
        <v>741</v>
      </c>
      <c r="U413" t="s">
        <v>19</v>
      </c>
    </row>
    <row r="414" spans="1:21">
      <c r="A414" t="str">
        <f t="shared" si="190"/>
        <v>22/01/2025</v>
      </c>
      <c r="B414" t="str">
        <f t="shared" si="189"/>
        <v>ENTRADA</v>
      </c>
      <c r="C414" t="str">
        <f t="shared" si="191"/>
        <v>NFSE</v>
      </c>
      <c r="D414" t="str">
        <f t="shared" si="201"/>
        <v>2638</v>
      </c>
      <c r="E414" t="str">
        <f t="shared" si="192"/>
        <v>COM</v>
      </c>
      <c r="F414" t="str">
        <f t="shared" si="202"/>
        <v>FARMÁCIA INDIANA LJ 30 (10127)</v>
      </c>
      <c r="G414" t="str">
        <f t="shared" si="203"/>
        <v>Serv.Prest. 06/01/2025 a 12/01/2025 - RPS: 412 - NFSe: 2638</v>
      </c>
      <c r="H414" t="str">
        <f t="shared" si="193"/>
        <v>22/01/2025</v>
      </c>
      <c r="I414" t="str">
        <f t="shared" si="204"/>
        <v>14/01/2025</v>
      </c>
      <c r="J414" t="str">
        <f t="shared" si="195"/>
        <v>22/01/2025</v>
      </c>
      <c r="M414">
        <v>303</v>
      </c>
      <c r="N414" t="str">
        <f t="shared" si="196"/>
        <v>RECEITAS COM ENTREGAS</v>
      </c>
      <c r="P414">
        <v>297.77999999999997</v>
      </c>
      <c r="Q414" t="str">
        <f>"FARMÁCIA INDIANA LJ 34 (10014)"</f>
        <v>FARMÁCIA INDIANA LJ 34 (10014)</v>
      </c>
      <c r="R414" t="str">
        <f t="shared" si="197"/>
        <v>RECEITAS COM ENTREGAS (303)</v>
      </c>
      <c r="S414">
        <v>892</v>
      </c>
      <c r="T414">
        <v>741</v>
      </c>
      <c r="U414" t="s">
        <v>19</v>
      </c>
    </row>
    <row r="415" spans="1:21">
      <c r="A415" t="str">
        <f t="shared" si="190"/>
        <v>22/01/2025</v>
      </c>
      <c r="B415" t="str">
        <f t="shared" si="189"/>
        <v>ENTRADA</v>
      </c>
      <c r="C415" t="str">
        <f t="shared" si="191"/>
        <v>NFSE</v>
      </c>
      <c r="D415" t="str">
        <f t="shared" si="201"/>
        <v>2638</v>
      </c>
      <c r="E415" t="str">
        <f t="shared" si="192"/>
        <v>COM</v>
      </c>
      <c r="F415" t="str">
        <f t="shared" si="202"/>
        <v>FARMÁCIA INDIANA LJ 30 (10127)</v>
      </c>
      <c r="G415" t="str">
        <f t="shared" si="203"/>
        <v>Serv.Prest. 06/01/2025 a 12/01/2025 - RPS: 412 - NFSe: 2638</v>
      </c>
      <c r="H415" t="str">
        <f t="shared" si="193"/>
        <v>22/01/2025</v>
      </c>
      <c r="I415" t="str">
        <f t="shared" si="204"/>
        <v>14/01/2025</v>
      </c>
      <c r="J415" t="str">
        <f t="shared" si="195"/>
        <v>22/01/2025</v>
      </c>
      <c r="M415">
        <v>303</v>
      </c>
      <c r="N415" t="str">
        <f t="shared" si="196"/>
        <v>RECEITAS COM ENTREGAS</v>
      </c>
      <c r="P415">
        <v>235.97</v>
      </c>
      <c r="Q415" t="str">
        <f>"FARMÁCIA INDIANA LJ 35 (10015)"</f>
        <v>FARMÁCIA INDIANA LJ 35 (10015)</v>
      </c>
      <c r="R415" t="str">
        <f t="shared" si="197"/>
        <v>RECEITAS COM ENTREGAS (303)</v>
      </c>
      <c r="S415">
        <v>892</v>
      </c>
      <c r="T415">
        <v>741</v>
      </c>
      <c r="U415" t="s">
        <v>19</v>
      </c>
    </row>
    <row r="416" spans="1:21">
      <c r="A416" t="str">
        <f t="shared" si="190"/>
        <v>22/01/2025</v>
      </c>
      <c r="B416" t="str">
        <f t="shared" si="189"/>
        <v>ENTRADA</v>
      </c>
      <c r="C416" t="str">
        <f t="shared" si="191"/>
        <v>NFSE</v>
      </c>
      <c r="D416" t="str">
        <f t="shared" si="201"/>
        <v>2638</v>
      </c>
      <c r="E416" t="str">
        <f t="shared" si="192"/>
        <v>COM</v>
      </c>
      <c r="F416" t="str">
        <f t="shared" si="202"/>
        <v>FARMÁCIA INDIANA LJ 30 (10127)</v>
      </c>
      <c r="G416" t="str">
        <f t="shared" si="203"/>
        <v>Serv.Prest. 06/01/2025 a 12/01/2025 - RPS: 412 - NFSe: 2638</v>
      </c>
      <c r="H416" t="str">
        <f t="shared" si="193"/>
        <v>22/01/2025</v>
      </c>
      <c r="I416" t="str">
        <f t="shared" si="204"/>
        <v>14/01/2025</v>
      </c>
      <c r="J416" t="str">
        <f t="shared" si="195"/>
        <v>22/01/2025</v>
      </c>
      <c r="M416">
        <v>303</v>
      </c>
      <c r="N416" t="str">
        <f t="shared" si="196"/>
        <v>RECEITAS COM ENTREGAS</v>
      </c>
      <c r="P416">
        <v>299.88</v>
      </c>
      <c r="Q416" t="str">
        <f>"FARMÁCIA INDIANA LJ 48 (10018)"</f>
        <v>FARMÁCIA INDIANA LJ 48 (10018)</v>
      </c>
      <c r="R416" t="str">
        <f t="shared" si="197"/>
        <v>RECEITAS COM ENTREGAS (303)</v>
      </c>
      <c r="S416">
        <v>892</v>
      </c>
      <c r="T416">
        <v>741</v>
      </c>
      <c r="U416" t="s">
        <v>19</v>
      </c>
    </row>
    <row r="417" spans="1:21">
      <c r="A417" t="str">
        <f t="shared" si="190"/>
        <v>22/01/2025</v>
      </c>
      <c r="B417" t="str">
        <f t="shared" si="189"/>
        <v>ENTRADA</v>
      </c>
      <c r="C417" t="str">
        <f t="shared" si="191"/>
        <v>NFSE</v>
      </c>
      <c r="D417" t="str">
        <f t="shared" si="201"/>
        <v>2638</v>
      </c>
      <c r="E417" t="str">
        <f t="shared" si="192"/>
        <v>COM</v>
      </c>
      <c r="F417" t="str">
        <f t="shared" si="202"/>
        <v>FARMÁCIA INDIANA LJ 30 (10127)</v>
      </c>
      <c r="G417" t="str">
        <f t="shared" si="203"/>
        <v>Serv.Prest. 06/01/2025 a 12/01/2025 - RPS: 412 - NFSe: 2638</v>
      </c>
      <c r="H417" t="str">
        <f t="shared" si="193"/>
        <v>22/01/2025</v>
      </c>
      <c r="I417" t="str">
        <f t="shared" si="204"/>
        <v>14/01/2025</v>
      </c>
      <c r="J417" t="str">
        <f t="shared" si="195"/>
        <v>22/01/2025</v>
      </c>
      <c r="M417">
        <v>303</v>
      </c>
      <c r="N417" t="str">
        <f t="shared" si="196"/>
        <v>RECEITAS COM ENTREGAS</v>
      </c>
      <c r="P417">
        <v>320.02</v>
      </c>
      <c r="Q417" t="str">
        <f>"FARMÁCIA INDIANA LJ 65 (10030)"</f>
        <v>FARMÁCIA INDIANA LJ 65 (10030)</v>
      </c>
      <c r="R417" t="str">
        <f t="shared" si="197"/>
        <v>RECEITAS COM ENTREGAS (303)</v>
      </c>
      <c r="S417">
        <v>892</v>
      </c>
      <c r="T417">
        <v>741</v>
      </c>
      <c r="U417" t="s">
        <v>19</v>
      </c>
    </row>
    <row r="418" spans="1:21">
      <c r="A418" t="str">
        <f t="shared" si="190"/>
        <v>22/01/2025</v>
      </c>
      <c r="B418" t="str">
        <f t="shared" si="189"/>
        <v>ENTRADA</v>
      </c>
      <c r="C418" t="str">
        <f t="shared" si="191"/>
        <v>NFSE</v>
      </c>
      <c r="D418" t="str">
        <f t="shared" si="201"/>
        <v>2638</v>
      </c>
      <c r="E418" t="str">
        <f t="shared" si="192"/>
        <v>COM</v>
      </c>
      <c r="F418" t="str">
        <f t="shared" si="202"/>
        <v>FARMÁCIA INDIANA LJ 30 (10127)</v>
      </c>
      <c r="G418" t="str">
        <f t="shared" si="203"/>
        <v>Serv.Prest. 06/01/2025 a 12/01/2025 - RPS: 412 - NFSe: 2638</v>
      </c>
      <c r="H418" t="str">
        <f t="shared" si="193"/>
        <v>22/01/2025</v>
      </c>
      <c r="I418" t="str">
        <f t="shared" si="204"/>
        <v>14/01/2025</v>
      </c>
      <c r="J418" t="str">
        <f t="shared" si="195"/>
        <v>22/01/2025</v>
      </c>
      <c r="M418">
        <v>303</v>
      </c>
      <c r="N418" t="str">
        <f t="shared" si="196"/>
        <v>RECEITAS COM ENTREGAS</v>
      </c>
      <c r="P418">
        <v>164.57</v>
      </c>
      <c r="Q418" t="str">
        <f>"FARMÁCIA INDIANA LJ 77 (10034)"</f>
        <v>FARMÁCIA INDIANA LJ 77 (10034)</v>
      </c>
      <c r="R418" t="str">
        <f t="shared" si="197"/>
        <v>RECEITAS COM ENTREGAS (303)</v>
      </c>
      <c r="S418">
        <v>892</v>
      </c>
      <c r="T418">
        <v>741</v>
      </c>
      <c r="U418" t="s">
        <v>19</v>
      </c>
    </row>
    <row r="419" spans="1:21">
      <c r="A419" t="str">
        <f t="shared" si="190"/>
        <v>22/01/2025</v>
      </c>
      <c r="B419" t="str">
        <f t="shared" si="189"/>
        <v>ENTRADA</v>
      </c>
      <c r="C419" t="str">
        <f t="shared" si="191"/>
        <v>NFSE</v>
      </c>
      <c r="D419" t="str">
        <f t="shared" si="201"/>
        <v>2638</v>
      </c>
      <c r="E419" t="str">
        <f t="shared" si="192"/>
        <v>COM</v>
      </c>
      <c r="F419" t="str">
        <f t="shared" si="202"/>
        <v>FARMÁCIA INDIANA LJ 30 (10127)</v>
      </c>
      <c r="G419" t="str">
        <f t="shared" si="203"/>
        <v>Serv.Prest. 06/01/2025 a 12/01/2025 - RPS: 412 - NFSe: 2638</v>
      </c>
      <c r="H419" t="str">
        <f t="shared" si="193"/>
        <v>22/01/2025</v>
      </c>
      <c r="I419" t="str">
        <f t="shared" si="204"/>
        <v>14/01/2025</v>
      </c>
      <c r="J419" t="str">
        <f t="shared" si="195"/>
        <v>22/01/2025</v>
      </c>
      <c r="M419">
        <v>303</v>
      </c>
      <c r="N419" t="str">
        <f t="shared" si="196"/>
        <v>RECEITAS COM ENTREGAS</v>
      </c>
      <c r="P419">
        <v>180.02</v>
      </c>
      <c r="Q419" t="str">
        <f>"FARMÁCIA INDIANA LJ 91 (10037)"</f>
        <v>FARMÁCIA INDIANA LJ 91 (10037)</v>
      </c>
      <c r="R419" t="str">
        <f t="shared" si="197"/>
        <v>RECEITAS COM ENTREGAS (303)</v>
      </c>
      <c r="S419">
        <v>892</v>
      </c>
      <c r="T419">
        <v>741</v>
      </c>
      <c r="U419" t="s">
        <v>19</v>
      </c>
    </row>
    <row r="420" spans="1:21">
      <c r="A420" t="str">
        <f t="shared" si="190"/>
        <v>22/01/2025</v>
      </c>
      <c r="B420" t="str">
        <f t="shared" si="189"/>
        <v>ENTRADA</v>
      </c>
      <c r="C420" t="str">
        <f t="shared" si="191"/>
        <v>NFSE</v>
      </c>
      <c r="D420" t="str">
        <f t="shared" si="201"/>
        <v>2638</v>
      </c>
      <c r="E420" t="str">
        <f t="shared" si="192"/>
        <v>COM</v>
      </c>
      <c r="F420" t="str">
        <f t="shared" si="202"/>
        <v>FARMÁCIA INDIANA LJ 30 (10127)</v>
      </c>
      <c r="G420" t="str">
        <f t="shared" si="203"/>
        <v>Serv.Prest. 06/01/2025 a 12/01/2025 - RPS: 412 - NFSe: 2638</v>
      </c>
      <c r="H420" t="str">
        <f t="shared" si="193"/>
        <v>22/01/2025</v>
      </c>
      <c r="I420" t="str">
        <f t="shared" si="204"/>
        <v>14/01/2025</v>
      </c>
      <c r="J420" t="str">
        <f t="shared" si="195"/>
        <v>22/01/2025</v>
      </c>
      <c r="M420">
        <v>303</v>
      </c>
      <c r="N420" t="str">
        <f t="shared" si="196"/>
        <v>RECEITAS COM ENTREGAS</v>
      </c>
      <c r="P420">
        <v>428.17</v>
      </c>
      <c r="Q420" t="str">
        <f>"FARMÁCIA INDIANA LJ 95 (10039)"</f>
        <v>FARMÁCIA INDIANA LJ 95 (10039)</v>
      </c>
      <c r="R420" t="str">
        <f t="shared" si="197"/>
        <v>RECEITAS COM ENTREGAS (303)</v>
      </c>
      <c r="S420">
        <v>892</v>
      </c>
      <c r="T420">
        <v>741</v>
      </c>
      <c r="U420" t="s">
        <v>19</v>
      </c>
    </row>
    <row r="421" spans="1:21">
      <c r="A421" t="str">
        <f t="shared" si="190"/>
        <v>22/01/2025</v>
      </c>
      <c r="B421" t="str">
        <f t="shared" si="189"/>
        <v>ENTRADA</v>
      </c>
      <c r="C421" t="str">
        <f t="shared" si="191"/>
        <v>NFSE</v>
      </c>
      <c r="D421" t="str">
        <f t="shared" si="201"/>
        <v>2638</v>
      </c>
      <c r="E421" t="str">
        <f t="shared" si="192"/>
        <v>COM</v>
      </c>
      <c r="F421" t="str">
        <f t="shared" si="202"/>
        <v>FARMÁCIA INDIANA LJ 30 (10127)</v>
      </c>
      <c r="G421" t="str">
        <f t="shared" si="203"/>
        <v>Serv.Prest. 06/01/2025 a 12/01/2025 - RPS: 412 - NFSe: 2638</v>
      </c>
      <c r="H421" t="str">
        <f t="shared" si="193"/>
        <v>22/01/2025</v>
      </c>
      <c r="I421" t="str">
        <f t="shared" si="204"/>
        <v>14/01/2025</v>
      </c>
      <c r="J421" t="str">
        <f t="shared" si="195"/>
        <v>22/01/2025</v>
      </c>
      <c r="M421">
        <v>303</v>
      </c>
      <c r="N421" t="str">
        <f t="shared" si="196"/>
        <v>RECEITAS COM ENTREGAS</v>
      </c>
      <c r="P421">
        <v>159.88999999999999</v>
      </c>
      <c r="Q421" t="str">
        <f>"FARMÁCIA INDIANA LJ 145 (10068)"</f>
        <v>FARMÁCIA INDIANA LJ 145 (10068)</v>
      </c>
      <c r="R421" t="str">
        <f t="shared" si="197"/>
        <v>RECEITAS COM ENTREGAS (303)</v>
      </c>
      <c r="S421">
        <v>892</v>
      </c>
      <c r="T421">
        <v>741</v>
      </c>
      <c r="U421" t="s">
        <v>19</v>
      </c>
    </row>
    <row r="422" spans="1:21">
      <c r="A422" t="str">
        <f t="shared" si="190"/>
        <v>22/01/2025</v>
      </c>
      <c r="B422" t="str">
        <f t="shared" si="189"/>
        <v>ENTRADA</v>
      </c>
      <c r="C422" t="str">
        <f t="shared" si="191"/>
        <v>NFSE</v>
      </c>
      <c r="D422" t="str">
        <f t="shared" si="201"/>
        <v>2638</v>
      </c>
      <c r="E422" t="str">
        <f t="shared" si="192"/>
        <v>COM</v>
      </c>
      <c r="F422" t="str">
        <f t="shared" si="202"/>
        <v>FARMÁCIA INDIANA LJ 30 (10127)</v>
      </c>
      <c r="G422" t="str">
        <f t="shared" si="203"/>
        <v>Serv.Prest. 06/01/2025 a 12/01/2025 - RPS: 412 - NFSe: 2638</v>
      </c>
      <c r="H422" t="str">
        <f t="shared" si="193"/>
        <v>22/01/2025</v>
      </c>
      <c r="I422" t="str">
        <f t="shared" si="204"/>
        <v>14/01/2025</v>
      </c>
      <c r="J422" t="str">
        <f t="shared" si="195"/>
        <v>22/01/2025</v>
      </c>
      <c r="M422">
        <v>303</v>
      </c>
      <c r="N422" t="str">
        <f t="shared" si="196"/>
        <v>RECEITAS COM ENTREGAS</v>
      </c>
      <c r="P422">
        <v>94.58</v>
      </c>
      <c r="Q422" t="str">
        <f>"FARMÁCIA INDIANA LJ 169 (10073)"</f>
        <v>FARMÁCIA INDIANA LJ 169 (10073)</v>
      </c>
      <c r="R422" t="str">
        <f t="shared" si="197"/>
        <v>RECEITAS COM ENTREGAS (303)</v>
      </c>
      <c r="S422">
        <v>892</v>
      </c>
      <c r="T422">
        <v>741</v>
      </c>
      <c r="U422" t="s">
        <v>19</v>
      </c>
    </row>
    <row r="423" spans="1:21">
      <c r="A423" t="str">
        <f t="shared" si="190"/>
        <v>22/01/2025</v>
      </c>
      <c r="B423" t="str">
        <f t="shared" si="189"/>
        <v>ENTRADA</v>
      </c>
      <c r="C423" t="str">
        <f t="shared" si="191"/>
        <v>NFSE</v>
      </c>
      <c r="D423" t="str">
        <f t="shared" si="201"/>
        <v>2638</v>
      </c>
      <c r="E423" t="str">
        <f t="shared" si="192"/>
        <v>COM</v>
      </c>
      <c r="F423" t="str">
        <f t="shared" si="202"/>
        <v>FARMÁCIA INDIANA LJ 30 (10127)</v>
      </c>
      <c r="G423" t="str">
        <f t="shared" si="203"/>
        <v>Serv.Prest. 06/01/2025 a 12/01/2025 - RPS: 412 - NFSe: 2638</v>
      </c>
      <c r="H423" t="str">
        <f t="shared" si="193"/>
        <v>22/01/2025</v>
      </c>
      <c r="I423" t="str">
        <f t="shared" si="204"/>
        <v>14/01/2025</v>
      </c>
      <c r="J423" t="str">
        <f t="shared" si="195"/>
        <v>22/01/2025</v>
      </c>
      <c r="M423">
        <v>303</v>
      </c>
      <c r="N423" t="str">
        <f t="shared" si="196"/>
        <v>RECEITAS COM ENTREGAS</v>
      </c>
      <c r="P423">
        <v>160.13</v>
      </c>
      <c r="Q423" t="str">
        <f>"FARMÁCIA INDIANA LJ 173 (10075)"</f>
        <v>FARMÁCIA INDIANA LJ 173 (10075)</v>
      </c>
      <c r="R423" t="str">
        <f t="shared" si="197"/>
        <v>RECEITAS COM ENTREGAS (303)</v>
      </c>
      <c r="S423">
        <v>892</v>
      </c>
      <c r="T423">
        <v>741</v>
      </c>
      <c r="U423" t="s">
        <v>19</v>
      </c>
    </row>
    <row r="424" spans="1:21">
      <c r="A424" t="str">
        <f t="shared" si="190"/>
        <v>22/01/2025</v>
      </c>
      <c r="B424" t="str">
        <f t="shared" si="189"/>
        <v>ENTRADA</v>
      </c>
      <c r="C424" t="str">
        <f t="shared" si="191"/>
        <v>NFSE</v>
      </c>
      <c r="D424" t="str">
        <f>"2651"</f>
        <v>2651</v>
      </c>
      <c r="E424" t="str">
        <f t="shared" si="192"/>
        <v>COM</v>
      </c>
      <c r="F424" t="str">
        <f>"DROGA CINTIA 2 (10144)"</f>
        <v>DROGA CINTIA 2 (10144)</v>
      </c>
      <c r="G424" t="str">
        <f>"Serv.Prest. 13/01/2025 a 19/01/2025 - RPS: 425 - NFSe: 2651"</f>
        <v>Serv.Prest. 13/01/2025 a 19/01/2025 - RPS: 425 - NFSe: 2651</v>
      </c>
      <c r="H424" t="str">
        <f t="shared" si="193"/>
        <v>22/01/2025</v>
      </c>
      <c r="I424" t="str">
        <f t="shared" ref="I424:I437" si="205">("20/01/2025")</f>
        <v>20/01/2025</v>
      </c>
      <c r="J424" t="str">
        <f t="shared" si="195"/>
        <v>22/01/2025</v>
      </c>
      <c r="K424">
        <v>410.72</v>
      </c>
      <c r="L424">
        <v>410.72</v>
      </c>
      <c r="M424">
        <v>303</v>
      </c>
      <c r="N424" t="str">
        <f t="shared" si="196"/>
        <v>RECEITAS COM ENTREGAS</v>
      </c>
      <c r="O424">
        <v>410.72</v>
      </c>
      <c r="R424" t="str">
        <f t="shared" si="197"/>
        <v>RECEITAS COM ENTREGAS (303)</v>
      </c>
      <c r="S424">
        <v>893</v>
      </c>
      <c r="T424">
        <v>771</v>
      </c>
      <c r="U424" t="s">
        <v>19</v>
      </c>
    </row>
    <row r="425" spans="1:21">
      <c r="A425" t="str">
        <f t="shared" ref="A425:A443" si="206">("22/01/2025")</f>
        <v>22/01/2025</v>
      </c>
      <c r="B425" t="str">
        <f t="shared" si="189"/>
        <v>ENTRADA</v>
      </c>
      <c r="C425" t="str">
        <f t="shared" ref="C425:C437" si="207">"NFSE"</f>
        <v>NFSE</v>
      </c>
      <c r="D425" t="str">
        <f>"2651"</f>
        <v>2651</v>
      </c>
      <c r="E425" t="str">
        <f t="shared" ref="E425:E437" si="208">"COM"</f>
        <v>COM</v>
      </c>
      <c r="F425" t="str">
        <f>"DROGA CINTIA 2 (10144)"</f>
        <v>DROGA CINTIA 2 (10144)</v>
      </c>
      <c r="G425" t="str">
        <f>"Serv.Prest. 13/01/2025 a 19/01/2025 - RPS: 425 - NFSe: 2651"</f>
        <v>Serv.Prest. 13/01/2025 a 19/01/2025 - RPS: 425 - NFSe: 2651</v>
      </c>
      <c r="H425" t="str">
        <f t="shared" ref="H425:H447" si="209">("22/01/2025")</f>
        <v>22/01/2025</v>
      </c>
      <c r="I425" t="str">
        <f t="shared" si="205"/>
        <v>20/01/2025</v>
      </c>
      <c r="J425" t="str">
        <f t="shared" ref="J425:J443" si="210">("22/01/2025")</f>
        <v>22/01/2025</v>
      </c>
      <c r="M425">
        <v>303</v>
      </c>
      <c r="N425" t="str">
        <f t="shared" ref="N425:N437" si="211">"RECEITAS COM ENTREGAS"</f>
        <v>RECEITAS COM ENTREGAS</v>
      </c>
      <c r="P425">
        <v>410.72</v>
      </c>
      <c r="Q425" t="str">
        <f>"DROGA CINTIA 2 (10144)"</f>
        <v>DROGA CINTIA 2 (10144)</v>
      </c>
      <c r="R425" t="str">
        <f t="shared" ref="R425:R437" si="212">"RECEITAS COM ENTREGAS (303)"</f>
        <v>RECEITAS COM ENTREGAS (303)</v>
      </c>
      <c r="S425">
        <v>893</v>
      </c>
      <c r="T425">
        <v>771</v>
      </c>
      <c r="U425" t="s">
        <v>19</v>
      </c>
    </row>
    <row r="426" spans="1:21">
      <c r="A426" t="str">
        <f t="shared" si="206"/>
        <v>22/01/2025</v>
      </c>
      <c r="B426" t="str">
        <f t="shared" ref="B426:B437" si="213">"ENTRADA"</f>
        <v>ENTRADA</v>
      </c>
      <c r="C426" t="str">
        <f t="shared" si="207"/>
        <v>NFSE</v>
      </c>
      <c r="D426" t="str">
        <f>"2639"</f>
        <v>2639</v>
      </c>
      <c r="E426" t="str">
        <f t="shared" si="208"/>
        <v>COM</v>
      </c>
      <c r="F426" t="str">
        <f>"DELTA LOJA 2 (10123)"</f>
        <v>DELTA LOJA 2 (10123)</v>
      </c>
      <c r="G426" t="str">
        <f>"Serv.Prest. 13/01/2025 a 19/01/2025 - RPS: 413 - NFSe: 2639"</f>
        <v>Serv.Prest. 13/01/2025 a 19/01/2025 - RPS: 413 - NFSe: 2639</v>
      </c>
      <c r="H426" t="str">
        <f t="shared" si="209"/>
        <v>22/01/2025</v>
      </c>
      <c r="I426" t="str">
        <f t="shared" si="205"/>
        <v>20/01/2025</v>
      </c>
      <c r="J426" t="str">
        <f t="shared" si="210"/>
        <v>22/01/2025</v>
      </c>
      <c r="K426">
        <v>487.2</v>
      </c>
      <c r="L426">
        <v>487.2</v>
      </c>
      <c r="M426">
        <v>303</v>
      </c>
      <c r="N426" t="str">
        <f t="shared" si="211"/>
        <v>RECEITAS COM ENTREGAS</v>
      </c>
      <c r="O426">
        <v>487.2</v>
      </c>
      <c r="R426" t="str">
        <f t="shared" si="212"/>
        <v>RECEITAS COM ENTREGAS (303)</v>
      </c>
      <c r="S426">
        <v>894</v>
      </c>
      <c r="T426">
        <v>759</v>
      </c>
      <c r="U426" t="s">
        <v>19</v>
      </c>
    </row>
    <row r="427" spans="1:21">
      <c r="A427" t="str">
        <f t="shared" si="206"/>
        <v>22/01/2025</v>
      </c>
      <c r="B427" t="str">
        <f t="shared" si="213"/>
        <v>ENTRADA</v>
      </c>
      <c r="C427" t="str">
        <f t="shared" si="207"/>
        <v>NFSE</v>
      </c>
      <c r="D427" t="str">
        <f>"2639"</f>
        <v>2639</v>
      </c>
      <c r="E427" t="str">
        <f t="shared" si="208"/>
        <v>COM</v>
      </c>
      <c r="F427" t="str">
        <f>"DELTA LOJA 2 (10123)"</f>
        <v>DELTA LOJA 2 (10123)</v>
      </c>
      <c r="G427" t="str">
        <f>"Serv.Prest. 13/01/2025 a 19/01/2025 - RPS: 413 - NFSe: 2639"</f>
        <v>Serv.Prest. 13/01/2025 a 19/01/2025 - RPS: 413 - NFSe: 2639</v>
      </c>
      <c r="H427" t="str">
        <f t="shared" si="209"/>
        <v>22/01/2025</v>
      </c>
      <c r="I427" t="str">
        <f t="shared" si="205"/>
        <v>20/01/2025</v>
      </c>
      <c r="J427" t="str">
        <f t="shared" si="210"/>
        <v>22/01/2025</v>
      </c>
      <c r="M427">
        <v>303</v>
      </c>
      <c r="N427" t="str">
        <f t="shared" si="211"/>
        <v>RECEITAS COM ENTREGAS</v>
      </c>
      <c r="P427">
        <v>487.2</v>
      </c>
      <c r="Q427" t="str">
        <f>"DELTA LOJA 2 (10123)"</f>
        <v>DELTA LOJA 2 (10123)</v>
      </c>
      <c r="R427" t="str">
        <f t="shared" si="212"/>
        <v>RECEITAS COM ENTREGAS (303)</v>
      </c>
      <c r="S427">
        <v>894</v>
      </c>
      <c r="T427">
        <v>759</v>
      </c>
      <c r="U427" t="s">
        <v>19</v>
      </c>
    </row>
    <row r="428" spans="1:21">
      <c r="A428" t="str">
        <f t="shared" si="206"/>
        <v>22/01/2025</v>
      </c>
      <c r="B428" t="str">
        <f t="shared" si="213"/>
        <v>ENTRADA</v>
      </c>
      <c r="C428" t="str">
        <f t="shared" si="207"/>
        <v>NFSE</v>
      </c>
      <c r="D428" t="str">
        <f>"2642"</f>
        <v>2642</v>
      </c>
      <c r="E428" t="str">
        <f t="shared" si="208"/>
        <v>COM</v>
      </c>
      <c r="F428" t="str">
        <f>"FARMACIA CRISTAL (10125)"</f>
        <v>FARMACIA CRISTAL (10125)</v>
      </c>
      <c r="G428" t="str">
        <f>"Serv.Prest. 13/01/2025 a 19/01/2025 - RPS: 416 - NFSe: 2642"</f>
        <v>Serv.Prest. 13/01/2025 a 19/01/2025 - RPS: 416 - NFSe: 2642</v>
      </c>
      <c r="H428" t="str">
        <f t="shared" si="209"/>
        <v>22/01/2025</v>
      </c>
      <c r="I428" t="str">
        <f t="shared" si="205"/>
        <v>20/01/2025</v>
      </c>
      <c r="J428" t="str">
        <f t="shared" si="210"/>
        <v>22/01/2025</v>
      </c>
      <c r="K428">
        <v>256.26</v>
      </c>
      <c r="L428">
        <v>256.26</v>
      </c>
      <c r="M428">
        <v>303</v>
      </c>
      <c r="N428" t="str">
        <f t="shared" si="211"/>
        <v>RECEITAS COM ENTREGAS</v>
      </c>
      <c r="O428">
        <v>256.26</v>
      </c>
      <c r="R428" t="str">
        <f t="shared" si="212"/>
        <v>RECEITAS COM ENTREGAS (303)</v>
      </c>
      <c r="S428">
        <v>895</v>
      </c>
      <c r="T428">
        <v>762</v>
      </c>
      <c r="U428" t="s">
        <v>19</v>
      </c>
    </row>
    <row r="429" spans="1:21">
      <c r="A429" t="str">
        <f t="shared" si="206"/>
        <v>22/01/2025</v>
      </c>
      <c r="B429" t="str">
        <f t="shared" si="213"/>
        <v>ENTRADA</v>
      </c>
      <c r="C429" t="str">
        <f t="shared" si="207"/>
        <v>NFSE</v>
      </c>
      <c r="D429" t="str">
        <f>"2642"</f>
        <v>2642</v>
      </c>
      <c r="E429" t="str">
        <f t="shared" si="208"/>
        <v>COM</v>
      </c>
      <c r="F429" t="str">
        <f>"FARMACIA CRISTAL (10125)"</f>
        <v>FARMACIA CRISTAL (10125)</v>
      </c>
      <c r="G429" t="str">
        <f>"Serv.Prest. 13/01/2025 a 19/01/2025 - RPS: 416 - NFSe: 2642"</f>
        <v>Serv.Prest. 13/01/2025 a 19/01/2025 - RPS: 416 - NFSe: 2642</v>
      </c>
      <c r="H429" t="str">
        <f t="shared" si="209"/>
        <v>22/01/2025</v>
      </c>
      <c r="I429" t="str">
        <f t="shared" si="205"/>
        <v>20/01/2025</v>
      </c>
      <c r="J429" t="str">
        <f t="shared" si="210"/>
        <v>22/01/2025</v>
      </c>
      <c r="M429">
        <v>303</v>
      </c>
      <c r="N429" t="str">
        <f t="shared" si="211"/>
        <v>RECEITAS COM ENTREGAS</v>
      </c>
      <c r="P429">
        <v>256.26</v>
      </c>
      <c r="Q429" t="str">
        <f>"FARMACIA CRISTAL (10125)"</f>
        <v>FARMACIA CRISTAL (10125)</v>
      </c>
      <c r="R429" t="str">
        <f t="shared" si="212"/>
        <v>RECEITAS COM ENTREGAS (303)</v>
      </c>
      <c r="S429">
        <v>895</v>
      </c>
      <c r="T429">
        <v>762</v>
      </c>
      <c r="U429" t="s">
        <v>19</v>
      </c>
    </row>
    <row r="430" spans="1:21">
      <c r="A430" t="str">
        <f t="shared" si="206"/>
        <v>22/01/2025</v>
      </c>
      <c r="B430" t="str">
        <f t="shared" si="213"/>
        <v>ENTRADA</v>
      </c>
      <c r="C430" t="str">
        <f t="shared" si="207"/>
        <v>NFSE</v>
      </c>
      <c r="D430" t="str">
        <f>"2643"</f>
        <v>2643</v>
      </c>
      <c r="E430" t="str">
        <f t="shared" si="208"/>
        <v>COM</v>
      </c>
      <c r="F430" t="str">
        <f>"FRAN FARMA (10124)"</f>
        <v>FRAN FARMA (10124)</v>
      </c>
      <c r="G430" t="str">
        <f>"Serv.Prest. 13/01/2025 a 19/01/2025 - RPS: 417 - NFSe: 2643"</f>
        <v>Serv.Prest. 13/01/2025 a 19/01/2025 - RPS: 417 - NFSe: 2643</v>
      </c>
      <c r="H430" t="str">
        <f t="shared" si="209"/>
        <v>22/01/2025</v>
      </c>
      <c r="I430" t="str">
        <f t="shared" si="205"/>
        <v>20/01/2025</v>
      </c>
      <c r="J430" t="str">
        <f t="shared" si="210"/>
        <v>22/01/2025</v>
      </c>
      <c r="K430">
        <v>320</v>
      </c>
      <c r="L430">
        <v>320</v>
      </c>
      <c r="M430">
        <v>303</v>
      </c>
      <c r="N430" t="str">
        <f t="shared" si="211"/>
        <v>RECEITAS COM ENTREGAS</v>
      </c>
      <c r="O430">
        <v>320</v>
      </c>
      <c r="R430" t="str">
        <f t="shared" si="212"/>
        <v>RECEITAS COM ENTREGAS (303)</v>
      </c>
      <c r="S430">
        <v>896</v>
      </c>
      <c r="T430">
        <v>763</v>
      </c>
      <c r="U430" t="s">
        <v>19</v>
      </c>
    </row>
    <row r="431" spans="1:21">
      <c r="A431" t="str">
        <f t="shared" si="206"/>
        <v>22/01/2025</v>
      </c>
      <c r="B431" t="str">
        <f t="shared" si="213"/>
        <v>ENTRADA</v>
      </c>
      <c r="C431" t="str">
        <f t="shared" si="207"/>
        <v>NFSE</v>
      </c>
      <c r="D431" t="str">
        <f>"2643"</f>
        <v>2643</v>
      </c>
      <c r="E431" t="str">
        <f t="shared" si="208"/>
        <v>COM</v>
      </c>
      <c r="F431" t="str">
        <f>"FRAN FARMA (10124)"</f>
        <v>FRAN FARMA (10124)</v>
      </c>
      <c r="G431" t="str">
        <f>"Serv.Prest. 13/01/2025 a 19/01/2025 - RPS: 417 - NFSe: 2643"</f>
        <v>Serv.Prest. 13/01/2025 a 19/01/2025 - RPS: 417 - NFSe: 2643</v>
      </c>
      <c r="H431" t="str">
        <f t="shared" si="209"/>
        <v>22/01/2025</v>
      </c>
      <c r="I431" t="str">
        <f t="shared" si="205"/>
        <v>20/01/2025</v>
      </c>
      <c r="J431" t="str">
        <f t="shared" si="210"/>
        <v>22/01/2025</v>
      </c>
      <c r="M431">
        <v>303</v>
      </c>
      <c r="N431" t="str">
        <f t="shared" si="211"/>
        <v>RECEITAS COM ENTREGAS</v>
      </c>
      <c r="P431">
        <v>64</v>
      </c>
      <c r="Q431" t="str">
        <f>"FRAN FARMA (10124)"</f>
        <v>FRAN FARMA (10124)</v>
      </c>
      <c r="R431" t="str">
        <f t="shared" si="212"/>
        <v>RECEITAS COM ENTREGAS (303)</v>
      </c>
      <c r="S431">
        <v>896</v>
      </c>
      <c r="T431">
        <v>763</v>
      </c>
      <c r="U431" t="s">
        <v>19</v>
      </c>
    </row>
    <row r="432" spans="1:21">
      <c r="A432" t="str">
        <f t="shared" si="206"/>
        <v>22/01/2025</v>
      </c>
      <c r="B432" t="str">
        <f t="shared" si="213"/>
        <v>ENTRADA</v>
      </c>
      <c r="C432" t="str">
        <f t="shared" si="207"/>
        <v>NFSE</v>
      </c>
      <c r="D432" t="str">
        <f>"2643"</f>
        <v>2643</v>
      </c>
      <c r="E432" t="str">
        <f t="shared" si="208"/>
        <v>COM</v>
      </c>
      <c r="F432" t="str">
        <f>"FRAN FARMA (10124)"</f>
        <v>FRAN FARMA (10124)</v>
      </c>
      <c r="G432" t="str">
        <f>"Serv.Prest. 13/01/2025 a 19/01/2025 - RPS: 417 - NFSe: 2643"</f>
        <v>Serv.Prest. 13/01/2025 a 19/01/2025 - RPS: 417 - NFSe: 2643</v>
      </c>
      <c r="H432" t="str">
        <f t="shared" si="209"/>
        <v>22/01/2025</v>
      </c>
      <c r="I432" t="str">
        <f t="shared" si="205"/>
        <v>20/01/2025</v>
      </c>
      <c r="J432" t="str">
        <f t="shared" si="210"/>
        <v>22/01/2025</v>
      </c>
      <c r="M432">
        <v>303</v>
      </c>
      <c r="N432" t="str">
        <f t="shared" si="211"/>
        <v>RECEITAS COM ENTREGAS</v>
      </c>
      <c r="P432">
        <v>192</v>
      </c>
      <c r="Q432" t="str">
        <f>"FRAN FARMA LJ 2 (10131)"</f>
        <v>FRAN FARMA LJ 2 (10131)</v>
      </c>
      <c r="R432" t="str">
        <f t="shared" si="212"/>
        <v>RECEITAS COM ENTREGAS (303)</v>
      </c>
      <c r="S432">
        <v>896</v>
      </c>
      <c r="T432">
        <v>763</v>
      </c>
      <c r="U432" t="s">
        <v>19</v>
      </c>
    </row>
    <row r="433" spans="1:21">
      <c r="A433" t="str">
        <f t="shared" si="206"/>
        <v>22/01/2025</v>
      </c>
      <c r="B433" t="str">
        <f t="shared" si="213"/>
        <v>ENTRADA</v>
      </c>
      <c r="C433" t="str">
        <f t="shared" si="207"/>
        <v>NFSE</v>
      </c>
      <c r="D433" t="str">
        <f>"2643"</f>
        <v>2643</v>
      </c>
      <c r="E433" t="str">
        <f t="shared" si="208"/>
        <v>COM</v>
      </c>
      <c r="F433" t="str">
        <f>"FRAN FARMA (10124)"</f>
        <v>FRAN FARMA (10124)</v>
      </c>
      <c r="G433" t="str">
        <f>"Serv.Prest. 13/01/2025 a 19/01/2025 - RPS: 417 - NFSe: 2643"</f>
        <v>Serv.Prest. 13/01/2025 a 19/01/2025 - RPS: 417 - NFSe: 2643</v>
      </c>
      <c r="H433" t="str">
        <f t="shared" si="209"/>
        <v>22/01/2025</v>
      </c>
      <c r="I433" t="str">
        <f t="shared" si="205"/>
        <v>20/01/2025</v>
      </c>
      <c r="J433" t="str">
        <f t="shared" si="210"/>
        <v>22/01/2025</v>
      </c>
      <c r="M433">
        <v>303</v>
      </c>
      <c r="N433" t="str">
        <f t="shared" si="211"/>
        <v>RECEITAS COM ENTREGAS</v>
      </c>
      <c r="P433">
        <v>64</v>
      </c>
      <c r="Q433" t="str">
        <f>"FRAN FARMA LJ 3 (10132)"</f>
        <v>FRAN FARMA LJ 3 (10132)</v>
      </c>
      <c r="R433" t="str">
        <f t="shared" si="212"/>
        <v>RECEITAS COM ENTREGAS (303)</v>
      </c>
      <c r="S433">
        <v>896</v>
      </c>
      <c r="T433">
        <v>763</v>
      </c>
      <c r="U433" t="s">
        <v>19</v>
      </c>
    </row>
    <row r="434" spans="1:21">
      <c r="A434" t="str">
        <f t="shared" si="206"/>
        <v>22/01/2025</v>
      </c>
      <c r="B434" t="str">
        <f t="shared" si="213"/>
        <v>ENTRADA</v>
      </c>
      <c r="C434" t="str">
        <f t="shared" si="207"/>
        <v>NFSE</v>
      </c>
      <c r="D434" t="str">
        <f>"2644"</f>
        <v>2644</v>
      </c>
      <c r="E434" t="str">
        <f t="shared" si="208"/>
        <v>COM</v>
      </c>
      <c r="F434" t="str">
        <f>"JAL FARMACIA E DROGARIA LJ 1 (10137)"</f>
        <v>JAL FARMACIA E DROGARIA LJ 1 (10137)</v>
      </c>
      <c r="G434" t="str">
        <f>"Serv.Prest. 13/01/2025 a 19/01/2025 - RPS: 418 - NFSe: 2644"</f>
        <v>Serv.Prest. 13/01/2025 a 19/01/2025 - RPS: 418 - NFSe: 2644</v>
      </c>
      <c r="H434" t="str">
        <f t="shared" si="209"/>
        <v>22/01/2025</v>
      </c>
      <c r="I434" t="str">
        <f t="shared" si="205"/>
        <v>20/01/2025</v>
      </c>
      <c r="J434" t="str">
        <f t="shared" si="210"/>
        <v>22/01/2025</v>
      </c>
      <c r="K434">
        <v>364.8</v>
      </c>
      <c r="L434">
        <v>364.8</v>
      </c>
      <c r="M434">
        <v>303</v>
      </c>
      <c r="N434" t="str">
        <f t="shared" si="211"/>
        <v>RECEITAS COM ENTREGAS</v>
      </c>
      <c r="O434">
        <v>364.8</v>
      </c>
      <c r="R434" t="str">
        <f t="shared" si="212"/>
        <v>RECEITAS COM ENTREGAS (303)</v>
      </c>
      <c r="S434">
        <v>897</v>
      </c>
      <c r="T434">
        <v>764</v>
      </c>
      <c r="U434" t="s">
        <v>19</v>
      </c>
    </row>
    <row r="435" spans="1:21">
      <c r="A435" t="str">
        <f t="shared" si="206"/>
        <v>22/01/2025</v>
      </c>
      <c r="B435" t="str">
        <f t="shared" si="213"/>
        <v>ENTRADA</v>
      </c>
      <c r="C435" t="str">
        <f t="shared" si="207"/>
        <v>NFSE</v>
      </c>
      <c r="D435" t="str">
        <f>"2644"</f>
        <v>2644</v>
      </c>
      <c r="E435" t="str">
        <f t="shared" si="208"/>
        <v>COM</v>
      </c>
      <c r="F435" t="str">
        <f>"JAL FARMACIA E DROGARIA LJ 1 (10137)"</f>
        <v>JAL FARMACIA E DROGARIA LJ 1 (10137)</v>
      </c>
      <c r="G435" t="str">
        <f>"Serv.Prest. 13/01/2025 a 19/01/2025 - RPS: 418 - NFSe: 2644"</f>
        <v>Serv.Prest. 13/01/2025 a 19/01/2025 - RPS: 418 - NFSe: 2644</v>
      </c>
      <c r="H435" t="str">
        <f t="shared" si="209"/>
        <v>22/01/2025</v>
      </c>
      <c r="I435" t="str">
        <f t="shared" si="205"/>
        <v>20/01/2025</v>
      </c>
      <c r="J435" t="str">
        <f t="shared" si="210"/>
        <v>22/01/2025</v>
      </c>
      <c r="M435">
        <v>303</v>
      </c>
      <c r="N435" t="str">
        <f t="shared" si="211"/>
        <v>RECEITAS COM ENTREGAS</v>
      </c>
      <c r="P435">
        <v>364.8</v>
      </c>
      <c r="Q435" t="str">
        <f>"JAL FARMACIA E DROGARIA LJ 1 (10137)"</f>
        <v>JAL FARMACIA E DROGARIA LJ 1 (10137)</v>
      </c>
      <c r="R435" t="str">
        <f t="shared" si="212"/>
        <v>RECEITAS COM ENTREGAS (303)</v>
      </c>
      <c r="S435">
        <v>897</v>
      </c>
      <c r="T435">
        <v>764</v>
      </c>
      <c r="U435" t="s">
        <v>19</v>
      </c>
    </row>
    <row r="436" spans="1:21">
      <c r="A436" t="str">
        <f t="shared" si="206"/>
        <v>22/01/2025</v>
      </c>
      <c r="B436" t="str">
        <f t="shared" si="213"/>
        <v>ENTRADA</v>
      </c>
      <c r="C436" t="str">
        <f t="shared" si="207"/>
        <v>NFSE</v>
      </c>
      <c r="D436" t="str">
        <f>"2645"</f>
        <v>2645</v>
      </c>
      <c r="E436" t="str">
        <f t="shared" si="208"/>
        <v>COM</v>
      </c>
      <c r="F436" t="str">
        <f>"JAL FARMACIA E DROGARIA LJ 2 (10138)"</f>
        <v>JAL FARMACIA E DROGARIA LJ 2 (10138)</v>
      </c>
      <c r="G436" t="str">
        <f>"Serv.Prest. 13/01/2025 a 19/01/2025 - RPS: 419 - NFSe: 2645"</f>
        <v>Serv.Prest. 13/01/2025 a 19/01/2025 - RPS: 419 - NFSe: 2645</v>
      </c>
      <c r="H436" t="str">
        <f t="shared" si="209"/>
        <v>22/01/2025</v>
      </c>
      <c r="I436" t="str">
        <f t="shared" si="205"/>
        <v>20/01/2025</v>
      </c>
      <c r="J436" t="str">
        <f t="shared" si="210"/>
        <v>22/01/2025</v>
      </c>
      <c r="K436">
        <v>230.4</v>
      </c>
      <c r="L436">
        <v>230.4</v>
      </c>
      <c r="M436">
        <v>303</v>
      </c>
      <c r="N436" t="str">
        <f t="shared" si="211"/>
        <v>RECEITAS COM ENTREGAS</v>
      </c>
      <c r="O436">
        <v>230.4</v>
      </c>
      <c r="R436" t="str">
        <f t="shared" si="212"/>
        <v>RECEITAS COM ENTREGAS (303)</v>
      </c>
      <c r="S436">
        <v>898</v>
      </c>
      <c r="T436">
        <v>765</v>
      </c>
      <c r="U436" t="s">
        <v>19</v>
      </c>
    </row>
    <row r="437" spans="1:21">
      <c r="A437" t="str">
        <f t="shared" si="206"/>
        <v>22/01/2025</v>
      </c>
      <c r="B437" t="str">
        <f t="shared" si="213"/>
        <v>ENTRADA</v>
      </c>
      <c r="C437" t="str">
        <f t="shared" si="207"/>
        <v>NFSE</v>
      </c>
      <c r="D437" t="str">
        <f>"2645"</f>
        <v>2645</v>
      </c>
      <c r="E437" t="str">
        <f t="shared" si="208"/>
        <v>COM</v>
      </c>
      <c r="F437" t="str">
        <f>"JAL FARMACIA E DROGARIA LJ 2 (10138)"</f>
        <v>JAL FARMACIA E DROGARIA LJ 2 (10138)</v>
      </c>
      <c r="G437" t="str">
        <f>"Serv.Prest. 13/01/2025 a 19/01/2025 - RPS: 419 - NFSe: 2645"</f>
        <v>Serv.Prest. 13/01/2025 a 19/01/2025 - RPS: 419 - NFSe: 2645</v>
      </c>
      <c r="H437" t="str">
        <f t="shared" si="209"/>
        <v>22/01/2025</v>
      </c>
      <c r="I437" t="str">
        <f t="shared" si="205"/>
        <v>20/01/2025</v>
      </c>
      <c r="J437" t="str">
        <f t="shared" si="210"/>
        <v>22/01/2025</v>
      </c>
      <c r="M437">
        <v>303</v>
      </c>
      <c r="N437" t="str">
        <f t="shared" si="211"/>
        <v>RECEITAS COM ENTREGAS</v>
      </c>
      <c r="P437">
        <v>230.4</v>
      </c>
      <c r="Q437" t="str">
        <f>"JAL FARMACIA E DROGARIA LJ 2 (10138)"</f>
        <v>JAL FARMACIA E DROGARIA LJ 2 (10138)</v>
      </c>
      <c r="R437" t="str">
        <f t="shared" si="212"/>
        <v>RECEITAS COM ENTREGAS (303)</v>
      </c>
      <c r="S437">
        <v>898</v>
      </c>
      <c r="T437">
        <v>765</v>
      </c>
      <c r="U437" t="s">
        <v>19</v>
      </c>
    </row>
    <row r="438" spans="1:21">
      <c r="A438" t="str">
        <f t="shared" si="206"/>
        <v>22/01/2025</v>
      </c>
      <c r="B438" t="str">
        <f t="shared" ref="B438:B443" si="214">"SAÍDA"</f>
        <v>SAÍDA</v>
      </c>
      <c r="C438" t="str">
        <f t="shared" ref="C438:C443" si="215">"JUROS"</f>
        <v>JUROS</v>
      </c>
      <c r="D438" t="str">
        <f>""</f>
        <v/>
      </c>
      <c r="E438" t="str">
        <f t="shared" ref="E438:E443" si="216">"CXA"</f>
        <v>CXA</v>
      </c>
      <c r="F438" t="str">
        <f>""</f>
        <v/>
      </c>
      <c r="G438" t="str">
        <f t="shared" ref="G438:G443" si="217">"TAXA BOLETO COMPENSADO"</f>
        <v>TAXA BOLETO COMPENSADO</v>
      </c>
      <c r="H438" t="str">
        <f t="shared" si="209"/>
        <v>22/01/2025</v>
      </c>
      <c r="I438" t="str">
        <f t="shared" ref="I438:I443" si="218">("22/01/2025")</f>
        <v>22/01/2025</v>
      </c>
      <c r="J438" t="str">
        <f t="shared" si="210"/>
        <v>22/01/2025</v>
      </c>
      <c r="K438">
        <v>1.7</v>
      </c>
      <c r="L438">
        <v>1.7</v>
      </c>
      <c r="M438">
        <v>401</v>
      </c>
      <c r="N438" t="str">
        <f t="shared" ref="N438:N443" si="219">"IOF/JUROS/DESP.FINANCEIRA"</f>
        <v>IOF/JUROS/DESP.FINANCEIRA</v>
      </c>
      <c r="O438">
        <v>1.7</v>
      </c>
      <c r="R438" t="str">
        <f t="shared" ref="R438:R443" si="220">"BANCO CORA (102)"</f>
        <v>BANCO CORA (102)</v>
      </c>
      <c r="S438">
        <v>926</v>
      </c>
      <c r="T438">
        <v>0</v>
      </c>
      <c r="U438" t="s">
        <v>20</v>
      </c>
    </row>
    <row r="439" spans="1:21">
      <c r="A439" t="str">
        <f t="shared" si="206"/>
        <v>22/01/2025</v>
      </c>
      <c r="B439" t="str">
        <f t="shared" si="214"/>
        <v>SAÍDA</v>
      </c>
      <c r="C439" t="str">
        <f t="shared" si="215"/>
        <v>JUROS</v>
      </c>
      <c r="D439" t="str">
        <f>""</f>
        <v/>
      </c>
      <c r="E439" t="str">
        <f t="shared" si="216"/>
        <v>CXA</v>
      </c>
      <c r="F439" t="str">
        <f>""</f>
        <v/>
      </c>
      <c r="G439" t="str">
        <f t="shared" si="217"/>
        <v>TAXA BOLETO COMPENSADO</v>
      </c>
      <c r="H439" t="str">
        <f t="shared" si="209"/>
        <v>22/01/2025</v>
      </c>
      <c r="I439" t="str">
        <f t="shared" si="218"/>
        <v>22/01/2025</v>
      </c>
      <c r="J439" t="str">
        <f t="shared" si="210"/>
        <v>22/01/2025</v>
      </c>
      <c r="K439">
        <v>1.7</v>
      </c>
      <c r="L439">
        <v>1.7</v>
      </c>
      <c r="M439">
        <v>401</v>
      </c>
      <c r="N439" t="str">
        <f t="shared" si="219"/>
        <v>IOF/JUROS/DESP.FINANCEIRA</v>
      </c>
      <c r="O439">
        <v>1.7</v>
      </c>
      <c r="R439" t="str">
        <f t="shared" si="220"/>
        <v>BANCO CORA (102)</v>
      </c>
      <c r="S439">
        <v>927</v>
      </c>
      <c r="T439">
        <v>0</v>
      </c>
      <c r="U439" t="s">
        <v>20</v>
      </c>
    </row>
    <row r="440" spans="1:21">
      <c r="A440" t="str">
        <f t="shared" si="206"/>
        <v>22/01/2025</v>
      </c>
      <c r="B440" t="str">
        <f t="shared" si="214"/>
        <v>SAÍDA</v>
      </c>
      <c r="C440" t="str">
        <f t="shared" si="215"/>
        <v>JUROS</v>
      </c>
      <c r="D440" t="str">
        <f>""</f>
        <v/>
      </c>
      <c r="E440" t="str">
        <f t="shared" si="216"/>
        <v>CXA</v>
      </c>
      <c r="F440" t="str">
        <f>""</f>
        <v/>
      </c>
      <c r="G440" t="str">
        <f t="shared" si="217"/>
        <v>TAXA BOLETO COMPENSADO</v>
      </c>
      <c r="H440" t="str">
        <f t="shared" si="209"/>
        <v>22/01/2025</v>
      </c>
      <c r="I440" t="str">
        <f t="shared" si="218"/>
        <v>22/01/2025</v>
      </c>
      <c r="J440" t="str">
        <f t="shared" si="210"/>
        <v>22/01/2025</v>
      </c>
      <c r="K440">
        <v>1.7</v>
      </c>
      <c r="L440">
        <v>1.7</v>
      </c>
      <c r="M440">
        <v>401</v>
      </c>
      <c r="N440" t="str">
        <f t="shared" si="219"/>
        <v>IOF/JUROS/DESP.FINANCEIRA</v>
      </c>
      <c r="O440">
        <v>1.7</v>
      </c>
      <c r="R440" t="str">
        <f t="shared" si="220"/>
        <v>BANCO CORA (102)</v>
      </c>
      <c r="S440">
        <v>928</v>
      </c>
      <c r="T440">
        <v>0</v>
      </c>
      <c r="U440" t="s">
        <v>20</v>
      </c>
    </row>
    <row r="441" spans="1:21">
      <c r="A441" t="str">
        <f t="shared" si="206"/>
        <v>22/01/2025</v>
      </c>
      <c r="B441" t="str">
        <f t="shared" si="214"/>
        <v>SAÍDA</v>
      </c>
      <c r="C441" t="str">
        <f t="shared" si="215"/>
        <v>JUROS</v>
      </c>
      <c r="D441" t="str">
        <f>""</f>
        <v/>
      </c>
      <c r="E441" t="str">
        <f t="shared" si="216"/>
        <v>CXA</v>
      </c>
      <c r="F441" t="str">
        <f>""</f>
        <v/>
      </c>
      <c r="G441" t="str">
        <f t="shared" si="217"/>
        <v>TAXA BOLETO COMPENSADO</v>
      </c>
      <c r="H441" t="str">
        <f t="shared" si="209"/>
        <v>22/01/2025</v>
      </c>
      <c r="I441" t="str">
        <f t="shared" si="218"/>
        <v>22/01/2025</v>
      </c>
      <c r="J441" t="str">
        <f t="shared" si="210"/>
        <v>22/01/2025</v>
      </c>
      <c r="K441">
        <v>1.7</v>
      </c>
      <c r="L441">
        <v>1.7</v>
      </c>
      <c r="M441">
        <v>401</v>
      </c>
      <c r="N441" t="str">
        <f t="shared" si="219"/>
        <v>IOF/JUROS/DESP.FINANCEIRA</v>
      </c>
      <c r="O441">
        <v>1.7</v>
      </c>
      <c r="R441" t="str">
        <f t="shared" si="220"/>
        <v>BANCO CORA (102)</v>
      </c>
      <c r="S441">
        <v>929</v>
      </c>
      <c r="T441">
        <v>0</v>
      </c>
      <c r="U441" t="s">
        <v>20</v>
      </c>
    </row>
    <row r="442" spans="1:21">
      <c r="A442" t="str">
        <f t="shared" si="206"/>
        <v>22/01/2025</v>
      </c>
      <c r="B442" t="str">
        <f t="shared" si="214"/>
        <v>SAÍDA</v>
      </c>
      <c r="C442" t="str">
        <f t="shared" si="215"/>
        <v>JUROS</v>
      </c>
      <c r="D442" t="str">
        <f>""</f>
        <v/>
      </c>
      <c r="E442" t="str">
        <f t="shared" si="216"/>
        <v>CXA</v>
      </c>
      <c r="F442" t="str">
        <f>""</f>
        <v/>
      </c>
      <c r="G442" t="str">
        <f t="shared" si="217"/>
        <v>TAXA BOLETO COMPENSADO</v>
      </c>
      <c r="H442" t="str">
        <f t="shared" si="209"/>
        <v>22/01/2025</v>
      </c>
      <c r="I442" t="str">
        <f t="shared" si="218"/>
        <v>22/01/2025</v>
      </c>
      <c r="J442" t="str">
        <f t="shared" si="210"/>
        <v>22/01/2025</v>
      </c>
      <c r="K442">
        <v>1.7</v>
      </c>
      <c r="L442">
        <v>1.7</v>
      </c>
      <c r="M442">
        <v>401</v>
      </c>
      <c r="N442" t="str">
        <f t="shared" si="219"/>
        <v>IOF/JUROS/DESP.FINANCEIRA</v>
      </c>
      <c r="O442">
        <v>1.7</v>
      </c>
      <c r="R442" t="str">
        <f t="shared" si="220"/>
        <v>BANCO CORA (102)</v>
      </c>
      <c r="S442">
        <v>930</v>
      </c>
      <c r="T442">
        <v>0</v>
      </c>
      <c r="U442" t="s">
        <v>20</v>
      </c>
    </row>
    <row r="443" spans="1:21">
      <c r="A443" t="str">
        <f t="shared" si="206"/>
        <v>22/01/2025</v>
      </c>
      <c r="B443" t="str">
        <f t="shared" si="214"/>
        <v>SAÍDA</v>
      </c>
      <c r="C443" t="str">
        <f t="shared" si="215"/>
        <v>JUROS</v>
      </c>
      <c r="D443" t="str">
        <f>""</f>
        <v/>
      </c>
      <c r="E443" t="str">
        <f t="shared" si="216"/>
        <v>CXA</v>
      </c>
      <c r="F443" t="str">
        <f>""</f>
        <v/>
      </c>
      <c r="G443" t="str">
        <f t="shared" si="217"/>
        <v>TAXA BOLETO COMPENSADO</v>
      </c>
      <c r="H443" t="str">
        <f t="shared" si="209"/>
        <v>22/01/2025</v>
      </c>
      <c r="I443" t="str">
        <f t="shared" si="218"/>
        <v>22/01/2025</v>
      </c>
      <c r="J443" t="str">
        <f t="shared" si="210"/>
        <v>22/01/2025</v>
      </c>
      <c r="K443">
        <v>1.7</v>
      </c>
      <c r="L443">
        <v>1.7</v>
      </c>
      <c r="M443">
        <v>401</v>
      </c>
      <c r="N443" t="str">
        <f t="shared" si="219"/>
        <v>IOF/JUROS/DESP.FINANCEIRA</v>
      </c>
      <c r="O443">
        <v>1.7</v>
      </c>
      <c r="R443" t="str">
        <f t="shared" si="220"/>
        <v>BANCO CORA (102)</v>
      </c>
      <c r="S443">
        <v>931</v>
      </c>
      <c r="T443">
        <v>0</v>
      </c>
      <c r="U443" t="s">
        <v>20</v>
      </c>
    </row>
    <row r="444" spans="1:21">
      <c r="A444" t="str">
        <f t="shared" ref="A444:A450" si="221">("23/01/2025")</f>
        <v>23/01/2025</v>
      </c>
      <c r="B444" t="str">
        <f>"ENTRADA"</f>
        <v>ENTRADA</v>
      </c>
      <c r="C444" t="str">
        <f>"NFSE"</f>
        <v>NFSE</v>
      </c>
      <c r="D444" t="str">
        <f>"2646"</f>
        <v>2646</v>
      </c>
      <c r="E444" t="str">
        <f>"COM"</f>
        <v>COM</v>
      </c>
      <c r="F444" t="str">
        <f>"DROGA ELIDA (10121)"</f>
        <v>DROGA ELIDA (10121)</v>
      </c>
      <c r="G444" t="str">
        <f>"Serv.Prest. 13/01/2025 a 19/01/2025 - RPS: 420 - NFSe: 2646"</f>
        <v>Serv.Prest. 13/01/2025 a 19/01/2025 - RPS: 420 - NFSe: 2646</v>
      </c>
      <c r="H444" t="str">
        <f t="shared" si="209"/>
        <v>22/01/2025</v>
      </c>
      <c r="I444" t="str">
        <f>("20/01/2025")</f>
        <v>20/01/2025</v>
      </c>
      <c r="J444" t="str">
        <f t="shared" ref="J444:J450" si="222">("23/01/2025")</f>
        <v>23/01/2025</v>
      </c>
      <c r="K444">
        <v>352.8</v>
      </c>
      <c r="L444">
        <v>352.8</v>
      </c>
      <c r="M444">
        <v>303</v>
      </c>
      <c r="N444" t="str">
        <f>"RECEITAS COM ENTREGAS"</f>
        <v>RECEITAS COM ENTREGAS</v>
      </c>
      <c r="O444">
        <v>352.8</v>
      </c>
      <c r="R444" t="str">
        <f>"RECEITAS COM ENTREGAS (303)"</f>
        <v>RECEITAS COM ENTREGAS (303)</v>
      </c>
      <c r="S444">
        <v>899</v>
      </c>
      <c r="T444">
        <v>766</v>
      </c>
      <c r="U444" t="s">
        <v>19</v>
      </c>
    </row>
    <row r="445" spans="1:21">
      <c r="A445" t="str">
        <f t="shared" si="221"/>
        <v>23/01/2025</v>
      </c>
      <c r="B445" t="str">
        <f t="shared" ref="B445:B447" si="223">"ENTRADA"</f>
        <v>ENTRADA</v>
      </c>
      <c r="C445" t="str">
        <f>"NFSE"</f>
        <v>NFSE</v>
      </c>
      <c r="D445" t="str">
        <f>"2646"</f>
        <v>2646</v>
      </c>
      <c r="E445" t="str">
        <f>"COM"</f>
        <v>COM</v>
      </c>
      <c r="F445" t="str">
        <f>"DROGA ELIDA (10121)"</f>
        <v>DROGA ELIDA (10121)</v>
      </c>
      <c r="G445" t="str">
        <f>"Serv.Prest. 13/01/2025 a 19/01/2025 - RPS: 420 - NFSe: 2646"</f>
        <v>Serv.Prest. 13/01/2025 a 19/01/2025 - RPS: 420 - NFSe: 2646</v>
      </c>
      <c r="H445" t="str">
        <f t="shared" si="209"/>
        <v>22/01/2025</v>
      </c>
      <c r="I445" t="str">
        <f>("20/01/2025")</f>
        <v>20/01/2025</v>
      </c>
      <c r="J445" t="str">
        <f t="shared" si="222"/>
        <v>23/01/2025</v>
      </c>
      <c r="M445">
        <v>303</v>
      </c>
      <c r="N445" t="str">
        <f>"RECEITAS COM ENTREGAS"</f>
        <v>RECEITAS COM ENTREGAS</v>
      </c>
      <c r="P445">
        <v>352.8</v>
      </c>
      <c r="Q445" t="str">
        <f>"DROGA ELIDA (10121)"</f>
        <v>DROGA ELIDA (10121)</v>
      </c>
      <c r="R445" t="str">
        <f>"RECEITAS COM ENTREGAS (303)"</f>
        <v>RECEITAS COM ENTREGAS (303)</v>
      </c>
      <c r="S445">
        <v>899</v>
      </c>
      <c r="T445">
        <v>766</v>
      </c>
      <c r="U445" t="s">
        <v>19</v>
      </c>
    </row>
    <row r="446" spans="1:21">
      <c r="A446" t="str">
        <f t="shared" si="221"/>
        <v>23/01/2025</v>
      </c>
      <c r="B446" t="str">
        <f t="shared" si="223"/>
        <v>ENTRADA</v>
      </c>
      <c r="C446" t="str">
        <f>"NFSE"</f>
        <v>NFSE</v>
      </c>
      <c r="D446" t="str">
        <f>"2648"</f>
        <v>2648</v>
      </c>
      <c r="E446" t="str">
        <f>"COM"</f>
        <v>COM</v>
      </c>
      <c r="F446" t="str">
        <f>"DROGA MONICA (10147)"</f>
        <v>DROGA MONICA (10147)</v>
      </c>
      <c r="G446" t="str">
        <f>"Serv.Prest. 13/01/2025 a 19/01/2025 - RPS: 422 - NFSe: 2648"</f>
        <v>Serv.Prest. 13/01/2025 a 19/01/2025 - RPS: 422 - NFSe: 2648</v>
      </c>
      <c r="H446" t="str">
        <f t="shared" si="209"/>
        <v>22/01/2025</v>
      </c>
      <c r="I446" t="str">
        <f>("20/01/2025")</f>
        <v>20/01/2025</v>
      </c>
      <c r="J446" t="str">
        <f t="shared" si="222"/>
        <v>23/01/2025</v>
      </c>
      <c r="K446">
        <v>362.4</v>
      </c>
      <c r="L446">
        <v>362.4</v>
      </c>
      <c r="M446">
        <v>303</v>
      </c>
      <c r="N446" t="str">
        <f>"RECEITAS COM ENTREGAS"</f>
        <v>RECEITAS COM ENTREGAS</v>
      </c>
      <c r="O446">
        <v>362.4</v>
      </c>
      <c r="R446" t="str">
        <f>"RECEITAS COM ENTREGAS (303)"</f>
        <v>RECEITAS COM ENTREGAS (303)</v>
      </c>
      <c r="S446">
        <v>900</v>
      </c>
      <c r="T446">
        <v>768</v>
      </c>
      <c r="U446" t="s">
        <v>19</v>
      </c>
    </row>
    <row r="447" spans="1:21">
      <c r="A447" t="str">
        <f t="shared" si="221"/>
        <v>23/01/2025</v>
      </c>
      <c r="B447" t="str">
        <f t="shared" si="223"/>
        <v>ENTRADA</v>
      </c>
      <c r="C447" t="str">
        <f>"NFSE"</f>
        <v>NFSE</v>
      </c>
      <c r="D447" t="str">
        <f>"2648"</f>
        <v>2648</v>
      </c>
      <c r="E447" t="str">
        <f>"COM"</f>
        <v>COM</v>
      </c>
      <c r="F447" t="str">
        <f>"DROGA MONICA (10147)"</f>
        <v>DROGA MONICA (10147)</v>
      </c>
      <c r="G447" t="str">
        <f>"Serv.Prest. 13/01/2025 a 19/01/2025 - RPS: 422 - NFSe: 2648"</f>
        <v>Serv.Prest. 13/01/2025 a 19/01/2025 - RPS: 422 - NFSe: 2648</v>
      </c>
      <c r="H447" t="str">
        <f t="shared" si="209"/>
        <v>22/01/2025</v>
      </c>
      <c r="I447" t="str">
        <f>("20/01/2025")</f>
        <v>20/01/2025</v>
      </c>
      <c r="J447" t="str">
        <f t="shared" si="222"/>
        <v>23/01/2025</v>
      </c>
      <c r="M447">
        <v>303</v>
      </c>
      <c r="N447" t="str">
        <f>"RECEITAS COM ENTREGAS"</f>
        <v>RECEITAS COM ENTREGAS</v>
      </c>
      <c r="P447">
        <v>362.4</v>
      </c>
      <c r="Q447" t="str">
        <f>"DROGA MONICA (10147)"</f>
        <v>DROGA MONICA (10147)</v>
      </c>
      <c r="R447" t="str">
        <f>"RECEITAS COM ENTREGAS (303)"</f>
        <v>RECEITAS COM ENTREGAS (303)</v>
      </c>
      <c r="S447">
        <v>900</v>
      </c>
      <c r="T447">
        <v>768</v>
      </c>
      <c r="U447" t="s">
        <v>19</v>
      </c>
    </row>
    <row r="448" spans="1:21">
      <c r="A448" t="str">
        <f t="shared" si="221"/>
        <v>23/01/2025</v>
      </c>
      <c r="B448" t="str">
        <f>"ENTRADA"</f>
        <v>ENTRADA</v>
      </c>
      <c r="C448" t="str">
        <f>""</f>
        <v/>
      </c>
      <c r="D448" t="str">
        <f>""</f>
        <v/>
      </c>
      <c r="E448" t="str">
        <f>"CXA"</f>
        <v>CXA</v>
      </c>
      <c r="F448" t="str">
        <f>""</f>
        <v/>
      </c>
      <c r="G448" t="str">
        <f>"RECEBIMENTO SETUP FARMACIA AC FARMA/FARMACIA SAUDE APUCARANA"</f>
        <v>RECEBIMENTO SETUP FARMACIA AC FARMA/FARMACIA SAUDE APUCARANA</v>
      </c>
      <c r="H448" t="str">
        <f t="shared" ref="H448:I450" si="224">("23/01/2025")</f>
        <v>23/01/2025</v>
      </c>
      <c r="I448" t="str">
        <f t="shared" si="224"/>
        <v>23/01/2025</v>
      </c>
      <c r="J448" t="str">
        <f t="shared" si="222"/>
        <v>23/01/2025</v>
      </c>
      <c r="K448">
        <v>1750</v>
      </c>
      <c r="L448">
        <v>1750</v>
      </c>
      <c r="M448">
        <v>117</v>
      </c>
      <c r="N448" t="str">
        <f>"RECEITAS COM SETUP"</f>
        <v>RECEITAS COM SETUP</v>
      </c>
      <c r="O448">
        <v>1750</v>
      </c>
      <c r="R448" t="str">
        <f>"RECEITAS COM SETUP (117)"</f>
        <v>RECEITAS COM SETUP (117)</v>
      </c>
      <c r="S448">
        <v>932</v>
      </c>
      <c r="T448">
        <v>0</v>
      </c>
      <c r="U448" t="s">
        <v>22</v>
      </c>
    </row>
    <row r="449" spans="1:21">
      <c r="A449" t="str">
        <f t="shared" si="221"/>
        <v>23/01/2025</v>
      </c>
      <c r="B449" t="str">
        <f>"SAÍDA"</f>
        <v>SAÍDA</v>
      </c>
      <c r="C449" t="str">
        <f>"JUROS"</f>
        <v>JUROS</v>
      </c>
      <c r="D449" t="str">
        <f>""</f>
        <v/>
      </c>
      <c r="E449" t="str">
        <f>"CXA"</f>
        <v>CXA</v>
      </c>
      <c r="F449" t="str">
        <f>""</f>
        <v/>
      </c>
      <c r="G449" t="str">
        <f>"TAXA BOLETO COMPENSADO"</f>
        <v>TAXA BOLETO COMPENSADO</v>
      </c>
      <c r="H449" t="str">
        <f t="shared" si="224"/>
        <v>23/01/2025</v>
      </c>
      <c r="I449" t="str">
        <f t="shared" si="224"/>
        <v>23/01/2025</v>
      </c>
      <c r="J449" t="str">
        <f t="shared" si="222"/>
        <v>23/01/2025</v>
      </c>
      <c r="K449">
        <v>1.7</v>
      </c>
      <c r="L449">
        <v>1.7</v>
      </c>
      <c r="M449">
        <v>401</v>
      </c>
      <c r="N449" t="str">
        <f>"IOF/JUROS/DESP.FINANCEIRA"</f>
        <v>IOF/JUROS/DESP.FINANCEIRA</v>
      </c>
      <c r="O449">
        <v>1.7</v>
      </c>
      <c r="R449" t="str">
        <f>"BANCO CORA (102)"</f>
        <v>BANCO CORA (102)</v>
      </c>
      <c r="S449">
        <v>933</v>
      </c>
      <c r="T449">
        <v>0</v>
      </c>
      <c r="U449" t="s">
        <v>20</v>
      </c>
    </row>
    <row r="450" spans="1:21">
      <c r="A450" t="str">
        <f t="shared" si="221"/>
        <v>23/01/2025</v>
      </c>
      <c r="B450" t="str">
        <f>"SAÍDA"</f>
        <v>SAÍDA</v>
      </c>
      <c r="C450" t="str">
        <f>"JUROS"</f>
        <v>JUROS</v>
      </c>
      <c r="D450" t="str">
        <f>""</f>
        <v/>
      </c>
      <c r="E450" t="str">
        <f>"CXA"</f>
        <v>CXA</v>
      </c>
      <c r="F450" t="str">
        <f>""</f>
        <v/>
      </c>
      <c r="G450" t="str">
        <f>"TAXA BOLETO COMPENSADO"</f>
        <v>TAXA BOLETO COMPENSADO</v>
      </c>
      <c r="H450" t="str">
        <f t="shared" si="224"/>
        <v>23/01/2025</v>
      </c>
      <c r="I450" t="str">
        <f t="shared" si="224"/>
        <v>23/01/2025</v>
      </c>
      <c r="J450" t="str">
        <f t="shared" si="222"/>
        <v>23/01/2025</v>
      </c>
      <c r="K450">
        <v>1.7</v>
      </c>
      <c r="L450">
        <v>1.7</v>
      </c>
      <c r="M450">
        <v>401</v>
      </c>
      <c r="N450" t="str">
        <f>"IOF/JUROS/DESP.FINANCEIRA"</f>
        <v>IOF/JUROS/DESP.FINANCEIRA</v>
      </c>
      <c r="O450">
        <v>1.7</v>
      </c>
      <c r="R450" t="str">
        <f>"BANCO CORA (102)"</f>
        <v>BANCO CORA (102)</v>
      </c>
      <c r="S450">
        <v>934</v>
      </c>
      <c r="T450">
        <v>0</v>
      </c>
      <c r="U450" t="s">
        <v>20</v>
      </c>
    </row>
    <row r="451" spans="1:21">
      <c r="A451" t="str">
        <f t="shared" ref="A451:A459" si="225">("24/01/2025")</f>
        <v>24/01/2025</v>
      </c>
      <c r="B451" t="str">
        <f>"ENTRADA"</f>
        <v>ENTRADA</v>
      </c>
      <c r="C451" t="str">
        <f t="shared" ref="C451:C456" si="226">"NFSE"</f>
        <v>NFSE</v>
      </c>
      <c r="D451" t="str">
        <f>"2640"</f>
        <v>2640</v>
      </c>
      <c r="E451" t="str">
        <f t="shared" ref="E451:E456" si="227">"COM"</f>
        <v>COM</v>
      </c>
      <c r="F451" t="str">
        <f>"DROGARIA POUPA MINAS (DOIS AMIGOS) 5 (10140)"</f>
        <v>DROGARIA POUPA MINAS (DOIS AMIGOS) 5 (10140)</v>
      </c>
      <c r="G451" t="str">
        <f>"Serv.Prest. 13/01/2025 a 19/01/2025 - RPS: 414 - NFSe: 2640"</f>
        <v>Serv.Prest. 13/01/2025 a 19/01/2025 - RPS: 414 - NFSe: 2640</v>
      </c>
      <c r="H451" t="str">
        <f>("23/01/2025")</f>
        <v>23/01/2025</v>
      </c>
      <c r="I451" t="str">
        <f>("20/01/2025")</f>
        <v>20/01/2025</v>
      </c>
      <c r="J451" t="str">
        <f t="shared" ref="J451:J459" si="228">("24/01/2025")</f>
        <v>24/01/2025</v>
      </c>
      <c r="K451">
        <v>801.43</v>
      </c>
      <c r="L451">
        <v>801.43</v>
      </c>
      <c r="M451">
        <v>303</v>
      </c>
      <c r="N451" t="str">
        <f t="shared" ref="N451:N456" si="229">"RECEITAS COM ENTREGAS"</f>
        <v>RECEITAS COM ENTREGAS</v>
      </c>
      <c r="O451">
        <v>801.43</v>
      </c>
      <c r="R451" t="str">
        <f t="shared" ref="R451:R456" si="230">"RECEITAS COM ENTREGAS (303)"</f>
        <v>RECEITAS COM ENTREGAS (303)</v>
      </c>
      <c r="S451">
        <v>901</v>
      </c>
      <c r="T451">
        <v>760</v>
      </c>
      <c r="U451" t="s">
        <v>19</v>
      </c>
    </row>
    <row r="452" spans="1:21">
      <c r="A452" t="str">
        <f t="shared" si="225"/>
        <v>24/01/2025</v>
      </c>
      <c r="B452" t="str">
        <f t="shared" ref="B452:B456" si="231">"ENTRADA"</f>
        <v>ENTRADA</v>
      </c>
      <c r="C452" t="str">
        <f t="shared" si="226"/>
        <v>NFSE</v>
      </c>
      <c r="D452" t="str">
        <f>"2640"</f>
        <v>2640</v>
      </c>
      <c r="E452" t="str">
        <f t="shared" si="227"/>
        <v>COM</v>
      </c>
      <c r="F452" t="str">
        <f>"DROGARIA POUPA MINAS (DOIS AMIGOS) 5 (10140)"</f>
        <v>DROGARIA POUPA MINAS (DOIS AMIGOS) 5 (10140)</v>
      </c>
      <c r="G452" t="str">
        <f>"Serv.Prest. 13/01/2025 a 19/01/2025 - RPS: 414 - NFSe: 2640"</f>
        <v>Serv.Prest. 13/01/2025 a 19/01/2025 - RPS: 414 - NFSe: 2640</v>
      </c>
      <c r="H452" t="str">
        <f>("23/01/2025")</f>
        <v>23/01/2025</v>
      </c>
      <c r="I452" t="str">
        <f>("20/01/2025")</f>
        <v>20/01/2025</v>
      </c>
      <c r="J452" t="str">
        <f t="shared" si="228"/>
        <v>24/01/2025</v>
      </c>
      <c r="M452">
        <v>303</v>
      </c>
      <c r="N452" t="str">
        <f t="shared" si="229"/>
        <v>RECEITAS COM ENTREGAS</v>
      </c>
      <c r="P452">
        <v>801.43</v>
      </c>
      <c r="Q452" t="str">
        <f>"DROGARIA POUPA MINAS (ULTRAMINAS) (10116)"</f>
        <v>DROGARIA POUPA MINAS (ULTRAMINAS) (10116)</v>
      </c>
      <c r="R452" t="str">
        <f t="shared" si="230"/>
        <v>RECEITAS COM ENTREGAS (303)</v>
      </c>
      <c r="S452">
        <v>901</v>
      </c>
      <c r="T452">
        <v>760</v>
      </c>
      <c r="U452" t="s">
        <v>19</v>
      </c>
    </row>
    <row r="453" spans="1:21">
      <c r="A453" t="str">
        <f t="shared" si="225"/>
        <v>24/01/2025</v>
      </c>
      <c r="B453" t="str">
        <f t="shared" si="231"/>
        <v>ENTRADA</v>
      </c>
      <c r="C453" t="str">
        <f t="shared" si="226"/>
        <v>NFSE</v>
      </c>
      <c r="D453" t="str">
        <f>"2641"</f>
        <v>2641</v>
      </c>
      <c r="E453" t="str">
        <f t="shared" si="227"/>
        <v>COM</v>
      </c>
      <c r="F453" t="str">
        <f>"DROGARIA POUPA MINAS (ULTRAMINAS) 3 (10129)"</f>
        <v>DROGARIA POUPA MINAS (ULTRAMINAS) 3 (10129)</v>
      </c>
      <c r="G453" t="str">
        <f>"Serv.Prest. 13/01/2025 a 19/01/2025 - RPS: 415 - NFSe: 2641"</f>
        <v>Serv.Prest. 13/01/2025 a 19/01/2025 - RPS: 415 - NFSe: 2641</v>
      </c>
      <c r="H453" t="str">
        <f>("23/01/2025")</f>
        <v>23/01/2025</v>
      </c>
      <c r="I453" t="str">
        <f>("20/01/2025")</f>
        <v>20/01/2025</v>
      </c>
      <c r="J453" t="str">
        <f t="shared" si="228"/>
        <v>24/01/2025</v>
      </c>
      <c r="K453">
        <v>274.56</v>
      </c>
      <c r="L453">
        <v>274.56</v>
      </c>
      <c r="M453">
        <v>303</v>
      </c>
      <c r="N453" t="str">
        <f t="shared" si="229"/>
        <v>RECEITAS COM ENTREGAS</v>
      </c>
      <c r="O453">
        <v>274.56</v>
      </c>
      <c r="R453" t="str">
        <f t="shared" si="230"/>
        <v>RECEITAS COM ENTREGAS (303)</v>
      </c>
      <c r="S453">
        <v>902</v>
      </c>
      <c r="T453">
        <v>761</v>
      </c>
      <c r="U453" t="s">
        <v>19</v>
      </c>
    </row>
    <row r="454" spans="1:21">
      <c r="A454" t="str">
        <f t="shared" si="225"/>
        <v>24/01/2025</v>
      </c>
      <c r="B454" t="str">
        <f t="shared" si="231"/>
        <v>ENTRADA</v>
      </c>
      <c r="C454" t="str">
        <f t="shared" si="226"/>
        <v>NFSE</v>
      </c>
      <c r="D454" t="str">
        <f>"2641"</f>
        <v>2641</v>
      </c>
      <c r="E454" t="str">
        <f t="shared" si="227"/>
        <v>COM</v>
      </c>
      <c r="F454" t="str">
        <f>"DROGARIA POUPA MINAS (ULTRAMINAS) 3 (10129)"</f>
        <v>DROGARIA POUPA MINAS (ULTRAMINAS) 3 (10129)</v>
      </c>
      <c r="G454" t="str">
        <f>"Serv.Prest. 13/01/2025 a 19/01/2025 - RPS: 415 - NFSe: 2641"</f>
        <v>Serv.Prest. 13/01/2025 a 19/01/2025 - RPS: 415 - NFSe: 2641</v>
      </c>
      <c r="H454" t="str">
        <f>("23/01/2025")</f>
        <v>23/01/2025</v>
      </c>
      <c r="I454" t="str">
        <f>("20/01/2025")</f>
        <v>20/01/2025</v>
      </c>
      <c r="J454" t="str">
        <f t="shared" si="228"/>
        <v>24/01/2025</v>
      </c>
      <c r="M454">
        <v>303</v>
      </c>
      <c r="N454" t="str">
        <f t="shared" si="229"/>
        <v>RECEITAS COM ENTREGAS</v>
      </c>
      <c r="P454">
        <v>274.56</v>
      </c>
      <c r="Q454" t="str">
        <f>"DROGARIA POUPA MINAS (ULTRAMINAS) 3 (10129)"</f>
        <v>DROGARIA POUPA MINAS (ULTRAMINAS) 3 (10129)</v>
      </c>
      <c r="R454" t="str">
        <f t="shared" si="230"/>
        <v>RECEITAS COM ENTREGAS (303)</v>
      </c>
      <c r="S454">
        <v>902</v>
      </c>
      <c r="T454">
        <v>761</v>
      </c>
      <c r="U454" t="s">
        <v>19</v>
      </c>
    </row>
    <row r="455" spans="1:21">
      <c r="A455" t="str">
        <f t="shared" si="225"/>
        <v>24/01/2025</v>
      </c>
      <c r="B455" t="str">
        <f t="shared" si="231"/>
        <v>ENTRADA</v>
      </c>
      <c r="C455" t="str">
        <f t="shared" si="226"/>
        <v>NFSE</v>
      </c>
      <c r="D455" t="str">
        <f>"2627"</f>
        <v>2627</v>
      </c>
      <c r="E455" t="str">
        <f t="shared" si="227"/>
        <v>COM</v>
      </c>
      <c r="F455" t="str">
        <f>"FARMACIA CRISTAL (10125)"</f>
        <v>FARMACIA CRISTAL (10125)</v>
      </c>
      <c r="G455" t="str">
        <f>"Serv.Prest. 06/01/2025 a 12/01/2025 - RPS: 401 - NFSe: 2627"</f>
        <v>Serv.Prest. 06/01/2025 a 12/01/2025 - RPS: 401 - NFSe: 2627</v>
      </c>
      <c r="H455" t="str">
        <f>("24/01/2025")</f>
        <v>24/01/2025</v>
      </c>
      <c r="I455" t="str">
        <f>("13/01/2025")</f>
        <v>13/01/2025</v>
      </c>
      <c r="J455" t="str">
        <f t="shared" si="228"/>
        <v>24/01/2025</v>
      </c>
      <c r="K455">
        <v>235.66</v>
      </c>
      <c r="L455">
        <v>235.66</v>
      </c>
      <c r="M455">
        <v>303</v>
      </c>
      <c r="N455" t="str">
        <f t="shared" si="229"/>
        <v>RECEITAS COM ENTREGAS</v>
      </c>
      <c r="O455">
        <v>235.66</v>
      </c>
      <c r="R455" t="str">
        <f t="shared" si="230"/>
        <v>RECEITAS COM ENTREGAS (303)</v>
      </c>
      <c r="S455">
        <v>903</v>
      </c>
      <c r="T455">
        <v>730</v>
      </c>
      <c r="U455" t="s">
        <v>19</v>
      </c>
    </row>
    <row r="456" spans="1:21">
      <c r="A456" t="str">
        <f t="shared" si="225"/>
        <v>24/01/2025</v>
      </c>
      <c r="B456" t="str">
        <f t="shared" si="231"/>
        <v>ENTRADA</v>
      </c>
      <c r="C456" t="str">
        <f t="shared" si="226"/>
        <v>NFSE</v>
      </c>
      <c r="D456" t="str">
        <f>"2627"</f>
        <v>2627</v>
      </c>
      <c r="E456" t="str">
        <f t="shared" si="227"/>
        <v>COM</v>
      </c>
      <c r="F456" t="str">
        <f>"FARMACIA CRISTAL (10125)"</f>
        <v>FARMACIA CRISTAL (10125)</v>
      </c>
      <c r="G456" t="str">
        <f>"Serv.Prest. 06/01/2025 a 12/01/2025 - RPS: 401 - NFSe: 2627"</f>
        <v>Serv.Prest. 06/01/2025 a 12/01/2025 - RPS: 401 - NFSe: 2627</v>
      </c>
      <c r="H456" t="str">
        <f>("24/01/2025")</f>
        <v>24/01/2025</v>
      </c>
      <c r="I456" t="str">
        <f>("13/01/2025")</f>
        <v>13/01/2025</v>
      </c>
      <c r="J456" t="str">
        <f t="shared" si="228"/>
        <v>24/01/2025</v>
      </c>
      <c r="M456">
        <v>303</v>
      </c>
      <c r="N456" t="str">
        <f t="shared" si="229"/>
        <v>RECEITAS COM ENTREGAS</v>
      </c>
      <c r="P456">
        <v>235.66</v>
      </c>
      <c r="Q456" t="str">
        <f>"FARMACIA CRISTAL (10125)"</f>
        <v>FARMACIA CRISTAL (10125)</v>
      </c>
      <c r="R456" t="str">
        <f t="shared" si="230"/>
        <v>RECEITAS COM ENTREGAS (303)</v>
      </c>
      <c r="S456">
        <v>903</v>
      </c>
      <c r="T456">
        <v>730</v>
      </c>
      <c r="U456" t="s">
        <v>19</v>
      </c>
    </row>
    <row r="457" spans="1:21">
      <c r="A457" t="str">
        <f t="shared" si="225"/>
        <v>24/01/2025</v>
      </c>
      <c r="B457" t="str">
        <f t="shared" ref="B457:B461" si="232">"SAÍDA"</f>
        <v>SAÍDA</v>
      </c>
      <c r="C457" t="str">
        <f>"JUROS"</f>
        <v>JUROS</v>
      </c>
      <c r="D457" t="str">
        <f>""</f>
        <v/>
      </c>
      <c r="E457" t="str">
        <f>"CXA"</f>
        <v>CXA</v>
      </c>
      <c r="F457" t="str">
        <f>""</f>
        <v/>
      </c>
      <c r="G457" t="str">
        <f>"TAXA BOLETO COMPENSADO"</f>
        <v>TAXA BOLETO COMPENSADO</v>
      </c>
      <c r="H457" t="str">
        <f>("24/01/2025")</f>
        <v>24/01/2025</v>
      </c>
      <c r="I457" t="str">
        <f>("24/01/2025")</f>
        <v>24/01/2025</v>
      </c>
      <c r="J457" t="str">
        <f t="shared" si="228"/>
        <v>24/01/2025</v>
      </c>
      <c r="K457">
        <v>1.7</v>
      </c>
      <c r="L457">
        <v>1.7</v>
      </c>
      <c r="M457">
        <v>401</v>
      </c>
      <c r="N457" t="str">
        <f>"IOF/JUROS/DESP.FINANCEIRA"</f>
        <v>IOF/JUROS/DESP.FINANCEIRA</v>
      </c>
      <c r="O457">
        <v>1.7</v>
      </c>
      <c r="R457" t="str">
        <f>"BANCO CORA (102)"</f>
        <v>BANCO CORA (102)</v>
      </c>
      <c r="S457">
        <v>935</v>
      </c>
      <c r="T457">
        <v>0</v>
      </c>
      <c r="U457" t="s">
        <v>20</v>
      </c>
    </row>
    <row r="458" spans="1:21">
      <c r="A458" t="str">
        <f t="shared" si="225"/>
        <v>24/01/2025</v>
      </c>
      <c r="B458" t="str">
        <f t="shared" si="232"/>
        <v>SAÍDA</v>
      </c>
      <c r="C458" t="str">
        <f>"JUROS"</f>
        <v>JUROS</v>
      </c>
      <c r="D458" t="str">
        <f>""</f>
        <v/>
      </c>
      <c r="E458" t="str">
        <f>"CXA"</f>
        <v>CXA</v>
      </c>
      <c r="F458" t="str">
        <f>""</f>
        <v/>
      </c>
      <c r="G458" t="str">
        <f>"TAXA BOLETO COMPENSADO"</f>
        <v>TAXA BOLETO COMPENSADO</v>
      </c>
      <c r="H458" t="str">
        <f>("24/01/2025")</f>
        <v>24/01/2025</v>
      </c>
      <c r="I458" t="str">
        <f>("24/01/2025")</f>
        <v>24/01/2025</v>
      </c>
      <c r="J458" t="str">
        <f t="shared" si="228"/>
        <v>24/01/2025</v>
      </c>
      <c r="K458">
        <v>1.7</v>
      </c>
      <c r="L458">
        <v>1.7</v>
      </c>
      <c r="M458">
        <v>401</v>
      </c>
      <c r="N458" t="str">
        <f>"IOF/JUROS/DESP.FINANCEIRA"</f>
        <v>IOF/JUROS/DESP.FINANCEIRA</v>
      </c>
      <c r="O458">
        <v>1.7</v>
      </c>
      <c r="R458" t="str">
        <f>"BANCO CORA (102)"</f>
        <v>BANCO CORA (102)</v>
      </c>
      <c r="S458">
        <v>936</v>
      </c>
      <c r="T458">
        <v>0</v>
      </c>
      <c r="U458" t="s">
        <v>20</v>
      </c>
    </row>
    <row r="459" spans="1:21">
      <c r="A459" t="str">
        <f t="shared" si="225"/>
        <v>24/01/2025</v>
      </c>
      <c r="B459" t="str">
        <f t="shared" si="232"/>
        <v>SAÍDA</v>
      </c>
      <c r="C459" t="str">
        <f>"JUROS"</f>
        <v>JUROS</v>
      </c>
      <c r="D459" t="str">
        <f>""</f>
        <v/>
      </c>
      <c r="E459" t="str">
        <f>"CXA"</f>
        <v>CXA</v>
      </c>
      <c r="F459" t="str">
        <f>""</f>
        <v/>
      </c>
      <c r="G459" t="str">
        <f>"TAXA BOLETO COMPENSADO"</f>
        <v>TAXA BOLETO COMPENSADO</v>
      </c>
      <c r="H459" t="str">
        <f>("24/01/2025")</f>
        <v>24/01/2025</v>
      </c>
      <c r="I459" t="str">
        <f>("24/01/2025")</f>
        <v>24/01/2025</v>
      </c>
      <c r="J459" t="str">
        <f t="shared" si="228"/>
        <v>24/01/2025</v>
      </c>
      <c r="K459">
        <v>1.7</v>
      </c>
      <c r="L459">
        <v>1.7</v>
      </c>
      <c r="M459">
        <v>401</v>
      </c>
      <c r="N459" t="str">
        <f>"IOF/JUROS/DESP.FINANCEIRA"</f>
        <v>IOF/JUROS/DESP.FINANCEIRA</v>
      </c>
      <c r="O459">
        <v>1.7</v>
      </c>
      <c r="R459" t="str">
        <f>"BANCO CORA (102)"</f>
        <v>BANCO CORA (102)</v>
      </c>
      <c r="S459">
        <v>937</v>
      </c>
      <c r="T459">
        <v>0</v>
      </c>
      <c r="U459" t="s">
        <v>20</v>
      </c>
    </row>
    <row r="460" spans="1:21">
      <c r="A460" t="str">
        <f>("27/01/2025")</f>
        <v>27/01/2025</v>
      </c>
      <c r="B460" t="str">
        <f t="shared" si="232"/>
        <v>SAÍDA</v>
      </c>
      <c r="C460" t="str">
        <f>"PIX"</f>
        <v>PIX</v>
      </c>
      <c r="D460" t="str">
        <f>"3101"</f>
        <v>3101</v>
      </c>
      <c r="E460" t="str">
        <f t="shared" ref="E460:E466" si="233">"COM"</f>
        <v>COM</v>
      </c>
      <c r="F460" t="str">
        <f>"LILIANE DE FATIMA REZENDE JUSTINO (20013)"</f>
        <v>LILIANE DE FATIMA REZENDE JUSTINO (20013)</v>
      </c>
      <c r="G460" t="str">
        <f>"DISTRIBUICAO DE LUCROS"</f>
        <v>DISTRIBUICAO DE LUCROS</v>
      </c>
      <c r="H460" t="str">
        <f>("31/01/2025")</f>
        <v>31/01/2025</v>
      </c>
      <c r="I460" t="str">
        <f>("01/01/2025")</f>
        <v>01/01/2025</v>
      </c>
      <c r="J460" t="str">
        <f>("27/01/2025")</f>
        <v>27/01/2025</v>
      </c>
      <c r="K460">
        <v>7000</v>
      </c>
      <c r="L460">
        <v>7000</v>
      </c>
      <c r="M460">
        <v>125</v>
      </c>
      <c r="N460" t="str">
        <f>"DISTRIBUIÇÃO DE LUCRO"</f>
        <v>DISTRIBUIÇÃO DE LUCRO</v>
      </c>
      <c r="O460">
        <v>7000</v>
      </c>
      <c r="R460" t="str">
        <f>"BANCO CORA (102)"</f>
        <v>BANCO CORA (102)</v>
      </c>
      <c r="S460">
        <v>889</v>
      </c>
      <c r="T460">
        <v>758</v>
      </c>
      <c r="U460" t="s">
        <v>19</v>
      </c>
    </row>
    <row r="461" spans="1:21">
      <c r="A461" t="str">
        <f>("27/01/2025")</f>
        <v>27/01/2025</v>
      </c>
      <c r="B461" t="str">
        <f t="shared" si="232"/>
        <v>SAÍDA</v>
      </c>
      <c r="C461" t="str">
        <f>"PIX"</f>
        <v>PIX</v>
      </c>
      <c r="D461" t="str">
        <f>"3101"</f>
        <v>3101</v>
      </c>
      <c r="E461" t="str">
        <f t="shared" si="233"/>
        <v>COM</v>
      </c>
      <c r="F461" t="str">
        <f>"LILIANE DE FATIMA REZENDE JUSTINO (20013)"</f>
        <v>LILIANE DE FATIMA REZENDE JUSTINO (20013)</v>
      </c>
      <c r="G461" t="str">
        <f>"DISTRIBUICAO DE LUCROS"</f>
        <v>DISTRIBUICAO DE LUCROS</v>
      </c>
      <c r="H461" t="str">
        <f>("31/01/2025")</f>
        <v>31/01/2025</v>
      </c>
      <c r="I461" t="str">
        <f>("01/01/2025")</f>
        <v>01/01/2025</v>
      </c>
      <c r="J461" t="str">
        <f>("27/01/2025")</f>
        <v>27/01/2025</v>
      </c>
      <c r="M461">
        <v>125</v>
      </c>
      <c r="N461" t="str">
        <f>"DISTRIBUIÇÃO DE LUCRO"</f>
        <v>DISTRIBUIÇÃO DE LUCRO</v>
      </c>
      <c r="P461">
        <v>7000</v>
      </c>
      <c r="Q461" t="str">
        <f>"LILIANE DE FATIMA REZENDE JUSTINO (20013)"</f>
        <v>LILIANE DE FATIMA REZENDE JUSTINO (20013)</v>
      </c>
      <c r="R461" t="str">
        <f>"BANCO CORA (102)"</f>
        <v>BANCO CORA (102)</v>
      </c>
      <c r="S461">
        <v>889</v>
      </c>
      <c r="T461">
        <v>758</v>
      </c>
      <c r="U461" t="s">
        <v>19</v>
      </c>
    </row>
    <row r="462" spans="1:21">
      <c r="A462" t="str">
        <f t="shared" ref="A462:A468" si="234">("28/01/2025")</f>
        <v>28/01/2025</v>
      </c>
      <c r="B462" t="str">
        <f>"ENTRADA"</f>
        <v>ENTRADA</v>
      </c>
      <c r="C462" t="str">
        <f>"NFSE"</f>
        <v>NFSE</v>
      </c>
      <c r="D462" t="str">
        <f>"2670"</f>
        <v>2670</v>
      </c>
      <c r="E462" t="str">
        <f t="shared" si="233"/>
        <v>COM</v>
      </c>
      <c r="F462" t="str">
        <f>"DROGA CINTIA 2 (10144)"</f>
        <v>DROGA CINTIA 2 (10144)</v>
      </c>
      <c r="G462" t="str">
        <f>"Serv.Prest. 20/01/2025 a 26/01/2025 - RPS: 444 - NFSe: 2670"</f>
        <v>Serv.Prest. 20/01/2025 a 26/01/2025 - RPS: 444 - NFSe: 2670</v>
      </c>
      <c r="H462" t="str">
        <f>("29/01/2025")</f>
        <v>29/01/2025</v>
      </c>
      <c r="I462" t="str">
        <f>("27/01/2025")</f>
        <v>27/01/2025</v>
      </c>
      <c r="J462" t="str">
        <f t="shared" ref="J462:J468" si="235">("28/01/2025")</f>
        <v>28/01/2025</v>
      </c>
      <c r="K462">
        <v>319.60000000000002</v>
      </c>
      <c r="L462">
        <v>319.60000000000002</v>
      </c>
      <c r="M462">
        <v>303</v>
      </c>
      <c r="N462" t="str">
        <f>"RECEITAS COM ENTREGAS"</f>
        <v>RECEITAS COM ENTREGAS</v>
      </c>
      <c r="O462">
        <v>319.60000000000002</v>
      </c>
      <c r="R462" t="str">
        <f>"RECEITAS COM ENTREGAS (303)"</f>
        <v>RECEITAS COM ENTREGAS (303)</v>
      </c>
      <c r="S462">
        <v>904</v>
      </c>
      <c r="T462">
        <v>790</v>
      </c>
      <c r="U462" t="s">
        <v>19</v>
      </c>
    </row>
    <row r="463" spans="1:21">
      <c r="A463" t="str">
        <f t="shared" si="234"/>
        <v>28/01/2025</v>
      </c>
      <c r="B463" t="str">
        <f t="shared" ref="B463:B465" si="236">"ENTRADA"</f>
        <v>ENTRADA</v>
      </c>
      <c r="C463" t="str">
        <f>"NFSE"</f>
        <v>NFSE</v>
      </c>
      <c r="D463" t="str">
        <f>"2670"</f>
        <v>2670</v>
      </c>
      <c r="E463" t="str">
        <f t="shared" si="233"/>
        <v>COM</v>
      </c>
      <c r="F463" t="str">
        <f>"DROGA CINTIA 2 (10144)"</f>
        <v>DROGA CINTIA 2 (10144)</v>
      </c>
      <c r="G463" t="str">
        <f>"Serv.Prest. 20/01/2025 a 26/01/2025 - RPS: 444 - NFSe: 2670"</f>
        <v>Serv.Prest. 20/01/2025 a 26/01/2025 - RPS: 444 - NFSe: 2670</v>
      </c>
      <c r="H463" t="str">
        <f>("29/01/2025")</f>
        <v>29/01/2025</v>
      </c>
      <c r="I463" t="str">
        <f>("27/01/2025")</f>
        <v>27/01/2025</v>
      </c>
      <c r="J463" t="str">
        <f t="shared" si="235"/>
        <v>28/01/2025</v>
      </c>
      <c r="M463">
        <v>303</v>
      </c>
      <c r="N463" t="str">
        <f>"RECEITAS COM ENTREGAS"</f>
        <v>RECEITAS COM ENTREGAS</v>
      </c>
      <c r="P463">
        <v>319.60000000000002</v>
      </c>
      <c r="Q463" t="str">
        <f>"DROGA CINTIA 2 (10144)"</f>
        <v>DROGA CINTIA 2 (10144)</v>
      </c>
      <c r="R463" t="str">
        <f>"RECEITAS COM ENTREGAS (303)"</f>
        <v>RECEITAS COM ENTREGAS (303)</v>
      </c>
      <c r="S463">
        <v>904</v>
      </c>
      <c r="T463">
        <v>790</v>
      </c>
      <c r="U463" t="s">
        <v>19</v>
      </c>
    </row>
    <row r="464" spans="1:21">
      <c r="A464" t="str">
        <f t="shared" si="234"/>
        <v>28/01/2025</v>
      </c>
      <c r="B464" t="str">
        <f t="shared" si="236"/>
        <v>ENTRADA</v>
      </c>
      <c r="C464" t="str">
        <f>"NFSE"</f>
        <v>NFSE</v>
      </c>
      <c r="D464" t="str">
        <f>"2655"</f>
        <v>2655</v>
      </c>
      <c r="E464" t="str">
        <f t="shared" si="233"/>
        <v>COM</v>
      </c>
      <c r="F464" t="str">
        <f>"FARMACIA ECONOMIZE (10103)"</f>
        <v>FARMACIA ECONOMIZE (10103)</v>
      </c>
      <c r="G464" t="str">
        <f>"Serv.Prest. 13/01/2025 a 19/01/2025 - RPS: 429 - NFSe: 2655"</f>
        <v>Serv.Prest. 13/01/2025 a 19/01/2025 - RPS: 429 - NFSe: 2655</v>
      </c>
      <c r="H464" t="str">
        <f>("22/01/2025")</f>
        <v>22/01/2025</v>
      </c>
      <c r="I464" t="str">
        <f>("22/01/2025")</f>
        <v>22/01/2025</v>
      </c>
      <c r="J464" t="str">
        <f t="shared" si="235"/>
        <v>28/01/2025</v>
      </c>
      <c r="K464">
        <v>105.74</v>
      </c>
      <c r="L464">
        <v>108.02</v>
      </c>
      <c r="M464">
        <v>303</v>
      </c>
      <c r="N464" t="str">
        <f>"RECEITAS COM ENTREGAS"</f>
        <v>RECEITAS COM ENTREGAS</v>
      </c>
      <c r="O464">
        <v>108.02</v>
      </c>
      <c r="R464" t="str">
        <f>"RECEITAS COM ENTREGAS (303)"</f>
        <v>RECEITAS COM ENTREGAS (303)</v>
      </c>
      <c r="S464">
        <v>905</v>
      </c>
      <c r="T464">
        <v>775</v>
      </c>
      <c r="U464" t="s">
        <v>19</v>
      </c>
    </row>
    <row r="465" spans="1:21">
      <c r="A465" t="str">
        <f t="shared" si="234"/>
        <v>28/01/2025</v>
      </c>
      <c r="B465" t="str">
        <f t="shared" si="236"/>
        <v>ENTRADA</v>
      </c>
      <c r="C465" t="str">
        <f>"NFSE"</f>
        <v>NFSE</v>
      </c>
      <c r="D465" t="str">
        <f>"2655"</f>
        <v>2655</v>
      </c>
      <c r="E465" t="str">
        <f t="shared" si="233"/>
        <v>COM</v>
      </c>
      <c r="F465" t="str">
        <f>"FARMACIA ECONOMIZE (10103)"</f>
        <v>FARMACIA ECONOMIZE (10103)</v>
      </c>
      <c r="G465" t="str">
        <f>"Serv.Prest. 13/01/2025 a 19/01/2025 - RPS: 429 - NFSe: 2655"</f>
        <v>Serv.Prest. 13/01/2025 a 19/01/2025 - RPS: 429 - NFSe: 2655</v>
      </c>
      <c r="H465" t="str">
        <f>("22/01/2025")</f>
        <v>22/01/2025</v>
      </c>
      <c r="I465" t="str">
        <f>("22/01/2025")</f>
        <v>22/01/2025</v>
      </c>
      <c r="J465" t="str">
        <f t="shared" si="235"/>
        <v>28/01/2025</v>
      </c>
      <c r="M465">
        <v>303</v>
      </c>
      <c r="N465" t="str">
        <f>"RECEITAS COM ENTREGAS"</f>
        <v>RECEITAS COM ENTREGAS</v>
      </c>
      <c r="P465">
        <v>108.02</v>
      </c>
      <c r="Q465" t="str">
        <f>"FARMACIA ECONOMIZE (10103)"</f>
        <v>FARMACIA ECONOMIZE (10103)</v>
      </c>
      <c r="R465" t="str">
        <f>"RECEITAS COM ENTREGAS (303)"</f>
        <v>RECEITAS COM ENTREGAS (303)</v>
      </c>
      <c r="S465">
        <v>905</v>
      </c>
      <c r="T465">
        <v>775</v>
      </c>
      <c r="U465" t="s">
        <v>19</v>
      </c>
    </row>
    <row r="466" spans="1:21">
      <c r="A466" t="str">
        <f t="shared" si="234"/>
        <v>28/01/2025</v>
      </c>
      <c r="B466" t="str">
        <f>"SAÍDA"</f>
        <v>SAÍDA</v>
      </c>
      <c r="C466" t="str">
        <f>"PIX"</f>
        <v>PIX</v>
      </c>
      <c r="D466" t="str">
        <f>"280125"</f>
        <v>280125</v>
      </c>
      <c r="E466" t="str">
        <f t="shared" si="233"/>
        <v>COM</v>
      </c>
      <c r="F466" t="str">
        <f>"MARCELO REZENDE ARANTES (20014)"</f>
        <v>MARCELO REZENDE ARANTES (20014)</v>
      </c>
      <c r="G466" t="str">
        <f>"DISTRIBUICAO DE LUCROS"</f>
        <v>DISTRIBUICAO DE LUCROS</v>
      </c>
      <c r="H466" t="str">
        <f t="shared" ref="H466:I468" si="237">("28/01/2025")</f>
        <v>28/01/2025</v>
      </c>
      <c r="I466" t="str">
        <f t="shared" si="237"/>
        <v>28/01/2025</v>
      </c>
      <c r="J466" t="str">
        <f t="shared" si="235"/>
        <v>28/01/2025</v>
      </c>
      <c r="K466">
        <v>3000</v>
      </c>
      <c r="L466">
        <v>3000</v>
      </c>
      <c r="M466">
        <v>125</v>
      </c>
      <c r="N466" t="str">
        <f>"DISTRIBUIÇÃO DE LUCRO"</f>
        <v>DISTRIBUIÇÃO DE LUCRO</v>
      </c>
      <c r="O466">
        <v>3000</v>
      </c>
      <c r="R466" t="str">
        <f>"BANCO CORA (102)"</f>
        <v>BANCO CORA (102)</v>
      </c>
      <c r="S466">
        <v>906</v>
      </c>
      <c r="T466">
        <v>792</v>
      </c>
      <c r="U466" t="s">
        <v>19</v>
      </c>
    </row>
    <row r="467" spans="1:21">
      <c r="A467" t="str">
        <f t="shared" si="234"/>
        <v>28/01/2025</v>
      </c>
      <c r="B467" t="str">
        <f>"SAÍDA"</f>
        <v>SAÍDA</v>
      </c>
      <c r="C467" t="str">
        <f>"JUROS"</f>
        <v>JUROS</v>
      </c>
      <c r="D467" t="str">
        <f>""</f>
        <v/>
      </c>
      <c r="E467" t="str">
        <f>"CXA"</f>
        <v>CXA</v>
      </c>
      <c r="F467" t="str">
        <f>""</f>
        <v/>
      </c>
      <c r="G467" t="str">
        <f>"TAXA BOLETO COMPENSADO"</f>
        <v>TAXA BOLETO COMPENSADO</v>
      </c>
      <c r="H467" t="str">
        <f t="shared" si="237"/>
        <v>28/01/2025</v>
      </c>
      <c r="I467" t="str">
        <f t="shared" si="237"/>
        <v>28/01/2025</v>
      </c>
      <c r="J467" t="str">
        <f t="shared" si="235"/>
        <v>28/01/2025</v>
      </c>
      <c r="K467">
        <v>1.7</v>
      </c>
      <c r="L467">
        <v>1.7</v>
      </c>
      <c r="M467">
        <v>401</v>
      </c>
      <c r="N467" t="str">
        <f>"IOF/JUROS/DESP.FINANCEIRA"</f>
        <v>IOF/JUROS/DESP.FINANCEIRA</v>
      </c>
      <c r="O467">
        <v>1.7</v>
      </c>
      <c r="R467" t="str">
        <f>"BANCO CORA (102)"</f>
        <v>BANCO CORA (102)</v>
      </c>
      <c r="S467">
        <v>942</v>
      </c>
      <c r="T467">
        <v>0</v>
      </c>
      <c r="U467" t="s">
        <v>20</v>
      </c>
    </row>
    <row r="468" spans="1:21">
      <c r="A468" t="str">
        <f t="shared" si="234"/>
        <v>28/01/2025</v>
      </c>
      <c r="B468" t="str">
        <f>"SAÍDA"</f>
        <v>SAÍDA</v>
      </c>
      <c r="C468" t="str">
        <f>"JUROS"</f>
        <v>JUROS</v>
      </c>
      <c r="D468" t="str">
        <f>""</f>
        <v/>
      </c>
      <c r="E468" t="str">
        <f>"CXA"</f>
        <v>CXA</v>
      </c>
      <c r="F468" t="str">
        <f>""</f>
        <v/>
      </c>
      <c r="G468" t="str">
        <f>"TAXA BOLETO COMPENSADO"</f>
        <v>TAXA BOLETO COMPENSADO</v>
      </c>
      <c r="H468" t="str">
        <f t="shared" si="237"/>
        <v>28/01/2025</v>
      </c>
      <c r="I468" t="str">
        <f t="shared" si="237"/>
        <v>28/01/2025</v>
      </c>
      <c r="J468" t="str">
        <f t="shared" si="235"/>
        <v>28/01/2025</v>
      </c>
      <c r="K468">
        <v>1.7</v>
      </c>
      <c r="L468">
        <v>1.7</v>
      </c>
      <c r="M468">
        <v>401</v>
      </c>
      <c r="N468" t="str">
        <f>"IOF/JUROS/DESP.FINANCEIRA"</f>
        <v>IOF/JUROS/DESP.FINANCEIRA</v>
      </c>
      <c r="O468">
        <v>1.7</v>
      </c>
      <c r="R468" t="str">
        <f>"BANCO CORA (102)"</f>
        <v>BANCO CORA (102)</v>
      </c>
      <c r="S468">
        <v>943</v>
      </c>
      <c r="T468">
        <v>0</v>
      </c>
      <c r="U468" t="s">
        <v>20</v>
      </c>
    </row>
    <row r="469" spans="1:21">
      <c r="A469" t="str">
        <f t="shared" ref="A469:A480" si="238">("29/01/2025")</f>
        <v>29/01/2025</v>
      </c>
      <c r="B469" t="str">
        <f>"ENTRADA"</f>
        <v>ENTRADA</v>
      </c>
      <c r="C469" t="str">
        <f t="shared" ref="C469:C476" si="239">"NFSE"</f>
        <v>NFSE</v>
      </c>
      <c r="D469" t="str">
        <f>"2661"</f>
        <v>2661</v>
      </c>
      <c r="E469" t="str">
        <f t="shared" ref="E469:E477" si="240">"COM"</f>
        <v>COM</v>
      </c>
      <c r="F469" t="str">
        <f>"FARMACIA CRISTAL (10125)"</f>
        <v>FARMACIA CRISTAL (10125)</v>
      </c>
      <c r="G469" t="str">
        <f>"Serv.Prest. 20/01/2025 a 26/01/2025 - RPS: 435 - NFSe: 2661"</f>
        <v>Serv.Prest. 20/01/2025 a 26/01/2025 - RPS: 435 - NFSe: 2661</v>
      </c>
      <c r="H469" t="str">
        <f t="shared" ref="H469:H500" si="241">("29/01/2025")</f>
        <v>29/01/2025</v>
      </c>
      <c r="I469" t="str">
        <f t="shared" ref="I469:I476" si="242">("27/01/2025")</f>
        <v>27/01/2025</v>
      </c>
      <c r="J469" t="str">
        <f t="shared" ref="J469:J480" si="243">("29/01/2025")</f>
        <v>29/01/2025</v>
      </c>
      <c r="K469">
        <v>256.26</v>
      </c>
      <c r="L469">
        <v>256.26</v>
      </c>
      <c r="M469">
        <v>303</v>
      </c>
      <c r="N469" t="str">
        <f t="shared" ref="N469:N476" si="244">"RECEITAS COM ENTREGAS"</f>
        <v>RECEITAS COM ENTREGAS</v>
      </c>
      <c r="O469">
        <v>256.26</v>
      </c>
      <c r="R469" t="str">
        <f t="shared" ref="R469:R476" si="245">"RECEITAS COM ENTREGAS (303)"</f>
        <v>RECEITAS COM ENTREGAS (303)</v>
      </c>
      <c r="S469">
        <v>914</v>
      </c>
      <c r="T469">
        <v>781</v>
      </c>
      <c r="U469" t="s">
        <v>19</v>
      </c>
    </row>
    <row r="470" spans="1:21">
      <c r="A470" t="str">
        <f t="shared" si="238"/>
        <v>29/01/2025</v>
      </c>
      <c r="B470" t="str">
        <f t="shared" ref="B470:B476" si="246">"ENTRADA"</f>
        <v>ENTRADA</v>
      </c>
      <c r="C470" t="str">
        <f t="shared" si="239"/>
        <v>NFSE</v>
      </c>
      <c r="D470" t="str">
        <f>"2661"</f>
        <v>2661</v>
      </c>
      <c r="E470" t="str">
        <f t="shared" si="240"/>
        <v>COM</v>
      </c>
      <c r="F470" t="str">
        <f>"FARMACIA CRISTAL (10125)"</f>
        <v>FARMACIA CRISTAL (10125)</v>
      </c>
      <c r="G470" t="str">
        <f>"Serv.Prest. 20/01/2025 a 26/01/2025 - RPS: 435 - NFSe: 2661"</f>
        <v>Serv.Prest. 20/01/2025 a 26/01/2025 - RPS: 435 - NFSe: 2661</v>
      </c>
      <c r="H470" t="str">
        <f t="shared" si="241"/>
        <v>29/01/2025</v>
      </c>
      <c r="I470" t="str">
        <f t="shared" si="242"/>
        <v>27/01/2025</v>
      </c>
      <c r="J470" t="str">
        <f t="shared" si="243"/>
        <v>29/01/2025</v>
      </c>
      <c r="M470">
        <v>303</v>
      </c>
      <c r="N470" t="str">
        <f t="shared" si="244"/>
        <v>RECEITAS COM ENTREGAS</v>
      </c>
      <c r="P470">
        <v>256.26</v>
      </c>
      <c r="Q470" t="str">
        <f>"FARMACIA CRISTAL (10125)"</f>
        <v>FARMACIA CRISTAL (10125)</v>
      </c>
      <c r="R470" t="str">
        <f t="shared" si="245"/>
        <v>RECEITAS COM ENTREGAS (303)</v>
      </c>
      <c r="S470">
        <v>914</v>
      </c>
      <c r="T470">
        <v>781</v>
      </c>
      <c r="U470" t="s">
        <v>19</v>
      </c>
    </row>
    <row r="471" spans="1:21">
      <c r="A471" t="str">
        <f t="shared" si="238"/>
        <v>29/01/2025</v>
      </c>
      <c r="B471" t="str">
        <f t="shared" si="246"/>
        <v>ENTRADA</v>
      </c>
      <c r="C471" t="str">
        <f t="shared" si="239"/>
        <v>NFSE</v>
      </c>
      <c r="D471" t="str">
        <f>"2662"</f>
        <v>2662</v>
      </c>
      <c r="E471" t="str">
        <f t="shared" si="240"/>
        <v>COM</v>
      </c>
      <c r="F471" t="str">
        <f>"FRAN FARMA (10124)"</f>
        <v>FRAN FARMA (10124)</v>
      </c>
      <c r="G471" t="str">
        <f>"Serv.Prest. 20/01/2025 a 26/01/2025 - RPS: 436 - NFSe: 2662"</f>
        <v>Serv.Prest. 20/01/2025 a 26/01/2025 - RPS: 436 - NFSe: 2662</v>
      </c>
      <c r="H471" t="str">
        <f t="shared" si="241"/>
        <v>29/01/2025</v>
      </c>
      <c r="I471" t="str">
        <f t="shared" si="242"/>
        <v>27/01/2025</v>
      </c>
      <c r="J471" t="str">
        <f t="shared" si="243"/>
        <v>29/01/2025</v>
      </c>
      <c r="K471">
        <v>320</v>
      </c>
      <c r="L471">
        <v>320</v>
      </c>
      <c r="M471">
        <v>303</v>
      </c>
      <c r="N471" t="str">
        <f t="shared" si="244"/>
        <v>RECEITAS COM ENTREGAS</v>
      </c>
      <c r="O471">
        <v>320</v>
      </c>
      <c r="R471" t="str">
        <f t="shared" si="245"/>
        <v>RECEITAS COM ENTREGAS (303)</v>
      </c>
      <c r="S471">
        <v>915</v>
      </c>
      <c r="T471">
        <v>782</v>
      </c>
      <c r="U471" t="s">
        <v>19</v>
      </c>
    </row>
    <row r="472" spans="1:21">
      <c r="A472" t="str">
        <f t="shared" si="238"/>
        <v>29/01/2025</v>
      </c>
      <c r="B472" t="str">
        <f t="shared" si="246"/>
        <v>ENTRADA</v>
      </c>
      <c r="C472" t="str">
        <f t="shared" si="239"/>
        <v>NFSE</v>
      </c>
      <c r="D472" t="str">
        <f>"2662"</f>
        <v>2662</v>
      </c>
      <c r="E472" t="str">
        <f t="shared" si="240"/>
        <v>COM</v>
      </c>
      <c r="F472" t="str">
        <f>"FRAN FARMA (10124)"</f>
        <v>FRAN FARMA (10124)</v>
      </c>
      <c r="G472" t="str">
        <f>"Serv.Prest. 20/01/2025 a 26/01/2025 - RPS: 436 - NFSe: 2662"</f>
        <v>Serv.Prest. 20/01/2025 a 26/01/2025 - RPS: 436 - NFSe: 2662</v>
      </c>
      <c r="H472" t="str">
        <f t="shared" si="241"/>
        <v>29/01/2025</v>
      </c>
      <c r="I472" t="str">
        <f t="shared" si="242"/>
        <v>27/01/2025</v>
      </c>
      <c r="J472" t="str">
        <f t="shared" si="243"/>
        <v>29/01/2025</v>
      </c>
      <c r="M472">
        <v>303</v>
      </c>
      <c r="N472" t="str">
        <f t="shared" si="244"/>
        <v>RECEITAS COM ENTREGAS</v>
      </c>
      <c r="P472">
        <v>64</v>
      </c>
      <c r="Q472" t="str">
        <f>"FRAN FARMA (10124)"</f>
        <v>FRAN FARMA (10124)</v>
      </c>
      <c r="R472" t="str">
        <f t="shared" si="245"/>
        <v>RECEITAS COM ENTREGAS (303)</v>
      </c>
      <c r="S472">
        <v>915</v>
      </c>
      <c r="T472">
        <v>782</v>
      </c>
      <c r="U472" t="s">
        <v>19</v>
      </c>
    </row>
    <row r="473" spans="1:21">
      <c r="A473" t="str">
        <f t="shared" si="238"/>
        <v>29/01/2025</v>
      </c>
      <c r="B473" t="str">
        <f t="shared" si="246"/>
        <v>ENTRADA</v>
      </c>
      <c r="C473" t="str">
        <f t="shared" si="239"/>
        <v>NFSE</v>
      </c>
      <c r="D473" t="str">
        <f>"2662"</f>
        <v>2662</v>
      </c>
      <c r="E473" t="str">
        <f t="shared" si="240"/>
        <v>COM</v>
      </c>
      <c r="F473" t="str">
        <f>"FRAN FARMA (10124)"</f>
        <v>FRAN FARMA (10124)</v>
      </c>
      <c r="G473" t="str">
        <f>"Serv.Prest. 20/01/2025 a 26/01/2025 - RPS: 436 - NFSe: 2662"</f>
        <v>Serv.Prest. 20/01/2025 a 26/01/2025 - RPS: 436 - NFSe: 2662</v>
      </c>
      <c r="H473" t="str">
        <f t="shared" si="241"/>
        <v>29/01/2025</v>
      </c>
      <c r="I473" t="str">
        <f t="shared" si="242"/>
        <v>27/01/2025</v>
      </c>
      <c r="J473" t="str">
        <f t="shared" si="243"/>
        <v>29/01/2025</v>
      </c>
      <c r="M473">
        <v>303</v>
      </c>
      <c r="N473" t="str">
        <f t="shared" si="244"/>
        <v>RECEITAS COM ENTREGAS</v>
      </c>
      <c r="P473">
        <v>192</v>
      </c>
      <c r="Q473" t="str">
        <f>"FRAN FARMA LJ 2 (10131)"</f>
        <v>FRAN FARMA LJ 2 (10131)</v>
      </c>
      <c r="R473" t="str">
        <f t="shared" si="245"/>
        <v>RECEITAS COM ENTREGAS (303)</v>
      </c>
      <c r="S473">
        <v>915</v>
      </c>
      <c r="T473">
        <v>782</v>
      </c>
      <c r="U473" t="s">
        <v>19</v>
      </c>
    </row>
    <row r="474" spans="1:21">
      <c r="A474" t="str">
        <f t="shared" si="238"/>
        <v>29/01/2025</v>
      </c>
      <c r="B474" t="str">
        <f t="shared" si="246"/>
        <v>ENTRADA</v>
      </c>
      <c r="C474" t="str">
        <f t="shared" si="239"/>
        <v>NFSE</v>
      </c>
      <c r="D474" t="str">
        <f>"2662"</f>
        <v>2662</v>
      </c>
      <c r="E474" t="str">
        <f t="shared" si="240"/>
        <v>COM</v>
      </c>
      <c r="F474" t="str">
        <f>"FRAN FARMA (10124)"</f>
        <v>FRAN FARMA (10124)</v>
      </c>
      <c r="G474" t="str">
        <f>"Serv.Prest. 20/01/2025 a 26/01/2025 - RPS: 436 - NFSe: 2662"</f>
        <v>Serv.Prest. 20/01/2025 a 26/01/2025 - RPS: 436 - NFSe: 2662</v>
      </c>
      <c r="H474" t="str">
        <f t="shared" si="241"/>
        <v>29/01/2025</v>
      </c>
      <c r="I474" t="str">
        <f t="shared" si="242"/>
        <v>27/01/2025</v>
      </c>
      <c r="J474" t="str">
        <f t="shared" si="243"/>
        <v>29/01/2025</v>
      </c>
      <c r="M474">
        <v>303</v>
      </c>
      <c r="N474" t="str">
        <f t="shared" si="244"/>
        <v>RECEITAS COM ENTREGAS</v>
      </c>
      <c r="P474">
        <v>64</v>
      </c>
      <c r="Q474" t="str">
        <f>"FRAN FARMA LJ 3 (10132)"</f>
        <v>FRAN FARMA LJ 3 (10132)</v>
      </c>
      <c r="R474" t="str">
        <f t="shared" si="245"/>
        <v>RECEITAS COM ENTREGAS (303)</v>
      </c>
      <c r="S474">
        <v>915</v>
      </c>
      <c r="T474">
        <v>782</v>
      </c>
      <c r="U474" t="s">
        <v>19</v>
      </c>
    </row>
    <row r="475" spans="1:21">
      <c r="A475" t="str">
        <f t="shared" si="238"/>
        <v>29/01/2025</v>
      </c>
      <c r="B475" t="str">
        <f t="shared" si="246"/>
        <v>ENTRADA</v>
      </c>
      <c r="C475" t="str">
        <f t="shared" si="239"/>
        <v>NFSE</v>
      </c>
      <c r="D475" t="str">
        <f>"2665"</f>
        <v>2665</v>
      </c>
      <c r="E475" t="str">
        <f t="shared" si="240"/>
        <v>COM</v>
      </c>
      <c r="F475" t="str">
        <f>"JAL FARMACIA E DROGARIA LJ 2 (10138)"</f>
        <v>JAL FARMACIA E DROGARIA LJ 2 (10138)</v>
      </c>
      <c r="G475" t="str">
        <f>"Serv.Prest. 20/01/2025 a 26/01/2025 - RPS: 439 - NFSe: 2665"</f>
        <v>Serv.Prest. 20/01/2025 a 26/01/2025 - RPS: 439 - NFSe: 2665</v>
      </c>
      <c r="H475" t="str">
        <f t="shared" si="241"/>
        <v>29/01/2025</v>
      </c>
      <c r="I475" t="str">
        <f t="shared" si="242"/>
        <v>27/01/2025</v>
      </c>
      <c r="J475" t="str">
        <f t="shared" si="243"/>
        <v>29/01/2025</v>
      </c>
      <c r="K475">
        <v>284.8</v>
      </c>
      <c r="L475">
        <v>284.8</v>
      </c>
      <c r="M475">
        <v>303</v>
      </c>
      <c r="N475" t="str">
        <f t="shared" si="244"/>
        <v>RECEITAS COM ENTREGAS</v>
      </c>
      <c r="O475">
        <v>284.8</v>
      </c>
      <c r="R475" t="str">
        <f t="shared" si="245"/>
        <v>RECEITAS COM ENTREGAS (303)</v>
      </c>
      <c r="S475">
        <v>917</v>
      </c>
      <c r="T475">
        <v>785</v>
      </c>
      <c r="U475" t="s">
        <v>19</v>
      </c>
    </row>
    <row r="476" spans="1:21">
      <c r="A476" t="str">
        <f t="shared" si="238"/>
        <v>29/01/2025</v>
      </c>
      <c r="B476" t="str">
        <f t="shared" si="246"/>
        <v>ENTRADA</v>
      </c>
      <c r="C476" t="str">
        <f t="shared" si="239"/>
        <v>NFSE</v>
      </c>
      <c r="D476" t="str">
        <f>"2665"</f>
        <v>2665</v>
      </c>
      <c r="E476" t="str">
        <f t="shared" si="240"/>
        <v>COM</v>
      </c>
      <c r="F476" t="str">
        <f>"JAL FARMACIA E DROGARIA LJ 2 (10138)"</f>
        <v>JAL FARMACIA E DROGARIA LJ 2 (10138)</v>
      </c>
      <c r="G476" t="str">
        <f>"Serv.Prest. 20/01/2025 a 26/01/2025 - RPS: 439 - NFSe: 2665"</f>
        <v>Serv.Prest. 20/01/2025 a 26/01/2025 - RPS: 439 - NFSe: 2665</v>
      </c>
      <c r="H476" t="str">
        <f t="shared" si="241"/>
        <v>29/01/2025</v>
      </c>
      <c r="I476" t="str">
        <f t="shared" si="242"/>
        <v>27/01/2025</v>
      </c>
      <c r="J476" t="str">
        <f t="shared" si="243"/>
        <v>29/01/2025</v>
      </c>
      <c r="M476">
        <v>303</v>
      </c>
      <c r="N476" t="str">
        <f t="shared" si="244"/>
        <v>RECEITAS COM ENTREGAS</v>
      </c>
      <c r="P476">
        <v>284.8</v>
      </c>
      <c r="Q476" t="str">
        <f>"JAL FARMACIA E DROGARIA LJ 2 (10138)"</f>
        <v>JAL FARMACIA E DROGARIA LJ 2 (10138)</v>
      </c>
      <c r="R476" t="str">
        <f t="shared" si="245"/>
        <v>RECEITAS COM ENTREGAS (303)</v>
      </c>
      <c r="S476">
        <v>917</v>
      </c>
      <c r="T476">
        <v>785</v>
      </c>
      <c r="U476" t="s">
        <v>19</v>
      </c>
    </row>
    <row r="477" spans="1:21">
      <c r="A477" t="str">
        <f t="shared" si="238"/>
        <v>29/01/2025</v>
      </c>
      <c r="B477" t="str">
        <f>"SAÍDA"</f>
        <v>SAÍDA</v>
      </c>
      <c r="C477" t="str">
        <f>"PIX"</f>
        <v>PIX</v>
      </c>
      <c r="D477" t="str">
        <f>"2901"</f>
        <v>2901</v>
      </c>
      <c r="E477" t="str">
        <f t="shared" si="240"/>
        <v>COM</v>
      </c>
      <c r="F477" t="str">
        <f>"MONGERAL AEGON SEGUROS E PREVIDENCIA SA (20063)"</f>
        <v>MONGERAL AEGON SEGUROS E PREVIDENCIA SA (20063)</v>
      </c>
      <c r="G477" t="str">
        <f>"SEGURO DE VIDA SOCIOS - PIX propostavg@mag.com.br"</f>
        <v>SEGURO DE VIDA SOCIOS - PIX propostavg@mag.com.br</v>
      </c>
      <c r="H477" t="str">
        <f t="shared" si="241"/>
        <v>29/01/2025</v>
      </c>
      <c r="I477" t="str">
        <f>("29/01/2025")</f>
        <v>29/01/2025</v>
      </c>
      <c r="J477" t="str">
        <f t="shared" si="243"/>
        <v>29/01/2025</v>
      </c>
      <c r="K477">
        <v>228.37</v>
      </c>
      <c r="L477">
        <v>228.37</v>
      </c>
      <c r="M477">
        <v>192</v>
      </c>
      <c r="N477" t="str">
        <f>"PLANOS E SEGUROS"</f>
        <v>PLANOS E SEGUROS</v>
      </c>
      <c r="O477">
        <v>228.37</v>
      </c>
      <c r="R477" t="str">
        <f>"BANCO CORA (102)"</f>
        <v>BANCO CORA (102)</v>
      </c>
      <c r="S477">
        <v>938</v>
      </c>
      <c r="T477">
        <v>794</v>
      </c>
      <c r="U477" t="s">
        <v>19</v>
      </c>
    </row>
    <row r="478" spans="1:21">
      <c r="A478" t="str">
        <f t="shared" si="238"/>
        <v>29/01/2025</v>
      </c>
      <c r="B478" t="str">
        <f>"SAÍDA"</f>
        <v>SAÍDA</v>
      </c>
      <c r="C478" t="str">
        <f>"JUROS"</f>
        <v>JUROS</v>
      </c>
      <c r="D478" t="str">
        <f>""</f>
        <v/>
      </c>
      <c r="E478" t="str">
        <f>"CXA"</f>
        <v>CXA</v>
      </c>
      <c r="F478" t="str">
        <f>""</f>
        <v/>
      </c>
      <c r="G478" t="str">
        <f>"TAXA BOLETO COMPENSADO"</f>
        <v>TAXA BOLETO COMPENSADO</v>
      </c>
      <c r="H478" t="str">
        <f t="shared" si="241"/>
        <v>29/01/2025</v>
      </c>
      <c r="I478" t="str">
        <f>("29/01/2025")</f>
        <v>29/01/2025</v>
      </c>
      <c r="J478" t="str">
        <f t="shared" si="243"/>
        <v>29/01/2025</v>
      </c>
      <c r="K478">
        <v>1.7</v>
      </c>
      <c r="L478">
        <v>1.7</v>
      </c>
      <c r="M478">
        <v>401</v>
      </c>
      <c r="N478" t="str">
        <f>"IOF/JUROS/DESP.FINANCEIRA"</f>
        <v>IOF/JUROS/DESP.FINANCEIRA</v>
      </c>
      <c r="O478">
        <v>1.7</v>
      </c>
      <c r="R478" t="str">
        <f>"BANCO CORA (102)"</f>
        <v>BANCO CORA (102)</v>
      </c>
      <c r="S478">
        <v>939</v>
      </c>
      <c r="T478">
        <v>0</v>
      </c>
      <c r="U478" t="s">
        <v>20</v>
      </c>
    </row>
    <row r="479" spans="1:21">
      <c r="A479" t="str">
        <f t="shared" si="238"/>
        <v>29/01/2025</v>
      </c>
      <c r="B479" t="str">
        <f>"SAÍDA"</f>
        <v>SAÍDA</v>
      </c>
      <c r="C479" t="str">
        <f>"JUROS"</f>
        <v>JUROS</v>
      </c>
      <c r="D479" t="str">
        <f>""</f>
        <v/>
      </c>
      <c r="E479" t="str">
        <f>"CXA"</f>
        <v>CXA</v>
      </c>
      <c r="F479" t="str">
        <f>""</f>
        <v/>
      </c>
      <c r="G479" t="str">
        <f>"TAXA BOLETO COMPENSADO"</f>
        <v>TAXA BOLETO COMPENSADO</v>
      </c>
      <c r="H479" t="str">
        <f t="shared" si="241"/>
        <v>29/01/2025</v>
      </c>
      <c r="I479" t="str">
        <f>("29/01/2025")</f>
        <v>29/01/2025</v>
      </c>
      <c r="J479" t="str">
        <f t="shared" si="243"/>
        <v>29/01/2025</v>
      </c>
      <c r="K479">
        <v>1.7</v>
      </c>
      <c r="L479">
        <v>1.7</v>
      </c>
      <c r="M479">
        <v>401</v>
      </c>
      <c r="N479" t="str">
        <f>"IOF/JUROS/DESP.FINANCEIRA"</f>
        <v>IOF/JUROS/DESP.FINANCEIRA</v>
      </c>
      <c r="O479">
        <v>1.7</v>
      </c>
      <c r="R479" t="str">
        <f>"BANCO CORA (102)"</f>
        <v>BANCO CORA (102)</v>
      </c>
      <c r="S479">
        <v>940</v>
      </c>
      <c r="T479">
        <v>0</v>
      </c>
      <c r="U479" t="s">
        <v>20</v>
      </c>
    </row>
    <row r="480" spans="1:21">
      <c r="A480" t="str">
        <f t="shared" si="238"/>
        <v>29/01/2025</v>
      </c>
      <c r="B480" t="str">
        <f>"SAÍDA"</f>
        <v>SAÍDA</v>
      </c>
      <c r="C480" t="str">
        <f>"JUROS"</f>
        <v>JUROS</v>
      </c>
      <c r="D480" t="str">
        <f>""</f>
        <v/>
      </c>
      <c r="E480" t="str">
        <f>"CXA"</f>
        <v>CXA</v>
      </c>
      <c r="F480" t="str">
        <f>""</f>
        <v/>
      </c>
      <c r="G480" t="str">
        <f>"TAXA BOLETO COMPENSADO"</f>
        <v>TAXA BOLETO COMPENSADO</v>
      </c>
      <c r="H480" t="str">
        <f t="shared" si="241"/>
        <v>29/01/2025</v>
      </c>
      <c r="I480" t="str">
        <f>("29/01/2025")</f>
        <v>29/01/2025</v>
      </c>
      <c r="J480" t="str">
        <f t="shared" si="243"/>
        <v>29/01/2025</v>
      </c>
      <c r="K480">
        <v>1.7</v>
      </c>
      <c r="L480">
        <v>1.7</v>
      </c>
      <c r="M480">
        <v>401</v>
      </c>
      <c r="N480" t="str">
        <f>"IOF/JUROS/DESP.FINANCEIRA"</f>
        <v>IOF/JUROS/DESP.FINANCEIRA</v>
      </c>
      <c r="O480">
        <v>1.7</v>
      </c>
      <c r="R480" t="str">
        <f>"BANCO CORA (102)"</f>
        <v>BANCO CORA (102)</v>
      </c>
      <c r="S480">
        <v>941</v>
      </c>
      <c r="T480">
        <v>0</v>
      </c>
      <c r="U480" t="s">
        <v>20</v>
      </c>
    </row>
    <row r="481" spans="1:21">
      <c r="A481" t="str">
        <f t="shared" ref="A481:A512" si="247">("30/01/2025")</f>
        <v>30/01/2025</v>
      </c>
      <c r="B481" t="str">
        <f>"ENTRADA"</f>
        <v>ENTRADA</v>
      </c>
      <c r="C481" t="str">
        <f t="shared" ref="C481:C512" si="248">"NFSE"</f>
        <v>NFSE</v>
      </c>
      <c r="D481" t="str">
        <f t="shared" ref="D481:D526" si="249">"2652"</f>
        <v>2652</v>
      </c>
      <c r="E481" t="str">
        <f t="shared" ref="E481:E512" si="250">"COM"</f>
        <v>COM</v>
      </c>
      <c r="F481" t="str">
        <f t="shared" ref="F481:F526" si="251">"FARMÁCIA INDIANA LJ 1 (10126)"</f>
        <v>FARMÁCIA INDIANA LJ 1 (10126)</v>
      </c>
      <c r="G481" t="str">
        <f t="shared" ref="G481:G526" si="252">"Serv.Prest. 13/01/2025 a 19/01/2025 - RPS: 426 - NFSe: 2652"</f>
        <v>Serv.Prest. 13/01/2025 a 19/01/2025 - RPS: 426 - NFSe: 2652</v>
      </c>
      <c r="H481" t="str">
        <f t="shared" si="241"/>
        <v>29/01/2025</v>
      </c>
      <c r="I481" t="str">
        <f t="shared" ref="I481:I512" si="253">("21/01/2025")</f>
        <v>21/01/2025</v>
      </c>
      <c r="J481" t="str">
        <f t="shared" ref="J481:J512" si="254">("30/01/2025")</f>
        <v>30/01/2025</v>
      </c>
      <c r="K481">
        <v>11361.87</v>
      </c>
      <c r="L481">
        <v>11361.87</v>
      </c>
      <c r="M481">
        <v>303</v>
      </c>
      <c r="N481" t="str">
        <f t="shared" ref="N481:N512" si="255">"RECEITAS COM ENTREGAS"</f>
        <v>RECEITAS COM ENTREGAS</v>
      </c>
      <c r="O481">
        <v>11361.87</v>
      </c>
      <c r="R481" t="str">
        <f t="shared" ref="R481:R512" si="256">"RECEITAS COM ENTREGAS (303)"</f>
        <v>RECEITAS COM ENTREGAS (303)</v>
      </c>
      <c r="S481">
        <v>944</v>
      </c>
      <c r="T481">
        <v>772</v>
      </c>
      <c r="U481" t="s">
        <v>19</v>
      </c>
    </row>
    <row r="482" spans="1:21">
      <c r="A482" t="str">
        <f t="shared" si="247"/>
        <v>30/01/2025</v>
      </c>
      <c r="B482" t="str">
        <f t="shared" ref="B482:B545" si="257">"ENTRADA"</f>
        <v>ENTRADA</v>
      </c>
      <c r="C482" t="str">
        <f t="shared" si="248"/>
        <v>NFSE</v>
      </c>
      <c r="D482" t="str">
        <f t="shared" si="249"/>
        <v>2652</v>
      </c>
      <c r="E482" t="str">
        <f t="shared" si="250"/>
        <v>COM</v>
      </c>
      <c r="F482" t="str">
        <f t="shared" si="251"/>
        <v>FARMÁCIA INDIANA LJ 1 (10126)</v>
      </c>
      <c r="G482" t="str">
        <f t="shared" si="252"/>
        <v>Serv.Prest. 13/01/2025 a 19/01/2025 - RPS: 426 - NFSe: 2652</v>
      </c>
      <c r="H482" t="str">
        <f t="shared" si="241"/>
        <v>29/01/2025</v>
      </c>
      <c r="I482" t="str">
        <f t="shared" si="253"/>
        <v>21/01/2025</v>
      </c>
      <c r="J482" t="str">
        <f t="shared" si="254"/>
        <v>30/01/2025</v>
      </c>
      <c r="M482">
        <v>303</v>
      </c>
      <c r="N482" t="str">
        <f t="shared" si="255"/>
        <v>RECEITAS COM ENTREGAS</v>
      </c>
      <c r="P482">
        <v>1813.38</v>
      </c>
      <c r="Q482" t="str">
        <f>"FARMÁCIA INDIANA LJ 06 (10006)"</f>
        <v>FARMÁCIA INDIANA LJ 06 (10006)</v>
      </c>
      <c r="R482" t="str">
        <f t="shared" si="256"/>
        <v>RECEITAS COM ENTREGAS (303)</v>
      </c>
      <c r="S482">
        <v>944</v>
      </c>
      <c r="T482">
        <v>772</v>
      </c>
      <c r="U482" t="s">
        <v>19</v>
      </c>
    </row>
    <row r="483" spans="1:21">
      <c r="A483" t="str">
        <f t="shared" si="247"/>
        <v>30/01/2025</v>
      </c>
      <c r="B483" t="str">
        <f t="shared" si="257"/>
        <v>ENTRADA</v>
      </c>
      <c r="C483" t="str">
        <f t="shared" si="248"/>
        <v>NFSE</v>
      </c>
      <c r="D483" t="str">
        <f t="shared" si="249"/>
        <v>2652</v>
      </c>
      <c r="E483" t="str">
        <f t="shared" si="250"/>
        <v>COM</v>
      </c>
      <c r="F483" t="str">
        <f t="shared" si="251"/>
        <v>FARMÁCIA INDIANA LJ 1 (10126)</v>
      </c>
      <c r="G483" t="str">
        <f t="shared" si="252"/>
        <v>Serv.Prest. 13/01/2025 a 19/01/2025 - RPS: 426 - NFSe: 2652</v>
      </c>
      <c r="H483" t="str">
        <f t="shared" si="241"/>
        <v>29/01/2025</v>
      </c>
      <c r="I483" t="str">
        <f t="shared" si="253"/>
        <v>21/01/2025</v>
      </c>
      <c r="J483" t="str">
        <f t="shared" si="254"/>
        <v>30/01/2025</v>
      </c>
      <c r="M483">
        <v>303</v>
      </c>
      <c r="N483" t="str">
        <f t="shared" si="255"/>
        <v>RECEITAS COM ENTREGAS</v>
      </c>
      <c r="P483">
        <v>1093.01</v>
      </c>
      <c r="Q483" t="str">
        <f>"FARMÁCIA INDIANA LJ 07 (10007)"</f>
        <v>FARMÁCIA INDIANA LJ 07 (10007)</v>
      </c>
      <c r="R483" t="str">
        <f t="shared" si="256"/>
        <v>RECEITAS COM ENTREGAS (303)</v>
      </c>
      <c r="S483">
        <v>944</v>
      </c>
      <c r="T483">
        <v>772</v>
      </c>
      <c r="U483" t="s">
        <v>19</v>
      </c>
    </row>
    <row r="484" spans="1:21">
      <c r="A484" t="str">
        <f t="shared" si="247"/>
        <v>30/01/2025</v>
      </c>
      <c r="B484" t="str">
        <f t="shared" si="257"/>
        <v>ENTRADA</v>
      </c>
      <c r="C484" t="str">
        <f t="shared" si="248"/>
        <v>NFSE</v>
      </c>
      <c r="D484" t="str">
        <f t="shared" si="249"/>
        <v>2652</v>
      </c>
      <c r="E484" t="str">
        <f t="shared" si="250"/>
        <v>COM</v>
      </c>
      <c r="F484" t="str">
        <f t="shared" si="251"/>
        <v>FARMÁCIA INDIANA LJ 1 (10126)</v>
      </c>
      <c r="G484" t="str">
        <f t="shared" si="252"/>
        <v>Serv.Prest. 13/01/2025 a 19/01/2025 - RPS: 426 - NFSe: 2652</v>
      </c>
      <c r="H484" t="str">
        <f t="shared" si="241"/>
        <v>29/01/2025</v>
      </c>
      <c r="I484" t="str">
        <f t="shared" si="253"/>
        <v>21/01/2025</v>
      </c>
      <c r="J484" t="str">
        <f t="shared" si="254"/>
        <v>30/01/2025</v>
      </c>
      <c r="M484">
        <v>303</v>
      </c>
      <c r="N484" t="str">
        <f t="shared" si="255"/>
        <v>RECEITAS COM ENTREGAS</v>
      </c>
      <c r="P484">
        <v>935.08</v>
      </c>
      <c r="Q484" t="str">
        <f>"FARMÁCIA INDIANA LJ 11 (10008)"</f>
        <v>FARMÁCIA INDIANA LJ 11 (10008)</v>
      </c>
      <c r="R484" t="str">
        <f t="shared" si="256"/>
        <v>RECEITAS COM ENTREGAS (303)</v>
      </c>
      <c r="S484">
        <v>944</v>
      </c>
      <c r="T484">
        <v>772</v>
      </c>
      <c r="U484" t="s">
        <v>19</v>
      </c>
    </row>
    <row r="485" spans="1:21">
      <c r="A485" t="str">
        <f t="shared" si="247"/>
        <v>30/01/2025</v>
      </c>
      <c r="B485" t="str">
        <f t="shared" si="257"/>
        <v>ENTRADA</v>
      </c>
      <c r="C485" t="str">
        <f t="shared" si="248"/>
        <v>NFSE</v>
      </c>
      <c r="D485" t="str">
        <f t="shared" si="249"/>
        <v>2652</v>
      </c>
      <c r="E485" t="str">
        <f t="shared" si="250"/>
        <v>COM</v>
      </c>
      <c r="F485" t="str">
        <f t="shared" si="251"/>
        <v>FARMÁCIA INDIANA LJ 1 (10126)</v>
      </c>
      <c r="G485" t="str">
        <f t="shared" si="252"/>
        <v>Serv.Prest. 13/01/2025 a 19/01/2025 - RPS: 426 - NFSe: 2652</v>
      </c>
      <c r="H485" t="str">
        <f t="shared" si="241"/>
        <v>29/01/2025</v>
      </c>
      <c r="I485" t="str">
        <f t="shared" si="253"/>
        <v>21/01/2025</v>
      </c>
      <c r="J485" t="str">
        <f t="shared" si="254"/>
        <v>30/01/2025</v>
      </c>
      <c r="M485">
        <v>303</v>
      </c>
      <c r="N485" t="str">
        <f t="shared" si="255"/>
        <v>RECEITAS COM ENTREGAS</v>
      </c>
      <c r="P485">
        <v>287.45999999999998</v>
      </c>
      <c r="Q485" t="str">
        <f>"FARMÁCIA INDIANA LJ 14 (10009)"</f>
        <v>FARMÁCIA INDIANA LJ 14 (10009)</v>
      </c>
      <c r="R485" t="str">
        <f t="shared" si="256"/>
        <v>RECEITAS COM ENTREGAS (303)</v>
      </c>
      <c r="S485">
        <v>944</v>
      </c>
      <c r="T485">
        <v>772</v>
      </c>
      <c r="U485" t="s">
        <v>19</v>
      </c>
    </row>
    <row r="486" spans="1:21">
      <c r="A486" t="str">
        <f t="shared" si="247"/>
        <v>30/01/2025</v>
      </c>
      <c r="B486" t="str">
        <f t="shared" si="257"/>
        <v>ENTRADA</v>
      </c>
      <c r="C486" t="str">
        <f t="shared" si="248"/>
        <v>NFSE</v>
      </c>
      <c r="D486" t="str">
        <f t="shared" si="249"/>
        <v>2652</v>
      </c>
      <c r="E486" t="str">
        <f t="shared" si="250"/>
        <v>COM</v>
      </c>
      <c r="F486" t="str">
        <f t="shared" si="251"/>
        <v>FARMÁCIA INDIANA LJ 1 (10126)</v>
      </c>
      <c r="G486" t="str">
        <f t="shared" si="252"/>
        <v>Serv.Prest. 13/01/2025 a 19/01/2025 - RPS: 426 - NFSe: 2652</v>
      </c>
      <c r="H486" t="str">
        <f t="shared" si="241"/>
        <v>29/01/2025</v>
      </c>
      <c r="I486" t="str">
        <f t="shared" si="253"/>
        <v>21/01/2025</v>
      </c>
      <c r="J486" t="str">
        <f t="shared" si="254"/>
        <v>30/01/2025</v>
      </c>
      <c r="M486">
        <v>303</v>
      </c>
      <c r="N486" t="str">
        <f t="shared" si="255"/>
        <v>RECEITAS COM ENTREGAS</v>
      </c>
      <c r="P486">
        <v>365.85</v>
      </c>
      <c r="Q486" t="str">
        <f>"FARMÁCIA INDIANA LJ 18 (10011)"</f>
        <v>FARMÁCIA INDIANA LJ 18 (10011)</v>
      </c>
      <c r="R486" t="str">
        <f t="shared" si="256"/>
        <v>RECEITAS COM ENTREGAS (303)</v>
      </c>
      <c r="S486">
        <v>944</v>
      </c>
      <c r="T486">
        <v>772</v>
      </c>
      <c r="U486" t="s">
        <v>19</v>
      </c>
    </row>
    <row r="487" spans="1:21">
      <c r="A487" t="str">
        <f t="shared" si="247"/>
        <v>30/01/2025</v>
      </c>
      <c r="B487" t="str">
        <f t="shared" si="257"/>
        <v>ENTRADA</v>
      </c>
      <c r="C487" t="str">
        <f t="shared" si="248"/>
        <v>NFSE</v>
      </c>
      <c r="D487" t="str">
        <f t="shared" si="249"/>
        <v>2652</v>
      </c>
      <c r="E487" t="str">
        <f t="shared" si="250"/>
        <v>COM</v>
      </c>
      <c r="F487" t="str">
        <f t="shared" si="251"/>
        <v>FARMÁCIA INDIANA LJ 1 (10126)</v>
      </c>
      <c r="G487" t="str">
        <f t="shared" si="252"/>
        <v>Serv.Prest. 13/01/2025 a 19/01/2025 - RPS: 426 - NFSe: 2652</v>
      </c>
      <c r="H487" t="str">
        <f t="shared" si="241"/>
        <v>29/01/2025</v>
      </c>
      <c r="I487" t="str">
        <f t="shared" si="253"/>
        <v>21/01/2025</v>
      </c>
      <c r="J487" t="str">
        <f t="shared" si="254"/>
        <v>30/01/2025</v>
      </c>
      <c r="M487">
        <v>303</v>
      </c>
      <c r="N487" t="str">
        <f t="shared" si="255"/>
        <v>RECEITAS COM ENTREGAS</v>
      </c>
      <c r="P487">
        <v>298.82</v>
      </c>
      <c r="Q487" t="str">
        <f>"FARMÁCIA INDIANA LJ 19 (10012)"</f>
        <v>FARMÁCIA INDIANA LJ 19 (10012)</v>
      </c>
      <c r="R487" t="str">
        <f t="shared" si="256"/>
        <v>RECEITAS COM ENTREGAS (303)</v>
      </c>
      <c r="S487">
        <v>944</v>
      </c>
      <c r="T487">
        <v>772</v>
      </c>
      <c r="U487" t="s">
        <v>19</v>
      </c>
    </row>
    <row r="488" spans="1:21">
      <c r="A488" t="str">
        <f t="shared" si="247"/>
        <v>30/01/2025</v>
      </c>
      <c r="B488" t="str">
        <f t="shared" si="257"/>
        <v>ENTRADA</v>
      </c>
      <c r="C488" t="str">
        <f t="shared" si="248"/>
        <v>NFSE</v>
      </c>
      <c r="D488" t="str">
        <f t="shared" si="249"/>
        <v>2652</v>
      </c>
      <c r="E488" t="str">
        <f t="shared" si="250"/>
        <v>COM</v>
      </c>
      <c r="F488" t="str">
        <f t="shared" si="251"/>
        <v>FARMÁCIA INDIANA LJ 1 (10126)</v>
      </c>
      <c r="G488" t="str">
        <f t="shared" si="252"/>
        <v>Serv.Prest. 13/01/2025 a 19/01/2025 - RPS: 426 - NFSe: 2652</v>
      </c>
      <c r="H488" t="str">
        <f t="shared" si="241"/>
        <v>29/01/2025</v>
      </c>
      <c r="I488" t="str">
        <f t="shared" si="253"/>
        <v>21/01/2025</v>
      </c>
      <c r="J488" t="str">
        <f t="shared" si="254"/>
        <v>30/01/2025</v>
      </c>
      <c r="M488">
        <v>303</v>
      </c>
      <c r="N488" t="str">
        <f t="shared" si="255"/>
        <v>RECEITAS COM ENTREGAS</v>
      </c>
      <c r="P488">
        <v>437.43</v>
      </c>
      <c r="Q488" t="str">
        <f>"FARMÁCIA INDIANA LJ 40 (10016)"</f>
        <v>FARMÁCIA INDIANA LJ 40 (10016)</v>
      </c>
      <c r="R488" t="str">
        <f t="shared" si="256"/>
        <v>RECEITAS COM ENTREGAS (303)</v>
      </c>
      <c r="S488">
        <v>944</v>
      </c>
      <c r="T488">
        <v>772</v>
      </c>
      <c r="U488" t="s">
        <v>19</v>
      </c>
    </row>
    <row r="489" spans="1:21">
      <c r="A489" t="str">
        <f t="shared" si="247"/>
        <v>30/01/2025</v>
      </c>
      <c r="B489" t="str">
        <f t="shared" si="257"/>
        <v>ENTRADA</v>
      </c>
      <c r="C489" t="str">
        <f t="shared" si="248"/>
        <v>NFSE</v>
      </c>
      <c r="D489" t="str">
        <f t="shared" si="249"/>
        <v>2652</v>
      </c>
      <c r="E489" t="str">
        <f t="shared" si="250"/>
        <v>COM</v>
      </c>
      <c r="F489" t="str">
        <f t="shared" si="251"/>
        <v>FARMÁCIA INDIANA LJ 1 (10126)</v>
      </c>
      <c r="G489" t="str">
        <f t="shared" si="252"/>
        <v>Serv.Prest. 13/01/2025 a 19/01/2025 - RPS: 426 - NFSe: 2652</v>
      </c>
      <c r="H489" t="str">
        <f t="shared" si="241"/>
        <v>29/01/2025</v>
      </c>
      <c r="I489" t="str">
        <f t="shared" si="253"/>
        <v>21/01/2025</v>
      </c>
      <c r="J489" t="str">
        <f t="shared" si="254"/>
        <v>30/01/2025</v>
      </c>
      <c r="M489">
        <v>303</v>
      </c>
      <c r="N489" t="str">
        <f t="shared" si="255"/>
        <v>RECEITAS COM ENTREGAS</v>
      </c>
      <c r="P489">
        <v>276.08999999999997</v>
      </c>
      <c r="Q489" t="str">
        <f>"FARMÁCIA INDIANA LJ 59 (10026)"</f>
        <v>FARMÁCIA INDIANA LJ 59 (10026)</v>
      </c>
      <c r="R489" t="str">
        <f t="shared" si="256"/>
        <v>RECEITAS COM ENTREGAS (303)</v>
      </c>
      <c r="S489">
        <v>944</v>
      </c>
      <c r="T489">
        <v>772</v>
      </c>
      <c r="U489" t="s">
        <v>19</v>
      </c>
    </row>
    <row r="490" spans="1:21">
      <c r="A490" t="str">
        <f t="shared" si="247"/>
        <v>30/01/2025</v>
      </c>
      <c r="B490" t="str">
        <f t="shared" si="257"/>
        <v>ENTRADA</v>
      </c>
      <c r="C490" t="str">
        <f t="shared" si="248"/>
        <v>NFSE</v>
      </c>
      <c r="D490" t="str">
        <f t="shared" si="249"/>
        <v>2652</v>
      </c>
      <c r="E490" t="str">
        <f t="shared" si="250"/>
        <v>COM</v>
      </c>
      <c r="F490" t="str">
        <f t="shared" si="251"/>
        <v>FARMÁCIA INDIANA LJ 1 (10126)</v>
      </c>
      <c r="G490" t="str">
        <f t="shared" si="252"/>
        <v>Serv.Prest. 13/01/2025 a 19/01/2025 - RPS: 426 - NFSe: 2652</v>
      </c>
      <c r="H490" t="str">
        <f t="shared" si="241"/>
        <v>29/01/2025</v>
      </c>
      <c r="I490" t="str">
        <f t="shared" si="253"/>
        <v>21/01/2025</v>
      </c>
      <c r="J490" t="str">
        <f t="shared" si="254"/>
        <v>30/01/2025</v>
      </c>
      <c r="M490">
        <v>303</v>
      </c>
      <c r="N490" t="str">
        <f t="shared" si="255"/>
        <v>RECEITAS COM ENTREGAS</v>
      </c>
      <c r="P490">
        <v>430.61</v>
      </c>
      <c r="Q490" t="str">
        <f>"FARMÁCIA INDIANA LJ 61 (10027)"</f>
        <v>FARMÁCIA INDIANA LJ 61 (10027)</v>
      </c>
      <c r="R490" t="str">
        <f t="shared" si="256"/>
        <v>RECEITAS COM ENTREGAS (303)</v>
      </c>
      <c r="S490">
        <v>944</v>
      </c>
      <c r="T490">
        <v>772</v>
      </c>
      <c r="U490" t="s">
        <v>19</v>
      </c>
    </row>
    <row r="491" spans="1:21">
      <c r="A491" t="str">
        <f t="shared" si="247"/>
        <v>30/01/2025</v>
      </c>
      <c r="B491" t="str">
        <f t="shared" si="257"/>
        <v>ENTRADA</v>
      </c>
      <c r="C491" t="str">
        <f t="shared" si="248"/>
        <v>NFSE</v>
      </c>
      <c r="D491" t="str">
        <f t="shared" si="249"/>
        <v>2652</v>
      </c>
      <c r="E491" t="str">
        <f t="shared" si="250"/>
        <v>COM</v>
      </c>
      <c r="F491" t="str">
        <f t="shared" si="251"/>
        <v>FARMÁCIA INDIANA LJ 1 (10126)</v>
      </c>
      <c r="G491" t="str">
        <f t="shared" si="252"/>
        <v>Serv.Prest. 13/01/2025 a 19/01/2025 - RPS: 426 - NFSe: 2652</v>
      </c>
      <c r="H491" t="str">
        <f t="shared" si="241"/>
        <v>29/01/2025</v>
      </c>
      <c r="I491" t="str">
        <f t="shared" si="253"/>
        <v>21/01/2025</v>
      </c>
      <c r="J491" t="str">
        <f t="shared" si="254"/>
        <v>30/01/2025</v>
      </c>
      <c r="M491">
        <v>303</v>
      </c>
      <c r="N491" t="str">
        <f t="shared" si="255"/>
        <v>RECEITAS COM ENTREGAS</v>
      </c>
      <c r="P491">
        <v>246.55</v>
      </c>
      <c r="Q491" t="str">
        <f>"FARMÁCIA INDIANA LJ 62 (10028)"</f>
        <v>FARMÁCIA INDIANA LJ 62 (10028)</v>
      </c>
      <c r="R491" t="str">
        <f t="shared" si="256"/>
        <v>RECEITAS COM ENTREGAS (303)</v>
      </c>
      <c r="S491">
        <v>944</v>
      </c>
      <c r="T491">
        <v>772</v>
      </c>
      <c r="U491" t="s">
        <v>19</v>
      </c>
    </row>
    <row r="492" spans="1:21">
      <c r="A492" t="str">
        <f t="shared" si="247"/>
        <v>30/01/2025</v>
      </c>
      <c r="B492" t="str">
        <f t="shared" si="257"/>
        <v>ENTRADA</v>
      </c>
      <c r="C492" t="str">
        <f t="shared" si="248"/>
        <v>NFSE</v>
      </c>
      <c r="D492" t="str">
        <f t="shared" si="249"/>
        <v>2652</v>
      </c>
      <c r="E492" t="str">
        <f t="shared" si="250"/>
        <v>COM</v>
      </c>
      <c r="F492" t="str">
        <f t="shared" si="251"/>
        <v>FARMÁCIA INDIANA LJ 1 (10126)</v>
      </c>
      <c r="G492" t="str">
        <f t="shared" si="252"/>
        <v>Serv.Prest. 13/01/2025 a 19/01/2025 - RPS: 426 - NFSe: 2652</v>
      </c>
      <c r="H492" t="str">
        <f t="shared" si="241"/>
        <v>29/01/2025</v>
      </c>
      <c r="I492" t="str">
        <f t="shared" si="253"/>
        <v>21/01/2025</v>
      </c>
      <c r="J492" t="str">
        <f t="shared" si="254"/>
        <v>30/01/2025</v>
      </c>
      <c r="M492">
        <v>303</v>
      </c>
      <c r="N492" t="str">
        <f t="shared" si="255"/>
        <v>RECEITAS COM ENTREGAS</v>
      </c>
      <c r="P492">
        <v>114.75</v>
      </c>
      <c r="Q492" t="str">
        <f>"FARMÁCIA INDIANA LJ 64 (10029)"</f>
        <v>FARMÁCIA INDIANA LJ 64 (10029)</v>
      </c>
      <c r="R492" t="str">
        <f t="shared" si="256"/>
        <v>RECEITAS COM ENTREGAS (303)</v>
      </c>
      <c r="S492">
        <v>944</v>
      </c>
      <c r="T492">
        <v>772</v>
      </c>
      <c r="U492" t="s">
        <v>19</v>
      </c>
    </row>
    <row r="493" spans="1:21">
      <c r="A493" t="str">
        <f t="shared" si="247"/>
        <v>30/01/2025</v>
      </c>
      <c r="B493" t="str">
        <f t="shared" si="257"/>
        <v>ENTRADA</v>
      </c>
      <c r="C493" t="str">
        <f t="shared" si="248"/>
        <v>NFSE</v>
      </c>
      <c r="D493" t="str">
        <f t="shared" si="249"/>
        <v>2652</v>
      </c>
      <c r="E493" t="str">
        <f t="shared" si="250"/>
        <v>COM</v>
      </c>
      <c r="F493" t="str">
        <f t="shared" si="251"/>
        <v>FARMÁCIA INDIANA LJ 1 (10126)</v>
      </c>
      <c r="G493" t="str">
        <f t="shared" si="252"/>
        <v>Serv.Prest. 13/01/2025 a 19/01/2025 - RPS: 426 - NFSe: 2652</v>
      </c>
      <c r="H493" t="str">
        <f t="shared" si="241"/>
        <v>29/01/2025</v>
      </c>
      <c r="I493" t="str">
        <f t="shared" si="253"/>
        <v>21/01/2025</v>
      </c>
      <c r="J493" t="str">
        <f t="shared" si="254"/>
        <v>30/01/2025</v>
      </c>
      <c r="M493">
        <v>303</v>
      </c>
      <c r="N493" t="str">
        <f t="shared" si="255"/>
        <v>RECEITAS COM ENTREGAS</v>
      </c>
      <c r="P493">
        <v>54.54</v>
      </c>
      <c r="Q493" t="str">
        <f>"FARMÁCIA INDIANA LJ 97 (10040)"</f>
        <v>FARMÁCIA INDIANA LJ 97 (10040)</v>
      </c>
      <c r="R493" t="str">
        <f t="shared" si="256"/>
        <v>RECEITAS COM ENTREGAS (303)</v>
      </c>
      <c r="S493">
        <v>944</v>
      </c>
      <c r="T493">
        <v>772</v>
      </c>
      <c r="U493" t="s">
        <v>19</v>
      </c>
    </row>
    <row r="494" spans="1:21">
      <c r="A494" t="str">
        <f t="shared" si="247"/>
        <v>30/01/2025</v>
      </c>
      <c r="B494" t="str">
        <f t="shared" si="257"/>
        <v>ENTRADA</v>
      </c>
      <c r="C494" t="str">
        <f t="shared" si="248"/>
        <v>NFSE</v>
      </c>
      <c r="D494" t="str">
        <f t="shared" si="249"/>
        <v>2652</v>
      </c>
      <c r="E494" t="str">
        <f t="shared" si="250"/>
        <v>COM</v>
      </c>
      <c r="F494" t="str">
        <f t="shared" si="251"/>
        <v>FARMÁCIA INDIANA LJ 1 (10126)</v>
      </c>
      <c r="G494" t="str">
        <f t="shared" si="252"/>
        <v>Serv.Prest. 13/01/2025 a 19/01/2025 - RPS: 426 - NFSe: 2652</v>
      </c>
      <c r="H494" t="str">
        <f t="shared" si="241"/>
        <v>29/01/2025</v>
      </c>
      <c r="I494" t="str">
        <f t="shared" si="253"/>
        <v>21/01/2025</v>
      </c>
      <c r="J494" t="str">
        <f t="shared" si="254"/>
        <v>30/01/2025</v>
      </c>
      <c r="M494">
        <v>303</v>
      </c>
      <c r="N494" t="str">
        <f t="shared" si="255"/>
        <v>RECEITAS COM ENTREGAS</v>
      </c>
      <c r="P494">
        <v>320.39999999999998</v>
      </c>
      <c r="Q494" t="str">
        <f>"FARMÁCIA INDIANA LJ 100 (10042)"</f>
        <v>FARMÁCIA INDIANA LJ 100 (10042)</v>
      </c>
      <c r="R494" t="str">
        <f t="shared" si="256"/>
        <v>RECEITAS COM ENTREGAS (303)</v>
      </c>
      <c r="S494">
        <v>944</v>
      </c>
      <c r="T494">
        <v>772</v>
      </c>
      <c r="U494" t="s">
        <v>19</v>
      </c>
    </row>
    <row r="495" spans="1:21">
      <c r="A495" t="str">
        <f t="shared" si="247"/>
        <v>30/01/2025</v>
      </c>
      <c r="B495" t="str">
        <f t="shared" si="257"/>
        <v>ENTRADA</v>
      </c>
      <c r="C495" t="str">
        <f t="shared" si="248"/>
        <v>NFSE</v>
      </c>
      <c r="D495" t="str">
        <f t="shared" si="249"/>
        <v>2652</v>
      </c>
      <c r="E495" t="str">
        <f t="shared" si="250"/>
        <v>COM</v>
      </c>
      <c r="F495" t="str">
        <f t="shared" si="251"/>
        <v>FARMÁCIA INDIANA LJ 1 (10126)</v>
      </c>
      <c r="G495" t="str">
        <f t="shared" si="252"/>
        <v>Serv.Prest. 13/01/2025 a 19/01/2025 - RPS: 426 - NFSe: 2652</v>
      </c>
      <c r="H495" t="str">
        <f t="shared" si="241"/>
        <v>29/01/2025</v>
      </c>
      <c r="I495" t="str">
        <f t="shared" si="253"/>
        <v>21/01/2025</v>
      </c>
      <c r="J495" t="str">
        <f t="shared" si="254"/>
        <v>30/01/2025</v>
      </c>
      <c r="M495">
        <v>303</v>
      </c>
      <c r="N495" t="str">
        <f t="shared" si="255"/>
        <v>RECEITAS COM ENTREGAS</v>
      </c>
      <c r="P495">
        <v>362.44</v>
      </c>
      <c r="Q495" t="str">
        <f>"FARMÁCIA INDIANA LJ 101 (10043)"</f>
        <v>FARMÁCIA INDIANA LJ 101 (10043)</v>
      </c>
      <c r="R495" t="str">
        <f t="shared" si="256"/>
        <v>RECEITAS COM ENTREGAS (303)</v>
      </c>
      <c r="S495">
        <v>944</v>
      </c>
      <c r="T495">
        <v>772</v>
      </c>
      <c r="U495" t="s">
        <v>19</v>
      </c>
    </row>
    <row r="496" spans="1:21">
      <c r="A496" t="str">
        <f t="shared" si="247"/>
        <v>30/01/2025</v>
      </c>
      <c r="B496" t="str">
        <f t="shared" si="257"/>
        <v>ENTRADA</v>
      </c>
      <c r="C496" t="str">
        <f t="shared" si="248"/>
        <v>NFSE</v>
      </c>
      <c r="D496" t="str">
        <f t="shared" si="249"/>
        <v>2652</v>
      </c>
      <c r="E496" t="str">
        <f t="shared" si="250"/>
        <v>COM</v>
      </c>
      <c r="F496" t="str">
        <f t="shared" si="251"/>
        <v>FARMÁCIA INDIANA LJ 1 (10126)</v>
      </c>
      <c r="G496" t="str">
        <f t="shared" si="252"/>
        <v>Serv.Prest. 13/01/2025 a 19/01/2025 - RPS: 426 - NFSe: 2652</v>
      </c>
      <c r="H496" t="str">
        <f t="shared" si="241"/>
        <v>29/01/2025</v>
      </c>
      <c r="I496" t="str">
        <f t="shared" si="253"/>
        <v>21/01/2025</v>
      </c>
      <c r="J496" t="str">
        <f t="shared" si="254"/>
        <v>30/01/2025</v>
      </c>
      <c r="M496">
        <v>303</v>
      </c>
      <c r="N496" t="str">
        <f t="shared" si="255"/>
        <v>RECEITAS COM ENTREGAS</v>
      </c>
      <c r="P496">
        <v>61.35</v>
      </c>
      <c r="Q496" t="str">
        <f>"FARMÁCIA INDIANA LJ 103 (10044)"</f>
        <v>FARMÁCIA INDIANA LJ 103 (10044)</v>
      </c>
      <c r="R496" t="str">
        <f t="shared" si="256"/>
        <v>RECEITAS COM ENTREGAS (303)</v>
      </c>
      <c r="S496">
        <v>944</v>
      </c>
      <c r="T496">
        <v>772</v>
      </c>
      <c r="U496" t="s">
        <v>19</v>
      </c>
    </row>
    <row r="497" spans="1:21">
      <c r="A497" t="str">
        <f t="shared" si="247"/>
        <v>30/01/2025</v>
      </c>
      <c r="B497" t="str">
        <f t="shared" si="257"/>
        <v>ENTRADA</v>
      </c>
      <c r="C497" t="str">
        <f t="shared" si="248"/>
        <v>NFSE</v>
      </c>
      <c r="D497" t="str">
        <f t="shared" si="249"/>
        <v>2652</v>
      </c>
      <c r="E497" t="str">
        <f t="shared" si="250"/>
        <v>COM</v>
      </c>
      <c r="F497" t="str">
        <f t="shared" si="251"/>
        <v>FARMÁCIA INDIANA LJ 1 (10126)</v>
      </c>
      <c r="G497" t="str">
        <f t="shared" si="252"/>
        <v>Serv.Prest. 13/01/2025 a 19/01/2025 - RPS: 426 - NFSe: 2652</v>
      </c>
      <c r="H497" t="str">
        <f t="shared" si="241"/>
        <v>29/01/2025</v>
      </c>
      <c r="I497" t="str">
        <f t="shared" si="253"/>
        <v>21/01/2025</v>
      </c>
      <c r="J497" t="str">
        <f t="shared" si="254"/>
        <v>30/01/2025</v>
      </c>
      <c r="M497">
        <v>303</v>
      </c>
      <c r="N497" t="str">
        <f t="shared" si="255"/>
        <v>RECEITAS COM ENTREGAS</v>
      </c>
      <c r="P497">
        <v>118.16</v>
      </c>
      <c r="Q497" t="str">
        <f>"FARMÁCIA INDIANA LJ 109 (10047)"</f>
        <v>FARMÁCIA INDIANA LJ 109 (10047)</v>
      </c>
      <c r="R497" t="str">
        <f t="shared" si="256"/>
        <v>RECEITAS COM ENTREGAS (303)</v>
      </c>
      <c r="S497">
        <v>944</v>
      </c>
      <c r="T497">
        <v>772</v>
      </c>
      <c r="U497" t="s">
        <v>19</v>
      </c>
    </row>
    <row r="498" spans="1:21">
      <c r="A498" t="str">
        <f t="shared" si="247"/>
        <v>30/01/2025</v>
      </c>
      <c r="B498" t="str">
        <f t="shared" si="257"/>
        <v>ENTRADA</v>
      </c>
      <c r="C498" t="str">
        <f t="shared" si="248"/>
        <v>NFSE</v>
      </c>
      <c r="D498" t="str">
        <f t="shared" si="249"/>
        <v>2652</v>
      </c>
      <c r="E498" t="str">
        <f t="shared" si="250"/>
        <v>COM</v>
      </c>
      <c r="F498" t="str">
        <f t="shared" si="251"/>
        <v>FARMÁCIA INDIANA LJ 1 (10126)</v>
      </c>
      <c r="G498" t="str">
        <f t="shared" si="252"/>
        <v>Serv.Prest. 13/01/2025 a 19/01/2025 - RPS: 426 - NFSe: 2652</v>
      </c>
      <c r="H498" t="str">
        <f t="shared" si="241"/>
        <v>29/01/2025</v>
      </c>
      <c r="I498" t="str">
        <f t="shared" si="253"/>
        <v>21/01/2025</v>
      </c>
      <c r="J498" t="str">
        <f t="shared" si="254"/>
        <v>30/01/2025</v>
      </c>
      <c r="M498">
        <v>303</v>
      </c>
      <c r="N498" t="str">
        <f t="shared" si="255"/>
        <v>RECEITAS COM ENTREGAS</v>
      </c>
      <c r="P498">
        <v>502.19</v>
      </c>
      <c r="Q498" t="str">
        <f>"FARMÁCIA INDIANA LJ 110 (10048)"</f>
        <v>FARMÁCIA INDIANA LJ 110 (10048)</v>
      </c>
      <c r="R498" t="str">
        <f t="shared" si="256"/>
        <v>RECEITAS COM ENTREGAS (303)</v>
      </c>
      <c r="S498">
        <v>944</v>
      </c>
      <c r="T498">
        <v>772</v>
      </c>
      <c r="U498" t="s">
        <v>19</v>
      </c>
    </row>
    <row r="499" spans="1:21">
      <c r="A499" t="str">
        <f t="shared" si="247"/>
        <v>30/01/2025</v>
      </c>
      <c r="B499" t="str">
        <f t="shared" si="257"/>
        <v>ENTRADA</v>
      </c>
      <c r="C499" t="str">
        <f t="shared" si="248"/>
        <v>NFSE</v>
      </c>
      <c r="D499" t="str">
        <f t="shared" si="249"/>
        <v>2652</v>
      </c>
      <c r="E499" t="str">
        <f t="shared" si="250"/>
        <v>COM</v>
      </c>
      <c r="F499" t="str">
        <f t="shared" si="251"/>
        <v>FARMÁCIA INDIANA LJ 1 (10126)</v>
      </c>
      <c r="G499" t="str">
        <f t="shared" si="252"/>
        <v>Serv.Prest. 13/01/2025 a 19/01/2025 - RPS: 426 - NFSe: 2652</v>
      </c>
      <c r="H499" t="str">
        <f t="shared" si="241"/>
        <v>29/01/2025</v>
      </c>
      <c r="I499" t="str">
        <f t="shared" si="253"/>
        <v>21/01/2025</v>
      </c>
      <c r="J499" t="str">
        <f t="shared" si="254"/>
        <v>30/01/2025</v>
      </c>
      <c r="M499">
        <v>303</v>
      </c>
      <c r="N499" t="str">
        <f t="shared" si="255"/>
        <v>RECEITAS COM ENTREGAS</v>
      </c>
      <c r="P499">
        <v>53.4</v>
      </c>
      <c r="Q499" t="str">
        <f>"FARMÁCIA INDIANA LJ 111 (10049)"</f>
        <v>FARMÁCIA INDIANA LJ 111 (10049)</v>
      </c>
      <c r="R499" t="str">
        <f t="shared" si="256"/>
        <v>RECEITAS COM ENTREGAS (303)</v>
      </c>
      <c r="S499">
        <v>944</v>
      </c>
      <c r="T499">
        <v>772</v>
      </c>
      <c r="U499" t="s">
        <v>19</v>
      </c>
    </row>
    <row r="500" spans="1:21">
      <c r="A500" t="str">
        <f t="shared" si="247"/>
        <v>30/01/2025</v>
      </c>
      <c r="B500" t="str">
        <f t="shared" si="257"/>
        <v>ENTRADA</v>
      </c>
      <c r="C500" t="str">
        <f t="shared" si="248"/>
        <v>NFSE</v>
      </c>
      <c r="D500" t="str">
        <f t="shared" si="249"/>
        <v>2652</v>
      </c>
      <c r="E500" t="str">
        <f t="shared" si="250"/>
        <v>COM</v>
      </c>
      <c r="F500" t="str">
        <f t="shared" si="251"/>
        <v>FARMÁCIA INDIANA LJ 1 (10126)</v>
      </c>
      <c r="G500" t="str">
        <f t="shared" si="252"/>
        <v>Serv.Prest. 13/01/2025 a 19/01/2025 - RPS: 426 - NFSe: 2652</v>
      </c>
      <c r="H500" t="str">
        <f t="shared" si="241"/>
        <v>29/01/2025</v>
      </c>
      <c r="I500" t="str">
        <f t="shared" si="253"/>
        <v>21/01/2025</v>
      </c>
      <c r="J500" t="str">
        <f t="shared" si="254"/>
        <v>30/01/2025</v>
      </c>
      <c r="M500">
        <v>303</v>
      </c>
      <c r="N500" t="str">
        <f t="shared" si="255"/>
        <v>RECEITAS COM ENTREGAS</v>
      </c>
      <c r="P500">
        <v>126.12</v>
      </c>
      <c r="Q500" t="str">
        <f>"FARMÁCIA INDIANA LJ 112 (10050)"</f>
        <v>FARMÁCIA INDIANA LJ 112 (10050)</v>
      </c>
      <c r="R500" t="str">
        <f t="shared" si="256"/>
        <v>RECEITAS COM ENTREGAS (303)</v>
      </c>
      <c r="S500">
        <v>944</v>
      </c>
      <c r="T500">
        <v>772</v>
      </c>
      <c r="U500" t="s">
        <v>19</v>
      </c>
    </row>
    <row r="501" spans="1:21">
      <c r="A501" t="str">
        <f t="shared" si="247"/>
        <v>30/01/2025</v>
      </c>
      <c r="B501" t="str">
        <f t="shared" si="257"/>
        <v>ENTRADA</v>
      </c>
      <c r="C501" t="str">
        <f t="shared" si="248"/>
        <v>NFSE</v>
      </c>
      <c r="D501" t="str">
        <f t="shared" si="249"/>
        <v>2652</v>
      </c>
      <c r="E501" t="str">
        <f t="shared" si="250"/>
        <v>COM</v>
      </c>
      <c r="F501" t="str">
        <f t="shared" si="251"/>
        <v>FARMÁCIA INDIANA LJ 1 (10126)</v>
      </c>
      <c r="G501" t="str">
        <f t="shared" si="252"/>
        <v>Serv.Prest. 13/01/2025 a 19/01/2025 - RPS: 426 - NFSe: 2652</v>
      </c>
      <c r="H501" t="str">
        <f t="shared" ref="H501:H532" si="258">("29/01/2025")</f>
        <v>29/01/2025</v>
      </c>
      <c r="I501" t="str">
        <f t="shared" si="253"/>
        <v>21/01/2025</v>
      </c>
      <c r="J501" t="str">
        <f t="shared" si="254"/>
        <v>30/01/2025</v>
      </c>
      <c r="M501">
        <v>303</v>
      </c>
      <c r="N501" t="str">
        <f t="shared" si="255"/>
        <v>RECEITAS COM ENTREGAS</v>
      </c>
      <c r="P501">
        <v>126.12</v>
      </c>
      <c r="Q501" t="str">
        <f>"FARMÁCIA INDIANA LJ 116 (10051)"</f>
        <v>FARMÁCIA INDIANA LJ 116 (10051)</v>
      </c>
      <c r="R501" t="str">
        <f t="shared" si="256"/>
        <v>RECEITAS COM ENTREGAS (303)</v>
      </c>
      <c r="S501">
        <v>944</v>
      </c>
      <c r="T501">
        <v>772</v>
      </c>
      <c r="U501" t="s">
        <v>19</v>
      </c>
    </row>
    <row r="502" spans="1:21">
      <c r="A502" t="str">
        <f t="shared" si="247"/>
        <v>30/01/2025</v>
      </c>
      <c r="B502" t="str">
        <f t="shared" si="257"/>
        <v>ENTRADA</v>
      </c>
      <c r="C502" t="str">
        <f t="shared" si="248"/>
        <v>NFSE</v>
      </c>
      <c r="D502" t="str">
        <f t="shared" si="249"/>
        <v>2652</v>
      </c>
      <c r="E502" t="str">
        <f t="shared" si="250"/>
        <v>COM</v>
      </c>
      <c r="F502" t="str">
        <f t="shared" si="251"/>
        <v>FARMÁCIA INDIANA LJ 1 (10126)</v>
      </c>
      <c r="G502" t="str">
        <f t="shared" si="252"/>
        <v>Serv.Prest. 13/01/2025 a 19/01/2025 - RPS: 426 - NFSe: 2652</v>
      </c>
      <c r="H502" t="str">
        <f t="shared" si="258"/>
        <v>29/01/2025</v>
      </c>
      <c r="I502" t="str">
        <f t="shared" si="253"/>
        <v>21/01/2025</v>
      </c>
      <c r="J502" t="str">
        <f t="shared" si="254"/>
        <v>30/01/2025</v>
      </c>
      <c r="M502">
        <v>303</v>
      </c>
      <c r="N502" t="str">
        <f t="shared" si="255"/>
        <v>RECEITAS COM ENTREGAS</v>
      </c>
      <c r="P502">
        <v>90.89</v>
      </c>
      <c r="Q502" t="str">
        <f>"FARMÁCIA INDIANA LJ 118 (10052)"</f>
        <v>FARMÁCIA INDIANA LJ 118 (10052)</v>
      </c>
      <c r="R502" t="str">
        <f t="shared" si="256"/>
        <v>RECEITAS COM ENTREGAS (303)</v>
      </c>
      <c r="S502">
        <v>944</v>
      </c>
      <c r="T502">
        <v>772</v>
      </c>
      <c r="U502" t="s">
        <v>19</v>
      </c>
    </row>
    <row r="503" spans="1:21">
      <c r="A503" t="str">
        <f t="shared" si="247"/>
        <v>30/01/2025</v>
      </c>
      <c r="B503" t="str">
        <f t="shared" si="257"/>
        <v>ENTRADA</v>
      </c>
      <c r="C503" t="str">
        <f t="shared" si="248"/>
        <v>NFSE</v>
      </c>
      <c r="D503" t="str">
        <f t="shared" si="249"/>
        <v>2652</v>
      </c>
      <c r="E503" t="str">
        <f t="shared" si="250"/>
        <v>COM</v>
      </c>
      <c r="F503" t="str">
        <f t="shared" si="251"/>
        <v>FARMÁCIA INDIANA LJ 1 (10126)</v>
      </c>
      <c r="G503" t="str">
        <f t="shared" si="252"/>
        <v>Serv.Prest. 13/01/2025 a 19/01/2025 - RPS: 426 - NFSe: 2652</v>
      </c>
      <c r="H503" t="str">
        <f t="shared" si="258"/>
        <v>29/01/2025</v>
      </c>
      <c r="I503" t="str">
        <f t="shared" si="253"/>
        <v>21/01/2025</v>
      </c>
      <c r="J503" t="str">
        <f t="shared" si="254"/>
        <v>30/01/2025</v>
      </c>
      <c r="M503">
        <v>303</v>
      </c>
      <c r="N503" t="str">
        <f t="shared" si="255"/>
        <v>RECEITAS COM ENTREGAS</v>
      </c>
      <c r="P503">
        <v>126.12</v>
      </c>
      <c r="Q503" t="str">
        <f>"FARMÁCIA INDIANA LJ 121 (10054)"</f>
        <v>FARMÁCIA INDIANA LJ 121 (10054)</v>
      </c>
      <c r="R503" t="str">
        <f t="shared" si="256"/>
        <v>RECEITAS COM ENTREGAS (303)</v>
      </c>
      <c r="S503">
        <v>944</v>
      </c>
      <c r="T503">
        <v>772</v>
      </c>
      <c r="U503" t="s">
        <v>19</v>
      </c>
    </row>
    <row r="504" spans="1:21">
      <c r="A504" t="str">
        <f t="shared" si="247"/>
        <v>30/01/2025</v>
      </c>
      <c r="B504" t="str">
        <f t="shared" si="257"/>
        <v>ENTRADA</v>
      </c>
      <c r="C504" t="str">
        <f t="shared" si="248"/>
        <v>NFSE</v>
      </c>
      <c r="D504" t="str">
        <f t="shared" si="249"/>
        <v>2652</v>
      </c>
      <c r="E504" t="str">
        <f t="shared" si="250"/>
        <v>COM</v>
      </c>
      <c r="F504" t="str">
        <f t="shared" si="251"/>
        <v>FARMÁCIA INDIANA LJ 1 (10126)</v>
      </c>
      <c r="G504" t="str">
        <f t="shared" si="252"/>
        <v>Serv.Prest. 13/01/2025 a 19/01/2025 - RPS: 426 - NFSe: 2652</v>
      </c>
      <c r="H504" t="str">
        <f t="shared" si="258"/>
        <v>29/01/2025</v>
      </c>
      <c r="I504" t="str">
        <f t="shared" si="253"/>
        <v>21/01/2025</v>
      </c>
      <c r="J504" t="str">
        <f t="shared" si="254"/>
        <v>30/01/2025</v>
      </c>
      <c r="M504">
        <v>303</v>
      </c>
      <c r="N504" t="str">
        <f t="shared" si="255"/>
        <v>RECEITAS COM ENTREGAS</v>
      </c>
      <c r="P504">
        <v>126.12</v>
      </c>
      <c r="Q504" t="str">
        <f>"FARMÁCIA INDIANA LJ 128 (10057)"</f>
        <v>FARMÁCIA INDIANA LJ 128 (10057)</v>
      </c>
      <c r="R504" t="str">
        <f t="shared" si="256"/>
        <v>RECEITAS COM ENTREGAS (303)</v>
      </c>
      <c r="S504">
        <v>944</v>
      </c>
      <c r="T504">
        <v>772</v>
      </c>
      <c r="U504" t="s">
        <v>19</v>
      </c>
    </row>
    <row r="505" spans="1:21">
      <c r="A505" t="str">
        <f t="shared" si="247"/>
        <v>30/01/2025</v>
      </c>
      <c r="B505" t="str">
        <f t="shared" si="257"/>
        <v>ENTRADA</v>
      </c>
      <c r="C505" t="str">
        <f t="shared" si="248"/>
        <v>NFSE</v>
      </c>
      <c r="D505" t="str">
        <f t="shared" si="249"/>
        <v>2652</v>
      </c>
      <c r="E505" t="str">
        <f t="shared" si="250"/>
        <v>COM</v>
      </c>
      <c r="F505" t="str">
        <f t="shared" si="251"/>
        <v>FARMÁCIA INDIANA LJ 1 (10126)</v>
      </c>
      <c r="G505" t="str">
        <f t="shared" si="252"/>
        <v>Serv.Prest. 13/01/2025 a 19/01/2025 - RPS: 426 - NFSe: 2652</v>
      </c>
      <c r="H505" t="str">
        <f t="shared" si="258"/>
        <v>29/01/2025</v>
      </c>
      <c r="I505" t="str">
        <f t="shared" si="253"/>
        <v>21/01/2025</v>
      </c>
      <c r="J505" t="str">
        <f t="shared" si="254"/>
        <v>30/01/2025</v>
      </c>
      <c r="M505">
        <v>303</v>
      </c>
      <c r="N505" t="str">
        <f t="shared" si="255"/>
        <v>RECEITAS COM ENTREGAS</v>
      </c>
      <c r="P505">
        <v>366.99</v>
      </c>
      <c r="Q505" t="str">
        <f>"FARMÁCIA INDIANA LJ 132 (10059)"</f>
        <v>FARMÁCIA INDIANA LJ 132 (10059)</v>
      </c>
      <c r="R505" t="str">
        <f t="shared" si="256"/>
        <v>RECEITAS COM ENTREGAS (303)</v>
      </c>
      <c r="S505">
        <v>944</v>
      </c>
      <c r="T505">
        <v>772</v>
      </c>
      <c r="U505" t="s">
        <v>19</v>
      </c>
    </row>
    <row r="506" spans="1:21">
      <c r="A506" t="str">
        <f t="shared" si="247"/>
        <v>30/01/2025</v>
      </c>
      <c r="B506" t="str">
        <f t="shared" si="257"/>
        <v>ENTRADA</v>
      </c>
      <c r="C506" t="str">
        <f t="shared" si="248"/>
        <v>NFSE</v>
      </c>
      <c r="D506" t="str">
        <f t="shared" si="249"/>
        <v>2652</v>
      </c>
      <c r="E506" t="str">
        <f t="shared" si="250"/>
        <v>COM</v>
      </c>
      <c r="F506" t="str">
        <f t="shared" si="251"/>
        <v>FARMÁCIA INDIANA LJ 1 (10126)</v>
      </c>
      <c r="G506" t="str">
        <f t="shared" si="252"/>
        <v>Serv.Prest. 13/01/2025 a 19/01/2025 - RPS: 426 - NFSe: 2652</v>
      </c>
      <c r="H506" t="str">
        <f t="shared" si="258"/>
        <v>29/01/2025</v>
      </c>
      <c r="I506" t="str">
        <f t="shared" si="253"/>
        <v>21/01/2025</v>
      </c>
      <c r="J506" t="str">
        <f t="shared" si="254"/>
        <v>30/01/2025</v>
      </c>
      <c r="M506">
        <v>303</v>
      </c>
      <c r="N506" t="str">
        <f t="shared" si="255"/>
        <v>RECEITAS COM ENTREGAS</v>
      </c>
      <c r="P506">
        <v>38.630000000000003</v>
      </c>
      <c r="Q506" t="str">
        <f>"FARMÁCIA INDIANA LJ 140 (10064)"</f>
        <v>FARMÁCIA INDIANA LJ 140 (10064)</v>
      </c>
      <c r="R506" t="str">
        <f t="shared" si="256"/>
        <v>RECEITAS COM ENTREGAS (303)</v>
      </c>
      <c r="S506">
        <v>944</v>
      </c>
      <c r="T506">
        <v>772</v>
      </c>
      <c r="U506" t="s">
        <v>19</v>
      </c>
    </row>
    <row r="507" spans="1:21">
      <c r="A507" t="str">
        <f t="shared" si="247"/>
        <v>30/01/2025</v>
      </c>
      <c r="B507" t="str">
        <f t="shared" si="257"/>
        <v>ENTRADA</v>
      </c>
      <c r="C507" t="str">
        <f t="shared" si="248"/>
        <v>NFSE</v>
      </c>
      <c r="D507" t="str">
        <f t="shared" si="249"/>
        <v>2652</v>
      </c>
      <c r="E507" t="str">
        <f t="shared" si="250"/>
        <v>COM</v>
      </c>
      <c r="F507" t="str">
        <f t="shared" si="251"/>
        <v>FARMÁCIA INDIANA LJ 1 (10126)</v>
      </c>
      <c r="G507" t="str">
        <f t="shared" si="252"/>
        <v>Serv.Prest. 13/01/2025 a 19/01/2025 - RPS: 426 - NFSe: 2652</v>
      </c>
      <c r="H507" t="str">
        <f t="shared" si="258"/>
        <v>29/01/2025</v>
      </c>
      <c r="I507" t="str">
        <f t="shared" si="253"/>
        <v>21/01/2025</v>
      </c>
      <c r="J507" t="str">
        <f t="shared" si="254"/>
        <v>30/01/2025</v>
      </c>
      <c r="M507">
        <v>303</v>
      </c>
      <c r="N507" t="str">
        <f t="shared" si="255"/>
        <v>RECEITAS COM ENTREGAS</v>
      </c>
      <c r="P507">
        <v>20.45</v>
      </c>
      <c r="Q507" t="str">
        <f>"FARMÁCIA INDIANA LJ 141 (10065)"</f>
        <v>FARMÁCIA INDIANA LJ 141 (10065)</v>
      </c>
      <c r="R507" t="str">
        <f t="shared" si="256"/>
        <v>RECEITAS COM ENTREGAS (303)</v>
      </c>
      <c r="S507">
        <v>944</v>
      </c>
      <c r="T507">
        <v>772</v>
      </c>
      <c r="U507" t="s">
        <v>19</v>
      </c>
    </row>
    <row r="508" spans="1:21">
      <c r="A508" t="str">
        <f t="shared" si="247"/>
        <v>30/01/2025</v>
      </c>
      <c r="B508" t="str">
        <f t="shared" si="257"/>
        <v>ENTRADA</v>
      </c>
      <c r="C508" t="str">
        <f t="shared" si="248"/>
        <v>NFSE</v>
      </c>
      <c r="D508" t="str">
        <f t="shared" si="249"/>
        <v>2652</v>
      </c>
      <c r="E508" t="str">
        <f t="shared" si="250"/>
        <v>COM</v>
      </c>
      <c r="F508" t="str">
        <f t="shared" si="251"/>
        <v>FARMÁCIA INDIANA LJ 1 (10126)</v>
      </c>
      <c r="G508" t="str">
        <f t="shared" si="252"/>
        <v>Serv.Prest. 13/01/2025 a 19/01/2025 - RPS: 426 - NFSe: 2652</v>
      </c>
      <c r="H508" t="str">
        <f t="shared" si="258"/>
        <v>29/01/2025</v>
      </c>
      <c r="I508" t="str">
        <f t="shared" si="253"/>
        <v>21/01/2025</v>
      </c>
      <c r="J508" t="str">
        <f t="shared" si="254"/>
        <v>30/01/2025</v>
      </c>
      <c r="M508">
        <v>303</v>
      </c>
      <c r="N508" t="str">
        <f t="shared" si="255"/>
        <v>RECEITAS COM ENTREGAS</v>
      </c>
      <c r="P508">
        <v>539.69000000000005</v>
      </c>
      <c r="Q508" t="str">
        <f>"FARMÁCIA INDIANA LJ 142 (10066)"</f>
        <v>FARMÁCIA INDIANA LJ 142 (10066)</v>
      </c>
      <c r="R508" t="str">
        <f t="shared" si="256"/>
        <v>RECEITAS COM ENTREGAS (303)</v>
      </c>
      <c r="S508">
        <v>944</v>
      </c>
      <c r="T508">
        <v>772</v>
      </c>
      <c r="U508" t="s">
        <v>19</v>
      </c>
    </row>
    <row r="509" spans="1:21">
      <c r="A509" t="str">
        <f t="shared" si="247"/>
        <v>30/01/2025</v>
      </c>
      <c r="B509" t="str">
        <f t="shared" si="257"/>
        <v>ENTRADA</v>
      </c>
      <c r="C509" t="str">
        <f t="shared" si="248"/>
        <v>NFSE</v>
      </c>
      <c r="D509" t="str">
        <f t="shared" si="249"/>
        <v>2652</v>
      </c>
      <c r="E509" t="str">
        <f t="shared" si="250"/>
        <v>COM</v>
      </c>
      <c r="F509" t="str">
        <f t="shared" si="251"/>
        <v>FARMÁCIA INDIANA LJ 1 (10126)</v>
      </c>
      <c r="G509" t="str">
        <f t="shared" si="252"/>
        <v>Serv.Prest. 13/01/2025 a 19/01/2025 - RPS: 426 - NFSe: 2652</v>
      </c>
      <c r="H509" t="str">
        <f t="shared" si="258"/>
        <v>29/01/2025</v>
      </c>
      <c r="I509" t="str">
        <f t="shared" si="253"/>
        <v>21/01/2025</v>
      </c>
      <c r="J509" t="str">
        <f t="shared" si="254"/>
        <v>30/01/2025</v>
      </c>
      <c r="M509">
        <v>303</v>
      </c>
      <c r="N509" t="str">
        <f t="shared" si="255"/>
        <v>RECEITAS COM ENTREGAS</v>
      </c>
      <c r="P509">
        <v>54.54</v>
      </c>
      <c r="Q509" t="str">
        <f>"FARMÁCIA INDIANA LJ 143 (10067)"</f>
        <v>FARMÁCIA INDIANA LJ 143 (10067)</v>
      </c>
      <c r="R509" t="str">
        <f t="shared" si="256"/>
        <v>RECEITAS COM ENTREGAS (303)</v>
      </c>
      <c r="S509">
        <v>944</v>
      </c>
      <c r="T509">
        <v>772</v>
      </c>
      <c r="U509" t="s">
        <v>19</v>
      </c>
    </row>
    <row r="510" spans="1:21">
      <c r="A510" t="str">
        <f t="shared" si="247"/>
        <v>30/01/2025</v>
      </c>
      <c r="B510" t="str">
        <f t="shared" si="257"/>
        <v>ENTRADA</v>
      </c>
      <c r="C510" t="str">
        <f t="shared" si="248"/>
        <v>NFSE</v>
      </c>
      <c r="D510" t="str">
        <f t="shared" si="249"/>
        <v>2652</v>
      </c>
      <c r="E510" t="str">
        <f t="shared" si="250"/>
        <v>COM</v>
      </c>
      <c r="F510" t="str">
        <f t="shared" si="251"/>
        <v>FARMÁCIA INDIANA LJ 1 (10126)</v>
      </c>
      <c r="G510" t="str">
        <f t="shared" si="252"/>
        <v>Serv.Prest. 13/01/2025 a 19/01/2025 - RPS: 426 - NFSe: 2652</v>
      </c>
      <c r="H510" t="str">
        <f t="shared" si="258"/>
        <v>29/01/2025</v>
      </c>
      <c r="I510" t="str">
        <f t="shared" si="253"/>
        <v>21/01/2025</v>
      </c>
      <c r="J510" t="str">
        <f t="shared" si="254"/>
        <v>30/01/2025</v>
      </c>
      <c r="M510">
        <v>303</v>
      </c>
      <c r="N510" t="str">
        <f t="shared" si="255"/>
        <v>RECEITAS COM ENTREGAS</v>
      </c>
      <c r="P510">
        <v>142.02000000000001</v>
      </c>
      <c r="Q510" t="str">
        <f>"FARMÁCIA INDIANA LJ 152 (10069)"</f>
        <v>FARMÁCIA INDIANA LJ 152 (10069)</v>
      </c>
      <c r="R510" t="str">
        <f t="shared" si="256"/>
        <v>RECEITAS COM ENTREGAS (303)</v>
      </c>
      <c r="S510">
        <v>944</v>
      </c>
      <c r="T510">
        <v>772</v>
      </c>
      <c r="U510" t="s">
        <v>19</v>
      </c>
    </row>
    <row r="511" spans="1:21">
      <c r="A511" t="str">
        <f t="shared" si="247"/>
        <v>30/01/2025</v>
      </c>
      <c r="B511" t="str">
        <f t="shared" si="257"/>
        <v>ENTRADA</v>
      </c>
      <c r="C511" t="str">
        <f t="shared" si="248"/>
        <v>NFSE</v>
      </c>
      <c r="D511" t="str">
        <f t="shared" si="249"/>
        <v>2652</v>
      </c>
      <c r="E511" t="str">
        <f t="shared" si="250"/>
        <v>COM</v>
      </c>
      <c r="F511" t="str">
        <f t="shared" si="251"/>
        <v>FARMÁCIA INDIANA LJ 1 (10126)</v>
      </c>
      <c r="G511" t="str">
        <f t="shared" si="252"/>
        <v>Serv.Prest. 13/01/2025 a 19/01/2025 - RPS: 426 - NFSe: 2652</v>
      </c>
      <c r="H511" t="str">
        <f t="shared" si="258"/>
        <v>29/01/2025</v>
      </c>
      <c r="I511" t="str">
        <f t="shared" si="253"/>
        <v>21/01/2025</v>
      </c>
      <c r="J511" t="str">
        <f t="shared" si="254"/>
        <v>30/01/2025</v>
      </c>
      <c r="M511">
        <v>303</v>
      </c>
      <c r="N511" t="str">
        <f t="shared" si="255"/>
        <v>RECEITAS COM ENTREGAS</v>
      </c>
      <c r="P511">
        <v>39.770000000000003</v>
      </c>
      <c r="Q511" t="str">
        <f>"FARMÁCIA INDIANA LJ 154 (10070)"</f>
        <v>FARMÁCIA INDIANA LJ 154 (10070)</v>
      </c>
      <c r="R511" t="str">
        <f t="shared" si="256"/>
        <v>RECEITAS COM ENTREGAS (303)</v>
      </c>
      <c r="S511">
        <v>944</v>
      </c>
      <c r="T511">
        <v>772</v>
      </c>
      <c r="U511" t="s">
        <v>19</v>
      </c>
    </row>
    <row r="512" spans="1:21">
      <c r="A512" t="str">
        <f t="shared" si="247"/>
        <v>30/01/2025</v>
      </c>
      <c r="B512" t="str">
        <f t="shared" si="257"/>
        <v>ENTRADA</v>
      </c>
      <c r="C512" t="str">
        <f t="shared" si="248"/>
        <v>NFSE</v>
      </c>
      <c r="D512" t="str">
        <f t="shared" si="249"/>
        <v>2652</v>
      </c>
      <c r="E512" t="str">
        <f t="shared" si="250"/>
        <v>COM</v>
      </c>
      <c r="F512" t="str">
        <f t="shared" si="251"/>
        <v>FARMÁCIA INDIANA LJ 1 (10126)</v>
      </c>
      <c r="G512" t="str">
        <f t="shared" si="252"/>
        <v>Serv.Prest. 13/01/2025 a 19/01/2025 - RPS: 426 - NFSe: 2652</v>
      </c>
      <c r="H512" t="str">
        <f t="shared" si="258"/>
        <v>29/01/2025</v>
      </c>
      <c r="I512" t="str">
        <f t="shared" si="253"/>
        <v>21/01/2025</v>
      </c>
      <c r="J512" t="str">
        <f t="shared" si="254"/>
        <v>30/01/2025</v>
      </c>
      <c r="M512">
        <v>303</v>
      </c>
      <c r="N512" t="str">
        <f t="shared" si="255"/>
        <v>RECEITAS COM ENTREGAS</v>
      </c>
      <c r="P512">
        <v>343.13</v>
      </c>
      <c r="Q512" t="str">
        <f>"FARMÁCIA INDIANA LJ 171 (10074)"</f>
        <v>FARMÁCIA INDIANA LJ 171 (10074)</v>
      </c>
      <c r="R512" t="str">
        <f t="shared" si="256"/>
        <v>RECEITAS COM ENTREGAS (303)</v>
      </c>
      <c r="S512">
        <v>944</v>
      </c>
      <c r="T512">
        <v>772</v>
      </c>
      <c r="U512" t="s">
        <v>19</v>
      </c>
    </row>
    <row r="513" spans="1:21">
      <c r="A513" t="str">
        <f t="shared" ref="A513:A544" si="259">("30/01/2025")</f>
        <v>30/01/2025</v>
      </c>
      <c r="B513" t="str">
        <f t="shared" si="257"/>
        <v>ENTRADA</v>
      </c>
      <c r="C513" t="str">
        <f t="shared" ref="C513:C549" si="260">"NFSE"</f>
        <v>NFSE</v>
      </c>
      <c r="D513" t="str">
        <f t="shared" si="249"/>
        <v>2652</v>
      </c>
      <c r="E513" t="str">
        <f t="shared" ref="E513:E549" si="261">"COM"</f>
        <v>COM</v>
      </c>
      <c r="F513" t="str">
        <f t="shared" si="251"/>
        <v>FARMÁCIA INDIANA LJ 1 (10126)</v>
      </c>
      <c r="G513" t="str">
        <f t="shared" si="252"/>
        <v>Serv.Prest. 13/01/2025 a 19/01/2025 - RPS: 426 - NFSe: 2652</v>
      </c>
      <c r="H513" t="str">
        <f t="shared" si="258"/>
        <v>29/01/2025</v>
      </c>
      <c r="I513" t="str">
        <f t="shared" ref="I513:I543" si="262">("21/01/2025")</f>
        <v>21/01/2025</v>
      </c>
      <c r="J513" t="str">
        <f t="shared" ref="J513:J544" si="263">("30/01/2025")</f>
        <v>30/01/2025</v>
      </c>
      <c r="M513">
        <v>303</v>
      </c>
      <c r="N513" t="str">
        <f t="shared" ref="N513:N549" si="264">"RECEITAS COM ENTREGAS"</f>
        <v>RECEITAS COM ENTREGAS</v>
      </c>
      <c r="P513">
        <v>130.66</v>
      </c>
      <c r="Q513" t="str">
        <f>"FARMÁCIA INDIANA LJ 175 (10076)"</f>
        <v>FARMÁCIA INDIANA LJ 175 (10076)</v>
      </c>
      <c r="R513" t="str">
        <f t="shared" ref="R513:R549" si="265">"RECEITAS COM ENTREGAS (303)"</f>
        <v>RECEITAS COM ENTREGAS (303)</v>
      </c>
      <c r="S513">
        <v>944</v>
      </c>
      <c r="T513">
        <v>772</v>
      </c>
      <c r="U513" t="s">
        <v>19</v>
      </c>
    </row>
    <row r="514" spans="1:21">
      <c r="A514" t="str">
        <f t="shared" si="259"/>
        <v>30/01/2025</v>
      </c>
      <c r="B514" t="str">
        <f t="shared" si="257"/>
        <v>ENTRADA</v>
      </c>
      <c r="C514" t="str">
        <f t="shared" si="260"/>
        <v>NFSE</v>
      </c>
      <c r="D514" t="str">
        <f t="shared" si="249"/>
        <v>2652</v>
      </c>
      <c r="E514" t="str">
        <f t="shared" si="261"/>
        <v>COM</v>
      </c>
      <c r="F514" t="str">
        <f t="shared" si="251"/>
        <v>FARMÁCIA INDIANA LJ 1 (10126)</v>
      </c>
      <c r="G514" t="str">
        <f t="shared" si="252"/>
        <v>Serv.Prest. 13/01/2025 a 19/01/2025 - RPS: 426 - NFSe: 2652</v>
      </c>
      <c r="H514" t="str">
        <f t="shared" si="258"/>
        <v>29/01/2025</v>
      </c>
      <c r="I514" t="str">
        <f t="shared" si="262"/>
        <v>21/01/2025</v>
      </c>
      <c r="J514" t="str">
        <f t="shared" si="263"/>
        <v>30/01/2025</v>
      </c>
      <c r="M514">
        <v>303</v>
      </c>
      <c r="N514" t="str">
        <f t="shared" si="264"/>
        <v>RECEITAS COM ENTREGAS</v>
      </c>
      <c r="P514">
        <v>114.75</v>
      </c>
      <c r="Q514" t="str">
        <f>"FARMÁCIA INDIANA LJ 178 (10077)"</f>
        <v>FARMÁCIA INDIANA LJ 178 (10077)</v>
      </c>
      <c r="R514" t="str">
        <f t="shared" si="265"/>
        <v>RECEITAS COM ENTREGAS (303)</v>
      </c>
      <c r="S514">
        <v>944</v>
      </c>
      <c r="T514">
        <v>772</v>
      </c>
      <c r="U514" t="s">
        <v>19</v>
      </c>
    </row>
    <row r="515" spans="1:21">
      <c r="A515" t="str">
        <f t="shared" si="259"/>
        <v>30/01/2025</v>
      </c>
      <c r="B515" t="str">
        <f t="shared" si="257"/>
        <v>ENTRADA</v>
      </c>
      <c r="C515" t="str">
        <f t="shared" si="260"/>
        <v>NFSE</v>
      </c>
      <c r="D515" t="str">
        <f t="shared" si="249"/>
        <v>2652</v>
      </c>
      <c r="E515" t="str">
        <f t="shared" si="261"/>
        <v>COM</v>
      </c>
      <c r="F515" t="str">
        <f t="shared" si="251"/>
        <v>FARMÁCIA INDIANA LJ 1 (10126)</v>
      </c>
      <c r="G515" t="str">
        <f t="shared" si="252"/>
        <v>Serv.Prest. 13/01/2025 a 19/01/2025 - RPS: 426 - NFSe: 2652</v>
      </c>
      <c r="H515" t="str">
        <f t="shared" si="258"/>
        <v>29/01/2025</v>
      </c>
      <c r="I515" t="str">
        <f t="shared" si="262"/>
        <v>21/01/2025</v>
      </c>
      <c r="J515" t="str">
        <f t="shared" si="263"/>
        <v>30/01/2025</v>
      </c>
      <c r="M515">
        <v>303</v>
      </c>
      <c r="N515" t="str">
        <f t="shared" si="264"/>
        <v>RECEITAS COM ENTREGAS</v>
      </c>
      <c r="P515">
        <v>79.53</v>
      </c>
      <c r="Q515" t="str">
        <f>"FARMÁCIA INDIANA LJ 182 (10079)"</f>
        <v>FARMÁCIA INDIANA LJ 182 (10079)</v>
      </c>
      <c r="R515" t="str">
        <f t="shared" si="265"/>
        <v>RECEITAS COM ENTREGAS (303)</v>
      </c>
      <c r="S515">
        <v>944</v>
      </c>
      <c r="T515">
        <v>772</v>
      </c>
      <c r="U515" t="s">
        <v>19</v>
      </c>
    </row>
    <row r="516" spans="1:21">
      <c r="A516" t="str">
        <f t="shared" si="259"/>
        <v>30/01/2025</v>
      </c>
      <c r="B516" t="str">
        <f t="shared" si="257"/>
        <v>ENTRADA</v>
      </c>
      <c r="C516" t="str">
        <f t="shared" si="260"/>
        <v>NFSE</v>
      </c>
      <c r="D516" t="str">
        <f t="shared" si="249"/>
        <v>2652</v>
      </c>
      <c r="E516" t="str">
        <f t="shared" si="261"/>
        <v>COM</v>
      </c>
      <c r="F516" t="str">
        <f t="shared" si="251"/>
        <v>FARMÁCIA INDIANA LJ 1 (10126)</v>
      </c>
      <c r="G516" t="str">
        <f t="shared" si="252"/>
        <v>Serv.Prest. 13/01/2025 a 19/01/2025 - RPS: 426 - NFSe: 2652</v>
      </c>
      <c r="H516" t="str">
        <f t="shared" si="258"/>
        <v>29/01/2025</v>
      </c>
      <c r="I516" t="str">
        <f t="shared" si="262"/>
        <v>21/01/2025</v>
      </c>
      <c r="J516" t="str">
        <f t="shared" si="263"/>
        <v>30/01/2025</v>
      </c>
      <c r="M516">
        <v>303</v>
      </c>
      <c r="N516" t="str">
        <f t="shared" si="264"/>
        <v>RECEITAS COM ENTREGAS</v>
      </c>
      <c r="P516">
        <v>39.770000000000003</v>
      </c>
      <c r="Q516" t="str">
        <f>"FARMÁCIA INDIANA LJ 184 (10080)"</f>
        <v>FARMÁCIA INDIANA LJ 184 (10080)</v>
      </c>
      <c r="R516" t="str">
        <f t="shared" si="265"/>
        <v>RECEITAS COM ENTREGAS (303)</v>
      </c>
      <c r="S516">
        <v>944</v>
      </c>
      <c r="T516">
        <v>772</v>
      </c>
      <c r="U516" t="s">
        <v>19</v>
      </c>
    </row>
    <row r="517" spans="1:21">
      <c r="A517" t="str">
        <f t="shared" si="259"/>
        <v>30/01/2025</v>
      </c>
      <c r="B517" t="str">
        <f t="shared" si="257"/>
        <v>ENTRADA</v>
      </c>
      <c r="C517" t="str">
        <f t="shared" si="260"/>
        <v>NFSE</v>
      </c>
      <c r="D517" t="str">
        <f t="shared" si="249"/>
        <v>2652</v>
      </c>
      <c r="E517" t="str">
        <f t="shared" si="261"/>
        <v>COM</v>
      </c>
      <c r="F517" t="str">
        <f t="shared" si="251"/>
        <v>FARMÁCIA INDIANA LJ 1 (10126)</v>
      </c>
      <c r="G517" t="str">
        <f t="shared" si="252"/>
        <v>Serv.Prest. 13/01/2025 a 19/01/2025 - RPS: 426 - NFSe: 2652</v>
      </c>
      <c r="H517" t="str">
        <f t="shared" si="258"/>
        <v>29/01/2025</v>
      </c>
      <c r="I517" t="str">
        <f t="shared" si="262"/>
        <v>21/01/2025</v>
      </c>
      <c r="J517" t="str">
        <f t="shared" si="263"/>
        <v>30/01/2025</v>
      </c>
      <c r="M517">
        <v>303</v>
      </c>
      <c r="N517" t="str">
        <f t="shared" si="264"/>
        <v>RECEITAS COM ENTREGAS</v>
      </c>
      <c r="P517">
        <v>79.53</v>
      </c>
      <c r="Q517" t="str">
        <f>"FARMÁCIA INDIANA LJ 186 (10081)"</f>
        <v>FARMÁCIA INDIANA LJ 186 (10081)</v>
      </c>
      <c r="R517" t="str">
        <f t="shared" si="265"/>
        <v>RECEITAS COM ENTREGAS (303)</v>
      </c>
      <c r="S517">
        <v>944</v>
      </c>
      <c r="T517">
        <v>772</v>
      </c>
      <c r="U517" t="s">
        <v>19</v>
      </c>
    </row>
    <row r="518" spans="1:21">
      <c r="A518" t="str">
        <f t="shared" si="259"/>
        <v>30/01/2025</v>
      </c>
      <c r="B518" t="str">
        <f t="shared" si="257"/>
        <v>ENTRADA</v>
      </c>
      <c r="C518" t="str">
        <f t="shared" si="260"/>
        <v>NFSE</v>
      </c>
      <c r="D518" t="str">
        <f t="shared" si="249"/>
        <v>2652</v>
      </c>
      <c r="E518" t="str">
        <f t="shared" si="261"/>
        <v>COM</v>
      </c>
      <c r="F518" t="str">
        <f t="shared" si="251"/>
        <v>FARMÁCIA INDIANA LJ 1 (10126)</v>
      </c>
      <c r="G518" t="str">
        <f t="shared" si="252"/>
        <v>Serv.Prest. 13/01/2025 a 19/01/2025 - RPS: 426 - NFSe: 2652</v>
      </c>
      <c r="H518" t="str">
        <f t="shared" si="258"/>
        <v>29/01/2025</v>
      </c>
      <c r="I518" t="str">
        <f t="shared" si="262"/>
        <v>21/01/2025</v>
      </c>
      <c r="J518" t="str">
        <f t="shared" si="263"/>
        <v>30/01/2025</v>
      </c>
      <c r="M518">
        <v>303</v>
      </c>
      <c r="N518" t="str">
        <f t="shared" si="264"/>
        <v>RECEITAS COM ENTREGAS</v>
      </c>
      <c r="P518">
        <v>38.630000000000003</v>
      </c>
      <c r="Q518" t="str">
        <f>"FARMÁCIA INDIANA LJ 192 (10082)"</f>
        <v>FARMÁCIA INDIANA LJ 192 (10082)</v>
      </c>
      <c r="R518" t="str">
        <f t="shared" si="265"/>
        <v>RECEITAS COM ENTREGAS (303)</v>
      </c>
      <c r="S518">
        <v>944</v>
      </c>
      <c r="T518">
        <v>772</v>
      </c>
      <c r="U518" t="s">
        <v>19</v>
      </c>
    </row>
    <row r="519" spans="1:21">
      <c r="A519" t="str">
        <f t="shared" si="259"/>
        <v>30/01/2025</v>
      </c>
      <c r="B519" t="str">
        <f t="shared" si="257"/>
        <v>ENTRADA</v>
      </c>
      <c r="C519" t="str">
        <f t="shared" si="260"/>
        <v>NFSE</v>
      </c>
      <c r="D519" t="str">
        <f t="shared" si="249"/>
        <v>2652</v>
      </c>
      <c r="E519" t="str">
        <f t="shared" si="261"/>
        <v>COM</v>
      </c>
      <c r="F519" t="str">
        <f t="shared" si="251"/>
        <v>FARMÁCIA INDIANA LJ 1 (10126)</v>
      </c>
      <c r="G519" t="str">
        <f t="shared" si="252"/>
        <v>Serv.Prest. 13/01/2025 a 19/01/2025 - RPS: 426 - NFSe: 2652</v>
      </c>
      <c r="H519" t="str">
        <f t="shared" si="258"/>
        <v>29/01/2025</v>
      </c>
      <c r="I519" t="str">
        <f t="shared" si="262"/>
        <v>21/01/2025</v>
      </c>
      <c r="J519" t="str">
        <f t="shared" si="263"/>
        <v>30/01/2025</v>
      </c>
      <c r="M519">
        <v>303</v>
      </c>
      <c r="N519" t="str">
        <f t="shared" si="264"/>
        <v>RECEITAS COM ENTREGAS</v>
      </c>
      <c r="P519">
        <v>39.770000000000003</v>
      </c>
      <c r="Q519" t="str">
        <f>"FARMÁCIA INDIANA LJ 195 (10083)"</f>
        <v>FARMÁCIA INDIANA LJ 195 (10083)</v>
      </c>
      <c r="R519" t="str">
        <f t="shared" si="265"/>
        <v>RECEITAS COM ENTREGAS (303)</v>
      </c>
      <c r="S519">
        <v>944</v>
      </c>
      <c r="T519">
        <v>772</v>
      </c>
      <c r="U519" t="s">
        <v>19</v>
      </c>
    </row>
    <row r="520" spans="1:21">
      <c r="A520" t="str">
        <f t="shared" si="259"/>
        <v>30/01/2025</v>
      </c>
      <c r="B520" t="str">
        <f t="shared" si="257"/>
        <v>ENTRADA</v>
      </c>
      <c r="C520" t="str">
        <f t="shared" si="260"/>
        <v>NFSE</v>
      </c>
      <c r="D520" t="str">
        <f t="shared" si="249"/>
        <v>2652</v>
      </c>
      <c r="E520" t="str">
        <f t="shared" si="261"/>
        <v>COM</v>
      </c>
      <c r="F520" t="str">
        <f t="shared" si="251"/>
        <v>FARMÁCIA INDIANA LJ 1 (10126)</v>
      </c>
      <c r="G520" t="str">
        <f t="shared" si="252"/>
        <v>Serv.Prest. 13/01/2025 a 19/01/2025 - RPS: 426 - NFSe: 2652</v>
      </c>
      <c r="H520" t="str">
        <f t="shared" si="258"/>
        <v>29/01/2025</v>
      </c>
      <c r="I520" t="str">
        <f t="shared" si="262"/>
        <v>21/01/2025</v>
      </c>
      <c r="J520" t="str">
        <f t="shared" si="263"/>
        <v>30/01/2025</v>
      </c>
      <c r="M520">
        <v>303</v>
      </c>
      <c r="N520" t="str">
        <f t="shared" si="264"/>
        <v>RECEITAS COM ENTREGAS</v>
      </c>
      <c r="P520">
        <v>159.07</v>
      </c>
      <c r="Q520" t="str">
        <f>"FARMÁCIA INDIANA LJ 202 (10085)"</f>
        <v>FARMÁCIA INDIANA LJ 202 (10085)</v>
      </c>
      <c r="R520" t="str">
        <f t="shared" si="265"/>
        <v>RECEITAS COM ENTREGAS (303)</v>
      </c>
      <c r="S520">
        <v>944</v>
      </c>
      <c r="T520">
        <v>772</v>
      </c>
      <c r="U520" t="s">
        <v>19</v>
      </c>
    </row>
    <row r="521" spans="1:21">
      <c r="A521" t="str">
        <f t="shared" si="259"/>
        <v>30/01/2025</v>
      </c>
      <c r="B521" t="str">
        <f t="shared" si="257"/>
        <v>ENTRADA</v>
      </c>
      <c r="C521" t="str">
        <f t="shared" si="260"/>
        <v>NFSE</v>
      </c>
      <c r="D521" t="str">
        <f t="shared" si="249"/>
        <v>2652</v>
      </c>
      <c r="E521" t="str">
        <f t="shared" si="261"/>
        <v>COM</v>
      </c>
      <c r="F521" t="str">
        <f t="shared" si="251"/>
        <v>FARMÁCIA INDIANA LJ 1 (10126)</v>
      </c>
      <c r="G521" t="str">
        <f t="shared" si="252"/>
        <v>Serv.Prest. 13/01/2025 a 19/01/2025 - RPS: 426 - NFSe: 2652</v>
      </c>
      <c r="H521" t="str">
        <f t="shared" si="258"/>
        <v>29/01/2025</v>
      </c>
      <c r="I521" t="str">
        <f t="shared" si="262"/>
        <v>21/01/2025</v>
      </c>
      <c r="J521" t="str">
        <f t="shared" si="263"/>
        <v>30/01/2025</v>
      </c>
      <c r="M521">
        <v>303</v>
      </c>
      <c r="N521" t="str">
        <f t="shared" si="264"/>
        <v>RECEITAS COM ENTREGAS</v>
      </c>
      <c r="P521">
        <v>106.8</v>
      </c>
      <c r="Q521" t="str">
        <f>"FARMÁCIA INDIANA LJ 204 (10087)"</f>
        <v>FARMÁCIA INDIANA LJ 204 (10087)</v>
      </c>
      <c r="R521" t="str">
        <f t="shared" si="265"/>
        <v>RECEITAS COM ENTREGAS (303)</v>
      </c>
      <c r="S521">
        <v>944</v>
      </c>
      <c r="T521">
        <v>772</v>
      </c>
      <c r="U521" t="s">
        <v>19</v>
      </c>
    </row>
    <row r="522" spans="1:21">
      <c r="A522" t="str">
        <f t="shared" si="259"/>
        <v>30/01/2025</v>
      </c>
      <c r="B522" t="str">
        <f t="shared" si="257"/>
        <v>ENTRADA</v>
      </c>
      <c r="C522" t="str">
        <f t="shared" si="260"/>
        <v>NFSE</v>
      </c>
      <c r="D522" t="str">
        <f t="shared" si="249"/>
        <v>2652</v>
      </c>
      <c r="E522" t="str">
        <f t="shared" si="261"/>
        <v>COM</v>
      </c>
      <c r="F522" t="str">
        <f t="shared" si="251"/>
        <v>FARMÁCIA INDIANA LJ 1 (10126)</v>
      </c>
      <c r="G522" t="str">
        <f t="shared" si="252"/>
        <v>Serv.Prest. 13/01/2025 a 19/01/2025 - RPS: 426 - NFSe: 2652</v>
      </c>
      <c r="H522" t="str">
        <f t="shared" si="258"/>
        <v>29/01/2025</v>
      </c>
      <c r="I522" t="str">
        <f t="shared" si="262"/>
        <v>21/01/2025</v>
      </c>
      <c r="J522" t="str">
        <f t="shared" si="263"/>
        <v>30/01/2025</v>
      </c>
      <c r="M522">
        <v>303</v>
      </c>
      <c r="N522" t="str">
        <f t="shared" si="264"/>
        <v>RECEITAS COM ENTREGAS</v>
      </c>
      <c r="P522">
        <v>96.58</v>
      </c>
      <c r="Q522" t="str">
        <f>"FARMÁCIA INDIANA LJ 207 (10088)"</f>
        <v>FARMÁCIA INDIANA LJ 207 (10088)</v>
      </c>
      <c r="R522" t="str">
        <f t="shared" si="265"/>
        <v>RECEITAS COM ENTREGAS (303)</v>
      </c>
      <c r="S522">
        <v>944</v>
      </c>
      <c r="T522">
        <v>772</v>
      </c>
      <c r="U522" t="s">
        <v>19</v>
      </c>
    </row>
    <row r="523" spans="1:21">
      <c r="A523" t="str">
        <f t="shared" si="259"/>
        <v>30/01/2025</v>
      </c>
      <c r="B523" t="str">
        <f t="shared" si="257"/>
        <v>ENTRADA</v>
      </c>
      <c r="C523" t="str">
        <f t="shared" si="260"/>
        <v>NFSE</v>
      </c>
      <c r="D523" t="str">
        <f t="shared" si="249"/>
        <v>2652</v>
      </c>
      <c r="E523" t="str">
        <f t="shared" si="261"/>
        <v>COM</v>
      </c>
      <c r="F523" t="str">
        <f t="shared" si="251"/>
        <v>FARMÁCIA INDIANA LJ 1 (10126)</v>
      </c>
      <c r="G523" t="str">
        <f t="shared" si="252"/>
        <v>Serv.Prest. 13/01/2025 a 19/01/2025 - RPS: 426 - NFSe: 2652</v>
      </c>
      <c r="H523" t="str">
        <f t="shared" si="258"/>
        <v>29/01/2025</v>
      </c>
      <c r="I523" t="str">
        <f t="shared" si="262"/>
        <v>21/01/2025</v>
      </c>
      <c r="J523" t="str">
        <f t="shared" si="263"/>
        <v>30/01/2025</v>
      </c>
      <c r="M523">
        <v>303</v>
      </c>
      <c r="N523" t="str">
        <f t="shared" si="264"/>
        <v>RECEITAS COM ENTREGAS</v>
      </c>
      <c r="P523">
        <v>124.98</v>
      </c>
      <c r="Q523" t="str">
        <f>"FARMÁCIA INDIANA LJ 209 (10089)"</f>
        <v>FARMÁCIA INDIANA LJ 209 (10089)</v>
      </c>
      <c r="R523" t="str">
        <f t="shared" si="265"/>
        <v>RECEITAS COM ENTREGAS (303)</v>
      </c>
      <c r="S523">
        <v>944</v>
      </c>
      <c r="T523">
        <v>772</v>
      </c>
      <c r="U523" t="s">
        <v>19</v>
      </c>
    </row>
    <row r="524" spans="1:21">
      <c r="A524" t="str">
        <f t="shared" si="259"/>
        <v>30/01/2025</v>
      </c>
      <c r="B524" t="str">
        <f t="shared" si="257"/>
        <v>ENTRADA</v>
      </c>
      <c r="C524" t="str">
        <f t="shared" si="260"/>
        <v>NFSE</v>
      </c>
      <c r="D524" t="str">
        <f t="shared" si="249"/>
        <v>2652</v>
      </c>
      <c r="E524" t="str">
        <f t="shared" si="261"/>
        <v>COM</v>
      </c>
      <c r="F524" t="str">
        <f t="shared" si="251"/>
        <v>FARMÁCIA INDIANA LJ 1 (10126)</v>
      </c>
      <c r="G524" t="str">
        <f t="shared" si="252"/>
        <v>Serv.Prest. 13/01/2025 a 19/01/2025 - RPS: 426 - NFSe: 2652</v>
      </c>
      <c r="H524" t="str">
        <f t="shared" si="258"/>
        <v>29/01/2025</v>
      </c>
      <c r="I524" t="str">
        <f t="shared" si="262"/>
        <v>21/01/2025</v>
      </c>
      <c r="J524" t="str">
        <f t="shared" si="263"/>
        <v>30/01/2025</v>
      </c>
      <c r="M524">
        <v>303</v>
      </c>
      <c r="N524" t="str">
        <f t="shared" si="264"/>
        <v>RECEITAS COM ENTREGAS</v>
      </c>
      <c r="P524">
        <v>160.19999999999999</v>
      </c>
      <c r="Q524" t="str">
        <f>"FARMÁCIA INDIANA LJ 219 (10091)"</f>
        <v>FARMÁCIA INDIANA LJ 219 (10091)</v>
      </c>
      <c r="R524" t="str">
        <f t="shared" si="265"/>
        <v>RECEITAS COM ENTREGAS (303)</v>
      </c>
      <c r="S524">
        <v>944</v>
      </c>
      <c r="T524">
        <v>772</v>
      </c>
      <c r="U524" t="s">
        <v>19</v>
      </c>
    </row>
    <row r="525" spans="1:21">
      <c r="A525" t="str">
        <f t="shared" si="259"/>
        <v>30/01/2025</v>
      </c>
      <c r="B525" t="str">
        <f t="shared" si="257"/>
        <v>ENTRADA</v>
      </c>
      <c r="C525" t="str">
        <f t="shared" si="260"/>
        <v>NFSE</v>
      </c>
      <c r="D525" t="str">
        <f t="shared" si="249"/>
        <v>2652</v>
      </c>
      <c r="E525" t="str">
        <f t="shared" si="261"/>
        <v>COM</v>
      </c>
      <c r="F525" t="str">
        <f t="shared" si="251"/>
        <v>FARMÁCIA INDIANA LJ 1 (10126)</v>
      </c>
      <c r="G525" t="str">
        <f t="shared" si="252"/>
        <v>Serv.Prest. 13/01/2025 a 19/01/2025 - RPS: 426 - NFSe: 2652</v>
      </c>
      <c r="H525" t="str">
        <f t="shared" si="258"/>
        <v>29/01/2025</v>
      </c>
      <c r="I525" t="str">
        <f t="shared" si="262"/>
        <v>21/01/2025</v>
      </c>
      <c r="J525" t="str">
        <f t="shared" si="263"/>
        <v>30/01/2025</v>
      </c>
      <c r="M525">
        <v>303</v>
      </c>
      <c r="N525" t="str">
        <f t="shared" si="264"/>
        <v>RECEITAS COM ENTREGAS</v>
      </c>
      <c r="P525">
        <v>92.03</v>
      </c>
      <c r="Q525" t="str">
        <f>"FARMÁCIA INDIANA LJ 220 (10092)"</f>
        <v>FARMÁCIA INDIANA LJ 220 (10092)</v>
      </c>
      <c r="R525" t="str">
        <f t="shared" si="265"/>
        <v>RECEITAS COM ENTREGAS (303)</v>
      </c>
      <c r="S525">
        <v>944</v>
      </c>
      <c r="T525">
        <v>772</v>
      </c>
      <c r="U525" t="s">
        <v>19</v>
      </c>
    </row>
    <row r="526" spans="1:21">
      <c r="A526" t="str">
        <f t="shared" si="259"/>
        <v>30/01/2025</v>
      </c>
      <c r="B526" t="str">
        <f t="shared" si="257"/>
        <v>ENTRADA</v>
      </c>
      <c r="C526" t="str">
        <f t="shared" si="260"/>
        <v>NFSE</v>
      </c>
      <c r="D526" t="str">
        <f t="shared" si="249"/>
        <v>2652</v>
      </c>
      <c r="E526" t="str">
        <f t="shared" si="261"/>
        <v>COM</v>
      </c>
      <c r="F526" t="str">
        <f t="shared" si="251"/>
        <v>FARMÁCIA INDIANA LJ 1 (10126)</v>
      </c>
      <c r="G526" t="str">
        <f t="shared" si="252"/>
        <v>Serv.Prest. 13/01/2025 a 19/01/2025 - RPS: 426 - NFSe: 2652</v>
      </c>
      <c r="H526" t="str">
        <f t="shared" si="258"/>
        <v>29/01/2025</v>
      </c>
      <c r="I526" t="str">
        <f t="shared" si="262"/>
        <v>21/01/2025</v>
      </c>
      <c r="J526" t="str">
        <f t="shared" si="263"/>
        <v>30/01/2025</v>
      </c>
      <c r="M526">
        <v>303</v>
      </c>
      <c r="N526" t="str">
        <f t="shared" si="264"/>
        <v>RECEITAS COM ENTREGAS</v>
      </c>
      <c r="P526">
        <v>187.47</v>
      </c>
      <c r="Q526" t="str">
        <f>"FARMÁCIA INDIANA LJ 185 (10141)"</f>
        <v>FARMÁCIA INDIANA LJ 185 (10141)</v>
      </c>
      <c r="R526" t="str">
        <f t="shared" si="265"/>
        <v>RECEITAS COM ENTREGAS (303)</v>
      </c>
      <c r="S526">
        <v>944</v>
      </c>
      <c r="T526">
        <v>772</v>
      </c>
      <c r="U526" t="s">
        <v>19</v>
      </c>
    </row>
    <row r="527" spans="1:21">
      <c r="A527" t="str">
        <f t="shared" si="259"/>
        <v>30/01/2025</v>
      </c>
      <c r="B527" t="str">
        <f t="shared" si="257"/>
        <v>ENTRADA</v>
      </c>
      <c r="C527" t="str">
        <f t="shared" si="260"/>
        <v>NFSE</v>
      </c>
      <c r="D527" t="str">
        <f t="shared" ref="D527:D537" si="266">"2653"</f>
        <v>2653</v>
      </c>
      <c r="E527" t="str">
        <f t="shared" si="261"/>
        <v>COM</v>
      </c>
      <c r="F527" t="str">
        <f t="shared" ref="F527:F537" si="267">"FARMÁCIA INDIANA LJ 30 (10127)"</f>
        <v>FARMÁCIA INDIANA LJ 30 (10127)</v>
      </c>
      <c r="G527" t="str">
        <f t="shared" ref="G527:G537" si="268">"Serv.Prest. 13/01/2025 a 19/01/2025 - RPS: 427 - NFSe: 2653"</f>
        <v>Serv.Prest. 13/01/2025 a 19/01/2025 - RPS: 427 - NFSe: 2653</v>
      </c>
      <c r="H527" t="str">
        <f t="shared" si="258"/>
        <v>29/01/2025</v>
      </c>
      <c r="I527" t="str">
        <f t="shared" si="262"/>
        <v>21/01/2025</v>
      </c>
      <c r="J527" t="str">
        <f t="shared" si="263"/>
        <v>30/01/2025</v>
      </c>
      <c r="K527">
        <v>2276.96</v>
      </c>
      <c r="L527">
        <v>2276.96</v>
      </c>
      <c r="M527">
        <v>303</v>
      </c>
      <c r="N527" t="str">
        <f t="shared" si="264"/>
        <v>RECEITAS COM ENTREGAS</v>
      </c>
      <c r="O527">
        <v>2276.96</v>
      </c>
      <c r="R527" t="str">
        <f t="shared" si="265"/>
        <v>RECEITAS COM ENTREGAS (303)</v>
      </c>
      <c r="S527">
        <v>945</v>
      </c>
      <c r="T527">
        <v>773</v>
      </c>
      <c r="U527" t="s">
        <v>19</v>
      </c>
    </row>
    <row r="528" spans="1:21">
      <c r="A528" t="str">
        <f t="shared" si="259"/>
        <v>30/01/2025</v>
      </c>
      <c r="B528" t="str">
        <f t="shared" si="257"/>
        <v>ENTRADA</v>
      </c>
      <c r="C528" t="str">
        <f t="shared" si="260"/>
        <v>NFSE</v>
      </c>
      <c r="D528" t="str">
        <f t="shared" si="266"/>
        <v>2653</v>
      </c>
      <c r="E528" t="str">
        <f t="shared" si="261"/>
        <v>COM</v>
      </c>
      <c r="F528" t="str">
        <f t="shared" si="267"/>
        <v>FARMÁCIA INDIANA LJ 30 (10127)</v>
      </c>
      <c r="G528" t="str">
        <f t="shared" si="268"/>
        <v>Serv.Prest. 13/01/2025 a 19/01/2025 - RPS: 427 - NFSe: 2653</v>
      </c>
      <c r="H528" t="str">
        <f t="shared" si="258"/>
        <v>29/01/2025</v>
      </c>
      <c r="I528" t="str">
        <f t="shared" si="262"/>
        <v>21/01/2025</v>
      </c>
      <c r="J528" t="str">
        <f t="shared" si="263"/>
        <v>30/01/2025</v>
      </c>
      <c r="M528">
        <v>303</v>
      </c>
      <c r="N528" t="str">
        <f t="shared" si="264"/>
        <v>RECEITAS COM ENTREGAS</v>
      </c>
      <c r="P528">
        <v>297.83999999999997</v>
      </c>
      <c r="Q528" t="str">
        <f>"FARMÁCIA INDIANA LJ 34 (10014)"</f>
        <v>FARMÁCIA INDIANA LJ 34 (10014)</v>
      </c>
      <c r="R528" t="str">
        <f t="shared" si="265"/>
        <v>RECEITAS COM ENTREGAS (303)</v>
      </c>
      <c r="S528">
        <v>945</v>
      </c>
      <c r="T528">
        <v>773</v>
      </c>
      <c r="U528" t="s">
        <v>19</v>
      </c>
    </row>
    <row r="529" spans="1:21">
      <c r="A529" t="str">
        <f t="shared" si="259"/>
        <v>30/01/2025</v>
      </c>
      <c r="B529" t="str">
        <f t="shared" si="257"/>
        <v>ENTRADA</v>
      </c>
      <c r="C529" t="str">
        <f t="shared" si="260"/>
        <v>NFSE</v>
      </c>
      <c r="D529" t="str">
        <f t="shared" si="266"/>
        <v>2653</v>
      </c>
      <c r="E529" t="str">
        <f t="shared" si="261"/>
        <v>COM</v>
      </c>
      <c r="F529" t="str">
        <f t="shared" si="267"/>
        <v>FARMÁCIA INDIANA LJ 30 (10127)</v>
      </c>
      <c r="G529" t="str">
        <f t="shared" si="268"/>
        <v>Serv.Prest. 13/01/2025 a 19/01/2025 - RPS: 427 - NFSe: 2653</v>
      </c>
      <c r="H529" t="str">
        <f t="shared" si="258"/>
        <v>29/01/2025</v>
      </c>
      <c r="I529" t="str">
        <f t="shared" si="262"/>
        <v>21/01/2025</v>
      </c>
      <c r="J529" t="str">
        <f t="shared" si="263"/>
        <v>30/01/2025</v>
      </c>
      <c r="M529">
        <v>303</v>
      </c>
      <c r="N529" t="str">
        <f t="shared" si="264"/>
        <v>RECEITAS COM ENTREGAS</v>
      </c>
      <c r="P529">
        <v>235.89</v>
      </c>
      <c r="Q529" t="str">
        <f>"FARMÁCIA INDIANA LJ 35 (10015)"</f>
        <v>FARMÁCIA INDIANA LJ 35 (10015)</v>
      </c>
      <c r="R529" t="str">
        <f t="shared" si="265"/>
        <v>RECEITAS COM ENTREGAS (303)</v>
      </c>
      <c r="S529">
        <v>945</v>
      </c>
      <c r="T529">
        <v>773</v>
      </c>
      <c r="U529" t="s">
        <v>19</v>
      </c>
    </row>
    <row r="530" spans="1:21">
      <c r="A530" t="str">
        <f t="shared" si="259"/>
        <v>30/01/2025</v>
      </c>
      <c r="B530" t="str">
        <f t="shared" si="257"/>
        <v>ENTRADA</v>
      </c>
      <c r="C530" t="str">
        <f t="shared" si="260"/>
        <v>NFSE</v>
      </c>
      <c r="D530" t="str">
        <f t="shared" si="266"/>
        <v>2653</v>
      </c>
      <c r="E530" t="str">
        <f t="shared" si="261"/>
        <v>COM</v>
      </c>
      <c r="F530" t="str">
        <f t="shared" si="267"/>
        <v>FARMÁCIA INDIANA LJ 30 (10127)</v>
      </c>
      <c r="G530" t="str">
        <f t="shared" si="268"/>
        <v>Serv.Prest. 13/01/2025 a 19/01/2025 - RPS: 427 - NFSe: 2653</v>
      </c>
      <c r="H530" t="str">
        <f t="shared" si="258"/>
        <v>29/01/2025</v>
      </c>
      <c r="I530" t="str">
        <f t="shared" si="262"/>
        <v>21/01/2025</v>
      </c>
      <c r="J530" t="str">
        <f t="shared" si="263"/>
        <v>30/01/2025</v>
      </c>
      <c r="M530">
        <v>303</v>
      </c>
      <c r="N530" t="str">
        <f t="shared" si="264"/>
        <v>RECEITAS COM ENTREGAS</v>
      </c>
      <c r="P530">
        <v>224.96</v>
      </c>
      <c r="Q530" t="str">
        <f>"FARMÁCIA INDIANA LJ 48 (10018)"</f>
        <v>FARMÁCIA INDIANA LJ 48 (10018)</v>
      </c>
      <c r="R530" t="str">
        <f t="shared" si="265"/>
        <v>RECEITAS COM ENTREGAS (303)</v>
      </c>
      <c r="S530">
        <v>945</v>
      </c>
      <c r="T530">
        <v>773</v>
      </c>
      <c r="U530" t="s">
        <v>19</v>
      </c>
    </row>
    <row r="531" spans="1:21">
      <c r="A531" t="str">
        <f t="shared" si="259"/>
        <v>30/01/2025</v>
      </c>
      <c r="B531" t="str">
        <f t="shared" si="257"/>
        <v>ENTRADA</v>
      </c>
      <c r="C531" t="str">
        <f t="shared" si="260"/>
        <v>NFSE</v>
      </c>
      <c r="D531" t="str">
        <f t="shared" si="266"/>
        <v>2653</v>
      </c>
      <c r="E531" t="str">
        <f t="shared" si="261"/>
        <v>COM</v>
      </c>
      <c r="F531" t="str">
        <f t="shared" si="267"/>
        <v>FARMÁCIA INDIANA LJ 30 (10127)</v>
      </c>
      <c r="G531" t="str">
        <f t="shared" si="268"/>
        <v>Serv.Prest. 13/01/2025 a 19/01/2025 - RPS: 427 - NFSe: 2653</v>
      </c>
      <c r="H531" t="str">
        <f t="shared" si="258"/>
        <v>29/01/2025</v>
      </c>
      <c r="I531" t="str">
        <f t="shared" si="262"/>
        <v>21/01/2025</v>
      </c>
      <c r="J531" t="str">
        <f t="shared" si="263"/>
        <v>30/01/2025</v>
      </c>
      <c r="M531">
        <v>303</v>
      </c>
      <c r="N531" t="str">
        <f t="shared" si="264"/>
        <v>RECEITAS COM ENTREGAS</v>
      </c>
      <c r="P531">
        <v>319.91000000000003</v>
      </c>
      <c r="Q531" t="str">
        <f>"FARMÁCIA INDIANA LJ 65 (10030)"</f>
        <v>FARMÁCIA INDIANA LJ 65 (10030)</v>
      </c>
      <c r="R531" t="str">
        <f t="shared" si="265"/>
        <v>RECEITAS COM ENTREGAS (303)</v>
      </c>
      <c r="S531">
        <v>945</v>
      </c>
      <c r="T531">
        <v>773</v>
      </c>
      <c r="U531" t="s">
        <v>19</v>
      </c>
    </row>
    <row r="532" spans="1:21">
      <c r="A532" t="str">
        <f t="shared" si="259"/>
        <v>30/01/2025</v>
      </c>
      <c r="B532" t="str">
        <f t="shared" si="257"/>
        <v>ENTRADA</v>
      </c>
      <c r="C532" t="str">
        <f t="shared" si="260"/>
        <v>NFSE</v>
      </c>
      <c r="D532" t="str">
        <f t="shared" si="266"/>
        <v>2653</v>
      </c>
      <c r="E532" t="str">
        <f t="shared" si="261"/>
        <v>COM</v>
      </c>
      <c r="F532" t="str">
        <f t="shared" si="267"/>
        <v>FARMÁCIA INDIANA LJ 30 (10127)</v>
      </c>
      <c r="G532" t="str">
        <f t="shared" si="268"/>
        <v>Serv.Prest. 13/01/2025 a 19/01/2025 - RPS: 427 - NFSe: 2653</v>
      </c>
      <c r="H532" t="str">
        <f t="shared" si="258"/>
        <v>29/01/2025</v>
      </c>
      <c r="I532" t="str">
        <f t="shared" si="262"/>
        <v>21/01/2025</v>
      </c>
      <c r="J532" t="str">
        <f t="shared" si="263"/>
        <v>30/01/2025</v>
      </c>
      <c r="M532">
        <v>303</v>
      </c>
      <c r="N532" t="str">
        <f t="shared" si="264"/>
        <v>RECEITAS COM ENTREGAS</v>
      </c>
      <c r="P532">
        <v>164.62</v>
      </c>
      <c r="Q532" t="str">
        <f>"FARMÁCIA INDIANA LJ 77 (10034)"</f>
        <v>FARMÁCIA INDIANA LJ 77 (10034)</v>
      </c>
      <c r="R532" t="str">
        <f t="shared" si="265"/>
        <v>RECEITAS COM ENTREGAS (303)</v>
      </c>
      <c r="S532">
        <v>945</v>
      </c>
      <c r="T532">
        <v>773</v>
      </c>
      <c r="U532" t="s">
        <v>19</v>
      </c>
    </row>
    <row r="533" spans="1:21">
      <c r="A533" t="str">
        <f t="shared" si="259"/>
        <v>30/01/2025</v>
      </c>
      <c r="B533" t="str">
        <f t="shared" si="257"/>
        <v>ENTRADA</v>
      </c>
      <c r="C533" t="str">
        <f t="shared" si="260"/>
        <v>NFSE</v>
      </c>
      <c r="D533" t="str">
        <f t="shared" si="266"/>
        <v>2653</v>
      </c>
      <c r="E533" t="str">
        <f t="shared" si="261"/>
        <v>COM</v>
      </c>
      <c r="F533" t="str">
        <f t="shared" si="267"/>
        <v>FARMÁCIA INDIANA LJ 30 (10127)</v>
      </c>
      <c r="G533" t="str">
        <f t="shared" si="268"/>
        <v>Serv.Prest. 13/01/2025 a 19/01/2025 - RPS: 427 - NFSe: 2653</v>
      </c>
      <c r="H533" t="str">
        <f t="shared" ref="H533:H549" si="269">("29/01/2025")</f>
        <v>29/01/2025</v>
      </c>
      <c r="I533" t="str">
        <f t="shared" si="262"/>
        <v>21/01/2025</v>
      </c>
      <c r="J533" t="str">
        <f t="shared" si="263"/>
        <v>30/01/2025</v>
      </c>
      <c r="M533">
        <v>303</v>
      </c>
      <c r="N533" t="str">
        <f t="shared" si="264"/>
        <v>RECEITAS COM ENTREGAS</v>
      </c>
      <c r="P533">
        <v>181.47</v>
      </c>
      <c r="Q533" t="str">
        <f>"FARMÁCIA INDIANA LJ 91 (10037)"</f>
        <v>FARMÁCIA INDIANA LJ 91 (10037)</v>
      </c>
      <c r="R533" t="str">
        <f t="shared" si="265"/>
        <v>RECEITAS COM ENTREGAS (303)</v>
      </c>
      <c r="S533">
        <v>945</v>
      </c>
      <c r="T533">
        <v>773</v>
      </c>
      <c r="U533" t="s">
        <v>19</v>
      </c>
    </row>
    <row r="534" spans="1:21">
      <c r="A534" t="str">
        <f t="shared" si="259"/>
        <v>30/01/2025</v>
      </c>
      <c r="B534" t="str">
        <f t="shared" si="257"/>
        <v>ENTRADA</v>
      </c>
      <c r="C534" t="str">
        <f t="shared" si="260"/>
        <v>NFSE</v>
      </c>
      <c r="D534" t="str">
        <f t="shared" si="266"/>
        <v>2653</v>
      </c>
      <c r="E534" t="str">
        <f t="shared" si="261"/>
        <v>COM</v>
      </c>
      <c r="F534" t="str">
        <f t="shared" si="267"/>
        <v>FARMÁCIA INDIANA LJ 30 (10127)</v>
      </c>
      <c r="G534" t="str">
        <f t="shared" si="268"/>
        <v>Serv.Prest. 13/01/2025 a 19/01/2025 - RPS: 427 - NFSe: 2653</v>
      </c>
      <c r="H534" t="str">
        <f t="shared" si="269"/>
        <v>29/01/2025</v>
      </c>
      <c r="I534" t="str">
        <f t="shared" si="262"/>
        <v>21/01/2025</v>
      </c>
      <c r="J534" t="str">
        <f t="shared" si="263"/>
        <v>30/01/2025</v>
      </c>
      <c r="M534">
        <v>303</v>
      </c>
      <c r="N534" t="str">
        <f t="shared" si="264"/>
        <v>RECEITAS COM ENTREGAS</v>
      </c>
      <c r="P534">
        <v>347.69</v>
      </c>
      <c r="Q534" t="str">
        <f>"FARMÁCIA INDIANA LJ 95 (10039)"</f>
        <v>FARMÁCIA INDIANA LJ 95 (10039)</v>
      </c>
      <c r="R534" t="str">
        <f t="shared" si="265"/>
        <v>RECEITAS COM ENTREGAS (303)</v>
      </c>
      <c r="S534">
        <v>945</v>
      </c>
      <c r="T534">
        <v>773</v>
      </c>
      <c r="U534" t="s">
        <v>19</v>
      </c>
    </row>
    <row r="535" spans="1:21">
      <c r="A535" t="str">
        <f t="shared" si="259"/>
        <v>30/01/2025</v>
      </c>
      <c r="B535" t="str">
        <f t="shared" si="257"/>
        <v>ENTRADA</v>
      </c>
      <c r="C535" t="str">
        <f t="shared" si="260"/>
        <v>NFSE</v>
      </c>
      <c r="D535" t="str">
        <f t="shared" si="266"/>
        <v>2653</v>
      </c>
      <c r="E535" t="str">
        <f t="shared" si="261"/>
        <v>COM</v>
      </c>
      <c r="F535" t="str">
        <f t="shared" si="267"/>
        <v>FARMÁCIA INDIANA LJ 30 (10127)</v>
      </c>
      <c r="G535" t="str">
        <f t="shared" si="268"/>
        <v>Serv.Prest. 13/01/2025 a 19/01/2025 - RPS: 427 - NFSe: 2653</v>
      </c>
      <c r="H535" t="str">
        <f t="shared" si="269"/>
        <v>29/01/2025</v>
      </c>
      <c r="I535" t="str">
        <f t="shared" si="262"/>
        <v>21/01/2025</v>
      </c>
      <c r="J535" t="str">
        <f t="shared" si="263"/>
        <v>30/01/2025</v>
      </c>
      <c r="M535">
        <v>303</v>
      </c>
      <c r="N535" t="str">
        <f t="shared" si="264"/>
        <v>RECEITAS COM ENTREGAS</v>
      </c>
      <c r="P535">
        <v>254.34</v>
      </c>
      <c r="Q535" t="str">
        <f>"FARMÁCIA INDIANA LJ 145 (10068)"</f>
        <v>FARMÁCIA INDIANA LJ 145 (10068)</v>
      </c>
      <c r="R535" t="str">
        <f t="shared" si="265"/>
        <v>RECEITAS COM ENTREGAS (303)</v>
      </c>
      <c r="S535">
        <v>945</v>
      </c>
      <c r="T535">
        <v>773</v>
      </c>
      <c r="U535" t="s">
        <v>19</v>
      </c>
    </row>
    <row r="536" spans="1:21">
      <c r="A536" t="str">
        <f t="shared" si="259"/>
        <v>30/01/2025</v>
      </c>
      <c r="B536" t="str">
        <f t="shared" si="257"/>
        <v>ENTRADA</v>
      </c>
      <c r="C536" t="str">
        <f t="shared" si="260"/>
        <v>NFSE</v>
      </c>
      <c r="D536" t="str">
        <f t="shared" si="266"/>
        <v>2653</v>
      </c>
      <c r="E536" t="str">
        <f t="shared" si="261"/>
        <v>COM</v>
      </c>
      <c r="F536" t="str">
        <f t="shared" si="267"/>
        <v>FARMÁCIA INDIANA LJ 30 (10127)</v>
      </c>
      <c r="G536" t="str">
        <f t="shared" si="268"/>
        <v>Serv.Prest. 13/01/2025 a 19/01/2025 - RPS: 427 - NFSe: 2653</v>
      </c>
      <c r="H536" t="str">
        <f t="shared" si="269"/>
        <v>29/01/2025</v>
      </c>
      <c r="I536" t="str">
        <f t="shared" si="262"/>
        <v>21/01/2025</v>
      </c>
      <c r="J536" t="str">
        <f t="shared" si="263"/>
        <v>30/01/2025</v>
      </c>
      <c r="M536">
        <v>303</v>
      </c>
      <c r="N536" t="str">
        <f t="shared" si="264"/>
        <v>RECEITAS COM ENTREGAS</v>
      </c>
      <c r="P536">
        <v>89.94</v>
      </c>
      <c r="Q536" t="str">
        <f>"FARMÁCIA INDIANA LJ 169 (10073)"</f>
        <v>FARMÁCIA INDIANA LJ 169 (10073)</v>
      </c>
      <c r="R536" t="str">
        <f t="shared" si="265"/>
        <v>RECEITAS COM ENTREGAS (303)</v>
      </c>
      <c r="S536">
        <v>945</v>
      </c>
      <c r="T536">
        <v>773</v>
      </c>
      <c r="U536" t="s">
        <v>19</v>
      </c>
    </row>
    <row r="537" spans="1:21">
      <c r="A537" t="str">
        <f t="shared" si="259"/>
        <v>30/01/2025</v>
      </c>
      <c r="B537" t="str">
        <f t="shared" si="257"/>
        <v>ENTRADA</v>
      </c>
      <c r="C537" t="str">
        <f t="shared" si="260"/>
        <v>NFSE</v>
      </c>
      <c r="D537" t="str">
        <f t="shared" si="266"/>
        <v>2653</v>
      </c>
      <c r="E537" t="str">
        <f t="shared" si="261"/>
        <v>COM</v>
      </c>
      <c r="F537" t="str">
        <f t="shared" si="267"/>
        <v>FARMÁCIA INDIANA LJ 30 (10127)</v>
      </c>
      <c r="G537" t="str">
        <f t="shared" si="268"/>
        <v>Serv.Prest. 13/01/2025 a 19/01/2025 - RPS: 427 - NFSe: 2653</v>
      </c>
      <c r="H537" t="str">
        <f t="shared" si="269"/>
        <v>29/01/2025</v>
      </c>
      <c r="I537" t="str">
        <f t="shared" si="262"/>
        <v>21/01/2025</v>
      </c>
      <c r="J537" t="str">
        <f t="shared" si="263"/>
        <v>30/01/2025</v>
      </c>
      <c r="M537">
        <v>303</v>
      </c>
      <c r="N537" t="str">
        <f t="shared" si="264"/>
        <v>RECEITAS COM ENTREGAS</v>
      </c>
      <c r="P537">
        <v>160.30000000000001</v>
      </c>
      <c r="Q537" t="str">
        <f>"FARMÁCIA INDIANA LJ 173 (10075)"</f>
        <v>FARMÁCIA INDIANA LJ 173 (10075)</v>
      </c>
      <c r="R537" t="str">
        <f t="shared" si="265"/>
        <v>RECEITAS COM ENTREGAS (303)</v>
      </c>
      <c r="S537">
        <v>945</v>
      </c>
      <c r="T537">
        <v>773</v>
      </c>
      <c r="U537" t="s">
        <v>19</v>
      </c>
    </row>
    <row r="538" spans="1:21">
      <c r="A538" t="str">
        <f t="shared" si="259"/>
        <v>30/01/2025</v>
      </c>
      <c r="B538" t="str">
        <f t="shared" si="257"/>
        <v>ENTRADA</v>
      </c>
      <c r="C538" t="str">
        <f t="shared" si="260"/>
        <v>NFSE</v>
      </c>
      <c r="D538" t="str">
        <f t="shared" ref="D538:D543" si="270">"2654"</f>
        <v>2654</v>
      </c>
      <c r="E538" t="str">
        <f t="shared" si="261"/>
        <v>COM</v>
      </c>
      <c r="F538" t="str">
        <f t="shared" ref="F538:F543" si="271">"FARMÁCIA INDIANA LJ 85 (10128)"</f>
        <v>FARMÁCIA INDIANA LJ 85 (10128)</v>
      </c>
      <c r="G538" t="str">
        <f t="shared" ref="G538:G543" si="272">"Serv.Prest. 13/01/2025 a 19/01/2025 - RPS: 428 - NFSe: 2654"</f>
        <v>Serv.Prest. 13/01/2025 a 19/01/2025 - RPS: 428 - NFSe: 2654</v>
      </c>
      <c r="H538" t="str">
        <f t="shared" si="269"/>
        <v>29/01/2025</v>
      </c>
      <c r="I538" t="str">
        <f t="shared" si="262"/>
        <v>21/01/2025</v>
      </c>
      <c r="J538" t="str">
        <f t="shared" si="263"/>
        <v>30/01/2025</v>
      </c>
      <c r="K538">
        <v>885.27</v>
      </c>
      <c r="L538">
        <v>885.27</v>
      </c>
      <c r="M538">
        <v>303</v>
      </c>
      <c r="N538" t="str">
        <f t="shared" si="264"/>
        <v>RECEITAS COM ENTREGAS</v>
      </c>
      <c r="O538">
        <v>885.27</v>
      </c>
      <c r="R538" t="str">
        <f t="shared" si="265"/>
        <v>RECEITAS COM ENTREGAS (303)</v>
      </c>
      <c r="S538">
        <v>946</v>
      </c>
      <c r="T538">
        <v>774</v>
      </c>
      <c r="U538" t="s">
        <v>19</v>
      </c>
    </row>
    <row r="539" spans="1:21">
      <c r="A539" t="str">
        <f t="shared" si="259"/>
        <v>30/01/2025</v>
      </c>
      <c r="B539" t="str">
        <f t="shared" si="257"/>
        <v>ENTRADA</v>
      </c>
      <c r="C539" t="str">
        <f t="shared" si="260"/>
        <v>NFSE</v>
      </c>
      <c r="D539" t="str">
        <f t="shared" si="270"/>
        <v>2654</v>
      </c>
      <c r="E539" t="str">
        <f t="shared" si="261"/>
        <v>COM</v>
      </c>
      <c r="F539" t="str">
        <f t="shared" si="271"/>
        <v>FARMÁCIA INDIANA LJ 85 (10128)</v>
      </c>
      <c r="G539" t="str">
        <f t="shared" si="272"/>
        <v>Serv.Prest. 13/01/2025 a 19/01/2025 - RPS: 428 - NFSe: 2654</v>
      </c>
      <c r="H539" t="str">
        <f t="shared" si="269"/>
        <v>29/01/2025</v>
      </c>
      <c r="I539" t="str">
        <f t="shared" si="262"/>
        <v>21/01/2025</v>
      </c>
      <c r="J539" t="str">
        <f t="shared" si="263"/>
        <v>30/01/2025</v>
      </c>
      <c r="M539">
        <v>303</v>
      </c>
      <c r="N539" t="str">
        <f t="shared" si="264"/>
        <v>RECEITAS COM ENTREGAS</v>
      </c>
      <c r="P539">
        <v>363.75</v>
      </c>
      <c r="Q539" t="str">
        <f>"FARMÁCIA INDIANA LJ 119 (10053)"</f>
        <v>FARMÁCIA INDIANA LJ 119 (10053)</v>
      </c>
      <c r="R539" t="str">
        <f t="shared" si="265"/>
        <v>RECEITAS COM ENTREGAS (303)</v>
      </c>
      <c r="S539">
        <v>946</v>
      </c>
      <c r="T539">
        <v>774</v>
      </c>
      <c r="U539" t="s">
        <v>19</v>
      </c>
    </row>
    <row r="540" spans="1:21">
      <c r="A540" t="str">
        <f t="shared" si="259"/>
        <v>30/01/2025</v>
      </c>
      <c r="B540" t="str">
        <f t="shared" si="257"/>
        <v>ENTRADA</v>
      </c>
      <c r="C540" t="str">
        <f t="shared" si="260"/>
        <v>NFSE</v>
      </c>
      <c r="D540" t="str">
        <f t="shared" si="270"/>
        <v>2654</v>
      </c>
      <c r="E540" t="str">
        <f t="shared" si="261"/>
        <v>COM</v>
      </c>
      <c r="F540" t="str">
        <f t="shared" si="271"/>
        <v>FARMÁCIA INDIANA LJ 85 (10128)</v>
      </c>
      <c r="G540" t="str">
        <f t="shared" si="272"/>
        <v>Serv.Prest. 13/01/2025 a 19/01/2025 - RPS: 428 - NFSe: 2654</v>
      </c>
      <c r="H540" t="str">
        <f t="shared" si="269"/>
        <v>29/01/2025</v>
      </c>
      <c r="I540" t="str">
        <f t="shared" si="262"/>
        <v>21/01/2025</v>
      </c>
      <c r="J540" t="str">
        <f t="shared" si="263"/>
        <v>30/01/2025</v>
      </c>
      <c r="M540">
        <v>303</v>
      </c>
      <c r="N540" t="str">
        <f t="shared" si="264"/>
        <v>RECEITAS COM ENTREGAS</v>
      </c>
      <c r="P540">
        <v>106.41</v>
      </c>
      <c r="Q540" t="str">
        <f>"FARMÁCIA INDIANA LJ 163 (10072)"</f>
        <v>FARMÁCIA INDIANA LJ 163 (10072)</v>
      </c>
      <c r="R540" t="str">
        <f t="shared" si="265"/>
        <v>RECEITAS COM ENTREGAS (303)</v>
      </c>
      <c r="S540">
        <v>946</v>
      </c>
      <c r="T540">
        <v>774</v>
      </c>
      <c r="U540" t="s">
        <v>19</v>
      </c>
    </row>
    <row r="541" spans="1:21">
      <c r="A541" t="str">
        <f t="shared" si="259"/>
        <v>30/01/2025</v>
      </c>
      <c r="B541" t="str">
        <f t="shared" si="257"/>
        <v>ENTRADA</v>
      </c>
      <c r="C541" t="str">
        <f t="shared" si="260"/>
        <v>NFSE</v>
      </c>
      <c r="D541" t="str">
        <f t="shared" si="270"/>
        <v>2654</v>
      </c>
      <c r="E541" t="str">
        <f t="shared" si="261"/>
        <v>COM</v>
      </c>
      <c r="F541" t="str">
        <f t="shared" si="271"/>
        <v>FARMÁCIA INDIANA LJ 85 (10128)</v>
      </c>
      <c r="G541" t="str">
        <f t="shared" si="272"/>
        <v>Serv.Prest. 13/01/2025 a 19/01/2025 - RPS: 428 - NFSe: 2654</v>
      </c>
      <c r="H541" t="str">
        <f t="shared" si="269"/>
        <v>29/01/2025</v>
      </c>
      <c r="I541" t="str">
        <f t="shared" si="262"/>
        <v>21/01/2025</v>
      </c>
      <c r="J541" t="str">
        <f t="shared" si="263"/>
        <v>30/01/2025</v>
      </c>
      <c r="M541">
        <v>303</v>
      </c>
      <c r="N541" t="str">
        <f t="shared" si="264"/>
        <v>RECEITAS COM ENTREGAS</v>
      </c>
      <c r="P541">
        <v>72.77</v>
      </c>
      <c r="Q541" t="str">
        <f>"FARMÁCIA INDIANA LJ 181 (10078)"</f>
        <v>FARMÁCIA INDIANA LJ 181 (10078)</v>
      </c>
      <c r="R541" t="str">
        <f t="shared" si="265"/>
        <v>RECEITAS COM ENTREGAS (303)</v>
      </c>
      <c r="S541">
        <v>946</v>
      </c>
      <c r="T541">
        <v>774</v>
      </c>
      <c r="U541" t="s">
        <v>19</v>
      </c>
    </row>
    <row r="542" spans="1:21">
      <c r="A542" t="str">
        <f t="shared" si="259"/>
        <v>30/01/2025</v>
      </c>
      <c r="B542" t="str">
        <f t="shared" si="257"/>
        <v>ENTRADA</v>
      </c>
      <c r="C542" t="str">
        <f t="shared" si="260"/>
        <v>NFSE</v>
      </c>
      <c r="D542" t="str">
        <f t="shared" si="270"/>
        <v>2654</v>
      </c>
      <c r="E542" t="str">
        <f t="shared" si="261"/>
        <v>COM</v>
      </c>
      <c r="F542" t="str">
        <f t="shared" si="271"/>
        <v>FARMÁCIA INDIANA LJ 85 (10128)</v>
      </c>
      <c r="G542" t="str">
        <f t="shared" si="272"/>
        <v>Serv.Prest. 13/01/2025 a 19/01/2025 - RPS: 428 - NFSe: 2654</v>
      </c>
      <c r="H542" t="str">
        <f t="shared" si="269"/>
        <v>29/01/2025</v>
      </c>
      <c r="I542" t="str">
        <f t="shared" si="262"/>
        <v>21/01/2025</v>
      </c>
      <c r="J542" t="str">
        <f t="shared" si="263"/>
        <v>30/01/2025</v>
      </c>
      <c r="M542">
        <v>303</v>
      </c>
      <c r="N542" t="str">
        <f t="shared" si="264"/>
        <v>RECEITAS COM ENTREGAS</v>
      </c>
      <c r="P542">
        <v>160.15</v>
      </c>
      <c r="Q542" t="str">
        <f>"FARMÁCIA INDIANA LJ 221 (10093)"</f>
        <v>FARMÁCIA INDIANA LJ 221 (10093)</v>
      </c>
      <c r="R542" t="str">
        <f t="shared" si="265"/>
        <v>RECEITAS COM ENTREGAS (303)</v>
      </c>
      <c r="S542">
        <v>946</v>
      </c>
      <c r="T542">
        <v>774</v>
      </c>
      <c r="U542" t="s">
        <v>19</v>
      </c>
    </row>
    <row r="543" spans="1:21">
      <c r="A543" t="str">
        <f t="shared" si="259"/>
        <v>30/01/2025</v>
      </c>
      <c r="B543" t="str">
        <f t="shared" si="257"/>
        <v>ENTRADA</v>
      </c>
      <c r="C543" t="str">
        <f t="shared" si="260"/>
        <v>NFSE</v>
      </c>
      <c r="D543" t="str">
        <f t="shared" si="270"/>
        <v>2654</v>
      </c>
      <c r="E543" t="str">
        <f t="shared" si="261"/>
        <v>COM</v>
      </c>
      <c r="F543" t="str">
        <f t="shared" si="271"/>
        <v>FARMÁCIA INDIANA LJ 85 (10128)</v>
      </c>
      <c r="G543" t="str">
        <f t="shared" si="272"/>
        <v>Serv.Prest. 13/01/2025 a 19/01/2025 - RPS: 428 - NFSe: 2654</v>
      </c>
      <c r="H543" t="str">
        <f t="shared" si="269"/>
        <v>29/01/2025</v>
      </c>
      <c r="I543" t="str">
        <f t="shared" si="262"/>
        <v>21/01/2025</v>
      </c>
      <c r="J543" t="str">
        <f t="shared" si="263"/>
        <v>30/01/2025</v>
      </c>
      <c r="M543">
        <v>303</v>
      </c>
      <c r="N543" t="str">
        <f t="shared" si="264"/>
        <v>RECEITAS COM ENTREGAS</v>
      </c>
      <c r="P543">
        <v>182.19</v>
      </c>
      <c r="Q543" t="str">
        <f>"FARMÁCIA INDIANA LJ 243 (10142)"</f>
        <v>FARMÁCIA INDIANA LJ 243 (10142)</v>
      </c>
      <c r="R543" t="str">
        <f t="shared" si="265"/>
        <v>RECEITAS COM ENTREGAS (303)</v>
      </c>
      <c r="S543">
        <v>946</v>
      </c>
      <c r="T543">
        <v>774</v>
      </c>
      <c r="U543" t="s">
        <v>19</v>
      </c>
    </row>
    <row r="544" spans="1:21">
      <c r="A544" t="str">
        <f t="shared" si="259"/>
        <v>30/01/2025</v>
      </c>
      <c r="B544" t="str">
        <f t="shared" si="257"/>
        <v>ENTRADA</v>
      </c>
      <c r="C544" t="str">
        <f t="shared" si="260"/>
        <v>NFSE</v>
      </c>
      <c r="D544" t="str">
        <f>"2659"</f>
        <v>2659</v>
      </c>
      <c r="E544" t="str">
        <f t="shared" si="261"/>
        <v>COM</v>
      </c>
      <c r="F544" t="str">
        <f>"DELTA LOJA 2 (10123)"</f>
        <v>DELTA LOJA 2 (10123)</v>
      </c>
      <c r="G544" t="str">
        <f>"Serv.Prest. 20/01/2025 a 26/01/2025 - RPS: 433 - NFSe: 2659"</f>
        <v>Serv.Prest. 20/01/2025 a 26/01/2025 - RPS: 433 - NFSe: 2659</v>
      </c>
      <c r="H544" t="str">
        <f t="shared" si="269"/>
        <v>29/01/2025</v>
      </c>
      <c r="I544" t="str">
        <f t="shared" ref="I544:I549" si="273">("27/01/2025")</f>
        <v>27/01/2025</v>
      </c>
      <c r="J544" t="str">
        <f t="shared" si="263"/>
        <v>30/01/2025</v>
      </c>
      <c r="K544">
        <v>512.96</v>
      </c>
      <c r="L544">
        <v>512.96</v>
      </c>
      <c r="M544">
        <v>303</v>
      </c>
      <c r="N544" t="str">
        <f t="shared" si="264"/>
        <v>RECEITAS COM ENTREGAS</v>
      </c>
      <c r="O544">
        <v>512.96</v>
      </c>
      <c r="R544" t="str">
        <f t="shared" si="265"/>
        <v>RECEITAS COM ENTREGAS (303)</v>
      </c>
      <c r="S544">
        <v>947</v>
      </c>
      <c r="T544">
        <v>779</v>
      </c>
      <c r="U544" t="s">
        <v>19</v>
      </c>
    </row>
    <row r="545" spans="1:21">
      <c r="A545" t="str">
        <f t="shared" ref="A545:A552" si="274">("30/01/2025")</f>
        <v>30/01/2025</v>
      </c>
      <c r="B545" t="str">
        <f t="shared" si="257"/>
        <v>ENTRADA</v>
      </c>
      <c r="C545" t="str">
        <f t="shared" si="260"/>
        <v>NFSE</v>
      </c>
      <c r="D545" t="str">
        <f>"2659"</f>
        <v>2659</v>
      </c>
      <c r="E545" t="str">
        <f t="shared" si="261"/>
        <v>COM</v>
      </c>
      <c r="F545" t="str">
        <f>"DELTA LOJA 2 (10123)"</f>
        <v>DELTA LOJA 2 (10123)</v>
      </c>
      <c r="G545" t="str">
        <f>"Serv.Prest. 20/01/2025 a 26/01/2025 - RPS: 433 - NFSe: 2659"</f>
        <v>Serv.Prest. 20/01/2025 a 26/01/2025 - RPS: 433 - NFSe: 2659</v>
      </c>
      <c r="H545" t="str">
        <f t="shared" si="269"/>
        <v>29/01/2025</v>
      </c>
      <c r="I545" t="str">
        <f t="shared" si="273"/>
        <v>27/01/2025</v>
      </c>
      <c r="J545" t="str">
        <f t="shared" ref="J545:J552" si="275">("30/01/2025")</f>
        <v>30/01/2025</v>
      </c>
      <c r="M545">
        <v>303</v>
      </c>
      <c r="N545" t="str">
        <f t="shared" si="264"/>
        <v>RECEITAS COM ENTREGAS</v>
      </c>
      <c r="P545">
        <v>512.96</v>
      </c>
      <c r="Q545" t="str">
        <f>"DELTA LOJA 2 (10123)"</f>
        <v>DELTA LOJA 2 (10123)</v>
      </c>
      <c r="R545" t="str">
        <f t="shared" si="265"/>
        <v>RECEITAS COM ENTREGAS (303)</v>
      </c>
      <c r="S545">
        <v>947</v>
      </c>
      <c r="T545">
        <v>779</v>
      </c>
      <c r="U545" t="s">
        <v>19</v>
      </c>
    </row>
    <row r="546" spans="1:21">
      <c r="A546" t="str">
        <f t="shared" si="274"/>
        <v>30/01/2025</v>
      </c>
      <c r="B546" t="str">
        <f t="shared" ref="B546:B549" si="276">"ENTRADA"</f>
        <v>ENTRADA</v>
      </c>
      <c r="C546" t="str">
        <f t="shared" si="260"/>
        <v>NFSE</v>
      </c>
      <c r="D546" t="str">
        <f>"2660"</f>
        <v>2660</v>
      </c>
      <c r="E546" t="str">
        <f t="shared" si="261"/>
        <v>COM</v>
      </c>
      <c r="F546" t="str">
        <f>"DROGA ELIDA (10121)"</f>
        <v>DROGA ELIDA (10121)</v>
      </c>
      <c r="G546" t="str">
        <f>"Serv.Prest. 20/01/2025 a 26/01/2025 - RPS: 434 - NFSe: 2660"</f>
        <v>Serv.Prest. 20/01/2025 a 26/01/2025 - RPS: 434 - NFSe: 2660</v>
      </c>
      <c r="H546" t="str">
        <f t="shared" si="269"/>
        <v>29/01/2025</v>
      </c>
      <c r="I546" t="str">
        <f t="shared" si="273"/>
        <v>27/01/2025</v>
      </c>
      <c r="J546" t="str">
        <f t="shared" si="275"/>
        <v>30/01/2025</v>
      </c>
      <c r="K546">
        <v>354</v>
      </c>
      <c r="L546">
        <v>354</v>
      </c>
      <c r="M546">
        <v>303</v>
      </c>
      <c r="N546" t="str">
        <f t="shared" si="264"/>
        <v>RECEITAS COM ENTREGAS</v>
      </c>
      <c r="O546">
        <v>354</v>
      </c>
      <c r="R546" t="str">
        <f t="shared" si="265"/>
        <v>RECEITAS COM ENTREGAS (303)</v>
      </c>
      <c r="S546">
        <v>948</v>
      </c>
      <c r="T546">
        <v>780</v>
      </c>
      <c r="U546" t="s">
        <v>19</v>
      </c>
    </row>
    <row r="547" spans="1:21">
      <c r="A547" t="str">
        <f t="shared" si="274"/>
        <v>30/01/2025</v>
      </c>
      <c r="B547" t="str">
        <f t="shared" si="276"/>
        <v>ENTRADA</v>
      </c>
      <c r="C547" t="str">
        <f t="shared" si="260"/>
        <v>NFSE</v>
      </c>
      <c r="D547" t="str">
        <f>"2660"</f>
        <v>2660</v>
      </c>
      <c r="E547" t="str">
        <f t="shared" si="261"/>
        <v>COM</v>
      </c>
      <c r="F547" t="str">
        <f>"DROGA ELIDA (10121)"</f>
        <v>DROGA ELIDA (10121)</v>
      </c>
      <c r="G547" t="str">
        <f>"Serv.Prest. 20/01/2025 a 26/01/2025 - RPS: 434 - NFSe: 2660"</f>
        <v>Serv.Prest. 20/01/2025 a 26/01/2025 - RPS: 434 - NFSe: 2660</v>
      </c>
      <c r="H547" t="str">
        <f t="shared" si="269"/>
        <v>29/01/2025</v>
      </c>
      <c r="I547" t="str">
        <f t="shared" si="273"/>
        <v>27/01/2025</v>
      </c>
      <c r="J547" t="str">
        <f t="shared" si="275"/>
        <v>30/01/2025</v>
      </c>
      <c r="M547">
        <v>303</v>
      </c>
      <c r="N547" t="str">
        <f t="shared" si="264"/>
        <v>RECEITAS COM ENTREGAS</v>
      </c>
      <c r="P547">
        <v>354</v>
      </c>
      <c r="Q547" t="str">
        <f>"DROGA ELIDA (10121)"</f>
        <v>DROGA ELIDA (10121)</v>
      </c>
      <c r="R547" t="str">
        <f t="shared" si="265"/>
        <v>RECEITAS COM ENTREGAS (303)</v>
      </c>
      <c r="S547">
        <v>948</v>
      </c>
      <c r="T547">
        <v>780</v>
      </c>
      <c r="U547" t="s">
        <v>19</v>
      </c>
    </row>
    <row r="548" spans="1:21">
      <c r="A548" t="str">
        <f t="shared" si="274"/>
        <v>30/01/2025</v>
      </c>
      <c r="B548" t="str">
        <f t="shared" si="276"/>
        <v>ENTRADA</v>
      </c>
      <c r="C548" t="str">
        <f t="shared" si="260"/>
        <v>NFSE</v>
      </c>
      <c r="D548" t="str">
        <f>"2664"</f>
        <v>2664</v>
      </c>
      <c r="E548" t="str">
        <f t="shared" si="261"/>
        <v>COM</v>
      </c>
      <c r="F548" t="str">
        <f>"JAL FARMACIA E DROGARIA LJ 1 (10137)"</f>
        <v>JAL FARMACIA E DROGARIA LJ 1 (10137)</v>
      </c>
      <c r="G548" t="str">
        <f>"Serv.Prest. 20/01/2025 a 26/01/2025 - RPS: 438 - NFSe: 2664"</f>
        <v>Serv.Prest. 20/01/2025 a 26/01/2025 - RPS: 438 - NFSe: 2664</v>
      </c>
      <c r="H548" t="str">
        <f t="shared" si="269"/>
        <v>29/01/2025</v>
      </c>
      <c r="I548" t="str">
        <f t="shared" si="273"/>
        <v>27/01/2025</v>
      </c>
      <c r="J548" t="str">
        <f t="shared" si="275"/>
        <v>30/01/2025</v>
      </c>
      <c r="K548">
        <v>392</v>
      </c>
      <c r="L548">
        <v>392</v>
      </c>
      <c r="M548">
        <v>303</v>
      </c>
      <c r="N548" t="str">
        <f t="shared" si="264"/>
        <v>RECEITAS COM ENTREGAS</v>
      </c>
      <c r="O548">
        <v>392</v>
      </c>
      <c r="R548" t="str">
        <f t="shared" si="265"/>
        <v>RECEITAS COM ENTREGAS (303)</v>
      </c>
      <c r="S548">
        <v>949</v>
      </c>
      <c r="T548">
        <v>784</v>
      </c>
      <c r="U548" t="s">
        <v>19</v>
      </c>
    </row>
    <row r="549" spans="1:21">
      <c r="A549" t="str">
        <f t="shared" si="274"/>
        <v>30/01/2025</v>
      </c>
      <c r="B549" t="str">
        <f t="shared" si="276"/>
        <v>ENTRADA</v>
      </c>
      <c r="C549" t="str">
        <f t="shared" si="260"/>
        <v>NFSE</v>
      </c>
      <c r="D549" t="str">
        <f>"2664"</f>
        <v>2664</v>
      </c>
      <c r="E549" t="str">
        <f t="shared" si="261"/>
        <v>COM</v>
      </c>
      <c r="F549" t="str">
        <f>"JAL FARMACIA E DROGARIA LJ 1 (10137)"</f>
        <v>JAL FARMACIA E DROGARIA LJ 1 (10137)</v>
      </c>
      <c r="G549" t="str">
        <f>"Serv.Prest. 20/01/2025 a 26/01/2025 - RPS: 438 - NFSe: 2664"</f>
        <v>Serv.Prest. 20/01/2025 a 26/01/2025 - RPS: 438 - NFSe: 2664</v>
      </c>
      <c r="H549" t="str">
        <f t="shared" si="269"/>
        <v>29/01/2025</v>
      </c>
      <c r="I549" t="str">
        <f t="shared" si="273"/>
        <v>27/01/2025</v>
      </c>
      <c r="J549" t="str">
        <f t="shared" si="275"/>
        <v>30/01/2025</v>
      </c>
      <c r="M549">
        <v>303</v>
      </c>
      <c r="N549" t="str">
        <f t="shared" si="264"/>
        <v>RECEITAS COM ENTREGAS</v>
      </c>
      <c r="P549">
        <v>392</v>
      </c>
      <c r="Q549" t="str">
        <f>"JAL FARMACIA E DROGARIA LJ 1 (10137)"</f>
        <v>JAL FARMACIA E DROGARIA LJ 1 (10137)</v>
      </c>
      <c r="R549" t="str">
        <f t="shared" si="265"/>
        <v>RECEITAS COM ENTREGAS (303)</v>
      </c>
      <c r="S549">
        <v>949</v>
      </c>
      <c r="T549">
        <v>784</v>
      </c>
      <c r="U549" t="s">
        <v>19</v>
      </c>
    </row>
    <row r="550" spans="1:21">
      <c r="A550" t="str">
        <f t="shared" si="274"/>
        <v>30/01/2025</v>
      </c>
      <c r="B550" t="str">
        <f>"SAÍDA"</f>
        <v>SAÍDA</v>
      </c>
      <c r="C550" t="str">
        <f>"JUROS"</f>
        <v>JUROS</v>
      </c>
      <c r="D550" t="str">
        <f>""</f>
        <v/>
      </c>
      <c r="E550" t="str">
        <f>"CXA"</f>
        <v>CXA</v>
      </c>
      <c r="F550" t="str">
        <f>""</f>
        <v/>
      </c>
      <c r="G550" t="str">
        <f>"TAXA BOLETO COMPENSADO"</f>
        <v>TAXA BOLETO COMPENSADO</v>
      </c>
      <c r="H550" t="str">
        <f t="shared" ref="H550:I552" si="277">("30/01/2025")</f>
        <v>30/01/2025</v>
      </c>
      <c r="I550" t="str">
        <f t="shared" si="277"/>
        <v>30/01/2025</v>
      </c>
      <c r="J550" t="str">
        <f t="shared" si="275"/>
        <v>30/01/2025</v>
      </c>
      <c r="K550">
        <v>1.7</v>
      </c>
      <c r="L550">
        <v>1.7</v>
      </c>
      <c r="M550">
        <v>401</v>
      </c>
      <c r="N550" t="str">
        <f>"IOF/JUROS/DESP.FINANCEIRA"</f>
        <v>IOF/JUROS/DESP.FINANCEIRA</v>
      </c>
      <c r="O550">
        <v>1.7</v>
      </c>
      <c r="R550" t="str">
        <f>"BANCO CORA (102)"</f>
        <v>BANCO CORA (102)</v>
      </c>
      <c r="S550">
        <v>950</v>
      </c>
      <c r="T550">
        <v>0</v>
      </c>
      <c r="U550" t="s">
        <v>20</v>
      </c>
    </row>
    <row r="551" spans="1:21">
      <c r="A551" t="str">
        <f t="shared" si="274"/>
        <v>30/01/2025</v>
      </c>
      <c r="B551" t="str">
        <f>"SAÍDA"</f>
        <v>SAÍDA</v>
      </c>
      <c r="C551" t="str">
        <f>"JUROS"</f>
        <v>JUROS</v>
      </c>
      <c r="D551" t="str">
        <f>""</f>
        <v/>
      </c>
      <c r="E551" t="str">
        <f>"CXA"</f>
        <v>CXA</v>
      </c>
      <c r="F551" t="str">
        <f>""</f>
        <v/>
      </c>
      <c r="G551" t="str">
        <f>"TAXA BOLETO COMPENSADO"</f>
        <v>TAXA BOLETO COMPENSADO</v>
      </c>
      <c r="H551" t="str">
        <f t="shared" si="277"/>
        <v>30/01/2025</v>
      </c>
      <c r="I551" t="str">
        <f t="shared" si="277"/>
        <v>30/01/2025</v>
      </c>
      <c r="J551" t="str">
        <f t="shared" si="275"/>
        <v>30/01/2025</v>
      </c>
      <c r="K551">
        <v>1.7</v>
      </c>
      <c r="L551">
        <v>1.7</v>
      </c>
      <c r="M551">
        <v>401</v>
      </c>
      <c r="N551" t="str">
        <f>"IOF/JUROS/DESP.FINANCEIRA"</f>
        <v>IOF/JUROS/DESP.FINANCEIRA</v>
      </c>
      <c r="O551">
        <v>1.7</v>
      </c>
      <c r="R551" t="str">
        <f>"BANCO CORA (102)"</f>
        <v>BANCO CORA (102)</v>
      </c>
      <c r="S551">
        <v>951</v>
      </c>
      <c r="T551">
        <v>0</v>
      </c>
      <c r="U551" t="s">
        <v>20</v>
      </c>
    </row>
    <row r="552" spans="1:21">
      <c r="A552" t="str">
        <f t="shared" si="274"/>
        <v>30/01/2025</v>
      </c>
      <c r="B552" t="str">
        <f>"SAÍDA"</f>
        <v>SAÍDA</v>
      </c>
      <c r="C552" t="str">
        <f>"JUROS"</f>
        <v>JUROS</v>
      </c>
      <c r="D552" t="str">
        <f>""</f>
        <v/>
      </c>
      <c r="E552" t="str">
        <f>"CXA"</f>
        <v>CXA</v>
      </c>
      <c r="F552" t="str">
        <f>""</f>
        <v/>
      </c>
      <c r="G552" t="str">
        <f>"TAXA BOLETO COMPENSADO"</f>
        <v>TAXA BOLETO COMPENSADO</v>
      </c>
      <c r="H552" t="str">
        <f t="shared" si="277"/>
        <v>30/01/2025</v>
      </c>
      <c r="I552" t="str">
        <f t="shared" si="277"/>
        <v>30/01/2025</v>
      </c>
      <c r="J552" t="str">
        <f t="shared" si="275"/>
        <v>30/01/2025</v>
      </c>
      <c r="K552">
        <v>1.7</v>
      </c>
      <c r="L552">
        <v>1.7</v>
      </c>
      <c r="M552">
        <v>401</v>
      </c>
      <c r="N552" t="str">
        <f>"IOF/JUROS/DESP.FINANCEIRA"</f>
        <v>IOF/JUROS/DESP.FINANCEIRA</v>
      </c>
      <c r="O552">
        <v>1.7</v>
      </c>
      <c r="R552" t="str">
        <f>"BANCO CORA (102)"</f>
        <v>BANCO CORA (102)</v>
      </c>
      <c r="S552">
        <v>952</v>
      </c>
      <c r="T552">
        <v>0</v>
      </c>
      <c r="U552" t="s">
        <v>20</v>
      </c>
    </row>
    <row r="553" spans="1:21">
      <c r="A553" t="str">
        <f t="shared" ref="A553:A558" si="278">("31/01/2025")</f>
        <v>31/01/2025</v>
      </c>
      <c r="B553" t="str">
        <f>"ENTRADA"</f>
        <v>ENTRADA</v>
      </c>
      <c r="C553" t="str">
        <f>"NFSE"</f>
        <v>NFSE</v>
      </c>
      <c r="D553" t="str">
        <f>"2666"</f>
        <v>2666</v>
      </c>
      <c r="E553" t="str">
        <f>"COM"</f>
        <v>COM</v>
      </c>
      <c r="F553" t="str">
        <f>"DROGARIA POUPA MINAS (DOIS AMIGOS) 5 (10140)"</f>
        <v>DROGARIA POUPA MINAS (DOIS AMIGOS) 5 (10140)</v>
      </c>
      <c r="G553" t="str">
        <f>"Serv.Prest. 20/01/2025 a 26/01/2025 - RPS: 440 - NFSe: 2666"</f>
        <v>Serv.Prest. 20/01/2025 a 26/01/2025 - RPS: 440 - NFSe: 2666</v>
      </c>
      <c r="H553" t="str">
        <f>("30/01/2025")</f>
        <v>30/01/2025</v>
      </c>
      <c r="I553" t="str">
        <f>("27/01/2025")</f>
        <v>27/01/2025</v>
      </c>
      <c r="J553" t="str">
        <f t="shared" ref="J553:J558" si="279">("31/01/2025")</f>
        <v>31/01/2025</v>
      </c>
      <c r="K553">
        <v>750.62</v>
      </c>
      <c r="L553">
        <v>750.62</v>
      </c>
      <c r="M553">
        <v>303</v>
      </c>
      <c r="N553" t="str">
        <f>"RECEITAS COM ENTREGAS"</f>
        <v>RECEITAS COM ENTREGAS</v>
      </c>
      <c r="O553">
        <v>750.62</v>
      </c>
      <c r="R553" t="str">
        <f>"RECEITAS COM ENTREGAS (303)"</f>
        <v>RECEITAS COM ENTREGAS (303)</v>
      </c>
      <c r="S553">
        <v>953</v>
      </c>
      <c r="T553">
        <v>786</v>
      </c>
      <c r="U553" t="s">
        <v>19</v>
      </c>
    </row>
    <row r="554" spans="1:21">
      <c r="A554" t="str">
        <f t="shared" si="278"/>
        <v>31/01/2025</v>
      </c>
      <c r="B554" t="str">
        <f t="shared" ref="B554:B556" si="280">"ENTRADA"</f>
        <v>ENTRADA</v>
      </c>
      <c r="C554" t="str">
        <f>"NFSE"</f>
        <v>NFSE</v>
      </c>
      <c r="D554" t="str">
        <f>"2666"</f>
        <v>2666</v>
      </c>
      <c r="E554" t="str">
        <f>"COM"</f>
        <v>COM</v>
      </c>
      <c r="F554" t="str">
        <f>"DROGARIA POUPA MINAS (DOIS AMIGOS) 5 (10140)"</f>
        <v>DROGARIA POUPA MINAS (DOIS AMIGOS) 5 (10140)</v>
      </c>
      <c r="G554" t="str">
        <f>"Serv.Prest. 20/01/2025 a 26/01/2025 - RPS: 440 - NFSe: 2666"</f>
        <v>Serv.Prest. 20/01/2025 a 26/01/2025 - RPS: 440 - NFSe: 2666</v>
      </c>
      <c r="H554" t="str">
        <f>("30/01/2025")</f>
        <v>30/01/2025</v>
      </c>
      <c r="I554" t="str">
        <f>("27/01/2025")</f>
        <v>27/01/2025</v>
      </c>
      <c r="J554" t="str">
        <f t="shared" si="279"/>
        <v>31/01/2025</v>
      </c>
      <c r="M554">
        <v>303</v>
      </c>
      <c r="N554" t="str">
        <f>"RECEITAS COM ENTREGAS"</f>
        <v>RECEITAS COM ENTREGAS</v>
      </c>
      <c r="P554">
        <v>750.62</v>
      </c>
      <c r="Q554" t="str">
        <f>"DROGARIA POUPA MINAS (ULTRAMINAS) (10116)"</f>
        <v>DROGARIA POUPA MINAS (ULTRAMINAS) (10116)</v>
      </c>
      <c r="R554" t="str">
        <f>"RECEITAS COM ENTREGAS (303)"</f>
        <v>RECEITAS COM ENTREGAS (303)</v>
      </c>
      <c r="S554">
        <v>953</v>
      </c>
      <c r="T554">
        <v>786</v>
      </c>
      <c r="U554" t="s">
        <v>19</v>
      </c>
    </row>
    <row r="555" spans="1:21">
      <c r="A555" t="str">
        <f t="shared" si="278"/>
        <v>31/01/2025</v>
      </c>
      <c r="B555" t="str">
        <f t="shared" si="280"/>
        <v>ENTRADA</v>
      </c>
      <c r="C555" t="str">
        <f>"NFSE"</f>
        <v>NFSE</v>
      </c>
      <c r="D555" t="str">
        <f>"2667"</f>
        <v>2667</v>
      </c>
      <c r="E555" t="str">
        <f>"COM"</f>
        <v>COM</v>
      </c>
      <c r="F555" t="str">
        <f>"DROGARIA POUPA MINAS (ULTRAMINAS) 3 (10129)"</f>
        <v>DROGARIA POUPA MINAS (ULTRAMINAS) 3 (10129)</v>
      </c>
      <c r="G555" t="str">
        <f>"Serv.Prest. 20/01/2025 a 26/01/2025 - RPS: 441 - NFSe: 2667"</f>
        <v>Serv.Prest. 20/01/2025 a 26/01/2025 - RPS: 441 - NFSe: 2667</v>
      </c>
      <c r="H555" t="str">
        <f>("30/01/2025")</f>
        <v>30/01/2025</v>
      </c>
      <c r="I555" t="str">
        <f>("27/01/2025")</f>
        <v>27/01/2025</v>
      </c>
      <c r="J555" t="str">
        <f t="shared" si="279"/>
        <v>31/01/2025</v>
      </c>
      <c r="K555">
        <v>274.56</v>
      </c>
      <c r="L555">
        <v>274.56</v>
      </c>
      <c r="M555">
        <v>303</v>
      </c>
      <c r="N555" t="str">
        <f>"RECEITAS COM ENTREGAS"</f>
        <v>RECEITAS COM ENTREGAS</v>
      </c>
      <c r="O555">
        <v>274.56</v>
      </c>
      <c r="R555" t="str">
        <f>"RECEITAS COM ENTREGAS (303)"</f>
        <v>RECEITAS COM ENTREGAS (303)</v>
      </c>
      <c r="S555">
        <v>954</v>
      </c>
      <c r="T555">
        <v>787</v>
      </c>
      <c r="U555" t="s">
        <v>19</v>
      </c>
    </row>
    <row r="556" spans="1:21">
      <c r="A556" t="str">
        <f t="shared" si="278"/>
        <v>31/01/2025</v>
      </c>
      <c r="B556" t="str">
        <f t="shared" si="280"/>
        <v>ENTRADA</v>
      </c>
      <c r="C556" t="str">
        <f>"NFSE"</f>
        <v>NFSE</v>
      </c>
      <c r="D556" t="str">
        <f>"2667"</f>
        <v>2667</v>
      </c>
      <c r="E556" t="str">
        <f>"COM"</f>
        <v>COM</v>
      </c>
      <c r="F556" t="str">
        <f>"DROGARIA POUPA MINAS (ULTRAMINAS) 3 (10129)"</f>
        <v>DROGARIA POUPA MINAS (ULTRAMINAS) 3 (10129)</v>
      </c>
      <c r="G556" t="str">
        <f>"Serv.Prest. 20/01/2025 a 26/01/2025 - RPS: 441 - NFSe: 2667"</f>
        <v>Serv.Prest. 20/01/2025 a 26/01/2025 - RPS: 441 - NFSe: 2667</v>
      </c>
      <c r="H556" t="str">
        <f>("30/01/2025")</f>
        <v>30/01/2025</v>
      </c>
      <c r="I556" t="str">
        <f>("27/01/2025")</f>
        <v>27/01/2025</v>
      </c>
      <c r="J556" t="str">
        <f t="shared" si="279"/>
        <v>31/01/2025</v>
      </c>
      <c r="M556">
        <v>303</v>
      </c>
      <c r="N556" t="str">
        <f>"RECEITAS COM ENTREGAS"</f>
        <v>RECEITAS COM ENTREGAS</v>
      </c>
      <c r="P556">
        <v>274.56</v>
      </c>
      <c r="Q556" t="str">
        <f>"DROGARIA POUPA MINAS (ULTRAMINAS) 3 (10129)"</f>
        <v>DROGARIA POUPA MINAS (ULTRAMINAS) 3 (10129)</v>
      </c>
      <c r="R556" t="str">
        <f>"RECEITAS COM ENTREGAS (303)"</f>
        <v>RECEITAS COM ENTREGAS (303)</v>
      </c>
      <c r="S556">
        <v>954</v>
      </c>
      <c r="T556">
        <v>787</v>
      </c>
      <c r="U556" t="s">
        <v>19</v>
      </c>
    </row>
    <row r="557" spans="1:21">
      <c r="A557" t="str">
        <f t="shared" si="278"/>
        <v>31/01/2025</v>
      </c>
      <c r="B557" t="str">
        <f>"SAÍDA"</f>
        <v>SAÍDA</v>
      </c>
      <c r="C557" t="str">
        <f>"JUROS"</f>
        <v>JUROS</v>
      </c>
      <c r="D557" t="str">
        <f>""</f>
        <v/>
      </c>
      <c r="E557" t="str">
        <f>"CXA"</f>
        <v>CXA</v>
      </c>
      <c r="F557" t="str">
        <f>""</f>
        <v/>
      </c>
      <c r="G557" t="str">
        <f>"TAXA BOLETO COMPENSADO"</f>
        <v>TAXA BOLETO COMPENSADO</v>
      </c>
      <c r="H557" t="str">
        <f>("31/01/2025")</f>
        <v>31/01/2025</v>
      </c>
      <c r="I557" t="str">
        <f>("31/01/2025")</f>
        <v>31/01/2025</v>
      </c>
      <c r="J557" t="str">
        <f t="shared" si="279"/>
        <v>31/01/2025</v>
      </c>
      <c r="K557">
        <v>1.7</v>
      </c>
      <c r="L557">
        <v>1.7</v>
      </c>
      <c r="M557">
        <v>401</v>
      </c>
      <c r="N557" t="str">
        <f>"IOF/JUROS/DESP.FINANCEIRA"</f>
        <v>IOF/JUROS/DESP.FINANCEIRA</v>
      </c>
      <c r="O557">
        <v>1.7</v>
      </c>
      <c r="R557" t="str">
        <f>"BANCO CORA (102)"</f>
        <v>BANCO CORA (102)</v>
      </c>
      <c r="S557">
        <v>955</v>
      </c>
      <c r="T557">
        <v>0</v>
      </c>
      <c r="U557" t="s">
        <v>20</v>
      </c>
    </row>
    <row r="558" spans="1:21">
      <c r="A558" t="str">
        <f t="shared" si="278"/>
        <v>31/01/2025</v>
      </c>
      <c r="B558" t="str">
        <f>"SAÍDA"</f>
        <v>SAÍDA</v>
      </c>
      <c r="C558" t="str">
        <f>"JUROS"</f>
        <v>JUROS</v>
      </c>
      <c r="D558" t="str">
        <f>""</f>
        <v/>
      </c>
      <c r="E558" t="str">
        <f>"CXA"</f>
        <v>CXA</v>
      </c>
      <c r="F558" t="str">
        <f>""</f>
        <v/>
      </c>
      <c r="G558" t="str">
        <f>"TAXA BOLETO COMPENSADO"</f>
        <v>TAXA BOLETO COMPENSADO</v>
      </c>
      <c r="H558" t="str">
        <f>("31/01/2025")</f>
        <v>31/01/2025</v>
      </c>
      <c r="I558" t="str">
        <f>("31/01/2025")</f>
        <v>31/01/2025</v>
      </c>
      <c r="J558" t="str">
        <f t="shared" si="279"/>
        <v>31/01/2025</v>
      </c>
      <c r="K558">
        <v>1.7</v>
      </c>
      <c r="L558">
        <v>1.7</v>
      </c>
      <c r="M558">
        <v>401</v>
      </c>
      <c r="N558" t="str">
        <f>"IOF/JUROS/DESP.FINANCEIRA"</f>
        <v>IOF/JUROS/DESP.FINANCEIRA</v>
      </c>
      <c r="O558">
        <v>1.7</v>
      </c>
      <c r="R558" t="str">
        <f>"BANCO CORA (102)"</f>
        <v>BANCO CORA (102)</v>
      </c>
      <c r="S558">
        <v>956</v>
      </c>
      <c r="T558">
        <v>0</v>
      </c>
      <c r="U558" t="s">
        <v>20</v>
      </c>
    </row>
    <row r="559" spans="1:21">
      <c r="A559" t="str">
        <f t="shared" ref="A559:A568" si="281">("04/02/2025")</f>
        <v>04/02/2025</v>
      </c>
      <c r="B559" t="str">
        <f>"ENTRADA"</f>
        <v>ENTRADA</v>
      </c>
      <c r="C559" t="str">
        <f t="shared" ref="C559:C566" si="282">"NFSE"</f>
        <v>NFSE</v>
      </c>
      <c r="D559" t="str">
        <f>"2616"</f>
        <v>2616</v>
      </c>
      <c r="E559" t="str">
        <f t="shared" ref="E559:E590" si="283">"COM"</f>
        <v>COM</v>
      </c>
      <c r="F559" t="str">
        <f>"PAGMENOS - LJ 608 (10135)"</f>
        <v>PAGMENOS - LJ 608 (10135)</v>
      </c>
      <c r="G559" t="str">
        <f>"Serv.Prest. 30/12/2024 a 05/01/2025 - RPS: 390 - NFSe: 2616"</f>
        <v>Serv.Prest. 30/12/2024 a 05/01/2025 - RPS: 390 - NFSe: 2616</v>
      </c>
      <c r="H559" t="str">
        <f>("16/01/2025")</f>
        <v>16/01/2025</v>
      </c>
      <c r="I559" t="str">
        <f>("06/01/2025")</f>
        <v>06/01/2025</v>
      </c>
      <c r="J559" t="str">
        <f t="shared" ref="J559:J568" si="284">("04/02/2025")</f>
        <v>04/02/2025</v>
      </c>
      <c r="K559">
        <v>280.20999999999998</v>
      </c>
      <c r="L559">
        <v>280.20999999999998</v>
      </c>
      <c r="M559">
        <v>303</v>
      </c>
      <c r="N559" t="str">
        <f t="shared" ref="N559:N566" si="285">"RECEITAS COM ENTREGAS"</f>
        <v>RECEITAS COM ENTREGAS</v>
      </c>
      <c r="O559">
        <v>280.20999999999998</v>
      </c>
      <c r="R559" t="str">
        <f t="shared" ref="R559:R566" si="286">"RECEITAS COM ENTREGAS (303)"</f>
        <v>RECEITAS COM ENTREGAS (303)</v>
      </c>
      <c r="S559">
        <v>957</v>
      </c>
      <c r="T559">
        <v>700</v>
      </c>
      <c r="U559" t="s">
        <v>19</v>
      </c>
    </row>
    <row r="560" spans="1:21">
      <c r="A560" t="str">
        <f t="shared" si="281"/>
        <v>04/02/2025</v>
      </c>
      <c r="B560" t="str">
        <f t="shared" ref="B560:B566" si="287">"ENTRADA"</f>
        <v>ENTRADA</v>
      </c>
      <c r="C560" t="str">
        <f t="shared" si="282"/>
        <v>NFSE</v>
      </c>
      <c r="D560" t="str">
        <f>"2616"</f>
        <v>2616</v>
      </c>
      <c r="E560" t="str">
        <f t="shared" si="283"/>
        <v>COM</v>
      </c>
      <c r="F560" t="str">
        <f>"PAGMENOS - LJ 608 (10135)"</f>
        <v>PAGMENOS - LJ 608 (10135)</v>
      </c>
      <c r="G560" t="str">
        <f>"Serv.Prest. 30/12/2024 a 05/01/2025 - RPS: 390 - NFSe: 2616"</f>
        <v>Serv.Prest. 30/12/2024 a 05/01/2025 - RPS: 390 - NFSe: 2616</v>
      </c>
      <c r="H560" t="str">
        <f>("16/01/2025")</f>
        <v>16/01/2025</v>
      </c>
      <c r="I560" t="str">
        <f>("06/01/2025")</f>
        <v>06/01/2025</v>
      </c>
      <c r="J560" t="str">
        <f t="shared" si="284"/>
        <v>04/02/2025</v>
      </c>
      <c r="M560">
        <v>303</v>
      </c>
      <c r="N560" t="str">
        <f t="shared" si="285"/>
        <v>RECEITAS COM ENTREGAS</v>
      </c>
      <c r="P560">
        <v>280.20999999999998</v>
      </c>
      <c r="Q560" t="str">
        <f>"PAGMENOS - LJ 608 (10135)"</f>
        <v>PAGMENOS - LJ 608 (10135)</v>
      </c>
      <c r="R560" t="str">
        <f t="shared" si="286"/>
        <v>RECEITAS COM ENTREGAS (303)</v>
      </c>
      <c r="S560">
        <v>957</v>
      </c>
      <c r="T560">
        <v>700</v>
      </c>
      <c r="U560" t="s">
        <v>19</v>
      </c>
    </row>
    <row r="561" spans="1:21">
      <c r="A561" t="str">
        <f t="shared" si="281"/>
        <v>04/02/2025</v>
      </c>
      <c r="B561" t="str">
        <f t="shared" si="287"/>
        <v>ENTRADA</v>
      </c>
      <c r="C561" t="str">
        <f t="shared" si="282"/>
        <v>NFSE</v>
      </c>
      <c r="D561" t="str">
        <f>"2633"</f>
        <v>2633</v>
      </c>
      <c r="E561" t="str">
        <f t="shared" si="283"/>
        <v>COM</v>
      </c>
      <c r="F561" t="str">
        <f>"PAGMENOS - LJ 608 (10135)"</f>
        <v>PAGMENOS - LJ 608 (10135)</v>
      </c>
      <c r="G561" t="str">
        <f>"Serv.Prest. 06/01/2025 a 12/01/2025 - RPS: 407 - NFSe: 2633"</f>
        <v>Serv.Prest. 06/01/2025 a 12/01/2025 - RPS: 407 - NFSe: 2633</v>
      </c>
      <c r="H561" t="str">
        <f>("23/01/2025")</f>
        <v>23/01/2025</v>
      </c>
      <c r="I561" t="str">
        <f>("13/01/2025")</f>
        <v>13/01/2025</v>
      </c>
      <c r="J561" t="str">
        <f t="shared" si="284"/>
        <v>04/02/2025</v>
      </c>
      <c r="K561">
        <v>280.20999999999998</v>
      </c>
      <c r="L561">
        <v>280.20999999999998</v>
      </c>
      <c r="M561">
        <v>303</v>
      </c>
      <c r="N561" t="str">
        <f t="shared" si="285"/>
        <v>RECEITAS COM ENTREGAS</v>
      </c>
      <c r="R561" t="str">
        <f t="shared" si="286"/>
        <v>RECEITAS COM ENTREGAS (303)</v>
      </c>
      <c r="S561">
        <v>957</v>
      </c>
      <c r="T561">
        <v>736</v>
      </c>
      <c r="U561" t="s">
        <v>19</v>
      </c>
    </row>
    <row r="562" spans="1:21">
      <c r="A562" t="str">
        <f t="shared" si="281"/>
        <v>04/02/2025</v>
      </c>
      <c r="B562" t="str">
        <f t="shared" si="287"/>
        <v>ENTRADA</v>
      </c>
      <c r="C562" t="str">
        <f t="shared" si="282"/>
        <v>NFSE</v>
      </c>
      <c r="D562" t="str">
        <f>"2633"</f>
        <v>2633</v>
      </c>
      <c r="E562" t="str">
        <f t="shared" si="283"/>
        <v>COM</v>
      </c>
      <c r="F562" t="str">
        <f>"PAGMENOS - LJ 608 (10135)"</f>
        <v>PAGMENOS - LJ 608 (10135)</v>
      </c>
      <c r="G562" t="str">
        <f>"Serv.Prest. 06/01/2025 a 12/01/2025 - RPS: 407 - NFSe: 2633"</f>
        <v>Serv.Prest. 06/01/2025 a 12/01/2025 - RPS: 407 - NFSe: 2633</v>
      </c>
      <c r="H562" t="str">
        <f>("23/01/2025")</f>
        <v>23/01/2025</v>
      </c>
      <c r="I562" t="str">
        <f>("13/01/2025")</f>
        <v>13/01/2025</v>
      </c>
      <c r="J562" t="str">
        <f t="shared" si="284"/>
        <v>04/02/2025</v>
      </c>
      <c r="M562">
        <v>303</v>
      </c>
      <c r="N562" t="str">
        <f t="shared" si="285"/>
        <v>RECEITAS COM ENTREGAS</v>
      </c>
      <c r="P562">
        <v>280.20999999999998</v>
      </c>
      <c r="Q562" t="str">
        <f>"PAGMENOS - LJ 608 (10135)"</f>
        <v>PAGMENOS - LJ 608 (10135)</v>
      </c>
      <c r="R562" t="str">
        <f t="shared" si="286"/>
        <v>RECEITAS COM ENTREGAS (303)</v>
      </c>
      <c r="S562">
        <v>957</v>
      </c>
      <c r="T562">
        <v>736</v>
      </c>
      <c r="U562" t="s">
        <v>19</v>
      </c>
    </row>
    <row r="563" spans="1:21">
      <c r="A563" t="str">
        <f t="shared" si="281"/>
        <v>04/02/2025</v>
      </c>
      <c r="B563" t="str">
        <f t="shared" si="287"/>
        <v>ENTRADA</v>
      </c>
      <c r="C563" t="str">
        <f t="shared" si="282"/>
        <v>NFSE</v>
      </c>
      <c r="D563" t="str">
        <f>"2617"</f>
        <v>2617</v>
      </c>
      <c r="E563" t="str">
        <f t="shared" si="283"/>
        <v>COM</v>
      </c>
      <c r="F563" t="str">
        <f>"PAGMENOS - LJ 657 (10136)"</f>
        <v>PAGMENOS - LJ 657 (10136)</v>
      </c>
      <c r="G563" t="str">
        <f>"Serv.Prest. 30/12/2024 a 05/01/2025 - RPS: 391 - NFSe: 2617"</f>
        <v>Serv.Prest. 30/12/2024 a 05/01/2025 - RPS: 391 - NFSe: 2617</v>
      </c>
      <c r="H563" t="str">
        <f>("16/01/2025")</f>
        <v>16/01/2025</v>
      </c>
      <c r="I563" t="str">
        <f>("06/01/2025")</f>
        <v>06/01/2025</v>
      </c>
      <c r="J563" t="str">
        <f t="shared" si="284"/>
        <v>04/02/2025</v>
      </c>
      <c r="K563">
        <v>596.6</v>
      </c>
      <c r="L563">
        <v>596.6</v>
      </c>
      <c r="M563">
        <v>303</v>
      </c>
      <c r="N563" t="str">
        <f t="shared" si="285"/>
        <v>RECEITAS COM ENTREGAS</v>
      </c>
      <c r="O563">
        <v>596.6</v>
      </c>
      <c r="R563" t="str">
        <f t="shared" si="286"/>
        <v>RECEITAS COM ENTREGAS (303)</v>
      </c>
      <c r="S563">
        <v>958</v>
      </c>
      <c r="T563">
        <v>701</v>
      </c>
      <c r="U563" t="s">
        <v>19</v>
      </c>
    </row>
    <row r="564" spans="1:21">
      <c r="A564" t="str">
        <f t="shared" si="281"/>
        <v>04/02/2025</v>
      </c>
      <c r="B564" t="str">
        <f t="shared" si="287"/>
        <v>ENTRADA</v>
      </c>
      <c r="C564" t="str">
        <f t="shared" si="282"/>
        <v>NFSE</v>
      </c>
      <c r="D564" t="str">
        <f>"2617"</f>
        <v>2617</v>
      </c>
      <c r="E564" t="str">
        <f t="shared" si="283"/>
        <v>COM</v>
      </c>
      <c r="F564" t="str">
        <f>"PAGMENOS - LJ 657 (10136)"</f>
        <v>PAGMENOS - LJ 657 (10136)</v>
      </c>
      <c r="G564" t="str">
        <f>"Serv.Prest. 30/12/2024 a 05/01/2025 - RPS: 391 - NFSe: 2617"</f>
        <v>Serv.Prest. 30/12/2024 a 05/01/2025 - RPS: 391 - NFSe: 2617</v>
      </c>
      <c r="H564" t="str">
        <f>("16/01/2025")</f>
        <v>16/01/2025</v>
      </c>
      <c r="I564" t="str">
        <f>("06/01/2025")</f>
        <v>06/01/2025</v>
      </c>
      <c r="J564" t="str">
        <f t="shared" si="284"/>
        <v>04/02/2025</v>
      </c>
      <c r="M564">
        <v>303</v>
      </c>
      <c r="N564" t="str">
        <f t="shared" si="285"/>
        <v>RECEITAS COM ENTREGAS</v>
      </c>
      <c r="P564">
        <v>596.6</v>
      </c>
      <c r="Q564" t="str">
        <f>"PAGMENOS - LJ 657 (10136)"</f>
        <v>PAGMENOS - LJ 657 (10136)</v>
      </c>
      <c r="R564" t="str">
        <f t="shared" si="286"/>
        <v>RECEITAS COM ENTREGAS (303)</v>
      </c>
      <c r="S564">
        <v>958</v>
      </c>
      <c r="T564">
        <v>701</v>
      </c>
      <c r="U564" t="s">
        <v>19</v>
      </c>
    </row>
    <row r="565" spans="1:21">
      <c r="A565" t="str">
        <f t="shared" si="281"/>
        <v>04/02/2025</v>
      </c>
      <c r="B565" t="str">
        <f t="shared" si="287"/>
        <v>ENTRADA</v>
      </c>
      <c r="C565" t="str">
        <f t="shared" si="282"/>
        <v>NFSE</v>
      </c>
      <c r="D565" t="str">
        <f>"2634"</f>
        <v>2634</v>
      </c>
      <c r="E565" t="str">
        <f t="shared" si="283"/>
        <v>COM</v>
      </c>
      <c r="F565" t="str">
        <f>"PAGMENOS - LJ 657 (10136)"</f>
        <v>PAGMENOS - LJ 657 (10136)</v>
      </c>
      <c r="G565" t="str">
        <f>"Serv.Prest. 06/01/2025 a 12/01/2025 - RPS: 408 - NFSe: 2634"</f>
        <v>Serv.Prest. 06/01/2025 a 12/01/2025 - RPS: 408 - NFSe: 2634</v>
      </c>
      <c r="H565" t="str">
        <f>("23/01/2025")</f>
        <v>23/01/2025</v>
      </c>
      <c r="I565" t="str">
        <f>("13/01/2025")</f>
        <v>13/01/2025</v>
      </c>
      <c r="J565" t="str">
        <f t="shared" si="284"/>
        <v>04/02/2025</v>
      </c>
      <c r="K565">
        <v>596.6</v>
      </c>
      <c r="L565">
        <v>596.6</v>
      </c>
      <c r="M565">
        <v>303</v>
      </c>
      <c r="N565" t="str">
        <f t="shared" si="285"/>
        <v>RECEITAS COM ENTREGAS</v>
      </c>
      <c r="R565" t="str">
        <f t="shared" si="286"/>
        <v>RECEITAS COM ENTREGAS (303)</v>
      </c>
      <c r="S565">
        <v>958</v>
      </c>
      <c r="T565">
        <v>737</v>
      </c>
      <c r="U565" t="s">
        <v>19</v>
      </c>
    </row>
    <row r="566" spans="1:21">
      <c r="A566" t="str">
        <f t="shared" si="281"/>
        <v>04/02/2025</v>
      </c>
      <c r="B566" t="str">
        <f t="shared" si="287"/>
        <v>ENTRADA</v>
      </c>
      <c r="C566" t="str">
        <f t="shared" si="282"/>
        <v>NFSE</v>
      </c>
      <c r="D566" t="str">
        <f>"2634"</f>
        <v>2634</v>
      </c>
      <c r="E566" t="str">
        <f t="shared" si="283"/>
        <v>COM</v>
      </c>
      <c r="F566" t="str">
        <f>"PAGMENOS - LJ 657 (10136)"</f>
        <v>PAGMENOS - LJ 657 (10136)</v>
      </c>
      <c r="G566" t="str">
        <f>"Serv.Prest. 06/01/2025 a 12/01/2025 - RPS: 408 - NFSe: 2634"</f>
        <v>Serv.Prest. 06/01/2025 a 12/01/2025 - RPS: 408 - NFSe: 2634</v>
      </c>
      <c r="H566" t="str">
        <f>("23/01/2025")</f>
        <v>23/01/2025</v>
      </c>
      <c r="I566" t="str">
        <f>("13/01/2025")</f>
        <v>13/01/2025</v>
      </c>
      <c r="J566" t="str">
        <f t="shared" si="284"/>
        <v>04/02/2025</v>
      </c>
      <c r="M566">
        <v>303</v>
      </c>
      <c r="N566" t="str">
        <f t="shared" si="285"/>
        <v>RECEITAS COM ENTREGAS</v>
      </c>
      <c r="P566">
        <v>596.6</v>
      </c>
      <c r="Q566" t="str">
        <f>"PAGMENOS - LJ 657 (10136)"</f>
        <v>PAGMENOS - LJ 657 (10136)</v>
      </c>
      <c r="R566" t="str">
        <f t="shared" si="286"/>
        <v>RECEITAS COM ENTREGAS (303)</v>
      </c>
      <c r="S566">
        <v>958</v>
      </c>
      <c r="T566">
        <v>737</v>
      </c>
      <c r="U566" t="s">
        <v>19</v>
      </c>
    </row>
    <row r="567" spans="1:21">
      <c r="A567" t="str">
        <f t="shared" si="281"/>
        <v>04/02/2025</v>
      </c>
      <c r="B567" t="str">
        <f t="shared" ref="B567:B574" si="288">"SAÍDA"</f>
        <v>SAÍDA</v>
      </c>
      <c r="C567" t="str">
        <f t="shared" ref="C567:C574" si="289">"PIX"</f>
        <v>PIX</v>
      </c>
      <c r="D567" t="str">
        <f>"0402"</f>
        <v>0402</v>
      </c>
      <c r="E567" t="str">
        <f t="shared" si="283"/>
        <v>COM</v>
      </c>
      <c r="F567" t="str">
        <f>"SAFE2PAY INSTITUICAO DE PAGAMENTO LTDA (20066)"</f>
        <v>SAFE2PAY INSTITUICAO DE PAGAMENTO LTDA (20066)</v>
      </c>
      <c r="G567" t="str">
        <f>"COMPRA CERTIFICADO DIGITAL"</f>
        <v>COMPRA CERTIFICADO DIGITAL</v>
      </c>
      <c r="H567" t="str">
        <f>("04/02/2025")</f>
        <v>04/02/2025</v>
      </c>
      <c r="I567" t="str">
        <f>("04/02/2025")</f>
        <v>04/02/2025</v>
      </c>
      <c r="J567" t="str">
        <f t="shared" si="284"/>
        <v>04/02/2025</v>
      </c>
      <c r="K567">
        <v>130</v>
      </c>
      <c r="L567">
        <v>130</v>
      </c>
      <c r="M567">
        <v>104</v>
      </c>
      <c r="N567" t="str">
        <f>"SOFTWARE / LICENÇAS"</f>
        <v>SOFTWARE / LICENÇAS</v>
      </c>
      <c r="O567">
        <v>130</v>
      </c>
      <c r="R567" t="str">
        <f t="shared" ref="R567:R574" si="290">"BANCO CORA (102)"</f>
        <v>BANCO CORA (102)</v>
      </c>
      <c r="S567">
        <v>959</v>
      </c>
      <c r="T567">
        <v>890</v>
      </c>
      <c r="U567" t="s">
        <v>19</v>
      </c>
    </row>
    <row r="568" spans="1:21">
      <c r="A568" t="str">
        <f t="shared" si="281"/>
        <v>04/02/2025</v>
      </c>
      <c r="B568" t="str">
        <f t="shared" si="288"/>
        <v>SAÍDA</v>
      </c>
      <c r="C568" t="str">
        <f t="shared" si="289"/>
        <v>PIX</v>
      </c>
      <c r="D568" t="str">
        <f>"0402"</f>
        <v>0402</v>
      </c>
      <c r="E568" t="str">
        <f t="shared" si="283"/>
        <v>COM</v>
      </c>
      <c r="F568" t="str">
        <f>"SAFE2PAY INSTITUICAO DE PAGAMENTO LTDA (20066)"</f>
        <v>SAFE2PAY INSTITUICAO DE PAGAMENTO LTDA (20066)</v>
      </c>
      <c r="G568" t="str">
        <f>"COMPRA CERTIFICADO DIGITAL"</f>
        <v>COMPRA CERTIFICADO DIGITAL</v>
      </c>
      <c r="H568" t="str">
        <f>("04/02/2025")</f>
        <v>04/02/2025</v>
      </c>
      <c r="I568" t="str">
        <f>("04/02/2025")</f>
        <v>04/02/2025</v>
      </c>
      <c r="J568" t="str">
        <f t="shared" si="284"/>
        <v>04/02/2025</v>
      </c>
      <c r="M568">
        <v>104</v>
      </c>
      <c r="N568" t="str">
        <f>"SOFTWARE / LICENÇAS"</f>
        <v>SOFTWARE / LICENÇAS</v>
      </c>
      <c r="P568">
        <v>130</v>
      </c>
      <c r="Q568" t="str">
        <f>"SAFE2PAY INSTITUICAO DE PAGAMENTO LTDA (20066)"</f>
        <v>SAFE2PAY INSTITUICAO DE PAGAMENTO LTDA (20066)</v>
      </c>
      <c r="R568" t="str">
        <f t="shared" si="290"/>
        <v>BANCO CORA (102)</v>
      </c>
      <c r="S568">
        <v>959</v>
      </c>
      <c r="T568">
        <v>890</v>
      </c>
      <c r="U568" t="s">
        <v>19</v>
      </c>
    </row>
    <row r="569" spans="1:21">
      <c r="A569" t="str">
        <f t="shared" ref="A569:A600" si="291">("05/02/2025")</f>
        <v>05/02/2025</v>
      </c>
      <c r="B569" t="str">
        <f t="shared" si="288"/>
        <v>SAÍDA</v>
      </c>
      <c r="C569" t="str">
        <f t="shared" si="289"/>
        <v>PIX</v>
      </c>
      <c r="D569" t="str">
        <f>"07"</f>
        <v>07</v>
      </c>
      <c r="E569" t="str">
        <f t="shared" si="283"/>
        <v>COM</v>
      </c>
      <c r="F569" t="str">
        <f>"LILIANE DE FATIMA REZENDE JUSTINO (20013)"</f>
        <v>LILIANE DE FATIMA REZENDE JUSTINO (20013)</v>
      </c>
      <c r="G569" t="str">
        <f>"REF. PRO-LABORE MES 07/2024"</f>
        <v>REF. PRO-LABORE MES 07/2024</v>
      </c>
      <c r="H569" t="str">
        <f t="shared" ref="H569:H600" si="292">("05/02/2025")</f>
        <v>05/02/2025</v>
      </c>
      <c r="I569" t="str">
        <f t="shared" ref="I569:I574" si="293">("01/01/2025")</f>
        <v>01/01/2025</v>
      </c>
      <c r="J569" t="str">
        <f t="shared" ref="J569:J600" si="294">("05/02/2025")</f>
        <v>05/02/2025</v>
      </c>
      <c r="K569">
        <v>23333.33</v>
      </c>
      <c r="L569">
        <v>23333.33</v>
      </c>
      <c r="M569">
        <v>124</v>
      </c>
      <c r="N569" t="str">
        <f>"PRO LABORE - LILIANE"</f>
        <v>PRO LABORE - LILIANE</v>
      </c>
      <c r="O569">
        <v>23333.33</v>
      </c>
      <c r="R569" t="str">
        <f t="shared" si="290"/>
        <v>BANCO CORA (102)</v>
      </c>
      <c r="S569">
        <v>960</v>
      </c>
      <c r="T569">
        <v>564</v>
      </c>
      <c r="U569" t="s">
        <v>19</v>
      </c>
    </row>
    <row r="570" spans="1:21">
      <c r="A570" t="str">
        <f t="shared" si="291"/>
        <v>05/02/2025</v>
      </c>
      <c r="B570" t="str">
        <f t="shared" si="288"/>
        <v>SAÍDA</v>
      </c>
      <c r="C570" t="str">
        <f t="shared" si="289"/>
        <v>PIX</v>
      </c>
      <c r="D570" t="str">
        <f>"07"</f>
        <v>07</v>
      </c>
      <c r="E570" t="str">
        <f t="shared" si="283"/>
        <v>COM</v>
      </c>
      <c r="F570" t="str">
        <f>"LILIANE DE FATIMA REZENDE JUSTINO (20013)"</f>
        <v>LILIANE DE FATIMA REZENDE JUSTINO (20013)</v>
      </c>
      <c r="G570" t="str">
        <f>"REF. PRO-LABORE MES 07/2024"</f>
        <v>REF. PRO-LABORE MES 07/2024</v>
      </c>
      <c r="H570" t="str">
        <f t="shared" si="292"/>
        <v>05/02/2025</v>
      </c>
      <c r="I570" t="str">
        <f t="shared" si="293"/>
        <v>01/01/2025</v>
      </c>
      <c r="J570" t="str">
        <f t="shared" si="294"/>
        <v>05/02/2025</v>
      </c>
      <c r="M570">
        <v>124</v>
      </c>
      <c r="N570" t="str">
        <f>"PRO LABORE - LILIANE"</f>
        <v>PRO LABORE - LILIANE</v>
      </c>
      <c r="P570">
        <v>23333.33</v>
      </c>
      <c r="Q570" t="str">
        <f>"LILIANE DE FATIMA REZENDE JUSTINO (20013)"</f>
        <v>LILIANE DE FATIMA REZENDE JUSTINO (20013)</v>
      </c>
      <c r="R570" t="str">
        <f t="shared" si="290"/>
        <v>BANCO CORA (102)</v>
      </c>
      <c r="S570">
        <v>960</v>
      </c>
      <c r="T570">
        <v>564</v>
      </c>
      <c r="U570" t="s">
        <v>19</v>
      </c>
    </row>
    <row r="571" spans="1:21">
      <c r="A571" t="str">
        <f t="shared" si="291"/>
        <v>05/02/2025</v>
      </c>
      <c r="B571" t="str">
        <f t="shared" si="288"/>
        <v>SAÍDA</v>
      </c>
      <c r="C571" t="str">
        <f t="shared" si="289"/>
        <v>PIX</v>
      </c>
      <c r="D571" t="str">
        <f>"01"</f>
        <v>01</v>
      </c>
      <c r="E571" t="str">
        <f t="shared" si="283"/>
        <v>COM</v>
      </c>
      <c r="F571" t="str">
        <f>"LILIANE DE FATIMA REZENDE JUSTINO (20013)"</f>
        <v>LILIANE DE FATIMA REZENDE JUSTINO (20013)</v>
      </c>
      <c r="G571" t="str">
        <f>"REF. PREST. SERVICO LILIANE"</f>
        <v>REF. PREST. SERVICO LILIANE</v>
      </c>
      <c r="H571" t="str">
        <f t="shared" si="292"/>
        <v>05/02/2025</v>
      </c>
      <c r="I571" t="str">
        <f t="shared" si="293"/>
        <v>01/01/2025</v>
      </c>
      <c r="J571" t="str">
        <f t="shared" si="294"/>
        <v>05/02/2025</v>
      </c>
      <c r="K571">
        <v>1500</v>
      </c>
      <c r="L571">
        <v>1500</v>
      </c>
      <c r="M571">
        <v>103</v>
      </c>
      <c r="N571" t="str">
        <f>"PAGAMENTO DE FUNCIONÁRIOS"</f>
        <v>PAGAMENTO DE FUNCIONÁRIOS</v>
      </c>
      <c r="O571">
        <v>1500</v>
      </c>
      <c r="R571" t="str">
        <f t="shared" si="290"/>
        <v>BANCO CORA (102)</v>
      </c>
      <c r="S571">
        <v>961</v>
      </c>
      <c r="T571">
        <v>576</v>
      </c>
      <c r="U571" t="s">
        <v>19</v>
      </c>
    </row>
    <row r="572" spans="1:21">
      <c r="A572" t="str">
        <f t="shared" si="291"/>
        <v>05/02/2025</v>
      </c>
      <c r="B572" t="str">
        <f t="shared" si="288"/>
        <v>SAÍDA</v>
      </c>
      <c r="C572" t="str">
        <f t="shared" si="289"/>
        <v>PIX</v>
      </c>
      <c r="D572" t="str">
        <f>"01"</f>
        <v>01</v>
      </c>
      <c r="E572" t="str">
        <f t="shared" si="283"/>
        <v>COM</v>
      </c>
      <c r="F572" t="str">
        <f>"LILIANE DE FATIMA REZENDE JUSTINO (20013)"</f>
        <v>LILIANE DE FATIMA REZENDE JUSTINO (20013)</v>
      </c>
      <c r="G572" t="str">
        <f>"REF. PREST. SERVICO LILIANE"</f>
        <v>REF. PREST. SERVICO LILIANE</v>
      </c>
      <c r="H572" t="str">
        <f t="shared" si="292"/>
        <v>05/02/2025</v>
      </c>
      <c r="I572" t="str">
        <f t="shared" si="293"/>
        <v>01/01/2025</v>
      </c>
      <c r="J572" t="str">
        <f t="shared" si="294"/>
        <v>05/02/2025</v>
      </c>
      <c r="M572">
        <v>103</v>
      </c>
      <c r="N572" t="str">
        <f>"PAGAMENTO DE FUNCIONÁRIOS"</f>
        <v>PAGAMENTO DE FUNCIONÁRIOS</v>
      </c>
      <c r="P572">
        <v>1500</v>
      </c>
      <c r="Q572" t="str">
        <f>"LILIANE DE FATIMA REZENDE JUSTINO (20013)"</f>
        <v>LILIANE DE FATIMA REZENDE JUSTINO (20013)</v>
      </c>
      <c r="R572" t="str">
        <f t="shared" si="290"/>
        <v>BANCO CORA (102)</v>
      </c>
      <c r="S572">
        <v>961</v>
      </c>
      <c r="T572">
        <v>576</v>
      </c>
      <c r="U572" t="s">
        <v>19</v>
      </c>
    </row>
    <row r="573" spans="1:21">
      <c r="A573" t="str">
        <f t="shared" si="291"/>
        <v>05/02/2025</v>
      </c>
      <c r="B573" t="str">
        <f t="shared" si="288"/>
        <v>SAÍDA</v>
      </c>
      <c r="C573" t="str">
        <f t="shared" si="289"/>
        <v>PIX</v>
      </c>
      <c r="D573" t="str">
        <f>"0724"</f>
        <v>0724</v>
      </c>
      <c r="E573" t="str">
        <f t="shared" si="283"/>
        <v>COM</v>
      </c>
      <c r="F573" t="str">
        <f>"MARCELO REZENDE ARANTES (20014)"</f>
        <v>MARCELO REZENDE ARANTES (20014)</v>
      </c>
      <c r="G573" t="str">
        <f>"REF. PRO-LABORE MES 01/2025"</f>
        <v>REF. PRO-LABORE MES 01/2025</v>
      </c>
      <c r="H573" t="str">
        <f t="shared" si="292"/>
        <v>05/02/2025</v>
      </c>
      <c r="I573" t="str">
        <f t="shared" si="293"/>
        <v>01/01/2025</v>
      </c>
      <c r="J573" t="str">
        <f t="shared" si="294"/>
        <v>05/02/2025</v>
      </c>
      <c r="K573">
        <v>10000</v>
      </c>
      <c r="L573">
        <v>10000</v>
      </c>
      <c r="M573">
        <v>108</v>
      </c>
      <c r="N573" t="str">
        <f>"PRO LABORE - MARCELO"</f>
        <v>PRO LABORE - MARCELO</v>
      </c>
      <c r="O573">
        <v>10000</v>
      </c>
      <c r="R573" t="str">
        <f t="shared" si="290"/>
        <v>BANCO CORA (102)</v>
      </c>
      <c r="S573">
        <v>962</v>
      </c>
      <c r="T573">
        <v>588</v>
      </c>
      <c r="U573" t="s">
        <v>19</v>
      </c>
    </row>
    <row r="574" spans="1:21">
      <c r="A574" t="str">
        <f t="shared" si="291"/>
        <v>05/02/2025</v>
      </c>
      <c r="B574" t="str">
        <f t="shared" si="288"/>
        <v>SAÍDA</v>
      </c>
      <c r="C574" t="str">
        <f t="shared" si="289"/>
        <v>PIX</v>
      </c>
      <c r="D574" t="str">
        <f>"0724"</f>
        <v>0724</v>
      </c>
      <c r="E574" t="str">
        <f t="shared" si="283"/>
        <v>COM</v>
      </c>
      <c r="F574" t="str">
        <f>"MARCELO REZENDE ARANTES (20014)"</f>
        <v>MARCELO REZENDE ARANTES (20014)</v>
      </c>
      <c r="G574" t="str">
        <f>"REF. PRO-LABORE MES 01/2025"</f>
        <v>REF. PRO-LABORE MES 01/2025</v>
      </c>
      <c r="H574" t="str">
        <f t="shared" si="292"/>
        <v>05/02/2025</v>
      </c>
      <c r="I574" t="str">
        <f t="shared" si="293"/>
        <v>01/01/2025</v>
      </c>
      <c r="J574" t="str">
        <f t="shared" si="294"/>
        <v>05/02/2025</v>
      </c>
      <c r="M574">
        <v>108</v>
      </c>
      <c r="N574" t="str">
        <f>"PRO LABORE - MARCELO"</f>
        <v>PRO LABORE - MARCELO</v>
      </c>
      <c r="P574">
        <v>10000</v>
      </c>
      <c r="Q574" t="str">
        <f>"MARCELO REZENDE ARANTES (20014)"</f>
        <v>MARCELO REZENDE ARANTES (20014)</v>
      </c>
      <c r="R574" t="str">
        <f t="shared" si="290"/>
        <v>BANCO CORA (102)</v>
      </c>
      <c r="S574">
        <v>962</v>
      </c>
      <c r="T574">
        <v>588</v>
      </c>
      <c r="U574" t="s">
        <v>19</v>
      </c>
    </row>
    <row r="575" spans="1:21">
      <c r="A575" t="str">
        <f t="shared" si="291"/>
        <v>05/02/2025</v>
      </c>
      <c r="B575" t="str">
        <f>"ENTRADA"</f>
        <v>ENTRADA</v>
      </c>
      <c r="C575" t="str">
        <f t="shared" ref="C575:C606" si="295">"NFSE"</f>
        <v>NFSE</v>
      </c>
      <c r="D575" t="str">
        <f t="shared" ref="D575:D620" si="296">"2656"</f>
        <v>2656</v>
      </c>
      <c r="E575" t="str">
        <f t="shared" si="283"/>
        <v>COM</v>
      </c>
      <c r="F575" t="str">
        <f t="shared" ref="F575:F620" si="297">"FARMÁCIA INDIANA LJ 1 (10126)"</f>
        <v>FARMÁCIA INDIANA LJ 1 (10126)</v>
      </c>
      <c r="G575" t="str">
        <f t="shared" ref="G575:G620" si="298">"Serv.Prest. 20/01/2025 a 24/01/2025 - RPS: 430 - NFSe: 2656"</f>
        <v>Serv.Prest. 20/01/2025 a 24/01/2025 - RPS: 430 - NFSe: 2656</v>
      </c>
      <c r="H575" t="str">
        <f t="shared" si="292"/>
        <v>05/02/2025</v>
      </c>
      <c r="I575" t="str">
        <f t="shared" ref="I575:I606" si="299">("25/01/2025")</f>
        <v>25/01/2025</v>
      </c>
      <c r="J575" t="str">
        <f t="shared" si="294"/>
        <v>05/02/2025</v>
      </c>
      <c r="K575">
        <v>9603.0400000000009</v>
      </c>
      <c r="L575">
        <v>9603.0400000000009</v>
      </c>
      <c r="M575">
        <v>303</v>
      </c>
      <c r="N575" t="str">
        <f t="shared" ref="N575:N606" si="300">"RECEITAS COM ENTREGAS"</f>
        <v>RECEITAS COM ENTREGAS</v>
      </c>
      <c r="O575">
        <v>9603.0400000000009</v>
      </c>
      <c r="R575" t="str">
        <f t="shared" ref="R575:R606" si="301">"RECEITAS COM ENTREGAS (303)"</f>
        <v>RECEITAS COM ENTREGAS (303)</v>
      </c>
      <c r="S575">
        <v>963</v>
      </c>
      <c r="T575">
        <v>776</v>
      </c>
      <c r="U575" t="s">
        <v>19</v>
      </c>
    </row>
    <row r="576" spans="1:21">
      <c r="A576" t="str">
        <f t="shared" si="291"/>
        <v>05/02/2025</v>
      </c>
      <c r="B576" t="str">
        <f t="shared" ref="B576:B639" si="302">"ENTRADA"</f>
        <v>ENTRADA</v>
      </c>
      <c r="C576" t="str">
        <f t="shared" si="295"/>
        <v>NFSE</v>
      </c>
      <c r="D576" t="str">
        <f t="shared" si="296"/>
        <v>2656</v>
      </c>
      <c r="E576" t="str">
        <f t="shared" si="283"/>
        <v>COM</v>
      </c>
      <c r="F576" t="str">
        <f t="shared" si="297"/>
        <v>FARMÁCIA INDIANA LJ 1 (10126)</v>
      </c>
      <c r="G576" t="str">
        <f t="shared" si="298"/>
        <v>Serv.Prest. 20/01/2025 a 24/01/2025 - RPS: 430 - NFSe: 2656</v>
      </c>
      <c r="H576" t="str">
        <f t="shared" si="292"/>
        <v>05/02/2025</v>
      </c>
      <c r="I576" t="str">
        <f t="shared" si="299"/>
        <v>25/01/2025</v>
      </c>
      <c r="J576" t="str">
        <f t="shared" si="294"/>
        <v>05/02/2025</v>
      </c>
      <c r="M576">
        <v>303</v>
      </c>
      <c r="N576" t="str">
        <f t="shared" si="300"/>
        <v>RECEITAS COM ENTREGAS</v>
      </c>
      <c r="P576">
        <v>1107.23</v>
      </c>
      <c r="Q576" t="str">
        <f>"FARMÁCIA INDIANA LJ 06 (10006)"</f>
        <v>FARMÁCIA INDIANA LJ 06 (10006)</v>
      </c>
      <c r="R576" t="str">
        <f t="shared" si="301"/>
        <v>RECEITAS COM ENTREGAS (303)</v>
      </c>
      <c r="S576">
        <v>963</v>
      </c>
      <c r="T576">
        <v>776</v>
      </c>
      <c r="U576" t="s">
        <v>19</v>
      </c>
    </row>
    <row r="577" spans="1:21">
      <c r="A577" t="str">
        <f t="shared" si="291"/>
        <v>05/02/2025</v>
      </c>
      <c r="B577" t="str">
        <f t="shared" si="302"/>
        <v>ENTRADA</v>
      </c>
      <c r="C577" t="str">
        <f t="shared" si="295"/>
        <v>NFSE</v>
      </c>
      <c r="D577" t="str">
        <f t="shared" si="296"/>
        <v>2656</v>
      </c>
      <c r="E577" t="str">
        <f t="shared" si="283"/>
        <v>COM</v>
      </c>
      <c r="F577" t="str">
        <f t="shared" si="297"/>
        <v>FARMÁCIA INDIANA LJ 1 (10126)</v>
      </c>
      <c r="G577" t="str">
        <f t="shared" si="298"/>
        <v>Serv.Prest. 20/01/2025 a 24/01/2025 - RPS: 430 - NFSe: 2656</v>
      </c>
      <c r="H577" t="str">
        <f t="shared" si="292"/>
        <v>05/02/2025</v>
      </c>
      <c r="I577" t="str">
        <f t="shared" si="299"/>
        <v>25/01/2025</v>
      </c>
      <c r="J577" t="str">
        <f t="shared" si="294"/>
        <v>05/02/2025</v>
      </c>
      <c r="M577">
        <v>303</v>
      </c>
      <c r="N577" t="str">
        <f t="shared" si="300"/>
        <v>RECEITAS COM ENTREGAS</v>
      </c>
      <c r="P577">
        <v>975.67</v>
      </c>
      <c r="Q577" t="str">
        <f>"FARMÁCIA INDIANA LJ 07 (10007)"</f>
        <v>FARMÁCIA INDIANA LJ 07 (10007)</v>
      </c>
      <c r="R577" t="str">
        <f t="shared" si="301"/>
        <v>RECEITAS COM ENTREGAS (303)</v>
      </c>
      <c r="S577">
        <v>963</v>
      </c>
      <c r="T577">
        <v>776</v>
      </c>
      <c r="U577" t="s">
        <v>19</v>
      </c>
    </row>
    <row r="578" spans="1:21">
      <c r="A578" t="str">
        <f t="shared" si="291"/>
        <v>05/02/2025</v>
      </c>
      <c r="B578" t="str">
        <f t="shared" si="302"/>
        <v>ENTRADA</v>
      </c>
      <c r="C578" t="str">
        <f t="shared" si="295"/>
        <v>NFSE</v>
      </c>
      <c r="D578" t="str">
        <f t="shared" si="296"/>
        <v>2656</v>
      </c>
      <c r="E578" t="str">
        <f t="shared" si="283"/>
        <v>COM</v>
      </c>
      <c r="F578" t="str">
        <f t="shared" si="297"/>
        <v>FARMÁCIA INDIANA LJ 1 (10126)</v>
      </c>
      <c r="G578" t="str">
        <f t="shared" si="298"/>
        <v>Serv.Prest. 20/01/2025 a 24/01/2025 - RPS: 430 - NFSe: 2656</v>
      </c>
      <c r="H578" t="str">
        <f t="shared" si="292"/>
        <v>05/02/2025</v>
      </c>
      <c r="I578" t="str">
        <f t="shared" si="299"/>
        <v>25/01/2025</v>
      </c>
      <c r="J578" t="str">
        <f t="shared" si="294"/>
        <v>05/02/2025</v>
      </c>
      <c r="M578">
        <v>303</v>
      </c>
      <c r="N578" t="str">
        <f t="shared" si="300"/>
        <v>RECEITAS COM ENTREGAS</v>
      </c>
      <c r="P578">
        <v>759.6</v>
      </c>
      <c r="Q578" t="str">
        <f>"FARMÁCIA INDIANA LJ 11 (10008)"</f>
        <v>FARMÁCIA INDIANA LJ 11 (10008)</v>
      </c>
      <c r="R578" t="str">
        <f t="shared" si="301"/>
        <v>RECEITAS COM ENTREGAS (303)</v>
      </c>
      <c r="S578">
        <v>963</v>
      </c>
      <c r="T578">
        <v>776</v>
      </c>
      <c r="U578" t="s">
        <v>19</v>
      </c>
    </row>
    <row r="579" spans="1:21">
      <c r="A579" t="str">
        <f t="shared" si="291"/>
        <v>05/02/2025</v>
      </c>
      <c r="B579" t="str">
        <f t="shared" si="302"/>
        <v>ENTRADA</v>
      </c>
      <c r="C579" t="str">
        <f t="shared" si="295"/>
        <v>NFSE</v>
      </c>
      <c r="D579" t="str">
        <f t="shared" si="296"/>
        <v>2656</v>
      </c>
      <c r="E579" t="str">
        <f t="shared" si="283"/>
        <v>COM</v>
      </c>
      <c r="F579" t="str">
        <f t="shared" si="297"/>
        <v>FARMÁCIA INDIANA LJ 1 (10126)</v>
      </c>
      <c r="G579" t="str">
        <f t="shared" si="298"/>
        <v>Serv.Prest. 20/01/2025 a 24/01/2025 - RPS: 430 - NFSe: 2656</v>
      </c>
      <c r="H579" t="str">
        <f t="shared" si="292"/>
        <v>05/02/2025</v>
      </c>
      <c r="I579" t="str">
        <f t="shared" si="299"/>
        <v>25/01/2025</v>
      </c>
      <c r="J579" t="str">
        <f t="shared" si="294"/>
        <v>05/02/2025</v>
      </c>
      <c r="M579">
        <v>303</v>
      </c>
      <c r="N579" t="str">
        <f t="shared" si="300"/>
        <v>RECEITAS COM ENTREGAS</v>
      </c>
      <c r="P579">
        <v>249.68</v>
      </c>
      <c r="Q579" t="str">
        <f>"FARMÁCIA INDIANA LJ 14 (10009)"</f>
        <v>FARMÁCIA INDIANA LJ 14 (10009)</v>
      </c>
      <c r="R579" t="str">
        <f t="shared" si="301"/>
        <v>RECEITAS COM ENTREGAS (303)</v>
      </c>
      <c r="S579">
        <v>963</v>
      </c>
      <c r="T579">
        <v>776</v>
      </c>
      <c r="U579" t="s">
        <v>19</v>
      </c>
    </row>
    <row r="580" spans="1:21">
      <c r="A580" t="str">
        <f t="shared" si="291"/>
        <v>05/02/2025</v>
      </c>
      <c r="B580" t="str">
        <f t="shared" si="302"/>
        <v>ENTRADA</v>
      </c>
      <c r="C580" t="str">
        <f t="shared" si="295"/>
        <v>NFSE</v>
      </c>
      <c r="D580" t="str">
        <f t="shared" si="296"/>
        <v>2656</v>
      </c>
      <c r="E580" t="str">
        <f t="shared" si="283"/>
        <v>COM</v>
      </c>
      <c r="F580" t="str">
        <f t="shared" si="297"/>
        <v>FARMÁCIA INDIANA LJ 1 (10126)</v>
      </c>
      <c r="G580" t="str">
        <f t="shared" si="298"/>
        <v>Serv.Prest. 20/01/2025 a 24/01/2025 - RPS: 430 - NFSe: 2656</v>
      </c>
      <c r="H580" t="str">
        <f t="shared" si="292"/>
        <v>05/02/2025</v>
      </c>
      <c r="I580" t="str">
        <f t="shared" si="299"/>
        <v>25/01/2025</v>
      </c>
      <c r="J580" t="str">
        <f t="shared" si="294"/>
        <v>05/02/2025</v>
      </c>
      <c r="M580">
        <v>303</v>
      </c>
      <c r="N580" t="str">
        <f t="shared" si="300"/>
        <v>RECEITAS COM ENTREGAS</v>
      </c>
      <c r="P580">
        <v>266.95999999999998</v>
      </c>
      <c r="Q580" t="str">
        <f>"FARMÁCIA INDIANA LJ 18 (10011)"</f>
        <v>FARMÁCIA INDIANA LJ 18 (10011)</v>
      </c>
      <c r="R580" t="str">
        <f t="shared" si="301"/>
        <v>RECEITAS COM ENTREGAS (303)</v>
      </c>
      <c r="S580">
        <v>963</v>
      </c>
      <c r="T580">
        <v>776</v>
      </c>
      <c r="U580" t="s">
        <v>19</v>
      </c>
    </row>
    <row r="581" spans="1:21">
      <c r="A581" t="str">
        <f t="shared" si="291"/>
        <v>05/02/2025</v>
      </c>
      <c r="B581" t="str">
        <f t="shared" si="302"/>
        <v>ENTRADA</v>
      </c>
      <c r="C581" t="str">
        <f t="shared" si="295"/>
        <v>NFSE</v>
      </c>
      <c r="D581" t="str">
        <f t="shared" si="296"/>
        <v>2656</v>
      </c>
      <c r="E581" t="str">
        <f t="shared" si="283"/>
        <v>COM</v>
      </c>
      <c r="F581" t="str">
        <f t="shared" si="297"/>
        <v>FARMÁCIA INDIANA LJ 1 (10126)</v>
      </c>
      <c r="G581" t="str">
        <f t="shared" si="298"/>
        <v>Serv.Prest. 20/01/2025 a 24/01/2025 - RPS: 430 - NFSe: 2656</v>
      </c>
      <c r="H581" t="str">
        <f t="shared" si="292"/>
        <v>05/02/2025</v>
      </c>
      <c r="I581" t="str">
        <f t="shared" si="299"/>
        <v>25/01/2025</v>
      </c>
      <c r="J581" t="str">
        <f t="shared" si="294"/>
        <v>05/02/2025</v>
      </c>
      <c r="M581">
        <v>303</v>
      </c>
      <c r="N581" t="str">
        <f t="shared" si="300"/>
        <v>RECEITAS COM ENTREGAS</v>
      </c>
      <c r="P581">
        <v>214.15</v>
      </c>
      <c r="Q581" t="str">
        <f>"FARMÁCIA INDIANA LJ 19 (10012)"</f>
        <v>FARMÁCIA INDIANA LJ 19 (10012)</v>
      </c>
      <c r="R581" t="str">
        <f t="shared" si="301"/>
        <v>RECEITAS COM ENTREGAS (303)</v>
      </c>
      <c r="S581">
        <v>963</v>
      </c>
      <c r="T581">
        <v>776</v>
      </c>
      <c r="U581" t="s">
        <v>19</v>
      </c>
    </row>
    <row r="582" spans="1:21">
      <c r="A582" t="str">
        <f t="shared" si="291"/>
        <v>05/02/2025</v>
      </c>
      <c r="B582" t="str">
        <f t="shared" si="302"/>
        <v>ENTRADA</v>
      </c>
      <c r="C582" t="str">
        <f t="shared" si="295"/>
        <v>NFSE</v>
      </c>
      <c r="D582" t="str">
        <f t="shared" si="296"/>
        <v>2656</v>
      </c>
      <c r="E582" t="str">
        <f t="shared" si="283"/>
        <v>COM</v>
      </c>
      <c r="F582" t="str">
        <f t="shared" si="297"/>
        <v>FARMÁCIA INDIANA LJ 1 (10126)</v>
      </c>
      <c r="G582" t="str">
        <f t="shared" si="298"/>
        <v>Serv.Prest. 20/01/2025 a 24/01/2025 - RPS: 430 - NFSe: 2656</v>
      </c>
      <c r="H582" t="str">
        <f t="shared" si="292"/>
        <v>05/02/2025</v>
      </c>
      <c r="I582" t="str">
        <f t="shared" si="299"/>
        <v>25/01/2025</v>
      </c>
      <c r="J582" t="str">
        <f t="shared" si="294"/>
        <v>05/02/2025</v>
      </c>
      <c r="M582">
        <v>303</v>
      </c>
      <c r="N582" t="str">
        <f t="shared" si="300"/>
        <v>RECEITAS COM ENTREGAS</v>
      </c>
      <c r="P582">
        <v>312.10000000000002</v>
      </c>
      <c r="Q582" t="str">
        <f>"FARMÁCIA INDIANA LJ 40 (10016)"</f>
        <v>FARMÁCIA INDIANA LJ 40 (10016)</v>
      </c>
      <c r="R582" t="str">
        <f t="shared" si="301"/>
        <v>RECEITAS COM ENTREGAS (303)</v>
      </c>
      <c r="S582">
        <v>963</v>
      </c>
      <c r="T582">
        <v>776</v>
      </c>
      <c r="U582" t="s">
        <v>19</v>
      </c>
    </row>
    <row r="583" spans="1:21">
      <c r="A583" t="str">
        <f t="shared" si="291"/>
        <v>05/02/2025</v>
      </c>
      <c r="B583" t="str">
        <f t="shared" si="302"/>
        <v>ENTRADA</v>
      </c>
      <c r="C583" t="str">
        <f t="shared" si="295"/>
        <v>NFSE</v>
      </c>
      <c r="D583" t="str">
        <f t="shared" si="296"/>
        <v>2656</v>
      </c>
      <c r="E583" t="str">
        <f t="shared" si="283"/>
        <v>COM</v>
      </c>
      <c r="F583" t="str">
        <f t="shared" si="297"/>
        <v>FARMÁCIA INDIANA LJ 1 (10126)</v>
      </c>
      <c r="G583" t="str">
        <f t="shared" si="298"/>
        <v>Serv.Prest. 20/01/2025 a 24/01/2025 - RPS: 430 - NFSe: 2656</v>
      </c>
      <c r="H583" t="str">
        <f t="shared" si="292"/>
        <v>05/02/2025</v>
      </c>
      <c r="I583" t="str">
        <f t="shared" si="299"/>
        <v>25/01/2025</v>
      </c>
      <c r="J583" t="str">
        <f t="shared" si="294"/>
        <v>05/02/2025</v>
      </c>
      <c r="M583">
        <v>303</v>
      </c>
      <c r="N583" t="str">
        <f t="shared" si="300"/>
        <v>RECEITAS COM ENTREGAS</v>
      </c>
      <c r="P583">
        <v>291.93</v>
      </c>
      <c r="Q583" t="str">
        <f>"FARMÁCIA INDIANA LJ 59 (10026)"</f>
        <v>FARMÁCIA INDIANA LJ 59 (10026)</v>
      </c>
      <c r="R583" t="str">
        <f t="shared" si="301"/>
        <v>RECEITAS COM ENTREGAS (303)</v>
      </c>
      <c r="S583">
        <v>963</v>
      </c>
      <c r="T583">
        <v>776</v>
      </c>
      <c r="U583" t="s">
        <v>19</v>
      </c>
    </row>
    <row r="584" spans="1:21">
      <c r="A584" t="str">
        <f t="shared" si="291"/>
        <v>05/02/2025</v>
      </c>
      <c r="B584" t="str">
        <f t="shared" si="302"/>
        <v>ENTRADA</v>
      </c>
      <c r="C584" t="str">
        <f t="shared" si="295"/>
        <v>NFSE</v>
      </c>
      <c r="D584" t="str">
        <f t="shared" si="296"/>
        <v>2656</v>
      </c>
      <c r="E584" t="str">
        <f t="shared" si="283"/>
        <v>COM</v>
      </c>
      <c r="F584" t="str">
        <f t="shared" si="297"/>
        <v>FARMÁCIA INDIANA LJ 1 (10126)</v>
      </c>
      <c r="G584" t="str">
        <f t="shared" si="298"/>
        <v>Serv.Prest. 20/01/2025 a 24/01/2025 - RPS: 430 - NFSe: 2656</v>
      </c>
      <c r="H584" t="str">
        <f t="shared" si="292"/>
        <v>05/02/2025</v>
      </c>
      <c r="I584" t="str">
        <f t="shared" si="299"/>
        <v>25/01/2025</v>
      </c>
      <c r="J584" t="str">
        <f t="shared" si="294"/>
        <v>05/02/2025</v>
      </c>
      <c r="M584">
        <v>303</v>
      </c>
      <c r="N584" t="str">
        <f t="shared" si="300"/>
        <v>RECEITAS COM ENTREGAS</v>
      </c>
      <c r="P584">
        <v>294.81</v>
      </c>
      <c r="Q584" t="str">
        <f>"FARMÁCIA INDIANA LJ 61 (10027)"</f>
        <v>FARMÁCIA INDIANA LJ 61 (10027)</v>
      </c>
      <c r="R584" t="str">
        <f t="shared" si="301"/>
        <v>RECEITAS COM ENTREGAS (303)</v>
      </c>
      <c r="S584">
        <v>963</v>
      </c>
      <c r="T584">
        <v>776</v>
      </c>
      <c r="U584" t="s">
        <v>19</v>
      </c>
    </row>
    <row r="585" spans="1:21">
      <c r="A585" t="str">
        <f t="shared" si="291"/>
        <v>05/02/2025</v>
      </c>
      <c r="B585" t="str">
        <f t="shared" si="302"/>
        <v>ENTRADA</v>
      </c>
      <c r="C585" t="str">
        <f t="shared" si="295"/>
        <v>NFSE</v>
      </c>
      <c r="D585" t="str">
        <f t="shared" si="296"/>
        <v>2656</v>
      </c>
      <c r="E585" t="str">
        <f t="shared" si="283"/>
        <v>COM</v>
      </c>
      <c r="F585" t="str">
        <f t="shared" si="297"/>
        <v>FARMÁCIA INDIANA LJ 1 (10126)</v>
      </c>
      <c r="G585" t="str">
        <f t="shared" si="298"/>
        <v>Serv.Prest. 20/01/2025 a 24/01/2025 - RPS: 430 - NFSe: 2656</v>
      </c>
      <c r="H585" t="str">
        <f t="shared" si="292"/>
        <v>05/02/2025</v>
      </c>
      <c r="I585" t="str">
        <f t="shared" si="299"/>
        <v>25/01/2025</v>
      </c>
      <c r="J585" t="str">
        <f t="shared" si="294"/>
        <v>05/02/2025</v>
      </c>
      <c r="M585">
        <v>303</v>
      </c>
      <c r="N585" t="str">
        <f t="shared" si="300"/>
        <v>RECEITAS COM ENTREGAS</v>
      </c>
      <c r="P585">
        <v>246.8</v>
      </c>
      <c r="Q585" t="str">
        <f>"FARMÁCIA INDIANA LJ 62 (10028)"</f>
        <v>FARMÁCIA INDIANA LJ 62 (10028)</v>
      </c>
      <c r="R585" t="str">
        <f t="shared" si="301"/>
        <v>RECEITAS COM ENTREGAS (303)</v>
      </c>
      <c r="S585">
        <v>963</v>
      </c>
      <c r="T585">
        <v>776</v>
      </c>
      <c r="U585" t="s">
        <v>19</v>
      </c>
    </row>
    <row r="586" spans="1:21">
      <c r="A586" t="str">
        <f t="shared" si="291"/>
        <v>05/02/2025</v>
      </c>
      <c r="B586" t="str">
        <f t="shared" si="302"/>
        <v>ENTRADA</v>
      </c>
      <c r="C586" t="str">
        <f t="shared" si="295"/>
        <v>NFSE</v>
      </c>
      <c r="D586" t="str">
        <f t="shared" si="296"/>
        <v>2656</v>
      </c>
      <c r="E586" t="str">
        <f t="shared" si="283"/>
        <v>COM</v>
      </c>
      <c r="F586" t="str">
        <f t="shared" si="297"/>
        <v>FARMÁCIA INDIANA LJ 1 (10126)</v>
      </c>
      <c r="G586" t="str">
        <f t="shared" si="298"/>
        <v>Serv.Prest. 20/01/2025 a 24/01/2025 - RPS: 430 - NFSe: 2656</v>
      </c>
      <c r="H586" t="str">
        <f t="shared" si="292"/>
        <v>05/02/2025</v>
      </c>
      <c r="I586" t="str">
        <f t="shared" si="299"/>
        <v>25/01/2025</v>
      </c>
      <c r="J586" t="str">
        <f t="shared" si="294"/>
        <v>05/02/2025</v>
      </c>
      <c r="M586">
        <v>303</v>
      </c>
      <c r="N586" t="str">
        <f t="shared" si="300"/>
        <v>RECEITAS COM ENTREGAS</v>
      </c>
      <c r="P586">
        <v>115.24</v>
      </c>
      <c r="Q586" t="str">
        <f>"FARMÁCIA INDIANA LJ 64 (10029)"</f>
        <v>FARMÁCIA INDIANA LJ 64 (10029)</v>
      </c>
      <c r="R586" t="str">
        <f t="shared" si="301"/>
        <v>RECEITAS COM ENTREGAS (303)</v>
      </c>
      <c r="S586">
        <v>963</v>
      </c>
      <c r="T586">
        <v>776</v>
      </c>
      <c r="U586" t="s">
        <v>19</v>
      </c>
    </row>
    <row r="587" spans="1:21">
      <c r="A587" t="str">
        <f t="shared" si="291"/>
        <v>05/02/2025</v>
      </c>
      <c r="B587" t="str">
        <f t="shared" si="302"/>
        <v>ENTRADA</v>
      </c>
      <c r="C587" t="str">
        <f t="shared" si="295"/>
        <v>NFSE</v>
      </c>
      <c r="D587" t="str">
        <f t="shared" si="296"/>
        <v>2656</v>
      </c>
      <c r="E587" t="str">
        <f t="shared" si="283"/>
        <v>COM</v>
      </c>
      <c r="F587" t="str">
        <f t="shared" si="297"/>
        <v>FARMÁCIA INDIANA LJ 1 (10126)</v>
      </c>
      <c r="G587" t="str">
        <f t="shared" si="298"/>
        <v>Serv.Prest. 20/01/2025 a 24/01/2025 - RPS: 430 - NFSe: 2656</v>
      </c>
      <c r="H587" t="str">
        <f t="shared" si="292"/>
        <v>05/02/2025</v>
      </c>
      <c r="I587" t="str">
        <f t="shared" si="299"/>
        <v>25/01/2025</v>
      </c>
      <c r="J587" t="str">
        <f t="shared" si="294"/>
        <v>05/02/2025</v>
      </c>
      <c r="M587">
        <v>303</v>
      </c>
      <c r="N587" t="str">
        <f t="shared" si="300"/>
        <v>RECEITAS COM ENTREGAS</v>
      </c>
      <c r="P587">
        <v>54.74</v>
      </c>
      <c r="Q587" t="str">
        <f>"FARMÁCIA INDIANA LJ 97 (10040)"</f>
        <v>FARMÁCIA INDIANA LJ 97 (10040)</v>
      </c>
      <c r="R587" t="str">
        <f t="shared" si="301"/>
        <v>RECEITAS COM ENTREGAS (303)</v>
      </c>
      <c r="S587">
        <v>963</v>
      </c>
      <c r="T587">
        <v>776</v>
      </c>
      <c r="U587" t="s">
        <v>19</v>
      </c>
    </row>
    <row r="588" spans="1:21">
      <c r="A588" t="str">
        <f t="shared" si="291"/>
        <v>05/02/2025</v>
      </c>
      <c r="B588" t="str">
        <f t="shared" si="302"/>
        <v>ENTRADA</v>
      </c>
      <c r="C588" t="str">
        <f t="shared" si="295"/>
        <v>NFSE</v>
      </c>
      <c r="D588" t="str">
        <f t="shared" si="296"/>
        <v>2656</v>
      </c>
      <c r="E588" t="str">
        <f t="shared" si="283"/>
        <v>COM</v>
      </c>
      <c r="F588" t="str">
        <f t="shared" si="297"/>
        <v>FARMÁCIA INDIANA LJ 1 (10126)</v>
      </c>
      <c r="G588" t="str">
        <f t="shared" si="298"/>
        <v>Serv.Prest. 20/01/2025 a 24/01/2025 - RPS: 430 - NFSe: 2656</v>
      </c>
      <c r="H588" t="str">
        <f t="shared" si="292"/>
        <v>05/02/2025</v>
      </c>
      <c r="I588" t="str">
        <f t="shared" si="299"/>
        <v>25/01/2025</v>
      </c>
      <c r="J588" t="str">
        <f t="shared" si="294"/>
        <v>05/02/2025</v>
      </c>
      <c r="M588">
        <v>303</v>
      </c>
      <c r="N588" t="str">
        <f t="shared" si="300"/>
        <v>RECEITAS COM ENTREGAS</v>
      </c>
      <c r="P588">
        <v>320.74</v>
      </c>
      <c r="Q588" t="str">
        <f>"FARMÁCIA INDIANA LJ 100 (10042)"</f>
        <v>FARMÁCIA INDIANA LJ 100 (10042)</v>
      </c>
      <c r="R588" t="str">
        <f t="shared" si="301"/>
        <v>RECEITAS COM ENTREGAS (303)</v>
      </c>
      <c r="S588">
        <v>963</v>
      </c>
      <c r="T588">
        <v>776</v>
      </c>
      <c r="U588" t="s">
        <v>19</v>
      </c>
    </row>
    <row r="589" spans="1:21">
      <c r="A589" t="str">
        <f t="shared" si="291"/>
        <v>05/02/2025</v>
      </c>
      <c r="B589" t="str">
        <f t="shared" si="302"/>
        <v>ENTRADA</v>
      </c>
      <c r="C589" t="str">
        <f t="shared" si="295"/>
        <v>NFSE</v>
      </c>
      <c r="D589" t="str">
        <f t="shared" si="296"/>
        <v>2656</v>
      </c>
      <c r="E589" t="str">
        <f t="shared" si="283"/>
        <v>COM</v>
      </c>
      <c r="F589" t="str">
        <f t="shared" si="297"/>
        <v>FARMÁCIA INDIANA LJ 1 (10126)</v>
      </c>
      <c r="G589" t="str">
        <f t="shared" si="298"/>
        <v>Serv.Prest. 20/01/2025 a 24/01/2025 - RPS: 430 - NFSe: 2656</v>
      </c>
      <c r="H589" t="str">
        <f t="shared" si="292"/>
        <v>05/02/2025</v>
      </c>
      <c r="I589" t="str">
        <f t="shared" si="299"/>
        <v>25/01/2025</v>
      </c>
      <c r="J589" t="str">
        <f t="shared" si="294"/>
        <v>05/02/2025</v>
      </c>
      <c r="M589">
        <v>303</v>
      </c>
      <c r="N589" t="str">
        <f t="shared" si="300"/>
        <v>RECEITAS COM ENTREGAS</v>
      </c>
      <c r="P589">
        <v>344.75</v>
      </c>
      <c r="Q589" t="str">
        <f>"FARMÁCIA INDIANA LJ 101 (10043)"</f>
        <v>FARMÁCIA INDIANA LJ 101 (10043)</v>
      </c>
      <c r="R589" t="str">
        <f t="shared" si="301"/>
        <v>RECEITAS COM ENTREGAS (303)</v>
      </c>
      <c r="S589">
        <v>963</v>
      </c>
      <c r="T589">
        <v>776</v>
      </c>
      <c r="U589" t="s">
        <v>19</v>
      </c>
    </row>
    <row r="590" spans="1:21">
      <c r="A590" t="str">
        <f t="shared" si="291"/>
        <v>05/02/2025</v>
      </c>
      <c r="B590" t="str">
        <f t="shared" si="302"/>
        <v>ENTRADA</v>
      </c>
      <c r="C590" t="str">
        <f t="shared" si="295"/>
        <v>NFSE</v>
      </c>
      <c r="D590" t="str">
        <f t="shared" si="296"/>
        <v>2656</v>
      </c>
      <c r="E590" t="str">
        <f t="shared" si="283"/>
        <v>COM</v>
      </c>
      <c r="F590" t="str">
        <f t="shared" si="297"/>
        <v>FARMÁCIA INDIANA LJ 1 (10126)</v>
      </c>
      <c r="G590" t="str">
        <f t="shared" si="298"/>
        <v>Serv.Prest. 20/01/2025 a 24/01/2025 - RPS: 430 - NFSe: 2656</v>
      </c>
      <c r="H590" t="str">
        <f t="shared" si="292"/>
        <v>05/02/2025</v>
      </c>
      <c r="I590" t="str">
        <f t="shared" si="299"/>
        <v>25/01/2025</v>
      </c>
      <c r="J590" t="str">
        <f t="shared" si="294"/>
        <v>05/02/2025</v>
      </c>
      <c r="M590">
        <v>303</v>
      </c>
      <c r="N590" t="str">
        <f t="shared" si="300"/>
        <v>RECEITAS COM ENTREGAS</v>
      </c>
      <c r="P590">
        <v>61.46</v>
      </c>
      <c r="Q590" t="str">
        <f>"FARMÁCIA INDIANA LJ 103 (10044)"</f>
        <v>FARMÁCIA INDIANA LJ 103 (10044)</v>
      </c>
      <c r="R590" t="str">
        <f t="shared" si="301"/>
        <v>RECEITAS COM ENTREGAS (303)</v>
      </c>
      <c r="S590">
        <v>963</v>
      </c>
      <c r="T590">
        <v>776</v>
      </c>
      <c r="U590" t="s">
        <v>19</v>
      </c>
    </row>
    <row r="591" spans="1:21">
      <c r="A591" t="str">
        <f t="shared" si="291"/>
        <v>05/02/2025</v>
      </c>
      <c r="B591" t="str">
        <f t="shared" si="302"/>
        <v>ENTRADA</v>
      </c>
      <c r="C591" t="str">
        <f t="shared" si="295"/>
        <v>NFSE</v>
      </c>
      <c r="D591" t="str">
        <f t="shared" si="296"/>
        <v>2656</v>
      </c>
      <c r="E591" t="str">
        <f t="shared" ref="E591:E622" si="303">"COM"</f>
        <v>COM</v>
      </c>
      <c r="F591" t="str">
        <f t="shared" si="297"/>
        <v>FARMÁCIA INDIANA LJ 1 (10126)</v>
      </c>
      <c r="G591" t="str">
        <f t="shared" si="298"/>
        <v>Serv.Prest. 20/01/2025 a 24/01/2025 - RPS: 430 - NFSe: 2656</v>
      </c>
      <c r="H591" t="str">
        <f t="shared" si="292"/>
        <v>05/02/2025</v>
      </c>
      <c r="I591" t="str">
        <f t="shared" si="299"/>
        <v>25/01/2025</v>
      </c>
      <c r="J591" t="str">
        <f t="shared" si="294"/>
        <v>05/02/2025</v>
      </c>
      <c r="M591">
        <v>303</v>
      </c>
      <c r="N591" t="str">
        <f t="shared" si="300"/>
        <v>RECEITAS COM ENTREGAS</v>
      </c>
      <c r="P591">
        <v>71.06</v>
      </c>
      <c r="Q591" t="str">
        <f>"FARMÁCIA INDIANA LJ 109 (10047)"</f>
        <v>FARMÁCIA INDIANA LJ 109 (10047)</v>
      </c>
      <c r="R591" t="str">
        <f t="shared" si="301"/>
        <v>RECEITAS COM ENTREGAS (303)</v>
      </c>
      <c r="S591">
        <v>963</v>
      </c>
      <c r="T591">
        <v>776</v>
      </c>
      <c r="U591" t="s">
        <v>19</v>
      </c>
    </row>
    <row r="592" spans="1:21">
      <c r="A592" t="str">
        <f t="shared" si="291"/>
        <v>05/02/2025</v>
      </c>
      <c r="B592" t="str">
        <f t="shared" si="302"/>
        <v>ENTRADA</v>
      </c>
      <c r="C592" t="str">
        <f t="shared" si="295"/>
        <v>NFSE</v>
      </c>
      <c r="D592" t="str">
        <f t="shared" si="296"/>
        <v>2656</v>
      </c>
      <c r="E592" t="str">
        <f t="shared" si="303"/>
        <v>COM</v>
      </c>
      <c r="F592" t="str">
        <f t="shared" si="297"/>
        <v>FARMÁCIA INDIANA LJ 1 (10126)</v>
      </c>
      <c r="G592" t="str">
        <f t="shared" si="298"/>
        <v>Serv.Prest. 20/01/2025 a 24/01/2025 - RPS: 430 - NFSe: 2656</v>
      </c>
      <c r="H592" t="str">
        <f t="shared" si="292"/>
        <v>05/02/2025</v>
      </c>
      <c r="I592" t="str">
        <f t="shared" si="299"/>
        <v>25/01/2025</v>
      </c>
      <c r="J592" t="str">
        <f t="shared" si="294"/>
        <v>05/02/2025</v>
      </c>
      <c r="M592">
        <v>303</v>
      </c>
      <c r="N592" t="str">
        <f t="shared" si="300"/>
        <v>RECEITAS COM ENTREGAS</v>
      </c>
      <c r="P592">
        <v>502.24</v>
      </c>
      <c r="Q592" t="str">
        <f>"FARMÁCIA INDIANA LJ 110 (10048)"</f>
        <v>FARMÁCIA INDIANA LJ 110 (10048)</v>
      </c>
      <c r="R592" t="str">
        <f t="shared" si="301"/>
        <v>RECEITAS COM ENTREGAS (303)</v>
      </c>
      <c r="S592">
        <v>963</v>
      </c>
      <c r="T592">
        <v>776</v>
      </c>
      <c r="U592" t="s">
        <v>19</v>
      </c>
    </row>
    <row r="593" spans="1:21">
      <c r="A593" t="str">
        <f t="shared" si="291"/>
        <v>05/02/2025</v>
      </c>
      <c r="B593" t="str">
        <f t="shared" si="302"/>
        <v>ENTRADA</v>
      </c>
      <c r="C593" t="str">
        <f t="shared" si="295"/>
        <v>NFSE</v>
      </c>
      <c r="D593" t="str">
        <f t="shared" si="296"/>
        <v>2656</v>
      </c>
      <c r="E593" t="str">
        <f t="shared" si="303"/>
        <v>COM</v>
      </c>
      <c r="F593" t="str">
        <f t="shared" si="297"/>
        <v>FARMÁCIA INDIANA LJ 1 (10126)</v>
      </c>
      <c r="G593" t="str">
        <f t="shared" si="298"/>
        <v>Serv.Prest. 20/01/2025 a 24/01/2025 - RPS: 430 - NFSe: 2656</v>
      </c>
      <c r="H593" t="str">
        <f t="shared" si="292"/>
        <v>05/02/2025</v>
      </c>
      <c r="I593" t="str">
        <f t="shared" si="299"/>
        <v>25/01/2025</v>
      </c>
      <c r="J593" t="str">
        <f t="shared" si="294"/>
        <v>05/02/2025</v>
      </c>
      <c r="M593">
        <v>303</v>
      </c>
      <c r="N593" t="str">
        <f t="shared" si="300"/>
        <v>RECEITAS COM ENTREGAS</v>
      </c>
      <c r="P593">
        <v>53.78</v>
      </c>
      <c r="Q593" t="str">
        <f>"FARMÁCIA INDIANA LJ 111 (10049)"</f>
        <v>FARMÁCIA INDIANA LJ 111 (10049)</v>
      </c>
      <c r="R593" t="str">
        <f t="shared" si="301"/>
        <v>RECEITAS COM ENTREGAS (303)</v>
      </c>
      <c r="S593">
        <v>963</v>
      </c>
      <c r="T593">
        <v>776</v>
      </c>
      <c r="U593" t="s">
        <v>19</v>
      </c>
    </row>
    <row r="594" spans="1:21">
      <c r="A594" t="str">
        <f t="shared" si="291"/>
        <v>05/02/2025</v>
      </c>
      <c r="B594" t="str">
        <f t="shared" si="302"/>
        <v>ENTRADA</v>
      </c>
      <c r="C594" t="str">
        <f t="shared" si="295"/>
        <v>NFSE</v>
      </c>
      <c r="D594" t="str">
        <f t="shared" si="296"/>
        <v>2656</v>
      </c>
      <c r="E594" t="str">
        <f t="shared" si="303"/>
        <v>COM</v>
      </c>
      <c r="F594" t="str">
        <f t="shared" si="297"/>
        <v>FARMÁCIA INDIANA LJ 1 (10126)</v>
      </c>
      <c r="G594" t="str">
        <f t="shared" si="298"/>
        <v>Serv.Prest. 20/01/2025 a 24/01/2025 - RPS: 430 - NFSe: 2656</v>
      </c>
      <c r="H594" t="str">
        <f t="shared" si="292"/>
        <v>05/02/2025</v>
      </c>
      <c r="I594" t="str">
        <f t="shared" si="299"/>
        <v>25/01/2025</v>
      </c>
      <c r="J594" t="str">
        <f t="shared" si="294"/>
        <v>05/02/2025</v>
      </c>
      <c r="M594">
        <v>303</v>
      </c>
      <c r="N594" t="str">
        <f t="shared" si="300"/>
        <v>RECEITAS COM ENTREGAS</v>
      </c>
      <c r="P594">
        <v>126.76</v>
      </c>
      <c r="Q594" t="str">
        <f>"FARMÁCIA INDIANA LJ 112 (10050)"</f>
        <v>FARMÁCIA INDIANA LJ 112 (10050)</v>
      </c>
      <c r="R594" t="str">
        <f t="shared" si="301"/>
        <v>RECEITAS COM ENTREGAS (303)</v>
      </c>
      <c r="S594">
        <v>963</v>
      </c>
      <c r="T594">
        <v>776</v>
      </c>
      <c r="U594" t="s">
        <v>19</v>
      </c>
    </row>
    <row r="595" spans="1:21">
      <c r="A595" t="str">
        <f t="shared" si="291"/>
        <v>05/02/2025</v>
      </c>
      <c r="B595" t="str">
        <f t="shared" si="302"/>
        <v>ENTRADA</v>
      </c>
      <c r="C595" t="str">
        <f t="shared" si="295"/>
        <v>NFSE</v>
      </c>
      <c r="D595" t="str">
        <f t="shared" si="296"/>
        <v>2656</v>
      </c>
      <c r="E595" t="str">
        <f t="shared" si="303"/>
        <v>COM</v>
      </c>
      <c r="F595" t="str">
        <f t="shared" si="297"/>
        <v>FARMÁCIA INDIANA LJ 1 (10126)</v>
      </c>
      <c r="G595" t="str">
        <f t="shared" si="298"/>
        <v>Serv.Prest. 20/01/2025 a 24/01/2025 - RPS: 430 - NFSe: 2656</v>
      </c>
      <c r="H595" t="str">
        <f t="shared" si="292"/>
        <v>05/02/2025</v>
      </c>
      <c r="I595" t="str">
        <f t="shared" si="299"/>
        <v>25/01/2025</v>
      </c>
      <c r="J595" t="str">
        <f t="shared" si="294"/>
        <v>05/02/2025</v>
      </c>
      <c r="M595">
        <v>303</v>
      </c>
      <c r="N595" t="str">
        <f t="shared" si="300"/>
        <v>RECEITAS COM ENTREGAS</v>
      </c>
      <c r="P595">
        <v>126.76</v>
      </c>
      <c r="Q595" t="str">
        <f>"FARMÁCIA INDIANA LJ 116 (10051)"</f>
        <v>FARMÁCIA INDIANA LJ 116 (10051)</v>
      </c>
      <c r="R595" t="str">
        <f t="shared" si="301"/>
        <v>RECEITAS COM ENTREGAS (303)</v>
      </c>
      <c r="S595">
        <v>963</v>
      </c>
      <c r="T595">
        <v>776</v>
      </c>
      <c r="U595" t="s">
        <v>19</v>
      </c>
    </row>
    <row r="596" spans="1:21">
      <c r="A596" t="str">
        <f t="shared" si="291"/>
        <v>05/02/2025</v>
      </c>
      <c r="B596" t="str">
        <f t="shared" si="302"/>
        <v>ENTRADA</v>
      </c>
      <c r="C596" t="str">
        <f t="shared" si="295"/>
        <v>NFSE</v>
      </c>
      <c r="D596" t="str">
        <f t="shared" si="296"/>
        <v>2656</v>
      </c>
      <c r="E596" t="str">
        <f t="shared" si="303"/>
        <v>COM</v>
      </c>
      <c r="F596" t="str">
        <f t="shared" si="297"/>
        <v>FARMÁCIA INDIANA LJ 1 (10126)</v>
      </c>
      <c r="G596" t="str">
        <f t="shared" si="298"/>
        <v>Serv.Prest. 20/01/2025 a 24/01/2025 - RPS: 430 - NFSe: 2656</v>
      </c>
      <c r="H596" t="str">
        <f t="shared" si="292"/>
        <v>05/02/2025</v>
      </c>
      <c r="I596" t="str">
        <f t="shared" si="299"/>
        <v>25/01/2025</v>
      </c>
      <c r="J596" t="str">
        <f t="shared" si="294"/>
        <v>05/02/2025</v>
      </c>
      <c r="M596">
        <v>303</v>
      </c>
      <c r="N596" t="str">
        <f t="shared" si="300"/>
        <v>RECEITAS COM ENTREGAS</v>
      </c>
      <c r="P596">
        <v>91.23</v>
      </c>
      <c r="Q596" t="str">
        <f>"FARMÁCIA INDIANA LJ 118 (10052)"</f>
        <v>FARMÁCIA INDIANA LJ 118 (10052)</v>
      </c>
      <c r="R596" t="str">
        <f t="shared" si="301"/>
        <v>RECEITAS COM ENTREGAS (303)</v>
      </c>
      <c r="S596">
        <v>963</v>
      </c>
      <c r="T596">
        <v>776</v>
      </c>
      <c r="U596" t="s">
        <v>19</v>
      </c>
    </row>
    <row r="597" spans="1:21">
      <c r="A597" t="str">
        <f t="shared" si="291"/>
        <v>05/02/2025</v>
      </c>
      <c r="B597" t="str">
        <f t="shared" si="302"/>
        <v>ENTRADA</v>
      </c>
      <c r="C597" t="str">
        <f t="shared" si="295"/>
        <v>NFSE</v>
      </c>
      <c r="D597" t="str">
        <f t="shared" si="296"/>
        <v>2656</v>
      </c>
      <c r="E597" t="str">
        <f t="shared" si="303"/>
        <v>COM</v>
      </c>
      <c r="F597" t="str">
        <f t="shared" si="297"/>
        <v>FARMÁCIA INDIANA LJ 1 (10126)</v>
      </c>
      <c r="G597" t="str">
        <f t="shared" si="298"/>
        <v>Serv.Prest. 20/01/2025 a 24/01/2025 - RPS: 430 - NFSe: 2656</v>
      </c>
      <c r="H597" t="str">
        <f t="shared" si="292"/>
        <v>05/02/2025</v>
      </c>
      <c r="I597" t="str">
        <f t="shared" si="299"/>
        <v>25/01/2025</v>
      </c>
      <c r="J597" t="str">
        <f t="shared" si="294"/>
        <v>05/02/2025</v>
      </c>
      <c r="M597">
        <v>303</v>
      </c>
      <c r="N597" t="str">
        <f t="shared" si="300"/>
        <v>RECEITAS COM ENTREGAS</v>
      </c>
      <c r="P597">
        <v>126.76</v>
      </c>
      <c r="Q597" t="str">
        <f>"FARMÁCIA INDIANA LJ 121 (10054)"</f>
        <v>FARMÁCIA INDIANA LJ 121 (10054)</v>
      </c>
      <c r="R597" t="str">
        <f t="shared" si="301"/>
        <v>RECEITAS COM ENTREGAS (303)</v>
      </c>
      <c r="S597">
        <v>963</v>
      </c>
      <c r="T597">
        <v>776</v>
      </c>
      <c r="U597" t="s">
        <v>19</v>
      </c>
    </row>
    <row r="598" spans="1:21">
      <c r="A598" t="str">
        <f t="shared" si="291"/>
        <v>05/02/2025</v>
      </c>
      <c r="B598" t="str">
        <f t="shared" si="302"/>
        <v>ENTRADA</v>
      </c>
      <c r="C598" t="str">
        <f t="shared" si="295"/>
        <v>NFSE</v>
      </c>
      <c r="D598" t="str">
        <f t="shared" si="296"/>
        <v>2656</v>
      </c>
      <c r="E598" t="str">
        <f t="shared" si="303"/>
        <v>COM</v>
      </c>
      <c r="F598" t="str">
        <f t="shared" si="297"/>
        <v>FARMÁCIA INDIANA LJ 1 (10126)</v>
      </c>
      <c r="G598" t="str">
        <f t="shared" si="298"/>
        <v>Serv.Prest. 20/01/2025 a 24/01/2025 - RPS: 430 - NFSe: 2656</v>
      </c>
      <c r="H598" t="str">
        <f t="shared" si="292"/>
        <v>05/02/2025</v>
      </c>
      <c r="I598" t="str">
        <f t="shared" si="299"/>
        <v>25/01/2025</v>
      </c>
      <c r="J598" t="str">
        <f t="shared" si="294"/>
        <v>05/02/2025</v>
      </c>
      <c r="M598">
        <v>303</v>
      </c>
      <c r="N598" t="str">
        <f t="shared" si="300"/>
        <v>RECEITAS COM ENTREGAS</v>
      </c>
      <c r="P598">
        <v>126.76</v>
      </c>
      <c r="Q598" t="str">
        <f>"FARMÁCIA INDIANA LJ 128 (10057)"</f>
        <v>FARMÁCIA INDIANA LJ 128 (10057)</v>
      </c>
      <c r="R598" t="str">
        <f t="shared" si="301"/>
        <v>RECEITAS COM ENTREGAS (303)</v>
      </c>
      <c r="S598">
        <v>963</v>
      </c>
      <c r="T598">
        <v>776</v>
      </c>
      <c r="U598" t="s">
        <v>19</v>
      </c>
    </row>
    <row r="599" spans="1:21">
      <c r="A599" t="str">
        <f t="shared" si="291"/>
        <v>05/02/2025</v>
      </c>
      <c r="B599" t="str">
        <f t="shared" si="302"/>
        <v>ENTRADA</v>
      </c>
      <c r="C599" t="str">
        <f t="shared" si="295"/>
        <v>NFSE</v>
      </c>
      <c r="D599" t="str">
        <f t="shared" si="296"/>
        <v>2656</v>
      </c>
      <c r="E599" t="str">
        <f t="shared" si="303"/>
        <v>COM</v>
      </c>
      <c r="F599" t="str">
        <f t="shared" si="297"/>
        <v>FARMÁCIA INDIANA LJ 1 (10126)</v>
      </c>
      <c r="G599" t="str">
        <f t="shared" si="298"/>
        <v>Serv.Prest. 20/01/2025 a 24/01/2025 - RPS: 430 - NFSe: 2656</v>
      </c>
      <c r="H599" t="str">
        <f t="shared" si="292"/>
        <v>05/02/2025</v>
      </c>
      <c r="I599" t="str">
        <f t="shared" si="299"/>
        <v>25/01/2025</v>
      </c>
      <c r="J599" t="str">
        <f t="shared" si="294"/>
        <v>05/02/2025</v>
      </c>
      <c r="M599">
        <v>303</v>
      </c>
      <c r="N599" t="str">
        <f t="shared" si="300"/>
        <v>RECEITAS COM ENTREGAS</v>
      </c>
      <c r="P599">
        <v>303.45999999999998</v>
      </c>
      <c r="Q599" t="str">
        <f>"FARMÁCIA INDIANA LJ 132 (10059)"</f>
        <v>FARMÁCIA INDIANA LJ 132 (10059)</v>
      </c>
      <c r="R599" t="str">
        <f t="shared" si="301"/>
        <v>RECEITAS COM ENTREGAS (303)</v>
      </c>
      <c r="S599">
        <v>963</v>
      </c>
      <c r="T599">
        <v>776</v>
      </c>
      <c r="U599" t="s">
        <v>19</v>
      </c>
    </row>
    <row r="600" spans="1:21">
      <c r="A600" t="str">
        <f t="shared" si="291"/>
        <v>05/02/2025</v>
      </c>
      <c r="B600" t="str">
        <f t="shared" si="302"/>
        <v>ENTRADA</v>
      </c>
      <c r="C600" t="str">
        <f t="shared" si="295"/>
        <v>NFSE</v>
      </c>
      <c r="D600" t="str">
        <f t="shared" si="296"/>
        <v>2656</v>
      </c>
      <c r="E600" t="str">
        <f t="shared" si="303"/>
        <v>COM</v>
      </c>
      <c r="F600" t="str">
        <f t="shared" si="297"/>
        <v>FARMÁCIA INDIANA LJ 1 (10126)</v>
      </c>
      <c r="G600" t="str">
        <f t="shared" si="298"/>
        <v>Serv.Prest. 20/01/2025 a 24/01/2025 - RPS: 430 - NFSe: 2656</v>
      </c>
      <c r="H600" t="str">
        <f t="shared" si="292"/>
        <v>05/02/2025</v>
      </c>
      <c r="I600" t="str">
        <f t="shared" si="299"/>
        <v>25/01/2025</v>
      </c>
      <c r="J600" t="str">
        <f t="shared" si="294"/>
        <v>05/02/2025</v>
      </c>
      <c r="M600">
        <v>303</v>
      </c>
      <c r="N600" t="str">
        <f t="shared" si="300"/>
        <v>RECEITAS COM ENTREGAS</v>
      </c>
      <c r="P600">
        <v>38.409999999999997</v>
      </c>
      <c r="Q600" t="str">
        <f>"FARMÁCIA INDIANA LJ 140 (10064)"</f>
        <v>FARMÁCIA INDIANA LJ 140 (10064)</v>
      </c>
      <c r="R600" t="str">
        <f t="shared" si="301"/>
        <v>RECEITAS COM ENTREGAS (303)</v>
      </c>
      <c r="S600">
        <v>963</v>
      </c>
      <c r="T600">
        <v>776</v>
      </c>
      <c r="U600" t="s">
        <v>19</v>
      </c>
    </row>
    <row r="601" spans="1:21">
      <c r="A601" t="str">
        <f t="shared" ref="A601:A632" si="304">("05/02/2025")</f>
        <v>05/02/2025</v>
      </c>
      <c r="B601" t="str">
        <f t="shared" si="302"/>
        <v>ENTRADA</v>
      </c>
      <c r="C601" t="str">
        <f t="shared" si="295"/>
        <v>NFSE</v>
      </c>
      <c r="D601" t="str">
        <f t="shared" si="296"/>
        <v>2656</v>
      </c>
      <c r="E601" t="str">
        <f t="shared" si="303"/>
        <v>COM</v>
      </c>
      <c r="F601" t="str">
        <f t="shared" si="297"/>
        <v>FARMÁCIA INDIANA LJ 1 (10126)</v>
      </c>
      <c r="G601" t="str">
        <f t="shared" si="298"/>
        <v>Serv.Prest. 20/01/2025 a 24/01/2025 - RPS: 430 - NFSe: 2656</v>
      </c>
      <c r="H601" t="str">
        <f t="shared" ref="H601:H632" si="305">("05/02/2025")</f>
        <v>05/02/2025</v>
      </c>
      <c r="I601" t="str">
        <f t="shared" si="299"/>
        <v>25/01/2025</v>
      </c>
      <c r="J601" t="str">
        <f t="shared" ref="J601:J632" si="306">("05/02/2025")</f>
        <v>05/02/2025</v>
      </c>
      <c r="M601">
        <v>303</v>
      </c>
      <c r="N601" t="str">
        <f t="shared" si="300"/>
        <v>RECEITAS COM ENTREGAS</v>
      </c>
      <c r="P601">
        <v>20.170000000000002</v>
      </c>
      <c r="Q601" t="str">
        <f>"FARMÁCIA INDIANA LJ 141 (10065)"</f>
        <v>FARMÁCIA INDIANA LJ 141 (10065)</v>
      </c>
      <c r="R601" t="str">
        <f t="shared" si="301"/>
        <v>RECEITAS COM ENTREGAS (303)</v>
      </c>
      <c r="S601">
        <v>963</v>
      </c>
      <c r="T601">
        <v>776</v>
      </c>
      <c r="U601" t="s">
        <v>19</v>
      </c>
    </row>
    <row r="602" spans="1:21">
      <c r="A602" t="str">
        <f t="shared" si="304"/>
        <v>05/02/2025</v>
      </c>
      <c r="B602" t="str">
        <f t="shared" si="302"/>
        <v>ENTRADA</v>
      </c>
      <c r="C602" t="str">
        <f t="shared" si="295"/>
        <v>NFSE</v>
      </c>
      <c r="D602" t="str">
        <f t="shared" si="296"/>
        <v>2656</v>
      </c>
      <c r="E602" t="str">
        <f t="shared" si="303"/>
        <v>COM</v>
      </c>
      <c r="F602" t="str">
        <f t="shared" si="297"/>
        <v>FARMÁCIA INDIANA LJ 1 (10126)</v>
      </c>
      <c r="G602" t="str">
        <f t="shared" si="298"/>
        <v>Serv.Prest. 20/01/2025 a 24/01/2025 - RPS: 430 - NFSe: 2656</v>
      </c>
      <c r="H602" t="str">
        <f t="shared" si="305"/>
        <v>05/02/2025</v>
      </c>
      <c r="I602" t="str">
        <f t="shared" si="299"/>
        <v>25/01/2025</v>
      </c>
      <c r="J602" t="str">
        <f t="shared" si="306"/>
        <v>05/02/2025</v>
      </c>
      <c r="M602">
        <v>303</v>
      </c>
      <c r="N602" t="str">
        <f t="shared" si="300"/>
        <v>RECEITAS COM ENTREGAS</v>
      </c>
      <c r="P602">
        <v>401.41</v>
      </c>
      <c r="Q602" t="str">
        <f>"FARMÁCIA INDIANA LJ 142 (10066)"</f>
        <v>FARMÁCIA INDIANA LJ 142 (10066)</v>
      </c>
      <c r="R602" t="str">
        <f t="shared" si="301"/>
        <v>RECEITAS COM ENTREGAS (303)</v>
      </c>
      <c r="S602">
        <v>963</v>
      </c>
      <c r="T602">
        <v>776</v>
      </c>
      <c r="U602" t="s">
        <v>19</v>
      </c>
    </row>
    <row r="603" spans="1:21">
      <c r="A603" t="str">
        <f t="shared" si="304"/>
        <v>05/02/2025</v>
      </c>
      <c r="B603" t="str">
        <f t="shared" si="302"/>
        <v>ENTRADA</v>
      </c>
      <c r="C603" t="str">
        <f t="shared" si="295"/>
        <v>NFSE</v>
      </c>
      <c r="D603" t="str">
        <f t="shared" si="296"/>
        <v>2656</v>
      </c>
      <c r="E603" t="str">
        <f t="shared" si="303"/>
        <v>COM</v>
      </c>
      <c r="F603" t="str">
        <f t="shared" si="297"/>
        <v>FARMÁCIA INDIANA LJ 1 (10126)</v>
      </c>
      <c r="G603" t="str">
        <f t="shared" si="298"/>
        <v>Serv.Prest. 20/01/2025 a 24/01/2025 - RPS: 430 - NFSe: 2656</v>
      </c>
      <c r="H603" t="str">
        <f t="shared" si="305"/>
        <v>05/02/2025</v>
      </c>
      <c r="I603" t="str">
        <f t="shared" si="299"/>
        <v>25/01/2025</v>
      </c>
      <c r="J603" t="str">
        <f t="shared" si="306"/>
        <v>05/02/2025</v>
      </c>
      <c r="M603">
        <v>303</v>
      </c>
      <c r="N603" t="str">
        <f t="shared" si="300"/>
        <v>RECEITAS COM ENTREGAS</v>
      </c>
      <c r="P603">
        <v>54.74</v>
      </c>
      <c r="Q603" t="str">
        <f>"FARMÁCIA INDIANA LJ 143 (10067)"</f>
        <v>FARMÁCIA INDIANA LJ 143 (10067)</v>
      </c>
      <c r="R603" t="str">
        <f t="shared" si="301"/>
        <v>RECEITAS COM ENTREGAS (303)</v>
      </c>
      <c r="S603">
        <v>963</v>
      </c>
      <c r="T603">
        <v>776</v>
      </c>
      <c r="U603" t="s">
        <v>19</v>
      </c>
    </row>
    <row r="604" spans="1:21">
      <c r="A604" t="str">
        <f t="shared" si="304"/>
        <v>05/02/2025</v>
      </c>
      <c r="B604" t="str">
        <f t="shared" si="302"/>
        <v>ENTRADA</v>
      </c>
      <c r="C604" t="str">
        <f t="shared" si="295"/>
        <v>NFSE</v>
      </c>
      <c r="D604" t="str">
        <f t="shared" si="296"/>
        <v>2656</v>
      </c>
      <c r="E604" t="str">
        <f t="shared" si="303"/>
        <v>COM</v>
      </c>
      <c r="F604" t="str">
        <f t="shared" si="297"/>
        <v>FARMÁCIA INDIANA LJ 1 (10126)</v>
      </c>
      <c r="G604" t="str">
        <f t="shared" si="298"/>
        <v>Serv.Prest. 20/01/2025 a 24/01/2025 - RPS: 430 - NFSe: 2656</v>
      </c>
      <c r="H604" t="str">
        <f t="shared" si="305"/>
        <v>05/02/2025</v>
      </c>
      <c r="I604" t="str">
        <f t="shared" si="299"/>
        <v>25/01/2025</v>
      </c>
      <c r="J604" t="str">
        <f t="shared" si="306"/>
        <v>05/02/2025</v>
      </c>
      <c r="M604">
        <v>303</v>
      </c>
      <c r="N604" t="str">
        <f t="shared" si="300"/>
        <v>RECEITAS COM ENTREGAS</v>
      </c>
      <c r="P604">
        <v>110.43</v>
      </c>
      <c r="Q604" t="str">
        <f>"FARMÁCIA INDIANA LJ 152 (10069)"</f>
        <v>FARMÁCIA INDIANA LJ 152 (10069)</v>
      </c>
      <c r="R604" t="str">
        <f t="shared" si="301"/>
        <v>RECEITAS COM ENTREGAS (303)</v>
      </c>
      <c r="S604">
        <v>963</v>
      </c>
      <c r="T604">
        <v>776</v>
      </c>
      <c r="U604" t="s">
        <v>19</v>
      </c>
    </row>
    <row r="605" spans="1:21">
      <c r="A605" t="str">
        <f t="shared" si="304"/>
        <v>05/02/2025</v>
      </c>
      <c r="B605" t="str">
        <f t="shared" si="302"/>
        <v>ENTRADA</v>
      </c>
      <c r="C605" t="str">
        <f t="shared" si="295"/>
        <v>NFSE</v>
      </c>
      <c r="D605" t="str">
        <f t="shared" si="296"/>
        <v>2656</v>
      </c>
      <c r="E605" t="str">
        <f t="shared" si="303"/>
        <v>COM</v>
      </c>
      <c r="F605" t="str">
        <f t="shared" si="297"/>
        <v>FARMÁCIA INDIANA LJ 1 (10126)</v>
      </c>
      <c r="G605" t="str">
        <f t="shared" si="298"/>
        <v>Serv.Prest. 20/01/2025 a 24/01/2025 - RPS: 430 - NFSe: 2656</v>
      </c>
      <c r="H605" t="str">
        <f t="shared" si="305"/>
        <v>05/02/2025</v>
      </c>
      <c r="I605" t="str">
        <f t="shared" si="299"/>
        <v>25/01/2025</v>
      </c>
      <c r="J605" t="str">
        <f t="shared" si="306"/>
        <v>05/02/2025</v>
      </c>
      <c r="M605">
        <v>303</v>
      </c>
      <c r="N605" t="str">
        <f t="shared" si="300"/>
        <v>RECEITAS COM ENTREGAS</v>
      </c>
      <c r="P605">
        <v>39.369999999999997</v>
      </c>
      <c r="Q605" t="str">
        <f>"FARMÁCIA INDIANA LJ 154 (10070)"</f>
        <v>FARMÁCIA INDIANA LJ 154 (10070)</v>
      </c>
      <c r="R605" t="str">
        <f t="shared" si="301"/>
        <v>RECEITAS COM ENTREGAS (303)</v>
      </c>
      <c r="S605">
        <v>963</v>
      </c>
      <c r="T605">
        <v>776</v>
      </c>
      <c r="U605" t="s">
        <v>19</v>
      </c>
    </row>
    <row r="606" spans="1:21">
      <c r="A606" t="str">
        <f t="shared" si="304"/>
        <v>05/02/2025</v>
      </c>
      <c r="B606" t="str">
        <f t="shared" si="302"/>
        <v>ENTRADA</v>
      </c>
      <c r="C606" t="str">
        <f t="shared" si="295"/>
        <v>NFSE</v>
      </c>
      <c r="D606" t="str">
        <f t="shared" si="296"/>
        <v>2656</v>
      </c>
      <c r="E606" t="str">
        <f t="shared" si="303"/>
        <v>COM</v>
      </c>
      <c r="F606" t="str">
        <f t="shared" si="297"/>
        <v>FARMÁCIA INDIANA LJ 1 (10126)</v>
      </c>
      <c r="G606" t="str">
        <f t="shared" si="298"/>
        <v>Serv.Prest. 20/01/2025 a 24/01/2025 - RPS: 430 - NFSe: 2656</v>
      </c>
      <c r="H606" t="str">
        <f t="shared" si="305"/>
        <v>05/02/2025</v>
      </c>
      <c r="I606" t="str">
        <f t="shared" si="299"/>
        <v>25/01/2025</v>
      </c>
      <c r="J606" t="str">
        <f t="shared" si="306"/>
        <v>05/02/2025</v>
      </c>
      <c r="M606">
        <v>303</v>
      </c>
      <c r="N606" t="str">
        <f t="shared" si="300"/>
        <v>RECEITAS COM ENTREGAS</v>
      </c>
      <c r="P606">
        <v>352.43</v>
      </c>
      <c r="Q606" t="str">
        <f>"FARMÁCIA INDIANA LJ 171 (10074)"</f>
        <v>FARMÁCIA INDIANA LJ 171 (10074)</v>
      </c>
      <c r="R606" t="str">
        <f t="shared" si="301"/>
        <v>RECEITAS COM ENTREGAS (303)</v>
      </c>
      <c r="S606">
        <v>963</v>
      </c>
      <c r="T606">
        <v>776</v>
      </c>
      <c r="U606" t="s">
        <v>19</v>
      </c>
    </row>
    <row r="607" spans="1:21">
      <c r="A607" t="str">
        <f t="shared" si="304"/>
        <v>05/02/2025</v>
      </c>
      <c r="B607" t="str">
        <f t="shared" si="302"/>
        <v>ENTRADA</v>
      </c>
      <c r="C607" t="str">
        <f t="shared" ref="C607:C638" si="307">"NFSE"</f>
        <v>NFSE</v>
      </c>
      <c r="D607" t="str">
        <f t="shared" si="296"/>
        <v>2656</v>
      </c>
      <c r="E607" t="str">
        <f t="shared" si="303"/>
        <v>COM</v>
      </c>
      <c r="F607" t="str">
        <f t="shared" si="297"/>
        <v>FARMÁCIA INDIANA LJ 1 (10126)</v>
      </c>
      <c r="G607" t="str">
        <f t="shared" si="298"/>
        <v>Serv.Prest. 20/01/2025 a 24/01/2025 - RPS: 430 - NFSe: 2656</v>
      </c>
      <c r="H607" t="str">
        <f t="shared" si="305"/>
        <v>05/02/2025</v>
      </c>
      <c r="I607" t="str">
        <f t="shared" ref="I607:I637" si="308">("25/01/2025")</f>
        <v>25/01/2025</v>
      </c>
      <c r="J607" t="str">
        <f t="shared" si="306"/>
        <v>05/02/2025</v>
      </c>
      <c r="M607">
        <v>303</v>
      </c>
      <c r="N607" t="str">
        <f t="shared" ref="N607:N638" si="309">"RECEITAS COM ENTREGAS"</f>
        <v>RECEITAS COM ENTREGAS</v>
      </c>
      <c r="P607">
        <v>131.56</v>
      </c>
      <c r="Q607" t="str">
        <f>"FARMÁCIA INDIANA LJ 175 (10076)"</f>
        <v>FARMÁCIA INDIANA LJ 175 (10076)</v>
      </c>
      <c r="R607" t="str">
        <f t="shared" ref="R607:R638" si="310">"RECEITAS COM ENTREGAS (303)"</f>
        <v>RECEITAS COM ENTREGAS (303)</v>
      </c>
      <c r="S607">
        <v>963</v>
      </c>
      <c r="T607">
        <v>776</v>
      </c>
      <c r="U607" t="s">
        <v>19</v>
      </c>
    </row>
    <row r="608" spans="1:21">
      <c r="A608" t="str">
        <f t="shared" si="304"/>
        <v>05/02/2025</v>
      </c>
      <c r="B608" t="str">
        <f t="shared" si="302"/>
        <v>ENTRADA</v>
      </c>
      <c r="C608" t="str">
        <f t="shared" si="307"/>
        <v>NFSE</v>
      </c>
      <c r="D608" t="str">
        <f t="shared" si="296"/>
        <v>2656</v>
      </c>
      <c r="E608" t="str">
        <f t="shared" si="303"/>
        <v>COM</v>
      </c>
      <c r="F608" t="str">
        <f t="shared" si="297"/>
        <v>FARMÁCIA INDIANA LJ 1 (10126)</v>
      </c>
      <c r="G608" t="str">
        <f t="shared" si="298"/>
        <v>Serv.Prest. 20/01/2025 a 24/01/2025 - RPS: 430 - NFSe: 2656</v>
      </c>
      <c r="H608" t="str">
        <f t="shared" si="305"/>
        <v>05/02/2025</v>
      </c>
      <c r="I608" t="str">
        <f t="shared" si="308"/>
        <v>25/01/2025</v>
      </c>
      <c r="J608" t="str">
        <f t="shared" si="306"/>
        <v>05/02/2025</v>
      </c>
      <c r="M608">
        <v>303</v>
      </c>
      <c r="N608" t="str">
        <f t="shared" si="309"/>
        <v>RECEITAS COM ENTREGAS</v>
      </c>
      <c r="P608">
        <v>115.24</v>
      </c>
      <c r="Q608" t="str">
        <f>"FARMÁCIA INDIANA LJ 178 (10077)"</f>
        <v>FARMÁCIA INDIANA LJ 178 (10077)</v>
      </c>
      <c r="R608" t="str">
        <f t="shared" si="310"/>
        <v>RECEITAS COM ENTREGAS (303)</v>
      </c>
      <c r="S608">
        <v>963</v>
      </c>
      <c r="T608">
        <v>776</v>
      </c>
      <c r="U608" t="s">
        <v>19</v>
      </c>
    </row>
    <row r="609" spans="1:21">
      <c r="A609" t="str">
        <f t="shared" si="304"/>
        <v>05/02/2025</v>
      </c>
      <c r="B609" t="str">
        <f t="shared" si="302"/>
        <v>ENTRADA</v>
      </c>
      <c r="C609" t="str">
        <f t="shared" si="307"/>
        <v>NFSE</v>
      </c>
      <c r="D609" t="str">
        <f t="shared" si="296"/>
        <v>2656</v>
      </c>
      <c r="E609" t="str">
        <f t="shared" si="303"/>
        <v>COM</v>
      </c>
      <c r="F609" t="str">
        <f t="shared" si="297"/>
        <v>FARMÁCIA INDIANA LJ 1 (10126)</v>
      </c>
      <c r="G609" t="str">
        <f t="shared" si="298"/>
        <v>Serv.Prest. 20/01/2025 a 24/01/2025 - RPS: 430 - NFSe: 2656</v>
      </c>
      <c r="H609" t="str">
        <f t="shared" si="305"/>
        <v>05/02/2025</v>
      </c>
      <c r="I609" t="str">
        <f t="shared" si="308"/>
        <v>25/01/2025</v>
      </c>
      <c r="J609" t="str">
        <f t="shared" si="306"/>
        <v>05/02/2025</v>
      </c>
      <c r="M609">
        <v>303</v>
      </c>
      <c r="N609" t="str">
        <f t="shared" si="309"/>
        <v>RECEITAS COM ENTREGAS</v>
      </c>
      <c r="P609">
        <v>79.709999999999994</v>
      </c>
      <c r="Q609" t="str">
        <f>"FARMÁCIA INDIANA LJ 182 (10079)"</f>
        <v>FARMÁCIA INDIANA LJ 182 (10079)</v>
      </c>
      <c r="R609" t="str">
        <f t="shared" si="310"/>
        <v>RECEITAS COM ENTREGAS (303)</v>
      </c>
      <c r="S609">
        <v>963</v>
      </c>
      <c r="T609">
        <v>776</v>
      </c>
      <c r="U609" t="s">
        <v>19</v>
      </c>
    </row>
    <row r="610" spans="1:21">
      <c r="A610" t="str">
        <f t="shared" si="304"/>
        <v>05/02/2025</v>
      </c>
      <c r="B610" t="str">
        <f t="shared" si="302"/>
        <v>ENTRADA</v>
      </c>
      <c r="C610" t="str">
        <f t="shared" si="307"/>
        <v>NFSE</v>
      </c>
      <c r="D610" t="str">
        <f t="shared" si="296"/>
        <v>2656</v>
      </c>
      <c r="E610" t="str">
        <f t="shared" si="303"/>
        <v>COM</v>
      </c>
      <c r="F610" t="str">
        <f t="shared" si="297"/>
        <v>FARMÁCIA INDIANA LJ 1 (10126)</v>
      </c>
      <c r="G610" t="str">
        <f t="shared" si="298"/>
        <v>Serv.Prest. 20/01/2025 a 24/01/2025 - RPS: 430 - NFSe: 2656</v>
      </c>
      <c r="H610" t="str">
        <f t="shared" si="305"/>
        <v>05/02/2025</v>
      </c>
      <c r="I610" t="str">
        <f t="shared" si="308"/>
        <v>25/01/2025</v>
      </c>
      <c r="J610" t="str">
        <f t="shared" si="306"/>
        <v>05/02/2025</v>
      </c>
      <c r="M610">
        <v>303</v>
      </c>
      <c r="N610" t="str">
        <f t="shared" si="309"/>
        <v>RECEITAS COM ENTREGAS</v>
      </c>
      <c r="P610">
        <v>40.33</v>
      </c>
      <c r="Q610" t="str">
        <f>"FARMÁCIA INDIANA LJ 184 (10080)"</f>
        <v>FARMÁCIA INDIANA LJ 184 (10080)</v>
      </c>
      <c r="R610" t="str">
        <f t="shared" si="310"/>
        <v>RECEITAS COM ENTREGAS (303)</v>
      </c>
      <c r="S610">
        <v>963</v>
      </c>
      <c r="T610">
        <v>776</v>
      </c>
      <c r="U610" t="s">
        <v>19</v>
      </c>
    </row>
    <row r="611" spans="1:21">
      <c r="A611" t="str">
        <f t="shared" si="304"/>
        <v>05/02/2025</v>
      </c>
      <c r="B611" t="str">
        <f t="shared" si="302"/>
        <v>ENTRADA</v>
      </c>
      <c r="C611" t="str">
        <f t="shared" si="307"/>
        <v>NFSE</v>
      </c>
      <c r="D611" t="str">
        <f t="shared" si="296"/>
        <v>2656</v>
      </c>
      <c r="E611" t="str">
        <f t="shared" si="303"/>
        <v>COM</v>
      </c>
      <c r="F611" t="str">
        <f t="shared" si="297"/>
        <v>FARMÁCIA INDIANA LJ 1 (10126)</v>
      </c>
      <c r="G611" t="str">
        <f t="shared" si="298"/>
        <v>Serv.Prest. 20/01/2025 a 24/01/2025 - RPS: 430 - NFSe: 2656</v>
      </c>
      <c r="H611" t="str">
        <f t="shared" si="305"/>
        <v>05/02/2025</v>
      </c>
      <c r="I611" t="str">
        <f t="shared" si="308"/>
        <v>25/01/2025</v>
      </c>
      <c r="J611" t="str">
        <f t="shared" si="306"/>
        <v>05/02/2025</v>
      </c>
      <c r="M611">
        <v>303</v>
      </c>
      <c r="N611" t="str">
        <f t="shared" si="309"/>
        <v>RECEITAS COM ENTREGAS</v>
      </c>
      <c r="P611">
        <v>79.709999999999994</v>
      </c>
      <c r="Q611" t="str">
        <f>"FARMÁCIA INDIANA LJ 186 (10081)"</f>
        <v>FARMÁCIA INDIANA LJ 186 (10081)</v>
      </c>
      <c r="R611" t="str">
        <f t="shared" si="310"/>
        <v>RECEITAS COM ENTREGAS (303)</v>
      </c>
      <c r="S611">
        <v>963</v>
      </c>
      <c r="T611">
        <v>776</v>
      </c>
      <c r="U611" t="s">
        <v>19</v>
      </c>
    </row>
    <row r="612" spans="1:21">
      <c r="A612" t="str">
        <f t="shared" si="304"/>
        <v>05/02/2025</v>
      </c>
      <c r="B612" t="str">
        <f t="shared" si="302"/>
        <v>ENTRADA</v>
      </c>
      <c r="C612" t="str">
        <f t="shared" si="307"/>
        <v>NFSE</v>
      </c>
      <c r="D612" t="str">
        <f t="shared" si="296"/>
        <v>2656</v>
      </c>
      <c r="E612" t="str">
        <f t="shared" si="303"/>
        <v>COM</v>
      </c>
      <c r="F612" t="str">
        <f t="shared" si="297"/>
        <v>FARMÁCIA INDIANA LJ 1 (10126)</v>
      </c>
      <c r="G612" t="str">
        <f t="shared" si="298"/>
        <v>Serv.Prest. 20/01/2025 a 24/01/2025 - RPS: 430 - NFSe: 2656</v>
      </c>
      <c r="H612" t="str">
        <f t="shared" si="305"/>
        <v>05/02/2025</v>
      </c>
      <c r="I612" t="str">
        <f t="shared" si="308"/>
        <v>25/01/2025</v>
      </c>
      <c r="J612" t="str">
        <f t="shared" si="306"/>
        <v>05/02/2025</v>
      </c>
      <c r="M612">
        <v>303</v>
      </c>
      <c r="N612" t="str">
        <f t="shared" si="309"/>
        <v>RECEITAS COM ENTREGAS</v>
      </c>
      <c r="P612">
        <v>39.369999999999997</v>
      </c>
      <c r="Q612" t="str">
        <f>"FARMÁCIA INDIANA LJ 192 (10082)"</f>
        <v>FARMÁCIA INDIANA LJ 192 (10082)</v>
      </c>
      <c r="R612" t="str">
        <f t="shared" si="310"/>
        <v>RECEITAS COM ENTREGAS (303)</v>
      </c>
      <c r="S612">
        <v>963</v>
      </c>
      <c r="T612">
        <v>776</v>
      </c>
      <c r="U612" t="s">
        <v>19</v>
      </c>
    </row>
    <row r="613" spans="1:21">
      <c r="A613" t="str">
        <f t="shared" si="304"/>
        <v>05/02/2025</v>
      </c>
      <c r="B613" t="str">
        <f t="shared" si="302"/>
        <v>ENTRADA</v>
      </c>
      <c r="C613" t="str">
        <f t="shared" si="307"/>
        <v>NFSE</v>
      </c>
      <c r="D613" t="str">
        <f t="shared" si="296"/>
        <v>2656</v>
      </c>
      <c r="E613" t="str">
        <f t="shared" si="303"/>
        <v>COM</v>
      </c>
      <c r="F613" t="str">
        <f t="shared" si="297"/>
        <v>FARMÁCIA INDIANA LJ 1 (10126)</v>
      </c>
      <c r="G613" t="str">
        <f t="shared" si="298"/>
        <v>Serv.Prest. 20/01/2025 a 24/01/2025 - RPS: 430 - NFSe: 2656</v>
      </c>
      <c r="H613" t="str">
        <f t="shared" si="305"/>
        <v>05/02/2025</v>
      </c>
      <c r="I613" t="str">
        <f t="shared" si="308"/>
        <v>25/01/2025</v>
      </c>
      <c r="J613" t="str">
        <f t="shared" si="306"/>
        <v>05/02/2025</v>
      </c>
      <c r="M613">
        <v>303</v>
      </c>
      <c r="N613" t="str">
        <f t="shared" si="309"/>
        <v>RECEITAS COM ENTREGAS</v>
      </c>
      <c r="P613">
        <v>40.33</v>
      </c>
      <c r="Q613" t="str">
        <f>"FARMÁCIA INDIANA LJ 195 (10083)"</f>
        <v>FARMÁCIA INDIANA LJ 195 (10083)</v>
      </c>
      <c r="R613" t="str">
        <f t="shared" si="310"/>
        <v>RECEITAS COM ENTREGAS (303)</v>
      </c>
      <c r="S613">
        <v>963</v>
      </c>
      <c r="T613">
        <v>776</v>
      </c>
      <c r="U613" t="s">
        <v>19</v>
      </c>
    </row>
    <row r="614" spans="1:21">
      <c r="A614" t="str">
        <f t="shared" si="304"/>
        <v>05/02/2025</v>
      </c>
      <c r="B614" t="str">
        <f t="shared" si="302"/>
        <v>ENTRADA</v>
      </c>
      <c r="C614" t="str">
        <f t="shared" si="307"/>
        <v>NFSE</v>
      </c>
      <c r="D614" t="str">
        <f t="shared" si="296"/>
        <v>2656</v>
      </c>
      <c r="E614" t="str">
        <f t="shared" si="303"/>
        <v>COM</v>
      </c>
      <c r="F614" t="str">
        <f t="shared" si="297"/>
        <v>FARMÁCIA INDIANA LJ 1 (10126)</v>
      </c>
      <c r="G614" t="str">
        <f t="shared" si="298"/>
        <v>Serv.Prest. 20/01/2025 a 24/01/2025 - RPS: 430 - NFSe: 2656</v>
      </c>
      <c r="H614" t="str">
        <f t="shared" si="305"/>
        <v>05/02/2025</v>
      </c>
      <c r="I614" t="str">
        <f t="shared" si="308"/>
        <v>25/01/2025</v>
      </c>
      <c r="J614" t="str">
        <f t="shared" si="306"/>
        <v>05/02/2025</v>
      </c>
      <c r="M614">
        <v>303</v>
      </c>
      <c r="N614" t="str">
        <f t="shared" si="309"/>
        <v>RECEITAS COM ENTREGAS</v>
      </c>
      <c r="P614">
        <v>159.41</v>
      </c>
      <c r="Q614" t="str">
        <f>"FARMÁCIA INDIANA LJ 202 (10085)"</f>
        <v>FARMÁCIA INDIANA LJ 202 (10085)</v>
      </c>
      <c r="R614" t="str">
        <f t="shared" si="310"/>
        <v>RECEITAS COM ENTREGAS (303)</v>
      </c>
      <c r="S614">
        <v>963</v>
      </c>
      <c r="T614">
        <v>776</v>
      </c>
      <c r="U614" t="s">
        <v>19</v>
      </c>
    </row>
    <row r="615" spans="1:21">
      <c r="A615" t="str">
        <f t="shared" si="304"/>
        <v>05/02/2025</v>
      </c>
      <c r="B615" t="str">
        <f t="shared" si="302"/>
        <v>ENTRADA</v>
      </c>
      <c r="C615" t="str">
        <f t="shared" si="307"/>
        <v>NFSE</v>
      </c>
      <c r="D615" t="str">
        <f t="shared" si="296"/>
        <v>2656</v>
      </c>
      <c r="E615" t="str">
        <f t="shared" si="303"/>
        <v>COM</v>
      </c>
      <c r="F615" t="str">
        <f t="shared" si="297"/>
        <v>FARMÁCIA INDIANA LJ 1 (10126)</v>
      </c>
      <c r="G615" t="str">
        <f t="shared" si="298"/>
        <v>Serv.Prest. 20/01/2025 a 24/01/2025 - RPS: 430 - NFSe: 2656</v>
      </c>
      <c r="H615" t="str">
        <f t="shared" si="305"/>
        <v>05/02/2025</v>
      </c>
      <c r="I615" t="str">
        <f t="shared" si="308"/>
        <v>25/01/2025</v>
      </c>
      <c r="J615" t="str">
        <f t="shared" si="306"/>
        <v>05/02/2025</v>
      </c>
      <c r="M615">
        <v>303</v>
      </c>
      <c r="N615" t="str">
        <f t="shared" si="309"/>
        <v>RECEITAS COM ENTREGAS</v>
      </c>
      <c r="P615">
        <v>106.59</v>
      </c>
      <c r="Q615" t="str">
        <f>"FARMÁCIA INDIANA LJ 204 (10087)"</f>
        <v>FARMÁCIA INDIANA LJ 204 (10087)</v>
      </c>
      <c r="R615" t="str">
        <f t="shared" si="310"/>
        <v>RECEITAS COM ENTREGAS (303)</v>
      </c>
      <c r="S615">
        <v>963</v>
      </c>
      <c r="T615">
        <v>776</v>
      </c>
      <c r="U615" t="s">
        <v>19</v>
      </c>
    </row>
    <row r="616" spans="1:21">
      <c r="A616" t="str">
        <f t="shared" si="304"/>
        <v>05/02/2025</v>
      </c>
      <c r="B616" t="str">
        <f t="shared" si="302"/>
        <v>ENTRADA</v>
      </c>
      <c r="C616" t="str">
        <f t="shared" si="307"/>
        <v>NFSE</v>
      </c>
      <c r="D616" t="str">
        <f t="shared" si="296"/>
        <v>2656</v>
      </c>
      <c r="E616" t="str">
        <f t="shared" si="303"/>
        <v>COM</v>
      </c>
      <c r="F616" t="str">
        <f t="shared" si="297"/>
        <v>FARMÁCIA INDIANA LJ 1 (10126)</v>
      </c>
      <c r="G616" t="str">
        <f t="shared" si="298"/>
        <v>Serv.Prest. 20/01/2025 a 24/01/2025 - RPS: 430 - NFSe: 2656</v>
      </c>
      <c r="H616" t="str">
        <f t="shared" si="305"/>
        <v>05/02/2025</v>
      </c>
      <c r="I616" t="str">
        <f t="shared" si="308"/>
        <v>25/01/2025</v>
      </c>
      <c r="J616" t="str">
        <f t="shared" si="306"/>
        <v>05/02/2025</v>
      </c>
      <c r="M616">
        <v>303</v>
      </c>
      <c r="N616" t="str">
        <f t="shared" si="309"/>
        <v>RECEITAS COM ENTREGAS</v>
      </c>
      <c r="P616">
        <v>106.59</v>
      </c>
      <c r="Q616" t="str">
        <f>"FARMÁCIA INDIANA LJ 207 (10088)"</f>
        <v>FARMÁCIA INDIANA LJ 207 (10088)</v>
      </c>
      <c r="R616" t="str">
        <f t="shared" si="310"/>
        <v>RECEITAS COM ENTREGAS (303)</v>
      </c>
      <c r="S616">
        <v>963</v>
      </c>
      <c r="T616">
        <v>776</v>
      </c>
      <c r="U616" t="s">
        <v>19</v>
      </c>
    </row>
    <row r="617" spans="1:21">
      <c r="A617" t="str">
        <f t="shared" si="304"/>
        <v>05/02/2025</v>
      </c>
      <c r="B617" t="str">
        <f t="shared" si="302"/>
        <v>ENTRADA</v>
      </c>
      <c r="C617" t="str">
        <f t="shared" si="307"/>
        <v>NFSE</v>
      </c>
      <c r="D617" t="str">
        <f t="shared" si="296"/>
        <v>2656</v>
      </c>
      <c r="E617" t="str">
        <f t="shared" si="303"/>
        <v>COM</v>
      </c>
      <c r="F617" t="str">
        <f t="shared" si="297"/>
        <v>FARMÁCIA INDIANA LJ 1 (10126)</v>
      </c>
      <c r="G617" t="str">
        <f t="shared" si="298"/>
        <v>Serv.Prest. 20/01/2025 a 24/01/2025 - RPS: 430 - NFSe: 2656</v>
      </c>
      <c r="H617" t="str">
        <f t="shared" si="305"/>
        <v>05/02/2025</v>
      </c>
      <c r="I617" t="str">
        <f t="shared" si="308"/>
        <v>25/01/2025</v>
      </c>
      <c r="J617" t="str">
        <f t="shared" si="306"/>
        <v>05/02/2025</v>
      </c>
      <c r="M617">
        <v>303</v>
      </c>
      <c r="N617" t="str">
        <f t="shared" si="309"/>
        <v>RECEITAS COM ENTREGAS</v>
      </c>
      <c r="P617">
        <v>124.84</v>
      </c>
      <c r="Q617" t="str">
        <f>"FARMÁCIA INDIANA LJ 209 (10089)"</f>
        <v>FARMÁCIA INDIANA LJ 209 (10089)</v>
      </c>
      <c r="R617" t="str">
        <f t="shared" si="310"/>
        <v>RECEITAS COM ENTREGAS (303)</v>
      </c>
      <c r="S617">
        <v>963</v>
      </c>
      <c r="T617">
        <v>776</v>
      </c>
      <c r="U617" t="s">
        <v>19</v>
      </c>
    </row>
    <row r="618" spans="1:21">
      <c r="A618" t="str">
        <f t="shared" si="304"/>
        <v>05/02/2025</v>
      </c>
      <c r="B618" t="str">
        <f t="shared" si="302"/>
        <v>ENTRADA</v>
      </c>
      <c r="C618" t="str">
        <f t="shared" si="307"/>
        <v>NFSE</v>
      </c>
      <c r="D618" t="str">
        <f t="shared" si="296"/>
        <v>2656</v>
      </c>
      <c r="E618" t="str">
        <f t="shared" si="303"/>
        <v>COM</v>
      </c>
      <c r="F618" t="str">
        <f t="shared" si="297"/>
        <v>FARMÁCIA INDIANA LJ 1 (10126)</v>
      </c>
      <c r="G618" t="str">
        <f t="shared" si="298"/>
        <v>Serv.Prest. 20/01/2025 a 24/01/2025 - RPS: 430 - NFSe: 2656</v>
      </c>
      <c r="H618" t="str">
        <f t="shared" si="305"/>
        <v>05/02/2025</v>
      </c>
      <c r="I618" t="str">
        <f t="shared" si="308"/>
        <v>25/01/2025</v>
      </c>
      <c r="J618" t="str">
        <f t="shared" si="306"/>
        <v>05/02/2025</v>
      </c>
      <c r="M618">
        <v>303</v>
      </c>
      <c r="N618" t="str">
        <f t="shared" si="309"/>
        <v>RECEITAS COM ENTREGAS</v>
      </c>
      <c r="P618">
        <v>160.37</v>
      </c>
      <c r="Q618" t="str">
        <f>"FARMÁCIA INDIANA LJ 219 (10091)"</f>
        <v>FARMÁCIA INDIANA LJ 219 (10091)</v>
      </c>
      <c r="R618" t="str">
        <f t="shared" si="310"/>
        <v>RECEITAS COM ENTREGAS (303)</v>
      </c>
      <c r="S618">
        <v>963</v>
      </c>
      <c r="T618">
        <v>776</v>
      </c>
      <c r="U618" t="s">
        <v>19</v>
      </c>
    </row>
    <row r="619" spans="1:21">
      <c r="A619" t="str">
        <f t="shared" si="304"/>
        <v>05/02/2025</v>
      </c>
      <c r="B619" t="str">
        <f t="shared" si="302"/>
        <v>ENTRADA</v>
      </c>
      <c r="C619" t="str">
        <f t="shared" si="307"/>
        <v>NFSE</v>
      </c>
      <c r="D619" t="str">
        <f t="shared" si="296"/>
        <v>2656</v>
      </c>
      <c r="E619" t="str">
        <f t="shared" si="303"/>
        <v>COM</v>
      </c>
      <c r="F619" t="str">
        <f t="shared" si="297"/>
        <v>FARMÁCIA INDIANA LJ 1 (10126)</v>
      </c>
      <c r="G619" t="str">
        <f t="shared" si="298"/>
        <v>Serv.Prest. 20/01/2025 a 24/01/2025 - RPS: 430 - NFSe: 2656</v>
      </c>
      <c r="H619" t="str">
        <f t="shared" si="305"/>
        <v>05/02/2025</v>
      </c>
      <c r="I619" t="str">
        <f t="shared" si="308"/>
        <v>25/01/2025</v>
      </c>
      <c r="J619" t="str">
        <f t="shared" si="306"/>
        <v>05/02/2025</v>
      </c>
      <c r="M619">
        <v>303</v>
      </c>
      <c r="N619" t="str">
        <f t="shared" si="309"/>
        <v>RECEITAS COM ENTREGAS</v>
      </c>
      <c r="P619">
        <v>76.819999999999993</v>
      </c>
      <c r="Q619" t="str">
        <f>"FARMÁCIA INDIANA LJ 220 (10092)"</f>
        <v>FARMÁCIA INDIANA LJ 220 (10092)</v>
      </c>
      <c r="R619" t="str">
        <f t="shared" si="310"/>
        <v>RECEITAS COM ENTREGAS (303)</v>
      </c>
      <c r="S619">
        <v>963</v>
      </c>
      <c r="T619">
        <v>776</v>
      </c>
      <c r="U619" t="s">
        <v>19</v>
      </c>
    </row>
    <row r="620" spans="1:21">
      <c r="A620" t="str">
        <f t="shared" si="304"/>
        <v>05/02/2025</v>
      </c>
      <c r="B620" t="str">
        <f t="shared" si="302"/>
        <v>ENTRADA</v>
      </c>
      <c r="C620" t="str">
        <f t="shared" si="307"/>
        <v>NFSE</v>
      </c>
      <c r="D620" t="str">
        <f t="shared" si="296"/>
        <v>2656</v>
      </c>
      <c r="E620" t="str">
        <f t="shared" si="303"/>
        <v>COM</v>
      </c>
      <c r="F620" t="str">
        <f t="shared" si="297"/>
        <v>FARMÁCIA INDIANA LJ 1 (10126)</v>
      </c>
      <c r="G620" t="str">
        <f t="shared" si="298"/>
        <v>Serv.Prest. 20/01/2025 a 24/01/2025 - RPS: 430 - NFSe: 2656</v>
      </c>
      <c r="H620" t="str">
        <f t="shared" si="305"/>
        <v>05/02/2025</v>
      </c>
      <c r="I620" t="str">
        <f t="shared" si="308"/>
        <v>25/01/2025</v>
      </c>
      <c r="J620" t="str">
        <f t="shared" si="306"/>
        <v>05/02/2025</v>
      </c>
      <c r="M620">
        <v>303</v>
      </c>
      <c r="N620" t="str">
        <f t="shared" si="309"/>
        <v>RECEITAS COM ENTREGAS</v>
      </c>
      <c r="P620">
        <v>180.54</v>
      </c>
      <c r="Q620" t="str">
        <f>"FARMÁCIA INDIANA LJ 185 (10141)"</f>
        <v>FARMÁCIA INDIANA LJ 185 (10141)</v>
      </c>
      <c r="R620" t="str">
        <f t="shared" si="310"/>
        <v>RECEITAS COM ENTREGAS (303)</v>
      </c>
      <c r="S620">
        <v>963</v>
      </c>
      <c r="T620">
        <v>776</v>
      </c>
      <c r="U620" t="s">
        <v>19</v>
      </c>
    </row>
    <row r="621" spans="1:21">
      <c r="A621" t="str">
        <f t="shared" si="304"/>
        <v>05/02/2025</v>
      </c>
      <c r="B621" t="str">
        <f t="shared" si="302"/>
        <v>ENTRADA</v>
      </c>
      <c r="C621" t="str">
        <f t="shared" si="307"/>
        <v>NFSE</v>
      </c>
      <c r="D621" t="str">
        <f t="shared" ref="D621:D626" si="311">"2657"</f>
        <v>2657</v>
      </c>
      <c r="E621" t="str">
        <f t="shared" si="303"/>
        <v>COM</v>
      </c>
      <c r="F621" t="str">
        <f t="shared" ref="F621:F626" si="312">"FARMÁCIA INDIANA LJ 85 (10128)"</f>
        <v>FARMÁCIA INDIANA LJ 85 (10128)</v>
      </c>
      <c r="G621" t="str">
        <f t="shared" ref="G621:G626" si="313">"Serv.Prest. 20/01/2025 a 24/01/2025 - RPS: 431 - NFSe: 2657"</f>
        <v>Serv.Prest. 20/01/2025 a 24/01/2025 - RPS: 431 - NFSe: 2657</v>
      </c>
      <c r="H621" t="str">
        <f t="shared" si="305"/>
        <v>05/02/2025</v>
      </c>
      <c r="I621" t="str">
        <f t="shared" si="308"/>
        <v>25/01/2025</v>
      </c>
      <c r="J621" t="str">
        <f t="shared" si="306"/>
        <v>05/02/2025</v>
      </c>
      <c r="K621">
        <v>672.44</v>
      </c>
      <c r="L621">
        <v>672.44</v>
      </c>
      <c r="M621">
        <v>303</v>
      </c>
      <c r="N621" t="str">
        <f t="shared" si="309"/>
        <v>RECEITAS COM ENTREGAS</v>
      </c>
      <c r="O621">
        <v>672.44</v>
      </c>
      <c r="R621" t="str">
        <f t="shared" si="310"/>
        <v>RECEITAS COM ENTREGAS (303)</v>
      </c>
      <c r="S621">
        <v>964</v>
      </c>
      <c r="T621">
        <v>777</v>
      </c>
      <c r="U621" t="s">
        <v>19</v>
      </c>
    </row>
    <row r="622" spans="1:21">
      <c r="A622" t="str">
        <f t="shared" si="304"/>
        <v>05/02/2025</v>
      </c>
      <c r="B622" t="str">
        <f t="shared" si="302"/>
        <v>ENTRADA</v>
      </c>
      <c r="C622" t="str">
        <f t="shared" si="307"/>
        <v>NFSE</v>
      </c>
      <c r="D622" t="str">
        <f t="shared" si="311"/>
        <v>2657</v>
      </c>
      <c r="E622" t="str">
        <f t="shared" si="303"/>
        <v>COM</v>
      </c>
      <c r="F622" t="str">
        <f t="shared" si="312"/>
        <v>FARMÁCIA INDIANA LJ 85 (10128)</v>
      </c>
      <c r="G622" t="str">
        <f t="shared" si="313"/>
        <v>Serv.Prest. 20/01/2025 a 24/01/2025 - RPS: 431 - NFSe: 2657</v>
      </c>
      <c r="H622" t="str">
        <f t="shared" si="305"/>
        <v>05/02/2025</v>
      </c>
      <c r="I622" t="str">
        <f t="shared" si="308"/>
        <v>25/01/2025</v>
      </c>
      <c r="J622" t="str">
        <f t="shared" si="306"/>
        <v>05/02/2025</v>
      </c>
      <c r="M622">
        <v>303</v>
      </c>
      <c r="N622" t="str">
        <f t="shared" si="309"/>
        <v>RECEITAS COM ENTREGAS</v>
      </c>
      <c r="P622">
        <v>160.16</v>
      </c>
      <c r="Q622" t="str">
        <f>"FARMÁCIA INDIANA LJ 119 (10053)"</f>
        <v>FARMÁCIA INDIANA LJ 119 (10053)</v>
      </c>
      <c r="R622" t="str">
        <f t="shared" si="310"/>
        <v>RECEITAS COM ENTREGAS (303)</v>
      </c>
      <c r="S622">
        <v>964</v>
      </c>
      <c r="T622">
        <v>777</v>
      </c>
      <c r="U622" t="s">
        <v>19</v>
      </c>
    </row>
    <row r="623" spans="1:21">
      <c r="A623" t="str">
        <f t="shared" si="304"/>
        <v>05/02/2025</v>
      </c>
      <c r="B623" t="str">
        <f t="shared" si="302"/>
        <v>ENTRADA</v>
      </c>
      <c r="C623" t="str">
        <f t="shared" si="307"/>
        <v>NFSE</v>
      </c>
      <c r="D623" t="str">
        <f t="shared" si="311"/>
        <v>2657</v>
      </c>
      <c r="E623" t="str">
        <f t="shared" ref="E623:E654" si="314">"COM"</f>
        <v>COM</v>
      </c>
      <c r="F623" t="str">
        <f t="shared" si="312"/>
        <v>FARMÁCIA INDIANA LJ 85 (10128)</v>
      </c>
      <c r="G623" t="str">
        <f t="shared" si="313"/>
        <v>Serv.Prest. 20/01/2025 a 24/01/2025 - RPS: 431 - NFSe: 2657</v>
      </c>
      <c r="H623" t="str">
        <f t="shared" si="305"/>
        <v>05/02/2025</v>
      </c>
      <c r="I623" t="str">
        <f t="shared" si="308"/>
        <v>25/01/2025</v>
      </c>
      <c r="J623" t="str">
        <f t="shared" si="306"/>
        <v>05/02/2025</v>
      </c>
      <c r="M623">
        <v>303</v>
      </c>
      <c r="N623" t="str">
        <f t="shared" si="309"/>
        <v>RECEITAS COM ENTREGAS</v>
      </c>
      <c r="P623">
        <v>87.22</v>
      </c>
      <c r="Q623" t="str">
        <f>"FARMÁCIA INDIANA LJ 163 (10072)"</f>
        <v>FARMÁCIA INDIANA LJ 163 (10072)</v>
      </c>
      <c r="R623" t="str">
        <f t="shared" si="310"/>
        <v>RECEITAS COM ENTREGAS (303)</v>
      </c>
      <c r="S623">
        <v>964</v>
      </c>
      <c r="T623">
        <v>777</v>
      </c>
      <c r="U623" t="s">
        <v>19</v>
      </c>
    </row>
    <row r="624" spans="1:21">
      <c r="A624" t="str">
        <f t="shared" si="304"/>
        <v>05/02/2025</v>
      </c>
      <c r="B624" t="str">
        <f t="shared" si="302"/>
        <v>ENTRADA</v>
      </c>
      <c r="C624" t="str">
        <f t="shared" si="307"/>
        <v>NFSE</v>
      </c>
      <c r="D624" t="str">
        <f t="shared" si="311"/>
        <v>2657</v>
      </c>
      <c r="E624" t="str">
        <f t="shared" si="314"/>
        <v>COM</v>
      </c>
      <c r="F624" t="str">
        <f t="shared" si="312"/>
        <v>FARMÁCIA INDIANA LJ 85 (10128)</v>
      </c>
      <c r="G624" t="str">
        <f t="shared" si="313"/>
        <v>Serv.Prest. 20/01/2025 a 24/01/2025 - RPS: 431 - NFSe: 2657</v>
      </c>
      <c r="H624" t="str">
        <f t="shared" si="305"/>
        <v>05/02/2025</v>
      </c>
      <c r="I624" t="str">
        <f t="shared" si="308"/>
        <v>25/01/2025</v>
      </c>
      <c r="J624" t="str">
        <f t="shared" si="306"/>
        <v>05/02/2025</v>
      </c>
      <c r="M624">
        <v>303</v>
      </c>
      <c r="N624" t="str">
        <f t="shared" si="309"/>
        <v>RECEITAS COM ENTREGAS</v>
      </c>
      <c r="P624">
        <v>82.78</v>
      </c>
      <c r="Q624" t="str">
        <f>"FARMÁCIA INDIANA LJ 181 (10078)"</f>
        <v>FARMÁCIA INDIANA LJ 181 (10078)</v>
      </c>
      <c r="R624" t="str">
        <f t="shared" si="310"/>
        <v>RECEITAS COM ENTREGAS (303)</v>
      </c>
      <c r="S624">
        <v>964</v>
      </c>
      <c r="T624">
        <v>777</v>
      </c>
      <c r="U624" t="s">
        <v>19</v>
      </c>
    </row>
    <row r="625" spans="1:21">
      <c r="A625" t="str">
        <f t="shared" si="304"/>
        <v>05/02/2025</v>
      </c>
      <c r="B625" t="str">
        <f t="shared" si="302"/>
        <v>ENTRADA</v>
      </c>
      <c r="C625" t="str">
        <f t="shared" si="307"/>
        <v>NFSE</v>
      </c>
      <c r="D625" t="str">
        <f t="shared" si="311"/>
        <v>2657</v>
      </c>
      <c r="E625" t="str">
        <f t="shared" si="314"/>
        <v>COM</v>
      </c>
      <c r="F625" t="str">
        <f t="shared" si="312"/>
        <v>FARMÁCIA INDIANA LJ 85 (10128)</v>
      </c>
      <c r="G625" t="str">
        <f t="shared" si="313"/>
        <v>Serv.Prest. 20/01/2025 a 24/01/2025 - RPS: 431 - NFSe: 2657</v>
      </c>
      <c r="H625" t="str">
        <f t="shared" si="305"/>
        <v>05/02/2025</v>
      </c>
      <c r="I625" t="str">
        <f t="shared" si="308"/>
        <v>25/01/2025</v>
      </c>
      <c r="J625" t="str">
        <f t="shared" si="306"/>
        <v>05/02/2025</v>
      </c>
      <c r="M625">
        <v>303</v>
      </c>
      <c r="N625" t="str">
        <f t="shared" si="309"/>
        <v>RECEITAS COM ENTREGAS</v>
      </c>
      <c r="P625">
        <v>160.18</v>
      </c>
      <c r="Q625" t="str">
        <f>"FARMÁCIA INDIANA LJ 221 (10093)"</f>
        <v>FARMÁCIA INDIANA LJ 221 (10093)</v>
      </c>
      <c r="R625" t="str">
        <f t="shared" si="310"/>
        <v>RECEITAS COM ENTREGAS (303)</v>
      </c>
      <c r="S625">
        <v>964</v>
      </c>
      <c r="T625">
        <v>777</v>
      </c>
      <c r="U625" t="s">
        <v>19</v>
      </c>
    </row>
    <row r="626" spans="1:21">
      <c r="A626" t="str">
        <f t="shared" si="304"/>
        <v>05/02/2025</v>
      </c>
      <c r="B626" t="str">
        <f t="shared" si="302"/>
        <v>ENTRADA</v>
      </c>
      <c r="C626" t="str">
        <f t="shared" si="307"/>
        <v>NFSE</v>
      </c>
      <c r="D626" t="str">
        <f t="shared" si="311"/>
        <v>2657</v>
      </c>
      <c r="E626" t="str">
        <f t="shared" si="314"/>
        <v>COM</v>
      </c>
      <c r="F626" t="str">
        <f t="shared" si="312"/>
        <v>FARMÁCIA INDIANA LJ 85 (10128)</v>
      </c>
      <c r="G626" t="str">
        <f t="shared" si="313"/>
        <v>Serv.Prest. 20/01/2025 a 24/01/2025 - RPS: 431 - NFSe: 2657</v>
      </c>
      <c r="H626" t="str">
        <f t="shared" si="305"/>
        <v>05/02/2025</v>
      </c>
      <c r="I626" t="str">
        <f t="shared" si="308"/>
        <v>25/01/2025</v>
      </c>
      <c r="J626" t="str">
        <f t="shared" si="306"/>
        <v>05/02/2025</v>
      </c>
      <c r="M626">
        <v>303</v>
      </c>
      <c r="N626" t="str">
        <f t="shared" si="309"/>
        <v>RECEITAS COM ENTREGAS</v>
      </c>
      <c r="P626">
        <v>182.1</v>
      </c>
      <c r="Q626" t="str">
        <f>"FARMÁCIA INDIANA LJ 243 (10142)"</f>
        <v>FARMÁCIA INDIANA LJ 243 (10142)</v>
      </c>
      <c r="R626" t="str">
        <f t="shared" si="310"/>
        <v>RECEITAS COM ENTREGAS (303)</v>
      </c>
      <c r="S626">
        <v>964</v>
      </c>
      <c r="T626">
        <v>777</v>
      </c>
      <c r="U626" t="s">
        <v>19</v>
      </c>
    </row>
    <row r="627" spans="1:21">
      <c r="A627" t="str">
        <f t="shared" si="304"/>
        <v>05/02/2025</v>
      </c>
      <c r="B627" t="str">
        <f t="shared" si="302"/>
        <v>ENTRADA</v>
      </c>
      <c r="C627" t="str">
        <f t="shared" si="307"/>
        <v>NFSE</v>
      </c>
      <c r="D627" t="str">
        <f t="shared" ref="D627:D637" si="315">"2658"</f>
        <v>2658</v>
      </c>
      <c r="E627" t="str">
        <f t="shared" si="314"/>
        <v>COM</v>
      </c>
      <c r="F627" t="str">
        <f t="shared" ref="F627:F637" si="316">"FARMÁCIA INDIANA LJ 30 (10127)"</f>
        <v>FARMÁCIA INDIANA LJ 30 (10127)</v>
      </c>
      <c r="G627" t="str">
        <f t="shared" ref="G627:G637" si="317">"Serv.Prest. 20/01/2025 a 24/01/2025 - RPS: 432 - NFSe: 2658"</f>
        <v>Serv.Prest. 20/01/2025 a 24/01/2025 - RPS: 432 - NFSe: 2658</v>
      </c>
      <c r="H627" t="str">
        <f t="shared" si="305"/>
        <v>05/02/2025</v>
      </c>
      <c r="I627" t="str">
        <f t="shared" si="308"/>
        <v>25/01/2025</v>
      </c>
      <c r="J627" t="str">
        <f t="shared" si="306"/>
        <v>05/02/2025</v>
      </c>
      <c r="K627">
        <v>2143.5300000000002</v>
      </c>
      <c r="L627">
        <v>2143.5300000000002</v>
      </c>
      <c r="M627">
        <v>303</v>
      </c>
      <c r="N627" t="str">
        <f t="shared" si="309"/>
        <v>RECEITAS COM ENTREGAS</v>
      </c>
      <c r="O627">
        <v>2143.5300000000002</v>
      </c>
      <c r="R627" t="str">
        <f t="shared" si="310"/>
        <v>RECEITAS COM ENTREGAS (303)</v>
      </c>
      <c r="S627">
        <v>965</v>
      </c>
      <c r="T627">
        <v>778</v>
      </c>
      <c r="U627" t="s">
        <v>19</v>
      </c>
    </row>
    <row r="628" spans="1:21">
      <c r="A628" t="str">
        <f t="shared" si="304"/>
        <v>05/02/2025</v>
      </c>
      <c r="B628" t="str">
        <f t="shared" si="302"/>
        <v>ENTRADA</v>
      </c>
      <c r="C628" t="str">
        <f t="shared" si="307"/>
        <v>NFSE</v>
      </c>
      <c r="D628" t="str">
        <f t="shared" si="315"/>
        <v>2658</v>
      </c>
      <c r="E628" t="str">
        <f t="shared" si="314"/>
        <v>COM</v>
      </c>
      <c r="F628" t="str">
        <f t="shared" si="316"/>
        <v>FARMÁCIA INDIANA LJ 30 (10127)</v>
      </c>
      <c r="G628" t="str">
        <f t="shared" si="317"/>
        <v>Serv.Prest. 20/01/2025 a 24/01/2025 - RPS: 432 - NFSe: 2658</v>
      </c>
      <c r="H628" t="str">
        <f t="shared" si="305"/>
        <v>05/02/2025</v>
      </c>
      <c r="I628" t="str">
        <f t="shared" si="308"/>
        <v>25/01/2025</v>
      </c>
      <c r="J628" t="str">
        <f t="shared" si="306"/>
        <v>05/02/2025</v>
      </c>
      <c r="M628">
        <v>303</v>
      </c>
      <c r="N628" t="str">
        <f t="shared" si="309"/>
        <v>RECEITAS COM ENTREGAS</v>
      </c>
      <c r="P628">
        <v>231.5</v>
      </c>
      <c r="Q628" t="str">
        <f>"FARMÁCIA INDIANA LJ 34 (10014)"</f>
        <v>FARMÁCIA INDIANA LJ 34 (10014)</v>
      </c>
      <c r="R628" t="str">
        <f t="shared" si="310"/>
        <v>RECEITAS COM ENTREGAS (303)</v>
      </c>
      <c r="S628">
        <v>965</v>
      </c>
      <c r="T628">
        <v>778</v>
      </c>
      <c r="U628" t="s">
        <v>19</v>
      </c>
    </row>
    <row r="629" spans="1:21">
      <c r="A629" t="str">
        <f t="shared" si="304"/>
        <v>05/02/2025</v>
      </c>
      <c r="B629" t="str">
        <f t="shared" si="302"/>
        <v>ENTRADA</v>
      </c>
      <c r="C629" t="str">
        <f t="shared" si="307"/>
        <v>NFSE</v>
      </c>
      <c r="D629" t="str">
        <f t="shared" si="315"/>
        <v>2658</v>
      </c>
      <c r="E629" t="str">
        <f t="shared" si="314"/>
        <v>COM</v>
      </c>
      <c r="F629" t="str">
        <f t="shared" si="316"/>
        <v>FARMÁCIA INDIANA LJ 30 (10127)</v>
      </c>
      <c r="G629" t="str">
        <f t="shared" si="317"/>
        <v>Serv.Prest. 20/01/2025 a 24/01/2025 - RPS: 432 - NFSe: 2658</v>
      </c>
      <c r="H629" t="str">
        <f t="shared" si="305"/>
        <v>05/02/2025</v>
      </c>
      <c r="I629" t="str">
        <f t="shared" si="308"/>
        <v>25/01/2025</v>
      </c>
      <c r="J629" t="str">
        <f t="shared" si="306"/>
        <v>05/02/2025</v>
      </c>
      <c r="M629">
        <v>303</v>
      </c>
      <c r="N629" t="str">
        <f t="shared" si="309"/>
        <v>RECEITAS COM ENTREGAS</v>
      </c>
      <c r="P629">
        <v>236</v>
      </c>
      <c r="Q629" t="str">
        <f>"FARMÁCIA INDIANA LJ 35 (10015)"</f>
        <v>FARMÁCIA INDIANA LJ 35 (10015)</v>
      </c>
      <c r="R629" t="str">
        <f t="shared" si="310"/>
        <v>RECEITAS COM ENTREGAS (303)</v>
      </c>
      <c r="S629">
        <v>965</v>
      </c>
      <c r="T629">
        <v>778</v>
      </c>
      <c r="U629" t="s">
        <v>19</v>
      </c>
    </row>
    <row r="630" spans="1:21">
      <c r="A630" t="str">
        <f t="shared" si="304"/>
        <v>05/02/2025</v>
      </c>
      <c r="B630" t="str">
        <f t="shared" si="302"/>
        <v>ENTRADA</v>
      </c>
      <c r="C630" t="str">
        <f t="shared" si="307"/>
        <v>NFSE</v>
      </c>
      <c r="D630" t="str">
        <f t="shared" si="315"/>
        <v>2658</v>
      </c>
      <c r="E630" t="str">
        <f t="shared" si="314"/>
        <v>COM</v>
      </c>
      <c r="F630" t="str">
        <f t="shared" si="316"/>
        <v>FARMÁCIA INDIANA LJ 30 (10127)</v>
      </c>
      <c r="G630" t="str">
        <f t="shared" si="317"/>
        <v>Serv.Prest. 20/01/2025 a 24/01/2025 - RPS: 432 - NFSe: 2658</v>
      </c>
      <c r="H630" t="str">
        <f t="shared" si="305"/>
        <v>05/02/2025</v>
      </c>
      <c r="I630" t="str">
        <f t="shared" si="308"/>
        <v>25/01/2025</v>
      </c>
      <c r="J630" t="str">
        <f t="shared" si="306"/>
        <v>05/02/2025</v>
      </c>
      <c r="M630">
        <v>303</v>
      </c>
      <c r="N630" t="str">
        <f t="shared" si="309"/>
        <v>RECEITAS COM ENTREGAS</v>
      </c>
      <c r="P630">
        <v>167.2</v>
      </c>
      <c r="Q630" t="str">
        <f>"FARMÁCIA INDIANA LJ 48 (10018)"</f>
        <v>FARMÁCIA INDIANA LJ 48 (10018)</v>
      </c>
      <c r="R630" t="str">
        <f t="shared" si="310"/>
        <v>RECEITAS COM ENTREGAS (303)</v>
      </c>
      <c r="S630">
        <v>965</v>
      </c>
      <c r="T630">
        <v>778</v>
      </c>
      <c r="U630" t="s">
        <v>19</v>
      </c>
    </row>
    <row r="631" spans="1:21">
      <c r="A631" t="str">
        <f t="shared" si="304"/>
        <v>05/02/2025</v>
      </c>
      <c r="B631" t="str">
        <f t="shared" si="302"/>
        <v>ENTRADA</v>
      </c>
      <c r="C631" t="str">
        <f t="shared" si="307"/>
        <v>NFSE</v>
      </c>
      <c r="D631" t="str">
        <f t="shared" si="315"/>
        <v>2658</v>
      </c>
      <c r="E631" t="str">
        <f t="shared" si="314"/>
        <v>COM</v>
      </c>
      <c r="F631" t="str">
        <f t="shared" si="316"/>
        <v>FARMÁCIA INDIANA LJ 30 (10127)</v>
      </c>
      <c r="G631" t="str">
        <f t="shared" si="317"/>
        <v>Serv.Prest. 20/01/2025 a 24/01/2025 - RPS: 432 - NFSe: 2658</v>
      </c>
      <c r="H631" t="str">
        <f t="shared" si="305"/>
        <v>05/02/2025</v>
      </c>
      <c r="I631" t="str">
        <f t="shared" si="308"/>
        <v>25/01/2025</v>
      </c>
      <c r="J631" t="str">
        <f t="shared" si="306"/>
        <v>05/02/2025</v>
      </c>
      <c r="M631">
        <v>303</v>
      </c>
      <c r="N631" t="str">
        <f t="shared" si="309"/>
        <v>RECEITAS COM ENTREGAS</v>
      </c>
      <c r="P631">
        <v>320.02999999999997</v>
      </c>
      <c r="Q631" t="str">
        <f>"FARMÁCIA INDIANA LJ 65 (10030)"</f>
        <v>FARMÁCIA INDIANA LJ 65 (10030)</v>
      </c>
      <c r="R631" t="str">
        <f t="shared" si="310"/>
        <v>RECEITAS COM ENTREGAS (303)</v>
      </c>
      <c r="S631">
        <v>965</v>
      </c>
      <c r="T631">
        <v>778</v>
      </c>
      <c r="U631" t="s">
        <v>19</v>
      </c>
    </row>
    <row r="632" spans="1:21">
      <c r="A632" t="str">
        <f t="shared" si="304"/>
        <v>05/02/2025</v>
      </c>
      <c r="B632" t="str">
        <f t="shared" si="302"/>
        <v>ENTRADA</v>
      </c>
      <c r="C632" t="str">
        <f t="shared" si="307"/>
        <v>NFSE</v>
      </c>
      <c r="D632" t="str">
        <f t="shared" si="315"/>
        <v>2658</v>
      </c>
      <c r="E632" t="str">
        <f t="shared" si="314"/>
        <v>COM</v>
      </c>
      <c r="F632" t="str">
        <f t="shared" si="316"/>
        <v>FARMÁCIA INDIANA LJ 30 (10127)</v>
      </c>
      <c r="G632" t="str">
        <f t="shared" si="317"/>
        <v>Serv.Prest. 20/01/2025 a 24/01/2025 - RPS: 432 - NFSe: 2658</v>
      </c>
      <c r="H632" t="str">
        <f t="shared" si="305"/>
        <v>05/02/2025</v>
      </c>
      <c r="I632" t="str">
        <f t="shared" si="308"/>
        <v>25/01/2025</v>
      </c>
      <c r="J632" t="str">
        <f t="shared" si="306"/>
        <v>05/02/2025</v>
      </c>
      <c r="M632">
        <v>303</v>
      </c>
      <c r="N632" t="str">
        <f t="shared" si="309"/>
        <v>RECEITAS COM ENTREGAS</v>
      </c>
      <c r="P632">
        <v>137.19</v>
      </c>
      <c r="Q632" t="str">
        <f>"FARMÁCIA INDIANA LJ 77 (10034)"</f>
        <v>FARMÁCIA INDIANA LJ 77 (10034)</v>
      </c>
      <c r="R632" t="str">
        <f t="shared" si="310"/>
        <v>RECEITAS COM ENTREGAS (303)</v>
      </c>
      <c r="S632">
        <v>965</v>
      </c>
      <c r="T632">
        <v>778</v>
      </c>
      <c r="U632" t="s">
        <v>19</v>
      </c>
    </row>
    <row r="633" spans="1:21">
      <c r="A633" t="str">
        <f t="shared" ref="A633:A664" si="318">("05/02/2025")</f>
        <v>05/02/2025</v>
      </c>
      <c r="B633" t="str">
        <f t="shared" si="302"/>
        <v>ENTRADA</v>
      </c>
      <c r="C633" t="str">
        <f t="shared" si="307"/>
        <v>NFSE</v>
      </c>
      <c r="D633" t="str">
        <f t="shared" si="315"/>
        <v>2658</v>
      </c>
      <c r="E633" t="str">
        <f t="shared" si="314"/>
        <v>COM</v>
      </c>
      <c r="F633" t="str">
        <f t="shared" si="316"/>
        <v>FARMÁCIA INDIANA LJ 30 (10127)</v>
      </c>
      <c r="G633" t="str">
        <f t="shared" si="317"/>
        <v>Serv.Prest. 20/01/2025 a 24/01/2025 - RPS: 432 - NFSe: 2658</v>
      </c>
      <c r="H633" t="str">
        <f t="shared" ref="H633:H653" si="319">("05/02/2025")</f>
        <v>05/02/2025</v>
      </c>
      <c r="I633" t="str">
        <f t="shared" si="308"/>
        <v>25/01/2025</v>
      </c>
      <c r="J633" t="str">
        <f t="shared" ref="J633:J664" si="320">("05/02/2025")</f>
        <v>05/02/2025</v>
      </c>
      <c r="M633">
        <v>303</v>
      </c>
      <c r="N633" t="str">
        <f t="shared" si="309"/>
        <v>RECEITAS COM ENTREGAS</v>
      </c>
      <c r="P633">
        <v>120.68</v>
      </c>
      <c r="Q633" t="str">
        <f>"FARMÁCIA INDIANA LJ 91 (10037)"</f>
        <v>FARMÁCIA INDIANA LJ 91 (10037)</v>
      </c>
      <c r="R633" t="str">
        <f t="shared" si="310"/>
        <v>RECEITAS COM ENTREGAS (303)</v>
      </c>
      <c r="S633">
        <v>965</v>
      </c>
      <c r="T633">
        <v>778</v>
      </c>
      <c r="U633" t="s">
        <v>19</v>
      </c>
    </row>
    <row r="634" spans="1:21">
      <c r="A634" t="str">
        <f t="shared" si="318"/>
        <v>05/02/2025</v>
      </c>
      <c r="B634" t="str">
        <f t="shared" si="302"/>
        <v>ENTRADA</v>
      </c>
      <c r="C634" t="str">
        <f t="shared" si="307"/>
        <v>NFSE</v>
      </c>
      <c r="D634" t="str">
        <f t="shared" si="315"/>
        <v>2658</v>
      </c>
      <c r="E634" t="str">
        <f t="shared" si="314"/>
        <v>COM</v>
      </c>
      <c r="F634" t="str">
        <f t="shared" si="316"/>
        <v>FARMÁCIA INDIANA LJ 30 (10127)</v>
      </c>
      <c r="G634" t="str">
        <f t="shared" si="317"/>
        <v>Serv.Prest. 20/01/2025 a 24/01/2025 - RPS: 432 - NFSe: 2658</v>
      </c>
      <c r="H634" t="str">
        <f t="shared" si="319"/>
        <v>05/02/2025</v>
      </c>
      <c r="I634" t="str">
        <f t="shared" si="308"/>
        <v>25/01/2025</v>
      </c>
      <c r="J634" t="str">
        <f t="shared" si="320"/>
        <v>05/02/2025</v>
      </c>
      <c r="M634">
        <v>303</v>
      </c>
      <c r="N634" t="str">
        <f t="shared" si="309"/>
        <v>RECEITAS COM ENTREGAS</v>
      </c>
      <c r="P634">
        <v>409.41</v>
      </c>
      <c r="Q634" t="str">
        <f>"FARMÁCIA INDIANA LJ 95 (10039)"</f>
        <v>FARMÁCIA INDIANA LJ 95 (10039)</v>
      </c>
      <c r="R634" t="str">
        <f t="shared" si="310"/>
        <v>RECEITAS COM ENTREGAS (303)</v>
      </c>
      <c r="S634">
        <v>965</v>
      </c>
      <c r="T634">
        <v>778</v>
      </c>
      <c r="U634" t="s">
        <v>19</v>
      </c>
    </row>
    <row r="635" spans="1:21">
      <c r="A635" t="str">
        <f t="shared" si="318"/>
        <v>05/02/2025</v>
      </c>
      <c r="B635" t="str">
        <f t="shared" si="302"/>
        <v>ENTRADA</v>
      </c>
      <c r="C635" t="str">
        <f t="shared" si="307"/>
        <v>NFSE</v>
      </c>
      <c r="D635" t="str">
        <f t="shared" si="315"/>
        <v>2658</v>
      </c>
      <c r="E635" t="str">
        <f t="shared" si="314"/>
        <v>COM</v>
      </c>
      <c r="F635" t="str">
        <f t="shared" si="316"/>
        <v>FARMÁCIA INDIANA LJ 30 (10127)</v>
      </c>
      <c r="G635" t="str">
        <f t="shared" si="317"/>
        <v>Serv.Prest. 20/01/2025 a 24/01/2025 - RPS: 432 - NFSe: 2658</v>
      </c>
      <c r="H635" t="str">
        <f t="shared" si="319"/>
        <v>05/02/2025</v>
      </c>
      <c r="I635" t="str">
        <f t="shared" si="308"/>
        <v>25/01/2025</v>
      </c>
      <c r="J635" t="str">
        <f t="shared" si="320"/>
        <v>05/02/2025</v>
      </c>
      <c r="M635">
        <v>303</v>
      </c>
      <c r="N635" t="str">
        <f t="shared" si="309"/>
        <v>RECEITAS COM ENTREGAS</v>
      </c>
      <c r="P635">
        <v>280.8</v>
      </c>
      <c r="Q635" t="str">
        <f>"FARMÁCIA INDIANA LJ 145 (10068)"</f>
        <v>FARMÁCIA INDIANA LJ 145 (10068)</v>
      </c>
      <c r="R635" t="str">
        <f t="shared" si="310"/>
        <v>RECEITAS COM ENTREGAS (303)</v>
      </c>
      <c r="S635">
        <v>965</v>
      </c>
      <c r="T635">
        <v>778</v>
      </c>
      <c r="U635" t="s">
        <v>19</v>
      </c>
    </row>
    <row r="636" spans="1:21">
      <c r="A636" t="str">
        <f t="shared" si="318"/>
        <v>05/02/2025</v>
      </c>
      <c r="B636" t="str">
        <f t="shared" si="302"/>
        <v>ENTRADA</v>
      </c>
      <c r="C636" t="str">
        <f t="shared" si="307"/>
        <v>NFSE</v>
      </c>
      <c r="D636" t="str">
        <f t="shared" si="315"/>
        <v>2658</v>
      </c>
      <c r="E636" t="str">
        <f t="shared" si="314"/>
        <v>COM</v>
      </c>
      <c r="F636" t="str">
        <f t="shared" si="316"/>
        <v>FARMÁCIA INDIANA LJ 30 (10127)</v>
      </c>
      <c r="G636" t="str">
        <f t="shared" si="317"/>
        <v>Serv.Prest. 20/01/2025 a 24/01/2025 - RPS: 432 - NFSe: 2658</v>
      </c>
      <c r="H636" t="str">
        <f t="shared" si="319"/>
        <v>05/02/2025</v>
      </c>
      <c r="I636" t="str">
        <f t="shared" si="308"/>
        <v>25/01/2025</v>
      </c>
      <c r="J636" t="str">
        <f t="shared" si="320"/>
        <v>05/02/2025</v>
      </c>
      <c r="M636">
        <v>303</v>
      </c>
      <c r="N636" t="str">
        <f t="shared" si="309"/>
        <v>RECEITAS COM ENTREGAS</v>
      </c>
      <c r="P636">
        <v>81.03</v>
      </c>
      <c r="Q636" t="str">
        <f>"FARMÁCIA INDIANA LJ 169 (10073)"</f>
        <v>FARMÁCIA INDIANA LJ 169 (10073)</v>
      </c>
      <c r="R636" t="str">
        <f t="shared" si="310"/>
        <v>RECEITAS COM ENTREGAS (303)</v>
      </c>
      <c r="S636">
        <v>965</v>
      </c>
      <c r="T636">
        <v>778</v>
      </c>
      <c r="U636" t="s">
        <v>19</v>
      </c>
    </row>
    <row r="637" spans="1:21">
      <c r="A637" t="str">
        <f t="shared" si="318"/>
        <v>05/02/2025</v>
      </c>
      <c r="B637" t="str">
        <f t="shared" si="302"/>
        <v>ENTRADA</v>
      </c>
      <c r="C637" t="str">
        <f t="shared" si="307"/>
        <v>NFSE</v>
      </c>
      <c r="D637" t="str">
        <f t="shared" si="315"/>
        <v>2658</v>
      </c>
      <c r="E637" t="str">
        <f t="shared" si="314"/>
        <v>COM</v>
      </c>
      <c r="F637" t="str">
        <f t="shared" si="316"/>
        <v>FARMÁCIA INDIANA LJ 30 (10127)</v>
      </c>
      <c r="G637" t="str">
        <f t="shared" si="317"/>
        <v>Serv.Prest. 20/01/2025 a 24/01/2025 - RPS: 432 - NFSe: 2658</v>
      </c>
      <c r="H637" t="str">
        <f t="shared" si="319"/>
        <v>05/02/2025</v>
      </c>
      <c r="I637" t="str">
        <f t="shared" si="308"/>
        <v>25/01/2025</v>
      </c>
      <c r="J637" t="str">
        <f t="shared" si="320"/>
        <v>05/02/2025</v>
      </c>
      <c r="M637">
        <v>303</v>
      </c>
      <c r="N637" t="str">
        <f t="shared" si="309"/>
        <v>RECEITAS COM ENTREGAS</v>
      </c>
      <c r="P637">
        <v>159.69</v>
      </c>
      <c r="Q637" t="str">
        <f>"FARMÁCIA INDIANA LJ 173 (10075)"</f>
        <v>FARMÁCIA INDIANA LJ 173 (10075)</v>
      </c>
      <c r="R637" t="str">
        <f t="shared" si="310"/>
        <v>RECEITAS COM ENTREGAS (303)</v>
      </c>
      <c r="S637">
        <v>965</v>
      </c>
      <c r="T637">
        <v>778</v>
      </c>
      <c r="U637" t="s">
        <v>19</v>
      </c>
    </row>
    <row r="638" spans="1:21">
      <c r="A638" t="str">
        <f t="shared" si="318"/>
        <v>05/02/2025</v>
      </c>
      <c r="B638" t="str">
        <f t="shared" si="302"/>
        <v>ENTRADA</v>
      </c>
      <c r="C638" t="str">
        <f t="shared" si="307"/>
        <v>NFSE</v>
      </c>
      <c r="D638" t="str">
        <f>"2678"</f>
        <v>2678</v>
      </c>
      <c r="E638" t="str">
        <f t="shared" si="314"/>
        <v>COM</v>
      </c>
      <c r="F638" t="str">
        <f>"DELTA LOJA 2 (10123)"</f>
        <v>DELTA LOJA 2 (10123)</v>
      </c>
      <c r="G638" t="str">
        <f>"Serv.Prest. 27/01/2025 a 02/02/2025 - RPS: 451 - NFSe: 2678"</f>
        <v>Serv.Prest. 27/01/2025 a 02/02/2025 - RPS: 451 - NFSe: 2678</v>
      </c>
      <c r="H638" t="str">
        <f t="shared" si="319"/>
        <v>05/02/2025</v>
      </c>
      <c r="I638" t="str">
        <f t="shared" ref="I638:I653" si="321">("03/02/2025")</f>
        <v>03/02/2025</v>
      </c>
      <c r="J638" t="str">
        <f t="shared" si="320"/>
        <v>05/02/2025</v>
      </c>
      <c r="K638">
        <v>480.48</v>
      </c>
      <c r="L638">
        <v>480.48</v>
      </c>
      <c r="M638">
        <v>303</v>
      </c>
      <c r="N638" t="str">
        <f t="shared" si="309"/>
        <v>RECEITAS COM ENTREGAS</v>
      </c>
      <c r="O638">
        <v>480.48</v>
      </c>
      <c r="R638" t="str">
        <f t="shared" si="310"/>
        <v>RECEITAS COM ENTREGAS (303)</v>
      </c>
      <c r="S638">
        <v>966</v>
      </c>
      <c r="T638">
        <v>802</v>
      </c>
      <c r="U638" t="s">
        <v>19</v>
      </c>
    </row>
    <row r="639" spans="1:21">
      <c r="A639" t="str">
        <f t="shared" si="318"/>
        <v>05/02/2025</v>
      </c>
      <c r="B639" t="str">
        <f t="shared" si="302"/>
        <v>ENTRADA</v>
      </c>
      <c r="C639" t="str">
        <f t="shared" ref="C639:C661" si="322">"NFSE"</f>
        <v>NFSE</v>
      </c>
      <c r="D639" t="str">
        <f>"2678"</f>
        <v>2678</v>
      </c>
      <c r="E639" t="str">
        <f t="shared" si="314"/>
        <v>COM</v>
      </c>
      <c r="F639" t="str">
        <f>"DELTA LOJA 2 (10123)"</f>
        <v>DELTA LOJA 2 (10123)</v>
      </c>
      <c r="G639" t="str">
        <f>"Serv.Prest. 27/01/2025 a 02/02/2025 - RPS: 451 - NFSe: 2678"</f>
        <v>Serv.Prest. 27/01/2025 a 02/02/2025 - RPS: 451 - NFSe: 2678</v>
      </c>
      <c r="H639" t="str">
        <f t="shared" si="319"/>
        <v>05/02/2025</v>
      </c>
      <c r="I639" t="str">
        <f t="shared" si="321"/>
        <v>03/02/2025</v>
      </c>
      <c r="J639" t="str">
        <f t="shared" si="320"/>
        <v>05/02/2025</v>
      </c>
      <c r="M639">
        <v>303</v>
      </c>
      <c r="N639" t="str">
        <f t="shared" ref="N639:N661" si="323">"RECEITAS COM ENTREGAS"</f>
        <v>RECEITAS COM ENTREGAS</v>
      </c>
      <c r="P639">
        <v>480.48</v>
      </c>
      <c r="Q639" t="str">
        <f>"DELTA LOJA 2 (10123)"</f>
        <v>DELTA LOJA 2 (10123)</v>
      </c>
      <c r="R639" t="str">
        <f t="shared" ref="R639:R661" si="324">"RECEITAS COM ENTREGAS (303)"</f>
        <v>RECEITAS COM ENTREGAS (303)</v>
      </c>
      <c r="S639">
        <v>966</v>
      </c>
      <c r="T639">
        <v>802</v>
      </c>
      <c r="U639" t="s">
        <v>19</v>
      </c>
    </row>
    <row r="640" spans="1:21">
      <c r="A640" t="str">
        <f t="shared" si="318"/>
        <v>05/02/2025</v>
      </c>
      <c r="B640" t="str">
        <f t="shared" ref="B640:B661" si="325">"ENTRADA"</f>
        <v>ENTRADA</v>
      </c>
      <c r="C640" t="str">
        <f t="shared" si="322"/>
        <v>NFSE</v>
      </c>
      <c r="D640" t="str">
        <f>"2679"</f>
        <v>2679</v>
      </c>
      <c r="E640" t="str">
        <f t="shared" si="314"/>
        <v>COM</v>
      </c>
      <c r="F640" t="str">
        <f>"FARMACIA CRISTAL (10125)"</f>
        <v>FARMACIA CRISTAL (10125)</v>
      </c>
      <c r="G640" t="str">
        <f>"Serv.Prest. 27/01/2025 a 02/02/2025 - RPS: 452 - NFSe: 2679"</f>
        <v>Serv.Prest. 27/01/2025 a 02/02/2025 - RPS: 452 - NFSe: 2679</v>
      </c>
      <c r="H640" t="str">
        <f t="shared" si="319"/>
        <v>05/02/2025</v>
      </c>
      <c r="I640" t="str">
        <f t="shared" si="321"/>
        <v>03/02/2025</v>
      </c>
      <c r="J640" t="str">
        <f t="shared" si="320"/>
        <v>05/02/2025</v>
      </c>
      <c r="K640">
        <v>256.26</v>
      </c>
      <c r="L640">
        <v>256.26</v>
      </c>
      <c r="M640">
        <v>303</v>
      </c>
      <c r="N640" t="str">
        <f t="shared" si="323"/>
        <v>RECEITAS COM ENTREGAS</v>
      </c>
      <c r="O640">
        <v>256.26</v>
      </c>
      <c r="R640" t="str">
        <f t="shared" si="324"/>
        <v>RECEITAS COM ENTREGAS (303)</v>
      </c>
      <c r="S640">
        <v>967</v>
      </c>
      <c r="T640">
        <v>803</v>
      </c>
      <c r="U640" t="s">
        <v>19</v>
      </c>
    </row>
    <row r="641" spans="1:21">
      <c r="A641" t="str">
        <f t="shared" si="318"/>
        <v>05/02/2025</v>
      </c>
      <c r="B641" t="str">
        <f t="shared" si="325"/>
        <v>ENTRADA</v>
      </c>
      <c r="C641" t="str">
        <f t="shared" si="322"/>
        <v>NFSE</v>
      </c>
      <c r="D641" t="str">
        <f>"2679"</f>
        <v>2679</v>
      </c>
      <c r="E641" t="str">
        <f t="shared" si="314"/>
        <v>COM</v>
      </c>
      <c r="F641" t="str">
        <f>"FARMACIA CRISTAL (10125)"</f>
        <v>FARMACIA CRISTAL (10125)</v>
      </c>
      <c r="G641" t="str">
        <f>"Serv.Prest. 27/01/2025 a 02/02/2025 - RPS: 452 - NFSe: 2679"</f>
        <v>Serv.Prest. 27/01/2025 a 02/02/2025 - RPS: 452 - NFSe: 2679</v>
      </c>
      <c r="H641" t="str">
        <f t="shared" si="319"/>
        <v>05/02/2025</v>
      </c>
      <c r="I641" t="str">
        <f t="shared" si="321"/>
        <v>03/02/2025</v>
      </c>
      <c r="J641" t="str">
        <f t="shared" si="320"/>
        <v>05/02/2025</v>
      </c>
      <c r="M641">
        <v>303</v>
      </c>
      <c r="N641" t="str">
        <f t="shared" si="323"/>
        <v>RECEITAS COM ENTREGAS</v>
      </c>
      <c r="P641">
        <v>256.26</v>
      </c>
      <c r="Q641" t="str">
        <f>"FARMACIA CRISTAL (10125)"</f>
        <v>FARMACIA CRISTAL (10125)</v>
      </c>
      <c r="R641" t="str">
        <f t="shared" si="324"/>
        <v>RECEITAS COM ENTREGAS (303)</v>
      </c>
      <c r="S641">
        <v>967</v>
      </c>
      <c r="T641">
        <v>803</v>
      </c>
      <c r="U641" t="s">
        <v>19</v>
      </c>
    </row>
    <row r="642" spans="1:21">
      <c r="A642" t="str">
        <f t="shared" si="318"/>
        <v>05/02/2025</v>
      </c>
      <c r="B642" t="str">
        <f t="shared" si="325"/>
        <v>ENTRADA</v>
      </c>
      <c r="C642" t="str">
        <f t="shared" si="322"/>
        <v>NFSE</v>
      </c>
      <c r="D642" t="str">
        <f>"2683"</f>
        <v>2683</v>
      </c>
      <c r="E642" t="str">
        <f t="shared" si="314"/>
        <v>COM</v>
      </c>
      <c r="F642" t="str">
        <f>"DROGA CINTIA 2 (10144)"</f>
        <v>DROGA CINTIA 2 (10144)</v>
      </c>
      <c r="G642" t="str">
        <f>"Serv.Prest. 27/01/2025 a 02/02/2025 - RPS: 456 - NFSe: 2683"</f>
        <v>Serv.Prest. 27/01/2025 a 02/02/2025 - RPS: 456 - NFSe: 2683</v>
      </c>
      <c r="H642" t="str">
        <f t="shared" si="319"/>
        <v>05/02/2025</v>
      </c>
      <c r="I642" t="str">
        <f t="shared" si="321"/>
        <v>03/02/2025</v>
      </c>
      <c r="J642" t="str">
        <f t="shared" si="320"/>
        <v>05/02/2025</v>
      </c>
      <c r="K642">
        <v>319.60000000000002</v>
      </c>
      <c r="L642">
        <v>319.60000000000002</v>
      </c>
      <c r="M642">
        <v>303</v>
      </c>
      <c r="N642" t="str">
        <f t="shared" si="323"/>
        <v>RECEITAS COM ENTREGAS</v>
      </c>
      <c r="O642">
        <v>319.60000000000002</v>
      </c>
      <c r="R642" t="str">
        <f t="shared" si="324"/>
        <v>RECEITAS COM ENTREGAS (303)</v>
      </c>
      <c r="S642">
        <v>968</v>
      </c>
      <c r="T642">
        <v>807</v>
      </c>
      <c r="U642" t="s">
        <v>19</v>
      </c>
    </row>
    <row r="643" spans="1:21">
      <c r="A643" t="str">
        <f t="shared" si="318"/>
        <v>05/02/2025</v>
      </c>
      <c r="B643" t="str">
        <f t="shared" si="325"/>
        <v>ENTRADA</v>
      </c>
      <c r="C643" t="str">
        <f t="shared" si="322"/>
        <v>NFSE</v>
      </c>
      <c r="D643" t="str">
        <f>"2683"</f>
        <v>2683</v>
      </c>
      <c r="E643" t="str">
        <f t="shared" si="314"/>
        <v>COM</v>
      </c>
      <c r="F643" t="str">
        <f>"DROGA CINTIA 2 (10144)"</f>
        <v>DROGA CINTIA 2 (10144)</v>
      </c>
      <c r="G643" t="str">
        <f>"Serv.Prest. 27/01/2025 a 02/02/2025 - RPS: 456 - NFSe: 2683"</f>
        <v>Serv.Prest. 27/01/2025 a 02/02/2025 - RPS: 456 - NFSe: 2683</v>
      </c>
      <c r="H643" t="str">
        <f t="shared" si="319"/>
        <v>05/02/2025</v>
      </c>
      <c r="I643" t="str">
        <f t="shared" si="321"/>
        <v>03/02/2025</v>
      </c>
      <c r="J643" t="str">
        <f t="shared" si="320"/>
        <v>05/02/2025</v>
      </c>
      <c r="M643">
        <v>303</v>
      </c>
      <c r="N643" t="str">
        <f t="shared" si="323"/>
        <v>RECEITAS COM ENTREGAS</v>
      </c>
      <c r="P643">
        <v>319.60000000000002</v>
      </c>
      <c r="Q643" t="str">
        <f>"DROGA CINTIA 2 (10144)"</f>
        <v>DROGA CINTIA 2 (10144)</v>
      </c>
      <c r="R643" t="str">
        <f t="shared" si="324"/>
        <v>RECEITAS COM ENTREGAS (303)</v>
      </c>
      <c r="S643">
        <v>968</v>
      </c>
      <c r="T643">
        <v>807</v>
      </c>
      <c r="U643" t="s">
        <v>19</v>
      </c>
    </row>
    <row r="644" spans="1:21">
      <c r="A644" t="str">
        <f t="shared" si="318"/>
        <v>05/02/2025</v>
      </c>
      <c r="B644" t="str">
        <f t="shared" si="325"/>
        <v>ENTRADA</v>
      </c>
      <c r="C644" t="str">
        <f t="shared" si="322"/>
        <v>NFSE</v>
      </c>
      <c r="D644" t="str">
        <f>"2686"</f>
        <v>2686</v>
      </c>
      <c r="E644" t="str">
        <f t="shared" si="314"/>
        <v>COM</v>
      </c>
      <c r="F644" t="str">
        <f>"FRAN FARMA (10124)"</f>
        <v>FRAN FARMA (10124)</v>
      </c>
      <c r="G644" t="str">
        <f>"Serv.Prest. 27/01/2025 a 02/02/2025 - RPS: 459 - NFSe: 2686"</f>
        <v>Serv.Prest. 27/01/2025 a 02/02/2025 - RPS: 459 - NFSe: 2686</v>
      </c>
      <c r="H644" t="str">
        <f t="shared" si="319"/>
        <v>05/02/2025</v>
      </c>
      <c r="I644" t="str">
        <f t="shared" si="321"/>
        <v>03/02/2025</v>
      </c>
      <c r="J644" t="str">
        <f t="shared" si="320"/>
        <v>05/02/2025</v>
      </c>
      <c r="K644">
        <v>320</v>
      </c>
      <c r="L644">
        <v>320</v>
      </c>
      <c r="M644">
        <v>303</v>
      </c>
      <c r="N644" t="str">
        <f t="shared" si="323"/>
        <v>RECEITAS COM ENTREGAS</v>
      </c>
      <c r="O644">
        <v>320</v>
      </c>
      <c r="R644" t="str">
        <f t="shared" si="324"/>
        <v>RECEITAS COM ENTREGAS (303)</v>
      </c>
      <c r="S644">
        <v>969</v>
      </c>
      <c r="T644">
        <v>810</v>
      </c>
      <c r="U644" t="s">
        <v>19</v>
      </c>
    </row>
    <row r="645" spans="1:21">
      <c r="A645" t="str">
        <f t="shared" si="318"/>
        <v>05/02/2025</v>
      </c>
      <c r="B645" t="str">
        <f t="shared" si="325"/>
        <v>ENTRADA</v>
      </c>
      <c r="C645" t="str">
        <f t="shared" si="322"/>
        <v>NFSE</v>
      </c>
      <c r="D645" t="str">
        <f>"2686"</f>
        <v>2686</v>
      </c>
      <c r="E645" t="str">
        <f t="shared" si="314"/>
        <v>COM</v>
      </c>
      <c r="F645" t="str">
        <f>"FRAN FARMA (10124)"</f>
        <v>FRAN FARMA (10124)</v>
      </c>
      <c r="G645" t="str">
        <f>"Serv.Prest. 27/01/2025 a 02/02/2025 - RPS: 459 - NFSe: 2686"</f>
        <v>Serv.Prest. 27/01/2025 a 02/02/2025 - RPS: 459 - NFSe: 2686</v>
      </c>
      <c r="H645" t="str">
        <f t="shared" si="319"/>
        <v>05/02/2025</v>
      </c>
      <c r="I645" t="str">
        <f t="shared" si="321"/>
        <v>03/02/2025</v>
      </c>
      <c r="J645" t="str">
        <f t="shared" si="320"/>
        <v>05/02/2025</v>
      </c>
      <c r="M645">
        <v>303</v>
      </c>
      <c r="N645" t="str">
        <f t="shared" si="323"/>
        <v>RECEITAS COM ENTREGAS</v>
      </c>
      <c r="P645">
        <v>64</v>
      </c>
      <c r="Q645" t="str">
        <f>"FRAN FARMA (10124)"</f>
        <v>FRAN FARMA (10124)</v>
      </c>
      <c r="R645" t="str">
        <f t="shared" si="324"/>
        <v>RECEITAS COM ENTREGAS (303)</v>
      </c>
      <c r="S645">
        <v>969</v>
      </c>
      <c r="T645">
        <v>810</v>
      </c>
      <c r="U645" t="s">
        <v>19</v>
      </c>
    </row>
    <row r="646" spans="1:21">
      <c r="A646" t="str">
        <f t="shared" si="318"/>
        <v>05/02/2025</v>
      </c>
      <c r="B646" t="str">
        <f t="shared" si="325"/>
        <v>ENTRADA</v>
      </c>
      <c r="C646" t="str">
        <f t="shared" si="322"/>
        <v>NFSE</v>
      </c>
      <c r="D646" t="str">
        <f>"2686"</f>
        <v>2686</v>
      </c>
      <c r="E646" t="str">
        <f t="shared" si="314"/>
        <v>COM</v>
      </c>
      <c r="F646" t="str">
        <f>"FRAN FARMA (10124)"</f>
        <v>FRAN FARMA (10124)</v>
      </c>
      <c r="G646" t="str">
        <f>"Serv.Prest. 27/01/2025 a 02/02/2025 - RPS: 459 - NFSe: 2686"</f>
        <v>Serv.Prest. 27/01/2025 a 02/02/2025 - RPS: 459 - NFSe: 2686</v>
      </c>
      <c r="H646" t="str">
        <f t="shared" si="319"/>
        <v>05/02/2025</v>
      </c>
      <c r="I646" t="str">
        <f t="shared" si="321"/>
        <v>03/02/2025</v>
      </c>
      <c r="J646" t="str">
        <f t="shared" si="320"/>
        <v>05/02/2025</v>
      </c>
      <c r="M646">
        <v>303</v>
      </c>
      <c r="N646" t="str">
        <f t="shared" si="323"/>
        <v>RECEITAS COM ENTREGAS</v>
      </c>
      <c r="P646">
        <v>192</v>
      </c>
      <c r="Q646" t="str">
        <f>"FRAN FARMA LJ 2 (10131)"</f>
        <v>FRAN FARMA LJ 2 (10131)</v>
      </c>
      <c r="R646" t="str">
        <f t="shared" si="324"/>
        <v>RECEITAS COM ENTREGAS (303)</v>
      </c>
      <c r="S646">
        <v>969</v>
      </c>
      <c r="T646">
        <v>810</v>
      </c>
      <c r="U646" t="s">
        <v>19</v>
      </c>
    </row>
    <row r="647" spans="1:21">
      <c r="A647" t="str">
        <f t="shared" si="318"/>
        <v>05/02/2025</v>
      </c>
      <c r="B647" t="str">
        <f t="shared" si="325"/>
        <v>ENTRADA</v>
      </c>
      <c r="C647" t="str">
        <f t="shared" si="322"/>
        <v>NFSE</v>
      </c>
      <c r="D647" t="str">
        <f>"2686"</f>
        <v>2686</v>
      </c>
      <c r="E647" t="str">
        <f t="shared" si="314"/>
        <v>COM</v>
      </c>
      <c r="F647" t="str">
        <f>"FRAN FARMA (10124)"</f>
        <v>FRAN FARMA (10124)</v>
      </c>
      <c r="G647" t="str">
        <f>"Serv.Prest. 27/01/2025 a 02/02/2025 - RPS: 459 - NFSe: 2686"</f>
        <v>Serv.Prest. 27/01/2025 a 02/02/2025 - RPS: 459 - NFSe: 2686</v>
      </c>
      <c r="H647" t="str">
        <f t="shared" si="319"/>
        <v>05/02/2025</v>
      </c>
      <c r="I647" t="str">
        <f t="shared" si="321"/>
        <v>03/02/2025</v>
      </c>
      <c r="J647" t="str">
        <f t="shared" si="320"/>
        <v>05/02/2025</v>
      </c>
      <c r="M647">
        <v>303</v>
      </c>
      <c r="N647" t="str">
        <f t="shared" si="323"/>
        <v>RECEITAS COM ENTREGAS</v>
      </c>
      <c r="P647">
        <v>64</v>
      </c>
      <c r="Q647" t="str">
        <f>"FRAN FARMA LJ 3 (10132)"</f>
        <v>FRAN FARMA LJ 3 (10132)</v>
      </c>
      <c r="R647" t="str">
        <f t="shared" si="324"/>
        <v>RECEITAS COM ENTREGAS (303)</v>
      </c>
      <c r="S647">
        <v>969</v>
      </c>
      <c r="T647">
        <v>810</v>
      </c>
      <c r="U647" t="s">
        <v>19</v>
      </c>
    </row>
    <row r="648" spans="1:21">
      <c r="A648" t="str">
        <f t="shared" si="318"/>
        <v>05/02/2025</v>
      </c>
      <c r="B648" t="str">
        <f t="shared" si="325"/>
        <v>ENTRADA</v>
      </c>
      <c r="C648" t="str">
        <f t="shared" si="322"/>
        <v>NFSE</v>
      </c>
      <c r="D648" t="str">
        <f>"2690"</f>
        <v>2690</v>
      </c>
      <c r="E648" t="str">
        <f t="shared" si="314"/>
        <v>COM</v>
      </c>
      <c r="F648" t="str">
        <f>"DROGA MONICA LJ 17 (10154)"</f>
        <v>DROGA MONICA LJ 17 (10154)</v>
      </c>
      <c r="G648" t="str">
        <f>"Serv.Prest. 27/01/2025 a 02/02/2025 - RPS: 463 - NFSe: 2690"</f>
        <v>Serv.Prest. 27/01/2025 a 02/02/2025 - RPS: 463 - NFSe: 2690</v>
      </c>
      <c r="H648" t="str">
        <f t="shared" si="319"/>
        <v>05/02/2025</v>
      </c>
      <c r="I648" t="str">
        <f t="shared" si="321"/>
        <v>03/02/2025</v>
      </c>
      <c r="J648" t="str">
        <f t="shared" si="320"/>
        <v>05/02/2025</v>
      </c>
      <c r="K648">
        <v>106.8</v>
      </c>
      <c r="L648">
        <v>106.8</v>
      </c>
      <c r="M648">
        <v>303</v>
      </c>
      <c r="N648" t="str">
        <f t="shared" si="323"/>
        <v>RECEITAS COM ENTREGAS</v>
      </c>
      <c r="O648">
        <v>106.8</v>
      </c>
      <c r="R648" t="str">
        <f t="shared" si="324"/>
        <v>RECEITAS COM ENTREGAS (303)</v>
      </c>
      <c r="S648">
        <v>970</v>
      </c>
      <c r="T648">
        <v>814</v>
      </c>
      <c r="U648" t="s">
        <v>19</v>
      </c>
    </row>
    <row r="649" spans="1:21">
      <c r="A649" t="str">
        <f t="shared" si="318"/>
        <v>05/02/2025</v>
      </c>
      <c r="B649" t="str">
        <f t="shared" si="325"/>
        <v>ENTRADA</v>
      </c>
      <c r="C649" t="str">
        <f t="shared" si="322"/>
        <v>NFSE</v>
      </c>
      <c r="D649" t="str">
        <f>"2690"</f>
        <v>2690</v>
      </c>
      <c r="E649" t="str">
        <f t="shared" si="314"/>
        <v>COM</v>
      </c>
      <c r="F649" t="str">
        <f>"DROGA MONICA LJ 17 (10154)"</f>
        <v>DROGA MONICA LJ 17 (10154)</v>
      </c>
      <c r="G649" t="str">
        <f>"Serv.Prest. 27/01/2025 a 02/02/2025 - RPS: 463 - NFSe: 2690"</f>
        <v>Serv.Prest. 27/01/2025 a 02/02/2025 - RPS: 463 - NFSe: 2690</v>
      </c>
      <c r="H649" t="str">
        <f t="shared" si="319"/>
        <v>05/02/2025</v>
      </c>
      <c r="I649" t="str">
        <f t="shared" si="321"/>
        <v>03/02/2025</v>
      </c>
      <c r="J649" t="str">
        <f t="shared" si="320"/>
        <v>05/02/2025</v>
      </c>
      <c r="M649">
        <v>303</v>
      </c>
      <c r="N649" t="str">
        <f t="shared" si="323"/>
        <v>RECEITAS COM ENTREGAS</v>
      </c>
      <c r="P649">
        <v>106.8</v>
      </c>
      <c r="Q649" t="str">
        <f>"DROGA MONICA LJ 17 (10154)"</f>
        <v>DROGA MONICA LJ 17 (10154)</v>
      </c>
      <c r="R649" t="str">
        <f t="shared" si="324"/>
        <v>RECEITAS COM ENTREGAS (303)</v>
      </c>
      <c r="S649">
        <v>970</v>
      </c>
      <c r="T649">
        <v>814</v>
      </c>
      <c r="U649" t="s">
        <v>19</v>
      </c>
    </row>
    <row r="650" spans="1:21">
      <c r="A650" t="str">
        <f t="shared" si="318"/>
        <v>05/02/2025</v>
      </c>
      <c r="B650" t="str">
        <f t="shared" si="325"/>
        <v>ENTRADA</v>
      </c>
      <c r="C650" t="str">
        <f t="shared" si="322"/>
        <v>NFSE</v>
      </c>
      <c r="D650" t="str">
        <f>"2691"</f>
        <v>2691</v>
      </c>
      <c r="E650" t="str">
        <f t="shared" si="314"/>
        <v>COM</v>
      </c>
      <c r="F650" t="str">
        <f>"DROGA MONICA LJ 3 (10152)"</f>
        <v>DROGA MONICA LJ 3 (10152)</v>
      </c>
      <c r="G650" t="str">
        <f>"Serv.Prest. 27/01/2025 a 02/02/2025 - RPS: 464 - NFSe: 2691"</f>
        <v>Serv.Prest. 27/01/2025 a 02/02/2025 - RPS: 464 - NFSe: 2691</v>
      </c>
      <c r="H650" t="str">
        <f t="shared" si="319"/>
        <v>05/02/2025</v>
      </c>
      <c r="I650" t="str">
        <f t="shared" si="321"/>
        <v>03/02/2025</v>
      </c>
      <c r="J650" t="str">
        <f t="shared" si="320"/>
        <v>05/02/2025</v>
      </c>
      <c r="K650">
        <v>106.8</v>
      </c>
      <c r="L650">
        <v>106.8</v>
      </c>
      <c r="M650">
        <v>303</v>
      </c>
      <c r="N650" t="str">
        <f t="shared" si="323"/>
        <v>RECEITAS COM ENTREGAS</v>
      </c>
      <c r="O650">
        <v>106.8</v>
      </c>
      <c r="R650" t="str">
        <f t="shared" si="324"/>
        <v>RECEITAS COM ENTREGAS (303)</v>
      </c>
      <c r="S650">
        <v>971</v>
      </c>
      <c r="T650">
        <v>815</v>
      </c>
      <c r="U650" t="s">
        <v>19</v>
      </c>
    </row>
    <row r="651" spans="1:21">
      <c r="A651" t="str">
        <f t="shared" si="318"/>
        <v>05/02/2025</v>
      </c>
      <c r="B651" t="str">
        <f t="shared" si="325"/>
        <v>ENTRADA</v>
      </c>
      <c r="C651" t="str">
        <f t="shared" si="322"/>
        <v>NFSE</v>
      </c>
      <c r="D651" t="str">
        <f>"2691"</f>
        <v>2691</v>
      </c>
      <c r="E651" t="str">
        <f t="shared" si="314"/>
        <v>COM</v>
      </c>
      <c r="F651" t="str">
        <f>"DROGA MONICA LJ 3 (10152)"</f>
        <v>DROGA MONICA LJ 3 (10152)</v>
      </c>
      <c r="G651" t="str">
        <f>"Serv.Prest. 27/01/2025 a 02/02/2025 - RPS: 464 - NFSe: 2691"</f>
        <v>Serv.Prest. 27/01/2025 a 02/02/2025 - RPS: 464 - NFSe: 2691</v>
      </c>
      <c r="H651" t="str">
        <f t="shared" si="319"/>
        <v>05/02/2025</v>
      </c>
      <c r="I651" t="str">
        <f t="shared" si="321"/>
        <v>03/02/2025</v>
      </c>
      <c r="J651" t="str">
        <f t="shared" si="320"/>
        <v>05/02/2025</v>
      </c>
      <c r="M651">
        <v>303</v>
      </c>
      <c r="N651" t="str">
        <f t="shared" si="323"/>
        <v>RECEITAS COM ENTREGAS</v>
      </c>
      <c r="P651">
        <v>106.8</v>
      </c>
      <c r="Q651" t="str">
        <f>"DROGA MONICA LJ 3 (10152)"</f>
        <v>DROGA MONICA LJ 3 (10152)</v>
      </c>
      <c r="R651" t="str">
        <f t="shared" si="324"/>
        <v>RECEITAS COM ENTREGAS (303)</v>
      </c>
      <c r="S651">
        <v>971</v>
      </c>
      <c r="T651">
        <v>815</v>
      </c>
      <c r="U651" t="s">
        <v>19</v>
      </c>
    </row>
    <row r="652" spans="1:21">
      <c r="A652" t="str">
        <f t="shared" si="318"/>
        <v>05/02/2025</v>
      </c>
      <c r="B652" t="str">
        <f t="shared" si="325"/>
        <v>ENTRADA</v>
      </c>
      <c r="C652" t="str">
        <f t="shared" si="322"/>
        <v>NFSE</v>
      </c>
      <c r="D652" t="str">
        <f>"2692"</f>
        <v>2692</v>
      </c>
      <c r="E652" t="str">
        <f t="shared" si="314"/>
        <v>COM</v>
      </c>
      <c r="F652" t="str">
        <f>"DROGA MONICA LJ 8 (10153)"</f>
        <v>DROGA MONICA LJ 8 (10153)</v>
      </c>
      <c r="G652" t="str">
        <f>"Serv.Prest. 27/01/2025 a 02/02/2025 - RPS: 465 - NFSe: 2692"</f>
        <v>Serv.Prest. 27/01/2025 a 02/02/2025 - RPS: 465 - NFSe: 2692</v>
      </c>
      <c r="H652" t="str">
        <f t="shared" si="319"/>
        <v>05/02/2025</v>
      </c>
      <c r="I652" t="str">
        <f t="shared" si="321"/>
        <v>03/02/2025</v>
      </c>
      <c r="J652" t="str">
        <f t="shared" si="320"/>
        <v>05/02/2025</v>
      </c>
      <c r="K652">
        <v>106.8</v>
      </c>
      <c r="L652">
        <v>106.8</v>
      </c>
      <c r="M652">
        <v>303</v>
      </c>
      <c r="N652" t="str">
        <f t="shared" si="323"/>
        <v>RECEITAS COM ENTREGAS</v>
      </c>
      <c r="O652">
        <v>106.8</v>
      </c>
      <c r="R652" t="str">
        <f t="shared" si="324"/>
        <v>RECEITAS COM ENTREGAS (303)</v>
      </c>
      <c r="S652">
        <v>972</v>
      </c>
      <c r="T652">
        <v>816</v>
      </c>
      <c r="U652" t="s">
        <v>19</v>
      </c>
    </row>
    <row r="653" spans="1:21">
      <c r="A653" t="str">
        <f t="shared" si="318"/>
        <v>05/02/2025</v>
      </c>
      <c r="B653" t="str">
        <f t="shared" si="325"/>
        <v>ENTRADA</v>
      </c>
      <c r="C653" t="str">
        <f t="shared" si="322"/>
        <v>NFSE</v>
      </c>
      <c r="D653" t="str">
        <f>"2692"</f>
        <v>2692</v>
      </c>
      <c r="E653" t="str">
        <f t="shared" si="314"/>
        <v>COM</v>
      </c>
      <c r="F653" t="str">
        <f>"DROGA MONICA LJ 8 (10153)"</f>
        <v>DROGA MONICA LJ 8 (10153)</v>
      </c>
      <c r="G653" t="str">
        <f>"Serv.Prest. 27/01/2025 a 02/02/2025 - RPS: 465 - NFSe: 2692"</f>
        <v>Serv.Prest. 27/01/2025 a 02/02/2025 - RPS: 465 - NFSe: 2692</v>
      </c>
      <c r="H653" t="str">
        <f t="shared" si="319"/>
        <v>05/02/2025</v>
      </c>
      <c r="I653" t="str">
        <f t="shared" si="321"/>
        <v>03/02/2025</v>
      </c>
      <c r="J653" t="str">
        <f t="shared" si="320"/>
        <v>05/02/2025</v>
      </c>
      <c r="M653">
        <v>303</v>
      </c>
      <c r="N653" t="str">
        <f t="shared" si="323"/>
        <v>RECEITAS COM ENTREGAS</v>
      </c>
      <c r="P653">
        <v>106.8</v>
      </c>
      <c r="Q653" t="str">
        <f>"DROGA MONICA LJ 8 (10153)"</f>
        <v>DROGA MONICA LJ 8 (10153)</v>
      </c>
      <c r="R653" t="str">
        <f t="shared" si="324"/>
        <v>RECEITAS COM ENTREGAS (303)</v>
      </c>
      <c r="S653">
        <v>972</v>
      </c>
      <c r="T653">
        <v>816</v>
      </c>
      <c r="U653" t="s">
        <v>19</v>
      </c>
    </row>
    <row r="654" spans="1:21">
      <c r="A654" t="str">
        <f t="shared" si="318"/>
        <v>05/02/2025</v>
      </c>
      <c r="B654" t="str">
        <f t="shared" si="325"/>
        <v>ENTRADA</v>
      </c>
      <c r="C654" t="str">
        <f t="shared" si="322"/>
        <v>NFSE</v>
      </c>
      <c r="D654" t="str">
        <f>"2663"</f>
        <v>2663</v>
      </c>
      <c r="E654" t="str">
        <f t="shared" si="314"/>
        <v>COM</v>
      </c>
      <c r="F654" t="str">
        <f>"FARMACIA ECONOMIZE (10103)"</f>
        <v>FARMACIA ECONOMIZE (10103)</v>
      </c>
      <c r="G654" t="str">
        <f>"Serv.Prest. 20/01/2025 a 26/01/2025 - RPS: 437 - NFSe: 2663"</f>
        <v>Serv.Prest. 20/01/2025 a 26/01/2025 - RPS: 437 - NFSe: 2663</v>
      </c>
      <c r="H654" t="str">
        <f>("29/01/2025")</f>
        <v>29/01/2025</v>
      </c>
      <c r="I654" t="str">
        <f>("27/01/2025")</f>
        <v>27/01/2025</v>
      </c>
      <c r="J654" t="str">
        <f t="shared" si="320"/>
        <v>05/02/2025</v>
      </c>
      <c r="K654">
        <v>106.08</v>
      </c>
      <c r="L654">
        <v>108.41</v>
      </c>
      <c r="M654">
        <v>303</v>
      </c>
      <c r="N654" t="str">
        <f t="shared" si="323"/>
        <v>RECEITAS COM ENTREGAS</v>
      </c>
      <c r="O654">
        <v>108.41</v>
      </c>
      <c r="R654" t="str">
        <f t="shared" si="324"/>
        <v>RECEITAS COM ENTREGAS (303)</v>
      </c>
      <c r="S654">
        <v>973</v>
      </c>
      <c r="T654">
        <v>783</v>
      </c>
      <c r="U654" t="s">
        <v>19</v>
      </c>
    </row>
    <row r="655" spans="1:21">
      <c r="A655" t="str">
        <f t="shared" si="318"/>
        <v>05/02/2025</v>
      </c>
      <c r="B655" t="str">
        <f t="shared" si="325"/>
        <v>ENTRADA</v>
      </c>
      <c r="C655" t="str">
        <f t="shared" si="322"/>
        <v>NFSE</v>
      </c>
      <c r="D655" t="str">
        <f>"2663"</f>
        <v>2663</v>
      </c>
      <c r="E655" t="str">
        <f t="shared" ref="E655:E661" si="326">"COM"</f>
        <v>COM</v>
      </c>
      <c r="F655" t="str">
        <f>"FARMACIA ECONOMIZE (10103)"</f>
        <v>FARMACIA ECONOMIZE (10103)</v>
      </c>
      <c r="G655" t="str">
        <f>"Serv.Prest. 20/01/2025 a 26/01/2025 - RPS: 437 - NFSe: 2663"</f>
        <v>Serv.Prest. 20/01/2025 a 26/01/2025 - RPS: 437 - NFSe: 2663</v>
      </c>
      <c r="H655" t="str">
        <f>("29/01/2025")</f>
        <v>29/01/2025</v>
      </c>
      <c r="I655" t="str">
        <f>("27/01/2025")</f>
        <v>27/01/2025</v>
      </c>
      <c r="J655" t="str">
        <f t="shared" si="320"/>
        <v>05/02/2025</v>
      </c>
      <c r="M655">
        <v>303</v>
      </c>
      <c r="N655" t="str">
        <f t="shared" si="323"/>
        <v>RECEITAS COM ENTREGAS</v>
      </c>
      <c r="P655">
        <v>108.41</v>
      </c>
      <c r="Q655" t="str">
        <f>"FARMACIA ECONOMIZE (10103)"</f>
        <v>FARMACIA ECONOMIZE (10103)</v>
      </c>
      <c r="R655" t="str">
        <f t="shared" si="324"/>
        <v>RECEITAS COM ENTREGAS (303)</v>
      </c>
      <c r="S655">
        <v>973</v>
      </c>
      <c r="T655">
        <v>783</v>
      </c>
      <c r="U655" t="s">
        <v>19</v>
      </c>
    </row>
    <row r="656" spans="1:21">
      <c r="A656" t="str">
        <f t="shared" si="318"/>
        <v>05/02/2025</v>
      </c>
      <c r="B656" t="str">
        <f t="shared" si="325"/>
        <v>ENTRADA</v>
      </c>
      <c r="C656" t="str">
        <f t="shared" si="322"/>
        <v>NFSE</v>
      </c>
      <c r="D656" t="str">
        <f>"2671"</f>
        <v>2671</v>
      </c>
      <c r="E656" t="str">
        <f t="shared" si="326"/>
        <v>COM</v>
      </c>
      <c r="F656" t="str">
        <f>"DROGA MONICA (10147)"</f>
        <v>DROGA MONICA (10147)</v>
      </c>
      <c r="G656" t="str">
        <f>"Serv.Prest. 20/01/2025 a 26/01/2025 - RPS: 445 - NFSe: 2671"</f>
        <v>Serv.Prest. 20/01/2025 a 26/01/2025 - RPS: 445 - NFSe: 2671</v>
      </c>
      <c r="H656" t="str">
        <f t="shared" ref="H656:H661" si="327">("04/02/2025")</f>
        <v>04/02/2025</v>
      </c>
      <c r="I656" t="str">
        <f>("28/01/2025")</f>
        <v>28/01/2025</v>
      </c>
      <c r="J656" t="str">
        <f t="shared" si="320"/>
        <v>05/02/2025</v>
      </c>
      <c r="K656">
        <v>114</v>
      </c>
      <c r="L656">
        <v>114</v>
      </c>
      <c r="M656">
        <v>303</v>
      </c>
      <c r="N656" t="str">
        <f t="shared" si="323"/>
        <v>RECEITAS COM ENTREGAS</v>
      </c>
      <c r="O656">
        <v>114</v>
      </c>
      <c r="R656" t="str">
        <f t="shared" si="324"/>
        <v>RECEITAS COM ENTREGAS (303)</v>
      </c>
      <c r="S656">
        <v>974</v>
      </c>
      <c r="T656">
        <v>793</v>
      </c>
      <c r="U656" t="s">
        <v>19</v>
      </c>
    </row>
    <row r="657" spans="1:21">
      <c r="A657" t="str">
        <f t="shared" si="318"/>
        <v>05/02/2025</v>
      </c>
      <c r="B657" t="str">
        <f t="shared" si="325"/>
        <v>ENTRADA</v>
      </c>
      <c r="C657" t="str">
        <f t="shared" si="322"/>
        <v>NFSE</v>
      </c>
      <c r="D657" t="str">
        <f>"2671"</f>
        <v>2671</v>
      </c>
      <c r="E657" t="str">
        <f t="shared" si="326"/>
        <v>COM</v>
      </c>
      <c r="F657" t="str">
        <f>"DROGA MONICA (10147)"</f>
        <v>DROGA MONICA (10147)</v>
      </c>
      <c r="G657" t="str">
        <f>"Serv.Prest. 20/01/2025 a 26/01/2025 - RPS: 445 - NFSe: 2671"</f>
        <v>Serv.Prest. 20/01/2025 a 26/01/2025 - RPS: 445 - NFSe: 2671</v>
      </c>
      <c r="H657" t="str">
        <f t="shared" si="327"/>
        <v>04/02/2025</v>
      </c>
      <c r="I657" t="str">
        <f>("28/01/2025")</f>
        <v>28/01/2025</v>
      </c>
      <c r="J657" t="str">
        <f t="shared" si="320"/>
        <v>05/02/2025</v>
      </c>
      <c r="M657">
        <v>303</v>
      </c>
      <c r="N657" t="str">
        <f t="shared" si="323"/>
        <v>RECEITAS COM ENTREGAS</v>
      </c>
      <c r="P657">
        <v>114</v>
      </c>
      <c r="Q657" t="str">
        <f>"DROGA MONICA (10147)"</f>
        <v>DROGA MONICA (10147)</v>
      </c>
      <c r="R657" t="str">
        <f t="shared" si="324"/>
        <v>RECEITAS COM ENTREGAS (303)</v>
      </c>
      <c r="S657">
        <v>974</v>
      </c>
      <c r="T657">
        <v>793</v>
      </c>
      <c r="U657" t="s">
        <v>19</v>
      </c>
    </row>
    <row r="658" spans="1:21">
      <c r="A658" t="str">
        <f t="shared" si="318"/>
        <v>05/02/2025</v>
      </c>
      <c r="B658" t="str">
        <f t="shared" si="325"/>
        <v>ENTRADA</v>
      </c>
      <c r="C658" t="str">
        <f t="shared" si="322"/>
        <v>NFSE</v>
      </c>
      <c r="D658" t="str">
        <f>"2673"</f>
        <v>2673</v>
      </c>
      <c r="E658" t="str">
        <f t="shared" si="326"/>
        <v>COM</v>
      </c>
      <c r="F658" t="str">
        <f>"DROGA MONICA LJ 22 (10158)"</f>
        <v>DROGA MONICA LJ 22 (10158)</v>
      </c>
      <c r="G658" t="str">
        <f>"Serv.Prest. 20/01/2025 a 26/01/2025 - RPS: 447 - NFSe: 2673"</f>
        <v>Serv.Prest. 20/01/2025 a 26/01/2025 - RPS: 447 - NFSe: 2673</v>
      </c>
      <c r="H658" t="str">
        <f t="shared" si="327"/>
        <v>04/02/2025</v>
      </c>
      <c r="I658" t="str">
        <f>("30/01/2025")</f>
        <v>30/01/2025</v>
      </c>
      <c r="J658" t="str">
        <f t="shared" si="320"/>
        <v>05/02/2025</v>
      </c>
      <c r="K658">
        <v>112.8</v>
      </c>
      <c r="L658">
        <v>112.8</v>
      </c>
      <c r="M658">
        <v>303</v>
      </c>
      <c r="N658" t="str">
        <f t="shared" si="323"/>
        <v>RECEITAS COM ENTREGAS</v>
      </c>
      <c r="O658">
        <v>112.8</v>
      </c>
      <c r="R658" t="str">
        <f t="shared" si="324"/>
        <v>RECEITAS COM ENTREGAS (303)</v>
      </c>
      <c r="S658">
        <v>975</v>
      </c>
      <c r="T658">
        <v>796</v>
      </c>
      <c r="U658" t="s">
        <v>19</v>
      </c>
    </row>
    <row r="659" spans="1:21">
      <c r="A659" t="str">
        <f t="shared" si="318"/>
        <v>05/02/2025</v>
      </c>
      <c r="B659" t="str">
        <f t="shared" si="325"/>
        <v>ENTRADA</v>
      </c>
      <c r="C659" t="str">
        <f t="shared" si="322"/>
        <v>NFSE</v>
      </c>
      <c r="D659" t="str">
        <f>"2673"</f>
        <v>2673</v>
      </c>
      <c r="E659" t="str">
        <f t="shared" si="326"/>
        <v>COM</v>
      </c>
      <c r="F659" t="str">
        <f>"DROGA MONICA LJ 22 (10158)"</f>
        <v>DROGA MONICA LJ 22 (10158)</v>
      </c>
      <c r="G659" t="str">
        <f>"Serv.Prest. 20/01/2025 a 26/01/2025 - RPS: 447 - NFSe: 2673"</f>
        <v>Serv.Prest. 20/01/2025 a 26/01/2025 - RPS: 447 - NFSe: 2673</v>
      </c>
      <c r="H659" t="str">
        <f t="shared" si="327"/>
        <v>04/02/2025</v>
      </c>
      <c r="I659" t="str">
        <f>("30/01/2025")</f>
        <v>30/01/2025</v>
      </c>
      <c r="J659" t="str">
        <f t="shared" si="320"/>
        <v>05/02/2025</v>
      </c>
      <c r="M659">
        <v>303</v>
      </c>
      <c r="N659" t="str">
        <f t="shared" si="323"/>
        <v>RECEITAS COM ENTREGAS</v>
      </c>
      <c r="P659">
        <v>112.8</v>
      </c>
      <c r="Q659" t="str">
        <f>"DROGA MONICA LJ 22 (10158)"</f>
        <v>DROGA MONICA LJ 22 (10158)</v>
      </c>
      <c r="R659" t="str">
        <f t="shared" si="324"/>
        <v>RECEITAS COM ENTREGAS (303)</v>
      </c>
      <c r="S659">
        <v>975</v>
      </c>
      <c r="T659">
        <v>796</v>
      </c>
      <c r="U659" t="s">
        <v>19</v>
      </c>
    </row>
    <row r="660" spans="1:21">
      <c r="A660" t="str">
        <f t="shared" si="318"/>
        <v>05/02/2025</v>
      </c>
      <c r="B660" t="str">
        <f t="shared" si="325"/>
        <v>ENTRADA</v>
      </c>
      <c r="C660" t="str">
        <f t="shared" si="322"/>
        <v>NFSE</v>
      </c>
      <c r="D660" t="str">
        <f>"2675"</f>
        <v>2675</v>
      </c>
      <c r="E660" t="str">
        <f t="shared" si="326"/>
        <v>COM</v>
      </c>
      <c r="F660" t="str">
        <f>"DROGA MONICA LJ 6 (10157)"</f>
        <v>DROGA MONICA LJ 6 (10157)</v>
      </c>
      <c r="G660" t="str">
        <f>"Serv.Prest. 20/01/2025 a 26/01/2025 - RPS: 449 - NFSe: 2675"</f>
        <v>Serv.Prest. 20/01/2025 a 26/01/2025 - RPS: 449 - NFSe: 2675</v>
      </c>
      <c r="H660" t="str">
        <f t="shared" si="327"/>
        <v>04/02/2025</v>
      </c>
      <c r="I660" t="str">
        <f>("30/01/2025")</f>
        <v>30/01/2025</v>
      </c>
      <c r="J660" t="str">
        <f t="shared" si="320"/>
        <v>05/02/2025</v>
      </c>
      <c r="K660">
        <v>112.8</v>
      </c>
      <c r="L660">
        <v>112.8</v>
      </c>
      <c r="M660">
        <v>303</v>
      </c>
      <c r="N660" t="str">
        <f t="shared" si="323"/>
        <v>RECEITAS COM ENTREGAS</v>
      </c>
      <c r="O660">
        <v>112.8</v>
      </c>
      <c r="R660" t="str">
        <f t="shared" si="324"/>
        <v>RECEITAS COM ENTREGAS (303)</v>
      </c>
      <c r="S660">
        <v>976</v>
      </c>
      <c r="T660">
        <v>798</v>
      </c>
      <c r="U660" t="s">
        <v>19</v>
      </c>
    </row>
    <row r="661" spans="1:21">
      <c r="A661" t="str">
        <f t="shared" si="318"/>
        <v>05/02/2025</v>
      </c>
      <c r="B661" t="str">
        <f t="shared" si="325"/>
        <v>ENTRADA</v>
      </c>
      <c r="C661" t="str">
        <f t="shared" si="322"/>
        <v>NFSE</v>
      </c>
      <c r="D661" t="str">
        <f>"2675"</f>
        <v>2675</v>
      </c>
      <c r="E661" t="str">
        <f t="shared" si="326"/>
        <v>COM</v>
      </c>
      <c r="F661" t="str">
        <f>"DROGA MONICA LJ 6 (10157)"</f>
        <v>DROGA MONICA LJ 6 (10157)</v>
      </c>
      <c r="G661" t="str">
        <f>"Serv.Prest. 20/01/2025 a 26/01/2025 - RPS: 449 - NFSe: 2675"</f>
        <v>Serv.Prest. 20/01/2025 a 26/01/2025 - RPS: 449 - NFSe: 2675</v>
      </c>
      <c r="H661" t="str">
        <f t="shared" si="327"/>
        <v>04/02/2025</v>
      </c>
      <c r="I661" t="str">
        <f>("30/01/2025")</f>
        <v>30/01/2025</v>
      </c>
      <c r="J661" t="str">
        <f t="shared" si="320"/>
        <v>05/02/2025</v>
      </c>
      <c r="M661">
        <v>303</v>
      </c>
      <c r="N661" t="str">
        <f t="shared" si="323"/>
        <v>RECEITAS COM ENTREGAS</v>
      </c>
      <c r="P661">
        <v>112.8</v>
      </c>
      <c r="Q661" t="str">
        <f>"DROGA MONICA LJ 6 (10157)"</f>
        <v>DROGA MONICA LJ 6 (10157)</v>
      </c>
      <c r="R661" t="str">
        <f t="shared" si="324"/>
        <v>RECEITAS COM ENTREGAS (303)</v>
      </c>
      <c r="S661">
        <v>976</v>
      </c>
      <c r="T661">
        <v>798</v>
      </c>
      <c r="U661" t="s">
        <v>19</v>
      </c>
    </row>
    <row r="662" spans="1:21">
      <c r="A662" t="str">
        <f t="shared" si="318"/>
        <v>05/02/2025</v>
      </c>
      <c r="B662" t="str">
        <f t="shared" ref="B662:B672" si="328">"SAÍDA"</f>
        <v>SAÍDA</v>
      </c>
      <c r="C662" t="str">
        <f t="shared" ref="C662:C672" si="329">"JUROS"</f>
        <v>JUROS</v>
      </c>
      <c r="D662" t="str">
        <f>""</f>
        <v/>
      </c>
      <c r="E662" t="str">
        <f t="shared" ref="E662:E672" si="330">"CXA"</f>
        <v>CXA</v>
      </c>
      <c r="F662" t="str">
        <f>""</f>
        <v/>
      </c>
      <c r="G662" t="str">
        <f t="shared" ref="G662:G672" si="331">"TAXA BOLETO COMPENSADO"</f>
        <v>TAXA BOLETO COMPENSADO</v>
      </c>
      <c r="H662" t="str">
        <f t="shared" ref="H662:I672" si="332">("05/02/2025")</f>
        <v>05/02/2025</v>
      </c>
      <c r="I662" t="str">
        <f t="shared" si="332"/>
        <v>05/02/2025</v>
      </c>
      <c r="J662" t="str">
        <f t="shared" si="320"/>
        <v>05/02/2025</v>
      </c>
      <c r="K662">
        <v>1.7</v>
      </c>
      <c r="L662">
        <v>1.7</v>
      </c>
      <c r="M662">
        <v>401</v>
      </c>
      <c r="N662" t="str">
        <f t="shared" ref="N662:N672" si="333">"IOF/JUROS/DESP.FINANCEIRA"</f>
        <v>IOF/JUROS/DESP.FINANCEIRA</v>
      </c>
      <c r="O662">
        <v>1.7</v>
      </c>
      <c r="R662" t="str">
        <f t="shared" ref="R662:R672" si="334">"BANCO CORA (102)"</f>
        <v>BANCO CORA (102)</v>
      </c>
      <c r="S662">
        <v>980</v>
      </c>
      <c r="T662">
        <v>0</v>
      </c>
      <c r="U662" t="s">
        <v>20</v>
      </c>
    </row>
    <row r="663" spans="1:21">
      <c r="A663" t="str">
        <f t="shared" si="318"/>
        <v>05/02/2025</v>
      </c>
      <c r="B663" t="str">
        <f t="shared" si="328"/>
        <v>SAÍDA</v>
      </c>
      <c r="C663" t="str">
        <f t="shared" si="329"/>
        <v>JUROS</v>
      </c>
      <c r="D663" t="str">
        <f>""</f>
        <v/>
      </c>
      <c r="E663" t="str">
        <f t="shared" si="330"/>
        <v>CXA</v>
      </c>
      <c r="F663" t="str">
        <f>""</f>
        <v/>
      </c>
      <c r="G663" t="str">
        <f t="shared" si="331"/>
        <v>TAXA BOLETO COMPENSADO</v>
      </c>
      <c r="H663" t="str">
        <f t="shared" si="332"/>
        <v>05/02/2025</v>
      </c>
      <c r="I663" t="str">
        <f t="shared" si="332"/>
        <v>05/02/2025</v>
      </c>
      <c r="J663" t="str">
        <f t="shared" si="320"/>
        <v>05/02/2025</v>
      </c>
      <c r="K663">
        <v>1.7</v>
      </c>
      <c r="L663">
        <v>1.7</v>
      </c>
      <c r="M663">
        <v>401</v>
      </c>
      <c r="N663" t="str">
        <f t="shared" si="333"/>
        <v>IOF/JUROS/DESP.FINANCEIRA</v>
      </c>
      <c r="O663">
        <v>1.7</v>
      </c>
      <c r="R663" t="str">
        <f t="shared" si="334"/>
        <v>BANCO CORA (102)</v>
      </c>
      <c r="S663">
        <v>981</v>
      </c>
      <c r="T663">
        <v>0</v>
      </c>
      <c r="U663" t="s">
        <v>20</v>
      </c>
    </row>
    <row r="664" spans="1:21">
      <c r="A664" t="str">
        <f t="shared" si="318"/>
        <v>05/02/2025</v>
      </c>
      <c r="B664" t="str">
        <f t="shared" si="328"/>
        <v>SAÍDA</v>
      </c>
      <c r="C664" t="str">
        <f t="shared" si="329"/>
        <v>JUROS</v>
      </c>
      <c r="D664" t="str">
        <f>""</f>
        <v/>
      </c>
      <c r="E664" t="str">
        <f t="shared" si="330"/>
        <v>CXA</v>
      </c>
      <c r="F664" t="str">
        <f>""</f>
        <v/>
      </c>
      <c r="G664" t="str">
        <f t="shared" si="331"/>
        <v>TAXA BOLETO COMPENSADO</v>
      </c>
      <c r="H664" t="str">
        <f t="shared" si="332"/>
        <v>05/02/2025</v>
      </c>
      <c r="I664" t="str">
        <f t="shared" si="332"/>
        <v>05/02/2025</v>
      </c>
      <c r="J664" t="str">
        <f t="shared" si="320"/>
        <v>05/02/2025</v>
      </c>
      <c r="K664">
        <v>1.7</v>
      </c>
      <c r="L664">
        <v>1.7</v>
      </c>
      <c r="M664">
        <v>401</v>
      </c>
      <c r="N664" t="str">
        <f t="shared" si="333"/>
        <v>IOF/JUROS/DESP.FINANCEIRA</v>
      </c>
      <c r="O664">
        <v>1.7</v>
      </c>
      <c r="R664" t="str">
        <f t="shared" si="334"/>
        <v>BANCO CORA (102)</v>
      </c>
      <c r="S664">
        <v>982</v>
      </c>
      <c r="T664">
        <v>0</v>
      </c>
      <c r="U664" t="s">
        <v>20</v>
      </c>
    </row>
    <row r="665" spans="1:21">
      <c r="A665" t="str">
        <f t="shared" ref="A665:A672" si="335">("05/02/2025")</f>
        <v>05/02/2025</v>
      </c>
      <c r="B665" t="str">
        <f t="shared" si="328"/>
        <v>SAÍDA</v>
      </c>
      <c r="C665" t="str">
        <f t="shared" si="329"/>
        <v>JUROS</v>
      </c>
      <c r="D665" t="str">
        <f>""</f>
        <v/>
      </c>
      <c r="E665" t="str">
        <f t="shared" si="330"/>
        <v>CXA</v>
      </c>
      <c r="F665" t="str">
        <f>""</f>
        <v/>
      </c>
      <c r="G665" t="str">
        <f t="shared" si="331"/>
        <v>TAXA BOLETO COMPENSADO</v>
      </c>
      <c r="H665" t="str">
        <f t="shared" si="332"/>
        <v>05/02/2025</v>
      </c>
      <c r="I665" t="str">
        <f t="shared" si="332"/>
        <v>05/02/2025</v>
      </c>
      <c r="J665" t="str">
        <f t="shared" ref="J665:J672" si="336">("05/02/2025")</f>
        <v>05/02/2025</v>
      </c>
      <c r="K665">
        <v>1.7</v>
      </c>
      <c r="L665">
        <v>1.7</v>
      </c>
      <c r="M665">
        <v>401</v>
      </c>
      <c r="N665" t="str">
        <f t="shared" si="333"/>
        <v>IOF/JUROS/DESP.FINANCEIRA</v>
      </c>
      <c r="O665">
        <v>1.7</v>
      </c>
      <c r="R665" t="str">
        <f t="shared" si="334"/>
        <v>BANCO CORA (102)</v>
      </c>
      <c r="S665">
        <v>983</v>
      </c>
      <c r="T665">
        <v>0</v>
      </c>
      <c r="U665" t="s">
        <v>20</v>
      </c>
    </row>
    <row r="666" spans="1:21">
      <c r="A666" t="str">
        <f t="shared" si="335"/>
        <v>05/02/2025</v>
      </c>
      <c r="B666" t="str">
        <f t="shared" si="328"/>
        <v>SAÍDA</v>
      </c>
      <c r="C666" t="str">
        <f t="shared" si="329"/>
        <v>JUROS</v>
      </c>
      <c r="D666" t="str">
        <f>""</f>
        <v/>
      </c>
      <c r="E666" t="str">
        <f t="shared" si="330"/>
        <v>CXA</v>
      </c>
      <c r="F666" t="str">
        <f>""</f>
        <v/>
      </c>
      <c r="G666" t="str">
        <f t="shared" si="331"/>
        <v>TAXA BOLETO COMPENSADO</v>
      </c>
      <c r="H666" t="str">
        <f t="shared" si="332"/>
        <v>05/02/2025</v>
      </c>
      <c r="I666" t="str">
        <f t="shared" si="332"/>
        <v>05/02/2025</v>
      </c>
      <c r="J666" t="str">
        <f t="shared" si="336"/>
        <v>05/02/2025</v>
      </c>
      <c r="K666">
        <v>1.7</v>
      </c>
      <c r="L666">
        <v>1.7</v>
      </c>
      <c r="M666">
        <v>401</v>
      </c>
      <c r="N666" t="str">
        <f t="shared" si="333"/>
        <v>IOF/JUROS/DESP.FINANCEIRA</v>
      </c>
      <c r="O666">
        <v>1.7</v>
      </c>
      <c r="R666" t="str">
        <f t="shared" si="334"/>
        <v>BANCO CORA (102)</v>
      </c>
      <c r="S666">
        <v>984</v>
      </c>
      <c r="T666">
        <v>0</v>
      </c>
      <c r="U666" t="s">
        <v>20</v>
      </c>
    </row>
    <row r="667" spans="1:21">
      <c r="A667" t="str">
        <f t="shared" si="335"/>
        <v>05/02/2025</v>
      </c>
      <c r="B667" t="str">
        <f t="shared" si="328"/>
        <v>SAÍDA</v>
      </c>
      <c r="C667" t="str">
        <f t="shared" si="329"/>
        <v>JUROS</v>
      </c>
      <c r="D667" t="str">
        <f>""</f>
        <v/>
      </c>
      <c r="E667" t="str">
        <f t="shared" si="330"/>
        <v>CXA</v>
      </c>
      <c r="F667" t="str">
        <f>""</f>
        <v/>
      </c>
      <c r="G667" t="str">
        <f t="shared" si="331"/>
        <v>TAXA BOLETO COMPENSADO</v>
      </c>
      <c r="H667" t="str">
        <f t="shared" si="332"/>
        <v>05/02/2025</v>
      </c>
      <c r="I667" t="str">
        <f t="shared" si="332"/>
        <v>05/02/2025</v>
      </c>
      <c r="J667" t="str">
        <f t="shared" si="336"/>
        <v>05/02/2025</v>
      </c>
      <c r="K667">
        <v>1.7</v>
      </c>
      <c r="L667">
        <v>1.7</v>
      </c>
      <c r="M667">
        <v>401</v>
      </c>
      <c r="N667" t="str">
        <f t="shared" si="333"/>
        <v>IOF/JUROS/DESP.FINANCEIRA</v>
      </c>
      <c r="O667">
        <v>1.7</v>
      </c>
      <c r="R667" t="str">
        <f t="shared" si="334"/>
        <v>BANCO CORA (102)</v>
      </c>
      <c r="S667">
        <v>985</v>
      </c>
      <c r="T667">
        <v>0</v>
      </c>
      <c r="U667" t="s">
        <v>20</v>
      </c>
    </row>
    <row r="668" spans="1:21">
      <c r="A668" t="str">
        <f t="shared" si="335"/>
        <v>05/02/2025</v>
      </c>
      <c r="B668" t="str">
        <f t="shared" si="328"/>
        <v>SAÍDA</v>
      </c>
      <c r="C668" t="str">
        <f t="shared" si="329"/>
        <v>JUROS</v>
      </c>
      <c r="D668" t="str">
        <f>""</f>
        <v/>
      </c>
      <c r="E668" t="str">
        <f t="shared" si="330"/>
        <v>CXA</v>
      </c>
      <c r="F668" t="str">
        <f>""</f>
        <v/>
      </c>
      <c r="G668" t="str">
        <f t="shared" si="331"/>
        <v>TAXA BOLETO COMPENSADO</v>
      </c>
      <c r="H668" t="str">
        <f t="shared" si="332"/>
        <v>05/02/2025</v>
      </c>
      <c r="I668" t="str">
        <f t="shared" si="332"/>
        <v>05/02/2025</v>
      </c>
      <c r="J668" t="str">
        <f t="shared" si="336"/>
        <v>05/02/2025</v>
      </c>
      <c r="K668">
        <v>1.7</v>
      </c>
      <c r="L668">
        <v>1.7</v>
      </c>
      <c r="M668">
        <v>401</v>
      </c>
      <c r="N668" t="str">
        <f t="shared" si="333"/>
        <v>IOF/JUROS/DESP.FINANCEIRA</v>
      </c>
      <c r="O668">
        <v>1.7</v>
      </c>
      <c r="R668" t="str">
        <f t="shared" si="334"/>
        <v>BANCO CORA (102)</v>
      </c>
      <c r="S668">
        <v>986</v>
      </c>
      <c r="T668">
        <v>0</v>
      </c>
      <c r="U668" t="s">
        <v>20</v>
      </c>
    </row>
    <row r="669" spans="1:21">
      <c r="A669" t="str">
        <f t="shared" si="335"/>
        <v>05/02/2025</v>
      </c>
      <c r="B669" t="str">
        <f t="shared" si="328"/>
        <v>SAÍDA</v>
      </c>
      <c r="C669" t="str">
        <f t="shared" si="329"/>
        <v>JUROS</v>
      </c>
      <c r="D669" t="str">
        <f>""</f>
        <v/>
      </c>
      <c r="E669" t="str">
        <f t="shared" si="330"/>
        <v>CXA</v>
      </c>
      <c r="F669" t="str">
        <f>""</f>
        <v/>
      </c>
      <c r="G669" t="str">
        <f t="shared" si="331"/>
        <v>TAXA BOLETO COMPENSADO</v>
      </c>
      <c r="H669" t="str">
        <f t="shared" si="332"/>
        <v>05/02/2025</v>
      </c>
      <c r="I669" t="str">
        <f t="shared" si="332"/>
        <v>05/02/2025</v>
      </c>
      <c r="J669" t="str">
        <f t="shared" si="336"/>
        <v>05/02/2025</v>
      </c>
      <c r="K669">
        <v>1.7</v>
      </c>
      <c r="L669">
        <v>1.7</v>
      </c>
      <c r="M669">
        <v>401</v>
      </c>
      <c r="N669" t="str">
        <f t="shared" si="333"/>
        <v>IOF/JUROS/DESP.FINANCEIRA</v>
      </c>
      <c r="O669">
        <v>1.7</v>
      </c>
      <c r="R669" t="str">
        <f t="shared" si="334"/>
        <v>BANCO CORA (102)</v>
      </c>
      <c r="S669">
        <v>987</v>
      </c>
      <c r="T669">
        <v>0</v>
      </c>
      <c r="U669" t="s">
        <v>20</v>
      </c>
    </row>
    <row r="670" spans="1:21">
      <c r="A670" t="str">
        <f t="shared" si="335"/>
        <v>05/02/2025</v>
      </c>
      <c r="B670" t="str">
        <f t="shared" si="328"/>
        <v>SAÍDA</v>
      </c>
      <c r="C670" t="str">
        <f t="shared" si="329"/>
        <v>JUROS</v>
      </c>
      <c r="D670" t="str">
        <f>""</f>
        <v/>
      </c>
      <c r="E670" t="str">
        <f t="shared" si="330"/>
        <v>CXA</v>
      </c>
      <c r="F670" t="str">
        <f>""</f>
        <v/>
      </c>
      <c r="G670" t="str">
        <f t="shared" si="331"/>
        <v>TAXA BOLETO COMPENSADO</v>
      </c>
      <c r="H670" t="str">
        <f t="shared" si="332"/>
        <v>05/02/2025</v>
      </c>
      <c r="I670" t="str">
        <f t="shared" si="332"/>
        <v>05/02/2025</v>
      </c>
      <c r="J670" t="str">
        <f t="shared" si="336"/>
        <v>05/02/2025</v>
      </c>
      <c r="K670">
        <v>1.7</v>
      </c>
      <c r="L670">
        <v>1.7</v>
      </c>
      <c r="M670">
        <v>401</v>
      </c>
      <c r="N670" t="str">
        <f t="shared" si="333"/>
        <v>IOF/JUROS/DESP.FINANCEIRA</v>
      </c>
      <c r="O670">
        <v>1.7</v>
      </c>
      <c r="R670" t="str">
        <f t="shared" si="334"/>
        <v>BANCO CORA (102)</v>
      </c>
      <c r="S670">
        <v>988</v>
      </c>
      <c r="T670">
        <v>0</v>
      </c>
      <c r="U670" t="s">
        <v>20</v>
      </c>
    </row>
    <row r="671" spans="1:21">
      <c r="A671" t="str">
        <f t="shared" si="335"/>
        <v>05/02/2025</v>
      </c>
      <c r="B671" t="str">
        <f t="shared" si="328"/>
        <v>SAÍDA</v>
      </c>
      <c r="C671" t="str">
        <f t="shared" si="329"/>
        <v>JUROS</v>
      </c>
      <c r="D671" t="str">
        <f>""</f>
        <v/>
      </c>
      <c r="E671" t="str">
        <f t="shared" si="330"/>
        <v>CXA</v>
      </c>
      <c r="F671" t="str">
        <f>""</f>
        <v/>
      </c>
      <c r="G671" t="str">
        <f t="shared" si="331"/>
        <v>TAXA BOLETO COMPENSADO</v>
      </c>
      <c r="H671" t="str">
        <f t="shared" si="332"/>
        <v>05/02/2025</v>
      </c>
      <c r="I671" t="str">
        <f t="shared" si="332"/>
        <v>05/02/2025</v>
      </c>
      <c r="J671" t="str">
        <f t="shared" si="336"/>
        <v>05/02/2025</v>
      </c>
      <c r="K671">
        <v>1.7</v>
      </c>
      <c r="L671">
        <v>1.7</v>
      </c>
      <c r="M671">
        <v>401</v>
      </c>
      <c r="N671" t="str">
        <f t="shared" si="333"/>
        <v>IOF/JUROS/DESP.FINANCEIRA</v>
      </c>
      <c r="O671">
        <v>1.7</v>
      </c>
      <c r="R671" t="str">
        <f t="shared" si="334"/>
        <v>BANCO CORA (102)</v>
      </c>
      <c r="S671">
        <v>989</v>
      </c>
      <c r="T671">
        <v>0</v>
      </c>
      <c r="U671" t="s">
        <v>20</v>
      </c>
    </row>
    <row r="672" spans="1:21">
      <c r="A672" t="str">
        <f t="shared" si="335"/>
        <v>05/02/2025</v>
      </c>
      <c r="B672" t="str">
        <f t="shared" si="328"/>
        <v>SAÍDA</v>
      </c>
      <c r="C672" t="str">
        <f t="shared" si="329"/>
        <v>JUROS</v>
      </c>
      <c r="D672" t="str">
        <f>""</f>
        <v/>
      </c>
      <c r="E672" t="str">
        <f t="shared" si="330"/>
        <v>CXA</v>
      </c>
      <c r="F672" t="str">
        <f>""</f>
        <v/>
      </c>
      <c r="G672" t="str">
        <f t="shared" si="331"/>
        <v>TAXA BOLETO COMPENSADO</v>
      </c>
      <c r="H672" t="str">
        <f t="shared" si="332"/>
        <v>05/02/2025</v>
      </c>
      <c r="I672" t="str">
        <f t="shared" si="332"/>
        <v>05/02/2025</v>
      </c>
      <c r="J672" t="str">
        <f t="shared" si="336"/>
        <v>05/02/2025</v>
      </c>
      <c r="K672">
        <v>1.7</v>
      </c>
      <c r="L672">
        <v>1.7</v>
      </c>
      <c r="M672">
        <v>401</v>
      </c>
      <c r="N672" t="str">
        <f t="shared" si="333"/>
        <v>IOF/JUROS/DESP.FINANCEIRA</v>
      </c>
      <c r="O672">
        <v>1.7</v>
      </c>
      <c r="R672" t="str">
        <f t="shared" si="334"/>
        <v>BANCO CORA (102)</v>
      </c>
      <c r="S672">
        <v>990</v>
      </c>
      <c r="T672">
        <v>0</v>
      </c>
      <c r="U672" t="s">
        <v>20</v>
      </c>
    </row>
    <row r="673" spans="1:21">
      <c r="A673" t="str">
        <f t="shared" ref="A673:A699" si="337">("06/02/2025")</f>
        <v>06/02/2025</v>
      </c>
      <c r="B673" t="str">
        <f>"ENTRADA"</f>
        <v>ENTRADA</v>
      </c>
      <c r="C673" t="str">
        <f t="shared" ref="C673:C690" si="338">"NFSE"</f>
        <v>NFSE</v>
      </c>
      <c r="D673" t="str">
        <f>"2672"</f>
        <v>2672</v>
      </c>
      <c r="E673" t="str">
        <f t="shared" ref="E673:E690" si="339">"COM"</f>
        <v>COM</v>
      </c>
      <c r="F673" t="str">
        <f>"DROGA MONICA LJ 17 (10154)"</f>
        <v>DROGA MONICA LJ 17 (10154)</v>
      </c>
      <c r="G673" t="str">
        <f>"Serv.Prest. 20/01/2025 a 26/01/2025 - RPS: 446 - NFSe: 2672"</f>
        <v>Serv.Prest. 20/01/2025 a 26/01/2025 - RPS: 446 - NFSe: 2672</v>
      </c>
      <c r="H673" t="str">
        <f t="shared" ref="H673:H678" si="340">("04/02/2025")</f>
        <v>04/02/2025</v>
      </c>
      <c r="I673" t="str">
        <f t="shared" ref="I673:I678" si="341">("30/01/2025")</f>
        <v>30/01/2025</v>
      </c>
      <c r="J673" t="str">
        <f t="shared" ref="J673:J699" si="342">("06/02/2025")</f>
        <v>06/02/2025</v>
      </c>
      <c r="K673">
        <v>106.8</v>
      </c>
      <c r="L673">
        <v>106.8</v>
      </c>
      <c r="M673">
        <v>303</v>
      </c>
      <c r="N673" t="str">
        <f t="shared" ref="N673:N690" si="343">"RECEITAS COM ENTREGAS"</f>
        <v>RECEITAS COM ENTREGAS</v>
      </c>
      <c r="O673">
        <v>106.8</v>
      </c>
      <c r="R673" t="str">
        <f t="shared" ref="R673:R690" si="344">"RECEITAS COM ENTREGAS (303)"</f>
        <v>RECEITAS COM ENTREGAS (303)</v>
      </c>
      <c r="S673">
        <v>977</v>
      </c>
      <c r="T673">
        <v>795</v>
      </c>
      <c r="U673" t="s">
        <v>19</v>
      </c>
    </row>
    <row r="674" spans="1:21">
      <c r="A674" t="str">
        <f t="shared" si="337"/>
        <v>06/02/2025</v>
      </c>
      <c r="B674" t="str">
        <f t="shared" ref="B674:B690" si="345">"ENTRADA"</f>
        <v>ENTRADA</v>
      </c>
      <c r="C674" t="str">
        <f t="shared" si="338"/>
        <v>NFSE</v>
      </c>
      <c r="D674" t="str">
        <f>"2672"</f>
        <v>2672</v>
      </c>
      <c r="E674" t="str">
        <f t="shared" si="339"/>
        <v>COM</v>
      </c>
      <c r="F674" t="str">
        <f>"DROGA MONICA LJ 17 (10154)"</f>
        <v>DROGA MONICA LJ 17 (10154)</v>
      </c>
      <c r="G674" t="str">
        <f>"Serv.Prest. 20/01/2025 a 26/01/2025 - RPS: 446 - NFSe: 2672"</f>
        <v>Serv.Prest. 20/01/2025 a 26/01/2025 - RPS: 446 - NFSe: 2672</v>
      </c>
      <c r="H674" t="str">
        <f t="shared" si="340"/>
        <v>04/02/2025</v>
      </c>
      <c r="I674" t="str">
        <f t="shared" si="341"/>
        <v>30/01/2025</v>
      </c>
      <c r="J674" t="str">
        <f t="shared" si="342"/>
        <v>06/02/2025</v>
      </c>
      <c r="M674">
        <v>303</v>
      </c>
      <c r="N674" t="str">
        <f t="shared" si="343"/>
        <v>RECEITAS COM ENTREGAS</v>
      </c>
      <c r="P674">
        <v>106.8</v>
      </c>
      <c r="Q674" t="str">
        <f>"DROGA MONICA LJ 17 (10154)"</f>
        <v>DROGA MONICA LJ 17 (10154)</v>
      </c>
      <c r="R674" t="str">
        <f t="shared" si="344"/>
        <v>RECEITAS COM ENTREGAS (303)</v>
      </c>
      <c r="S674">
        <v>977</v>
      </c>
      <c r="T674">
        <v>795</v>
      </c>
      <c r="U674" t="s">
        <v>19</v>
      </c>
    </row>
    <row r="675" spans="1:21">
      <c r="A675" t="str">
        <f t="shared" si="337"/>
        <v>06/02/2025</v>
      </c>
      <c r="B675" t="str">
        <f t="shared" si="345"/>
        <v>ENTRADA</v>
      </c>
      <c r="C675" t="str">
        <f t="shared" si="338"/>
        <v>NFSE</v>
      </c>
      <c r="D675" t="str">
        <f>"2674"</f>
        <v>2674</v>
      </c>
      <c r="E675" t="str">
        <f t="shared" si="339"/>
        <v>COM</v>
      </c>
      <c r="F675" t="str">
        <f>"DROGA MONICA LJ 3 (10152)"</f>
        <v>DROGA MONICA LJ 3 (10152)</v>
      </c>
      <c r="G675" t="str">
        <f>"Serv.Prest. 20/01/2025 a 26/01/2025 - RPS: 448 - NFSe: 2674"</f>
        <v>Serv.Prest. 20/01/2025 a 26/01/2025 - RPS: 448 - NFSe: 2674</v>
      </c>
      <c r="H675" t="str">
        <f t="shared" si="340"/>
        <v>04/02/2025</v>
      </c>
      <c r="I675" t="str">
        <f t="shared" si="341"/>
        <v>30/01/2025</v>
      </c>
      <c r="J675" t="str">
        <f t="shared" si="342"/>
        <v>06/02/2025</v>
      </c>
      <c r="K675">
        <v>106.8</v>
      </c>
      <c r="L675">
        <v>106.8</v>
      </c>
      <c r="M675">
        <v>303</v>
      </c>
      <c r="N675" t="str">
        <f t="shared" si="343"/>
        <v>RECEITAS COM ENTREGAS</v>
      </c>
      <c r="O675">
        <v>106.8</v>
      </c>
      <c r="R675" t="str">
        <f t="shared" si="344"/>
        <v>RECEITAS COM ENTREGAS (303)</v>
      </c>
      <c r="S675">
        <v>978</v>
      </c>
      <c r="T675">
        <v>797</v>
      </c>
      <c r="U675" t="s">
        <v>19</v>
      </c>
    </row>
    <row r="676" spans="1:21">
      <c r="A676" t="str">
        <f t="shared" si="337"/>
        <v>06/02/2025</v>
      </c>
      <c r="B676" t="str">
        <f t="shared" si="345"/>
        <v>ENTRADA</v>
      </c>
      <c r="C676" t="str">
        <f t="shared" si="338"/>
        <v>NFSE</v>
      </c>
      <c r="D676" t="str">
        <f>"2674"</f>
        <v>2674</v>
      </c>
      <c r="E676" t="str">
        <f t="shared" si="339"/>
        <v>COM</v>
      </c>
      <c r="F676" t="str">
        <f>"DROGA MONICA LJ 3 (10152)"</f>
        <v>DROGA MONICA LJ 3 (10152)</v>
      </c>
      <c r="G676" t="str">
        <f>"Serv.Prest. 20/01/2025 a 26/01/2025 - RPS: 448 - NFSe: 2674"</f>
        <v>Serv.Prest. 20/01/2025 a 26/01/2025 - RPS: 448 - NFSe: 2674</v>
      </c>
      <c r="H676" t="str">
        <f t="shared" si="340"/>
        <v>04/02/2025</v>
      </c>
      <c r="I676" t="str">
        <f t="shared" si="341"/>
        <v>30/01/2025</v>
      </c>
      <c r="J676" t="str">
        <f t="shared" si="342"/>
        <v>06/02/2025</v>
      </c>
      <c r="M676">
        <v>303</v>
      </c>
      <c r="N676" t="str">
        <f t="shared" si="343"/>
        <v>RECEITAS COM ENTREGAS</v>
      </c>
      <c r="P676">
        <v>106.8</v>
      </c>
      <c r="Q676" t="str">
        <f>"DROGA MONICA LJ 3 (10152)"</f>
        <v>DROGA MONICA LJ 3 (10152)</v>
      </c>
      <c r="R676" t="str">
        <f t="shared" si="344"/>
        <v>RECEITAS COM ENTREGAS (303)</v>
      </c>
      <c r="S676">
        <v>978</v>
      </c>
      <c r="T676">
        <v>797</v>
      </c>
      <c r="U676" t="s">
        <v>19</v>
      </c>
    </row>
    <row r="677" spans="1:21">
      <c r="A677" t="str">
        <f t="shared" si="337"/>
        <v>06/02/2025</v>
      </c>
      <c r="B677" t="str">
        <f t="shared" si="345"/>
        <v>ENTRADA</v>
      </c>
      <c r="C677" t="str">
        <f t="shared" si="338"/>
        <v>NFSE</v>
      </c>
      <c r="D677" t="str">
        <f>"2676"</f>
        <v>2676</v>
      </c>
      <c r="E677" t="str">
        <f t="shared" si="339"/>
        <v>COM</v>
      </c>
      <c r="F677" t="str">
        <f>"DROGA MONICA LJ 8 (10153)"</f>
        <v>DROGA MONICA LJ 8 (10153)</v>
      </c>
      <c r="G677" t="str">
        <f>"Serv.Prest. 20/01/2025 a 26/01/2025 - RPS: 450 - NFSe: 2676"</f>
        <v>Serv.Prest. 20/01/2025 a 26/01/2025 - RPS: 450 - NFSe: 2676</v>
      </c>
      <c r="H677" t="str">
        <f t="shared" si="340"/>
        <v>04/02/2025</v>
      </c>
      <c r="I677" t="str">
        <f t="shared" si="341"/>
        <v>30/01/2025</v>
      </c>
      <c r="J677" t="str">
        <f t="shared" si="342"/>
        <v>06/02/2025</v>
      </c>
      <c r="K677">
        <v>106.8</v>
      </c>
      <c r="L677">
        <v>106.8</v>
      </c>
      <c r="M677">
        <v>303</v>
      </c>
      <c r="N677" t="str">
        <f t="shared" si="343"/>
        <v>RECEITAS COM ENTREGAS</v>
      </c>
      <c r="O677">
        <v>106.8</v>
      </c>
      <c r="R677" t="str">
        <f t="shared" si="344"/>
        <v>RECEITAS COM ENTREGAS (303)</v>
      </c>
      <c r="S677">
        <v>979</v>
      </c>
      <c r="T677">
        <v>799</v>
      </c>
      <c r="U677" t="s">
        <v>19</v>
      </c>
    </row>
    <row r="678" spans="1:21">
      <c r="A678" t="str">
        <f t="shared" si="337"/>
        <v>06/02/2025</v>
      </c>
      <c r="B678" t="str">
        <f t="shared" si="345"/>
        <v>ENTRADA</v>
      </c>
      <c r="C678" t="str">
        <f t="shared" si="338"/>
        <v>NFSE</v>
      </c>
      <c r="D678" t="str">
        <f>"2676"</f>
        <v>2676</v>
      </c>
      <c r="E678" t="str">
        <f t="shared" si="339"/>
        <v>COM</v>
      </c>
      <c r="F678" t="str">
        <f>"DROGA MONICA LJ 8 (10153)"</f>
        <v>DROGA MONICA LJ 8 (10153)</v>
      </c>
      <c r="G678" t="str">
        <f>"Serv.Prest. 20/01/2025 a 26/01/2025 - RPS: 450 - NFSe: 2676"</f>
        <v>Serv.Prest. 20/01/2025 a 26/01/2025 - RPS: 450 - NFSe: 2676</v>
      </c>
      <c r="H678" t="str">
        <f t="shared" si="340"/>
        <v>04/02/2025</v>
      </c>
      <c r="I678" t="str">
        <f t="shared" si="341"/>
        <v>30/01/2025</v>
      </c>
      <c r="J678" t="str">
        <f t="shared" si="342"/>
        <v>06/02/2025</v>
      </c>
      <c r="M678">
        <v>303</v>
      </c>
      <c r="N678" t="str">
        <f t="shared" si="343"/>
        <v>RECEITAS COM ENTREGAS</v>
      </c>
      <c r="P678">
        <v>106.8</v>
      </c>
      <c r="Q678" t="str">
        <f>"DROGA MONICA LJ 8 (10153)"</f>
        <v>DROGA MONICA LJ 8 (10153)</v>
      </c>
      <c r="R678" t="str">
        <f t="shared" si="344"/>
        <v>RECEITAS COM ENTREGAS (303)</v>
      </c>
      <c r="S678">
        <v>979</v>
      </c>
      <c r="T678">
        <v>799</v>
      </c>
      <c r="U678" t="s">
        <v>19</v>
      </c>
    </row>
    <row r="679" spans="1:21">
      <c r="A679" t="str">
        <f t="shared" si="337"/>
        <v>06/02/2025</v>
      </c>
      <c r="B679" t="str">
        <f t="shared" si="345"/>
        <v>ENTRADA</v>
      </c>
      <c r="C679" t="str">
        <f t="shared" si="338"/>
        <v>NFSE</v>
      </c>
      <c r="D679" t="str">
        <f>"2680"</f>
        <v>2680</v>
      </c>
      <c r="E679" t="str">
        <f t="shared" si="339"/>
        <v>COM</v>
      </c>
      <c r="F679" t="str">
        <f>"JAL FARMACIA E DROGARIA LJ 1 (10137)"</f>
        <v>JAL FARMACIA E DROGARIA LJ 1 (10137)</v>
      </c>
      <c r="G679" t="str">
        <f>"Serv.Prest. 27/01/2025 a 02/02/2025 - RPS: 453 - NFSe: 2680"</f>
        <v>Serv.Prest. 27/01/2025 a 02/02/2025 - RPS: 453 - NFSe: 2680</v>
      </c>
      <c r="H679" t="str">
        <f t="shared" ref="H679:H690" si="346">("05/02/2025")</f>
        <v>05/02/2025</v>
      </c>
      <c r="I679" t="str">
        <f t="shared" ref="I679:I690" si="347">("03/02/2025")</f>
        <v>03/02/2025</v>
      </c>
      <c r="J679" t="str">
        <f t="shared" si="342"/>
        <v>06/02/2025</v>
      </c>
      <c r="K679">
        <v>440</v>
      </c>
      <c r="L679">
        <v>440</v>
      </c>
      <c r="M679">
        <v>303</v>
      </c>
      <c r="N679" t="str">
        <f t="shared" si="343"/>
        <v>RECEITAS COM ENTREGAS</v>
      </c>
      <c r="O679">
        <v>440</v>
      </c>
      <c r="R679" t="str">
        <f t="shared" si="344"/>
        <v>RECEITAS COM ENTREGAS (303)</v>
      </c>
      <c r="S679">
        <v>991</v>
      </c>
      <c r="T679">
        <v>804</v>
      </c>
      <c r="U679" t="s">
        <v>19</v>
      </c>
    </row>
    <row r="680" spans="1:21">
      <c r="A680" t="str">
        <f t="shared" si="337"/>
        <v>06/02/2025</v>
      </c>
      <c r="B680" t="str">
        <f t="shared" si="345"/>
        <v>ENTRADA</v>
      </c>
      <c r="C680" t="str">
        <f t="shared" si="338"/>
        <v>NFSE</v>
      </c>
      <c r="D680" t="str">
        <f>"2680"</f>
        <v>2680</v>
      </c>
      <c r="E680" t="str">
        <f t="shared" si="339"/>
        <v>COM</v>
      </c>
      <c r="F680" t="str">
        <f>"JAL FARMACIA E DROGARIA LJ 1 (10137)"</f>
        <v>JAL FARMACIA E DROGARIA LJ 1 (10137)</v>
      </c>
      <c r="G680" t="str">
        <f>"Serv.Prest. 27/01/2025 a 02/02/2025 - RPS: 453 - NFSe: 2680"</f>
        <v>Serv.Prest. 27/01/2025 a 02/02/2025 - RPS: 453 - NFSe: 2680</v>
      </c>
      <c r="H680" t="str">
        <f t="shared" si="346"/>
        <v>05/02/2025</v>
      </c>
      <c r="I680" t="str">
        <f t="shared" si="347"/>
        <v>03/02/2025</v>
      </c>
      <c r="J680" t="str">
        <f t="shared" si="342"/>
        <v>06/02/2025</v>
      </c>
      <c r="M680">
        <v>303</v>
      </c>
      <c r="N680" t="str">
        <f t="shared" si="343"/>
        <v>RECEITAS COM ENTREGAS</v>
      </c>
      <c r="P680">
        <v>440</v>
      </c>
      <c r="Q680" t="str">
        <f>"JAL FARMACIA E DROGARIA LJ 1 (10137)"</f>
        <v>JAL FARMACIA E DROGARIA LJ 1 (10137)</v>
      </c>
      <c r="R680" t="str">
        <f t="shared" si="344"/>
        <v>RECEITAS COM ENTREGAS (303)</v>
      </c>
      <c r="S680">
        <v>991</v>
      </c>
      <c r="T680">
        <v>804</v>
      </c>
      <c r="U680" t="s">
        <v>19</v>
      </c>
    </row>
    <row r="681" spans="1:21">
      <c r="A681" t="str">
        <f t="shared" si="337"/>
        <v>06/02/2025</v>
      </c>
      <c r="B681" t="str">
        <f t="shared" si="345"/>
        <v>ENTRADA</v>
      </c>
      <c r="C681" t="str">
        <f t="shared" si="338"/>
        <v>NFSE</v>
      </c>
      <c r="D681" t="str">
        <f>"2681"</f>
        <v>2681</v>
      </c>
      <c r="E681" t="str">
        <f t="shared" si="339"/>
        <v>COM</v>
      </c>
      <c r="F681" t="str">
        <f>"JAL FARMACIA E DROGARIA LJ 2 (10138)"</f>
        <v>JAL FARMACIA E DROGARIA LJ 2 (10138)</v>
      </c>
      <c r="G681" t="str">
        <f>"Serv.Prest. 27/01/2025 a 02/02/2025 - RPS: 454 - NFSe: 2681"</f>
        <v>Serv.Prest. 27/01/2025 a 02/02/2025 - RPS: 454 - NFSe: 2681</v>
      </c>
      <c r="H681" t="str">
        <f t="shared" si="346"/>
        <v>05/02/2025</v>
      </c>
      <c r="I681" t="str">
        <f t="shared" si="347"/>
        <v>03/02/2025</v>
      </c>
      <c r="J681" t="str">
        <f t="shared" si="342"/>
        <v>06/02/2025</v>
      </c>
      <c r="K681">
        <v>257.60000000000002</v>
      </c>
      <c r="L681">
        <v>257.60000000000002</v>
      </c>
      <c r="M681">
        <v>303</v>
      </c>
      <c r="N681" t="str">
        <f t="shared" si="343"/>
        <v>RECEITAS COM ENTREGAS</v>
      </c>
      <c r="O681">
        <v>257.60000000000002</v>
      </c>
      <c r="R681" t="str">
        <f t="shared" si="344"/>
        <v>RECEITAS COM ENTREGAS (303)</v>
      </c>
      <c r="S681">
        <v>992</v>
      </c>
      <c r="T681">
        <v>805</v>
      </c>
      <c r="U681" t="s">
        <v>19</v>
      </c>
    </row>
    <row r="682" spans="1:21">
      <c r="A682" t="str">
        <f t="shared" si="337"/>
        <v>06/02/2025</v>
      </c>
      <c r="B682" t="str">
        <f t="shared" si="345"/>
        <v>ENTRADA</v>
      </c>
      <c r="C682" t="str">
        <f t="shared" si="338"/>
        <v>NFSE</v>
      </c>
      <c r="D682" t="str">
        <f>"2681"</f>
        <v>2681</v>
      </c>
      <c r="E682" t="str">
        <f t="shared" si="339"/>
        <v>COM</v>
      </c>
      <c r="F682" t="str">
        <f>"JAL FARMACIA E DROGARIA LJ 2 (10138)"</f>
        <v>JAL FARMACIA E DROGARIA LJ 2 (10138)</v>
      </c>
      <c r="G682" t="str">
        <f>"Serv.Prest. 27/01/2025 a 02/02/2025 - RPS: 454 - NFSe: 2681"</f>
        <v>Serv.Prest. 27/01/2025 a 02/02/2025 - RPS: 454 - NFSe: 2681</v>
      </c>
      <c r="H682" t="str">
        <f t="shared" si="346"/>
        <v>05/02/2025</v>
      </c>
      <c r="I682" t="str">
        <f t="shared" si="347"/>
        <v>03/02/2025</v>
      </c>
      <c r="J682" t="str">
        <f t="shared" si="342"/>
        <v>06/02/2025</v>
      </c>
      <c r="M682">
        <v>303</v>
      </c>
      <c r="N682" t="str">
        <f t="shared" si="343"/>
        <v>RECEITAS COM ENTREGAS</v>
      </c>
      <c r="P682">
        <v>257.60000000000002</v>
      </c>
      <c r="Q682" t="str">
        <f>"JAL FARMACIA E DROGARIA LJ 2 (10138)"</f>
        <v>JAL FARMACIA E DROGARIA LJ 2 (10138)</v>
      </c>
      <c r="R682" t="str">
        <f t="shared" si="344"/>
        <v>RECEITAS COM ENTREGAS (303)</v>
      </c>
      <c r="S682">
        <v>992</v>
      </c>
      <c r="T682">
        <v>805</v>
      </c>
      <c r="U682" t="s">
        <v>19</v>
      </c>
    </row>
    <row r="683" spans="1:21">
      <c r="A683" t="str">
        <f t="shared" si="337"/>
        <v>06/02/2025</v>
      </c>
      <c r="B683" t="str">
        <f t="shared" si="345"/>
        <v>ENTRADA</v>
      </c>
      <c r="C683" t="str">
        <f t="shared" si="338"/>
        <v>NFSE</v>
      </c>
      <c r="D683" t="str">
        <f>"2682"</f>
        <v>2682</v>
      </c>
      <c r="E683" t="str">
        <f t="shared" si="339"/>
        <v>COM</v>
      </c>
      <c r="F683" t="str">
        <f>"DROGA ELIDA (10121)"</f>
        <v>DROGA ELIDA (10121)</v>
      </c>
      <c r="G683" t="str">
        <f>"Serv.Prest. 27/01/2025 a 02/02/2025 - RPS: 455 - NFSe: 2682"</f>
        <v>Serv.Prest. 27/01/2025 a 02/02/2025 - RPS: 455 - NFSe: 2682</v>
      </c>
      <c r="H683" t="str">
        <f t="shared" si="346"/>
        <v>05/02/2025</v>
      </c>
      <c r="I683" t="str">
        <f t="shared" si="347"/>
        <v>03/02/2025</v>
      </c>
      <c r="J683" t="str">
        <f t="shared" si="342"/>
        <v>06/02/2025</v>
      </c>
      <c r="K683">
        <v>354</v>
      </c>
      <c r="L683">
        <v>354</v>
      </c>
      <c r="M683">
        <v>303</v>
      </c>
      <c r="N683" t="str">
        <f t="shared" si="343"/>
        <v>RECEITAS COM ENTREGAS</v>
      </c>
      <c r="O683">
        <v>354</v>
      </c>
      <c r="R683" t="str">
        <f t="shared" si="344"/>
        <v>RECEITAS COM ENTREGAS (303)</v>
      </c>
      <c r="S683">
        <v>993</v>
      </c>
      <c r="T683">
        <v>806</v>
      </c>
      <c r="U683" t="s">
        <v>19</v>
      </c>
    </row>
    <row r="684" spans="1:21">
      <c r="A684" t="str">
        <f t="shared" si="337"/>
        <v>06/02/2025</v>
      </c>
      <c r="B684" t="str">
        <f t="shared" si="345"/>
        <v>ENTRADA</v>
      </c>
      <c r="C684" t="str">
        <f t="shared" si="338"/>
        <v>NFSE</v>
      </c>
      <c r="D684" t="str">
        <f>"2682"</f>
        <v>2682</v>
      </c>
      <c r="E684" t="str">
        <f t="shared" si="339"/>
        <v>COM</v>
      </c>
      <c r="F684" t="str">
        <f>"DROGA ELIDA (10121)"</f>
        <v>DROGA ELIDA (10121)</v>
      </c>
      <c r="G684" t="str">
        <f>"Serv.Prest. 27/01/2025 a 02/02/2025 - RPS: 455 - NFSe: 2682"</f>
        <v>Serv.Prest. 27/01/2025 a 02/02/2025 - RPS: 455 - NFSe: 2682</v>
      </c>
      <c r="H684" t="str">
        <f t="shared" si="346"/>
        <v>05/02/2025</v>
      </c>
      <c r="I684" t="str">
        <f t="shared" si="347"/>
        <v>03/02/2025</v>
      </c>
      <c r="J684" t="str">
        <f t="shared" si="342"/>
        <v>06/02/2025</v>
      </c>
      <c r="M684">
        <v>303</v>
      </c>
      <c r="N684" t="str">
        <f t="shared" si="343"/>
        <v>RECEITAS COM ENTREGAS</v>
      </c>
      <c r="P684">
        <v>354</v>
      </c>
      <c r="Q684" t="str">
        <f>"DROGA ELIDA (10121)"</f>
        <v>DROGA ELIDA (10121)</v>
      </c>
      <c r="R684" t="str">
        <f t="shared" si="344"/>
        <v>RECEITAS COM ENTREGAS (303)</v>
      </c>
      <c r="S684">
        <v>993</v>
      </c>
      <c r="T684">
        <v>806</v>
      </c>
      <c r="U684" t="s">
        <v>19</v>
      </c>
    </row>
    <row r="685" spans="1:21">
      <c r="A685" t="str">
        <f t="shared" si="337"/>
        <v>06/02/2025</v>
      </c>
      <c r="B685" t="str">
        <f t="shared" si="345"/>
        <v>ENTRADA</v>
      </c>
      <c r="C685" t="str">
        <f t="shared" si="338"/>
        <v>NFSE</v>
      </c>
      <c r="D685" t="str">
        <f>"2687"</f>
        <v>2687</v>
      </c>
      <c r="E685" t="str">
        <f t="shared" si="339"/>
        <v>COM</v>
      </c>
      <c r="F685" t="str">
        <f>"DROGA MONICA (10147)"</f>
        <v>DROGA MONICA (10147)</v>
      </c>
      <c r="G685" t="str">
        <f>"Serv.Prest. 27/01/2025 a 02/02/2025 - RPS: 460 - NFSe: 2687"</f>
        <v>Serv.Prest. 27/01/2025 a 02/02/2025 - RPS: 460 - NFSe: 2687</v>
      </c>
      <c r="H685" t="str">
        <f t="shared" si="346"/>
        <v>05/02/2025</v>
      </c>
      <c r="I685" t="str">
        <f t="shared" si="347"/>
        <v>03/02/2025</v>
      </c>
      <c r="J685" t="str">
        <f t="shared" si="342"/>
        <v>06/02/2025</v>
      </c>
      <c r="K685">
        <v>117.6</v>
      </c>
      <c r="L685">
        <v>117.6</v>
      </c>
      <c r="M685">
        <v>303</v>
      </c>
      <c r="N685" t="str">
        <f t="shared" si="343"/>
        <v>RECEITAS COM ENTREGAS</v>
      </c>
      <c r="O685">
        <v>117.6</v>
      </c>
      <c r="R685" t="str">
        <f t="shared" si="344"/>
        <v>RECEITAS COM ENTREGAS (303)</v>
      </c>
      <c r="S685">
        <v>994</v>
      </c>
      <c r="T685">
        <v>811</v>
      </c>
      <c r="U685" t="s">
        <v>19</v>
      </c>
    </row>
    <row r="686" spans="1:21">
      <c r="A686" t="str">
        <f t="shared" si="337"/>
        <v>06/02/2025</v>
      </c>
      <c r="B686" t="str">
        <f t="shared" si="345"/>
        <v>ENTRADA</v>
      </c>
      <c r="C686" t="str">
        <f t="shared" si="338"/>
        <v>NFSE</v>
      </c>
      <c r="D686" t="str">
        <f>"2687"</f>
        <v>2687</v>
      </c>
      <c r="E686" t="str">
        <f t="shared" si="339"/>
        <v>COM</v>
      </c>
      <c r="F686" t="str">
        <f>"DROGA MONICA (10147)"</f>
        <v>DROGA MONICA (10147)</v>
      </c>
      <c r="G686" t="str">
        <f>"Serv.Prest. 27/01/2025 a 02/02/2025 - RPS: 460 - NFSe: 2687"</f>
        <v>Serv.Prest. 27/01/2025 a 02/02/2025 - RPS: 460 - NFSe: 2687</v>
      </c>
      <c r="H686" t="str">
        <f t="shared" si="346"/>
        <v>05/02/2025</v>
      </c>
      <c r="I686" t="str">
        <f t="shared" si="347"/>
        <v>03/02/2025</v>
      </c>
      <c r="J686" t="str">
        <f t="shared" si="342"/>
        <v>06/02/2025</v>
      </c>
      <c r="M686">
        <v>303</v>
      </c>
      <c r="N686" t="str">
        <f t="shared" si="343"/>
        <v>RECEITAS COM ENTREGAS</v>
      </c>
      <c r="P686">
        <v>117.6</v>
      </c>
      <c r="Q686" t="str">
        <f>"DROGA MONICA (10147)"</f>
        <v>DROGA MONICA (10147)</v>
      </c>
      <c r="R686" t="str">
        <f t="shared" si="344"/>
        <v>RECEITAS COM ENTREGAS (303)</v>
      </c>
      <c r="S686">
        <v>994</v>
      </c>
      <c r="T686">
        <v>811</v>
      </c>
      <c r="U686" t="s">
        <v>19</v>
      </c>
    </row>
    <row r="687" spans="1:21">
      <c r="A687" t="str">
        <f t="shared" si="337"/>
        <v>06/02/2025</v>
      </c>
      <c r="B687" t="str">
        <f t="shared" si="345"/>
        <v>ENTRADA</v>
      </c>
      <c r="C687" t="str">
        <f t="shared" si="338"/>
        <v>NFSE</v>
      </c>
      <c r="D687" t="str">
        <f>"2688"</f>
        <v>2688</v>
      </c>
      <c r="E687" t="str">
        <f t="shared" si="339"/>
        <v>COM</v>
      </c>
      <c r="F687" t="str">
        <f>"DROGA MONICA LJ 22 (10158)"</f>
        <v>DROGA MONICA LJ 22 (10158)</v>
      </c>
      <c r="G687" t="str">
        <f>"Serv.Prest. 27/01/2025 a 02/02/2025 - RPS: 461 - NFSe: 2688"</f>
        <v>Serv.Prest. 27/01/2025 a 02/02/2025 - RPS: 461 - NFSe: 2688</v>
      </c>
      <c r="H687" t="str">
        <f t="shared" si="346"/>
        <v>05/02/2025</v>
      </c>
      <c r="I687" t="str">
        <f t="shared" si="347"/>
        <v>03/02/2025</v>
      </c>
      <c r="J687" t="str">
        <f t="shared" si="342"/>
        <v>06/02/2025</v>
      </c>
      <c r="K687">
        <v>117.6</v>
      </c>
      <c r="L687">
        <v>117.6</v>
      </c>
      <c r="M687">
        <v>303</v>
      </c>
      <c r="N687" t="str">
        <f t="shared" si="343"/>
        <v>RECEITAS COM ENTREGAS</v>
      </c>
      <c r="O687">
        <v>117.6</v>
      </c>
      <c r="R687" t="str">
        <f t="shared" si="344"/>
        <v>RECEITAS COM ENTREGAS (303)</v>
      </c>
      <c r="S687">
        <v>995</v>
      </c>
      <c r="T687">
        <v>812</v>
      </c>
      <c r="U687" t="s">
        <v>19</v>
      </c>
    </row>
    <row r="688" spans="1:21">
      <c r="A688" t="str">
        <f t="shared" si="337"/>
        <v>06/02/2025</v>
      </c>
      <c r="B688" t="str">
        <f t="shared" si="345"/>
        <v>ENTRADA</v>
      </c>
      <c r="C688" t="str">
        <f t="shared" si="338"/>
        <v>NFSE</v>
      </c>
      <c r="D688" t="str">
        <f>"2688"</f>
        <v>2688</v>
      </c>
      <c r="E688" t="str">
        <f t="shared" si="339"/>
        <v>COM</v>
      </c>
      <c r="F688" t="str">
        <f>"DROGA MONICA LJ 22 (10158)"</f>
        <v>DROGA MONICA LJ 22 (10158)</v>
      </c>
      <c r="G688" t="str">
        <f>"Serv.Prest. 27/01/2025 a 02/02/2025 - RPS: 461 - NFSe: 2688"</f>
        <v>Serv.Prest. 27/01/2025 a 02/02/2025 - RPS: 461 - NFSe: 2688</v>
      </c>
      <c r="H688" t="str">
        <f t="shared" si="346"/>
        <v>05/02/2025</v>
      </c>
      <c r="I688" t="str">
        <f t="shared" si="347"/>
        <v>03/02/2025</v>
      </c>
      <c r="J688" t="str">
        <f t="shared" si="342"/>
        <v>06/02/2025</v>
      </c>
      <c r="M688">
        <v>303</v>
      </c>
      <c r="N688" t="str">
        <f t="shared" si="343"/>
        <v>RECEITAS COM ENTREGAS</v>
      </c>
      <c r="P688">
        <v>117.6</v>
      </c>
      <c r="Q688" t="str">
        <f>"DROGA MONICA LJ 22 (10158)"</f>
        <v>DROGA MONICA LJ 22 (10158)</v>
      </c>
      <c r="R688" t="str">
        <f t="shared" si="344"/>
        <v>RECEITAS COM ENTREGAS (303)</v>
      </c>
      <c r="S688">
        <v>995</v>
      </c>
      <c r="T688">
        <v>812</v>
      </c>
      <c r="U688" t="s">
        <v>19</v>
      </c>
    </row>
    <row r="689" spans="1:21">
      <c r="A689" t="str">
        <f t="shared" si="337"/>
        <v>06/02/2025</v>
      </c>
      <c r="B689" t="str">
        <f t="shared" si="345"/>
        <v>ENTRADA</v>
      </c>
      <c r="C689" t="str">
        <f t="shared" si="338"/>
        <v>NFSE</v>
      </c>
      <c r="D689" t="str">
        <f>"2689"</f>
        <v>2689</v>
      </c>
      <c r="E689" t="str">
        <f t="shared" si="339"/>
        <v>COM</v>
      </c>
      <c r="F689" t="str">
        <f>"DROGA MONICA LJ 6 (10157)"</f>
        <v>DROGA MONICA LJ 6 (10157)</v>
      </c>
      <c r="G689" t="str">
        <f>"Serv.Prest. 27/01/2025 a 02/02/2025 - RPS: 462 - NFSe: 2689"</f>
        <v>Serv.Prest. 27/01/2025 a 02/02/2025 - RPS: 462 - NFSe: 2689</v>
      </c>
      <c r="H689" t="str">
        <f t="shared" si="346"/>
        <v>05/02/2025</v>
      </c>
      <c r="I689" t="str">
        <f t="shared" si="347"/>
        <v>03/02/2025</v>
      </c>
      <c r="J689" t="str">
        <f t="shared" si="342"/>
        <v>06/02/2025</v>
      </c>
      <c r="K689">
        <v>118.8</v>
      </c>
      <c r="L689">
        <v>118.8</v>
      </c>
      <c r="M689">
        <v>303</v>
      </c>
      <c r="N689" t="str">
        <f t="shared" si="343"/>
        <v>RECEITAS COM ENTREGAS</v>
      </c>
      <c r="O689">
        <v>118.8</v>
      </c>
      <c r="R689" t="str">
        <f t="shared" si="344"/>
        <v>RECEITAS COM ENTREGAS (303)</v>
      </c>
      <c r="S689">
        <v>996</v>
      </c>
      <c r="T689">
        <v>813</v>
      </c>
      <c r="U689" t="s">
        <v>19</v>
      </c>
    </row>
    <row r="690" spans="1:21">
      <c r="A690" t="str">
        <f t="shared" si="337"/>
        <v>06/02/2025</v>
      </c>
      <c r="B690" t="str">
        <f t="shared" si="345"/>
        <v>ENTRADA</v>
      </c>
      <c r="C690" t="str">
        <f t="shared" si="338"/>
        <v>NFSE</v>
      </c>
      <c r="D690" t="str">
        <f>"2689"</f>
        <v>2689</v>
      </c>
      <c r="E690" t="str">
        <f t="shared" si="339"/>
        <v>COM</v>
      </c>
      <c r="F690" t="str">
        <f>"DROGA MONICA LJ 6 (10157)"</f>
        <v>DROGA MONICA LJ 6 (10157)</v>
      </c>
      <c r="G690" t="str">
        <f>"Serv.Prest. 27/01/2025 a 02/02/2025 - RPS: 462 - NFSe: 2689"</f>
        <v>Serv.Prest. 27/01/2025 a 02/02/2025 - RPS: 462 - NFSe: 2689</v>
      </c>
      <c r="H690" t="str">
        <f t="shared" si="346"/>
        <v>05/02/2025</v>
      </c>
      <c r="I690" t="str">
        <f t="shared" si="347"/>
        <v>03/02/2025</v>
      </c>
      <c r="J690" t="str">
        <f t="shared" si="342"/>
        <v>06/02/2025</v>
      </c>
      <c r="M690">
        <v>303</v>
      </c>
      <c r="N690" t="str">
        <f t="shared" si="343"/>
        <v>RECEITAS COM ENTREGAS</v>
      </c>
      <c r="P690">
        <v>118.8</v>
      </c>
      <c r="Q690" t="str">
        <f>"DROGA MONICA LJ 6 (10157)"</f>
        <v>DROGA MONICA LJ 6 (10157)</v>
      </c>
      <c r="R690" t="str">
        <f t="shared" si="344"/>
        <v>RECEITAS COM ENTREGAS (303)</v>
      </c>
      <c r="S690">
        <v>996</v>
      </c>
      <c r="T690">
        <v>813</v>
      </c>
      <c r="U690" t="s">
        <v>19</v>
      </c>
    </row>
    <row r="691" spans="1:21">
      <c r="A691" t="str">
        <f t="shared" si="337"/>
        <v>06/02/2025</v>
      </c>
      <c r="B691" t="str">
        <f t="shared" ref="B691:B699" si="348">"SAÍDA"</f>
        <v>SAÍDA</v>
      </c>
      <c r="C691" t="str">
        <f t="shared" ref="C691:C699" si="349">"JUROS"</f>
        <v>JUROS</v>
      </c>
      <c r="D691" t="str">
        <f>""</f>
        <v/>
      </c>
      <c r="E691" t="str">
        <f t="shared" ref="E691:E699" si="350">"CXA"</f>
        <v>CXA</v>
      </c>
      <c r="F691" t="str">
        <f>""</f>
        <v/>
      </c>
      <c r="G691" t="str">
        <f t="shared" ref="G691:G699" si="351">"TAXA BOLETO COMPENSADO"</f>
        <v>TAXA BOLETO COMPENSADO</v>
      </c>
      <c r="H691" t="str">
        <f t="shared" ref="H691:I699" si="352">("06/02/2025")</f>
        <v>06/02/2025</v>
      </c>
      <c r="I691" t="str">
        <f t="shared" si="352"/>
        <v>06/02/2025</v>
      </c>
      <c r="J691" t="str">
        <f t="shared" si="342"/>
        <v>06/02/2025</v>
      </c>
      <c r="K691">
        <v>1.7</v>
      </c>
      <c r="L691">
        <v>1.7</v>
      </c>
      <c r="M691">
        <v>401</v>
      </c>
      <c r="N691" t="str">
        <f t="shared" ref="N691:N699" si="353">"IOF/JUROS/DESP.FINANCEIRA"</f>
        <v>IOF/JUROS/DESP.FINANCEIRA</v>
      </c>
      <c r="O691">
        <v>1.7</v>
      </c>
      <c r="R691" t="str">
        <f t="shared" ref="R691:R699" si="354">"BANCO CORA (102)"</f>
        <v>BANCO CORA (102)</v>
      </c>
      <c r="S691">
        <v>997</v>
      </c>
      <c r="T691">
        <v>0</v>
      </c>
      <c r="U691" t="s">
        <v>20</v>
      </c>
    </row>
    <row r="692" spans="1:21">
      <c r="A692" t="str">
        <f t="shared" si="337"/>
        <v>06/02/2025</v>
      </c>
      <c r="B692" t="str">
        <f t="shared" si="348"/>
        <v>SAÍDA</v>
      </c>
      <c r="C692" t="str">
        <f t="shared" si="349"/>
        <v>JUROS</v>
      </c>
      <c r="D692" t="str">
        <f>""</f>
        <v/>
      </c>
      <c r="E692" t="str">
        <f t="shared" si="350"/>
        <v>CXA</v>
      </c>
      <c r="F692" t="str">
        <f>""</f>
        <v/>
      </c>
      <c r="G692" t="str">
        <f t="shared" si="351"/>
        <v>TAXA BOLETO COMPENSADO</v>
      </c>
      <c r="H692" t="str">
        <f t="shared" si="352"/>
        <v>06/02/2025</v>
      </c>
      <c r="I692" t="str">
        <f t="shared" si="352"/>
        <v>06/02/2025</v>
      </c>
      <c r="J692" t="str">
        <f t="shared" si="342"/>
        <v>06/02/2025</v>
      </c>
      <c r="K692">
        <v>1.7</v>
      </c>
      <c r="L692">
        <v>1.7</v>
      </c>
      <c r="M692">
        <v>401</v>
      </c>
      <c r="N692" t="str">
        <f t="shared" si="353"/>
        <v>IOF/JUROS/DESP.FINANCEIRA</v>
      </c>
      <c r="O692">
        <v>1.7</v>
      </c>
      <c r="R692" t="str">
        <f t="shared" si="354"/>
        <v>BANCO CORA (102)</v>
      </c>
      <c r="S692">
        <v>998</v>
      </c>
      <c r="T692">
        <v>0</v>
      </c>
      <c r="U692" t="s">
        <v>20</v>
      </c>
    </row>
    <row r="693" spans="1:21">
      <c r="A693" t="str">
        <f t="shared" si="337"/>
        <v>06/02/2025</v>
      </c>
      <c r="B693" t="str">
        <f t="shared" si="348"/>
        <v>SAÍDA</v>
      </c>
      <c r="C693" t="str">
        <f t="shared" si="349"/>
        <v>JUROS</v>
      </c>
      <c r="D693" t="str">
        <f>""</f>
        <v/>
      </c>
      <c r="E693" t="str">
        <f t="shared" si="350"/>
        <v>CXA</v>
      </c>
      <c r="F693" t="str">
        <f>""</f>
        <v/>
      </c>
      <c r="G693" t="str">
        <f t="shared" si="351"/>
        <v>TAXA BOLETO COMPENSADO</v>
      </c>
      <c r="H693" t="str">
        <f t="shared" si="352"/>
        <v>06/02/2025</v>
      </c>
      <c r="I693" t="str">
        <f t="shared" si="352"/>
        <v>06/02/2025</v>
      </c>
      <c r="J693" t="str">
        <f t="shared" si="342"/>
        <v>06/02/2025</v>
      </c>
      <c r="K693">
        <v>1.7</v>
      </c>
      <c r="L693">
        <v>1.7</v>
      </c>
      <c r="M693">
        <v>401</v>
      </c>
      <c r="N693" t="str">
        <f t="shared" si="353"/>
        <v>IOF/JUROS/DESP.FINANCEIRA</v>
      </c>
      <c r="O693">
        <v>1.7</v>
      </c>
      <c r="R693" t="str">
        <f t="shared" si="354"/>
        <v>BANCO CORA (102)</v>
      </c>
      <c r="S693">
        <v>999</v>
      </c>
      <c r="T693">
        <v>0</v>
      </c>
      <c r="U693" t="s">
        <v>20</v>
      </c>
    </row>
    <row r="694" spans="1:21">
      <c r="A694" t="str">
        <f t="shared" si="337"/>
        <v>06/02/2025</v>
      </c>
      <c r="B694" t="str">
        <f t="shared" si="348"/>
        <v>SAÍDA</v>
      </c>
      <c r="C694" t="str">
        <f t="shared" si="349"/>
        <v>JUROS</v>
      </c>
      <c r="D694" t="str">
        <f>""</f>
        <v/>
      </c>
      <c r="E694" t="str">
        <f t="shared" si="350"/>
        <v>CXA</v>
      </c>
      <c r="F694" t="str">
        <f>""</f>
        <v/>
      </c>
      <c r="G694" t="str">
        <f t="shared" si="351"/>
        <v>TAXA BOLETO COMPENSADO</v>
      </c>
      <c r="H694" t="str">
        <f t="shared" si="352"/>
        <v>06/02/2025</v>
      </c>
      <c r="I694" t="str">
        <f t="shared" si="352"/>
        <v>06/02/2025</v>
      </c>
      <c r="J694" t="str">
        <f t="shared" si="342"/>
        <v>06/02/2025</v>
      </c>
      <c r="K694">
        <v>1.7</v>
      </c>
      <c r="L694">
        <v>1.7</v>
      </c>
      <c r="M694">
        <v>401</v>
      </c>
      <c r="N694" t="str">
        <f t="shared" si="353"/>
        <v>IOF/JUROS/DESP.FINANCEIRA</v>
      </c>
      <c r="O694">
        <v>1.7</v>
      </c>
      <c r="R694" t="str">
        <f t="shared" si="354"/>
        <v>BANCO CORA (102)</v>
      </c>
      <c r="S694">
        <v>1000</v>
      </c>
      <c r="T694">
        <v>0</v>
      </c>
      <c r="U694" t="s">
        <v>20</v>
      </c>
    </row>
    <row r="695" spans="1:21">
      <c r="A695" t="str">
        <f t="shared" si="337"/>
        <v>06/02/2025</v>
      </c>
      <c r="B695" t="str">
        <f t="shared" si="348"/>
        <v>SAÍDA</v>
      </c>
      <c r="C695" t="str">
        <f t="shared" si="349"/>
        <v>JUROS</v>
      </c>
      <c r="D695" t="str">
        <f>""</f>
        <v/>
      </c>
      <c r="E695" t="str">
        <f t="shared" si="350"/>
        <v>CXA</v>
      </c>
      <c r="F695" t="str">
        <f>""</f>
        <v/>
      </c>
      <c r="G695" t="str">
        <f t="shared" si="351"/>
        <v>TAXA BOLETO COMPENSADO</v>
      </c>
      <c r="H695" t="str">
        <f t="shared" si="352"/>
        <v>06/02/2025</v>
      </c>
      <c r="I695" t="str">
        <f t="shared" si="352"/>
        <v>06/02/2025</v>
      </c>
      <c r="J695" t="str">
        <f t="shared" si="342"/>
        <v>06/02/2025</v>
      </c>
      <c r="K695">
        <v>1.7</v>
      </c>
      <c r="L695">
        <v>1.7</v>
      </c>
      <c r="M695">
        <v>401</v>
      </c>
      <c r="N695" t="str">
        <f t="shared" si="353"/>
        <v>IOF/JUROS/DESP.FINANCEIRA</v>
      </c>
      <c r="O695">
        <v>1.7</v>
      </c>
      <c r="R695" t="str">
        <f t="shared" si="354"/>
        <v>BANCO CORA (102)</v>
      </c>
      <c r="S695">
        <v>1001</v>
      </c>
      <c r="T695">
        <v>0</v>
      </c>
      <c r="U695" t="s">
        <v>20</v>
      </c>
    </row>
    <row r="696" spans="1:21">
      <c r="A696" t="str">
        <f t="shared" si="337"/>
        <v>06/02/2025</v>
      </c>
      <c r="B696" t="str">
        <f t="shared" si="348"/>
        <v>SAÍDA</v>
      </c>
      <c r="C696" t="str">
        <f t="shared" si="349"/>
        <v>JUROS</v>
      </c>
      <c r="D696" t="str">
        <f>""</f>
        <v/>
      </c>
      <c r="E696" t="str">
        <f t="shared" si="350"/>
        <v>CXA</v>
      </c>
      <c r="F696" t="str">
        <f>""</f>
        <v/>
      </c>
      <c r="G696" t="str">
        <f t="shared" si="351"/>
        <v>TAXA BOLETO COMPENSADO</v>
      </c>
      <c r="H696" t="str">
        <f t="shared" si="352"/>
        <v>06/02/2025</v>
      </c>
      <c r="I696" t="str">
        <f t="shared" si="352"/>
        <v>06/02/2025</v>
      </c>
      <c r="J696" t="str">
        <f t="shared" si="342"/>
        <v>06/02/2025</v>
      </c>
      <c r="K696">
        <v>1.7</v>
      </c>
      <c r="L696">
        <v>1.7</v>
      </c>
      <c r="M696">
        <v>401</v>
      </c>
      <c r="N696" t="str">
        <f t="shared" si="353"/>
        <v>IOF/JUROS/DESP.FINANCEIRA</v>
      </c>
      <c r="O696">
        <v>1.7</v>
      </c>
      <c r="R696" t="str">
        <f t="shared" si="354"/>
        <v>BANCO CORA (102)</v>
      </c>
      <c r="S696">
        <v>1002</v>
      </c>
      <c r="T696">
        <v>0</v>
      </c>
      <c r="U696" t="s">
        <v>20</v>
      </c>
    </row>
    <row r="697" spans="1:21">
      <c r="A697" t="str">
        <f t="shared" si="337"/>
        <v>06/02/2025</v>
      </c>
      <c r="B697" t="str">
        <f t="shared" si="348"/>
        <v>SAÍDA</v>
      </c>
      <c r="C697" t="str">
        <f t="shared" si="349"/>
        <v>JUROS</v>
      </c>
      <c r="D697" t="str">
        <f>""</f>
        <v/>
      </c>
      <c r="E697" t="str">
        <f t="shared" si="350"/>
        <v>CXA</v>
      </c>
      <c r="F697" t="str">
        <f>""</f>
        <v/>
      </c>
      <c r="G697" t="str">
        <f t="shared" si="351"/>
        <v>TAXA BOLETO COMPENSADO</v>
      </c>
      <c r="H697" t="str">
        <f t="shared" si="352"/>
        <v>06/02/2025</v>
      </c>
      <c r="I697" t="str">
        <f t="shared" si="352"/>
        <v>06/02/2025</v>
      </c>
      <c r="J697" t="str">
        <f t="shared" si="342"/>
        <v>06/02/2025</v>
      </c>
      <c r="K697">
        <v>1.7</v>
      </c>
      <c r="L697">
        <v>1.7</v>
      </c>
      <c r="M697">
        <v>401</v>
      </c>
      <c r="N697" t="str">
        <f t="shared" si="353"/>
        <v>IOF/JUROS/DESP.FINANCEIRA</v>
      </c>
      <c r="O697">
        <v>1.7</v>
      </c>
      <c r="R697" t="str">
        <f t="shared" si="354"/>
        <v>BANCO CORA (102)</v>
      </c>
      <c r="S697">
        <v>1003</v>
      </c>
      <c r="T697">
        <v>0</v>
      </c>
      <c r="U697" t="s">
        <v>20</v>
      </c>
    </row>
    <row r="698" spans="1:21">
      <c r="A698" t="str">
        <f t="shared" si="337"/>
        <v>06/02/2025</v>
      </c>
      <c r="B698" t="str">
        <f t="shared" si="348"/>
        <v>SAÍDA</v>
      </c>
      <c r="C698" t="str">
        <f t="shared" si="349"/>
        <v>JUROS</v>
      </c>
      <c r="D698" t="str">
        <f>""</f>
        <v/>
      </c>
      <c r="E698" t="str">
        <f t="shared" si="350"/>
        <v>CXA</v>
      </c>
      <c r="F698" t="str">
        <f>""</f>
        <v/>
      </c>
      <c r="G698" t="str">
        <f t="shared" si="351"/>
        <v>TAXA BOLETO COMPENSADO</v>
      </c>
      <c r="H698" t="str">
        <f t="shared" si="352"/>
        <v>06/02/2025</v>
      </c>
      <c r="I698" t="str">
        <f t="shared" si="352"/>
        <v>06/02/2025</v>
      </c>
      <c r="J698" t="str">
        <f t="shared" si="342"/>
        <v>06/02/2025</v>
      </c>
      <c r="K698">
        <v>1.7</v>
      </c>
      <c r="L698">
        <v>1.7</v>
      </c>
      <c r="M698">
        <v>401</v>
      </c>
      <c r="N698" t="str">
        <f t="shared" si="353"/>
        <v>IOF/JUROS/DESP.FINANCEIRA</v>
      </c>
      <c r="O698">
        <v>1.7</v>
      </c>
      <c r="R698" t="str">
        <f t="shared" si="354"/>
        <v>BANCO CORA (102)</v>
      </c>
      <c r="S698">
        <v>1004</v>
      </c>
      <c r="T698">
        <v>0</v>
      </c>
      <c r="U698" t="s">
        <v>20</v>
      </c>
    </row>
    <row r="699" spans="1:21">
      <c r="A699" t="str">
        <f t="shared" si="337"/>
        <v>06/02/2025</v>
      </c>
      <c r="B699" t="str">
        <f t="shared" si="348"/>
        <v>SAÍDA</v>
      </c>
      <c r="C699" t="str">
        <f t="shared" si="349"/>
        <v>JUROS</v>
      </c>
      <c r="D699" t="str">
        <f>""</f>
        <v/>
      </c>
      <c r="E699" t="str">
        <f t="shared" si="350"/>
        <v>CXA</v>
      </c>
      <c r="F699" t="str">
        <f>""</f>
        <v/>
      </c>
      <c r="G699" t="str">
        <f t="shared" si="351"/>
        <v>TAXA BOLETO COMPENSADO</v>
      </c>
      <c r="H699" t="str">
        <f t="shared" si="352"/>
        <v>06/02/2025</v>
      </c>
      <c r="I699" t="str">
        <f t="shared" si="352"/>
        <v>06/02/2025</v>
      </c>
      <c r="J699" t="str">
        <f t="shared" si="342"/>
        <v>06/02/2025</v>
      </c>
      <c r="K699">
        <v>1.7</v>
      </c>
      <c r="L699">
        <v>1.7</v>
      </c>
      <c r="M699">
        <v>401</v>
      </c>
      <c r="N699" t="str">
        <f t="shared" si="353"/>
        <v>IOF/JUROS/DESP.FINANCEIRA</v>
      </c>
      <c r="O699">
        <v>1.7</v>
      </c>
      <c r="R699" t="str">
        <f t="shared" si="354"/>
        <v>BANCO CORA (102)</v>
      </c>
      <c r="S699">
        <v>1005</v>
      </c>
      <c r="T699">
        <v>0</v>
      </c>
      <c r="U699" t="s">
        <v>20</v>
      </c>
    </row>
    <row r="700" spans="1:21">
      <c r="A700" t="str">
        <f t="shared" ref="A700:A708" si="355">("07/02/2025")</f>
        <v>07/02/2025</v>
      </c>
      <c r="B700" t="str">
        <f>"ENTRADA"</f>
        <v>ENTRADA</v>
      </c>
      <c r="C700" t="str">
        <f t="shared" ref="C700:C705" si="356">"NFSE"</f>
        <v>NFSE</v>
      </c>
      <c r="D700" t="str">
        <f>"2668"</f>
        <v>2668</v>
      </c>
      <c r="E700" t="str">
        <f t="shared" ref="E700:E705" si="357">"COM"</f>
        <v>COM</v>
      </c>
      <c r="F700" t="str">
        <f>"PAGMENOS - LJ 608 (10135)"</f>
        <v>PAGMENOS - LJ 608 (10135)</v>
      </c>
      <c r="G700" t="str">
        <f>"Serv.Prest. 20/01/2025 a 26/01/2025 - RPS: 442 - NFSe: 2668"</f>
        <v>Serv.Prest. 20/01/2025 a 26/01/2025 - RPS: 442 - NFSe: 2668</v>
      </c>
      <c r="H700" t="str">
        <f t="shared" ref="H700:H705" si="358">("06/02/2025")</f>
        <v>06/02/2025</v>
      </c>
      <c r="I700" t="str">
        <f>("27/01/2025")</f>
        <v>27/01/2025</v>
      </c>
      <c r="J700" t="str">
        <f t="shared" ref="J700:J708" si="359">("07/02/2025")</f>
        <v>07/02/2025</v>
      </c>
      <c r="K700">
        <v>280.20999999999998</v>
      </c>
      <c r="L700">
        <v>280.20999999999998</v>
      </c>
      <c r="M700">
        <v>303</v>
      </c>
      <c r="N700" t="str">
        <f t="shared" ref="N700:N705" si="360">"RECEITAS COM ENTREGAS"</f>
        <v>RECEITAS COM ENTREGAS</v>
      </c>
      <c r="O700">
        <v>280.20999999999998</v>
      </c>
      <c r="R700" t="str">
        <f t="shared" ref="R700:R705" si="361">"RECEITAS COM ENTREGAS (303)"</f>
        <v>RECEITAS COM ENTREGAS (303)</v>
      </c>
      <c r="S700">
        <v>1006</v>
      </c>
      <c r="T700">
        <v>788</v>
      </c>
      <c r="U700" t="s">
        <v>19</v>
      </c>
    </row>
    <row r="701" spans="1:21">
      <c r="A701" t="str">
        <f t="shared" si="355"/>
        <v>07/02/2025</v>
      </c>
      <c r="B701" t="str">
        <f t="shared" ref="B701:B705" si="362">"ENTRADA"</f>
        <v>ENTRADA</v>
      </c>
      <c r="C701" t="str">
        <f t="shared" si="356"/>
        <v>NFSE</v>
      </c>
      <c r="D701" t="str">
        <f>"2668"</f>
        <v>2668</v>
      </c>
      <c r="E701" t="str">
        <f t="shared" si="357"/>
        <v>COM</v>
      </c>
      <c r="F701" t="str">
        <f>"PAGMENOS - LJ 608 (10135)"</f>
        <v>PAGMENOS - LJ 608 (10135)</v>
      </c>
      <c r="G701" t="str">
        <f>"Serv.Prest. 20/01/2025 a 26/01/2025 - RPS: 442 - NFSe: 2668"</f>
        <v>Serv.Prest. 20/01/2025 a 26/01/2025 - RPS: 442 - NFSe: 2668</v>
      </c>
      <c r="H701" t="str">
        <f t="shared" si="358"/>
        <v>06/02/2025</v>
      </c>
      <c r="I701" t="str">
        <f>("27/01/2025")</f>
        <v>27/01/2025</v>
      </c>
      <c r="J701" t="str">
        <f t="shared" si="359"/>
        <v>07/02/2025</v>
      </c>
      <c r="M701">
        <v>303</v>
      </c>
      <c r="N701" t="str">
        <f t="shared" si="360"/>
        <v>RECEITAS COM ENTREGAS</v>
      </c>
      <c r="P701">
        <v>280.20999999999998</v>
      </c>
      <c r="Q701" t="str">
        <f>"PAGMENOS - LJ 608 (10135)"</f>
        <v>PAGMENOS - LJ 608 (10135)</v>
      </c>
      <c r="R701" t="str">
        <f t="shared" si="361"/>
        <v>RECEITAS COM ENTREGAS (303)</v>
      </c>
      <c r="S701">
        <v>1006</v>
      </c>
      <c r="T701">
        <v>788</v>
      </c>
      <c r="U701" t="s">
        <v>19</v>
      </c>
    </row>
    <row r="702" spans="1:21">
      <c r="A702" t="str">
        <f t="shared" si="355"/>
        <v>07/02/2025</v>
      </c>
      <c r="B702" t="str">
        <f t="shared" si="362"/>
        <v>ENTRADA</v>
      </c>
      <c r="C702" t="str">
        <f t="shared" si="356"/>
        <v>NFSE</v>
      </c>
      <c r="D702" t="str">
        <f>"2669"</f>
        <v>2669</v>
      </c>
      <c r="E702" t="str">
        <f t="shared" si="357"/>
        <v>COM</v>
      </c>
      <c r="F702" t="str">
        <f>"PAGMENOS - LJ 657 (10136)"</f>
        <v>PAGMENOS - LJ 657 (10136)</v>
      </c>
      <c r="G702" t="str">
        <f>"Serv.Prest. 20/01/2025 a 26/01/2025 - RPS: 443 - NFSe: 2669"</f>
        <v>Serv.Prest. 20/01/2025 a 26/01/2025 - RPS: 443 - NFSe: 2669</v>
      </c>
      <c r="H702" t="str">
        <f t="shared" si="358"/>
        <v>06/02/2025</v>
      </c>
      <c r="I702" t="str">
        <f>("27/01/2025")</f>
        <v>27/01/2025</v>
      </c>
      <c r="J702" t="str">
        <f t="shared" si="359"/>
        <v>07/02/2025</v>
      </c>
      <c r="K702">
        <v>596.6</v>
      </c>
      <c r="L702">
        <v>596.6</v>
      </c>
      <c r="M702">
        <v>303</v>
      </c>
      <c r="N702" t="str">
        <f t="shared" si="360"/>
        <v>RECEITAS COM ENTREGAS</v>
      </c>
      <c r="O702">
        <v>596.6</v>
      </c>
      <c r="R702" t="str">
        <f t="shared" si="361"/>
        <v>RECEITAS COM ENTREGAS (303)</v>
      </c>
      <c r="S702">
        <v>1007</v>
      </c>
      <c r="T702">
        <v>789</v>
      </c>
      <c r="U702" t="s">
        <v>19</v>
      </c>
    </row>
    <row r="703" spans="1:21">
      <c r="A703" t="str">
        <f t="shared" si="355"/>
        <v>07/02/2025</v>
      </c>
      <c r="B703" t="str">
        <f t="shared" si="362"/>
        <v>ENTRADA</v>
      </c>
      <c r="C703" t="str">
        <f t="shared" si="356"/>
        <v>NFSE</v>
      </c>
      <c r="D703" t="str">
        <f>"2669"</f>
        <v>2669</v>
      </c>
      <c r="E703" t="str">
        <f t="shared" si="357"/>
        <v>COM</v>
      </c>
      <c r="F703" t="str">
        <f>"PAGMENOS - LJ 657 (10136)"</f>
        <v>PAGMENOS - LJ 657 (10136)</v>
      </c>
      <c r="G703" t="str">
        <f>"Serv.Prest. 20/01/2025 a 26/01/2025 - RPS: 443 - NFSe: 2669"</f>
        <v>Serv.Prest. 20/01/2025 a 26/01/2025 - RPS: 443 - NFSe: 2669</v>
      </c>
      <c r="H703" t="str">
        <f t="shared" si="358"/>
        <v>06/02/2025</v>
      </c>
      <c r="I703" t="str">
        <f>("27/01/2025")</f>
        <v>27/01/2025</v>
      </c>
      <c r="J703" t="str">
        <f t="shared" si="359"/>
        <v>07/02/2025</v>
      </c>
      <c r="M703">
        <v>303</v>
      </c>
      <c r="N703" t="str">
        <f t="shared" si="360"/>
        <v>RECEITAS COM ENTREGAS</v>
      </c>
      <c r="P703">
        <v>596.6</v>
      </c>
      <c r="Q703" t="str">
        <f>"PAGMENOS - LJ 657 (10136)"</f>
        <v>PAGMENOS - LJ 657 (10136)</v>
      </c>
      <c r="R703" t="str">
        <f t="shared" si="361"/>
        <v>RECEITAS COM ENTREGAS (303)</v>
      </c>
      <c r="S703">
        <v>1007</v>
      </c>
      <c r="T703">
        <v>789</v>
      </c>
      <c r="U703" t="s">
        <v>19</v>
      </c>
    </row>
    <row r="704" spans="1:21">
      <c r="A704" t="str">
        <f t="shared" si="355"/>
        <v>07/02/2025</v>
      </c>
      <c r="B704" t="str">
        <f t="shared" si="362"/>
        <v>ENTRADA</v>
      </c>
      <c r="C704" t="str">
        <f t="shared" si="356"/>
        <v>NFSE</v>
      </c>
      <c r="D704" t="str">
        <f>"2697"</f>
        <v>2697</v>
      </c>
      <c r="E704" t="str">
        <f t="shared" si="357"/>
        <v>COM</v>
      </c>
      <c r="F704" t="str">
        <f>"DROGARIA POUPA MINAS (DOIS AMIGOS) 5 (10140)"</f>
        <v>DROGARIA POUPA MINAS (DOIS AMIGOS) 5 (10140)</v>
      </c>
      <c r="G704" t="str">
        <f>"Serv.Prest. 01/01/2025 a 02/02/2025 - RPS: 470 - NFSe: 2697"</f>
        <v>Serv.Prest. 01/01/2025 a 02/02/2025 - RPS: 470 - NFSe: 2697</v>
      </c>
      <c r="H704" t="str">
        <f t="shared" si="358"/>
        <v>06/02/2025</v>
      </c>
      <c r="I704" t="str">
        <f>("04/02/2025")</f>
        <v>04/02/2025</v>
      </c>
      <c r="J704" t="str">
        <f t="shared" si="359"/>
        <v>07/02/2025</v>
      </c>
      <c r="K704">
        <v>1631.39</v>
      </c>
      <c r="L704">
        <v>1631.39</v>
      </c>
      <c r="M704">
        <v>303</v>
      </c>
      <c r="N704" t="str">
        <f t="shared" si="360"/>
        <v>RECEITAS COM ENTREGAS</v>
      </c>
      <c r="O704">
        <v>1631.39</v>
      </c>
      <c r="R704" t="str">
        <f t="shared" si="361"/>
        <v>RECEITAS COM ENTREGAS (303)</v>
      </c>
      <c r="S704">
        <v>1008</v>
      </c>
      <c r="T704">
        <v>821</v>
      </c>
      <c r="U704" t="s">
        <v>19</v>
      </c>
    </row>
    <row r="705" spans="1:21">
      <c r="A705" t="str">
        <f t="shared" si="355"/>
        <v>07/02/2025</v>
      </c>
      <c r="B705" t="str">
        <f t="shared" si="362"/>
        <v>ENTRADA</v>
      </c>
      <c r="C705" t="str">
        <f t="shared" si="356"/>
        <v>NFSE</v>
      </c>
      <c r="D705" t="str">
        <f>"2697"</f>
        <v>2697</v>
      </c>
      <c r="E705" t="str">
        <f t="shared" si="357"/>
        <v>COM</v>
      </c>
      <c r="F705" t="str">
        <f>"DROGARIA POUPA MINAS (DOIS AMIGOS) 5 (10140)"</f>
        <v>DROGARIA POUPA MINAS (DOIS AMIGOS) 5 (10140)</v>
      </c>
      <c r="G705" t="str">
        <f>"Serv.Prest. 01/01/2025 a 02/02/2025 - RPS: 470 - NFSe: 2697"</f>
        <v>Serv.Prest. 01/01/2025 a 02/02/2025 - RPS: 470 - NFSe: 2697</v>
      </c>
      <c r="H705" t="str">
        <f t="shared" si="358"/>
        <v>06/02/2025</v>
      </c>
      <c r="I705" t="str">
        <f>("04/02/2025")</f>
        <v>04/02/2025</v>
      </c>
      <c r="J705" t="str">
        <f t="shared" si="359"/>
        <v>07/02/2025</v>
      </c>
      <c r="M705">
        <v>303</v>
      </c>
      <c r="N705" t="str">
        <f t="shared" si="360"/>
        <v>RECEITAS COM ENTREGAS</v>
      </c>
      <c r="P705">
        <v>1631.39</v>
      </c>
      <c r="Q705" t="str">
        <f>"DROGARIA POUPA MINAS (ULTRAMINAS) (10116)"</f>
        <v>DROGARIA POUPA MINAS (ULTRAMINAS) (10116)</v>
      </c>
      <c r="R705" t="str">
        <f t="shared" si="361"/>
        <v>RECEITAS COM ENTREGAS (303)</v>
      </c>
      <c r="S705">
        <v>1008</v>
      </c>
      <c r="T705">
        <v>821</v>
      </c>
      <c r="U705" t="s">
        <v>19</v>
      </c>
    </row>
    <row r="706" spans="1:21">
      <c r="A706" t="str">
        <f t="shared" si="355"/>
        <v>07/02/2025</v>
      </c>
      <c r="B706" t="str">
        <f>"SAÍDA"</f>
        <v>SAÍDA</v>
      </c>
      <c r="C706" t="str">
        <f>"JUROS"</f>
        <v>JUROS</v>
      </c>
      <c r="D706" t="str">
        <f>""</f>
        <v/>
      </c>
      <c r="E706" t="str">
        <f>"CXA"</f>
        <v>CXA</v>
      </c>
      <c r="F706" t="str">
        <f>""</f>
        <v/>
      </c>
      <c r="G706" t="str">
        <f>"TAXA BOLETO COMPENSADO"</f>
        <v>TAXA BOLETO COMPENSADO</v>
      </c>
      <c r="H706" t="str">
        <f t="shared" ref="H706:I708" si="363">("07/02/2025")</f>
        <v>07/02/2025</v>
      </c>
      <c r="I706" t="str">
        <f t="shared" si="363"/>
        <v>07/02/2025</v>
      </c>
      <c r="J706" t="str">
        <f t="shared" si="359"/>
        <v>07/02/2025</v>
      </c>
      <c r="K706">
        <v>1.7</v>
      </c>
      <c r="L706">
        <v>1.7</v>
      </c>
      <c r="M706">
        <v>401</v>
      </c>
      <c r="N706" t="str">
        <f>"IOF/JUROS/DESP.FINANCEIRA"</f>
        <v>IOF/JUROS/DESP.FINANCEIRA</v>
      </c>
      <c r="O706">
        <v>1.7</v>
      </c>
      <c r="R706" t="str">
        <f>"BANCO CORA (102)"</f>
        <v>BANCO CORA (102)</v>
      </c>
      <c r="S706">
        <v>1009</v>
      </c>
      <c r="T706">
        <v>0</v>
      </c>
      <c r="U706" t="s">
        <v>20</v>
      </c>
    </row>
    <row r="707" spans="1:21">
      <c r="A707" t="str">
        <f t="shared" si="355"/>
        <v>07/02/2025</v>
      </c>
      <c r="B707" t="str">
        <f>"SAÍDA"</f>
        <v>SAÍDA</v>
      </c>
      <c r="C707" t="str">
        <f>"JUROS"</f>
        <v>JUROS</v>
      </c>
      <c r="D707" t="str">
        <f>""</f>
        <v/>
      </c>
      <c r="E707" t="str">
        <f>"CXA"</f>
        <v>CXA</v>
      </c>
      <c r="F707" t="str">
        <f>""</f>
        <v/>
      </c>
      <c r="G707" t="str">
        <f>"TAXA BOLETO COMPENSADO"</f>
        <v>TAXA BOLETO COMPENSADO</v>
      </c>
      <c r="H707" t="str">
        <f t="shared" si="363"/>
        <v>07/02/2025</v>
      </c>
      <c r="I707" t="str">
        <f t="shared" si="363"/>
        <v>07/02/2025</v>
      </c>
      <c r="J707" t="str">
        <f t="shared" si="359"/>
        <v>07/02/2025</v>
      </c>
      <c r="K707">
        <v>1.7</v>
      </c>
      <c r="L707">
        <v>1.7</v>
      </c>
      <c r="M707">
        <v>401</v>
      </c>
      <c r="N707" t="str">
        <f>"IOF/JUROS/DESP.FINANCEIRA"</f>
        <v>IOF/JUROS/DESP.FINANCEIRA</v>
      </c>
      <c r="O707">
        <v>1.7</v>
      </c>
      <c r="R707" t="str">
        <f>"BANCO CORA (102)"</f>
        <v>BANCO CORA (102)</v>
      </c>
      <c r="S707">
        <v>1010</v>
      </c>
      <c r="T707">
        <v>0</v>
      </c>
      <c r="U707" t="s">
        <v>20</v>
      </c>
    </row>
    <row r="708" spans="1:21">
      <c r="A708" t="str">
        <f t="shared" si="355"/>
        <v>07/02/2025</v>
      </c>
      <c r="B708" t="str">
        <f>"SAÍDA"</f>
        <v>SAÍDA</v>
      </c>
      <c r="C708" t="str">
        <f>"JUROS"</f>
        <v>JUROS</v>
      </c>
      <c r="D708" t="str">
        <f>""</f>
        <v/>
      </c>
      <c r="E708" t="str">
        <f>"CXA"</f>
        <v>CXA</v>
      </c>
      <c r="F708" t="str">
        <f>""</f>
        <v/>
      </c>
      <c r="G708" t="str">
        <f>"TAXA BOLETO COMPENSADO"</f>
        <v>TAXA BOLETO COMPENSADO</v>
      </c>
      <c r="H708" t="str">
        <f t="shared" si="363"/>
        <v>07/02/2025</v>
      </c>
      <c r="I708" t="str">
        <f t="shared" si="363"/>
        <v>07/02/2025</v>
      </c>
      <c r="J708" t="str">
        <f t="shared" si="359"/>
        <v>07/02/2025</v>
      </c>
      <c r="K708">
        <v>1.7</v>
      </c>
      <c r="L708">
        <v>1.7</v>
      </c>
      <c r="M708">
        <v>401</v>
      </c>
      <c r="N708" t="str">
        <f>"IOF/JUROS/DESP.FINANCEIRA"</f>
        <v>IOF/JUROS/DESP.FINANCEIRA</v>
      </c>
      <c r="O708">
        <v>1.7</v>
      </c>
      <c r="R708" t="str">
        <f>"BANCO CORA (102)"</f>
        <v>BANCO CORA (102)</v>
      </c>
      <c r="S708">
        <v>1011</v>
      </c>
      <c r="T708">
        <v>0</v>
      </c>
      <c r="U708" t="s">
        <v>20</v>
      </c>
    </row>
    <row r="709" spans="1:21">
      <c r="A709" t="str">
        <f t="shared" ref="A709:A716" si="364">("10/02/2025")</f>
        <v>10/02/2025</v>
      </c>
      <c r="B709" t="str">
        <f>"ENTRADA"</f>
        <v>ENTRADA</v>
      </c>
      <c r="C709" t="str">
        <f>"NFSE"</f>
        <v>NFSE</v>
      </c>
      <c r="D709" t="str">
        <f>"2698"</f>
        <v>2698</v>
      </c>
      <c r="E709" t="str">
        <f t="shared" ref="E709:E715" si="365">"COM"</f>
        <v>COM</v>
      </c>
      <c r="F709" t="str">
        <f>"DROGARIA POUPA MINAS (ULTRAMINAS) 3 (10129)"</f>
        <v>DROGARIA POUPA MINAS (ULTRAMINAS) 3 (10129)</v>
      </c>
      <c r="G709" t="str">
        <f>"Serv.Prest. 27/01/2025 a 02/02/2025 - RPS: 471 - NFSe: 2698"</f>
        <v>Serv.Prest. 27/01/2025 a 02/02/2025 - RPS: 471 - NFSe: 2698</v>
      </c>
      <c r="H709" t="str">
        <f>("07/02/2025")</f>
        <v>07/02/2025</v>
      </c>
      <c r="I709" t="str">
        <f>("05/02/2025")</f>
        <v>05/02/2025</v>
      </c>
      <c r="J709" t="str">
        <f t="shared" ref="J709:J716" si="366">("10/02/2025")</f>
        <v>10/02/2025</v>
      </c>
      <c r="K709">
        <v>274.56</v>
      </c>
      <c r="L709">
        <v>274.56</v>
      </c>
      <c r="M709">
        <v>303</v>
      </c>
      <c r="N709" t="str">
        <f>"RECEITAS COM ENTREGAS"</f>
        <v>RECEITAS COM ENTREGAS</v>
      </c>
      <c r="O709">
        <v>274.56</v>
      </c>
      <c r="R709" t="str">
        <f>"RECEITAS COM ENTREGAS (303)"</f>
        <v>RECEITAS COM ENTREGAS (303)</v>
      </c>
      <c r="S709">
        <v>1012</v>
      </c>
      <c r="T709">
        <v>822</v>
      </c>
      <c r="U709" t="s">
        <v>19</v>
      </c>
    </row>
    <row r="710" spans="1:21">
      <c r="A710" t="str">
        <f t="shared" si="364"/>
        <v>10/02/2025</v>
      </c>
      <c r="B710" t="str">
        <f>"ENTRADA"</f>
        <v>ENTRADA</v>
      </c>
      <c r="C710" t="str">
        <f>"NFSE"</f>
        <v>NFSE</v>
      </c>
      <c r="D710" t="str">
        <f>"2698"</f>
        <v>2698</v>
      </c>
      <c r="E710" t="str">
        <f t="shared" si="365"/>
        <v>COM</v>
      </c>
      <c r="F710" t="str">
        <f>"DROGARIA POUPA MINAS (ULTRAMINAS) 3 (10129)"</f>
        <v>DROGARIA POUPA MINAS (ULTRAMINAS) 3 (10129)</v>
      </c>
      <c r="G710" t="str">
        <f>"Serv.Prest. 27/01/2025 a 02/02/2025 - RPS: 471 - NFSe: 2698"</f>
        <v>Serv.Prest. 27/01/2025 a 02/02/2025 - RPS: 471 - NFSe: 2698</v>
      </c>
      <c r="H710" t="str">
        <f>("07/02/2025")</f>
        <v>07/02/2025</v>
      </c>
      <c r="I710" t="str">
        <f>("05/02/2025")</f>
        <v>05/02/2025</v>
      </c>
      <c r="J710" t="str">
        <f t="shared" si="366"/>
        <v>10/02/2025</v>
      </c>
      <c r="M710">
        <v>303</v>
      </c>
      <c r="N710" t="str">
        <f>"RECEITAS COM ENTREGAS"</f>
        <v>RECEITAS COM ENTREGAS</v>
      </c>
      <c r="P710">
        <v>274.56</v>
      </c>
      <c r="Q710" t="str">
        <f>"DROGARIA POUPA MINAS (ULTRAMINAS) 3 (10129)"</f>
        <v>DROGARIA POUPA MINAS (ULTRAMINAS) 3 (10129)</v>
      </c>
      <c r="R710" t="str">
        <f>"RECEITAS COM ENTREGAS (303)"</f>
        <v>RECEITAS COM ENTREGAS (303)</v>
      </c>
      <c r="S710">
        <v>1012</v>
      </c>
      <c r="T710">
        <v>822</v>
      </c>
      <c r="U710" t="s">
        <v>19</v>
      </c>
    </row>
    <row r="711" spans="1:21">
      <c r="A711" t="str">
        <f t="shared" si="364"/>
        <v>10/02/2025</v>
      </c>
      <c r="B711" t="str">
        <f t="shared" ref="B711:B716" si="367">"SAÍDA"</f>
        <v>SAÍDA</v>
      </c>
      <c r="C711" t="str">
        <f>"BOLETO"</f>
        <v>BOLETO</v>
      </c>
      <c r="D711" t="str">
        <f>"855329"</f>
        <v>855329</v>
      </c>
      <c r="E711" t="str">
        <f t="shared" si="365"/>
        <v>COM</v>
      </c>
      <c r="F711" t="str">
        <f>"FARMACON PARTICIPACOES LTDA (20033)"</f>
        <v>FARMACON PARTICIPACOES LTDA (20033)</v>
      </c>
      <c r="G711" t="str">
        <f>"DESPESAS COM PUBLICIDADE FARMACON 2025 - PIX CNPJ - CHAVE: 54.462.602/0001-90"</f>
        <v>DESPESAS COM PUBLICIDADE FARMACON 2025 - PIX CNPJ - CHAVE: 54.462.602/0001-90</v>
      </c>
      <c r="H711" t="str">
        <f>("10/02/2025")</f>
        <v>10/02/2025</v>
      </c>
      <c r="I711" t="str">
        <f>("10/02/2025")</f>
        <v>10/02/2025</v>
      </c>
      <c r="J711" t="str">
        <f t="shared" si="366"/>
        <v>10/02/2025</v>
      </c>
      <c r="K711">
        <v>420</v>
      </c>
      <c r="L711">
        <v>420</v>
      </c>
      <c r="M711">
        <v>127</v>
      </c>
      <c r="N711" t="str">
        <f>"PUBLICIDADE E PROPAGANDAS"</f>
        <v>PUBLICIDADE E PROPAGANDAS</v>
      </c>
      <c r="O711">
        <v>420</v>
      </c>
      <c r="R711" t="str">
        <f t="shared" ref="R711:R716" si="368">"BANCO CORA (102)"</f>
        <v>BANCO CORA (102)</v>
      </c>
      <c r="S711">
        <v>1013</v>
      </c>
      <c r="T711">
        <v>823</v>
      </c>
      <c r="U711" t="s">
        <v>19</v>
      </c>
    </row>
    <row r="712" spans="1:21">
      <c r="A712" t="str">
        <f t="shared" si="364"/>
        <v>10/02/2025</v>
      </c>
      <c r="B712" t="str">
        <f t="shared" si="367"/>
        <v>SAÍDA</v>
      </c>
      <c r="C712" t="str">
        <f>"BOLETO"</f>
        <v>BOLETO</v>
      </c>
      <c r="D712" t="str">
        <f>"855329"</f>
        <v>855329</v>
      </c>
      <c r="E712" t="str">
        <f t="shared" si="365"/>
        <v>COM</v>
      </c>
      <c r="F712" t="str">
        <f>"FARMACON PARTICIPACOES LTDA (20033)"</f>
        <v>FARMACON PARTICIPACOES LTDA (20033)</v>
      </c>
      <c r="G712" t="str">
        <f>"DESPESAS COM PUBLICIDADE FARMACON 2025 - PIX CNPJ - CHAVE: 54.462.602/0001-90"</f>
        <v>DESPESAS COM PUBLICIDADE FARMACON 2025 - PIX CNPJ - CHAVE: 54.462.602/0001-90</v>
      </c>
      <c r="H712" t="str">
        <f>("10/02/2025")</f>
        <v>10/02/2025</v>
      </c>
      <c r="I712" t="str">
        <f>("10/02/2025")</f>
        <v>10/02/2025</v>
      </c>
      <c r="J712" t="str">
        <f t="shared" si="366"/>
        <v>10/02/2025</v>
      </c>
      <c r="M712">
        <v>127</v>
      </c>
      <c r="N712" t="str">
        <f>"PUBLICIDADE E PROPAGANDAS"</f>
        <v>PUBLICIDADE E PROPAGANDAS</v>
      </c>
      <c r="P712">
        <v>420</v>
      </c>
      <c r="Q712" t="str">
        <f>"FARMACON PARTICIPACOES LTDA (20033)"</f>
        <v>FARMACON PARTICIPACOES LTDA (20033)</v>
      </c>
      <c r="R712" t="str">
        <f t="shared" si="368"/>
        <v>BANCO CORA (102)</v>
      </c>
      <c r="S712">
        <v>1013</v>
      </c>
      <c r="T712">
        <v>823</v>
      </c>
      <c r="U712" t="s">
        <v>19</v>
      </c>
    </row>
    <row r="713" spans="1:21">
      <c r="A713" t="str">
        <f t="shared" si="364"/>
        <v>10/02/2025</v>
      </c>
      <c r="B713" t="str">
        <f t="shared" si="367"/>
        <v>SAÍDA</v>
      </c>
      <c r="C713" t="str">
        <f>"BOLETO"</f>
        <v>BOLETO</v>
      </c>
      <c r="D713" t="str">
        <f>"7381169"</f>
        <v>7381169</v>
      </c>
      <c r="E713" t="str">
        <f t="shared" si="365"/>
        <v>COM</v>
      </c>
      <c r="F713" t="str">
        <f>"UNIVERSO ONLINE SA (20062)"</f>
        <v>UNIVERSO ONLINE SA (20062)</v>
      </c>
      <c r="G713" t="str">
        <f>"RENOVACAO DOMINIO FLUX.COM PERIODO 2 ANOS"</f>
        <v>RENOVACAO DOMINIO FLUX.COM PERIODO 2 ANOS</v>
      </c>
      <c r="H713" t="str">
        <f>("02/02/2025")</f>
        <v>02/02/2025</v>
      </c>
      <c r="I713" t="str">
        <f>("28/01/2025")</f>
        <v>28/01/2025</v>
      </c>
      <c r="J713" t="str">
        <f t="shared" si="366"/>
        <v>10/02/2025</v>
      </c>
      <c r="K713">
        <v>131.88</v>
      </c>
      <c r="L713">
        <v>131.88</v>
      </c>
      <c r="M713">
        <v>104</v>
      </c>
      <c r="N713" t="str">
        <f>"SOFTWARE / LICENÇAS"</f>
        <v>SOFTWARE / LICENÇAS</v>
      </c>
      <c r="O713">
        <v>131.88</v>
      </c>
      <c r="R713" t="str">
        <f t="shared" si="368"/>
        <v>BANCO CORA (102)</v>
      </c>
      <c r="S713">
        <v>1014</v>
      </c>
      <c r="T713">
        <v>791</v>
      </c>
      <c r="U713" t="s">
        <v>19</v>
      </c>
    </row>
    <row r="714" spans="1:21">
      <c r="A714" t="str">
        <f t="shared" si="364"/>
        <v>10/02/2025</v>
      </c>
      <c r="B714" t="str">
        <f t="shared" si="367"/>
        <v>SAÍDA</v>
      </c>
      <c r="C714" t="str">
        <f>"BOLETO"</f>
        <v>BOLETO</v>
      </c>
      <c r="D714" t="str">
        <f>"0901"</f>
        <v>0901</v>
      </c>
      <c r="E714" t="str">
        <f t="shared" si="365"/>
        <v>COM</v>
      </c>
      <c r="F714" t="str">
        <f>"CORA SOCIEDADE DE CREDITO, FINANCIAMENTO E INVESTIMENTO (20035)"</f>
        <v>CORA SOCIEDADE DE CREDITO, FINANCIAMENTO E INVESTIMENTO (20035)</v>
      </c>
      <c r="G714" t="str">
        <f>"DESPESAS COM TARIFAS BANCARIAS"</f>
        <v>DESPESAS COM TARIFAS BANCARIAS</v>
      </c>
      <c r="H714" t="str">
        <f>("09/02/2025")</f>
        <v>09/02/2025</v>
      </c>
      <c r="I714" t="str">
        <f>("01/01/2025")</f>
        <v>01/01/2025</v>
      </c>
      <c r="J714" t="str">
        <f t="shared" si="366"/>
        <v>10/02/2025</v>
      </c>
      <c r="K714">
        <v>44.9</v>
      </c>
      <c r="L714">
        <v>44.9</v>
      </c>
      <c r="M714">
        <v>401</v>
      </c>
      <c r="N714" t="str">
        <f>"IOF/JUROS/DESP.FINANCEIRA"</f>
        <v>IOF/JUROS/DESP.FINANCEIRA</v>
      </c>
      <c r="O714">
        <v>44.9</v>
      </c>
      <c r="R714" t="str">
        <f t="shared" si="368"/>
        <v>BANCO CORA (102)</v>
      </c>
      <c r="S714">
        <v>1015</v>
      </c>
      <c r="T714">
        <v>744</v>
      </c>
      <c r="U714" t="s">
        <v>19</v>
      </c>
    </row>
    <row r="715" spans="1:21">
      <c r="A715" t="str">
        <f t="shared" si="364"/>
        <v>10/02/2025</v>
      </c>
      <c r="B715" t="str">
        <f t="shared" si="367"/>
        <v>SAÍDA</v>
      </c>
      <c r="C715" t="str">
        <f>"BOLETO"</f>
        <v>BOLETO</v>
      </c>
      <c r="D715" t="str">
        <f>"0901"</f>
        <v>0901</v>
      </c>
      <c r="E715" t="str">
        <f t="shared" si="365"/>
        <v>COM</v>
      </c>
      <c r="F715" t="str">
        <f>"CORA SOCIEDADE DE CREDITO, FINANCIAMENTO E INVESTIMENTO (20035)"</f>
        <v>CORA SOCIEDADE DE CREDITO, FINANCIAMENTO E INVESTIMENTO (20035)</v>
      </c>
      <c r="G715" t="str">
        <f>"DESPESAS COM TARIFAS BANCARIAS"</f>
        <v>DESPESAS COM TARIFAS BANCARIAS</v>
      </c>
      <c r="H715" t="str">
        <f>("09/02/2025")</f>
        <v>09/02/2025</v>
      </c>
      <c r="I715" t="str">
        <f>("01/01/2025")</f>
        <v>01/01/2025</v>
      </c>
      <c r="J715" t="str">
        <f t="shared" si="366"/>
        <v>10/02/2025</v>
      </c>
      <c r="M715">
        <v>401</v>
      </c>
      <c r="N715" t="str">
        <f>"IOF/JUROS/DESP.FINANCEIRA"</f>
        <v>IOF/JUROS/DESP.FINANCEIRA</v>
      </c>
      <c r="P715">
        <v>44.9</v>
      </c>
      <c r="Q715" t="str">
        <f>"CORA SOCIEDADE DE CREDITO, FINANCIAMENTO E INVESTIMENTO (20035)"</f>
        <v>CORA SOCIEDADE DE CREDITO, FINANCIAMENTO E INVESTIMENTO (20035)</v>
      </c>
      <c r="R715" t="str">
        <f t="shared" si="368"/>
        <v>BANCO CORA (102)</v>
      </c>
      <c r="S715">
        <v>1015</v>
      </c>
      <c r="T715">
        <v>744</v>
      </c>
      <c r="U715" t="s">
        <v>19</v>
      </c>
    </row>
    <row r="716" spans="1:21">
      <c r="A716" t="str">
        <f t="shared" si="364"/>
        <v>10/02/2025</v>
      </c>
      <c r="B716" t="str">
        <f t="shared" si="367"/>
        <v>SAÍDA</v>
      </c>
      <c r="C716" t="str">
        <f>"JUROS"</f>
        <v>JUROS</v>
      </c>
      <c r="D716" t="str">
        <f>""</f>
        <v/>
      </c>
      <c r="E716" t="str">
        <f>"CXA"</f>
        <v>CXA</v>
      </c>
      <c r="F716" t="str">
        <f>""</f>
        <v/>
      </c>
      <c r="G716" t="str">
        <f>"TAXA BOLETO COMPENSADO"</f>
        <v>TAXA BOLETO COMPENSADO</v>
      </c>
      <c r="H716" t="str">
        <f>("10/02/2025")</f>
        <v>10/02/2025</v>
      </c>
      <c r="I716" t="str">
        <f>("10/02/2025")</f>
        <v>10/02/2025</v>
      </c>
      <c r="J716" t="str">
        <f t="shared" si="366"/>
        <v>10/02/2025</v>
      </c>
      <c r="K716">
        <v>1.7</v>
      </c>
      <c r="L716">
        <v>1.7</v>
      </c>
      <c r="M716">
        <v>401</v>
      </c>
      <c r="N716" t="str">
        <f>"IOF/JUROS/DESP.FINANCEIRA"</f>
        <v>IOF/JUROS/DESP.FINANCEIRA</v>
      </c>
      <c r="O716">
        <v>1.7</v>
      </c>
      <c r="R716" t="str">
        <f t="shared" si="368"/>
        <v>BANCO CORA (102)</v>
      </c>
      <c r="S716">
        <v>1016</v>
      </c>
      <c r="T716">
        <v>0</v>
      </c>
      <c r="U716" t="s">
        <v>20</v>
      </c>
    </row>
    <row r="717" spans="1:21">
      <c r="A717" t="str">
        <f>("11/02/2025")</f>
        <v>11/02/2025</v>
      </c>
      <c r="B717" t="str">
        <f>"ENTRADA"</f>
        <v>ENTRADA</v>
      </c>
      <c r="C717" t="str">
        <f>"NFSE"</f>
        <v>NFSE</v>
      </c>
      <c r="D717" t="str">
        <f>"2693"</f>
        <v>2693</v>
      </c>
      <c r="E717" t="str">
        <f>"COM"</f>
        <v>COM</v>
      </c>
      <c r="F717" t="str">
        <f>"FARMACIA ECONOMIZE (10103)"</f>
        <v>FARMACIA ECONOMIZE (10103)</v>
      </c>
      <c r="G717" t="str">
        <f>"Serv.Prest. 27/01/2025 a 02/02/2025 - RPS: 466 - NFSe: 2693"</f>
        <v>Serv.Prest. 27/01/2025 a 02/02/2025 - RPS: 466 - NFSe: 2693</v>
      </c>
      <c r="H717" t="str">
        <f>("05/02/2025")</f>
        <v>05/02/2025</v>
      </c>
      <c r="I717" t="str">
        <f>("03/02/2025")</f>
        <v>03/02/2025</v>
      </c>
      <c r="J717" t="str">
        <f>("11/02/2025")</f>
        <v>11/02/2025</v>
      </c>
      <c r="K717">
        <v>104.04</v>
      </c>
      <c r="L717">
        <v>106.29</v>
      </c>
      <c r="M717">
        <v>303</v>
      </c>
      <c r="N717" t="str">
        <f>"RECEITAS COM ENTREGAS"</f>
        <v>RECEITAS COM ENTREGAS</v>
      </c>
      <c r="O717">
        <v>106.29</v>
      </c>
      <c r="R717" t="str">
        <f>"RECEITAS COM ENTREGAS (303)"</f>
        <v>RECEITAS COM ENTREGAS (303)</v>
      </c>
      <c r="S717">
        <v>1017</v>
      </c>
      <c r="T717">
        <v>817</v>
      </c>
      <c r="U717" t="s">
        <v>19</v>
      </c>
    </row>
    <row r="718" spans="1:21">
      <c r="A718" t="str">
        <f>("11/02/2025")</f>
        <v>11/02/2025</v>
      </c>
      <c r="B718" t="str">
        <f>"ENTRADA"</f>
        <v>ENTRADA</v>
      </c>
      <c r="C718" t="str">
        <f>"NFSE"</f>
        <v>NFSE</v>
      </c>
      <c r="D718" t="str">
        <f>"2693"</f>
        <v>2693</v>
      </c>
      <c r="E718" t="str">
        <f>"COM"</f>
        <v>COM</v>
      </c>
      <c r="F718" t="str">
        <f>"FARMACIA ECONOMIZE (10103)"</f>
        <v>FARMACIA ECONOMIZE (10103)</v>
      </c>
      <c r="G718" t="str">
        <f>"Serv.Prest. 27/01/2025 a 02/02/2025 - RPS: 466 - NFSe: 2693"</f>
        <v>Serv.Prest. 27/01/2025 a 02/02/2025 - RPS: 466 - NFSe: 2693</v>
      </c>
      <c r="H718" t="str">
        <f>("05/02/2025")</f>
        <v>05/02/2025</v>
      </c>
      <c r="I718" t="str">
        <f>("03/02/2025")</f>
        <v>03/02/2025</v>
      </c>
      <c r="J718" t="str">
        <f>("11/02/2025")</f>
        <v>11/02/2025</v>
      </c>
      <c r="M718">
        <v>303</v>
      </c>
      <c r="N718" t="str">
        <f>"RECEITAS COM ENTREGAS"</f>
        <v>RECEITAS COM ENTREGAS</v>
      </c>
      <c r="P718">
        <v>106.29</v>
      </c>
      <c r="Q718" t="str">
        <f>"FARMACIA ECONOMIZE (10103)"</f>
        <v>FARMACIA ECONOMIZE (10103)</v>
      </c>
      <c r="R718" t="str">
        <f>"RECEITAS COM ENTREGAS (303)"</f>
        <v>RECEITAS COM ENTREGAS (303)</v>
      </c>
      <c r="S718">
        <v>1017</v>
      </c>
      <c r="T718">
        <v>817</v>
      </c>
      <c r="U718" t="s">
        <v>19</v>
      </c>
    </row>
    <row r="719" spans="1:21">
      <c r="A719" t="str">
        <f>("11/02/2025")</f>
        <v>11/02/2025</v>
      </c>
      <c r="B719" t="str">
        <f>"SAÍDA"</f>
        <v>SAÍDA</v>
      </c>
      <c r="C719" t="str">
        <f>"JUROS"</f>
        <v>JUROS</v>
      </c>
      <c r="D719" t="str">
        <f>""</f>
        <v/>
      </c>
      <c r="E719" t="str">
        <f>"CXA"</f>
        <v>CXA</v>
      </c>
      <c r="F719" t="str">
        <f>""</f>
        <v/>
      </c>
      <c r="G719" t="str">
        <f>"TAXA BOLETO COMPENSADO"</f>
        <v>TAXA BOLETO COMPENSADO</v>
      </c>
      <c r="H719" t="str">
        <f>("11/02/2025")</f>
        <v>11/02/2025</v>
      </c>
      <c r="I719" t="str">
        <f>("11/02/2025")</f>
        <v>11/02/2025</v>
      </c>
      <c r="J719" t="str">
        <f>("11/02/2025")</f>
        <v>11/02/2025</v>
      </c>
      <c r="K719">
        <v>1.7</v>
      </c>
      <c r="L719">
        <v>1.7</v>
      </c>
      <c r="M719">
        <v>401</v>
      </c>
      <c r="N719" t="str">
        <f>"IOF/JUROS/DESP.FINANCEIRA"</f>
        <v>IOF/JUROS/DESP.FINANCEIRA</v>
      </c>
      <c r="O719">
        <v>1.7</v>
      </c>
      <c r="R719" t="str">
        <f>"BANCO CORA (102)"</f>
        <v>BANCO CORA (102)</v>
      </c>
      <c r="S719">
        <v>1018</v>
      </c>
      <c r="T719">
        <v>0</v>
      </c>
      <c r="U719" t="s">
        <v>20</v>
      </c>
    </row>
    <row r="720" spans="1:21">
      <c r="A720" t="str">
        <f t="shared" ref="A720:A751" si="369">("12/02/2025")</f>
        <v>12/02/2025</v>
      </c>
      <c r="B720" t="str">
        <f>"ENTRADA"</f>
        <v>ENTRADA</v>
      </c>
      <c r="C720" t="str">
        <f t="shared" ref="C720:C751" si="370">"NFSE"</f>
        <v>NFSE</v>
      </c>
      <c r="D720" t="str">
        <f t="shared" ref="D720:D765" si="371">"2694"</f>
        <v>2694</v>
      </c>
      <c r="E720" t="str">
        <f t="shared" ref="E720:E751" si="372">"COM"</f>
        <v>COM</v>
      </c>
      <c r="F720" t="str">
        <f t="shared" ref="F720:F765" si="373">"FARMÁCIA INDIANA LJ 1 (10126)"</f>
        <v>FARMÁCIA INDIANA LJ 1 (10126)</v>
      </c>
      <c r="G720" t="str">
        <f t="shared" ref="G720:G765" si="374">"Serv.Prest. 25/01/2025 a 02/02/2025 - RPS: 467 - NFSe: 2694"</f>
        <v>Serv.Prest. 25/01/2025 a 02/02/2025 - RPS: 467 - NFSe: 2694</v>
      </c>
      <c r="H720" t="str">
        <f t="shared" ref="H720:H751" si="375">("12/02/2025")</f>
        <v>12/02/2025</v>
      </c>
      <c r="I720" t="str">
        <f t="shared" ref="I720:I751" si="376">("04/02/2025")</f>
        <v>04/02/2025</v>
      </c>
      <c r="J720" t="str">
        <f t="shared" ref="J720:J751" si="377">("12/02/2025")</f>
        <v>12/02/2025</v>
      </c>
      <c r="K720">
        <v>13097.62</v>
      </c>
      <c r="L720">
        <v>13097.62</v>
      </c>
      <c r="M720">
        <v>303</v>
      </c>
      <c r="N720" t="str">
        <f t="shared" ref="N720:N751" si="378">"RECEITAS COM ENTREGAS"</f>
        <v>RECEITAS COM ENTREGAS</v>
      </c>
      <c r="O720">
        <v>13097.62</v>
      </c>
      <c r="R720" t="str">
        <f t="shared" ref="R720:R751" si="379">"RECEITAS COM ENTREGAS (303)"</f>
        <v>RECEITAS COM ENTREGAS (303)</v>
      </c>
      <c r="S720">
        <v>1019</v>
      </c>
      <c r="T720">
        <v>818</v>
      </c>
      <c r="U720" t="s">
        <v>19</v>
      </c>
    </row>
    <row r="721" spans="1:21">
      <c r="A721" t="str">
        <f t="shared" si="369"/>
        <v>12/02/2025</v>
      </c>
      <c r="B721" t="str">
        <f t="shared" ref="B721:B784" si="380">"ENTRADA"</f>
        <v>ENTRADA</v>
      </c>
      <c r="C721" t="str">
        <f t="shared" si="370"/>
        <v>NFSE</v>
      </c>
      <c r="D721" t="str">
        <f t="shared" si="371"/>
        <v>2694</v>
      </c>
      <c r="E721" t="str">
        <f t="shared" si="372"/>
        <v>COM</v>
      </c>
      <c r="F721" t="str">
        <f t="shared" si="373"/>
        <v>FARMÁCIA INDIANA LJ 1 (10126)</v>
      </c>
      <c r="G721" t="str">
        <f t="shared" si="374"/>
        <v>Serv.Prest. 25/01/2025 a 02/02/2025 - RPS: 467 - NFSe: 2694</v>
      </c>
      <c r="H721" t="str">
        <f t="shared" si="375"/>
        <v>12/02/2025</v>
      </c>
      <c r="I721" t="str">
        <f t="shared" si="376"/>
        <v>04/02/2025</v>
      </c>
      <c r="J721" t="str">
        <f t="shared" si="377"/>
        <v>12/02/2025</v>
      </c>
      <c r="M721">
        <v>303</v>
      </c>
      <c r="N721" t="str">
        <f t="shared" si="378"/>
        <v>RECEITAS COM ENTREGAS</v>
      </c>
      <c r="P721">
        <v>1935.78</v>
      </c>
      <c r="Q721" t="str">
        <f>"FARMÁCIA INDIANA LJ 06 (10006)"</f>
        <v>FARMÁCIA INDIANA LJ 06 (10006)</v>
      </c>
      <c r="R721" t="str">
        <f t="shared" si="379"/>
        <v>RECEITAS COM ENTREGAS (303)</v>
      </c>
      <c r="S721">
        <v>1019</v>
      </c>
      <c r="T721">
        <v>818</v>
      </c>
      <c r="U721" t="s">
        <v>19</v>
      </c>
    </row>
    <row r="722" spans="1:21">
      <c r="A722" t="str">
        <f t="shared" si="369"/>
        <v>12/02/2025</v>
      </c>
      <c r="B722" t="str">
        <f t="shared" si="380"/>
        <v>ENTRADA</v>
      </c>
      <c r="C722" t="str">
        <f t="shared" si="370"/>
        <v>NFSE</v>
      </c>
      <c r="D722" t="str">
        <f t="shared" si="371"/>
        <v>2694</v>
      </c>
      <c r="E722" t="str">
        <f t="shared" si="372"/>
        <v>COM</v>
      </c>
      <c r="F722" t="str">
        <f t="shared" si="373"/>
        <v>FARMÁCIA INDIANA LJ 1 (10126)</v>
      </c>
      <c r="G722" t="str">
        <f t="shared" si="374"/>
        <v>Serv.Prest. 25/01/2025 a 02/02/2025 - RPS: 467 - NFSe: 2694</v>
      </c>
      <c r="H722" t="str">
        <f t="shared" si="375"/>
        <v>12/02/2025</v>
      </c>
      <c r="I722" t="str">
        <f t="shared" si="376"/>
        <v>04/02/2025</v>
      </c>
      <c r="J722" t="str">
        <f t="shared" si="377"/>
        <v>12/02/2025</v>
      </c>
      <c r="M722">
        <v>303</v>
      </c>
      <c r="N722" t="str">
        <f t="shared" si="378"/>
        <v>RECEITAS COM ENTREGAS</v>
      </c>
      <c r="P722">
        <v>1768.18</v>
      </c>
      <c r="Q722" t="str">
        <f>"FARMÁCIA INDIANA LJ 07 (10007)"</f>
        <v>FARMÁCIA INDIANA LJ 07 (10007)</v>
      </c>
      <c r="R722" t="str">
        <f t="shared" si="379"/>
        <v>RECEITAS COM ENTREGAS (303)</v>
      </c>
      <c r="S722">
        <v>1019</v>
      </c>
      <c r="T722">
        <v>818</v>
      </c>
      <c r="U722" t="s">
        <v>19</v>
      </c>
    </row>
    <row r="723" spans="1:21">
      <c r="A723" t="str">
        <f t="shared" si="369"/>
        <v>12/02/2025</v>
      </c>
      <c r="B723" t="str">
        <f t="shared" si="380"/>
        <v>ENTRADA</v>
      </c>
      <c r="C723" t="str">
        <f t="shared" si="370"/>
        <v>NFSE</v>
      </c>
      <c r="D723" t="str">
        <f t="shared" si="371"/>
        <v>2694</v>
      </c>
      <c r="E723" t="str">
        <f t="shared" si="372"/>
        <v>COM</v>
      </c>
      <c r="F723" t="str">
        <f t="shared" si="373"/>
        <v>FARMÁCIA INDIANA LJ 1 (10126)</v>
      </c>
      <c r="G723" t="str">
        <f t="shared" si="374"/>
        <v>Serv.Prest. 25/01/2025 a 02/02/2025 - RPS: 467 - NFSe: 2694</v>
      </c>
      <c r="H723" t="str">
        <f t="shared" si="375"/>
        <v>12/02/2025</v>
      </c>
      <c r="I723" t="str">
        <f t="shared" si="376"/>
        <v>04/02/2025</v>
      </c>
      <c r="J723" t="str">
        <f t="shared" si="377"/>
        <v>12/02/2025</v>
      </c>
      <c r="M723">
        <v>303</v>
      </c>
      <c r="N723" t="str">
        <f t="shared" si="378"/>
        <v>RECEITAS COM ENTREGAS</v>
      </c>
      <c r="P723">
        <v>944.34</v>
      </c>
      <c r="Q723" t="str">
        <f>"FARMÁCIA INDIANA LJ 11 (10008)"</f>
        <v>FARMÁCIA INDIANA LJ 11 (10008)</v>
      </c>
      <c r="R723" t="str">
        <f t="shared" si="379"/>
        <v>RECEITAS COM ENTREGAS (303)</v>
      </c>
      <c r="S723">
        <v>1019</v>
      </c>
      <c r="T723">
        <v>818</v>
      </c>
      <c r="U723" t="s">
        <v>19</v>
      </c>
    </row>
    <row r="724" spans="1:21">
      <c r="A724" t="str">
        <f t="shared" si="369"/>
        <v>12/02/2025</v>
      </c>
      <c r="B724" t="str">
        <f t="shared" si="380"/>
        <v>ENTRADA</v>
      </c>
      <c r="C724" t="str">
        <f t="shared" si="370"/>
        <v>NFSE</v>
      </c>
      <c r="D724" t="str">
        <f t="shared" si="371"/>
        <v>2694</v>
      </c>
      <c r="E724" t="str">
        <f t="shared" si="372"/>
        <v>COM</v>
      </c>
      <c r="F724" t="str">
        <f t="shared" si="373"/>
        <v>FARMÁCIA INDIANA LJ 1 (10126)</v>
      </c>
      <c r="G724" t="str">
        <f t="shared" si="374"/>
        <v>Serv.Prest. 25/01/2025 a 02/02/2025 - RPS: 467 - NFSe: 2694</v>
      </c>
      <c r="H724" t="str">
        <f t="shared" si="375"/>
        <v>12/02/2025</v>
      </c>
      <c r="I724" t="str">
        <f t="shared" si="376"/>
        <v>04/02/2025</v>
      </c>
      <c r="J724" t="str">
        <f t="shared" si="377"/>
        <v>12/02/2025</v>
      </c>
      <c r="M724">
        <v>303</v>
      </c>
      <c r="N724" t="str">
        <f t="shared" si="378"/>
        <v>RECEITAS COM ENTREGAS</v>
      </c>
      <c r="P724">
        <v>399.48</v>
      </c>
      <c r="Q724" t="str">
        <f>"FARMÁCIA INDIANA LJ 14 (10009)"</f>
        <v>FARMÁCIA INDIANA LJ 14 (10009)</v>
      </c>
      <c r="R724" t="str">
        <f t="shared" si="379"/>
        <v>RECEITAS COM ENTREGAS (303)</v>
      </c>
      <c r="S724">
        <v>1019</v>
      </c>
      <c r="T724">
        <v>818</v>
      </c>
      <c r="U724" t="s">
        <v>19</v>
      </c>
    </row>
    <row r="725" spans="1:21">
      <c r="A725" t="str">
        <f t="shared" si="369"/>
        <v>12/02/2025</v>
      </c>
      <c r="B725" t="str">
        <f t="shared" si="380"/>
        <v>ENTRADA</v>
      </c>
      <c r="C725" t="str">
        <f t="shared" si="370"/>
        <v>NFSE</v>
      </c>
      <c r="D725" t="str">
        <f t="shared" si="371"/>
        <v>2694</v>
      </c>
      <c r="E725" t="str">
        <f t="shared" si="372"/>
        <v>COM</v>
      </c>
      <c r="F725" t="str">
        <f t="shared" si="373"/>
        <v>FARMÁCIA INDIANA LJ 1 (10126)</v>
      </c>
      <c r="G725" t="str">
        <f t="shared" si="374"/>
        <v>Serv.Prest. 25/01/2025 a 02/02/2025 - RPS: 467 - NFSe: 2694</v>
      </c>
      <c r="H725" t="str">
        <f t="shared" si="375"/>
        <v>12/02/2025</v>
      </c>
      <c r="I725" t="str">
        <f t="shared" si="376"/>
        <v>04/02/2025</v>
      </c>
      <c r="J725" t="str">
        <f t="shared" si="377"/>
        <v>12/02/2025</v>
      </c>
      <c r="M725">
        <v>303</v>
      </c>
      <c r="N725" t="str">
        <f t="shared" si="378"/>
        <v>RECEITAS COM ENTREGAS</v>
      </c>
      <c r="P725">
        <v>382.45</v>
      </c>
      <c r="Q725" t="str">
        <f>"FARMÁCIA INDIANA LJ 18 (10011)"</f>
        <v>FARMÁCIA INDIANA LJ 18 (10011)</v>
      </c>
      <c r="R725" t="str">
        <f t="shared" si="379"/>
        <v>RECEITAS COM ENTREGAS (303)</v>
      </c>
      <c r="S725">
        <v>1019</v>
      </c>
      <c r="T725">
        <v>818</v>
      </c>
      <c r="U725" t="s">
        <v>19</v>
      </c>
    </row>
    <row r="726" spans="1:21">
      <c r="A726" t="str">
        <f t="shared" si="369"/>
        <v>12/02/2025</v>
      </c>
      <c r="B726" t="str">
        <f t="shared" si="380"/>
        <v>ENTRADA</v>
      </c>
      <c r="C726" t="str">
        <f t="shared" si="370"/>
        <v>NFSE</v>
      </c>
      <c r="D726" t="str">
        <f t="shared" si="371"/>
        <v>2694</v>
      </c>
      <c r="E726" t="str">
        <f t="shared" si="372"/>
        <v>COM</v>
      </c>
      <c r="F726" t="str">
        <f t="shared" si="373"/>
        <v>FARMÁCIA INDIANA LJ 1 (10126)</v>
      </c>
      <c r="G726" t="str">
        <f t="shared" si="374"/>
        <v>Serv.Prest. 25/01/2025 a 02/02/2025 - RPS: 467 - NFSe: 2694</v>
      </c>
      <c r="H726" t="str">
        <f t="shared" si="375"/>
        <v>12/02/2025</v>
      </c>
      <c r="I726" t="str">
        <f t="shared" si="376"/>
        <v>04/02/2025</v>
      </c>
      <c r="J726" t="str">
        <f t="shared" si="377"/>
        <v>12/02/2025</v>
      </c>
      <c r="M726">
        <v>303</v>
      </c>
      <c r="N726" t="str">
        <f t="shared" si="378"/>
        <v>RECEITAS COM ENTREGAS</v>
      </c>
      <c r="P726">
        <v>340.54</v>
      </c>
      <c r="Q726" t="str">
        <f>"FARMÁCIA INDIANA LJ 19 (10012)"</f>
        <v>FARMÁCIA INDIANA LJ 19 (10012)</v>
      </c>
      <c r="R726" t="str">
        <f t="shared" si="379"/>
        <v>RECEITAS COM ENTREGAS (303)</v>
      </c>
      <c r="S726">
        <v>1019</v>
      </c>
      <c r="T726">
        <v>818</v>
      </c>
      <c r="U726" t="s">
        <v>19</v>
      </c>
    </row>
    <row r="727" spans="1:21">
      <c r="A727" t="str">
        <f t="shared" si="369"/>
        <v>12/02/2025</v>
      </c>
      <c r="B727" t="str">
        <f t="shared" si="380"/>
        <v>ENTRADA</v>
      </c>
      <c r="C727" t="str">
        <f t="shared" si="370"/>
        <v>NFSE</v>
      </c>
      <c r="D727" t="str">
        <f t="shared" si="371"/>
        <v>2694</v>
      </c>
      <c r="E727" t="str">
        <f t="shared" si="372"/>
        <v>COM</v>
      </c>
      <c r="F727" t="str">
        <f t="shared" si="373"/>
        <v>FARMÁCIA INDIANA LJ 1 (10126)</v>
      </c>
      <c r="G727" t="str">
        <f t="shared" si="374"/>
        <v>Serv.Prest. 25/01/2025 a 02/02/2025 - RPS: 467 - NFSe: 2694</v>
      </c>
      <c r="H727" t="str">
        <f t="shared" si="375"/>
        <v>12/02/2025</v>
      </c>
      <c r="I727" t="str">
        <f t="shared" si="376"/>
        <v>04/02/2025</v>
      </c>
      <c r="J727" t="str">
        <f t="shared" si="377"/>
        <v>12/02/2025</v>
      </c>
      <c r="M727">
        <v>303</v>
      </c>
      <c r="N727" t="str">
        <f t="shared" si="378"/>
        <v>RECEITAS COM ENTREGAS</v>
      </c>
      <c r="P727">
        <v>564.51</v>
      </c>
      <c r="Q727" t="str">
        <f>"FARMÁCIA INDIANA LJ 40 (10016)"</f>
        <v>FARMÁCIA INDIANA LJ 40 (10016)</v>
      </c>
      <c r="R727" t="str">
        <f t="shared" si="379"/>
        <v>RECEITAS COM ENTREGAS (303)</v>
      </c>
      <c r="S727">
        <v>1019</v>
      </c>
      <c r="T727">
        <v>818</v>
      </c>
      <c r="U727" t="s">
        <v>19</v>
      </c>
    </row>
    <row r="728" spans="1:21">
      <c r="A728" t="str">
        <f t="shared" si="369"/>
        <v>12/02/2025</v>
      </c>
      <c r="B728" t="str">
        <f t="shared" si="380"/>
        <v>ENTRADA</v>
      </c>
      <c r="C728" t="str">
        <f t="shared" si="370"/>
        <v>NFSE</v>
      </c>
      <c r="D728" t="str">
        <f t="shared" si="371"/>
        <v>2694</v>
      </c>
      <c r="E728" t="str">
        <f t="shared" si="372"/>
        <v>COM</v>
      </c>
      <c r="F728" t="str">
        <f t="shared" si="373"/>
        <v>FARMÁCIA INDIANA LJ 1 (10126)</v>
      </c>
      <c r="G728" t="str">
        <f t="shared" si="374"/>
        <v>Serv.Prest. 25/01/2025 a 02/02/2025 - RPS: 467 - NFSe: 2694</v>
      </c>
      <c r="H728" t="str">
        <f t="shared" si="375"/>
        <v>12/02/2025</v>
      </c>
      <c r="I728" t="str">
        <f t="shared" si="376"/>
        <v>04/02/2025</v>
      </c>
      <c r="J728" t="str">
        <f t="shared" si="377"/>
        <v>12/02/2025</v>
      </c>
      <c r="M728">
        <v>303</v>
      </c>
      <c r="N728" t="str">
        <f t="shared" si="378"/>
        <v>RECEITAS COM ENTREGAS</v>
      </c>
      <c r="P728">
        <v>362.8</v>
      </c>
      <c r="Q728" t="str">
        <f>"FARMÁCIA INDIANA LJ 59 (10026)"</f>
        <v>FARMÁCIA INDIANA LJ 59 (10026)</v>
      </c>
      <c r="R728" t="str">
        <f t="shared" si="379"/>
        <v>RECEITAS COM ENTREGAS (303)</v>
      </c>
      <c r="S728">
        <v>1019</v>
      </c>
      <c r="T728">
        <v>818</v>
      </c>
      <c r="U728" t="s">
        <v>19</v>
      </c>
    </row>
    <row r="729" spans="1:21">
      <c r="A729" t="str">
        <f t="shared" si="369"/>
        <v>12/02/2025</v>
      </c>
      <c r="B729" t="str">
        <f t="shared" si="380"/>
        <v>ENTRADA</v>
      </c>
      <c r="C729" t="str">
        <f t="shared" si="370"/>
        <v>NFSE</v>
      </c>
      <c r="D729" t="str">
        <f t="shared" si="371"/>
        <v>2694</v>
      </c>
      <c r="E729" t="str">
        <f t="shared" si="372"/>
        <v>COM</v>
      </c>
      <c r="F729" t="str">
        <f t="shared" si="373"/>
        <v>FARMÁCIA INDIANA LJ 1 (10126)</v>
      </c>
      <c r="G729" t="str">
        <f t="shared" si="374"/>
        <v>Serv.Prest. 25/01/2025 a 02/02/2025 - RPS: 467 - NFSe: 2694</v>
      </c>
      <c r="H729" t="str">
        <f t="shared" si="375"/>
        <v>12/02/2025</v>
      </c>
      <c r="I729" t="str">
        <f t="shared" si="376"/>
        <v>04/02/2025</v>
      </c>
      <c r="J729" t="str">
        <f t="shared" si="377"/>
        <v>12/02/2025</v>
      </c>
      <c r="M729">
        <v>303</v>
      </c>
      <c r="N729" t="str">
        <f t="shared" si="378"/>
        <v>RECEITAS COM ENTREGAS</v>
      </c>
      <c r="P729">
        <v>501.64</v>
      </c>
      <c r="Q729" t="str">
        <f>"FARMÁCIA INDIANA LJ 61 (10027)"</f>
        <v>FARMÁCIA INDIANA LJ 61 (10027)</v>
      </c>
      <c r="R729" t="str">
        <f t="shared" si="379"/>
        <v>RECEITAS COM ENTREGAS (303)</v>
      </c>
      <c r="S729">
        <v>1019</v>
      </c>
      <c r="T729">
        <v>818</v>
      </c>
      <c r="U729" t="s">
        <v>19</v>
      </c>
    </row>
    <row r="730" spans="1:21">
      <c r="A730" t="str">
        <f t="shared" si="369"/>
        <v>12/02/2025</v>
      </c>
      <c r="B730" t="str">
        <f t="shared" si="380"/>
        <v>ENTRADA</v>
      </c>
      <c r="C730" t="str">
        <f t="shared" si="370"/>
        <v>NFSE</v>
      </c>
      <c r="D730" t="str">
        <f t="shared" si="371"/>
        <v>2694</v>
      </c>
      <c r="E730" t="str">
        <f t="shared" si="372"/>
        <v>COM</v>
      </c>
      <c r="F730" t="str">
        <f t="shared" si="373"/>
        <v>FARMÁCIA INDIANA LJ 1 (10126)</v>
      </c>
      <c r="G730" t="str">
        <f t="shared" si="374"/>
        <v>Serv.Prest. 25/01/2025 a 02/02/2025 - RPS: 467 - NFSe: 2694</v>
      </c>
      <c r="H730" t="str">
        <f t="shared" si="375"/>
        <v>12/02/2025</v>
      </c>
      <c r="I730" t="str">
        <f t="shared" si="376"/>
        <v>04/02/2025</v>
      </c>
      <c r="J730" t="str">
        <f t="shared" si="377"/>
        <v>12/02/2025</v>
      </c>
      <c r="M730">
        <v>303</v>
      </c>
      <c r="N730" t="str">
        <f t="shared" si="378"/>
        <v>RECEITAS COM ENTREGAS</v>
      </c>
      <c r="P730">
        <v>246.24</v>
      </c>
      <c r="Q730" t="str">
        <f>"FARMÁCIA INDIANA LJ 62 (10028)"</f>
        <v>FARMÁCIA INDIANA LJ 62 (10028)</v>
      </c>
      <c r="R730" t="str">
        <f t="shared" si="379"/>
        <v>RECEITAS COM ENTREGAS (303)</v>
      </c>
      <c r="S730">
        <v>1019</v>
      </c>
      <c r="T730">
        <v>818</v>
      </c>
      <c r="U730" t="s">
        <v>19</v>
      </c>
    </row>
    <row r="731" spans="1:21">
      <c r="A731" t="str">
        <f t="shared" si="369"/>
        <v>12/02/2025</v>
      </c>
      <c r="B731" t="str">
        <f t="shared" si="380"/>
        <v>ENTRADA</v>
      </c>
      <c r="C731" t="str">
        <f t="shared" si="370"/>
        <v>NFSE</v>
      </c>
      <c r="D731" t="str">
        <f t="shared" si="371"/>
        <v>2694</v>
      </c>
      <c r="E731" t="str">
        <f t="shared" si="372"/>
        <v>COM</v>
      </c>
      <c r="F731" t="str">
        <f t="shared" si="373"/>
        <v>FARMÁCIA INDIANA LJ 1 (10126)</v>
      </c>
      <c r="G731" t="str">
        <f t="shared" si="374"/>
        <v>Serv.Prest. 25/01/2025 a 02/02/2025 - RPS: 467 - NFSe: 2694</v>
      </c>
      <c r="H731" t="str">
        <f t="shared" si="375"/>
        <v>12/02/2025</v>
      </c>
      <c r="I731" t="str">
        <f t="shared" si="376"/>
        <v>04/02/2025</v>
      </c>
      <c r="J731" t="str">
        <f t="shared" si="377"/>
        <v>12/02/2025</v>
      </c>
      <c r="M731">
        <v>303</v>
      </c>
      <c r="N731" t="str">
        <f t="shared" si="378"/>
        <v>RECEITAS COM ENTREGAS</v>
      </c>
      <c r="P731">
        <v>115.26</v>
      </c>
      <c r="Q731" t="str">
        <f>"FARMÁCIA INDIANA LJ 64 (10029)"</f>
        <v>FARMÁCIA INDIANA LJ 64 (10029)</v>
      </c>
      <c r="R731" t="str">
        <f t="shared" si="379"/>
        <v>RECEITAS COM ENTREGAS (303)</v>
      </c>
      <c r="S731">
        <v>1019</v>
      </c>
      <c r="T731">
        <v>818</v>
      </c>
      <c r="U731" t="s">
        <v>19</v>
      </c>
    </row>
    <row r="732" spans="1:21">
      <c r="A732" t="str">
        <f t="shared" si="369"/>
        <v>12/02/2025</v>
      </c>
      <c r="B732" t="str">
        <f t="shared" si="380"/>
        <v>ENTRADA</v>
      </c>
      <c r="C732" t="str">
        <f t="shared" si="370"/>
        <v>NFSE</v>
      </c>
      <c r="D732" t="str">
        <f t="shared" si="371"/>
        <v>2694</v>
      </c>
      <c r="E732" t="str">
        <f t="shared" si="372"/>
        <v>COM</v>
      </c>
      <c r="F732" t="str">
        <f t="shared" si="373"/>
        <v>FARMÁCIA INDIANA LJ 1 (10126)</v>
      </c>
      <c r="G732" t="str">
        <f t="shared" si="374"/>
        <v>Serv.Prest. 25/01/2025 a 02/02/2025 - RPS: 467 - NFSe: 2694</v>
      </c>
      <c r="H732" t="str">
        <f t="shared" si="375"/>
        <v>12/02/2025</v>
      </c>
      <c r="I732" t="str">
        <f t="shared" si="376"/>
        <v>04/02/2025</v>
      </c>
      <c r="J732" t="str">
        <f t="shared" si="377"/>
        <v>12/02/2025</v>
      </c>
      <c r="M732">
        <v>303</v>
      </c>
      <c r="N732" t="str">
        <f t="shared" si="378"/>
        <v>RECEITAS COM ENTREGAS</v>
      </c>
      <c r="P732">
        <v>55.01</v>
      </c>
      <c r="Q732" t="str">
        <f>"FARMÁCIA INDIANA LJ 97 (10040)"</f>
        <v>FARMÁCIA INDIANA LJ 97 (10040)</v>
      </c>
      <c r="R732" t="str">
        <f t="shared" si="379"/>
        <v>RECEITAS COM ENTREGAS (303)</v>
      </c>
      <c r="S732">
        <v>1019</v>
      </c>
      <c r="T732">
        <v>818</v>
      </c>
      <c r="U732" t="s">
        <v>19</v>
      </c>
    </row>
    <row r="733" spans="1:21">
      <c r="A733" t="str">
        <f t="shared" si="369"/>
        <v>12/02/2025</v>
      </c>
      <c r="B733" t="str">
        <f t="shared" si="380"/>
        <v>ENTRADA</v>
      </c>
      <c r="C733" t="str">
        <f t="shared" si="370"/>
        <v>NFSE</v>
      </c>
      <c r="D733" t="str">
        <f t="shared" si="371"/>
        <v>2694</v>
      </c>
      <c r="E733" t="str">
        <f t="shared" si="372"/>
        <v>COM</v>
      </c>
      <c r="F733" t="str">
        <f t="shared" si="373"/>
        <v>FARMÁCIA INDIANA LJ 1 (10126)</v>
      </c>
      <c r="G733" t="str">
        <f t="shared" si="374"/>
        <v>Serv.Prest. 25/01/2025 a 02/02/2025 - RPS: 467 - NFSe: 2694</v>
      </c>
      <c r="H733" t="str">
        <f t="shared" si="375"/>
        <v>12/02/2025</v>
      </c>
      <c r="I733" t="str">
        <f t="shared" si="376"/>
        <v>04/02/2025</v>
      </c>
      <c r="J733" t="str">
        <f t="shared" si="377"/>
        <v>12/02/2025</v>
      </c>
      <c r="M733">
        <v>303</v>
      </c>
      <c r="N733" t="str">
        <f t="shared" si="378"/>
        <v>RECEITAS COM ENTREGAS</v>
      </c>
      <c r="P733">
        <v>320.89</v>
      </c>
      <c r="Q733" t="str">
        <f>"FARMÁCIA INDIANA LJ 100 (10042)"</f>
        <v>FARMÁCIA INDIANA LJ 100 (10042)</v>
      </c>
      <c r="R733" t="str">
        <f t="shared" si="379"/>
        <v>RECEITAS COM ENTREGAS (303)</v>
      </c>
      <c r="S733">
        <v>1019</v>
      </c>
      <c r="T733">
        <v>818</v>
      </c>
      <c r="U733" t="s">
        <v>19</v>
      </c>
    </row>
    <row r="734" spans="1:21">
      <c r="A734" t="str">
        <f t="shared" si="369"/>
        <v>12/02/2025</v>
      </c>
      <c r="B734" t="str">
        <f t="shared" si="380"/>
        <v>ENTRADA</v>
      </c>
      <c r="C734" t="str">
        <f t="shared" si="370"/>
        <v>NFSE</v>
      </c>
      <c r="D734" t="str">
        <f t="shared" si="371"/>
        <v>2694</v>
      </c>
      <c r="E734" t="str">
        <f t="shared" si="372"/>
        <v>COM</v>
      </c>
      <c r="F734" t="str">
        <f t="shared" si="373"/>
        <v>FARMÁCIA INDIANA LJ 1 (10126)</v>
      </c>
      <c r="G734" t="str">
        <f t="shared" si="374"/>
        <v>Serv.Prest. 25/01/2025 a 02/02/2025 - RPS: 467 - NFSe: 2694</v>
      </c>
      <c r="H734" t="str">
        <f t="shared" si="375"/>
        <v>12/02/2025</v>
      </c>
      <c r="I734" t="str">
        <f t="shared" si="376"/>
        <v>04/02/2025</v>
      </c>
      <c r="J734" t="str">
        <f t="shared" si="377"/>
        <v>12/02/2025</v>
      </c>
      <c r="M734">
        <v>303</v>
      </c>
      <c r="N734" t="str">
        <f t="shared" si="378"/>
        <v>RECEITAS COM ENTREGAS</v>
      </c>
      <c r="P734">
        <v>268.5</v>
      </c>
      <c r="Q734" t="str">
        <f>"FARMÁCIA INDIANA LJ 101 (10043)"</f>
        <v>FARMÁCIA INDIANA LJ 101 (10043)</v>
      </c>
      <c r="R734" t="str">
        <f t="shared" si="379"/>
        <v>RECEITAS COM ENTREGAS (303)</v>
      </c>
      <c r="S734">
        <v>1019</v>
      </c>
      <c r="T734">
        <v>818</v>
      </c>
      <c r="U734" t="s">
        <v>19</v>
      </c>
    </row>
    <row r="735" spans="1:21">
      <c r="A735" t="str">
        <f t="shared" si="369"/>
        <v>12/02/2025</v>
      </c>
      <c r="B735" t="str">
        <f t="shared" si="380"/>
        <v>ENTRADA</v>
      </c>
      <c r="C735" t="str">
        <f t="shared" si="370"/>
        <v>NFSE</v>
      </c>
      <c r="D735" t="str">
        <f t="shared" si="371"/>
        <v>2694</v>
      </c>
      <c r="E735" t="str">
        <f t="shared" si="372"/>
        <v>COM</v>
      </c>
      <c r="F735" t="str">
        <f t="shared" si="373"/>
        <v>FARMÁCIA INDIANA LJ 1 (10126)</v>
      </c>
      <c r="G735" t="str">
        <f t="shared" si="374"/>
        <v>Serv.Prest. 25/01/2025 a 02/02/2025 - RPS: 467 - NFSe: 2694</v>
      </c>
      <c r="H735" t="str">
        <f t="shared" si="375"/>
        <v>12/02/2025</v>
      </c>
      <c r="I735" t="str">
        <f t="shared" si="376"/>
        <v>04/02/2025</v>
      </c>
      <c r="J735" t="str">
        <f t="shared" si="377"/>
        <v>12/02/2025</v>
      </c>
      <c r="M735">
        <v>303</v>
      </c>
      <c r="N735" t="str">
        <f t="shared" si="378"/>
        <v>RECEITAS COM ENTREGAS</v>
      </c>
      <c r="P735">
        <v>61.56</v>
      </c>
      <c r="Q735" t="str">
        <f>"FARMÁCIA INDIANA LJ 103 (10044)"</f>
        <v>FARMÁCIA INDIANA LJ 103 (10044)</v>
      </c>
      <c r="R735" t="str">
        <f t="shared" si="379"/>
        <v>RECEITAS COM ENTREGAS (303)</v>
      </c>
      <c r="S735">
        <v>1019</v>
      </c>
      <c r="T735">
        <v>818</v>
      </c>
      <c r="U735" t="s">
        <v>19</v>
      </c>
    </row>
    <row r="736" spans="1:21">
      <c r="A736" t="str">
        <f t="shared" si="369"/>
        <v>12/02/2025</v>
      </c>
      <c r="B736" t="str">
        <f t="shared" si="380"/>
        <v>ENTRADA</v>
      </c>
      <c r="C736" t="str">
        <f t="shared" si="370"/>
        <v>NFSE</v>
      </c>
      <c r="D736" t="str">
        <f t="shared" si="371"/>
        <v>2694</v>
      </c>
      <c r="E736" t="str">
        <f t="shared" si="372"/>
        <v>COM</v>
      </c>
      <c r="F736" t="str">
        <f t="shared" si="373"/>
        <v>FARMÁCIA INDIANA LJ 1 (10126)</v>
      </c>
      <c r="G736" t="str">
        <f t="shared" si="374"/>
        <v>Serv.Prest. 25/01/2025 a 02/02/2025 - RPS: 467 - NFSe: 2694</v>
      </c>
      <c r="H736" t="str">
        <f t="shared" si="375"/>
        <v>12/02/2025</v>
      </c>
      <c r="I736" t="str">
        <f t="shared" si="376"/>
        <v>04/02/2025</v>
      </c>
      <c r="J736" t="str">
        <f t="shared" si="377"/>
        <v>12/02/2025</v>
      </c>
      <c r="M736">
        <v>303</v>
      </c>
      <c r="N736" t="str">
        <f t="shared" si="378"/>
        <v>RECEITAS COM ENTREGAS</v>
      </c>
      <c r="P736">
        <v>128.36000000000001</v>
      </c>
      <c r="Q736" t="str">
        <f>"FARMÁCIA INDIANA LJ 109 (10047)"</f>
        <v>FARMÁCIA INDIANA LJ 109 (10047)</v>
      </c>
      <c r="R736" t="str">
        <f t="shared" si="379"/>
        <v>RECEITAS COM ENTREGAS (303)</v>
      </c>
      <c r="S736">
        <v>1019</v>
      </c>
      <c r="T736">
        <v>818</v>
      </c>
      <c r="U736" t="s">
        <v>19</v>
      </c>
    </row>
    <row r="737" spans="1:21">
      <c r="A737" t="str">
        <f t="shared" si="369"/>
        <v>12/02/2025</v>
      </c>
      <c r="B737" t="str">
        <f t="shared" si="380"/>
        <v>ENTRADA</v>
      </c>
      <c r="C737" t="str">
        <f t="shared" si="370"/>
        <v>NFSE</v>
      </c>
      <c r="D737" t="str">
        <f t="shared" si="371"/>
        <v>2694</v>
      </c>
      <c r="E737" t="str">
        <f t="shared" si="372"/>
        <v>COM</v>
      </c>
      <c r="F737" t="str">
        <f t="shared" si="373"/>
        <v>FARMÁCIA INDIANA LJ 1 (10126)</v>
      </c>
      <c r="G737" t="str">
        <f t="shared" si="374"/>
        <v>Serv.Prest. 25/01/2025 a 02/02/2025 - RPS: 467 - NFSe: 2694</v>
      </c>
      <c r="H737" t="str">
        <f t="shared" si="375"/>
        <v>12/02/2025</v>
      </c>
      <c r="I737" t="str">
        <f t="shared" si="376"/>
        <v>04/02/2025</v>
      </c>
      <c r="J737" t="str">
        <f t="shared" si="377"/>
        <v>12/02/2025</v>
      </c>
      <c r="M737">
        <v>303</v>
      </c>
      <c r="N737" t="str">
        <f t="shared" si="378"/>
        <v>RECEITAS COM ENTREGAS</v>
      </c>
      <c r="P737">
        <v>501.64</v>
      </c>
      <c r="Q737" t="str">
        <f>"FARMÁCIA INDIANA LJ 110 (10048)"</f>
        <v>FARMÁCIA INDIANA LJ 110 (10048)</v>
      </c>
      <c r="R737" t="str">
        <f t="shared" si="379"/>
        <v>RECEITAS COM ENTREGAS (303)</v>
      </c>
      <c r="S737">
        <v>1019</v>
      </c>
      <c r="T737">
        <v>818</v>
      </c>
      <c r="U737" t="s">
        <v>19</v>
      </c>
    </row>
    <row r="738" spans="1:21">
      <c r="A738" t="str">
        <f t="shared" si="369"/>
        <v>12/02/2025</v>
      </c>
      <c r="B738" t="str">
        <f t="shared" si="380"/>
        <v>ENTRADA</v>
      </c>
      <c r="C738" t="str">
        <f t="shared" si="370"/>
        <v>NFSE</v>
      </c>
      <c r="D738" t="str">
        <f t="shared" si="371"/>
        <v>2694</v>
      </c>
      <c r="E738" t="str">
        <f t="shared" si="372"/>
        <v>COM</v>
      </c>
      <c r="F738" t="str">
        <f t="shared" si="373"/>
        <v>FARMÁCIA INDIANA LJ 1 (10126)</v>
      </c>
      <c r="G738" t="str">
        <f t="shared" si="374"/>
        <v>Serv.Prest. 25/01/2025 a 02/02/2025 - RPS: 467 - NFSe: 2694</v>
      </c>
      <c r="H738" t="str">
        <f t="shared" si="375"/>
        <v>12/02/2025</v>
      </c>
      <c r="I738" t="str">
        <f t="shared" si="376"/>
        <v>04/02/2025</v>
      </c>
      <c r="J738" t="str">
        <f t="shared" si="377"/>
        <v>12/02/2025</v>
      </c>
      <c r="M738">
        <v>303</v>
      </c>
      <c r="N738" t="str">
        <f t="shared" si="378"/>
        <v>RECEITAS COM ENTREGAS</v>
      </c>
      <c r="P738">
        <v>68.11</v>
      </c>
      <c r="Q738" t="str">
        <f>"FARMÁCIA INDIANA LJ 111 (10049)"</f>
        <v>FARMÁCIA INDIANA LJ 111 (10049)</v>
      </c>
      <c r="R738" t="str">
        <f t="shared" si="379"/>
        <v>RECEITAS COM ENTREGAS (303)</v>
      </c>
      <c r="S738">
        <v>1019</v>
      </c>
      <c r="T738">
        <v>818</v>
      </c>
      <c r="U738" t="s">
        <v>19</v>
      </c>
    </row>
    <row r="739" spans="1:21">
      <c r="A739" t="str">
        <f t="shared" si="369"/>
        <v>12/02/2025</v>
      </c>
      <c r="B739" t="str">
        <f t="shared" si="380"/>
        <v>ENTRADA</v>
      </c>
      <c r="C739" t="str">
        <f t="shared" si="370"/>
        <v>NFSE</v>
      </c>
      <c r="D739" t="str">
        <f t="shared" si="371"/>
        <v>2694</v>
      </c>
      <c r="E739" t="str">
        <f t="shared" si="372"/>
        <v>COM</v>
      </c>
      <c r="F739" t="str">
        <f t="shared" si="373"/>
        <v>FARMÁCIA INDIANA LJ 1 (10126)</v>
      </c>
      <c r="G739" t="str">
        <f t="shared" si="374"/>
        <v>Serv.Prest. 25/01/2025 a 02/02/2025 - RPS: 467 - NFSe: 2694</v>
      </c>
      <c r="H739" t="str">
        <f t="shared" si="375"/>
        <v>12/02/2025</v>
      </c>
      <c r="I739" t="str">
        <f t="shared" si="376"/>
        <v>04/02/2025</v>
      </c>
      <c r="J739" t="str">
        <f t="shared" si="377"/>
        <v>12/02/2025</v>
      </c>
      <c r="M739">
        <v>303</v>
      </c>
      <c r="N739" t="str">
        <f t="shared" si="378"/>
        <v>RECEITAS COM ENTREGAS</v>
      </c>
      <c r="P739">
        <v>127.05</v>
      </c>
      <c r="Q739" t="str">
        <f>"FARMÁCIA INDIANA LJ 112 (10050)"</f>
        <v>FARMÁCIA INDIANA LJ 112 (10050)</v>
      </c>
      <c r="R739" t="str">
        <f t="shared" si="379"/>
        <v>RECEITAS COM ENTREGAS (303)</v>
      </c>
      <c r="S739">
        <v>1019</v>
      </c>
      <c r="T739">
        <v>818</v>
      </c>
      <c r="U739" t="s">
        <v>19</v>
      </c>
    </row>
    <row r="740" spans="1:21">
      <c r="A740" t="str">
        <f t="shared" si="369"/>
        <v>12/02/2025</v>
      </c>
      <c r="B740" t="str">
        <f t="shared" si="380"/>
        <v>ENTRADA</v>
      </c>
      <c r="C740" t="str">
        <f t="shared" si="370"/>
        <v>NFSE</v>
      </c>
      <c r="D740" t="str">
        <f t="shared" si="371"/>
        <v>2694</v>
      </c>
      <c r="E740" t="str">
        <f t="shared" si="372"/>
        <v>COM</v>
      </c>
      <c r="F740" t="str">
        <f t="shared" si="373"/>
        <v>FARMÁCIA INDIANA LJ 1 (10126)</v>
      </c>
      <c r="G740" t="str">
        <f t="shared" si="374"/>
        <v>Serv.Prest. 25/01/2025 a 02/02/2025 - RPS: 467 - NFSe: 2694</v>
      </c>
      <c r="H740" t="str">
        <f t="shared" si="375"/>
        <v>12/02/2025</v>
      </c>
      <c r="I740" t="str">
        <f t="shared" si="376"/>
        <v>04/02/2025</v>
      </c>
      <c r="J740" t="str">
        <f t="shared" si="377"/>
        <v>12/02/2025</v>
      </c>
      <c r="M740">
        <v>303</v>
      </c>
      <c r="N740" t="str">
        <f t="shared" si="378"/>
        <v>RECEITAS COM ENTREGAS</v>
      </c>
      <c r="P740">
        <v>127.05</v>
      </c>
      <c r="Q740" t="str">
        <f>"FARMÁCIA INDIANA LJ 116 (10051)"</f>
        <v>FARMÁCIA INDIANA LJ 116 (10051)</v>
      </c>
      <c r="R740" t="str">
        <f t="shared" si="379"/>
        <v>RECEITAS COM ENTREGAS (303)</v>
      </c>
      <c r="S740">
        <v>1019</v>
      </c>
      <c r="T740">
        <v>818</v>
      </c>
      <c r="U740" t="s">
        <v>19</v>
      </c>
    </row>
    <row r="741" spans="1:21">
      <c r="A741" t="str">
        <f t="shared" si="369"/>
        <v>12/02/2025</v>
      </c>
      <c r="B741" t="str">
        <f t="shared" si="380"/>
        <v>ENTRADA</v>
      </c>
      <c r="C741" t="str">
        <f t="shared" si="370"/>
        <v>NFSE</v>
      </c>
      <c r="D741" t="str">
        <f t="shared" si="371"/>
        <v>2694</v>
      </c>
      <c r="E741" t="str">
        <f t="shared" si="372"/>
        <v>COM</v>
      </c>
      <c r="F741" t="str">
        <f t="shared" si="373"/>
        <v>FARMÁCIA INDIANA LJ 1 (10126)</v>
      </c>
      <c r="G741" t="str">
        <f t="shared" si="374"/>
        <v>Serv.Prest. 25/01/2025 a 02/02/2025 - RPS: 467 - NFSe: 2694</v>
      </c>
      <c r="H741" t="str">
        <f t="shared" si="375"/>
        <v>12/02/2025</v>
      </c>
      <c r="I741" t="str">
        <f t="shared" si="376"/>
        <v>04/02/2025</v>
      </c>
      <c r="J741" t="str">
        <f t="shared" si="377"/>
        <v>12/02/2025</v>
      </c>
      <c r="M741">
        <v>303</v>
      </c>
      <c r="N741" t="str">
        <f t="shared" si="378"/>
        <v>RECEITAS COM ENTREGAS</v>
      </c>
      <c r="P741">
        <v>127.05</v>
      </c>
      <c r="Q741" t="str">
        <f>"FARMÁCIA INDIANA LJ 118 (10052)"</f>
        <v>FARMÁCIA INDIANA LJ 118 (10052)</v>
      </c>
      <c r="R741" t="str">
        <f t="shared" si="379"/>
        <v>RECEITAS COM ENTREGAS (303)</v>
      </c>
      <c r="S741">
        <v>1019</v>
      </c>
      <c r="T741">
        <v>818</v>
      </c>
      <c r="U741" t="s">
        <v>19</v>
      </c>
    </row>
    <row r="742" spans="1:21">
      <c r="A742" t="str">
        <f t="shared" si="369"/>
        <v>12/02/2025</v>
      </c>
      <c r="B742" t="str">
        <f t="shared" si="380"/>
        <v>ENTRADA</v>
      </c>
      <c r="C742" t="str">
        <f t="shared" si="370"/>
        <v>NFSE</v>
      </c>
      <c r="D742" t="str">
        <f t="shared" si="371"/>
        <v>2694</v>
      </c>
      <c r="E742" t="str">
        <f t="shared" si="372"/>
        <v>COM</v>
      </c>
      <c r="F742" t="str">
        <f t="shared" si="373"/>
        <v>FARMÁCIA INDIANA LJ 1 (10126)</v>
      </c>
      <c r="G742" t="str">
        <f t="shared" si="374"/>
        <v>Serv.Prest. 25/01/2025 a 02/02/2025 - RPS: 467 - NFSe: 2694</v>
      </c>
      <c r="H742" t="str">
        <f t="shared" si="375"/>
        <v>12/02/2025</v>
      </c>
      <c r="I742" t="str">
        <f t="shared" si="376"/>
        <v>04/02/2025</v>
      </c>
      <c r="J742" t="str">
        <f t="shared" si="377"/>
        <v>12/02/2025</v>
      </c>
      <c r="M742">
        <v>303</v>
      </c>
      <c r="N742" t="str">
        <f t="shared" si="378"/>
        <v>RECEITAS COM ENTREGAS</v>
      </c>
      <c r="P742">
        <v>127.05</v>
      </c>
      <c r="Q742" t="str">
        <f>"FARMÁCIA INDIANA LJ 121 (10054)"</f>
        <v>FARMÁCIA INDIANA LJ 121 (10054)</v>
      </c>
      <c r="R742" t="str">
        <f t="shared" si="379"/>
        <v>RECEITAS COM ENTREGAS (303)</v>
      </c>
      <c r="S742">
        <v>1019</v>
      </c>
      <c r="T742">
        <v>818</v>
      </c>
      <c r="U742" t="s">
        <v>19</v>
      </c>
    </row>
    <row r="743" spans="1:21">
      <c r="A743" t="str">
        <f t="shared" si="369"/>
        <v>12/02/2025</v>
      </c>
      <c r="B743" t="str">
        <f t="shared" si="380"/>
        <v>ENTRADA</v>
      </c>
      <c r="C743" t="str">
        <f t="shared" si="370"/>
        <v>NFSE</v>
      </c>
      <c r="D743" t="str">
        <f t="shared" si="371"/>
        <v>2694</v>
      </c>
      <c r="E743" t="str">
        <f t="shared" si="372"/>
        <v>COM</v>
      </c>
      <c r="F743" t="str">
        <f t="shared" si="373"/>
        <v>FARMÁCIA INDIANA LJ 1 (10126)</v>
      </c>
      <c r="G743" t="str">
        <f t="shared" si="374"/>
        <v>Serv.Prest. 25/01/2025 a 02/02/2025 - RPS: 467 - NFSe: 2694</v>
      </c>
      <c r="H743" t="str">
        <f t="shared" si="375"/>
        <v>12/02/2025</v>
      </c>
      <c r="I743" t="str">
        <f t="shared" si="376"/>
        <v>04/02/2025</v>
      </c>
      <c r="J743" t="str">
        <f t="shared" si="377"/>
        <v>12/02/2025</v>
      </c>
      <c r="M743">
        <v>303</v>
      </c>
      <c r="N743" t="str">
        <f t="shared" si="378"/>
        <v>RECEITAS COM ENTREGAS</v>
      </c>
      <c r="P743">
        <v>127.05</v>
      </c>
      <c r="Q743" t="str">
        <f>"FARMÁCIA INDIANA LJ 128 (10057)"</f>
        <v>FARMÁCIA INDIANA LJ 128 (10057)</v>
      </c>
      <c r="R743" t="str">
        <f t="shared" si="379"/>
        <v>RECEITAS COM ENTREGAS (303)</v>
      </c>
      <c r="S743">
        <v>1019</v>
      </c>
      <c r="T743">
        <v>818</v>
      </c>
      <c r="U743" t="s">
        <v>19</v>
      </c>
    </row>
    <row r="744" spans="1:21">
      <c r="A744" t="str">
        <f t="shared" si="369"/>
        <v>12/02/2025</v>
      </c>
      <c r="B744" t="str">
        <f t="shared" si="380"/>
        <v>ENTRADA</v>
      </c>
      <c r="C744" t="str">
        <f t="shared" si="370"/>
        <v>NFSE</v>
      </c>
      <c r="D744" t="str">
        <f t="shared" si="371"/>
        <v>2694</v>
      </c>
      <c r="E744" t="str">
        <f t="shared" si="372"/>
        <v>COM</v>
      </c>
      <c r="F744" t="str">
        <f t="shared" si="373"/>
        <v>FARMÁCIA INDIANA LJ 1 (10126)</v>
      </c>
      <c r="G744" t="str">
        <f t="shared" si="374"/>
        <v>Serv.Prest. 25/01/2025 a 02/02/2025 - RPS: 467 - NFSe: 2694</v>
      </c>
      <c r="H744" t="str">
        <f t="shared" si="375"/>
        <v>12/02/2025</v>
      </c>
      <c r="I744" t="str">
        <f t="shared" si="376"/>
        <v>04/02/2025</v>
      </c>
      <c r="J744" t="str">
        <f t="shared" si="377"/>
        <v>12/02/2025</v>
      </c>
      <c r="M744">
        <v>303</v>
      </c>
      <c r="N744" t="str">
        <f t="shared" si="378"/>
        <v>RECEITAS COM ENTREGAS</v>
      </c>
      <c r="P744">
        <v>457.11</v>
      </c>
      <c r="Q744" t="str">
        <f>"FARMÁCIA INDIANA LJ 132 (10059)"</f>
        <v>FARMÁCIA INDIANA LJ 132 (10059)</v>
      </c>
      <c r="R744" t="str">
        <f t="shared" si="379"/>
        <v>RECEITAS COM ENTREGAS (303)</v>
      </c>
      <c r="S744">
        <v>1019</v>
      </c>
      <c r="T744">
        <v>818</v>
      </c>
      <c r="U744" t="s">
        <v>19</v>
      </c>
    </row>
    <row r="745" spans="1:21">
      <c r="A745" t="str">
        <f t="shared" si="369"/>
        <v>12/02/2025</v>
      </c>
      <c r="B745" t="str">
        <f t="shared" si="380"/>
        <v>ENTRADA</v>
      </c>
      <c r="C745" t="str">
        <f t="shared" si="370"/>
        <v>NFSE</v>
      </c>
      <c r="D745" t="str">
        <f t="shared" si="371"/>
        <v>2694</v>
      </c>
      <c r="E745" t="str">
        <f t="shared" si="372"/>
        <v>COM</v>
      </c>
      <c r="F745" t="str">
        <f t="shared" si="373"/>
        <v>FARMÁCIA INDIANA LJ 1 (10126)</v>
      </c>
      <c r="G745" t="str">
        <f t="shared" si="374"/>
        <v>Serv.Prest. 25/01/2025 a 02/02/2025 - RPS: 467 - NFSe: 2694</v>
      </c>
      <c r="H745" t="str">
        <f t="shared" si="375"/>
        <v>12/02/2025</v>
      </c>
      <c r="I745" t="str">
        <f t="shared" si="376"/>
        <v>04/02/2025</v>
      </c>
      <c r="J745" t="str">
        <f t="shared" si="377"/>
        <v>12/02/2025</v>
      </c>
      <c r="M745">
        <v>303</v>
      </c>
      <c r="N745" t="str">
        <f t="shared" si="378"/>
        <v>RECEITAS COM ENTREGAS</v>
      </c>
      <c r="P745">
        <v>37.979999999999997</v>
      </c>
      <c r="Q745" t="str">
        <f>"FARMÁCIA INDIANA LJ 140 (10064)"</f>
        <v>FARMÁCIA INDIANA LJ 140 (10064)</v>
      </c>
      <c r="R745" t="str">
        <f t="shared" si="379"/>
        <v>RECEITAS COM ENTREGAS (303)</v>
      </c>
      <c r="S745">
        <v>1019</v>
      </c>
      <c r="T745">
        <v>818</v>
      </c>
      <c r="U745" t="s">
        <v>19</v>
      </c>
    </row>
    <row r="746" spans="1:21">
      <c r="A746" t="str">
        <f t="shared" si="369"/>
        <v>12/02/2025</v>
      </c>
      <c r="B746" t="str">
        <f t="shared" si="380"/>
        <v>ENTRADA</v>
      </c>
      <c r="C746" t="str">
        <f t="shared" si="370"/>
        <v>NFSE</v>
      </c>
      <c r="D746" t="str">
        <f t="shared" si="371"/>
        <v>2694</v>
      </c>
      <c r="E746" t="str">
        <f t="shared" si="372"/>
        <v>COM</v>
      </c>
      <c r="F746" t="str">
        <f t="shared" si="373"/>
        <v>FARMÁCIA INDIANA LJ 1 (10126)</v>
      </c>
      <c r="G746" t="str">
        <f t="shared" si="374"/>
        <v>Serv.Prest. 25/01/2025 a 02/02/2025 - RPS: 467 - NFSe: 2694</v>
      </c>
      <c r="H746" t="str">
        <f t="shared" si="375"/>
        <v>12/02/2025</v>
      </c>
      <c r="I746" t="str">
        <f t="shared" si="376"/>
        <v>04/02/2025</v>
      </c>
      <c r="J746" t="str">
        <f t="shared" si="377"/>
        <v>12/02/2025</v>
      </c>
      <c r="M746">
        <v>303</v>
      </c>
      <c r="N746" t="str">
        <f t="shared" si="378"/>
        <v>RECEITAS COM ENTREGAS</v>
      </c>
      <c r="P746">
        <v>20.96</v>
      </c>
      <c r="Q746" t="str">
        <f>"FARMÁCIA INDIANA LJ 141 (10065)"</f>
        <v>FARMÁCIA INDIANA LJ 141 (10065)</v>
      </c>
      <c r="R746" t="str">
        <f t="shared" si="379"/>
        <v>RECEITAS COM ENTREGAS (303)</v>
      </c>
      <c r="S746">
        <v>1019</v>
      </c>
      <c r="T746">
        <v>818</v>
      </c>
      <c r="U746" t="s">
        <v>19</v>
      </c>
    </row>
    <row r="747" spans="1:21">
      <c r="A747" t="str">
        <f t="shared" si="369"/>
        <v>12/02/2025</v>
      </c>
      <c r="B747" t="str">
        <f t="shared" si="380"/>
        <v>ENTRADA</v>
      </c>
      <c r="C747" t="str">
        <f t="shared" si="370"/>
        <v>NFSE</v>
      </c>
      <c r="D747" t="str">
        <f t="shared" si="371"/>
        <v>2694</v>
      </c>
      <c r="E747" t="str">
        <f t="shared" si="372"/>
        <v>COM</v>
      </c>
      <c r="F747" t="str">
        <f t="shared" si="373"/>
        <v>FARMÁCIA INDIANA LJ 1 (10126)</v>
      </c>
      <c r="G747" t="str">
        <f t="shared" si="374"/>
        <v>Serv.Prest. 25/01/2025 a 02/02/2025 - RPS: 467 - NFSe: 2694</v>
      </c>
      <c r="H747" t="str">
        <f t="shared" si="375"/>
        <v>12/02/2025</v>
      </c>
      <c r="I747" t="str">
        <f t="shared" si="376"/>
        <v>04/02/2025</v>
      </c>
      <c r="J747" t="str">
        <f t="shared" si="377"/>
        <v>12/02/2025</v>
      </c>
      <c r="M747">
        <v>303</v>
      </c>
      <c r="N747" t="str">
        <f t="shared" si="378"/>
        <v>RECEITAS COM ENTREGAS</v>
      </c>
      <c r="P747">
        <v>661.43</v>
      </c>
      <c r="Q747" t="str">
        <f>"FARMÁCIA INDIANA LJ 142 (10066)"</f>
        <v>FARMÁCIA INDIANA LJ 142 (10066)</v>
      </c>
      <c r="R747" t="str">
        <f t="shared" si="379"/>
        <v>RECEITAS COM ENTREGAS (303)</v>
      </c>
      <c r="S747">
        <v>1019</v>
      </c>
      <c r="T747">
        <v>818</v>
      </c>
      <c r="U747" t="s">
        <v>19</v>
      </c>
    </row>
    <row r="748" spans="1:21">
      <c r="A748" t="str">
        <f t="shared" si="369"/>
        <v>12/02/2025</v>
      </c>
      <c r="B748" t="str">
        <f t="shared" si="380"/>
        <v>ENTRADA</v>
      </c>
      <c r="C748" t="str">
        <f t="shared" si="370"/>
        <v>NFSE</v>
      </c>
      <c r="D748" t="str">
        <f t="shared" si="371"/>
        <v>2694</v>
      </c>
      <c r="E748" t="str">
        <f t="shared" si="372"/>
        <v>COM</v>
      </c>
      <c r="F748" t="str">
        <f t="shared" si="373"/>
        <v>FARMÁCIA INDIANA LJ 1 (10126)</v>
      </c>
      <c r="G748" t="str">
        <f t="shared" si="374"/>
        <v>Serv.Prest. 25/01/2025 a 02/02/2025 - RPS: 467 - NFSe: 2694</v>
      </c>
      <c r="H748" t="str">
        <f t="shared" si="375"/>
        <v>12/02/2025</v>
      </c>
      <c r="I748" t="str">
        <f t="shared" si="376"/>
        <v>04/02/2025</v>
      </c>
      <c r="J748" t="str">
        <f t="shared" si="377"/>
        <v>12/02/2025</v>
      </c>
      <c r="M748">
        <v>303</v>
      </c>
      <c r="N748" t="str">
        <f t="shared" si="378"/>
        <v>RECEITAS COM ENTREGAS</v>
      </c>
      <c r="P748">
        <v>55.01</v>
      </c>
      <c r="Q748" t="str">
        <f>"FARMÁCIA INDIANA LJ 143 (10067)"</f>
        <v>FARMÁCIA INDIANA LJ 143 (10067)</v>
      </c>
      <c r="R748" t="str">
        <f t="shared" si="379"/>
        <v>RECEITAS COM ENTREGAS (303)</v>
      </c>
      <c r="S748">
        <v>1019</v>
      </c>
      <c r="T748">
        <v>818</v>
      </c>
      <c r="U748" t="s">
        <v>19</v>
      </c>
    </row>
    <row r="749" spans="1:21">
      <c r="A749" t="str">
        <f t="shared" si="369"/>
        <v>12/02/2025</v>
      </c>
      <c r="B749" t="str">
        <f t="shared" si="380"/>
        <v>ENTRADA</v>
      </c>
      <c r="C749" t="str">
        <f t="shared" si="370"/>
        <v>NFSE</v>
      </c>
      <c r="D749" t="str">
        <f t="shared" si="371"/>
        <v>2694</v>
      </c>
      <c r="E749" t="str">
        <f t="shared" si="372"/>
        <v>COM</v>
      </c>
      <c r="F749" t="str">
        <f t="shared" si="373"/>
        <v>FARMÁCIA INDIANA LJ 1 (10126)</v>
      </c>
      <c r="G749" t="str">
        <f t="shared" si="374"/>
        <v>Serv.Prest. 25/01/2025 a 02/02/2025 - RPS: 467 - NFSe: 2694</v>
      </c>
      <c r="H749" t="str">
        <f t="shared" si="375"/>
        <v>12/02/2025</v>
      </c>
      <c r="I749" t="str">
        <f t="shared" si="376"/>
        <v>04/02/2025</v>
      </c>
      <c r="J749" t="str">
        <f t="shared" si="377"/>
        <v>12/02/2025</v>
      </c>
      <c r="M749">
        <v>303</v>
      </c>
      <c r="N749" t="str">
        <f t="shared" si="378"/>
        <v>RECEITAS COM ENTREGAS</v>
      </c>
      <c r="P749">
        <v>184.68</v>
      </c>
      <c r="Q749" t="str">
        <f>"FARMÁCIA INDIANA LJ 152 (10069)"</f>
        <v>FARMÁCIA INDIANA LJ 152 (10069)</v>
      </c>
      <c r="R749" t="str">
        <f t="shared" si="379"/>
        <v>RECEITAS COM ENTREGAS (303)</v>
      </c>
      <c r="S749">
        <v>1019</v>
      </c>
      <c r="T749">
        <v>818</v>
      </c>
      <c r="U749" t="s">
        <v>19</v>
      </c>
    </row>
    <row r="750" spans="1:21">
      <c r="A750" t="str">
        <f t="shared" si="369"/>
        <v>12/02/2025</v>
      </c>
      <c r="B750" t="str">
        <f t="shared" si="380"/>
        <v>ENTRADA</v>
      </c>
      <c r="C750" t="str">
        <f t="shared" si="370"/>
        <v>NFSE</v>
      </c>
      <c r="D750" t="str">
        <f t="shared" si="371"/>
        <v>2694</v>
      </c>
      <c r="E750" t="str">
        <f t="shared" si="372"/>
        <v>COM</v>
      </c>
      <c r="F750" t="str">
        <f t="shared" si="373"/>
        <v>FARMÁCIA INDIANA LJ 1 (10126)</v>
      </c>
      <c r="G750" t="str">
        <f t="shared" si="374"/>
        <v>Serv.Prest. 25/01/2025 a 02/02/2025 - RPS: 467 - NFSe: 2694</v>
      </c>
      <c r="H750" t="str">
        <f t="shared" si="375"/>
        <v>12/02/2025</v>
      </c>
      <c r="I750" t="str">
        <f t="shared" si="376"/>
        <v>04/02/2025</v>
      </c>
      <c r="J750" t="str">
        <f t="shared" si="377"/>
        <v>12/02/2025</v>
      </c>
      <c r="M750">
        <v>303</v>
      </c>
      <c r="N750" t="str">
        <f t="shared" si="378"/>
        <v>RECEITAS COM ENTREGAS</v>
      </c>
      <c r="P750">
        <v>39.29</v>
      </c>
      <c r="Q750" t="str">
        <f>"FARMÁCIA INDIANA LJ 154 (10070)"</f>
        <v>FARMÁCIA INDIANA LJ 154 (10070)</v>
      </c>
      <c r="R750" t="str">
        <f t="shared" si="379"/>
        <v>RECEITAS COM ENTREGAS (303)</v>
      </c>
      <c r="S750">
        <v>1019</v>
      </c>
      <c r="T750">
        <v>818</v>
      </c>
      <c r="U750" t="s">
        <v>19</v>
      </c>
    </row>
    <row r="751" spans="1:21">
      <c r="A751" t="str">
        <f t="shared" si="369"/>
        <v>12/02/2025</v>
      </c>
      <c r="B751" t="str">
        <f t="shared" si="380"/>
        <v>ENTRADA</v>
      </c>
      <c r="C751" t="str">
        <f t="shared" si="370"/>
        <v>NFSE</v>
      </c>
      <c r="D751" t="str">
        <f t="shared" si="371"/>
        <v>2694</v>
      </c>
      <c r="E751" t="str">
        <f t="shared" si="372"/>
        <v>COM</v>
      </c>
      <c r="F751" t="str">
        <f t="shared" si="373"/>
        <v>FARMÁCIA INDIANA LJ 1 (10126)</v>
      </c>
      <c r="G751" t="str">
        <f t="shared" si="374"/>
        <v>Serv.Prest. 25/01/2025 a 02/02/2025 - RPS: 467 - NFSe: 2694</v>
      </c>
      <c r="H751" t="str">
        <f t="shared" si="375"/>
        <v>12/02/2025</v>
      </c>
      <c r="I751" t="str">
        <f t="shared" si="376"/>
        <v>04/02/2025</v>
      </c>
      <c r="J751" t="str">
        <f t="shared" si="377"/>
        <v>12/02/2025</v>
      </c>
      <c r="M751">
        <v>303</v>
      </c>
      <c r="N751" t="str">
        <f t="shared" si="378"/>
        <v>RECEITAS COM ENTREGAS</v>
      </c>
      <c r="P751">
        <v>330.06</v>
      </c>
      <c r="Q751" t="str">
        <f>"FARMÁCIA INDIANA LJ 171 (10074)"</f>
        <v>FARMÁCIA INDIANA LJ 171 (10074)</v>
      </c>
      <c r="R751" t="str">
        <f t="shared" si="379"/>
        <v>RECEITAS COM ENTREGAS (303)</v>
      </c>
      <c r="S751">
        <v>1019</v>
      </c>
      <c r="T751">
        <v>818</v>
      </c>
      <c r="U751" t="s">
        <v>19</v>
      </c>
    </row>
    <row r="752" spans="1:21">
      <c r="A752" t="str">
        <f t="shared" ref="A752:A783" si="381">("12/02/2025")</f>
        <v>12/02/2025</v>
      </c>
      <c r="B752" t="str">
        <f t="shared" si="380"/>
        <v>ENTRADA</v>
      </c>
      <c r="C752" t="str">
        <f t="shared" ref="C752:C783" si="382">"NFSE"</f>
        <v>NFSE</v>
      </c>
      <c r="D752" t="str">
        <f t="shared" si="371"/>
        <v>2694</v>
      </c>
      <c r="E752" t="str">
        <f t="shared" ref="E752:E783" si="383">"COM"</f>
        <v>COM</v>
      </c>
      <c r="F752" t="str">
        <f t="shared" si="373"/>
        <v>FARMÁCIA INDIANA LJ 1 (10126)</v>
      </c>
      <c r="G752" t="str">
        <f t="shared" si="374"/>
        <v>Serv.Prest. 25/01/2025 a 02/02/2025 - RPS: 467 - NFSe: 2694</v>
      </c>
      <c r="H752" t="str">
        <f t="shared" ref="H752:H783" si="384">("12/02/2025")</f>
        <v>12/02/2025</v>
      </c>
      <c r="I752" t="str">
        <f t="shared" ref="I752:I782" si="385">("04/02/2025")</f>
        <v>04/02/2025</v>
      </c>
      <c r="J752" t="str">
        <f t="shared" ref="J752:J783" si="386">("12/02/2025")</f>
        <v>12/02/2025</v>
      </c>
      <c r="M752">
        <v>303</v>
      </c>
      <c r="N752" t="str">
        <f t="shared" ref="N752:N783" si="387">"RECEITAS COM ENTREGAS"</f>
        <v>RECEITAS COM ENTREGAS</v>
      </c>
      <c r="P752">
        <v>130.97999999999999</v>
      </c>
      <c r="Q752" t="str">
        <f>"FARMÁCIA INDIANA LJ 175 (10076)"</f>
        <v>FARMÁCIA INDIANA LJ 175 (10076)</v>
      </c>
      <c r="R752" t="str">
        <f t="shared" ref="R752:R783" si="388">"RECEITAS COM ENTREGAS (303)"</f>
        <v>RECEITAS COM ENTREGAS (303)</v>
      </c>
      <c r="S752">
        <v>1019</v>
      </c>
      <c r="T752">
        <v>818</v>
      </c>
      <c r="U752" t="s">
        <v>19</v>
      </c>
    </row>
    <row r="753" spans="1:21">
      <c r="A753" t="str">
        <f t="shared" si="381"/>
        <v>12/02/2025</v>
      </c>
      <c r="B753" t="str">
        <f t="shared" si="380"/>
        <v>ENTRADA</v>
      </c>
      <c r="C753" t="str">
        <f t="shared" si="382"/>
        <v>NFSE</v>
      </c>
      <c r="D753" t="str">
        <f t="shared" si="371"/>
        <v>2694</v>
      </c>
      <c r="E753" t="str">
        <f t="shared" si="383"/>
        <v>COM</v>
      </c>
      <c r="F753" t="str">
        <f t="shared" si="373"/>
        <v>FARMÁCIA INDIANA LJ 1 (10126)</v>
      </c>
      <c r="G753" t="str">
        <f t="shared" si="374"/>
        <v>Serv.Prest. 25/01/2025 a 02/02/2025 - RPS: 467 - NFSe: 2694</v>
      </c>
      <c r="H753" t="str">
        <f t="shared" si="384"/>
        <v>12/02/2025</v>
      </c>
      <c r="I753" t="str">
        <f t="shared" si="385"/>
        <v>04/02/2025</v>
      </c>
      <c r="J753" t="str">
        <f t="shared" si="386"/>
        <v>12/02/2025</v>
      </c>
      <c r="M753">
        <v>303</v>
      </c>
      <c r="N753" t="str">
        <f t="shared" si="387"/>
        <v>RECEITAS COM ENTREGAS</v>
      </c>
      <c r="P753">
        <v>123.12</v>
      </c>
      <c r="Q753" t="str">
        <f>"FARMÁCIA INDIANA LJ 178 (10077)"</f>
        <v>FARMÁCIA INDIANA LJ 178 (10077)</v>
      </c>
      <c r="R753" t="str">
        <f t="shared" si="388"/>
        <v>RECEITAS COM ENTREGAS (303)</v>
      </c>
      <c r="S753">
        <v>1019</v>
      </c>
      <c r="T753">
        <v>818</v>
      </c>
      <c r="U753" t="s">
        <v>19</v>
      </c>
    </row>
    <row r="754" spans="1:21">
      <c r="A754" t="str">
        <f t="shared" si="381"/>
        <v>12/02/2025</v>
      </c>
      <c r="B754" t="str">
        <f t="shared" si="380"/>
        <v>ENTRADA</v>
      </c>
      <c r="C754" t="str">
        <f t="shared" si="382"/>
        <v>NFSE</v>
      </c>
      <c r="D754" t="str">
        <f t="shared" si="371"/>
        <v>2694</v>
      </c>
      <c r="E754" t="str">
        <f t="shared" si="383"/>
        <v>COM</v>
      </c>
      <c r="F754" t="str">
        <f t="shared" si="373"/>
        <v>FARMÁCIA INDIANA LJ 1 (10126)</v>
      </c>
      <c r="G754" t="str">
        <f t="shared" si="374"/>
        <v>Serv.Prest. 25/01/2025 a 02/02/2025 - RPS: 467 - NFSe: 2694</v>
      </c>
      <c r="H754" t="str">
        <f t="shared" si="384"/>
        <v>12/02/2025</v>
      </c>
      <c r="I754" t="str">
        <f t="shared" si="385"/>
        <v>04/02/2025</v>
      </c>
      <c r="J754" t="str">
        <f t="shared" si="386"/>
        <v>12/02/2025</v>
      </c>
      <c r="M754">
        <v>303</v>
      </c>
      <c r="N754" t="str">
        <f t="shared" si="387"/>
        <v>RECEITAS COM ENTREGAS</v>
      </c>
      <c r="P754">
        <v>79.900000000000006</v>
      </c>
      <c r="Q754" t="str">
        <f>"FARMÁCIA INDIANA LJ 182 (10079)"</f>
        <v>FARMÁCIA INDIANA LJ 182 (10079)</v>
      </c>
      <c r="R754" t="str">
        <f t="shared" si="388"/>
        <v>RECEITAS COM ENTREGAS (303)</v>
      </c>
      <c r="S754">
        <v>1019</v>
      </c>
      <c r="T754">
        <v>818</v>
      </c>
      <c r="U754" t="s">
        <v>19</v>
      </c>
    </row>
    <row r="755" spans="1:21">
      <c r="A755" t="str">
        <f t="shared" si="381"/>
        <v>12/02/2025</v>
      </c>
      <c r="B755" t="str">
        <f t="shared" si="380"/>
        <v>ENTRADA</v>
      </c>
      <c r="C755" t="str">
        <f t="shared" si="382"/>
        <v>NFSE</v>
      </c>
      <c r="D755" t="str">
        <f t="shared" si="371"/>
        <v>2694</v>
      </c>
      <c r="E755" t="str">
        <f t="shared" si="383"/>
        <v>COM</v>
      </c>
      <c r="F755" t="str">
        <f t="shared" si="373"/>
        <v>FARMÁCIA INDIANA LJ 1 (10126)</v>
      </c>
      <c r="G755" t="str">
        <f t="shared" si="374"/>
        <v>Serv.Prest. 25/01/2025 a 02/02/2025 - RPS: 467 - NFSe: 2694</v>
      </c>
      <c r="H755" t="str">
        <f t="shared" si="384"/>
        <v>12/02/2025</v>
      </c>
      <c r="I755" t="str">
        <f t="shared" si="385"/>
        <v>04/02/2025</v>
      </c>
      <c r="J755" t="str">
        <f t="shared" si="386"/>
        <v>12/02/2025</v>
      </c>
      <c r="M755">
        <v>303</v>
      </c>
      <c r="N755" t="str">
        <f t="shared" si="387"/>
        <v>RECEITAS COM ENTREGAS</v>
      </c>
      <c r="P755">
        <v>40.6</v>
      </c>
      <c r="Q755" t="str">
        <f>"FARMÁCIA INDIANA LJ 184 (10080)"</f>
        <v>FARMÁCIA INDIANA LJ 184 (10080)</v>
      </c>
      <c r="R755" t="str">
        <f t="shared" si="388"/>
        <v>RECEITAS COM ENTREGAS (303)</v>
      </c>
      <c r="S755">
        <v>1019</v>
      </c>
      <c r="T755">
        <v>818</v>
      </c>
      <c r="U755" t="s">
        <v>19</v>
      </c>
    </row>
    <row r="756" spans="1:21">
      <c r="A756" t="str">
        <f t="shared" si="381"/>
        <v>12/02/2025</v>
      </c>
      <c r="B756" t="str">
        <f t="shared" si="380"/>
        <v>ENTRADA</v>
      </c>
      <c r="C756" t="str">
        <f t="shared" si="382"/>
        <v>NFSE</v>
      </c>
      <c r="D756" t="str">
        <f t="shared" si="371"/>
        <v>2694</v>
      </c>
      <c r="E756" t="str">
        <f t="shared" si="383"/>
        <v>COM</v>
      </c>
      <c r="F756" t="str">
        <f t="shared" si="373"/>
        <v>FARMÁCIA INDIANA LJ 1 (10126)</v>
      </c>
      <c r="G756" t="str">
        <f t="shared" si="374"/>
        <v>Serv.Prest. 25/01/2025 a 02/02/2025 - RPS: 467 - NFSe: 2694</v>
      </c>
      <c r="H756" t="str">
        <f t="shared" si="384"/>
        <v>12/02/2025</v>
      </c>
      <c r="I756" t="str">
        <f t="shared" si="385"/>
        <v>04/02/2025</v>
      </c>
      <c r="J756" t="str">
        <f t="shared" si="386"/>
        <v>12/02/2025</v>
      </c>
      <c r="M756">
        <v>303</v>
      </c>
      <c r="N756" t="str">
        <f t="shared" si="387"/>
        <v>RECEITAS COM ENTREGAS</v>
      </c>
      <c r="P756">
        <v>79.900000000000006</v>
      </c>
      <c r="Q756" t="str">
        <f>"FARMÁCIA INDIANA LJ 186 (10081)"</f>
        <v>FARMÁCIA INDIANA LJ 186 (10081)</v>
      </c>
      <c r="R756" t="str">
        <f t="shared" si="388"/>
        <v>RECEITAS COM ENTREGAS (303)</v>
      </c>
      <c r="S756">
        <v>1019</v>
      </c>
      <c r="T756">
        <v>818</v>
      </c>
      <c r="U756" t="s">
        <v>19</v>
      </c>
    </row>
    <row r="757" spans="1:21">
      <c r="A757" t="str">
        <f t="shared" si="381"/>
        <v>12/02/2025</v>
      </c>
      <c r="B757" t="str">
        <f t="shared" si="380"/>
        <v>ENTRADA</v>
      </c>
      <c r="C757" t="str">
        <f t="shared" si="382"/>
        <v>NFSE</v>
      </c>
      <c r="D757" t="str">
        <f t="shared" si="371"/>
        <v>2694</v>
      </c>
      <c r="E757" t="str">
        <f t="shared" si="383"/>
        <v>COM</v>
      </c>
      <c r="F757" t="str">
        <f t="shared" si="373"/>
        <v>FARMÁCIA INDIANA LJ 1 (10126)</v>
      </c>
      <c r="G757" t="str">
        <f t="shared" si="374"/>
        <v>Serv.Prest. 25/01/2025 a 02/02/2025 - RPS: 467 - NFSe: 2694</v>
      </c>
      <c r="H757" t="str">
        <f t="shared" si="384"/>
        <v>12/02/2025</v>
      </c>
      <c r="I757" t="str">
        <f t="shared" si="385"/>
        <v>04/02/2025</v>
      </c>
      <c r="J757" t="str">
        <f t="shared" si="386"/>
        <v>12/02/2025</v>
      </c>
      <c r="M757">
        <v>303</v>
      </c>
      <c r="N757" t="str">
        <f t="shared" si="387"/>
        <v>RECEITAS COM ENTREGAS</v>
      </c>
      <c r="P757">
        <v>115.26</v>
      </c>
      <c r="Q757" t="str">
        <f>"FARMÁCIA INDIANA LJ 192 (10082)"</f>
        <v>FARMÁCIA INDIANA LJ 192 (10082)</v>
      </c>
      <c r="R757" t="str">
        <f t="shared" si="388"/>
        <v>RECEITAS COM ENTREGAS (303)</v>
      </c>
      <c r="S757">
        <v>1019</v>
      </c>
      <c r="T757">
        <v>818</v>
      </c>
      <c r="U757" t="s">
        <v>19</v>
      </c>
    </row>
    <row r="758" spans="1:21">
      <c r="A758" t="str">
        <f t="shared" si="381"/>
        <v>12/02/2025</v>
      </c>
      <c r="B758" t="str">
        <f t="shared" si="380"/>
        <v>ENTRADA</v>
      </c>
      <c r="C758" t="str">
        <f t="shared" si="382"/>
        <v>NFSE</v>
      </c>
      <c r="D758" t="str">
        <f t="shared" si="371"/>
        <v>2694</v>
      </c>
      <c r="E758" t="str">
        <f t="shared" si="383"/>
        <v>COM</v>
      </c>
      <c r="F758" t="str">
        <f t="shared" si="373"/>
        <v>FARMÁCIA INDIANA LJ 1 (10126)</v>
      </c>
      <c r="G758" t="str">
        <f t="shared" si="374"/>
        <v>Serv.Prest. 25/01/2025 a 02/02/2025 - RPS: 467 - NFSe: 2694</v>
      </c>
      <c r="H758" t="str">
        <f t="shared" si="384"/>
        <v>12/02/2025</v>
      </c>
      <c r="I758" t="str">
        <f t="shared" si="385"/>
        <v>04/02/2025</v>
      </c>
      <c r="J758" t="str">
        <f t="shared" si="386"/>
        <v>12/02/2025</v>
      </c>
      <c r="M758">
        <v>303</v>
      </c>
      <c r="N758" t="str">
        <f t="shared" si="387"/>
        <v>RECEITAS COM ENTREGAS</v>
      </c>
      <c r="P758">
        <v>40.6</v>
      </c>
      <c r="Q758" t="str">
        <f>"FARMÁCIA INDIANA LJ 195 (10083)"</f>
        <v>FARMÁCIA INDIANA LJ 195 (10083)</v>
      </c>
      <c r="R758" t="str">
        <f t="shared" si="388"/>
        <v>RECEITAS COM ENTREGAS (303)</v>
      </c>
      <c r="S758">
        <v>1019</v>
      </c>
      <c r="T758">
        <v>818</v>
      </c>
      <c r="U758" t="s">
        <v>19</v>
      </c>
    </row>
    <row r="759" spans="1:21">
      <c r="A759" t="str">
        <f t="shared" si="381"/>
        <v>12/02/2025</v>
      </c>
      <c r="B759" t="str">
        <f t="shared" si="380"/>
        <v>ENTRADA</v>
      </c>
      <c r="C759" t="str">
        <f t="shared" si="382"/>
        <v>NFSE</v>
      </c>
      <c r="D759" t="str">
        <f t="shared" si="371"/>
        <v>2694</v>
      </c>
      <c r="E759" t="str">
        <f t="shared" si="383"/>
        <v>COM</v>
      </c>
      <c r="F759" t="str">
        <f t="shared" si="373"/>
        <v>FARMÁCIA INDIANA LJ 1 (10126)</v>
      </c>
      <c r="G759" t="str">
        <f t="shared" si="374"/>
        <v>Serv.Prest. 25/01/2025 a 02/02/2025 - RPS: 467 - NFSe: 2694</v>
      </c>
      <c r="H759" t="str">
        <f t="shared" si="384"/>
        <v>12/02/2025</v>
      </c>
      <c r="I759" t="str">
        <f t="shared" si="385"/>
        <v>04/02/2025</v>
      </c>
      <c r="J759" t="str">
        <f t="shared" si="386"/>
        <v>12/02/2025</v>
      </c>
      <c r="M759">
        <v>303</v>
      </c>
      <c r="N759" t="str">
        <f t="shared" si="387"/>
        <v>RECEITAS COM ENTREGAS</v>
      </c>
      <c r="P759">
        <v>159.79</v>
      </c>
      <c r="Q759" t="str">
        <f>"FARMÁCIA INDIANA LJ 202 (10085)"</f>
        <v>FARMÁCIA INDIANA LJ 202 (10085)</v>
      </c>
      <c r="R759" t="str">
        <f t="shared" si="388"/>
        <v>RECEITAS COM ENTREGAS (303)</v>
      </c>
      <c r="S759">
        <v>1019</v>
      </c>
      <c r="T759">
        <v>818</v>
      </c>
      <c r="U759" t="s">
        <v>19</v>
      </c>
    </row>
    <row r="760" spans="1:21">
      <c r="A760" t="str">
        <f t="shared" si="381"/>
        <v>12/02/2025</v>
      </c>
      <c r="B760" t="str">
        <f t="shared" si="380"/>
        <v>ENTRADA</v>
      </c>
      <c r="C760" t="str">
        <f t="shared" si="382"/>
        <v>NFSE</v>
      </c>
      <c r="D760" t="str">
        <f t="shared" si="371"/>
        <v>2694</v>
      </c>
      <c r="E760" t="str">
        <f t="shared" si="383"/>
        <v>COM</v>
      </c>
      <c r="F760" t="str">
        <f t="shared" si="373"/>
        <v>FARMÁCIA INDIANA LJ 1 (10126)</v>
      </c>
      <c r="G760" t="str">
        <f t="shared" si="374"/>
        <v>Serv.Prest. 25/01/2025 a 02/02/2025 - RPS: 467 - NFSe: 2694</v>
      </c>
      <c r="H760" t="str">
        <f t="shared" si="384"/>
        <v>12/02/2025</v>
      </c>
      <c r="I760" t="str">
        <f t="shared" si="385"/>
        <v>04/02/2025</v>
      </c>
      <c r="J760" t="str">
        <f t="shared" si="386"/>
        <v>12/02/2025</v>
      </c>
      <c r="M760">
        <v>303</v>
      </c>
      <c r="N760" t="str">
        <f t="shared" si="387"/>
        <v>RECEITAS COM ENTREGAS</v>
      </c>
      <c r="P760">
        <v>106.09</v>
      </c>
      <c r="Q760" t="str">
        <f>"FARMÁCIA INDIANA LJ 204 (10087)"</f>
        <v>FARMÁCIA INDIANA LJ 204 (10087)</v>
      </c>
      <c r="R760" t="str">
        <f t="shared" si="388"/>
        <v>RECEITAS COM ENTREGAS (303)</v>
      </c>
      <c r="S760">
        <v>1019</v>
      </c>
      <c r="T760">
        <v>818</v>
      </c>
      <c r="U760" t="s">
        <v>19</v>
      </c>
    </row>
    <row r="761" spans="1:21">
      <c r="A761" t="str">
        <f t="shared" si="381"/>
        <v>12/02/2025</v>
      </c>
      <c r="B761" t="str">
        <f t="shared" si="380"/>
        <v>ENTRADA</v>
      </c>
      <c r="C761" t="str">
        <f t="shared" si="382"/>
        <v>NFSE</v>
      </c>
      <c r="D761" t="str">
        <f t="shared" si="371"/>
        <v>2694</v>
      </c>
      <c r="E761" t="str">
        <f t="shared" si="383"/>
        <v>COM</v>
      </c>
      <c r="F761" t="str">
        <f t="shared" si="373"/>
        <v>FARMÁCIA INDIANA LJ 1 (10126)</v>
      </c>
      <c r="G761" t="str">
        <f t="shared" si="374"/>
        <v>Serv.Prest. 25/01/2025 a 02/02/2025 - RPS: 467 - NFSe: 2694</v>
      </c>
      <c r="H761" t="str">
        <f t="shared" si="384"/>
        <v>12/02/2025</v>
      </c>
      <c r="I761" t="str">
        <f t="shared" si="385"/>
        <v>04/02/2025</v>
      </c>
      <c r="J761" t="str">
        <f t="shared" si="386"/>
        <v>12/02/2025</v>
      </c>
      <c r="M761">
        <v>303</v>
      </c>
      <c r="N761" t="str">
        <f t="shared" si="387"/>
        <v>RECEITAS COM ENTREGAS</v>
      </c>
      <c r="P761">
        <v>106.09</v>
      </c>
      <c r="Q761" t="str">
        <f>"FARMÁCIA INDIANA LJ 207 (10088)"</f>
        <v>FARMÁCIA INDIANA LJ 207 (10088)</v>
      </c>
      <c r="R761" t="str">
        <f t="shared" si="388"/>
        <v>RECEITAS COM ENTREGAS (303)</v>
      </c>
      <c r="S761">
        <v>1019</v>
      </c>
      <c r="T761">
        <v>818</v>
      </c>
      <c r="U761" t="s">
        <v>19</v>
      </c>
    </row>
    <row r="762" spans="1:21">
      <c r="A762" t="str">
        <f t="shared" si="381"/>
        <v>12/02/2025</v>
      </c>
      <c r="B762" t="str">
        <f t="shared" si="380"/>
        <v>ENTRADA</v>
      </c>
      <c r="C762" t="str">
        <f t="shared" si="382"/>
        <v>NFSE</v>
      </c>
      <c r="D762" t="str">
        <f t="shared" si="371"/>
        <v>2694</v>
      </c>
      <c r="E762" t="str">
        <f t="shared" si="383"/>
        <v>COM</v>
      </c>
      <c r="F762" t="str">
        <f t="shared" si="373"/>
        <v>FARMÁCIA INDIANA LJ 1 (10126)</v>
      </c>
      <c r="G762" t="str">
        <f t="shared" si="374"/>
        <v>Serv.Prest. 25/01/2025 a 02/02/2025 - RPS: 467 - NFSe: 2694</v>
      </c>
      <c r="H762" t="str">
        <f t="shared" si="384"/>
        <v>12/02/2025</v>
      </c>
      <c r="I762" t="str">
        <f t="shared" si="385"/>
        <v>04/02/2025</v>
      </c>
      <c r="J762" t="str">
        <f t="shared" si="386"/>
        <v>12/02/2025</v>
      </c>
      <c r="M762">
        <v>303</v>
      </c>
      <c r="N762" t="str">
        <f t="shared" si="387"/>
        <v>RECEITAS COM ENTREGAS</v>
      </c>
      <c r="P762">
        <v>124.43</v>
      </c>
      <c r="Q762" t="str">
        <f>"FARMÁCIA INDIANA LJ 209 (10089)"</f>
        <v>FARMÁCIA INDIANA LJ 209 (10089)</v>
      </c>
      <c r="R762" t="str">
        <f t="shared" si="388"/>
        <v>RECEITAS COM ENTREGAS (303)</v>
      </c>
      <c r="S762">
        <v>1019</v>
      </c>
      <c r="T762">
        <v>818</v>
      </c>
      <c r="U762" t="s">
        <v>19</v>
      </c>
    </row>
    <row r="763" spans="1:21">
      <c r="A763" t="str">
        <f t="shared" si="381"/>
        <v>12/02/2025</v>
      </c>
      <c r="B763" t="str">
        <f t="shared" si="380"/>
        <v>ENTRADA</v>
      </c>
      <c r="C763" t="str">
        <f t="shared" si="382"/>
        <v>NFSE</v>
      </c>
      <c r="D763" t="str">
        <f t="shared" si="371"/>
        <v>2694</v>
      </c>
      <c r="E763" t="str">
        <f t="shared" si="383"/>
        <v>COM</v>
      </c>
      <c r="F763" t="str">
        <f t="shared" si="373"/>
        <v>FARMÁCIA INDIANA LJ 1 (10126)</v>
      </c>
      <c r="G763" t="str">
        <f t="shared" si="374"/>
        <v>Serv.Prest. 25/01/2025 a 02/02/2025 - RPS: 467 - NFSe: 2694</v>
      </c>
      <c r="H763" t="str">
        <f t="shared" si="384"/>
        <v>12/02/2025</v>
      </c>
      <c r="I763" t="str">
        <f t="shared" si="385"/>
        <v>04/02/2025</v>
      </c>
      <c r="J763" t="str">
        <f t="shared" si="386"/>
        <v>12/02/2025</v>
      </c>
      <c r="M763">
        <v>303</v>
      </c>
      <c r="N763" t="str">
        <f t="shared" si="387"/>
        <v>RECEITAS COM ENTREGAS</v>
      </c>
      <c r="P763">
        <v>319.58</v>
      </c>
      <c r="Q763" t="str">
        <f>"FARMÁCIA INDIANA LJ 219 (10091)"</f>
        <v>FARMÁCIA INDIANA LJ 219 (10091)</v>
      </c>
      <c r="R763" t="str">
        <f t="shared" si="388"/>
        <v>RECEITAS COM ENTREGAS (303)</v>
      </c>
      <c r="S763">
        <v>1019</v>
      </c>
      <c r="T763">
        <v>818</v>
      </c>
      <c r="U763" t="s">
        <v>19</v>
      </c>
    </row>
    <row r="764" spans="1:21">
      <c r="A764" t="str">
        <f t="shared" si="381"/>
        <v>12/02/2025</v>
      </c>
      <c r="B764" t="str">
        <f t="shared" si="380"/>
        <v>ENTRADA</v>
      </c>
      <c r="C764" t="str">
        <f t="shared" si="382"/>
        <v>NFSE</v>
      </c>
      <c r="D764" t="str">
        <f t="shared" si="371"/>
        <v>2694</v>
      </c>
      <c r="E764" t="str">
        <f t="shared" si="383"/>
        <v>COM</v>
      </c>
      <c r="F764" t="str">
        <f t="shared" si="373"/>
        <v>FARMÁCIA INDIANA LJ 1 (10126)</v>
      </c>
      <c r="G764" t="str">
        <f t="shared" si="374"/>
        <v>Serv.Prest. 25/01/2025 a 02/02/2025 - RPS: 467 - NFSe: 2694</v>
      </c>
      <c r="H764" t="str">
        <f t="shared" si="384"/>
        <v>12/02/2025</v>
      </c>
      <c r="I764" t="str">
        <f t="shared" si="385"/>
        <v>04/02/2025</v>
      </c>
      <c r="J764" t="str">
        <f t="shared" si="386"/>
        <v>12/02/2025</v>
      </c>
      <c r="M764">
        <v>303</v>
      </c>
      <c r="N764" t="str">
        <f t="shared" si="387"/>
        <v>RECEITAS COM ENTREGAS</v>
      </c>
      <c r="P764">
        <v>102.16</v>
      </c>
      <c r="Q764" t="str">
        <f>"FARMÁCIA INDIANA LJ 220 (10092)"</f>
        <v>FARMÁCIA INDIANA LJ 220 (10092)</v>
      </c>
      <c r="R764" t="str">
        <f t="shared" si="388"/>
        <v>RECEITAS COM ENTREGAS (303)</v>
      </c>
      <c r="S764">
        <v>1019</v>
      </c>
      <c r="T764">
        <v>818</v>
      </c>
      <c r="U764" t="s">
        <v>19</v>
      </c>
    </row>
    <row r="765" spans="1:21">
      <c r="A765" t="str">
        <f t="shared" si="381"/>
        <v>12/02/2025</v>
      </c>
      <c r="B765" t="str">
        <f t="shared" si="380"/>
        <v>ENTRADA</v>
      </c>
      <c r="C765" t="str">
        <f t="shared" si="382"/>
        <v>NFSE</v>
      </c>
      <c r="D765" t="str">
        <f t="shared" si="371"/>
        <v>2694</v>
      </c>
      <c r="E765" t="str">
        <f t="shared" si="383"/>
        <v>COM</v>
      </c>
      <c r="F765" t="str">
        <f t="shared" si="373"/>
        <v>FARMÁCIA INDIANA LJ 1 (10126)</v>
      </c>
      <c r="G765" t="str">
        <f t="shared" si="374"/>
        <v>Serv.Prest. 25/01/2025 a 02/02/2025 - RPS: 467 - NFSe: 2694</v>
      </c>
      <c r="H765" t="str">
        <f t="shared" si="384"/>
        <v>12/02/2025</v>
      </c>
      <c r="I765" t="str">
        <f t="shared" si="385"/>
        <v>04/02/2025</v>
      </c>
      <c r="J765" t="str">
        <f t="shared" si="386"/>
        <v>12/02/2025</v>
      </c>
      <c r="M765">
        <v>303</v>
      </c>
      <c r="N765" t="str">
        <f t="shared" si="387"/>
        <v>RECEITAS COM ENTREGAS</v>
      </c>
      <c r="P765">
        <v>182.06</v>
      </c>
      <c r="Q765" t="str">
        <f>"FARMÁCIA INDIANA LJ 185 (10141)"</f>
        <v>FARMÁCIA INDIANA LJ 185 (10141)</v>
      </c>
      <c r="R765" t="str">
        <f t="shared" si="388"/>
        <v>RECEITAS COM ENTREGAS (303)</v>
      </c>
      <c r="S765">
        <v>1019</v>
      </c>
      <c r="T765">
        <v>818</v>
      </c>
      <c r="U765" t="s">
        <v>19</v>
      </c>
    </row>
    <row r="766" spans="1:21">
      <c r="A766" t="str">
        <f t="shared" si="381"/>
        <v>12/02/2025</v>
      </c>
      <c r="B766" t="str">
        <f t="shared" si="380"/>
        <v>ENTRADA</v>
      </c>
      <c r="C766" t="str">
        <f t="shared" si="382"/>
        <v>NFSE</v>
      </c>
      <c r="D766" t="str">
        <f t="shared" ref="D766:D771" si="389">"2695"</f>
        <v>2695</v>
      </c>
      <c r="E766" t="str">
        <f t="shared" si="383"/>
        <v>COM</v>
      </c>
      <c r="F766" t="str">
        <f t="shared" ref="F766:F771" si="390">"FARMÁCIA INDIANA LJ 85 (10128)"</f>
        <v>FARMÁCIA INDIANA LJ 85 (10128)</v>
      </c>
      <c r="G766" t="str">
        <f t="shared" ref="G766:G771" si="391">"Serv.Prest. 25/01/2025 a 02/02/2025 - RPS: 468 - NFSe: 2695"</f>
        <v>Serv.Prest. 25/01/2025 a 02/02/2025 - RPS: 468 - NFSe: 2695</v>
      </c>
      <c r="H766" t="str">
        <f t="shared" si="384"/>
        <v>12/02/2025</v>
      </c>
      <c r="I766" t="str">
        <f t="shared" si="385"/>
        <v>04/02/2025</v>
      </c>
      <c r="J766" t="str">
        <f t="shared" si="386"/>
        <v>12/02/2025</v>
      </c>
      <c r="K766">
        <v>744.44</v>
      </c>
      <c r="L766">
        <v>744.44</v>
      </c>
      <c r="M766">
        <v>303</v>
      </c>
      <c r="N766" t="str">
        <f t="shared" si="387"/>
        <v>RECEITAS COM ENTREGAS</v>
      </c>
      <c r="O766">
        <v>744.44</v>
      </c>
      <c r="R766" t="str">
        <f t="shared" si="388"/>
        <v>RECEITAS COM ENTREGAS (303)</v>
      </c>
      <c r="S766">
        <v>1020</v>
      </c>
      <c r="T766">
        <v>819</v>
      </c>
      <c r="U766" t="s">
        <v>19</v>
      </c>
    </row>
    <row r="767" spans="1:21">
      <c r="A767" t="str">
        <f t="shared" si="381"/>
        <v>12/02/2025</v>
      </c>
      <c r="B767" t="str">
        <f t="shared" si="380"/>
        <v>ENTRADA</v>
      </c>
      <c r="C767" t="str">
        <f t="shared" si="382"/>
        <v>NFSE</v>
      </c>
      <c r="D767" t="str">
        <f t="shared" si="389"/>
        <v>2695</v>
      </c>
      <c r="E767" t="str">
        <f t="shared" si="383"/>
        <v>COM</v>
      </c>
      <c r="F767" t="str">
        <f t="shared" si="390"/>
        <v>FARMÁCIA INDIANA LJ 85 (10128)</v>
      </c>
      <c r="G767" t="str">
        <f t="shared" si="391"/>
        <v>Serv.Prest. 25/01/2025 a 02/02/2025 - RPS: 468 - NFSe: 2695</v>
      </c>
      <c r="H767" t="str">
        <f t="shared" si="384"/>
        <v>12/02/2025</v>
      </c>
      <c r="I767" t="str">
        <f t="shared" si="385"/>
        <v>04/02/2025</v>
      </c>
      <c r="J767" t="str">
        <f t="shared" si="386"/>
        <v>12/02/2025</v>
      </c>
      <c r="M767">
        <v>303</v>
      </c>
      <c r="N767" t="str">
        <f t="shared" si="387"/>
        <v>RECEITAS COM ENTREGAS</v>
      </c>
      <c r="P767">
        <v>160.12</v>
      </c>
      <c r="Q767" t="str">
        <f>"FARMÁCIA INDIANA LJ 119 (10053)"</f>
        <v>FARMÁCIA INDIANA LJ 119 (10053)</v>
      </c>
      <c r="R767" t="str">
        <f t="shared" si="388"/>
        <v>RECEITAS COM ENTREGAS (303)</v>
      </c>
      <c r="S767">
        <v>1020</v>
      </c>
      <c r="T767">
        <v>819</v>
      </c>
      <c r="U767" t="s">
        <v>19</v>
      </c>
    </row>
    <row r="768" spans="1:21">
      <c r="A768" t="str">
        <f t="shared" si="381"/>
        <v>12/02/2025</v>
      </c>
      <c r="B768" t="str">
        <f t="shared" si="380"/>
        <v>ENTRADA</v>
      </c>
      <c r="C768" t="str">
        <f t="shared" si="382"/>
        <v>NFSE</v>
      </c>
      <c r="D768" t="str">
        <f t="shared" si="389"/>
        <v>2695</v>
      </c>
      <c r="E768" t="str">
        <f t="shared" si="383"/>
        <v>COM</v>
      </c>
      <c r="F768" t="str">
        <f t="shared" si="390"/>
        <v>FARMÁCIA INDIANA LJ 85 (10128)</v>
      </c>
      <c r="G768" t="str">
        <f t="shared" si="391"/>
        <v>Serv.Prest. 25/01/2025 a 02/02/2025 - RPS: 468 - NFSe: 2695</v>
      </c>
      <c r="H768" t="str">
        <f t="shared" si="384"/>
        <v>12/02/2025</v>
      </c>
      <c r="I768" t="str">
        <f t="shared" si="385"/>
        <v>04/02/2025</v>
      </c>
      <c r="J768" t="str">
        <f t="shared" si="386"/>
        <v>12/02/2025</v>
      </c>
      <c r="M768">
        <v>303</v>
      </c>
      <c r="N768" t="str">
        <f t="shared" si="387"/>
        <v>RECEITAS COM ENTREGAS</v>
      </c>
      <c r="P768">
        <v>118.37</v>
      </c>
      <c r="Q768" t="str">
        <f>"FARMÁCIA INDIANA LJ 163 (10072)"</f>
        <v>FARMÁCIA INDIANA LJ 163 (10072)</v>
      </c>
      <c r="R768" t="str">
        <f t="shared" si="388"/>
        <v>RECEITAS COM ENTREGAS (303)</v>
      </c>
      <c r="S768">
        <v>1020</v>
      </c>
      <c r="T768">
        <v>819</v>
      </c>
      <c r="U768" t="s">
        <v>19</v>
      </c>
    </row>
    <row r="769" spans="1:21">
      <c r="A769" t="str">
        <f t="shared" si="381"/>
        <v>12/02/2025</v>
      </c>
      <c r="B769" t="str">
        <f t="shared" si="380"/>
        <v>ENTRADA</v>
      </c>
      <c r="C769" t="str">
        <f t="shared" si="382"/>
        <v>NFSE</v>
      </c>
      <c r="D769" t="str">
        <f t="shared" si="389"/>
        <v>2695</v>
      </c>
      <c r="E769" t="str">
        <f t="shared" si="383"/>
        <v>COM</v>
      </c>
      <c r="F769" t="str">
        <f t="shared" si="390"/>
        <v>FARMÁCIA INDIANA LJ 85 (10128)</v>
      </c>
      <c r="G769" t="str">
        <f t="shared" si="391"/>
        <v>Serv.Prest. 25/01/2025 a 02/02/2025 - RPS: 468 - NFSe: 2695</v>
      </c>
      <c r="H769" t="str">
        <f t="shared" si="384"/>
        <v>12/02/2025</v>
      </c>
      <c r="I769" t="str">
        <f t="shared" si="385"/>
        <v>04/02/2025</v>
      </c>
      <c r="J769" t="str">
        <f t="shared" si="386"/>
        <v>12/02/2025</v>
      </c>
      <c r="M769">
        <v>303</v>
      </c>
      <c r="N769" t="str">
        <f t="shared" si="387"/>
        <v>RECEITAS COM ENTREGAS</v>
      </c>
      <c r="P769">
        <v>123.58</v>
      </c>
      <c r="Q769" t="str">
        <f>"FARMÁCIA INDIANA LJ 181 (10078)"</f>
        <v>FARMÁCIA INDIANA LJ 181 (10078)</v>
      </c>
      <c r="R769" t="str">
        <f t="shared" si="388"/>
        <v>RECEITAS COM ENTREGAS (303)</v>
      </c>
      <c r="S769">
        <v>1020</v>
      </c>
      <c r="T769">
        <v>819</v>
      </c>
      <c r="U769" t="s">
        <v>19</v>
      </c>
    </row>
    <row r="770" spans="1:21">
      <c r="A770" t="str">
        <f t="shared" si="381"/>
        <v>12/02/2025</v>
      </c>
      <c r="B770" t="str">
        <f t="shared" si="380"/>
        <v>ENTRADA</v>
      </c>
      <c r="C770" t="str">
        <f t="shared" si="382"/>
        <v>NFSE</v>
      </c>
      <c r="D770" t="str">
        <f t="shared" si="389"/>
        <v>2695</v>
      </c>
      <c r="E770" t="str">
        <f t="shared" si="383"/>
        <v>COM</v>
      </c>
      <c r="F770" t="str">
        <f t="shared" si="390"/>
        <v>FARMÁCIA INDIANA LJ 85 (10128)</v>
      </c>
      <c r="G770" t="str">
        <f t="shared" si="391"/>
        <v>Serv.Prest. 25/01/2025 a 02/02/2025 - RPS: 468 - NFSe: 2695</v>
      </c>
      <c r="H770" t="str">
        <f t="shared" si="384"/>
        <v>12/02/2025</v>
      </c>
      <c r="I770" t="str">
        <f t="shared" si="385"/>
        <v>04/02/2025</v>
      </c>
      <c r="J770" t="str">
        <f t="shared" si="386"/>
        <v>12/02/2025</v>
      </c>
      <c r="M770">
        <v>303</v>
      </c>
      <c r="N770" t="str">
        <f t="shared" si="387"/>
        <v>RECEITAS COM ENTREGAS</v>
      </c>
      <c r="P770">
        <v>160.13</v>
      </c>
      <c r="Q770" t="str">
        <f>"FARMÁCIA INDIANA LJ 221 (10093)"</f>
        <v>FARMÁCIA INDIANA LJ 221 (10093)</v>
      </c>
      <c r="R770" t="str">
        <f t="shared" si="388"/>
        <v>RECEITAS COM ENTREGAS (303)</v>
      </c>
      <c r="S770">
        <v>1020</v>
      </c>
      <c r="T770">
        <v>819</v>
      </c>
      <c r="U770" t="s">
        <v>19</v>
      </c>
    </row>
    <row r="771" spans="1:21">
      <c r="A771" t="str">
        <f t="shared" si="381"/>
        <v>12/02/2025</v>
      </c>
      <c r="B771" t="str">
        <f t="shared" si="380"/>
        <v>ENTRADA</v>
      </c>
      <c r="C771" t="str">
        <f t="shared" si="382"/>
        <v>NFSE</v>
      </c>
      <c r="D771" t="str">
        <f t="shared" si="389"/>
        <v>2695</v>
      </c>
      <c r="E771" t="str">
        <f t="shared" si="383"/>
        <v>COM</v>
      </c>
      <c r="F771" t="str">
        <f t="shared" si="390"/>
        <v>FARMÁCIA INDIANA LJ 85 (10128)</v>
      </c>
      <c r="G771" t="str">
        <f t="shared" si="391"/>
        <v>Serv.Prest. 25/01/2025 a 02/02/2025 - RPS: 468 - NFSe: 2695</v>
      </c>
      <c r="H771" t="str">
        <f t="shared" si="384"/>
        <v>12/02/2025</v>
      </c>
      <c r="I771" t="str">
        <f t="shared" si="385"/>
        <v>04/02/2025</v>
      </c>
      <c r="J771" t="str">
        <f t="shared" si="386"/>
        <v>12/02/2025</v>
      </c>
      <c r="M771">
        <v>303</v>
      </c>
      <c r="N771" t="str">
        <f t="shared" si="387"/>
        <v>RECEITAS COM ENTREGAS</v>
      </c>
      <c r="P771">
        <v>182.24</v>
      </c>
      <c r="Q771" t="str">
        <f>"FARMÁCIA INDIANA LJ 243 (10142)"</f>
        <v>FARMÁCIA INDIANA LJ 243 (10142)</v>
      </c>
      <c r="R771" t="str">
        <f t="shared" si="388"/>
        <v>RECEITAS COM ENTREGAS (303)</v>
      </c>
      <c r="S771">
        <v>1020</v>
      </c>
      <c r="T771">
        <v>819</v>
      </c>
      <c r="U771" t="s">
        <v>19</v>
      </c>
    </row>
    <row r="772" spans="1:21">
      <c r="A772" t="str">
        <f t="shared" si="381"/>
        <v>12/02/2025</v>
      </c>
      <c r="B772" t="str">
        <f t="shared" si="380"/>
        <v>ENTRADA</v>
      </c>
      <c r="C772" t="str">
        <f t="shared" si="382"/>
        <v>NFSE</v>
      </c>
      <c r="D772" t="str">
        <f t="shared" ref="D772:D782" si="392">"2696"</f>
        <v>2696</v>
      </c>
      <c r="E772" t="str">
        <f t="shared" si="383"/>
        <v>COM</v>
      </c>
      <c r="F772" t="str">
        <f t="shared" ref="F772:F782" si="393">"FARMÁCIA INDIANA LJ 30 (10127)"</f>
        <v>FARMÁCIA INDIANA LJ 30 (10127)</v>
      </c>
      <c r="G772" t="str">
        <f t="shared" ref="G772:G782" si="394">"Serv.Prest. 25/01/2025 a 02/02/2025 - RPS: 469 - NFSe: 2696"</f>
        <v>Serv.Prest. 25/01/2025 a 02/02/2025 - RPS: 469 - NFSe: 2696</v>
      </c>
      <c r="H772" t="str">
        <f t="shared" si="384"/>
        <v>12/02/2025</v>
      </c>
      <c r="I772" t="str">
        <f t="shared" si="385"/>
        <v>04/02/2025</v>
      </c>
      <c r="J772" t="str">
        <f t="shared" si="386"/>
        <v>12/02/2025</v>
      </c>
      <c r="K772">
        <v>2566.12</v>
      </c>
      <c r="L772">
        <v>2566.12</v>
      </c>
      <c r="M772">
        <v>303</v>
      </c>
      <c r="N772" t="str">
        <f t="shared" si="387"/>
        <v>RECEITAS COM ENTREGAS</v>
      </c>
      <c r="O772">
        <v>2566.12</v>
      </c>
      <c r="R772" t="str">
        <f t="shared" si="388"/>
        <v>RECEITAS COM ENTREGAS (303)</v>
      </c>
      <c r="S772">
        <v>1021</v>
      </c>
      <c r="T772">
        <v>820</v>
      </c>
      <c r="U772" t="s">
        <v>19</v>
      </c>
    </row>
    <row r="773" spans="1:21">
      <c r="A773" t="str">
        <f t="shared" si="381"/>
        <v>12/02/2025</v>
      </c>
      <c r="B773" t="str">
        <f t="shared" si="380"/>
        <v>ENTRADA</v>
      </c>
      <c r="C773" t="str">
        <f t="shared" si="382"/>
        <v>NFSE</v>
      </c>
      <c r="D773" t="str">
        <f t="shared" si="392"/>
        <v>2696</v>
      </c>
      <c r="E773" t="str">
        <f t="shared" si="383"/>
        <v>COM</v>
      </c>
      <c r="F773" t="str">
        <f t="shared" si="393"/>
        <v>FARMÁCIA INDIANA LJ 30 (10127)</v>
      </c>
      <c r="G773" t="str">
        <f t="shared" si="394"/>
        <v>Serv.Prest. 25/01/2025 a 02/02/2025 - RPS: 469 - NFSe: 2696</v>
      </c>
      <c r="H773" t="str">
        <f t="shared" si="384"/>
        <v>12/02/2025</v>
      </c>
      <c r="I773" t="str">
        <f t="shared" si="385"/>
        <v>04/02/2025</v>
      </c>
      <c r="J773" t="str">
        <f t="shared" si="386"/>
        <v>12/02/2025</v>
      </c>
      <c r="M773">
        <v>303</v>
      </c>
      <c r="N773" t="str">
        <f t="shared" si="387"/>
        <v>RECEITAS COM ENTREGAS</v>
      </c>
      <c r="P773">
        <v>313.31</v>
      </c>
      <c r="Q773" t="str">
        <f>"FARMÁCIA INDIANA LJ 34 (10014)"</f>
        <v>FARMÁCIA INDIANA LJ 34 (10014)</v>
      </c>
      <c r="R773" t="str">
        <f t="shared" si="388"/>
        <v>RECEITAS COM ENTREGAS (303)</v>
      </c>
      <c r="S773">
        <v>1021</v>
      </c>
      <c r="T773">
        <v>820</v>
      </c>
      <c r="U773" t="s">
        <v>19</v>
      </c>
    </row>
    <row r="774" spans="1:21">
      <c r="A774" t="str">
        <f t="shared" si="381"/>
        <v>12/02/2025</v>
      </c>
      <c r="B774" t="str">
        <f t="shared" si="380"/>
        <v>ENTRADA</v>
      </c>
      <c r="C774" t="str">
        <f t="shared" si="382"/>
        <v>NFSE</v>
      </c>
      <c r="D774" t="str">
        <f t="shared" si="392"/>
        <v>2696</v>
      </c>
      <c r="E774" t="str">
        <f t="shared" si="383"/>
        <v>COM</v>
      </c>
      <c r="F774" t="str">
        <f t="shared" si="393"/>
        <v>FARMÁCIA INDIANA LJ 30 (10127)</v>
      </c>
      <c r="G774" t="str">
        <f t="shared" si="394"/>
        <v>Serv.Prest. 25/01/2025 a 02/02/2025 - RPS: 469 - NFSe: 2696</v>
      </c>
      <c r="H774" t="str">
        <f t="shared" si="384"/>
        <v>12/02/2025</v>
      </c>
      <c r="I774" t="str">
        <f t="shared" si="385"/>
        <v>04/02/2025</v>
      </c>
      <c r="J774" t="str">
        <f t="shared" si="386"/>
        <v>12/02/2025</v>
      </c>
      <c r="M774">
        <v>303</v>
      </c>
      <c r="N774" t="str">
        <f t="shared" si="387"/>
        <v>RECEITAS COM ENTREGAS</v>
      </c>
      <c r="P774">
        <v>235.83</v>
      </c>
      <c r="Q774" t="str">
        <f>"FARMÁCIA INDIANA LJ 35 (10015)"</f>
        <v>FARMÁCIA INDIANA LJ 35 (10015)</v>
      </c>
      <c r="R774" t="str">
        <f t="shared" si="388"/>
        <v>RECEITAS COM ENTREGAS (303)</v>
      </c>
      <c r="S774">
        <v>1021</v>
      </c>
      <c r="T774">
        <v>820</v>
      </c>
      <c r="U774" t="s">
        <v>19</v>
      </c>
    </row>
    <row r="775" spans="1:21">
      <c r="A775" t="str">
        <f t="shared" si="381"/>
        <v>12/02/2025</v>
      </c>
      <c r="B775" t="str">
        <f t="shared" si="380"/>
        <v>ENTRADA</v>
      </c>
      <c r="C775" t="str">
        <f t="shared" si="382"/>
        <v>NFSE</v>
      </c>
      <c r="D775" t="str">
        <f t="shared" si="392"/>
        <v>2696</v>
      </c>
      <c r="E775" t="str">
        <f t="shared" si="383"/>
        <v>COM</v>
      </c>
      <c r="F775" t="str">
        <f t="shared" si="393"/>
        <v>FARMÁCIA INDIANA LJ 30 (10127)</v>
      </c>
      <c r="G775" t="str">
        <f t="shared" si="394"/>
        <v>Serv.Prest. 25/01/2025 a 02/02/2025 - RPS: 469 - NFSe: 2696</v>
      </c>
      <c r="H775" t="str">
        <f t="shared" si="384"/>
        <v>12/02/2025</v>
      </c>
      <c r="I775" t="str">
        <f t="shared" si="385"/>
        <v>04/02/2025</v>
      </c>
      <c r="J775" t="str">
        <f t="shared" si="386"/>
        <v>12/02/2025</v>
      </c>
      <c r="M775">
        <v>303</v>
      </c>
      <c r="N775" t="str">
        <f t="shared" si="387"/>
        <v>RECEITAS COM ENTREGAS</v>
      </c>
      <c r="P775">
        <v>363.11</v>
      </c>
      <c r="Q775" t="str">
        <f>"FARMÁCIA INDIANA LJ 48 (10018)"</f>
        <v>FARMÁCIA INDIANA LJ 48 (10018)</v>
      </c>
      <c r="R775" t="str">
        <f t="shared" si="388"/>
        <v>RECEITAS COM ENTREGAS (303)</v>
      </c>
      <c r="S775">
        <v>1021</v>
      </c>
      <c r="T775">
        <v>820</v>
      </c>
      <c r="U775" t="s">
        <v>19</v>
      </c>
    </row>
    <row r="776" spans="1:21">
      <c r="A776" t="str">
        <f t="shared" si="381"/>
        <v>12/02/2025</v>
      </c>
      <c r="B776" t="str">
        <f t="shared" si="380"/>
        <v>ENTRADA</v>
      </c>
      <c r="C776" t="str">
        <f t="shared" si="382"/>
        <v>NFSE</v>
      </c>
      <c r="D776" t="str">
        <f t="shared" si="392"/>
        <v>2696</v>
      </c>
      <c r="E776" t="str">
        <f t="shared" si="383"/>
        <v>COM</v>
      </c>
      <c r="F776" t="str">
        <f t="shared" si="393"/>
        <v>FARMÁCIA INDIANA LJ 30 (10127)</v>
      </c>
      <c r="G776" t="str">
        <f t="shared" si="394"/>
        <v>Serv.Prest. 25/01/2025 a 02/02/2025 - RPS: 469 - NFSe: 2696</v>
      </c>
      <c r="H776" t="str">
        <f t="shared" si="384"/>
        <v>12/02/2025</v>
      </c>
      <c r="I776" t="str">
        <f t="shared" si="385"/>
        <v>04/02/2025</v>
      </c>
      <c r="J776" t="str">
        <f t="shared" si="386"/>
        <v>12/02/2025</v>
      </c>
      <c r="M776">
        <v>303</v>
      </c>
      <c r="N776" t="str">
        <f t="shared" si="387"/>
        <v>RECEITAS COM ENTREGAS</v>
      </c>
      <c r="P776">
        <v>320</v>
      </c>
      <c r="Q776" t="str">
        <f>"FARMÁCIA INDIANA LJ 65 (10030)"</f>
        <v>FARMÁCIA INDIANA LJ 65 (10030)</v>
      </c>
      <c r="R776" t="str">
        <f t="shared" si="388"/>
        <v>RECEITAS COM ENTREGAS (303)</v>
      </c>
      <c r="S776">
        <v>1021</v>
      </c>
      <c r="T776">
        <v>820</v>
      </c>
      <c r="U776" t="s">
        <v>19</v>
      </c>
    </row>
    <row r="777" spans="1:21">
      <c r="A777" t="str">
        <f t="shared" si="381"/>
        <v>12/02/2025</v>
      </c>
      <c r="B777" t="str">
        <f t="shared" si="380"/>
        <v>ENTRADA</v>
      </c>
      <c r="C777" t="str">
        <f t="shared" si="382"/>
        <v>NFSE</v>
      </c>
      <c r="D777" t="str">
        <f t="shared" si="392"/>
        <v>2696</v>
      </c>
      <c r="E777" t="str">
        <f t="shared" si="383"/>
        <v>COM</v>
      </c>
      <c r="F777" t="str">
        <f t="shared" si="393"/>
        <v>FARMÁCIA INDIANA LJ 30 (10127)</v>
      </c>
      <c r="G777" t="str">
        <f t="shared" si="394"/>
        <v>Serv.Prest. 25/01/2025 a 02/02/2025 - RPS: 469 - NFSe: 2696</v>
      </c>
      <c r="H777" t="str">
        <f t="shared" si="384"/>
        <v>12/02/2025</v>
      </c>
      <c r="I777" t="str">
        <f t="shared" si="385"/>
        <v>04/02/2025</v>
      </c>
      <c r="J777" t="str">
        <f t="shared" si="386"/>
        <v>12/02/2025</v>
      </c>
      <c r="M777">
        <v>303</v>
      </c>
      <c r="N777" t="str">
        <f t="shared" si="387"/>
        <v>RECEITAS COM ENTREGAS</v>
      </c>
      <c r="P777">
        <v>137.03</v>
      </c>
      <c r="Q777" t="str">
        <f>"FARMÁCIA INDIANA LJ 77 (10034)"</f>
        <v>FARMÁCIA INDIANA LJ 77 (10034)</v>
      </c>
      <c r="R777" t="str">
        <f t="shared" si="388"/>
        <v>RECEITAS COM ENTREGAS (303)</v>
      </c>
      <c r="S777">
        <v>1021</v>
      </c>
      <c r="T777">
        <v>820</v>
      </c>
      <c r="U777" t="s">
        <v>19</v>
      </c>
    </row>
    <row r="778" spans="1:21">
      <c r="A778" t="str">
        <f t="shared" si="381"/>
        <v>12/02/2025</v>
      </c>
      <c r="B778" t="str">
        <f t="shared" si="380"/>
        <v>ENTRADA</v>
      </c>
      <c r="C778" t="str">
        <f t="shared" si="382"/>
        <v>NFSE</v>
      </c>
      <c r="D778" t="str">
        <f t="shared" si="392"/>
        <v>2696</v>
      </c>
      <c r="E778" t="str">
        <f t="shared" si="383"/>
        <v>COM</v>
      </c>
      <c r="F778" t="str">
        <f t="shared" si="393"/>
        <v>FARMÁCIA INDIANA LJ 30 (10127)</v>
      </c>
      <c r="G778" t="str">
        <f t="shared" si="394"/>
        <v>Serv.Prest. 25/01/2025 a 02/02/2025 - RPS: 469 - NFSe: 2696</v>
      </c>
      <c r="H778" t="str">
        <f t="shared" si="384"/>
        <v>12/02/2025</v>
      </c>
      <c r="I778" t="str">
        <f t="shared" si="385"/>
        <v>04/02/2025</v>
      </c>
      <c r="J778" t="str">
        <f t="shared" si="386"/>
        <v>12/02/2025</v>
      </c>
      <c r="M778">
        <v>303</v>
      </c>
      <c r="N778" t="str">
        <f t="shared" si="387"/>
        <v>RECEITAS COM ENTREGAS</v>
      </c>
      <c r="P778">
        <v>229.41</v>
      </c>
      <c r="Q778" t="str">
        <f>"FARMÁCIA INDIANA LJ 91 (10037)"</f>
        <v>FARMÁCIA INDIANA LJ 91 (10037)</v>
      </c>
      <c r="R778" t="str">
        <f t="shared" si="388"/>
        <v>RECEITAS COM ENTREGAS (303)</v>
      </c>
      <c r="S778">
        <v>1021</v>
      </c>
      <c r="T778">
        <v>820</v>
      </c>
      <c r="U778" t="s">
        <v>19</v>
      </c>
    </row>
    <row r="779" spans="1:21">
      <c r="A779" t="str">
        <f t="shared" si="381"/>
        <v>12/02/2025</v>
      </c>
      <c r="B779" t="str">
        <f t="shared" si="380"/>
        <v>ENTRADA</v>
      </c>
      <c r="C779" t="str">
        <f t="shared" si="382"/>
        <v>NFSE</v>
      </c>
      <c r="D779" t="str">
        <f t="shared" si="392"/>
        <v>2696</v>
      </c>
      <c r="E779" t="str">
        <f t="shared" si="383"/>
        <v>COM</v>
      </c>
      <c r="F779" t="str">
        <f t="shared" si="393"/>
        <v>FARMÁCIA INDIANA LJ 30 (10127)</v>
      </c>
      <c r="G779" t="str">
        <f t="shared" si="394"/>
        <v>Serv.Prest. 25/01/2025 a 02/02/2025 - RPS: 469 - NFSe: 2696</v>
      </c>
      <c r="H779" t="str">
        <f t="shared" si="384"/>
        <v>12/02/2025</v>
      </c>
      <c r="I779" t="str">
        <f t="shared" si="385"/>
        <v>04/02/2025</v>
      </c>
      <c r="J779" t="str">
        <f t="shared" si="386"/>
        <v>12/02/2025</v>
      </c>
      <c r="M779">
        <v>303</v>
      </c>
      <c r="N779" t="str">
        <f t="shared" si="387"/>
        <v>RECEITAS COM ENTREGAS</v>
      </c>
      <c r="P779">
        <v>409.3</v>
      </c>
      <c r="Q779" t="str">
        <f>"FARMÁCIA INDIANA LJ 95 (10039)"</f>
        <v>FARMÁCIA INDIANA LJ 95 (10039)</v>
      </c>
      <c r="R779" t="str">
        <f t="shared" si="388"/>
        <v>RECEITAS COM ENTREGAS (303)</v>
      </c>
      <c r="S779">
        <v>1021</v>
      </c>
      <c r="T779">
        <v>820</v>
      </c>
      <c r="U779" t="s">
        <v>19</v>
      </c>
    </row>
    <row r="780" spans="1:21">
      <c r="A780" t="str">
        <f t="shared" si="381"/>
        <v>12/02/2025</v>
      </c>
      <c r="B780" t="str">
        <f t="shared" si="380"/>
        <v>ENTRADA</v>
      </c>
      <c r="C780" t="str">
        <f t="shared" si="382"/>
        <v>NFSE</v>
      </c>
      <c r="D780" t="str">
        <f t="shared" si="392"/>
        <v>2696</v>
      </c>
      <c r="E780" t="str">
        <f t="shared" si="383"/>
        <v>COM</v>
      </c>
      <c r="F780" t="str">
        <f t="shared" si="393"/>
        <v>FARMÁCIA INDIANA LJ 30 (10127)</v>
      </c>
      <c r="G780" t="str">
        <f t="shared" si="394"/>
        <v>Serv.Prest. 25/01/2025 a 02/02/2025 - RPS: 469 - NFSe: 2696</v>
      </c>
      <c r="H780" t="str">
        <f t="shared" si="384"/>
        <v>12/02/2025</v>
      </c>
      <c r="I780" t="str">
        <f t="shared" si="385"/>
        <v>04/02/2025</v>
      </c>
      <c r="J780" t="str">
        <f t="shared" si="386"/>
        <v>12/02/2025</v>
      </c>
      <c r="M780">
        <v>303</v>
      </c>
      <c r="N780" t="str">
        <f t="shared" si="387"/>
        <v>RECEITAS COM ENTREGAS</v>
      </c>
      <c r="P780">
        <v>280.73</v>
      </c>
      <c r="Q780" t="str">
        <f>"FARMÁCIA INDIANA LJ 145 (10068)"</f>
        <v>FARMÁCIA INDIANA LJ 145 (10068)</v>
      </c>
      <c r="R780" t="str">
        <f t="shared" si="388"/>
        <v>RECEITAS COM ENTREGAS (303)</v>
      </c>
      <c r="S780">
        <v>1021</v>
      </c>
      <c r="T780">
        <v>820</v>
      </c>
      <c r="U780" t="s">
        <v>19</v>
      </c>
    </row>
    <row r="781" spans="1:21">
      <c r="A781" t="str">
        <f t="shared" si="381"/>
        <v>12/02/2025</v>
      </c>
      <c r="B781" t="str">
        <f t="shared" si="380"/>
        <v>ENTRADA</v>
      </c>
      <c r="C781" t="str">
        <f t="shared" si="382"/>
        <v>NFSE</v>
      </c>
      <c r="D781" t="str">
        <f t="shared" si="392"/>
        <v>2696</v>
      </c>
      <c r="E781" t="str">
        <f t="shared" si="383"/>
        <v>COM</v>
      </c>
      <c r="F781" t="str">
        <f t="shared" si="393"/>
        <v>FARMÁCIA INDIANA LJ 30 (10127)</v>
      </c>
      <c r="G781" t="str">
        <f t="shared" si="394"/>
        <v>Serv.Prest. 25/01/2025 a 02/02/2025 - RPS: 469 - NFSe: 2696</v>
      </c>
      <c r="H781" t="str">
        <f t="shared" si="384"/>
        <v>12/02/2025</v>
      </c>
      <c r="I781" t="str">
        <f t="shared" si="385"/>
        <v>04/02/2025</v>
      </c>
      <c r="J781" t="str">
        <f t="shared" si="386"/>
        <v>12/02/2025</v>
      </c>
      <c r="M781">
        <v>303</v>
      </c>
      <c r="N781" t="str">
        <f t="shared" si="387"/>
        <v>RECEITAS COM ENTREGAS</v>
      </c>
      <c r="P781">
        <v>117.02</v>
      </c>
      <c r="Q781" t="str">
        <f>"FARMÁCIA INDIANA LJ 169 (10073)"</f>
        <v>FARMÁCIA INDIANA LJ 169 (10073)</v>
      </c>
      <c r="R781" t="str">
        <f t="shared" si="388"/>
        <v>RECEITAS COM ENTREGAS (303)</v>
      </c>
      <c r="S781">
        <v>1021</v>
      </c>
      <c r="T781">
        <v>820</v>
      </c>
      <c r="U781" t="s">
        <v>19</v>
      </c>
    </row>
    <row r="782" spans="1:21">
      <c r="A782" t="str">
        <f t="shared" si="381"/>
        <v>12/02/2025</v>
      </c>
      <c r="B782" t="str">
        <f t="shared" si="380"/>
        <v>ENTRADA</v>
      </c>
      <c r="C782" t="str">
        <f t="shared" si="382"/>
        <v>NFSE</v>
      </c>
      <c r="D782" t="str">
        <f t="shared" si="392"/>
        <v>2696</v>
      </c>
      <c r="E782" t="str">
        <f t="shared" si="383"/>
        <v>COM</v>
      </c>
      <c r="F782" t="str">
        <f t="shared" si="393"/>
        <v>FARMÁCIA INDIANA LJ 30 (10127)</v>
      </c>
      <c r="G782" t="str">
        <f t="shared" si="394"/>
        <v>Serv.Prest. 25/01/2025 a 02/02/2025 - RPS: 469 - NFSe: 2696</v>
      </c>
      <c r="H782" t="str">
        <f t="shared" si="384"/>
        <v>12/02/2025</v>
      </c>
      <c r="I782" t="str">
        <f t="shared" si="385"/>
        <v>04/02/2025</v>
      </c>
      <c r="J782" t="str">
        <f t="shared" si="386"/>
        <v>12/02/2025</v>
      </c>
      <c r="M782">
        <v>303</v>
      </c>
      <c r="N782" t="str">
        <f t="shared" si="387"/>
        <v>RECEITAS COM ENTREGAS</v>
      </c>
      <c r="P782">
        <v>160.38</v>
      </c>
      <c r="Q782" t="str">
        <f>"FARMÁCIA INDIANA LJ 173 (10075)"</f>
        <v>FARMÁCIA INDIANA LJ 173 (10075)</v>
      </c>
      <c r="R782" t="str">
        <f t="shared" si="388"/>
        <v>RECEITAS COM ENTREGAS (303)</v>
      </c>
      <c r="S782">
        <v>1021</v>
      </c>
      <c r="T782">
        <v>820</v>
      </c>
      <c r="U782" t="s">
        <v>19</v>
      </c>
    </row>
    <row r="783" spans="1:21">
      <c r="A783" t="str">
        <f t="shared" si="381"/>
        <v>12/02/2025</v>
      </c>
      <c r="B783" t="str">
        <f t="shared" si="380"/>
        <v>ENTRADA</v>
      </c>
      <c r="C783" t="str">
        <f t="shared" si="382"/>
        <v>NFSE</v>
      </c>
      <c r="D783" t="str">
        <f>"2702"</f>
        <v>2702</v>
      </c>
      <c r="E783" t="str">
        <f t="shared" si="383"/>
        <v>COM</v>
      </c>
      <c r="F783" t="str">
        <f>"DELTA LOJA 2 (10123)"</f>
        <v>DELTA LOJA 2 (10123)</v>
      </c>
      <c r="G783" t="str">
        <f>"Serv.Prest. 03/02/2025 a 09/02/2025 - RPS: 475 - NFSe: 2702"</f>
        <v>Serv.Prest. 03/02/2025 a 09/02/2025 - RPS: 475 - NFSe: 2702</v>
      </c>
      <c r="H783" t="str">
        <f t="shared" si="384"/>
        <v>12/02/2025</v>
      </c>
      <c r="I783" t="str">
        <f t="shared" ref="I783:I794" si="395">("11/02/2025")</f>
        <v>11/02/2025</v>
      </c>
      <c r="J783" t="str">
        <f t="shared" si="386"/>
        <v>12/02/2025</v>
      </c>
      <c r="K783">
        <v>480.48</v>
      </c>
      <c r="L783">
        <v>480.48</v>
      </c>
      <c r="M783">
        <v>303</v>
      </c>
      <c r="N783" t="str">
        <f t="shared" si="387"/>
        <v>RECEITAS COM ENTREGAS</v>
      </c>
      <c r="O783">
        <v>480.48</v>
      </c>
      <c r="R783" t="str">
        <f t="shared" si="388"/>
        <v>RECEITAS COM ENTREGAS (303)</v>
      </c>
      <c r="S783">
        <v>1022</v>
      </c>
      <c r="T783">
        <v>849</v>
      </c>
      <c r="U783" t="s">
        <v>19</v>
      </c>
    </row>
    <row r="784" spans="1:21">
      <c r="A784" t="str">
        <f t="shared" ref="A784:A801" si="396">("12/02/2025")</f>
        <v>12/02/2025</v>
      </c>
      <c r="B784" t="str">
        <f t="shared" si="380"/>
        <v>ENTRADA</v>
      </c>
      <c r="C784" t="str">
        <f t="shared" ref="C784:C794" si="397">"NFSE"</f>
        <v>NFSE</v>
      </c>
      <c r="D784" t="str">
        <f>"2702"</f>
        <v>2702</v>
      </c>
      <c r="E784" t="str">
        <f t="shared" ref="E784:E794" si="398">"COM"</f>
        <v>COM</v>
      </c>
      <c r="F784" t="str">
        <f>"DELTA LOJA 2 (10123)"</f>
        <v>DELTA LOJA 2 (10123)</v>
      </c>
      <c r="G784" t="str">
        <f>"Serv.Prest. 03/02/2025 a 09/02/2025 - RPS: 475 - NFSe: 2702"</f>
        <v>Serv.Prest. 03/02/2025 a 09/02/2025 - RPS: 475 - NFSe: 2702</v>
      </c>
      <c r="H784" t="str">
        <f t="shared" ref="H784:H811" si="399">("12/02/2025")</f>
        <v>12/02/2025</v>
      </c>
      <c r="I784" t="str">
        <f t="shared" si="395"/>
        <v>11/02/2025</v>
      </c>
      <c r="J784" t="str">
        <f t="shared" ref="J784:J801" si="400">("12/02/2025")</f>
        <v>12/02/2025</v>
      </c>
      <c r="M784">
        <v>303</v>
      </c>
      <c r="N784" t="str">
        <f t="shared" ref="N784:N794" si="401">"RECEITAS COM ENTREGAS"</f>
        <v>RECEITAS COM ENTREGAS</v>
      </c>
      <c r="P784">
        <v>480.48</v>
      </c>
      <c r="Q784" t="str">
        <f>"DELTA LOJA 2 (10123)"</f>
        <v>DELTA LOJA 2 (10123)</v>
      </c>
      <c r="R784" t="str">
        <f t="shared" ref="R784:R794" si="402">"RECEITAS COM ENTREGAS (303)"</f>
        <v>RECEITAS COM ENTREGAS (303)</v>
      </c>
      <c r="S784">
        <v>1022</v>
      </c>
      <c r="T784">
        <v>849</v>
      </c>
      <c r="U784" t="s">
        <v>19</v>
      </c>
    </row>
    <row r="785" spans="1:21">
      <c r="A785" t="str">
        <f t="shared" si="396"/>
        <v>12/02/2025</v>
      </c>
      <c r="B785" t="str">
        <f t="shared" ref="B785:B794" si="403">"ENTRADA"</f>
        <v>ENTRADA</v>
      </c>
      <c r="C785" t="str">
        <f t="shared" si="397"/>
        <v>NFSE</v>
      </c>
      <c r="D785" t="str">
        <f>"2704"</f>
        <v>2704</v>
      </c>
      <c r="E785" t="str">
        <f t="shared" si="398"/>
        <v>COM</v>
      </c>
      <c r="F785" t="str">
        <f>"FARMACIA CRISTAL (10125)"</f>
        <v>FARMACIA CRISTAL (10125)</v>
      </c>
      <c r="G785" t="str">
        <f>"Serv.Prest. 03/02/2025 a 09/02/2025 - RPS: 477 - NFSe: 2704"</f>
        <v>Serv.Prest. 03/02/2025 a 09/02/2025 - RPS: 477 - NFSe: 2704</v>
      </c>
      <c r="H785" t="str">
        <f t="shared" si="399"/>
        <v>12/02/2025</v>
      </c>
      <c r="I785" t="str">
        <f t="shared" si="395"/>
        <v>11/02/2025</v>
      </c>
      <c r="J785" t="str">
        <f t="shared" si="400"/>
        <v>12/02/2025</v>
      </c>
      <c r="K785">
        <v>256.26</v>
      </c>
      <c r="L785">
        <v>256.26</v>
      </c>
      <c r="M785">
        <v>303</v>
      </c>
      <c r="N785" t="str">
        <f t="shared" si="401"/>
        <v>RECEITAS COM ENTREGAS</v>
      </c>
      <c r="O785">
        <v>256.26</v>
      </c>
      <c r="R785" t="str">
        <f t="shared" si="402"/>
        <v>RECEITAS COM ENTREGAS (303)</v>
      </c>
      <c r="S785">
        <v>1023</v>
      </c>
      <c r="T785">
        <v>851</v>
      </c>
      <c r="U785" t="s">
        <v>19</v>
      </c>
    </row>
    <row r="786" spans="1:21">
      <c r="A786" t="str">
        <f t="shared" si="396"/>
        <v>12/02/2025</v>
      </c>
      <c r="B786" t="str">
        <f t="shared" si="403"/>
        <v>ENTRADA</v>
      </c>
      <c r="C786" t="str">
        <f t="shared" si="397"/>
        <v>NFSE</v>
      </c>
      <c r="D786" t="str">
        <f>"2704"</f>
        <v>2704</v>
      </c>
      <c r="E786" t="str">
        <f t="shared" si="398"/>
        <v>COM</v>
      </c>
      <c r="F786" t="str">
        <f>"FARMACIA CRISTAL (10125)"</f>
        <v>FARMACIA CRISTAL (10125)</v>
      </c>
      <c r="G786" t="str">
        <f>"Serv.Prest. 03/02/2025 a 09/02/2025 - RPS: 477 - NFSe: 2704"</f>
        <v>Serv.Prest. 03/02/2025 a 09/02/2025 - RPS: 477 - NFSe: 2704</v>
      </c>
      <c r="H786" t="str">
        <f t="shared" si="399"/>
        <v>12/02/2025</v>
      </c>
      <c r="I786" t="str">
        <f t="shared" si="395"/>
        <v>11/02/2025</v>
      </c>
      <c r="J786" t="str">
        <f t="shared" si="400"/>
        <v>12/02/2025</v>
      </c>
      <c r="M786">
        <v>303</v>
      </c>
      <c r="N786" t="str">
        <f t="shared" si="401"/>
        <v>RECEITAS COM ENTREGAS</v>
      </c>
      <c r="P786">
        <v>256.26</v>
      </c>
      <c r="Q786" t="str">
        <f>"FARMACIA CRISTAL (10125)"</f>
        <v>FARMACIA CRISTAL (10125)</v>
      </c>
      <c r="R786" t="str">
        <f t="shared" si="402"/>
        <v>RECEITAS COM ENTREGAS (303)</v>
      </c>
      <c r="S786">
        <v>1023</v>
      </c>
      <c r="T786">
        <v>851</v>
      </c>
      <c r="U786" t="s">
        <v>19</v>
      </c>
    </row>
    <row r="787" spans="1:21">
      <c r="A787" t="str">
        <f t="shared" si="396"/>
        <v>12/02/2025</v>
      </c>
      <c r="B787" t="str">
        <f t="shared" si="403"/>
        <v>ENTRADA</v>
      </c>
      <c r="C787" t="str">
        <f t="shared" si="397"/>
        <v>NFSE</v>
      </c>
      <c r="D787" t="str">
        <f>"2706"</f>
        <v>2706</v>
      </c>
      <c r="E787" t="str">
        <f t="shared" si="398"/>
        <v>COM</v>
      </c>
      <c r="F787" t="str">
        <f>"JAL FARMACIA E DROGARIA LJ 2 (10138)"</f>
        <v>JAL FARMACIA E DROGARIA LJ 2 (10138)</v>
      </c>
      <c r="G787" t="str">
        <f>"Serv.Prest. 03/02/2025 a 09/02/2025 - RPS: 479 - NFSe: 2706"</f>
        <v>Serv.Prest. 03/02/2025 a 09/02/2025 - RPS: 479 - NFSe: 2706</v>
      </c>
      <c r="H787" t="str">
        <f t="shared" si="399"/>
        <v>12/02/2025</v>
      </c>
      <c r="I787" t="str">
        <f t="shared" si="395"/>
        <v>11/02/2025</v>
      </c>
      <c r="J787" t="str">
        <f t="shared" si="400"/>
        <v>12/02/2025</v>
      </c>
      <c r="K787">
        <v>259.2</v>
      </c>
      <c r="L787">
        <v>259.2</v>
      </c>
      <c r="M787">
        <v>303</v>
      </c>
      <c r="N787" t="str">
        <f t="shared" si="401"/>
        <v>RECEITAS COM ENTREGAS</v>
      </c>
      <c r="O787">
        <v>259.2</v>
      </c>
      <c r="R787" t="str">
        <f t="shared" si="402"/>
        <v>RECEITAS COM ENTREGAS (303)</v>
      </c>
      <c r="S787">
        <v>1024</v>
      </c>
      <c r="T787">
        <v>853</v>
      </c>
      <c r="U787" t="s">
        <v>19</v>
      </c>
    </row>
    <row r="788" spans="1:21">
      <c r="A788" t="str">
        <f t="shared" si="396"/>
        <v>12/02/2025</v>
      </c>
      <c r="B788" t="str">
        <f t="shared" si="403"/>
        <v>ENTRADA</v>
      </c>
      <c r="C788" t="str">
        <f t="shared" si="397"/>
        <v>NFSE</v>
      </c>
      <c r="D788" t="str">
        <f>"2706"</f>
        <v>2706</v>
      </c>
      <c r="E788" t="str">
        <f t="shared" si="398"/>
        <v>COM</v>
      </c>
      <c r="F788" t="str">
        <f>"JAL FARMACIA E DROGARIA LJ 2 (10138)"</f>
        <v>JAL FARMACIA E DROGARIA LJ 2 (10138)</v>
      </c>
      <c r="G788" t="str">
        <f>"Serv.Prest. 03/02/2025 a 09/02/2025 - RPS: 479 - NFSe: 2706"</f>
        <v>Serv.Prest. 03/02/2025 a 09/02/2025 - RPS: 479 - NFSe: 2706</v>
      </c>
      <c r="H788" t="str">
        <f t="shared" si="399"/>
        <v>12/02/2025</v>
      </c>
      <c r="I788" t="str">
        <f t="shared" si="395"/>
        <v>11/02/2025</v>
      </c>
      <c r="J788" t="str">
        <f t="shared" si="400"/>
        <v>12/02/2025</v>
      </c>
      <c r="M788">
        <v>303</v>
      </c>
      <c r="N788" t="str">
        <f t="shared" si="401"/>
        <v>RECEITAS COM ENTREGAS</v>
      </c>
      <c r="P788">
        <v>259.2</v>
      </c>
      <c r="Q788" t="str">
        <f>"JAL FARMACIA E DROGARIA LJ 2 (10138)"</f>
        <v>JAL FARMACIA E DROGARIA LJ 2 (10138)</v>
      </c>
      <c r="R788" t="str">
        <f t="shared" si="402"/>
        <v>RECEITAS COM ENTREGAS (303)</v>
      </c>
      <c r="S788">
        <v>1024</v>
      </c>
      <c r="T788">
        <v>853</v>
      </c>
      <c r="U788" t="s">
        <v>19</v>
      </c>
    </row>
    <row r="789" spans="1:21">
      <c r="A789" t="str">
        <f t="shared" si="396"/>
        <v>12/02/2025</v>
      </c>
      <c r="B789" t="str">
        <f t="shared" si="403"/>
        <v>ENTRADA</v>
      </c>
      <c r="C789" t="str">
        <f t="shared" si="397"/>
        <v>NFSE</v>
      </c>
      <c r="D789" t="str">
        <f>"2707"</f>
        <v>2707</v>
      </c>
      <c r="E789" t="str">
        <f t="shared" si="398"/>
        <v>COM</v>
      </c>
      <c r="F789" t="str">
        <f>"FRAN FARMA (10124)"</f>
        <v>FRAN FARMA (10124)</v>
      </c>
      <c r="G789" t="str">
        <f>"Serv.Prest. 03/02/2025 a 09/02/2025 - RPS: 480 - NFSe: 2707"</f>
        <v>Serv.Prest. 03/02/2025 a 09/02/2025 - RPS: 480 - NFSe: 2707</v>
      </c>
      <c r="H789" t="str">
        <f t="shared" si="399"/>
        <v>12/02/2025</v>
      </c>
      <c r="I789" t="str">
        <f t="shared" si="395"/>
        <v>11/02/2025</v>
      </c>
      <c r="J789" t="str">
        <f t="shared" si="400"/>
        <v>12/02/2025</v>
      </c>
      <c r="K789">
        <v>296.95999999999998</v>
      </c>
      <c r="L789">
        <v>296.95999999999998</v>
      </c>
      <c r="M789">
        <v>303</v>
      </c>
      <c r="N789" t="str">
        <f t="shared" si="401"/>
        <v>RECEITAS COM ENTREGAS</v>
      </c>
      <c r="O789">
        <v>296.95999999999998</v>
      </c>
      <c r="R789" t="str">
        <f t="shared" si="402"/>
        <v>RECEITAS COM ENTREGAS (303)</v>
      </c>
      <c r="S789">
        <v>1025</v>
      </c>
      <c r="T789">
        <v>854</v>
      </c>
      <c r="U789" t="s">
        <v>19</v>
      </c>
    </row>
    <row r="790" spans="1:21">
      <c r="A790" t="str">
        <f t="shared" si="396"/>
        <v>12/02/2025</v>
      </c>
      <c r="B790" t="str">
        <f t="shared" si="403"/>
        <v>ENTRADA</v>
      </c>
      <c r="C790" t="str">
        <f t="shared" si="397"/>
        <v>NFSE</v>
      </c>
      <c r="D790" t="str">
        <f>"2707"</f>
        <v>2707</v>
      </c>
      <c r="E790" t="str">
        <f t="shared" si="398"/>
        <v>COM</v>
      </c>
      <c r="F790" t="str">
        <f>"FRAN FARMA (10124)"</f>
        <v>FRAN FARMA (10124)</v>
      </c>
      <c r="G790" t="str">
        <f>"Serv.Prest. 03/02/2025 a 09/02/2025 - RPS: 480 - NFSe: 2707"</f>
        <v>Serv.Prest. 03/02/2025 a 09/02/2025 - RPS: 480 - NFSe: 2707</v>
      </c>
      <c r="H790" t="str">
        <f t="shared" si="399"/>
        <v>12/02/2025</v>
      </c>
      <c r="I790" t="str">
        <f t="shared" si="395"/>
        <v>11/02/2025</v>
      </c>
      <c r="J790" t="str">
        <f t="shared" si="400"/>
        <v>12/02/2025</v>
      </c>
      <c r="M790">
        <v>303</v>
      </c>
      <c r="N790" t="str">
        <f t="shared" si="401"/>
        <v>RECEITAS COM ENTREGAS</v>
      </c>
      <c r="P790">
        <v>40.96</v>
      </c>
      <c r="Q790" t="str">
        <f>"FRAN FARMA (10124)"</f>
        <v>FRAN FARMA (10124)</v>
      </c>
      <c r="R790" t="str">
        <f t="shared" si="402"/>
        <v>RECEITAS COM ENTREGAS (303)</v>
      </c>
      <c r="S790">
        <v>1025</v>
      </c>
      <c r="T790">
        <v>854</v>
      </c>
      <c r="U790" t="s">
        <v>19</v>
      </c>
    </row>
    <row r="791" spans="1:21">
      <c r="A791" t="str">
        <f t="shared" si="396"/>
        <v>12/02/2025</v>
      </c>
      <c r="B791" t="str">
        <f t="shared" si="403"/>
        <v>ENTRADA</v>
      </c>
      <c r="C791" t="str">
        <f t="shared" si="397"/>
        <v>NFSE</v>
      </c>
      <c r="D791" t="str">
        <f>"2707"</f>
        <v>2707</v>
      </c>
      <c r="E791" t="str">
        <f t="shared" si="398"/>
        <v>COM</v>
      </c>
      <c r="F791" t="str">
        <f>"FRAN FARMA (10124)"</f>
        <v>FRAN FARMA (10124)</v>
      </c>
      <c r="G791" t="str">
        <f>"Serv.Prest. 03/02/2025 a 09/02/2025 - RPS: 480 - NFSe: 2707"</f>
        <v>Serv.Prest. 03/02/2025 a 09/02/2025 - RPS: 480 - NFSe: 2707</v>
      </c>
      <c r="H791" t="str">
        <f t="shared" si="399"/>
        <v>12/02/2025</v>
      </c>
      <c r="I791" t="str">
        <f t="shared" si="395"/>
        <v>11/02/2025</v>
      </c>
      <c r="J791" t="str">
        <f t="shared" si="400"/>
        <v>12/02/2025</v>
      </c>
      <c r="M791">
        <v>303</v>
      </c>
      <c r="N791" t="str">
        <f t="shared" si="401"/>
        <v>RECEITAS COM ENTREGAS</v>
      </c>
      <c r="P791">
        <v>192.01</v>
      </c>
      <c r="Q791" t="str">
        <f>"FRAN FARMA LJ 2 (10131)"</f>
        <v>FRAN FARMA LJ 2 (10131)</v>
      </c>
      <c r="R791" t="str">
        <f t="shared" si="402"/>
        <v>RECEITAS COM ENTREGAS (303)</v>
      </c>
      <c r="S791">
        <v>1025</v>
      </c>
      <c r="T791">
        <v>854</v>
      </c>
      <c r="U791" t="s">
        <v>19</v>
      </c>
    </row>
    <row r="792" spans="1:21">
      <c r="A792" t="str">
        <f t="shared" si="396"/>
        <v>12/02/2025</v>
      </c>
      <c r="B792" t="str">
        <f t="shared" si="403"/>
        <v>ENTRADA</v>
      </c>
      <c r="C792" t="str">
        <f t="shared" si="397"/>
        <v>NFSE</v>
      </c>
      <c r="D792" t="str">
        <f>"2707"</f>
        <v>2707</v>
      </c>
      <c r="E792" t="str">
        <f t="shared" si="398"/>
        <v>COM</v>
      </c>
      <c r="F792" t="str">
        <f>"FRAN FARMA (10124)"</f>
        <v>FRAN FARMA (10124)</v>
      </c>
      <c r="G792" t="str">
        <f>"Serv.Prest. 03/02/2025 a 09/02/2025 - RPS: 480 - NFSe: 2707"</f>
        <v>Serv.Prest. 03/02/2025 a 09/02/2025 - RPS: 480 - NFSe: 2707</v>
      </c>
      <c r="H792" t="str">
        <f t="shared" si="399"/>
        <v>12/02/2025</v>
      </c>
      <c r="I792" t="str">
        <f t="shared" si="395"/>
        <v>11/02/2025</v>
      </c>
      <c r="J792" t="str">
        <f t="shared" si="400"/>
        <v>12/02/2025</v>
      </c>
      <c r="M792">
        <v>303</v>
      </c>
      <c r="N792" t="str">
        <f t="shared" si="401"/>
        <v>RECEITAS COM ENTREGAS</v>
      </c>
      <c r="P792">
        <v>63.99</v>
      </c>
      <c r="Q792" t="str">
        <f>"FRAN FARMA LJ 3 (10132)"</f>
        <v>FRAN FARMA LJ 3 (10132)</v>
      </c>
      <c r="R792" t="str">
        <f t="shared" si="402"/>
        <v>RECEITAS COM ENTREGAS (303)</v>
      </c>
      <c r="S792">
        <v>1025</v>
      </c>
      <c r="T792">
        <v>854</v>
      </c>
      <c r="U792" t="s">
        <v>19</v>
      </c>
    </row>
    <row r="793" spans="1:21">
      <c r="A793" t="str">
        <f t="shared" si="396"/>
        <v>12/02/2025</v>
      </c>
      <c r="B793" t="str">
        <f t="shared" si="403"/>
        <v>ENTRADA</v>
      </c>
      <c r="C793" t="str">
        <f t="shared" si="397"/>
        <v>NFSE</v>
      </c>
      <c r="D793" t="str">
        <f>"2712"</f>
        <v>2712</v>
      </c>
      <c r="E793" t="str">
        <f t="shared" si="398"/>
        <v>COM</v>
      </c>
      <c r="F793" t="str">
        <f>"DROGA CINTIA 2 (10144)"</f>
        <v>DROGA CINTIA 2 (10144)</v>
      </c>
      <c r="G793" t="str">
        <f>"Serv.Prest. 03/02/2025 a 09/02/2025 - RPS: 485 - NFSe: 2712"</f>
        <v>Serv.Prest. 03/02/2025 a 09/02/2025 - RPS: 485 - NFSe: 2712</v>
      </c>
      <c r="H793" t="str">
        <f t="shared" si="399"/>
        <v>12/02/2025</v>
      </c>
      <c r="I793" t="str">
        <f t="shared" si="395"/>
        <v>11/02/2025</v>
      </c>
      <c r="J793" t="str">
        <f t="shared" si="400"/>
        <v>12/02/2025</v>
      </c>
      <c r="K793">
        <v>319.60000000000002</v>
      </c>
      <c r="L793">
        <v>319.60000000000002</v>
      </c>
      <c r="M793">
        <v>303</v>
      </c>
      <c r="N793" t="str">
        <f t="shared" si="401"/>
        <v>RECEITAS COM ENTREGAS</v>
      </c>
      <c r="O793">
        <v>319.60000000000002</v>
      </c>
      <c r="R793" t="str">
        <f t="shared" si="402"/>
        <v>RECEITAS COM ENTREGAS (303)</v>
      </c>
      <c r="S793">
        <v>1026</v>
      </c>
      <c r="T793">
        <v>859</v>
      </c>
      <c r="U793" t="s">
        <v>19</v>
      </c>
    </row>
    <row r="794" spans="1:21">
      <c r="A794" t="str">
        <f t="shared" si="396"/>
        <v>12/02/2025</v>
      </c>
      <c r="B794" t="str">
        <f t="shared" si="403"/>
        <v>ENTRADA</v>
      </c>
      <c r="C794" t="str">
        <f t="shared" si="397"/>
        <v>NFSE</v>
      </c>
      <c r="D794" t="str">
        <f>"2712"</f>
        <v>2712</v>
      </c>
      <c r="E794" t="str">
        <f t="shared" si="398"/>
        <v>COM</v>
      </c>
      <c r="F794" t="str">
        <f>"DROGA CINTIA 2 (10144)"</f>
        <v>DROGA CINTIA 2 (10144)</v>
      </c>
      <c r="G794" t="str">
        <f>"Serv.Prest. 03/02/2025 a 09/02/2025 - RPS: 485 - NFSe: 2712"</f>
        <v>Serv.Prest. 03/02/2025 a 09/02/2025 - RPS: 485 - NFSe: 2712</v>
      </c>
      <c r="H794" t="str">
        <f t="shared" si="399"/>
        <v>12/02/2025</v>
      </c>
      <c r="I794" t="str">
        <f t="shared" si="395"/>
        <v>11/02/2025</v>
      </c>
      <c r="J794" t="str">
        <f t="shared" si="400"/>
        <v>12/02/2025</v>
      </c>
      <c r="M794">
        <v>303</v>
      </c>
      <c r="N794" t="str">
        <f t="shared" si="401"/>
        <v>RECEITAS COM ENTREGAS</v>
      </c>
      <c r="P794">
        <v>319.60000000000002</v>
      </c>
      <c r="Q794" t="str">
        <f>"DROGA CINTIA 2 (10144)"</f>
        <v>DROGA CINTIA 2 (10144)</v>
      </c>
      <c r="R794" t="str">
        <f t="shared" si="402"/>
        <v>RECEITAS COM ENTREGAS (303)</v>
      </c>
      <c r="S794">
        <v>1026</v>
      </c>
      <c r="T794">
        <v>859</v>
      </c>
      <c r="U794" t="s">
        <v>19</v>
      </c>
    </row>
    <row r="795" spans="1:21">
      <c r="A795" t="str">
        <f t="shared" si="396"/>
        <v>12/02/2025</v>
      </c>
      <c r="B795" t="str">
        <f t="shared" ref="B795:B801" si="404">"SAÍDA"</f>
        <v>SAÍDA</v>
      </c>
      <c r="C795" t="str">
        <f>"JUROS"</f>
        <v>JUROS</v>
      </c>
      <c r="D795" t="str">
        <f>""</f>
        <v/>
      </c>
      <c r="E795" t="str">
        <f>"CXA"</f>
        <v>CXA</v>
      </c>
      <c r="F795" t="str">
        <f>""</f>
        <v/>
      </c>
      <c r="G795" t="str">
        <f>"TAXA BOLETO COMPENSADO"</f>
        <v>TAXA BOLETO COMPENSADO</v>
      </c>
      <c r="H795" t="str">
        <f t="shared" si="399"/>
        <v>12/02/2025</v>
      </c>
      <c r="I795" t="str">
        <f t="shared" ref="I795:I801" si="405">("12/02/2025")</f>
        <v>12/02/2025</v>
      </c>
      <c r="J795" t="str">
        <f t="shared" si="400"/>
        <v>12/02/2025</v>
      </c>
      <c r="K795">
        <v>1.7</v>
      </c>
      <c r="L795">
        <v>1.7</v>
      </c>
      <c r="M795">
        <v>401</v>
      </c>
      <c r="N795" t="str">
        <f>"IOF/JUROS/DESP.FINANCEIRA"</f>
        <v>IOF/JUROS/DESP.FINANCEIRA</v>
      </c>
      <c r="O795">
        <v>1.7</v>
      </c>
      <c r="R795" t="str">
        <f t="shared" ref="R795:R801" si="406">"BANCO CORA (102)"</f>
        <v>BANCO CORA (102)</v>
      </c>
      <c r="S795">
        <v>1036</v>
      </c>
      <c r="T795">
        <v>0</v>
      </c>
      <c r="U795" t="s">
        <v>20</v>
      </c>
    </row>
    <row r="796" spans="1:21">
      <c r="A796" t="str">
        <f t="shared" si="396"/>
        <v>12/02/2025</v>
      </c>
      <c r="B796" t="str">
        <f t="shared" si="404"/>
        <v>SAÍDA</v>
      </c>
      <c r="C796" t="str">
        <f>"JUROS"</f>
        <v>JUROS</v>
      </c>
      <c r="D796" t="str">
        <f>""</f>
        <v/>
      </c>
      <c r="E796" t="str">
        <f>"CXA"</f>
        <v>CXA</v>
      </c>
      <c r="F796" t="str">
        <f>""</f>
        <v/>
      </c>
      <c r="G796" t="str">
        <f>"TAXA BOLETO COMPENSADO"</f>
        <v>TAXA BOLETO COMPENSADO</v>
      </c>
      <c r="H796" t="str">
        <f t="shared" si="399"/>
        <v>12/02/2025</v>
      </c>
      <c r="I796" t="str">
        <f t="shared" si="405"/>
        <v>12/02/2025</v>
      </c>
      <c r="J796" t="str">
        <f t="shared" si="400"/>
        <v>12/02/2025</v>
      </c>
      <c r="K796">
        <v>1.7</v>
      </c>
      <c r="L796">
        <v>1.7</v>
      </c>
      <c r="M796">
        <v>401</v>
      </c>
      <c r="N796" t="str">
        <f>"IOF/JUROS/DESP.FINANCEIRA"</f>
        <v>IOF/JUROS/DESP.FINANCEIRA</v>
      </c>
      <c r="O796">
        <v>1.7</v>
      </c>
      <c r="R796" t="str">
        <f t="shared" si="406"/>
        <v>BANCO CORA (102)</v>
      </c>
      <c r="S796">
        <v>1037</v>
      </c>
      <c r="T796">
        <v>0</v>
      </c>
      <c r="U796" t="s">
        <v>20</v>
      </c>
    </row>
    <row r="797" spans="1:21">
      <c r="A797" t="str">
        <f t="shared" si="396"/>
        <v>12/02/2025</v>
      </c>
      <c r="B797" t="str">
        <f t="shared" si="404"/>
        <v>SAÍDA</v>
      </c>
      <c r="C797" t="str">
        <f>"JUROS"</f>
        <v>JUROS</v>
      </c>
      <c r="D797" t="str">
        <f>""</f>
        <v/>
      </c>
      <c r="E797" t="str">
        <f>"CXA"</f>
        <v>CXA</v>
      </c>
      <c r="F797" t="str">
        <f>""</f>
        <v/>
      </c>
      <c r="G797" t="str">
        <f>"TAXA BOLETO COMPENSADO"</f>
        <v>TAXA BOLETO COMPENSADO</v>
      </c>
      <c r="H797" t="str">
        <f t="shared" si="399"/>
        <v>12/02/2025</v>
      </c>
      <c r="I797" t="str">
        <f t="shared" si="405"/>
        <v>12/02/2025</v>
      </c>
      <c r="J797" t="str">
        <f t="shared" si="400"/>
        <v>12/02/2025</v>
      </c>
      <c r="K797">
        <v>1.7</v>
      </c>
      <c r="L797">
        <v>1.7</v>
      </c>
      <c r="M797">
        <v>401</v>
      </c>
      <c r="N797" t="str">
        <f>"IOF/JUROS/DESP.FINANCEIRA"</f>
        <v>IOF/JUROS/DESP.FINANCEIRA</v>
      </c>
      <c r="O797">
        <v>1.7</v>
      </c>
      <c r="R797" t="str">
        <f t="shared" si="406"/>
        <v>BANCO CORA (102)</v>
      </c>
      <c r="S797">
        <v>1038</v>
      </c>
      <c r="T797">
        <v>0</v>
      </c>
      <c r="U797" t="s">
        <v>20</v>
      </c>
    </row>
    <row r="798" spans="1:21">
      <c r="A798" t="str">
        <f t="shared" si="396"/>
        <v>12/02/2025</v>
      </c>
      <c r="B798" t="str">
        <f t="shared" si="404"/>
        <v>SAÍDA</v>
      </c>
      <c r="C798" t="str">
        <f>"JUROS"</f>
        <v>JUROS</v>
      </c>
      <c r="D798" t="str">
        <f>""</f>
        <v/>
      </c>
      <c r="E798" t="str">
        <f>"CXA"</f>
        <v>CXA</v>
      </c>
      <c r="F798" t="str">
        <f>""</f>
        <v/>
      </c>
      <c r="G798" t="str">
        <f>"TAXA BOLETO COMPENSADO"</f>
        <v>TAXA BOLETO COMPENSADO</v>
      </c>
      <c r="H798" t="str">
        <f t="shared" si="399"/>
        <v>12/02/2025</v>
      </c>
      <c r="I798" t="str">
        <f t="shared" si="405"/>
        <v>12/02/2025</v>
      </c>
      <c r="J798" t="str">
        <f t="shared" si="400"/>
        <v>12/02/2025</v>
      </c>
      <c r="K798">
        <v>1.7</v>
      </c>
      <c r="L798">
        <v>1.7</v>
      </c>
      <c r="M798">
        <v>401</v>
      </c>
      <c r="N798" t="str">
        <f>"IOF/JUROS/DESP.FINANCEIRA"</f>
        <v>IOF/JUROS/DESP.FINANCEIRA</v>
      </c>
      <c r="O798">
        <v>1.7</v>
      </c>
      <c r="R798" t="str">
        <f t="shared" si="406"/>
        <v>BANCO CORA (102)</v>
      </c>
      <c r="S798">
        <v>1039</v>
      </c>
      <c r="T798">
        <v>0</v>
      </c>
      <c r="U798" t="s">
        <v>20</v>
      </c>
    </row>
    <row r="799" spans="1:21">
      <c r="A799" t="str">
        <f t="shared" si="396"/>
        <v>12/02/2025</v>
      </c>
      <c r="B799" t="str">
        <f t="shared" si="404"/>
        <v>SAÍDA</v>
      </c>
      <c r="C799" t="str">
        <f>"JUROS"</f>
        <v>JUROS</v>
      </c>
      <c r="D799" t="str">
        <f>""</f>
        <v/>
      </c>
      <c r="E799" t="str">
        <f>"CXA"</f>
        <v>CXA</v>
      </c>
      <c r="F799" t="str">
        <f>""</f>
        <v/>
      </c>
      <c r="G799" t="str">
        <f>"TAXA BOLETO COMPENSADO"</f>
        <v>TAXA BOLETO COMPENSADO</v>
      </c>
      <c r="H799" t="str">
        <f t="shared" si="399"/>
        <v>12/02/2025</v>
      </c>
      <c r="I799" t="str">
        <f t="shared" si="405"/>
        <v>12/02/2025</v>
      </c>
      <c r="J799" t="str">
        <f t="shared" si="400"/>
        <v>12/02/2025</v>
      </c>
      <c r="K799">
        <v>1.7</v>
      </c>
      <c r="L799">
        <v>1.7</v>
      </c>
      <c r="M799">
        <v>401</v>
      </c>
      <c r="N799" t="str">
        <f>"IOF/JUROS/DESP.FINANCEIRA"</f>
        <v>IOF/JUROS/DESP.FINANCEIRA</v>
      </c>
      <c r="O799">
        <v>1.7</v>
      </c>
      <c r="R799" t="str">
        <f t="shared" si="406"/>
        <v>BANCO CORA (102)</v>
      </c>
      <c r="S799">
        <v>1040</v>
      </c>
      <c r="T799">
        <v>0</v>
      </c>
      <c r="U799" t="s">
        <v>20</v>
      </c>
    </row>
    <row r="800" spans="1:21">
      <c r="A800" t="str">
        <f t="shared" si="396"/>
        <v>12/02/2025</v>
      </c>
      <c r="B800" t="str">
        <f t="shared" si="404"/>
        <v>SAÍDA</v>
      </c>
      <c r="C800" t="str">
        <f>"PIX"</f>
        <v>PIX</v>
      </c>
      <c r="D800" t="str">
        <f>"1202"</f>
        <v>1202</v>
      </c>
      <c r="E800" t="str">
        <f t="shared" ref="E800:E815" si="407">"COM"</f>
        <v>COM</v>
      </c>
      <c r="F800" t="str">
        <f>"LILIANE DE FATIMA REZENDE JUSTINO (20013)"</f>
        <v>LILIANE DE FATIMA REZENDE JUSTINO (20013)</v>
      </c>
      <c r="G800" t="str">
        <f>"DISTRIBUICAO DE LUCROS"</f>
        <v>DISTRIBUICAO DE LUCROS</v>
      </c>
      <c r="H800" t="str">
        <f t="shared" si="399"/>
        <v>12/02/2025</v>
      </c>
      <c r="I800" t="str">
        <f t="shared" si="405"/>
        <v>12/02/2025</v>
      </c>
      <c r="J800" t="str">
        <f t="shared" si="400"/>
        <v>12/02/2025</v>
      </c>
      <c r="K800">
        <v>7000</v>
      </c>
      <c r="L800">
        <v>7000</v>
      </c>
      <c r="M800">
        <v>125</v>
      </c>
      <c r="N800" t="str">
        <f>"DISTRIBUIÇÃO DE LUCRO"</f>
        <v>DISTRIBUIÇÃO DE LUCRO</v>
      </c>
      <c r="O800">
        <v>7000</v>
      </c>
      <c r="R800" t="str">
        <f t="shared" si="406"/>
        <v>BANCO CORA (102)</v>
      </c>
      <c r="S800">
        <v>1050</v>
      </c>
      <c r="T800">
        <v>913</v>
      </c>
      <c r="U800" t="s">
        <v>19</v>
      </c>
    </row>
    <row r="801" spans="1:21">
      <c r="A801" t="str">
        <f t="shared" si="396"/>
        <v>12/02/2025</v>
      </c>
      <c r="B801" t="str">
        <f t="shared" si="404"/>
        <v>SAÍDA</v>
      </c>
      <c r="C801" t="str">
        <f>"PIX"</f>
        <v>PIX</v>
      </c>
      <c r="D801" t="str">
        <f>"1202"</f>
        <v>1202</v>
      </c>
      <c r="E801" t="str">
        <f t="shared" si="407"/>
        <v>COM</v>
      </c>
      <c r="F801" t="str">
        <f>"LILIANE DE FATIMA REZENDE JUSTINO (20013)"</f>
        <v>LILIANE DE FATIMA REZENDE JUSTINO (20013)</v>
      </c>
      <c r="G801" t="str">
        <f>"DISTRIBUICAO DE LUCROS"</f>
        <v>DISTRIBUICAO DE LUCROS</v>
      </c>
      <c r="H801" t="str">
        <f t="shared" si="399"/>
        <v>12/02/2025</v>
      </c>
      <c r="I801" t="str">
        <f t="shared" si="405"/>
        <v>12/02/2025</v>
      </c>
      <c r="J801" t="str">
        <f t="shared" si="400"/>
        <v>12/02/2025</v>
      </c>
      <c r="M801">
        <v>125</v>
      </c>
      <c r="N801" t="str">
        <f>"DISTRIBUIÇÃO DE LUCRO"</f>
        <v>DISTRIBUIÇÃO DE LUCRO</v>
      </c>
      <c r="P801">
        <v>7000</v>
      </c>
      <c r="Q801" t="str">
        <f>"LILIANE DE FATIMA REZENDE JUSTINO (20013)"</f>
        <v>LILIANE DE FATIMA REZENDE JUSTINO (20013)</v>
      </c>
      <c r="R801" t="str">
        <f t="shared" si="406"/>
        <v>BANCO CORA (102)</v>
      </c>
      <c r="S801">
        <v>1050</v>
      </c>
      <c r="T801">
        <v>913</v>
      </c>
      <c r="U801" t="s">
        <v>19</v>
      </c>
    </row>
    <row r="802" spans="1:21">
      <c r="A802" t="str">
        <f t="shared" ref="A802:A826" si="408">("13/02/2025")</f>
        <v>13/02/2025</v>
      </c>
      <c r="B802" t="str">
        <f>"ENTRADA"</f>
        <v>ENTRADA</v>
      </c>
      <c r="C802" t="str">
        <f t="shared" ref="C802:C815" si="409">"NFSE"</f>
        <v>NFSE</v>
      </c>
      <c r="D802" t="str">
        <f>"2703"</f>
        <v>2703</v>
      </c>
      <c r="E802" t="str">
        <f t="shared" si="407"/>
        <v>COM</v>
      </c>
      <c r="F802" t="str">
        <f>"DROGA ELIDA (10121)"</f>
        <v>DROGA ELIDA (10121)</v>
      </c>
      <c r="G802" t="str">
        <f>"Serv.Prest. 03/02/2025 a 09/02/2025 - RPS: 476 - NFSe: 2703"</f>
        <v>Serv.Prest. 03/02/2025 a 09/02/2025 - RPS: 476 - NFSe: 2703</v>
      </c>
      <c r="H802" t="str">
        <f t="shared" si="399"/>
        <v>12/02/2025</v>
      </c>
      <c r="I802" t="str">
        <f t="shared" ref="I802:I815" si="410">("11/02/2025")</f>
        <v>11/02/2025</v>
      </c>
      <c r="J802" t="str">
        <f t="shared" ref="J802:J826" si="411">("13/02/2025")</f>
        <v>13/02/2025</v>
      </c>
      <c r="K802">
        <v>367.2</v>
      </c>
      <c r="L802">
        <v>367.2</v>
      </c>
      <c r="M802">
        <v>303</v>
      </c>
      <c r="N802" t="str">
        <f t="shared" ref="N802:N815" si="412">"RECEITAS COM ENTREGAS"</f>
        <v>RECEITAS COM ENTREGAS</v>
      </c>
      <c r="O802">
        <v>367.2</v>
      </c>
      <c r="R802" t="str">
        <f t="shared" ref="R802:R815" si="413">"RECEITAS COM ENTREGAS (303)"</f>
        <v>RECEITAS COM ENTREGAS (303)</v>
      </c>
      <c r="S802">
        <v>1027</v>
      </c>
      <c r="T802">
        <v>850</v>
      </c>
      <c r="U802" t="s">
        <v>19</v>
      </c>
    </row>
    <row r="803" spans="1:21">
      <c r="A803" t="str">
        <f t="shared" si="408"/>
        <v>13/02/2025</v>
      </c>
      <c r="B803" t="str">
        <f t="shared" ref="B803:B815" si="414">"ENTRADA"</f>
        <v>ENTRADA</v>
      </c>
      <c r="C803" t="str">
        <f t="shared" si="409"/>
        <v>NFSE</v>
      </c>
      <c r="D803" t="str">
        <f>"2703"</f>
        <v>2703</v>
      </c>
      <c r="E803" t="str">
        <f t="shared" si="407"/>
        <v>COM</v>
      </c>
      <c r="F803" t="str">
        <f>"DROGA ELIDA (10121)"</f>
        <v>DROGA ELIDA (10121)</v>
      </c>
      <c r="G803" t="str">
        <f>"Serv.Prest. 03/02/2025 a 09/02/2025 - RPS: 476 - NFSe: 2703"</f>
        <v>Serv.Prest. 03/02/2025 a 09/02/2025 - RPS: 476 - NFSe: 2703</v>
      </c>
      <c r="H803" t="str">
        <f t="shared" si="399"/>
        <v>12/02/2025</v>
      </c>
      <c r="I803" t="str">
        <f t="shared" si="410"/>
        <v>11/02/2025</v>
      </c>
      <c r="J803" t="str">
        <f t="shared" si="411"/>
        <v>13/02/2025</v>
      </c>
      <c r="M803">
        <v>303</v>
      </c>
      <c r="N803" t="str">
        <f t="shared" si="412"/>
        <v>RECEITAS COM ENTREGAS</v>
      </c>
      <c r="P803">
        <v>367.2</v>
      </c>
      <c r="Q803" t="str">
        <f>"DROGA ELIDA (10121)"</f>
        <v>DROGA ELIDA (10121)</v>
      </c>
      <c r="R803" t="str">
        <f t="shared" si="413"/>
        <v>RECEITAS COM ENTREGAS (303)</v>
      </c>
      <c r="S803">
        <v>1027</v>
      </c>
      <c r="T803">
        <v>850</v>
      </c>
      <c r="U803" t="s">
        <v>19</v>
      </c>
    </row>
    <row r="804" spans="1:21">
      <c r="A804" t="str">
        <f t="shared" si="408"/>
        <v>13/02/2025</v>
      </c>
      <c r="B804" t="str">
        <f t="shared" si="414"/>
        <v>ENTRADA</v>
      </c>
      <c r="C804" t="str">
        <f t="shared" si="409"/>
        <v>NFSE</v>
      </c>
      <c r="D804" t="str">
        <f>"2705"</f>
        <v>2705</v>
      </c>
      <c r="E804" t="str">
        <f t="shared" si="407"/>
        <v>COM</v>
      </c>
      <c r="F804" t="str">
        <f>"JAL FARMACIA E DROGARIA LJ 1 (10137)"</f>
        <v>JAL FARMACIA E DROGARIA LJ 1 (10137)</v>
      </c>
      <c r="G804" t="str">
        <f>"Serv.Prest. 03/02/2025 a 09/02/2025 - RPS: 478 - NFSe: 2705"</f>
        <v>Serv.Prest. 03/02/2025 a 09/02/2025 - RPS: 478 - NFSe: 2705</v>
      </c>
      <c r="H804" t="str">
        <f t="shared" si="399"/>
        <v>12/02/2025</v>
      </c>
      <c r="I804" t="str">
        <f t="shared" si="410"/>
        <v>11/02/2025</v>
      </c>
      <c r="J804" t="str">
        <f t="shared" si="411"/>
        <v>13/02/2025</v>
      </c>
      <c r="K804">
        <v>443.2</v>
      </c>
      <c r="L804">
        <v>443.2</v>
      </c>
      <c r="M804">
        <v>303</v>
      </c>
      <c r="N804" t="str">
        <f t="shared" si="412"/>
        <v>RECEITAS COM ENTREGAS</v>
      </c>
      <c r="O804">
        <v>443.2</v>
      </c>
      <c r="R804" t="str">
        <f t="shared" si="413"/>
        <v>RECEITAS COM ENTREGAS (303)</v>
      </c>
      <c r="S804">
        <v>1028</v>
      </c>
      <c r="T804">
        <v>852</v>
      </c>
      <c r="U804" t="s">
        <v>19</v>
      </c>
    </row>
    <row r="805" spans="1:21">
      <c r="A805" t="str">
        <f t="shared" si="408"/>
        <v>13/02/2025</v>
      </c>
      <c r="B805" t="str">
        <f t="shared" si="414"/>
        <v>ENTRADA</v>
      </c>
      <c r="C805" t="str">
        <f t="shared" si="409"/>
        <v>NFSE</v>
      </c>
      <c r="D805" t="str">
        <f>"2705"</f>
        <v>2705</v>
      </c>
      <c r="E805" t="str">
        <f t="shared" si="407"/>
        <v>COM</v>
      </c>
      <c r="F805" t="str">
        <f>"JAL FARMACIA E DROGARIA LJ 1 (10137)"</f>
        <v>JAL FARMACIA E DROGARIA LJ 1 (10137)</v>
      </c>
      <c r="G805" t="str">
        <f>"Serv.Prest. 03/02/2025 a 09/02/2025 - RPS: 478 - NFSe: 2705"</f>
        <v>Serv.Prest. 03/02/2025 a 09/02/2025 - RPS: 478 - NFSe: 2705</v>
      </c>
      <c r="H805" t="str">
        <f t="shared" si="399"/>
        <v>12/02/2025</v>
      </c>
      <c r="I805" t="str">
        <f t="shared" si="410"/>
        <v>11/02/2025</v>
      </c>
      <c r="J805" t="str">
        <f t="shared" si="411"/>
        <v>13/02/2025</v>
      </c>
      <c r="M805">
        <v>303</v>
      </c>
      <c r="N805" t="str">
        <f t="shared" si="412"/>
        <v>RECEITAS COM ENTREGAS</v>
      </c>
      <c r="P805">
        <v>443.2</v>
      </c>
      <c r="Q805" t="str">
        <f>"JAL FARMACIA E DROGARIA LJ 1 (10137)"</f>
        <v>JAL FARMACIA E DROGARIA LJ 1 (10137)</v>
      </c>
      <c r="R805" t="str">
        <f t="shared" si="413"/>
        <v>RECEITAS COM ENTREGAS (303)</v>
      </c>
      <c r="S805">
        <v>1028</v>
      </c>
      <c r="T805">
        <v>852</v>
      </c>
      <c r="U805" t="s">
        <v>19</v>
      </c>
    </row>
    <row r="806" spans="1:21">
      <c r="A806" t="str">
        <f t="shared" si="408"/>
        <v>13/02/2025</v>
      </c>
      <c r="B806" t="str">
        <f t="shared" si="414"/>
        <v>ENTRADA</v>
      </c>
      <c r="C806" t="str">
        <f t="shared" si="409"/>
        <v>NFSE</v>
      </c>
      <c r="D806" t="str">
        <f>"2713"</f>
        <v>2713</v>
      </c>
      <c r="E806" t="str">
        <f t="shared" si="407"/>
        <v>COM</v>
      </c>
      <c r="F806" t="str">
        <f>"DROGA MONICA (10147)"</f>
        <v>DROGA MONICA (10147)</v>
      </c>
      <c r="G806" t="str">
        <f>"Serv.Prest. 03/02/2025 a 09/02/2025 - RPS: 486 - NFSe: 2713"</f>
        <v>Serv.Prest. 03/02/2025 a 09/02/2025 - RPS: 486 - NFSe: 2713</v>
      </c>
      <c r="H806" t="str">
        <f t="shared" si="399"/>
        <v>12/02/2025</v>
      </c>
      <c r="I806" t="str">
        <f t="shared" si="410"/>
        <v>11/02/2025</v>
      </c>
      <c r="J806" t="str">
        <f t="shared" si="411"/>
        <v>13/02/2025</v>
      </c>
      <c r="K806">
        <v>130.80000000000001</v>
      </c>
      <c r="L806">
        <v>130.80000000000001</v>
      </c>
      <c r="M806">
        <v>303</v>
      </c>
      <c r="N806" t="str">
        <f t="shared" si="412"/>
        <v>RECEITAS COM ENTREGAS</v>
      </c>
      <c r="O806">
        <v>130.80000000000001</v>
      </c>
      <c r="R806" t="str">
        <f t="shared" si="413"/>
        <v>RECEITAS COM ENTREGAS (303)</v>
      </c>
      <c r="S806">
        <v>1029</v>
      </c>
      <c r="T806">
        <v>860</v>
      </c>
      <c r="U806" t="s">
        <v>19</v>
      </c>
    </row>
    <row r="807" spans="1:21">
      <c r="A807" t="str">
        <f t="shared" si="408"/>
        <v>13/02/2025</v>
      </c>
      <c r="B807" t="str">
        <f t="shared" si="414"/>
        <v>ENTRADA</v>
      </c>
      <c r="C807" t="str">
        <f t="shared" si="409"/>
        <v>NFSE</v>
      </c>
      <c r="D807" t="str">
        <f>"2713"</f>
        <v>2713</v>
      </c>
      <c r="E807" t="str">
        <f t="shared" si="407"/>
        <v>COM</v>
      </c>
      <c r="F807" t="str">
        <f>"DROGA MONICA (10147)"</f>
        <v>DROGA MONICA (10147)</v>
      </c>
      <c r="G807" t="str">
        <f>"Serv.Prest. 03/02/2025 a 09/02/2025 - RPS: 486 - NFSe: 2713"</f>
        <v>Serv.Prest. 03/02/2025 a 09/02/2025 - RPS: 486 - NFSe: 2713</v>
      </c>
      <c r="H807" t="str">
        <f t="shared" si="399"/>
        <v>12/02/2025</v>
      </c>
      <c r="I807" t="str">
        <f t="shared" si="410"/>
        <v>11/02/2025</v>
      </c>
      <c r="J807" t="str">
        <f t="shared" si="411"/>
        <v>13/02/2025</v>
      </c>
      <c r="M807">
        <v>303</v>
      </c>
      <c r="N807" t="str">
        <f t="shared" si="412"/>
        <v>RECEITAS COM ENTREGAS</v>
      </c>
      <c r="P807">
        <v>130.80000000000001</v>
      </c>
      <c r="Q807" t="str">
        <f>"DROGA MONICA (10147)"</f>
        <v>DROGA MONICA (10147)</v>
      </c>
      <c r="R807" t="str">
        <f t="shared" si="413"/>
        <v>RECEITAS COM ENTREGAS (303)</v>
      </c>
      <c r="S807">
        <v>1029</v>
      </c>
      <c r="T807">
        <v>860</v>
      </c>
      <c r="U807" t="s">
        <v>19</v>
      </c>
    </row>
    <row r="808" spans="1:21">
      <c r="A808" t="str">
        <f t="shared" si="408"/>
        <v>13/02/2025</v>
      </c>
      <c r="B808" t="str">
        <f t="shared" si="414"/>
        <v>ENTRADA</v>
      </c>
      <c r="C808" t="str">
        <f t="shared" si="409"/>
        <v>NFSE</v>
      </c>
      <c r="D808" t="str">
        <f>"2715"</f>
        <v>2715</v>
      </c>
      <c r="E808" t="str">
        <f t="shared" si="407"/>
        <v>COM</v>
      </c>
      <c r="F808" t="str">
        <f>"DROGA MONICA LJ 3 (10152)"</f>
        <v>DROGA MONICA LJ 3 (10152)</v>
      </c>
      <c r="G808" t="str">
        <f>"Serv.Prest. 03/02/2025 a 09/02/2025 - RPS: 488 - NFSe: 2715"</f>
        <v>Serv.Prest. 03/02/2025 a 09/02/2025 - RPS: 488 - NFSe: 2715</v>
      </c>
      <c r="H808" t="str">
        <f t="shared" si="399"/>
        <v>12/02/2025</v>
      </c>
      <c r="I808" t="str">
        <f t="shared" si="410"/>
        <v>11/02/2025</v>
      </c>
      <c r="J808" t="str">
        <f t="shared" si="411"/>
        <v>13/02/2025</v>
      </c>
      <c r="K808">
        <v>122.4</v>
      </c>
      <c r="L808">
        <v>122.4</v>
      </c>
      <c r="M808">
        <v>303</v>
      </c>
      <c r="N808" t="str">
        <f t="shared" si="412"/>
        <v>RECEITAS COM ENTREGAS</v>
      </c>
      <c r="O808">
        <v>122.4</v>
      </c>
      <c r="R808" t="str">
        <f t="shared" si="413"/>
        <v>RECEITAS COM ENTREGAS (303)</v>
      </c>
      <c r="S808">
        <v>1030</v>
      </c>
      <c r="T808">
        <v>862</v>
      </c>
      <c r="U808" t="s">
        <v>19</v>
      </c>
    </row>
    <row r="809" spans="1:21">
      <c r="A809" t="str">
        <f t="shared" si="408"/>
        <v>13/02/2025</v>
      </c>
      <c r="B809" t="str">
        <f t="shared" si="414"/>
        <v>ENTRADA</v>
      </c>
      <c r="C809" t="str">
        <f t="shared" si="409"/>
        <v>NFSE</v>
      </c>
      <c r="D809" t="str">
        <f>"2715"</f>
        <v>2715</v>
      </c>
      <c r="E809" t="str">
        <f t="shared" si="407"/>
        <v>COM</v>
      </c>
      <c r="F809" t="str">
        <f>"DROGA MONICA LJ 3 (10152)"</f>
        <v>DROGA MONICA LJ 3 (10152)</v>
      </c>
      <c r="G809" t="str">
        <f>"Serv.Prest. 03/02/2025 a 09/02/2025 - RPS: 488 - NFSe: 2715"</f>
        <v>Serv.Prest. 03/02/2025 a 09/02/2025 - RPS: 488 - NFSe: 2715</v>
      </c>
      <c r="H809" t="str">
        <f t="shared" si="399"/>
        <v>12/02/2025</v>
      </c>
      <c r="I809" t="str">
        <f t="shared" si="410"/>
        <v>11/02/2025</v>
      </c>
      <c r="J809" t="str">
        <f t="shared" si="411"/>
        <v>13/02/2025</v>
      </c>
      <c r="M809">
        <v>303</v>
      </c>
      <c r="N809" t="str">
        <f t="shared" si="412"/>
        <v>RECEITAS COM ENTREGAS</v>
      </c>
      <c r="P809">
        <v>122.4</v>
      </c>
      <c r="Q809" t="str">
        <f>"DROGA MONICA LJ 3 (10152)"</f>
        <v>DROGA MONICA LJ 3 (10152)</v>
      </c>
      <c r="R809" t="str">
        <f t="shared" si="413"/>
        <v>RECEITAS COM ENTREGAS (303)</v>
      </c>
      <c r="S809">
        <v>1030</v>
      </c>
      <c r="T809">
        <v>862</v>
      </c>
      <c r="U809" t="s">
        <v>19</v>
      </c>
    </row>
    <row r="810" spans="1:21">
      <c r="A810" t="str">
        <f t="shared" si="408"/>
        <v>13/02/2025</v>
      </c>
      <c r="B810" t="str">
        <f t="shared" si="414"/>
        <v>ENTRADA</v>
      </c>
      <c r="C810" t="str">
        <f t="shared" si="409"/>
        <v>NFSE</v>
      </c>
      <c r="D810" t="str">
        <f>"2716"</f>
        <v>2716</v>
      </c>
      <c r="E810" t="str">
        <f t="shared" si="407"/>
        <v>COM</v>
      </c>
      <c r="F810" t="str">
        <f>"DROGA MONICA LJ 8 (10153)"</f>
        <v>DROGA MONICA LJ 8 (10153)</v>
      </c>
      <c r="G810" t="str">
        <f>"Serv.Prest. 03/02/2025 a 09/02/2025 - RPS: 489 - NFSe: 2716"</f>
        <v>Serv.Prest. 03/02/2025 a 09/02/2025 - RPS: 489 - NFSe: 2716</v>
      </c>
      <c r="H810" t="str">
        <f t="shared" si="399"/>
        <v>12/02/2025</v>
      </c>
      <c r="I810" t="str">
        <f t="shared" si="410"/>
        <v>11/02/2025</v>
      </c>
      <c r="J810" t="str">
        <f t="shared" si="411"/>
        <v>13/02/2025</v>
      </c>
      <c r="K810">
        <v>122.4</v>
      </c>
      <c r="L810">
        <v>122.4</v>
      </c>
      <c r="M810">
        <v>303</v>
      </c>
      <c r="N810" t="str">
        <f t="shared" si="412"/>
        <v>RECEITAS COM ENTREGAS</v>
      </c>
      <c r="O810">
        <v>122.4</v>
      </c>
      <c r="R810" t="str">
        <f t="shared" si="413"/>
        <v>RECEITAS COM ENTREGAS (303)</v>
      </c>
      <c r="S810">
        <v>1031</v>
      </c>
      <c r="T810">
        <v>863</v>
      </c>
      <c r="U810" t="s">
        <v>19</v>
      </c>
    </row>
    <row r="811" spans="1:21">
      <c r="A811" t="str">
        <f t="shared" si="408"/>
        <v>13/02/2025</v>
      </c>
      <c r="B811" t="str">
        <f t="shared" si="414"/>
        <v>ENTRADA</v>
      </c>
      <c r="C811" t="str">
        <f t="shared" si="409"/>
        <v>NFSE</v>
      </c>
      <c r="D811" t="str">
        <f>"2716"</f>
        <v>2716</v>
      </c>
      <c r="E811" t="str">
        <f t="shared" si="407"/>
        <v>COM</v>
      </c>
      <c r="F811" t="str">
        <f>"DROGA MONICA LJ 8 (10153)"</f>
        <v>DROGA MONICA LJ 8 (10153)</v>
      </c>
      <c r="G811" t="str">
        <f>"Serv.Prest. 03/02/2025 a 09/02/2025 - RPS: 489 - NFSe: 2716"</f>
        <v>Serv.Prest. 03/02/2025 a 09/02/2025 - RPS: 489 - NFSe: 2716</v>
      </c>
      <c r="H811" t="str">
        <f t="shared" si="399"/>
        <v>12/02/2025</v>
      </c>
      <c r="I811" t="str">
        <f t="shared" si="410"/>
        <v>11/02/2025</v>
      </c>
      <c r="J811" t="str">
        <f t="shared" si="411"/>
        <v>13/02/2025</v>
      </c>
      <c r="M811">
        <v>303</v>
      </c>
      <c r="N811" t="str">
        <f t="shared" si="412"/>
        <v>RECEITAS COM ENTREGAS</v>
      </c>
      <c r="P811">
        <v>122.4</v>
      </c>
      <c r="Q811" t="str">
        <f>"DROGA MONICA LJ 8 (10153)"</f>
        <v>DROGA MONICA LJ 8 (10153)</v>
      </c>
      <c r="R811" t="str">
        <f t="shared" si="413"/>
        <v>RECEITAS COM ENTREGAS (303)</v>
      </c>
      <c r="S811">
        <v>1031</v>
      </c>
      <c r="T811">
        <v>863</v>
      </c>
      <c r="U811" t="s">
        <v>19</v>
      </c>
    </row>
    <row r="812" spans="1:21">
      <c r="A812" t="str">
        <f t="shared" si="408"/>
        <v>13/02/2025</v>
      </c>
      <c r="B812" t="str">
        <f t="shared" si="414"/>
        <v>ENTRADA</v>
      </c>
      <c r="C812" t="str">
        <f t="shared" si="409"/>
        <v>NFSE</v>
      </c>
      <c r="D812" t="str">
        <f>"2708"</f>
        <v>2708</v>
      </c>
      <c r="E812" t="str">
        <f t="shared" si="407"/>
        <v>COM</v>
      </c>
      <c r="F812" t="str">
        <f>"DROGARIA POUPA MINAS (ULTRAMINAS) 3 (10129)"</f>
        <v>DROGARIA POUPA MINAS (ULTRAMINAS) 3 (10129)</v>
      </c>
      <c r="G812" t="str">
        <f>"Serv.Prest. 03/02/2025 a 09/02/2025 - RPS: 481 - NFSe: 2708"</f>
        <v>Serv.Prest. 03/02/2025 a 09/02/2025 - RPS: 481 - NFSe: 2708</v>
      </c>
      <c r="H812" t="str">
        <f t="shared" ref="H812:H830" si="415">("13/02/2025")</f>
        <v>13/02/2025</v>
      </c>
      <c r="I812" t="str">
        <f t="shared" si="410"/>
        <v>11/02/2025</v>
      </c>
      <c r="J812" t="str">
        <f t="shared" si="411"/>
        <v>13/02/2025</v>
      </c>
      <c r="K812">
        <v>274.56</v>
      </c>
      <c r="L812">
        <v>274.56</v>
      </c>
      <c r="M812">
        <v>303</v>
      </c>
      <c r="N812" t="str">
        <f t="shared" si="412"/>
        <v>RECEITAS COM ENTREGAS</v>
      </c>
      <c r="O812">
        <v>274.56</v>
      </c>
      <c r="R812" t="str">
        <f t="shared" si="413"/>
        <v>RECEITAS COM ENTREGAS (303)</v>
      </c>
      <c r="S812">
        <v>1032</v>
      </c>
      <c r="T812">
        <v>855</v>
      </c>
      <c r="U812" t="s">
        <v>19</v>
      </c>
    </row>
    <row r="813" spans="1:21">
      <c r="A813" t="str">
        <f t="shared" si="408"/>
        <v>13/02/2025</v>
      </c>
      <c r="B813" t="str">
        <f t="shared" si="414"/>
        <v>ENTRADA</v>
      </c>
      <c r="C813" t="str">
        <f t="shared" si="409"/>
        <v>NFSE</v>
      </c>
      <c r="D813" t="str">
        <f>"2708"</f>
        <v>2708</v>
      </c>
      <c r="E813" t="str">
        <f t="shared" si="407"/>
        <v>COM</v>
      </c>
      <c r="F813" t="str">
        <f>"DROGARIA POUPA MINAS (ULTRAMINAS) 3 (10129)"</f>
        <v>DROGARIA POUPA MINAS (ULTRAMINAS) 3 (10129)</v>
      </c>
      <c r="G813" t="str">
        <f>"Serv.Prest. 03/02/2025 a 09/02/2025 - RPS: 481 - NFSe: 2708"</f>
        <v>Serv.Prest. 03/02/2025 a 09/02/2025 - RPS: 481 - NFSe: 2708</v>
      </c>
      <c r="H813" t="str">
        <f t="shared" si="415"/>
        <v>13/02/2025</v>
      </c>
      <c r="I813" t="str">
        <f t="shared" si="410"/>
        <v>11/02/2025</v>
      </c>
      <c r="J813" t="str">
        <f t="shared" si="411"/>
        <v>13/02/2025</v>
      </c>
      <c r="M813">
        <v>303</v>
      </c>
      <c r="N813" t="str">
        <f t="shared" si="412"/>
        <v>RECEITAS COM ENTREGAS</v>
      </c>
      <c r="P813">
        <v>274.56</v>
      </c>
      <c r="Q813" t="str">
        <f>"DROGARIA POUPA MINAS (ULTRAMINAS) 3 (10129)"</f>
        <v>DROGARIA POUPA MINAS (ULTRAMINAS) 3 (10129)</v>
      </c>
      <c r="R813" t="str">
        <f t="shared" si="413"/>
        <v>RECEITAS COM ENTREGAS (303)</v>
      </c>
      <c r="S813">
        <v>1032</v>
      </c>
      <c r="T813">
        <v>855</v>
      </c>
      <c r="U813" t="s">
        <v>19</v>
      </c>
    </row>
    <row r="814" spans="1:21">
      <c r="A814" t="str">
        <f t="shared" si="408"/>
        <v>13/02/2025</v>
      </c>
      <c r="B814" t="str">
        <f t="shared" si="414"/>
        <v>ENTRADA</v>
      </c>
      <c r="C814" t="str">
        <f t="shared" si="409"/>
        <v>NFSE</v>
      </c>
      <c r="D814" t="str">
        <f>"2709"</f>
        <v>2709</v>
      </c>
      <c r="E814" t="str">
        <f t="shared" si="407"/>
        <v>COM</v>
      </c>
      <c r="F814" t="str">
        <f>"DROGARIA POUPA MINAS (DOIS AMIGOS) 5 (10140)"</f>
        <v>DROGARIA POUPA MINAS (DOIS AMIGOS) 5 (10140)</v>
      </c>
      <c r="G814" t="str">
        <f>"Serv.Prest. 03/02/2025 a 09/02/2025 - RPS: 482 - NFSe: 2709"</f>
        <v>Serv.Prest. 03/02/2025 a 09/02/2025 - RPS: 482 - NFSe: 2709</v>
      </c>
      <c r="H814" t="str">
        <f t="shared" si="415"/>
        <v>13/02/2025</v>
      </c>
      <c r="I814" t="str">
        <f t="shared" si="410"/>
        <v>11/02/2025</v>
      </c>
      <c r="J814" t="str">
        <f t="shared" si="411"/>
        <v>13/02/2025</v>
      </c>
      <c r="K814">
        <v>797.87</v>
      </c>
      <c r="L814">
        <v>797.87</v>
      </c>
      <c r="M814">
        <v>303</v>
      </c>
      <c r="N814" t="str">
        <f t="shared" si="412"/>
        <v>RECEITAS COM ENTREGAS</v>
      </c>
      <c r="O814">
        <v>797.87</v>
      </c>
      <c r="R814" t="str">
        <f t="shared" si="413"/>
        <v>RECEITAS COM ENTREGAS (303)</v>
      </c>
      <c r="S814">
        <v>1033</v>
      </c>
      <c r="T814">
        <v>856</v>
      </c>
      <c r="U814" t="s">
        <v>19</v>
      </c>
    </row>
    <row r="815" spans="1:21">
      <c r="A815" t="str">
        <f t="shared" si="408"/>
        <v>13/02/2025</v>
      </c>
      <c r="B815" t="str">
        <f t="shared" si="414"/>
        <v>ENTRADA</v>
      </c>
      <c r="C815" t="str">
        <f t="shared" si="409"/>
        <v>NFSE</v>
      </c>
      <c r="D815" t="str">
        <f>"2709"</f>
        <v>2709</v>
      </c>
      <c r="E815" t="str">
        <f t="shared" si="407"/>
        <v>COM</v>
      </c>
      <c r="F815" t="str">
        <f>"DROGARIA POUPA MINAS (DOIS AMIGOS) 5 (10140)"</f>
        <v>DROGARIA POUPA MINAS (DOIS AMIGOS) 5 (10140)</v>
      </c>
      <c r="G815" t="str">
        <f>"Serv.Prest. 03/02/2025 a 09/02/2025 - RPS: 482 - NFSe: 2709"</f>
        <v>Serv.Prest. 03/02/2025 a 09/02/2025 - RPS: 482 - NFSe: 2709</v>
      </c>
      <c r="H815" t="str">
        <f t="shared" si="415"/>
        <v>13/02/2025</v>
      </c>
      <c r="I815" t="str">
        <f t="shared" si="410"/>
        <v>11/02/2025</v>
      </c>
      <c r="J815" t="str">
        <f t="shared" si="411"/>
        <v>13/02/2025</v>
      </c>
      <c r="M815">
        <v>303</v>
      </c>
      <c r="N815" t="str">
        <f t="shared" si="412"/>
        <v>RECEITAS COM ENTREGAS</v>
      </c>
      <c r="P815">
        <v>797.87</v>
      </c>
      <c r="Q815" t="str">
        <f>"DROGARIA POUPA MINAS (ULTRAMINAS) (10116)"</f>
        <v>DROGARIA POUPA MINAS (ULTRAMINAS) (10116)</v>
      </c>
      <c r="R815" t="str">
        <f t="shared" si="413"/>
        <v>RECEITAS COM ENTREGAS (303)</v>
      </c>
      <c r="S815">
        <v>1033</v>
      </c>
      <c r="T815">
        <v>856</v>
      </c>
      <c r="U815" t="s">
        <v>19</v>
      </c>
    </row>
    <row r="816" spans="1:21">
      <c r="A816" t="str">
        <f t="shared" si="408"/>
        <v>13/02/2025</v>
      </c>
      <c r="B816" t="str">
        <f t="shared" ref="B816:B826" si="416">"SAÍDA"</f>
        <v>SAÍDA</v>
      </c>
      <c r="C816" t="str">
        <f t="shared" ref="C816:C822" si="417">"JUROS"</f>
        <v>JUROS</v>
      </c>
      <c r="D816" t="str">
        <f>""</f>
        <v/>
      </c>
      <c r="E816" t="str">
        <f t="shared" ref="E816:E822" si="418">"CXA"</f>
        <v>CXA</v>
      </c>
      <c r="F816" t="str">
        <f>""</f>
        <v/>
      </c>
      <c r="G816" t="str">
        <f t="shared" ref="G816:G822" si="419">"TAXA BOLETO COMPENSADO"</f>
        <v>TAXA BOLETO COMPENSADO</v>
      </c>
      <c r="H816" t="str">
        <f t="shared" si="415"/>
        <v>13/02/2025</v>
      </c>
      <c r="I816" t="str">
        <f t="shared" ref="I816:I826" si="420">("13/02/2025")</f>
        <v>13/02/2025</v>
      </c>
      <c r="J816" t="str">
        <f t="shared" si="411"/>
        <v>13/02/2025</v>
      </c>
      <c r="K816">
        <v>1.7</v>
      </c>
      <c r="L816">
        <v>1.7</v>
      </c>
      <c r="M816">
        <v>401</v>
      </c>
      <c r="N816" t="str">
        <f t="shared" ref="N816:N822" si="421">"IOF/JUROS/DESP.FINANCEIRA"</f>
        <v>IOF/JUROS/DESP.FINANCEIRA</v>
      </c>
      <c r="O816">
        <v>1.7</v>
      </c>
      <c r="R816" t="str">
        <f t="shared" ref="R816:R826" si="422">"BANCO CORA (102)"</f>
        <v>BANCO CORA (102)</v>
      </c>
      <c r="S816">
        <v>1041</v>
      </c>
      <c r="T816">
        <v>0</v>
      </c>
      <c r="U816" t="s">
        <v>20</v>
      </c>
    </row>
    <row r="817" spans="1:21">
      <c r="A817" t="str">
        <f t="shared" si="408"/>
        <v>13/02/2025</v>
      </c>
      <c r="B817" t="str">
        <f t="shared" si="416"/>
        <v>SAÍDA</v>
      </c>
      <c r="C817" t="str">
        <f t="shared" si="417"/>
        <v>JUROS</v>
      </c>
      <c r="D817" t="str">
        <f>""</f>
        <v/>
      </c>
      <c r="E817" t="str">
        <f t="shared" si="418"/>
        <v>CXA</v>
      </c>
      <c r="F817" t="str">
        <f>""</f>
        <v/>
      </c>
      <c r="G817" t="str">
        <f t="shared" si="419"/>
        <v>TAXA BOLETO COMPENSADO</v>
      </c>
      <c r="H817" t="str">
        <f t="shared" si="415"/>
        <v>13/02/2025</v>
      </c>
      <c r="I817" t="str">
        <f t="shared" si="420"/>
        <v>13/02/2025</v>
      </c>
      <c r="J817" t="str">
        <f t="shared" si="411"/>
        <v>13/02/2025</v>
      </c>
      <c r="K817">
        <v>1.7</v>
      </c>
      <c r="L817">
        <v>1.7</v>
      </c>
      <c r="M817">
        <v>401</v>
      </c>
      <c r="N817" t="str">
        <f t="shared" si="421"/>
        <v>IOF/JUROS/DESP.FINANCEIRA</v>
      </c>
      <c r="O817">
        <v>1.7</v>
      </c>
      <c r="R817" t="str">
        <f t="shared" si="422"/>
        <v>BANCO CORA (102)</v>
      </c>
      <c r="S817">
        <v>1042</v>
      </c>
      <c r="T817">
        <v>0</v>
      </c>
      <c r="U817" t="s">
        <v>20</v>
      </c>
    </row>
    <row r="818" spans="1:21">
      <c r="A818" t="str">
        <f t="shared" si="408"/>
        <v>13/02/2025</v>
      </c>
      <c r="B818" t="str">
        <f t="shared" si="416"/>
        <v>SAÍDA</v>
      </c>
      <c r="C818" t="str">
        <f t="shared" si="417"/>
        <v>JUROS</v>
      </c>
      <c r="D818" t="str">
        <f>""</f>
        <v/>
      </c>
      <c r="E818" t="str">
        <f t="shared" si="418"/>
        <v>CXA</v>
      </c>
      <c r="F818" t="str">
        <f>""</f>
        <v/>
      </c>
      <c r="G818" t="str">
        <f t="shared" si="419"/>
        <v>TAXA BOLETO COMPENSADO</v>
      </c>
      <c r="H818" t="str">
        <f t="shared" si="415"/>
        <v>13/02/2025</v>
      </c>
      <c r="I818" t="str">
        <f t="shared" si="420"/>
        <v>13/02/2025</v>
      </c>
      <c r="J818" t="str">
        <f t="shared" si="411"/>
        <v>13/02/2025</v>
      </c>
      <c r="K818">
        <v>1.7</v>
      </c>
      <c r="L818">
        <v>1.7</v>
      </c>
      <c r="M818">
        <v>401</v>
      </c>
      <c r="N818" t="str">
        <f t="shared" si="421"/>
        <v>IOF/JUROS/DESP.FINANCEIRA</v>
      </c>
      <c r="O818">
        <v>1.7</v>
      </c>
      <c r="R818" t="str">
        <f t="shared" si="422"/>
        <v>BANCO CORA (102)</v>
      </c>
      <c r="S818">
        <v>1043</v>
      </c>
      <c r="T818">
        <v>0</v>
      </c>
      <c r="U818" t="s">
        <v>20</v>
      </c>
    </row>
    <row r="819" spans="1:21">
      <c r="A819" t="str">
        <f t="shared" si="408"/>
        <v>13/02/2025</v>
      </c>
      <c r="B819" t="str">
        <f t="shared" si="416"/>
        <v>SAÍDA</v>
      </c>
      <c r="C819" t="str">
        <f t="shared" si="417"/>
        <v>JUROS</v>
      </c>
      <c r="D819" t="str">
        <f>""</f>
        <v/>
      </c>
      <c r="E819" t="str">
        <f t="shared" si="418"/>
        <v>CXA</v>
      </c>
      <c r="F819" t="str">
        <f>""</f>
        <v/>
      </c>
      <c r="G819" t="str">
        <f t="shared" si="419"/>
        <v>TAXA BOLETO COMPENSADO</v>
      </c>
      <c r="H819" t="str">
        <f t="shared" si="415"/>
        <v>13/02/2025</v>
      </c>
      <c r="I819" t="str">
        <f t="shared" si="420"/>
        <v>13/02/2025</v>
      </c>
      <c r="J819" t="str">
        <f t="shared" si="411"/>
        <v>13/02/2025</v>
      </c>
      <c r="K819">
        <v>1.7</v>
      </c>
      <c r="L819">
        <v>1.7</v>
      </c>
      <c r="M819">
        <v>401</v>
      </c>
      <c r="N819" t="str">
        <f t="shared" si="421"/>
        <v>IOF/JUROS/DESP.FINANCEIRA</v>
      </c>
      <c r="O819">
        <v>1.7</v>
      </c>
      <c r="R819" t="str">
        <f t="shared" si="422"/>
        <v>BANCO CORA (102)</v>
      </c>
      <c r="S819">
        <v>1044</v>
      </c>
      <c r="T819">
        <v>0</v>
      </c>
      <c r="U819" t="s">
        <v>20</v>
      </c>
    </row>
    <row r="820" spans="1:21">
      <c r="A820" t="str">
        <f t="shared" si="408"/>
        <v>13/02/2025</v>
      </c>
      <c r="B820" t="str">
        <f t="shared" si="416"/>
        <v>SAÍDA</v>
      </c>
      <c r="C820" t="str">
        <f t="shared" si="417"/>
        <v>JUROS</v>
      </c>
      <c r="D820" t="str">
        <f>""</f>
        <v/>
      </c>
      <c r="E820" t="str">
        <f t="shared" si="418"/>
        <v>CXA</v>
      </c>
      <c r="F820" t="str">
        <f>""</f>
        <v/>
      </c>
      <c r="G820" t="str">
        <f t="shared" si="419"/>
        <v>TAXA BOLETO COMPENSADO</v>
      </c>
      <c r="H820" t="str">
        <f t="shared" si="415"/>
        <v>13/02/2025</v>
      </c>
      <c r="I820" t="str">
        <f t="shared" si="420"/>
        <v>13/02/2025</v>
      </c>
      <c r="J820" t="str">
        <f t="shared" si="411"/>
        <v>13/02/2025</v>
      </c>
      <c r="K820">
        <v>1.7</v>
      </c>
      <c r="L820">
        <v>1.7</v>
      </c>
      <c r="M820">
        <v>401</v>
      </c>
      <c r="N820" t="str">
        <f t="shared" si="421"/>
        <v>IOF/JUROS/DESP.FINANCEIRA</v>
      </c>
      <c r="O820">
        <v>1.7</v>
      </c>
      <c r="R820" t="str">
        <f t="shared" si="422"/>
        <v>BANCO CORA (102)</v>
      </c>
      <c r="S820">
        <v>1045</v>
      </c>
      <c r="T820">
        <v>0</v>
      </c>
      <c r="U820" t="s">
        <v>20</v>
      </c>
    </row>
    <row r="821" spans="1:21">
      <c r="A821" t="str">
        <f t="shared" si="408"/>
        <v>13/02/2025</v>
      </c>
      <c r="B821" t="str">
        <f t="shared" si="416"/>
        <v>SAÍDA</v>
      </c>
      <c r="C821" t="str">
        <f t="shared" si="417"/>
        <v>JUROS</v>
      </c>
      <c r="D821" t="str">
        <f>""</f>
        <v/>
      </c>
      <c r="E821" t="str">
        <f t="shared" si="418"/>
        <v>CXA</v>
      </c>
      <c r="F821" t="str">
        <f>""</f>
        <v/>
      </c>
      <c r="G821" t="str">
        <f t="shared" si="419"/>
        <v>TAXA BOLETO COMPENSADO</v>
      </c>
      <c r="H821" t="str">
        <f t="shared" si="415"/>
        <v>13/02/2025</v>
      </c>
      <c r="I821" t="str">
        <f t="shared" si="420"/>
        <v>13/02/2025</v>
      </c>
      <c r="J821" t="str">
        <f t="shared" si="411"/>
        <v>13/02/2025</v>
      </c>
      <c r="K821">
        <v>1.7</v>
      </c>
      <c r="L821">
        <v>1.7</v>
      </c>
      <c r="M821">
        <v>401</v>
      </c>
      <c r="N821" t="str">
        <f t="shared" si="421"/>
        <v>IOF/JUROS/DESP.FINANCEIRA</v>
      </c>
      <c r="O821">
        <v>1.7</v>
      </c>
      <c r="R821" t="str">
        <f t="shared" si="422"/>
        <v>BANCO CORA (102)</v>
      </c>
      <c r="S821">
        <v>1046</v>
      </c>
      <c r="T821">
        <v>0</v>
      </c>
      <c r="U821" t="s">
        <v>20</v>
      </c>
    </row>
    <row r="822" spans="1:21">
      <c r="A822" t="str">
        <f t="shared" si="408"/>
        <v>13/02/2025</v>
      </c>
      <c r="B822" t="str">
        <f t="shared" si="416"/>
        <v>SAÍDA</v>
      </c>
      <c r="C822" t="str">
        <f t="shared" si="417"/>
        <v>JUROS</v>
      </c>
      <c r="D822" t="str">
        <f>""</f>
        <v/>
      </c>
      <c r="E822" t="str">
        <f t="shared" si="418"/>
        <v>CXA</v>
      </c>
      <c r="F822" t="str">
        <f>""</f>
        <v/>
      </c>
      <c r="G822" t="str">
        <f t="shared" si="419"/>
        <v>TAXA BOLETO COMPENSADO</v>
      </c>
      <c r="H822" t="str">
        <f t="shared" si="415"/>
        <v>13/02/2025</v>
      </c>
      <c r="I822" t="str">
        <f t="shared" si="420"/>
        <v>13/02/2025</v>
      </c>
      <c r="J822" t="str">
        <f t="shared" si="411"/>
        <v>13/02/2025</v>
      </c>
      <c r="K822">
        <v>1.7</v>
      </c>
      <c r="L822">
        <v>1.7</v>
      </c>
      <c r="M822">
        <v>401</v>
      </c>
      <c r="N822" t="str">
        <f t="shared" si="421"/>
        <v>IOF/JUROS/DESP.FINANCEIRA</v>
      </c>
      <c r="O822">
        <v>1.7</v>
      </c>
      <c r="R822" t="str">
        <f t="shared" si="422"/>
        <v>BANCO CORA (102)</v>
      </c>
      <c r="S822">
        <v>1047</v>
      </c>
      <c r="T822">
        <v>0</v>
      </c>
      <c r="U822" t="s">
        <v>20</v>
      </c>
    </row>
    <row r="823" spans="1:21">
      <c r="A823" t="str">
        <f t="shared" si="408"/>
        <v>13/02/2025</v>
      </c>
      <c r="B823" t="str">
        <f t="shared" si="416"/>
        <v>SAÍDA</v>
      </c>
      <c r="C823" t="str">
        <f>"PIX"</f>
        <v>PIX</v>
      </c>
      <c r="D823" t="str">
        <f>"1302"</f>
        <v>1302</v>
      </c>
      <c r="E823" t="str">
        <f t="shared" ref="E823:E830" si="423">"COM"</f>
        <v>COM</v>
      </c>
      <c r="F823" t="str">
        <f>"LILIANE DE FATIMA REZENDE JUSTINO (20013)"</f>
        <v>LILIANE DE FATIMA REZENDE JUSTINO (20013)</v>
      </c>
      <c r="G823" t="str">
        <f>"DISTRIBUICAO DE LUCROS"</f>
        <v>DISTRIBUICAO DE LUCROS</v>
      </c>
      <c r="H823" t="str">
        <f t="shared" si="415"/>
        <v>13/02/2025</v>
      </c>
      <c r="I823" t="str">
        <f t="shared" si="420"/>
        <v>13/02/2025</v>
      </c>
      <c r="J823" t="str">
        <f t="shared" si="411"/>
        <v>13/02/2025</v>
      </c>
      <c r="K823">
        <v>7000</v>
      </c>
      <c r="L823">
        <v>7000</v>
      </c>
      <c r="M823">
        <v>125</v>
      </c>
      <c r="N823" t="str">
        <f>"DISTRIBUIÇÃO DE LUCRO"</f>
        <v>DISTRIBUIÇÃO DE LUCRO</v>
      </c>
      <c r="O823">
        <v>7000</v>
      </c>
      <c r="R823" t="str">
        <f t="shared" si="422"/>
        <v>BANCO CORA (102)</v>
      </c>
      <c r="S823">
        <v>1051</v>
      </c>
      <c r="T823">
        <v>914</v>
      </c>
      <c r="U823" t="s">
        <v>19</v>
      </c>
    </row>
    <row r="824" spans="1:21">
      <c r="A824" t="str">
        <f t="shared" si="408"/>
        <v>13/02/2025</v>
      </c>
      <c r="B824" t="str">
        <f t="shared" si="416"/>
        <v>SAÍDA</v>
      </c>
      <c r="C824" t="str">
        <f>"PIX"</f>
        <v>PIX</v>
      </c>
      <c r="D824" t="str">
        <f>"1302"</f>
        <v>1302</v>
      </c>
      <c r="E824" t="str">
        <f t="shared" si="423"/>
        <v>COM</v>
      </c>
      <c r="F824" t="str">
        <f>"LILIANE DE FATIMA REZENDE JUSTINO (20013)"</f>
        <v>LILIANE DE FATIMA REZENDE JUSTINO (20013)</v>
      </c>
      <c r="G824" t="str">
        <f>"DISTRIBUICAO DE LUCROS"</f>
        <v>DISTRIBUICAO DE LUCROS</v>
      </c>
      <c r="H824" t="str">
        <f t="shared" si="415"/>
        <v>13/02/2025</v>
      </c>
      <c r="I824" t="str">
        <f t="shared" si="420"/>
        <v>13/02/2025</v>
      </c>
      <c r="J824" t="str">
        <f t="shared" si="411"/>
        <v>13/02/2025</v>
      </c>
      <c r="M824">
        <v>125</v>
      </c>
      <c r="N824" t="str">
        <f>"DISTRIBUIÇÃO DE LUCRO"</f>
        <v>DISTRIBUIÇÃO DE LUCRO</v>
      </c>
      <c r="P824">
        <v>7000</v>
      </c>
      <c r="Q824" t="str">
        <f>"LILIANE DE FATIMA REZENDE JUSTINO (20013)"</f>
        <v>LILIANE DE FATIMA REZENDE JUSTINO (20013)</v>
      </c>
      <c r="R824" t="str">
        <f t="shared" si="422"/>
        <v>BANCO CORA (102)</v>
      </c>
      <c r="S824">
        <v>1051</v>
      </c>
      <c r="T824">
        <v>914</v>
      </c>
      <c r="U824" t="s">
        <v>19</v>
      </c>
    </row>
    <row r="825" spans="1:21">
      <c r="A825" t="str">
        <f t="shared" si="408"/>
        <v>13/02/2025</v>
      </c>
      <c r="B825" t="str">
        <f t="shared" si="416"/>
        <v>SAÍDA</v>
      </c>
      <c r="C825" t="str">
        <f>"PIX"</f>
        <v>PIX</v>
      </c>
      <c r="D825" t="str">
        <f>"1302"</f>
        <v>1302</v>
      </c>
      <c r="E825" t="str">
        <f t="shared" si="423"/>
        <v>COM</v>
      </c>
      <c r="F825" t="str">
        <f>"MARCELO REZENDE ARANTES (20014)"</f>
        <v>MARCELO REZENDE ARANTES (20014)</v>
      </c>
      <c r="G825" t="str">
        <f>"DISTRIBUICAO DE LUCROS"</f>
        <v>DISTRIBUICAO DE LUCROS</v>
      </c>
      <c r="H825" t="str">
        <f t="shared" si="415"/>
        <v>13/02/2025</v>
      </c>
      <c r="I825" t="str">
        <f t="shared" si="420"/>
        <v>13/02/2025</v>
      </c>
      <c r="J825" t="str">
        <f t="shared" si="411"/>
        <v>13/02/2025</v>
      </c>
      <c r="K825">
        <v>3000</v>
      </c>
      <c r="L825">
        <v>3000</v>
      </c>
      <c r="M825">
        <v>125</v>
      </c>
      <c r="N825" t="str">
        <f>"DISTRIBUIÇÃO DE LUCRO"</f>
        <v>DISTRIBUIÇÃO DE LUCRO</v>
      </c>
      <c r="O825">
        <v>3000</v>
      </c>
      <c r="R825" t="str">
        <f t="shared" si="422"/>
        <v>BANCO CORA (102)</v>
      </c>
      <c r="S825">
        <v>1052</v>
      </c>
      <c r="T825">
        <v>915</v>
      </c>
      <c r="U825" t="s">
        <v>19</v>
      </c>
    </row>
    <row r="826" spans="1:21">
      <c r="A826" t="str">
        <f t="shared" si="408"/>
        <v>13/02/2025</v>
      </c>
      <c r="B826" t="str">
        <f t="shared" si="416"/>
        <v>SAÍDA</v>
      </c>
      <c r="C826" t="str">
        <f>"PIX"</f>
        <v>PIX</v>
      </c>
      <c r="D826" t="str">
        <f>"1302"</f>
        <v>1302</v>
      </c>
      <c r="E826" t="str">
        <f t="shared" si="423"/>
        <v>COM</v>
      </c>
      <c r="F826" t="str">
        <f>"MARCELO REZENDE ARANTES (20014)"</f>
        <v>MARCELO REZENDE ARANTES (20014)</v>
      </c>
      <c r="G826" t="str">
        <f>"DISTRIBUICAO DE LUCROS"</f>
        <v>DISTRIBUICAO DE LUCROS</v>
      </c>
      <c r="H826" t="str">
        <f t="shared" si="415"/>
        <v>13/02/2025</v>
      </c>
      <c r="I826" t="str">
        <f t="shared" si="420"/>
        <v>13/02/2025</v>
      </c>
      <c r="J826" t="str">
        <f t="shared" si="411"/>
        <v>13/02/2025</v>
      </c>
      <c r="M826">
        <v>125</v>
      </c>
      <c r="N826" t="str">
        <f>"DISTRIBUIÇÃO DE LUCRO"</f>
        <v>DISTRIBUIÇÃO DE LUCRO</v>
      </c>
      <c r="P826">
        <v>3000</v>
      </c>
      <c r="Q826" t="str">
        <f>"MARCELO REZENDE ARANTES (20014)"</f>
        <v>MARCELO REZENDE ARANTES (20014)</v>
      </c>
      <c r="R826" t="str">
        <f t="shared" si="422"/>
        <v>BANCO CORA (102)</v>
      </c>
      <c r="S826">
        <v>1052</v>
      </c>
      <c r="T826">
        <v>915</v>
      </c>
      <c r="U826" t="s">
        <v>19</v>
      </c>
    </row>
    <row r="827" spans="1:21">
      <c r="A827" t="str">
        <f t="shared" ref="A827:A840" si="424">("14/02/2025")</f>
        <v>14/02/2025</v>
      </c>
      <c r="B827" t="str">
        <f>"ENTRADA"</f>
        <v>ENTRADA</v>
      </c>
      <c r="C827" t="str">
        <f>"NFSE"</f>
        <v>NFSE</v>
      </c>
      <c r="D827" t="str">
        <f>"2720"</f>
        <v>2720</v>
      </c>
      <c r="E827" t="str">
        <f t="shared" si="423"/>
        <v>COM</v>
      </c>
      <c r="F827" t="str">
        <f>"DROGA MONICA LJ 17 (10154)"</f>
        <v>DROGA MONICA LJ 17 (10154)</v>
      </c>
      <c r="G827" t="str">
        <f>"Serv.Prest. 03/02/2025 a 09/02/2025 - RPS: 493 - NFSe: 2720"</f>
        <v>Serv.Prest. 03/02/2025 a 09/02/2025 - RPS: 493 - NFSe: 2720</v>
      </c>
      <c r="H827" t="str">
        <f t="shared" si="415"/>
        <v>13/02/2025</v>
      </c>
      <c r="I827" t="str">
        <f>("11/02/2025")</f>
        <v>11/02/2025</v>
      </c>
      <c r="J827" t="str">
        <f t="shared" ref="J827:J840" si="425">("14/02/2025")</f>
        <v>14/02/2025</v>
      </c>
      <c r="K827">
        <v>122.4</v>
      </c>
      <c r="L827">
        <v>122.4</v>
      </c>
      <c r="M827">
        <v>303</v>
      </c>
      <c r="N827" t="str">
        <f>"RECEITAS COM ENTREGAS"</f>
        <v>RECEITAS COM ENTREGAS</v>
      </c>
      <c r="O827">
        <v>122.4</v>
      </c>
      <c r="R827" t="str">
        <f>"RECEITAS COM ENTREGAS (303)"</f>
        <v>RECEITAS COM ENTREGAS (303)</v>
      </c>
      <c r="S827">
        <v>1034</v>
      </c>
      <c r="T827">
        <v>867</v>
      </c>
      <c r="U827" t="s">
        <v>19</v>
      </c>
    </row>
    <row r="828" spans="1:21">
      <c r="A828" t="str">
        <f t="shared" si="424"/>
        <v>14/02/2025</v>
      </c>
      <c r="B828" t="str">
        <f t="shared" ref="B828:B830" si="426">"ENTRADA"</f>
        <v>ENTRADA</v>
      </c>
      <c r="C828" t="str">
        <f>"NFSE"</f>
        <v>NFSE</v>
      </c>
      <c r="D828" t="str">
        <f>"2720"</f>
        <v>2720</v>
      </c>
      <c r="E828" t="str">
        <f t="shared" si="423"/>
        <v>COM</v>
      </c>
      <c r="F828" t="str">
        <f>"DROGA MONICA LJ 17 (10154)"</f>
        <v>DROGA MONICA LJ 17 (10154)</v>
      </c>
      <c r="G828" t="str">
        <f>"Serv.Prest. 03/02/2025 a 09/02/2025 - RPS: 493 - NFSe: 2720"</f>
        <v>Serv.Prest. 03/02/2025 a 09/02/2025 - RPS: 493 - NFSe: 2720</v>
      </c>
      <c r="H828" t="str">
        <f t="shared" si="415"/>
        <v>13/02/2025</v>
      </c>
      <c r="I828" t="str">
        <f>("11/02/2025")</f>
        <v>11/02/2025</v>
      </c>
      <c r="J828" t="str">
        <f t="shared" si="425"/>
        <v>14/02/2025</v>
      </c>
      <c r="M828">
        <v>303</v>
      </c>
      <c r="N828" t="str">
        <f>"RECEITAS COM ENTREGAS"</f>
        <v>RECEITAS COM ENTREGAS</v>
      </c>
      <c r="P828">
        <v>122.4</v>
      </c>
      <c r="Q828" t="str">
        <f>"DROGA MONICA LJ 17 (10154)"</f>
        <v>DROGA MONICA LJ 17 (10154)</v>
      </c>
      <c r="R828" t="str">
        <f>"RECEITAS COM ENTREGAS (303)"</f>
        <v>RECEITAS COM ENTREGAS (303)</v>
      </c>
      <c r="S828">
        <v>1034</v>
      </c>
      <c r="T828">
        <v>867</v>
      </c>
      <c r="U828" t="s">
        <v>19</v>
      </c>
    </row>
    <row r="829" spans="1:21">
      <c r="A829" t="str">
        <f t="shared" si="424"/>
        <v>14/02/2025</v>
      </c>
      <c r="B829" t="str">
        <f t="shared" si="426"/>
        <v>ENTRADA</v>
      </c>
      <c r="C829" t="str">
        <f>"NFSE"</f>
        <v>NFSE</v>
      </c>
      <c r="D829" t="str">
        <f>"2721"</f>
        <v>2721</v>
      </c>
      <c r="E829" t="str">
        <f t="shared" si="423"/>
        <v>COM</v>
      </c>
      <c r="F829" t="str">
        <f>"FARMACIA ECONOMIZE (10103)"</f>
        <v>FARMACIA ECONOMIZE (10103)</v>
      </c>
      <c r="G829" t="str">
        <f>"Serv.Prest. 03/02/2025 a 09/02/2025 - RPS: 494 - NFSe: 2721"</f>
        <v>Serv.Prest. 03/02/2025 a 09/02/2025 - RPS: 494 - NFSe: 2721</v>
      </c>
      <c r="H829" t="str">
        <f t="shared" si="415"/>
        <v>13/02/2025</v>
      </c>
      <c r="I829" t="str">
        <f>("12/02/2025")</f>
        <v>12/02/2025</v>
      </c>
      <c r="J829" t="str">
        <f t="shared" si="425"/>
        <v>14/02/2025</v>
      </c>
      <c r="K829">
        <v>122.74</v>
      </c>
      <c r="L829">
        <v>122.74</v>
      </c>
      <c r="M829">
        <v>303</v>
      </c>
      <c r="N829" t="str">
        <f>"RECEITAS COM ENTREGAS"</f>
        <v>RECEITAS COM ENTREGAS</v>
      </c>
      <c r="O829">
        <v>122.74</v>
      </c>
      <c r="R829" t="str">
        <f>"RECEITAS COM ENTREGAS (303)"</f>
        <v>RECEITAS COM ENTREGAS (303)</v>
      </c>
      <c r="S829">
        <v>1035</v>
      </c>
      <c r="T829">
        <v>868</v>
      </c>
      <c r="U829" t="s">
        <v>19</v>
      </c>
    </row>
    <row r="830" spans="1:21">
      <c r="A830" t="str">
        <f t="shared" si="424"/>
        <v>14/02/2025</v>
      </c>
      <c r="B830" t="str">
        <f t="shared" si="426"/>
        <v>ENTRADA</v>
      </c>
      <c r="C830" t="str">
        <f>"NFSE"</f>
        <v>NFSE</v>
      </c>
      <c r="D830" t="str">
        <f>"2721"</f>
        <v>2721</v>
      </c>
      <c r="E830" t="str">
        <f t="shared" si="423"/>
        <v>COM</v>
      </c>
      <c r="F830" t="str">
        <f>"FARMACIA ECONOMIZE (10103)"</f>
        <v>FARMACIA ECONOMIZE (10103)</v>
      </c>
      <c r="G830" t="str">
        <f>"Serv.Prest. 03/02/2025 a 09/02/2025 - RPS: 494 - NFSe: 2721"</f>
        <v>Serv.Prest. 03/02/2025 a 09/02/2025 - RPS: 494 - NFSe: 2721</v>
      </c>
      <c r="H830" t="str">
        <f t="shared" si="415"/>
        <v>13/02/2025</v>
      </c>
      <c r="I830" t="str">
        <f>("12/02/2025")</f>
        <v>12/02/2025</v>
      </c>
      <c r="J830" t="str">
        <f t="shared" si="425"/>
        <v>14/02/2025</v>
      </c>
      <c r="M830">
        <v>303</v>
      </c>
      <c r="N830" t="str">
        <f>"RECEITAS COM ENTREGAS"</f>
        <v>RECEITAS COM ENTREGAS</v>
      </c>
      <c r="P830">
        <v>122.74</v>
      </c>
      <c r="Q830" t="str">
        <f>"FARMACIA ECONOMIZE (10103)"</f>
        <v>FARMACIA ECONOMIZE (10103)</v>
      </c>
      <c r="R830" t="str">
        <f>"RECEITAS COM ENTREGAS (303)"</f>
        <v>RECEITAS COM ENTREGAS (303)</v>
      </c>
      <c r="S830">
        <v>1035</v>
      </c>
      <c r="T830">
        <v>868</v>
      </c>
      <c r="U830" t="s">
        <v>19</v>
      </c>
    </row>
    <row r="831" spans="1:21">
      <c r="A831" t="str">
        <f t="shared" si="424"/>
        <v>14/02/2025</v>
      </c>
      <c r="B831" t="str">
        <f>"SAÍDA"</f>
        <v>SAÍDA</v>
      </c>
      <c r="C831" t="str">
        <f>"JUROS"</f>
        <v>JUROS</v>
      </c>
      <c r="D831" t="str">
        <f>""</f>
        <v/>
      </c>
      <c r="E831" t="str">
        <f>"CXA"</f>
        <v>CXA</v>
      </c>
      <c r="F831" t="str">
        <f>""</f>
        <v/>
      </c>
      <c r="G831" t="str">
        <f>"TAXA BOLETO COMPENSADO"</f>
        <v>TAXA BOLETO COMPENSADO</v>
      </c>
      <c r="H831" t="str">
        <f>("14/02/2025")</f>
        <v>14/02/2025</v>
      </c>
      <c r="I831" t="str">
        <f>("14/02/2025")</f>
        <v>14/02/2025</v>
      </c>
      <c r="J831" t="str">
        <f t="shared" si="425"/>
        <v>14/02/2025</v>
      </c>
      <c r="K831">
        <v>1.7</v>
      </c>
      <c r="L831">
        <v>1.7</v>
      </c>
      <c r="M831">
        <v>401</v>
      </c>
      <c r="N831" t="str">
        <f>"IOF/JUROS/DESP.FINANCEIRA"</f>
        <v>IOF/JUROS/DESP.FINANCEIRA</v>
      </c>
      <c r="O831">
        <v>1.7</v>
      </c>
      <c r="R831" t="str">
        <f>"BANCO CORA (102)"</f>
        <v>BANCO CORA (102)</v>
      </c>
      <c r="S831">
        <v>1048</v>
      </c>
      <c r="T831">
        <v>0</v>
      </c>
      <c r="U831" t="s">
        <v>20</v>
      </c>
    </row>
    <row r="832" spans="1:21">
      <c r="A832" t="str">
        <f t="shared" si="424"/>
        <v>14/02/2025</v>
      </c>
      <c r="B832" t="str">
        <f>"SAÍDA"</f>
        <v>SAÍDA</v>
      </c>
      <c r="C832" t="str">
        <f>"JUROS"</f>
        <v>JUROS</v>
      </c>
      <c r="D832" t="str">
        <f>""</f>
        <v/>
      </c>
      <c r="E832" t="str">
        <f>"CXA"</f>
        <v>CXA</v>
      </c>
      <c r="F832" t="str">
        <f>""</f>
        <v/>
      </c>
      <c r="G832" t="str">
        <f>"TAXA BOLETO COMPENSADO"</f>
        <v>TAXA BOLETO COMPENSADO</v>
      </c>
      <c r="H832" t="str">
        <f>("14/02/2025")</f>
        <v>14/02/2025</v>
      </c>
      <c r="I832" t="str">
        <f>("14/02/2025")</f>
        <v>14/02/2025</v>
      </c>
      <c r="J832" t="str">
        <f t="shared" si="425"/>
        <v>14/02/2025</v>
      </c>
      <c r="K832">
        <v>1.7</v>
      </c>
      <c r="L832">
        <v>1.7</v>
      </c>
      <c r="M832">
        <v>401</v>
      </c>
      <c r="N832" t="str">
        <f>"IOF/JUROS/DESP.FINANCEIRA"</f>
        <v>IOF/JUROS/DESP.FINANCEIRA</v>
      </c>
      <c r="O832">
        <v>1.7</v>
      </c>
      <c r="R832" t="str">
        <f>"BANCO CORA (102)"</f>
        <v>BANCO CORA (102)</v>
      </c>
      <c r="S832">
        <v>1049</v>
      </c>
      <c r="T832">
        <v>0</v>
      </c>
      <c r="U832" t="s">
        <v>20</v>
      </c>
    </row>
    <row r="833" spans="1:21">
      <c r="A833" t="str">
        <f t="shared" si="424"/>
        <v>14/02/2025</v>
      </c>
      <c r="B833" t="str">
        <f>"ENTRADA"</f>
        <v>ENTRADA</v>
      </c>
      <c r="C833" t="str">
        <f t="shared" ref="C833:C840" si="427">"NFSE"</f>
        <v>NFSE</v>
      </c>
      <c r="D833" t="str">
        <f>"2650"</f>
        <v>2650</v>
      </c>
      <c r="E833" t="str">
        <f t="shared" ref="E833:E864" si="428">"COM"</f>
        <v>COM</v>
      </c>
      <c r="F833" t="str">
        <f>"PAGMENOS - LJ 608 (10135)"</f>
        <v>PAGMENOS - LJ 608 (10135)</v>
      </c>
      <c r="G833" t="str">
        <f>"Serv.Prest. 13/01/2025 a 19/01/2025 - RPS: 424 - NFSe: 2650"</f>
        <v>Serv.Prest. 13/01/2025 a 19/01/2025 - RPS: 424 - NFSe: 2650</v>
      </c>
      <c r="H833" t="str">
        <f>("30/01/2025")</f>
        <v>30/01/2025</v>
      </c>
      <c r="I833" t="str">
        <f>("20/01/2025")</f>
        <v>20/01/2025</v>
      </c>
      <c r="J833" t="str">
        <f t="shared" si="425"/>
        <v>14/02/2025</v>
      </c>
      <c r="K833">
        <v>280.20999999999998</v>
      </c>
      <c r="L833">
        <v>280.20999999999998</v>
      </c>
      <c r="M833">
        <v>303</v>
      </c>
      <c r="N833" t="str">
        <f t="shared" ref="N833:N840" si="429">"RECEITAS COM ENTREGAS"</f>
        <v>RECEITAS COM ENTREGAS</v>
      </c>
      <c r="O833">
        <v>280.20999999999998</v>
      </c>
      <c r="R833" t="str">
        <f t="shared" ref="R833:R840" si="430">"RECEITAS COM ENTREGAS (303)"</f>
        <v>RECEITAS COM ENTREGAS (303)</v>
      </c>
      <c r="S833">
        <v>1053</v>
      </c>
      <c r="T833">
        <v>770</v>
      </c>
      <c r="U833" t="s">
        <v>19</v>
      </c>
    </row>
    <row r="834" spans="1:21">
      <c r="A834" t="str">
        <f t="shared" si="424"/>
        <v>14/02/2025</v>
      </c>
      <c r="B834" t="str">
        <f t="shared" ref="B834:B840" si="431">"ENTRADA"</f>
        <v>ENTRADA</v>
      </c>
      <c r="C834" t="str">
        <f t="shared" si="427"/>
        <v>NFSE</v>
      </c>
      <c r="D834" t="str">
        <f>"2650"</f>
        <v>2650</v>
      </c>
      <c r="E834" t="str">
        <f t="shared" si="428"/>
        <v>COM</v>
      </c>
      <c r="F834" t="str">
        <f>"PAGMENOS - LJ 608 (10135)"</f>
        <v>PAGMENOS - LJ 608 (10135)</v>
      </c>
      <c r="G834" t="str">
        <f>"Serv.Prest. 13/01/2025 a 19/01/2025 - RPS: 424 - NFSe: 2650"</f>
        <v>Serv.Prest. 13/01/2025 a 19/01/2025 - RPS: 424 - NFSe: 2650</v>
      </c>
      <c r="H834" t="str">
        <f>("30/01/2025")</f>
        <v>30/01/2025</v>
      </c>
      <c r="I834" t="str">
        <f>("20/01/2025")</f>
        <v>20/01/2025</v>
      </c>
      <c r="J834" t="str">
        <f t="shared" si="425"/>
        <v>14/02/2025</v>
      </c>
      <c r="M834">
        <v>303</v>
      </c>
      <c r="N834" t="str">
        <f t="shared" si="429"/>
        <v>RECEITAS COM ENTREGAS</v>
      </c>
      <c r="P834">
        <v>280.20999999999998</v>
      </c>
      <c r="Q834" t="str">
        <f>"PAGMENOS - LJ 608 (10135)"</f>
        <v>PAGMENOS - LJ 608 (10135)</v>
      </c>
      <c r="R834" t="str">
        <f t="shared" si="430"/>
        <v>RECEITAS COM ENTREGAS (303)</v>
      </c>
      <c r="S834">
        <v>1053</v>
      </c>
      <c r="T834">
        <v>770</v>
      </c>
      <c r="U834" t="s">
        <v>19</v>
      </c>
    </row>
    <row r="835" spans="1:21">
      <c r="A835" t="str">
        <f t="shared" si="424"/>
        <v>14/02/2025</v>
      </c>
      <c r="B835" t="str">
        <f t="shared" si="431"/>
        <v>ENTRADA</v>
      </c>
      <c r="C835" t="str">
        <f t="shared" si="427"/>
        <v>NFSE</v>
      </c>
      <c r="D835" t="str">
        <f>"2684"</f>
        <v>2684</v>
      </c>
      <c r="E835" t="str">
        <f t="shared" si="428"/>
        <v>COM</v>
      </c>
      <c r="F835" t="str">
        <f>"PAGMENOS - LJ 608 (10135)"</f>
        <v>PAGMENOS - LJ 608 (10135)</v>
      </c>
      <c r="G835" t="str">
        <f>"Serv.Prest. 27/01/2025 a 02/02/2025 - RPS: 457 - NFSe: 2684"</f>
        <v>Serv.Prest. 27/01/2025 a 02/02/2025 - RPS: 457 - NFSe: 2684</v>
      </c>
      <c r="H835" t="str">
        <f>("13/02/2025")</f>
        <v>13/02/2025</v>
      </c>
      <c r="I835" t="str">
        <f>("03/02/2025")</f>
        <v>03/02/2025</v>
      </c>
      <c r="J835" t="str">
        <f t="shared" si="425"/>
        <v>14/02/2025</v>
      </c>
      <c r="K835">
        <v>280.20999999999998</v>
      </c>
      <c r="L835">
        <v>280.20999999999998</v>
      </c>
      <c r="M835">
        <v>303</v>
      </c>
      <c r="N835" t="str">
        <f t="shared" si="429"/>
        <v>RECEITAS COM ENTREGAS</v>
      </c>
      <c r="R835" t="str">
        <f t="shared" si="430"/>
        <v>RECEITAS COM ENTREGAS (303)</v>
      </c>
      <c r="S835">
        <v>1053</v>
      </c>
      <c r="T835">
        <v>808</v>
      </c>
      <c r="U835" t="s">
        <v>19</v>
      </c>
    </row>
    <row r="836" spans="1:21">
      <c r="A836" t="str">
        <f t="shared" si="424"/>
        <v>14/02/2025</v>
      </c>
      <c r="B836" t="str">
        <f t="shared" si="431"/>
        <v>ENTRADA</v>
      </c>
      <c r="C836" t="str">
        <f t="shared" si="427"/>
        <v>NFSE</v>
      </c>
      <c r="D836" t="str">
        <f>"2684"</f>
        <v>2684</v>
      </c>
      <c r="E836" t="str">
        <f t="shared" si="428"/>
        <v>COM</v>
      </c>
      <c r="F836" t="str">
        <f>"PAGMENOS - LJ 608 (10135)"</f>
        <v>PAGMENOS - LJ 608 (10135)</v>
      </c>
      <c r="G836" t="str">
        <f>"Serv.Prest. 27/01/2025 a 02/02/2025 - RPS: 457 - NFSe: 2684"</f>
        <v>Serv.Prest. 27/01/2025 a 02/02/2025 - RPS: 457 - NFSe: 2684</v>
      </c>
      <c r="H836" t="str">
        <f>("13/02/2025")</f>
        <v>13/02/2025</v>
      </c>
      <c r="I836" t="str">
        <f>("03/02/2025")</f>
        <v>03/02/2025</v>
      </c>
      <c r="J836" t="str">
        <f t="shared" si="425"/>
        <v>14/02/2025</v>
      </c>
      <c r="M836">
        <v>303</v>
      </c>
      <c r="N836" t="str">
        <f t="shared" si="429"/>
        <v>RECEITAS COM ENTREGAS</v>
      </c>
      <c r="P836">
        <v>280.20999999999998</v>
      </c>
      <c r="Q836" t="str">
        <f>"PAGMENOS - LJ 608 (10135)"</f>
        <v>PAGMENOS - LJ 608 (10135)</v>
      </c>
      <c r="R836" t="str">
        <f t="shared" si="430"/>
        <v>RECEITAS COM ENTREGAS (303)</v>
      </c>
      <c r="S836">
        <v>1053</v>
      </c>
      <c r="T836">
        <v>808</v>
      </c>
      <c r="U836" t="s">
        <v>19</v>
      </c>
    </row>
    <row r="837" spans="1:21">
      <c r="A837" t="str">
        <f t="shared" si="424"/>
        <v>14/02/2025</v>
      </c>
      <c r="B837" t="str">
        <f t="shared" si="431"/>
        <v>ENTRADA</v>
      </c>
      <c r="C837" t="str">
        <f t="shared" si="427"/>
        <v>NFSE</v>
      </c>
      <c r="D837" t="str">
        <f>"2649"</f>
        <v>2649</v>
      </c>
      <c r="E837" t="str">
        <f t="shared" si="428"/>
        <v>COM</v>
      </c>
      <c r="F837" t="str">
        <f>"PAGMENOS - LJ 657 (10136)"</f>
        <v>PAGMENOS - LJ 657 (10136)</v>
      </c>
      <c r="G837" t="str">
        <f>"Serv.Prest. 13/01/2025 a 19/01/2025 - RPS: 423 - NFSe: 2649"</f>
        <v>Serv.Prest. 13/01/2025 a 19/01/2025 - RPS: 423 - NFSe: 2649</v>
      </c>
      <c r="H837" t="str">
        <f>("30/01/2025")</f>
        <v>30/01/2025</v>
      </c>
      <c r="I837" t="str">
        <f>("20/01/2025")</f>
        <v>20/01/2025</v>
      </c>
      <c r="J837" t="str">
        <f t="shared" si="425"/>
        <v>14/02/2025</v>
      </c>
      <c r="K837">
        <v>596.6</v>
      </c>
      <c r="L837">
        <v>596.6</v>
      </c>
      <c r="M837">
        <v>303</v>
      </c>
      <c r="N837" t="str">
        <f t="shared" si="429"/>
        <v>RECEITAS COM ENTREGAS</v>
      </c>
      <c r="O837">
        <v>596.6</v>
      </c>
      <c r="R837" t="str">
        <f t="shared" si="430"/>
        <v>RECEITAS COM ENTREGAS (303)</v>
      </c>
      <c r="S837">
        <v>1054</v>
      </c>
      <c r="T837">
        <v>769</v>
      </c>
      <c r="U837" t="s">
        <v>19</v>
      </c>
    </row>
    <row r="838" spans="1:21">
      <c r="A838" t="str">
        <f t="shared" si="424"/>
        <v>14/02/2025</v>
      </c>
      <c r="B838" t="str">
        <f t="shared" si="431"/>
        <v>ENTRADA</v>
      </c>
      <c r="C838" t="str">
        <f t="shared" si="427"/>
        <v>NFSE</v>
      </c>
      <c r="D838" t="str">
        <f>"2649"</f>
        <v>2649</v>
      </c>
      <c r="E838" t="str">
        <f t="shared" si="428"/>
        <v>COM</v>
      </c>
      <c r="F838" t="str">
        <f>"PAGMENOS - LJ 657 (10136)"</f>
        <v>PAGMENOS - LJ 657 (10136)</v>
      </c>
      <c r="G838" t="str">
        <f>"Serv.Prest. 13/01/2025 a 19/01/2025 - RPS: 423 - NFSe: 2649"</f>
        <v>Serv.Prest. 13/01/2025 a 19/01/2025 - RPS: 423 - NFSe: 2649</v>
      </c>
      <c r="H838" t="str">
        <f>("30/01/2025")</f>
        <v>30/01/2025</v>
      </c>
      <c r="I838" t="str">
        <f>("20/01/2025")</f>
        <v>20/01/2025</v>
      </c>
      <c r="J838" t="str">
        <f t="shared" si="425"/>
        <v>14/02/2025</v>
      </c>
      <c r="M838">
        <v>303</v>
      </c>
      <c r="N838" t="str">
        <f t="shared" si="429"/>
        <v>RECEITAS COM ENTREGAS</v>
      </c>
      <c r="P838">
        <v>596.6</v>
      </c>
      <c r="Q838" t="str">
        <f>"PAGMENOS - LJ 657 (10136)"</f>
        <v>PAGMENOS - LJ 657 (10136)</v>
      </c>
      <c r="R838" t="str">
        <f t="shared" si="430"/>
        <v>RECEITAS COM ENTREGAS (303)</v>
      </c>
      <c r="S838">
        <v>1054</v>
      </c>
      <c r="T838">
        <v>769</v>
      </c>
      <c r="U838" t="s">
        <v>19</v>
      </c>
    </row>
    <row r="839" spans="1:21">
      <c r="A839" t="str">
        <f t="shared" si="424"/>
        <v>14/02/2025</v>
      </c>
      <c r="B839" t="str">
        <f t="shared" si="431"/>
        <v>ENTRADA</v>
      </c>
      <c r="C839" t="str">
        <f t="shared" si="427"/>
        <v>NFSE</v>
      </c>
      <c r="D839" t="str">
        <f>"2685"</f>
        <v>2685</v>
      </c>
      <c r="E839" t="str">
        <f t="shared" si="428"/>
        <v>COM</v>
      </c>
      <c r="F839" t="str">
        <f>"PAGMENOS - LJ 657 (10136)"</f>
        <v>PAGMENOS - LJ 657 (10136)</v>
      </c>
      <c r="G839" t="str">
        <f>"Serv.Prest. 27/01/2025 a 02/02/2025 - RPS: 458 - NFSe: 2685"</f>
        <v>Serv.Prest. 27/01/2025 a 02/02/2025 - RPS: 458 - NFSe: 2685</v>
      </c>
      <c r="H839" t="str">
        <f>("13/02/2025")</f>
        <v>13/02/2025</v>
      </c>
      <c r="I839" t="str">
        <f>("03/02/2025")</f>
        <v>03/02/2025</v>
      </c>
      <c r="J839" t="str">
        <f t="shared" si="425"/>
        <v>14/02/2025</v>
      </c>
      <c r="K839">
        <v>596.6</v>
      </c>
      <c r="L839">
        <v>596.6</v>
      </c>
      <c r="M839">
        <v>303</v>
      </c>
      <c r="N839" t="str">
        <f t="shared" si="429"/>
        <v>RECEITAS COM ENTREGAS</v>
      </c>
      <c r="R839" t="str">
        <f t="shared" si="430"/>
        <v>RECEITAS COM ENTREGAS (303)</v>
      </c>
      <c r="S839">
        <v>1054</v>
      </c>
      <c r="T839">
        <v>809</v>
      </c>
      <c r="U839" t="s">
        <v>19</v>
      </c>
    </row>
    <row r="840" spans="1:21">
      <c r="A840" t="str">
        <f t="shared" si="424"/>
        <v>14/02/2025</v>
      </c>
      <c r="B840" t="str">
        <f t="shared" si="431"/>
        <v>ENTRADA</v>
      </c>
      <c r="C840" t="str">
        <f t="shared" si="427"/>
        <v>NFSE</v>
      </c>
      <c r="D840" t="str">
        <f>"2685"</f>
        <v>2685</v>
      </c>
      <c r="E840" t="str">
        <f t="shared" si="428"/>
        <v>COM</v>
      </c>
      <c r="F840" t="str">
        <f>"PAGMENOS - LJ 657 (10136)"</f>
        <v>PAGMENOS - LJ 657 (10136)</v>
      </c>
      <c r="G840" t="str">
        <f>"Serv.Prest. 27/01/2025 a 02/02/2025 - RPS: 458 - NFSe: 2685"</f>
        <v>Serv.Prest. 27/01/2025 a 02/02/2025 - RPS: 458 - NFSe: 2685</v>
      </c>
      <c r="H840" t="str">
        <f>("13/02/2025")</f>
        <v>13/02/2025</v>
      </c>
      <c r="I840" t="str">
        <f>("03/02/2025")</f>
        <v>03/02/2025</v>
      </c>
      <c r="J840" t="str">
        <f t="shared" si="425"/>
        <v>14/02/2025</v>
      </c>
      <c r="M840">
        <v>303</v>
      </c>
      <c r="N840" t="str">
        <f t="shared" si="429"/>
        <v>RECEITAS COM ENTREGAS</v>
      </c>
      <c r="P840">
        <v>596.6</v>
      </c>
      <c r="Q840" t="str">
        <f>"PAGMENOS - LJ 657 (10136)"</f>
        <v>PAGMENOS - LJ 657 (10136)</v>
      </c>
      <c r="R840" t="str">
        <f t="shared" si="430"/>
        <v>RECEITAS COM ENTREGAS (303)</v>
      </c>
      <c r="S840">
        <v>1054</v>
      </c>
      <c r="T840">
        <v>809</v>
      </c>
      <c r="U840" t="s">
        <v>19</v>
      </c>
    </row>
    <row r="841" spans="1:21">
      <c r="A841" t="str">
        <f>("17/02/2025")</f>
        <v>17/02/2025</v>
      </c>
      <c r="B841" t="str">
        <f>"SAÍDA"</f>
        <v>SAÍDA</v>
      </c>
      <c r="C841" t="str">
        <f>"BOLETO"</f>
        <v>BOLETO</v>
      </c>
      <c r="D841" t="str">
        <f>"01"</f>
        <v>01</v>
      </c>
      <c r="E841" t="str">
        <f t="shared" si="428"/>
        <v>COM</v>
      </c>
      <c r="F841" t="str">
        <f>"BANCO DO BRASIL (20001)"</f>
        <v>BANCO DO BRASIL (20001)</v>
      </c>
      <c r="G841" t="str">
        <f>"EMPRESTIMO FUI TECNOLOGIA"</f>
        <v>EMPRESTIMO FUI TECNOLOGIA</v>
      </c>
      <c r="H841" t="str">
        <f>("06/02/2025")</f>
        <v>06/02/2025</v>
      </c>
      <c r="I841" t="str">
        <f>("23/07/2024")</f>
        <v>23/07/2024</v>
      </c>
      <c r="J841" t="str">
        <f>("17/02/2025")</f>
        <v>17/02/2025</v>
      </c>
      <c r="K841">
        <v>508.77</v>
      </c>
      <c r="L841">
        <v>522.74</v>
      </c>
      <c r="M841">
        <v>114</v>
      </c>
      <c r="N841" t="str">
        <f>"EMPRESTIMOS"</f>
        <v>EMPRESTIMOS</v>
      </c>
      <c r="O841">
        <v>522.74</v>
      </c>
      <c r="R841" t="str">
        <f>"BANCO CORA (102)"</f>
        <v>BANCO CORA (102)</v>
      </c>
      <c r="S841">
        <v>923</v>
      </c>
      <c r="T841">
        <v>71</v>
      </c>
      <c r="U841" t="s">
        <v>19</v>
      </c>
    </row>
    <row r="842" spans="1:21">
      <c r="A842" t="str">
        <f>("17/02/2025")</f>
        <v>17/02/2025</v>
      </c>
      <c r="B842" t="str">
        <f>"SAÍDA"</f>
        <v>SAÍDA</v>
      </c>
      <c r="C842" t="str">
        <f>"BOLETO"</f>
        <v>BOLETO</v>
      </c>
      <c r="D842" t="str">
        <f>"01"</f>
        <v>01</v>
      </c>
      <c r="E842" t="str">
        <f t="shared" si="428"/>
        <v>COM</v>
      </c>
      <c r="F842" t="str">
        <f>"BANCO DO BRASIL (20001)"</f>
        <v>BANCO DO BRASIL (20001)</v>
      </c>
      <c r="G842" t="str">
        <f>"EMPRESTIMO FUI TECNOLOGIA"</f>
        <v>EMPRESTIMO FUI TECNOLOGIA</v>
      </c>
      <c r="H842" t="str">
        <f>("06/02/2025")</f>
        <v>06/02/2025</v>
      </c>
      <c r="I842" t="str">
        <f>("23/07/2024")</f>
        <v>23/07/2024</v>
      </c>
      <c r="J842" t="str">
        <f>("17/02/2025")</f>
        <v>17/02/2025</v>
      </c>
      <c r="M842">
        <v>114</v>
      </c>
      <c r="N842" t="str">
        <f>"EMPRESTIMOS"</f>
        <v>EMPRESTIMOS</v>
      </c>
      <c r="P842">
        <v>522.74</v>
      </c>
      <c r="Q842" t="str">
        <f>"BANCO DO BRASIL (20001)"</f>
        <v>BANCO DO BRASIL (20001)</v>
      </c>
      <c r="R842" t="str">
        <f>"BANCO CORA (102)"</f>
        <v>BANCO CORA (102)</v>
      </c>
      <c r="S842">
        <v>923</v>
      </c>
      <c r="T842">
        <v>71</v>
      </c>
      <c r="U842" t="s">
        <v>19</v>
      </c>
    </row>
    <row r="843" spans="1:21">
      <c r="A843" t="str">
        <f>("18/02/2025")</f>
        <v>18/02/2025</v>
      </c>
      <c r="B843" t="str">
        <f>"SAÍDA"</f>
        <v>SAÍDA</v>
      </c>
      <c r="C843" t="str">
        <f>"PIX"</f>
        <v>PIX</v>
      </c>
      <c r="D843" t="str">
        <f>"1802"</f>
        <v>1802</v>
      </c>
      <c r="E843" t="str">
        <f t="shared" si="428"/>
        <v>COM</v>
      </c>
      <c r="F843" t="str">
        <f>"MONGERAL AEGON SEGUROS E PREVIDENCIA SA (20063)"</f>
        <v>MONGERAL AEGON SEGUROS E PREVIDENCIA SA (20063)</v>
      </c>
      <c r="G843" t="str">
        <f>"SEGURO DE VIDA SOCIOS"</f>
        <v>SEGURO DE VIDA SOCIOS</v>
      </c>
      <c r="H843" t="str">
        <f>("18/02/2025")</f>
        <v>18/02/2025</v>
      </c>
      <c r="I843" t="str">
        <f>("05/02/2025")</f>
        <v>05/02/2025</v>
      </c>
      <c r="J843" t="str">
        <f>("18/02/2025")</f>
        <v>18/02/2025</v>
      </c>
      <c r="K843">
        <v>228.37</v>
      </c>
      <c r="L843">
        <v>228.37</v>
      </c>
      <c r="M843">
        <v>192</v>
      </c>
      <c r="N843" t="str">
        <f>"PLANOS E SEGUROS"</f>
        <v>PLANOS E SEGUROS</v>
      </c>
      <c r="O843">
        <v>228.37</v>
      </c>
      <c r="R843" t="str">
        <f>"BANCO CORA (102)"</f>
        <v>BANCO CORA (102)</v>
      </c>
      <c r="S843">
        <v>1056</v>
      </c>
      <c r="T843">
        <v>825</v>
      </c>
      <c r="U843" t="s">
        <v>19</v>
      </c>
    </row>
    <row r="844" spans="1:21">
      <c r="A844" t="str">
        <f>("18/02/2025")</f>
        <v>18/02/2025</v>
      </c>
      <c r="B844" t="str">
        <f>"SAÍDA"</f>
        <v>SAÍDA</v>
      </c>
      <c r="C844" t="str">
        <f>"PIX"</f>
        <v>PIX</v>
      </c>
      <c r="D844" t="str">
        <f>"1802"</f>
        <v>1802</v>
      </c>
      <c r="E844" t="str">
        <f t="shared" si="428"/>
        <v>COM</v>
      </c>
      <c r="F844" t="str">
        <f>"MONGERAL AEGON SEGUROS E PREVIDENCIA SA (20063)"</f>
        <v>MONGERAL AEGON SEGUROS E PREVIDENCIA SA (20063)</v>
      </c>
      <c r="G844" t="str">
        <f>"SEGURO DE VIDA SOCIOS"</f>
        <v>SEGURO DE VIDA SOCIOS</v>
      </c>
      <c r="H844" t="str">
        <f>("18/02/2025")</f>
        <v>18/02/2025</v>
      </c>
      <c r="I844" t="str">
        <f>("05/02/2025")</f>
        <v>05/02/2025</v>
      </c>
      <c r="J844" t="str">
        <f>("18/02/2025")</f>
        <v>18/02/2025</v>
      </c>
      <c r="M844">
        <v>192</v>
      </c>
      <c r="N844" t="str">
        <f>"PLANOS E SEGUROS"</f>
        <v>PLANOS E SEGUROS</v>
      </c>
      <c r="P844">
        <v>228.37</v>
      </c>
      <c r="Q844" t="str">
        <f>"MONGERAL AEGON SEGUROS E PREVIDENCIA SA (20063)"</f>
        <v>MONGERAL AEGON SEGUROS E PREVIDENCIA SA (20063)</v>
      </c>
      <c r="R844" t="str">
        <f>"BANCO CORA (102)"</f>
        <v>BANCO CORA (102)</v>
      </c>
      <c r="S844">
        <v>1056</v>
      </c>
      <c r="T844">
        <v>825</v>
      </c>
      <c r="U844" t="s">
        <v>19</v>
      </c>
    </row>
    <row r="845" spans="1:21">
      <c r="A845" t="str">
        <f t="shared" ref="A845:A876" si="432">("19/02/2025")</f>
        <v>19/02/2025</v>
      </c>
      <c r="B845" t="str">
        <f>"ENTRADA"</f>
        <v>ENTRADA</v>
      </c>
      <c r="C845" t="str">
        <f t="shared" ref="C845:C876" si="433">"NFSE"</f>
        <v>NFSE</v>
      </c>
      <c r="D845" t="str">
        <f t="shared" ref="D845:D856" si="434">"2699"</f>
        <v>2699</v>
      </c>
      <c r="E845" t="str">
        <f t="shared" si="428"/>
        <v>COM</v>
      </c>
      <c r="F845" t="str">
        <f t="shared" ref="F845:F856" si="435">"FARMÁCIA INDIANA LJ 30 (10127)"</f>
        <v>FARMÁCIA INDIANA LJ 30 (10127)</v>
      </c>
      <c r="G845" t="str">
        <f t="shared" ref="G845:G856" si="436">"Serv.Prest. 27/01/2025 a 09/02/2025 - RPS: 472 - NFSe: 2699"</f>
        <v>Serv.Prest. 27/01/2025 a 09/02/2025 - RPS: 472 - NFSe: 2699</v>
      </c>
      <c r="H845" t="str">
        <f t="shared" ref="H845:H876" si="437">("19/02/2025")</f>
        <v>19/02/2025</v>
      </c>
      <c r="I845" t="str">
        <f t="shared" ref="I845:I862" si="438">("10/02/2025")</f>
        <v>10/02/2025</v>
      </c>
      <c r="J845" t="str">
        <f t="shared" ref="J845:J876" si="439">("19/02/2025")</f>
        <v>19/02/2025</v>
      </c>
      <c r="K845">
        <v>2639.95</v>
      </c>
      <c r="L845">
        <v>2639.95</v>
      </c>
      <c r="M845">
        <v>303</v>
      </c>
      <c r="N845" t="str">
        <f t="shared" ref="N845:N876" si="440">"RECEITAS COM ENTREGAS"</f>
        <v>RECEITAS COM ENTREGAS</v>
      </c>
      <c r="O845">
        <v>2639.95</v>
      </c>
      <c r="R845" t="str">
        <f t="shared" ref="R845:R876" si="441">"RECEITAS COM ENTREGAS (303)"</f>
        <v>RECEITAS COM ENTREGAS (303)</v>
      </c>
      <c r="S845">
        <v>1057</v>
      </c>
      <c r="T845">
        <v>824</v>
      </c>
      <c r="U845" t="s">
        <v>19</v>
      </c>
    </row>
    <row r="846" spans="1:21">
      <c r="A846" t="str">
        <f t="shared" si="432"/>
        <v>19/02/2025</v>
      </c>
      <c r="B846" t="str">
        <f t="shared" ref="B846:B909" si="442">"ENTRADA"</f>
        <v>ENTRADA</v>
      </c>
      <c r="C846" t="str">
        <f t="shared" si="433"/>
        <v>NFSE</v>
      </c>
      <c r="D846" t="str">
        <f t="shared" si="434"/>
        <v>2699</v>
      </c>
      <c r="E846" t="str">
        <f t="shared" si="428"/>
        <v>COM</v>
      </c>
      <c r="F846" t="str">
        <f t="shared" si="435"/>
        <v>FARMÁCIA INDIANA LJ 30 (10127)</v>
      </c>
      <c r="G846" t="str">
        <f t="shared" si="436"/>
        <v>Serv.Prest. 27/01/2025 a 09/02/2025 - RPS: 472 - NFSe: 2699</v>
      </c>
      <c r="H846" t="str">
        <f t="shared" si="437"/>
        <v>19/02/2025</v>
      </c>
      <c r="I846" t="str">
        <f t="shared" si="438"/>
        <v>10/02/2025</v>
      </c>
      <c r="J846" t="str">
        <f t="shared" si="439"/>
        <v>19/02/2025</v>
      </c>
      <c r="M846">
        <v>303</v>
      </c>
      <c r="N846" t="str">
        <f t="shared" si="440"/>
        <v>RECEITAS COM ENTREGAS</v>
      </c>
      <c r="P846">
        <v>284.60000000000002</v>
      </c>
      <c r="Q846" t="str">
        <f>"FARMÁCIA INDIANA LJ 34 (10014)"</f>
        <v>FARMÁCIA INDIANA LJ 34 (10014)</v>
      </c>
      <c r="R846" t="str">
        <f t="shared" si="441"/>
        <v>RECEITAS COM ENTREGAS (303)</v>
      </c>
      <c r="S846">
        <v>1057</v>
      </c>
      <c r="T846">
        <v>824</v>
      </c>
      <c r="U846" t="s">
        <v>19</v>
      </c>
    </row>
    <row r="847" spans="1:21">
      <c r="A847" t="str">
        <f t="shared" si="432"/>
        <v>19/02/2025</v>
      </c>
      <c r="B847" t="str">
        <f t="shared" si="442"/>
        <v>ENTRADA</v>
      </c>
      <c r="C847" t="str">
        <f t="shared" si="433"/>
        <v>NFSE</v>
      </c>
      <c r="D847" t="str">
        <f t="shared" si="434"/>
        <v>2699</v>
      </c>
      <c r="E847" t="str">
        <f t="shared" si="428"/>
        <v>COM</v>
      </c>
      <c r="F847" t="str">
        <f t="shared" si="435"/>
        <v>FARMÁCIA INDIANA LJ 30 (10127)</v>
      </c>
      <c r="G847" t="str">
        <f t="shared" si="436"/>
        <v>Serv.Prest. 27/01/2025 a 09/02/2025 - RPS: 472 - NFSe: 2699</v>
      </c>
      <c r="H847" t="str">
        <f t="shared" si="437"/>
        <v>19/02/2025</v>
      </c>
      <c r="I847" t="str">
        <f t="shared" si="438"/>
        <v>10/02/2025</v>
      </c>
      <c r="J847" t="str">
        <f t="shared" si="439"/>
        <v>19/02/2025</v>
      </c>
      <c r="M847">
        <v>303</v>
      </c>
      <c r="N847" t="str">
        <f t="shared" si="440"/>
        <v>RECEITAS COM ENTREGAS</v>
      </c>
      <c r="P847">
        <v>236.01</v>
      </c>
      <c r="Q847" t="str">
        <f>"FARMÁCIA INDIANA LJ 35 (10015)"</f>
        <v>FARMÁCIA INDIANA LJ 35 (10015)</v>
      </c>
      <c r="R847" t="str">
        <f t="shared" si="441"/>
        <v>RECEITAS COM ENTREGAS (303)</v>
      </c>
      <c r="S847">
        <v>1057</v>
      </c>
      <c r="T847">
        <v>824</v>
      </c>
      <c r="U847" t="s">
        <v>19</v>
      </c>
    </row>
    <row r="848" spans="1:21">
      <c r="A848" t="str">
        <f t="shared" si="432"/>
        <v>19/02/2025</v>
      </c>
      <c r="B848" t="str">
        <f t="shared" si="442"/>
        <v>ENTRADA</v>
      </c>
      <c r="C848" t="str">
        <f t="shared" si="433"/>
        <v>NFSE</v>
      </c>
      <c r="D848" t="str">
        <f t="shared" si="434"/>
        <v>2699</v>
      </c>
      <c r="E848" t="str">
        <f t="shared" si="428"/>
        <v>COM</v>
      </c>
      <c r="F848" t="str">
        <f t="shared" si="435"/>
        <v>FARMÁCIA INDIANA LJ 30 (10127)</v>
      </c>
      <c r="G848" t="str">
        <f t="shared" si="436"/>
        <v>Serv.Prest. 27/01/2025 a 09/02/2025 - RPS: 472 - NFSe: 2699</v>
      </c>
      <c r="H848" t="str">
        <f t="shared" si="437"/>
        <v>19/02/2025</v>
      </c>
      <c r="I848" t="str">
        <f t="shared" si="438"/>
        <v>10/02/2025</v>
      </c>
      <c r="J848" t="str">
        <f t="shared" si="439"/>
        <v>19/02/2025</v>
      </c>
      <c r="M848">
        <v>303</v>
      </c>
      <c r="N848" t="str">
        <f t="shared" si="440"/>
        <v>RECEITAS COM ENTREGAS</v>
      </c>
      <c r="P848">
        <v>296.99</v>
      </c>
      <c r="Q848" t="str">
        <f>"FARMÁCIA INDIANA LJ 48 (10018)"</f>
        <v>FARMÁCIA INDIANA LJ 48 (10018)</v>
      </c>
      <c r="R848" t="str">
        <f t="shared" si="441"/>
        <v>RECEITAS COM ENTREGAS (303)</v>
      </c>
      <c r="S848">
        <v>1057</v>
      </c>
      <c r="T848">
        <v>824</v>
      </c>
      <c r="U848" t="s">
        <v>19</v>
      </c>
    </row>
    <row r="849" spans="1:21">
      <c r="A849" t="str">
        <f t="shared" si="432"/>
        <v>19/02/2025</v>
      </c>
      <c r="B849" t="str">
        <f t="shared" si="442"/>
        <v>ENTRADA</v>
      </c>
      <c r="C849" t="str">
        <f t="shared" si="433"/>
        <v>NFSE</v>
      </c>
      <c r="D849" t="str">
        <f t="shared" si="434"/>
        <v>2699</v>
      </c>
      <c r="E849" t="str">
        <f t="shared" si="428"/>
        <v>COM</v>
      </c>
      <c r="F849" t="str">
        <f t="shared" si="435"/>
        <v>FARMÁCIA INDIANA LJ 30 (10127)</v>
      </c>
      <c r="G849" t="str">
        <f t="shared" si="436"/>
        <v>Serv.Prest. 27/01/2025 a 09/02/2025 - RPS: 472 - NFSe: 2699</v>
      </c>
      <c r="H849" t="str">
        <f t="shared" si="437"/>
        <v>19/02/2025</v>
      </c>
      <c r="I849" t="str">
        <f t="shared" si="438"/>
        <v>10/02/2025</v>
      </c>
      <c r="J849" t="str">
        <f t="shared" si="439"/>
        <v>19/02/2025</v>
      </c>
      <c r="M849">
        <v>303</v>
      </c>
      <c r="N849" t="str">
        <f t="shared" si="440"/>
        <v>RECEITAS COM ENTREGAS</v>
      </c>
      <c r="P849">
        <v>319.95999999999998</v>
      </c>
      <c r="Q849" t="str">
        <f>"FARMÁCIA INDIANA LJ 65 (10030)"</f>
        <v>FARMÁCIA INDIANA LJ 65 (10030)</v>
      </c>
      <c r="R849" t="str">
        <f t="shared" si="441"/>
        <v>RECEITAS COM ENTREGAS (303)</v>
      </c>
      <c r="S849">
        <v>1057</v>
      </c>
      <c r="T849">
        <v>824</v>
      </c>
      <c r="U849" t="s">
        <v>19</v>
      </c>
    </row>
    <row r="850" spans="1:21">
      <c r="A850" t="str">
        <f t="shared" si="432"/>
        <v>19/02/2025</v>
      </c>
      <c r="B850" t="str">
        <f t="shared" si="442"/>
        <v>ENTRADA</v>
      </c>
      <c r="C850" t="str">
        <f t="shared" si="433"/>
        <v>NFSE</v>
      </c>
      <c r="D850" t="str">
        <f t="shared" si="434"/>
        <v>2699</v>
      </c>
      <c r="E850" t="str">
        <f t="shared" si="428"/>
        <v>COM</v>
      </c>
      <c r="F850" t="str">
        <f t="shared" si="435"/>
        <v>FARMÁCIA INDIANA LJ 30 (10127)</v>
      </c>
      <c r="G850" t="str">
        <f t="shared" si="436"/>
        <v>Serv.Prest. 27/01/2025 a 09/02/2025 - RPS: 472 - NFSe: 2699</v>
      </c>
      <c r="H850" t="str">
        <f t="shared" si="437"/>
        <v>19/02/2025</v>
      </c>
      <c r="I850" t="str">
        <f t="shared" si="438"/>
        <v>10/02/2025</v>
      </c>
      <c r="J850" t="str">
        <f t="shared" si="439"/>
        <v>19/02/2025</v>
      </c>
      <c r="M850">
        <v>303</v>
      </c>
      <c r="N850" t="str">
        <f t="shared" si="440"/>
        <v>RECEITAS COM ENTREGAS</v>
      </c>
      <c r="P850">
        <v>137.01</v>
      </c>
      <c r="Q850" t="str">
        <f>"FARMÁCIA INDIANA LJ 77 (10034)"</f>
        <v>FARMÁCIA INDIANA LJ 77 (10034)</v>
      </c>
      <c r="R850" t="str">
        <f t="shared" si="441"/>
        <v>RECEITAS COM ENTREGAS (303)</v>
      </c>
      <c r="S850">
        <v>1057</v>
      </c>
      <c r="T850">
        <v>824</v>
      </c>
      <c r="U850" t="s">
        <v>19</v>
      </c>
    </row>
    <row r="851" spans="1:21">
      <c r="A851" t="str">
        <f t="shared" si="432"/>
        <v>19/02/2025</v>
      </c>
      <c r="B851" t="str">
        <f t="shared" si="442"/>
        <v>ENTRADA</v>
      </c>
      <c r="C851" t="str">
        <f t="shared" si="433"/>
        <v>NFSE</v>
      </c>
      <c r="D851" t="str">
        <f t="shared" si="434"/>
        <v>2699</v>
      </c>
      <c r="E851" t="str">
        <f t="shared" si="428"/>
        <v>COM</v>
      </c>
      <c r="F851" t="str">
        <f t="shared" si="435"/>
        <v>FARMÁCIA INDIANA LJ 30 (10127)</v>
      </c>
      <c r="G851" t="str">
        <f t="shared" si="436"/>
        <v>Serv.Prest. 27/01/2025 a 09/02/2025 - RPS: 472 - NFSe: 2699</v>
      </c>
      <c r="H851" t="str">
        <f t="shared" si="437"/>
        <v>19/02/2025</v>
      </c>
      <c r="I851" t="str">
        <f t="shared" si="438"/>
        <v>10/02/2025</v>
      </c>
      <c r="J851" t="str">
        <f t="shared" si="439"/>
        <v>19/02/2025</v>
      </c>
      <c r="M851">
        <v>303</v>
      </c>
      <c r="N851" t="str">
        <f t="shared" si="440"/>
        <v>RECEITAS COM ENTREGAS</v>
      </c>
      <c r="P851">
        <v>188.49</v>
      </c>
      <c r="Q851" t="str">
        <f>"FARMÁCIA INDIANA LJ 91 (10037)"</f>
        <v>FARMÁCIA INDIANA LJ 91 (10037)</v>
      </c>
      <c r="R851" t="str">
        <f t="shared" si="441"/>
        <v>RECEITAS COM ENTREGAS (303)</v>
      </c>
      <c r="S851">
        <v>1057</v>
      </c>
      <c r="T851">
        <v>824</v>
      </c>
      <c r="U851" t="s">
        <v>19</v>
      </c>
    </row>
    <row r="852" spans="1:21">
      <c r="A852" t="str">
        <f t="shared" si="432"/>
        <v>19/02/2025</v>
      </c>
      <c r="B852" t="str">
        <f t="shared" si="442"/>
        <v>ENTRADA</v>
      </c>
      <c r="C852" t="str">
        <f t="shared" si="433"/>
        <v>NFSE</v>
      </c>
      <c r="D852" t="str">
        <f t="shared" si="434"/>
        <v>2699</v>
      </c>
      <c r="E852" t="str">
        <f t="shared" si="428"/>
        <v>COM</v>
      </c>
      <c r="F852" t="str">
        <f t="shared" si="435"/>
        <v>FARMÁCIA INDIANA LJ 30 (10127)</v>
      </c>
      <c r="G852" t="str">
        <f t="shared" si="436"/>
        <v>Serv.Prest. 27/01/2025 a 09/02/2025 - RPS: 472 - NFSe: 2699</v>
      </c>
      <c r="H852" t="str">
        <f t="shared" si="437"/>
        <v>19/02/2025</v>
      </c>
      <c r="I852" t="str">
        <f t="shared" si="438"/>
        <v>10/02/2025</v>
      </c>
      <c r="J852" t="str">
        <f t="shared" si="439"/>
        <v>19/02/2025</v>
      </c>
      <c r="M852">
        <v>303</v>
      </c>
      <c r="N852" t="str">
        <f t="shared" si="440"/>
        <v>RECEITAS COM ENTREGAS</v>
      </c>
      <c r="P852">
        <v>299.37</v>
      </c>
      <c r="Q852" t="str">
        <f>"FARMÁCIA INDIANA LJ 95 (10039)"</f>
        <v>FARMÁCIA INDIANA LJ 95 (10039)</v>
      </c>
      <c r="R852" t="str">
        <f t="shared" si="441"/>
        <v>RECEITAS COM ENTREGAS (303)</v>
      </c>
      <c r="S852">
        <v>1057</v>
      </c>
      <c r="T852">
        <v>824</v>
      </c>
      <c r="U852" t="s">
        <v>19</v>
      </c>
    </row>
    <row r="853" spans="1:21">
      <c r="A853" t="str">
        <f t="shared" si="432"/>
        <v>19/02/2025</v>
      </c>
      <c r="B853" t="str">
        <f t="shared" si="442"/>
        <v>ENTRADA</v>
      </c>
      <c r="C853" t="str">
        <f t="shared" si="433"/>
        <v>NFSE</v>
      </c>
      <c r="D853" t="str">
        <f t="shared" si="434"/>
        <v>2699</v>
      </c>
      <c r="E853" t="str">
        <f t="shared" si="428"/>
        <v>COM</v>
      </c>
      <c r="F853" t="str">
        <f t="shared" si="435"/>
        <v>FARMÁCIA INDIANA LJ 30 (10127)</v>
      </c>
      <c r="G853" t="str">
        <f t="shared" si="436"/>
        <v>Serv.Prest. 27/01/2025 a 09/02/2025 - RPS: 472 - NFSe: 2699</v>
      </c>
      <c r="H853" t="str">
        <f t="shared" si="437"/>
        <v>19/02/2025</v>
      </c>
      <c r="I853" t="str">
        <f t="shared" si="438"/>
        <v>10/02/2025</v>
      </c>
      <c r="J853" t="str">
        <f t="shared" si="439"/>
        <v>19/02/2025</v>
      </c>
      <c r="M853">
        <v>303</v>
      </c>
      <c r="N853" t="str">
        <f t="shared" si="440"/>
        <v>RECEITAS COM ENTREGAS</v>
      </c>
      <c r="P853">
        <v>280.89</v>
      </c>
      <c r="Q853" t="str">
        <f>"FARMÁCIA INDIANA LJ 145 (10068)"</f>
        <v>FARMÁCIA INDIANA LJ 145 (10068)</v>
      </c>
      <c r="R853" t="str">
        <f t="shared" si="441"/>
        <v>RECEITAS COM ENTREGAS (303)</v>
      </c>
      <c r="S853">
        <v>1057</v>
      </c>
      <c r="T853">
        <v>824</v>
      </c>
      <c r="U853" t="s">
        <v>19</v>
      </c>
    </row>
    <row r="854" spans="1:21">
      <c r="A854" t="str">
        <f t="shared" si="432"/>
        <v>19/02/2025</v>
      </c>
      <c r="B854" t="str">
        <f t="shared" si="442"/>
        <v>ENTRADA</v>
      </c>
      <c r="C854" t="str">
        <f t="shared" si="433"/>
        <v>NFSE</v>
      </c>
      <c r="D854" t="str">
        <f t="shared" si="434"/>
        <v>2699</v>
      </c>
      <c r="E854" t="str">
        <f t="shared" si="428"/>
        <v>COM</v>
      </c>
      <c r="F854" t="str">
        <f t="shared" si="435"/>
        <v>FARMÁCIA INDIANA LJ 30 (10127)</v>
      </c>
      <c r="G854" t="str">
        <f t="shared" si="436"/>
        <v>Serv.Prest. 27/01/2025 a 09/02/2025 - RPS: 472 - NFSe: 2699</v>
      </c>
      <c r="H854" t="str">
        <f t="shared" si="437"/>
        <v>19/02/2025</v>
      </c>
      <c r="I854" t="str">
        <f t="shared" si="438"/>
        <v>10/02/2025</v>
      </c>
      <c r="J854" t="str">
        <f t="shared" si="439"/>
        <v>19/02/2025</v>
      </c>
      <c r="M854">
        <v>303</v>
      </c>
      <c r="N854" t="str">
        <f t="shared" si="440"/>
        <v>RECEITAS COM ENTREGAS</v>
      </c>
      <c r="P854">
        <v>136.49</v>
      </c>
      <c r="Q854" t="str">
        <f>"FARMÁCIA INDIANA LJ 169 (10073)"</f>
        <v>FARMÁCIA INDIANA LJ 169 (10073)</v>
      </c>
      <c r="R854" t="str">
        <f t="shared" si="441"/>
        <v>RECEITAS COM ENTREGAS (303)</v>
      </c>
      <c r="S854">
        <v>1057</v>
      </c>
      <c r="T854">
        <v>824</v>
      </c>
      <c r="U854" t="s">
        <v>19</v>
      </c>
    </row>
    <row r="855" spans="1:21">
      <c r="A855" t="str">
        <f t="shared" si="432"/>
        <v>19/02/2025</v>
      </c>
      <c r="B855" t="str">
        <f t="shared" si="442"/>
        <v>ENTRADA</v>
      </c>
      <c r="C855" t="str">
        <f t="shared" si="433"/>
        <v>NFSE</v>
      </c>
      <c r="D855" t="str">
        <f t="shared" si="434"/>
        <v>2699</v>
      </c>
      <c r="E855" t="str">
        <f t="shared" si="428"/>
        <v>COM</v>
      </c>
      <c r="F855" t="str">
        <f t="shared" si="435"/>
        <v>FARMÁCIA INDIANA LJ 30 (10127)</v>
      </c>
      <c r="G855" t="str">
        <f t="shared" si="436"/>
        <v>Serv.Prest. 27/01/2025 a 09/02/2025 - RPS: 472 - NFSe: 2699</v>
      </c>
      <c r="H855" t="str">
        <f t="shared" si="437"/>
        <v>19/02/2025</v>
      </c>
      <c r="I855" t="str">
        <f t="shared" si="438"/>
        <v>10/02/2025</v>
      </c>
      <c r="J855" t="str">
        <f t="shared" si="439"/>
        <v>19/02/2025</v>
      </c>
      <c r="M855">
        <v>303</v>
      </c>
      <c r="N855" t="str">
        <f t="shared" si="440"/>
        <v>RECEITAS COM ENTREGAS</v>
      </c>
      <c r="P855">
        <v>159.97999999999999</v>
      </c>
      <c r="Q855" t="str">
        <f>"FARMÁCIA INDIANA LJ 173 (10075)"</f>
        <v>FARMÁCIA INDIANA LJ 173 (10075)</v>
      </c>
      <c r="R855" t="str">
        <f t="shared" si="441"/>
        <v>RECEITAS COM ENTREGAS (303)</v>
      </c>
      <c r="S855">
        <v>1057</v>
      </c>
      <c r="T855">
        <v>824</v>
      </c>
      <c r="U855" t="s">
        <v>19</v>
      </c>
    </row>
    <row r="856" spans="1:21">
      <c r="A856" t="str">
        <f t="shared" si="432"/>
        <v>19/02/2025</v>
      </c>
      <c r="B856" t="str">
        <f t="shared" si="442"/>
        <v>ENTRADA</v>
      </c>
      <c r="C856" t="str">
        <f t="shared" si="433"/>
        <v>NFSE</v>
      </c>
      <c r="D856" t="str">
        <f t="shared" si="434"/>
        <v>2699</v>
      </c>
      <c r="E856" t="str">
        <f t="shared" si="428"/>
        <v>COM</v>
      </c>
      <c r="F856" t="str">
        <f t="shared" si="435"/>
        <v>FARMÁCIA INDIANA LJ 30 (10127)</v>
      </c>
      <c r="G856" t="str">
        <f t="shared" si="436"/>
        <v>Serv.Prest. 27/01/2025 a 09/02/2025 - RPS: 472 - NFSe: 2699</v>
      </c>
      <c r="H856" t="str">
        <f t="shared" si="437"/>
        <v>19/02/2025</v>
      </c>
      <c r="I856" t="str">
        <f t="shared" si="438"/>
        <v>10/02/2025</v>
      </c>
      <c r="J856" t="str">
        <f t="shared" si="439"/>
        <v>19/02/2025</v>
      </c>
      <c r="M856">
        <v>303</v>
      </c>
      <c r="N856" t="str">
        <f t="shared" si="440"/>
        <v>RECEITAS COM ENTREGAS</v>
      </c>
      <c r="P856">
        <v>300.16000000000003</v>
      </c>
      <c r="Q856" t="str">
        <f>"FARMÁCIA INDIANA LJ 200 (10155)"</f>
        <v>FARMÁCIA INDIANA LJ 200 (10155)</v>
      </c>
      <c r="R856" t="str">
        <f t="shared" si="441"/>
        <v>RECEITAS COM ENTREGAS (303)</v>
      </c>
      <c r="S856">
        <v>1057</v>
      </c>
      <c r="T856">
        <v>824</v>
      </c>
      <c r="U856" t="s">
        <v>19</v>
      </c>
    </row>
    <row r="857" spans="1:21">
      <c r="A857" t="str">
        <f t="shared" si="432"/>
        <v>19/02/2025</v>
      </c>
      <c r="B857" t="str">
        <f t="shared" si="442"/>
        <v>ENTRADA</v>
      </c>
      <c r="C857" t="str">
        <f t="shared" si="433"/>
        <v>NFSE</v>
      </c>
      <c r="D857" t="str">
        <f t="shared" ref="D857:D862" si="443">"2700"</f>
        <v>2700</v>
      </c>
      <c r="E857" t="str">
        <f t="shared" si="428"/>
        <v>COM</v>
      </c>
      <c r="F857" t="str">
        <f t="shared" ref="F857:F862" si="444">"FARMÁCIA INDIANA LJ 85 (10128)"</f>
        <v>FARMÁCIA INDIANA LJ 85 (10128)</v>
      </c>
      <c r="G857" t="str">
        <f t="shared" ref="G857:G862" si="445">"Serv.Prest. 03/02/2025 a 09/02/2025 - RPS: 473 - NFSe: 2700"</f>
        <v>Serv.Prest. 03/02/2025 a 09/02/2025 - RPS: 473 - NFSe: 2700</v>
      </c>
      <c r="H857" t="str">
        <f t="shared" si="437"/>
        <v>19/02/2025</v>
      </c>
      <c r="I857" t="str">
        <f t="shared" si="438"/>
        <v>10/02/2025</v>
      </c>
      <c r="J857" t="str">
        <f t="shared" si="439"/>
        <v>19/02/2025</v>
      </c>
      <c r="K857">
        <v>704.04</v>
      </c>
      <c r="L857">
        <v>704.04</v>
      </c>
      <c r="M857">
        <v>303</v>
      </c>
      <c r="N857" t="str">
        <f t="shared" si="440"/>
        <v>RECEITAS COM ENTREGAS</v>
      </c>
      <c r="O857">
        <v>704.04</v>
      </c>
      <c r="R857" t="str">
        <f t="shared" si="441"/>
        <v>RECEITAS COM ENTREGAS (303)</v>
      </c>
      <c r="S857">
        <v>1058</v>
      </c>
      <c r="T857">
        <v>847</v>
      </c>
      <c r="U857" t="s">
        <v>19</v>
      </c>
    </row>
    <row r="858" spans="1:21">
      <c r="A858" t="str">
        <f t="shared" si="432"/>
        <v>19/02/2025</v>
      </c>
      <c r="B858" t="str">
        <f t="shared" si="442"/>
        <v>ENTRADA</v>
      </c>
      <c r="C858" t="str">
        <f t="shared" si="433"/>
        <v>NFSE</v>
      </c>
      <c r="D858" t="str">
        <f t="shared" si="443"/>
        <v>2700</v>
      </c>
      <c r="E858" t="str">
        <f t="shared" si="428"/>
        <v>COM</v>
      </c>
      <c r="F858" t="str">
        <f t="shared" si="444"/>
        <v>FARMÁCIA INDIANA LJ 85 (10128)</v>
      </c>
      <c r="G858" t="str">
        <f t="shared" si="445"/>
        <v>Serv.Prest. 03/02/2025 a 09/02/2025 - RPS: 473 - NFSe: 2700</v>
      </c>
      <c r="H858" t="str">
        <f t="shared" si="437"/>
        <v>19/02/2025</v>
      </c>
      <c r="I858" t="str">
        <f t="shared" si="438"/>
        <v>10/02/2025</v>
      </c>
      <c r="J858" t="str">
        <f t="shared" si="439"/>
        <v>19/02/2025</v>
      </c>
      <c r="M858">
        <v>303</v>
      </c>
      <c r="N858" t="str">
        <f t="shared" si="440"/>
        <v>RECEITAS COM ENTREGAS</v>
      </c>
      <c r="P858">
        <v>160.16999999999999</v>
      </c>
      <c r="Q858" t="str">
        <f>"FARMÁCIA INDIANA LJ 119 (10053)"</f>
        <v>FARMÁCIA INDIANA LJ 119 (10053)</v>
      </c>
      <c r="R858" t="str">
        <f t="shared" si="441"/>
        <v>RECEITAS COM ENTREGAS (303)</v>
      </c>
      <c r="S858">
        <v>1058</v>
      </c>
      <c r="T858">
        <v>847</v>
      </c>
      <c r="U858" t="s">
        <v>19</v>
      </c>
    </row>
    <row r="859" spans="1:21">
      <c r="A859" t="str">
        <f t="shared" si="432"/>
        <v>19/02/2025</v>
      </c>
      <c r="B859" t="str">
        <f t="shared" si="442"/>
        <v>ENTRADA</v>
      </c>
      <c r="C859" t="str">
        <f t="shared" si="433"/>
        <v>NFSE</v>
      </c>
      <c r="D859" t="str">
        <f t="shared" si="443"/>
        <v>2700</v>
      </c>
      <c r="E859" t="str">
        <f t="shared" si="428"/>
        <v>COM</v>
      </c>
      <c r="F859" t="str">
        <f t="shared" si="444"/>
        <v>FARMÁCIA INDIANA LJ 85 (10128)</v>
      </c>
      <c r="G859" t="str">
        <f t="shared" si="445"/>
        <v>Serv.Prest. 03/02/2025 a 09/02/2025 - RPS: 473 - NFSe: 2700</v>
      </c>
      <c r="H859" t="str">
        <f t="shared" si="437"/>
        <v>19/02/2025</v>
      </c>
      <c r="I859" t="str">
        <f t="shared" si="438"/>
        <v>10/02/2025</v>
      </c>
      <c r="J859" t="str">
        <f t="shared" si="439"/>
        <v>19/02/2025</v>
      </c>
      <c r="M859">
        <v>303</v>
      </c>
      <c r="N859" t="str">
        <f t="shared" si="440"/>
        <v>RECEITAS COM ENTREGAS</v>
      </c>
      <c r="P859">
        <v>109.62</v>
      </c>
      <c r="Q859" t="str">
        <f>"FARMÁCIA INDIANA LJ 163 (10072)"</f>
        <v>FARMÁCIA INDIANA LJ 163 (10072)</v>
      </c>
      <c r="R859" t="str">
        <f t="shared" si="441"/>
        <v>RECEITAS COM ENTREGAS (303)</v>
      </c>
      <c r="S859">
        <v>1058</v>
      </c>
      <c r="T859">
        <v>847</v>
      </c>
      <c r="U859" t="s">
        <v>19</v>
      </c>
    </row>
    <row r="860" spans="1:21">
      <c r="A860" t="str">
        <f t="shared" si="432"/>
        <v>19/02/2025</v>
      </c>
      <c r="B860" t="str">
        <f t="shared" si="442"/>
        <v>ENTRADA</v>
      </c>
      <c r="C860" t="str">
        <f t="shared" si="433"/>
        <v>NFSE</v>
      </c>
      <c r="D860" t="str">
        <f t="shared" si="443"/>
        <v>2700</v>
      </c>
      <c r="E860" t="str">
        <f t="shared" si="428"/>
        <v>COM</v>
      </c>
      <c r="F860" t="str">
        <f t="shared" si="444"/>
        <v>FARMÁCIA INDIANA LJ 85 (10128)</v>
      </c>
      <c r="G860" t="str">
        <f t="shared" si="445"/>
        <v>Serv.Prest. 03/02/2025 a 09/02/2025 - RPS: 473 - NFSe: 2700</v>
      </c>
      <c r="H860" t="str">
        <f t="shared" si="437"/>
        <v>19/02/2025</v>
      </c>
      <c r="I860" t="str">
        <f t="shared" si="438"/>
        <v>10/02/2025</v>
      </c>
      <c r="J860" t="str">
        <f t="shared" si="439"/>
        <v>19/02/2025</v>
      </c>
      <c r="M860">
        <v>303</v>
      </c>
      <c r="N860" t="str">
        <f t="shared" si="440"/>
        <v>RECEITAS COM ENTREGAS</v>
      </c>
      <c r="P860">
        <v>92.02</v>
      </c>
      <c r="Q860" t="str">
        <f>"FARMÁCIA INDIANA LJ 181 (10078)"</f>
        <v>FARMÁCIA INDIANA LJ 181 (10078)</v>
      </c>
      <c r="R860" t="str">
        <f t="shared" si="441"/>
        <v>RECEITAS COM ENTREGAS (303)</v>
      </c>
      <c r="S860">
        <v>1058</v>
      </c>
      <c r="T860">
        <v>847</v>
      </c>
      <c r="U860" t="s">
        <v>19</v>
      </c>
    </row>
    <row r="861" spans="1:21">
      <c r="A861" t="str">
        <f t="shared" si="432"/>
        <v>19/02/2025</v>
      </c>
      <c r="B861" t="str">
        <f t="shared" si="442"/>
        <v>ENTRADA</v>
      </c>
      <c r="C861" t="str">
        <f t="shared" si="433"/>
        <v>NFSE</v>
      </c>
      <c r="D861" t="str">
        <f t="shared" si="443"/>
        <v>2700</v>
      </c>
      <c r="E861" t="str">
        <f t="shared" si="428"/>
        <v>COM</v>
      </c>
      <c r="F861" t="str">
        <f t="shared" si="444"/>
        <v>FARMÁCIA INDIANA LJ 85 (10128)</v>
      </c>
      <c r="G861" t="str">
        <f t="shared" si="445"/>
        <v>Serv.Prest. 03/02/2025 a 09/02/2025 - RPS: 473 - NFSe: 2700</v>
      </c>
      <c r="H861" t="str">
        <f t="shared" si="437"/>
        <v>19/02/2025</v>
      </c>
      <c r="I861" t="str">
        <f t="shared" si="438"/>
        <v>10/02/2025</v>
      </c>
      <c r="J861" t="str">
        <f t="shared" si="439"/>
        <v>19/02/2025</v>
      </c>
      <c r="M861">
        <v>303</v>
      </c>
      <c r="N861" t="str">
        <f t="shared" si="440"/>
        <v>RECEITAS COM ENTREGAS</v>
      </c>
      <c r="P861">
        <v>160.16999999999999</v>
      </c>
      <c r="Q861" t="str">
        <f>"FARMÁCIA INDIANA LJ 221 (10093)"</f>
        <v>FARMÁCIA INDIANA LJ 221 (10093)</v>
      </c>
      <c r="R861" t="str">
        <f t="shared" si="441"/>
        <v>RECEITAS COM ENTREGAS (303)</v>
      </c>
      <c r="S861">
        <v>1058</v>
      </c>
      <c r="T861">
        <v>847</v>
      </c>
      <c r="U861" t="s">
        <v>19</v>
      </c>
    </row>
    <row r="862" spans="1:21">
      <c r="A862" t="str">
        <f t="shared" si="432"/>
        <v>19/02/2025</v>
      </c>
      <c r="B862" t="str">
        <f t="shared" si="442"/>
        <v>ENTRADA</v>
      </c>
      <c r="C862" t="str">
        <f t="shared" si="433"/>
        <v>NFSE</v>
      </c>
      <c r="D862" t="str">
        <f t="shared" si="443"/>
        <v>2700</v>
      </c>
      <c r="E862" t="str">
        <f t="shared" si="428"/>
        <v>COM</v>
      </c>
      <c r="F862" t="str">
        <f t="shared" si="444"/>
        <v>FARMÁCIA INDIANA LJ 85 (10128)</v>
      </c>
      <c r="G862" t="str">
        <f t="shared" si="445"/>
        <v>Serv.Prest. 03/02/2025 a 09/02/2025 - RPS: 473 - NFSe: 2700</v>
      </c>
      <c r="H862" t="str">
        <f t="shared" si="437"/>
        <v>19/02/2025</v>
      </c>
      <c r="I862" t="str">
        <f t="shared" si="438"/>
        <v>10/02/2025</v>
      </c>
      <c r="J862" t="str">
        <f t="shared" si="439"/>
        <v>19/02/2025</v>
      </c>
      <c r="M862">
        <v>303</v>
      </c>
      <c r="N862" t="str">
        <f t="shared" si="440"/>
        <v>RECEITAS COM ENTREGAS</v>
      </c>
      <c r="P862">
        <v>182.06</v>
      </c>
      <c r="Q862" t="str">
        <f>"FARMÁCIA INDIANA LJ 243 (10142)"</f>
        <v>FARMÁCIA INDIANA LJ 243 (10142)</v>
      </c>
      <c r="R862" t="str">
        <f t="shared" si="441"/>
        <v>RECEITAS COM ENTREGAS (303)</v>
      </c>
      <c r="S862">
        <v>1058</v>
      </c>
      <c r="T862">
        <v>847</v>
      </c>
      <c r="U862" t="s">
        <v>19</v>
      </c>
    </row>
    <row r="863" spans="1:21">
      <c r="A863" t="str">
        <f t="shared" si="432"/>
        <v>19/02/2025</v>
      </c>
      <c r="B863" t="str">
        <f t="shared" si="442"/>
        <v>ENTRADA</v>
      </c>
      <c r="C863" t="str">
        <f t="shared" si="433"/>
        <v>NFSE</v>
      </c>
      <c r="D863" t="str">
        <f t="shared" ref="D863:D908" si="446">"2701"</f>
        <v>2701</v>
      </c>
      <c r="E863" t="str">
        <f t="shared" si="428"/>
        <v>COM</v>
      </c>
      <c r="F863" t="str">
        <f t="shared" ref="F863:F908" si="447">"FARMÁCIA INDIANA LJ 1 (10126)"</f>
        <v>FARMÁCIA INDIANA LJ 1 (10126)</v>
      </c>
      <c r="G863" t="str">
        <f t="shared" ref="G863:G908" si="448">"Serv.Prest. 03/02/2025 a 09/02/2025 - RPS: 474 - NFSe: 2701"</f>
        <v>Serv.Prest. 03/02/2025 a 09/02/2025 - RPS: 474 - NFSe: 2701</v>
      </c>
      <c r="H863" t="str">
        <f t="shared" si="437"/>
        <v>19/02/2025</v>
      </c>
      <c r="I863" t="str">
        <f t="shared" ref="I863:I908" si="449">("11/02/2025")</f>
        <v>11/02/2025</v>
      </c>
      <c r="J863" t="str">
        <f t="shared" si="439"/>
        <v>19/02/2025</v>
      </c>
      <c r="K863">
        <v>12139.33</v>
      </c>
      <c r="L863">
        <v>12139.33</v>
      </c>
      <c r="M863">
        <v>303</v>
      </c>
      <c r="N863" t="str">
        <f t="shared" si="440"/>
        <v>RECEITAS COM ENTREGAS</v>
      </c>
      <c r="O863">
        <v>12139.33</v>
      </c>
      <c r="R863" t="str">
        <f t="shared" si="441"/>
        <v>RECEITAS COM ENTREGAS (303)</v>
      </c>
      <c r="S863">
        <v>1059</v>
      </c>
      <c r="T863">
        <v>848</v>
      </c>
      <c r="U863" t="s">
        <v>19</v>
      </c>
    </row>
    <row r="864" spans="1:21">
      <c r="A864" t="str">
        <f t="shared" si="432"/>
        <v>19/02/2025</v>
      </c>
      <c r="B864" t="str">
        <f t="shared" si="442"/>
        <v>ENTRADA</v>
      </c>
      <c r="C864" t="str">
        <f t="shared" si="433"/>
        <v>NFSE</v>
      </c>
      <c r="D864" t="str">
        <f t="shared" si="446"/>
        <v>2701</v>
      </c>
      <c r="E864" t="str">
        <f t="shared" si="428"/>
        <v>COM</v>
      </c>
      <c r="F864" t="str">
        <f t="shared" si="447"/>
        <v>FARMÁCIA INDIANA LJ 1 (10126)</v>
      </c>
      <c r="G864" t="str">
        <f t="shared" si="448"/>
        <v>Serv.Prest. 03/02/2025 a 09/02/2025 - RPS: 474 - NFSe: 2701</v>
      </c>
      <c r="H864" t="str">
        <f t="shared" si="437"/>
        <v>19/02/2025</v>
      </c>
      <c r="I864" t="str">
        <f t="shared" si="449"/>
        <v>11/02/2025</v>
      </c>
      <c r="J864" t="str">
        <f t="shared" si="439"/>
        <v>19/02/2025</v>
      </c>
      <c r="M864">
        <v>303</v>
      </c>
      <c r="N864" t="str">
        <f t="shared" si="440"/>
        <v>RECEITAS COM ENTREGAS</v>
      </c>
      <c r="P864">
        <v>1525.88</v>
      </c>
      <c r="Q864" t="str">
        <f>"FARMÁCIA INDIANA LJ 06 (10006)"</f>
        <v>FARMÁCIA INDIANA LJ 06 (10006)</v>
      </c>
      <c r="R864" t="str">
        <f t="shared" si="441"/>
        <v>RECEITAS COM ENTREGAS (303)</v>
      </c>
      <c r="S864">
        <v>1059</v>
      </c>
      <c r="T864">
        <v>848</v>
      </c>
      <c r="U864" t="s">
        <v>19</v>
      </c>
    </row>
    <row r="865" spans="1:21">
      <c r="A865" t="str">
        <f t="shared" si="432"/>
        <v>19/02/2025</v>
      </c>
      <c r="B865" t="str">
        <f t="shared" si="442"/>
        <v>ENTRADA</v>
      </c>
      <c r="C865" t="str">
        <f t="shared" si="433"/>
        <v>NFSE</v>
      </c>
      <c r="D865" t="str">
        <f t="shared" si="446"/>
        <v>2701</v>
      </c>
      <c r="E865" t="str">
        <f t="shared" ref="E865:E896" si="450">"COM"</f>
        <v>COM</v>
      </c>
      <c r="F865" t="str">
        <f t="shared" si="447"/>
        <v>FARMÁCIA INDIANA LJ 1 (10126)</v>
      </c>
      <c r="G865" t="str">
        <f t="shared" si="448"/>
        <v>Serv.Prest. 03/02/2025 a 09/02/2025 - RPS: 474 - NFSe: 2701</v>
      </c>
      <c r="H865" t="str">
        <f t="shared" si="437"/>
        <v>19/02/2025</v>
      </c>
      <c r="I865" t="str">
        <f t="shared" si="449"/>
        <v>11/02/2025</v>
      </c>
      <c r="J865" t="str">
        <f t="shared" si="439"/>
        <v>19/02/2025</v>
      </c>
      <c r="M865">
        <v>303</v>
      </c>
      <c r="N865" t="str">
        <f t="shared" si="440"/>
        <v>RECEITAS COM ENTREGAS</v>
      </c>
      <c r="P865">
        <v>1613.32</v>
      </c>
      <c r="Q865" t="str">
        <f>"FARMÁCIA INDIANA LJ 07 (10007)"</f>
        <v>FARMÁCIA INDIANA LJ 07 (10007)</v>
      </c>
      <c r="R865" t="str">
        <f t="shared" si="441"/>
        <v>RECEITAS COM ENTREGAS (303)</v>
      </c>
      <c r="S865">
        <v>1059</v>
      </c>
      <c r="T865">
        <v>848</v>
      </c>
      <c r="U865" t="s">
        <v>19</v>
      </c>
    </row>
    <row r="866" spans="1:21">
      <c r="A866" t="str">
        <f t="shared" si="432"/>
        <v>19/02/2025</v>
      </c>
      <c r="B866" t="str">
        <f t="shared" si="442"/>
        <v>ENTRADA</v>
      </c>
      <c r="C866" t="str">
        <f t="shared" si="433"/>
        <v>NFSE</v>
      </c>
      <c r="D866" t="str">
        <f t="shared" si="446"/>
        <v>2701</v>
      </c>
      <c r="E866" t="str">
        <f t="shared" si="450"/>
        <v>COM</v>
      </c>
      <c r="F866" t="str">
        <f t="shared" si="447"/>
        <v>FARMÁCIA INDIANA LJ 1 (10126)</v>
      </c>
      <c r="G866" t="str">
        <f t="shared" si="448"/>
        <v>Serv.Prest. 03/02/2025 a 09/02/2025 - RPS: 474 - NFSe: 2701</v>
      </c>
      <c r="H866" t="str">
        <f t="shared" si="437"/>
        <v>19/02/2025</v>
      </c>
      <c r="I866" t="str">
        <f t="shared" si="449"/>
        <v>11/02/2025</v>
      </c>
      <c r="J866" t="str">
        <f t="shared" si="439"/>
        <v>19/02/2025</v>
      </c>
      <c r="M866">
        <v>303</v>
      </c>
      <c r="N866" t="str">
        <f t="shared" si="440"/>
        <v>RECEITAS COM ENTREGAS</v>
      </c>
      <c r="P866">
        <v>1017.28</v>
      </c>
      <c r="Q866" t="str">
        <f>"FARMÁCIA INDIANA LJ 11 (10008)"</f>
        <v>FARMÁCIA INDIANA LJ 11 (10008)</v>
      </c>
      <c r="R866" t="str">
        <f t="shared" si="441"/>
        <v>RECEITAS COM ENTREGAS (303)</v>
      </c>
      <c r="S866">
        <v>1059</v>
      </c>
      <c r="T866">
        <v>848</v>
      </c>
      <c r="U866" t="s">
        <v>19</v>
      </c>
    </row>
    <row r="867" spans="1:21">
      <c r="A867" t="str">
        <f t="shared" si="432"/>
        <v>19/02/2025</v>
      </c>
      <c r="B867" t="str">
        <f t="shared" si="442"/>
        <v>ENTRADA</v>
      </c>
      <c r="C867" t="str">
        <f t="shared" si="433"/>
        <v>NFSE</v>
      </c>
      <c r="D867" t="str">
        <f t="shared" si="446"/>
        <v>2701</v>
      </c>
      <c r="E867" t="str">
        <f t="shared" si="450"/>
        <v>COM</v>
      </c>
      <c r="F867" t="str">
        <f t="shared" si="447"/>
        <v>FARMÁCIA INDIANA LJ 1 (10126)</v>
      </c>
      <c r="G867" t="str">
        <f t="shared" si="448"/>
        <v>Serv.Prest. 03/02/2025 a 09/02/2025 - RPS: 474 - NFSe: 2701</v>
      </c>
      <c r="H867" t="str">
        <f t="shared" si="437"/>
        <v>19/02/2025</v>
      </c>
      <c r="I867" t="str">
        <f t="shared" si="449"/>
        <v>11/02/2025</v>
      </c>
      <c r="J867" t="str">
        <f t="shared" si="439"/>
        <v>19/02/2025</v>
      </c>
      <c r="M867">
        <v>303</v>
      </c>
      <c r="N867" t="str">
        <f t="shared" si="440"/>
        <v>RECEITAS COM ENTREGAS</v>
      </c>
      <c r="P867">
        <v>321.69</v>
      </c>
      <c r="Q867" t="str">
        <f>"FARMÁCIA INDIANA LJ 14 (10009)"</f>
        <v>FARMÁCIA INDIANA LJ 14 (10009)</v>
      </c>
      <c r="R867" t="str">
        <f t="shared" si="441"/>
        <v>RECEITAS COM ENTREGAS (303)</v>
      </c>
      <c r="S867">
        <v>1059</v>
      </c>
      <c r="T867">
        <v>848</v>
      </c>
      <c r="U867" t="s">
        <v>19</v>
      </c>
    </row>
    <row r="868" spans="1:21">
      <c r="A868" t="str">
        <f t="shared" si="432"/>
        <v>19/02/2025</v>
      </c>
      <c r="B868" t="str">
        <f t="shared" si="442"/>
        <v>ENTRADA</v>
      </c>
      <c r="C868" t="str">
        <f t="shared" si="433"/>
        <v>NFSE</v>
      </c>
      <c r="D868" t="str">
        <f t="shared" si="446"/>
        <v>2701</v>
      </c>
      <c r="E868" t="str">
        <f t="shared" si="450"/>
        <v>COM</v>
      </c>
      <c r="F868" t="str">
        <f t="shared" si="447"/>
        <v>FARMÁCIA INDIANA LJ 1 (10126)</v>
      </c>
      <c r="G868" t="str">
        <f t="shared" si="448"/>
        <v>Serv.Prest. 03/02/2025 a 09/02/2025 - RPS: 474 - NFSe: 2701</v>
      </c>
      <c r="H868" t="str">
        <f t="shared" si="437"/>
        <v>19/02/2025</v>
      </c>
      <c r="I868" t="str">
        <f t="shared" si="449"/>
        <v>11/02/2025</v>
      </c>
      <c r="J868" t="str">
        <f t="shared" si="439"/>
        <v>19/02/2025</v>
      </c>
      <c r="M868">
        <v>303</v>
      </c>
      <c r="N868" t="str">
        <f t="shared" si="440"/>
        <v>RECEITAS COM ENTREGAS</v>
      </c>
      <c r="P868">
        <v>377.53</v>
      </c>
      <c r="Q868" t="str">
        <f>"FARMÁCIA INDIANA LJ 18 (10011)"</f>
        <v>FARMÁCIA INDIANA LJ 18 (10011)</v>
      </c>
      <c r="R868" t="str">
        <f t="shared" si="441"/>
        <v>RECEITAS COM ENTREGAS (303)</v>
      </c>
      <c r="S868">
        <v>1059</v>
      </c>
      <c r="T868">
        <v>848</v>
      </c>
      <c r="U868" t="s">
        <v>19</v>
      </c>
    </row>
    <row r="869" spans="1:21">
      <c r="A869" t="str">
        <f t="shared" si="432"/>
        <v>19/02/2025</v>
      </c>
      <c r="B869" t="str">
        <f t="shared" si="442"/>
        <v>ENTRADA</v>
      </c>
      <c r="C869" t="str">
        <f t="shared" si="433"/>
        <v>NFSE</v>
      </c>
      <c r="D869" t="str">
        <f t="shared" si="446"/>
        <v>2701</v>
      </c>
      <c r="E869" t="str">
        <f t="shared" si="450"/>
        <v>COM</v>
      </c>
      <c r="F869" t="str">
        <f t="shared" si="447"/>
        <v>FARMÁCIA INDIANA LJ 1 (10126)</v>
      </c>
      <c r="G869" t="str">
        <f t="shared" si="448"/>
        <v>Serv.Prest. 03/02/2025 a 09/02/2025 - RPS: 474 - NFSe: 2701</v>
      </c>
      <c r="H869" t="str">
        <f t="shared" si="437"/>
        <v>19/02/2025</v>
      </c>
      <c r="I869" t="str">
        <f t="shared" si="449"/>
        <v>11/02/2025</v>
      </c>
      <c r="J869" t="str">
        <f t="shared" si="439"/>
        <v>19/02/2025</v>
      </c>
      <c r="M869">
        <v>303</v>
      </c>
      <c r="N869" t="str">
        <f t="shared" si="440"/>
        <v>RECEITAS COM ENTREGAS</v>
      </c>
      <c r="P869">
        <v>276.77999999999997</v>
      </c>
      <c r="Q869" t="str">
        <f>"FARMÁCIA INDIANA LJ 19 (10012)"</f>
        <v>FARMÁCIA INDIANA LJ 19 (10012)</v>
      </c>
      <c r="R869" t="str">
        <f t="shared" si="441"/>
        <v>RECEITAS COM ENTREGAS (303)</v>
      </c>
      <c r="S869">
        <v>1059</v>
      </c>
      <c r="T869">
        <v>848</v>
      </c>
      <c r="U869" t="s">
        <v>19</v>
      </c>
    </row>
    <row r="870" spans="1:21">
      <c r="A870" t="str">
        <f t="shared" si="432"/>
        <v>19/02/2025</v>
      </c>
      <c r="B870" t="str">
        <f t="shared" si="442"/>
        <v>ENTRADA</v>
      </c>
      <c r="C870" t="str">
        <f t="shared" si="433"/>
        <v>NFSE</v>
      </c>
      <c r="D870" t="str">
        <f t="shared" si="446"/>
        <v>2701</v>
      </c>
      <c r="E870" t="str">
        <f t="shared" si="450"/>
        <v>COM</v>
      </c>
      <c r="F870" t="str">
        <f t="shared" si="447"/>
        <v>FARMÁCIA INDIANA LJ 1 (10126)</v>
      </c>
      <c r="G870" t="str">
        <f t="shared" si="448"/>
        <v>Serv.Prest. 03/02/2025 a 09/02/2025 - RPS: 474 - NFSe: 2701</v>
      </c>
      <c r="H870" t="str">
        <f t="shared" si="437"/>
        <v>19/02/2025</v>
      </c>
      <c r="I870" t="str">
        <f t="shared" si="449"/>
        <v>11/02/2025</v>
      </c>
      <c r="J870" t="str">
        <f t="shared" si="439"/>
        <v>19/02/2025</v>
      </c>
      <c r="M870">
        <v>303</v>
      </c>
      <c r="N870" t="str">
        <f t="shared" si="440"/>
        <v>RECEITAS COM ENTREGAS</v>
      </c>
      <c r="P870">
        <v>521.99</v>
      </c>
      <c r="Q870" t="str">
        <f>"FARMÁCIA INDIANA LJ 40 (10016)"</f>
        <v>FARMÁCIA INDIANA LJ 40 (10016)</v>
      </c>
      <c r="R870" t="str">
        <f t="shared" si="441"/>
        <v>RECEITAS COM ENTREGAS (303)</v>
      </c>
      <c r="S870">
        <v>1059</v>
      </c>
      <c r="T870">
        <v>848</v>
      </c>
      <c r="U870" t="s">
        <v>19</v>
      </c>
    </row>
    <row r="871" spans="1:21">
      <c r="A871" t="str">
        <f t="shared" si="432"/>
        <v>19/02/2025</v>
      </c>
      <c r="B871" t="str">
        <f t="shared" si="442"/>
        <v>ENTRADA</v>
      </c>
      <c r="C871" t="str">
        <f t="shared" si="433"/>
        <v>NFSE</v>
      </c>
      <c r="D871" t="str">
        <f t="shared" si="446"/>
        <v>2701</v>
      </c>
      <c r="E871" t="str">
        <f t="shared" si="450"/>
        <v>COM</v>
      </c>
      <c r="F871" t="str">
        <f t="shared" si="447"/>
        <v>FARMÁCIA INDIANA LJ 1 (10126)</v>
      </c>
      <c r="G871" t="str">
        <f t="shared" si="448"/>
        <v>Serv.Prest. 03/02/2025 a 09/02/2025 - RPS: 474 - NFSe: 2701</v>
      </c>
      <c r="H871" t="str">
        <f t="shared" si="437"/>
        <v>19/02/2025</v>
      </c>
      <c r="I871" t="str">
        <f t="shared" si="449"/>
        <v>11/02/2025</v>
      </c>
      <c r="J871" t="str">
        <f t="shared" si="439"/>
        <v>19/02/2025</v>
      </c>
      <c r="M871">
        <v>303</v>
      </c>
      <c r="N871" t="str">
        <f t="shared" si="440"/>
        <v>RECEITAS COM ENTREGAS</v>
      </c>
      <c r="P871">
        <v>475.86</v>
      </c>
      <c r="Q871" t="str">
        <f>"FARMÁCIA INDIANA LJ 59 (10026)"</f>
        <v>FARMÁCIA INDIANA LJ 59 (10026)</v>
      </c>
      <c r="R871" t="str">
        <f t="shared" si="441"/>
        <v>RECEITAS COM ENTREGAS (303)</v>
      </c>
      <c r="S871">
        <v>1059</v>
      </c>
      <c r="T871">
        <v>848</v>
      </c>
      <c r="U871" t="s">
        <v>19</v>
      </c>
    </row>
    <row r="872" spans="1:21">
      <c r="A872" t="str">
        <f t="shared" si="432"/>
        <v>19/02/2025</v>
      </c>
      <c r="B872" t="str">
        <f t="shared" si="442"/>
        <v>ENTRADA</v>
      </c>
      <c r="C872" t="str">
        <f t="shared" si="433"/>
        <v>NFSE</v>
      </c>
      <c r="D872" t="str">
        <f t="shared" si="446"/>
        <v>2701</v>
      </c>
      <c r="E872" t="str">
        <f t="shared" si="450"/>
        <v>COM</v>
      </c>
      <c r="F872" t="str">
        <f t="shared" si="447"/>
        <v>FARMÁCIA INDIANA LJ 1 (10126)</v>
      </c>
      <c r="G872" t="str">
        <f t="shared" si="448"/>
        <v>Serv.Prest. 03/02/2025 a 09/02/2025 - RPS: 474 - NFSe: 2701</v>
      </c>
      <c r="H872" t="str">
        <f t="shared" si="437"/>
        <v>19/02/2025</v>
      </c>
      <c r="I872" t="str">
        <f t="shared" si="449"/>
        <v>11/02/2025</v>
      </c>
      <c r="J872" t="str">
        <f t="shared" si="439"/>
        <v>19/02/2025</v>
      </c>
      <c r="M872">
        <v>303</v>
      </c>
      <c r="N872" t="str">
        <f t="shared" si="440"/>
        <v>RECEITAS COM ENTREGAS</v>
      </c>
      <c r="P872">
        <v>432.16</v>
      </c>
      <c r="Q872" t="str">
        <f>"FARMÁCIA INDIANA LJ 61 (10027)"</f>
        <v>FARMÁCIA INDIANA LJ 61 (10027)</v>
      </c>
      <c r="R872" t="str">
        <f t="shared" si="441"/>
        <v>RECEITAS COM ENTREGAS (303)</v>
      </c>
      <c r="S872">
        <v>1059</v>
      </c>
      <c r="T872">
        <v>848</v>
      </c>
      <c r="U872" t="s">
        <v>19</v>
      </c>
    </row>
    <row r="873" spans="1:21">
      <c r="A873" t="str">
        <f t="shared" si="432"/>
        <v>19/02/2025</v>
      </c>
      <c r="B873" t="str">
        <f t="shared" si="442"/>
        <v>ENTRADA</v>
      </c>
      <c r="C873" t="str">
        <f t="shared" si="433"/>
        <v>NFSE</v>
      </c>
      <c r="D873" t="str">
        <f t="shared" si="446"/>
        <v>2701</v>
      </c>
      <c r="E873" t="str">
        <f t="shared" si="450"/>
        <v>COM</v>
      </c>
      <c r="F873" t="str">
        <f t="shared" si="447"/>
        <v>FARMÁCIA INDIANA LJ 1 (10126)</v>
      </c>
      <c r="G873" t="str">
        <f t="shared" si="448"/>
        <v>Serv.Prest. 03/02/2025 a 09/02/2025 - RPS: 474 - NFSe: 2701</v>
      </c>
      <c r="H873" t="str">
        <f t="shared" si="437"/>
        <v>19/02/2025</v>
      </c>
      <c r="I873" t="str">
        <f t="shared" si="449"/>
        <v>11/02/2025</v>
      </c>
      <c r="J873" t="str">
        <f t="shared" si="439"/>
        <v>19/02/2025</v>
      </c>
      <c r="M873">
        <v>303</v>
      </c>
      <c r="N873" t="str">
        <f t="shared" si="440"/>
        <v>RECEITAS COM ENTREGAS</v>
      </c>
      <c r="P873">
        <v>246.43</v>
      </c>
      <c r="Q873" t="str">
        <f>"FARMÁCIA INDIANA LJ 62 (10028)"</f>
        <v>FARMÁCIA INDIANA LJ 62 (10028)</v>
      </c>
      <c r="R873" t="str">
        <f t="shared" si="441"/>
        <v>RECEITAS COM ENTREGAS (303)</v>
      </c>
      <c r="S873">
        <v>1059</v>
      </c>
      <c r="T873">
        <v>848</v>
      </c>
      <c r="U873" t="s">
        <v>19</v>
      </c>
    </row>
    <row r="874" spans="1:21">
      <c r="A874" t="str">
        <f t="shared" si="432"/>
        <v>19/02/2025</v>
      </c>
      <c r="B874" t="str">
        <f t="shared" si="442"/>
        <v>ENTRADA</v>
      </c>
      <c r="C874" t="str">
        <f t="shared" si="433"/>
        <v>NFSE</v>
      </c>
      <c r="D874" t="str">
        <f t="shared" si="446"/>
        <v>2701</v>
      </c>
      <c r="E874" t="str">
        <f t="shared" si="450"/>
        <v>COM</v>
      </c>
      <c r="F874" t="str">
        <f t="shared" si="447"/>
        <v>FARMÁCIA INDIANA LJ 1 (10126)</v>
      </c>
      <c r="G874" t="str">
        <f t="shared" si="448"/>
        <v>Serv.Prest. 03/02/2025 a 09/02/2025 - RPS: 474 - NFSe: 2701</v>
      </c>
      <c r="H874" t="str">
        <f t="shared" si="437"/>
        <v>19/02/2025</v>
      </c>
      <c r="I874" t="str">
        <f t="shared" si="449"/>
        <v>11/02/2025</v>
      </c>
      <c r="J874" t="str">
        <f t="shared" si="439"/>
        <v>19/02/2025</v>
      </c>
      <c r="M874">
        <v>303</v>
      </c>
      <c r="N874" t="str">
        <f t="shared" si="440"/>
        <v>RECEITAS COM ENTREGAS</v>
      </c>
      <c r="P874">
        <v>115.32</v>
      </c>
      <c r="Q874" t="str">
        <f>"FARMÁCIA INDIANA LJ 64 (10029)"</f>
        <v>FARMÁCIA INDIANA LJ 64 (10029)</v>
      </c>
      <c r="R874" t="str">
        <f t="shared" si="441"/>
        <v>RECEITAS COM ENTREGAS (303)</v>
      </c>
      <c r="S874">
        <v>1059</v>
      </c>
      <c r="T874">
        <v>848</v>
      </c>
      <c r="U874" t="s">
        <v>19</v>
      </c>
    </row>
    <row r="875" spans="1:21">
      <c r="A875" t="str">
        <f t="shared" si="432"/>
        <v>19/02/2025</v>
      </c>
      <c r="B875" t="str">
        <f t="shared" si="442"/>
        <v>ENTRADA</v>
      </c>
      <c r="C875" t="str">
        <f t="shared" si="433"/>
        <v>NFSE</v>
      </c>
      <c r="D875" t="str">
        <f t="shared" si="446"/>
        <v>2701</v>
      </c>
      <c r="E875" t="str">
        <f t="shared" si="450"/>
        <v>COM</v>
      </c>
      <c r="F875" t="str">
        <f t="shared" si="447"/>
        <v>FARMÁCIA INDIANA LJ 1 (10126)</v>
      </c>
      <c r="G875" t="str">
        <f t="shared" si="448"/>
        <v>Serv.Prest. 03/02/2025 a 09/02/2025 - RPS: 474 - NFSe: 2701</v>
      </c>
      <c r="H875" t="str">
        <f t="shared" si="437"/>
        <v>19/02/2025</v>
      </c>
      <c r="I875" t="str">
        <f t="shared" si="449"/>
        <v>11/02/2025</v>
      </c>
      <c r="J875" t="str">
        <f t="shared" si="439"/>
        <v>19/02/2025</v>
      </c>
      <c r="M875">
        <v>303</v>
      </c>
      <c r="N875" t="str">
        <f t="shared" si="440"/>
        <v>RECEITAS COM ENTREGAS</v>
      </c>
      <c r="P875">
        <v>54.63</v>
      </c>
      <c r="Q875" t="str">
        <f>"FARMÁCIA INDIANA LJ 97 (10040)"</f>
        <v>FARMÁCIA INDIANA LJ 97 (10040)</v>
      </c>
      <c r="R875" t="str">
        <f t="shared" si="441"/>
        <v>RECEITAS COM ENTREGAS (303)</v>
      </c>
      <c r="S875">
        <v>1059</v>
      </c>
      <c r="T875">
        <v>848</v>
      </c>
      <c r="U875" t="s">
        <v>19</v>
      </c>
    </row>
    <row r="876" spans="1:21">
      <c r="A876" t="str">
        <f t="shared" si="432"/>
        <v>19/02/2025</v>
      </c>
      <c r="B876" t="str">
        <f t="shared" si="442"/>
        <v>ENTRADA</v>
      </c>
      <c r="C876" t="str">
        <f t="shared" si="433"/>
        <v>NFSE</v>
      </c>
      <c r="D876" t="str">
        <f t="shared" si="446"/>
        <v>2701</v>
      </c>
      <c r="E876" t="str">
        <f t="shared" si="450"/>
        <v>COM</v>
      </c>
      <c r="F876" t="str">
        <f t="shared" si="447"/>
        <v>FARMÁCIA INDIANA LJ 1 (10126)</v>
      </c>
      <c r="G876" t="str">
        <f t="shared" si="448"/>
        <v>Serv.Prest. 03/02/2025 a 09/02/2025 - RPS: 474 - NFSe: 2701</v>
      </c>
      <c r="H876" t="str">
        <f t="shared" si="437"/>
        <v>19/02/2025</v>
      </c>
      <c r="I876" t="str">
        <f t="shared" si="449"/>
        <v>11/02/2025</v>
      </c>
      <c r="J876" t="str">
        <f t="shared" si="439"/>
        <v>19/02/2025</v>
      </c>
      <c r="M876">
        <v>303</v>
      </c>
      <c r="N876" t="str">
        <f t="shared" si="440"/>
        <v>RECEITAS COM ENTREGAS</v>
      </c>
      <c r="P876">
        <v>320.48</v>
      </c>
      <c r="Q876" t="str">
        <f>"FARMÁCIA INDIANA LJ 100 (10042)"</f>
        <v>FARMÁCIA INDIANA LJ 100 (10042)</v>
      </c>
      <c r="R876" t="str">
        <f t="shared" si="441"/>
        <v>RECEITAS COM ENTREGAS (303)</v>
      </c>
      <c r="S876">
        <v>1059</v>
      </c>
      <c r="T876">
        <v>848</v>
      </c>
      <c r="U876" t="s">
        <v>19</v>
      </c>
    </row>
    <row r="877" spans="1:21">
      <c r="A877" t="str">
        <f t="shared" ref="A877:A908" si="451">("19/02/2025")</f>
        <v>19/02/2025</v>
      </c>
      <c r="B877" t="str">
        <f t="shared" si="442"/>
        <v>ENTRADA</v>
      </c>
      <c r="C877" t="str">
        <f t="shared" ref="C877:C908" si="452">"NFSE"</f>
        <v>NFSE</v>
      </c>
      <c r="D877" t="str">
        <f t="shared" si="446"/>
        <v>2701</v>
      </c>
      <c r="E877" t="str">
        <f t="shared" si="450"/>
        <v>COM</v>
      </c>
      <c r="F877" t="str">
        <f t="shared" si="447"/>
        <v>FARMÁCIA INDIANA LJ 1 (10126)</v>
      </c>
      <c r="G877" t="str">
        <f t="shared" si="448"/>
        <v>Serv.Prest. 03/02/2025 a 09/02/2025 - RPS: 474 - NFSe: 2701</v>
      </c>
      <c r="H877" t="str">
        <f t="shared" ref="H877:H908" si="453">("19/02/2025")</f>
        <v>19/02/2025</v>
      </c>
      <c r="I877" t="str">
        <f t="shared" si="449"/>
        <v>11/02/2025</v>
      </c>
      <c r="J877" t="str">
        <f t="shared" ref="J877:J908" si="454">("19/02/2025")</f>
        <v>19/02/2025</v>
      </c>
      <c r="M877">
        <v>303</v>
      </c>
      <c r="N877" t="str">
        <f t="shared" ref="N877:N908" si="455">"RECEITAS COM ENTREGAS"</f>
        <v>RECEITAS COM ENTREGAS</v>
      </c>
      <c r="P877">
        <v>420.02</v>
      </c>
      <c r="Q877" t="str">
        <f>"FARMÁCIA INDIANA LJ 101 (10043)"</f>
        <v>FARMÁCIA INDIANA LJ 101 (10043)</v>
      </c>
      <c r="R877" t="str">
        <f t="shared" ref="R877:R908" si="456">"RECEITAS COM ENTREGAS (303)"</f>
        <v>RECEITAS COM ENTREGAS (303)</v>
      </c>
      <c r="S877">
        <v>1059</v>
      </c>
      <c r="T877">
        <v>848</v>
      </c>
      <c r="U877" t="s">
        <v>19</v>
      </c>
    </row>
    <row r="878" spans="1:21">
      <c r="A878" t="str">
        <f t="shared" si="451"/>
        <v>19/02/2025</v>
      </c>
      <c r="B878" t="str">
        <f t="shared" si="442"/>
        <v>ENTRADA</v>
      </c>
      <c r="C878" t="str">
        <f t="shared" si="452"/>
        <v>NFSE</v>
      </c>
      <c r="D878" t="str">
        <f t="shared" si="446"/>
        <v>2701</v>
      </c>
      <c r="E878" t="str">
        <f t="shared" si="450"/>
        <v>COM</v>
      </c>
      <c r="F878" t="str">
        <f t="shared" si="447"/>
        <v>FARMÁCIA INDIANA LJ 1 (10126)</v>
      </c>
      <c r="G878" t="str">
        <f t="shared" si="448"/>
        <v>Serv.Prest. 03/02/2025 a 09/02/2025 - RPS: 474 - NFSe: 2701</v>
      </c>
      <c r="H878" t="str">
        <f t="shared" si="453"/>
        <v>19/02/2025</v>
      </c>
      <c r="I878" t="str">
        <f t="shared" si="449"/>
        <v>11/02/2025</v>
      </c>
      <c r="J878" t="str">
        <f t="shared" si="454"/>
        <v>19/02/2025</v>
      </c>
      <c r="M878">
        <v>303</v>
      </c>
      <c r="N878" t="str">
        <f t="shared" si="455"/>
        <v>RECEITAS COM ENTREGAS</v>
      </c>
      <c r="P878">
        <v>61.91</v>
      </c>
      <c r="Q878" t="str">
        <f>"FARMÁCIA INDIANA LJ 103 (10044)"</f>
        <v>FARMÁCIA INDIANA LJ 103 (10044)</v>
      </c>
      <c r="R878" t="str">
        <f t="shared" si="456"/>
        <v>RECEITAS COM ENTREGAS (303)</v>
      </c>
      <c r="S878">
        <v>1059</v>
      </c>
      <c r="T878">
        <v>848</v>
      </c>
      <c r="U878" t="s">
        <v>19</v>
      </c>
    </row>
    <row r="879" spans="1:21">
      <c r="A879" t="str">
        <f t="shared" si="451"/>
        <v>19/02/2025</v>
      </c>
      <c r="B879" t="str">
        <f t="shared" si="442"/>
        <v>ENTRADA</v>
      </c>
      <c r="C879" t="str">
        <f t="shared" si="452"/>
        <v>NFSE</v>
      </c>
      <c r="D879" t="str">
        <f t="shared" si="446"/>
        <v>2701</v>
      </c>
      <c r="E879" t="str">
        <f t="shared" si="450"/>
        <v>COM</v>
      </c>
      <c r="F879" t="str">
        <f t="shared" si="447"/>
        <v>FARMÁCIA INDIANA LJ 1 (10126)</v>
      </c>
      <c r="G879" t="str">
        <f t="shared" si="448"/>
        <v>Serv.Prest. 03/02/2025 a 09/02/2025 - RPS: 474 - NFSe: 2701</v>
      </c>
      <c r="H879" t="str">
        <f t="shared" si="453"/>
        <v>19/02/2025</v>
      </c>
      <c r="I879" t="str">
        <f t="shared" si="449"/>
        <v>11/02/2025</v>
      </c>
      <c r="J879" t="str">
        <f t="shared" si="454"/>
        <v>19/02/2025</v>
      </c>
      <c r="M879">
        <v>303</v>
      </c>
      <c r="N879" t="str">
        <f t="shared" si="455"/>
        <v>RECEITAS COM ENTREGAS</v>
      </c>
      <c r="P879">
        <v>160.24</v>
      </c>
      <c r="Q879" t="str">
        <f>"FARMÁCIA INDIANA LJ 109 (10047)"</f>
        <v>FARMÁCIA INDIANA LJ 109 (10047)</v>
      </c>
      <c r="R879" t="str">
        <f t="shared" si="456"/>
        <v>RECEITAS COM ENTREGAS (303)</v>
      </c>
      <c r="S879">
        <v>1059</v>
      </c>
      <c r="T879">
        <v>848</v>
      </c>
      <c r="U879" t="s">
        <v>19</v>
      </c>
    </row>
    <row r="880" spans="1:21">
      <c r="A880" t="str">
        <f t="shared" si="451"/>
        <v>19/02/2025</v>
      </c>
      <c r="B880" t="str">
        <f t="shared" si="442"/>
        <v>ENTRADA</v>
      </c>
      <c r="C880" t="str">
        <f t="shared" si="452"/>
        <v>NFSE</v>
      </c>
      <c r="D880" t="str">
        <f t="shared" si="446"/>
        <v>2701</v>
      </c>
      <c r="E880" t="str">
        <f t="shared" si="450"/>
        <v>COM</v>
      </c>
      <c r="F880" t="str">
        <f t="shared" si="447"/>
        <v>FARMÁCIA INDIANA LJ 1 (10126)</v>
      </c>
      <c r="G880" t="str">
        <f t="shared" si="448"/>
        <v>Serv.Prest. 03/02/2025 a 09/02/2025 - RPS: 474 - NFSe: 2701</v>
      </c>
      <c r="H880" t="str">
        <f t="shared" si="453"/>
        <v>19/02/2025</v>
      </c>
      <c r="I880" t="str">
        <f t="shared" si="449"/>
        <v>11/02/2025</v>
      </c>
      <c r="J880" t="str">
        <f t="shared" si="454"/>
        <v>19/02/2025</v>
      </c>
      <c r="M880">
        <v>303</v>
      </c>
      <c r="N880" t="str">
        <f t="shared" si="455"/>
        <v>RECEITAS COM ENTREGAS</v>
      </c>
      <c r="P880">
        <v>480.72</v>
      </c>
      <c r="Q880" t="str">
        <f>"FARMÁCIA INDIANA LJ 110 (10048)"</f>
        <v>FARMÁCIA INDIANA LJ 110 (10048)</v>
      </c>
      <c r="R880" t="str">
        <f t="shared" si="456"/>
        <v>RECEITAS COM ENTREGAS (303)</v>
      </c>
      <c r="S880">
        <v>1059</v>
      </c>
      <c r="T880">
        <v>848</v>
      </c>
      <c r="U880" t="s">
        <v>19</v>
      </c>
    </row>
    <row r="881" spans="1:21">
      <c r="A881" t="str">
        <f t="shared" si="451"/>
        <v>19/02/2025</v>
      </c>
      <c r="B881" t="str">
        <f t="shared" si="442"/>
        <v>ENTRADA</v>
      </c>
      <c r="C881" t="str">
        <f t="shared" si="452"/>
        <v>NFSE</v>
      </c>
      <c r="D881" t="str">
        <f t="shared" si="446"/>
        <v>2701</v>
      </c>
      <c r="E881" t="str">
        <f t="shared" si="450"/>
        <v>COM</v>
      </c>
      <c r="F881" t="str">
        <f t="shared" si="447"/>
        <v>FARMÁCIA INDIANA LJ 1 (10126)</v>
      </c>
      <c r="G881" t="str">
        <f t="shared" si="448"/>
        <v>Serv.Prest. 03/02/2025 a 09/02/2025 - RPS: 474 - NFSe: 2701</v>
      </c>
      <c r="H881" t="str">
        <f t="shared" si="453"/>
        <v>19/02/2025</v>
      </c>
      <c r="I881" t="str">
        <f t="shared" si="449"/>
        <v>11/02/2025</v>
      </c>
      <c r="J881" t="str">
        <f t="shared" si="454"/>
        <v>19/02/2025</v>
      </c>
      <c r="M881">
        <v>303</v>
      </c>
      <c r="N881" t="str">
        <f t="shared" si="455"/>
        <v>RECEITAS COM ENTREGAS</v>
      </c>
      <c r="P881">
        <v>53.41</v>
      </c>
      <c r="Q881" t="str">
        <f>"FARMÁCIA INDIANA LJ 111 (10049)"</f>
        <v>FARMÁCIA INDIANA LJ 111 (10049)</v>
      </c>
      <c r="R881" t="str">
        <f t="shared" si="456"/>
        <v>RECEITAS COM ENTREGAS (303)</v>
      </c>
      <c r="S881">
        <v>1059</v>
      </c>
      <c r="T881">
        <v>848</v>
      </c>
      <c r="U881" t="s">
        <v>19</v>
      </c>
    </row>
    <row r="882" spans="1:21">
      <c r="A882" t="str">
        <f t="shared" si="451"/>
        <v>19/02/2025</v>
      </c>
      <c r="B882" t="str">
        <f t="shared" si="442"/>
        <v>ENTRADA</v>
      </c>
      <c r="C882" t="str">
        <f t="shared" si="452"/>
        <v>NFSE</v>
      </c>
      <c r="D882" t="str">
        <f t="shared" si="446"/>
        <v>2701</v>
      </c>
      <c r="E882" t="str">
        <f t="shared" si="450"/>
        <v>COM</v>
      </c>
      <c r="F882" t="str">
        <f t="shared" si="447"/>
        <v>FARMÁCIA INDIANA LJ 1 (10126)</v>
      </c>
      <c r="G882" t="str">
        <f t="shared" si="448"/>
        <v>Serv.Prest. 03/02/2025 a 09/02/2025 - RPS: 474 - NFSe: 2701</v>
      </c>
      <c r="H882" t="str">
        <f t="shared" si="453"/>
        <v>19/02/2025</v>
      </c>
      <c r="I882" t="str">
        <f t="shared" si="449"/>
        <v>11/02/2025</v>
      </c>
      <c r="J882" t="str">
        <f t="shared" si="454"/>
        <v>19/02/2025</v>
      </c>
      <c r="M882">
        <v>303</v>
      </c>
      <c r="N882" t="str">
        <f t="shared" si="455"/>
        <v>RECEITAS COM ENTREGAS</v>
      </c>
      <c r="P882">
        <v>126.25</v>
      </c>
      <c r="Q882" t="str">
        <f>"FARMÁCIA INDIANA LJ 112 (10050)"</f>
        <v>FARMÁCIA INDIANA LJ 112 (10050)</v>
      </c>
      <c r="R882" t="str">
        <f t="shared" si="456"/>
        <v>RECEITAS COM ENTREGAS (303)</v>
      </c>
      <c r="S882">
        <v>1059</v>
      </c>
      <c r="T882">
        <v>848</v>
      </c>
      <c r="U882" t="s">
        <v>19</v>
      </c>
    </row>
    <row r="883" spans="1:21">
      <c r="A883" t="str">
        <f t="shared" si="451"/>
        <v>19/02/2025</v>
      </c>
      <c r="B883" t="str">
        <f t="shared" si="442"/>
        <v>ENTRADA</v>
      </c>
      <c r="C883" t="str">
        <f t="shared" si="452"/>
        <v>NFSE</v>
      </c>
      <c r="D883" t="str">
        <f t="shared" si="446"/>
        <v>2701</v>
      </c>
      <c r="E883" t="str">
        <f t="shared" si="450"/>
        <v>COM</v>
      </c>
      <c r="F883" t="str">
        <f t="shared" si="447"/>
        <v>FARMÁCIA INDIANA LJ 1 (10126)</v>
      </c>
      <c r="G883" t="str">
        <f t="shared" si="448"/>
        <v>Serv.Prest. 03/02/2025 a 09/02/2025 - RPS: 474 - NFSe: 2701</v>
      </c>
      <c r="H883" t="str">
        <f t="shared" si="453"/>
        <v>19/02/2025</v>
      </c>
      <c r="I883" t="str">
        <f t="shared" si="449"/>
        <v>11/02/2025</v>
      </c>
      <c r="J883" t="str">
        <f t="shared" si="454"/>
        <v>19/02/2025</v>
      </c>
      <c r="M883">
        <v>303</v>
      </c>
      <c r="N883" t="str">
        <f t="shared" si="455"/>
        <v>RECEITAS COM ENTREGAS</v>
      </c>
      <c r="P883">
        <v>126.25</v>
      </c>
      <c r="Q883" t="str">
        <f>"FARMÁCIA INDIANA LJ 116 (10051)"</f>
        <v>FARMÁCIA INDIANA LJ 116 (10051)</v>
      </c>
      <c r="R883" t="str">
        <f t="shared" si="456"/>
        <v>RECEITAS COM ENTREGAS (303)</v>
      </c>
      <c r="S883">
        <v>1059</v>
      </c>
      <c r="T883">
        <v>848</v>
      </c>
      <c r="U883" t="s">
        <v>19</v>
      </c>
    </row>
    <row r="884" spans="1:21">
      <c r="A884" t="str">
        <f t="shared" si="451"/>
        <v>19/02/2025</v>
      </c>
      <c r="B884" t="str">
        <f t="shared" si="442"/>
        <v>ENTRADA</v>
      </c>
      <c r="C884" t="str">
        <f t="shared" si="452"/>
        <v>NFSE</v>
      </c>
      <c r="D884" t="str">
        <f t="shared" si="446"/>
        <v>2701</v>
      </c>
      <c r="E884" t="str">
        <f t="shared" si="450"/>
        <v>COM</v>
      </c>
      <c r="F884" t="str">
        <f t="shared" si="447"/>
        <v>FARMÁCIA INDIANA LJ 1 (10126)</v>
      </c>
      <c r="G884" t="str">
        <f t="shared" si="448"/>
        <v>Serv.Prest. 03/02/2025 a 09/02/2025 - RPS: 474 - NFSe: 2701</v>
      </c>
      <c r="H884" t="str">
        <f t="shared" si="453"/>
        <v>19/02/2025</v>
      </c>
      <c r="I884" t="str">
        <f t="shared" si="449"/>
        <v>11/02/2025</v>
      </c>
      <c r="J884" t="str">
        <f t="shared" si="454"/>
        <v>19/02/2025</v>
      </c>
      <c r="M884">
        <v>303</v>
      </c>
      <c r="N884" t="str">
        <f t="shared" si="455"/>
        <v>RECEITAS COM ENTREGAS</v>
      </c>
      <c r="P884">
        <v>89.83</v>
      </c>
      <c r="Q884" t="str">
        <f>"FARMÁCIA INDIANA LJ 118 (10052)"</f>
        <v>FARMÁCIA INDIANA LJ 118 (10052)</v>
      </c>
      <c r="R884" t="str">
        <f t="shared" si="456"/>
        <v>RECEITAS COM ENTREGAS (303)</v>
      </c>
      <c r="S884">
        <v>1059</v>
      </c>
      <c r="T884">
        <v>848</v>
      </c>
      <c r="U884" t="s">
        <v>19</v>
      </c>
    </row>
    <row r="885" spans="1:21">
      <c r="A885" t="str">
        <f t="shared" si="451"/>
        <v>19/02/2025</v>
      </c>
      <c r="B885" t="str">
        <f t="shared" si="442"/>
        <v>ENTRADA</v>
      </c>
      <c r="C885" t="str">
        <f t="shared" si="452"/>
        <v>NFSE</v>
      </c>
      <c r="D885" t="str">
        <f t="shared" si="446"/>
        <v>2701</v>
      </c>
      <c r="E885" t="str">
        <f t="shared" si="450"/>
        <v>COM</v>
      </c>
      <c r="F885" t="str">
        <f t="shared" si="447"/>
        <v>FARMÁCIA INDIANA LJ 1 (10126)</v>
      </c>
      <c r="G885" t="str">
        <f t="shared" si="448"/>
        <v>Serv.Prest. 03/02/2025 a 09/02/2025 - RPS: 474 - NFSe: 2701</v>
      </c>
      <c r="H885" t="str">
        <f t="shared" si="453"/>
        <v>19/02/2025</v>
      </c>
      <c r="I885" t="str">
        <f t="shared" si="449"/>
        <v>11/02/2025</v>
      </c>
      <c r="J885" t="str">
        <f t="shared" si="454"/>
        <v>19/02/2025</v>
      </c>
      <c r="M885">
        <v>303</v>
      </c>
      <c r="N885" t="str">
        <f t="shared" si="455"/>
        <v>RECEITAS COM ENTREGAS</v>
      </c>
      <c r="P885">
        <v>126.25</v>
      </c>
      <c r="Q885" t="str">
        <f>"FARMÁCIA INDIANA LJ 121 (10054)"</f>
        <v>FARMÁCIA INDIANA LJ 121 (10054)</v>
      </c>
      <c r="R885" t="str">
        <f t="shared" si="456"/>
        <v>RECEITAS COM ENTREGAS (303)</v>
      </c>
      <c r="S885">
        <v>1059</v>
      </c>
      <c r="T885">
        <v>848</v>
      </c>
      <c r="U885" t="s">
        <v>19</v>
      </c>
    </row>
    <row r="886" spans="1:21">
      <c r="A886" t="str">
        <f t="shared" si="451"/>
        <v>19/02/2025</v>
      </c>
      <c r="B886" t="str">
        <f t="shared" si="442"/>
        <v>ENTRADA</v>
      </c>
      <c r="C886" t="str">
        <f t="shared" si="452"/>
        <v>NFSE</v>
      </c>
      <c r="D886" t="str">
        <f t="shared" si="446"/>
        <v>2701</v>
      </c>
      <c r="E886" t="str">
        <f t="shared" si="450"/>
        <v>COM</v>
      </c>
      <c r="F886" t="str">
        <f t="shared" si="447"/>
        <v>FARMÁCIA INDIANA LJ 1 (10126)</v>
      </c>
      <c r="G886" t="str">
        <f t="shared" si="448"/>
        <v>Serv.Prest. 03/02/2025 a 09/02/2025 - RPS: 474 - NFSe: 2701</v>
      </c>
      <c r="H886" t="str">
        <f t="shared" si="453"/>
        <v>19/02/2025</v>
      </c>
      <c r="I886" t="str">
        <f t="shared" si="449"/>
        <v>11/02/2025</v>
      </c>
      <c r="J886" t="str">
        <f t="shared" si="454"/>
        <v>19/02/2025</v>
      </c>
      <c r="M886">
        <v>303</v>
      </c>
      <c r="N886" t="str">
        <f t="shared" si="455"/>
        <v>RECEITAS COM ENTREGAS</v>
      </c>
      <c r="P886">
        <v>126.25</v>
      </c>
      <c r="Q886" t="str">
        <f>"FARMÁCIA INDIANA LJ 128 (10057)"</f>
        <v>FARMÁCIA INDIANA LJ 128 (10057)</v>
      </c>
      <c r="R886" t="str">
        <f t="shared" si="456"/>
        <v>RECEITAS COM ENTREGAS (303)</v>
      </c>
      <c r="S886">
        <v>1059</v>
      </c>
      <c r="T886">
        <v>848</v>
      </c>
      <c r="U886" t="s">
        <v>19</v>
      </c>
    </row>
    <row r="887" spans="1:21">
      <c r="A887" t="str">
        <f t="shared" si="451"/>
        <v>19/02/2025</v>
      </c>
      <c r="B887" t="str">
        <f t="shared" si="442"/>
        <v>ENTRADA</v>
      </c>
      <c r="C887" t="str">
        <f t="shared" si="452"/>
        <v>NFSE</v>
      </c>
      <c r="D887" t="str">
        <f t="shared" si="446"/>
        <v>2701</v>
      </c>
      <c r="E887" t="str">
        <f t="shared" si="450"/>
        <v>COM</v>
      </c>
      <c r="F887" t="str">
        <f t="shared" si="447"/>
        <v>FARMÁCIA INDIANA LJ 1 (10126)</v>
      </c>
      <c r="G887" t="str">
        <f t="shared" si="448"/>
        <v>Serv.Prest. 03/02/2025 a 09/02/2025 - RPS: 474 - NFSe: 2701</v>
      </c>
      <c r="H887" t="str">
        <f t="shared" si="453"/>
        <v>19/02/2025</v>
      </c>
      <c r="I887" t="str">
        <f t="shared" si="449"/>
        <v>11/02/2025</v>
      </c>
      <c r="J887" t="str">
        <f t="shared" si="454"/>
        <v>19/02/2025</v>
      </c>
      <c r="M887">
        <v>303</v>
      </c>
      <c r="N887" t="str">
        <f t="shared" si="455"/>
        <v>RECEITAS COM ENTREGAS</v>
      </c>
      <c r="P887">
        <v>426.09</v>
      </c>
      <c r="Q887" t="str">
        <f>"FARMÁCIA INDIANA LJ 132 (10059)"</f>
        <v>FARMÁCIA INDIANA LJ 132 (10059)</v>
      </c>
      <c r="R887" t="str">
        <f t="shared" si="456"/>
        <v>RECEITAS COM ENTREGAS (303)</v>
      </c>
      <c r="S887">
        <v>1059</v>
      </c>
      <c r="T887">
        <v>848</v>
      </c>
      <c r="U887" t="s">
        <v>19</v>
      </c>
    </row>
    <row r="888" spans="1:21">
      <c r="A888" t="str">
        <f t="shared" si="451"/>
        <v>19/02/2025</v>
      </c>
      <c r="B888" t="str">
        <f t="shared" si="442"/>
        <v>ENTRADA</v>
      </c>
      <c r="C888" t="str">
        <f t="shared" si="452"/>
        <v>NFSE</v>
      </c>
      <c r="D888" t="str">
        <f t="shared" si="446"/>
        <v>2701</v>
      </c>
      <c r="E888" t="str">
        <f t="shared" si="450"/>
        <v>COM</v>
      </c>
      <c r="F888" t="str">
        <f t="shared" si="447"/>
        <v>FARMÁCIA INDIANA LJ 1 (10126)</v>
      </c>
      <c r="G888" t="str">
        <f t="shared" si="448"/>
        <v>Serv.Prest. 03/02/2025 a 09/02/2025 - RPS: 474 - NFSe: 2701</v>
      </c>
      <c r="H888" t="str">
        <f t="shared" si="453"/>
        <v>19/02/2025</v>
      </c>
      <c r="I888" t="str">
        <f t="shared" si="449"/>
        <v>11/02/2025</v>
      </c>
      <c r="J888" t="str">
        <f t="shared" si="454"/>
        <v>19/02/2025</v>
      </c>
      <c r="M888">
        <v>303</v>
      </c>
      <c r="N888" t="str">
        <f t="shared" si="455"/>
        <v>RECEITAS COM ENTREGAS</v>
      </c>
      <c r="P888">
        <v>38.85</v>
      </c>
      <c r="Q888" t="str">
        <f>"FARMÁCIA INDIANA LJ 140 (10064)"</f>
        <v>FARMÁCIA INDIANA LJ 140 (10064)</v>
      </c>
      <c r="R888" t="str">
        <f t="shared" si="456"/>
        <v>RECEITAS COM ENTREGAS (303)</v>
      </c>
      <c r="S888">
        <v>1059</v>
      </c>
      <c r="T888">
        <v>848</v>
      </c>
      <c r="U888" t="s">
        <v>19</v>
      </c>
    </row>
    <row r="889" spans="1:21">
      <c r="A889" t="str">
        <f t="shared" si="451"/>
        <v>19/02/2025</v>
      </c>
      <c r="B889" t="str">
        <f t="shared" si="442"/>
        <v>ENTRADA</v>
      </c>
      <c r="C889" t="str">
        <f t="shared" si="452"/>
        <v>NFSE</v>
      </c>
      <c r="D889" t="str">
        <f t="shared" si="446"/>
        <v>2701</v>
      </c>
      <c r="E889" t="str">
        <f t="shared" si="450"/>
        <v>COM</v>
      </c>
      <c r="F889" t="str">
        <f t="shared" si="447"/>
        <v>FARMÁCIA INDIANA LJ 1 (10126)</v>
      </c>
      <c r="G889" t="str">
        <f t="shared" si="448"/>
        <v>Serv.Prest. 03/02/2025 a 09/02/2025 - RPS: 474 - NFSe: 2701</v>
      </c>
      <c r="H889" t="str">
        <f t="shared" si="453"/>
        <v>19/02/2025</v>
      </c>
      <c r="I889" t="str">
        <f t="shared" si="449"/>
        <v>11/02/2025</v>
      </c>
      <c r="J889" t="str">
        <f t="shared" si="454"/>
        <v>19/02/2025</v>
      </c>
      <c r="M889">
        <v>303</v>
      </c>
      <c r="N889" t="str">
        <f t="shared" si="455"/>
        <v>RECEITAS COM ENTREGAS</v>
      </c>
      <c r="P889">
        <v>20.64</v>
      </c>
      <c r="Q889" t="str">
        <f>"FARMÁCIA INDIANA LJ 141 (10065)"</f>
        <v>FARMÁCIA INDIANA LJ 141 (10065)</v>
      </c>
      <c r="R889" t="str">
        <f t="shared" si="456"/>
        <v>RECEITAS COM ENTREGAS (303)</v>
      </c>
      <c r="S889">
        <v>1059</v>
      </c>
      <c r="T889">
        <v>848</v>
      </c>
      <c r="U889" t="s">
        <v>19</v>
      </c>
    </row>
    <row r="890" spans="1:21">
      <c r="A890" t="str">
        <f t="shared" si="451"/>
        <v>19/02/2025</v>
      </c>
      <c r="B890" t="str">
        <f t="shared" si="442"/>
        <v>ENTRADA</v>
      </c>
      <c r="C890" t="str">
        <f t="shared" si="452"/>
        <v>NFSE</v>
      </c>
      <c r="D890" t="str">
        <f t="shared" si="446"/>
        <v>2701</v>
      </c>
      <c r="E890" t="str">
        <f t="shared" si="450"/>
        <v>COM</v>
      </c>
      <c r="F890" t="str">
        <f t="shared" si="447"/>
        <v>FARMÁCIA INDIANA LJ 1 (10126)</v>
      </c>
      <c r="G890" t="str">
        <f t="shared" si="448"/>
        <v>Serv.Prest. 03/02/2025 a 09/02/2025 - RPS: 474 - NFSe: 2701</v>
      </c>
      <c r="H890" t="str">
        <f t="shared" si="453"/>
        <v>19/02/2025</v>
      </c>
      <c r="I890" t="str">
        <f t="shared" si="449"/>
        <v>11/02/2025</v>
      </c>
      <c r="J890" t="str">
        <f t="shared" si="454"/>
        <v>19/02/2025</v>
      </c>
      <c r="M890">
        <v>303</v>
      </c>
      <c r="N890" t="str">
        <f t="shared" si="455"/>
        <v>RECEITAS COM ENTREGAS</v>
      </c>
      <c r="P890">
        <v>545.05999999999995</v>
      </c>
      <c r="Q890" t="str">
        <f>"FARMÁCIA INDIANA LJ 142 (10066)"</f>
        <v>FARMÁCIA INDIANA LJ 142 (10066)</v>
      </c>
      <c r="R890" t="str">
        <f t="shared" si="456"/>
        <v>RECEITAS COM ENTREGAS (303)</v>
      </c>
      <c r="S890">
        <v>1059</v>
      </c>
      <c r="T890">
        <v>848</v>
      </c>
      <c r="U890" t="s">
        <v>19</v>
      </c>
    </row>
    <row r="891" spans="1:21">
      <c r="A891" t="str">
        <f t="shared" si="451"/>
        <v>19/02/2025</v>
      </c>
      <c r="B891" t="str">
        <f t="shared" si="442"/>
        <v>ENTRADA</v>
      </c>
      <c r="C891" t="str">
        <f t="shared" si="452"/>
        <v>NFSE</v>
      </c>
      <c r="D891" t="str">
        <f t="shared" si="446"/>
        <v>2701</v>
      </c>
      <c r="E891" t="str">
        <f t="shared" si="450"/>
        <v>COM</v>
      </c>
      <c r="F891" t="str">
        <f t="shared" si="447"/>
        <v>FARMÁCIA INDIANA LJ 1 (10126)</v>
      </c>
      <c r="G891" t="str">
        <f t="shared" si="448"/>
        <v>Serv.Prest. 03/02/2025 a 09/02/2025 - RPS: 474 - NFSe: 2701</v>
      </c>
      <c r="H891" t="str">
        <f t="shared" si="453"/>
        <v>19/02/2025</v>
      </c>
      <c r="I891" t="str">
        <f t="shared" si="449"/>
        <v>11/02/2025</v>
      </c>
      <c r="J891" t="str">
        <f t="shared" si="454"/>
        <v>19/02/2025</v>
      </c>
      <c r="M891">
        <v>303</v>
      </c>
      <c r="N891" t="str">
        <f t="shared" si="455"/>
        <v>RECEITAS COM ENTREGAS</v>
      </c>
      <c r="P891">
        <v>54.63</v>
      </c>
      <c r="Q891" t="str">
        <f>"FARMÁCIA INDIANA LJ 143 (10067)"</f>
        <v>FARMÁCIA INDIANA LJ 143 (10067)</v>
      </c>
      <c r="R891" t="str">
        <f t="shared" si="456"/>
        <v>RECEITAS COM ENTREGAS (303)</v>
      </c>
      <c r="S891">
        <v>1059</v>
      </c>
      <c r="T891">
        <v>848</v>
      </c>
      <c r="U891" t="s">
        <v>19</v>
      </c>
    </row>
    <row r="892" spans="1:21">
      <c r="A892" t="str">
        <f t="shared" si="451"/>
        <v>19/02/2025</v>
      </c>
      <c r="B892" t="str">
        <f t="shared" si="442"/>
        <v>ENTRADA</v>
      </c>
      <c r="C892" t="str">
        <f t="shared" si="452"/>
        <v>NFSE</v>
      </c>
      <c r="D892" t="str">
        <f t="shared" si="446"/>
        <v>2701</v>
      </c>
      <c r="E892" t="str">
        <f t="shared" si="450"/>
        <v>COM</v>
      </c>
      <c r="F892" t="str">
        <f t="shared" si="447"/>
        <v>FARMÁCIA INDIANA LJ 1 (10126)</v>
      </c>
      <c r="G892" t="str">
        <f t="shared" si="448"/>
        <v>Serv.Prest. 03/02/2025 a 09/02/2025 - RPS: 474 - NFSe: 2701</v>
      </c>
      <c r="H892" t="str">
        <f t="shared" si="453"/>
        <v>19/02/2025</v>
      </c>
      <c r="I892" t="str">
        <f t="shared" si="449"/>
        <v>11/02/2025</v>
      </c>
      <c r="J892" t="str">
        <f t="shared" si="454"/>
        <v>19/02/2025</v>
      </c>
      <c r="M892">
        <v>303</v>
      </c>
      <c r="N892" t="str">
        <f t="shared" si="455"/>
        <v>RECEITAS COM ENTREGAS</v>
      </c>
      <c r="P892">
        <v>161.44999999999999</v>
      </c>
      <c r="Q892" t="str">
        <f>"FARMÁCIA INDIANA LJ 152 (10069)"</f>
        <v>FARMÁCIA INDIANA LJ 152 (10069)</v>
      </c>
      <c r="R892" t="str">
        <f t="shared" si="456"/>
        <v>RECEITAS COM ENTREGAS (303)</v>
      </c>
      <c r="S892">
        <v>1059</v>
      </c>
      <c r="T892">
        <v>848</v>
      </c>
      <c r="U892" t="s">
        <v>19</v>
      </c>
    </row>
    <row r="893" spans="1:21">
      <c r="A893" t="str">
        <f t="shared" si="451"/>
        <v>19/02/2025</v>
      </c>
      <c r="B893" t="str">
        <f t="shared" si="442"/>
        <v>ENTRADA</v>
      </c>
      <c r="C893" t="str">
        <f t="shared" si="452"/>
        <v>NFSE</v>
      </c>
      <c r="D893" t="str">
        <f t="shared" si="446"/>
        <v>2701</v>
      </c>
      <c r="E893" t="str">
        <f t="shared" si="450"/>
        <v>COM</v>
      </c>
      <c r="F893" t="str">
        <f t="shared" si="447"/>
        <v>FARMÁCIA INDIANA LJ 1 (10126)</v>
      </c>
      <c r="G893" t="str">
        <f t="shared" si="448"/>
        <v>Serv.Prest. 03/02/2025 a 09/02/2025 - RPS: 474 - NFSe: 2701</v>
      </c>
      <c r="H893" t="str">
        <f t="shared" si="453"/>
        <v>19/02/2025</v>
      </c>
      <c r="I893" t="str">
        <f t="shared" si="449"/>
        <v>11/02/2025</v>
      </c>
      <c r="J893" t="str">
        <f t="shared" si="454"/>
        <v>19/02/2025</v>
      </c>
      <c r="M893">
        <v>303</v>
      </c>
      <c r="N893" t="str">
        <f t="shared" si="455"/>
        <v>RECEITAS COM ENTREGAS</v>
      </c>
      <c r="P893">
        <v>40.06</v>
      </c>
      <c r="Q893" t="str">
        <f>"FARMÁCIA INDIANA LJ 154 (10070)"</f>
        <v>FARMÁCIA INDIANA LJ 154 (10070)</v>
      </c>
      <c r="R893" t="str">
        <f t="shared" si="456"/>
        <v>RECEITAS COM ENTREGAS (303)</v>
      </c>
      <c r="S893">
        <v>1059</v>
      </c>
      <c r="T893">
        <v>848</v>
      </c>
      <c r="U893" t="s">
        <v>19</v>
      </c>
    </row>
    <row r="894" spans="1:21">
      <c r="A894" t="str">
        <f t="shared" si="451"/>
        <v>19/02/2025</v>
      </c>
      <c r="B894" t="str">
        <f t="shared" si="442"/>
        <v>ENTRADA</v>
      </c>
      <c r="C894" t="str">
        <f t="shared" si="452"/>
        <v>NFSE</v>
      </c>
      <c r="D894" t="str">
        <f t="shared" si="446"/>
        <v>2701</v>
      </c>
      <c r="E894" t="str">
        <f t="shared" si="450"/>
        <v>COM</v>
      </c>
      <c r="F894" t="str">
        <f t="shared" si="447"/>
        <v>FARMÁCIA INDIANA LJ 1 (10126)</v>
      </c>
      <c r="G894" t="str">
        <f t="shared" si="448"/>
        <v>Serv.Prest. 03/02/2025 a 09/02/2025 - RPS: 474 - NFSe: 2701</v>
      </c>
      <c r="H894" t="str">
        <f t="shared" si="453"/>
        <v>19/02/2025</v>
      </c>
      <c r="I894" t="str">
        <f t="shared" si="449"/>
        <v>11/02/2025</v>
      </c>
      <c r="J894" t="str">
        <f t="shared" si="454"/>
        <v>19/02/2025</v>
      </c>
      <c r="M894">
        <v>303</v>
      </c>
      <c r="N894" t="str">
        <f t="shared" si="455"/>
        <v>RECEITAS COM ENTREGAS</v>
      </c>
      <c r="P894">
        <v>320.48</v>
      </c>
      <c r="Q894" t="str">
        <f>"FARMÁCIA INDIANA LJ 171 (10074)"</f>
        <v>FARMÁCIA INDIANA LJ 171 (10074)</v>
      </c>
      <c r="R894" t="str">
        <f t="shared" si="456"/>
        <v>RECEITAS COM ENTREGAS (303)</v>
      </c>
      <c r="S894">
        <v>1059</v>
      </c>
      <c r="T894">
        <v>848</v>
      </c>
      <c r="U894" t="s">
        <v>19</v>
      </c>
    </row>
    <row r="895" spans="1:21">
      <c r="A895" t="str">
        <f t="shared" si="451"/>
        <v>19/02/2025</v>
      </c>
      <c r="B895" t="str">
        <f t="shared" si="442"/>
        <v>ENTRADA</v>
      </c>
      <c r="C895" t="str">
        <f t="shared" si="452"/>
        <v>NFSE</v>
      </c>
      <c r="D895" t="str">
        <f t="shared" si="446"/>
        <v>2701</v>
      </c>
      <c r="E895" t="str">
        <f t="shared" si="450"/>
        <v>COM</v>
      </c>
      <c r="F895" t="str">
        <f t="shared" si="447"/>
        <v>FARMÁCIA INDIANA LJ 1 (10126)</v>
      </c>
      <c r="G895" t="str">
        <f t="shared" si="448"/>
        <v>Serv.Prest. 03/02/2025 a 09/02/2025 - RPS: 474 - NFSe: 2701</v>
      </c>
      <c r="H895" t="str">
        <f t="shared" si="453"/>
        <v>19/02/2025</v>
      </c>
      <c r="I895" t="str">
        <f t="shared" si="449"/>
        <v>11/02/2025</v>
      </c>
      <c r="J895" t="str">
        <f t="shared" si="454"/>
        <v>19/02/2025</v>
      </c>
      <c r="M895">
        <v>303</v>
      </c>
      <c r="N895" t="str">
        <f t="shared" si="455"/>
        <v>RECEITAS COM ENTREGAS</v>
      </c>
      <c r="P895">
        <v>131.1</v>
      </c>
      <c r="Q895" t="str">
        <f>"FARMÁCIA INDIANA LJ 175 (10076)"</f>
        <v>FARMÁCIA INDIANA LJ 175 (10076)</v>
      </c>
      <c r="R895" t="str">
        <f t="shared" si="456"/>
        <v>RECEITAS COM ENTREGAS (303)</v>
      </c>
      <c r="S895">
        <v>1059</v>
      </c>
      <c r="T895">
        <v>848</v>
      </c>
      <c r="U895" t="s">
        <v>19</v>
      </c>
    </row>
    <row r="896" spans="1:21">
      <c r="A896" t="str">
        <f t="shared" si="451"/>
        <v>19/02/2025</v>
      </c>
      <c r="B896" t="str">
        <f t="shared" si="442"/>
        <v>ENTRADA</v>
      </c>
      <c r="C896" t="str">
        <f t="shared" si="452"/>
        <v>NFSE</v>
      </c>
      <c r="D896" t="str">
        <f t="shared" si="446"/>
        <v>2701</v>
      </c>
      <c r="E896" t="str">
        <f t="shared" si="450"/>
        <v>COM</v>
      </c>
      <c r="F896" t="str">
        <f t="shared" si="447"/>
        <v>FARMÁCIA INDIANA LJ 1 (10126)</v>
      </c>
      <c r="G896" t="str">
        <f t="shared" si="448"/>
        <v>Serv.Prest. 03/02/2025 a 09/02/2025 - RPS: 474 - NFSe: 2701</v>
      </c>
      <c r="H896" t="str">
        <f t="shared" si="453"/>
        <v>19/02/2025</v>
      </c>
      <c r="I896" t="str">
        <f t="shared" si="449"/>
        <v>11/02/2025</v>
      </c>
      <c r="J896" t="str">
        <f t="shared" si="454"/>
        <v>19/02/2025</v>
      </c>
      <c r="M896">
        <v>303</v>
      </c>
      <c r="N896" t="str">
        <f t="shared" si="455"/>
        <v>RECEITAS COM ENTREGAS</v>
      </c>
      <c r="P896">
        <v>115.32</v>
      </c>
      <c r="Q896" t="str">
        <f>"FARMÁCIA INDIANA LJ 178 (10077)"</f>
        <v>FARMÁCIA INDIANA LJ 178 (10077)</v>
      </c>
      <c r="R896" t="str">
        <f t="shared" si="456"/>
        <v>RECEITAS COM ENTREGAS (303)</v>
      </c>
      <c r="S896">
        <v>1059</v>
      </c>
      <c r="T896">
        <v>848</v>
      </c>
      <c r="U896" t="s">
        <v>19</v>
      </c>
    </row>
    <row r="897" spans="1:21">
      <c r="A897" t="str">
        <f t="shared" si="451"/>
        <v>19/02/2025</v>
      </c>
      <c r="B897" t="str">
        <f t="shared" si="442"/>
        <v>ENTRADA</v>
      </c>
      <c r="C897" t="str">
        <f t="shared" si="452"/>
        <v>NFSE</v>
      </c>
      <c r="D897" t="str">
        <f t="shared" si="446"/>
        <v>2701</v>
      </c>
      <c r="E897" t="str">
        <f t="shared" ref="E897:E920" si="457">"COM"</f>
        <v>COM</v>
      </c>
      <c r="F897" t="str">
        <f t="shared" si="447"/>
        <v>FARMÁCIA INDIANA LJ 1 (10126)</v>
      </c>
      <c r="G897" t="str">
        <f t="shared" si="448"/>
        <v>Serv.Prest. 03/02/2025 a 09/02/2025 - RPS: 474 - NFSe: 2701</v>
      </c>
      <c r="H897" t="str">
        <f t="shared" si="453"/>
        <v>19/02/2025</v>
      </c>
      <c r="I897" t="str">
        <f t="shared" si="449"/>
        <v>11/02/2025</v>
      </c>
      <c r="J897" t="str">
        <f t="shared" si="454"/>
        <v>19/02/2025</v>
      </c>
      <c r="M897">
        <v>303</v>
      </c>
      <c r="N897" t="str">
        <f t="shared" si="455"/>
        <v>RECEITAS COM ENTREGAS</v>
      </c>
      <c r="P897">
        <v>80.12</v>
      </c>
      <c r="Q897" t="str">
        <f>"FARMÁCIA INDIANA LJ 182 (10079)"</f>
        <v>FARMÁCIA INDIANA LJ 182 (10079)</v>
      </c>
      <c r="R897" t="str">
        <f t="shared" si="456"/>
        <v>RECEITAS COM ENTREGAS (303)</v>
      </c>
      <c r="S897">
        <v>1059</v>
      </c>
      <c r="T897">
        <v>848</v>
      </c>
      <c r="U897" t="s">
        <v>19</v>
      </c>
    </row>
    <row r="898" spans="1:21">
      <c r="A898" t="str">
        <f t="shared" si="451"/>
        <v>19/02/2025</v>
      </c>
      <c r="B898" t="str">
        <f t="shared" si="442"/>
        <v>ENTRADA</v>
      </c>
      <c r="C898" t="str">
        <f t="shared" si="452"/>
        <v>NFSE</v>
      </c>
      <c r="D898" t="str">
        <f t="shared" si="446"/>
        <v>2701</v>
      </c>
      <c r="E898" t="str">
        <f t="shared" si="457"/>
        <v>COM</v>
      </c>
      <c r="F898" t="str">
        <f t="shared" si="447"/>
        <v>FARMÁCIA INDIANA LJ 1 (10126)</v>
      </c>
      <c r="G898" t="str">
        <f t="shared" si="448"/>
        <v>Serv.Prest. 03/02/2025 a 09/02/2025 - RPS: 474 - NFSe: 2701</v>
      </c>
      <c r="H898" t="str">
        <f t="shared" si="453"/>
        <v>19/02/2025</v>
      </c>
      <c r="I898" t="str">
        <f t="shared" si="449"/>
        <v>11/02/2025</v>
      </c>
      <c r="J898" t="str">
        <f t="shared" si="454"/>
        <v>19/02/2025</v>
      </c>
      <c r="M898">
        <v>303</v>
      </c>
      <c r="N898" t="str">
        <f t="shared" si="455"/>
        <v>RECEITAS COM ENTREGAS</v>
      </c>
      <c r="P898">
        <v>40.06</v>
      </c>
      <c r="Q898" t="str">
        <f>"FARMÁCIA INDIANA LJ 184 (10080)"</f>
        <v>FARMÁCIA INDIANA LJ 184 (10080)</v>
      </c>
      <c r="R898" t="str">
        <f t="shared" si="456"/>
        <v>RECEITAS COM ENTREGAS (303)</v>
      </c>
      <c r="S898">
        <v>1059</v>
      </c>
      <c r="T898">
        <v>848</v>
      </c>
      <c r="U898" t="s">
        <v>19</v>
      </c>
    </row>
    <row r="899" spans="1:21">
      <c r="A899" t="str">
        <f t="shared" si="451"/>
        <v>19/02/2025</v>
      </c>
      <c r="B899" t="str">
        <f t="shared" si="442"/>
        <v>ENTRADA</v>
      </c>
      <c r="C899" t="str">
        <f t="shared" si="452"/>
        <v>NFSE</v>
      </c>
      <c r="D899" t="str">
        <f t="shared" si="446"/>
        <v>2701</v>
      </c>
      <c r="E899" t="str">
        <f t="shared" si="457"/>
        <v>COM</v>
      </c>
      <c r="F899" t="str">
        <f t="shared" si="447"/>
        <v>FARMÁCIA INDIANA LJ 1 (10126)</v>
      </c>
      <c r="G899" t="str">
        <f t="shared" si="448"/>
        <v>Serv.Prest. 03/02/2025 a 09/02/2025 - RPS: 474 - NFSe: 2701</v>
      </c>
      <c r="H899" t="str">
        <f t="shared" si="453"/>
        <v>19/02/2025</v>
      </c>
      <c r="I899" t="str">
        <f t="shared" si="449"/>
        <v>11/02/2025</v>
      </c>
      <c r="J899" t="str">
        <f t="shared" si="454"/>
        <v>19/02/2025</v>
      </c>
      <c r="M899">
        <v>303</v>
      </c>
      <c r="N899" t="str">
        <f t="shared" si="455"/>
        <v>RECEITAS COM ENTREGAS</v>
      </c>
      <c r="P899">
        <v>80.12</v>
      </c>
      <c r="Q899" t="str">
        <f>"FARMÁCIA INDIANA LJ 186 (10081)"</f>
        <v>FARMÁCIA INDIANA LJ 186 (10081)</v>
      </c>
      <c r="R899" t="str">
        <f t="shared" si="456"/>
        <v>RECEITAS COM ENTREGAS (303)</v>
      </c>
      <c r="S899">
        <v>1059</v>
      </c>
      <c r="T899">
        <v>848</v>
      </c>
      <c r="U899" t="s">
        <v>19</v>
      </c>
    </row>
    <row r="900" spans="1:21">
      <c r="A900" t="str">
        <f t="shared" si="451"/>
        <v>19/02/2025</v>
      </c>
      <c r="B900" t="str">
        <f t="shared" si="442"/>
        <v>ENTRADA</v>
      </c>
      <c r="C900" t="str">
        <f t="shared" si="452"/>
        <v>NFSE</v>
      </c>
      <c r="D900" t="str">
        <f t="shared" si="446"/>
        <v>2701</v>
      </c>
      <c r="E900" t="str">
        <f t="shared" si="457"/>
        <v>COM</v>
      </c>
      <c r="F900" t="str">
        <f t="shared" si="447"/>
        <v>FARMÁCIA INDIANA LJ 1 (10126)</v>
      </c>
      <c r="G900" t="str">
        <f t="shared" si="448"/>
        <v>Serv.Prest. 03/02/2025 a 09/02/2025 - RPS: 474 - NFSe: 2701</v>
      </c>
      <c r="H900" t="str">
        <f t="shared" si="453"/>
        <v>19/02/2025</v>
      </c>
      <c r="I900" t="str">
        <f t="shared" si="449"/>
        <v>11/02/2025</v>
      </c>
      <c r="J900" t="str">
        <f t="shared" si="454"/>
        <v>19/02/2025</v>
      </c>
      <c r="M900">
        <v>303</v>
      </c>
      <c r="N900" t="str">
        <f t="shared" si="455"/>
        <v>RECEITAS COM ENTREGAS</v>
      </c>
      <c r="P900">
        <v>38.85</v>
      </c>
      <c r="Q900" t="str">
        <f>"FARMÁCIA INDIANA LJ 192 (10082)"</f>
        <v>FARMÁCIA INDIANA LJ 192 (10082)</v>
      </c>
      <c r="R900" t="str">
        <f t="shared" si="456"/>
        <v>RECEITAS COM ENTREGAS (303)</v>
      </c>
      <c r="S900">
        <v>1059</v>
      </c>
      <c r="T900">
        <v>848</v>
      </c>
      <c r="U900" t="s">
        <v>19</v>
      </c>
    </row>
    <row r="901" spans="1:21">
      <c r="A901" t="str">
        <f t="shared" si="451"/>
        <v>19/02/2025</v>
      </c>
      <c r="B901" t="str">
        <f t="shared" si="442"/>
        <v>ENTRADA</v>
      </c>
      <c r="C901" t="str">
        <f t="shared" si="452"/>
        <v>NFSE</v>
      </c>
      <c r="D901" t="str">
        <f t="shared" si="446"/>
        <v>2701</v>
      </c>
      <c r="E901" t="str">
        <f t="shared" si="457"/>
        <v>COM</v>
      </c>
      <c r="F901" t="str">
        <f t="shared" si="447"/>
        <v>FARMÁCIA INDIANA LJ 1 (10126)</v>
      </c>
      <c r="G901" t="str">
        <f t="shared" si="448"/>
        <v>Serv.Prest. 03/02/2025 a 09/02/2025 - RPS: 474 - NFSe: 2701</v>
      </c>
      <c r="H901" t="str">
        <f t="shared" si="453"/>
        <v>19/02/2025</v>
      </c>
      <c r="I901" t="str">
        <f t="shared" si="449"/>
        <v>11/02/2025</v>
      </c>
      <c r="J901" t="str">
        <f t="shared" si="454"/>
        <v>19/02/2025</v>
      </c>
      <c r="M901">
        <v>303</v>
      </c>
      <c r="N901" t="str">
        <f t="shared" si="455"/>
        <v>RECEITAS COM ENTREGAS</v>
      </c>
      <c r="P901">
        <v>40.06</v>
      </c>
      <c r="Q901" t="str">
        <f>"FARMÁCIA INDIANA LJ 195 (10083)"</f>
        <v>FARMÁCIA INDIANA LJ 195 (10083)</v>
      </c>
      <c r="R901" t="str">
        <f t="shared" si="456"/>
        <v>RECEITAS COM ENTREGAS (303)</v>
      </c>
      <c r="S901">
        <v>1059</v>
      </c>
      <c r="T901">
        <v>848</v>
      </c>
      <c r="U901" t="s">
        <v>19</v>
      </c>
    </row>
    <row r="902" spans="1:21">
      <c r="A902" t="str">
        <f t="shared" si="451"/>
        <v>19/02/2025</v>
      </c>
      <c r="B902" t="str">
        <f t="shared" si="442"/>
        <v>ENTRADA</v>
      </c>
      <c r="C902" t="str">
        <f t="shared" si="452"/>
        <v>NFSE</v>
      </c>
      <c r="D902" t="str">
        <f t="shared" si="446"/>
        <v>2701</v>
      </c>
      <c r="E902" t="str">
        <f t="shared" si="457"/>
        <v>COM</v>
      </c>
      <c r="F902" t="str">
        <f t="shared" si="447"/>
        <v>FARMÁCIA INDIANA LJ 1 (10126)</v>
      </c>
      <c r="G902" t="str">
        <f t="shared" si="448"/>
        <v>Serv.Prest. 03/02/2025 a 09/02/2025 - RPS: 474 - NFSe: 2701</v>
      </c>
      <c r="H902" t="str">
        <f t="shared" si="453"/>
        <v>19/02/2025</v>
      </c>
      <c r="I902" t="str">
        <f t="shared" si="449"/>
        <v>11/02/2025</v>
      </c>
      <c r="J902" t="str">
        <f t="shared" si="454"/>
        <v>19/02/2025</v>
      </c>
      <c r="M902">
        <v>303</v>
      </c>
      <c r="N902" t="str">
        <f t="shared" si="455"/>
        <v>RECEITAS COM ENTREGAS</v>
      </c>
      <c r="P902">
        <v>159.03</v>
      </c>
      <c r="Q902" t="str">
        <f>"FARMÁCIA INDIANA LJ 202 (10085)"</f>
        <v>FARMÁCIA INDIANA LJ 202 (10085)</v>
      </c>
      <c r="R902" t="str">
        <f t="shared" si="456"/>
        <v>RECEITAS COM ENTREGAS (303)</v>
      </c>
      <c r="S902">
        <v>1059</v>
      </c>
      <c r="T902">
        <v>848</v>
      </c>
      <c r="U902" t="s">
        <v>19</v>
      </c>
    </row>
    <row r="903" spans="1:21">
      <c r="A903" t="str">
        <f t="shared" si="451"/>
        <v>19/02/2025</v>
      </c>
      <c r="B903" t="str">
        <f t="shared" si="442"/>
        <v>ENTRADA</v>
      </c>
      <c r="C903" t="str">
        <f t="shared" si="452"/>
        <v>NFSE</v>
      </c>
      <c r="D903" t="str">
        <f t="shared" si="446"/>
        <v>2701</v>
      </c>
      <c r="E903" t="str">
        <f t="shared" si="457"/>
        <v>COM</v>
      </c>
      <c r="F903" t="str">
        <f t="shared" si="447"/>
        <v>FARMÁCIA INDIANA LJ 1 (10126)</v>
      </c>
      <c r="G903" t="str">
        <f t="shared" si="448"/>
        <v>Serv.Prest. 03/02/2025 a 09/02/2025 - RPS: 474 - NFSe: 2701</v>
      </c>
      <c r="H903" t="str">
        <f t="shared" si="453"/>
        <v>19/02/2025</v>
      </c>
      <c r="I903" t="str">
        <f t="shared" si="449"/>
        <v>11/02/2025</v>
      </c>
      <c r="J903" t="str">
        <f t="shared" si="454"/>
        <v>19/02/2025</v>
      </c>
      <c r="M903">
        <v>303</v>
      </c>
      <c r="N903" t="str">
        <f t="shared" si="455"/>
        <v>RECEITAS COM ENTREGAS</v>
      </c>
      <c r="P903">
        <v>106.83</v>
      </c>
      <c r="Q903" t="str">
        <f>"FARMÁCIA INDIANA LJ 204 (10087)"</f>
        <v>FARMÁCIA INDIANA LJ 204 (10087)</v>
      </c>
      <c r="R903" t="str">
        <f t="shared" si="456"/>
        <v>RECEITAS COM ENTREGAS (303)</v>
      </c>
      <c r="S903">
        <v>1059</v>
      </c>
      <c r="T903">
        <v>848</v>
      </c>
      <c r="U903" t="s">
        <v>19</v>
      </c>
    </row>
    <row r="904" spans="1:21">
      <c r="A904" t="str">
        <f t="shared" si="451"/>
        <v>19/02/2025</v>
      </c>
      <c r="B904" t="str">
        <f t="shared" si="442"/>
        <v>ENTRADA</v>
      </c>
      <c r="C904" t="str">
        <f t="shared" si="452"/>
        <v>NFSE</v>
      </c>
      <c r="D904" t="str">
        <f t="shared" si="446"/>
        <v>2701</v>
      </c>
      <c r="E904" t="str">
        <f t="shared" si="457"/>
        <v>COM</v>
      </c>
      <c r="F904" t="str">
        <f t="shared" si="447"/>
        <v>FARMÁCIA INDIANA LJ 1 (10126)</v>
      </c>
      <c r="G904" t="str">
        <f t="shared" si="448"/>
        <v>Serv.Prest. 03/02/2025 a 09/02/2025 - RPS: 474 - NFSe: 2701</v>
      </c>
      <c r="H904" t="str">
        <f t="shared" si="453"/>
        <v>19/02/2025</v>
      </c>
      <c r="I904" t="str">
        <f t="shared" si="449"/>
        <v>11/02/2025</v>
      </c>
      <c r="J904" t="str">
        <f t="shared" si="454"/>
        <v>19/02/2025</v>
      </c>
      <c r="M904">
        <v>303</v>
      </c>
      <c r="N904" t="str">
        <f t="shared" si="455"/>
        <v>RECEITAS COM ENTREGAS</v>
      </c>
      <c r="P904">
        <v>106.83</v>
      </c>
      <c r="Q904" t="str">
        <f>"FARMÁCIA INDIANA LJ 207 (10088)"</f>
        <v>FARMÁCIA INDIANA LJ 207 (10088)</v>
      </c>
      <c r="R904" t="str">
        <f t="shared" si="456"/>
        <v>RECEITAS COM ENTREGAS (303)</v>
      </c>
      <c r="S904">
        <v>1059</v>
      </c>
      <c r="T904">
        <v>848</v>
      </c>
      <c r="U904" t="s">
        <v>19</v>
      </c>
    </row>
    <row r="905" spans="1:21">
      <c r="A905" t="str">
        <f t="shared" si="451"/>
        <v>19/02/2025</v>
      </c>
      <c r="B905" t="str">
        <f t="shared" si="442"/>
        <v>ENTRADA</v>
      </c>
      <c r="C905" t="str">
        <f t="shared" si="452"/>
        <v>NFSE</v>
      </c>
      <c r="D905" t="str">
        <f t="shared" si="446"/>
        <v>2701</v>
      </c>
      <c r="E905" t="str">
        <f t="shared" si="457"/>
        <v>COM</v>
      </c>
      <c r="F905" t="str">
        <f t="shared" si="447"/>
        <v>FARMÁCIA INDIANA LJ 1 (10126)</v>
      </c>
      <c r="G905" t="str">
        <f t="shared" si="448"/>
        <v>Serv.Prest. 03/02/2025 a 09/02/2025 - RPS: 474 - NFSe: 2701</v>
      </c>
      <c r="H905" t="str">
        <f t="shared" si="453"/>
        <v>19/02/2025</v>
      </c>
      <c r="I905" t="str">
        <f t="shared" si="449"/>
        <v>11/02/2025</v>
      </c>
      <c r="J905" t="str">
        <f t="shared" si="454"/>
        <v>19/02/2025</v>
      </c>
      <c r="M905">
        <v>303</v>
      </c>
      <c r="N905" t="str">
        <f t="shared" si="455"/>
        <v>RECEITAS COM ENTREGAS</v>
      </c>
      <c r="P905">
        <v>125.04</v>
      </c>
      <c r="Q905" t="str">
        <f>"FARMÁCIA INDIANA LJ 209 (10089)"</f>
        <v>FARMÁCIA INDIANA LJ 209 (10089)</v>
      </c>
      <c r="R905" t="str">
        <f t="shared" si="456"/>
        <v>RECEITAS COM ENTREGAS (303)</v>
      </c>
      <c r="S905">
        <v>1059</v>
      </c>
      <c r="T905">
        <v>848</v>
      </c>
      <c r="U905" t="s">
        <v>19</v>
      </c>
    </row>
    <row r="906" spans="1:21">
      <c r="A906" t="str">
        <f t="shared" si="451"/>
        <v>19/02/2025</v>
      </c>
      <c r="B906" t="str">
        <f t="shared" si="442"/>
        <v>ENTRADA</v>
      </c>
      <c r="C906" t="str">
        <f t="shared" si="452"/>
        <v>NFSE</v>
      </c>
      <c r="D906" t="str">
        <f t="shared" si="446"/>
        <v>2701</v>
      </c>
      <c r="E906" t="str">
        <f t="shared" si="457"/>
        <v>COM</v>
      </c>
      <c r="F906" t="str">
        <f t="shared" si="447"/>
        <v>FARMÁCIA INDIANA LJ 1 (10126)</v>
      </c>
      <c r="G906" t="str">
        <f t="shared" si="448"/>
        <v>Serv.Prest. 03/02/2025 a 09/02/2025 - RPS: 474 - NFSe: 2701</v>
      </c>
      <c r="H906" t="str">
        <f t="shared" si="453"/>
        <v>19/02/2025</v>
      </c>
      <c r="I906" t="str">
        <f t="shared" si="449"/>
        <v>11/02/2025</v>
      </c>
      <c r="J906" t="str">
        <f t="shared" si="454"/>
        <v>19/02/2025</v>
      </c>
      <c r="M906">
        <v>303</v>
      </c>
      <c r="N906" t="str">
        <f t="shared" si="455"/>
        <v>RECEITAS COM ENTREGAS</v>
      </c>
      <c r="P906">
        <v>160.24</v>
      </c>
      <c r="Q906" t="str">
        <f>"FARMÁCIA INDIANA LJ 219 (10091)"</f>
        <v>FARMÁCIA INDIANA LJ 219 (10091)</v>
      </c>
      <c r="R906" t="str">
        <f t="shared" si="456"/>
        <v>RECEITAS COM ENTREGAS (303)</v>
      </c>
      <c r="S906">
        <v>1059</v>
      </c>
      <c r="T906">
        <v>848</v>
      </c>
      <c r="U906" t="s">
        <v>19</v>
      </c>
    </row>
    <row r="907" spans="1:21">
      <c r="A907" t="str">
        <f t="shared" si="451"/>
        <v>19/02/2025</v>
      </c>
      <c r="B907" t="str">
        <f t="shared" si="442"/>
        <v>ENTRADA</v>
      </c>
      <c r="C907" t="str">
        <f t="shared" si="452"/>
        <v>NFSE</v>
      </c>
      <c r="D907" t="str">
        <f t="shared" si="446"/>
        <v>2701</v>
      </c>
      <c r="E907" t="str">
        <f t="shared" si="457"/>
        <v>COM</v>
      </c>
      <c r="F907" t="str">
        <f t="shared" si="447"/>
        <v>FARMÁCIA INDIANA LJ 1 (10126)</v>
      </c>
      <c r="G907" t="str">
        <f t="shared" si="448"/>
        <v>Serv.Prest. 03/02/2025 a 09/02/2025 - RPS: 474 - NFSe: 2701</v>
      </c>
      <c r="H907" t="str">
        <f t="shared" si="453"/>
        <v>19/02/2025</v>
      </c>
      <c r="I907" t="str">
        <f t="shared" si="449"/>
        <v>11/02/2025</v>
      </c>
      <c r="J907" t="str">
        <f t="shared" si="454"/>
        <v>19/02/2025</v>
      </c>
      <c r="M907">
        <v>303</v>
      </c>
      <c r="N907" t="str">
        <f t="shared" si="455"/>
        <v>RECEITAS COM ENTREGAS</v>
      </c>
      <c r="P907">
        <v>95.9</v>
      </c>
      <c r="Q907" t="str">
        <f>"FARMÁCIA INDIANA LJ 220 (10092)"</f>
        <v>FARMÁCIA INDIANA LJ 220 (10092)</v>
      </c>
      <c r="R907" t="str">
        <f t="shared" si="456"/>
        <v>RECEITAS COM ENTREGAS (303)</v>
      </c>
      <c r="S907">
        <v>1059</v>
      </c>
      <c r="T907">
        <v>848</v>
      </c>
      <c r="U907" t="s">
        <v>19</v>
      </c>
    </row>
    <row r="908" spans="1:21">
      <c r="A908" t="str">
        <f t="shared" si="451"/>
        <v>19/02/2025</v>
      </c>
      <c r="B908" t="str">
        <f t="shared" si="442"/>
        <v>ENTRADA</v>
      </c>
      <c r="C908" t="str">
        <f t="shared" si="452"/>
        <v>NFSE</v>
      </c>
      <c r="D908" t="str">
        <f t="shared" si="446"/>
        <v>2701</v>
      </c>
      <c r="E908" t="str">
        <f t="shared" si="457"/>
        <v>COM</v>
      </c>
      <c r="F908" t="str">
        <f t="shared" si="447"/>
        <v>FARMÁCIA INDIANA LJ 1 (10126)</v>
      </c>
      <c r="G908" t="str">
        <f t="shared" si="448"/>
        <v>Serv.Prest. 03/02/2025 a 09/02/2025 - RPS: 474 - NFSe: 2701</v>
      </c>
      <c r="H908" t="str">
        <f t="shared" si="453"/>
        <v>19/02/2025</v>
      </c>
      <c r="I908" t="str">
        <f t="shared" si="449"/>
        <v>11/02/2025</v>
      </c>
      <c r="J908" t="str">
        <f t="shared" si="454"/>
        <v>19/02/2025</v>
      </c>
      <c r="M908">
        <v>303</v>
      </c>
      <c r="N908" t="str">
        <f t="shared" si="455"/>
        <v>RECEITAS COM ENTREGAS</v>
      </c>
      <c r="P908">
        <v>182.09</v>
      </c>
      <c r="Q908" t="str">
        <f>"FARMÁCIA INDIANA LJ 185 (10141)"</f>
        <v>FARMÁCIA INDIANA LJ 185 (10141)</v>
      </c>
      <c r="R908" t="str">
        <f t="shared" si="456"/>
        <v>RECEITAS COM ENTREGAS (303)</v>
      </c>
      <c r="S908">
        <v>1059</v>
      </c>
      <c r="T908">
        <v>848</v>
      </c>
      <c r="U908" t="s">
        <v>19</v>
      </c>
    </row>
    <row r="909" spans="1:21">
      <c r="A909" t="str">
        <f t="shared" ref="A909:A925" si="458">("19/02/2025")</f>
        <v>19/02/2025</v>
      </c>
      <c r="B909" t="str">
        <f t="shared" si="442"/>
        <v>ENTRADA</v>
      </c>
      <c r="C909" t="str">
        <f t="shared" ref="C909:C920" si="459">"NFSE"</f>
        <v>NFSE</v>
      </c>
      <c r="D909" t="str">
        <f>"2722"</f>
        <v>2722</v>
      </c>
      <c r="E909" t="str">
        <f t="shared" si="457"/>
        <v>COM</v>
      </c>
      <c r="F909" t="str">
        <f>"FRAN FARMA (10124)"</f>
        <v>FRAN FARMA (10124)</v>
      </c>
      <c r="G909" t="str">
        <f>"Serv.Prest. 10/02/2025 a 16/02/2025 - RPS: 495 - NFSe: 2722"</f>
        <v>Serv.Prest. 10/02/2025 a 16/02/2025 - RPS: 495 - NFSe: 2722</v>
      </c>
      <c r="H909" t="str">
        <f t="shared" ref="H909:H943" si="460">("19/02/2025")</f>
        <v>19/02/2025</v>
      </c>
      <c r="I909" t="str">
        <f t="shared" ref="I909:I918" si="461">("17/02/2025")</f>
        <v>17/02/2025</v>
      </c>
      <c r="J909" t="str">
        <f t="shared" ref="J909:J925" si="462">("19/02/2025")</f>
        <v>19/02/2025</v>
      </c>
      <c r="K909">
        <v>320</v>
      </c>
      <c r="L909">
        <v>320</v>
      </c>
      <c r="M909">
        <v>303</v>
      </c>
      <c r="N909" t="str">
        <f t="shared" ref="N909:N920" si="463">"RECEITAS COM ENTREGAS"</f>
        <v>RECEITAS COM ENTREGAS</v>
      </c>
      <c r="O909">
        <v>320</v>
      </c>
      <c r="R909" t="str">
        <f t="shared" ref="R909:R920" si="464">"RECEITAS COM ENTREGAS (303)"</f>
        <v>RECEITAS COM ENTREGAS (303)</v>
      </c>
      <c r="S909">
        <v>1060</v>
      </c>
      <c r="T909">
        <v>869</v>
      </c>
      <c r="U909" t="s">
        <v>19</v>
      </c>
    </row>
    <row r="910" spans="1:21">
      <c r="A910" t="str">
        <f t="shared" si="458"/>
        <v>19/02/2025</v>
      </c>
      <c r="B910" t="str">
        <f t="shared" ref="B910:B920" si="465">"ENTRADA"</f>
        <v>ENTRADA</v>
      </c>
      <c r="C910" t="str">
        <f t="shared" si="459"/>
        <v>NFSE</v>
      </c>
      <c r="D910" t="str">
        <f>"2722"</f>
        <v>2722</v>
      </c>
      <c r="E910" t="str">
        <f t="shared" si="457"/>
        <v>COM</v>
      </c>
      <c r="F910" t="str">
        <f>"FRAN FARMA (10124)"</f>
        <v>FRAN FARMA (10124)</v>
      </c>
      <c r="G910" t="str">
        <f>"Serv.Prest. 10/02/2025 a 16/02/2025 - RPS: 495 - NFSe: 2722"</f>
        <v>Serv.Prest. 10/02/2025 a 16/02/2025 - RPS: 495 - NFSe: 2722</v>
      </c>
      <c r="H910" t="str">
        <f t="shared" si="460"/>
        <v>19/02/2025</v>
      </c>
      <c r="I910" t="str">
        <f t="shared" si="461"/>
        <v>17/02/2025</v>
      </c>
      <c r="J910" t="str">
        <f t="shared" si="462"/>
        <v>19/02/2025</v>
      </c>
      <c r="M910">
        <v>303</v>
      </c>
      <c r="N910" t="str">
        <f t="shared" si="463"/>
        <v>RECEITAS COM ENTREGAS</v>
      </c>
      <c r="P910">
        <v>64</v>
      </c>
      <c r="Q910" t="str">
        <f>"FRAN FARMA (10124)"</f>
        <v>FRAN FARMA (10124)</v>
      </c>
      <c r="R910" t="str">
        <f t="shared" si="464"/>
        <v>RECEITAS COM ENTREGAS (303)</v>
      </c>
      <c r="S910">
        <v>1060</v>
      </c>
      <c r="T910">
        <v>869</v>
      </c>
      <c r="U910" t="s">
        <v>19</v>
      </c>
    </row>
    <row r="911" spans="1:21">
      <c r="A911" t="str">
        <f t="shared" si="458"/>
        <v>19/02/2025</v>
      </c>
      <c r="B911" t="str">
        <f t="shared" si="465"/>
        <v>ENTRADA</v>
      </c>
      <c r="C911" t="str">
        <f t="shared" si="459"/>
        <v>NFSE</v>
      </c>
      <c r="D911" t="str">
        <f>"2722"</f>
        <v>2722</v>
      </c>
      <c r="E911" t="str">
        <f t="shared" si="457"/>
        <v>COM</v>
      </c>
      <c r="F911" t="str">
        <f>"FRAN FARMA (10124)"</f>
        <v>FRAN FARMA (10124)</v>
      </c>
      <c r="G911" t="str">
        <f>"Serv.Prest. 10/02/2025 a 16/02/2025 - RPS: 495 - NFSe: 2722"</f>
        <v>Serv.Prest. 10/02/2025 a 16/02/2025 - RPS: 495 - NFSe: 2722</v>
      </c>
      <c r="H911" t="str">
        <f t="shared" si="460"/>
        <v>19/02/2025</v>
      </c>
      <c r="I911" t="str">
        <f t="shared" si="461"/>
        <v>17/02/2025</v>
      </c>
      <c r="J911" t="str">
        <f t="shared" si="462"/>
        <v>19/02/2025</v>
      </c>
      <c r="M911">
        <v>303</v>
      </c>
      <c r="N911" t="str">
        <f t="shared" si="463"/>
        <v>RECEITAS COM ENTREGAS</v>
      </c>
      <c r="P911">
        <v>192</v>
      </c>
      <c r="Q911" t="str">
        <f>"FRAN FARMA LJ 2 (10131)"</f>
        <v>FRAN FARMA LJ 2 (10131)</v>
      </c>
      <c r="R911" t="str">
        <f t="shared" si="464"/>
        <v>RECEITAS COM ENTREGAS (303)</v>
      </c>
      <c r="S911">
        <v>1060</v>
      </c>
      <c r="T911">
        <v>869</v>
      </c>
      <c r="U911" t="s">
        <v>19</v>
      </c>
    </row>
    <row r="912" spans="1:21">
      <c r="A912" t="str">
        <f t="shared" si="458"/>
        <v>19/02/2025</v>
      </c>
      <c r="B912" t="str">
        <f t="shared" si="465"/>
        <v>ENTRADA</v>
      </c>
      <c r="C912" t="str">
        <f t="shared" si="459"/>
        <v>NFSE</v>
      </c>
      <c r="D912" t="str">
        <f>"2722"</f>
        <v>2722</v>
      </c>
      <c r="E912" t="str">
        <f t="shared" si="457"/>
        <v>COM</v>
      </c>
      <c r="F912" t="str">
        <f>"FRAN FARMA (10124)"</f>
        <v>FRAN FARMA (10124)</v>
      </c>
      <c r="G912" t="str">
        <f>"Serv.Prest. 10/02/2025 a 16/02/2025 - RPS: 495 - NFSe: 2722"</f>
        <v>Serv.Prest. 10/02/2025 a 16/02/2025 - RPS: 495 - NFSe: 2722</v>
      </c>
      <c r="H912" t="str">
        <f t="shared" si="460"/>
        <v>19/02/2025</v>
      </c>
      <c r="I912" t="str">
        <f t="shared" si="461"/>
        <v>17/02/2025</v>
      </c>
      <c r="J912" t="str">
        <f t="shared" si="462"/>
        <v>19/02/2025</v>
      </c>
      <c r="M912">
        <v>303</v>
      </c>
      <c r="N912" t="str">
        <f t="shared" si="463"/>
        <v>RECEITAS COM ENTREGAS</v>
      </c>
      <c r="P912">
        <v>64</v>
      </c>
      <c r="Q912" t="str">
        <f>"FRAN FARMA LJ 3 (10132)"</f>
        <v>FRAN FARMA LJ 3 (10132)</v>
      </c>
      <c r="R912" t="str">
        <f t="shared" si="464"/>
        <v>RECEITAS COM ENTREGAS (303)</v>
      </c>
      <c r="S912">
        <v>1060</v>
      </c>
      <c r="T912">
        <v>869</v>
      </c>
      <c r="U912" t="s">
        <v>19</v>
      </c>
    </row>
    <row r="913" spans="1:21">
      <c r="A913" t="str">
        <f t="shared" si="458"/>
        <v>19/02/2025</v>
      </c>
      <c r="B913" t="str">
        <f t="shared" si="465"/>
        <v>ENTRADA</v>
      </c>
      <c r="C913" t="str">
        <f t="shared" si="459"/>
        <v>NFSE</v>
      </c>
      <c r="D913" t="str">
        <f>"2723"</f>
        <v>2723</v>
      </c>
      <c r="E913" t="str">
        <f t="shared" si="457"/>
        <v>COM</v>
      </c>
      <c r="F913" t="str">
        <f>"DELTA LOJA 2 (10123)"</f>
        <v>DELTA LOJA 2 (10123)</v>
      </c>
      <c r="G913" t="str">
        <f>"Serv.Prest. 10/02/2025 a 16/02/2025 - RPS: 496 - NFSe: 2723"</f>
        <v>Serv.Prest. 10/02/2025 a 16/02/2025 - RPS: 496 - NFSe: 2723</v>
      </c>
      <c r="H913" t="str">
        <f t="shared" si="460"/>
        <v>19/02/2025</v>
      </c>
      <c r="I913" t="str">
        <f t="shared" si="461"/>
        <v>17/02/2025</v>
      </c>
      <c r="J913" t="str">
        <f t="shared" si="462"/>
        <v>19/02/2025</v>
      </c>
      <c r="K913">
        <v>480.48</v>
      </c>
      <c r="L913">
        <v>480.48</v>
      </c>
      <c r="M913">
        <v>303</v>
      </c>
      <c r="N913" t="str">
        <f t="shared" si="463"/>
        <v>RECEITAS COM ENTREGAS</v>
      </c>
      <c r="O913">
        <v>480.48</v>
      </c>
      <c r="R913" t="str">
        <f t="shared" si="464"/>
        <v>RECEITAS COM ENTREGAS (303)</v>
      </c>
      <c r="S913">
        <v>1061</v>
      </c>
      <c r="T913">
        <v>870</v>
      </c>
      <c r="U913" t="s">
        <v>19</v>
      </c>
    </row>
    <row r="914" spans="1:21">
      <c r="A914" t="str">
        <f t="shared" si="458"/>
        <v>19/02/2025</v>
      </c>
      <c r="B914" t="str">
        <f t="shared" si="465"/>
        <v>ENTRADA</v>
      </c>
      <c r="C914" t="str">
        <f t="shared" si="459"/>
        <v>NFSE</v>
      </c>
      <c r="D914" t="str">
        <f>"2723"</f>
        <v>2723</v>
      </c>
      <c r="E914" t="str">
        <f t="shared" si="457"/>
        <v>COM</v>
      </c>
      <c r="F914" t="str">
        <f>"DELTA LOJA 2 (10123)"</f>
        <v>DELTA LOJA 2 (10123)</v>
      </c>
      <c r="G914" t="str">
        <f>"Serv.Prest. 10/02/2025 a 16/02/2025 - RPS: 496 - NFSe: 2723"</f>
        <v>Serv.Prest. 10/02/2025 a 16/02/2025 - RPS: 496 - NFSe: 2723</v>
      </c>
      <c r="H914" t="str">
        <f t="shared" si="460"/>
        <v>19/02/2025</v>
      </c>
      <c r="I914" t="str">
        <f t="shared" si="461"/>
        <v>17/02/2025</v>
      </c>
      <c r="J914" t="str">
        <f t="shared" si="462"/>
        <v>19/02/2025</v>
      </c>
      <c r="M914">
        <v>303</v>
      </c>
      <c r="N914" t="str">
        <f t="shared" si="463"/>
        <v>RECEITAS COM ENTREGAS</v>
      </c>
      <c r="P914">
        <v>480.48</v>
      </c>
      <c r="Q914" t="str">
        <f>"DELTA LOJA 2 (10123)"</f>
        <v>DELTA LOJA 2 (10123)</v>
      </c>
      <c r="R914" t="str">
        <f t="shared" si="464"/>
        <v>RECEITAS COM ENTREGAS (303)</v>
      </c>
      <c r="S914">
        <v>1061</v>
      </c>
      <c r="T914">
        <v>870</v>
      </c>
      <c r="U914" t="s">
        <v>19</v>
      </c>
    </row>
    <row r="915" spans="1:21">
      <c r="A915" t="str">
        <f t="shared" si="458"/>
        <v>19/02/2025</v>
      </c>
      <c r="B915" t="str">
        <f t="shared" si="465"/>
        <v>ENTRADA</v>
      </c>
      <c r="C915" t="str">
        <f t="shared" si="459"/>
        <v>NFSE</v>
      </c>
      <c r="D915" t="str">
        <f>"2726"</f>
        <v>2726</v>
      </c>
      <c r="E915" t="str">
        <f t="shared" si="457"/>
        <v>COM</v>
      </c>
      <c r="F915" t="str">
        <f>"FARMACIA CRISTAL (10125)"</f>
        <v>FARMACIA CRISTAL (10125)</v>
      </c>
      <c r="G915" t="str">
        <f>"Serv.Prest. 10/02/2025 a 16/02/2025 - RPS: 499 - NFSe: 2726"</f>
        <v>Serv.Prest. 10/02/2025 a 16/02/2025 - RPS: 499 - NFSe: 2726</v>
      </c>
      <c r="H915" t="str">
        <f t="shared" si="460"/>
        <v>19/02/2025</v>
      </c>
      <c r="I915" t="str">
        <f t="shared" si="461"/>
        <v>17/02/2025</v>
      </c>
      <c r="J915" t="str">
        <f t="shared" si="462"/>
        <v>19/02/2025</v>
      </c>
      <c r="K915">
        <v>259.69</v>
      </c>
      <c r="L915">
        <v>259.69</v>
      </c>
      <c r="M915">
        <v>303</v>
      </c>
      <c r="N915" t="str">
        <f t="shared" si="463"/>
        <v>RECEITAS COM ENTREGAS</v>
      </c>
      <c r="O915">
        <v>259.69</v>
      </c>
      <c r="R915" t="str">
        <f t="shared" si="464"/>
        <v>RECEITAS COM ENTREGAS (303)</v>
      </c>
      <c r="S915">
        <v>1062</v>
      </c>
      <c r="T915">
        <v>873</v>
      </c>
      <c r="U915" t="s">
        <v>19</v>
      </c>
    </row>
    <row r="916" spans="1:21">
      <c r="A916" t="str">
        <f t="shared" si="458"/>
        <v>19/02/2025</v>
      </c>
      <c r="B916" t="str">
        <f t="shared" si="465"/>
        <v>ENTRADA</v>
      </c>
      <c r="C916" t="str">
        <f t="shared" si="459"/>
        <v>NFSE</v>
      </c>
      <c r="D916" t="str">
        <f>"2726"</f>
        <v>2726</v>
      </c>
      <c r="E916" t="str">
        <f t="shared" si="457"/>
        <v>COM</v>
      </c>
      <c r="F916" t="str">
        <f>"FARMACIA CRISTAL (10125)"</f>
        <v>FARMACIA CRISTAL (10125)</v>
      </c>
      <c r="G916" t="str">
        <f>"Serv.Prest. 10/02/2025 a 16/02/2025 - RPS: 499 - NFSe: 2726"</f>
        <v>Serv.Prest. 10/02/2025 a 16/02/2025 - RPS: 499 - NFSe: 2726</v>
      </c>
      <c r="H916" t="str">
        <f t="shared" si="460"/>
        <v>19/02/2025</v>
      </c>
      <c r="I916" t="str">
        <f t="shared" si="461"/>
        <v>17/02/2025</v>
      </c>
      <c r="J916" t="str">
        <f t="shared" si="462"/>
        <v>19/02/2025</v>
      </c>
      <c r="M916">
        <v>303</v>
      </c>
      <c r="N916" t="str">
        <f t="shared" si="463"/>
        <v>RECEITAS COM ENTREGAS</v>
      </c>
      <c r="P916">
        <v>259.69</v>
      </c>
      <c r="Q916" t="str">
        <f>"FARMACIA CRISTAL (10125)"</f>
        <v>FARMACIA CRISTAL (10125)</v>
      </c>
      <c r="R916" t="str">
        <f t="shared" si="464"/>
        <v>RECEITAS COM ENTREGAS (303)</v>
      </c>
      <c r="S916">
        <v>1062</v>
      </c>
      <c r="T916">
        <v>873</v>
      </c>
      <c r="U916" t="s">
        <v>19</v>
      </c>
    </row>
    <row r="917" spans="1:21">
      <c r="A917" t="str">
        <f t="shared" si="458"/>
        <v>19/02/2025</v>
      </c>
      <c r="B917" t="str">
        <f t="shared" si="465"/>
        <v>ENTRADA</v>
      </c>
      <c r="C917" t="str">
        <f t="shared" si="459"/>
        <v>NFSE</v>
      </c>
      <c r="D917" t="str">
        <f>"2728"</f>
        <v>2728</v>
      </c>
      <c r="E917" t="str">
        <f t="shared" si="457"/>
        <v>COM</v>
      </c>
      <c r="F917" t="str">
        <f>"JAL FARMACIA E DROGARIA LJ 2 (10138)"</f>
        <v>JAL FARMACIA E DROGARIA LJ 2 (10138)</v>
      </c>
      <c r="G917" t="str">
        <f>"Serv.Prest. 10/02/2025 a 16/02/2025 - RPS: 501 - NFSe: 2728"</f>
        <v>Serv.Prest. 10/02/2025 a 16/02/2025 - RPS: 501 - NFSe: 2728</v>
      </c>
      <c r="H917" t="str">
        <f t="shared" si="460"/>
        <v>19/02/2025</v>
      </c>
      <c r="I917" t="str">
        <f t="shared" si="461"/>
        <v>17/02/2025</v>
      </c>
      <c r="J917" t="str">
        <f t="shared" si="462"/>
        <v>19/02/2025</v>
      </c>
      <c r="K917">
        <v>248</v>
      </c>
      <c r="L917">
        <v>248</v>
      </c>
      <c r="M917">
        <v>303</v>
      </c>
      <c r="N917" t="str">
        <f t="shared" si="463"/>
        <v>RECEITAS COM ENTREGAS</v>
      </c>
      <c r="O917">
        <v>248</v>
      </c>
      <c r="R917" t="str">
        <f t="shared" si="464"/>
        <v>RECEITAS COM ENTREGAS (303)</v>
      </c>
      <c r="S917">
        <v>1063</v>
      </c>
      <c r="T917">
        <v>875</v>
      </c>
      <c r="U917" t="s">
        <v>19</v>
      </c>
    </row>
    <row r="918" spans="1:21">
      <c r="A918" t="str">
        <f t="shared" si="458"/>
        <v>19/02/2025</v>
      </c>
      <c r="B918" t="str">
        <f t="shared" si="465"/>
        <v>ENTRADA</v>
      </c>
      <c r="C918" t="str">
        <f t="shared" si="459"/>
        <v>NFSE</v>
      </c>
      <c r="D918" t="str">
        <f>"2728"</f>
        <v>2728</v>
      </c>
      <c r="E918" t="str">
        <f t="shared" si="457"/>
        <v>COM</v>
      </c>
      <c r="F918" t="str">
        <f>"JAL FARMACIA E DROGARIA LJ 2 (10138)"</f>
        <v>JAL FARMACIA E DROGARIA LJ 2 (10138)</v>
      </c>
      <c r="G918" t="str">
        <f>"Serv.Prest. 10/02/2025 a 16/02/2025 - RPS: 501 - NFSe: 2728"</f>
        <v>Serv.Prest. 10/02/2025 a 16/02/2025 - RPS: 501 - NFSe: 2728</v>
      </c>
      <c r="H918" t="str">
        <f t="shared" si="460"/>
        <v>19/02/2025</v>
      </c>
      <c r="I918" t="str">
        <f t="shared" si="461"/>
        <v>17/02/2025</v>
      </c>
      <c r="J918" t="str">
        <f t="shared" si="462"/>
        <v>19/02/2025</v>
      </c>
      <c r="M918">
        <v>303</v>
      </c>
      <c r="N918" t="str">
        <f t="shared" si="463"/>
        <v>RECEITAS COM ENTREGAS</v>
      </c>
      <c r="P918">
        <v>248</v>
      </c>
      <c r="Q918" t="str">
        <f>"JAL FARMACIA E DROGARIA LJ 2 (10138)"</f>
        <v>JAL FARMACIA E DROGARIA LJ 2 (10138)</v>
      </c>
      <c r="R918" t="str">
        <f t="shared" si="464"/>
        <v>RECEITAS COM ENTREGAS (303)</v>
      </c>
      <c r="S918">
        <v>1063</v>
      </c>
      <c r="T918">
        <v>875</v>
      </c>
      <c r="U918" t="s">
        <v>19</v>
      </c>
    </row>
    <row r="919" spans="1:21">
      <c r="A919" t="str">
        <f t="shared" si="458"/>
        <v>19/02/2025</v>
      </c>
      <c r="B919" t="str">
        <f t="shared" si="465"/>
        <v>ENTRADA</v>
      </c>
      <c r="C919" t="str">
        <f t="shared" si="459"/>
        <v>NFSE</v>
      </c>
      <c r="D919" t="str">
        <f>"2736"</f>
        <v>2736</v>
      </c>
      <c r="E919" t="str">
        <f t="shared" si="457"/>
        <v>COM</v>
      </c>
      <c r="F919" t="str">
        <f>"DROGA CINTIA 2 (10144)"</f>
        <v>DROGA CINTIA 2 (10144)</v>
      </c>
      <c r="G919" t="str">
        <f>"Serv.Prest. 10/02/2025 a 16/02/2025 - RPS: 509 - NFSe: 2736"</f>
        <v>Serv.Prest. 10/02/2025 a 16/02/2025 - RPS: 509 - NFSe: 2736</v>
      </c>
      <c r="H919" t="str">
        <f t="shared" si="460"/>
        <v>19/02/2025</v>
      </c>
      <c r="I919" t="str">
        <f>("18/02/2025")</f>
        <v>18/02/2025</v>
      </c>
      <c r="J919" t="str">
        <f t="shared" si="462"/>
        <v>19/02/2025</v>
      </c>
      <c r="K919">
        <v>319.60000000000002</v>
      </c>
      <c r="L919">
        <v>319.60000000000002</v>
      </c>
      <c r="M919">
        <v>303</v>
      </c>
      <c r="N919" t="str">
        <f t="shared" si="463"/>
        <v>RECEITAS COM ENTREGAS</v>
      </c>
      <c r="O919">
        <v>319.60000000000002</v>
      </c>
      <c r="R919" t="str">
        <f t="shared" si="464"/>
        <v>RECEITAS COM ENTREGAS (303)</v>
      </c>
      <c r="S919">
        <v>1064</v>
      </c>
      <c r="T919">
        <v>883</v>
      </c>
      <c r="U919" t="s">
        <v>19</v>
      </c>
    </row>
    <row r="920" spans="1:21">
      <c r="A920" t="str">
        <f t="shared" si="458"/>
        <v>19/02/2025</v>
      </c>
      <c r="B920" t="str">
        <f t="shared" si="465"/>
        <v>ENTRADA</v>
      </c>
      <c r="C920" t="str">
        <f t="shared" si="459"/>
        <v>NFSE</v>
      </c>
      <c r="D920" t="str">
        <f>"2736"</f>
        <v>2736</v>
      </c>
      <c r="E920" t="str">
        <f t="shared" si="457"/>
        <v>COM</v>
      </c>
      <c r="F920" t="str">
        <f>"DROGA CINTIA 2 (10144)"</f>
        <v>DROGA CINTIA 2 (10144)</v>
      </c>
      <c r="G920" t="str">
        <f>"Serv.Prest. 10/02/2025 a 16/02/2025 - RPS: 509 - NFSe: 2736"</f>
        <v>Serv.Prest. 10/02/2025 a 16/02/2025 - RPS: 509 - NFSe: 2736</v>
      </c>
      <c r="H920" t="str">
        <f t="shared" si="460"/>
        <v>19/02/2025</v>
      </c>
      <c r="I920" t="str">
        <f>("18/02/2025")</f>
        <v>18/02/2025</v>
      </c>
      <c r="J920" t="str">
        <f t="shared" si="462"/>
        <v>19/02/2025</v>
      </c>
      <c r="M920">
        <v>303</v>
      </c>
      <c r="N920" t="str">
        <f t="shared" si="463"/>
        <v>RECEITAS COM ENTREGAS</v>
      </c>
      <c r="P920">
        <v>319.60000000000002</v>
      </c>
      <c r="Q920" t="str">
        <f>"DROGA CINTIA 2 (10144)"</f>
        <v>DROGA CINTIA 2 (10144)</v>
      </c>
      <c r="R920" t="str">
        <f t="shared" si="464"/>
        <v>RECEITAS COM ENTREGAS (303)</v>
      </c>
      <c r="S920">
        <v>1064</v>
      </c>
      <c r="T920">
        <v>883</v>
      </c>
      <c r="U920" t="s">
        <v>19</v>
      </c>
    </row>
    <row r="921" spans="1:21">
      <c r="A921" t="str">
        <f t="shared" si="458"/>
        <v>19/02/2025</v>
      </c>
      <c r="B921" t="str">
        <f t="shared" ref="B921:B925" si="466">"SAÍDA"</f>
        <v>SAÍDA</v>
      </c>
      <c r="C921" t="str">
        <f>"JUROS"</f>
        <v>JUROS</v>
      </c>
      <c r="D921" t="str">
        <f>""</f>
        <v/>
      </c>
      <c r="E921" t="str">
        <f>"CXA"</f>
        <v>CXA</v>
      </c>
      <c r="F921" t="str">
        <f>""</f>
        <v/>
      </c>
      <c r="G921" t="str">
        <f>"TAXA BOLETO COMPENSADO"</f>
        <v>TAXA BOLETO COMPENSADO</v>
      </c>
      <c r="H921" t="str">
        <f t="shared" si="460"/>
        <v>19/02/2025</v>
      </c>
      <c r="I921" t="str">
        <f>("19/02/2025")</f>
        <v>19/02/2025</v>
      </c>
      <c r="J921" t="str">
        <f t="shared" si="462"/>
        <v>19/02/2025</v>
      </c>
      <c r="K921">
        <v>1.7</v>
      </c>
      <c r="L921">
        <v>1.7</v>
      </c>
      <c r="M921">
        <v>401</v>
      </c>
      <c r="N921" t="str">
        <f>"IOF/JUROS/DESP.FINANCEIRA"</f>
        <v>IOF/JUROS/DESP.FINANCEIRA</v>
      </c>
      <c r="O921">
        <v>1.7</v>
      </c>
      <c r="R921" t="str">
        <f>"BANCO CORA (102)"</f>
        <v>BANCO CORA (102)</v>
      </c>
      <c r="S921">
        <v>1079</v>
      </c>
      <c r="T921">
        <v>0</v>
      </c>
      <c r="U921" t="s">
        <v>20</v>
      </c>
    </row>
    <row r="922" spans="1:21">
      <c r="A922" t="str">
        <f t="shared" si="458"/>
        <v>19/02/2025</v>
      </c>
      <c r="B922" t="str">
        <f t="shared" si="466"/>
        <v>SAÍDA</v>
      </c>
      <c r="C922" t="str">
        <f>"JUROS"</f>
        <v>JUROS</v>
      </c>
      <c r="D922" t="str">
        <f>""</f>
        <v/>
      </c>
      <c r="E922" t="str">
        <f>"CXA"</f>
        <v>CXA</v>
      </c>
      <c r="F922" t="str">
        <f>""</f>
        <v/>
      </c>
      <c r="G922" t="str">
        <f>"TAXA BOLETO COMPENSADO"</f>
        <v>TAXA BOLETO COMPENSADO</v>
      </c>
      <c r="H922" t="str">
        <f t="shared" si="460"/>
        <v>19/02/2025</v>
      </c>
      <c r="I922" t="str">
        <f>("19/02/2025")</f>
        <v>19/02/2025</v>
      </c>
      <c r="J922" t="str">
        <f t="shared" si="462"/>
        <v>19/02/2025</v>
      </c>
      <c r="K922">
        <v>1.7</v>
      </c>
      <c r="L922">
        <v>1.7</v>
      </c>
      <c r="M922">
        <v>401</v>
      </c>
      <c r="N922" t="str">
        <f>"IOF/JUROS/DESP.FINANCEIRA"</f>
        <v>IOF/JUROS/DESP.FINANCEIRA</v>
      </c>
      <c r="O922">
        <v>1.7</v>
      </c>
      <c r="R922" t="str">
        <f>"BANCO CORA (102)"</f>
        <v>BANCO CORA (102)</v>
      </c>
      <c r="S922">
        <v>1080</v>
      </c>
      <c r="T922">
        <v>0</v>
      </c>
      <c r="U922" t="s">
        <v>20</v>
      </c>
    </row>
    <row r="923" spans="1:21">
      <c r="A923" t="str">
        <f t="shared" si="458"/>
        <v>19/02/2025</v>
      </c>
      <c r="B923" t="str">
        <f t="shared" si="466"/>
        <v>SAÍDA</v>
      </c>
      <c r="C923" t="str">
        <f>"JUROS"</f>
        <v>JUROS</v>
      </c>
      <c r="D923" t="str">
        <f>""</f>
        <v/>
      </c>
      <c r="E923" t="str">
        <f>"CXA"</f>
        <v>CXA</v>
      </c>
      <c r="F923" t="str">
        <f>""</f>
        <v/>
      </c>
      <c r="G923" t="str">
        <f>"TAXA BOLETO COMPENSADO"</f>
        <v>TAXA BOLETO COMPENSADO</v>
      </c>
      <c r="H923" t="str">
        <f t="shared" si="460"/>
        <v>19/02/2025</v>
      </c>
      <c r="I923" t="str">
        <f>("19/02/2025")</f>
        <v>19/02/2025</v>
      </c>
      <c r="J923" t="str">
        <f t="shared" si="462"/>
        <v>19/02/2025</v>
      </c>
      <c r="K923">
        <v>1.7</v>
      </c>
      <c r="L923">
        <v>1.7</v>
      </c>
      <c r="M923">
        <v>401</v>
      </c>
      <c r="N923" t="str">
        <f>"IOF/JUROS/DESP.FINANCEIRA"</f>
        <v>IOF/JUROS/DESP.FINANCEIRA</v>
      </c>
      <c r="O923">
        <v>1.7</v>
      </c>
      <c r="R923" t="str">
        <f>"BANCO CORA (102)"</f>
        <v>BANCO CORA (102)</v>
      </c>
      <c r="S923">
        <v>1081</v>
      </c>
      <c r="T923">
        <v>0</v>
      </c>
      <c r="U923" t="s">
        <v>20</v>
      </c>
    </row>
    <row r="924" spans="1:21">
      <c r="A924" t="str">
        <f t="shared" si="458"/>
        <v>19/02/2025</v>
      </c>
      <c r="B924" t="str">
        <f t="shared" si="466"/>
        <v>SAÍDA</v>
      </c>
      <c r="C924" t="str">
        <f>"JUROS"</f>
        <v>JUROS</v>
      </c>
      <c r="D924" t="str">
        <f>""</f>
        <v/>
      </c>
      <c r="E924" t="str">
        <f>"CXA"</f>
        <v>CXA</v>
      </c>
      <c r="F924" t="str">
        <f>""</f>
        <v/>
      </c>
      <c r="G924" t="str">
        <f>"TAXA BOLETO COMPENSADO"</f>
        <v>TAXA BOLETO COMPENSADO</v>
      </c>
      <c r="H924" t="str">
        <f t="shared" si="460"/>
        <v>19/02/2025</v>
      </c>
      <c r="I924" t="str">
        <f>("19/02/2025")</f>
        <v>19/02/2025</v>
      </c>
      <c r="J924" t="str">
        <f t="shared" si="462"/>
        <v>19/02/2025</v>
      </c>
      <c r="K924">
        <v>1.7</v>
      </c>
      <c r="L924">
        <v>1.7</v>
      </c>
      <c r="M924">
        <v>401</v>
      </c>
      <c r="N924" t="str">
        <f>"IOF/JUROS/DESP.FINANCEIRA"</f>
        <v>IOF/JUROS/DESP.FINANCEIRA</v>
      </c>
      <c r="O924">
        <v>1.7</v>
      </c>
      <c r="R924" t="str">
        <f>"BANCO CORA (102)"</f>
        <v>BANCO CORA (102)</v>
      </c>
      <c r="S924">
        <v>1082</v>
      </c>
      <c r="T924">
        <v>0</v>
      </c>
      <c r="U924" t="s">
        <v>20</v>
      </c>
    </row>
    <row r="925" spans="1:21">
      <c r="A925" t="str">
        <f t="shared" si="458"/>
        <v>19/02/2025</v>
      </c>
      <c r="B925" t="str">
        <f t="shared" si="466"/>
        <v>SAÍDA</v>
      </c>
      <c r="C925" t="str">
        <f>"JUROS"</f>
        <v>JUROS</v>
      </c>
      <c r="D925" t="str">
        <f>""</f>
        <v/>
      </c>
      <c r="E925" t="str">
        <f>"CXA"</f>
        <v>CXA</v>
      </c>
      <c r="F925" t="str">
        <f>""</f>
        <v/>
      </c>
      <c r="G925" t="str">
        <f>"TAXA BOLETO COMPENSADO"</f>
        <v>TAXA BOLETO COMPENSADO</v>
      </c>
      <c r="H925" t="str">
        <f t="shared" si="460"/>
        <v>19/02/2025</v>
      </c>
      <c r="I925" t="str">
        <f>("19/02/2025")</f>
        <v>19/02/2025</v>
      </c>
      <c r="J925" t="str">
        <f t="shared" si="462"/>
        <v>19/02/2025</v>
      </c>
      <c r="K925">
        <v>1.7</v>
      </c>
      <c r="L925">
        <v>1.7</v>
      </c>
      <c r="M925">
        <v>401</v>
      </c>
      <c r="N925" t="str">
        <f>"IOF/JUROS/DESP.FINANCEIRA"</f>
        <v>IOF/JUROS/DESP.FINANCEIRA</v>
      </c>
      <c r="O925">
        <v>1.7</v>
      </c>
      <c r="R925" t="str">
        <f>"BANCO CORA (102)"</f>
        <v>BANCO CORA (102)</v>
      </c>
      <c r="S925">
        <v>1083</v>
      </c>
      <c r="T925">
        <v>0</v>
      </c>
      <c r="U925" t="s">
        <v>20</v>
      </c>
    </row>
    <row r="926" spans="1:21">
      <c r="A926" t="str">
        <f t="shared" ref="A926:A962" si="467">("20/02/2025")</f>
        <v>20/02/2025</v>
      </c>
      <c r="B926" t="str">
        <f>"ENTRADA"</f>
        <v>ENTRADA</v>
      </c>
      <c r="C926" t="str">
        <f t="shared" ref="C926:C945" si="468">"NFSE"</f>
        <v>NFSE</v>
      </c>
      <c r="D926" t="str">
        <f>"2724"</f>
        <v>2724</v>
      </c>
      <c r="E926" t="str">
        <f t="shared" ref="E926:E945" si="469">"COM"</f>
        <v>COM</v>
      </c>
      <c r="F926" t="str">
        <f>"DROGA ELIDA (10121)"</f>
        <v>DROGA ELIDA (10121)</v>
      </c>
      <c r="G926" t="str">
        <f>"Serv.Prest. 10/02/2025 a 16/02/2025 - RPS: 497 - NFSe: 2724"</f>
        <v>Serv.Prest. 10/02/2025 a 16/02/2025 - RPS: 497 - NFSe: 2724</v>
      </c>
      <c r="H926" t="str">
        <f t="shared" si="460"/>
        <v>19/02/2025</v>
      </c>
      <c r="I926" t="str">
        <f t="shared" ref="I926:I931" si="470">("17/02/2025")</f>
        <v>17/02/2025</v>
      </c>
      <c r="J926" t="str">
        <f t="shared" ref="J926:J962" si="471">("20/02/2025")</f>
        <v>20/02/2025</v>
      </c>
      <c r="K926">
        <v>350.4</v>
      </c>
      <c r="L926">
        <v>350.4</v>
      </c>
      <c r="M926">
        <v>303</v>
      </c>
      <c r="N926" t="str">
        <f t="shared" ref="N926:N945" si="472">"RECEITAS COM ENTREGAS"</f>
        <v>RECEITAS COM ENTREGAS</v>
      </c>
      <c r="O926">
        <v>350.4</v>
      </c>
      <c r="R926" t="str">
        <f t="shared" ref="R926:R945" si="473">"RECEITAS COM ENTREGAS (303)"</f>
        <v>RECEITAS COM ENTREGAS (303)</v>
      </c>
      <c r="S926">
        <v>1065</v>
      </c>
      <c r="T926">
        <v>871</v>
      </c>
      <c r="U926" t="s">
        <v>19</v>
      </c>
    </row>
    <row r="927" spans="1:21">
      <c r="A927" t="str">
        <f t="shared" si="467"/>
        <v>20/02/2025</v>
      </c>
      <c r="B927" t="str">
        <f t="shared" ref="B927:B945" si="474">"ENTRADA"</f>
        <v>ENTRADA</v>
      </c>
      <c r="C927" t="str">
        <f t="shared" si="468"/>
        <v>NFSE</v>
      </c>
      <c r="D927" t="str">
        <f>"2724"</f>
        <v>2724</v>
      </c>
      <c r="E927" t="str">
        <f t="shared" si="469"/>
        <v>COM</v>
      </c>
      <c r="F927" t="str">
        <f>"DROGA ELIDA (10121)"</f>
        <v>DROGA ELIDA (10121)</v>
      </c>
      <c r="G927" t="str">
        <f>"Serv.Prest. 10/02/2025 a 16/02/2025 - RPS: 497 - NFSe: 2724"</f>
        <v>Serv.Prest. 10/02/2025 a 16/02/2025 - RPS: 497 - NFSe: 2724</v>
      </c>
      <c r="H927" t="str">
        <f t="shared" si="460"/>
        <v>19/02/2025</v>
      </c>
      <c r="I927" t="str">
        <f t="shared" si="470"/>
        <v>17/02/2025</v>
      </c>
      <c r="J927" t="str">
        <f t="shared" si="471"/>
        <v>20/02/2025</v>
      </c>
      <c r="M927">
        <v>303</v>
      </c>
      <c r="N927" t="str">
        <f t="shared" si="472"/>
        <v>RECEITAS COM ENTREGAS</v>
      </c>
      <c r="P927">
        <v>350.4</v>
      </c>
      <c r="Q927" t="str">
        <f>"DROGA ELIDA (10121)"</f>
        <v>DROGA ELIDA (10121)</v>
      </c>
      <c r="R927" t="str">
        <f t="shared" si="473"/>
        <v>RECEITAS COM ENTREGAS (303)</v>
      </c>
      <c r="S927">
        <v>1065</v>
      </c>
      <c r="T927">
        <v>871</v>
      </c>
      <c r="U927" t="s">
        <v>19</v>
      </c>
    </row>
    <row r="928" spans="1:21">
      <c r="A928" t="str">
        <f t="shared" si="467"/>
        <v>20/02/2025</v>
      </c>
      <c r="B928" t="str">
        <f t="shared" si="474"/>
        <v>ENTRADA</v>
      </c>
      <c r="C928" t="str">
        <f t="shared" si="468"/>
        <v>NFSE</v>
      </c>
      <c r="D928" t="str">
        <f>"2727"</f>
        <v>2727</v>
      </c>
      <c r="E928" t="str">
        <f t="shared" si="469"/>
        <v>COM</v>
      </c>
      <c r="F928" t="str">
        <f>"JAL FARMACIA E DROGARIA LJ 1 (10137)"</f>
        <v>JAL FARMACIA E DROGARIA LJ 1 (10137)</v>
      </c>
      <c r="G928" t="str">
        <f>"Serv.Prest. 10/02/2025 a 16/02/2025 - RPS: 500 - NFSe: 2727"</f>
        <v>Serv.Prest. 10/02/2025 a 16/02/2025 - RPS: 500 - NFSe: 2727</v>
      </c>
      <c r="H928" t="str">
        <f t="shared" si="460"/>
        <v>19/02/2025</v>
      </c>
      <c r="I928" t="str">
        <f t="shared" si="470"/>
        <v>17/02/2025</v>
      </c>
      <c r="J928" t="str">
        <f t="shared" si="471"/>
        <v>20/02/2025</v>
      </c>
      <c r="K928">
        <v>364.8</v>
      </c>
      <c r="L928">
        <v>364.8</v>
      </c>
      <c r="M928">
        <v>303</v>
      </c>
      <c r="N928" t="str">
        <f t="shared" si="472"/>
        <v>RECEITAS COM ENTREGAS</v>
      </c>
      <c r="O928">
        <v>364.8</v>
      </c>
      <c r="R928" t="str">
        <f t="shared" si="473"/>
        <v>RECEITAS COM ENTREGAS (303)</v>
      </c>
      <c r="S928">
        <v>1066</v>
      </c>
      <c r="T928">
        <v>874</v>
      </c>
      <c r="U928" t="s">
        <v>19</v>
      </c>
    </row>
    <row r="929" spans="1:21">
      <c r="A929" t="str">
        <f t="shared" si="467"/>
        <v>20/02/2025</v>
      </c>
      <c r="B929" t="str">
        <f t="shared" si="474"/>
        <v>ENTRADA</v>
      </c>
      <c r="C929" t="str">
        <f t="shared" si="468"/>
        <v>NFSE</v>
      </c>
      <c r="D929" t="str">
        <f>"2727"</f>
        <v>2727</v>
      </c>
      <c r="E929" t="str">
        <f t="shared" si="469"/>
        <v>COM</v>
      </c>
      <c r="F929" t="str">
        <f>"JAL FARMACIA E DROGARIA LJ 1 (10137)"</f>
        <v>JAL FARMACIA E DROGARIA LJ 1 (10137)</v>
      </c>
      <c r="G929" t="str">
        <f>"Serv.Prest. 10/02/2025 a 16/02/2025 - RPS: 500 - NFSe: 2727"</f>
        <v>Serv.Prest. 10/02/2025 a 16/02/2025 - RPS: 500 - NFSe: 2727</v>
      </c>
      <c r="H929" t="str">
        <f t="shared" si="460"/>
        <v>19/02/2025</v>
      </c>
      <c r="I929" t="str">
        <f t="shared" si="470"/>
        <v>17/02/2025</v>
      </c>
      <c r="J929" t="str">
        <f t="shared" si="471"/>
        <v>20/02/2025</v>
      </c>
      <c r="M929">
        <v>303</v>
      </c>
      <c r="N929" t="str">
        <f t="shared" si="472"/>
        <v>RECEITAS COM ENTREGAS</v>
      </c>
      <c r="P929">
        <v>364.8</v>
      </c>
      <c r="Q929" t="str">
        <f>"JAL FARMACIA E DROGARIA LJ 1 (10137)"</f>
        <v>JAL FARMACIA E DROGARIA LJ 1 (10137)</v>
      </c>
      <c r="R929" t="str">
        <f t="shared" si="473"/>
        <v>RECEITAS COM ENTREGAS (303)</v>
      </c>
      <c r="S929">
        <v>1066</v>
      </c>
      <c r="T929">
        <v>874</v>
      </c>
      <c r="U929" t="s">
        <v>19</v>
      </c>
    </row>
    <row r="930" spans="1:21">
      <c r="A930" t="str">
        <f t="shared" si="467"/>
        <v>20/02/2025</v>
      </c>
      <c r="B930" t="str">
        <f t="shared" si="474"/>
        <v>ENTRADA</v>
      </c>
      <c r="C930" t="str">
        <f t="shared" si="468"/>
        <v>NFSE</v>
      </c>
      <c r="D930" t="str">
        <f>"2729"</f>
        <v>2729</v>
      </c>
      <c r="E930" t="str">
        <f t="shared" si="469"/>
        <v>COM</v>
      </c>
      <c r="F930" t="str">
        <f>"FARMACIA ECONOMIZE (10103)"</f>
        <v>FARMACIA ECONOMIZE (10103)</v>
      </c>
      <c r="G930" t="str">
        <f>"Serv.Prest. 10/02/2025 a 16/02/2025 - RPS: 502 - NFSe: 2729"</f>
        <v>Serv.Prest. 10/02/2025 a 16/02/2025 - RPS: 502 - NFSe: 2729</v>
      </c>
      <c r="H930" t="str">
        <f t="shared" si="460"/>
        <v>19/02/2025</v>
      </c>
      <c r="I930" t="str">
        <f t="shared" si="470"/>
        <v>17/02/2025</v>
      </c>
      <c r="J930" t="str">
        <f t="shared" si="471"/>
        <v>20/02/2025</v>
      </c>
      <c r="K930">
        <v>134.97999999999999</v>
      </c>
      <c r="L930">
        <v>134.97999999999999</v>
      </c>
      <c r="M930">
        <v>303</v>
      </c>
      <c r="N930" t="str">
        <f t="shared" si="472"/>
        <v>RECEITAS COM ENTREGAS</v>
      </c>
      <c r="O930">
        <v>134.97999999999999</v>
      </c>
      <c r="R930" t="str">
        <f t="shared" si="473"/>
        <v>RECEITAS COM ENTREGAS (303)</v>
      </c>
      <c r="S930">
        <v>1067</v>
      </c>
      <c r="T930">
        <v>876</v>
      </c>
      <c r="U930" t="s">
        <v>19</v>
      </c>
    </row>
    <row r="931" spans="1:21">
      <c r="A931" t="str">
        <f t="shared" si="467"/>
        <v>20/02/2025</v>
      </c>
      <c r="B931" t="str">
        <f t="shared" si="474"/>
        <v>ENTRADA</v>
      </c>
      <c r="C931" t="str">
        <f t="shared" si="468"/>
        <v>NFSE</v>
      </c>
      <c r="D931" t="str">
        <f>"2729"</f>
        <v>2729</v>
      </c>
      <c r="E931" t="str">
        <f t="shared" si="469"/>
        <v>COM</v>
      </c>
      <c r="F931" t="str">
        <f>"FARMACIA ECONOMIZE (10103)"</f>
        <v>FARMACIA ECONOMIZE (10103)</v>
      </c>
      <c r="G931" t="str">
        <f>"Serv.Prest. 10/02/2025 a 16/02/2025 - RPS: 502 - NFSe: 2729"</f>
        <v>Serv.Prest. 10/02/2025 a 16/02/2025 - RPS: 502 - NFSe: 2729</v>
      </c>
      <c r="H931" t="str">
        <f t="shared" si="460"/>
        <v>19/02/2025</v>
      </c>
      <c r="I931" t="str">
        <f t="shared" si="470"/>
        <v>17/02/2025</v>
      </c>
      <c r="J931" t="str">
        <f t="shared" si="471"/>
        <v>20/02/2025</v>
      </c>
      <c r="M931">
        <v>303</v>
      </c>
      <c r="N931" t="str">
        <f t="shared" si="472"/>
        <v>RECEITAS COM ENTREGAS</v>
      </c>
      <c r="P931">
        <v>134.97999999999999</v>
      </c>
      <c r="Q931" t="str">
        <f>"FARMACIA ECONOMIZE (10103)"</f>
        <v>FARMACIA ECONOMIZE (10103)</v>
      </c>
      <c r="R931" t="str">
        <f t="shared" si="473"/>
        <v>RECEITAS COM ENTREGAS (303)</v>
      </c>
      <c r="S931">
        <v>1067</v>
      </c>
      <c r="T931">
        <v>876</v>
      </c>
      <c r="U931" t="s">
        <v>19</v>
      </c>
    </row>
    <row r="932" spans="1:21">
      <c r="A932" t="str">
        <f t="shared" si="467"/>
        <v>20/02/2025</v>
      </c>
      <c r="B932" t="str">
        <f t="shared" si="474"/>
        <v>ENTRADA</v>
      </c>
      <c r="C932" t="str">
        <f t="shared" si="468"/>
        <v>NFSE</v>
      </c>
      <c r="D932" t="str">
        <f>"2737"</f>
        <v>2737</v>
      </c>
      <c r="E932" t="str">
        <f t="shared" si="469"/>
        <v>COM</v>
      </c>
      <c r="F932" t="str">
        <f>"DROGA MONICA LJ 8 (10153)"</f>
        <v>DROGA MONICA LJ 8 (10153)</v>
      </c>
      <c r="G932" t="str">
        <f>"Serv.Prest. 10/02/2025 a 16/02/2025 - RPS: 510 - NFSe: 2737"</f>
        <v>Serv.Prest. 10/02/2025 a 16/02/2025 - RPS: 510 - NFSe: 2737</v>
      </c>
      <c r="H932" t="str">
        <f t="shared" si="460"/>
        <v>19/02/2025</v>
      </c>
      <c r="I932" t="str">
        <f t="shared" ref="I932:I945" si="475">("18/02/2025")</f>
        <v>18/02/2025</v>
      </c>
      <c r="J932" t="str">
        <f t="shared" si="471"/>
        <v>20/02/2025</v>
      </c>
      <c r="K932">
        <v>122.4</v>
      </c>
      <c r="L932">
        <v>122.4</v>
      </c>
      <c r="M932">
        <v>303</v>
      </c>
      <c r="N932" t="str">
        <f t="shared" si="472"/>
        <v>RECEITAS COM ENTREGAS</v>
      </c>
      <c r="O932">
        <v>122.4</v>
      </c>
      <c r="R932" t="str">
        <f t="shared" si="473"/>
        <v>RECEITAS COM ENTREGAS (303)</v>
      </c>
      <c r="S932">
        <v>1068</v>
      </c>
      <c r="T932">
        <v>884</v>
      </c>
      <c r="U932" t="s">
        <v>19</v>
      </c>
    </row>
    <row r="933" spans="1:21">
      <c r="A933" t="str">
        <f t="shared" si="467"/>
        <v>20/02/2025</v>
      </c>
      <c r="B933" t="str">
        <f t="shared" si="474"/>
        <v>ENTRADA</v>
      </c>
      <c r="C933" t="str">
        <f t="shared" si="468"/>
        <v>NFSE</v>
      </c>
      <c r="D933" t="str">
        <f>"2737"</f>
        <v>2737</v>
      </c>
      <c r="E933" t="str">
        <f t="shared" si="469"/>
        <v>COM</v>
      </c>
      <c r="F933" t="str">
        <f>"DROGA MONICA LJ 8 (10153)"</f>
        <v>DROGA MONICA LJ 8 (10153)</v>
      </c>
      <c r="G933" t="str">
        <f>"Serv.Prest. 10/02/2025 a 16/02/2025 - RPS: 510 - NFSe: 2737"</f>
        <v>Serv.Prest. 10/02/2025 a 16/02/2025 - RPS: 510 - NFSe: 2737</v>
      </c>
      <c r="H933" t="str">
        <f t="shared" si="460"/>
        <v>19/02/2025</v>
      </c>
      <c r="I933" t="str">
        <f t="shared" si="475"/>
        <v>18/02/2025</v>
      </c>
      <c r="J933" t="str">
        <f t="shared" si="471"/>
        <v>20/02/2025</v>
      </c>
      <c r="M933">
        <v>303</v>
      </c>
      <c r="N933" t="str">
        <f t="shared" si="472"/>
        <v>RECEITAS COM ENTREGAS</v>
      </c>
      <c r="P933">
        <v>122.4</v>
      </c>
      <c r="Q933" t="str">
        <f>"DROGA MONICA LJ 8 (10153)"</f>
        <v>DROGA MONICA LJ 8 (10153)</v>
      </c>
      <c r="R933" t="str">
        <f t="shared" si="473"/>
        <v>RECEITAS COM ENTREGAS (303)</v>
      </c>
      <c r="S933">
        <v>1068</v>
      </c>
      <c r="T933">
        <v>884</v>
      </c>
      <c r="U933" t="s">
        <v>19</v>
      </c>
    </row>
    <row r="934" spans="1:21">
      <c r="A934" t="str">
        <f t="shared" si="467"/>
        <v>20/02/2025</v>
      </c>
      <c r="B934" t="str">
        <f t="shared" si="474"/>
        <v>ENTRADA</v>
      </c>
      <c r="C934" t="str">
        <f t="shared" si="468"/>
        <v>NFSE</v>
      </c>
      <c r="D934" t="str">
        <f>"2738"</f>
        <v>2738</v>
      </c>
      <c r="E934" t="str">
        <f t="shared" si="469"/>
        <v>COM</v>
      </c>
      <c r="F934" t="str">
        <f>"DROGA MONICA LJ 3 (10152)"</f>
        <v>DROGA MONICA LJ 3 (10152)</v>
      </c>
      <c r="G934" t="str">
        <f>"Serv.Prest. 10/02/2025 a 16/02/2025 - RPS: 511 - NFSe: 2738"</f>
        <v>Serv.Prest. 10/02/2025 a 16/02/2025 - RPS: 511 - NFSe: 2738</v>
      </c>
      <c r="H934" t="str">
        <f t="shared" si="460"/>
        <v>19/02/2025</v>
      </c>
      <c r="I934" t="str">
        <f t="shared" si="475"/>
        <v>18/02/2025</v>
      </c>
      <c r="J934" t="str">
        <f t="shared" si="471"/>
        <v>20/02/2025</v>
      </c>
      <c r="K934">
        <v>122.4</v>
      </c>
      <c r="L934">
        <v>122.4</v>
      </c>
      <c r="M934">
        <v>303</v>
      </c>
      <c r="N934" t="str">
        <f t="shared" si="472"/>
        <v>RECEITAS COM ENTREGAS</v>
      </c>
      <c r="O934">
        <v>122.4</v>
      </c>
      <c r="R934" t="str">
        <f t="shared" si="473"/>
        <v>RECEITAS COM ENTREGAS (303)</v>
      </c>
      <c r="S934">
        <v>1069</v>
      </c>
      <c r="T934">
        <v>885</v>
      </c>
      <c r="U934" t="s">
        <v>19</v>
      </c>
    </row>
    <row r="935" spans="1:21">
      <c r="A935" t="str">
        <f t="shared" si="467"/>
        <v>20/02/2025</v>
      </c>
      <c r="B935" t="str">
        <f t="shared" si="474"/>
        <v>ENTRADA</v>
      </c>
      <c r="C935" t="str">
        <f t="shared" si="468"/>
        <v>NFSE</v>
      </c>
      <c r="D935" t="str">
        <f>"2738"</f>
        <v>2738</v>
      </c>
      <c r="E935" t="str">
        <f t="shared" si="469"/>
        <v>COM</v>
      </c>
      <c r="F935" t="str">
        <f>"DROGA MONICA LJ 3 (10152)"</f>
        <v>DROGA MONICA LJ 3 (10152)</v>
      </c>
      <c r="G935" t="str">
        <f>"Serv.Prest. 10/02/2025 a 16/02/2025 - RPS: 511 - NFSe: 2738"</f>
        <v>Serv.Prest. 10/02/2025 a 16/02/2025 - RPS: 511 - NFSe: 2738</v>
      </c>
      <c r="H935" t="str">
        <f t="shared" si="460"/>
        <v>19/02/2025</v>
      </c>
      <c r="I935" t="str">
        <f t="shared" si="475"/>
        <v>18/02/2025</v>
      </c>
      <c r="J935" t="str">
        <f t="shared" si="471"/>
        <v>20/02/2025</v>
      </c>
      <c r="M935">
        <v>303</v>
      </c>
      <c r="N935" t="str">
        <f t="shared" si="472"/>
        <v>RECEITAS COM ENTREGAS</v>
      </c>
      <c r="P935">
        <v>122.4</v>
      </c>
      <c r="Q935" t="str">
        <f>"DROGA MONICA LJ 3 (10152)"</f>
        <v>DROGA MONICA LJ 3 (10152)</v>
      </c>
      <c r="R935" t="str">
        <f t="shared" si="473"/>
        <v>RECEITAS COM ENTREGAS (303)</v>
      </c>
      <c r="S935">
        <v>1069</v>
      </c>
      <c r="T935">
        <v>885</v>
      </c>
      <c r="U935" t="s">
        <v>19</v>
      </c>
    </row>
    <row r="936" spans="1:21">
      <c r="A936" t="str">
        <f t="shared" si="467"/>
        <v>20/02/2025</v>
      </c>
      <c r="B936" t="str">
        <f t="shared" si="474"/>
        <v>ENTRADA</v>
      </c>
      <c r="C936" t="str">
        <f t="shared" si="468"/>
        <v>NFSE</v>
      </c>
      <c r="D936" t="str">
        <f>"2739"</f>
        <v>2739</v>
      </c>
      <c r="E936" t="str">
        <f t="shared" si="469"/>
        <v>COM</v>
      </c>
      <c r="F936" t="str">
        <f>"DROGA MONICA LJ 17 (10154)"</f>
        <v>DROGA MONICA LJ 17 (10154)</v>
      </c>
      <c r="G936" t="str">
        <f>"Serv.Prest. 10/02/2025 a 16/02/2025 - RPS: 512 - NFSe: 2739"</f>
        <v>Serv.Prest. 10/02/2025 a 16/02/2025 - RPS: 512 - NFSe: 2739</v>
      </c>
      <c r="H936" t="str">
        <f t="shared" si="460"/>
        <v>19/02/2025</v>
      </c>
      <c r="I936" t="str">
        <f t="shared" si="475"/>
        <v>18/02/2025</v>
      </c>
      <c r="J936" t="str">
        <f t="shared" si="471"/>
        <v>20/02/2025</v>
      </c>
      <c r="K936">
        <v>122.4</v>
      </c>
      <c r="L936">
        <v>122.4</v>
      </c>
      <c r="M936">
        <v>303</v>
      </c>
      <c r="N936" t="str">
        <f t="shared" si="472"/>
        <v>RECEITAS COM ENTREGAS</v>
      </c>
      <c r="O936">
        <v>122.4</v>
      </c>
      <c r="R936" t="str">
        <f t="shared" si="473"/>
        <v>RECEITAS COM ENTREGAS (303)</v>
      </c>
      <c r="S936">
        <v>1070</v>
      </c>
      <c r="T936">
        <v>886</v>
      </c>
      <c r="U936" t="s">
        <v>19</v>
      </c>
    </row>
    <row r="937" spans="1:21">
      <c r="A937" t="str">
        <f t="shared" si="467"/>
        <v>20/02/2025</v>
      </c>
      <c r="B937" t="str">
        <f t="shared" si="474"/>
        <v>ENTRADA</v>
      </c>
      <c r="C937" t="str">
        <f t="shared" si="468"/>
        <v>NFSE</v>
      </c>
      <c r="D937" t="str">
        <f>"2739"</f>
        <v>2739</v>
      </c>
      <c r="E937" t="str">
        <f t="shared" si="469"/>
        <v>COM</v>
      </c>
      <c r="F937" t="str">
        <f>"DROGA MONICA LJ 17 (10154)"</f>
        <v>DROGA MONICA LJ 17 (10154)</v>
      </c>
      <c r="G937" t="str">
        <f>"Serv.Prest. 10/02/2025 a 16/02/2025 - RPS: 512 - NFSe: 2739"</f>
        <v>Serv.Prest. 10/02/2025 a 16/02/2025 - RPS: 512 - NFSe: 2739</v>
      </c>
      <c r="H937" t="str">
        <f t="shared" si="460"/>
        <v>19/02/2025</v>
      </c>
      <c r="I937" t="str">
        <f t="shared" si="475"/>
        <v>18/02/2025</v>
      </c>
      <c r="J937" t="str">
        <f t="shared" si="471"/>
        <v>20/02/2025</v>
      </c>
      <c r="M937">
        <v>303</v>
      </c>
      <c r="N937" t="str">
        <f t="shared" si="472"/>
        <v>RECEITAS COM ENTREGAS</v>
      </c>
      <c r="P937">
        <v>122.4</v>
      </c>
      <c r="Q937" t="str">
        <f>"DROGA MONICA LJ 17 (10154)"</f>
        <v>DROGA MONICA LJ 17 (10154)</v>
      </c>
      <c r="R937" t="str">
        <f t="shared" si="473"/>
        <v>RECEITAS COM ENTREGAS (303)</v>
      </c>
      <c r="S937">
        <v>1070</v>
      </c>
      <c r="T937">
        <v>886</v>
      </c>
      <c r="U937" t="s">
        <v>19</v>
      </c>
    </row>
    <row r="938" spans="1:21">
      <c r="A938" t="str">
        <f t="shared" si="467"/>
        <v>20/02/2025</v>
      </c>
      <c r="B938" t="str">
        <f t="shared" si="474"/>
        <v>ENTRADA</v>
      </c>
      <c r="C938" t="str">
        <f t="shared" si="468"/>
        <v>NFSE</v>
      </c>
      <c r="D938" t="str">
        <f>"2740"</f>
        <v>2740</v>
      </c>
      <c r="E938" t="str">
        <f t="shared" si="469"/>
        <v>COM</v>
      </c>
      <c r="F938" t="str">
        <f>"DROGA MONICA (10147)"</f>
        <v>DROGA MONICA (10147)</v>
      </c>
      <c r="G938" t="str">
        <f>"Serv.Prest. 10/02/2025 a 16/02/2025 - RPS: 513 - NFSe: 2740"</f>
        <v>Serv.Prest. 10/02/2025 a 16/02/2025 - RPS: 513 - NFSe: 2740</v>
      </c>
      <c r="H938" t="str">
        <f t="shared" si="460"/>
        <v>19/02/2025</v>
      </c>
      <c r="I938" t="str">
        <f t="shared" si="475"/>
        <v>18/02/2025</v>
      </c>
      <c r="J938" t="str">
        <f t="shared" si="471"/>
        <v>20/02/2025</v>
      </c>
      <c r="K938">
        <v>244.8</v>
      </c>
      <c r="L938">
        <v>244.8</v>
      </c>
      <c r="M938">
        <v>303</v>
      </c>
      <c r="N938" t="str">
        <f t="shared" si="472"/>
        <v>RECEITAS COM ENTREGAS</v>
      </c>
      <c r="O938">
        <v>244.8</v>
      </c>
      <c r="R938" t="str">
        <f t="shared" si="473"/>
        <v>RECEITAS COM ENTREGAS (303)</v>
      </c>
      <c r="S938">
        <v>1071</v>
      </c>
      <c r="T938">
        <v>887</v>
      </c>
      <c r="U938" t="s">
        <v>19</v>
      </c>
    </row>
    <row r="939" spans="1:21">
      <c r="A939" t="str">
        <f t="shared" si="467"/>
        <v>20/02/2025</v>
      </c>
      <c r="B939" t="str">
        <f t="shared" si="474"/>
        <v>ENTRADA</v>
      </c>
      <c r="C939" t="str">
        <f t="shared" si="468"/>
        <v>NFSE</v>
      </c>
      <c r="D939" t="str">
        <f>"2740"</f>
        <v>2740</v>
      </c>
      <c r="E939" t="str">
        <f t="shared" si="469"/>
        <v>COM</v>
      </c>
      <c r="F939" t="str">
        <f>"DROGA MONICA (10147)"</f>
        <v>DROGA MONICA (10147)</v>
      </c>
      <c r="G939" t="str">
        <f>"Serv.Prest. 10/02/2025 a 16/02/2025 - RPS: 513 - NFSe: 2740"</f>
        <v>Serv.Prest. 10/02/2025 a 16/02/2025 - RPS: 513 - NFSe: 2740</v>
      </c>
      <c r="H939" t="str">
        <f t="shared" si="460"/>
        <v>19/02/2025</v>
      </c>
      <c r="I939" t="str">
        <f t="shared" si="475"/>
        <v>18/02/2025</v>
      </c>
      <c r="J939" t="str">
        <f t="shared" si="471"/>
        <v>20/02/2025</v>
      </c>
      <c r="M939">
        <v>303</v>
      </c>
      <c r="N939" t="str">
        <f t="shared" si="472"/>
        <v>RECEITAS COM ENTREGAS</v>
      </c>
      <c r="P939">
        <v>244.8</v>
      </c>
      <c r="Q939" t="str">
        <f>"DROGA MONICA (10147)"</f>
        <v>DROGA MONICA (10147)</v>
      </c>
      <c r="R939" t="str">
        <f t="shared" si="473"/>
        <v>RECEITAS COM ENTREGAS (303)</v>
      </c>
      <c r="S939">
        <v>1071</v>
      </c>
      <c r="T939">
        <v>887</v>
      </c>
      <c r="U939" t="s">
        <v>19</v>
      </c>
    </row>
    <row r="940" spans="1:21">
      <c r="A940" t="str">
        <f t="shared" si="467"/>
        <v>20/02/2025</v>
      </c>
      <c r="B940" t="str">
        <f t="shared" si="474"/>
        <v>ENTRADA</v>
      </c>
      <c r="C940" t="str">
        <f t="shared" si="468"/>
        <v>NFSE</v>
      </c>
      <c r="D940" t="str">
        <f>"2741"</f>
        <v>2741</v>
      </c>
      <c r="E940" t="str">
        <f t="shared" si="469"/>
        <v>COM</v>
      </c>
      <c r="F940" t="str">
        <f>"DROGA MONICA LJ 22 (10158)"</f>
        <v>DROGA MONICA LJ 22 (10158)</v>
      </c>
      <c r="G940" t="str">
        <f>"Serv.Prest. 10/02/2025 a 16/02/2025 - RPS: 514 - NFSe: 2741"</f>
        <v>Serv.Prest. 10/02/2025 a 16/02/2025 - RPS: 514 - NFSe: 2741</v>
      </c>
      <c r="H940" t="str">
        <f t="shared" si="460"/>
        <v>19/02/2025</v>
      </c>
      <c r="I940" t="str">
        <f t="shared" si="475"/>
        <v>18/02/2025</v>
      </c>
      <c r="J940" t="str">
        <f t="shared" si="471"/>
        <v>20/02/2025</v>
      </c>
      <c r="K940">
        <v>244.8</v>
      </c>
      <c r="L940">
        <v>244.8</v>
      </c>
      <c r="M940">
        <v>303</v>
      </c>
      <c r="N940" t="str">
        <f t="shared" si="472"/>
        <v>RECEITAS COM ENTREGAS</v>
      </c>
      <c r="O940">
        <v>244.8</v>
      </c>
      <c r="R940" t="str">
        <f t="shared" si="473"/>
        <v>RECEITAS COM ENTREGAS (303)</v>
      </c>
      <c r="S940">
        <v>1072</v>
      </c>
      <c r="T940">
        <v>888</v>
      </c>
      <c r="U940" t="s">
        <v>19</v>
      </c>
    </row>
    <row r="941" spans="1:21">
      <c r="A941" t="str">
        <f t="shared" si="467"/>
        <v>20/02/2025</v>
      </c>
      <c r="B941" t="str">
        <f t="shared" si="474"/>
        <v>ENTRADA</v>
      </c>
      <c r="C941" t="str">
        <f t="shared" si="468"/>
        <v>NFSE</v>
      </c>
      <c r="D941" t="str">
        <f>"2741"</f>
        <v>2741</v>
      </c>
      <c r="E941" t="str">
        <f t="shared" si="469"/>
        <v>COM</v>
      </c>
      <c r="F941" t="str">
        <f>"DROGA MONICA LJ 22 (10158)"</f>
        <v>DROGA MONICA LJ 22 (10158)</v>
      </c>
      <c r="G941" t="str">
        <f>"Serv.Prest. 10/02/2025 a 16/02/2025 - RPS: 514 - NFSe: 2741"</f>
        <v>Serv.Prest. 10/02/2025 a 16/02/2025 - RPS: 514 - NFSe: 2741</v>
      </c>
      <c r="H941" t="str">
        <f t="shared" si="460"/>
        <v>19/02/2025</v>
      </c>
      <c r="I941" t="str">
        <f t="shared" si="475"/>
        <v>18/02/2025</v>
      </c>
      <c r="J941" t="str">
        <f t="shared" si="471"/>
        <v>20/02/2025</v>
      </c>
      <c r="M941">
        <v>303</v>
      </c>
      <c r="N941" t="str">
        <f t="shared" si="472"/>
        <v>RECEITAS COM ENTREGAS</v>
      </c>
      <c r="P941">
        <v>244.8</v>
      </c>
      <c r="Q941" t="str">
        <f>"DROGA MONICA LJ 22 (10158)"</f>
        <v>DROGA MONICA LJ 22 (10158)</v>
      </c>
      <c r="R941" t="str">
        <f t="shared" si="473"/>
        <v>RECEITAS COM ENTREGAS (303)</v>
      </c>
      <c r="S941">
        <v>1072</v>
      </c>
      <c r="T941">
        <v>888</v>
      </c>
      <c r="U941" t="s">
        <v>19</v>
      </c>
    </row>
    <row r="942" spans="1:21">
      <c r="A942" t="str">
        <f t="shared" si="467"/>
        <v>20/02/2025</v>
      </c>
      <c r="B942" t="str">
        <f t="shared" si="474"/>
        <v>ENTRADA</v>
      </c>
      <c r="C942" t="str">
        <f t="shared" si="468"/>
        <v>NFSE</v>
      </c>
      <c r="D942" t="str">
        <f>"2742"</f>
        <v>2742</v>
      </c>
      <c r="E942" t="str">
        <f t="shared" si="469"/>
        <v>COM</v>
      </c>
      <c r="F942" t="str">
        <f>"DROGA MONICA LJ 6 (10157)"</f>
        <v>DROGA MONICA LJ 6 (10157)</v>
      </c>
      <c r="G942" t="str">
        <f>"Serv.Prest. 10/02/2025 a 16/02/2025 - RPS: 515 - NFSe: 2742"</f>
        <v>Serv.Prest. 10/02/2025 a 16/02/2025 - RPS: 515 - NFSe: 2742</v>
      </c>
      <c r="H942" t="str">
        <f t="shared" si="460"/>
        <v>19/02/2025</v>
      </c>
      <c r="I942" t="str">
        <f t="shared" si="475"/>
        <v>18/02/2025</v>
      </c>
      <c r="J942" t="str">
        <f t="shared" si="471"/>
        <v>20/02/2025</v>
      </c>
      <c r="K942">
        <v>244.8</v>
      </c>
      <c r="L942">
        <v>244.8</v>
      </c>
      <c r="M942">
        <v>303</v>
      </c>
      <c r="N942" t="str">
        <f t="shared" si="472"/>
        <v>RECEITAS COM ENTREGAS</v>
      </c>
      <c r="O942">
        <v>244.8</v>
      </c>
      <c r="R942" t="str">
        <f t="shared" si="473"/>
        <v>RECEITAS COM ENTREGAS (303)</v>
      </c>
      <c r="S942">
        <v>1073</v>
      </c>
      <c r="T942">
        <v>889</v>
      </c>
      <c r="U942" t="s">
        <v>19</v>
      </c>
    </row>
    <row r="943" spans="1:21">
      <c r="A943" t="str">
        <f t="shared" si="467"/>
        <v>20/02/2025</v>
      </c>
      <c r="B943" t="str">
        <f t="shared" si="474"/>
        <v>ENTRADA</v>
      </c>
      <c r="C943" t="str">
        <f t="shared" si="468"/>
        <v>NFSE</v>
      </c>
      <c r="D943" t="str">
        <f>"2742"</f>
        <v>2742</v>
      </c>
      <c r="E943" t="str">
        <f t="shared" si="469"/>
        <v>COM</v>
      </c>
      <c r="F943" t="str">
        <f>"DROGA MONICA LJ 6 (10157)"</f>
        <v>DROGA MONICA LJ 6 (10157)</v>
      </c>
      <c r="G943" t="str">
        <f>"Serv.Prest. 10/02/2025 a 16/02/2025 - RPS: 515 - NFSe: 2742"</f>
        <v>Serv.Prest. 10/02/2025 a 16/02/2025 - RPS: 515 - NFSe: 2742</v>
      </c>
      <c r="H943" t="str">
        <f t="shared" si="460"/>
        <v>19/02/2025</v>
      </c>
      <c r="I943" t="str">
        <f t="shared" si="475"/>
        <v>18/02/2025</v>
      </c>
      <c r="J943" t="str">
        <f t="shared" si="471"/>
        <v>20/02/2025</v>
      </c>
      <c r="M943">
        <v>303</v>
      </c>
      <c r="N943" t="str">
        <f t="shared" si="472"/>
        <v>RECEITAS COM ENTREGAS</v>
      </c>
      <c r="P943">
        <v>244.8</v>
      </c>
      <c r="Q943" t="str">
        <f>"DROGA MONICA LJ 6 (10157)"</f>
        <v>DROGA MONICA LJ 6 (10157)</v>
      </c>
      <c r="R943" t="str">
        <f t="shared" si="473"/>
        <v>RECEITAS COM ENTREGAS (303)</v>
      </c>
      <c r="S943">
        <v>1073</v>
      </c>
      <c r="T943">
        <v>889</v>
      </c>
      <c r="U943" t="s">
        <v>19</v>
      </c>
    </row>
    <row r="944" spans="1:21">
      <c r="A944" t="str">
        <f t="shared" si="467"/>
        <v>20/02/2025</v>
      </c>
      <c r="B944" t="str">
        <f t="shared" si="474"/>
        <v>ENTRADA</v>
      </c>
      <c r="C944" t="str">
        <f t="shared" si="468"/>
        <v>NFSE</v>
      </c>
      <c r="D944" t="str">
        <f>"2735"</f>
        <v>2735</v>
      </c>
      <c r="E944" t="str">
        <f t="shared" si="469"/>
        <v>COM</v>
      </c>
      <c r="F944" t="str">
        <f>"DROGARIA POUPA MINAS (DOIS AMIGOS) 5 (10140)"</f>
        <v>DROGARIA POUPA MINAS (DOIS AMIGOS) 5 (10140)</v>
      </c>
      <c r="G944" t="str">
        <f>"Serv.Prest. 10/02/2025 a 16/02/2025 - RPS: 508 - NFSe: 2735"</f>
        <v>Serv.Prest. 10/02/2025 a 16/02/2025 - RPS: 508 - NFSe: 2735</v>
      </c>
      <c r="H944" t="str">
        <f t="shared" ref="H944:H968" si="476">("20/02/2025")</f>
        <v>20/02/2025</v>
      </c>
      <c r="I944" t="str">
        <f t="shared" si="475"/>
        <v>18/02/2025</v>
      </c>
      <c r="J944" t="str">
        <f t="shared" si="471"/>
        <v>20/02/2025</v>
      </c>
      <c r="K944">
        <v>797.87</v>
      </c>
      <c r="L944">
        <v>797.87</v>
      </c>
      <c r="M944">
        <v>303</v>
      </c>
      <c r="N944" t="str">
        <f t="shared" si="472"/>
        <v>RECEITAS COM ENTREGAS</v>
      </c>
      <c r="O944">
        <v>797.87</v>
      </c>
      <c r="R944" t="str">
        <f t="shared" si="473"/>
        <v>RECEITAS COM ENTREGAS (303)</v>
      </c>
      <c r="S944">
        <v>1074</v>
      </c>
      <c r="T944">
        <v>882</v>
      </c>
      <c r="U944" t="s">
        <v>19</v>
      </c>
    </row>
    <row r="945" spans="1:21">
      <c r="A945" t="str">
        <f t="shared" si="467"/>
        <v>20/02/2025</v>
      </c>
      <c r="B945" t="str">
        <f t="shared" si="474"/>
        <v>ENTRADA</v>
      </c>
      <c r="C945" t="str">
        <f t="shared" si="468"/>
        <v>NFSE</v>
      </c>
      <c r="D945" t="str">
        <f>"2735"</f>
        <v>2735</v>
      </c>
      <c r="E945" t="str">
        <f t="shared" si="469"/>
        <v>COM</v>
      </c>
      <c r="F945" t="str">
        <f>"DROGARIA POUPA MINAS (DOIS AMIGOS) 5 (10140)"</f>
        <v>DROGARIA POUPA MINAS (DOIS AMIGOS) 5 (10140)</v>
      </c>
      <c r="G945" t="str">
        <f>"Serv.Prest. 10/02/2025 a 16/02/2025 - RPS: 508 - NFSe: 2735"</f>
        <v>Serv.Prest. 10/02/2025 a 16/02/2025 - RPS: 508 - NFSe: 2735</v>
      </c>
      <c r="H945" t="str">
        <f t="shared" si="476"/>
        <v>20/02/2025</v>
      </c>
      <c r="I945" t="str">
        <f t="shared" si="475"/>
        <v>18/02/2025</v>
      </c>
      <c r="J945" t="str">
        <f t="shared" si="471"/>
        <v>20/02/2025</v>
      </c>
      <c r="M945">
        <v>303</v>
      </c>
      <c r="N945" t="str">
        <f t="shared" si="472"/>
        <v>RECEITAS COM ENTREGAS</v>
      </c>
      <c r="P945">
        <v>797.87</v>
      </c>
      <c r="Q945" t="str">
        <f>"DROGARIA POUPA MINAS (ULTRAMINAS) (10116)"</f>
        <v>DROGARIA POUPA MINAS (ULTRAMINAS) (10116)</v>
      </c>
      <c r="R945" t="str">
        <f t="shared" si="473"/>
        <v>RECEITAS COM ENTREGAS (303)</v>
      </c>
      <c r="S945">
        <v>1074</v>
      </c>
      <c r="T945">
        <v>882</v>
      </c>
      <c r="U945" t="s">
        <v>19</v>
      </c>
    </row>
    <row r="946" spans="1:21">
      <c r="A946" t="str">
        <f t="shared" si="467"/>
        <v>20/02/2025</v>
      </c>
      <c r="B946" t="str">
        <f t="shared" ref="B946:B962" si="477">"SAÍDA"</f>
        <v>SAÍDA</v>
      </c>
      <c r="C946" t="str">
        <f t="shared" ref="C946:C954" si="478">"JUROS"</f>
        <v>JUROS</v>
      </c>
      <c r="D946" t="str">
        <f>""</f>
        <v/>
      </c>
      <c r="E946" t="str">
        <f t="shared" ref="E946:E954" si="479">"CXA"</f>
        <v>CXA</v>
      </c>
      <c r="F946" t="str">
        <f>""</f>
        <v/>
      </c>
      <c r="G946" t="str">
        <f t="shared" ref="G946:G954" si="480">"TAXA BOLETO COMPENSADO"</f>
        <v>TAXA BOLETO COMPENSADO</v>
      </c>
      <c r="H946" t="str">
        <f t="shared" si="476"/>
        <v>20/02/2025</v>
      </c>
      <c r="I946" t="str">
        <f t="shared" ref="I946:I954" si="481">("20/02/2025")</f>
        <v>20/02/2025</v>
      </c>
      <c r="J946" t="str">
        <f t="shared" si="471"/>
        <v>20/02/2025</v>
      </c>
      <c r="K946">
        <v>1.7</v>
      </c>
      <c r="L946">
        <v>1.7</v>
      </c>
      <c r="M946">
        <v>401</v>
      </c>
      <c r="N946" t="str">
        <f t="shared" ref="N946:N954" si="482">"IOF/JUROS/DESP.FINANCEIRA"</f>
        <v>IOF/JUROS/DESP.FINANCEIRA</v>
      </c>
      <c r="O946">
        <v>1.7</v>
      </c>
      <c r="R946" t="str">
        <f t="shared" ref="R946:R962" si="483">"BANCO CORA (102)"</f>
        <v>BANCO CORA (102)</v>
      </c>
      <c r="S946">
        <v>1084</v>
      </c>
      <c r="T946">
        <v>0</v>
      </c>
      <c r="U946" t="s">
        <v>20</v>
      </c>
    </row>
    <row r="947" spans="1:21">
      <c r="A947" t="str">
        <f t="shared" si="467"/>
        <v>20/02/2025</v>
      </c>
      <c r="B947" t="str">
        <f t="shared" si="477"/>
        <v>SAÍDA</v>
      </c>
      <c r="C947" t="str">
        <f t="shared" si="478"/>
        <v>JUROS</v>
      </c>
      <c r="D947" t="str">
        <f>""</f>
        <v/>
      </c>
      <c r="E947" t="str">
        <f t="shared" si="479"/>
        <v>CXA</v>
      </c>
      <c r="F947" t="str">
        <f>""</f>
        <v/>
      </c>
      <c r="G947" t="str">
        <f t="shared" si="480"/>
        <v>TAXA BOLETO COMPENSADO</v>
      </c>
      <c r="H947" t="str">
        <f t="shared" si="476"/>
        <v>20/02/2025</v>
      </c>
      <c r="I947" t="str">
        <f t="shared" si="481"/>
        <v>20/02/2025</v>
      </c>
      <c r="J947" t="str">
        <f t="shared" si="471"/>
        <v>20/02/2025</v>
      </c>
      <c r="K947">
        <v>1.7</v>
      </c>
      <c r="L947">
        <v>1.7</v>
      </c>
      <c r="M947">
        <v>401</v>
      </c>
      <c r="N947" t="str">
        <f t="shared" si="482"/>
        <v>IOF/JUROS/DESP.FINANCEIRA</v>
      </c>
      <c r="O947">
        <v>1.7</v>
      </c>
      <c r="R947" t="str">
        <f t="shared" si="483"/>
        <v>BANCO CORA (102)</v>
      </c>
      <c r="S947">
        <v>1085</v>
      </c>
      <c r="T947">
        <v>0</v>
      </c>
      <c r="U947" t="s">
        <v>20</v>
      </c>
    </row>
    <row r="948" spans="1:21">
      <c r="A948" t="str">
        <f t="shared" si="467"/>
        <v>20/02/2025</v>
      </c>
      <c r="B948" t="str">
        <f t="shared" si="477"/>
        <v>SAÍDA</v>
      </c>
      <c r="C948" t="str">
        <f t="shared" si="478"/>
        <v>JUROS</v>
      </c>
      <c r="D948" t="str">
        <f>""</f>
        <v/>
      </c>
      <c r="E948" t="str">
        <f t="shared" si="479"/>
        <v>CXA</v>
      </c>
      <c r="F948" t="str">
        <f>""</f>
        <v/>
      </c>
      <c r="G948" t="str">
        <f t="shared" si="480"/>
        <v>TAXA BOLETO COMPENSADO</v>
      </c>
      <c r="H948" t="str">
        <f t="shared" si="476"/>
        <v>20/02/2025</v>
      </c>
      <c r="I948" t="str">
        <f t="shared" si="481"/>
        <v>20/02/2025</v>
      </c>
      <c r="J948" t="str">
        <f t="shared" si="471"/>
        <v>20/02/2025</v>
      </c>
      <c r="K948">
        <v>1.7</v>
      </c>
      <c r="L948">
        <v>1.7</v>
      </c>
      <c r="M948">
        <v>401</v>
      </c>
      <c r="N948" t="str">
        <f t="shared" si="482"/>
        <v>IOF/JUROS/DESP.FINANCEIRA</v>
      </c>
      <c r="O948">
        <v>1.7</v>
      </c>
      <c r="R948" t="str">
        <f t="shared" si="483"/>
        <v>BANCO CORA (102)</v>
      </c>
      <c r="S948">
        <v>1086</v>
      </c>
      <c r="T948">
        <v>0</v>
      </c>
      <c r="U948" t="s">
        <v>20</v>
      </c>
    </row>
    <row r="949" spans="1:21">
      <c r="A949" t="str">
        <f t="shared" si="467"/>
        <v>20/02/2025</v>
      </c>
      <c r="B949" t="str">
        <f t="shared" si="477"/>
        <v>SAÍDA</v>
      </c>
      <c r="C949" t="str">
        <f t="shared" si="478"/>
        <v>JUROS</v>
      </c>
      <c r="D949" t="str">
        <f>""</f>
        <v/>
      </c>
      <c r="E949" t="str">
        <f t="shared" si="479"/>
        <v>CXA</v>
      </c>
      <c r="F949" t="str">
        <f>""</f>
        <v/>
      </c>
      <c r="G949" t="str">
        <f t="shared" si="480"/>
        <v>TAXA BOLETO COMPENSADO</v>
      </c>
      <c r="H949" t="str">
        <f t="shared" si="476"/>
        <v>20/02/2025</v>
      </c>
      <c r="I949" t="str">
        <f t="shared" si="481"/>
        <v>20/02/2025</v>
      </c>
      <c r="J949" t="str">
        <f t="shared" si="471"/>
        <v>20/02/2025</v>
      </c>
      <c r="K949">
        <v>1.7</v>
      </c>
      <c r="L949">
        <v>1.7</v>
      </c>
      <c r="M949">
        <v>401</v>
      </c>
      <c r="N949" t="str">
        <f t="shared" si="482"/>
        <v>IOF/JUROS/DESP.FINANCEIRA</v>
      </c>
      <c r="O949">
        <v>1.7</v>
      </c>
      <c r="R949" t="str">
        <f t="shared" si="483"/>
        <v>BANCO CORA (102)</v>
      </c>
      <c r="S949">
        <v>1087</v>
      </c>
      <c r="T949">
        <v>0</v>
      </c>
      <c r="U949" t="s">
        <v>20</v>
      </c>
    </row>
    <row r="950" spans="1:21">
      <c r="A950" t="str">
        <f t="shared" si="467"/>
        <v>20/02/2025</v>
      </c>
      <c r="B950" t="str">
        <f t="shared" si="477"/>
        <v>SAÍDA</v>
      </c>
      <c r="C950" t="str">
        <f t="shared" si="478"/>
        <v>JUROS</v>
      </c>
      <c r="D950" t="str">
        <f>""</f>
        <v/>
      </c>
      <c r="E950" t="str">
        <f t="shared" si="479"/>
        <v>CXA</v>
      </c>
      <c r="F950" t="str">
        <f>""</f>
        <v/>
      </c>
      <c r="G950" t="str">
        <f t="shared" si="480"/>
        <v>TAXA BOLETO COMPENSADO</v>
      </c>
      <c r="H950" t="str">
        <f t="shared" si="476"/>
        <v>20/02/2025</v>
      </c>
      <c r="I950" t="str">
        <f t="shared" si="481"/>
        <v>20/02/2025</v>
      </c>
      <c r="J950" t="str">
        <f t="shared" si="471"/>
        <v>20/02/2025</v>
      </c>
      <c r="K950">
        <v>1.7</v>
      </c>
      <c r="L950">
        <v>1.7</v>
      </c>
      <c r="M950">
        <v>401</v>
      </c>
      <c r="N950" t="str">
        <f t="shared" si="482"/>
        <v>IOF/JUROS/DESP.FINANCEIRA</v>
      </c>
      <c r="O950">
        <v>1.7</v>
      </c>
      <c r="R950" t="str">
        <f t="shared" si="483"/>
        <v>BANCO CORA (102)</v>
      </c>
      <c r="S950">
        <v>1088</v>
      </c>
      <c r="T950">
        <v>0</v>
      </c>
      <c r="U950" t="s">
        <v>20</v>
      </c>
    </row>
    <row r="951" spans="1:21">
      <c r="A951" t="str">
        <f t="shared" si="467"/>
        <v>20/02/2025</v>
      </c>
      <c r="B951" t="str">
        <f t="shared" si="477"/>
        <v>SAÍDA</v>
      </c>
      <c r="C951" t="str">
        <f t="shared" si="478"/>
        <v>JUROS</v>
      </c>
      <c r="D951" t="str">
        <f>""</f>
        <v/>
      </c>
      <c r="E951" t="str">
        <f t="shared" si="479"/>
        <v>CXA</v>
      </c>
      <c r="F951" t="str">
        <f>""</f>
        <v/>
      </c>
      <c r="G951" t="str">
        <f t="shared" si="480"/>
        <v>TAXA BOLETO COMPENSADO</v>
      </c>
      <c r="H951" t="str">
        <f t="shared" si="476"/>
        <v>20/02/2025</v>
      </c>
      <c r="I951" t="str">
        <f t="shared" si="481"/>
        <v>20/02/2025</v>
      </c>
      <c r="J951" t="str">
        <f t="shared" si="471"/>
        <v>20/02/2025</v>
      </c>
      <c r="K951">
        <v>1.7</v>
      </c>
      <c r="L951">
        <v>1.7</v>
      </c>
      <c r="M951">
        <v>401</v>
      </c>
      <c r="N951" t="str">
        <f t="shared" si="482"/>
        <v>IOF/JUROS/DESP.FINANCEIRA</v>
      </c>
      <c r="O951">
        <v>1.7</v>
      </c>
      <c r="R951" t="str">
        <f t="shared" si="483"/>
        <v>BANCO CORA (102)</v>
      </c>
      <c r="S951">
        <v>1089</v>
      </c>
      <c r="T951">
        <v>0</v>
      </c>
      <c r="U951" t="s">
        <v>20</v>
      </c>
    </row>
    <row r="952" spans="1:21">
      <c r="A952" t="str">
        <f t="shared" si="467"/>
        <v>20/02/2025</v>
      </c>
      <c r="B952" t="str">
        <f t="shared" si="477"/>
        <v>SAÍDA</v>
      </c>
      <c r="C952" t="str">
        <f t="shared" si="478"/>
        <v>JUROS</v>
      </c>
      <c r="D952" t="str">
        <f>""</f>
        <v/>
      </c>
      <c r="E952" t="str">
        <f t="shared" si="479"/>
        <v>CXA</v>
      </c>
      <c r="F952" t="str">
        <f>""</f>
        <v/>
      </c>
      <c r="G952" t="str">
        <f t="shared" si="480"/>
        <v>TAXA BOLETO COMPENSADO</v>
      </c>
      <c r="H952" t="str">
        <f t="shared" si="476"/>
        <v>20/02/2025</v>
      </c>
      <c r="I952" t="str">
        <f t="shared" si="481"/>
        <v>20/02/2025</v>
      </c>
      <c r="J952" t="str">
        <f t="shared" si="471"/>
        <v>20/02/2025</v>
      </c>
      <c r="K952">
        <v>1.7</v>
      </c>
      <c r="L952">
        <v>1.7</v>
      </c>
      <c r="M952">
        <v>401</v>
      </c>
      <c r="N952" t="str">
        <f t="shared" si="482"/>
        <v>IOF/JUROS/DESP.FINANCEIRA</v>
      </c>
      <c r="O952">
        <v>1.7</v>
      </c>
      <c r="R952" t="str">
        <f t="shared" si="483"/>
        <v>BANCO CORA (102)</v>
      </c>
      <c r="S952">
        <v>1090</v>
      </c>
      <c r="T952">
        <v>0</v>
      </c>
      <c r="U952" t="s">
        <v>20</v>
      </c>
    </row>
    <row r="953" spans="1:21">
      <c r="A953" t="str">
        <f t="shared" si="467"/>
        <v>20/02/2025</v>
      </c>
      <c r="B953" t="str">
        <f t="shared" si="477"/>
        <v>SAÍDA</v>
      </c>
      <c r="C953" t="str">
        <f t="shared" si="478"/>
        <v>JUROS</v>
      </c>
      <c r="D953" t="str">
        <f>""</f>
        <v/>
      </c>
      <c r="E953" t="str">
        <f t="shared" si="479"/>
        <v>CXA</v>
      </c>
      <c r="F953" t="str">
        <f>""</f>
        <v/>
      </c>
      <c r="G953" t="str">
        <f t="shared" si="480"/>
        <v>TAXA BOLETO COMPENSADO</v>
      </c>
      <c r="H953" t="str">
        <f t="shared" si="476"/>
        <v>20/02/2025</v>
      </c>
      <c r="I953" t="str">
        <f t="shared" si="481"/>
        <v>20/02/2025</v>
      </c>
      <c r="J953" t="str">
        <f t="shared" si="471"/>
        <v>20/02/2025</v>
      </c>
      <c r="K953">
        <v>1.7</v>
      </c>
      <c r="L953">
        <v>1.7</v>
      </c>
      <c r="M953">
        <v>401</v>
      </c>
      <c r="N953" t="str">
        <f t="shared" si="482"/>
        <v>IOF/JUROS/DESP.FINANCEIRA</v>
      </c>
      <c r="O953">
        <v>1.7</v>
      </c>
      <c r="R953" t="str">
        <f t="shared" si="483"/>
        <v>BANCO CORA (102)</v>
      </c>
      <c r="S953">
        <v>1091</v>
      </c>
      <c r="T953">
        <v>0</v>
      </c>
      <c r="U953" t="s">
        <v>20</v>
      </c>
    </row>
    <row r="954" spans="1:21">
      <c r="A954" t="str">
        <f t="shared" si="467"/>
        <v>20/02/2025</v>
      </c>
      <c r="B954" t="str">
        <f t="shared" si="477"/>
        <v>SAÍDA</v>
      </c>
      <c r="C954" t="str">
        <f t="shared" si="478"/>
        <v>JUROS</v>
      </c>
      <c r="D954" t="str">
        <f>""</f>
        <v/>
      </c>
      <c r="E954" t="str">
        <f t="shared" si="479"/>
        <v>CXA</v>
      </c>
      <c r="F954" t="str">
        <f>""</f>
        <v/>
      </c>
      <c r="G954" t="str">
        <f t="shared" si="480"/>
        <v>TAXA BOLETO COMPENSADO</v>
      </c>
      <c r="H954" t="str">
        <f t="shared" si="476"/>
        <v>20/02/2025</v>
      </c>
      <c r="I954" t="str">
        <f t="shared" si="481"/>
        <v>20/02/2025</v>
      </c>
      <c r="J954" t="str">
        <f t="shared" si="471"/>
        <v>20/02/2025</v>
      </c>
      <c r="K954">
        <v>1.7</v>
      </c>
      <c r="L954">
        <v>1.7</v>
      </c>
      <c r="M954">
        <v>401</v>
      </c>
      <c r="N954" t="str">
        <f t="shared" si="482"/>
        <v>IOF/JUROS/DESP.FINANCEIRA</v>
      </c>
      <c r="O954">
        <v>1.7</v>
      </c>
      <c r="R954" t="str">
        <f t="shared" si="483"/>
        <v>BANCO CORA (102)</v>
      </c>
      <c r="S954">
        <v>1092</v>
      </c>
      <c r="T954">
        <v>0</v>
      </c>
      <c r="U954" t="s">
        <v>20</v>
      </c>
    </row>
    <row r="955" spans="1:21">
      <c r="A955" t="str">
        <f t="shared" si="467"/>
        <v>20/02/2025</v>
      </c>
      <c r="B955" t="str">
        <f t="shared" si="477"/>
        <v>SAÍDA</v>
      </c>
      <c r="C955" t="str">
        <f>"BOLETO"</f>
        <v>BOLETO</v>
      </c>
      <c r="D955" t="str">
        <f>"071625023700106"</f>
        <v>071625023700106</v>
      </c>
      <c r="E955" t="str">
        <f t="shared" ref="E955:E961" si="484">"COM"</f>
        <v>COM</v>
      </c>
      <c r="F955" t="str">
        <f>"MINISTERIO DA FAZENDA (20009)"</f>
        <v>MINISTERIO DA FAZENDA (20009)</v>
      </c>
      <c r="G955" t="str">
        <f>"INSS SOBRE PROLABORE"</f>
        <v>INSS SOBRE PROLABORE</v>
      </c>
      <c r="H955" t="str">
        <f t="shared" si="476"/>
        <v>20/02/2025</v>
      </c>
      <c r="I955" t="str">
        <f>("10/01/2025")</f>
        <v>10/01/2025</v>
      </c>
      <c r="J955" t="str">
        <f t="shared" si="471"/>
        <v>20/02/2025</v>
      </c>
      <c r="K955">
        <v>333.96</v>
      </c>
      <c r="L955">
        <v>333.96</v>
      </c>
      <c r="M955">
        <v>112</v>
      </c>
      <c r="N955" t="str">
        <f>"INSS - PRO-LABORE"</f>
        <v>INSS - PRO-LABORE</v>
      </c>
      <c r="O955">
        <v>333.96</v>
      </c>
      <c r="R955" t="str">
        <f t="shared" si="483"/>
        <v>BANCO CORA (102)</v>
      </c>
      <c r="S955">
        <v>1096</v>
      </c>
      <c r="T955">
        <v>713</v>
      </c>
      <c r="U955" t="s">
        <v>19</v>
      </c>
    </row>
    <row r="956" spans="1:21">
      <c r="A956" t="str">
        <f t="shared" si="467"/>
        <v>20/02/2025</v>
      </c>
      <c r="B956" t="str">
        <f t="shared" si="477"/>
        <v>SAÍDA</v>
      </c>
      <c r="C956" t="str">
        <f>"BOLETO"</f>
        <v>BOLETO</v>
      </c>
      <c r="D956" t="str">
        <f>"072025050485432"</f>
        <v>072025050485432</v>
      </c>
      <c r="E956" t="str">
        <f t="shared" si="484"/>
        <v>COM</v>
      </c>
      <c r="F956" t="str">
        <f>"MINISTERIO DA FAZENDA (20009)"</f>
        <v>MINISTERIO DA FAZENDA (20009)</v>
      </c>
      <c r="G956" t="str">
        <f>"SIMPLES NACIONAL MES 01/2025"</f>
        <v>SIMPLES NACIONAL MES 01/2025</v>
      </c>
      <c r="H956" t="str">
        <f t="shared" si="476"/>
        <v>20/02/2025</v>
      </c>
      <c r="I956" t="str">
        <f>("31/01/2025")</f>
        <v>31/01/2025</v>
      </c>
      <c r="J956" t="str">
        <f t="shared" si="471"/>
        <v>20/02/2025</v>
      </c>
      <c r="K956">
        <v>12004.46</v>
      </c>
      <c r="L956">
        <v>12004.46</v>
      </c>
      <c r="M956">
        <v>144</v>
      </c>
      <c r="N956" t="str">
        <f>"SIMPLES NACIONAL (DASN)"</f>
        <v>SIMPLES NACIONAL (DASN)</v>
      </c>
      <c r="O956">
        <v>12004.46</v>
      </c>
      <c r="R956" t="str">
        <f t="shared" si="483"/>
        <v>BANCO CORA (102)</v>
      </c>
      <c r="S956">
        <v>1097</v>
      </c>
      <c r="T956">
        <v>891</v>
      </c>
      <c r="U956" t="s">
        <v>19</v>
      </c>
    </row>
    <row r="957" spans="1:21">
      <c r="A957" t="str">
        <f t="shared" si="467"/>
        <v>20/02/2025</v>
      </c>
      <c r="B957" t="str">
        <f t="shared" si="477"/>
        <v>SAÍDA</v>
      </c>
      <c r="C957" t="str">
        <f>"BOLETO"</f>
        <v>BOLETO</v>
      </c>
      <c r="D957" t="str">
        <f>"2277"</f>
        <v>2277</v>
      </c>
      <c r="E957" t="str">
        <f t="shared" si="484"/>
        <v>COM</v>
      </c>
      <c r="F957" t="str">
        <f>"INFINITY BRASIL LTDA (20020)"</f>
        <v>INFINITY BRASIL LTDA (20020)</v>
      </c>
      <c r="G957" t="str">
        <f>"SERVIDOR FLUX FARMA PERÍODO JANEIRO/2025"</f>
        <v>SERVIDOR FLUX FARMA PERÍODO JANEIRO/2025</v>
      </c>
      <c r="H957" t="str">
        <f t="shared" si="476"/>
        <v>20/02/2025</v>
      </c>
      <c r="I957" t="str">
        <f>("22/01/2025")</f>
        <v>22/01/2025</v>
      </c>
      <c r="J957" t="str">
        <f t="shared" si="471"/>
        <v>20/02/2025</v>
      </c>
      <c r="K957">
        <v>549</v>
      </c>
      <c r="L957">
        <v>549</v>
      </c>
      <c r="M957">
        <v>104</v>
      </c>
      <c r="N957" t="str">
        <f>"SOFTWARE / LICENÇAS"</f>
        <v>SOFTWARE / LICENÇAS</v>
      </c>
      <c r="O957">
        <v>549</v>
      </c>
      <c r="R957" t="str">
        <f t="shared" si="483"/>
        <v>BANCO CORA (102)</v>
      </c>
      <c r="S957">
        <v>1098</v>
      </c>
      <c r="T957">
        <v>902</v>
      </c>
      <c r="U957" t="s">
        <v>19</v>
      </c>
    </row>
    <row r="958" spans="1:21">
      <c r="A958" t="str">
        <f t="shared" si="467"/>
        <v>20/02/2025</v>
      </c>
      <c r="B958" t="str">
        <f t="shared" si="477"/>
        <v>SAÍDA</v>
      </c>
      <c r="C958" t="str">
        <f>"PIX"</f>
        <v>PIX</v>
      </c>
      <c r="D958" t="str">
        <f>"2002"</f>
        <v>2002</v>
      </c>
      <c r="E958" t="str">
        <f t="shared" si="484"/>
        <v>COM</v>
      </c>
      <c r="F958" t="str">
        <f>"MARCELO REZENDE ARANTES (20014)"</f>
        <v>MARCELO REZENDE ARANTES (20014)</v>
      </c>
      <c r="G958" t="str">
        <f>"DISTRIBUICAO DE LUCROS"</f>
        <v>DISTRIBUICAO DE LUCROS</v>
      </c>
      <c r="H958" t="str">
        <f t="shared" si="476"/>
        <v>20/02/2025</v>
      </c>
      <c r="I958" t="str">
        <f>("20/02/2025")</f>
        <v>20/02/2025</v>
      </c>
      <c r="J958" t="str">
        <f t="shared" si="471"/>
        <v>20/02/2025</v>
      </c>
      <c r="K958">
        <v>3000</v>
      </c>
      <c r="L958">
        <v>3000</v>
      </c>
      <c r="M958">
        <v>125</v>
      </c>
      <c r="N958" t="str">
        <f>"DISTRIBUIÇÃO DE LUCRO"</f>
        <v>DISTRIBUIÇÃO DE LUCRO</v>
      </c>
      <c r="O958">
        <v>3000</v>
      </c>
      <c r="R958" t="str">
        <f t="shared" si="483"/>
        <v>BANCO CORA (102)</v>
      </c>
      <c r="S958">
        <v>1099</v>
      </c>
      <c r="T958">
        <v>916</v>
      </c>
      <c r="U958" t="s">
        <v>19</v>
      </c>
    </row>
    <row r="959" spans="1:21">
      <c r="A959" t="str">
        <f t="shared" si="467"/>
        <v>20/02/2025</v>
      </c>
      <c r="B959" t="str">
        <f t="shared" si="477"/>
        <v>SAÍDA</v>
      </c>
      <c r="C959" t="str">
        <f>"PIX"</f>
        <v>PIX</v>
      </c>
      <c r="D959" t="str">
        <f>"2002"</f>
        <v>2002</v>
      </c>
      <c r="E959" t="str">
        <f t="shared" si="484"/>
        <v>COM</v>
      </c>
      <c r="F959" t="str">
        <f>"LILIANE DE FATIMA REZENDE JUSTINO (20013)"</f>
        <v>LILIANE DE FATIMA REZENDE JUSTINO (20013)</v>
      </c>
      <c r="G959" t="str">
        <f>"DISTRIBUICAO DE LUCROS"</f>
        <v>DISTRIBUICAO DE LUCROS</v>
      </c>
      <c r="H959" t="str">
        <f t="shared" si="476"/>
        <v>20/02/2025</v>
      </c>
      <c r="I959" t="str">
        <f>("20/02/2025")</f>
        <v>20/02/2025</v>
      </c>
      <c r="J959" t="str">
        <f t="shared" si="471"/>
        <v>20/02/2025</v>
      </c>
      <c r="K959">
        <v>7000</v>
      </c>
      <c r="L959">
        <v>7000</v>
      </c>
      <c r="M959">
        <v>125</v>
      </c>
      <c r="N959" t="str">
        <f>"DISTRIBUIÇÃO DE LUCRO"</f>
        <v>DISTRIBUIÇÃO DE LUCRO</v>
      </c>
      <c r="O959">
        <v>7000</v>
      </c>
      <c r="R959" t="str">
        <f t="shared" si="483"/>
        <v>BANCO CORA (102)</v>
      </c>
      <c r="S959">
        <v>1100</v>
      </c>
      <c r="T959">
        <v>917</v>
      </c>
      <c r="U959" t="s">
        <v>19</v>
      </c>
    </row>
    <row r="960" spans="1:21">
      <c r="A960" t="str">
        <f t="shared" si="467"/>
        <v>20/02/2025</v>
      </c>
      <c r="B960" t="str">
        <f t="shared" si="477"/>
        <v>SAÍDA</v>
      </c>
      <c r="C960" t="str">
        <f>"BOLETO"</f>
        <v>BOLETO</v>
      </c>
      <c r="D960" t="str">
        <f>"10598815"</f>
        <v>10598815</v>
      </c>
      <c r="E960" t="str">
        <f t="shared" si="484"/>
        <v>COM</v>
      </c>
      <c r="F960" t="str">
        <f>"UNIODONTO REGIONAL COOPERATIVA ODONTOLOGICA LTDA. (20024)"</f>
        <v>UNIODONTO REGIONAL COOPERATIVA ODONTOLOGICA LTDA. (20024)</v>
      </c>
      <c r="G960" t="str">
        <f>"PLANO ODONTOLOGICO 01/2025"</f>
        <v>PLANO ODONTOLOGICO 01/2025</v>
      </c>
      <c r="H960" t="str">
        <f t="shared" si="476"/>
        <v>20/02/2025</v>
      </c>
      <c r="I960" t="str">
        <f>("10/02/2025")</f>
        <v>10/02/2025</v>
      </c>
      <c r="J960" t="str">
        <f t="shared" si="471"/>
        <v>20/02/2025</v>
      </c>
      <c r="K960">
        <v>1646.4</v>
      </c>
      <c r="L960">
        <v>1684.8</v>
      </c>
      <c r="M960">
        <v>192</v>
      </c>
      <c r="N960" t="str">
        <f>"PLANOS E SEGUROS"</f>
        <v>PLANOS E SEGUROS</v>
      </c>
      <c r="O960">
        <v>1684.8</v>
      </c>
      <c r="R960" t="str">
        <f t="shared" si="483"/>
        <v>BANCO CORA (102)</v>
      </c>
      <c r="S960">
        <v>1101</v>
      </c>
      <c r="T960">
        <v>836</v>
      </c>
      <c r="U960" t="s">
        <v>19</v>
      </c>
    </row>
    <row r="961" spans="1:21">
      <c r="A961" t="str">
        <f t="shared" si="467"/>
        <v>20/02/2025</v>
      </c>
      <c r="B961" t="str">
        <f t="shared" si="477"/>
        <v>SAÍDA</v>
      </c>
      <c r="C961" t="str">
        <f>"BOLETO"</f>
        <v>BOLETO</v>
      </c>
      <c r="D961" t="str">
        <f>"10598815"</f>
        <v>10598815</v>
      </c>
      <c r="E961" t="str">
        <f t="shared" si="484"/>
        <v>COM</v>
      </c>
      <c r="F961" t="str">
        <f>"UNIODONTO REGIONAL COOPERATIVA ODONTOLOGICA LTDA. (20024)"</f>
        <v>UNIODONTO REGIONAL COOPERATIVA ODONTOLOGICA LTDA. (20024)</v>
      </c>
      <c r="G961" t="str">
        <f>"PLANO ODONTOLOGICO 01/2025"</f>
        <v>PLANO ODONTOLOGICO 01/2025</v>
      </c>
      <c r="H961" t="str">
        <f t="shared" si="476"/>
        <v>20/02/2025</v>
      </c>
      <c r="I961" t="str">
        <f>("10/02/2025")</f>
        <v>10/02/2025</v>
      </c>
      <c r="J961" t="str">
        <f t="shared" si="471"/>
        <v>20/02/2025</v>
      </c>
      <c r="M961">
        <v>192</v>
      </c>
      <c r="N961" t="str">
        <f>"PLANOS E SEGUROS"</f>
        <v>PLANOS E SEGUROS</v>
      </c>
      <c r="P961">
        <v>1684.8</v>
      </c>
      <c r="Q961" t="str">
        <f>"UNIODONTO REGIONAL COOPERATIVA ODONTOLOGICA LTDA. (20024)"</f>
        <v>UNIODONTO REGIONAL COOPERATIVA ODONTOLOGICA LTDA. (20024)</v>
      </c>
      <c r="R961" t="str">
        <f t="shared" si="483"/>
        <v>BANCO CORA (102)</v>
      </c>
      <c r="S961">
        <v>1101</v>
      </c>
      <c r="T961">
        <v>836</v>
      </c>
      <c r="U961" t="s">
        <v>19</v>
      </c>
    </row>
    <row r="962" spans="1:21">
      <c r="A962" t="str">
        <f t="shared" si="467"/>
        <v>20/02/2025</v>
      </c>
      <c r="B962" t="str">
        <f t="shared" si="477"/>
        <v>SAÍDA</v>
      </c>
      <c r="C962" t="str">
        <f>"JUROS"</f>
        <v>JUROS</v>
      </c>
      <c r="D962" t="str">
        <f>""</f>
        <v/>
      </c>
      <c r="E962" t="str">
        <f>"CXA"</f>
        <v>CXA</v>
      </c>
      <c r="F962" t="str">
        <f>""</f>
        <v/>
      </c>
      <c r="G962" t="str">
        <f>"TAXA BOLETO COMPENSADO"</f>
        <v>TAXA BOLETO COMPENSADO</v>
      </c>
      <c r="H962" t="str">
        <f t="shared" si="476"/>
        <v>20/02/2025</v>
      </c>
      <c r="I962" t="str">
        <f>("20/02/2025")</f>
        <v>20/02/2025</v>
      </c>
      <c r="J962" t="str">
        <f t="shared" si="471"/>
        <v>20/02/2025</v>
      </c>
      <c r="K962">
        <v>1.7</v>
      </c>
      <c r="L962">
        <v>1.7</v>
      </c>
      <c r="M962">
        <v>401</v>
      </c>
      <c r="N962" t="str">
        <f>"IOF/JUROS/DESP.FINANCEIRA"</f>
        <v>IOF/JUROS/DESP.FINANCEIRA</v>
      </c>
      <c r="O962">
        <v>1.7</v>
      </c>
      <c r="R962" t="str">
        <f t="shared" si="483"/>
        <v>BANCO CORA (102)</v>
      </c>
      <c r="S962">
        <v>1102</v>
      </c>
      <c r="T962">
        <v>0</v>
      </c>
      <c r="U962" t="s">
        <v>20</v>
      </c>
    </row>
    <row r="963" spans="1:21">
      <c r="A963" t="str">
        <f t="shared" ref="A963:A972" si="485">("21/02/2025")</f>
        <v>21/02/2025</v>
      </c>
      <c r="B963" t="str">
        <f>"ENTRADA"</f>
        <v>ENTRADA</v>
      </c>
      <c r="C963" t="str">
        <f t="shared" ref="C963:C968" si="486">"NFSE"</f>
        <v>NFSE</v>
      </c>
      <c r="D963" t="str">
        <f>"2710"</f>
        <v>2710</v>
      </c>
      <c r="E963" t="str">
        <f t="shared" ref="E963:E968" si="487">"COM"</f>
        <v>COM</v>
      </c>
      <c r="F963" t="str">
        <f>"PAGMENOS - LJ 657 (10136)"</f>
        <v>PAGMENOS - LJ 657 (10136)</v>
      </c>
      <c r="G963" t="str">
        <f>"Serv.Prest. 03/02/2025 a 09/02/2025 - RPS: 483 - NFSe: 2710"</f>
        <v>Serv.Prest. 03/02/2025 a 09/02/2025 - RPS: 483 - NFSe: 2710</v>
      </c>
      <c r="H963" t="str">
        <f t="shared" si="476"/>
        <v>20/02/2025</v>
      </c>
      <c r="I963" t="str">
        <f>("11/02/2025")</f>
        <v>11/02/2025</v>
      </c>
      <c r="J963" t="str">
        <f t="shared" ref="J963:J972" si="488">("21/02/2025")</f>
        <v>21/02/2025</v>
      </c>
      <c r="K963">
        <v>596.6</v>
      </c>
      <c r="L963">
        <v>596.6</v>
      </c>
      <c r="M963">
        <v>303</v>
      </c>
      <c r="N963" t="str">
        <f t="shared" ref="N963:N968" si="489">"RECEITAS COM ENTREGAS"</f>
        <v>RECEITAS COM ENTREGAS</v>
      </c>
      <c r="O963">
        <v>596.6</v>
      </c>
      <c r="R963" t="str">
        <f t="shared" ref="R963:R968" si="490">"RECEITAS COM ENTREGAS (303)"</f>
        <v>RECEITAS COM ENTREGAS (303)</v>
      </c>
      <c r="S963">
        <v>1075</v>
      </c>
      <c r="T963">
        <v>857</v>
      </c>
      <c r="U963" t="s">
        <v>19</v>
      </c>
    </row>
    <row r="964" spans="1:21">
      <c r="A964" t="str">
        <f t="shared" si="485"/>
        <v>21/02/2025</v>
      </c>
      <c r="B964" t="str">
        <f t="shared" ref="B964:B968" si="491">"ENTRADA"</f>
        <v>ENTRADA</v>
      </c>
      <c r="C964" t="str">
        <f t="shared" si="486"/>
        <v>NFSE</v>
      </c>
      <c r="D964" t="str">
        <f>"2710"</f>
        <v>2710</v>
      </c>
      <c r="E964" t="str">
        <f t="shared" si="487"/>
        <v>COM</v>
      </c>
      <c r="F964" t="str">
        <f>"PAGMENOS - LJ 657 (10136)"</f>
        <v>PAGMENOS - LJ 657 (10136)</v>
      </c>
      <c r="G964" t="str">
        <f>"Serv.Prest. 03/02/2025 a 09/02/2025 - RPS: 483 - NFSe: 2710"</f>
        <v>Serv.Prest. 03/02/2025 a 09/02/2025 - RPS: 483 - NFSe: 2710</v>
      </c>
      <c r="H964" t="str">
        <f t="shared" si="476"/>
        <v>20/02/2025</v>
      </c>
      <c r="I964" t="str">
        <f>("11/02/2025")</f>
        <v>11/02/2025</v>
      </c>
      <c r="J964" t="str">
        <f t="shared" si="488"/>
        <v>21/02/2025</v>
      </c>
      <c r="M964">
        <v>303</v>
      </c>
      <c r="N964" t="str">
        <f t="shared" si="489"/>
        <v>RECEITAS COM ENTREGAS</v>
      </c>
      <c r="P964">
        <v>596.6</v>
      </c>
      <c r="Q964" t="str">
        <f>"PAGMENOS - LJ 657 (10136)"</f>
        <v>PAGMENOS - LJ 657 (10136)</v>
      </c>
      <c r="R964" t="str">
        <f t="shared" si="490"/>
        <v>RECEITAS COM ENTREGAS (303)</v>
      </c>
      <c r="S964">
        <v>1075</v>
      </c>
      <c r="T964">
        <v>857</v>
      </c>
      <c r="U964" t="s">
        <v>19</v>
      </c>
    </row>
    <row r="965" spans="1:21">
      <c r="A965" t="str">
        <f t="shared" si="485"/>
        <v>21/02/2025</v>
      </c>
      <c r="B965" t="str">
        <f t="shared" si="491"/>
        <v>ENTRADA</v>
      </c>
      <c r="C965" t="str">
        <f t="shared" si="486"/>
        <v>NFSE</v>
      </c>
      <c r="D965" t="str">
        <f>"2711"</f>
        <v>2711</v>
      </c>
      <c r="E965" t="str">
        <f t="shared" si="487"/>
        <v>COM</v>
      </c>
      <c r="F965" t="str">
        <f>"PAGMENOS - LJ 608 (10135)"</f>
        <v>PAGMENOS - LJ 608 (10135)</v>
      </c>
      <c r="G965" t="str">
        <f>"Serv.Prest. 03/02/2025 a 09/02/2025 - RPS: 484 - NFSe: 2711"</f>
        <v>Serv.Prest. 03/02/2025 a 09/02/2025 - RPS: 484 - NFSe: 2711</v>
      </c>
      <c r="H965" t="str">
        <f t="shared" si="476"/>
        <v>20/02/2025</v>
      </c>
      <c r="I965" t="str">
        <f>("11/02/2025")</f>
        <v>11/02/2025</v>
      </c>
      <c r="J965" t="str">
        <f t="shared" si="488"/>
        <v>21/02/2025</v>
      </c>
      <c r="K965">
        <v>280.20999999999998</v>
      </c>
      <c r="L965">
        <v>280.20999999999998</v>
      </c>
      <c r="M965">
        <v>303</v>
      </c>
      <c r="N965" t="str">
        <f t="shared" si="489"/>
        <v>RECEITAS COM ENTREGAS</v>
      </c>
      <c r="O965">
        <v>280.20999999999998</v>
      </c>
      <c r="R965" t="str">
        <f t="shared" si="490"/>
        <v>RECEITAS COM ENTREGAS (303)</v>
      </c>
      <c r="S965">
        <v>1076</v>
      </c>
      <c r="T965">
        <v>858</v>
      </c>
      <c r="U965" t="s">
        <v>19</v>
      </c>
    </row>
    <row r="966" spans="1:21">
      <c r="A966" t="str">
        <f t="shared" si="485"/>
        <v>21/02/2025</v>
      </c>
      <c r="B966" t="str">
        <f t="shared" si="491"/>
        <v>ENTRADA</v>
      </c>
      <c r="C966" t="str">
        <f t="shared" si="486"/>
        <v>NFSE</v>
      </c>
      <c r="D966" t="str">
        <f>"2711"</f>
        <v>2711</v>
      </c>
      <c r="E966" t="str">
        <f t="shared" si="487"/>
        <v>COM</v>
      </c>
      <c r="F966" t="str">
        <f>"PAGMENOS - LJ 608 (10135)"</f>
        <v>PAGMENOS - LJ 608 (10135)</v>
      </c>
      <c r="G966" t="str">
        <f>"Serv.Prest. 03/02/2025 a 09/02/2025 - RPS: 484 - NFSe: 2711"</f>
        <v>Serv.Prest. 03/02/2025 a 09/02/2025 - RPS: 484 - NFSe: 2711</v>
      </c>
      <c r="H966" t="str">
        <f t="shared" si="476"/>
        <v>20/02/2025</v>
      </c>
      <c r="I966" t="str">
        <f>("11/02/2025")</f>
        <v>11/02/2025</v>
      </c>
      <c r="J966" t="str">
        <f t="shared" si="488"/>
        <v>21/02/2025</v>
      </c>
      <c r="M966">
        <v>303</v>
      </c>
      <c r="N966" t="str">
        <f t="shared" si="489"/>
        <v>RECEITAS COM ENTREGAS</v>
      </c>
      <c r="P966">
        <v>280.20999999999998</v>
      </c>
      <c r="Q966" t="str">
        <f>"PAGMENOS - LJ 608 (10135)"</f>
        <v>PAGMENOS - LJ 608 (10135)</v>
      </c>
      <c r="R966" t="str">
        <f t="shared" si="490"/>
        <v>RECEITAS COM ENTREGAS (303)</v>
      </c>
      <c r="S966">
        <v>1076</v>
      </c>
      <c r="T966">
        <v>858</v>
      </c>
      <c r="U966" t="s">
        <v>19</v>
      </c>
    </row>
    <row r="967" spans="1:21">
      <c r="A967" t="str">
        <f t="shared" si="485"/>
        <v>21/02/2025</v>
      </c>
      <c r="B967" t="str">
        <f t="shared" si="491"/>
        <v>ENTRADA</v>
      </c>
      <c r="C967" t="str">
        <f t="shared" si="486"/>
        <v>NFSE</v>
      </c>
      <c r="D967" t="str">
        <f>"2725"</f>
        <v>2725</v>
      </c>
      <c r="E967" t="str">
        <f t="shared" si="487"/>
        <v>COM</v>
      </c>
      <c r="F967" t="str">
        <f>"DROGARIA POUPA MINAS (ULTRAMINAS) 3 (10129)"</f>
        <v>DROGARIA POUPA MINAS (ULTRAMINAS) 3 (10129)</v>
      </c>
      <c r="G967" t="str">
        <f>"Serv.Prest. 10/02/2025 a 16/02/2025 - RPS: 498 - NFSe: 2725"</f>
        <v>Serv.Prest. 10/02/2025 a 16/02/2025 - RPS: 498 - NFSe: 2725</v>
      </c>
      <c r="H967" t="str">
        <f t="shared" si="476"/>
        <v>20/02/2025</v>
      </c>
      <c r="I967" t="str">
        <f>("17/02/2025")</f>
        <v>17/02/2025</v>
      </c>
      <c r="J967" t="str">
        <f t="shared" si="488"/>
        <v>21/02/2025</v>
      </c>
      <c r="K967">
        <v>274.56</v>
      </c>
      <c r="L967">
        <v>274.56</v>
      </c>
      <c r="M967">
        <v>303</v>
      </c>
      <c r="N967" t="str">
        <f t="shared" si="489"/>
        <v>RECEITAS COM ENTREGAS</v>
      </c>
      <c r="O967">
        <v>274.56</v>
      </c>
      <c r="R967" t="str">
        <f t="shared" si="490"/>
        <v>RECEITAS COM ENTREGAS (303)</v>
      </c>
      <c r="S967">
        <v>1077</v>
      </c>
      <c r="T967">
        <v>872</v>
      </c>
      <c r="U967" t="s">
        <v>19</v>
      </c>
    </row>
    <row r="968" spans="1:21">
      <c r="A968" t="str">
        <f t="shared" si="485"/>
        <v>21/02/2025</v>
      </c>
      <c r="B968" t="str">
        <f t="shared" si="491"/>
        <v>ENTRADA</v>
      </c>
      <c r="C968" t="str">
        <f t="shared" si="486"/>
        <v>NFSE</v>
      </c>
      <c r="D968" t="str">
        <f>"2725"</f>
        <v>2725</v>
      </c>
      <c r="E968" t="str">
        <f t="shared" si="487"/>
        <v>COM</v>
      </c>
      <c r="F968" t="str">
        <f>"DROGARIA POUPA MINAS (ULTRAMINAS) 3 (10129)"</f>
        <v>DROGARIA POUPA MINAS (ULTRAMINAS) 3 (10129)</v>
      </c>
      <c r="G968" t="str">
        <f>"Serv.Prest. 10/02/2025 a 16/02/2025 - RPS: 498 - NFSe: 2725"</f>
        <v>Serv.Prest. 10/02/2025 a 16/02/2025 - RPS: 498 - NFSe: 2725</v>
      </c>
      <c r="H968" t="str">
        <f t="shared" si="476"/>
        <v>20/02/2025</v>
      </c>
      <c r="I968" t="str">
        <f>("17/02/2025")</f>
        <v>17/02/2025</v>
      </c>
      <c r="J968" t="str">
        <f t="shared" si="488"/>
        <v>21/02/2025</v>
      </c>
      <c r="M968">
        <v>303</v>
      </c>
      <c r="N968" t="str">
        <f t="shared" si="489"/>
        <v>RECEITAS COM ENTREGAS</v>
      </c>
      <c r="P968">
        <v>274.56</v>
      </c>
      <c r="Q968" t="str">
        <f>"DROGARIA POUPA MINAS (ULTRAMINAS) 3 (10129)"</f>
        <v>DROGARIA POUPA MINAS (ULTRAMINAS) 3 (10129)</v>
      </c>
      <c r="R968" t="str">
        <f t="shared" si="490"/>
        <v>RECEITAS COM ENTREGAS (303)</v>
      </c>
      <c r="S968">
        <v>1077</v>
      </c>
      <c r="T968">
        <v>872</v>
      </c>
      <c r="U968" t="s">
        <v>19</v>
      </c>
    </row>
    <row r="969" spans="1:21">
      <c r="A969" t="str">
        <f t="shared" si="485"/>
        <v>21/02/2025</v>
      </c>
      <c r="B969" t="str">
        <f>"ENTRADA"</f>
        <v>ENTRADA</v>
      </c>
      <c r="C969" t="str">
        <f>""</f>
        <v/>
      </c>
      <c r="D969" t="str">
        <f>""</f>
        <v/>
      </c>
      <c r="E969" t="str">
        <f t="shared" ref="E969:E974" si="492">"CXA"</f>
        <v>CXA</v>
      </c>
      <c r="F969" t="str">
        <f>""</f>
        <v/>
      </c>
      <c r="G969" t="str">
        <f>"RECEBIMENTO SETUP FARMACIA AC FARMA/FARMACIA SAUDE APUCARANA"</f>
        <v>RECEBIMENTO SETUP FARMACIA AC FARMA/FARMACIA SAUDE APUCARANA</v>
      </c>
      <c r="H969" t="str">
        <f t="shared" ref="H969:I972" si="493">("21/02/2025")</f>
        <v>21/02/2025</v>
      </c>
      <c r="I969" t="str">
        <f t="shared" si="493"/>
        <v>21/02/2025</v>
      </c>
      <c r="J969" t="str">
        <f t="shared" si="488"/>
        <v>21/02/2025</v>
      </c>
      <c r="K969">
        <v>1750</v>
      </c>
      <c r="L969">
        <v>1750</v>
      </c>
      <c r="M969">
        <v>117</v>
      </c>
      <c r="N969" t="str">
        <f>"RECEITAS COM SETUP"</f>
        <v>RECEITAS COM SETUP</v>
      </c>
      <c r="O969">
        <v>1750</v>
      </c>
      <c r="R969" t="str">
        <f>"RECEITAS COM SETUP (117)"</f>
        <v>RECEITAS COM SETUP (117)</v>
      </c>
      <c r="S969">
        <v>1078</v>
      </c>
      <c r="T969">
        <v>0</v>
      </c>
      <c r="U969" t="s">
        <v>22</v>
      </c>
    </row>
    <row r="970" spans="1:21">
      <c r="A970" t="str">
        <f t="shared" si="485"/>
        <v>21/02/2025</v>
      </c>
      <c r="B970" t="str">
        <f>"SAÍDA"</f>
        <v>SAÍDA</v>
      </c>
      <c r="C970" t="str">
        <f>"JUROS"</f>
        <v>JUROS</v>
      </c>
      <c r="D970" t="str">
        <f>""</f>
        <v/>
      </c>
      <c r="E970" t="str">
        <f t="shared" si="492"/>
        <v>CXA</v>
      </c>
      <c r="F970" t="str">
        <f>""</f>
        <v/>
      </c>
      <c r="G970" t="str">
        <f>"TAXA BOLETO COMPENSADO"</f>
        <v>TAXA BOLETO COMPENSADO</v>
      </c>
      <c r="H970" t="str">
        <f t="shared" si="493"/>
        <v>21/02/2025</v>
      </c>
      <c r="I970" t="str">
        <f t="shared" si="493"/>
        <v>21/02/2025</v>
      </c>
      <c r="J970" t="str">
        <f t="shared" si="488"/>
        <v>21/02/2025</v>
      </c>
      <c r="K970">
        <v>1.7</v>
      </c>
      <c r="L970">
        <v>1.7</v>
      </c>
      <c r="M970">
        <v>401</v>
      </c>
      <c r="N970" t="str">
        <f>"IOF/JUROS/DESP.FINANCEIRA"</f>
        <v>IOF/JUROS/DESP.FINANCEIRA</v>
      </c>
      <c r="O970">
        <v>1.7</v>
      </c>
      <c r="R970" t="str">
        <f>"BANCO CORA (102)"</f>
        <v>BANCO CORA (102)</v>
      </c>
      <c r="S970">
        <v>1093</v>
      </c>
      <c r="T970">
        <v>0</v>
      </c>
      <c r="U970" t="s">
        <v>20</v>
      </c>
    </row>
    <row r="971" spans="1:21">
      <c r="A971" t="str">
        <f t="shared" si="485"/>
        <v>21/02/2025</v>
      </c>
      <c r="B971" t="str">
        <f>"SAÍDA"</f>
        <v>SAÍDA</v>
      </c>
      <c r="C971" t="str">
        <f>"JUROS"</f>
        <v>JUROS</v>
      </c>
      <c r="D971" t="str">
        <f>""</f>
        <v/>
      </c>
      <c r="E971" t="str">
        <f t="shared" si="492"/>
        <v>CXA</v>
      </c>
      <c r="F971" t="str">
        <f>""</f>
        <v/>
      </c>
      <c r="G971" t="str">
        <f>"TAXA BOLETO COMPENSADO"</f>
        <v>TAXA BOLETO COMPENSADO</v>
      </c>
      <c r="H971" t="str">
        <f t="shared" si="493"/>
        <v>21/02/2025</v>
      </c>
      <c r="I971" t="str">
        <f t="shared" si="493"/>
        <v>21/02/2025</v>
      </c>
      <c r="J971" t="str">
        <f t="shared" si="488"/>
        <v>21/02/2025</v>
      </c>
      <c r="K971">
        <v>1.7</v>
      </c>
      <c r="L971">
        <v>1.7</v>
      </c>
      <c r="M971">
        <v>401</v>
      </c>
      <c r="N971" t="str">
        <f>"IOF/JUROS/DESP.FINANCEIRA"</f>
        <v>IOF/JUROS/DESP.FINANCEIRA</v>
      </c>
      <c r="O971">
        <v>1.7</v>
      </c>
      <c r="R971" t="str">
        <f>"BANCO CORA (102)"</f>
        <v>BANCO CORA (102)</v>
      </c>
      <c r="S971">
        <v>1094</v>
      </c>
      <c r="T971">
        <v>0</v>
      </c>
      <c r="U971" t="s">
        <v>20</v>
      </c>
    </row>
    <row r="972" spans="1:21">
      <c r="A972" t="str">
        <f t="shared" si="485"/>
        <v>21/02/2025</v>
      </c>
      <c r="B972" t="str">
        <f>"SAÍDA"</f>
        <v>SAÍDA</v>
      </c>
      <c r="C972" t="str">
        <f>"JUROS"</f>
        <v>JUROS</v>
      </c>
      <c r="D972" t="str">
        <f>""</f>
        <v/>
      </c>
      <c r="E972" t="str">
        <f t="shared" si="492"/>
        <v>CXA</v>
      </c>
      <c r="F972" t="str">
        <f>""</f>
        <v/>
      </c>
      <c r="G972" t="str">
        <f>"TAXA BOLETO COMPENSADO"</f>
        <v>TAXA BOLETO COMPENSADO</v>
      </c>
      <c r="H972" t="str">
        <f t="shared" si="493"/>
        <v>21/02/2025</v>
      </c>
      <c r="I972" t="str">
        <f t="shared" si="493"/>
        <v>21/02/2025</v>
      </c>
      <c r="J972" t="str">
        <f t="shared" si="488"/>
        <v>21/02/2025</v>
      </c>
      <c r="K972">
        <v>1.7</v>
      </c>
      <c r="L972">
        <v>1.7</v>
      </c>
      <c r="M972">
        <v>401</v>
      </c>
      <c r="N972" t="str">
        <f>"IOF/JUROS/DESP.FINANCEIRA"</f>
        <v>IOF/JUROS/DESP.FINANCEIRA</v>
      </c>
      <c r="O972">
        <v>1.7</v>
      </c>
      <c r="R972" t="str">
        <f>"BANCO CORA (102)"</f>
        <v>BANCO CORA (102)</v>
      </c>
      <c r="S972">
        <v>1095</v>
      </c>
      <c r="T972">
        <v>0</v>
      </c>
      <c r="U972" t="s">
        <v>20</v>
      </c>
    </row>
    <row r="973" spans="1:21">
      <c r="A973" t="str">
        <f>("24/02/2025")</f>
        <v>24/02/2025</v>
      </c>
      <c r="B973" t="str">
        <f>"ENTRADA"</f>
        <v>ENTRADA</v>
      </c>
      <c r="C973" t="str">
        <f>""</f>
        <v/>
      </c>
      <c r="D973" t="str">
        <f>""</f>
        <v/>
      </c>
      <c r="E973" t="str">
        <f t="shared" si="492"/>
        <v>CXA</v>
      </c>
      <c r="F973" t="str">
        <f>""</f>
        <v/>
      </c>
      <c r="G973" t="str">
        <f>"SETUP DROGARIA POLVILHO"</f>
        <v>SETUP DROGARIA POLVILHO</v>
      </c>
      <c r="H973" t="str">
        <f>("24/02/2025")</f>
        <v>24/02/2025</v>
      </c>
      <c r="I973" t="str">
        <f>("24/02/2025")</f>
        <v>24/02/2025</v>
      </c>
      <c r="J973" t="str">
        <f>("24/02/2025")</f>
        <v>24/02/2025</v>
      </c>
      <c r="K973">
        <v>1000</v>
      </c>
      <c r="L973">
        <v>1000</v>
      </c>
      <c r="M973">
        <v>117</v>
      </c>
      <c r="N973" t="str">
        <f>"RECEITAS COM SETUP"</f>
        <v>RECEITAS COM SETUP</v>
      </c>
      <c r="O973">
        <v>1000</v>
      </c>
      <c r="R973" t="str">
        <f>"RECEITAS COM SETUP (117)"</f>
        <v>RECEITAS COM SETUP (117)</v>
      </c>
      <c r="S973">
        <v>1104</v>
      </c>
      <c r="T973">
        <v>0</v>
      </c>
      <c r="U973" t="s">
        <v>22</v>
      </c>
    </row>
    <row r="974" spans="1:21">
      <c r="A974" t="str">
        <f>("25/02/2025")</f>
        <v>25/02/2025</v>
      </c>
      <c r="B974" t="str">
        <f>"ENTRADA"</f>
        <v>ENTRADA</v>
      </c>
      <c r="C974" t="str">
        <f>""</f>
        <v/>
      </c>
      <c r="D974" t="str">
        <f>""</f>
        <v/>
      </c>
      <c r="E974" t="str">
        <f t="shared" si="492"/>
        <v>CXA</v>
      </c>
      <c r="F974" t="str">
        <f>""</f>
        <v/>
      </c>
      <c r="G974" t="str">
        <f>"SETUP DROGARIA MEDALHA"</f>
        <v>SETUP DROGARIA MEDALHA</v>
      </c>
      <c r="H974" t="str">
        <f>("25/02/2025")</f>
        <v>25/02/2025</v>
      </c>
      <c r="I974" t="str">
        <f>("25/02/2025")</f>
        <v>25/02/2025</v>
      </c>
      <c r="J974" t="str">
        <f>("25/02/2025")</f>
        <v>25/02/2025</v>
      </c>
      <c r="K974">
        <v>1000</v>
      </c>
      <c r="L974">
        <v>1000</v>
      </c>
      <c r="M974">
        <v>117</v>
      </c>
      <c r="N974" t="str">
        <f>"RECEITAS COM SETUP"</f>
        <v>RECEITAS COM SETUP</v>
      </c>
      <c r="O974">
        <v>1000</v>
      </c>
      <c r="R974" t="str">
        <f>"RECEITAS COM SETUP (117)"</f>
        <v>RECEITAS COM SETUP (117)</v>
      </c>
      <c r="S974">
        <v>1105</v>
      </c>
      <c r="T974">
        <v>0</v>
      </c>
      <c r="U974" t="s">
        <v>22</v>
      </c>
    </row>
    <row r="975" spans="1:21">
      <c r="A975" t="str">
        <f t="shared" ref="A975:A1006" si="494">("26/02/2025")</f>
        <v>26/02/2025</v>
      </c>
      <c r="B975" t="str">
        <f>"ENTRADA"</f>
        <v>ENTRADA</v>
      </c>
      <c r="C975" t="str">
        <f t="shared" ref="C975:C1006" si="495">"NFSE"</f>
        <v>NFSE</v>
      </c>
      <c r="D975" t="str">
        <f t="shared" ref="D975:D980" si="496">"2730"</f>
        <v>2730</v>
      </c>
      <c r="E975" t="str">
        <f t="shared" ref="E975:E1006" si="497">"COM"</f>
        <v>COM</v>
      </c>
      <c r="F975" t="str">
        <f t="shared" ref="F975:F980" si="498">"FARMÁCIA INDIANA LJ 85 (10128)"</f>
        <v>FARMÁCIA INDIANA LJ 85 (10128)</v>
      </c>
      <c r="G975" t="str">
        <f t="shared" ref="G975:G980" si="499">"Serv.Prest. 10/02/2025 a 16/02/2025 - RPS: 503 - NFSe: 2730"</f>
        <v>Serv.Prest. 10/02/2025 a 16/02/2025 - RPS: 503 - NFSe: 2730</v>
      </c>
      <c r="H975" t="str">
        <f t="shared" ref="H975:H1006" si="500">("26/02/2025")</f>
        <v>26/02/2025</v>
      </c>
      <c r="I975" t="str">
        <f t="shared" ref="I975:I1006" si="501">("17/02/2025")</f>
        <v>17/02/2025</v>
      </c>
      <c r="J975" t="str">
        <f t="shared" ref="J975:J1006" si="502">("26/02/2025")</f>
        <v>26/02/2025</v>
      </c>
      <c r="K975">
        <v>806.44</v>
      </c>
      <c r="L975">
        <v>806.44</v>
      </c>
      <c r="M975">
        <v>303</v>
      </c>
      <c r="N975" t="str">
        <f t="shared" ref="N975:N1006" si="503">"RECEITAS COM ENTREGAS"</f>
        <v>RECEITAS COM ENTREGAS</v>
      </c>
      <c r="O975">
        <v>806.44</v>
      </c>
      <c r="R975" t="str">
        <f t="shared" ref="R975:R1006" si="504">"RECEITAS COM ENTREGAS (303)"</f>
        <v>RECEITAS COM ENTREGAS (303)</v>
      </c>
      <c r="S975">
        <v>1106</v>
      </c>
      <c r="T975">
        <v>877</v>
      </c>
      <c r="U975" t="s">
        <v>19</v>
      </c>
    </row>
    <row r="976" spans="1:21">
      <c r="A976" t="str">
        <f t="shared" si="494"/>
        <v>26/02/2025</v>
      </c>
      <c r="B976" t="str">
        <f t="shared" ref="B976:B1039" si="505">"ENTRADA"</f>
        <v>ENTRADA</v>
      </c>
      <c r="C976" t="str">
        <f t="shared" si="495"/>
        <v>NFSE</v>
      </c>
      <c r="D976" t="str">
        <f t="shared" si="496"/>
        <v>2730</v>
      </c>
      <c r="E976" t="str">
        <f t="shared" si="497"/>
        <v>COM</v>
      </c>
      <c r="F976" t="str">
        <f t="shared" si="498"/>
        <v>FARMÁCIA INDIANA LJ 85 (10128)</v>
      </c>
      <c r="G976" t="str">
        <f t="shared" si="499"/>
        <v>Serv.Prest. 10/02/2025 a 16/02/2025 - RPS: 503 - NFSe: 2730</v>
      </c>
      <c r="H976" t="str">
        <f t="shared" si="500"/>
        <v>26/02/2025</v>
      </c>
      <c r="I976" t="str">
        <f t="shared" si="501"/>
        <v>17/02/2025</v>
      </c>
      <c r="J976" t="str">
        <f t="shared" si="502"/>
        <v>26/02/2025</v>
      </c>
      <c r="M976">
        <v>303</v>
      </c>
      <c r="N976" t="str">
        <f t="shared" si="503"/>
        <v>RECEITAS COM ENTREGAS</v>
      </c>
      <c r="P976">
        <v>171.61</v>
      </c>
      <c r="Q976" t="str">
        <f>"FARMÁCIA INDIANA LJ 119 (10053)"</f>
        <v>FARMÁCIA INDIANA LJ 119 (10053)</v>
      </c>
      <c r="R976" t="str">
        <f t="shared" si="504"/>
        <v>RECEITAS COM ENTREGAS (303)</v>
      </c>
      <c r="S976">
        <v>1106</v>
      </c>
      <c r="T976">
        <v>877</v>
      </c>
      <c r="U976" t="s">
        <v>19</v>
      </c>
    </row>
    <row r="977" spans="1:21">
      <c r="A977" t="str">
        <f t="shared" si="494"/>
        <v>26/02/2025</v>
      </c>
      <c r="B977" t="str">
        <f t="shared" si="505"/>
        <v>ENTRADA</v>
      </c>
      <c r="C977" t="str">
        <f t="shared" si="495"/>
        <v>NFSE</v>
      </c>
      <c r="D977" t="str">
        <f t="shared" si="496"/>
        <v>2730</v>
      </c>
      <c r="E977" t="str">
        <f t="shared" si="497"/>
        <v>COM</v>
      </c>
      <c r="F977" t="str">
        <f t="shared" si="498"/>
        <v>FARMÁCIA INDIANA LJ 85 (10128)</v>
      </c>
      <c r="G977" t="str">
        <f t="shared" si="499"/>
        <v>Serv.Prest. 10/02/2025 a 16/02/2025 - RPS: 503 - NFSe: 2730</v>
      </c>
      <c r="H977" t="str">
        <f t="shared" si="500"/>
        <v>26/02/2025</v>
      </c>
      <c r="I977" t="str">
        <f t="shared" si="501"/>
        <v>17/02/2025</v>
      </c>
      <c r="J977" t="str">
        <f t="shared" si="502"/>
        <v>26/02/2025</v>
      </c>
      <c r="M977">
        <v>303</v>
      </c>
      <c r="N977" t="str">
        <f t="shared" si="503"/>
        <v>RECEITAS COM ENTREGAS</v>
      </c>
      <c r="P977">
        <v>124.03</v>
      </c>
      <c r="Q977" t="str">
        <f>"FARMÁCIA INDIANA LJ 163 (10072)"</f>
        <v>FARMÁCIA INDIANA LJ 163 (10072)</v>
      </c>
      <c r="R977" t="str">
        <f t="shared" si="504"/>
        <v>RECEITAS COM ENTREGAS (303)</v>
      </c>
      <c r="S977">
        <v>1106</v>
      </c>
      <c r="T977">
        <v>877</v>
      </c>
      <c r="U977" t="s">
        <v>19</v>
      </c>
    </row>
    <row r="978" spans="1:21">
      <c r="A978" t="str">
        <f t="shared" si="494"/>
        <v>26/02/2025</v>
      </c>
      <c r="B978" t="str">
        <f t="shared" si="505"/>
        <v>ENTRADA</v>
      </c>
      <c r="C978" t="str">
        <f t="shared" si="495"/>
        <v>NFSE</v>
      </c>
      <c r="D978" t="str">
        <f t="shared" si="496"/>
        <v>2730</v>
      </c>
      <c r="E978" t="str">
        <f t="shared" si="497"/>
        <v>COM</v>
      </c>
      <c r="F978" t="str">
        <f t="shared" si="498"/>
        <v>FARMÁCIA INDIANA LJ 85 (10128)</v>
      </c>
      <c r="G978" t="str">
        <f t="shared" si="499"/>
        <v>Serv.Prest. 10/02/2025 a 16/02/2025 - RPS: 503 - NFSe: 2730</v>
      </c>
      <c r="H978" t="str">
        <f t="shared" si="500"/>
        <v>26/02/2025</v>
      </c>
      <c r="I978" t="str">
        <f t="shared" si="501"/>
        <v>17/02/2025</v>
      </c>
      <c r="J978" t="str">
        <f t="shared" si="502"/>
        <v>26/02/2025</v>
      </c>
      <c r="M978">
        <v>303</v>
      </c>
      <c r="N978" t="str">
        <f t="shared" si="503"/>
        <v>RECEITAS COM ENTREGAS</v>
      </c>
      <c r="P978">
        <v>156.21</v>
      </c>
      <c r="Q978" t="str">
        <f>"FARMÁCIA INDIANA LJ 181 (10078)"</f>
        <v>FARMÁCIA INDIANA LJ 181 (10078)</v>
      </c>
      <c r="R978" t="str">
        <f t="shared" si="504"/>
        <v>RECEITAS COM ENTREGAS (303)</v>
      </c>
      <c r="S978">
        <v>1106</v>
      </c>
      <c r="T978">
        <v>877</v>
      </c>
      <c r="U978" t="s">
        <v>19</v>
      </c>
    </row>
    <row r="979" spans="1:21">
      <c r="A979" t="str">
        <f t="shared" si="494"/>
        <v>26/02/2025</v>
      </c>
      <c r="B979" t="str">
        <f t="shared" si="505"/>
        <v>ENTRADA</v>
      </c>
      <c r="C979" t="str">
        <f t="shared" si="495"/>
        <v>NFSE</v>
      </c>
      <c r="D979" t="str">
        <f t="shared" si="496"/>
        <v>2730</v>
      </c>
      <c r="E979" t="str">
        <f t="shared" si="497"/>
        <v>COM</v>
      </c>
      <c r="F979" t="str">
        <f t="shared" si="498"/>
        <v>FARMÁCIA INDIANA LJ 85 (10128)</v>
      </c>
      <c r="G979" t="str">
        <f t="shared" si="499"/>
        <v>Serv.Prest. 10/02/2025 a 16/02/2025 - RPS: 503 - NFSe: 2730</v>
      </c>
      <c r="H979" t="str">
        <f t="shared" si="500"/>
        <v>26/02/2025</v>
      </c>
      <c r="I979" t="str">
        <f t="shared" si="501"/>
        <v>17/02/2025</v>
      </c>
      <c r="J979" t="str">
        <f t="shared" si="502"/>
        <v>26/02/2025</v>
      </c>
      <c r="M979">
        <v>303</v>
      </c>
      <c r="N979" t="str">
        <f t="shared" si="503"/>
        <v>RECEITAS COM ENTREGAS</v>
      </c>
      <c r="P979">
        <v>172.5</v>
      </c>
      <c r="Q979" t="str">
        <f>"FARMÁCIA INDIANA LJ 221 (10093)"</f>
        <v>FARMÁCIA INDIANA LJ 221 (10093)</v>
      </c>
      <c r="R979" t="str">
        <f t="shared" si="504"/>
        <v>RECEITAS COM ENTREGAS (303)</v>
      </c>
      <c r="S979">
        <v>1106</v>
      </c>
      <c r="T979">
        <v>877</v>
      </c>
      <c r="U979" t="s">
        <v>19</v>
      </c>
    </row>
    <row r="980" spans="1:21">
      <c r="A980" t="str">
        <f t="shared" si="494"/>
        <v>26/02/2025</v>
      </c>
      <c r="B980" t="str">
        <f t="shared" si="505"/>
        <v>ENTRADA</v>
      </c>
      <c r="C980" t="str">
        <f t="shared" si="495"/>
        <v>NFSE</v>
      </c>
      <c r="D980" t="str">
        <f t="shared" si="496"/>
        <v>2730</v>
      </c>
      <c r="E980" t="str">
        <f t="shared" si="497"/>
        <v>COM</v>
      </c>
      <c r="F980" t="str">
        <f t="shared" si="498"/>
        <v>FARMÁCIA INDIANA LJ 85 (10128)</v>
      </c>
      <c r="G980" t="str">
        <f t="shared" si="499"/>
        <v>Serv.Prest. 10/02/2025 a 16/02/2025 - RPS: 503 - NFSe: 2730</v>
      </c>
      <c r="H980" t="str">
        <f t="shared" si="500"/>
        <v>26/02/2025</v>
      </c>
      <c r="I980" t="str">
        <f t="shared" si="501"/>
        <v>17/02/2025</v>
      </c>
      <c r="J980" t="str">
        <f t="shared" si="502"/>
        <v>26/02/2025</v>
      </c>
      <c r="M980">
        <v>303</v>
      </c>
      <c r="N980" t="str">
        <f t="shared" si="503"/>
        <v>RECEITAS COM ENTREGAS</v>
      </c>
      <c r="P980">
        <v>182.09</v>
      </c>
      <c r="Q980" t="str">
        <f>"FARMÁCIA INDIANA LJ 243 (10142)"</f>
        <v>FARMÁCIA INDIANA LJ 243 (10142)</v>
      </c>
      <c r="R980" t="str">
        <f t="shared" si="504"/>
        <v>RECEITAS COM ENTREGAS (303)</v>
      </c>
      <c r="S980">
        <v>1106</v>
      </c>
      <c r="T980">
        <v>877</v>
      </c>
      <c r="U980" t="s">
        <v>19</v>
      </c>
    </row>
    <row r="981" spans="1:21">
      <c r="A981" t="str">
        <f t="shared" si="494"/>
        <v>26/02/2025</v>
      </c>
      <c r="B981" t="str">
        <f t="shared" si="505"/>
        <v>ENTRADA</v>
      </c>
      <c r="C981" t="str">
        <f t="shared" si="495"/>
        <v>NFSE</v>
      </c>
      <c r="D981" t="str">
        <f t="shared" ref="D981:D992" si="506">"2731"</f>
        <v>2731</v>
      </c>
      <c r="E981" t="str">
        <f t="shared" si="497"/>
        <v>COM</v>
      </c>
      <c r="F981" t="str">
        <f t="shared" ref="F981:F992" si="507">"FARMÁCIA INDIANA LJ 30 (10127)"</f>
        <v>FARMÁCIA INDIANA LJ 30 (10127)</v>
      </c>
      <c r="G981" t="str">
        <f t="shared" ref="G981:G992" si="508">"Serv.Prest. 10/02/2025 a 16/02/2025 - RPS: 504 - NFSe: 2731"</f>
        <v>Serv.Prest. 10/02/2025 a 16/02/2025 - RPS: 504 - NFSe: 2731</v>
      </c>
      <c r="H981" t="str">
        <f t="shared" si="500"/>
        <v>26/02/2025</v>
      </c>
      <c r="I981" t="str">
        <f t="shared" si="501"/>
        <v>17/02/2025</v>
      </c>
      <c r="J981" t="str">
        <f t="shared" si="502"/>
        <v>26/02/2025</v>
      </c>
      <c r="K981">
        <v>2706.42</v>
      </c>
      <c r="L981">
        <v>2706.42</v>
      </c>
      <c r="M981">
        <v>303</v>
      </c>
      <c r="N981" t="str">
        <f t="shared" si="503"/>
        <v>RECEITAS COM ENTREGAS</v>
      </c>
      <c r="O981">
        <v>2706.42</v>
      </c>
      <c r="R981" t="str">
        <f t="shared" si="504"/>
        <v>RECEITAS COM ENTREGAS (303)</v>
      </c>
      <c r="S981">
        <v>1107</v>
      </c>
      <c r="T981">
        <v>878</v>
      </c>
      <c r="U981" t="s">
        <v>19</v>
      </c>
    </row>
    <row r="982" spans="1:21">
      <c r="A982" t="str">
        <f t="shared" si="494"/>
        <v>26/02/2025</v>
      </c>
      <c r="B982" t="str">
        <f t="shared" si="505"/>
        <v>ENTRADA</v>
      </c>
      <c r="C982" t="str">
        <f t="shared" si="495"/>
        <v>NFSE</v>
      </c>
      <c r="D982" t="str">
        <f t="shared" si="506"/>
        <v>2731</v>
      </c>
      <c r="E982" t="str">
        <f t="shared" si="497"/>
        <v>COM</v>
      </c>
      <c r="F982" t="str">
        <f t="shared" si="507"/>
        <v>FARMÁCIA INDIANA LJ 30 (10127)</v>
      </c>
      <c r="G982" t="str">
        <f t="shared" si="508"/>
        <v>Serv.Prest. 10/02/2025 a 16/02/2025 - RPS: 504 - NFSe: 2731</v>
      </c>
      <c r="H982" t="str">
        <f t="shared" si="500"/>
        <v>26/02/2025</v>
      </c>
      <c r="I982" t="str">
        <f t="shared" si="501"/>
        <v>17/02/2025</v>
      </c>
      <c r="J982" t="str">
        <f t="shared" si="502"/>
        <v>26/02/2025</v>
      </c>
      <c r="M982">
        <v>303</v>
      </c>
      <c r="N982" t="str">
        <f t="shared" si="503"/>
        <v>RECEITAS COM ENTREGAS</v>
      </c>
      <c r="P982">
        <v>272.26</v>
      </c>
      <c r="Q982" t="str">
        <f>"FARMÁCIA INDIANA LJ 34 (10014)"</f>
        <v>FARMÁCIA INDIANA LJ 34 (10014)</v>
      </c>
      <c r="R982" t="str">
        <f t="shared" si="504"/>
        <v>RECEITAS COM ENTREGAS (303)</v>
      </c>
      <c r="S982">
        <v>1107</v>
      </c>
      <c r="T982">
        <v>878</v>
      </c>
      <c r="U982" t="s">
        <v>19</v>
      </c>
    </row>
    <row r="983" spans="1:21">
      <c r="A983" t="str">
        <f t="shared" si="494"/>
        <v>26/02/2025</v>
      </c>
      <c r="B983" t="str">
        <f t="shared" si="505"/>
        <v>ENTRADA</v>
      </c>
      <c r="C983" t="str">
        <f t="shared" si="495"/>
        <v>NFSE</v>
      </c>
      <c r="D983" t="str">
        <f t="shared" si="506"/>
        <v>2731</v>
      </c>
      <c r="E983" t="str">
        <f t="shared" si="497"/>
        <v>COM</v>
      </c>
      <c r="F983" t="str">
        <f t="shared" si="507"/>
        <v>FARMÁCIA INDIANA LJ 30 (10127)</v>
      </c>
      <c r="G983" t="str">
        <f t="shared" si="508"/>
        <v>Serv.Prest. 10/02/2025 a 16/02/2025 - RPS: 504 - NFSe: 2731</v>
      </c>
      <c r="H983" t="str">
        <f t="shared" si="500"/>
        <v>26/02/2025</v>
      </c>
      <c r="I983" t="str">
        <f t="shared" si="501"/>
        <v>17/02/2025</v>
      </c>
      <c r="J983" t="str">
        <f t="shared" si="502"/>
        <v>26/02/2025</v>
      </c>
      <c r="M983">
        <v>303</v>
      </c>
      <c r="N983" t="str">
        <f t="shared" si="503"/>
        <v>RECEITAS COM ENTREGAS</v>
      </c>
      <c r="P983">
        <v>236</v>
      </c>
      <c r="Q983" t="str">
        <f>"FARMÁCIA INDIANA LJ 35 (10015)"</f>
        <v>FARMÁCIA INDIANA LJ 35 (10015)</v>
      </c>
      <c r="R983" t="str">
        <f t="shared" si="504"/>
        <v>RECEITAS COM ENTREGAS (303)</v>
      </c>
      <c r="S983">
        <v>1107</v>
      </c>
      <c r="T983">
        <v>878</v>
      </c>
      <c r="U983" t="s">
        <v>19</v>
      </c>
    </row>
    <row r="984" spans="1:21">
      <c r="A984" t="str">
        <f t="shared" si="494"/>
        <v>26/02/2025</v>
      </c>
      <c r="B984" t="str">
        <f t="shared" si="505"/>
        <v>ENTRADA</v>
      </c>
      <c r="C984" t="str">
        <f t="shared" si="495"/>
        <v>NFSE</v>
      </c>
      <c r="D984" t="str">
        <f t="shared" si="506"/>
        <v>2731</v>
      </c>
      <c r="E984" t="str">
        <f t="shared" si="497"/>
        <v>COM</v>
      </c>
      <c r="F984" t="str">
        <f t="shared" si="507"/>
        <v>FARMÁCIA INDIANA LJ 30 (10127)</v>
      </c>
      <c r="G984" t="str">
        <f t="shared" si="508"/>
        <v>Serv.Prest. 10/02/2025 a 16/02/2025 - RPS: 504 - NFSe: 2731</v>
      </c>
      <c r="H984" t="str">
        <f t="shared" si="500"/>
        <v>26/02/2025</v>
      </c>
      <c r="I984" t="str">
        <f t="shared" si="501"/>
        <v>17/02/2025</v>
      </c>
      <c r="J984" t="str">
        <f t="shared" si="502"/>
        <v>26/02/2025</v>
      </c>
      <c r="M984">
        <v>303</v>
      </c>
      <c r="N984" t="str">
        <f t="shared" si="503"/>
        <v>RECEITAS COM ENTREGAS</v>
      </c>
      <c r="P984">
        <v>332.89</v>
      </c>
      <c r="Q984" t="str">
        <f>"FARMÁCIA INDIANA LJ 48 (10018)"</f>
        <v>FARMÁCIA INDIANA LJ 48 (10018)</v>
      </c>
      <c r="R984" t="str">
        <f t="shared" si="504"/>
        <v>RECEITAS COM ENTREGAS (303)</v>
      </c>
      <c r="S984">
        <v>1107</v>
      </c>
      <c r="T984">
        <v>878</v>
      </c>
      <c r="U984" t="s">
        <v>19</v>
      </c>
    </row>
    <row r="985" spans="1:21">
      <c r="A985" t="str">
        <f t="shared" si="494"/>
        <v>26/02/2025</v>
      </c>
      <c r="B985" t="str">
        <f t="shared" si="505"/>
        <v>ENTRADA</v>
      </c>
      <c r="C985" t="str">
        <f t="shared" si="495"/>
        <v>NFSE</v>
      </c>
      <c r="D985" t="str">
        <f t="shared" si="506"/>
        <v>2731</v>
      </c>
      <c r="E985" t="str">
        <f t="shared" si="497"/>
        <v>COM</v>
      </c>
      <c r="F985" t="str">
        <f t="shared" si="507"/>
        <v>FARMÁCIA INDIANA LJ 30 (10127)</v>
      </c>
      <c r="G985" t="str">
        <f t="shared" si="508"/>
        <v>Serv.Prest. 10/02/2025 a 16/02/2025 - RPS: 504 - NFSe: 2731</v>
      </c>
      <c r="H985" t="str">
        <f t="shared" si="500"/>
        <v>26/02/2025</v>
      </c>
      <c r="I985" t="str">
        <f t="shared" si="501"/>
        <v>17/02/2025</v>
      </c>
      <c r="J985" t="str">
        <f t="shared" si="502"/>
        <v>26/02/2025</v>
      </c>
      <c r="M985">
        <v>303</v>
      </c>
      <c r="N985" t="str">
        <f t="shared" si="503"/>
        <v>RECEITAS COM ENTREGAS</v>
      </c>
      <c r="P985">
        <v>418.68</v>
      </c>
      <c r="Q985" t="str">
        <f>"FARMÁCIA INDIANA LJ 65 (10030)"</f>
        <v>FARMÁCIA INDIANA LJ 65 (10030)</v>
      </c>
      <c r="R985" t="str">
        <f t="shared" si="504"/>
        <v>RECEITAS COM ENTREGAS (303)</v>
      </c>
      <c r="S985">
        <v>1107</v>
      </c>
      <c r="T985">
        <v>878</v>
      </c>
      <c r="U985" t="s">
        <v>19</v>
      </c>
    </row>
    <row r="986" spans="1:21">
      <c r="A986" t="str">
        <f t="shared" si="494"/>
        <v>26/02/2025</v>
      </c>
      <c r="B986" t="str">
        <f t="shared" si="505"/>
        <v>ENTRADA</v>
      </c>
      <c r="C986" t="str">
        <f t="shared" si="495"/>
        <v>NFSE</v>
      </c>
      <c r="D986" t="str">
        <f t="shared" si="506"/>
        <v>2731</v>
      </c>
      <c r="E986" t="str">
        <f t="shared" si="497"/>
        <v>COM</v>
      </c>
      <c r="F986" t="str">
        <f t="shared" si="507"/>
        <v>FARMÁCIA INDIANA LJ 30 (10127)</v>
      </c>
      <c r="G986" t="str">
        <f t="shared" si="508"/>
        <v>Serv.Prest. 10/02/2025 a 16/02/2025 - RPS: 504 - NFSe: 2731</v>
      </c>
      <c r="H986" t="str">
        <f t="shared" si="500"/>
        <v>26/02/2025</v>
      </c>
      <c r="I986" t="str">
        <f t="shared" si="501"/>
        <v>17/02/2025</v>
      </c>
      <c r="J986" t="str">
        <f t="shared" si="502"/>
        <v>26/02/2025</v>
      </c>
      <c r="M986">
        <v>303</v>
      </c>
      <c r="N986" t="str">
        <f t="shared" si="503"/>
        <v>RECEITAS COM ENTREGAS</v>
      </c>
      <c r="P986">
        <v>137.22</v>
      </c>
      <c r="Q986" t="str">
        <f>"FARMÁCIA INDIANA LJ 77 (10034)"</f>
        <v>FARMÁCIA INDIANA LJ 77 (10034)</v>
      </c>
      <c r="R986" t="str">
        <f t="shared" si="504"/>
        <v>RECEITAS COM ENTREGAS (303)</v>
      </c>
      <c r="S986">
        <v>1107</v>
      </c>
      <c r="T986">
        <v>878</v>
      </c>
      <c r="U986" t="s">
        <v>19</v>
      </c>
    </row>
    <row r="987" spans="1:21">
      <c r="A987" t="str">
        <f t="shared" si="494"/>
        <v>26/02/2025</v>
      </c>
      <c r="B987" t="str">
        <f t="shared" si="505"/>
        <v>ENTRADA</v>
      </c>
      <c r="C987" t="str">
        <f t="shared" si="495"/>
        <v>NFSE</v>
      </c>
      <c r="D987" t="str">
        <f t="shared" si="506"/>
        <v>2731</v>
      </c>
      <c r="E987" t="str">
        <f t="shared" si="497"/>
        <v>COM</v>
      </c>
      <c r="F987" t="str">
        <f t="shared" si="507"/>
        <v>FARMÁCIA INDIANA LJ 30 (10127)</v>
      </c>
      <c r="G987" t="str">
        <f t="shared" si="508"/>
        <v>Serv.Prest. 10/02/2025 a 16/02/2025 - RPS: 504 - NFSe: 2731</v>
      </c>
      <c r="H987" t="str">
        <f t="shared" si="500"/>
        <v>26/02/2025</v>
      </c>
      <c r="I987" t="str">
        <f t="shared" si="501"/>
        <v>17/02/2025</v>
      </c>
      <c r="J987" t="str">
        <f t="shared" si="502"/>
        <v>26/02/2025</v>
      </c>
      <c r="M987">
        <v>303</v>
      </c>
      <c r="N987" t="str">
        <f t="shared" si="503"/>
        <v>RECEITAS COM ENTREGAS</v>
      </c>
      <c r="P987">
        <v>188.37</v>
      </c>
      <c r="Q987" t="str">
        <f>"FARMÁCIA INDIANA LJ 91 (10037)"</f>
        <v>FARMÁCIA INDIANA LJ 91 (10037)</v>
      </c>
      <c r="R987" t="str">
        <f t="shared" si="504"/>
        <v>RECEITAS COM ENTREGAS (303)</v>
      </c>
      <c r="S987">
        <v>1107</v>
      </c>
      <c r="T987">
        <v>878</v>
      </c>
      <c r="U987" t="s">
        <v>19</v>
      </c>
    </row>
    <row r="988" spans="1:21">
      <c r="A988" t="str">
        <f t="shared" si="494"/>
        <v>26/02/2025</v>
      </c>
      <c r="B988" t="str">
        <f t="shared" si="505"/>
        <v>ENTRADA</v>
      </c>
      <c r="C988" t="str">
        <f t="shared" si="495"/>
        <v>NFSE</v>
      </c>
      <c r="D988" t="str">
        <f t="shared" si="506"/>
        <v>2731</v>
      </c>
      <c r="E988" t="str">
        <f t="shared" si="497"/>
        <v>COM</v>
      </c>
      <c r="F988" t="str">
        <f t="shared" si="507"/>
        <v>FARMÁCIA INDIANA LJ 30 (10127)</v>
      </c>
      <c r="G988" t="str">
        <f t="shared" si="508"/>
        <v>Serv.Prest. 10/02/2025 a 16/02/2025 - RPS: 504 - NFSe: 2731</v>
      </c>
      <c r="H988" t="str">
        <f t="shared" si="500"/>
        <v>26/02/2025</v>
      </c>
      <c r="I988" t="str">
        <f t="shared" si="501"/>
        <v>17/02/2025</v>
      </c>
      <c r="J988" t="str">
        <f t="shared" si="502"/>
        <v>26/02/2025</v>
      </c>
      <c r="M988">
        <v>303</v>
      </c>
      <c r="N988" t="str">
        <f t="shared" si="503"/>
        <v>RECEITAS COM ENTREGAS</v>
      </c>
      <c r="P988">
        <v>371.86</v>
      </c>
      <c r="Q988" t="str">
        <f>"FARMÁCIA INDIANA LJ 95 (10039)"</f>
        <v>FARMÁCIA INDIANA LJ 95 (10039)</v>
      </c>
      <c r="R988" t="str">
        <f t="shared" si="504"/>
        <v>RECEITAS COM ENTREGAS (303)</v>
      </c>
      <c r="S988">
        <v>1107</v>
      </c>
      <c r="T988">
        <v>878</v>
      </c>
      <c r="U988" t="s">
        <v>19</v>
      </c>
    </row>
    <row r="989" spans="1:21">
      <c r="A989" t="str">
        <f t="shared" si="494"/>
        <v>26/02/2025</v>
      </c>
      <c r="B989" t="str">
        <f t="shared" si="505"/>
        <v>ENTRADA</v>
      </c>
      <c r="C989" t="str">
        <f t="shared" si="495"/>
        <v>NFSE</v>
      </c>
      <c r="D989" t="str">
        <f t="shared" si="506"/>
        <v>2731</v>
      </c>
      <c r="E989" t="str">
        <f t="shared" si="497"/>
        <v>COM</v>
      </c>
      <c r="F989" t="str">
        <f t="shared" si="507"/>
        <v>FARMÁCIA INDIANA LJ 30 (10127)</v>
      </c>
      <c r="G989" t="str">
        <f t="shared" si="508"/>
        <v>Serv.Prest. 10/02/2025 a 16/02/2025 - RPS: 504 - NFSe: 2731</v>
      </c>
      <c r="H989" t="str">
        <f t="shared" si="500"/>
        <v>26/02/2025</v>
      </c>
      <c r="I989" t="str">
        <f t="shared" si="501"/>
        <v>17/02/2025</v>
      </c>
      <c r="J989" t="str">
        <f t="shared" si="502"/>
        <v>26/02/2025</v>
      </c>
      <c r="M989">
        <v>303</v>
      </c>
      <c r="N989" t="str">
        <f t="shared" si="503"/>
        <v>RECEITAS COM ENTREGAS</v>
      </c>
      <c r="P989">
        <v>280.93</v>
      </c>
      <c r="Q989" t="str">
        <f>"FARMÁCIA INDIANA LJ 145 (10068)"</f>
        <v>FARMÁCIA INDIANA LJ 145 (10068)</v>
      </c>
      <c r="R989" t="str">
        <f t="shared" si="504"/>
        <v>RECEITAS COM ENTREGAS (303)</v>
      </c>
      <c r="S989">
        <v>1107</v>
      </c>
      <c r="T989">
        <v>878</v>
      </c>
      <c r="U989" t="s">
        <v>19</v>
      </c>
    </row>
    <row r="990" spans="1:21">
      <c r="A990" t="str">
        <f t="shared" si="494"/>
        <v>26/02/2025</v>
      </c>
      <c r="B990" t="str">
        <f t="shared" si="505"/>
        <v>ENTRADA</v>
      </c>
      <c r="C990" t="str">
        <f t="shared" si="495"/>
        <v>NFSE</v>
      </c>
      <c r="D990" t="str">
        <f t="shared" si="506"/>
        <v>2731</v>
      </c>
      <c r="E990" t="str">
        <f t="shared" si="497"/>
        <v>COM</v>
      </c>
      <c r="F990" t="str">
        <f t="shared" si="507"/>
        <v>FARMÁCIA INDIANA LJ 30 (10127)</v>
      </c>
      <c r="G990" t="str">
        <f t="shared" si="508"/>
        <v>Serv.Prest. 10/02/2025 a 16/02/2025 - RPS: 504 - NFSe: 2731</v>
      </c>
      <c r="H990" t="str">
        <f t="shared" si="500"/>
        <v>26/02/2025</v>
      </c>
      <c r="I990" t="str">
        <f t="shared" si="501"/>
        <v>17/02/2025</v>
      </c>
      <c r="J990" t="str">
        <f t="shared" si="502"/>
        <v>26/02/2025</v>
      </c>
      <c r="M990">
        <v>303</v>
      </c>
      <c r="N990" t="str">
        <f t="shared" si="503"/>
        <v>RECEITAS COM ENTREGAS</v>
      </c>
      <c r="P990">
        <v>99.05</v>
      </c>
      <c r="Q990" t="str">
        <f>"FARMÁCIA INDIANA LJ 169 (10073)"</f>
        <v>FARMÁCIA INDIANA LJ 169 (10073)</v>
      </c>
      <c r="R990" t="str">
        <f t="shared" si="504"/>
        <v>RECEITAS COM ENTREGAS (303)</v>
      </c>
      <c r="S990">
        <v>1107</v>
      </c>
      <c r="T990">
        <v>878</v>
      </c>
      <c r="U990" t="s">
        <v>19</v>
      </c>
    </row>
    <row r="991" spans="1:21">
      <c r="A991" t="str">
        <f t="shared" si="494"/>
        <v>26/02/2025</v>
      </c>
      <c r="B991" t="str">
        <f t="shared" si="505"/>
        <v>ENTRADA</v>
      </c>
      <c r="C991" t="str">
        <f t="shared" si="495"/>
        <v>NFSE</v>
      </c>
      <c r="D991" t="str">
        <f t="shared" si="506"/>
        <v>2731</v>
      </c>
      <c r="E991" t="str">
        <f t="shared" si="497"/>
        <v>COM</v>
      </c>
      <c r="F991" t="str">
        <f t="shared" si="507"/>
        <v>FARMÁCIA INDIANA LJ 30 (10127)</v>
      </c>
      <c r="G991" t="str">
        <f t="shared" si="508"/>
        <v>Serv.Prest. 10/02/2025 a 16/02/2025 - RPS: 504 - NFSe: 2731</v>
      </c>
      <c r="H991" t="str">
        <f t="shared" si="500"/>
        <v>26/02/2025</v>
      </c>
      <c r="I991" t="str">
        <f t="shared" si="501"/>
        <v>17/02/2025</v>
      </c>
      <c r="J991" t="str">
        <f t="shared" si="502"/>
        <v>26/02/2025</v>
      </c>
      <c r="M991">
        <v>303</v>
      </c>
      <c r="N991" t="str">
        <f t="shared" si="503"/>
        <v>RECEITAS COM ENTREGAS</v>
      </c>
      <c r="P991">
        <v>209.21</v>
      </c>
      <c r="Q991" t="str">
        <f>"FARMÁCIA INDIANA LJ 173 (10075)"</f>
        <v>FARMÁCIA INDIANA LJ 173 (10075)</v>
      </c>
      <c r="R991" t="str">
        <f t="shared" si="504"/>
        <v>RECEITAS COM ENTREGAS (303)</v>
      </c>
      <c r="S991">
        <v>1107</v>
      </c>
      <c r="T991">
        <v>878</v>
      </c>
      <c r="U991" t="s">
        <v>19</v>
      </c>
    </row>
    <row r="992" spans="1:21">
      <c r="A992" t="str">
        <f t="shared" si="494"/>
        <v>26/02/2025</v>
      </c>
      <c r="B992" t="str">
        <f t="shared" si="505"/>
        <v>ENTRADA</v>
      </c>
      <c r="C992" t="str">
        <f t="shared" si="495"/>
        <v>NFSE</v>
      </c>
      <c r="D992" t="str">
        <f t="shared" si="506"/>
        <v>2731</v>
      </c>
      <c r="E992" t="str">
        <f t="shared" si="497"/>
        <v>COM</v>
      </c>
      <c r="F992" t="str">
        <f t="shared" si="507"/>
        <v>FARMÁCIA INDIANA LJ 30 (10127)</v>
      </c>
      <c r="G992" t="str">
        <f t="shared" si="508"/>
        <v>Serv.Prest. 10/02/2025 a 16/02/2025 - RPS: 504 - NFSe: 2731</v>
      </c>
      <c r="H992" t="str">
        <f t="shared" si="500"/>
        <v>26/02/2025</v>
      </c>
      <c r="I992" t="str">
        <f t="shared" si="501"/>
        <v>17/02/2025</v>
      </c>
      <c r="J992" t="str">
        <f t="shared" si="502"/>
        <v>26/02/2025</v>
      </c>
      <c r="M992">
        <v>303</v>
      </c>
      <c r="N992" t="str">
        <f t="shared" si="503"/>
        <v>RECEITAS COM ENTREGAS</v>
      </c>
      <c r="P992">
        <v>159.94999999999999</v>
      </c>
      <c r="Q992" t="str">
        <f>"FARMÁCIA INDIANA LJ 200 (10155)"</f>
        <v>FARMÁCIA INDIANA LJ 200 (10155)</v>
      </c>
      <c r="R992" t="str">
        <f t="shared" si="504"/>
        <v>RECEITAS COM ENTREGAS (303)</v>
      </c>
      <c r="S992">
        <v>1107</v>
      </c>
      <c r="T992">
        <v>878</v>
      </c>
      <c r="U992" t="s">
        <v>19</v>
      </c>
    </row>
    <row r="993" spans="1:21">
      <c r="A993" t="str">
        <f t="shared" si="494"/>
        <v>26/02/2025</v>
      </c>
      <c r="B993" t="str">
        <f t="shared" si="505"/>
        <v>ENTRADA</v>
      </c>
      <c r="C993" t="str">
        <f t="shared" si="495"/>
        <v>NFSE</v>
      </c>
      <c r="D993" t="str">
        <f t="shared" ref="D993:D1038" si="509">"2732"</f>
        <v>2732</v>
      </c>
      <c r="E993" t="str">
        <f t="shared" si="497"/>
        <v>COM</v>
      </c>
      <c r="F993" t="str">
        <f t="shared" ref="F993:F1038" si="510">"FARMÁCIA INDIANA LJ 1 (10126)"</f>
        <v>FARMÁCIA INDIANA LJ 1 (10126)</v>
      </c>
      <c r="G993" t="str">
        <f t="shared" ref="G993:G1038" si="511">"Serv.Prest. 10/02/2025 a 16/02/2025 - RPS: 505 - NFSe: 2732"</f>
        <v>Serv.Prest. 10/02/2025 a 16/02/2025 - RPS: 505 - NFSe: 2732</v>
      </c>
      <c r="H993" t="str">
        <f t="shared" si="500"/>
        <v>26/02/2025</v>
      </c>
      <c r="I993" t="str">
        <f t="shared" si="501"/>
        <v>17/02/2025</v>
      </c>
      <c r="J993" t="str">
        <f t="shared" si="502"/>
        <v>26/02/2025</v>
      </c>
      <c r="K993">
        <v>13638.76</v>
      </c>
      <c r="L993">
        <v>13638.76</v>
      </c>
      <c r="M993">
        <v>303</v>
      </c>
      <c r="N993" t="str">
        <f t="shared" si="503"/>
        <v>RECEITAS COM ENTREGAS</v>
      </c>
      <c r="O993">
        <v>13638.76</v>
      </c>
      <c r="R993" t="str">
        <f t="shared" si="504"/>
        <v>RECEITAS COM ENTREGAS (303)</v>
      </c>
      <c r="S993">
        <v>1108</v>
      </c>
      <c r="T993">
        <v>879</v>
      </c>
      <c r="U993" t="s">
        <v>19</v>
      </c>
    </row>
    <row r="994" spans="1:21">
      <c r="A994" t="str">
        <f t="shared" si="494"/>
        <v>26/02/2025</v>
      </c>
      <c r="B994" t="str">
        <f t="shared" si="505"/>
        <v>ENTRADA</v>
      </c>
      <c r="C994" t="str">
        <f t="shared" si="495"/>
        <v>NFSE</v>
      </c>
      <c r="D994" t="str">
        <f t="shared" si="509"/>
        <v>2732</v>
      </c>
      <c r="E994" t="str">
        <f t="shared" si="497"/>
        <v>COM</v>
      </c>
      <c r="F994" t="str">
        <f t="shared" si="510"/>
        <v>FARMÁCIA INDIANA LJ 1 (10126)</v>
      </c>
      <c r="G994" t="str">
        <f t="shared" si="511"/>
        <v>Serv.Prest. 10/02/2025 a 16/02/2025 - RPS: 505 - NFSe: 2732</v>
      </c>
      <c r="H994" t="str">
        <f t="shared" si="500"/>
        <v>26/02/2025</v>
      </c>
      <c r="I994" t="str">
        <f t="shared" si="501"/>
        <v>17/02/2025</v>
      </c>
      <c r="J994" t="str">
        <f t="shared" si="502"/>
        <v>26/02/2025</v>
      </c>
      <c r="M994">
        <v>303</v>
      </c>
      <c r="N994" t="str">
        <f t="shared" si="503"/>
        <v>RECEITAS COM ENTREGAS</v>
      </c>
      <c r="P994">
        <v>1824.87</v>
      </c>
      <c r="Q994" t="str">
        <f>"FARMÁCIA INDIANA LJ 06 (10006)"</f>
        <v>FARMÁCIA INDIANA LJ 06 (10006)</v>
      </c>
      <c r="R994" t="str">
        <f t="shared" si="504"/>
        <v>RECEITAS COM ENTREGAS (303)</v>
      </c>
      <c r="S994">
        <v>1108</v>
      </c>
      <c r="T994">
        <v>879</v>
      </c>
      <c r="U994" t="s">
        <v>19</v>
      </c>
    </row>
    <row r="995" spans="1:21">
      <c r="A995" t="str">
        <f t="shared" si="494"/>
        <v>26/02/2025</v>
      </c>
      <c r="B995" t="str">
        <f t="shared" si="505"/>
        <v>ENTRADA</v>
      </c>
      <c r="C995" t="str">
        <f t="shared" si="495"/>
        <v>NFSE</v>
      </c>
      <c r="D995" t="str">
        <f t="shared" si="509"/>
        <v>2732</v>
      </c>
      <c r="E995" t="str">
        <f t="shared" si="497"/>
        <v>COM</v>
      </c>
      <c r="F995" t="str">
        <f t="shared" si="510"/>
        <v>FARMÁCIA INDIANA LJ 1 (10126)</v>
      </c>
      <c r="G995" t="str">
        <f t="shared" si="511"/>
        <v>Serv.Prest. 10/02/2025 a 16/02/2025 - RPS: 505 - NFSe: 2732</v>
      </c>
      <c r="H995" t="str">
        <f t="shared" si="500"/>
        <v>26/02/2025</v>
      </c>
      <c r="I995" t="str">
        <f t="shared" si="501"/>
        <v>17/02/2025</v>
      </c>
      <c r="J995" t="str">
        <f t="shared" si="502"/>
        <v>26/02/2025</v>
      </c>
      <c r="M995">
        <v>303</v>
      </c>
      <c r="N995" t="str">
        <f t="shared" si="503"/>
        <v>RECEITAS COM ENTREGAS</v>
      </c>
      <c r="P995">
        <v>1685.75</v>
      </c>
      <c r="Q995" t="str">
        <f>"FARMÁCIA INDIANA LJ 07 (10007)"</f>
        <v>FARMÁCIA INDIANA LJ 07 (10007)</v>
      </c>
      <c r="R995" t="str">
        <f t="shared" si="504"/>
        <v>RECEITAS COM ENTREGAS (303)</v>
      </c>
      <c r="S995">
        <v>1108</v>
      </c>
      <c r="T995">
        <v>879</v>
      </c>
      <c r="U995" t="s">
        <v>19</v>
      </c>
    </row>
    <row r="996" spans="1:21">
      <c r="A996" t="str">
        <f t="shared" si="494"/>
        <v>26/02/2025</v>
      </c>
      <c r="B996" t="str">
        <f t="shared" si="505"/>
        <v>ENTRADA</v>
      </c>
      <c r="C996" t="str">
        <f t="shared" si="495"/>
        <v>NFSE</v>
      </c>
      <c r="D996" t="str">
        <f t="shared" si="509"/>
        <v>2732</v>
      </c>
      <c r="E996" t="str">
        <f t="shared" si="497"/>
        <v>COM</v>
      </c>
      <c r="F996" t="str">
        <f t="shared" si="510"/>
        <v>FARMÁCIA INDIANA LJ 1 (10126)</v>
      </c>
      <c r="G996" t="str">
        <f t="shared" si="511"/>
        <v>Serv.Prest. 10/02/2025 a 16/02/2025 - RPS: 505 - NFSe: 2732</v>
      </c>
      <c r="H996" t="str">
        <f t="shared" si="500"/>
        <v>26/02/2025</v>
      </c>
      <c r="I996" t="str">
        <f t="shared" si="501"/>
        <v>17/02/2025</v>
      </c>
      <c r="J996" t="str">
        <f t="shared" si="502"/>
        <v>26/02/2025</v>
      </c>
      <c r="M996">
        <v>303</v>
      </c>
      <c r="N996" t="str">
        <f t="shared" si="503"/>
        <v>RECEITAS COM ENTREGAS</v>
      </c>
      <c r="P996">
        <v>1223.4000000000001</v>
      </c>
      <c r="Q996" t="str">
        <f>"FARMÁCIA INDIANA LJ 11 (10008)"</f>
        <v>FARMÁCIA INDIANA LJ 11 (10008)</v>
      </c>
      <c r="R996" t="str">
        <f t="shared" si="504"/>
        <v>RECEITAS COM ENTREGAS (303)</v>
      </c>
      <c r="S996">
        <v>1108</v>
      </c>
      <c r="T996">
        <v>879</v>
      </c>
      <c r="U996" t="s">
        <v>19</v>
      </c>
    </row>
    <row r="997" spans="1:21">
      <c r="A997" t="str">
        <f t="shared" si="494"/>
        <v>26/02/2025</v>
      </c>
      <c r="B997" t="str">
        <f t="shared" si="505"/>
        <v>ENTRADA</v>
      </c>
      <c r="C997" t="str">
        <f t="shared" si="495"/>
        <v>NFSE</v>
      </c>
      <c r="D997" t="str">
        <f t="shared" si="509"/>
        <v>2732</v>
      </c>
      <c r="E997" t="str">
        <f t="shared" si="497"/>
        <v>COM</v>
      </c>
      <c r="F997" t="str">
        <f t="shared" si="510"/>
        <v>FARMÁCIA INDIANA LJ 1 (10126)</v>
      </c>
      <c r="G997" t="str">
        <f t="shared" si="511"/>
        <v>Serv.Prest. 10/02/2025 a 16/02/2025 - RPS: 505 - NFSe: 2732</v>
      </c>
      <c r="H997" t="str">
        <f t="shared" si="500"/>
        <v>26/02/2025</v>
      </c>
      <c r="I997" t="str">
        <f t="shared" si="501"/>
        <v>17/02/2025</v>
      </c>
      <c r="J997" t="str">
        <f t="shared" si="502"/>
        <v>26/02/2025</v>
      </c>
      <c r="M997">
        <v>303</v>
      </c>
      <c r="N997" t="str">
        <f t="shared" si="503"/>
        <v>RECEITAS COM ENTREGAS</v>
      </c>
      <c r="P997">
        <v>372.34</v>
      </c>
      <c r="Q997" t="str">
        <f>"FARMÁCIA INDIANA LJ 14 (10009)"</f>
        <v>FARMÁCIA INDIANA LJ 14 (10009)</v>
      </c>
      <c r="R997" t="str">
        <f t="shared" si="504"/>
        <v>RECEITAS COM ENTREGAS (303)</v>
      </c>
      <c r="S997">
        <v>1108</v>
      </c>
      <c r="T997">
        <v>879</v>
      </c>
      <c r="U997" t="s">
        <v>19</v>
      </c>
    </row>
    <row r="998" spans="1:21">
      <c r="A998" t="str">
        <f t="shared" si="494"/>
        <v>26/02/2025</v>
      </c>
      <c r="B998" t="str">
        <f t="shared" si="505"/>
        <v>ENTRADA</v>
      </c>
      <c r="C998" t="str">
        <f t="shared" si="495"/>
        <v>NFSE</v>
      </c>
      <c r="D998" t="str">
        <f t="shared" si="509"/>
        <v>2732</v>
      </c>
      <c r="E998" t="str">
        <f t="shared" si="497"/>
        <v>COM</v>
      </c>
      <c r="F998" t="str">
        <f t="shared" si="510"/>
        <v>FARMÁCIA INDIANA LJ 1 (10126)</v>
      </c>
      <c r="G998" t="str">
        <f t="shared" si="511"/>
        <v>Serv.Prest. 10/02/2025 a 16/02/2025 - RPS: 505 - NFSe: 2732</v>
      </c>
      <c r="H998" t="str">
        <f t="shared" si="500"/>
        <v>26/02/2025</v>
      </c>
      <c r="I998" t="str">
        <f t="shared" si="501"/>
        <v>17/02/2025</v>
      </c>
      <c r="J998" t="str">
        <f t="shared" si="502"/>
        <v>26/02/2025</v>
      </c>
      <c r="M998">
        <v>303</v>
      </c>
      <c r="N998" t="str">
        <f t="shared" si="503"/>
        <v>RECEITAS COM ENTREGAS</v>
      </c>
      <c r="P998">
        <v>429.62</v>
      </c>
      <c r="Q998" t="str">
        <f>"FARMÁCIA INDIANA LJ 18 (10011)"</f>
        <v>FARMÁCIA INDIANA LJ 18 (10011)</v>
      </c>
      <c r="R998" t="str">
        <f t="shared" si="504"/>
        <v>RECEITAS COM ENTREGAS (303)</v>
      </c>
      <c r="S998">
        <v>1108</v>
      </c>
      <c r="T998">
        <v>879</v>
      </c>
      <c r="U998" t="s">
        <v>19</v>
      </c>
    </row>
    <row r="999" spans="1:21">
      <c r="A999" t="str">
        <f t="shared" si="494"/>
        <v>26/02/2025</v>
      </c>
      <c r="B999" t="str">
        <f t="shared" si="505"/>
        <v>ENTRADA</v>
      </c>
      <c r="C999" t="str">
        <f t="shared" si="495"/>
        <v>NFSE</v>
      </c>
      <c r="D999" t="str">
        <f t="shared" si="509"/>
        <v>2732</v>
      </c>
      <c r="E999" t="str">
        <f t="shared" si="497"/>
        <v>COM</v>
      </c>
      <c r="F999" t="str">
        <f t="shared" si="510"/>
        <v>FARMÁCIA INDIANA LJ 1 (10126)</v>
      </c>
      <c r="G999" t="str">
        <f t="shared" si="511"/>
        <v>Serv.Prest. 10/02/2025 a 16/02/2025 - RPS: 505 - NFSe: 2732</v>
      </c>
      <c r="H999" t="str">
        <f t="shared" si="500"/>
        <v>26/02/2025</v>
      </c>
      <c r="I999" t="str">
        <f t="shared" si="501"/>
        <v>17/02/2025</v>
      </c>
      <c r="J999" t="str">
        <f t="shared" si="502"/>
        <v>26/02/2025</v>
      </c>
      <c r="M999">
        <v>303</v>
      </c>
      <c r="N999" t="str">
        <f t="shared" si="503"/>
        <v>RECEITAS COM ENTREGAS</v>
      </c>
      <c r="P999">
        <v>334.15</v>
      </c>
      <c r="Q999" t="str">
        <f>"FARMÁCIA INDIANA LJ 19 (10012)"</f>
        <v>FARMÁCIA INDIANA LJ 19 (10012)</v>
      </c>
      <c r="R999" t="str">
        <f t="shared" si="504"/>
        <v>RECEITAS COM ENTREGAS (303)</v>
      </c>
      <c r="S999">
        <v>1108</v>
      </c>
      <c r="T999">
        <v>879</v>
      </c>
      <c r="U999" t="s">
        <v>19</v>
      </c>
    </row>
    <row r="1000" spans="1:21">
      <c r="A1000" t="str">
        <f t="shared" si="494"/>
        <v>26/02/2025</v>
      </c>
      <c r="B1000" t="str">
        <f t="shared" si="505"/>
        <v>ENTRADA</v>
      </c>
      <c r="C1000" t="str">
        <f t="shared" si="495"/>
        <v>NFSE</v>
      </c>
      <c r="D1000" t="str">
        <f t="shared" si="509"/>
        <v>2732</v>
      </c>
      <c r="E1000" t="str">
        <f t="shared" si="497"/>
        <v>COM</v>
      </c>
      <c r="F1000" t="str">
        <f t="shared" si="510"/>
        <v>FARMÁCIA INDIANA LJ 1 (10126)</v>
      </c>
      <c r="G1000" t="str">
        <f t="shared" si="511"/>
        <v>Serv.Prest. 10/02/2025 a 16/02/2025 - RPS: 505 - NFSe: 2732</v>
      </c>
      <c r="H1000" t="str">
        <f t="shared" si="500"/>
        <v>26/02/2025</v>
      </c>
      <c r="I1000" t="str">
        <f t="shared" si="501"/>
        <v>17/02/2025</v>
      </c>
      <c r="J1000" t="str">
        <f t="shared" si="502"/>
        <v>26/02/2025</v>
      </c>
      <c r="M1000">
        <v>303</v>
      </c>
      <c r="N1000" t="str">
        <f t="shared" si="503"/>
        <v>RECEITAS COM ENTREGAS</v>
      </c>
      <c r="P1000">
        <v>638.29</v>
      </c>
      <c r="Q1000" t="str">
        <f>"FARMÁCIA INDIANA LJ 40 (10016)"</f>
        <v>FARMÁCIA INDIANA LJ 40 (10016)</v>
      </c>
      <c r="R1000" t="str">
        <f t="shared" si="504"/>
        <v>RECEITAS COM ENTREGAS (303)</v>
      </c>
      <c r="S1000">
        <v>1108</v>
      </c>
      <c r="T1000">
        <v>879</v>
      </c>
      <c r="U1000" t="s">
        <v>19</v>
      </c>
    </row>
    <row r="1001" spans="1:21">
      <c r="A1001" t="str">
        <f t="shared" si="494"/>
        <v>26/02/2025</v>
      </c>
      <c r="B1001" t="str">
        <f t="shared" si="505"/>
        <v>ENTRADA</v>
      </c>
      <c r="C1001" t="str">
        <f t="shared" si="495"/>
        <v>NFSE</v>
      </c>
      <c r="D1001" t="str">
        <f t="shared" si="509"/>
        <v>2732</v>
      </c>
      <c r="E1001" t="str">
        <f t="shared" si="497"/>
        <v>COM</v>
      </c>
      <c r="F1001" t="str">
        <f t="shared" si="510"/>
        <v>FARMÁCIA INDIANA LJ 1 (10126)</v>
      </c>
      <c r="G1001" t="str">
        <f t="shared" si="511"/>
        <v>Serv.Prest. 10/02/2025 a 16/02/2025 - RPS: 505 - NFSe: 2732</v>
      </c>
      <c r="H1001" t="str">
        <f t="shared" si="500"/>
        <v>26/02/2025</v>
      </c>
      <c r="I1001" t="str">
        <f t="shared" si="501"/>
        <v>17/02/2025</v>
      </c>
      <c r="J1001" t="str">
        <f t="shared" si="502"/>
        <v>26/02/2025</v>
      </c>
      <c r="M1001">
        <v>303</v>
      </c>
      <c r="N1001" t="str">
        <f t="shared" si="503"/>
        <v>RECEITAS COM ENTREGAS</v>
      </c>
      <c r="P1001">
        <v>332.79</v>
      </c>
      <c r="Q1001" t="str">
        <f>"FARMÁCIA INDIANA LJ 59 (10026)"</f>
        <v>FARMÁCIA INDIANA LJ 59 (10026)</v>
      </c>
      <c r="R1001" t="str">
        <f t="shared" si="504"/>
        <v>RECEITAS COM ENTREGAS (303)</v>
      </c>
      <c r="S1001">
        <v>1108</v>
      </c>
      <c r="T1001">
        <v>879</v>
      </c>
      <c r="U1001" t="s">
        <v>19</v>
      </c>
    </row>
    <row r="1002" spans="1:21">
      <c r="A1002" t="str">
        <f t="shared" si="494"/>
        <v>26/02/2025</v>
      </c>
      <c r="B1002" t="str">
        <f t="shared" si="505"/>
        <v>ENTRADA</v>
      </c>
      <c r="C1002" t="str">
        <f t="shared" si="495"/>
        <v>NFSE</v>
      </c>
      <c r="D1002" t="str">
        <f t="shared" si="509"/>
        <v>2732</v>
      </c>
      <c r="E1002" t="str">
        <f t="shared" si="497"/>
        <v>COM</v>
      </c>
      <c r="F1002" t="str">
        <f t="shared" si="510"/>
        <v>FARMÁCIA INDIANA LJ 1 (10126)</v>
      </c>
      <c r="G1002" t="str">
        <f t="shared" si="511"/>
        <v>Serv.Prest. 10/02/2025 a 16/02/2025 - RPS: 505 - NFSe: 2732</v>
      </c>
      <c r="H1002" t="str">
        <f t="shared" si="500"/>
        <v>26/02/2025</v>
      </c>
      <c r="I1002" t="str">
        <f t="shared" si="501"/>
        <v>17/02/2025</v>
      </c>
      <c r="J1002" t="str">
        <f t="shared" si="502"/>
        <v>26/02/2025</v>
      </c>
      <c r="M1002">
        <v>303</v>
      </c>
      <c r="N1002" t="str">
        <f t="shared" si="503"/>
        <v>RECEITAS COM ENTREGAS</v>
      </c>
      <c r="P1002">
        <v>495.09</v>
      </c>
      <c r="Q1002" t="str">
        <f>"FARMÁCIA INDIANA LJ 61 (10027)"</f>
        <v>FARMÁCIA INDIANA LJ 61 (10027)</v>
      </c>
      <c r="R1002" t="str">
        <f t="shared" si="504"/>
        <v>RECEITAS COM ENTREGAS (303)</v>
      </c>
      <c r="S1002">
        <v>1108</v>
      </c>
      <c r="T1002">
        <v>879</v>
      </c>
      <c r="U1002" t="s">
        <v>19</v>
      </c>
    </row>
    <row r="1003" spans="1:21">
      <c r="A1003" t="str">
        <f t="shared" si="494"/>
        <v>26/02/2025</v>
      </c>
      <c r="B1003" t="str">
        <f t="shared" si="505"/>
        <v>ENTRADA</v>
      </c>
      <c r="C1003" t="str">
        <f t="shared" si="495"/>
        <v>NFSE</v>
      </c>
      <c r="D1003" t="str">
        <f t="shared" si="509"/>
        <v>2732</v>
      </c>
      <c r="E1003" t="str">
        <f t="shared" si="497"/>
        <v>COM</v>
      </c>
      <c r="F1003" t="str">
        <f t="shared" si="510"/>
        <v>FARMÁCIA INDIANA LJ 1 (10126)</v>
      </c>
      <c r="G1003" t="str">
        <f t="shared" si="511"/>
        <v>Serv.Prest. 10/02/2025 a 16/02/2025 - RPS: 505 - NFSe: 2732</v>
      </c>
      <c r="H1003" t="str">
        <f t="shared" si="500"/>
        <v>26/02/2025</v>
      </c>
      <c r="I1003" t="str">
        <f t="shared" si="501"/>
        <v>17/02/2025</v>
      </c>
      <c r="J1003" t="str">
        <f t="shared" si="502"/>
        <v>26/02/2025</v>
      </c>
      <c r="M1003">
        <v>303</v>
      </c>
      <c r="N1003" t="str">
        <f t="shared" si="503"/>
        <v>RECEITAS COM ENTREGAS</v>
      </c>
      <c r="P1003">
        <v>308.24</v>
      </c>
      <c r="Q1003" t="str">
        <f>"FARMÁCIA INDIANA LJ 62 (10028)"</f>
        <v>FARMÁCIA INDIANA LJ 62 (10028)</v>
      </c>
      <c r="R1003" t="str">
        <f t="shared" si="504"/>
        <v>RECEITAS COM ENTREGAS (303)</v>
      </c>
      <c r="S1003">
        <v>1108</v>
      </c>
      <c r="T1003">
        <v>879</v>
      </c>
      <c r="U1003" t="s">
        <v>19</v>
      </c>
    </row>
    <row r="1004" spans="1:21">
      <c r="A1004" t="str">
        <f t="shared" si="494"/>
        <v>26/02/2025</v>
      </c>
      <c r="B1004" t="str">
        <f t="shared" si="505"/>
        <v>ENTRADA</v>
      </c>
      <c r="C1004" t="str">
        <f t="shared" si="495"/>
        <v>NFSE</v>
      </c>
      <c r="D1004" t="str">
        <f t="shared" si="509"/>
        <v>2732</v>
      </c>
      <c r="E1004" t="str">
        <f t="shared" si="497"/>
        <v>COM</v>
      </c>
      <c r="F1004" t="str">
        <f t="shared" si="510"/>
        <v>FARMÁCIA INDIANA LJ 1 (10126)</v>
      </c>
      <c r="G1004" t="str">
        <f t="shared" si="511"/>
        <v>Serv.Prest. 10/02/2025 a 16/02/2025 - RPS: 505 - NFSe: 2732</v>
      </c>
      <c r="H1004" t="str">
        <f t="shared" si="500"/>
        <v>26/02/2025</v>
      </c>
      <c r="I1004" t="str">
        <f t="shared" si="501"/>
        <v>17/02/2025</v>
      </c>
      <c r="J1004" t="str">
        <f t="shared" si="502"/>
        <v>26/02/2025</v>
      </c>
      <c r="M1004">
        <v>303</v>
      </c>
      <c r="N1004" t="str">
        <f t="shared" si="503"/>
        <v>RECEITAS COM ENTREGAS</v>
      </c>
      <c r="P1004">
        <v>114.57</v>
      </c>
      <c r="Q1004" t="str">
        <f>"FARMÁCIA INDIANA LJ 64 (10029)"</f>
        <v>FARMÁCIA INDIANA LJ 64 (10029)</v>
      </c>
      <c r="R1004" t="str">
        <f t="shared" si="504"/>
        <v>RECEITAS COM ENTREGAS (303)</v>
      </c>
      <c r="S1004">
        <v>1108</v>
      </c>
      <c r="T1004">
        <v>879</v>
      </c>
      <c r="U1004" t="s">
        <v>19</v>
      </c>
    </row>
    <row r="1005" spans="1:21">
      <c r="A1005" t="str">
        <f t="shared" si="494"/>
        <v>26/02/2025</v>
      </c>
      <c r="B1005" t="str">
        <f t="shared" si="505"/>
        <v>ENTRADA</v>
      </c>
      <c r="C1005" t="str">
        <f t="shared" si="495"/>
        <v>NFSE</v>
      </c>
      <c r="D1005" t="str">
        <f t="shared" si="509"/>
        <v>2732</v>
      </c>
      <c r="E1005" t="str">
        <f t="shared" si="497"/>
        <v>COM</v>
      </c>
      <c r="F1005" t="str">
        <f t="shared" si="510"/>
        <v>FARMÁCIA INDIANA LJ 1 (10126)</v>
      </c>
      <c r="G1005" t="str">
        <f t="shared" si="511"/>
        <v>Serv.Prest. 10/02/2025 a 16/02/2025 - RPS: 505 - NFSe: 2732</v>
      </c>
      <c r="H1005" t="str">
        <f t="shared" si="500"/>
        <v>26/02/2025</v>
      </c>
      <c r="I1005" t="str">
        <f t="shared" si="501"/>
        <v>17/02/2025</v>
      </c>
      <c r="J1005" t="str">
        <f t="shared" si="502"/>
        <v>26/02/2025</v>
      </c>
      <c r="M1005">
        <v>303</v>
      </c>
      <c r="N1005" t="str">
        <f t="shared" si="503"/>
        <v>RECEITAS COM ENTREGAS</v>
      </c>
      <c r="P1005">
        <v>65.47</v>
      </c>
      <c r="Q1005" t="str">
        <f>"FARMÁCIA INDIANA LJ 97 (10040)"</f>
        <v>FARMÁCIA INDIANA LJ 97 (10040)</v>
      </c>
      <c r="R1005" t="str">
        <f t="shared" si="504"/>
        <v>RECEITAS COM ENTREGAS (303)</v>
      </c>
      <c r="S1005">
        <v>1108</v>
      </c>
      <c r="T1005">
        <v>879</v>
      </c>
      <c r="U1005" t="s">
        <v>19</v>
      </c>
    </row>
    <row r="1006" spans="1:21">
      <c r="A1006" t="str">
        <f t="shared" si="494"/>
        <v>26/02/2025</v>
      </c>
      <c r="B1006" t="str">
        <f t="shared" si="505"/>
        <v>ENTRADA</v>
      </c>
      <c r="C1006" t="str">
        <f t="shared" si="495"/>
        <v>NFSE</v>
      </c>
      <c r="D1006" t="str">
        <f t="shared" si="509"/>
        <v>2732</v>
      </c>
      <c r="E1006" t="str">
        <f t="shared" si="497"/>
        <v>COM</v>
      </c>
      <c r="F1006" t="str">
        <f t="shared" si="510"/>
        <v>FARMÁCIA INDIANA LJ 1 (10126)</v>
      </c>
      <c r="G1006" t="str">
        <f t="shared" si="511"/>
        <v>Serv.Prest. 10/02/2025 a 16/02/2025 - RPS: 505 - NFSe: 2732</v>
      </c>
      <c r="H1006" t="str">
        <f t="shared" si="500"/>
        <v>26/02/2025</v>
      </c>
      <c r="I1006" t="str">
        <f t="shared" si="501"/>
        <v>17/02/2025</v>
      </c>
      <c r="J1006" t="str">
        <f t="shared" si="502"/>
        <v>26/02/2025</v>
      </c>
      <c r="M1006">
        <v>303</v>
      </c>
      <c r="N1006" t="str">
        <f t="shared" si="503"/>
        <v>RECEITAS COM ENTREGAS</v>
      </c>
      <c r="P1006">
        <v>320.51</v>
      </c>
      <c r="Q1006" t="str">
        <f>"FARMÁCIA INDIANA LJ 100 (10042)"</f>
        <v>FARMÁCIA INDIANA LJ 100 (10042)</v>
      </c>
      <c r="R1006" t="str">
        <f t="shared" si="504"/>
        <v>RECEITAS COM ENTREGAS (303)</v>
      </c>
      <c r="S1006">
        <v>1108</v>
      </c>
      <c r="T1006">
        <v>879</v>
      </c>
      <c r="U1006" t="s">
        <v>19</v>
      </c>
    </row>
    <row r="1007" spans="1:21">
      <c r="A1007" t="str">
        <f t="shared" ref="A1007:A1038" si="512">("26/02/2025")</f>
        <v>26/02/2025</v>
      </c>
      <c r="B1007" t="str">
        <f t="shared" si="505"/>
        <v>ENTRADA</v>
      </c>
      <c r="C1007" t="str">
        <f t="shared" ref="C1007:C1042" si="513">"NFSE"</f>
        <v>NFSE</v>
      </c>
      <c r="D1007" t="str">
        <f t="shared" si="509"/>
        <v>2732</v>
      </c>
      <c r="E1007" t="str">
        <f t="shared" ref="E1007:E1042" si="514">"COM"</f>
        <v>COM</v>
      </c>
      <c r="F1007" t="str">
        <f t="shared" si="510"/>
        <v>FARMÁCIA INDIANA LJ 1 (10126)</v>
      </c>
      <c r="G1007" t="str">
        <f t="shared" si="511"/>
        <v>Serv.Prest. 10/02/2025 a 16/02/2025 - RPS: 505 - NFSe: 2732</v>
      </c>
      <c r="H1007" t="str">
        <f t="shared" ref="H1007:H1038" si="515">("26/02/2025")</f>
        <v>26/02/2025</v>
      </c>
      <c r="I1007" t="str">
        <f t="shared" ref="I1007:I1038" si="516">("17/02/2025")</f>
        <v>17/02/2025</v>
      </c>
      <c r="J1007" t="str">
        <f t="shared" ref="J1007:J1038" si="517">("26/02/2025")</f>
        <v>26/02/2025</v>
      </c>
      <c r="M1007">
        <v>303</v>
      </c>
      <c r="N1007" t="str">
        <f t="shared" ref="N1007:N1042" si="518">"RECEITAS COM ENTREGAS"</f>
        <v>RECEITAS COM ENTREGAS</v>
      </c>
      <c r="P1007">
        <v>531.91</v>
      </c>
      <c r="Q1007" t="str">
        <f>"FARMÁCIA INDIANA LJ 101 (10043)"</f>
        <v>FARMÁCIA INDIANA LJ 101 (10043)</v>
      </c>
      <c r="R1007" t="str">
        <f t="shared" ref="R1007:R1042" si="519">"RECEITAS COM ENTREGAS (303)"</f>
        <v>RECEITAS COM ENTREGAS (303)</v>
      </c>
      <c r="S1007">
        <v>1108</v>
      </c>
      <c r="T1007">
        <v>879</v>
      </c>
      <c r="U1007" t="s">
        <v>19</v>
      </c>
    </row>
    <row r="1008" spans="1:21">
      <c r="A1008" t="str">
        <f t="shared" si="512"/>
        <v>26/02/2025</v>
      </c>
      <c r="B1008" t="str">
        <f t="shared" si="505"/>
        <v>ENTRADA</v>
      </c>
      <c r="C1008" t="str">
        <f t="shared" si="513"/>
        <v>NFSE</v>
      </c>
      <c r="D1008" t="str">
        <f t="shared" si="509"/>
        <v>2732</v>
      </c>
      <c r="E1008" t="str">
        <f t="shared" si="514"/>
        <v>COM</v>
      </c>
      <c r="F1008" t="str">
        <f t="shared" si="510"/>
        <v>FARMÁCIA INDIANA LJ 1 (10126)</v>
      </c>
      <c r="G1008" t="str">
        <f t="shared" si="511"/>
        <v>Serv.Prest. 10/02/2025 a 16/02/2025 - RPS: 505 - NFSe: 2732</v>
      </c>
      <c r="H1008" t="str">
        <f t="shared" si="515"/>
        <v>26/02/2025</v>
      </c>
      <c r="I1008" t="str">
        <f t="shared" si="516"/>
        <v>17/02/2025</v>
      </c>
      <c r="J1008" t="str">
        <f t="shared" si="517"/>
        <v>26/02/2025</v>
      </c>
      <c r="M1008">
        <v>303</v>
      </c>
      <c r="N1008" t="str">
        <f t="shared" si="518"/>
        <v>RECEITAS COM ENTREGAS</v>
      </c>
      <c r="P1008">
        <v>70.92</v>
      </c>
      <c r="Q1008" t="str">
        <f>"FARMÁCIA INDIANA LJ 103 (10044)"</f>
        <v>FARMÁCIA INDIANA LJ 103 (10044)</v>
      </c>
      <c r="R1008" t="str">
        <f t="shared" si="519"/>
        <v>RECEITAS COM ENTREGAS (303)</v>
      </c>
      <c r="S1008">
        <v>1108</v>
      </c>
      <c r="T1008">
        <v>879</v>
      </c>
      <c r="U1008" t="s">
        <v>19</v>
      </c>
    </row>
    <row r="1009" spans="1:21">
      <c r="A1009" t="str">
        <f t="shared" si="512"/>
        <v>26/02/2025</v>
      </c>
      <c r="B1009" t="str">
        <f t="shared" si="505"/>
        <v>ENTRADA</v>
      </c>
      <c r="C1009" t="str">
        <f t="shared" si="513"/>
        <v>NFSE</v>
      </c>
      <c r="D1009" t="str">
        <f t="shared" si="509"/>
        <v>2732</v>
      </c>
      <c r="E1009" t="str">
        <f t="shared" si="514"/>
        <v>COM</v>
      </c>
      <c r="F1009" t="str">
        <f t="shared" si="510"/>
        <v>FARMÁCIA INDIANA LJ 1 (10126)</v>
      </c>
      <c r="G1009" t="str">
        <f t="shared" si="511"/>
        <v>Serv.Prest. 10/02/2025 a 16/02/2025 - RPS: 505 - NFSe: 2732</v>
      </c>
      <c r="H1009" t="str">
        <f t="shared" si="515"/>
        <v>26/02/2025</v>
      </c>
      <c r="I1009" t="str">
        <f t="shared" si="516"/>
        <v>17/02/2025</v>
      </c>
      <c r="J1009" t="str">
        <f t="shared" si="517"/>
        <v>26/02/2025</v>
      </c>
      <c r="M1009">
        <v>303</v>
      </c>
      <c r="N1009" t="str">
        <f t="shared" si="518"/>
        <v>RECEITAS COM ENTREGAS</v>
      </c>
      <c r="P1009">
        <v>152.75</v>
      </c>
      <c r="Q1009" t="str">
        <f>"FARMÁCIA INDIANA LJ 109 (10047)"</f>
        <v>FARMÁCIA INDIANA LJ 109 (10047)</v>
      </c>
      <c r="R1009" t="str">
        <f t="shared" si="519"/>
        <v>RECEITAS COM ENTREGAS (303)</v>
      </c>
      <c r="S1009">
        <v>1108</v>
      </c>
      <c r="T1009">
        <v>879</v>
      </c>
      <c r="U1009" t="s">
        <v>19</v>
      </c>
    </row>
    <row r="1010" spans="1:21">
      <c r="A1010" t="str">
        <f t="shared" si="512"/>
        <v>26/02/2025</v>
      </c>
      <c r="B1010" t="str">
        <f t="shared" si="505"/>
        <v>ENTRADA</v>
      </c>
      <c r="C1010" t="str">
        <f t="shared" si="513"/>
        <v>NFSE</v>
      </c>
      <c r="D1010" t="str">
        <f t="shared" si="509"/>
        <v>2732</v>
      </c>
      <c r="E1010" t="str">
        <f t="shared" si="514"/>
        <v>COM</v>
      </c>
      <c r="F1010" t="str">
        <f t="shared" si="510"/>
        <v>FARMÁCIA INDIANA LJ 1 (10126)</v>
      </c>
      <c r="G1010" t="str">
        <f t="shared" si="511"/>
        <v>Serv.Prest. 10/02/2025 a 16/02/2025 - RPS: 505 - NFSe: 2732</v>
      </c>
      <c r="H1010" t="str">
        <f t="shared" si="515"/>
        <v>26/02/2025</v>
      </c>
      <c r="I1010" t="str">
        <f t="shared" si="516"/>
        <v>17/02/2025</v>
      </c>
      <c r="J1010" t="str">
        <f t="shared" si="517"/>
        <v>26/02/2025</v>
      </c>
      <c r="M1010">
        <v>303</v>
      </c>
      <c r="N1010" t="str">
        <f t="shared" si="518"/>
        <v>RECEITAS COM ENTREGAS</v>
      </c>
      <c r="P1010">
        <v>481.45</v>
      </c>
      <c r="Q1010" t="str">
        <f>"FARMÁCIA INDIANA LJ 110 (10048)"</f>
        <v>FARMÁCIA INDIANA LJ 110 (10048)</v>
      </c>
      <c r="R1010" t="str">
        <f t="shared" si="519"/>
        <v>RECEITAS COM ENTREGAS (303)</v>
      </c>
      <c r="S1010">
        <v>1108</v>
      </c>
      <c r="T1010">
        <v>879</v>
      </c>
      <c r="U1010" t="s">
        <v>19</v>
      </c>
    </row>
    <row r="1011" spans="1:21">
      <c r="A1011" t="str">
        <f t="shared" si="512"/>
        <v>26/02/2025</v>
      </c>
      <c r="B1011" t="str">
        <f t="shared" si="505"/>
        <v>ENTRADA</v>
      </c>
      <c r="C1011" t="str">
        <f t="shared" si="513"/>
        <v>NFSE</v>
      </c>
      <c r="D1011" t="str">
        <f t="shared" si="509"/>
        <v>2732</v>
      </c>
      <c r="E1011" t="str">
        <f t="shared" si="514"/>
        <v>COM</v>
      </c>
      <c r="F1011" t="str">
        <f t="shared" si="510"/>
        <v>FARMÁCIA INDIANA LJ 1 (10126)</v>
      </c>
      <c r="G1011" t="str">
        <f t="shared" si="511"/>
        <v>Serv.Prest. 10/02/2025 a 16/02/2025 - RPS: 505 - NFSe: 2732</v>
      </c>
      <c r="H1011" t="str">
        <f t="shared" si="515"/>
        <v>26/02/2025</v>
      </c>
      <c r="I1011" t="str">
        <f t="shared" si="516"/>
        <v>17/02/2025</v>
      </c>
      <c r="J1011" t="str">
        <f t="shared" si="517"/>
        <v>26/02/2025</v>
      </c>
      <c r="M1011">
        <v>303</v>
      </c>
      <c r="N1011" t="str">
        <f t="shared" si="518"/>
        <v>RECEITAS COM ENTREGAS</v>
      </c>
      <c r="P1011">
        <v>64.099999999999994</v>
      </c>
      <c r="Q1011" t="str">
        <f>"FARMÁCIA INDIANA LJ 111 (10049)"</f>
        <v>FARMÁCIA INDIANA LJ 111 (10049)</v>
      </c>
      <c r="R1011" t="str">
        <f t="shared" si="519"/>
        <v>RECEITAS COM ENTREGAS (303)</v>
      </c>
      <c r="S1011">
        <v>1108</v>
      </c>
      <c r="T1011">
        <v>879</v>
      </c>
      <c r="U1011" t="s">
        <v>19</v>
      </c>
    </row>
    <row r="1012" spans="1:21">
      <c r="A1012" t="str">
        <f t="shared" si="512"/>
        <v>26/02/2025</v>
      </c>
      <c r="B1012" t="str">
        <f t="shared" si="505"/>
        <v>ENTRADA</v>
      </c>
      <c r="C1012" t="str">
        <f t="shared" si="513"/>
        <v>NFSE</v>
      </c>
      <c r="D1012" t="str">
        <f t="shared" si="509"/>
        <v>2732</v>
      </c>
      <c r="E1012" t="str">
        <f t="shared" si="514"/>
        <v>COM</v>
      </c>
      <c r="F1012" t="str">
        <f t="shared" si="510"/>
        <v>FARMÁCIA INDIANA LJ 1 (10126)</v>
      </c>
      <c r="G1012" t="str">
        <f t="shared" si="511"/>
        <v>Serv.Prest. 10/02/2025 a 16/02/2025 - RPS: 505 - NFSe: 2732</v>
      </c>
      <c r="H1012" t="str">
        <f t="shared" si="515"/>
        <v>26/02/2025</v>
      </c>
      <c r="I1012" t="str">
        <f t="shared" si="516"/>
        <v>17/02/2025</v>
      </c>
      <c r="J1012" t="str">
        <f t="shared" si="517"/>
        <v>26/02/2025</v>
      </c>
      <c r="M1012">
        <v>303</v>
      </c>
      <c r="N1012" t="str">
        <f t="shared" si="518"/>
        <v>RECEITAS COM ENTREGAS</v>
      </c>
      <c r="P1012">
        <v>126.84</v>
      </c>
      <c r="Q1012" t="str">
        <f>"FARMÁCIA INDIANA LJ 112 (10050)"</f>
        <v>FARMÁCIA INDIANA LJ 112 (10050)</v>
      </c>
      <c r="R1012" t="str">
        <f t="shared" si="519"/>
        <v>RECEITAS COM ENTREGAS (303)</v>
      </c>
      <c r="S1012">
        <v>1108</v>
      </c>
      <c r="T1012">
        <v>879</v>
      </c>
      <c r="U1012" t="s">
        <v>19</v>
      </c>
    </row>
    <row r="1013" spans="1:21">
      <c r="A1013" t="str">
        <f t="shared" si="512"/>
        <v>26/02/2025</v>
      </c>
      <c r="B1013" t="str">
        <f t="shared" si="505"/>
        <v>ENTRADA</v>
      </c>
      <c r="C1013" t="str">
        <f t="shared" si="513"/>
        <v>NFSE</v>
      </c>
      <c r="D1013" t="str">
        <f t="shared" si="509"/>
        <v>2732</v>
      </c>
      <c r="E1013" t="str">
        <f t="shared" si="514"/>
        <v>COM</v>
      </c>
      <c r="F1013" t="str">
        <f t="shared" si="510"/>
        <v>FARMÁCIA INDIANA LJ 1 (10126)</v>
      </c>
      <c r="G1013" t="str">
        <f t="shared" si="511"/>
        <v>Serv.Prest. 10/02/2025 a 16/02/2025 - RPS: 505 - NFSe: 2732</v>
      </c>
      <c r="H1013" t="str">
        <f t="shared" si="515"/>
        <v>26/02/2025</v>
      </c>
      <c r="I1013" t="str">
        <f t="shared" si="516"/>
        <v>17/02/2025</v>
      </c>
      <c r="J1013" t="str">
        <f t="shared" si="517"/>
        <v>26/02/2025</v>
      </c>
      <c r="M1013">
        <v>303</v>
      </c>
      <c r="N1013" t="str">
        <f t="shared" si="518"/>
        <v>RECEITAS COM ENTREGAS</v>
      </c>
      <c r="P1013">
        <v>126.84</v>
      </c>
      <c r="Q1013" t="str">
        <f>"FARMÁCIA INDIANA LJ 116 (10051)"</f>
        <v>FARMÁCIA INDIANA LJ 116 (10051)</v>
      </c>
      <c r="R1013" t="str">
        <f t="shared" si="519"/>
        <v>RECEITAS COM ENTREGAS (303)</v>
      </c>
      <c r="S1013">
        <v>1108</v>
      </c>
      <c r="T1013">
        <v>879</v>
      </c>
      <c r="U1013" t="s">
        <v>19</v>
      </c>
    </row>
    <row r="1014" spans="1:21">
      <c r="A1014" t="str">
        <f t="shared" si="512"/>
        <v>26/02/2025</v>
      </c>
      <c r="B1014" t="str">
        <f t="shared" si="505"/>
        <v>ENTRADA</v>
      </c>
      <c r="C1014" t="str">
        <f t="shared" si="513"/>
        <v>NFSE</v>
      </c>
      <c r="D1014" t="str">
        <f t="shared" si="509"/>
        <v>2732</v>
      </c>
      <c r="E1014" t="str">
        <f t="shared" si="514"/>
        <v>COM</v>
      </c>
      <c r="F1014" t="str">
        <f t="shared" si="510"/>
        <v>FARMÁCIA INDIANA LJ 1 (10126)</v>
      </c>
      <c r="G1014" t="str">
        <f t="shared" si="511"/>
        <v>Serv.Prest. 10/02/2025 a 16/02/2025 - RPS: 505 - NFSe: 2732</v>
      </c>
      <c r="H1014" t="str">
        <f t="shared" si="515"/>
        <v>26/02/2025</v>
      </c>
      <c r="I1014" t="str">
        <f t="shared" si="516"/>
        <v>17/02/2025</v>
      </c>
      <c r="J1014" t="str">
        <f t="shared" si="517"/>
        <v>26/02/2025</v>
      </c>
      <c r="M1014">
        <v>303</v>
      </c>
      <c r="N1014" t="str">
        <f t="shared" si="518"/>
        <v>RECEITAS COM ENTREGAS</v>
      </c>
      <c r="P1014">
        <v>126.84</v>
      </c>
      <c r="Q1014" t="str">
        <f>"FARMÁCIA INDIANA LJ 118 (10052)"</f>
        <v>FARMÁCIA INDIANA LJ 118 (10052)</v>
      </c>
      <c r="R1014" t="str">
        <f t="shared" si="519"/>
        <v>RECEITAS COM ENTREGAS (303)</v>
      </c>
      <c r="S1014">
        <v>1108</v>
      </c>
      <c r="T1014">
        <v>879</v>
      </c>
      <c r="U1014" t="s">
        <v>19</v>
      </c>
    </row>
    <row r="1015" spans="1:21">
      <c r="A1015" t="str">
        <f t="shared" si="512"/>
        <v>26/02/2025</v>
      </c>
      <c r="B1015" t="str">
        <f t="shared" si="505"/>
        <v>ENTRADA</v>
      </c>
      <c r="C1015" t="str">
        <f t="shared" si="513"/>
        <v>NFSE</v>
      </c>
      <c r="D1015" t="str">
        <f t="shared" si="509"/>
        <v>2732</v>
      </c>
      <c r="E1015" t="str">
        <f t="shared" si="514"/>
        <v>COM</v>
      </c>
      <c r="F1015" t="str">
        <f t="shared" si="510"/>
        <v>FARMÁCIA INDIANA LJ 1 (10126)</v>
      </c>
      <c r="G1015" t="str">
        <f t="shared" si="511"/>
        <v>Serv.Prest. 10/02/2025 a 16/02/2025 - RPS: 505 - NFSe: 2732</v>
      </c>
      <c r="H1015" t="str">
        <f t="shared" si="515"/>
        <v>26/02/2025</v>
      </c>
      <c r="I1015" t="str">
        <f t="shared" si="516"/>
        <v>17/02/2025</v>
      </c>
      <c r="J1015" t="str">
        <f t="shared" si="517"/>
        <v>26/02/2025</v>
      </c>
      <c r="M1015">
        <v>303</v>
      </c>
      <c r="N1015" t="str">
        <f t="shared" si="518"/>
        <v>RECEITAS COM ENTREGAS</v>
      </c>
      <c r="P1015">
        <v>126.84</v>
      </c>
      <c r="Q1015" t="str">
        <f>"FARMÁCIA INDIANA LJ 121 (10054)"</f>
        <v>FARMÁCIA INDIANA LJ 121 (10054)</v>
      </c>
      <c r="R1015" t="str">
        <f t="shared" si="519"/>
        <v>RECEITAS COM ENTREGAS (303)</v>
      </c>
      <c r="S1015">
        <v>1108</v>
      </c>
      <c r="T1015">
        <v>879</v>
      </c>
      <c r="U1015" t="s">
        <v>19</v>
      </c>
    </row>
    <row r="1016" spans="1:21">
      <c r="A1016" t="str">
        <f t="shared" si="512"/>
        <v>26/02/2025</v>
      </c>
      <c r="B1016" t="str">
        <f t="shared" si="505"/>
        <v>ENTRADA</v>
      </c>
      <c r="C1016" t="str">
        <f t="shared" si="513"/>
        <v>NFSE</v>
      </c>
      <c r="D1016" t="str">
        <f t="shared" si="509"/>
        <v>2732</v>
      </c>
      <c r="E1016" t="str">
        <f t="shared" si="514"/>
        <v>COM</v>
      </c>
      <c r="F1016" t="str">
        <f t="shared" si="510"/>
        <v>FARMÁCIA INDIANA LJ 1 (10126)</v>
      </c>
      <c r="G1016" t="str">
        <f t="shared" si="511"/>
        <v>Serv.Prest. 10/02/2025 a 16/02/2025 - RPS: 505 - NFSe: 2732</v>
      </c>
      <c r="H1016" t="str">
        <f t="shared" si="515"/>
        <v>26/02/2025</v>
      </c>
      <c r="I1016" t="str">
        <f t="shared" si="516"/>
        <v>17/02/2025</v>
      </c>
      <c r="J1016" t="str">
        <f t="shared" si="517"/>
        <v>26/02/2025</v>
      </c>
      <c r="M1016">
        <v>303</v>
      </c>
      <c r="N1016" t="str">
        <f t="shared" si="518"/>
        <v>RECEITAS COM ENTREGAS</v>
      </c>
      <c r="P1016">
        <v>126.84</v>
      </c>
      <c r="Q1016" t="str">
        <f>"FARMÁCIA INDIANA LJ 128 (10057)"</f>
        <v>FARMÁCIA INDIANA LJ 128 (10057)</v>
      </c>
      <c r="R1016" t="str">
        <f t="shared" si="519"/>
        <v>RECEITAS COM ENTREGAS (303)</v>
      </c>
      <c r="S1016">
        <v>1108</v>
      </c>
      <c r="T1016">
        <v>879</v>
      </c>
      <c r="U1016" t="s">
        <v>19</v>
      </c>
    </row>
    <row r="1017" spans="1:21">
      <c r="A1017" t="str">
        <f t="shared" si="512"/>
        <v>26/02/2025</v>
      </c>
      <c r="B1017" t="str">
        <f t="shared" si="505"/>
        <v>ENTRADA</v>
      </c>
      <c r="C1017" t="str">
        <f t="shared" si="513"/>
        <v>NFSE</v>
      </c>
      <c r="D1017" t="str">
        <f t="shared" si="509"/>
        <v>2732</v>
      </c>
      <c r="E1017" t="str">
        <f t="shared" si="514"/>
        <v>COM</v>
      </c>
      <c r="F1017" t="str">
        <f t="shared" si="510"/>
        <v>FARMÁCIA INDIANA LJ 1 (10126)</v>
      </c>
      <c r="G1017" t="str">
        <f t="shared" si="511"/>
        <v>Serv.Prest. 10/02/2025 a 16/02/2025 - RPS: 505 - NFSe: 2732</v>
      </c>
      <c r="H1017" t="str">
        <f t="shared" si="515"/>
        <v>26/02/2025</v>
      </c>
      <c r="I1017" t="str">
        <f t="shared" si="516"/>
        <v>17/02/2025</v>
      </c>
      <c r="J1017" t="str">
        <f t="shared" si="517"/>
        <v>26/02/2025</v>
      </c>
      <c r="M1017">
        <v>303</v>
      </c>
      <c r="N1017" t="str">
        <f t="shared" si="518"/>
        <v>RECEITAS COM ENTREGAS</v>
      </c>
      <c r="P1017">
        <v>537.37</v>
      </c>
      <c r="Q1017" t="str">
        <f>"FARMÁCIA INDIANA LJ 132 (10059)"</f>
        <v>FARMÁCIA INDIANA LJ 132 (10059)</v>
      </c>
      <c r="R1017" t="str">
        <f t="shared" si="519"/>
        <v>RECEITAS COM ENTREGAS (303)</v>
      </c>
      <c r="S1017">
        <v>1108</v>
      </c>
      <c r="T1017">
        <v>879</v>
      </c>
      <c r="U1017" t="s">
        <v>19</v>
      </c>
    </row>
    <row r="1018" spans="1:21">
      <c r="A1018" t="str">
        <f t="shared" si="512"/>
        <v>26/02/2025</v>
      </c>
      <c r="B1018" t="str">
        <f t="shared" si="505"/>
        <v>ENTRADA</v>
      </c>
      <c r="C1018" t="str">
        <f t="shared" si="513"/>
        <v>NFSE</v>
      </c>
      <c r="D1018" t="str">
        <f t="shared" si="509"/>
        <v>2732</v>
      </c>
      <c r="E1018" t="str">
        <f t="shared" si="514"/>
        <v>COM</v>
      </c>
      <c r="F1018" t="str">
        <f t="shared" si="510"/>
        <v>FARMÁCIA INDIANA LJ 1 (10126)</v>
      </c>
      <c r="G1018" t="str">
        <f t="shared" si="511"/>
        <v>Serv.Prest. 10/02/2025 a 16/02/2025 - RPS: 505 - NFSe: 2732</v>
      </c>
      <c r="H1018" t="str">
        <f t="shared" si="515"/>
        <v>26/02/2025</v>
      </c>
      <c r="I1018" t="str">
        <f t="shared" si="516"/>
        <v>17/02/2025</v>
      </c>
      <c r="J1018" t="str">
        <f t="shared" si="517"/>
        <v>26/02/2025</v>
      </c>
      <c r="M1018">
        <v>303</v>
      </c>
      <c r="N1018" t="str">
        <f t="shared" si="518"/>
        <v>RECEITAS COM ENTREGAS</v>
      </c>
      <c r="P1018">
        <v>28.64</v>
      </c>
      <c r="Q1018" t="str">
        <f>"FARMÁCIA INDIANA LJ 140 (10064)"</f>
        <v>FARMÁCIA INDIANA LJ 140 (10064)</v>
      </c>
      <c r="R1018" t="str">
        <f t="shared" si="519"/>
        <v>RECEITAS COM ENTREGAS (303)</v>
      </c>
      <c r="S1018">
        <v>1108</v>
      </c>
      <c r="T1018">
        <v>879</v>
      </c>
      <c r="U1018" t="s">
        <v>19</v>
      </c>
    </row>
    <row r="1019" spans="1:21">
      <c r="A1019" t="str">
        <f t="shared" si="512"/>
        <v>26/02/2025</v>
      </c>
      <c r="B1019" t="str">
        <f t="shared" si="505"/>
        <v>ENTRADA</v>
      </c>
      <c r="C1019" t="str">
        <f t="shared" si="513"/>
        <v>NFSE</v>
      </c>
      <c r="D1019" t="str">
        <f t="shared" si="509"/>
        <v>2732</v>
      </c>
      <c r="E1019" t="str">
        <f t="shared" si="514"/>
        <v>COM</v>
      </c>
      <c r="F1019" t="str">
        <f t="shared" si="510"/>
        <v>FARMÁCIA INDIANA LJ 1 (10126)</v>
      </c>
      <c r="G1019" t="str">
        <f t="shared" si="511"/>
        <v>Serv.Prest. 10/02/2025 a 16/02/2025 - RPS: 505 - NFSe: 2732</v>
      </c>
      <c r="H1019" t="str">
        <f t="shared" si="515"/>
        <v>26/02/2025</v>
      </c>
      <c r="I1019" t="str">
        <f t="shared" si="516"/>
        <v>17/02/2025</v>
      </c>
      <c r="J1019" t="str">
        <f t="shared" si="517"/>
        <v>26/02/2025</v>
      </c>
      <c r="M1019">
        <v>303</v>
      </c>
      <c r="N1019" t="str">
        <f t="shared" si="518"/>
        <v>RECEITAS COM ENTREGAS</v>
      </c>
      <c r="P1019">
        <v>20.46</v>
      </c>
      <c r="Q1019" t="str">
        <f>"FARMÁCIA INDIANA LJ 141 (10065)"</f>
        <v>FARMÁCIA INDIANA LJ 141 (10065)</v>
      </c>
      <c r="R1019" t="str">
        <f t="shared" si="519"/>
        <v>RECEITAS COM ENTREGAS (303)</v>
      </c>
      <c r="S1019">
        <v>1108</v>
      </c>
      <c r="T1019">
        <v>879</v>
      </c>
      <c r="U1019" t="s">
        <v>19</v>
      </c>
    </row>
    <row r="1020" spans="1:21">
      <c r="A1020" t="str">
        <f t="shared" si="512"/>
        <v>26/02/2025</v>
      </c>
      <c r="B1020" t="str">
        <f t="shared" si="505"/>
        <v>ENTRADA</v>
      </c>
      <c r="C1020" t="str">
        <f t="shared" si="513"/>
        <v>NFSE</v>
      </c>
      <c r="D1020" t="str">
        <f t="shared" si="509"/>
        <v>2732</v>
      </c>
      <c r="E1020" t="str">
        <f t="shared" si="514"/>
        <v>COM</v>
      </c>
      <c r="F1020" t="str">
        <f t="shared" si="510"/>
        <v>FARMÁCIA INDIANA LJ 1 (10126)</v>
      </c>
      <c r="G1020" t="str">
        <f t="shared" si="511"/>
        <v>Serv.Prest. 10/02/2025 a 16/02/2025 - RPS: 505 - NFSe: 2732</v>
      </c>
      <c r="H1020" t="str">
        <f t="shared" si="515"/>
        <v>26/02/2025</v>
      </c>
      <c r="I1020" t="str">
        <f t="shared" si="516"/>
        <v>17/02/2025</v>
      </c>
      <c r="J1020" t="str">
        <f t="shared" si="517"/>
        <v>26/02/2025</v>
      </c>
      <c r="M1020">
        <v>303</v>
      </c>
      <c r="N1020" t="str">
        <f t="shared" si="518"/>
        <v>RECEITAS COM ENTREGAS</v>
      </c>
      <c r="P1020">
        <v>656.02</v>
      </c>
      <c r="Q1020" t="str">
        <f>"FARMÁCIA INDIANA LJ 142 (10066)"</f>
        <v>FARMÁCIA INDIANA LJ 142 (10066)</v>
      </c>
      <c r="R1020" t="str">
        <f t="shared" si="519"/>
        <v>RECEITAS COM ENTREGAS (303)</v>
      </c>
      <c r="S1020">
        <v>1108</v>
      </c>
      <c r="T1020">
        <v>879</v>
      </c>
      <c r="U1020" t="s">
        <v>19</v>
      </c>
    </row>
    <row r="1021" spans="1:21">
      <c r="A1021" t="str">
        <f t="shared" si="512"/>
        <v>26/02/2025</v>
      </c>
      <c r="B1021" t="str">
        <f t="shared" si="505"/>
        <v>ENTRADA</v>
      </c>
      <c r="C1021" t="str">
        <f t="shared" si="513"/>
        <v>NFSE</v>
      </c>
      <c r="D1021" t="str">
        <f t="shared" si="509"/>
        <v>2732</v>
      </c>
      <c r="E1021" t="str">
        <f t="shared" si="514"/>
        <v>COM</v>
      </c>
      <c r="F1021" t="str">
        <f t="shared" si="510"/>
        <v>FARMÁCIA INDIANA LJ 1 (10126)</v>
      </c>
      <c r="G1021" t="str">
        <f t="shared" si="511"/>
        <v>Serv.Prest. 10/02/2025 a 16/02/2025 - RPS: 505 - NFSe: 2732</v>
      </c>
      <c r="H1021" t="str">
        <f t="shared" si="515"/>
        <v>26/02/2025</v>
      </c>
      <c r="I1021" t="str">
        <f t="shared" si="516"/>
        <v>17/02/2025</v>
      </c>
      <c r="J1021" t="str">
        <f t="shared" si="517"/>
        <v>26/02/2025</v>
      </c>
      <c r="M1021">
        <v>303</v>
      </c>
      <c r="N1021" t="str">
        <f t="shared" si="518"/>
        <v>RECEITAS COM ENTREGAS</v>
      </c>
      <c r="P1021">
        <v>65.47</v>
      </c>
      <c r="Q1021" t="str">
        <f>"FARMÁCIA INDIANA LJ 143 (10067)"</f>
        <v>FARMÁCIA INDIANA LJ 143 (10067)</v>
      </c>
      <c r="R1021" t="str">
        <f t="shared" si="519"/>
        <v>RECEITAS COM ENTREGAS (303)</v>
      </c>
      <c r="S1021">
        <v>1108</v>
      </c>
      <c r="T1021">
        <v>879</v>
      </c>
      <c r="U1021" t="s">
        <v>19</v>
      </c>
    </row>
    <row r="1022" spans="1:21">
      <c r="A1022" t="str">
        <f t="shared" si="512"/>
        <v>26/02/2025</v>
      </c>
      <c r="B1022" t="str">
        <f t="shared" si="505"/>
        <v>ENTRADA</v>
      </c>
      <c r="C1022" t="str">
        <f t="shared" si="513"/>
        <v>NFSE</v>
      </c>
      <c r="D1022" t="str">
        <f t="shared" si="509"/>
        <v>2732</v>
      </c>
      <c r="E1022" t="str">
        <f t="shared" si="514"/>
        <v>COM</v>
      </c>
      <c r="F1022" t="str">
        <f t="shared" si="510"/>
        <v>FARMÁCIA INDIANA LJ 1 (10126)</v>
      </c>
      <c r="G1022" t="str">
        <f t="shared" si="511"/>
        <v>Serv.Prest. 10/02/2025 a 16/02/2025 - RPS: 505 - NFSe: 2732</v>
      </c>
      <c r="H1022" t="str">
        <f t="shared" si="515"/>
        <v>26/02/2025</v>
      </c>
      <c r="I1022" t="str">
        <f t="shared" si="516"/>
        <v>17/02/2025</v>
      </c>
      <c r="J1022" t="str">
        <f t="shared" si="517"/>
        <v>26/02/2025</v>
      </c>
      <c r="M1022">
        <v>303</v>
      </c>
      <c r="N1022" t="str">
        <f t="shared" si="518"/>
        <v>RECEITAS COM ENTREGAS</v>
      </c>
      <c r="P1022">
        <v>151.38999999999999</v>
      </c>
      <c r="Q1022" t="str">
        <f>"FARMÁCIA INDIANA LJ 152 (10069)"</f>
        <v>FARMÁCIA INDIANA LJ 152 (10069)</v>
      </c>
      <c r="R1022" t="str">
        <f t="shared" si="519"/>
        <v>RECEITAS COM ENTREGAS (303)</v>
      </c>
      <c r="S1022">
        <v>1108</v>
      </c>
      <c r="T1022">
        <v>879</v>
      </c>
      <c r="U1022" t="s">
        <v>19</v>
      </c>
    </row>
    <row r="1023" spans="1:21">
      <c r="A1023" t="str">
        <f t="shared" si="512"/>
        <v>26/02/2025</v>
      </c>
      <c r="B1023" t="str">
        <f t="shared" si="505"/>
        <v>ENTRADA</v>
      </c>
      <c r="C1023" t="str">
        <f t="shared" si="513"/>
        <v>NFSE</v>
      </c>
      <c r="D1023" t="str">
        <f t="shared" si="509"/>
        <v>2732</v>
      </c>
      <c r="E1023" t="str">
        <f t="shared" si="514"/>
        <v>COM</v>
      </c>
      <c r="F1023" t="str">
        <f t="shared" si="510"/>
        <v>FARMÁCIA INDIANA LJ 1 (10126)</v>
      </c>
      <c r="G1023" t="str">
        <f t="shared" si="511"/>
        <v>Serv.Prest. 10/02/2025 a 16/02/2025 - RPS: 505 - NFSe: 2732</v>
      </c>
      <c r="H1023" t="str">
        <f t="shared" si="515"/>
        <v>26/02/2025</v>
      </c>
      <c r="I1023" t="str">
        <f t="shared" si="516"/>
        <v>17/02/2025</v>
      </c>
      <c r="J1023" t="str">
        <f t="shared" si="517"/>
        <v>26/02/2025</v>
      </c>
      <c r="M1023">
        <v>303</v>
      </c>
      <c r="N1023" t="str">
        <f t="shared" si="518"/>
        <v>RECEITAS COM ENTREGAS</v>
      </c>
      <c r="P1023">
        <v>39.549999999999997</v>
      </c>
      <c r="Q1023" t="str">
        <f>"FARMÁCIA INDIANA LJ 154 (10070)"</f>
        <v>FARMÁCIA INDIANA LJ 154 (10070)</v>
      </c>
      <c r="R1023" t="str">
        <f t="shared" si="519"/>
        <v>RECEITAS COM ENTREGAS (303)</v>
      </c>
      <c r="S1023">
        <v>1108</v>
      </c>
      <c r="T1023">
        <v>879</v>
      </c>
      <c r="U1023" t="s">
        <v>19</v>
      </c>
    </row>
    <row r="1024" spans="1:21">
      <c r="A1024" t="str">
        <f t="shared" si="512"/>
        <v>26/02/2025</v>
      </c>
      <c r="B1024" t="str">
        <f t="shared" si="505"/>
        <v>ENTRADA</v>
      </c>
      <c r="C1024" t="str">
        <f t="shared" si="513"/>
        <v>NFSE</v>
      </c>
      <c r="D1024" t="str">
        <f t="shared" si="509"/>
        <v>2732</v>
      </c>
      <c r="E1024" t="str">
        <f t="shared" si="514"/>
        <v>COM</v>
      </c>
      <c r="F1024" t="str">
        <f t="shared" si="510"/>
        <v>FARMÁCIA INDIANA LJ 1 (10126)</v>
      </c>
      <c r="G1024" t="str">
        <f t="shared" si="511"/>
        <v>Serv.Prest. 10/02/2025 a 16/02/2025 - RPS: 505 - NFSe: 2732</v>
      </c>
      <c r="H1024" t="str">
        <f t="shared" si="515"/>
        <v>26/02/2025</v>
      </c>
      <c r="I1024" t="str">
        <f t="shared" si="516"/>
        <v>17/02/2025</v>
      </c>
      <c r="J1024" t="str">
        <f t="shared" si="517"/>
        <v>26/02/2025</v>
      </c>
      <c r="M1024">
        <v>303</v>
      </c>
      <c r="N1024" t="str">
        <f t="shared" si="518"/>
        <v>RECEITAS COM ENTREGAS</v>
      </c>
      <c r="P1024">
        <v>342.33</v>
      </c>
      <c r="Q1024" t="str">
        <f>"FARMÁCIA INDIANA LJ 171 (10074)"</f>
        <v>FARMÁCIA INDIANA LJ 171 (10074)</v>
      </c>
      <c r="R1024" t="str">
        <f t="shared" si="519"/>
        <v>RECEITAS COM ENTREGAS (303)</v>
      </c>
      <c r="S1024">
        <v>1108</v>
      </c>
      <c r="T1024">
        <v>879</v>
      </c>
      <c r="U1024" t="s">
        <v>19</v>
      </c>
    </row>
    <row r="1025" spans="1:21">
      <c r="A1025" t="str">
        <f t="shared" si="512"/>
        <v>26/02/2025</v>
      </c>
      <c r="B1025" t="str">
        <f t="shared" si="505"/>
        <v>ENTRADA</v>
      </c>
      <c r="C1025" t="str">
        <f t="shared" si="513"/>
        <v>NFSE</v>
      </c>
      <c r="D1025" t="str">
        <f t="shared" si="509"/>
        <v>2732</v>
      </c>
      <c r="E1025" t="str">
        <f t="shared" si="514"/>
        <v>COM</v>
      </c>
      <c r="F1025" t="str">
        <f t="shared" si="510"/>
        <v>FARMÁCIA INDIANA LJ 1 (10126)</v>
      </c>
      <c r="G1025" t="str">
        <f t="shared" si="511"/>
        <v>Serv.Prest. 10/02/2025 a 16/02/2025 - RPS: 505 - NFSe: 2732</v>
      </c>
      <c r="H1025" t="str">
        <f t="shared" si="515"/>
        <v>26/02/2025</v>
      </c>
      <c r="I1025" t="str">
        <f t="shared" si="516"/>
        <v>17/02/2025</v>
      </c>
      <c r="J1025" t="str">
        <f t="shared" si="517"/>
        <v>26/02/2025</v>
      </c>
      <c r="M1025">
        <v>303</v>
      </c>
      <c r="N1025" t="str">
        <f t="shared" si="518"/>
        <v>RECEITAS COM ENTREGAS</v>
      </c>
      <c r="P1025">
        <v>130.93</v>
      </c>
      <c r="Q1025" t="str">
        <f>"FARMÁCIA INDIANA LJ 175 (10076)"</f>
        <v>FARMÁCIA INDIANA LJ 175 (10076)</v>
      </c>
      <c r="R1025" t="str">
        <f t="shared" si="519"/>
        <v>RECEITAS COM ENTREGAS (303)</v>
      </c>
      <c r="S1025">
        <v>1108</v>
      </c>
      <c r="T1025">
        <v>879</v>
      </c>
      <c r="U1025" t="s">
        <v>19</v>
      </c>
    </row>
    <row r="1026" spans="1:21">
      <c r="A1026" t="str">
        <f t="shared" si="512"/>
        <v>26/02/2025</v>
      </c>
      <c r="B1026" t="str">
        <f t="shared" si="505"/>
        <v>ENTRADA</v>
      </c>
      <c r="C1026" t="str">
        <f t="shared" si="513"/>
        <v>NFSE</v>
      </c>
      <c r="D1026" t="str">
        <f t="shared" si="509"/>
        <v>2732</v>
      </c>
      <c r="E1026" t="str">
        <f t="shared" si="514"/>
        <v>COM</v>
      </c>
      <c r="F1026" t="str">
        <f t="shared" si="510"/>
        <v>FARMÁCIA INDIANA LJ 1 (10126)</v>
      </c>
      <c r="G1026" t="str">
        <f t="shared" si="511"/>
        <v>Serv.Prest. 10/02/2025 a 16/02/2025 - RPS: 505 - NFSe: 2732</v>
      </c>
      <c r="H1026" t="str">
        <f t="shared" si="515"/>
        <v>26/02/2025</v>
      </c>
      <c r="I1026" t="str">
        <f t="shared" si="516"/>
        <v>17/02/2025</v>
      </c>
      <c r="J1026" t="str">
        <f t="shared" si="517"/>
        <v>26/02/2025</v>
      </c>
      <c r="M1026">
        <v>303</v>
      </c>
      <c r="N1026" t="str">
        <f t="shared" si="518"/>
        <v>RECEITAS COM ENTREGAS</v>
      </c>
      <c r="P1026">
        <v>114.57</v>
      </c>
      <c r="Q1026" t="str">
        <f>"FARMÁCIA INDIANA LJ 178 (10077)"</f>
        <v>FARMÁCIA INDIANA LJ 178 (10077)</v>
      </c>
      <c r="R1026" t="str">
        <f t="shared" si="519"/>
        <v>RECEITAS COM ENTREGAS (303)</v>
      </c>
      <c r="S1026">
        <v>1108</v>
      </c>
      <c r="T1026">
        <v>879</v>
      </c>
      <c r="U1026" t="s">
        <v>19</v>
      </c>
    </row>
    <row r="1027" spans="1:21">
      <c r="A1027" t="str">
        <f t="shared" si="512"/>
        <v>26/02/2025</v>
      </c>
      <c r="B1027" t="str">
        <f t="shared" si="505"/>
        <v>ENTRADA</v>
      </c>
      <c r="C1027" t="str">
        <f t="shared" si="513"/>
        <v>NFSE</v>
      </c>
      <c r="D1027" t="str">
        <f t="shared" si="509"/>
        <v>2732</v>
      </c>
      <c r="E1027" t="str">
        <f t="shared" si="514"/>
        <v>COM</v>
      </c>
      <c r="F1027" t="str">
        <f t="shared" si="510"/>
        <v>FARMÁCIA INDIANA LJ 1 (10126)</v>
      </c>
      <c r="G1027" t="str">
        <f t="shared" si="511"/>
        <v>Serv.Prest. 10/02/2025 a 16/02/2025 - RPS: 505 - NFSe: 2732</v>
      </c>
      <c r="H1027" t="str">
        <f t="shared" si="515"/>
        <v>26/02/2025</v>
      </c>
      <c r="I1027" t="str">
        <f t="shared" si="516"/>
        <v>17/02/2025</v>
      </c>
      <c r="J1027" t="str">
        <f t="shared" si="517"/>
        <v>26/02/2025</v>
      </c>
      <c r="M1027">
        <v>303</v>
      </c>
      <c r="N1027" t="str">
        <f t="shared" si="518"/>
        <v>RECEITAS COM ENTREGAS</v>
      </c>
      <c r="P1027">
        <v>80.47</v>
      </c>
      <c r="Q1027" t="str">
        <f>"FARMÁCIA INDIANA LJ 182 (10079)"</f>
        <v>FARMÁCIA INDIANA LJ 182 (10079)</v>
      </c>
      <c r="R1027" t="str">
        <f t="shared" si="519"/>
        <v>RECEITAS COM ENTREGAS (303)</v>
      </c>
      <c r="S1027">
        <v>1108</v>
      </c>
      <c r="T1027">
        <v>879</v>
      </c>
      <c r="U1027" t="s">
        <v>19</v>
      </c>
    </row>
    <row r="1028" spans="1:21">
      <c r="A1028" t="str">
        <f t="shared" si="512"/>
        <v>26/02/2025</v>
      </c>
      <c r="B1028" t="str">
        <f t="shared" si="505"/>
        <v>ENTRADA</v>
      </c>
      <c r="C1028" t="str">
        <f t="shared" si="513"/>
        <v>NFSE</v>
      </c>
      <c r="D1028" t="str">
        <f t="shared" si="509"/>
        <v>2732</v>
      </c>
      <c r="E1028" t="str">
        <f t="shared" si="514"/>
        <v>COM</v>
      </c>
      <c r="F1028" t="str">
        <f t="shared" si="510"/>
        <v>FARMÁCIA INDIANA LJ 1 (10126)</v>
      </c>
      <c r="G1028" t="str">
        <f t="shared" si="511"/>
        <v>Serv.Prest. 10/02/2025 a 16/02/2025 - RPS: 505 - NFSe: 2732</v>
      </c>
      <c r="H1028" t="str">
        <f t="shared" si="515"/>
        <v>26/02/2025</v>
      </c>
      <c r="I1028" t="str">
        <f t="shared" si="516"/>
        <v>17/02/2025</v>
      </c>
      <c r="J1028" t="str">
        <f t="shared" si="517"/>
        <v>26/02/2025</v>
      </c>
      <c r="M1028">
        <v>303</v>
      </c>
      <c r="N1028" t="str">
        <f t="shared" si="518"/>
        <v>RECEITAS COM ENTREGAS</v>
      </c>
      <c r="P1028">
        <v>39.549999999999997</v>
      </c>
      <c r="Q1028" t="str">
        <f>"FARMÁCIA INDIANA LJ 184 (10080)"</f>
        <v>FARMÁCIA INDIANA LJ 184 (10080)</v>
      </c>
      <c r="R1028" t="str">
        <f t="shared" si="519"/>
        <v>RECEITAS COM ENTREGAS (303)</v>
      </c>
      <c r="S1028">
        <v>1108</v>
      </c>
      <c r="T1028">
        <v>879</v>
      </c>
      <c r="U1028" t="s">
        <v>19</v>
      </c>
    </row>
    <row r="1029" spans="1:21">
      <c r="A1029" t="str">
        <f t="shared" si="512"/>
        <v>26/02/2025</v>
      </c>
      <c r="B1029" t="str">
        <f t="shared" si="505"/>
        <v>ENTRADA</v>
      </c>
      <c r="C1029" t="str">
        <f t="shared" si="513"/>
        <v>NFSE</v>
      </c>
      <c r="D1029" t="str">
        <f t="shared" si="509"/>
        <v>2732</v>
      </c>
      <c r="E1029" t="str">
        <f t="shared" si="514"/>
        <v>COM</v>
      </c>
      <c r="F1029" t="str">
        <f t="shared" si="510"/>
        <v>FARMÁCIA INDIANA LJ 1 (10126)</v>
      </c>
      <c r="G1029" t="str">
        <f t="shared" si="511"/>
        <v>Serv.Prest. 10/02/2025 a 16/02/2025 - RPS: 505 - NFSe: 2732</v>
      </c>
      <c r="H1029" t="str">
        <f t="shared" si="515"/>
        <v>26/02/2025</v>
      </c>
      <c r="I1029" t="str">
        <f t="shared" si="516"/>
        <v>17/02/2025</v>
      </c>
      <c r="J1029" t="str">
        <f t="shared" si="517"/>
        <v>26/02/2025</v>
      </c>
      <c r="M1029">
        <v>303</v>
      </c>
      <c r="N1029" t="str">
        <f t="shared" si="518"/>
        <v>RECEITAS COM ENTREGAS</v>
      </c>
      <c r="P1029">
        <v>80.47</v>
      </c>
      <c r="Q1029" t="str">
        <f>"FARMÁCIA INDIANA LJ 186 (10081)"</f>
        <v>FARMÁCIA INDIANA LJ 186 (10081)</v>
      </c>
      <c r="R1029" t="str">
        <f t="shared" si="519"/>
        <v>RECEITAS COM ENTREGAS (303)</v>
      </c>
      <c r="S1029">
        <v>1108</v>
      </c>
      <c r="T1029">
        <v>879</v>
      </c>
      <c r="U1029" t="s">
        <v>19</v>
      </c>
    </row>
    <row r="1030" spans="1:21">
      <c r="A1030" t="str">
        <f t="shared" si="512"/>
        <v>26/02/2025</v>
      </c>
      <c r="B1030" t="str">
        <f t="shared" si="505"/>
        <v>ENTRADA</v>
      </c>
      <c r="C1030" t="str">
        <f t="shared" si="513"/>
        <v>NFSE</v>
      </c>
      <c r="D1030" t="str">
        <f t="shared" si="509"/>
        <v>2732</v>
      </c>
      <c r="E1030" t="str">
        <f t="shared" si="514"/>
        <v>COM</v>
      </c>
      <c r="F1030" t="str">
        <f t="shared" si="510"/>
        <v>FARMÁCIA INDIANA LJ 1 (10126)</v>
      </c>
      <c r="G1030" t="str">
        <f t="shared" si="511"/>
        <v>Serv.Prest. 10/02/2025 a 16/02/2025 - RPS: 505 - NFSe: 2732</v>
      </c>
      <c r="H1030" t="str">
        <f t="shared" si="515"/>
        <v>26/02/2025</v>
      </c>
      <c r="I1030" t="str">
        <f t="shared" si="516"/>
        <v>17/02/2025</v>
      </c>
      <c r="J1030" t="str">
        <f t="shared" si="517"/>
        <v>26/02/2025</v>
      </c>
      <c r="M1030">
        <v>303</v>
      </c>
      <c r="N1030" t="str">
        <f t="shared" si="518"/>
        <v>RECEITAS COM ENTREGAS</v>
      </c>
      <c r="P1030">
        <v>132.30000000000001</v>
      </c>
      <c r="Q1030" t="str">
        <f>"FARMÁCIA INDIANA LJ 192 (10082)"</f>
        <v>FARMÁCIA INDIANA LJ 192 (10082)</v>
      </c>
      <c r="R1030" t="str">
        <f t="shared" si="519"/>
        <v>RECEITAS COM ENTREGAS (303)</v>
      </c>
      <c r="S1030">
        <v>1108</v>
      </c>
      <c r="T1030">
        <v>879</v>
      </c>
      <c r="U1030" t="s">
        <v>19</v>
      </c>
    </row>
    <row r="1031" spans="1:21">
      <c r="A1031" t="str">
        <f t="shared" si="512"/>
        <v>26/02/2025</v>
      </c>
      <c r="B1031" t="str">
        <f t="shared" si="505"/>
        <v>ENTRADA</v>
      </c>
      <c r="C1031" t="str">
        <f t="shared" si="513"/>
        <v>NFSE</v>
      </c>
      <c r="D1031" t="str">
        <f t="shared" si="509"/>
        <v>2732</v>
      </c>
      <c r="E1031" t="str">
        <f t="shared" si="514"/>
        <v>COM</v>
      </c>
      <c r="F1031" t="str">
        <f t="shared" si="510"/>
        <v>FARMÁCIA INDIANA LJ 1 (10126)</v>
      </c>
      <c r="G1031" t="str">
        <f t="shared" si="511"/>
        <v>Serv.Prest. 10/02/2025 a 16/02/2025 - RPS: 505 - NFSe: 2732</v>
      </c>
      <c r="H1031" t="str">
        <f t="shared" si="515"/>
        <v>26/02/2025</v>
      </c>
      <c r="I1031" t="str">
        <f t="shared" si="516"/>
        <v>17/02/2025</v>
      </c>
      <c r="J1031" t="str">
        <f t="shared" si="517"/>
        <v>26/02/2025</v>
      </c>
      <c r="M1031">
        <v>303</v>
      </c>
      <c r="N1031" t="str">
        <f t="shared" si="518"/>
        <v>RECEITAS COM ENTREGAS</v>
      </c>
      <c r="P1031">
        <v>39.549999999999997</v>
      </c>
      <c r="Q1031" t="str">
        <f>"FARMÁCIA INDIANA LJ 195 (10083)"</f>
        <v>FARMÁCIA INDIANA LJ 195 (10083)</v>
      </c>
      <c r="R1031" t="str">
        <f t="shared" si="519"/>
        <v>RECEITAS COM ENTREGAS (303)</v>
      </c>
      <c r="S1031">
        <v>1108</v>
      </c>
      <c r="T1031">
        <v>879</v>
      </c>
      <c r="U1031" t="s">
        <v>19</v>
      </c>
    </row>
    <row r="1032" spans="1:21">
      <c r="A1032" t="str">
        <f t="shared" si="512"/>
        <v>26/02/2025</v>
      </c>
      <c r="B1032" t="str">
        <f t="shared" si="505"/>
        <v>ENTRADA</v>
      </c>
      <c r="C1032" t="str">
        <f t="shared" si="513"/>
        <v>NFSE</v>
      </c>
      <c r="D1032" t="str">
        <f t="shared" si="509"/>
        <v>2732</v>
      </c>
      <c r="E1032" t="str">
        <f t="shared" si="514"/>
        <v>COM</v>
      </c>
      <c r="F1032" t="str">
        <f t="shared" si="510"/>
        <v>FARMÁCIA INDIANA LJ 1 (10126)</v>
      </c>
      <c r="G1032" t="str">
        <f t="shared" si="511"/>
        <v>Serv.Prest. 10/02/2025 a 16/02/2025 - RPS: 505 - NFSe: 2732</v>
      </c>
      <c r="H1032" t="str">
        <f t="shared" si="515"/>
        <v>26/02/2025</v>
      </c>
      <c r="I1032" t="str">
        <f t="shared" si="516"/>
        <v>17/02/2025</v>
      </c>
      <c r="J1032" t="str">
        <f t="shared" si="517"/>
        <v>26/02/2025</v>
      </c>
      <c r="M1032">
        <v>303</v>
      </c>
      <c r="N1032" t="str">
        <f t="shared" si="518"/>
        <v>RECEITAS COM ENTREGAS</v>
      </c>
      <c r="P1032">
        <v>159.57</v>
      </c>
      <c r="Q1032" t="str">
        <f>"FARMÁCIA INDIANA LJ 202 (10085)"</f>
        <v>FARMÁCIA INDIANA LJ 202 (10085)</v>
      </c>
      <c r="R1032" t="str">
        <f t="shared" si="519"/>
        <v>RECEITAS COM ENTREGAS (303)</v>
      </c>
      <c r="S1032">
        <v>1108</v>
      </c>
      <c r="T1032">
        <v>879</v>
      </c>
      <c r="U1032" t="s">
        <v>19</v>
      </c>
    </row>
    <row r="1033" spans="1:21">
      <c r="A1033" t="str">
        <f t="shared" si="512"/>
        <v>26/02/2025</v>
      </c>
      <c r="B1033" t="str">
        <f t="shared" si="505"/>
        <v>ENTRADA</v>
      </c>
      <c r="C1033" t="str">
        <f t="shared" si="513"/>
        <v>NFSE</v>
      </c>
      <c r="D1033" t="str">
        <f t="shared" si="509"/>
        <v>2732</v>
      </c>
      <c r="E1033" t="str">
        <f t="shared" si="514"/>
        <v>COM</v>
      </c>
      <c r="F1033" t="str">
        <f t="shared" si="510"/>
        <v>FARMÁCIA INDIANA LJ 1 (10126)</v>
      </c>
      <c r="G1033" t="str">
        <f t="shared" si="511"/>
        <v>Serv.Prest. 10/02/2025 a 16/02/2025 - RPS: 505 - NFSe: 2732</v>
      </c>
      <c r="H1033" t="str">
        <f t="shared" si="515"/>
        <v>26/02/2025</v>
      </c>
      <c r="I1033" t="str">
        <f t="shared" si="516"/>
        <v>17/02/2025</v>
      </c>
      <c r="J1033" t="str">
        <f t="shared" si="517"/>
        <v>26/02/2025</v>
      </c>
      <c r="M1033">
        <v>303</v>
      </c>
      <c r="N1033" t="str">
        <f t="shared" si="518"/>
        <v>RECEITAS COM ENTREGAS</v>
      </c>
      <c r="P1033">
        <v>106.38</v>
      </c>
      <c r="Q1033" t="str">
        <f>"FARMÁCIA INDIANA LJ 204 (10087)"</f>
        <v>FARMÁCIA INDIANA LJ 204 (10087)</v>
      </c>
      <c r="R1033" t="str">
        <f t="shared" si="519"/>
        <v>RECEITAS COM ENTREGAS (303)</v>
      </c>
      <c r="S1033">
        <v>1108</v>
      </c>
      <c r="T1033">
        <v>879</v>
      </c>
      <c r="U1033" t="s">
        <v>19</v>
      </c>
    </row>
    <row r="1034" spans="1:21">
      <c r="A1034" t="str">
        <f t="shared" si="512"/>
        <v>26/02/2025</v>
      </c>
      <c r="B1034" t="str">
        <f t="shared" si="505"/>
        <v>ENTRADA</v>
      </c>
      <c r="C1034" t="str">
        <f t="shared" si="513"/>
        <v>NFSE</v>
      </c>
      <c r="D1034" t="str">
        <f t="shared" si="509"/>
        <v>2732</v>
      </c>
      <c r="E1034" t="str">
        <f t="shared" si="514"/>
        <v>COM</v>
      </c>
      <c r="F1034" t="str">
        <f t="shared" si="510"/>
        <v>FARMÁCIA INDIANA LJ 1 (10126)</v>
      </c>
      <c r="G1034" t="str">
        <f t="shared" si="511"/>
        <v>Serv.Prest. 10/02/2025 a 16/02/2025 - RPS: 505 - NFSe: 2732</v>
      </c>
      <c r="H1034" t="str">
        <f t="shared" si="515"/>
        <v>26/02/2025</v>
      </c>
      <c r="I1034" t="str">
        <f t="shared" si="516"/>
        <v>17/02/2025</v>
      </c>
      <c r="J1034" t="str">
        <f t="shared" si="517"/>
        <v>26/02/2025</v>
      </c>
      <c r="M1034">
        <v>303</v>
      </c>
      <c r="N1034" t="str">
        <f t="shared" si="518"/>
        <v>RECEITAS COM ENTREGAS</v>
      </c>
      <c r="P1034">
        <v>106.38</v>
      </c>
      <c r="Q1034" t="str">
        <f>"FARMÁCIA INDIANA LJ 207 (10088)"</f>
        <v>FARMÁCIA INDIANA LJ 207 (10088)</v>
      </c>
      <c r="R1034" t="str">
        <f t="shared" si="519"/>
        <v>RECEITAS COM ENTREGAS (303)</v>
      </c>
      <c r="S1034">
        <v>1108</v>
      </c>
      <c r="T1034">
        <v>879</v>
      </c>
      <c r="U1034" t="s">
        <v>19</v>
      </c>
    </row>
    <row r="1035" spans="1:21">
      <c r="A1035" t="str">
        <f t="shared" si="512"/>
        <v>26/02/2025</v>
      </c>
      <c r="B1035" t="str">
        <f t="shared" si="505"/>
        <v>ENTRADA</v>
      </c>
      <c r="C1035" t="str">
        <f t="shared" si="513"/>
        <v>NFSE</v>
      </c>
      <c r="D1035" t="str">
        <f t="shared" si="509"/>
        <v>2732</v>
      </c>
      <c r="E1035" t="str">
        <f t="shared" si="514"/>
        <v>COM</v>
      </c>
      <c r="F1035" t="str">
        <f t="shared" si="510"/>
        <v>FARMÁCIA INDIANA LJ 1 (10126)</v>
      </c>
      <c r="G1035" t="str">
        <f t="shared" si="511"/>
        <v>Serv.Prest. 10/02/2025 a 16/02/2025 - RPS: 505 - NFSe: 2732</v>
      </c>
      <c r="H1035" t="str">
        <f t="shared" si="515"/>
        <v>26/02/2025</v>
      </c>
      <c r="I1035" t="str">
        <f t="shared" si="516"/>
        <v>17/02/2025</v>
      </c>
      <c r="J1035" t="str">
        <f t="shared" si="517"/>
        <v>26/02/2025</v>
      </c>
      <c r="M1035">
        <v>303</v>
      </c>
      <c r="N1035" t="str">
        <f t="shared" si="518"/>
        <v>RECEITAS COM ENTREGAS</v>
      </c>
      <c r="P1035">
        <v>124.11</v>
      </c>
      <c r="Q1035" t="str">
        <f>"FARMÁCIA INDIANA LJ 209 (10089)"</f>
        <v>FARMÁCIA INDIANA LJ 209 (10089)</v>
      </c>
      <c r="R1035" t="str">
        <f t="shared" si="519"/>
        <v>RECEITAS COM ENTREGAS (303)</v>
      </c>
      <c r="S1035">
        <v>1108</v>
      </c>
      <c r="T1035">
        <v>879</v>
      </c>
      <c r="U1035" t="s">
        <v>19</v>
      </c>
    </row>
    <row r="1036" spans="1:21">
      <c r="A1036" t="str">
        <f t="shared" si="512"/>
        <v>26/02/2025</v>
      </c>
      <c r="B1036" t="str">
        <f t="shared" si="505"/>
        <v>ENTRADA</v>
      </c>
      <c r="C1036" t="str">
        <f t="shared" si="513"/>
        <v>NFSE</v>
      </c>
      <c r="D1036" t="str">
        <f t="shared" si="509"/>
        <v>2732</v>
      </c>
      <c r="E1036" t="str">
        <f t="shared" si="514"/>
        <v>COM</v>
      </c>
      <c r="F1036" t="str">
        <f t="shared" si="510"/>
        <v>FARMÁCIA INDIANA LJ 1 (10126)</v>
      </c>
      <c r="G1036" t="str">
        <f t="shared" si="511"/>
        <v>Serv.Prest. 10/02/2025 a 16/02/2025 - RPS: 505 - NFSe: 2732</v>
      </c>
      <c r="H1036" t="str">
        <f t="shared" si="515"/>
        <v>26/02/2025</v>
      </c>
      <c r="I1036" t="str">
        <f t="shared" si="516"/>
        <v>17/02/2025</v>
      </c>
      <c r="J1036" t="str">
        <f t="shared" si="517"/>
        <v>26/02/2025</v>
      </c>
      <c r="M1036">
        <v>303</v>
      </c>
      <c r="N1036" t="str">
        <f t="shared" si="518"/>
        <v>RECEITAS COM ENTREGAS</v>
      </c>
      <c r="P1036">
        <v>201.85</v>
      </c>
      <c r="Q1036" t="str">
        <f>"FARMÁCIA INDIANA LJ 219 (10091)"</f>
        <v>FARMÁCIA INDIANA LJ 219 (10091)</v>
      </c>
      <c r="R1036" t="str">
        <f t="shared" si="519"/>
        <v>RECEITAS COM ENTREGAS (303)</v>
      </c>
      <c r="S1036">
        <v>1108</v>
      </c>
      <c r="T1036">
        <v>879</v>
      </c>
      <c r="U1036" t="s">
        <v>19</v>
      </c>
    </row>
    <row r="1037" spans="1:21">
      <c r="A1037" t="str">
        <f t="shared" si="512"/>
        <v>26/02/2025</v>
      </c>
      <c r="B1037" t="str">
        <f t="shared" si="505"/>
        <v>ENTRADA</v>
      </c>
      <c r="C1037" t="str">
        <f t="shared" si="513"/>
        <v>NFSE</v>
      </c>
      <c r="D1037" t="str">
        <f t="shared" si="509"/>
        <v>2732</v>
      </c>
      <c r="E1037" t="str">
        <f t="shared" si="514"/>
        <v>COM</v>
      </c>
      <c r="F1037" t="str">
        <f t="shared" si="510"/>
        <v>FARMÁCIA INDIANA LJ 1 (10126)</v>
      </c>
      <c r="G1037" t="str">
        <f t="shared" si="511"/>
        <v>Serv.Prest. 10/02/2025 a 16/02/2025 - RPS: 505 - NFSe: 2732</v>
      </c>
      <c r="H1037" t="str">
        <f t="shared" si="515"/>
        <v>26/02/2025</v>
      </c>
      <c r="I1037" t="str">
        <f t="shared" si="516"/>
        <v>17/02/2025</v>
      </c>
      <c r="J1037" t="str">
        <f t="shared" si="517"/>
        <v>26/02/2025</v>
      </c>
      <c r="M1037">
        <v>303</v>
      </c>
      <c r="N1037" t="str">
        <f t="shared" si="518"/>
        <v>RECEITAS COM ENTREGAS</v>
      </c>
      <c r="P1037">
        <v>215.49</v>
      </c>
      <c r="Q1037" t="str">
        <f>"FARMÁCIA INDIANA LJ 220 (10092)"</f>
        <v>FARMÁCIA INDIANA LJ 220 (10092)</v>
      </c>
      <c r="R1037" t="str">
        <f t="shared" si="519"/>
        <v>RECEITAS COM ENTREGAS (303)</v>
      </c>
      <c r="S1037">
        <v>1108</v>
      </c>
      <c r="T1037">
        <v>879</v>
      </c>
      <c r="U1037" t="s">
        <v>19</v>
      </c>
    </row>
    <row r="1038" spans="1:21">
      <c r="A1038" t="str">
        <f t="shared" si="512"/>
        <v>26/02/2025</v>
      </c>
      <c r="B1038" t="str">
        <f t="shared" si="505"/>
        <v>ENTRADA</v>
      </c>
      <c r="C1038" t="str">
        <f t="shared" si="513"/>
        <v>NFSE</v>
      </c>
      <c r="D1038" t="str">
        <f t="shared" si="509"/>
        <v>2732</v>
      </c>
      <c r="E1038" t="str">
        <f t="shared" si="514"/>
        <v>COM</v>
      </c>
      <c r="F1038" t="str">
        <f t="shared" si="510"/>
        <v>FARMÁCIA INDIANA LJ 1 (10126)</v>
      </c>
      <c r="G1038" t="str">
        <f t="shared" si="511"/>
        <v>Serv.Prest. 10/02/2025 a 16/02/2025 - RPS: 505 - NFSe: 2732</v>
      </c>
      <c r="H1038" t="str">
        <f t="shared" si="515"/>
        <v>26/02/2025</v>
      </c>
      <c r="I1038" t="str">
        <f t="shared" si="516"/>
        <v>17/02/2025</v>
      </c>
      <c r="J1038" t="str">
        <f t="shared" si="517"/>
        <v>26/02/2025</v>
      </c>
      <c r="M1038">
        <v>303</v>
      </c>
      <c r="N1038" t="str">
        <f t="shared" si="518"/>
        <v>RECEITAS COM ENTREGAS</v>
      </c>
      <c r="P1038">
        <v>185.49</v>
      </c>
      <c r="Q1038" t="str">
        <f>"FARMÁCIA INDIANA LJ 185 (10141)"</f>
        <v>FARMÁCIA INDIANA LJ 185 (10141)</v>
      </c>
      <c r="R1038" t="str">
        <f t="shared" si="519"/>
        <v>RECEITAS COM ENTREGAS (303)</v>
      </c>
      <c r="S1038">
        <v>1108</v>
      </c>
      <c r="T1038">
        <v>879</v>
      </c>
      <c r="U1038" t="s">
        <v>19</v>
      </c>
    </row>
    <row r="1039" spans="1:21">
      <c r="A1039" t="str">
        <f t="shared" ref="A1039:A1044" si="520">("26/02/2025")</f>
        <v>26/02/2025</v>
      </c>
      <c r="B1039" t="str">
        <f t="shared" si="505"/>
        <v>ENTRADA</v>
      </c>
      <c r="C1039" t="str">
        <f t="shared" si="513"/>
        <v>NFSE</v>
      </c>
      <c r="D1039" t="str">
        <f>"2743"</f>
        <v>2743</v>
      </c>
      <c r="E1039" t="str">
        <f t="shared" si="514"/>
        <v>COM</v>
      </c>
      <c r="F1039" t="str">
        <f>"DELTA LOJA 2 (10123)"</f>
        <v>DELTA LOJA 2 (10123)</v>
      </c>
      <c r="G1039" t="str">
        <f>"Serv.Prest. 17/02/2025 a 23/02/2025 - RPS: 516 - NFSe: 2743"</f>
        <v>Serv.Prest. 17/02/2025 a 23/02/2025 - RPS: 516 - NFSe: 2743</v>
      </c>
      <c r="H1039" t="str">
        <f t="shared" ref="H1039:H1044" si="521">("26/02/2025")</f>
        <v>26/02/2025</v>
      </c>
      <c r="I1039" t="str">
        <f>("24/02/2025")</f>
        <v>24/02/2025</v>
      </c>
      <c r="J1039" t="str">
        <f t="shared" ref="J1039:J1044" si="522">("26/02/2025")</f>
        <v>26/02/2025</v>
      </c>
      <c r="K1039">
        <v>500.64</v>
      </c>
      <c r="L1039">
        <v>500.64</v>
      </c>
      <c r="M1039">
        <v>303</v>
      </c>
      <c r="N1039" t="str">
        <f t="shared" si="518"/>
        <v>RECEITAS COM ENTREGAS</v>
      </c>
      <c r="O1039">
        <v>500.64</v>
      </c>
      <c r="R1039" t="str">
        <f t="shared" si="519"/>
        <v>RECEITAS COM ENTREGAS (303)</v>
      </c>
      <c r="S1039">
        <v>1109</v>
      </c>
      <c r="T1039">
        <v>918</v>
      </c>
      <c r="U1039" t="s">
        <v>19</v>
      </c>
    </row>
    <row r="1040" spans="1:21">
      <c r="A1040" t="str">
        <f t="shared" si="520"/>
        <v>26/02/2025</v>
      </c>
      <c r="B1040" t="str">
        <f t="shared" ref="B1040:B1042" si="523">"ENTRADA"</f>
        <v>ENTRADA</v>
      </c>
      <c r="C1040" t="str">
        <f t="shared" si="513"/>
        <v>NFSE</v>
      </c>
      <c r="D1040" t="str">
        <f>"2743"</f>
        <v>2743</v>
      </c>
      <c r="E1040" t="str">
        <f t="shared" si="514"/>
        <v>COM</v>
      </c>
      <c r="F1040" t="str">
        <f>"DELTA LOJA 2 (10123)"</f>
        <v>DELTA LOJA 2 (10123)</v>
      </c>
      <c r="G1040" t="str">
        <f>"Serv.Prest. 17/02/2025 a 23/02/2025 - RPS: 516 - NFSe: 2743"</f>
        <v>Serv.Prest. 17/02/2025 a 23/02/2025 - RPS: 516 - NFSe: 2743</v>
      </c>
      <c r="H1040" t="str">
        <f t="shared" si="521"/>
        <v>26/02/2025</v>
      </c>
      <c r="I1040" t="str">
        <f>("24/02/2025")</f>
        <v>24/02/2025</v>
      </c>
      <c r="J1040" t="str">
        <f t="shared" si="522"/>
        <v>26/02/2025</v>
      </c>
      <c r="M1040">
        <v>303</v>
      </c>
      <c r="N1040" t="str">
        <f t="shared" si="518"/>
        <v>RECEITAS COM ENTREGAS</v>
      </c>
      <c r="P1040">
        <v>500.64</v>
      </c>
      <c r="Q1040" t="str">
        <f>"DELTA LOJA 2 (10123)"</f>
        <v>DELTA LOJA 2 (10123)</v>
      </c>
      <c r="R1040" t="str">
        <f t="shared" si="519"/>
        <v>RECEITAS COM ENTREGAS (303)</v>
      </c>
      <c r="S1040">
        <v>1109</v>
      </c>
      <c r="T1040">
        <v>918</v>
      </c>
      <c r="U1040" t="s">
        <v>19</v>
      </c>
    </row>
    <row r="1041" spans="1:21">
      <c r="A1041" t="str">
        <f t="shared" si="520"/>
        <v>26/02/2025</v>
      </c>
      <c r="B1041" t="str">
        <f t="shared" si="523"/>
        <v>ENTRADA</v>
      </c>
      <c r="C1041" t="str">
        <f t="shared" si="513"/>
        <v>NFSE</v>
      </c>
      <c r="D1041" t="str">
        <f>"2745"</f>
        <v>2745</v>
      </c>
      <c r="E1041" t="str">
        <f t="shared" si="514"/>
        <v>COM</v>
      </c>
      <c r="F1041" t="str">
        <f>"FARMACIA CRISTAL (10125)"</f>
        <v>FARMACIA CRISTAL (10125)</v>
      </c>
      <c r="G1041" t="str">
        <f>"Serv.Prest. 17/02/2025 a 23/02/2025 - RPS: 518 - NFSe: 2745"</f>
        <v>Serv.Prest. 17/02/2025 a 23/02/2025 - RPS: 518 - NFSe: 2745</v>
      </c>
      <c r="H1041" t="str">
        <f t="shared" si="521"/>
        <v>26/02/2025</v>
      </c>
      <c r="I1041" t="str">
        <f>("24/02/2025")</f>
        <v>24/02/2025</v>
      </c>
      <c r="J1041" t="str">
        <f t="shared" si="522"/>
        <v>26/02/2025</v>
      </c>
      <c r="K1041">
        <v>256.26</v>
      </c>
      <c r="L1041">
        <v>256.26</v>
      </c>
      <c r="M1041">
        <v>303</v>
      </c>
      <c r="N1041" t="str">
        <f t="shared" si="518"/>
        <v>RECEITAS COM ENTREGAS</v>
      </c>
      <c r="O1041">
        <v>256.26</v>
      </c>
      <c r="R1041" t="str">
        <f t="shared" si="519"/>
        <v>RECEITAS COM ENTREGAS (303)</v>
      </c>
      <c r="S1041">
        <v>1110</v>
      </c>
      <c r="T1041">
        <v>920</v>
      </c>
      <c r="U1041" t="s">
        <v>19</v>
      </c>
    </row>
    <row r="1042" spans="1:21">
      <c r="A1042" t="str">
        <f t="shared" si="520"/>
        <v>26/02/2025</v>
      </c>
      <c r="B1042" t="str">
        <f t="shared" si="523"/>
        <v>ENTRADA</v>
      </c>
      <c r="C1042" t="str">
        <f t="shared" si="513"/>
        <v>NFSE</v>
      </c>
      <c r="D1042" t="str">
        <f>"2745"</f>
        <v>2745</v>
      </c>
      <c r="E1042" t="str">
        <f t="shared" si="514"/>
        <v>COM</v>
      </c>
      <c r="F1042" t="str">
        <f>"FARMACIA CRISTAL (10125)"</f>
        <v>FARMACIA CRISTAL (10125)</v>
      </c>
      <c r="G1042" t="str">
        <f>"Serv.Prest. 17/02/2025 a 23/02/2025 - RPS: 518 - NFSe: 2745"</f>
        <v>Serv.Prest. 17/02/2025 a 23/02/2025 - RPS: 518 - NFSe: 2745</v>
      </c>
      <c r="H1042" t="str">
        <f t="shared" si="521"/>
        <v>26/02/2025</v>
      </c>
      <c r="I1042" t="str">
        <f>("24/02/2025")</f>
        <v>24/02/2025</v>
      </c>
      <c r="J1042" t="str">
        <f t="shared" si="522"/>
        <v>26/02/2025</v>
      </c>
      <c r="M1042">
        <v>303</v>
      </c>
      <c r="N1042" t="str">
        <f t="shared" si="518"/>
        <v>RECEITAS COM ENTREGAS</v>
      </c>
      <c r="P1042">
        <v>256.26</v>
      </c>
      <c r="Q1042" t="str">
        <f>"FARMACIA CRISTAL (10125)"</f>
        <v>FARMACIA CRISTAL (10125)</v>
      </c>
      <c r="R1042" t="str">
        <f t="shared" si="519"/>
        <v>RECEITAS COM ENTREGAS (303)</v>
      </c>
      <c r="S1042">
        <v>1110</v>
      </c>
      <c r="T1042">
        <v>920</v>
      </c>
      <c r="U1042" t="s">
        <v>19</v>
      </c>
    </row>
    <row r="1043" spans="1:21">
      <c r="A1043" t="str">
        <f t="shared" si="520"/>
        <v>26/02/2025</v>
      </c>
      <c r="B1043" t="str">
        <f>"SAÍDA"</f>
        <v>SAÍDA</v>
      </c>
      <c r="C1043" t="str">
        <f>"JUROS"</f>
        <v>JUROS</v>
      </c>
      <c r="D1043" t="str">
        <f>""</f>
        <v/>
      </c>
      <c r="E1043" t="str">
        <f>"CXA"</f>
        <v>CXA</v>
      </c>
      <c r="F1043" t="str">
        <f>""</f>
        <v/>
      </c>
      <c r="G1043" t="str">
        <f>"TAXA BOLETO COMPENSADO"</f>
        <v>TAXA BOLETO COMPENSADO</v>
      </c>
      <c r="H1043" t="str">
        <f t="shared" si="521"/>
        <v>26/02/2025</v>
      </c>
      <c r="I1043" t="str">
        <f>("26/02/2025")</f>
        <v>26/02/2025</v>
      </c>
      <c r="J1043" t="str">
        <f t="shared" si="522"/>
        <v>26/02/2025</v>
      </c>
      <c r="K1043">
        <v>1.7</v>
      </c>
      <c r="L1043">
        <v>1.7</v>
      </c>
      <c r="M1043">
        <v>401</v>
      </c>
      <c r="N1043" t="str">
        <f>"IOF/JUROS/DESP.FINANCEIRA"</f>
        <v>IOF/JUROS/DESP.FINANCEIRA</v>
      </c>
      <c r="O1043">
        <v>1.7</v>
      </c>
      <c r="R1043" t="str">
        <f>"BANCO CORA (102)"</f>
        <v>BANCO CORA (102)</v>
      </c>
      <c r="S1043">
        <v>1125</v>
      </c>
      <c r="T1043">
        <v>0</v>
      </c>
      <c r="U1043" t="s">
        <v>20</v>
      </c>
    </row>
    <row r="1044" spans="1:21">
      <c r="A1044" t="str">
        <f t="shared" si="520"/>
        <v>26/02/2025</v>
      </c>
      <c r="B1044" t="str">
        <f>"SAÍDA"</f>
        <v>SAÍDA</v>
      </c>
      <c r="C1044" t="str">
        <f>"JUROS"</f>
        <v>JUROS</v>
      </c>
      <c r="D1044" t="str">
        <f>""</f>
        <v/>
      </c>
      <c r="E1044" t="str">
        <f>"CXA"</f>
        <v>CXA</v>
      </c>
      <c r="F1044" t="str">
        <f>""</f>
        <v/>
      </c>
      <c r="G1044" t="str">
        <f>"TAXA BOLETO COMPENSADO"</f>
        <v>TAXA BOLETO COMPENSADO</v>
      </c>
      <c r="H1044" t="str">
        <f t="shared" si="521"/>
        <v>26/02/2025</v>
      </c>
      <c r="I1044" t="str">
        <f>("26/02/2025")</f>
        <v>26/02/2025</v>
      </c>
      <c r="J1044" t="str">
        <f t="shared" si="522"/>
        <v>26/02/2025</v>
      </c>
      <c r="K1044">
        <v>1.7</v>
      </c>
      <c r="L1044">
        <v>1.7</v>
      </c>
      <c r="M1044">
        <v>401</v>
      </c>
      <c r="N1044" t="str">
        <f>"IOF/JUROS/DESP.FINANCEIRA"</f>
        <v>IOF/JUROS/DESP.FINANCEIRA</v>
      </c>
      <c r="O1044">
        <v>1.7</v>
      </c>
      <c r="R1044" t="str">
        <f>"BANCO CORA (102)"</f>
        <v>BANCO CORA (102)</v>
      </c>
      <c r="S1044">
        <v>1126</v>
      </c>
      <c r="T1044">
        <v>0</v>
      </c>
      <c r="U1044" t="s">
        <v>20</v>
      </c>
    </row>
    <row r="1045" spans="1:21">
      <c r="A1045" t="str">
        <f t="shared" ref="A1045:A1081" si="524">("27/02/2025")</f>
        <v>27/02/2025</v>
      </c>
      <c r="B1045" t="str">
        <f>"SAÍDA"</f>
        <v>SAÍDA</v>
      </c>
      <c r="C1045" t="str">
        <f>"PIX"</f>
        <v>PIX</v>
      </c>
      <c r="D1045" t="str">
        <f>"1703"</f>
        <v>1703</v>
      </c>
      <c r="E1045" t="str">
        <f t="shared" ref="E1045:E1070" si="525">"COM"</f>
        <v>COM</v>
      </c>
      <c r="F1045" t="str">
        <f>"HUMBERTO CUSTODIO DE LIMA 03184561682 (20058)"</f>
        <v>HUMBERTO CUSTODIO DE LIMA 03184561682 (20058)</v>
      </c>
      <c r="G1045" t="str">
        <f>"DESENVOLVIMENTO PLATAFORMA WEB APP FLUX FARMA - PIX E-MAIL humbertocustodio@yahoo.com.br"</f>
        <v>DESENVOLVIMENTO PLATAFORMA WEB APP FLUX FARMA - PIX E-MAIL humbertocustodio@yahoo.com.br</v>
      </c>
      <c r="H1045" t="str">
        <f>("27/02/2025")</f>
        <v>27/02/2025</v>
      </c>
      <c r="I1045" t="str">
        <f>("17/12/2024")</f>
        <v>17/12/2024</v>
      </c>
      <c r="J1045" t="str">
        <f t="shared" ref="J1045:J1081" si="526">("27/02/2025")</f>
        <v>27/02/2025</v>
      </c>
      <c r="K1045">
        <v>5000</v>
      </c>
      <c r="L1045">
        <v>5000</v>
      </c>
      <c r="M1045">
        <v>104</v>
      </c>
      <c r="N1045" t="str">
        <f>"SOFTWARE / LICENÇAS"</f>
        <v>SOFTWARE / LICENÇAS</v>
      </c>
      <c r="O1045">
        <v>5000</v>
      </c>
      <c r="R1045" t="str">
        <f>"BANCO CORA (102)"</f>
        <v>BANCO CORA (102)</v>
      </c>
      <c r="S1045">
        <v>1103</v>
      </c>
      <c r="T1045">
        <v>647</v>
      </c>
      <c r="U1045" t="s">
        <v>19</v>
      </c>
    </row>
    <row r="1046" spans="1:21">
      <c r="A1046" t="str">
        <f t="shared" si="524"/>
        <v>27/02/2025</v>
      </c>
      <c r="B1046" t="str">
        <f>"SAÍDA"</f>
        <v>SAÍDA</v>
      </c>
      <c r="C1046" t="str">
        <f>"PIX"</f>
        <v>PIX</v>
      </c>
      <c r="D1046" t="str">
        <f>"1703"</f>
        <v>1703</v>
      </c>
      <c r="E1046" t="str">
        <f t="shared" si="525"/>
        <v>COM</v>
      </c>
      <c r="F1046" t="str">
        <f>"HUMBERTO CUSTODIO DE LIMA 03184561682 (20058)"</f>
        <v>HUMBERTO CUSTODIO DE LIMA 03184561682 (20058)</v>
      </c>
      <c r="G1046" t="str">
        <f>"DESENVOLVIMENTO PLATAFORMA WEB APP FLUX FARMA - PIX E-MAIL humbertocustodio@yahoo.com.br"</f>
        <v>DESENVOLVIMENTO PLATAFORMA WEB APP FLUX FARMA - PIX E-MAIL humbertocustodio@yahoo.com.br</v>
      </c>
      <c r="H1046" t="str">
        <f>("27/02/2025")</f>
        <v>27/02/2025</v>
      </c>
      <c r="I1046" t="str">
        <f>("17/12/2024")</f>
        <v>17/12/2024</v>
      </c>
      <c r="J1046" t="str">
        <f t="shared" si="526"/>
        <v>27/02/2025</v>
      </c>
      <c r="M1046">
        <v>104</v>
      </c>
      <c r="N1046" t="str">
        <f>"SOFTWARE / LICENÇAS"</f>
        <v>SOFTWARE / LICENÇAS</v>
      </c>
      <c r="P1046">
        <v>5000</v>
      </c>
      <c r="Q1046" t="str">
        <f>"HUMBERTO CUSTODIO DE LIMA 03184561682 (20058)"</f>
        <v>HUMBERTO CUSTODIO DE LIMA 03184561682 (20058)</v>
      </c>
      <c r="R1046" t="str">
        <f>"BANCO CORA (102)"</f>
        <v>BANCO CORA (102)</v>
      </c>
      <c r="S1046">
        <v>1103</v>
      </c>
      <c r="T1046">
        <v>647</v>
      </c>
      <c r="U1046" t="s">
        <v>19</v>
      </c>
    </row>
    <row r="1047" spans="1:21">
      <c r="A1047" t="str">
        <f t="shared" si="524"/>
        <v>27/02/2025</v>
      </c>
      <c r="B1047" t="str">
        <f>"ENTRADA"</f>
        <v>ENTRADA</v>
      </c>
      <c r="C1047" t="str">
        <f t="shared" ref="C1047:C1070" si="527">"NFSE"</f>
        <v>NFSE</v>
      </c>
      <c r="D1047" t="str">
        <f>"2744"</f>
        <v>2744</v>
      </c>
      <c r="E1047" t="str">
        <f t="shared" si="525"/>
        <v>COM</v>
      </c>
      <c r="F1047" t="str">
        <f>"DROGA ELIDA (10121)"</f>
        <v>DROGA ELIDA (10121)</v>
      </c>
      <c r="G1047" t="str">
        <f>"Serv.Prest. 17/02/2025 a 23/02/2025 - RPS: 517 - NFSe: 2744"</f>
        <v>Serv.Prest. 17/02/2025 a 23/02/2025 - RPS: 517 - NFSe: 2744</v>
      </c>
      <c r="H1047" t="str">
        <f t="shared" ref="H1047:H1070" si="528">("26/02/2025")</f>
        <v>26/02/2025</v>
      </c>
      <c r="I1047" t="str">
        <f t="shared" ref="I1047:I1070" si="529">("24/02/2025")</f>
        <v>24/02/2025</v>
      </c>
      <c r="J1047" t="str">
        <f t="shared" si="526"/>
        <v>27/02/2025</v>
      </c>
      <c r="K1047">
        <v>350.4</v>
      </c>
      <c r="L1047">
        <v>350.4</v>
      </c>
      <c r="M1047">
        <v>303</v>
      </c>
      <c r="N1047" t="str">
        <f t="shared" ref="N1047:N1070" si="530">"RECEITAS COM ENTREGAS"</f>
        <v>RECEITAS COM ENTREGAS</v>
      </c>
      <c r="O1047">
        <v>350.4</v>
      </c>
      <c r="R1047" t="str">
        <f t="shared" ref="R1047:R1070" si="531">"RECEITAS COM ENTREGAS (303)"</f>
        <v>RECEITAS COM ENTREGAS (303)</v>
      </c>
      <c r="S1047">
        <v>1111</v>
      </c>
      <c r="T1047">
        <v>919</v>
      </c>
      <c r="U1047" t="s">
        <v>19</v>
      </c>
    </row>
    <row r="1048" spans="1:21">
      <c r="A1048" t="str">
        <f t="shared" si="524"/>
        <v>27/02/2025</v>
      </c>
      <c r="B1048" t="str">
        <f t="shared" ref="B1048:B1070" si="532">"ENTRADA"</f>
        <v>ENTRADA</v>
      </c>
      <c r="C1048" t="str">
        <f t="shared" si="527"/>
        <v>NFSE</v>
      </c>
      <c r="D1048" t="str">
        <f>"2744"</f>
        <v>2744</v>
      </c>
      <c r="E1048" t="str">
        <f t="shared" si="525"/>
        <v>COM</v>
      </c>
      <c r="F1048" t="str">
        <f>"DROGA ELIDA (10121)"</f>
        <v>DROGA ELIDA (10121)</v>
      </c>
      <c r="G1048" t="str">
        <f>"Serv.Prest. 17/02/2025 a 23/02/2025 - RPS: 517 - NFSe: 2744"</f>
        <v>Serv.Prest. 17/02/2025 a 23/02/2025 - RPS: 517 - NFSe: 2744</v>
      </c>
      <c r="H1048" t="str">
        <f t="shared" si="528"/>
        <v>26/02/2025</v>
      </c>
      <c r="I1048" t="str">
        <f t="shared" si="529"/>
        <v>24/02/2025</v>
      </c>
      <c r="J1048" t="str">
        <f t="shared" si="526"/>
        <v>27/02/2025</v>
      </c>
      <c r="M1048">
        <v>303</v>
      </c>
      <c r="N1048" t="str">
        <f t="shared" si="530"/>
        <v>RECEITAS COM ENTREGAS</v>
      </c>
      <c r="P1048">
        <v>350.4</v>
      </c>
      <c r="Q1048" t="str">
        <f>"DROGA ELIDA (10121)"</f>
        <v>DROGA ELIDA (10121)</v>
      </c>
      <c r="R1048" t="str">
        <f t="shared" si="531"/>
        <v>RECEITAS COM ENTREGAS (303)</v>
      </c>
      <c r="S1048">
        <v>1111</v>
      </c>
      <c r="T1048">
        <v>919</v>
      </c>
      <c r="U1048" t="s">
        <v>19</v>
      </c>
    </row>
    <row r="1049" spans="1:21">
      <c r="A1049" t="str">
        <f t="shared" si="524"/>
        <v>27/02/2025</v>
      </c>
      <c r="B1049" t="str">
        <f t="shared" si="532"/>
        <v>ENTRADA</v>
      </c>
      <c r="C1049" t="str">
        <f t="shared" si="527"/>
        <v>NFSE</v>
      </c>
      <c r="D1049" t="str">
        <f>"2746"</f>
        <v>2746</v>
      </c>
      <c r="E1049" t="str">
        <f t="shared" si="525"/>
        <v>COM</v>
      </c>
      <c r="F1049" t="str">
        <f>"FRAN FARMA (10124)"</f>
        <v>FRAN FARMA (10124)</v>
      </c>
      <c r="G1049" t="str">
        <f>"Serv.Prest. 17/02/2025 a 23/02/2025 - RPS: 519 - NFSe: 2746"</f>
        <v>Serv.Prest. 17/02/2025 a 23/02/2025 - RPS: 519 - NFSe: 2746</v>
      </c>
      <c r="H1049" t="str">
        <f t="shared" si="528"/>
        <v>26/02/2025</v>
      </c>
      <c r="I1049" t="str">
        <f t="shared" si="529"/>
        <v>24/02/2025</v>
      </c>
      <c r="J1049" t="str">
        <f t="shared" si="526"/>
        <v>27/02/2025</v>
      </c>
      <c r="K1049">
        <v>320</v>
      </c>
      <c r="L1049">
        <v>320</v>
      </c>
      <c r="M1049">
        <v>303</v>
      </c>
      <c r="N1049" t="str">
        <f t="shared" si="530"/>
        <v>RECEITAS COM ENTREGAS</v>
      </c>
      <c r="O1049">
        <v>320</v>
      </c>
      <c r="R1049" t="str">
        <f t="shared" si="531"/>
        <v>RECEITAS COM ENTREGAS (303)</v>
      </c>
      <c r="S1049">
        <v>1112</v>
      </c>
      <c r="T1049">
        <v>921</v>
      </c>
      <c r="U1049" t="s">
        <v>19</v>
      </c>
    </row>
    <row r="1050" spans="1:21">
      <c r="A1050" t="str">
        <f t="shared" si="524"/>
        <v>27/02/2025</v>
      </c>
      <c r="B1050" t="str">
        <f t="shared" si="532"/>
        <v>ENTRADA</v>
      </c>
      <c r="C1050" t="str">
        <f t="shared" si="527"/>
        <v>NFSE</v>
      </c>
      <c r="D1050" t="str">
        <f>"2746"</f>
        <v>2746</v>
      </c>
      <c r="E1050" t="str">
        <f t="shared" si="525"/>
        <v>COM</v>
      </c>
      <c r="F1050" t="str">
        <f>"FRAN FARMA (10124)"</f>
        <v>FRAN FARMA (10124)</v>
      </c>
      <c r="G1050" t="str">
        <f>"Serv.Prest. 17/02/2025 a 23/02/2025 - RPS: 519 - NFSe: 2746"</f>
        <v>Serv.Prest. 17/02/2025 a 23/02/2025 - RPS: 519 - NFSe: 2746</v>
      </c>
      <c r="H1050" t="str">
        <f t="shared" si="528"/>
        <v>26/02/2025</v>
      </c>
      <c r="I1050" t="str">
        <f t="shared" si="529"/>
        <v>24/02/2025</v>
      </c>
      <c r="J1050" t="str">
        <f t="shared" si="526"/>
        <v>27/02/2025</v>
      </c>
      <c r="M1050">
        <v>303</v>
      </c>
      <c r="N1050" t="str">
        <f t="shared" si="530"/>
        <v>RECEITAS COM ENTREGAS</v>
      </c>
      <c r="P1050">
        <v>64</v>
      </c>
      <c r="Q1050" t="str">
        <f>"FRAN FARMA (10124)"</f>
        <v>FRAN FARMA (10124)</v>
      </c>
      <c r="R1050" t="str">
        <f t="shared" si="531"/>
        <v>RECEITAS COM ENTREGAS (303)</v>
      </c>
      <c r="S1050">
        <v>1112</v>
      </c>
      <c r="T1050">
        <v>921</v>
      </c>
      <c r="U1050" t="s">
        <v>19</v>
      </c>
    </row>
    <row r="1051" spans="1:21">
      <c r="A1051" t="str">
        <f t="shared" si="524"/>
        <v>27/02/2025</v>
      </c>
      <c r="B1051" t="str">
        <f t="shared" si="532"/>
        <v>ENTRADA</v>
      </c>
      <c r="C1051" t="str">
        <f t="shared" si="527"/>
        <v>NFSE</v>
      </c>
      <c r="D1051" t="str">
        <f>"2746"</f>
        <v>2746</v>
      </c>
      <c r="E1051" t="str">
        <f t="shared" si="525"/>
        <v>COM</v>
      </c>
      <c r="F1051" t="str">
        <f>"FRAN FARMA (10124)"</f>
        <v>FRAN FARMA (10124)</v>
      </c>
      <c r="G1051" t="str">
        <f>"Serv.Prest. 17/02/2025 a 23/02/2025 - RPS: 519 - NFSe: 2746"</f>
        <v>Serv.Prest. 17/02/2025 a 23/02/2025 - RPS: 519 - NFSe: 2746</v>
      </c>
      <c r="H1051" t="str">
        <f t="shared" si="528"/>
        <v>26/02/2025</v>
      </c>
      <c r="I1051" t="str">
        <f t="shared" si="529"/>
        <v>24/02/2025</v>
      </c>
      <c r="J1051" t="str">
        <f t="shared" si="526"/>
        <v>27/02/2025</v>
      </c>
      <c r="M1051">
        <v>303</v>
      </c>
      <c r="N1051" t="str">
        <f t="shared" si="530"/>
        <v>RECEITAS COM ENTREGAS</v>
      </c>
      <c r="P1051">
        <v>192</v>
      </c>
      <c r="Q1051" t="str">
        <f>"FRAN FARMA LJ 2 (10131)"</f>
        <v>FRAN FARMA LJ 2 (10131)</v>
      </c>
      <c r="R1051" t="str">
        <f t="shared" si="531"/>
        <v>RECEITAS COM ENTREGAS (303)</v>
      </c>
      <c r="S1051">
        <v>1112</v>
      </c>
      <c r="T1051">
        <v>921</v>
      </c>
      <c r="U1051" t="s">
        <v>19</v>
      </c>
    </row>
    <row r="1052" spans="1:21">
      <c r="A1052" t="str">
        <f t="shared" si="524"/>
        <v>27/02/2025</v>
      </c>
      <c r="B1052" t="str">
        <f t="shared" si="532"/>
        <v>ENTRADA</v>
      </c>
      <c r="C1052" t="str">
        <f t="shared" si="527"/>
        <v>NFSE</v>
      </c>
      <c r="D1052" t="str">
        <f>"2746"</f>
        <v>2746</v>
      </c>
      <c r="E1052" t="str">
        <f t="shared" si="525"/>
        <v>COM</v>
      </c>
      <c r="F1052" t="str">
        <f>"FRAN FARMA (10124)"</f>
        <v>FRAN FARMA (10124)</v>
      </c>
      <c r="G1052" t="str">
        <f>"Serv.Prest. 17/02/2025 a 23/02/2025 - RPS: 519 - NFSe: 2746"</f>
        <v>Serv.Prest. 17/02/2025 a 23/02/2025 - RPS: 519 - NFSe: 2746</v>
      </c>
      <c r="H1052" t="str">
        <f t="shared" si="528"/>
        <v>26/02/2025</v>
      </c>
      <c r="I1052" t="str">
        <f t="shared" si="529"/>
        <v>24/02/2025</v>
      </c>
      <c r="J1052" t="str">
        <f t="shared" si="526"/>
        <v>27/02/2025</v>
      </c>
      <c r="M1052">
        <v>303</v>
      </c>
      <c r="N1052" t="str">
        <f t="shared" si="530"/>
        <v>RECEITAS COM ENTREGAS</v>
      </c>
      <c r="P1052">
        <v>64</v>
      </c>
      <c r="Q1052" t="str">
        <f>"FRAN FARMA LJ 3 (10132)"</f>
        <v>FRAN FARMA LJ 3 (10132)</v>
      </c>
      <c r="R1052" t="str">
        <f t="shared" si="531"/>
        <v>RECEITAS COM ENTREGAS (303)</v>
      </c>
      <c r="S1052">
        <v>1112</v>
      </c>
      <c r="T1052">
        <v>921</v>
      </c>
      <c r="U1052" t="s">
        <v>19</v>
      </c>
    </row>
    <row r="1053" spans="1:21">
      <c r="A1053" t="str">
        <f t="shared" si="524"/>
        <v>27/02/2025</v>
      </c>
      <c r="B1053" t="str">
        <f t="shared" si="532"/>
        <v>ENTRADA</v>
      </c>
      <c r="C1053" t="str">
        <f t="shared" si="527"/>
        <v>NFSE</v>
      </c>
      <c r="D1053" t="str">
        <f>"2747"</f>
        <v>2747</v>
      </c>
      <c r="E1053" t="str">
        <f t="shared" si="525"/>
        <v>COM</v>
      </c>
      <c r="F1053" t="str">
        <f>"JAL FARMACIA E DROGARIA LJ 1 (10137)"</f>
        <v>JAL FARMACIA E DROGARIA LJ 1 (10137)</v>
      </c>
      <c r="G1053" t="str">
        <f>"Serv.Prest. 17/02/2025 a 23/02/2025 - RPS: 520 - NFSe: 2747"</f>
        <v>Serv.Prest. 17/02/2025 a 23/02/2025 - RPS: 520 - NFSe: 2747</v>
      </c>
      <c r="H1053" t="str">
        <f t="shared" si="528"/>
        <v>26/02/2025</v>
      </c>
      <c r="I1053" t="str">
        <f t="shared" si="529"/>
        <v>24/02/2025</v>
      </c>
      <c r="J1053" t="str">
        <f t="shared" si="526"/>
        <v>27/02/2025</v>
      </c>
      <c r="K1053">
        <v>408</v>
      </c>
      <c r="L1053">
        <v>408</v>
      </c>
      <c r="M1053">
        <v>303</v>
      </c>
      <c r="N1053" t="str">
        <f t="shared" si="530"/>
        <v>RECEITAS COM ENTREGAS</v>
      </c>
      <c r="O1053">
        <v>408</v>
      </c>
      <c r="R1053" t="str">
        <f t="shared" si="531"/>
        <v>RECEITAS COM ENTREGAS (303)</v>
      </c>
      <c r="S1053">
        <v>1113</v>
      </c>
      <c r="T1053">
        <v>922</v>
      </c>
      <c r="U1053" t="s">
        <v>19</v>
      </c>
    </row>
    <row r="1054" spans="1:21">
      <c r="A1054" t="str">
        <f t="shared" si="524"/>
        <v>27/02/2025</v>
      </c>
      <c r="B1054" t="str">
        <f t="shared" si="532"/>
        <v>ENTRADA</v>
      </c>
      <c r="C1054" t="str">
        <f t="shared" si="527"/>
        <v>NFSE</v>
      </c>
      <c r="D1054" t="str">
        <f>"2747"</f>
        <v>2747</v>
      </c>
      <c r="E1054" t="str">
        <f t="shared" si="525"/>
        <v>COM</v>
      </c>
      <c r="F1054" t="str">
        <f>"JAL FARMACIA E DROGARIA LJ 1 (10137)"</f>
        <v>JAL FARMACIA E DROGARIA LJ 1 (10137)</v>
      </c>
      <c r="G1054" t="str">
        <f>"Serv.Prest. 17/02/2025 a 23/02/2025 - RPS: 520 - NFSe: 2747"</f>
        <v>Serv.Prest. 17/02/2025 a 23/02/2025 - RPS: 520 - NFSe: 2747</v>
      </c>
      <c r="H1054" t="str">
        <f t="shared" si="528"/>
        <v>26/02/2025</v>
      </c>
      <c r="I1054" t="str">
        <f t="shared" si="529"/>
        <v>24/02/2025</v>
      </c>
      <c r="J1054" t="str">
        <f t="shared" si="526"/>
        <v>27/02/2025</v>
      </c>
      <c r="M1054">
        <v>303</v>
      </c>
      <c r="N1054" t="str">
        <f t="shared" si="530"/>
        <v>RECEITAS COM ENTREGAS</v>
      </c>
      <c r="P1054">
        <v>408</v>
      </c>
      <c r="Q1054" t="str">
        <f>"JAL FARMACIA E DROGARIA LJ 1 (10137)"</f>
        <v>JAL FARMACIA E DROGARIA LJ 1 (10137)</v>
      </c>
      <c r="R1054" t="str">
        <f t="shared" si="531"/>
        <v>RECEITAS COM ENTREGAS (303)</v>
      </c>
      <c r="S1054">
        <v>1113</v>
      </c>
      <c r="T1054">
        <v>922</v>
      </c>
      <c r="U1054" t="s">
        <v>19</v>
      </c>
    </row>
    <row r="1055" spans="1:21">
      <c r="A1055" t="str">
        <f t="shared" si="524"/>
        <v>27/02/2025</v>
      </c>
      <c r="B1055" t="str">
        <f t="shared" si="532"/>
        <v>ENTRADA</v>
      </c>
      <c r="C1055" t="str">
        <f t="shared" si="527"/>
        <v>NFSE</v>
      </c>
      <c r="D1055" t="str">
        <f>"2748"</f>
        <v>2748</v>
      </c>
      <c r="E1055" t="str">
        <f t="shared" si="525"/>
        <v>COM</v>
      </c>
      <c r="F1055" t="str">
        <f>"JAL FARMACIA E DROGARIA LJ 2 (10138)"</f>
        <v>JAL FARMACIA E DROGARIA LJ 2 (10138)</v>
      </c>
      <c r="G1055" t="str">
        <f>"Serv.Prest. 17/02/2025 a 23/02/2025 - RPS: 521 - NFSe: 2748"</f>
        <v>Serv.Prest. 17/02/2025 a 23/02/2025 - RPS: 521 - NFSe: 2748</v>
      </c>
      <c r="H1055" t="str">
        <f t="shared" si="528"/>
        <v>26/02/2025</v>
      </c>
      <c r="I1055" t="str">
        <f t="shared" si="529"/>
        <v>24/02/2025</v>
      </c>
      <c r="J1055" t="str">
        <f t="shared" si="526"/>
        <v>27/02/2025</v>
      </c>
      <c r="K1055">
        <v>264</v>
      </c>
      <c r="L1055">
        <v>264</v>
      </c>
      <c r="M1055">
        <v>303</v>
      </c>
      <c r="N1055" t="str">
        <f t="shared" si="530"/>
        <v>RECEITAS COM ENTREGAS</v>
      </c>
      <c r="O1055">
        <v>264</v>
      </c>
      <c r="R1055" t="str">
        <f t="shared" si="531"/>
        <v>RECEITAS COM ENTREGAS (303)</v>
      </c>
      <c r="S1055">
        <v>1114</v>
      </c>
      <c r="T1055">
        <v>923</v>
      </c>
      <c r="U1055" t="s">
        <v>19</v>
      </c>
    </row>
    <row r="1056" spans="1:21">
      <c r="A1056" t="str">
        <f t="shared" si="524"/>
        <v>27/02/2025</v>
      </c>
      <c r="B1056" t="str">
        <f t="shared" si="532"/>
        <v>ENTRADA</v>
      </c>
      <c r="C1056" t="str">
        <f t="shared" si="527"/>
        <v>NFSE</v>
      </c>
      <c r="D1056" t="str">
        <f>"2748"</f>
        <v>2748</v>
      </c>
      <c r="E1056" t="str">
        <f t="shared" si="525"/>
        <v>COM</v>
      </c>
      <c r="F1056" t="str">
        <f>"JAL FARMACIA E DROGARIA LJ 2 (10138)"</f>
        <v>JAL FARMACIA E DROGARIA LJ 2 (10138)</v>
      </c>
      <c r="G1056" t="str">
        <f>"Serv.Prest. 17/02/2025 a 23/02/2025 - RPS: 521 - NFSe: 2748"</f>
        <v>Serv.Prest. 17/02/2025 a 23/02/2025 - RPS: 521 - NFSe: 2748</v>
      </c>
      <c r="H1056" t="str">
        <f t="shared" si="528"/>
        <v>26/02/2025</v>
      </c>
      <c r="I1056" t="str">
        <f t="shared" si="529"/>
        <v>24/02/2025</v>
      </c>
      <c r="J1056" t="str">
        <f t="shared" si="526"/>
        <v>27/02/2025</v>
      </c>
      <c r="M1056">
        <v>303</v>
      </c>
      <c r="N1056" t="str">
        <f t="shared" si="530"/>
        <v>RECEITAS COM ENTREGAS</v>
      </c>
      <c r="P1056">
        <v>264</v>
      </c>
      <c r="Q1056" t="str">
        <f>"JAL FARMACIA E DROGARIA LJ 2 (10138)"</f>
        <v>JAL FARMACIA E DROGARIA LJ 2 (10138)</v>
      </c>
      <c r="R1056" t="str">
        <f t="shared" si="531"/>
        <v>RECEITAS COM ENTREGAS (303)</v>
      </c>
      <c r="S1056">
        <v>1114</v>
      </c>
      <c r="T1056">
        <v>923</v>
      </c>
      <c r="U1056" t="s">
        <v>19</v>
      </c>
    </row>
    <row r="1057" spans="1:21">
      <c r="A1057" t="str">
        <f t="shared" si="524"/>
        <v>27/02/2025</v>
      </c>
      <c r="B1057" t="str">
        <f t="shared" si="532"/>
        <v>ENTRADA</v>
      </c>
      <c r="C1057" t="str">
        <f t="shared" si="527"/>
        <v>NFSE</v>
      </c>
      <c r="D1057" t="str">
        <f>"2749"</f>
        <v>2749</v>
      </c>
      <c r="E1057" t="str">
        <f t="shared" si="525"/>
        <v>COM</v>
      </c>
      <c r="F1057" t="str">
        <f>"FARMACIA ECONOMIZE (10103)"</f>
        <v>FARMACIA ECONOMIZE (10103)</v>
      </c>
      <c r="G1057" t="str">
        <f>"Serv.Prest. 17/02/2025 a 23/02/2025 - RPS: 522 - NFSe: 2749"</f>
        <v>Serv.Prest. 17/02/2025 a 23/02/2025 - RPS: 522 - NFSe: 2749</v>
      </c>
      <c r="H1057" t="str">
        <f t="shared" si="528"/>
        <v>26/02/2025</v>
      </c>
      <c r="I1057" t="str">
        <f t="shared" si="529"/>
        <v>24/02/2025</v>
      </c>
      <c r="J1057" t="str">
        <f t="shared" si="526"/>
        <v>27/02/2025</v>
      </c>
      <c r="K1057">
        <v>137.36000000000001</v>
      </c>
      <c r="L1057">
        <v>137.36000000000001</v>
      </c>
      <c r="M1057">
        <v>303</v>
      </c>
      <c r="N1057" t="str">
        <f t="shared" si="530"/>
        <v>RECEITAS COM ENTREGAS</v>
      </c>
      <c r="O1057">
        <v>137.36000000000001</v>
      </c>
      <c r="R1057" t="str">
        <f t="shared" si="531"/>
        <v>RECEITAS COM ENTREGAS (303)</v>
      </c>
      <c r="S1057">
        <v>1115</v>
      </c>
      <c r="T1057">
        <v>924</v>
      </c>
      <c r="U1057" t="s">
        <v>19</v>
      </c>
    </row>
    <row r="1058" spans="1:21">
      <c r="A1058" t="str">
        <f t="shared" si="524"/>
        <v>27/02/2025</v>
      </c>
      <c r="B1058" t="str">
        <f t="shared" si="532"/>
        <v>ENTRADA</v>
      </c>
      <c r="C1058" t="str">
        <f t="shared" si="527"/>
        <v>NFSE</v>
      </c>
      <c r="D1058" t="str">
        <f>"2749"</f>
        <v>2749</v>
      </c>
      <c r="E1058" t="str">
        <f t="shared" si="525"/>
        <v>COM</v>
      </c>
      <c r="F1058" t="str">
        <f>"FARMACIA ECONOMIZE (10103)"</f>
        <v>FARMACIA ECONOMIZE (10103)</v>
      </c>
      <c r="G1058" t="str">
        <f>"Serv.Prest. 17/02/2025 a 23/02/2025 - RPS: 522 - NFSe: 2749"</f>
        <v>Serv.Prest. 17/02/2025 a 23/02/2025 - RPS: 522 - NFSe: 2749</v>
      </c>
      <c r="H1058" t="str">
        <f t="shared" si="528"/>
        <v>26/02/2025</v>
      </c>
      <c r="I1058" t="str">
        <f t="shared" si="529"/>
        <v>24/02/2025</v>
      </c>
      <c r="J1058" t="str">
        <f t="shared" si="526"/>
        <v>27/02/2025</v>
      </c>
      <c r="M1058">
        <v>303</v>
      </c>
      <c r="N1058" t="str">
        <f t="shared" si="530"/>
        <v>RECEITAS COM ENTREGAS</v>
      </c>
      <c r="P1058">
        <v>137.36000000000001</v>
      </c>
      <c r="Q1058" t="str">
        <f>"FARMACIA ECONOMIZE (10103)"</f>
        <v>FARMACIA ECONOMIZE (10103)</v>
      </c>
      <c r="R1058" t="str">
        <f t="shared" si="531"/>
        <v>RECEITAS COM ENTREGAS (303)</v>
      </c>
      <c r="S1058">
        <v>1115</v>
      </c>
      <c r="T1058">
        <v>924</v>
      </c>
      <c r="U1058" t="s">
        <v>19</v>
      </c>
    </row>
    <row r="1059" spans="1:21">
      <c r="A1059" t="str">
        <f t="shared" si="524"/>
        <v>27/02/2025</v>
      </c>
      <c r="B1059" t="str">
        <f t="shared" si="532"/>
        <v>ENTRADA</v>
      </c>
      <c r="C1059" t="str">
        <f t="shared" si="527"/>
        <v>NFSE</v>
      </c>
      <c r="D1059" t="str">
        <f>"2752"</f>
        <v>2752</v>
      </c>
      <c r="E1059" t="str">
        <f t="shared" si="525"/>
        <v>COM</v>
      </c>
      <c r="F1059" t="str">
        <f>"DROGA MONICA (10147)"</f>
        <v>DROGA MONICA (10147)</v>
      </c>
      <c r="G1059" t="str">
        <f>"Serv.Prest. 17/02/2025 a 23/02/2025 - RPS: 525 - NFSe: 2752"</f>
        <v>Serv.Prest. 17/02/2025 a 23/02/2025 - RPS: 525 - NFSe: 2752</v>
      </c>
      <c r="H1059" t="str">
        <f t="shared" si="528"/>
        <v>26/02/2025</v>
      </c>
      <c r="I1059" t="str">
        <f t="shared" si="529"/>
        <v>24/02/2025</v>
      </c>
      <c r="J1059" t="str">
        <f t="shared" si="526"/>
        <v>27/02/2025</v>
      </c>
      <c r="K1059">
        <v>244.8</v>
      </c>
      <c r="L1059">
        <v>244.8</v>
      </c>
      <c r="M1059">
        <v>303</v>
      </c>
      <c r="N1059" t="str">
        <f t="shared" si="530"/>
        <v>RECEITAS COM ENTREGAS</v>
      </c>
      <c r="O1059">
        <v>244.8</v>
      </c>
      <c r="R1059" t="str">
        <f t="shared" si="531"/>
        <v>RECEITAS COM ENTREGAS (303)</v>
      </c>
      <c r="S1059">
        <v>1116</v>
      </c>
      <c r="T1059">
        <v>927</v>
      </c>
      <c r="U1059" t="s">
        <v>19</v>
      </c>
    </row>
    <row r="1060" spans="1:21">
      <c r="A1060" t="str">
        <f t="shared" si="524"/>
        <v>27/02/2025</v>
      </c>
      <c r="B1060" t="str">
        <f t="shared" si="532"/>
        <v>ENTRADA</v>
      </c>
      <c r="C1060" t="str">
        <f t="shared" si="527"/>
        <v>NFSE</v>
      </c>
      <c r="D1060" t="str">
        <f>"2752"</f>
        <v>2752</v>
      </c>
      <c r="E1060" t="str">
        <f t="shared" si="525"/>
        <v>COM</v>
      </c>
      <c r="F1060" t="str">
        <f>"DROGA MONICA (10147)"</f>
        <v>DROGA MONICA (10147)</v>
      </c>
      <c r="G1060" t="str">
        <f>"Serv.Prest. 17/02/2025 a 23/02/2025 - RPS: 525 - NFSe: 2752"</f>
        <v>Serv.Prest. 17/02/2025 a 23/02/2025 - RPS: 525 - NFSe: 2752</v>
      </c>
      <c r="H1060" t="str">
        <f t="shared" si="528"/>
        <v>26/02/2025</v>
      </c>
      <c r="I1060" t="str">
        <f t="shared" si="529"/>
        <v>24/02/2025</v>
      </c>
      <c r="J1060" t="str">
        <f t="shared" si="526"/>
        <v>27/02/2025</v>
      </c>
      <c r="M1060">
        <v>303</v>
      </c>
      <c r="N1060" t="str">
        <f t="shared" si="530"/>
        <v>RECEITAS COM ENTREGAS</v>
      </c>
      <c r="P1060">
        <v>244.8</v>
      </c>
      <c r="Q1060" t="str">
        <f>"DROGA MONICA (10147)"</f>
        <v>DROGA MONICA (10147)</v>
      </c>
      <c r="R1060" t="str">
        <f t="shared" si="531"/>
        <v>RECEITAS COM ENTREGAS (303)</v>
      </c>
      <c r="S1060">
        <v>1116</v>
      </c>
      <c r="T1060">
        <v>927</v>
      </c>
      <c r="U1060" t="s">
        <v>19</v>
      </c>
    </row>
    <row r="1061" spans="1:21">
      <c r="A1061" t="str">
        <f t="shared" si="524"/>
        <v>27/02/2025</v>
      </c>
      <c r="B1061" t="str">
        <f t="shared" si="532"/>
        <v>ENTRADA</v>
      </c>
      <c r="C1061" t="str">
        <f t="shared" si="527"/>
        <v>NFSE</v>
      </c>
      <c r="D1061" t="str">
        <f>"2753"</f>
        <v>2753</v>
      </c>
      <c r="E1061" t="str">
        <f t="shared" si="525"/>
        <v>COM</v>
      </c>
      <c r="F1061" t="str">
        <f>"DROGA MONICA LJ 17 (10154)"</f>
        <v>DROGA MONICA LJ 17 (10154)</v>
      </c>
      <c r="G1061" t="str">
        <f>"Serv.Prest. 17/02/2025 a 23/02/2025 - RPS: 526 - NFSe: 2753"</f>
        <v>Serv.Prest. 17/02/2025 a 23/02/2025 - RPS: 526 - NFSe: 2753</v>
      </c>
      <c r="H1061" t="str">
        <f t="shared" si="528"/>
        <v>26/02/2025</v>
      </c>
      <c r="I1061" t="str">
        <f t="shared" si="529"/>
        <v>24/02/2025</v>
      </c>
      <c r="J1061" t="str">
        <f t="shared" si="526"/>
        <v>27/02/2025</v>
      </c>
      <c r="K1061">
        <v>122.4</v>
      </c>
      <c r="L1061">
        <v>122.4</v>
      </c>
      <c r="M1061">
        <v>303</v>
      </c>
      <c r="N1061" t="str">
        <f t="shared" si="530"/>
        <v>RECEITAS COM ENTREGAS</v>
      </c>
      <c r="O1061">
        <v>122.4</v>
      </c>
      <c r="R1061" t="str">
        <f t="shared" si="531"/>
        <v>RECEITAS COM ENTREGAS (303)</v>
      </c>
      <c r="S1061">
        <v>1117</v>
      </c>
      <c r="T1061">
        <v>928</v>
      </c>
      <c r="U1061" t="s">
        <v>19</v>
      </c>
    </row>
    <row r="1062" spans="1:21">
      <c r="A1062" t="str">
        <f t="shared" si="524"/>
        <v>27/02/2025</v>
      </c>
      <c r="B1062" t="str">
        <f t="shared" si="532"/>
        <v>ENTRADA</v>
      </c>
      <c r="C1062" t="str">
        <f t="shared" si="527"/>
        <v>NFSE</v>
      </c>
      <c r="D1062" t="str">
        <f>"2753"</f>
        <v>2753</v>
      </c>
      <c r="E1062" t="str">
        <f t="shared" si="525"/>
        <v>COM</v>
      </c>
      <c r="F1062" t="str">
        <f>"DROGA MONICA LJ 17 (10154)"</f>
        <v>DROGA MONICA LJ 17 (10154)</v>
      </c>
      <c r="G1062" t="str">
        <f>"Serv.Prest. 17/02/2025 a 23/02/2025 - RPS: 526 - NFSe: 2753"</f>
        <v>Serv.Prest. 17/02/2025 a 23/02/2025 - RPS: 526 - NFSe: 2753</v>
      </c>
      <c r="H1062" t="str">
        <f t="shared" si="528"/>
        <v>26/02/2025</v>
      </c>
      <c r="I1062" t="str">
        <f t="shared" si="529"/>
        <v>24/02/2025</v>
      </c>
      <c r="J1062" t="str">
        <f t="shared" si="526"/>
        <v>27/02/2025</v>
      </c>
      <c r="M1062">
        <v>303</v>
      </c>
      <c r="N1062" t="str">
        <f t="shared" si="530"/>
        <v>RECEITAS COM ENTREGAS</v>
      </c>
      <c r="P1062">
        <v>122.4</v>
      </c>
      <c r="Q1062" t="str">
        <f>"DROGA MONICA LJ 17 (10154)"</f>
        <v>DROGA MONICA LJ 17 (10154)</v>
      </c>
      <c r="R1062" t="str">
        <f t="shared" si="531"/>
        <v>RECEITAS COM ENTREGAS (303)</v>
      </c>
      <c r="S1062">
        <v>1117</v>
      </c>
      <c r="T1062">
        <v>928</v>
      </c>
      <c r="U1062" t="s">
        <v>19</v>
      </c>
    </row>
    <row r="1063" spans="1:21">
      <c r="A1063" t="str">
        <f t="shared" si="524"/>
        <v>27/02/2025</v>
      </c>
      <c r="B1063" t="str">
        <f t="shared" si="532"/>
        <v>ENTRADA</v>
      </c>
      <c r="C1063" t="str">
        <f t="shared" si="527"/>
        <v>NFSE</v>
      </c>
      <c r="D1063" t="str">
        <f>"2754"</f>
        <v>2754</v>
      </c>
      <c r="E1063" t="str">
        <f t="shared" si="525"/>
        <v>COM</v>
      </c>
      <c r="F1063" t="str">
        <f>"DROGA MONICA LJ 22 (10158)"</f>
        <v>DROGA MONICA LJ 22 (10158)</v>
      </c>
      <c r="G1063" t="str">
        <f>"Serv.Prest. 17/02/2025 a 23/02/2025 - RPS: 527 - NFSe: 2754"</f>
        <v>Serv.Prest. 17/02/2025 a 23/02/2025 - RPS: 527 - NFSe: 2754</v>
      </c>
      <c r="H1063" t="str">
        <f t="shared" si="528"/>
        <v>26/02/2025</v>
      </c>
      <c r="I1063" t="str">
        <f t="shared" si="529"/>
        <v>24/02/2025</v>
      </c>
      <c r="J1063" t="str">
        <f t="shared" si="526"/>
        <v>27/02/2025</v>
      </c>
      <c r="K1063">
        <v>244.8</v>
      </c>
      <c r="L1063">
        <v>244.8</v>
      </c>
      <c r="M1063">
        <v>303</v>
      </c>
      <c r="N1063" t="str">
        <f t="shared" si="530"/>
        <v>RECEITAS COM ENTREGAS</v>
      </c>
      <c r="O1063">
        <v>244.8</v>
      </c>
      <c r="R1063" t="str">
        <f t="shared" si="531"/>
        <v>RECEITAS COM ENTREGAS (303)</v>
      </c>
      <c r="S1063">
        <v>1118</v>
      </c>
      <c r="T1063">
        <v>929</v>
      </c>
      <c r="U1063" t="s">
        <v>19</v>
      </c>
    </row>
    <row r="1064" spans="1:21">
      <c r="A1064" t="str">
        <f t="shared" si="524"/>
        <v>27/02/2025</v>
      </c>
      <c r="B1064" t="str">
        <f t="shared" si="532"/>
        <v>ENTRADA</v>
      </c>
      <c r="C1064" t="str">
        <f t="shared" si="527"/>
        <v>NFSE</v>
      </c>
      <c r="D1064" t="str">
        <f>"2754"</f>
        <v>2754</v>
      </c>
      <c r="E1064" t="str">
        <f t="shared" si="525"/>
        <v>COM</v>
      </c>
      <c r="F1064" t="str">
        <f>"DROGA MONICA LJ 22 (10158)"</f>
        <v>DROGA MONICA LJ 22 (10158)</v>
      </c>
      <c r="G1064" t="str">
        <f>"Serv.Prest. 17/02/2025 a 23/02/2025 - RPS: 527 - NFSe: 2754"</f>
        <v>Serv.Prest. 17/02/2025 a 23/02/2025 - RPS: 527 - NFSe: 2754</v>
      </c>
      <c r="H1064" t="str">
        <f t="shared" si="528"/>
        <v>26/02/2025</v>
      </c>
      <c r="I1064" t="str">
        <f t="shared" si="529"/>
        <v>24/02/2025</v>
      </c>
      <c r="J1064" t="str">
        <f t="shared" si="526"/>
        <v>27/02/2025</v>
      </c>
      <c r="M1064">
        <v>303</v>
      </c>
      <c r="N1064" t="str">
        <f t="shared" si="530"/>
        <v>RECEITAS COM ENTREGAS</v>
      </c>
      <c r="P1064">
        <v>244.8</v>
      </c>
      <c r="Q1064" t="str">
        <f>"DROGA MONICA LJ 22 (10158)"</f>
        <v>DROGA MONICA LJ 22 (10158)</v>
      </c>
      <c r="R1064" t="str">
        <f t="shared" si="531"/>
        <v>RECEITAS COM ENTREGAS (303)</v>
      </c>
      <c r="S1064">
        <v>1118</v>
      </c>
      <c r="T1064">
        <v>929</v>
      </c>
      <c r="U1064" t="s">
        <v>19</v>
      </c>
    </row>
    <row r="1065" spans="1:21">
      <c r="A1065" t="str">
        <f t="shared" si="524"/>
        <v>27/02/2025</v>
      </c>
      <c r="B1065" t="str">
        <f t="shared" si="532"/>
        <v>ENTRADA</v>
      </c>
      <c r="C1065" t="str">
        <f t="shared" si="527"/>
        <v>NFSE</v>
      </c>
      <c r="D1065" t="str">
        <f>"2755"</f>
        <v>2755</v>
      </c>
      <c r="E1065" t="str">
        <f t="shared" si="525"/>
        <v>COM</v>
      </c>
      <c r="F1065" t="str">
        <f>"DROGA MONICA LJ 3 (10152)"</f>
        <v>DROGA MONICA LJ 3 (10152)</v>
      </c>
      <c r="G1065" t="str">
        <f>"Serv.Prest. 17/02/2025 a 23/02/2025 - RPS: 528 - NFSe: 2755"</f>
        <v>Serv.Prest. 17/02/2025 a 23/02/2025 - RPS: 528 - NFSe: 2755</v>
      </c>
      <c r="H1065" t="str">
        <f t="shared" si="528"/>
        <v>26/02/2025</v>
      </c>
      <c r="I1065" t="str">
        <f t="shared" si="529"/>
        <v>24/02/2025</v>
      </c>
      <c r="J1065" t="str">
        <f t="shared" si="526"/>
        <v>27/02/2025</v>
      </c>
      <c r="K1065">
        <v>122.4</v>
      </c>
      <c r="L1065">
        <v>122.4</v>
      </c>
      <c r="M1065">
        <v>303</v>
      </c>
      <c r="N1065" t="str">
        <f t="shared" si="530"/>
        <v>RECEITAS COM ENTREGAS</v>
      </c>
      <c r="O1065">
        <v>122.4</v>
      </c>
      <c r="R1065" t="str">
        <f t="shared" si="531"/>
        <v>RECEITAS COM ENTREGAS (303)</v>
      </c>
      <c r="S1065">
        <v>1119</v>
      </c>
      <c r="T1065">
        <v>930</v>
      </c>
      <c r="U1065" t="s">
        <v>19</v>
      </c>
    </row>
    <row r="1066" spans="1:21">
      <c r="A1066" t="str">
        <f t="shared" si="524"/>
        <v>27/02/2025</v>
      </c>
      <c r="B1066" t="str">
        <f t="shared" si="532"/>
        <v>ENTRADA</v>
      </c>
      <c r="C1066" t="str">
        <f t="shared" si="527"/>
        <v>NFSE</v>
      </c>
      <c r="D1066" t="str">
        <f>"2755"</f>
        <v>2755</v>
      </c>
      <c r="E1066" t="str">
        <f t="shared" si="525"/>
        <v>COM</v>
      </c>
      <c r="F1066" t="str">
        <f>"DROGA MONICA LJ 3 (10152)"</f>
        <v>DROGA MONICA LJ 3 (10152)</v>
      </c>
      <c r="G1066" t="str">
        <f>"Serv.Prest. 17/02/2025 a 23/02/2025 - RPS: 528 - NFSe: 2755"</f>
        <v>Serv.Prest. 17/02/2025 a 23/02/2025 - RPS: 528 - NFSe: 2755</v>
      </c>
      <c r="H1066" t="str">
        <f t="shared" si="528"/>
        <v>26/02/2025</v>
      </c>
      <c r="I1066" t="str">
        <f t="shared" si="529"/>
        <v>24/02/2025</v>
      </c>
      <c r="J1066" t="str">
        <f t="shared" si="526"/>
        <v>27/02/2025</v>
      </c>
      <c r="M1066">
        <v>303</v>
      </c>
      <c r="N1066" t="str">
        <f t="shared" si="530"/>
        <v>RECEITAS COM ENTREGAS</v>
      </c>
      <c r="P1066">
        <v>122.4</v>
      </c>
      <c r="Q1066" t="str">
        <f>"DROGA MONICA LJ 3 (10152)"</f>
        <v>DROGA MONICA LJ 3 (10152)</v>
      </c>
      <c r="R1066" t="str">
        <f t="shared" si="531"/>
        <v>RECEITAS COM ENTREGAS (303)</v>
      </c>
      <c r="S1066">
        <v>1119</v>
      </c>
      <c r="T1066">
        <v>930</v>
      </c>
      <c r="U1066" t="s">
        <v>19</v>
      </c>
    </row>
    <row r="1067" spans="1:21">
      <c r="A1067" t="str">
        <f t="shared" si="524"/>
        <v>27/02/2025</v>
      </c>
      <c r="B1067" t="str">
        <f t="shared" si="532"/>
        <v>ENTRADA</v>
      </c>
      <c r="C1067" t="str">
        <f t="shared" si="527"/>
        <v>NFSE</v>
      </c>
      <c r="D1067" t="str">
        <f>"2757"</f>
        <v>2757</v>
      </c>
      <c r="E1067" t="str">
        <f t="shared" si="525"/>
        <v>COM</v>
      </c>
      <c r="F1067" t="str">
        <f>"DROGA MONICA LJ 6 (10157)"</f>
        <v>DROGA MONICA LJ 6 (10157)</v>
      </c>
      <c r="G1067" t="str">
        <f>"Serv.Prest. 17/02/2025 a 23/02/2025 - RPS: 529 - NFSe: 2757"</f>
        <v>Serv.Prest. 17/02/2025 a 23/02/2025 - RPS: 529 - NFSe: 2757</v>
      </c>
      <c r="H1067" t="str">
        <f t="shared" si="528"/>
        <v>26/02/2025</v>
      </c>
      <c r="I1067" t="str">
        <f t="shared" si="529"/>
        <v>24/02/2025</v>
      </c>
      <c r="J1067" t="str">
        <f t="shared" si="526"/>
        <v>27/02/2025</v>
      </c>
      <c r="K1067">
        <v>244.8</v>
      </c>
      <c r="L1067">
        <v>244.8</v>
      </c>
      <c r="M1067">
        <v>303</v>
      </c>
      <c r="N1067" t="str">
        <f t="shared" si="530"/>
        <v>RECEITAS COM ENTREGAS</v>
      </c>
      <c r="O1067">
        <v>244.8</v>
      </c>
      <c r="R1067" t="str">
        <f t="shared" si="531"/>
        <v>RECEITAS COM ENTREGAS (303)</v>
      </c>
      <c r="S1067">
        <v>1120</v>
      </c>
      <c r="T1067">
        <v>931</v>
      </c>
      <c r="U1067" t="s">
        <v>19</v>
      </c>
    </row>
    <row r="1068" spans="1:21">
      <c r="A1068" t="str">
        <f t="shared" si="524"/>
        <v>27/02/2025</v>
      </c>
      <c r="B1068" t="str">
        <f t="shared" si="532"/>
        <v>ENTRADA</v>
      </c>
      <c r="C1068" t="str">
        <f t="shared" si="527"/>
        <v>NFSE</v>
      </c>
      <c r="D1068" t="str">
        <f>"2757"</f>
        <v>2757</v>
      </c>
      <c r="E1068" t="str">
        <f t="shared" si="525"/>
        <v>COM</v>
      </c>
      <c r="F1068" t="str">
        <f>"DROGA MONICA LJ 6 (10157)"</f>
        <v>DROGA MONICA LJ 6 (10157)</v>
      </c>
      <c r="G1068" t="str">
        <f>"Serv.Prest. 17/02/2025 a 23/02/2025 - RPS: 529 - NFSe: 2757"</f>
        <v>Serv.Prest. 17/02/2025 a 23/02/2025 - RPS: 529 - NFSe: 2757</v>
      </c>
      <c r="H1068" t="str">
        <f t="shared" si="528"/>
        <v>26/02/2025</v>
      </c>
      <c r="I1068" t="str">
        <f t="shared" si="529"/>
        <v>24/02/2025</v>
      </c>
      <c r="J1068" t="str">
        <f t="shared" si="526"/>
        <v>27/02/2025</v>
      </c>
      <c r="M1068">
        <v>303</v>
      </c>
      <c r="N1068" t="str">
        <f t="shared" si="530"/>
        <v>RECEITAS COM ENTREGAS</v>
      </c>
      <c r="P1068">
        <v>244.8</v>
      </c>
      <c r="Q1068" t="str">
        <f>"DROGA MONICA LJ 6 (10157)"</f>
        <v>DROGA MONICA LJ 6 (10157)</v>
      </c>
      <c r="R1068" t="str">
        <f t="shared" si="531"/>
        <v>RECEITAS COM ENTREGAS (303)</v>
      </c>
      <c r="S1068">
        <v>1120</v>
      </c>
      <c r="T1068">
        <v>931</v>
      </c>
      <c r="U1068" t="s">
        <v>19</v>
      </c>
    </row>
    <row r="1069" spans="1:21">
      <c r="A1069" t="str">
        <f t="shared" si="524"/>
        <v>27/02/2025</v>
      </c>
      <c r="B1069" t="str">
        <f t="shared" si="532"/>
        <v>ENTRADA</v>
      </c>
      <c r="C1069" t="str">
        <f t="shared" si="527"/>
        <v>NFSE</v>
      </c>
      <c r="D1069" t="str">
        <f>"2756"</f>
        <v>2756</v>
      </c>
      <c r="E1069" t="str">
        <f t="shared" si="525"/>
        <v>COM</v>
      </c>
      <c r="F1069" t="str">
        <f>"DROGA MONICA LJ 8 (10153)"</f>
        <v>DROGA MONICA LJ 8 (10153)</v>
      </c>
      <c r="G1069" t="str">
        <f>"Serv.Prest. 17/02/2025 a 23/02/2025 - RPS: 530 - NFSe: 2756"</f>
        <v>Serv.Prest. 17/02/2025 a 23/02/2025 - RPS: 530 - NFSe: 2756</v>
      </c>
      <c r="H1069" t="str">
        <f t="shared" si="528"/>
        <v>26/02/2025</v>
      </c>
      <c r="I1069" t="str">
        <f t="shared" si="529"/>
        <v>24/02/2025</v>
      </c>
      <c r="J1069" t="str">
        <f t="shared" si="526"/>
        <v>27/02/2025</v>
      </c>
      <c r="K1069">
        <v>122.4</v>
      </c>
      <c r="L1069">
        <v>122.4</v>
      </c>
      <c r="M1069">
        <v>303</v>
      </c>
      <c r="N1069" t="str">
        <f t="shared" si="530"/>
        <v>RECEITAS COM ENTREGAS</v>
      </c>
      <c r="O1069">
        <v>122.4</v>
      </c>
      <c r="R1069" t="str">
        <f t="shared" si="531"/>
        <v>RECEITAS COM ENTREGAS (303)</v>
      </c>
      <c r="S1069">
        <v>1121</v>
      </c>
      <c r="T1069">
        <v>932</v>
      </c>
      <c r="U1069" t="s">
        <v>19</v>
      </c>
    </row>
    <row r="1070" spans="1:21">
      <c r="A1070" t="str">
        <f t="shared" si="524"/>
        <v>27/02/2025</v>
      </c>
      <c r="B1070" t="str">
        <f t="shared" si="532"/>
        <v>ENTRADA</v>
      </c>
      <c r="C1070" t="str">
        <f t="shared" si="527"/>
        <v>NFSE</v>
      </c>
      <c r="D1070" t="str">
        <f>"2756"</f>
        <v>2756</v>
      </c>
      <c r="E1070" t="str">
        <f t="shared" si="525"/>
        <v>COM</v>
      </c>
      <c r="F1070" t="str">
        <f>"DROGA MONICA LJ 8 (10153)"</f>
        <v>DROGA MONICA LJ 8 (10153)</v>
      </c>
      <c r="G1070" t="str">
        <f>"Serv.Prest. 17/02/2025 a 23/02/2025 - RPS: 530 - NFSe: 2756"</f>
        <v>Serv.Prest. 17/02/2025 a 23/02/2025 - RPS: 530 - NFSe: 2756</v>
      </c>
      <c r="H1070" t="str">
        <f t="shared" si="528"/>
        <v>26/02/2025</v>
      </c>
      <c r="I1070" t="str">
        <f t="shared" si="529"/>
        <v>24/02/2025</v>
      </c>
      <c r="J1070" t="str">
        <f t="shared" si="526"/>
        <v>27/02/2025</v>
      </c>
      <c r="M1070">
        <v>303</v>
      </c>
      <c r="N1070" t="str">
        <f t="shared" si="530"/>
        <v>RECEITAS COM ENTREGAS</v>
      </c>
      <c r="P1070">
        <v>122.4</v>
      </c>
      <c r="Q1070" t="str">
        <f>"DROGA MONICA LJ 8 (10153)"</f>
        <v>DROGA MONICA LJ 8 (10153)</v>
      </c>
      <c r="R1070" t="str">
        <f t="shared" si="531"/>
        <v>RECEITAS COM ENTREGAS (303)</v>
      </c>
      <c r="S1070">
        <v>1121</v>
      </c>
      <c r="T1070">
        <v>932</v>
      </c>
      <c r="U1070" t="s">
        <v>19</v>
      </c>
    </row>
    <row r="1071" spans="1:21">
      <c r="A1071" t="str">
        <f t="shared" si="524"/>
        <v>27/02/2025</v>
      </c>
      <c r="B1071" t="str">
        <f t="shared" ref="B1071:B1081" si="533">"SAÍDA"</f>
        <v>SAÍDA</v>
      </c>
      <c r="C1071" t="str">
        <f t="shared" ref="C1071:C1081" si="534">"JUROS"</f>
        <v>JUROS</v>
      </c>
      <c r="D1071" t="str">
        <f>""</f>
        <v/>
      </c>
      <c r="E1071" t="str">
        <f t="shared" ref="E1071:E1081" si="535">"CXA"</f>
        <v>CXA</v>
      </c>
      <c r="F1071" t="str">
        <f>""</f>
        <v/>
      </c>
      <c r="G1071" t="str">
        <f t="shared" ref="G1071:G1081" si="536">"TAXA BOLETO COMPENSADO"</f>
        <v>TAXA BOLETO COMPENSADO</v>
      </c>
      <c r="H1071" t="str">
        <f t="shared" ref="H1071:I1081" si="537">("27/02/2025")</f>
        <v>27/02/2025</v>
      </c>
      <c r="I1071" t="str">
        <f t="shared" si="537"/>
        <v>27/02/2025</v>
      </c>
      <c r="J1071" t="str">
        <f t="shared" si="526"/>
        <v>27/02/2025</v>
      </c>
      <c r="K1071">
        <v>1.7</v>
      </c>
      <c r="L1071">
        <v>1.7</v>
      </c>
      <c r="M1071">
        <v>401</v>
      </c>
      <c r="N1071" t="str">
        <f t="shared" ref="N1071:N1081" si="538">"IOF/JUROS/DESP.FINANCEIRA"</f>
        <v>IOF/JUROS/DESP.FINANCEIRA</v>
      </c>
      <c r="O1071">
        <v>1.7</v>
      </c>
      <c r="R1071" t="str">
        <f t="shared" ref="R1071:R1081" si="539">"BANCO CORA (102)"</f>
        <v>BANCO CORA (102)</v>
      </c>
      <c r="S1071">
        <v>1127</v>
      </c>
      <c r="T1071">
        <v>0</v>
      </c>
      <c r="U1071" t="s">
        <v>20</v>
      </c>
    </row>
    <row r="1072" spans="1:21">
      <c r="A1072" t="str">
        <f t="shared" si="524"/>
        <v>27/02/2025</v>
      </c>
      <c r="B1072" t="str">
        <f t="shared" si="533"/>
        <v>SAÍDA</v>
      </c>
      <c r="C1072" t="str">
        <f t="shared" si="534"/>
        <v>JUROS</v>
      </c>
      <c r="D1072" t="str">
        <f>""</f>
        <v/>
      </c>
      <c r="E1072" t="str">
        <f t="shared" si="535"/>
        <v>CXA</v>
      </c>
      <c r="F1072" t="str">
        <f>""</f>
        <v/>
      </c>
      <c r="G1072" t="str">
        <f t="shared" si="536"/>
        <v>TAXA BOLETO COMPENSADO</v>
      </c>
      <c r="H1072" t="str">
        <f t="shared" si="537"/>
        <v>27/02/2025</v>
      </c>
      <c r="I1072" t="str">
        <f t="shared" si="537"/>
        <v>27/02/2025</v>
      </c>
      <c r="J1072" t="str">
        <f t="shared" si="526"/>
        <v>27/02/2025</v>
      </c>
      <c r="K1072">
        <v>1.7</v>
      </c>
      <c r="L1072">
        <v>1.7</v>
      </c>
      <c r="M1072">
        <v>401</v>
      </c>
      <c r="N1072" t="str">
        <f t="shared" si="538"/>
        <v>IOF/JUROS/DESP.FINANCEIRA</v>
      </c>
      <c r="O1072">
        <v>1.7</v>
      </c>
      <c r="R1072" t="str">
        <f t="shared" si="539"/>
        <v>BANCO CORA (102)</v>
      </c>
      <c r="S1072">
        <v>1128</v>
      </c>
      <c r="T1072">
        <v>0</v>
      </c>
      <c r="U1072" t="s">
        <v>20</v>
      </c>
    </row>
    <row r="1073" spans="1:21">
      <c r="A1073" t="str">
        <f t="shared" si="524"/>
        <v>27/02/2025</v>
      </c>
      <c r="B1073" t="str">
        <f t="shared" si="533"/>
        <v>SAÍDA</v>
      </c>
      <c r="C1073" t="str">
        <f t="shared" si="534"/>
        <v>JUROS</v>
      </c>
      <c r="D1073" t="str">
        <f>""</f>
        <v/>
      </c>
      <c r="E1073" t="str">
        <f t="shared" si="535"/>
        <v>CXA</v>
      </c>
      <c r="F1073" t="str">
        <f>""</f>
        <v/>
      </c>
      <c r="G1073" t="str">
        <f t="shared" si="536"/>
        <v>TAXA BOLETO COMPENSADO</v>
      </c>
      <c r="H1073" t="str">
        <f t="shared" si="537"/>
        <v>27/02/2025</v>
      </c>
      <c r="I1073" t="str">
        <f t="shared" si="537"/>
        <v>27/02/2025</v>
      </c>
      <c r="J1073" t="str">
        <f t="shared" si="526"/>
        <v>27/02/2025</v>
      </c>
      <c r="K1073">
        <v>1.7</v>
      </c>
      <c r="L1073">
        <v>1.7</v>
      </c>
      <c r="M1073">
        <v>401</v>
      </c>
      <c r="N1073" t="str">
        <f t="shared" si="538"/>
        <v>IOF/JUROS/DESP.FINANCEIRA</v>
      </c>
      <c r="O1073">
        <v>1.7</v>
      </c>
      <c r="R1073" t="str">
        <f t="shared" si="539"/>
        <v>BANCO CORA (102)</v>
      </c>
      <c r="S1073">
        <v>1129</v>
      </c>
      <c r="T1073">
        <v>0</v>
      </c>
      <c r="U1073" t="s">
        <v>20</v>
      </c>
    </row>
    <row r="1074" spans="1:21">
      <c r="A1074" t="str">
        <f t="shared" si="524"/>
        <v>27/02/2025</v>
      </c>
      <c r="B1074" t="str">
        <f t="shared" si="533"/>
        <v>SAÍDA</v>
      </c>
      <c r="C1074" t="str">
        <f t="shared" si="534"/>
        <v>JUROS</v>
      </c>
      <c r="D1074" t="str">
        <f>""</f>
        <v/>
      </c>
      <c r="E1074" t="str">
        <f t="shared" si="535"/>
        <v>CXA</v>
      </c>
      <c r="F1074" t="str">
        <f>""</f>
        <v/>
      </c>
      <c r="G1074" t="str">
        <f t="shared" si="536"/>
        <v>TAXA BOLETO COMPENSADO</v>
      </c>
      <c r="H1074" t="str">
        <f t="shared" si="537"/>
        <v>27/02/2025</v>
      </c>
      <c r="I1074" t="str">
        <f t="shared" si="537"/>
        <v>27/02/2025</v>
      </c>
      <c r="J1074" t="str">
        <f t="shared" si="526"/>
        <v>27/02/2025</v>
      </c>
      <c r="K1074">
        <v>1.7</v>
      </c>
      <c r="L1074">
        <v>1.7</v>
      </c>
      <c r="M1074">
        <v>401</v>
      </c>
      <c r="N1074" t="str">
        <f t="shared" si="538"/>
        <v>IOF/JUROS/DESP.FINANCEIRA</v>
      </c>
      <c r="O1074">
        <v>1.7</v>
      </c>
      <c r="R1074" t="str">
        <f t="shared" si="539"/>
        <v>BANCO CORA (102)</v>
      </c>
      <c r="S1074">
        <v>1130</v>
      </c>
      <c r="T1074">
        <v>0</v>
      </c>
      <c r="U1074" t="s">
        <v>20</v>
      </c>
    </row>
    <row r="1075" spans="1:21">
      <c r="A1075" t="str">
        <f t="shared" si="524"/>
        <v>27/02/2025</v>
      </c>
      <c r="B1075" t="str">
        <f t="shared" si="533"/>
        <v>SAÍDA</v>
      </c>
      <c r="C1075" t="str">
        <f t="shared" si="534"/>
        <v>JUROS</v>
      </c>
      <c r="D1075" t="str">
        <f>""</f>
        <v/>
      </c>
      <c r="E1075" t="str">
        <f t="shared" si="535"/>
        <v>CXA</v>
      </c>
      <c r="F1075" t="str">
        <f>""</f>
        <v/>
      </c>
      <c r="G1075" t="str">
        <f t="shared" si="536"/>
        <v>TAXA BOLETO COMPENSADO</v>
      </c>
      <c r="H1075" t="str">
        <f t="shared" si="537"/>
        <v>27/02/2025</v>
      </c>
      <c r="I1075" t="str">
        <f t="shared" si="537"/>
        <v>27/02/2025</v>
      </c>
      <c r="J1075" t="str">
        <f t="shared" si="526"/>
        <v>27/02/2025</v>
      </c>
      <c r="K1075">
        <v>1.7</v>
      </c>
      <c r="L1075">
        <v>1.7</v>
      </c>
      <c r="M1075">
        <v>401</v>
      </c>
      <c r="N1075" t="str">
        <f t="shared" si="538"/>
        <v>IOF/JUROS/DESP.FINANCEIRA</v>
      </c>
      <c r="O1075">
        <v>1.7</v>
      </c>
      <c r="R1075" t="str">
        <f t="shared" si="539"/>
        <v>BANCO CORA (102)</v>
      </c>
      <c r="S1075">
        <v>1131</v>
      </c>
      <c r="T1075">
        <v>0</v>
      </c>
      <c r="U1075" t="s">
        <v>20</v>
      </c>
    </row>
    <row r="1076" spans="1:21">
      <c r="A1076" t="str">
        <f t="shared" si="524"/>
        <v>27/02/2025</v>
      </c>
      <c r="B1076" t="str">
        <f t="shared" si="533"/>
        <v>SAÍDA</v>
      </c>
      <c r="C1076" t="str">
        <f t="shared" si="534"/>
        <v>JUROS</v>
      </c>
      <c r="D1076" t="str">
        <f>""</f>
        <v/>
      </c>
      <c r="E1076" t="str">
        <f t="shared" si="535"/>
        <v>CXA</v>
      </c>
      <c r="F1076" t="str">
        <f>""</f>
        <v/>
      </c>
      <c r="G1076" t="str">
        <f t="shared" si="536"/>
        <v>TAXA BOLETO COMPENSADO</v>
      </c>
      <c r="H1076" t="str">
        <f t="shared" si="537"/>
        <v>27/02/2025</v>
      </c>
      <c r="I1076" t="str">
        <f t="shared" si="537"/>
        <v>27/02/2025</v>
      </c>
      <c r="J1076" t="str">
        <f t="shared" si="526"/>
        <v>27/02/2025</v>
      </c>
      <c r="K1076">
        <v>1.7</v>
      </c>
      <c r="L1076">
        <v>1.7</v>
      </c>
      <c r="M1076">
        <v>401</v>
      </c>
      <c r="N1076" t="str">
        <f t="shared" si="538"/>
        <v>IOF/JUROS/DESP.FINANCEIRA</v>
      </c>
      <c r="O1076">
        <v>1.7</v>
      </c>
      <c r="R1076" t="str">
        <f t="shared" si="539"/>
        <v>BANCO CORA (102)</v>
      </c>
      <c r="S1076">
        <v>1132</v>
      </c>
      <c r="T1076">
        <v>0</v>
      </c>
      <c r="U1076" t="s">
        <v>20</v>
      </c>
    </row>
    <row r="1077" spans="1:21">
      <c r="A1077" t="str">
        <f t="shared" si="524"/>
        <v>27/02/2025</v>
      </c>
      <c r="B1077" t="str">
        <f t="shared" si="533"/>
        <v>SAÍDA</v>
      </c>
      <c r="C1077" t="str">
        <f t="shared" si="534"/>
        <v>JUROS</v>
      </c>
      <c r="D1077" t="str">
        <f>""</f>
        <v/>
      </c>
      <c r="E1077" t="str">
        <f t="shared" si="535"/>
        <v>CXA</v>
      </c>
      <c r="F1077" t="str">
        <f>""</f>
        <v/>
      </c>
      <c r="G1077" t="str">
        <f t="shared" si="536"/>
        <v>TAXA BOLETO COMPENSADO</v>
      </c>
      <c r="H1077" t="str">
        <f t="shared" si="537"/>
        <v>27/02/2025</v>
      </c>
      <c r="I1077" t="str">
        <f t="shared" si="537"/>
        <v>27/02/2025</v>
      </c>
      <c r="J1077" t="str">
        <f t="shared" si="526"/>
        <v>27/02/2025</v>
      </c>
      <c r="K1077">
        <v>1.7</v>
      </c>
      <c r="L1077">
        <v>1.7</v>
      </c>
      <c r="M1077">
        <v>401</v>
      </c>
      <c r="N1077" t="str">
        <f t="shared" si="538"/>
        <v>IOF/JUROS/DESP.FINANCEIRA</v>
      </c>
      <c r="O1077">
        <v>1.7</v>
      </c>
      <c r="R1077" t="str">
        <f t="shared" si="539"/>
        <v>BANCO CORA (102)</v>
      </c>
      <c r="S1077">
        <v>1133</v>
      </c>
      <c r="T1077">
        <v>0</v>
      </c>
      <c r="U1077" t="s">
        <v>20</v>
      </c>
    </row>
    <row r="1078" spans="1:21">
      <c r="A1078" t="str">
        <f t="shared" si="524"/>
        <v>27/02/2025</v>
      </c>
      <c r="B1078" t="str">
        <f t="shared" si="533"/>
        <v>SAÍDA</v>
      </c>
      <c r="C1078" t="str">
        <f t="shared" si="534"/>
        <v>JUROS</v>
      </c>
      <c r="D1078" t="str">
        <f>""</f>
        <v/>
      </c>
      <c r="E1078" t="str">
        <f t="shared" si="535"/>
        <v>CXA</v>
      </c>
      <c r="F1078" t="str">
        <f>""</f>
        <v/>
      </c>
      <c r="G1078" t="str">
        <f t="shared" si="536"/>
        <v>TAXA BOLETO COMPENSADO</v>
      </c>
      <c r="H1078" t="str">
        <f t="shared" si="537"/>
        <v>27/02/2025</v>
      </c>
      <c r="I1078" t="str">
        <f t="shared" si="537"/>
        <v>27/02/2025</v>
      </c>
      <c r="J1078" t="str">
        <f t="shared" si="526"/>
        <v>27/02/2025</v>
      </c>
      <c r="K1078">
        <v>1.7</v>
      </c>
      <c r="L1078">
        <v>1.7</v>
      </c>
      <c r="M1078">
        <v>401</v>
      </c>
      <c r="N1078" t="str">
        <f t="shared" si="538"/>
        <v>IOF/JUROS/DESP.FINANCEIRA</v>
      </c>
      <c r="O1078">
        <v>1.7</v>
      </c>
      <c r="R1078" t="str">
        <f t="shared" si="539"/>
        <v>BANCO CORA (102)</v>
      </c>
      <c r="S1078">
        <v>1134</v>
      </c>
      <c r="T1078">
        <v>0</v>
      </c>
      <c r="U1078" t="s">
        <v>20</v>
      </c>
    </row>
    <row r="1079" spans="1:21">
      <c r="A1079" t="str">
        <f t="shared" si="524"/>
        <v>27/02/2025</v>
      </c>
      <c r="B1079" t="str">
        <f t="shared" si="533"/>
        <v>SAÍDA</v>
      </c>
      <c r="C1079" t="str">
        <f t="shared" si="534"/>
        <v>JUROS</v>
      </c>
      <c r="D1079" t="str">
        <f>""</f>
        <v/>
      </c>
      <c r="E1079" t="str">
        <f t="shared" si="535"/>
        <v>CXA</v>
      </c>
      <c r="F1079" t="str">
        <f>""</f>
        <v/>
      </c>
      <c r="G1079" t="str">
        <f t="shared" si="536"/>
        <v>TAXA BOLETO COMPENSADO</v>
      </c>
      <c r="H1079" t="str">
        <f t="shared" si="537"/>
        <v>27/02/2025</v>
      </c>
      <c r="I1079" t="str">
        <f t="shared" si="537"/>
        <v>27/02/2025</v>
      </c>
      <c r="J1079" t="str">
        <f t="shared" si="526"/>
        <v>27/02/2025</v>
      </c>
      <c r="K1079">
        <v>1.7</v>
      </c>
      <c r="L1079">
        <v>1.7</v>
      </c>
      <c r="M1079">
        <v>401</v>
      </c>
      <c r="N1079" t="str">
        <f t="shared" si="538"/>
        <v>IOF/JUROS/DESP.FINANCEIRA</v>
      </c>
      <c r="O1079">
        <v>1.7</v>
      </c>
      <c r="R1079" t="str">
        <f t="shared" si="539"/>
        <v>BANCO CORA (102)</v>
      </c>
      <c r="S1079">
        <v>1135</v>
      </c>
      <c r="T1079">
        <v>0</v>
      </c>
      <c r="U1079" t="s">
        <v>20</v>
      </c>
    </row>
    <row r="1080" spans="1:21">
      <c r="A1080" t="str">
        <f t="shared" si="524"/>
        <v>27/02/2025</v>
      </c>
      <c r="B1080" t="str">
        <f t="shared" si="533"/>
        <v>SAÍDA</v>
      </c>
      <c r="C1080" t="str">
        <f t="shared" si="534"/>
        <v>JUROS</v>
      </c>
      <c r="D1080" t="str">
        <f>""</f>
        <v/>
      </c>
      <c r="E1080" t="str">
        <f t="shared" si="535"/>
        <v>CXA</v>
      </c>
      <c r="F1080" t="str">
        <f>""</f>
        <v/>
      </c>
      <c r="G1080" t="str">
        <f t="shared" si="536"/>
        <v>TAXA BOLETO COMPENSADO</v>
      </c>
      <c r="H1080" t="str">
        <f t="shared" si="537"/>
        <v>27/02/2025</v>
      </c>
      <c r="I1080" t="str">
        <f t="shared" si="537"/>
        <v>27/02/2025</v>
      </c>
      <c r="J1080" t="str">
        <f t="shared" si="526"/>
        <v>27/02/2025</v>
      </c>
      <c r="K1080">
        <v>1.7</v>
      </c>
      <c r="L1080">
        <v>1.7</v>
      </c>
      <c r="M1080">
        <v>401</v>
      </c>
      <c r="N1080" t="str">
        <f t="shared" si="538"/>
        <v>IOF/JUROS/DESP.FINANCEIRA</v>
      </c>
      <c r="O1080">
        <v>1.7</v>
      </c>
      <c r="R1080" t="str">
        <f t="shared" si="539"/>
        <v>BANCO CORA (102)</v>
      </c>
      <c r="S1080">
        <v>1136</v>
      </c>
      <c r="T1080">
        <v>0</v>
      </c>
      <c r="U1080" t="s">
        <v>20</v>
      </c>
    </row>
    <row r="1081" spans="1:21">
      <c r="A1081" t="str">
        <f t="shared" si="524"/>
        <v>27/02/2025</v>
      </c>
      <c r="B1081" t="str">
        <f t="shared" si="533"/>
        <v>SAÍDA</v>
      </c>
      <c r="C1081" t="str">
        <f t="shared" si="534"/>
        <v>JUROS</v>
      </c>
      <c r="D1081" t="str">
        <f>""</f>
        <v/>
      </c>
      <c r="E1081" t="str">
        <f t="shared" si="535"/>
        <v>CXA</v>
      </c>
      <c r="F1081" t="str">
        <f>""</f>
        <v/>
      </c>
      <c r="G1081" t="str">
        <f t="shared" si="536"/>
        <v>TAXA BOLETO COMPENSADO</v>
      </c>
      <c r="H1081" t="str">
        <f t="shared" si="537"/>
        <v>27/02/2025</v>
      </c>
      <c r="I1081" t="str">
        <f t="shared" si="537"/>
        <v>27/02/2025</v>
      </c>
      <c r="J1081" t="str">
        <f t="shared" si="526"/>
        <v>27/02/2025</v>
      </c>
      <c r="K1081">
        <v>1.7</v>
      </c>
      <c r="L1081">
        <v>1.7</v>
      </c>
      <c r="M1081">
        <v>401</v>
      </c>
      <c r="N1081" t="str">
        <f t="shared" si="538"/>
        <v>IOF/JUROS/DESP.FINANCEIRA</v>
      </c>
      <c r="O1081">
        <v>1.7</v>
      </c>
      <c r="R1081" t="str">
        <f t="shared" si="539"/>
        <v>BANCO CORA (102)</v>
      </c>
      <c r="S1081">
        <v>1137</v>
      </c>
      <c r="T1081">
        <v>0</v>
      </c>
      <c r="U1081" t="s">
        <v>20</v>
      </c>
    </row>
    <row r="1082" spans="1:21">
      <c r="A1082" t="str">
        <f t="shared" ref="A1082:A1090" si="540">("28/02/2025")</f>
        <v>28/02/2025</v>
      </c>
      <c r="B1082" t="str">
        <f>"ENTRADA"</f>
        <v>ENTRADA</v>
      </c>
      <c r="C1082" t="str">
        <f t="shared" ref="C1082:C1087" si="541">"NFSE"</f>
        <v>NFSE</v>
      </c>
      <c r="D1082" t="str">
        <f>"2734"</f>
        <v>2734</v>
      </c>
      <c r="E1082" t="str">
        <f t="shared" ref="E1082:E1087" si="542">"COM"</f>
        <v>COM</v>
      </c>
      <c r="F1082" t="str">
        <f>"PAGMENOS - LJ 657 (10136)"</f>
        <v>PAGMENOS - LJ 657 (10136)</v>
      </c>
      <c r="G1082" t="str">
        <f>"Serv.Prest. 10/02/2025 a 16/02/2025 - RPS: 507 - NFSe: 2734"</f>
        <v>Serv.Prest. 10/02/2025 a 16/02/2025 - RPS: 507 - NFSe: 2734</v>
      </c>
      <c r="H1082" t="str">
        <f t="shared" ref="H1082:H1087" si="543">("27/02/2025")</f>
        <v>27/02/2025</v>
      </c>
      <c r="I1082" t="str">
        <f>("18/02/2025")</f>
        <v>18/02/2025</v>
      </c>
      <c r="J1082" t="str">
        <f t="shared" ref="J1082:J1090" si="544">("28/02/2025")</f>
        <v>28/02/2025</v>
      </c>
      <c r="K1082">
        <v>596.6</v>
      </c>
      <c r="L1082">
        <v>596.6</v>
      </c>
      <c r="M1082">
        <v>303</v>
      </c>
      <c r="N1082" t="str">
        <f t="shared" ref="N1082:N1087" si="545">"RECEITAS COM ENTREGAS"</f>
        <v>RECEITAS COM ENTREGAS</v>
      </c>
      <c r="O1082">
        <v>596.6</v>
      </c>
      <c r="R1082" t="str">
        <f t="shared" ref="R1082:R1087" si="546">"RECEITAS COM ENTREGAS (303)"</f>
        <v>RECEITAS COM ENTREGAS (303)</v>
      </c>
      <c r="S1082">
        <v>1122</v>
      </c>
      <c r="T1082">
        <v>881</v>
      </c>
      <c r="U1082" t="s">
        <v>19</v>
      </c>
    </row>
    <row r="1083" spans="1:21">
      <c r="A1083" t="str">
        <f t="shared" si="540"/>
        <v>28/02/2025</v>
      </c>
      <c r="B1083" t="str">
        <f t="shared" ref="B1083:B1087" si="547">"ENTRADA"</f>
        <v>ENTRADA</v>
      </c>
      <c r="C1083" t="str">
        <f t="shared" si="541"/>
        <v>NFSE</v>
      </c>
      <c r="D1083" t="str">
        <f>"2734"</f>
        <v>2734</v>
      </c>
      <c r="E1083" t="str">
        <f t="shared" si="542"/>
        <v>COM</v>
      </c>
      <c r="F1083" t="str">
        <f>"PAGMENOS - LJ 657 (10136)"</f>
        <v>PAGMENOS - LJ 657 (10136)</v>
      </c>
      <c r="G1083" t="str">
        <f>"Serv.Prest. 10/02/2025 a 16/02/2025 - RPS: 507 - NFSe: 2734"</f>
        <v>Serv.Prest. 10/02/2025 a 16/02/2025 - RPS: 507 - NFSe: 2734</v>
      </c>
      <c r="H1083" t="str">
        <f t="shared" si="543"/>
        <v>27/02/2025</v>
      </c>
      <c r="I1083" t="str">
        <f>("18/02/2025")</f>
        <v>18/02/2025</v>
      </c>
      <c r="J1083" t="str">
        <f t="shared" si="544"/>
        <v>28/02/2025</v>
      </c>
      <c r="M1083">
        <v>303</v>
      </c>
      <c r="N1083" t="str">
        <f t="shared" si="545"/>
        <v>RECEITAS COM ENTREGAS</v>
      </c>
      <c r="P1083">
        <v>596.6</v>
      </c>
      <c r="Q1083" t="str">
        <f>"PAGMENOS - LJ 657 (10136)"</f>
        <v>PAGMENOS - LJ 657 (10136)</v>
      </c>
      <c r="R1083" t="str">
        <f t="shared" si="546"/>
        <v>RECEITAS COM ENTREGAS (303)</v>
      </c>
      <c r="S1083">
        <v>1122</v>
      </c>
      <c r="T1083">
        <v>881</v>
      </c>
      <c r="U1083" t="s">
        <v>19</v>
      </c>
    </row>
    <row r="1084" spans="1:21">
      <c r="A1084" t="str">
        <f t="shared" si="540"/>
        <v>28/02/2025</v>
      </c>
      <c r="B1084" t="str">
        <f t="shared" si="547"/>
        <v>ENTRADA</v>
      </c>
      <c r="C1084" t="str">
        <f t="shared" si="541"/>
        <v>NFSE</v>
      </c>
      <c r="D1084" t="str">
        <f>"2751"</f>
        <v>2751</v>
      </c>
      <c r="E1084" t="str">
        <f t="shared" si="542"/>
        <v>COM</v>
      </c>
      <c r="F1084" t="str">
        <f>"PAGMENOS - LJ 608 (10135)"</f>
        <v>PAGMENOS - LJ 608 (10135)</v>
      </c>
      <c r="G1084" t="str">
        <f>"Serv.Prest. 17/02/2025 a 23/02/2025 - RPS: 524 - NFSe: 2751"</f>
        <v>Serv.Prest. 17/02/2025 a 23/02/2025 - RPS: 524 - NFSe: 2751</v>
      </c>
      <c r="H1084" t="str">
        <f t="shared" si="543"/>
        <v>27/02/2025</v>
      </c>
      <c r="I1084" t="str">
        <f>("24/02/2025")</f>
        <v>24/02/2025</v>
      </c>
      <c r="J1084" t="str">
        <f t="shared" si="544"/>
        <v>28/02/2025</v>
      </c>
      <c r="K1084">
        <v>280.20999999999998</v>
      </c>
      <c r="L1084">
        <v>280.20999999999998</v>
      </c>
      <c r="M1084">
        <v>303</v>
      </c>
      <c r="N1084" t="str">
        <f t="shared" si="545"/>
        <v>RECEITAS COM ENTREGAS</v>
      </c>
      <c r="O1084">
        <v>280.20999999999998</v>
      </c>
      <c r="R1084" t="str">
        <f t="shared" si="546"/>
        <v>RECEITAS COM ENTREGAS (303)</v>
      </c>
      <c r="S1084">
        <v>1123</v>
      </c>
      <c r="T1084">
        <v>926</v>
      </c>
      <c r="U1084" t="s">
        <v>19</v>
      </c>
    </row>
    <row r="1085" spans="1:21">
      <c r="A1085" t="str">
        <f t="shared" si="540"/>
        <v>28/02/2025</v>
      </c>
      <c r="B1085" t="str">
        <f t="shared" si="547"/>
        <v>ENTRADA</v>
      </c>
      <c r="C1085" t="str">
        <f t="shared" si="541"/>
        <v>NFSE</v>
      </c>
      <c r="D1085" t="str">
        <f>"2751"</f>
        <v>2751</v>
      </c>
      <c r="E1085" t="str">
        <f t="shared" si="542"/>
        <v>COM</v>
      </c>
      <c r="F1085" t="str">
        <f>"PAGMENOS - LJ 608 (10135)"</f>
        <v>PAGMENOS - LJ 608 (10135)</v>
      </c>
      <c r="G1085" t="str">
        <f>"Serv.Prest. 17/02/2025 a 23/02/2025 - RPS: 524 - NFSe: 2751"</f>
        <v>Serv.Prest. 17/02/2025 a 23/02/2025 - RPS: 524 - NFSe: 2751</v>
      </c>
      <c r="H1085" t="str">
        <f t="shared" si="543"/>
        <v>27/02/2025</v>
      </c>
      <c r="I1085" t="str">
        <f>("24/02/2025")</f>
        <v>24/02/2025</v>
      </c>
      <c r="J1085" t="str">
        <f t="shared" si="544"/>
        <v>28/02/2025</v>
      </c>
      <c r="M1085">
        <v>303</v>
      </c>
      <c r="N1085" t="str">
        <f t="shared" si="545"/>
        <v>RECEITAS COM ENTREGAS</v>
      </c>
      <c r="P1085">
        <v>280.20999999999998</v>
      </c>
      <c r="Q1085" t="str">
        <f>"PAGMENOS - LJ 608 (10135)"</f>
        <v>PAGMENOS - LJ 608 (10135)</v>
      </c>
      <c r="R1085" t="str">
        <f t="shared" si="546"/>
        <v>RECEITAS COM ENTREGAS (303)</v>
      </c>
      <c r="S1085">
        <v>1123</v>
      </c>
      <c r="T1085">
        <v>926</v>
      </c>
      <c r="U1085" t="s">
        <v>19</v>
      </c>
    </row>
    <row r="1086" spans="1:21">
      <c r="A1086" t="str">
        <f t="shared" si="540"/>
        <v>28/02/2025</v>
      </c>
      <c r="B1086" t="str">
        <f t="shared" si="547"/>
        <v>ENTRADA</v>
      </c>
      <c r="C1086" t="str">
        <f t="shared" si="541"/>
        <v>NFSE</v>
      </c>
      <c r="D1086" t="str">
        <f>"2762"</f>
        <v>2762</v>
      </c>
      <c r="E1086" t="str">
        <f t="shared" si="542"/>
        <v>COM</v>
      </c>
      <c r="F1086" t="str">
        <f>"DROGARIA POUPA MINAS (ULTRAMINAS) 3 (10129)"</f>
        <v>DROGARIA POUPA MINAS (ULTRAMINAS) 3 (10129)</v>
      </c>
      <c r="G1086" t="str">
        <f>"Serv.Prest. 17/02/2025 a 23/02/2025 - RPS: 535 - NFSe: 2762"</f>
        <v>Serv.Prest. 17/02/2025 a 23/02/2025 - RPS: 535 - NFSe: 2762</v>
      </c>
      <c r="H1086" t="str">
        <f t="shared" si="543"/>
        <v>27/02/2025</v>
      </c>
      <c r="I1086" t="str">
        <f>("25/02/2025")</f>
        <v>25/02/2025</v>
      </c>
      <c r="J1086" t="str">
        <f t="shared" si="544"/>
        <v>28/02/2025</v>
      </c>
      <c r="K1086">
        <v>274.56</v>
      </c>
      <c r="L1086">
        <v>274.56</v>
      </c>
      <c r="M1086">
        <v>303</v>
      </c>
      <c r="N1086" t="str">
        <f t="shared" si="545"/>
        <v>RECEITAS COM ENTREGAS</v>
      </c>
      <c r="O1086">
        <v>274.56</v>
      </c>
      <c r="R1086" t="str">
        <f t="shared" si="546"/>
        <v>RECEITAS COM ENTREGAS (303)</v>
      </c>
      <c r="S1086">
        <v>1124</v>
      </c>
      <c r="T1086">
        <v>937</v>
      </c>
      <c r="U1086" t="s">
        <v>19</v>
      </c>
    </row>
    <row r="1087" spans="1:21">
      <c r="A1087" t="str">
        <f t="shared" si="540"/>
        <v>28/02/2025</v>
      </c>
      <c r="B1087" t="str">
        <f t="shared" si="547"/>
        <v>ENTRADA</v>
      </c>
      <c r="C1087" t="str">
        <f t="shared" si="541"/>
        <v>NFSE</v>
      </c>
      <c r="D1087" t="str">
        <f>"2762"</f>
        <v>2762</v>
      </c>
      <c r="E1087" t="str">
        <f t="shared" si="542"/>
        <v>COM</v>
      </c>
      <c r="F1087" t="str">
        <f>"DROGARIA POUPA MINAS (ULTRAMINAS) 3 (10129)"</f>
        <v>DROGARIA POUPA MINAS (ULTRAMINAS) 3 (10129)</v>
      </c>
      <c r="G1087" t="str">
        <f>"Serv.Prest. 17/02/2025 a 23/02/2025 - RPS: 535 - NFSe: 2762"</f>
        <v>Serv.Prest. 17/02/2025 a 23/02/2025 - RPS: 535 - NFSe: 2762</v>
      </c>
      <c r="H1087" t="str">
        <f t="shared" si="543"/>
        <v>27/02/2025</v>
      </c>
      <c r="I1087" t="str">
        <f>("25/02/2025")</f>
        <v>25/02/2025</v>
      </c>
      <c r="J1087" t="str">
        <f t="shared" si="544"/>
        <v>28/02/2025</v>
      </c>
      <c r="M1087">
        <v>303</v>
      </c>
      <c r="N1087" t="str">
        <f t="shared" si="545"/>
        <v>RECEITAS COM ENTREGAS</v>
      </c>
      <c r="P1087">
        <v>274.56</v>
      </c>
      <c r="Q1087" t="str">
        <f>"DROGARIA POUPA MINAS (ULTRAMINAS) 3 (10129)"</f>
        <v>DROGARIA POUPA MINAS (ULTRAMINAS) 3 (10129)</v>
      </c>
      <c r="R1087" t="str">
        <f t="shared" si="546"/>
        <v>RECEITAS COM ENTREGAS (303)</v>
      </c>
      <c r="S1087">
        <v>1124</v>
      </c>
      <c r="T1087">
        <v>937</v>
      </c>
      <c r="U1087" t="s">
        <v>19</v>
      </c>
    </row>
    <row r="1088" spans="1:21">
      <c r="A1088" t="str">
        <f t="shared" si="540"/>
        <v>28/02/2025</v>
      </c>
      <c r="B1088" t="str">
        <f>"SAÍDA"</f>
        <v>SAÍDA</v>
      </c>
      <c r="C1088" t="str">
        <f>"JUROS"</f>
        <v>JUROS</v>
      </c>
      <c r="D1088" t="str">
        <f>""</f>
        <v/>
      </c>
      <c r="E1088" t="str">
        <f>"CXA"</f>
        <v>CXA</v>
      </c>
      <c r="F1088" t="str">
        <f>""</f>
        <v/>
      </c>
      <c r="G1088" t="str">
        <f>"TAXA BOLETO COMPENSADO"</f>
        <v>TAXA BOLETO COMPENSADO</v>
      </c>
      <c r="H1088" t="str">
        <f t="shared" ref="H1088:I1090" si="548">("28/02/2025")</f>
        <v>28/02/2025</v>
      </c>
      <c r="I1088" t="str">
        <f t="shared" si="548"/>
        <v>28/02/2025</v>
      </c>
      <c r="J1088" t="str">
        <f t="shared" si="544"/>
        <v>28/02/2025</v>
      </c>
      <c r="K1088">
        <v>1.7</v>
      </c>
      <c r="L1088">
        <v>1.7</v>
      </c>
      <c r="M1088">
        <v>401</v>
      </c>
      <c r="N1088" t="str">
        <f>"IOF/JUROS/DESP.FINANCEIRA"</f>
        <v>IOF/JUROS/DESP.FINANCEIRA</v>
      </c>
      <c r="O1088">
        <v>1.7</v>
      </c>
      <c r="R1088" t="str">
        <f>"BANCO CORA (102)"</f>
        <v>BANCO CORA (102)</v>
      </c>
      <c r="S1088">
        <v>1138</v>
      </c>
      <c r="T1088">
        <v>0</v>
      </c>
      <c r="U1088" t="s">
        <v>20</v>
      </c>
    </row>
    <row r="1089" spans="1:21">
      <c r="A1089" t="str">
        <f t="shared" si="540"/>
        <v>28/02/2025</v>
      </c>
      <c r="B1089" t="str">
        <f>"SAÍDA"</f>
        <v>SAÍDA</v>
      </c>
      <c r="C1089" t="str">
        <f>"JUROS"</f>
        <v>JUROS</v>
      </c>
      <c r="D1089" t="str">
        <f>""</f>
        <v/>
      </c>
      <c r="E1089" t="str">
        <f>"CXA"</f>
        <v>CXA</v>
      </c>
      <c r="F1089" t="str">
        <f>""</f>
        <v/>
      </c>
      <c r="G1089" t="str">
        <f>"TAXA BOLETO COMPENSADO"</f>
        <v>TAXA BOLETO COMPENSADO</v>
      </c>
      <c r="H1089" t="str">
        <f t="shared" si="548"/>
        <v>28/02/2025</v>
      </c>
      <c r="I1089" t="str">
        <f t="shared" si="548"/>
        <v>28/02/2025</v>
      </c>
      <c r="J1089" t="str">
        <f t="shared" si="544"/>
        <v>28/02/2025</v>
      </c>
      <c r="K1089">
        <v>1.7</v>
      </c>
      <c r="L1089">
        <v>1.7</v>
      </c>
      <c r="M1089">
        <v>401</v>
      </c>
      <c r="N1089" t="str">
        <f>"IOF/JUROS/DESP.FINANCEIRA"</f>
        <v>IOF/JUROS/DESP.FINANCEIRA</v>
      </c>
      <c r="O1089">
        <v>1.7</v>
      </c>
      <c r="R1089" t="str">
        <f>"BANCO CORA (102)"</f>
        <v>BANCO CORA (102)</v>
      </c>
      <c r="S1089">
        <v>1139</v>
      </c>
      <c r="T1089">
        <v>0</v>
      </c>
      <c r="U1089" t="s">
        <v>20</v>
      </c>
    </row>
    <row r="1090" spans="1:21">
      <c r="A1090" t="str">
        <f t="shared" si="540"/>
        <v>28/02/2025</v>
      </c>
      <c r="B1090" t="str">
        <f>"SAÍDA"</f>
        <v>SAÍDA</v>
      </c>
      <c r="C1090" t="str">
        <f>"JUROS"</f>
        <v>JUROS</v>
      </c>
      <c r="D1090" t="str">
        <f>""</f>
        <v/>
      </c>
      <c r="E1090" t="str">
        <f>"CXA"</f>
        <v>CXA</v>
      </c>
      <c r="F1090" t="str">
        <f>""</f>
        <v/>
      </c>
      <c r="G1090" t="str">
        <f>"TAXA BOLETO COMPENSADO"</f>
        <v>TAXA BOLETO COMPENSADO</v>
      </c>
      <c r="H1090" t="str">
        <f t="shared" si="548"/>
        <v>28/02/2025</v>
      </c>
      <c r="I1090" t="str">
        <f t="shared" si="548"/>
        <v>28/02/2025</v>
      </c>
      <c r="J1090" t="str">
        <f t="shared" si="544"/>
        <v>28/02/2025</v>
      </c>
      <c r="K1090">
        <v>1.7</v>
      </c>
      <c r="L1090">
        <v>1.7</v>
      </c>
      <c r="M1090">
        <v>401</v>
      </c>
      <c r="N1090" t="str">
        <f>"IOF/JUROS/DESP.FINANCEIRA"</f>
        <v>IOF/JUROS/DESP.FINANCEIRA</v>
      </c>
      <c r="O1090">
        <v>1.7</v>
      </c>
      <c r="R1090" t="str">
        <f>"BANCO CORA (102)"</f>
        <v>BANCO CORA (102)</v>
      </c>
      <c r="S1090">
        <v>1140</v>
      </c>
      <c r="T1090">
        <v>0</v>
      </c>
      <c r="U1090" t="s">
        <v>20</v>
      </c>
    </row>
    <row r="1091" spans="1:21">
      <c r="A1091" t="str">
        <f t="shared" ref="A1091:A1122" si="549">("05/03/2025")</f>
        <v>05/03/2025</v>
      </c>
      <c r="B1091" t="str">
        <f>"ENTRADA"</f>
        <v>ENTRADA</v>
      </c>
      <c r="C1091" t="str">
        <f t="shared" ref="C1091:C1122" si="550">"NFSE"</f>
        <v>NFSE</v>
      </c>
      <c r="D1091" t="str">
        <f t="shared" ref="D1091:D1135" si="551">"2758"</f>
        <v>2758</v>
      </c>
      <c r="E1091" t="str">
        <f t="shared" ref="E1091:E1122" si="552">"COM"</f>
        <v>COM</v>
      </c>
      <c r="F1091" t="str">
        <f t="shared" ref="F1091:F1135" si="553">"FARMÁCIA INDIANA LJ 1 (10126)"</f>
        <v>FARMÁCIA INDIANA LJ 1 (10126)</v>
      </c>
      <c r="G1091" t="str">
        <f t="shared" ref="G1091:G1135" si="554">"Serv.Prest. 17/02/2025 a 23/02/2025 - RPS: 531 - NFSe: 2758"</f>
        <v>Serv.Prest. 17/02/2025 a 23/02/2025 - RPS: 531 - NFSe: 2758</v>
      </c>
      <c r="H1091" t="str">
        <f t="shared" ref="H1091:H1122" si="555">("05/03/2025")</f>
        <v>05/03/2025</v>
      </c>
      <c r="I1091" t="str">
        <f t="shared" ref="I1091:I1122" si="556">("24/02/2025")</f>
        <v>24/02/2025</v>
      </c>
      <c r="J1091" t="str">
        <f t="shared" ref="J1091:J1122" si="557">("05/03/2025")</f>
        <v>05/03/2025</v>
      </c>
      <c r="K1091">
        <v>13145.64</v>
      </c>
      <c r="L1091">
        <v>13145.64</v>
      </c>
      <c r="M1091">
        <v>303</v>
      </c>
      <c r="N1091" t="str">
        <f t="shared" ref="N1091:N1122" si="558">"RECEITAS COM ENTREGAS"</f>
        <v>RECEITAS COM ENTREGAS</v>
      </c>
      <c r="O1091">
        <v>13145.64</v>
      </c>
      <c r="R1091" t="str">
        <f t="shared" ref="R1091:R1122" si="559">"RECEITAS COM ENTREGAS (303)"</f>
        <v>RECEITAS COM ENTREGAS (303)</v>
      </c>
      <c r="S1091">
        <v>1141</v>
      </c>
      <c r="T1091">
        <v>933</v>
      </c>
      <c r="U1091" t="s">
        <v>19</v>
      </c>
    </row>
    <row r="1092" spans="1:21">
      <c r="A1092" t="str">
        <f t="shared" si="549"/>
        <v>05/03/2025</v>
      </c>
      <c r="B1092" t="str">
        <f t="shared" ref="B1092:B1155" si="560">"ENTRADA"</f>
        <v>ENTRADA</v>
      </c>
      <c r="C1092" t="str">
        <f t="shared" si="550"/>
        <v>NFSE</v>
      </c>
      <c r="D1092" t="str">
        <f t="shared" si="551"/>
        <v>2758</v>
      </c>
      <c r="E1092" t="str">
        <f t="shared" si="552"/>
        <v>COM</v>
      </c>
      <c r="F1092" t="str">
        <f t="shared" si="553"/>
        <v>FARMÁCIA INDIANA LJ 1 (10126)</v>
      </c>
      <c r="G1092" t="str">
        <f t="shared" si="554"/>
        <v>Serv.Prest. 17/02/2025 a 23/02/2025 - RPS: 531 - NFSe: 2758</v>
      </c>
      <c r="H1092" t="str">
        <f t="shared" si="555"/>
        <v>05/03/2025</v>
      </c>
      <c r="I1092" t="str">
        <f t="shared" si="556"/>
        <v>24/02/2025</v>
      </c>
      <c r="J1092" t="str">
        <f t="shared" si="557"/>
        <v>05/03/2025</v>
      </c>
      <c r="M1092">
        <v>303</v>
      </c>
      <c r="N1092" t="str">
        <f t="shared" si="558"/>
        <v>RECEITAS COM ENTREGAS</v>
      </c>
      <c r="P1092">
        <v>1816.71</v>
      </c>
      <c r="Q1092" t="str">
        <f>"FARMÁCIA INDIANA LJ 06 (10006)"</f>
        <v>FARMÁCIA INDIANA LJ 06 (10006)</v>
      </c>
      <c r="R1092" t="str">
        <f t="shared" si="559"/>
        <v>RECEITAS COM ENTREGAS (303)</v>
      </c>
      <c r="S1092">
        <v>1141</v>
      </c>
      <c r="T1092">
        <v>933</v>
      </c>
      <c r="U1092" t="s">
        <v>19</v>
      </c>
    </row>
    <row r="1093" spans="1:21">
      <c r="A1093" t="str">
        <f t="shared" si="549"/>
        <v>05/03/2025</v>
      </c>
      <c r="B1093" t="str">
        <f t="shared" si="560"/>
        <v>ENTRADA</v>
      </c>
      <c r="C1093" t="str">
        <f t="shared" si="550"/>
        <v>NFSE</v>
      </c>
      <c r="D1093" t="str">
        <f t="shared" si="551"/>
        <v>2758</v>
      </c>
      <c r="E1093" t="str">
        <f t="shared" si="552"/>
        <v>COM</v>
      </c>
      <c r="F1093" t="str">
        <f t="shared" si="553"/>
        <v>FARMÁCIA INDIANA LJ 1 (10126)</v>
      </c>
      <c r="G1093" t="str">
        <f t="shared" si="554"/>
        <v>Serv.Prest. 17/02/2025 a 23/02/2025 - RPS: 531 - NFSe: 2758</v>
      </c>
      <c r="H1093" t="str">
        <f t="shared" si="555"/>
        <v>05/03/2025</v>
      </c>
      <c r="I1093" t="str">
        <f t="shared" si="556"/>
        <v>24/02/2025</v>
      </c>
      <c r="J1093" t="str">
        <f t="shared" si="557"/>
        <v>05/03/2025</v>
      </c>
      <c r="M1093">
        <v>303</v>
      </c>
      <c r="N1093" t="str">
        <f t="shared" si="558"/>
        <v>RECEITAS COM ENTREGAS</v>
      </c>
      <c r="P1093">
        <v>1541.98</v>
      </c>
      <c r="Q1093" t="str">
        <f>"FARMÁCIA INDIANA LJ 07 (10007)"</f>
        <v>FARMÁCIA INDIANA LJ 07 (10007)</v>
      </c>
      <c r="R1093" t="str">
        <f t="shared" si="559"/>
        <v>RECEITAS COM ENTREGAS (303)</v>
      </c>
      <c r="S1093">
        <v>1141</v>
      </c>
      <c r="T1093">
        <v>933</v>
      </c>
      <c r="U1093" t="s">
        <v>19</v>
      </c>
    </row>
    <row r="1094" spans="1:21">
      <c r="A1094" t="str">
        <f t="shared" si="549"/>
        <v>05/03/2025</v>
      </c>
      <c r="B1094" t="str">
        <f t="shared" si="560"/>
        <v>ENTRADA</v>
      </c>
      <c r="C1094" t="str">
        <f t="shared" si="550"/>
        <v>NFSE</v>
      </c>
      <c r="D1094" t="str">
        <f t="shared" si="551"/>
        <v>2758</v>
      </c>
      <c r="E1094" t="str">
        <f t="shared" si="552"/>
        <v>COM</v>
      </c>
      <c r="F1094" t="str">
        <f t="shared" si="553"/>
        <v>FARMÁCIA INDIANA LJ 1 (10126)</v>
      </c>
      <c r="G1094" t="str">
        <f t="shared" si="554"/>
        <v>Serv.Prest. 17/02/2025 a 23/02/2025 - RPS: 531 - NFSe: 2758</v>
      </c>
      <c r="H1094" t="str">
        <f t="shared" si="555"/>
        <v>05/03/2025</v>
      </c>
      <c r="I1094" t="str">
        <f t="shared" si="556"/>
        <v>24/02/2025</v>
      </c>
      <c r="J1094" t="str">
        <f t="shared" si="557"/>
        <v>05/03/2025</v>
      </c>
      <c r="M1094">
        <v>303</v>
      </c>
      <c r="N1094" t="str">
        <f t="shared" si="558"/>
        <v>RECEITAS COM ENTREGAS</v>
      </c>
      <c r="P1094">
        <v>1101.5999999999999</v>
      </c>
      <c r="Q1094" t="str">
        <f>"FARMÁCIA INDIANA LJ 11 (10008)"</f>
        <v>FARMÁCIA INDIANA LJ 11 (10008)</v>
      </c>
      <c r="R1094" t="str">
        <f t="shared" si="559"/>
        <v>RECEITAS COM ENTREGAS (303)</v>
      </c>
      <c r="S1094">
        <v>1141</v>
      </c>
      <c r="T1094">
        <v>933</v>
      </c>
      <c r="U1094" t="s">
        <v>19</v>
      </c>
    </row>
    <row r="1095" spans="1:21">
      <c r="A1095" t="str">
        <f t="shared" si="549"/>
        <v>05/03/2025</v>
      </c>
      <c r="B1095" t="str">
        <f t="shared" si="560"/>
        <v>ENTRADA</v>
      </c>
      <c r="C1095" t="str">
        <f t="shared" si="550"/>
        <v>NFSE</v>
      </c>
      <c r="D1095" t="str">
        <f t="shared" si="551"/>
        <v>2758</v>
      </c>
      <c r="E1095" t="str">
        <f t="shared" si="552"/>
        <v>COM</v>
      </c>
      <c r="F1095" t="str">
        <f t="shared" si="553"/>
        <v>FARMÁCIA INDIANA LJ 1 (10126)</v>
      </c>
      <c r="G1095" t="str">
        <f t="shared" si="554"/>
        <v>Serv.Prest. 17/02/2025 a 23/02/2025 - RPS: 531 - NFSe: 2758</v>
      </c>
      <c r="H1095" t="str">
        <f t="shared" si="555"/>
        <v>05/03/2025</v>
      </c>
      <c r="I1095" t="str">
        <f t="shared" si="556"/>
        <v>24/02/2025</v>
      </c>
      <c r="J1095" t="str">
        <f t="shared" si="557"/>
        <v>05/03/2025</v>
      </c>
      <c r="M1095">
        <v>303</v>
      </c>
      <c r="N1095" t="str">
        <f t="shared" si="558"/>
        <v>RECEITAS COM ENTREGAS</v>
      </c>
      <c r="P1095">
        <v>391.74</v>
      </c>
      <c r="Q1095" t="str">
        <f>"FARMÁCIA INDIANA LJ 14 (10009)"</f>
        <v>FARMÁCIA INDIANA LJ 14 (10009)</v>
      </c>
      <c r="R1095" t="str">
        <f t="shared" si="559"/>
        <v>RECEITAS COM ENTREGAS (303)</v>
      </c>
      <c r="S1095">
        <v>1141</v>
      </c>
      <c r="T1095">
        <v>933</v>
      </c>
      <c r="U1095" t="s">
        <v>19</v>
      </c>
    </row>
    <row r="1096" spans="1:21">
      <c r="A1096" t="str">
        <f t="shared" si="549"/>
        <v>05/03/2025</v>
      </c>
      <c r="B1096" t="str">
        <f t="shared" si="560"/>
        <v>ENTRADA</v>
      </c>
      <c r="C1096" t="str">
        <f t="shared" si="550"/>
        <v>NFSE</v>
      </c>
      <c r="D1096" t="str">
        <f t="shared" si="551"/>
        <v>2758</v>
      </c>
      <c r="E1096" t="str">
        <f t="shared" si="552"/>
        <v>COM</v>
      </c>
      <c r="F1096" t="str">
        <f t="shared" si="553"/>
        <v>FARMÁCIA INDIANA LJ 1 (10126)</v>
      </c>
      <c r="G1096" t="str">
        <f t="shared" si="554"/>
        <v>Serv.Prest. 17/02/2025 a 23/02/2025 - RPS: 531 - NFSe: 2758</v>
      </c>
      <c r="H1096" t="str">
        <f t="shared" si="555"/>
        <v>05/03/2025</v>
      </c>
      <c r="I1096" t="str">
        <f t="shared" si="556"/>
        <v>24/02/2025</v>
      </c>
      <c r="J1096" t="str">
        <f t="shared" si="557"/>
        <v>05/03/2025</v>
      </c>
      <c r="M1096">
        <v>303</v>
      </c>
      <c r="N1096" t="str">
        <f t="shared" si="558"/>
        <v>RECEITAS COM ENTREGAS</v>
      </c>
      <c r="P1096">
        <v>473.24</v>
      </c>
      <c r="Q1096" t="str">
        <f>"FARMÁCIA INDIANA LJ 18 (10011)"</f>
        <v>FARMÁCIA INDIANA LJ 18 (10011)</v>
      </c>
      <c r="R1096" t="str">
        <f t="shared" si="559"/>
        <v>RECEITAS COM ENTREGAS (303)</v>
      </c>
      <c r="S1096">
        <v>1141</v>
      </c>
      <c r="T1096">
        <v>933</v>
      </c>
      <c r="U1096" t="s">
        <v>19</v>
      </c>
    </row>
    <row r="1097" spans="1:21">
      <c r="A1097" t="str">
        <f t="shared" si="549"/>
        <v>05/03/2025</v>
      </c>
      <c r="B1097" t="str">
        <f t="shared" si="560"/>
        <v>ENTRADA</v>
      </c>
      <c r="C1097" t="str">
        <f t="shared" si="550"/>
        <v>NFSE</v>
      </c>
      <c r="D1097" t="str">
        <f t="shared" si="551"/>
        <v>2758</v>
      </c>
      <c r="E1097" t="str">
        <f t="shared" si="552"/>
        <v>COM</v>
      </c>
      <c r="F1097" t="str">
        <f t="shared" si="553"/>
        <v>FARMÁCIA INDIANA LJ 1 (10126)</v>
      </c>
      <c r="G1097" t="str">
        <f t="shared" si="554"/>
        <v>Serv.Prest. 17/02/2025 a 23/02/2025 - RPS: 531 - NFSe: 2758</v>
      </c>
      <c r="H1097" t="str">
        <f t="shared" si="555"/>
        <v>05/03/2025</v>
      </c>
      <c r="I1097" t="str">
        <f t="shared" si="556"/>
        <v>24/02/2025</v>
      </c>
      <c r="J1097" t="str">
        <f t="shared" si="557"/>
        <v>05/03/2025</v>
      </c>
      <c r="M1097">
        <v>303</v>
      </c>
      <c r="N1097" t="str">
        <f t="shared" si="558"/>
        <v>RECEITAS COM ENTREGAS</v>
      </c>
      <c r="P1097">
        <v>374.65</v>
      </c>
      <c r="Q1097" t="str">
        <f>"FARMÁCIA INDIANA LJ 19 (10012)"</f>
        <v>FARMÁCIA INDIANA LJ 19 (10012)</v>
      </c>
      <c r="R1097" t="str">
        <f t="shared" si="559"/>
        <v>RECEITAS COM ENTREGAS (303)</v>
      </c>
      <c r="S1097">
        <v>1141</v>
      </c>
      <c r="T1097">
        <v>933</v>
      </c>
      <c r="U1097" t="s">
        <v>19</v>
      </c>
    </row>
    <row r="1098" spans="1:21">
      <c r="A1098" t="str">
        <f t="shared" si="549"/>
        <v>05/03/2025</v>
      </c>
      <c r="B1098" t="str">
        <f t="shared" si="560"/>
        <v>ENTRADA</v>
      </c>
      <c r="C1098" t="str">
        <f t="shared" si="550"/>
        <v>NFSE</v>
      </c>
      <c r="D1098" t="str">
        <f t="shared" si="551"/>
        <v>2758</v>
      </c>
      <c r="E1098" t="str">
        <f t="shared" si="552"/>
        <v>COM</v>
      </c>
      <c r="F1098" t="str">
        <f t="shared" si="553"/>
        <v>FARMÁCIA INDIANA LJ 1 (10126)</v>
      </c>
      <c r="G1098" t="str">
        <f t="shared" si="554"/>
        <v>Serv.Prest. 17/02/2025 a 23/02/2025 - RPS: 531 - NFSe: 2758</v>
      </c>
      <c r="H1098" t="str">
        <f t="shared" si="555"/>
        <v>05/03/2025</v>
      </c>
      <c r="I1098" t="str">
        <f t="shared" si="556"/>
        <v>24/02/2025</v>
      </c>
      <c r="J1098" t="str">
        <f t="shared" si="557"/>
        <v>05/03/2025</v>
      </c>
      <c r="M1098">
        <v>303</v>
      </c>
      <c r="N1098" t="str">
        <f t="shared" si="558"/>
        <v>RECEITAS COM ENTREGAS</v>
      </c>
      <c r="P1098">
        <v>677</v>
      </c>
      <c r="Q1098" t="str">
        <f>"FARMÁCIA INDIANA LJ 40 (10016)"</f>
        <v>FARMÁCIA INDIANA LJ 40 (10016)</v>
      </c>
      <c r="R1098" t="str">
        <f t="shared" si="559"/>
        <v>RECEITAS COM ENTREGAS (303)</v>
      </c>
      <c r="S1098">
        <v>1141</v>
      </c>
      <c r="T1098">
        <v>933</v>
      </c>
      <c r="U1098" t="s">
        <v>19</v>
      </c>
    </row>
    <row r="1099" spans="1:21">
      <c r="A1099" t="str">
        <f t="shared" si="549"/>
        <v>05/03/2025</v>
      </c>
      <c r="B1099" t="str">
        <f t="shared" si="560"/>
        <v>ENTRADA</v>
      </c>
      <c r="C1099" t="str">
        <f t="shared" si="550"/>
        <v>NFSE</v>
      </c>
      <c r="D1099" t="str">
        <f t="shared" si="551"/>
        <v>2758</v>
      </c>
      <c r="E1099" t="str">
        <f t="shared" si="552"/>
        <v>COM</v>
      </c>
      <c r="F1099" t="str">
        <f t="shared" si="553"/>
        <v>FARMÁCIA INDIANA LJ 1 (10126)</v>
      </c>
      <c r="G1099" t="str">
        <f t="shared" si="554"/>
        <v>Serv.Prest. 17/02/2025 a 23/02/2025 - RPS: 531 - NFSe: 2758</v>
      </c>
      <c r="H1099" t="str">
        <f t="shared" si="555"/>
        <v>05/03/2025</v>
      </c>
      <c r="I1099" t="str">
        <f t="shared" si="556"/>
        <v>24/02/2025</v>
      </c>
      <c r="J1099" t="str">
        <f t="shared" si="557"/>
        <v>05/03/2025</v>
      </c>
      <c r="M1099">
        <v>303</v>
      </c>
      <c r="N1099" t="str">
        <f t="shared" si="558"/>
        <v>RECEITAS COM ENTREGAS</v>
      </c>
      <c r="P1099">
        <v>356.25</v>
      </c>
      <c r="Q1099" t="str">
        <f>"FARMÁCIA INDIANA LJ 59 (10026)"</f>
        <v>FARMÁCIA INDIANA LJ 59 (10026)</v>
      </c>
      <c r="R1099" t="str">
        <f t="shared" si="559"/>
        <v>RECEITAS COM ENTREGAS (303)</v>
      </c>
      <c r="S1099">
        <v>1141</v>
      </c>
      <c r="T1099">
        <v>933</v>
      </c>
      <c r="U1099" t="s">
        <v>19</v>
      </c>
    </row>
    <row r="1100" spans="1:21">
      <c r="A1100" t="str">
        <f t="shared" si="549"/>
        <v>05/03/2025</v>
      </c>
      <c r="B1100" t="str">
        <f t="shared" si="560"/>
        <v>ENTRADA</v>
      </c>
      <c r="C1100" t="str">
        <f t="shared" si="550"/>
        <v>NFSE</v>
      </c>
      <c r="D1100" t="str">
        <f t="shared" si="551"/>
        <v>2758</v>
      </c>
      <c r="E1100" t="str">
        <f t="shared" si="552"/>
        <v>COM</v>
      </c>
      <c r="F1100" t="str">
        <f t="shared" si="553"/>
        <v>FARMÁCIA INDIANA LJ 1 (10126)</v>
      </c>
      <c r="G1100" t="str">
        <f t="shared" si="554"/>
        <v>Serv.Prest. 17/02/2025 a 23/02/2025 - RPS: 531 - NFSe: 2758</v>
      </c>
      <c r="H1100" t="str">
        <f t="shared" si="555"/>
        <v>05/03/2025</v>
      </c>
      <c r="I1100" t="str">
        <f t="shared" si="556"/>
        <v>24/02/2025</v>
      </c>
      <c r="J1100" t="str">
        <f t="shared" si="557"/>
        <v>05/03/2025</v>
      </c>
      <c r="M1100">
        <v>303</v>
      </c>
      <c r="N1100" t="str">
        <f t="shared" si="558"/>
        <v>RECEITAS COM ENTREGAS</v>
      </c>
      <c r="P1100">
        <v>507.42</v>
      </c>
      <c r="Q1100" t="str">
        <f>"FARMÁCIA INDIANA LJ 61 (10027)"</f>
        <v>FARMÁCIA INDIANA LJ 61 (10027)</v>
      </c>
      <c r="R1100" t="str">
        <f t="shared" si="559"/>
        <v>RECEITAS COM ENTREGAS (303)</v>
      </c>
      <c r="S1100">
        <v>1141</v>
      </c>
      <c r="T1100">
        <v>933</v>
      </c>
      <c r="U1100" t="s">
        <v>19</v>
      </c>
    </row>
    <row r="1101" spans="1:21">
      <c r="A1101" t="str">
        <f t="shared" si="549"/>
        <v>05/03/2025</v>
      </c>
      <c r="B1101" t="str">
        <f t="shared" si="560"/>
        <v>ENTRADA</v>
      </c>
      <c r="C1101" t="str">
        <f t="shared" si="550"/>
        <v>NFSE</v>
      </c>
      <c r="D1101" t="str">
        <f t="shared" si="551"/>
        <v>2758</v>
      </c>
      <c r="E1101" t="str">
        <f t="shared" si="552"/>
        <v>COM</v>
      </c>
      <c r="F1101" t="str">
        <f t="shared" si="553"/>
        <v>FARMÁCIA INDIANA LJ 1 (10126)</v>
      </c>
      <c r="G1101" t="str">
        <f t="shared" si="554"/>
        <v>Serv.Prest. 17/02/2025 a 23/02/2025 - RPS: 531 - NFSe: 2758</v>
      </c>
      <c r="H1101" t="str">
        <f t="shared" si="555"/>
        <v>05/03/2025</v>
      </c>
      <c r="I1101" t="str">
        <f t="shared" si="556"/>
        <v>24/02/2025</v>
      </c>
      <c r="J1101" t="str">
        <f t="shared" si="557"/>
        <v>05/03/2025</v>
      </c>
      <c r="M1101">
        <v>303</v>
      </c>
      <c r="N1101" t="str">
        <f t="shared" si="558"/>
        <v>RECEITAS COM ENTREGAS</v>
      </c>
      <c r="P1101">
        <v>247.14</v>
      </c>
      <c r="Q1101" t="str">
        <f>"FARMÁCIA INDIANA LJ 62 (10028)"</f>
        <v>FARMÁCIA INDIANA LJ 62 (10028)</v>
      </c>
      <c r="R1101" t="str">
        <f t="shared" si="559"/>
        <v>RECEITAS COM ENTREGAS (303)</v>
      </c>
      <c r="S1101">
        <v>1141</v>
      </c>
      <c r="T1101">
        <v>933</v>
      </c>
      <c r="U1101" t="s">
        <v>19</v>
      </c>
    </row>
    <row r="1102" spans="1:21">
      <c r="A1102" t="str">
        <f t="shared" si="549"/>
        <v>05/03/2025</v>
      </c>
      <c r="B1102" t="str">
        <f t="shared" si="560"/>
        <v>ENTRADA</v>
      </c>
      <c r="C1102" t="str">
        <f t="shared" si="550"/>
        <v>NFSE</v>
      </c>
      <c r="D1102" t="str">
        <f t="shared" si="551"/>
        <v>2758</v>
      </c>
      <c r="E1102" t="str">
        <f t="shared" si="552"/>
        <v>COM</v>
      </c>
      <c r="F1102" t="str">
        <f t="shared" si="553"/>
        <v>FARMÁCIA INDIANA LJ 1 (10126)</v>
      </c>
      <c r="G1102" t="str">
        <f t="shared" si="554"/>
        <v>Serv.Prest. 17/02/2025 a 23/02/2025 - RPS: 531 - NFSe: 2758</v>
      </c>
      <c r="H1102" t="str">
        <f t="shared" si="555"/>
        <v>05/03/2025</v>
      </c>
      <c r="I1102" t="str">
        <f t="shared" si="556"/>
        <v>24/02/2025</v>
      </c>
      <c r="J1102" t="str">
        <f t="shared" si="557"/>
        <v>05/03/2025</v>
      </c>
      <c r="M1102">
        <v>303</v>
      </c>
      <c r="N1102" t="str">
        <f t="shared" si="558"/>
        <v>RECEITAS COM ENTREGAS</v>
      </c>
      <c r="P1102">
        <v>114.37</v>
      </c>
      <c r="Q1102" t="str">
        <f>"FARMÁCIA INDIANA LJ 64 (10029)"</f>
        <v>FARMÁCIA INDIANA LJ 64 (10029)</v>
      </c>
      <c r="R1102" t="str">
        <f t="shared" si="559"/>
        <v>RECEITAS COM ENTREGAS (303)</v>
      </c>
      <c r="S1102">
        <v>1141</v>
      </c>
      <c r="T1102">
        <v>933</v>
      </c>
      <c r="U1102" t="s">
        <v>19</v>
      </c>
    </row>
    <row r="1103" spans="1:21">
      <c r="A1103" t="str">
        <f t="shared" si="549"/>
        <v>05/03/2025</v>
      </c>
      <c r="B1103" t="str">
        <f t="shared" si="560"/>
        <v>ENTRADA</v>
      </c>
      <c r="C1103" t="str">
        <f t="shared" si="550"/>
        <v>NFSE</v>
      </c>
      <c r="D1103" t="str">
        <f t="shared" si="551"/>
        <v>2758</v>
      </c>
      <c r="E1103" t="str">
        <f t="shared" si="552"/>
        <v>COM</v>
      </c>
      <c r="F1103" t="str">
        <f t="shared" si="553"/>
        <v>FARMÁCIA INDIANA LJ 1 (10126)</v>
      </c>
      <c r="G1103" t="str">
        <f t="shared" si="554"/>
        <v>Serv.Prest. 17/02/2025 a 23/02/2025 - RPS: 531 - NFSe: 2758</v>
      </c>
      <c r="H1103" t="str">
        <f t="shared" si="555"/>
        <v>05/03/2025</v>
      </c>
      <c r="I1103" t="str">
        <f t="shared" si="556"/>
        <v>24/02/2025</v>
      </c>
      <c r="J1103" t="str">
        <f t="shared" si="557"/>
        <v>05/03/2025</v>
      </c>
      <c r="M1103">
        <v>303</v>
      </c>
      <c r="N1103" t="str">
        <f t="shared" si="558"/>
        <v>RECEITAS COM ENTREGAS</v>
      </c>
      <c r="P1103">
        <v>65.73</v>
      </c>
      <c r="Q1103" t="str">
        <f>"FARMÁCIA INDIANA LJ 97 (10040)"</f>
        <v>FARMÁCIA INDIANA LJ 97 (10040)</v>
      </c>
      <c r="R1103" t="str">
        <f t="shared" si="559"/>
        <v>RECEITAS COM ENTREGAS (303)</v>
      </c>
      <c r="S1103">
        <v>1141</v>
      </c>
      <c r="T1103">
        <v>933</v>
      </c>
      <c r="U1103" t="s">
        <v>19</v>
      </c>
    </row>
    <row r="1104" spans="1:21">
      <c r="A1104" t="str">
        <f t="shared" si="549"/>
        <v>05/03/2025</v>
      </c>
      <c r="B1104" t="str">
        <f t="shared" si="560"/>
        <v>ENTRADA</v>
      </c>
      <c r="C1104" t="str">
        <f t="shared" si="550"/>
        <v>NFSE</v>
      </c>
      <c r="D1104" t="str">
        <f t="shared" si="551"/>
        <v>2758</v>
      </c>
      <c r="E1104" t="str">
        <f t="shared" si="552"/>
        <v>COM</v>
      </c>
      <c r="F1104" t="str">
        <f t="shared" si="553"/>
        <v>FARMÁCIA INDIANA LJ 1 (10126)</v>
      </c>
      <c r="G1104" t="str">
        <f t="shared" si="554"/>
        <v>Serv.Prest. 17/02/2025 a 23/02/2025 - RPS: 531 - NFSe: 2758</v>
      </c>
      <c r="H1104" t="str">
        <f t="shared" si="555"/>
        <v>05/03/2025</v>
      </c>
      <c r="I1104" t="str">
        <f t="shared" si="556"/>
        <v>24/02/2025</v>
      </c>
      <c r="J1104" t="str">
        <f t="shared" si="557"/>
        <v>05/03/2025</v>
      </c>
      <c r="M1104">
        <v>303</v>
      </c>
      <c r="N1104" t="str">
        <f t="shared" si="558"/>
        <v>RECEITAS COM ENTREGAS</v>
      </c>
      <c r="P1104">
        <v>320.75</v>
      </c>
      <c r="Q1104" t="str">
        <f>"FARMÁCIA INDIANA LJ 100 (10042)"</f>
        <v>FARMÁCIA INDIANA LJ 100 (10042)</v>
      </c>
      <c r="R1104" t="str">
        <f t="shared" si="559"/>
        <v>RECEITAS COM ENTREGAS (303)</v>
      </c>
      <c r="S1104">
        <v>1141</v>
      </c>
      <c r="T1104">
        <v>933</v>
      </c>
      <c r="U1104" t="s">
        <v>19</v>
      </c>
    </row>
    <row r="1105" spans="1:21">
      <c r="A1105" t="str">
        <f t="shared" si="549"/>
        <v>05/03/2025</v>
      </c>
      <c r="B1105" t="str">
        <f t="shared" si="560"/>
        <v>ENTRADA</v>
      </c>
      <c r="C1105" t="str">
        <f t="shared" si="550"/>
        <v>NFSE</v>
      </c>
      <c r="D1105" t="str">
        <f t="shared" si="551"/>
        <v>2758</v>
      </c>
      <c r="E1105" t="str">
        <f t="shared" si="552"/>
        <v>COM</v>
      </c>
      <c r="F1105" t="str">
        <f t="shared" si="553"/>
        <v>FARMÁCIA INDIANA LJ 1 (10126)</v>
      </c>
      <c r="G1105" t="str">
        <f t="shared" si="554"/>
        <v>Serv.Prest. 17/02/2025 a 23/02/2025 - RPS: 531 - NFSe: 2758</v>
      </c>
      <c r="H1105" t="str">
        <f t="shared" si="555"/>
        <v>05/03/2025</v>
      </c>
      <c r="I1105" t="str">
        <f t="shared" si="556"/>
        <v>24/02/2025</v>
      </c>
      <c r="J1105" t="str">
        <f t="shared" si="557"/>
        <v>05/03/2025</v>
      </c>
      <c r="M1105">
        <v>303</v>
      </c>
      <c r="N1105" t="str">
        <f t="shared" si="558"/>
        <v>RECEITAS COM ENTREGAS</v>
      </c>
      <c r="P1105">
        <v>496.91</v>
      </c>
      <c r="Q1105" t="str">
        <f>"FARMÁCIA INDIANA LJ 101 (10043)"</f>
        <v>FARMÁCIA INDIANA LJ 101 (10043)</v>
      </c>
      <c r="R1105" t="str">
        <f t="shared" si="559"/>
        <v>RECEITAS COM ENTREGAS (303)</v>
      </c>
      <c r="S1105">
        <v>1141</v>
      </c>
      <c r="T1105">
        <v>933</v>
      </c>
      <c r="U1105" t="s">
        <v>19</v>
      </c>
    </row>
    <row r="1106" spans="1:21">
      <c r="A1106" t="str">
        <f t="shared" si="549"/>
        <v>05/03/2025</v>
      </c>
      <c r="B1106" t="str">
        <f t="shared" si="560"/>
        <v>ENTRADA</v>
      </c>
      <c r="C1106" t="str">
        <f t="shared" si="550"/>
        <v>NFSE</v>
      </c>
      <c r="D1106" t="str">
        <f t="shared" si="551"/>
        <v>2758</v>
      </c>
      <c r="E1106" t="str">
        <f t="shared" si="552"/>
        <v>COM</v>
      </c>
      <c r="F1106" t="str">
        <f t="shared" si="553"/>
        <v>FARMÁCIA INDIANA LJ 1 (10126)</v>
      </c>
      <c r="G1106" t="str">
        <f t="shared" si="554"/>
        <v>Serv.Prest. 17/02/2025 a 23/02/2025 - RPS: 531 - NFSe: 2758</v>
      </c>
      <c r="H1106" t="str">
        <f t="shared" si="555"/>
        <v>05/03/2025</v>
      </c>
      <c r="I1106" t="str">
        <f t="shared" si="556"/>
        <v>24/02/2025</v>
      </c>
      <c r="J1106" t="str">
        <f t="shared" si="557"/>
        <v>05/03/2025</v>
      </c>
      <c r="M1106">
        <v>303</v>
      </c>
      <c r="N1106" t="str">
        <f t="shared" si="558"/>
        <v>RECEITAS COM ENTREGAS</v>
      </c>
      <c r="P1106">
        <v>70.989999999999995</v>
      </c>
      <c r="Q1106" t="str">
        <f>"FARMÁCIA INDIANA LJ 103 (10044)"</f>
        <v>FARMÁCIA INDIANA LJ 103 (10044)</v>
      </c>
      <c r="R1106" t="str">
        <f t="shared" si="559"/>
        <v>RECEITAS COM ENTREGAS (303)</v>
      </c>
      <c r="S1106">
        <v>1141</v>
      </c>
      <c r="T1106">
        <v>933</v>
      </c>
      <c r="U1106" t="s">
        <v>19</v>
      </c>
    </row>
    <row r="1107" spans="1:21">
      <c r="A1107" t="str">
        <f t="shared" si="549"/>
        <v>05/03/2025</v>
      </c>
      <c r="B1107" t="str">
        <f t="shared" si="560"/>
        <v>ENTRADA</v>
      </c>
      <c r="C1107" t="str">
        <f t="shared" si="550"/>
        <v>NFSE</v>
      </c>
      <c r="D1107" t="str">
        <f t="shared" si="551"/>
        <v>2758</v>
      </c>
      <c r="E1107" t="str">
        <f t="shared" si="552"/>
        <v>COM</v>
      </c>
      <c r="F1107" t="str">
        <f t="shared" si="553"/>
        <v>FARMÁCIA INDIANA LJ 1 (10126)</v>
      </c>
      <c r="G1107" t="str">
        <f t="shared" si="554"/>
        <v>Serv.Prest. 17/02/2025 a 23/02/2025 - RPS: 531 - NFSe: 2758</v>
      </c>
      <c r="H1107" t="str">
        <f t="shared" si="555"/>
        <v>05/03/2025</v>
      </c>
      <c r="I1107" t="str">
        <f t="shared" si="556"/>
        <v>24/02/2025</v>
      </c>
      <c r="J1107" t="str">
        <f t="shared" si="557"/>
        <v>05/03/2025</v>
      </c>
      <c r="M1107">
        <v>303</v>
      </c>
      <c r="N1107" t="str">
        <f t="shared" si="558"/>
        <v>RECEITAS COM ENTREGAS</v>
      </c>
      <c r="P1107">
        <v>166.95</v>
      </c>
      <c r="Q1107" t="str">
        <f>"FARMÁCIA INDIANA LJ 109 (10047)"</f>
        <v>FARMÁCIA INDIANA LJ 109 (10047)</v>
      </c>
      <c r="R1107" t="str">
        <f t="shared" si="559"/>
        <v>RECEITAS COM ENTREGAS (303)</v>
      </c>
      <c r="S1107">
        <v>1141</v>
      </c>
      <c r="T1107">
        <v>933</v>
      </c>
      <c r="U1107" t="s">
        <v>19</v>
      </c>
    </row>
    <row r="1108" spans="1:21">
      <c r="A1108" t="str">
        <f t="shared" si="549"/>
        <v>05/03/2025</v>
      </c>
      <c r="B1108" t="str">
        <f t="shared" si="560"/>
        <v>ENTRADA</v>
      </c>
      <c r="C1108" t="str">
        <f t="shared" si="550"/>
        <v>NFSE</v>
      </c>
      <c r="D1108" t="str">
        <f t="shared" si="551"/>
        <v>2758</v>
      </c>
      <c r="E1108" t="str">
        <f t="shared" si="552"/>
        <v>COM</v>
      </c>
      <c r="F1108" t="str">
        <f t="shared" si="553"/>
        <v>FARMÁCIA INDIANA LJ 1 (10126)</v>
      </c>
      <c r="G1108" t="str">
        <f t="shared" si="554"/>
        <v>Serv.Prest. 17/02/2025 a 23/02/2025 - RPS: 531 - NFSe: 2758</v>
      </c>
      <c r="H1108" t="str">
        <f t="shared" si="555"/>
        <v>05/03/2025</v>
      </c>
      <c r="I1108" t="str">
        <f t="shared" si="556"/>
        <v>24/02/2025</v>
      </c>
      <c r="J1108" t="str">
        <f t="shared" si="557"/>
        <v>05/03/2025</v>
      </c>
      <c r="M1108">
        <v>303</v>
      </c>
      <c r="N1108" t="str">
        <f t="shared" si="558"/>
        <v>RECEITAS COM ENTREGAS</v>
      </c>
      <c r="P1108">
        <v>496.91</v>
      </c>
      <c r="Q1108" t="str">
        <f>"FARMÁCIA INDIANA LJ 110 (10048)"</f>
        <v>FARMÁCIA INDIANA LJ 110 (10048)</v>
      </c>
      <c r="R1108" t="str">
        <f t="shared" si="559"/>
        <v>RECEITAS COM ENTREGAS (303)</v>
      </c>
      <c r="S1108">
        <v>1141</v>
      </c>
      <c r="T1108">
        <v>933</v>
      </c>
      <c r="U1108" t="s">
        <v>19</v>
      </c>
    </row>
    <row r="1109" spans="1:21">
      <c r="A1109" t="str">
        <f t="shared" si="549"/>
        <v>05/03/2025</v>
      </c>
      <c r="B1109" t="str">
        <f t="shared" si="560"/>
        <v>ENTRADA</v>
      </c>
      <c r="C1109" t="str">
        <f t="shared" si="550"/>
        <v>NFSE</v>
      </c>
      <c r="D1109" t="str">
        <f t="shared" si="551"/>
        <v>2758</v>
      </c>
      <c r="E1109" t="str">
        <f t="shared" si="552"/>
        <v>COM</v>
      </c>
      <c r="F1109" t="str">
        <f t="shared" si="553"/>
        <v>FARMÁCIA INDIANA LJ 1 (10126)</v>
      </c>
      <c r="G1109" t="str">
        <f t="shared" si="554"/>
        <v>Serv.Prest. 17/02/2025 a 23/02/2025 - RPS: 531 - NFSe: 2758</v>
      </c>
      <c r="H1109" t="str">
        <f t="shared" si="555"/>
        <v>05/03/2025</v>
      </c>
      <c r="I1109" t="str">
        <f t="shared" si="556"/>
        <v>24/02/2025</v>
      </c>
      <c r="J1109" t="str">
        <f t="shared" si="557"/>
        <v>05/03/2025</v>
      </c>
      <c r="M1109">
        <v>303</v>
      </c>
      <c r="N1109" t="str">
        <f t="shared" si="558"/>
        <v>RECEITAS COM ENTREGAS</v>
      </c>
      <c r="P1109">
        <v>64.41</v>
      </c>
      <c r="Q1109" t="str">
        <f>"FARMÁCIA INDIANA LJ 111 (10049)"</f>
        <v>FARMÁCIA INDIANA LJ 111 (10049)</v>
      </c>
      <c r="R1109" t="str">
        <f t="shared" si="559"/>
        <v>RECEITAS COM ENTREGAS (303)</v>
      </c>
      <c r="S1109">
        <v>1141</v>
      </c>
      <c r="T1109">
        <v>933</v>
      </c>
      <c r="U1109" t="s">
        <v>19</v>
      </c>
    </row>
    <row r="1110" spans="1:21">
      <c r="A1110" t="str">
        <f t="shared" si="549"/>
        <v>05/03/2025</v>
      </c>
      <c r="B1110" t="str">
        <f t="shared" si="560"/>
        <v>ENTRADA</v>
      </c>
      <c r="C1110" t="str">
        <f t="shared" si="550"/>
        <v>NFSE</v>
      </c>
      <c r="D1110" t="str">
        <f t="shared" si="551"/>
        <v>2758</v>
      </c>
      <c r="E1110" t="str">
        <f t="shared" si="552"/>
        <v>COM</v>
      </c>
      <c r="F1110" t="str">
        <f t="shared" si="553"/>
        <v>FARMÁCIA INDIANA LJ 1 (10126)</v>
      </c>
      <c r="G1110" t="str">
        <f t="shared" si="554"/>
        <v>Serv.Prest. 17/02/2025 a 23/02/2025 - RPS: 531 - NFSe: 2758</v>
      </c>
      <c r="H1110" t="str">
        <f t="shared" si="555"/>
        <v>05/03/2025</v>
      </c>
      <c r="I1110" t="str">
        <f t="shared" si="556"/>
        <v>24/02/2025</v>
      </c>
      <c r="J1110" t="str">
        <f t="shared" si="557"/>
        <v>05/03/2025</v>
      </c>
      <c r="M1110">
        <v>303</v>
      </c>
      <c r="N1110" t="str">
        <f t="shared" si="558"/>
        <v>RECEITAS COM ENTREGAS</v>
      </c>
      <c r="P1110">
        <v>126.2</v>
      </c>
      <c r="Q1110" t="str">
        <f>"FARMÁCIA INDIANA LJ 112 (10050)"</f>
        <v>FARMÁCIA INDIANA LJ 112 (10050)</v>
      </c>
      <c r="R1110" t="str">
        <f t="shared" si="559"/>
        <v>RECEITAS COM ENTREGAS (303)</v>
      </c>
      <c r="S1110">
        <v>1141</v>
      </c>
      <c r="T1110">
        <v>933</v>
      </c>
      <c r="U1110" t="s">
        <v>19</v>
      </c>
    </row>
    <row r="1111" spans="1:21">
      <c r="A1111" t="str">
        <f t="shared" si="549"/>
        <v>05/03/2025</v>
      </c>
      <c r="B1111" t="str">
        <f t="shared" si="560"/>
        <v>ENTRADA</v>
      </c>
      <c r="C1111" t="str">
        <f t="shared" si="550"/>
        <v>NFSE</v>
      </c>
      <c r="D1111" t="str">
        <f t="shared" si="551"/>
        <v>2758</v>
      </c>
      <c r="E1111" t="str">
        <f t="shared" si="552"/>
        <v>COM</v>
      </c>
      <c r="F1111" t="str">
        <f t="shared" si="553"/>
        <v>FARMÁCIA INDIANA LJ 1 (10126)</v>
      </c>
      <c r="G1111" t="str">
        <f t="shared" si="554"/>
        <v>Serv.Prest. 17/02/2025 a 23/02/2025 - RPS: 531 - NFSe: 2758</v>
      </c>
      <c r="H1111" t="str">
        <f t="shared" si="555"/>
        <v>05/03/2025</v>
      </c>
      <c r="I1111" t="str">
        <f t="shared" si="556"/>
        <v>24/02/2025</v>
      </c>
      <c r="J1111" t="str">
        <f t="shared" si="557"/>
        <v>05/03/2025</v>
      </c>
      <c r="M1111">
        <v>303</v>
      </c>
      <c r="N1111" t="str">
        <f t="shared" si="558"/>
        <v>RECEITAS COM ENTREGAS</v>
      </c>
      <c r="P1111">
        <v>126.2</v>
      </c>
      <c r="Q1111" t="str">
        <f>"FARMÁCIA INDIANA LJ 116 (10051)"</f>
        <v>FARMÁCIA INDIANA LJ 116 (10051)</v>
      </c>
      <c r="R1111" t="str">
        <f t="shared" si="559"/>
        <v>RECEITAS COM ENTREGAS (303)</v>
      </c>
      <c r="S1111">
        <v>1141</v>
      </c>
      <c r="T1111">
        <v>933</v>
      </c>
      <c r="U1111" t="s">
        <v>19</v>
      </c>
    </row>
    <row r="1112" spans="1:21">
      <c r="A1112" t="str">
        <f t="shared" si="549"/>
        <v>05/03/2025</v>
      </c>
      <c r="B1112" t="str">
        <f t="shared" si="560"/>
        <v>ENTRADA</v>
      </c>
      <c r="C1112" t="str">
        <f t="shared" si="550"/>
        <v>NFSE</v>
      </c>
      <c r="D1112" t="str">
        <f t="shared" si="551"/>
        <v>2758</v>
      </c>
      <c r="E1112" t="str">
        <f t="shared" si="552"/>
        <v>COM</v>
      </c>
      <c r="F1112" t="str">
        <f t="shared" si="553"/>
        <v>FARMÁCIA INDIANA LJ 1 (10126)</v>
      </c>
      <c r="G1112" t="str">
        <f t="shared" si="554"/>
        <v>Serv.Prest. 17/02/2025 a 23/02/2025 - RPS: 531 - NFSe: 2758</v>
      </c>
      <c r="H1112" t="str">
        <f t="shared" si="555"/>
        <v>05/03/2025</v>
      </c>
      <c r="I1112" t="str">
        <f t="shared" si="556"/>
        <v>24/02/2025</v>
      </c>
      <c r="J1112" t="str">
        <f t="shared" si="557"/>
        <v>05/03/2025</v>
      </c>
      <c r="M1112">
        <v>303</v>
      </c>
      <c r="N1112" t="str">
        <f t="shared" si="558"/>
        <v>RECEITAS COM ENTREGAS</v>
      </c>
      <c r="P1112">
        <v>135.4</v>
      </c>
      <c r="Q1112" t="str">
        <f>"FARMÁCIA INDIANA LJ 118 (10052)"</f>
        <v>FARMÁCIA INDIANA LJ 118 (10052)</v>
      </c>
      <c r="R1112" t="str">
        <f t="shared" si="559"/>
        <v>RECEITAS COM ENTREGAS (303)</v>
      </c>
      <c r="S1112">
        <v>1141</v>
      </c>
      <c r="T1112">
        <v>933</v>
      </c>
      <c r="U1112" t="s">
        <v>19</v>
      </c>
    </row>
    <row r="1113" spans="1:21">
      <c r="A1113" t="str">
        <f t="shared" si="549"/>
        <v>05/03/2025</v>
      </c>
      <c r="B1113" t="str">
        <f t="shared" si="560"/>
        <v>ENTRADA</v>
      </c>
      <c r="C1113" t="str">
        <f t="shared" si="550"/>
        <v>NFSE</v>
      </c>
      <c r="D1113" t="str">
        <f t="shared" si="551"/>
        <v>2758</v>
      </c>
      <c r="E1113" t="str">
        <f t="shared" si="552"/>
        <v>COM</v>
      </c>
      <c r="F1113" t="str">
        <f t="shared" si="553"/>
        <v>FARMÁCIA INDIANA LJ 1 (10126)</v>
      </c>
      <c r="G1113" t="str">
        <f t="shared" si="554"/>
        <v>Serv.Prest. 17/02/2025 a 23/02/2025 - RPS: 531 - NFSe: 2758</v>
      </c>
      <c r="H1113" t="str">
        <f t="shared" si="555"/>
        <v>05/03/2025</v>
      </c>
      <c r="I1113" t="str">
        <f t="shared" si="556"/>
        <v>24/02/2025</v>
      </c>
      <c r="J1113" t="str">
        <f t="shared" si="557"/>
        <v>05/03/2025</v>
      </c>
      <c r="M1113">
        <v>303</v>
      </c>
      <c r="N1113" t="str">
        <f t="shared" si="558"/>
        <v>RECEITAS COM ENTREGAS</v>
      </c>
      <c r="P1113">
        <v>126.2</v>
      </c>
      <c r="Q1113" t="str">
        <f>"FARMÁCIA INDIANA LJ 121 (10054)"</f>
        <v>FARMÁCIA INDIANA LJ 121 (10054)</v>
      </c>
      <c r="R1113" t="str">
        <f t="shared" si="559"/>
        <v>RECEITAS COM ENTREGAS (303)</v>
      </c>
      <c r="S1113">
        <v>1141</v>
      </c>
      <c r="T1113">
        <v>933</v>
      </c>
      <c r="U1113" t="s">
        <v>19</v>
      </c>
    </row>
    <row r="1114" spans="1:21">
      <c r="A1114" t="str">
        <f t="shared" si="549"/>
        <v>05/03/2025</v>
      </c>
      <c r="B1114" t="str">
        <f t="shared" si="560"/>
        <v>ENTRADA</v>
      </c>
      <c r="C1114" t="str">
        <f t="shared" si="550"/>
        <v>NFSE</v>
      </c>
      <c r="D1114" t="str">
        <f t="shared" si="551"/>
        <v>2758</v>
      </c>
      <c r="E1114" t="str">
        <f t="shared" si="552"/>
        <v>COM</v>
      </c>
      <c r="F1114" t="str">
        <f t="shared" si="553"/>
        <v>FARMÁCIA INDIANA LJ 1 (10126)</v>
      </c>
      <c r="G1114" t="str">
        <f t="shared" si="554"/>
        <v>Serv.Prest. 17/02/2025 a 23/02/2025 - RPS: 531 - NFSe: 2758</v>
      </c>
      <c r="H1114" t="str">
        <f t="shared" si="555"/>
        <v>05/03/2025</v>
      </c>
      <c r="I1114" t="str">
        <f t="shared" si="556"/>
        <v>24/02/2025</v>
      </c>
      <c r="J1114" t="str">
        <f t="shared" si="557"/>
        <v>05/03/2025</v>
      </c>
      <c r="M1114">
        <v>303</v>
      </c>
      <c r="N1114" t="str">
        <f t="shared" si="558"/>
        <v>RECEITAS COM ENTREGAS</v>
      </c>
      <c r="P1114">
        <v>126.2</v>
      </c>
      <c r="Q1114" t="str">
        <f>"FARMÁCIA INDIANA LJ 128 (10057)"</f>
        <v>FARMÁCIA INDIANA LJ 128 (10057)</v>
      </c>
      <c r="R1114" t="str">
        <f t="shared" si="559"/>
        <v>RECEITAS COM ENTREGAS (303)</v>
      </c>
      <c r="S1114">
        <v>1141</v>
      </c>
      <c r="T1114">
        <v>933</v>
      </c>
      <c r="U1114" t="s">
        <v>19</v>
      </c>
    </row>
    <row r="1115" spans="1:21">
      <c r="A1115" t="str">
        <f t="shared" si="549"/>
        <v>05/03/2025</v>
      </c>
      <c r="B1115" t="str">
        <f t="shared" si="560"/>
        <v>ENTRADA</v>
      </c>
      <c r="C1115" t="str">
        <f t="shared" si="550"/>
        <v>NFSE</v>
      </c>
      <c r="D1115" t="str">
        <f t="shared" si="551"/>
        <v>2758</v>
      </c>
      <c r="E1115" t="str">
        <f t="shared" si="552"/>
        <v>COM</v>
      </c>
      <c r="F1115" t="str">
        <f t="shared" si="553"/>
        <v>FARMÁCIA INDIANA LJ 1 (10126)</v>
      </c>
      <c r="G1115" t="str">
        <f t="shared" si="554"/>
        <v>Serv.Prest. 17/02/2025 a 23/02/2025 - RPS: 531 - NFSe: 2758</v>
      </c>
      <c r="H1115" t="str">
        <f t="shared" si="555"/>
        <v>05/03/2025</v>
      </c>
      <c r="I1115" t="str">
        <f t="shared" si="556"/>
        <v>24/02/2025</v>
      </c>
      <c r="J1115" t="str">
        <f t="shared" si="557"/>
        <v>05/03/2025</v>
      </c>
      <c r="M1115">
        <v>303</v>
      </c>
      <c r="N1115" t="str">
        <f t="shared" si="558"/>
        <v>RECEITAS COM ENTREGAS</v>
      </c>
      <c r="P1115">
        <v>490.33</v>
      </c>
      <c r="Q1115" t="str">
        <f>"FARMÁCIA INDIANA LJ 132 (10059)"</f>
        <v>FARMÁCIA INDIANA LJ 132 (10059)</v>
      </c>
      <c r="R1115" t="str">
        <f t="shared" si="559"/>
        <v>RECEITAS COM ENTREGAS (303)</v>
      </c>
      <c r="S1115">
        <v>1141</v>
      </c>
      <c r="T1115">
        <v>933</v>
      </c>
      <c r="U1115" t="s">
        <v>19</v>
      </c>
    </row>
    <row r="1116" spans="1:21">
      <c r="A1116" t="str">
        <f t="shared" si="549"/>
        <v>05/03/2025</v>
      </c>
      <c r="B1116" t="str">
        <f t="shared" si="560"/>
        <v>ENTRADA</v>
      </c>
      <c r="C1116" t="str">
        <f t="shared" si="550"/>
        <v>NFSE</v>
      </c>
      <c r="D1116" t="str">
        <f t="shared" si="551"/>
        <v>2758</v>
      </c>
      <c r="E1116" t="str">
        <f t="shared" si="552"/>
        <v>COM</v>
      </c>
      <c r="F1116" t="str">
        <f t="shared" si="553"/>
        <v>FARMÁCIA INDIANA LJ 1 (10126)</v>
      </c>
      <c r="G1116" t="str">
        <f t="shared" si="554"/>
        <v>Serv.Prest. 17/02/2025 a 23/02/2025 - RPS: 531 - NFSe: 2758</v>
      </c>
      <c r="H1116" t="str">
        <f t="shared" si="555"/>
        <v>05/03/2025</v>
      </c>
      <c r="I1116" t="str">
        <f t="shared" si="556"/>
        <v>24/02/2025</v>
      </c>
      <c r="J1116" t="str">
        <f t="shared" si="557"/>
        <v>05/03/2025</v>
      </c>
      <c r="M1116">
        <v>303</v>
      </c>
      <c r="N1116" t="str">
        <f t="shared" si="558"/>
        <v>RECEITAS COM ENTREGAS</v>
      </c>
      <c r="P1116">
        <v>28.92</v>
      </c>
      <c r="Q1116" t="str">
        <f>"FARMÁCIA INDIANA LJ 140 (10064)"</f>
        <v>FARMÁCIA INDIANA LJ 140 (10064)</v>
      </c>
      <c r="R1116" t="str">
        <f t="shared" si="559"/>
        <v>RECEITAS COM ENTREGAS (303)</v>
      </c>
      <c r="S1116">
        <v>1141</v>
      </c>
      <c r="T1116">
        <v>933</v>
      </c>
      <c r="U1116" t="s">
        <v>19</v>
      </c>
    </row>
    <row r="1117" spans="1:21">
      <c r="A1117" t="str">
        <f t="shared" si="549"/>
        <v>05/03/2025</v>
      </c>
      <c r="B1117" t="str">
        <f t="shared" si="560"/>
        <v>ENTRADA</v>
      </c>
      <c r="C1117" t="str">
        <f t="shared" si="550"/>
        <v>NFSE</v>
      </c>
      <c r="D1117" t="str">
        <f t="shared" si="551"/>
        <v>2758</v>
      </c>
      <c r="E1117" t="str">
        <f t="shared" si="552"/>
        <v>COM</v>
      </c>
      <c r="F1117" t="str">
        <f t="shared" si="553"/>
        <v>FARMÁCIA INDIANA LJ 1 (10126)</v>
      </c>
      <c r="G1117" t="str">
        <f t="shared" si="554"/>
        <v>Serv.Prest. 17/02/2025 a 23/02/2025 - RPS: 531 - NFSe: 2758</v>
      </c>
      <c r="H1117" t="str">
        <f t="shared" si="555"/>
        <v>05/03/2025</v>
      </c>
      <c r="I1117" t="str">
        <f t="shared" si="556"/>
        <v>24/02/2025</v>
      </c>
      <c r="J1117" t="str">
        <f t="shared" si="557"/>
        <v>05/03/2025</v>
      </c>
      <c r="M1117">
        <v>303</v>
      </c>
      <c r="N1117" t="str">
        <f t="shared" si="558"/>
        <v>RECEITAS COM ENTREGAS</v>
      </c>
      <c r="P1117">
        <v>21.03</v>
      </c>
      <c r="Q1117" t="str">
        <f>"FARMÁCIA INDIANA LJ 141 (10065)"</f>
        <v>FARMÁCIA INDIANA LJ 141 (10065)</v>
      </c>
      <c r="R1117" t="str">
        <f t="shared" si="559"/>
        <v>RECEITAS COM ENTREGAS (303)</v>
      </c>
      <c r="S1117">
        <v>1141</v>
      </c>
      <c r="T1117">
        <v>933</v>
      </c>
      <c r="U1117" t="s">
        <v>19</v>
      </c>
    </row>
    <row r="1118" spans="1:21">
      <c r="A1118" t="str">
        <f t="shared" si="549"/>
        <v>05/03/2025</v>
      </c>
      <c r="B1118" t="str">
        <f t="shared" si="560"/>
        <v>ENTRADA</v>
      </c>
      <c r="C1118" t="str">
        <f t="shared" si="550"/>
        <v>NFSE</v>
      </c>
      <c r="D1118" t="str">
        <f t="shared" si="551"/>
        <v>2758</v>
      </c>
      <c r="E1118" t="str">
        <f t="shared" si="552"/>
        <v>COM</v>
      </c>
      <c r="F1118" t="str">
        <f t="shared" si="553"/>
        <v>FARMÁCIA INDIANA LJ 1 (10126)</v>
      </c>
      <c r="G1118" t="str">
        <f t="shared" si="554"/>
        <v>Serv.Prest. 17/02/2025 a 23/02/2025 - RPS: 531 - NFSe: 2758</v>
      </c>
      <c r="H1118" t="str">
        <f t="shared" si="555"/>
        <v>05/03/2025</v>
      </c>
      <c r="I1118" t="str">
        <f t="shared" si="556"/>
        <v>24/02/2025</v>
      </c>
      <c r="J1118" t="str">
        <f t="shared" si="557"/>
        <v>05/03/2025</v>
      </c>
      <c r="M1118">
        <v>303</v>
      </c>
      <c r="N1118" t="str">
        <f t="shared" si="558"/>
        <v>RECEITAS COM ENTREGAS</v>
      </c>
      <c r="P1118">
        <v>673.06</v>
      </c>
      <c r="Q1118" t="str">
        <f>"FARMÁCIA INDIANA LJ 142 (10066)"</f>
        <v>FARMÁCIA INDIANA LJ 142 (10066)</v>
      </c>
      <c r="R1118" t="str">
        <f t="shared" si="559"/>
        <v>RECEITAS COM ENTREGAS (303)</v>
      </c>
      <c r="S1118">
        <v>1141</v>
      </c>
      <c r="T1118">
        <v>933</v>
      </c>
      <c r="U1118" t="s">
        <v>19</v>
      </c>
    </row>
    <row r="1119" spans="1:21">
      <c r="A1119" t="str">
        <f t="shared" si="549"/>
        <v>05/03/2025</v>
      </c>
      <c r="B1119" t="str">
        <f t="shared" si="560"/>
        <v>ENTRADA</v>
      </c>
      <c r="C1119" t="str">
        <f t="shared" si="550"/>
        <v>NFSE</v>
      </c>
      <c r="D1119" t="str">
        <f t="shared" si="551"/>
        <v>2758</v>
      </c>
      <c r="E1119" t="str">
        <f t="shared" si="552"/>
        <v>COM</v>
      </c>
      <c r="F1119" t="str">
        <f t="shared" si="553"/>
        <v>FARMÁCIA INDIANA LJ 1 (10126)</v>
      </c>
      <c r="G1119" t="str">
        <f t="shared" si="554"/>
        <v>Serv.Prest. 17/02/2025 a 23/02/2025 - RPS: 531 - NFSe: 2758</v>
      </c>
      <c r="H1119" t="str">
        <f t="shared" si="555"/>
        <v>05/03/2025</v>
      </c>
      <c r="I1119" t="str">
        <f t="shared" si="556"/>
        <v>24/02/2025</v>
      </c>
      <c r="J1119" t="str">
        <f t="shared" si="557"/>
        <v>05/03/2025</v>
      </c>
      <c r="M1119">
        <v>303</v>
      </c>
      <c r="N1119" t="str">
        <f t="shared" si="558"/>
        <v>RECEITAS COM ENTREGAS</v>
      </c>
      <c r="P1119">
        <v>65.73</v>
      </c>
      <c r="Q1119" t="str">
        <f>"FARMÁCIA INDIANA LJ 143 (10067)"</f>
        <v>FARMÁCIA INDIANA LJ 143 (10067)</v>
      </c>
      <c r="R1119" t="str">
        <f t="shared" si="559"/>
        <v>RECEITAS COM ENTREGAS (303)</v>
      </c>
      <c r="S1119">
        <v>1141</v>
      </c>
      <c r="T1119">
        <v>933</v>
      </c>
      <c r="U1119" t="s">
        <v>19</v>
      </c>
    </row>
    <row r="1120" spans="1:21">
      <c r="A1120" t="str">
        <f t="shared" si="549"/>
        <v>05/03/2025</v>
      </c>
      <c r="B1120" t="str">
        <f t="shared" si="560"/>
        <v>ENTRADA</v>
      </c>
      <c r="C1120" t="str">
        <f t="shared" si="550"/>
        <v>NFSE</v>
      </c>
      <c r="D1120" t="str">
        <f t="shared" si="551"/>
        <v>2758</v>
      </c>
      <c r="E1120" t="str">
        <f t="shared" si="552"/>
        <v>COM</v>
      </c>
      <c r="F1120" t="str">
        <f t="shared" si="553"/>
        <v>FARMÁCIA INDIANA LJ 1 (10126)</v>
      </c>
      <c r="G1120" t="str">
        <f t="shared" si="554"/>
        <v>Serv.Prest. 17/02/2025 a 23/02/2025 - RPS: 531 - NFSe: 2758</v>
      </c>
      <c r="H1120" t="str">
        <f t="shared" si="555"/>
        <v>05/03/2025</v>
      </c>
      <c r="I1120" t="str">
        <f t="shared" si="556"/>
        <v>24/02/2025</v>
      </c>
      <c r="J1120" t="str">
        <f t="shared" si="557"/>
        <v>05/03/2025</v>
      </c>
      <c r="M1120">
        <v>303</v>
      </c>
      <c r="N1120" t="str">
        <f t="shared" si="558"/>
        <v>RECEITAS COM ENTREGAS</v>
      </c>
      <c r="P1120">
        <v>152.49</v>
      </c>
      <c r="Q1120" t="str">
        <f>"FARMÁCIA INDIANA LJ 152 (10069)"</f>
        <v>FARMÁCIA INDIANA LJ 152 (10069)</v>
      </c>
      <c r="R1120" t="str">
        <f t="shared" si="559"/>
        <v>RECEITAS COM ENTREGAS (303)</v>
      </c>
      <c r="S1120">
        <v>1141</v>
      </c>
      <c r="T1120">
        <v>933</v>
      </c>
      <c r="U1120" t="s">
        <v>19</v>
      </c>
    </row>
    <row r="1121" spans="1:21">
      <c r="A1121" t="str">
        <f t="shared" si="549"/>
        <v>05/03/2025</v>
      </c>
      <c r="B1121" t="str">
        <f t="shared" si="560"/>
        <v>ENTRADA</v>
      </c>
      <c r="C1121" t="str">
        <f t="shared" si="550"/>
        <v>NFSE</v>
      </c>
      <c r="D1121" t="str">
        <f t="shared" si="551"/>
        <v>2758</v>
      </c>
      <c r="E1121" t="str">
        <f t="shared" si="552"/>
        <v>COM</v>
      </c>
      <c r="F1121" t="str">
        <f t="shared" si="553"/>
        <v>FARMÁCIA INDIANA LJ 1 (10126)</v>
      </c>
      <c r="G1121" t="str">
        <f t="shared" si="554"/>
        <v>Serv.Prest. 17/02/2025 a 23/02/2025 - RPS: 531 - NFSe: 2758</v>
      </c>
      <c r="H1121" t="str">
        <f t="shared" si="555"/>
        <v>05/03/2025</v>
      </c>
      <c r="I1121" t="str">
        <f t="shared" si="556"/>
        <v>24/02/2025</v>
      </c>
      <c r="J1121" t="str">
        <f t="shared" si="557"/>
        <v>05/03/2025</v>
      </c>
      <c r="M1121">
        <v>303</v>
      </c>
      <c r="N1121" t="str">
        <f t="shared" si="558"/>
        <v>RECEITAS COM ENTREGAS</v>
      </c>
      <c r="P1121">
        <v>39.44</v>
      </c>
      <c r="Q1121" t="str">
        <f>"FARMÁCIA INDIANA LJ 154 (10070)"</f>
        <v>FARMÁCIA INDIANA LJ 154 (10070)</v>
      </c>
      <c r="R1121" t="str">
        <f t="shared" si="559"/>
        <v>RECEITAS COM ENTREGAS (303)</v>
      </c>
      <c r="S1121">
        <v>1141</v>
      </c>
      <c r="T1121">
        <v>933</v>
      </c>
      <c r="U1121" t="s">
        <v>19</v>
      </c>
    </row>
    <row r="1122" spans="1:21">
      <c r="A1122" t="str">
        <f t="shared" si="549"/>
        <v>05/03/2025</v>
      </c>
      <c r="B1122" t="str">
        <f t="shared" si="560"/>
        <v>ENTRADA</v>
      </c>
      <c r="C1122" t="str">
        <f t="shared" si="550"/>
        <v>NFSE</v>
      </c>
      <c r="D1122" t="str">
        <f t="shared" si="551"/>
        <v>2758</v>
      </c>
      <c r="E1122" t="str">
        <f t="shared" si="552"/>
        <v>COM</v>
      </c>
      <c r="F1122" t="str">
        <f t="shared" si="553"/>
        <v>FARMÁCIA INDIANA LJ 1 (10126)</v>
      </c>
      <c r="G1122" t="str">
        <f t="shared" si="554"/>
        <v>Serv.Prest. 17/02/2025 a 23/02/2025 - RPS: 531 - NFSe: 2758</v>
      </c>
      <c r="H1122" t="str">
        <f t="shared" si="555"/>
        <v>05/03/2025</v>
      </c>
      <c r="I1122" t="str">
        <f t="shared" si="556"/>
        <v>24/02/2025</v>
      </c>
      <c r="J1122" t="str">
        <f t="shared" si="557"/>
        <v>05/03/2025</v>
      </c>
      <c r="M1122">
        <v>303</v>
      </c>
      <c r="N1122" t="str">
        <f t="shared" si="558"/>
        <v>RECEITAS COM ENTREGAS</v>
      </c>
      <c r="P1122">
        <v>322.07</v>
      </c>
      <c r="Q1122" t="str">
        <f>"FARMÁCIA INDIANA LJ 171 (10074)"</f>
        <v>FARMÁCIA INDIANA LJ 171 (10074)</v>
      </c>
      <c r="R1122" t="str">
        <f t="shared" si="559"/>
        <v>RECEITAS COM ENTREGAS (303)</v>
      </c>
      <c r="S1122">
        <v>1141</v>
      </c>
      <c r="T1122">
        <v>933</v>
      </c>
      <c r="U1122" t="s">
        <v>19</v>
      </c>
    </row>
    <row r="1123" spans="1:21">
      <c r="A1123" t="str">
        <f t="shared" ref="A1123:A1154" si="561">("05/03/2025")</f>
        <v>05/03/2025</v>
      </c>
      <c r="B1123" t="str">
        <f t="shared" si="560"/>
        <v>ENTRADA</v>
      </c>
      <c r="C1123" t="str">
        <f t="shared" ref="C1123:C1154" si="562">"NFSE"</f>
        <v>NFSE</v>
      </c>
      <c r="D1123" t="str">
        <f t="shared" si="551"/>
        <v>2758</v>
      </c>
      <c r="E1123" t="str">
        <f t="shared" ref="E1123:E1154" si="563">"COM"</f>
        <v>COM</v>
      </c>
      <c r="F1123" t="str">
        <f t="shared" si="553"/>
        <v>FARMÁCIA INDIANA LJ 1 (10126)</v>
      </c>
      <c r="G1123" t="str">
        <f t="shared" si="554"/>
        <v>Serv.Prest. 17/02/2025 a 23/02/2025 - RPS: 531 - NFSe: 2758</v>
      </c>
      <c r="H1123" t="str">
        <f t="shared" ref="H1123:H1154" si="564">("05/03/2025")</f>
        <v>05/03/2025</v>
      </c>
      <c r="I1123" t="str">
        <f t="shared" ref="I1123:I1153" si="565">("24/02/2025")</f>
        <v>24/02/2025</v>
      </c>
      <c r="J1123" t="str">
        <f t="shared" ref="J1123:J1154" si="566">("05/03/2025")</f>
        <v>05/03/2025</v>
      </c>
      <c r="M1123">
        <v>303</v>
      </c>
      <c r="N1123" t="str">
        <f t="shared" ref="N1123:N1154" si="567">"RECEITAS COM ENTREGAS"</f>
        <v>RECEITAS COM ENTREGAS</v>
      </c>
      <c r="P1123">
        <v>131.46</v>
      </c>
      <c r="Q1123" t="str">
        <f>"FARMÁCIA INDIANA LJ 175 (10076)"</f>
        <v>FARMÁCIA INDIANA LJ 175 (10076)</v>
      </c>
      <c r="R1123" t="str">
        <f t="shared" ref="R1123:R1154" si="568">"RECEITAS COM ENTREGAS (303)"</f>
        <v>RECEITAS COM ENTREGAS (303)</v>
      </c>
      <c r="S1123">
        <v>1141</v>
      </c>
      <c r="T1123">
        <v>933</v>
      </c>
      <c r="U1123" t="s">
        <v>19</v>
      </c>
    </row>
    <row r="1124" spans="1:21">
      <c r="A1124" t="str">
        <f t="shared" si="561"/>
        <v>05/03/2025</v>
      </c>
      <c r="B1124" t="str">
        <f t="shared" si="560"/>
        <v>ENTRADA</v>
      </c>
      <c r="C1124" t="str">
        <f t="shared" si="562"/>
        <v>NFSE</v>
      </c>
      <c r="D1124" t="str">
        <f t="shared" si="551"/>
        <v>2758</v>
      </c>
      <c r="E1124" t="str">
        <f t="shared" si="563"/>
        <v>COM</v>
      </c>
      <c r="F1124" t="str">
        <f t="shared" si="553"/>
        <v>FARMÁCIA INDIANA LJ 1 (10126)</v>
      </c>
      <c r="G1124" t="str">
        <f t="shared" si="554"/>
        <v>Serv.Prest. 17/02/2025 a 23/02/2025 - RPS: 531 - NFSe: 2758</v>
      </c>
      <c r="H1124" t="str">
        <f t="shared" si="564"/>
        <v>05/03/2025</v>
      </c>
      <c r="I1124" t="str">
        <f t="shared" si="565"/>
        <v>24/02/2025</v>
      </c>
      <c r="J1124" t="str">
        <f t="shared" si="566"/>
        <v>05/03/2025</v>
      </c>
      <c r="M1124">
        <v>303</v>
      </c>
      <c r="N1124" t="str">
        <f t="shared" si="567"/>
        <v>RECEITAS COM ENTREGAS</v>
      </c>
      <c r="P1124">
        <v>115.68</v>
      </c>
      <c r="Q1124" t="str">
        <f>"FARMÁCIA INDIANA LJ 178 (10077)"</f>
        <v>FARMÁCIA INDIANA LJ 178 (10077)</v>
      </c>
      <c r="R1124" t="str">
        <f t="shared" si="568"/>
        <v>RECEITAS COM ENTREGAS (303)</v>
      </c>
      <c r="S1124">
        <v>1141</v>
      </c>
      <c r="T1124">
        <v>933</v>
      </c>
      <c r="U1124" t="s">
        <v>19</v>
      </c>
    </row>
    <row r="1125" spans="1:21">
      <c r="A1125" t="str">
        <f t="shared" si="561"/>
        <v>05/03/2025</v>
      </c>
      <c r="B1125" t="str">
        <f t="shared" si="560"/>
        <v>ENTRADA</v>
      </c>
      <c r="C1125" t="str">
        <f t="shared" si="562"/>
        <v>NFSE</v>
      </c>
      <c r="D1125" t="str">
        <f t="shared" si="551"/>
        <v>2758</v>
      </c>
      <c r="E1125" t="str">
        <f t="shared" si="563"/>
        <v>COM</v>
      </c>
      <c r="F1125" t="str">
        <f t="shared" si="553"/>
        <v>FARMÁCIA INDIANA LJ 1 (10126)</v>
      </c>
      <c r="G1125" t="str">
        <f t="shared" si="554"/>
        <v>Serv.Prest. 17/02/2025 a 23/02/2025 - RPS: 531 - NFSe: 2758</v>
      </c>
      <c r="H1125" t="str">
        <f t="shared" si="564"/>
        <v>05/03/2025</v>
      </c>
      <c r="I1125" t="str">
        <f t="shared" si="565"/>
        <v>24/02/2025</v>
      </c>
      <c r="J1125" t="str">
        <f t="shared" si="566"/>
        <v>05/03/2025</v>
      </c>
      <c r="M1125">
        <v>303</v>
      </c>
      <c r="N1125" t="str">
        <f t="shared" si="567"/>
        <v>RECEITAS COM ENTREGAS</v>
      </c>
      <c r="P1125">
        <v>80.19</v>
      </c>
      <c r="Q1125" t="str">
        <f>"FARMÁCIA INDIANA LJ 182 (10079)"</f>
        <v>FARMÁCIA INDIANA LJ 182 (10079)</v>
      </c>
      <c r="R1125" t="str">
        <f t="shared" si="568"/>
        <v>RECEITAS COM ENTREGAS (303)</v>
      </c>
      <c r="S1125">
        <v>1141</v>
      </c>
      <c r="T1125">
        <v>933</v>
      </c>
      <c r="U1125" t="s">
        <v>19</v>
      </c>
    </row>
    <row r="1126" spans="1:21">
      <c r="A1126" t="str">
        <f t="shared" si="561"/>
        <v>05/03/2025</v>
      </c>
      <c r="B1126" t="str">
        <f t="shared" si="560"/>
        <v>ENTRADA</v>
      </c>
      <c r="C1126" t="str">
        <f t="shared" si="562"/>
        <v>NFSE</v>
      </c>
      <c r="D1126" t="str">
        <f t="shared" si="551"/>
        <v>2758</v>
      </c>
      <c r="E1126" t="str">
        <f t="shared" si="563"/>
        <v>COM</v>
      </c>
      <c r="F1126" t="str">
        <f t="shared" si="553"/>
        <v>FARMÁCIA INDIANA LJ 1 (10126)</v>
      </c>
      <c r="G1126" t="str">
        <f t="shared" si="554"/>
        <v>Serv.Prest. 17/02/2025 a 23/02/2025 - RPS: 531 - NFSe: 2758</v>
      </c>
      <c r="H1126" t="str">
        <f t="shared" si="564"/>
        <v>05/03/2025</v>
      </c>
      <c r="I1126" t="str">
        <f t="shared" si="565"/>
        <v>24/02/2025</v>
      </c>
      <c r="J1126" t="str">
        <f t="shared" si="566"/>
        <v>05/03/2025</v>
      </c>
      <c r="M1126">
        <v>303</v>
      </c>
      <c r="N1126" t="str">
        <f t="shared" si="567"/>
        <v>RECEITAS COM ENTREGAS</v>
      </c>
      <c r="P1126">
        <v>39.44</v>
      </c>
      <c r="Q1126" t="str">
        <f>"FARMÁCIA INDIANA LJ 184 (10080)"</f>
        <v>FARMÁCIA INDIANA LJ 184 (10080)</v>
      </c>
      <c r="R1126" t="str">
        <f t="shared" si="568"/>
        <v>RECEITAS COM ENTREGAS (303)</v>
      </c>
      <c r="S1126">
        <v>1141</v>
      </c>
      <c r="T1126">
        <v>933</v>
      </c>
      <c r="U1126" t="s">
        <v>19</v>
      </c>
    </row>
    <row r="1127" spans="1:21">
      <c r="A1127" t="str">
        <f t="shared" si="561"/>
        <v>05/03/2025</v>
      </c>
      <c r="B1127" t="str">
        <f t="shared" si="560"/>
        <v>ENTRADA</v>
      </c>
      <c r="C1127" t="str">
        <f t="shared" si="562"/>
        <v>NFSE</v>
      </c>
      <c r="D1127" t="str">
        <f t="shared" si="551"/>
        <v>2758</v>
      </c>
      <c r="E1127" t="str">
        <f t="shared" si="563"/>
        <v>COM</v>
      </c>
      <c r="F1127" t="str">
        <f t="shared" si="553"/>
        <v>FARMÁCIA INDIANA LJ 1 (10126)</v>
      </c>
      <c r="G1127" t="str">
        <f t="shared" si="554"/>
        <v>Serv.Prest. 17/02/2025 a 23/02/2025 - RPS: 531 - NFSe: 2758</v>
      </c>
      <c r="H1127" t="str">
        <f t="shared" si="564"/>
        <v>05/03/2025</v>
      </c>
      <c r="I1127" t="str">
        <f t="shared" si="565"/>
        <v>24/02/2025</v>
      </c>
      <c r="J1127" t="str">
        <f t="shared" si="566"/>
        <v>05/03/2025</v>
      </c>
      <c r="M1127">
        <v>303</v>
      </c>
      <c r="N1127" t="str">
        <f t="shared" si="567"/>
        <v>RECEITAS COM ENTREGAS</v>
      </c>
      <c r="P1127">
        <v>80.19</v>
      </c>
      <c r="Q1127" t="str">
        <f>"FARMÁCIA INDIANA LJ 186 (10081)"</f>
        <v>FARMÁCIA INDIANA LJ 186 (10081)</v>
      </c>
      <c r="R1127" t="str">
        <f t="shared" si="568"/>
        <v>RECEITAS COM ENTREGAS (303)</v>
      </c>
      <c r="S1127">
        <v>1141</v>
      </c>
      <c r="T1127">
        <v>933</v>
      </c>
      <c r="U1127" t="s">
        <v>19</v>
      </c>
    </row>
    <row r="1128" spans="1:21">
      <c r="A1128" t="str">
        <f t="shared" si="561"/>
        <v>05/03/2025</v>
      </c>
      <c r="B1128" t="str">
        <f t="shared" si="560"/>
        <v>ENTRADA</v>
      </c>
      <c r="C1128" t="str">
        <f t="shared" si="562"/>
        <v>NFSE</v>
      </c>
      <c r="D1128" t="str">
        <f t="shared" si="551"/>
        <v>2758</v>
      </c>
      <c r="E1128" t="str">
        <f t="shared" si="563"/>
        <v>COM</v>
      </c>
      <c r="F1128" t="str">
        <f t="shared" si="553"/>
        <v>FARMÁCIA INDIANA LJ 1 (10126)</v>
      </c>
      <c r="G1128" t="str">
        <f t="shared" si="554"/>
        <v>Serv.Prest. 17/02/2025 a 23/02/2025 - RPS: 531 - NFSe: 2758</v>
      </c>
      <c r="H1128" t="str">
        <f t="shared" si="564"/>
        <v>05/03/2025</v>
      </c>
      <c r="I1128" t="str">
        <f t="shared" si="565"/>
        <v>24/02/2025</v>
      </c>
      <c r="J1128" t="str">
        <f t="shared" si="566"/>
        <v>05/03/2025</v>
      </c>
      <c r="M1128">
        <v>303</v>
      </c>
      <c r="N1128" t="str">
        <f t="shared" si="567"/>
        <v>RECEITAS COM ENTREGAS</v>
      </c>
      <c r="P1128">
        <v>47.32</v>
      </c>
      <c r="Q1128" t="str">
        <f>"FARMÁCIA INDIANA LJ 192 (10082)"</f>
        <v>FARMÁCIA INDIANA LJ 192 (10082)</v>
      </c>
      <c r="R1128" t="str">
        <f t="shared" si="568"/>
        <v>RECEITAS COM ENTREGAS (303)</v>
      </c>
      <c r="S1128">
        <v>1141</v>
      </c>
      <c r="T1128">
        <v>933</v>
      </c>
      <c r="U1128" t="s">
        <v>19</v>
      </c>
    </row>
    <row r="1129" spans="1:21">
      <c r="A1129" t="str">
        <f t="shared" si="561"/>
        <v>05/03/2025</v>
      </c>
      <c r="B1129" t="str">
        <f t="shared" si="560"/>
        <v>ENTRADA</v>
      </c>
      <c r="C1129" t="str">
        <f t="shared" si="562"/>
        <v>NFSE</v>
      </c>
      <c r="D1129" t="str">
        <f t="shared" si="551"/>
        <v>2758</v>
      </c>
      <c r="E1129" t="str">
        <f t="shared" si="563"/>
        <v>COM</v>
      </c>
      <c r="F1129" t="str">
        <f t="shared" si="553"/>
        <v>FARMÁCIA INDIANA LJ 1 (10126)</v>
      </c>
      <c r="G1129" t="str">
        <f t="shared" si="554"/>
        <v>Serv.Prest. 17/02/2025 a 23/02/2025 - RPS: 531 - NFSe: 2758</v>
      </c>
      <c r="H1129" t="str">
        <f t="shared" si="564"/>
        <v>05/03/2025</v>
      </c>
      <c r="I1129" t="str">
        <f t="shared" si="565"/>
        <v>24/02/2025</v>
      </c>
      <c r="J1129" t="str">
        <f t="shared" si="566"/>
        <v>05/03/2025</v>
      </c>
      <c r="M1129">
        <v>303</v>
      </c>
      <c r="N1129" t="str">
        <f t="shared" si="567"/>
        <v>RECEITAS COM ENTREGAS</v>
      </c>
      <c r="P1129">
        <v>39.44</v>
      </c>
      <c r="Q1129" t="str">
        <f>"FARMÁCIA INDIANA LJ 195 (10083)"</f>
        <v>FARMÁCIA INDIANA LJ 195 (10083)</v>
      </c>
      <c r="R1129" t="str">
        <f t="shared" si="568"/>
        <v>RECEITAS COM ENTREGAS (303)</v>
      </c>
      <c r="S1129">
        <v>1141</v>
      </c>
      <c r="T1129">
        <v>933</v>
      </c>
      <c r="U1129" t="s">
        <v>19</v>
      </c>
    </row>
    <row r="1130" spans="1:21">
      <c r="A1130" t="str">
        <f t="shared" si="561"/>
        <v>05/03/2025</v>
      </c>
      <c r="B1130" t="str">
        <f t="shared" si="560"/>
        <v>ENTRADA</v>
      </c>
      <c r="C1130" t="str">
        <f t="shared" si="562"/>
        <v>NFSE</v>
      </c>
      <c r="D1130" t="str">
        <f t="shared" si="551"/>
        <v>2758</v>
      </c>
      <c r="E1130" t="str">
        <f t="shared" si="563"/>
        <v>COM</v>
      </c>
      <c r="F1130" t="str">
        <f t="shared" si="553"/>
        <v>FARMÁCIA INDIANA LJ 1 (10126)</v>
      </c>
      <c r="G1130" t="str">
        <f t="shared" si="554"/>
        <v>Serv.Prest. 17/02/2025 a 23/02/2025 - RPS: 531 - NFSe: 2758</v>
      </c>
      <c r="H1130" t="str">
        <f t="shared" si="564"/>
        <v>05/03/2025</v>
      </c>
      <c r="I1130" t="str">
        <f t="shared" si="565"/>
        <v>24/02/2025</v>
      </c>
      <c r="J1130" t="str">
        <f t="shared" si="566"/>
        <v>05/03/2025</v>
      </c>
      <c r="M1130">
        <v>303</v>
      </c>
      <c r="N1130" t="str">
        <f t="shared" si="567"/>
        <v>RECEITAS COM ENTREGAS</v>
      </c>
      <c r="P1130">
        <v>159.06</v>
      </c>
      <c r="Q1130" t="str">
        <f>"FARMÁCIA INDIANA LJ 202 (10085)"</f>
        <v>FARMÁCIA INDIANA LJ 202 (10085)</v>
      </c>
      <c r="R1130" t="str">
        <f t="shared" si="568"/>
        <v>RECEITAS COM ENTREGAS (303)</v>
      </c>
      <c r="S1130">
        <v>1141</v>
      </c>
      <c r="T1130">
        <v>933</v>
      </c>
      <c r="U1130" t="s">
        <v>19</v>
      </c>
    </row>
    <row r="1131" spans="1:21">
      <c r="A1131" t="str">
        <f t="shared" si="561"/>
        <v>05/03/2025</v>
      </c>
      <c r="B1131" t="str">
        <f t="shared" si="560"/>
        <v>ENTRADA</v>
      </c>
      <c r="C1131" t="str">
        <f t="shared" si="562"/>
        <v>NFSE</v>
      </c>
      <c r="D1131" t="str">
        <f t="shared" si="551"/>
        <v>2758</v>
      </c>
      <c r="E1131" t="str">
        <f t="shared" si="563"/>
        <v>COM</v>
      </c>
      <c r="F1131" t="str">
        <f t="shared" si="553"/>
        <v>FARMÁCIA INDIANA LJ 1 (10126)</v>
      </c>
      <c r="G1131" t="str">
        <f t="shared" si="554"/>
        <v>Serv.Prest. 17/02/2025 a 23/02/2025 - RPS: 531 - NFSe: 2758</v>
      </c>
      <c r="H1131" t="str">
        <f t="shared" si="564"/>
        <v>05/03/2025</v>
      </c>
      <c r="I1131" t="str">
        <f t="shared" si="565"/>
        <v>24/02/2025</v>
      </c>
      <c r="J1131" t="str">
        <f t="shared" si="566"/>
        <v>05/03/2025</v>
      </c>
      <c r="M1131">
        <v>303</v>
      </c>
      <c r="N1131" t="str">
        <f t="shared" si="567"/>
        <v>RECEITAS COM ENTREGAS</v>
      </c>
      <c r="P1131">
        <v>106.48</v>
      </c>
      <c r="Q1131" t="str">
        <f>"FARMÁCIA INDIANA LJ 207 (10088)"</f>
        <v>FARMÁCIA INDIANA LJ 207 (10088)</v>
      </c>
      <c r="R1131" t="str">
        <f t="shared" si="568"/>
        <v>RECEITAS COM ENTREGAS (303)</v>
      </c>
      <c r="S1131">
        <v>1141</v>
      </c>
      <c r="T1131">
        <v>933</v>
      </c>
      <c r="U1131" t="s">
        <v>19</v>
      </c>
    </row>
    <row r="1132" spans="1:21">
      <c r="A1132" t="str">
        <f t="shared" si="561"/>
        <v>05/03/2025</v>
      </c>
      <c r="B1132" t="str">
        <f t="shared" si="560"/>
        <v>ENTRADA</v>
      </c>
      <c r="C1132" t="str">
        <f t="shared" si="562"/>
        <v>NFSE</v>
      </c>
      <c r="D1132" t="str">
        <f t="shared" si="551"/>
        <v>2758</v>
      </c>
      <c r="E1132" t="str">
        <f t="shared" si="563"/>
        <v>COM</v>
      </c>
      <c r="F1132" t="str">
        <f t="shared" si="553"/>
        <v>FARMÁCIA INDIANA LJ 1 (10126)</v>
      </c>
      <c r="G1132" t="str">
        <f t="shared" si="554"/>
        <v>Serv.Prest. 17/02/2025 a 23/02/2025 - RPS: 531 - NFSe: 2758</v>
      </c>
      <c r="H1132" t="str">
        <f t="shared" si="564"/>
        <v>05/03/2025</v>
      </c>
      <c r="I1132" t="str">
        <f t="shared" si="565"/>
        <v>24/02/2025</v>
      </c>
      <c r="J1132" t="str">
        <f t="shared" si="566"/>
        <v>05/03/2025</v>
      </c>
      <c r="M1132">
        <v>303</v>
      </c>
      <c r="N1132" t="str">
        <f t="shared" si="567"/>
        <v>RECEITAS COM ENTREGAS</v>
      </c>
      <c r="P1132">
        <v>124.88</v>
      </c>
      <c r="Q1132" t="str">
        <f>"FARMÁCIA INDIANA LJ 209 (10089)"</f>
        <v>FARMÁCIA INDIANA LJ 209 (10089)</v>
      </c>
      <c r="R1132" t="str">
        <f t="shared" si="568"/>
        <v>RECEITAS COM ENTREGAS (303)</v>
      </c>
      <c r="S1132">
        <v>1141</v>
      </c>
      <c r="T1132">
        <v>933</v>
      </c>
      <c r="U1132" t="s">
        <v>19</v>
      </c>
    </row>
    <row r="1133" spans="1:21">
      <c r="A1133" t="str">
        <f t="shared" si="561"/>
        <v>05/03/2025</v>
      </c>
      <c r="B1133" t="str">
        <f t="shared" si="560"/>
        <v>ENTRADA</v>
      </c>
      <c r="C1133" t="str">
        <f t="shared" si="562"/>
        <v>NFSE</v>
      </c>
      <c r="D1133" t="str">
        <f t="shared" si="551"/>
        <v>2758</v>
      </c>
      <c r="E1133" t="str">
        <f t="shared" si="563"/>
        <v>COM</v>
      </c>
      <c r="F1133" t="str">
        <f t="shared" si="553"/>
        <v>FARMÁCIA INDIANA LJ 1 (10126)</v>
      </c>
      <c r="G1133" t="str">
        <f t="shared" si="554"/>
        <v>Serv.Prest. 17/02/2025 a 23/02/2025 - RPS: 531 - NFSe: 2758</v>
      </c>
      <c r="H1133" t="str">
        <f t="shared" si="564"/>
        <v>05/03/2025</v>
      </c>
      <c r="I1133" t="str">
        <f t="shared" si="565"/>
        <v>24/02/2025</v>
      </c>
      <c r="J1133" t="str">
        <f t="shared" si="566"/>
        <v>05/03/2025</v>
      </c>
      <c r="M1133">
        <v>303</v>
      </c>
      <c r="N1133" t="str">
        <f t="shared" si="567"/>
        <v>RECEITAS COM ENTREGAS</v>
      </c>
      <c r="P1133">
        <v>160.38</v>
      </c>
      <c r="Q1133" t="str">
        <f>"FARMÁCIA INDIANA LJ 219 (10091)"</f>
        <v>FARMÁCIA INDIANA LJ 219 (10091)</v>
      </c>
      <c r="R1133" t="str">
        <f t="shared" si="568"/>
        <v>RECEITAS COM ENTREGAS (303)</v>
      </c>
      <c r="S1133">
        <v>1141</v>
      </c>
      <c r="T1133">
        <v>933</v>
      </c>
      <c r="U1133" t="s">
        <v>19</v>
      </c>
    </row>
    <row r="1134" spans="1:21">
      <c r="A1134" t="str">
        <f t="shared" si="561"/>
        <v>05/03/2025</v>
      </c>
      <c r="B1134" t="str">
        <f t="shared" si="560"/>
        <v>ENTRADA</v>
      </c>
      <c r="C1134" t="str">
        <f t="shared" si="562"/>
        <v>NFSE</v>
      </c>
      <c r="D1134" t="str">
        <f t="shared" si="551"/>
        <v>2758</v>
      </c>
      <c r="E1134" t="str">
        <f t="shared" si="563"/>
        <v>COM</v>
      </c>
      <c r="F1134" t="str">
        <f t="shared" si="553"/>
        <v>FARMÁCIA INDIANA LJ 1 (10126)</v>
      </c>
      <c r="G1134" t="str">
        <f t="shared" si="554"/>
        <v>Serv.Prest. 17/02/2025 a 23/02/2025 - RPS: 531 - NFSe: 2758</v>
      </c>
      <c r="H1134" t="str">
        <f t="shared" si="564"/>
        <v>05/03/2025</v>
      </c>
      <c r="I1134" t="str">
        <f t="shared" si="565"/>
        <v>24/02/2025</v>
      </c>
      <c r="J1134" t="str">
        <f t="shared" si="566"/>
        <v>05/03/2025</v>
      </c>
      <c r="M1134">
        <v>303</v>
      </c>
      <c r="N1134" t="str">
        <f t="shared" si="567"/>
        <v>RECEITAS COM ENTREGAS</v>
      </c>
      <c r="P1134">
        <v>159.06</v>
      </c>
      <c r="Q1134" t="str">
        <f>"FARMÁCIA INDIANA LJ 220 (10092)"</f>
        <v>FARMÁCIA INDIANA LJ 220 (10092)</v>
      </c>
      <c r="R1134" t="str">
        <f t="shared" si="568"/>
        <v>RECEITAS COM ENTREGAS (303)</v>
      </c>
      <c r="S1134">
        <v>1141</v>
      </c>
      <c r="T1134">
        <v>933</v>
      </c>
      <c r="U1134" t="s">
        <v>19</v>
      </c>
    </row>
    <row r="1135" spans="1:21">
      <c r="A1135" t="str">
        <f t="shared" si="561"/>
        <v>05/03/2025</v>
      </c>
      <c r="B1135" t="str">
        <f t="shared" si="560"/>
        <v>ENTRADA</v>
      </c>
      <c r="C1135" t="str">
        <f t="shared" si="562"/>
        <v>NFSE</v>
      </c>
      <c r="D1135" t="str">
        <f t="shared" si="551"/>
        <v>2758</v>
      </c>
      <c r="E1135" t="str">
        <f t="shared" si="563"/>
        <v>COM</v>
      </c>
      <c r="F1135" t="str">
        <f t="shared" si="553"/>
        <v>FARMÁCIA INDIANA LJ 1 (10126)</v>
      </c>
      <c r="G1135" t="str">
        <f t="shared" si="554"/>
        <v>Serv.Prest. 17/02/2025 a 23/02/2025 - RPS: 531 - NFSe: 2758</v>
      </c>
      <c r="H1135" t="str">
        <f t="shared" si="564"/>
        <v>05/03/2025</v>
      </c>
      <c r="I1135" t="str">
        <f t="shared" si="565"/>
        <v>24/02/2025</v>
      </c>
      <c r="J1135" t="str">
        <f t="shared" si="566"/>
        <v>05/03/2025</v>
      </c>
      <c r="M1135">
        <v>303</v>
      </c>
      <c r="N1135" t="str">
        <f t="shared" si="567"/>
        <v>RECEITAS COM ENTREGAS</v>
      </c>
      <c r="P1135">
        <v>184.04</v>
      </c>
      <c r="Q1135" t="str">
        <f>"FARMÁCIA INDIANA LJ 185 (10141)"</f>
        <v>FARMÁCIA INDIANA LJ 185 (10141)</v>
      </c>
      <c r="R1135" t="str">
        <f t="shared" si="568"/>
        <v>RECEITAS COM ENTREGAS (303)</v>
      </c>
      <c r="S1135">
        <v>1141</v>
      </c>
      <c r="T1135">
        <v>933</v>
      </c>
      <c r="U1135" t="s">
        <v>19</v>
      </c>
    </row>
    <row r="1136" spans="1:21">
      <c r="A1136" t="str">
        <f t="shared" si="561"/>
        <v>05/03/2025</v>
      </c>
      <c r="B1136" t="str">
        <f t="shared" si="560"/>
        <v>ENTRADA</v>
      </c>
      <c r="C1136" t="str">
        <f t="shared" si="562"/>
        <v>NFSE</v>
      </c>
      <c r="D1136" t="str">
        <f t="shared" ref="D1136:D1147" si="569">"2759"</f>
        <v>2759</v>
      </c>
      <c r="E1136" t="str">
        <f t="shared" si="563"/>
        <v>COM</v>
      </c>
      <c r="F1136" t="str">
        <f t="shared" ref="F1136:F1147" si="570">"FARMÁCIA INDIANA LJ 30 (10127)"</f>
        <v>FARMÁCIA INDIANA LJ 30 (10127)</v>
      </c>
      <c r="G1136" t="str">
        <f t="shared" ref="G1136:G1147" si="571">"Serv.Prest. 17/02/2025 a 23/02/2025 - RPS: 532 - NFSe: 2759"</f>
        <v>Serv.Prest. 17/02/2025 a 23/02/2025 - RPS: 532 - NFSe: 2759</v>
      </c>
      <c r="H1136" t="str">
        <f t="shared" si="564"/>
        <v>05/03/2025</v>
      </c>
      <c r="I1136" t="str">
        <f t="shared" si="565"/>
        <v>24/02/2025</v>
      </c>
      <c r="J1136" t="str">
        <f t="shared" si="566"/>
        <v>05/03/2025</v>
      </c>
      <c r="K1136">
        <v>2637.64</v>
      </c>
      <c r="L1136">
        <v>2637.64</v>
      </c>
      <c r="M1136">
        <v>303</v>
      </c>
      <c r="N1136" t="str">
        <f t="shared" si="567"/>
        <v>RECEITAS COM ENTREGAS</v>
      </c>
      <c r="O1136">
        <v>2637.64</v>
      </c>
      <c r="R1136" t="str">
        <f t="shared" si="568"/>
        <v>RECEITAS COM ENTREGAS (303)</v>
      </c>
      <c r="S1136">
        <v>1142</v>
      </c>
      <c r="T1136">
        <v>934</v>
      </c>
      <c r="U1136" t="s">
        <v>19</v>
      </c>
    </row>
    <row r="1137" spans="1:21">
      <c r="A1137" t="str">
        <f t="shared" si="561"/>
        <v>05/03/2025</v>
      </c>
      <c r="B1137" t="str">
        <f t="shared" si="560"/>
        <v>ENTRADA</v>
      </c>
      <c r="C1137" t="str">
        <f t="shared" si="562"/>
        <v>NFSE</v>
      </c>
      <c r="D1137" t="str">
        <f t="shared" si="569"/>
        <v>2759</v>
      </c>
      <c r="E1137" t="str">
        <f t="shared" si="563"/>
        <v>COM</v>
      </c>
      <c r="F1137" t="str">
        <f t="shared" si="570"/>
        <v>FARMÁCIA INDIANA LJ 30 (10127)</v>
      </c>
      <c r="G1137" t="str">
        <f t="shared" si="571"/>
        <v>Serv.Prest. 17/02/2025 a 23/02/2025 - RPS: 532 - NFSe: 2759</v>
      </c>
      <c r="H1137" t="str">
        <f t="shared" si="564"/>
        <v>05/03/2025</v>
      </c>
      <c r="I1137" t="str">
        <f t="shared" si="565"/>
        <v>24/02/2025</v>
      </c>
      <c r="J1137" t="str">
        <f t="shared" si="566"/>
        <v>05/03/2025</v>
      </c>
      <c r="M1137">
        <v>303</v>
      </c>
      <c r="N1137" t="str">
        <f t="shared" si="567"/>
        <v>RECEITAS COM ENTREGAS</v>
      </c>
      <c r="P1137">
        <v>293.3</v>
      </c>
      <c r="Q1137" t="str">
        <f>"FARMÁCIA INDIANA LJ 34 (10014)"</f>
        <v>FARMÁCIA INDIANA LJ 34 (10014)</v>
      </c>
      <c r="R1137" t="str">
        <f t="shared" si="568"/>
        <v>RECEITAS COM ENTREGAS (303)</v>
      </c>
      <c r="S1137">
        <v>1142</v>
      </c>
      <c r="T1137">
        <v>934</v>
      </c>
      <c r="U1137" t="s">
        <v>19</v>
      </c>
    </row>
    <row r="1138" spans="1:21">
      <c r="A1138" t="str">
        <f t="shared" si="561"/>
        <v>05/03/2025</v>
      </c>
      <c r="B1138" t="str">
        <f t="shared" si="560"/>
        <v>ENTRADA</v>
      </c>
      <c r="C1138" t="str">
        <f t="shared" si="562"/>
        <v>NFSE</v>
      </c>
      <c r="D1138" t="str">
        <f t="shared" si="569"/>
        <v>2759</v>
      </c>
      <c r="E1138" t="str">
        <f t="shared" si="563"/>
        <v>COM</v>
      </c>
      <c r="F1138" t="str">
        <f t="shared" si="570"/>
        <v>FARMÁCIA INDIANA LJ 30 (10127)</v>
      </c>
      <c r="G1138" t="str">
        <f t="shared" si="571"/>
        <v>Serv.Prest. 17/02/2025 a 23/02/2025 - RPS: 532 - NFSe: 2759</v>
      </c>
      <c r="H1138" t="str">
        <f t="shared" si="564"/>
        <v>05/03/2025</v>
      </c>
      <c r="I1138" t="str">
        <f t="shared" si="565"/>
        <v>24/02/2025</v>
      </c>
      <c r="J1138" t="str">
        <f t="shared" si="566"/>
        <v>05/03/2025</v>
      </c>
      <c r="M1138">
        <v>303</v>
      </c>
      <c r="N1138" t="str">
        <f t="shared" si="567"/>
        <v>RECEITAS COM ENTREGAS</v>
      </c>
      <c r="P1138">
        <v>235.81</v>
      </c>
      <c r="Q1138" t="str">
        <f>"FARMÁCIA INDIANA LJ 35 (10015)"</f>
        <v>FARMÁCIA INDIANA LJ 35 (10015)</v>
      </c>
      <c r="R1138" t="str">
        <f t="shared" si="568"/>
        <v>RECEITAS COM ENTREGAS (303)</v>
      </c>
      <c r="S1138">
        <v>1142</v>
      </c>
      <c r="T1138">
        <v>934</v>
      </c>
      <c r="U1138" t="s">
        <v>19</v>
      </c>
    </row>
    <row r="1139" spans="1:21">
      <c r="A1139" t="str">
        <f t="shared" si="561"/>
        <v>05/03/2025</v>
      </c>
      <c r="B1139" t="str">
        <f t="shared" si="560"/>
        <v>ENTRADA</v>
      </c>
      <c r="C1139" t="str">
        <f t="shared" si="562"/>
        <v>NFSE</v>
      </c>
      <c r="D1139" t="str">
        <f t="shared" si="569"/>
        <v>2759</v>
      </c>
      <c r="E1139" t="str">
        <f t="shared" si="563"/>
        <v>COM</v>
      </c>
      <c r="F1139" t="str">
        <f t="shared" si="570"/>
        <v>FARMÁCIA INDIANA LJ 30 (10127)</v>
      </c>
      <c r="G1139" t="str">
        <f t="shared" si="571"/>
        <v>Serv.Prest. 17/02/2025 a 23/02/2025 - RPS: 532 - NFSe: 2759</v>
      </c>
      <c r="H1139" t="str">
        <f t="shared" si="564"/>
        <v>05/03/2025</v>
      </c>
      <c r="I1139" t="str">
        <f t="shared" si="565"/>
        <v>24/02/2025</v>
      </c>
      <c r="J1139" t="str">
        <f t="shared" si="566"/>
        <v>05/03/2025</v>
      </c>
      <c r="M1139">
        <v>303</v>
      </c>
      <c r="N1139" t="str">
        <f t="shared" si="567"/>
        <v>RECEITAS COM ENTREGAS</v>
      </c>
      <c r="P1139">
        <v>273.79000000000002</v>
      </c>
      <c r="Q1139" t="str">
        <f>"FARMÁCIA INDIANA LJ 48 (10018)"</f>
        <v>FARMÁCIA INDIANA LJ 48 (10018)</v>
      </c>
      <c r="R1139" t="str">
        <f t="shared" si="568"/>
        <v>RECEITAS COM ENTREGAS (303)</v>
      </c>
      <c r="S1139">
        <v>1142</v>
      </c>
      <c r="T1139">
        <v>934</v>
      </c>
      <c r="U1139" t="s">
        <v>19</v>
      </c>
    </row>
    <row r="1140" spans="1:21">
      <c r="A1140" t="str">
        <f t="shared" si="561"/>
        <v>05/03/2025</v>
      </c>
      <c r="B1140" t="str">
        <f t="shared" si="560"/>
        <v>ENTRADA</v>
      </c>
      <c r="C1140" t="str">
        <f t="shared" si="562"/>
        <v>NFSE</v>
      </c>
      <c r="D1140" t="str">
        <f t="shared" si="569"/>
        <v>2759</v>
      </c>
      <c r="E1140" t="str">
        <f t="shared" si="563"/>
        <v>COM</v>
      </c>
      <c r="F1140" t="str">
        <f t="shared" si="570"/>
        <v>FARMÁCIA INDIANA LJ 30 (10127)</v>
      </c>
      <c r="G1140" t="str">
        <f t="shared" si="571"/>
        <v>Serv.Prest. 17/02/2025 a 23/02/2025 - RPS: 532 - NFSe: 2759</v>
      </c>
      <c r="H1140" t="str">
        <f t="shared" si="564"/>
        <v>05/03/2025</v>
      </c>
      <c r="I1140" t="str">
        <f t="shared" si="565"/>
        <v>24/02/2025</v>
      </c>
      <c r="J1140" t="str">
        <f t="shared" si="566"/>
        <v>05/03/2025</v>
      </c>
      <c r="M1140">
        <v>303</v>
      </c>
      <c r="N1140" t="str">
        <f t="shared" si="567"/>
        <v>RECEITAS COM ENTREGAS</v>
      </c>
      <c r="P1140">
        <v>418.59</v>
      </c>
      <c r="Q1140" t="str">
        <f>"FARMÁCIA INDIANA LJ 65 (10030)"</f>
        <v>FARMÁCIA INDIANA LJ 65 (10030)</v>
      </c>
      <c r="R1140" t="str">
        <f t="shared" si="568"/>
        <v>RECEITAS COM ENTREGAS (303)</v>
      </c>
      <c r="S1140">
        <v>1142</v>
      </c>
      <c r="T1140">
        <v>934</v>
      </c>
      <c r="U1140" t="s">
        <v>19</v>
      </c>
    </row>
    <row r="1141" spans="1:21">
      <c r="A1141" t="str">
        <f t="shared" si="561"/>
        <v>05/03/2025</v>
      </c>
      <c r="B1141" t="str">
        <f t="shared" si="560"/>
        <v>ENTRADA</v>
      </c>
      <c r="C1141" t="str">
        <f t="shared" si="562"/>
        <v>NFSE</v>
      </c>
      <c r="D1141" t="str">
        <f t="shared" si="569"/>
        <v>2759</v>
      </c>
      <c r="E1141" t="str">
        <f t="shared" si="563"/>
        <v>COM</v>
      </c>
      <c r="F1141" t="str">
        <f t="shared" si="570"/>
        <v>FARMÁCIA INDIANA LJ 30 (10127)</v>
      </c>
      <c r="G1141" t="str">
        <f t="shared" si="571"/>
        <v>Serv.Prest. 17/02/2025 a 23/02/2025 - RPS: 532 - NFSe: 2759</v>
      </c>
      <c r="H1141" t="str">
        <f t="shared" si="564"/>
        <v>05/03/2025</v>
      </c>
      <c r="I1141" t="str">
        <f t="shared" si="565"/>
        <v>24/02/2025</v>
      </c>
      <c r="J1141" t="str">
        <f t="shared" si="566"/>
        <v>05/03/2025</v>
      </c>
      <c r="M1141">
        <v>303</v>
      </c>
      <c r="N1141" t="str">
        <f t="shared" si="567"/>
        <v>RECEITAS COM ENTREGAS</v>
      </c>
      <c r="P1141">
        <v>137.16</v>
      </c>
      <c r="Q1141" t="str">
        <f>"FARMÁCIA INDIANA LJ 77 (10034)"</f>
        <v>FARMÁCIA INDIANA LJ 77 (10034)</v>
      </c>
      <c r="R1141" t="str">
        <f t="shared" si="568"/>
        <v>RECEITAS COM ENTREGAS (303)</v>
      </c>
      <c r="S1141">
        <v>1142</v>
      </c>
      <c r="T1141">
        <v>934</v>
      </c>
      <c r="U1141" t="s">
        <v>19</v>
      </c>
    </row>
    <row r="1142" spans="1:21">
      <c r="A1142" t="str">
        <f t="shared" si="561"/>
        <v>05/03/2025</v>
      </c>
      <c r="B1142" t="str">
        <f t="shared" si="560"/>
        <v>ENTRADA</v>
      </c>
      <c r="C1142" t="str">
        <f t="shared" si="562"/>
        <v>NFSE</v>
      </c>
      <c r="D1142" t="str">
        <f t="shared" si="569"/>
        <v>2759</v>
      </c>
      <c r="E1142" t="str">
        <f t="shared" si="563"/>
        <v>COM</v>
      </c>
      <c r="F1142" t="str">
        <f t="shared" si="570"/>
        <v>FARMÁCIA INDIANA LJ 30 (10127)</v>
      </c>
      <c r="G1142" t="str">
        <f t="shared" si="571"/>
        <v>Serv.Prest. 17/02/2025 a 23/02/2025 - RPS: 532 - NFSe: 2759</v>
      </c>
      <c r="H1142" t="str">
        <f t="shared" si="564"/>
        <v>05/03/2025</v>
      </c>
      <c r="I1142" t="str">
        <f t="shared" si="565"/>
        <v>24/02/2025</v>
      </c>
      <c r="J1142" t="str">
        <f t="shared" si="566"/>
        <v>05/03/2025</v>
      </c>
      <c r="M1142">
        <v>303</v>
      </c>
      <c r="N1142" t="str">
        <f t="shared" si="567"/>
        <v>RECEITAS COM ENTREGAS</v>
      </c>
      <c r="P1142">
        <v>201.78</v>
      </c>
      <c r="Q1142" t="str">
        <f>"FARMÁCIA INDIANA LJ 91 (10037)"</f>
        <v>FARMÁCIA INDIANA LJ 91 (10037)</v>
      </c>
      <c r="R1142" t="str">
        <f t="shared" si="568"/>
        <v>RECEITAS COM ENTREGAS (303)</v>
      </c>
      <c r="S1142">
        <v>1142</v>
      </c>
      <c r="T1142">
        <v>934</v>
      </c>
      <c r="U1142" t="s">
        <v>19</v>
      </c>
    </row>
    <row r="1143" spans="1:21">
      <c r="A1143" t="str">
        <f t="shared" si="561"/>
        <v>05/03/2025</v>
      </c>
      <c r="B1143" t="str">
        <f t="shared" si="560"/>
        <v>ENTRADA</v>
      </c>
      <c r="C1143" t="str">
        <f t="shared" si="562"/>
        <v>NFSE</v>
      </c>
      <c r="D1143" t="str">
        <f t="shared" si="569"/>
        <v>2759</v>
      </c>
      <c r="E1143" t="str">
        <f t="shared" si="563"/>
        <v>COM</v>
      </c>
      <c r="F1143" t="str">
        <f t="shared" si="570"/>
        <v>FARMÁCIA INDIANA LJ 30 (10127)</v>
      </c>
      <c r="G1143" t="str">
        <f t="shared" si="571"/>
        <v>Serv.Prest. 17/02/2025 a 23/02/2025 - RPS: 532 - NFSe: 2759</v>
      </c>
      <c r="H1143" t="str">
        <f t="shared" si="564"/>
        <v>05/03/2025</v>
      </c>
      <c r="I1143" t="str">
        <f t="shared" si="565"/>
        <v>24/02/2025</v>
      </c>
      <c r="J1143" t="str">
        <f t="shared" si="566"/>
        <v>05/03/2025</v>
      </c>
      <c r="M1143">
        <v>303</v>
      </c>
      <c r="N1143" t="str">
        <f t="shared" si="567"/>
        <v>RECEITAS COM ENTREGAS</v>
      </c>
      <c r="P1143">
        <v>327.07</v>
      </c>
      <c r="Q1143" t="str">
        <f>"FARMÁCIA INDIANA LJ 95 (10039)"</f>
        <v>FARMÁCIA INDIANA LJ 95 (10039)</v>
      </c>
      <c r="R1143" t="str">
        <f t="shared" si="568"/>
        <v>RECEITAS COM ENTREGAS (303)</v>
      </c>
      <c r="S1143">
        <v>1142</v>
      </c>
      <c r="T1143">
        <v>934</v>
      </c>
      <c r="U1143" t="s">
        <v>19</v>
      </c>
    </row>
    <row r="1144" spans="1:21">
      <c r="A1144" t="str">
        <f t="shared" si="561"/>
        <v>05/03/2025</v>
      </c>
      <c r="B1144" t="str">
        <f t="shared" si="560"/>
        <v>ENTRADA</v>
      </c>
      <c r="C1144" t="str">
        <f t="shared" si="562"/>
        <v>NFSE</v>
      </c>
      <c r="D1144" t="str">
        <f t="shared" si="569"/>
        <v>2759</v>
      </c>
      <c r="E1144" t="str">
        <f t="shared" si="563"/>
        <v>COM</v>
      </c>
      <c r="F1144" t="str">
        <f t="shared" si="570"/>
        <v>FARMÁCIA INDIANA LJ 30 (10127)</v>
      </c>
      <c r="G1144" t="str">
        <f t="shared" si="571"/>
        <v>Serv.Prest. 17/02/2025 a 23/02/2025 - RPS: 532 - NFSe: 2759</v>
      </c>
      <c r="H1144" t="str">
        <f t="shared" si="564"/>
        <v>05/03/2025</v>
      </c>
      <c r="I1144" t="str">
        <f t="shared" si="565"/>
        <v>24/02/2025</v>
      </c>
      <c r="J1144" t="str">
        <f t="shared" si="566"/>
        <v>05/03/2025</v>
      </c>
      <c r="M1144">
        <v>303</v>
      </c>
      <c r="N1144" t="str">
        <f t="shared" si="567"/>
        <v>RECEITAS COM ENTREGAS</v>
      </c>
      <c r="P1144">
        <v>280.91000000000003</v>
      </c>
      <c r="Q1144" t="str">
        <f>"FARMÁCIA INDIANA LJ 145 (10068)"</f>
        <v>FARMÁCIA INDIANA LJ 145 (10068)</v>
      </c>
      <c r="R1144" t="str">
        <f t="shared" si="568"/>
        <v>RECEITAS COM ENTREGAS (303)</v>
      </c>
      <c r="S1144">
        <v>1142</v>
      </c>
      <c r="T1144">
        <v>934</v>
      </c>
      <c r="U1144" t="s">
        <v>19</v>
      </c>
    </row>
    <row r="1145" spans="1:21">
      <c r="A1145" t="str">
        <f t="shared" si="561"/>
        <v>05/03/2025</v>
      </c>
      <c r="B1145" t="str">
        <f t="shared" si="560"/>
        <v>ENTRADA</v>
      </c>
      <c r="C1145" t="str">
        <f t="shared" si="562"/>
        <v>NFSE</v>
      </c>
      <c r="D1145" t="str">
        <f t="shared" si="569"/>
        <v>2759</v>
      </c>
      <c r="E1145" t="str">
        <f t="shared" si="563"/>
        <v>COM</v>
      </c>
      <c r="F1145" t="str">
        <f t="shared" si="570"/>
        <v>FARMÁCIA INDIANA LJ 30 (10127)</v>
      </c>
      <c r="G1145" t="str">
        <f t="shared" si="571"/>
        <v>Serv.Prest. 17/02/2025 a 23/02/2025 - RPS: 532 - NFSe: 2759</v>
      </c>
      <c r="H1145" t="str">
        <f t="shared" si="564"/>
        <v>05/03/2025</v>
      </c>
      <c r="I1145" t="str">
        <f t="shared" si="565"/>
        <v>24/02/2025</v>
      </c>
      <c r="J1145" t="str">
        <f t="shared" si="566"/>
        <v>05/03/2025</v>
      </c>
      <c r="M1145">
        <v>303</v>
      </c>
      <c r="N1145" t="str">
        <f t="shared" si="567"/>
        <v>RECEITAS COM ENTREGAS</v>
      </c>
      <c r="P1145">
        <v>99.7</v>
      </c>
      <c r="Q1145" t="str">
        <f>"FARMÁCIA INDIANA LJ 169 (10073)"</f>
        <v>FARMÁCIA INDIANA LJ 169 (10073)</v>
      </c>
      <c r="R1145" t="str">
        <f t="shared" si="568"/>
        <v>RECEITAS COM ENTREGAS (303)</v>
      </c>
      <c r="S1145">
        <v>1142</v>
      </c>
      <c r="T1145">
        <v>934</v>
      </c>
      <c r="U1145" t="s">
        <v>19</v>
      </c>
    </row>
    <row r="1146" spans="1:21">
      <c r="A1146" t="str">
        <f t="shared" si="561"/>
        <v>05/03/2025</v>
      </c>
      <c r="B1146" t="str">
        <f t="shared" si="560"/>
        <v>ENTRADA</v>
      </c>
      <c r="C1146" t="str">
        <f t="shared" si="562"/>
        <v>NFSE</v>
      </c>
      <c r="D1146" t="str">
        <f t="shared" si="569"/>
        <v>2759</v>
      </c>
      <c r="E1146" t="str">
        <f t="shared" si="563"/>
        <v>COM</v>
      </c>
      <c r="F1146" t="str">
        <f t="shared" si="570"/>
        <v>FARMÁCIA INDIANA LJ 30 (10127)</v>
      </c>
      <c r="G1146" t="str">
        <f t="shared" si="571"/>
        <v>Serv.Prest. 17/02/2025 a 23/02/2025 - RPS: 532 - NFSe: 2759</v>
      </c>
      <c r="H1146" t="str">
        <f t="shared" si="564"/>
        <v>05/03/2025</v>
      </c>
      <c r="I1146" t="str">
        <f t="shared" si="565"/>
        <v>24/02/2025</v>
      </c>
      <c r="J1146" t="str">
        <f t="shared" si="566"/>
        <v>05/03/2025</v>
      </c>
      <c r="M1146">
        <v>303</v>
      </c>
      <c r="N1146" t="str">
        <f t="shared" si="567"/>
        <v>RECEITAS COM ENTREGAS</v>
      </c>
      <c r="P1146">
        <v>209.16</v>
      </c>
      <c r="Q1146" t="str">
        <f>"FARMÁCIA INDIANA LJ 173 (10075)"</f>
        <v>FARMÁCIA INDIANA LJ 173 (10075)</v>
      </c>
      <c r="R1146" t="str">
        <f t="shared" si="568"/>
        <v>RECEITAS COM ENTREGAS (303)</v>
      </c>
      <c r="S1146">
        <v>1142</v>
      </c>
      <c r="T1146">
        <v>934</v>
      </c>
      <c r="U1146" t="s">
        <v>19</v>
      </c>
    </row>
    <row r="1147" spans="1:21">
      <c r="A1147" t="str">
        <f t="shared" si="561"/>
        <v>05/03/2025</v>
      </c>
      <c r="B1147" t="str">
        <f t="shared" si="560"/>
        <v>ENTRADA</v>
      </c>
      <c r="C1147" t="str">
        <f t="shared" si="562"/>
        <v>NFSE</v>
      </c>
      <c r="D1147" t="str">
        <f t="shared" si="569"/>
        <v>2759</v>
      </c>
      <c r="E1147" t="str">
        <f t="shared" si="563"/>
        <v>COM</v>
      </c>
      <c r="F1147" t="str">
        <f t="shared" si="570"/>
        <v>FARMÁCIA INDIANA LJ 30 (10127)</v>
      </c>
      <c r="G1147" t="str">
        <f t="shared" si="571"/>
        <v>Serv.Prest. 17/02/2025 a 23/02/2025 - RPS: 532 - NFSe: 2759</v>
      </c>
      <c r="H1147" t="str">
        <f t="shared" si="564"/>
        <v>05/03/2025</v>
      </c>
      <c r="I1147" t="str">
        <f t="shared" si="565"/>
        <v>24/02/2025</v>
      </c>
      <c r="J1147" t="str">
        <f t="shared" si="566"/>
        <v>05/03/2025</v>
      </c>
      <c r="M1147">
        <v>303</v>
      </c>
      <c r="N1147" t="str">
        <f t="shared" si="567"/>
        <v>RECEITAS COM ENTREGAS</v>
      </c>
      <c r="P1147">
        <v>160.37</v>
      </c>
      <c r="Q1147" t="str">
        <f>"FARMÁCIA INDIANA LJ 200 (10155)"</f>
        <v>FARMÁCIA INDIANA LJ 200 (10155)</v>
      </c>
      <c r="R1147" t="str">
        <f t="shared" si="568"/>
        <v>RECEITAS COM ENTREGAS (303)</v>
      </c>
      <c r="S1147">
        <v>1142</v>
      </c>
      <c r="T1147">
        <v>934</v>
      </c>
      <c r="U1147" t="s">
        <v>19</v>
      </c>
    </row>
    <row r="1148" spans="1:21">
      <c r="A1148" t="str">
        <f t="shared" si="561"/>
        <v>05/03/2025</v>
      </c>
      <c r="B1148" t="str">
        <f t="shared" si="560"/>
        <v>ENTRADA</v>
      </c>
      <c r="C1148" t="str">
        <f t="shared" si="562"/>
        <v>NFSE</v>
      </c>
      <c r="D1148" t="str">
        <f t="shared" ref="D1148:D1153" si="572">"2760"</f>
        <v>2760</v>
      </c>
      <c r="E1148" t="str">
        <f t="shared" si="563"/>
        <v>COM</v>
      </c>
      <c r="F1148" t="str">
        <f t="shared" ref="F1148:F1153" si="573">"FARMÁCIA INDIANA LJ 85 (10128)"</f>
        <v>FARMÁCIA INDIANA LJ 85 (10128)</v>
      </c>
      <c r="G1148" t="str">
        <f t="shared" ref="G1148:G1153" si="574">"Serv.Prest. 17/02/2025 a 23/02/2025 - RPS: 533 - NFSe: 2760"</f>
        <v>Serv.Prest. 17/02/2025 a 23/02/2025 - RPS: 533 - NFSe: 2760</v>
      </c>
      <c r="H1148" t="str">
        <f t="shared" si="564"/>
        <v>05/03/2025</v>
      </c>
      <c r="I1148" t="str">
        <f t="shared" si="565"/>
        <v>24/02/2025</v>
      </c>
      <c r="J1148" t="str">
        <f t="shared" si="566"/>
        <v>05/03/2025</v>
      </c>
      <c r="K1148">
        <v>821.96</v>
      </c>
      <c r="L1148">
        <v>821.96</v>
      </c>
      <c r="M1148">
        <v>303</v>
      </c>
      <c r="N1148" t="str">
        <f t="shared" si="567"/>
        <v>RECEITAS COM ENTREGAS</v>
      </c>
      <c r="O1148">
        <v>821.96</v>
      </c>
      <c r="R1148" t="str">
        <f t="shared" si="568"/>
        <v>RECEITAS COM ENTREGAS (303)</v>
      </c>
      <c r="S1148">
        <v>1143</v>
      </c>
      <c r="T1148">
        <v>935</v>
      </c>
      <c r="U1148" t="s">
        <v>19</v>
      </c>
    </row>
    <row r="1149" spans="1:21">
      <c r="A1149" t="str">
        <f t="shared" si="561"/>
        <v>05/03/2025</v>
      </c>
      <c r="B1149" t="str">
        <f t="shared" si="560"/>
        <v>ENTRADA</v>
      </c>
      <c r="C1149" t="str">
        <f t="shared" si="562"/>
        <v>NFSE</v>
      </c>
      <c r="D1149" t="str">
        <f t="shared" si="572"/>
        <v>2760</v>
      </c>
      <c r="E1149" t="str">
        <f t="shared" si="563"/>
        <v>COM</v>
      </c>
      <c r="F1149" t="str">
        <f t="shared" si="573"/>
        <v>FARMÁCIA INDIANA LJ 85 (10128)</v>
      </c>
      <c r="G1149" t="str">
        <f t="shared" si="574"/>
        <v>Serv.Prest. 17/02/2025 a 23/02/2025 - RPS: 533 - NFSe: 2760</v>
      </c>
      <c r="H1149" t="str">
        <f t="shared" si="564"/>
        <v>05/03/2025</v>
      </c>
      <c r="I1149" t="str">
        <f t="shared" si="565"/>
        <v>24/02/2025</v>
      </c>
      <c r="J1149" t="str">
        <f t="shared" si="566"/>
        <v>05/03/2025</v>
      </c>
      <c r="M1149">
        <v>303</v>
      </c>
      <c r="N1149" t="str">
        <f t="shared" si="567"/>
        <v>RECEITAS COM ENTREGAS</v>
      </c>
      <c r="P1149">
        <v>171.62</v>
      </c>
      <c r="Q1149" t="str">
        <f>"FARMÁCIA INDIANA LJ 119 (10053)"</f>
        <v>FARMÁCIA INDIANA LJ 119 (10053)</v>
      </c>
      <c r="R1149" t="str">
        <f t="shared" si="568"/>
        <v>RECEITAS COM ENTREGAS (303)</v>
      </c>
      <c r="S1149">
        <v>1143</v>
      </c>
      <c r="T1149">
        <v>935</v>
      </c>
      <c r="U1149" t="s">
        <v>19</v>
      </c>
    </row>
    <row r="1150" spans="1:21">
      <c r="A1150" t="str">
        <f t="shared" si="561"/>
        <v>05/03/2025</v>
      </c>
      <c r="B1150" t="str">
        <f t="shared" si="560"/>
        <v>ENTRADA</v>
      </c>
      <c r="C1150" t="str">
        <f t="shared" si="562"/>
        <v>NFSE</v>
      </c>
      <c r="D1150" t="str">
        <f t="shared" si="572"/>
        <v>2760</v>
      </c>
      <c r="E1150" t="str">
        <f t="shared" si="563"/>
        <v>COM</v>
      </c>
      <c r="F1150" t="str">
        <f t="shared" si="573"/>
        <v>FARMÁCIA INDIANA LJ 85 (10128)</v>
      </c>
      <c r="G1150" t="str">
        <f t="shared" si="574"/>
        <v>Serv.Prest. 17/02/2025 a 23/02/2025 - RPS: 533 - NFSe: 2760</v>
      </c>
      <c r="H1150" t="str">
        <f t="shared" si="564"/>
        <v>05/03/2025</v>
      </c>
      <c r="I1150" t="str">
        <f t="shared" si="565"/>
        <v>24/02/2025</v>
      </c>
      <c r="J1150" t="str">
        <f t="shared" si="566"/>
        <v>05/03/2025</v>
      </c>
      <c r="M1150">
        <v>303</v>
      </c>
      <c r="N1150" t="str">
        <f t="shared" si="567"/>
        <v>RECEITAS COM ENTREGAS</v>
      </c>
      <c r="P1150">
        <v>149.6</v>
      </c>
      <c r="Q1150" t="str">
        <f>"FARMÁCIA INDIANA LJ 163 (10072)"</f>
        <v>FARMÁCIA INDIANA LJ 163 (10072)</v>
      </c>
      <c r="R1150" t="str">
        <f t="shared" si="568"/>
        <v>RECEITAS COM ENTREGAS (303)</v>
      </c>
      <c r="S1150">
        <v>1143</v>
      </c>
      <c r="T1150">
        <v>935</v>
      </c>
      <c r="U1150" t="s">
        <v>19</v>
      </c>
    </row>
    <row r="1151" spans="1:21">
      <c r="A1151" t="str">
        <f t="shared" si="561"/>
        <v>05/03/2025</v>
      </c>
      <c r="B1151" t="str">
        <f t="shared" si="560"/>
        <v>ENTRADA</v>
      </c>
      <c r="C1151" t="str">
        <f t="shared" si="562"/>
        <v>NFSE</v>
      </c>
      <c r="D1151" t="str">
        <f t="shared" si="572"/>
        <v>2760</v>
      </c>
      <c r="E1151" t="str">
        <f t="shared" si="563"/>
        <v>COM</v>
      </c>
      <c r="F1151" t="str">
        <f t="shared" si="573"/>
        <v>FARMÁCIA INDIANA LJ 85 (10128)</v>
      </c>
      <c r="G1151" t="str">
        <f t="shared" si="574"/>
        <v>Serv.Prest. 17/02/2025 a 23/02/2025 - RPS: 533 - NFSe: 2760</v>
      </c>
      <c r="H1151" t="str">
        <f t="shared" si="564"/>
        <v>05/03/2025</v>
      </c>
      <c r="I1151" t="str">
        <f t="shared" si="565"/>
        <v>24/02/2025</v>
      </c>
      <c r="J1151" t="str">
        <f t="shared" si="566"/>
        <v>05/03/2025</v>
      </c>
      <c r="M1151">
        <v>303</v>
      </c>
      <c r="N1151" t="str">
        <f t="shared" si="567"/>
        <v>RECEITAS COM ENTREGAS</v>
      </c>
      <c r="P1151">
        <v>146.13999999999999</v>
      </c>
      <c r="Q1151" t="str">
        <f>"FARMÁCIA INDIANA LJ 181 (10078)"</f>
        <v>FARMÁCIA INDIANA LJ 181 (10078)</v>
      </c>
      <c r="R1151" t="str">
        <f t="shared" si="568"/>
        <v>RECEITAS COM ENTREGAS (303)</v>
      </c>
      <c r="S1151">
        <v>1143</v>
      </c>
      <c r="T1151">
        <v>935</v>
      </c>
      <c r="U1151" t="s">
        <v>19</v>
      </c>
    </row>
    <row r="1152" spans="1:21">
      <c r="A1152" t="str">
        <f t="shared" si="561"/>
        <v>05/03/2025</v>
      </c>
      <c r="B1152" t="str">
        <f t="shared" si="560"/>
        <v>ENTRADA</v>
      </c>
      <c r="C1152" t="str">
        <f t="shared" si="562"/>
        <v>NFSE</v>
      </c>
      <c r="D1152" t="str">
        <f t="shared" si="572"/>
        <v>2760</v>
      </c>
      <c r="E1152" t="str">
        <f t="shared" si="563"/>
        <v>COM</v>
      </c>
      <c r="F1152" t="str">
        <f t="shared" si="573"/>
        <v>FARMÁCIA INDIANA LJ 85 (10128)</v>
      </c>
      <c r="G1152" t="str">
        <f t="shared" si="574"/>
        <v>Serv.Prest. 17/02/2025 a 23/02/2025 - RPS: 533 - NFSe: 2760</v>
      </c>
      <c r="H1152" t="str">
        <f t="shared" si="564"/>
        <v>05/03/2025</v>
      </c>
      <c r="I1152" t="str">
        <f t="shared" si="565"/>
        <v>24/02/2025</v>
      </c>
      <c r="J1152" t="str">
        <f t="shared" si="566"/>
        <v>05/03/2025</v>
      </c>
      <c r="M1152">
        <v>303</v>
      </c>
      <c r="N1152" t="str">
        <f t="shared" si="567"/>
        <v>RECEITAS COM ENTREGAS</v>
      </c>
      <c r="P1152">
        <v>172.45</v>
      </c>
      <c r="Q1152" t="str">
        <f>"FARMÁCIA INDIANA LJ 221 (10093)"</f>
        <v>FARMÁCIA INDIANA LJ 221 (10093)</v>
      </c>
      <c r="R1152" t="str">
        <f t="shared" si="568"/>
        <v>RECEITAS COM ENTREGAS (303)</v>
      </c>
      <c r="S1152">
        <v>1143</v>
      </c>
      <c r="T1152">
        <v>935</v>
      </c>
      <c r="U1152" t="s">
        <v>19</v>
      </c>
    </row>
    <row r="1153" spans="1:21">
      <c r="A1153" t="str">
        <f t="shared" si="561"/>
        <v>05/03/2025</v>
      </c>
      <c r="B1153" t="str">
        <f t="shared" si="560"/>
        <v>ENTRADA</v>
      </c>
      <c r="C1153" t="str">
        <f t="shared" si="562"/>
        <v>NFSE</v>
      </c>
      <c r="D1153" t="str">
        <f t="shared" si="572"/>
        <v>2760</v>
      </c>
      <c r="E1153" t="str">
        <f t="shared" si="563"/>
        <v>COM</v>
      </c>
      <c r="F1153" t="str">
        <f t="shared" si="573"/>
        <v>FARMÁCIA INDIANA LJ 85 (10128)</v>
      </c>
      <c r="G1153" t="str">
        <f t="shared" si="574"/>
        <v>Serv.Prest. 17/02/2025 a 23/02/2025 - RPS: 533 - NFSe: 2760</v>
      </c>
      <c r="H1153" t="str">
        <f t="shared" si="564"/>
        <v>05/03/2025</v>
      </c>
      <c r="I1153" t="str">
        <f t="shared" si="565"/>
        <v>24/02/2025</v>
      </c>
      <c r="J1153" t="str">
        <f t="shared" si="566"/>
        <v>05/03/2025</v>
      </c>
      <c r="M1153">
        <v>303</v>
      </c>
      <c r="N1153" t="str">
        <f t="shared" si="567"/>
        <v>RECEITAS COM ENTREGAS</v>
      </c>
      <c r="P1153">
        <v>182.15</v>
      </c>
      <c r="Q1153" t="str">
        <f>"FARMÁCIA INDIANA LJ 243 (10142)"</f>
        <v>FARMÁCIA INDIANA LJ 243 (10142)</v>
      </c>
      <c r="R1153" t="str">
        <f t="shared" si="568"/>
        <v>RECEITAS COM ENTREGAS (303)</v>
      </c>
      <c r="S1153">
        <v>1143</v>
      </c>
      <c r="T1153">
        <v>935</v>
      </c>
      <c r="U1153" t="s">
        <v>19</v>
      </c>
    </row>
    <row r="1154" spans="1:21">
      <c r="A1154" t="str">
        <f t="shared" si="561"/>
        <v>05/03/2025</v>
      </c>
      <c r="B1154" t="str">
        <f t="shared" si="560"/>
        <v>ENTRADA</v>
      </c>
      <c r="C1154" t="str">
        <f t="shared" si="562"/>
        <v>NFSE</v>
      </c>
      <c r="D1154" t="str">
        <f>"2764"</f>
        <v>2764</v>
      </c>
      <c r="E1154" t="str">
        <f t="shared" si="563"/>
        <v>COM</v>
      </c>
      <c r="F1154" t="str">
        <f>"DELTA LOJA 2 (10123)"</f>
        <v>DELTA LOJA 2 (10123)</v>
      </c>
      <c r="G1154" t="str">
        <f>"Serv.Prest. 24/02/2025 a 02/03/2025 - RPS: 536 - NFSe: 2764"</f>
        <v>Serv.Prest. 24/02/2025 a 02/03/2025 - RPS: 536 - NFSe: 2764</v>
      </c>
      <c r="H1154" t="str">
        <f t="shared" si="564"/>
        <v>05/03/2025</v>
      </c>
      <c r="I1154" t="str">
        <f t="shared" ref="I1154:I1165" si="575">("03/03/2025")</f>
        <v>03/03/2025</v>
      </c>
      <c r="J1154" t="str">
        <f t="shared" si="566"/>
        <v>05/03/2025</v>
      </c>
      <c r="K1154">
        <v>480.48</v>
      </c>
      <c r="L1154">
        <v>480.48</v>
      </c>
      <c r="M1154">
        <v>303</v>
      </c>
      <c r="N1154" t="str">
        <f t="shared" si="567"/>
        <v>RECEITAS COM ENTREGAS</v>
      </c>
      <c r="O1154">
        <v>480.48</v>
      </c>
      <c r="R1154" t="str">
        <f t="shared" si="568"/>
        <v>RECEITAS COM ENTREGAS (303)</v>
      </c>
      <c r="S1154">
        <v>1144</v>
      </c>
      <c r="T1154">
        <v>938</v>
      </c>
      <c r="U1154" t="s">
        <v>19</v>
      </c>
    </row>
    <row r="1155" spans="1:21">
      <c r="A1155" t="str">
        <f t="shared" ref="A1155:A1178" si="576">("05/03/2025")</f>
        <v>05/03/2025</v>
      </c>
      <c r="B1155" t="str">
        <f t="shared" si="560"/>
        <v>ENTRADA</v>
      </c>
      <c r="C1155" t="str">
        <f t="shared" ref="C1155:C1165" si="577">"NFSE"</f>
        <v>NFSE</v>
      </c>
      <c r="D1155" t="str">
        <f>"2764"</f>
        <v>2764</v>
      </c>
      <c r="E1155" t="str">
        <f t="shared" ref="E1155:E1173" si="578">"COM"</f>
        <v>COM</v>
      </c>
      <c r="F1155" t="str">
        <f>"DELTA LOJA 2 (10123)"</f>
        <v>DELTA LOJA 2 (10123)</v>
      </c>
      <c r="G1155" t="str">
        <f>"Serv.Prest. 24/02/2025 a 02/03/2025 - RPS: 536 - NFSe: 2764"</f>
        <v>Serv.Prest. 24/02/2025 a 02/03/2025 - RPS: 536 - NFSe: 2764</v>
      </c>
      <c r="H1155" t="str">
        <f t="shared" ref="H1155:H1186" si="579">("05/03/2025")</f>
        <v>05/03/2025</v>
      </c>
      <c r="I1155" t="str">
        <f t="shared" si="575"/>
        <v>03/03/2025</v>
      </c>
      <c r="J1155" t="str">
        <f t="shared" ref="J1155:J1178" si="580">("05/03/2025")</f>
        <v>05/03/2025</v>
      </c>
      <c r="M1155">
        <v>303</v>
      </c>
      <c r="N1155" t="str">
        <f t="shared" ref="N1155:N1165" si="581">"RECEITAS COM ENTREGAS"</f>
        <v>RECEITAS COM ENTREGAS</v>
      </c>
      <c r="P1155">
        <v>480.48</v>
      </c>
      <c r="Q1155" t="str">
        <f>"DELTA LOJA 2 (10123)"</f>
        <v>DELTA LOJA 2 (10123)</v>
      </c>
      <c r="R1155" t="str">
        <f t="shared" ref="R1155:R1165" si="582">"RECEITAS COM ENTREGAS (303)"</f>
        <v>RECEITAS COM ENTREGAS (303)</v>
      </c>
      <c r="S1155">
        <v>1144</v>
      </c>
      <c r="T1155">
        <v>938</v>
      </c>
      <c r="U1155" t="s">
        <v>19</v>
      </c>
    </row>
    <row r="1156" spans="1:21">
      <c r="A1156" t="str">
        <f t="shared" si="576"/>
        <v>05/03/2025</v>
      </c>
      <c r="B1156" t="str">
        <f t="shared" ref="B1156:B1165" si="583">"ENTRADA"</f>
        <v>ENTRADA</v>
      </c>
      <c r="C1156" t="str">
        <f t="shared" si="577"/>
        <v>NFSE</v>
      </c>
      <c r="D1156" t="str">
        <f>"2766"</f>
        <v>2766</v>
      </c>
      <c r="E1156" t="str">
        <f t="shared" si="578"/>
        <v>COM</v>
      </c>
      <c r="F1156" t="str">
        <f>"FARMACIA CRISTAL (10125)"</f>
        <v>FARMACIA CRISTAL (10125)</v>
      </c>
      <c r="G1156" t="str">
        <f>"Serv.Prest. 24/02/2025 a 02/03/2025 - RPS: 538 - NFSe: 2766"</f>
        <v>Serv.Prest. 24/02/2025 a 02/03/2025 - RPS: 538 - NFSe: 2766</v>
      </c>
      <c r="H1156" t="str">
        <f t="shared" si="579"/>
        <v>05/03/2025</v>
      </c>
      <c r="I1156" t="str">
        <f t="shared" si="575"/>
        <v>03/03/2025</v>
      </c>
      <c r="J1156" t="str">
        <f t="shared" si="580"/>
        <v>05/03/2025</v>
      </c>
      <c r="K1156">
        <v>185.33</v>
      </c>
      <c r="L1156">
        <v>185.33</v>
      </c>
      <c r="M1156">
        <v>303</v>
      </c>
      <c r="N1156" t="str">
        <f t="shared" si="581"/>
        <v>RECEITAS COM ENTREGAS</v>
      </c>
      <c r="O1156">
        <v>185.33</v>
      </c>
      <c r="R1156" t="str">
        <f t="shared" si="582"/>
        <v>RECEITAS COM ENTREGAS (303)</v>
      </c>
      <c r="S1156">
        <v>1145</v>
      </c>
      <c r="T1156">
        <v>940</v>
      </c>
      <c r="U1156" t="s">
        <v>19</v>
      </c>
    </row>
    <row r="1157" spans="1:21">
      <c r="A1157" t="str">
        <f t="shared" si="576"/>
        <v>05/03/2025</v>
      </c>
      <c r="B1157" t="str">
        <f t="shared" si="583"/>
        <v>ENTRADA</v>
      </c>
      <c r="C1157" t="str">
        <f t="shared" si="577"/>
        <v>NFSE</v>
      </c>
      <c r="D1157" t="str">
        <f>"2766"</f>
        <v>2766</v>
      </c>
      <c r="E1157" t="str">
        <f t="shared" si="578"/>
        <v>COM</v>
      </c>
      <c r="F1157" t="str">
        <f>"FARMACIA CRISTAL (10125)"</f>
        <v>FARMACIA CRISTAL (10125)</v>
      </c>
      <c r="G1157" t="str">
        <f>"Serv.Prest. 24/02/2025 a 02/03/2025 - RPS: 538 - NFSe: 2766"</f>
        <v>Serv.Prest. 24/02/2025 a 02/03/2025 - RPS: 538 - NFSe: 2766</v>
      </c>
      <c r="H1157" t="str">
        <f t="shared" si="579"/>
        <v>05/03/2025</v>
      </c>
      <c r="I1157" t="str">
        <f t="shared" si="575"/>
        <v>03/03/2025</v>
      </c>
      <c r="J1157" t="str">
        <f t="shared" si="580"/>
        <v>05/03/2025</v>
      </c>
      <c r="M1157">
        <v>303</v>
      </c>
      <c r="N1157" t="str">
        <f t="shared" si="581"/>
        <v>RECEITAS COM ENTREGAS</v>
      </c>
      <c r="P1157">
        <v>185.33</v>
      </c>
      <c r="Q1157" t="str">
        <f>"FARMACIA CRISTAL (10125)"</f>
        <v>FARMACIA CRISTAL (10125)</v>
      </c>
      <c r="R1157" t="str">
        <f t="shared" si="582"/>
        <v>RECEITAS COM ENTREGAS (303)</v>
      </c>
      <c r="S1157">
        <v>1145</v>
      </c>
      <c r="T1157">
        <v>940</v>
      </c>
      <c r="U1157" t="s">
        <v>19</v>
      </c>
    </row>
    <row r="1158" spans="1:21">
      <c r="A1158" t="str">
        <f t="shared" si="576"/>
        <v>05/03/2025</v>
      </c>
      <c r="B1158" t="str">
        <f t="shared" si="583"/>
        <v>ENTRADA</v>
      </c>
      <c r="C1158" t="str">
        <f t="shared" si="577"/>
        <v>NFSE</v>
      </c>
      <c r="D1158" t="str">
        <f>"2768"</f>
        <v>2768</v>
      </c>
      <c r="E1158" t="str">
        <f t="shared" si="578"/>
        <v>COM</v>
      </c>
      <c r="F1158" t="str">
        <f>"FRAN FARMA (10124)"</f>
        <v>FRAN FARMA (10124)</v>
      </c>
      <c r="G1158" t="str">
        <f>"Serv.Prest. 24/02/2025 a 02/03/2025 - RPS: 540 - NFSe: 2768"</f>
        <v>Serv.Prest. 24/02/2025 a 02/03/2025 - RPS: 540 - NFSe: 2768</v>
      </c>
      <c r="H1158" t="str">
        <f t="shared" si="579"/>
        <v>05/03/2025</v>
      </c>
      <c r="I1158" t="str">
        <f t="shared" si="575"/>
        <v>03/03/2025</v>
      </c>
      <c r="J1158" t="str">
        <f t="shared" si="580"/>
        <v>05/03/2025</v>
      </c>
      <c r="K1158">
        <v>320</v>
      </c>
      <c r="L1158">
        <v>320</v>
      </c>
      <c r="M1158">
        <v>303</v>
      </c>
      <c r="N1158" t="str">
        <f t="shared" si="581"/>
        <v>RECEITAS COM ENTREGAS</v>
      </c>
      <c r="O1158">
        <v>320</v>
      </c>
      <c r="R1158" t="str">
        <f t="shared" si="582"/>
        <v>RECEITAS COM ENTREGAS (303)</v>
      </c>
      <c r="S1158">
        <v>1146</v>
      </c>
      <c r="T1158">
        <v>942</v>
      </c>
      <c r="U1158" t="s">
        <v>19</v>
      </c>
    </row>
    <row r="1159" spans="1:21">
      <c r="A1159" t="str">
        <f t="shared" si="576"/>
        <v>05/03/2025</v>
      </c>
      <c r="B1159" t="str">
        <f t="shared" si="583"/>
        <v>ENTRADA</v>
      </c>
      <c r="C1159" t="str">
        <f t="shared" si="577"/>
        <v>NFSE</v>
      </c>
      <c r="D1159" t="str">
        <f>"2768"</f>
        <v>2768</v>
      </c>
      <c r="E1159" t="str">
        <f t="shared" si="578"/>
        <v>COM</v>
      </c>
      <c r="F1159" t="str">
        <f>"FRAN FARMA (10124)"</f>
        <v>FRAN FARMA (10124)</v>
      </c>
      <c r="G1159" t="str">
        <f>"Serv.Prest. 24/02/2025 a 02/03/2025 - RPS: 540 - NFSe: 2768"</f>
        <v>Serv.Prest. 24/02/2025 a 02/03/2025 - RPS: 540 - NFSe: 2768</v>
      </c>
      <c r="H1159" t="str">
        <f t="shared" si="579"/>
        <v>05/03/2025</v>
      </c>
      <c r="I1159" t="str">
        <f t="shared" si="575"/>
        <v>03/03/2025</v>
      </c>
      <c r="J1159" t="str">
        <f t="shared" si="580"/>
        <v>05/03/2025</v>
      </c>
      <c r="M1159">
        <v>303</v>
      </c>
      <c r="N1159" t="str">
        <f t="shared" si="581"/>
        <v>RECEITAS COM ENTREGAS</v>
      </c>
      <c r="P1159">
        <v>64</v>
      </c>
      <c r="Q1159" t="str">
        <f>"FRAN FARMA (10124)"</f>
        <v>FRAN FARMA (10124)</v>
      </c>
      <c r="R1159" t="str">
        <f t="shared" si="582"/>
        <v>RECEITAS COM ENTREGAS (303)</v>
      </c>
      <c r="S1159">
        <v>1146</v>
      </c>
      <c r="T1159">
        <v>942</v>
      </c>
      <c r="U1159" t="s">
        <v>19</v>
      </c>
    </row>
    <row r="1160" spans="1:21">
      <c r="A1160" t="str">
        <f t="shared" si="576"/>
        <v>05/03/2025</v>
      </c>
      <c r="B1160" t="str">
        <f t="shared" si="583"/>
        <v>ENTRADA</v>
      </c>
      <c r="C1160" t="str">
        <f t="shared" si="577"/>
        <v>NFSE</v>
      </c>
      <c r="D1160" t="str">
        <f>"2768"</f>
        <v>2768</v>
      </c>
      <c r="E1160" t="str">
        <f t="shared" si="578"/>
        <v>COM</v>
      </c>
      <c r="F1160" t="str">
        <f>"FRAN FARMA (10124)"</f>
        <v>FRAN FARMA (10124)</v>
      </c>
      <c r="G1160" t="str">
        <f>"Serv.Prest. 24/02/2025 a 02/03/2025 - RPS: 540 - NFSe: 2768"</f>
        <v>Serv.Prest. 24/02/2025 a 02/03/2025 - RPS: 540 - NFSe: 2768</v>
      </c>
      <c r="H1160" t="str">
        <f t="shared" si="579"/>
        <v>05/03/2025</v>
      </c>
      <c r="I1160" t="str">
        <f t="shared" si="575"/>
        <v>03/03/2025</v>
      </c>
      <c r="J1160" t="str">
        <f t="shared" si="580"/>
        <v>05/03/2025</v>
      </c>
      <c r="M1160">
        <v>303</v>
      </c>
      <c r="N1160" t="str">
        <f t="shared" si="581"/>
        <v>RECEITAS COM ENTREGAS</v>
      </c>
      <c r="P1160">
        <v>192</v>
      </c>
      <c r="Q1160" t="str">
        <f>"FRAN FARMA LJ 2 (10131)"</f>
        <v>FRAN FARMA LJ 2 (10131)</v>
      </c>
      <c r="R1160" t="str">
        <f t="shared" si="582"/>
        <v>RECEITAS COM ENTREGAS (303)</v>
      </c>
      <c r="S1160">
        <v>1146</v>
      </c>
      <c r="T1160">
        <v>942</v>
      </c>
      <c r="U1160" t="s">
        <v>19</v>
      </c>
    </row>
    <row r="1161" spans="1:21">
      <c r="A1161" t="str">
        <f t="shared" si="576"/>
        <v>05/03/2025</v>
      </c>
      <c r="B1161" t="str">
        <f t="shared" si="583"/>
        <v>ENTRADA</v>
      </c>
      <c r="C1161" t="str">
        <f t="shared" si="577"/>
        <v>NFSE</v>
      </c>
      <c r="D1161" t="str">
        <f>"2768"</f>
        <v>2768</v>
      </c>
      <c r="E1161" t="str">
        <f t="shared" si="578"/>
        <v>COM</v>
      </c>
      <c r="F1161" t="str">
        <f>"FRAN FARMA (10124)"</f>
        <v>FRAN FARMA (10124)</v>
      </c>
      <c r="G1161" t="str">
        <f>"Serv.Prest. 24/02/2025 a 02/03/2025 - RPS: 540 - NFSe: 2768"</f>
        <v>Serv.Prest. 24/02/2025 a 02/03/2025 - RPS: 540 - NFSe: 2768</v>
      </c>
      <c r="H1161" t="str">
        <f t="shared" si="579"/>
        <v>05/03/2025</v>
      </c>
      <c r="I1161" t="str">
        <f t="shared" si="575"/>
        <v>03/03/2025</v>
      </c>
      <c r="J1161" t="str">
        <f t="shared" si="580"/>
        <v>05/03/2025</v>
      </c>
      <c r="M1161">
        <v>303</v>
      </c>
      <c r="N1161" t="str">
        <f t="shared" si="581"/>
        <v>RECEITAS COM ENTREGAS</v>
      </c>
      <c r="P1161">
        <v>64</v>
      </c>
      <c r="Q1161" t="str">
        <f>"FRAN FARMA LJ 3 (10132)"</f>
        <v>FRAN FARMA LJ 3 (10132)</v>
      </c>
      <c r="R1161" t="str">
        <f t="shared" si="582"/>
        <v>RECEITAS COM ENTREGAS (303)</v>
      </c>
      <c r="S1161">
        <v>1146</v>
      </c>
      <c r="T1161">
        <v>942</v>
      </c>
      <c r="U1161" t="s">
        <v>19</v>
      </c>
    </row>
    <row r="1162" spans="1:21">
      <c r="A1162" t="str">
        <f t="shared" si="576"/>
        <v>05/03/2025</v>
      </c>
      <c r="B1162" t="str">
        <f t="shared" si="583"/>
        <v>ENTRADA</v>
      </c>
      <c r="C1162" t="str">
        <f t="shared" si="577"/>
        <v>NFSE</v>
      </c>
      <c r="D1162" t="str">
        <f>"2769"</f>
        <v>2769</v>
      </c>
      <c r="E1162" t="str">
        <f t="shared" si="578"/>
        <v>COM</v>
      </c>
      <c r="F1162" t="str">
        <f>"JAL FARMACIA E DROGARIA LJ 1 (10137)"</f>
        <v>JAL FARMACIA E DROGARIA LJ 1 (10137)</v>
      </c>
      <c r="G1162" t="str">
        <f>"Serv.Prest. 24/02/2025 a 02/03/2025 - RPS: 541 - NFSe: 2769"</f>
        <v>Serv.Prest. 24/02/2025 a 02/03/2025 - RPS: 541 - NFSe: 2769</v>
      </c>
      <c r="H1162" t="str">
        <f t="shared" si="579"/>
        <v>05/03/2025</v>
      </c>
      <c r="I1162" t="str">
        <f t="shared" si="575"/>
        <v>03/03/2025</v>
      </c>
      <c r="J1162" t="str">
        <f t="shared" si="580"/>
        <v>05/03/2025</v>
      </c>
      <c r="K1162">
        <v>382.4</v>
      </c>
      <c r="L1162">
        <v>382.4</v>
      </c>
      <c r="M1162">
        <v>303</v>
      </c>
      <c r="N1162" t="str">
        <f t="shared" si="581"/>
        <v>RECEITAS COM ENTREGAS</v>
      </c>
      <c r="O1162">
        <v>382.4</v>
      </c>
      <c r="R1162" t="str">
        <f t="shared" si="582"/>
        <v>RECEITAS COM ENTREGAS (303)</v>
      </c>
      <c r="S1162">
        <v>1147</v>
      </c>
      <c r="T1162">
        <v>943</v>
      </c>
      <c r="U1162" t="s">
        <v>19</v>
      </c>
    </row>
    <row r="1163" spans="1:21">
      <c r="A1163" t="str">
        <f t="shared" si="576"/>
        <v>05/03/2025</v>
      </c>
      <c r="B1163" t="str">
        <f t="shared" si="583"/>
        <v>ENTRADA</v>
      </c>
      <c r="C1163" t="str">
        <f t="shared" si="577"/>
        <v>NFSE</v>
      </c>
      <c r="D1163" t="str">
        <f>"2769"</f>
        <v>2769</v>
      </c>
      <c r="E1163" t="str">
        <f t="shared" si="578"/>
        <v>COM</v>
      </c>
      <c r="F1163" t="str">
        <f>"JAL FARMACIA E DROGARIA LJ 1 (10137)"</f>
        <v>JAL FARMACIA E DROGARIA LJ 1 (10137)</v>
      </c>
      <c r="G1163" t="str">
        <f>"Serv.Prest. 24/02/2025 a 02/03/2025 - RPS: 541 - NFSe: 2769"</f>
        <v>Serv.Prest. 24/02/2025 a 02/03/2025 - RPS: 541 - NFSe: 2769</v>
      </c>
      <c r="H1163" t="str">
        <f t="shared" si="579"/>
        <v>05/03/2025</v>
      </c>
      <c r="I1163" t="str">
        <f t="shared" si="575"/>
        <v>03/03/2025</v>
      </c>
      <c r="J1163" t="str">
        <f t="shared" si="580"/>
        <v>05/03/2025</v>
      </c>
      <c r="M1163">
        <v>303</v>
      </c>
      <c r="N1163" t="str">
        <f t="shared" si="581"/>
        <v>RECEITAS COM ENTREGAS</v>
      </c>
      <c r="P1163">
        <v>382.4</v>
      </c>
      <c r="Q1163" t="str">
        <f>"JAL FARMACIA E DROGARIA LJ 1 (10137)"</f>
        <v>JAL FARMACIA E DROGARIA LJ 1 (10137)</v>
      </c>
      <c r="R1163" t="str">
        <f t="shared" si="582"/>
        <v>RECEITAS COM ENTREGAS (303)</v>
      </c>
      <c r="S1163">
        <v>1147</v>
      </c>
      <c r="T1163">
        <v>943</v>
      </c>
      <c r="U1163" t="s">
        <v>19</v>
      </c>
    </row>
    <row r="1164" spans="1:21">
      <c r="A1164" t="str">
        <f t="shared" si="576"/>
        <v>05/03/2025</v>
      </c>
      <c r="B1164" t="str">
        <f t="shared" si="583"/>
        <v>ENTRADA</v>
      </c>
      <c r="C1164" t="str">
        <f t="shared" si="577"/>
        <v>NFSE</v>
      </c>
      <c r="D1164" t="str">
        <f>"2770"</f>
        <v>2770</v>
      </c>
      <c r="E1164" t="str">
        <f t="shared" si="578"/>
        <v>COM</v>
      </c>
      <c r="F1164" t="str">
        <f>"JAL FARMACIA E DROGARIA LJ 2 (10138)"</f>
        <v>JAL FARMACIA E DROGARIA LJ 2 (10138)</v>
      </c>
      <c r="G1164" t="str">
        <f>"Serv.Prest. 24/02/2025 a 02/03/2025 - RPS: 542 - NFSe: 2770"</f>
        <v>Serv.Prest. 24/02/2025 a 02/03/2025 - RPS: 542 - NFSe: 2770</v>
      </c>
      <c r="H1164" t="str">
        <f t="shared" si="579"/>
        <v>05/03/2025</v>
      </c>
      <c r="I1164" t="str">
        <f t="shared" si="575"/>
        <v>03/03/2025</v>
      </c>
      <c r="J1164" t="str">
        <f t="shared" si="580"/>
        <v>05/03/2025</v>
      </c>
      <c r="K1164">
        <v>225.6</v>
      </c>
      <c r="L1164">
        <v>225.6</v>
      </c>
      <c r="M1164">
        <v>303</v>
      </c>
      <c r="N1164" t="str">
        <f t="shared" si="581"/>
        <v>RECEITAS COM ENTREGAS</v>
      </c>
      <c r="O1164">
        <v>225.6</v>
      </c>
      <c r="R1164" t="str">
        <f t="shared" si="582"/>
        <v>RECEITAS COM ENTREGAS (303)</v>
      </c>
      <c r="S1164">
        <v>1148</v>
      </c>
      <c r="T1164">
        <v>944</v>
      </c>
      <c r="U1164" t="s">
        <v>19</v>
      </c>
    </row>
    <row r="1165" spans="1:21">
      <c r="A1165" t="str">
        <f t="shared" si="576"/>
        <v>05/03/2025</v>
      </c>
      <c r="B1165" t="str">
        <f t="shared" si="583"/>
        <v>ENTRADA</v>
      </c>
      <c r="C1165" t="str">
        <f t="shared" si="577"/>
        <v>NFSE</v>
      </c>
      <c r="D1165" t="str">
        <f>"2770"</f>
        <v>2770</v>
      </c>
      <c r="E1165" t="str">
        <f t="shared" si="578"/>
        <v>COM</v>
      </c>
      <c r="F1165" t="str">
        <f>"JAL FARMACIA E DROGARIA LJ 2 (10138)"</f>
        <v>JAL FARMACIA E DROGARIA LJ 2 (10138)</v>
      </c>
      <c r="G1165" t="str">
        <f>"Serv.Prest. 24/02/2025 a 02/03/2025 - RPS: 542 - NFSe: 2770"</f>
        <v>Serv.Prest. 24/02/2025 a 02/03/2025 - RPS: 542 - NFSe: 2770</v>
      </c>
      <c r="H1165" t="str">
        <f t="shared" si="579"/>
        <v>05/03/2025</v>
      </c>
      <c r="I1165" t="str">
        <f t="shared" si="575"/>
        <v>03/03/2025</v>
      </c>
      <c r="J1165" t="str">
        <f t="shared" si="580"/>
        <v>05/03/2025</v>
      </c>
      <c r="M1165">
        <v>303</v>
      </c>
      <c r="N1165" t="str">
        <f t="shared" si="581"/>
        <v>RECEITAS COM ENTREGAS</v>
      </c>
      <c r="P1165">
        <v>225.6</v>
      </c>
      <c r="Q1165" t="str">
        <f>"JAL FARMACIA E DROGARIA LJ 2 (10138)"</f>
        <v>JAL FARMACIA E DROGARIA LJ 2 (10138)</v>
      </c>
      <c r="R1165" t="str">
        <f t="shared" si="582"/>
        <v>RECEITAS COM ENTREGAS (303)</v>
      </c>
      <c r="S1165">
        <v>1148</v>
      </c>
      <c r="T1165">
        <v>944</v>
      </c>
      <c r="U1165" t="s">
        <v>19</v>
      </c>
    </row>
    <row r="1166" spans="1:21">
      <c r="A1166" t="str">
        <f t="shared" si="576"/>
        <v>05/03/2025</v>
      </c>
      <c r="B1166" t="str">
        <f t="shared" ref="B1166:B1178" si="584">"SAÍDA"</f>
        <v>SAÍDA</v>
      </c>
      <c r="C1166" t="str">
        <f>"BOLETO"</f>
        <v>BOLETO</v>
      </c>
      <c r="D1166" t="str">
        <f>"01"</f>
        <v>01</v>
      </c>
      <c r="E1166" t="str">
        <f t="shared" si="578"/>
        <v>COM</v>
      </c>
      <c r="F1166" t="str">
        <f>"BANCO DO BRASIL (20001)"</f>
        <v>BANCO DO BRASIL (20001)</v>
      </c>
      <c r="G1166" t="str">
        <f>"EMPRESTIMO FUI TECNOLOGIA"</f>
        <v>EMPRESTIMO FUI TECNOLOGIA</v>
      </c>
      <c r="H1166" t="str">
        <f t="shared" si="579"/>
        <v>05/03/2025</v>
      </c>
      <c r="I1166" t="str">
        <f>("23/07/2024")</f>
        <v>23/07/2024</v>
      </c>
      <c r="J1166" t="str">
        <f t="shared" si="580"/>
        <v>05/03/2025</v>
      </c>
      <c r="K1166">
        <v>508.77</v>
      </c>
      <c r="L1166">
        <v>508.77</v>
      </c>
      <c r="M1166">
        <v>114</v>
      </c>
      <c r="N1166" t="str">
        <f>"EMPRESTIMOS"</f>
        <v>EMPRESTIMOS</v>
      </c>
      <c r="O1166">
        <v>508.77</v>
      </c>
      <c r="R1166" t="str">
        <f t="shared" ref="R1166:R1178" si="585">"BANCO CORA (102)"</f>
        <v>BANCO CORA (102)</v>
      </c>
      <c r="S1166">
        <v>1161</v>
      </c>
      <c r="T1166">
        <v>72</v>
      </c>
      <c r="U1166" t="s">
        <v>19</v>
      </c>
    </row>
    <row r="1167" spans="1:21">
      <c r="A1167" t="str">
        <f t="shared" si="576"/>
        <v>05/03/2025</v>
      </c>
      <c r="B1167" t="str">
        <f t="shared" si="584"/>
        <v>SAÍDA</v>
      </c>
      <c r="C1167" t="str">
        <f>"BOLETO"</f>
        <v>BOLETO</v>
      </c>
      <c r="D1167" t="str">
        <f>"01"</f>
        <v>01</v>
      </c>
      <c r="E1167" t="str">
        <f t="shared" si="578"/>
        <v>COM</v>
      </c>
      <c r="F1167" t="str">
        <f>"BANCO DO BRASIL (20001)"</f>
        <v>BANCO DO BRASIL (20001)</v>
      </c>
      <c r="G1167" t="str">
        <f>"EMPRESTIMO FUI TECNOLOGIA"</f>
        <v>EMPRESTIMO FUI TECNOLOGIA</v>
      </c>
      <c r="H1167" t="str">
        <f t="shared" si="579"/>
        <v>05/03/2025</v>
      </c>
      <c r="I1167" t="str">
        <f>("23/07/2024")</f>
        <v>23/07/2024</v>
      </c>
      <c r="J1167" t="str">
        <f t="shared" si="580"/>
        <v>05/03/2025</v>
      </c>
      <c r="M1167">
        <v>114</v>
      </c>
      <c r="N1167" t="str">
        <f>"EMPRESTIMOS"</f>
        <v>EMPRESTIMOS</v>
      </c>
      <c r="P1167">
        <v>508.77</v>
      </c>
      <c r="Q1167" t="str">
        <f>"BANCO DO BRASIL (20001)"</f>
        <v>BANCO DO BRASIL (20001)</v>
      </c>
      <c r="R1167" t="str">
        <f t="shared" si="585"/>
        <v>BANCO CORA (102)</v>
      </c>
      <c r="S1167">
        <v>1161</v>
      </c>
      <c r="T1167">
        <v>72</v>
      </c>
      <c r="U1167" t="s">
        <v>19</v>
      </c>
    </row>
    <row r="1168" spans="1:21">
      <c r="A1168" t="str">
        <f t="shared" si="576"/>
        <v>05/03/2025</v>
      </c>
      <c r="B1168" t="str">
        <f t="shared" si="584"/>
        <v>SAÍDA</v>
      </c>
      <c r="C1168" t="str">
        <f t="shared" ref="C1168:C1173" si="586">"PIX"</f>
        <v>PIX</v>
      </c>
      <c r="D1168" t="str">
        <f>"07"</f>
        <v>07</v>
      </c>
      <c r="E1168" t="str">
        <f t="shared" si="578"/>
        <v>COM</v>
      </c>
      <c r="F1168" t="str">
        <f>"LILIANE DE FATIMA REZENDE JUSTINO (20013)"</f>
        <v>LILIANE DE FATIMA REZENDE JUSTINO (20013)</v>
      </c>
      <c r="G1168" t="str">
        <f>"REF. PRO-LABORE MES 07/2024"</f>
        <v>REF. PRO-LABORE MES 07/2024</v>
      </c>
      <c r="H1168" t="str">
        <f t="shared" si="579"/>
        <v>05/03/2025</v>
      </c>
      <c r="I1168" t="str">
        <f t="shared" ref="I1168:I1173" si="587">("01/01/2025")</f>
        <v>01/01/2025</v>
      </c>
      <c r="J1168" t="str">
        <f t="shared" si="580"/>
        <v>05/03/2025</v>
      </c>
      <c r="K1168">
        <v>23333.33</v>
      </c>
      <c r="L1168">
        <v>23333.33</v>
      </c>
      <c r="M1168">
        <v>124</v>
      </c>
      <c r="N1168" t="str">
        <f>"PRO LABORE - LILIANE"</f>
        <v>PRO LABORE - LILIANE</v>
      </c>
      <c r="O1168">
        <v>23333.33</v>
      </c>
      <c r="R1168" t="str">
        <f t="shared" si="585"/>
        <v>BANCO CORA (102)</v>
      </c>
      <c r="S1168">
        <v>1162</v>
      </c>
      <c r="T1168">
        <v>565</v>
      </c>
      <c r="U1168" t="s">
        <v>19</v>
      </c>
    </row>
    <row r="1169" spans="1:21">
      <c r="A1169" t="str">
        <f t="shared" si="576"/>
        <v>05/03/2025</v>
      </c>
      <c r="B1169" t="str">
        <f t="shared" si="584"/>
        <v>SAÍDA</v>
      </c>
      <c r="C1169" t="str">
        <f t="shared" si="586"/>
        <v>PIX</v>
      </c>
      <c r="D1169" t="str">
        <f>"07"</f>
        <v>07</v>
      </c>
      <c r="E1169" t="str">
        <f t="shared" si="578"/>
        <v>COM</v>
      </c>
      <c r="F1169" t="str">
        <f>"LILIANE DE FATIMA REZENDE JUSTINO (20013)"</f>
        <v>LILIANE DE FATIMA REZENDE JUSTINO (20013)</v>
      </c>
      <c r="G1169" t="str">
        <f>"REF. PRO-LABORE MES 07/2024"</f>
        <v>REF. PRO-LABORE MES 07/2024</v>
      </c>
      <c r="H1169" t="str">
        <f t="shared" si="579"/>
        <v>05/03/2025</v>
      </c>
      <c r="I1169" t="str">
        <f t="shared" si="587"/>
        <v>01/01/2025</v>
      </c>
      <c r="J1169" t="str">
        <f t="shared" si="580"/>
        <v>05/03/2025</v>
      </c>
      <c r="M1169">
        <v>124</v>
      </c>
      <c r="N1169" t="str">
        <f>"PRO LABORE - LILIANE"</f>
        <v>PRO LABORE - LILIANE</v>
      </c>
      <c r="P1169">
        <v>23333.33</v>
      </c>
      <c r="Q1169" t="str">
        <f>"LILIANE DE FATIMA REZENDE JUSTINO (20013)"</f>
        <v>LILIANE DE FATIMA REZENDE JUSTINO (20013)</v>
      </c>
      <c r="R1169" t="str">
        <f t="shared" si="585"/>
        <v>BANCO CORA (102)</v>
      </c>
      <c r="S1169">
        <v>1162</v>
      </c>
      <c r="T1169">
        <v>565</v>
      </c>
      <c r="U1169" t="s">
        <v>19</v>
      </c>
    </row>
    <row r="1170" spans="1:21">
      <c r="A1170" t="str">
        <f t="shared" si="576"/>
        <v>05/03/2025</v>
      </c>
      <c r="B1170" t="str">
        <f t="shared" si="584"/>
        <v>SAÍDA</v>
      </c>
      <c r="C1170" t="str">
        <f t="shared" si="586"/>
        <v>PIX</v>
      </c>
      <c r="D1170" t="str">
        <f>"01"</f>
        <v>01</v>
      </c>
      <c r="E1170" t="str">
        <f t="shared" si="578"/>
        <v>COM</v>
      </c>
      <c r="F1170" t="str">
        <f>"LILIANE DE FATIMA REZENDE JUSTINO (20013)"</f>
        <v>LILIANE DE FATIMA REZENDE JUSTINO (20013)</v>
      </c>
      <c r="G1170" t="str">
        <f>"REF. PREST. SERVICO LILIANE"</f>
        <v>REF. PREST. SERVICO LILIANE</v>
      </c>
      <c r="H1170" t="str">
        <f t="shared" si="579"/>
        <v>05/03/2025</v>
      </c>
      <c r="I1170" t="str">
        <f t="shared" si="587"/>
        <v>01/01/2025</v>
      </c>
      <c r="J1170" t="str">
        <f t="shared" si="580"/>
        <v>05/03/2025</v>
      </c>
      <c r="K1170">
        <v>1500</v>
      </c>
      <c r="L1170">
        <v>1500</v>
      </c>
      <c r="M1170">
        <v>103</v>
      </c>
      <c r="N1170" t="str">
        <f>"PAGAMENTO DE FUNCIONÁRIOS"</f>
        <v>PAGAMENTO DE FUNCIONÁRIOS</v>
      </c>
      <c r="O1170">
        <v>1500</v>
      </c>
      <c r="R1170" t="str">
        <f t="shared" si="585"/>
        <v>BANCO CORA (102)</v>
      </c>
      <c r="S1170">
        <v>1163</v>
      </c>
      <c r="T1170">
        <v>577</v>
      </c>
      <c r="U1170" t="s">
        <v>19</v>
      </c>
    </row>
    <row r="1171" spans="1:21">
      <c r="A1171" t="str">
        <f t="shared" si="576"/>
        <v>05/03/2025</v>
      </c>
      <c r="B1171" t="str">
        <f t="shared" si="584"/>
        <v>SAÍDA</v>
      </c>
      <c r="C1171" t="str">
        <f t="shared" si="586"/>
        <v>PIX</v>
      </c>
      <c r="D1171" t="str">
        <f>"01"</f>
        <v>01</v>
      </c>
      <c r="E1171" t="str">
        <f t="shared" si="578"/>
        <v>COM</v>
      </c>
      <c r="F1171" t="str">
        <f>"LILIANE DE FATIMA REZENDE JUSTINO (20013)"</f>
        <v>LILIANE DE FATIMA REZENDE JUSTINO (20013)</v>
      </c>
      <c r="G1171" t="str">
        <f>"REF. PREST. SERVICO LILIANE"</f>
        <v>REF. PREST. SERVICO LILIANE</v>
      </c>
      <c r="H1171" t="str">
        <f t="shared" si="579"/>
        <v>05/03/2025</v>
      </c>
      <c r="I1171" t="str">
        <f t="shared" si="587"/>
        <v>01/01/2025</v>
      </c>
      <c r="J1171" t="str">
        <f t="shared" si="580"/>
        <v>05/03/2025</v>
      </c>
      <c r="M1171">
        <v>103</v>
      </c>
      <c r="N1171" t="str">
        <f>"PAGAMENTO DE FUNCIONÁRIOS"</f>
        <v>PAGAMENTO DE FUNCIONÁRIOS</v>
      </c>
      <c r="P1171">
        <v>1500</v>
      </c>
      <c r="Q1171" t="str">
        <f>"LILIANE DE FATIMA REZENDE JUSTINO (20013)"</f>
        <v>LILIANE DE FATIMA REZENDE JUSTINO (20013)</v>
      </c>
      <c r="R1171" t="str">
        <f t="shared" si="585"/>
        <v>BANCO CORA (102)</v>
      </c>
      <c r="S1171">
        <v>1163</v>
      </c>
      <c r="T1171">
        <v>577</v>
      </c>
      <c r="U1171" t="s">
        <v>19</v>
      </c>
    </row>
    <row r="1172" spans="1:21">
      <c r="A1172" t="str">
        <f t="shared" si="576"/>
        <v>05/03/2025</v>
      </c>
      <c r="B1172" t="str">
        <f t="shared" si="584"/>
        <v>SAÍDA</v>
      </c>
      <c r="C1172" t="str">
        <f t="shared" si="586"/>
        <v>PIX</v>
      </c>
      <c r="D1172" t="str">
        <f>"0724"</f>
        <v>0724</v>
      </c>
      <c r="E1172" t="str">
        <f t="shared" si="578"/>
        <v>COM</v>
      </c>
      <c r="F1172" t="str">
        <f>"MARCELO REZENDE ARANTES (20014)"</f>
        <v>MARCELO REZENDE ARANTES (20014)</v>
      </c>
      <c r="G1172" t="str">
        <f>"REF. PRO-LABORE MES 07/2024"</f>
        <v>REF. PRO-LABORE MES 07/2024</v>
      </c>
      <c r="H1172" t="str">
        <f t="shared" si="579"/>
        <v>05/03/2025</v>
      </c>
      <c r="I1172" t="str">
        <f t="shared" si="587"/>
        <v>01/01/2025</v>
      </c>
      <c r="J1172" t="str">
        <f t="shared" si="580"/>
        <v>05/03/2025</v>
      </c>
      <c r="K1172">
        <v>10000</v>
      </c>
      <c r="L1172">
        <v>10000</v>
      </c>
      <c r="M1172">
        <v>108</v>
      </c>
      <c r="N1172" t="str">
        <f>"PRO LABORE - MARCELO"</f>
        <v>PRO LABORE - MARCELO</v>
      </c>
      <c r="O1172">
        <v>10000</v>
      </c>
      <c r="R1172" t="str">
        <f t="shared" si="585"/>
        <v>BANCO CORA (102)</v>
      </c>
      <c r="S1172">
        <v>1164</v>
      </c>
      <c r="T1172">
        <v>589</v>
      </c>
      <c r="U1172" t="s">
        <v>19</v>
      </c>
    </row>
    <row r="1173" spans="1:21">
      <c r="A1173" t="str">
        <f t="shared" si="576"/>
        <v>05/03/2025</v>
      </c>
      <c r="B1173" t="str">
        <f t="shared" si="584"/>
        <v>SAÍDA</v>
      </c>
      <c r="C1173" t="str">
        <f t="shared" si="586"/>
        <v>PIX</v>
      </c>
      <c r="D1173" t="str">
        <f>"0724"</f>
        <v>0724</v>
      </c>
      <c r="E1173" t="str">
        <f t="shared" si="578"/>
        <v>COM</v>
      </c>
      <c r="F1173" t="str">
        <f>"MARCELO REZENDE ARANTES (20014)"</f>
        <v>MARCELO REZENDE ARANTES (20014)</v>
      </c>
      <c r="G1173" t="str">
        <f>"REF. PRO-LABORE MES 07/2024"</f>
        <v>REF. PRO-LABORE MES 07/2024</v>
      </c>
      <c r="H1173" t="str">
        <f t="shared" si="579"/>
        <v>05/03/2025</v>
      </c>
      <c r="I1173" t="str">
        <f t="shared" si="587"/>
        <v>01/01/2025</v>
      </c>
      <c r="J1173" t="str">
        <f t="shared" si="580"/>
        <v>05/03/2025</v>
      </c>
      <c r="M1173">
        <v>108</v>
      </c>
      <c r="N1173" t="str">
        <f>"PRO LABORE - MARCELO"</f>
        <v>PRO LABORE - MARCELO</v>
      </c>
      <c r="P1173">
        <v>10000</v>
      </c>
      <c r="Q1173" t="str">
        <f>"MARCELO REZENDE ARANTES (20014)"</f>
        <v>MARCELO REZENDE ARANTES (20014)</v>
      </c>
      <c r="R1173" t="str">
        <f t="shared" si="585"/>
        <v>BANCO CORA (102)</v>
      </c>
      <c r="S1173">
        <v>1164</v>
      </c>
      <c r="T1173">
        <v>589</v>
      </c>
      <c r="U1173" t="s">
        <v>19</v>
      </c>
    </row>
    <row r="1174" spans="1:21">
      <c r="A1174" t="str">
        <f t="shared" si="576"/>
        <v>05/03/2025</v>
      </c>
      <c r="B1174" t="str">
        <f t="shared" si="584"/>
        <v>SAÍDA</v>
      </c>
      <c r="C1174" t="str">
        <f>"JUROS"</f>
        <v>JUROS</v>
      </c>
      <c r="D1174" t="str">
        <f>""</f>
        <v/>
      </c>
      <c r="E1174" t="str">
        <f>"CXA"</f>
        <v>CXA</v>
      </c>
      <c r="F1174" t="str">
        <f>""</f>
        <v/>
      </c>
      <c r="G1174" t="str">
        <f>"TAXA BOLETO COMPENSADO"</f>
        <v>TAXA BOLETO COMPENSADO</v>
      </c>
      <c r="H1174" t="str">
        <f t="shared" si="579"/>
        <v>05/03/2025</v>
      </c>
      <c r="I1174" t="str">
        <f>("05/03/2025")</f>
        <v>05/03/2025</v>
      </c>
      <c r="J1174" t="str">
        <f t="shared" si="580"/>
        <v>05/03/2025</v>
      </c>
      <c r="K1174">
        <v>1.7</v>
      </c>
      <c r="L1174">
        <v>1.7</v>
      </c>
      <c r="M1174">
        <v>401</v>
      </c>
      <c r="N1174" t="str">
        <f>"IOF/JUROS/DESP.FINANCEIRA"</f>
        <v>IOF/JUROS/DESP.FINANCEIRA</v>
      </c>
      <c r="O1174">
        <v>1.7</v>
      </c>
      <c r="R1174" t="str">
        <f t="shared" si="585"/>
        <v>BANCO CORA (102)</v>
      </c>
      <c r="S1174">
        <v>1165</v>
      </c>
      <c r="T1174">
        <v>0</v>
      </c>
      <c r="U1174" t="s">
        <v>20</v>
      </c>
    </row>
    <row r="1175" spans="1:21">
      <c r="A1175" t="str">
        <f t="shared" si="576"/>
        <v>05/03/2025</v>
      </c>
      <c r="B1175" t="str">
        <f t="shared" si="584"/>
        <v>SAÍDA</v>
      </c>
      <c r="C1175" t="str">
        <f>"JUROS"</f>
        <v>JUROS</v>
      </c>
      <c r="D1175" t="str">
        <f>""</f>
        <v/>
      </c>
      <c r="E1175" t="str">
        <f>"CXA"</f>
        <v>CXA</v>
      </c>
      <c r="F1175" t="str">
        <f>""</f>
        <v/>
      </c>
      <c r="G1175" t="str">
        <f>"TAXA BOLETO COMPENSADO"</f>
        <v>TAXA BOLETO COMPENSADO</v>
      </c>
      <c r="H1175" t="str">
        <f t="shared" si="579"/>
        <v>05/03/2025</v>
      </c>
      <c r="I1175" t="str">
        <f>("05/03/2025")</f>
        <v>05/03/2025</v>
      </c>
      <c r="J1175" t="str">
        <f t="shared" si="580"/>
        <v>05/03/2025</v>
      </c>
      <c r="K1175">
        <v>1.7</v>
      </c>
      <c r="L1175">
        <v>1.7</v>
      </c>
      <c r="M1175">
        <v>401</v>
      </c>
      <c r="N1175" t="str">
        <f>"IOF/JUROS/DESP.FINANCEIRA"</f>
        <v>IOF/JUROS/DESP.FINANCEIRA</v>
      </c>
      <c r="O1175">
        <v>1.7</v>
      </c>
      <c r="R1175" t="str">
        <f t="shared" si="585"/>
        <v>BANCO CORA (102)</v>
      </c>
      <c r="S1175">
        <v>1166</v>
      </c>
      <c r="T1175">
        <v>0</v>
      </c>
      <c r="U1175" t="s">
        <v>20</v>
      </c>
    </row>
    <row r="1176" spans="1:21">
      <c r="A1176" t="str">
        <f t="shared" si="576"/>
        <v>05/03/2025</v>
      </c>
      <c r="B1176" t="str">
        <f t="shared" si="584"/>
        <v>SAÍDA</v>
      </c>
      <c r="C1176" t="str">
        <f>"JUROS"</f>
        <v>JUROS</v>
      </c>
      <c r="D1176" t="str">
        <f>""</f>
        <v/>
      </c>
      <c r="E1176" t="str">
        <f>"CXA"</f>
        <v>CXA</v>
      </c>
      <c r="F1176" t="str">
        <f>""</f>
        <v/>
      </c>
      <c r="G1176" t="str">
        <f>"TAXA BOLETO COMPENSADO"</f>
        <v>TAXA BOLETO COMPENSADO</v>
      </c>
      <c r="H1176" t="str">
        <f t="shared" si="579"/>
        <v>05/03/2025</v>
      </c>
      <c r="I1176" t="str">
        <f>("05/03/2025")</f>
        <v>05/03/2025</v>
      </c>
      <c r="J1176" t="str">
        <f t="shared" si="580"/>
        <v>05/03/2025</v>
      </c>
      <c r="K1176">
        <v>1.7</v>
      </c>
      <c r="L1176">
        <v>1.7</v>
      </c>
      <c r="M1176">
        <v>401</v>
      </c>
      <c r="N1176" t="str">
        <f>"IOF/JUROS/DESP.FINANCEIRA"</f>
        <v>IOF/JUROS/DESP.FINANCEIRA</v>
      </c>
      <c r="O1176">
        <v>1.7</v>
      </c>
      <c r="R1176" t="str">
        <f t="shared" si="585"/>
        <v>BANCO CORA (102)</v>
      </c>
      <c r="S1176">
        <v>1167</v>
      </c>
      <c r="T1176">
        <v>0</v>
      </c>
      <c r="U1176" t="s">
        <v>20</v>
      </c>
    </row>
    <row r="1177" spans="1:21">
      <c r="A1177" t="str">
        <f t="shared" si="576"/>
        <v>05/03/2025</v>
      </c>
      <c r="B1177" t="str">
        <f t="shared" si="584"/>
        <v>SAÍDA</v>
      </c>
      <c r="C1177" t="str">
        <f>"JUROS"</f>
        <v>JUROS</v>
      </c>
      <c r="D1177" t="str">
        <f>""</f>
        <v/>
      </c>
      <c r="E1177" t="str">
        <f>"CXA"</f>
        <v>CXA</v>
      </c>
      <c r="F1177" t="str">
        <f>""</f>
        <v/>
      </c>
      <c r="G1177" t="str">
        <f>"TAXA BOLETO COMPENSADO"</f>
        <v>TAXA BOLETO COMPENSADO</v>
      </c>
      <c r="H1177" t="str">
        <f t="shared" si="579"/>
        <v>05/03/2025</v>
      </c>
      <c r="I1177" t="str">
        <f>("05/03/2025")</f>
        <v>05/03/2025</v>
      </c>
      <c r="J1177" t="str">
        <f t="shared" si="580"/>
        <v>05/03/2025</v>
      </c>
      <c r="K1177">
        <v>1.7</v>
      </c>
      <c r="L1177">
        <v>1.7</v>
      </c>
      <c r="M1177">
        <v>401</v>
      </c>
      <c r="N1177" t="str">
        <f>"IOF/JUROS/DESP.FINANCEIRA"</f>
        <v>IOF/JUROS/DESP.FINANCEIRA</v>
      </c>
      <c r="O1177">
        <v>1.7</v>
      </c>
      <c r="R1177" t="str">
        <f t="shared" si="585"/>
        <v>BANCO CORA (102)</v>
      </c>
      <c r="S1177">
        <v>1168</v>
      </c>
      <c r="T1177">
        <v>0</v>
      </c>
      <c r="U1177" t="s">
        <v>20</v>
      </c>
    </row>
    <row r="1178" spans="1:21">
      <c r="A1178" t="str">
        <f t="shared" si="576"/>
        <v>05/03/2025</v>
      </c>
      <c r="B1178" t="str">
        <f t="shared" si="584"/>
        <v>SAÍDA</v>
      </c>
      <c r="C1178" t="str">
        <f>"JUROS"</f>
        <v>JUROS</v>
      </c>
      <c r="D1178" t="str">
        <f>""</f>
        <v/>
      </c>
      <c r="E1178" t="str">
        <f>"CXA"</f>
        <v>CXA</v>
      </c>
      <c r="F1178" t="str">
        <f>""</f>
        <v/>
      </c>
      <c r="G1178" t="str">
        <f>"TAXA BOLETO COMPENSADO"</f>
        <v>TAXA BOLETO COMPENSADO</v>
      </c>
      <c r="H1178" t="str">
        <f t="shared" si="579"/>
        <v>05/03/2025</v>
      </c>
      <c r="I1178" t="str">
        <f>("05/03/2025")</f>
        <v>05/03/2025</v>
      </c>
      <c r="J1178" t="str">
        <f t="shared" si="580"/>
        <v>05/03/2025</v>
      </c>
      <c r="K1178">
        <v>1.7</v>
      </c>
      <c r="L1178">
        <v>1.7</v>
      </c>
      <c r="M1178">
        <v>401</v>
      </c>
      <c r="N1178" t="str">
        <f>"IOF/JUROS/DESP.FINANCEIRA"</f>
        <v>IOF/JUROS/DESP.FINANCEIRA</v>
      </c>
      <c r="O1178">
        <v>1.7</v>
      </c>
      <c r="R1178" t="str">
        <f t="shared" si="585"/>
        <v>BANCO CORA (102)</v>
      </c>
      <c r="S1178">
        <v>1169</v>
      </c>
      <c r="T1178">
        <v>0</v>
      </c>
      <c r="U1178" t="s">
        <v>20</v>
      </c>
    </row>
    <row r="1179" spans="1:21">
      <c r="A1179" t="str">
        <f t="shared" ref="A1179:A1203" si="588">("06/03/2025")</f>
        <v>06/03/2025</v>
      </c>
      <c r="B1179" t="str">
        <f>"ENTRADA"</f>
        <v>ENTRADA</v>
      </c>
      <c r="C1179" t="str">
        <f t="shared" ref="C1179:C1196" si="589">"NFSE"</f>
        <v>NFSE</v>
      </c>
      <c r="D1179" t="str">
        <f>"2765"</f>
        <v>2765</v>
      </c>
      <c r="E1179" t="str">
        <f t="shared" ref="E1179:E1196" si="590">"COM"</f>
        <v>COM</v>
      </c>
      <c r="F1179" t="str">
        <f>"DROGA ELIDA (10121)"</f>
        <v>DROGA ELIDA (10121)</v>
      </c>
      <c r="G1179" t="str">
        <f>"Serv.Prest. 24/02/2025 a 02/03/2025 - RPS: 537 - NFSe: 2765"</f>
        <v>Serv.Prest. 24/02/2025 a 02/03/2025 - RPS: 537 - NFSe: 2765</v>
      </c>
      <c r="H1179" t="str">
        <f t="shared" si="579"/>
        <v>05/03/2025</v>
      </c>
      <c r="I1179" t="str">
        <f t="shared" ref="I1179:I1192" si="591">("03/03/2025")</f>
        <v>03/03/2025</v>
      </c>
      <c r="J1179" t="str">
        <f t="shared" ref="J1179:J1203" si="592">("06/03/2025")</f>
        <v>06/03/2025</v>
      </c>
      <c r="K1179">
        <v>349.2</v>
      </c>
      <c r="L1179">
        <v>349.2</v>
      </c>
      <c r="M1179">
        <v>303</v>
      </c>
      <c r="N1179" t="str">
        <f t="shared" ref="N1179:N1196" si="593">"RECEITAS COM ENTREGAS"</f>
        <v>RECEITAS COM ENTREGAS</v>
      </c>
      <c r="O1179">
        <v>349.2</v>
      </c>
      <c r="R1179" t="str">
        <f t="shared" ref="R1179:R1196" si="594">"RECEITAS COM ENTREGAS (303)"</f>
        <v>RECEITAS COM ENTREGAS (303)</v>
      </c>
      <c r="S1179">
        <v>1149</v>
      </c>
      <c r="T1179">
        <v>939</v>
      </c>
      <c r="U1179" t="s">
        <v>19</v>
      </c>
    </row>
    <row r="1180" spans="1:21">
      <c r="A1180" t="str">
        <f t="shared" si="588"/>
        <v>06/03/2025</v>
      </c>
      <c r="B1180" t="str">
        <f t="shared" ref="B1180:B1196" si="595">"ENTRADA"</f>
        <v>ENTRADA</v>
      </c>
      <c r="C1180" t="str">
        <f t="shared" si="589"/>
        <v>NFSE</v>
      </c>
      <c r="D1180" t="str">
        <f>"2765"</f>
        <v>2765</v>
      </c>
      <c r="E1180" t="str">
        <f t="shared" si="590"/>
        <v>COM</v>
      </c>
      <c r="F1180" t="str">
        <f>"DROGA ELIDA (10121)"</f>
        <v>DROGA ELIDA (10121)</v>
      </c>
      <c r="G1180" t="str">
        <f>"Serv.Prest. 24/02/2025 a 02/03/2025 - RPS: 537 - NFSe: 2765"</f>
        <v>Serv.Prest. 24/02/2025 a 02/03/2025 - RPS: 537 - NFSe: 2765</v>
      </c>
      <c r="H1180" t="str">
        <f t="shared" si="579"/>
        <v>05/03/2025</v>
      </c>
      <c r="I1180" t="str">
        <f t="shared" si="591"/>
        <v>03/03/2025</v>
      </c>
      <c r="J1180" t="str">
        <f t="shared" si="592"/>
        <v>06/03/2025</v>
      </c>
      <c r="M1180">
        <v>303</v>
      </c>
      <c r="N1180" t="str">
        <f t="shared" si="593"/>
        <v>RECEITAS COM ENTREGAS</v>
      </c>
      <c r="P1180">
        <v>349.2</v>
      </c>
      <c r="Q1180" t="str">
        <f>"DROGA ELIDA (10121)"</f>
        <v>DROGA ELIDA (10121)</v>
      </c>
      <c r="R1180" t="str">
        <f t="shared" si="594"/>
        <v>RECEITAS COM ENTREGAS (303)</v>
      </c>
      <c r="S1180">
        <v>1149</v>
      </c>
      <c r="T1180">
        <v>939</v>
      </c>
      <c r="U1180" t="s">
        <v>19</v>
      </c>
    </row>
    <row r="1181" spans="1:21">
      <c r="A1181" t="str">
        <f t="shared" si="588"/>
        <v>06/03/2025</v>
      </c>
      <c r="B1181" t="str">
        <f t="shared" si="595"/>
        <v>ENTRADA</v>
      </c>
      <c r="C1181" t="str">
        <f t="shared" si="589"/>
        <v>NFSE</v>
      </c>
      <c r="D1181" t="str">
        <f>"2771"</f>
        <v>2771</v>
      </c>
      <c r="E1181" t="str">
        <f t="shared" si="590"/>
        <v>COM</v>
      </c>
      <c r="F1181" t="str">
        <f>"DROGA MONICA (10147)"</f>
        <v>DROGA MONICA (10147)</v>
      </c>
      <c r="G1181" t="str">
        <f>"Serv.Prest. 24/02/2025 a 02/03/2025 - RPS: 543 - NFSe: 2771"</f>
        <v>Serv.Prest. 24/02/2025 a 02/03/2025 - RPS: 543 - NFSe: 2771</v>
      </c>
      <c r="H1181" t="str">
        <f t="shared" si="579"/>
        <v>05/03/2025</v>
      </c>
      <c r="I1181" t="str">
        <f t="shared" si="591"/>
        <v>03/03/2025</v>
      </c>
      <c r="J1181" t="str">
        <f t="shared" si="592"/>
        <v>06/03/2025</v>
      </c>
      <c r="K1181">
        <v>244.8</v>
      </c>
      <c r="L1181">
        <v>244.8</v>
      </c>
      <c r="M1181">
        <v>303</v>
      </c>
      <c r="N1181" t="str">
        <f t="shared" si="593"/>
        <v>RECEITAS COM ENTREGAS</v>
      </c>
      <c r="O1181">
        <v>244.8</v>
      </c>
      <c r="R1181" t="str">
        <f t="shared" si="594"/>
        <v>RECEITAS COM ENTREGAS (303)</v>
      </c>
      <c r="S1181">
        <v>1150</v>
      </c>
      <c r="T1181">
        <v>945</v>
      </c>
      <c r="U1181" t="s">
        <v>19</v>
      </c>
    </row>
    <row r="1182" spans="1:21">
      <c r="A1182" t="str">
        <f t="shared" si="588"/>
        <v>06/03/2025</v>
      </c>
      <c r="B1182" t="str">
        <f t="shared" si="595"/>
        <v>ENTRADA</v>
      </c>
      <c r="C1182" t="str">
        <f t="shared" si="589"/>
        <v>NFSE</v>
      </c>
      <c r="D1182" t="str">
        <f>"2771"</f>
        <v>2771</v>
      </c>
      <c r="E1182" t="str">
        <f t="shared" si="590"/>
        <v>COM</v>
      </c>
      <c r="F1182" t="str">
        <f>"DROGA MONICA (10147)"</f>
        <v>DROGA MONICA (10147)</v>
      </c>
      <c r="G1182" t="str">
        <f>"Serv.Prest. 24/02/2025 a 02/03/2025 - RPS: 543 - NFSe: 2771"</f>
        <v>Serv.Prest. 24/02/2025 a 02/03/2025 - RPS: 543 - NFSe: 2771</v>
      </c>
      <c r="H1182" t="str">
        <f t="shared" si="579"/>
        <v>05/03/2025</v>
      </c>
      <c r="I1182" t="str">
        <f t="shared" si="591"/>
        <v>03/03/2025</v>
      </c>
      <c r="J1182" t="str">
        <f t="shared" si="592"/>
        <v>06/03/2025</v>
      </c>
      <c r="M1182">
        <v>303</v>
      </c>
      <c r="N1182" t="str">
        <f t="shared" si="593"/>
        <v>RECEITAS COM ENTREGAS</v>
      </c>
      <c r="P1182">
        <v>244.8</v>
      </c>
      <c r="Q1182" t="str">
        <f>"DROGA MONICA (10147)"</f>
        <v>DROGA MONICA (10147)</v>
      </c>
      <c r="R1182" t="str">
        <f t="shared" si="594"/>
        <v>RECEITAS COM ENTREGAS (303)</v>
      </c>
      <c r="S1182">
        <v>1150</v>
      </c>
      <c r="T1182">
        <v>945</v>
      </c>
      <c r="U1182" t="s">
        <v>19</v>
      </c>
    </row>
    <row r="1183" spans="1:21">
      <c r="A1183" t="str">
        <f t="shared" si="588"/>
        <v>06/03/2025</v>
      </c>
      <c r="B1183" t="str">
        <f t="shared" si="595"/>
        <v>ENTRADA</v>
      </c>
      <c r="C1183" t="str">
        <f t="shared" si="589"/>
        <v>NFSE</v>
      </c>
      <c r="D1183" t="str">
        <f>"2772"</f>
        <v>2772</v>
      </c>
      <c r="E1183" t="str">
        <f t="shared" si="590"/>
        <v>COM</v>
      </c>
      <c r="F1183" t="str">
        <f>"DROGA MONICA LJ 17 (10154)"</f>
        <v>DROGA MONICA LJ 17 (10154)</v>
      </c>
      <c r="G1183" t="str">
        <f>"Serv.Prest. 24/02/2025 a 02/03/2025 - RPS: 544 - NFSe: 2772"</f>
        <v>Serv.Prest. 24/02/2025 a 02/03/2025 - RPS: 544 - NFSe: 2772</v>
      </c>
      <c r="H1183" t="str">
        <f t="shared" si="579"/>
        <v>05/03/2025</v>
      </c>
      <c r="I1183" t="str">
        <f t="shared" si="591"/>
        <v>03/03/2025</v>
      </c>
      <c r="J1183" t="str">
        <f t="shared" si="592"/>
        <v>06/03/2025</v>
      </c>
      <c r="K1183">
        <v>122.4</v>
      </c>
      <c r="L1183">
        <v>122.4</v>
      </c>
      <c r="M1183">
        <v>303</v>
      </c>
      <c r="N1183" t="str">
        <f t="shared" si="593"/>
        <v>RECEITAS COM ENTREGAS</v>
      </c>
      <c r="O1183">
        <v>122.4</v>
      </c>
      <c r="R1183" t="str">
        <f t="shared" si="594"/>
        <v>RECEITAS COM ENTREGAS (303)</v>
      </c>
      <c r="S1183">
        <v>1151</v>
      </c>
      <c r="T1183">
        <v>946</v>
      </c>
      <c r="U1183" t="s">
        <v>19</v>
      </c>
    </row>
    <row r="1184" spans="1:21">
      <c r="A1184" t="str">
        <f t="shared" si="588"/>
        <v>06/03/2025</v>
      </c>
      <c r="B1184" t="str">
        <f t="shared" si="595"/>
        <v>ENTRADA</v>
      </c>
      <c r="C1184" t="str">
        <f t="shared" si="589"/>
        <v>NFSE</v>
      </c>
      <c r="D1184" t="str">
        <f>"2772"</f>
        <v>2772</v>
      </c>
      <c r="E1184" t="str">
        <f t="shared" si="590"/>
        <v>COM</v>
      </c>
      <c r="F1184" t="str">
        <f>"DROGA MONICA LJ 17 (10154)"</f>
        <v>DROGA MONICA LJ 17 (10154)</v>
      </c>
      <c r="G1184" t="str">
        <f>"Serv.Prest. 24/02/2025 a 02/03/2025 - RPS: 544 - NFSe: 2772"</f>
        <v>Serv.Prest. 24/02/2025 a 02/03/2025 - RPS: 544 - NFSe: 2772</v>
      </c>
      <c r="H1184" t="str">
        <f t="shared" si="579"/>
        <v>05/03/2025</v>
      </c>
      <c r="I1184" t="str">
        <f t="shared" si="591"/>
        <v>03/03/2025</v>
      </c>
      <c r="J1184" t="str">
        <f t="shared" si="592"/>
        <v>06/03/2025</v>
      </c>
      <c r="M1184">
        <v>303</v>
      </c>
      <c r="N1184" t="str">
        <f t="shared" si="593"/>
        <v>RECEITAS COM ENTREGAS</v>
      </c>
      <c r="P1184">
        <v>122.4</v>
      </c>
      <c r="Q1184" t="str">
        <f>"DROGA MONICA LJ 17 (10154)"</f>
        <v>DROGA MONICA LJ 17 (10154)</v>
      </c>
      <c r="R1184" t="str">
        <f t="shared" si="594"/>
        <v>RECEITAS COM ENTREGAS (303)</v>
      </c>
      <c r="S1184">
        <v>1151</v>
      </c>
      <c r="T1184">
        <v>946</v>
      </c>
      <c r="U1184" t="s">
        <v>19</v>
      </c>
    </row>
    <row r="1185" spans="1:21">
      <c r="A1185" t="str">
        <f t="shared" si="588"/>
        <v>06/03/2025</v>
      </c>
      <c r="B1185" t="str">
        <f t="shared" si="595"/>
        <v>ENTRADA</v>
      </c>
      <c r="C1185" t="str">
        <f t="shared" si="589"/>
        <v>NFSE</v>
      </c>
      <c r="D1185" t="str">
        <f>"2773"</f>
        <v>2773</v>
      </c>
      <c r="E1185" t="str">
        <f t="shared" si="590"/>
        <v>COM</v>
      </c>
      <c r="F1185" t="str">
        <f>"DROGA MONICA LJ 22 (10158)"</f>
        <v>DROGA MONICA LJ 22 (10158)</v>
      </c>
      <c r="G1185" t="str">
        <f>"Serv.Prest. 24/02/2025 a 02/03/2025 - RPS: 545 - NFSe: 2773"</f>
        <v>Serv.Prest. 24/02/2025 a 02/03/2025 - RPS: 545 - NFSe: 2773</v>
      </c>
      <c r="H1185" t="str">
        <f t="shared" si="579"/>
        <v>05/03/2025</v>
      </c>
      <c r="I1185" t="str">
        <f t="shared" si="591"/>
        <v>03/03/2025</v>
      </c>
      <c r="J1185" t="str">
        <f t="shared" si="592"/>
        <v>06/03/2025</v>
      </c>
      <c r="K1185">
        <v>244.8</v>
      </c>
      <c r="L1185">
        <v>244.8</v>
      </c>
      <c r="M1185">
        <v>303</v>
      </c>
      <c r="N1185" t="str">
        <f t="shared" si="593"/>
        <v>RECEITAS COM ENTREGAS</v>
      </c>
      <c r="O1185">
        <v>244.8</v>
      </c>
      <c r="R1185" t="str">
        <f t="shared" si="594"/>
        <v>RECEITAS COM ENTREGAS (303)</v>
      </c>
      <c r="S1185">
        <v>1152</v>
      </c>
      <c r="T1185">
        <v>947</v>
      </c>
      <c r="U1185" t="s">
        <v>19</v>
      </c>
    </row>
    <row r="1186" spans="1:21">
      <c r="A1186" t="str">
        <f t="shared" si="588"/>
        <v>06/03/2025</v>
      </c>
      <c r="B1186" t="str">
        <f t="shared" si="595"/>
        <v>ENTRADA</v>
      </c>
      <c r="C1186" t="str">
        <f t="shared" si="589"/>
        <v>NFSE</v>
      </c>
      <c r="D1186" t="str">
        <f>"2773"</f>
        <v>2773</v>
      </c>
      <c r="E1186" t="str">
        <f t="shared" si="590"/>
        <v>COM</v>
      </c>
      <c r="F1186" t="str">
        <f>"DROGA MONICA LJ 22 (10158)"</f>
        <v>DROGA MONICA LJ 22 (10158)</v>
      </c>
      <c r="G1186" t="str">
        <f>"Serv.Prest. 24/02/2025 a 02/03/2025 - RPS: 545 - NFSe: 2773"</f>
        <v>Serv.Prest. 24/02/2025 a 02/03/2025 - RPS: 545 - NFSe: 2773</v>
      </c>
      <c r="H1186" t="str">
        <f t="shared" si="579"/>
        <v>05/03/2025</v>
      </c>
      <c r="I1186" t="str">
        <f t="shared" si="591"/>
        <v>03/03/2025</v>
      </c>
      <c r="J1186" t="str">
        <f t="shared" si="592"/>
        <v>06/03/2025</v>
      </c>
      <c r="M1186">
        <v>303</v>
      </c>
      <c r="N1186" t="str">
        <f t="shared" si="593"/>
        <v>RECEITAS COM ENTREGAS</v>
      </c>
      <c r="P1186">
        <v>244.8</v>
      </c>
      <c r="Q1186" t="str">
        <f>"DROGA MONICA LJ 22 (10158)"</f>
        <v>DROGA MONICA LJ 22 (10158)</v>
      </c>
      <c r="R1186" t="str">
        <f t="shared" si="594"/>
        <v>RECEITAS COM ENTREGAS (303)</v>
      </c>
      <c r="S1186">
        <v>1152</v>
      </c>
      <c r="T1186">
        <v>947</v>
      </c>
      <c r="U1186" t="s">
        <v>19</v>
      </c>
    </row>
    <row r="1187" spans="1:21">
      <c r="A1187" t="str">
        <f t="shared" si="588"/>
        <v>06/03/2025</v>
      </c>
      <c r="B1187" t="str">
        <f t="shared" si="595"/>
        <v>ENTRADA</v>
      </c>
      <c r="C1187" t="str">
        <f t="shared" si="589"/>
        <v>NFSE</v>
      </c>
      <c r="D1187" t="str">
        <f>"2774"</f>
        <v>2774</v>
      </c>
      <c r="E1187" t="str">
        <f t="shared" si="590"/>
        <v>COM</v>
      </c>
      <c r="F1187" t="str">
        <f>"DROGA MONICA LJ 3 (10152)"</f>
        <v>DROGA MONICA LJ 3 (10152)</v>
      </c>
      <c r="G1187" t="str">
        <f>"Serv.Prest. 24/02/2025 a 02/03/2025 - RPS: 546 - NFSe: 2774"</f>
        <v>Serv.Prest. 24/02/2025 a 02/03/2025 - RPS: 546 - NFSe: 2774</v>
      </c>
      <c r="H1187" t="str">
        <f t="shared" ref="H1187:H1192" si="596">("05/03/2025")</f>
        <v>05/03/2025</v>
      </c>
      <c r="I1187" t="str">
        <f t="shared" si="591"/>
        <v>03/03/2025</v>
      </c>
      <c r="J1187" t="str">
        <f t="shared" si="592"/>
        <v>06/03/2025</v>
      </c>
      <c r="K1187">
        <v>122.4</v>
      </c>
      <c r="L1187">
        <v>122.4</v>
      </c>
      <c r="M1187">
        <v>303</v>
      </c>
      <c r="N1187" t="str">
        <f t="shared" si="593"/>
        <v>RECEITAS COM ENTREGAS</v>
      </c>
      <c r="O1187">
        <v>122.4</v>
      </c>
      <c r="R1187" t="str">
        <f t="shared" si="594"/>
        <v>RECEITAS COM ENTREGAS (303)</v>
      </c>
      <c r="S1187">
        <v>1153</v>
      </c>
      <c r="T1187">
        <v>948</v>
      </c>
      <c r="U1187" t="s">
        <v>19</v>
      </c>
    </row>
    <row r="1188" spans="1:21">
      <c r="A1188" t="str">
        <f t="shared" si="588"/>
        <v>06/03/2025</v>
      </c>
      <c r="B1188" t="str">
        <f t="shared" si="595"/>
        <v>ENTRADA</v>
      </c>
      <c r="C1188" t="str">
        <f t="shared" si="589"/>
        <v>NFSE</v>
      </c>
      <c r="D1188" t="str">
        <f>"2774"</f>
        <v>2774</v>
      </c>
      <c r="E1188" t="str">
        <f t="shared" si="590"/>
        <v>COM</v>
      </c>
      <c r="F1188" t="str">
        <f>"DROGA MONICA LJ 3 (10152)"</f>
        <v>DROGA MONICA LJ 3 (10152)</v>
      </c>
      <c r="G1188" t="str">
        <f>"Serv.Prest. 24/02/2025 a 02/03/2025 - RPS: 546 - NFSe: 2774"</f>
        <v>Serv.Prest. 24/02/2025 a 02/03/2025 - RPS: 546 - NFSe: 2774</v>
      </c>
      <c r="H1188" t="str">
        <f t="shared" si="596"/>
        <v>05/03/2025</v>
      </c>
      <c r="I1188" t="str">
        <f t="shared" si="591"/>
        <v>03/03/2025</v>
      </c>
      <c r="J1188" t="str">
        <f t="shared" si="592"/>
        <v>06/03/2025</v>
      </c>
      <c r="M1188">
        <v>303</v>
      </c>
      <c r="N1188" t="str">
        <f t="shared" si="593"/>
        <v>RECEITAS COM ENTREGAS</v>
      </c>
      <c r="P1188">
        <v>122.4</v>
      </c>
      <c r="Q1188" t="str">
        <f>"DROGA MONICA LJ 3 (10152)"</f>
        <v>DROGA MONICA LJ 3 (10152)</v>
      </c>
      <c r="R1188" t="str">
        <f t="shared" si="594"/>
        <v>RECEITAS COM ENTREGAS (303)</v>
      </c>
      <c r="S1188">
        <v>1153</v>
      </c>
      <c r="T1188">
        <v>948</v>
      </c>
      <c r="U1188" t="s">
        <v>19</v>
      </c>
    </row>
    <row r="1189" spans="1:21">
      <c r="A1189" t="str">
        <f t="shared" si="588"/>
        <v>06/03/2025</v>
      </c>
      <c r="B1189" t="str">
        <f t="shared" si="595"/>
        <v>ENTRADA</v>
      </c>
      <c r="C1189" t="str">
        <f t="shared" si="589"/>
        <v>NFSE</v>
      </c>
      <c r="D1189" t="str">
        <f>"2775"</f>
        <v>2775</v>
      </c>
      <c r="E1189" t="str">
        <f t="shared" si="590"/>
        <v>COM</v>
      </c>
      <c r="F1189" t="str">
        <f>"DROGA MONICA LJ 6 (10157)"</f>
        <v>DROGA MONICA LJ 6 (10157)</v>
      </c>
      <c r="G1189" t="str">
        <f>"Serv.Prest. 24/02/2025 a 02/03/2025 - RPS: 547 - NFSe: 2775"</f>
        <v>Serv.Prest. 24/02/2025 a 02/03/2025 - RPS: 547 - NFSe: 2775</v>
      </c>
      <c r="H1189" t="str">
        <f t="shared" si="596"/>
        <v>05/03/2025</v>
      </c>
      <c r="I1189" t="str">
        <f t="shared" si="591"/>
        <v>03/03/2025</v>
      </c>
      <c r="J1189" t="str">
        <f t="shared" si="592"/>
        <v>06/03/2025</v>
      </c>
      <c r="K1189">
        <v>244.8</v>
      </c>
      <c r="L1189">
        <v>244.8</v>
      </c>
      <c r="M1189">
        <v>303</v>
      </c>
      <c r="N1189" t="str">
        <f t="shared" si="593"/>
        <v>RECEITAS COM ENTREGAS</v>
      </c>
      <c r="O1189">
        <v>244.8</v>
      </c>
      <c r="R1189" t="str">
        <f t="shared" si="594"/>
        <v>RECEITAS COM ENTREGAS (303)</v>
      </c>
      <c r="S1189">
        <v>1154</v>
      </c>
      <c r="T1189">
        <v>949</v>
      </c>
      <c r="U1189" t="s">
        <v>19</v>
      </c>
    </row>
    <row r="1190" spans="1:21">
      <c r="A1190" t="str">
        <f t="shared" si="588"/>
        <v>06/03/2025</v>
      </c>
      <c r="B1190" t="str">
        <f t="shared" si="595"/>
        <v>ENTRADA</v>
      </c>
      <c r="C1190" t="str">
        <f t="shared" si="589"/>
        <v>NFSE</v>
      </c>
      <c r="D1190" t="str">
        <f>"2775"</f>
        <v>2775</v>
      </c>
      <c r="E1190" t="str">
        <f t="shared" si="590"/>
        <v>COM</v>
      </c>
      <c r="F1190" t="str">
        <f>"DROGA MONICA LJ 6 (10157)"</f>
        <v>DROGA MONICA LJ 6 (10157)</v>
      </c>
      <c r="G1190" t="str">
        <f>"Serv.Prest. 24/02/2025 a 02/03/2025 - RPS: 547 - NFSe: 2775"</f>
        <v>Serv.Prest. 24/02/2025 a 02/03/2025 - RPS: 547 - NFSe: 2775</v>
      </c>
      <c r="H1190" t="str">
        <f t="shared" si="596"/>
        <v>05/03/2025</v>
      </c>
      <c r="I1190" t="str">
        <f t="shared" si="591"/>
        <v>03/03/2025</v>
      </c>
      <c r="J1190" t="str">
        <f t="shared" si="592"/>
        <v>06/03/2025</v>
      </c>
      <c r="M1190">
        <v>303</v>
      </c>
      <c r="N1190" t="str">
        <f t="shared" si="593"/>
        <v>RECEITAS COM ENTREGAS</v>
      </c>
      <c r="P1190">
        <v>244.8</v>
      </c>
      <c r="Q1190" t="str">
        <f>"DROGA MONICA LJ 6 (10157)"</f>
        <v>DROGA MONICA LJ 6 (10157)</v>
      </c>
      <c r="R1190" t="str">
        <f t="shared" si="594"/>
        <v>RECEITAS COM ENTREGAS (303)</v>
      </c>
      <c r="S1190">
        <v>1154</v>
      </c>
      <c r="T1190">
        <v>949</v>
      </c>
      <c r="U1190" t="s">
        <v>19</v>
      </c>
    </row>
    <row r="1191" spans="1:21">
      <c r="A1191" t="str">
        <f t="shared" si="588"/>
        <v>06/03/2025</v>
      </c>
      <c r="B1191" t="str">
        <f t="shared" si="595"/>
        <v>ENTRADA</v>
      </c>
      <c r="C1191" t="str">
        <f t="shared" si="589"/>
        <v>NFSE</v>
      </c>
      <c r="D1191" t="str">
        <f>"2776"</f>
        <v>2776</v>
      </c>
      <c r="E1191" t="str">
        <f t="shared" si="590"/>
        <v>COM</v>
      </c>
      <c r="F1191" t="str">
        <f>"DROGA MONICA LJ 8 (10153)"</f>
        <v>DROGA MONICA LJ 8 (10153)</v>
      </c>
      <c r="G1191" t="str">
        <f>"Serv.Prest. 24/02/2025 a 02/03/2025 - RPS: 548 - NFSe: 2776"</f>
        <v>Serv.Prest. 24/02/2025 a 02/03/2025 - RPS: 548 - NFSe: 2776</v>
      </c>
      <c r="H1191" t="str">
        <f t="shared" si="596"/>
        <v>05/03/2025</v>
      </c>
      <c r="I1191" t="str">
        <f t="shared" si="591"/>
        <v>03/03/2025</v>
      </c>
      <c r="J1191" t="str">
        <f t="shared" si="592"/>
        <v>06/03/2025</v>
      </c>
      <c r="K1191">
        <v>122.4</v>
      </c>
      <c r="L1191">
        <v>122.4</v>
      </c>
      <c r="M1191">
        <v>303</v>
      </c>
      <c r="N1191" t="str">
        <f t="shared" si="593"/>
        <v>RECEITAS COM ENTREGAS</v>
      </c>
      <c r="O1191">
        <v>122.4</v>
      </c>
      <c r="R1191" t="str">
        <f t="shared" si="594"/>
        <v>RECEITAS COM ENTREGAS (303)</v>
      </c>
      <c r="S1191">
        <v>1155</v>
      </c>
      <c r="T1191">
        <v>950</v>
      </c>
      <c r="U1191" t="s">
        <v>19</v>
      </c>
    </row>
    <row r="1192" spans="1:21">
      <c r="A1192" t="str">
        <f t="shared" si="588"/>
        <v>06/03/2025</v>
      </c>
      <c r="B1192" t="str">
        <f t="shared" si="595"/>
        <v>ENTRADA</v>
      </c>
      <c r="C1192" t="str">
        <f t="shared" si="589"/>
        <v>NFSE</v>
      </c>
      <c r="D1192" t="str">
        <f>"2776"</f>
        <v>2776</v>
      </c>
      <c r="E1192" t="str">
        <f t="shared" si="590"/>
        <v>COM</v>
      </c>
      <c r="F1192" t="str">
        <f>"DROGA MONICA LJ 8 (10153)"</f>
        <v>DROGA MONICA LJ 8 (10153)</v>
      </c>
      <c r="G1192" t="str">
        <f>"Serv.Prest. 24/02/2025 a 02/03/2025 - RPS: 548 - NFSe: 2776"</f>
        <v>Serv.Prest. 24/02/2025 a 02/03/2025 - RPS: 548 - NFSe: 2776</v>
      </c>
      <c r="H1192" t="str">
        <f t="shared" si="596"/>
        <v>05/03/2025</v>
      </c>
      <c r="I1192" t="str">
        <f t="shared" si="591"/>
        <v>03/03/2025</v>
      </c>
      <c r="J1192" t="str">
        <f t="shared" si="592"/>
        <v>06/03/2025</v>
      </c>
      <c r="M1192">
        <v>303</v>
      </c>
      <c r="N1192" t="str">
        <f t="shared" si="593"/>
        <v>RECEITAS COM ENTREGAS</v>
      </c>
      <c r="P1192">
        <v>122.4</v>
      </c>
      <c r="Q1192" t="str">
        <f>"DROGA MONICA LJ 8 (10153)"</f>
        <v>DROGA MONICA LJ 8 (10153)</v>
      </c>
      <c r="R1192" t="str">
        <f t="shared" si="594"/>
        <v>RECEITAS COM ENTREGAS (303)</v>
      </c>
      <c r="S1192">
        <v>1155</v>
      </c>
      <c r="T1192">
        <v>950</v>
      </c>
      <c r="U1192" t="s">
        <v>19</v>
      </c>
    </row>
    <row r="1193" spans="1:21">
      <c r="A1193" t="str">
        <f t="shared" si="588"/>
        <v>06/03/2025</v>
      </c>
      <c r="B1193" t="str">
        <f t="shared" si="595"/>
        <v>ENTRADA</v>
      </c>
      <c r="C1193" t="str">
        <f t="shared" si="589"/>
        <v>NFSE</v>
      </c>
      <c r="D1193" t="str">
        <f>"2733"</f>
        <v>2733</v>
      </c>
      <c r="E1193" t="str">
        <f t="shared" si="590"/>
        <v>COM</v>
      </c>
      <c r="F1193" t="str">
        <f>"PAGMENOS - LJ 608 (10135)"</f>
        <v>PAGMENOS - LJ 608 (10135)</v>
      </c>
      <c r="G1193" t="str">
        <f>"Serv.Prest. 10/02/2025 a 16/02/2025 - RPS: 506 - NFSe: 2733"</f>
        <v>Serv.Prest. 10/02/2025 a 16/02/2025 - RPS: 506 - NFSe: 2733</v>
      </c>
      <c r="H1193" t="str">
        <f>("27/02/2025")</f>
        <v>27/02/2025</v>
      </c>
      <c r="I1193" t="str">
        <f>("18/02/2025")</f>
        <v>18/02/2025</v>
      </c>
      <c r="J1193" t="str">
        <f t="shared" si="592"/>
        <v>06/03/2025</v>
      </c>
      <c r="K1193">
        <v>280.20999999999998</v>
      </c>
      <c r="L1193">
        <v>280.20999999999998</v>
      </c>
      <c r="M1193">
        <v>303</v>
      </c>
      <c r="N1193" t="str">
        <f t="shared" si="593"/>
        <v>RECEITAS COM ENTREGAS</v>
      </c>
      <c r="O1193">
        <v>280.20999999999998</v>
      </c>
      <c r="R1193" t="str">
        <f t="shared" si="594"/>
        <v>RECEITAS COM ENTREGAS (303)</v>
      </c>
      <c r="S1193">
        <v>1159</v>
      </c>
      <c r="T1193">
        <v>880</v>
      </c>
      <c r="U1193" t="s">
        <v>19</v>
      </c>
    </row>
    <row r="1194" spans="1:21">
      <c r="A1194" t="str">
        <f t="shared" si="588"/>
        <v>06/03/2025</v>
      </c>
      <c r="B1194" t="str">
        <f t="shared" si="595"/>
        <v>ENTRADA</v>
      </c>
      <c r="C1194" t="str">
        <f t="shared" si="589"/>
        <v>NFSE</v>
      </c>
      <c r="D1194" t="str">
        <f>"2733"</f>
        <v>2733</v>
      </c>
      <c r="E1194" t="str">
        <f t="shared" si="590"/>
        <v>COM</v>
      </c>
      <c r="F1194" t="str">
        <f>"PAGMENOS - LJ 608 (10135)"</f>
        <v>PAGMENOS - LJ 608 (10135)</v>
      </c>
      <c r="G1194" t="str">
        <f>"Serv.Prest. 10/02/2025 a 16/02/2025 - RPS: 506 - NFSe: 2733"</f>
        <v>Serv.Prest. 10/02/2025 a 16/02/2025 - RPS: 506 - NFSe: 2733</v>
      </c>
      <c r="H1194" t="str">
        <f>("27/02/2025")</f>
        <v>27/02/2025</v>
      </c>
      <c r="I1194" t="str">
        <f>("18/02/2025")</f>
        <v>18/02/2025</v>
      </c>
      <c r="J1194" t="str">
        <f t="shared" si="592"/>
        <v>06/03/2025</v>
      </c>
      <c r="M1194">
        <v>303</v>
      </c>
      <c r="N1194" t="str">
        <f t="shared" si="593"/>
        <v>RECEITAS COM ENTREGAS</v>
      </c>
      <c r="P1194">
        <v>280.20999999999998</v>
      </c>
      <c r="Q1194" t="str">
        <f>"PAGMENOS - LJ 608 (10135)"</f>
        <v>PAGMENOS - LJ 608 (10135)</v>
      </c>
      <c r="R1194" t="str">
        <f t="shared" si="594"/>
        <v>RECEITAS COM ENTREGAS (303)</v>
      </c>
      <c r="S1194">
        <v>1159</v>
      </c>
      <c r="T1194">
        <v>880</v>
      </c>
      <c r="U1194" t="s">
        <v>19</v>
      </c>
    </row>
    <row r="1195" spans="1:21">
      <c r="A1195" t="str">
        <f t="shared" si="588"/>
        <v>06/03/2025</v>
      </c>
      <c r="B1195" t="str">
        <f t="shared" si="595"/>
        <v>ENTRADA</v>
      </c>
      <c r="C1195" t="str">
        <f t="shared" si="589"/>
        <v>NFSE</v>
      </c>
      <c r="D1195" t="str">
        <f>"2750"</f>
        <v>2750</v>
      </c>
      <c r="E1195" t="str">
        <f t="shared" si="590"/>
        <v>COM</v>
      </c>
      <c r="F1195" t="str">
        <f>"PAGMENOS - LJ 657 (10136)"</f>
        <v>PAGMENOS - LJ 657 (10136)</v>
      </c>
      <c r="G1195" t="str">
        <f>"Serv.Prest. 17/02/2025 a 23/02/2025 - RPS: 523 - NFSe: 2750"</f>
        <v>Serv.Prest. 17/02/2025 a 23/02/2025 - RPS: 523 - NFSe: 2750</v>
      </c>
      <c r="H1195" t="str">
        <f t="shared" ref="H1195:H1209" si="597">("06/03/2025")</f>
        <v>06/03/2025</v>
      </c>
      <c r="I1195" t="str">
        <f>("24/02/2025")</f>
        <v>24/02/2025</v>
      </c>
      <c r="J1195" t="str">
        <f t="shared" si="592"/>
        <v>06/03/2025</v>
      </c>
      <c r="K1195">
        <v>596.6</v>
      </c>
      <c r="L1195">
        <v>596.6</v>
      </c>
      <c r="M1195">
        <v>303</v>
      </c>
      <c r="N1195" t="str">
        <f t="shared" si="593"/>
        <v>RECEITAS COM ENTREGAS</v>
      </c>
      <c r="O1195">
        <v>596.6</v>
      </c>
      <c r="R1195" t="str">
        <f t="shared" si="594"/>
        <v>RECEITAS COM ENTREGAS (303)</v>
      </c>
      <c r="S1195">
        <v>1160</v>
      </c>
      <c r="T1195">
        <v>925</v>
      </c>
      <c r="U1195" t="s">
        <v>19</v>
      </c>
    </row>
    <row r="1196" spans="1:21">
      <c r="A1196" t="str">
        <f t="shared" si="588"/>
        <v>06/03/2025</v>
      </c>
      <c r="B1196" t="str">
        <f t="shared" si="595"/>
        <v>ENTRADA</v>
      </c>
      <c r="C1196" t="str">
        <f t="shared" si="589"/>
        <v>NFSE</v>
      </c>
      <c r="D1196" t="str">
        <f>"2750"</f>
        <v>2750</v>
      </c>
      <c r="E1196" t="str">
        <f t="shared" si="590"/>
        <v>COM</v>
      </c>
      <c r="F1196" t="str">
        <f>"PAGMENOS - LJ 657 (10136)"</f>
        <v>PAGMENOS - LJ 657 (10136)</v>
      </c>
      <c r="G1196" t="str">
        <f>"Serv.Prest. 17/02/2025 a 23/02/2025 - RPS: 523 - NFSe: 2750"</f>
        <v>Serv.Prest. 17/02/2025 a 23/02/2025 - RPS: 523 - NFSe: 2750</v>
      </c>
      <c r="H1196" t="str">
        <f t="shared" si="597"/>
        <v>06/03/2025</v>
      </c>
      <c r="I1196" t="str">
        <f>("24/02/2025")</f>
        <v>24/02/2025</v>
      </c>
      <c r="J1196" t="str">
        <f t="shared" si="592"/>
        <v>06/03/2025</v>
      </c>
      <c r="M1196">
        <v>303</v>
      </c>
      <c r="N1196" t="str">
        <f t="shared" si="593"/>
        <v>RECEITAS COM ENTREGAS</v>
      </c>
      <c r="P1196">
        <v>596.6</v>
      </c>
      <c r="Q1196" t="str">
        <f>"PAGMENOS - LJ 657 (10136)"</f>
        <v>PAGMENOS - LJ 657 (10136)</v>
      </c>
      <c r="R1196" t="str">
        <f t="shared" si="594"/>
        <v>RECEITAS COM ENTREGAS (303)</v>
      </c>
      <c r="S1196">
        <v>1160</v>
      </c>
      <c r="T1196">
        <v>925</v>
      </c>
      <c r="U1196" t="s">
        <v>19</v>
      </c>
    </row>
    <row r="1197" spans="1:21">
      <c r="A1197" t="str">
        <f t="shared" si="588"/>
        <v>06/03/2025</v>
      </c>
      <c r="B1197" t="str">
        <f t="shared" ref="B1197:B1203" si="598">"SAÍDA"</f>
        <v>SAÍDA</v>
      </c>
      <c r="C1197" t="str">
        <f t="shared" ref="C1197:C1203" si="599">"JUROS"</f>
        <v>JUROS</v>
      </c>
      <c r="D1197" t="str">
        <f>""</f>
        <v/>
      </c>
      <c r="E1197" t="str">
        <f t="shared" ref="E1197:E1203" si="600">"CXA"</f>
        <v>CXA</v>
      </c>
      <c r="F1197" t="str">
        <f>""</f>
        <v/>
      </c>
      <c r="G1197" t="str">
        <f t="shared" ref="G1197:G1203" si="601">"TAXA BOLETO COMPENSADO"</f>
        <v>TAXA BOLETO COMPENSADO</v>
      </c>
      <c r="H1197" t="str">
        <f t="shared" si="597"/>
        <v>06/03/2025</v>
      </c>
      <c r="I1197" t="str">
        <f t="shared" ref="I1197:I1203" si="602">("06/03/2025")</f>
        <v>06/03/2025</v>
      </c>
      <c r="J1197" t="str">
        <f t="shared" si="592"/>
        <v>06/03/2025</v>
      </c>
      <c r="K1197">
        <v>1.7</v>
      </c>
      <c r="L1197">
        <v>1.7</v>
      </c>
      <c r="M1197">
        <v>401</v>
      </c>
      <c r="N1197" t="str">
        <f t="shared" ref="N1197:N1203" si="603">"IOF/JUROS/DESP.FINANCEIRA"</f>
        <v>IOF/JUROS/DESP.FINANCEIRA</v>
      </c>
      <c r="O1197">
        <v>1.7</v>
      </c>
      <c r="R1197" t="str">
        <f t="shared" ref="R1197:R1203" si="604">"BANCO CORA (102)"</f>
        <v>BANCO CORA (102)</v>
      </c>
      <c r="S1197">
        <v>1170</v>
      </c>
      <c r="T1197">
        <v>0</v>
      </c>
      <c r="U1197" t="s">
        <v>20</v>
      </c>
    </row>
    <row r="1198" spans="1:21">
      <c r="A1198" t="str">
        <f t="shared" si="588"/>
        <v>06/03/2025</v>
      </c>
      <c r="B1198" t="str">
        <f t="shared" si="598"/>
        <v>SAÍDA</v>
      </c>
      <c r="C1198" t="str">
        <f t="shared" si="599"/>
        <v>JUROS</v>
      </c>
      <c r="D1198" t="str">
        <f>""</f>
        <v/>
      </c>
      <c r="E1198" t="str">
        <f t="shared" si="600"/>
        <v>CXA</v>
      </c>
      <c r="F1198" t="str">
        <f>""</f>
        <v/>
      </c>
      <c r="G1198" t="str">
        <f t="shared" si="601"/>
        <v>TAXA BOLETO COMPENSADO</v>
      </c>
      <c r="H1198" t="str">
        <f t="shared" si="597"/>
        <v>06/03/2025</v>
      </c>
      <c r="I1198" t="str">
        <f t="shared" si="602"/>
        <v>06/03/2025</v>
      </c>
      <c r="J1198" t="str">
        <f t="shared" si="592"/>
        <v>06/03/2025</v>
      </c>
      <c r="K1198">
        <v>1.7</v>
      </c>
      <c r="L1198">
        <v>1.7</v>
      </c>
      <c r="M1198">
        <v>401</v>
      </c>
      <c r="N1198" t="str">
        <f t="shared" si="603"/>
        <v>IOF/JUROS/DESP.FINANCEIRA</v>
      </c>
      <c r="O1198">
        <v>1.7</v>
      </c>
      <c r="R1198" t="str">
        <f t="shared" si="604"/>
        <v>BANCO CORA (102)</v>
      </c>
      <c r="S1198">
        <v>1171</v>
      </c>
      <c r="T1198">
        <v>0</v>
      </c>
      <c r="U1198" t="s">
        <v>20</v>
      </c>
    </row>
    <row r="1199" spans="1:21">
      <c r="A1199" t="str">
        <f t="shared" si="588"/>
        <v>06/03/2025</v>
      </c>
      <c r="B1199" t="str">
        <f t="shared" si="598"/>
        <v>SAÍDA</v>
      </c>
      <c r="C1199" t="str">
        <f t="shared" si="599"/>
        <v>JUROS</v>
      </c>
      <c r="D1199" t="str">
        <f>""</f>
        <v/>
      </c>
      <c r="E1199" t="str">
        <f t="shared" si="600"/>
        <v>CXA</v>
      </c>
      <c r="F1199" t="str">
        <f>""</f>
        <v/>
      </c>
      <c r="G1199" t="str">
        <f t="shared" si="601"/>
        <v>TAXA BOLETO COMPENSADO</v>
      </c>
      <c r="H1199" t="str">
        <f t="shared" si="597"/>
        <v>06/03/2025</v>
      </c>
      <c r="I1199" t="str">
        <f t="shared" si="602"/>
        <v>06/03/2025</v>
      </c>
      <c r="J1199" t="str">
        <f t="shared" si="592"/>
        <v>06/03/2025</v>
      </c>
      <c r="K1199">
        <v>1.7</v>
      </c>
      <c r="L1199">
        <v>1.7</v>
      </c>
      <c r="M1199">
        <v>401</v>
      </c>
      <c r="N1199" t="str">
        <f t="shared" si="603"/>
        <v>IOF/JUROS/DESP.FINANCEIRA</v>
      </c>
      <c r="O1199">
        <v>1.7</v>
      </c>
      <c r="R1199" t="str">
        <f t="shared" si="604"/>
        <v>BANCO CORA (102)</v>
      </c>
      <c r="S1199">
        <v>1172</v>
      </c>
      <c r="T1199">
        <v>0</v>
      </c>
      <c r="U1199" t="s">
        <v>20</v>
      </c>
    </row>
    <row r="1200" spans="1:21">
      <c r="A1200" t="str">
        <f t="shared" si="588"/>
        <v>06/03/2025</v>
      </c>
      <c r="B1200" t="str">
        <f t="shared" si="598"/>
        <v>SAÍDA</v>
      </c>
      <c r="C1200" t="str">
        <f t="shared" si="599"/>
        <v>JUROS</v>
      </c>
      <c r="D1200" t="str">
        <f>""</f>
        <v/>
      </c>
      <c r="E1200" t="str">
        <f t="shared" si="600"/>
        <v>CXA</v>
      </c>
      <c r="F1200" t="str">
        <f>""</f>
        <v/>
      </c>
      <c r="G1200" t="str">
        <f t="shared" si="601"/>
        <v>TAXA BOLETO COMPENSADO</v>
      </c>
      <c r="H1200" t="str">
        <f t="shared" si="597"/>
        <v>06/03/2025</v>
      </c>
      <c r="I1200" t="str">
        <f t="shared" si="602"/>
        <v>06/03/2025</v>
      </c>
      <c r="J1200" t="str">
        <f t="shared" si="592"/>
        <v>06/03/2025</v>
      </c>
      <c r="K1200">
        <v>1.7</v>
      </c>
      <c r="L1200">
        <v>1.7</v>
      </c>
      <c r="M1200">
        <v>401</v>
      </c>
      <c r="N1200" t="str">
        <f t="shared" si="603"/>
        <v>IOF/JUROS/DESP.FINANCEIRA</v>
      </c>
      <c r="O1200">
        <v>1.7</v>
      </c>
      <c r="R1200" t="str">
        <f t="shared" si="604"/>
        <v>BANCO CORA (102)</v>
      </c>
      <c r="S1200">
        <v>1173</v>
      </c>
      <c r="T1200">
        <v>0</v>
      </c>
      <c r="U1200" t="s">
        <v>20</v>
      </c>
    </row>
    <row r="1201" spans="1:21">
      <c r="A1201" t="str">
        <f t="shared" si="588"/>
        <v>06/03/2025</v>
      </c>
      <c r="B1201" t="str">
        <f t="shared" si="598"/>
        <v>SAÍDA</v>
      </c>
      <c r="C1201" t="str">
        <f t="shared" si="599"/>
        <v>JUROS</v>
      </c>
      <c r="D1201" t="str">
        <f>""</f>
        <v/>
      </c>
      <c r="E1201" t="str">
        <f t="shared" si="600"/>
        <v>CXA</v>
      </c>
      <c r="F1201" t="str">
        <f>""</f>
        <v/>
      </c>
      <c r="G1201" t="str">
        <f t="shared" si="601"/>
        <v>TAXA BOLETO COMPENSADO</v>
      </c>
      <c r="H1201" t="str">
        <f t="shared" si="597"/>
        <v>06/03/2025</v>
      </c>
      <c r="I1201" t="str">
        <f t="shared" si="602"/>
        <v>06/03/2025</v>
      </c>
      <c r="J1201" t="str">
        <f t="shared" si="592"/>
        <v>06/03/2025</v>
      </c>
      <c r="K1201">
        <v>1.7</v>
      </c>
      <c r="L1201">
        <v>1.7</v>
      </c>
      <c r="M1201">
        <v>401</v>
      </c>
      <c r="N1201" t="str">
        <f t="shared" si="603"/>
        <v>IOF/JUROS/DESP.FINANCEIRA</v>
      </c>
      <c r="O1201">
        <v>1.7</v>
      </c>
      <c r="R1201" t="str">
        <f t="shared" si="604"/>
        <v>BANCO CORA (102)</v>
      </c>
      <c r="S1201">
        <v>1174</v>
      </c>
      <c r="T1201">
        <v>0</v>
      </c>
      <c r="U1201" t="s">
        <v>20</v>
      </c>
    </row>
    <row r="1202" spans="1:21">
      <c r="A1202" t="str">
        <f t="shared" si="588"/>
        <v>06/03/2025</v>
      </c>
      <c r="B1202" t="str">
        <f t="shared" si="598"/>
        <v>SAÍDA</v>
      </c>
      <c r="C1202" t="str">
        <f t="shared" si="599"/>
        <v>JUROS</v>
      </c>
      <c r="D1202" t="str">
        <f>""</f>
        <v/>
      </c>
      <c r="E1202" t="str">
        <f t="shared" si="600"/>
        <v>CXA</v>
      </c>
      <c r="F1202" t="str">
        <f>""</f>
        <v/>
      </c>
      <c r="G1202" t="str">
        <f t="shared" si="601"/>
        <v>TAXA BOLETO COMPENSADO</v>
      </c>
      <c r="H1202" t="str">
        <f t="shared" si="597"/>
        <v>06/03/2025</v>
      </c>
      <c r="I1202" t="str">
        <f t="shared" si="602"/>
        <v>06/03/2025</v>
      </c>
      <c r="J1202" t="str">
        <f t="shared" si="592"/>
        <v>06/03/2025</v>
      </c>
      <c r="K1202">
        <v>1.7</v>
      </c>
      <c r="L1202">
        <v>1.7</v>
      </c>
      <c r="M1202">
        <v>401</v>
      </c>
      <c r="N1202" t="str">
        <f t="shared" si="603"/>
        <v>IOF/JUROS/DESP.FINANCEIRA</v>
      </c>
      <c r="O1202">
        <v>1.7</v>
      </c>
      <c r="R1202" t="str">
        <f t="shared" si="604"/>
        <v>BANCO CORA (102)</v>
      </c>
      <c r="S1202">
        <v>1175</v>
      </c>
      <c r="T1202">
        <v>0</v>
      </c>
      <c r="U1202" t="s">
        <v>20</v>
      </c>
    </row>
    <row r="1203" spans="1:21">
      <c r="A1203" t="str">
        <f t="shared" si="588"/>
        <v>06/03/2025</v>
      </c>
      <c r="B1203" t="str">
        <f t="shared" si="598"/>
        <v>SAÍDA</v>
      </c>
      <c r="C1203" t="str">
        <f t="shared" si="599"/>
        <v>JUROS</v>
      </c>
      <c r="D1203" t="str">
        <f>""</f>
        <v/>
      </c>
      <c r="E1203" t="str">
        <f t="shared" si="600"/>
        <v>CXA</v>
      </c>
      <c r="F1203" t="str">
        <f>""</f>
        <v/>
      </c>
      <c r="G1203" t="str">
        <f t="shared" si="601"/>
        <v>TAXA BOLETO COMPENSADO</v>
      </c>
      <c r="H1203" t="str">
        <f t="shared" si="597"/>
        <v>06/03/2025</v>
      </c>
      <c r="I1203" t="str">
        <f t="shared" si="602"/>
        <v>06/03/2025</v>
      </c>
      <c r="J1203" t="str">
        <f t="shared" si="592"/>
        <v>06/03/2025</v>
      </c>
      <c r="K1203">
        <v>1.7</v>
      </c>
      <c r="L1203">
        <v>1.7</v>
      </c>
      <c r="M1203">
        <v>401</v>
      </c>
      <c r="N1203" t="str">
        <f t="shared" si="603"/>
        <v>IOF/JUROS/DESP.FINANCEIRA</v>
      </c>
      <c r="O1203">
        <v>1.7</v>
      </c>
      <c r="R1203" t="str">
        <f t="shared" si="604"/>
        <v>BANCO CORA (102)</v>
      </c>
      <c r="S1203">
        <v>1176</v>
      </c>
      <c r="T1203">
        <v>0</v>
      </c>
      <c r="U1203" t="s">
        <v>20</v>
      </c>
    </row>
    <row r="1204" spans="1:21">
      <c r="A1204" t="str">
        <f t="shared" ref="A1204:A1212" si="605">("07/03/2025")</f>
        <v>07/03/2025</v>
      </c>
      <c r="B1204" t="str">
        <f>"ENTRADA"</f>
        <v>ENTRADA</v>
      </c>
      <c r="C1204" t="str">
        <f t="shared" ref="C1204:C1209" si="606">"NFSE"</f>
        <v>NFSE</v>
      </c>
      <c r="D1204" t="str">
        <f>"2784"</f>
        <v>2784</v>
      </c>
      <c r="E1204" t="str">
        <f t="shared" ref="E1204:E1209" si="607">"COM"</f>
        <v>COM</v>
      </c>
      <c r="F1204" t="str">
        <f>"DROGARIA POUPA MINAS (DOIS AMIGOS) 5 (10140)"</f>
        <v>DROGARIA POUPA MINAS (DOIS AMIGOS) 5 (10140)</v>
      </c>
      <c r="G1204" t="str">
        <f>"Serv.Prest. 17/02/2025 a 23/02/2025 - RPS: 556 - NFSe: 2784"</f>
        <v>Serv.Prest. 17/02/2025 a 23/02/2025 - RPS: 556 - NFSe: 2784</v>
      </c>
      <c r="H1204" t="str">
        <f t="shared" si="597"/>
        <v>06/03/2025</v>
      </c>
      <c r="I1204" t="str">
        <f t="shared" ref="I1204:I1209" si="608">("04/03/2025")</f>
        <v>04/03/2025</v>
      </c>
      <c r="J1204" t="str">
        <f t="shared" ref="J1204:J1212" si="609">("07/03/2025")</f>
        <v>07/03/2025</v>
      </c>
      <c r="K1204">
        <v>691.78</v>
      </c>
      <c r="L1204">
        <v>691.78</v>
      </c>
      <c r="M1204">
        <v>303</v>
      </c>
      <c r="N1204" t="str">
        <f t="shared" ref="N1204:N1209" si="610">"RECEITAS COM ENTREGAS"</f>
        <v>RECEITAS COM ENTREGAS</v>
      </c>
      <c r="O1204">
        <v>691.78</v>
      </c>
      <c r="R1204" t="str">
        <f t="shared" ref="R1204:R1209" si="611">"RECEITAS COM ENTREGAS (303)"</f>
        <v>RECEITAS COM ENTREGAS (303)</v>
      </c>
      <c r="S1204">
        <v>1156</v>
      </c>
      <c r="T1204">
        <v>958</v>
      </c>
      <c r="U1204" t="s">
        <v>19</v>
      </c>
    </row>
    <row r="1205" spans="1:21">
      <c r="A1205" t="str">
        <f t="shared" si="605"/>
        <v>07/03/2025</v>
      </c>
      <c r="B1205" t="str">
        <f t="shared" ref="B1205:B1209" si="612">"ENTRADA"</f>
        <v>ENTRADA</v>
      </c>
      <c r="C1205" t="str">
        <f t="shared" si="606"/>
        <v>NFSE</v>
      </c>
      <c r="D1205" t="str">
        <f>"2784"</f>
        <v>2784</v>
      </c>
      <c r="E1205" t="str">
        <f t="shared" si="607"/>
        <v>COM</v>
      </c>
      <c r="F1205" t="str">
        <f>"DROGARIA POUPA MINAS (DOIS AMIGOS) 5 (10140)"</f>
        <v>DROGARIA POUPA MINAS (DOIS AMIGOS) 5 (10140)</v>
      </c>
      <c r="G1205" t="str">
        <f>"Serv.Prest. 17/02/2025 a 23/02/2025 - RPS: 556 - NFSe: 2784"</f>
        <v>Serv.Prest. 17/02/2025 a 23/02/2025 - RPS: 556 - NFSe: 2784</v>
      </c>
      <c r="H1205" t="str">
        <f t="shared" si="597"/>
        <v>06/03/2025</v>
      </c>
      <c r="I1205" t="str">
        <f t="shared" si="608"/>
        <v>04/03/2025</v>
      </c>
      <c r="J1205" t="str">
        <f t="shared" si="609"/>
        <v>07/03/2025</v>
      </c>
      <c r="M1205">
        <v>303</v>
      </c>
      <c r="N1205" t="str">
        <f t="shared" si="610"/>
        <v>RECEITAS COM ENTREGAS</v>
      </c>
      <c r="P1205">
        <v>691.78</v>
      </c>
      <c r="Q1205" t="str">
        <f>"DROGARIA POUPA MINAS (ULTRAMINAS) (10116)"</f>
        <v>DROGARIA POUPA MINAS (ULTRAMINAS) (10116)</v>
      </c>
      <c r="R1205" t="str">
        <f t="shared" si="611"/>
        <v>RECEITAS COM ENTREGAS (303)</v>
      </c>
      <c r="S1205">
        <v>1156</v>
      </c>
      <c r="T1205">
        <v>958</v>
      </c>
      <c r="U1205" t="s">
        <v>19</v>
      </c>
    </row>
    <row r="1206" spans="1:21">
      <c r="A1206" t="str">
        <f t="shared" si="605"/>
        <v>07/03/2025</v>
      </c>
      <c r="B1206" t="str">
        <f t="shared" si="612"/>
        <v>ENTRADA</v>
      </c>
      <c r="C1206" t="str">
        <f t="shared" si="606"/>
        <v>NFSE</v>
      </c>
      <c r="D1206" t="str">
        <f>"2785"</f>
        <v>2785</v>
      </c>
      <c r="E1206" t="str">
        <f t="shared" si="607"/>
        <v>COM</v>
      </c>
      <c r="F1206" t="str">
        <f>"DROGARIA POUPA MINAS (DOIS AMIGOS) 5 (10140)"</f>
        <v>DROGARIA POUPA MINAS (DOIS AMIGOS) 5 (10140)</v>
      </c>
      <c r="G1206" t="str">
        <f>"Serv.Prest. 01/02/2025 a 02/03/2025 - RPS: 557 - NFSe: 2785"</f>
        <v>Serv.Prest. 01/02/2025 a 02/03/2025 - RPS: 557 - NFSe: 2785</v>
      </c>
      <c r="H1206" t="str">
        <f t="shared" si="597"/>
        <v>06/03/2025</v>
      </c>
      <c r="I1206" t="str">
        <f t="shared" si="608"/>
        <v>04/03/2025</v>
      </c>
      <c r="J1206" t="str">
        <f t="shared" si="609"/>
        <v>07/03/2025</v>
      </c>
      <c r="K1206">
        <v>1422.79</v>
      </c>
      <c r="L1206">
        <v>1422.79</v>
      </c>
      <c r="M1206">
        <v>303</v>
      </c>
      <c r="N1206" t="str">
        <f t="shared" si="610"/>
        <v>RECEITAS COM ENTREGAS</v>
      </c>
      <c r="O1206">
        <v>1422.79</v>
      </c>
      <c r="R1206" t="str">
        <f t="shared" si="611"/>
        <v>RECEITAS COM ENTREGAS (303)</v>
      </c>
      <c r="S1206">
        <v>1157</v>
      </c>
      <c r="T1206">
        <v>959</v>
      </c>
      <c r="U1206" t="s">
        <v>19</v>
      </c>
    </row>
    <row r="1207" spans="1:21">
      <c r="A1207" t="str">
        <f t="shared" si="605"/>
        <v>07/03/2025</v>
      </c>
      <c r="B1207" t="str">
        <f t="shared" si="612"/>
        <v>ENTRADA</v>
      </c>
      <c r="C1207" t="str">
        <f t="shared" si="606"/>
        <v>NFSE</v>
      </c>
      <c r="D1207" t="str">
        <f>"2785"</f>
        <v>2785</v>
      </c>
      <c r="E1207" t="str">
        <f t="shared" si="607"/>
        <v>COM</v>
      </c>
      <c r="F1207" t="str">
        <f>"DROGARIA POUPA MINAS (DOIS AMIGOS) 5 (10140)"</f>
        <v>DROGARIA POUPA MINAS (DOIS AMIGOS) 5 (10140)</v>
      </c>
      <c r="G1207" t="str">
        <f>"Serv.Prest. 01/02/2025 a 02/03/2025 - RPS: 557 - NFSe: 2785"</f>
        <v>Serv.Prest. 01/02/2025 a 02/03/2025 - RPS: 557 - NFSe: 2785</v>
      </c>
      <c r="H1207" t="str">
        <f t="shared" si="597"/>
        <v>06/03/2025</v>
      </c>
      <c r="I1207" t="str">
        <f t="shared" si="608"/>
        <v>04/03/2025</v>
      </c>
      <c r="J1207" t="str">
        <f t="shared" si="609"/>
        <v>07/03/2025</v>
      </c>
      <c r="M1207">
        <v>303</v>
      </c>
      <c r="N1207" t="str">
        <f t="shared" si="610"/>
        <v>RECEITAS COM ENTREGAS</v>
      </c>
      <c r="P1207">
        <v>1422.79</v>
      </c>
      <c r="Q1207" t="str">
        <f>"DROGARIA POUPA MINAS (ULTRAMINAS) (10116)"</f>
        <v>DROGARIA POUPA MINAS (ULTRAMINAS) (10116)</v>
      </c>
      <c r="R1207" t="str">
        <f t="shared" si="611"/>
        <v>RECEITAS COM ENTREGAS (303)</v>
      </c>
      <c r="S1207">
        <v>1157</v>
      </c>
      <c r="T1207">
        <v>959</v>
      </c>
      <c r="U1207" t="s">
        <v>19</v>
      </c>
    </row>
    <row r="1208" spans="1:21">
      <c r="A1208" t="str">
        <f t="shared" si="605"/>
        <v>07/03/2025</v>
      </c>
      <c r="B1208" t="str">
        <f t="shared" si="612"/>
        <v>ENTRADA</v>
      </c>
      <c r="C1208" t="str">
        <f t="shared" si="606"/>
        <v>NFSE</v>
      </c>
      <c r="D1208" t="str">
        <f>"2786"</f>
        <v>2786</v>
      </c>
      <c r="E1208" t="str">
        <f t="shared" si="607"/>
        <v>COM</v>
      </c>
      <c r="F1208" t="str">
        <f>"DROGARIA POUPA MINAS (ULTRAMINAS) 3 (10129)"</f>
        <v>DROGARIA POUPA MINAS (ULTRAMINAS) 3 (10129)</v>
      </c>
      <c r="G1208" t="str">
        <f>"Serv.Prest. 01/02/2025 a 02/03/2025 - RPS: 558 - NFSe: 2786"</f>
        <v>Serv.Prest. 01/02/2025 a 02/03/2025 - RPS: 558 - NFSe: 2786</v>
      </c>
      <c r="H1208" t="str">
        <f t="shared" si="597"/>
        <v>06/03/2025</v>
      </c>
      <c r="I1208" t="str">
        <f t="shared" si="608"/>
        <v>04/03/2025</v>
      </c>
      <c r="J1208" t="str">
        <f t="shared" si="609"/>
        <v>07/03/2025</v>
      </c>
      <c r="K1208">
        <v>274.56</v>
      </c>
      <c r="L1208">
        <v>274.56</v>
      </c>
      <c r="M1208">
        <v>303</v>
      </c>
      <c r="N1208" t="str">
        <f t="shared" si="610"/>
        <v>RECEITAS COM ENTREGAS</v>
      </c>
      <c r="O1208">
        <v>274.56</v>
      </c>
      <c r="R1208" t="str">
        <f t="shared" si="611"/>
        <v>RECEITAS COM ENTREGAS (303)</v>
      </c>
      <c r="S1208">
        <v>1158</v>
      </c>
      <c r="T1208">
        <v>960</v>
      </c>
      <c r="U1208" t="s">
        <v>19</v>
      </c>
    </row>
    <row r="1209" spans="1:21">
      <c r="A1209" t="str">
        <f t="shared" si="605"/>
        <v>07/03/2025</v>
      </c>
      <c r="B1209" t="str">
        <f t="shared" si="612"/>
        <v>ENTRADA</v>
      </c>
      <c r="C1209" t="str">
        <f t="shared" si="606"/>
        <v>NFSE</v>
      </c>
      <c r="D1209" t="str">
        <f>"2786"</f>
        <v>2786</v>
      </c>
      <c r="E1209" t="str">
        <f t="shared" si="607"/>
        <v>COM</v>
      </c>
      <c r="F1209" t="str">
        <f>"DROGARIA POUPA MINAS (ULTRAMINAS) 3 (10129)"</f>
        <v>DROGARIA POUPA MINAS (ULTRAMINAS) 3 (10129)</v>
      </c>
      <c r="G1209" t="str">
        <f>"Serv.Prest. 01/02/2025 a 02/03/2025 - RPS: 558 - NFSe: 2786"</f>
        <v>Serv.Prest. 01/02/2025 a 02/03/2025 - RPS: 558 - NFSe: 2786</v>
      </c>
      <c r="H1209" t="str">
        <f t="shared" si="597"/>
        <v>06/03/2025</v>
      </c>
      <c r="I1209" t="str">
        <f t="shared" si="608"/>
        <v>04/03/2025</v>
      </c>
      <c r="J1209" t="str">
        <f t="shared" si="609"/>
        <v>07/03/2025</v>
      </c>
      <c r="M1209">
        <v>303</v>
      </c>
      <c r="N1209" t="str">
        <f t="shared" si="610"/>
        <v>RECEITAS COM ENTREGAS</v>
      </c>
      <c r="P1209">
        <v>274.56</v>
      </c>
      <c r="Q1209" t="str">
        <f>"DROGARIA POUPA MINAS (ULTRAMINAS) 3 (10129)"</f>
        <v>DROGARIA POUPA MINAS (ULTRAMINAS) 3 (10129)</v>
      </c>
      <c r="R1209" t="str">
        <f t="shared" si="611"/>
        <v>RECEITAS COM ENTREGAS (303)</v>
      </c>
      <c r="S1209">
        <v>1158</v>
      </c>
      <c r="T1209">
        <v>960</v>
      </c>
      <c r="U1209" t="s">
        <v>19</v>
      </c>
    </row>
    <row r="1210" spans="1:21">
      <c r="A1210" t="str">
        <f t="shared" si="605"/>
        <v>07/03/2025</v>
      </c>
      <c r="B1210" t="str">
        <f t="shared" ref="B1210:B1216" si="613">"SAÍDA"</f>
        <v>SAÍDA</v>
      </c>
      <c r="C1210" t="str">
        <f>"JUROS"</f>
        <v>JUROS</v>
      </c>
      <c r="D1210" t="str">
        <f>""</f>
        <v/>
      </c>
      <c r="E1210" t="str">
        <f>"CXA"</f>
        <v>CXA</v>
      </c>
      <c r="F1210" t="str">
        <f>""</f>
        <v/>
      </c>
      <c r="G1210" t="str">
        <f>"TAXA BOLETO COMPENSADO"</f>
        <v>TAXA BOLETO COMPENSADO</v>
      </c>
      <c r="H1210" t="str">
        <f t="shared" ref="H1210:I1212" si="614">("07/03/2025")</f>
        <v>07/03/2025</v>
      </c>
      <c r="I1210" t="str">
        <f t="shared" si="614"/>
        <v>07/03/2025</v>
      </c>
      <c r="J1210" t="str">
        <f t="shared" si="609"/>
        <v>07/03/2025</v>
      </c>
      <c r="K1210">
        <v>1.7</v>
      </c>
      <c r="L1210">
        <v>1.7</v>
      </c>
      <c r="M1210">
        <v>401</v>
      </c>
      <c r="N1210" t="str">
        <f>"IOF/JUROS/DESP.FINANCEIRA"</f>
        <v>IOF/JUROS/DESP.FINANCEIRA</v>
      </c>
      <c r="O1210">
        <v>1.7</v>
      </c>
      <c r="R1210" t="str">
        <f t="shared" ref="R1210:R1216" si="615">"BANCO CORA (102)"</f>
        <v>BANCO CORA (102)</v>
      </c>
      <c r="S1210">
        <v>1177</v>
      </c>
      <c r="T1210">
        <v>0</v>
      </c>
      <c r="U1210" t="s">
        <v>20</v>
      </c>
    </row>
    <row r="1211" spans="1:21">
      <c r="A1211" t="str">
        <f t="shared" si="605"/>
        <v>07/03/2025</v>
      </c>
      <c r="B1211" t="str">
        <f t="shared" si="613"/>
        <v>SAÍDA</v>
      </c>
      <c r="C1211" t="str">
        <f>"JUROS"</f>
        <v>JUROS</v>
      </c>
      <c r="D1211" t="str">
        <f>""</f>
        <v/>
      </c>
      <c r="E1211" t="str">
        <f>"CXA"</f>
        <v>CXA</v>
      </c>
      <c r="F1211" t="str">
        <f>""</f>
        <v/>
      </c>
      <c r="G1211" t="str">
        <f>"TAXA BOLETO COMPENSADO"</f>
        <v>TAXA BOLETO COMPENSADO</v>
      </c>
      <c r="H1211" t="str">
        <f t="shared" si="614"/>
        <v>07/03/2025</v>
      </c>
      <c r="I1211" t="str">
        <f t="shared" si="614"/>
        <v>07/03/2025</v>
      </c>
      <c r="J1211" t="str">
        <f t="shared" si="609"/>
        <v>07/03/2025</v>
      </c>
      <c r="K1211">
        <v>1.7</v>
      </c>
      <c r="L1211">
        <v>1.7</v>
      </c>
      <c r="M1211">
        <v>401</v>
      </c>
      <c r="N1211" t="str">
        <f>"IOF/JUROS/DESP.FINANCEIRA"</f>
        <v>IOF/JUROS/DESP.FINANCEIRA</v>
      </c>
      <c r="O1211">
        <v>1.7</v>
      </c>
      <c r="R1211" t="str">
        <f t="shared" si="615"/>
        <v>BANCO CORA (102)</v>
      </c>
      <c r="S1211">
        <v>1178</v>
      </c>
      <c r="T1211">
        <v>0</v>
      </c>
      <c r="U1211" t="s">
        <v>20</v>
      </c>
    </row>
    <row r="1212" spans="1:21">
      <c r="A1212" t="str">
        <f t="shared" si="605"/>
        <v>07/03/2025</v>
      </c>
      <c r="B1212" t="str">
        <f t="shared" si="613"/>
        <v>SAÍDA</v>
      </c>
      <c r="C1212" t="str">
        <f>"JUROS"</f>
        <v>JUROS</v>
      </c>
      <c r="D1212" t="str">
        <f>""</f>
        <v/>
      </c>
      <c r="E1212" t="str">
        <f>"CXA"</f>
        <v>CXA</v>
      </c>
      <c r="F1212" t="str">
        <f>""</f>
        <v/>
      </c>
      <c r="G1212" t="str">
        <f>"TAXA BOLETO COMPENSADO"</f>
        <v>TAXA BOLETO COMPENSADO</v>
      </c>
      <c r="H1212" t="str">
        <f t="shared" si="614"/>
        <v>07/03/2025</v>
      </c>
      <c r="I1212" t="str">
        <f t="shared" si="614"/>
        <v>07/03/2025</v>
      </c>
      <c r="J1212" t="str">
        <f t="shared" si="609"/>
        <v>07/03/2025</v>
      </c>
      <c r="K1212">
        <v>1.7</v>
      </c>
      <c r="L1212">
        <v>1.7</v>
      </c>
      <c r="M1212">
        <v>401</v>
      </c>
      <c r="N1212" t="str">
        <f>"IOF/JUROS/DESP.FINANCEIRA"</f>
        <v>IOF/JUROS/DESP.FINANCEIRA</v>
      </c>
      <c r="O1212">
        <v>1.7</v>
      </c>
      <c r="R1212" t="str">
        <f t="shared" si="615"/>
        <v>BANCO CORA (102)</v>
      </c>
      <c r="S1212">
        <v>1179</v>
      </c>
      <c r="T1212">
        <v>0</v>
      </c>
      <c r="U1212" t="s">
        <v>20</v>
      </c>
    </row>
    <row r="1213" spans="1:21">
      <c r="A1213" t="str">
        <f>("10/03/2025")</f>
        <v>10/03/2025</v>
      </c>
      <c r="B1213" t="str">
        <f t="shared" si="613"/>
        <v>SAÍDA</v>
      </c>
      <c r="C1213" t="str">
        <f>"BOLETO"</f>
        <v>BOLETO</v>
      </c>
      <c r="D1213" t="str">
        <f>"0901"</f>
        <v>0901</v>
      </c>
      <c r="E1213" t="str">
        <f t="shared" ref="E1213:E1244" si="616">"COM"</f>
        <v>COM</v>
      </c>
      <c r="F1213" t="str">
        <f>"CORA SOCIEDADE DE CREDITO, FINANCIAMENTO E INVESTIMENTO (20035)"</f>
        <v>CORA SOCIEDADE DE CREDITO, FINANCIAMENTO E INVESTIMENTO (20035)</v>
      </c>
      <c r="G1213" t="str">
        <f>"DESPESAS COM TARIFAS BANCARIAS"</f>
        <v>DESPESAS COM TARIFAS BANCARIAS</v>
      </c>
      <c r="H1213" t="str">
        <f>("09/03/2025")</f>
        <v>09/03/2025</v>
      </c>
      <c r="I1213" t="str">
        <f>("01/01/2025")</f>
        <v>01/01/2025</v>
      </c>
      <c r="J1213" t="str">
        <f>("10/03/2025")</f>
        <v>10/03/2025</v>
      </c>
      <c r="K1213">
        <v>44.9</v>
      </c>
      <c r="L1213">
        <v>44.9</v>
      </c>
      <c r="M1213">
        <v>401</v>
      </c>
      <c r="N1213" t="str">
        <f>"IOF/JUROS/DESP.FINANCEIRA"</f>
        <v>IOF/JUROS/DESP.FINANCEIRA</v>
      </c>
      <c r="O1213">
        <v>44.9</v>
      </c>
      <c r="R1213" t="str">
        <f t="shared" si="615"/>
        <v>BANCO CORA (102)</v>
      </c>
      <c r="S1213">
        <v>1180</v>
      </c>
      <c r="T1213">
        <v>745</v>
      </c>
      <c r="U1213" t="s">
        <v>19</v>
      </c>
    </row>
    <row r="1214" spans="1:21">
      <c r="A1214" t="str">
        <f>("10/03/2025")</f>
        <v>10/03/2025</v>
      </c>
      <c r="B1214" t="str">
        <f t="shared" si="613"/>
        <v>SAÍDA</v>
      </c>
      <c r="C1214" t="str">
        <f>"BOLETO"</f>
        <v>BOLETO</v>
      </c>
      <c r="D1214" t="str">
        <f>"0901"</f>
        <v>0901</v>
      </c>
      <c r="E1214" t="str">
        <f t="shared" si="616"/>
        <v>COM</v>
      </c>
      <c r="F1214" t="str">
        <f>"CORA SOCIEDADE DE CREDITO, FINANCIAMENTO E INVESTIMENTO (20035)"</f>
        <v>CORA SOCIEDADE DE CREDITO, FINANCIAMENTO E INVESTIMENTO (20035)</v>
      </c>
      <c r="G1214" t="str">
        <f>"DESPESAS COM TARIFAS BANCARIAS"</f>
        <v>DESPESAS COM TARIFAS BANCARIAS</v>
      </c>
      <c r="H1214" t="str">
        <f>("09/03/2025")</f>
        <v>09/03/2025</v>
      </c>
      <c r="I1214" t="str">
        <f>("01/01/2025")</f>
        <v>01/01/2025</v>
      </c>
      <c r="J1214" t="str">
        <f>("10/03/2025")</f>
        <v>10/03/2025</v>
      </c>
      <c r="M1214">
        <v>401</v>
      </c>
      <c r="N1214" t="str">
        <f>"IOF/JUROS/DESP.FINANCEIRA"</f>
        <v>IOF/JUROS/DESP.FINANCEIRA</v>
      </c>
      <c r="P1214">
        <v>44.9</v>
      </c>
      <c r="Q1214" t="str">
        <f>"CORA SOCIEDADE DE CREDITO, FINANCIAMENTO E INVESTIMENTO (20035)"</f>
        <v>CORA SOCIEDADE DE CREDITO, FINANCIAMENTO E INVESTIMENTO (20035)</v>
      </c>
      <c r="R1214" t="str">
        <f t="shared" si="615"/>
        <v>BANCO CORA (102)</v>
      </c>
      <c r="S1214">
        <v>1180</v>
      </c>
      <c r="T1214">
        <v>745</v>
      </c>
      <c r="U1214" t="s">
        <v>19</v>
      </c>
    </row>
    <row r="1215" spans="1:21">
      <c r="A1215" t="str">
        <f>("10/03/2025")</f>
        <v>10/03/2025</v>
      </c>
      <c r="B1215" t="str">
        <f t="shared" si="613"/>
        <v>SAÍDA</v>
      </c>
      <c r="C1215" t="str">
        <f>"BOLETO"</f>
        <v>BOLETO</v>
      </c>
      <c r="D1215" t="str">
        <f>"10614044"</f>
        <v>10614044</v>
      </c>
      <c r="E1215" t="str">
        <f t="shared" si="616"/>
        <v>COM</v>
      </c>
      <c r="F1215" t="str">
        <f>"UNIODONTO REGIONAL COOPERATIVA ODONTOLOGICA LTDA. (20024)"</f>
        <v>UNIODONTO REGIONAL COOPERATIVA ODONTOLOGICA LTDA. (20024)</v>
      </c>
      <c r="G1215" t="str">
        <f>"PLANO ODONTOLOGICO 02/2025"</f>
        <v>PLANO ODONTOLOGICO 02/2025</v>
      </c>
      <c r="H1215" t="str">
        <f>("10/03/2025")</f>
        <v>10/03/2025</v>
      </c>
      <c r="I1215" t="str">
        <f>("10/02/2025")</f>
        <v>10/02/2025</v>
      </c>
      <c r="J1215" t="str">
        <f>("10/03/2025")</f>
        <v>10/03/2025</v>
      </c>
      <c r="K1215">
        <v>1663.2</v>
      </c>
      <c r="L1215">
        <v>1663.2</v>
      </c>
      <c r="M1215">
        <v>192</v>
      </c>
      <c r="N1215" t="str">
        <f>"PLANOS E SEGUROS"</f>
        <v>PLANOS E SEGUROS</v>
      </c>
      <c r="O1215">
        <v>1663.2</v>
      </c>
      <c r="R1215" t="str">
        <f t="shared" si="615"/>
        <v>BANCO CORA (102)</v>
      </c>
      <c r="S1215">
        <v>1181</v>
      </c>
      <c r="T1215">
        <v>837</v>
      </c>
      <c r="U1215" t="s">
        <v>19</v>
      </c>
    </row>
    <row r="1216" spans="1:21">
      <c r="A1216" t="str">
        <f>("10/03/2025")</f>
        <v>10/03/2025</v>
      </c>
      <c r="B1216" t="str">
        <f t="shared" si="613"/>
        <v>SAÍDA</v>
      </c>
      <c r="C1216" t="str">
        <f>"BOLETO"</f>
        <v>BOLETO</v>
      </c>
      <c r="D1216" t="str">
        <f>"10614044"</f>
        <v>10614044</v>
      </c>
      <c r="E1216" t="str">
        <f t="shared" si="616"/>
        <v>COM</v>
      </c>
      <c r="F1216" t="str">
        <f>"UNIODONTO REGIONAL COOPERATIVA ODONTOLOGICA LTDA. (20024)"</f>
        <v>UNIODONTO REGIONAL COOPERATIVA ODONTOLOGICA LTDA. (20024)</v>
      </c>
      <c r="G1216" t="str">
        <f>"PLANO ODONTOLOGICO 02/2025"</f>
        <v>PLANO ODONTOLOGICO 02/2025</v>
      </c>
      <c r="H1216" t="str">
        <f>("10/03/2025")</f>
        <v>10/03/2025</v>
      </c>
      <c r="I1216" t="str">
        <f>("10/02/2025")</f>
        <v>10/02/2025</v>
      </c>
      <c r="J1216" t="str">
        <f>("10/03/2025")</f>
        <v>10/03/2025</v>
      </c>
      <c r="M1216">
        <v>192</v>
      </c>
      <c r="N1216" t="str">
        <f>"PLANOS E SEGUROS"</f>
        <v>PLANOS E SEGUROS</v>
      </c>
      <c r="P1216">
        <v>1663.2</v>
      </c>
      <c r="Q1216" t="str">
        <f>"UNIODONTO REGIONAL COOPERATIVA ODONTOLOGICA LTDA. (20024)"</f>
        <v>UNIODONTO REGIONAL COOPERATIVA ODONTOLOGICA LTDA. (20024)</v>
      </c>
      <c r="R1216" t="str">
        <f t="shared" si="615"/>
        <v>BANCO CORA (102)</v>
      </c>
      <c r="S1216">
        <v>1181</v>
      </c>
      <c r="T1216">
        <v>837</v>
      </c>
      <c r="U1216" t="s">
        <v>19</v>
      </c>
    </row>
    <row r="1217" spans="1:21">
      <c r="A1217" t="str">
        <f t="shared" ref="A1217:A1248" si="617">("12/03/2025")</f>
        <v>12/03/2025</v>
      </c>
      <c r="B1217" t="str">
        <f>"ENTRADA"</f>
        <v>ENTRADA</v>
      </c>
      <c r="C1217" t="str">
        <f t="shared" ref="C1217:C1248" si="618">"NFSE"</f>
        <v>NFSE</v>
      </c>
      <c r="D1217" t="str">
        <f t="shared" ref="D1217:D1222" si="619">"2779"</f>
        <v>2779</v>
      </c>
      <c r="E1217" t="str">
        <f t="shared" si="616"/>
        <v>COM</v>
      </c>
      <c r="F1217" t="str">
        <f t="shared" ref="F1217:F1222" si="620">"FARMÁCIA INDIANA LJ 85 (10128)"</f>
        <v>FARMÁCIA INDIANA LJ 85 (10128)</v>
      </c>
      <c r="G1217" t="str">
        <f t="shared" ref="G1217:G1222" si="621">"Serv.Prest. 24/02/2025 a 02/03/2025 - RPS: 551 - NFSe: 2779"</f>
        <v>Serv.Prest. 24/02/2025 a 02/03/2025 - RPS: 551 - NFSe: 2779</v>
      </c>
      <c r="H1217" t="str">
        <f t="shared" ref="H1217:H1248" si="622">("12/03/2025")</f>
        <v>12/03/2025</v>
      </c>
      <c r="I1217" t="str">
        <f t="shared" ref="I1217:I1234" si="623">("03/03/2025")</f>
        <v>03/03/2025</v>
      </c>
      <c r="J1217" t="str">
        <f t="shared" ref="J1217:J1248" si="624">("12/03/2025")</f>
        <v>12/03/2025</v>
      </c>
      <c r="K1217">
        <v>825.08</v>
      </c>
      <c r="L1217">
        <v>825.08</v>
      </c>
      <c r="M1217">
        <v>303</v>
      </c>
      <c r="N1217" t="str">
        <f t="shared" ref="N1217:N1248" si="625">"RECEITAS COM ENTREGAS"</f>
        <v>RECEITAS COM ENTREGAS</v>
      </c>
      <c r="O1217">
        <v>825.08</v>
      </c>
      <c r="R1217" t="str">
        <f t="shared" ref="R1217:R1248" si="626">"RECEITAS COM ENTREGAS (303)"</f>
        <v>RECEITAS COM ENTREGAS (303)</v>
      </c>
      <c r="S1217">
        <v>1182</v>
      </c>
      <c r="T1217">
        <v>953</v>
      </c>
      <c r="U1217" t="s">
        <v>19</v>
      </c>
    </row>
    <row r="1218" spans="1:21">
      <c r="A1218" t="str">
        <f t="shared" si="617"/>
        <v>12/03/2025</v>
      </c>
      <c r="B1218" t="str">
        <f t="shared" ref="B1218:B1281" si="627">"ENTRADA"</f>
        <v>ENTRADA</v>
      </c>
      <c r="C1218" t="str">
        <f t="shared" si="618"/>
        <v>NFSE</v>
      </c>
      <c r="D1218" t="str">
        <f t="shared" si="619"/>
        <v>2779</v>
      </c>
      <c r="E1218" t="str">
        <f t="shared" si="616"/>
        <v>COM</v>
      </c>
      <c r="F1218" t="str">
        <f t="shared" si="620"/>
        <v>FARMÁCIA INDIANA LJ 85 (10128)</v>
      </c>
      <c r="G1218" t="str">
        <f t="shared" si="621"/>
        <v>Serv.Prest. 24/02/2025 a 02/03/2025 - RPS: 551 - NFSe: 2779</v>
      </c>
      <c r="H1218" t="str">
        <f t="shared" si="622"/>
        <v>12/03/2025</v>
      </c>
      <c r="I1218" t="str">
        <f t="shared" si="623"/>
        <v>03/03/2025</v>
      </c>
      <c r="J1218" t="str">
        <f t="shared" si="624"/>
        <v>12/03/2025</v>
      </c>
      <c r="M1218">
        <v>303</v>
      </c>
      <c r="N1218" t="str">
        <f t="shared" si="625"/>
        <v>RECEITAS COM ENTREGAS</v>
      </c>
      <c r="P1218">
        <v>171.62</v>
      </c>
      <c r="Q1218" t="str">
        <f>"FARMÁCIA INDIANA LJ 119 (10053)"</f>
        <v>FARMÁCIA INDIANA LJ 119 (10053)</v>
      </c>
      <c r="R1218" t="str">
        <f t="shared" si="626"/>
        <v>RECEITAS COM ENTREGAS (303)</v>
      </c>
      <c r="S1218">
        <v>1182</v>
      </c>
      <c r="T1218">
        <v>953</v>
      </c>
      <c r="U1218" t="s">
        <v>19</v>
      </c>
    </row>
    <row r="1219" spans="1:21">
      <c r="A1219" t="str">
        <f t="shared" si="617"/>
        <v>12/03/2025</v>
      </c>
      <c r="B1219" t="str">
        <f t="shared" si="627"/>
        <v>ENTRADA</v>
      </c>
      <c r="C1219" t="str">
        <f t="shared" si="618"/>
        <v>NFSE</v>
      </c>
      <c r="D1219" t="str">
        <f t="shared" si="619"/>
        <v>2779</v>
      </c>
      <c r="E1219" t="str">
        <f t="shared" si="616"/>
        <v>COM</v>
      </c>
      <c r="F1219" t="str">
        <f t="shared" si="620"/>
        <v>FARMÁCIA INDIANA LJ 85 (10128)</v>
      </c>
      <c r="G1219" t="str">
        <f t="shared" si="621"/>
        <v>Serv.Prest. 24/02/2025 a 02/03/2025 - RPS: 551 - NFSe: 2779</v>
      </c>
      <c r="H1219" t="str">
        <f t="shared" si="622"/>
        <v>12/03/2025</v>
      </c>
      <c r="I1219" t="str">
        <f t="shared" si="623"/>
        <v>03/03/2025</v>
      </c>
      <c r="J1219" t="str">
        <f t="shared" si="624"/>
        <v>12/03/2025</v>
      </c>
      <c r="M1219">
        <v>303</v>
      </c>
      <c r="N1219" t="str">
        <f t="shared" si="625"/>
        <v>RECEITAS COM ENTREGAS</v>
      </c>
      <c r="P1219">
        <v>151.97999999999999</v>
      </c>
      <c r="Q1219" t="str">
        <f>"FARMÁCIA INDIANA LJ 163 (10072)"</f>
        <v>FARMÁCIA INDIANA LJ 163 (10072)</v>
      </c>
      <c r="R1219" t="str">
        <f t="shared" si="626"/>
        <v>RECEITAS COM ENTREGAS (303)</v>
      </c>
      <c r="S1219">
        <v>1182</v>
      </c>
      <c r="T1219">
        <v>953</v>
      </c>
      <c r="U1219" t="s">
        <v>19</v>
      </c>
    </row>
    <row r="1220" spans="1:21">
      <c r="A1220" t="str">
        <f t="shared" si="617"/>
        <v>12/03/2025</v>
      </c>
      <c r="B1220" t="str">
        <f t="shared" si="627"/>
        <v>ENTRADA</v>
      </c>
      <c r="C1220" t="str">
        <f t="shared" si="618"/>
        <v>NFSE</v>
      </c>
      <c r="D1220" t="str">
        <f t="shared" si="619"/>
        <v>2779</v>
      </c>
      <c r="E1220" t="str">
        <f t="shared" si="616"/>
        <v>COM</v>
      </c>
      <c r="F1220" t="str">
        <f t="shared" si="620"/>
        <v>FARMÁCIA INDIANA LJ 85 (10128)</v>
      </c>
      <c r="G1220" t="str">
        <f t="shared" si="621"/>
        <v>Serv.Prest. 24/02/2025 a 02/03/2025 - RPS: 551 - NFSe: 2779</v>
      </c>
      <c r="H1220" t="str">
        <f t="shared" si="622"/>
        <v>12/03/2025</v>
      </c>
      <c r="I1220" t="str">
        <f t="shared" si="623"/>
        <v>03/03/2025</v>
      </c>
      <c r="J1220" t="str">
        <f t="shared" si="624"/>
        <v>12/03/2025</v>
      </c>
      <c r="M1220">
        <v>303</v>
      </c>
      <c r="N1220" t="str">
        <f t="shared" si="625"/>
        <v>RECEITAS COM ENTREGAS</v>
      </c>
      <c r="P1220">
        <v>146.86000000000001</v>
      </c>
      <c r="Q1220" t="str">
        <f>"FARMÁCIA INDIANA LJ 181 (10078)"</f>
        <v>FARMÁCIA INDIANA LJ 181 (10078)</v>
      </c>
      <c r="R1220" t="str">
        <f t="shared" si="626"/>
        <v>RECEITAS COM ENTREGAS (303)</v>
      </c>
      <c r="S1220">
        <v>1182</v>
      </c>
      <c r="T1220">
        <v>953</v>
      </c>
      <c r="U1220" t="s">
        <v>19</v>
      </c>
    </row>
    <row r="1221" spans="1:21">
      <c r="A1221" t="str">
        <f t="shared" si="617"/>
        <v>12/03/2025</v>
      </c>
      <c r="B1221" t="str">
        <f t="shared" si="627"/>
        <v>ENTRADA</v>
      </c>
      <c r="C1221" t="str">
        <f t="shared" si="618"/>
        <v>NFSE</v>
      </c>
      <c r="D1221" t="str">
        <f t="shared" si="619"/>
        <v>2779</v>
      </c>
      <c r="E1221" t="str">
        <f t="shared" si="616"/>
        <v>COM</v>
      </c>
      <c r="F1221" t="str">
        <f t="shared" si="620"/>
        <v>FARMÁCIA INDIANA LJ 85 (10128)</v>
      </c>
      <c r="G1221" t="str">
        <f t="shared" si="621"/>
        <v>Serv.Prest. 24/02/2025 a 02/03/2025 - RPS: 551 - NFSe: 2779</v>
      </c>
      <c r="H1221" t="str">
        <f t="shared" si="622"/>
        <v>12/03/2025</v>
      </c>
      <c r="I1221" t="str">
        <f t="shared" si="623"/>
        <v>03/03/2025</v>
      </c>
      <c r="J1221" t="str">
        <f t="shared" si="624"/>
        <v>12/03/2025</v>
      </c>
      <c r="M1221">
        <v>303</v>
      </c>
      <c r="N1221" t="str">
        <f t="shared" si="625"/>
        <v>RECEITAS COM ENTREGAS</v>
      </c>
      <c r="P1221">
        <v>172.44</v>
      </c>
      <c r="Q1221" t="str">
        <f>"FARMÁCIA INDIANA LJ 221 (10093)"</f>
        <v>FARMÁCIA INDIANA LJ 221 (10093)</v>
      </c>
      <c r="R1221" t="str">
        <f t="shared" si="626"/>
        <v>RECEITAS COM ENTREGAS (303)</v>
      </c>
      <c r="S1221">
        <v>1182</v>
      </c>
      <c r="T1221">
        <v>953</v>
      </c>
      <c r="U1221" t="s">
        <v>19</v>
      </c>
    </row>
    <row r="1222" spans="1:21">
      <c r="A1222" t="str">
        <f t="shared" si="617"/>
        <v>12/03/2025</v>
      </c>
      <c r="B1222" t="str">
        <f t="shared" si="627"/>
        <v>ENTRADA</v>
      </c>
      <c r="C1222" t="str">
        <f t="shared" si="618"/>
        <v>NFSE</v>
      </c>
      <c r="D1222" t="str">
        <f t="shared" si="619"/>
        <v>2779</v>
      </c>
      <c r="E1222" t="str">
        <f t="shared" si="616"/>
        <v>COM</v>
      </c>
      <c r="F1222" t="str">
        <f t="shared" si="620"/>
        <v>FARMÁCIA INDIANA LJ 85 (10128)</v>
      </c>
      <c r="G1222" t="str">
        <f t="shared" si="621"/>
        <v>Serv.Prest. 24/02/2025 a 02/03/2025 - RPS: 551 - NFSe: 2779</v>
      </c>
      <c r="H1222" t="str">
        <f t="shared" si="622"/>
        <v>12/03/2025</v>
      </c>
      <c r="I1222" t="str">
        <f t="shared" si="623"/>
        <v>03/03/2025</v>
      </c>
      <c r="J1222" t="str">
        <f t="shared" si="624"/>
        <v>12/03/2025</v>
      </c>
      <c r="M1222">
        <v>303</v>
      </c>
      <c r="N1222" t="str">
        <f t="shared" si="625"/>
        <v>RECEITAS COM ENTREGAS</v>
      </c>
      <c r="P1222">
        <v>182.18</v>
      </c>
      <c r="Q1222" t="str">
        <f>"FARMÁCIA INDIANA LJ 243 (10142)"</f>
        <v>FARMÁCIA INDIANA LJ 243 (10142)</v>
      </c>
      <c r="R1222" t="str">
        <f t="shared" si="626"/>
        <v>RECEITAS COM ENTREGAS (303)</v>
      </c>
      <c r="S1222">
        <v>1182</v>
      </c>
      <c r="T1222">
        <v>953</v>
      </c>
      <c r="U1222" t="s">
        <v>19</v>
      </c>
    </row>
    <row r="1223" spans="1:21">
      <c r="A1223" t="str">
        <f t="shared" si="617"/>
        <v>12/03/2025</v>
      </c>
      <c r="B1223" t="str">
        <f t="shared" si="627"/>
        <v>ENTRADA</v>
      </c>
      <c r="C1223" t="str">
        <f t="shared" si="618"/>
        <v>NFSE</v>
      </c>
      <c r="D1223" t="str">
        <f t="shared" ref="D1223:D1234" si="628">"2780"</f>
        <v>2780</v>
      </c>
      <c r="E1223" t="str">
        <f t="shared" si="616"/>
        <v>COM</v>
      </c>
      <c r="F1223" t="str">
        <f t="shared" ref="F1223:F1234" si="629">"FARMÁCIA INDIANA LJ 30 (10127)"</f>
        <v>FARMÁCIA INDIANA LJ 30 (10127)</v>
      </c>
      <c r="G1223" t="str">
        <f t="shared" ref="G1223:G1234" si="630">"Serv.Prest. 24/02/2025 a 02/03/2025 - RPS: 552 - NFSe: 2780"</f>
        <v>Serv.Prest. 24/02/2025 a 02/03/2025 - RPS: 552 - NFSe: 2780</v>
      </c>
      <c r="H1223" t="str">
        <f t="shared" si="622"/>
        <v>12/03/2025</v>
      </c>
      <c r="I1223" t="str">
        <f t="shared" si="623"/>
        <v>03/03/2025</v>
      </c>
      <c r="J1223" t="str">
        <f t="shared" si="624"/>
        <v>12/03/2025</v>
      </c>
      <c r="K1223">
        <v>2669.92</v>
      </c>
      <c r="L1223">
        <v>2669.92</v>
      </c>
      <c r="M1223">
        <v>303</v>
      </c>
      <c r="N1223" t="str">
        <f t="shared" si="625"/>
        <v>RECEITAS COM ENTREGAS</v>
      </c>
      <c r="O1223">
        <v>2669.92</v>
      </c>
      <c r="R1223" t="str">
        <f t="shared" si="626"/>
        <v>RECEITAS COM ENTREGAS (303)</v>
      </c>
      <c r="S1223">
        <v>1183</v>
      </c>
      <c r="T1223">
        <v>954</v>
      </c>
      <c r="U1223" t="s">
        <v>19</v>
      </c>
    </row>
    <row r="1224" spans="1:21">
      <c r="A1224" t="str">
        <f t="shared" si="617"/>
        <v>12/03/2025</v>
      </c>
      <c r="B1224" t="str">
        <f t="shared" si="627"/>
        <v>ENTRADA</v>
      </c>
      <c r="C1224" t="str">
        <f t="shared" si="618"/>
        <v>NFSE</v>
      </c>
      <c r="D1224" t="str">
        <f t="shared" si="628"/>
        <v>2780</v>
      </c>
      <c r="E1224" t="str">
        <f t="shared" si="616"/>
        <v>COM</v>
      </c>
      <c r="F1224" t="str">
        <f t="shared" si="629"/>
        <v>FARMÁCIA INDIANA LJ 30 (10127)</v>
      </c>
      <c r="G1224" t="str">
        <f t="shared" si="630"/>
        <v>Serv.Prest. 24/02/2025 a 02/03/2025 - RPS: 552 - NFSe: 2780</v>
      </c>
      <c r="H1224" t="str">
        <f t="shared" si="622"/>
        <v>12/03/2025</v>
      </c>
      <c r="I1224" t="str">
        <f t="shared" si="623"/>
        <v>03/03/2025</v>
      </c>
      <c r="J1224" t="str">
        <f t="shared" si="624"/>
        <v>12/03/2025</v>
      </c>
      <c r="M1224">
        <v>303</v>
      </c>
      <c r="N1224" t="str">
        <f t="shared" si="625"/>
        <v>RECEITAS COM ENTREGAS</v>
      </c>
      <c r="P1224">
        <v>278.49</v>
      </c>
      <c r="Q1224" t="str">
        <f>"FARMÁCIA INDIANA LJ 34 (10014)"</f>
        <v>FARMÁCIA INDIANA LJ 34 (10014)</v>
      </c>
      <c r="R1224" t="str">
        <f t="shared" si="626"/>
        <v>RECEITAS COM ENTREGAS (303)</v>
      </c>
      <c r="S1224">
        <v>1183</v>
      </c>
      <c r="T1224">
        <v>954</v>
      </c>
      <c r="U1224" t="s">
        <v>19</v>
      </c>
    </row>
    <row r="1225" spans="1:21">
      <c r="A1225" t="str">
        <f t="shared" si="617"/>
        <v>12/03/2025</v>
      </c>
      <c r="B1225" t="str">
        <f t="shared" si="627"/>
        <v>ENTRADA</v>
      </c>
      <c r="C1225" t="str">
        <f t="shared" si="618"/>
        <v>NFSE</v>
      </c>
      <c r="D1225" t="str">
        <f t="shared" si="628"/>
        <v>2780</v>
      </c>
      <c r="E1225" t="str">
        <f t="shared" si="616"/>
        <v>COM</v>
      </c>
      <c r="F1225" t="str">
        <f t="shared" si="629"/>
        <v>FARMÁCIA INDIANA LJ 30 (10127)</v>
      </c>
      <c r="G1225" t="str">
        <f t="shared" si="630"/>
        <v>Serv.Prest. 24/02/2025 a 02/03/2025 - RPS: 552 - NFSe: 2780</v>
      </c>
      <c r="H1225" t="str">
        <f t="shared" si="622"/>
        <v>12/03/2025</v>
      </c>
      <c r="I1225" t="str">
        <f t="shared" si="623"/>
        <v>03/03/2025</v>
      </c>
      <c r="J1225" t="str">
        <f t="shared" si="624"/>
        <v>12/03/2025</v>
      </c>
      <c r="M1225">
        <v>303</v>
      </c>
      <c r="N1225" t="str">
        <f t="shared" si="625"/>
        <v>RECEITAS COM ENTREGAS</v>
      </c>
      <c r="P1225">
        <v>236.02</v>
      </c>
      <c r="Q1225" t="str">
        <f>"FARMÁCIA INDIANA LJ 35 (10015)"</f>
        <v>FARMÁCIA INDIANA LJ 35 (10015)</v>
      </c>
      <c r="R1225" t="str">
        <f t="shared" si="626"/>
        <v>RECEITAS COM ENTREGAS (303)</v>
      </c>
      <c r="S1225">
        <v>1183</v>
      </c>
      <c r="T1225">
        <v>954</v>
      </c>
      <c r="U1225" t="s">
        <v>19</v>
      </c>
    </row>
    <row r="1226" spans="1:21">
      <c r="A1226" t="str">
        <f t="shared" si="617"/>
        <v>12/03/2025</v>
      </c>
      <c r="B1226" t="str">
        <f t="shared" si="627"/>
        <v>ENTRADA</v>
      </c>
      <c r="C1226" t="str">
        <f t="shared" si="618"/>
        <v>NFSE</v>
      </c>
      <c r="D1226" t="str">
        <f t="shared" si="628"/>
        <v>2780</v>
      </c>
      <c r="E1226" t="str">
        <f t="shared" si="616"/>
        <v>COM</v>
      </c>
      <c r="F1226" t="str">
        <f t="shared" si="629"/>
        <v>FARMÁCIA INDIANA LJ 30 (10127)</v>
      </c>
      <c r="G1226" t="str">
        <f t="shared" si="630"/>
        <v>Serv.Prest. 24/02/2025 a 02/03/2025 - RPS: 552 - NFSe: 2780</v>
      </c>
      <c r="H1226" t="str">
        <f t="shared" si="622"/>
        <v>12/03/2025</v>
      </c>
      <c r="I1226" t="str">
        <f t="shared" si="623"/>
        <v>03/03/2025</v>
      </c>
      <c r="J1226" t="str">
        <f t="shared" si="624"/>
        <v>12/03/2025</v>
      </c>
      <c r="M1226">
        <v>303</v>
      </c>
      <c r="N1226" t="str">
        <f t="shared" si="625"/>
        <v>RECEITAS COM ENTREGAS</v>
      </c>
      <c r="P1226">
        <v>241.63</v>
      </c>
      <c r="Q1226" t="str">
        <f>"FARMÁCIA INDIANA LJ 48 (10018)"</f>
        <v>FARMÁCIA INDIANA LJ 48 (10018)</v>
      </c>
      <c r="R1226" t="str">
        <f t="shared" si="626"/>
        <v>RECEITAS COM ENTREGAS (303)</v>
      </c>
      <c r="S1226">
        <v>1183</v>
      </c>
      <c r="T1226">
        <v>954</v>
      </c>
      <c r="U1226" t="s">
        <v>19</v>
      </c>
    </row>
    <row r="1227" spans="1:21">
      <c r="A1227" t="str">
        <f t="shared" si="617"/>
        <v>12/03/2025</v>
      </c>
      <c r="B1227" t="str">
        <f t="shared" si="627"/>
        <v>ENTRADA</v>
      </c>
      <c r="C1227" t="str">
        <f t="shared" si="618"/>
        <v>NFSE</v>
      </c>
      <c r="D1227" t="str">
        <f t="shared" si="628"/>
        <v>2780</v>
      </c>
      <c r="E1227" t="str">
        <f t="shared" si="616"/>
        <v>COM</v>
      </c>
      <c r="F1227" t="str">
        <f t="shared" si="629"/>
        <v>FARMÁCIA INDIANA LJ 30 (10127)</v>
      </c>
      <c r="G1227" t="str">
        <f t="shared" si="630"/>
        <v>Serv.Prest. 24/02/2025 a 02/03/2025 - RPS: 552 - NFSe: 2780</v>
      </c>
      <c r="H1227" t="str">
        <f t="shared" si="622"/>
        <v>12/03/2025</v>
      </c>
      <c r="I1227" t="str">
        <f t="shared" si="623"/>
        <v>03/03/2025</v>
      </c>
      <c r="J1227" t="str">
        <f t="shared" si="624"/>
        <v>12/03/2025</v>
      </c>
      <c r="M1227">
        <v>303</v>
      </c>
      <c r="N1227" t="str">
        <f t="shared" si="625"/>
        <v>RECEITAS COM ENTREGAS</v>
      </c>
      <c r="P1227">
        <v>418.64</v>
      </c>
      <c r="Q1227" t="str">
        <f>"FARMÁCIA INDIANA LJ 65 (10030)"</f>
        <v>FARMÁCIA INDIANA LJ 65 (10030)</v>
      </c>
      <c r="R1227" t="str">
        <f t="shared" si="626"/>
        <v>RECEITAS COM ENTREGAS (303)</v>
      </c>
      <c r="S1227">
        <v>1183</v>
      </c>
      <c r="T1227">
        <v>954</v>
      </c>
      <c r="U1227" t="s">
        <v>19</v>
      </c>
    </row>
    <row r="1228" spans="1:21">
      <c r="A1228" t="str">
        <f t="shared" si="617"/>
        <v>12/03/2025</v>
      </c>
      <c r="B1228" t="str">
        <f t="shared" si="627"/>
        <v>ENTRADA</v>
      </c>
      <c r="C1228" t="str">
        <f t="shared" si="618"/>
        <v>NFSE</v>
      </c>
      <c r="D1228" t="str">
        <f t="shared" si="628"/>
        <v>2780</v>
      </c>
      <c r="E1228" t="str">
        <f t="shared" si="616"/>
        <v>COM</v>
      </c>
      <c r="F1228" t="str">
        <f t="shared" si="629"/>
        <v>FARMÁCIA INDIANA LJ 30 (10127)</v>
      </c>
      <c r="G1228" t="str">
        <f t="shared" si="630"/>
        <v>Serv.Prest. 24/02/2025 a 02/03/2025 - RPS: 552 - NFSe: 2780</v>
      </c>
      <c r="H1228" t="str">
        <f t="shared" si="622"/>
        <v>12/03/2025</v>
      </c>
      <c r="I1228" t="str">
        <f t="shared" si="623"/>
        <v>03/03/2025</v>
      </c>
      <c r="J1228" t="str">
        <f t="shared" si="624"/>
        <v>12/03/2025</v>
      </c>
      <c r="M1228">
        <v>303</v>
      </c>
      <c r="N1228" t="str">
        <f t="shared" si="625"/>
        <v>RECEITAS COM ENTREGAS</v>
      </c>
      <c r="P1228">
        <v>137.22999999999999</v>
      </c>
      <c r="Q1228" t="str">
        <f>"FARMÁCIA INDIANA LJ 77 (10034)"</f>
        <v>FARMÁCIA INDIANA LJ 77 (10034)</v>
      </c>
      <c r="R1228" t="str">
        <f t="shared" si="626"/>
        <v>RECEITAS COM ENTREGAS (303)</v>
      </c>
      <c r="S1228">
        <v>1183</v>
      </c>
      <c r="T1228">
        <v>954</v>
      </c>
      <c r="U1228" t="s">
        <v>19</v>
      </c>
    </row>
    <row r="1229" spans="1:21">
      <c r="A1229" t="str">
        <f t="shared" si="617"/>
        <v>12/03/2025</v>
      </c>
      <c r="B1229" t="str">
        <f t="shared" si="627"/>
        <v>ENTRADA</v>
      </c>
      <c r="C1229" t="str">
        <f t="shared" si="618"/>
        <v>NFSE</v>
      </c>
      <c r="D1229" t="str">
        <f t="shared" si="628"/>
        <v>2780</v>
      </c>
      <c r="E1229" t="str">
        <f t="shared" si="616"/>
        <v>COM</v>
      </c>
      <c r="F1229" t="str">
        <f t="shared" si="629"/>
        <v>FARMÁCIA INDIANA LJ 30 (10127)</v>
      </c>
      <c r="G1229" t="str">
        <f t="shared" si="630"/>
        <v>Serv.Prest. 24/02/2025 a 02/03/2025 - RPS: 552 - NFSe: 2780</v>
      </c>
      <c r="H1229" t="str">
        <f t="shared" si="622"/>
        <v>12/03/2025</v>
      </c>
      <c r="I1229" t="str">
        <f t="shared" si="623"/>
        <v>03/03/2025</v>
      </c>
      <c r="J1229" t="str">
        <f t="shared" si="624"/>
        <v>12/03/2025</v>
      </c>
      <c r="M1229">
        <v>303</v>
      </c>
      <c r="N1229" t="str">
        <f t="shared" si="625"/>
        <v>RECEITAS COM ENTREGAS</v>
      </c>
      <c r="P1229">
        <v>218.93</v>
      </c>
      <c r="Q1229" t="str">
        <f>"FARMÁCIA INDIANA LJ 91 (10037)"</f>
        <v>FARMÁCIA INDIANA LJ 91 (10037)</v>
      </c>
      <c r="R1229" t="str">
        <f t="shared" si="626"/>
        <v>RECEITAS COM ENTREGAS (303)</v>
      </c>
      <c r="S1229">
        <v>1183</v>
      </c>
      <c r="T1229">
        <v>954</v>
      </c>
      <c r="U1229" t="s">
        <v>19</v>
      </c>
    </row>
    <row r="1230" spans="1:21">
      <c r="A1230" t="str">
        <f t="shared" si="617"/>
        <v>12/03/2025</v>
      </c>
      <c r="B1230" t="str">
        <f t="shared" si="627"/>
        <v>ENTRADA</v>
      </c>
      <c r="C1230" t="str">
        <f t="shared" si="618"/>
        <v>NFSE</v>
      </c>
      <c r="D1230" t="str">
        <f t="shared" si="628"/>
        <v>2780</v>
      </c>
      <c r="E1230" t="str">
        <f t="shared" si="616"/>
        <v>COM</v>
      </c>
      <c r="F1230" t="str">
        <f t="shared" si="629"/>
        <v>FARMÁCIA INDIANA LJ 30 (10127)</v>
      </c>
      <c r="G1230" t="str">
        <f t="shared" si="630"/>
        <v>Serv.Prest. 24/02/2025 a 02/03/2025 - RPS: 552 - NFSe: 2780</v>
      </c>
      <c r="H1230" t="str">
        <f t="shared" si="622"/>
        <v>12/03/2025</v>
      </c>
      <c r="I1230" t="str">
        <f t="shared" si="623"/>
        <v>03/03/2025</v>
      </c>
      <c r="J1230" t="str">
        <f t="shared" si="624"/>
        <v>12/03/2025</v>
      </c>
      <c r="M1230">
        <v>303</v>
      </c>
      <c r="N1230" t="str">
        <f t="shared" si="625"/>
        <v>RECEITAS COM ENTREGAS</v>
      </c>
      <c r="P1230">
        <v>357.5</v>
      </c>
      <c r="Q1230" t="str">
        <f>"FARMÁCIA INDIANA LJ 95 (10039)"</f>
        <v>FARMÁCIA INDIANA LJ 95 (10039)</v>
      </c>
      <c r="R1230" t="str">
        <f t="shared" si="626"/>
        <v>RECEITAS COM ENTREGAS (303)</v>
      </c>
      <c r="S1230">
        <v>1183</v>
      </c>
      <c r="T1230">
        <v>954</v>
      </c>
      <c r="U1230" t="s">
        <v>19</v>
      </c>
    </row>
    <row r="1231" spans="1:21">
      <c r="A1231" t="str">
        <f t="shared" si="617"/>
        <v>12/03/2025</v>
      </c>
      <c r="B1231" t="str">
        <f t="shared" si="627"/>
        <v>ENTRADA</v>
      </c>
      <c r="C1231" t="str">
        <f t="shared" si="618"/>
        <v>NFSE</v>
      </c>
      <c r="D1231" t="str">
        <f t="shared" si="628"/>
        <v>2780</v>
      </c>
      <c r="E1231" t="str">
        <f t="shared" si="616"/>
        <v>COM</v>
      </c>
      <c r="F1231" t="str">
        <f t="shared" si="629"/>
        <v>FARMÁCIA INDIANA LJ 30 (10127)</v>
      </c>
      <c r="G1231" t="str">
        <f t="shared" si="630"/>
        <v>Serv.Prest. 24/02/2025 a 02/03/2025 - RPS: 552 - NFSe: 2780</v>
      </c>
      <c r="H1231" t="str">
        <f t="shared" si="622"/>
        <v>12/03/2025</v>
      </c>
      <c r="I1231" t="str">
        <f t="shared" si="623"/>
        <v>03/03/2025</v>
      </c>
      <c r="J1231" t="str">
        <f t="shared" si="624"/>
        <v>12/03/2025</v>
      </c>
      <c r="M1231">
        <v>303</v>
      </c>
      <c r="N1231" t="str">
        <f t="shared" si="625"/>
        <v>RECEITAS COM ENTREGAS</v>
      </c>
      <c r="P1231">
        <v>280.88</v>
      </c>
      <c r="Q1231" t="str">
        <f>"FARMÁCIA INDIANA LJ 145 (10068)"</f>
        <v>FARMÁCIA INDIANA LJ 145 (10068)</v>
      </c>
      <c r="R1231" t="str">
        <f t="shared" si="626"/>
        <v>RECEITAS COM ENTREGAS (303)</v>
      </c>
      <c r="S1231">
        <v>1183</v>
      </c>
      <c r="T1231">
        <v>954</v>
      </c>
      <c r="U1231" t="s">
        <v>19</v>
      </c>
    </row>
    <row r="1232" spans="1:21">
      <c r="A1232" t="str">
        <f t="shared" si="617"/>
        <v>12/03/2025</v>
      </c>
      <c r="B1232" t="str">
        <f t="shared" si="627"/>
        <v>ENTRADA</v>
      </c>
      <c r="C1232" t="str">
        <f t="shared" si="618"/>
        <v>NFSE</v>
      </c>
      <c r="D1232" t="str">
        <f t="shared" si="628"/>
        <v>2780</v>
      </c>
      <c r="E1232" t="str">
        <f t="shared" si="616"/>
        <v>COM</v>
      </c>
      <c r="F1232" t="str">
        <f t="shared" si="629"/>
        <v>FARMÁCIA INDIANA LJ 30 (10127)</v>
      </c>
      <c r="G1232" t="str">
        <f t="shared" si="630"/>
        <v>Serv.Prest. 24/02/2025 a 02/03/2025 - RPS: 552 - NFSe: 2780</v>
      </c>
      <c r="H1232" t="str">
        <f t="shared" si="622"/>
        <v>12/03/2025</v>
      </c>
      <c r="I1232" t="str">
        <f t="shared" si="623"/>
        <v>03/03/2025</v>
      </c>
      <c r="J1232" t="str">
        <f t="shared" si="624"/>
        <v>12/03/2025</v>
      </c>
      <c r="M1232">
        <v>303</v>
      </c>
      <c r="N1232" t="str">
        <f t="shared" si="625"/>
        <v>RECEITAS COM ENTREGAS</v>
      </c>
      <c r="P1232">
        <v>99.05</v>
      </c>
      <c r="Q1232" t="str">
        <f>"FARMÁCIA INDIANA LJ 169 (10073)"</f>
        <v>FARMÁCIA INDIANA LJ 169 (10073)</v>
      </c>
      <c r="R1232" t="str">
        <f t="shared" si="626"/>
        <v>RECEITAS COM ENTREGAS (303)</v>
      </c>
      <c r="S1232">
        <v>1183</v>
      </c>
      <c r="T1232">
        <v>954</v>
      </c>
      <c r="U1232" t="s">
        <v>19</v>
      </c>
    </row>
    <row r="1233" spans="1:21">
      <c r="A1233" t="str">
        <f t="shared" si="617"/>
        <v>12/03/2025</v>
      </c>
      <c r="B1233" t="str">
        <f t="shared" si="627"/>
        <v>ENTRADA</v>
      </c>
      <c r="C1233" t="str">
        <f t="shared" si="618"/>
        <v>NFSE</v>
      </c>
      <c r="D1233" t="str">
        <f t="shared" si="628"/>
        <v>2780</v>
      </c>
      <c r="E1233" t="str">
        <f t="shared" si="616"/>
        <v>COM</v>
      </c>
      <c r="F1233" t="str">
        <f t="shared" si="629"/>
        <v>FARMÁCIA INDIANA LJ 30 (10127)</v>
      </c>
      <c r="G1233" t="str">
        <f t="shared" si="630"/>
        <v>Serv.Prest. 24/02/2025 a 02/03/2025 - RPS: 552 - NFSe: 2780</v>
      </c>
      <c r="H1233" t="str">
        <f t="shared" si="622"/>
        <v>12/03/2025</v>
      </c>
      <c r="I1233" t="str">
        <f t="shared" si="623"/>
        <v>03/03/2025</v>
      </c>
      <c r="J1233" t="str">
        <f t="shared" si="624"/>
        <v>12/03/2025</v>
      </c>
      <c r="M1233">
        <v>303</v>
      </c>
      <c r="N1233" t="str">
        <f t="shared" si="625"/>
        <v>RECEITAS COM ENTREGAS</v>
      </c>
      <c r="P1233">
        <v>209.32</v>
      </c>
      <c r="Q1233" t="str">
        <f>"FARMÁCIA INDIANA LJ 173 (10075)"</f>
        <v>FARMÁCIA INDIANA LJ 173 (10075)</v>
      </c>
      <c r="R1233" t="str">
        <f t="shared" si="626"/>
        <v>RECEITAS COM ENTREGAS (303)</v>
      </c>
      <c r="S1233">
        <v>1183</v>
      </c>
      <c r="T1233">
        <v>954</v>
      </c>
      <c r="U1233" t="s">
        <v>19</v>
      </c>
    </row>
    <row r="1234" spans="1:21">
      <c r="A1234" t="str">
        <f t="shared" si="617"/>
        <v>12/03/2025</v>
      </c>
      <c r="B1234" t="str">
        <f t="shared" si="627"/>
        <v>ENTRADA</v>
      </c>
      <c r="C1234" t="str">
        <f t="shared" si="618"/>
        <v>NFSE</v>
      </c>
      <c r="D1234" t="str">
        <f t="shared" si="628"/>
        <v>2780</v>
      </c>
      <c r="E1234" t="str">
        <f t="shared" si="616"/>
        <v>COM</v>
      </c>
      <c r="F1234" t="str">
        <f t="shared" si="629"/>
        <v>FARMÁCIA INDIANA LJ 30 (10127)</v>
      </c>
      <c r="G1234" t="str">
        <f t="shared" si="630"/>
        <v>Serv.Prest. 24/02/2025 a 02/03/2025 - RPS: 552 - NFSe: 2780</v>
      </c>
      <c r="H1234" t="str">
        <f t="shared" si="622"/>
        <v>12/03/2025</v>
      </c>
      <c r="I1234" t="str">
        <f t="shared" si="623"/>
        <v>03/03/2025</v>
      </c>
      <c r="J1234" t="str">
        <f t="shared" si="624"/>
        <v>12/03/2025</v>
      </c>
      <c r="M1234">
        <v>303</v>
      </c>
      <c r="N1234" t="str">
        <f t="shared" si="625"/>
        <v>RECEITAS COM ENTREGAS</v>
      </c>
      <c r="P1234">
        <v>192.23</v>
      </c>
      <c r="Q1234" t="str">
        <f>"FARMÁCIA INDIANA LJ 200 (10155)"</f>
        <v>FARMÁCIA INDIANA LJ 200 (10155)</v>
      </c>
      <c r="R1234" t="str">
        <f t="shared" si="626"/>
        <v>RECEITAS COM ENTREGAS (303)</v>
      </c>
      <c r="S1234">
        <v>1183</v>
      </c>
      <c r="T1234">
        <v>954</v>
      </c>
      <c r="U1234" t="s">
        <v>19</v>
      </c>
    </row>
    <row r="1235" spans="1:21">
      <c r="A1235" t="str">
        <f t="shared" si="617"/>
        <v>12/03/2025</v>
      </c>
      <c r="B1235" t="str">
        <f t="shared" si="627"/>
        <v>ENTRADA</v>
      </c>
      <c r="C1235" t="str">
        <f t="shared" si="618"/>
        <v>NFSE</v>
      </c>
      <c r="D1235" t="str">
        <f t="shared" ref="D1235:D1280" si="631">"2781"</f>
        <v>2781</v>
      </c>
      <c r="E1235" t="str">
        <f t="shared" si="616"/>
        <v>COM</v>
      </c>
      <c r="F1235" t="str">
        <f t="shared" ref="F1235:F1282" si="632">"FARMÁCIA INDIANA LJ 1 (10126)"</f>
        <v>FARMÁCIA INDIANA LJ 1 (10126)</v>
      </c>
      <c r="G1235" t="str">
        <f t="shared" ref="G1235:G1280" si="633">"Serv.Prest. 24/02/2025 a 02/03/2025 - RPS: 553 - NFSe: 2781"</f>
        <v>Serv.Prest. 24/02/2025 a 02/03/2025 - RPS: 553 - NFSe: 2781</v>
      </c>
      <c r="H1235" t="str">
        <f t="shared" si="622"/>
        <v>12/03/2025</v>
      </c>
      <c r="I1235" t="str">
        <f t="shared" ref="I1235:I1282" si="634">("04/03/2025")</f>
        <v>04/03/2025</v>
      </c>
      <c r="J1235" t="str">
        <f t="shared" si="624"/>
        <v>12/03/2025</v>
      </c>
      <c r="K1235">
        <v>12459.48</v>
      </c>
      <c r="L1235">
        <v>12459.48</v>
      </c>
      <c r="M1235">
        <v>303</v>
      </c>
      <c r="N1235" t="str">
        <f t="shared" si="625"/>
        <v>RECEITAS COM ENTREGAS</v>
      </c>
      <c r="O1235">
        <v>12459.48</v>
      </c>
      <c r="R1235" t="str">
        <f t="shared" si="626"/>
        <v>RECEITAS COM ENTREGAS (303)</v>
      </c>
      <c r="S1235">
        <v>1184</v>
      </c>
      <c r="T1235">
        <v>955</v>
      </c>
      <c r="U1235" t="s">
        <v>19</v>
      </c>
    </row>
    <row r="1236" spans="1:21">
      <c r="A1236" t="str">
        <f t="shared" si="617"/>
        <v>12/03/2025</v>
      </c>
      <c r="B1236" t="str">
        <f t="shared" si="627"/>
        <v>ENTRADA</v>
      </c>
      <c r="C1236" t="str">
        <f t="shared" si="618"/>
        <v>NFSE</v>
      </c>
      <c r="D1236" t="str">
        <f t="shared" si="631"/>
        <v>2781</v>
      </c>
      <c r="E1236" t="str">
        <f t="shared" si="616"/>
        <v>COM</v>
      </c>
      <c r="F1236" t="str">
        <f t="shared" si="632"/>
        <v>FARMÁCIA INDIANA LJ 1 (10126)</v>
      </c>
      <c r="G1236" t="str">
        <f t="shared" si="633"/>
        <v>Serv.Prest. 24/02/2025 a 02/03/2025 - RPS: 553 - NFSe: 2781</v>
      </c>
      <c r="H1236" t="str">
        <f t="shared" si="622"/>
        <v>12/03/2025</v>
      </c>
      <c r="I1236" t="str">
        <f t="shared" si="634"/>
        <v>04/03/2025</v>
      </c>
      <c r="J1236" t="str">
        <f t="shared" si="624"/>
        <v>12/03/2025</v>
      </c>
      <c r="M1236">
        <v>303</v>
      </c>
      <c r="N1236" t="str">
        <f t="shared" si="625"/>
        <v>RECEITAS COM ENTREGAS</v>
      </c>
      <c r="P1236">
        <v>1795.39</v>
      </c>
      <c r="Q1236" t="str">
        <f>"FARMÁCIA INDIANA LJ 06 (10006)"</f>
        <v>FARMÁCIA INDIANA LJ 06 (10006)</v>
      </c>
      <c r="R1236" t="str">
        <f t="shared" si="626"/>
        <v>RECEITAS COM ENTREGAS (303)</v>
      </c>
      <c r="S1236">
        <v>1184</v>
      </c>
      <c r="T1236">
        <v>955</v>
      </c>
      <c r="U1236" t="s">
        <v>19</v>
      </c>
    </row>
    <row r="1237" spans="1:21">
      <c r="A1237" t="str">
        <f t="shared" si="617"/>
        <v>12/03/2025</v>
      </c>
      <c r="B1237" t="str">
        <f t="shared" si="627"/>
        <v>ENTRADA</v>
      </c>
      <c r="C1237" t="str">
        <f t="shared" si="618"/>
        <v>NFSE</v>
      </c>
      <c r="D1237" t="str">
        <f t="shared" si="631"/>
        <v>2781</v>
      </c>
      <c r="E1237" t="str">
        <f t="shared" si="616"/>
        <v>COM</v>
      </c>
      <c r="F1237" t="str">
        <f t="shared" si="632"/>
        <v>FARMÁCIA INDIANA LJ 1 (10126)</v>
      </c>
      <c r="G1237" t="str">
        <f t="shared" si="633"/>
        <v>Serv.Prest. 24/02/2025 a 02/03/2025 - RPS: 553 - NFSe: 2781</v>
      </c>
      <c r="H1237" t="str">
        <f t="shared" si="622"/>
        <v>12/03/2025</v>
      </c>
      <c r="I1237" t="str">
        <f t="shared" si="634"/>
        <v>04/03/2025</v>
      </c>
      <c r="J1237" t="str">
        <f t="shared" si="624"/>
        <v>12/03/2025</v>
      </c>
      <c r="M1237">
        <v>303</v>
      </c>
      <c r="N1237" t="str">
        <f t="shared" si="625"/>
        <v>RECEITAS COM ENTREGAS</v>
      </c>
      <c r="P1237">
        <v>1415.4</v>
      </c>
      <c r="Q1237" t="str">
        <f>"FARMÁCIA INDIANA LJ 07 (10007)"</f>
        <v>FARMÁCIA INDIANA LJ 07 (10007)</v>
      </c>
      <c r="R1237" t="str">
        <f t="shared" si="626"/>
        <v>RECEITAS COM ENTREGAS (303)</v>
      </c>
      <c r="S1237">
        <v>1184</v>
      </c>
      <c r="T1237">
        <v>955</v>
      </c>
      <c r="U1237" t="s">
        <v>19</v>
      </c>
    </row>
    <row r="1238" spans="1:21">
      <c r="A1238" t="str">
        <f t="shared" si="617"/>
        <v>12/03/2025</v>
      </c>
      <c r="B1238" t="str">
        <f t="shared" si="627"/>
        <v>ENTRADA</v>
      </c>
      <c r="C1238" t="str">
        <f t="shared" si="618"/>
        <v>NFSE</v>
      </c>
      <c r="D1238" t="str">
        <f t="shared" si="631"/>
        <v>2781</v>
      </c>
      <c r="E1238" t="str">
        <f t="shared" si="616"/>
        <v>COM</v>
      </c>
      <c r="F1238" t="str">
        <f t="shared" si="632"/>
        <v>FARMÁCIA INDIANA LJ 1 (10126)</v>
      </c>
      <c r="G1238" t="str">
        <f t="shared" si="633"/>
        <v>Serv.Prest. 24/02/2025 a 02/03/2025 - RPS: 553 - NFSe: 2781</v>
      </c>
      <c r="H1238" t="str">
        <f t="shared" si="622"/>
        <v>12/03/2025</v>
      </c>
      <c r="I1238" t="str">
        <f t="shared" si="634"/>
        <v>04/03/2025</v>
      </c>
      <c r="J1238" t="str">
        <f t="shared" si="624"/>
        <v>12/03/2025</v>
      </c>
      <c r="M1238">
        <v>303</v>
      </c>
      <c r="N1238" t="str">
        <f t="shared" si="625"/>
        <v>RECEITAS COM ENTREGAS</v>
      </c>
      <c r="P1238">
        <v>1169.95</v>
      </c>
      <c r="Q1238" t="str">
        <f>"FARMÁCIA INDIANA LJ 11 (10008)"</f>
        <v>FARMÁCIA INDIANA LJ 11 (10008)</v>
      </c>
      <c r="R1238" t="str">
        <f t="shared" si="626"/>
        <v>RECEITAS COM ENTREGAS (303)</v>
      </c>
      <c r="S1238">
        <v>1184</v>
      </c>
      <c r="T1238">
        <v>955</v>
      </c>
      <c r="U1238" t="s">
        <v>19</v>
      </c>
    </row>
    <row r="1239" spans="1:21">
      <c r="A1239" t="str">
        <f t="shared" si="617"/>
        <v>12/03/2025</v>
      </c>
      <c r="B1239" t="str">
        <f t="shared" si="627"/>
        <v>ENTRADA</v>
      </c>
      <c r="C1239" t="str">
        <f t="shared" si="618"/>
        <v>NFSE</v>
      </c>
      <c r="D1239" t="str">
        <f t="shared" si="631"/>
        <v>2781</v>
      </c>
      <c r="E1239" t="str">
        <f t="shared" si="616"/>
        <v>COM</v>
      </c>
      <c r="F1239" t="str">
        <f t="shared" si="632"/>
        <v>FARMÁCIA INDIANA LJ 1 (10126)</v>
      </c>
      <c r="G1239" t="str">
        <f t="shared" si="633"/>
        <v>Serv.Prest. 24/02/2025 a 02/03/2025 - RPS: 553 - NFSe: 2781</v>
      </c>
      <c r="H1239" t="str">
        <f t="shared" si="622"/>
        <v>12/03/2025</v>
      </c>
      <c r="I1239" t="str">
        <f t="shared" si="634"/>
        <v>04/03/2025</v>
      </c>
      <c r="J1239" t="str">
        <f t="shared" si="624"/>
        <v>12/03/2025</v>
      </c>
      <c r="M1239">
        <v>303</v>
      </c>
      <c r="N1239" t="str">
        <f t="shared" si="625"/>
        <v>RECEITAS COM ENTREGAS</v>
      </c>
      <c r="P1239">
        <v>343.88</v>
      </c>
      <c r="Q1239" t="str">
        <f>"FARMÁCIA INDIANA LJ 14 (10009)"</f>
        <v>FARMÁCIA INDIANA LJ 14 (10009)</v>
      </c>
      <c r="R1239" t="str">
        <f t="shared" si="626"/>
        <v>RECEITAS COM ENTREGAS (303)</v>
      </c>
      <c r="S1239">
        <v>1184</v>
      </c>
      <c r="T1239">
        <v>955</v>
      </c>
      <c r="U1239" t="s">
        <v>19</v>
      </c>
    </row>
    <row r="1240" spans="1:21">
      <c r="A1240" t="str">
        <f t="shared" si="617"/>
        <v>12/03/2025</v>
      </c>
      <c r="B1240" t="str">
        <f t="shared" si="627"/>
        <v>ENTRADA</v>
      </c>
      <c r="C1240" t="str">
        <f t="shared" si="618"/>
        <v>NFSE</v>
      </c>
      <c r="D1240" t="str">
        <f t="shared" si="631"/>
        <v>2781</v>
      </c>
      <c r="E1240" t="str">
        <f t="shared" si="616"/>
        <v>COM</v>
      </c>
      <c r="F1240" t="str">
        <f t="shared" si="632"/>
        <v>FARMÁCIA INDIANA LJ 1 (10126)</v>
      </c>
      <c r="G1240" t="str">
        <f t="shared" si="633"/>
        <v>Serv.Prest. 24/02/2025 a 02/03/2025 - RPS: 553 - NFSe: 2781</v>
      </c>
      <c r="H1240" t="str">
        <f t="shared" si="622"/>
        <v>12/03/2025</v>
      </c>
      <c r="I1240" t="str">
        <f t="shared" si="634"/>
        <v>04/03/2025</v>
      </c>
      <c r="J1240" t="str">
        <f t="shared" si="624"/>
        <v>12/03/2025</v>
      </c>
      <c r="M1240">
        <v>303</v>
      </c>
      <c r="N1240" t="str">
        <f t="shared" si="625"/>
        <v>RECEITAS COM ENTREGAS</v>
      </c>
      <c r="P1240">
        <v>408.67</v>
      </c>
      <c r="Q1240" t="str">
        <f>"FARMÁCIA INDIANA LJ 18 (10011)"</f>
        <v>FARMÁCIA INDIANA LJ 18 (10011)</v>
      </c>
      <c r="R1240" t="str">
        <f t="shared" si="626"/>
        <v>RECEITAS COM ENTREGAS (303)</v>
      </c>
      <c r="S1240">
        <v>1184</v>
      </c>
      <c r="T1240">
        <v>955</v>
      </c>
      <c r="U1240" t="s">
        <v>19</v>
      </c>
    </row>
    <row r="1241" spans="1:21">
      <c r="A1241" t="str">
        <f t="shared" si="617"/>
        <v>12/03/2025</v>
      </c>
      <c r="B1241" t="str">
        <f t="shared" si="627"/>
        <v>ENTRADA</v>
      </c>
      <c r="C1241" t="str">
        <f t="shared" si="618"/>
        <v>NFSE</v>
      </c>
      <c r="D1241" t="str">
        <f t="shared" si="631"/>
        <v>2781</v>
      </c>
      <c r="E1241" t="str">
        <f t="shared" si="616"/>
        <v>COM</v>
      </c>
      <c r="F1241" t="str">
        <f t="shared" si="632"/>
        <v>FARMÁCIA INDIANA LJ 1 (10126)</v>
      </c>
      <c r="G1241" t="str">
        <f t="shared" si="633"/>
        <v>Serv.Prest. 24/02/2025 a 02/03/2025 - RPS: 553 - NFSe: 2781</v>
      </c>
      <c r="H1241" t="str">
        <f t="shared" si="622"/>
        <v>12/03/2025</v>
      </c>
      <c r="I1241" t="str">
        <f t="shared" si="634"/>
        <v>04/03/2025</v>
      </c>
      <c r="J1241" t="str">
        <f t="shared" si="624"/>
        <v>12/03/2025</v>
      </c>
      <c r="M1241">
        <v>303</v>
      </c>
      <c r="N1241" t="str">
        <f t="shared" si="625"/>
        <v>RECEITAS COM ENTREGAS</v>
      </c>
      <c r="P1241">
        <v>345.13</v>
      </c>
      <c r="Q1241" t="str">
        <f>"FARMÁCIA INDIANA LJ 19 (10012)"</f>
        <v>FARMÁCIA INDIANA LJ 19 (10012)</v>
      </c>
      <c r="R1241" t="str">
        <f t="shared" si="626"/>
        <v>RECEITAS COM ENTREGAS (303)</v>
      </c>
      <c r="S1241">
        <v>1184</v>
      </c>
      <c r="T1241">
        <v>955</v>
      </c>
      <c r="U1241" t="s">
        <v>19</v>
      </c>
    </row>
    <row r="1242" spans="1:21">
      <c r="A1242" t="str">
        <f t="shared" si="617"/>
        <v>12/03/2025</v>
      </c>
      <c r="B1242" t="str">
        <f t="shared" si="627"/>
        <v>ENTRADA</v>
      </c>
      <c r="C1242" t="str">
        <f t="shared" si="618"/>
        <v>NFSE</v>
      </c>
      <c r="D1242" t="str">
        <f t="shared" si="631"/>
        <v>2781</v>
      </c>
      <c r="E1242" t="str">
        <f t="shared" si="616"/>
        <v>COM</v>
      </c>
      <c r="F1242" t="str">
        <f t="shared" si="632"/>
        <v>FARMÁCIA INDIANA LJ 1 (10126)</v>
      </c>
      <c r="G1242" t="str">
        <f t="shared" si="633"/>
        <v>Serv.Prest. 24/02/2025 a 02/03/2025 - RPS: 553 - NFSe: 2781</v>
      </c>
      <c r="H1242" t="str">
        <f t="shared" si="622"/>
        <v>12/03/2025</v>
      </c>
      <c r="I1242" t="str">
        <f t="shared" si="634"/>
        <v>04/03/2025</v>
      </c>
      <c r="J1242" t="str">
        <f t="shared" si="624"/>
        <v>12/03/2025</v>
      </c>
      <c r="M1242">
        <v>303</v>
      </c>
      <c r="N1242" t="str">
        <f t="shared" si="625"/>
        <v>RECEITAS COM ENTREGAS</v>
      </c>
      <c r="P1242">
        <v>570.64</v>
      </c>
      <c r="Q1242" t="str">
        <f>"FARMÁCIA INDIANA LJ 40 (10016)"</f>
        <v>FARMÁCIA INDIANA LJ 40 (10016)</v>
      </c>
      <c r="R1242" t="str">
        <f t="shared" si="626"/>
        <v>RECEITAS COM ENTREGAS (303)</v>
      </c>
      <c r="S1242">
        <v>1184</v>
      </c>
      <c r="T1242">
        <v>955</v>
      </c>
      <c r="U1242" t="s">
        <v>19</v>
      </c>
    </row>
    <row r="1243" spans="1:21">
      <c r="A1243" t="str">
        <f t="shared" si="617"/>
        <v>12/03/2025</v>
      </c>
      <c r="B1243" t="str">
        <f t="shared" si="627"/>
        <v>ENTRADA</v>
      </c>
      <c r="C1243" t="str">
        <f t="shared" si="618"/>
        <v>NFSE</v>
      </c>
      <c r="D1243" t="str">
        <f t="shared" si="631"/>
        <v>2781</v>
      </c>
      <c r="E1243" t="str">
        <f t="shared" si="616"/>
        <v>COM</v>
      </c>
      <c r="F1243" t="str">
        <f t="shared" si="632"/>
        <v>FARMÁCIA INDIANA LJ 1 (10126)</v>
      </c>
      <c r="G1243" t="str">
        <f t="shared" si="633"/>
        <v>Serv.Prest. 24/02/2025 a 02/03/2025 - RPS: 553 - NFSe: 2781</v>
      </c>
      <c r="H1243" t="str">
        <f t="shared" si="622"/>
        <v>12/03/2025</v>
      </c>
      <c r="I1243" t="str">
        <f t="shared" si="634"/>
        <v>04/03/2025</v>
      </c>
      <c r="J1243" t="str">
        <f t="shared" si="624"/>
        <v>12/03/2025</v>
      </c>
      <c r="M1243">
        <v>303</v>
      </c>
      <c r="N1243" t="str">
        <f t="shared" si="625"/>
        <v>RECEITAS COM ENTREGAS</v>
      </c>
      <c r="P1243">
        <v>301.52</v>
      </c>
      <c r="Q1243" t="str">
        <f>"FARMÁCIA INDIANA LJ 59 (10026)"</f>
        <v>FARMÁCIA INDIANA LJ 59 (10026)</v>
      </c>
      <c r="R1243" t="str">
        <f t="shared" si="626"/>
        <v>RECEITAS COM ENTREGAS (303)</v>
      </c>
      <c r="S1243">
        <v>1184</v>
      </c>
      <c r="T1243">
        <v>955</v>
      </c>
      <c r="U1243" t="s">
        <v>19</v>
      </c>
    </row>
    <row r="1244" spans="1:21">
      <c r="A1244" t="str">
        <f t="shared" si="617"/>
        <v>12/03/2025</v>
      </c>
      <c r="B1244" t="str">
        <f t="shared" si="627"/>
        <v>ENTRADA</v>
      </c>
      <c r="C1244" t="str">
        <f t="shared" si="618"/>
        <v>NFSE</v>
      </c>
      <c r="D1244" t="str">
        <f t="shared" si="631"/>
        <v>2781</v>
      </c>
      <c r="E1244" t="str">
        <f t="shared" si="616"/>
        <v>COM</v>
      </c>
      <c r="F1244" t="str">
        <f t="shared" si="632"/>
        <v>FARMÁCIA INDIANA LJ 1 (10126)</v>
      </c>
      <c r="G1244" t="str">
        <f t="shared" si="633"/>
        <v>Serv.Prest. 24/02/2025 a 02/03/2025 - RPS: 553 - NFSe: 2781</v>
      </c>
      <c r="H1244" t="str">
        <f t="shared" si="622"/>
        <v>12/03/2025</v>
      </c>
      <c r="I1244" t="str">
        <f t="shared" si="634"/>
        <v>04/03/2025</v>
      </c>
      <c r="J1244" t="str">
        <f t="shared" si="624"/>
        <v>12/03/2025</v>
      </c>
      <c r="M1244">
        <v>303</v>
      </c>
      <c r="N1244" t="str">
        <f t="shared" si="625"/>
        <v>RECEITAS COM ENTREGAS</v>
      </c>
      <c r="P1244">
        <v>436.08</v>
      </c>
      <c r="Q1244" t="str">
        <f>"FARMÁCIA INDIANA LJ 61 (10027)"</f>
        <v>FARMÁCIA INDIANA LJ 61 (10027)</v>
      </c>
      <c r="R1244" t="str">
        <f t="shared" si="626"/>
        <v>RECEITAS COM ENTREGAS (303)</v>
      </c>
      <c r="S1244">
        <v>1184</v>
      </c>
      <c r="T1244">
        <v>955</v>
      </c>
      <c r="U1244" t="s">
        <v>19</v>
      </c>
    </row>
    <row r="1245" spans="1:21">
      <c r="A1245" t="str">
        <f t="shared" si="617"/>
        <v>12/03/2025</v>
      </c>
      <c r="B1245" t="str">
        <f t="shared" si="627"/>
        <v>ENTRADA</v>
      </c>
      <c r="C1245" t="str">
        <f t="shared" si="618"/>
        <v>NFSE</v>
      </c>
      <c r="D1245" t="str">
        <f t="shared" si="631"/>
        <v>2781</v>
      </c>
      <c r="E1245" t="str">
        <f t="shared" ref="E1245:E1276" si="635">"COM"</f>
        <v>COM</v>
      </c>
      <c r="F1245" t="str">
        <f t="shared" si="632"/>
        <v>FARMÁCIA INDIANA LJ 1 (10126)</v>
      </c>
      <c r="G1245" t="str">
        <f t="shared" si="633"/>
        <v>Serv.Prest. 24/02/2025 a 02/03/2025 - RPS: 553 - NFSe: 2781</v>
      </c>
      <c r="H1245" t="str">
        <f t="shared" si="622"/>
        <v>12/03/2025</v>
      </c>
      <c r="I1245" t="str">
        <f t="shared" si="634"/>
        <v>04/03/2025</v>
      </c>
      <c r="J1245" t="str">
        <f t="shared" si="624"/>
        <v>12/03/2025</v>
      </c>
      <c r="M1245">
        <v>303</v>
      </c>
      <c r="N1245" t="str">
        <f t="shared" si="625"/>
        <v>RECEITAS COM ENTREGAS</v>
      </c>
      <c r="P1245">
        <v>246.7</v>
      </c>
      <c r="Q1245" t="str">
        <f>"FARMÁCIA INDIANA LJ 62 (10028)"</f>
        <v>FARMÁCIA INDIANA LJ 62 (10028)</v>
      </c>
      <c r="R1245" t="str">
        <f t="shared" si="626"/>
        <v>RECEITAS COM ENTREGAS (303)</v>
      </c>
      <c r="S1245">
        <v>1184</v>
      </c>
      <c r="T1245">
        <v>955</v>
      </c>
      <c r="U1245" t="s">
        <v>19</v>
      </c>
    </row>
    <row r="1246" spans="1:21">
      <c r="A1246" t="str">
        <f t="shared" si="617"/>
        <v>12/03/2025</v>
      </c>
      <c r="B1246" t="str">
        <f t="shared" si="627"/>
        <v>ENTRADA</v>
      </c>
      <c r="C1246" t="str">
        <f t="shared" si="618"/>
        <v>NFSE</v>
      </c>
      <c r="D1246" t="str">
        <f t="shared" si="631"/>
        <v>2781</v>
      </c>
      <c r="E1246" t="str">
        <f t="shared" si="635"/>
        <v>COM</v>
      </c>
      <c r="F1246" t="str">
        <f t="shared" si="632"/>
        <v>FARMÁCIA INDIANA LJ 1 (10126)</v>
      </c>
      <c r="G1246" t="str">
        <f t="shared" si="633"/>
        <v>Serv.Prest. 24/02/2025 a 02/03/2025 - RPS: 553 - NFSe: 2781</v>
      </c>
      <c r="H1246" t="str">
        <f t="shared" si="622"/>
        <v>12/03/2025</v>
      </c>
      <c r="I1246" t="str">
        <f t="shared" si="634"/>
        <v>04/03/2025</v>
      </c>
      <c r="J1246" t="str">
        <f t="shared" si="624"/>
        <v>12/03/2025</v>
      </c>
      <c r="M1246">
        <v>303</v>
      </c>
      <c r="N1246" t="str">
        <f t="shared" si="625"/>
        <v>RECEITAS COM ENTREGAS</v>
      </c>
      <c r="P1246">
        <v>114.63</v>
      </c>
      <c r="Q1246" t="str">
        <f>"FARMÁCIA INDIANA LJ 64 (10029)"</f>
        <v>FARMÁCIA INDIANA LJ 64 (10029)</v>
      </c>
      <c r="R1246" t="str">
        <f t="shared" si="626"/>
        <v>RECEITAS COM ENTREGAS (303)</v>
      </c>
      <c r="S1246">
        <v>1184</v>
      </c>
      <c r="T1246">
        <v>955</v>
      </c>
      <c r="U1246" t="s">
        <v>19</v>
      </c>
    </row>
    <row r="1247" spans="1:21">
      <c r="A1247" t="str">
        <f t="shared" si="617"/>
        <v>12/03/2025</v>
      </c>
      <c r="B1247" t="str">
        <f t="shared" si="627"/>
        <v>ENTRADA</v>
      </c>
      <c r="C1247" t="str">
        <f t="shared" si="618"/>
        <v>NFSE</v>
      </c>
      <c r="D1247" t="str">
        <f t="shared" si="631"/>
        <v>2781</v>
      </c>
      <c r="E1247" t="str">
        <f t="shared" si="635"/>
        <v>COM</v>
      </c>
      <c r="F1247" t="str">
        <f t="shared" si="632"/>
        <v>FARMÁCIA INDIANA LJ 1 (10126)</v>
      </c>
      <c r="G1247" t="str">
        <f t="shared" si="633"/>
        <v>Serv.Prest. 24/02/2025 a 02/03/2025 - RPS: 553 - NFSe: 2781</v>
      </c>
      <c r="H1247" t="str">
        <f t="shared" si="622"/>
        <v>12/03/2025</v>
      </c>
      <c r="I1247" t="str">
        <f t="shared" si="634"/>
        <v>04/03/2025</v>
      </c>
      <c r="J1247" t="str">
        <f t="shared" si="624"/>
        <v>12/03/2025</v>
      </c>
      <c r="M1247">
        <v>303</v>
      </c>
      <c r="N1247" t="str">
        <f t="shared" si="625"/>
        <v>RECEITAS COM ENTREGAS</v>
      </c>
      <c r="P1247">
        <v>66.040000000000006</v>
      </c>
      <c r="Q1247" t="str">
        <f>"FARMÁCIA INDIANA LJ 97 (10040)"</f>
        <v>FARMÁCIA INDIANA LJ 97 (10040)</v>
      </c>
      <c r="R1247" t="str">
        <f t="shared" si="626"/>
        <v>RECEITAS COM ENTREGAS (303)</v>
      </c>
      <c r="S1247">
        <v>1184</v>
      </c>
      <c r="T1247">
        <v>955</v>
      </c>
      <c r="U1247" t="s">
        <v>19</v>
      </c>
    </row>
    <row r="1248" spans="1:21">
      <c r="A1248" t="str">
        <f t="shared" si="617"/>
        <v>12/03/2025</v>
      </c>
      <c r="B1248" t="str">
        <f t="shared" si="627"/>
        <v>ENTRADA</v>
      </c>
      <c r="C1248" t="str">
        <f t="shared" si="618"/>
        <v>NFSE</v>
      </c>
      <c r="D1248" t="str">
        <f t="shared" si="631"/>
        <v>2781</v>
      </c>
      <c r="E1248" t="str">
        <f t="shared" si="635"/>
        <v>COM</v>
      </c>
      <c r="F1248" t="str">
        <f t="shared" si="632"/>
        <v>FARMÁCIA INDIANA LJ 1 (10126)</v>
      </c>
      <c r="G1248" t="str">
        <f t="shared" si="633"/>
        <v>Serv.Prest. 24/02/2025 a 02/03/2025 - RPS: 553 - NFSe: 2781</v>
      </c>
      <c r="H1248" t="str">
        <f t="shared" si="622"/>
        <v>12/03/2025</v>
      </c>
      <c r="I1248" t="str">
        <f t="shared" si="634"/>
        <v>04/03/2025</v>
      </c>
      <c r="J1248" t="str">
        <f t="shared" si="624"/>
        <v>12/03/2025</v>
      </c>
      <c r="M1248">
        <v>303</v>
      </c>
      <c r="N1248" t="str">
        <f t="shared" si="625"/>
        <v>RECEITAS COM ENTREGAS</v>
      </c>
      <c r="P1248">
        <v>320.20999999999998</v>
      </c>
      <c r="Q1248" t="str">
        <f>"FARMÁCIA INDIANA LJ 100 (10042)"</f>
        <v>FARMÁCIA INDIANA LJ 100 (10042)</v>
      </c>
      <c r="R1248" t="str">
        <f t="shared" si="626"/>
        <v>RECEITAS COM ENTREGAS (303)</v>
      </c>
      <c r="S1248">
        <v>1184</v>
      </c>
      <c r="T1248">
        <v>955</v>
      </c>
      <c r="U1248" t="s">
        <v>19</v>
      </c>
    </row>
    <row r="1249" spans="1:21">
      <c r="A1249" t="str">
        <f t="shared" ref="A1249:A1280" si="636">("12/03/2025")</f>
        <v>12/03/2025</v>
      </c>
      <c r="B1249" t="str">
        <f t="shared" si="627"/>
        <v>ENTRADA</v>
      </c>
      <c r="C1249" t="str">
        <f t="shared" ref="C1249:C1280" si="637">"NFSE"</f>
        <v>NFSE</v>
      </c>
      <c r="D1249" t="str">
        <f t="shared" si="631"/>
        <v>2781</v>
      </c>
      <c r="E1249" t="str">
        <f t="shared" si="635"/>
        <v>COM</v>
      </c>
      <c r="F1249" t="str">
        <f t="shared" si="632"/>
        <v>FARMÁCIA INDIANA LJ 1 (10126)</v>
      </c>
      <c r="G1249" t="str">
        <f t="shared" si="633"/>
        <v>Serv.Prest. 24/02/2025 a 02/03/2025 - RPS: 553 - NFSe: 2781</v>
      </c>
      <c r="H1249" t="str">
        <f t="shared" ref="H1249:H1280" si="638">("12/03/2025")</f>
        <v>12/03/2025</v>
      </c>
      <c r="I1249" t="str">
        <f t="shared" si="634"/>
        <v>04/03/2025</v>
      </c>
      <c r="J1249" t="str">
        <f t="shared" ref="J1249:J1280" si="639">("12/03/2025")</f>
        <v>12/03/2025</v>
      </c>
      <c r="M1249">
        <v>303</v>
      </c>
      <c r="N1249" t="str">
        <f t="shared" ref="N1249:N1280" si="640">"RECEITAS COM ENTREGAS"</f>
        <v>RECEITAS COM ENTREGAS</v>
      </c>
      <c r="P1249">
        <v>513.33000000000004</v>
      </c>
      <c r="Q1249" t="str">
        <f>"FARMÁCIA INDIANA LJ 101 (10043)"</f>
        <v>FARMÁCIA INDIANA LJ 101 (10043)</v>
      </c>
      <c r="R1249" t="str">
        <f t="shared" ref="R1249:R1280" si="641">"RECEITAS COM ENTREGAS (303)"</f>
        <v>RECEITAS COM ENTREGAS (303)</v>
      </c>
      <c r="S1249">
        <v>1184</v>
      </c>
      <c r="T1249">
        <v>955</v>
      </c>
      <c r="U1249" t="s">
        <v>19</v>
      </c>
    </row>
    <row r="1250" spans="1:21">
      <c r="A1250" t="str">
        <f t="shared" si="636"/>
        <v>12/03/2025</v>
      </c>
      <c r="B1250" t="str">
        <f t="shared" si="627"/>
        <v>ENTRADA</v>
      </c>
      <c r="C1250" t="str">
        <f t="shared" si="637"/>
        <v>NFSE</v>
      </c>
      <c r="D1250" t="str">
        <f t="shared" si="631"/>
        <v>2781</v>
      </c>
      <c r="E1250" t="str">
        <f t="shared" si="635"/>
        <v>COM</v>
      </c>
      <c r="F1250" t="str">
        <f t="shared" si="632"/>
        <v>FARMÁCIA INDIANA LJ 1 (10126)</v>
      </c>
      <c r="G1250" t="str">
        <f t="shared" si="633"/>
        <v>Serv.Prest. 24/02/2025 a 02/03/2025 - RPS: 553 - NFSe: 2781</v>
      </c>
      <c r="H1250" t="str">
        <f t="shared" si="638"/>
        <v>12/03/2025</v>
      </c>
      <c r="I1250" t="str">
        <f t="shared" si="634"/>
        <v>04/03/2025</v>
      </c>
      <c r="J1250" t="str">
        <f t="shared" si="639"/>
        <v>12/03/2025</v>
      </c>
      <c r="M1250">
        <v>303</v>
      </c>
      <c r="N1250" t="str">
        <f t="shared" si="640"/>
        <v>RECEITAS COM ENTREGAS</v>
      </c>
      <c r="P1250">
        <v>71.02</v>
      </c>
      <c r="Q1250" t="str">
        <f>"FARMÁCIA INDIANA LJ 103 (10044)"</f>
        <v>FARMÁCIA INDIANA LJ 103 (10044)</v>
      </c>
      <c r="R1250" t="str">
        <f t="shared" si="641"/>
        <v>RECEITAS COM ENTREGAS (303)</v>
      </c>
      <c r="S1250">
        <v>1184</v>
      </c>
      <c r="T1250">
        <v>955</v>
      </c>
      <c r="U1250" t="s">
        <v>19</v>
      </c>
    </row>
    <row r="1251" spans="1:21">
      <c r="A1251" t="str">
        <f t="shared" si="636"/>
        <v>12/03/2025</v>
      </c>
      <c r="B1251" t="str">
        <f t="shared" si="627"/>
        <v>ENTRADA</v>
      </c>
      <c r="C1251" t="str">
        <f t="shared" si="637"/>
        <v>NFSE</v>
      </c>
      <c r="D1251" t="str">
        <f t="shared" si="631"/>
        <v>2781</v>
      </c>
      <c r="E1251" t="str">
        <f t="shared" si="635"/>
        <v>COM</v>
      </c>
      <c r="F1251" t="str">
        <f t="shared" si="632"/>
        <v>FARMÁCIA INDIANA LJ 1 (10126)</v>
      </c>
      <c r="G1251" t="str">
        <f t="shared" si="633"/>
        <v>Serv.Prest. 24/02/2025 a 02/03/2025 - RPS: 553 - NFSe: 2781</v>
      </c>
      <c r="H1251" t="str">
        <f t="shared" si="638"/>
        <v>12/03/2025</v>
      </c>
      <c r="I1251" t="str">
        <f t="shared" si="634"/>
        <v>04/03/2025</v>
      </c>
      <c r="J1251" t="str">
        <f t="shared" si="639"/>
        <v>12/03/2025</v>
      </c>
      <c r="M1251">
        <v>303</v>
      </c>
      <c r="N1251" t="str">
        <f t="shared" si="640"/>
        <v>RECEITAS COM ENTREGAS</v>
      </c>
      <c r="P1251">
        <v>137.05000000000001</v>
      </c>
      <c r="Q1251" t="str">
        <f>"FARMÁCIA INDIANA LJ 109 (10047)"</f>
        <v>FARMÁCIA INDIANA LJ 109 (10047)</v>
      </c>
      <c r="R1251" t="str">
        <f t="shared" si="641"/>
        <v>RECEITAS COM ENTREGAS (303)</v>
      </c>
      <c r="S1251">
        <v>1184</v>
      </c>
      <c r="T1251">
        <v>955</v>
      </c>
      <c r="U1251" t="s">
        <v>19</v>
      </c>
    </row>
    <row r="1252" spans="1:21">
      <c r="A1252" t="str">
        <f t="shared" si="636"/>
        <v>12/03/2025</v>
      </c>
      <c r="B1252" t="str">
        <f t="shared" si="627"/>
        <v>ENTRADA</v>
      </c>
      <c r="C1252" t="str">
        <f t="shared" si="637"/>
        <v>NFSE</v>
      </c>
      <c r="D1252" t="str">
        <f t="shared" si="631"/>
        <v>2781</v>
      </c>
      <c r="E1252" t="str">
        <f t="shared" si="635"/>
        <v>COM</v>
      </c>
      <c r="F1252" t="str">
        <f t="shared" si="632"/>
        <v>FARMÁCIA INDIANA LJ 1 (10126)</v>
      </c>
      <c r="G1252" t="str">
        <f t="shared" si="633"/>
        <v>Serv.Prest. 24/02/2025 a 02/03/2025 - RPS: 553 - NFSe: 2781</v>
      </c>
      <c r="H1252" t="str">
        <f t="shared" si="638"/>
        <v>12/03/2025</v>
      </c>
      <c r="I1252" t="str">
        <f t="shared" si="634"/>
        <v>04/03/2025</v>
      </c>
      <c r="J1252" t="str">
        <f t="shared" si="639"/>
        <v>12/03/2025</v>
      </c>
      <c r="M1252">
        <v>303</v>
      </c>
      <c r="N1252" t="str">
        <f t="shared" si="640"/>
        <v>RECEITAS COM ENTREGAS</v>
      </c>
      <c r="P1252">
        <v>480.94</v>
      </c>
      <c r="Q1252" t="str">
        <f>"FARMÁCIA INDIANA LJ 110 (10048)"</f>
        <v>FARMÁCIA INDIANA LJ 110 (10048)</v>
      </c>
      <c r="R1252" t="str">
        <f t="shared" si="641"/>
        <v>RECEITAS COM ENTREGAS (303)</v>
      </c>
      <c r="S1252">
        <v>1184</v>
      </c>
      <c r="T1252">
        <v>955</v>
      </c>
      <c r="U1252" t="s">
        <v>19</v>
      </c>
    </row>
    <row r="1253" spans="1:21">
      <c r="A1253" t="str">
        <f t="shared" si="636"/>
        <v>12/03/2025</v>
      </c>
      <c r="B1253" t="str">
        <f t="shared" si="627"/>
        <v>ENTRADA</v>
      </c>
      <c r="C1253" t="str">
        <f t="shared" si="637"/>
        <v>NFSE</v>
      </c>
      <c r="D1253" t="str">
        <f t="shared" si="631"/>
        <v>2781</v>
      </c>
      <c r="E1253" t="str">
        <f t="shared" si="635"/>
        <v>COM</v>
      </c>
      <c r="F1253" t="str">
        <f t="shared" si="632"/>
        <v>FARMÁCIA INDIANA LJ 1 (10126)</v>
      </c>
      <c r="G1253" t="str">
        <f t="shared" si="633"/>
        <v>Serv.Prest. 24/02/2025 a 02/03/2025 - RPS: 553 - NFSe: 2781</v>
      </c>
      <c r="H1253" t="str">
        <f t="shared" si="638"/>
        <v>12/03/2025</v>
      </c>
      <c r="I1253" t="str">
        <f t="shared" si="634"/>
        <v>04/03/2025</v>
      </c>
      <c r="J1253" t="str">
        <f t="shared" si="639"/>
        <v>12/03/2025</v>
      </c>
      <c r="M1253">
        <v>303</v>
      </c>
      <c r="N1253" t="str">
        <f t="shared" si="640"/>
        <v>RECEITAS COM ENTREGAS</v>
      </c>
      <c r="P1253">
        <v>64.790000000000006</v>
      </c>
      <c r="Q1253" t="str">
        <f>"FARMÁCIA INDIANA LJ 111 (10049)"</f>
        <v>FARMÁCIA INDIANA LJ 111 (10049)</v>
      </c>
      <c r="R1253" t="str">
        <f t="shared" si="641"/>
        <v>RECEITAS COM ENTREGAS (303)</v>
      </c>
      <c r="S1253">
        <v>1184</v>
      </c>
      <c r="T1253">
        <v>955</v>
      </c>
      <c r="U1253" t="s">
        <v>19</v>
      </c>
    </row>
    <row r="1254" spans="1:21">
      <c r="A1254" t="str">
        <f t="shared" si="636"/>
        <v>12/03/2025</v>
      </c>
      <c r="B1254" t="str">
        <f t="shared" si="627"/>
        <v>ENTRADA</v>
      </c>
      <c r="C1254" t="str">
        <f t="shared" si="637"/>
        <v>NFSE</v>
      </c>
      <c r="D1254" t="str">
        <f t="shared" si="631"/>
        <v>2781</v>
      </c>
      <c r="E1254" t="str">
        <f t="shared" si="635"/>
        <v>COM</v>
      </c>
      <c r="F1254" t="str">
        <f t="shared" si="632"/>
        <v>FARMÁCIA INDIANA LJ 1 (10126)</v>
      </c>
      <c r="G1254" t="str">
        <f t="shared" si="633"/>
        <v>Serv.Prest. 24/02/2025 a 02/03/2025 - RPS: 553 - NFSe: 2781</v>
      </c>
      <c r="H1254" t="str">
        <f t="shared" si="638"/>
        <v>12/03/2025</v>
      </c>
      <c r="I1254" t="str">
        <f t="shared" si="634"/>
        <v>04/03/2025</v>
      </c>
      <c r="J1254" t="str">
        <f t="shared" si="639"/>
        <v>12/03/2025</v>
      </c>
      <c r="M1254">
        <v>303</v>
      </c>
      <c r="N1254" t="str">
        <f t="shared" si="640"/>
        <v>RECEITAS COM ENTREGAS</v>
      </c>
      <c r="P1254">
        <v>125.84</v>
      </c>
      <c r="Q1254" t="str">
        <f>"FARMÁCIA INDIANA LJ 112 (10050)"</f>
        <v>FARMÁCIA INDIANA LJ 112 (10050)</v>
      </c>
      <c r="R1254" t="str">
        <f t="shared" si="641"/>
        <v>RECEITAS COM ENTREGAS (303)</v>
      </c>
      <c r="S1254">
        <v>1184</v>
      </c>
      <c r="T1254">
        <v>955</v>
      </c>
      <c r="U1254" t="s">
        <v>19</v>
      </c>
    </row>
    <row r="1255" spans="1:21">
      <c r="A1255" t="str">
        <f t="shared" si="636"/>
        <v>12/03/2025</v>
      </c>
      <c r="B1255" t="str">
        <f t="shared" si="627"/>
        <v>ENTRADA</v>
      </c>
      <c r="C1255" t="str">
        <f t="shared" si="637"/>
        <v>NFSE</v>
      </c>
      <c r="D1255" t="str">
        <f t="shared" si="631"/>
        <v>2781</v>
      </c>
      <c r="E1255" t="str">
        <f t="shared" si="635"/>
        <v>COM</v>
      </c>
      <c r="F1255" t="str">
        <f t="shared" si="632"/>
        <v>FARMÁCIA INDIANA LJ 1 (10126)</v>
      </c>
      <c r="G1255" t="str">
        <f t="shared" si="633"/>
        <v>Serv.Prest. 24/02/2025 a 02/03/2025 - RPS: 553 - NFSe: 2781</v>
      </c>
      <c r="H1255" t="str">
        <f t="shared" si="638"/>
        <v>12/03/2025</v>
      </c>
      <c r="I1255" t="str">
        <f t="shared" si="634"/>
        <v>04/03/2025</v>
      </c>
      <c r="J1255" t="str">
        <f t="shared" si="639"/>
        <v>12/03/2025</v>
      </c>
      <c r="M1255">
        <v>303</v>
      </c>
      <c r="N1255" t="str">
        <f t="shared" si="640"/>
        <v>RECEITAS COM ENTREGAS</v>
      </c>
      <c r="P1255">
        <v>125.84</v>
      </c>
      <c r="Q1255" t="str">
        <f>"FARMÁCIA INDIANA LJ 116 (10051)"</f>
        <v>FARMÁCIA INDIANA LJ 116 (10051)</v>
      </c>
      <c r="R1255" t="str">
        <f t="shared" si="641"/>
        <v>RECEITAS COM ENTREGAS (303)</v>
      </c>
      <c r="S1255">
        <v>1184</v>
      </c>
      <c r="T1255">
        <v>955</v>
      </c>
      <c r="U1255" t="s">
        <v>19</v>
      </c>
    </row>
    <row r="1256" spans="1:21">
      <c r="A1256" t="str">
        <f t="shared" si="636"/>
        <v>12/03/2025</v>
      </c>
      <c r="B1256" t="str">
        <f t="shared" si="627"/>
        <v>ENTRADA</v>
      </c>
      <c r="C1256" t="str">
        <f t="shared" si="637"/>
        <v>NFSE</v>
      </c>
      <c r="D1256" t="str">
        <f t="shared" si="631"/>
        <v>2781</v>
      </c>
      <c r="E1256" t="str">
        <f t="shared" si="635"/>
        <v>COM</v>
      </c>
      <c r="F1256" t="str">
        <f t="shared" si="632"/>
        <v>FARMÁCIA INDIANA LJ 1 (10126)</v>
      </c>
      <c r="G1256" t="str">
        <f t="shared" si="633"/>
        <v>Serv.Prest. 24/02/2025 a 02/03/2025 - RPS: 553 - NFSe: 2781</v>
      </c>
      <c r="H1256" t="str">
        <f t="shared" si="638"/>
        <v>12/03/2025</v>
      </c>
      <c r="I1256" t="str">
        <f t="shared" si="634"/>
        <v>04/03/2025</v>
      </c>
      <c r="J1256" t="str">
        <f t="shared" si="639"/>
        <v>12/03/2025</v>
      </c>
      <c r="M1256">
        <v>303</v>
      </c>
      <c r="N1256" t="str">
        <f t="shared" si="640"/>
        <v>RECEITAS COM ENTREGAS</v>
      </c>
      <c r="P1256">
        <v>129.58000000000001</v>
      </c>
      <c r="Q1256" t="str">
        <f>"FARMÁCIA INDIANA LJ 118 (10052)"</f>
        <v>FARMÁCIA INDIANA LJ 118 (10052)</v>
      </c>
      <c r="R1256" t="str">
        <f t="shared" si="641"/>
        <v>RECEITAS COM ENTREGAS (303)</v>
      </c>
      <c r="S1256">
        <v>1184</v>
      </c>
      <c r="T1256">
        <v>955</v>
      </c>
      <c r="U1256" t="s">
        <v>19</v>
      </c>
    </row>
    <row r="1257" spans="1:21">
      <c r="A1257" t="str">
        <f t="shared" si="636"/>
        <v>12/03/2025</v>
      </c>
      <c r="B1257" t="str">
        <f t="shared" si="627"/>
        <v>ENTRADA</v>
      </c>
      <c r="C1257" t="str">
        <f t="shared" si="637"/>
        <v>NFSE</v>
      </c>
      <c r="D1257" t="str">
        <f t="shared" si="631"/>
        <v>2781</v>
      </c>
      <c r="E1257" t="str">
        <f t="shared" si="635"/>
        <v>COM</v>
      </c>
      <c r="F1257" t="str">
        <f t="shared" si="632"/>
        <v>FARMÁCIA INDIANA LJ 1 (10126)</v>
      </c>
      <c r="G1257" t="str">
        <f t="shared" si="633"/>
        <v>Serv.Prest. 24/02/2025 a 02/03/2025 - RPS: 553 - NFSe: 2781</v>
      </c>
      <c r="H1257" t="str">
        <f t="shared" si="638"/>
        <v>12/03/2025</v>
      </c>
      <c r="I1257" t="str">
        <f t="shared" si="634"/>
        <v>04/03/2025</v>
      </c>
      <c r="J1257" t="str">
        <f t="shared" si="639"/>
        <v>12/03/2025</v>
      </c>
      <c r="M1257">
        <v>303</v>
      </c>
      <c r="N1257" t="str">
        <f t="shared" si="640"/>
        <v>RECEITAS COM ENTREGAS</v>
      </c>
      <c r="P1257">
        <v>125.84</v>
      </c>
      <c r="Q1257" t="str">
        <f>"FARMÁCIA INDIANA LJ 121 (10054)"</f>
        <v>FARMÁCIA INDIANA LJ 121 (10054)</v>
      </c>
      <c r="R1257" t="str">
        <f t="shared" si="641"/>
        <v>RECEITAS COM ENTREGAS (303)</v>
      </c>
      <c r="S1257">
        <v>1184</v>
      </c>
      <c r="T1257">
        <v>955</v>
      </c>
      <c r="U1257" t="s">
        <v>19</v>
      </c>
    </row>
    <row r="1258" spans="1:21">
      <c r="A1258" t="str">
        <f t="shared" si="636"/>
        <v>12/03/2025</v>
      </c>
      <c r="B1258" t="str">
        <f t="shared" si="627"/>
        <v>ENTRADA</v>
      </c>
      <c r="C1258" t="str">
        <f t="shared" si="637"/>
        <v>NFSE</v>
      </c>
      <c r="D1258" t="str">
        <f t="shared" si="631"/>
        <v>2781</v>
      </c>
      <c r="E1258" t="str">
        <f t="shared" si="635"/>
        <v>COM</v>
      </c>
      <c r="F1258" t="str">
        <f t="shared" si="632"/>
        <v>FARMÁCIA INDIANA LJ 1 (10126)</v>
      </c>
      <c r="G1258" t="str">
        <f t="shared" si="633"/>
        <v>Serv.Prest. 24/02/2025 a 02/03/2025 - RPS: 553 - NFSe: 2781</v>
      </c>
      <c r="H1258" t="str">
        <f t="shared" si="638"/>
        <v>12/03/2025</v>
      </c>
      <c r="I1258" t="str">
        <f t="shared" si="634"/>
        <v>04/03/2025</v>
      </c>
      <c r="J1258" t="str">
        <f t="shared" si="639"/>
        <v>12/03/2025</v>
      </c>
      <c r="M1258">
        <v>303</v>
      </c>
      <c r="N1258" t="str">
        <f t="shared" si="640"/>
        <v>RECEITAS COM ENTREGAS</v>
      </c>
      <c r="P1258">
        <v>125.84</v>
      </c>
      <c r="Q1258" t="str">
        <f>"FARMÁCIA INDIANA LJ 128 (10057)"</f>
        <v>FARMÁCIA INDIANA LJ 128 (10057)</v>
      </c>
      <c r="R1258" t="str">
        <f t="shared" si="641"/>
        <v>RECEITAS COM ENTREGAS (303)</v>
      </c>
      <c r="S1258">
        <v>1184</v>
      </c>
      <c r="T1258">
        <v>955</v>
      </c>
      <c r="U1258" t="s">
        <v>19</v>
      </c>
    </row>
    <row r="1259" spans="1:21">
      <c r="A1259" t="str">
        <f t="shared" si="636"/>
        <v>12/03/2025</v>
      </c>
      <c r="B1259" t="str">
        <f t="shared" si="627"/>
        <v>ENTRADA</v>
      </c>
      <c r="C1259" t="str">
        <f t="shared" si="637"/>
        <v>NFSE</v>
      </c>
      <c r="D1259" t="str">
        <f t="shared" si="631"/>
        <v>2781</v>
      </c>
      <c r="E1259" t="str">
        <f t="shared" si="635"/>
        <v>COM</v>
      </c>
      <c r="F1259" t="str">
        <f t="shared" si="632"/>
        <v>FARMÁCIA INDIANA LJ 1 (10126)</v>
      </c>
      <c r="G1259" t="str">
        <f t="shared" si="633"/>
        <v>Serv.Prest. 24/02/2025 a 02/03/2025 - RPS: 553 - NFSe: 2781</v>
      </c>
      <c r="H1259" t="str">
        <f t="shared" si="638"/>
        <v>12/03/2025</v>
      </c>
      <c r="I1259" t="str">
        <f t="shared" si="634"/>
        <v>04/03/2025</v>
      </c>
      <c r="J1259" t="str">
        <f t="shared" si="639"/>
        <v>12/03/2025</v>
      </c>
      <c r="M1259">
        <v>303</v>
      </c>
      <c r="N1259" t="str">
        <f t="shared" si="640"/>
        <v>RECEITAS COM ENTREGAS</v>
      </c>
      <c r="P1259">
        <v>1.25</v>
      </c>
      <c r="Q1259" t="str">
        <f>"FARMÁCIA INDIANA LJ 132 (10059)"</f>
        <v>FARMÁCIA INDIANA LJ 132 (10059)</v>
      </c>
      <c r="R1259" t="str">
        <f t="shared" si="641"/>
        <v>RECEITAS COM ENTREGAS (303)</v>
      </c>
      <c r="S1259">
        <v>1184</v>
      </c>
      <c r="T1259">
        <v>955</v>
      </c>
      <c r="U1259" t="s">
        <v>19</v>
      </c>
    </row>
    <row r="1260" spans="1:21">
      <c r="A1260" t="str">
        <f t="shared" si="636"/>
        <v>12/03/2025</v>
      </c>
      <c r="B1260" t="str">
        <f t="shared" si="627"/>
        <v>ENTRADA</v>
      </c>
      <c r="C1260" t="str">
        <f t="shared" si="637"/>
        <v>NFSE</v>
      </c>
      <c r="D1260" t="str">
        <f t="shared" si="631"/>
        <v>2781</v>
      </c>
      <c r="E1260" t="str">
        <f t="shared" si="635"/>
        <v>COM</v>
      </c>
      <c r="F1260" t="str">
        <f t="shared" si="632"/>
        <v>FARMÁCIA INDIANA LJ 1 (10126)</v>
      </c>
      <c r="G1260" t="str">
        <f t="shared" si="633"/>
        <v>Serv.Prest. 24/02/2025 a 02/03/2025 - RPS: 553 - NFSe: 2781</v>
      </c>
      <c r="H1260" t="str">
        <f t="shared" si="638"/>
        <v>12/03/2025</v>
      </c>
      <c r="I1260" t="str">
        <f t="shared" si="634"/>
        <v>04/03/2025</v>
      </c>
      <c r="J1260" t="str">
        <f t="shared" si="639"/>
        <v>12/03/2025</v>
      </c>
      <c r="M1260">
        <v>303</v>
      </c>
      <c r="N1260" t="str">
        <f t="shared" si="640"/>
        <v>RECEITAS COM ENTREGAS</v>
      </c>
      <c r="P1260">
        <v>28.66</v>
      </c>
      <c r="Q1260" t="str">
        <f>"FARMÁCIA INDIANA LJ 140 (10064)"</f>
        <v>FARMÁCIA INDIANA LJ 140 (10064)</v>
      </c>
      <c r="R1260" t="str">
        <f t="shared" si="641"/>
        <v>RECEITAS COM ENTREGAS (303)</v>
      </c>
      <c r="S1260">
        <v>1184</v>
      </c>
      <c r="T1260">
        <v>955</v>
      </c>
      <c r="U1260" t="s">
        <v>19</v>
      </c>
    </row>
    <row r="1261" spans="1:21">
      <c r="A1261" t="str">
        <f t="shared" si="636"/>
        <v>12/03/2025</v>
      </c>
      <c r="B1261" t="str">
        <f t="shared" si="627"/>
        <v>ENTRADA</v>
      </c>
      <c r="C1261" t="str">
        <f t="shared" si="637"/>
        <v>NFSE</v>
      </c>
      <c r="D1261" t="str">
        <f t="shared" si="631"/>
        <v>2781</v>
      </c>
      <c r="E1261" t="str">
        <f t="shared" si="635"/>
        <v>COM</v>
      </c>
      <c r="F1261" t="str">
        <f t="shared" si="632"/>
        <v>FARMÁCIA INDIANA LJ 1 (10126)</v>
      </c>
      <c r="G1261" t="str">
        <f t="shared" si="633"/>
        <v>Serv.Prest. 24/02/2025 a 02/03/2025 - RPS: 553 - NFSe: 2781</v>
      </c>
      <c r="H1261" t="str">
        <f t="shared" si="638"/>
        <v>12/03/2025</v>
      </c>
      <c r="I1261" t="str">
        <f t="shared" si="634"/>
        <v>04/03/2025</v>
      </c>
      <c r="J1261" t="str">
        <f t="shared" si="639"/>
        <v>12/03/2025</v>
      </c>
      <c r="M1261">
        <v>303</v>
      </c>
      <c r="N1261" t="str">
        <f t="shared" si="640"/>
        <v>RECEITAS COM ENTREGAS</v>
      </c>
      <c r="P1261">
        <v>22.43</v>
      </c>
      <c r="Q1261" t="str">
        <f>"FARMÁCIA INDIANA LJ 141 (10065)"</f>
        <v>FARMÁCIA INDIANA LJ 141 (10065)</v>
      </c>
      <c r="R1261" t="str">
        <f t="shared" si="641"/>
        <v>RECEITAS COM ENTREGAS (303)</v>
      </c>
      <c r="S1261">
        <v>1184</v>
      </c>
      <c r="T1261">
        <v>955</v>
      </c>
      <c r="U1261" t="s">
        <v>19</v>
      </c>
    </row>
    <row r="1262" spans="1:21">
      <c r="A1262" t="str">
        <f t="shared" si="636"/>
        <v>12/03/2025</v>
      </c>
      <c r="B1262" t="str">
        <f t="shared" si="627"/>
        <v>ENTRADA</v>
      </c>
      <c r="C1262" t="str">
        <f t="shared" si="637"/>
        <v>NFSE</v>
      </c>
      <c r="D1262" t="str">
        <f t="shared" si="631"/>
        <v>2781</v>
      </c>
      <c r="E1262" t="str">
        <f t="shared" si="635"/>
        <v>COM</v>
      </c>
      <c r="F1262" t="str">
        <f t="shared" si="632"/>
        <v>FARMÁCIA INDIANA LJ 1 (10126)</v>
      </c>
      <c r="G1262" t="str">
        <f t="shared" si="633"/>
        <v>Serv.Prest. 24/02/2025 a 02/03/2025 - RPS: 553 - NFSe: 2781</v>
      </c>
      <c r="H1262" t="str">
        <f t="shared" si="638"/>
        <v>12/03/2025</v>
      </c>
      <c r="I1262" t="str">
        <f t="shared" si="634"/>
        <v>04/03/2025</v>
      </c>
      <c r="J1262" t="str">
        <f t="shared" si="639"/>
        <v>12/03/2025</v>
      </c>
      <c r="M1262">
        <v>303</v>
      </c>
      <c r="N1262" t="str">
        <f t="shared" si="640"/>
        <v>RECEITAS COM ENTREGAS</v>
      </c>
      <c r="P1262">
        <v>686.52</v>
      </c>
      <c r="Q1262" t="str">
        <f>"FARMÁCIA INDIANA LJ 142 (10066)"</f>
        <v>FARMÁCIA INDIANA LJ 142 (10066)</v>
      </c>
      <c r="R1262" t="str">
        <f t="shared" si="641"/>
        <v>RECEITAS COM ENTREGAS (303)</v>
      </c>
      <c r="S1262">
        <v>1184</v>
      </c>
      <c r="T1262">
        <v>955</v>
      </c>
      <c r="U1262" t="s">
        <v>19</v>
      </c>
    </row>
    <row r="1263" spans="1:21">
      <c r="A1263" t="str">
        <f t="shared" si="636"/>
        <v>12/03/2025</v>
      </c>
      <c r="B1263" t="str">
        <f t="shared" si="627"/>
        <v>ENTRADA</v>
      </c>
      <c r="C1263" t="str">
        <f t="shared" si="637"/>
        <v>NFSE</v>
      </c>
      <c r="D1263" t="str">
        <f t="shared" si="631"/>
        <v>2781</v>
      </c>
      <c r="E1263" t="str">
        <f t="shared" si="635"/>
        <v>COM</v>
      </c>
      <c r="F1263" t="str">
        <f t="shared" si="632"/>
        <v>FARMÁCIA INDIANA LJ 1 (10126)</v>
      </c>
      <c r="G1263" t="str">
        <f t="shared" si="633"/>
        <v>Serv.Prest. 24/02/2025 a 02/03/2025 - RPS: 553 - NFSe: 2781</v>
      </c>
      <c r="H1263" t="str">
        <f t="shared" si="638"/>
        <v>12/03/2025</v>
      </c>
      <c r="I1263" t="str">
        <f t="shared" si="634"/>
        <v>04/03/2025</v>
      </c>
      <c r="J1263" t="str">
        <f t="shared" si="639"/>
        <v>12/03/2025</v>
      </c>
      <c r="M1263">
        <v>303</v>
      </c>
      <c r="N1263" t="str">
        <f t="shared" si="640"/>
        <v>RECEITAS COM ENTREGAS</v>
      </c>
      <c r="P1263">
        <v>66.040000000000006</v>
      </c>
      <c r="Q1263" t="str">
        <f>"FARMÁCIA INDIANA LJ 143 (10067)"</f>
        <v>FARMÁCIA INDIANA LJ 143 (10067)</v>
      </c>
      <c r="R1263" t="str">
        <f t="shared" si="641"/>
        <v>RECEITAS COM ENTREGAS (303)</v>
      </c>
      <c r="S1263">
        <v>1184</v>
      </c>
      <c r="T1263">
        <v>955</v>
      </c>
      <c r="U1263" t="s">
        <v>19</v>
      </c>
    </row>
    <row r="1264" spans="1:21">
      <c r="A1264" t="str">
        <f t="shared" si="636"/>
        <v>12/03/2025</v>
      </c>
      <c r="B1264" t="str">
        <f t="shared" si="627"/>
        <v>ENTRADA</v>
      </c>
      <c r="C1264" t="str">
        <f t="shared" si="637"/>
        <v>NFSE</v>
      </c>
      <c r="D1264" t="str">
        <f t="shared" si="631"/>
        <v>2781</v>
      </c>
      <c r="E1264" t="str">
        <f t="shared" si="635"/>
        <v>COM</v>
      </c>
      <c r="F1264" t="str">
        <f t="shared" si="632"/>
        <v>FARMÁCIA INDIANA LJ 1 (10126)</v>
      </c>
      <c r="G1264" t="str">
        <f t="shared" si="633"/>
        <v>Serv.Prest. 24/02/2025 a 02/03/2025 - RPS: 553 - NFSe: 2781</v>
      </c>
      <c r="H1264" t="str">
        <f t="shared" si="638"/>
        <v>12/03/2025</v>
      </c>
      <c r="I1264" t="str">
        <f t="shared" si="634"/>
        <v>04/03/2025</v>
      </c>
      <c r="J1264" t="str">
        <f t="shared" si="639"/>
        <v>12/03/2025</v>
      </c>
      <c r="M1264">
        <v>303</v>
      </c>
      <c r="N1264" t="str">
        <f t="shared" si="640"/>
        <v>RECEITAS COM ENTREGAS</v>
      </c>
      <c r="P1264">
        <v>168.2</v>
      </c>
      <c r="Q1264" t="str">
        <f>"FARMÁCIA INDIANA LJ 152 (10069)"</f>
        <v>FARMÁCIA INDIANA LJ 152 (10069)</v>
      </c>
      <c r="R1264" t="str">
        <f t="shared" si="641"/>
        <v>RECEITAS COM ENTREGAS (303)</v>
      </c>
      <c r="S1264">
        <v>1184</v>
      </c>
      <c r="T1264">
        <v>955</v>
      </c>
      <c r="U1264" t="s">
        <v>19</v>
      </c>
    </row>
    <row r="1265" spans="1:21">
      <c r="A1265" t="str">
        <f t="shared" si="636"/>
        <v>12/03/2025</v>
      </c>
      <c r="B1265" t="str">
        <f t="shared" si="627"/>
        <v>ENTRADA</v>
      </c>
      <c r="C1265" t="str">
        <f t="shared" si="637"/>
        <v>NFSE</v>
      </c>
      <c r="D1265" t="str">
        <f t="shared" si="631"/>
        <v>2781</v>
      </c>
      <c r="E1265" t="str">
        <f t="shared" si="635"/>
        <v>COM</v>
      </c>
      <c r="F1265" t="str">
        <f t="shared" si="632"/>
        <v>FARMÁCIA INDIANA LJ 1 (10126)</v>
      </c>
      <c r="G1265" t="str">
        <f t="shared" si="633"/>
        <v>Serv.Prest. 24/02/2025 a 02/03/2025 - RPS: 553 - NFSe: 2781</v>
      </c>
      <c r="H1265" t="str">
        <f t="shared" si="638"/>
        <v>12/03/2025</v>
      </c>
      <c r="I1265" t="str">
        <f t="shared" si="634"/>
        <v>04/03/2025</v>
      </c>
      <c r="J1265" t="str">
        <f t="shared" si="639"/>
        <v>12/03/2025</v>
      </c>
      <c r="M1265">
        <v>303</v>
      </c>
      <c r="N1265" t="str">
        <f t="shared" si="640"/>
        <v>RECEITAS COM ENTREGAS</v>
      </c>
      <c r="P1265">
        <v>39.869999999999997</v>
      </c>
      <c r="Q1265" t="str">
        <f>"FARMÁCIA INDIANA LJ 154 (10070)"</f>
        <v>FARMÁCIA INDIANA LJ 154 (10070)</v>
      </c>
      <c r="R1265" t="str">
        <f t="shared" si="641"/>
        <v>RECEITAS COM ENTREGAS (303)</v>
      </c>
      <c r="S1265">
        <v>1184</v>
      </c>
      <c r="T1265">
        <v>955</v>
      </c>
      <c r="U1265" t="s">
        <v>19</v>
      </c>
    </row>
    <row r="1266" spans="1:21">
      <c r="A1266" t="str">
        <f t="shared" si="636"/>
        <v>12/03/2025</v>
      </c>
      <c r="B1266" t="str">
        <f t="shared" si="627"/>
        <v>ENTRADA</v>
      </c>
      <c r="C1266" t="str">
        <f t="shared" si="637"/>
        <v>NFSE</v>
      </c>
      <c r="D1266" t="str">
        <f t="shared" si="631"/>
        <v>2781</v>
      </c>
      <c r="E1266" t="str">
        <f t="shared" si="635"/>
        <v>COM</v>
      </c>
      <c r="F1266" t="str">
        <f t="shared" si="632"/>
        <v>FARMÁCIA INDIANA LJ 1 (10126)</v>
      </c>
      <c r="G1266" t="str">
        <f t="shared" si="633"/>
        <v>Serv.Prest. 24/02/2025 a 02/03/2025 - RPS: 553 - NFSe: 2781</v>
      </c>
      <c r="H1266" t="str">
        <f t="shared" si="638"/>
        <v>12/03/2025</v>
      </c>
      <c r="I1266" t="str">
        <f t="shared" si="634"/>
        <v>04/03/2025</v>
      </c>
      <c r="J1266" t="str">
        <f t="shared" si="639"/>
        <v>12/03/2025</v>
      </c>
      <c r="M1266">
        <v>303</v>
      </c>
      <c r="N1266" t="str">
        <f t="shared" si="640"/>
        <v>RECEITAS COM ENTREGAS</v>
      </c>
      <c r="P1266">
        <v>346.37</v>
      </c>
      <c r="Q1266" t="str">
        <f>"FARMÁCIA INDIANA LJ 171 (10074)"</f>
        <v>FARMÁCIA INDIANA LJ 171 (10074)</v>
      </c>
      <c r="R1266" t="str">
        <f t="shared" si="641"/>
        <v>RECEITAS COM ENTREGAS (303)</v>
      </c>
      <c r="S1266">
        <v>1184</v>
      </c>
      <c r="T1266">
        <v>955</v>
      </c>
      <c r="U1266" t="s">
        <v>19</v>
      </c>
    </row>
    <row r="1267" spans="1:21">
      <c r="A1267" t="str">
        <f t="shared" si="636"/>
        <v>12/03/2025</v>
      </c>
      <c r="B1267" t="str">
        <f t="shared" si="627"/>
        <v>ENTRADA</v>
      </c>
      <c r="C1267" t="str">
        <f t="shared" si="637"/>
        <v>NFSE</v>
      </c>
      <c r="D1267" t="str">
        <f t="shared" si="631"/>
        <v>2781</v>
      </c>
      <c r="E1267" t="str">
        <f t="shared" si="635"/>
        <v>COM</v>
      </c>
      <c r="F1267" t="str">
        <f t="shared" si="632"/>
        <v>FARMÁCIA INDIANA LJ 1 (10126)</v>
      </c>
      <c r="G1267" t="str">
        <f t="shared" si="633"/>
        <v>Serv.Prest. 24/02/2025 a 02/03/2025 - RPS: 553 - NFSe: 2781</v>
      </c>
      <c r="H1267" t="str">
        <f t="shared" si="638"/>
        <v>12/03/2025</v>
      </c>
      <c r="I1267" t="str">
        <f t="shared" si="634"/>
        <v>04/03/2025</v>
      </c>
      <c r="J1267" t="str">
        <f t="shared" si="639"/>
        <v>12/03/2025</v>
      </c>
      <c r="M1267">
        <v>303</v>
      </c>
      <c r="N1267" t="str">
        <f t="shared" si="640"/>
        <v>RECEITAS COM ENTREGAS</v>
      </c>
      <c r="P1267">
        <v>130.82</v>
      </c>
      <c r="Q1267" t="str">
        <f>"FARMÁCIA INDIANA LJ 175 (10076)"</f>
        <v>FARMÁCIA INDIANA LJ 175 (10076)</v>
      </c>
      <c r="R1267" t="str">
        <f t="shared" si="641"/>
        <v>RECEITAS COM ENTREGAS (303)</v>
      </c>
      <c r="S1267">
        <v>1184</v>
      </c>
      <c r="T1267">
        <v>955</v>
      </c>
      <c r="U1267" t="s">
        <v>19</v>
      </c>
    </row>
    <row r="1268" spans="1:21">
      <c r="A1268" t="str">
        <f t="shared" si="636"/>
        <v>12/03/2025</v>
      </c>
      <c r="B1268" t="str">
        <f t="shared" si="627"/>
        <v>ENTRADA</v>
      </c>
      <c r="C1268" t="str">
        <f t="shared" si="637"/>
        <v>NFSE</v>
      </c>
      <c r="D1268" t="str">
        <f t="shared" si="631"/>
        <v>2781</v>
      </c>
      <c r="E1268" t="str">
        <f t="shared" si="635"/>
        <v>COM</v>
      </c>
      <c r="F1268" t="str">
        <f t="shared" si="632"/>
        <v>FARMÁCIA INDIANA LJ 1 (10126)</v>
      </c>
      <c r="G1268" t="str">
        <f t="shared" si="633"/>
        <v>Serv.Prest. 24/02/2025 a 02/03/2025 - RPS: 553 - NFSe: 2781</v>
      </c>
      <c r="H1268" t="str">
        <f t="shared" si="638"/>
        <v>12/03/2025</v>
      </c>
      <c r="I1268" t="str">
        <f t="shared" si="634"/>
        <v>04/03/2025</v>
      </c>
      <c r="J1268" t="str">
        <f t="shared" si="639"/>
        <v>12/03/2025</v>
      </c>
      <c r="M1268">
        <v>303</v>
      </c>
      <c r="N1268" t="str">
        <f t="shared" si="640"/>
        <v>RECEITAS COM ENTREGAS</v>
      </c>
      <c r="P1268">
        <v>114.63</v>
      </c>
      <c r="Q1268" t="str">
        <f>"FARMÁCIA INDIANA LJ 178 (10077)"</f>
        <v>FARMÁCIA INDIANA LJ 178 (10077)</v>
      </c>
      <c r="R1268" t="str">
        <f t="shared" si="641"/>
        <v>RECEITAS COM ENTREGAS (303)</v>
      </c>
      <c r="S1268">
        <v>1184</v>
      </c>
      <c r="T1268">
        <v>955</v>
      </c>
      <c r="U1268" t="s">
        <v>19</v>
      </c>
    </row>
    <row r="1269" spans="1:21">
      <c r="A1269" t="str">
        <f t="shared" si="636"/>
        <v>12/03/2025</v>
      </c>
      <c r="B1269" t="str">
        <f t="shared" si="627"/>
        <v>ENTRADA</v>
      </c>
      <c r="C1269" t="str">
        <f t="shared" si="637"/>
        <v>NFSE</v>
      </c>
      <c r="D1269" t="str">
        <f t="shared" si="631"/>
        <v>2781</v>
      </c>
      <c r="E1269" t="str">
        <f t="shared" si="635"/>
        <v>COM</v>
      </c>
      <c r="F1269" t="str">
        <f t="shared" si="632"/>
        <v>FARMÁCIA INDIANA LJ 1 (10126)</v>
      </c>
      <c r="G1269" t="str">
        <f t="shared" si="633"/>
        <v>Serv.Prest. 24/02/2025 a 02/03/2025 - RPS: 553 - NFSe: 2781</v>
      </c>
      <c r="H1269" t="str">
        <f t="shared" si="638"/>
        <v>12/03/2025</v>
      </c>
      <c r="I1269" t="str">
        <f t="shared" si="634"/>
        <v>04/03/2025</v>
      </c>
      <c r="J1269" t="str">
        <f t="shared" si="639"/>
        <v>12/03/2025</v>
      </c>
      <c r="M1269">
        <v>303</v>
      </c>
      <c r="N1269" t="str">
        <f t="shared" si="640"/>
        <v>RECEITAS COM ENTREGAS</v>
      </c>
      <c r="P1269">
        <v>79.739999999999995</v>
      </c>
      <c r="Q1269" t="str">
        <f>"FARMÁCIA INDIANA LJ 182 (10079)"</f>
        <v>FARMÁCIA INDIANA LJ 182 (10079)</v>
      </c>
      <c r="R1269" t="str">
        <f t="shared" si="641"/>
        <v>RECEITAS COM ENTREGAS (303)</v>
      </c>
      <c r="S1269">
        <v>1184</v>
      </c>
      <c r="T1269">
        <v>955</v>
      </c>
      <c r="U1269" t="s">
        <v>19</v>
      </c>
    </row>
    <row r="1270" spans="1:21">
      <c r="A1270" t="str">
        <f t="shared" si="636"/>
        <v>12/03/2025</v>
      </c>
      <c r="B1270" t="str">
        <f t="shared" si="627"/>
        <v>ENTRADA</v>
      </c>
      <c r="C1270" t="str">
        <f t="shared" si="637"/>
        <v>NFSE</v>
      </c>
      <c r="D1270" t="str">
        <f t="shared" si="631"/>
        <v>2781</v>
      </c>
      <c r="E1270" t="str">
        <f t="shared" si="635"/>
        <v>COM</v>
      </c>
      <c r="F1270" t="str">
        <f t="shared" si="632"/>
        <v>FARMÁCIA INDIANA LJ 1 (10126)</v>
      </c>
      <c r="G1270" t="str">
        <f t="shared" si="633"/>
        <v>Serv.Prest. 24/02/2025 a 02/03/2025 - RPS: 553 - NFSe: 2781</v>
      </c>
      <c r="H1270" t="str">
        <f t="shared" si="638"/>
        <v>12/03/2025</v>
      </c>
      <c r="I1270" t="str">
        <f t="shared" si="634"/>
        <v>04/03/2025</v>
      </c>
      <c r="J1270" t="str">
        <f t="shared" si="639"/>
        <v>12/03/2025</v>
      </c>
      <c r="M1270">
        <v>303</v>
      </c>
      <c r="N1270" t="str">
        <f t="shared" si="640"/>
        <v>RECEITAS COM ENTREGAS</v>
      </c>
      <c r="P1270">
        <v>39.869999999999997</v>
      </c>
      <c r="Q1270" t="str">
        <f>"FARMÁCIA INDIANA LJ 184 (10080)"</f>
        <v>FARMÁCIA INDIANA LJ 184 (10080)</v>
      </c>
      <c r="R1270" t="str">
        <f t="shared" si="641"/>
        <v>RECEITAS COM ENTREGAS (303)</v>
      </c>
      <c r="S1270">
        <v>1184</v>
      </c>
      <c r="T1270">
        <v>955</v>
      </c>
      <c r="U1270" t="s">
        <v>19</v>
      </c>
    </row>
    <row r="1271" spans="1:21">
      <c r="A1271" t="str">
        <f t="shared" si="636"/>
        <v>12/03/2025</v>
      </c>
      <c r="B1271" t="str">
        <f t="shared" si="627"/>
        <v>ENTRADA</v>
      </c>
      <c r="C1271" t="str">
        <f t="shared" si="637"/>
        <v>NFSE</v>
      </c>
      <c r="D1271" t="str">
        <f t="shared" si="631"/>
        <v>2781</v>
      </c>
      <c r="E1271" t="str">
        <f t="shared" si="635"/>
        <v>COM</v>
      </c>
      <c r="F1271" t="str">
        <f t="shared" si="632"/>
        <v>FARMÁCIA INDIANA LJ 1 (10126)</v>
      </c>
      <c r="G1271" t="str">
        <f t="shared" si="633"/>
        <v>Serv.Prest. 24/02/2025 a 02/03/2025 - RPS: 553 - NFSe: 2781</v>
      </c>
      <c r="H1271" t="str">
        <f t="shared" si="638"/>
        <v>12/03/2025</v>
      </c>
      <c r="I1271" t="str">
        <f t="shared" si="634"/>
        <v>04/03/2025</v>
      </c>
      <c r="J1271" t="str">
        <f t="shared" si="639"/>
        <v>12/03/2025</v>
      </c>
      <c r="M1271">
        <v>303</v>
      </c>
      <c r="N1271" t="str">
        <f t="shared" si="640"/>
        <v>RECEITAS COM ENTREGAS</v>
      </c>
      <c r="P1271">
        <v>79.739999999999995</v>
      </c>
      <c r="Q1271" t="str">
        <f>"FARMÁCIA INDIANA LJ 186 (10081)"</f>
        <v>FARMÁCIA INDIANA LJ 186 (10081)</v>
      </c>
      <c r="R1271" t="str">
        <f t="shared" si="641"/>
        <v>RECEITAS COM ENTREGAS (303)</v>
      </c>
      <c r="S1271">
        <v>1184</v>
      </c>
      <c r="T1271">
        <v>955</v>
      </c>
      <c r="U1271" t="s">
        <v>19</v>
      </c>
    </row>
    <row r="1272" spans="1:21">
      <c r="A1272" t="str">
        <f t="shared" si="636"/>
        <v>12/03/2025</v>
      </c>
      <c r="B1272" t="str">
        <f t="shared" si="627"/>
        <v>ENTRADA</v>
      </c>
      <c r="C1272" t="str">
        <f t="shared" si="637"/>
        <v>NFSE</v>
      </c>
      <c r="D1272" t="str">
        <f t="shared" si="631"/>
        <v>2781</v>
      </c>
      <c r="E1272" t="str">
        <f t="shared" si="635"/>
        <v>COM</v>
      </c>
      <c r="F1272" t="str">
        <f t="shared" si="632"/>
        <v>FARMÁCIA INDIANA LJ 1 (10126)</v>
      </c>
      <c r="G1272" t="str">
        <f t="shared" si="633"/>
        <v>Serv.Prest. 24/02/2025 a 02/03/2025 - RPS: 553 - NFSe: 2781</v>
      </c>
      <c r="H1272" t="str">
        <f t="shared" si="638"/>
        <v>12/03/2025</v>
      </c>
      <c r="I1272" t="str">
        <f t="shared" si="634"/>
        <v>04/03/2025</v>
      </c>
      <c r="J1272" t="str">
        <f t="shared" si="639"/>
        <v>12/03/2025</v>
      </c>
      <c r="M1272">
        <v>303</v>
      </c>
      <c r="N1272" t="str">
        <f t="shared" si="640"/>
        <v>RECEITAS COM ENTREGAS</v>
      </c>
      <c r="P1272">
        <v>47.35</v>
      </c>
      <c r="Q1272" t="str">
        <f>"FARMÁCIA INDIANA LJ 192 (10082)"</f>
        <v>FARMÁCIA INDIANA LJ 192 (10082)</v>
      </c>
      <c r="R1272" t="str">
        <f t="shared" si="641"/>
        <v>RECEITAS COM ENTREGAS (303)</v>
      </c>
      <c r="S1272">
        <v>1184</v>
      </c>
      <c r="T1272">
        <v>955</v>
      </c>
      <c r="U1272" t="s">
        <v>19</v>
      </c>
    </row>
    <row r="1273" spans="1:21">
      <c r="A1273" t="str">
        <f t="shared" si="636"/>
        <v>12/03/2025</v>
      </c>
      <c r="B1273" t="str">
        <f t="shared" si="627"/>
        <v>ENTRADA</v>
      </c>
      <c r="C1273" t="str">
        <f t="shared" si="637"/>
        <v>NFSE</v>
      </c>
      <c r="D1273" t="str">
        <f t="shared" si="631"/>
        <v>2781</v>
      </c>
      <c r="E1273" t="str">
        <f t="shared" si="635"/>
        <v>COM</v>
      </c>
      <c r="F1273" t="str">
        <f t="shared" si="632"/>
        <v>FARMÁCIA INDIANA LJ 1 (10126)</v>
      </c>
      <c r="G1273" t="str">
        <f t="shared" si="633"/>
        <v>Serv.Prest. 24/02/2025 a 02/03/2025 - RPS: 553 - NFSe: 2781</v>
      </c>
      <c r="H1273" t="str">
        <f t="shared" si="638"/>
        <v>12/03/2025</v>
      </c>
      <c r="I1273" t="str">
        <f t="shared" si="634"/>
        <v>04/03/2025</v>
      </c>
      <c r="J1273" t="str">
        <f t="shared" si="639"/>
        <v>12/03/2025</v>
      </c>
      <c r="M1273">
        <v>303</v>
      </c>
      <c r="N1273" t="str">
        <f t="shared" si="640"/>
        <v>RECEITAS COM ENTREGAS</v>
      </c>
      <c r="P1273">
        <v>39.869999999999997</v>
      </c>
      <c r="Q1273" t="str">
        <f>"FARMÁCIA INDIANA LJ 195 (10083)"</f>
        <v>FARMÁCIA INDIANA LJ 195 (10083)</v>
      </c>
      <c r="R1273" t="str">
        <f t="shared" si="641"/>
        <v>RECEITAS COM ENTREGAS (303)</v>
      </c>
      <c r="S1273">
        <v>1184</v>
      </c>
      <c r="T1273">
        <v>955</v>
      </c>
      <c r="U1273" t="s">
        <v>19</v>
      </c>
    </row>
    <row r="1274" spans="1:21">
      <c r="A1274" t="str">
        <f t="shared" si="636"/>
        <v>12/03/2025</v>
      </c>
      <c r="B1274" t="str">
        <f t="shared" si="627"/>
        <v>ENTRADA</v>
      </c>
      <c r="C1274" t="str">
        <f t="shared" si="637"/>
        <v>NFSE</v>
      </c>
      <c r="D1274" t="str">
        <f t="shared" si="631"/>
        <v>2781</v>
      </c>
      <c r="E1274" t="str">
        <f t="shared" si="635"/>
        <v>COM</v>
      </c>
      <c r="F1274" t="str">
        <f t="shared" si="632"/>
        <v>FARMÁCIA INDIANA LJ 1 (10126)</v>
      </c>
      <c r="G1274" t="str">
        <f t="shared" si="633"/>
        <v>Serv.Prest. 24/02/2025 a 02/03/2025 - RPS: 553 - NFSe: 2781</v>
      </c>
      <c r="H1274" t="str">
        <f t="shared" si="638"/>
        <v>12/03/2025</v>
      </c>
      <c r="I1274" t="str">
        <f t="shared" si="634"/>
        <v>04/03/2025</v>
      </c>
      <c r="J1274" t="str">
        <f t="shared" si="639"/>
        <v>12/03/2025</v>
      </c>
      <c r="M1274">
        <v>303</v>
      </c>
      <c r="N1274" t="str">
        <f t="shared" si="640"/>
        <v>RECEITAS COM ENTREGAS</v>
      </c>
      <c r="P1274">
        <v>159.47999999999999</v>
      </c>
      <c r="Q1274" t="str">
        <f>"FARMÁCIA INDIANA LJ 202 (10085)"</f>
        <v>FARMÁCIA INDIANA LJ 202 (10085)</v>
      </c>
      <c r="R1274" t="str">
        <f t="shared" si="641"/>
        <v>RECEITAS COM ENTREGAS (303)</v>
      </c>
      <c r="S1274">
        <v>1184</v>
      </c>
      <c r="T1274">
        <v>955</v>
      </c>
      <c r="U1274" t="s">
        <v>19</v>
      </c>
    </row>
    <row r="1275" spans="1:21">
      <c r="A1275" t="str">
        <f t="shared" si="636"/>
        <v>12/03/2025</v>
      </c>
      <c r="B1275" t="str">
        <f t="shared" si="627"/>
        <v>ENTRADA</v>
      </c>
      <c r="C1275" t="str">
        <f t="shared" si="637"/>
        <v>NFSE</v>
      </c>
      <c r="D1275" t="str">
        <f t="shared" si="631"/>
        <v>2781</v>
      </c>
      <c r="E1275" t="str">
        <f t="shared" si="635"/>
        <v>COM</v>
      </c>
      <c r="F1275" t="str">
        <f t="shared" si="632"/>
        <v>FARMÁCIA INDIANA LJ 1 (10126)</v>
      </c>
      <c r="G1275" t="str">
        <f t="shared" si="633"/>
        <v>Serv.Prest. 24/02/2025 a 02/03/2025 - RPS: 553 - NFSe: 2781</v>
      </c>
      <c r="H1275" t="str">
        <f t="shared" si="638"/>
        <v>12/03/2025</v>
      </c>
      <c r="I1275" t="str">
        <f t="shared" si="634"/>
        <v>04/03/2025</v>
      </c>
      <c r="J1275" t="str">
        <f t="shared" si="639"/>
        <v>12/03/2025</v>
      </c>
      <c r="M1275">
        <v>303</v>
      </c>
      <c r="N1275" t="str">
        <f t="shared" si="640"/>
        <v>RECEITAS COM ENTREGAS</v>
      </c>
      <c r="P1275">
        <v>107.15</v>
      </c>
      <c r="Q1275" t="str">
        <f>"FARMÁCIA INDIANA LJ 204 (10087)"</f>
        <v>FARMÁCIA INDIANA LJ 204 (10087)</v>
      </c>
      <c r="R1275" t="str">
        <f t="shared" si="641"/>
        <v>RECEITAS COM ENTREGAS (303)</v>
      </c>
      <c r="S1275">
        <v>1184</v>
      </c>
      <c r="T1275">
        <v>955</v>
      </c>
      <c r="U1275" t="s">
        <v>19</v>
      </c>
    </row>
    <row r="1276" spans="1:21">
      <c r="A1276" t="str">
        <f t="shared" si="636"/>
        <v>12/03/2025</v>
      </c>
      <c r="B1276" t="str">
        <f t="shared" si="627"/>
        <v>ENTRADA</v>
      </c>
      <c r="C1276" t="str">
        <f t="shared" si="637"/>
        <v>NFSE</v>
      </c>
      <c r="D1276" t="str">
        <f t="shared" si="631"/>
        <v>2781</v>
      </c>
      <c r="E1276" t="str">
        <f t="shared" si="635"/>
        <v>COM</v>
      </c>
      <c r="F1276" t="str">
        <f t="shared" si="632"/>
        <v>FARMÁCIA INDIANA LJ 1 (10126)</v>
      </c>
      <c r="G1276" t="str">
        <f t="shared" si="633"/>
        <v>Serv.Prest. 24/02/2025 a 02/03/2025 - RPS: 553 - NFSe: 2781</v>
      </c>
      <c r="H1276" t="str">
        <f t="shared" si="638"/>
        <v>12/03/2025</v>
      </c>
      <c r="I1276" t="str">
        <f t="shared" si="634"/>
        <v>04/03/2025</v>
      </c>
      <c r="J1276" t="str">
        <f t="shared" si="639"/>
        <v>12/03/2025</v>
      </c>
      <c r="M1276">
        <v>303</v>
      </c>
      <c r="N1276" t="str">
        <f t="shared" si="640"/>
        <v>RECEITAS COM ENTREGAS</v>
      </c>
      <c r="P1276">
        <v>107.15</v>
      </c>
      <c r="Q1276" t="str">
        <f>"FARMÁCIA INDIANA LJ 207 (10088)"</f>
        <v>FARMÁCIA INDIANA LJ 207 (10088)</v>
      </c>
      <c r="R1276" t="str">
        <f t="shared" si="641"/>
        <v>RECEITAS COM ENTREGAS (303)</v>
      </c>
      <c r="S1276">
        <v>1184</v>
      </c>
      <c r="T1276">
        <v>955</v>
      </c>
      <c r="U1276" t="s">
        <v>19</v>
      </c>
    </row>
    <row r="1277" spans="1:21">
      <c r="A1277" t="str">
        <f t="shared" si="636"/>
        <v>12/03/2025</v>
      </c>
      <c r="B1277" t="str">
        <f t="shared" si="627"/>
        <v>ENTRADA</v>
      </c>
      <c r="C1277" t="str">
        <f t="shared" si="637"/>
        <v>NFSE</v>
      </c>
      <c r="D1277" t="str">
        <f t="shared" si="631"/>
        <v>2781</v>
      </c>
      <c r="E1277" t="str">
        <f t="shared" ref="E1277:E1288" si="642">"COM"</f>
        <v>COM</v>
      </c>
      <c r="F1277" t="str">
        <f t="shared" si="632"/>
        <v>FARMÁCIA INDIANA LJ 1 (10126)</v>
      </c>
      <c r="G1277" t="str">
        <f t="shared" si="633"/>
        <v>Serv.Prest. 24/02/2025 a 02/03/2025 - RPS: 553 - NFSe: 2781</v>
      </c>
      <c r="H1277" t="str">
        <f t="shared" si="638"/>
        <v>12/03/2025</v>
      </c>
      <c r="I1277" t="str">
        <f t="shared" si="634"/>
        <v>04/03/2025</v>
      </c>
      <c r="J1277" t="str">
        <f t="shared" si="639"/>
        <v>12/03/2025</v>
      </c>
      <c r="M1277">
        <v>303</v>
      </c>
      <c r="N1277" t="str">
        <f t="shared" si="640"/>
        <v>RECEITAS COM ENTREGAS</v>
      </c>
      <c r="P1277">
        <v>125.84</v>
      </c>
      <c r="Q1277" t="str">
        <f>"FARMÁCIA INDIANA LJ 209 (10089)"</f>
        <v>FARMÁCIA INDIANA LJ 209 (10089)</v>
      </c>
      <c r="R1277" t="str">
        <f t="shared" si="641"/>
        <v>RECEITAS COM ENTREGAS (303)</v>
      </c>
      <c r="S1277">
        <v>1184</v>
      </c>
      <c r="T1277">
        <v>955</v>
      </c>
      <c r="U1277" t="s">
        <v>19</v>
      </c>
    </row>
    <row r="1278" spans="1:21">
      <c r="A1278" t="str">
        <f t="shared" si="636"/>
        <v>12/03/2025</v>
      </c>
      <c r="B1278" t="str">
        <f t="shared" si="627"/>
        <v>ENTRADA</v>
      </c>
      <c r="C1278" t="str">
        <f t="shared" si="637"/>
        <v>NFSE</v>
      </c>
      <c r="D1278" t="str">
        <f t="shared" si="631"/>
        <v>2781</v>
      </c>
      <c r="E1278" t="str">
        <f t="shared" si="642"/>
        <v>COM</v>
      </c>
      <c r="F1278" t="str">
        <f t="shared" si="632"/>
        <v>FARMÁCIA INDIANA LJ 1 (10126)</v>
      </c>
      <c r="G1278" t="str">
        <f t="shared" si="633"/>
        <v>Serv.Prest. 24/02/2025 a 02/03/2025 - RPS: 553 - NFSe: 2781</v>
      </c>
      <c r="H1278" t="str">
        <f t="shared" si="638"/>
        <v>12/03/2025</v>
      </c>
      <c r="I1278" t="str">
        <f t="shared" si="634"/>
        <v>04/03/2025</v>
      </c>
      <c r="J1278" t="str">
        <f t="shared" si="639"/>
        <v>12/03/2025</v>
      </c>
      <c r="M1278">
        <v>303</v>
      </c>
      <c r="N1278" t="str">
        <f t="shared" si="640"/>
        <v>RECEITAS COM ENTREGAS</v>
      </c>
      <c r="P1278">
        <v>173.19</v>
      </c>
      <c r="Q1278" t="str">
        <f>"FARMÁCIA INDIANA LJ 219 (10091)"</f>
        <v>FARMÁCIA INDIANA LJ 219 (10091)</v>
      </c>
      <c r="R1278" t="str">
        <f t="shared" si="641"/>
        <v>RECEITAS COM ENTREGAS (303)</v>
      </c>
      <c r="S1278">
        <v>1184</v>
      </c>
      <c r="T1278">
        <v>955</v>
      </c>
      <c r="U1278" t="s">
        <v>19</v>
      </c>
    </row>
    <row r="1279" spans="1:21">
      <c r="A1279" t="str">
        <f t="shared" si="636"/>
        <v>12/03/2025</v>
      </c>
      <c r="B1279" t="str">
        <f t="shared" si="627"/>
        <v>ENTRADA</v>
      </c>
      <c r="C1279" t="str">
        <f t="shared" si="637"/>
        <v>NFSE</v>
      </c>
      <c r="D1279" t="str">
        <f t="shared" si="631"/>
        <v>2781</v>
      </c>
      <c r="E1279" t="str">
        <f t="shared" si="642"/>
        <v>COM</v>
      </c>
      <c r="F1279" t="str">
        <f t="shared" si="632"/>
        <v>FARMÁCIA INDIANA LJ 1 (10126)</v>
      </c>
      <c r="G1279" t="str">
        <f t="shared" si="633"/>
        <v>Serv.Prest. 24/02/2025 a 02/03/2025 - RPS: 553 - NFSe: 2781</v>
      </c>
      <c r="H1279" t="str">
        <f t="shared" si="638"/>
        <v>12/03/2025</v>
      </c>
      <c r="I1279" t="str">
        <f t="shared" si="634"/>
        <v>04/03/2025</v>
      </c>
      <c r="J1279" t="str">
        <f t="shared" si="639"/>
        <v>12/03/2025</v>
      </c>
      <c r="M1279">
        <v>303</v>
      </c>
      <c r="N1279" t="str">
        <f t="shared" si="640"/>
        <v>RECEITAS COM ENTREGAS</v>
      </c>
      <c r="P1279">
        <v>276.60000000000002</v>
      </c>
      <c r="Q1279" t="str">
        <f>"FARMÁCIA INDIANA LJ 220 (10092)"</f>
        <v>FARMÁCIA INDIANA LJ 220 (10092)</v>
      </c>
      <c r="R1279" t="str">
        <f t="shared" si="641"/>
        <v>RECEITAS COM ENTREGAS (303)</v>
      </c>
      <c r="S1279">
        <v>1184</v>
      </c>
      <c r="T1279">
        <v>955</v>
      </c>
      <c r="U1279" t="s">
        <v>19</v>
      </c>
    </row>
    <row r="1280" spans="1:21">
      <c r="A1280" t="str">
        <f t="shared" si="636"/>
        <v>12/03/2025</v>
      </c>
      <c r="B1280" t="str">
        <f t="shared" si="627"/>
        <v>ENTRADA</v>
      </c>
      <c r="C1280" t="str">
        <f t="shared" si="637"/>
        <v>NFSE</v>
      </c>
      <c r="D1280" t="str">
        <f t="shared" si="631"/>
        <v>2781</v>
      </c>
      <c r="E1280" t="str">
        <f t="shared" si="642"/>
        <v>COM</v>
      </c>
      <c r="F1280" t="str">
        <f t="shared" si="632"/>
        <v>FARMÁCIA INDIANA LJ 1 (10126)</v>
      </c>
      <c r="G1280" t="str">
        <f t="shared" si="633"/>
        <v>Serv.Prest. 24/02/2025 a 02/03/2025 - RPS: 553 - NFSe: 2781</v>
      </c>
      <c r="H1280" t="str">
        <f t="shared" si="638"/>
        <v>12/03/2025</v>
      </c>
      <c r="I1280" t="str">
        <f t="shared" si="634"/>
        <v>04/03/2025</v>
      </c>
      <c r="J1280" t="str">
        <f t="shared" si="639"/>
        <v>12/03/2025</v>
      </c>
      <c r="M1280">
        <v>303</v>
      </c>
      <c r="N1280" t="str">
        <f t="shared" si="640"/>
        <v>RECEITAS COM ENTREGAS</v>
      </c>
      <c r="P1280">
        <v>184.4</v>
      </c>
      <c r="Q1280" t="str">
        <f>"FARMÁCIA INDIANA LJ 185 (10141)"</f>
        <v>FARMÁCIA INDIANA LJ 185 (10141)</v>
      </c>
      <c r="R1280" t="str">
        <f t="shared" si="641"/>
        <v>RECEITAS COM ENTREGAS (303)</v>
      </c>
      <c r="S1280">
        <v>1184</v>
      </c>
      <c r="T1280">
        <v>955</v>
      </c>
      <c r="U1280" t="s">
        <v>19</v>
      </c>
    </row>
    <row r="1281" spans="1:21">
      <c r="A1281" t="str">
        <f t="shared" ref="A1281:A1290" si="643">("12/03/2025")</f>
        <v>12/03/2025</v>
      </c>
      <c r="B1281" t="str">
        <f t="shared" si="627"/>
        <v>ENTRADA</v>
      </c>
      <c r="C1281" t="str">
        <f t="shared" ref="C1281:C1288" si="644">"NFSE"</f>
        <v>NFSE</v>
      </c>
      <c r="D1281" t="str">
        <f>"2783"</f>
        <v>2783</v>
      </c>
      <c r="E1281" t="str">
        <f t="shared" si="642"/>
        <v>COM</v>
      </c>
      <c r="F1281" t="str">
        <f t="shared" si="632"/>
        <v>FARMÁCIA INDIANA LJ 1 (10126)</v>
      </c>
      <c r="G1281" t="str">
        <f>"Serv.Prest. 24/02/2025 a 02/03/2025 - RPS: 555 - NFSe: 2783"</f>
        <v>Serv.Prest. 24/02/2025 a 02/03/2025 - RPS: 555 - NFSe: 2783</v>
      </c>
      <c r="H1281" t="str">
        <f t="shared" ref="H1281:H1302" si="645">("12/03/2025")</f>
        <v>12/03/2025</v>
      </c>
      <c r="I1281" t="str">
        <f t="shared" si="634"/>
        <v>04/03/2025</v>
      </c>
      <c r="J1281" t="str">
        <f t="shared" ref="J1281:J1290" si="646">("12/03/2025")</f>
        <v>12/03/2025</v>
      </c>
      <c r="K1281">
        <v>605.24</v>
      </c>
      <c r="L1281">
        <v>605.24</v>
      </c>
      <c r="M1281">
        <v>303</v>
      </c>
      <c r="N1281" t="str">
        <f t="shared" ref="N1281:N1288" si="647">"RECEITAS COM ENTREGAS"</f>
        <v>RECEITAS COM ENTREGAS</v>
      </c>
      <c r="O1281">
        <v>605.24</v>
      </c>
      <c r="R1281" t="str">
        <f t="shared" ref="R1281:R1288" si="648">"RECEITAS COM ENTREGAS (303)"</f>
        <v>RECEITAS COM ENTREGAS (303)</v>
      </c>
      <c r="S1281">
        <v>1185</v>
      </c>
      <c r="T1281">
        <v>957</v>
      </c>
      <c r="U1281" t="s">
        <v>19</v>
      </c>
    </row>
    <row r="1282" spans="1:21">
      <c r="A1282" t="str">
        <f t="shared" si="643"/>
        <v>12/03/2025</v>
      </c>
      <c r="B1282" t="str">
        <f t="shared" ref="B1282:B1288" si="649">"ENTRADA"</f>
        <v>ENTRADA</v>
      </c>
      <c r="C1282" t="str">
        <f t="shared" si="644"/>
        <v>NFSE</v>
      </c>
      <c r="D1282" t="str">
        <f>"2783"</f>
        <v>2783</v>
      </c>
      <c r="E1282" t="str">
        <f t="shared" si="642"/>
        <v>COM</v>
      </c>
      <c r="F1282" t="str">
        <f t="shared" si="632"/>
        <v>FARMÁCIA INDIANA LJ 1 (10126)</v>
      </c>
      <c r="G1282" t="str">
        <f>"Serv.Prest. 24/02/2025 a 02/03/2025 - RPS: 555 - NFSe: 2783"</f>
        <v>Serv.Prest. 24/02/2025 a 02/03/2025 - RPS: 555 - NFSe: 2783</v>
      </c>
      <c r="H1282" t="str">
        <f t="shared" si="645"/>
        <v>12/03/2025</v>
      </c>
      <c r="I1282" t="str">
        <f t="shared" si="634"/>
        <v>04/03/2025</v>
      </c>
      <c r="J1282" t="str">
        <f t="shared" si="646"/>
        <v>12/03/2025</v>
      </c>
      <c r="M1282">
        <v>303</v>
      </c>
      <c r="N1282" t="str">
        <f t="shared" si="647"/>
        <v>RECEITAS COM ENTREGAS</v>
      </c>
      <c r="P1282">
        <v>605.24</v>
      </c>
      <c r="Q1282" t="str">
        <f>"FARMÁCIA INDIANA LJ 172 (10161)"</f>
        <v>FARMÁCIA INDIANA LJ 172 (10161)</v>
      </c>
      <c r="R1282" t="str">
        <f t="shared" si="648"/>
        <v>RECEITAS COM ENTREGAS (303)</v>
      </c>
      <c r="S1282">
        <v>1185</v>
      </c>
      <c r="T1282">
        <v>957</v>
      </c>
      <c r="U1282" t="s">
        <v>19</v>
      </c>
    </row>
    <row r="1283" spans="1:21">
      <c r="A1283" t="str">
        <f t="shared" si="643"/>
        <v>12/03/2025</v>
      </c>
      <c r="B1283" t="str">
        <f t="shared" si="649"/>
        <v>ENTRADA</v>
      </c>
      <c r="C1283" t="str">
        <f t="shared" si="644"/>
        <v>NFSE</v>
      </c>
      <c r="D1283" t="str">
        <f>"2790"</f>
        <v>2790</v>
      </c>
      <c r="E1283" t="str">
        <f t="shared" si="642"/>
        <v>COM</v>
      </c>
      <c r="F1283" t="str">
        <f>"FRAN FARMA (10124)"</f>
        <v>FRAN FARMA (10124)</v>
      </c>
      <c r="G1283" t="str">
        <f>"Serv.Prest. 03/03/2025 a 09/03/2025 - RPS: 562 - NFSe: 2790"</f>
        <v>Serv.Prest. 03/03/2025 a 09/03/2025 - RPS: 562 - NFSe: 2790</v>
      </c>
      <c r="H1283" t="str">
        <f t="shared" si="645"/>
        <v>12/03/2025</v>
      </c>
      <c r="I1283" t="str">
        <f t="shared" ref="I1283:I1288" si="650">("10/03/2025")</f>
        <v>10/03/2025</v>
      </c>
      <c r="J1283" t="str">
        <f t="shared" si="646"/>
        <v>12/03/2025</v>
      </c>
      <c r="K1283">
        <v>320</v>
      </c>
      <c r="L1283">
        <v>320</v>
      </c>
      <c r="M1283">
        <v>303</v>
      </c>
      <c r="N1283" t="str">
        <f t="shared" si="647"/>
        <v>RECEITAS COM ENTREGAS</v>
      </c>
      <c r="O1283">
        <v>320</v>
      </c>
      <c r="R1283" t="str">
        <f t="shared" si="648"/>
        <v>RECEITAS COM ENTREGAS (303)</v>
      </c>
      <c r="S1283">
        <v>1186</v>
      </c>
      <c r="T1283">
        <v>965</v>
      </c>
      <c r="U1283" t="s">
        <v>19</v>
      </c>
    </row>
    <row r="1284" spans="1:21">
      <c r="A1284" t="str">
        <f t="shared" si="643"/>
        <v>12/03/2025</v>
      </c>
      <c r="B1284" t="str">
        <f t="shared" si="649"/>
        <v>ENTRADA</v>
      </c>
      <c r="C1284" t="str">
        <f t="shared" si="644"/>
        <v>NFSE</v>
      </c>
      <c r="D1284" t="str">
        <f>"2790"</f>
        <v>2790</v>
      </c>
      <c r="E1284" t="str">
        <f t="shared" si="642"/>
        <v>COM</v>
      </c>
      <c r="F1284" t="str">
        <f>"FRAN FARMA (10124)"</f>
        <v>FRAN FARMA (10124)</v>
      </c>
      <c r="G1284" t="str">
        <f>"Serv.Prest. 03/03/2025 a 09/03/2025 - RPS: 562 - NFSe: 2790"</f>
        <v>Serv.Prest. 03/03/2025 a 09/03/2025 - RPS: 562 - NFSe: 2790</v>
      </c>
      <c r="H1284" t="str">
        <f t="shared" si="645"/>
        <v>12/03/2025</v>
      </c>
      <c r="I1284" t="str">
        <f t="shared" si="650"/>
        <v>10/03/2025</v>
      </c>
      <c r="J1284" t="str">
        <f t="shared" si="646"/>
        <v>12/03/2025</v>
      </c>
      <c r="M1284">
        <v>303</v>
      </c>
      <c r="N1284" t="str">
        <f t="shared" si="647"/>
        <v>RECEITAS COM ENTREGAS</v>
      </c>
      <c r="P1284">
        <v>64</v>
      </c>
      <c r="Q1284" t="str">
        <f>"FRAN FARMA (10124)"</f>
        <v>FRAN FARMA (10124)</v>
      </c>
      <c r="R1284" t="str">
        <f t="shared" si="648"/>
        <v>RECEITAS COM ENTREGAS (303)</v>
      </c>
      <c r="S1284">
        <v>1186</v>
      </c>
      <c r="T1284">
        <v>965</v>
      </c>
      <c r="U1284" t="s">
        <v>19</v>
      </c>
    </row>
    <row r="1285" spans="1:21">
      <c r="A1285" t="str">
        <f t="shared" si="643"/>
        <v>12/03/2025</v>
      </c>
      <c r="B1285" t="str">
        <f t="shared" si="649"/>
        <v>ENTRADA</v>
      </c>
      <c r="C1285" t="str">
        <f t="shared" si="644"/>
        <v>NFSE</v>
      </c>
      <c r="D1285" t="str">
        <f>"2790"</f>
        <v>2790</v>
      </c>
      <c r="E1285" t="str">
        <f t="shared" si="642"/>
        <v>COM</v>
      </c>
      <c r="F1285" t="str">
        <f>"FRAN FARMA (10124)"</f>
        <v>FRAN FARMA (10124)</v>
      </c>
      <c r="G1285" t="str">
        <f>"Serv.Prest. 03/03/2025 a 09/03/2025 - RPS: 562 - NFSe: 2790"</f>
        <v>Serv.Prest. 03/03/2025 a 09/03/2025 - RPS: 562 - NFSe: 2790</v>
      </c>
      <c r="H1285" t="str">
        <f t="shared" si="645"/>
        <v>12/03/2025</v>
      </c>
      <c r="I1285" t="str">
        <f t="shared" si="650"/>
        <v>10/03/2025</v>
      </c>
      <c r="J1285" t="str">
        <f t="shared" si="646"/>
        <v>12/03/2025</v>
      </c>
      <c r="M1285">
        <v>303</v>
      </c>
      <c r="N1285" t="str">
        <f t="shared" si="647"/>
        <v>RECEITAS COM ENTREGAS</v>
      </c>
      <c r="P1285">
        <v>192</v>
      </c>
      <c r="Q1285" t="str">
        <f>"FRAN FARMA LJ 2 (10131)"</f>
        <v>FRAN FARMA LJ 2 (10131)</v>
      </c>
      <c r="R1285" t="str">
        <f t="shared" si="648"/>
        <v>RECEITAS COM ENTREGAS (303)</v>
      </c>
      <c r="S1285">
        <v>1186</v>
      </c>
      <c r="T1285">
        <v>965</v>
      </c>
      <c r="U1285" t="s">
        <v>19</v>
      </c>
    </row>
    <row r="1286" spans="1:21">
      <c r="A1286" t="str">
        <f t="shared" si="643"/>
        <v>12/03/2025</v>
      </c>
      <c r="B1286" t="str">
        <f t="shared" si="649"/>
        <v>ENTRADA</v>
      </c>
      <c r="C1286" t="str">
        <f t="shared" si="644"/>
        <v>NFSE</v>
      </c>
      <c r="D1286" t="str">
        <f>"2790"</f>
        <v>2790</v>
      </c>
      <c r="E1286" t="str">
        <f t="shared" si="642"/>
        <v>COM</v>
      </c>
      <c r="F1286" t="str">
        <f>"FRAN FARMA (10124)"</f>
        <v>FRAN FARMA (10124)</v>
      </c>
      <c r="G1286" t="str">
        <f>"Serv.Prest. 03/03/2025 a 09/03/2025 - RPS: 562 - NFSe: 2790"</f>
        <v>Serv.Prest. 03/03/2025 a 09/03/2025 - RPS: 562 - NFSe: 2790</v>
      </c>
      <c r="H1286" t="str">
        <f t="shared" si="645"/>
        <v>12/03/2025</v>
      </c>
      <c r="I1286" t="str">
        <f t="shared" si="650"/>
        <v>10/03/2025</v>
      </c>
      <c r="J1286" t="str">
        <f t="shared" si="646"/>
        <v>12/03/2025</v>
      </c>
      <c r="M1286">
        <v>303</v>
      </c>
      <c r="N1286" t="str">
        <f t="shared" si="647"/>
        <v>RECEITAS COM ENTREGAS</v>
      </c>
      <c r="P1286">
        <v>64</v>
      </c>
      <c r="Q1286" t="str">
        <f>"FRAN FARMA LJ 3 (10132)"</f>
        <v>FRAN FARMA LJ 3 (10132)</v>
      </c>
      <c r="R1286" t="str">
        <f t="shared" si="648"/>
        <v>RECEITAS COM ENTREGAS (303)</v>
      </c>
      <c r="S1286">
        <v>1186</v>
      </c>
      <c r="T1286">
        <v>965</v>
      </c>
      <c r="U1286" t="s">
        <v>19</v>
      </c>
    </row>
    <row r="1287" spans="1:21">
      <c r="A1287" t="str">
        <f t="shared" si="643"/>
        <v>12/03/2025</v>
      </c>
      <c r="B1287" t="str">
        <f t="shared" si="649"/>
        <v>ENTRADA</v>
      </c>
      <c r="C1287" t="str">
        <f t="shared" si="644"/>
        <v>NFSE</v>
      </c>
      <c r="D1287" t="str">
        <f>"2792"</f>
        <v>2792</v>
      </c>
      <c r="E1287" t="str">
        <f t="shared" si="642"/>
        <v>COM</v>
      </c>
      <c r="F1287" t="str">
        <f>"JAL FARMACIA E DROGARIA LJ 2 (10138)"</f>
        <v>JAL FARMACIA E DROGARIA LJ 2 (10138)</v>
      </c>
      <c r="G1287" t="str">
        <f>"Serv.Prest. 03/03/2025 a 09/03/2025 - RPS: 564 - NFSe: 2792"</f>
        <v>Serv.Prest. 03/03/2025 a 09/03/2025 - RPS: 564 - NFSe: 2792</v>
      </c>
      <c r="H1287" t="str">
        <f t="shared" si="645"/>
        <v>12/03/2025</v>
      </c>
      <c r="I1287" t="str">
        <f t="shared" si="650"/>
        <v>10/03/2025</v>
      </c>
      <c r="J1287" t="str">
        <f t="shared" si="646"/>
        <v>12/03/2025</v>
      </c>
      <c r="K1287">
        <v>262.39999999999998</v>
      </c>
      <c r="L1287">
        <v>262.39999999999998</v>
      </c>
      <c r="M1287">
        <v>303</v>
      </c>
      <c r="N1287" t="str">
        <f t="shared" si="647"/>
        <v>RECEITAS COM ENTREGAS</v>
      </c>
      <c r="O1287">
        <v>262.39999999999998</v>
      </c>
      <c r="R1287" t="str">
        <f t="shared" si="648"/>
        <v>RECEITAS COM ENTREGAS (303)</v>
      </c>
      <c r="S1287">
        <v>1187</v>
      </c>
      <c r="T1287">
        <v>967</v>
      </c>
      <c r="U1287" t="s">
        <v>19</v>
      </c>
    </row>
    <row r="1288" spans="1:21">
      <c r="A1288" t="str">
        <f t="shared" si="643"/>
        <v>12/03/2025</v>
      </c>
      <c r="B1288" t="str">
        <f t="shared" si="649"/>
        <v>ENTRADA</v>
      </c>
      <c r="C1288" t="str">
        <f t="shared" si="644"/>
        <v>NFSE</v>
      </c>
      <c r="D1288" t="str">
        <f>"2792"</f>
        <v>2792</v>
      </c>
      <c r="E1288" t="str">
        <f t="shared" si="642"/>
        <v>COM</v>
      </c>
      <c r="F1288" t="str">
        <f>"JAL FARMACIA E DROGARIA LJ 2 (10138)"</f>
        <v>JAL FARMACIA E DROGARIA LJ 2 (10138)</v>
      </c>
      <c r="G1288" t="str">
        <f>"Serv.Prest. 03/03/2025 a 09/03/2025 - RPS: 564 - NFSe: 2792"</f>
        <v>Serv.Prest. 03/03/2025 a 09/03/2025 - RPS: 564 - NFSe: 2792</v>
      </c>
      <c r="H1288" t="str">
        <f t="shared" si="645"/>
        <v>12/03/2025</v>
      </c>
      <c r="I1288" t="str">
        <f t="shared" si="650"/>
        <v>10/03/2025</v>
      </c>
      <c r="J1288" t="str">
        <f t="shared" si="646"/>
        <v>12/03/2025</v>
      </c>
      <c r="M1288">
        <v>303</v>
      </c>
      <c r="N1288" t="str">
        <f t="shared" si="647"/>
        <v>RECEITAS COM ENTREGAS</v>
      </c>
      <c r="P1288">
        <v>262.39999999999998</v>
      </c>
      <c r="Q1288" t="str">
        <f>"JAL FARMACIA E DROGARIA LJ 2 (10138)"</f>
        <v>JAL FARMACIA E DROGARIA LJ 2 (10138)</v>
      </c>
      <c r="R1288" t="str">
        <f t="shared" si="648"/>
        <v>RECEITAS COM ENTREGAS (303)</v>
      </c>
      <c r="S1288">
        <v>1187</v>
      </c>
      <c r="T1288">
        <v>967</v>
      </c>
      <c r="U1288" t="s">
        <v>19</v>
      </c>
    </row>
    <row r="1289" spans="1:21">
      <c r="A1289" t="str">
        <f t="shared" si="643"/>
        <v>12/03/2025</v>
      </c>
      <c r="B1289" t="str">
        <f>"SAÍDA"</f>
        <v>SAÍDA</v>
      </c>
      <c r="C1289" t="str">
        <f>"JUROS"</f>
        <v>JUROS</v>
      </c>
      <c r="D1289" t="str">
        <f>""</f>
        <v/>
      </c>
      <c r="E1289" t="str">
        <f>"CXA"</f>
        <v>CXA</v>
      </c>
      <c r="F1289" t="str">
        <f>""</f>
        <v/>
      </c>
      <c r="G1289" t="str">
        <f>"TAXA BOLETO COMPENSADO"</f>
        <v>TAXA BOLETO COMPENSADO</v>
      </c>
      <c r="H1289" t="str">
        <f t="shared" si="645"/>
        <v>12/03/2025</v>
      </c>
      <c r="I1289" t="str">
        <f>("12/03/2025")</f>
        <v>12/03/2025</v>
      </c>
      <c r="J1289" t="str">
        <f t="shared" si="646"/>
        <v>12/03/2025</v>
      </c>
      <c r="K1289">
        <v>1.7</v>
      </c>
      <c r="L1289">
        <v>1.7</v>
      </c>
      <c r="M1289">
        <v>401</v>
      </c>
      <c r="N1289" t="str">
        <f>"IOF/JUROS/DESP.FINANCEIRA"</f>
        <v>IOF/JUROS/DESP.FINANCEIRA</v>
      </c>
      <c r="O1289">
        <v>1.7</v>
      </c>
      <c r="R1289" t="str">
        <f>"BANCO CORA (102)"</f>
        <v>BANCO CORA (102)</v>
      </c>
      <c r="S1289">
        <v>1198</v>
      </c>
      <c r="T1289">
        <v>0</v>
      </c>
      <c r="U1289" t="s">
        <v>20</v>
      </c>
    </row>
    <row r="1290" spans="1:21">
      <c r="A1290" t="str">
        <f t="shared" si="643"/>
        <v>12/03/2025</v>
      </c>
      <c r="B1290" t="str">
        <f>"SAÍDA"</f>
        <v>SAÍDA</v>
      </c>
      <c r="C1290" t="str">
        <f>"JUROS"</f>
        <v>JUROS</v>
      </c>
      <c r="D1290" t="str">
        <f>""</f>
        <v/>
      </c>
      <c r="E1290" t="str">
        <f>"CXA"</f>
        <v>CXA</v>
      </c>
      <c r="F1290" t="str">
        <f>""</f>
        <v/>
      </c>
      <c r="G1290" t="str">
        <f>"TAXA BOLETO COMPENSADO"</f>
        <v>TAXA BOLETO COMPENSADO</v>
      </c>
      <c r="H1290" t="str">
        <f t="shared" si="645"/>
        <v>12/03/2025</v>
      </c>
      <c r="I1290" t="str">
        <f>("12/03/2025")</f>
        <v>12/03/2025</v>
      </c>
      <c r="J1290" t="str">
        <f t="shared" si="646"/>
        <v>12/03/2025</v>
      </c>
      <c r="K1290">
        <v>1.7</v>
      </c>
      <c r="L1290">
        <v>1.7</v>
      </c>
      <c r="M1290">
        <v>401</v>
      </c>
      <c r="N1290" t="str">
        <f>"IOF/JUROS/DESP.FINANCEIRA"</f>
        <v>IOF/JUROS/DESP.FINANCEIRA</v>
      </c>
      <c r="O1290">
        <v>1.7</v>
      </c>
      <c r="R1290" t="str">
        <f>"BANCO CORA (102)"</f>
        <v>BANCO CORA (102)</v>
      </c>
      <c r="S1290">
        <v>1199</v>
      </c>
      <c r="T1290">
        <v>0</v>
      </c>
      <c r="U1290" t="s">
        <v>20</v>
      </c>
    </row>
    <row r="1291" spans="1:21">
      <c r="A1291" t="str">
        <f t="shared" ref="A1291:A1326" si="651">("13/03/2025")</f>
        <v>13/03/2025</v>
      </c>
      <c r="B1291" t="str">
        <f>"ENTRADA"</f>
        <v>ENTRADA</v>
      </c>
      <c r="C1291" t="str">
        <f t="shared" ref="C1291:C1306" si="652">"NFSE"</f>
        <v>NFSE</v>
      </c>
      <c r="D1291" t="str">
        <f>"2787"</f>
        <v>2787</v>
      </c>
      <c r="E1291" t="str">
        <f t="shared" ref="E1291:E1306" si="653">"COM"</f>
        <v>COM</v>
      </c>
      <c r="F1291" t="str">
        <f>"DELTA LOJA 2 (10123)"</f>
        <v>DELTA LOJA 2 (10123)</v>
      </c>
      <c r="G1291" t="str">
        <f>"Serv.Prest. 03/03/2025 a 09/03/2025 - RPS: 559 - NFSe: 2787"</f>
        <v>Serv.Prest. 03/03/2025 a 09/03/2025 - RPS: 559 - NFSe: 2787</v>
      </c>
      <c r="H1291" t="str">
        <f t="shared" si="645"/>
        <v>12/03/2025</v>
      </c>
      <c r="I1291" t="str">
        <f t="shared" ref="I1291:I1306" si="654">("10/03/2025")</f>
        <v>10/03/2025</v>
      </c>
      <c r="J1291" t="str">
        <f t="shared" ref="J1291:J1326" si="655">("13/03/2025")</f>
        <v>13/03/2025</v>
      </c>
      <c r="K1291">
        <v>480.48</v>
      </c>
      <c r="L1291">
        <v>480.48</v>
      </c>
      <c r="M1291">
        <v>303</v>
      </c>
      <c r="N1291" t="str">
        <f t="shared" ref="N1291:N1306" si="656">"RECEITAS COM ENTREGAS"</f>
        <v>RECEITAS COM ENTREGAS</v>
      </c>
      <c r="O1291">
        <v>480.48</v>
      </c>
      <c r="R1291" t="str">
        <f t="shared" ref="R1291:R1306" si="657">"RECEITAS COM ENTREGAS (303)"</f>
        <v>RECEITAS COM ENTREGAS (303)</v>
      </c>
      <c r="S1291">
        <v>1188</v>
      </c>
      <c r="T1291">
        <v>961</v>
      </c>
      <c r="U1291" t="s">
        <v>19</v>
      </c>
    </row>
    <row r="1292" spans="1:21">
      <c r="A1292" t="str">
        <f t="shared" si="651"/>
        <v>13/03/2025</v>
      </c>
      <c r="B1292" t="str">
        <f t="shared" ref="B1292:B1306" si="658">"ENTRADA"</f>
        <v>ENTRADA</v>
      </c>
      <c r="C1292" t="str">
        <f t="shared" si="652"/>
        <v>NFSE</v>
      </c>
      <c r="D1292" t="str">
        <f>"2787"</f>
        <v>2787</v>
      </c>
      <c r="E1292" t="str">
        <f t="shared" si="653"/>
        <v>COM</v>
      </c>
      <c r="F1292" t="str">
        <f>"DELTA LOJA 2 (10123)"</f>
        <v>DELTA LOJA 2 (10123)</v>
      </c>
      <c r="G1292" t="str">
        <f>"Serv.Prest. 03/03/2025 a 09/03/2025 - RPS: 559 - NFSe: 2787"</f>
        <v>Serv.Prest. 03/03/2025 a 09/03/2025 - RPS: 559 - NFSe: 2787</v>
      </c>
      <c r="H1292" t="str">
        <f t="shared" si="645"/>
        <v>12/03/2025</v>
      </c>
      <c r="I1292" t="str">
        <f t="shared" si="654"/>
        <v>10/03/2025</v>
      </c>
      <c r="J1292" t="str">
        <f t="shared" si="655"/>
        <v>13/03/2025</v>
      </c>
      <c r="M1292">
        <v>303</v>
      </c>
      <c r="N1292" t="str">
        <f t="shared" si="656"/>
        <v>RECEITAS COM ENTREGAS</v>
      </c>
      <c r="P1292">
        <v>480.48</v>
      </c>
      <c r="Q1292" t="str">
        <f>"DELTA LOJA 2 (10123)"</f>
        <v>DELTA LOJA 2 (10123)</v>
      </c>
      <c r="R1292" t="str">
        <f t="shared" si="657"/>
        <v>RECEITAS COM ENTREGAS (303)</v>
      </c>
      <c r="S1292">
        <v>1188</v>
      </c>
      <c r="T1292">
        <v>961</v>
      </c>
      <c r="U1292" t="s">
        <v>19</v>
      </c>
    </row>
    <row r="1293" spans="1:21">
      <c r="A1293" t="str">
        <f t="shared" si="651"/>
        <v>13/03/2025</v>
      </c>
      <c r="B1293" t="str">
        <f t="shared" si="658"/>
        <v>ENTRADA</v>
      </c>
      <c r="C1293" t="str">
        <f t="shared" si="652"/>
        <v>NFSE</v>
      </c>
      <c r="D1293" t="str">
        <f>"2788"</f>
        <v>2788</v>
      </c>
      <c r="E1293" t="str">
        <f t="shared" si="653"/>
        <v>COM</v>
      </c>
      <c r="F1293" t="str">
        <f>"DROGA ELIDA (10121)"</f>
        <v>DROGA ELIDA (10121)</v>
      </c>
      <c r="G1293" t="str">
        <f>"Serv.Prest. 03/03/2025 a 09/03/2025 - RPS: 560 - NFSe: 2788"</f>
        <v>Serv.Prest. 03/03/2025 a 09/03/2025 - RPS: 560 - NFSe: 2788</v>
      </c>
      <c r="H1293" t="str">
        <f t="shared" si="645"/>
        <v>12/03/2025</v>
      </c>
      <c r="I1293" t="str">
        <f t="shared" si="654"/>
        <v>10/03/2025</v>
      </c>
      <c r="J1293" t="str">
        <f t="shared" si="655"/>
        <v>13/03/2025</v>
      </c>
      <c r="K1293">
        <v>354</v>
      </c>
      <c r="L1293">
        <v>354</v>
      </c>
      <c r="M1293">
        <v>303</v>
      </c>
      <c r="N1293" t="str">
        <f t="shared" si="656"/>
        <v>RECEITAS COM ENTREGAS</v>
      </c>
      <c r="O1293">
        <v>354</v>
      </c>
      <c r="R1293" t="str">
        <f t="shared" si="657"/>
        <v>RECEITAS COM ENTREGAS (303)</v>
      </c>
      <c r="S1293">
        <v>1189</v>
      </c>
      <c r="T1293">
        <v>962</v>
      </c>
      <c r="U1293" t="s">
        <v>19</v>
      </c>
    </row>
    <row r="1294" spans="1:21">
      <c r="A1294" t="str">
        <f t="shared" si="651"/>
        <v>13/03/2025</v>
      </c>
      <c r="B1294" t="str">
        <f t="shared" si="658"/>
        <v>ENTRADA</v>
      </c>
      <c r="C1294" t="str">
        <f t="shared" si="652"/>
        <v>NFSE</v>
      </c>
      <c r="D1294" t="str">
        <f>"2788"</f>
        <v>2788</v>
      </c>
      <c r="E1294" t="str">
        <f t="shared" si="653"/>
        <v>COM</v>
      </c>
      <c r="F1294" t="str">
        <f>"DROGA ELIDA (10121)"</f>
        <v>DROGA ELIDA (10121)</v>
      </c>
      <c r="G1294" t="str">
        <f>"Serv.Prest. 03/03/2025 a 09/03/2025 - RPS: 560 - NFSe: 2788"</f>
        <v>Serv.Prest. 03/03/2025 a 09/03/2025 - RPS: 560 - NFSe: 2788</v>
      </c>
      <c r="H1294" t="str">
        <f t="shared" si="645"/>
        <v>12/03/2025</v>
      </c>
      <c r="I1294" t="str">
        <f t="shared" si="654"/>
        <v>10/03/2025</v>
      </c>
      <c r="J1294" t="str">
        <f t="shared" si="655"/>
        <v>13/03/2025</v>
      </c>
      <c r="M1294">
        <v>303</v>
      </c>
      <c r="N1294" t="str">
        <f t="shared" si="656"/>
        <v>RECEITAS COM ENTREGAS</v>
      </c>
      <c r="P1294">
        <v>354</v>
      </c>
      <c r="Q1294" t="str">
        <f>"DROGA ELIDA (10121)"</f>
        <v>DROGA ELIDA (10121)</v>
      </c>
      <c r="R1294" t="str">
        <f t="shared" si="657"/>
        <v>RECEITAS COM ENTREGAS (303)</v>
      </c>
      <c r="S1294">
        <v>1189</v>
      </c>
      <c r="T1294">
        <v>962</v>
      </c>
      <c r="U1294" t="s">
        <v>19</v>
      </c>
    </row>
    <row r="1295" spans="1:21">
      <c r="A1295" t="str">
        <f t="shared" si="651"/>
        <v>13/03/2025</v>
      </c>
      <c r="B1295" t="str">
        <f t="shared" si="658"/>
        <v>ENTRADA</v>
      </c>
      <c r="C1295" t="str">
        <f t="shared" si="652"/>
        <v>NFSE</v>
      </c>
      <c r="D1295" t="str">
        <f>"2791"</f>
        <v>2791</v>
      </c>
      <c r="E1295" t="str">
        <f t="shared" si="653"/>
        <v>COM</v>
      </c>
      <c r="F1295" t="str">
        <f>"JAL FARMACIA E DROGARIA LJ 1 (10137)"</f>
        <v>JAL FARMACIA E DROGARIA LJ 1 (10137)</v>
      </c>
      <c r="G1295" t="str">
        <f>"Serv.Prest. 03/03/2025 a 09/03/2025 - RPS: 563 - NFSe: 2791"</f>
        <v>Serv.Prest. 03/03/2025 a 09/03/2025 - RPS: 563 - NFSe: 2791</v>
      </c>
      <c r="H1295" t="str">
        <f t="shared" si="645"/>
        <v>12/03/2025</v>
      </c>
      <c r="I1295" t="str">
        <f t="shared" si="654"/>
        <v>10/03/2025</v>
      </c>
      <c r="J1295" t="str">
        <f t="shared" si="655"/>
        <v>13/03/2025</v>
      </c>
      <c r="K1295">
        <v>390.4</v>
      </c>
      <c r="L1295">
        <v>390.4</v>
      </c>
      <c r="M1295">
        <v>303</v>
      </c>
      <c r="N1295" t="str">
        <f t="shared" si="656"/>
        <v>RECEITAS COM ENTREGAS</v>
      </c>
      <c r="O1295">
        <v>390.4</v>
      </c>
      <c r="R1295" t="str">
        <f t="shared" si="657"/>
        <v>RECEITAS COM ENTREGAS (303)</v>
      </c>
      <c r="S1295">
        <v>1190</v>
      </c>
      <c r="T1295">
        <v>966</v>
      </c>
      <c r="U1295" t="s">
        <v>19</v>
      </c>
    </row>
    <row r="1296" spans="1:21">
      <c r="A1296" t="str">
        <f t="shared" si="651"/>
        <v>13/03/2025</v>
      </c>
      <c r="B1296" t="str">
        <f t="shared" si="658"/>
        <v>ENTRADA</v>
      </c>
      <c r="C1296" t="str">
        <f t="shared" si="652"/>
        <v>NFSE</v>
      </c>
      <c r="D1296" t="str">
        <f>"2791"</f>
        <v>2791</v>
      </c>
      <c r="E1296" t="str">
        <f t="shared" si="653"/>
        <v>COM</v>
      </c>
      <c r="F1296" t="str">
        <f>"JAL FARMACIA E DROGARIA LJ 1 (10137)"</f>
        <v>JAL FARMACIA E DROGARIA LJ 1 (10137)</v>
      </c>
      <c r="G1296" t="str">
        <f>"Serv.Prest. 03/03/2025 a 09/03/2025 - RPS: 563 - NFSe: 2791"</f>
        <v>Serv.Prest. 03/03/2025 a 09/03/2025 - RPS: 563 - NFSe: 2791</v>
      </c>
      <c r="H1296" t="str">
        <f t="shared" si="645"/>
        <v>12/03/2025</v>
      </c>
      <c r="I1296" t="str">
        <f t="shared" si="654"/>
        <v>10/03/2025</v>
      </c>
      <c r="J1296" t="str">
        <f t="shared" si="655"/>
        <v>13/03/2025</v>
      </c>
      <c r="M1296">
        <v>303</v>
      </c>
      <c r="N1296" t="str">
        <f t="shared" si="656"/>
        <v>RECEITAS COM ENTREGAS</v>
      </c>
      <c r="P1296">
        <v>390.4</v>
      </c>
      <c r="Q1296" t="str">
        <f>"JAL FARMACIA E DROGARIA LJ 1 (10137)"</f>
        <v>JAL FARMACIA E DROGARIA LJ 1 (10137)</v>
      </c>
      <c r="R1296" t="str">
        <f t="shared" si="657"/>
        <v>RECEITAS COM ENTREGAS (303)</v>
      </c>
      <c r="S1296">
        <v>1190</v>
      </c>
      <c r="T1296">
        <v>966</v>
      </c>
      <c r="U1296" t="s">
        <v>19</v>
      </c>
    </row>
    <row r="1297" spans="1:21">
      <c r="A1297" t="str">
        <f t="shared" si="651"/>
        <v>13/03/2025</v>
      </c>
      <c r="B1297" t="str">
        <f t="shared" si="658"/>
        <v>ENTRADA</v>
      </c>
      <c r="C1297" t="str">
        <f t="shared" si="652"/>
        <v>NFSE</v>
      </c>
      <c r="D1297" t="str">
        <f>"2797"</f>
        <v>2797</v>
      </c>
      <c r="E1297" t="str">
        <f t="shared" si="653"/>
        <v>COM</v>
      </c>
      <c r="F1297" t="str">
        <f>"DROGA MONICA (10147)"</f>
        <v>DROGA MONICA (10147)</v>
      </c>
      <c r="G1297" t="str">
        <f>"Serv.Prest. 03/03/2025 a 09/03/2025 - RPS: 569 - NFSe: 2797"</f>
        <v>Serv.Prest. 03/03/2025 a 09/03/2025 - RPS: 569 - NFSe: 2797</v>
      </c>
      <c r="H1297" t="str">
        <f t="shared" si="645"/>
        <v>12/03/2025</v>
      </c>
      <c r="I1297" t="str">
        <f t="shared" si="654"/>
        <v>10/03/2025</v>
      </c>
      <c r="J1297" t="str">
        <f t="shared" si="655"/>
        <v>13/03/2025</v>
      </c>
      <c r="K1297">
        <v>206.4</v>
      </c>
      <c r="L1297">
        <v>206.4</v>
      </c>
      <c r="M1297">
        <v>303</v>
      </c>
      <c r="N1297" t="str">
        <f t="shared" si="656"/>
        <v>RECEITAS COM ENTREGAS</v>
      </c>
      <c r="O1297">
        <v>206.4</v>
      </c>
      <c r="R1297" t="str">
        <f t="shared" si="657"/>
        <v>RECEITAS COM ENTREGAS (303)</v>
      </c>
      <c r="S1297">
        <v>1191</v>
      </c>
      <c r="T1297">
        <v>972</v>
      </c>
      <c r="U1297" t="s">
        <v>19</v>
      </c>
    </row>
    <row r="1298" spans="1:21">
      <c r="A1298" t="str">
        <f t="shared" si="651"/>
        <v>13/03/2025</v>
      </c>
      <c r="B1298" t="str">
        <f t="shared" si="658"/>
        <v>ENTRADA</v>
      </c>
      <c r="C1298" t="str">
        <f t="shared" si="652"/>
        <v>NFSE</v>
      </c>
      <c r="D1298" t="str">
        <f>"2797"</f>
        <v>2797</v>
      </c>
      <c r="E1298" t="str">
        <f t="shared" si="653"/>
        <v>COM</v>
      </c>
      <c r="F1298" t="str">
        <f>"DROGA MONICA (10147)"</f>
        <v>DROGA MONICA (10147)</v>
      </c>
      <c r="G1298" t="str">
        <f>"Serv.Prest. 03/03/2025 a 09/03/2025 - RPS: 569 - NFSe: 2797"</f>
        <v>Serv.Prest. 03/03/2025 a 09/03/2025 - RPS: 569 - NFSe: 2797</v>
      </c>
      <c r="H1298" t="str">
        <f t="shared" si="645"/>
        <v>12/03/2025</v>
      </c>
      <c r="I1298" t="str">
        <f t="shared" si="654"/>
        <v>10/03/2025</v>
      </c>
      <c r="J1298" t="str">
        <f t="shared" si="655"/>
        <v>13/03/2025</v>
      </c>
      <c r="M1298">
        <v>303</v>
      </c>
      <c r="N1298" t="str">
        <f t="shared" si="656"/>
        <v>RECEITAS COM ENTREGAS</v>
      </c>
      <c r="P1298">
        <v>206.4</v>
      </c>
      <c r="Q1298" t="str">
        <f>"DROGA MONICA (10147)"</f>
        <v>DROGA MONICA (10147)</v>
      </c>
      <c r="R1298" t="str">
        <f t="shared" si="657"/>
        <v>RECEITAS COM ENTREGAS (303)</v>
      </c>
      <c r="S1298">
        <v>1191</v>
      </c>
      <c r="T1298">
        <v>972</v>
      </c>
      <c r="U1298" t="s">
        <v>19</v>
      </c>
    </row>
    <row r="1299" spans="1:21">
      <c r="A1299" t="str">
        <f t="shared" si="651"/>
        <v>13/03/2025</v>
      </c>
      <c r="B1299" t="str">
        <f t="shared" si="658"/>
        <v>ENTRADA</v>
      </c>
      <c r="C1299" t="str">
        <f t="shared" si="652"/>
        <v>NFSE</v>
      </c>
      <c r="D1299" t="str">
        <f>"2798"</f>
        <v>2798</v>
      </c>
      <c r="E1299" t="str">
        <f t="shared" si="653"/>
        <v>COM</v>
      </c>
      <c r="F1299" t="str">
        <f>"DROGA MONICA LJ 22 (10158)"</f>
        <v>DROGA MONICA LJ 22 (10158)</v>
      </c>
      <c r="G1299" t="str">
        <f>"Serv.Prest. 03/03/2025 a 09/03/2025 - RPS: 570 - NFSe: 2798"</f>
        <v>Serv.Prest. 03/03/2025 a 09/03/2025 - RPS: 570 - NFSe: 2798</v>
      </c>
      <c r="H1299" t="str">
        <f t="shared" si="645"/>
        <v>12/03/2025</v>
      </c>
      <c r="I1299" t="str">
        <f t="shared" si="654"/>
        <v>10/03/2025</v>
      </c>
      <c r="J1299" t="str">
        <f t="shared" si="655"/>
        <v>13/03/2025</v>
      </c>
      <c r="K1299">
        <v>206.4</v>
      </c>
      <c r="L1299">
        <v>206.4</v>
      </c>
      <c r="M1299">
        <v>303</v>
      </c>
      <c r="N1299" t="str">
        <f t="shared" si="656"/>
        <v>RECEITAS COM ENTREGAS</v>
      </c>
      <c r="O1299">
        <v>206.4</v>
      </c>
      <c r="R1299" t="str">
        <f t="shared" si="657"/>
        <v>RECEITAS COM ENTREGAS (303)</v>
      </c>
      <c r="S1299">
        <v>1192</v>
      </c>
      <c r="T1299">
        <v>973</v>
      </c>
      <c r="U1299" t="s">
        <v>19</v>
      </c>
    </row>
    <row r="1300" spans="1:21">
      <c r="A1300" t="str">
        <f t="shared" si="651"/>
        <v>13/03/2025</v>
      </c>
      <c r="B1300" t="str">
        <f t="shared" si="658"/>
        <v>ENTRADA</v>
      </c>
      <c r="C1300" t="str">
        <f t="shared" si="652"/>
        <v>NFSE</v>
      </c>
      <c r="D1300" t="str">
        <f>"2798"</f>
        <v>2798</v>
      </c>
      <c r="E1300" t="str">
        <f t="shared" si="653"/>
        <v>COM</v>
      </c>
      <c r="F1300" t="str">
        <f>"DROGA MONICA LJ 22 (10158)"</f>
        <v>DROGA MONICA LJ 22 (10158)</v>
      </c>
      <c r="G1300" t="str">
        <f>"Serv.Prest. 03/03/2025 a 09/03/2025 - RPS: 570 - NFSe: 2798"</f>
        <v>Serv.Prest. 03/03/2025 a 09/03/2025 - RPS: 570 - NFSe: 2798</v>
      </c>
      <c r="H1300" t="str">
        <f t="shared" si="645"/>
        <v>12/03/2025</v>
      </c>
      <c r="I1300" t="str">
        <f t="shared" si="654"/>
        <v>10/03/2025</v>
      </c>
      <c r="J1300" t="str">
        <f t="shared" si="655"/>
        <v>13/03/2025</v>
      </c>
      <c r="M1300">
        <v>303</v>
      </c>
      <c r="N1300" t="str">
        <f t="shared" si="656"/>
        <v>RECEITAS COM ENTREGAS</v>
      </c>
      <c r="P1300">
        <v>206.4</v>
      </c>
      <c r="Q1300" t="str">
        <f>"DROGA MONICA LJ 22 (10158)"</f>
        <v>DROGA MONICA LJ 22 (10158)</v>
      </c>
      <c r="R1300" t="str">
        <f t="shared" si="657"/>
        <v>RECEITAS COM ENTREGAS (303)</v>
      </c>
      <c r="S1300">
        <v>1192</v>
      </c>
      <c r="T1300">
        <v>973</v>
      </c>
      <c r="U1300" t="s">
        <v>19</v>
      </c>
    </row>
    <row r="1301" spans="1:21">
      <c r="A1301" t="str">
        <f t="shared" si="651"/>
        <v>13/03/2025</v>
      </c>
      <c r="B1301" t="str">
        <f t="shared" si="658"/>
        <v>ENTRADA</v>
      </c>
      <c r="C1301" t="str">
        <f t="shared" si="652"/>
        <v>NFSE</v>
      </c>
      <c r="D1301" t="str">
        <f>"2799"</f>
        <v>2799</v>
      </c>
      <c r="E1301" t="str">
        <f t="shared" si="653"/>
        <v>COM</v>
      </c>
      <c r="F1301" t="str">
        <f>"DROGA MONICA LJ 3 (10152)"</f>
        <v>DROGA MONICA LJ 3 (10152)</v>
      </c>
      <c r="G1301" t="str">
        <f>"Serv.Prest. 03/03/2025 a 09/03/2025 - RPS: 571 - NFSe: 2799"</f>
        <v>Serv.Prest. 03/03/2025 a 09/03/2025 - RPS: 571 - NFSe: 2799</v>
      </c>
      <c r="H1301" t="str">
        <f t="shared" si="645"/>
        <v>12/03/2025</v>
      </c>
      <c r="I1301" t="str">
        <f t="shared" si="654"/>
        <v>10/03/2025</v>
      </c>
      <c r="J1301" t="str">
        <f t="shared" si="655"/>
        <v>13/03/2025</v>
      </c>
      <c r="K1301">
        <v>206.4</v>
      </c>
      <c r="L1301">
        <v>206.4</v>
      </c>
      <c r="M1301">
        <v>303</v>
      </c>
      <c r="N1301" t="str">
        <f t="shared" si="656"/>
        <v>RECEITAS COM ENTREGAS</v>
      </c>
      <c r="O1301">
        <v>206.4</v>
      </c>
      <c r="R1301" t="str">
        <f t="shared" si="657"/>
        <v>RECEITAS COM ENTREGAS (303)</v>
      </c>
      <c r="S1301">
        <v>1193</v>
      </c>
      <c r="T1301">
        <v>974</v>
      </c>
      <c r="U1301" t="s">
        <v>19</v>
      </c>
    </row>
    <row r="1302" spans="1:21">
      <c r="A1302" t="str">
        <f t="shared" si="651"/>
        <v>13/03/2025</v>
      </c>
      <c r="B1302" t="str">
        <f t="shared" si="658"/>
        <v>ENTRADA</v>
      </c>
      <c r="C1302" t="str">
        <f t="shared" si="652"/>
        <v>NFSE</v>
      </c>
      <c r="D1302" t="str">
        <f>"2799"</f>
        <v>2799</v>
      </c>
      <c r="E1302" t="str">
        <f t="shared" si="653"/>
        <v>COM</v>
      </c>
      <c r="F1302" t="str">
        <f>"DROGA MONICA LJ 3 (10152)"</f>
        <v>DROGA MONICA LJ 3 (10152)</v>
      </c>
      <c r="G1302" t="str">
        <f>"Serv.Prest. 03/03/2025 a 09/03/2025 - RPS: 571 - NFSe: 2799"</f>
        <v>Serv.Prest. 03/03/2025 a 09/03/2025 - RPS: 571 - NFSe: 2799</v>
      </c>
      <c r="H1302" t="str">
        <f t="shared" si="645"/>
        <v>12/03/2025</v>
      </c>
      <c r="I1302" t="str">
        <f t="shared" si="654"/>
        <v>10/03/2025</v>
      </c>
      <c r="J1302" t="str">
        <f t="shared" si="655"/>
        <v>13/03/2025</v>
      </c>
      <c r="M1302">
        <v>303</v>
      </c>
      <c r="N1302" t="str">
        <f t="shared" si="656"/>
        <v>RECEITAS COM ENTREGAS</v>
      </c>
      <c r="P1302">
        <v>206.4</v>
      </c>
      <c r="Q1302" t="str">
        <f>"DROGA MONICA LJ 3 (10152)"</f>
        <v>DROGA MONICA LJ 3 (10152)</v>
      </c>
      <c r="R1302" t="str">
        <f t="shared" si="657"/>
        <v>RECEITAS COM ENTREGAS (303)</v>
      </c>
      <c r="S1302">
        <v>1193</v>
      </c>
      <c r="T1302">
        <v>974</v>
      </c>
      <c r="U1302" t="s">
        <v>19</v>
      </c>
    </row>
    <row r="1303" spans="1:21">
      <c r="A1303" t="str">
        <f t="shared" si="651"/>
        <v>13/03/2025</v>
      </c>
      <c r="B1303" t="str">
        <f t="shared" si="658"/>
        <v>ENTRADA</v>
      </c>
      <c r="C1303" t="str">
        <f t="shared" si="652"/>
        <v>NFSE</v>
      </c>
      <c r="D1303" t="str">
        <f>"2793"</f>
        <v>2793</v>
      </c>
      <c r="E1303" t="str">
        <f t="shared" si="653"/>
        <v>COM</v>
      </c>
      <c r="F1303" t="str">
        <f>"DROGARIA POUPA MINAS (DOIS AMIGOS) 5 (10140)"</f>
        <v>DROGARIA POUPA MINAS (DOIS AMIGOS) 5 (10140)</v>
      </c>
      <c r="G1303" t="str">
        <f>"Serv.Prest. 03/03/2025 a 09/03/2025 - RPS: 565 - NFSe: 2793"</f>
        <v>Serv.Prest. 03/03/2025 a 09/03/2025 - RPS: 565 - NFSe: 2793</v>
      </c>
      <c r="H1303" t="str">
        <f t="shared" ref="H1303:H1330" si="659">("13/03/2025")</f>
        <v>13/03/2025</v>
      </c>
      <c r="I1303" t="str">
        <f t="shared" si="654"/>
        <v>10/03/2025</v>
      </c>
      <c r="J1303" t="str">
        <f t="shared" si="655"/>
        <v>13/03/2025</v>
      </c>
      <c r="K1303">
        <v>639.17999999999995</v>
      </c>
      <c r="L1303">
        <v>639.17999999999995</v>
      </c>
      <c r="M1303">
        <v>303</v>
      </c>
      <c r="N1303" t="str">
        <f t="shared" si="656"/>
        <v>RECEITAS COM ENTREGAS</v>
      </c>
      <c r="O1303">
        <v>639.17999999999995</v>
      </c>
      <c r="R1303" t="str">
        <f t="shared" si="657"/>
        <v>RECEITAS COM ENTREGAS (303)</v>
      </c>
      <c r="S1303">
        <v>1194</v>
      </c>
      <c r="T1303">
        <v>968</v>
      </c>
      <c r="U1303" t="s">
        <v>19</v>
      </c>
    </row>
    <row r="1304" spans="1:21">
      <c r="A1304" t="str">
        <f t="shared" si="651"/>
        <v>13/03/2025</v>
      </c>
      <c r="B1304" t="str">
        <f t="shared" si="658"/>
        <v>ENTRADA</v>
      </c>
      <c r="C1304" t="str">
        <f t="shared" si="652"/>
        <v>NFSE</v>
      </c>
      <c r="D1304" t="str">
        <f>"2793"</f>
        <v>2793</v>
      </c>
      <c r="E1304" t="str">
        <f t="shared" si="653"/>
        <v>COM</v>
      </c>
      <c r="F1304" t="str">
        <f>"DROGARIA POUPA MINAS (DOIS AMIGOS) 5 (10140)"</f>
        <v>DROGARIA POUPA MINAS (DOIS AMIGOS) 5 (10140)</v>
      </c>
      <c r="G1304" t="str">
        <f>"Serv.Prest. 03/03/2025 a 09/03/2025 - RPS: 565 - NFSe: 2793"</f>
        <v>Serv.Prest. 03/03/2025 a 09/03/2025 - RPS: 565 - NFSe: 2793</v>
      </c>
      <c r="H1304" t="str">
        <f t="shared" si="659"/>
        <v>13/03/2025</v>
      </c>
      <c r="I1304" t="str">
        <f t="shared" si="654"/>
        <v>10/03/2025</v>
      </c>
      <c r="J1304" t="str">
        <f t="shared" si="655"/>
        <v>13/03/2025</v>
      </c>
      <c r="M1304">
        <v>303</v>
      </c>
      <c r="N1304" t="str">
        <f t="shared" si="656"/>
        <v>RECEITAS COM ENTREGAS</v>
      </c>
      <c r="P1304">
        <v>639.17999999999995</v>
      </c>
      <c r="Q1304" t="str">
        <f>"DROGARIA POUPA MINAS (ULTRAMINAS) (10116)"</f>
        <v>DROGARIA POUPA MINAS (ULTRAMINAS) (10116)</v>
      </c>
      <c r="R1304" t="str">
        <f t="shared" si="657"/>
        <v>RECEITAS COM ENTREGAS (303)</v>
      </c>
      <c r="S1304">
        <v>1194</v>
      </c>
      <c r="T1304">
        <v>968</v>
      </c>
      <c r="U1304" t="s">
        <v>19</v>
      </c>
    </row>
    <row r="1305" spans="1:21">
      <c r="A1305" t="str">
        <f t="shared" si="651"/>
        <v>13/03/2025</v>
      </c>
      <c r="B1305" t="str">
        <f t="shared" si="658"/>
        <v>ENTRADA</v>
      </c>
      <c r="C1305" t="str">
        <f t="shared" si="652"/>
        <v>NFSE</v>
      </c>
      <c r="D1305" t="str">
        <f>"2794"</f>
        <v>2794</v>
      </c>
      <c r="E1305" t="str">
        <f t="shared" si="653"/>
        <v>COM</v>
      </c>
      <c r="F1305" t="str">
        <f>"DROGARIA POUPA MINAS (ULTRAMINAS) 3 (10129)"</f>
        <v>DROGARIA POUPA MINAS (ULTRAMINAS) 3 (10129)</v>
      </c>
      <c r="G1305" t="str">
        <f>"Serv.Prest. 03/03/2025 a 09/03/2025 - RPS: 566 - NFSe: 2794"</f>
        <v>Serv.Prest. 03/03/2025 a 09/03/2025 - RPS: 566 - NFSe: 2794</v>
      </c>
      <c r="H1305" t="str">
        <f t="shared" si="659"/>
        <v>13/03/2025</v>
      </c>
      <c r="I1305" t="str">
        <f t="shared" si="654"/>
        <v>10/03/2025</v>
      </c>
      <c r="J1305" t="str">
        <f t="shared" si="655"/>
        <v>13/03/2025</v>
      </c>
      <c r="K1305">
        <v>216.22</v>
      </c>
      <c r="L1305">
        <v>216.22</v>
      </c>
      <c r="M1305">
        <v>303</v>
      </c>
      <c r="N1305" t="str">
        <f t="shared" si="656"/>
        <v>RECEITAS COM ENTREGAS</v>
      </c>
      <c r="O1305">
        <v>216.22</v>
      </c>
      <c r="R1305" t="str">
        <f t="shared" si="657"/>
        <v>RECEITAS COM ENTREGAS (303)</v>
      </c>
      <c r="S1305">
        <v>1195</v>
      </c>
      <c r="T1305">
        <v>969</v>
      </c>
      <c r="U1305" t="s">
        <v>19</v>
      </c>
    </row>
    <row r="1306" spans="1:21">
      <c r="A1306" t="str">
        <f t="shared" si="651"/>
        <v>13/03/2025</v>
      </c>
      <c r="B1306" t="str">
        <f t="shared" si="658"/>
        <v>ENTRADA</v>
      </c>
      <c r="C1306" t="str">
        <f t="shared" si="652"/>
        <v>NFSE</v>
      </c>
      <c r="D1306" t="str">
        <f>"2794"</f>
        <v>2794</v>
      </c>
      <c r="E1306" t="str">
        <f t="shared" si="653"/>
        <v>COM</v>
      </c>
      <c r="F1306" t="str">
        <f>"DROGARIA POUPA MINAS (ULTRAMINAS) 3 (10129)"</f>
        <v>DROGARIA POUPA MINAS (ULTRAMINAS) 3 (10129)</v>
      </c>
      <c r="G1306" t="str">
        <f>"Serv.Prest. 03/03/2025 a 09/03/2025 - RPS: 566 - NFSe: 2794"</f>
        <v>Serv.Prest. 03/03/2025 a 09/03/2025 - RPS: 566 - NFSe: 2794</v>
      </c>
      <c r="H1306" t="str">
        <f t="shared" si="659"/>
        <v>13/03/2025</v>
      </c>
      <c r="I1306" t="str">
        <f t="shared" si="654"/>
        <v>10/03/2025</v>
      </c>
      <c r="J1306" t="str">
        <f t="shared" si="655"/>
        <v>13/03/2025</v>
      </c>
      <c r="M1306">
        <v>303</v>
      </c>
      <c r="N1306" t="str">
        <f t="shared" si="656"/>
        <v>RECEITAS COM ENTREGAS</v>
      </c>
      <c r="P1306">
        <v>216.22</v>
      </c>
      <c r="Q1306" t="str">
        <f>"DROGARIA POUPA MINAS (ULTRAMINAS) 3 (10129)"</f>
        <v>DROGARIA POUPA MINAS (ULTRAMINAS) 3 (10129)</v>
      </c>
      <c r="R1306" t="str">
        <f t="shared" si="657"/>
        <v>RECEITAS COM ENTREGAS (303)</v>
      </c>
      <c r="S1306">
        <v>1195</v>
      </c>
      <c r="T1306">
        <v>969</v>
      </c>
      <c r="U1306" t="s">
        <v>19</v>
      </c>
    </row>
    <row r="1307" spans="1:21">
      <c r="A1307" t="str">
        <f t="shared" si="651"/>
        <v>13/03/2025</v>
      </c>
      <c r="B1307" t="str">
        <f t="shared" ref="B1307:B1314" si="660">"SAÍDA"</f>
        <v>SAÍDA</v>
      </c>
      <c r="C1307" t="str">
        <f t="shared" ref="C1307:C1314" si="661">"JUROS"</f>
        <v>JUROS</v>
      </c>
      <c r="D1307" t="str">
        <f>""</f>
        <v/>
      </c>
      <c r="E1307" t="str">
        <f t="shared" ref="E1307:E1314" si="662">"CXA"</f>
        <v>CXA</v>
      </c>
      <c r="F1307" t="str">
        <f>""</f>
        <v/>
      </c>
      <c r="G1307" t="str">
        <f t="shared" ref="G1307:G1314" si="663">"TAXA BOLETO COMPENSADO"</f>
        <v>TAXA BOLETO COMPENSADO</v>
      </c>
      <c r="H1307" t="str">
        <f t="shared" si="659"/>
        <v>13/03/2025</v>
      </c>
      <c r="I1307" t="str">
        <f t="shared" ref="I1307:I1326" si="664">("13/03/2025")</f>
        <v>13/03/2025</v>
      </c>
      <c r="J1307" t="str">
        <f t="shared" si="655"/>
        <v>13/03/2025</v>
      </c>
      <c r="K1307">
        <v>1.7</v>
      </c>
      <c r="L1307">
        <v>1.7</v>
      </c>
      <c r="M1307">
        <v>401</v>
      </c>
      <c r="N1307" t="str">
        <f t="shared" ref="N1307:N1314" si="665">"IOF/JUROS/DESP.FINANCEIRA"</f>
        <v>IOF/JUROS/DESP.FINANCEIRA</v>
      </c>
      <c r="O1307">
        <v>1.7</v>
      </c>
      <c r="R1307" t="str">
        <f t="shared" ref="R1307:R1314" si="666">"BANCO CORA (102)"</f>
        <v>BANCO CORA (102)</v>
      </c>
      <c r="S1307">
        <v>1200</v>
      </c>
      <c r="T1307">
        <v>0</v>
      </c>
      <c r="U1307" t="s">
        <v>20</v>
      </c>
    </row>
    <row r="1308" spans="1:21">
      <c r="A1308" t="str">
        <f t="shared" si="651"/>
        <v>13/03/2025</v>
      </c>
      <c r="B1308" t="str">
        <f t="shared" si="660"/>
        <v>SAÍDA</v>
      </c>
      <c r="C1308" t="str">
        <f t="shared" si="661"/>
        <v>JUROS</v>
      </c>
      <c r="D1308" t="str">
        <f>""</f>
        <v/>
      </c>
      <c r="E1308" t="str">
        <f t="shared" si="662"/>
        <v>CXA</v>
      </c>
      <c r="F1308" t="str">
        <f>""</f>
        <v/>
      </c>
      <c r="G1308" t="str">
        <f t="shared" si="663"/>
        <v>TAXA BOLETO COMPENSADO</v>
      </c>
      <c r="H1308" t="str">
        <f t="shared" si="659"/>
        <v>13/03/2025</v>
      </c>
      <c r="I1308" t="str">
        <f t="shared" si="664"/>
        <v>13/03/2025</v>
      </c>
      <c r="J1308" t="str">
        <f t="shared" si="655"/>
        <v>13/03/2025</v>
      </c>
      <c r="K1308">
        <v>1.7</v>
      </c>
      <c r="L1308">
        <v>1.7</v>
      </c>
      <c r="M1308">
        <v>401</v>
      </c>
      <c r="N1308" t="str">
        <f t="shared" si="665"/>
        <v>IOF/JUROS/DESP.FINANCEIRA</v>
      </c>
      <c r="O1308">
        <v>1.7</v>
      </c>
      <c r="R1308" t="str">
        <f t="shared" si="666"/>
        <v>BANCO CORA (102)</v>
      </c>
      <c r="S1308">
        <v>1201</v>
      </c>
      <c r="T1308">
        <v>0</v>
      </c>
      <c r="U1308" t="s">
        <v>20</v>
      </c>
    </row>
    <row r="1309" spans="1:21">
      <c r="A1309" t="str">
        <f t="shared" si="651"/>
        <v>13/03/2025</v>
      </c>
      <c r="B1309" t="str">
        <f t="shared" si="660"/>
        <v>SAÍDA</v>
      </c>
      <c r="C1309" t="str">
        <f t="shared" si="661"/>
        <v>JUROS</v>
      </c>
      <c r="D1309" t="str">
        <f>""</f>
        <v/>
      </c>
      <c r="E1309" t="str">
        <f t="shared" si="662"/>
        <v>CXA</v>
      </c>
      <c r="F1309" t="str">
        <f>""</f>
        <v/>
      </c>
      <c r="G1309" t="str">
        <f t="shared" si="663"/>
        <v>TAXA BOLETO COMPENSADO</v>
      </c>
      <c r="H1309" t="str">
        <f t="shared" si="659"/>
        <v>13/03/2025</v>
      </c>
      <c r="I1309" t="str">
        <f t="shared" si="664"/>
        <v>13/03/2025</v>
      </c>
      <c r="J1309" t="str">
        <f t="shared" si="655"/>
        <v>13/03/2025</v>
      </c>
      <c r="K1309">
        <v>1.7</v>
      </c>
      <c r="L1309">
        <v>1.7</v>
      </c>
      <c r="M1309">
        <v>401</v>
      </c>
      <c r="N1309" t="str">
        <f t="shared" si="665"/>
        <v>IOF/JUROS/DESP.FINANCEIRA</v>
      </c>
      <c r="O1309">
        <v>1.7</v>
      </c>
      <c r="R1309" t="str">
        <f t="shared" si="666"/>
        <v>BANCO CORA (102)</v>
      </c>
      <c r="S1309">
        <v>1202</v>
      </c>
      <c r="T1309">
        <v>0</v>
      </c>
      <c r="U1309" t="s">
        <v>20</v>
      </c>
    </row>
    <row r="1310" spans="1:21">
      <c r="A1310" t="str">
        <f t="shared" si="651"/>
        <v>13/03/2025</v>
      </c>
      <c r="B1310" t="str">
        <f t="shared" si="660"/>
        <v>SAÍDA</v>
      </c>
      <c r="C1310" t="str">
        <f t="shared" si="661"/>
        <v>JUROS</v>
      </c>
      <c r="D1310" t="str">
        <f>""</f>
        <v/>
      </c>
      <c r="E1310" t="str">
        <f t="shared" si="662"/>
        <v>CXA</v>
      </c>
      <c r="F1310" t="str">
        <f>""</f>
        <v/>
      </c>
      <c r="G1310" t="str">
        <f t="shared" si="663"/>
        <v>TAXA BOLETO COMPENSADO</v>
      </c>
      <c r="H1310" t="str">
        <f t="shared" si="659"/>
        <v>13/03/2025</v>
      </c>
      <c r="I1310" t="str">
        <f t="shared" si="664"/>
        <v>13/03/2025</v>
      </c>
      <c r="J1310" t="str">
        <f t="shared" si="655"/>
        <v>13/03/2025</v>
      </c>
      <c r="K1310">
        <v>1.7</v>
      </c>
      <c r="L1310">
        <v>1.7</v>
      </c>
      <c r="M1310">
        <v>401</v>
      </c>
      <c r="N1310" t="str">
        <f t="shared" si="665"/>
        <v>IOF/JUROS/DESP.FINANCEIRA</v>
      </c>
      <c r="O1310">
        <v>1.7</v>
      </c>
      <c r="R1310" t="str">
        <f t="shared" si="666"/>
        <v>BANCO CORA (102)</v>
      </c>
      <c r="S1310">
        <v>1203</v>
      </c>
      <c r="T1310">
        <v>0</v>
      </c>
      <c r="U1310" t="s">
        <v>20</v>
      </c>
    </row>
    <row r="1311" spans="1:21">
      <c r="A1311" t="str">
        <f t="shared" si="651"/>
        <v>13/03/2025</v>
      </c>
      <c r="B1311" t="str">
        <f t="shared" si="660"/>
        <v>SAÍDA</v>
      </c>
      <c r="C1311" t="str">
        <f t="shared" si="661"/>
        <v>JUROS</v>
      </c>
      <c r="D1311" t="str">
        <f>""</f>
        <v/>
      </c>
      <c r="E1311" t="str">
        <f t="shared" si="662"/>
        <v>CXA</v>
      </c>
      <c r="F1311" t="str">
        <f>""</f>
        <v/>
      </c>
      <c r="G1311" t="str">
        <f t="shared" si="663"/>
        <v>TAXA BOLETO COMPENSADO</v>
      </c>
      <c r="H1311" t="str">
        <f t="shared" si="659"/>
        <v>13/03/2025</v>
      </c>
      <c r="I1311" t="str">
        <f t="shared" si="664"/>
        <v>13/03/2025</v>
      </c>
      <c r="J1311" t="str">
        <f t="shared" si="655"/>
        <v>13/03/2025</v>
      </c>
      <c r="K1311">
        <v>1.7</v>
      </c>
      <c r="L1311">
        <v>1.7</v>
      </c>
      <c r="M1311">
        <v>401</v>
      </c>
      <c r="N1311" t="str">
        <f t="shared" si="665"/>
        <v>IOF/JUROS/DESP.FINANCEIRA</v>
      </c>
      <c r="O1311">
        <v>1.7</v>
      </c>
      <c r="R1311" t="str">
        <f t="shared" si="666"/>
        <v>BANCO CORA (102)</v>
      </c>
      <c r="S1311">
        <v>1204</v>
      </c>
      <c r="T1311">
        <v>0</v>
      </c>
      <c r="U1311" t="s">
        <v>20</v>
      </c>
    </row>
    <row r="1312" spans="1:21">
      <c r="A1312" t="str">
        <f t="shared" si="651"/>
        <v>13/03/2025</v>
      </c>
      <c r="B1312" t="str">
        <f t="shared" si="660"/>
        <v>SAÍDA</v>
      </c>
      <c r="C1312" t="str">
        <f t="shared" si="661"/>
        <v>JUROS</v>
      </c>
      <c r="D1312" t="str">
        <f>""</f>
        <v/>
      </c>
      <c r="E1312" t="str">
        <f t="shared" si="662"/>
        <v>CXA</v>
      </c>
      <c r="F1312" t="str">
        <f>""</f>
        <v/>
      </c>
      <c r="G1312" t="str">
        <f t="shared" si="663"/>
        <v>TAXA BOLETO COMPENSADO</v>
      </c>
      <c r="H1312" t="str">
        <f t="shared" si="659"/>
        <v>13/03/2025</v>
      </c>
      <c r="I1312" t="str">
        <f t="shared" si="664"/>
        <v>13/03/2025</v>
      </c>
      <c r="J1312" t="str">
        <f t="shared" si="655"/>
        <v>13/03/2025</v>
      </c>
      <c r="K1312">
        <v>1.7</v>
      </c>
      <c r="L1312">
        <v>1.7</v>
      </c>
      <c r="M1312">
        <v>401</v>
      </c>
      <c r="N1312" t="str">
        <f t="shared" si="665"/>
        <v>IOF/JUROS/DESP.FINANCEIRA</v>
      </c>
      <c r="O1312">
        <v>1.7</v>
      </c>
      <c r="R1312" t="str">
        <f t="shared" si="666"/>
        <v>BANCO CORA (102)</v>
      </c>
      <c r="S1312">
        <v>1205</v>
      </c>
      <c r="T1312">
        <v>0</v>
      </c>
      <c r="U1312" t="s">
        <v>20</v>
      </c>
    </row>
    <row r="1313" spans="1:21">
      <c r="A1313" t="str">
        <f t="shared" si="651"/>
        <v>13/03/2025</v>
      </c>
      <c r="B1313" t="str">
        <f t="shared" si="660"/>
        <v>SAÍDA</v>
      </c>
      <c r="C1313" t="str">
        <f t="shared" si="661"/>
        <v>JUROS</v>
      </c>
      <c r="D1313" t="str">
        <f>""</f>
        <v/>
      </c>
      <c r="E1313" t="str">
        <f t="shared" si="662"/>
        <v>CXA</v>
      </c>
      <c r="F1313" t="str">
        <f>""</f>
        <v/>
      </c>
      <c r="G1313" t="str">
        <f t="shared" si="663"/>
        <v>TAXA BOLETO COMPENSADO</v>
      </c>
      <c r="H1313" t="str">
        <f t="shared" si="659"/>
        <v>13/03/2025</v>
      </c>
      <c r="I1313" t="str">
        <f t="shared" si="664"/>
        <v>13/03/2025</v>
      </c>
      <c r="J1313" t="str">
        <f t="shared" si="655"/>
        <v>13/03/2025</v>
      </c>
      <c r="K1313">
        <v>1.7</v>
      </c>
      <c r="L1313">
        <v>1.7</v>
      </c>
      <c r="M1313">
        <v>401</v>
      </c>
      <c r="N1313" t="str">
        <f t="shared" si="665"/>
        <v>IOF/JUROS/DESP.FINANCEIRA</v>
      </c>
      <c r="O1313">
        <v>1.7</v>
      </c>
      <c r="R1313" t="str">
        <f t="shared" si="666"/>
        <v>BANCO CORA (102)</v>
      </c>
      <c r="S1313">
        <v>1206</v>
      </c>
      <c r="T1313">
        <v>0</v>
      </c>
      <c r="U1313" t="s">
        <v>20</v>
      </c>
    </row>
    <row r="1314" spans="1:21">
      <c r="A1314" t="str">
        <f t="shared" si="651"/>
        <v>13/03/2025</v>
      </c>
      <c r="B1314" t="str">
        <f t="shared" si="660"/>
        <v>SAÍDA</v>
      </c>
      <c r="C1314" t="str">
        <f t="shared" si="661"/>
        <v>JUROS</v>
      </c>
      <c r="D1314" t="str">
        <f>""</f>
        <v/>
      </c>
      <c r="E1314" t="str">
        <f t="shared" si="662"/>
        <v>CXA</v>
      </c>
      <c r="F1314" t="str">
        <f>""</f>
        <v/>
      </c>
      <c r="G1314" t="str">
        <f t="shared" si="663"/>
        <v>TAXA BOLETO COMPENSADO</v>
      </c>
      <c r="H1314" t="str">
        <f t="shared" si="659"/>
        <v>13/03/2025</v>
      </c>
      <c r="I1314" t="str">
        <f t="shared" si="664"/>
        <v>13/03/2025</v>
      </c>
      <c r="J1314" t="str">
        <f t="shared" si="655"/>
        <v>13/03/2025</v>
      </c>
      <c r="K1314">
        <v>1.7</v>
      </c>
      <c r="L1314">
        <v>1.7</v>
      </c>
      <c r="M1314">
        <v>401</v>
      </c>
      <c r="N1314" t="str">
        <f t="shared" si="665"/>
        <v>IOF/JUROS/DESP.FINANCEIRA</v>
      </c>
      <c r="O1314">
        <v>1.7</v>
      </c>
      <c r="R1314" t="str">
        <f t="shared" si="666"/>
        <v>BANCO CORA (102)</v>
      </c>
      <c r="S1314">
        <v>1207</v>
      </c>
      <c r="T1314">
        <v>0</v>
      </c>
      <c r="U1314" t="s">
        <v>20</v>
      </c>
    </row>
    <row r="1315" spans="1:21">
      <c r="A1315" t="str">
        <f t="shared" si="651"/>
        <v>13/03/2025</v>
      </c>
      <c r="B1315" t="str">
        <f>"ENTRADA"</f>
        <v>ENTRADA</v>
      </c>
      <c r="C1315" t="str">
        <f>"BOLETO"</f>
        <v>BOLETO</v>
      </c>
      <c r="D1315" t="str">
        <f>"1303"</f>
        <v>1303</v>
      </c>
      <c r="E1315" t="str">
        <f>"COM"</f>
        <v>COM</v>
      </c>
      <c r="F1315" t="str">
        <f>"FARMACIA BITTENCOURT LTDA (10164)"</f>
        <v>FARMACIA BITTENCOURT LTDA (10164)</v>
      </c>
      <c r="G1315" t="str">
        <f>"PAGAMENTO SETUP"</f>
        <v>PAGAMENTO SETUP</v>
      </c>
      <c r="H1315" t="str">
        <f t="shared" si="659"/>
        <v>13/03/2025</v>
      </c>
      <c r="I1315" t="str">
        <f t="shared" si="664"/>
        <v>13/03/2025</v>
      </c>
      <c r="J1315" t="str">
        <f t="shared" si="655"/>
        <v>13/03/2025</v>
      </c>
      <c r="K1315">
        <v>1000</v>
      </c>
      <c r="L1315">
        <v>1000</v>
      </c>
      <c r="M1315">
        <v>117</v>
      </c>
      <c r="N1315" t="str">
        <f>"RECEITAS COM SETUP"</f>
        <v>RECEITAS COM SETUP</v>
      </c>
      <c r="O1315">
        <v>1000</v>
      </c>
      <c r="R1315" t="str">
        <f>"RECEITAS COM SETUP (117)"</f>
        <v>RECEITAS COM SETUP (117)</v>
      </c>
      <c r="S1315">
        <v>1210</v>
      </c>
      <c r="T1315">
        <v>980</v>
      </c>
      <c r="U1315" t="s">
        <v>19</v>
      </c>
    </row>
    <row r="1316" spans="1:21">
      <c r="A1316" t="str">
        <f t="shared" si="651"/>
        <v>13/03/2025</v>
      </c>
      <c r="B1316" t="str">
        <f>"ENTRADA"</f>
        <v>ENTRADA</v>
      </c>
      <c r="C1316" t="str">
        <f>"BOLETO"</f>
        <v>BOLETO</v>
      </c>
      <c r="D1316" t="str">
        <f>"1303"</f>
        <v>1303</v>
      </c>
      <c r="E1316" t="str">
        <f>"COM"</f>
        <v>COM</v>
      </c>
      <c r="F1316" t="str">
        <f>"FARMACIA BITTENCOURT LTDA (10164)"</f>
        <v>FARMACIA BITTENCOURT LTDA (10164)</v>
      </c>
      <c r="G1316" t="str">
        <f>"PAGAMENTO SETUP"</f>
        <v>PAGAMENTO SETUP</v>
      </c>
      <c r="H1316" t="str">
        <f t="shared" si="659"/>
        <v>13/03/2025</v>
      </c>
      <c r="I1316" t="str">
        <f t="shared" si="664"/>
        <v>13/03/2025</v>
      </c>
      <c r="J1316" t="str">
        <f t="shared" si="655"/>
        <v>13/03/2025</v>
      </c>
      <c r="M1316">
        <v>117</v>
      </c>
      <c r="N1316" t="str">
        <f>"RECEITAS COM SETUP"</f>
        <v>RECEITAS COM SETUP</v>
      </c>
      <c r="P1316">
        <v>1000</v>
      </c>
      <c r="Q1316" t="str">
        <f>"ENTREFARMA (10164)"</f>
        <v>ENTREFARMA (10164)</v>
      </c>
      <c r="R1316" t="str">
        <f>"RECEITAS COM SETUP (117)"</f>
        <v>RECEITAS COM SETUP (117)</v>
      </c>
      <c r="S1316">
        <v>1210</v>
      </c>
      <c r="T1316">
        <v>980</v>
      </c>
      <c r="U1316" t="s">
        <v>19</v>
      </c>
    </row>
    <row r="1317" spans="1:21">
      <c r="A1317" t="str">
        <f t="shared" si="651"/>
        <v>13/03/2025</v>
      </c>
      <c r="B1317" t="str">
        <f>"ENTRADA"</f>
        <v>ENTRADA</v>
      </c>
      <c r="C1317" t="str">
        <f>""</f>
        <v/>
      </c>
      <c r="D1317" t="str">
        <f>""</f>
        <v/>
      </c>
      <c r="E1317" t="str">
        <f>"CXA"</f>
        <v>CXA</v>
      </c>
      <c r="F1317" t="str">
        <f>""</f>
        <v/>
      </c>
      <c r="G1317" t="str">
        <f>"PAGAMENTO SETUP DROGARIA MORENA"</f>
        <v>PAGAMENTO SETUP DROGARIA MORENA</v>
      </c>
      <c r="H1317" t="str">
        <f t="shared" si="659"/>
        <v>13/03/2025</v>
      </c>
      <c r="I1317" t="str">
        <f t="shared" si="664"/>
        <v>13/03/2025</v>
      </c>
      <c r="J1317" t="str">
        <f t="shared" si="655"/>
        <v>13/03/2025</v>
      </c>
      <c r="K1317">
        <v>2500</v>
      </c>
      <c r="L1317">
        <v>2500</v>
      </c>
      <c r="M1317">
        <v>117</v>
      </c>
      <c r="N1317" t="str">
        <f>"RECEITAS COM SETUP"</f>
        <v>RECEITAS COM SETUP</v>
      </c>
      <c r="O1317">
        <v>2500</v>
      </c>
      <c r="R1317" t="str">
        <f>"RECEITAS COM SETUP (117)"</f>
        <v>RECEITAS COM SETUP (117)</v>
      </c>
      <c r="S1317">
        <v>1211</v>
      </c>
      <c r="T1317">
        <v>0</v>
      </c>
      <c r="U1317" t="s">
        <v>22</v>
      </c>
    </row>
    <row r="1318" spans="1:21">
      <c r="A1318" t="str">
        <f t="shared" si="651"/>
        <v>13/03/2025</v>
      </c>
      <c r="B1318" t="str">
        <f>"ENTRADA"</f>
        <v>ENTRADA</v>
      </c>
      <c r="C1318" t="str">
        <f>""</f>
        <v/>
      </c>
      <c r="D1318" t="str">
        <f>""</f>
        <v/>
      </c>
      <c r="E1318" t="str">
        <f>"CXA"</f>
        <v>CXA</v>
      </c>
      <c r="F1318" t="str">
        <f>""</f>
        <v/>
      </c>
      <c r="G1318" t="str">
        <f>"PAGAMENTO SETUP DROGARIA SOUSA E ROS"</f>
        <v>PAGAMENTO SETUP DROGARIA SOUSA E ROS</v>
      </c>
      <c r="H1318" t="str">
        <f t="shared" si="659"/>
        <v>13/03/2025</v>
      </c>
      <c r="I1318" t="str">
        <f t="shared" si="664"/>
        <v>13/03/2025</v>
      </c>
      <c r="J1318" t="str">
        <f t="shared" si="655"/>
        <v>13/03/2025</v>
      </c>
      <c r="K1318">
        <v>1250</v>
      </c>
      <c r="L1318">
        <v>1250</v>
      </c>
      <c r="M1318">
        <v>117</v>
      </c>
      <c r="N1318" t="str">
        <f>"RECEITAS COM SETUP"</f>
        <v>RECEITAS COM SETUP</v>
      </c>
      <c r="O1318">
        <v>1250</v>
      </c>
      <c r="R1318" t="str">
        <f>"RECEITAS COM SETUP (117)"</f>
        <v>RECEITAS COM SETUP (117)</v>
      </c>
      <c r="S1318">
        <v>1212</v>
      </c>
      <c r="T1318">
        <v>0</v>
      </c>
      <c r="U1318" t="s">
        <v>22</v>
      </c>
    </row>
    <row r="1319" spans="1:21">
      <c r="A1319" t="str">
        <f t="shared" si="651"/>
        <v>13/03/2025</v>
      </c>
      <c r="B1319" t="str">
        <f t="shared" ref="B1319:B1326" si="667">"SAÍDA"</f>
        <v>SAÍDA</v>
      </c>
      <c r="C1319" t="str">
        <f t="shared" ref="C1319:C1326" si="668">"PIX"</f>
        <v>PIX</v>
      </c>
      <c r="D1319" t="str">
        <f t="shared" ref="D1319:D1324" si="669">"1303"</f>
        <v>1303</v>
      </c>
      <c r="E1319" t="str">
        <f t="shared" ref="E1319:E1330" si="670">"COM"</f>
        <v>COM</v>
      </c>
      <c r="F1319" t="str">
        <f>"LILIANE DE FATIMA REZENDE JUSTINO (20013)"</f>
        <v>LILIANE DE FATIMA REZENDE JUSTINO (20013)</v>
      </c>
      <c r="G1319" t="str">
        <f>"DISTRIBUICAO DE LUCROS"</f>
        <v>DISTRIBUICAO DE LUCROS</v>
      </c>
      <c r="H1319" t="str">
        <f t="shared" si="659"/>
        <v>13/03/2025</v>
      </c>
      <c r="I1319" t="str">
        <f t="shared" si="664"/>
        <v>13/03/2025</v>
      </c>
      <c r="J1319" t="str">
        <f t="shared" si="655"/>
        <v>13/03/2025</v>
      </c>
      <c r="K1319">
        <v>7000</v>
      </c>
      <c r="L1319">
        <v>7000</v>
      </c>
      <c r="M1319">
        <v>125</v>
      </c>
      <c r="N1319" t="str">
        <f>"DISTRIBUIÇÃO DE LUCRO"</f>
        <v>DISTRIBUIÇÃO DE LUCRO</v>
      </c>
      <c r="O1319">
        <v>7000</v>
      </c>
      <c r="R1319" t="str">
        <f t="shared" ref="R1319:R1326" si="671">"BANCO CORA (102)"</f>
        <v>BANCO CORA (102)</v>
      </c>
      <c r="S1319">
        <v>1216</v>
      </c>
      <c r="T1319">
        <v>981</v>
      </c>
      <c r="U1319" t="s">
        <v>19</v>
      </c>
    </row>
    <row r="1320" spans="1:21">
      <c r="A1320" t="str">
        <f t="shared" si="651"/>
        <v>13/03/2025</v>
      </c>
      <c r="B1320" t="str">
        <f t="shared" si="667"/>
        <v>SAÍDA</v>
      </c>
      <c r="C1320" t="str">
        <f t="shared" si="668"/>
        <v>PIX</v>
      </c>
      <c r="D1320" t="str">
        <f t="shared" si="669"/>
        <v>1303</v>
      </c>
      <c r="E1320" t="str">
        <f t="shared" si="670"/>
        <v>COM</v>
      </c>
      <c r="F1320" t="str">
        <f>"LILIANE DE FATIMA REZENDE JUSTINO (20013)"</f>
        <v>LILIANE DE FATIMA REZENDE JUSTINO (20013)</v>
      </c>
      <c r="G1320" t="str">
        <f>"DISTRIBUICAO DE LUCROS"</f>
        <v>DISTRIBUICAO DE LUCROS</v>
      </c>
      <c r="H1320" t="str">
        <f t="shared" si="659"/>
        <v>13/03/2025</v>
      </c>
      <c r="I1320" t="str">
        <f t="shared" si="664"/>
        <v>13/03/2025</v>
      </c>
      <c r="J1320" t="str">
        <f t="shared" si="655"/>
        <v>13/03/2025</v>
      </c>
      <c r="M1320">
        <v>125</v>
      </c>
      <c r="N1320" t="str">
        <f>"DISTRIBUIÇÃO DE LUCRO"</f>
        <v>DISTRIBUIÇÃO DE LUCRO</v>
      </c>
      <c r="P1320">
        <v>7000</v>
      </c>
      <c r="Q1320" t="str">
        <f>"LILIANE DE FATIMA REZENDE JUSTINO (20013)"</f>
        <v>LILIANE DE FATIMA REZENDE JUSTINO (20013)</v>
      </c>
      <c r="R1320" t="str">
        <f t="shared" si="671"/>
        <v>BANCO CORA (102)</v>
      </c>
      <c r="S1320">
        <v>1216</v>
      </c>
      <c r="T1320">
        <v>981</v>
      </c>
      <c r="U1320" t="s">
        <v>19</v>
      </c>
    </row>
    <row r="1321" spans="1:21">
      <c r="A1321" t="str">
        <f t="shared" si="651"/>
        <v>13/03/2025</v>
      </c>
      <c r="B1321" t="str">
        <f t="shared" si="667"/>
        <v>SAÍDA</v>
      </c>
      <c r="C1321" t="str">
        <f t="shared" si="668"/>
        <v>PIX</v>
      </c>
      <c r="D1321" t="str">
        <f t="shared" si="669"/>
        <v>1303</v>
      </c>
      <c r="E1321" t="str">
        <f t="shared" si="670"/>
        <v>COM</v>
      </c>
      <c r="F1321" t="str">
        <f>"MARCELO REZENDE ARANTES (20014)"</f>
        <v>MARCELO REZENDE ARANTES (20014)</v>
      </c>
      <c r="G1321" t="str">
        <f>"DISTRIBUICAO DE LUCROS"</f>
        <v>DISTRIBUICAO DE LUCROS</v>
      </c>
      <c r="H1321" t="str">
        <f t="shared" si="659"/>
        <v>13/03/2025</v>
      </c>
      <c r="I1321" t="str">
        <f t="shared" si="664"/>
        <v>13/03/2025</v>
      </c>
      <c r="J1321" t="str">
        <f t="shared" si="655"/>
        <v>13/03/2025</v>
      </c>
      <c r="K1321">
        <v>3000</v>
      </c>
      <c r="L1321">
        <v>3000</v>
      </c>
      <c r="M1321">
        <v>125</v>
      </c>
      <c r="N1321" t="str">
        <f>"DISTRIBUIÇÃO DE LUCRO"</f>
        <v>DISTRIBUIÇÃO DE LUCRO</v>
      </c>
      <c r="O1321">
        <v>3000</v>
      </c>
      <c r="R1321" t="str">
        <f t="shared" si="671"/>
        <v>BANCO CORA (102)</v>
      </c>
      <c r="S1321">
        <v>1217</v>
      </c>
      <c r="T1321">
        <v>982</v>
      </c>
      <c r="U1321" t="s">
        <v>19</v>
      </c>
    </row>
    <row r="1322" spans="1:21">
      <c r="A1322" t="str">
        <f t="shared" si="651"/>
        <v>13/03/2025</v>
      </c>
      <c r="B1322" t="str">
        <f t="shared" si="667"/>
        <v>SAÍDA</v>
      </c>
      <c r="C1322" t="str">
        <f t="shared" si="668"/>
        <v>PIX</v>
      </c>
      <c r="D1322" t="str">
        <f t="shared" si="669"/>
        <v>1303</v>
      </c>
      <c r="E1322" t="str">
        <f t="shared" si="670"/>
        <v>COM</v>
      </c>
      <c r="F1322" t="str">
        <f>"MARCELO REZENDE ARANTES (20014)"</f>
        <v>MARCELO REZENDE ARANTES (20014)</v>
      </c>
      <c r="G1322" t="str">
        <f>"DISTRIBUICAO DE LUCROS"</f>
        <v>DISTRIBUICAO DE LUCROS</v>
      </c>
      <c r="H1322" t="str">
        <f t="shared" si="659"/>
        <v>13/03/2025</v>
      </c>
      <c r="I1322" t="str">
        <f t="shared" si="664"/>
        <v>13/03/2025</v>
      </c>
      <c r="J1322" t="str">
        <f t="shared" si="655"/>
        <v>13/03/2025</v>
      </c>
      <c r="M1322">
        <v>125</v>
      </c>
      <c r="N1322" t="str">
        <f>"DISTRIBUIÇÃO DE LUCRO"</f>
        <v>DISTRIBUIÇÃO DE LUCRO</v>
      </c>
      <c r="P1322">
        <v>3000</v>
      </c>
      <c r="Q1322" t="str">
        <f>"MARCELO REZENDE ARANTES (20014)"</f>
        <v>MARCELO REZENDE ARANTES (20014)</v>
      </c>
      <c r="R1322" t="str">
        <f t="shared" si="671"/>
        <v>BANCO CORA (102)</v>
      </c>
      <c r="S1322">
        <v>1217</v>
      </c>
      <c r="T1322">
        <v>982</v>
      </c>
      <c r="U1322" t="s">
        <v>19</v>
      </c>
    </row>
    <row r="1323" spans="1:21">
      <c r="A1323" t="str">
        <f t="shared" si="651"/>
        <v>13/03/2025</v>
      </c>
      <c r="B1323" t="str">
        <f t="shared" si="667"/>
        <v>SAÍDA</v>
      </c>
      <c r="C1323" t="str">
        <f t="shared" si="668"/>
        <v>PIX</v>
      </c>
      <c r="D1323" t="str">
        <f t="shared" si="669"/>
        <v>1303</v>
      </c>
      <c r="E1323" t="str">
        <f t="shared" si="670"/>
        <v>COM</v>
      </c>
      <c r="F1323" t="str">
        <f>"CONTA SIMPLES SOLUCOES DE PAGAMENTOS LTDA (20019)"</f>
        <v>CONTA SIMPLES SOLUCOES DE PAGAMENTOS LTDA (20019)</v>
      </c>
      <c r="G1323" t="str">
        <f>"PUBLICIDADE E PROPAGANDAS EM REDES SOCIAIS"</f>
        <v>PUBLICIDADE E PROPAGANDAS EM REDES SOCIAIS</v>
      </c>
      <c r="H1323" t="str">
        <f t="shared" si="659"/>
        <v>13/03/2025</v>
      </c>
      <c r="I1323" t="str">
        <f t="shared" si="664"/>
        <v>13/03/2025</v>
      </c>
      <c r="J1323" t="str">
        <f t="shared" si="655"/>
        <v>13/03/2025</v>
      </c>
      <c r="K1323">
        <v>400</v>
      </c>
      <c r="L1323">
        <v>400</v>
      </c>
      <c r="M1323">
        <v>127</v>
      </c>
      <c r="N1323" t="str">
        <f>"PUBLICIDADE E PROPAGANDAS"</f>
        <v>PUBLICIDADE E PROPAGANDAS</v>
      </c>
      <c r="O1323">
        <v>400</v>
      </c>
      <c r="R1323" t="str">
        <f t="shared" si="671"/>
        <v>BANCO CORA (102)</v>
      </c>
      <c r="S1323">
        <v>1218</v>
      </c>
      <c r="T1323">
        <v>983</v>
      </c>
      <c r="U1323" t="s">
        <v>19</v>
      </c>
    </row>
    <row r="1324" spans="1:21">
      <c r="A1324" t="str">
        <f t="shared" si="651"/>
        <v>13/03/2025</v>
      </c>
      <c r="B1324" t="str">
        <f t="shared" si="667"/>
        <v>SAÍDA</v>
      </c>
      <c r="C1324" t="str">
        <f t="shared" si="668"/>
        <v>PIX</v>
      </c>
      <c r="D1324" t="str">
        <f t="shared" si="669"/>
        <v>1303</v>
      </c>
      <c r="E1324" t="str">
        <f t="shared" si="670"/>
        <v>COM</v>
      </c>
      <c r="F1324" t="str">
        <f>"CONTA SIMPLES SOLUCOES DE PAGAMENTOS LTDA (20019)"</f>
        <v>CONTA SIMPLES SOLUCOES DE PAGAMENTOS LTDA (20019)</v>
      </c>
      <c r="G1324" t="str">
        <f>"PUBLICIDADE E PROPAGANDAS EM REDES SOCIAIS"</f>
        <v>PUBLICIDADE E PROPAGANDAS EM REDES SOCIAIS</v>
      </c>
      <c r="H1324" t="str">
        <f t="shared" si="659"/>
        <v>13/03/2025</v>
      </c>
      <c r="I1324" t="str">
        <f t="shared" si="664"/>
        <v>13/03/2025</v>
      </c>
      <c r="J1324" t="str">
        <f t="shared" si="655"/>
        <v>13/03/2025</v>
      </c>
      <c r="M1324">
        <v>127</v>
      </c>
      <c r="N1324" t="str">
        <f>"PUBLICIDADE E PROPAGANDAS"</f>
        <v>PUBLICIDADE E PROPAGANDAS</v>
      </c>
      <c r="P1324">
        <v>400</v>
      </c>
      <c r="Q1324" t="str">
        <f>"CONTA SIMPLES SOLUCOES DE PAGAMENTOS LTDA (20019)"</f>
        <v>CONTA SIMPLES SOLUCOES DE PAGAMENTOS LTDA (20019)</v>
      </c>
      <c r="R1324" t="str">
        <f t="shared" si="671"/>
        <v>BANCO CORA (102)</v>
      </c>
      <c r="S1324">
        <v>1218</v>
      </c>
      <c r="T1324">
        <v>983</v>
      </c>
      <c r="U1324" t="s">
        <v>19</v>
      </c>
    </row>
    <row r="1325" spans="1:21">
      <c r="A1325" t="str">
        <f t="shared" si="651"/>
        <v>13/03/2025</v>
      </c>
      <c r="B1325" t="str">
        <f t="shared" si="667"/>
        <v>SAÍDA</v>
      </c>
      <c r="C1325" t="str">
        <f t="shared" si="668"/>
        <v>PIX</v>
      </c>
      <c r="D1325" t="str">
        <f>"09995864633"</f>
        <v>09995864633</v>
      </c>
      <c r="E1325" t="str">
        <f t="shared" si="670"/>
        <v>COM</v>
      </c>
      <c r="F1325" t="str">
        <f>"AMERICANAS S.A - EM RECUPERACAO JUDICIAL (20078)"</f>
        <v>AMERICANAS S.A - EM RECUPERACAO JUDICIAL (20078)</v>
      </c>
      <c r="G1325" t="str">
        <f>"COMPRA DE VALES PRESENTES PARA FEIRA DE FARMACIAS FARMACON"</f>
        <v>COMPRA DE VALES PRESENTES PARA FEIRA DE FARMACIAS FARMACON</v>
      </c>
      <c r="H1325" t="str">
        <f t="shared" si="659"/>
        <v>13/03/2025</v>
      </c>
      <c r="I1325" t="str">
        <f t="shared" si="664"/>
        <v>13/03/2025</v>
      </c>
      <c r="J1325" t="str">
        <f t="shared" si="655"/>
        <v>13/03/2025</v>
      </c>
      <c r="K1325">
        <v>2000</v>
      </c>
      <c r="L1325">
        <v>2000</v>
      </c>
      <c r="M1325">
        <v>129</v>
      </c>
      <c r="N1325" t="str">
        <f>"DESPESAS COM EVENTOS"</f>
        <v>DESPESAS COM EVENTOS</v>
      </c>
      <c r="O1325">
        <v>2000</v>
      </c>
      <c r="R1325" t="str">
        <f t="shared" si="671"/>
        <v>BANCO CORA (102)</v>
      </c>
      <c r="S1325">
        <v>1219</v>
      </c>
      <c r="T1325">
        <v>984</v>
      </c>
      <c r="U1325" t="s">
        <v>19</v>
      </c>
    </row>
    <row r="1326" spans="1:21">
      <c r="A1326" t="str">
        <f t="shared" si="651"/>
        <v>13/03/2025</v>
      </c>
      <c r="B1326" t="str">
        <f t="shared" si="667"/>
        <v>SAÍDA</v>
      </c>
      <c r="C1326" t="str">
        <f t="shared" si="668"/>
        <v>PIX</v>
      </c>
      <c r="D1326" t="str">
        <f>"09995864633"</f>
        <v>09995864633</v>
      </c>
      <c r="E1326" t="str">
        <f t="shared" si="670"/>
        <v>COM</v>
      </c>
      <c r="F1326" t="str">
        <f>"AMERICANAS S.A - EM RECUPERACAO JUDICIAL (20078)"</f>
        <v>AMERICANAS S.A - EM RECUPERACAO JUDICIAL (20078)</v>
      </c>
      <c r="G1326" t="str">
        <f>"COMPRA DE VALES PRESENTES PARA FEIRA DE FARMACIAS FARMACON"</f>
        <v>COMPRA DE VALES PRESENTES PARA FEIRA DE FARMACIAS FARMACON</v>
      </c>
      <c r="H1326" t="str">
        <f t="shared" si="659"/>
        <v>13/03/2025</v>
      </c>
      <c r="I1326" t="str">
        <f t="shared" si="664"/>
        <v>13/03/2025</v>
      </c>
      <c r="J1326" t="str">
        <f t="shared" si="655"/>
        <v>13/03/2025</v>
      </c>
      <c r="M1326">
        <v>129</v>
      </c>
      <c r="N1326" t="str">
        <f>"DESPESAS COM EVENTOS"</f>
        <v>DESPESAS COM EVENTOS</v>
      </c>
      <c r="P1326">
        <v>2000</v>
      </c>
      <c r="Q1326" t="str">
        <f>"AMERICANAS S.A - EM RECUPERACAO JUDICIAL (20078)"</f>
        <v>AMERICANAS S.A - EM RECUPERACAO JUDICIAL (20078)</v>
      </c>
      <c r="R1326" t="str">
        <f t="shared" si="671"/>
        <v>BANCO CORA (102)</v>
      </c>
      <c r="S1326">
        <v>1219</v>
      </c>
      <c r="T1326">
        <v>984</v>
      </c>
      <c r="U1326" t="s">
        <v>19</v>
      </c>
    </row>
    <row r="1327" spans="1:21">
      <c r="A1327" t="str">
        <f t="shared" ref="A1327:A1334" si="672">("14/03/2025")</f>
        <v>14/03/2025</v>
      </c>
      <c r="B1327" t="str">
        <f>"ENTRADA"</f>
        <v>ENTRADA</v>
      </c>
      <c r="C1327" t="str">
        <f>"NFSE"</f>
        <v>NFSE</v>
      </c>
      <c r="D1327" t="str">
        <f>"2777"</f>
        <v>2777</v>
      </c>
      <c r="E1327" t="str">
        <f t="shared" si="670"/>
        <v>COM</v>
      </c>
      <c r="F1327" t="str">
        <f>"PAGMENOS - LJ 608 (10135)"</f>
        <v>PAGMENOS - LJ 608 (10135)</v>
      </c>
      <c r="G1327" t="str">
        <f>"Serv.Prest. 24/02/2025 a 02/03/2025 - RPS: 549 - NFSe: 2777"</f>
        <v>Serv.Prest. 24/02/2025 a 02/03/2025 - RPS: 549 - NFSe: 2777</v>
      </c>
      <c r="H1327" t="str">
        <f t="shared" si="659"/>
        <v>13/03/2025</v>
      </c>
      <c r="I1327" t="str">
        <f>("03/03/2025")</f>
        <v>03/03/2025</v>
      </c>
      <c r="J1327" t="str">
        <f t="shared" ref="J1327:J1334" si="673">("14/03/2025")</f>
        <v>14/03/2025</v>
      </c>
      <c r="K1327">
        <v>280.20999999999998</v>
      </c>
      <c r="L1327">
        <v>280.20999999999998</v>
      </c>
      <c r="M1327">
        <v>303</v>
      </c>
      <c r="N1327" t="str">
        <f>"RECEITAS COM ENTREGAS"</f>
        <v>RECEITAS COM ENTREGAS</v>
      </c>
      <c r="O1327">
        <v>280.20999999999998</v>
      </c>
      <c r="R1327" t="str">
        <f>"RECEITAS COM ENTREGAS (303)"</f>
        <v>RECEITAS COM ENTREGAS (303)</v>
      </c>
      <c r="S1327">
        <v>1196</v>
      </c>
      <c r="T1327">
        <v>951</v>
      </c>
      <c r="U1327" t="s">
        <v>19</v>
      </c>
    </row>
    <row r="1328" spans="1:21">
      <c r="A1328" t="str">
        <f t="shared" si="672"/>
        <v>14/03/2025</v>
      </c>
      <c r="B1328" t="str">
        <f t="shared" ref="B1328:B1330" si="674">"ENTRADA"</f>
        <v>ENTRADA</v>
      </c>
      <c r="C1328" t="str">
        <f>"NFSE"</f>
        <v>NFSE</v>
      </c>
      <c r="D1328" t="str">
        <f>"2777"</f>
        <v>2777</v>
      </c>
      <c r="E1328" t="str">
        <f t="shared" si="670"/>
        <v>COM</v>
      </c>
      <c r="F1328" t="str">
        <f>"PAGMENOS - LJ 608 (10135)"</f>
        <v>PAGMENOS - LJ 608 (10135)</v>
      </c>
      <c r="G1328" t="str">
        <f>"Serv.Prest. 24/02/2025 a 02/03/2025 - RPS: 549 - NFSe: 2777"</f>
        <v>Serv.Prest. 24/02/2025 a 02/03/2025 - RPS: 549 - NFSe: 2777</v>
      </c>
      <c r="H1328" t="str">
        <f t="shared" si="659"/>
        <v>13/03/2025</v>
      </c>
      <c r="I1328" t="str">
        <f>("03/03/2025")</f>
        <v>03/03/2025</v>
      </c>
      <c r="J1328" t="str">
        <f t="shared" si="673"/>
        <v>14/03/2025</v>
      </c>
      <c r="M1328">
        <v>303</v>
      </c>
      <c r="N1328" t="str">
        <f>"RECEITAS COM ENTREGAS"</f>
        <v>RECEITAS COM ENTREGAS</v>
      </c>
      <c r="P1328">
        <v>280.20999999999998</v>
      </c>
      <c r="Q1328" t="str">
        <f>"PAGMENOS - LJ 608 (10135)"</f>
        <v>PAGMENOS - LJ 608 (10135)</v>
      </c>
      <c r="R1328" t="str">
        <f>"RECEITAS COM ENTREGAS (303)"</f>
        <v>RECEITAS COM ENTREGAS (303)</v>
      </c>
      <c r="S1328">
        <v>1196</v>
      </c>
      <c r="T1328">
        <v>951</v>
      </c>
      <c r="U1328" t="s">
        <v>19</v>
      </c>
    </row>
    <row r="1329" spans="1:21">
      <c r="A1329" t="str">
        <f t="shared" si="672"/>
        <v>14/03/2025</v>
      </c>
      <c r="B1329" t="str">
        <f t="shared" si="674"/>
        <v>ENTRADA</v>
      </c>
      <c r="C1329" t="str">
        <f>"NFSE"</f>
        <v>NFSE</v>
      </c>
      <c r="D1329" t="str">
        <f>"2778"</f>
        <v>2778</v>
      </c>
      <c r="E1329" t="str">
        <f t="shared" si="670"/>
        <v>COM</v>
      </c>
      <c r="F1329" t="str">
        <f>"PAGMENOS - LJ 657 (10136)"</f>
        <v>PAGMENOS - LJ 657 (10136)</v>
      </c>
      <c r="G1329" t="str">
        <f>"Serv.Prest. 24/02/2025 a 02/03/2025 - RPS: 550 - NFSe: 2778"</f>
        <v>Serv.Prest. 24/02/2025 a 02/03/2025 - RPS: 550 - NFSe: 2778</v>
      </c>
      <c r="H1329" t="str">
        <f t="shared" si="659"/>
        <v>13/03/2025</v>
      </c>
      <c r="I1329" t="str">
        <f>("03/03/2025")</f>
        <v>03/03/2025</v>
      </c>
      <c r="J1329" t="str">
        <f t="shared" si="673"/>
        <v>14/03/2025</v>
      </c>
      <c r="K1329">
        <v>596.6</v>
      </c>
      <c r="L1329">
        <v>596.6</v>
      </c>
      <c r="M1329">
        <v>303</v>
      </c>
      <c r="N1329" t="str">
        <f>"RECEITAS COM ENTREGAS"</f>
        <v>RECEITAS COM ENTREGAS</v>
      </c>
      <c r="O1329">
        <v>596.6</v>
      </c>
      <c r="R1329" t="str">
        <f>"RECEITAS COM ENTREGAS (303)"</f>
        <v>RECEITAS COM ENTREGAS (303)</v>
      </c>
      <c r="S1329">
        <v>1197</v>
      </c>
      <c r="T1329">
        <v>952</v>
      </c>
      <c r="U1329" t="s">
        <v>19</v>
      </c>
    </row>
    <row r="1330" spans="1:21">
      <c r="A1330" t="str">
        <f t="shared" si="672"/>
        <v>14/03/2025</v>
      </c>
      <c r="B1330" t="str">
        <f t="shared" si="674"/>
        <v>ENTRADA</v>
      </c>
      <c r="C1330" t="str">
        <f>"NFSE"</f>
        <v>NFSE</v>
      </c>
      <c r="D1330" t="str">
        <f>"2778"</f>
        <v>2778</v>
      </c>
      <c r="E1330" t="str">
        <f t="shared" si="670"/>
        <v>COM</v>
      </c>
      <c r="F1330" t="str">
        <f>"PAGMENOS - LJ 657 (10136)"</f>
        <v>PAGMENOS - LJ 657 (10136)</v>
      </c>
      <c r="G1330" t="str">
        <f>"Serv.Prest. 24/02/2025 a 02/03/2025 - RPS: 550 - NFSe: 2778"</f>
        <v>Serv.Prest. 24/02/2025 a 02/03/2025 - RPS: 550 - NFSe: 2778</v>
      </c>
      <c r="H1330" t="str">
        <f t="shared" si="659"/>
        <v>13/03/2025</v>
      </c>
      <c r="I1330" t="str">
        <f>("03/03/2025")</f>
        <v>03/03/2025</v>
      </c>
      <c r="J1330" t="str">
        <f t="shared" si="673"/>
        <v>14/03/2025</v>
      </c>
      <c r="M1330">
        <v>303</v>
      </c>
      <c r="N1330" t="str">
        <f>"RECEITAS COM ENTREGAS"</f>
        <v>RECEITAS COM ENTREGAS</v>
      </c>
      <c r="P1330">
        <v>596.6</v>
      </c>
      <c r="Q1330" t="str">
        <f>"PAGMENOS - LJ 657 (10136)"</f>
        <v>PAGMENOS - LJ 657 (10136)</v>
      </c>
      <c r="R1330" t="str">
        <f>"RECEITAS COM ENTREGAS (303)"</f>
        <v>RECEITAS COM ENTREGAS (303)</v>
      </c>
      <c r="S1330">
        <v>1197</v>
      </c>
      <c r="T1330">
        <v>952</v>
      </c>
      <c r="U1330" t="s">
        <v>19</v>
      </c>
    </row>
    <row r="1331" spans="1:21">
      <c r="A1331" t="str">
        <f t="shared" si="672"/>
        <v>14/03/2025</v>
      </c>
      <c r="B1331" t="str">
        <f>"SAÍDA"</f>
        <v>SAÍDA</v>
      </c>
      <c r="C1331" t="str">
        <f>"JUROS"</f>
        <v>JUROS</v>
      </c>
      <c r="D1331" t="str">
        <f>""</f>
        <v/>
      </c>
      <c r="E1331" t="str">
        <f>"CXA"</f>
        <v>CXA</v>
      </c>
      <c r="F1331" t="str">
        <f>""</f>
        <v/>
      </c>
      <c r="G1331" t="str">
        <f>"TAXA BOLETO COMPENSADO"</f>
        <v>TAXA BOLETO COMPENSADO</v>
      </c>
      <c r="H1331" t="str">
        <f t="shared" ref="H1331:I1335" si="675">("14/03/2025")</f>
        <v>14/03/2025</v>
      </c>
      <c r="I1331" t="str">
        <f t="shared" si="675"/>
        <v>14/03/2025</v>
      </c>
      <c r="J1331" t="str">
        <f t="shared" si="673"/>
        <v>14/03/2025</v>
      </c>
      <c r="K1331">
        <v>1.7</v>
      </c>
      <c r="L1331">
        <v>1.7</v>
      </c>
      <c r="M1331">
        <v>401</v>
      </c>
      <c r="N1331" t="str">
        <f>"IOF/JUROS/DESP.FINANCEIRA"</f>
        <v>IOF/JUROS/DESP.FINANCEIRA</v>
      </c>
      <c r="O1331">
        <v>1.7</v>
      </c>
      <c r="R1331" t="str">
        <f>"BANCO CORA (102)"</f>
        <v>BANCO CORA (102)</v>
      </c>
      <c r="S1331">
        <v>1208</v>
      </c>
      <c r="T1331">
        <v>0</v>
      </c>
      <c r="U1331" t="s">
        <v>20</v>
      </c>
    </row>
    <row r="1332" spans="1:21">
      <c r="A1332" t="str">
        <f t="shared" si="672"/>
        <v>14/03/2025</v>
      </c>
      <c r="B1332" t="str">
        <f>"SAÍDA"</f>
        <v>SAÍDA</v>
      </c>
      <c r="C1332" t="str">
        <f>"JUROS"</f>
        <v>JUROS</v>
      </c>
      <c r="D1332" t="str">
        <f>""</f>
        <v/>
      </c>
      <c r="E1332" t="str">
        <f>"CXA"</f>
        <v>CXA</v>
      </c>
      <c r="F1332" t="str">
        <f>""</f>
        <v/>
      </c>
      <c r="G1332" t="str">
        <f>"TAXA BOLETO COMPENSADO"</f>
        <v>TAXA BOLETO COMPENSADO</v>
      </c>
      <c r="H1332" t="str">
        <f t="shared" si="675"/>
        <v>14/03/2025</v>
      </c>
      <c r="I1332" t="str">
        <f t="shared" si="675"/>
        <v>14/03/2025</v>
      </c>
      <c r="J1332" t="str">
        <f t="shared" si="673"/>
        <v>14/03/2025</v>
      </c>
      <c r="K1332">
        <v>1.7</v>
      </c>
      <c r="L1332">
        <v>1.7</v>
      </c>
      <c r="M1332">
        <v>401</v>
      </c>
      <c r="N1332" t="str">
        <f>"IOF/JUROS/DESP.FINANCEIRA"</f>
        <v>IOF/JUROS/DESP.FINANCEIRA</v>
      </c>
      <c r="O1332">
        <v>1.7</v>
      </c>
      <c r="R1332" t="str">
        <f>"BANCO CORA (102)"</f>
        <v>BANCO CORA (102)</v>
      </c>
      <c r="S1332">
        <v>1209</v>
      </c>
      <c r="T1332">
        <v>0</v>
      </c>
      <c r="U1332" t="s">
        <v>20</v>
      </c>
    </row>
    <row r="1333" spans="1:21">
      <c r="A1333" t="str">
        <f t="shared" si="672"/>
        <v>14/03/2025</v>
      </c>
      <c r="B1333" t="str">
        <f>"ENTRADA"</f>
        <v>ENTRADA</v>
      </c>
      <c r="C1333" t="str">
        <f>""</f>
        <v/>
      </c>
      <c r="D1333" t="str">
        <f>""</f>
        <v/>
      </c>
      <c r="E1333" t="str">
        <f>"CXA"</f>
        <v>CXA</v>
      </c>
      <c r="F1333" t="str">
        <f>""</f>
        <v/>
      </c>
      <c r="G1333" t="str">
        <f>"PAGAMENTO SETUP DROGARIA BEM ESTAR"</f>
        <v>PAGAMENTO SETUP DROGARIA BEM ESTAR</v>
      </c>
      <c r="H1333" t="str">
        <f t="shared" si="675"/>
        <v>14/03/2025</v>
      </c>
      <c r="I1333" t="str">
        <f t="shared" si="675"/>
        <v>14/03/2025</v>
      </c>
      <c r="J1333" t="str">
        <f t="shared" si="673"/>
        <v>14/03/2025</v>
      </c>
      <c r="K1333">
        <v>1000</v>
      </c>
      <c r="L1333">
        <v>1000</v>
      </c>
      <c r="M1333">
        <v>117</v>
      </c>
      <c r="N1333" t="str">
        <f>"RECEITAS COM SETUP"</f>
        <v>RECEITAS COM SETUP</v>
      </c>
      <c r="O1333">
        <v>1000</v>
      </c>
      <c r="R1333" t="str">
        <f>"RECEITAS COM SETUP (117)"</f>
        <v>RECEITAS COM SETUP (117)</v>
      </c>
      <c r="S1333">
        <v>1213</v>
      </c>
      <c r="T1333">
        <v>0</v>
      </c>
      <c r="U1333" t="s">
        <v>22</v>
      </c>
    </row>
    <row r="1334" spans="1:21">
      <c r="A1334" t="str">
        <f t="shared" si="672"/>
        <v>14/03/2025</v>
      </c>
      <c r="B1334" t="str">
        <f>"ENTRADA"</f>
        <v>ENTRADA</v>
      </c>
      <c r="C1334" t="str">
        <f>""</f>
        <v/>
      </c>
      <c r="D1334" t="str">
        <f>""</f>
        <v/>
      </c>
      <c r="E1334" t="str">
        <f>"CXA"</f>
        <v>CXA</v>
      </c>
      <c r="F1334" t="str">
        <f>""</f>
        <v/>
      </c>
      <c r="G1334" t="str">
        <f>"PAGAMENTO SETUP DROGARIA LS COMERCIO (BRASIL FARMA)"</f>
        <v>PAGAMENTO SETUP DROGARIA LS COMERCIO (BRASIL FARMA)</v>
      </c>
      <c r="H1334" t="str">
        <f t="shared" si="675"/>
        <v>14/03/2025</v>
      </c>
      <c r="I1334" t="str">
        <f t="shared" si="675"/>
        <v>14/03/2025</v>
      </c>
      <c r="J1334" t="str">
        <f t="shared" si="673"/>
        <v>14/03/2025</v>
      </c>
      <c r="K1334">
        <v>1000</v>
      </c>
      <c r="L1334">
        <v>1000</v>
      </c>
      <c r="M1334">
        <v>117</v>
      </c>
      <c r="N1334" t="str">
        <f>"RECEITAS COM SETUP"</f>
        <v>RECEITAS COM SETUP</v>
      </c>
      <c r="O1334">
        <v>1000</v>
      </c>
      <c r="R1334" t="str">
        <f>"RECEITAS COM SETUP (117)"</f>
        <v>RECEITAS COM SETUP (117)</v>
      </c>
      <c r="S1334">
        <v>1214</v>
      </c>
      <c r="T1334">
        <v>0</v>
      </c>
      <c r="U1334" t="s">
        <v>22</v>
      </c>
    </row>
    <row r="1335" spans="1:21">
      <c r="A1335" t="str">
        <f>("15/03/2025")</f>
        <v>15/03/2025</v>
      </c>
      <c r="B1335" t="str">
        <f t="shared" ref="B1335:B1340" si="676">"SAÍDA"</f>
        <v>SAÍDA</v>
      </c>
      <c r="C1335" t="str">
        <f t="shared" ref="C1335:C1340" si="677">"PIX"</f>
        <v>PIX</v>
      </c>
      <c r="D1335" t="str">
        <f>"140325136"</f>
        <v>140325136</v>
      </c>
      <c r="E1335" t="str">
        <f t="shared" ref="E1335:E1342" si="678">"COM"</f>
        <v>COM</v>
      </c>
      <c r="F1335" t="str">
        <f>"LILIANE DE FATIMA REZENDE JUSTINO (20013)"</f>
        <v>LILIANE DE FATIMA REZENDE JUSTINO (20013)</v>
      </c>
      <c r="G1335" t="str">
        <f>"REEMBOLSO DESPESAS - ALMOCO DIRETORIA"</f>
        <v>REEMBOLSO DESPESAS - ALMOCO DIRETORIA</v>
      </c>
      <c r="H1335" t="str">
        <f t="shared" si="675"/>
        <v>14/03/2025</v>
      </c>
      <c r="I1335" t="str">
        <f t="shared" si="675"/>
        <v>14/03/2025</v>
      </c>
      <c r="J1335" t="str">
        <f>("15/03/2025")</f>
        <v>15/03/2025</v>
      </c>
      <c r="K1335">
        <v>136</v>
      </c>
      <c r="L1335">
        <v>136</v>
      </c>
      <c r="M1335">
        <v>122</v>
      </c>
      <c r="N1335" t="str">
        <f>"DESPESAS COM REEMBOLSOS"</f>
        <v>DESPESAS COM REEMBOLSOS</v>
      </c>
      <c r="O1335">
        <v>136</v>
      </c>
      <c r="R1335" t="str">
        <f t="shared" ref="R1335:R1340" si="679">"BANCO CORA (102)"</f>
        <v>BANCO CORA (102)</v>
      </c>
      <c r="S1335">
        <v>1215</v>
      </c>
      <c r="T1335">
        <v>979</v>
      </c>
      <c r="U1335" t="s">
        <v>19</v>
      </c>
    </row>
    <row r="1336" spans="1:21">
      <c r="A1336" t="str">
        <f>("17/03/2025")</f>
        <v>17/03/2025</v>
      </c>
      <c r="B1336" t="str">
        <f t="shared" si="676"/>
        <v>SAÍDA</v>
      </c>
      <c r="C1336" t="str">
        <f t="shared" si="677"/>
        <v>PIX</v>
      </c>
      <c r="D1336" t="str">
        <f>"1801"</f>
        <v>1801</v>
      </c>
      <c r="E1336" t="str">
        <f t="shared" si="678"/>
        <v>COM</v>
      </c>
      <c r="F1336" t="str">
        <f>"FRANCA POPULAR (10104)"</f>
        <v>FRANCA POPULAR (10104)</v>
      </c>
      <c r="G1336" t="str">
        <f>"REEMBOLSO DE SETUP - PIX CNPJ 12.137.970/0001-12"</f>
        <v>REEMBOLSO DE SETUP - PIX CNPJ 12.137.970/0001-12</v>
      </c>
      <c r="H1336" t="str">
        <f>("17/03/2025")</f>
        <v>17/03/2025</v>
      </c>
      <c r="I1336" t="str">
        <f>("01/10/2024")</f>
        <v>01/10/2024</v>
      </c>
      <c r="J1336" t="str">
        <f>("17/03/2025")</f>
        <v>17/03/2025</v>
      </c>
      <c r="K1336">
        <v>500</v>
      </c>
      <c r="L1336">
        <v>500</v>
      </c>
      <c r="M1336">
        <v>122</v>
      </c>
      <c r="N1336" t="str">
        <f>"DESPESAS COM REEMBOLSOS"</f>
        <v>DESPESAS COM REEMBOLSOS</v>
      </c>
      <c r="O1336">
        <v>500</v>
      </c>
      <c r="R1336" t="str">
        <f t="shared" si="679"/>
        <v>BANCO CORA (102)</v>
      </c>
      <c r="S1336">
        <v>1220</v>
      </c>
      <c r="T1336">
        <v>409</v>
      </c>
      <c r="U1336" t="s">
        <v>19</v>
      </c>
    </row>
    <row r="1337" spans="1:21">
      <c r="A1337" t="str">
        <f>("17/03/2025")</f>
        <v>17/03/2025</v>
      </c>
      <c r="B1337" t="str">
        <f t="shared" si="676"/>
        <v>SAÍDA</v>
      </c>
      <c r="C1337" t="str">
        <f t="shared" si="677"/>
        <v>PIX</v>
      </c>
      <c r="D1337" t="str">
        <f>"1801"</f>
        <v>1801</v>
      </c>
      <c r="E1337" t="str">
        <f t="shared" si="678"/>
        <v>COM</v>
      </c>
      <c r="F1337" t="str">
        <f>"FRANCA POPULAR (10104)"</f>
        <v>FRANCA POPULAR (10104)</v>
      </c>
      <c r="G1337" t="str">
        <f>"REEMBOLSO DE SETUP - PIX CNPJ 12.137.970/0001-12"</f>
        <v>REEMBOLSO DE SETUP - PIX CNPJ 12.137.970/0001-12</v>
      </c>
      <c r="H1337" t="str">
        <f>("17/03/2025")</f>
        <v>17/03/2025</v>
      </c>
      <c r="I1337" t="str">
        <f>("01/10/2024")</f>
        <v>01/10/2024</v>
      </c>
      <c r="J1337" t="str">
        <f>("17/03/2025")</f>
        <v>17/03/2025</v>
      </c>
      <c r="M1337">
        <v>122</v>
      </c>
      <c r="N1337" t="str">
        <f>"DESPESAS COM REEMBOLSOS"</f>
        <v>DESPESAS COM REEMBOLSOS</v>
      </c>
      <c r="P1337">
        <v>500</v>
      </c>
      <c r="Q1337" t="str">
        <f>"FRANCA POPULAR (10104)"</f>
        <v>FRANCA POPULAR (10104)</v>
      </c>
      <c r="R1337" t="str">
        <f t="shared" si="679"/>
        <v>BANCO CORA (102)</v>
      </c>
      <c r="S1337">
        <v>1220</v>
      </c>
      <c r="T1337">
        <v>409</v>
      </c>
      <c r="U1337" t="s">
        <v>19</v>
      </c>
    </row>
    <row r="1338" spans="1:21">
      <c r="A1338" t="str">
        <f>("17/03/2025")</f>
        <v>17/03/2025</v>
      </c>
      <c r="B1338" t="str">
        <f t="shared" si="676"/>
        <v>SAÍDA</v>
      </c>
      <c r="C1338" t="str">
        <f t="shared" si="677"/>
        <v>PIX</v>
      </c>
      <c r="D1338" t="str">
        <f>"1703"</f>
        <v>1703</v>
      </c>
      <c r="E1338" t="str">
        <f t="shared" si="678"/>
        <v>COM</v>
      </c>
      <c r="F1338" t="str">
        <f>"DROGARIA POLVILHO LTDA (10162)"</f>
        <v>DROGARIA POLVILHO LTDA (10162)</v>
      </c>
      <c r="G1338" t="str">
        <f>"DEVOLUÇÃO SETUP"</f>
        <v>DEVOLUÇÃO SETUP</v>
      </c>
      <c r="H1338" t="str">
        <f>("17/03/2025")</f>
        <v>17/03/2025</v>
      </c>
      <c r="I1338" t="str">
        <f>("01/03/2025")</f>
        <v>01/03/2025</v>
      </c>
      <c r="J1338" t="str">
        <f>("17/03/2025")</f>
        <v>17/03/2025</v>
      </c>
      <c r="K1338">
        <v>1000</v>
      </c>
      <c r="L1338">
        <v>1000</v>
      </c>
      <c r="M1338">
        <v>122</v>
      </c>
      <c r="N1338" t="str">
        <f>"DESPESAS COM REEMBOLSOS"</f>
        <v>DESPESAS COM REEMBOLSOS</v>
      </c>
      <c r="O1338">
        <v>1000</v>
      </c>
      <c r="R1338" t="str">
        <f t="shared" si="679"/>
        <v>BANCO CORA (102)</v>
      </c>
      <c r="S1338">
        <v>1221</v>
      </c>
      <c r="T1338">
        <v>986</v>
      </c>
      <c r="U1338" t="s">
        <v>19</v>
      </c>
    </row>
    <row r="1339" spans="1:21">
      <c r="A1339" t="str">
        <f>("18/03/2025")</f>
        <v>18/03/2025</v>
      </c>
      <c r="B1339" t="str">
        <f t="shared" si="676"/>
        <v>SAÍDA</v>
      </c>
      <c r="C1339" t="str">
        <f t="shared" si="677"/>
        <v>PIX</v>
      </c>
      <c r="D1339" t="str">
        <f>"1802"</f>
        <v>1802</v>
      </c>
      <c r="E1339" t="str">
        <f t="shared" si="678"/>
        <v>COM</v>
      </c>
      <c r="F1339" t="str">
        <f>"MONGERAL AEGON SEGUROS E PREVIDENCIA SA (20063)"</f>
        <v>MONGERAL AEGON SEGUROS E PREVIDENCIA SA (20063)</v>
      </c>
      <c r="G1339" t="str">
        <f>"SEGURO DE VIDA SOCIOS"</f>
        <v>SEGURO DE VIDA SOCIOS</v>
      </c>
      <c r="H1339" t="str">
        <f>("18/03/2025")</f>
        <v>18/03/2025</v>
      </c>
      <c r="I1339" t="str">
        <f>("05/02/2025")</f>
        <v>05/02/2025</v>
      </c>
      <c r="J1339" t="str">
        <f>("18/03/2025")</f>
        <v>18/03/2025</v>
      </c>
      <c r="K1339">
        <v>228.35</v>
      </c>
      <c r="L1339">
        <v>228.35</v>
      </c>
      <c r="M1339">
        <v>192</v>
      </c>
      <c r="N1339" t="str">
        <f>"PLANOS E SEGUROS"</f>
        <v>PLANOS E SEGUROS</v>
      </c>
      <c r="O1339">
        <v>228.35</v>
      </c>
      <c r="R1339" t="str">
        <f t="shared" si="679"/>
        <v>BANCO CORA (102)</v>
      </c>
      <c r="S1339">
        <v>1222</v>
      </c>
      <c r="T1339">
        <v>826</v>
      </c>
      <c r="U1339" t="s">
        <v>19</v>
      </c>
    </row>
    <row r="1340" spans="1:21">
      <c r="A1340" t="str">
        <f>("18/03/2025")</f>
        <v>18/03/2025</v>
      </c>
      <c r="B1340" t="str">
        <f t="shared" si="676"/>
        <v>SAÍDA</v>
      </c>
      <c r="C1340" t="str">
        <f t="shared" si="677"/>
        <v>PIX</v>
      </c>
      <c r="D1340" t="str">
        <f>"1802"</f>
        <v>1802</v>
      </c>
      <c r="E1340" t="str">
        <f t="shared" si="678"/>
        <v>COM</v>
      </c>
      <c r="F1340" t="str">
        <f>"MONGERAL AEGON SEGUROS E PREVIDENCIA SA (20063)"</f>
        <v>MONGERAL AEGON SEGUROS E PREVIDENCIA SA (20063)</v>
      </c>
      <c r="G1340" t="str">
        <f>"SEGURO DE VIDA SOCIOS"</f>
        <v>SEGURO DE VIDA SOCIOS</v>
      </c>
      <c r="H1340" t="str">
        <f>("18/03/2025")</f>
        <v>18/03/2025</v>
      </c>
      <c r="I1340" t="str">
        <f>("05/02/2025")</f>
        <v>05/02/2025</v>
      </c>
      <c r="J1340" t="str">
        <f>("18/03/2025")</f>
        <v>18/03/2025</v>
      </c>
      <c r="M1340">
        <v>192</v>
      </c>
      <c r="N1340" t="str">
        <f>"PLANOS E SEGUROS"</f>
        <v>PLANOS E SEGUROS</v>
      </c>
      <c r="P1340">
        <v>228.35</v>
      </c>
      <c r="Q1340" t="str">
        <f>"MONGERAL AEGON SEGUROS E PREVIDENCIA SA (20063)"</f>
        <v>MONGERAL AEGON SEGUROS E PREVIDENCIA SA (20063)</v>
      </c>
      <c r="R1340" t="str">
        <f t="shared" si="679"/>
        <v>BANCO CORA (102)</v>
      </c>
      <c r="S1340">
        <v>1222</v>
      </c>
      <c r="T1340">
        <v>826</v>
      </c>
      <c r="U1340" t="s">
        <v>19</v>
      </c>
    </row>
    <row r="1341" spans="1:21">
      <c r="A1341" t="str">
        <f>("18/03/2025")</f>
        <v>18/03/2025</v>
      </c>
      <c r="B1341" t="str">
        <f>"ENTRADA"</f>
        <v>ENTRADA</v>
      </c>
      <c r="C1341" t="str">
        <f>"NFSE"</f>
        <v>NFSE</v>
      </c>
      <c r="D1341" t="str">
        <f>"2808"</f>
        <v>2808</v>
      </c>
      <c r="E1341" t="str">
        <f t="shared" si="678"/>
        <v>COM</v>
      </c>
      <c r="F1341" t="str">
        <f>"JAL FARMACIA E DROGARIA LJ 2 (10138)"</f>
        <v>JAL FARMACIA E DROGARIA LJ 2 (10138)</v>
      </c>
      <c r="G1341" t="str">
        <f>"Serv.Prest. 10/03/2025 a 16/03/2025 - RPS: 580 - NFSe: 2808"</f>
        <v>Serv.Prest. 10/03/2025 a 16/03/2025 - RPS: 580 - NFSe: 2808</v>
      </c>
      <c r="H1341" t="str">
        <f>("19/03/2025")</f>
        <v>19/03/2025</v>
      </c>
      <c r="I1341" t="str">
        <f>("17/03/2025")</f>
        <v>17/03/2025</v>
      </c>
      <c r="J1341" t="str">
        <f>("18/03/2025")</f>
        <v>18/03/2025</v>
      </c>
      <c r="K1341">
        <v>265.60000000000002</v>
      </c>
      <c r="L1341">
        <v>265.60000000000002</v>
      </c>
      <c r="M1341">
        <v>303</v>
      </c>
      <c r="N1341" t="str">
        <f>"RECEITAS COM ENTREGAS"</f>
        <v>RECEITAS COM ENTREGAS</v>
      </c>
      <c r="O1341">
        <v>265.60000000000002</v>
      </c>
      <c r="R1341" t="str">
        <f>"RECEITAS COM ENTREGAS (303)"</f>
        <v>RECEITAS COM ENTREGAS (303)</v>
      </c>
      <c r="S1341">
        <v>1223</v>
      </c>
      <c r="T1341">
        <v>990</v>
      </c>
      <c r="U1341" t="s">
        <v>19</v>
      </c>
    </row>
    <row r="1342" spans="1:21">
      <c r="A1342" t="str">
        <f>("18/03/2025")</f>
        <v>18/03/2025</v>
      </c>
      <c r="B1342" t="str">
        <f>"ENTRADA"</f>
        <v>ENTRADA</v>
      </c>
      <c r="C1342" t="str">
        <f>"NFSE"</f>
        <v>NFSE</v>
      </c>
      <c r="D1342" t="str">
        <f>"2808"</f>
        <v>2808</v>
      </c>
      <c r="E1342" t="str">
        <f t="shared" si="678"/>
        <v>COM</v>
      </c>
      <c r="F1342" t="str">
        <f>"JAL FARMACIA E DROGARIA LJ 2 (10138)"</f>
        <v>JAL FARMACIA E DROGARIA LJ 2 (10138)</v>
      </c>
      <c r="G1342" t="str">
        <f>"Serv.Prest. 10/03/2025 a 16/03/2025 - RPS: 580 - NFSe: 2808"</f>
        <v>Serv.Prest. 10/03/2025 a 16/03/2025 - RPS: 580 - NFSe: 2808</v>
      </c>
      <c r="H1342" t="str">
        <f>("19/03/2025")</f>
        <v>19/03/2025</v>
      </c>
      <c r="I1342" t="str">
        <f>("17/03/2025")</f>
        <v>17/03/2025</v>
      </c>
      <c r="J1342" t="str">
        <f>("18/03/2025")</f>
        <v>18/03/2025</v>
      </c>
      <c r="M1342">
        <v>303</v>
      </c>
      <c r="N1342" t="str">
        <f>"RECEITAS COM ENTREGAS"</f>
        <v>RECEITAS COM ENTREGAS</v>
      </c>
      <c r="P1342">
        <v>265.60000000000002</v>
      </c>
      <c r="Q1342" t="str">
        <f>"JAL FARMACIA E DROGARIA LJ 2 (10138)"</f>
        <v>JAL FARMACIA E DROGARIA LJ 2 (10138)</v>
      </c>
      <c r="R1342" t="str">
        <f>"RECEITAS COM ENTREGAS (303)"</f>
        <v>RECEITAS COM ENTREGAS (303)</v>
      </c>
      <c r="S1342">
        <v>1223</v>
      </c>
      <c r="T1342">
        <v>990</v>
      </c>
      <c r="U1342" t="s">
        <v>19</v>
      </c>
    </row>
    <row r="1343" spans="1:21">
      <c r="A1343" t="str">
        <f>("18/03/2025")</f>
        <v>18/03/2025</v>
      </c>
      <c r="B1343" t="str">
        <f>"SAÍDA"</f>
        <v>SAÍDA</v>
      </c>
      <c r="C1343" t="str">
        <f>"JUROS"</f>
        <v>JUROS</v>
      </c>
      <c r="D1343" t="str">
        <f>""</f>
        <v/>
      </c>
      <c r="E1343" t="str">
        <f>"CXA"</f>
        <v>CXA</v>
      </c>
      <c r="F1343" t="str">
        <f>""</f>
        <v/>
      </c>
      <c r="G1343" t="str">
        <f>"TAXA BOLETO COMPENSADO"</f>
        <v>TAXA BOLETO COMPENSADO</v>
      </c>
      <c r="H1343" t="str">
        <f>("18/03/2025")</f>
        <v>18/03/2025</v>
      </c>
      <c r="I1343" t="str">
        <f>("18/03/2025")</f>
        <v>18/03/2025</v>
      </c>
      <c r="J1343" t="str">
        <f>("18/03/2025")</f>
        <v>18/03/2025</v>
      </c>
      <c r="K1343">
        <v>1.7</v>
      </c>
      <c r="L1343">
        <v>1.7</v>
      </c>
      <c r="M1343">
        <v>401</v>
      </c>
      <c r="N1343" t="str">
        <f>"IOF/JUROS/DESP.FINANCEIRA"</f>
        <v>IOF/JUROS/DESP.FINANCEIRA</v>
      </c>
      <c r="O1343">
        <v>1.7</v>
      </c>
      <c r="R1343" t="str">
        <f>"BANCO CORA (102)"</f>
        <v>BANCO CORA (102)</v>
      </c>
      <c r="S1343">
        <v>1240</v>
      </c>
      <c r="T1343">
        <v>0</v>
      </c>
      <c r="U1343" t="s">
        <v>20</v>
      </c>
    </row>
    <row r="1344" spans="1:21">
      <c r="A1344" t="str">
        <f t="shared" ref="A1344:A1375" si="680">("19/03/2025")</f>
        <v>19/03/2025</v>
      </c>
      <c r="B1344" t="str">
        <f>"ENTRADA"</f>
        <v>ENTRADA</v>
      </c>
      <c r="C1344" t="str">
        <f t="shared" ref="C1344:C1375" si="681">"NFSE"</f>
        <v>NFSE</v>
      </c>
      <c r="D1344" t="str">
        <f t="shared" ref="D1344:D1349" si="682">"2800"</f>
        <v>2800</v>
      </c>
      <c r="E1344" t="str">
        <f t="shared" ref="E1344:E1375" si="683">"COM"</f>
        <v>COM</v>
      </c>
      <c r="F1344" t="str">
        <f t="shared" ref="F1344:F1349" si="684">"FARMÁCIA INDIANA LJ 85 (10128)"</f>
        <v>FARMÁCIA INDIANA LJ 85 (10128)</v>
      </c>
      <c r="G1344" t="str">
        <f t="shared" ref="G1344:G1349" si="685">"Serv.Prest. 03/03/2025 a 09/03/2025 - RPS: 572 - NFSe: 2800"</f>
        <v>Serv.Prest. 03/03/2025 a 09/03/2025 - RPS: 572 - NFSe: 2800</v>
      </c>
      <c r="H1344" t="str">
        <f t="shared" ref="H1344:H1375" si="686">("19/03/2025")</f>
        <v>19/03/2025</v>
      </c>
      <c r="I1344" t="str">
        <f t="shared" ref="I1344:I1375" si="687">("11/03/2025")</f>
        <v>11/03/2025</v>
      </c>
      <c r="J1344" t="str">
        <f t="shared" ref="J1344:J1375" si="688">("19/03/2025")</f>
        <v>19/03/2025</v>
      </c>
      <c r="K1344">
        <v>874.12</v>
      </c>
      <c r="L1344">
        <v>874.12</v>
      </c>
      <c r="M1344">
        <v>303</v>
      </c>
      <c r="N1344" t="str">
        <f t="shared" ref="N1344:N1375" si="689">"RECEITAS COM ENTREGAS"</f>
        <v>RECEITAS COM ENTREGAS</v>
      </c>
      <c r="O1344">
        <v>874.12</v>
      </c>
      <c r="R1344" t="str">
        <f t="shared" ref="R1344:R1375" si="690">"RECEITAS COM ENTREGAS (303)"</f>
        <v>RECEITAS COM ENTREGAS (303)</v>
      </c>
      <c r="S1344">
        <v>1224</v>
      </c>
      <c r="T1344">
        <v>975</v>
      </c>
      <c r="U1344" t="s">
        <v>19</v>
      </c>
    </row>
    <row r="1345" spans="1:21">
      <c r="A1345" t="str">
        <f t="shared" si="680"/>
        <v>19/03/2025</v>
      </c>
      <c r="B1345" t="str">
        <f t="shared" ref="B1345:B1408" si="691">"ENTRADA"</f>
        <v>ENTRADA</v>
      </c>
      <c r="C1345" t="str">
        <f t="shared" si="681"/>
        <v>NFSE</v>
      </c>
      <c r="D1345" t="str">
        <f t="shared" si="682"/>
        <v>2800</v>
      </c>
      <c r="E1345" t="str">
        <f t="shared" si="683"/>
        <v>COM</v>
      </c>
      <c r="F1345" t="str">
        <f t="shared" si="684"/>
        <v>FARMÁCIA INDIANA LJ 85 (10128)</v>
      </c>
      <c r="G1345" t="str">
        <f t="shared" si="685"/>
        <v>Serv.Prest. 03/03/2025 a 09/03/2025 - RPS: 572 - NFSe: 2800</v>
      </c>
      <c r="H1345" t="str">
        <f t="shared" si="686"/>
        <v>19/03/2025</v>
      </c>
      <c r="I1345" t="str">
        <f t="shared" si="687"/>
        <v>11/03/2025</v>
      </c>
      <c r="J1345" t="str">
        <f t="shared" si="688"/>
        <v>19/03/2025</v>
      </c>
      <c r="M1345">
        <v>303</v>
      </c>
      <c r="N1345" t="str">
        <f t="shared" si="689"/>
        <v>RECEITAS COM ENTREGAS</v>
      </c>
      <c r="P1345">
        <v>171.6</v>
      </c>
      <c r="Q1345" t="str">
        <f>"FARMÁCIA INDIANA LJ 119 (10053)"</f>
        <v>FARMÁCIA INDIANA LJ 119 (10053)</v>
      </c>
      <c r="R1345" t="str">
        <f t="shared" si="690"/>
        <v>RECEITAS COM ENTREGAS (303)</v>
      </c>
      <c r="S1345">
        <v>1224</v>
      </c>
      <c r="T1345">
        <v>975</v>
      </c>
      <c r="U1345" t="s">
        <v>19</v>
      </c>
    </row>
    <row r="1346" spans="1:21">
      <c r="A1346" t="str">
        <f t="shared" si="680"/>
        <v>19/03/2025</v>
      </c>
      <c r="B1346" t="str">
        <f t="shared" si="691"/>
        <v>ENTRADA</v>
      </c>
      <c r="C1346" t="str">
        <f t="shared" si="681"/>
        <v>NFSE</v>
      </c>
      <c r="D1346" t="str">
        <f t="shared" si="682"/>
        <v>2800</v>
      </c>
      <c r="E1346" t="str">
        <f t="shared" si="683"/>
        <v>COM</v>
      </c>
      <c r="F1346" t="str">
        <f t="shared" si="684"/>
        <v>FARMÁCIA INDIANA LJ 85 (10128)</v>
      </c>
      <c r="G1346" t="str">
        <f t="shared" si="685"/>
        <v>Serv.Prest. 03/03/2025 a 09/03/2025 - RPS: 572 - NFSe: 2800</v>
      </c>
      <c r="H1346" t="str">
        <f t="shared" si="686"/>
        <v>19/03/2025</v>
      </c>
      <c r="I1346" t="str">
        <f t="shared" si="687"/>
        <v>11/03/2025</v>
      </c>
      <c r="J1346" t="str">
        <f t="shared" si="688"/>
        <v>19/03/2025</v>
      </c>
      <c r="M1346">
        <v>303</v>
      </c>
      <c r="N1346" t="str">
        <f t="shared" si="689"/>
        <v>RECEITAS COM ENTREGAS</v>
      </c>
      <c r="P1346">
        <v>203.23</v>
      </c>
      <c r="Q1346" t="str">
        <f>"FARMÁCIA INDIANA LJ 163 (10072)"</f>
        <v>FARMÁCIA INDIANA LJ 163 (10072)</v>
      </c>
      <c r="R1346" t="str">
        <f t="shared" si="690"/>
        <v>RECEITAS COM ENTREGAS (303)</v>
      </c>
      <c r="S1346">
        <v>1224</v>
      </c>
      <c r="T1346">
        <v>975</v>
      </c>
      <c r="U1346" t="s">
        <v>19</v>
      </c>
    </row>
    <row r="1347" spans="1:21">
      <c r="A1347" t="str">
        <f t="shared" si="680"/>
        <v>19/03/2025</v>
      </c>
      <c r="B1347" t="str">
        <f t="shared" si="691"/>
        <v>ENTRADA</v>
      </c>
      <c r="C1347" t="str">
        <f t="shared" si="681"/>
        <v>NFSE</v>
      </c>
      <c r="D1347" t="str">
        <f t="shared" si="682"/>
        <v>2800</v>
      </c>
      <c r="E1347" t="str">
        <f t="shared" si="683"/>
        <v>COM</v>
      </c>
      <c r="F1347" t="str">
        <f t="shared" si="684"/>
        <v>FARMÁCIA INDIANA LJ 85 (10128)</v>
      </c>
      <c r="G1347" t="str">
        <f t="shared" si="685"/>
        <v>Serv.Prest. 03/03/2025 a 09/03/2025 - RPS: 572 - NFSe: 2800</v>
      </c>
      <c r="H1347" t="str">
        <f t="shared" si="686"/>
        <v>19/03/2025</v>
      </c>
      <c r="I1347" t="str">
        <f t="shared" si="687"/>
        <v>11/03/2025</v>
      </c>
      <c r="J1347" t="str">
        <f t="shared" si="688"/>
        <v>19/03/2025</v>
      </c>
      <c r="M1347">
        <v>303</v>
      </c>
      <c r="N1347" t="str">
        <f t="shared" si="689"/>
        <v>RECEITAS COM ENTREGAS</v>
      </c>
      <c r="P1347">
        <v>144.75</v>
      </c>
      <c r="Q1347" t="str">
        <f>"FARMÁCIA INDIANA LJ 181 (10078)"</f>
        <v>FARMÁCIA INDIANA LJ 181 (10078)</v>
      </c>
      <c r="R1347" t="str">
        <f t="shared" si="690"/>
        <v>RECEITAS COM ENTREGAS (303)</v>
      </c>
      <c r="S1347">
        <v>1224</v>
      </c>
      <c r="T1347">
        <v>975</v>
      </c>
      <c r="U1347" t="s">
        <v>19</v>
      </c>
    </row>
    <row r="1348" spans="1:21">
      <c r="A1348" t="str">
        <f t="shared" si="680"/>
        <v>19/03/2025</v>
      </c>
      <c r="B1348" t="str">
        <f t="shared" si="691"/>
        <v>ENTRADA</v>
      </c>
      <c r="C1348" t="str">
        <f t="shared" si="681"/>
        <v>NFSE</v>
      </c>
      <c r="D1348" t="str">
        <f t="shared" si="682"/>
        <v>2800</v>
      </c>
      <c r="E1348" t="str">
        <f t="shared" si="683"/>
        <v>COM</v>
      </c>
      <c r="F1348" t="str">
        <f t="shared" si="684"/>
        <v>FARMÁCIA INDIANA LJ 85 (10128)</v>
      </c>
      <c r="G1348" t="str">
        <f t="shared" si="685"/>
        <v>Serv.Prest. 03/03/2025 a 09/03/2025 - RPS: 572 - NFSe: 2800</v>
      </c>
      <c r="H1348" t="str">
        <f t="shared" si="686"/>
        <v>19/03/2025</v>
      </c>
      <c r="I1348" t="str">
        <f t="shared" si="687"/>
        <v>11/03/2025</v>
      </c>
      <c r="J1348" t="str">
        <f t="shared" si="688"/>
        <v>19/03/2025</v>
      </c>
      <c r="M1348">
        <v>303</v>
      </c>
      <c r="N1348" t="str">
        <f t="shared" si="689"/>
        <v>RECEITAS COM ENTREGAS</v>
      </c>
      <c r="P1348">
        <v>172.46</v>
      </c>
      <c r="Q1348" t="str">
        <f>"FARMÁCIA INDIANA LJ 221 (10093)"</f>
        <v>FARMÁCIA INDIANA LJ 221 (10093)</v>
      </c>
      <c r="R1348" t="str">
        <f t="shared" si="690"/>
        <v>RECEITAS COM ENTREGAS (303)</v>
      </c>
      <c r="S1348">
        <v>1224</v>
      </c>
      <c r="T1348">
        <v>975</v>
      </c>
      <c r="U1348" t="s">
        <v>19</v>
      </c>
    </row>
    <row r="1349" spans="1:21">
      <c r="A1349" t="str">
        <f t="shared" si="680"/>
        <v>19/03/2025</v>
      </c>
      <c r="B1349" t="str">
        <f t="shared" si="691"/>
        <v>ENTRADA</v>
      </c>
      <c r="C1349" t="str">
        <f t="shared" si="681"/>
        <v>NFSE</v>
      </c>
      <c r="D1349" t="str">
        <f t="shared" si="682"/>
        <v>2800</v>
      </c>
      <c r="E1349" t="str">
        <f t="shared" si="683"/>
        <v>COM</v>
      </c>
      <c r="F1349" t="str">
        <f t="shared" si="684"/>
        <v>FARMÁCIA INDIANA LJ 85 (10128)</v>
      </c>
      <c r="G1349" t="str">
        <f t="shared" si="685"/>
        <v>Serv.Prest. 03/03/2025 a 09/03/2025 - RPS: 572 - NFSe: 2800</v>
      </c>
      <c r="H1349" t="str">
        <f t="shared" si="686"/>
        <v>19/03/2025</v>
      </c>
      <c r="I1349" t="str">
        <f t="shared" si="687"/>
        <v>11/03/2025</v>
      </c>
      <c r="J1349" t="str">
        <f t="shared" si="688"/>
        <v>19/03/2025</v>
      </c>
      <c r="M1349">
        <v>303</v>
      </c>
      <c r="N1349" t="str">
        <f t="shared" si="689"/>
        <v>RECEITAS COM ENTREGAS</v>
      </c>
      <c r="P1349">
        <v>182.08</v>
      </c>
      <c r="Q1349" t="str">
        <f>"FARMÁCIA INDIANA LJ 243 (10142)"</f>
        <v>FARMÁCIA INDIANA LJ 243 (10142)</v>
      </c>
      <c r="R1349" t="str">
        <f t="shared" si="690"/>
        <v>RECEITAS COM ENTREGAS (303)</v>
      </c>
      <c r="S1349">
        <v>1224</v>
      </c>
      <c r="T1349">
        <v>975</v>
      </c>
      <c r="U1349" t="s">
        <v>19</v>
      </c>
    </row>
    <row r="1350" spans="1:21">
      <c r="A1350" t="str">
        <f t="shared" si="680"/>
        <v>19/03/2025</v>
      </c>
      <c r="B1350" t="str">
        <f t="shared" si="691"/>
        <v>ENTRADA</v>
      </c>
      <c r="C1350" t="str">
        <f t="shared" si="681"/>
        <v>NFSE</v>
      </c>
      <c r="D1350" t="str">
        <f t="shared" ref="D1350:D1361" si="692">"2801"</f>
        <v>2801</v>
      </c>
      <c r="E1350" t="str">
        <f t="shared" si="683"/>
        <v>COM</v>
      </c>
      <c r="F1350" t="str">
        <f t="shared" ref="F1350:F1361" si="693">"FARMÁCIA INDIANA LJ 30 (10127)"</f>
        <v>FARMÁCIA INDIANA LJ 30 (10127)</v>
      </c>
      <c r="G1350" t="str">
        <f t="shared" ref="G1350:G1361" si="694">"Serv.Prest. 03/03/2025 a 09/03/2025 - RPS: 573 - NFSe: 2801"</f>
        <v>Serv.Prest. 03/03/2025 a 09/03/2025 - RPS: 573 - NFSe: 2801</v>
      </c>
      <c r="H1350" t="str">
        <f t="shared" si="686"/>
        <v>19/03/2025</v>
      </c>
      <c r="I1350" t="str">
        <f t="shared" si="687"/>
        <v>11/03/2025</v>
      </c>
      <c r="J1350" t="str">
        <f t="shared" si="688"/>
        <v>19/03/2025</v>
      </c>
      <c r="K1350">
        <v>2719.55</v>
      </c>
      <c r="L1350">
        <v>2719.55</v>
      </c>
      <c r="M1350">
        <v>303</v>
      </c>
      <c r="N1350" t="str">
        <f t="shared" si="689"/>
        <v>RECEITAS COM ENTREGAS</v>
      </c>
      <c r="O1350">
        <v>2719.55</v>
      </c>
      <c r="R1350" t="str">
        <f t="shared" si="690"/>
        <v>RECEITAS COM ENTREGAS (303)</v>
      </c>
      <c r="S1350">
        <v>1225</v>
      </c>
      <c r="T1350">
        <v>976</v>
      </c>
      <c r="U1350" t="s">
        <v>19</v>
      </c>
    </row>
    <row r="1351" spans="1:21">
      <c r="A1351" t="str">
        <f t="shared" si="680"/>
        <v>19/03/2025</v>
      </c>
      <c r="B1351" t="str">
        <f t="shared" si="691"/>
        <v>ENTRADA</v>
      </c>
      <c r="C1351" t="str">
        <f t="shared" si="681"/>
        <v>NFSE</v>
      </c>
      <c r="D1351" t="str">
        <f t="shared" si="692"/>
        <v>2801</v>
      </c>
      <c r="E1351" t="str">
        <f t="shared" si="683"/>
        <v>COM</v>
      </c>
      <c r="F1351" t="str">
        <f t="shared" si="693"/>
        <v>FARMÁCIA INDIANA LJ 30 (10127)</v>
      </c>
      <c r="G1351" t="str">
        <f t="shared" si="694"/>
        <v>Serv.Prest. 03/03/2025 a 09/03/2025 - RPS: 573 - NFSe: 2801</v>
      </c>
      <c r="H1351" t="str">
        <f t="shared" si="686"/>
        <v>19/03/2025</v>
      </c>
      <c r="I1351" t="str">
        <f t="shared" si="687"/>
        <v>11/03/2025</v>
      </c>
      <c r="J1351" t="str">
        <f t="shared" si="688"/>
        <v>19/03/2025</v>
      </c>
      <c r="M1351">
        <v>303</v>
      </c>
      <c r="N1351" t="str">
        <f t="shared" si="689"/>
        <v>RECEITAS COM ENTREGAS</v>
      </c>
      <c r="P1351">
        <v>288.27</v>
      </c>
      <c r="Q1351" t="str">
        <f>"FARMÁCIA INDIANA LJ 34 (10014)"</f>
        <v>FARMÁCIA INDIANA LJ 34 (10014)</v>
      </c>
      <c r="R1351" t="str">
        <f t="shared" si="690"/>
        <v>RECEITAS COM ENTREGAS (303)</v>
      </c>
      <c r="S1351">
        <v>1225</v>
      </c>
      <c r="T1351">
        <v>976</v>
      </c>
      <c r="U1351" t="s">
        <v>19</v>
      </c>
    </row>
    <row r="1352" spans="1:21">
      <c r="A1352" t="str">
        <f t="shared" si="680"/>
        <v>19/03/2025</v>
      </c>
      <c r="B1352" t="str">
        <f t="shared" si="691"/>
        <v>ENTRADA</v>
      </c>
      <c r="C1352" t="str">
        <f t="shared" si="681"/>
        <v>NFSE</v>
      </c>
      <c r="D1352" t="str">
        <f t="shared" si="692"/>
        <v>2801</v>
      </c>
      <c r="E1352" t="str">
        <f t="shared" si="683"/>
        <v>COM</v>
      </c>
      <c r="F1352" t="str">
        <f t="shared" si="693"/>
        <v>FARMÁCIA INDIANA LJ 30 (10127)</v>
      </c>
      <c r="G1352" t="str">
        <f t="shared" si="694"/>
        <v>Serv.Prest. 03/03/2025 a 09/03/2025 - RPS: 573 - NFSe: 2801</v>
      </c>
      <c r="H1352" t="str">
        <f t="shared" si="686"/>
        <v>19/03/2025</v>
      </c>
      <c r="I1352" t="str">
        <f t="shared" si="687"/>
        <v>11/03/2025</v>
      </c>
      <c r="J1352" t="str">
        <f t="shared" si="688"/>
        <v>19/03/2025</v>
      </c>
      <c r="M1352">
        <v>303</v>
      </c>
      <c r="N1352" t="str">
        <f t="shared" si="689"/>
        <v>RECEITAS COM ENTREGAS</v>
      </c>
      <c r="P1352">
        <v>235.78</v>
      </c>
      <c r="Q1352" t="str">
        <f>"FARMÁCIA INDIANA LJ 35 (10015)"</f>
        <v>FARMÁCIA INDIANA LJ 35 (10015)</v>
      </c>
      <c r="R1352" t="str">
        <f t="shared" si="690"/>
        <v>RECEITAS COM ENTREGAS (303)</v>
      </c>
      <c r="S1352">
        <v>1225</v>
      </c>
      <c r="T1352">
        <v>976</v>
      </c>
      <c r="U1352" t="s">
        <v>19</v>
      </c>
    </row>
    <row r="1353" spans="1:21">
      <c r="A1353" t="str">
        <f t="shared" si="680"/>
        <v>19/03/2025</v>
      </c>
      <c r="B1353" t="str">
        <f t="shared" si="691"/>
        <v>ENTRADA</v>
      </c>
      <c r="C1353" t="str">
        <f t="shared" si="681"/>
        <v>NFSE</v>
      </c>
      <c r="D1353" t="str">
        <f t="shared" si="692"/>
        <v>2801</v>
      </c>
      <c r="E1353" t="str">
        <f t="shared" si="683"/>
        <v>COM</v>
      </c>
      <c r="F1353" t="str">
        <f t="shared" si="693"/>
        <v>FARMÁCIA INDIANA LJ 30 (10127)</v>
      </c>
      <c r="G1353" t="str">
        <f t="shared" si="694"/>
        <v>Serv.Prest. 03/03/2025 a 09/03/2025 - RPS: 573 - NFSe: 2801</v>
      </c>
      <c r="H1353" t="str">
        <f t="shared" si="686"/>
        <v>19/03/2025</v>
      </c>
      <c r="I1353" t="str">
        <f t="shared" si="687"/>
        <v>11/03/2025</v>
      </c>
      <c r="J1353" t="str">
        <f t="shared" si="688"/>
        <v>19/03/2025</v>
      </c>
      <c r="M1353">
        <v>303</v>
      </c>
      <c r="N1353" t="str">
        <f t="shared" si="689"/>
        <v>RECEITAS COM ENTREGAS</v>
      </c>
      <c r="P1353">
        <v>296.97000000000003</v>
      </c>
      <c r="Q1353" t="str">
        <f>"FARMÁCIA INDIANA LJ 48 (10018)"</f>
        <v>FARMÁCIA INDIANA LJ 48 (10018)</v>
      </c>
      <c r="R1353" t="str">
        <f t="shared" si="690"/>
        <v>RECEITAS COM ENTREGAS (303)</v>
      </c>
      <c r="S1353">
        <v>1225</v>
      </c>
      <c r="T1353">
        <v>976</v>
      </c>
      <c r="U1353" t="s">
        <v>19</v>
      </c>
    </row>
    <row r="1354" spans="1:21">
      <c r="A1354" t="str">
        <f t="shared" si="680"/>
        <v>19/03/2025</v>
      </c>
      <c r="B1354" t="str">
        <f t="shared" si="691"/>
        <v>ENTRADA</v>
      </c>
      <c r="C1354" t="str">
        <f t="shared" si="681"/>
        <v>NFSE</v>
      </c>
      <c r="D1354" t="str">
        <f t="shared" si="692"/>
        <v>2801</v>
      </c>
      <c r="E1354" t="str">
        <f t="shared" si="683"/>
        <v>COM</v>
      </c>
      <c r="F1354" t="str">
        <f t="shared" si="693"/>
        <v>FARMÁCIA INDIANA LJ 30 (10127)</v>
      </c>
      <c r="G1354" t="str">
        <f t="shared" si="694"/>
        <v>Serv.Prest. 03/03/2025 a 09/03/2025 - RPS: 573 - NFSe: 2801</v>
      </c>
      <c r="H1354" t="str">
        <f t="shared" si="686"/>
        <v>19/03/2025</v>
      </c>
      <c r="I1354" t="str">
        <f t="shared" si="687"/>
        <v>11/03/2025</v>
      </c>
      <c r="J1354" t="str">
        <f t="shared" si="688"/>
        <v>19/03/2025</v>
      </c>
      <c r="M1354">
        <v>303</v>
      </c>
      <c r="N1354" t="str">
        <f t="shared" si="689"/>
        <v>RECEITAS COM ENTREGAS</v>
      </c>
      <c r="P1354">
        <v>418.54</v>
      </c>
      <c r="Q1354" t="str">
        <f>"FARMÁCIA INDIANA LJ 65 (10030)"</f>
        <v>FARMÁCIA INDIANA LJ 65 (10030)</v>
      </c>
      <c r="R1354" t="str">
        <f t="shared" si="690"/>
        <v>RECEITAS COM ENTREGAS (303)</v>
      </c>
      <c r="S1354">
        <v>1225</v>
      </c>
      <c r="T1354">
        <v>976</v>
      </c>
      <c r="U1354" t="s">
        <v>19</v>
      </c>
    </row>
    <row r="1355" spans="1:21">
      <c r="A1355" t="str">
        <f t="shared" si="680"/>
        <v>19/03/2025</v>
      </c>
      <c r="B1355" t="str">
        <f t="shared" si="691"/>
        <v>ENTRADA</v>
      </c>
      <c r="C1355" t="str">
        <f t="shared" si="681"/>
        <v>NFSE</v>
      </c>
      <c r="D1355" t="str">
        <f t="shared" si="692"/>
        <v>2801</v>
      </c>
      <c r="E1355" t="str">
        <f t="shared" si="683"/>
        <v>COM</v>
      </c>
      <c r="F1355" t="str">
        <f t="shared" si="693"/>
        <v>FARMÁCIA INDIANA LJ 30 (10127)</v>
      </c>
      <c r="G1355" t="str">
        <f t="shared" si="694"/>
        <v>Serv.Prest. 03/03/2025 a 09/03/2025 - RPS: 573 - NFSe: 2801</v>
      </c>
      <c r="H1355" t="str">
        <f t="shared" si="686"/>
        <v>19/03/2025</v>
      </c>
      <c r="I1355" t="str">
        <f t="shared" si="687"/>
        <v>11/03/2025</v>
      </c>
      <c r="J1355" t="str">
        <f t="shared" si="688"/>
        <v>19/03/2025</v>
      </c>
      <c r="M1355">
        <v>303</v>
      </c>
      <c r="N1355" t="str">
        <f t="shared" si="689"/>
        <v>RECEITAS COM ENTREGAS</v>
      </c>
      <c r="P1355">
        <v>137.07</v>
      </c>
      <c r="Q1355" t="str">
        <f>"FARMÁCIA INDIANA LJ 77 (10034)"</f>
        <v>FARMÁCIA INDIANA LJ 77 (10034)</v>
      </c>
      <c r="R1355" t="str">
        <f t="shared" si="690"/>
        <v>RECEITAS COM ENTREGAS (303)</v>
      </c>
      <c r="S1355">
        <v>1225</v>
      </c>
      <c r="T1355">
        <v>976</v>
      </c>
      <c r="U1355" t="s">
        <v>19</v>
      </c>
    </row>
    <row r="1356" spans="1:21">
      <c r="A1356" t="str">
        <f t="shared" si="680"/>
        <v>19/03/2025</v>
      </c>
      <c r="B1356" t="str">
        <f t="shared" si="691"/>
        <v>ENTRADA</v>
      </c>
      <c r="C1356" t="str">
        <f t="shared" si="681"/>
        <v>NFSE</v>
      </c>
      <c r="D1356" t="str">
        <f t="shared" si="692"/>
        <v>2801</v>
      </c>
      <c r="E1356" t="str">
        <f t="shared" si="683"/>
        <v>COM</v>
      </c>
      <c r="F1356" t="str">
        <f t="shared" si="693"/>
        <v>FARMÁCIA INDIANA LJ 30 (10127)</v>
      </c>
      <c r="G1356" t="str">
        <f t="shared" si="694"/>
        <v>Serv.Prest. 03/03/2025 a 09/03/2025 - RPS: 573 - NFSe: 2801</v>
      </c>
      <c r="H1356" t="str">
        <f t="shared" si="686"/>
        <v>19/03/2025</v>
      </c>
      <c r="I1356" t="str">
        <f t="shared" si="687"/>
        <v>11/03/2025</v>
      </c>
      <c r="J1356" t="str">
        <f t="shared" si="688"/>
        <v>19/03/2025</v>
      </c>
      <c r="M1356">
        <v>303</v>
      </c>
      <c r="N1356" t="str">
        <f t="shared" si="689"/>
        <v>RECEITAS COM ENTREGAS</v>
      </c>
      <c r="P1356">
        <v>226.81</v>
      </c>
      <c r="Q1356" t="str">
        <f>"FARMÁCIA INDIANA LJ 91 (10037)"</f>
        <v>FARMÁCIA INDIANA LJ 91 (10037)</v>
      </c>
      <c r="R1356" t="str">
        <f t="shared" si="690"/>
        <v>RECEITAS COM ENTREGAS (303)</v>
      </c>
      <c r="S1356">
        <v>1225</v>
      </c>
      <c r="T1356">
        <v>976</v>
      </c>
      <c r="U1356" t="s">
        <v>19</v>
      </c>
    </row>
    <row r="1357" spans="1:21">
      <c r="A1357" t="str">
        <f t="shared" si="680"/>
        <v>19/03/2025</v>
      </c>
      <c r="B1357" t="str">
        <f t="shared" si="691"/>
        <v>ENTRADA</v>
      </c>
      <c r="C1357" t="str">
        <f t="shared" si="681"/>
        <v>NFSE</v>
      </c>
      <c r="D1357" t="str">
        <f t="shared" si="692"/>
        <v>2801</v>
      </c>
      <c r="E1357" t="str">
        <f t="shared" si="683"/>
        <v>COM</v>
      </c>
      <c r="F1357" t="str">
        <f t="shared" si="693"/>
        <v>FARMÁCIA INDIANA LJ 30 (10127)</v>
      </c>
      <c r="G1357" t="str">
        <f t="shared" si="694"/>
        <v>Serv.Prest. 03/03/2025 a 09/03/2025 - RPS: 573 - NFSe: 2801</v>
      </c>
      <c r="H1357" t="str">
        <f t="shared" si="686"/>
        <v>19/03/2025</v>
      </c>
      <c r="I1357" t="str">
        <f t="shared" si="687"/>
        <v>11/03/2025</v>
      </c>
      <c r="J1357" t="str">
        <f t="shared" si="688"/>
        <v>19/03/2025</v>
      </c>
      <c r="M1357">
        <v>303</v>
      </c>
      <c r="N1357" t="str">
        <f t="shared" si="689"/>
        <v>RECEITAS COM ENTREGAS</v>
      </c>
      <c r="P1357">
        <v>338.86</v>
      </c>
      <c r="Q1357" t="str">
        <f>"FARMÁCIA INDIANA LJ 95 (10039)"</f>
        <v>FARMÁCIA INDIANA LJ 95 (10039)</v>
      </c>
      <c r="R1357" t="str">
        <f t="shared" si="690"/>
        <v>RECEITAS COM ENTREGAS (303)</v>
      </c>
      <c r="S1357">
        <v>1225</v>
      </c>
      <c r="T1357">
        <v>976</v>
      </c>
      <c r="U1357" t="s">
        <v>19</v>
      </c>
    </row>
    <row r="1358" spans="1:21">
      <c r="A1358" t="str">
        <f t="shared" si="680"/>
        <v>19/03/2025</v>
      </c>
      <c r="B1358" t="str">
        <f t="shared" si="691"/>
        <v>ENTRADA</v>
      </c>
      <c r="C1358" t="str">
        <f t="shared" si="681"/>
        <v>NFSE</v>
      </c>
      <c r="D1358" t="str">
        <f t="shared" si="692"/>
        <v>2801</v>
      </c>
      <c r="E1358" t="str">
        <f t="shared" si="683"/>
        <v>COM</v>
      </c>
      <c r="F1358" t="str">
        <f t="shared" si="693"/>
        <v>FARMÁCIA INDIANA LJ 30 (10127)</v>
      </c>
      <c r="G1358" t="str">
        <f t="shared" si="694"/>
        <v>Serv.Prest. 03/03/2025 a 09/03/2025 - RPS: 573 - NFSe: 2801</v>
      </c>
      <c r="H1358" t="str">
        <f t="shared" si="686"/>
        <v>19/03/2025</v>
      </c>
      <c r="I1358" t="str">
        <f t="shared" si="687"/>
        <v>11/03/2025</v>
      </c>
      <c r="J1358" t="str">
        <f t="shared" si="688"/>
        <v>19/03/2025</v>
      </c>
      <c r="M1358">
        <v>303</v>
      </c>
      <c r="N1358" t="str">
        <f t="shared" si="689"/>
        <v>RECEITAS COM ENTREGAS</v>
      </c>
      <c r="P1358">
        <v>280.93</v>
      </c>
      <c r="Q1358" t="str">
        <f>"FARMÁCIA INDIANA LJ 145 (10068)"</f>
        <v>FARMÁCIA INDIANA LJ 145 (10068)</v>
      </c>
      <c r="R1358" t="str">
        <f t="shared" si="690"/>
        <v>RECEITAS COM ENTREGAS (303)</v>
      </c>
      <c r="S1358">
        <v>1225</v>
      </c>
      <c r="T1358">
        <v>976</v>
      </c>
      <c r="U1358" t="s">
        <v>19</v>
      </c>
    </row>
    <row r="1359" spans="1:21">
      <c r="A1359" t="str">
        <f t="shared" si="680"/>
        <v>19/03/2025</v>
      </c>
      <c r="B1359" t="str">
        <f t="shared" si="691"/>
        <v>ENTRADA</v>
      </c>
      <c r="C1359" t="str">
        <f t="shared" si="681"/>
        <v>NFSE</v>
      </c>
      <c r="D1359" t="str">
        <f t="shared" si="692"/>
        <v>2801</v>
      </c>
      <c r="E1359" t="str">
        <f t="shared" si="683"/>
        <v>COM</v>
      </c>
      <c r="F1359" t="str">
        <f t="shared" si="693"/>
        <v>FARMÁCIA INDIANA LJ 30 (10127)</v>
      </c>
      <c r="G1359" t="str">
        <f t="shared" si="694"/>
        <v>Serv.Prest. 03/03/2025 a 09/03/2025 - RPS: 573 - NFSe: 2801</v>
      </c>
      <c r="H1359" t="str">
        <f t="shared" si="686"/>
        <v>19/03/2025</v>
      </c>
      <c r="I1359" t="str">
        <f t="shared" si="687"/>
        <v>11/03/2025</v>
      </c>
      <c r="J1359" t="str">
        <f t="shared" si="688"/>
        <v>19/03/2025</v>
      </c>
      <c r="M1359">
        <v>303</v>
      </c>
      <c r="N1359" t="str">
        <f t="shared" si="689"/>
        <v>RECEITAS COM ENTREGAS</v>
      </c>
      <c r="P1359">
        <v>94.37</v>
      </c>
      <c r="Q1359" t="str">
        <f>"FARMÁCIA INDIANA LJ 169 (10073)"</f>
        <v>FARMÁCIA INDIANA LJ 169 (10073)</v>
      </c>
      <c r="R1359" t="str">
        <f t="shared" si="690"/>
        <v>RECEITAS COM ENTREGAS (303)</v>
      </c>
      <c r="S1359">
        <v>1225</v>
      </c>
      <c r="T1359">
        <v>976</v>
      </c>
      <c r="U1359" t="s">
        <v>19</v>
      </c>
    </row>
    <row r="1360" spans="1:21">
      <c r="A1360" t="str">
        <f t="shared" si="680"/>
        <v>19/03/2025</v>
      </c>
      <c r="B1360" t="str">
        <f t="shared" si="691"/>
        <v>ENTRADA</v>
      </c>
      <c r="C1360" t="str">
        <f t="shared" si="681"/>
        <v>NFSE</v>
      </c>
      <c r="D1360" t="str">
        <f t="shared" si="692"/>
        <v>2801</v>
      </c>
      <c r="E1360" t="str">
        <f t="shared" si="683"/>
        <v>COM</v>
      </c>
      <c r="F1360" t="str">
        <f t="shared" si="693"/>
        <v>FARMÁCIA INDIANA LJ 30 (10127)</v>
      </c>
      <c r="G1360" t="str">
        <f t="shared" si="694"/>
        <v>Serv.Prest. 03/03/2025 a 09/03/2025 - RPS: 573 - NFSe: 2801</v>
      </c>
      <c r="H1360" t="str">
        <f t="shared" si="686"/>
        <v>19/03/2025</v>
      </c>
      <c r="I1360" t="str">
        <f t="shared" si="687"/>
        <v>11/03/2025</v>
      </c>
      <c r="J1360" t="str">
        <f t="shared" si="688"/>
        <v>19/03/2025</v>
      </c>
      <c r="M1360">
        <v>303</v>
      </c>
      <c r="N1360" t="str">
        <f t="shared" si="689"/>
        <v>RECEITAS COM ENTREGAS</v>
      </c>
      <c r="P1360">
        <v>209.41</v>
      </c>
      <c r="Q1360" t="str">
        <f>"FARMÁCIA INDIANA LJ 173 (10075)"</f>
        <v>FARMÁCIA INDIANA LJ 173 (10075)</v>
      </c>
      <c r="R1360" t="str">
        <f t="shared" si="690"/>
        <v>RECEITAS COM ENTREGAS (303)</v>
      </c>
      <c r="S1360">
        <v>1225</v>
      </c>
      <c r="T1360">
        <v>976</v>
      </c>
      <c r="U1360" t="s">
        <v>19</v>
      </c>
    </row>
    <row r="1361" spans="1:21">
      <c r="A1361" t="str">
        <f t="shared" si="680"/>
        <v>19/03/2025</v>
      </c>
      <c r="B1361" t="str">
        <f t="shared" si="691"/>
        <v>ENTRADA</v>
      </c>
      <c r="C1361" t="str">
        <f t="shared" si="681"/>
        <v>NFSE</v>
      </c>
      <c r="D1361" t="str">
        <f t="shared" si="692"/>
        <v>2801</v>
      </c>
      <c r="E1361" t="str">
        <f t="shared" si="683"/>
        <v>COM</v>
      </c>
      <c r="F1361" t="str">
        <f t="shared" si="693"/>
        <v>FARMÁCIA INDIANA LJ 30 (10127)</v>
      </c>
      <c r="G1361" t="str">
        <f t="shared" si="694"/>
        <v>Serv.Prest. 03/03/2025 a 09/03/2025 - RPS: 573 - NFSe: 2801</v>
      </c>
      <c r="H1361" t="str">
        <f t="shared" si="686"/>
        <v>19/03/2025</v>
      </c>
      <c r="I1361" t="str">
        <f t="shared" si="687"/>
        <v>11/03/2025</v>
      </c>
      <c r="J1361" t="str">
        <f t="shared" si="688"/>
        <v>19/03/2025</v>
      </c>
      <c r="M1361">
        <v>303</v>
      </c>
      <c r="N1361" t="str">
        <f t="shared" si="689"/>
        <v>RECEITAS COM ENTREGAS</v>
      </c>
      <c r="P1361">
        <v>192.54</v>
      </c>
      <c r="Q1361" t="str">
        <f>"FARMÁCIA INDIANA LJ 200 (10155)"</f>
        <v>FARMÁCIA INDIANA LJ 200 (10155)</v>
      </c>
      <c r="R1361" t="str">
        <f t="shared" si="690"/>
        <v>RECEITAS COM ENTREGAS (303)</v>
      </c>
      <c r="S1361">
        <v>1225</v>
      </c>
      <c r="T1361">
        <v>976</v>
      </c>
      <c r="U1361" t="s">
        <v>19</v>
      </c>
    </row>
    <row r="1362" spans="1:21">
      <c r="A1362" t="str">
        <f t="shared" si="680"/>
        <v>19/03/2025</v>
      </c>
      <c r="B1362" t="str">
        <f t="shared" si="691"/>
        <v>ENTRADA</v>
      </c>
      <c r="C1362" t="str">
        <f t="shared" si="681"/>
        <v>NFSE</v>
      </c>
      <c r="D1362" t="str">
        <f t="shared" ref="D1362:D1407" si="695">"2802"</f>
        <v>2802</v>
      </c>
      <c r="E1362" t="str">
        <f t="shared" si="683"/>
        <v>COM</v>
      </c>
      <c r="F1362" t="str">
        <f t="shared" ref="F1362:F1407" si="696">"FARMÁCIA INDIANA LJ 1 (10126)"</f>
        <v>FARMÁCIA INDIANA LJ 1 (10126)</v>
      </c>
      <c r="G1362" t="str">
        <f t="shared" ref="G1362:G1407" si="697">"Serv.Prest. 02/03/2025 a 09/03/2025 - RPS: 574 - NFSe: 2802"</f>
        <v>Serv.Prest. 02/03/2025 a 09/03/2025 - RPS: 574 - NFSe: 2802</v>
      </c>
      <c r="H1362" t="str">
        <f t="shared" si="686"/>
        <v>19/03/2025</v>
      </c>
      <c r="I1362" t="str">
        <f t="shared" si="687"/>
        <v>11/03/2025</v>
      </c>
      <c r="J1362" t="str">
        <f t="shared" si="688"/>
        <v>19/03/2025</v>
      </c>
      <c r="K1362">
        <v>13933.31</v>
      </c>
      <c r="L1362">
        <v>13933.31</v>
      </c>
      <c r="M1362">
        <v>303</v>
      </c>
      <c r="N1362" t="str">
        <f t="shared" si="689"/>
        <v>RECEITAS COM ENTREGAS</v>
      </c>
      <c r="O1362">
        <v>13933.31</v>
      </c>
      <c r="R1362" t="str">
        <f t="shared" si="690"/>
        <v>RECEITAS COM ENTREGAS (303)</v>
      </c>
      <c r="S1362">
        <v>1226</v>
      </c>
      <c r="T1362">
        <v>977</v>
      </c>
      <c r="U1362" t="s">
        <v>19</v>
      </c>
    </row>
    <row r="1363" spans="1:21">
      <c r="A1363" t="str">
        <f t="shared" si="680"/>
        <v>19/03/2025</v>
      </c>
      <c r="B1363" t="str">
        <f t="shared" si="691"/>
        <v>ENTRADA</v>
      </c>
      <c r="C1363" t="str">
        <f t="shared" si="681"/>
        <v>NFSE</v>
      </c>
      <c r="D1363" t="str">
        <f t="shared" si="695"/>
        <v>2802</v>
      </c>
      <c r="E1363" t="str">
        <f t="shared" si="683"/>
        <v>COM</v>
      </c>
      <c r="F1363" t="str">
        <f t="shared" si="696"/>
        <v>FARMÁCIA INDIANA LJ 1 (10126)</v>
      </c>
      <c r="G1363" t="str">
        <f t="shared" si="697"/>
        <v>Serv.Prest. 02/03/2025 a 09/03/2025 - RPS: 574 - NFSe: 2802</v>
      </c>
      <c r="H1363" t="str">
        <f t="shared" si="686"/>
        <v>19/03/2025</v>
      </c>
      <c r="I1363" t="str">
        <f t="shared" si="687"/>
        <v>11/03/2025</v>
      </c>
      <c r="J1363" t="str">
        <f t="shared" si="688"/>
        <v>19/03/2025</v>
      </c>
      <c r="M1363">
        <v>303</v>
      </c>
      <c r="N1363" t="str">
        <f t="shared" si="689"/>
        <v>RECEITAS COM ENTREGAS</v>
      </c>
      <c r="P1363">
        <v>1822.47</v>
      </c>
      <c r="Q1363" t="str">
        <f>"FARMÁCIA INDIANA LJ 06 (10006)"</f>
        <v>FARMÁCIA INDIANA LJ 06 (10006)</v>
      </c>
      <c r="R1363" t="str">
        <f t="shared" si="690"/>
        <v>RECEITAS COM ENTREGAS (303)</v>
      </c>
      <c r="S1363">
        <v>1226</v>
      </c>
      <c r="T1363">
        <v>977</v>
      </c>
      <c r="U1363" t="s">
        <v>19</v>
      </c>
    </row>
    <row r="1364" spans="1:21">
      <c r="A1364" t="str">
        <f t="shared" si="680"/>
        <v>19/03/2025</v>
      </c>
      <c r="B1364" t="str">
        <f t="shared" si="691"/>
        <v>ENTRADA</v>
      </c>
      <c r="C1364" t="str">
        <f t="shared" si="681"/>
        <v>NFSE</v>
      </c>
      <c r="D1364" t="str">
        <f t="shared" si="695"/>
        <v>2802</v>
      </c>
      <c r="E1364" t="str">
        <f t="shared" si="683"/>
        <v>COM</v>
      </c>
      <c r="F1364" t="str">
        <f t="shared" si="696"/>
        <v>FARMÁCIA INDIANA LJ 1 (10126)</v>
      </c>
      <c r="G1364" t="str">
        <f t="shared" si="697"/>
        <v>Serv.Prest. 02/03/2025 a 09/03/2025 - RPS: 574 - NFSe: 2802</v>
      </c>
      <c r="H1364" t="str">
        <f t="shared" si="686"/>
        <v>19/03/2025</v>
      </c>
      <c r="I1364" t="str">
        <f t="shared" si="687"/>
        <v>11/03/2025</v>
      </c>
      <c r="J1364" t="str">
        <f t="shared" si="688"/>
        <v>19/03/2025</v>
      </c>
      <c r="M1364">
        <v>303</v>
      </c>
      <c r="N1364" t="str">
        <f t="shared" si="689"/>
        <v>RECEITAS COM ENTREGAS</v>
      </c>
      <c r="P1364">
        <v>1687.32</v>
      </c>
      <c r="Q1364" t="str">
        <f>"FARMÁCIA INDIANA LJ 07 (10007)"</f>
        <v>FARMÁCIA INDIANA LJ 07 (10007)</v>
      </c>
      <c r="R1364" t="str">
        <f t="shared" si="690"/>
        <v>RECEITAS COM ENTREGAS (303)</v>
      </c>
      <c r="S1364">
        <v>1226</v>
      </c>
      <c r="T1364">
        <v>977</v>
      </c>
      <c r="U1364" t="s">
        <v>19</v>
      </c>
    </row>
    <row r="1365" spans="1:21">
      <c r="A1365" t="str">
        <f t="shared" si="680"/>
        <v>19/03/2025</v>
      </c>
      <c r="B1365" t="str">
        <f t="shared" si="691"/>
        <v>ENTRADA</v>
      </c>
      <c r="C1365" t="str">
        <f t="shared" si="681"/>
        <v>NFSE</v>
      </c>
      <c r="D1365" t="str">
        <f t="shared" si="695"/>
        <v>2802</v>
      </c>
      <c r="E1365" t="str">
        <f t="shared" si="683"/>
        <v>COM</v>
      </c>
      <c r="F1365" t="str">
        <f t="shared" si="696"/>
        <v>FARMÁCIA INDIANA LJ 1 (10126)</v>
      </c>
      <c r="G1365" t="str">
        <f t="shared" si="697"/>
        <v>Serv.Prest. 02/03/2025 a 09/03/2025 - RPS: 574 - NFSe: 2802</v>
      </c>
      <c r="H1365" t="str">
        <f t="shared" si="686"/>
        <v>19/03/2025</v>
      </c>
      <c r="I1365" t="str">
        <f t="shared" si="687"/>
        <v>11/03/2025</v>
      </c>
      <c r="J1365" t="str">
        <f t="shared" si="688"/>
        <v>19/03/2025</v>
      </c>
      <c r="M1365">
        <v>303</v>
      </c>
      <c r="N1365" t="str">
        <f t="shared" si="689"/>
        <v>RECEITAS COM ENTREGAS</v>
      </c>
      <c r="P1365">
        <v>855.51</v>
      </c>
      <c r="Q1365" t="str">
        <f>"FARMÁCIA INDIANA LJ 11 (10008)"</f>
        <v>FARMÁCIA INDIANA LJ 11 (10008)</v>
      </c>
      <c r="R1365" t="str">
        <f t="shared" si="690"/>
        <v>RECEITAS COM ENTREGAS (303)</v>
      </c>
      <c r="S1365">
        <v>1226</v>
      </c>
      <c r="T1365">
        <v>977</v>
      </c>
      <c r="U1365" t="s">
        <v>19</v>
      </c>
    </row>
    <row r="1366" spans="1:21">
      <c r="A1366" t="str">
        <f t="shared" si="680"/>
        <v>19/03/2025</v>
      </c>
      <c r="B1366" t="str">
        <f t="shared" si="691"/>
        <v>ENTRADA</v>
      </c>
      <c r="C1366" t="str">
        <f t="shared" si="681"/>
        <v>NFSE</v>
      </c>
      <c r="D1366" t="str">
        <f t="shared" si="695"/>
        <v>2802</v>
      </c>
      <c r="E1366" t="str">
        <f t="shared" si="683"/>
        <v>COM</v>
      </c>
      <c r="F1366" t="str">
        <f t="shared" si="696"/>
        <v>FARMÁCIA INDIANA LJ 1 (10126)</v>
      </c>
      <c r="G1366" t="str">
        <f t="shared" si="697"/>
        <v>Serv.Prest. 02/03/2025 a 09/03/2025 - RPS: 574 - NFSe: 2802</v>
      </c>
      <c r="H1366" t="str">
        <f t="shared" si="686"/>
        <v>19/03/2025</v>
      </c>
      <c r="I1366" t="str">
        <f t="shared" si="687"/>
        <v>11/03/2025</v>
      </c>
      <c r="J1366" t="str">
        <f t="shared" si="688"/>
        <v>19/03/2025</v>
      </c>
      <c r="M1366">
        <v>303</v>
      </c>
      <c r="N1366" t="str">
        <f t="shared" si="689"/>
        <v>RECEITAS COM ENTREGAS</v>
      </c>
      <c r="P1366">
        <v>351.12</v>
      </c>
      <c r="Q1366" t="str">
        <f>"FARMÁCIA INDIANA LJ 14 (10009)"</f>
        <v>FARMÁCIA INDIANA LJ 14 (10009)</v>
      </c>
      <c r="R1366" t="str">
        <f t="shared" si="690"/>
        <v>RECEITAS COM ENTREGAS (303)</v>
      </c>
      <c r="S1366">
        <v>1226</v>
      </c>
      <c r="T1366">
        <v>977</v>
      </c>
      <c r="U1366" t="s">
        <v>19</v>
      </c>
    </row>
    <row r="1367" spans="1:21">
      <c r="A1367" t="str">
        <f t="shared" si="680"/>
        <v>19/03/2025</v>
      </c>
      <c r="B1367" t="str">
        <f t="shared" si="691"/>
        <v>ENTRADA</v>
      </c>
      <c r="C1367" t="str">
        <f t="shared" si="681"/>
        <v>NFSE</v>
      </c>
      <c r="D1367" t="str">
        <f t="shared" si="695"/>
        <v>2802</v>
      </c>
      <c r="E1367" t="str">
        <f t="shared" si="683"/>
        <v>COM</v>
      </c>
      <c r="F1367" t="str">
        <f t="shared" si="696"/>
        <v>FARMÁCIA INDIANA LJ 1 (10126)</v>
      </c>
      <c r="G1367" t="str">
        <f t="shared" si="697"/>
        <v>Serv.Prest. 02/03/2025 a 09/03/2025 - RPS: 574 - NFSe: 2802</v>
      </c>
      <c r="H1367" t="str">
        <f t="shared" si="686"/>
        <v>19/03/2025</v>
      </c>
      <c r="I1367" t="str">
        <f t="shared" si="687"/>
        <v>11/03/2025</v>
      </c>
      <c r="J1367" t="str">
        <f t="shared" si="688"/>
        <v>19/03/2025</v>
      </c>
      <c r="M1367">
        <v>303</v>
      </c>
      <c r="N1367" t="str">
        <f t="shared" si="689"/>
        <v>RECEITAS COM ENTREGAS</v>
      </c>
      <c r="P1367">
        <v>380.38</v>
      </c>
      <c r="Q1367" t="str">
        <f>"FARMÁCIA INDIANA LJ 18 (10011)"</f>
        <v>FARMÁCIA INDIANA LJ 18 (10011)</v>
      </c>
      <c r="R1367" t="str">
        <f t="shared" si="690"/>
        <v>RECEITAS COM ENTREGAS (303)</v>
      </c>
      <c r="S1367">
        <v>1226</v>
      </c>
      <c r="T1367">
        <v>977</v>
      </c>
      <c r="U1367" t="s">
        <v>19</v>
      </c>
    </row>
    <row r="1368" spans="1:21">
      <c r="A1368" t="str">
        <f t="shared" si="680"/>
        <v>19/03/2025</v>
      </c>
      <c r="B1368" t="str">
        <f t="shared" si="691"/>
        <v>ENTRADA</v>
      </c>
      <c r="C1368" t="str">
        <f t="shared" si="681"/>
        <v>NFSE</v>
      </c>
      <c r="D1368" t="str">
        <f t="shared" si="695"/>
        <v>2802</v>
      </c>
      <c r="E1368" t="str">
        <f t="shared" si="683"/>
        <v>COM</v>
      </c>
      <c r="F1368" t="str">
        <f t="shared" si="696"/>
        <v>FARMÁCIA INDIANA LJ 1 (10126)</v>
      </c>
      <c r="G1368" t="str">
        <f t="shared" si="697"/>
        <v>Serv.Prest. 02/03/2025 a 09/03/2025 - RPS: 574 - NFSe: 2802</v>
      </c>
      <c r="H1368" t="str">
        <f t="shared" si="686"/>
        <v>19/03/2025</v>
      </c>
      <c r="I1368" t="str">
        <f t="shared" si="687"/>
        <v>11/03/2025</v>
      </c>
      <c r="J1368" t="str">
        <f t="shared" si="688"/>
        <v>19/03/2025</v>
      </c>
      <c r="M1368">
        <v>303</v>
      </c>
      <c r="N1368" t="str">
        <f t="shared" si="689"/>
        <v>RECEITAS COM ENTREGAS</v>
      </c>
      <c r="P1368">
        <v>413.82</v>
      </c>
      <c r="Q1368" t="str">
        <f>"FARMÁCIA INDIANA LJ 19 (10012)"</f>
        <v>FARMÁCIA INDIANA LJ 19 (10012)</v>
      </c>
      <c r="R1368" t="str">
        <f t="shared" si="690"/>
        <v>RECEITAS COM ENTREGAS (303)</v>
      </c>
      <c r="S1368">
        <v>1226</v>
      </c>
      <c r="T1368">
        <v>977</v>
      </c>
      <c r="U1368" t="s">
        <v>19</v>
      </c>
    </row>
    <row r="1369" spans="1:21">
      <c r="A1369" t="str">
        <f t="shared" si="680"/>
        <v>19/03/2025</v>
      </c>
      <c r="B1369" t="str">
        <f t="shared" si="691"/>
        <v>ENTRADA</v>
      </c>
      <c r="C1369" t="str">
        <f t="shared" si="681"/>
        <v>NFSE</v>
      </c>
      <c r="D1369" t="str">
        <f t="shared" si="695"/>
        <v>2802</v>
      </c>
      <c r="E1369" t="str">
        <f t="shared" si="683"/>
        <v>COM</v>
      </c>
      <c r="F1369" t="str">
        <f t="shared" si="696"/>
        <v>FARMÁCIA INDIANA LJ 1 (10126)</v>
      </c>
      <c r="G1369" t="str">
        <f t="shared" si="697"/>
        <v>Serv.Prest. 02/03/2025 a 09/03/2025 - RPS: 574 - NFSe: 2802</v>
      </c>
      <c r="H1369" t="str">
        <f t="shared" si="686"/>
        <v>19/03/2025</v>
      </c>
      <c r="I1369" t="str">
        <f t="shared" si="687"/>
        <v>11/03/2025</v>
      </c>
      <c r="J1369" t="str">
        <f t="shared" si="688"/>
        <v>19/03/2025</v>
      </c>
      <c r="M1369">
        <v>303</v>
      </c>
      <c r="N1369" t="str">
        <f t="shared" si="689"/>
        <v>RECEITAS COM ENTREGAS</v>
      </c>
      <c r="P1369">
        <v>532.25</v>
      </c>
      <c r="Q1369" t="str">
        <f>"FARMÁCIA INDIANA LJ 40 (10016)"</f>
        <v>FARMÁCIA INDIANA LJ 40 (10016)</v>
      </c>
      <c r="R1369" t="str">
        <f t="shared" si="690"/>
        <v>RECEITAS COM ENTREGAS (303)</v>
      </c>
      <c r="S1369">
        <v>1226</v>
      </c>
      <c r="T1369">
        <v>977</v>
      </c>
      <c r="U1369" t="s">
        <v>19</v>
      </c>
    </row>
    <row r="1370" spans="1:21">
      <c r="A1370" t="str">
        <f t="shared" si="680"/>
        <v>19/03/2025</v>
      </c>
      <c r="B1370" t="str">
        <f t="shared" si="691"/>
        <v>ENTRADA</v>
      </c>
      <c r="C1370" t="str">
        <f t="shared" si="681"/>
        <v>NFSE</v>
      </c>
      <c r="D1370" t="str">
        <f t="shared" si="695"/>
        <v>2802</v>
      </c>
      <c r="E1370" t="str">
        <f t="shared" si="683"/>
        <v>COM</v>
      </c>
      <c r="F1370" t="str">
        <f t="shared" si="696"/>
        <v>FARMÁCIA INDIANA LJ 1 (10126)</v>
      </c>
      <c r="G1370" t="str">
        <f t="shared" si="697"/>
        <v>Serv.Prest. 02/03/2025 a 09/03/2025 - RPS: 574 - NFSe: 2802</v>
      </c>
      <c r="H1370" t="str">
        <f t="shared" si="686"/>
        <v>19/03/2025</v>
      </c>
      <c r="I1370" t="str">
        <f t="shared" si="687"/>
        <v>11/03/2025</v>
      </c>
      <c r="J1370" t="str">
        <f t="shared" si="688"/>
        <v>19/03/2025</v>
      </c>
      <c r="M1370">
        <v>303</v>
      </c>
      <c r="N1370" t="str">
        <f t="shared" si="689"/>
        <v>RECEITAS COM ENTREGAS</v>
      </c>
      <c r="P1370">
        <v>445.87</v>
      </c>
      <c r="Q1370" t="str">
        <f>"FARMÁCIA INDIANA LJ 59 (10026)"</f>
        <v>FARMÁCIA INDIANA LJ 59 (10026)</v>
      </c>
      <c r="R1370" t="str">
        <f t="shared" si="690"/>
        <v>RECEITAS COM ENTREGAS (303)</v>
      </c>
      <c r="S1370">
        <v>1226</v>
      </c>
      <c r="T1370">
        <v>977</v>
      </c>
      <c r="U1370" t="s">
        <v>19</v>
      </c>
    </row>
    <row r="1371" spans="1:21">
      <c r="A1371" t="str">
        <f t="shared" si="680"/>
        <v>19/03/2025</v>
      </c>
      <c r="B1371" t="str">
        <f t="shared" si="691"/>
        <v>ENTRADA</v>
      </c>
      <c r="C1371" t="str">
        <f t="shared" si="681"/>
        <v>NFSE</v>
      </c>
      <c r="D1371" t="str">
        <f t="shared" si="695"/>
        <v>2802</v>
      </c>
      <c r="E1371" t="str">
        <f t="shared" si="683"/>
        <v>COM</v>
      </c>
      <c r="F1371" t="str">
        <f t="shared" si="696"/>
        <v>FARMÁCIA INDIANA LJ 1 (10126)</v>
      </c>
      <c r="G1371" t="str">
        <f t="shared" si="697"/>
        <v>Serv.Prest. 02/03/2025 a 09/03/2025 - RPS: 574 - NFSe: 2802</v>
      </c>
      <c r="H1371" t="str">
        <f t="shared" si="686"/>
        <v>19/03/2025</v>
      </c>
      <c r="I1371" t="str">
        <f t="shared" si="687"/>
        <v>11/03/2025</v>
      </c>
      <c r="J1371" t="str">
        <f t="shared" si="688"/>
        <v>19/03/2025</v>
      </c>
      <c r="M1371">
        <v>303</v>
      </c>
      <c r="N1371" t="str">
        <f t="shared" si="689"/>
        <v>RECEITAS COM ENTREGAS</v>
      </c>
      <c r="P1371">
        <v>578.23</v>
      </c>
      <c r="Q1371" t="str">
        <f>"FARMÁCIA INDIANA LJ 61 (10027)"</f>
        <v>FARMÁCIA INDIANA LJ 61 (10027)</v>
      </c>
      <c r="R1371" t="str">
        <f t="shared" si="690"/>
        <v>RECEITAS COM ENTREGAS (303)</v>
      </c>
      <c r="S1371">
        <v>1226</v>
      </c>
      <c r="T1371">
        <v>977</v>
      </c>
      <c r="U1371" t="s">
        <v>19</v>
      </c>
    </row>
    <row r="1372" spans="1:21">
      <c r="A1372" t="str">
        <f t="shared" si="680"/>
        <v>19/03/2025</v>
      </c>
      <c r="B1372" t="str">
        <f t="shared" si="691"/>
        <v>ENTRADA</v>
      </c>
      <c r="C1372" t="str">
        <f t="shared" si="681"/>
        <v>NFSE</v>
      </c>
      <c r="D1372" t="str">
        <f t="shared" si="695"/>
        <v>2802</v>
      </c>
      <c r="E1372" t="str">
        <f t="shared" si="683"/>
        <v>COM</v>
      </c>
      <c r="F1372" t="str">
        <f t="shared" si="696"/>
        <v>FARMÁCIA INDIANA LJ 1 (10126)</v>
      </c>
      <c r="G1372" t="str">
        <f t="shared" si="697"/>
        <v>Serv.Prest. 02/03/2025 a 09/03/2025 - RPS: 574 - NFSe: 2802</v>
      </c>
      <c r="H1372" t="str">
        <f t="shared" si="686"/>
        <v>19/03/2025</v>
      </c>
      <c r="I1372" t="str">
        <f t="shared" si="687"/>
        <v>11/03/2025</v>
      </c>
      <c r="J1372" t="str">
        <f t="shared" si="688"/>
        <v>19/03/2025</v>
      </c>
      <c r="M1372">
        <v>303</v>
      </c>
      <c r="N1372" t="str">
        <f t="shared" si="689"/>
        <v>RECEITAS COM ENTREGAS</v>
      </c>
      <c r="P1372">
        <v>246.62</v>
      </c>
      <c r="Q1372" t="str">
        <f>"FARMÁCIA INDIANA LJ 62 (10028)"</f>
        <v>FARMÁCIA INDIANA LJ 62 (10028)</v>
      </c>
      <c r="R1372" t="str">
        <f t="shared" si="690"/>
        <v>RECEITAS COM ENTREGAS (303)</v>
      </c>
      <c r="S1372">
        <v>1226</v>
      </c>
      <c r="T1372">
        <v>977</v>
      </c>
      <c r="U1372" t="s">
        <v>19</v>
      </c>
    </row>
    <row r="1373" spans="1:21">
      <c r="A1373" t="str">
        <f t="shared" si="680"/>
        <v>19/03/2025</v>
      </c>
      <c r="B1373" t="str">
        <f t="shared" si="691"/>
        <v>ENTRADA</v>
      </c>
      <c r="C1373" t="str">
        <f t="shared" si="681"/>
        <v>NFSE</v>
      </c>
      <c r="D1373" t="str">
        <f t="shared" si="695"/>
        <v>2802</v>
      </c>
      <c r="E1373" t="str">
        <f t="shared" si="683"/>
        <v>COM</v>
      </c>
      <c r="F1373" t="str">
        <f t="shared" si="696"/>
        <v>FARMÁCIA INDIANA LJ 1 (10126)</v>
      </c>
      <c r="G1373" t="str">
        <f t="shared" si="697"/>
        <v>Serv.Prest. 02/03/2025 a 09/03/2025 - RPS: 574 - NFSe: 2802</v>
      </c>
      <c r="H1373" t="str">
        <f t="shared" si="686"/>
        <v>19/03/2025</v>
      </c>
      <c r="I1373" t="str">
        <f t="shared" si="687"/>
        <v>11/03/2025</v>
      </c>
      <c r="J1373" t="str">
        <f t="shared" si="688"/>
        <v>19/03/2025</v>
      </c>
      <c r="M1373">
        <v>303</v>
      </c>
      <c r="N1373" t="str">
        <f t="shared" si="689"/>
        <v>RECEITAS COM ENTREGAS</v>
      </c>
      <c r="P1373">
        <v>115.65</v>
      </c>
      <c r="Q1373" t="str">
        <f>"FARMÁCIA INDIANA LJ 64 (10029)"</f>
        <v>FARMÁCIA INDIANA LJ 64 (10029)</v>
      </c>
      <c r="R1373" t="str">
        <f t="shared" si="690"/>
        <v>RECEITAS COM ENTREGAS (303)</v>
      </c>
      <c r="S1373">
        <v>1226</v>
      </c>
      <c r="T1373">
        <v>977</v>
      </c>
      <c r="U1373" t="s">
        <v>19</v>
      </c>
    </row>
    <row r="1374" spans="1:21">
      <c r="A1374" t="str">
        <f t="shared" si="680"/>
        <v>19/03/2025</v>
      </c>
      <c r="B1374" t="str">
        <f t="shared" si="691"/>
        <v>ENTRADA</v>
      </c>
      <c r="C1374" t="str">
        <f t="shared" si="681"/>
        <v>NFSE</v>
      </c>
      <c r="D1374" t="str">
        <f t="shared" si="695"/>
        <v>2802</v>
      </c>
      <c r="E1374" t="str">
        <f t="shared" si="683"/>
        <v>COM</v>
      </c>
      <c r="F1374" t="str">
        <f t="shared" si="696"/>
        <v>FARMÁCIA INDIANA LJ 1 (10126)</v>
      </c>
      <c r="G1374" t="str">
        <f t="shared" si="697"/>
        <v>Serv.Prest. 02/03/2025 a 09/03/2025 - RPS: 574 - NFSe: 2802</v>
      </c>
      <c r="H1374" t="str">
        <f t="shared" si="686"/>
        <v>19/03/2025</v>
      </c>
      <c r="I1374" t="str">
        <f t="shared" si="687"/>
        <v>11/03/2025</v>
      </c>
      <c r="J1374" t="str">
        <f t="shared" si="688"/>
        <v>19/03/2025</v>
      </c>
      <c r="M1374">
        <v>303</v>
      </c>
      <c r="N1374" t="str">
        <f t="shared" si="689"/>
        <v>RECEITAS COM ENTREGAS</v>
      </c>
      <c r="P1374">
        <v>65.489999999999995</v>
      </c>
      <c r="Q1374" t="str">
        <f>"FARMÁCIA INDIANA LJ 97 (10040)"</f>
        <v>FARMÁCIA INDIANA LJ 97 (10040)</v>
      </c>
      <c r="R1374" t="str">
        <f t="shared" si="690"/>
        <v>RECEITAS COM ENTREGAS (303)</v>
      </c>
      <c r="S1374">
        <v>1226</v>
      </c>
      <c r="T1374">
        <v>977</v>
      </c>
      <c r="U1374" t="s">
        <v>19</v>
      </c>
    </row>
    <row r="1375" spans="1:21">
      <c r="A1375" t="str">
        <f t="shared" si="680"/>
        <v>19/03/2025</v>
      </c>
      <c r="B1375" t="str">
        <f t="shared" si="691"/>
        <v>ENTRADA</v>
      </c>
      <c r="C1375" t="str">
        <f t="shared" si="681"/>
        <v>NFSE</v>
      </c>
      <c r="D1375" t="str">
        <f t="shared" si="695"/>
        <v>2802</v>
      </c>
      <c r="E1375" t="str">
        <f t="shared" si="683"/>
        <v>COM</v>
      </c>
      <c r="F1375" t="str">
        <f t="shared" si="696"/>
        <v>FARMÁCIA INDIANA LJ 1 (10126)</v>
      </c>
      <c r="G1375" t="str">
        <f t="shared" si="697"/>
        <v>Serv.Prest. 02/03/2025 a 09/03/2025 - RPS: 574 - NFSe: 2802</v>
      </c>
      <c r="H1375" t="str">
        <f t="shared" si="686"/>
        <v>19/03/2025</v>
      </c>
      <c r="I1375" t="str">
        <f t="shared" si="687"/>
        <v>11/03/2025</v>
      </c>
      <c r="J1375" t="str">
        <f t="shared" si="688"/>
        <v>19/03/2025</v>
      </c>
      <c r="M1375">
        <v>303</v>
      </c>
      <c r="N1375" t="str">
        <f t="shared" si="689"/>
        <v>RECEITAS COM ENTREGAS</v>
      </c>
      <c r="P1375">
        <v>320.47000000000003</v>
      </c>
      <c r="Q1375" t="str">
        <f>"FARMÁCIA INDIANA LJ 100 (10042)"</f>
        <v>FARMÁCIA INDIANA LJ 100 (10042)</v>
      </c>
      <c r="R1375" t="str">
        <f t="shared" si="690"/>
        <v>RECEITAS COM ENTREGAS (303)</v>
      </c>
      <c r="S1375">
        <v>1226</v>
      </c>
      <c r="T1375">
        <v>977</v>
      </c>
      <c r="U1375" t="s">
        <v>19</v>
      </c>
    </row>
    <row r="1376" spans="1:21">
      <c r="A1376" t="str">
        <f t="shared" ref="A1376:A1407" si="698">("19/03/2025")</f>
        <v>19/03/2025</v>
      </c>
      <c r="B1376" t="str">
        <f t="shared" si="691"/>
        <v>ENTRADA</v>
      </c>
      <c r="C1376" t="str">
        <f t="shared" ref="C1376:C1411" si="699">"NFSE"</f>
        <v>NFSE</v>
      </c>
      <c r="D1376" t="str">
        <f t="shared" si="695"/>
        <v>2802</v>
      </c>
      <c r="E1376" t="str">
        <f t="shared" ref="E1376:E1411" si="700">"COM"</f>
        <v>COM</v>
      </c>
      <c r="F1376" t="str">
        <f t="shared" si="696"/>
        <v>FARMÁCIA INDIANA LJ 1 (10126)</v>
      </c>
      <c r="G1376" t="str">
        <f t="shared" si="697"/>
        <v>Serv.Prest. 02/03/2025 a 09/03/2025 - RPS: 574 - NFSe: 2802</v>
      </c>
      <c r="H1376" t="str">
        <f t="shared" ref="H1376:H1407" si="701">("19/03/2025")</f>
        <v>19/03/2025</v>
      </c>
      <c r="I1376" t="str">
        <f t="shared" ref="I1376:I1407" si="702">("11/03/2025")</f>
        <v>11/03/2025</v>
      </c>
      <c r="J1376" t="str">
        <f t="shared" ref="J1376:J1407" si="703">("19/03/2025")</f>
        <v>19/03/2025</v>
      </c>
      <c r="M1376">
        <v>303</v>
      </c>
      <c r="N1376" t="str">
        <f t="shared" ref="N1376:N1411" si="704">"RECEITAS COM ENTREGAS"</f>
        <v>RECEITAS COM ENTREGAS</v>
      </c>
      <c r="P1376">
        <v>1184.33</v>
      </c>
      <c r="Q1376" t="str">
        <f>"FARMÁCIA INDIANA LJ 101 (10043)"</f>
        <v>FARMÁCIA INDIANA LJ 101 (10043)</v>
      </c>
      <c r="R1376" t="str">
        <f t="shared" ref="R1376:R1411" si="705">"RECEITAS COM ENTREGAS (303)"</f>
        <v>RECEITAS COM ENTREGAS (303)</v>
      </c>
      <c r="S1376">
        <v>1226</v>
      </c>
      <c r="T1376">
        <v>977</v>
      </c>
      <c r="U1376" t="s">
        <v>19</v>
      </c>
    </row>
    <row r="1377" spans="1:21">
      <c r="A1377" t="str">
        <f t="shared" si="698"/>
        <v>19/03/2025</v>
      </c>
      <c r="B1377" t="str">
        <f t="shared" si="691"/>
        <v>ENTRADA</v>
      </c>
      <c r="C1377" t="str">
        <f t="shared" si="699"/>
        <v>NFSE</v>
      </c>
      <c r="D1377" t="str">
        <f t="shared" si="695"/>
        <v>2802</v>
      </c>
      <c r="E1377" t="str">
        <f t="shared" si="700"/>
        <v>COM</v>
      </c>
      <c r="F1377" t="str">
        <f t="shared" si="696"/>
        <v>FARMÁCIA INDIANA LJ 1 (10126)</v>
      </c>
      <c r="G1377" t="str">
        <f t="shared" si="697"/>
        <v>Serv.Prest. 02/03/2025 a 09/03/2025 - RPS: 574 - NFSe: 2802</v>
      </c>
      <c r="H1377" t="str">
        <f t="shared" si="701"/>
        <v>19/03/2025</v>
      </c>
      <c r="I1377" t="str">
        <f t="shared" si="702"/>
        <v>11/03/2025</v>
      </c>
      <c r="J1377" t="str">
        <f t="shared" si="703"/>
        <v>19/03/2025</v>
      </c>
      <c r="M1377">
        <v>303</v>
      </c>
      <c r="N1377" t="str">
        <f t="shared" si="704"/>
        <v>RECEITAS COM ENTREGAS</v>
      </c>
      <c r="P1377">
        <v>71.06</v>
      </c>
      <c r="Q1377" t="str">
        <f>"FARMÁCIA INDIANA LJ 103 (10044)"</f>
        <v>FARMÁCIA INDIANA LJ 103 (10044)</v>
      </c>
      <c r="R1377" t="str">
        <f t="shared" si="705"/>
        <v>RECEITAS COM ENTREGAS (303)</v>
      </c>
      <c r="S1377">
        <v>1226</v>
      </c>
      <c r="T1377">
        <v>977</v>
      </c>
      <c r="U1377" t="s">
        <v>19</v>
      </c>
    </row>
    <row r="1378" spans="1:21">
      <c r="A1378" t="str">
        <f t="shared" si="698"/>
        <v>19/03/2025</v>
      </c>
      <c r="B1378" t="str">
        <f t="shared" si="691"/>
        <v>ENTRADA</v>
      </c>
      <c r="C1378" t="str">
        <f t="shared" si="699"/>
        <v>NFSE</v>
      </c>
      <c r="D1378" t="str">
        <f t="shared" si="695"/>
        <v>2802</v>
      </c>
      <c r="E1378" t="str">
        <f t="shared" si="700"/>
        <v>COM</v>
      </c>
      <c r="F1378" t="str">
        <f t="shared" si="696"/>
        <v>FARMÁCIA INDIANA LJ 1 (10126)</v>
      </c>
      <c r="G1378" t="str">
        <f t="shared" si="697"/>
        <v>Serv.Prest. 02/03/2025 a 09/03/2025 - RPS: 574 - NFSe: 2802</v>
      </c>
      <c r="H1378" t="str">
        <f t="shared" si="701"/>
        <v>19/03/2025</v>
      </c>
      <c r="I1378" t="str">
        <f t="shared" si="702"/>
        <v>11/03/2025</v>
      </c>
      <c r="J1378" t="str">
        <f t="shared" si="703"/>
        <v>19/03/2025</v>
      </c>
      <c r="M1378">
        <v>303</v>
      </c>
      <c r="N1378" t="str">
        <f t="shared" si="704"/>
        <v>RECEITAS COM ENTREGAS</v>
      </c>
      <c r="P1378">
        <v>160.22999999999999</v>
      </c>
      <c r="Q1378" t="str">
        <f>"FARMÁCIA INDIANA LJ 109 (10047)"</f>
        <v>FARMÁCIA INDIANA LJ 109 (10047)</v>
      </c>
      <c r="R1378" t="str">
        <f t="shared" si="705"/>
        <v>RECEITAS COM ENTREGAS (303)</v>
      </c>
      <c r="S1378">
        <v>1226</v>
      </c>
      <c r="T1378">
        <v>977</v>
      </c>
      <c r="U1378" t="s">
        <v>19</v>
      </c>
    </row>
    <row r="1379" spans="1:21">
      <c r="A1379" t="str">
        <f t="shared" si="698"/>
        <v>19/03/2025</v>
      </c>
      <c r="B1379" t="str">
        <f t="shared" si="691"/>
        <v>ENTRADA</v>
      </c>
      <c r="C1379" t="str">
        <f t="shared" si="699"/>
        <v>NFSE</v>
      </c>
      <c r="D1379" t="str">
        <f t="shared" si="695"/>
        <v>2802</v>
      </c>
      <c r="E1379" t="str">
        <f t="shared" si="700"/>
        <v>COM</v>
      </c>
      <c r="F1379" t="str">
        <f t="shared" si="696"/>
        <v>FARMÁCIA INDIANA LJ 1 (10126)</v>
      </c>
      <c r="G1379" t="str">
        <f t="shared" si="697"/>
        <v>Serv.Prest. 02/03/2025 a 09/03/2025 - RPS: 574 - NFSe: 2802</v>
      </c>
      <c r="H1379" t="str">
        <f t="shared" si="701"/>
        <v>19/03/2025</v>
      </c>
      <c r="I1379" t="str">
        <f t="shared" si="702"/>
        <v>11/03/2025</v>
      </c>
      <c r="J1379" t="str">
        <f t="shared" si="703"/>
        <v>19/03/2025</v>
      </c>
      <c r="M1379">
        <v>303</v>
      </c>
      <c r="N1379" t="str">
        <f t="shared" si="704"/>
        <v>RECEITAS COM ENTREGAS</v>
      </c>
      <c r="P1379">
        <v>480.7</v>
      </c>
      <c r="Q1379" t="str">
        <f>"FARMÁCIA INDIANA LJ 110 (10048)"</f>
        <v>FARMÁCIA INDIANA LJ 110 (10048)</v>
      </c>
      <c r="R1379" t="str">
        <f t="shared" si="705"/>
        <v>RECEITAS COM ENTREGAS (303)</v>
      </c>
      <c r="S1379">
        <v>1226</v>
      </c>
      <c r="T1379">
        <v>977</v>
      </c>
      <c r="U1379" t="s">
        <v>19</v>
      </c>
    </row>
    <row r="1380" spans="1:21">
      <c r="A1380" t="str">
        <f t="shared" si="698"/>
        <v>19/03/2025</v>
      </c>
      <c r="B1380" t="str">
        <f t="shared" si="691"/>
        <v>ENTRADA</v>
      </c>
      <c r="C1380" t="str">
        <f t="shared" si="699"/>
        <v>NFSE</v>
      </c>
      <c r="D1380" t="str">
        <f t="shared" si="695"/>
        <v>2802</v>
      </c>
      <c r="E1380" t="str">
        <f t="shared" si="700"/>
        <v>COM</v>
      </c>
      <c r="F1380" t="str">
        <f t="shared" si="696"/>
        <v>FARMÁCIA INDIANA LJ 1 (10126)</v>
      </c>
      <c r="G1380" t="str">
        <f t="shared" si="697"/>
        <v>Serv.Prest. 02/03/2025 a 09/03/2025 - RPS: 574 - NFSe: 2802</v>
      </c>
      <c r="H1380" t="str">
        <f t="shared" si="701"/>
        <v>19/03/2025</v>
      </c>
      <c r="I1380" t="str">
        <f t="shared" si="702"/>
        <v>11/03/2025</v>
      </c>
      <c r="J1380" t="str">
        <f t="shared" si="703"/>
        <v>19/03/2025</v>
      </c>
      <c r="M1380">
        <v>303</v>
      </c>
      <c r="N1380" t="str">
        <f t="shared" si="704"/>
        <v>RECEITAS COM ENTREGAS</v>
      </c>
      <c r="P1380">
        <v>64.09</v>
      </c>
      <c r="Q1380" t="str">
        <f>"FARMÁCIA INDIANA LJ 111 (10049)"</f>
        <v>FARMÁCIA INDIANA LJ 111 (10049)</v>
      </c>
      <c r="R1380" t="str">
        <f t="shared" si="705"/>
        <v>RECEITAS COM ENTREGAS (303)</v>
      </c>
      <c r="S1380">
        <v>1226</v>
      </c>
      <c r="T1380">
        <v>977</v>
      </c>
      <c r="U1380" t="s">
        <v>19</v>
      </c>
    </row>
    <row r="1381" spans="1:21">
      <c r="A1381" t="str">
        <f t="shared" si="698"/>
        <v>19/03/2025</v>
      </c>
      <c r="B1381" t="str">
        <f t="shared" si="691"/>
        <v>ENTRADA</v>
      </c>
      <c r="C1381" t="str">
        <f t="shared" si="699"/>
        <v>NFSE</v>
      </c>
      <c r="D1381" t="str">
        <f t="shared" si="695"/>
        <v>2802</v>
      </c>
      <c r="E1381" t="str">
        <f t="shared" si="700"/>
        <v>COM</v>
      </c>
      <c r="F1381" t="str">
        <f t="shared" si="696"/>
        <v>FARMÁCIA INDIANA LJ 1 (10126)</v>
      </c>
      <c r="G1381" t="str">
        <f t="shared" si="697"/>
        <v>Serv.Prest. 02/03/2025 a 09/03/2025 - RPS: 574 - NFSe: 2802</v>
      </c>
      <c r="H1381" t="str">
        <f t="shared" si="701"/>
        <v>19/03/2025</v>
      </c>
      <c r="I1381" t="str">
        <f t="shared" si="702"/>
        <v>11/03/2025</v>
      </c>
      <c r="J1381" t="str">
        <f t="shared" si="703"/>
        <v>19/03/2025</v>
      </c>
      <c r="M1381">
        <v>303</v>
      </c>
      <c r="N1381" t="str">
        <f t="shared" si="704"/>
        <v>RECEITAS COM ENTREGAS</v>
      </c>
      <c r="P1381">
        <v>126.79</v>
      </c>
      <c r="Q1381" t="str">
        <f>"FARMÁCIA INDIANA LJ 112 (10050)"</f>
        <v>FARMÁCIA INDIANA LJ 112 (10050)</v>
      </c>
      <c r="R1381" t="str">
        <f t="shared" si="705"/>
        <v>RECEITAS COM ENTREGAS (303)</v>
      </c>
      <c r="S1381">
        <v>1226</v>
      </c>
      <c r="T1381">
        <v>977</v>
      </c>
      <c r="U1381" t="s">
        <v>19</v>
      </c>
    </row>
    <row r="1382" spans="1:21">
      <c r="A1382" t="str">
        <f t="shared" si="698"/>
        <v>19/03/2025</v>
      </c>
      <c r="B1382" t="str">
        <f t="shared" si="691"/>
        <v>ENTRADA</v>
      </c>
      <c r="C1382" t="str">
        <f t="shared" si="699"/>
        <v>NFSE</v>
      </c>
      <c r="D1382" t="str">
        <f t="shared" si="695"/>
        <v>2802</v>
      </c>
      <c r="E1382" t="str">
        <f t="shared" si="700"/>
        <v>COM</v>
      </c>
      <c r="F1382" t="str">
        <f t="shared" si="696"/>
        <v>FARMÁCIA INDIANA LJ 1 (10126)</v>
      </c>
      <c r="G1382" t="str">
        <f t="shared" si="697"/>
        <v>Serv.Prest. 02/03/2025 a 09/03/2025 - RPS: 574 - NFSe: 2802</v>
      </c>
      <c r="H1382" t="str">
        <f t="shared" si="701"/>
        <v>19/03/2025</v>
      </c>
      <c r="I1382" t="str">
        <f t="shared" si="702"/>
        <v>11/03/2025</v>
      </c>
      <c r="J1382" t="str">
        <f t="shared" si="703"/>
        <v>19/03/2025</v>
      </c>
      <c r="M1382">
        <v>303</v>
      </c>
      <c r="N1382" t="str">
        <f t="shared" si="704"/>
        <v>RECEITAS COM ENTREGAS</v>
      </c>
      <c r="P1382">
        <v>126.79</v>
      </c>
      <c r="Q1382" t="str">
        <f>"FARMÁCIA INDIANA LJ 116 (10051)"</f>
        <v>FARMÁCIA INDIANA LJ 116 (10051)</v>
      </c>
      <c r="R1382" t="str">
        <f t="shared" si="705"/>
        <v>RECEITAS COM ENTREGAS (303)</v>
      </c>
      <c r="S1382">
        <v>1226</v>
      </c>
      <c r="T1382">
        <v>977</v>
      </c>
      <c r="U1382" t="s">
        <v>19</v>
      </c>
    </row>
    <row r="1383" spans="1:21">
      <c r="A1383" t="str">
        <f t="shared" si="698"/>
        <v>19/03/2025</v>
      </c>
      <c r="B1383" t="str">
        <f t="shared" si="691"/>
        <v>ENTRADA</v>
      </c>
      <c r="C1383" t="str">
        <f t="shared" si="699"/>
        <v>NFSE</v>
      </c>
      <c r="D1383" t="str">
        <f t="shared" si="695"/>
        <v>2802</v>
      </c>
      <c r="E1383" t="str">
        <f t="shared" si="700"/>
        <v>COM</v>
      </c>
      <c r="F1383" t="str">
        <f t="shared" si="696"/>
        <v>FARMÁCIA INDIANA LJ 1 (10126)</v>
      </c>
      <c r="G1383" t="str">
        <f t="shared" si="697"/>
        <v>Serv.Prest. 02/03/2025 a 09/03/2025 - RPS: 574 - NFSe: 2802</v>
      </c>
      <c r="H1383" t="str">
        <f t="shared" si="701"/>
        <v>19/03/2025</v>
      </c>
      <c r="I1383" t="str">
        <f t="shared" si="702"/>
        <v>11/03/2025</v>
      </c>
      <c r="J1383" t="str">
        <f t="shared" si="703"/>
        <v>19/03/2025</v>
      </c>
      <c r="M1383">
        <v>303</v>
      </c>
      <c r="N1383" t="str">
        <f t="shared" si="704"/>
        <v>RECEITAS COM ENTREGAS</v>
      </c>
      <c r="P1383">
        <v>151.87</v>
      </c>
      <c r="Q1383" t="str">
        <f>"FARMÁCIA INDIANA LJ 118 (10052)"</f>
        <v>FARMÁCIA INDIANA LJ 118 (10052)</v>
      </c>
      <c r="R1383" t="str">
        <f t="shared" si="705"/>
        <v>RECEITAS COM ENTREGAS (303)</v>
      </c>
      <c r="S1383">
        <v>1226</v>
      </c>
      <c r="T1383">
        <v>977</v>
      </c>
      <c r="U1383" t="s">
        <v>19</v>
      </c>
    </row>
    <row r="1384" spans="1:21">
      <c r="A1384" t="str">
        <f t="shared" si="698"/>
        <v>19/03/2025</v>
      </c>
      <c r="B1384" t="str">
        <f t="shared" si="691"/>
        <v>ENTRADA</v>
      </c>
      <c r="C1384" t="str">
        <f t="shared" si="699"/>
        <v>NFSE</v>
      </c>
      <c r="D1384" t="str">
        <f t="shared" si="695"/>
        <v>2802</v>
      </c>
      <c r="E1384" t="str">
        <f t="shared" si="700"/>
        <v>COM</v>
      </c>
      <c r="F1384" t="str">
        <f t="shared" si="696"/>
        <v>FARMÁCIA INDIANA LJ 1 (10126)</v>
      </c>
      <c r="G1384" t="str">
        <f t="shared" si="697"/>
        <v>Serv.Prest. 02/03/2025 a 09/03/2025 - RPS: 574 - NFSe: 2802</v>
      </c>
      <c r="H1384" t="str">
        <f t="shared" si="701"/>
        <v>19/03/2025</v>
      </c>
      <c r="I1384" t="str">
        <f t="shared" si="702"/>
        <v>11/03/2025</v>
      </c>
      <c r="J1384" t="str">
        <f t="shared" si="703"/>
        <v>19/03/2025</v>
      </c>
      <c r="M1384">
        <v>303</v>
      </c>
      <c r="N1384" t="str">
        <f t="shared" si="704"/>
        <v>RECEITAS COM ENTREGAS</v>
      </c>
      <c r="P1384">
        <v>126.79</v>
      </c>
      <c r="Q1384" t="str">
        <f>"FARMÁCIA INDIANA LJ 121 (10054)"</f>
        <v>FARMÁCIA INDIANA LJ 121 (10054)</v>
      </c>
      <c r="R1384" t="str">
        <f t="shared" si="705"/>
        <v>RECEITAS COM ENTREGAS (303)</v>
      </c>
      <c r="S1384">
        <v>1226</v>
      </c>
      <c r="T1384">
        <v>977</v>
      </c>
      <c r="U1384" t="s">
        <v>19</v>
      </c>
    </row>
    <row r="1385" spans="1:21">
      <c r="A1385" t="str">
        <f t="shared" si="698"/>
        <v>19/03/2025</v>
      </c>
      <c r="B1385" t="str">
        <f t="shared" si="691"/>
        <v>ENTRADA</v>
      </c>
      <c r="C1385" t="str">
        <f t="shared" si="699"/>
        <v>NFSE</v>
      </c>
      <c r="D1385" t="str">
        <f t="shared" si="695"/>
        <v>2802</v>
      </c>
      <c r="E1385" t="str">
        <f t="shared" si="700"/>
        <v>COM</v>
      </c>
      <c r="F1385" t="str">
        <f t="shared" si="696"/>
        <v>FARMÁCIA INDIANA LJ 1 (10126)</v>
      </c>
      <c r="G1385" t="str">
        <f t="shared" si="697"/>
        <v>Serv.Prest. 02/03/2025 a 09/03/2025 - RPS: 574 - NFSe: 2802</v>
      </c>
      <c r="H1385" t="str">
        <f t="shared" si="701"/>
        <v>19/03/2025</v>
      </c>
      <c r="I1385" t="str">
        <f t="shared" si="702"/>
        <v>11/03/2025</v>
      </c>
      <c r="J1385" t="str">
        <f t="shared" si="703"/>
        <v>19/03/2025</v>
      </c>
      <c r="M1385">
        <v>303</v>
      </c>
      <c r="N1385" t="str">
        <f t="shared" si="704"/>
        <v>RECEITAS COM ENTREGAS</v>
      </c>
      <c r="P1385">
        <v>126.79</v>
      </c>
      <c r="Q1385" t="str">
        <f>"FARMÁCIA INDIANA LJ 128 (10057)"</f>
        <v>FARMÁCIA INDIANA LJ 128 (10057)</v>
      </c>
      <c r="R1385" t="str">
        <f t="shared" si="705"/>
        <v>RECEITAS COM ENTREGAS (303)</v>
      </c>
      <c r="S1385">
        <v>1226</v>
      </c>
      <c r="T1385">
        <v>977</v>
      </c>
      <c r="U1385" t="s">
        <v>19</v>
      </c>
    </row>
    <row r="1386" spans="1:21">
      <c r="A1386" t="str">
        <f t="shared" si="698"/>
        <v>19/03/2025</v>
      </c>
      <c r="B1386" t="str">
        <f t="shared" si="691"/>
        <v>ENTRADA</v>
      </c>
      <c r="C1386" t="str">
        <f t="shared" si="699"/>
        <v>NFSE</v>
      </c>
      <c r="D1386" t="str">
        <f t="shared" si="695"/>
        <v>2802</v>
      </c>
      <c r="E1386" t="str">
        <f t="shared" si="700"/>
        <v>COM</v>
      </c>
      <c r="F1386" t="str">
        <f t="shared" si="696"/>
        <v>FARMÁCIA INDIANA LJ 1 (10126)</v>
      </c>
      <c r="G1386" t="str">
        <f t="shared" si="697"/>
        <v>Serv.Prest. 02/03/2025 a 09/03/2025 - RPS: 574 - NFSe: 2802</v>
      </c>
      <c r="H1386" t="str">
        <f t="shared" si="701"/>
        <v>19/03/2025</v>
      </c>
      <c r="I1386" t="str">
        <f t="shared" si="702"/>
        <v>11/03/2025</v>
      </c>
      <c r="J1386" t="str">
        <f t="shared" si="703"/>
        <v>19/03/2025</v>
      </c>
      <c r="M1386">
        <v>303</v>
      </c>
      <c r="N1386" t="str">
        <f t="shared" si="704"/>
        <v>RECEITAS COM ENTREGAS</v>
      </c>
      <c r="P1386">
        <v>29.26</v>
      </c>
      <c r="Q1386" t="str">
        <f>"FARMÁCIA INDIANA LJ 140 (10064)"</f>
        <v>FARMÁCIA INDIANA LJ 140 (10064)</v>
      </c>
      <c r="R1386" t="str">
        <f t="shared" si="705"/>
        <v>RECEITAS COM ENTREGAS (303)</v>
      </c>
      <c r="S1386">
        <v>1226</v>
      </c>
      <c r="T1386">
        <v>977</v>
      </c>
      <c r="U1386" t="s">
        <v>19</v>
      </c>
    </row>
    <row r="1387" spans="1:21">
      <c r="A1387" t="str">
        <f t="shared" si="698"/>
        <v>19/03/2025</v>
      </c>
      <c r="B1387" t="str">
        <f t="shared" si="691"/>
        <v>ENTRADA</v>
      </c>
      <c r="C1387" t="str">
        <f t="shared" si="699"/>
        <v>NFSE</v>
      </c>
      <c r="D1387" t="str">
        <f t="shared" si="695"/>
        <v>2802</v>
      </c>
      <c r="E1387" t="str">
        <f t="shared" si="700"/>
        <v>COM</v>
      </c>
      <c r="F1387" t="str">
        <f t="shared" si="696"/>
        <v>FARMÁCIA INDIANA LJ 1 (10126)</v>
      </c>
      <c r="G1387" t="str">
        <f t="shared" si="697"/>
        <v>Serv.Prest. 02/03/2025 a 09/03/2025 - RPS: 574 - NFSe: 2802</v>
      </c>
      <c r="H1387" t="str">
        <f t="shared" si="701"/>
        <v>19/03/2025</v>
      </c>
      <c r="I1387" t="str">
        <f t="shared" si="702"/>
        <v>11/03/2025</v>
      </c>
      <c r="J1387" t="str">
        <f t="shared" si="703"/>
        <v>19/03/2025</v>
      </c>
      <c r="M1387">
        <v>303</v>
      </c>
      <c r="N1387" t="str">
        <f t="shared" si="704"/>
        <v>RECEITAS COM ENTREGAS</v>
      </c>
      <c r="P1387">
        <v>20.9</v>
      </c>
      <c r="Q1387" t="str">
        <f>"FARMÁCIA INDIANA LJ 141 (10065)"</f>
        <v>FARMÁCIA INDIANA LJ 141 (10065)</v>
      </c>
      <c r="R1387" t="str">
        <f t="shared" si="705"/>
        <v>RECEITAS COM ENTREGAS (303)</v>
      </c>
      <c r="S1387">
        <v>1226</v>
      </c>
      <c r="T1387">
        <v>977</v>
      </c>
      <c r="U1387" t="s">
        <v>19</v>
      </c>
    </row>
    <row r="1388" spans="1:21">
      <c r="A1388" t="str">
        <f t="shared" si="698"/>
        <v>19/03/2025</v>
      </c>
      <c r="B1388" t="str">
        <f t="shared" si="691"/>
        <v>ENTRADA</v>
      </c>
      <c r="C1388" t="str">
        <f t="shared" si="699"/>
        <v>NFSE</v>
      </c>
      <c r="D1388" t="str">
        <f t="shared" si="695"/>
        <v>2802</v>
      </c>
      <c r="E1388" t="str">
        <f t="shared" si="700"/>
        <v>COM</v>
      </c>
      <c r="F1388" t="str">
        <f t="shared" si="696"/>
        <v>FARMÁCIA INDIANA LJ 1 (10126)</v>
      </c>
      <c r="G1388" t="str">
        <f t="shared" si="697"/>
        <v>Serv.Prest. 02/03/2025 a 09/03/2025 - RPS: 574 - NFSe: 2802</v>
      </c>
      <c r="H1388" t="str">
        <f t="shared" si="701"/>
        <v>19/03/2025</v>
      </c>
      <c r="I1388" t="str">
        <f t="shared" si="702"/>
        <v>11/03/2025</v>
      </c>
      <c r="J1388" t="str">
        <f t="shared" si="703"/>
        <v>19/03/2025</v>
      </c>
      <c r="M1388">
        <v>303</v>
      </c>
      <c r="N1388" t="str">
        <f t="shared" si="704"/>
        <v>RECEITAS COM ENTREGAS</v>
      </c>
      <c r="P1388">
        <v>657.65</v>
      </c>
      <c r="Q1388" t="str">
        <f>"FARMÁCIA INDIANA LJ 142 (10066)"</f>
        <v>FARMÁCIA INDIANA LJ 142 (10066)</v>
      </c>
      <c r="R1388" t="str">
        <f t="shared" si="705"/>
        <v>RECEITAS COM ENTREGAS (303)</v>
      </c>
      <c r="S1388">
        <v>1226</v>
      </c>
      <c r="T1388">
        <v>977</v>
      </c>
      <c r="U1388" t="s">
        <v>19</v>
      </c>
    </row>
    <row r="1389" spans="1:21">
      <c r="A1389" t="str">
        <f t="shared" si="698"/>
        <v>19/03/2025</v>
      </c>
      <c r="B1389" t="str">
        <f t="shared" si="691"/>
        <v>ENTRADA</v>
      </c>
      <c r="C1389" t="str">
        <f t="shared" si="699"/>
        <v>NFSE</v>
      </c>
      <c r="D1389" t="str">
        <f t="shared" si="695"/>
        <v>2802</v>
      </c>
      <c r="E1389" t="str">
        <f t="shared" si="700"/>
        <v>COM</v>
      </c>
      <c r="F1389" t="str">
        <f t="shared" si="696"/>
        <v>FARMÁCIA INDIANA LJ 1 (10126)</v>
      </c>
      <c r="G1389" t="str">
        <f t="shared" si="697"/>
        <v>Serv.Prest. 02/03/2025 a 09/03/2025 - RPS: 574 - NFSe: 2802</v>
      </c>
      <c r="H1389" t="str">
        <f t="shared" si="701"/>
        <v>19/03/2025</v>
      </c>
      <c r="I1389" t="str">
        <f t="shared" si="702"/>
        <v>11/03/2025</v>
      </c>
      <c r="J1389" t="str">
        <f t="shared" si="703"/>
        <v>19/03/2025</v>
      </c>
      <c r="M1389">
        <v>303</v>
      </c>
      <c r="N1389" t="str">
        <f t="shared" si="704"/>
        <v>RECEITAS COM ENTREGAS</v>
      </c>
      <c r="P1389">
        <v>65.489999999999995</v>
      </c>
      <c r="Q1389" t="str">
        <f>"FARMÁCIA INDIANA LJ 143 (10067)"</f>
        <v>FARMÁCIA INDIANA LJ 143 (10067)</v>
      </c>
      <c r="R1389" t="str">
        <f t="shared" si="705"/>
        <v>RECEITAS COM ENTREGAS (303)</v>
      </c>
      <c r="S1389">
        <v>1226</v>
      </c>
      <c r="T1389">
        <v>977</v>
      </c>
      <c r="U1389" t="s">
        <v>19</v>
      </c>
    </row>
    <row r="1390" spans="1:21">
      <c r="A1390" t="str">
        <f t="shared" si="698"/>
        <v>19/03/2025</v>
      </c>
      <c r="B1390" t="str">
        <f t="shared" si="691"/>
        <v>ENTRADA</v>
      </c>
      <c r="C1390" t="str">
        <f t="shared" si="699"/>
        <v>NFSE</v>
      </c>
      <c r="D1390" t="str">
        <f t="shared" si="695"/>
        <v>2802</v>
      </c>
      <c r="E1390" t="str">
        <f t="shared" si="700"/>
        <v>COM</v>
      </c>
      <c r="F1390" t="str">
        <f t="shared" si="696"/>
        <v>FARMÁCIA INDIANA LJ 1 (10126)</v>
      </c>
      <c r="G1390" t="str">
        <f t="shared" si="697"/>
        <v>Serv.Prest. 02/03/2025 a 09/03/2025 - RPS: 574 - NFSe: 2802</v>
      </c>
      <c r="H1390" t="str">
        <f t="shared" si="701"/>
        <v>19/03/2025</v>
      </c>
      <c r="I1390" t="str">
        <f t="shared" si="702"/>
        <v>11/03/2025</v>
      </c>
      <c r="J1390" t="str">
        <f t="shared" si="703"/>
        <v>19/03/2025</v>
      </c>
      <c r="M1390">
        <v>303</v>
      </c>
      <c r="N1390" t="str">
        <f t="shared" si="704"/>
        <v>RECEITAS COM ENTREGAS</v>
      </c>
      <c r="P1390">
        <v>156.05000000000001</v>
      </c>
      <c r="Q1390" t="str">
        <f>"FARMÁCIA INDIANA LJ 152 (10069)"</f>
        <v>FARMÁCIA INDIANA LJ 152 (10069)</v>
      </c>
      <c r="R1390" t="str">
        <f t="shared" si="705"/>
        <v>RECEITAS COM ENTREGAS (303)</v>
      </c>
      <c r="S1390">
        <v>1226</v>
      </c>
      <c r="T1390">
        <v>977</v>
      </c>
      <c r="U1390" t="s">
        <v>19</v>
      </c>
    </row>
    <row r="1391" spans="1:21">
      <c r="A1391" t="str">
        <f t="shared" si="698"/>
        <v>19/03/2025</v>
      </c>
      <c r="B1391" t="str">
        <f t="shared" si="691"/>
        <v>ENTRADA</v>
      </c>
      <c r="C1391" t="str">
        <f t="shared" si="699"/>
        <v>NFSE</v>
      </c>
      <c r="D1391" t="str">
        <f t="shared" si="695"/>
        <v>2802</v>
      </c>
      <c r="E1391" t="str">
        <f t="shared" si="700"/>
        <v>COM</v>
      </c>
      <c r="F1391" t="str">
        <f t="shared" si="696"/>
        <v>FARMÁCIA INDIANA LJ 1 (10126)</v>
      </c>
      <c r="G1391" t="str">
        <f t="shared" si="697"/>
        <v>Serv.Prest. 02/03/2025 a 09/03/2025 - RPS: 574 - NFSe: 2802</v>
      </c>
      <c r="H1391" t="str">
        <f t="shared" si="701"/>
        <v>19/03/2025</v>
      </c>
      <c r="I1391" t="str">
        <f t="shared" si="702"/>
        <v>11/03/2025</v>
      </c>
      <c r="J1391" t="str">
        <f t="shared" si="703"/>
        <v>19/03/2025</v>
      </c>
      <c r="M1391">
        <v>303</v>
      </c>
      <c r="N1391" t="str">
        <f t="shared" si="704"/>
        <v>RECEITAS COM ENTREGAS</v>
      </c>
      <c r="P1391">
        <v>40.409999999999997</v>
      </c>
      <c r="Q1391" t="str">
        <f>"FARMÁCIA INDIANA LJ 154 (10070)"</f>
        <v>FARMÁCIA INDIANA LJ 154 (10070)</v>
      </c>
      <c r="R1391" t="str">
        <f t="shared" si="705"/>
        <v>RECEITAS COM ENTREGAS (303)</v>
      </c>
      <c r="S1391">
        <v>1226</v>
      </c>
      <c r="T1391">
        <v>977</v>
      </c>
      <c r="U1391" t="s">
        <v>19</v>
      </c>
    </row>
    <row r="1392" spans="1:21">
      <c r="A1392" t="str">
        <f t="shared" si="698"/>
        <v>19/03/2025</v>
      </c>
      <c r="B1392" t="str">
        <f t="shared" si="691"/>
        <v>ENTRADA</v>
      </c>
      <c r="C1392" t="str">
        <f t="shared" si="699"/>
        <v>NFSE</v>
      </c>
      <c r="D1392" t="str">
        <f t="shared" si="695"/>
        <v>2802</v>
      </c>
      <c r="E1392" t="str">
        <f t="shared" si="700"/>
        <v>COM</v>
      </c>
      <c r="F1392" t="str">
        <f t="shared" si="696"/>
        <v>FARMÁCIA INDIANA LJ 1 (10126)</v>
      </c>
      <c r="G1392" t="str">
        <f t="shared" si="697"/>
        <v>Serv.Prest. 02/03/2025 a 09/03/2025 - RPS: 574 - NFSe: 2802</v>
      </c>
      <c r="H1392" t="str">
        <f t="shared" si="701"/>
        <v>19/03/2025</v>
      </c>
      <c r="I1392" t="str">
        <f t="shared" si="702"/>
        <v>11/03/2025</v>
      </c>
      <c r="J1392" t="str">
        <f t="shared" si="703"/>
        <v>19/03/2025</v>
      </c>
      <c r="M1392">
        <v>303</v>
      </c>
      <c r="N1392" t="str">
        <f t="shared" si="704"/>
        <v>RECEITAS COM ENTREGAS</v>
      </c>
      <c r="P1392">
        <v>342.76</v>
      </c>
      <c r="Q1392" t="str">
        <f>"FARMÁCIA INDIANA LJ 171 (10074)"</f>
        <v>FARMÁCIA INDIANA LJ 171 (10074)</v>
      </c>
      <c r="R1392" t="str">
        <f t="shared" si="705"/>
        <v>RECEITAS COM ENTREGAS (303)</v>
      </c>
      <c r="S1392">
        <v>1226</v>
      </c>
      <c r="T1392">
        <v>977</v>
      </c>
      <c r="U1392" t="s">
        <v>19</v>
      </c>
    </row>
    <row r="1393" spans="1:21">
      <c r="A1393" t="str">
        <f t="shared" si="698"/>
        <v>19/03/2025</v>
      </c>
      <c r="B1393" t="str">
        <f t="shared" si="691"/>
        <v>ENTRADA</v>
      </c>
      <c r="C1393" t="str">
        <f t="shared" si="699"/>
        <v>NFSE</v>
      </c>
      <c r="D1393" t="str">
        <f t="shared" si="695"/>
        <v>2802</v>
      </c>
      <c r="E1393" t="str">
        <f t="shared" si="700"/>
        <v>COM</v>
      </c>
      <c r="F1393" t="str">
        <f t="shared" si="696"/>
        <v>FARMÁCIA INDIANA LJ 1 (10126)</v>
      </c>
      <c r="G1393" t="str">
        <f t="shared" si="697"/>
        <v>Serv.Prest. 02/03/2025 a 09/03/2025 - RPS: 574 - NFSe: 2802</v>
      </c>
      <c r="H1393" t="str">
        <f t="shared" si="701"/>
        <v>19/03/2025</v>
      </c>
      <c r="I1393" t="str">
        <f t="shared" si="702"/>
        <v>11/03/2025</v>
      </c>
      <c r="J1393" t="str">
        <f t="shared" si="703"/>
        <v>19/03/2025</v>
      </c>
      <c r="M1393">
        <v>303</v>
      </c>
      <c r="N1393" t="str">
        <f t="shared" si="704"/>
        <v>RECEITAS COM ENTREGAS</v>
      </c>
      <c r="P1393">
        <v>130.97</v>
      </c>
      <c r="Q1393" t="str">
        <f>"FARMÁCIA INDIANA LJ 175 (10076)"</f>
        <v>FARMÁCIA INDIANA LJ 175 (10076)</v>
      </c>
      <c r="R1393" t="str">
        <f t="shared" si="705"/>
        <v>RECEITAS COM ENTREGAS (303)</v>
      </c>
      <c r="S1393">
        <v>1226</v>
      </c>
      <c r="T1393">
        <v>977</v>
      </c>
      <c r="U1393" t="s">
        <v>19</v>
      </c>
    </row>
    <row r="1394" spans="1:21">
      <c r="A1394" t="str">
        <f t="shared" si="698"/>
        <v>19/03/2025</v>
      </c>
      <c r="B1394" t="str">
        <f t="shared" si="691"/>
        <v>ENTRADA</v>
      </c>
      <c r="C1394" t="str">
        <f t="shared" si="699"/>
        <v>NFSE</v>
      </c>
      <c r="D1394" t="str">
        <f t="shared" si="695"/>
        <v>2802</v>
      </c>
      <c r="E1394" t="str">
        <f t="shared" si="700"/>
        <v>COM</v>
      </c>
      <c r="F1394" t="str">
        <f t="shared" si="696"/>
        <v>FARMÁCIA INDIANA LJ 1 (10126)</v>
      </c>
      <c r="G1394" t="str">
        <f t="shared" si="697"/>
        <v>Serv.Prest. 02/03/2025 a 09/03/2025 - RPS: 574 - NFSe: 2802</v>
      </c>
      <c r="H1394" t="str">
        <f t="shared" si="701"/>
        <v>19/03/2025</v>
      </c>
      <c r="I1394" t="str">
        <f t="shared" si="702"/>
        <v>11/03/2025</v>
      </c>
      <c r="J1394" t="str">
        <f t="shared" si="703"/>
        <v>19/03/2025</v>
      </c>
      <c r="M1394">
        <v>303</v>
      </c>
      <c r="N1394" t="str">
        <f t="shared" si="704"/>
        <v>RECEITAS COM ENTREGAS</v>
      </c>
      <c r="P1394">
        <v>103.11</v>
      </c>
      <c r="Q1394" t="str">
        <f>"FARMÁCIA INDIANA LJ 178 (10077)"</f>
        <v>FARMÁCIA INDIANA LJ 178 (10077)</v>
      </c>
      <c r="R1394" t="str">
        <f t="shared" si="705"/>
        <v>RECEITAS COM ENTREGAS (303)</v>
      </c>
      <c r="S1394">
        <v>1226</v>
      </c>
      <c r="T1394">
        <v>977</v>
      </c>
      <c r="U1394" t="s">
        <v>19</v>
      </c>
    </row>
    <row r="1395" spans="1:21">
      <c r="A1395" t="str">
        <f t="shared" si="698"/>
        <v>19/03/2025</v>
      </c>
      <c r="B1395" t="str">
        <f t="shared" si="691"/>
        <v>ENTRADA</v>
      </c>
      <c r="C1395" t="str">
        <f t="shared" si="699"/>
        <v>NFSE</v>
      </c>
      <c r="D1395" t="str">
        <f t="shared" si="695"/>
        <v>2802</v>
      </c>
      <c r="E1395" t="str">
        <f t="shared" si="700"/>
        <v>COM</v>
      </c>
      <c r="F1395" t="str">
        <f t="shared" si="696"/>
        <v>FARMÁCIA INDIANA LJ 1 (10126)</v>
      </c>
      <c r="G1395" t="str">
        <f t="shared" si="697"/>
        <v>Serv.Prest. 02/03/2025 a 09/03/2025 - RPS: 574 - NFSe: 2802</v>
      </c>
      <c r="H1395" t="str">
        <f t="shared" si="701"/>
        <v>19/03/2025</v>
      </c>
      <c r="I1395" t="str">
        <f t="shared" si="702"/>
        <v>11/03/2025</v>
      </c>
      <c r="J1395" t="str">
        <f t="shared" si="703"/>
        <v>19/03/2025</v>
      </c>
      <c r="M1395">
        <v>303</v>
      </c>
      <c r="N1395" t="str">
        <f t="shared" si="704"/>
        <v>RECEITAS COM ENTREGAS</v>
      </c>
      <c r="P1395">
        <v>79.42</v>
      </c>
      <c r="Q1395" t="str">
        <f>"FARMÁCIA INDIANA LJ 182 (10079)"</f>
        <v>FARMÁCIA INDIANA LJ 182 (10079)</v>
      </c>
      <c r="R1395" t="str">
        <f t="shared" si="705"/>
        <v>RECEITAS COM ENTREGAS (303)</v>
      </c>
      <c r="S1395">
        <v>1226</v>
      </c>
      <c r="T1395">
        <v>977</v>
      </c>
      <c r="U1395" t="s">
        <v>19</v>
      </c>
    </row>
    <row r="1396" spans="1:21">
      <c r="A1396" t="str">
        <f t="shared" si="698"/>
        <v>19/03/2025</v>
      </c>
      <c r="B1396" t="str">
        <f t="shared" si="691"/>
        <v>ENTRADA</v>
      </c>
      <c r="C1396" t="str">
        <f t="shared" si="699"/>
        <v>NFSE</v>
      </c>
      <c r="D1396" t="str">
        <f t="shared" si="695"/>
        <v>2802</v>
      </c>
      <c r="E1396" t="str">
        <f t="shared" si="700"/>
        <v>COM</v>
      </c>
      <c r="F1396" t="str">
        <f t="shared" si="696"/>
        <v>FARMÁCIA INDIANA LJ 1 (10126)</v>
      </c>
      <c r="G1396" t="str">
        <f t="shared" si="697"/>
        <v>Serv.Prest. 02/03/2025 a 09/03/2025 - RPS: 574 - NFSe: 2802</v>
      </c>
      <c r="H1396" t="str">
        <f t="shared" si="701"/>
        <v>19/03/2025</v>
      </c>
      <c r="I1396" t="str">
        <f t="shared" si="702"/>
        <v>11/03/2025</v>
      </c>
      <c r="J1396" t="str">
        <f t="shared" si="703"/>
        <v>19/03/2025</v>
      </c>
      <c r="M1396">
        <v>303</v>
      </c>
      <c r="N1396" t="str">
        <f t="shared" si="704"/>
        <v>RECEITAS COM ENTREGAS</v>
      </c>
      <c r="P1396">
        <v>40.409999999999997</v>
      </c>
      <c r="Q1396" t="str">
        <f>"FARMÁCIA INDIANA LJ 184 (10080)"</f>
        <v>FARMÁCIA INDIANA LJ 184 (10080)</v>
      </c>
      <c r="R1396" t="str">
        <f t="shared" si="705"/>
        <v>RECEITAS COM ENTREGAS (303)</v>
      </c>
      <c r="S1396">
        <v>1226</v>
      </c>
      <c r="T1396">
        <v>977</v>
      </c>
      <c r="U1396" t="s">
        <v>19</v>
      </c>
    </row>
    <row r="1397" spans="1:21">
      <c r="A1397" t="str">
        <f t="shared" si="698"/>
        <v>19/03/2025</v>
      </c>
      <c r="B1397" t="str">
        <f t="shared" si="691"/>
        <v>ENTRADA</v>
      </c>
      <c r="C1397" t="str">
        <f t="shared" si="699"/>
        <v>NFSE</v>
      </c>
      <c r="D1397" t="str">
        <f t="shared" si="695"/>
        <v>2802</v>
      </c>
      <c r="E1397" t="str">
        <f t="shared" si="700"/>
        <v>COM</v>
      </c>
      <c r="F1397" t="str">
        <f t="shared" si="696"/>
        <v>FARMÁCIA INDIANA LJ 1 (10126)</v>
      </c>
      <c r="G1397" t="str">
        <f t="shared" si="697"/>
        <v>Serv.Prest. 02/03/2025 a 09/03/2025 - RPS: 574 - NFSe: 2802</v>
      </c>
      <c r="H1397" t="str">
        <f t="shared" si="701"/>
        <v>19/03/2025</v>
      </c>
      <c r="I1397" t="str">
        <f t="shared" si="702"/>
        <v>11/03/2025</v>
      </c>
      <c r="J1397" t="str">
        <f t="shared" si="703"/>
        <v>19/03/2025</v>
      </c>
      <c r="M1397">
        <v>303</v>
      </c>
      <c r="N1397" t="str">
        <f t="shared" si="704"/>
        <v>RECEITAS COM ENTREGAS</v>
      </c>
      <c r="P1397">
        <v>79.42</v>
      </c>
      <c r="Q1397" t="str">
        <f>"FARMÁCIA INDIANA LJ 186 (10081)"</f>
        <v>FARMÁCIA INDIANA LJ 186 (10081)</v>
      </c>
      <c r="R1397" t="str">
        <f t="shared" si="705"/>
        <v>RECEITAS COM ENTREGAS (303)</v>
      </c>
      <c r="S1397">
        <v>1226</v>
      </c>
      <c r="T1397">
        <v>977</v>
      </c>
      <c r="U1397" t="s">
        <v>19</v>
      </c>
    </row>
    <row r="1398" spans="1:21">
      <c r="A1398" t="str">
        <f t="shared" si="698"/>
        <v>19/03/2025</v>
      </c>
      <c r="B1398" t="str">
        <f t="shared" si="691"/>
        <v>ENTRADA</v>
      </c>
      <c r="C1398" t="str">
        <f t="shared" si="699"/>
        <v>NFSE</v>
      </c>
      <c r="D1398" t="str">
        <f t="shared" si="695"/>
        <v>2802</v>
      </c>
      <c r="E1398" t="str">
        <f t="shared" si="700"/>
        <v>COM</v>
      </c>
      <c r="F1398" t="str">
        <f t="shared" si="696"/>
        <v>FARMÁCIA INDIANA LJ 1 (10126)</v>
      </c>
      <c r="G1398" t="str">
        <f t="shared" si="697"/>
        <v>Serv.Prest. 02/03/2025 a 09/03/2025 - RPS: 574 - NFSe: 2802</v>
      </c>
      <c r="H1398" t="str">
        <f t="shared" si="701"/>
        <v>19/03/2025</v>
      </c>
      <c r="I1398" t="str">
        <f t="shared" si="702"/>
        <v>11/03/2025</v>
      </c>
      <c r="J1398" t="str">
        <f t="shared" si="703"/>
        <v>19/03/2025</v>
      </c>
      <c r="M1398">
        <v>303</v>
      </c>
      <c r="N1398" t="str">
        <f t="shared" si="704"/>
        <v>RECEITAS COM ENTREGAS</v>
      </c>
      <c r="P1398">
        <v>91.96</v>
      </c>
      <c r="Q1398" t="str">
        <f>"FARMÁCIA INDIANA LJ 192 (10082)"</f>
        <v>FARMÁCIA INDIANA LJ 192 (10082)</v>
      </c>
      <c r="R1398" t="str">
        <f t="shared" si="705"/>
        <v>RECEITAS COM ENTREGAS (303)</v>
      </c>
      <c r="S1398">
        <v>1226</v>
      </c>
      <c r="T1398">
        <v>977</v>
      </c>
      <c r="U1398" t="s">
        <v>19</v>
      </c>
    </row>
    <row r="1399" spans="1:21">
      <c r="A1399" t="str">
        <f t="shared" si="698"/>
        <v>19/03/2025</v>
      </c>
      <c r="B1399" t="str">
        <f t="shared" si="691"/>
        <v>ENTRADA</v>
      </c>
      <c r="C1399" t="str">
        <f t="shared" si="699"/>
        <v>NFSE</v>
      </c>
      <c r="D1399" t="str">
        <f t="shared" si="695"/>
        <v>2802</v>
      </c>
      <c r="E1399" t="str">
        <f t="shared" si="700"/>
        <v>COM</v>
      </c>
      <c r="F1399" t="str">
        <f t="shared" si="696"/>
        <v>FARMÁCIA INDIANA LJ 1 (10126)</v>
      </c>
      <c r="G1399" t="str">
        <f t="shared" si="697"/>
        <v>Serv.Prest. 02/03/2025 a 09/03/2025 - RPS: 574 - NFSe: 2802</v>
      </c>
      <c r="H1399" t="str">
        <f t="shared" si="701"/>
        <v>19/03/2025</v>
      </c>
      <c r="I1399" t="str">
        <f t="shared" si="702"/>
        <v>11/03/2025</v>
      </c>
      <c r="J1399" t="str">
        <f t="shared" si="703"/>
        <v>19/03/2025</v>
      </c>
      <c r="M1399">
        <v>303</v>
      </c>
      <c r="N1399" t="str">
        <f t="shared" si="704"/>
        <v>RECEITAS COM ENTREGAS</v>
      </c>
      <c r="P1399">
        <v>40.409999999999997</v>
      </c>
      <c r="Q1399" t="str">
        <f>"FARMÁCIA INDIANA LJ 195 (10083)"</f>
        <v>FARMÁCIA INDIANA LJ 195 (10083)</v>
      </c>
      <c r="R1399" t="str">
        <f t="shared" si="705"/>
        <v>RECEITAS COM ENTREGAS (303)</v>
      </c>
      <c r="S1399">
        <v>1226</v>
      </c>
      <c r="T1399">
        <v>977</v>
      </c>
      <c r="U1399" t="s">
        <v>19</v>
      </c>
    </row>
    <row r="1400" spans="1:21">
      <c r="A1400" t="str">
        <f t="shared" si="698"/>
        <v>19/03/2025</v>
      </c>
      <c r="B1400" t="str">
        <f t="shared" si="691"/>
        <v>ENTRADA</v>
      </c>
      <c r="C1400" t="str">
        <f t="shared" si="699"/>
        <v>NFSE</v>
      </c>
      <c r="D1400" t="str">
        <f t="shared" si="695"/>
        <v>2802</v>
      </c>
      <c r="E1400" t="str">
        <f t="shared" si="700"/>
        <v>COM</v>
      </c>
      <c r="F1400" t="str">
        <f t="shared" si="696"/>
        <v>FARMÁCIA INDIANA LJ 1 (10126)</v>
      </c>
      <c r="G1400" t="str">
        <f t="shared" si="697"/>
        <v>Serv.Prest. 02/03/2025 a 09/03/2025 - RPS: 574 - NFSe: 2802</v>
      </c>
      <c r="H1400" t="str">
        <f t="shared" si="701"/>
        <v>19/03/2025</v>
      </c>
      <c r="I1400" t="str">
        <f t="shared" si="702"/>
        <v>11/03/2025</v>
      </c>
      <c r="J1400" t="str">
        <f t="shared" si="703"/>
        <v>19/03/2025</v>
      </c>
      <c r="M1400">
        <v>303</v>
      </c>
      <c r="N1400" t="str">
        <f t="shared" si="704"/>
        <v>RECEITAS COM ENTREGAS</v>
      </c>
      <c r="P1400">
        <v>158.84</v>
      </c>
      <c r="Q1400" t="str">
        <f>"FARMÁCIA INDIANA LJ 202 (10085)"</f>
        <v>FARMÁCIA INDIANA LJ 202 (10085)</v>
      </c>
      <c r="R1400" t="str">
        <f t="shared" si="705"/>
        <v>RECEITAS COM ENTREGAS (303)</v>
      </c>
      <c r="S1400">
        <v>1226</v>
      </c>
      <c r="T1400">
        <v>977</v>
      </c>
      <c r="U1400" t="s">
        <v>19</v>
      </c>
    </row>
    <row r="1401" spans="1:21">
      <c r="A1401" t="str">
        <f t="shared" si="698"/>
        <v>19/03/2025</v>
      </c>
      <c r="B1401" t="str">
        <f t="shared" si="691"/>
        <v>ENTRADA</v>
      </c>
      <c r="C1401" t="str">
        <f t="shared" si="699"/>
        <v>NFSE</v>
      </c>
      <c r="D1401" t="str">
        <f t="shared" si="695"/>
        <v>2802</v>
      </c>
      <c r="E1401" t="str">
        <f t="shared" si="700"/>
        <v>COM</v>
      </c>
      <c r="F1401" t="str">
        <f t="shared" si="696"/>
        <v>FARMÁCIA INDIANA LJ 1 (10126)</v>
      </c>
      <c r="G1401" t="str">
        <f t="shared" si="697"/>
        <v>Serv.Prest. 02/03/2025 a 09/03/2025 - RPS: 574 - NFSe: 2802</v>
      </c>
      <c r="H1401" t="str">
        <f t="shared" si="701"/>
        <v>19/03/2025</v>
      </c>
      <c r="I1401" t="str">
        <f t="shared" si="702"/>
        <v>11/03/2025</v>
      </c>
      <c r="J1401" t="str">
        <f t="shared" si="703"/>
        <v>19/03/2025</v>
      </c>
      <c r="M1401">
        <v>303</v>
      </c>
      <c r="N1401" t="str">
        <f t="shared" si="704"/>
        <v>RECEITAS COM ENTREGAS</v>
      </c>
      <c r="P1401">
        <v>107.29</v>
      </c>
      <c r="Q1401" t="str">
        <f>"FARMÁCIA INDIANA LJ 204 (10087)"</f>
        <v>FARMÁCIA INDIANA LJ 204 (10087)</v>
      </c>
      <c r="R1401" t="str">
        <f t="shared" si="705"/>
        <v>RECEITAS COM ENTREGAS (303)</v>
      </c>
      <c r="S1401">
        <v>1226</v>
      </c>
      <c r="T1401">
        <v>977</v>
      </c>
      <c r="U1401" t="s">
        <v>19</v>
      </c>
    </row>
    <row r="1402" spans="1:21">
      <c r="A1402" t="str">
        <f t="shared" si="698"/>
        <v>19/03/2025</v>
      </c>
      <c r="B1402" t="str">
        <f t="shared" si="691"/>
        <v>ENTRADA</v>
      </c>
      <c r="C1402" t="str">
        <f t="shared" si="699"/>
        <v>NFSE</v>
      </c>
      <c r="D1402" t="str">
        <f t="shared" si="695"/>
        <v>2802</v>
      </c>
      <c r="E1402" t="str">
        <f t="shared" si="700"/>
        <v>COM</v>
      </c>
      <c r="F1402" t="str">
        <f t="shared" si="696"/>
        <v>FARMÁCIA INDIANA LJ 1 (10126)</v>
      </c>
      <c r="G1402" t="str">
        <f t="shared" si="697"/>
        <v>Serv.Prest. 02/03/2025 a 09/03/2025 - RPS: 574 - NFSe: 2802</v>
      </c>
      <c r="H1402" t="str">
        <f t="shared" si="701"/>
        <v>19/03/2025</v>
      </c>
      <c r="I1402" t="str">
        <f t="shared" si="702"/>
        <v>11/03/2025</v>
      </c>
      <c r="J1402" t="str">
        <f t="shared" si="703"/>
        <v>19/03/2025</v>
      </c>
      <c r="M1402">
        <v>303</v>
      </c>
      <c r="N1402" t="str">
        <f t="shared" si="704"/>
        <v>RECEITAS COM ENTREGAS</v>
      </c>
      <c r="P1402">
        <v>107.29</v>
      </c>
      <c r="Q1402" t="str">
        <f>"FARMÁCIA INDIANA LJ 207 (10088)"</f>
        <v>FARMÁCIA INDIANA LJ 207 (10088)</v>
      </c>
      <c r="R1402" t="str">
        <f t="shared" si="705"/>
        <v>RECEITAS COM ENTREGAS (303)</v>
      </c>
      <c r="S1402">
        <v>1226</v>
      </c>
      <c r="T1402">
        <v>977</v>
      </c>
      <c r="U1402" t="s">
        <v>19</v>
      </c>
    </row>
    <row r="1403" spans="1:21">
      <c r="A1403" t="str">
        <f t="shared" si="698"/>
        <v>19/03/2025</v>
      </c>
      <c r="B1403" t="str">
        <f t="shared" si="691"/>
        <v>ENTRADA</v>
      </c>
      <c r="C1403" t="str">
        <f t="shared" si="699"/>
        <v>NFSE</v>
      </c>
      <c r="D1403" t="str">
        <f t="shared" si="695"/>
        <v>2802</v>
      </c>
      <c r="E1403" t="str">
        <f t="shared" si="700"/>
        <v>COM</v>
      </c>
      <c r="F1403" t="str">
        <f t="shared" si="696"/>
        <v>FARMÁCIA INDIANA LJ 1 (10126)</v>
      </c>
      <c r="G1403" t="str">
        <f t="shared" si="697"/>
        <v>Serv.Prest. 02/03/2025 a 09/03/2025 - RPS: 574 - NFSe: 2802</v>
      </c>
      <c r="H1403" t="str">
        <f t="shared" si="701"/>
        <v>19/03/2025</v>
      </c>
      <c r="I1403" t="str">
        <f t="shared" si="702"/>
        <v>11/03/2025</v>
      </c>
      <c r="J1403" t="str">
        <f t="shared" si="703"/>
        <v>19/03/2025</v>
      </c>
      <c r="M1403">
        <v>303</v>
      </c>
      <c r="N1403" t="str">
        <f t="shared" si="704"/>
        <v>RECEITAS COM ENTREGAS</v>
      </c>
      <c r="P1403">
        <v>125.4</v>
      </c>
      <c r="Q1403" t="str">
        <f>"FARMÁCIA INDIANA LJ 209 (10089)"</f>
        <v>FARMÁCIA INDIANA LJ 209 (10089)</v>
      </c>
      <c r="R1403" t="str">
        <f t="shared" si="705"/>
        <v>RECEITAS COM ENTREGAS (303)</v>
      </c>
      <c r="S1403">
        <v>1226</v>
      </c>
      <c r="T1403">
        <v>977</v>
      </c>
      <c r="U1403" t="s">
        <v>19</v>
      </c>
    </row>
    <row r="1404" spans="1:21">
      <c r="A1404" t="str">
        <f t="shared" si="698"/>
        <v>19/03/2025</v>
      </c>
      <c r="B1404" t="str">
        <f t="shared" si="691"/>
        <v>ENTRADA</v>
      </c>
      <c r="C1404" t="str">
        <f t="shared" si="699"/>
        <v>NFSE</v>
      </c>
      <c r="D1404" t="str">
        <f t="shared" si="695"/>
        <v>2802</v>
      </c>
      <c r="E1404" t="str">
        <f t="shared" si="700"/>
        <v>COM</v>
      </c>
      <c r="F1404" t="str">
        <f t="shared" si="696"/>
        <v>FARMÁCIA INDIANA LJ 1 (10126)</v>
      </c>
      <c r="G1404" t="str">
        <f t="shared" si="697"/>
        <v>Serv.Prest. 02/03/2025 a 09/03/2025 - RPS: 574 - NFSe: 2802</v>
      </c>
      <c r="H1404" t="str">
        <f t="shared" si="701"/>
        <v>19/03/2025</v>
      </c>
      <c r="I1404" t="str">
        <f t="shared" si="702"/>
        <v>11/03/2025</v>
      </c>
      <c r="J1404" t="str">
        <f t="shared" si="703"/>
        <v>19/03/2025</v>
      </c>
      <c r="M1404">
        <v>303</v>
      </c>
      <c r="N1404" t="str">
        <f t="shared" si="704"/>
        <v>RECEITAS COM ENTREGAS</v>
      </c>
      <c r="P1404">
        <v>160.22999999999999</v>
      </c>
      <c r="Q1404" t="str">
        <f>"FARMÁCIA INDIANA LJ 219 (10091)"</f>
        <v>FARMÁCIA INDIANA LJ 219 (10091)</v>
      </c>
      <c r="R1404" t="str">
        <f t="shared" si="705"/>
        <v>RECEITAS COM ENTREGAS (303)</v>
      </c>
      <c r="S1404">
        <v>1226</v>
      </c>
      <c r="T1404">
        <v>977</v>
      </c>
      <c r="U1404" t="s">
        <v>19</v>
      </c>
    </row>
    <row r="1405" spans="1:21">
      <c r="A1405" t="str">
        <f t="shared" si="698"/>
        <v>19/03/2025</v>
      </c>
      <c r="B1405" t="str">
        <f t="shared" si="691"/>
        <v>ENTRADA</v>
      </c>
      <c r="C1405" t="str">
        <f t="shared" si="699"/>
        <v>NFSE</v>
      </c>
      <c r="D1405" t="str">
        <f t="shared" si="695"/>
        <v>2802</v>
      </c>
      <c r="E1405" t="str">
        <f t="shared" si="700"/>
        <v>COM</v>
      </c>
      <c r="F1405" t="str">
        <f t="shared" si="696"/>
        <v>FARMÁCIA INDIANA LJ 1 (10126)</v>
      </c>
      <c r="G1405" t="str">
        <f t="shared" si="697"/>
        <v>Serv.Prest. 02/03/2025 a 09/03/2025 - RPS: 574 - NFSe: 2802</v>
      </c>
      <c r="H1405" t="str">
        <f t="shared" si="701"/>
        <v>19/03/2025</v>
      </c>
      <c r="I1405" t="str">
        <f t="shared" si="702"/>
        <v>11/03/2025</v>
      </c>
      <c r="J1405" t="str">
        <f t="shared" si="703"/>
        <v>19/03/2025</v>
      </c>
      <c r="M1405">
        <v>303</v>
      </c>
      <c r="N1405" t="str">
        <f t="shared" si="704"/>
        <v>RECEITAS COM ENTREGAS</v>
      </c>
      <c r="P1405">
        <v>214.57</v>
      </c>
      <c r="Q1405" t="str">
        <f>"FARMÁCIA INDIANA LJ 220 (10092)"</f>
        <v>FARMÁCIA INDIANA LJ 220 (10092)</v>
      </c>
      <c r="R1405" t="str">
        <f t="shared" si="705"/>
        <v>RECEITAS COM ENTREGAS (303)</v>
      </c>
      <c r="S1405">
        <v>1226</v>
      </c>
      <c r="T1405">
        <v>977</v>
      </c>
      <c r="U1405" t="s">
        <v>19</v>
      </c>
    </row>
    <row r="1406" spans="1:21">
      <c r="A1406" t="str">
        <f t="shared" si="698"/>
        <v>19/03/2025</v>
      </c>
      <c r="B1406" t="str">
        <f t="shared" si="691"/>
        <v>ENTRADA</v>
      </c>
      <c r="C1406" t="str">
        <f t="shared" si="699"/>
        <v>NFSE</v>
      </c>
      <c r="D1406" t="str">
        <f t="shared" si="695"/>
        <v>2802</v>
      </c>
      <c r="E1406" t="str">
        <f t="shared" si="700"/>
        <v>COM</v>
      </c>
      <c r="F1406" t="str">
        <f t="shared" si="696"/>
        <v>FARMÁCIA INDIANA LJ 1 (10126)</v>
      </c>
      <c r="G1406" t="str">
        <f t="shared" si="697"/>
        <v>Serv.Prest. 02/03/2025 a 09/03/2025 - RPS: 574 - NFSe: 2802</v>
      </c>
      <c r="H1406" t="str">
        <f t="shared" si="701"/>
        <v>19/03/2025</v>
      </c>
      <c r="I1406" t="str">
        <f t="shared" si="702"/>
        <v>11/03/2025</v>
      </c>
      <c r="J1406" t="str">
        <f t="shared" si="703"/>
        <v>19/03/2025</v>
      </c>
      <c r="M1406">
        <v>303</v>
      </c>
      <c r="N1406" t="str">
        <f t="shared" si="704"/>
        <v>RECEITAS COM ENTREGAS</v>
      </c>
      <c r="P1406">
        <v>183.92</v>
      </c>
      <c r="Q1406" t="str">
        <f>"FARMÁCIA INDIANA LJ 185 (10141)"</f>
        <v>FARMÁCIA INDIANA LJ 185 (10141)</v>
      </c>
      <c r="R1406" t="str">
        <f t="shared" si="705"/>
        <v>RECEITAS COM ENTREGAS (303)</v>
      </c>
      <c r="S1406">
        <v>1226</v>
      </c>
      <c r="T1406">
        <v>977</v>
      </c>
      <c r="U1406" t="s">
        <v>19</v>
      </c>
    </row>
    <row r="1407" spans="1:21">
      <c r="A1407" t="str">
        <f t="shared" si="698"/>
        <v>19/03/2025</v>
      </c>
      <c r="B1407" t="str">
        <f t="shared" si="691"/>
        <v>ENTRADA</v>
      </c>
      <c r="C1407" t="str">
        <f t="shared" si="699"/>
        <v>NFSE</v>
      </c>
      <c r="D1407" t="str">
        <f t="shared" si="695"/>
        <v>2802</v>
      </c>
      <c r="E1407" t="str">
        <f t="shared" si="700"/>
        <v>COM</v>
      </c>
      <c r="F1407" t="str">
        <f t="shared" si="696"/>
        <v>FARMÁCIA INDIANA LJ 1 (10126)</v>
      </c>
      <c r="G1407" t="str">
        <f t="shared" si="697"/>
        <v>Serv.Prest. 02/03/2025 a 09/03/2025 - RPS: 574 - NFSe: 2802</v>
      </c>
      <c r="H1407" t="str">
        <f t="shared" si="701"/>
        <v>19/03/2025</v>
      </c>
      <c r="I1407" t="str">
        <f t="shared" si="702"/>
        <v>11/03/2025</v>
      </c>
      <c r="J1407" t="str">
        <f t="shared" si="703"/>
        <v>19/03/2025</v>
      </c>
      <c r="M1407">
        <v>303</v>
      </c>
      <c r="N1407" t="str">
        <f t="shared" si="704"/>
        <v>RECEITAS COM ENTREGAS</v>
      </c>
      <c r="P1407">
        <v>562.91</v>
      </c>
      <c r="Q1407" t="str">
        <f>"FARMÁCIA INDIANA LJ 172 (10161)"</f>
        <v>FARMÁCIA INDIANA LJ 172 (10161)</v>
      </c>
      <c r="R1407" t="str">
        <f t="shared" si="705"/>
        <v>RECEITAS COM ENTREGAS (303)</v>
      </c>
      <c r="S1407">
        <v>1226</v>
      </c>
      <c r="T1407">
        <v>977</v>
      </c>
      <c r="U1407" t="s">
        <v>19</v>
      </c>
    </row>
    <row r="1408" spans="1:21">
      <c r="A1408" t="str">
        <f t="shared" ref="A1408:A1416" si="706">("19/03/2025")</f>
        <v>19/03/2025</v>
      </c>
      <c r="B1408" t="str">
        <f t="shared" si="691"/>
        <v>ENTRADA</v>
      </c>
      <c r="C1408" t="str">
        <f t="shared" si="699"/>
        <v>NFSE</v>
      </c>
      <c r="D1408" t="str">
        <f>"2805"</f>
        <v>2805</v>
      </c>
      <c r="E1408" t="str">
        <f t="shared" si="700"/>
        <v>COM</v>
      </c>
      <c r="F1408" t="str">
        <f>"DELTA LOJA 2 (10123)"</f>
        <v>DELTA LOJA 2 (10123)</v>
      </c>
      <c r="G1408" t="str">
        <f>"Serv.Prest. 10/03/2025 a 16/03/2025 - RPS: 577 - NFSe: 2805"</f>
        <v>Serv.Prest. 10/03/2025 a 16/03/2025 - RPS: 577 - NFSe: 2805</v>
      </c>
      <c r="H1408" t="str">
        <f t="shared" ref="H1408:H1414" si="707">("19/03/2025")</f>
        <v>19/03/2025</v>
      </c>
      <c r="I1408" t="str">
        <f>("17/03/2025")</f>
        <v>17/03/2025</v>
      </c>
      <c r="J1408" t="str">
        <f t="shared" ref="J1408:J1416" si="708">("19/03/2025")</f>
        <v>19/03/2025</v>
      </c>
      <c r="K1408">
        <v>480.48</v>
      </c>
      <c r="L1408">
        <v>480.48</v>
      </c>
      <c r="M1408">
        <v>303</v>
      </c>
      <c r="N1408" t="str">
        <f t="shared" si="704"/>
        <v>RECEITAS COM ENTREGAS</v>
      </c>
      <c r="O1408">
        <v>480.48</v>
      </c>
      <c r="R1408" t="str">
        <f t="shared" si="705"/>
        <v>RECEITAS COM ENTREGAS (303)</v>
      </c>
      <c r="S1408">
        <v>1227</v>
      </c>
      <c r="T1408">
        <v>987</v>
      </c>
      <c r="U1408" t="s">
        <v>19</v>
      </c>
    </row>
    <row r="1409" spans="1:21">
      <c r="A1409" t="str">
        <f t="shared" si="706"/>
        <v>19/03/2025</v>
      </c>
      <c r="B1409" t="str">
        <f t="shared" ref="B1409:B1411" si="709">"ENTRADA"</f>
        <v>ENTRADA</v>
      </c>
      <c r="C1409" t="str">
        <f t="shared" si="699"/>
        <v>NFSE</v>
      </c>
      <c r="D1409" t="str">
        <f>"2805"</f>
        <v>2805</v>
      </c>
      <c r="E1409" t="str">
        <f t="shared" si="700"/>
        <v>COM</v>
      </c>
      <c r="F1409" t="str">
        <f>"DELTA LOJA 2 (10123)"</f>
        <v>DELTA LOJA 2 (10123)</v>
      </c>
      <c r="G1409" t="str">
        <f>"Serv.Prest. 10/03/2025 a 16/03/2025 - RPS: 577 - NFSe: 2805"</f>
        <v>Serv.Prest. 10/03/2025 a 16/03/2025 - RPS: 577 - NFSe: 2805</v>
      </c>
      <c r="H1409" t="str">
        <f t="shared" si="707"/>
        <v>19/03/2025</v>
      </c>
      <c r="I1409" t="str">
        <f>("17/03/2025")</f>
        <v>17/03/2025</v>
      </c>
      <c r="J1409" t="str">
        <f t="shared" si="708"/>
        <v>19/03/2025</v>
      </c>
      <c r="M1409">
        <v>303</v>
      </c>
      <c r="N1409" t="str">
        <f t="shared" si="704"/>
        <v>RECEITAS COM ENTREGAS</v>
      </c>
      <c r="P1409">
        <v>480.48</v>
      </c>
      <c r="Q1409" t="str">
        <f>"DELTA LOJA 2 (10123)"</f>
        <v>DELTA LOJA 2 (10123)</v>
      </c>
      <c r="R1409" t="str">
        <f t="shared" si="705"/>
        <v>RECEITAS COM ENTREGAS (303)</v>
      </c>
      <c r="S1409">
        <v>1227</v>
      </c>
      <c r="T1409">
        <v>987</v>
      </c>
      <c r="U1409" t="s">
        <v>19</v>
      </c>
    </row>
    <row r="1410" spans="1:21">
      <c r="A1410" t="str">
        <f t="shared" si="706"/>
        <v>19/03/2025</v>
      </c>
      <c r="B1410" t="str">
        <f t="shared" si="709"/>
        <v>ENTRADA</v>
      </c>
      <c r="C1410" t="str">
        <f t="shared" si="699"/>
        <v>NFSE</v>
      </c>
      <c r="D1410" t="str">
        <f>"2807"</f>
        <v>2807</v>
      </c>
      <c r="E1410" t="str">
        <f t="shared" si="700"/>
        <v>COM</v>
      </c>
      <c r="F1410" t="str">
        <f>"JAL FARMACIA E DROGARIA LJ 1 (10137)"</f>
        <v>JAL FARMACIA E DROGARIA LJ 1 (10137)</v>
      </c>
      <c r="G1410" t="str">
        <f>"Serv.Prest. 10/03/2025 a 16/03/2025 - RPS: 579 - NFSe: 2807"</f>
        <v>Serv.Prest. 10/03/2025 a 16/03/2025 - RPS: 579 - NFSe: 2807</v>
      </c>
      <c r="H1410" t="str">
        <f t="shared" si="707"/>
        <v>19/03/2025</v>
      </c>
      <c r="I1410" t="str">
        <f>("17/03/2025")</f>
        <v>17/03/2025</v>
      </c>
      <c r="J1410" t="str">
        <f t="shared" si="708"/>
        <v>19/03/2025</v>
      </c>
      <c r="K1410">
        <v>417.6</v>
      </c>
      <c r="L1410">
        <v>417.6</v>
      </c>
      <c r="M1410">
        <v>303</v>
      </c>
      <c r="N1410" t="str">
        <f t="shared" si="704"/>
        <v>RECEITAS COM ENTREGAS</v>
      </c>
      <c r="O1410">
        <v>417.6</v>
      </c>
      <c r="R1410" t="str">
        <f t="shared" si="705"/>
        <v>RECEITAS COM ENTREGAS (303)</v>
      </c>
      <c r="S1410">
        <v>1228</v>
      </c>
      <c r="T1410">
        <v>989</v>
      </c>
      <c r="U1410" t="s">
        <v>19</v>
      </c>
    </row>
    <row r="1411" spans="1:21">
      <c r="A1411" t="str">
        <f t="shared" si="706"/>
        <v>19/03/2025</v>
      </c>
      <c r="B1411" t="str">
        <f t="shared" si="709"/>
        <v>ENTRADA</v>
      </c>
      <c r="C1411" t="str">
        <f t="shared" si="699"/>
        <v>NFSE</v>
      </c>
      <c r="D1411" t="str">
        <f>"2807"</f>
        <v>2807</v>
      </c>
      <c r="E1411" t="str">
        <f t="shared" si="700"/>
        <v>COM</v>
      </c>
      <c r="F1411" t="str">
        <f>"JAL FARMACIA E DROGARIA LJ 1 (10137)"</f>
        <v>JAL FARMACIA E DROGARIA LJ 1 (10137)</v>
      </c>
      <c r="G1411" t="str">
        <f>"Serv.Prest. 10/03/2025 a 16/03/2025 - RPS: 579 - NFSe: 2807"</f>
        <v>Serv.Prest. 10/03/2025 a 16/03/2025 - RPS: 579 - NFSe: 2807</v>
      </c>
      <c r="H1411" t="str">
        <f t="shared" si="707"/>
        <v>19/03/2025</v>
      </c>
      <c r="I1411" t="str">
        <f>("17/03/2025")</f>
        <v>17/03/2025</v>
      </c>
      <c r="J1411" t="str">
        <f t="shared" si="708"/>
        <v>19/03/2025</v>
      </c>
      <c r="M1411">
        <v>303</v>
      </c>
      <c r="N1411" t="str">
        <f t="shared" si="704"/>
        <v>RECEITAS COM ENTREGAS</v>
      </c>
      <c r="P1411">
        <v>417.6</v>
      </c>
      <c r="Q1411" t="str">
        <f>"JAL FARMACIA E DROGARIA LJ 1 (10137)"</f>
        <v>JAL FARMACIA E DROGARIA LJ 1 (10137)</v>
      </c>
      <c r="R1411" t="str">
        <f t="shared" si="705"/>
        <v>RECEITAS COM ENTREGAS (303)</v>
      </c>
      <c r="S1411">
        <v>1228</v>
      </c>
      <c r="T1411">
        <v>989</v>
      </c>
      <c r="U1411" t="s">
        <v>19</v>
      </c>
    </row>
    <row r="1412" spans="1:21">
      <c r="A1412" t="str">
        <f t="shared" si="706"/>
        <v>19/03/2025</v>
      </c>
      <c r="B1412" t="str">
        <f>"SAÍDA"</f>
        <v>SAÍDA</v>
      </c>
      <c r="C1412" t="str">
        <f>"JUROS"</f>
        <v>JUROS</v>
      </c>
      <c r="D1412" t="str">
        <f>""</f>
        <v/>
      </c>
      <c r="E1412" t="str">
        <f>"CXA"</f>
        <v>CXA</v>
      </c>
      <c r="F1412" t="str">
        <f>""</f>
        <v/>
      </c>
      <c r="G1412" t="str">
        <f>"TAXA BOLETO COMPENSADO"</f>
        <v>TAXA BOLETO COMPENSADO</v>
      </c>
      <c r="H1412" t="str">
        <f t="shared" si="707"/>
        <v>19/03/2025</v>
      </c>
      <c r="I1412" t="str">
        <f>("19/03/2025")</f>
        <v>19/03/2025</v>
      </c>
      <c r="J1412" t="str">
        <f t="shared" si="708"/>
        <v>19/03/2025</v>
      </c>
      <c r="K1412">
        <v>1.7</v>
      </c>
      <c r="L1412">
        <v>1.7</v>
      </c>
      <c r="M1412">
        <v>401</v>
      </c>
      <c r="N1412" t="str">
        <f>"IOF/JUROS/DESP.FINANCEIRA"</f>
        <v>IOF/JUROS/DESP.FINANCEIRA</v>
      </c>
      <c r="O1412">
        <v>1.7</v>
      </c>
      <c r="R1412" t="str">
        <f>"BANCO CORA (102)"</f>
        <v>BANCO CORA (102)</v>
      </c>
      <c r="S1412">
        <v>1241</v>
      </c>
      <c r="T1412">
        <v>0</v>
      </c>
      <c r="U1412" t="s">
        <v>20</v>
      </c>
    </row>
    <row r="1413" spans="1:21">
      <c r="A1413" t="str">
        <f t="shared" si="706"/>
        <v>19/03/2025</v>
      </c>
      <c r="B1413" t="str">
        <f>"SAÍDA"</f>
        <v>SAÍDA</v>
      </c>
      <c r="C1413" t="str">
        <f>"JUROS"</f>
        <v>JUROS</v>
      </c>
      <c r="D1413" t="str">
        <f>""</f>
        <v/>
      </c>
      <c r="E1413" t="str">
        <f>"CXA"</f>
        <v>CXA</v>
      </c>
      <c r="F1413" t="str">
        <f>""</f>
        <v/>
      </c>
      <c r="G1413" t="str">
        <f>"TAXA BOLETO COMPENSADO"</f>
        <v>TAXA BOLETO COMPENSADO</v>
      </c>
      <c r="H1413" t="str">
        <f t="shared" si="707"/>
        <v>19/03/2025</v>
      </c>
      <c r="I1413" t="str">
        <f>("19/03/2025")</f>
        <v>19/03/2025</v>
      </c>
      <c r="J1413" t="str">
        <f t="shared" si="708"/>
        <v>19/03/2025</v>
      </c>
      <c r="K1413">
        <v>1.7</v>
      </c>
      <c r="L1413">
        <v>1.7</v>
      </c>
      <c r="M1413">
        <v>401</v>
      </c>
      <c r="N1413" t="str">
        <f>"IOF/JUROS/DESP.FINANCEIRA"</f>
        <v>IOF/JUROS/DESP.FINANCEIRA</v>
      </c>
      <c r="O1413">
        <v>1.7</v>
      </c>
      <c r="R1413" t="str">
        <f>"BANCO CORA (102)"</f>
        <v>BANCO CORA (102)</v>
      </c>
      <c r="S1413">
        <v>1242</v>
      </c>
      <c r="T1413">
        <v>0</v>
      </c>
      <c r="U1413" t="s">
        <v>20</v>
      </c>
    </row>
    <row r="1414" spans="1:21">
      <c r="A1414" t="str">
        <f t="shared" si="706"/>
        <v>19/03/2025</v>
      </c>
      <c r="B1414" t="str">
        <f>"SAÍDA"</f>
        <v>SAÍDA</v>
      </c>
      <c r="C1414" t="str">
        <f>"JUROS"</f>
        <v>JUROS</v>
      </c>
      <c r="D1414" t="str">
        <f>""</f>
        <v/>
      </c>
      <c r="E1414" t="str">
        <f>"CXA"</f>
        <v>CXA</v>
      </c>
      <c r="F1414" t="str">
        <f>""</f>
        <v/>
      </c>
      <c r="G1414" t="str">
        <f>"TAXA BOLETO COMPENSADO"</f>
        <v>TAXA BOLETO COMPENSADO</v>
      </c>
      <c r="H1414" t="str">
        <f t="shared" si="707"/>
        <v>19/03/2025</v>
      </c>
      <c r="I1414" t="str">
        <f>("19/03/2025")</f>
        <v>19/03/2025</v>
      </c>
      <c r="J1414" t="str">
        <f t="shared" si="708"/>
        <v>19/03/2025</v>
      </c>
      <c r="K1414">
        <v>1.7</v>
      </c>
      <c r="L1414">
        <v>1.7</v>
      </c>
      <c r="M1414">
        <v>401</v>
      </c>
      <c r="N1414" t="str">
        <f>"IOF/JUROS/DESP.FINANCEIRA"</f>
        <v>IOF/JUROS/DESP.FINANCEIRA</v>
      </c>
      <c r="O1414">
        <v>1.7</v>
      </c>
      <c r="R1414" t="str">
        <f>"BANCO CORA (102)"</f>
        <v>BANCO CORA (102)</v>
      </c>
      <c r="S1414">
        <v>1243</v>
      </c>
      <c r="T1414">
        <v>0</v>
      </c>
      <c r="U1414" t="s">
        <v>20</v>
      </c>
    </row>
    <row r="1415" spans="1:21">
      <c r="A1415" t="str">
        <f t="shared" si="706"/>
        <v>19/03/2025</v>
      </c>
      <c r="B1415" t="str">
        <f>"ENTRADA"</f>
        <v>ENTRADA</v>
      </c>
      <c r="C1415" t="str">
        <f t="shared" ref="C1415:C1432" si="710">"NFSE"</f>
        <v>NFSE</v>
      </c>
      <c r="D1415" t="str">
        <f>"2804"</f>
        <v>2804</v>
      </c>
      <c r="E1415" t="str">
        <f t="shared" ref="E1415:E1432" si="711">"COM"</f>
        <v>COM</v>
      </c>
      <c r="F1415" t="str">
        <f>"FARMACIA ECONOMIZE (10103)"</f>
        <v>FARMACIA ECONOMIZE (10103)</v>
      </c>
      <c r="G1415" t="str">
        <f>"Serv.Prest. 24/02/2025 a 02/03/2025 - RPS: 576 - NFSe: 2804"</f>
        <v>Serv.Prest. 24/02/2025 a 02/03/2025 - RPS: 576 - NFSe: 2804</v>
      </c>
      <c r="H1415" t="str">
        <f>("18/03/2025")</f>
        <v>18/03/2025</v>
      </c>
      <c r="I1415" t="str">
        <f t="shared" ref="I1415:I1432" si="712">("17/03/2025")</f>
        <v>17/03/2025</v>
      </c>
      <c r="J1415" t="str">
        <f t="shared" si="708"/>
        <v>19/03/2025</v>
      </c>
      <c r="K1415">
        <v>116.96</v>
      </c>
      <c r="L1415">
        <v>116.96</v>
      </c>
      <c r="M1415">
        <v>303</v>
      </c>
      <c r="N1415" t="str">
        <f t="shared" ref="N1415:N1432" si="713">"RECEITAS COM ENTREGAS"</f>
        <v>RECEITAS COM ENTREGAS</v>
      </c>
      <c r="O1415">
        <v>116.96</v>
      </c>
      <c r="R1415" t="str">
        <f t="shared" ref="R1415:R1432" si="714">"RECEITAS COM ENTREGAS (303)"</f>
        <v>RECEITAS COM ENTREGAS (303)</v>
      </c>
      <c r="S1415">
        <v>1254</v>
      </c>
      <c r="T1415">
        <v>985</v>
      </c>
      <c r="U1415" t="s">
        <v>19</v>
      </c>
    </row>
    <row r="1416" spans="1:21">
      <c r="A1416" t="str">
        <f t="shared" si="706"/>
        <v>19/03/2025</v>
      </c>
      <c r="B1416" t="str">
        <f t="shared" ref="B1416:B1432" si="715">"ENTRADA"</f>
        <v>ENTRADA</v>
      </c>
      <c r="C1416" t="str">
        <f t="shared" si="710"/>
        <v>NFSE</v>
      </c>
      <c r="D1416" t="str">
        <f>"2804"</f>
        <v>2804</v>
      </c>
      <c r="E1416" t="str">
        <f t="shared" si="711"/>
        <v>COM</v>
      </c>
      <c r="F1416" t="str">
        <f>"FARMACIA ECONOMIZE (10103)"</f>
        <v>FARMACIA ECONOMIZE (10103)</v>
      </c>
      <c r="G1416" t="str">
        <f>"Serv.Prest. 24/02/2025 a 02/03/2025 - RPS: 576 - NFSe: 2804"</f>
        <v>Serv.Prest. 24/02/2025 a 02/03/2025 - RPS: 576 - NFSe: 2804</v>
      </c>
      <c r="H1416" t="str">
        <f>("18/03/2025")</f>
        <v>18/03/2025</v>
      </c>
      <c r="I1416" t="str">
        <f t="shared" si="712"/>
        <v>17/03/2025</v>
      </c>
      <c r="J1416" t="str">
        <f t="shared" si="708"/>
        <v>19/03/2025</v>
      </c>
      <c r="M1416">
        <v>303</v>
      </c>
      <c r="N1416" t="str">
        <f t="shared" si="713"/>
        <v>RECEITAS COM ENTREGAS</v>
      </c>
      <c r="P1416">
        <v>116.96</v>
      </c>
      <c r="Q1416" t="str">
        <f>"FARMACIA ECONOMIZE (10103)"</f>
        <v>FARMACIA ECONOMIZE (10103)</v>
      </c>
      <c r="R1416" t="str">
        <f t="shared" si="714"/>
        <v>RECEITAS COM ENTREGAS (303)</v>
      </c>
      <c r="S1416">
        <v>1254</v>
      </c>
      <c r="T1416">
        <v>985</v>
      </c>
      <c r="U1416" t="s">
        <v>19</v>
      </c>
    </row>
    <row r="1417" spans="1:21">
      <c r="A1417" t="str">
        <f t="shared" ref="A1417:A1442" si="716">("20/03/2025")</f>
        <v>20/03/2025</v>
      </c>
      <c r="B1417" t="str">
        <f t="shared" si="715"/>
        <v>ENTRADA</v>
      </c>
      <c r="C1417" t="str">
        <f t="shared" si="710"/>
        <v>NFSE</v>
      </c>
      <c r="D1417" t="str">
        <f>"2806"</f>
        <v>2806</v>
      </c>
      <c r="E1417" t="str">
        <f t="shared" si="711"/>
        <v>COM</v>
      </c>
      <c r="F1417" t="str">
        <f>"FRAN FARMA (10124)"</f>
        <v>FRAN FARMA (10124)</v>
      </c>
      <c r="G1417" t="str">
        <f>"Serv.Prest. 10/03/2025 a 16/03/2025 - RPS: 578 - NFSe: 2806"</f>
        <v>Serv.Prest. 10/03/2025 a 16/03/2025 - RPS: 578 - NFSe: 2806</v>
      </c>
      <c r="H1417" t="str">
        <f t="shared" ref="H1417:H1430" si="717">("19/03/2025")</f>
        <v>19/03/2025</v>
      </c>
      <c r="I1417" t="str">
        <f t="shared" si="712"/>
        <v>17/03/2025</v>
      </c>
      <c r="J1417" t="str">
        <f t="shared" ref="J1417:J1442" si="718">("20/03/2025")</f>
        <v>20/03/2025</v>
      </c>
      <c r="K1417">
        <v>320</v>
      </c>
      <c r="L1417">
        <v>320</v>
      </c>
      <c r="M1417">
        <v>303</v>
      </c>
      <c r="N1417" t="str">
        <f t="shared" si="713"/>
        <v>RECEITAS COM ENTREGAS</v>
      </c>
      <c r="O1417">
        <v>320</v>
      </c>
      <c r="R1417" t="str">
        <f t="shared" si="714"/>
        <v>RECEITAS COM ENTREGAS (303)</v>
      </c>
      <c r="S1417">
        <v>1229</v>
      </c>
      <c r="T1417">
        <v>988</v>
      </c>
      <c r="U1417" t="s">
        <v>19</v>
      </c>
    </row>
    <row r="1418" spans="1:21">
      <c r="A1418" t="str">
        <f t="shared" si="716"/>
        <v>20/03/2025</v>
      </c>
      <c r="B1418" t="str">
        <f t="shared" si="715"/>
        <v>ENTRADA</v>
      </c>
      <c r="C1418" t="str">
        <f t="shared" si="710"/>
        <v>NFSE</v>
      </c>
      <c r="D1418" t="str">
        <f>"2806"</f>
        <v>2806</v>
      </c>
      <c r="E1418" t="str">
        <f t="shared" si="711"/>
        <v>COM</v>
      </c>
      <c r="F1418" t="str">
        <f>"FRAN FARMA (10124)"</f>
        <v>FRAN FARMA (10124)</v>
      </c>
      <c r="G1418" t="str">
        <f>"Serv.Prest. 10/03/2025 a 16/03/2025 - RPS: 578 - NFSe: 2806"</f>
        <v>Serv.Prest. 10/03/2025 a 16/03/2025 - RPS: 578 - NFSe: 2806</v>
      </c>
      <c r="H1418" t="str">
        <f t="shared" si="717"/>
        <v>19/03/2025</v>
      </c>
      <c r="I1418" t="str">
        <f t="shared" si="712"/>
        <v>17/03/2025</v>
      </c>
      <c r="J1418" t="str">
        <f t="shared" si="718"/>
        <v>20/03/2025</v>
      </c>
      <c r="M1418">
        <v>303</v>
      </c>
      <c r="N1418" t="str">
        <f t="shared" si="713"/>
        <v>RECEITAS COM ENTREGAS</v>
      </c>
      <c r="P1418">
        <v>64</v>
      </c>
      <c r="Q1418" t="str">
        <f>"FRAN FARMA (10124)"</f>
        <v>FRAN FARMA (10124)</v>
      </c>
      <c r="R1418" t="str">
        <f t="shared" si="714"/>
        <v>RECEITAS COM ENTREGAS (303)</v>
      </c>
      <c r="S1418">
        <v>1229</v>
      </c>
      <c r="T1418">
        <v>988</v>
      </c>
      <c r="U1418" t="s">
        <v>19</v>
      </c>
    </row>
    <row r="1419" spans="1:21">
      <c r="A1419" t="str">
        <f t="shared" si="716"/>
        <v>20/03/2025</v>
      </c>
      <c r="B1419" t="str">
        <f t="shared" si="715"/>
        <v>ENTRADA</v>
      </c>
      <c r="C1419" t="str">
        <f t="shared" si="710"/>
        <v>NFSE</v>
      </c>
      <c r="D1419" t="str">
        <f>"2806"</f>
        <v>2806</v>
      </c>
      <c r="E1419" t="str">
        <f t="shared" si="711"/>
        <v>COM</v>
      </c>
      <c r="F1419" t="str">
        <f>"FRAN FARMA (10124)"</f>
        <v>FRAN FARMA (10124)</v>
      </c>
      <c r="G1419" t="str">
        <f>"Serv.Prest. 10/03/2025 a 16/03/2025 - RPS: 578 - NFSe: 2806"</f>
        <v>Serv.Prest. 10/03/2025 a 16/03/2025 - RPS: 578 - NFSe: 2806</v>
      </c>
      <c r="H1419" t="str">
        <f t="shared" si="717"/>
        <v>19/03/2025</v>
      </c>
      <c r="I1419" t="str">
        <f t="shared" si="712"/>
        <v>17/03/2025</v>
      </c>
      <c r="J1419" t="str">
        <f t="shared" si="718"/>
        <v>20/03/2025</v>
      </c>
      <c r="M1419">
        <v>303</v>
      </c>
      <c r="N1419" t="str">
        <f t="shared" si="713"/>
        <v>RECEITAS COM ENTREGAS</v>
      </c>
      <c r="P1419">
        <v>192</v>
      </c>
      <c r="Q1419" t="str">
        <f>"FRAN FARMA LJ 2 (10131)"</f>
        <v>FRAN FARMA LJ 2 (10131)</v>
      </c>
      <c r="R1419" t="str">
        <f t="shared" si="714"/>
        <v>RECEITAS COM ENTREGAS (303)</v>
      </c>
      <c r="S1419">
        <v>1229</v>
      </c>
      <c r="T1419">
        <v>988</v>
      </c>
      <c r="U1419" t="s">
        <v>19</v>
      </c>
    </row>
    <row r="1420" spans="1:21">
      <c r="A1420" t="str">
        <f t="shared" si="716"/>
        <v>20/03/2025</v>
      </c>
      <c r="B1420" t="str">
        <f t="shared" si="715"/>
        <v>ENTRADA</v>
      </c>
      <c r="C1420" t="str">
        <f t="shared" si="710"/>
        <v>NFSE</v>
      </c>
      <c r="D1420" t="str">
        <f>"2806"</f>
        <v>2806</v>
      </c>
      <c r="E1420" t="str">
        <f t="shared" si="711"/>
        <v>COM</v>
      </c>
      <c r="F1420" t="str">
        <f>"FRAN FARMA (10124)"</f>
        <v>FRAN FARMA (10124)</v>
      </c>
      <c r="G1420" t="str">
        <f>"Serv.Prest. 10/03/2025 a 16/03/2025 - RPS: 578 - NFSe: 2806"</f>
        <v>Serv.Prest. 10/03/2025 a 16/03/2025 - RPS: 578 - NFSe: 2806</v>
      </c>
      <c r="H1420" t="str">
        <f t="shared" si="717"/>
        <v>19/03/2025</v>
      </c>
      <c r="I1420" t="str">
        <f t="shared" si="712"/>
        <v>17/03/2025</v>
      </c>
      <c r="J1420" t="str">
        <f t="shared" si="718"/>
        <v>20/03/2025</v>
      </c>
      <c r="M1420">
        <v>303</v>
      </c>
      <c r="N1420" t="str">
        <f t="shared" si="713"/>
        <v>RECEITAS COM ENTREGAS</v>
      </c>
      <c r="P1420">
        <v>64</v>
      </c>
      <c r="Q1420" t="str">
        <f>"FRAN FARMA LJ 3 (10132)"</f>
        <v>FRAN FARMA LJ 3 (10132)</v>
      </c>
      <c r="R1420" t="str">
        <f t="shared" si="714"/>
        <v>RECEITAS COM ENTREGAS (303)</v>
      </c>
      <c r="S1420">
        <v>1229</v>
      </c>
      <c r="T1420">
        <v>988</v>
      </c>
      <c r="U1420" t="s">
        <v>19</v>
      </c>
    </row>
    <row r="1421" spans="1:21">
      <c r="A1421" t="str">
        <f t="shared" si="716"/>
        <v>20/03/2025</v>
      </c>
      <c r="B1421" t="str">
        <f t="shared" si="715"/>
        <v>ENTRADA</v>
      </c>
      <c r="C1421" t="str">
        <f t="shared" si="710"/>
        <v>NFSE</v>
      </c>
      <c r="D1421" t="str">
        <f>"2809"</f>
        <v>2809</v>
      </c>
      <c r="E1421" t="str">
        <f t="shared" si="711"/>
        <v>COM</v>
      </c>
      <c r="F1421" t="str">
        <f>"FARMACIA ECONOMIZE (10103)"</f>
        <v>FARMACIA ECONOMIZE (10103)</v>
      </c>
      <c r="G1421" t="str">
        <f>"Serv.Prest. 10/03/2025 a 16/03/2025 - RPS: 581 - NFSe: 2809"</f>
        <v>Serv.Prest. 10/03/2025 a 16/03/2025 - RPS: 581 - NFSe: 2809</v>
      </c>
      <c r="H1421" t="str">
        <f t="shared" si="717"/>
        <v>19/03/2025</v>
      </c>
      <c r="I1421" t="str">
        <f t="shared" si="712"/>
        <v>17/03/2025</v>
      </c>
      <c r="J1421" t="str">
        <f t="shared" si="718"/>
        <v>20/03/2025</v>
      </c>
      <c r="K1421">
        <v>119</v>
      </c>
      <c r="L1421">
        <v>119</v>
      </c>
      <c r="M1421">
        <v>303</v>
      </c>
      <c r="N1421" t="str">
        <f t="shared" si="713"/>
        <v>RECEITAS COM ENTREGAS</v>
      </c>
      <c r="O1421">
        <v>119</v>
      </c>
      <c r="R1421" t="str">
        <f t="shared" si="714"/>
        <v>RECEITAS COM ENTREGAS (303)</v>
      </c>
      <c r="S1421">
        <v>1230</v>
      </c>
      <c r="T1421">
        <v>991</v>
      </c>
      <c r="U1421" t="s">
        <v>19</v>
      </c>
    </row>
    <row r="1422" spans="1:21">
      <c r="A1422" t="str">
        <f t="shared" si="716"/>
        <v>20/03/2025</v>
      </c>
      <c r="B1422" t="str">
        <f t="shared" si="715"/>
        <v>ENTRADA</v>
      </c>
      <c r="C1422" t="str">
        <f t="shared" si="710"/>
        <v>NFSE</v>
      </c>
      <c r="D1422" t="str">
        <f>"2809"</f>
        <v>2809</v>
      </c>
      <c r="E1422" t="str">
        <f t="shared" si="711"/>
        <v>COM</v>
      </c>
      <c r="F1422" t="str">
        <f>"FARMACIA ECONOMIZE (10103)"</f>
        <v>FARMACIA ECONOMIZE (10103)</v>
      </c>
      <c r="G1422" t="str">
        <f>"Serv.Prest. 10/03/2025 a 16/03/2025 - RPS: 581 - NFSe: 2809"</f>
        <v>Serv.Prest. 10/03/2025 a 16/03/2025 - RPS: 581 - NFSe: 2809</v>
      </c>
      <c r="H1422" t="str">
        <f t="shared" si="717"/>
        <v>19/03/2025</v>
      </c>
      <c r="I1422" t="str">
        <f t="shared" si="712"/>
        <v>17/03/2025</v>
      </c>
      <c r="J1422" t="str">
        <f t="shared" si="718"/>
        <v>20/03/2025</v>
      </c>
      <c r="M1422">
        <v>303</v>
      </c>
      <c r="N1422" t="str">
        <f t="shared" si="713"/>
        <v>RECEITAS COM ENTREGAS</v>
      </c>
      <c r="P1422">
        <v>119</v>
      </c>
      <c r="Q1422" t="str">
        <f>"FARMACIA ECONOMIZE (10103)"</f>
        <v>FARMACIA ECONOMIZE (10103)</v>
      </c>
      <c r="R1422" t="str">
        <f t="shared" si="714"/>
        <v>RECEITAS COM ENTREGAS (303)</v>
      </c>
      <c r="S1422">
        <v>1230</v>
      </c>
      <c r="T1422">
        <v>991</v>
      </c>
      <c r="U1422" t="s">
        <v>19</v>
      </c>
    </row>
    <row r="1423" spans="1:21">
      <c r="A1423" t="str">
        <f t="shared" si="716"/>
        <v>20/03/2025</v>
      </c>
      <c r="B1423" t="str">
        <f t="shared" si="715"/>
        <v>ENTRADA</v>
      </c>
      <c r="C1423" t="str">
        <f t="shared" si="710"/>
        <v>NFSE</v>
      </c>
      <c r="D1423" t="str">
        <f>"2810"</f>
        <v>2810</v>
      </c>
      <c r="E1423" t="str">
        <f t="shared" si="711"/>
        <v>COM</v>
      </c>
      <c r="F1423" t="str">
        <f>"DROGA MONICA (10147)"</f>
        <v>DROGA MONICA (10147)</v>
      </c>
      <c r="G1423" t="str">
        <f>"Serv.Prest. 10/03/2025 a 16/03/2025 - RPS: 582 - NFSe: 2810"</f>
        <v>Serv.Prest. 10/03/2025 a 16/03/2025 - RPS: 582 - NFSe: 2810</v>
      </c>
      <c r="H1423" t="str">
        <f t="shared" si="717"/>
        <v>19/03/2025</v>
      </c>
      <c r="I1423" t="str">
        <f t="shared" si="712"/>
        <v>17/03/2025</v>
      </c>
      <c r="J1423" t="str">
        <f t="shared" si="718"/>
        <v>20/03/2025</v>
      </c>
      <c r="K1423">
        <v>206.4</v>
      </c>
      <c r="L1423">
        <v>206.4</v>
      </c>
      <c r="M1423">
        <v>303</v>
      </c>
      <c r="N1423" t="str">
        <f t="shared" si="713"/>
        <v>RECEITAS COM ENTREGAS</v>
      </c>
      <c r="O1423">
        <v>206.4</v>
      </c>
      <c r="R1423" t="str">
        <f t="shared" si="714"/>
        <v>RECEITAS COM ENTREGAS (303)</v>
      </c>
      <c r="S1423">
        <v>1231</v>
      </c>
      <c r="T1423">
        <v>992</v>
      </c>
      <c r="U1423" t="s">
        <v>19</v>
      </c>
    </row>
    <row r="1424" spans="1:21">
      <c r="A1424" t="str">
        <f t="shared" si="716"/>
        <v>20/03/2025</v>
      </c>
      <c r="B1424" t="str">
        <f t="shared" si="715"/>
        <v>ENTRADA</v>
      </c>
      <c r="C1424" t="str">
        <f t="shared" si="710"/>
        <v>NFSE</v>
      </c>
      <c r="D1424" t="str">
        <f>"2810"</f>
        <v>2810</v>
      </c>
      <c r="E1424" t="str">
        <f t="shared" si="711"/>
        <v>COM</v>
      </c>
      <c r="F1424" t="str">
        <f>"DROGA MONICA (10147)"</f>
        <v>DROGA MONICA (10147)</v>
      </c>
      <c r="G1424" t="str">
        <f>"Serv.Prest. 10/03/2025 a 16/03/2025 - RPS: 582 - NFSe: 2810"</f>
        <v>Serv.Prest. 10/03/2025 a 16/03/2025 - RPS: 582 - NFSe: 2810</v>
      </c>
      <c r="H1424" t="str">
        <f t="shared" si="717"/>
        <v>19/03/2025</v>
      </c>
      <c r="I1424" t="str">
        <f t="shared" si="712"/>
        <v>17/03/2025</v>
      </c>
      <c r="J1424" t="str">
        <f t="shared" si="718"/>
        <v>20/03/2025</v>
      </c>
      <c r="M1424">
        <v>303</v>
      </c>
      <c r="N1424" t="str">
        <f t="shared" si="713"/>
        <v>RECEITAS COM ENTREGAS</v>
      </c>
      <c r="P1424">
        <v>206.4</v>
      </c>
      <c r="Q1424" t="str">
        <f>"DROGA MONICA (10147)"</f>
        <v>DROGA MONICA (10147)</v>
      </c>
      <c r="R1424" t="str">
        <f t="shared" si="714"/>
        <v>RECEITAS COM ENTREGAS (303)</v>
      </c>
      <c r="S1424">
        <v>1231</v>
      </c>
      <c r="T1424">
        <v>992</v>
      </c>
      <c r="U1424" t="s">
        <v>19</v>
      </c>
    </row>
    <row r="1425" spans="1:21">
      <c r="A1425" t="str">
        <f t="shared" si="716"/>
        <v>20/03/2025</v>
      </c>
      <c r="B1425" t="str">
        <f t="shared" si="715"/>
        <v>ENTRADA</v>
      </c>
      <c r="C1425" t="str">
        <f t="shared" si="710"/>
        <v>NFSE</v>
      </c>
      <c r="D1425" t="str">
        <f>"2811"</f>
        <v>2811</v>
      </c>
      <c r="E1425" t="str">
        <f t="shared" si="711"/>
        <v>COM</v>
      </c>
      <c r="F1425" t="str">
        <f>"DROGA MONICA LJ 22 (10158)"</f>
        <v>DROGA MONICA LJ 22 (10158)</v>
      </c>
      <c r="G1425" t="str">
        <f>"Serv.Prest. 10/03/2025 a 16/03/2025 - RPS: 583 - NFSe: 2811"</f>
        <v>Serv.Prest. 10/03/2025 a 16/03/2025 - RPS: 583 - NFSe: 2811</v>
      </c>
      <c r="H1425" t="str">
        <f t="shared" si="717"/>
        <v>19/03/2025</v>
      </c>
      <c r="I1425" t="str">
        <f t="shared" si="712"/>
        <v>17/03/2025</v>
      </c>
      <c r="J1425" t="str">
        <f t="shared" si="718"/>
        <v>20/03/2025</v>
      </c>
      <c r="K1425">
        <v>206.4</v>
      </c>
      <c r="L1425">
        <v>206.4</v>
      </c>
      <c r="M1425">
        <v>303</v>
      </c>
      <c r="N1425" t="str">
        <f t="shared" si="713"/>
        <v>RECEITAS COM ENTREGAS</v>
      </c>
      <c r="O1425">
        <v>206.4</v>
      </c>
      <c r="R1425" t="str">
        <f t="shared" si="714"/>
        <v>RECEITAS COM ENTREGAS (303)</v>
      </c>
      <c r="S1425">
        <v>1232</v>
      </c>
      <c r="T1425">
        <v>993</v>
      </c>
      <c r="U1425" t="s">
        <v>19</v>
      </c>
    </row>
    <row r="1426" spans="1:21">
      <c r="A1426" t="str">
        <f t="shared" si="716"/>
        <v>20/03/2025</v>
      </c>
      <c r="B1426" t="str">
        <f t="shared" si="715"/>
        <v>ENTRADA</v>
      </c>
      <c r="C1426" t="str">
        <f t="shared" si="710"/>
        <v>NFSE</v>
      </c>
      <c r="D1426" t="str">
        <f>"2811"</f>
        <v>2811</v>
      </c>
      <c r="E1426" t="str">
        <f t="shared" si="711"/>
        <v>COM</v>
      </c>
      <c r="F1426" t="str">
        <f>"DROGA MONICA LJ 22 (10158)"</f>
        <v>DROGA MONICA LJ 22 (10158)</v>
      </c>
      <c r="G1426" t="str">
        <f>"Serv.Prest. 10/03/2025 a 16/03/2025 - RPS: 583 - NFSe: 2811"</f>
        <v>Serv.Prest. 10/03/2025 a 16/03/2025 - RPS: 583 - NFSe: 2811</v>
      </c>
      <c r="H1426" t="str">
        <f t="shared" si="717"/>
        <v>19/03/2025</v>
      </c>
      <c r="I1426" t="str">
        <f t="shared" si="712"/>
        <v>17/03/2025</v>
      </c>
      <c r="J1426" t="str">
        <f t="shared" si="718"/>
        <v>20/03/2025</v>
      </c>
      <c r="M1426">
        <v>303</v>
      </c>
      <c r="N1426" t="str">
        <f t="shared" si="713"/>
        <v>RECEITAS COM ENTREGAS</v>
      </c>
      <c r="P1426">
        <v>206.4</v>
      </c>
      <c r="Q1426" t="str">
        <f>"DROGA MONICA LJ 22 (10158)"</f>
        <v>DROGA MONICA LJ 22 (10158)</v>
      </c>
      <c r="R1426" t="str">
        <f t="shared" si="714"/>
        <v>RECEITAS COM ENTREGAS (303)</v>
      </c>
      <c r="S1426">
        <v>1232</v>
      </c>
      <c r="T1426">
        <v>993</v>
      </c>
      <c r="U1426" t="s">
        <v>19</v>
      </c>
    </row>
    <row r="1427" spans="1:21">
      <c r="A1427" t="str">
        <f t="shared" si="716"/>
        <v>20/03/2025</v>
      </c>
      <c r="B1427" t="str">
        <f t="shared" si="715"/>
        <v>ENTRADA</v>
      </c>
      <c r="C1427" t="str">
        <f t="shared" si="710"/>
        <v>NFSE</v>
      </c>
      <c r="D1427" t="str">
        <f>"2812"</f>
        <v>2812</v>
      </c>
      <c r="E1427" t="str">
        <f t="shared" si="711"/>
        <v>COM</v>
      </c>
      <c r="F1427" t="str">
        <f>"DROGA MONICA LJ 3 (10152)"</f>
        <v>DROGA MONICA LJ 3 (10152)</v>
      </c>
      <c r="G1427" t="str">
        <f>"Serv.Prest. 10/03/2025 a 16/03/2025 - RPS: 584 - NFSe: 2812"</f>
        <v>Serv.Prest. 10/03/2025 a 16/03/2025 - RPS: 584 - NFSe: 2812</v>
      </c>
      <c r="H1427" t="str">
        <f t="shared" si="717"/>
        <v>19/03/2025</v>
      </c>
      <c r="I1427" t="str">
        <f t="shared" si="712"/>
        <v>17/03/2025</v>
      </c>
      <c r="J1427" t="str">
        <f t="shared" si="718"/>
        <v>20/03/2025</v>
      </c>
      <c r="K1427">
        <v>206.4</v>
      </c>
      <c r="L1427">
        <v>206.4</v>
      </c>
      <c r="M1427">
        <v>303</v>
      </c>
      <c r="N1427" t="str">
        <f t="shared" si="713"/>
        <v>RECEITAS COM ENTREGAS</v>
      </c>
      <c r="O1427">
        <v>206.4</v>
      </c>
      <c r="R1427" t="str">
        <f t="shared" si="714"/>
        <v>RECEITAS COM ENTREGAS (303)</v>
      </c>
      <c r="S1427">
        <v>1233</v>
      </c>
      <c r="T1427">
        <v>994</v>
      </c>
      <c r="U1427" t="s">
        <v>19</v>
      </c>
    </row>
    <row r="1428" spans="1:21">
      <c r="A1428" t="str">
        <f t="shared" si="716"/>
        <v>20/03/2025</v>
      </c>
      <c r="B1428" t="str">
        <f t="shared" si="715"/>
        <v>ENTRADA</v>
      </c>
      <c r="C1428" t="str">
        <f t="shared" si="710"/>
        <v>NFSE</v>
      </c>
      <c r="D1428" t="str">
        <f>"2812"</f>
        <v>2812</v>
      </c>
      <c r="E1428" t="str">
        <f t="shared" si="711"/>
        <v>COM</v>
      </c>
      <c r="F1428" t="str">
        <f>"DROGA MONICA LJ 3 (10152)"</f>
        <v>DROGA MONICA LJ 3 (10152)</v>
      </c>
      <c r="G1428" t="str">
        <f>"Serv.Prest. 10/03/2025 a 16/03/2025 - RPS: 584 - NFSe: 2812"</f>
        <v>Serv.Prest. 10/03/2025 a 16/03/2025 - RPS: 584 - NFSe: 2812</v>
      </c>
      <c r="H1428" t="str">
        <f t="shared" si="717"/>
        <v>19/03/2025</v>
      </c>
      <c r="I1428" t="str">
        <f t="shared" si="712"/>
        <v>17/03/2025</v>
      </c>
      <c r="J1428" t="str">
        <f t="shared" si="718"/>
        <v>20/03/2025</v>
      </c>
      <c r="M1428">
        <v>303</v>
      </c>
      <c r="N1428" t="str">
        <f t="shared" si="713"/>
        <v>RECEITAS COM ENTREGAS</v>
      </c>
      <c r="P1428">
        <v>206.4</v>
      </c>
      <c r="Q1428" t="str">
        <f>"DROGA MONICA LJ 3 (10152)"</f>
        <v>DROGA MONICA LJ 3 (10152)</v>
      </c>
      <c r="R1428" t="str">
        <f t="shared" si="714"/>
        <v>RECEITAS COM ENTREGAS (303)</v>
      </c>
      <c r="S1428">
        <v>1233</v>
      </c>
      <c r="T1428">
        <v>994</v>
      </c>
      <c r="U1428" t="s">
        <v>19</v>
      </c>
    </row>
    <row r="1429" spans="1:21">
      <c r="A1429" t="str">
        <f t="shared" si="716"/>
        <v>20/03/2025</v>
      </c>
      <c r="B1429" t="str">
        <f t="shared" si="715"/>
        <v>ENTRADA</v>
      </c>
      <c r="C1429" t="str">
        <f t="shared" si="710"/>
        <v>NFSE</v>
      </c>
      <c r="D1429" t="str">
        <f>"2814"</f>
        <v>2814</v>
      </c>
      <c r="E1429" t="str">
        <f t="shared" si="711"/>
        <v>COM</v>
      </c>
      <c r="F1429" t="str">
        <f>"DROGA ELIDA (10121)"</f>
        <v>DROGA ELIDA (10121)</v>
      </c>
      <c r="G1429" t="str">
        <f>"Serv.Prest. 10/03/2025 a 16/03/2025 - RPS: 586 - NFSe: 2814"</f>
        <v>Serv.Prest. 10/03/2025 a 16/03/2025 - RPS: 586 - NFSe: 2814</v>
      </c>
      <c r="H1429" t="str">
        <f t="shared" si="717"/>
        <v>19/03/2025</v>
      </c>
      <c r="I1429" t="str">
        <f t="shared" si="712"/>
        <v>17/03/2025</v>
      </c>
      <c r="J1429" t="str">
        <f t="shared" si="718"/>
        <v>20/03/2025</v>
      </c>
      <c r="K1429">
        <v>350.4</v>
      </c>
      <c r="L1429">
        <v>350.4</v>
      </c>
      <c r="M1429">
        <v>303</v>
      </c>
      <c r="N1429" t="str">
        <f t="shared" si="713"/>
        <v>RECEITAS COM ENTREGAS</v>
      </c>
      <c r="O1429">
        <v>350.4</v>
      </c>
      <c r="R1429" t="str">
        <f t="shared" si="714"/>
        <v>RECEITAS COM ENTREGAS (303)</v>
      </c>
      <c r="S1429">
        <v>1234</v>
      </c>
      <c r="T1429">
        <v>996</v>
      </c>
      <c r="U1429" t="s">
        <v>19</v>
      </c>
    </row>
    <row r="1430" spans="1:21">
      <c r="A1430" t="str">
        <f t="shared" si="716"/>
        <v>20/03/2025</v>
      </c>
      <c r="B1430" t="str">
        <f t="shared" si="715"/>
        <v>ENTRADA</v>
      </c>
      <c r="C1430" t="str">
        <f t="shared" si="710"/>
        <v>NFSE</v>
      </c>
      <c r="D1430" t="str">
        <f>"2814"</f>
        <v>2814</v>
      </c>
      <c r="E1430" t="str">
        <f t="shared" si="711"/>
        <v>COM</v>
      </c>
      <c r="F1430" t="str">
        <f>"DROGA ELIDA (10121)"</f>
        <v>DROGA ELIDA (10121)</v>
      </c>
      <c r="G1430" t="str">
        <f>"Serv.Prest. 10/03/2025 a 16/03/2025 - RPS: 586 - NFSe: 2814"</f>
        <v>Serv.Prest. 10/03/2025 a 16/03/2025 - RPS: 586 - NFSe: 2814</v>
      </c>
      <c r="H1430" t="str">
        <f t="shared" si="717"/>
        <v>19/03/2025</v>
      </c>
      <c r="I1430" t="str">
        <f t="shared" si="712"/>
        <v>17/03/2025</v>
      </c>
      <c r="J1430" t="str">
        <f t="shared" si="718"/>
        <v>20/03/2025</v>
      </c>
      <c r="M1430">
        <v>303</v>
      </c>
      <c r="N1430" t="str">
        <f t="shared" si="713"/>
        <v>RECEITAS COM ENTREGAS</v>
      </c>
      <c r="P1430">
        <v>350.4</v>
      </c>
      <c r="Q1430" t="str">
        <f>"DROGA ELIDA (10121)"</f>
        <v>DROGA ELIDA (10121)</v>
      </c>
      <c r="R1430" t="str">
        <f t="shared" si="714"/>
        <v>RECEITAS COM ENTREGAS (303)</v>
      </c>
      <c r="S1430">
        <v>1234</v>
      </c>
      <c r="T1430">
        <v>996</v>
      </c>
      <c r="U1430" t="s">
        <v>19</v>
      </c>
    </row>
    <row r="1431" spans="1:21">
      <c r="A1431" t="str">
        <f t="shared" si="716"/>
        <v>20/03/2025</v>
      </c>
      <c r="B1431" t="str">
        <f t="shared" si="715"/>
        <v>ENTRADA</v>
      </c>
      <c r="C1431" t="str">
        <f t="shared" si="710"/>
        <v>NFSE</v>
      </c>
      <c r="D1431" t="str">
        <f>"2813"</f>
        <v>2813</v>
      </c>
      <c r="E1431" t="str">
        <f t="shared" si="711"/>
        <v>COM</v>
      </c>
      <c r="F1431" t="str">
        <f>"DROGARIA POUPA MINAS (ULTRAMINAS) 3 (10129)"</f>
        <v>DROGARIA POUPA MINAS (ULTRAMINAS) 3 (10129)</v>
      </c>
      <c r="G1431" t="str">
        <f>"Serv.Prest. 10/03/2025 a 16/03/2025 - RPS: 585 - NFSe: 2813"</f>
        <v>Serv.Prest. 10/03/2025 a 16/03/2025 - RPS: 585 - NFSe: 2813</v>
      </c>
      <c r="H1431" t="str">
        <f t="shared" ref="H1431:H1448" si="719">("20/03/2025")</f>
        <v>20/03/2025</v>
      </c>
      <c r="I1431" t="str">
        <f t="shared" si="712"/>
        <v>17/03/2025</v>
      </c>
      <c r="J1431" t="str">
        <f t="shared" si="718"/>
        <v>20/03/2025</v>
      </c>
      <c r="K1431">
        <v>274.56</v>
      </c>
      <c r="L1431">
        <v>274.56</v>
      </c>
      <c r="M1431">
        <v>303</v>
      </c>
      <c r="N1431" t="str">
        <f t="shared" si="713"/>
        <v>RECEITAS COM ENTREGAS</v>
      </c>
      <c r="O1431">
        <v>274.56</v>
      </c>
      <c r="R1431" t="str">
        <f t="shared" si="714"/>
        <v>RECEITAS COM ENTREGAS (303)</v>
      </c>
      <c r="S1431">
        <v>1235</v>
      </c>
      <c r="T1431">
        <v>995</v>
      </c>
      <c r="U1431" t="s">
        <v>19</v>
      </c>
    </row>
    <row r="1432" spans="1:21">
      <c r="A1432" t="str">
        <f t="shared" si="716"/>
        <v>20/03/2025</v>
      </c>
      <c r="B1432" t="str">
        <f t="shared" si="715"/>
        <v>ENTRADA</v>
      </c>
      <c r="C1432" t="str">
        <f t="shared" si="710"/>
        <v>NFSE</v>
      </c>
      <c r="D1432" t="str">
        <f>"2813"</f>
        <v>2813</v>
      </c>
      <c r="E1432" t="str">
        <f t="shared" si="711"/>
        <v>COM</v>
      </c>
      <c r="F1432" t="str">
        <f>"DROGARIA POUPA MINAS (ULTRAMINAS) 3 (10129)"</f>
        <v>DROGARIA POUPA MINAS (ULTRAMINAS) 3 (10129)</v>
      </c>
      <c r="G1432" t="str">
        <f>"Serv.Prest. 10/03/2025 a 16/03/2025 - RPS: 585 - NFSe: 2813"</f>
        <v>Serv.Prest. 10/03/2025 a 16/03/2025 - RPS: 585 - NFSe: 2813</v>
      </c>
      <c r="H1432" t="str">
        <f t="shared" si="719"/>
        <v>20/03/2025</v>
      </c>
      <c r="I1432" t="str">
        <f t="shared" si="712"/>
        <v>17/03/2025</v>
      </c>
      <c r="J1432" t="str">
        <f t="shared" si="718"/>
        <v>20/03/2025</v>
      </c>
      <c r="M1432">
        <v>303</v>
      </c>
      <c r="N1432" t="str">
        <f t="shared" si="713"/>
        <v>RECEITAS COM ENTREGAS</v>
      </c>
      <c r="P1432">
        <v>274.56</v>
      </c>
      <c r="Q1432" t="str">
        <f>"DROGARIA POUPA MINAS (ULTRAMINAS) 3 (10129)"</f>
        <v>DROGARIA POUPA MINAS (ULTRAMINAS) 3 (10129)</v>
      </c>
      <c r="R1432" t="str">
        <f t="shared" si="714"/>
        <v>RECEITAS COM ENTREGAS (303)</v>
      </c>
      <c r="S1432">
        <v>1235</v>
      </c>
      <c r="T1432">
        <v>995</v>
      </c>
      <c r="U1432" t="s">
        <v>19</v>
      </c>
    </row>
    <row r="1433" spans="1:21">
      <c r="A1433" t="str">
        <f t="shared" si="716"/>
        <v>20/03/2025</v>
      </c>
      <c r="B1433" t="str">
        <f t="shared" ref="B1433:B1442" si="720">"SAÍDA"</f>
        <v>SAÍDA</v>
      </c>
      <c r="C1433" t="str">
        <f t="shared" ref="C1433:C1439" si="721">"JUROS"</f>
        <v>JUROS</v>
      </c>
      <c r="D1433" t="str">
        <f>""</f>
        <v/>
      </c>
      <c r="E1433" t="str">
        <f t="shared" ref="E1433:E1439" si="722">"CXA"</f>
        <v>CXA</v>
      </c>
      <c r="F1433" t="str">
        <f>""</f>
        <v/>
      </c>
      <c r="G1433" t="str">
        <f t="shared" ref="G1433:G1439" si="723">"TAXA BOLETO COMPENSADO"</f>
        <v>TAXA BOLETO COMPENSADO</v>
      </c>
      <c r="H1433" t="str">
        <f t="shared" si="719"/>
        <v>20/03/2025</v>
      </c>
      <c r="I1433" t="str">
        <f t="shared" ref="I1433:I1439" si="724">("20/03/2025")</f>
        <v>20/03/2025</v>
      </c>
      <c r="J1433" t="str">
        <f t="shared" si="718"/>
        <v>20/03/2025</v>
      </c>
      <c r="K1433">
        <v>1.7</v>
      </c>
      <c r="L1433">
        <v>1.7</v>
      </c>
      <c r="M1433">
        <v>401</v>
      </c>
      <c r="N1433" t="str">
        <f t="shared" ref="N1433:N1439" si="725">"IOF/JUROS/DESP.FINANCEIRA"</f>
        <v>IOF/JUROS/DESP.FINANCEIRA</v>
      </c>
      <c r="O1433">
        <v>1.7</v>
      </c>
      <c r="R1433" t="str">
        <f t="shared" ref="R1433:R1442" si="726">"BANCO CORA (102)"</f>
        <v>BANCO CORA (102)</v>
      </c>
      <c r="S1433">
        <v>1244</v>
      </c>
      <c r="T1433">
        <v>0</v>
      </c>
      <c r="U1433" t="s">
        <v>20</v>
      </c>
    </row>
    <row r="1434" spans="1:21">
      <c r="A1434" t="str">
        <f t="shared" si="716"/>
        <v>20/03/2025</v>
      </c>
      <c r="B1434" t="str">
        <f t="shared" si="720"/>
        <v>SAÍDA</v>
      </c>
      <c r="C1434" t="str">
        <f t="shared" si="721"/>
        <v>JUROS</v>
      </c>
      <c r="D1434" t="str">
        <f>""</f>
        <v/>
      </c>
      <c r="E1434" t="str">
        <f t="shared" si="722"/>
        <v>CXA</v>
      </c>
      <c r="F1434" t="str">
        <f>""</f>
        <v/>
      </c>
      <c r="G1434" t="str">
        <f t="shared" si="723"/>
        <v>TAXA BOLETO COMPENSADO</v>
      </c>
      <c r="H1434" t="str">
        <f t="shared" si="719"/>
        <v>20/03/2025</v>
      </c>
      <c r="I1434" t="str">
        <f t="shared" si="724"/>
        <v>20/03/2025</v>
      </c>
      <c r="J1434" t="str">
        <f t="shared" si="718"/>
        <v>20/03/2025</v>
      </c>
      <c r="K1434">
        <v>1.7</v>
      </c>
      <c r="L1434">
        <v>1.7</v>
      </c>
      <c r="M1434">
        <v>401</v>
      </c>
      <c r="N1434" t="str">
        <f t="shared" si="725"/>
        <v>IOF/JUROS/DESP.FINANCEIRA</v>
      </c>
      <c r="O1434">
        <v>1.7</v>
      </c>
      <c r="R1434" t="str">
        <f t="shared" si="726"/>
        <v>BANCO CORA (102)</v>
      </c>
      <c r="S1434">
        <v>1245</v>
      </c>
      <c r="T1434">
        <v>0</v>
      </c>
      <c r="U1434" t="s">
        <v>20</v>
      </c>
    </row>
    <row r="1435" spans="1:21">
      <c r="A1435" t="str">
        <f t="shared" si="716"/>
        <v>20/03/2025</v>
      </c>
      <c r="B1435" t="str">
        <f t="shared" si="720"/>
        <v>SAÍDA</v>
      </c>
      <c r="C1435" t="str">
        <f t="shared" si="721"/>
        <v>JUROS</v>
      </c>
      <c r="D1435" t="str">
        <f>""</f>
        <v/>
      </c>
      <c r="E1435" t="str">
        <f t="shared" si="722"/>
        <v>CXA</v>
      </c>
      <c r="F1435" t="str">
        <f>""</f>
        <v/>
      </c>
      <c r="G1435" t="str">
        <f t="shared" si="723"/>
        <v>TAXA BOLETO COMPENSADO</v>
      </c>
      <c r="H1435" t="str">
        <f t="shared" si="719"/>
        <v>20/03/2025</v>
      </c>
      <c r="I1435" t="str">
        <f t="shared" si="724"/>
        <v>20/03/2025</v>
      </c>
      <c r="J1435" t="str">
        <f t="shared" si="718"/>
        <v>20/03/2025</v>
      </c>
      <c r="K1435">
        <v>1.7</v>
      </c>
      <c r="L1435">
        <v>1.7</v>
      </c>
      <c r="M1435">
        <v>401</v>
      </c>
      <c r="N1435" t="str">
        <f t="shared" si="725"/>
        <v>IOF/JUROS/DESP.FINANCEIRA</v>
      </c>
      <c r="O1435">
        <v>1.7</v>
      </c>
      <c r="R1435" t="str">
        <f t="shared" si="726"/>
        <v>BANCO CORA (102)</v>
      </c>
      <c r="S1435">
        <v>1246</v>
      </c>
      <c r="T1435">
        <v>0</v>
      </c>
      <c r="U1435" t="s">
        <v>20</v>
      </c>
    </row>
    <row r="1436" spans="1:21">
      <c r="A1436" t="str">
        <f t="shared" si="716"/>
        <v>20/03/2025</v>
      </c>
      <c r="B1436" t="str">
        <f t="shared" si="720"/>
        <v>SAÍDA</v>
      </c>
      <c r="C1436" t="str">
        <f t="shared" si="721"/>
        <v>JUROS</v>
      </c>
      <c r="D1436" t="str">
        <f>""</f>
        <v/>
      </c>
      <c r="E1436" t="str">
        <f t="shared" si="722"/>
        <v>CXA</v>
      </c>
      <c r="F1436" t="str">
        <f>""</f>
        <v/>
      </c>
      <c r="G1436" t="str">
        <f t="shared" si="723"/>
        <v>TAXA BOLETO COMPENSADO</v>
      </c>
      <c r="H1436" t="str">
        <f t="shared" si="719"/>
        <v>20/03/2025</v>
      </c>
      <c r="I1436" t="str">
        <f t="shared" si="724"/>
        <v>20/03/2025</v>
      </c>
      <c r="J1436" t="str">
        <f t="shared" si="718"/>
        <v>20/03/2025</v>
      </c>
      <c r="K1436">
        <v>1.7</v>
      </c>
      <c r="L1436">
        <v>1.7</v>
      </c>
      <c r="M1436">
        <v>401</v>
      </c>
      <c r="N1436" t="str">
        <f t="shared" si="725"/>
        <v>IOF/JUROS/DESP.FINANCEIRA</v>
      </c>
      <c r="O1436">
        <v>1.7</v>
      </c>
      <c r="R1436" t="str">
        <f t="shared" si="726"/>
        <v>BANCO CORA (102)</v>
      </c>
      <c r="S1436">
        <v>1247</v>
      </c>
      <c r="T1436">
        <v>0</v>
      </c>
      <c r="U1436" t="s">
        <v>20</v>
      </c>
    </row>
    <row r="1437" spans="1:21">
      <c r="A1437" t="str">
        <f t="shared" si="716"/>
        <v>20/03/2025</v>
      </c>
      <c r="B1437" t="str">
        <f t="shared" si="720"/>
        <v>SAÍDA</v>
      </c>
      <c r="C1437" t="str">
        <f t="shared" si="721"/>
        <v>JUROS</v>
      </c>
      <c r="D1437" t="str">
        <f>""</f>
        <v/>
      </c>
      <c r="E1437" t="str">
        <f t="shared" si="722"/>
        <v>CXA</v>
      </c>
      <c r="F1437" t="str">
        <f>""</f>
        <v/>
      </c>
      <c r="G1437" t="str">
        <f t="shared" si="723"/>
        <v>TAXA BOLETO COMPENSADO</v>
      </c>
      <c r="H1437" t="str">
        <f t="shared" si="719"/>
        <v>20/03/2025</v>
      </c>
      <c r="I1437" t="str">
        <f t="shared" si="724"/>
        <v>20/03/2025</v>
      </c>
      <c r="J1437" t="str">
        <f t="shared" si="718"/>
        <v>20/03/2025</v>
      </c>
      <c r="K1437">
        <v>1.7</v>
      </c>
      <c r="L1437">
        <v>1.7</v>
      </c>
      <c r="M1437">
        <v>401</v>
      </c>
      <c r="N1437" t="str">
        <f t="shared" si="725"/>
        <v>IOF/JUROS/DESP.FINANCEIRA</v>
      </c>
      <c r="O1437">
        <v>1.7</v>
      </c>
      <c r="R1437" t="str">
        <f t="shared" si="726"/>
        <v>BANCO CORA (102)</v>
      </c>
      <c r="S1437">
        <v>1248</v>
      </c>
      <c r="T1437">
        <v>0</v>
      </c>
      <c r="U1437" t="s">
        <v>20</v>
      </c>
    </row>
    <row r="1438" spans="1:21">
      <c r="A1438" t="str">
        <f t="shared" si="716"/>
        <v>20/03/2025</v>
      </c>
      <c r="B1438" t="str">
        <f t="shared" si="720"/>
        <v>SAÍDA</v>
      </c>
      <c r="C1438" t="str">
        <f t="shared" si="721"/>
        <v>JUROS</v>
      </c>
      <c r="D1438" t="str">
        <f>""</f>
        <v/>
      </c>
      <c r="E1438" t="str">
        <f t="shared" si="722"/>
        <v>CXA</v>
      </c>
      <c r="F1438" t="str">
        <f>""</f>
        <v/>
      </c>
      <c r="G1438" t="str">
        <f t="shared" si="723"/>
        <v>TAXA BOLETO COMPENSADO</v>
      </c>
      <c r="H1438" t="str">
        <f t="shared" si="719"/>
        <v>20/03/2025</v>
      </c>
      <c r="I1438" t="str">
        <f t="shared" si="724"/>
        <v>20/03/2025</v>
      </c>
      <c r="J1438" t="str">
        <f t="shared" si="718"/>
        <v>20/03/2025</v>
      </c>
      <c r="K1438">
        <v>1.7</v>
      </c>
      <c r="L1438">
        <v>1.7</v>
      </c>
      <c r="M1438">
        <v>401</v>
      </c>
      <c r="N1438" t="str">
        <f t="shared" si="725"/>
        <v>IOF/JUROS/DESP.FINANCEIRA</v>
      </c>
      <c r="O1438">
        <v>1.7</v>
      </c>
      <c r="R1438" t="str">
        <f t="shared" si="726"/>
        <v>BANCO CORA (102)</v>
      </c>
      <c r="S1438">
        <v>1249</v>
      </c>
      <c r="T1438">
        <v>0</v>
      </c>
      <c r="U1438" t="s">
        <v>20</v>
      </c>
    </row>
    <row r="1439" spans="1:21">
      <c r="A1439" t="str">
        <f t="shared" si="716"/>
        <v>20/03/2025</v>
      </c>
      <c r="B1439" t="str">
        <f t="shared" si="720"/>
        <v>SAÍDA</v>
      </c>
      <c r="C1439" t="str">
        <f t="shared" si="721"/>
        <v>JUROS</v>
      </c>
      <c r="D1439" t="str">
        <f>""</f>
        <v/>
      </c>
      <c r="E1439" t="str">
        <f t="shared" si="722"/>
        <v>CXA</v>
      </c>
      <c r="F1439" t="str">
        <f>""</f>
        <v/>
      </c>
      <c r="G1439" t="str">
        <f t="shared" si="723"/>
        <v>TAXA BOLETO COMPENSADO</v>
      </c>
      <c r="H1439" t="str">
        <f t="shared" si="719"/>
        <v>20/03/2025</v>
      </c>
      <c r="I1439" t="str">
        <f t="shared" si="724"/>
        <v>20/03/2025</v>
      </c>
      <c r="J1439" t="str">
        <f t="shared" si="718"/>
        <v>20/03/2025</v>
      </c>
      <c r="K1439">
        <v>1.7</v>
      </c>
      <c r="L1439">
        <v>1.7</v>
      </c>
      <c r="M1439">
        <v>401</v>
      </c>
      <c r="N1439" t="str">
        <f t="shared" si="725"/>
        <v>IOF/JUROS/DESP.FINANCEIRA</v>
      </c>
      <c r="O1439">
        <v>1.7</v>
      </c>
      <c r="R1439" t="str">
        <f t="shared" si="726"/>
        <v>BANCO CORA (102)</v>
      </c>
      <c r="S1439">
        <v>1250</v>
      </c>
      <c r="T1439">
        <v>0</v>
      </c>
      <c r="U1439" t="s">
        <v>20</v>
      </c>
    </row>
    <row r="1440" spans="1:21">
      <c r="A1440" t="str">
        <f t="shared" si="716"/>
        <v>20/03/2025</v>
      </c>
      <c r="B1440" t="str">
        <f t="shared" si="720"/>
        <v>SAÍDA</v>
      </c>
      <c r="C1440" t="str">
        <f>"BOLETO"</f>
        <v>BOLETO</v>
      </c>
      <c r="D1440" t="str">
        <f>"071625065546443"</f>
        <v>071625065546443</v>
      </c>
      <c r="E1440" t="str">
        <f t="shared" ref="E1440:E1448" si="727">"COM"</f>
        <v>COM</v>
      </c>
      <c r="F1440" t="str">
        <f>"MINISTERIO DA FAZENDA (20009)"</f>
        <v>MINISTERIO DA FAZENDA (20009)</v>
      </c>
      <c r="G1440" t="str">
        <f>"INSS PROLABORE 02/25"</f>
        <v>INSS PROLABORE 02/25</v>
      </c>
      <c r="H1440" t="str">
        <f t="shared" si="719"/>
        <v>20/03/2025</v>
      </c>
      <c r="I1440" t="str">
        <f>("28/02/2025")</f>
        <v>28/02/2025</v>
      </c>
      <c r="J1440" t="str">
        <f t="shared" si="718"/>
        <v>20/03/2025</v>
      </c>
      <c r="K1440">
        <v>333.96</v>
      </c>
      <c r="L1440">
        <v>333.96</v>
      </c>
      <c r="M1440">
        <v>112</v>
      </c>
      <c r="N1440" t="str">
        <f>"INSS - PRO-LABORE"</f>
        <v>INSS - PRO-LABORE</v>
      </c>
      <c r="O1440">
        <v>333.96</v>
      </c>
      <c r="R1440" t="str">
        <f t="shared" si="726"/>
        <v>BANCO CORA (102)</v>
      </c>
      <c r="S1440">
        <v>1255</v>
      </c>
      <c r="T1440">
        <v>714</v>
      </c>
      <c r="U1440" t="s">
        <v>19</v>
      </c>
    </row>
    <row r="1441" spans="1:21">
      <c r="A1441" t="str">
        <f t="shared" si="716"/>
        <v>20/03/2025</v>
      </c>
      <c r="B1441" t="str">
        <f t="shared" si="720"/>
        <v>SAÍDA</v>
      </c>
      <c r="C1441" t="str">
        <f>"BOLETO"</f>
        <v>BOLETO</v>
      </c>
      <c r="D1441" t="str">
        <f>"072025076178852"</f>
        <v>072025076178852</v>
      </c>
      <c r="E1441" t="str">
        <f t="shared" si="727"/>
        <v>COM</v>
      </c>
      <c r="F1441" t="str">
        <f>"MINISTERIO DA FAZENDA (20009)"</f>
        <v>MINISTERIO DA FAZENDA (20009)</v>
      </c>
      <c r="G1441" t="str">
        <f>"SIMPLES NACIONAL MES 02/2025"</f>
        <v>SIMPLES NACIONAL MES 02/2025</v>
      </c>
      <c r="H1441" t="str">
        <f t="shared" si="719"/>
        <v>20/03/2025</v>
      </c>
      <c r="I1441" t="str">
        <f>("28/02/2025")</f>
        <v>28/02/2025</v>
      </c>
      <c r="J1441" t="str">
        <f t="shared" si="718"/>
        <v>20/03/2025</v>
      </c>
      <c r="K1441">
        <v>11527.07</v>
      </c>
      <c r="L1441">
        <v>11527.07</v>
      </c>
      <c r="M1441">
        <v>144</v>
      </c>
      <c r="N1441" t="str">
        <f>"SIMPLES NACIONAL (DASN)"</f>
        <v>SIMPLES NACIONAL (DASN)</v>
      </c>
      <c r="O1441">
        <v>11527.07</v>
      </c>
      <c r="R1441" t="str">
        <f t="shared" si="726"/>
        <v>BANCO CORA (102)</v>
      </c>
      <c r="S1441">
        <v>1256</v>
      </c>
      <c r="T1441">
        <v>892</v>
      </c>
      <c r="U1441" t="s">
        <v>19</v>
      </c>
    </row>
    <row r="1442" spans="1:21">
      <c r="A1442" t="str">
        <f t="shared" si="716"/>
        <v>20/03/2025</v>
      </c>
      <c r="B1442" t="str">
        <f t="shared" si="720"/>
        <v>SAÍDA</v>
      </c>
      <c r="C1442" t="str">
        <f>"BOLETO"</f>
        <v>BOLETO</v>
      </c>
      <c r="D1442" t="str">
        <f>"2320"</f>
        <v>2320</v>
      </c>
      <c r="E1442" t="str">
        <f t="shared" si="727"/>
        <v>COM</v>
      </c>
      <c r="F1442" t="str">
        <f>"INFINITY BRASIL LTDA (20020)"</f>
        <v>INFINITY BRASIL LTDA (20020)</v>
      </c>
      <c r="G1442" t="str">
        <f>"SERVIDOR FLUX FARMA PERÍODO FEVEREIRO/2025"</f>
        <v>SERVIDOR FLUX FARMA PERÍODO FEVEREIRO/2025</v>
      </c>
      <c r="H1442" t="str">
        <f t="shared" si="719"/>
        <v>20/03/2025</v>
      </c>
      <c r="I1442" t="str">
        <f>("11/03/2025")</f>
        <v>11/03/2025</v>
      </c>
      <c r="J1442" t="str">
        <f t="shared" si="718"/>
        <v>20/03/2025</v>
      </c>
      <c r="K1442">
        <v>549</v>
      </c>
      <c r="L1442">
        <v>549</v>
      </c>
      <c r="M1442">
        <v>104</v>
      </c>
      <c r="N1442" t="str">
        <f>"SOFTWARE / LICENÇAS"</f>
        <v>SOFTWARE / LICENÇAS</v>
      </c>
      <c r="O1442">
        <v>549</v>
      </c>
      <c r="R1442" t="str">
        <f t="shared" si="726"/>
        <v>BANCO CORA (102)</v>
      </c>
      <c r="S1442">
        <v>1257</v>
      </c>
      <c r="T1442">
        <v>903</v>
      </c>
      <c r="U1442" t="s">
        <v>19</v>
      </c>
    </row>
    <row r="1443" spans="1:21">
      <c r="A1443" t="str">
        <f t="shared" ref="A1443:A1451" si="728">("21/03/2025")</f>
        <v>21/03/2025</v>
      </c>
      <c r="B1443" t="str">
        <f>"ENTRADA"</f>
        <v>ENTRADA</v>
      </c>
      <c r="C1443" t="str">
        <f t="shared" ref="C1443:C1448" si="729">"NFSE"</f>
        <v>NFSE</v>
      </c>
      <c r="D1443" t="str">
        <f>"2795"</f>
        <v>2795</v>
      </c>
      <c r="E1443" t="str">
        <f t="shared" si="727"/>
        <v>COM</v>
      </c>
      <c r="F1443" t="str">
        <f>"PAGMENOS - LJ 608 (10135)"</f>
        <v>PAGMENOS - LJ 608 (10135)</v>
      </c>
      <c r="G1443" t="str">
        <f>"Serv.Prest. 03/03/2025 a 09/03/2025 - RPS: 567 - NFSe: 2795"</f>
        <v>Serv.Prest. 03/03/2025 a 09/03/2025 - RPS: 567 - NFSe: 2795</v>
      </c>
      <c r="H1443" t="str">
        <f t="shared" si="719"/>
        <v>20/03/2025</v>
      </c>
      <c r="I1443" t="str">
        <f>("10/03/2025")</f>
        <v>10/03/2025</v>
      </c>
      <c r="J1443" t="str">
        <f t="shared" ref="J1443:J1451" si="730">("21/03/2025")</f>
        <v>21/03/2025</v>
      </c>
      <c r="K1443">
        <v>280.20999999999998</v>
      </c>
      <c r="L1443">
        <v>280.20999999999998</v>
      </c>
      <c r="M1443">
        <v>303</v>
      </c>
      <c r="N1443" t="str">
        <f t="shared" ref="N1443:N1448" si="731">"RECEITAS COM ENTREGAS"</f>
        <v>RECEITAS COM ENTREGAS</v>
      </c>
      <c r="O1443">
        <v>280.20999999999998</v>
      </c>
      <c r="R1443" t="str">
        <f t="shared" ref="R1443:R1448" si="732">"RECEITAS COM ENTREGAS (303)"</f>
        <v>RECEITAS COM ENTREGAS (303)</v>
      </c>
      <c r="S1443">
        <v>1236</v>
      </c>
      <c r="T1443">
        <v>970</v>
      </c>
      <c r="U1443" t="s">
        <v>19</v>
      </c>
    </row>
    <row r="1444" spans="1:21">
      <c r="A1444" t="str">
        <f t="shared" si="728"/>
        <v>21/03/2025</v>
      </c>
      <c r="B1444" t="str">
        <f t="shared" ref="B1444:B1448" si="733">"ENTRADA"</f>
        <v>ENTRADA</v>
      </c>
      <c r="C1444" t="str">
        <f t="shared" si="729"/>
        <v>NFSE</v>
      </c>
      <c r="D1444" t="str">
        <f>"2795"</f>
        <v>2795</v>
      </c>
      <c r="E1444" t="str">
        <f t="shared" si="727"/>
        <v>COM</v>
      </c>
      <c r="F1444" t="str">
        <f>"PAGMENOS - LJ 608 (10135)"</f>
        <v>PAGMENOS - LJ 608 (10135)</v>
      </c>
      <c r="G1444" t="str">
        <f>"Serv.Prest. 03/03/2025 a 09/03/2025 - RPS: 567 - NFSe: 2795"</f>
        <v>Serv.Prest. 03/03/2025 a 09/03/2025 - RPS: 567 - NFSe: 2795</v>
      </c>
      <c r="H1444" t="str">
        <f t="shared" si="719"/>
        <v>20/03/2025</v>
      </c>
      <c r="I1444" t="str">
        <f>("10/03/2025")</f>
        <v>10/03/2025</v>
      </c>
      <c r="J1444" t="str">
        <f t="shared" si="730"/>
        <v>21/03/2025</v>
      </c>
      <c r="M1444">
        <v>303</v>
      </c>
      <c r="N1444" t="str">
        <f t="shared" si="731"/>
        <v>RECEITAS COM ENTREGAS</v>
      </c>
      <c r="P1444">
        <v>280.20999999999998</v>
      </c>
      <c r="Q1444" t="str">
        <f>"PAGMENOS - LJ 608 (10135)"</f>
        <v>PAGMENOS - LJ 608 (10135)</v>
      </c>
      <c r="R1444" t="str">
        <f t="shared" si="732"/>
        <v>RECEITAS COM ENTREGAS (303)</v>
      </c>
      <c r="S1444">
        <v>1236</v>
      </c>
      <c r="T1444">
        <v>970</v>
      </c>
      <c r="U1444" t="s">
        <v>19</v>
      </c>
    </row>
    <row r="1445" spans="1:21">
      <c r="A1445" t="str">
        <f t="shared" si="728"/>
        <v>21/03/2025</v>
      </c>
      <c r="B1445" t="str">
        <f t="shared" si="733"/>
        <v>ENTRADA</v>
      </c>
      <c r="C1445" t="str">
        <f t="shared" si="729"/>
        <v>NFSE</v>
      </c>
      <c r="D1445" t="str">
        <f>"2803"</f>
        <v>2803</v>
      </c>
      <c r="E1445" t="str">
        <f t="shared" si="727"/>
        <v>COM</v>
      </c>
      <c r="F1445" t="str">
        <f>"PAGMENOS - LJ 657 (10136)"</f>
        <v>PAGMENOS - LJ 657 (10136)</v>
      </c>
      <c r="G1445" t="str">
        <f>"Serv.Prest. 03/03/2025 a 09/03/2025 - RPS: 575 - NFSe: 2803"</f>
        <v>Serv.Prest. 03/03/2025 a 09/03/2025 - RPS: 575 - NFSe: 2803</v>
      </c>
      <c r="H1445" t="str">
        <f t="shared" si="719"/>
        <v>20/03/2025</v>
      </c>
      <c r="I1445" t="str">
        <f>("11/03/2025")</f>
        <v>11/03/2025</v>
      </c>
      <c r="J1445" t="str">
        <f t="shared" si="730"/>
        <v>21/03/2025</v>
      </c>
      <c r="K1445">
        <v>596.6</v>
      </c>
      <c r="L1445">
        <v>596.6</v>
      </c>
      <c r="M1445">
        <v>303</v>
      </c>
      <c r="N1445" t="str">
        <f t="shared" si="731"/>
        <v>RECEITAS COM ENTREGAS</v>
      </c>
      <c r="O1445">
        <v>596.6</v>
      </c>
      <c r="R1445" t="str">
        <f t="shared" si="732"/>
        <v>RECEITAS COM ENTREGAS (303)</v>
      </c>
      <c r="S1445">
        <v>1237</v>
      </c>
      <c r="T1445">
        <v>978</v>
      </c>
      <c r="U1445" t="s">
        <v>19</v>
      </c>
    </row>
    <row r="1446" spans="1:21">
      <c r="A1446" t="str">
        <f t="shared" si="728"/>
        <v>21/03/2025</v>
      </c>
      <c r="B1446" t="str">
        <f t="shared" si="733"/>
        <v>ENTRADA</v>
      </c>
      <c r="C1446" t="str">
        <f t="shared" si="729"/>
        <v>NFSE</v>
      </c>
      <c r="D1446" t="str">
        <f>"2803"</f>
        <v>2803</v>
      </c>
      <c r="E1446" t="str">
        <f t="shared" si="727"/>
        <v>COM</v>
      </c>
      <c r="F1446" t="str">
        <f>"PAGMENOS - LJ 657 (10136)"</f>
        <v>PAGMENOS - LJ 657 (10136)</v>
      </c>
      <c r="G1446" t="str">
        <f>"Serv.Prest. 03/03/2025 a 09/03/2025 - RPS: 575 - NFSe: 2803"</f>
        <v>Serv.Prest. 03/03/2025 a 09/03/2025 - RPS: 575 - NFSe: 2803</v>
      </c>
      <c r="H1446" t="str">
        <f t="shared" si="719"/>
        <v>20/03/2025</v>
      </c>
      <c r="I1446" t="str">
        <f>("11/03/2025")</f>
        <v>11/03/2025</v>
      </c>
      <c r="J1446" t="str">
        <f t="shared" si="730"/>
        <v>21/03/2025</v>
      </c>
      <c r="M1446">
        <v>303</v>
      </c>
      <c r="N1446" t="str">
        <f t="shared" si="731"/>
        <v>RECEITAS COM ENTREGAS</v>
      </c>
      <c r="P1446">
        <v>596.6</v>
      </c>
      <c r="Q1446" t="str">
        <f>"PAGMENOS - LJ 657 (10136)"</f>
        <v>PAGMENOS - LJ 657 (10136)</v>
      </c>
      <c r="R1446" t="str">
        <f t="shared" si="732"/>
        <v>RECEITAS COM ENTREGAS (303)</v>
      </c>
      <c r="S1446">
        <v>1237</v>
      </c>
      <c r="T1446">
        <v>978</v>
      </c>
      <c r="U1446" t="s">
        <v>19</v>
      </c>
    </row>
    <row r="1447" spans="1:21">
      <c r="A1447" t="str">
        <f t="shared" si="728"/>
        <v>21/03/2025</v>
      </c>
      <c r="B1447" t="str">
        <f t="shared" si="733"/>
        <v>ENTRADA</v>
      </c>
      <c r="C1447" t="str">
        <f t="shared" si="729"/>
        <v>NFSE</v>
      </c>
      <c r="D1447" t="str">
        <f>"2815"</f>
        <v>2815</v>
      </c>
      <c r="E1447" t="str">
        <f t="shared" si="727"/>
        <v>COM</v>
      </c>
      <c r="F1447" t="str">
        <f>"DROGARIA POUPA MINAS (DOIS AMIGOS) 5 (10140)"</f>
        <v>DROGARIA POUPA MINAS (DOIS AMIGOS) 5 (10140)</v>
      </c>
      <c r="G1447" t="str">
        <f>"Serv.Prest. 10/03/2025 a 16/03/2025 - RPS: 587 - NFSe: 2815"</f>
        <v>Serv.Prest. 10/03/2025 a 16/03/2025 - RPS: 587 - NFSe: 2815</v>
      </c>
      <c r="H1447" t="str">
        <f t="shared" si="719"/>
        <v>20/03/2025</v>
      </c>
      <c r="I1447" t="str">
        <f>("17/03/2025")</f>
        <v>17/03/2025</v>
      </c>
      <c r="J1447" t="str">
        <f t="shared" si="730"/>
        <v>21/03/2025</v>
      </c>
      <c r="K1447">
        <v>855.81</v>
      </c>
      <c r="L1447">
        <v>855.81</v>
      </c>
      <c r="M1447">
        <v>303</v>
      </c>
      <c r="N1447" t="str">
        <f t="shared" si="731"/>
        <v>RECEITAS COM ENTREGAS</v>
      </c>
      <c r="O1447">
        <v>855.81</v>
      </c>
      <c r="R1447" t="str">
        <f t="shared" si="732"/>
        <v>RECEITAS COM ENTREGAS (303)</v>
      </c>
      <c r="S1447">
        <v>1238</v>
      </c>
      <c r="T1447">
        <v>997</v>
      </c>
      <c r="U1447" t="s">
        <v>19</v>
      </c>
    </row>
    <row r="1448" spans="1:21">
      <c r="A1448" t="str">
        <f t="shared" si="728"/>
        <v>21/03/2025</v>
      </c>
      <c r="B1448" t="str">
        <f t="shared" si="733"/>
        <v>ENTRADA</v>
      </c>
      <c r="C1448" t="str">
        <f t="shared" si="729"/>
        <v>NFSE</v>
      </c>
      <c r="D1448" t="str">
        <f>"2815"</f>
        <v>2815</v>
      </c>
      <c r="E1448" t="str">
        <f t="shared" si="727"/>
        <v>COM</v>
      </c>
      <c r="F1448" t="str">
        <f>"DROGARIA POUPA MINAS (DOIS AMIGOS) 5 (10140)"</f>
        <v>DROGARIA POUPA MINAS (DOIS AMIGOS) 5 (10140)</v>
      </c>
      <c r="G1448" t="str">
        <f>"Serv.Prest. 10/03/2025 a 16/03/2025 - RPS: 587 - NFSe: 2815"</f>
        <v>Serv.Prest. 10/03/2025 a 16/03/2025 - RPS: 587 - NFSe: 2815</v>
      </c>
      <c r="H1448" t="str">
        <f t="shared" si="719"/>
        <v>20/03/2025</v>
      </c>
      <c r="I1448" t="str">
        <f>("17/03/2025")</f>
        <v>17/03/2025</v>
      </c>
      <c r="J1448" t="str">
        <f t="shared" si="730"/>
        <v>21/03/2025</v>
      </c>
      <c r="M1448">
        <v>303</v>
      </c>
      <c r="N1448" t="str">
        <f t="shared" si="731"/>
        <v>RECEITAS COM ENTREGAS</v>
      </c>
      <c r="P1448">
        <v>855.81</v>
      </c>
      <c r="Q1448" t="str">
        <f>"DROGARIA POUPA MINAS (ULTRAMINAS) (10116)"</f>
        <v>DROGARIA POUPA MINAS (ULTRAMINAS) (10116)</v>
      </c>
      <c r="R1448" t="str">
        <f t="shared" si="732"/>
        <v>RECEITAS COM ENTREGAS (303)</v>
      </c>
      <c r="S1448">
        <v>1238</v>
      </c>
      <c r="T1448">
        <v>997</v>
      </c>
      <c r="U1448" t="s">
        <v>19</v>
      </c>
    </row>
    <row r="1449" spans="1:21">
      <c r="A1449" t="str">
        <f t="shared" si="728"/>
        <v>21/03/2025</v>
      </c>
      <c r="B1449" t="str">
        <f>"SAÍDA"</f>
        <v>SAÍDA</v>
      </c>
      <c r="C1449" t="str">
        <f>"JUROS"</f>
        <v>JUROS</v>
      </c>
      <c r="D1449" t="str">
        <f>""</f>
        <v/>
      </c>
      <c r="E1449" t="str">
        <f>"CXA"</f>
        <v>CXA</v>
      </c>
      <c r="F1449" t="str">
        <f>""</f>
        <v/>
      </c>
      <c r="G1449" t="str">
        <f>"TAXA BOLETO COMPENSADO"</f>
        <v>TAXA BOLETO COMPENSADO</v>
      </c>
      <c r="H1449" t="str">
        <f t="shared" ref="H1449:I1451" si="734">("21/03/2025")</f>
        <v>21/03/2025</v>
      </c>
      <c r="I1449" t="str">
        <f t="shared" si="734"/>
        <v>21/03/2025</v>
      </c>
      <c r="J1449" t="str">
        <f t="shared" si="730"/>
        <v>21/03/2025</v>
      </c>
      <c r="K1449">
        <v>1.7</v>
      </c>
      <c r="L1449">
        <v>1.7</v>
      </c>
      <c r="M1449">
        <v>401</v>
      </c>
      <c r="N1449" t="str">
        <f>"IOF/JUROS/DESP.FINANCEIRA"</f>
        <v>IOF/JUROS/DESP.FINANCEIRA</v>
      </c>
      <c r="O1449">
        <v>1.7</v>
      </c>
      <c r="R1449" t="str">
        <f>"BANCO CORA (102)"</f>
        <v>BANCO CORA (102)</v>
      </c>
      <c r="S1449">
        <v>1251</v>
      </c>
      <c r="T1449">
        <v>0</v>
      </c>
      <c r="U1449" t="s">
        <v>20</v>
      </c>
    </row>
    <row r="1450" spans="1:21">
      <c r="A1450" t="str">
        <f t="shared" si="728"/>
        <v>21/03/2025</v>
      </c>
      <c r="B1450" t="str">
        <f>"SAÍDA"</f>
        <v>SAÍDA</v>
      </c>
      <c r="C1450" t="str">
        <f>"JUROS"</f>
        <v>JUROS</v>
      </c>
      <c r="D1450" t="str">
        <f>""</f>
        <v/>
      </c>
      <c r="E1450" t="str">
        <f>"CXA"</f>
        <v>CXA</v>
      </c>
      <c r="F1450" t="str">
        <f>""</f>
        <v/>
      </c>
      <c r="G1450" t="str">
        <f>"TAXA BOLETO COMPENSADO"</f>
        <v>TAXA BOLETO COMPENSADO</v>
      </c>
      <c r="H1450" t="str">
        <f t="shared" si="734"/>
        <v>21/03/2025</v>
      </c>
      <c r="I1450" t="str">
        <f t="shared" si="734"/>
        <v>21/03/2025</v>
      </c>
      <c r="J1450" t="str">
        <f t="shared" si="730"/>
        <v>21/03/2025</v>
      </c>
      <c r="K1450">
        <v>1.7</v>
      </c>
      <c r="L1450">
        <v>1.7</v>
      </c>
      <c r="M1450">
        <v>401</v>
      </c>
      <c r="N1450" t="str">
        <f>"IOF/JUROS/DESP.FINANCEIRA"</f>
        <v>IOF/JUROS/DESP.FINANCEIRA</v>
      </c>
      <c r="O1450">
        <v>1.7</v>
      </c>
      <c r="R1450" t="str">
        <f>"BANCO CORA (102)"</f>
        <v>BANCO CORA (102)</v>
      </c>
      <c r="S1450">
        <v>1252</v>
      </c>
      <c r="T1450">
        <v>0</v>
      </c>
      <c r="U1450" t="s">
        <v>20</v>
      </c>
    </row>
    <row r="1451" spans="1:21">
      <c r="A1451" t="str">
        <f t="shared" si="728"/>
        <v>21/03/2025</v>
      </c>
      <c r="B1451" t="str">
        <f>"SAÍDA"</f>
        <v>SAÍDA</v>
      </c>
      <c r="C1451" t="str">
        <f>"JUROS"</f>
        <v>JUROS</v>
      </c>
      <c r="D1451" t="str">
        <f>""</f>
        <v/>
      </c>
      <c r="E1451" t="str">
        <f>"CXA"</f>
        <v>CXA</v>
      </c>
      <c r="F1451" t="str">
        <f>""</f>
        <v/>
      </c>
      <c r="G1451" t="str">
        <f>"TAXA BOLETO COMPENSADO"</f>
        <v>TAXA BOLETO COMPENSADO</v>
      </c>
      <c r="H1451" t="str">
        <f t="shared" si="734"/>
        <v>21/03/2025</v>
      </c>
      <c r="I1451" t="str">
        <f t="shared" si="734"/>
        <v>21/03/2025</v>
      </c>
      <c r="J1451" t="str">
        <f t="shared" si="730"/>
        <v>21/03/2025</v>
      </c>
      <c r="K1451">
        <v>1.7</v>
      </c>
      <c r="L1451">
        <v>1.7</v>
      </c>
      <c r="M1451">
        <v>401</v>
      </c>
      <c r="N1451" t="str">
        <f>"IOF/JUROS/DESP.FINANCEIRA"</f>
        <v>IOF/JUROS/DESP.FINANCEIRA</v>
      </c>
      <c r="O1451">
        <v>1.7</v>
      </c>
      <c r="R1451" t="str">
        <f>"BANCO CORA (102)"</f>
        <v>BANCO CORA (102)</v>
      </c>
      <c r="S1451">
        <v>1253</v>
      </c>
      <c r="T1451">
        <v>0</v>
      </c>
      <c r="U1451" t="s">
        <v>20</v>
      </c>
    </row>
    <row r="1452" spans="1:21">
      <c r="A1452" t="str">
        <f t="shared" ref="A1452:A1483" si="735">("26/03/2025")</f>
        <v>26/03/2025</v>
      </c>
      <c r="B1452" t="str">
        <f>"ENTRADA"</f>
        <v>ENTRADA</v>
      </c>
      <c r="C1452" t="str">
        <f t="shared" ref="C1452:C1483" si="736">"NFSE"</f>
        <v>NFSE</v>
      </c>
      <c r="D1452" t="str">
        <f t="shared" ref="D1452:D1497" si="737">"2818"</f>
        <v>2818</v>
      </c>
      <c r="E1452" t="str">
        <f t="shared" ref="E1452:E1483" si="738">"COM"</f>
        <v>COM</v>
      </c>
      <c r="F1452" t="str">
        <f t="shared" ref="F1452:F1497" si="739">"FARMÁCIA INDIANA LJ 1 (10126)"</f>
        <v>FARMÁCIA INDIANA LJ 1 (10126)</v>
      </c>
      <c r="G1452" t="str">
        <f t="shared" ref="G1452:G1497" si="740">"Serv.Prest. 10/03/2025 a 16/03/2025 - RPS: 590 - NFSe: 2818"</f>
        <v>Serv.Prest. 10/03/2025 a 16/03/2025 - RPS: 590 - NFSe: 2818</v>
      </c>
      <c r="H1452" t="str">
        <f t="shared" ref="H1452:H1483" si="741">("26/03/2025")</f>
        <v>26/03/2025</v>
      </c>
      <c r="I1452" t="str">
        <f t="shared" ref="I1452:I1483" si="742">("18/03/2025")</f>
        <v>18/03/2025</v>
      </c>
      <c r="J1452" t="str">
        <f t="shared" ref="J1452:J1483" si="743">("26/03/2025")</f>
        <v>26/03/2025</v>
      </c>
      <c r="K1452">
        <v>14054.49</v>
      </c>
      <c r="L1452">
        <v>14054.49</v>
      </c>
      <c r="M1452">
        <v>303</v>
      </c>
      <c r="N1452" t="str">
        <f t="shared" ref="N1452:N1483" si="744">"RECEITAS COM ENTREGAS"</f>
        <v>RECEITAS COM ENTREGAS</v>
      </c>
      <c r="O1452">
        <v>14054.49</v>
      </c>
      <c r="R1452" t="str">
        <f t="shared" ref="R1452:R1483" si="745">"RECEITAS COM ENTREGAS (303)"</f>
        <v>RECEITAS COM ENTREGAS (303)</v>
      </c>
      <c r="S1452">
        <v>1264</v>
      </c>
      <c r="T1452">
        <v>1000</v>
      </c>
      <c r="U1452" t="s">
        <v>19</v>
      </c>
    </row>
    <row r="1453" spans="1:21">
      <c r="A1453" t="str">
        <f t="shared" si="735"/>
        <v>26/03/2025</v>
      </c>
      <c r="B1453" t="str">
        <f t="shared" ref="B1453:B1516" si="746">"ENTRADA"</f>
        <v>ENTRADA</v>
      </c>
      <c r="C1453" t="str">
        <f t="shared" si="736"/>
        <v>NFSE</v>
      </c>
      <c r="D1453" t="str">
        <f t="shared" si="737"/>
        <v>2818</v>
      </c>
      <c r="E1453" t="str">
        <f t="shared" si="738"/>
        <v>COM</v>
      </c>
      <c r="F1453" t="str">
        <f t="shared" si="739"/>
        <v>FARMÁCIA INDIANA LJ 1 (10126)</v>
      </c>
      <c r="G1453" t="str">
        <f t="shared" si="740"/>
        <v>Serv.Prest. 10/03/2025 a 16/03/2025 - RPS: 590 - NFSe: 2818</v>
      </c>
      <c r="H1453" t="str">
        <f t="shared" si="741"/>
        <v>26/03/2025</v>
      </c>
      <c r="I1453" t="str">
        <f t="shared" si="742"/>
        <v>18/03/2025</v>
      </c>
      <c r="J1453" t="str">
        <f t="shared" si="743"/>
        <v>26/03/2025</v>
      </c>
      <c r="M1453">
        <v>303</v>
      </c>
      <c r="N1453" t="str">
        <f t="shared" si="744"/>
        <v>RECEITAS COM ENTREGAS</v>
      </c>
      <c r="P1453">
        <v>1814.45</v>
      </c>
      <c r="Q1453" t="str">
        <f>"FARMÁCIA INDIANA LJ 06 (10006)"</f>
        <v>FARMÁCIA INDIANA LJ 06 (10006)</v>
      </c>
      <c r="R1453" t="str">
        <f t="shared" si="745"/>
        <v>RECEITAS COM ENTREGAS (303)</v>
      </c>
      <c r="S1453">
        <v>1264</v>
      </c>
      <c r="T1453">
        <v>1000</v>
      </c>
      <c r="U1453" t="s">
        <v>19</v>
      </c>
    </row>
    <row r="1454" spans="1:21">
      <c r="A1454" t="str">
        <f t="shared" si="735"/>
        <v>26/03/2025</v>
      </c>
      <c r="B1454" t="str">
        <f t="shared" si="746"/>
        <v>ENTRADA</v>
      </c>
      <c r="C1454" t="str">
        <f t="shared" si="736"/>
        <v>NFSE</v>
      </c>
      <c r="D1454" t="str">
        <f t="shared" si="737"/>
        <v>2818</v>
      </c>
      <c r="E1454" t="str">
        <f t="shared" si="738"/>
        <v>COM</v>
      </c>
      <c r="F1454" t="str">
        <f t="shared" si="739"/>
        <v>FARMÁCIA INDIANA LJ 1 (10126)</v>
      </c>
      <c r="G1454" t="str">
        <f t="shared" si="740"/>
        <v>Serv.Prest. 10/03/2025 a 16/03/2025 - RPS: 590 - NFSe: 2818</v>
      </c>
      <c r="H1454" t="str">
        <f t="shared" si="741"/>
        <v>26/03/2025</v>
      </c>
      <c r="I1454" t="str">
        <f t="shared" si="742"/>
        <v>18/03/2025</v>
      </c>
      <c r="J1454" t="str">
        <f t="shared" si="743"/>
        <v>26/03/2025</v>
      </c>
      <c r="M1454">
        <v>303</v>
      </c>
      <c r="N1454" t="str">
        <f t="shared" si="744"/>
        <v>RECEITAS COM ENTREGAS</v>
      </c>
      <c r="P1454">
        <v>1510.86</v>
      </c>
      <c r="Q1454" t="str">
        <f>"FARMÁCIA INDIANA LJ 07 (10007)"</f>
        <v>FARMÁCIA INDIANA LJ 07 (10007)</v>
      </c>
      <c r="R1454" t="str">
        <f t="shared" si="745"/>
        <v>RECEITAS COM ENTREGAS (303)</v>
      </c>
      <c r="S1454">
        <v>1264</v>
      </c>
      <c r="T1454">
        <v>1000</v>
      </c>
      <c r="U1454" t="s">
        <v>19</v>
      </c>
    </row>
    <row r="1455" spans="1:21">
      <c r="A1455" t="str">
        <f t="shared" si="735"/>
        <v>26/03/2025</v>
      </c>
      <c r="B1455" t="str">
        <f t="shared" si="746"/>
        <v>ENTRADA</v>
      </c>
      <c r="C1455" t="str">
        <f t="shared" si="736"/>
        <v>NFSE</v>
      </c>
      <c r="D1455" t="str">
        <f t="shared" si="737"/>
        <v>2818</v>
      </c>
      <c r="E1455" t="str">
        <f t="shared" si="738"/>
        <v>COM</v>
      </c>
      <c r="F1455" t="str">
        <f t="shared" si="739"/>
        <v>FARMÁCIA INDIANA LJ 1 (10126)</v>
      </c>
      <c r="G1455" t="str">
        <f t="shared" si="740"/>
        <v>Serv.Prest. 10/03/2025 a 16/03/2025 - RPS: 590 - NFSe: 2818</v>
      </c>
      <c r="H1455" t="str">
        <f t="shared" si="741"/>
        <v>26/03/2025</v>
      </c>
      <c r="I1455" t="str">
        <f t="shared" si="742"/>
        <v>18/03/2025</v>
      </c>
      <c r="J1455" t="str">
        <f t="shared" si="743"/>
        <v>26/03/2025</v>
      </c>
      <c r="M1455">
        <v>303</v>
      </c>
      <c r="N1455" t="str">
        <f t="shared" si="744"/>
        <v>RECEITAS COM ENTREGAS</v>
      </c>
      <c r="P1455">
        <v>1162.31</v>
      </c>
      <c r="Q1455" t="str">
        <f>"FARMÁCIA INDIANA LJ 11 (10008)"</f>
        <v>FARMÁCIA INDIANA LJ 11 (10008)</v>
      </c>
      <c r="R1455" t="str">
        <f t="shared" si="745"/>
        <v>RECEITAS COM ENTREGAS (303)</v>
      </c>
      <c r="S1455">
        <v>1264</v>
      </c>
      <c r="T1455">
        <v>1000</v>
      </c>
      <c r="U1455" t="s">
        <v>19</v>
      </c>
    </row>
    <row r="1456" spans="1:21">
      <c r="A1456" t="str">
        <f t="shared" si="735"/>
        <v>26/03/2025</v>
      </c>
      <c r="B1456" t="str">
        <f t="shared" si="746"/>
        <v>ENTRADA</v>
      </c>
      <c r="C1456" t="str">
        <f t="shared" si="736"/>
        <v>NFSE</v>
      </c>
      <c r="D1456" t="str">
        <f t="shared" si="737"/>
        <v>2818</v>
      </c>
      <c r="E1456" t="str">
        <f t="shared" si="738"/>
        <v>COM</v>
      </c>
      <c r="F1456" t="str">
        <f t="shared" si="739"/>
        <v>FARMÁCIA INDIANA LJ 1 (10126)</v>
      </c>
      <c r="G1456" t="str">
        <f t="shared" si="740"/>
        <v>Serv.Prest. 10/03/2025 a 16/03/2025 - RPS: 590 - NFSe: 2818</v>
      </c>
      <c r="H1456" t="str">
        <f t="shared" si="741"/>
        <v>26/03/2025</v>
      </c>
      <c r="I1456" t="str">
        <f t="shared" si="742"/>
        <v>18/03/2025</v>
      </c>
      <c r="J1456" t="str">
        <f t="shared" si="743"/>
        <v>26/03/2025</v>
      </c>
      <c r="M1456">
        <v>303</v>
      </c>
      <c r="N1456" t="str">
        <f t="shared" si="744"/>
        <v>RECEITAS COM ENTREGAS</v>
      </c>
      <c r="P1456">
        <v>341.52</v>
      </c>
      <c r="Q1456" t="str">
        <f>"FARMÁCIA INDIANA LJ 14 (10009)"</f>
        <v>FARMÁCIA INDIANA LJ 14 (10009)</v>
      </c>
      <c r="R1456" t="str">
        <f t="shared" si="745"/>
        <v>RECEITAS COM ENTREGAS (303)</v>
      </c>
      <c r="S1456">
        <v>1264</v>
      </c>
      <c r="T1456">
        <v>1000</v>
      </c>
      <c r="U1456" t="s">
        <v>19</v>
      </c>
    </row>
    <row r="1457" spans="1:21">
      <c r="A1457" t="str">
        <f t="shared" si="735"/>
        <v>26/03/2025</v>
      </c>
      <c r="B1457" t="str">
        <f t="shared" si="746"/>
        <v>ENTRADA</v>
      </c>
      <c r="C1457" t="str">
        <f t="shared" si="736"/>
        <v>NFSE</v>
      </c>
      <c r="D1457" t="str">
        <f t="shared" si="737"/>
        <v>2818</v>
      </c>
      <c r="E1457" t="str">
        <f t="shared" si="738"/>
        <v>COM</v>
      </c>
      <c r="F1457" t="str">
        <f t="shared" si="739"/>
        <v>FARMÁCIA INDIANA LJ 1 (10126)</v>
      </c>
      <c r="G1457" t="str">
        <f t="shared" si="740"/>
        <v>Serv.Prest. 10/03/2025 a 16/03/2025 - RPS: 590 - NFSe: 2818</v>
      </c>
      <c r="H1457" t="str">
        <f t="shared" si="741"/>
        <v>26/03/2025</v>
      </c>
      <c r="I1457" t="str">
        <f t="shared" si="742"/>
        <v>18/03/2025</v>
      </c>
      <c r="J1457" t="str">
        <f t="shared" si="743"/>
        <v>26/03/2025</v>
      </c>
      <c r="M1457">
        <v>303</v>
      </c>
      <c r="N1457" t="str">
        <f t="shared" si="744"/>
        <v>RECEITAS COM ENTREGAS</v>
      </c>
      <c r="P1457">
        <v>472.23</v>
      </c>
      <c r="Q1457" t="str">
        <f>"FARMÁCIA INDIANA LJ 18 (10011)"</f>
        <v>FARMÁCIA INDIANA LJ 18 (10011)</v>
      </c>
      <c r="R1457" t="str">
        <f t="shared" si="745"/>
        <v>RECEITAS COM ENTREGAS (303)</v>
      </c>
      <c r="S1457">
        <v>1264</v>
      </c>
      <c r="T1457">
        <v>1000</v>
      </c>
      <c r="U1457" t="s">
        <v>19</v>
      </c>
    </row>
    <row r="1458" spans="1:21">
      <c r="A1458" t="str">
        <f t="shared" si="735"/>
        <v>26/03/2025</v>
      </c>
      <c r="B1458" t="str">
        <f t="shared" si="746"/>
        <v>ENTRADA</v>
      </c>
      <c r="C1458" t="str">
        <f t="shared" si="736"/>
        <v>NFSE</v>
      </c>
      <c r="D1458" t="str">
        <f t="shared" si="737"/>
        <v>2818</v>
      </c>
      <c r="E1458" t="str">
        <f t="shared" si="738"/>
        <v>COM</v>
      </c>
      <c r="F1458" t="str">
        <f t="shared" si="739"/>
        <v>FARMÁCIA INDIANA LJ 1 (10126)</v>
      </c>
      <c r="G1458" t="str">
        <f t="shared" si="740"/>
        <v>Serv.Prest. 10/03/2025 a 16/03/2025 - RPS: 590 - NFSe: 2818</v>
      </c>
      <c r="H1458" t="str">
        <f t="shared" si="741"/>
        <v>26/03/2025</v>
      </c>
      <c r="I1458" t="str">
        <f t="shared" si="742"/>
        <v>18/03/2025</v>
      </c>
      <c r="J1458" t="str">
        <f t="shared" si="743"/>
        <v>26/03/2025</v>
      </c>
      <c r="M1458">
        <v>303</v>
      </c>
      <c r="N1458" t="str">
        <f t="shared" si="744"/>
        <v>RECEITAS COM ENTREGAS</v>
      </c>
      <c r="P1458">
        <v>361.2</v>
      </c>
      <c r="Q1458" t="str">
        <f>"FARMÁCIA INDIANA LJ 19 (10012)"</f>
        <v>FARMÁCIA INDIANA LJ 19 (10012)</v>
      </c>
      <c r="R1458" t="str">
        <f t="shared" si="745"/>
        <v>RECEITAS COM ENTREGAS (303)</v>
      </c>
      <c r="S1458">
        <v>1264</v>
      </c>
      <c r="T1458">
        <v>1000</v>
      </c>
      <c r="U1458" t="s">
        <v>19</v>
      </c>
    </row>
    <row r="1459" spans="1:21">
      <c r="A1459" t="str">
        <f t="shared" si="735"/>
        <v>26/03/2025</v>
      </c>
      <c r="B1459" t="str">
        <f t="shared" si="746"/>
        <v>ENTRADA</v>
      </c>
      <c r="C1459" t="str">
        <f t="shared" si="736"/>
        <v>NFSE</v>
      </c>
      <c r="D1459" t="str">
        <f t="shared" si="737"/>
        <v>2818</v>
      </c>
      <c r="E1459" t="str">
        <f t="shared" si="738"/>
        <v>COM</v>
      </c>
      <c r="F1459" t="str">
        <f t="shared" si="739"/>
        <v>FARMÁCIA INDIANA LJ 1 (10126)</v>
      </c>
      <c r="G1459" t="str">
        <f t="shared" si="740"/>
        <v>Serv.Prest. 10/03/2025 a 16/03/2025 - RPS: 590 - NFSe: 2818</v>
      </c>
      <c r="H1459" t="str">
        <f t="shared" si="741"/>
        <v>26/03/2025</v>
      </c>
      <c r="I1459" t="str">
        <f t="shared" si="742"/>
        <v>18/03/2025</v>
      </c>
      <c r="J1459" t="str">
        <f t="shared" si="743"/>
        <v>26/03/2025</v>
      </c>
      <c r="M1459">
        <v>303</v>
      </c>
      <c r="N1459" t="str">
        <f t="shared" si="744"/>
        <v>RECEITAS COM ENTREGAS</v>
      </c>
      <c r="P1459">
        <v>653.53</v>
      </c>
      <c r="Q1459" t="str">
        <f>"FARMÁCIA INDIANA LJ 40 (10016)"</f>
        <v>FARMÁCIA INDIANA LJ 40 (10016)</v>
      </c>
      <c r="R1459" t="str">
        <f t="shared" si="745"/>
        <v>RECEITAS COM ENTREGAS (303)</v>
      </c>
      <c r="S1459">
        <v>1264</v>
      </c>
      <c r="T1459">
        <v>1000</v>
      </c>
      <c r="U1459" t="s">
        <v>19</v>
      </c>
    </row>
    <row r="1460" spans="1:21">
      <c r="A1460" t="str">
        <f t="shared" si="735"/>
        <v>26/03/2025</v>
      </c>
      <c r="B1460" t="str">
        <f t="shared" si="746"/>
        <v>ENTRADA</v>
      </c>
      <c r="C1460" t="str">
        <f t="shared" si="736"/>
        <v>NFSE</v>
      </c>
      <c r="D1460" t="str">
        <f t="shared" si="737"/>
        <v>2818</v>
      </c>
      <c r="E1460" t="str">
        <f t="shared" si="738"/>
        <v>COM</v>
      </c>
      <c r="F1460" t="str">
        <f t="shared" si="739"/>
        <v>FARMÁCIA INDIANA LJ 1 (10126)</v>
      </c>
      <c r="G1460" t="str">
        <f t="shared" si="740"/>
        <v>Serv.Prest. 10/03/2025 a 16/03/2025 - RPS: 590 - NFSe: 2818</v>
      </c>
      <c r="H1460" t="str">
        <f t="shared" si="741"/>
        <v>26/03/2025</v>
      </c>
      <c r="I1460" t="str">
        <f t="shared" si="742"/>
        <v>18/03/2025</v>
      </c>
      <c r="J1460" t="str">
        <f t="shared" si="743"/>
        <v>26/03/2025</v>
      </c>
      <c r="M1460">
        <v>303</v>
      </c>
      <c r="N1460" t="str">
        <f t="shared" si="744"/>
        <v>RECEITAS COM ENTREGAS</v>
      </c>
      <c r="P1460">
        <v>389.31</v>
      </c>
      <c r="Q1460" t="str">
        <f>"FARMÁCIA INDIANA LJ 59 (10026)"</f>
        <v>FARMÁCIA INDIANA LJ 59 (10026)</v>
      </c>
      <c r="R1460" t="str">
        <f t="shared" si="745"/>
        <v>RECEITAS COM ENTREGAS (303)</v>
      </c>
      <c r="S1460">
        <v>1264</v>
      </c>
      <c r="T1460">
        <v>1000</v>
      </c>
      <c r="U1460" t="s">
        <v>19</v>
      </c>
    </row>
    <row r="1461" spans="1:21">
      <c r="A1461" t="str">
        <f t="shared" si="735"/>
        <v>26/03/2025</v>
      </c>
      <c r="B1461" t="str">
        <f t="shared" si="746"/>
        <v>ENTRADA</v>
      </c>
      <c r="C1461" t="str">
        <f t="shared" si="736"/>
        <v>NFSE</v>
      </c>
      <c r="D1461" t="str">
        <f t="shared" si="737"/>
        <v>2818</v>
      </c>
      <c r="E1461" t="str">
        <f t="shared" si="738"/>
        <v>COM</v>
      </c>
      <c r="F1461" t="str">
        <f t="shared" si="739"/>
        <v>FARMÁCIA INDIANA LJ 1 (10126)</v>
      </c>
      <c r="G1461" t="str">
        <f t="shared" si="740"/>
        <v>Serv.Prest. 10/03/2025 a 16/03/2025 - RPS: 590 - NFSe: 2818</v>
      </c>
      <c r="H1461" t="str">
        <f t="shared" si="741"/>
        <v>26/03/2025</v>
      </c>
      <c r="I1461" t="str">
        <f t="shared" si="742"/>
        <v>18/03/2025</v>
      </c>
      <c r="J1461" t="str">
        <f t="shared" si="743"/>
        <v>26/03/2025</v>
      </c>
      <c r="M1461">
        <v>303</v>
      </c>
      <c r="N1461" t="str">
        <f t="shared" si="744"/>
        <v>RECEITAS COM ENTREGAS</v>
      </c>
      <c r="P1461">
        <v>514.39</v>
      </c>
      <c r="Q1461" t="str">
        <f>"FARMÁCIA INDIANA LJ 61 (10027)"</f>
        <v>FARMÁCIA INDIANA LJ 61 (10027)</v>
      </c>
      <c r="R1461" t="str">
        <f t="shared" si="745"/>
        <v>RECEITAS COM ENTREGAS (303)</v>
      </c>
      <c r="S1461">
        <v>1264</v>
      </c>
      <c r="T1461">
        <v>1000</v>
      </c>
      <c r="U1461" t="s">
        <v>19</v>
      </c>
    </row>
    <row r="1462" spans="1:21">
      <c r="A1462" t="str">
        <f t="shared" si="735"/>
        <v>26/03/2025</v>
      </c>
      <c r="B1462" t="str">
        <f t="shared" si="746"/>
        <v>ENTRADA</v>
      </c>
      <c r="C1462" t="str">
        <f t="shared" si="736"/>
        <v>NFSE</v>
      </c>
      <c r="D1462" t="str">
        <f t="shared" si="737"/>
        <v>2818</v>
      </c>
      <c r="E1462" t="str">
        <f t="shared" si="738"/>
        <v>COM</v>
      </c>
      <c r="F1462" t="str">
        <f t="shared" si="739"/>
        <v>FARMÁCIA INDIANA LJ 1 (10126)</v>
      </c>
      <c r="G1462" t="str">
        <f t="shared" si="740"/>
        <v>Serv.Prest. 10/03/2025 a 16/03/2025 - RPS: 590 - NFSe: 2818</v>
      </c>
      <c r="H1462" t="str">
        <f t="shared" si="741"/>
        <v>26/03/2025</v>
      </c>
      <c r="I1462" t="str">
        <f t="shared" si="742"/>
        <v>18/03/2025</v>
      </c>
      <c r="J1462" t="str">
        <f t="shared" si="743"/>
        <v>26/03/2025</v>
      </c>
      <c r="M1462">
        <v>303</v>
      </c>
      <c r="N1462" t="str">
        <f t="shared" si="744"/>
        <v>RECEITAS COM ENTREGAS</v>
      </c>
      <c r="P1462">
        <v>295.14</v>
      </c>
      <c r="Q1462" t="str">
        <f>"FARMÁCIA INDIANA LJ 62 (10028)"</f>
        <v>FARMÁCIA INDIANA LJ 62 (10028)</v>
      </c>
      <c r="R1462" t="str">
        <f t="shared" si="745"/>
        <v>RECEITAS COM ENTREGAS (303)</v>
      </c>
      <c r="S1462">
        <v>1264</v>
      </c>
      <c r="T1462">
        <v>1000</v>
      </c>
      <c r="U1462" t="s">
        <v>19</v>
      </c>
    </row>
    <row r="1463" spans="1:21">
      <c r="A1463" t="str">
        <f t="shared" si="735"/>
        <v>26/03/2025</v>
      </c>
      <c r="B1463" t="str">
        <f t="shared" si="746"/>
        <v>ENTRADA</v>
      </c>
      <c r="C1463" t="str">
        <f t="shared" si="736"/>
        <v>NFSE</v>
      </c>
      <c r="D1463" t="str">
        <f t="shared" si="737"/>
        <v>2818</v>
      </c>
      <c r="E1463" t="str">
        <f t="shared" si="738"/>
        <v>COM</v>
      </c>
      <c r="F1463" t="str">
        <f t="shared" si="739"/>
        <v>FARMÁCIA INDIANA LJ 1 (10126)</v>
      </c>
      <c r="G1463" t="str">
        <f t="shared" si="740"/>
        <v>Serv.Prest. 10/03/2025 a 16/03/2025 - RPS: 590 - NFSe: 2818</v>
      </c>
      <c r="H1463" t="str">
        <f t="shared" si="741"/>
        <v>26/03/2025</v>
      </c>
      <c r="I1463" t="str">
        <f t="shared" si="742"/>
        <v>18/03/2025</v>
      </c>
      <c r="J1463" t="str">
        <f t="shared" si="743"/>
        <v>26/03/2025</v>
      </c>
      <c r="M1463">
        <v>303</v>
      </c>
      <c r="N1463" t="str">
        <f t="shared" si="744"/>
        <v>RECEITAS COM ENTREGAS</v>
      </c>
      <c r="P1463">
        <v>115.25</v>
      </c>
      <c r="Q1463" t="str">
        <f>"FARMÁCIA INDIANA LJ 64 (10029)"</f>
        <v>FARMÁCIA INDIANA LJ 64 (10029)</v>
      </c>
      <c r="R1463" t="str">
        <f t="shared" si="745"/>
        <v>RECEITAS COM ENTREGAS (303)</v>
      </c>
      <c r="S1463">
        <v>1264</v>
      </c>
      <c r="T1463">
        <v>1000</v>
      </c>
      <c r="U1463" t="s">
        <v>19</v>
      </c>
    </row>
    <row r="1464" spans="1:21">
      <c r="A1464" t="str">
        <f t="shared" si="735"/>
        <v>26/03/2025</v>
      </c>
      <c r="B1464" t="str">
        <f t="shared" si="746"/>
        <v>ENTRADA</v>
      </c>
      <c r="C1464" t="str">
        <f t="shared" si="736"/>
        <v>NFSE</v>
      </c>
      <c r="D1464" t="str">
        <f t="shared" si="737"/>
        <v>2818</v>
      </c>
      <c r="E1464" t="str">
        <f t="shared" si="738"/>
        <v>COM</v>
      </c>
      <c r="F1464" t="str">
        <f t="shared" si="739"/>
        <v>FARMÁCIA INDIANA LJ 1 (10126)</v>
      </c>
      <c r="G1464" t="str">
        <f t="shared" si="740"/>
        <v>Serv.Prest. 10/03/2025 a 16/03/2025 - RPS: 590 - NFSe: 2818</v>
      </c>
      <c r="H1464" t="str">
        <f t="shared" si="741"/>
        <v>26/03/2025</v>
      </c>
      <c r="I1464" t="str">
        <f t="shared" si="742"/>
        <v>18/03/2025</v>
      </c>
      <c r="J1464" t="str">
        <f t="shared" si="743"/>
        <v>26/03/2025</v>
      </c>
      <c r="M1464">
        <v>303</v>
      </c>
      <c r="N1464" t="str">
        <f t="shared" si="744"/>
        <v>RECEITAS COM ENTREGAS</v>
      </c>
      <c r="P1464">
        <v>66.06</v>
      </c>
      <c r="Q1464" t="str">
        <f>"FARMÁCIA INDIANA LJ 97 (10040)"</f>
        <v>FARMÁCIA INDIANA LJ 97 (10040)</v>
      </c>
      <c r="R1464" t="str">
        <f t="shared" si="745"/>
        <v>RECEITAS COM ENTREGAS (303)</v>
      </c>
      <c r="S1464">
        <v>1264</v>
      </c>
      <c r="T1464">
        <v>1000</v>
      </c>
      <c r="U1464" t="s">
        <v>19</v>
      </c>
    </row>
    <row r="1465" spans="1:21">
      <c r="A1465" t="str">
        <f t="shared" si="735"/>
        <v>26/03/2025</v>
      </c>
      <c r="B1465" t="str">
        <f t="shared" si="746"/>
        <v>ENTRADA</v>
      </c>
      <c r="C1465" t="str">
        <f t="shared" si="736"/>
        <v>NFSE</v>
      </c>
      <c r="D1465" t="str">
        <f t="shared" si="737"/>
        <v>2818</v>
      </c>
      <c r="E1465" t="str">
        <f t="shared" si="738"/>
        <v>COM</v>
      </c>
      <c r="F1465" t="str">
        <f t="shared" si="739"/>
        <v>FARMÁCIA INDIANA LJ 1 (10126)</v>
      </c>
      <c r="G1465" t="str">
        <f t="shared" si="740"/>
        <v>Serv.Prest. 10/03/2025 a 16/03/2025 - RPS: 590 - NFSe: 2818</v>
      </c>
      <c r="H1465" t="str">
        <f t="shared" si="741"/>
        <v>26/03/2025</v>
      </c>
      <c r="I1465" t="str">
        <f t="shared" si="742"/>
        <v>18/03/2025</v>
      </c>
      <c r="J1465" t="str">
        <f t="shared" si="743"/>
        <v>26/03/2025</v>
      </c>
      <c r="M1465">
        <v>303</v>
      </c>
      <c r="N1465" t="str">
        <f t="shared" si="744"/>
        <v>RECEITAS COM ENTREGAS</v>
      </c>
      <c r="P1465">
        <v>320.44</v>
      </c>
      <c r="Q1465" t="str">
        <f>"FARMÁCIA INDIANA LJ 100 (10042)"</f>
        <v>FARMÁCIA INDIANA LJ 100 (10042)</v>
      </c>
      <c r="R1465" t="str">
        <f t="shared" si="745"/>
        <v>RECEITAS COM ENTREGAS (303)</v>
      </c>
      <c r="S1465">
        <v>1264</v>
      </c>
      <c r="T1465">
        <v>1000</v>
      </c>
      <c r="U1465" t="s">
        <v>19</v>
      </c>
    </row>
    <row r="1466" spans="1:21">
      <c r="A1466" t="str">
        <f t="shared" si="735"/>
        <v>26/03/2025</v>
      </c>
      <c r="B1466" t="str">
        <f t="shared" si="746"/>
        <v>ENTRADA</v>
      </c>
      <c r="C1466" t="str">
        <f t="shared" si="736"/>
        <v>NFSE</v>
      </c>
      <c r="D1466" t="str">
        <f t="shared" si="737"/>
        <v>2818</v>
      </c>
      <c r="E1466" t="str">
        <f t="shared" si="738"/>
        <v>COM</v>
      </c>
      <c r="F1466" t="str">
        <f t="shared" si="739"/>
        <v>FARMÁCIA INDIANA LJ 1 (10126)</v>
      </c>
      <c r="G1466" t="str">
        <f t="shared" si="740"/>
        <v>Serv.Prest. 10/03/2025 a 16/03/2025 - RPS: 590 - NFSe: 2818</v>
      </c>
      <c r="H1466" t="str">
        <f t="shared" si="741"/>
        <v>26/03/2025</v>
      </c>
      <c r="I1466" t="str">
        <f t="shared" si="742"/>
        <v>18/03/2025</v>
      </c>
      <c r="J1466" t="str">
        <f t="shared" si="743"/>
        <v>26/03/2025</v>
      </c>
      <c r="M1466">
        <v>303</v>
      </c>
      <c r="N1466" t="str">
        <f t="shared" si="744"/>
        <v>RECEITAS COM ENTREGAS</v>
      </c>
      <c r="P1466">
        <v>830.62</v>
      </c>
      <c r="Q1466" t="str">
        <f>"FARMÁCIA INDIANA LJ 101 (10043)"</f>
        <v>FARMÁCIA INDIANA LJ 101 (10043)</v>
      </c>
      <c r="R1466" t="str">
        <f t="shared" si="745"/>
        <v>RECEITAS COM ENTREGAS (303)</v>
      </c>
      <c r="S1466">
        <v>1264</v>
      </c>
      <c r="T1466">
        <v>1000</v>
      </c>
      <c r="U1466" t="s">
        <v>19</v>
      </c>
    </row>
    <row r="1467" spans="1:21">
      <c r="A1467" t="str">
        <f t="shared" si="735"/>
        <v>26/03/2025</v>
      </c>
      <c r="B1467" t="str">
        <f t="shared" si="746"/>
        <v>ENTRADA</v>
      </c>
      <c r="C1467" t="str">
        <f t="shared" si="736"/>
        <v>NFSE</v>
      </c>
      <c r="D1467" t="str">
        <f t="shared" si="737"/>
        <v>2818</v>
      </c>
      <c r="E1467" t="str">
        <f t="shared" si="738"/>
        <v>COM</v>
      </c>
      <c r="F1467" t="str">
        <f t="shared" si="739"/>
        <v>FARMÁCIA INDIANA LJ 1 (10126)</v>
      </c>
      <c r="G1467" t="str">
        <f t="shared" si="740"/>
        <v>Serv.Prest. 10/03/2025 a 16/03/2025 - RPS: 590 - NFSe: 2818</v>
      </c>
      <c r="H1467" t="str">
        <f t="shared" si="741"/>
        <v>26/03/2025</v>
      </c>
      <c r="I1467" t="str">
        <f t="shared" si="742"/>
        <v>18/03/2025</v>
      </c>
      <c r="J1467" t="str">
        <f t="shared" si="743"/>
        <v>26/03/2025</v>
      </c>
      <c r="M1467">
        <v>303</v>
      </c>
      <c r="N1467" t="str">
        <f t="shared" si="744"/>
        <v>RECEITAS COM ENTREGAS</v>
      </c>
      <c r="P1467">
        <v>71.680000000000007</v>
      </c>
      <c r="Q1467" t="str">
        <f>"FARMÁCIA INDIANA LJ 103 (10044)"</f>
        <v>FARMÁCIA INDIANA LJ 103 (10044)</v>
      </c>
      <c r="R1467" t="str">
        <f t="shared" si="745"/>
        <v>RECEITAS COM ENTREGAS (303)</v>
      </c>
      <c r="S1467">
        <v>1264</v>
      </c>
      <c r="T1467">
        <v>1000</v>
      </c>
      <c r="U1467" t="s">
        <v>19</v>
      </c>
    </row>
    <row r="1468" spans="1:21">
      <c r="A1468" t="str">
        <f t="shared" si="735"/>
        <v>26/03/2025</v>
      </c>
      <c r="B1468" t="str">
        <f t="shared" si="746"/>
        <v>ENTRADA</v>
      </c>
      <c r="C1468" t="str">
        <f t="shared" si="736"/>
        <v>NFSE</v>
      </c>
      <c r="D1468" t="str">
        <f t="shared" si="737"/>
        <v>2818</v>
      </c>
      <c r="E1468" t="str">
        <f t="shared" si="738"/>
        <v>COM</v>
      </c>
      <c r="F1468" t="str">
        <f t="shared" si="739"/>
        <v>FARMÁCIA INDIANA LJ 1 (10126)</v>
      </c>
      <c r="G1468" t="str">
        <f t="shared" si="740"/>
        <v>Serv.Prest. 10/03/2025 a 16/03/2025 - RPS: 590 - NFSe: 2818</v>
      </c>
      <c r="H1468" t="str">
        <f t="shared" si="741"/>
        <v>26/03/2025</v>
      </c>
      <c r="I1468" t="str">
        <f t="shared" si="742"/>
        <v>18/03/2025</v>
      </c>
      <c r="J1468" t="str">
        <f t="shared" si="743"/>
        <v>26/03/2025</v>
      </c>
      <c r="M1468">
        <v>303</v>
      </c>
      <c r="N1468" t="str">
        <f t="shared" si="744"/>
        <v>RECEITAS COM ENTREGAS</v>
      </c>
      <c r="P1468">
        <v>177.09</v>
      </c>
      <c r="Q1468" t="str">
        <f>"FARMÁCIA INDIANA LJ 109 (10047)"</f>
        <v>FARMÁCIA INDIANA LJ 109 (10047)</v>
      </c>
      <c r="R1468" t="str">
        <f t="shared" si="745"/>
        <v>RECEITAS COM ENTREGAS (303)</v>
      </c>
      <c r="S1468">
        <v>1264</v>
      </c>
      <c r="T1468">
        <v>1000</v>
      </c>
      <c r="U1468" t="s">
        <v>19</v>
      </c>
    </row>
    <row r="1469" spans="1:21">
      <c r="A1469" t="str">
        <f t="shared" si="735"/>
        <v>26/03/2025</v>
      </c>
      <c r="B1469" t="str">
        <f t="shared" si="746"/>
        <v>ENTRADA</v>
      </c>
      <c r="C1469" t="str">
        <f t="shared" si="736"/>
        <v>NFSE</v>
      </c>
      <c r="D1469" t="str">
        <f t="shared" si="737"/>
        <v>2818</v>
      </c>
      <c r="E1469" t="str">
        <f t="shared" si="738"/>
        <v>COM</v>
      </c>
      <c r="F1469" t="str">
        <f t="shared" si="739"/>
        <v>FARMÁCIA INDIANA LJ 1 (10126)</v>
      </c>
      <c r="G1469" t="str">
        <f t="shared" si="740"/>
        <v>Serv.Prest. 10/03/2025 a 16/03/2025 - RPS: 590 - NFSe: 2818</v>
      </c>
      <c r="H1469" t="str">
        <f t="shared" si="741"/>
        <v>26/03/2025</v>
      </c>
      <c r="I1469" t="str">
        <f t="shared" si="742"/>
        <v>18/03/2025</v>
      </c>
      <c r="J1469" t="str">
        <f t="shared" si="743"/>
        <v>26/03/2025</v>
      </c>
      <c r="M1469">
        <v>303</v>
      </c>
      <c r="N1469" t="str">
        <f t="shared" si="744"/>
        <v>RECEITAS COM ENTREGAS</v>
      </c>
      <c r="P1469">
        <v>480.66</v>
      </c>
      <c r="Q1469" t="str">
        <f>"FARMÁCIA INDIANA LJ 110 (10048)"</f>
        <v>FARMÁCIA INDIANA LJ 110 (10048)</v>
      </c>
      <c r="R1469" t="str">
        <f t="shared" si="745"/>
        <v>RECEITAS COM ENTREGAS (303)</v>
      </c>
      <c r="S1469">
        <v>1264</v>
      </c>
      <c r="T1469">
        <v>1000</v>
      </c>
      <c r="U1469" t="s">
        <v>19</v>
      </c>
    </row>
    <row r="1470" spans="1:21">
      <c r="A1470" t="str">
        <f t="shared" si="735"/>
        <v>26/03/2025</v>
      </c>
      <c r="B1470" t="str">
        <f t="shared" si="746"/>
        <v>ENTRADA</v>
      </c>
      <c r="C1470" t="str">
        <f t="shared" si="736"/>
        <v>NFSE</v>
      </c>
      <c r="D1470" t="str">
        <f t="shared" si="737"/>
        <v>2818</v>
      </c>
      <c r="E1470" t="str">
        <f t="shared" si="738"/>
        <v>COM</v>
      </c>
      <c r="F1470" t="str">
        <f t="shared" si="739"/>
        <v>FARMÁCIA INDIANA LJ 1 (10126)</v>
      </c>
      <c r="G1470" t="str">
        <f t="shared" si="740"/>
        <v>Serv.Prest. 10/03/2025 a 16/03/2025 - RPS: 590 - NFSe: 2818</v>
      </c>
      <c r="H1470" t="str">
        <f t="shared" si="741"/>
        <v>26/03/2025</v>
      </c>
      <c r="I1470" t="str">
        <f t="shared" si="742"/>
        <v>18/03/2025</v>
      </c>
      <c r="J1470" t="str">
        <f t="shared" si="743"/>
        <v>26/03/2025</v>
      </c>
      <c r="M1470">
        <v>303</v>
      </c>
      <c r="N1470" t="str">
        <f t="shared" si="744"/>
        <v>RECEITAS COM ENTREGAS</v>
      </c>
      <c r="P1470">
        <v>64.650000000000006</v>
      </c>
      <c r="Q1470" t="str">
        <f>"FARMÁCIA INDIANA LJ 111 (10049)"</f>
        <v>FARMÁCIA INDIANA LJ 111 (10049)</v>
      </c>
      <c r="R1470" t="str">
        <f t="shared" si="745"/>
        <v>RECEITAS COM ENTREGAS (303)</v>
      </c>
      <c r="S1470">
        <v>1264</v>
      </c>
      <c r="T1470">
        <v>1000</v>
      </c>
      <c r="U1470" t="s">
        <v>19</v>
      </c>
    </row>
    <row r="1471" spans="1:21">
      <c r="A1471" t="str">
        <f t="shared" si="735"/>
        <v>26/03/2025</v>
      </c>
      <c r="B1471" t="str">
        <f t="shared" si="746"/>
        <v>ENTRADA</v>
      </c>
      <c r="C1471" t="str">
        <f t="shared" si="736"/>
        <v>NFSE</v>
      </c>
      <c r="D1471" t="str">
        <f t="shared" si="737"/>
        <v>2818</v>
      </c>
      <c r="E1471" t="str">
        <f t="shared" si="738"/>
        <v>COM</v>
      </c>
      <c r="F1471" t="str">
        <f t="shared" si="739"/>
        <v>FARMÁCIA INDIANA LJ 1 (10126)</v>
      </c>
      <c r="G1471" t="str">
        <f t="shared" si="740"/>
        <v>Serv.Prest. 10/03/2025 a 16/03/2025 - RPS: 590 - NFSe: 2818</v>
      </c>
      <c r="H1471" t="str">
        <f t="shared" si="741"/>
        <v>26/03/2025</v>
      </c>
      <c r="I1471" t="str">
        <f t="shared" si="742"/>
        <v>18/03/2025</v>
      </c>
      <c r="J1471" t="str">
        <f t="shared" si="743"/>
        <v>26/03/2025</v>
      </c>
      <c r="M1471">
        <v>303</v>
      </c>
      <c r="N1471" t="str">
        <f t="shared" si="744"/>
        <v>RECEITAS COM ENTREGAS</v>
      </c>
      <c r="P1471">
        <v>126.49</v>
      </c>
      <c r="Q1471" t="str">
        <f>"FARMÁCIA INDIANA LJ 112 (10050)"</f>
        <v>FARMÁCIA INDIANA LJ 112 (10050)</v>
      </c>
      <c r="R1471" t="str">
        <f t="shared" si="745"/>
        <v>RECEITAS COM ENTREGAS (303)</v>
      </c>
      <c r="S1471">
        <v>1264</v>
      </c>
      <c r="T1471">
        <v>1000</v>
      </c>
      <c r="U1471" t="s">
        <v>19</v>
      </c>
    </row>
    <row r="1472" spans="1:21">
      <c r="A1472" t="str">
        <f t="shared" si="735"/>
        <v>26/03/2025</v>
      </c>
      <c r="B1472" t="str">
        <f t="shared" si="746"/>
        <v>ENTRADA</v>
      </c>
      <c r="C1472" t="str">
        <f t="shared" si="736"/>
        <v>NFSE</v>
      </c>
      <c r="D1472" t="str">
        <f t="shared" si="737"/>
        <v>2818</v>
      </c>
      <c r="E1472" t="str">
        <f t="shared" si="738"/>
        <v>COM</v>
      </c>
      <c r="F1472" t="str">
        <f t="shared" si="739"/>
        <v>FARMÁCIA INDIANA LJ 1 (10126)</v>
      </c>
      <c r="G1472" t="str">
        <f t="shared" si="740"/>
        <v>Serv.Prest. 10/03/2025 a 16/03/2025 - RPS: 590 - NFSe: 2818</v>
      </c>
      <c r="H1472" t="str">
        <f t="shared" si="741"/>
        <v>26/03/2025</v>
      </c>
      <c r="I1472" t="str">
        <f t="shared" si="742"/>
        <v>18/03/2025</v>
      </c>
      <c r="J1472" t="str">
        <f t="shared" si="743"/>
        <v>26/03/2025</v>
      </c>
      <c r="M1472">
        <v>303</v>
      </c>
      <c r="N1472" t="str">
        <f t="shared" si="744"/>
        <v>RECEITAS COM ENTREGAS</v>
      </c>
      <c r="P1472">
        <v>126.49</v>
      </c>
      <c r="Q1472" t="str">
        <f>"FARMÁCIA INDIANA LJ 116 (10051)"</f>
        <v>FARMÁCIA INDIANA LJ 116 (10051)</v>
      </c>
      <c r="R1472" t="str">
        <f t="shared" si="745"/>
        <v>RECEITAS COM ENTREGAS (303)</v>
      </c>
      <c r="S1472">
        <v>1264</v>
      </c>
      <c r="T1472">
        <v>1000</v>
      </c>
      <c r="U1472" t="s">
        <v>19</v>
      </c>
    </row>
    <row r="1473" spans="1:21">
      <c r="A1473" t="str">
        <f t="shared" si="735"/>
        <v>26/03/2025</v>
      </c>
      <c r="B1473" t="str">
        <f t="shared" si="746"/>
        <v>ENTRADA</v>
      </c>
      <c r="C1473" t="str">
        <f t="shared" si="736"/>
        <v>NFSE</v>
      </c>
      <c r="D1473" t="str">
        <f t="shared" si="737"/>
        <v>2818</v>
      </c>
      <c r="E1473" t="str">
        <f t="shared" si="738"/>
        <v>COM</v>
      </c>
      <c r="F1473" t="str">
        <f t="shared" si="739"/>
        <v>FARMÁCIA INDIANA LJ 1 (10126)</v>
      </c>
      <c r="G1473" t="str">
        <f t="shared" si="740"/>
        <v>Serv.Prest. 10/03/2025 a 16/03/2025 - RPS: 590 - NFSe: 2818</v>
      </c>
      <c r="H1473" t="str">
        <f t="shared" si="741"/>
        <v>26/03/2025</v>
      </c>
      <c r="I1473" t="str">
        <f t="shared" si="742"/>
        <v>18/03/2025</v>
      </c>
      <c r="J1473" t="str">
        <f t="shared" si="743"/>
        <v>26/03/2025</v>
      </c>
      <c r="M1473">
        <v>303</v>
      </c>
      <c r="N1473" t="str">
        <f t="shared" si="744"/>
        <v>RECEITAS COM ENTREGAS</v>
      </c>
      <c r="P1473">
        <v>129.30000000000001</v>
      </c>
      <c r="Q1473" t="str">
        <f>"FARMÁCIA INDIANA LJ 118 (10052)"</f>
        <v>FARMÁCIA INDIANA LJ 118 (10052)</v>
      </c>
      <c r="R1473" t="str">
        <f t="shared" si="745"/>
        <v>RECEITAS COM ENTREGAS (303)</v>
      </c>
      <c r="S1473">
        <v>1264</v>
      </c>
      <c r="T1473">
        <v>1000</v>
      </c>
      <c r="U1473" t="s">
        <v>19</v>
      </c>
    </row>
    <row r="1474" spans="1:21">
      <c r="A1474" t="str">
        <f t="shared" si="735"/>
        <v>26/03/2025</v>
      </c>
      <c r="B1474" t="str">
        <f t="shared" si="746"/>
        <v>ENTRADA</v>
      </c>
      <c r="C1474" t="str">
        <f t="shared" si="736"/>
        <v>NFSE</v>
      </c>
      <c r="D1474" t="str">
        <f t="shared" si="737"/>
        <v>2818</v>
      </c>
      <c r="E1474" t="str">
        <f t="shared" si="738"/>
        <v>COM</v>
      </c>
      <c r="F1474" t="str">
        <f t="shared" si="739"/>
        <v>FARMÁCIA INDIANA LJ 1 (10126)</v>
      </c>
      <c r="G1474" t="str">
        <f t="shared" si="740"/>
        <v>Serv.Prest. 10/03/2025 a 16/03/2025 - RPS: 590 - NFSe: 2818</v>
      </c>
      <c r="H1474" t="str">
        <f t="shared" si="741"/>
        <v>26/03/2025</v>
      </c>
      <c r="I1474" t="str">
        <f t="shared" si="742"/>
        <v>18/03/2025</v>
      </c>
      <c r="J1474" t="str">
        <f t="shared" si="743"/>
        <v>26/03/2025</v>
      </c>
      <c r="M1474">
        <v>303</v>
      </c>
      <c r="N1474" t="str">
        <f t="shared" si="744"/>
        <v>RECEITAS COM ENTREGAS</v>
      </c>
      <c r="P1474">
        <v>126.49</v>
      </c>
      <c r="Q1474" t="str">
        <f>"FARMÁCIA INDIANA LJ 121 (10054)"</f>
        <v>FARMÁCIA INDIANA LJ 121 (10054)</v>
      </c>
      <c r="R1474" t="str">
        <f t="shared" si="745"/>
        <v>RECEITAS COM ENTREGAS (303)</v>
      </c>
      <c r="S1474">
        <v>1264</v>
      </c>
      <c r="T1474">
        <v>1000</v>
      </c>
      <c r="U1474" t="s">
        <v>19</v>
      </c>
    </row>
    <row r="1475" spans="1:21">
      <c r="A1475" t="str">
        <f t="shared" si="735"/>
        <v>26/03/2025</v>
      </c>
      <c r="B1475" t="str">
        <f t="shared" si="746"/>
        <v>ENTRADA</v>
      </c>
      <c r="C1475" t="str">
        <f t="shared" si="736"/>
        <v>NFSE</v>
      </c>
      <c r="D1475" t="str">
        <f t="shared" si="737"/>
        <v>2818</v>
      </c>
      <c r="E1475" t="str">
        <f t="shared" si="738"/>
        <v>COM</v>
      </c>
      <c r="F1475" t="str">
        <f t="shared" si="739"/>
        <v>FARMÁCIA INDIANA LJ 1 (10126)</v>
      </c>
      <c r="G1475" t="str">
        <f t="shared" si="740"/>
        <v>Serv.Prest. 10/03/2025 a 16/03/2025 - RPS: 590 - NFSe: 2818</v>
      </c>
      <c r="H1475" t="str">
        <f t="shared" si="741"/>
        <v>26/03/2025</v>
      </c>
      <c r="I1475" t="str">
        <f t="shared" si="742"/>
        <v>18/03/2025</v>
      </c>
      <c r="J1475" t="str">
        <f t="shared" si="743"/>
        <v>26/03/2025</v>
      </c>
      <c r="M1475">
        <v>303</v>
      </c>
      <c r="N1475" t="str">
        <f t="shared" si="744"/>
        <v>RECEITAS COM ENTREGAS</v>
      </c>
      <c r="P1475">
        <v>126.49</v>
      </c>
      <c r="Q1475" t="str">
        <f>"FARMÁCIA INDIANA LJ 128 (10057)"</f>
        <v>FARMÁCIA INDIANA LJ 128 (10057)</v>
      </c>
      <c r="R1475" t="str">
        <f t="shared" si="745"/>
        <v>RECEITAS COM ENTREGAS (303)</v>
      </c>
      <c r="S1475">
        <v>1264</v>
      </c>
      <c r="T1475">
        <v>1000</v>
      </c>
      <c r="U1475" t="s">
        <v>19</v>
      </c>
    </row>
    <row r="1476" spans="1:21">
      <c r="A1476" t="str">
        <f t="shared" si="735"/>
        <v>26/03/2025</v>
      </c>
      <c r="B1476" t="str">
        <f t="shared" si="746"/>
        <v>ENTRADA</v>
      </c>
      <c r="C1476" t="str">
        <f t="shared" si="736"/>
        <v>NFSE</v>
      </c>
      <c r="D1476" t="str">
        <f t="shared" si="737"/>
        <v>2818</v>
      </c>
      <c r="E1476" t="str">
        <f t="shared" si="738"/>
        <v>COM</v>
      </c>
      <c r="F1476" t="str">
        <f t="shared" si="739"/>
        <v>FARMÁCIA INDIANA LJ 1 (10126)</v>
      </c>
      <c r="G1476" t="str">
        <f t="shared" si="740"/>
        <v>Serv.Prest. 10/03/2025 a 16/03/2025 - RPS: 590 - NFSe: 2818</v>
      </c>
      <c r="H1476" t="str">
        <f t="shared" si="741"/>
        <v>26/03/2025</v>
      </c>
      <c r="I1476" t="str">
        <f t="shared" si="742"/>
        <v>18/03/2025</v>
      </c>
      <c r="J1476" t="str">
        <f t="shared" si="743"/>
        <v>26/03/2025</v>
      </c>
      <c r="M1476">
        <v>303</v>
      </c>
      <c r="N1476" t="str">
        <f t="shared" si="744"/>
        <v>RECEITAS COM ENTREGAS</v>
      </c>
      <c r="P1476">
        <v>28.11</v>
      </c>
      <c r="Q1476" t="str">
        <f>"FARMÁCIA INDIANA LJ 140 (10064)"</f>
        <v>FARMÁCIA INDIANA LJ 140 (10064)</v>
      </c>
      <c r="R1476" t="str">
        <f t="shared" si="745"/>
        <v>RECEITAS COM ENTREGAS (303)</v>
      </c>
      <c r="S1476">
        <v>1264</v>
      </c>
      <c r="T1476">
        <v>1000</v>
      </c>
      <c r="U1476" t="s">
        <v>19</v>
      </c>
    </row>
    <row r="1477" spans="1:21">
      <c r="A1477" t="str">
        <f t="shared" si="735"/>
        <v>26/03/2025</v>
      </c>
      <c r="B1477" t="str">
        <f t="shared" si="746"/>
        <v>ENTRADA</v>
      </c>
      <c r="C1477" t="str">
        <f t="shared" si="736"/>
        <v>NFSE</v>
      </c>
      <c r="D1477" t="str">
        <f t="shared" si="737"/>
        <v>2818</v>
      </c>
      <c r="E1477" t="str">
        <f t="shared" si="738"/>
        <v>COM</v>
      </c>
      <c r="F1477" t="str">
        <f t="shared" si="739"/>
        <v>FARMÁCIA INDIANA LJ 1 (10126)</v>
      </c>
      <c r="G1477" t="str">
        <f t="shared" si="740"/>
        <v>Serv.Prest. 10/03/2025 a 16/03/2025 - RPS: 590 - NFSe: 2818</v>
      </c>
      <c r="H1477" t="str">
        <f t="shared" si="741"/>
        <v>26/03/2025</v>
      </c>
      <c r="I1477" t="str">
        <f t="shared" si="742"/>
        <v>18/03/2025</v>
      </c>
      <c r="J1477" t="str">
        <f t="shared" si="743"/>
        <v>26/03/2025</v>
      </c>
      <c r="M1477">
        <v>303</v>
      </c>
      <c r="N1477" t="str">
        <f t="shared" si="744"/>
        <v>RECEITAS COM ENTREGAS</v>
      </c>
      <c r="P1477">
        <v>21.08</v>
      </c>
      <c r="Q1477" t="str">
        <f>"FARMÁCIA INDIANA LJ 141 (10065)"</f>
        <v>FARMÁCIA INDIANA LJ 141 (10065)</v>
      </c>
      <c r="R1477" t="str">
        <f t="shared" si="745"/>
        <v>RECEITAS COM ENTREGAS (303)</v>
      </c>
      <c r="S1477">
        <v>1264</v>
      </c>
      <c r="T1477">
        <v>1000</v>
      </c>
      <c r="U1477" t="s">
        <v>19</v>
      </c>
    </row>
    <row r="1478" spans="1:21">
      <c r="A1478" t="str">
        <f t="shared" si="735"/>
        <v>26/03/2025</v>
      </c>
      <c r="B1478" t="str">
        <f t="shared" si="746"/>
        <v>ENTRADA</v>
      </c>
      <c r="C1478" t="str">
        <f t="shared" si="736"/>
        <v>NFSE</v>
      </c>
      <c r="D1478" t="str">
        <f t="shared" si="737"/>
        <v>2818</v>
      </c>
      <c r="E1478" t="str">
        <f t="shared" si="738"/>
        <v>COM</v>
      </c>
      <c r="F1478" t="str">
        <f t="shared" si="739"/>
        <v>FARMÁCIA INDIANA LJ 1 (10126)</v>
      </c>
      <c r="G1478" t="str">
        <f t="shared" si="740"/>
        <v>Serv.Prest. 10/03/2025 a 16/03/2025 - RPS: 590 - NFSe: 2818</v>
      </c>
      <c r="H1478" t="str">
        <f t="shared" si="741"/>
        <v>26/03/2025</v>
      </c>
      <c r="I1478" t="str">
        <f t="shared" si="742"/>
        <v>18/03/2025</v>
      </c>
      <c r="J1478" t="str">
        <f t="shared" si="743"/>
        <v>26/03/2025</v>
      </c>
      <c r="M1478">
        <v>303</v>
      </c>
      <c r="N1478" t="str">
        <f t="shared" si="744"/>
        <v>RECEITAS COM ENTREGAS</v>
      </c>
      <c r="P1478">
        <v>685.86</v>
      </c>
      <c r="Q1478" t="str">
        <f>"FARMÁCIA INDIANA LJ 142 (10066)"</f>
        <v>FARMÁCIA INDIANA LJ 142 (10066)</v>
      </c>
      <c r="R1478" t="str">
        <f t="shared" si="745"/>
        <v>RECEITAS COM ENTREGAS (303)</v>
      </c>
      <c r="S1478">
        <v>1264</v>
      </c>
      <c r="T1478">
        <v>1000</v>
      </c>
      <c r="U1478" t="s">
        <v>19</v>
      </c>
    </row>
    <row r="1479" spans="1:21">
      <c r="A1479" t="str">
        <f t="shared" si="735"/>
        <v>26/03/2025</v>
      </c>
      <c r="B1479" t="str">
        <f t="shared" si="746"/>
        <v>ENTRADA</v>
      </c>
      <c r="C1479" t="str">
        <f t="shared" si="736"/>
        <v>NFSE</v>
      </c>
      <c r="D1479" t="str">
        <f t="shared" si="737"/>
        <v>2818</v>
      </c>
      <c r="E1479" t="str">
        <f t="shared" si="738"/>
        <v>COM</v>
      </c>
      <c r="F1479" t="str">
        <f t="shared" si="739"/>
        <v>FARMÁCIA INDIANA LJ 1 (10126)</v>
      </c>
      <c r="G1479" t="str">
        <f t="shared" si="740"/>
        <v>Serv.Prest. 10/03/2025 a 16/03/2025 - RPS: 590 - NFSe: 2818</v>
      </c>
      <c r="H1479" t="str">
        <f t="shared" si="741"/>
        <v>26/03/2025</v>
      </c>
      <c r="I1479" t="str">
        <f t="shared" si="742"/>
        <v>18/03/2025</v>
      </c>
      <c r="J1479" t="str">
        <f t="shared" si="743"/>
        <v>26/03/2025</v>
      </c>
      <c r="M1479">
        <v>303</v>
      </c>
      <c r="N1479" t="str">
        <f t="shared" si="744"/>
        <v>RECEITAS COM ENTREGAS</v>
      </c>
      <c r="P1479">
        <v>66.06</v>
      </c>
      <c r="Q1479" t="str">
        <f>"FARMÁCIA INDIANA LJ 143 (10067)"</f>
        <v>FARMÁCIA INDIANA LJ 143 (10067)</v>
      </c>
      <c r="R1479" t="str">
        <f t="shared" si="745"/>
        <v>RECEITAS COM ENTREGAS (303)</v>
      </c>
      <c r="S1479">
        <v>1264</v>
      </c>
      <c r="T1479">
        <v>1000</v>
      </c>
      <c r="U1479" t="s">
        <v>19</v>
      </c>
    </row>
    <row r="1480" spans="1:21">
      <c r="A1480" t="str">
        <f t="shared" si="735"/>
        <v>26/03/2025</v>
      </c>
      <c r="B1480" t="str">
        <f t="shared" si="746"/>
        <v>ENTRADA</v>
      </c>
      <c r="C1480" t="str">
        <f t="shared" si="736"/>
        <v>NFSE</v>
      </c>
      <c r="D1480" t="str">
        <f t="shared" si="737"/>
        <v>2818</v>
      </c>
      <c r="E1480" t="str">
        <f t="shared" si="738"/>
        <v>COM</v>
      </c>
      <c r="F1480" t="str">
        <f t="shared" si="739"/>
        <v>FARMÁCIA INDIANA LJ 1 (10126)</v>
      </c>
      <c r="G1480" t="str">
        <f t="shared" si="740"/>
        <v>Serv.Prest. 10/03/2025 a 16/03/2025 - RPS: 590 - NFSe: 2818</v>
      </c>
      <c r="H1480" t="str">
        <f t="shared" si="741"/>
        <v>26/03/2025</v>
      </c>
      <c r="I1480" t="str">
        <f t="shared" si="742"/>
        <v>18/03/2025</v>
      </c>
      <c r="J1480" t="str">
        <f t="shared" si="743"/>
        <v>26/03/2025</v>
      </c>
      <c r="M1480">
        <v>303</v>
      </c>
      <c r="N1480" t="str">
        <f t="shared" si="744"/>
        <v>RECEITAS COM ENTREGAS</v>
      </c>
      <c r="P1480">
        <v>163.03</v>
      </c>
      <c r="Q1480" t="str">
        <f>"FARMÁCIA INDIANA LJ 152 (10069)"</f>
        <v>FARMÁCIA INDIANA LJ 152 (10069)</v>
      </c>
      <c r="R1480" t="str">
        <f t="shared" si="745"/>
        <v>RECEITAS COM ENTREGAS (303)</v>
      </c>
      <c r="S1480">
        <v>1264</v>
      </c>
      <c r="T1480">
        <v>1000</v>
      </c>
      <c r="U1480" t="s">
        <v>19</v>
      </c>
    </row>
    <row r="1481" spans="1:21">
      <c r="A1481" t="str">
        <f t="shared" si="735"/>
        <v>26/03/2025</v>
      </c>
      <c r="B1481" t="str">
        <f t="shared" si="746"/>
        <v>ENTRADA</v>
      </c>
      <c r="C1481" t="str">
        <f t="shared" si="736"/>
        <v>NFSE</v>
      </c>
      <c r="D1481" t="str">
        <f t="shared" si="737"/>
        <v>2818</v>
      </c>
      <c r="E1481" t="str">
        <f t="shared" si="738"/>
        <v>COM</v>
      </c>
      <c r="F1481" t="str">
        <f t="shared" si="739"/>
        <v>FARMÁCIA INDIANA LJ 1 (10126)</v>
      </c>
      <c r="G1481" t="str">
        <f t="shared" si="740"/>
        <v>Serv.Prest. 10/03/2025 a 16/03/2025 - RPS: 590 - NFSe: 2818</v>
      </c>
      <c r="H1481" t="str">
        <f t="shared" si="741"/>
        <v>26/03/2025</v>
      </c>
      <c r="I1481" t="str">
        <f t="shared" si="742"/>
        <v>18/03/2025</v>
      </c>
      <c r="J1481" t="str">
        <f t="shared" si="743"/>
        <v>26/03/2025</v>
      </c>
      <c r="M1481">
        <v>303</v>
      </c>
      <c r="N1481" t="str">
        <f t="shared" si="744"/>
        <v>RECEITAS COM ENTREGAS</v>
      </c>
      <c r="P1481">
        <v>39.35</v>
      </c>
      <c r="Q1481" t="str">
        <f>"FARMÁCIA INDIANA LJ 154 (10070)"</f>
        <v>FARMÁCIA INDIANA LJ 154 (10070)</v>
      </c>
      <c r="R1481" t="str">
        <f t="shared" si="745"/>
        <v>RECEITAS COM ENTREGAS (303)</v>
      </c>
      <c r="S1481">
        <v>1264</v>
      </c>
      <c r="T1481">
        <v>1000</v>
      </c>
      <c r="U1481" t="s">
        <v>19</v>
      </c>
    </row>
    <row r="1482" spans="1:21">
      <c r="A1482" t="str">
        <f t="shared" si="735"/>
        <v>26/03/2025</v>
      </c>
      <c r="B1482" t="str">
        <f t="shared" si="746"/>
        <v>ENTRADA</v>
      </c>
      <c r="C1482" t="str">
        <f t="shared" si="736"/>
        <v>NFSE</v>
      </c>
      <c r="D1482" t="str">
        <f t="shared" si="737"/>
        <v>2818</v>
      </c>
      <c r="E1482" t="str">
        <f t="shared" si="738"/>
        <v>COM</v>
      </c>
      <c r="F1482" t="str">
        <f t="shared" si="739"/>
        <v>FARMÁCIA INDIANA LJ 1 (10126)</v>
      </c>
      <c r="G1482" t="str">
        <f t="shared" si="740"/>
        <v>Serv.Prest. 10/03/2025 a 16/03/2025 - RPS: 590 - NFSe: 2818</v>
      </c>
      <c r="H1482" t="str">
        <f t="shared" si="741"/>
        <v>26/03/2025</v>
      </c>
      <c r="I1482" t="str">
        <f t="shared" si="742"/>
        <v>18/03/2025</v>
      </c>
      <c r="J1482" t="str">
        <f t="shared" si="743"/>
        <v>26/03/2025</v>
      </c>
      <c r="M1482">
        <v>303</v>
      </c>
      <c r="N1482" t="str">
        <f t="shared" si="744"/>
        <v>RECEITAS COM ENTREGAS</v>
      </c>
      <c r="P1482">
        <v>342.93</v>
      </c>
      <c r="Q1482" t="str">
        <f>"FARMÁCIA INDIANA LJ 171 (10074)"</f>
        <v>FARMÁCIA INDIANA LJ 171 (10074)</v>
      </c>
      <c r="R1482" t="str">
        <f t="shared" si="745"/>
        <v>RECEITAS COM ENTREGAS (303)</v>
      </c>
      <c r="S1482">
        <v>1264</v>
      </c>
      <c r="T1482">
        <v>1000</v>
      </c>
      <c r="U1482" t="s">
        <v>19</v>
      </c>
    </row>
    <row r="1483" spans="1:21">
      <c r="A1483" t="str">
        <f t="shared" si="735"/>
        <v>26/03/2025</v>
      </c>
      <c r="B1483" t="str">
        <f t="shared" si="746"/>
        <v>ENTRADA</v>
      </c>
      <c r="C1483" t="str">
        <f t="shared" si="736"/>
        <v>NFSE</v>
      </c>
      <c r="D1483" t="str">
        <f t="shared" si="737"/>
        <v>2818</v>
      </c>
      <c r="E1483" t="str">
        <f t="shared" si="738"/>
        <v>COM</v>
      </c>
      <c r="F1483" t="str">
        <f t="shared" si="739"/>
        <v>FARMÁCIA INDIANA LJ 1 (10126)</v>
      </c>
      <c r="G1483" t="str">
        <f t="shared" si="740"/>
        <v>Serv.Prest. 10/03/2025 a 16/03/2025 - RPS: 590 - NFSe: 2818</v>
      </c>
      <c r="H1483" t="str">
        <f t="shared" si="741"/>
        <v>26/03/2025</v>
      </c>
      <c r="I1483" t="str">
        <f t="shared" si="742"/>
        <v>18/03/2025</v>
      </c>
      <c r="J1483" t="str">
        <f t="shared" si="743"/>
        <v>26/03/2025</v>
      </c>
      <c r="M1483">
        <v>303</v>
      </c>
      <c r="N1483" t="str">
        <f t="shared" si="744"/>
        <v>RECEITAS COM ENTREGAS</v>
      </c>
      <c r="P1483">
        <v>130.71</v>
      </c>
      <c r="Q1483" t="str">
        <f>"FARMÁCIA INDIANA LJ 175 (10076)"</f>
        <v>FARMÁCIA INDIANA LJ 175 (10076)</v>
      </c>
      <c r="R1483" t="str">
        <f t="shared" si="745"/>
        <v>RECEITAS COM ENTREGAS (303)</v>
      </c>
      <c r="S1483">
        <v>1264</v>
      </c>
      <c r="T1483">
        <v>1000</v>
      </c>
      <c r="U1483" t="s">
        <v>19</v>
      </c>
    </row>
    <row r="1484" spans="1:21">
      <c r="A1484" t="str">
        <f t="shared" ref="A1484:A1515" si="747">("26/03/2025")</f>
        <v>26/03/2025</v>
      </c>
      <c r="B1484" t="str">
        <f t="shared" si="746"/>
        <v>ENTRADA</v>
      </c>
      <c r="C1484" t="str">
        <f t="shared" ref="C1484:C1515" si="748">"NFSE"</f>
        <v>NFSE</v>
      </c>
      <c r="D1484" t="str">
        <f t="shared" si="737"/>
        <v>2818</v>
      </c>
      <c r="E1484" t="str">
        <f t="shared" ref="E1484:E1515" si="749">"COM"</f>
        <v>COM</v>
      </c>
      <c r="F1484" t="str">
        <f t="shared" si="739"/>
        <v>FARMÁCIA INDIANA LJ 1 (10126)</v>
      </c>
      <c r="G1484" t="str">
        <f t="shared" si="740"/>
        <v>Serv.Prest. 10/03/2025 a 16/03/2025 - RPS: 590 - NFSe: 2818</v>
      </c>
      <c r="H1484" t="str">
        <f t="shared" ref="H1484:H1519" si="750">("26/03/2025")</f>
        <v>26/03/2025</v>
      </c>
      <c r="I1484" t="str">
        <f t="shared" ref="I1484:I1515" si="751">("18/03/2025")</f>
        <v>18/03/2025</v>
      </c>
      <c r="J1484" t="str">
        <f t="shared" ref="J1484:J1515" si="752">("26/03/2025")</f>
        <v>26/03/2025</v>
      </c>
      <c r="M1484">
        <v>303</v>
      </c>
      <c r="N1484" t="str">
        <f t="shared" ref="N1484:N1515" si="753">"RECEITAS COM ENTREGAS"</f>
        <v>RECEITAS COM ENTREGAS</v>
      </c>
      <c r="P1484">
        <v>115.25</v>
      </c>
      <c r="Q1484" t="str">
        <f>"FARMÁCIA INDIANA LJ 178 (10077)"</f>
        <v>FARMÁCIA INDIANA LJ 178 (10077)</v>
      </c>
      <c r="R1484" t="str">
        <f t="shared" ref="R1484:R1515" si="754">"RECEITAS COM ENTREGAS (303)"</f>
        <v>RECEITAS COM ENTREGAS (303)</v>
      </c>
      <c r="S1484">
        <v>1264</v>
      </c>
      <c r="T1484">
        <v>1000</v>
      </c>
      <c r="U1484" t="s">
        <v>19</v>
      </c>
    </row>
    <row r="1485" spans="1:21">
      <c r="A1485" t="str">
        <f t="shared" si="747"/>
        <v>26/03/2025</v>
      </c>
      <c r="B1485" t="str">
        <f t="shared" si="746"/>
        <v>ENTRADA</v>
      </c>
      <c r="C1485" t="str">
        <f t="shared" si="748"/>
        <v>NFSE</v>
      </c>
      <c r="D1485" t="str">
        <f t="shared" si="737"/>
        <v>2818</v>
      </c>
      <c r="E1485" t="str">
        <f t="shared" si="749"/>
        <v>COM</v>
      </c>
      <c r="F1485" t="str">
        <f t="shared" si="739"/>
        <v>FARMÁCIA INDIANA LJ 1 (10126)</v>
      </c>
      <c r="G1485" t="str">
        <f t="shared" si="740"/>
        <v>Serv.Prest. 10/03/2025 a 16/03/2025 - RPS: 590 - NFSe: 2818</v>
      </c>
      <c r="H1485" t="str">
        <f t="shared" si="750"/>
        <v>26/03/2025</v>
      </c>
      <c r="I1485" t="str">
        <f t="shared" si="751"/>
        <v>18/03/2025</v>
      </c>
      <c r="J1485" t="str">
        <f t="shared" si="752"/>
        <v>26/03/2025</v>
      </c>
      <c r="M1485">
        <v>303</v>
      </c>
      <c r="N1485" t="str">
        <f t="shared" si="753"/>
        <v>RECEITAS COM ENTREGAS</v>
      </c>
      <c r="P1485">
        <v>80.11</v>
      </c>
      <c r="Q1485" t="str">
        <f>"FARMÁCIA INDIANA LJ 182 (10079)"</f>
        <v>FARMÁCIA INDIANA LJ 182 (10079)</v>
      </c>
      <c r="R1485" t="str">
        <f t="shared" si="754"/>
        <v>RECEITAS COM ENTREGAS (303)</v>
      </c>
      <c r="S1485">
        <v>1264</v>
      </c>
      <c r="T1485">
        <v>1000</v>
      </c>
      <c r="U1485" t="s">
        <v>19</v>
      </c>
    </row>
    <row r="1486" spans="1:21">
      <c r="A1486" t="str">
        <f t="shared" si="747"/>
        <v>26/03/2025</v>
      </c>
      <c r="B1486" t="str">
        <f t="shared" si="746"/>
        <v>ENTRADA</v>
      </c>
      <c r="C1486" t="str">
        <f t="shared" si="748"/>
        <v>NFSE</v>
      </c>
      <c r="D1486" t="str">
        <f t="shared" si="737"/>
        <v>2818</v>
      </c>
      <c r="E1486" t="str">
        <f t="shared" si="749"/>
        <v>COM</v>
      </c>
      <c r="F1486" t="str">
        <f t="shared" si="739"/>
        <v>FARMÁCIA INDIANA LJ 1 (10126)</v>
      </c>
      <c r="G1486" t="str">
        <f t="shared" si="740"/>
        <v>Serv.Prest. 10/03/2025 a 16/03/2025 - RPS: 590 - NFSe: 2818</v>
      </c>
      <c r="H1486" t="str">
        <f t="shared" si="750"/>
        <v>26/03/2025</v>
      </c>
      <c r="I1486" t="str">
        <f t="shared" si="751"/>
        <v>18/03/2025</v>
      </c>
      <c r="J1486" t="str">
        <f t="shared" si="752"/>
        <v>26/03/2025</v>
      </c>
      <c r="M1486">
        <v>303</v>
      </c>
      <c r="N1486" t="str">
        <f t="shared" si="753"/>
        <v>RECEITAS COM ENTREGAS</v>
      </c>
      <c r="P1486">
        <v>39.35</v>
      </c>
      <c r="Q1486" t="str">
        <f>"FARMÁCIA INDIANA LJ 184 (10080)"</f>
        <v>FARMÁCIA INDIANA LJ 184 (10080)</v>
      </c>
      <c r="R1486" t="str">
        <f t="shared" si="754"/>
        <v>RECEITAS COM ENTREGAS (303)</v>
      </c>
      <c r="S1486">
        <v>1264</v>
      </c>
      <c r="T1486">
        <v>1000</v>
      </c>
      <c r="U1486" t="s">
        <v>19</v>
      </c>
    </row>
    <row r="1487" spans="1:21">
      <c r="A1487" t="str">
        <f t="shared" si="747"/>
        <v>26/03/2025</v>
      </c>
      <c r="B1487" t="str">
        <f t="shared" si="746"/>
        <v>ENTRADA</v>
      </c>
      <c r="C1487" t="str">
        <f t="shared" si="748"/>
        <v>NFSE</v>
      </c>
      <c r="D1487" t="str">
        <f t="shared" si="737"/>
        <v>2818</v>
      </c>
      <c r="E1487" t="str">
        <f t="shared" si="749"/>
        <v>COM</v>
      </c>
      <c r="F1487" t="str">
        <f t="shared" si="739"/>
        <v>FARMÁCIA INDIANA LJ 1 (10126)</v>
      </c>
      <c r="G1487" t="str">
        <f t="shared" si="740"/>
        <v>Serv.Prest. 10/03/2025 a 16/03/2025 - RPS: 590 - NFSe: 2818</v>
      </c>
      <c r="H1487" t="str">
        <f t="shared" si="750"/>
        <v>26/03/2025</v>
      </c>
      <c r="I1487" t="str">
        <f t="shared" si="751"/>
        <v>18/03/2025</v>
      </c>
      <c r="J1487" t="str">
        <f t="shared" si="752"/>
        <v>26/03/2025</v>
      </c>
      <c r="M1487">
        <v>303</v>
      </c>
      <c r="N1487" t="str">
        <f t="shared" si="753"/>
        <v>RECEITAS COM ENTREGAS</v>
      </c>
      <c r="P1487">
        <v>80.11</v>
      </c>
      <c r="Q1487" t="str">
        <f>"FARMÁCIA INDIANA LJ 186 (10081)"</f>
        <v>FARMÁCIA INDIANA LJ 186 (10081)</v>
      </c>
      <c r="R1487" t="str">
        <f t="shared" si="754"/>
        <v>RECEITAS COM ENTREGAS (303)</v>
      </c>
      <c r="S1487">
        <v>1264</v>
      </c>
      <c r="T1487">
        <v>1000</v>
      </c>
      <c r="U1487" t="s">
        <v>19</v>
      </c>
    </row>
    <row r="1488" spans="1:21">
      <c r="A1488" t="str">
        <f t="shared" si="747"/>
        <v>26/03/2025</v>
      </c>
      <c r="B1488" t="str">
        <f t="shared" si="746"/>
        <v>ENTRADA</v>
      </c>
      <c r="C1488" t="str">
        <f t="shared" si="748"/>
        <v>NFSE</v>
      </c>
      <c r="D1488" t="str">
        <f t="shared" si="737"/>
        <v>2818</v>
      </c>
      <c r="E1488" t="str">
        <f t="shared" si="749"/>
        <v>COM</v>
      </c>
      <c r="F1488" t="str">
        <f t="shared" si="739"/>
        <v>FARMÁCIA INDIANA LJ 1 (10126)</v>
      </c>
      <c r="G1488" t="str">
        <f t="shared" si="740"/>
        <v>Serv.Prest. 10/03/2025 a 16/03/2025 - RPS: 590 - NFSe: 2818</v>
      </c>
      <c r="H1488" t="str">
        <f t="shared" si="750"/>
        <v>26/03/2025</v>
      </c>
      <c r="I1488" t="str">
        <f t="shared" si="751"/>
        <v>18/03/2025</v>
      </c>
      <c r="J1488" t="str">
        <f t="shared" si="752"/>
        <v>26/03/2025</v>
      </c>
      <c r="M1488">
        <v>303</v>
      </c>
      <c r="N1488" t="str">
        <f t="shared" si="753"/>
        <v>RECEITAS COM ENTREGAS</v>
      </c>
      <c r="P1488">
        <v>126.49</v>
      </c>
      <c r="Q1488" t="str">
        <f>"FARMÁCIA INDIANA LJ 192 (10082)"</f>
        <v>FARMÁCIA INDIANA LJ 192 (10082)</v>
      </c>
      <c r="R1488" t="str">
        <f t="shared" si="754"/>
        <v>RECEITAS COM ENTREGAS (303)</v>
      </c>
      <c r="S1488">
        <v>1264</v>
      </c>
      <c r="T1488">
        <v>1000</v>
      </c>
      <c r="U1488" t="s">
        <v>19</v>
      </c>
    </row>
    <row r="1489" spans="1:21">
      <c r="A1489" t="str">
        <f t="shared" si="747"/>
        <v>26/03/2025</v>
      </c>
      <c r="B1489" t="str">
        <f t="shared" si="746"/>
        <v>ENTRADA</v>
      </c>
      <c r="C1489" t="str">
        <f t="shared" si="748"/>
        <v>NFSE</v>
      </c>
      <c r="D1489" t="str">
        <f t="shared" si="737"/>
        <v>2818</v>
      </c>
      <c r="E1489" t="str">
        <f t="shared" si="749"/>
        <v>COM</v>
      </c>
      <c r="F1489" t="str">
        <f t="shared" si="739"/>
        <v>FARMÁCIA INDIANA LJ 1 (10126)</v>
      </c>
      <c r="G1489" t="str">
        <f t="shared" si="740"/>
        <v>Serv.Prest. 10/03/2025 a 16/03/2025 - RPS: 590 - NFSe: 2818</v>
      </c>
      <c r="H1489" t="str">
        <f t="shared" si="750"/>
        <v>26/03/2025</v>
      </c>
      <c r="I1489" t="str">
        <f t="shared" si="751"/>
        <v>18/03/2025</v>
      </c>
      <c r="J1489" t="str">
        <f t="shared" si="752"/>
        <v>26/03/2025</v>
      </c>
      <c r="M1489">
        <v>303</v>
      </c>
      <c r="N1489" t="str">
        <f t="shared" si="753"/>
        <v>RECEITAS COM ENTREGAS</v>
      </c>
      <c r="P1489">
        <v>39.35</v>
      </c>
      <c r="Q1489" t="str">
        <f>"FARMÁCIA INDIANA LJ 195 (10083)"</f>
        <v>FARMÁCIA INDIANA LJ 195 (10083)</v>
      </c>
      <c r="R1489" t="str">
        <f t="shared" si="754"/>
        <v>RECEITAS COM ENTREGAS (303)</v>
      </c>
      <c r="S1489">
        <v>1264</v>
      </c>
      <c r="T1489">
        <v>1000</v>
      </c>
      <c r="U1489" t="s">
        <v>19</v>
      </c>
    </row>
    <row r="1490" spans="1:21">
      <c r="A1490" t="str">
        <f t="shared" si="747"/>
        <v>26/03/2025</v>
      </c>
      <c r="B1490" t="str">
        <f t="shared" si="746"/>
        <v>ENTRADA</v>
      </c>
      <c r="C1490" t="str">
        <f t="shared" si="748"/>
        <v>NFSE</v>
      </c>
      <c r="D1490" t="str">
        <f t="shared" si="737"/>
        <v>2818</v>
      </c>
      <c r="E1490" t="str">
        <f t="shared" si="749"/>
        <v>COM</v>
      </c>
      <c r="F1490" t="str">
        <f t="shared" si="739"/>
        <v>FARMÁCIA INDIANA LJ 1 (10126)</v>
      </c>
      <c r="G1490" t="str">
        <f t="shared" si="740"/>
        <v>Serv.Prest. 10/03/2025 a 16/03/2025 - RPS: 590 - NFSe: 2818</v>
      </c>
      <c r="H1490" t="str">
        <f t="shared" si="750"/>
        <v>26/03/2025</v>
      </c>
      <c r="I1490" t="str">
        <f t="shared" si="751"/>
        <v>18/03/2025</v>
      </c>
      <c r="J1490" t="str">
        <f t="shared" si="752"/>
        <v>26/03/2025</v>
      </c>
      <c r="M1490">
        <v>303</v>
      </c>
      <c r="N1490" t="str">
        <f t="shared" si="753"/>
        <v>RECEITAS COM ENTREGAS</v>
      </c>
      <c r="P1490">
        <v>158.82</v>
      </c>
      <c r="Q1490" t="str">
        <f>"FARMÁCIA INDIANA LJ 202 (10085)"</f>
        <v>FARMÁCIA INDIANA LJ 202 (10085)</v>
      </c>
      <c r="R1490" t="str">
        <f t="shared" si="754"/>
        <v>RECEITAS COM ENTREGAS (303)</v>
      </c>
      <c r="S1490">
        <v>1264</v>
      </c>
      <c r="T1490">
        <v>1000</v>
      </c>
      <c r="U1490" t="s">
        <v>19</v>
      </c>
    </row>
    <row r="1491" spans="1:21">
      <c r="A1491" t="str">
        <f t="shared" si="747"/>
        <v>26/03/2025</v>
      </c>
      <c r="B1491" t="str">
        <f t="shared" si="746"/>
        <v>ENTRADA</v>
      </c>
      <c r="C1491" t="str">
        <f t="shared" si="748"/>
        <v>NFSE</v>
      </c>
      <c r="D1491" t="str">
        <f t="shared" si="737"/>
        <v>2818</v>
      </c>
      <c r="E1491" t="str">
        <f t="shared" si="749"/>
        <v>COM</v>
      </c>
      <c r="F1491" t="str">
        <f t="shared" si="739"/>
        <v>FARMÁCIA INDIANA LJ 1 (10126)</v>
      </c>
      <c r="G1491" t="str">
        <f t="shared" si="740"/>
        <v>Serv.Prest. 10/03/2025 a 16/03/2025 - RPS: 590 - NFSe: 2818</v>
      </c>
      <c r="H1491" t="str">
        <f t="shared" si="750"/>
        <v>26/03/2025</v>
      </c>
      <c r="I1491" t="str">
        <f t="shared" si="751"/>
        <v>18/03/2025</v>
      </c>
      <c r="J1491" t="str">
        <f t="shared" si="752"/>
        <v>26/03/2025</v>
      </c>
      <c r="M1491">
        <v>303</v>
      </c>
      <c r="N1491" t="str">
        <f t="shared" si="753"/>
        <v>RECEITAS COM ENTREGAS</v>
      </c>
      <c r="P1491">
        <v>106.81</v>
      </c>
      <c r="Q1491" t="str">
        <f>"FARMÁCIA INDIANA LJ 204 (10087)"</f>
        <v>FARMÁCIA INDIANA LJ 204 (10087)</v>
      </c>
      <c r="R1491" t="str">
        <f t="shared" si="754"/>
        <v>RECEITAS COM ENTREGAS (303)</v>
      </c>
      <c r="S1491">
        <v>1264</v>
      </c>
      <c r="T1491">
        <v>1000</v>
      </c>
      <c r="U1491" t="s">
        <v>19</v>
      </c>
    </row>
    <row r="1492" spans="1:21">
      <c r="A1492" t="str">
        <f t="shared" si="747"/>
        <v>26/03/2025</v>
      </c>
      <c r="B1492" t="str">
        <f t="shared" si="746"/>
        <v>ENTRADA</v>
      </c>
      <c r="C1492" t="str">
        <f t="shared" si="748"/>
        <v>NFSE</v>
      </c>
      <c r="D1492" t="str">
        <f t="shared" si="737"/>
        <v>2818</v>
      </c>
      <c r="E1492" t="str">
        <f t="shared" si="749"/>
        <v>COM</v>
      </c>
      <c r="F1492" t="str">
        <f t="shared" si="739"/>
        <v>FARMÁCIA INDIANA LJ 1 (10126)</v>
      </c>
      <c r="G1492" t="str">
        <f t="shared" si="740"/>
        <v>Serv.Prest. 10/03/2025 a 16/03/2025 - RPS: 590 - NFSe: 2818</v>
      </c>
      <c r="H1492" t="str">
        <f t="shared" si="750"/>
        <v>26/03/2025</v>
      </c>
      <c r="I1492" t="str">
        <f t="shared" si="751"/>
        <v>18/03/2025</v>
      </c>
      <c r="J1492" t="str">
        <f t="shared" si="752"/>
        <v>26/03/2025</v>
      </c>
      <c r="M1492">
        <v>303</v>
      </c>
      <c r="N1492" t="str">
        <f t="shared" si="753"/>
        <v>RECEITAS COM ENTREGAS</v>
      </c>
      <c r="P1492">
        <v>106.81</v>
      </c>
      <c r="Q1492" t="str">
        <f>"FARMÁCIA INDIANA LJ 207 (10088)"</f>
        <v>FARMÁCIA INDIANA LJ 207 (10088)</v>
      </c>
      <c r="R1492" t="str">
        <f t="shared" si="754"/>
        <v>RECEITAS COM ENTREGAS (303)</v>
      </c>
      <c r="S1492">
        <v>1264</v>
      </c>
      <c r="T1492">
        <v>1000</v>
      </c>
      <c r="U1492" t="s">
        <v>19</v>
      </c>
    </row>
    <row r="1493" spans="1:21">
      <c r="A1493" t="str">
        <f t="shared" si="747"/>
        <v>26/03/2025</v>
      </c>
      <c r="B1493" t="str">
        <f t="shared" si="746"/>
        <v>ENTRADA</v>
      </c>
      <c r="C1493" t="str">
        <f t="shared" si="748"/>
        <v>NFSE</v>
      </c>
      <c r="D1493" t="str">
        <f t="shared" si="737"/>
        <v>2818</v>
      </c>
      <c r="E1493" t="str">
        <f t="shared" si="749"/>
        <v>COM</v>
      </c>
      <c r="F1493" t="str">
        <f t="shared" si="739"/>
        <v>FARMÁCIA INDIANA LJ 1 (10126)</v>
      </c>
      <c r="G1493" t="str">
        <f t="shared" si="740"/>
        <v>Serv.Prest. 10/03/2025 a 16/03/2025 - RPS: 590 - NFSe: 2818</v>
      </c>
      <c r="H1493" t="str">
        <f t="shared" si="750"/>
        <v>26/03/2025</v>
      </c>
      <c r="I1493" t="str">
        <f t="shared" si="751"/>
        <v>18/03/2025</v>
      </c>
      <c r="J1493" t="str">
        <f t="shared" si="752"/>
        <v>26/03/2025</v>
      </c>
      <c r="M1493">
        <v>303</v>
      </c>
      <c r="N1493" t="str">
        <f t="shared" si="753"/>
        <v>RECEITAS COM ENTREGAS</v>
      </c>
      <c r="P1493">
        <v>125.08</v>
      </c>
      <c r="Q1493" t="str">
        <f>"FARMÁCIA INDIANA LJ 209 (10089)"</f>
        <v>FARMÁCIA INDIANA LJ 209 (10089)</v>
      </c>
      <c r="R1493" t="str">
        <f t="shared" si="754"/>
        <v>RECEITAS COM ENTREGAS (303)</v>
      </c>
      <c r="S1493">
        <v>1264</v>
      </c>
      <c r="T1493">
        <v>1000</v>
      </c>
      <c r="U1493" t="s">
        <v>19</v>
      </c>
    </row>
    <row r="1494" spans="1:21">
      <c r="A1494" t="str">
        <f t="shared" si="747"/>
        <v>26/03/2025</v>
      </c>
      <c r="B1494" t="str">
        <f t="shared" si="746"/>
        <v>ENTRADA</v>
      </c>
      <c r="C1494" t="str">
        <f t="shared" si="748"/>
        <v>NFSE</v>
      </c>
      <c r="D1494" t="str">
        <f t="shared" si="737"/>
        <v>2818</v>
      </c>
      <c r="E1494" t="str">
        <f t="shared" si="749"/>
        <v>COM</v>
      </c>
      <c r="F1494" t="str">
        <f t="shared" si="739"/>
        <v>FARMÁCIA INDIANA LJ 1 (10126)</v>
      </c>
      <c r="G1494" t="str">
        <f t="shared" si="740"/>
        <v>Serv.Prest. 10/03/2025 a 16/03/2025 - RPS: 590 - NFSe: 2818</v>
      </c>
      <c r="H1494" t="str">
        <f t="shared" si="750"/>
        <v>26/03/2025</v>
      </c>
      <c r="I1494" t="str">
        <f t="shared" si="751"/>
        <v>18/03/2025</v>
      </c>
      <c r="J1494" t="str">
        <f t="shared" si="752"/>
        <v>26/03/2025</v>
      </c>
      <c r="M1494">
        <v>303</v>
      </c>
      <c r="N1494" t="str">
        <f t="shared" si="753"/>
        <v>RECEITAS COM ENTREGAS</v>
      </c>
      <c r="P1494">
        <v>175.68</v>
      </c>
      <c r="Q1494" t="str">
        <f>"FARMÁCIA INDIANA LJ 219 (10091)"</f>
        <v>FARMÁCIA INDIANA LJ 219 (10091)</v>
      </c>
      <c r="R1494" t="str">
        <f t="shared" si="754"/>
        <v>RECEITAS COM ENTREGAS (303)</v>
      </c>
      <c r="S1494">
        <v>1264</v>
      </c>
      <c r="T1494">
        <v>1000</v>
      </c>
      <c r="U1494" t="s">
        <v>19</v>
      </c>
    </row>
    <row r="1495" spans="1:21">
      <c r="A1495" t="str">
        <f t="shared" si="747"/>
        <v>26/03/2025</v>
      </c>
      <c r="B1495" t="str">
        <f t="shared" si="746"/>
        <v>ENTRADA</v>
      </c>
      <c r="C1495" t="str">
        <f t="shared" si="748"/>
        <v>NFSE</v>
      </c>
      <c r="D1495" t="str">
        <f t="shared" si="737"/>
        <v>2818</v>
      </c>
      <c r="E1495" t="str">
        <f t="shared" si="749"/>
        <v>COM</v>
      </c>
      <c r="F1495" t="str">
        <f t="shared" si="739"/>
        <v>FARMÁCIA INDIANA LJ 1 (10126)</v>
      </c>
      <c r="G1495" t="str">
        <f t="shared" si="740"/>
        <v>Serv.Prest. 10/03/2025 a 16/03/2025 - RPS: 590 - NFSe: 2818</v>
      </c>
      <c r="H1495" t="str">
        <f t="shared" si="750"/>
        <v>26/03/2025</v>
      </c>
      <c r="I1495" t="str">
        <f t="shared" si="751"/>
        <v>18/03/2025</v>
      </c>
      <c r="J1495" t="str">
        <f t="shared" si="752"/>
        <v>26/03/2025</v>
      </c>
      <c r="M1495">
        <v>303</v>
      </c>
      <c r="N1495" t="str">
        <f t="shared" si="753"/>
        <v>RECEITAS COM ENTREGAS</v>
      </c>
      <c r="P1495">
        <v>244.55</v>
      </c>
      <c r="Q1495" t="str">
        <f>"FARMÁCIA INDIANA LJ 220 (10092)"</f>
        <v>FARMÁCIA INDIANA LJ 220 (10092)</v>
      </c>
      <c r="R1495" t="str">
        <f t="shared" si="754"/>
        <v>RECEITAS COM ENTREGAS (303)</v>
      </c>
      <c r="S1495">
        <v>1264</v>
      </c>
      <c r="T1495">
        <v>1000</v>
      </c>
      <c r="U1495" t="s">
        <v>19</v>
      </c>
    </row>
    <row r="1496" spans="1:21">
      <c r="A1496" t="str">
        <f t="shared" si="747"/>
        <v>26/03/2025</v>
      </c>
      <c r="B1496" t="str">
        <f t="shared" si="746"/>
        <v>ENTRADA</v>
      </c>
      <c r="C1496" t="str">
        <f t="shared" si="748"/>
        <v>NFSE</v>
      </c>
      <c r="D1496" t="str">
        <f t="shared" si="737"/>
        <v>2818</v>
      </c>
      <c r="E1496" t="str">
        <f t="shared" si="749"/>
        <v>COM</v>
      </c>
      <c r="F1496" t="str">
        <f t="shared" si="739"/>
        <v>FARMÁCIA INDIANA LJ 1 (10126)</v>
      </c>
      <c r="G1496" t="str">
        <f t="shared" si="740"/>
        <v>Serv.Prest. 10/03/2025 a 16/03/2025 - RPS: 590 - NFSe: 2818</v>
      </c>
      <c r="H1496" t="str">
        <f t="shared" si="750"/>
        <v>26/03/2025</v>
      </c>
      <c r="I1496" t="str">
        <f t="shared" si="751"/>
        <v>18/03/2025</v>
      </c>
      <c r="J1496" t="str">
        <f t="shared" si="752"/>
        <v>26/03/2025</v>
      </c>
      <c r="M1496">
        <v>303</v>
      </c>
      <c r="N1496" t="str">
        <f t="shared" si="753"/>
        <v>RECEITAS COM ENTREGAS</v>
      </c>
      <c r="P1496">
        <v>182.71</v>
      </c>
      <c r="Q1496" t="str">
        <f>"FARMÁCIA INDIANA LJ 185 (10141)"</f>
        <v>FARMÁCIA INDIANA LJ 185 (10141)</v>
      </c>
      <c r="R1496" t="str">
        <f t="shared" si="754"/>
        <v>RECEITAS COM ENTREGAS (303)</v>
      </c>
      <c r="S1496">
        <v>1264</v>
      </c>
      <c r="T1496">
        <v>1000</v>
      </c>
      <c r="U1496" t="s">
        <v>19</v>
      </c>
    </row>
    <row r="1497" spans="1:21">
      <c r="A1497" t="str">
        <f t="shared" si="747"/>
        <v>26/03/2025</v>
      </c>
      <c r="B1497" t="str">
        <f t="shared" si="746"/>
        <v>ENTRADA</v>
      </c>
      <c r="C1497" t="str">
        <f t="shared" si="748"/>
        <v>NFSE</v>
      </c>
      <c r="D1497" t="str">
        <f t="shared" si="737"/>
        <v>2818</v>
      </c>
      <c r="E1497" t="str">
        <f t="shared" si="749"/>
        <v>COM</v>
      </c>
      <c r="F1497" t="str">
        <f t="shared" si="739"/>
        <v>FARMÁCIA INDIANA LJ 1 (10126)</v>
      </c>
      <c r="G1497" t="str">
        <f t="shared" si="740"/>
        <v>Serv.Prest. 10/03/2025 a 16/03/2025 - RPS: 590 - NFSe: 2818</v>
      </c>
      <c r="H1497" t="str">
        <f t="shared" si="750"/>
        <v>26/03/2025</v>
      </c>
      <c r="I1497" t="str">
        <f t="shared" si="751"/>
        <v>18/03/2025</v>
      </c>
      <c r="J1497" t="str">
        <f t="shared" si="752"/>
        <v>26/03/2025</v>
      </c>
      <c r="M1497">
        <v>303</v>
      </c>
      <c r="N1497" t="str">
        <f t="shared" si="753"/>
        <v>RECEITAS COM ENTREGAS</v>
      </c>
      <c r="P1497">
        <v>719.59</v>
      </c>
      <c r="Q1497" t="str">
        <f>"FARMÁCIA INDIANA LJ 172 (10161)"</f>
        <v>FARMÁCIA INDIANA LJ 172 (10161)</v>
      </c>
      <c r="R1497" t="str">
        <f t="shared" si="754"/>
        <v>RECEITAS COM ENTREGAS (303)</v>
      </c>
      <c r="S1497">
        <v>1264</v>
      </c>
      <c r="T1497">
        <v>1000</v>
      </c>
      <c r="U1497" t="s">
        <v>19</v>
      </c>
    </row>
    <row r="1498" spans="1:21">
      <c r="A1498" t="str">
        <f t="shared" si="747"/>
        <v>26/03/2025</v>
      </c>
      <c r="B1498" t="str">
        <f t="shared" si="746"/>
        <v>ENTRADA</v>
      </c>
      <c r="C1498" t="str">
        <f t="shared" si="748"/>
        <v>NFSE</v>
      </c>
      <c r="D1498" t="str">
        <f t="shared" ref="D1498:D1509" si="755">"2819"</f>
        <v>2819</v>
      </c>
      <c r="E1498" t="str">
        <f t="shared" si="749"/>
        <v>COM</v>
      </c>
      <c r="F1498" t="str">
        <f t="shared" ref="F1498:F1509" si="756">"FARMÁCIA INDIANA LJ 30 (10127)"</f>
        <v>FARMÁCIA INDIANA LJ 30 (10127)</v>
      </c>
      <c r="G1498" t="str">
        <f t="shared" ref="G1498:G1509" si="757">"Serv.Prest. 10/03/2025 a 16/03/2025 - RPS: 591 - NFSe: 2819"</f>
        <v>Serv.Prest. 10/03/2025 a 16/03/2025 - RPS: 591 - NFSe: 2819</v>
      </c>
      <c r="H1498" t="str">
        <f t="shared" si="750"/>
        <v>26/03/2025</v>
      </c>
      <c r="I1498" t="str">
        <f t="shared" si="751"/>
        <v>18/03/2025</v>
      </c>
      <c r="J1498" t="str">
        <f t="shared" si="752"/>
        <v>26/03/2025</v>
      </c>
      <c r="K1498">
        <v>2677.42</v>
      </c>
      <c r="L1498">
        <v>2677.42</v>
      </c>
      <c r="M1498">
        <v>303</v>
      </c>
      <c r="N1498" t="str">
        <f t="shared" si="753"/>
        <v>RECEITAS COM ENTREGAS</v>
      </c>
      <c r="O1498">
        <v>2677.42</v>
      </c>
      <c r="R1498" t="str">
        <f t="shared" si="754"/>
        <v>RECEITAS COM ENTREGAS (303)</v>
      </c>
      <c r="S1498">
        <v>1265</v>
      </c>
      <c r="T1498">
        <v>1001</v>
      </c>
      <c r="U1498" t="s">
        <v>19</v>
      </c>
    </row>
    <row r="1499" spans="1:21">
      <c r="A1499" t="str">
        <f t="shared" si="747"/>
        <v>26/03/2025</v>
      </c>
      <c r="B1499" t="str">
        <f t="shared" si="746"/>
        <v>ENTRADA</v>
      </c>
      <c r="C1499" t="str">
        <f t="shared" si="748"/>
        <v>NFSE</v>
      </c>
      <c r="D1499" t="str">
        <f t="shared" si="755"/>
        <v>2819</v>
      </c>
      <c r="E1499" t="str">
        <f t="shared" si="749"/>
        <v>COM</v>
      </c>
      <c r="F1499" t="str">
        <f t="shared" si="756"/>
        <v>FARMÁCIA INDIANA LJ 30 (10127)</v>
      </c>
      <c r="G1499" t="str">
        <f t="shared" si="757"/>
        <v>Serv.Prest. 10/03/2025 a 16/03/2025 - RPS: 591 - NFSe: 2819</v>
      </c>
      <c r="H1499" t="str">
        <f t="shared" si="750"/>
        <v>26/03/2025</v>
      </c>
      <c r="I1499" t="str">
        <f t="shared" si="751"/>
        <v>18/03/2025</v>
      </c>
      <c r="J1499" t="str">
        <f t="shared" si="752"/>
        <v>26/03/2025</v>
      </c>
      <c r="M1499">
        <v>303</v>
      </c>
      <c r="N1499" t="str">
        <f t="shared" si="753"/>
        <v>RECEITAS COM ENTREGAS</v>
      </c>
      <c r="P1499">
        <v>327.19</v>
      </c>
      <c r="Q1499" t="str">
        <f>"FARMÁCIA INDIANA LJ 34 (10014)"</f>
        <v>FARMÁCIA INDIANA LJ 34 (10014)</v>
      </c>
      <c r="R1499" t="str">
        <f t="shared" si="754"/>
        <v>RECEITAS COM ENTREGAS (303)</v>
      </c>
      <c r="S1499">
        <v>1265</v>
      </c>
      <c r="T1499">
        <v>1001</v>
      </c>
      <c r="U1499" t="s">
        <v>19</v>
      </c>
    </row>
    <row r="1500" spans="1:21">
      <c r="A1500" t="str">
        <f t="shared" si="747"/>
        <v>26/03/2025</v>
      </c>
      <c r="B1500" t="str">
        <f t="shared" si="746"/>
        <v>ENTRADA</v>
      </c>
      <c r="C1500" t="str">
        <f t="shared" si="748"/>
        <v>NFSE</v>
      </c>
      <c r="D1500" t="str">
        <f t="shared" si="755"/>
        <v>2819</v>
      </c>
      <c r="E1500" t="str">
        <f t="shared" si="749"/>
        <v>COM</v>
      </c>
      <c r="F1500" t="str">
        <f t="shared" si="756"/>
        <v>FARMÁCIA INDIANA LJ 30 (10127)</v>
      </c>
      <c r="G1500" t="str">
        <f t="shared" si="757"/>
        <v>Serv.Prest. 10/03/2025 a 16/03/2025 - RPS: 591 - NFSe: 2819</v>
      </c>
      <c r="H1500" t="str">
        <f t="shared" si="750"/>
        <v>26/03/2025</v>
      </c>
      <c r="I1500" t="str">
        <f t="shared" si="751"/>
        <v>18/03/2025</v>
      </c>
      <c r="J1500" t="str">
        <f t="shared" si="752"/>
        <v>26/03/2025</v>
      </c>
      <c r="M1500">
        <v>303</v>
      </c>
      <c r="N1500" t="str">
        <f t="shared" si="753"/>
        <v>RECEITAS COM ENTREGAS</v>
      </c>
      <c r="P1500">
        <v>235.88</v>
      </c>
      <c r="Q1500" t="str">
        <f>"FARMÁCIA INDIANA LJ 35 (10015)"</f>
        <v>FARMÁCIA INDIANA LJ 35 (10015)</v>
      </c>
      <c r="R1500" t="str">
        <f t="shared" si="754"/>
        <v>RECEITAS COM ENTREGAS (303)</v>
      </c>
      <c r="S1500">
        <v>1265</v>
      </c>
      <c r="T1500">
        <v>1001</v>
      </c>
      <c r="U1500" t="s">
        <v>19</v>
      </c>
    </row>
    <row r="1501" spans="1:21">
      <c r="A1501" t="str">
        <f t="shared" si="747"/>
        <v>26/03/2025</v>
      </c>
      <c r="B1501" t="str">
        <f t="shared" si="746"/>
        <v>ENTRADA</v>
      </c>
      <c r="C1501" t="str">
        <f t="shared" si="748"/>
        <v>NFSE</v>
      </c>
      <c r="D1501" t="str">
        <f t="shared" si="755"/>
        <v>2819</v>
      </c>
      <c r="E1501" t="str">
        <f t="shared" si="749"/>
        <v>COM</v>
      </c>
      <c r="F1501" t="str">
        <f t="shared" si="756"/>
        <v>FARMÁCIA INDIANA LJ 30 (10127)</v>
      </c>
      <c r="G1501" t="str">
        <f t="shared" si="757"/>
        <v>Serv.Prest. 10/03/2025 a 16/03/2025 - RPS: 591 - NFSe: 2819</v>
      </c>
      <c r="H1501" t="str">
        <f t="shared" si="750"/>
        <v>26/03/2025</v>
      </c>
      <c r="I1501" t="str">
        <f t="shared" si="751"/>
        <v>18/03/2025</v>
      </c>
      <c r="J1501" t="str">
        <f t="shared" si="752"/>
        <v>26/03/2025</v>
      </c>
      <c r="M1501">
        <v>303</v>
      </c>
      <c r="N1501" t="str">
        <f t="shared" si="753"/>
        <v>RECEITAS COM ENTREGAS</v>
      </c>
      <c r="P1501">
        <v>295.58999999999997</v>
      </c>
      <c r="Q1501" t="str">
        <f>"FARMÁCIA INDIANA LJ 48 (10018)"</f>
        <v>FARMÁCIA INDIANA LJ 48 (10018)</v>
      </c>
      <c r="R1501" t="str">
        <f t="shared" si="754"/>
        <v>RECEITAS COM ENTREGAS (303)</v>
      </c>
      <c r="S1501">
        <v>1265</v>
      </c>
      <c r="T1501">
        <v>1001</v>
      </c>
      <c r="U1501" t="s">
        <v>19</v>
      </c>
    </row>
    <row r="1502" spans="1:21">
      <c r="A1502" t="str">
        <f t="shared" si="747"/>
        <v>26/03/2025</v>
      </c>
      <c r="B1502" t="str">
        <f t="shared" si="746"/>
        <v>ENTRADA</v>
      </c>
      <c r="C1502" t="str">
        <f t="shared" si="748"/>
        <v>NFSE</v>
      </c>
      <c r="D1502" t="str">
        <f t="shared" si="755"/>
        <v>2819</v>
      </c>
      <c r="E1502" t="str">
        <f t="shared" si="749"/>
        <v>COM</v>
      </c>
      <c r="F1502" t="str">
        <f t="shared" si="756"/>
        <v>FARMÁCIA INDIANA LJ 30 (10127)</v>
      </c>
      <c r="G1502" t="str">
        <f t="shared" si="757"/>
        <v>Serv.Prest. 10/03/2025 a 16/03/2025 - RPS: 591 - NFSe: 2819</v>
      </c>
      <c r="H1502" t="str">
        <f t="shared" si="750"/>
        <v>26/03/2025</v>
      </c>
      <c r="I1502" t="str">
        <f t="shared" si="751"/>
        <v>18/03/2025</v>
      </c>
      <c r="J1502" t="str">
        <f t="shared" si="752"/>
        <v>26/03/2025</v>
      </c>
      <c r="M1502">
        <v>303</v>
      </c>
      <c r="N1502" t="str">
        <f t="shared" si="753"/>
        <v>RECEITAS COM ENTREGAS</v>
      </c>
      <c r="P1502">
        <v>418.48</v>
      </c>
      <c r="Q1502" t="str">
        <f>"FARMÁCIA INDIANA LJ 65 (10030)"</f>
        <v>FARMÁCIA INDIANA LJ 65 (10030)</v>
      </c>
      <c r="R1502" t="str">
        <f t="shared" si="754"/>
        <v>RECEITAS COM ENTREGAS (303)</v>
      </c>
      <c r="S1502">
        <v>1265</v>
      </c>
      <c r="T1502">
        <v>1001</v>
      </c>
      <c r="U1502" t="s">
        <v>19</v>
      </c>
    </row>
    <row r="1503" spans="1:21">
      <c r="A1503" t="str">
        <f t="shared" si="747"/>
        <v>26/03/2025</v>
      </c>
      <c r="B1503" t="str">
        <f t="shared" si="746"/>
        <v>ENTRADA</v>
      </c>
      <c r="C1503" t="str">
        <f t="shared" si="748"/>
        <v>NFSE</v>
      </c>
      <c r="D1503" t="str">
        <f t="shared" si="755"/>
        <v>2819</v>
      </c>
      <c r="E1503" t="str">
        <f t="shared" si="749"/>
        <v>COM</v>
      </c>
      <c r="F1503" t="str">
        <f t="shared" si="756"/>
        <v>FARMÁCIA INDIANA LJ 30 (10127)</v>
      </c>
      <c r="G1503" t="str">
        <f t="shared" si="757"/>
        <v>Serv.Prest. 10/03/2025 a 16/03/2025 - RPS: 591 - NFSe: 2819</v>
      </c>
      <c r="H1503" t="str">
        <f t="shared" si="750"/>
        <v>26/03/2025</v>
      </c>
      <c r="I1503" t="str">
        <f t="shared" si="751"/>
        <v>18/03/2025</v>
      </c>
      <c r="J1503" t="str">
        <f t="shared" si="752"/>
        <v>26/03/2025</v>
      </c>
      <c r="M1503">
        <v>303</v>
      </c>
      <c r="N1503" t="str">
        <f t="shared" si="753"/>
        <v>RECEITAS COM ENTREGAS</v>
      </c>
      <c r="P1503">
        <v>137.08000000000001</v>
      </c>
      <c r="Q1503" t="str">
        <f>"FARMÁCIA INDIANA LJ 77 (10034)"</f>
        <v>FARMÁCIA INDIANA LJ 77 (10034)</v>
      </c>
      <c r="R1503" t="str">
        <f t="shared" si="754"/>
        <v>RECEITAS COM ENTREGAS (303)</v>
      </c>
      <c r="S1503">
        <v>1265</v>
      </c>
      <c r="T1503">
        <v>1001</v>
      </c>
      <c r="U1503" t="s">
        <v>19</v>
      </c>
    </row>
    <row r="1504" spans="1:21">
      <c r="A1504" t="str">
        <f t="shared" si="747"/>
        <v>26/03/2025</v>
      </c>
      <c r="B1504" t="str">
        <f t="shared" si="746"/>
        <v>ENTRADA</v>
      </c>
      <c r="C1504" t="str">
        <f t="shared" si="748"/>
        <v>NFSE</v>
      </c>
      <c r="D1504" t="str">
        <f t="shared" si="755"/>
        <v>2819</v>
      </c>
      <c r="E1504" t="str">
        <f t="shared" si="749"/>
        <v>COM</v>
      </c>
      <c r="F1504" t="str">
        <f t="shared" si="756"/>
        <v>FARMÁCIA INDIANA LJ 30 (10127)</v>
      </c>
      <c r="G1504" t="str">
        <f t="shared" si="757"/>
        <v>Serv.Prest. 10/03/2025 a 16/03/2025 - RPS: 591 - NFSe: 2819</v>
      </c>
      <c r="H1504" t="str">
        <f t="shared" si="750"/>
        <v>26/03/2025</v>
      </c>
      <c r="I1504" t="str">
        <f t="shared" si="751"/>
        <v>18/03/2025</v>
      </c>
      <c r="J1504" t="str">
        <f t="shared" si="752"/>
        <v>26/03/2025</v>
      </c>
      <c r="M1504">
        <v>303</v>
      </c>
      <c r="N1504" t="str">
        <f t="shared" si="753"/>
        <v>RECEITAS COM ENTREGAS</v>
      </c>
      <c r="P1504">
        <v>202.15</v>
      </c>
      <c r="Q1504" t="str">
        <f>"FARMÁCIA INDIANA LJ 91 (10037)"</f>
        <v>FARMÁCIA INDIANA LJ 91 (10037)</v>
      </c>
      <c r="R1504" t="str">
        <f t="shared" si="754"/>
        <v>RECEITAS COM ENTREGAS (303)</v>
      </c>
      <c r="S1504">
        <v>1265</v>
      </c>
      <c r="T1504">
        <v>1001</v>
      </c>
      <c r="U1504" t="s">
        <v>19</v>
      </c>
    </row>
    <row r="1505" spans="1:21">
      <c r="A1505" t="str">
        <f t="shared" si="747"/>
        <v>26/03/2025</v>
      </c>
      <c r="B1505" t="str">
        <f t="shared" si="746"/>
        <v>ENTRADA</v>
      </c>
      <c r="C1505" t="str">
        <f t="shared" si="748"/>
        <v>NFSE</v>
      </c>
      <c r="D1505" t="str">
        <f t="shared" si="755"/>
        <v>2819</v>
      </c>
      <c r="E1505" t="str">
        <f t="shared" si="749"/>
        <v>COM</v>
      </c>
      <c r="F1505" t="str">
        <f t="shared" si="756"/>
        <v>FARMÁCIA INDIANA LJ 30 (10127)</v>
      </c>
      <c r="G1505" t="str">
        <f t="shared" si="757"/>
        <v>Serv.Prest. 10/03/2025 a 16/03/2025 - RPS: 591 - NFSe: 2819</v>
      </c>
      <c r="H1505" t="str">
        <f t="shared" si="750"/>
        <v>26/03/2025</v>
      </c>
      <c r="I1505" t="str">
        <f t="shared" si="751"/>
        <v>18/03/2025</v>
      </c>
      <c r="J1505" t="str">
        <f t="shared" si="752"/>
        <v>26/03/2025</v>
      </c>
      <c r="M1505">
        <v>303</v>
      </c>
      <c r="N1505" t="str">
        <f t="shared" si="753"/>
        <v>RECEITAS COM ENTREGAS</v>
      </c>
      <c r="P1505">
        <v>319.95</v>
      </c>
      <c r="Q1505" t="str">
        <f>"FARMÁCIA INDIANA LJ 95 (10039)"</f>
        <v>FARMÁCIA INDIANA LJ 95 (10039)</v>
      </c>
      <c r="R1505" t="str">
        <f t="shared" si="754"/>
        <v>RECEITAS COM ENTREGAS (303)</v>
      </c>
      <c r="S1505">
        <v>1265</v>
      </c>
      <c r="T1505">
        <v>1001</v>
      </c>
      <c r="U1505" t="s">
        <v>19</v>
      </c>
    </row>
    <row r="1506" spans="1:21">
      <c r="A1506" t="str">
        <f t="shared" si="747"/>
        <v>26/03/2025</v>
      </c>
      <c r="B1506" t="str">
        <f t="shared" si="746"/>
        <v>ENTRADA</v>
      </c>
      <c r="C1506" t="str">
        <f t="shared" si="748"/>
        <v>NFSE</v>
      </c>
      <c r="D1506" t="str">
        <f t="shared" si="755"/>
        <v>2819</v>
      </c>
      <c r="E1506" t="str">
        <f t="shared" si="749"/>
        <v>COM</v>
      </c>
      <c r="F1506" t="str">
        <f t="shared" si="756"/>
        <v>FARMÁCIA INDIANA LJ 30 (10127)</v>
      </c>
      <c r="G1506" t="str">
        <f t="shared" si="757"/>
        <v>Serv.Prest. 10/03/2025 a 16/03/2025 - RPS: 591 - NFSe: 2819</v>
      </c>
      <c r="H1506" t="str">
        <f t="shared" si="750"/>
        <v>26/03/2025</v>
      </c>
      <c r="I1506" t="str">
        <f t="shared" si="751"/>
        <v>18/03/2025</v>
      </c>
      <c r="J1506" t="str">
        <f t="shared" si="752"/>
        <v>26/03/2025</v>
      </c>
      <c r="M1506">
        <v>303</v>
      </c>
      <c r="N1506" t="str">
        <f t="shared" si="753"/>
        <v>RECEITAS COM ENTREGAS</v>
      </c>
      <c r="P1506">
        <v>280.86</v>
      </c>
      <c r="Q1506" t="str">
        <f>"FARMÁCIA INDIANA LJ 145 (10068)"</f>
        <v>FARMÁCIA INDIANA LJ 145 (10068)</v>
      </c>
      <c r="R1506" t="str">
        <f t="shared" si="754"/>
        <v>RECEITAS COM ENTREGAS (303)</v>
      </c>
      <c r="S1506">
        <v>1265</v>
      </c>
      <c r="T1506">
        <v>1001</v>
      </c>
      <c r="U1506" t="s">
        <v>19</v>
      </c>
    </row>
    <row r="1507" spans="1:21">
      <c r="A1507" t="str">
        <f t="shared" si="747"/>
        <v>26/03/2025</v>
      </c>
      <c r="B1507" t="str">
        <f t="shared" si="746"/>
        <v>ENTRADA</v>
      </c>
      <c r="C1507" t="str">
        <f t="shared" si="748"/>
        <v>NFSE</v>
      </c>
      <c r="D1507" t="str">
        <f t="shared" si="755"/>
        <v>2819</v>
      </c>
      <c r="E1507" t="str">
        <f t="shared" si="749"/>
        <v>COM</v>
      </c>
      <c r="F1507" t="str">
        <f t="shared" si="756"/>
        <v>FARMÁCIA INDIANA LJ 30 (10127)</v>
      </c>
      <c r="G1507" t="str">
        <f t="shared" si="757"/>
        <v>Serv.Prest. 10/03/2025 a 16/03/2025 - RPS: 591 - NFSe: 2819</v>
      </c>
      <c r="H1507" t="str">
        <f t="shared" si="750"/>
        <v>26/03/2025</v>
      </c>
      <c r="I1507" t="str">
        <f t="shared" si="751"/>
        <v>18/03/2025</v>
      </c>
      <c r="J1507" t="str">
        <f t="shared" si="752"/>
        <v>26/03/2025</v>
      </c>
      <c r="M1507">
        <v>303</v>
      </c>
      <c r="N1507" t="str">
        <f t="shared" si="753"/>
        <v>RECEITAS COM ENTREGAS</v>
      </c>
      <c r="P1507">
        <v>90.76</v>
      </c>
      <c r="Q1507" t="str">
        <f>"FARMÁCIA INDIANA LJ 169 (10073)"</f>
        <v>FARMÁCIA INDIANA LJ 169 (10073)</v>
      </c>
      <c r="R1507" t="str">
        <f t="shared" si="754"/>
        <v>RECEITAS COM ENTREGAS (303)</v>
      </c>
      <c r="S1507">
        <v>1265</v>
      </c>
      <c r="T1507">
        <v>1001</v>
      </c>
      <c r="U1507" t="s">
        <v>19</v>
      </c>
    </row>
    <row r="1508" spans="1:21">
      <c r="A1508" t="str">
        <f t="shared" si="747"/>
        <v>26/03/2025</v>
      </c>
      <c r="B1508" t="str">
        <f t="shared" si="746"/>
        <v>ENTRADA</v>
      </c>
      <c r="C1508" t="str">
        <f t="shared" si="748"/>
        <v>NFSE</v>
      </c>
      <c r="D1508" t="str">
        <f t="shared" si="755"/>
        <v>2819</v>
      </c>
      <c r="E1508" t="str">
        <f t="shared" si="749"/>
        <v>COM</v>
      </c>
      <c r="F1508" t="str">
        <f t="shared" si="756"/>
        <v>FARMÁCIA INDIANA LJ 30 (10127)</v>
      </c>
      <c r="G1508" t="str">
        <f t="shared" si="757"/>
        <v>Serv.Prest. 10/03/2025 a 16/03/2025 - RPS: 591 - NFSe: 2819</v>
      </c>
      <c r="H1508" t="str">
        <f t="shared" si="750"/>
        <v>26/03/2025</v>
      </c>
      <c r="I1508" t="str">
        <f t="shared" si="751"/>
        <v>18/03/2025</v>
      </c>
      <c r="J1508" t="str">
        <f t="shared" si="752"/>
        <v>26/03/2025</v>
      </c>
      <c r="M1508">
        <v>303</v>
      </c>
      <c r="N1508" t="str">
        <f t="shared" si="753"/>
        <v>RECEITAS COM ENTREGAS</v>
      </c>
      <c r="P1508">
        <v>209.37</v>
      </c>
      <c r="Q1508" t="str">
        <f>"FARMÁCIA INDIANA LJ 173 (10075)"</f>
        <v>FARMÁCIA INDIANA LJ 173 (10075)</v>
      </c>
      <c r="R1508" t="str">
        <f t="shared" si="754"/>
        <v>RECEITAS COM ENTREGAS (303)</v>
      </c>
      <c r="S1508">
        <v>1265</v>
      </c>
      <c r="T1508">
        <v>1001</v>
      </c>
      <c r="U1508" t="s">
        <v>19</v>
      </c>
    </row>
    <row r="1509" spans="1:21">
      <c r="A1509" t="str">
        <f t="shared" si="747"/>
        <v>26/03/2025</v>
      </c>
      <c r="B1509" t="str">
        <f t="shared" si="746"/>
        <v>ENTRADA</v>
      </c>
      <c r="C1509" t="str">
        <f t="shared" si="748"/>
        <v>NFSE</v>
      </c>
      <c r="D1509" t="str">
        <f t="shared" si="755"/>
        <v>2819</v>
      </c>
      <c r="E1509" t="str">
        <f t="shared" si="749"/>
        <v>COM</v>
      </c>
      <c r="F1509" t="str">
        <f t="shared" si="756"/>
        <v>FARMÁCIA INDIANA LJ 30 (10127)</v>
      </c>
      <c r="G1509" t="str">
        <f t="shared" si="757"/>
        <v>Serv.Prest. 10/03/2025 a 16/03/2025 - RPS: 591 - NFSe: 2819</v>
      </c>
      <c r="H1509" t="str">
        <f t="shared" si="750"/>
        <v>26/03/2025</v>
      </c>
      <c r="I1509" t="str">
        <f t="shared" si="751"/>
        <v>18/03/2025</v>
      </c>
      <c r="J1509" t="str">
        <f t="shared" si="752"/>
        <v>26/03/2025</v>
      </c>
      <c r="M1509">
        <v>303</v>
      </c>
      <c r="N1509" t="str">
        <f t="shared" si="753"/>
        <v>RECEITAS COM ENTREGAS</v>
      </c>
      <c r="P1509">
        <v>160.11000000000001</v>
      </c>
      <c r="Q1509" t="str">
        <f>"FARMÁCIA INDIANA LJ 200 (10155)"</f>
        <v>FARMÁCIA INDIANA LJ 200 (10155)</v>
      </c>
      <c r="R1509" t="str">
        <f t="shared" si="754"/>
        <v>RECEITAS COM ENTREGAS (303)</v>
      </c>
      <c r="S1509">
        <v>1265</v>
      </c>
      <c r="T1509">
        <v>1001</v>
      </c>
      <c r="U1509" t="s">
        <v>19</v>
      </c>
    </row>
    <row r="1510" spans="1:21">
      <c r="A1510" t="str">
        <f t="shared" si="747"/>
        <v>26/03/2025</v>
      </c>
      <c r="B1510" t="str">
        <f t="shared" si="746"/>
        <v>ENTRADA</v>
      </c>
      <c r="C1510" t="str">
        <f t="shared" si="748"/>
        <v>NFSE</v>
      </c>
      <c r="D1510" t="str">
        <f t="shared" ref="D1510:D1515" si="758">"2820"</f>
        <v>2820</v>
      </c>
      <c r="E1510" t="str">
        <f t="shared" si="749"/>
        <v>COM</v>
      </c>
      <c r="F1510" t="str">
        <f t="shared" ref="F1510:F1515" si="759">"FARMÁCIA INDIANA LJ 85 (10128)"</f>
        <v>FARMÁCIA INDIANA LJ 85 (10128)</v>
      </c>
      <c r="G1510" t="str">
        <f t="shared" ref="G1510:G1515" si="760">"Serv.Prest. 10/03/2025 a 16/03/2025 - RPS: 592 - NFSe: 2820"</f>
        <v>Serv.Prest. 10/03/2025 a 16/03/2025 - RPS: 592 - NFSe: 2820</v>
      </c>
      <c r="H1510" t="str">
        <f t="shared" si="750"/>
        <v>26/03/2025</v>
      </c>
      <c r="I1510" t="str">
        <f t="shared" si="751"/>
        <v>18/03/2025</v>
      </c>
      <c r="J1510" t="str">
        <f t="shared" si="752"/>
        <v>26/03/2025</v>
      </c>
      <c r="K1510">
        <v>883.8</v>
      </c>
      <c r="L1510">
        <v>883.8</v>
      </c>
      <c r="M1510">
        <v>303</v>
      </c>
      <c r="N1510" t="str">
        <f t="shared" si="753"/>
        <v>RECEITAS COM ENTREGAS</v>
      </c>
      <c r="O1510">
        <v>883.8</v>
      </c>
      <c r="R1510" t="str">
        <f t="shared" si="754"/>
        <v>RECEITAS COM ENTREGAS (303)</v>
      </c>
      <c r="S1510">
        <v>1266</v>
      </c>
      <c r="T1510">
        <v>1002</v>
      </c>
      <c r="U1510" t="s">
        <v>19</v>
      </c>
    </row>
    <row r="1511" spans="1:21">
      <c r="A1511" t="str">
        <f t="shared" si="747"/>
        <v>26/03/2025</v>
      </c>
      <c r="B1511" t="str">
        <f t="shared" si="746"/>
        <v>ENTRADA</v>
      </c>
      <c r="C1511" t="str">
        <f t="shared" si="748"/>
        <v>NFSE</v>
      </c>
      <c r="D1511" t="str">
        <f t="shared" si="758"/>
        <v>2820</v>
      </c>
      <c r="E1511" t="str">
        <f t="shared" si="749"/>
        <v>COM</v>
      </c>
      <c r="F1511" t="str">
        <f t="shared" si="759"/>
        <v>FARMÁCIA INDIANA LJ 85 (10128)</v>
      </c>
      <c r="G1511" t="str">
        <f t="shared" si="760"/>
        <v>Serv.Prest. 10/03/2025 a 16/03/2025 - RPS: 592 - NFSe: 2820</v>
      </c>
      <c r="H1511" t="str">
        <f t="shared" si="750"/>
        <v>26/03/2025</v>
      </c>
      <c r="I1511" t="str">
        <f t="shared" si="751"/>
        <v>18/03/2025</v>
      </c>
      <c r="J1511" t="str">
        <f t="shared" si="752"/>
        <v>26/03/2025</v>
      </c>
      <c r="M1511">
        <v>303</v>
      </c>
      <c r="N1511" t="str">
        <f t="shared" si="753"/>
        <v>RECEITAS COM ENTREGAS</v>
      </c>
      <c r="P1511">
        <v>171.63</v>
      </c>
      <c r="Q1511" t="str">
        <f>"FARMÁCIA INDIANA LJ 119 (10053)"</f>
        <v>FARMÁCIA INDIANA LJ 119 (10053)</v>
      </c>
      <c r="R1511" t="str">
        <f t="shared" si="754"/>
        <v>RECEITAS COM ENTREGAS (303)</v>
      </c>
      <c r="S1511">
        <v>1266</v>
      </c>
      <c r="T1511">
        <v>1002</v>
      </c>
      <c r="U1511" t="s">
        <v>19</v>
      </c>
    </row>
    <row r="1512" spans="1:21">
      <c r="A1512" t="str">
        <f t="shared" si="747"/>
        <v>26/03/2025</v>
      </c>
      <c r="B1512" t="str">
        <f t="shared" si="746"/>
        <v>ENTRADA</v>
      </c>
      <c r="C1512" t="str">
        <f t="shared" si="748"/>
        <v>NFSE</v>
      </c>
      <c r="D1512" t="str">
        <f t="shared" si="758"/>
        <v>2820</v>
      </c>
      <c r="E1512" t="str">
        <f t="shared" si="749"/>
        <v>COM</v>
      </c>
      <c r="F1512" t="str">
        <f t="shared" si="759"/>
        <v>FARMÁCIA INDIANA LJ 85 (10128)</v>
      </c>
      <c r="G1512" t="str">
        <f t="shared" si="760"/>
        <v>Serv.Prest. 10/03/2025 a 16/03/2025 - RPS: 592 - NFSe: 2820</v>
      </c>
      <c r="H1512" t="str">
        <f t="shared" si="750"/>
        <v>26/03/2025</v>
      </c>
      <c r="I1512" t="str">
        <f t="shared" si="751"/>
        <v>18/03/2025</v>
      </c>
      <c r="J1512" t="str">
        <f t="shared" si="752"/>
        <v>26/03/2025</v>
      </c>
      <c r="M1512">
        <v>303</v>
      </c>
      <c r="N1512" t="str">
        <f t="shared" si="753"/>
        <v>RECEITAS COM ENTREGAS</v>
      </c>
      <c r="P1512">
        <v>170.4</v>
      </c>
      <c r="Q1512" t="str">
        <f>"FARMÁCIA INDIANA LJ 163 (10072)"</f>
        <v>FARMÁCIA INDIANA LJ 163 (10072)</v>
      </c>
      <c r="R1512" t="str">
        <f t="shared" si="754"/>
        <v>RECEITAS COM ENTREGAS (303)</v>
      </c>
      <c r="S1512">
        <v>1266</v>
      </c>
      <c r="T1512">
        <v>1002</v>
      </c>
      <c r="U1512" t="s">
        <v>19</v>
      </c>
    </row>
    <row r="1513" spans="1:21">
      <c r="A1513" t="str">
        <f t="shared" si="747"/>
        <v>26/03/2025</v>
      </c>
      <c r="B1513" t="str">
        <f t="shared" si="746"/>
        <v>ENTRADA</v>
      </c>
      <c r="C1513" t="str">
        <f t="shared" si="748"/>
        <v>NFSE</v>
      </c>
      <c r="D1513" t="str">
        <f t="shared" si="758"/>
        <v>2820</v>
      </c>
      <c r="E1513" t="str">
        <f t="shared" si="749"/>
        <v>COM</v>
      </c>
      <c r="F1513" t="str">
        <f t="shared" si="759"/>
        <v>FARMÁCIA INDIANA LJ 85 (10128)</v>
      </c>
      <c r="G1513" t="str">
        <f t="shared" si="760"/>
        <v>Serv.Prest. 10/03/2025 a 16/03/2025 - RPS: 592 - NFSe: 2820</v>
      </c>
      <c r="H1513" t="str">
        <f t="shared" si="750"/>
        <v>26/03/2025</v>
      </c>
      <c r="I1513" t="str">
        <f t="shared" si="751"/>
        <v>18/03/2025</v>
      </c>
      <c r="J1513" t="str">
        <f t="shared" si="752"/>
        <v>26/03/2025</v>
      </c>
      <c r="M1513">
        <v>303</v>
      </c>
      <c r="N1513" t="str">
        <f t="shared" si="753"/>
        <v>RECEITAS COM ENTREGAS</v>
      </c>
      <c r="P1513">
        <v>187.19</v>
      </c>
      <c r="Q1513" t="str">
        <f>"FARMÁCIA INDIANA LJ 181 (10078)"</f>
        <v>FARMÁCIA INDIANA LJ 181 (10078)</v>
      </c>
      <c r="R1513" t="str">
        <f t="shared" si="754"/>
        <v>RECEITAS COM ENTREGAS (303)</v>
      </c>
      <c r="S1513">
        <v>1266</v>
      </c>
      <c r="T1513">
        <v>1002</v>
      </c>
      <c r="U1513" t="s">
        <v>19</v>
      </c>
    </row>
    <row r="1514" spans="1:21">
      <c r="A1514" t="str">
        <f t="shared" si="747"/>
        <v>26/03/2025</v>
      </c>
      <c r="B1514" t="str">
        <f t="shared" si="746"/>
        <v>ENTRADA</v>
      </c>
      <c r="C1514" t="str">
        <f t="shared" si="748"/>
        <v>NFSE</v>
      </c>
      <c r="D1514" t="str">
        <f t="shared" si="758"/>
        <v>2820</v>
      </c>
      <c r="E1514" t="str">
        <f t="shared" si="749"/>
        <v>COM</v>
      </c>
      <c r="F1514" t="str">
        <f t="shared" si="759"/>
        <v>FARMÁCIA INDIANA LJ 85 (10128)</v>
      </c>
      <c r="G1514" t="str">
        <f t="shared" si="760"/>
        <v>Serv.Prest. 10/03/2025 a 16/03/2025 - RPS: 592 - NFSe: 2820</v>
      </c>
      <c r="H1514" t="str">
        <f t="shared" si="750"/>
        <v>26/03/2025</v>
      </c>
      <c r="I1514" t="str">
        <f t="shared" si="751"/>
        <v>18/03/2025</v>
      </c>
      <c r="J1514" t="str">
        <f t="shared" si="752"/>
        <v>26/03/2025</v>
      </c>
      <c r="M1514">
        <v>303</v>
      </c>
      <c r="N1514" t="str">
        <f t="shared" si="753"/>
        <v>RECEITAS COM ENTREGAS</v>
      </c>
      <c r="P1514">
        <v>172.52</v>
      </c>
      <c r="Q1514" t="str">
        <f>"FARMÁCIA INDIANA LJ 221 (10093)"</f>
        <v>FARMÁCIA INDIANA LJ 221 (10093)</v>
      </c>
      <c r="R1514" t="str">
        <f t="shared" si="754"/>
        <v>RECEITAS COM ENTREGAS (303)</v>
      </c>
      <c r="S1514">
        <v>1266</v>
      </c>
      <c r="T1514">
        <v>1002</v>
      </c>
      <c r="U1514" t="s">
        <v>19</v>
      </c>
    </row>
    <row r="1515" spans="1:21">
      <c r="A1515" t="str">
        <f t="shared" si="747"/>
        <v>26/03/2025</v>
      </c>
      <c r="B1515" t="str">
        <f t="shared" si="746"/>
        <v>ENTRADA</v>
      </c>
      <c r="C1515" t="str">
        <f t="shared" si="748"/>
        <v>NFSE</v>
      </c>
      <c r="D1515" t="str">
        <f t="shared" si="758"/>
        <v>2820</v>
      </c>
      <c r="E1515" t="str">
        <f t="shared" si="749"/>
        <v>COM</v>
      </c>
      <c r="F1515" t="str">
        <f t="shared" si="759"/>
        <v>FARMÁCIA INDIANA LJ 85 (10128)</v>
      </c>
      <c r="G1515" t="str">
        <f t="shared" si="760"/>
        <v>Serv.Prest. 10/03/2025 a 16/03/2025 - RPS: 592 - NFSe: 2820</v>
      </c>
      <c r="H1515" t="str">
        <f t="shared" si="750"/>
        <v>26/03/2025</v>
      </c>
      <c r="I1515" t="str">
        <f t="shared" si="751"/>
        <v>18/03/2025</v>
      </c>
      <c r="J1515" t="str">
        <f t="shared" si="752"/>
        <v>26/03/2025</v>
      </c>
      <c r="M1515">
        <v>303</v>
      </c>
      <c r="N1515" t="str">
        <f t="shared" si="753"/>
        <v>RECEITAS COM ENTREGAS</v>
      </c>
      <c r="P1515">
        <v>182.06</v>
      </c>
      <c r="Q1515" t="str">
        <f>"FARMÁCIA INDIANA LJ 243 (10142)"</f>
        <v>FARMÁCIA INDIANA LJ 243 (10142)</v>
      </c>
      <c r="R1515" t="str">
        <f t="shared" si="754"/>
        <v>RECEITAS COM ENTREGAS (303)</v>
      </c>
      <c r="S1515">
        <v>1266</v>
      </c>
      <c r="T1515">
        <v>1002</v>
      </c>
      <c r="U1515" t="s">
        <v>19</v>
      </c>
    </row>
    <row r="1516" spans="1:21">
      <c r="A1516" t="str">
        <f t="shared" ref="A1516:A1527" si="761">("26/03/2025")</f>
        <v>26/03/2025</v>
      </c>
      <c r="B1516" t="str">
        <f t="shared" si="746"/>
        <v>ENTRADA</v>
      </c>
      <c r="C1516" t="str">
        <f t="shared" ref="C1516:C1523" si="762">"NFSE"</f>
        <v>NFSE</v>
      </c>
      <c r="D1516" t="str">
        <f>"2828"</f>
        <v>2828</v>
      </c>
      <c r="E1516" t="str">
        <f t="shared" ref="E1516:E1523" si="763">"COM"</f>
        <v>COM</v>
      </c>
      <c r="F1516" t="str">
        <f>"JAL FARMACIA E DROGARIA LJ 2 (10138)"</f>
        <v>JAL FARMACIA E DROGARIA LJ 2 (10138)</v>
      </c>
      <c r="G1516" t="str">
        <f>"Serv.Prest. 17/03/2025 a 23/03/2025 - RPS: 600 - NFSe: 2828"</f>
        <v>Serv.Prest. 17/03/2025 a 23/03/2025 - RPS: 600 - NFSe: 2828</v>
      </c>
      <c r="H1516" t="str">
        <f t="shared" si="750"/>
        <v>26/03/2025</v>
      </c>
      <c r="I1516" t="str">
        <f>("24/03/2025")</f>
        <v>24/03/2025</v>
      </c>
      <c r="J1516" t="str">
        <f t="shared" ref="J1516:J1527" si="764">("26/03/2025")</f>
        <v>26/03/2025</v>
      </c>
      <c r="K1516">
        <v>259.2</v>
      </c>
      <c r="L1516">
        <v>259.2</v>
      </c>
      <c r="M1516">
        <v>303</v>
      </c>
      <c r="N1516" t="str">
        <f t="shared" ref="N1516:N1523" si="765">"RECEITAS COM ENTREGAS"</f>
        <v>RECEITAS COM ENTREGAS</v>
      </c>
      <c r="O1516">
        <v>259.2</v>
      </c>
      <c r="R1516" t="str">
        <f t="shared" ref="R1516:R1523" si="766">"RECEITAS COM ENTREGAS (303)"</f>
        <v>RECEITAS COM ENTREGAS (303)</v>
      </c>
      <c r="S1516">
        <v>1267</v>
      </c>
      <c r="T1516">
        <v>1010</v>
      </c>
      <c r="U1516" t="s">
        <v>19</v>
      </c>
    </row>
    <row r="1517" spans="1:21">
      <c r="A1517" t="str">
        <f t="shared" si="761"/>
        <v>26/03/2025</v>
      </c>
      <c r="B1517" t="str">
        <f t="shared" ref="B1517:B1523" si="767">"ENTRADA"</f>
        <v>ENTRADA</v>
      </c>
      <c r="C1517" t="str">
        <f t="shared" si="762"/>
        <v>NFSE</v>
      </c>
      <c r="D1517" t="str">
        <f>"2828"</f>
        <v>2828</v>
      </c>
      <c r="E1517" t="str">
        <f t="shared" si="763"/>
        <v>COM</v>
      </c>
      <c r="F1517" t="str">
        <f>"JAL FARMACIA E DROGARIA LJ 2 (10138)"</f>
        <v>JAL FARMACIA E DROGARIA LJ 2 (10138)</v>
      </c>
      <c r="G1517" t="str">
        <f>"Serv.Prest. 17/03/2025 a 23/03/2025 - RPS: 600 - NFSe: 2828"</f>
        <v>Serv.Prest. 17/03/2025 a 23/03/2025 - RPS: 600 - NFSe: 2828</v>
      </c>
      <c r="H1517" t="str">
        <f t="shared" si="750"/>
        <v>26/03/2025</v>
      </c>
      <c r="I1517" t="str">
        <f>("24/03/2025")</f>
        <v>24/03/2025</v>
      </c>
      <c r="J1517" t="str">
        <f t="shared" si="764"/>
        <v>26/03/2025</v>
      </c>
      <c r="M1517">
        <v>303</v>
      </c>
      <c r="N1517" t="str">
        <f t="shared" si="765"/>
        <v>RECEITAS COM ENTREGAS</v>
      </c>
      <c r="P1517">
        <v>259.2</v>
      </c>
      <c r="Q1517" t="str">
        <f>"JAL FARMACIA E DROGARIA LJ 2 (10138)"</f>
        <v>JAL FARMACIA E DROGARIA LJ 2 (10138)</v>
      </c>
      <c r="R1517" t="str">
        <f t="shared" si="766"/>
        <v>RECEITAS COM ENTREGAS (303)</v>
      </c>
      <c r="S1517">
        <v>1267</v>
      </c>
      <c r="T1517">
        <v>1010</v>
      </c>
      <c r="U1517" t="s">
        <v>19</v>
      </c>
    </row>
    <row r="1518" spans="1:21">
      <c r="A1518" t="str">
        <f t="shared" si="761"/>
        <v>26/03/2025</v>
      </c>
      <c r="B1518" t="str">
        <f t="shared" si="767"/>
        <v>ENTRADA</v>
      </c>
      <c r="C1518" t="str">
        <f t="shared" si="762"/>
        <v>NFSE</v>
      </c>
      <c r="D1518" t="str">
        <f>"2832"</f>
        <v>2832</v>
      </c>
      <c r="E1518" t="str">
        <f t="shared" si="763"/>
        <v>COM</v>
      </c>
      <c r="F1518" t="str">
        <f>"DELTA LOJA 2 (10123)"</f>
        <v>DELTA LOJA 2 (10123)</v>
      </c>
      <c r="G1518" t="str">
        <f>"Serv.Prest. 17/03/2025 a 23/03/2025 - RPS: 604 - NFSe: 2832"</f>
        <v>Serv.Prest. 17/03/2025 a 23/03/2025 - RPS: 604 - NFSe: 2832</v>
      </c>
      <c r="H1518" t="str">
        <f t="shared" si="750"/>
        <v>26/03/2025</v>
      </c>
      <c r="I1518" t="str">
        <f>("25/03/2025")</f>
        <v>25/03/2025</v>
      </c>
      <c r="J1518" t="str">
        <f t="shared" si="764"/>
        <v>26/03/2025</v>
      </c>
      <c r="K1518">
        <v>480.48</v>
      </c>
      <c r="L1518">
        <v>480.48</v>
      </c>
      <c r="M1518">
        <v>303</v>
      </c>
      <c r="N1518" t="str">
        <f t="shared" si="765"/>
        <v>RECEITAS COM ENTREGAS</v>
      </c>
      <c r="O1518">
        <v>480.48</v>
      </c>
      <c r="R1518" t="str">
        <f t="shared" si="766"/>
        <v>RECEITAS COM ENTREGAS (303)</v>
      </c>
      <c r="S1518">
        <v>1268</v>
      </c>
      <c r="T1518">
        <v>1014</v>
      </c>
      <c r="U1518" t="s">
        <v>19</v>
      </c>
    </row>
    <row r="1519" spans="1:21">
      <c r="A1519" t="str">
        <f t="shared" si="761"/>
        <v>26/03/2025</v>
      </c>
      <c r="B1519" t="str">
        <f t="shared" si="767"/>
        <v>ENTRADA</v>
      </c>
      <c r="C1519" t="str">
        <f t="shared" si="762"/>
        <v>NFSE</v>
      </c>
      <c r="D1519" t="str">
        <f>"2832"</f>
        <v>2832</v>
      </c>
      <c r="E1519" t="str">
        <f t="shared" si="763"/>
        <v>COM</v>
      </c>
      <c r="F1519" t="str">
        <f>"DELTA LOJA 2 (10123)"</f>
        <v>DELTA LOJA 2 (10123)</v>
      </c>
      <c r="G1519" t="str">
        <f>"Serv.Prest. 17/03/2025 a 23/03/2025 - RPS: 604 - NFSe: 2832"</f>
        <v>Serv.Prest. 17/03/2025 a 23/03/2025 - RPS: 604 - NFSe: 2832</v>
      </c>
      <c r="H1519" t="str">
        <f t="shared" si="750"/>
        <v>26/03/2025</v>
      </c>
      <c r="I1519" t="str">
        <f>("25/03/2025")</f>
        <v>25/03/2025</v>
      </c>
      <c r="J1519" t="str">
        <f t="shared" si="764"/>
        <v>26/03/2025</v>
      </c>
      <c r="M1519">
        <v>303</v>
      </c>
      <c r="N1519" t="str">
        <f t="shared" si="765"/>
        <v>RECEITAS COM ENTREGAS</v>
      </c>
      <c r="P1519">
        <v>480.48</v>
      </c>
      <c r="Q1519" t="str">
        <f>"DELTA LOJA 2 (10123)"</f>
        <v>DELTA LOJA 2 (10123)</v>
      </c>
      <c r="R1519" t="str">
        <f t="shared" si="766"/>
        <v>RECEITAS COM ENTREGAS (303)</v>
      </c>
      <c r="S1519">
        <v>1268</v>
      </c>
      <c r="T1519">
        <v>1014</v>
      </c>
      <c r="U1519" t="s">
        <v>19</v>
      </c>
    </row>
    <row r="1520" spans="1:21">
      <c r="A1520" t="str">
        <f t="shared" si="761"/>
        <v>26/03/2025</v>
      </c>
      <c r="B1520" t="str">
        <f t="shared" si="767"/>
        <v>ENTRADA</v>
      </c>
      <c r="C1520" t="str">
        <f t="shared" si="762"/>
        <v>NFSE</v>
      </c>
      <c r="D1520" t="str">
        <f>"2511"</f>
        <v>2511</v>
      </c>
      <c r="E1520" t="str">
        <f t="shared" si="763"/>
        <v>COM</v>
      </c>
      <c r="F1520" t="str">
        <f>"DROGA CINTIA 2 (10144)"</f>
        <v>DROGA CINTIA 2 (10144)</v>
      </c>
      <c r="G1520" t="str">
        <f>"Serv.Prest. 18/11/2024 a 24/11/2024 - RPS: 287 - NFSe: 2511"</f>
        <v>Serv.Prest. 18/11/2024 a 24/11/2024 - RPS: 287 - NFSe: 2511</v>
      </c>
      <c r="H1520" t="str">
        <f>("27/03/2025")</f>
        <v>27/03/2025</v>
      </c>
      <c r="I1520" t="str">
        <f>("26/11/2024")</f>
        <v>26/11/2024</v>
      </c>
      <c r="J1520" t="str">
        <f t="shared" si="764"/>
        <v>26/03/2025</v>
      </c>
      <c r="K1520">
        <v>159.12</v>
      </c>
      <c r="L1520">
        <v>159.12</v>
      </c>
      <c r="M1520">
        <v>303</v>
      </c>
      <c r="N1520" t="str">
        <f t="shared" si="765"/>
        <v>RECEITAS COM ENTREGAS</v>
      </c>
      <c r="O1520">
        <v>159.12</v>
      </c>
      <c r="R1520" t="str">
        <f t="shared" si="766"/>
        <v>RECEITAS COM ENTREGAS (303)</v>
      </c>
      <c r="S1520">
        <v>1269</v>
      </c>
      <c r="T1520">
        <v>543</v>
      </c>
      <c r="U1520" t="s">
        <v>19</v>
      </c>
    </row>
    <row r="1521" spans="1:21">
      <c r="A1521" t="str">
        <f t="shared" si="761"/>
        <v>26/03/2025</v>
      </c>
      <c r="B1521" t="str">
        <f t="shared" si="767"/>
        <v>ENTRADA</v>
      </c>
      <c r="C1521" t="str">
        <f t="shared" si="762"/>
        <v>NFSE</v>
      </c>
      <c r="D1521" t="str">
        <f>"2511"</f>
        <v>2511</v>
      </c>
      <c r="E1521" t="str">
        <f t="shared" si="763"/>
        <v>COM</v>
      </c>
      <c r="F1521" t="str">
        <f>"DROGA CINTIA 2 (10144)"</f>
        <v>DROGA CINTIA 2 (10144)</v>
      </c>
      <c r="G1521" t="str">
        <f>"Serv.Prest. 18/11/2024 a 24/11/2024 - RPS: 287 - NFSe: 2511"</f>
        <v>Serv.Prest. 18/11/2024 a 24/11/2024 - RPS: 287 - NFSe: 2511</v>
      </c>
      <c r="H1521" t="str">
        <f>("27/03/2025")</f>
        <v>27/03/2025</v>
      </c>
      <c r="I1521" t="str">
        <f>("26/11/2024")</f>
        <v>26/11/2024</v>
      </c>
      <c r="J1521" t="str">
        <f t="shared" si="764"/>
        <v>26/03/2025</v>
      </c>
      <c r="M1521">
        <v>303</v>
      </c>
      <c r="N1521" t="str">
        <f t="shared" si="765"/>
        <v>RECEITAS COM ENTREGAS</v>
      </c>
      <c r="P1521">
        <v>159.12</v>
      </c>
      <c r="Q1521" t="str">
        <f>"DROGA CINTIA 2 (10144)"</f>
        <v>DROGA CINTIA 2 (10144)</v>
      </c>
      <c r="R1521" t="str">
        <f t="shared" si="766"/>
        <v>RECEITAS COM ENTREGAS (303)</v>
      </c>
      <c r="S1521">
        <v>1269</v>
      </c>
      <c r="T1521">
        <v>543</v>
      </c>
      <c r="U1521" t="s">
        <v>19</v>
      </c>
    </row>
    <row r="1522" spans="1:21">
      <c r="A1522" t="str">
        <f t="shared" si="761"/>
        <v>26/03/2025</v>
      </c>
      <c r="B1522" t="str">
        <f t="shared" si="767"/>
        <v>ENTRADA</v>
      </c>
      <c r="C1522" t="str">
        <f t="shared" si="762"/>
        <v>NFSE</v>
      </c>
      <c r="D1522" t="str">
        <f>"2549"</f>
        <v>2549</v>
      </c>
      <c r="E1522" t="str">
        <f t="shared" si="763"/>
        <v>COM</v>
      </c>
      <c r="F1522" t="str">
        <f>"DROGARIA DROGACINTIA LTDA (10144)"</f>
        <v>DROGARIA DROGACINTIA LTDA (10144)</v>
      </c>
      <c r="G1522" t="str">
        <f>"Serv.Prest. 02/12/2024 a 08/12/2024 - RPS: 324 - NFSe: 2549"</f>
        <v>Serv.Prest. 02/12/2024 a 08/12/2024 - RPS: 324 - NFSe: 2549</v>
      </c>
      <c r="H1522" t="str">
        <f>("27/03/2025")</f>
        <v>27/03/2025</v>
      </c>
      <c r="I1522" t="str">
        <f>("10/12/2024")</f>
        <v>10/12/2024</v>
      </c>
      <c r="J1522" t="str">
        <f t="shared" si="764"/>
        <v>26/03/2025</v>
      </c>
      <c r="K1522">
        <v>371.28</v>
      </c>
      <c r="L1522">
        <v>371.28</v>
      </c>
      <c r="M1522">
        <v>303</v>
      </c>
      <c r="N1522" t="str">
        <f t="shared" si="765"/>
        <v>RECEITAS COM ENTREGAS</v>
      </c>
      <c r="O1522">
        <v>371.28</v>
      </c>
      <c r="R1522" t="str">
        <f t="shared" si="766"/>
        <v>RECEITAS COM ENTREGAS (303)</v>
      </c>
      <c r="S1522">
        <v>1270</v>
      </c>
      <c r="T1522">
        <v>623</v>
      </c>
      <c r="U1522" t="s">
        <v>19</v>
      </c>
    </row>
    <row r="1523" spans="1:21">
      <c r="A1523" t="str">
        <f t="shared" si="761"/>
        <v>26/03/2025</v>
      </c>
      <c r="B1523" t="str">
        <f t="shared" si="767"/>
        <v>ENTRADA</v>
      </c>
      <c r="C1523" t="str">
        <f t="shared" si="762"/>
        <v>NFSE</v>
      </c>
      <c r="D1523" t="str">
        <f>"2549"</f>
        <v>2549</v>
      </c>
      <c r="E1523" t="str">
        <f t="shared" si="763"/>
        <v>COM</v>
      </c>
      <c r="F1523" t="str">
        <f>"DROGARIA DROGACINTIA LTDA (10144)"</f>
        <v>DROGARIA DROGACINTIA LTDA (10144)</v>
      </c>
      <c r="G1523" t="str">
        <f>"Serv.Prest. 02/12/2024 a 08/12/2024 - RPS: 324 - NFSe: 2549"</f>
        <v>Serv.Prest. 02/12/2024 a 08/12/2024 - RPS: 324 - NFSe: 2549</v>
      </c>
      <c r="H1523" t="str">
        <f>("27/03/2025")</f>
        <v>27/03/2025</v>
      </c>
      <c r="I1523" t="str">
        <f>("10/12/2024")</f>
        <v>10/12/2024</v>
      </c>
      <c r="J1523" t="str">
        <f t="shared" si="764"/>
        <v>26/03/2025</v>
      </c>
      <c r="M1523">
        <v>303</v>
      </c>
      <c r="N1523" t="str">
        <f t="shared" si="765"/>
        <v>RECEITAS COM ENTREGAS</v>
      </c>
      <c r="P1523">
        <v>371.28</v>
      </c>
      <c r="Q1523" t="str">
        <f>"DROGA CINTIA 2 (10144)"</f>
        <v>DROGA CINTIA 2 (10144)</v>
      </c>
      <c r="R1523" t="str">
        <f t="shared" si="766"/>
        <v>RECEITAS COM ENTREGAS (303)</v>
      </c>
      <c r="S1523">
        <v>1270</v>
      </c>
      <c r="T1523">
        <v>623</v>
      </c>
      <c r="U1523" t="s">
        <v>19</v>
      </c>
    </row>
    <row r="1524" spans="1:21">
      <c r="A1524" t="str">
        <f t="shared" si="761"/>
        <v>26/03/2025</v>
      </c>
      <c r="B1524" t="str">
        <f>"SAÍDA"</f>
        <v>SAÍDA</v>
      </c>
      <c r="C1524" t="str">
        <f>"JUROS"</f>
        <v>JUROS</v>
      </c>
      <c r="D1524" t="str">
        <f>""</f>
        <v/>
      </c>
      <c r="E1524" t="str">
        <f>"CXA"</f>
        <v>CXA</v>
      </c>
      <c r="F1524" t="str">
        <f>""</f>
        <v/>
      </c>
      <c r="G1524" t="str">
        <f>"TAXA BOLETO COMPENSADO"</f>
        <v>TAXA BOLETO COMPENSADO</v>
      </c>
      <c r="H1524" t="str">
        <f t="shared" ref="H1524:I1527" si="768">("26/03/2025")</f>
        <v>26/03/2025</v>
      </c>
      <c r="I1524" t="str">
        <f t="shared" si="768"/>
        <v>26/03/2025</v>
      </c>
      <c r="J1524" t="str">
        <f t="shared" si="764"/>
        <v>26/03/2025</v>
      </c>
      <c r="K1524">
        <v>1.7</v>
      </c>
      <c r="L1524">
        <v>1.7</v>
      </c>
      <c r="M1524">
        <v>401</v>
      </c>
      <c r="N1524" t="str">
        <f>"IOF/JUROS/DESP.FINANCEIRA"</f>
        <v>IOF/JUROS/DESP.FINANCEIRA</v>
      </c>
      <c r="O1524">
        <v>1.7</v>
      </c>
      <c r="R1524" t="str">
        <f>"BANCO CORA (102)"</f>
        <v>BANCO CORA (102)</v>
      </c>
      <c r="S1524">
        <v>1282</v>
      </c>
      <c r="T1524">
        <v>0</v>
      </c>
      <c r="U1524" t="s">
        <v>20</v>
      </c>
    </row>
    <row r="1525" spans="1:21">
      <c r="A1525" t="str">
        <f t="shared" si="761"/>
        <v>26/03/2025</v>
      </c>
      <c r="B1525" t="str">
        <f>"SAÍDA"</f>
        <v>SAÍDA</v>
      </c>
      <c r="C1525" t="str">
        <f>"JUROS"</f>
        <v>JUROS</v>
      </c>
      <c r="D1525" t="str">
        <f>""</f>
        <v/>
      </c>
      <c r="E1525" t="str">
        <f>"CXA"</f>
        <v>CXA</v>
      </c>
      <c r="F1525" t="str">
        <f>""</f>
        <v/>
      </c>
      <c r="G1525" t="str">
        <f>"TAXA BOLETO COMPENSADO"</f>
        <v>TAXA BOLETO COMPENSADO</v>
      </c>
      <c r="H1525" t="str">
        <f t="shared" si="768"/>
        <v>26/03/2025</v>
      </c>
      <c r="I1525" t="str">
        <f t="shared" si="768"/>
        <v>26/03/2025</v>
      </c>
      <c r="J1525" t="str">
        <f t="shared" si="764"/>
        <v>26/03/2025</v>
      </c>
      <c r="K1525">
        <v>1.7</v>
      </c>
      <c r="L1525">
        <v>1.7</v>
      </c>
      <c r="M1525">
        <v>401</v>
      </c>
      <c r="N1525" t="str">
        <f>"IOF/JUROS/DESP.FINANCEIRA"</f>
        <v>IOF/JUROS/DESP.FINANCEIRA</v>
      </c>
      <c r="O1525">
        <v>1.7</v>
      </c>
      <c r="R1525" t="str">
        <f>"BANCO CORA (102)"</f>
        <v>BANCO CORA (102)</v>
      </c>
      <c r="S1525">
        <v>1283</v>
      </c>
      <c r="T1525">
        <v>0</v>
      </c>
      <c r="U1525" t="s">
        <v>20</v>
      </c>
    </row>
    <row r="1526" spans="1:21">
      <c r="A1526" t="str">
        <f t="shared" si="761"/>
        <v>26/03/2025</v>
      </c>
      <c r="B1526" t="str">
        <f>"SAÍDA"</f>
        <v>SAÍDA</v>
      </c>
      <c r="C1526" t="str">
        <f>"JUROS"</f>
        <v>JUROS</v>
      </c>
      <c r="D1526" t="str">
        <f>""</f>
        <v/>
      </c>
      <c r="E1526" t="str">
        <f>"CXA"</f>
        <v>CXA</v>
      </c>
      <c r="F1526" t="str">
        <f>""</f>
        <v/>
      </c>
      <c r="G1526" t="str">
        <f>"TAXA BOLETO COMPENSADO"</f>
        <v>TAXA BOLETO COMPENSADO</v>
      </c>
      <c r="H1526" t="str">
        <f t="shared" si="768"/>
        <v>26/03/2025</v>
      </c>
      <c r="I1526" t="str">
        <f t="shared" si="768"/>
        <v>26/03/2025</v>
      </c>
      <c r="J1526" t="str">
        <f t="shared" si="764"/>
        <v>26/03/2025</v>
      </c>
      <c r="K1526">
        <v>0.5</v>
      </c>
      <c r="L1526">
        <v>0.5</v>
      </c>
      <c r="M1526">
        <v>401</v>
      </c>
      <c r="N1526" t="str">
        <f>"IOF/JUROS/DESP.FINANCEIRA"</f>
        <v>IOF/JUROS/DESP.FINANCEIRA</v>
      </c>
      <c r="O1526">
        <v>0.5</v>
      </c>
      <c r="R1526" t="str">
        <f>"BANCO CORA (102)"</f>
        <v>BANCO CORA (102)</v>
      </c>
      <c r="S1526">
        <v>1284</v>
      </c>
      <c r="T1526">
        <v>0</v>
      </c>
      <c r="U1526" t="s">
        <v>20</v>
      </c>
    </row>
    <row r="1527" spans="1:21">
      <c r="A1527" t="str">
        <f t="shared" si="761"/>
        <v>26/03/2025</v>
      </c>
      <c r="B1527" t="str">
        <f>"SAÍDA"</f>
        <v>SAÍDA</v>
      </c>
      <c r="C1527" t="str">
        <f>"JUROS"</f>
        <v>JUROS</v>
      </c>
      <c r="D1527" t="str">
        <f>""</f>
        <v/>
      </c>
      <c r="E1527" t="str">
        <f>"CXA"</f>
        <v>CXA</v>
      </c>
      <c r="F1527" t="str">
        <f>""</f>
        <v/>
      </c>
      <c r="G1527" t="str">
        <f>"TAXA BOLETO COMPENSADO"</f>
        <v>TAXA BOLETO COMPENSADO</v>
      </c>
      <c r="H1527" t="str">
        <f t="shared" si="768"/>
        <v>26/03/2025</v>
      </c>
      <c r="I1527" t="str">
        <f t="shared" si="768"/>
        <v>26/03/2025</v>
      </c>
      <c r="J1527" t="str">
        <f t="shared" si="764"/>
        <v>26/03/2025</v>
      </c>
      <c r="K1527">
        <v>0.5</v>
      </c>
      <c r="L1527">
        <v>0.5</v>
      </c>
      <c r="M1527">
        <v>401</v>
      </c>
      <c r="N1527" t="str">
        <f>"IOF/JUROS/DESP.FINANCEIRA"</f>
        <v>IOF/JUROS/DESP.FINANCEIRA</v>
      </c>
      <c r="O1527">
        <v>0.5</v>
      </c>
      <c r="R1527" t="str">
        <f>"BANCO CORA (102)"</f>
        <v>BANCO CORA (102)</v>
      </c>
      <c r="S1527">
        <v>1285</v>
      </c>
      <c r="T1527">
        <v>0</v>
      </c>
      <c r="U1527" t="s">
        <v>20</v>
      </c>
    </row>
    <row r="1528" spans="1:21">
      <c r="A1528" t="str">
        <f t="shared" ref="A1528:A1553" si="769">("27/03/2025")</f>
        <v>27/03/2025</v>
      </c>
      <c r="B1528" t="str">
        <f>"ENTRADA"</f>
        <v>ENTRADA</v>
      </c>
      <c r="C1528" t="str">
        <f t="shared" ref="C1528:C1543" si="770">"NFSE"</f>
        <v>NFSE</v>
      </c>
      <c r="D1528" t="str">
        <f>"2827"</f>
        <v>2827</v>
      </c>
      <c r="E1528" t="str">
        <f t="shared" ref="E1528:E1543" si="771">"COM"</f>
        <v>COM</v>
      </c>
      <c r="F1528" t="str">
        <f>"JAL FARMACIA E DROGARIA LJ 1 (10137)"</f>
        <v>JAL FARMACIA E DROGARIA LJ 1 (10137)</v>
      </c>
      <c r="G1528" t="str">
        <f>"Serv.Prest. 17/03/2025 a 23/03/2025 - RPS: 599 - NFSe: 2827"</f>
        <v>Serv.Prest. 17/03/2025 a 23/03/2025 - RPS: 599 - NFSe: 2827</v>
      </c>
      <c r="H1528" t="str">
        <f t="shared" ref="H1528:H1543" si="772">("26/03/2025")</f>
        <v>26/03/2025</v>
      </c>
      <c r="I1528" t="str">
        <f t="shared" ref="I1528:I1533" si="773">("24/03/2025")</f>
        <v>24/03/2025</v>
      </c>
      <c r="J1528" t="str">
        <f t="shared" ref="J1528:J1553" si="774">("27/03/2025")</f>
        <v>27/03/2025</v>
      </c>
      <c r="K1528">
        <v>524.79999999999995</v>
      </c>
      <c r="L1528">
        <v>524.79999999999995</v>
      </c>
      <c r="M1528">
        <v>303</v>
      </c>
      <c r="N1528" t="str">
        <f t="shared" ref="N1528:N1543" si="775">"RECEITAS COM ENTREGAS"</f>
        <v>RECEITAS COM ENTREGAS</v>
      </c>
      <c r="O1528">
        <v>524.79999999999995</v>
      </c>
      <c r="R1528" t="str">
        <f t="shared" ref="R1528:R1543" si="776">"RECEITAS COM ENTREGAS (303)"</f>
        <v>RECEITAS COM ENTREGAS (303)</v>
      </c>
      <c r="S1528">
        <v>1271</v>
      </c>
      <c r="T1528">
        <v>1009</v>
      </c>
      <c r="U1528" t="s">
        <v>19</v>
      </c>
    </row>
    <row r="1529" spans="1:21">
      <c r="A1529" t="str">
        <f t="shared" si="769"/>
        <v>27/03/2025</v>
      </c>
      <c r="B1529" t="str">
        <f t="shared" ref="B1529:B1543" si="777">"ENTRADA"</f>
        <v>ENTRADA</v>
      </c>
      <c r="C1529" t="str">
        <f t="shared" si="770"/>
        <v>NFSE</v>
      </c>
      <c r="D1529" t="str">
        <f>"2827"</f>
        <v>2827</v>
      </c>
      <c r="E1529" t="str">
        <f t="shared" si="771"/>
        <v>COM</v>
      </c>
      <c r="F1529" t="str">
        <f>"JAL FARMACIA E DROGARIA LJ 1 (10137)"</f>
        <v>JAL FARMACIA E DROGARIA LJ 1 (10137)</v>
      </c>
      <c r="G1529" t="str">
        <f>"Serv.Prest. 17/03/2025 a 23/03/2025 - RPS: 599 - NFSe: 2827"</f>
        <v>Serv.Prest. 17/03/2025 a 23/03/2025 - RPS: 599 - NFSe: 2827</v>
      </c>
      <c r="H1529" t="str">
        <f t="shared" si="772"/>
        <v>26/03/2025</v>
      </c>
      <c r="I1529" t="str">
        <f t="shared" si="773"/>
        <v>24/03/2025</v>
      </c>
      <c r="J1529" t="str">
        <f t="shared" si="774"/>
        <v>27/03/2025</v>
      </c>
      <c r="M1529">
        <v>303</v>
      </c>
      <c r="N1529" t="str">
        <f t="shared" si="775"/>
        <v>RECEITAS COM ENTREGAS</v>
      </c>
      <c r="P1529">
        <v>524.79999999999995</v>
      </c>
      <c r="Q1529" t="str">
        <f>"JAL FARMACIA E DROGARIA LJ 1 (10137)"</f>
        <v>JAL FARMACIA E DROGARIA LJ 1 (10137)</v>
      </c>
      <c r="R1529" t="str">
        <f t="shared" si="776"/>
        <v>RECEITAS COM ENTREGAS (303)</v>
      </c>
      <c r="S1529">
        <v>1271</v>
      </c>
      <c r="T1529">
        <v>1009</v>
      </c>
      <c r="U1529" t="s">
        <v>19</v>
      </c>
    </row>
    <row r="1530" spans="1:21">
      <c r="A1530" t="str">
        <f t="shared" si="769"/>
        <v>27/03/2025</v>
      </c>
      <c r="B1530" t="str">
        <f t="shared" si="777"/>
        <v>ENTRADA</v>
      </c>
      <c r="C1530" t="str">
        <f t="shared" si="770"/>
        <v>NFSE</v>
      </c>
      <c r="D1530" t="str">
        <f>"2829"</f>
        <v>2829</v>
      </c>
      <c r="E1530" t="str">
        <f t="shared" si="771"/>
        <v>COM</v>
      </c>
      <c r="F1530" t="str">
        <f>"FRAN FARMA (10124)"</f>
        <v>FRAN FARMA (10124)</v>
      </c>
      <c r="G1530" t="str">
        <f>"Serv.Prest. 17/03/2025 a 23/03/2025 - RPS: 601 - NFSe: 2829"</f>
        <v>Serv.Prest. 17/03/2025 a 23/03/2025 - RPS: 601 - NFSe: 2829</v>
      </c>
      <c r="H1530" t="str">
        <f t="shared" si="772"/>
        <v>26/03/2025</v>
      </c>
      <c r="I1530" t="str">
        <f t="shared" si="773"/>
        <v>24/03/2025</v>
      </c>
      <c r="J1530" t="str">
        <f t="shared" si="774"/>
        <v>27/03/2025</v>
      </c>
      <c r="K1530">
        <v>320</v>
      </c>
      <c r="L1530">
        <v>320</v>
      </c>
      <c r="M1530">
        <v>303</v>
      </c>
      <c r="N1530" t="str">
        <f t="shared" si="775"/>
        <v>RECEITAS COM ENTREGAS</v>
      </c>
      <c r="O1530">
        <v>320</v>
      </c>
      <c r="R1530" t="str">
        <f t="shared" si="776"/>
        <v>RECEITAS COM ENTREGAS (303)</v>
      </c>
      <c r="S1530">
        <v>1272</v>
      </c>
      <c r="T1530">
        <v>1011</v>
      </c>
      <c r="U1530" t="s">
        <v>19</v>
      </c>
    </row>
    <row r="1531" spans="1:21">
      <c r="A1531" t="str">
        <f t="shared" si="769"/>
        <v>27/03/2025</v>
      </c>
      <c r="B1531" t="str">
        <f t="shared" si="777"/>
        <v>ENTRADA</v>
      </c>
      <c r="C1531" t="str">
        <f t="shared" si="770"/>
        <v>NFSE</v>
      </c>
      <c r="D1531" t="str">
        <f>"2829"</f>
        <v>2829</v>
      </c>
      <c r="E1531" t="str">
        <f t="shared" si="771"/>
        <v>COM</v>
      </c>
      <c r="F1531" t="str">
        <f>"FRAN FARMA (10124)"</f>
        <v>FRAN FARMA (10124)</v>
      </c>
      <c r="G1531" t="str">
        <f>"Serv.Prest. 17/03/2025 a 23/03/2025 - RPS: 601 - NFSe: 2829"</f>
        <v>Serv.Prest. 17/03/2025 a 23/03/2025 - RPS: 601 - NFSe: 2829</v>
      </c>
      <c r="H1531" t="str">
        <f t="shared" si="772"/>
        <v>26/03/2025</v>
      </c>
      <c r="I1531" t="str">
        <f t="shared" si="773"/>
        <v>24/03/2025</v>
      </c>
      <c r="J1531" t="str">
        <f t="shared" si="774"/>
        <v>27/03/2025</v>
      </c>
      <c r="M1531">
        <v>303</v>
      </c>
      <c r="N1531" t="str">
        <f t="shared" si="775"/>
        <v>RECEITAS COM ENTREGAS</v>
      </c>
      <c r="P1531">
        <v>64</v>
      </c>
      <c r="Q1531" t="str">
        <f>"FRAN FARMA (10124)"</f>
        <v>FRAN FARMA (10124)</v>
      </c>
      <c r="R1531" t="str">
        <f t="shared" si="776"/>
        <v>RECEITAS COM ENTREGAS (303)</v>
      </c>
      <c r="S1531">
        <v>1272</v>
      </c>
      <c r="T1531">
        <v>1011</v>
      </c>
      <c r="U1531" t="s">
        <v>19</v>
      </c>
    </row>
    <row r="1532" spans="1:21">
      <c r="A1532" t="str">
        <f t="shared" si="769"/>
        <v>27/03/2025</v>
      </c>
      <c r="B1532" t="str">
        <f t="shared" si="777"/>
        <v>ENTRADA</v>
      </c>
      <c r="C1532" t="str">
        <f t="shared" si="770"/>
        <v>NFSE</v>
      </c>
      <c r="D1532" t="str">
        <f>"2829"</f>
        <v>2829</v>
      </c>
      <c r="E1532" t="str">
        <f t="shared" si="771"/>
        <v>COM</v>
      </c>
      <c r="F1532" t="str">
        <f>"FRAN FARMA (10124)"</f>
        <v>FRAN FARMA (10124)</v>
      </c>
      <c r="G1532" t="str">
        <f>"Serv.Prest. 17/03/2025 a 23/03/2025 - RPS: 601 - NFSe: 2829"</f>
        <v>Serv.Prest. 17/03/2025 a 23/03/2025 - RPS: 601 - NFSe: 2829</v>
      </c>
      <c r="H1532" t="str">
        <f t="shared" si="772"/>
        <v>26/03/2025</v>
      </c>
      <c r="I1532" t="str">
        <f t="shared" si="773"/>
        <v>24/03/2025</v>
      </c>
      <c r="J1532" t="str">
        <f t="shared" si="774"/>
        <v>27/03/2025</v>
      </c>
      <c r="M1532">
        <v>303</v>
      </c>
      <c r="N1532" t="str">
        <f t="shared" si="775"/>
        <v>RECEITAS COM ENTREGAS</v>
      </c>
      <c r="P1532">
        <v>192</v>
      </c>
      <c r="Q1532" t="str">
        <f>"FRAN FARMA LJ 2 (10131)"</f>
        <v>FRAN FARMA LJ 2 (10131)</v>
      </c>
      <c r="R1532" t="str">
        <f t="shared" si="776"/>
        <v>RECEITAS COM ENTREGAS (303)</v>
      </c>
      <c r="S1532">
        <v>1272</v>
      </c>
      <c r="T1532">
        <v>1011</v>
      </c>
      <c r="U1532" t="s">
        <v>19</v>
      </c>
    </row>
    <row r="1533" spans="1:21">
      <c r="A1533" t="str">
        <f t="shared" si="769"/>
        <v>27/03/2025</v>
      </c>
      <c r="B1533" t="str">
        <f t="shared" si="777"/>
        <v>ENTRADA</v>
      </c>
      <c r="C1533" t="str">
        <f t="shared" si="770"/>
        <v>NFSE</v>
      </c>
      <c r="D1533" t="str">
        <f>"2829"</f>
        <v>2829</v>
      </c>
      <c r="E1533" t="str">
        <f t="shared" si="771"/>
        <v>COM</v>
      </c>
      <c r="F1533" t="str">
        <f>"FRAN FARMA (10124)"</f>
        <v>FRAN FARMA (10124)</v>
      </c>
      <c r="G1533" t="str">
        <f>"Serv.Prest. 17/03/2025 a 23/03/2025 - RPS: 601 - NFSe: 2829"</f>
        <v>Serv.Prest. 17/03/2025 a 23/03/2025 - RPS: 601 - NFSe: 2829</v>
      </c>
      <c r="H1533" t="str">
        <f t="shared" si="772"/>
        <v>26/03/2025</v>
      </c>
      <c r="I1533" t="str">
        <f t="shared" si="773"/>
        <v>24/03/2025</v>
      </c>
      <c r="J1533" t="str">
        <f t="shared" si="774"/>
        <v>27/03/2025</v>
      </c>
      <c r="M1533">
        <v>303</v>
      </c>
      <c r="N1533" t="str">
        <f t="shared" si="775"/>
        <v>RECEITAS COM ENTREGAS</v>
      </c>
      <c r="P1533">
        <v>64</v>
      </c>
      <c r="Q1533" t="str">
        <f>"FRAN FARMA LJ 3 (10132)"</f>
        <v>FRAN FARMA LJ 3 (10132)</v>
      </c>
      <c r="R1533" t="str">
        <f t="shared" si="776"/>
        <v>RECEITAS COM ENTREGAS (303)</v>
      </c>
      <c r="S1533">
        <v>1272</v>
      </c>
      <c r="T1533">
        <v>1011</v>
      </c>
      <c r="U1533" t="s">
        <v>19</v>
      </c>
    </row>
    <row r="1534" spans="1:21">
      <c r="A1534" t="str">
        <f t="shared" si="769"/>
        <v>27/03/2025</v>
      </c>
      <c r="B1534" t="str">
        <f t="shared" si="777"/>
        <v>ENTRADA</v>
      </c>
      <c r="C1534" t="str">
        <f t="shared" si="770"/>
        <v>NFSE</v>
      </c>
      <c r="D1534" t="str">
        <f>"2830"</f>
        <v>2830</v>
      </c>
      <c r="E1534" t="str">
        <f t="shared" si="771"/>
        <v>COM</v>
      </c>
      <c r="F1534" t="str">
        <f>"DROGA ELIDA (10121)"</f>
        <v>DROGA ELIDA (10121)</v>
      </c>
      <c r="G1534" t="str">
        <f>"Serv.Prest. 17/03/2025 a 23/03/2025 - RPS: 602 - NFSe: 2830"</f>
        <v>Serv.Prest. 17/03/2025 a 23/03/2025 - RPS: 602 - NFSe: 2830</v>
      </c>
      <c r="H1534" t="str">
        <f t="shared" si="772"/>
        <v>26/03/2025</v>
      </c>
      <c r="I1534" t="str">
        <f t="shared" ref="I1534:I1543" si="778">("25/03/2025")</f>
        <v>25/03/2025</v>
      </c>
      <c r="J1534" t="str">
        <f t="shared" si="774"/>
        <v>27/03/2025</v>
      </c>
      <c r="K1534">
        <v>350.4</v>
      </c>
      <c r="L1534">
        <v>350.4</v>
      </c>
      <c r="M1534">
        <v>303</v>
      </c>
      <c r="N1534" t="str">
        <f t="shared" si="775"/>
        <v>RECEITAS COM ENTREGAS</v>
      </c>
      <c r="O1534">
        <v>350.4</v>
      </c>
      <c r="R1534" t="str">
        <f t="shared" si="776"/>
        <v>RECEITAS COM ENTREGAS (303)</v>
      </c>
      <c r="S1534">
        <v>1273</v>
      </c>
      <c r="T1534">
        <v>1012</v>
      </c>
      <c r="U1534" t="s">
        <v>19</v>
      </c>
    </row>
    <row r="1535" spans="1:21">
      <c r="A1535" t="str">
        <f t="shared" si="769"/>
        <v>27/03/2025</v>
      </c>
      <c r="B1535" t="str">
        <f t="shared" si="777"/>
        <v>ENTRADA</v>
      </c>
      <c r="C1535" t="str">
        <f t="shared" si="770"/>
        <v>NFSE</v>
      </c>
      <c r="D1535" t="str">
        <f>"2830"</f>
        <v>2830</v>
      </c>
      <c r="E1535" t="str">
        <f t="shared" si="771"/>
        <v>COM</v>
      </c>
      <c r="F1535" t="str">
        <f>"DROGA ELIDA (10121)"</f>
        <v>DROGA ELIDA (10121)</v>
      </c>
      <c r="G1535" t="str">
        <f>"Serv.Prest. 17/03/2025 a 23/03/2025 - RPS: 602 - NFSe: 2830"</f>
        <v>Serv.Prest. 17/03/2025 a 23/03/2025 - RPS: 602 - NFSe: 2830</v>
      </c>
      <c r="H1535" t="str">
        <f t="shared" si="772"/>
        <v>26/03/2025</v>
      </c>
      <c r="I1535" t="str">
        <f t="shared" si="778"/>
        <v>25/03/2025</v>
      </c>
      <c r="J1535" t="str">
        <f t="shared" si="774"/>
        <v>27/03/2025</v>
      </c>
      <c r="M1535">
        <v>303</v>
      </c>
      <c r="N1535" t="str">
        <f t="shared" si="775"/>
        <v>RECEITAS COM ENTREGAS</v>
      </c>
      <c r="P1535">
        <v>350.4</v>
      </c>
      <c r="Q1535" t="str">
        <f>"DROGA ELIDA (10121)"</f>
        <v>DROGA ELIDA (10121)</v>
      </c>
      <c r="R1535" t="str">
        <f t="shared" si="776"/>
        <v>RECEITAS COM ENTREGAS (303)</v>
      </c>
      <c r="S1535">
        <v>1273</v>
      </c>
      <c r="T1535">
        <v>1012</v>
      </c>
      <c r="U1535" t="s">
        <v>19</v>
      </c>
    </row>
    <row r="1536" spans="1:21">
      <c r="A1536" t="str">
        <f t="shared" si="769"/>
        <v>27/03/2025</v>
      </c>
      <c r="B1536" t="str">
        <f t="shared" si="777"/>
        <v>ENTRADA</v>
      </c>
      <c r="C1536" t="str">
        <f t="shared" si="770"/>
        <v>NFSE</v>
      </c>
      <c r="D1536" t="str">
        <f>"2831"</f>
        <v>2831</v>
      </c>
      <c r="E1536" t="str">
        <f t="shared" si="771"/>
        <v>COM</v>
      </c>
      <c r="F1536" t="str">
        <f>"FARMACIA ECONOMIZE (10103)"</f>
        <v>FARMACIA ECONOMIZE (10103)</v>
      </c>
      <c r="G1536" t="str">
        <f>"Serv.Prest. 17/03/2025 a 23/03/2025 - RPS: 603 - NFSe: 2831"</f>
        <v>Serv.Prest. 17/03/2025 a 23/03/2025 - RPS: 603 - NFSe: 2831</v>
      </c>
      <c r="H1536" t="str">
        <f t="shared" si="772"/>
        <v>26/03/2025</v>
      </c>
      <c r="I1536" t="str">
        <f t="shared" si="778"/>
        <v>25/03/2025</v>
      </c>
      <c r="J1536" t="str">
        <f t="shared" si="774"/>
        <v>27/03/2025</v>
      </c>
      <c r="K1536">
        <v>89.76</v>
      </c>
      <c r="L1536">
        <v>89.76</v>
      </c>
      <c r="M1536">
        <v>303</v>
      </c>
      <c r="N1536" t="str">
        <f t="shared" si="775"/>
        <v>RECEITAS COM ENTREGAS</v>
      </c>
      <c r="O1536">
        <v>89.76</v>
      </c>
      <c r="R1536" t="str">
        <f t="shared" si="776"/>
        <v>RECEITAS COM ENTREGAS (303)</v>
      </c>
      <c r="S1536">
        <v>1274</v>
      </c>
      <c r="T1536">
        <v>1013</v>
      </c>
      <c r="U1536" t="s">
        <v>19</v>
      </c>
    </row>
    <row r="1537" spans="1:21">
      <c r="A1537" t="str">
        <f t="shared" si="769"/>
        <v>27/03/2025</v>
      </c>
      <c r="B1537" t="str">
        <f t="shared" si="777"/>
        <v>ENTRADA</v>
      </c>
      <c r="C1537" t="str">
        <f t="shared" si="770"/>
        <v>NFSE</v>
      </c>
      <c r="D1537" t="str">
        <f>"2831"</f>
        <v>2831</v>
      </c>
      <c r="E1537" t="str">
        <f t="shared" si="771"/>
        <v>COM</v>
      </c>
      <c r="F1537" t="str">
        <f>"FARMACIA ECONOMIZE (10103)"</f>
        <v>FARMACIA ECONOMIZE (10103)</v>
      </c>
      <c r="G1537" t="str">
        <f>"Serv.Prest. 17/03/2025 a 23/03/2025 - RPS: 603 - NFSe: 2831"</f>
        <v>Serv.Prest. 17/03/2025 a 23/03/2025 - RPS: 603 - NFSe: 2831</v>
      </c>
      <c r="H1537" t="str">
        <f t="shared" si="772"/>
        <v>26/03/2025</v>
      </c>
      <c r="I1537" t="str">
        <f t="shared" si="778"/>
        <v>25/03/2025</v>
      </c>
      <c r="J1537" t="str">
        <f t="shared" si="774"/>
        <v>27/03/2025</v>
      </c>
      <c r="M1537">
        <v>303</v>
      </c>
      <c r="N1537" t="str">
        <f t="shared" si="775"/>
        <v>RECEITAS COM ENTREGAS</v>
      </c>
      <c r="P1537">
        <v>89.76</v>
      </c>
      <c r="Q1537" t="str">
        <f>"FARMACIA ECONOMIZE (10103)"</f>
        <v>FARMACIA ECONOMIZE (10103)</v>
      </c>
      <c r="R1537" t="str">
        <f t="shared" si="776"/>
        <v>RECEITAS COM ENTREGAS (303)</v>
      </c>
      <c r="S1537">
        <v>1274</v>
      </c>
      <c r="T1537">
        <v>1013</v>
      </c>
      <c r="U1537" t="s">
        <v>19</v>
      </c>
    </row>
    <row r="1538" spans="1:21">
      <c r="A1538" t="str">
        <f t="shared" si="769"/>
        <v>27/03/2025</v>
      </c>
      <c r="B1538" t="str">
        <f t="shared" si="777"/>
        <v>ENTRADA</v>
      </c>
      <c r="C1538" t="str">
        <f t="shared" si="770"/>
        <v>NFSE</v>
      </c>
      <c r="D1538" t="str">
        <f>"2833"</f>
        <v>2833</v>
      </c>
      <c r="E1538" t="str">
        <f t="shared" si="771"/>
        <v>COM</v>
      </c>
      <c r="F1538" t="str">
        <f>"DROGA MONICA (10147)"</f>
        <v>DROGA MONICA (10147)</v>
      </c>
      <c r="G1538" t="str">
        <f>"Serv.Prest. 17/03/2025 a 23/03/2025 - RPS: 605 - NFSe: 2833"</f>
        <v>Serv.Prest. 17/03/2025 a 23/03/2025 - RPS: 605 - NFSe: 2833</v>
      </c>
      <c r="H1538" t="str">
        <f t="shared" si="772"/>
        <v>26/03/2025</v>
      </c>
      <c r="I1538" t="str">
        <f t="shared" si="778"/>
        <v>25/03/2025</v>
      </c>
      <c r="J1538" t="str">
        <f t="shared" si="774"/>
        <v>27/03/2025</v>
      </c>
      <c r="K1538">
        <v>206.4</v>
      </c>
      <c r="L1538">
        <v>206.4</v>
      </c>
      <c r="M1538">
        <v>303</v>
      </c>
      <c r="N1538" t="str">
        <f t="shared" si="775"/>
        <v>RECEITAS COM ENTREGAS</v>
      </c>
      <c r="O1538">
        <v>206.4</v>
      </c>
      <c r="R1538" t="str">
        <f t="shared" si="776"/>
        <v>RECEITAS COM ENTREGAS (303)</v>
      </c>
      <c r="S1538">
        <v>1275</v>
      </c>
      <c r="T1538">
        <v>1015</v>
      </c>
      <c r="U1538" t="s">
        <v>19</v>
      </c>
    </row>
    <row r="1539" spans="1:21">
      <c r="A1539" t="str">
        <f t="shared" si="769"/>
        <v>27/03/2025</v>
      </c>
      <c r="B1539" t="str">
        <f t="shared" si="777"/>
        <v>ENTRADA</v>
      </c>
      <c r="C1539" t="str">
        <f t="shared" si="770"/>
        <v>NFSE</v>
      </c>
      <c r="D1539" t="str">
        <f>"2833"</f>
        <v>2833</v>
      </c>
      <c r="E1539" t="str">
        <f t="shared" si="771"/>
        <v>COM</v>
      </c>
      <c r="F1539" t="str">
        <f>"DROGA MONICA (10147)"</f>
        <v>DROGA MONICA (10147)</v>
      </c>
      <c r="G1539" t="str">
        <f>"Serv.Prest. 17/03/2025 a 23/03/2025 - RPS: 605 - NFSe: 2833"</f>
        <v>Serv.Prest. 17/03/2025 a 23/03/2025 - RPS: 605 - NFSe: 2833</v>
      </c>
      <c r="H1539" t="str">
        <f t="shared" si="772"/>
        <v>26/03/2025</v>
      </c>
      <c r="I1539" t="str">
        <f t="shared" si="778"/>
        <v>25/03/2025</v>
      </c>
      <c r="J1539" t="str">
        <f t="shared" si="774"/>
        <v>27/03/2025</v>
      </c>
      <c r="M1539">
        <v>303</v>
      </c>
      <c r="N1539" t="str">
        <f t="shared" si="775"/>
        <v>RECEITAS COM ENTREGAS</v>
      </c>
      <c r="P1539">
        <v>206.4</v>
      </c>
      <c r="Q1539" t="str">
        <f>"DROGA MONICA (10147)"</f>
        <v>DROGA MONICA (10147)</v>
      </c>
      <c r="R1539" t="str">
        <f t="shared" si="776"/>
        <v>RECEITAS COM ENTREGAS (303)</v>
      </c>
      <c r="S1539">
        <v>1275</v>
      </c>
      <c r="T1539">
        <v>1015</v>
      </c>
      <c r="U1539" t="s">
        <v>19</v>
      </c>
    </row>
    <row r="1540" spans="1:21">
      <c r="A1540" t="str">
        <f t="shared" si="769"/>
        <v>27/03/2025</v>
      </c>
      <c r="B1540" t="str">
        <f t="shared" si="777"/>
        <v>ENTRADA</v>
      </c>
      <c r="C1540" t="str">
        <f t="shared" si="770"/>
        <v>NFSE</v>
      </c>
      <c r="D1540" t="str">
        <f>"2835"</f>
        <v>2835</v>
      </c>
      <c r="E1540" t="str">
        <f t="shared" si="771"/>
        <v>COM</v>
      </c>
      <c r="F1540" t="str">
        <f>"DROGA MONICA LJ 22 (10158)"</f>
        <v>DROGA MONICA LJ 22 (10158)</v>
      </c>
      <c r="G1540" t="str">
        <f>"Serv.Prest. 17/03/2025 a 23/03/2025 - RPS: 606 - NFSe: 2835"</f>
        <v>Serv.Prest. 17/03/2025 a 23/03/2025 - RPS: 606 - NFSe: 2835</v>
      </c>
      <c r="H1540" t="str">
        <f t="shared" si="772"/>
        <v>26/03/2025</v>
      </c>
      <c r="I1540" t="str">
        <f t="shared" si="778"/>
        <v>25/03/2025</v>
      </c>
      <c r="J1540" t="str">
        <f t="shared" si="774"/>
        <v>27/03/2025</v>
      </c>
      <c r="K1540">
        <v>206.4</v>
      </c>
      <c r="L1540">
        <v>206.4</v>
      </c>
      <c r="M1540">
        <v>303</v>
      </c>
      <c r="N1540" t="str">
        <f t="shared" si="775"/>
        <v>RECEITAS COM ENTREGAS</v>
      </c>
      <c r="O1540">
        <v>206.4</v>
      </c>
      <c r="R1540" t="str">
        <f t="shared" si="776"/>
        <v>RECEITAS COM ENTREGAS (303)</v>
      </c>
      <c r="S1540">
        <v>1276</v>
      </c>
      <c r="T1540">
        <v>1016</v>
      </c>
      <c r="U1540" t="s">
        <v>19</v>
      </c>
    </row>
    <row r="1541" spans="1:21">
      <c r="A1541" t="str">
        <f t="shared" si="769"/>
        <v>27/03/2025</v>
      </c>
      <c r="B1541" t="str">
        <f t="shared" si="777"/>
        <v>ENTRADA</v>
      </c>
      <c r="C1541" t="str">
        <f t="shared" si="770"/>
        <v>NFSE</v>
      </c>
      <c r="D1541" t="str">
        <f>"2835"</f>
        <v>2835</v>
      </c>
      <c r="E1541" t="str">
        <f t="shared" si="771"/>
        <v>COM</v>
      </c>
      <c r="F1541" t="str">
        <f>"DROGA MONICA LJ 22 (10158)"</f>
        <v>DROGA MONICA LJ 22 (10158)</v>
      </c>
      <c r="G1541" t="str">
        <f>"Serv.Prest. 17/03/2025 a 23/03/2025 - RPS: 606 - NFSe: 2835"</f>
        <v>Serv.Prest. 17/03/2025 a 23/03/2025 - RPS: 606 - NFSe: 2835</v>
      </c>
      <c r="H1541" t="str">
        <f t="shared" si="772"/>
        <v>26/03/2025</v>
      </c>
      <c r="I1541" t="str">
        <f t="shared" si="778"/>
        <v>25/03/2025</v>
      </c>
      <c r="J1541" t="str">
        <f t="shared" si="774"/>
        <v>27/03/2025</v>
      </c>
      <c r="M1541">
        <v>303</v>
      </c>
      <c r="N1541" t="str">
        <f t="shared" si="775"/>
        <v>RECEITAS COM ENTREGAS</v>
      </c>
      <c r="P1541">
        <v>206.4</v>
      </c>
      <c r="Q1541" t="str">
        <f>"DROGA MONICA LJ 22 (10158)"</f>
        <v>DROGA MONICA LJ 22 (10158)</v>
      </c>
      <c r="R1541" t="str">
        <f t="shared" si="776"/>
        <v>RECEITAS COM ENTREGAS (303)</v>
      </c>
      <c r="S1541">
        <v>1276</v>
      </c>
      <c r="T1541">
        <v>1016</v>
      </c>
      <c r="U1541" t="s">
        <v>19</v>
      </c>
    </row>
    <row r="1542" spans="1:21">
      <c r="A1542" t="str">
        <f t="shared" si="769"/>
        <v>27/03/2025</v>
      </c>
      <c r="B1542" t="str">
        <f t="shared" si="777"/>
        <v>ENTRADA</v>
      </c>
      <c r="C1542" t="str">
        <f t="shared" si="770"/>
        <v>NFSE</v>
      </c>
      <c r="D1542" t="str">
        <f>"2834"</f>
        <v>2834</v>
      </c>
      <c r="E1542" t="str">
        <f t="shared" si="771"/>
        <v>COM</v>
      </c>
      <c r="F1542" t="str">
        <f>"DROGA MONICA LJ 3 (10152)"</f>
        <v>DROGA MONICA LJ 3 (10152)</v>
      </c>
      <c r="G1542" t="str">
        <f>"Serv.Prest. 17/03/2025 a 23/03/2025 - RPS: 607 - NFSe: 2834"</f>
        <v>Serv.Prest. 17/03/2025 a 23/03/2025 - RPS: 607 - NFSe: 2834</v>
      </c>
      <c r="H1542" t="str">
        <f t="shared" si="772"/>
        <v>26/03/2025</v>
      </c>
      <c r="I1542" t="str">
        <f t="shared" si="778"/>
        <v>25/03/2025</v>
      </c>
      <c r="J1542" t="str">
        <f t="shared" si="774"/>
        <v>27/03/2025</v>
      </c>
      <c r="K1542">
        <v>206.4</v>
      </c>
      <c r="L1542">
        <v>206.4</v>
      </c>
      <c r="M1542">
        <v>303</v>
      </c>
      <c r="N1542" t="str">
        <f t="shared" si="775"/>
        <v>RECEITAS COM ENTREGAS</v>
      </c>
      <c r="O1542">
        <v>206.4</v>
      </c>
      <c r="R1542" t="str">
        <f t="shared" si="776"/>
        <v>RECEITAS COM ENTREGAS (303)</v>
      </c>
      <c r="S1542">
        <v>1277</v>
      </c>
      <c r="T1542">
        <v>1017</v>
      </c>
      <c r="U1542" t="s">
        <v>19</v>
      </c>
    </row>
    <row r="1543" spans="1:21">
      <c r="A1543" t="str">
        <f t="shared" si="769"/>
        <v>27/03/2025</v>
      </c>
      <c r="B1543" t="str">
        <f t="shared" si="777"/>
        <v>ENTRADA</v>
      </c>
      <c r="C1543" t="str">
        <f t="shared" si="770"/>
        <v>NFSE</v>
      </c>
      <c r="D1543" t="str">
        <f>"2834"</f>
        <v>2834</v>
      </c>
      <c r="E1543" t="str">
        <f t="shared" si="771"/>
        <v>COM</v>
      </c>
      <c r="F1543" t="str">
        <f>"DROGA MONICA LJ 3 (10152)"</f>
        <v>DROGA MONICA LJ 3 (10152)</v>
      </c>
      <c r="G1543" t="str">
        <f>"Serv.Prest. 17/03/2025 a 23/03/2025 - RPS: 607 - NFSe: 2834"</f>
        <v>Serv.Prest. 17/03/2025 a 23/03/2025 - RPS: 607 - NFSe: 2834</v>
      </c>
      <c r="H1543" t="str">
        <f t="shared" si="772"/>
        <v>26/03/2025</v>
      </c>
      <c r="I1543" t="str">
        <f t="shared" si="778"/>
        <v>25/03/2025</v>
      </c>
      <c r="J1543" t="str">
        <f t="shared" si="774"/>
        <v>27/03/2025</v>
      </c>
      <c r="M1543">
        <v>303</v>
      </c>
      <c r="N1543" t="str">
        <f t="shared" si="775"/>
        <v>RECEITAS COM ENTREGAS</v>
      </c>
      <c r="P1543">
        <v>206.4</v>
      </c>
      <c r="Q1543" t="str">
        <f>"DROGA MONICA LJ 3 (10152)"</f>
        <v>DROGA MONICA LJ 3 (10152)</v>
      </c>
      <c r="R1543" t="str">
        <f t="shared" si="776"/>
        <v>RECEITAS COM ENTREGAS (303)</v>
      </c>
      <c r="S1543">
        <v>1277</v>
      </c>
      <c r="T1543">
        <v>1017</v>
      </c>
      <c r="U1543" t="s">
        <v>19</v>
      </c>
    </row>
    <row r="1544" spans="1:21">
      <c r="A1544" t="str">
        <f t="shared" si="769"/>
        <v>27/03/2025</v>
      </c>
      <c r="B1544" t="str">
        <f t="shared" ref="B1544:B1551" si="779">"SAÍDA"</f>
        <v>SAÍDA</v>
      </c>
      <c r="C1544" t="str">
        <f t="shared" ref="C1544:C1551" si="780">"JUROS"</f>
        <v>JUROS</v>
      </c>
      <c r="D1544" t="str">
        <f>""</f>
        <v/>
      </c>
      <c r="E1544" t="str">
        <f t="shared" ref="E1544:E1551" si="781">"CXA"</f>
        <v>CXA</v>
      </c>
      <c r="F1544" t="str">
        <f>""</f>
        <v/>
      </c>
      <c r="G1544" t="str">
        <f t="shared" ref="G1544:G1551" si="782">"TAXA BOLETO COMPENSADO"</f>
        <v>TAXA BOLETO COMPENSADO</v>
      </c>
      <c r="H1544" t="str">
        <f t="shared" ref="H1544:I1551" si="783">("27/03/2025")</f>
        <v>27/03/2025</v>
      </c>
      <c r="I1544" t="str">
        <f t="shared" si="783"/>
        <v>27/03/2025</v>
      </c>
      <c r="J1544" t="str">
        <f t="shared" si="774"/>
        <v>27/03/2025</v>
      </c>
      <c r="K1544">
        <v>1.7</v>
      </c>
      <c r="L1544">
        <v>1.7</v>
      </c>
      <c r="M1544">
        <v>401</v>
      </c>
      <c r="N1544" t="str">
        <f t="shared" ref="N1544:N1551" si="784">"IOF/JUROS/DESP.FINANCEIRA"</f>
        <v>IOF/JUROS/DESP.FINANCEIRA</v>
      </c>
      <c r="O1544">
        <v>1.7</v>
      </c>
      <c r="R1544" t="str">
        <f t="shared" ref="R1544:R1551" si="785">"BANCO CORA (102)"</f>
        <v>BANCO CORA (102)</v>
      </c>
      <c r="S1544">
        <v>1286</v>
      </c>
      <c r="T1544">
        <v>0</v>
      </c>
      <c r="U1544" t="s">
        <v>20</v>
      </c>
    </row>
    <row r="1545" spans="1:21">
      <c r="A1545" t="str">
        <f t="shared" si="769"/>
        <v>27/03/2025</v>
      </c>
      <c r="B1545" t="str">
        <f t="shared" si="779"/>
        <v>SAÍDA</v>
      </c>
      <c r="C1545" t="str">
        <f t="shared" si="780"/>
        <v>JUROS</v>
      </c>
      <c r="D1545" t="str">
        <f>""</f>
        <v/>
      </c>
      <c r="E1545" t="str">
        <f t="shared" si="781"/>
        <v>CXA</v>
      </c>
      <c r="F1545" t="str">
        <f>""</f>
        <v/>
      </c>
      <c r="G1545" t="str">
        <f t="shared" si="782"/>
        <v>TAXA BOLETO COMPENSADO</v>
      </c>
      <c r="H1545" t="str">
        <f t="shared" si="783"/>
        <v>27/03/2025</v>
      </c>
      <c r="I1545" t="str">
        <f t="shared" si="783"/>
        <v>27/03/2025</v>
      </c>
      <c r="J1545" t="str">
        <f t="shared" si="774"/>
        <v>27/03/2025</v>
      </c>
      <c r="K1545">
        <v>1.7</v>
      </c>
      <c r="L1545">
        <v>1.7</v>
      </c>
      <c r="M1545">
        <v>401</v>
      </c>
      <c r="N1545" t="str">
        <f t="shared" si="784"/>
        <v>IOF/JUROS/DESP.FINANCEIRA</v>
      </c>
      <c r="O1545">
        <v>1.7</v>
      </c>
      <c r="R1545" t="str">
        <f t="shared" si="785"/>
        <v>BANCO CORA (102)</v>
      </c>
      <c r="S1545">
        <v>1287</v>
      </c>
      <c r="T1545">
        <v>0</v>
      </c>
      <c r="U1545" t="s">
        <v>20</v>
      </c>
    </row>
    <row r="1546" spans="1:21">
      <c r="A1546" t="str">
        <f t="shared" si="769"/>
        <v>27/03/2025</v>
      </c>
      <c r="B1546" t="str">
        <f t="shared" si="779"/>
        <v>SAÍDA</v>
      </c>
      <c r="C1546" t="str">
        <f t="shared" si="780"/>
        <v>JUROS</v>
      </c>
      <c r="D1546" t="str">
        <f>""</f>
        <v/>
      </c>
      <c r="E1546" t="str">
        <f t="shared" si="781"/>
        <v>CXA</v>
      </c>
      <c r="F1546" t="str">
        <f>""</f>
        <v/>
      </c>
      <c r="G1546" t="str">
        <f t="shared" si="782"/>
        <v>TAXA BOLETO COMPENSADO</v>
      </c>
      <c r="H1546" t="str">
        <f t="shared" si="783"/>
        <v>27/03/2025</v>
      </c>
      <c r="I1546" t="str">
        <f t="shared" si="783"/>
        <v>27/03/2025</v>
      </c>
      <c r="J1546" t="str">
        <f t="shared" si="774"/>
        <v>27/03/2025</v>
      </c>
      <c r="K1546">
        <v>1.7</v>
      </c>
      <c r="L1546">
        <v>1.7</v>
      </c>
      <c r="M1546">
        <v>401</v>
      </c>
      <c r="N1546" t="str">
        <f t="shared" si="784"/>
        <v>IOF/JUROS/DESP.FINANCEIRA</v>
      </c>
      <c r="O1546">
        <v>1.7</v>
      </c>
      <c r="R1546" t="str">
        <f t="shared" si="785"/>
        <v>BANCO CORA (102)</v>
      </c>
      <c r="S1546">
        <v>1288</v>
      </c>
      <c r="T1546">
        <v>0</v>
      </c>
      <c r="U1546" t="s">
        <v>20</v>
      </c>
    </row>
    <row r="1547" spans="1:21">
      <c r="A1547" t="str">
        <f t="shared" si="769"/>
        <v>27/03/2025</v>
      </c>
      <c r="B1547" t="str">
        <f t="shared" si="779"/>
        <v>SAÍDA</v>
      </c>
      <c r="C1547" t="str">
        <f t="shared" si="780"/>
        <v>JUROS</v>
      </c>
      <c r="D1547" t="str">
        <f>""</f>
        <v/>
      </c>
      <c r="E1547" t="str">
        <f t="shared" si="781"/>
        <v>CXA</v>
      </c>
      <c r="F1547" t="str">
        <f>""</f>
        <v/>
      </c>
      <c r="G1547" t="str">
        <f t="shared" si="782"/>
        <v>TAXA BOLETO COMPENSADO</v>
      </c>
      <c r="H1547" t="str">
        <f t="shared" si="783"/>
        <v>27/03/2025</v>
      </c>
      <c r="I1547" t="str">
        <f t="shared" si="783"/>
        <v>27/03/2025</v>
      </c>
      <c r="J1547" t="str">
        <f t="shared" si="774"/>
        <v>27/03/2025</v>
      </c>
      <c r="K1547">
        <v>1.7</v>
      </c>
      <c r="L1547">
        <v>1.7</v>
      </c>
      <c r="M1547">
        <v>401</v>
      </c>
      <c r="N1547" t="str">
        <f t="shared" si="784"/>
        <v>IOF/JUROS/DESP.FINANCEIRA</v>
      </c>
      <c r="O1547">
        <v>1.7</v>
      </c>
      <c r="R1547" t="str">
        <f t="shared" si="785"/>
        <v>BANCO CORA (102)</v>
      </c>
      <c r="S1547">
        <v>1289</v>
      </c>
      <c r="T1547">
        <v>0</v>
      </c>
      <c r="U1547" t="s">
        <v>20</v>
      </c>
    </row>
    <row r="1548" spans="1:21">
      <c r="A1548" t="str">
        <f t="shared" si="769"/>
        <v>27/03/2025</v>
      </c>
      <c r="B1548" t="str">
        <f t="shared" si="779"/>
        <v>SAÍDA</v>
      </c>
      <c r="C1548" t="str">
        <f t="shared" si="780"/>
        <v>JUROS</v>
      </c>
      <c r="D1548" t="str">
        <f>""</f>
        <v/>
      </c>
      <c r="E1548" t="str">
        <f t="shared" si="781"/>
        <v>CXA</v>
      </c>
      <c r="F1548" t="str">
        <f>""</f>
        <v/>
      </c>
      <c r="G1548" t="str">
        <f t="shared" si="782"/>
        <v>TAXA BOLETO COMPENSADO</v>
      </c>
      <c r="H1548" t="str">
        <f t="shared" si="783"/>
        <v>27/03/2025</v>
      </c>
      <c r="I1548" t="str">
        <f t="shared" si="783"/>
        <v>27/03/2025</v>
      </c>
      <c r="J1548" t="str">
        <f t="shared" si="774"/>
        <v>27/03/2025</v>
      </c>
      <c r="K1548">
        <v>1.7</v>
      </c>
      <c r="L1548">
        <v>1.7</v>
      </c>
      <c r="M1548">
        <v>401</v>
      </c>
      <c r="N1548" t="str">
        <f t="shared" si="784"/>
        <v>IOF/JUROS/DESP.FINANCEIRA</v>
      </c>
      <c r="O1548">
        <v>1.7</v>
      </c>
      <c r="R1548" t="str">
        <f t="shared" si="785"/>
        <v>BANCO CORA (102)</v>
      </c>
      <c r="S1548">
        <v>1290</v>
      </c>
      <c r="T1548">
        <v>0</v>
      </c>
      <c r="U1548" t="s">
        <v>20</v>
      </c>
    </row>
    <row r="1549" spans="1:21">
      <c r="A1549" t="str">
        <f t="shared" si="769"/>
        <v>27/03/2025</v>
      </c>
      <c r="B1549" t="str">
        <f t="shared" si="779"/>
        <v>SAÍDA</v>
      </c>
      <c r="C1549" t="str">
        <f t="shared" si="780"/>
        <v>JUROS</v>
      </c>
      <c r="D1549" t="str">
        <f>""</f>
        <v/>
      </c>
      <c r="E1549" t="str">
        <f t="shared" si="781"/>
        <v>CXA</v>
      </c>
      <c r="F1549" t="str">
        <f>""</f>
        <v/>
      </c>
      <c r="G1549" t="str">
        <f t="shared" si="782"/>
        <v>TAXA BOLETO COMPENSADO</v>
      </c>
      <c r="H1549" t="str">
        <f t="shared" si="783"/>
        <v>27/03/2025</v>
      </c>
      <c r="I1549" t="str">
        <f t="shared" si="783"/>
        <v>27/03/2025</v>
      </c>
      <c r="J1549" t="str">
        <f t="shared" si="774"/>
        <v>27/03/2025</v>
      </c>
      <c r="K1549">
        <v>1.7</v>
      </c>
      <c r="L1549">
        <v>1.7</v>
      </c>
      <c r="M1549">
        <v>401</v>
      </c>
      <c r="N1549" t="str">
        <f t="shared" si="784"/>
        <v>IOF/JUROS/DESP.FINANCEIRA</v>
      </c>
      <c r="O1549">
        <v>1.7</v>
      </c>
      <c r="R1549" t="str">
        <f t="shared" si="785"/>
        <v>BANCO CORA (102)</v>
      </c>
      <c r="S1549">
        <v>1291</v>
      </c>
      <c r="T1549">
        <v>0</v>
      </c>
      <c r="U1549" t="s">
        <v>20</v>
      </c>
    </row>
    <row r="1550" spans="1:21">
      <c r="A1550" t="str">
        <f t="shared" si="769"/>
        <v>27/03/2025</v>
      </c>
      <c r="B1550" t="str">
        <f t="shared" si="779"/>
        <v>SAÍDA</v>
      </c>
      <c r="C1550" t="str">
        <f t="shared" si="780"/>
        <v>JUROS</v>
      </c>
      <c r="D1550" t="str">
        <f>""</f>
        <v/>
      </c>
      <c r="E1550" t="str">
        <f t="shared" si="781"/>
        <v>CXA</v>
      </c>
      <c r="F1550" t="str">
        <f>""</f>
        <v/>
      </c>
      <c r="G1550" t="str">
        <f t="shared" si="782"/>
        <v>TAXA BOLETO COMPENSADO</v>
      </c>
      <c r="H1550" t="str">
        <f t="shared" si="783"/>
        <v>27/03/2025</v>
      </c>
      <c r="I1550" t="str">
        <f t="shared" si="783"/>
        <v>27/03/2025</v>
      </c>
      <c r="J1550" t="str">
        <f t="shared" si="774"/>
        <v>27/03/2025</v>
      </c>
      <c r="K1550">
        <v>1.7</v>
      </c>
      <c r="L1550">
        <v>1.7</v>
      </c>
      <c r="M1550">
        <v>401</v>
      </c>
      <c r="N1550" t="str">
        <f t="shared" si="784"/>
        <v>IOF/JUROS/DESP.FINANCEIRA</v>
      </c>
      <c r="O1550">
        <v>1.7</v>
      </c>
      <c r="R1550" t="str">
        <f t="shared" si="785"/>
        <v>BANCO CORA (102)</v>
      </c>
      <c r="S1550">
        <v>1292</v>
      </c>
      <c r="T1550">
        <v>0</v>
      </c>
      <c r="U1550" t="s">
        <v>20</v>
      </c>
    </row>
    <row r="1551" spans="1:21">
      <c r="A1551" t="str">
        <f t="shared" si="769"/>
        <v>27/03/2025</v>
      </c>
      <c r="B1551" t="str">
        <f t="shared" si="779"/>
        <v>SAÍDA</v>
      </c>
      <c r="C1551" t="str">
        <f t="shared" si="780"/>
        <v>JUROS</v>
      </c>
      <c r="D1551" t="str">
        <f>""</f>
        <v/>
      </c>
      <c r="E1551" t="str">
        <f t="shared" si="781"/>
        <v>CXA</v>
      </c>
      <c r="F1551" t="str">
        <f>""</f>
        <v/>
      </c>
      <c r="G1551" t="str">
        <f t="shared" si="782"/>
        <v>TAXA BOLETO COMPENSADO</v>
      </c>
      <c r="H1551" t="str">
        <f t="shared" si="783"/>
        <v>27/03/2025</v>
      </c>
      <c r="I1551" t="str">
        <f t="shared" si="783"/>
        <v>27/03/2025</v>
      </c>
      <c r="J1551" t="str">
        <f t="shared" si="774"/>
        <v>27/03/2025</v>
      </c>
      <c r="K1551">
        <v>1.7</v>
      </c>
      <c r="L1551">
        <v>1.7</v>
      </c>
      <c r="M1551">
        <v>401</v>
      </c>
      <c r="N1551" t="str">
        <f t="shared" si="784"/>
        <v>IOF/JUROS/DESP.FINANCEIRA</v>
      </c>
      <c r="O1551">
        <v>1.7</v>
      </c>
      <c r="R1551" t="str">
        <f t="shared" si="785"/>
        <v>BANCO CORA (102)</v>
      </c>
      <c r="S1551">
        <v>1293</v>
      </c>
      <c r="T1551">
        <v>0</v>
      </c>
      <c r="U1551" t="s">
        <v>20</v>
      </c>
    </row>
    <row r="1552" spans="1:21">
      <c r="A1552" t="str">
        <f t="shared" si="769"/>
        <v>27/03/2025</v>
      </c>
      <c r="B1552" t="str">
        <f>"ENTRADA"</f>
        <v>ENTRADA</v>
      </c>
      <c r="C1552" t="str">
        <f t="shared" ref="C1552:C1561" si="786">"NFSE"</f>
        <v>NFSE</v>
      </c>
      <c r="D1552" t="str">
        <f>"2821"</f>
        <v>2821</v>
      </c>
      <c r="E1552" t="str">
        <f t="shared" ref="E1552:E1561" si="787">"COM"</f>
        <v>COM</v>
      </c>
      <c r="F1552" t="str">
        <f>"FARMACIA ECONOMIZE (10103)"</f>
        <v>FARMACIA ECONOMIZE (10103)</v>
      </c>
      <c r="G1552" t="str">
        <f>"Serv.Prest. 03/03/2025 a 09/03/2025 - RPS: 593 - NFSe: 2821"</f>
        <v>Serv.Prest. 03/03/2025 a 09/03/2025 - RPS: 593 - NFSe: 2821</v>
      </c>
      <c r="H1552" t="str">
        <f>("25/03/2025")</f>
        <v>25/03/2025</v>
      </c>
      <c r="I1552" t="str">
        <f>("21/03/2025")</f>
        <v>21/03/2025</v>
      </c>
      <c r="J1552" t="str">
        <f t="shared" si="774"/>
        <v>27/03/2025</v>
      </c>
      <c r="K1552">
        <v>121.04</v>
      </c>
      <c r="L1552">
        <v>123.5</v>
      </c>
      <c r="M1552">
        <v>303</v>
      </c>
      <c r="N1552" t="str">
        <f t="shared" ref="N1552:N1561" si="788">"RECEITAS COM ENTREGAS"</f>
        <v>RECEITAS COM ENTREGAS</v>
      </c>
      <c r="O1552">
        <v>123.5</v>
      </c>
      <c r="R1552" t="str">
        <f t="shared" ref="R1552:R1561" si="789">"RECEITAS COM ENTREGAS (303)"</f>
        <v>RECEITAS COM ENTREGAS (303)</v>
      </c>
      <c r="S1552">
        <v>1298</v>
      </c>
      <c r="T1552">
        <v>1003</v>
      </c>
      <c r="U1552" t="s">
        <v>19</v>
      </c>
    </row>
    <row r="1553" spans="1:21">
      <c r="A1553" t="str">
        <f t="shared" si="769"/>
        <v>27/03/2025</v>
      </c>
      <c r="B1553" t="str">
        <f t="shared" ref="B1553:B1561" si="790">"ENTRADA"</f>
        <v>ENTRADA</v>
      </c>
      <c r="C1553" t="str">
        <f t="shared" si="786"/>
        <v>NFSE</v>
      </c>
      <c r="D1553" t="str">
        <f>"2821"</f>
        <v>2821</v>
      </c>
      <c r="E1553" t="str">
        <f t="shared" si="787"/>
        <v>COM</v>
      </c>
      <c r="F1553" t="str">
        <f>"FARMACIA ECONOMIZE (10103)"</f>
        <v>FARMACIA ECONOMIZE (10103)</v>
      </c>
      <c r="G1553" t="str">
        <f>"Serv.Prest. 03/03/2025 a 09/03/2025 - RPS: 593 - NFSe: 2821"</f>
        <v>Serv.Prest. 03/03/2025 a 09/03/2025 - RPS: 593 - NFSe: 2821</v>
      </c>
      <c r="H1553" t="str">
        <f>("25/03/2025")</f>
        <v>25/03/2025</v>
      </c>
      <c r="I1553" t="str">
        <f>("21/03/2025")</f>
        <v>21/03/2025</v>
      </c>
      <c r="J1553" t="str">
        <f t="shared" si="774"/>
        <v>27/03/2025</v>
      </c>
      <c r="M1553">
        <v>303</v>
      </c>
      <c r="N1553" t="str">
        <f t="shared" si="788"/>
        <v>RECEITAS COM ENTREGAS</v>
      </c>
      <c r="P1553">
        <v>123.5</v>
      </c>
      <c r="Q1553" t="str">
        <f>"FARMACIA ECONOMIZE (10103)"</f>
        <v>FARMACIA ECONOMIZE (10103)</v>
      </c>
      <c r="R1553" t="str">
        <f t="shared" si="789"/>
        <v>RECEITAS COM ENTREGAS (303)</v>
      </c>
      <c r="S1553">
        <v>1298</v>
      </c>
      <c r="T1553">
        <v>1003</v>
      </c>
      <c r="U1553" t="s">
        <v>19</v>
      </c>
    </row>
    <row r="1554" spans="1:21">
      <c r="A1554" t="str">
        <f t="shared" ref="A1554:A1565" si="791">("28/03/2025")</f>
        <v>28/03/2025</v>
      </c>
      <c r="B1554" t="str">
        <f t="shared" si="790"/>
        <v>ENTRADA</v>
      </c>
      <c r="C1554" t="str">
        <f t="shared" si="786"/>
        <v>NFSE</v>
      </c>
      <c r="D1554" t="str">
        <f>"2816"</f>
        <v>2816</v>
      </c>
      <c r="E1554" t="str">
        <f t="shared" si="787"/>
        <v>COM</v>
      </c>
      <c r="F1554" t="str">
        <f>"PAGMENOS - LJ 608 (10135)"</f>
        <v>PAGMENOS - LJ 608 (10135)</v>
      </c>
      <c r="G1554" t="str">
        <f>"Serv.Prest. 10/03/2025 a 16/03/2025 - RPS: 588 - NFSe: 2816"</f>
        <v>Serv.Prest. 10/03/2025 a 16/03/2025 - RPS: 588 - NFSe: 2816</v>
      </c>
      <c r="H1554" t="str">
        <f t="shared" ref="H1554:H1561" si="792">("27/03/2025")</f>
        <v>27/03/2025</v>
      </c>
      <c r="I1554" t="str">
        <f>("17/03/2025")</f>
        <v>17/03/2025</v>
      </c>
      <c r="J1554" t="str">
        <f t="shared" ref="J1554:J1565" si="793">("28/03/2025")</f>
        <v>28/03/2025</v>
      </c>
      <c r="K1554">
        <v>280.20999999999998</v>
      </c>
      <c r="L1554">
        <v>280.20999999999998</v>
      </c>
      <c r="M1554">
        <v>303</v>
      </c>
      <c r="N1554" t="str">
        <f t="shared" si="788"/>
        <v>RECEITAS COM ENTREGAS</v>
      </c>
      <c r="O1554">
        <v>280.20999999999998</v>
      </c>
      <c r="R1554" t="str">
        <f t="shared" si="789"/>
        <v>RECEITAS COM ENTREGAS (303)</v>
      </c>
      <c r="S1554">
        <v>1278</v>
      </c>
      <c r="T1554">
        <v>998</v>
      </c>
      <c r="U1554" t="s">
        <v>19</v>
      </c>
    </row>
    <row r="1555" spans="1:21">
      <c r="A1555" t="str">
        <f t="shared" si="791"/>
        <v>28/03/2025</v>
      </c>
      <c r="B1555" t="str">
        <f t="shared" si="790"/>
        <v>ENTRADA</v>
      </c>
      <c r="C1555" t="str">
        <f t="shared" si="786"/>
        <v>NFSE</v>
      </c>
      <c r="D1555" t="str">
        <f>"2816"</f>
        <v>2816</v>
      </c>
      <c r="E1555" t="str">
        <f t="shared" si="787"/>
        <v>COM</v>
      </c>
      <c r="F1555" t="str">
        <f>"PAGMENOS - LJ 608 (10135)"</f>
        <v>PAGMENOS - LJ 608 (10135)</v>
      </c>
      <c r="G1555" t="str">
        <f>"Serv.Prest. 10/03/2025 a 16/03/2025 - RPS: 588 - NFSe: 2816"</f>
        <v>Serv.Prest. 10/03/2025 a 16/03/2025 - RPS: 588 - NFSe: 2816</v>
      </c>
      <c r="H1555" t="str">
        <f t="shared" si="792"/>
        <v>27/03/2025</v>
      </c>
      <c r="I1555" t="str">
        <f>("17/03/2025")</f>
        <v>17/03/2025</v>
      </c>
      <c r="J1555" t="str">
        <f t="shared" si="793"/>
        <v>28/03/2025</v>
      </c>
      <c r="M1555">
        <v>303</v>
      </c>
      <c r="N1555" t="str">
        <f t="shared" si="788"/>
        <v>RECEITAS COM ENTREGAS</v>
      </c>
      <c r="P1555">
        <v>280.20999999999998</v>
      </c>
      <c r="Q1555" t="str">
        <f>"PAGMENOS - LJ 608 (10135)"</f>
        <v>PAGMENOS - LJ 608 (10135)</v>
      </c>
      <c r="R1555" t="str">
        <f t="shared" si="789"/>
        <v>RECEITAS COM ENTREGAS (303)</v>
      </c>
      <c r="S1555">
        <v>1278</v>
      </c>
      <c r="T1555">
        <v>998</v>
      </c>
      <c r="U1555" t="s">
        <v>19</v>
      </c>
    </row>
    <row r="1556" spans="1:21">
      <c r="A1556" t="str">
        <f t="shared" si="791"/>
        <v>28/03/2025</v>
      </c>
      <c r="B1556" t="str">
        <f t="shared" si="790"/>
        <v>ENTRADA</v>
      </c>
      <c r="C1556" t="str">
        <f t="shared" si="786"/>
        <v>NFSE</v>
      </c>
      <c r="D1556" t="str">
        <f>"2817"</f>
        <v>2817</v>
      </c>
      <c r="E1556" t="str">
        <f t="shared" si="787"/>
        <v>COM</v>
      </c>
      <c r="F1556" t="str">
        <f>"PAGMENOS - LJ 657 (10136)"</f>
        <v>PAGMENOS - LJ 657 (10136)</v>
      </c>
      <c r="G1556" t="str">
        <f>"Serv.Prest. 10/03/2025 a 16/03/2025 - RPS: 589 - NFSe: 2817"</f>
        <v>Serv.Prest. 10/03/2025 a 16/03/2025 - RPS: 589 - NFSe: 2817</v>
      </c>
      <c r="H1556" t="str">
        <f t="shared" si="792"/>
        <v>27/03/2025</v>
      </c>
      <c r="I1556" t="str">
        <f>("17/03/2025")</f>
        <v>17/03/2025</v>
      </c>
      <c r="J1556" t="str">
        <f t="shared" si="793"/>
        <v>28/03/2025</v>
      </c>
      <c r="K1556">
        <v>596.6</v>
      </c>
      <c r="L1556">
        <v>596.6</v>
      </c>
      <c r="M1556">
        <v>303</v>
      </c>
      <c r="N1556" t="str">
        <f t="shared" si="788"/>
        <v>RECEITAS COM ENTREGAS</v>
      </c>
      <c r="O1556">
        <v>596.6</v>
      </c>
      <c r="R1556" t="str">
        <f t="shared" si="789"/>
        <v>RECEITAS COM ENTREGAS (303)</v>
      </c>
      <c r="S1556">
        <v>1279</v>
      </c>
      <c r="T1556">
        <v>999</v>
      </c>
      <c r="U1556" t="s">
        <v>19</v>
      </c>
    </row>
    <row r="1557" spans="1:21">
      <c r="A1557" t="str">
        <f t="shared" si="791"/>
        <v>28/03/2025</v>
      </c>
      <c r="B1557" t="str">
        <f t="shared" si="790"/>
        <v>ENTRADA</v>
      </c>
      <c r="C1557" t="str">
        <f t="shared" si="786"/>
        <v>NFSE</v>
      </c>
      <c r="D1557" t="str">
        <f>"2817"</f>
        <v>2817</v>
      </c>
      <c r="E1557" t="str">
        <f t="shared" si="787"/>
        <v>COM</v>
      </c>
      <c r="F1557" t="str">
        <f>"PAGMENOS - LJ 657 (10136)"</f>
        <v>PAGMENOS - LJ 657 (10136)</v>
      </c>
      <c r="G1557" t="str">
        <f>"Serv.Prest. 10/03/2025 a 16/03/2025 - RPS: 589 - NFSe: 2817"</f>
        <v>Serv.Prest. 10/03/2025 a 16/03/2025 - RPS: 589 - NFSe: 2817</v>
      </c>
      <c r="H1557" t="str">
        <f t="shared" si="792"/>
        <v>27/03/2025</v>
      </c>
      <c r="I1557" t="str">
        <f>("17/03/2025")</f>
        <v>17/03/2025</v>
      </c>
      <c r="J1557" t="str">
        <f t="shared" si="793"/>
        <v>28/03/2025</v>
      </c>
      <c r="M1557">
        <v>303</v>
      </c>
      <c r="N1557" t="str">
        <f t="shared" si="788"/>
        <v>RECEITAS COM ENTREGAS</v>
      </c>
      <c r="P1557">
        <v>596.6</v>
      </c>
      <c r="Q1557" t="str">
        <f>"PAGMENOS - LJ 657 (10136)"</f>
        <v>PAGMENOS - LJ 657 (10136)</v>
      </c>
      <c r="R1557" t="str">
        <f t="shared" si="789"/>
        <v>RECEITAS COM ENTREGAS (303)</v>
      </c>
      <c r="S1557">
        <v>1279</v>
      </c>
      <c r="T1557">
        <v>999</v>
      </c>
      <c r="U1557" t="s">
        <v>19</v>
      </c>
    </row>
    <row r="1558" spans="1:21">
      <c r="A1558" t="str">
        <f t="shared" si="791"/>
        <v>28/03/2025</v>
      </c>
      <c r="B1558" t="str">
        <f t="shared" si="790"/>
        <v>ENTRADA</v>
      </c>
      <c r="C1558" t="str">
        <f t="shared" si="786"/>
        <v>NFSE</v>
      </c>
      <c r="D1558" t="str">
        <f>"2836"</f>
        <v>2836</v>
      </c>
      <c r="E1558" t="str">
        <f t="shared" si="787"/>
        <v>COM</v>
      </c>
      <c r="F1558" t="str">
        <f>"DROGARIA POUPA MINAS (ULTRAMINAS) 3 (10129)"</f>
        <v>DROGARIA POUPA MINAS (ULTRAMINAS) 3 (10129)</v>
      </c>
      <c r="G1558" t="str">
        <f>"Serv.Prest. 17/03/2025 a 23/03/2025 - RPS: 608 - NFSe: 2836"</f>
        <v>Serv.Prest. 17/03/2025 a 23/03/2025 - RPS: 608 - NFSe: 2836</v>
      </c>
      <c r="H1558" t="str">
        <f t="shared" si="792"/>
        <v>27/03/2025</v>
      </c>
      <c r="I1558" t="str">
        <f>("25/03/2025")</f>
        <v>25/03/2025</v>
      </c>
      <c r="J1558" t="str">
        <f t="shared" si="793"/>
        <v>28/03/2025</v>
      </c>
      <c r="K1558">
        <v>274.56</v>
      </c>
      <c r="L1558">
        <v>274.56</v>
      </c>
      <c r="M1558">
        <v>303</v>
      </c>
      <c r="N1558" t="str">
        <f t="shared" si="788"/>
        <v>RECEITAS COM ENTREGAS</v>
      </c>
      <c r="O1558">
        <v>274.56</v>
      </c>
      <c r="R1558" t="str">
        <f t="shared" si="789"/>
        <v>RECEITAS COM ENTREGAS (303)</v>
      </c>
      <c r="S1558">
        <v>1280</v>
      </c>
      <c r="T1558">
        <v>1018</v>
      </c>
      <c r="U1558" t="s">
        <v>19</v>
      </c>
    </row>
    <row r="1559" spans="1:21">
      <c r="A1559" t="str">
        <f t="shared" si="791"/>
        <v>28/03/2025</v>
      </c>
      <c r="B1559" t="str">
        <f t="shared" si="790"/>
        <v>ENTRADA</v>
      </c>
      <c r="C1559" t="str">
        <f t="shared" si="786"/>
        <v>NFSE</v>
      </c>
      <c r="D1559" t="str">
        <f>"2836"</f>
        <v>2836</v>
      </c>
      <c r="E1559" t="str">
        <f t="shared" si="787"/>
        <v>COM</v>
      </c>
      <c r="F1559" t="str">
        <f>"DROGARIA POUPA MINAS (ULTRAMINAS) 3 (10129)"</f>
        <v>DROGARIA POUPA MINAS (ULTRAMINAS) 3 (10129)</v>
      </c>
      <c r="G1559" t="str">
        <f>"Serv.Prest. 17/03/2025 a 23/03/2025 - RPS: 608 - NFSe: 2836"</f>
        <v>Serv.Prest. 17/03/2025 a 23/03/2025 - RPS: 608 - NFSe: 2836</v>
      </c>
      <c r="H1559" t="str">
        <f t="shared" si="792"/>
        <v>27/03/2025</v>
      </c>
      <c r="I1559" t="str">
        <f>("25/03/2025")</f>
        <v>25/03/2025</v>
      </c>
      <c r="J1559" t="str">
        <f t="shared" si="793"/>
        <v>28/03/2025</v>
      </c>
      <c r="M1559">
        <v>303</v>
      </c>
      <c r="N1559" t="str">
        <f t="shared" si="788"/>
        <v>RECEITAS COM ENTREGAS</v>
      </c>
      <c r="P1559">
        <v>274.56</v>
      </c>
      <c r="Q1559" t="str">
        <f>"DROGARIA POUPA MINAS (ULTRAMINAS) 3 (10129)"</f>
        <v>DROGARIA POUPA MINAS (ULTRAMINAS) 3 (10129)</v>
      </c>
      <c r="R1559" t="str">
        <f t="shared" si="789"/>
        <v>RECEITAS COM ENTREGAS (303)</v>
      </c>
      <c r="S1559">
        <v>1280</v>
      </c>
      <c r="T1559">
        <v>1018</v>
      </c>
      <c r="U1559" t="s">
        <v>19</v>
      </c>
    </row>
    <row r="1560" spans="1:21">
      <c r="A1560" t="str">
        <f t="shared" si="791"/>
        <v>28/03/2025</v>
      </c>
      <c r="B1560" t="str">
        <f t="shared" si="790"/>
        <v>ENTRADA</v>
      </c>
      <c r="C1560" t="str">
        <f t="shared" si="786"/>
        <v>NFSE</v>
      </c>
      <c r="D1560" t="str">
        <f>"2837"</f>
        <v>2837</v>
      </c>
      <c r="E1560" t="str">
        <f t="shared" si="787"/>
        <v>COM</v>
      </c>
      <c r="F1560" t="str">
        <f>"DROGARIA POUPA MINAS (DOIS AMIGOS) 5 (10140)"</f>
        <v>DROGARIA POUPA MINAS (DOIS AMIGOS) 5 (10140)</v>
      </c>
      <c r="G1560" t="str">
        <f>"Serv.Prest. 17/03/2025 a 23/03/2025 - RPS: 609 - NFSe: 2837"</f>
        <v>Serv.Prest. 17/03/2025 a 23/03/2025 - RPS: 609 - NFSe: 2837</v>
      </c>
      <c r="H1560" t="str">
        <f t="shared" si="792"/>
        <v>27/03/2025</v>
      </c>
      <c r="I1560" t="str">
        <f>("25/03/2025")</f>
        <v>25/03/2025</v>
      </c>
      <c r="J1560" t="str">
        <f t="shared" si="793"/>
        <v>28/03/2025</v>
      </c>
      <c r="K1560">
        <v>793.41</v>
      </c>
      <c r="L1560">
        <v>793.41</v>
      </c>
      <c r="M1560">
        <v>303</v>
      </c>
      <c r="N1560" t="str">
        <f t="shared" si="788"/>
        <v>RECEITAS COM ENTREGAS</v>
      </c>
      <c r="O1560">
        <v>793.41</v>
      </c>
      <c r="R1560" t="str">
        <f t="shared" si="789"/>
        <v>RECEITAS COM ENTREGAS (303)</v>
      </c>
      <c r="S1560">
        <v>1281</v>
      </c>
      <c r="T1560">
        <v>1019</v>
      </c>
      <c r="U1560" t="s">
        <v>19</v>
      </c>
    </row>
    <row r="1561" spans="1:21">
      <c r="A1561" t="str">
        <f t="shared" si="791"/>
        <v>28/03/2025</v>
      </c>
      <c r="B1561" t="str">
        <f t="shared" si="790"/>
        <v>ENTRADA</v>
      </c>
      <c r="C1561" t="str">
        <f t="shared" si="786"/>
        <v>NFSE</v>
      </c>
      <c r="D1561" t="str">
        <f>"2837"</f>
        <v>2837</v>
      </c>
      <c r="E1561" t="str">
        <f t="shared" si="787"/>
        <v>COM</v>
      </c>
      <c r="F1561" t="str">
        <f>"DROGARIA POUPA MINAS (DOIS AMIGOS) 5 (10140)"</f>
        <v>DROGARIA POUPA MINAS (DOIS AMIGOS) 5 (10140)</v>
      </c>
      <c r="G1561" t="str">
        <f>"Serv.Prest. 17/03/2025 a 23/03/2025 - RPS: 609 - NFSe: 2837"</f>
        <v>Serv.Prest. 17/03/2025 a 23/03/2025 - RPS: 609 - NFSe: 2837</v>
      </c>
      <c r="H1561" t="str">
        <f t="shared" si="792"/>
        <v>27/03/2025</v>
      </c>
      <c r="I1561" t="str">
        <f>("25/03/2025")</f>
        <v>25/03/2025</v>
      </c>
      <c r="J1561" t="str">
        <f t="shared" si="793"/>
        <v>28/03/2025</v>
      </c>
      <c r="M1561">
        <v>303</v>
      </c>
      <c r="N1561" t="str">
        <f t="shared" si="788"/>
        <v>RECEITAS COM ENTREGAS</v>
      </c>
      <c r="P1561">
        <v>793.41</v>
      </c>
      <c r="Q1561" t="str">
        <f>"DROGARIA POUPA MINAS (ULTRAMINAS) (10116)"</f>
        <v>DROGARIA POUPA MINAS (ULTRAMINAS) (10116)</v>
      </c>
      <c r="R1561" t="str">
        <f t="shared" si="789"/>
        <v>RECEITAS COM ENTREGAS (303)</v>
      </c>
      <c r="S1561">
        <v>1281</v>
      </c>
      <c r="T1561">
        <v>1019</v>
      </c>
      <c r="U1561" t="s">
        <v>19</v>
      </c>
    </row>
    <row r="1562" spans="1:21">
      <c r="A1562" t="str">
        <f t="shared" si="791"/>
        <v>28/03/2025</v>
      </c>
      <c r="B1562" t="str">
        <f t="shared" ref="B1562:B1569" si="794">"SAÍDA"</f>
        <v>SAÍDA</v>
      </c>
      <c r="C1562" t="str">
        <f>"JUROS"</f>
        <v>JUROS</v>
      </c>
      <c r="D1562" t="str">
        <f>""</f>
        <v/>
      </c>
      <c r="E1562" t="str">
        <f>"CXA"</f>
        <v>CXA</v>
      </c>
      <c r="F1562" t="str">
        <f>""</f>
        <v/>
      </c>
      <c r="G1562" t="str">
        <f>"TAXA BOLETO COMPENSADO"</f>
        <v>TAXA BOLETO COMPENSADO</v>
      </c>
      <c r="H1562" t="str">
        <f t="shared" ref="H1562:I1565" si="795">("28/03/2025")</f>
        <v>28/03/2025</v>
      </c>
      <c r="I1562" t="str">
        <f t="shared" si="795"/>
        <v>28/03/2025</v>
      </c>
      <c r="J1562" t="str">
        <f t="shared" si="793"/>
        <v>28/03/2025</v>
      </c>
      <c r="K1562">
        <v>1.7</v>
      </c>
      <c r="L1562">
        <v>1.7</v>
      </c>
      <c r="M1562">
        <v>401</v>
      </c>
      <c r="N1562" t="str">
        <f>"IOF/JUROS/DESP.FINANCEIRA"</f>
        <v>IOF/JUROS/DESP.FINANCEIRA</v>
      </c>
      <c r="O1562">
        <v>1.7</v>
      </c>
      <c r="R1562" t="str">
        <f t="shared" ref="R1562:R1569" si="796">"BANCO CORA (102)"</f>
        <v>BANCO CORA (102)</v>
      </c>
      <c r="S1562">
        <v>1294</v>
      </c>
      <c r="T1562">
        <v>0</v>
      </c>
      <c r="U1562" t="s">
        <v>20</v>
      </c>
    </row>
    <row r="1563" spans="1:21">
      <c r="A1563" t="str">
        <f t="shared" si="791"/>
        <v>28/03/2025</v>
      </c>
      <c r="B1563" t="str">
        <f t="shared" si="794"/>
        <v>SAÍDA</v>
      </c>
      <c r="C1563" t="str">
        <f>"JUROS"</f>
        <v>JUROS</v>
      </c>
      <c r="D1563" t="str">
        <f>""</f>
        <v/>
      </c>
      <c r="E1563" t="str">
        <f>"CXA"</f>
        <v>CXA</v>
      </c>
      <c r="F1563" t="str">
        <f>""</f>
        <v/>
      </c>
      <c r="G1563" t="str">
        <f>"TAXA BOLETO COMPENSADO"</f>
        <v>TAXA BOLETO COMPENSADO</v>
      </c>
      <c r="H1563" t="str">
        <f t="shared" si="795"/>
        <v>28/03/2025</v>
      </c>
      <c r="I1563" t="str">
        <f t="shared" si="795"/>
        <v>28/03/2025</v>
      </c>
      <c r="J1563" t="str">
        <f t="shared" si="793"/>
        <v>28/03/2025</v>
      </c>
      <c r="K1563">
        <v>1.7</v>
      </c>
      <c r="L1563">
        <v>1.7</v>
      </c>
      <c r="M1563">
        <v>401</v>
      </c>
      <c r="N1563" t="str">
        <f>"IOF/JUROS/DESP.FINANCEIRA"</f>
        <v>IOF/JUROS/DESP.FINANCEIRA</v>
      </c>
      <c r="O1563">
        <v>1.7</v>
      </c>
      <c r="R1563" t="str">
        <f t="shared" si="796"/>
        <v>BANCO CORA (102)</v>
      </c>
      <c r="S1563">
        <v>1295</v>
      </c>
      <c r="T1563">
        <v>0</v>
      </c>
      <c r="U1563" t="s">
        <v>20</v>
      </c>
    </row>
    <row r="1564" spans="1:21">
      <c r="A1564" t="str">
        <f t="shared" si="791"/>
        <v>28/03/2025</v>
      </c>
      <c r="B1564" t="str">
        <f t="shared" si="794"/>
        <v>SAÍDA</v>
      </c>
      <c r="C1564" t="str">
        <f>"JUROS"</f>
        <v>JUROS</v>
      </c>
      <c r="D1564" t="str">
        <f>""</f>
        <v/>
      </c>
      <c r="E1564" t="str">
        <f>"CXA"</f>
        <v>CXA</v>
      </c>
      <c r="F1564" t="str">
        <f>""</f>
        <v/>
      </c>
      <c r="G1564" t="str">
        <f>"TAXA BOLETO COMPENSADO"</f>
        <v>TAXA BOLETO COMPENSADO</v>
      </c>
      <c r="H1564" t="str">
        <f t="shared" si="795"/>
        <v>28/03/2025</v>
      </c>
      <c r="I1564" t="str">
        <f t="shared" si="795"/>
        <v>28/03/2025</v>
      </c>
      <c r="J1564" t="str">
        <f t="shared" si="793"/>
        <v>28/03/2025</v>
      </c>
      <c r="K1564">
        <v>1.7</v>
      </c>
      <c r="L1564">
        <v>1.7</v>
      </c>
      <c r="M1564">
        <v>401</v>
      </c>
      <c r="N1564" t="str">
        <f>"IOF/JUROS/DESP.FINANCEIRA"</f>
        <v>IOF/JUROS/DESP.FINANCEIRA</v>
      </c>
      <c r="O1564">
        <v>1.7</v>
      </c>
      <c r="R1564" t="str">
        <f t="shared" si="796"/>
        <v>BANCO CORA (102)</v>
      </c>
      <c r="S1564">
        <v>1296</v>
      </c>
      <c r="T1564">
        <v>0</v>
      </c>
      <c r="U1564" t="s">
        <v>20</v>
      </c>
    </row>
    <row r="1565" spans="1:21">
      <c r="A1565" t="str">
        <f t="shared" si="791"/>
        <v>28/03/2025</v>
      </c>
      <c r="B1565" t="str">
        <f t="shared" si="794"/>
        <v>SAÍDA</v>
      </c>
      <c r="C1565" t="str">
        <f>"JUROS"</f>
        <v>JUROS</v>
      </c>
      <c r="D1565" t="str">
        <f>""</f>
        <v/>
      </c>
      <c r="E1565" t="str">
        <f>"CXA"</f>
        <v>CXA</v>
      </c>
      <c r="F1565" t="str">
        <f>""</f>
        <v/>
      </c>
      <c r="G1565" t="str">
        <f>"TAXA BOLETO COMPENSADO"</f>
        <v>TAXA BOLETO COMPENSADO</v>
      </c>
      <c r="H1565" t="str">
        <f t="shared" si="795"/>
        <v>28/03/2025</v>
      </c>
      <c r="I1565" t="str">
        <f t="shared" si="795"/>
        <v>28/03/2025</v>
      </c>
      <c r="J1565" t="str">
        <f t="shared" si="793"/>
        <v>28/03/2025</v>
      </c>
      <c r="K1565">
        <v>1.7</v>
      </c>
      <c r="L1565">
        <v>1.7</v>
      </c>
      <c r="M1565">
        <v>401</v>
      </c>
      <c r="N1565" t="str">
        <f>"IOF/JUROS/DESP.FINANCEIRA"</f>
        <v>IOF/JUROS/DESP.FINANCEIRA</v>
      </c>
      <c r="O1565">
        <v>1.7</v>
      </c>
      <c r="R1565" t="str">
        <f t="shared" si="796"/>
        <v>BANCO CORA (102)</v>
      </c>
      <c r="S1565">
        <v>1297</v>
      </c>
      <c r="T1565">
        <v>0</v>
      </c>
      <c r="U1565" t="s">
        <v>20</v>
      </c>
    </row>
    <row r="1566" spans="1:21">
      <c r="A1566" t="str">
        <f>("31/03/2025")</f>
        <v>31/03/2025</v>
      </c>
      <c r="B1566" t="str">
        <f t="shared" si="794"/>
        <v>SAÍDA</v>
      </c>
      <c r="C1566" t="str">
        <f>"BOLETO"</f>
        <v>BOLETO</v>
      </c>
      <c r="D1566" t="str">
        <f>"27521702549"</f>
        <v>27521702549</v>
      </c>
      <c r="E1566" t="str">
        <f>"COM"</f>
        <v>COM</v>
      </c>
      <c r="F1566" t="str">
        <f>"MUNICIPIO DE UBERLANDIA (20032)"</f>
        <v>MUNICIPIO DE UBERLANDIA (20032)</v>
      </c>
      <c r="G1566" t="str">
        <f>"TAXA FUNCIONAMENTO 2025"</f>
        <v>TAXA FUNCIONAMENTO 2025</v>
      </c>
      <c r="H1566" t="str">
        <f>("31/03/2025")</f>
        <v>31/03/2025</v>
      </c>
      <c r="I1566" t="str">
        <f>("06/03/2025")</f>
        <v>06/03/2025</v>
      </c>
      <c r="J1566" t="str">
        <f>("31/03/2025")</f>
        <v>31/03/2025</v>
      </c>
      <c r="K1566">
        <v>94.93</v>
      </c>
      <c r="L1566">
        <v>94.93</v>
      </c>
      <c r="M1566">
        <v>111</v>
      </c>
      <c r="N1566" t="str">
        <f>"OUTRAS DESPESAS / TAXAS"</f>
        <v>OUTRAS DESPESAS / TAXAS</v>
      </c>
      <c r="O1566">
        <v>94.93</v>
      </c>
      <c r="R1566" t="str">
        <f t="shared" si="796"/>
        <v>BANCO CORA (102)</v>
      </c>
      <c r="S1566">
        <v>1258</v>
      </c>
      <c r="T1566">
        <v>963</v>
      </c>
      <c r="U1566" t="s">
        <v>19</v>
      </c>
    </row>
    <row r="1567" spans="1:21">
      <c r="A1567" t="str">
        <f>("31/03/2025")</f>
        <v>31/03/2025</v>
      </c>
      <c r="B1567" t="str">
        <f t="shared" si="794"/>
        <v>SAÍDA</v>
      </c>
      <c r="C1567" t="str">
        <f>"BOLETO"</f>
        <v>BOLETO</v>
      </c>
      <c r="D1567" t="str">
        <f>"005800426197"</f>
        <v>005800426197</v>
      </c>
      <c r="E1567" t="str">
        <f>"COM"</f>
        <v>COM</v>
      </c>
      <c r="F1567" t="str">
        <f>"SUL AMERICA COMPANHIA DE SEGURO SAUDE (20080)"</f>
        <v>SUL AMERICA COMPANHIA DE SEGURO SAUDE (20080)</v>
      </c>
      <c r="G1567" t="str">
        <f>"CONVENIO MEDICO SOCIOS E DEPENDENTES"</f>
        <v>CONVENIO MEDICO SOCIOS E DEPENDENTES</v>
      </c>
      <c r="H1567" t="str">
        <f>("02/06/2025")</f>
        <v>02/06/2025</v>
      </c>
      <c r="I1567" t="str">
        <f>("31/03/2025")</f>
        <v>31/03/2025</v>
      </c>
      <c r="J1567" t="str">
        <f>("31/03/2025")</f>
        <v>31/03/2025</v>
      </c>
      <c r="K1567">
        <v>3185.41</v>
      </c>
      <c r="L1567">
        <v>3185.41</v>
      </c>
      <c r="M1567">
        <v>192</v>
      </c>
      <c r="N1567" t="str">
        <f>"PLANOS E SEGUROS"</f>
        <v>PLANOS E SEGUROS</v>
      </c>
      <c r="O1567">
        <v>3185.41</v>
      </c>
      <c r="R1567" t="str">
        <f t="shared" si="796"/>
        <v>BANCO CORA (102)</v>
      </c>
      <c r="S1567">
        <v>1299</v>
      </c>
      <c r="T1567">
        <v>1036</v>
      </c>
      <c r="U1567" t="s">
        <v>19</v>
      </c>
    </row>
    <row r="1568" spans="1:21">
      <c r="A1568" t="str">
        <f>("31/03/2025")</f>
        <v>31/03/2025</v>
      </c>
      <c r="B1568" t="str">
        <f t="shared" si="794"/>
        <v>SAÍDA</v>
      </c>
      <c r="C1568" t="str">
        <f>"BOLETO"</f>
        <v>BOLETO</v>
      </c>
      <c r="D1568" t="str">
        <f>"005800426197"</f>
        <v>005800426197</v>
      </c>
      <c r="E1568" t="str">
        <f>"COM"</f>
        <v>COM</v>
      </c>
      <c r="F1568" t="str">
        <f>"SUL AMERICA COMPANHIA DE SEGURO SAUDE (20080)"</f>
        <v>SUL AMERICA COMPANHIA DE SEGURO SAUDE (20080)</v>
      </c>
      <c r="G1568" t="str">
        <f>"CONVENIO MEDICO SOCIOS E DEPENDENTES"</f>
        <v>CONVENIO MEDICO SOCIOS E DEPENDENTES</v>
      </c>
      <c r="H1568" t="str">
        <f>("02/06/2025")</f>
        <v>02/06/2025</v>
      </c>
      <c r="I1568" t="str">
        <f>("31/03/2025")</f>
        <v>31/03/2025</v>
      </c>
      <c r="J1568" t="str">
        <f>("31/03/2025")</f>
        <v>31/03/2025</v>
      </c>
      <c r="M1568">
        <v>192</v>
      </c>
      <c r="N1568" t="str">
        <f>"PLANOS E SEGUROS"</f>
        <v>PLANOS E SEGUROS</v>
      </c>
      <c r="P1568">
        <v>3185.41</v>
      </c>
      <c r="Q1568" t="str">
        <f>"SUL AMERICA COMPANHIA DE SEGURO SAUDE (20080)"</f>
        <v>SUL AMERICA COMPANHIA DE SEGURO SAUDE (20080)</v>
      </c>
      <c r="R1568" t="str">
        <f t="shared" si="796"/>
        <v>BANCO CORA (102)</v>
      </c>
      <c r="S1568">
        <v>1299</v>
      </c>
      <c r="T1568">
        <v>1036</v>
      </c>
      <c r="U1568" t="s">
        <v>19</v>
      </c>
    </row>
    <row r="1569" spans="1:21">
      <c r="A1569" t="str">
        <f>("31/03/2025")</f>
        <v>31/03/2025</v>
      </c>
      <c r="B1569" t="str">
        <f t="shared" si="794"/>
        <v>SAÍDA</v>
      </c>
      <c r="C1569" t="str">
        <f>""</f>
        <v/>
      </c>
      <c r="D1569" t="str">
        <f>""</f>
        <v/>
      </c>
      <c r="E1569" t="str">
        <f>"CXA"</f>
        <v>CXA</v>
      </c>
      <c r="F1569" t="str">
        <f>""</f>
        <v/>
      </c>
      <c r="G1569" t="str">
        <f>"COMPRA DE PRESENTE PARA CONFRATERNIZAÇÃO EM TEOFILO OTONI"</f>
        <v>COMPRA DE PRESENTE PARA CONFRATERNIZAÇÃO EM TEOFILO OTONI</v>
      </c>
      <c r="H1569" t="str">
        <f>("31/03/2025")</f>
        <v>31/03/2025</v>
      </c>
      <c r="I1569" t="str">
        <f>("31/03/2025")</f>
        <v>31/03/2025</v>
      </c>
      <c r="J1569" t="str">
        <f>("31/03/2025")</f>
        <v>31/03/2025</v>
      </c>
      <c r="K1569">
        <v>468</v>
      </c>
      <c r="L1569">
        <v>468</v>
      </c>
      <c r="M1569">
        <v>129</v>
      </c>
      <c r="N1569" t="str">
        <f>"DESPESAS COM EVENTOS"</f>
        <v>DESPESAS COM EVENTOS</v>
      </c>
      <c r="O1569">
        <v>468</v>
      </c>
      <c r="R1569" t="str">
        <f t="shared" si="796"/>
        <v>BANCO CORA (102)</v>
      </c>
      <c r="S1569">
        <v>1300</v>
      </c>
      <c r="T1569">
        <v>0</v>
      </c>
      <c r="U1569" t="s">
        <v>23</v>
      </c>
    </row>
    <row r="1570" spans="1:21">
      <c r="A1570" t="str">
        <f>("01/04/2025")</f>
        <v>01/04/2025</v>
      </c>
      <c r="B1570" t="str">
        <f>"ENTRADA"</f>
        <v>ENTRADA</v>
      </c>
      <c r="C1570" t="str">
        <f>"NFSE"</f>
        <v>NFSE</v>
      </c>
      <c r="D1570" t="str">
        <f>"2838"</f>
        <v>2838</v>
      </c>
      <c r="E1570" t="str">
        <f>"COM"</f>
        <v>COM</v>
      </c>
      <c r="F1570" t="str">
        <f>"DELTA LOJA 2 (10123)"</f>
        <v>DELTA LOJA 2 (10123)</v>
      </c>
      <c r="G1570" t="str">
        <f>"Serv.Prest. 24/03/2025 a 30/03/2025 - RPS: 610 - NFSe: 2838"</f>
        <v>Serv.Prest. 24/03/2025 a 30/03/2025 - RPS: 610 - NFSe: 2838</v>
      </c>
      <c r="H1570" t="str">
        <f>("02/04/2025")</f>
        <v>02/04/2025</v>
      </c>
      <c r="I1570" t="str">
        <f>("31/03/2025")</f>
        <v>31/03/2025</v>
      </c>
      <c r="J1570" t="str">
        <f>("01/04/2025")</f>
        <v>01/04/2025</v>
      </c>
      <c r="K1570">
        <v>480.48</v>
      </c>
      <c r="L1570">
        <v>480.48</v>
      </c>
      <c r="M1570">
        <v>303</v>
      </c>
      <c r="N1570" t="str">
        <f>"RECEITAS COM ENTREGAS"</f>
        <v>RECEITAS COM ENTREGAS</v>
      </c>
      <c r="O1570">
        <v>480.48</v>
      </c>
      <c r="R1570" t="str">
        <f>"RECEITAS COM ENTREGAS (303)"</f>
        <v>RECEITAS COM ENTREGAS (303)</v>
      </c>
      <c r="S1570">
        <v>1301</v>
      </c>
      <c r="T1570">
        <v>1020</v>
      </c>
      <c r="U1570" t="s">
        <v>19</v>
      </c>
    </row>
    <row r="1571" spans="1:21">
      <c r="A1571" t="str">
        <f>("01/04/2025")</f>
        <v>01/04/2025</v>
      </c>
      <c r="B1571" t="str">
        <f>"ENTRADA"</f>
        <v>ENTRADA</v>
      </c>
      <c r="C1571" t="str">
        <f>"NFSE"</f>
        <v>NFSE</v>
      </c>
      <c r="D1571" t="str">
        <f>"2838"</f>
        <v>2838</v>
      </c>
      <c r="E1571" t="str">
        <f>"COM"</f>
        <v>COM</v>
      </c>
      <c r="F1571" t="str">
        <f>"DELTA LOJA 2 (10123)"</f>
        <v>DELTA LOJA 2 (10123)</v>
      </c>
      <c r="G1571" t="str">
        <f>"Serv.Prest. 24/03/2025 a 30/03/2025 - RPS: 610 - NFSe: 2838"</f>
        <v>Serv.Prest. 24/03/2025 a 30/03/2025 - RPS: 610 - NFSe: 2838</v>
      </c>
      <c r="H1571" t="str">
        <f>("02/04/2025")</f>
        <v>02/04/2025</v>
      </c>
      <c r="I1571" t="str">
        <f>("31/03/2025")</f>
        <v>31/03/2025</v>
      </c>
      <c r="J1571" t="str">
        <f>("01/04/2025")</f>
        <v>01/04/2025</v>
      </c>
      <c r="M1571">
        <v>303</v>
      </c>
      <c r="N1571" t="str">
        <f>"RECEITAS COM ENTREGAS"</f>
        <v>RECEITAS COM ENTREGAS</v>
      </c>
      <c r="P1571">
        <v>480.48</v>
      </c>
      <c r="Q1571" t="str">
        <f>"DELTA LOJA 2 (10123)"</f>
        <v>DELTA LOJA 2 (10123)</v>
      </c>
      <c r="R1571" t="str">
        <f>"RECEITAS COM ENTREGAS (303)"</f>
        <v>RECEITAS COM ENTREGAS (303)</v>
      </c>
      <c r="S1571">
        <v>1301</v>
      </c>
      <c r="T1571">
        <v>1020</v>
      </c>
      <c r="U1571" t="s">
        <v>19</v>
      </c>
    </row>
    <row r="1572" spans="1:21">
      <c r="A1572" t="str">
        <f>("01/04/2025")</f>
        <v>01/04/2025</v>
      </c>
      <c r="B1572" t="str">
        <f>"SAÍDA"</f>
        <v>SAÍDA</v>
      </c>
      <c r="C1572" t="str">
        <f>"JUROS"</f>
        <v>JUROS</v>
      </c>
      <c r="D1572" t="str">
        <f>""</f>
        <v/>
      </c>
      <c r="E1572" t="str">
        <f>"CXA"</f>
        <v>CXA</v>
      </c>
      <c r="F1572" t="str">
        <f>""</f>
        <v/>
      </c>
      <c r="G1572" t="str">
        <f>"TAXA BOLETO COMPENSADO"</f>
        <v>TAXA BOLETO COMPENSADO</v>
      </c>
      <c r="H1572" t="str">
        <f>("01/04/2025")</f>
        <v>01/04/2025</v>
      </c>
      <c r="I1572" t="str">
        <f>("01/04/2025")</f>
        <v>01/04/2025</v>
      </c>
      <c r="J1572" t="str">
        <f>("01/04/2025")</f>
        <v>01/04/2025</v>
      </c>
      <c r="K1572">
        <v>1.7</v>
      </c>
      <c r="L1572">
        <v>1.7</v>
      </c>
      <c r="M1572">
        <v>401</v>
      </c>
      <c r="N1572" t="str">
        <f>"IOF/JUROS/DESP.FINANCEIRA"</f>
        <v>IOF/JUROS/DESP.FINANCEIRA</v>
      </c>
      <c r="O1572">
        <v>1.7</v>
      </c>
      <c r="R1572" t="str">
        <f>"BANCO CORA (102)"</f>
        <v>BANCO CORA (102)</v>
      </c>
      <c r="S1572">
        <v>1319</v>
      </c>
      <c r="T1572">
        <v>0</v>
      </c>
      <c r="U1572" t="s">
        <v>20</v>
      </c>
    </row>
    <row r="1573" spans="1:21">
      <c r="A1573" t="str">
        <f t="shared" ref="A1573:A1604" si="797">("02/04/2025")</f>
        <v>02/04/2025</v>
      </c>
      <c r="B1573" t="str">
        <f>"ENTRADA"</f>
        <v>ENTRADA</v>
      </c>
      <c r="C1573" t="str">
        <f t="shared" ref="C1573:C1604" si="798">"NFSE"</f>
        <v>NFSE</v>
      </c>
      <c r="D1573" t="str">
        <f t="shared" ref="D1573:D1618" si="799">"2822"</f>
        <v>2822</v>
      </c>
      <c r="E1573" t="str">
        <f t="shared" ref="E1573:E1604" si="800">"COM"</f>
        <v>COM</v>
      </c>
      <c r="F1573" t="str">
        <f t="shared" ref="F1573:F1618" si="801">"FARMÁCIA INDIANA LJ 1 (10126)"</f>
        <v>FARMÁCIA INDIANA LJ 1 (10126)</v>
      </c>
      <c r="G1573" t="str">
        <f t="shared" ref="G1573:G1618" si="802">"Serv.Prest. 17/03/2025 a 23/03/2025 - RPS: 594 - NFSe: 2822"</f>
        <v>Serv.Prest. 17/03/2025 a 23/03/2025 - RPS: 594 - NFSe: 2822</v>
      </c>
      <c r="H1573" t="str">
        <f t="shared" ref="H1573:H1604" si="803">("02/04/2025")</f>
        <v>02/04/2025</v>
      </c>
      <c r="I1573" t="str">
        <f t="shared" ref="I1573:I1604" si="804">("24/03/2025")</f>
        <v>24/03/2025</v>
      </c>
      <c r="J1573" t="str">
        <f t="shared" ref="J1573:J1604" si="805">("02/04/2025")</f>
        <v>02/04/2025</v>
      </c>
      <c r="K1573">
        <v>13500.49</v>
      </c>
      <c r="L1573">
        <v>13500.49</v>
      </c>
      <c r="M1573">
        <v>303</v>
      </c>
      <c r="N1573" t="str">
        <f t="shared" ref="N1573:N1604" si="806">"RECEITAS COM ENTREGAS"</f>
        <v>RECEITAS COM ENTREGAS</v>
      </c>
      <c r="O1573">
        <v>13500.49</v>
      </c>
      <c r="R1573" t="str">
        <f t="shared" ref="R1573:R1604" si="807">"RECEITAS COM ENTREGAS (303)"</f>
        <v>RECEITAS COM ENTREGAS (303)</v>
      </c>
      <c r="S1573">
        <v>1302</v>
      </c>
      <c r="T1573">
        <v>1004</v>
      </c>
      <c r="U1573" t="s">
        <v>19</v>
      </c>
    </row>
    <row r="1574" spans="1:21">
      <c r="A1574" t="str">
        <f t="shared" si="797"/>
        <v>02/04/2025</v>
      </c>
      <c r="B1574" t="str">
        <f t="shared" ref="B1574:B1637" si="808">"ENTRADA"</f>
        <v>ENTRADA</v>
      </c>
      <c r="C1574" t="str">
        <f t="shared" si="798"/>
        <v>NFSE</v>
      </c>
      <c r="D1574" t="str">
        <f t="shared" si="799"/>
        <v>2822</v>
      </c>
      <c r="E1574" t="str">
        <f t="shared" si="800"/>
        <v>COM</v>
      </c>
      <c r="F1574" t="str">
        <f t="shared" si="801"/>
        <v>FARMÁCIA INDIANA LJ 1 (10126)</v>
      </c>
      <c r="G1574" t="str">
        <f t="shared" si="802"/>
        <v>Serv.Prest. 17/03/2025 a 23/03/2025 - RPS: 594 - NFSe: 2822</v>
      </c>
      <c r="H1574" t="str">
        <f t="shared" si="803"/>
        <v>02/04/2025</v>
      </c>
      <c r="I1574" t="str">
        <f t="shared" si="804"/>
        <v>24/03/2025</v>
      </c>
      <c r="J1574" t="str">
        <f t="shared" si="805"/>
        <v>02/04/2025</v>
      </c>
      <c r="M1574">
        <v>303</v>
      </c>
      <c r="N1574" t="str">
        <f t="shared" si="806"/>
        <v>RECEITAS COM ENTREGAS</v>
      </c>
      <c r="P1574">
        <v>1872.56</v>
      </c>
      <c r="Q1574" t="str">
        <f>"FARMÁCIA INDIANA LJ 06 (10006)"</f>
        <v>FARMÁCIA INDIANA LJ 06 (10006)</v>
      </c>
      <c r="R1574" t="str">
        <f t="shared" si="807"/>
        <v>RECEITAS COM ENTREGAS (303)</v>
      </c>
      <c r="S1574">
        <v>1302</v>
      </c>
      <c r="T1574">
        <v>1004</v>
      </c>
      <c r="U1574" t="s">
        <v>19</v>
      </c>
    </row>
    <row r="1575" spans="1:21">
      <c r="A1575" t="str">
        <f t="shared" si="797"/>
        <v>02/04/2025</v>
      </c>
      <c r="B1575" t="str">
        <f t="shared" si="808"/>
        <v>ENTRADA</v>
      </c>
      <c r="C1575" t="str">
        <f t="shared" si="798"/>
        <v>NFSE</v>
      </c>
      <c r="D1575" t="str">
        <f t="shared" si="799"/>
        <v>2822</v>
      </c>
      <c r="E1575" t="str">
        <f t="shared" si="800"/>
        <v>COM</v>
      </c>
      <c r="F1575" t="str">
        <f t="shared" si="801"/>
        <v>FARMÁCIA INDIANA LJ 1 (10126)</v>
      </c>
      <c r="G1575" t="str">
        <f t="shared" si="802"/>
        <v>Serv.Prest. 17/03/2025 a 23/03/2025 - RPS: 594 - NFSe: 2822</v>
      </c>
      <c r="H1575" t="str">
        <f t="shared" si="803"/>
        <v>02/04/2025</v>
      </c>
      <c r="I1575" t="str">
        <f t="shared" si="804"/>
        <v>24/03/2025</v>
      </c>
      <c r="J1575" t="str">
        <f t="shared" si="805"/>
        <v>02/04/2025</v>
      </c>
      <c r="M1575">
        <v>303</v>
      </c>
      <c r="N1575" t="str">
        <f t="shared" si="806"/>
        <v>RECEITAS COM ENTREGAS</v>
      </c>
      <c r="P1575">
        <v>1594.41</v>
      </c>
      <c r="Q1575" t="str">
        <f>"FARMÁCIA INDIANA LJ 07 (10007)"</f>
        <v>FARMÁCIA INDIANA LJ 07 (10007)</v>
      </c>
      <c r="R1575" t="str">
        <f t="shared" si="807"/>
        <v>RECEITAS COM ENTREGAS (303)</v>
      </c>
      <c r="S1575">
        <v>1302</v>
      </c>
      <c r="T1575">
        <v>1004</v>
      </c>
      <c r="U1575" t="s">
        <v>19</v>
      </c>
    </row>
    <row r="1576" spans="1:21">
      <c r="A1576" t="str">
        <f t="shared" si="797"/>
        <v>02/04/2025</v>
      </c>
      <c r="B1576" t="str">
        <f t="shared" si="808"/>
        <v>ENTRADA</v>
      </c>
      <c r="C1576" t="str">
        <f t="shared" si="798"/>
        <v>NFSE</v>
      </c>
      <c r="D1576" t="str">
        <f t="shared" si="799"/>
        <v>2822</v>
      </c>
      <c r="E1576" t="str">
        <f t="shared" si="800"/>
        <v>COM</v>
      </c>
      <c r="F1576" t="str">
        <f t="shared" si="801"/>
        <v>FARMÁCIA INDIANA LJ 1 (10126)</v>
      </c>
      <c r="G1576" t="str">
        <f t="shared" si="802"/>
        <v>Serv.Prest. 17/03/2025 a 23/03/2025 - RPS: 594 - NFSe: 2822</v>
      </c>
      <c r="H1576" t="str">
        <f t="shared" si="803"/>
        <v>02/04/2025</v>
      </c>
      <c r="I1576" t="str">
        <f t="shared" si="804"/>
        <v>24/03/2025</v>
      </c>
      <c r="J1576" t="str">
        <f t="shared" si="805"/>
        <v>02/04/2025</v>
      </c>
      <c r="M1576">
        <v>303</v>
      </c>
      <c r="N1576" t="str">
        <f t="shared" si="806"/>
        <v>RECEITAS COM ENTREGAS</v>
      </c>
      <c r="P1576">
        <v>1028.74</v>
      </c>
      <c r="Q1576" t="str">
        <f>"FARMÁCIA INDIANA LJ 11 (10008)"</f>
        <v>FARMÁCIA INDIANA LJ 11 (10008)</v>
      </c>
      <c r="R1576" t="str">
        <f t="shared" si="807"/>
        <v>RECEITAS COM ENTREGAS (303)</v>
      </c>
      <c r="S1576">
        <v>1302</v>
      </c>
      <c r="T1576">
        <v>1004</v>
      </c>
      <c r="U1576" t="s">
        <v>19</v>
      </c>
    </row>
    <row r="1577" spans="1:21">
      <c r="A1577" t="str">
        <f t="shared" si="797"/>
        <v>02/04/2025</v>
      </c>
      <c r="B1577" t="str">
        <f t="shared" si="808"/>
        <v>ENTRADA</v>
      </c>
      <c r="C1577" t="str">
        <f t="shared" si="798"/>
        <v>NFSE</v>
      </c>
      <c r="D1577" t="str">
        <f t="shared" si="799"/>
        <v>2822</v>
      </c>
      <c r="E1577" t="str">
        <f t="shared" si="800"/>
        <v>COM</v>
      </c>
      <c r="F1577" t="str">
        <f t="shared" si="801"/>
        <v>FARMÁCIA INDIANA LJ 1 (10126)</v>
      </c>
      <c r="G1577" t="str">
        <f t="shared" si="802"/>
        <v>Serv.Prest. 17/03/2025 a 23/03/2025 - RPS: 594 - NFSe: 2822</v>
      </c>
      <c r="H1577" t="str">
        <f t="shared" si="803"/>
        <v>02/04/2025</v>
      </c>
      <c r="I1577" t="str">
        <f t="shared" si="804"/>
        <v>24/03/2025</v>
      </c>
      <c r="J1577" t="str">
        <f t="shared" si="805"/>
        <v>02/04/2025</v>
      </c>
      <c r="M1577">
        <v>303</v>
      </c>
      <c r="N1577" t="str">
        <f t="shared" si="806"/>
        <v>RECEITAS COM ENTREGAS</v>
      </c>
      <c r="P1577">
        <v>427.97</v>
      </c>
      <c r="Q1577" t="str">
        <f>"FARMÁCIA INDIANA LJ 14 (10009)"</f>
        <v>FARMÁCIA INDIANA LJ 14 (10009)</v>
      </c>
      <c r="R1577" t="str">
        <f t="shared" si="807"/>
        <v>RECEITAS COM ENTREGAS (303)</v>
      </c>
      <c r="S1577">
        <v>1302</v>
      </c>
      <c r="T1577">
        <v>1004</v>
      </c>
      <c r="U1577" t="s">
        <v>19</v>
      </c>
    </row>
    <row r="1578" spans="1:21">
      <c r="A1578" t="str">
        <f t="shared" si="797"/>
        <v>02/04/2025</v>
      </c>
      <c r="B1578" t="str">
        <f t="shared" si="808"/>
        <v>ENTRADA</v>
      </c>
      <c r="C1578" t="str">
        <f t="shared" si="798"/>
        <v>NFSE</v>
      </c>
      <c r="D1578" t="str">
        <f t="shared" si="799"/>
        <v>2822</v>
      </c>
      <c r="E1578" t="str">
        <f t="shared" si="800"/>
        <v>COM</v>
      </c>
      <c r="F1578" t="str">
        <f t="shared" si="801"/>
        <v>FARMÁCIA INDIANA LJ 1 (10126)</v>
      </c>
      <c r="G1578" t="str">
        <f t="shared" si="802"/>
        <v>Serv.Prest. 17/03/2025 a 23/03/2025 - RPS: 594 - NFSe: 2822</v>
      </c>
      <c r="H1578" t="str">
        <f t="shared" si="803"/>
        <v>02/04/2025</v>
      </c>
      <c r="I1578" t="str">
        <f t="shared" si="804"/>
        <v>24/03/2025</v>
      </c>
      <c r="J1578" t="str">
        <f t="shared" si="805"/>
        <v>02/04/2025</v>
      </c>
      <c r="M1578">
        <v>303</v>
      </c>
      <c r="N1578" t="str">
        <f t="shared" si="806"/>
        <v>RECEITAS COM ENTREGAS</v>
      </c>
      <c r="P1578">
        <v>394.21</v>
      </c>
      <c r="Q1578" t="str">
        <f>"FARMÁCIA INDIANA LJ 18 (10011)"</f>
        <v>FARMÁCIA INDIANA LJ 18 (10011)</v>
      </c>
      <c r="R1578" t="str">
        <f t="shared" si="807"/>
        <v>RECEITAS COM ENTREGAS (303)</v>
      </c>
      <c r="S1578">
        <v>1302</v>
      </c>
      <c r="T1578">
        <v>1004</v>
      </c>
      <c r="U1578" t="s">
        <v>19</v>
      </c>
    </row>
    <row r="1579" spans="1:21">
      <c r="A1579" t="str">
        <f t="shared" si="797"/>
        <v>02/04/2025</v>
      </c>
      <c r="B1579" t="str">
        <f t="shared" si="808"/>
        <v>ENTRADA</v>
      </c>
      <c r="C1579" t="str">
        <f t="shared" si="798"/>
        <v>NFSE</v>
      </c>
      <c r="D1579" t="str">
        <f t="shared" si="799"/>
        <v>2822</v>
      </c>
      <c r="E1579" t="str">
        <f t="shared" si="800"/>
        <v>COM</v>
      </c>
      <c r="F1579" t="str">
        <f t="shared" si="801"/>
        <v>FARMÁCIA INDIANA LJ 1 (10126)</v>
      </c>
      <c r="G1579" t="str">
        <f t="shared" si="802"/>
        <v>Serv.Prest. 17/03/2025 a 23/03/2025 - RPS: 594 - NFSe: 2822</v>
      </c>
      <c r="H1579" t="str">
        <f t="shared" si="803"/>
        <v>02/04/2025</v>
      </c>
      <c r="I1579" t="str">
        <f t="shared" si="804"/>
        <v>24/03/2025</v>
      </c>
      <c r="J1579" t="str">
        <f t="shared" si="805"/>
        <v>02/04/2025</v>
      </c>
      <c r="M1579">
        <v>303</v>
      </c>
      <c r="N1579" t="str">
        <f t="shared" si="806"/>
        <v>RECEITAS COM ENTREGAS</v>
      </c>
      <c r="P1579">
        <v>345.61</v>
      </c>
      <c r="Q1579" t="str">
        <f>"FARMÁCIA INDIANA LJ 19 (10012)"</f>
        <v>FARMÁCIA INDIANA LJ 19 (10012)</v>
      </c>
      <c r="R1579" t="str">
        <f t="shared" si="807"/>
        <v>RECEITAS COM ENTREGAS (303)</v>
      </c>
      <c r="S1579">
        <v>1302</v>
      </c>
      <c r="T1579">
        <v>1004</v>
      </c>
      <c r="U1579" t="s">
        <v>19</v>
      </c>
    </row>
    <row r="1580" spans="1:21">
      <c r="A1580" t="str">
        <f t="shared" si="797"/>
        <v>02/04/2025</v>
      </c>
      <c r="B1580" t="str">
        <f t="shared" si="808"/>
        <v>ENTRADA</v>
      </c>
      <c r="C1580" t="str">
        <f t="shared" si="798"/>
        <v>NFSE</v>
      </c>
      <c r="D1580" t="str">
        <f t="shared" si="799"/>
        <v>2822</v>
      </c>
      <c r="E1580" t="str">
        <f t="shared" si="800"/>
        <v>COM</v>
      </c>
      <c r="F1580" t="str">
        <f t="shared" si="801"/>
        <v>FARMÁCIA INDIANA LJ 1 (10126)</v>
      </c>
      <c r="G1580" t="str">
        <f t="shared" si="802"/>
        <v>Serv.Prest. 17/03/2025 a 23/03/2025 - RPS: 594 - NFSe: 2822</v>
      </c>
      <c r="H1580" t="str">
        <f t="shared" si="803"/>
        <v>02/04/2025</v>
      </c>
      <c r="I1580" t="str">
        <f t="shared" si="804"/>
        <v>24/03/2025</v>
      </c>
      <c r="J1580" t="str">
        <f t="shared" si="805"/>
        <v>02/04/2025</v>
      </c>
      <c r="M1580">
        <v>303</v>
      </c>
      <c r="N1580" t="str">
        <f t="shared" si="806"/>
        <v>RECEITAS COM ENTREGAS</v>
      </c>
      <c r="P1580">
        <v>535.97</v>
      </c>
      <c r="Q1580" t="str">
        <f>"FARMÁCIA INDIANA LJ 40 (10016)"</f>
        <v>FARMÁCIA INDIANA LJ 40 (10016)</v>
      </c>
      <c r="R1580" t="str">
        <f t="shared" si="807"/>
        <v>RECEITAS COM ENTREGAS (303)</v>
      </c>
      <c r="S1580">
        <v>1302</v>
      </c>
      <c r="T1580">
        <v>1004</v>
      </c>
      <c r="U1580" t="s">
        <v>19</v>
      </c>
    </row>
    <row r="1581" spans="1:21">
      <c r="A1581" t="str">
        <f t="shared" si="797"/>
        <v>02/04/2025</v>
      </c>
      <c r="B1581" t="str">
        <f t="shared" si="808"/>
        <v>ENTRADA</v>
      </c>
      <c r="C1581" t="str">
        <f t="shared" si="798"/>
        <v>NFSE</v>
      </c>
      <c r="D1581" t="str">
        <f t="shared" si="799"/>
        <v>2822</v>
      </c>
      <c r="E1581" t="str">
        <f t="shared" si="800"/>
        <v>COM</v>
      </c>
      <c r="F1581" t="str">
        <f t="shared" si="801"/>
        <v>FARMÁCIA INDIANA LJ 1 (10126)</v>
      </c>
      <c r="G1581" t="str">
        <f t="shared" si="802"/>
        <v>Serv.Prest. 17/03/2025 a 23/03/2025 - RPS: 594 - NFSe: 2822</v>
      </c>
      <c r="H1581" t="str">
        <f t="shared" si="803"/>
        <v>02/04/2025</v>
      </c>
      <c r="I1581" t="str">
        <f t="shared" si="804"/>
        <v>24/03/2025</v>
      </c>
      <c r="J1581" t="str">
        <f t="shared" si="805"/>
        <v>02/04/2025</v>
      </c>
      <c r="M1581">
        <v>303</v>
      </c>
      <c r="N1581" t="str">
        <f t="shared" si="806"/>
        <v>RECEITAS COM ENTREGAS</v>
      </c>
      <c r="P1581">
        <v>299.70999999999998</v>
      </c>
      <c r="Q1581" t="str">
        <f>"FARMÁCIA INDIANA LJ 59 (10026)"</f>
        <v>FARMÁCIA INDIANA LJ 59 (10026)</v>
      </c>
      <c r="R1581" t="str">
        <f t="shared" si="807"/>
        <v>RECEITAS COM ENTREGAS (303)</v>
      </c>
      <c r="S1581">
        <v>1302</v>
      </c>
      <c r="T1581">
        <v>1004</v>
      </c>
      <c r="U1581" t="s">
        <v>19</v>
      </c>
    </row>
    <row r="1582" spans="1:21">
      <c r="A1582" t="str">
        <f t="shared" si="797"/>
        <v>02/04/2025</v>
      </c>
      <c r="B1582" t="str">
        <f t="shared" si="808"/>
        <v>ENTRADA</v>
      </c>
      <c r="C1582" t="str">
        <f t="shared" si="798"/>
        <v>NFSE</v>
      </c>
      <c r="D1582" t="str">
        <f t="shared" si="799"/>
        <v>2822</v>
      </c>
      <c r="E1582" t="str">
        <f t="shared" si="800"/>
        <v>COM</v>
      </c>
      <c r="F1582" t="str">
        <f t="shared" si="801"/>
        <v>FARMÁCIA INDIANA LJ 1 (10126)</v>
      </c>
      <c r="G1582" t="str">
        <f t="shared" si="802"/>
        <v>Serv.Prest. 17/03/2025 a 23/03/2025 - RPS: 594 - NFSe: 2822</v>
      </c>
      <c r="H1582" t="str">
        <f t="shared" si="803"/>
        <v>02/04/2025</v>
      </c>
      <c r="I1582" t="str">
        <f t="shared" si="804"/>
        <v>24/03/2025</v>
      </c>
      <c r="J1582" t="str">
        <f t="shared" si="805"/>
        <v>02/04/2025</v>
      </c>
      <c r="M1582">
        <v>303</v>
      </c>
      <c r="N1582" t="str">
        <f t="shared" si="806"/>
        <v>RECEITAS COM ENTREGAS</v>
      </c>
      <c r="P1582">
        <v>508.97</v>
      </c>
      <c r="Q1582" t="str">
        <f>"FARMÁCIA INDIANA LJ 61 (10027)"</f>
        <v>FARMÁCIA INDIANA LJ 61 (10027)</v>
      </c>
      <c r="R1582" t="str">
        <f t="shared" si="807"/>
        <v>RECEITAS COM ENTREGAS (303)</v>
      </c>
      <c r="S1582">
        <v>1302</v>
      </c>
      <c r="T1582">
        <v>1004</v>
      </c>
      <c r="U1582" t="s">
        <v>19</v>
      </c>
    </row>
    <row r="1583" spans="1:21">
      <c r="A1583" t="str">
        <f t="shared" si="797"/>
        <v>02/04/2025</v>
      </c>
      <c r="B1583" t="str">
        <f t="shared" si="808"/>
        <v>ENTRADA</v>
      </c>
      <c r="C1583" t="str">
        <f t="shared" si="798"/>
        <v>NFSE</v>
      </c>
      <c r="D1583" t="str">
        <f t="shared" si="799"/>
        <v>2822</v>
      </c>
      <c r="E1583" t="str">
        <f t="shared" si="800"/>
        <v>COM</v>
      </c>
      <c r="F1583" t="str">
        <f t="shared" si="801"/>
        <v>FARMÁCIA INDIANA LJ 1 (10126)</v>
      </c>
      <c r="G1583" t="str">
        <f t="shared" si="802"/>
        <v>Serv.Prest. 17/03/2025 a 23/03/2025 - RPS: 594 - NFSe: 2822</v>
      </c>
      <c r="H1583" t="str">
        <f t="shared" si="803"/>
        <v>02/04/2025</v>
      </c>
      <c r="I1583" t="str">
        <f t="shared" si="804"/>
        <v>24/03/2025</v>
      </c>
      <c r="J1583" t="str">
        <f t="shared" si="805"/>
        <v>02/04/2025</v>
      </c>
      <c r="M1583">
        <v>303</v>
      </c>
      <c r="N1583" t="str">
        <f t="shared" si="806"/>
        <v>RECEITAS COM ENTREGAS</v>
      </c>
      <c r="P1583">
        <v>275.41000000000003</v>
      </c>
      <c r="Q1583" t="str">
        <f>"FARMÁCIA INDIANA LJ 62 (10028)"</f>
        <v>FARMÁCIA INDIANA LJ 62 (10028)</v>
      </c>
      <c r="R1583" t="str">
        <f t="shared" si="807"/>
        <v>RECEITAS COM ENTREGAS (303)</v>
      </c>
      <c r="S1583">
        <v>1302</v>
      </c>
      <c r="T1583">
        <v>1004</v>
      </c>
      <c r="U1583" t="s">
        <v>19</v>
      </c>
    </row>
    <row r="1584" spans="1:21">
      <c r="A1584" t="str">
        <f t="shared" si="797"/>
        <v>02/04/2025</v>
      </c>
      <c r="B1584" t="str">
        <f t="shared" si="808"/>
        <v>ENTRADA</v>
      </c>
      <c r="C1584" t="str">
        <f t="shared" si="798"/>
        <v>NFSE</v>
      </c>
      <c r="D1584" t="str">
        <f t="shared" si="799"/>
        <v>2822</v>
      </c>
      <c r="E1584" t="str">
        <f t="shared" si="800"/>
        <v>COM</v>
      </c>
      <c r="F1584" t="str">
        <f t="shared" si="801"/>
        <v>FARMÁCIA INDIANA LJ 1 (10126)</v>
      </c>
      <c r="G1584" t="str">
        <f t="shared" si="802"/>
        <v>Serv.Prest. 17/03/2025 a 23/03/2025 - RPS: 594 - NFSe: 2822</v>
      </c>
      <c r="H1584" t="str">
        <f t="shared" si="803"/>
        <v>02/04/2025</v>
      </c>
      <c r="I1584" t="str">
        <f t="shared" si="804"/>
        <v>24/03/2025</v>
      </c>
      <c r="J1584" t="str">
        <f t="shared" si="805"/>
        <v>02/04/2025</v>
      </c>
      <c r="M1584">
        <v>303</v>
      </c>
      <c r="N1584" t="str">
        <f t="shared" si="806"/>
        <v>RECEITAS COM ENTREGAS</v>
      </c>
      <c r="P1584">
        <v>114.75</v>
      </c>
      <c r="Q1584" t="str">
        <f>"FARMÁCIA INDIANA LJ 64 (10029)"</f>
        <v>FARMÁCIA INDIANA LJ 64 (10029)</v>
      </c>
      <c r="R1584" t="str">
        <f t="shared" si="807"/>
        <v>RECEITAS COM ENTREGAS (303)</v>
      </c>
      <c r="S1584">
        <v>1302</v>
      </c>
      <c r="T1584">
        <v>1004</v>
      </c>
      <c r="U1584" t="s">
        <v>19</v>
      </c>
    </row>
    <row r="1585" spans="1:21">
      <c r="A1585" t="str">
        <f t="shared" si="797"/>
        <v>02/04/2025</v>
      </c>
      <c r="B1585" t="str">
        <f t="shared" si="808"/>
        <v>ENTRADA</v>
      </c>
      <c r="C1585" t="str">
        <f t="shared" si="798"/>
        <v>NFSE</v>
      </c>
      <c r="D1585" t="str">
        <f t="shared" si="799"/>
        <v>2822</v>
      </c>
      <c r="E1585" t="str">
        <f t="shared" si="800"/>
        <v>COM</v>
      </c>
      <c r="F1585" t="str">
        <f t="shared" si="801"/>
        <v>FARMÁCIA INDIANA LJ 1 (10126)</v>
      </c>
      <c r="G1585" t="str">
        <f t="shared" si="802"/>
        <v>Serv.Prest. 17/03/2025 a 23/03/2025 - RPS: 594 - NFSe: 2822</v>
      </c>
      <c r="H1585" t="str">
        <f t="shared" si="803"/>
        <v>02/04/2025</v>
      </c>
      <c r="I1585" t="str">
        <f t="shared" si="804"/>
        <v>24/03/2025</v>
      </c>
      <c r="J1585" t="str">
        <f t="shared" si="805"/>
        <v>02/04/2025</v>
      </c>
      <c r="M1585">
        <v>303</v>
      </c>
      <c r="N1585" t="str">
        <f t="shared" si="806"/>
        <v>RECEITAS COM ENTREGAS</v>
      </c>
      <c r="P1585">
        <v>66.150000000000006</v>
      </c>
      <c r="Q1585" t="str">
        <f>"FARMÁCIA INDIANA LJ 97 (10040)"</f>
        <v>FARMÁCIA INDIANA LJ 97 (10040)</v>
      </c>
      <c r="R1585" t="str">
        <f t="shared" si="807"/>
        <v>RECEITAS COM ENTREGAS (303)</v>
      </c>
      <c r="S1585">
        <v>1302</v>
      </c>
      <c r="T1585">
        <v>1004</v>
      </c>
      <c r="U1585" t="s">
        <v>19</v>
      </c>
    </row>
    <row r="1586" spans="1:21">
      <c r="A1586" t="str">
        <f t="shared" si="797"/>
        <v>02/04/2025</v>
      </c>
      <c r="B1586" t="str">
        <f t="shared" si="808"/>
        <v>ENTRADA</v>
      </c>
      <c r="C1586" t="str">
        <f t="shared" si="798"/>
        <v>NFSE</v>
      </c>
      <c r="D1586" t="str">
        <f t="shared" si="799"/>
        <v>2822</v>
      </c>
      <c r="E1586" t="str">
        <f t="shared" si="800"/>
        <v>COM</v>
      </c>
      <c r="F1586" t="str">
        <f t="shared" si="801"/>
        <v>FARMÁCIA INDIANA LJ 1 (10126)</v>
      </c>
      <c r="G1586" t="str">
        <f t="shared" si="802"/>
        <v>Serv.Prest. 17/03/2025 a 23/03/2025 - RPS: 594 - NFSe: 2822</v>
      </c>
      <c r="H1586" t="str">
        <f t="shared" si="803"/>
        <v>02/04/2025</v>
      </c>
      <c r="I1586" t="str">
        <f t="shared" si="804"/>
        <v>24/03/2025</v>
      </c>
      <c r="J1586" t="str">
        <f t="shared" si="805"/>
        <v>02/04/2025</v>
      </c>
      <c r="M1586">
        <v>303</v>
      </c>
      <c r="N1586" t="str">
        <f t="shared" si="806"/>
        <v>RECEITAS COM ENTREGAS</v>
      </c>
      <c r="P1586">
        <v>319.95999999999998</v>
      </c>
      <c r="Q1586" t="str">
        <f>"FARMÁCIA INDIANA LJ 100 (10042)"</f>
        <v>FARMÁCIA INDIANA LJ 100 (10042)</v>
      </c>
      <c r="R1586" t="str">
        <f t="shared" si="807"/>
        <v>RECEITAS COM ENTREGAS (303)</v>
      </c>
      <c r="S1586">
        <v>1302</v>
      </c>
      <c r="T1586">
        <v>1004</v>
      </c>
      <c r="U1586" t="s">
        <v>19</v>
      </c>
    </row>
    <row r="1587" spans="1:21">
      <c r="A1587" t="str">
        <f t="shared" si="797"/>
        <v>02/04/2025</v>
      </c>
      <c r="B1587" t="str">
        <f t="shared" si="808"/>
        <v>ENTRADA</v>
      </c>
      <c r="C1587" t="str">
        <f t="shared" si="798"/>
        <v>NFSE</v>
      </c>
      <c r="D1587" t="str">
        <f t="shared" si="799"/>
        <v>2822</v>
      </c>
      <c r="E1587" t="str">
        <f t="shared" si="800"/>
        <v>COM</v>
      </c>
      <c r="F1587" t="str">
        <f t="shared" si="801"/>
        <v>FARMÁCIA INDIANA LJ 1 (10126)</v>
      </c>
      <c r="G1587" t="str">
        <f t="shared" si="802"/>
        <v>Serv.Prest. 17/03/2025 a 23/03/2025 - RPS: 594 - NFSe: 2822</v>
      </c>
      <c r="H1587" t="str">
        <f t="shared" si="803"/>
        <v>02/04/2025</v>
      </c>
      <c r="I1587" t="str">
        <f t="shared" si="804"/>
        <v>24/03/2025</v>
      </c>
      <c r="J1587" t="str">
        <f t="shared" si="805"/>
        <v>02/04/2025</v>
      </c>
      <c r="M1587">
        <v>303</v>
      </c>
      <c r="N1587" t="str">
        <f t="shared" si="806"/>
        <v>RECEITAS COM ENTREGAS</v>
      </c>
      <c r="P1587">
        <v>753.33</v>
      </c>
      <c r="Q1587" t="str">
        <f>"FARMÁCIA INDIANA LJ 101 (10043)"</f>
        <v>FARMÁCIA INDIANA LJ 101 (10043)</v>
      </c>
      <c r="R1587" t="str">
        <f t="shared" si="807"/>
        <v>RECEITAS COM ENTREGAS (303)</v>
      </c>
      <c r="S1587">
        <v>1302</v>
      </c>
      <c r="T1587">
        <v>1004</v>
      </c>
      <c r="U1587" t="s">
        <v>19</v>
      </c>
    </row>
    <row r="1588" spans="1:21">
      <c r="A1588" t="str">
        <f t="shared" si="797"/>
        <v>02/04/2025</v>
      </c>
      <c r="B1588" t="str">
        <f t="shared" si="808"/>
        <v>ENTRADA</v>
      </c>
      <c r="C1588" t="str">
        <f t="shared" si="798"/>
        <v>NFSE</v>
      </c>
      <c r="D1588" t="str">
        <f t="shared" si="799"/>
        <v>2822</v>
      </c>
      <c r="E1588" t="str">
        <f t="shared" si="800"/>
        <v>COM</v>
      </c>
      <c r="F1588" t="str">
        <f t="shared" si="801"/>
        <v>FARMÁCIA INDIANA LJ 1 (10126)</v>
      </c>
      <c r="G1588" t="str">
        <f t="shared" si="802"/>
        <v>Serv.Prest. 17/03/2025 a 23/03/2025 - RPS: 594 - NFSe: 2822</v>
      </c>
      <c r="H1588" t="str">
        <f t="shared" si="803"/>
        <v>02/04/2025</v>
      </c>
      <c r="I1588" t="str">
        <f t="shared" si="804"/>
        <v>24/03/2025</v>
      </c>
      <c r="J1588" t="str">
        <f t="shared" si="805"/>
        <v>02/04/2025</v>
      </c>
      <c r="M1588">
        <v>303</v>
      </c>
      <c r="N1588" t="str">
        <f t="shared" si="806"/>
        <v>RECEITAS COM ENTREGAS</v>
      </c>
      <c r="P1588">
        <v>71.55</v>
      </c>
      <c r="Q1588" t="str">
        <f>"FARMÁCIA INDIANA LJ 103 (10044)"</f>
        <v>FARMÁCIA INDIANA LJ 103 (10044)</v>
      </c>
      <c r="R1588" t="str">
        <f t="shared" si="807"/>
        <v>RECEITAS COM ENTREGAS (303)</v>
      </c>
      <c r="S1588">
        <v>1302</v>
      </c>
      <c r="T1588">
        <v>1004</v>
      </c>
      <c r="U1588" t="s">
        <v>19</v>
      </c>
    </row>
    <row r="1589" spans="1:21">
      <c r="A1589" t="str">
        <f t="shared" si="797"/>
        <v>02/04/2025</v>
      </c>
      <c r="B1589" t="str">
        <f t="shared" si="808"/>
        <v>ENTRADA</v>
      </c>
      <c r="C1589" t="str">
        <f t="shared" si="798"/>
        <v>NFSE</v>
      </c>
      <c r="D1589" t="str">
        <f t="shared" si="799"/>
        <v>2822</v>
      </c>
      <c r="E1589" t="str">
        <f t="shared" si="800"/>
        <v>COM</v>
      </c>
      <c r="F1589" t="str">
        <f t="shared" si="801"/>
        <v>FARMÁCIA INDIANA LJ 1 (10126)</v>
      </c>
      <c r="G1589" t="str">
        <f t="shared" si="802"/>
        <v>Serv.Prest. 17/03/2025 a 23/03/2025 - RPS: 594 - NFSe: 2822</v>
      </c>
      <c r="H1589" t="str">
        <f t="shared" si="803"/>
        <v>02/04/2025</v>
      </c>
      <c r="I1589" t="str">
        <f t="shared" si="804"/>
        <v>24/03/2025</v>
      </c>
      <c r="J1589" t="str">
        <f t="shared" si="805"/>
        <v>02/04/2025</v>
      </c>
      <c r="M1589">
        <v>303</v>
      </c>
      <c r="N1589" t="str">
        <f t="shared" si="806"/>
        <v>RECEITAS COM ENTREGAS</v>
      </c>
      <c r="P1589">
        <v>160.66</v>
      </c>
      <c r="Q1589" t="str">
        <f>"FARMÁCIA INDIANA LJ 109 (10047)"</f>
        <v>FARMÁCIA INDIANA LJ 109 (10047)</v>
      </c>
      <c r="R1589" t="str">
        <f t="shared" si="807"/>
        <v>RECEITAS COM ENTREGAS (303)</v>
      </c>
      <c r="S1589">
        <v>1302</v>
      </c>
      <c r="T1589">
        <v>1004</v>
      </c>
      <c r="U1589" t="s">
        <v>19</v>
      </c>
    </row>
    <row r="1590" spans="1:21">
      <c r="A1590" t="str">
        <f t="shared" si="797"/>
        <v>02/04/2025</v>
      </c>
      <c r="B1590" t="str">
        <f t="shared" si="808"/>
        <v>ENTRADA</v>
      </c>
      <c r="C1590" t="str">
        <f t="shared" si="798"/>
        <v>NFSE</v>
      </c>
      <c r="D1590" t="str">
        <f t="shared" si="799"/>
        <v>2822</v>
      </c>
      <c r="E1590" t="str">
        <f t="shared" si="800"/>
        <v>COM</v>
      </c>
      <c r="F1590" t="str">
        <f t="shared" si="801"/>
        <v>FARMÁCIA INDIANA LJ 1 (10126)</v>
      </c>
      <c r="G1590" t="str">
        <f t="shared" si="802"/>
        <v>Serv.Prest. 17/03/2025 a 23/03/2025 - RPS: 594 - NFSe: 2822</v>
      </c>
      <c r="H1590" t="str">
        <f t="shared" si="803"/>
        <v>02/04/2025</v>
      </c>
      <c r="I1590" t="str">
        <f t="shared" si="804"/>
        <v>24/03/2025</v>
      </c>
      <c r="J1590" t="str">
        <f t="shared" si="805"/>
        <v>02/04/2025</v>
      </c>
      <c r="M1590">
        <v>303</v>
      </c>
      <c r="N1590" t="str">
        <f t="shared" si="806"/>
        <v>RECEITAS COM ENTREGAS</v>
      </c>
      <c r="P1590">
        <v>480.62</v>
      </c>
      <c r="Q1590" t="str">
        <f>"FARMÁCIA INDIANA LJ 110 (10048)"</f>
        <v>FARMÁCIA INDIANA LJ 110 (10048)</v>
      </c>
      <c r="R1590" t="str">
        <f t="shared" si="807"/>
        <v>RECEITAS COM ENTREGAS (303)</v>
      </c>
      <c r="S1590">
        <v>1302</v>
      </c>
      <c r="T1590">
        <v>1004</v>
      </c>
      <c r="U1590" t="s">
        <v>19</v>
      </c>
    </row>
    <row r="1591" spans="1:21">
      <c r="A1591" t="str">
        <f t="shared" si="797"/>
        <v>02/04/2025</v>
      </c>
      <c r="B1591" t="str">
        <f t="shared" si="808"/>
        <v>ENTRADA</v>
      </c>
      <c r="C1591" t="str">
        <f t="shared" si="798"/>
        <v>NFSE</v>
      </c>
      <c r="D1591" t="str">
        <f t="shared" si="799"/>
        <v>2822</v>
      </c>
      <c r="E1591" t="str">
        <f t="shared" si="800"/>
        <v>COM</v>
      </c>
      <c r="F1591" t="str">
        <f t="shared" si="801"/>
        <v>FARMÁCIA INDIANA LJ 1 (10126)</v>
      </c>
      <c r="G1591" t="str">
        <f t="shared" si="802"/>
        <v>Serv.Prest. 17/03/2025 a 23/03/2025 - RPS: 594 - NFSe: 2822</v>
      </c>
      <c r="H1591" t="str">
        <f t="shared" si="803"/>
        <v>02/04/2025</v>
      </c>
      <c r="I1591" t="str">
        <f t="shared" si="804"/>
        <v>24/03/2025</v>
      </c>
      <c r="J1591" t="str">
        <f t="shared" si="805"/>
        <v>02/04/2025</v>
      </c>
      <c r="M1591">
        <v>303</v>
      </c>
      <c r="N1591" t="str">
        <f t="shared" si="806"/>
        <v>RECEITAS COM ENTREGAS</v>
      </c>
      <c r="P1591">
        <v>64.8</v>
      </c>
      <c r="Q1591" t="str">
        <f>"FARMÁCIA INDIANA LJ 111 (10049)"</f>
        <v>FARMÁCIA INDIANA LJ 111 (10049)</v>
      </c>
      <c r="R1591" t="str">
        <f t="shared" si="807"/>
        <v>RECEITAS COM ENTREGAS (303)</v>
      </c>
      <c r="S1591">
        <v>1302</v>
      </c>
      <c r="T1591">
        <v>1004</v>
      </c>
      <c r="U1591" t="s">
        <v>19</v>
      </c>
    </row>
    <row r="1592" spans="1:21">
      <c r="A1592" t="str">
        <f t="shared" si="797"/>
        <v>02/04/2025</v>
      </c>
      <c r="B1592" t="str">
        <f t="shared" si="808"/>
        <v>ENTRADA</v>
      </c>
      <c r="C1592" t="str">
        <f t="shared" si="798"/>
        <v>NFSE</v>
      </c>
      <c r="D1592" t="str">
        <f t="shared" si="799"/>
        <v>2822</v>
      </c>
      <c r="E1592" t="str">
        <f t="shared" si="800"/>
        <v>COM</v>
      </c>
      <c r="F1592" t="str">
        <f t="shared" si="801"/>
        <v>FARMÁCIA INDIANA LJ 1 (10126)</v>
      </c>
      <c r="G1592" t="str">
        <f t="shared" si="802"/>
        <v>Serv.Prest. 17/03/2025 a 23/03/2025 - RPS: 594 - NFSe: 2822</v>
      </c>
      <c r="H1592" t="str">
        <f t="shared" si="803"/>
        <v>02/04/2025</v>
      </c>
      <c r="I1592" t="str">
        <f t="shared" si="804"/>
        <v>24/03/2025</v>
      </c>
      <c r="J1592" t="str">
        <f t="shared" si="805"/>
        <v>02/04/2025</v>
      </c>
      <c r="M1592">
        <v>303</v>
      </c>
      <c r="N1592" t="str">
        <f t="shared" si="806"/>
        <v>RECEITAS COM ENTREGAS</v>
      </c>
      <c r="P1592">
        <v>126.9</v>
      </c>
      <c r="Q1592" t="str">
        <f>"FARMÁCIA INDIANA LJ 112 (10050)"</f>
        <v>FARMÁCIA INDIANA LJ 112 (10050)</v>
      </c>
      <c r="R1592" t="str">
        <f t="shared" si="807"/>
        <v>RECEITAS COM ENTREGAS (303)</v>
      </c>
      <c r="S1592">
        <v>1302</v>
      </c>
      <c r="T1592">
        <v>1004</v>
      </c>
      <c r="U1592" t="s">
        <v>19</v>
      </c>
    </row>
    <row r="1593" spans="1:21">
      <c r="A1593" t="str">
        <f t="shared" si="797"/>
        <v>02/04/2025</v>
      </c>
      <c r="B1593" t="str">
        <f t="shared" si="808"/>
        <v>ENTRADA</v>
      </c>
      <c r="C1593" t="str">
        <f t="shared" si="798"/>
        <v>NFSE</v>
      </c>
      <c r="D1593" t="str">
        <f t="shared" si="799"/>
        <v>2822</v>
      </c>
      <c r="E1593" t="str">
        <f t="shared" si="800"/>
        <v>COM</v>
      </c>
      <c r="F1593" t="str">
        <f t="shared" si="801"/>
        <v>FARMÁCIA INDIANA LJ 1 (10126)</v>
      </c>
      <c r="G1593" t="str">
        <f t="shared" si="802"/>
        <v>Serv.Prest. 17/03/2025 a 23/03/2025 - RPS: 594 - NFSe: 2822</v>
      </c>
      <c r="H1593" t="str">
        <f t="shared" si="803"/>
        <v>02/04/2025</v>
      </c>
      <c r="I1593" t="str">
        <f t="shared" si="804"/>
        <v>24/03/2025</v>
      </c>
      <c r="J1593" t="str">
        <f t="shared" si="805"/>
        <v>02/04/2025</v>
      </c>
      <c r="M1593">
        <v>303</v>
      </c>
      <c r="N1593" t="str">
        <f t="shared" si="806"/>
        <v>RECEITAS COM ENTREGAS</v>
      </c>
      <c r="P1593">
        <v>126.9</v>
      </c>
      <c r="Q1593" t="str">
        <f>"FARMÁCIA INDIANA LJ 116 (10051)"</f>
        <v>FARMÁCIA INDIANA LJ 116 (10051)</v>
      </c>
      <c r="R1593" t="str">
        <f t="shared" si="807"/>
        <v>RECEITAS COM ENTREGAS (303)</v>
      </c>
      <c r="S1593">
        <v>1302</v>
      </c>
      <c r="T1593">
        <v>1004</v>
      </c>
      <c r="U1593" t="s">
        <v>19</v>
      </c>
    </row>
    <row r="1594" spans="1:21">
      <c r="A1594" t="str">
        <f t="shared" si="797"/>
        <v>02/04/2025</v>
      </c>
      <c r="B1594" t="str">
        <f t="shared" si="808"/>
        <v>ENTRADA</v>
      </c>
      <c r="C1594" t="str">
        <f t="shared" si="798"/>
        <v>NFSE</v>
      </c>
      <c r="D1594" t="str">
        <f t="shared" si="799"/>
        <v>2822</v>
      </c>
      <c r="E1594" t="str">
        <f t="shared" si="800"/>
        <v>COM</v>
      </c>
      <c r="F1594" t="str">
        <f t="shared" si="801"/>
        <v>FARMÁCIA INDIANA LJ 1 (10126)</v>
      </c>
      <c r="G1594" t="str">
        <f t="shared" si="802"/>
        <v>Serv.Prest. 17/03/2025 a 23/03/2025 - RPS: 594 - NFSe: 2822</v>
      </c>
      <c r="H1594" t="str">
        <f t="shared" si="803"/>
        <v>02/04/2025</v>
      </c>
      <c r="I1594" t="str">
        <f t="shared" si="804"/>
        <v>24/03/2025</v>
      </c>
      <c r="J1594" t="str">
        <f t="shared" si="805"/>
        <v>02/04/2025</v>
      </c>
      <c r="M1594">
        <v>303</v>
      </c>
      <c r="N1594" t="str">
        <f t="shared" si="806"/>
        <v>RECEITAS COM ENTREGAS</v>
      </c>
      <c r="P1594">
        <v>143.11000000000001</v>
      </c>
      <c r="Q1594" t="str">
        <f>"FARMÁCIA INDIANA LJ 118 (10052)"</f>
        <v>FARMÁCIA INDIANA LJ 118 (10052)</v>
      </c>
      <c r="R1594" t="str">
        <f t="shared" si="807"/>
        <v>RECEITAS COM ENTREGAS (303)</v>
      </c>
      <c r="S1594">
        <v>1302</v>
      </c>
      <c r="T1594">
        <v>1004</v>
      </c>
      <c r="U1594" t="s">
        <v>19</v>
      </c>
    </row>
    <row r="1595" spans="1:21">
      <c r="A1595" t="str">
        <f t="shared" si="797"/>
        <v>02/04/2025</v>
      </c>
      <c r="B1595" t="str">
        <f t="shared" si="808"/>
        <v>ENTRADA</v>
      </c>
      <c r="C1595" t="str">
        <f t="shared" si="798"/>
        <v>NFSE</v>
      </c>
      <c r="D1595" t="str">
        <f t="shared" si="799"/>
        <v>2822</v>
      </c>
      <c r="E1595" t="str">
        <f t="shared" si="800"/>
        <v>COM</v>
      </c>
      <c r="F1595" t="str">
        <f t="shared" si="801"/>
        <v>FARMÁCIA INDIANA LJ 1 (10126)</v>
      </c>
      <c r="G1595" t="str">
        <f t="shared" si="802"/>
        <v>Serv.Prest. 17/03/2025 a 23/03/2025 - RPS: 594 - NFSe: 2822</v>
      </c>
      <c r="H1595" t="str">
        <f t="shared" si="803"/>
        <v>02/04/2025</v>
      </c>
      <c r="I1595" t="str">
        <f t="shared" si="804"/>
        <v>24/03/2025</v>
      </c>
      <c r="J1595" t="str">
        <f t="shared" si="805"/>
        <v>02/04/2025</v>
      </c>
      <c r="M1595">
        <v>303</v>
      </c>
      <c r="N1595" t="str">
        <f t="shared" si="806"/>
        <v>RECEITAS COM ENTREGAS</v>
      </c>
      <c r="P1595">
        <v>126.9</v>
      </c>
      <c r="Q1595" t="str">
        <f>"FARMÁCIA INDIANA LJ 121 (10054)"</f>
        <v>FARMÁCIA INDIANA LJ 121 (10054)</v>
      </c>
      <c r="R1595" t="str">
        <f t="shared" si="807"/>
        <v>RECEITAS COM ENTREGAS (303)</v>
      </c>
      <c r="S1595">
        <v>1302</v>
      </c>
      <c r="T1595">
        <v>1004</v>
      </c>
      <c r="U1595" t="s">
        <v>19</v>
      </c>
    </row>
    <row r="1596" spans="1:21">
      <c r="A1596" t="str">
        <f t="shared" si="797"/>
        <v>02/04/2025</v>
      </c>
      <c r="B1596" t="str">
        <f t="shared" si="808"/>
        <v>ENTRADA</v>
      </c>
      <c r="C1596" t="str">
        <f t="shared" si="798"/>
        <v>NFSE</v>
      </c>
      <c r="D1596" t="str">
        <f t="shared" si="799"/>
        <v>2822</v>
      </c>
      <c r="E1596" t="str">
        <f t="shared" si="800"/>
        <v>COM</v>
      </c>
      <c r="F1596" t="str">
        <f t="shared" si="801"/>
        <v>FARMÁCIA INDIANA LJ 1 (10126)</v>
      </c>
      <c r="G1596" t="str">
        <f t="shared" si="802"/>
        <v>Serv.Prest. 17/03/2025 a 23/03/2025 - RPS: 594 - NFSe: 2822</v>
      </c>
      <c r="H1596" t="str">
        <f t="shared" si="803"/>
        <v>02/04/2025</v>
      </c>
      <c r="I1596" t="str">
        <f t="shared" si="804"/>
        <v>24/03/2025</v>
      </c>
      <c r="J1596" t="str">
        <f t="shared" si="805"/>
        <v>02/04/2025</v>
      </c>
      <c r="M1596">
        <v>303</v>
      </c>
      <c r="N1596" t="str">
        <f t="shared" si="806"/>
        <v>RECEITAS COM ENTREGAS</v>
      </c>
      <c r="P1596">
        <v>126.9</v>
      </c>
      <c r="Q1596" t="str">
        <f>"FARMÁCIA INDIANA LJ 128 (10057)"</f>
        <v>FARMÁCIA INDIANA LJ 128 (10057)</v>
      </c>
      <c r="R1596" t="str">
        <f t="shared" si="807"/>
        <v>RECEITAS COM ENTREGAS (303)</v>
      </c>
      <c r="S1596">
        <v>1302</v>
      </c>
      <c r="T1596">
        <v>1004</v>
      </c>
      <c r="U1596" t="s">
        <v>19</v>
      </c>
    </row>
    <row r="1597" spans="1:21">
      <c r="A1597" t="str">
        <f t="shared" si="797"/>
        <v>02/04/2025</v>
      </c>
      <c r="B1597" t="str">
        <f t="shared" si="808"/>
        <v>ENTRADA</v>
      </c>
      <c r="C1597" t="str">
        <f t="shared" si="798"/>
        <v>NFSE</v>
      </c>
      <c r="D1597" t="str">
        <f t="shared" si="799"/>
        <v>2822</v>
      </c>
      <c r="E1597" t="str">
        <f t="shared" si="800"/>
        <v>COM</v>
      </c>
      <c r="F1597" t="str">
        <f t="shared" si="801"/>
        <v>FARMÁCIA INDIANA LJ 1 (10126)</v>
      </c>
      <c r="G1597" t="str">
        <f t="shared" si="802"/>
        <v>Serv.Prest. 17/03/2025 a 23/03/2025 - RPS: 594 - NFSe: 2822</v>
      </c>
      <c r="H1597" t="str">
        <f t="shared" si="803"/>
        <v>02/04/2025</v>
      </c>
      <c r="I1597" t="str">
        <f t="shared" si="804"/>
        <v>24/03/2025</v>
      </c>
      <c r="J1597" t="str">
        <f t="shared" si="805"/>
        <v>02/04/2025</v>
      </c>
      <c r="M1597">
        <v>303</v>
      </c>
      <c r="N1597" t="str">
        <f t="shared" si="806"/>
        <v>RECEITAS COM ENTREGAS</v>
      </c>
      <c r="P1597">
        <v>28.35</v>
      </c>
      <c r="Q1597" t="str">
        <f>"FARMÁCIA INDIANA LJ 140 (10064)"</f>
        <v>FARMÁCIA INDIANA LJ 140 (10064)</v>
      </c>
      <c r="R1597" t="str">
        <f t="shared" si="807"/>
        <v>RECEITAS COM ENTREGAS (303)</v>
      </c>
      <c r="S1597">
        <v>1302</v>
      </c>
      <c r="T1597">
        <v>1004</v>
      </c>
      <c r="U1597" t="s">
        <v>19</v>
      </c>
    </row>
    <row r="1598" spans="1:21">
      <c r="A1598" t="str">
        <f t="shared" si="797"/>
        <v>02/04/2025</v>
      </c>
      <c r="B1598" t="str">
        <f t="shared" si="808"/>
        <v>ENTRADA</v>
      </c>
      <c r="C1598" t="str">
        <f t="shared" si="798"/>
        <v>NFSE</v>
      </c>
      <c r="D1598" t="str">
        <f t="shared" si="799"/>
        <v>2822</v>
      </c>
      <c r="E1598" t="str">
        <f t="shared" si="800"/>
        <v>COM</v>
      </c>
      <c r="F1598" t="str">
        <f t="shared" si="801"/>
        <v>FARMÁCIA INDIANA LJ 1 (10126)</v>
      </c>
      <c r="G1598" t="str">
        <f t="shared" si="802"/>
        <v>Serv.Prest. 17/03/2025 a 23/03/2025 - RPS: 594 - NFSe: 2822</v>
      </c>
      <c r="H1598" t="str">
        <f t="shared" si="803"/>
        <v>02/04/2025</v>
      </c>
      <c r="I1598" t="str">
        <f t="shared" si="804"/>
        <v>24/03/2025</v>
      </c>
      <c r="J1598" t="str">
        <f t="shared" si="805"/>
        <v>02/04/2025</v>
      </c>
      <c r="M1598">
        <v>303</v>
      </c>
      <c r="N1598" t="str">
        <f t="shared" si="806"/>
        <v>RECEITAS COM ENTREGAS</v>
      </c>
      <c r="P1598">
        <v>20.25</v>
      </c>
      <c r="Q1598" t="str">
        <f>"FARMÁCIA INDIANA LJ 141 (10065)"</f>
        <v>FARMÁCIA INDIANA LJ 141 (10065)</v>
      </c>
      <c r="R1598" t="str">
        <f t="shared" si="807"/>
        <v>RECEITAS COM ENTREGAS (303)</v>
      </c>
      <c r="S1598">
        <v>1302</v>
      </c>
      <c r="T1598">
        <v>1004</v>
      </c>
      <c r="U1598" t="s">
        <v>19</v>
      </c>
    </row>
    <row r="1599" spans="1:21">
      <c r="A1599" t="str">
        <f t="shared" si="797"/>
        <v>02/04/2025</v>
      </c>
      <c r="B1599" t="str">
        <f t="shared" si="808"/>
        <v>ENTRADA</v>
      </c>
      <c r="C1599" t="str">
        <f t="shared" si="798"/>
        <v>NFSE</v>
      </c>
      <c r="D1599" t="str">
        <f t="shared" si="799"/>
        <v>2822</v>
      </c>
      <c r="E1599" t="str">
        <f t="shared" si="800"/>
        <v>COM</v>
      </c>
      <c r="F1599" t="str">
        <f t="shared" si="801"/>
        <v>FARMÁCIA INDIANA LJ 1 (10126)</v>
      </c>
      <c r="G1599" t="str">
        <f t="shared" si="802"/>
        <v>Serv.Prest. 17/03/2025 a 23/03/2025 - RPS: 594 - NFSe: 2822</v>
      </c>
      <c r="H1599" t="str">
        <f t="shared" si="803"/>
        <v>02/04/2025</v>
      </c>
      <c r="I1599" t="str">
        <f t="shared" si="804"/>
        <v>24/03/2025</v>
      </c>
      <c r="J1599" t="str">
        <f t="shared" si="805"/>
        <v>02/04/2025</v>
      </c>
      <c r="M1599">
        <v>303</v>
      </c>
      <c r="N1599" t="str">
        <f t="shared" si="806"/>
        <v>RECEITAS COM ENTREGAS</v>
      </c>
      <c r="P1599">
        <v>658.82</v>
      </c>
      <c r="Q1599" t="str">
        <f>"FARMÁCIA INDIANA LJ 142 (10066)"</f>
        <v>FARMÁCIA INDIANA LJ 142 (10066)</v>
      </c>
      <c r="R1599" t="str">
        <f t="shared" si="807"/>
        <v>RECEITAS COM ENTREGAS (303)</v>
      </c>
      <c r="S1599">
        <v>1302</v>
      </c>
      <c r="T1599">
        <v>1004</v>
      </c>
      <c r="U1599" t="s">
        <v>19</v>
      </c>
    </row>
    <row r="1600" spans="1:21">
      <c r="A1600" t="str">
        <f t="shared" si="797"/>
        <v>02/04/2025</v>
      </c>
      <c r="B1600" t="str">
        <f t="shared" si="808"/>
        <v>ENTRADA</v>
      </c>
      <c r="C1600" t="str">
        <f t="shared" si="798"/>
        <v>NFSE</v>
      </c>
      <c r="D1600" t="str">
        <f t="shared" si="799"/>
        <v>2822</v>
      </c>
      <c r="E1600" t="str">
        <f t="shared" si="800"/>
        <v>COM</v>
      </c>
      <c r="F1600" t="str">
        <f t="shared" si="801"/>
        <v>FARMÁCIA INDIANA LJ 1 (10126)</v>
      </c>
      <c r="G1600" t="str">
        <f t="shared" si="802"/>
        <v>Serv.Prest. 17/03/2025 a 23/03/2025 - RPS: 594 - NFSe: 2822</v>
      </c>
      <c r="H1600" t="str">
        <f t="shared" si="803"/>
        <v>02/04/2025</v>
      </c>
      <c r="I1600" t="str">
        <f t="shared" si="804"/>
        <v>24/03/2025</v>
      </c>
      <c r="J1600" t="str">
        <f t="shared" si="805"/>
        <v>02/04/2025</v>
      </c>
      <c r="M1600">
        <v>303</v>
      </c>
      <c r="N1600" t="str">
        <f t="shared" si="806"/>
        <v>RECEITAS COM ENTREGAS</v>
      </c>
      <c r="P1600">
        <v>66.150000000000006</v>
      </c>
      <c r="Q1600" t="str">
        <f>"FARMÁCIA INDIANA LJ 143 (10067)"</f>
        <v>FARMÁCIA INDIANA LJ 143 (10067)</v>
      </c>
      <c r="R1600" t="str">
        <f t="shared" si="807"/>
        <v>RECEITAS COM ENTREGAS (303)</v>
      </c>
      <c r="S1600">
        <v>1302</v>
      </c>
      <c r="T1600">
        <v>1004</v>
      </c>
      <c r="U1600" t="s">
        <v>19</v>
      </c>
    </row>
    <row r="1601" spans="1:21">
      <c r="A1601" t="str">
        <f t="shared" si="797"/>
        <v>02/04/2025</v>
      </c>
      <c r="B1601" t="str">
        <f t="shared" si="808"/>
        <v>ENTRADA</v>
      </c>
      <c r="C1601" t="str">
        <f t="shared" si="798"/>
        <v>NFSE</v>
      </c>
      <c r="D1601" t="str">
        <f t="shared" si="799"/>
        <v>2822</v>
      </c>
      <c r="E1601" t="str">
        <f t="shared" si="800"/>
        <v>COM</v>
      </c>
      <c r="F1601" t="str">
        <f t="shared" si="801"/>
        <v>FARMÁCIA INDIANA LJ 1 (10126)</v>
      </c>
      <c r="G1601" t="str">
        <f t="shared" si="802"/>
        <v>Serv.Prest. 17/03/2025 a 23/03/2025 - RPS: 594 - NFSe: 2822</v>
      </c>
      <c r="H1601" t="str">
        <f t="shared" si="803"/>
        <v>02/04/2025</v>
      </c>
      <c r="I1601" t="str">
        <f t="shared" si="804"/>
        <v>24/03/2025</v>
      </c>
      <c r="J1601" t="str">
        <f t="shared" si="805"/>
        <v>02/04/2025</v>
      </c>
      <c r="M1601">
        <v>303</v>
      </c>
      <c r="N1601" t="str">
        <f t="shared" si="806"/>
        <v>RECEITAS COM ENTREGAS</v>
      </c>
      <c r="P1601">
        <v>155.26</v>
      </c>
      <c r="Q1601" t="str">
        <f>"FARMÁCIA INDIANA LJ 152 (10069)"</f>
        <v>FARMÁCIA INDIANA LJ 152 (10069)</v>
      </c>
      <c r="R1601" t="str">
        <f t="shared" si="807"/>
        <v>RECEITAS COM ENTREGAS (303)</v>
      </c>
      <c r="S1601">
        <v>1302</v>
      </c>
      <c r="T1601">
        <v>1004</v>
      </c>
      <c r="U1601" t="s">
        <v>19</v>
      </c>
    </row>
    <row r="1602" spans="1:21">
      <c r="A1602" t="str">
        <f t="shared" si="797"/>
        <v>02/04/2025</v>
      </c>
      <c r="B1602" t="str">
        <f t="shared" si="808"/>
        <v>ENTRADA</v>
      </c>
      <c r="C1602" t="str">
        <f t="shared" si="798"/>
        <v>NFSE</v>
      </c>
      <c r="D1602" t="str">
        <f t="shared" si="799"/>
        <v>2822</v>
      </c>
      <c r="E1602" t="str">
        <f t="shared" si="800"/>
        <v>COM</v>
      </c>
      <c r="F1602" t="str">
        <f t="shared" si="801"/>
        <v>FARMÁCIA INDIANA LJ 1 (10126)</v>
      </c>
      <c r="G1602" t="str">
        <f t="shared" si="802"/>
        <v>Serv.Prest. 17/03/2025 a 23/03/2025 - RPS: 594 - NFSe: 2822</v>
      </c>
      <c r="H1602" t="str">
        <f t="shared" si="803"/>
        <v>02/04/2025</v>
      </c>
      <c r="I1602" t="str">
        <f t="shared" si="804"/>
        <v>24/03/2025</v>
      </c>
      <c r="J1602" t="str">
        <f t="shared" si="805"/>
        <v>02/04/2025</v>
      </c>
      <c r="M1602">
        <v>303</v>
      </c>
      <c r="N1602" t="str">
        <f t="shared" si="806"/>
        <v>RECEITAS COM ENTREGAS</v>
      </c>
      <c r="P1602">
        <v>39.15</v>
      </c>
      <c r="Q1602" t="str">
        <f>"FARMÁCIA INDIANA LJ 154 (10070)"</f>
        <v>FARMÁCIA INDIANA LJ 154 (10070)</v>
      </c>
      <c r="R1602" t="str">
        <f t="shared" si="807"/>
        <v>RECEITAS COM ENTREGAS (303)</v>
      </c>
      <c r="S1602">
        <v>1302</v>
      </c>
      <c r="T1602">
        <v>1004</v>
      </c>
      <c r="U1602" t="s">
        <v>19</v>
      </c>
    </row>
    <row r="1603" spans="1:21">
      <c r="A1603" t="str">
        <f t="shared" si="797"/>
        <v>02/04/2025</v>
      </c>
      <c r="B1603" t="str">
        <f t="shared" si="808"/>
        <v>ENTRADA</v>
      </c>
      <c r="C1603" t="str">
        <f t="shared" si="798"/>
        <v>NFSE</v>
      </c>
      <c r="D1603" t="str">
        <f t="shared" si="799"/>
        <v>2822</v>
      </c>
      <c r="E1603" t="str">
        <f t="shared" si="800"/>
        <v>COM</v>
      </c>
      <c r="F1603" t="str">
        <f t="shared" si="801"/>
        <v>FARMÁCIA INDIANA LJ 1 (10126)</v>
      </c>
      <c r="G1603" t="str">
        <f t="shared" si="802"/>
        <v>Serv.Prest. 17/03/2025 a 23/03/2025 - RPS: 594 - NFSe: 2822</v>
      </c>
      <c r="H1603" t="str">
        <f t="shared" si="803"/>
        <v>02/04/2025</v>
      </c>
      <c r="I1603" t="str">
        <f t="shared" si="804"/>
        <v>24/03/2025</v>
      </c>
      <c r="J1603" t="str">
        <f t="shared" si="805"/>
        <v>02/04/2025</v>
      </c>
      <c r="M1603">
        <v>303</v>
      </c>
      <c r="N1603" t="str">
        <f t="shared" si="806"/>
        <v>RECEITAS COM ENTREGAS</v>
      </c>
      <c r="P1603">
        <v>342.91</v>
      </c>
      <c r="Q1603" t="str">
        <f>"FARMÁCIA INDIANA LJ 171 (10074)"</f>
        <v>FARMÁCIA INDIANA LJ 171 (10074)</v>
      </c>
      <c r="R1603" t="str">
        <f t="shared" si="807"/>
        <v>RECEITAS COM ENTREGAS (303)</v>
      </c>
      <c r="S1603">
        <v>1302</v>
      </c>
      <c r="T1603">
        <v>1004</v>
      </c>
      <c r="U1603" t="s">
        <v>19</v>
      </c>
    </row>
    <row r="1604" spans="1:21">
      <c r="A1604" t="str">
        <f t="shared" si="797"/>
        <v>02/04/2025</v>
      </c>
      <c r="B1604" t="str">
        <f t="shared" si="808"/>
        <v>ENTRADA</v>
      </c>
      <c r="C1604" t="str">
        <f t="shared" si="798"/>
        <v>NFSE</v>
      </c>
      <c r="D1604" t="str">
        <f t="shared" si="799"/>
        <v>2822</v>
      </c>
      <c r="E1604" t="str">
        <f t="shared" si="800"/>
        <v>COM</v>
      </c>
      <c r="F1604" t="str">
        <f t="shared" si="801"/>
        <v>FARMÁCIA INDIANA LJ 1 (10126)</v>
      </c>
      <c r="G1604" t="str">
        <f t="shared" si="802"/>
        <v>Serv.Prest. 17/03/2025 a 23/03/2025 - RPS: 594 - NFSe: 2822</v>
      </c>
      <c r="H1604" t="str">
        <f t="shared" si="803"/>
        <v>02/04/2025</v>
      </c>
      <c r="I1604" t="str">
        <f t="shared" si="804"/>
        <v>24/03/2025</v>
      </c>
      <c r="J1604" t="str">
        <f t="shared" si="805"/>
        <v>02/04/2025</v>
      </c>
      <c r="M1604">
        <v>303</v>
      </c>
      <c r="N1604" t="str">
        <f t="shared" si="806"/>
        <v>RECEITAS COM ENTREGAS</v>
      </c>
      <c r="P1604">
        <v>130.94999999999999</v>
      </c>
      <c r="Q1604" t="str">
        <f>"FARMÁCIA INDIANA LJ 175 (10076)"</f>
        <v>FARMÁCIA INDIANA LJ 175 (10076)</v>
      </c>
      <c r="R1604" t="str">
        <f t="shared" si="807"/>
        <v>RECEITAS COM ENTREGAS (303)</v>
      </c>
      <c r="S1604">
        <v>1302</v>
      </c>
      <c r="T1604">
        <v>1004</v>
      </c>
      <c r="U1604" t="s">
        <v>19</v>
      </c>
    </row>
    <row r="1605" spans="1:21">
      <c r="A1605" t="str">
        <f t="shared" ref="A1605:A1636" si="809">("02/04/2025")</f>
        <v>02/04/2025</v>
      </c>
      <c r="B1605" t="str">
        <f t="shared" si="808"/>
        <v>ENTRADA</v>
      </c>
      <c r="C1605" t="str">
        <f t="shared" ref="C1605:C1636" si="810">"NFSE"</f>
        <v>NFSE</v>
      </c>
      <c r="D1605" t="str">
        <f t="shared" si="799"/>
        <v>2822</v>
      </c>
      <c r="E1605" t="str">
        <f t="shared" ref="E1605:E1636" si="811">"COM"</f>
        <v>COM</v>
      </c>
      <c r="F1605" t="str">
        <f t="shared" si="801"/>
        <v>FARMÁCIA INDIANA LJ 1 (10126)</v>
      </c>
      <c r="G1605" t="str">
        <f t="shared" si="802"/>
        <v>Serv.Prest. 17/03/2025 a 23/03/2025 - RPS: 594 - NFSe: 2822</v>
      </c>
      <c r="H1605" t="str">
        <f t="shared" ref="H1605:H1636" si="812">("02/04/2025")</f>
        <v>02/04/2025</v>
      </c>
      <c r="I1605" t="str">
        <f t="shared" ref="I1605:I1636" si="813">("24/03/2025")</f>
        <v>24/03/2025</v>
      </c>
      <c r="J1605" t="str">
        <f t="shared" ref="J1605:J1636" si="814">("02/04/2025")</f>
        <v>02/04/2025</v>
      </c>
      <c r="M1605">
        <v>303</v>
      </c>
      <c r="N1605" t="str">
        <f t="shared" ref="N1605:N1636" si="815">"RECEITAS COM ENTREGAS"</f>
        <v>RECEITAS COM ENTREGAS</v>
      </c>
      <c r="P1605">
        <v>114.75</v>
      </c>
      <c r="Q1605" t="str">
        <f>"FARMÁCIA INDIANA LJ 178 (10077)"</f>
        <v>FARMÁCIA INDIANA LJ 178 (10077)</v>
      </c>
      <c r="R1605" t="str">
        <f t="shared" ref="R1605:R1636" si="816">"RECEITAS COM ENTREGAS (303)"</f>
        <v>RECEITAS COM ENTREGAS (303)</v>
      </c>
      <c r="S1605">
        <v>1302</v>
      </c>
      <c r="T1605">
        <v>1004</v>
      </c>
      <c r="U1605" t="s">
        <v>19</v>
      </c>
    </row>
    <row r="1606" spans="1:21">
      <c r="A1606" t="str">
        <f t="shared" si="809"/>
        <v>02/04/2025</v>
      </c>
      <c r="B1606" t="str">
        <f t="shared" si="808"/>
        <v>ENTRADA</v>
      </c>
      <c r="C1606" t="str">
        <f t="shared" si="810"/>
        <v>NFSE</v>
      </c>
      <c r="D1606" t="str">
        <f t="shared" si="799"/>
        <v>2822</v>
      </c>
      <c r="E1606" t="str">
        <f t="shared" si="811"/>
        <v>COM</v>
      </c>
      <c r="F1606" t="str">
        <f t="shared" si="801"/>
        <v>FARMÁCIA INDIANA LJ 1 (10126)</v>
      </c>
      <c r="G1606" t="str">
        <f t="shared" si="802"/>
        <v>Serv.Prest. 17/03/2025 a 23/03/2025 - RPS: 594 - NFSe: 2822</v>
      </c>
      <c r="H1606" t="str">
        <f t="shared" si="812"/>
        <v>02/04/2025</v>
      </c>
      <c r="I1606" t="str">
        <f t="shared" si="813"/>
        <v>24/03/2025</v>
      </c>
      <c r="J1606" t="str">
        <f t="shared" si="814"/>
        <v>02/04/2025</v>
      </c>
      <c r="M1606">
        <v>303</v>
      </c>
      <c r="N1606" t="str">
        <f t="shared" si="815"/>
        <v>RECEITAS COM ENTREGAS</v>
      </c>
      <c r="P1606">
        <v>79.650000000000006</v>
      </c>
      <c r="Q1606" t="str">
        <f>"FARMÁCIA INDIANA LJ 182 (10079)"</f>
        <v>FARMÁCIA INDIANA LJ 182 (10079)</v>
      </c>
      <c r="R1606" t="str">
        <f t="shared" si="816"/>
        <v>RECEITAS COM ENTREGAS (303)</v>
      </c>
      <c r="S1606">
        <v>1302</v>
      </c>
      <c r="T1606">
        <v>1004</v>
      </c>
      <c r="U1606" t="s">
        <v>19</v>
      </c>
    </row>
    <row r="1607" spans="1:21">
      <c r="A1607" t="str">
        <f t="shared" si="809"/>
        <v>02/04/2025</v>
      </c>
      <c r="B1607" t="str">
        <f t="shared" si="808"/>
        <v>ENTRADA</v>
      </c>
      <c r="C1607" t="str">
        <f t="shared" si="810"/>
        <v>NFSE</v>
      </c>
      <c r="D1607" t="str">
        <f t="shared" si="799"/>
        <v>2822</v>
      </c>
      <c r="E1607" t="str">
        <f t="shared" si="811"/>
        <v>COM</v>
      </c>
      <c r="F1607" t="str">
        <f t="shared" si="801"/>
        <v>FARMÁCIA INDIANA LJ 1 (10126)</v>
      </c>
      <c r="G1607" t="str">
        <f t="shared" si="802"/>
        <v>Serv.Prest. 17/03/2025 a 23/03/2025 - RPS: 594 - NFSe: 2822</v>
      </c>
      <c r="H1607" t="str">
        <f t="shared" si="812"/>
        <v>02/04/2025</v>
      </c>
      <c r="I1607" t="str">
        <f t="shared" si="813"/>
        <v>24/03/2025</v>
      </c>
      <c r="J1607" t="str">
        <f t="shared" si="814"/>
        <v>02/04/2025</v>
      </c>
      <c r="M1607">
        <v>303</v>
      </c>
      <c r="N1607" t="str">
        <f t="shared" si="815"/>
        <v>RECEITAS COM ENTREGAS</v>
      </c>
      <c r="P1607">
        <v>40.5</v>
      </c>
      <c r="Q1607" t="str">
        <f>"FARMÁCIA INDIANA LJ 184 (10080)"</f>
        <v>FARMÁCIA INDIANA LJ 184 (10080)</v>
      </c>
      <c r="R1607" t="str">
        <f t="shared" si="816"/>
        <v>RECEITAS COM ENTREGAS (303)</v>
      </c>
      <c r="S1607">
        <v>1302</v>
      </c>
      <c r="T1607">
        <v>1004</v>
      </c>
      <c r="U1607" t="s">
        <v>19</v>
      </c>
    </row>
    <row r="1608" spans="1:21">
      <c r="A1608" t="str">
        <f t="shared" si="809"/>
        <v>02/04/2025</v>
      </c>
      <c r="B1608" t="str">
        <f t="shared" si="808"/>
        <v>ENTRADA</v>
      </c>
      <c r="C1608" t="str">
        <f t="shared" si="810"/>
        <v>NFSE</v>
      </c>
      <c r="D1608" t="str">
        <f t="shared" si="799"/>
        <v>2822</v>
      </c>
      <c r="E1608" t="str">
        <f t="shared" si="811"/>
        <v>COM</v>
      </c>
      <c r="F1608" t="str">
        <f t="shared" si="801"/>
        <v>FARMÁCIA INDIANA LJ 1 (10126)</v>
      </c>
      <c r="G1608" t="str">
        <f t="shared" si="802"/>
        <v>Serv.Prest. 17/03/2025 a 23/03/2025 - RPS: 594 - NFSe: 2822</v>
      </c>
      <c r="H1608" t="str">
        <f t="shared" si="812"/>
        <v>02/04/2025</v>
      </c>
      <c r="I1608" t="str">
        <f t="shared" si="813"/>
        <v>24/03/2025</v>
      </c>
      <c r="J1608" t="str">
        <f t="shared" si="814"/>
        <v>02/04/2025</v>
      </c>
      <c r="M1608">
        <v>303</v>
      </c>
      <c r="N1608" t="str">
        <f t="shared" si="815"/>
        <v>RECEITAS COM ENTREGAS</v>
      </c>
      <c r="P1608">
        <v>79.650000000000006</v>
      </c>
      <c r="Q1608" t="str">
        <f>"FARMÁCIA INDIANA LJ 186 (10081)"</f>
        <v>FARMÁCIA INDIANA LJ 186 (10081)</v>
      </c>
      <c r="R1608" t="str">
        <f t="shared" si="816"/>
        <v>RECEITAS COM ENTREGAS (303)</v>
      </c>
      <c r="S1608">
        <v>1302</v>
      </c>
      <c r="T1608">
        <v>1004</v>
      </c>
      <c r="U1608" t="s">
        <v>19</v>
      </c>
    </row>
    <row r="1609" spans="1:21">
      <c r="A1609" t="str">
        <f t="shared" si="809"/>
        <v>02/04/2025</v>
      </c>
      <c r="B1609" t="str">
        <f t="shared" si="808"/>
        <v>ENTRADA</v>
      </c>
      <c r="C1609" t="str">
        <f t="shared" si="810"/>
        <v>NFSE</v>
      </c>
      <c r="D1609" t="str">
        <f t="shared" si="799"/>
        <v>2822</v>
      </c>
      <c r="E1609" t="str">
        <f t="shared" si="811"/>
        <v>COM</v>
      </c>
      <c r="F1609" t="str">
        <f t="shared" si="801"/>
        <v>FARMÁCIA INDIANA LJ 1 (10126)</v>
      </c>
      <c r="G1609" t="str">
        <f t="shared" si="802"/>
        <v>Serv.Prest. 17/03/2025 a 23/03/2025 - RPS: 594 - NFSe: 2822</v>
      </c>
      <c r="H1609" t="str">
        <f t="shared" si="812"/>
        <v>02/04/2025</v>
      </c>
      <c r="I1609" t="str">
        <f t="shared" si="813"/>
        <v>24/03/2025</v>
      </c>
      <c r="J1609" t="str">
        <f t="shared" si="814"/>
        <v>02/04/2025</v>
      </c>
      <c r="M1609">
        <v>303</v>
      </c>
      <c r="N1609" t="str">
        <f t="shared" si="815"/>
        <v>RECEITAS COM ENTREGAS</v>
      </c>
      <c r="P1609">
        <v>47.25</v>
      </c>
      <c r="Q1609" t="str">
        <f>"FARMÁCIA INDIANA LJ 192 (10082)"</f>
        <v>FARMÁCIA INDIANA LJ 192 (10082)</v>
      </c>
      <c r="R1609" t="str">
        <f t="shared" si="816"/>
        <v>RECEITAS COM ENTREGAS (303)</v>
      </c>
      <c r="S1609">
        <v>1302</v>
      </c>
      <c r="T1609">
        <v>1004</v>
      </c>
      <c r="U1609" t="s">
        <v>19</v>
      </c>
    </row>
    <row r="1610" spans="1:21">
      <c r="A1610" t="str">
        <f t="shared" si="809"/>
        <v>02/04/2025</v>
      </c>
      <c r="B1610" t="str">
        <f t="shared" si="808"/>
        <v>ENTRADA</v>
      </c>
      <c r="C1610" t="str">
        <f t="shared" si="810"/>
        <v>NFSE</v>
      </c>
      <c r="D1610" t="str">
        <f t="shared" si="799"/>
        <v>2822</v>
      </c>
      <c r="E1610" t="str">
        <f t="shared" si="811"/>
        <v>COM</v>
      </c>
      <c r="F1610" t="str">
        <f t="shared" si="801"/>
        <v>FARMÁCIA INDIANA LJ 1 (10126)</v>
      </c>
      <c r="G1610" t="str">
        <f t="shared" si="802"/>
        <v>Serv.Prest. 17/03/2025 a 23/03/2025 - RPS: 594 - NFSe: 2822</v>
      </c>
      <c r="H1610" t="str">
        <f t="shared" si="812"/>
        <v>02/04/2025</v>
      </c>
      <c r="I1610" t="str">
        <f t="shared" si="813"/>
        <v>24/03/2025</v>
      </c>
      <c r="J1610" t="str">
        <f t="shared" si="814"/>
        <v>02/04/2025</v>
      </c>
      <c r="M1610">
        <v>303</v>
      </c>
      <c r="N1610" t="str">
        <f t="shared" si="815"/>
        <v>RECEITAS COM ENTREGAS</v>
      </c>
      <c r="P1610">
        <v>40.5</v>
      </c>
      <c r="Q1610" t="str">
        <f>"FARMÁCIA INDIANA LJ 195 (10083)"</f>
        <v>FARMÁCIA INDIANA LJ 195 (10083)</v>
      </c>
      <c r="R1610" t="str">
        <f t="shared" si="816"/>
        <v>RECEITAS COM ENTREGAS (303)</v>
      </c>
      <c r="S1610">
        <v>1302</v>
      </c>
      <c r="T1610">
        <v>1004</v>
      </c>
      <c r="U1610" t="s">
        <v>19</v>
      </c>
    </row>
    <row r="1611" spans="1:21">
      <c r="A1611" t="str">
        <f t="shared" si="809"/>
        <v>02/04/2025</v>
      </c>
      <c r="B1611" t="str">
        <f t="shared" si="808"/>
        <v>ENTRADA</v>
      </c>
      <c r="C1611" t="str">
        <f t="shared" si="810"/>
        <v>NFSE</v>
      </c>
      <c r="D1611" t="str">
        <f t="shared" si="799"/>
        <v>2822</v>
      </c>
      <c r="E1611" t="str">
        <f t="shared" si="811"/>
        <v>COM</v>
      </c>
      <c r="F1611" t="str">
        <f t="shared" si="801"/>
        <v>FARMÁCIA INDIANA LJ 1 (10126)</v>
      </c>
      <c r="G1611" t="str">
        <f t="shared" si="802"/>
        <v>Serv.Prest. 17/03/2025 a 23/03/2025 - RPS: 594 - NFSe: 2822</v>
      </c>
      <c r="H1611" t="str">
        <f t="shared" si="812"/>
        <v>02/04/2025</v>
      </c>
      <c r="I1611" t="str">
        <f t="shared" si="813"/>
        <v>24/03/2025</v>
      </c>
      <c r="J1611" t="str">
        <f t="shared" si="814"/>
        <v>02/04/2025</v>
      </c>
      <c r="M1611">
        <v>303</v>
      </c>
      <c r="N1611" t="str">
        <f t="shared" si="815"/>
        <v>RECEITAS COM ENTREGAS</v>
      </c>
      <c r="P1611">
        <v>159.31</v>
      </c>
      <c r="Q1611" t="str">
        <f>"FARMÁCIA INDIANA LJ 202 (10085)"</f>
        <v>FARMÁCIA INDIANA LJ 202 (10085)</v>
      </c>
      <c r="R1611" t="str">
        <f t="shared" si="816"/>
        <v>RECEITAS COM ENTREGAS (303)</v>
      </c>
      <c r="S1611">
        <v>1302</v>
      </c>
      <c r="T1611">
        <v>1004</v>
      </c>
      <c r="U1611" t="s">
        <v>19</v>
      </c>
    </row>
    <row r="1612" spans="1:21">
      <c r="A1612" t="str">
        <f t="shared" si="809"/>
        <v>02/04/2025</v>
      </c>
      <c r="B1612" t="str">
        <f t="shared" si="808"/>
        <v>ENTRADA</v>
      </c>
      <c r="C1612" t="str">
        <f t="shared" si="810"/>
        <v>NFSE</v>
      </c>
      <c r="D1612" t="str">
        <f t="shared" si="799"/>
        <v>2822</v>
      </c>
      <c r="E1612" t="str">
        <f t="shared" si="811"/>
        <v>COM</v>
      </c>
      <c r="F1612" t="str">
        <f t="shared" si="801"/>
        <v>FARMÁCIA INDIANA LJ 1 (10126)</v>
      </c>
      <c r="G1612" t="str">
        <f t="shared" si="802"/>
        <v>Serv.Prest. 17/03/2025 a 23/03/2025 - RPS: 594 - NFSe: 2822</v>
      </c>
      <c r="H1612" t="str">
        <f t="shared" si="812"/>
        <v>02/04/2025</v>
      </c>
      <c r="I1612" t="str">
        <f t="shared" si="813"/>
        <v>24/03/2025</v>
      </c>
      <c r="J1612" t="str">
        <f t="shared" si="814"/>
        <v>02/04/2025</v>
      </c>
      <c r="M1612">
        <v>303</v>
      </c>
      <c r="N1612" t="str">
        <f t="shared" si="815"/>
        <v>RECEITAS COM ENTREGAS</v>
      </c>
      <c r="P1612">
        <v>106.65</v>
      </c>
      <c r="Q1612" t="str">
        <f>"FARMÁCIA INDIANA LJ 204 (10087)"</f>
        <v>FARMÁCIA INDIANA LJ 204 (10087)</v>
      </c>
      <c r="R1612" t="str">
        <f t="shared" si="816"/>
        <v>RECEITAS COM ENTREGAS (303)</v>
      </c>
      <c r="S1612">
        <v>1302</v>
      </c>
      <c r="T1612">
        <v>1004</v>
      </c>
      <c r="U1612" t="s">
        <v>19</v>
      </c>
    </row>
    <row r="1613" spans="1:21">
      <c r="A1613" t="str">
        <f t="shared" si="809"/>
        <v>02/04/2025</v>
      </c>
      <c r="B1613" t="str">
        <f t="shared" si="808"/>
        <v>ENTRADA</v>
      </c>
      <c r="C1613" t="str">
        <f t="shared" si="810"/>
        <v>NFSE</v>
      </c>
      <c r="D1613" t="str">
        <f t="shared" si="799"/>
        <v>2822</v>
      </c>
      <c r="E1613" t="str">
        <f t="shared" si="811"/>
        <v>COM</v>
      </c>
      <c r="F1613" t="str">
        <f t="shared" si="801"/>
        <v>FARMÁCIA INDIANA LJ 1 (10126)</v>
      </c>
      <c r="G1613" t="str">
        <f t="shared" si="802"/>
        <v>Serv.Prest. 17/03/2025 a 23/03/2025 - RPS: 594 - NFSe: 2822</v>
      </c>
      <c r="H1613" t="str">
        <f t="shared" si="812"/>
        <v>02/04/2025</v>
      </c>
      <c r="I1613" t="str">
        <f t="shared" si="813"/>
        <v>24/03/2025</v>
      </c>
      <c r="J1613" t="str">
        <f t="shared" si="814"/>
        <v>02/04/2025</v>
      </c>
      <c r="M1613">
        <v>303</v>
      </c>
      <c r="N1613" t="str">
        <f t="shared" si="815"/>
        <v>RECEITAS COM ENTREGAS</v>
      </c>
      <c r="P1613">
        <v>106.65</v>
      </c>
      <c r="Q1613" t="str">
        <f>"FARMÁCIA INDIANA LJ 207 (10088)"</f>
        <v>FARMÁCIA INDIANA LJ 207 (10088)</v>
      </c>
      <c r="R1613" t="str">
        <f t="shared" si="816"/>
        <v>RECEITAS COM ENTREGAS (303)</v>
      </c>
      <c r="S1613">
        <v>1302</v>
      </c>
      <c r="T1613">
        <v>1004</v>
      </c>
      <c r="U1613" t="s">
        <v>19</v>
      </c>
    </row>
    <row r="1614" spans="1:21">
      <c r="A1614" t="str">
        <f t="shared" si="809"/>
        <v>02/04/2025</v>
      </c>
      <c r="B1614" t="str">
        <f t="shared" si="808"/>
        <v>ENTRADA</v>
      </c>
      <c r="C1614" t="str">
        <f t="shared" si="810"/>
        <v>NFSE</v>
      </c>
      <c r="D1614" t="str">
        <f t="shared" si="799"/>
        <v>2822</v>
      </c>
      <c r="E1614" t="str">
        <f t="shared" si="811"/>
        <v>COM</v>
      </c>
      <c r="F1614" t="str">
        <f t="shared" si="801"/>
        <v>FARMÁCIA INDIANA LJ 1 (10126)</v>
      </c>
      <c r="G1614" t="str">
        <f t="shared" si="802"/>
        <v>Serv.Prest. 17/03/2025 a 23/03/2025 - RPS: 594 - NFSe: 2822</v>
      </c>
      <c r="H1614" t="str">
        <f t="shared" si="812"/>
        <v>02/04/2025</v>
      </c>
      <c r="I1614" t="str">
        <f t="shared" si="813"/>
        <v>24/03/2025</v>
      </c>
      <c r="J1614" t="str">
        <f t="shared" si="814"/>
        <v>02/04/2025</v>
      </c>
      <c r="M1614">
        <v>303</v>
      </c>
      <c r="N1614" t="str">
        <f t="shared" si="815"/>
        <v>RECEITAS COM ENTREGAS</v>
      </c>
      <c r="P1614">
        <v>125.55</v>
      </c>
      <c r="Q1614" t="str">
        <f>"FARMÁCIA INDIANA LJ 209 (10089)"</f>
        <v>FARMÁCIA INDIANA LJ 209 (10089)</v>
      </c>
      <c r="R1614" t="str">
        <f t="shared" si="816"/>
        <v>RECEITAS COM ENTREGAS (303)</v>
      </c>
      <c r="S1614">
        <v>1302</v>
      </c>
      <c r="T1614">
        <v>1004</v>
      </c>
      <c r="U1614" t="s">
        <v>19</v>
      </c>
    </row>
    <row r="1615" spans="1:21">
      <c r="A1615" t="str">
        <f t="shared" si="809"/>
        <v>02/04/2025</v>
      </c>
      <c r="B1615" t="str">
        <f t="shared" si="808"/>
        <v>ENTRADA</v>
      </c>
      <c r="C1615" t="str">
        <f t="shared" si="810"/>
        <v>NFSE</v>
      </c>
      <c r="D1615" t="str">
        <f t="shared" si="799"/>
        <v>2822</v>
      </c>
      <c r="E1615" t="str">
        <f t="shared" si="811"/>
        <v>COM</v>
      </c>
      <c r="F1615" t="str">
        <f t="shared" si="801"/>
        <v>FARMÁCIA INDIANA LJ 1 (10126)</v>
      </c>
      <c r="G1615" t="str">
        <f t="shared" si="802"/>
        <v>Serv.Prest. 17/03/2025 a 23/03/2025 - RPS: 594 - NFSe: 2822</v>
      </c>
      <c r="H1615" t="str">
        <f t="shared" si="812"/>
        <v>02/04/2025</v>
      </c>
      <c r="I1615" t="str">
        <f t="shared" si="813"/>
        <v>24/03/2025</v>
      </c>
      <c r="J1615" t="str">
        <f t="shared" si="814"/>
        <v>02/04/2025</v>
      </c>
      <c r="M1615">
        <v>303</v>
      </c>
      <c r="N1615" t="str">
        <f t="shared" si="815"/>
        <v>RECEITAS COM ENTREGAS</v>
      </c>
      <c r="P1615">
        <v>175.51</v>
      </c>
      <c r="Q1615" t="str">
        <f>"FARMÁCIA INDIANA LJ 219 (10091)"</f>
        <v>FARMÁCIA INDIANA LJ 219 (10091)</v>
      </c>
      <c r="R1615" t="str">
        <f t="shared" si="816"/>
        <v>RECEITAS COM ENTREGAS (303)</v>
      </c>
      <c r="S1615">
        <v>1302</v>
      </c>
      <c r="T1615">
        <v>1004</v>
      </c>
      <c r="U1615" t="s">
        <v>19</v>
      </c>
    </row>
    <row r="1616" spans="1:21">
      <c r="A1616" t="str">
        <f t="shared" si="809"/>
        <v>02/04/2025</v>
      </c>
      <c r="B1616" t="str">
        <f t="shared" si="808"/>
        <v>ENTRADA</v>
      </c>
      <c r="C1616" t="str">
        <f t="shared" si="810"/>
        <v>NFSE</v>
      </c>
      <c r="D1616" t="str">
        <f t="shared" si="799"/>
        <v>2822</v>
      </c>
      <c r="E1616" t="str">
        <f t="shared" si="811"/>
        <v>COM</v>
      </c>
      <c r="F1616" t="str">
        <f t="shared" si="801"/>
        <v>FARMÁCIA INDIANA LJ 1 (10126)</v>
      </c>
      <c r="G1616" t="str">
        <f t="shared" si="802"/>
        <v>Serv.Prest. 17/03/2025 a 23/03/2025 - RPS: 594 - NFSe: 2822</v>
      </c>
      <c r="H1616" t="str">
        <f t="shared" si="812"/>
        <v>02/04/2025</v>
      </c>
      <c r="I1616" t="str">
        <f t="shared" si="813"/>
        <v>24/03/2025</v>
      </c>
      <c r="J1616" t="str">
        <f t="shared" si="814"/>
        <v>02/04/2025</v>
      </c>
      <c r="M1616">
        <v>303</v>
      </c>
      <c r="N1616" t="str">
        <f t="shared" si="815"/>
        <v>RECEITAS COM ENTREGAS</v>
      </c>
      <c r="P1616">
        <v>168.76</v>
      </c>
      <c r="Q1616" t="str">
        <f>"FARMÁCIA INDIANA LJ 220 (10092)"</f>
        <v>FARMÁCIA INDIANA LJ 220 (10092)</v>
      </c>
      <c r="R1616" t="str">
        <f t="shared" si="816"/>
        <v>RECEITAS COM ENTREGAS (303)</v>
      </c>
      <c r="S1616">
        <v>1302</v>
      </c>
      <c r="T1616">
        <v>1004</v>
      </c>
      <c r="U1616" t="s">
        <v>19</v>
      </c>
    </row>
    <row r="1617" spans="1:21">
      <c r="A1617" t="str">
        <f t="shared" si="809"/>
        <v>02/04/2025</v>
      </c>
      <c r="B1617" t="str">
        <f t="shared" si="808"/>
        <v>ENTRADA</v>
      </c>
      <c r="C1617" t="str">
        <f t="shared" si="810"/>
        <v>NFSE</v>
      </c>
      <c r="D1617" t="str">
        <f t="shared" si="799"/>
        <v>2822</v>
      </c>
      <c r="E1617" t="str">
        <f t="shared" si="811"/>
        <v>COM</v>
      </c>
      <c r="F1617" t="str">
        <f t="shared" si="801"/>
        <v>FARMÁCIA INDIANA LJ 1 (10126)</v>
      </c>
      <c r="G1617" t="str">
        <f t="shared" si="802"/>
        <v>Serv.Prest. 17/03/2025 a 23/03/2025 - RPS: 594 - NFSe: 2822</v>
      </c>
      <c r="H1617" t="str">
        <f t="shared" si="812"/>
        <v>02/04/2025</v>
      </c>
      <c r="I1617" t="str">
        <f t="shared" si="813"/>
        <v>24/03/2025</v>
      </c>
      <c r="J1617" t="str">
        <f t="shared" si="814"/>
        <v>02/04/2025</v>
      </c>
      <c r="M1617">
        <v>303</v>
      </c>
      <c r="N1617" t="str">
        <f t="shared" si="815"/>
        <v>RECEITAS COM ENTREGAS</v>
      </c>
      <c r="P1617">
        <v>183.61</v>
      </c>
      <c r="Q1617" t="str">
        <f>"FARMÁCIA INDIANA LJ 185 (10141)"</f>
        <v>FARMÁCIA INDIANA LJ 185 (10141)</v>
      </c>
      <c r="R1617" t="str">
        <f t="shared" si="816"/>
        <v>RECEITAS COM ENTREGAS (303)</v>
      </c>
      <c r="S1617">
        <v>1302</v>
      </c>
      <c r="T1617">
        <v>1004</v>
      </c>
      <c r="U1617" t="s">
        <v>19</v>
      </c>
    </row>
    <row r="1618" spans="1:21">
      <c r="A1618" t="str">
        <f t="shared" si="809"/>
        <v>02/04/2025</v>
      </c>
      <c r="B1618" t="str">
        <f t="shared" si="808"/>
        <v>ENTRADA</v>
      </c>
      <c r="C1618" t="str">
        <f t="shared" si="810"/>
        <v>NFSE</v>
      </c>
      <c r="D1618" t="str">
        <f t="shared" si="799"/>
        <v>2822</v>
      </c>
      <c r="E1618" t="str">
        <f t="shared" si="811"/>
        <v>COM</v>
      </c>
      <c r="F1618" t="str">
        <f t="shared" si="801"/>
        <v>FARMÁCIA INDIANA LJ 1 (10126)</v>
      </c>
      <c r="G1618" t="str">
        <f t="shared" si="802"/>
        <v>Serv.Prest. 17/03/2025 a 23/03/2025 - RPS: 594 - NFSe: 2822</v>
      </c>
      <c r="H1618" t="str">
        <f t="shared" si="812"/>
        <v>02/04/2025</v>
      </c>
      <c r="I1618" t="str">
        <f t="shared" si="813"/>
        <v>24/03/2025</v>
      </c>
      <c r="J1618" t="str">
        <f t="shared" si="814"/>
        <v>02/04/2025</v>
      </c>
      <c r="M1618">
        <v>303</v>
      </c>
      <c r="N1618" t="str">
        <f t="shared" si="815"/>
        <v>RECEITAS COM ENTREGAS</v>
      </c>
      <c r="P1618">
        <v>664.22</v>
      </c>
      <c r="Q1618" t="str">
        <f>"FARMÁCIA INDIANA LJ 172 (10161)"</f>
        <v>FARMÁCIA INDIANA LJ 172 (10161)</v>
      </c>
      <c r="R1618" t="str">
        <f t="shared" si="816"/>
        <v>RECEITAS COM ENTREGAS (303)</v>
      </c>
      <c r="S1618">
        <v>1302</v>
      </c>
      <c r="T1618">
        <v>1004</v>
      </c>
      <c r="U1618" t="s">
        <v>19</v>
      </c>
    </row>
    <row r="1619" spans="1:21">
      <c r="A1619" t="str">
        <f t="shared" si="809"/>
        <v>02/04/2025</v>
      </c>
      <c r="B1619" t="str">
        <f t="shared" si="808"/>
        <v>ENTRADA</v>
      </c>
      <c r="C1619" t="str">
        <f t="shared" si="810"/>
        <v>NFSE</v>
      </c>
      <c r="D1619" t="str">
        <f t="shared" ref="D1619:D1630" si="817">"2823"</f>
        <v>2823</v>
      </c>
      <c r="E1619" t="str">
        <f t="shared" si="811"/>
        <v>COM</v>
      </c>
      <c r="F1619" t="str">
        <f t="shared" ref="F1619:F1630" si="818">"FARMÁCIA INDIANA LJ 30 (10127)"</f>
        <v>FARMÁCIA INDIANA LJ 30 (10127)</v>
      </c>
      <c r="G1619" t="str">
        <f t="shared" ref="G1619:G1630" si="819">"Serv.Prest. 17/03/2025 a 23/03/2025 - RPS: 595 - NFSe: 2823"</f>
        <v>Serv.Prest. 17/03/2025 a 23/03/2025 - RPS: 595 - NFSe: 2823</v>
      </c>
      <c r="H1619" t="str">
        <f t="shared" si="812"/>
        <v>02/04/2025</v>
      </c>
      <c r="I1619" t="str">
        <f t="shared" si="813"/>
        <v>24/03/2025</v>
      </c>
      <c r="J1619" t="str">
        <f t="shared" si="814"/>
        <v>02/04/2025</v>
      </c>
      <c r="K1619">
        <v>2807.79</v>
      </c>
      <c r="L1619">
        <v>2807.79</v>
      </c>
      <c r="M1619">
        <v>303</v>
      </c>
      <c r="N1619" t="str">
        <f t="shared" si="815"/>
        <v>RECEITAS COM ENTREGAS</v>
      </c>
      <c r="O1619">
        <v>2807.79</v>
      </c>
      <c r="R1619" t="str">
        <f t="shared" si="816"/>
        <v>RECEITAS COM ENTREGAS (303)</v>
      </c>
      <c r="S1619">
        <v>1303</v>
      </c>
      <c r="T1619">
        <v>1005</v>
      </c>
      <c r="U1619" t="s">
        <v>19</v>
      </c>
    </row>
    <row r="1620" spans="1:21">
      <c r="A1620" t="str">
        <f t="shared" si="809"/>
        <v>02/04/2025</v>
      </c>
      <c r="B1620" t="str">
        <f t="shared" si="808"/>
        <v>ENTRADA</v>
      </c>
      <c r="C1620" t="str">
        <f t="shared" si="810"/>
        <v>NFSE</v>
      </c>
      <c r="D1620" t="str">
        <f t="shared" si="817"/>
        <v>2823</v>
      </c>
      <c r="E1620" t="str">
        <f t="shared" si="811"/>
        <v>COM</v>
      </c>
      <c r="F1620" t="str">
        <f t="shared" si="818"/>
        <v>FARMÁCIA INDIANA LJ 30 (10127)</v>
      </c>
      <c r="G1620" t="str">
        <f t="shared" si="819"/>
        <v>Serv.Prest. 17/03/2025 a 23/03/2025 - RPS: 595 - NFSe: 2823</v>
      </c>
      <c r="H1620" t="str">
        <f t="shared" si="812"/>
        <v>02/04/2025</v>
      </c>
      <c r="I1620" t="str">
        <f t="shared" si="813"/>
        <v>24/03/2025</v>
      </c>
      <c r="J1620" t="str">
        <f t="shared" si="814"/>
        <v>02/04/2025</v>
      </c>
      <c r="M1620">
        <v>303</v>
      </c>
      <c r="N1620" t="str">
        <f t="shared" si="815"/>
        <v>RECEITAS COM ENTREGAS</v>
      </c>
      <c r="P1620">
        <v>294.82</v>
      </c>
      <c r="Q1620" t="str">
        <f>"FARMÁCIA INDIANA LJ 34 (10014)"</f>
        <v>FARMÁCIA INDIANA LJ 34 (10014)</v>
      </c>
      <c r="R1620" t="str">
        <f t="shared" si="816"/>
        <v>RECEITAS COM ENTREGAS (303)</v>
      </c>
      <c r="S1620">
        <v>1303</v>
      </c>
      <c r="T1620">
        <v>1005</v>
      </c>
      <c r="U1620" t="s">
        <v>19</v>
      </c>
    </row>
    <row r="1621" spans="1:21">
      <c r="A1621" t="str">
        <f t="shared" si="809"/>
        <v>02/04/2025</v>
      </c>
      <c r="B1621" t="str">
        <f t="shared" si="808"/>
        <v>ENTRADA</v>
      </c>
      <c r="C1621" t="str">
        <f t="shared" si="810"/>
        <v>NFSE</v>
      </c>
      <c r="D1621" t="str">
        <f t="shared" si="817"/>
        <v>2823</v>
      </c>
      <c r="E1621" t="str">
        <f t="shared" si="811"/>
        <v>COM</v>
      </c>
      <c r="F1621" t="str">
        <f t="shared" si="818"/>
        <v>FARMÁCIA INDIANA LJ 30 (10127)</v>
      </c>
      <c r="G1621" t="str">
        <f t="shared" si="819"/>
        <v>Serv.Prest. 17/03/2025 a 23/03/2025 - RPS: 595 - NFSe: 2823</v>
      </c>
      <c r="H1621" t="str">
        <f t="shared" si="812"/>
        <v>02/04/2025</v>
      </c>
      <c r="I1621" t="str">
        <f t="shared" si="813"/>
        <v>24/03/2025</v>
      </c>
      <c r="J1621" t="str">
        <f t="shared" si="814"/>
        <v>02/04/2025</v>
      </c>
      <c r="M1621">
        <v>303</v>
      </c>
      <c r="N1621" t="str">
        <f t="shared" si="815"/>
        <v>RECEITAS COM ENTREGAS</v>
      </c>
      <c r="P1621">
        <v>235.85</v>
      </c>
      <c r="Q1621" t="str">
        <f>"FARMÁCIA INDIANA LJ 35 (10015)"</f>
        <v>FARMÁCIA INDIANA LJ 35 (10015)</v>
      </c>
      <c r="R1621" t="str">
        <f t="shared" si="816"/>
        <v>RECEITAS COM ENTREGAS (303)</v>
      </c>
      <c r="S1621">
        <v>1303</v>
      </c>
      <c r="T1621">
        <v>1005</v>
      </c>
      <c r="U1621" t="s">
        <v>19</v>
      </c>
    </row>
    <row r="1622" spans="1:21">
      <c r="A1622" t="str">
        <f t="shared" si="809"/>
        <v>02/04/2025</v>
      </c>
      <c r="B1622" t="str">
        <f t="shared" si="808"/>
        <v>ENTRADA</v>
      </c>
      <c r="C1622" t="str">
        <f t="shared" si="810"/>
        <v>NFSE</v>
      </c>
      <c r="D1622" t="str">
        <f t="shared" si="817"/>
        <v>2823</v>
      </c>
      <c r="E1622" t="str">
        <f t="shared" si="811"/>
        <v>COM</v>
      </c>
      <c r="F1622" t="str">
        <f t="shared" si="818"/>
        <v>FARMÁCIA INDIANA LJ 30 (10127)</v>
      </c>
      <c r="G1622" t="str">
        <f t="shared" si="819"/>
        <v>Serv.Prest. 17/03/2025 a 23/03/2025 - RPS: 595 - NFSe: 2823</v>
      </c>
      <c r="H1622" t="str">
        <f t="shared" si="812"/>
        <v>02/04/2025</v>
      </c>
      <c r="I1622" t="str">
        <f t="shared" si="813"/>
        <v>24/03/2025</v>
      </c>
      <c r="J1622" t="str">
        <f t="shared" si="814"/>
        <v>02/04/2025</v>
      </c>
      <c r="M1622">
        <v>303</v>
      </c>
      <c r="N1622" t="str">
        <f t="shared" si="815"/>
        <v>RECEITAS COM ENTREGAS</v>
      </c>
      <c r="P1622">
        <v>290.33</v>
      </c>
      <c r="Q1622" t="str">
        <f>"FARMÁCIA INDIANA LJ 48 (10018)"</f>
        <v>FARMÁCIA INDIANA LJ 48 (10018)</v>
      </c>
      <c r="R1622" t="str">
        <f t="shared" si="816"/>
        <v>RECEITAS COM ENTREGAS (303)</v>
      </c>
      <c r="S1622">
        <v>1303</v>
      </c>
      <c r="T1622">
        <v>1005</v>
      </c>
      <c r="U1622" t="s">
        <v>19</v>
      </c>
    </row>
    <row r="1623" spans="1:21">
      <c r="A1623" t="str">
        <f t="shared" si="809"/>
        <v>02/04/2025</v>
      </c>
      <c r="B1623" t="str">
        <f t="shared" si="808"/>
        <v>ENTRADA</v>
      </c>
      <c r="C1623" t="str">
        <f t="shared" si="810"/>
        <v>NFSE</v>
      </c>
      <c r="D1623" t="str">
        <f t="shared" si="817"/>
        <v>2823</v>
      </c>
      <c r="E1623" t="str">
        <f t="shared" si="811"/>
        <v>COM</v>
      </c>
      <c r="F1623" t="str">
        <f t="shared" si="818"/>
        <v>FARMÁCIA INDIANA LJ 30 (10127)</v>
      </c>
      <c r="G1623" t="str">
        <f t="shared" si="819"/>
        <v>Serv.Prest. 17/03/2025 a 23/03/2025 - RPS: 595 - NFSe: 2823</v>
      </c>
      <c r="H1623" t="str">
        <f t="shared" si="812"/>
        <v>02/04/2025</v>
      </c>
      <c r="I1623" t="str">
        <f t="shared" si="813"/>
        <v>24/03/2025</v>
      </c>
      <c r="J1623" t="str">
        <f t="shared" si="814"/>
        <v>02/04/2025</v>
      </c>
      <c r="M1623">
        <v>303</v>
      </c>
      <c r="N1623" t="str">
        <f t="shared" si="815"/>
        <v>RECEITAS COM ENTREGAS</v>
      </c>
      <c r="P1623">
        <v>418.64</v>
      </c>
      <c r="Q1623" t="str">
        <f>"FARMÁCIA INDIANA LJ 65 (10030)"</f>
        <v>FARMÁCIA INDIANA LJ 65 (10030)</v>
      </c>
      <c r="R1623" t="str">
        <f t="shared" si="816"/>
        <v>RECEITAS COM ENTREGAS (303)</v>
      </c>
      <c r="S1623">
        <v>1303</v>
      </c>
      <c r="T1623">
        <v>1005</v>
      </c>
      <c r="U1623" t="s">
        <v>19</v>
      </c>
    </row>
    <row r="1624" spans="1:21">
      <c r="A1624" t="str">
        <f t="shared" si="809"/>
        <v>02/04/2025</v>
      </c>
      <c r="B1624" t="str">
        <f t="shared" si="808"/>
        <v>ENTRADA</v>
      </c>
      <c r="C1624" t="str">
        <f t="shared" si="810"/>
        <v>NFSE</v>
      </c>
      <c r="D1624" t="str">
        <f t="shared" si="817"/>
        <v>2823</v>
      </c>
      <c r="E1624" t="str">
        <f t="shared" si="811"/>
        <v>COM</v>
      </c>
      <c r="F1624" t="str">
        <f t="shared" si="818"/>
        <v>FARMÁCIA INDIANA LJ 30 (10127)</v>
      </c>
      <c r="G1624" t="str">
        <f t="shared" si="819"/>
        <v>Serv.Prest. 17/03/2025 a 23/03/2025 - RPS: 595 - NFSe: 2823</v>
      </c>
      <c r="H1624" t="str">
        <f t="shared" si="812"/>
        <v>02/04/2025</v>
      </c>
      <c r="I1624" t="str">
        <f t="shared" si="813"/>
        <v>24/03/2025</v>
      </c>
      <c r="J1624" t="str">
        <f t="shared" si="814"/>
        <v>02/04/2025</v>
      </c>
      <c r="M1624">
        <v>303</v>
      </c>
      <c r="N1624" t="str">
        <f t="shared" si="815"/>
        <v>RECEITAS COM ENTREGAS</v>
      </c>
      <c r="P1624">
        <v>220.69</v>
      </c>
      <c r="Q1624" t="str">
        <f>"FARMÁCIA INDIANA LJ 77 (10034)"</f>
        <v>FARMÁCIA INDIANA LJ 77 (10034)</v>
      </c>
      <c r="R1624" t="str">
        <f t="shared" si="816"/>
        <v>RECEITAS COM ENTREGAS (303)</v>
      </c>
      <c r="S1624">
        <v>1303</v>
      </c>
      <c r="T1624">
        <v>1005</v>
      </c>
      <c r="U1624" t="s">
        <v>19</v>
      </c>
    </row>
    <row r="1625" spans="1:21">
      <c r="A1625" t="str">
        <f t="shared" si="809"/>
        <v>02/04/2025</v>
      </c>
      <c r="B1625" t="str">
        <f t="shared" si="808"/>
        <v>ENTRADA</v>
      </c>
      <c r="C1625" t="str">
        <f t="shared" si="810"/>
        <v>NFSE</v>
      </c>
      <c r="D1625" t="str">
        <f t="shared" si="817"/>
        <v>2823</v>
      </c>
      <c r="E1625" t="str">
        <f t="shared" si="811"/>
        <v>COM</v>
      </c>
      <c r="F1625" t="str">
        <f t="shared" si="818"/>
        <v>FARMÁCIA INDIANA LJ 30 (10127)</v>
      </c>
      <c r="G1625" t="str">
        <f t="shared" si="819"/>
        <v>Serv.Prest. 17/03/2025 a 23/03/2025 - RPS: 595 - NFSe: 2823</v>
      </c>
      <c r="H1625" t="str">
        <f t="shared" si="812"/>
        <v>02/04/2025</v>
      </c>
      <c r="I1625" t="str">
        <f t="shared" si="813"/>
        <v>24/03/2025</v>
      </c>
      <c r="J1625" t="str">
        <f t="shared" si="814"/>
        <v>02/04/2025</v>
      </c>
      <c r="M1625">
        <v>303</v>
      </c>
      <c r="N1625" t="str">
        <f t="shared" si="815"/>
        <v>RECEITAS COM ENTREGAS</v>
      </c>
      <c r="P1625">
        <v>214.8</v>
      </c>
      <c r="Q1625" t="str">
        <f>"FARMÁCIA INDIANA LJ 91 (10037)"</f>
        <v>FARMÁCIA INDIANA LJ 91 (10037)</v>
      </c>
      <c r="R1625" t="str">
        <f t="shared" si="816"/>
        <v>RECEITAS COM ENTREGAS (303)</v>
      </c>
      <c r="S1625">
        <v>1303</v>
      </c>
      <c r="T1625">
        <v>1005</v>
      </c>
      <c r="U1625" t="s">
        <v>19</v>
      </c>
    </row>
    <row r="1626" spans="1:21">
      <c r="A1626" t="str">
        <f t="shared" si="809"/>
        <v>02/04/2025</v>
      </c>
      <c r="B1626" t="str">
        <f t="shared" si="808"/>
        <v>ENTRADA</v>
      </c>
      <c r="C1626" t="str">
        <f t="shared" si="810"/>
        <v>NFSE</v>
      </c>
      <c r="D1626" t="str">
        <f t="shared" si="817"/>
        <v>2823</v>
      </c>
      <c r="E1626" t="str">
        <f t="shared" si="811"/>
        <v>COM</v>
      </c>
      <c r="F1626" t="str">
        <f t="shared" si="818"/>
        <v>FARMÁCIA INDIANA LJ 30 (10127)</v>
      </c>
      <c r="G1626" t="str">
        <f t="shared" si="819"/>
        <v>Serv.Prest. 17/03/2025 a 23/03/2025 - RPS: 595 - NFSe: 2823</v>
      </c>
      <c r="H1626" t="str">
        <f t="shared" si="812"/>
        <v>02/04/2025</v>
      </c>
      <c r="I1626" t="str">
        <f t="shared" si="813"/>
        <v>24/03/2025</v>
      </c>
      <c r="J1626" t="str">
        <f t="shared" si="814"/>
        <v>02/04/2025</v>
      </c>
      <c r="M1626">
        <v>303</v>
      </c>
      <c r="N1626" t="str">
        <f t="shared" si="815"/>
        <v>RECEITAS COM ENTREGAS</v>
      </c>
      <c r="P1626">
        <v>359.4</v>
      </c>
      <c r="Q1626" t="str">
        <f>"FARMÁCIA INDIANA LJ 95 (10039)"</f>
        <v>FARMÁCIA INDIANA LJ 95 (10039)</v>
      </c>
      <c r="R1626" t="str">
        <f t="shared" si="816"/>
        <v>RECEITAS COM ENTREGAS (303)</v>
      </c>
      <c r="S1626">
        <v>1303</v>
      </c>
      <c r="T1626">
        <v>1005</v>
      </c>
      <c r="U1626" t="s">
        <v>19</v>
      </c>
    </row>
    <row r="1627" spans="1:21">
      <c r="A1627" t="str">
        <f t="shared" si="809"/>
        <v>02/04/2025</v>
      </c>
      <c r="B1627" t="str">
        <f t="shared" si="808"/>
        <v>ENTRADA</v>
      </c>
      <c r="C1627" t="str">
        <f t="shared" si="810"/>
        <v>NFSE</v>
      </c>
      <c r="D1627" t="str">
        <f t="shared" si="817"/>
        <v>2823</v>
      </c>
      <c r="E1627" t="str">
        <f t="shared" si="811"/>
        <v>COM</v>
      </c>
      <c r="F1627" t="str">
        <f t="shared" si="818"/>
        <v>FARMÁCIA INDIANA LJ 30 (10127)</v>
      </c>
      <c r="G1627" t="str">
        <f t="shared" si="819"/>
        <v>Serv.Prest. 17/03/2025 a 23/03/2025 - RPS: 595 - NFSe: 2823</v>
      </c>
      <c r="H1627" t="str">
        <f t="shared" si="812"/>
        <v>02/04/2025</v>
      </c>
      <c r="I1627" t="str">
        <f t="shared" si="813"/>
        <v>24/03/2025</v>
      </c>
      <c r="J1627" t="str">
        <f t="shared" si="814"/>
        <v>02/04/2025</v>
      </c>
      <c r="M1627">
        <v>303</v>
      </c>
      <c r="N1627" t="str">
        <f t="shared" si="815"/>
        <v>RECEITAS COM ENTREGAS</v>
      </c>
      <c r="P1627">
        <v>280.77999999999997</v>
      </c>
      <c r="Q1627" t="str">
        <f>"FARMÁCIA INDIANA LJ 145 (10068)"</f>
        <v>FARMÁCIA INDIANA LJ 145 (10068)</v>
      </c>
      <c r="R1627" t="str">
        <f t="shared" si="816"/>
        <v>RECEITAS COM ENTREGAS (303)</v>
      </c>
      <c r="S1627">
        <v>1303</v>
      </c>
      <c r="T1627">
        <v>1005</v>
      </c>
      <c r="U1627" t="s">
        <v>19</v>
      </c>
    </row>
    <row r="1628" spans="1:21">
      <c r="A1628" t="str">
        <f t="shared" si="809"/>
        <v>02/04/2025</v>
      </c>
      <c r="B1628" t="str">
        <f t="shared" si="808"/>
        <v>ENTRADA</v>
      </c>
      <c r="C1628" t="str">
        <f t="shared" si="810"/>
        <v>NFSE</v>
      </c>
      <c r="D1628" t="str">
        <f t="shared" si="817"/>
        <v>2823</v>
      </c>
      <c r="E1628" t="str">
        <f t="shared" si="811"/>
        <v>COM</v>
      </c>
      <c r="F1628" t="str">
        <f t="shared" si="818"/>
        <v>FARMÁCIA INDIANA LJ 30 (10127)</v>
      </c>
      <c r="G1628" t="str">
        <f t="shared" si="819"/>
        <v>Serv.Prest. 17/03/2025 a 23/03/2025 - RPS: 595 - NFSe: 2823</v>
      </c>
      <c r="H1628" t="str">
        <f t="shared" si="812"/>
        <v>02/04/2025</v>
      </c>
      <c r="I1628" t="str">
        <f t="shared" si="813"/>
        <v>24/03/2025</v>
      </c>
      <c r="J1628" t="str">
        <f t="shared" si="814"/>
        <v>02/04/2025</v>
      </c>
      <c r="M1628">
        <v>303</v>
      </c>
      <c r="N1628" t="str">
        <f t="shared" si="815"/>
        <v>RECEITAS COM ENTREGAS</v>
      </c>
      <c r="P1628">
        <v>122.98</v>
      </c>
      <c r="Q1628" t="str">
        <f>"FARMÁCIA INDIANA LJ 169 (10073)"</f>
        <v>FARMÁCIA INDIANA LJ 169 (10073)</v>
      </c>
      <c r="R1628" t="str">
        <f t="shared" si="816"/>
        <v>RECEITAS COM ENTREGAS (303)</v>
      </c>
      <c r="S1628">
        <v>1303</v>
      </c>
      <c r="T1628">
        <v>1005</v>
      </c>
      <c r="U1628" t="s">
        <v>19</v>
      </c>
    </row>
    <row r="1629" spans="1:21">
      <c r="A1629" t="str">
        <f t="shared" si="809"/>
        <v>02/04/2025</v>
      </c>
      <c r="B1629" t="str">
        <f t="shared" si="808"/>
        <v>ENTRADA</v>
      </c>
      <c r="C1629" t="str">
        <f t="shared" si="810"/>
        <v>NFSE</v>
      </c>
      <c r="D1629" t="str">
        <f t="shared" si="817"/>
        <v>2823</v>
      </c>
      <c r="E1629" t="str">
        <f t="shared" si="811"/>
        <v>COM</v>
      </c>
      <c r="F1629" t="str">
        <f t="shared" si="818"/>
        <v>FARMÁCIA INDIANA LJ 30 (10127)</v>
      </c>
      <c r="G1629" t="str">
        <f t="shared" si="819"/>
        <v>Serv.Prest. 17/03/2025 a 23/03/2025 - RPS: 595 - NFSe: 2823</v>
      </c>
      <c r="H1629" t="str">
        <f t="shared" si="812"/>
        <v>02/04/2025</v>
      </c>
      <c r="I1629" t="str">
        <f t="shared" si="813"/>
        <v>24/03/2025</v>
      </c>
      <c r="J1629" t="str">
        <f t="shared" si="814"/>
        <v>02/04/2025</v>
      </c>
      <c r="M1629">
        <v>303</v>
      </c>
      <c r="N1629" t="str">
        <f t="shared" si="815"/>
        <v>RECEITAS COM ENTREGAS</v>
      </c>
      <c r="P1629">
        <v>209.18</v>
      </c>
      <c r="Q1629" t="str">
        <f>"FARMÁCIA INDIANA LJ 173 (10075)"</f>
        <v>FARMÁCIA INDIANA LJ 173 (10075)</v>
      </c>
      <c r="R1629" t="str">
        <f t="shared" si="816"/>
        <v>RECEITAS COM ENTREGAS (303)</v>
      </c>
      <c r="S1629">
        <v>1303</v>
      </c>
      <c r="T1629">
        <v>1005</v>
      </c>
      <c r="U1629" t="s">
        <v>19</v>
      </c>
    </row>
    <row r="1630" spans="1:21">
      <c r="A1630" t="str">
        <f t="shared" si="809"/>
        <v>02/04/2025</v>
      </c>
      <c r="B1630" t="str">
        <f t="shared" si="808"/>
        <v>ENTRADA</v>
      </c>
      <c r="C1630" t="str">
        <f t="shared" si="810"/>
        <v>NFSE</v>
      </c>
      <c r="D1630" t="str">
        <f t="shared" si="817"/>
        <v>2823</v>
      </c>
      <c r="E1630" t="str">
        <f t="shared" si="811"/>
        <v>COM</v>
      </c>
      <c r="F1630" t="str">
        <f t="shared" si="818"/>
        <v>FARMÁCIA INDIANA LJ 30 (10127)</v>
      </c>
      <c r="G1630" t="str">
        <f t="shared" si="819"/>
        <v>Serv.Prest. 17/03/2025 a 23/03/2025 - RPS: 595 - NFSe: 2823</v>
      </c>
      <c r="H1630" t="str">
        <f t="shared" si="812"/>
        <v>02/04/2025</v>
      </c>
      <c r="I1630" t="str">
        <f t="shared" si="813"/>
        <v>24/03/2025</v>
      </c>
      <c r="J1630" t="str">
        <f t="shared" si="814"/>
        <v>02/04/2025</v>
      </c>
      <c r="M1630">
        <v>303</v>
      </c>
      <c r="N1630" t="str">
        <f t="shared" si="815"/>
        <v>RECEITAS COM ENTREGAS</v>
      </c>
      <c r="P1630">
        <v>160.32</v>
      </c>
      <c r="Q1630" t="str">
        <f>"FARMÁCIA INDIANA LJ 200 (10155)"</f>
        <v>FARMÁCIA INDIANA LJ 200 (10155)</v>
      </c>
      <c r="R1630" t="str">
        <f t="shared" si="816"/>
        <v>RECEITAS COM ENTREGAS (303)</v>
      </c>
      <c r="S1630">
        <v>1303</v>
      </c>
      <c r="T1630">
        <v>1005</v>
      </c>
      <c r="U1630" t="s">
        <v>19</v>
      </c>
    </row>
    <row r="1631" spans="1:21">
      <c r="A1631" t="str">
        <f t="shared" si="809"/>
        <v>02/04/2025</v>
      </c>
      <c r="B1631" t="str">
        <f t="shared" si="808"/>
        <v>ENTRADA</v>
      </c>
      <c r="C1631" t="str">
        <f t="shared" si="810"/>
        <v>NFSE</v>
      </c>
      <c r="D1631" t="str">
        <f t="shared" ref="D1631:D1636" si="820">"2824"</f>
        <v>2824</v>
      </c>
      <c r="E1631" t="str">
        <f t="shared" si="811"/>
        <v>COM</v>
      </c>
      <c r="F1631" t="str">
        <f t="shared" ref="F1631:F1636" si="821">"FARMÁCIA INDIANA LJ 85 (10128)"</f>
        <v>FARMÁCIA INDIANA LJ 85 (10128)</v>
      </c>
      <c r="G1631" t="str">
        <f t="shared" ref="G1631:G1636" si="822">"Serv.Prest. 17/03/2025 a 23/03/2025 - RPS: 596 - NFSe: 2824"</f>
        <v>Serv.Prest. 17/03/2025 a 23/03/2025 - RPS: 596 - NFSe: 2824</v>
      </c>
      <c r="H1631" t="str">
        <f t="shared" si="812"/>
        <v>02/04/2025</v>
      </c>
      <c r="I1631" t="str">
        <f t="shared" si="813"/>
        <v>24/03/2025</v>
      </c>
      <c r="J1631" t="str">
        <f t="shared" si="814"/>
        <v>02/04/2025</v>
      </c>
      <c r="K1631">
        <v>852.73</v>
      </c>
      <c r="L1631">
        <v>852.73</v>
      </c>
      <c r="M1631">
        <v>303</v>
      </c>
      <c r="N1631" t="str">
        <f t="shared" si="815"/>
        <v>RECEITAS COM ENTREGAS</v>
      </c>
      <c r="O1631">
        <v>852.73</v>
      </c>
      <c r="R1631" t="str">
        <f t="shared" si="816"/>
        <v>RECEITAS COM ENTREGAS (303)</v>
      </c>
      <c r="S1631">
        <v>1304</v>
      </c>
      <c r="T1631">
        <v>1006</v>
      </c>
      <c r="U1631" t="s">
        <v>19</v>
      </c>
    </row>
    <row r="1632" spans="1:21">
      <c r="A1632" t="str">
        <f t="shared" si="809"/>
        <v>02/04/2025</v>
      </c>
      <c r="B1632" t="str">
        <f t="shared" si="808"/>
        <v>ENTRADA</v>
      </c>
      <c r="C1632" t="str">
        <f t="shared" si="810"/>
        <v>NFSE</v>
      </c>
      <c r="D1632" t="str">
        <f t="shared" si="820"/>
        <v>2824</v>
      </c>
      <c r="E1632" t="str">
        <f t="shared" si="811"/>
        <v>COM</v>
      </c>
      <c r="F1632" t="str">
        <f t="shared" si="821"/>
        <v>FARMÁCIA INDIANA LJ 85 (10128)</v>
      </c>
      <c r="G1632" t="str">
        <f t="shared" si="822"/>
        <v>Serv.Prest. 17/03/2025 a 23/03/2025 - RPS: 596 - NFSe: 2824</v>
      </c>
      <c r="H1632" t="str">
        <f t="shared" si="812"/>
        <v>02/04/2025</v>
      </c>
      <c r="I1632" t="str">
        <f t="shared" si="813"/>
        <v>24/03/2025</v>
      </c>
      <c r="J1632" t="str">
        <f t="shared" si="814"/>
        <v>02/04/2025</v>
      </c>
      <c r="M1632">
        <v>303</v>
      </c>
      <c r="N1632" t="str">
        <f t="shared" si="815"/>
        <v>RECEITAS COM ENTREGAS</v>
      </c>
      <c r="P1632">
        <v>231.09</v>
      </c>
      <c r="Q1632" t="str">
        <f>"FARMÁCIA INDIANA LJ 119 (10053)"</f>
        <v>FARMÁCIA INDIANA LJ 119 (10053)</v>
      </c>
      <c r="R1632" t="str">
        <f t="shared" si="816"/>
        <v>RECEITAS COM ENTREGAS (303)</v>
      </c>
      <c r="S1632">
        <v>1304</v>
      </c>
      <c r="T1632">
        <v>1006</v>
      </c>
      <c r="U1632" t="s">
        <v>19</v>
      </c>
    </row>
    <row r="1633" spans="1:21">
      <c r="A1633" t="str">
        <f t="shared" si="809"/>
        <v>02/04/2025</v>
      </c>
      <c r="B1633" t="str">
        <f t="shared" si="808"/>
        <v>ENTRADA</v>
      </c>
      <c r="C1633" t="str">
        <f t="shared" si="810"/>
        <v>NFSE</v>
      </c>
      <c r="D1633" t="str">
        <f t="shared" si="820"/>
        <v>2824</v>
      </c>
      <c r="E1633" t="str">
        <f t="shared" si="811"/>
        <v>COM</v>
      </c>
      <c r="F1633" t="str">
        <f t="shared" si="821"/>
        <v>FARMÁCIA INDIANA LJ 85 (10128)</v>
      </c>
      <c r="G1633" t="str">
        <f t="shared" si="822"/>
        <v>Serv.Prest. 17/03/2025 a 23/03/2025 - RPS: 596 - NFSe: 2824</v>
      </c>
      <c r="H1633" t="str">
        <f t="shared" si="812"/>
        <v>02/04/2025</v>
      </c>
      <c r="I1633" t="str">
        <f t="shared" si="813"/>
        <v>24/03/2025</v>
      </c>
      <c r="J1633" t="str">
        <f t="shared" si="814"/>
        <v>02/04/2025</v>
      </c>
      <c r="M1633">
        <v>303</v>
      </c>
      <c r="N1633" t="str">
        <f t="shared" si="815"/>
        <v>RECEITAS COM ENTREGAS</v>
      </c>
      <c r="P1633">
        <v>128.76</v>
      </c>
      <c r="Q1633" t="str">
        <f>"FARMÁCIA INDIANA LJ 163 (10072)"</f>
        <v>FARMÁCIA INDIANA LJ 163 (10072)</v>
      </c>
      <c r="R1633" t="str">
        <f t="shared" si="816"/>
        <v>RECEITAS COM ENTREGAS (303)</v>
      </c>
      <c r="S1633">
        <v>1304</v>
      </c>
      <c r="T1633">
        <v>1006</v>
      </c>
      <c r="U1633" t="s">
        <v>19</v>
      </c>
    </row>
    <row r="1634" spans="1:21">
      <c r="A1634" t="str">
        <f t="shared" si="809"/>
        <v>02/04/2025</v>
      </c>
      <c r="B1634" t="str">
        <f t="shared" si="808"/>
        <v>ENTRADA</v>
      </c>
      <c r="C1634" t="str">
        <f t="shared" si="810"/>
        <v>NFSE</v>
      </c>
      <c r="D1634" t="str">
        <f t="shared" si="820"/>
        <v>2824</v>
      </c>
      <c r="E1634" t="str">
        <f t="shared" si="811"/>
        <v>COM</v>
      </c>
      <c r="F1634" t="str">
        <f t="shared" si="821"/>
        <v>FARMÁCIA INDIANA LJ 85 (10128)</v>
      </c>
      <c r="G1634" t="str">
        <f t="shared" si="822"/>
        <v>Serv.Prest. 17/03/2025 a 23/03/2025 - RPS: 596 - NFSe: 2824</v>
      </c>
      <c r="H1634" t="str">
        <f t="shared" si="812"/>
        <v>02/04/2025</v>
      </c>
      <c r="I1634" t="str">
        <f t="shared" si="813"/>
        <v>24/03/2025</v>
      </c>
      <c r="J1634" t="str">
        <f t="shared" si="814"/>
        <v>02/04/2025</v>
      </c>
      <c r="M1634">
        <v>303</v>
      </c>
      <c r="N1634" t="str">
        <f t="shared" si="815"/>
        <v>RECEITAS COM ENTREGAS</v>
      </c>
      <c r="P1634">
        <v>138.22999999999999</v>
      </c>
      <c r="Q1634" t="str">
        <f>"FARMÁCIA INDIANA LJ 181 (10078)"</f>
        <v>FARMÁCIA INDIANA LJ 181 (10078)</v>
      </c>
      <c r="R1634" t="str">
        <f t="shared" si="816"/>
        <v>RECEITAS COM ENTREGAS (303)</v>
      </c>
      <c r="S1634">
        <v>1304</v>
      </c>
      <c r="T1634">
        <v>1006</v>
      </c>
      <c r="U1634" t="s">
        <v>19</v>
      </c>
    </row>
    <row r="1635" spans="1:21">
      <c r="A1635" t="str">
        <f t="shared" si="809"/>
        <v>02/04/2025</v>
      </c>
      <c r="B1635" t="str">
        <f t="shared" si="808"/>
        <v>ENTRADA</v>
      </c>
      <c r="C1635" t="str">
        <f t="shared" si="810"/>
        <v>NFSE</v>
      </c>
      <c r="D1635" t="str">
        <f t="shared" si="820"/>
        <v>2824</v>
      </c>
      <c r="E1635" t="str">
        <f t="shared" si="811"/>
        <v>COM</v>
      </c>
      <c r="F1635" t="str">
        <f t="shared" si="821"/>
        <v>FARMÁCIA INDIANA LJ 85 (10128)</v>
      </c>
      <c r="G1635" t="str">
        <f t="shared" si="822"/>
        <v>Serv.Prest. 17/03/2025 a 23/03/2025 - RPS: 596 - NFSe: 2824</v>
      </c>
      <c r="H1635" t="str">
        <f t="shared" si="812"/>
        <v>02/04/2025</v>
      </c>
      <c r="I1635" t="str">
        <f t="shared" si="813"/>
        <v>24/03/2025</v>
      </c>
      <c r="J1635" t="str">
        <f t="shared" si="814"/>
        <v>02/04/2025</v>
      </c>
      <c r="M1635">
        <v>303</v>
      </c>
      <c r="N1635" t="str">
        <f t="shared" si="815"/>
        <v>RECEITAS COM ENTREGAS</v>
      </c>
      <c r="P1635">
        <v>172.51</v>
      </c>
      <c r="Q1635" t="str">
        <f>"FARMÁCIA INDIANA LJ 221 (10093)"</f>
        <v>FARMÁCIA INDIANA LJ 221 (10093)</v>
      </c>
      <c r="R1635" t="str">
        <f t="shared" si="816"/>
        <v>RECEITAS COM ENTREGAS (303)</v>
      </c>
      <c r="S1635">
        <v>1304</v>
      </c>
      <c r="T1635">
        <v>1006</v>
      </c>
      <c r="U1635" t="s">
        <v>19</v>
      </c>
    </row>
    <row r="1636" spans="1:21">
      <c r="A1636" t="str">
        <f t="shared" si="809"/>
        <v>02/04/2025</v>
      </c>
      <c r="B1636" t="str">
        <f t="shared" si="808"/>
        <v>ENTRADA</v>
      </c>
      <c r="C1636" t="str">
        <f t="shared" si="810"/>
        <v>NFSE</v>
      </c>
      <c r="D1636" t="str">
        <f t="shared" si="820"/>
        <v>2824</v>
      </c>
      <c r="E1636" t="str">
        <f t="shared" si="811"/>
        <v>COM</v>
      </c>
      <c r="F1636" t="str">
        <f t="shared" si="821"/>
        <v>FARMÁCIA INDIANA LJ 85 (10128)</v>
      </c>
      <c r="G1636" t="str">
        <f t="shared" si="822"/>
        <v>Serv.Prest. 17/03/2025 a 23/03/2025 - RPS: 596 - NFSe: 2824</v>
      </c>
      <c r="H1636" t="str">
        <f t="shared" si="812"/>
        <v>02/04/2025</v>
      </c>
      <c r="I1636" t="str">
        <f t="shared" si="813"/>
        <v>24/03/2025</v>
      </c>
      <c r="J1636" t="str">
        <f t="shared" si="814"/>
        <v>02/04/2025</v>
      </c>
      <c r="M1636">
        <v>303</v>
      </c>
      <c r="N1636" t="str">
        <f t="shared" si="815"/>
        <v>RECEITAS COM ENTREGAS</v>
      </c>
      <c r="P1636">
        <v>182.14</v>
      </c>
      <c r="Q1636" t="str">
        <f>"FARMÁCIA INDIANA LJ 243 (10142)"</f>
        <v>FARMÁCIA INDIANA LJ 243 (10142)</v>
      </c>
      <c r="R1636" t="str">
        <f t="shared" si="816"/>
        <v>RECEITAS COM ENTREGAS (303)</v>
      </c>
      <c r="S1636">
        <v>1304</v>
      </c>
      <c r="T1636">
        <v>1006</v>
      </c>
      <c r="U1636" t="s">
        <v>19</v>
      </c>
    </row>
    <row r="1637" spans="1:21">
      <c r="A1637" t="str">
        <f t="shared" ref="A1637:A1647" si="823">("02/04/2025")</f>
        <v>02/04/2025</v>
      </c>
      <c r="B1637" t="str">
        <f t="shared" si="808"/>
        <v>ENTRADA</v>
      </c>
      <c r="C1637" t="str">
        <f t="shared" ref="C1637:C1644" si="824">"NFSE"</f>
        <v>NFSE</v>
      </c>
      <c r="D1637" t="str">
        <f>"2842"</f>
        <v>2842</v>
      </c>
      <c r="E1637" t="str">
        <f t="shared" ref="E1637:E1644" si="825">"COM"</f>
        <v>COM</v>
      </c>
      <c r="F1637" t="str">
        <f>"FRAN FARMA (10124)"</f>
        <v>FRAN FARMA (10124)</v>
      </c>
      <c r="G1637" t="str">
        <f>"Serv.Prest. 24/03/2025 a 30/03/2025 - RPS: 614 - NFSe: 2842"</f>
        <v>Serv.Prest. 24/03/2025 a 30/03/2025 - RPS: 614 - NFSe: 2842</v>
      </c>
      <c r="H1637" t="str">
        <f t="shared" ref="H1637:H1655" si="826">("02/04/2025")</f>
        <v>02/04/2025</v>
      </c>
      <c r="I1637" t="str">
        <f t="shared" ref="I1637:I1642" si="827">("31/03/2025")</f>
        <v>31/03/2025</v>
      </c>
      <c r="J1637" t="str">
        <f t="shared" ref="J1637:J1647" si="828">("02/04/2025")</f>
        <v>02/04/2025</v>
      </c>
      <c r="K1637">
        <v>320</v>
      </c>
      <c r="L1637">
        <v>320</v>
      </c>
      <c r="M1637">
        <v>303</v>
      </c>
      <c r="N1637" t="str">
        <f t="shared" ref="N1637:N1644" si="829">"RECEITAS COM ENTREGAS"</f>
        <v>RECEITAS COM ENTREGAS</v>
      </c>
      <c r="O1637">
        <v>320</v>
      </c>
      <c r="R1637" t="str">
        <f t="shared" ref="R1637:R1644" si="830">"RECEITAS COM ENTREGAS (303)"</f>
        <v>RECEITAS COM ENTREGAS (303)</v>
      </c>
      <c r="S1637">
        <v>1305</v>
      </c>
      <c r="T1637">
        <v>1024</v>
      </c>
      <c r="U1637" t="s">
        <v>19</v>
      </c>
    </row>
    <row r="1638" spans="1:21">
      <c r="A1638" t="str">
        <f t="shared" si="823"/>
        <v>02/04/2025</v>
      </c>
      <c r="B1638" t="str">
        <f t="shared" ref="B1638:B1644" si="831">"ENTRADA"</f>
        <v>ENTRADA</v>
      </c>
      <c r="C1638" t="str">
        <f t="shared" si="824"/>
        <v>NFSE</v>
      </c>
      <c r="D1638" t="str">
        <f>"2842"</f>
        <v>2842</v>
      </c>
      <c r="E1638" t="str">
        <f t="shared" si="825"/>
        <v>COM</v>
      </c>
      <c r="F1638" t="str">
        <f>"FRAN FARMA (10124)"</f>
        <v>FRAN FARMA (10124)</v>
      </c>
      <c r="G1638" t="str">
        <f>"Serv.Prest. 24/03/2025 a 30/03/2025 - RPS: 614 - NFSe: 2842"</f>
        <v>Serv.Prest. 24/03/2025 a 30/03/2025 - RPS: 614 - NFSe: 2842</v>
      </c>
      <c r="H1638" t="str">
        <f t="shared" si="826"/>
        <v>02/04/2025</v>
      </c>
      <c r="I1638" t="str">
        <f t="shared" si="827"/>
        <v>31/03/2025</v>
      </c>
      <c r="J1638" t="str">
        <f t="shared" si="828"/>
        <v>02/04/2025</v>
      </c>
      <c r="M1638">
        <v>303</v>
      </c>
      <c r="N1638" t="str">
        <f t="shared" si="829"/>
        <v>RECEITAS COM ENTREGAS</v>
      </c>
      <c r="P1638">
        <v>64</v>
      </c>
      <c r="Q1638" t="str">
        <f>"FRAN FARMA (10124)"</f>
        <v>FRAN FARMA (10124)</v>
      </c>
      <c r="R1638" t="str">
        <f t="shared" si="830"/>
        <v>RECEITAS COM ENTREGAS (303)</v>
      </c>
      <c r="S1638">
        <v>1305</v>
      </c>
      <c r="T1638">
        <v>1024</v>
      </c>
      <c r="U1638" t="s">
        <v>19</v>
      </c>
    </row>
    <row r="1639" spans="1:21">
      <c r="A1639" t="str">
        <f t="shared" si="823"/>
        <v>02/04/2025</v>
      </c>
      <c r="B1639" t="str">
        <f t="shared" si="831"/>
        <v>ENTRADA</v>
      </c>
      <c r="C1639" t="str">
        <f t="shared" si="824"/>
        <v>NFSE</v>
      </c>
      <c r="D1639" t="str">
        <f>"2842"</f>
        <v>2842</v>
      </c>
      <c r="E1639" t="str">
        <f t="shared" si="825"/>
        <v>COM</v>
      </c>
      <c r="F1639" t="str">
        <f>"FRAN FARMA (10124)"</f>
        <v>FRAN FARMA (10124)</v>
      </c>
      <c r="G1639" t="str">
        <f>"Serv.Prest. 24/03/2025 a 30/03/2025 - RPS: 614 - NFSe: 2842"</f>
        <v>Serv.Prest. 24/03/2025 a 30/03/2025 - RPS: 614 - NFSe: 2842</v>
      </c>
      <c r="H1639" t="str">
        <f t="shared" si="826"/>
        <v>02/04/2025</v>
      </c>
      <c r="I1639" t="str">
        <f t="shared" si="827"/>
        <v>31/03/2025</v>
      </c>
      <c r="J1639" t="str">
        <f t="shared" si="828"/>
        <v>02/04/2025</v>
      </c>
      <c r="M1639">
        <v>303</v>
      </c>
      <c r="N1639" t="str">
        <f t="shared" si="829"/>
        <v>RECEITAS COM ENTREGAS</v>
      </c>
      <c r="P1639">
        <v>192</v>
      </c>
      <c r="Q1639" t="str">
        <f>"FRAN FARMA LJ 2 (10131)"</f>
        <v>FRAN FARMA LJ 2 (10131)</v>
      </c>
      <c r="R1639" t="str">
        <f t="shared" si="830"/>
        <v>RECEITAS COM ENTREGAS (303)</v>
      </c>
      <c r="S1639">
        <v>1305</v>
      </c>
      <c r="T1639">
        <v>1024</v>
      </c>
      <c r="U1639" t="s">
        <v>19</v>
      </c>
    </row>
    <row r="1640" spans="1:21">
      <c r="A1640" t="str">
        <f t="shared" si="823"/>
        <v>02/04/2025</v>
      </c>
      <c r="B1640" t="str">
        <f t="shared" si="831"/>
        <v>ENTRADA</v>
      </c>
      <c r="C1640" t="str">
        <f t="shared" si="824"/>
        <v>NFSE</v>
      </c>
      <c r="D1640" t="str">
        <f>"2842"</f>
        <v>2842</v>
      </c>
      <c r="E1640" t="str">
        <f t="shared" si="825"/>
        <v>COM</v>
      </c>
      <c r="F1640" t="str">
        <f>"FRAN FARMA (10124)"</f>
        <v>FRAN FARMA (10124)</v>
      </c>
      <c r="G1640" t="str">
        <f>"Serv.Prest. 24/03/2025 a 30/03/2025 - RPS: 614 - NFSe: 2842"</f>
        <v>Serv.Prest. 24/03/2025 a 30/03/2025 - RPS: 614 - NFSe: 2842</v>
      </c>
      <c r="H1640" t="str">
        <f t="shared" si="826"/>
        <v>02/04/2025</v>
      </c>
      <c r="I1640" t="str">
        <f t="shared" si="827"/>
        <v>31/03/2025</v>
      </c>
      <c r="J1640" t="str">
        <f t="shared" si="828"/>
        <v>02/04/2025</v>
      </c>
      <c r="M1640">
        <v>303</v>
      </c>
      <c r="N1640" t="str">
        <f t="shared" si="829"/>
        <v>RECEITAS COM ENTREGAS</v>
      </c>
      <c r="P1640">
        <v>64</v>
      </c>
      <c r="Q1640" t="str">
        <f>"FRAN FARMA LJ 3 (10132)"</f>
        <v>FRAN FARMA LJ 3 (10132)</v>
      </c>
      <c r="R1640" t="str">
        <f t="shared" si="830"/>
        <v>RECEITAS COM ENTREGAS (303)</v>
      </c>
      <c r="S1640">
        <v>1305</v>
      </c>
      <c r="T1640">
        <v>1024</v>
      </c>
      <c r="U1640" t="s">
        <v>19</v>
      </c>
    </row>
    <row r="1641" spans="1:21">
      <c r="A1641" t="str">
        <f t="shared" si="823"/>
        <v>02/04/2025</v>
      </c>
      <c r="B1641" t="str">
        <f t="shared" si="831"/>
        <v>ENTRADA</v>
      </c>
      <c r="C1641" t="str">
        <f t="shared" si="824"/>
        <v>NFSE</v>
      </c>
      <c r="D1641" t="str">
        <f>"2844"</f>
        <v>2844</v>
      </c>
      <c r="E1641" t="str">
        <f t="shared" si="825"/>
        <v>COM</v>
      </c>
      <c r="F1641" t="str">
        <f>"JAL FARMACIA E DROGARIA LJ 2 (10138)"</f>
        <v>JAL FARMACIA E DROGARIA LJ 2 (10138)</v>
      </c>
      <c r="G1641" t="str">
        <f>"Serv.Prest. 24/03/2025 a 30/03/2025 - RPS: 616 - NFSe: 2844"</f>
        <v>Serv.Prest. 24/03/2025 a 30/03/2025 - RPS: 616 - NFSe: 2844</v>
      </c>
      <c r="H1641" t="str">
        <f t="shared" si="826"/>
        <v>02/04/2025</v>
      </c>
      <c r="I1641" t="str">
        <f t="shared" si="827"/>
        <v>31/03/2025</v>
      </c>
      <c r="J1641" t="str">
        <f t="shared" si="828"/>
        <v>02/04/2025</v>
      </c>
      <c r="K1641">
        <v>225.6</v>
      </c>
      <c r="L1641">
        <v>225.6</v>
      </c>
      <c r="M1641">
        <v>303</v>
      </c>
      <c r="N1641" t="str">
        <f t="shared" si="829"/>
        <v>RECEITAS COM ENTREGAS</v>
      </c>
      <c r="O1641">
        <v>225.6</v>
      </c>
      <c r="R1641" t="str">
        <f t="shared" si="830"/>
        <v>RECEITAS COM ENTREGAS (303)</v>
      </c>
      <c r="S1641">
        <v>1306</v>
      </c>
      <c r="T1641">
        <v>1026</v>
      </c>
      <c r="U1641" t="s">
        <v>19</v>
      </c>
    </row>
    <row r="1642" spans="1:21">
      <c r="A1642" t="str">
        <f t="shared" si="823"/>
        <v>02/04/2025</v>
      </c>
      <c r="B1642" t="str">
        <f t="shared" si="831"/>
        <v>ENTRADA</v>
      </c>
      <c r="C1642" t="str">
        <f t="shared" si="824"/>
        <v>NFSE</v>
      </c>
      <c r="D1642" t="str">
        <f>"2844"</f>
        <v>2844</v>
      </c>
      <c r="E1642" t="str">
        <f t="shared" si="825"/>
        <v>COM</v>
      </c>
      <c r="F1642" t="str">
        <f>"JAL FARMACIA E DROGARIA LJ 2 (10138)"</f>
        <v>JAL FARMACIA E DROGARIA LJ 2 (10138)</v>
      </c>
      <c r="G1642" t="str">
        <f>"Serv.Prest. 24/03/2025 a 30/03/2025 - RPS: 616 - NFSe: 2844"</f>
        <v>Serv.Prest. 24/03/2025 a 30/03/2025 - RPS: 616 - NFSe: 2844</v>
      </c>
      <c r="H1642" t="str">
        <f t="shared" si="826"/>
        <v>02/04/2025</v>
      </c>
      <c r="I1642" t="str">
        <f t="shared" si="827"/>
        <v>31/03/2025</v>
      </c>
      <c r="J1642" t="str">
        <f t="shared" si="828"/>
        <v>02/04/2025</v>
      </c>
      <c r="M1642">
        <v>303</v>
      </c>
      <c r="N1642" t="str">
        <f t="shared" si="829"/>
        <v>RECEITAS COM ENTREGAS</v>
      </c>
      <c r="P1642">
        <v>225.6</v>
      </c>
      <c r="Q1642" t="str">
        <f>"JAL FARMACIA E DROGARIA LJ 2 (10138)"</f>
        <v>JAL FARMACIA E DROGARIA LJ 2 (10138)</v>
      </c>
      <c r="R1642" t="str">
        <f t="shared" si="830"/>
        <v>RECEITAS COM ENTREGAS (303)</v>
      </c>
      <c r="S1642">
        <v>1306</v>
      </c>
      <c r="T1642">
        <v>1026</v>
      </c>
      <c r="U1642" t="s">
        <v>19</v>
      </c>
    </row>
    <row r="1643" spans="1:21">
      <c r="A1643" t="str">
        <f t="shared" si="823"/>
        <v>02/04/2025</v>
      </c>
      <c r="B1643" t="str">
        <f t="shared" si="831"/>
        <v>ENTRADA</v>
      </c>
      <c r="C1643" t="str">
        <f t="shared" si="824"/>
        <v>NFSE</v>
      </c>
      <c r="D1643" t="str">
        <f>"2853"</f>
        <v>2853</v>
      </c>
      <c r="E1643" t="str">
        <f t="shared" si="825"/>
        <v>COM</v>
      </c>
      <c r="F1643" t="str">
        <f>"DROGARIA MEDALHA (10163)"</f>
        <v>DROGARIA MEDALHA (10163)</v>
      </c>
      <c r="G1643" t="str">
        <f>"Serv.Prest. 24/03/2025 a 30/03/2025 - RPS: 625 - NFSe: 2853"</f>
        <v>Serv.Prest. 24/03/2025 a 30/03/2025 - RPS: 625 - NFSe: 2853</v>
      </c>
      <c r="H1643" t="str">
        <f t="shared" si="826"/>
        <v>02/04/2025</v>
      </c>
      <c r="I1643" t="str">
        <f>("01/04/2025")</f>
        <v>01/04/2025</v>
      </c>
      <c r="J1643" t="str">
        <f t="shared" si="828"/>
        <v>02/04/2025</v>
      </c>
      <c r="K1643">
        <v>160.43</v>
      </c>
      <c r="L1643">
        <v>160.43</v>
      </c>
      <c r="M1643">
        <v>303</v>
      </c>
      <c r="N1643" t="str">
        <f t="shared" si="829"/>
        <v>RECEITAS COM ENTREGAS</v>
      </c>
      <c r="O1643">
        <v>160.43</v>
      </c>
      <c r="R1643" t="str">
        <f t="shared" si="830"/>
        <v>RECEITAS COM ENTREGAS (303)</v>
      </c>
      <c r="S1643">
        <v>1307</v>
      </c>
      <c r="T1643">
        <v>1035</v>
      </c>
      <c r="U1643" t="s">
        <v>19</v>
      </c>
    </row>
    <row r="1644" spans="1:21">
      <c r="A1644" t="str">
        <f t="shared" si="823"/>
        <v>02/04/2025</v>
      </c>
      <c r="B1644" t="str">
        <f t="shared" si="831"/>
        <v>ENTRADA</v>
      </c>
      <c r="C1644" t="str">
        <f t="shared" si="824"/>
        <v>NFSE</v>
      </c>
      <c r="D1644" t="str">
        <f>"2853"</f>
        <v>2853</v>
      </c>
      <c r="E1644" t="str">
        <f t="shared" si="825"/>
        <v>COM</v>
      </c>
      <c r="F1644" t="str">
        <f>"DROGARIA MEDALHA (10163)"</f>
        <v>DROGARIA MEDALHA (10163)</v>
      </c>
      <c r="G1644" t="str">
        <f>"Serv.Prest. 24/03/2025 a 30/03/2025 - RPS: 625 - NFSe: 2853"</f>
        <v>Serv.Prest. 24/03/2025 a 30/03/2025 - RPS: 625 - NFSe: 2853</v>
      </c>
      <c r="H1644" t="str">
        <f t="shared" si="826"/>
        <v>02/04/2025</v>
      </c>
      <c r="I1644" t="str">
        <f>("01/04/2025")</f>
        <v>01/04/2025</v>
      </c>
      <c r="J1644" t="str">
        <f t="shared" si="828"/>
        <v>02/04/2025</v>
      </c>
      <c r="M1644">
        <v>303</v>
      </c>
      <c r="N1644" t="str">
        <f t="shared" si="829"/>
        <v>RECEITAS COM ENTREGAS</v>
      </c>
      <c r="P1644">
        <v>160.43</v>
      </c>
      <c r="Q1644" t="str">
        <f>"DROGARIA MEDALHA (10163)"</f>
        <v>DROGARIA MEDALHA (10163)</v>
      </c>
      <c r="R1644" t="str">
        <f t="shared" si="830"/>
        <v>RECEITAS COM ENTREGAS (303)</v>
      </c>
      <c r="S1644">
        <v>1307</v>
      </c>
      <c r="T1644">
        <v>1035</v>
      </c>
      <c r="U1644" t="s">
        <v>19</v>
      </c>
    </row>
    <row r="1645" spans="1:21">
      <c r="A1645" t="str">
        <f t="shared" si="823"/>
        <v>02/04/2025</v>
      </c>
      <c r="B1645" t="str">
        <f>"SAÍDA"</f>
        <v>SAÍDA</v>
      </c>
      <c r="C1645" t="str">
        <f>"JUROS"</f>
        <v>JUROS</v>
      </c>
      <c r="D1645" t="str">
        <f>""</f>
        <v/>
      </c>
      <c r="E1645" t="str">
        <f>"CXA"</f>
        <v>CXA</v>
      </c>
      <c r="F1645" t="str">
        <f>""</f>
        <v/>
      </c>
      <c r="G1645" t="str">
        <f>"TAXA BOLETO COMPENSADO"</f>
        <v>TAXA BOLETO COMPENSADO</v>
      </c>
      <c r="H1645" t="str">
        <f t="shared" si="826"/>
        <v>02/04/2025</v>
      </c>
      <c r="I1645" t="str">
        <f>("02/04/2025")</f>
        <v>02/04/2025</v>
      </c>
      <c r="J1645" t="str">
        <f t="shared" si="828"/>
        <v>02/04/2025</v>
      </c>
      <c r="K1645">
        <v>1.7</v>
      </c>
      <c r="L1645">
        <v>1.7</v>
      </c>
      <c r="M1645">
        <v>401</v>
      </c>
      <c r="N1645" t="str">
        <f>"IOF/JUROS/DESP.FINANCEIRA"</f>
        <v>IOF/JUROS/DESP.FINANCEIRA</v>
      </c>
      <c r="O1645">
        <v>1.7</v>
      </c>
      <c r="R1645" t="str">
        <f>"BANCO CORA (102)"</f>
        <v>BANCO CORA (102)</v>
      </c>
      <c r="S1645">
        <v>1320</v>
      </c>
      <c r="T1645">
        <v>0</v>
      </c>
      <c r="U1645" t="s">
        <v>20</v>
      </c>
    </row>
    <row r="1646" spans="1:21">
      <c r="A1646" t="str">
        <f t="shared" si="823"/>
        <v>02/04/2025</v>
      </c>
      <c r="B1646" t="str">
        <f>"SAÍDA"</f>
        <v>SAÍDA</v>
      </c>
      <c r="C1646" t="str">
        <f>"JUROS"</f>
        <v>JUROS</v>
      </c>
      <c r="D1646" t="str">
        <f>""</f>
        <v/>
      </c>
      <c r="E1646" t="str">
        <f>"CXA"</f>
        <v>CXA</v>
      </c>
      <c r="F1646" t="str">
        <f>""</f>
        <v/>
      </c>
      <c r="G1646" t="str">
        <f>"TAXA BOLETO COMPENSADO"</f>
        <v>TAXA BOLETO COMPENSADO</v>
      </c>
      <c r="H1646" t="str">
        <f t="shared" si="826"/>
        <v>02/04/2025</v>
      </c>
      <c r="I1646" t="str">
        <f>("02/04/2025")</f>
        <v>02/04/2025</v>
      </c>
      <c r="J1646" t="str">
        <f t="shared" si="828"/>
        <v>02/04/2025</v>
      </c>
      <c r="K1646">
        <v>1.7</v>
      </c>
      <c r="L1646">
        <v>1.7</v>
      </c>
      <c r="M1646">
        <v>401</v>
      </c>
      <c r="N1646" t="str">
        <f>"IOF/JUROS/DESP.FINANCEIRA"</f>
        <v>IOF/JUROS/DESP.FINANCEIRA</v>
      </c>
      <c r="O1646">
        <v>1.7</v>
      </c>
      <c r="R1646" t="str">
        <f>"BANCO CORA (102)"</f>
        <v>BANCO CORA (102)</v>
      </c>
      <c r="S1646">
        <v>1321</v>
      </c>
      <c r="T1646">
        <v>0</v>
      </c>
      <c r="U1646" t="s">
        <v>20</v>
      </c>
    </row>
    <row r="1647" spans="1:21">
      <c r="A1647" t="str">
        <f t="shared" si="823"/>
        <v>02/04/2025</v>
      </c>
      <c r="B1647" t="str">
        <f>"SAÍDA"</f>
        <v>SAÍDA</v>
      </c>
      <c r="C1647" t="str">
        <f>"JUROS"</f>
        <v>JUROS</v>
      </c>
      <c r="D1647" t="str">
        <f>""</f>
        <v/>
      </c>
      <c r="E1647" t="str">
        <f>"CXA"</f>
        <v>CXA</v>
      </c>
      <c r="F1647" t="str">
        <f>""</f>
        <v/>
      </c>
      <c r="G1647" t="str">
        <f>"TAXA BOLETO COMPENSADO"</f>
        <v>TAXA BOLETO COMPENSADO</v>
      </c>
      <c r="H1647" t="str">
        <f t="shared" si="826"/>
        <v>02/04/2025</v>
      </c>
      <c r="I1647" t="str">
        <f>("02/04/2025")</f>
        <v>02/04/2025</v>
      </c>
      <c r="J1647" t="str">
        <f t="shared" si="828"/>
        <v>02/04/2025</v>
      </c>
      <c r="K1647">
        <v>1.7</v>
      </c>
      <c r="L1647">
        <v>1.7</v>
      </c>
      <c r="M1647">
        <v>401</v>
      </c>
      <c r="N1647" t="str">
        <f>"IOF/JUROS/DESP.FINANCEIRA"</f>
        <v>IOF/JUROS/DESP.FINANCEIRA</v>
      </c>
      <c r="O1647">
        <v>1.7</v>
      </c>
      <c r="R1647" t="str">
        <f>"BANCO CORA (102)"</f>
        <v>BANCO CORA (102)</v>
      </c>
      <c r="S1647">
        <v>1322</v>
      </c>
      <c r="T1647">
        <v>0</v>
      </c>
      <c r="U1647" t="s">
        <v>20</v>
      </c>
    </row>
    <row r="1648" spans="1:21">
      <c r="A1648" t="str">
        <f t="shared" ref="A1648:A1664" si="832">("03/04/2025")</f>
        <v>03/04/2025</v>
      </c>
      <c r="B1648" t="str">
        <f>"ENTRADA"</f>
        <v>ENTRADA</v>
      </c>
      <c r="C1648" t="str">
        <f t="shared" ref="C1648:C1657" si="833">"NFSE"</f>
        <v>NFSE</v>
      </c>
      <c r="D1648" t="str">
        <f>"2839"</f>
        <v>2839</v>
      </c>
      <c r="E1648" t="str">
        <f t="shared" ref="E1648:E1659" si="834">"COM"</f>
        <v>COM</v>
      </c>
      <c r="F1648" t="str">
        <f>"DROGA ELIDA (10121)"</f>
        <v>DROGA ELIDA (10121)</v>
      </c>
      <c r="G1648" t="str">
        <f>"Serv.Prest. 24/03/2025 a 30/03/2025 - RPS: 611 - NFSe: 2839"</f>
        <v>Serv.Prest. 24/03/2025 a 30/03/2025 - RPS: 611 - NFSe: 2839</v>
      </c>
      <c r="H1648" t="str">
        <f t="shared" si="826"/>
        <v>02/04/2025</v>
      </c>
      <c r="I1648" t="str">
        <f t="shared" ref="I1648:I1657" si="835">("31/03/2025")</f>
        <v>31/03/2025</v>
      </c>
      <c r="J1648" t="str">
        <f t="shared" ref="J1648:J1664" si="836">("03/04/2025")</f>
        <v>03/04/2025</v>
      </c>
      <c r="K1648">
        <v>350.4</v>
      </c>
      <c r="L1648">
        <v>350.4</v>
      </c>
      <c r="M1648">
        <v>303</v>
      </c>
      <c r="N1648" t="str">
        <f t="shared" ref="N1648:N1657" si="837">"RECEITAS COM ENTREGAS"</f>
        <v>RECEITAS COM ENTREGAS</v>
      </c>
      <c r="O1648">
        <v>350.4</v>
      </c>
      <c r="R1648" t="str">
        <f t="shared" ref="R1648:R1657" si="838">"RECEITAS COM ENTREGAS (303)"</f>
        <v>RECEITAS COM ENTREGAS (303)</v>
      </c>
      <c r="S1648">
        <v>1308</v>
      </c>
      <c r="T1648">
        <v>1021</v>
      </c>
      <c r="U1648" t="s">
        <v>19</v>
      </c>
    </row>
    <row r="1649" spans="1:21">
      <c r="A1649" t="str">
        <f t="shared" si="832"/>
        <v>03/04/2025</v>
      </c>
      <c r="B1649" t="str">
        <f t="shared" ref="B1649:B1657" si="839">"ENTRADA"</f>
        <v>ENTRADA</v>
      </c>
      <c r="C1649" t="str">
        <f t="shared" si="833"/>
        <v>NFSE</v>
      </c>
      <c r="D1649" t="str">
        <f>"2839"</f>
        <v>2839</v>
      </c>
      <c r="E1649" t="str">
        <f t="shared" si="834"/>
        <v>COM</v>
      </c>
      <c r="F1649" t="str">
        <f>"DROGA ELIDA (10121)"</f>
        <v>DROGA ELIDA (10121)</v>
      </c>
      <c r="G1649" t="str">
        <f>"Serv.Prest. 24/03/2025 a 30/03/2025 - RPS: 611 - NFSe: 2839"</f>
        <v>Serv.Prest. 24/03/2025 a 30/03/2025 - RPS: 611 - NFSe: 2839</v>
      </c>
      <c r="H1649" t="str">
        <f t="shared" si="826"/>
        <v>02/04/2025</v>
      </c>
      <c r="I1649" t="str">
        <f t="shared" si="835"/>
        <v>31/03/2025</v>
      </c>
      <c r="J1649" t="str">
        <f t="shared" si="836"/>
        <v>03/04/2025</v>
      </c>
      <c r="M1649">
        <v>303</v>
      </c>
      <c r="N1649" t="str">
        <f t="shared" si="837"/>
        <v>RECEITAS COM ENTREGAS</v>
      </c>
      <c r="P1649">
        <v>350.4</v>
      </c>
      <c r="Q1649" t="str">
        <f>"DROGA ELIDA (10121)"</f>
        <v>DROGA ELIDA (10121)</v>
      </c>
      <c r="R1649" t="str">
        <f t="shared" si="838"/>
        <v>RECEITAS COM ENTREGAS (303)</v>
      </c>
      <c r="S1649">
        <v>1308</v>
      </c>
      <c r="T1649">
        <v>1021</v>
      </c>
      <c r="U1649" t="s">
        <v>19</v>
      </c>
    </row>
    <row r="1650" spans="1:21">
      <c r="A1650" t="str">
        <f t="shared" si="832"/>
        <v>03/04/2025</v>
      </c>
      <c r="B1650" t="str">
        <f t="shared" si="839"/>
        <v>ENTRADA</v>
      </c>
      <c r="C1650" t="str">
        <f t="shared" si="833"/>
        <v>NFSE</v>
      </c>
      <c r="D1650" t="str">
        <f>"2840"</f>
        <v>2840</v>
      </c>
      <c r="E1650" t="str">
        <f t="shared" si="834"/>
        <v>COM</v>
      </c>
      <c r="F1650" t="str">
        <f>"DROGA MONICA (10147)"</f>
        <v>DROGA MONICA (10147)</v>
      </c>
      <c r="G1650" t="str">
        <f>"Serv.Prest. 24/03/2025 a 30/03/2025 - RPS: 612 - NFSe: 2840"</f>
        <v>Serv.Prest. 24/03/2025 a 30/03/2025 - RPS: 612 - NFSe: 2840</v>
      </c>
      <c r="H1650" t="str">
        <f t="shared" si="826"/>
        <v>02/04/2025</v>
      </c>
      <c r="I1650" t="str">
        <f t="shared" si="835"/>
        <v>31/03/2025</v>
      </c>
      <c r="J1650" t="str">
        <f t="shared" si="836"/>
        <v>03/04/2025</v>
      </c>
      <c r="K1650">
        <v>206.4</v>
      </c>
      <c r="L1650">
        <v>206.4</v>
      </c>
      <c r="M1650">
        <v>303</v>
      </c>
      <c r="N1650" t="str">
        <f t="shared" si="837"/>
        <v>RECEITAS COM ENTREGAS</v>
      </c>
      <c r="O1650">
        <v>206.4</v>
      </c>
      <c r="R1650" t="str">
        <f t="shared" si="838"/>
        <v>RECEITAS COM ENTREGAS (303)</v>
      </c>
      <c r="S1650">
        <v>1309</v>
      </c>
      <c r="T1650">
        <v>1022</v>
      </c>
      <c r="U1650" t="s">
        <v>19</v>
      </c>
    </row>
    <row r="1651" spans="1:21">
      <c r="A1651" t="str">
        <f t="shared" si="832"/>
        <v>03/04/2025</v>
      </c>
      <c r="B1651" t="str">
        <f t="shared" si="839"/>
        <v>ENTRADA</v>
      </c>
      <c r="C1651" t="str">
        <f t="shared" si="833"/>
        <v>NFSE</v>
      </c>
      <c r="D1651" t="str">
        <f>"2840"</f>
        <v>2840</v>
      </c>
      <c r="E1651" t="str">
        <f t="shared" si="834"/>
        <v>COM</v>
      </c>
      <c r="F1651" t="str">
        <f>"DROGA MONICA (10147)"</f>
        <v>DROGA MONICA (10147)</v>
      </c>
      <c r="G1651" t="str">
        <f>"Serv.Prest. 24/03/2025 a 30/03/2025 - RPS: 612 - NFSe: 2840"</f>
        <v>Serv.Prest. 24/03/2025 a 30/03/2025 - RPS: 612 - NFSe: 2840</v>
      </c>
      <c r="H1651" t="str">
        <f t="shared" si="826"/>
        <v>02/04/2025</v>
      </c>
      <c r="I1651" t="str">
        <f t="shared" si="835"/>
        <v>31/03/2025</v>
      </c>
      <c r="J1651" t="str">
        <f t="shared" si="836"/>
        <v>03/04/2025</v>
      </c>
      <c r="M1651">
        <v>303</v>
      </c>
      <c r="N1651" t="str">
        <f t="shared" si="837"/>
        <v>RECEITAS COM ENTREGAS</v>
      </c>
      <c r="P1651">
        <v>206.4</v>
      </c>
      <c r="Q1651" t="str">
        <f>"DROGA MONICA (10147)"</f>
        <v>DROGA MONICA (10147)</v>
      </c>
      <c r="R1651" t="str">
        <f t="shared" si="838"/>
        <v>RECEITAS COM ENTREGAS (303)</v>
      </c>
      <c r="S1651">
        <v>1309</v>
      </c>
      <c r="T1651">
        <v>1022</v>
      </c>
      <c r="U1651" t="s">
        <v>19</v>
      </c>
    </row>
    <row r="1652" spans="1:21">
      <c r="A1652" t="str">
        <f t="shared" si="832"/>
        <v>03/04/2025</v>
      </c>
      <c r="B1652" t="str">
        <f t="shared" si="839"/>
        <v>ENTRADA</v>
      </c>
      <c r="C1652" t="str">
        <f t="shared" si="833"/>
        <v>NFSE</v>
      </c>
      <c r="D1652" t="str">
        <f>"2841"</f>
        <v>2841</v>
      </c>
      <c r="E1652" t="str">
        <f t="shared" si="834"/>
        <v>COM</v>
      </c>
      <c r="F1652" t="str">
        <f>"DROGA MONICA LJ 3 (10152)"</f>
        <v>DROGA MONICA LJ 3 (10152)</v>
      </c>
      <c r="G1652" t="str">
        <f>"Serv.Prest. 24/03/2025 a 30/03/2025 - RPS: 613 - NFSe: 2841"</f>
        <v>Serv.Prest. 24/03/2025 a 30/03/2025 - RPS: 613 - NFSe: 2841</v>
      </c>
      <c r="H1652" t="str">
        <f t="shared" si="826"/>
        <v>02/04/2025</v>
      </c>
      <c r="I1652" t="str">
        <f t="shared" si="835"/>
        <v>31/03/2025</v>
      </c>
      <c r="J1652" t="str">
        <f t="shared" si="836"/>
        <v>03/04/2025</v>
      </c>
      <c r="K1652">
        <v>206.4</v>
      </c>
      <c r="L1652">
        <v>206.4</v>
      </c>
      <c r="M1652">
        <v>303</v>
      </c>
      <c r="N1652" t="str">
        <f t="shared" si="837"/>
        <v>RECEITAS COM ENTREGAS</v>
      </c>
      <c r="O1652">
        <v>206.4</v>
      </c>
      <c r="R1652" t="str">
        <f t="shared" si="838"/>
        <v>RECEITAS COM ENTREGAS (303)</v>
      </c>
      <c r="S1652">
        <v>1310</v>
      </c>
      <c r="T1652">
        <v>1023</v>
      </c>
      <c r="U1652" t="s">
        <v>19</v>
      </c>
    </row>
    <row r="1653" spans="1:21">
      <c r="A1653" t="str">
        <f t="shared" si="832"/>
        <v>03/04/2025</v>
      </c>
      <c r="B1653" t="str">
        <f t="shared" si="839"/>
        <v>ENTRADA</v>
      </c>
      <c r="C1653" t="str">
        <f t="shared" si="833"/>
        <v>NFSE</v>
      </c>
      <c r="D1653" t="str">
        <f>"2841"</f>
        <v>2841</v>
      </c>
      <c r="E1653" t="str">
        <f t="shared" si="834"/>
        <v>COM</v>
      </c>
      <c r="F1653" t="str">
        <f>"DROGA MONICA LJ 3 (10152)"</f>
        <v>DROGA MONICA LJ 3 (10152)</v>
      </c>
      <c r="G1653" t="str">
        <f>"Serv.Prest. 24/03/2025 a 30/03/2025 - RPS: 613 - NFSe: 2841"</f>
        <v>Serv.Prest. 24/03/2025 a 30/03/2025 - RPS: 613 - NFSe: 2841</v>
      </c>
      <c r="H1653" t="str">
        <f t="shared" si="826"/>
        <v>02/04/2025</v>
      </c>
      <c r="I1653" t="str">
        <f t="shared" si="835"/>
        <v>31/03/2025</v>
      </c>
      <c r="J1653" t="str">
        <f t="shared" si="836"/>
        <v>03/04/2025</v>
      </c>
      <c r="M1653">
        <v>303</v>
      </c>
      <c r="N1653" t="str">
        <f t="shared" si="837"/>
        <v>RECEITAS COM ENTREGAS</v>
      </c>
      <c r="P1653">
        <v>206.4</v>
      </c>
      <c r="Q1653" t="str">
        <f>"DROGA MONICA LJ 3 (10152)"</f>
        <v>DROGA MONICA LJ 3 (10152)</v>
      </c>
      <c r="R1653" t="str">
        <f t="shared" si="838"/>
        <v>RECEITAS COM ENTREGAS (303)</v>
      </c>
      <c r="S1653">
        <v>1310</v>
      </c>
      <c r="T1653">
        <v>1023</v>
      </c>
      <c r="U1653" t="s">
        <v>19</v>
      </c>
    </row>
    <row r="1654" spans="1:21">
      <c r="A1654" t="str">
        <f t="shared" si="832"/>
        <v>03/04/2025</v>
      </c>
      <c r="B1654" t="str">
        <f t="shared" si="839"/>
        <v>ENTRADA</v>
      </c>
      <c r="C1654" t="str">
        <f t="shared" si="833"/>
        <v>NFSE</v>
      </c>
      <c r="D1654" t="str">
        <f>"2843"</f>
        <v>2843</v>
      </c>
      <c r="E1654" t="str">
        <f t="shared" si="834"/>
        <v>COM</v>
      </c>
      <c r="F1654" t="str">
        <f>"JAL FARMACIA E DROGARIA LJ 1 (10137)"</f>
        <v>JAL FARMACIA E DROGARIA LJ 1 (10137)</v>
      </c>
      <c r="G1654" t="str">
        <f>"Serv.Prest. 24/03/2025 a 30/03/2025 - RPS: 615 - NFSe: 2843"</f>
        <v>Serv.Prest. 24/03/2025 a 30/03/2025 - RPS: 615 - NFSe: 2843</v>
      </c>
      <c r="H1654" t="str">
        <f t="shared" si="826"/>
        <v>02/04/2025</v>
      </c>
      <c r="I1654" t="str">
        <f t="shared" si="835"/>
        <v>31/03/2025</v>
      </c>
      <c r="J1654" t="str">
        <f t="shared" si="836"/>
        <v>03/04/2025</v>
      </c>
      <c r="K1654">
        <v>387.2</v>
      </c>
      <c r="L1654">
        <v>387.2</v>
      </c>
      <c r="M1654">
        <v>303</v>
      </c>
      <c r="N1654" t="str">
        <f t="shared" si="837"/>
        <v>RECEITAS COM ENTREGAS</v>
      </c>
      <c r="O1654">
        <v>387.2</v>
      </c>
      <c r="R1654" t="str">
        <f t="shared" si="838"/>
        <v>RECEITAS COM ENTREGAS (303)</v>
      </c>
      <c r="S1654">
        <v>1311</v>
      </c>
      <c r="T1654">
        <v>1025</v>
      </c>
      <c r="U1654" t="s">
        <v>19</v>
      </c>
    </row>
    <row r="1655" spans="1:21">
      <c r="A1655" t="str">
        <f t="shared" si="832"/>
        <v>03/04/2025</v>
      </c>
      <c r="B1655" t="str">
        <f t="shared" si="839"/>
        <v>ENTRADA</v>
      </c>
      <c r="C1655" t="str">
        <f t="shared" si="833"/>
        <v>NFSE</v>
      </c>
      <c r="D1655" t="str">
        <f>"2843"</f>
        <v>2843</v>
      </c>
      <c r="E1655" t="str">
        <f t="shared" si="834"/>
        <v>COM</v>
      </c>
      <c r="F1655" t="str">
        <f>"JAL FARMACIA E DROGARIA LJ 1 (10137)"</f>
        <v>JAL FARMACIA E DROGARIA LJ 1 (10137)</v>
      </c>
      <c r="G1655" t="str">
        <f>"Serv.Prest. 24/03/2025 a 30/03/2025 - RPS: 615 - NFSe: 2843"</f>
        <v>Serv.Prest. 24/03/2025 a 30/03/2025 - RPS: 615 - NFSe: 2843</v>
      </c>
      <c r="H1655" t="str">
        <f t="shared" si="826"/>
        <v>02/04/2025</v>
      </c>
      <c r="I1655" t="str">
        <f t="shared" si="835"/>
        <v>31/03/2025</v>
      </c>
      <c r="J1655" t="str">
        <f t="shared" si="836"/>
        <v>03/04/2025</v>
      </c>
      <c r="M1655">
        <v>303</v>
      </c>
      <c r="N1655" t="str">
        <f t="shared" si="837"/>
        <v>RECEITAS COM ENTREGAS</v>
      </c>
      <c r="P1655">
        <v>387.2</v>
      </c>
      <c r="Q1655" t="str">
        <f>"JAL FARMACIA E DROGARIA LJ 1 (10137)"</f>
        <v>JAL FARMACIA E DROGARIA LJ 1 (10137)</v>
      </c>
      <c r="R1655" t="str">
        <f t="shared" si="838"/>
        <v>RECEITAS COM ENTREGAS (303)</v>
      </c>
      <c r="S1655">
        <v>1311</v>
      </c>
      <c r="T1655">
        <v>1025</v>
      </c>
      <c r="U1655" t="s">
        <v>19</v>
      </c>
    </row>
    <row r="1656" spans="1:21">
      <c r="A1656" t="str">
        <f t="shared" si="832"/>
        <v>03/04/2025</v>
      </c>
      <c r="B1656" t="str">
        <f t="shared" si="839"/>
        <v>ENTRADA</v>
      </c>
      <c r="C1656" t="str">
        <f t="shared" si="833"/>
        <v>NFSE</v>
      </c>
      <c r="D1656" t="str">
        <f>"2847"</f>
        <v>2847</v>
      </c>
      <c r="E1656" t="str">
        <f t="shared" si="834"/>
        <v>COM</v>
      </c>
      <c r="F1656" t="str">
        <f>"DROGARIA POUPA MINAS (ULTRAMINAS) 3 (10129)"</f>
        <v>DROGARIA POUPA MINAS (ULTRAMINAS) 3 (10129)</v>
      </c>
      <c r="G1656" t="str">
        <f>"Serv.Prest. 24/03/2025 a 30/03/2025 - RPS: 619 - NFSe: 2847"</f>
        <v>Serv.Prest. 24/03/2025 a 30/03/2025 - RPS: 619 - NFSe: 2847</v>
      </c>
      <c r="H1656" t="str">
        <f t="shared" ref="H1656:H1664" si="840">("03/04/2025")</f>
        <v>03/04/2025</v>
      </c>
      <c r="I1656" t="str">
        <f t="shared" si="835"/>
        <v>31/03/2025</v>
      </c>
      <c r="J1656" t="str">
        <f t="shared" si="836"/>
        <v>03/04/2025</v>
      </c>
      <c r="K1656">
        <v>160.16</v>
      </c>
      <c r="L1656">
        <v>160.16</v>
      </c>
      <c r="M1656">
        <v>303</v>
      </c>
      <c r="N1656" t="str">
        <f t="shared" si="837"/>
        <v>RECEITAS COM ENTREGAS</v>
      </c>
      <c r="O1656">
        <v>160.16</v>
      </c>
      <c r="R1656" t="str">
        <f t="shared" si="838"/>
        <v>RECEITAS COM ENTREGAS (303)</v>
      </c>
      <c r="S1656">
        <v>1312</v>
      </c>
      <c r="T1656">
        <v>1029</v>
      </c>
      <c r="U1656" t="s">
        <v>19</v>
      </c>
    </row>
    <row r="1657" spans="1:21">
      <c r="A1657" t="str">
        <f t="shared" si="832"/>
        <v>03/04/2025</v>
      </c>
      <c r="B1657" t="str">
        <f t="shared" si="839"/>
        <v>ENTRADA</v>
      </c>
      <c r="C1657" t="str">
        <f t="shared" si="833"/>
        <v>NFSE</v>
      </c>
      <c r="D1657" t="str">
        <f>"2847"</f>
        <v>2847</v>
      </c>
      <c r="E1657" t="str">
        <f t="shared" si="834"/>
        <v>COM</v>
      </c>
      <c r="F1657" t="str">
        <f>"DROGARIA POUPA MINAS (ULTRAMINAS) 3 (10129)"</f>
        <v>DROGARIA POUPA MINAS (ULTRAMINAS) 3 (10129)</v>
      </c>
      <c r="G1657" t="str">
        <f>"Serv.Prest. 24/03/2025 a 30/03/2025 - RPS: 619 - NFSe: 2847"</f>
        <v>Serv.Prest. 24/03/2025 a 30/03/2025 - RPS: 619 - NFSe: 2847</v>
      </c>
      <c r="H1657" t="str">
        <f t="shared" si="840"/>
        <v>03/04/2025</v>
      </c>
      <c r="I1657" t="str">
        <f t="shared" si="835"/>
        <v>31/03/2025</v>
      </c>
      <c r="J1657" t="str">
        <f t="shared" si="836"/>
        <v>03/04/2025</v>
      </c>
      <c r="M1657">
        <v>303</v>
      </c>
      <c r="N1657" t="str">
        <f t="shared" si="837"/>
        <v>RECEITAS COM ENTREGAS</v>
      </c>
      <c r="P1657">
        <v>160.16</v>
      </c>
      <c r="Q1657" t="str">
        <f>"DROGARIA POUPA MINAS (ULTRAMINAS) 3 (10129)"</f>
        <v>DROGARIA POUPA MINAS (ULTRAMINAS) 3 (10129)</v>
      </c>
      <c r="R1657" t="str">
        <f t="shared" si="838"/>
        <v>RECEITAS COM ENTREGAS (303)</v>
      </c>
      <c r="S1657">
        <v>1312</v>
      </c>
      <c r="T1657">
        <v>1029</v>
      </c>
      <c r="U1657" t="s">
        <v>19</v>
      </c>
    </row>
    <row r="1658" spans="1:21">
      <c r="A1658" t="str">
        <f t="shared" si="832"/>
        <v>03/04/2025</v>
      </c>
      <c r="B1658" t="str">
        <f t="shared" ref="B1658:B1664" si="841">"SAÍDA"</f>
        <v>SAÍDA</v>
      </c>
      <c r="C1658" t="str">
        <f>"PIX"</f>
        <v>PIX</v>
      </c>
      <c r="D1658" t="str">
        <f>"0304"</f>
        <v>0304</v>
      </c>
      <c r="E1658" t="str">
        <f t="shared" si="834"/>
        <v>COM</v>
      </c>
      <c r="F1658" t="str">
        <f>"CONTA SIMPLES SOLUCOES DE PAGAMENTOS LTDA (20019)"</f>
        <v>CONTA SIMPLES SOLUCOES DE PAGAMENTOS LTDA (20019)</v>
      </c>
      <c r="G1658" t="str">
        <f>"PUBLICIDADE E PROPAGANDAS EM REDES SOCIAIS"</f>
        <v>PUBLICIDADE E PROPAGANDAS EM REDES SOCIAIS</v>
      </c>
      <c r="H1658" t="str">
        <f t="shared" si="840"/>
        <v>03/04/2025</v>
      </c>
      <c r="I1658" t="str">
        <f t="shared" ref="I1658:I1664" si="842">("03/04/2025")</f>
        <v>03/04/2025</v>
      </c>
      <c r="J1658" t="str">
        <f t="shared" si="836"/>
        <v>03/04/2025</v>
      </c>
      <c r="K1658">
        <v>700</v>
      </c>
      <c r="L1658">
        <v>700</v>
      </c>
      <c r="M1658">
        <v>127</v>
      </c>
      <c r="N1658" t="str">
        <f>"PUBLICIDADE E PROPAGANDAS"</f>
        <v>PUBLICIDADE E PROPAGANDAS</v>
      </c>
      <c r="O1658">
        <v>700</v>
      </c>
      <c r="R1658" t="str">
        <f t="shared" ref="R1658:R1664" si="843">"BANCO CORA (102)"</f>
        <v>BANCO CORA (102)</v>
      </c>
      <c r="S1658">
        <v>1318</v>
      </c>
      <c r="T1658">
        <v>1046</v>
      </c>
      <c r="U1658" t="s">
        <v>19</v>
      </c>
    </row>
    <row r="1659" spans="1:21">
      <c r="A1659" t="str">
        <f t="shared" si="832"/>
        <v>03/04/2025</v>
      </c>
      <c r="B1659" t="str">
        <f t="shared" si="841"/>
        <v>SAÍDA</v>
      </c>
      <c r="C1659" t="str">
        <f>"PIX"</f>
        <v>PIX</v>
      </c>
      <c r="D1659" t="str">
        <f>"0304"</f>
        <v>0304</v>
      </c>
      <c r="E1659" t="str">
        <f t="shared" si="834"/>
        <v>COM</v>
      </c>
      <c r="F1659" t="str">
        <f>"CONTA SIMPLES SOLUCOES DE PAGAMENTOS LTDA (20019)"</f>
        <v>CONTA SIMPLES SOLUCOES DE PAGAMENTOS LTDA (20019)</v>
      </c>
      <c r="G1659" t="str">
        <f>"PUBLICIDADE E PROPAGANDAS EM REDES SOCIAIS"</f>
        <v>PUBLICIDADE E PROPAGANDAS EM REDES SOCIAIS</v>
      </c>
      <c r="H1659" t="str">
        <f t="shared" si="840"/>
        <v>03/04/2025</v>
      </c>
      <c r="I1659" t="str">
        <f t="shared" si="842"/>
        <v>03/04/2025</v>
      </c>
      <c r="J1659" t="str">
        <f t="shared" si="836"/>
        <v>03/04/2025</v>
      </c>
      <c r="M1659">
        <v>127</v>
      </c>
      <c r="N1659" t="str">
        <f>"PUBLICIDADE E PROPAGANDAS"</f>
        <v>PUBLICIDADE E PROPAGANDAS</v>
      </c>
      <c r="P1659">
        <v>700</v>
      </c>
      <c r="Q1659" t="str">
        <f>"CONTA SIMPLES SOLUCOES DE PAGAMENTOS LTDA (20019)"</f>
        <v>CONTA SIMPLES SOLUCOES DE PAGAMENTOS LTDA (20019)</v>
      </c>
      <c r="R1659" t="str">
        <f t="shared" si="843"/>
        <v>BANCO CORA (102)</v>
      </c>
      <c r="S1659">
        <v>1318</v>
      </c>
      <c r="T1659">
        <v>1046</v>
      </c>
      <c r="U1659" t="s">
        <v>19</v>
      </c>
    </row>
    <row r="1660" spans="1:21">
      <c r="A1660" t="str">
        <f t="shared" si="832"/>
        <v>03/04/2025</v>
      </c>
      <c r="B1660" t="str">
        <f t="shared" si="841"/>
        <v>SAÍDA</v>
      </c>
      <c r="C1660" t="str">
        <f>"JUROS"</f>
        <v>JUROS</v>
      </c>
      <c r="D1660" t="str">
        <f>""</f>
        <v/>
      </c>
      <c r="E1660" t="str">
        <f>"CXA"</f>
        <v>CXA</v>
      </c>
      <c r="F1660" t="str">
        <f>""</f>
        <v/>
      </c>
      <c r="G1660" t="str">
        <f>"TAXA BOLETO COMPENSADO"</f>
        <v>TAXA BOLETO COMPENSADO</v>
      </c>
      <c r="H1660" t="str">
        <f t="shared" si="840"/>
        <v>03/04/2025</v>
      </c>
      <c r="I1660" t="str">
        <f t="shared" si="842"/>
        <v>03/04/2025</v>
      </c>
      <c r="J1660" t="str">
        <f t="shared" si="836"/>
        <v>03/04/2025</v>
      </c>
      <c r="K1660">
        <v>1.7</v>
      </c>
      <c r="L1660">
        <v>1.7</v>
      </c>
      <c r="M1660">
        <v>401</v>
      </c>
      <c r="N1660" t="str">
        <f>"IOF/JUROS/DESP.FINANCEIRA"</f>
        <v>IOF/JUROS/DESP.FINANCEIRA</v>
      </c>
      <c r="O1660">
        <v>1.7</v>
      </c>
      <c r="R1660" t="str">
        <f t="shared" si="843"/>
        <v>BANCO CORA (102)</v>
      </c>
      <c r="S1660">
        <v>1323</v>
      </c>
      <c r="T1660">
        <v>0</v>
      </c>
      <c r="U1660" t="s">
        <v>20</v>
      </c>
    </row>
    <row r="1661" spans="1:21">
      <c r="A1661" t="str">
        <f t="shared" si="832"/>
        <v>03/04/2025</v>
      </c>
      <c r="B1661" t="str">
        <f t="shared" si="841"/>
        <v>SAÍDA</v>
      </c>
      <c r="C1661" t="str">
        <f>"JUROS"</f>
        <v>JUROS</v>
      </c>
      <c r="D1661" t="str">
        <f>""</f>
        <v/>
      </c>
      <c r="E1661" t="str">
        <f>"CXA"</f>
        <v>CXA</v>
      </c>
      <c r="F1661" t="str">
        <f>""</f>
        <v/>
      </c>
      <c r="G1661" t="str">
        <f>"TAXA BOLETO COMPENSADO"</f>
        <v>TAXA BOLETO COMPENSADO</v>
      </c>
      <c r="H1661" t="str">
        <f t="shared" si="840"/>
        <v>03/04/2025</v>
      </c>
      <c r="I1661" t="str">
        <f t="shared" si="842"/>
        <v>03/04/2025</v>
      </c>
      <c r="J1661" t="str">
        <f t="shared" si="836"/>
        <v>03/04/2025</v>
      </c>
      <c r="K1661">
        <v>1.7</v>
      </c>
      <c r="L1661">
        <v>1.7</v>
      </c>
      <c r="M1661">
        <v>401</v>
      </c>
      <c r="N1661" t="str">
        <f>"IOF/JUROS/DESP.FINANCEIRA"</f>
        <v>IOF/JUROS/DESP.FINANCEIRA</v>
      </c>
      <c r="O1661">
        <v>1.7</v>
      </c>
      <c r="R1661" t="str">
        <f t="shared" si="843"/>
        <v>BANCO CORA (102)</v>
      </c>
      <c r="S1661">
        <v>1324</v>
      </c>
      <c r="T1661">
        <v>0</v>
      </c>
      <c r="U1661" t="s">
        <v>20</v>
      </c>
    </row>
    <row r="1662" spans="1:21">
      <c r="A1662" t="str">
        <f t="shared" si="832"/>
        <v>03/04/2025</v>
      </c>
      <c r="B1662" t="str">
        <f t="shared" si="841"/>
        <v>SAÍDA</v>
      </c>
      <c r="C1662" t="str">
        <f>"JUROS"</f>
        <v>JUROS</v>
      </c>
      <c r="D1662" t="str">
        <f>""</f>
        <v/>
      </c>
      <c r="E1662" t="str">
        <f>"CXA"</f>
        <v>CXA</v>
      </c>
      <c r="F1662" t="str">
        <f>""</f>
        <v/>
      </c>
      <c r="G1662" t="str">
        <f>"TAXA BOLETO COMPENSADO"</f>
        <v>TAXA BOLETO COMPENSADO</v>
      </c>
      <c r="H1662" t="str">
        <f t="shared" si="840"/>
        <v>03/04/2025</v>
      </c>
      <c r="I1662" t="str">
        <f t="shared" si="842"/>
        <v>03/04/2025</v>
      </c>
      <c r="J1662" t="str">
        <f t="shared" si="836"/>
        <v>03/04/2025</v>
      </c>
      <c r="K1662">
        <v>1.7</v>
      </c>
      <c r="L1662">
        <v>1.7</v>
      </c>
      <c r="M1662">
        <v>401</v>
      </c>
      <c r="N1662" t="str">
        <f>"IOF/JUROS/DESP.FINANCEIRA"</f>
        <v>IOF/JUROS/DESP.FINANCEIRA</v>
      </c>
      <c r="O1662">
        <v>1.7</v>
      </c>
      <c r="R1662" t="str">
        <f t="shared" si="843"/>
        <v>BANCO CORA (102)</v>
      </c>
      <c r="S1662">
        <v>1325</v>
      </c>
      <c r="T1662">
        <v>0</v>
      </c>
      <c r="U1662" t="s">
        <v>20</v>
      </c>
    </row>
    <row r="1663" spans="1:21">
      <c r="A1663" t="str">
        <f t="shared" si="832"/>
        <v>03/04/2025</v>
      </c>
      <c r="B1663" t="str">
        <f t="shared" si="841"/>
        <v>SAÍDA</v>
      </c>
      <c r="C1663" t="str">
        <f>"JUROS"</f>
        <v>JUROS</v>
      </c>
      <c r="D1663" t="str">
        <f>""</f>
        <v/>
      </c>
      <c r="E1663" t="str">
        <f>"CXA"</f>
        <v>CXA</v>
      </c>
      <c r="F1663" t="str">
        <f>""</f>
        <v/>
      </c>
      <c r="G1663" t="str">
        <f>"TAXA BOLETO COMPENSADO"</f>
        <v>TAXA BOLETO COMPENSADO</v>
      </c>
      <c r="H1663" t="str">
        <f t="shared" si="840"/>
        <v>03/04/2025</v>
      </c>
      <c r="I1663" t="str">
        <f t="shared" si="842"/>
        <v>03/04/2025</v>
      </c>
      <c r="J1663" t="str">
        <f t="shared" si="836"/>
        <v>03/04/2025</v>
      </c>
      <c r="K1663">
        <v>1.7</v>
      </c>
      <c r="L1663">
        <v>1.7</v>
      </c>
      <c r="M1663">
        <v>401</v>
      </c>
      <c r="N1663" t="str">
        <f>"IOF/JUROS/DESP.FINANCEIRA"</f>
        <v>IOF/JUROS/DESP.FINANCEIRA</v>
      </c>
      <c r="O1663">
        <v>1.7</v>
      </c>
      <c r="R1663" t="str">
        <f t="shared" si="843"/>
        <v>BANCO CORA (102)</v>
      </c>
      <c r="S1663">
        <v>1326</v>
      </c>
      <c r="T1663">
        <v>0</v>
      </c>
      <c r="U1663" t="s">
        <v>20</v>
      </c>
    </row>
    <row r="1664" spans="1:21">
      <c r="A1664" t="str">
        <f t="shared" si="832"/>
        <v>03/04/2025</v>
      </c>
      <c r="B1664" t="str">
        <f t="shared" si="841"/>
        <v>SAÍDA</v>
      </c>
      <c r="C1664" t="str">
        <f>"JUROS"</f>
        <v>JUROS</v>
      </c>
      <c r="D1664" t="str">
        <f>""</f>
        <v/>
      </c>
      <c r="E1664" t="str">
        <f>"CXA"</f>
        <v>CXA</v>
      </c>
      <c r="F1664" t="str">
        <f>""</f>
        <v/>
      </c>
      <c r="G1664" t="str">
        <f>"TAXA BOLETO COMPENSADO"</f>
        <v>TAXA BOLETO COMPENSADO</v>
      </c>
      <c r="H1664" t="str">
        <f t="shared" si="840"/>
        <v>03/04/2025</v>
      </c>
      <c r="I1664" t="str">
        <f t="shared" si="842"/>
        <v>03/04/2025</v>
      </c>
      <c r="J1664" t="str">
        <f t="shared" si="836"/>
        <v>03/04/2025</v>
      </c>
      <c r="K1664">
        <v>1.7</v>
      </c>
      <c r="L1664">
        <v>1.7</v>
      </c>
      <c r="M1664">
        <v>401</v>
      </c>
      <c r="N1664" t="str">
        <f>"IOF/JUROS/DESP.FINANCEIRA"</f>
        <v>IOF/JUROS/DESP.FINANCEIRA</v>
      </c>
      <c r="O1664">
        <v>1.7</v>
      </c>
      <c r="R1664" t="str">
        <f t="shared" si="843"/>
        <v>BANCO CORA (102)</v>
      </c>
      <c r="S1664">
        <v>1327</v>
      </c>
      <c r="T1664">
        <v>0</v>
      </c>
      <c r="U1664" t="s">
        <v>20</v>
      </c>
    </row>
    <row r="1665" spans="1:21">
      <c r="A1665" t="str">
        <f t="shared" ref="A1665:A1676" si="844">("04/04/2025")</f>
        <v>04/04/2025</v>
      </c>
      <c r="B1665" t="str">
        <f>"ENTRADA"</f>
        <v>ENTRADA</v>
      </c>
      <c r="C1665" t="str">
        <f>""</f>
        <v/>
      </c>
      <c r="D1665" t="str">
        <f>""</f>
        <v/>
      </c>
      <c r="E1665" t="str">
        <f t="shared" ref="E1665:E1675" si="845">"COM"</f>
        <v>COM</v>
      </c>
      <c r="F1665" t="str">
        <f>"MARCELO REZENDE ARANTES (20014)"</f>
        <v>MARCELO REZENDE ARANTES (20014)</v>
      </c>
      <c r="G1665" t="str">
        <f>"DESCONTO CONVENIO MEDICO DEPENDENTE - MARCELO REZENDE ARANTES"</f>
        <v>DESCONTO CONVENIO MEDICO DEPENDENTE - MARCELO REZENDE ARANTES</v>
      </c>
      <c r="H1665" t="str">
        <f>("04/04/2025")</f>
        <v>04/04/2025</v>
      </c>
      <c r="I1665" t="str">
        <f>("04/04/2025")</f>
        <v>04/04/2025</v>
      </c>
      <c r="J1665" t="str">
        <f>("04/04/2025")</f>
        <v>04/04/2025</v>
      </c>
      <c r="K1665">
        <v>492.13</v>
      </c>
      <c r="L1665">
        <v>492.13</v>
      </c>
      <c r="M1665">
        <v>119</v>
      </c>
      <c r="N1665" t="str">
        <f>"RECEITAS COM REEMBOLSOS"</f>
        <v>RECEITAS COM REEMBOLSOS</v>
      </c>
      <c r="O1665">
        <v>492.13</v>
      </c>
      <c r="R1665" t="str">
        <f>"RECEITAS COM REEMBOLSOS (119)"</f>
        <v>RECEITAS COM REEMBOLSOS (119)</v>
      </c>
      <c r="S1665">
        <v>1259</v>
      </c>
      <c r="T1665">
        <v>0</v>
      </c>
      <c r="U1665" t="s">
        <v>24</v>
      </c>
    </row>
    <row r="1666" spans="1:21">
      <c r="A1666" t="str">
        <f t="shared" si="844"/>
        <v>04/04/2025</v>
      </c>
      <c r="B1666" t="str">
        <f>"ENTRADA"</f>
        <v>ENTRADA</v>
      </c>
      <c r="C1666" t="str">
        <f>"NFSE"</f>
        <v>NFSE</v>
      </c>
      <c r="D1666" t="str">
        <f>"2826"</f>
        <v>2826</v>
      </c>
      <c r="E1666" t="str">
        <f t="shared" si="845"/>
        <v>COM</v>
      </c>
      <c r="F1666" t="str">
        <f>"PAGMENOS - LJ 657 (10136)"</f>
        <v>PAGMENOS - LJ 657 (10136)</v>
      </c>
      <c r="G1666" t="str">
        <f>"Serv.Prest. 17/03/2025 a 23/03/2025 - RPS: 598 - NFSe: 2826"</f>
        <v>Serv.Prest. 17/03/2025 a 23/03/2025 - RPS: 598 - NFSe: 2826</v>
      </c>
      <c r="H1666" t="str">
        <f>("03/04/2025")</f>
        <v>03/04/2025</v>
      </c>
      <c r="I1666" t="str">
        <f>("24/03/2025")</f>
        <v>24/03/2025</v>
      </c>
      <c r="J1666" t="str">
        <f t="shared" ref="J1666:J1676" si="846">("04/04/2025")</f>
        <v>04/04/2025</v>
      </c>
      <c r="K1666">
        <v>596.6</v>
      </c>
      <c r="L1666">
        <v>596.6</v>
      </c>
      <c r="M1666">
        <v>303</v>
      </c>
      <c r="N1666" t="str">
        <f>"RECEITAS COM ENTREGAS"</f>
        <v>RECEITAS COM ENTREGAS</v>
      </c>
      <c r="O1666">
        <v>596.6</v>
      </c>
      <c r="R1666" t="str">
        <f>"RECEITAS COM ENTREGAS (303)"</f>
        <v>RECEITAS COM ENTREGAS (303)</v>
      </c>
      <c r="S1666">
        <v>1313</v>
      </c>
      <c r="T1666">
        <v>1008</v>
      </c>
      <c r="U1666" t="s">
        <v>19</v>
      </c>
    </row>
    <row r="1667" spans="1:21">
      <c r="A1667" t="str">
        <f t="shared" si="844"/>
        <v>04/04/2025</v>
      </c>
      <c r="B1667" t="str">
        <f t="shared" ref="B1667:B1669" si="847">"ENTRADA"</f>
        <v>ENTRADA</v>
      </c>
      <c r="C1667" t="str">
        <f>"NFSE"</f>
        <v>NFSE</v>
      </c>
      <c r="D1667" t="str">
        <f>"2826"</f>
        <v>2826</v>
      </c>
      <c r="E1667" t="str">
        <f t="shared" si="845"/>
        <v>COM</v>
      </c>
      <c r="F1667" t="str">
        <f>"PAGMENOS - LJ 657 (10136)"</f>
        <v>PAGMENOS - LJ 657 (10136)</v>
      </c>
      <c r="G1667" t="str">
        <f>"Serv.Prest. 17/03/2025 a 23/03/2025 - RPS: 598 - NFSe: 2826"</f>
        <v>Serv.Prest. 17/03/2025 a 23/03/2025 - RPS: 598 - NFSe: 2826</v>
      </c>
      <c r="H1667" t="str">
        <f>("03/04/2025")</f>
        <v>03/04/2025</v>
      </c>
      <c r="I1667" t="str">
        <f>("24/03/2025")</f>
        <v>24/03/2025</v>
      </c>
      <c r="J1667" t="str">
        <f t="shared" si="846"/>
        <v>04/04/2025</v>
      </c>
      <c r="M1667">
        <v>303</v>
      </c>
      <c r="N1667" t="str">
        <f>"RECEITAS COM ENTREGAS"</f>
        <v>RECEITAS COM ENTREGAS</v>
      </c>
      <c r="P1667">
        <v>596.6</v>
      </c>
      <c r="Q1667" t="str">
        <f>"PAGMENOS - LJ 657 (10136)"</f>
        <v>PAGMENOS - LJ 657 (10136)</v>
      </c>
      <c r="R1667" t="str">
        <f>"RECEITAS COM ENTREGAS (303)"</f>
        <v>RECEITAS COM ENTREGAS (303)</v>
      </c>
      <c r="S1667">
        <v>1313</v>
      </c>
      <c r="T1667">
        <v>1008</v>
      </c>
      <c r="U1667" t="s">
        <v>19</v>
      </c>
    </row>
    <row r="1668" spans="1:21">
      <c r="A1668" t="str">
        <f t="shared" si="844"/>
        <v>04/04/2025</v>
      </c>
      <c r="B1668" t="str">
        <f t="shared" si="847"/>
        <v>ENTRADA</v>
      </c>
      <c r="C1668" t="str">
        <f>"NFSE"</f>
        <v>NFSE</v>
      </c>
      <c r="D1668" t="str">
        <f>"2846"</f>
        <v>2846</v>
      </c>
      <c r="E1668" t="str">
        <f t="shared" si="845"/>
        <v>COM</v>
      </c>
      <c r="F1668" t="str">
        <f>"DROGARIA POUPA MINAS (DOIS AMIGOS) 5 (10140)"</f>
        <v>DROGARIA POUPA MINAS (DOIS AMIGOS) 5 (10140)</v>
      </c>
      <c r="G1668" t="str">
        <f>"Serv.Prest. 24/03/2025 a 30/03/2025 - RPS: 618 - NFSe: 2846"</f>
        <v>Serv.Prest. 24/03/2025 a 30/03/2025 - RPS: 618 - NFSe: 2846</v>
      </c>
      <c r="H1668" t="str">
        <f>("03/04/2025")</f>
        <v>03/04/2025</v>
      </c>
      <c r="I1668" t="str">
        <f t="shared" ref="I1668:I1675" si="848">("31/03/2025")</f>
        <v>31/03/2025</v>
      </c>
      <c r="J1668" t="str">
        <f t="shared" si="846"/>
        <v>04/04/2025</v>
      </c>
      <c r="K1668">
        <v>836.2</v>
      </c>
      <c r="L1668">
        <v>836.2</v>
      </c>
      <c r="M1668">
        <v>303</v>
      </c>
      <c r="N1668" t="str">
        <f>"RECEITAS COM ENTREGAS"</f>
        <v>RECEITAS COM ENTREGAS</v>
      </c>
      <c r="O1668">
        <v>836.2</v>
      </c>
      <c r="R1668" t="str">
        <f>"RECEITAS COM ENTREGAS (303)"</f>
        <v>RECEITAS COM ENTREGAS (303)</v>
      </c>
      <c r="S1668">
        <v>1314</v>
      </c>
      <c r="T1668">
        <v>1028</v>
      </c>
      <c r="U1668" t="s">
        <v>19</v>
      </c>
    </row>
    <row r="1669" spans="1:21">
      <c r="A1669" t="str">
        <f t="shared" si="844"/>
        <v>04/04/2025</v>
      </c>
      <c r="B1669" t="str">
        <f t="shared" si="847"/>
        <v>ENTRADA</v>
      </c>
      <c r="C1669" t="str">
        <f>"NFSE"</f>
        <v>NFSE</v>
      </c>
      <c r="D1669" t="str">
        <f>"2846"</f>
        <v>2846</v>
      </c>
      <c r="E1669" t="str">
        <f t="shared" si="845"/>
        <v>COM</v>
      </c>
      <c r="F1669" t="str">
        <f>"DROGARIA POUPA MINAS (DOIS AMIGOS) 5 (10140)"</f>
        <v>DROGARIA POUPA MINAS (DOIS AMIGOS) 5 (10140)</v>
      </c>
      <c r="G1669" t="str">
        <f>"Serv.Prest. 24/03/2025 a 30/03/2025 - RPS: 618 - NFSe: 2846"</f>
        <v>Serv.Prest. 24/03/2025 a 30/03/2025 - RPS: 618 - NFSe: 2846</v>
      </c>
      <c r="H1669" t="str">
        <f>("03/04/2025")</f>
        <v>03/04/2025</v>
      </c>
      <c r="I1669" t="str">
        <f t="shared" si="848"/>
        <v>31/03/2025</v>
      </c>
      <c r="J1669" t="str">
        <f t="shared" si="846"/>
        <v>04/04/2025</v>
      </c>
      <c r="M1669">
        <v>303</v>
      </c>
      <c r="N1669" t="str">
        <f>"RECEITAS COM ENTREGAS"</f>
        <v>RECEITAS COM ENTREGAS</v>
      </c>
      <c r="P1669">
        <v>836.2</v>
      </c>
      <c r="Q1669" t="str">
        <f>"DROGARIA POUPA MINAS (ULTRAMINAS) (10116)"</f>
        <v>DROGARIA POUPA MINAS (ULTRAMINAS) (10116)</v>
      </c>
      <c r="R1669" t="str">
        <f>"RECEITAS COM ENTREGAS (303)"</f>
        <v>RECEITAS COM ENTREGAS (303)</v>
      </c>
      <c r="S1669">
        <v>1314</v>
      </c>
      <c r="T1669">
        <v>1028</v>
      </c>
      <c r="U1669" t="s">
        <v>19</v>
      </c>
    </row>
    <row r="1670" spans="1:21">
      <c r="A1670" t="str">
        <f t="shared" si="844"/>
        <v>04/04/2025</v>
      </c>
      <c r="B1670" t="str">
        <f t="shared" ref="B1670:B1678" si="849">"SAÍDA"</f>
        <v>SAÍDA</v>
      </c>
      <c r="C1670" t="str">
        <f t="shared" ref="C1670:C1675" si="850">"PIX"</f>
        <v>PIX</v>
      </c>
      <c r="D1670" t="str">
        <f>"0404"</f>
        <v>0404</v>
      </c>
      <c r="E1670" t="str">
        <f t="shared" si="845"/>
        <v>COM</v>
      </c>
      <c r="F1670" t="str">
        <f>"LILIANE DE FATIMA REZENDE JUSTINO (20013)"</f>
        <v>LILIANE DE FATIMA REZENDE JUSTINO (20013)</v>
      </c>
      <c r="G1670" t="str">
        <f>"REF. PRO-LABORE MES 03/2025"</f>
        <v>REF. PRO-LABORE MES 03/2025</v>
      </c>
      <c r="H1670" t="str">
        <f t="shared" ref="H1670:H1676" si="851">("04/04/2025")</f>
        <v>04/04/2025</v>
      </c>
      <c r="I1670" t="str">
        <f t="shared" si="848"/>
        <v>31/03/2025</v>
      </c>
      <c r="J1670" t="str">
        <f t="shared" si="846"/>
        <v>04/04/2025</v>
      </c>
      <c r="K1670">
        <v>23333.33</v>
      </c>
      <c r="L1670">
        <v>23333.33</v>
      </c>
      <c r="M1670">
        <v>124</v>
      </c>
      <c r="N1670" t="str">
        <f>"PRO LABORE - LILIANE"</f>
        <v>PRO LABORE - LILIANE</v>
      </c>
      <c r="O1670">
        <v>23333.33</v>
      </c>
      <c r="R1670" t="str">
        <f t="shared" ref="R1670:R1678" si="852">"BANCO CORA (102)"</f>
        <v>BANCO CORA (102)</v>
      </c>
      <c r="S1670">
        <v>1315</v>
      </c>
      <c r="T1670">
        <v>566</v>
      </c>
      <c r="U1670" t="s">
        <v>19</v>
      </c>
    </row>
    <row r="1671" spans="1:21">
      <c r="A1671" t="str">
        <f t="shared" si="844"/>
        <v>04/04/2025</v>
      </c>
      <c r="B1671" t="str">
        <f t="shared" si="849"/>
        <v>SAÍDA</v>
      </c>
      <c r="C1671" t="str">
        <f t="shared" si="850"/>
        <v>PIX</v>
      </c>
      <c r="D1671" t="str">
        <f>"0404"</f>
        <v>0404</v>
      </c>
      <c r="E1671" t="str">
        <f t="shared" si="845"/>
        <v>COM</v>
      </c>
      <c r="F1671" t="str">
        <f>"LILIANE DE FATIMA REZENDE JUSTINO (20013)"</f>
        <v>LILIANE DE FATIMA REZENDE JUSTINO (20013)</v>
      </c>
      <c r="G1671" t="str">
        <f>"REF. PRO-LABORE MES 03/2025"</f>
        <v>REF. PRO-LABORE MES 03/2025</v>
      </c>
      <c r="H1671" t="str">
        <f t="shared" si="851"/>
        <v>04/04/2025</v>
      </c>
      <c r="I1671" t="str">
        <f t="shared" si="848"/>
        <v>31/03/2025</v>
      </c>
      <c r="J1671" t="str">
        <f t="shared" si="846"/>
        <v>04/04/2025</v>
      </c>
      <c r="M1671">
        <v>124</v>
      </c>
      <c r="N1671" t="str">
        <f>"PRO LABORE - LILIANE"</f>
        <v>PRO LABORE - LILIANE</v>
      </c>
      <c r="P1671">
        <v>23333.33</v>
      </c>
      <c r="Q1671" t="str">
        <f>"LILIANE DE FATIMA REZENDE JUSTINO (20013)"</f>
        <v>LILIANE DE FATIMA REZENDE JUSTINO (20013)</v>
      </c>
      <c r="R1671" t="str">
        <f t="shared" si="852"/>
        <v>BANCO CORA (102)</v>
      </c>
      <c r="S1671">
        <v>1315</v>
      </c>
      <c r="T1671">
        <v>566</v>
      </c>
      <c r="U1671" t="s">
        <v>19</v>
      </c>
    </row>
    <row r="1672" spans="1:21">
      <c r="A1672" t="str">
        <f t="shared" si="844"/>
        <v>04/04/2025</v>
      </c>
      <c r="B1672" t="str">
        <f t="shared" si="849"/>
        <v>SAÍDA</v>
      </c>
      <c r="C1672" t="str">
        <f t="shared" si="850"/>
        <v>PIX</v>
      </c>
      <c r="D1672" t="str">
        <f>"040420"</f>
        <v>040420</v>
      </c>
      <c r="E1672" t="str">
        <f t="shared" si="845"/>
        <v>COM</v>
      </c>
      <c r="F1672" t="str">
        <f>"LILIANE DE FATIMA REZENDE JUSTINO (20013)"</f>
        <v>LILIANE DE FATIMA REZENDE JUSTINO (20013)</v>
      </c>
      <c r="G1672" t="str">
        <f>"REF. PREST. SERVICO LILIANE"</f>
        <v>REF. PREST. SERVICO LILIANE</v>
      </c>
      <c r="H1672" t="str">
        <f t="shared" si="851"/>
        <v>04/04/2025</v>
      </c>
      <c r="I1672" t="str">
        <f t="shared" si="848"/>
        <v>31/03/2025</v>
      </c>
      <c r="J1672" t="str">
        <f t="shared" si="846"/>
        <v>04/04/2025</v>
      </c>
      <c r="K1672">
        <v>1500</v>
      </c>
      <c r="L1672">
        <v>1500</v>
      </c>
      <c r="M1672">
        <v>103</v>
      </c>
      <c r="N1672" t="str">
        <f>"PAGAMENTO DE FUNCIONÁRIOS"</f>
        <v>PAGAMENTO DE FUNCIONÁRIOS</v>
      </c>
      <c r="O1672">
        <v>1500</v>
      </c>
      <c r="R1672" t="str">
        <f t="shared" si="852"/>
        <v>BANCO CORA (102)</v>
      </c>
      <c r="S1672">
        <v>1316</v>
      </c>
      <c r="T1672">
        <v>578</v>
      </c>
      <c r="U1672" t="s">
        <v>19</v>
      </c>
    </row>
    <row r="1673" spans="1:21">
      <c r="A1673" t="str">
        <f t="shared" si="844"/>
        <v>04/04/2025</v>
      </c>
      <c r="B1673" t="str">
        <f t="shared" si="849"/>
        <v>SAÍDA</v>
      </c>
      <c r="C1673" t="str">
        <f t="shared" si="850"/>
        <v>PIX</v>
      </c>
      <c r="D1673" t="str">
        <f>"040420"</f>
        <v>040420</v>
      </c>
      <c r="E1673" t="str">
        <f t="shared" si="845"/>
        <v>COM</v>
      </c>
      <c r="F1673" t="str">
        <f>"LILIANE DE FATIMA REZENDE JUSTINO (20013)"</f>
        <v>LILIANE DE FATIMA REZENDE JUSTINO (20013)</v>
      </c>
      <c r="G1673" t="str">
        <f>"REF. PREST. SERVICO LILIANE"</f>
        <v>REF. PREST. SERVICO LILIANE</v>
      </c>
      <c r="H1673" t="str">
        <f t="shared" si="851"/>
        <v>04/04/2025</v>
      </c>
      <c r="I1673" t="str">
        <f t="shared" si="848"/>
        <v>31/03/2025</v>
      </c>
      <c r="J1673" t="str">
        <f t="shared" si="846"/>
        <v>04/04/2025</v>
      </c>
      <c r="M1673">
        <v>103</v>
      </c>
      <c r="N1673" t="str">
        <f>"PAGAMENTO DE FUNCIONÁRIOS"</f>
        <v>PAGAMENTO DE FUNCIONÁRIOS</v>
      </c>
      <c r="P1673">
        <v>1500</v>
      </c>
      <c r="Q1673" t="str">
        <f>"LILIANE DE FATIMA REZENDE JUSTINO (20013)"</f>
        <v>LILIANE DE FATIMA REZENDE JUSTINO (20013)</v>
      </c>
      <c r="R1673" t="str">
        <f t="shared" si="852"/>
        <v>BANCO CORA (102)</v>
      </c>
      <c r="S1673">
        <v>1316</v>
      </c>
      <c r="T1673">
        <v>578</v>
      </c>
      <c r="U1673" t="s">
        <v>19</v>
      </c>
    </row>
    <row r="1674" spans="1:21">
      <c r="A1674" t="str">
        <f t="shared" si="844"/>
        <v>04/04/2025</v>
      </c>
      <c r="B1674" t="str">
        <f t="shared" si="849"/>
        <v>SAÍDA</v>
      </c>
      <c r="C1674" t="str">
        <f t="shared" si="850"/>
        <v>PIX</v>
      </c>
      <c r="D1674" t="str">
        <f>"0404"</f>
        <v>0404</v>
      </c>
      <c r="E1674" t="str">
        <f t="shared" si="845"/>
        <v>COM</v>
      </c>
      <c r="F1674" t="str">
        <f>"MARCELO REZENDE ARANTES (20014)"</f>
        <v>MARCELO REZENDE ARANTES (20014)</v>
      </c>
      <c r="G1674" t="str">
        <f>"REF. PRO-LABORE MES 03/2025"</f>
        <v>REF. PRO-LABORE MES 03/2025</v>
      </c>
      <c r="H1674" t="str">
        <f t="shared" si="851"/>
        <v>04/04/2025</v>
      </c>
      <c r="I1674" t="str">
        <f t="shared" si="848"/>
        <v>31/03/2025</v>
      </c>
      <c r="J1674" t="str">
        <f t="shared" si="846"/>
        <v>04/04/2025</v>
      </c>
      <c r="K1674">
        <v>10000</v>
      </c>
      <c r="L1674">
        <v>10000</v>
      </c>
      <c r="M1674">
        <v>108</v>
      </c>
      <c r="N1674" t="str">
        <f>"PRO LABORE - MARCELO"</f>
        <v>PRO LABORE - MARCELO</v>
      </c>
      <c r="O1674">
        <v>10000</v>
      </c>
      <c r="R1674" t="str">
        <f t="shared" si="852"/>
        <v>BANCO CORA (102)</v>
      </c>
      <c r="S1674">
        <v>1317</v>
      </c>
      <c r="T1674">
        <v>590</v>
      </c>
      <c r="U1674" t="s">
        <v>19</v>
      </c>
    </row>
    <row r="1675" spans="1:21">
      <c r="A1675" t="str">
        <f t="shared" si="844"/>
        <v>04/04/2025</v>
      </c>
      <c r="B1675" t="str">
        <f t="shared" si="849"/>
        <v>SAÍDA</v>
      </c>
      <c r="C1675" t="str">
        <f t="shared" si="850"/>
        <v>PIX</v>
      </c>
      <c r="D1675" t="str">
        <f>"0404"</f>
        <v>0404</v>
      </c>
      <c r="E1675" t="str">
        <f t="shared" si="845"/>
        <v>COM</v>
      </c>
      <c r="F1675" t="str">
        <f>"MARCELO REZENDE ARANTES (20014)"</f>
        <v>MARCELO REZENDE ARANTES (20014)</v>
      </c>
      <c r="G1675" t="str">
        <f>"REF. PRO-LABORE MES 03/2025"</f>
        <v>REF. PRO-LABORE MES 03/2025</v>
      </c>
      <c r="H1675" t="str">
        <f t="shared" si="851"/>
        <v>04/04/2025</v>
      </c>
      <c r="I1675" t="str">
        <f t="shared" si="848"/>
        <v>31/03/2025</v>
      </c>
      <c r="J1675" t="str">
        <f t="shared" si="846"/>
        <v>04/04/2025</v>
      </c>
      <c r="M1675">
        <v>108</v>
      </c>
      <c r="N1675" t="str">
        <f>"PRO LABORE - MARCELO"</f>
        <v>PRO LABORE - MARCELO</v>
      </c>
      <c r="P1675">
        <v>10000</v>
      </c>
      <c r="Q1675" t="str">
        <f>"MARCELO REZENDE ARANTES (20014)"</f>
        <v>MARCELO REZENDE ARANTES (20014)</v>
      </c>
      <c r="R1675" t="str">
        <f t="shared" si="852"/>
        <v>BANCO CORA (102)</v>
      </c>
      <c r="S1675">
        <v>1317</v>
      </c>
      <c r="T1675">
        <v>590</v>
      </c>
      <c r="U1675" t="s">
        <v>19</v>
      </c>
    </row>
    <row r="1676" spans="1:21">
      <c r="A1676" t="str">
        <f t="shared" si="844"/>
        <v>04/04/2025</v>
      </c>
      <c r="B1676" t="str">
        <f t="shared" si="849"/>
        <v>SAÍDA</v>
      </c>
      <c r="C1676" t="str">
        <f>"JUROS"</f>
        <v>JUROS</v>
      </c>
      <c r="D1676" t="str">
        <f>""</f>
        <v/>
      </c>
      <c r="E1676" t="str">
        <f>"CXA"</f>
        <v>CXA</v>
      </c>
      <c r="F1676" t="str">
        <f>""</f>
        <v/>
      </c>
      <c r="G1676" t="str">
        <f>"TAXA BOLETO COMPENSADO"</f>
        <v>TAXA BOLETO COMPENSADO</v>
      </c>
      <c r="H1676" t="str">
        <f t="shared" si="851"/>
        <v>04/04/2025</v>
      </c>
      <c r="I1676" t="str">
        <f>("04/04/2025")</f>
        <v>04/04/2025</v>
      </c>
      <c r="J1676" t="str">
        <f t="shared" si="846"/>
        <v>04/04/2025</v>
      </c>
      <c r="K1676">
        <v>1.7</v>
      </c>
      <c r="L1676">
        <v>1.7</v>
      </c>
      <c r="M1676">
        <v>401</v>
      </c>
      <c r="N1676" t="str">
        <f>"IOF/JUROS/DESP.FINANCEIRA"</f>
        <v>IOF/JUROS/DESP.FINANCEIRA</v>
      </c>
      <c r="O1676">
        <v>1.7</v>
      </c>
      <c r="R1676" t="str">
        <f t="shared" si="852"/>
        <v>BANCO CORA (102)</v>
      </c>
      <c r="S1676">
        <v>1328</v>
      </c>
      <c r="T1676">
        <v>0</v>
      </c>
      <c r="U1676" t="s">
        <v>20</v>
      </c>
    </row>
    <row r="1677" spans="1:21">
      <c r="A1677" t="str">
        <f>("07/04/2025")</f>
        <v>07/04/2025</v>
      </c>
      <c r="B1677" t="str">
        <f t="shared" si="849"/>
        <v>SAÍDA</v>
      </c>
      <c r="C1677" t="str">
        <f>"BOLETO"</f>
        <v>BOLETO</v>
      </c>
      <c r="D1677" t="str">
        <f>"01"</f>
        <v>01</v>
      </c>
      <c r="E1677" t="str">
        <f t="shared" ref="E1677:E1682" si="853">"COM"</f>
        <v>COM</v>
      </c>
      <c r="F1677" t="str">
        <f>"BANCO DO BRASIL (20001)"</f>
        <v>BANCO DO BRASIL (20001)</v>
      </c>
      <c r="G1677" t="str">
        <f>"EMPRESTIMO FUI TECNOLOGIA"</f>
        <v>EMPRESTIMO FUI TECNOLOGIA</v>
      </c>
      <c r="H1677" t="str">
        <f>("06/04/2025")</f>
        <v>06/04/2025</v>
      </c>
      <c r="I1677" t="str">
        <f>("23/07/2024")</f>
        <v>23/07/2024</v>
      </c>
      <c r="J1677" t="str">
        <f>("07/04/2025")</f>
        <v>07/04/2025</v>
      </c>
      <c r="K1677">
        <v>508.77</v>
      </c>
      <c r="L1677">
        <v>508.77</v>
      </c>
      <c r="M1677">
        <v>114</v>
      </c>
      <c r="N1677" t="str">
        <f>"EMPRESTIMOS"</f>
        <v>EMPRESTIMOS</v>
      </c>
      <c r="O1677">
        <v>508.77</v>
      </c>
      <c r="R1677" t="str">
        <f t="shared" si="852"/>
        <v>BANCO CORA (102)</v>
      </c>
      <c r="S1677">
        <v>1329</v>
      </c>
      <c r="T1677">
        <v>73</v>
      </c>
      <c r="U1677" t="s">
        <v>19</v>
      </c>
    </row>
    <row r="1678" spans="1:21">
      <c r="A1678" t="str">
        <f>("07/04/2025")</f>
        <v>07/04/2025</v>
      </c>
      <c r="B1678" t="str">
        <f t="shared" si="849"/>
        <v>SAÍDA</v>
      </c>
      <c r="C1678" t="str">
        <f>"BOLETO"</f>
        <v>BOLETO</v>
      </c>
      <c r="D1678" t="str">
        <f>"01"</f>
        <v>01</v>
      </c>
      <c r="E1678" t="str">
        <f t="shared" si="853"/>
        <v>COM</v>
      </c>
      <c r="F1678" t="str">
        <f>"BANCO DO BRASIL (20001)"</f>
        <v>BANCO DO BRASIL (20001)</v>
      </c>
      <c r="G1678" t="str">
        <f>"EMPRESTIMO FUI TECNOLOGIA"</f>
        <v>EMPRESTIMO FUI TECNOLOGIA</v>
      </c>
      <c r="H1678" t="str">
        <f>("06/04/2025")</f>
        <v>06/04/2025</v>
      </c>
      <c r="I1678" t="str">
        <f>("23/07/2024")</f>
        <v>23/07/2024</v>
      </c>
      <c r="J1678" t="str">
        <f>("07/04/2025")</f>
        <v>07/04/2025</v>
      </c>
      <c r="M1678">
        <v>114</v>
      </c>
      <c r="N1678" t="str">
        <f>"EMPRESTIMOS"</f>
        <v>EMPRESTIMOS</v>
      </c>
      <c r="P1678">
        <v>508.77</v>
      </c>
      <c r="Q1678" t="str">
        <f>"BANCO DO BRASIL (20001)"</f>
        <v>BANCO DO BRASIL (20001)</v>
      </c>
      <c r="R1678" t="str">
        <f t="shared" si="852"/>
        <v>BANCO CORA (102)</v>
      </c>
      <c r="S1678">
        <v>1329</v>
      </c>
      <c r="T1678">
        <v>73</v>
      </c>
      <c r="U1678" t="s">
        <v>19</v>
      </c>
    </row>
    <row r="1679" spans="1:21">
      <c r="A1679" t="str">
        <f>("07/04/2025")</f>
        <v>07/04/2025</v>
      </c>
      <c r="B1679" t="str">
        <f>"ENTRADA"</f>
        <v>ENTRADA</v>
      </c>
      <c r="C1679" t="str">
        <f>"NFSE"</f>
        <v>NFSE</v>
      </c>
      <c r="D1679" t="str">
        <f>"2825"</f>
        <v>2825</v>
      </c>
      <c r="E1679" t="str">
        <f t="shared" si="853"/>
        <v>COM</v>
      </c>
      <c r="F1679" t="str">
        <f>"PAGMENOS - LJ 608 (10135)"</f>
        <v>PAGMENOS - LJ 608 (10135)</v>
      </c>
      <c r="G1679" t="str">
        <f>"Serv.Prest. 17/03/2025 a 23/03/2025 - RPS: 597 - NFSe: 2825"</f>
        <v>Serv.Prest. 17/03/2025 a 23/03/2025 - RPS: 597 - NFSe: 2825</v>
      </c>
      <c r="H1679" t="str">
        <f>("03/04/2025")</f>
        <v>03/04/2025</v>
      </c>
      <c r="I1679" t="str">
        <f>("24/03/2025")</f>
        <v>24/03/2025</v>
      </c>
      <c r="J1679" t="str">
        <f>("07/04/2025")</f>
        <v>07/04/2025</v>
      </c>
      <c r="K1679">
        <v>280.20999999999998</v>
      </c>
      <c r="L1679">
        <v>280.20999999999998</v>
      </c>
      <c r="M1679">
        <v>303</v>
      </c>
      <c r="N1679" t="str">
        <f>"RECEITAS COM ENTREGAS"</f>
        <v>RECEITAS COM ENTREGAS</v>
      </c>
      <c r="O1679">
        <v>280.20999999999998</v>
      </c>
      <c r="R1679" t="str">
        <f>"RECEITAS COM ENTREGAS (303)"</f>
        <v>RECEITAS COM ENTREGAS (303)</v>
      </c>
      <c r="S1679">
        <v>1407</v>
      </c>
      <c r="T1679">
        <v>1007</v>
      </c>
      <c r="U1679" t="s">
        <v>19</v>
      </c>
    </row>
    <row r="1680" spans="1:21">
      <c r="A1680" t="str">
        <f>("07/04/2025")</f>
        <v>07/04/2025</v>
      </c>
      <c r="B1680" t="str">
        <f t="shared" ref="B1680:B1682" si="854">"ENTRADA"</f>
        <v>ENTRADA</v>
      </c>
      <c r="C1680" t="str">
        <f>"NFSE"</f>
        <v>NFSE</v>
      </c>
      <c r="D1680" t="str">
        <f>"2825"</f>
        <v>2825</v>
      </c>
      <c r="E1680" t="str">
        <f t="shared" si="853"/>
        <v>COM</v>
      </c>
      <c r="F1680" t="str">
        <f>"PAGMENOS - LJ 608 (10135)"</f>
        <v>PAGMENOS - LJ 608 (10135)</v>
      </c>
      <c r="G1680" t="str">
        <f>"Serv.Prest. 17/03/2025 a 23/03/2025 - RPS: 597 - NFSe: 2825"</f>
        <v>Serv.Prest. 17/03/2025 a 23/03/2025 - RPS: 597 - NFSe: 2825</v>
      </c>
      <c r="H1680" t="str">
        <f>("03/04/2025")</f>
        <v>03/04/2025</v>
      </c>
      <c r="I1680" t="str">
        <f>("24/03/2025")</f>
        <v>24/03/2025</v>
      </c>
      <c r="J1680" t="str">
        <f>("07/04/2025")</f>
        <v>07/04/2025</v>
      </c>
      <c r="M1680">
        <v>303</v>
      </c>
      <c r="N1680" t="str">
        <f>"RECEITAS COM ENTREGAS"</f>
        <v>RECEITAS COM ENTREGAS</v>
      </c>
      <c r="P1680">
        <v>280.20999999999998</v>
      </c>
      <c r="Q1680" t="str">
        <f>"PAGMENOS - LJ 608 (10135)"</f>
        <v>PAGMENOS - LJ 608 (10135)</v>
      </c>
      <c r="R1680" t="str">
        <f>"RECEITAS COM ENTREGAS (303)"</f>
        <v>RECEITAS COM ENTREGAS (303)</v>
      </c>
      <c r="S1680">
        <v>1407</v>
      </c>
      <c r="T1680">
        <v>1007</v>
      </c>
      <c r="U1680" t="s">
        <v>19</v>
      </c>
    </row>
    <row r="1681" spans="1:21">
      <c r="A1681" t="str">
        <f>("08/04/2025")</f>
        <v>08/04/2025</v>
      </c>
      <c r="B1681" t="str">
        <f t="shared" si="854"/>
        <v>ENTRADA</v>
      </c>
      <c r="C1681" t="str">
        <f>"NFSE"</f>
        <v>NFSE</v>
      </c>
      <c r="D1681" t="str">
        <f>"2845"</f>
        <v>2845</v>
      </c>
      <c r="E1681" t="str">
        <f t="shared" si="853"/>
        <v>COM</v>
      </c>
      <c r="F1681" t="str">
        <f>"FARMACIA ECONOMIZE (10103)"</f>
        <v>FARMACIA ECONOMIZE (10103)</v>
      </c>
      <c r="G1681" t="str">
        <f>"Serv.Prest. 24/03/2025 a 30/03/2025 - RPS: 617 - NFSe: 2845"</f>
        <v>Serv.Prest. 24/03/2025 a 30/03/2025 - RPS: 617 - NFSe: 2845</v>
      </c>
      <c r="H1681" t="str">
        <f>("02/04/2025")</f>
        <v>02/04/2025</v>
      </c>
      <c r="I1681" t="str">
        <f>("31/03/2025")</f>
        <v>31/03/2025</v>
      </c>
      <c r="J1681" t="str">
        <f>("08/04/2025")</f>
        <v>08/04/2025</v>
      </c>
      <c r="K1681">
        <v>104.04</v>
      </c>
      <c r="L1681">
        <v>106.29</v>
      </c>
      <c r="M1681">
        <v>303</v>
      </c>
      <c r="N1681" t="str">
        <f>"RECEITAS COM ENTREGAS"</f>
        <v>RECEITAS COM ENTREGAS</v>
      </c>
      <c r="O1681">
        <v>106.29</v>
      </c>
      <c r="R1681" t="str">
        <f>"RECEITAS COM ENTREGAS (303)"</f>
        <v>RECEITAS COM ENTREGAS (303)</v>
      </c>
      <c r="S1681">
        <v>1406</v>
      </c>
      <c r="T1681">
        <v>1027</v>
      </c>
      <c r="U1681" t="s">
        <v>19</v>
      </c>
    </row>
    <row r="1682" spans="1:21">
      <c r="A1682" t="str">
        <f>("08/04/2025")</f>
        <v>08/04/2025</v>
      </c>
      <c r="B1682" t="str">
        <f t="shared" si="854"/>
        <v>ENTRADA</v>
      </c>
      <c r="C1682" t="str">
        <f>"NFSE"</f>
        <v>NFSE</v>
      </c>
      <c r="D1682" t="str">
        <f>"2845"</f>
        <v>2845</v>
      </c>
      <c r="E1682" t="str">
        <f t="shared" si="853"/>
        <v>COM</v>
      </c>
      <c r="F1682" t="str">
        <f>"FARMACIA ECONOMIZE (10103)"</f>
        <v>FARMACIA ECONOMIZE (10103)</v>
      </c>
      <c r="G1682" t="str">
        <f>"Serv.Prest. 24/03/2025 a 30/03/2025 - RPS: 617 - NFSe: 2845"</f>
        <v>Serv.Prest. 24/03/2025 a 30/03/2025 - RPS: 617 - NFSe: 2845</v>
      </c>
      <c r="H1682" t="str">
        <f>("02/04/2025")</f>
        <v>02/04/2025</v>
      </c>
      <c r="I1682" t="str">
        <f>("31/03/2025")</f>
        <v>31/03/2025</v>
      </c>
      <c r="J1682" t="str">
        <f>("08/04/2025")</f>
        <v>08/04/2025</v>
      </c>
      <c r="M1682">
        <v>303</v>
      </c>
      <c r="N1682" t="str">
        <f>"RECEITAS COM ENTREGAS"</f>
        <v>RECEITAS COM ENTREGAS</v>
      </c>
      <c r="P1682">
        <v>106.29</v>
      </c>
      <c r="Q1682" t="str">
        <f>"FARMACIA ECONOMIZE (10103)"</f>
        <v>FARMACIA ECONOMIZE (10103)</v>
      </c>
      <c r="R1682" t="str">
        <f>"RECEITAS COM ENTREGAS (303)"</f>
        <v>RECEITAS COM ENTREGAS (303)</v>
      </c>
      <c r="S1682">
        <v>1406</v>
      </c>
      <c r="T1682">
        <v>1027</v>
      </c>
      <c r="U1682" t="s">
        <v>19</v>
      </c>
    </row>
    <row r="1683" spans="1:21">
      <c r="A1683" t="str">
        <f>("08/04/2025")</f>
        <v>08/04/2025</v>
      </c>
      <c r="B1683" t="str">
        <f>"SAÍDA"</f>
        <v>SAÍDA</v>
      </c>
      <c r="C1683" t="str">
        <f>"JUROS"</f>
        <v>JUROS</v>
      </c>
      <c r="D1683" t="str">
        <f>""</f>
        <v/>
      </c>
      <c r="E1683" t="str">
        <f>"CXA"</f>
        <v>CXA</v>
      </c>
      <c r="F1683" t="str">
        <f>""</f>
        <v/>
      </c>
      <c r="G1683" t="str">
        <f>"TAXA BOLETO COMPENSADO"</f>
        <v>TAXA BOLETO COMPENSADO</v>
      </c>
      <c r="H1683" t="str">
        <f>("08/04/2025")</f>
        <v>08/04/2025</v>
      </c>
      <c r="I1683" t="str">
        <f>("08/04/2025")</f>
        <v>08/04/2025</v>
      </c>
      <c r="J1683" t="str">
        <f>("08/04/2025")</f>
        <v>08/04/2025</v>
      </c>
      <c r="K1683">
        <v>1.7</v>
      </c>
      <c r="L1683">
        <v>1.7</v>
      </c>
      <c r="M1683">
        <v>401</v>
      </c>
      <c r="N1683" t="str">
        <f>"IOF/JUROS/DESP.FINANCEIRA"</f>
        <v>IOF/JUROS/DESP.FINANCEIRA</v>
      </c>
      <c r="O1683">
        <v>1.7</v>
      </c>
      <c r="R1683" t="str">
        <f>"BANCO CORA (102)"</f>
        <v>BANCO CORA (102)</v>
      </c>
      <c r="S1683">
        <v>1499</v>
      </c>
      <c r="T1683">
        <v>0</v>
      </c>
      <c r="U1683" t="s">
        <v>20</v>
      </c>
    </row>
    <row r="1684" spans="1:21">
      <c r="A1684" t="str">
        <f t="shared" ref="A1684:A1715" si="855">("09/04/2025")</f>
        <v>09/04/2025</v>
      </c>
      <c r="B1684" t="str">
        <f>"ENTRADA"</f>
        <v>ENTRADA</v>
      </c>
      <c r="C1684" t="str">
        <f t="shared" ref="C1684:C1715" si="856">"NFSE"</f>
        <v>NFSE</v>
      </c>
      <c r="D1684" t="str">
        <f t="shared" ref="D1684:D1729" si="857">"2850"</f>
        <v>2850</v>
      </c>
      <c r="E1684" t="str">
        <f t="shared" ref="E1684:E1715" si="858">"COM"</f>
        <v>COM</v>
      </c>
      <c r="F1684" t="str">
        <f t="shared" ref="F1684:F1729" si="859">"FARMÁCIA INDIANA LJ 1 (10126)"</f>
        <v>FARMÁCIA INDIANA LJ 1 (10126)</v>
      </c>
      <c r="G1684" t="str">
        <f t="shared" ref="G1684:G1729" si="860">"Serv.Prest. 24/03/2025 a 30/03/2025 - RPS: 622 - NFSe: 2850"</f>
        <v>Serv.Prest. 24/03/2025 a 30/03/2025 - RPS: 622 - NFSe: 2850</v>
      </c>
      <c r="H1684" t="str">
        <f t="shared" ref="H1684:H1715" si="861">("09/04/2025")</f>
        <v>09/04/2025</v>
      </c>
      <c r="I1684" t="str">
        <f t="shared" ref="I1684:I1715" si="862">("01/04/2025")</f>
        <v>01/04/2025</v>
      </c>
      <c r="J1684" t="str">
        <f t="shared" ref="J1684:J1715" si="863">("09/04/2025")</f>
        <v>09/04/2025</v>
      </c>
      <c r="K1684">
        <v>13278.32</v>
      </c>
      <c r="L1684">
        <v>13278.32</v>
      </c>
      <c r="M1684">
        <v>303</v>
      </c>
      <c r="N1684" t="str">
        <f t="shared" ref="N1684:N1715" si="864">"RECEITAS COM ENTREGAS"</f>
        <v>RECEITAS COM ENTREGAS</v>
      </c>
      <c r="O1684">
        <v>13278.32</v>
      </c>
      <c r="R1684" t="str">
        <f t="shared" ref="R1684:R1715" si="865">"RECEITAS COM ENTREGAS (303)"</f>
        <v>RECEITAS COM ENTREGAS (303)</v>
      </c>
      <c r="S1684">
        <v>1339</v>
      </c>
      <c r="T1684">
        <v>1032</v>
      </c>
      <c r="U1684" t="s">
        <v>19</v>
      </c>
    </row>
    <row r="1685" spans="1:21">
      <c r="A1685" t="str">
        <f t="shared" si="855"/>
        <v>09/04/2025</v>
      </c>
      <c r="B1685" t="str">
        <f t="shared" ref="B1685:B1748" si="866">"ENTRADA"</f>
        <v>ENTRADA</v>
      </c>
      <c r="C1685" t="str">
        <f t="shared" si="856"/>
        <v>NFSE</v>
      </c>
      <c r="D1685" t="str">
        <f t="shared" si="857"/>
        <v>2850</v>
      </c>
      <c r="E1685" t="str">
        <f t="shared" si="858"/>
        <v>COM</v>
      </c>
      <c r="F1685" t="str">
        <f t="shared" si="859"/>
        <v>FARMÁCIA INDIANA LJ 1 (10126)</v>
      </c>
      <c r="G1685" t="str">
        <f t="shared" si="860"/>
        <v>Serv.Prest. 24/03/2025 a 30/03/2025 - RPS: 622 - NFSe: 2850</v>
      </c>
      <c r="H1685" t="str">
        <f t="shared" si="861"/>
        <v>09/04/2025</v>
      </c>
      <c r="I1685" t="str">
        <f t="shared" si="862"/>
        <v>01/04/2025</v>
      </c>
      <c r="J1685" t="str">
        <f t="shared" si="863"/>
        <v>09/04/2025</v>
      </c>
      <c r="M1685">
        <v>303</v>
      </c>
      <c r="N1685" t="str">
        <f t="shared" si="864"/>
        <v>RECEITAS COM ENTREGAS</v>
      </c>
      <c r="P1685">
        <v>1813.84</v>
      </c>
      <c r="Q1685" t="str">
        <f>"FARMÁCIA INDIANA LJ 06 (10006)"</f>
        <v>FARMÁCIA INDIANA LJ 06 (10006)</v>
      </c>
      <c r="R1685" t="str">
        <f t="shared" si="865"/>
        <v>RECEITAS COM ENTREGAS (303)</v>
      </c>
      <c r="S1685">
        <v>1339</v>
      </c>
      <c r="T1685">
        <v>1032</v>
      </c>
      <c r="U1685" t="s">
        <v>19</v>
      </c>
    </row>
    <row r="1686" spans="1:21">
      <c r="A1686" t="str">
        <f t="shared" si="855"/>
        <v>09/04/2025</v>
      </c>
      <c r="B1686" t="str">
        <f t="shared" si="866"/>
        <v>ENTRADA</v>
      </c>
      <c r="C1686" t="str">
        <f t="shared" si="856"/>
        <v>NFSE</v>
      </c>
      <c r="D1686" t="str">
        <f t="shared" si="857"/>
        <v>2850</v>
      </c>
      <c r="E1686" t="str">
        <f t="shared" si="858"/>
        <v>COM</v>
      </c>
      <c r="F1686" t="str">
        <f t="shared" si="859"/>
        <v>FARMÁCIA INDIANA LJ 1 (10126)</v>
      </c>
      <c r="G1686" t="str">
        <f t="shared" si="860"/>
        <v>Serv.Prest. 24/03/2025 a 30/03/2025 - RPS: 622 - NFSe: 2850</v>
      </c>
      <c r="H1686" t="str">
        <f t="shared" si="861"/>
        <v>09/04/2025</v>
      </c>
      <c r="I1686" t="str">
        <f t="shared" si="862"/>
        <v>01/04/2025</v>
      </c>
      <c r="J1686" t="str">
        <f t="shared" si="863"/>
        <v>09/04/2025</v>
      </c>
      <c r="M1686">
        <v>303</v>
      </c>
      <c r="N1686" t="str">
        <f t="shared" si="864"/>
        <v>RECEITAS COM ENTREGAS</v>
      </c>
      <c r="P1686">
        <v>1569.5</v>
      </c>
      <c r="Q1686" t="str">
        <f>"FARMÁCIA INDIANA LJ 07 (10007)"</f>
        <v>FARMÁCIA INDIANA LJ 07 (10007)</v>
      </c>
      <c r="R1686" t="str">
        <f t="shared" si="865"/>
        <v>RECEITAS COM ENTREGAS (303)</v>
      </c>
      <c r="S1686">
        <v>1339</v>
      </c>
      <c r="T1686">
        <v>1032</v>
      </c>
      <c r="U1686" t="s">
        <v>19</v>
      </c>
    </row>
    <row r="1687" spans="1:21">
      <c r="A1687" t="str">
        <f t="shared" si="855"/>
        <v>09/04/2025</v>
      </c>
      <c r="B1687" t="str">
        <f t="shared" si="866"/>
        <v>ENTRADA</v>
      </c>
      <c r="C1687" t="str">
        <f t="shared" si="856"/>
        <v>NFSE</v>
      </c>
      <c r="D1687" t="str">
        <f t="shared" si="857"/>
        <v>2850</v>
      </c>
      <c r="E1687" t="str">
        <f t="shared" si="858"/>
        <v>COM</v>
      </c>
      <c r="F1687" t="str">
        <f t="shared" si="859"/>
        <v>FARMÁCIA INDIANA LJ 1 (10126)</v>
      </c>
      <c r="G1687" t="str">
        <f t="shared" si="860"/>
        <v>Serv.Prest. 24/03/2025 a 30/03/2025 - RPS: 622 - NFSe: 2850</v>
      </c>
      <c r="H1687" t="str">
        <f t="shared" si="861"/>
        <v>09/04/2025</v>
      </c>
      <c r="I1687" t="str">
        <f t="shared" si="862"/>
        <v>01/04/2025</v>
      </c>
      <c r="J1687" t="str">
        <f t="shared" si="863"/>
        <v>09/04/2025</v>
      </c>
      <c r="M1687">
        <v>303</v>
      </c>
      <c r="N1687" t="str">
        <f t="shared" si="864"/>
        <v>RECEITAS COM ENTREGAS</v>
      </c>
      <c r="P1687">
        <v>1167.1600000000001</v>
      </c>
      <c r="Q1687" t="str">
        <f>"FARMÁCIA INDIANA LJ 11 (10008)"</f>
        <v>FARMÁCIA INDIANA LJ 11 (10008)</v>
      </c>
      <c r="R1687" t="str">
        <f t="shared" si="865"/>
        <v>RECEITAS COM ENTREGAS (303)</v>
      </c>
      <c r="S1687">
        <v>1339</v>
      </c>
      <c r="T1687">
        <v>1032</v>
      </c>
      <c r="U1687" t="s">
        <v>19</v>
      </c>
    </row>
    <row r="1688" spans="1:21">
      <c r="A1688" t="str">
        <f t="shared" si="855"/>
        <v>09/04/2025</v>
      </c>
      <c r="B1688" t="str">
        <f t="shared" si="866"/>
        <v>ENTRADA</v>
      </c>
      <c r="C1688" t="str">
        <f t="shared" si="856"/>
        <v>NFSE</v>
      </c>
      <c r="D1688" t="str">
        <f t="shared" si="857"/>
        <v>2850</v>
      </c>
      <c r="E1688" t="str">
        <f t="shared" si="858"/>
        <v>COM</v>
      </c>
      <c r="F1688" t="str">
        <f t="shared" si="859"/>
        <v>FARMÁCIA INDIANA LJ 1 (10126)</v>
      </c>
      <c r="G1688" t="str">
        <f t="shared" si="860"/>
        <v>Serv.Prest. 24/03/2025 a 30/03/2025 - RPS: 622 - NFSe: 2850</v>
      </c>
      <c r="H1688" t="str">
        <f t="shared" si="861"/>
        <v>09/04/2025</v>
      </c>
      <c r="I1688" t="str">
        <f t="shared" si="862"/>
        <v>01/04/2025</v>
      </c>
      <c r="J1688" t="str">
        <f t="shared" si="863"/>
        <v>09/04/2025</v>
      </c>
      <c r="M1688">
        <v>303</v>
      </c>
      <c r="N1688" t="str">
        <f t="shared" si="864"/>
        <v>RECEITAS COM ENTREGAS</v>
      </c>
      <c r="P1688">
        <v>362.5</v>
      </c>
      <c r="Q1688" t="str">
        <f>"FARMÁCIA INDIANA LJ 14 (10009)"</f>
        <v>FARMÁCIA INDIANA LJ 14 (10009)</v>
      </c>
      <c r="R1688" t="str">
        <f t="shared" si="865"/>
        <v>RECEITAS COM ENTREGAS (303)</v>
      </c>
      <c r="S1688">
        <v>1339</v>
      </c>
      <c r="T1688">
        <v>1032</v>
      </c>
      <c r="U1688" t="s">
        <v>19</v>
      </c>
    </row>
    <row r="1689" spans="1:21">
      <c r="A1689" t="str">
        <f t="shared" si="855"/>
        <v>09/04/2025</v>
      </c>
      <c r="B1689" t="str">
        <f t="shared" si="866"/>
        <v>ENTRADA</v>
      </c>
      <c r="C1689" t="str">
        <f t="shared" si="856"/>
        <v>NFSE</v>
      </c>
      <c r="D1689" t="str">
        <f t="shared" si="857"/>
        <v>2850</v>
      </c>
      <c r="E1689" t="str">
        <f t="shared" si="858"/>
        <v>COM</v>
      </c>
      <c r="F1689" t="str">
        <f t="shared" si="859"/>
        <v>FARMÁCIA INDIANA LJ 1 (10126)</v>
      </c>
      <c r="G1689" t="str">
        <f t="shared" si="860"/>
        <v>Serv.Prest. 24/03/2025 a 30/03/2025 - RPS: 622 - NFSe: 2850</v>
      </c>
      <c r="H1689" t="str">
        <f t="shared" si="861"/>
        <v>09/04/2025</v>
      </c>
      <c r="I1689" t="str">
        <f t="shared" si="862"/>
        <v>01/04/2025</v>
      </c>
      <c r="J1689" t="str">
        <f t="shared" si="863"/>
        <v>09/04/2025</v>
      </c>
      <c r="M1689">
        <v>303</v>
      </c>
      <c r="N1689" t="str">
        <f t="shared" si="864"/>
        <v>RECEITAS COM ENTREGAS</v>
      </c>
      <c r="P1689">
        <v>377.1</v>
      </c>
      <c r="Q1689" t="str">
        <f>"FARMÁCIA INDIANA LJ 18 (10011)"</f>
        <v>FARMÁCIA INDIANA LJ 18 (10011)</v>
      </c>
      <c r="R1689" t="str">
        <f t="shared" si="865"/>
        <v>RECEITAS COM ENTREGAS (303)</v>
      </c>
      <c r="S1689">
        <v>1339</v>
      </c>
      <c r="T1689">
        <v>1032</v>
      </c>
      <c r="U1689" t="s">
        <v>19</v>
      </c>
    </row>
    <row r="1690" spans="1:21">
      <c r="A1690" t="str">
        <f t="shared" si="855"/>
        <v>09/04/2025</v>
      </c>
      <c r="B1690" t="str">
        <f t="shared" si="866"/>
        <v>ENTRADA</v>
      </c>
      <c r="C1690" t="str">
        <f t="shared" si="856"/>
        <v>NFSE</v>
      </c>
      <c r="D1690" t="str">
        <f t="shared" si="857"/>
        <v>2850</v>
      </c>
      <c r="E1690" t="str">
        <f t="shared" si="858"/>
        <v>COM</v>
      </c>
      <c r="F1690" t="str">
        <f t="shared" si="859"/>
        <v>FARMÁCIA INDIANA LJ 1 (10126)</v>
      </c>
      <c r="G1690" t="str">
        <f t="shared" si="860"/>
        <v>Serv.Prest. 24/03/2025 a 30/03/2025 - RPS: 622 - NFSe: 2850</v>
      </c>
      <c r="H1690" t="str">
        <f t="shared" si="861"/>
        <v>09/04/2025</v>
      </c>
      <c r="I1690" t="str">
        <f t="shared" si="862"/>
        <v>01/04/2025</v>
      </c>
      <c r="J1690" t="str">
        <f t="shared" si="863"/>
        <v>09/04/2025</v>
      </c>
      <c r="M1690">
        <v>303</v>
      </c>
      <c r="N1690" t="str">
        <f t="shared" si="864"/>
        <v>RECEITAS COM ENTREGAS</v>
      </c>
      <c r="P1690">
        <v>367.81</v>
      </c>
      <c r="Q1690" t="str">
        <f>"FARMÁCIA INDIANA LJ 19 (10012)"</f>
        <v>FARMÁCIA INDIANA LJ 19 (10012)</v>
      </c>
      <c r="R1690" t="str">
        <f t="shared" si="865"/>
        <v>RECEITAS COM ENTREGAS (303)</v>
      </c>
      <c r="S1690">
        <v>1339</v>
      </c>
      <c r="T1690">
        <v>1032</v>
      </c>
      <c r="U1690" t="s">
        <v>19</v>
      </c>
    </row>
    <row r="1691" spans="1:21">
      <c r="A1691" t="str">
        <f t="shared" si="855"/>
        <v>09/04/2025</v>
      </c>
      <c r="B1691" t="str">
        <f t="shared" si="866"/>
        <v>ENTRADA</v>
      </c>
      <c r="C1691" t="str">
        <f t="shared" si="856"/>
        <v>NFSE</v>
      </c>
      <c r="D1691" t="str">
        <f t="shared" si="857"/>
        <v>2850</v>
      </c>
      <c r="E1691" t="str">
        <f t="shared" si="858"/>
        <v>COM</v>
      </c>
      <c r="F1691" t="str">
        <f t="shared" si="859"/>
        <v>FARMÁCIA INDIANA LJ 1 (10126)</v>
      </c>
      <c r="G1691" t="str">
        <f t="shared" si="860"/>
        <v>Serv.Prest. 24/03/2025 a 30/03/2025 - RPS: 622 - NFSe: 2850</v>
      </c>
      <c r="H1691" t="str">
        <f t="shared" si="861"/>
        <v>09/04/2025</v>
      </c>
      <c r="I1691" t="str">
        <f t="shared" si="862"/>
        <v>01/04/2025</v>
      </c>
      <c r="J1691" t="str">
        <f t="shared" si="863"/>
        <v>09/04/2025</v>
      </c>
      <c r="M1691">
        <v>303</v>
      </c>
      <c r="N1691" t="str">
        <f t="shared" si="864"/>
        <v>RECEITAS COM ENTREGAS</v>
      </c>
      <c r="P1691">
        <v>513.87</v>
      </c>
      <c r="Q1691" t="str">
        <f>"FARMÁCIA INDIANA LJ 40 (10016)"</f>
        <v>FARMÁCIA INDIANA LJ 40 (10016)</v>
      </c>
      <c r="R1691" t="str">
        <f t="shared" si="865"/>
        <v>RECEITAS COM ENTREGAS (303)</v>
      </c>
      <c r="S1691">
        <v>1339</v>
      </c>
      <c r="T1691">
        <v>1032</v>
      </c>
      <c r="U1691" t="s">
        <v>19</v>
      </c>
    </row>
    <row r="1692" spans="1:21">
      <c r="A1692" t="str">
        <f t="shared" si="855"/>
        <v>09/04/2025</v>
      </c>
      <c r="B1692" t="str">
        <f t="shared" si="866"/>
        <v>ENTRADA</v>
      </c>
      <c r="C1692" t="str">
        <f t="shared" si="856"/>
        <v>NFSE</v>
      </c>
      <c r="D1692" t="str">
        <f t="shared" si="857"/>
        <v>2850</v>
      </c>
      <c r="E1692" t="str">
        <f t="shared" si="858"/>
        <v>COM</v>
      </c>
      <c r="F1692" t="str">
        <f t="shared" si="859"/>
        <v>FARMÁCIA INDIANA LJ 1 (10126)</v>
      </c>
      <c r="G1692" t="str">
        <f t="shared" si="860"/>
        <v>Serv.Prest. 24/03/2025 a 30/03/2025 - RPS: 622 - NFSe: 2850</v>
      </c>
      <c r="H1692" t="str">
        <f t="shared" si="861"/>
        <v>09/04/2025</v>
      </c>
      <c r="I1692" t="str">
        <f t="shared" si="862"/>
        <v>01/04/2025</v>
      </c>
      <c r="J1692" t="str">
        <f t="shared" si="863"/>
        <v>09/04/2025</v>
      </c>
      <c r="M1692">
        <v>303</v>
      </c>
      <c r="N1692" t="str">
        <f t="shared" si="864"/>
        <v>RECEITAS COM ENTREGAS</v>
      </c>
      <c r="P1692">
        <v>308.06</v>
      </c>
      <c r="Q1692" t="str">
        <f>"FARMÁCIA INDIANA LJ 59 (10026)"</f>
        <v>FARMÁCIA INDIANA LJ 59 (10026)</v>
      </c>
      <c r="R1692" t="str">
        <f t="shared" si="865"/>
        <v>RECEITAS COM ENTREGAS (303)</v>
      </c>
      <c r="S1692">
        <v>1339</v>
      </c>
      <c r="T1692">
        <v>1032</v>
      </c>
      <c r="U1692" t="s">
        <v>19</v>
      </c>
    </row>
    <row r="1693" spans="1:21">
      <c r="A1693" t="str">
        <f t="shared" si="855"/>
        <v>09/04/2025</v>
      </c>
      <c r="B1693" t="str">
        <f t="shared" si="866"/>
        <v>ENTRADA</v>
      </c>
      <c r="C1693" t="str">
        <f t="shared" si="856"/>
        <v>NFSE</v>
      </c>
      <c r="D1693" t="str">
        <f t="shared" si="857"/>
        <v>2850</v>
      </c>
      <c r="E1693" t="str">
        <f t="shared" si="858"/>
        <v>COM</v>
      </c>
      <c r="F1693" t="str">
        <f t="shared" si="859"/>
        <v>FARMÁCIA INDIANA LJ 1 (10126)</v>
      </c>
      <c r="G1693" t="str">
        <f t="shared" si="860"/>
        <v>Serv.Prest. 24/03/2025 a 30/03/2025 - RPS: 622 - NFSe: 2850</v>
      </c>
      <c r="H1693" t="str">
        <f t="shared" si="861"/>
        <v>09/04/2025</v>
      </c>
      <c r="I1693" t="str">
        <f t="shared" si="862"/>
        <v>01/04/2025</v>
      </c>
      <c r="J1693" t="str">
        <f t="shared" si="863"/>
        <v>09/04/2025</v>
      </c>
      <c r="M1693">
        <v>303</v>
      </c>
      <c r="N1693" t="str">
        <f t="shared" si="864"/>
        <v>RECEITAS COM ENTREGAS</v>
      </c>
      <c r="P1693">
        <v>476.69</v>
      </c>
      <c r="Q1693" t="str">
        <f>"FARMÁCIA INDIANA LJ 61 (10027)"</f>
        <v>FARMÁCIA INDIANA LJ 61 (10027)</v>
      </c>
      <c r="R1693" t="str">
        <f t="shared" si="865"/>
        <v>RECEITAS COM ENTREGAS (303)</v>
      </c>
      <c r="S1693">
        <v>1339</v>
      </c>
      <c r="T1693">
        <v>1032</v>
      </c>
      <c r="U1693" t="s">
        <v>19</v>
      </c>
    </row>
    <row r="1694" spans="1:21">
      <c r="A1694" t="str">
        <f t="shared" si="855"/>
        <v>09/04/2025</v>
      </c>
      <c r="B1694" t="str">
        <f t="shared" si="866"/>
        <v>ENTRADA</v>
      </c>
      <c r="C1694" t="str">
        <f t="shared" si="856"/>
        <v>NFSE</v>
      </c>
      <c r="D1694" t="str">
        <f t="shared" si="857"/>
        <v>2850</v>
      </c>
      <c r="E1694" t="str">
        <f t="shared" si="858"/>
        <v>COM</v>
      </c>
      <c r="F1694" t="str">
        <f t="shared" si="859"/>
        <v>FARMÁCIA INDIANA LJ 1 (10126)</v>
      </c>
      <c r="G1694" t="str">
        <f t="shared" si="860"/>
        <v>Serv.Prest. 24/03/2025 a 30/03/2025 - RPS: 622 - NFSe: 2850</v>
      </c>
      <c r="H1694" t="str">
        <f t="shared" si="861"/>
        <v>09/04/2025</v>
      </c>
      <c r="I1694" t="str">
        <f t="shared" si="862"/>
        <v>01/04/2025</v>
      </c>
      <c r="J1694" t="str">
        <f t="shared" si="863"/>
        <v>09/04/2025</v>
      </c>
      <c r="M1694">
        <v>303</v>
      </c>
      <c r="N1694" t="str">
        <f t="shared" si="864"/>
        <v>RECEITAS COM ENTREGAS</v>
      </c>
      <c r="P1694">
        <v>274.86</v>
      </c>
      <c r="Q1694" t="str">
        <f>"FARMÁCIA INDIANA LJ 62 (10028)"</f>
        <v>FARMÁCIA INDIANA LJ 62 (10028)</v>
      </c>
      <c r="R1694" t="str">
        <f t="shared" si="865"/>
        <v>RECEITAS COM ENTREGAS (303)</v>
      </c>
      <c r="S1694">
        <v>1339</v>
      </c>
      <c r="T1694">
        <v>1032</v>
      </c>
      <c r="U1694" t="s">
        <v>19</v>
      </c>
    </row>
    <row r="1695" spans="1:21">
      <c r="A1695" t="str">
        <f t="shared" si="855"/>
        <v>09/04/2025</v>
      </c>
      <c r="B1695" t="str">
        <f t="shared" si="866"/>
        <v>ENTRADA</v>
      </c>
      <c r="C1695" t="str">
        <f t="shared" si="856"/>
        <v>NFSE</v>
      </c>
      <c r="D1695" t="str">
        <f t="shared" si="857"/>
        <v>2850</v>
      </c>
      <c r="E1695" t="str">
        <f t="shared" si="858"/>
        <v>COM</v>
      </c>
      <c r="F1695" t="str">
        <f t="shared" si="859"/>
        <v>FARMÁCIA INDIANA LJ 1 (10126)</v>
      </c>
      <c r="G1695" t="str">
        <f t="shared" si="860"/>
        <v>Serv.Prest. 24/03/2025 a 30/03/2025 - RPS: 622 - NFSe: 2850</v>
      </c>
      <c r="H1695" t="str">
        <f t="shared" si="861"/>
        <v>09/04/2025</v>
      </c>
      <c r="I1695" t="str">
        <f t="shared" si="862"/>
        <v>01/04/2025</v>
      </c>
      <c r="J1695" t="str">
        <f t="shared" si="863"/>
        <v>09/04/2025</v>
      </c>
      <c r="M1695">
        <v>303</v>
      </c>
      <c r="N1695" t="str">
        <f t="shared" si="864"/>
        <v>RECEITAS COM ENTREGAS</v>
      </c>
      <c r="P1695">
        <v>115.52</v>
      </c>
      <c r="Q1695" t="str">
        <f>"FARMÁCIA INDIANA LJ 64 (10029)"</f>
        <v>FARMÁCIA INDIANA LJ 64 (10029)</v>
      </c>
      <c r="R1695" t="str">
        <f t="shared" si="865"/>
        <v>RECEITAS COM ENTREGAS (303)</v>
      </c>
      <c r="S1695">
        <v>1339</v>
      </c>
      <c r="T1695">
        <v>1032</v>
      </c>
      <c r="U1695" t="s">
        <v>19</v>
      </c>
    </row>
    <row r="1696" spans="1:21">
      <c r="A1696" t="str">
        <f t="shared" si="855"/>
        <v>09/04/2025</v>
      </c>
      <c r="B1696" t="str">
        <f t="shared" si="866"/>
        <v>ENTRADA</v>
      </c>
      <c r="C1696" t="str">
        <f t="shared" si="856"/>
        <v>NFSE</v>
      </c>
      <c r="D1696" t="str">
        <f t="shared" si="857"/>
        <v>2850</v>
      </c>
      <c r="E1696" t="str">
        <f t="shared" si="858"/>
        <v>COM</v>
      </c>
      <c r="F1696" t="str">
        <f t="shared" si="859"/>
        <v>FARMÁCIA INDIANA LJ 1 (10126)</v>
      </c>
      <c r="G1696" t="str">
        <f t="shared" si="860"/>
        <v>Serv.Prest. 24/03/2025 a 30/03/2025 - RPS: 622 - NFSe: 2850</v>
      </c>
      <c r="H1696" t="str">
        <f t="shared" si="861"/>
        <v>09/04/2025</v>
      </c>
      <c r="I1696" t="str">
        <f t="shared" si="862"/>
        <v>01/04/2025</v>
      </c>
      <c r="J1696" t="str">
        <f t="shared" si="863"/>
        <v>09/04/2025</v>
      </c>
      <c r="M1696">
        <v>303</v>
      </c>
      <c r="N1696" t="str">
        <f t="shared" si="864"/>
        <v>RECEITAS COM ENTREGAS</v>
      </c>
      <c r="P1696">
        <v>66.39</v>
      </c>
      <c r="Q1696" t="str">
        <f>"FARMÁCIA INDIANA LJ 97 (10040)"</f>
        <v>FARMÁCIA INDIANA LJ 97 (10040)</v>
      </c>
      <c r="R1696" t="str">
        <f t="shared" si="865"/>
        <v>RECEITAS COM ENTREGAS (303)</v>
      </c>
      <c r="S1696">
        <v>1339</v>
      </c>
      <c r="T1696">
        <v>1032</v>
      </c>
      <c r="U1696" t="s">
        <v>19</v>
      </c>
    </row>
    <row r="1697" spans="1:21">
      <c r="A1697" t="str">
        <f t="shared" si="855"/>
        <v>09/04/2025</v>
      </c>
      <c r="B1697" t="str">
        <f t="shared" si="866"/>
        <v>ENTRADA</v>
      </c>
      <c r="C1697" t="str">
        <f t="shared" si="856"/>
        <v>NFSE</v>
      </c>
      <c r="D1697" t="str">
        <f t="shared" si="857"/>
        <v>2850</v>
      </c>
      <c r="E1697" t="str">
        <f t="shared" si="858"/>
        <v>COM</v>
      </c>
      <c r="F1697" t="str">
        <f t="shared" si="859"/>
        <v>FARMÁCIA INDIANA LJ 1 (10126)</v>
      </c>
      <c r="G1697" t="str">
        <f t="shared" si="860"/>
        <v>Serv.Prest. 24/03/2025 a 30/03/2025 - RPS: 622 - NFSe: 2850</v>
      </c>
      <c r="H1697" t="str">
        <f t="shared" si="861"/>
        <v>09/04/2025</v>
      </c>
      <c r="I1697" t="str">
        <f t="shared" si="862"/>
        <v>01/04/2025</v>
      </c>
      <c r="J1697" t="str">
        <f t="shared" si="863"/>
        <v>09/04/2025</v>
      </c>
      <c r="M1697">
        <v>303</v>
      </c>
      <c r="N1697" t="str">
        <f t="shared" si="864"/>
        <v>RECEITAS COM ENTREGAS</v>
      </c>
      <c r="P1697">
        <v>320.01</v>
      </c>
      <c r="Q1697" t="str">
        <f>"FARMÁCIA INDIANA LJ 100 (10042)"</f>
        <v>FARMÁCIA INDIANA LJ 100 (10042)</v>
      </c>
      <c r="R1697" t="str">
        <f t="shared" si="865"/>
        <v>RECEITAS COM ENTREGAS (303)</v>
      </c>
      <c r="S1697">
        <v>1339</v>
      </c>
      <c r="T1697">
        <v>1032</v>
      </c>
      <c r="U1697" t="s">
        <v>19</v>
      </c>
    </row>
    <row r="1698" spans="1:21">
      <c r="A1698" t="str">
        <f t="shared" si="855"/>
        <v>09/04/2025</v>
      </c>
      <c r="B1698" t="str">
        <f t="shared" si="866"/>
        <v>ENTRADA</v>
      </c>
      <c r="C1698" t="str">
        <f t="shared" si="856"/>
        <v>NFSE</v>
      </c>
      <c r="D1698" t="str">
        <f t="shared" si="857"/>
        <v>2850</v>
      </c>
      <c r="E1698" t="str">
        <f t="shared" si="858"/>
        <v>COM</v>
      </c>
      <c r="F1698" t="str">
        <f t="shared" si="859"/>
        <v>FARMÁCIA INDIANA LJ 1 (10126)</v>
      </c>
      <c r="G1698" t="str">
        <f t="shared" si="860"/>
        <v>Serv.Prest. 24/03/2025 a 30/03/2025 - RPS: 622 - NFSe: 2850</v>
      </c>
      <c r="H1698" t="str">
        <f t="shared" si="861"/>
        <v>09/04/2025</v>
      </c>
      <c r="I1698" t="str">
        <f t="shared" si="862"/>
        <v>01/04/2025</v>
      </c>
      <c r="J1698" t="str">
        <f t="shared" si="863"/>
        <v>09/04/2025</v>
      </c>
      <c r="M1698">
        <v>303</v>
      </c>
      <c r="N1698" t="str">
        <f t="shared" si="864"/>
        <v>RECEITAS COM ENTREGAS</v>
      </c>
      <c r="P1698">
        <v>600.17999999999995</v>
      </c>
      <c r="Q1698" t="str">
        <f>"FARMÁCIA INDIANA LJ 101 (10043)"</f>
        <v>FARMÁCIA INDIANA LJ 101 (10043)</v>
      </c>
      <c r="R1698" t="str">
        <f t="shared" si="865"/>
        <v>RECEITAS COM ENTREGAS (303)</v>
      </c>
      <c r="S1698">
        <v>1339</v>
      </c>
      <c r="T1698">
        <v>1032</v>
      </c>
      <c r="U1698" t="s">
        <v>19</v>
      </c>
    </row>
    <row r="1699" spans="1:21">
      <c r="A1699" t="str">
        <f t="shared" si="855"/>
        <v>09/04/2025</v>
      </c>
      <c r="B1699" t="str">
        <f t="shared" si="866"/>
        <v>ENTRADA</v>
      </c>
      <c r="C1699" t="str">
        <f t="shared" si="856"/>
        <v>NFSE</v>
      </c>
      <c r="D1699" t="str">
        <f t="shared" si="857"/>
        <v>2850</v>
      </c>
      <c r="E1699" t="str">
        <f t="shared" si="858"/>
        <v>COM</v>
      </c>
      <c r="F1699" t="str">
        <f t="shared" si="859"/>
        <v>FARMÁCIA INDIANA LJ 1 (10126)</v>
      </c>
      <c r="G1699" t="str">
        <f t="shared" si="860"/>
        <v>Serv.Prest. 24/03/2025 a 30/03/2025 - RPS: 622 - NFSe: 2850</v>
      </c>
      <c r="H1699" t="str">
        <f t="shared" si="861"/>
        <v>09/04/2025</v>
      </c>
      <c r="I1699" t="str">
        <f t="shared" si="862"/>
        <v>01/04/2025</v>
      </c>
      <c r="J1699" t="str">
        <f t="shared" si="863"/>
        <v>09/04/2025</v>
      </c>
      <c r="M1699">
        <v>303</v>
      </c>
      <c r="N1699" t="str">
        <f t="shared" si="864"/>
        <v>RECEITAS COM ENTREGAS</v>
      </c>
      <c r="P1699">
        <v>71.7</v>
      </c>
      <c r="Q1699" t="str">
        <f>"FARMÁCIA INDIANA LJ 103 (10044)"</f>
        <v>FARMÁCIA INDIANA LJ 103 (10044)</v>
      </c>
      <c r="R1699" t="str">
        <f t="shared" si="865"/>
        <v>RECEITAS COM ENTREGAS (303)</v>
      </c>
      <c r="S1699">
        <v>1339</v>
      </c>
      <c r="T1699">
        <v>1032</v>
      </c>
      <c r="U1699" t="s">
        <v>19</v>
      </c>
    </row>
    <row r="1700" spans="1:21">
      <c r="A1700" t="str">
        <f t="shared" si="855"/>
        <v>09/04/2025</v>
      </c>
      <c r="B1700" t="str">
        <f t="shared" si="866"/>
        <v>ENTRADA</v>
      </c>
      <c r="C1700" t="str">
        <f t="shared" si="856"/>
        <v>NFSE</v>
      </c>
      <c r="D1700" t="str">
        <f t="shared" si="857"/>
        <v>2850</v>
      </c>
      <c r="E1700" t="str">
        <f t="shared" si="858"/>
        <v>COM</v>
      </c>
      <c r="F1700" t="str">
        <f t="shared" si="859"/>
        <v>FARMÁCIA INDIANA LJ 1 (10126)</v>
      </c>
      <c r="G1700" t="str">
        <f t="shared" si="860"/>
        <v>Serv.Prest. 24/03/2025 a 30/03/2025 - RPS: 622 - NFSe: 2850</v>
      </c>
      <c r="H1700" t="str">
        <f t="shared" si="861"/>
        <v>09/04/2025</v>
      </c>
      <c r="I1700" t="str">
        <f t="shared" si="862"/>
        <v>01/04/2025</v>
      </c>
      <c r="J1700" t="str">
        <f t="shared" si="863"/>
        <v>09/04/2025</v>
      </c>
      <c r="M1700">
        <v>303</v>
      </c>
      <c r="N1700" t="str">
        <f t="shared" si="864"/>
        <v>RECEITAS COM ENTREGAS</v>
      </c>
      <c r="P1700">
        <v>151.37</v>
      </c>
      <c r="Q1700" t="str">
        <f>"FARMÁCIA INDIANA LJ 109 (10047)"</f>
        <v>FARMÁCIA INDIANA LJ 109 (10047)</v>
      </c>
      <c r="R1700" t="str">
        <f t="shared" si="865"/>
        <v>RECEITAS COM ENTREGAS (303)</v>
      </c>
      <c r="S1700">
        <v>1339</v>
      </c>
      <c r="T1700">
        <v>1032</v>
      </c>
      <c r="U1700" t="s">
        <v>19</v>
      </c>
    </row>
    <row r="1701" spans="1:21">
      <c r="A1701" t="str">
        <f t="shared" si="855"/>
        <v>09/04/2025</v>
      </c>
      <c r="B1701" t="str">
        <f t="shared" si="866"/>
        <v>ENTRADA</v>
      </c>
      <c r="C1701" t="str">
        <f t="shared" si="856"/>
        <v>NFSE</v>
      </c>
      <c r="D1701" t="str">
        <f t="shared" si="857"/>
        <v>2850</v>
      </c>
      <c r="E1701" t="str">
        <f t="shared" si="858"/>
        <v>COM</v>
      </c>
      <c r="F1701" t="str">
        <f t="shared" si="859"/>
        <v>FARMÁCIA INDIANA LJ 1 (10126)</v>
      </c>
      <c r="G1701" t="str">
        <f t="shared" si="860"/>
        <v>Serv.Prest. 24/03/2025 a 30/03/2025 - RPS: 622 - NFSe: 2850</v>
      </c>
      <c r="H1701" t="str">
        <f t="shared" si="861"/>
        <v>09/04/2025</v>
      </c>
      <c r="I1701" t="str">
        <f t="shared" si="862"/>
        <v>01/04/2025</v>
      </c>
      <c r="J1701" t="str">
        <f t="shared" si="863"/>
        <v>09/04/2025</v>
      </c>
      <c r="M1701">
        <v>303</v>
      </c>
      <c r="N1701" t="str">
        <f t="shared" si="864"/>
        <v>RECEITAS COM ENTREGAS</v>
      </c>
      <c r="P1701">
        <v>480.68</v>
      </c>
      <c r="Q1701" t="str">
        <f>"FARMÁCIA INDIANA LJ 110 (10048)"</f>
        <v>FARMÁCIA INDIANA LJ 110 (10048)</v>
      </c>
      <c r="R1701" t="str">
        <f t="shared" si="865"/>
        <v>RECEITAS COM ENTREGAS (303)</v>
      </c>
      <c r="S1701">
        <v>1339</v>
      </c>
      <c r="T1701">
        <v>1032</v>
      </c>
      <c r="U1701" t="s">
        <v>19</v>
      </c>
    </row>
    <row r="1702" spans="1:21">
      <c r="A1702" t="str">
        <f t="shared" si="855"/>
        <v>09/04/2025</v>
      </c>
      <c r="B1702" t="str">
        <f t="shared" si="866"/>
        <v>ENTRADA</v>
      </c>
      <c r="C1702" t="str">
        <f t="shared" si="856"/>
        <v>NFSE</v>
      </c>
      <c r="D1702" t="str">
        <f t="shared" si="857"/>
        <v>2850</v>
      </c>
      <c r="E1702" t="str">
        <f t="shared" si="858"/>
        <v>COM</v>
      </c>
      <c r="F1702" t="str">
        <f t="shared" si="859"/>
        <v>FARMÁCIA INDIANA LJ 1 (10126)</v>
      </c>
      <c r="G1702" t="str">
        <f t="shared" si="860"/>
        <v>Serv.Prest. 24/03/2025 a 30/03/2025 - RPS: 622 - NFSe: 2850</v>
      </c>
      <c r="H1702" t="str">
        <f t="shared" si="861"/>
        <v>09/04/2025</v>
      </c>
      <c r="I1702" t="str">
        <f t="shared" si="862"/>
        <v>01/04/2025</v>
      </c>
      <c r="J1702" t="str">
        <f t="shared" si="863"/>
        <v>09/04/2025</v>
      </c>
      <c r="M1702">
        <v>303</v>
      </c>
      <c r="N1702" t="str">
        <f t="shared" si="864"/>
        <v>RECEITAS COM ENTREGAS</v>
      </c>
      <c r="P1702">
        <v>63.74</v>
      </c>
      <c r="Q1702" t="str">
        <f>"FARMÁCIA INDIANA LJ 111 (10049)"</f>
        <v>FARMÁCIA INDIANA LJ 111 (10049)</v>
      </c>
      <c r="R1702" t="str">
        <f t="shared" si="865"/>
        <v>RECEITAS COM ENTREGAS (303)</v>
      </c>
      <c r="S1702">
        <v>1339</v>
      </c>
      <c r="T1702">
        <v>1032</v>
      </c>
      <c r="U1702" t="s">
        <v>19</v>
      </c>
    </row>
    <row r="1703" spans="1:21">
      <c r="A1703" t="str">
        <f t="shared" si="855"/>
        <v>09/04/2025</v>
      </c>
      <c r="B1703" t="str">
        <f t="shared" si="866"/>
        <v>ENTRADA</v>
      </c>
      <c r="C1703" t="str">
        <f t="shared" si="856"/>
        <v>NFSE</v>
      </c>
      <c r="D1703" t="str">
        <f t="shared" si="857"/>
        <v>2850</v>
      </c>
      <c r="E1703" t="str">
        <f t="shared" si="858"/>
        <v>COM</v>
      </c>
      <c r="F1703" t="str">
        <f t="shared" si="859"/>
        <v>FARMÁCIA INDIANA LJ 1 (10126)</v>
      </c>
      <c r="G1703" t="str">
        <f t="shared" si="860"/>
        <v>Serv.Prest. 24/03/2025 a 30/03/2025 - RPS: 622 - NFSe: 2850</v>
      </c>
      <c r="H1703" t="str">
        <f t="shared" si="861"/>
        <v>09/04/2025</v>
      </c>
      <c r="I1703" t="str">
        <f t="shared" si="862"/>
        <v>01/04/2025</v>
      </c>
      <c r="J1703" t="str">
        <f t="shared" si="863"/>
        <v>09/04/2025</v>
      </c>
      <c r="M1703">
        <v>303</v>
      </c>
      <c r="N1703" t="str">
        <f t="shared" si="864"/>
        <v>RECEITAS COM ENTREGAS</v>
      </c>
      <c r="P1703">
        <v>126.14</v>
      </c>
      <c r="Q1703" t="str">
        <f>"FARMÁCIA INDIANA LJ 112 (10050)"</f>
        <v>FARMÁCIA INDIANA LJ 112 (10050)</v>
      </c>
      <c r="R1703" t="str">
        <f t="shared" si="865"/>
        <v>RECEITAS COM ENTREGAS (303)</v>
      </c>
      <c r="S1703">
        <v>1339</v>
      </c>
      <c r="T1703">
        <v>1032</v>
      </c>
      <c r="U1703" t="s">
        <v>19</v>
      </c>
    </row>
    <row r="1704" spans="1:21">
      <c r="A1704" t="str">
        <f t="shared" si="855"/>
        <v>09/04/2025</v>
      </c>
      <c r="B1704" t="str">
        <f t="shared" si="866"/>
        <v>ENTRADA</v>
      </c>
      <c r="C1704" t="str">
        <f t="shared" si="856"/>
        <v>NFSE</v>
      </c>
      <c r="D1704" t="str">
        <f t="shared" si="857"/>
        <v>2850</v>
      </c>
      <c r="E1704" t="str">
        <f t="shared" si="858"/>
        <v>COM</v>
      </c>
      <c r="F1704" t="str">
        <f t="shared" si="859"/>
        <v>FARMÁCIA INDIANA LJ 1 (10126)</v>
      </c>
      <c r="G1704" t="str">
        <f t="shared" si="860"/>
        <v>Serv.Prest. 24/03/2025 a 30/03/2025 - RPS: 622 - NFSe: 2850</v>
      </c>
      <c r="H1704" t="str">
        <f t="shared" si="861"/>
        <v>09/04/2025</v>
      </c>
      <c r="I1704" t="str">
        <f t="shared" si="862"/>
        <v>01/04/2025</v>
      </c>
      <c r="J1704" t="str">
        <f t="shared" si="863"/>
        <v>09/04/2025</v>
      </c>
      <c r="M1704">
        <v>303</v>
      </c>
      <c r="N1704" t="str">
        <f t="shared" si="864"/>
        <v>RECEITAS COM ENTREGAS</v>
      </c>
      <c r="P1704">
        <v>126.14</v>
      </c>
      <c r="Q1704" t="str">
        <f>"FARMÁCIA INDIANA LJ 116 (10051)"</f>
        <v>FARMÁCIA INDIANA LJ 116 (10051)</v>
      </c>
      <c r="R1704" t="str">
        <f t="shared" si="865"/>
        <v>RECEITAS COM ENTREGAS (303)</v>
      </c>
      <c r="S1704">
        <v>1339</v>
      </c>
      <c r="T1704">
        <v>1032</v>
      </c>
      <c r="U1704" t="s">
        <v>19</v>
      </c>
    </row>
    <row r="1705" spans="1:21">
      <c r="A1705" t="str">
        <f t="shared" si="855"/>
        <v>09/04/2025</v>
      </c>
      <c r="B1705" t="str">
        <f t="shared" si="866"/>
        <v>ENTRADA</v>
      </c>
      <c r="C1705" t="str">
        <f t="shared" si="856"/>
        <v>NFSE</v>
      </c>
      <c r="D1705" t="str">
        <f t="shared" si="857"/>
        <v>2850</v>
      </c>
      <c r="E1705" t="str">
        <f t="shared" si="858"/>
        <v>COM</v>
      </c>
      <c r="F1705" t="str">
        <f t="shared" si="859"/>
        <v>FARMÁCIA INDIANA LJ 1 (10126)</v>
      </c>
      <c r="G1705" t="str">
        <f t="shared" si="860"/>
        <v>Serv.Prest. 24/03/2025 a 30/03/2025 - RPS: 622 - NFSe: 2850</v>
      </c>
      <c r="H1705" t="str">
        <f t="shared" si="861"/>
        <v>09/04/2025</v>
      </c>
      <c r="I1705" t="str">
        <f t="shared" si="862"/>
        <v>01/04/2025</v>
      </c>
      <c r="J1705" t="str">
        <f t="shared" si="863"/>
        <v>09/04/2025</v>
      </c>
      <c r="M1705">
        <v>303</v>
      </c>
      <c r="N1705" t="str">
        <f t="shared" si="864"/>
        <v>RECEITAS COM ENTREGAS</v>
      </c>
      <c r="P1705">
        <v>130.13</v>
      </c>
      <c r="Q1705" t="str">
        <f>"FARMÁCIA INDIANA LJ 118 (10052)"</f>
        <v>FARMÁCIA INDIANA LJ 118 (10052)</v>
      </c>
      <c r="R1705" t="str">
        <f t="shared" si="865"/>
        <v>RECEITAS COM ENTREGAS (303)</v>
      </c>
      <c r="S1705">
        <v>1339</v>
      </c>
      <c r="T1705">
        <v>1032</v>
      </c>
      <c r="U1705" t="s">
        <v>19</v>
      </c>
    </row>
    <row r="1706" spans="1:21">
      <c r="A1706" t="str">
        <f t="shared" si="855"/>
        <v>09/04/2025</v>
      </c>
      <c r="B1706" t="str">
        <f t="shared" si="866"/>
        <v>ENTRADA</v>
      </c>
      <c r="C1706" t="str">
        <f t="shared" si="856"/>
        <v>NFSE</v>
      </c>
      <c r="D1706" t="str">
        <f t="shared" si="857"/>
        <v>2850</v>
      </c>
      <c r="E1706" t="str">
        <f t="shared" si="858"/>
        <v>COM</v>
      </c>
      <c r="F1706" t="str">
        <f t="shared" si="859"/>
        <v>FARMÁCIA INDIANA LJ 1 (10126)</v>
      </c>
      <c r="G1706" t="str">
        <f t="shared" si="860"/>
        <v>Serv.Prest. 24/03/2025 a 30/03/2025 - RPS: 622 - NFSe: 2850</v>
      </c>
      <c r="H1706" t="str">
        <f t="shared" si="861"/>
        <v>09/04/2025</v>
      </c>
      <c r="I1706" t="str">
        <f t="shared" si="862"/>
        <v>01/04/2025</v>
      </c>
      <c r="J1706" t="str">
        <f t="shared" si="863"/>
        <v>09/04/2025</v>
      </c>
      <c r="M1706">
        <v>303</v>
      </c>
      <c r="N1706" t="str">
        <f t="shared" si="864"/>
        <v>RECEITAS COM ENTREGAS</v>
      </c>
      <c r="P1706">
        <v>126.14</v>
      </c>
      <c r="Q1706" t="str">
        <f>"FARMÁCIA INDIANA LJ 121 (10054)"</f>
        <v>FARMÁCIA INDIANA LJ 121 (10054)</v>
      </c>
      <c r="R1706" t="str">
        <f t="shared" si="865"/>
        <v>RECEITAS COM ENTREGAS (303)</v>
      </c>
      <c r="S1706">
        <v>1339</v>
      </c>
      <c r="T1706">
        <v>1032</v>
      </c>
      <c r="U1706" t="s">
        <v>19</v>
      </c>
    </row>
    <row r="1707" spans="1:21">
      <c r="A1707" t="str">
        <f t="shared" si="855"/>
        <v>09/04/2025</v>
      </c>
      <c r="B1707" t="str">
        <f t="shared" si="866"/>
        <v>ENTRADA</v>
      </c>
      <c r="C1707" t="str">
        <f t="shared" si="856"/>
        <v>NFSE</v>
      </c>
      <c r="D1707" t="str">
        <f t="shared" si="857"/>
        <v>2850</v>
      </c>
      <c r="E1707" t="str">
        <f t="shared" si="858"/>
        <v>COM</v>
      </c>
      <c r="F1707" t="str">
        <f t="shared" si="859"/>
        <v>FARMÁCIA INDIANA LJ 1 (10126)</v>
      </c>
      <c r="G1707" t="str">
        <f t="shared" si="860"/>
        <v>Serv.Prest. 24/03/2025 a 30/03/2025 - RPS: 622 - NFSe: 2850</v>
      </c>
      <c r="H1707" t="str">
        <f t="shared" si="861"/>
        <v>09/04/2025</v>
      </c>
      <c r="I1707" t="str">
        <f t="shared" si="862"/>
        <v>01/04/2025</v>
      </c>
      <c r="J1707" t="str">
        <f t="shared" si="863"/>
        <v>09/04/2025</v>
      </c>
      <c r="M1707">
        <v>303</v>
      </c>
      <c r="N1707" t="str">
        <f t="shared" si="864"/>
        <v>RECEITAS COM ENTREGAS</v>
      </c>
      <c r="P1707">
        <v>126.14</v>
      </c>
      <c r="Q1707" t="str">
        <f>"FARMÁCIA INDIANA LJ 128 (10057)"</f>
        <v>FARMÁCIA INDIANA LJ 128 (10057)</v>
      </c>
      <c r="R1707" t="str">
        <f t="shared" si="865"/>
        <v>RECEITAS COM ENTREGAS (303)</v>
      </c>
      <c r="S1707">
        <v>1339</v>
      </c>
      <c r="T1707">
        <v>1032</v>
      </c>
      <c r="U1707" t="s">
        <v>19</v>
      </c>
    </row>
    <row r="1708" spans="1:21">
      <c r="A1708" t="str">
        <f t="shared" si="855"/>
        <v>09/04/2025</v>
      </c>
      <c r="B1708" t="str">
        <f t="shared" si="866"/>
        <v>ENTRADA</v>
      </c>
      <c r="C1708" t="str">
        <f t="shared" si="856"/>
        <v>NFSE</v>
      </c>
      <c r="D1708" t="str">
        <f t="shared" si="857"/>
        <v>2850</v>
      </c>
      <c r="E1708" t="str">
        <f t="shared" si="858"/>
        <v>COM</v>
      </c>
      <c r="F1708" t="str">
        <f t="shared" si="859"/>
        <v>FARMÁCIA INDIANA LJ 1 (10126)</v>
      </c>
      <c r="G1708" t="str">
        <f t="shared" si="860"/>
        <v>Serv.Prest. 24/03/2025 a 30/03/2025 - RPS: 622 - NFSe: 2850</v>
      </c>
      <c r="H1708" t="str">
        <f t="shared" si="861"/>
        <v>09/04/2025</v>
      </c>
      <c r="I1708" t="str">
        <f t="shared" si="862"/>
        <v>01/04/2025</v>
      </c>
      <c r="J1708" t="str">
        <f t="shared" si="863"/>
        <v>09/04/2025</v>
      </c>
      <c r="M1708">
        <v>303</v>
      </c>
      <c r="N1708" t="str">
        <f t="shared" si="864"/>
        <v>RECEITAS COM ENTREGAS</v>
      </c>
      <c r="P1708">
        <v>29.21</v>
      </c>
      <c r="Q1708" t="str">
        <f>"FARMÁCIA INDIANA LJ 140 (10064)"</f>
        <v>FARMÁCIA INDIANA LJ 140 (10064)</v>
      </c>
      <c r="R1708" t="str">
        <f t="shared" si="865"/>
        <v>RECEITAS COM ENTREGAS (303)</v>
      </c>
      <c r="S1708">
        <v>1339</v>
      </c>
      <c r="T1708">
        <v>1032</v>
      </c>
      <c r="U1708" t="s">
        <v>19</v>
      </c>
    </row>
    <row r="1709" spans="1:21">
      <c r="A1709" t="str">
        <f t="shared" si="855"/>
        <v>09/04/2025</v>
      </c>
      <c r="B1709" t="str">
        <f t="shared" si="866"/>
        <v>ENTRADA</v>
      </c>
      <c r="C1709" t="str">
        <f t="shared" si="856"/>
        <v>NFSE</v>
      </c>
      <c r="D1709" t="str">
        <f t="shared" si="857"/>
        <v>2850</v>
      </c>
      <c r="E1709" t="str">
        <f t="shared" si="858"/>
        <v>COM</v>
      </c>
      <c r="F1709" t="str">
        <f t="shared" si="859"/>
        <v>FARMÁCIA INDIANA LJ 1 (10126)</v>
      </c>
      <c r="G1709" t="str">
        <f t="shared" si="860"/>
        <v>Serv.Prest. 24/03/2025 a 30/03/2025 - RPS: 622 - NFSe: 2850</v>
      </c>
      <c r="H1709" t="str">
        <f t="shared" si="861"/>
        <v>09/04/2025</v>
      </c>
      <c r="I1709" t="str">
        <f t="shared" si="862"/>
        <v>01/04/2025</v>
      </c>
      <c r="J1709" t="str">
        <f t="shared" si="863"/>
        <v>09/04/2025</v>
      </c>
      <c r="M1709">
        <v>303</v>
      </c>
      <c r="N1709" t="str">
        <f t="shared" si="864"/>
        <v>RECEITAS COM ENTREGAS</v>
      </c>
      <c r="P1709">
        <v>19.920000000000002</v>
      </c>
      <c r="Q1709" t="str">
        <f>"FARMÁCIA INDIANA LJ 141 (10065)"</f>
        <v>FARMÁCIA INDIANA LJ 141 (10065)</v>
      </c>
      <c r="R1709" t="str">
        <f t="shared" si="865"/>
        <v>RECEITAS COM ENTREGAS (303)</v>
      </c>
      <c r="S1709">
        <v>1339</v>
      </c>
      <c r="T1709">
        <v>1032</v>
      </c>
      <c r="U1709" t="s">
        <v>19</v>
      </c>
    </row>
    <row r="1710" spans="1:21">
      <c r="A1710" t="str">
        <f t="shared" si="855"/>
        <v>09/04/2025</v>
      </c>
      <c r="B1710" t="str">
        <f t="shared" si="866"/>
        <v>ENTRADA</v>
      </c>
      <c r="C1710" t="str">
        <f t="shared" si="856"/>
        <v>NFSE</v>
      </c>
      <c r="D1710" t="str">
        <f t="shared" si="857"/>
        <v>2850</v>
      </c>
      <c r="E1710" t="str">
        <f t="shared" si="858"/>
        <v>COM</v>
      </c>
      <c r="F1710" t="str">
        <f t="shared" si="859"/>
        <v>FARMÁCIA INDIANA LJ 1 (10126)</v>
      </c>
      <c r="G1710" t="str">
        <f t="shared" si="860"/>
        <v>Serv.Prest. 24/03/2025 a 30/03/2025 - RPS: 622 - NFSe: 2850</v>
      </c>
      <c r="H1710" t="str">
        <f t="shared" si="861"/>
        <v>09/04/2025</v>
      </c>
      <c r="I1710" t="str">
        <f t="shared" si="862"/>
        <v>01/04/2025</v>
      </c>
      <c r="J1710" t="str">
        <f t="shared" si="863"/>
        <v>09/04/2025</v>
      </c>
      <c r="M1710">
        <v>303</v>
      </c>
      <c r="N1710" t="str">
        <f t="shared" si="864"/>
        <v>RECEITAS COM ENTREGAS</v>
      </c>
      <c r="P1710">
        <v>626.74</v>
      </c>
      <c r="Q1710" t="str">
        <f>"FARMÁCIA INDIANA LJ 142 (10066)"</f>
        <v>FARMÁCIA INDIANA LJ 142 (10066)</v>
      </c>
      <c r="R1710" t="str">
        <f t="shared" si="865"/>
        <v>RECEITAS COM ENTREGAS (303)</v>
      </c>
      <c r="S1710">
        <v>1339</v>
      </c>
      <c r="T1710">
        <v>1032</v>
      </c>
      <c r="U1710" t="s">
        <v>19</v>
      </c>
    </row>
    <row r="1711" spans="1:21">
      <c r="A1711" t="str">
        <f t="shared" si="855"/>
        <v>09/04/2025</v>
      </c>
      <c r="B1711" t="str">
        <f t="shared" si="866"/>
        <v>ENTRADA</v>
      </c>
      <c r="C1711" t="str">
        <f t="shared" si="856"/>
        <v>NFSE</v>
      </c>
      <c r="D1711" t="str">
        <f t="shared" si="857"/>
        <v>2850</v>
      </c>
      <c r="E1711" t="str">
        <f t="shared" si="858"/>
        <v>COM</v>
      </c>
      <c r="F1711" t="str">
        <f t="shared" si="859"/>
        <v>FARMÁCIA INDIANA LJ 1 (10126)</v>
      </c>
      <c r="G1711" t="str">
        <f t="shared" si="860"/>
        <v>Serv.Prest. 24/03/2025 a 30/03/2025 - RPS: 622 - NFSe: 2850</v>
      </c>
      <c r="H1711" t="str">
        <f t="shared" si="861"/>
        <v>09/04/2025</v>
      </c>
      <c r="I1711" t="str">
        <f t="shared" si="862"/>
        <v>01/04/2025</v>
      </c>
      <c r="J1711" t="str">
        <f t="shared" si="863"/>
        <v>09/04/2025</v>
      </c>
      <c r="M1711">
        <v>303</v>
      </c>
      <c r="N1711" t="str">
        <f t="shared" si="864"/>
        <v>RECEITAS COM ENTREGAS</v>
      </c>
      <c r="P1711">
        <v>66.39</v>
      </c>
      <c r="Q1711" t="str">
        <f>"FARMÁCIA INDIANA LJ 143 (10067)"</f>
        <v>FARMÁCIA INDIANA LJ 143 (10067)</v>
      </c>
      <c r="R1711" t="str">
        <f t="shared" si="865"/>
        <v>RECEITAS COM ENTREGAS (303)</v>
      </c>
      <c r="S1711">
        <v>1339</v>
      </c>
      <c r="T1711">
        <v>1032</v>
      </c>
      <c r="U1711" t="s">
        <v>19</v>
      </c>
    </row>
    <row r="1712" spans="1:21">
      <c r="A1712" t="str">
        <f t="shared" si="855"/>
        <v>09/04/2025</v>
      </c>
      <c r="B1712" t="str">
        <f t="shared" si="866"/>
        <v>ENTRADA</v>
      </c>
      <c r="C1712" t="str">
        <f t="shared" si="856"/>
        <v>NFSE</v>
      </c>
      <c r="D1712" t="str">
        <f t="shared" si="857"/>
        <v>2850</v>
      </c>
      <c r="E1712" t="str">
        <f t="shared" si="858"/>
        <v>COM</v>
      </c>
      <c r="F1712" t="str">
        <f t="shared" si="859"/>
        <v>FARMÁCIA INDIANA LJ 1 (10126)</v>
      </c>
      <c r="G1712" t="str">
        <f t="shared" si="860"/>
        <v>Serv.Prest. 24/03/2025 a 30/03/2025 - RPS: 622 - NFSe: 2850</v>
      </c>
      <c r="H1712" t="str">
        <f t="shared" si="861"/>
        <v>09/04/2025</v>
      </c>
      <c r="I1712" t="str">
        <f t="shared" si="862"/>
        <v>01/04/2025</v>
      </c>
      <c r="J1712" t="str">
        <f t="shared" si="863"/>
        <v>09/04/2025</v>
      </c>
      <c r="M1712">
        <v>303</v>
      </c>
      <c r="N1712" t="str">
        <f t="shared" si="864"/>
        <v>RECEITAS COM ENTREGAS</v>
      </c>
      <c r="P1712">
        <v>159.34</v>
      </c>
      <c r="Q1712" t="str">
        <f>"FARMÁCIA INDIANA LJ 152 (10069)"</f>
        <v>FARMÁCIA INDIANA LJ 152 (10069)</v>
      </c>
      <c r="R1712" t="str">
        <f t="shared" si="865"/>
        <v>RECEITAS COM ENTREGAS (303)</v>
      </c>
      <c r="S1712">
        <v>1339</v>
      </c>
      <c r="T1712">
        <v>1032</v>
      </c>
      <c r="U1712" t="s">
        <v>19</v>
      </c>
    </row>
    <row r="1713" spans="1:21">
      <c r="A1713" t="str">
        <f t="shared" si="855"/>
        <v>09/04/2025</v>
      </c>
      <c r="B1713" t="str">
        <f t="shared" si="866"/>
        <v>ENTRADA</v>
      </c>
      <c r="C1713" t="str">
        <f t="shared" si="856"/>
        <v>NFSE</v>
      </c>
      <c r="D1713" t="str">
        <f t="shared" si="857"/>
        <v>2850</v>
      </c>
      <c r="E1713" t="str">
        <f t="shared" si="858"/>
        <v>COM</v>
      </c>
      <c r="F1713" t="str">
        <f t="shared" si="859"/>
        <v>FARMÁCIA INDIANA LJ 1 (10126)</v>
      </c>
      <c r="G1713" t="str">
        <f t="shared" si="860"/>
        <v>Serv.Prest. 24/03/2025 a 30/03/2025 - RPS: 622 - NFSe: 2850</v>
      </c>
      <c r="H1713" t="str">
        <f t="shared" si="861"/>
        <v>09/04/2025</v>
      </c>
      <c r="I1713" t="str">
        <f t="shared" si="862"/>
        <v>01/04/2025</v>
      </c>
      <c r="J1713" t="str">
        <f t="shared" si="863"/>
        <v>09/04/2025</v>
      </c>
      <c r="M1713">
        <v>303</v>
      </c>
      <c r="N1713" t="str">
        <f t="shared" si="864"/>
        <v>RECEITAS COM ENTREGAS</v>
      </c>
      <c r="P1713">
        <v>39.83</v>
      </c>
      <c r="Q1713" t="str">
        <f>"FARMÁCIA INDIANA LJ 154 (10070)"</f>
        <v>FARMÁCIA INDIANA LJ 154 (10070)</v>
      </c>
      <c r="R1713" t="str">
        <f t="shared" si="865"/>
        <v>RECEITAS COM ENTREGAS (303)</v>
      </c>
      <c r="S1713">
        <v>1339</v>
      </c>
      <c r="T1713">
        <v>1032</v>
      </c>
      <c r="U1713" t="s">
        <v>19</v>
      </c>
    </row>
    <row r="1714" spans="1:21">
      <c r="A1714" t="str">
        <f t="shared" si="855"/>
        <v>09/04/2025</v>
      </c>
      <c r="B1714" t="str">
        <f t="shared" si="866"/>
        <v>ENTRADA</v>
      </c>
      <c r="C1714" t="str">
        <f t="shared" si="856"/>
        <v>NFSE</v>
      </c>
      <c r="D1714" t="str">
        <f t="shared" si="857"/>
        <v>2850</v>
      </c>
      <c r="E1714" t="str">
        <f t="shared" si="858"/>
        <v>COM</v>
      </c>
      <c r="F1714" t="str">
        <f t="shared" si="859"/>
        <v>FARMÁCIA INDIANA LJ 1 (10126)</v>
      </c>
      <c r="G1714" t="str">
        <f t="shared" si="860"/>
        <v>Serv.Prest. 24/03/2025 a 30/03/2025 - RPS: 622 - NFSe: 2850</v>
      </c>
      <c r="H1714" t="str">
        <f t="shared" si="861"/>
        <v>09/04/2025</v>
      </c>
      <c r="I1714" t="str">
        <f t="shared" si="862"/>
        <v>01/04/2025</v>
      </c>
      <c r="J1714" t="str">
        <f t="shared" si="863"/>
        <v>09/04/2025</v>
      </c>
      <c r="M1714">
        <v>303</v>
      </c>
      <c r="N1714" t="str">
        <f t="shared" si="864"/>
        <v>RECEITAS COM ENTREGAS</v>
      </c>
      <c r="P1714">
        <v>342.58</v>
      </c>
      <c r="Q1714" t="str">
        <f>"FARMÁCIA INDIANA LJ 171 (10074)"</f>
        <v>FARMÁCIA INDIANA LJ 171 (10074)</v>
      </c>
      <c r="R1714" t="str">
        <f t="shared" si="865"/>
        <v>RECEITAS COM ENTREGAS (303)</v>
      </c>
      <c r="S1714">
        <v>1339</v>
      </c>
      <c r="T1714">
        <v>1032</v>
      </c>
      <c r="U1714" t="s">
        <v>19</v>
      </c>
    </row>
    <row r="1715" spans="1:21">
      <c r="A1715" t="str">
        <f t="shared" si="855"/>
        <v>09/04/2025</v>
      </c>
      <c r="B1715" t="str">
        <f t="shared" si="866"/>
        <v>ENTRADA</v>
      </c>
      <c r="C1715" t="str">
        <f t="shared" si="856"/>
        <v>NFSE</v>
      </c>
      <c r="D1715" t="str">
        <f t="shared" si="857"/>
        <v>2850</v>
      </c>
      <c r="E1715" t="str">
        <f t="shared" si="858"/>
        <v>COM</v>
      </c>
      <c r="F1715" t="str">
        <f t="shared" si="859"/>
        <v>FARMÁCIA INDIANA LJ 1 (10126)</v>
      </c>
      <c r="G1715" t="str">
        <f t="shared" si="860"/>
        <v>Serv.Prest. 24/03/2025 a 30/03/2025 - RPS: 622 - NFSe: 2850</v>
      </c>
      <c r="H1715" t="str">
        <f t="shared" si="861"/>
        <v>09/04/2025</v>
      </c>
      <c r="I1715" t="str">
        <f t="shared" si="862"/>
        <v>01/04/2025</v>
      </c>
      <c r="J1715" t="str">
        <f t="shared" si="863"/>
        <v>09/04/2025</v>
      </c>
      <c r="M1715">
        <v>303</v>
      </c>
      <c r="N1715" t="str">
        <f t="shared" si="864"/>
        <v>RECEITAS COM ENTREGAS</v>
      </c>
      <c r="P1715">
        <v>131.46</v>
      </c>
      <c r="Q1715" t="str">
        <f>"FARMÁCIA INDIANA LJ 175 (10076)"</f>
        <v>FARMÁCIA INDIANA LJ 175 (10076)</v>
      </c>
      <c r="R1715" t="str">
        <f t="shared" si="865"/>
        <v>RECEITAS COM ENTREGAS (303)</v>
      </c>
      <c r="S1715">
        <v>1339</v>
      </c>
      <c r="T1715">
        <v>1032</v>
      </c>
      <c r="U1715" t="s">
        <v>19</v>
      </c>
    </row>
    <row r="1716" spans="1:21">
      <c r="A1716" t="str">
        <f t="shared" ref="A1716:A1747" si="867">("09/04/2025")</f>
        <v>09/04/2025</v>
      </c>
      <c r="B1716" t="str">
        <f t="shared" si="866"/>
        <v>ENTRADA</v>
      </c>
      <c r="C1716" t="str">
        <f t="shared" ref="C1716:C1747" si="868">"NFSE"</f>
        <v>NFSE</v>
      </c>
      <c r="D1716" t="str">
        <f t="shared" si="857"/>
        <v>2850</v>
      </c>
      <c r="E1716" t="str">
        <f t="shared" ref="E1716:E1747" si="869">"COM"</f>
        <v>COM</v>
      </c>
      <c r="F1716" t="str">
        <f t="shared" si="859"/>
        <v>FARMÁCIA INDIANA LJ 1 (10126)</v>
      </c>
      <c r="G1716" t="str">
        <f t="shared" si="860"/>
        <v>Serv.Prest. 24/03/2025 a 30/03/2025 - RPS: 622 - NFSe: 2850</v>
      </c>
      <c r="H1716" t="str">
        <f t="shared" ref="H1716:H1747" si="870">("09/04/2025")</f>
        <v>09/04/2025</v>
      </c>
      <c r="I1716" t="str">
        <f t="shared" ref="I1716:I1747" si="871">("01/04/2025")</f>
        <v>01/04/2025</v>
      </c>
      <c r="J1716" t="str">
        <f t="shared" ref="J1716:J1747" si="872">("09/04/2025")</f>
        <v>09/04/2025</v>
      </c>
      <c r="M1716">
        <v>303</v>
      </c>
      <c r="N1716" t="str">
        <f t="shared" ref="N1716:N1747" si="873">"RECEITAS COM ENTREGAS"</f>
        <v>RECEITAS COM ENTREGAS</v>
      </c>
      <c r="P1716">
        <v>115.52</v>
      </c>
      <c r="Q1716" t="str">
        <f>"FARMÁCIA INDIANA LJ 178 (10077)"</f>
        <v>FARMÁCIA INDIANA LJ 178 (10077)</v>
      </c>
      <c r="R1716" t="str">
        <f t="shared" ref="R1716:R1747" si="874">"RECEITAS COM ENTREGAS (303)"</f>
        <v>RECEITAS COM ENTREGAS (303)</v>
      </c>
      <c r="S1716">
        <v>1339</v>
      </c>
      <c r="T1716">
        <v>1032</v>
      </c>
      <c r="U1716" t="s">
        <v>19</v>
      </c>
    </row>
    <row r="1717" spans="1:21">
      <c r="A1717" t="str">
        <f t="shared" si="867"/>
        <v>09/04/2025</v>
      </c>
      <c r="B1717" t="str">
        <f t="shared" si="866"/>
        <v>ENTRADA</v>
      </c>
      <c r="C1717" t="str">
        <f t="shared" si="868"/>
        <v>NFSE</v>
      </c>
      <c r="D1717" t="str">
        <f t="shared" si="857"/>
        <v>2850</v>
      </c>
      <c r="E1717" t="str">
        <f t="shared" si="869"/>
        <v>COM</v>
      </c>
      <c r="F1717" t="str">
        <f t="shared" si="859"/>
        <v>FARMÁCIA INDIANA LJ 1 (10126)</v>
      </c>
      <c r="G1717" t="str">
        <f t="shared" si="860"/>
        <v>Serv.Prest. 24/03/2025 a 30/03/2025 - RPS: 622 - NFSe: 2850</v>
      </c>
      <c r="H1717" t="str">
        <f t="shared" si="870"/>
        <v>09/04/2025</v>
      </c>
      <c r="I1717" t="str">
        <f t="shared" si="871"/>
        <v>01/04/2025</v>
      </c>
      <c r="J1717" t="str">
        <f t="shared" si="872"/>
        <v>09/04/2025</v>
      </c>
      <c r="M1717">
        <v>303</v>
      </c>
      <c r="N1717" t="str">
        <f t="shared" si="873"/>
        <v>RECEITAS COM ENTREGAS</v>
      </c>
      <c r="P1717">
        <v>79.67</v>
      </c>
      <c r="Q1717" t="str">
        <f>"FARMÁCIA INDIANA LJ 182 (10079)"</f>
        <v>FARMÁCIA INDIANA LJ 182 (10079)</v>
      </c>
      <c r="R1717" t="str">
        <f t="shared" si="874"/>
        <v>RECEITAS COM ENTREGAS (303)</v>
      </c>
      <c r="S1717">
        <v>1339</v>
      </c>
      <c r="T1717">
        <v>1032</v>
      </c>
      <c r="U1717" t="s">
        <v>19</v>
      </c>
    </row>
    <row r="1718" spans="1:21">
      <c r="A1718" t="str">
        <f t="shared" si="867"/>
        <v>09/04/2025</v>
      </c>
      <c r="B1718" t="str">
        <f t="shared" si="866"/>
        <v>ENTRADA</v>
      </c>
      <c r="C1718" t="str">
        <f t="shared" si="868"/>
        <v>NFSE</v>
      </c>
      <c r="D1718" t="str">
        <f t="shared" si="857"/>
        <v>2850</v>
      </c>
      <c r="E1718" t="str">
        <f t="shared" si="869"/>
        <v>COM</v>
      </c>
      <c r="F1718" t="str">
        <f t="shared" si="859"/>
        <v>FARMÁCIA INDIANA LJ 1 (10126)</v>
      </c>
      <c r="G1718" t="str">
        <f t="shared" si="860"/>
        <v>Serv.Prest. 24/03/2025 a 30/03/2025 - RPS: 622 - NFSe: 2850</v>
      </c>
      <c r="H1718" t="str">
        <f t="shared" si="870"/>
        <v>09/04/2025</v>
      </c>
      <c r="I1718" t="str">
        <f t="shared" si="871"/>
        <v>01/04/2025</v>
      </c>
      <c r="J1718" t="str">
        <f t="shared" si="872"/>
        <v>09/04/2025</v>
      </c>
      <c r="M1718">
        <v>303</v>
      </c>
      <c r="N1718" t="str">
        <f t="shared" si="873"/>
        <v>RECEITAS COM ENTREGAS</v>
      </c>
      <c r="P1718">
        <v>39.83</v>
      </c>
      <c r="Q1718" t="str">
        <f>"FARMÁCIA INDIANA LJ 184 (10080)"</f>
        <v>FARMÁCIA INDIANA LJ 184 (10080)</v>
      </c>
      <c r="R1718" t="str">
        <f t="shared" si="874"/>
        <v>RECEITAS COM ENTREGAS (303)</v>
      </c>
      <c r="S1718">
        <v>1339</v>
      </c>
      <c r="T1718">
        <v>1032</v>
      </c>
      <c r="U1718" t="s">
        <v>19</v>
      </c>
    </row>
    <row r="1719" spans="1:21">
      <c r="A1719" t="str">
        <f t="shared" si="867"/>
        <v>09/04/2025</v>
      </c>
      <c r="B1719" t="str">
        <f t="shared" si="866"/>
        <v>ENTRADA</v>
      </c>
      <c r="C1719" t="str">
        <f t="shared" si="868"/>
        <v>NFSE</v>
      </c>
      <c r="D1719" t="str">
        <f t="shared" si="857"/>
        <v>2850</v>
      </c>
      <c r="E1719" t="str">
        <f t="shared" si="869"/>
        <v>COM</v>
      </c>
      <c r="F1719" t="str">
        <f t="shared" si="859"/>
        <v>FARMÁCIA INDIANA LJ 1 (10126)</v>
      </c>
      <c r="G1719" t="str">
        <f t="shared" si="860"/>
        <v>Serv.Prest. 24/03/2025 a 30/03/2025 - RPS: 622 - NFSe: 2850</v>
      </c>
      <c r="H1719" t="str">
        <f t="shared" si="870"/>
        <v>09/04/2025</v>
      </c>
      <c r="I1719" t="str">
        <f t="shared" si="871"/>
        <v>01/04/2025</v>
      </c>
      <c r="J1719" t="str">
        <f t="shared" si="872"/>
        <v>09/04/2025</v>
      </c>
      <c r="M1719">
        <v>303</v>
      </c>
      <c r="N1719" t="str">
        <f t="shared" si="873"/>
        <v>RECEITAS COM ENTREGAS</v>
      </c>
      <c r="P1719">
        <v>79.67</v>
      </c>
      <c r="Q1719" t="str">
        <f>"FARMÁCIA INDIANA LJ 186 (10081)"</f>
        <v>FARMÁCIA INDIANA LJ 186 (10081)</v>
      </c>
      <c r="R1719" t="str">
        <f t="shared" si="874"/>
        <v>RECEITAS COM ENTREGAS (303)</v>
      </c>
      <c r="S1719">
        <v>1339</v>
      </c>
      <c r="T1719">
        <v>1032</v>
      </c>
      <c r="U1719" t="s">
        <v>19</v>
      </c>
    </row>
    <row r="1720" spans="1:21">
      <c r="A1720" t="str">
        <f t="shared" si="867"/>
        <v>09/04/2025</v>
      </c>
      <c r="B1720" t="str">
        <f t="shared" si="866"/>
        <v>ENTRADA</v>
      </c>
      <c r="C1720" t="str">
        <f t="shared" si="868"/>
        <v>NFSE</v>
      </c>
      <c r="D1720" t="str">
        <f t="shared" si="857"/>
        <v>2850</v>
      </c>
      <c r="E1720" t="str">
        <f t="shared" si="869"/>
        <v>COM</v>
      </c>
      <c r="F1720" t="str">
        <f t="shared" si="859"/>
        <v>FARMÁCIA INDIANA LJ 1 (10126)</v>
      </c>
      <c r="G1720" t="str">
        <f t="shared" si="860"/>
        <v>Serv.Prest. 24/03/2025 a 30/03/2025 - RPS: 622 - NFSe: 2850</v>
      </c>
      <c r="H1720" t="str">
        <f t="shared" si="870"/>
        <v>09/04/2025</v>
      </c>
      <c r="I1720" t="str">
        <f t="shared" si="871"/>
        <v>01/04/2025</v>
      </c>
      <c r="J1720" t="str">
        <f t="shared" si="872"/>
        <v>09/04/2025</v>
      </c>
      <c r="M1720">
        <v>303</v>
      </c>
      <c r="N1720" t="str">
        <f t="shared" si="873"/>
        <v>RECEITAS COM ENTREGAS</v>
      </c>
      <c r="P1720">
        <v>46.47</v>
      </c>
      <c r="Q1720" t="str">
        <f>"FARMÁCIA INDIANA LJ 192 (10082)"</f>
        <v>FARMÁCIA INDIANA LJ 192 (10082)</v>
      </c>
      <c r="R1720" t="str">
        <f t="shared" si="874"/>
        <v>RECEITAS COM ENTREGAS (303)</v>
      </c>
      <c r="S1720">
        <v>1339</v>
      </c>
      <c r="T1720">
        <v>1032</v>
      </c>
      <c r="U1720" t="s">
        <v>19</v>
      </c>
    </row>
    <row r="1721" spans="1:21">
      <c r="A1721" t="str">
        <f t="shared" si="867"/>
        <v>09/04/2025</v>
      </c>
      <c r="B1721" t="str">
        <f t="shared" si="866"/>
        <v>ENTRADA</v>
      </c>
      <c r="C1721" t="str">
        <f t="shared" si="868"/>
        <v>NFSE</v>
      </c>
      <c r="D1721" t="str">
        <f t="shared" si="857"/>
        <v>2850</v>
      </c>
      <c r="E1721" t="str">
        <f t="shared" si="869"/>
        <v>COM</v>
      </c>
      <c r="F1721" t="str">
        <f t="shared" si="859"/>
        <v>FARMÁCIA INDIANA LJ 1 (10126)</v>
      </c>
      <c r="G1721" t="str">
        <f t="shared" si="860"/>
        <v>Serv.Prest. 24/03/2025 a 30/03/2025 - RPS: 622 - NFSe: 2850</v>
      </c>
      <c r="H1721" t="str">
        <f t="shared" si="870"/>
        <v>09/04/2025</v>
      </c>
      <c r="I1721" t="str">
        <f t="shared" si="871"/>
        <v>01/04/2025</v>
      </c>
      <c r="J1721" t="str">
        <f t="shared" si="872"/>
        <v>09/04/2025</v>
      </c>
      <c r="M1721">
        <v>303</v>
      </c>
      <c r="N1721" t="str">
        <f t="shared" si="873"/>
        <v>RECEITAS COM ENTREGAS</v>
      </c>
      <c r="P1721">
        <v>39.83</v>
      </c>
      <c r="Q1721" t="str">
        <f>"FARMÁCIA INDIANA LJ 195 (10083)"</f>
        <v>FARMÁCIA INDIANA LJ 195 (10083)</v>
      </c>
      <c r="R1721" t="str">
        <f t="shared" si="874"/>
        <v>RECEITAS COM ENTREGAS (303)</v>
      </c>
      <c r="S1721">
        <v>1339</v>
      </c>
      <c r="T1721">
        <v>1032</v>
      </c>
      <c r="U1721" t="s">
        <v>19</v>
      </c>
    </row>
    <row r="1722" spans="1:21">
      <c r="A1722" t="str">
        <f t="shared" si="867"/>
        <v>09/04/2025</v>
      </c>
      <c r="B1722" t="str">
        <f t="shared" si="866"/>
        <v>ENTRADA</v>
      </c>
      <c r="C1722" t="str">
        <f t="shared" si="868"/>
        <v>NFSE</v>
      </c>
      <c r="D1722" t="str">
        <f t="shared" si="857"/>
        <v>2850</v>
      </c>
      <c r="E1722" t="str">
        <f t="shared" si="869"/>
        <v>COM</v>
      </c>
      <c r="F1722" t="str">
        <f t="shared" si="859"/>
        <v>FARMÁCIA INDIANA LJ 1 (10126)</v>
      </c>
      <c r="G1722" t="str">
        <f t="shared" si="860"/>
        <v>Serv.Prest. 24/03/2025 a 30/03/2025 - RPS: 622 - NFSe: 2850</v>
      </c>
      <c r="H1722" t="str">
        <f t="shared" si="870"/>
        <v>09/04/2025</v>
      </c>
      <c r="I1722" t="str">
        <f t="shared" si="871"/>
        <v>01/04/2025</v>
      </c>
      <c r="J1722" t="str">
        <f t="shared" si="872"/>
        <v>09/04/2025</v>
      </c>
      <c r="M1722">
        <v>303</v>
      </c>
      <c r="N1722" t="str">
        <f t="shared" si="873"/>
        <v>RECEITAS COM ENTREGAS</v>
      </c>
      <c r="P1722">
        <v>159.34</v>
      </c>
      <c r="Q1722" t="str">
        <f>"FARMÁCIA INDIANA LJ 202 (10085)"</f>
        <v>FARMÁCIA INDIANA LJ 202 (10085)</v>
      </c>
      <c r="R1722" t="str">
        <f t="shared" si="874"/>
        <v>RECEITAS COM ENTREGAS (303)</v>
      </c>
      <c r="S1722">
        <v>1339</v>
      </c>
      <c r="T1722">
        <v>1032</v>
      </c>
      <c r="U1722" t="s">
        <v>19</v>
      </c>
    </row>
    <row r="1723" spans="1:21">
      <c r="A1723" t="str">
        <f t="shared" si="867"/>
        <v>09/04/2025</v>
      </c>
      <c r="B1723" t="str">
        <f t="shared" si="866"/>
        <v>ENTRADA</v>
      </c>
      <c r="C1723" t="str">
        <f t="shared" si="868"/>
        <v>NFSE</v>
      </c>
      <c r="D1723" t="str">
        <f t="shared" si="857"/>
        <v>2850</v>
      </c>
      <c r="E1723" t="str">
        <f t="shared" si="869"/>
        <v>COM</v>
      </c>
      <c r="F1723" t="str">
        <f t="shared" si="859"/>
        <v>FARMÁCIA INDIANA LJ 1 (10126)</v>
      </c>
      <c r="G1723" t="str">
        <f t="shared" si="860"/>
        <v>Serv.Prest. 24/03/2025 a 30/03/2025 - RPS: 622 - NFSe: 2850</v>
      </c>
      <c r="H1723" t="str">
        <f t="shared" si="870"/>
        <v>09/04/2025</v>
      </c>
      <c r="I1723" t="str">
        <f t="shared" si="871"/>
        <v>01/04/2025</v>
      </c>
      <c r="J1723" t="str">
        <f t="shared" si="872"/>
        <v>09/04/2025</v>
      </c>
      <c r="M1723">
        <v>303</v>
      </c>
      <c r="N1723" t="str">
        <f t="shared" si="873"/>
        <v>RECEITAS COM ENTREGAS</v>
      </c>
      <c r="P1723">
        <v>106.23</v>
      </c>
      <c r="Q1723" t="str">
        <f>"FARMÁCIA INDIANA LJ 204 (10087)"</f>
        <v>FARMÁCIA INDIANA LJ 204 (10087)</v>
      </c>
      <c r="R1723" t="str">
        <f t="shared" si="874"/>
        <v>RECEITAS COM ENTREGAS (303)</v>
      </c>
      <c r="S1723">
        <v>1339</v>
      </c>
      <c r="T1723">
        <v>1032</v>
      </c>
      <c r="U1723" t="s">
        <v>19</v>
      </c>
    </row>
    <row r="1724" spans="1:21">
      <c r="A1724" t="str">
        <f t="shared" si="867"/>
        <v>09/04/2025</v>
      </c>
      <c r="B1724" t="str">
        <f t="shared" si="866"/>
        <v>ENTRADA</v>
      </c>
      <c r="C1724" t="str">
        <f t="shared" si="868"/>
        <v>NFSE</v>
      </c>
      <c r="D1724" t="str">
        <f t="shared" si="857"/>
        <v>2850</v>
      </c>
      <c r="E1724" t="str">
        <f t="shared" si="869"/>
        <v>COM</v>
      </c>
      <c r="F1724" t="str">
        <f t="shared" si="859"/>
        <v>FARMÁCIA INDIANA LJ 1 (10126)</v>
      </c>
      <c r="G1724" t="str">
        <f t="shared" si="860"/>
        <v>Serv.Prest. 24/03/2025 a 30/03/2025 - RPS: 622 - NFSe: 2850</v>
      </c>
      <c r="H1724" t="str">
        <f t="shared" si="870"/>
        <v>09/04/2025</v>
      </c>
      <c r="I1724" t="str">
        <f t="shared" si="871"/>
        <v>01/04/2025</v>
      </c>
      <c r="J1724" t="str">
        <f t="shared" si="872"/>
        <v>09/04/2025</v>
      </c>
      <c r="M1724">
        <v>303</v>
      </c>
      <c r="N1724" t="str">
        <f t="shared" si="873"/>
        <v>RECEITAS COM ENTREGAS</v>
      </c>
      <c r="P1724">
        <v>106.23</v>
      </c>
      <c r="Q1724" t="str">
        <f>"FARMÁCIA INDIANA LJ 207 (10088)"</f>
        <v>FARMÁCIA INDIANA LJ 207 (10088)</v>
      </c>
      <c r="R1724" t="str">
        <f t="shared" si="874"/>
        <v>RECEITAS COM ENTREGAS (303)</v>
      </c>
      <c r="S1724">
        <v>1339</v>
      </c>
      <c r="T1724">
        <v>1032</v>
      </c>
      <c r="U1724" t="s">
        <v>19</v>
      </c>
    </row>
    <row r="1725" spans="1:21">
      <c r="A1725" t="str">
        <f t="shared" si="867"/>
        <v>09/04/2025</v>
      </c>
      <c r="B1725" t="str">
        <f t="shared" si="866"/>
        <v>ENTRADA</v>
      </c>
      <c r="C1725" t="str">
        <f t="shared" si="868"/>
        <v>NFSE</v>
      </c>
      <c r="D1725" t="str">
        <f t="shared" si="857"/>
        <v>2850</v>
      </c>
      <c r="E1725" t="str">
        <f t="shared" si="869"/>
        <v>COM</v>
      </c>
      <c r="F1725" t="str">
        <f t="shared" si="859"/>
        <v>FARMÁCIA INDIANA LJ 1 (10126)</v>
      </c>
      <c r="G1725" t="str">
        <f t="shared" si="860"/>
        <v>Serv.Prest. 24/03/2025 a 30/03/2025 - RPS: 622 - NFSe: 2850</v>
      </c>
      <c r="H1725" t="str">
        <f t="shared" si="870"/>
        <v>09/04/2025</v>
      </c>
      <c r="I1725" t="str">
        <f t="shared" si="871"/>
        <v>01/04/2025</v>
      </c>
      <c r="J1725" t="str">
        <f t="shared" si="872"/>
        <v>09/04/2025</v>
      </c>
      <c r="M1725">
        <v>303</v>
      </c>
      <c r="N1725" t="str">
        <f t="shared" si="873"/>
        <v>RECEITAS COM ENTREGAS</v>
      </c>
      <c r="P1725">
        <v>124.82</v>
      </c>
      <c r="Q1725" t="str">
        <f>"FARMÁCIA INDIANA LJ 209 (10089)"</f>
        <v>FARMÁCIA INDIANA LJ 209 (10089)</v>
      </c>
      <c r="R1725" t="str">
        <f t="shared" si="874"/>
        <v>RECEITAS COM ENTREGAS (303)</v>
      </c>
      <c r="S1725">
        <v>1339</v>
      </c>
      <c r="T1725">
        <v>1032</v>
      </c>
      <c r="U1725" t="s">
        <v>19</v>
      </c>
    </row>
    <row r="1726" spans="1:21">
      <c r="A1726" t="str">
        <f t="shared" si="867"/>
        <v>09/04/2025</v>
      </c>
      <c r="B1726" t="str">
        <f t="shared" si="866"/>
        <v>ENTRADA</v>
      </c>
      <c r="C1726" t="str">
        <f t="shared" si="868"/>
        <v>NFSE</v>
      </c>
      <c r="D1726" t="str">
        <f t="shared" si="857"/>
        <v>2850</v>
      </c>
      <c r="E1726" t="str">
        <f t="shared" si="869"/>
        <v>COM</v>
      </c>
      <c r="F1726" t="str">
        <f t="shared" si="859"/>
        <v>FARMÁCIA INDIANA LJ 1 (10126)</v>
      </c>
      <c r="G1726" t="str">
        <f t="shared" si="860"/>
        <v>Serv.Prest. 24/03/2025 a 30/03/2025 - RPS: 622 - NFSe: 2850</v>
      </c>
      <c r="H1726" t="str">
        <f t="shared" si="870"/>
        <v>09/04/2025</v>
      </c>
      <c r="I1726" t="str">
        <f t="shared" si="871"/>
        <v>01/04/2025</v>
      </c>
      <c r="J1726" t="str">
        <f t="shared" si="872"/>
        <v>09/04/2025</v>
      </c>
      <c r="M1726">
        <v>303</v>
      </c>
      <c r="N1726" t="str">
        <f t="shared" si="873"/>
        <v>RECEITAS COM ENTREGAS</v>
      </c>
      <c r="P1726">
        <v>156.68</v>
      </c>
      <c r="Q1726" t="str">
        <f>"FARMÁCIA INDIANA LJ 219 (10091)"</f>
        <v>FARMÁCIA INDIANA LJ 219 (10091)</v>
      </c>
      <c r="R1726" t="str">
        <f t="shared" si="874"/>
        <v>RECEITAS COM ENTREGAS (303)</v>
      </c>
      <c r="S1726">
        <v>1339</v>
      </c>
      <c r="T1726">
        <v>1032</v>
      </c>
      <c r="U1726" t="s">
        <v>19</v>
      </c>
    </row>
    <row r="1727" spans="1:21">
      <c r="A1727" t="str">
        <f t="shared" si="867"/>
        <v>09/04/2025</v>
      </c>
      <c r="B1727" t="str">
        <f t="shared" si="866"/>
        <v>ENTRADA</v>
      </c>
      <c r="C1727" t="str">
        <f t="shared" si="868"/>
        <v>NFSE</v>
      </c>
      <c r="D1727" t="str">
        <f t="shared" si="857"/>
        <v>2850</v>
      </c>
      <c r="E1727" t="str">
        <f t="shared" si="869"/>
        <v>COM</v>
      </c>
      <c r="F1727" t="str">
        <f t="shared" si="859"/>
        <v>FARMÁCIA INDIANA LJ 1 (10126)</v>
      </c>
      <c r="G1727" t="str">
        <f t="shared" si="860"/>
        <v>Serv.Prest. 24/03/2025 a 30/03/2025 - RPS: 622 - NFSe: 2850</v>
      </c>
      <c r="H1727" t="str">
        <f t="shared" si="870"/>
        <v>09/04/2025</v>
      </c>
      <c r="I1727" t="str">
        <f t="shared" si="871"/>
        <v>01/04/2025</v>
      </c>
      <c r="J1727" t="str">
        <f t="shared" si="872"/>
        <v>09/04/2025</v>
      </c>
      <c r="M1727">
        <v>303</v>
      </c>
      <c r="N1727" t="str">
        <f t="shared" si="873"/>
        <v>RECEITAS COM ENTREGAS</v>
      </c>
      <c r="P1727">
        <v>223.08</v>
      </c>
      <c r="Q1727" t="str">
        <f>"FARMÁCIA INDIANA LJ 220 (10092)"</f>
        <v>FARMÁCIA INDIANA LJ 220 (10092)</v>
      </c>
      <c r="R1727" t="str">
        <f t="shared" si="874"/>
        <v>RECEITAS COM ENTREGAS (303)</v>
      </c>
      <c r="S1727">
        <v>1339</v>
      </c>
      <c r="T1727">
        <v>1032</v>
      </c>
      <c r="U1727" t="s">
        <v>19</v>
      </c>
    </row>
    <row r="1728" spans="1:21">
      <c r="A1728" t="str">
        <f t="shared" si="867"/>
        <v>09/04/2025</v>
      </c>
      <c r="B1728" t="str">
        <f t="shared" si="866"/>
        <v>ENTRADA</v>
      </c>
      <c r="C1728" t="str">
        <f t="shared" si="868"/>
        <v>NFSE</v>
      </c>
      <c r="D1728" t="str">
        <f t="shared" si="857"/>
        <v>2850</v>
      </c>
      <c r="E1728" t="str">
        <f t="shared" si="869"/>
        <v>COM</v>
      </c>
      <c r="F1728" t="str">
        <f t="shared" si="859"/>
        <v>FARMÁCIA INDIANA LJ 1 (10126)</v>
      </c>
      <c r="G1728" t="str">
        <f t="shared" si="860"/>
        <v>Serv.Prest. 24/03/2025 a 30/03/2025 - RPS: 622 - NFSe: 2850</v>
      </c>
      <c r="H1728" t="str">
        <f t="shared" si="870"/>
        <v>09/04/2025</v>
      </c>
      <c r="I1728" t="str">
        <f t="shared" si="871"/>
        <v>01/04/2025</v>
      </c>
      <c r="J1728" t="str">
        <f t="shared" si="872"/>
        <v>09/04/2025</v>
      </c>
      <c r="M1728">
        <v>303</v>
      </c>
      <c r="N1728" t="str">
        <f t="shared" si="873"/>
        <v>RECEITAS COM ENTREGAS</v>
      </c>
      <c r="P1728">
        <v>183.24</v>
      </c>
      <c r="Q1728" t="str">
        <f>"FARMÁCIA INDIANA LJ 185 (10141)"</f>
        <v>FARMÁCIA INDIANA LJ 185 (10141)</v>
      </c>
      <c r="R1728" t="str">
        <f t="shared" si="874"/>
        <v>RECEITAS COM ENTREGAS (303)</v>
      </c>
      <c r="S1728">
        <v>1339</v>
      </c>
      <c r="T1728">
        <v>1032</v>
      </c>
      <c r="U1728" t="s">
        <v>19</v>
      </c>
    </row>
    <row r="1729" spans="1:21">
      <c r="A1729" t="str">
        <f t="shared" si="867"/>
        <v>09/04/2025</v>
      </c>
      <c r="B1729" t="str">
        <f t="shared" si="866"/>
        <v>ENTRADA</v>
      </c>
      <c r="C1729" t="str">
        <f t="shared" si="868"/>
        <v>NFSE</v>
      </c>
      <c r="D1729" t="str">
        <f t="shared" si="857"/>
        <v>2850</v>
      </c>
      <c r="E1729" t="str">
        <f t="shared" si="869"/>
        <v>COM</v>
      </c>
      <c r="F1729" t="str">
        <f t="shared" si="859"/>
        <v>FARMÁCIA INDIANA LJ 1 (10126)</v>
      </c>
      <c r="G1729" t="str">
        <f t="shared" si="860"/>
        <v>Serv.Prest. 24/03/2025 a 30/03/2025 - RPS: 622 - NFSe: 2850</v>
      </c>
      <c r="H1729" t="str">
        <f t="shared" si="870"/>
        <v>09/04/2025</v>
      </c>
      <c r="I1729" t="str">
        <f t="shared" si="871"/>
        <v>01/04/2025</v>
      </c>
      <c r="J1729" t="str">
        <f t="shared" si="872"/>
        <v>09/04/2025</v>
      </c>
      <c r="M1729">
        <v>303</v>
      </c>
      <c r="N1729" t="str">
        <f t="shared" si="873"/>
        <v>RECEITAS COM ENTREGAS</v>
      </c>
      <c r="P1729">
        <v>666.57</v>
      </c>
      <c r="Q1729" t="str">
        <f>"FARMÁCIA INDIANA LJ 172 (10161)"</f>
        <v>FARMÁCIA INDIANA LJ 172 (10161)</v>
      </c>
      <c r="R1729" t="str">
        <f t="shared" si="874"/>
        <v>RECEITAS COM ENTREGAS (303)</v>
      </c>
      <c r="S1729">
        <v>1339</v>
      </c>
      <c r="T1729">
        <v>1032</v>
      </c>
      <c r="U1729" t="s">
        <v>19</v>
      </c>
    </row>
    <row r="1730" spans="1:21">
      <c r="A1730" t="str">
        <f t="shared" si="867"/>
        <v>09/04/2025</v>
      </c>
      <c r="B1730" t="str">
        <f t="shared" si="866"/>
        <v>ENTRADA</v>
      </c>
      <c r="C1730" t="str">
        <f t="shared" si="868"/>
        <v>NFSE</v>
      </c>
      <c r="D1730" t="str">
        <f t="shared" ref="D1730:D1741" si="875">"2851"</f>
        <v>2851</v>
      </c>
      <c r="E1730" t="str">
        <f t="shared" si="869"/>
        <v>COM</v>
      </c>
      <c r="F1730" t="str">
        <f t="shared" ref="F1730:F1741" si="876">"FARMÁCIA INDIANA LJ 30 (10127)"</f>
        <v>FARMÁCIA INDIANA LJ 30 (10127)</v>
      </c>
      <c r="G1730" t="str">
        <f t="shared" ref="G1730:G1741" si="877">"Serv.Prest. 24/03/2025 a 30/03/2025 - RPS: 623 - NFSe: 2851"</f>
        <v>Serv.Prest. 24/03/2025 a 30/03/2025 - RPS: 623 - NFSe: 2851</v>
      </c>
      <c r="H1730" t="str">
        <f t="shared" si="870"/>
        <v>09/04/2025</v>
      </c>
      <c r="I1730" t="str">
        <f t="shared" si="871"/>
        <v>01/04/2025</v>
      </c>
      <c r="J1730" t="str">
        <f t="shared" si="872"/>
        <v>09/04/2025</v>
      </c>
      <c r="K1730">
        <v>2640.67</v>
      </c>
      <c r="L1730">
        <v>2640.67</v>
      </c>
      <c r="M1730">
        <v>303</v>
      </c>
      <c r="N1730" t="str">
        <f t="shared" si="873"/>
        <v>RECEITAS COM ENTREGAS</v>
      </c>
      <c r="O1730">
        <v>2640.67</v>
      </c>
      <c r="R1730" t="str">
        <f t="shared" si="874"/>
        <v>RECEITAS COM ENTREGAS (303)</v>
      </c>
      <c r="S1730">
        <v>1343</v>
      </c>
      <c r="T1730">
        <v>1033</v>
      </c>
      <c r="U1730" t="s">
        <v>19</v>
      </c>
    </row>
    <row r="1731" spans="1:21">
      <c r="A1731" t="str">
        <f t="shared" si="867"/>
        <v>09/04/2025</v>
      </c>
      <c r="B1731" t="str">
        <f t="shared" si="866"/>
        <v>ENTRADA</v>
      </c>
      <c r="C1731" t="str">
        <f t="shared" si="868"/>
        <v>NFSE</v>
      </c>
      <c r="D1731" t="str">
        <f t="shared" si="875"/>
        <v>2851</v>
      </c>
      <c r="E1731" t="str">
        <f t="shared" si="869"/>
        <v>COM</v>
      </c>
      <c r="F1731" t="str">
        <f t="shared" si="876"/>
        <v>FARMÁCIA INDIANA LJ 30 (10127)</v>
      </c>
      <c r="G1731" t="str">
        <f t="shared" si="877"/>
        <v>Serv.Prest. 24/03/2025 a 30/03/2025 - RPS: 623 - NFSe: 2851</v>
      </c>
      <c r="H1731" t="str">
        <f t="shared" si="870"/>
        <v>09/04/2025</v>
      </c>
      <c r="I1731" t="str">
        <f t="shared" si="871"/>
        <v>01/04/2025</v>
      </c>
      <c r="J1731" t="str">
        <f t="shared" si="872"/>
        <v>09/04/2025</v>
      </c>
      <c r="M1731">
        <v>303</v>
      </c>
      <c r="N1731" t="str">
        <f t="shared" si="873"/>
        <v>RECEITAS COM ENTREGAS</v>
      </c>
      <c r="P1731">
        <v>267.75</v>
      </c>
      <c r="Q1731" t="str">
        <f>"FARMÁCIA INDIANA LJ 34 (10014)"</f>
        <v>FARMÁCIA INDIANA LJ 34 (10014)</v>
      </c>
      <c r="R1731" t="str">
        <f t="shared" si="874"/>
        <v>RECEITAS COM ENTREGAS (303)</v>
      </c>
      <c r="S1731">
        <v>1343</v>
      </c>
      <c r="T1731">
        <v>1033</v>
      </c>
      <c r="U1731" t="s">
        <v>19</v>
      </c>
    </row>
    <row r="1732" spans="1:21">
      <c r="A1732" t="str">
        <f t="shared" si="867"/>
        <v>09/04/2025</v>
      </c>
      <c r="B1732" t="str">
        <f t="shared" si="866"/>
        <v>ENTRADA</v>
      </c>
      <c r="C1732" t="str">
        <f t="shared" si="868"/>
        <v>NFSE</v>
      </c>
      <c r="D1732" t="str">
        <f t="shared" si="875"/>
        <v>2851</v>
      </c>
      <c r="E1732" t="str">
        <f t="shared" si="869"/>
        <v>COM</v>
      </c>
      <c r="F1732" t="str">
        <f t="shared" si="876"/>
        <v>FARMÁCIA INDIANA LJ 30 (10127)</v>
      </c>
      <c r="G1732" t="str">
        <f t="shared" si="877"/>
        <v>Serv.Prest. 24/03/2025 a 30/03/2025 - RPS: 623 - NFSe: 2851</v>
      </c>
      <c r="H1732" t="str">
        <f t="shared" si="870"/>
        <v>09/04/2025</v>
      </c>
      <c r="I1732" t="str">
        <f t="shared" si="871"/>
        <v>01/04/2025</v>
      </c>
      <c r="J1732" t="str">
        <f t="shared" si="872"/>
        <v>09/04/2025</v>
      </c>
      <c r="M1732">
        <v>303</v>
      </c>
      <c r="N1732" t="str">
        <f t="shared" si="873"/>
        <v>RECEITAS COM ENTREGAS</v>
      </c>
      <c r="P1732">
        <v>235.81</v>
      </c>
      <c r="Q1732" t="str">
        <f>"FARMÁCIA INDIANA LJ 35 (10015)"</f>
        <v>FARMÁCIA INDIANA LJ 35 (10015)</v>
      </c>
      <c r="R1732" t="str">
        <f t="shared" si="874"/>
        <v>RECEITAS COM ENTREGAS (303)</v>
      </c>
      <c r="S1732">
        <v>1343</v>
      </c>
      <c r="T1732">
        <v>1033</v>
      </c>
      <c r="U1732" t="s">
        <v>19</v>
      </c>
    </row>
    <row r="1733" spans="1:21">
      <c r="A1733" t="str">
        <f t="shared" si="867"/>
        <v>09/04/2025</v>
      </c>
      <c r="B1733" t="str">
        <f t="shared" si="866"/>
        <v>ENTRADA</v>
      </c>
      <c r="C1733" t="str">
        <f t="shared" si="868"/>
        <v>NFSE</v>
      </c>
      <c r="D1733" t="str">
        <f t="shared" si="875"/>
        <v>2851</v>
      </c>
      <c r="E1733" t="str">
        <f t="shared" si="869"/>
        <v>COM</v>
      </c>
      <c r="F1733" t="str">
        <f t="shared" si="876"/>
        <v>FARMÁCIA INDIANA LJ 30 (10127)</v>
      </c>
      <c r="G1733" t="str">
        <f t="shared" si="877"/>
        <v>Serv.Prest. 24/03/2025 a 30/03/2025 - RPS: 623 - NFSe: 2851</v>
      </c>
      <c r="H1733" t="str">
        <f t="shared" si="870"/>
        <v>09/04/2025</v>
      </c>
      <c r="I1733" t="str">
        <f t="shared" si="871"/>
        <v>01/04/2025</v>
      </c>
      <c r="J1733" t="str">
        <f t="shared" si="872"/>
        <v>09/04/2025</v>
      </c>
      <c r="M1733">
        <v>303</v>
      </c>
      <c r="N1733" t="str">
        <f t="shared" si="873"/>
        <v>RECEITAS COM ENTREGAS</v>
      </c>
      <c r="P1733">
        <v>298.39999999999998</v>
      </c>
      <c r="Q1733" t="str">
        <f>"FARMÁCIA INDIANA LJ 48 (10018)"</f>
        <v>FARMÁCIA INDIANA LJ 48 (10018)</v>
      </c>
      <c r="R1733" t="str">
        <f t="shared" si="874"/>
        <v>RECEITAS COM ENTREGAS (303)</v>
      </c>
      <c r="S1733">
        <v>1343</v>
      </c>
      <c r="T1733">
        <v>1033</v>
      </c>
      <c r="U1733" t="s">
        <v>19</v>
      </c>
    </row>
    <row r="1734" spans="1:21">
      <c r="A1734" t="str">
        <f t="shared" si="867"/>
        <v>09/04/2025</v>
      </c>
      <c r="B1734" t="str">
        <f t="shared" si="866"/>
        <v>ENTRADA</v>
      </c>
      <c r="C1734" t="str">
        <f t="shared" si="868"/>
        <v>NFSE</v>
      </c>
      <c r="D1734" t="str">
        <f t="shared" si="875"/>
        <v>2851</v>
      </c>
      <c r="E1734" t="str">
        <f t="shared" si="869"/>
        <v>COM</v>
      </c>
      <c r="F1734" t="str">
        <f t="shared" si="876"/>
        <v>FARMÁCIA INDIANA LJ 30 (10127)</v>
      </c>
      <c r="G1734" t="str">
        <f t="shared" si="877"/>
        <v>Serv.Prest. 24/03/2025 a 30/03/2025 - RPS: 623 - NFSe: 2851</v>
      </c>
      <c r="H1734" t="str">
        <f t="shared" si="870"/>
        <v>09/04/2025</v>
      </c>
      <c r="I1734" t="str">
        <f t="shared" si="871"/>
        <v>01/04/2025</v>
      </c>
      <c r="J1734" t="str">
        <f t="shared" si="872"/>
        <v>09/04/2025</v>
      </c>
      <c r="M1734">
        <v>303</v>
      </c>
      <c r="N1734" t="str">
        <f t="shared" si="873"/>
        <v>RECEITAS COM ENTREGAS</v>
      </c>
      <c r="P1734">
        <v>418.55</v>
      </c>
      <c r="Q1734" t="str">
        <f>"FARMÁCIA INDIANA LJ 65 (10030)"</f>
        <v>FARMÁCIA INDIANA LJ 65 (10030)</v>
      </c>
      <c r="R1734" t="str">
        <f t="shared" si="874"/>
        <v>RECEITAS COM ENTREGAS (303)</v>
      </c>
      <c r="S1734">
        <v>1343</v>
      </c>
      <c r="T1734">
        <v>1033</v>
      </c>
      <c r="U1734" t="s">
        <v>19</v>
      </c>
    </row>
    <row r="1735" spans="1:21">
      <c r="A1735" t="str">
        <f t="shared" si="867"/>
        <v>09/04/2025</v>
      </c>
      <c r="B1735" t="str">
        <f t="shared" si="866"/>
        <v>ENTRADA</v>
      </c>
      <c r="C1735" t="str">
        <f t="shared" si="868"/>
        <v>NFSE</v>
      </c>
      <c r="D1735" t="str">
        <f t="shared" si="875"/>
        <v>2851</v>
      </c>
      <c r="E1735" t="str">
        <f t="shared" si="869"/>
        <v>COM</v>
      </c>
      <c r="F1735" t="str">
        <f t="shared" si="876"/>
        <v>FARMÁCIA INDIANA LJ 30 (10127)</v>
      </c>
      <c r="G1735" t="str">
        <f t="shared" si="877"/>
        <v>Serv.Prest. 24/03/2025 a 30/03/2025 - RPS: 623 - NFSe: 2851</v>
      </c>
      <c r="H1735" t="str">
        <f t="shared" si="870"/>
        <v>09/04/2025</v>
      </c>
      <c r="I1735" t="str">
        <f t="shared" si="871"/>
        <v>01/04/2025</v>
      </c>
      <c r="J1735" t="str">
        <f t="shared" si="872"/>
        <v>09/04/2025</v>
      </c>
      <c r="M1735">
        <v>303</v>
      </c>
      <c r="N1735" t="str">
        <f t="shared" si="873"/>
        <v>RECEITAS COM ENTREGAS</v>
      </c>
      <c r="P1735">
        <v>143.91999999999999</v>
      </c>
      <c r="Q1735" t="str">
        <f>"FARMÁCIA INDIANA LJ 77 (10034)"</f>
        <v>FARMÁCIA INDIANA LJ 77 (10034)</v>
      </c>
      <c r="R1735" t="str">
        <f t="shared" si="874"/>
        <v>RECEITAS COM ENTREGAS (303)</v>
      </c>
      <c r="S1735">
        <v>1343</v>
      </c>
      <c r="T1735">
        <v>1033</v>
      </c>
      <c r="U1735" t="s">
        <v>19</v>
      </c>
    </row>
    <row r="1736" spans="1:21">
      <c r="A1736" t="str">
        <f t="shared" si="867"/>
        <v>09/04/2025</v>
      </c>
      <c r="B1736" t="str">
        <f t="shared" si="866"/>
        <v>ENTRADA</v>
      </c>
      <c r="C1736" t="str">
        <f t="shared" si="868"/>
        <v>NFSE</v>
      </c>
      <c r="D1736" t="str">
        <f t="shared" si="875"/>
        <v>2851</v>
      </c>
      <c r="E1736" t="str">
        <f t="shared" si="869"/>
        <v>COM</v>
      </c>
      <c r="F1736" t="str">
        <f t="shared" si="876"/>
        <v>FARMÁCIA INDIANA LJ 30 (10127)</v>
      </c>
      <c r="G1736" t="str">
        <f t="shared" si="877"/>
        <v>Serv.Prest. 24/03/2025 a 30/03/2025 - RPS: 623 - NFSe: 2851</v>
      </c>
      <c r="H1736" t="str">
        <f t="shared" si="870"/>
        <v>09/04/2025</v>
      </c>
      <c r="I1736" t="str">
        <f t="shared" si="871"/>
        <v>01/04/2025</v>
      </c>
      <c r="J1736" t="str">
        <f t="shared" si="872"/>
        <v>09/04/2025</v>
      </c>
      <c r="M1736">
        <v>303</v>
      </c>
      <c r="N1736" t="str">
        <f t="shared" si="873"/>
        <v>RECEITAS COM ENTREGAS</v>
      </c>
      <c r="P1736">
        <v>225.78</v>
      </c>
      <c r="Q1736" t="str">
        <f>"FARMÁCIA INDIANA LJ 91 (10037)"</f>
        <v>FARMÁCIA INDIANA LJ 91 (10037)</v>
      </c>
      <c r="R1736" t="str">
        <f t="shared" si="874"/>
        <v>RECEITAS COM ENTREGAS (303)</v>
      </c>
      <c r="S1736">
        <v>1343</v>
      </c>
      <c r="T1736">
        <v>1033</v>
      </c>
      <c r="U1736" t="s">
        <v>19</v>
      </c>
    </row>
    <row r="1737" spans="1:21">
      <c r="A1737" t="str">
        <f t="shared" si="867"/>
        <v>09/04/2025</v>
      </c>
      <c r="B1737" t="str">
        <f t="shared" si="866"/>
        <v>ENTRADA</v>
      </c>
      <c r="C1737" t="str">
        <f t="shared" si="868"/>
        <v>NFSE</v>
      </c>
      <c r="D1737" t="str">
        <f t="shared" si="875"/>
        <v>2851</v>
      </c>
      <c r="E1737" t="str">
        <f t="shared" si="869"/>
        <v>COM</v>
      </c>
      <c r="F1737" t="str">
        <f t="shared" si="876"/>
        <v>FARMÁCIA INDIANA LJ 30 (10127)</v>
      </c>
      <c r="G1737" t="str">
        <f t="shared" si="877"/>
        <v>Serv.Prest. 24/03/2025 a 30/03/2025 - RPS: 623 - NFSe: 2851</v>
      </c>
      <c r="H1737" t="str">
        <f t="shared" si="870"/>
        <v>09/04/2025</v>
      </c>
      <c r="I1737" t="str">
        <f t="shared" si="871"/>
        <v>01/04/2025</v>
      </c>
      <c r="J1737" t="str">
        <f t="shared" si="872"/>
        <v>09/04/2025</v>
      </c>
      <c r="M1737">
        <v>303</v>
      </c>
      <c r="N1737" t="str">
        <f t="shared" si="873"/>
        <v>RECEITAS COM ENTREGAS</v>
      </c>
      <c r="P1737">
        <v>326.39</v>
      </c>
      <c r="Q1737" t="str">
        <f>"FARMÁCIA INDIANA LJ 95 (10039)"</f>
        <v>FARMÁCIA INDIANA LJ 95 (10039)</v>
      </c>
      <c r="R1737" t="str">
        <f t="shared" si="874"/>
        <v>RECEITAS COM ENTREGAS (303)</v>
      </c>
      <c r="S1737">
        <v>1343</v>
      </c>
      <c r="T1737">
        <v>1033</v>
      </c>
      <c r="U1737" t="s">
        <v>19</v>
      </c>
    </row>
    <row r="1738" spans="1:21">
      <c r="A1738" t="str">
        <f t="shared" si="867"/>
        <v>09/04/2025</v>
      </c>
      <c r="B1738" t="str">
        <f t="shared" si="866"/>
        <v>ENTRADA</v>
      </c>
      <c r="C1738" t="str">
        <f t="shared" si="868"/>
        <v>NFSE</v>
      </c>
      <c r="D1738" t="str">
        <f t="shared" si="875"/>
        <v>2851</v>
      </c>
      <c r="E1738" t="str">
        <f t="shared" si="869"/>
        <v>COM</v>
      </c>
      <c r="F1738" t="str">
        <f t="shared" si="876"/>
        <v>FARMÁCIA INDIANA LJ 30 (10127)</v>
      </c>
      <c r="G1738" t="str">
        <f t="shared" si="877"/>
        <v>Serv.Prest. 24/03/2025 a 30/03/2025 - RPS: 623 - NFSe: 2851</v>
      </c>
      <c r="H1738" t="str">
        <f t="shared" si="870"/>
        <v>09/04/2025</v>
      </c>
      <c r="I1738" t="str">
        <f t="shared" si="871"/>
        <v>01/04/2025</v>
      </c>
      <c r="J1738" t="str">
        <f t="shared" si="872"/>
        <v>09/04/2025</v>
      </c>
      <c r="M1738">
        <v>303</v>
      </c>
      <c r="N1738" t="str">
        <f t="shared" si="873"/>
        <v>RECEITAS COM ENTREGAS</v>
      </c>
      <c r="P1738">
        <v>280.7</v>
      </c>
      <c r="Q1738" t="str">
        <f>"FARMÁCIA INDIANA LJ 145 (10068)"</f>
        <v>FARMÁCIA INDIANA LJ 145 (10068)</v>
      </c>
      <c r="R1738" t="str">
        <f t="shared" si="874"/>
        <v>RECEITAS COM ENTREGAS (303)</v>
      </c>
      <c r="S1738">
        <v>1343</v>
      </c>
      <c r="T1738">
        <v>1033</v>
      </c>
      <c r="U1738" t="s">
        <v>19</v>
      </c>
    </row>
    <row r="1739" spans="1:21">
      <c r="A1739" t="str">
        <f t="shared" si="867"/>
        <v>09/04/2025</v>
      </c>
      <c r="B1739" t="str">
        <f t="shared" si="866"/>
        <v>ENTRADA</v>
      </c>
      <c r="C1739" t="str">
        <f t="shared" si="868"/>
        <v>NFSE</v>
      </c>
      <c r="D1739" t="str">
        <f t="shared" si="875"/>
        <v>2851</v>
      </c>
      <c r="E1739" t="str">
        <f t="shared" si="869"/>
        <v>COM</v>
      </c>
      <c r="F1739" t="str">
        <f t="shared" si="876"/>
        <v>FARMÁCIA INDIANA LJ 30 (10127)</v>
      </c>
      <c r="G1739" t="str">
        <f t="shared" si="877"/>
        <v>Serv.Prest. 24/03/2025 a 30/03/2025 - RPS: 623 - NFSe: 2851</v>
      </c>
      <c r="H1739" t="str">
        <f t="shared" si="870"/>
        <v>09/04/2025</v>
      </c>
      <c r="I1739" t="str">
        <f t="shared" si="871"/>
        <v>01/04/2025</v>
      </c>
      <c r="J1739" t="str">
        <f t="shared" si="872"/>
        <v>09/04/2025</v>
      </c>
      <c r="M1739">
        <v>303</v>
      </c>
      <c r="N1739" t="str">
        <f t="shared" si="873"/>
        <v>RECEITAS COM ENTREGAS</v>
      </c>
      <c r="P1739">
        <v>73.41</v>
      </c>
      <c r="Q1739" t="str">
        <f>"FARMÁCIA INDIANA LJ 169 (10073)"</f>
        <v>FARMÁCIA INDIANA LJ 169 (10073)</v>
      </c>
      <c r="R1739" t="str">
        <f t="shared" si="874"/>
        <v>RECEITAS COM ENTREGAS (303)</v>
      </c>
      <c r="S1739">
        <v>1343</v>
      </c>
      <c r="T1739">
        <v>1033</v>
      </c>
      <c r="U1739" t="s">
        <v>19</v>
      </c>
    </row>
    <row r="1740" spans="1:21">
      <c r="A1740" t="str">
        <f t="shared" si="867"/>
        <v>09/04/2025</v>
      </c>
      <c r="B1740" t="str">
        <f t="shared" si="866"/>
        <v>ENTRADA</v>
      </c>
      <c r="C1740" t="str">
        <f t="shared" si="868"/>
        <v>NFSE</v>
      </c>
      <c r="D1740" t="str">
        <f t="shared" si="875"/>
        <v>2851</v>
      </c>
      <c r="E1740" t="str">
        <f t="shared" si="869"/>
        <v>COM</v>
      </c>
      <c r="F1740" t="str">
        <f t="shared" si="876"/>
        <v>FARMÁCIA INDIANA LJ 30 (10127)</v>
      </c>
      <c r="G1740" t="str">
        <f t="shared" si="877"/>
        <v>Serv.Prest. 24/03/2025 a 30/03/2025 - RPS: 623 - NFSe: 2851</v>
      </c>
      <c r="H1740" t="str">
        <f t="shared" si="870"/>
        <v>09/04/2025</v>
      </c>
      <c r="I1740" t="str">
        <f t="shared" si="871"/>
        <v>01/04/2025</v>
      </c>
      <c r="J1740" t="str">
        <f t="shared" si="872"/>
        <v>09/04/2025</v>
      </c>
      <c r="M1740">
        <v>303</v>
      </c>
      <c r="N1740" t="str">
        <f t="shared" si="873"/>
        <v>RECEITAS COM ENTREGAS</v>
      </c>
      <c r="P1740">
        <v>209.41</v>
      </c>
      <c r="Q1740" t="str">
        <f>"FARMÁCIA INDIANA LJ 173 (10075)"</f>
        <v>FARMÁCIA INDIANA LJ 173 (10075)</v>
      </c>
      <c r="R1740" t="str">
        <f t="shared" si="874"/>
        <v>RECEITAS COM ENTREGAS (303)</v>
      </c>
      <c r="S1740">
        <v>1343</v>
      </c>
      <c r="T1740">
        <v>1033</v>
      </c>
      <c r="U1740" t="s">
        <v>19</v>
      </c>
    </row>
    <row r="1741" spans="1:21">
      <c r="A1741" t="str">
        <f t="shared" si="867"/>
        <v>09/04/2025</v>
      </c>
      <c r="B1741" t="str">
        <f t="shared" si="866"/>
        <v>ENTRADA</v>
      </c>
      <c r="C1741" t="str">
        <f t="shared" si="868"/>
        <v>NFSE</v>
      </c>
      <c r="D1741" t="str">
        <f t="shared" si="875"/>
        <v>2851</v>
      </c>
      <c r="E1741" t="str">
        <f t="shared" si="869"/>
        <v>COM</v>
      </c>
      <c r="F1741" t="str">
        <f t="shared" si="876"/>
        <v>FARMÁCIA INDIANA LJ 30 (10127)</v>
      </c>
      <c r="G1741" t="str">
        <f t="shared" si="877"/>
        <v>Serv.Prest. 24/03/2025 a 30/03/2025 - RPS: 623 - NFSe: 2851</v>
      </c>
      <c r="H1741" t="str">
        <f t="shared" si="870"/>
        <v>09/04/2025</v>
      </c>
      <c r="I1741" t="str">
        <f t="shared" si="871"/>
        <v>01/04/2025</v>
      </c>
      <c r="J1741" t="str">
        <f t="shared" si="872"/>
        <v>09/04/2025</v>
      </c>
      <c r="M1741">
        <v>303</v>
      </c>
      <c r="N1741" t="str">
        <f t="shared" si="873"/>
        <v>RECEITAS COM ENTREGAS</v>
      </c>
      <c r="P1741">
        <v>160.55000000000001</v>
      </c>
      <c r="Q1741" t="str">
        <f>"FARMÁCIA INDIANA LJ 200 (10155)"</f>
        <v>FARMÁCIA INDIANA LJ 200 (10155)</v>
      </c>
      <c r="R1741" t="str">
        <f t="shared" si="874"/>
        <v>RECEITAS COM ENTREGAS (303)</v>
      </c>
      <c r="S1741">
        <v>1343</v>
      </c>
      <c r="T1741">
        <v>1033</v>
      </c>
      <c r="U1741" t="s">
        <v>19</v>
      </c>
    </row>
    <row r="1742" spans="1:21">
      <c r="A1742" t="str">
        <f t="shared" si="867"/>
        <v>09/04/2025</v>
      </c>
      <c r="B1742" t="str">
        <f t="shared" si="866"/>
        <v>ENTRADA</v>
      </c>
      <c r="C1742" t="str">
        <f t="shared" si="868"/>
        <v>NFSE</v>
      </c>
      <c r="D1742" t="str">
        <f t="shared" ref="D1742:D1747" si="878">"2852"</f>
        <v>2852</v>
      </c>
      <c r="E1742" t="str">
        <f t="shared" si="869"/>
        <v>COM</v>
      </c>
      <c r="F1742" t="str">
        <f t="shared" ref="F1742:F1747" si="879">"FARMÁCIA INDIANA LJ 85 (10128)"</f>
        <v>FARMÁCIA INDIANA LJ 85 (10128)</v>
      </c>
      <c r="G1742" t="str">
        <f t="shared" ref="G1742:G1747" si="880">"Serv.Prest. 24/03/2025 a 30/03/2025 - RPS: 624 - NFSe: 2852"</f>
        <v>Serv.Prest. 24/03/2025 a 30/03/2025 - RPS: 624 - NFSe: 2852</v>
      </c>
      <c r="H1742" t="str">
        <f t="shared" si="870"/>
        <v>09/04/2025</v>
      </c>
      <c r="I1742" t="str">
        <f t="shared" si="871"/>
        <v>01/04/2025</v>
      </c>
      <c r="J1742" t="str">
        <f t="shared" si="872"/>
        <v>09/04/2025</v>
      </c>
      <c r="K1742">
        <v>948.76</v>
      </c>
      <c r="L1742">
        <v>948.76</v>
      </c>
      <c r="M1742">
        <v>303</v>
      </c>
      <c r="N1742" t="str">
        <f t="shared" si="873"/>
        <v>RECEITAS COM ENTREGAS</v>
      </c>
      <c r="O1742">
        <v>948.76</v>
      </c>
      <c r="R1742" t="str">
        <f t="shared" si="874"/>
        <v>RECEITAS COM ENTREGAS (303)</v>
      </c>
      <c r="S1742">
        <v>1347</v>
      </c>
      <c r="T1742">
        <v>1034</v>
      </c>
      <c r="U1742" t="s">
        <v>19</v>
      </c>
    </row>
    <row r="1743" spans="1:21">
      <c r="A1743" t="str">
        <f t="shared" si="867"/>
        <v>09/04/2025</v>
      </c>
      <c r="B1743" t="str">
        <f t="shared" si="866"/>
        <v>ENTRADA</v>
      </c>
      <c r="C1743" t="str">
        <f t="shared" si="868"/>
        <v>NFSE</v>
      </c>
      <c r="D1743" t="str">
        <f t="shared" si="878"/>
        <v>2852</v>
      </c>
      <c r="E1743" t="str">
        <f t="shared" si="869"/>
        <v>COM</v>
      </c>
      <c r="F1743" t="str">
        <f t="shared" si="879"/>
        <v>FARMÁCIA INDIANA LJ 85 (10128)</v>
      </c>
      <c r="G1743" t="str">
        <f t="shared" si="880"/>
        <v>Serv.Prest. 24/03/2025 a 30/03/2025 - RPS: 624 - NFSe: 2852</v>
      </c>
      <c r="H1743" t="str">
        <f t="shared" si="870"/>
        <v>09/04/2025</v>
      </c>
      <c r="I1743" t="str">
        <f t="shared" si="871"/>
        <v>01/04/2025</v>
      </c>
      <c r="J1743" t="str">
        <f t="shared" si="872"/>
        <v>09/04/2025</v>
      </c>
      <c r="M1743">
        <v>303</v>
      </c>
      <c r="N1743" t="str">
        <f t="shared" si="873"/>
        <v>RECEITAS COM ENTREGAS</v>
      </c>
      <c r="P1743">
        <v>320.31</v>
      </c>
      <c r="Q1743" t="str">
        <f>"FARMÁCIA INDIANA LJ 119 (10053)"</f>
        <v>FARMÁCIA INDIANA LJ 119 (10053)</v>
      </c>
      <c r="R1743" t="str">
        <f t="shared" si="874"/>
        <v>RECEITAS COM ENTREGAS (303)</v>
      </c>
      <c r="S1743">
        <v>1347</v>
      </c>
      <c r="T1743">
        <v>1034</v>
      </c>
      <c r="U1743" t="s">
        <v>19</v>
      </c>
    </row>
    <row r="1744" spans="1:21">
      <c r="A1744" t="str">
        <f t="shared" si="867"/>
        <v>09/04/2025</v>
      </c>
      <c r="B1744" t="str">
        <f t="shared" si="866"/>
        <v>ENTRADA</v>
      </c>
      <c r="C1744" t="str">
        <f t="shared" si="868"/>
        <v>NFSE</v>
      </c>
      <c r="D1744" t="str">
        <f t="shared" si="878"/>
        <v>2852</v>
      </c>
      <c r="E1744" t="str">
        <f t="shared" si="869"/>
        <v>COM</v>
      </c>
      <c r="F1744" t="str">
        <f t="shared" si="879"/>
        <v>FARMÁCIA INDIANA LJ 85 (10128)</v>
      </c>
      <c r="G1744" t="str">
        <f t="shared" si="880"/>
        <v>Serv.Prest. 24/03/2025 a 30/03/2025 - RPS: 624 - NFSe: 2852</v>
      </c>
      <c r="H1744" t="str">
        <f t="shared" si="870"/>
        <v>09/04/2025</v>
      </c>
      <c r="I1744" t="str">
        <f t="shared" si="871"/>
        <v>01/04/2025</v>
      </c>
      <c r="J1744" t="str">
        <f t="shared" si="872"/>
        <v>09/04/2025</v>
      </c>
      <c r="M1744">
        <v>303</v>
      </c>
      <c r="N1744" t="str">
        <f t="shared" si="873"/>
        <v>RECEITAS COM ENTREGAS</v>
      </c>
      <c r="P1744">
        <v>131.97</v>
      </c>
      <c r="Q1744" t="str">
        <f>"FARMÁCIA INDIANA LJ 163 (10072)"</f>
        <v>FARMÁCIA INDIANA LJ 163 (10072)</v>
      </c>
      <c r="R1744" t="str">
        <f t="shared" si="874"/>
        <v>RECEITAS COM ENTREGAS (303)</v>
      </c>
      <c r="S1744">
        <v>1347</v>
      </c>
      <c r="T1744">
        <v>1034</v>
      </c>
      <c r="U1744" t="s">
        <v>19</v>
      </c>
    </row>
    <row r="1745" spans="1:21">
      <c r="A1745" t="str">
        <f t="shared" si="867"/>
        <v>09/04/2025</v>
      </c>
      <c r="B1745" t="str">
        <f t="shared" si="866"/>
        <v>ENTRADA</v>
      </c>
      <c r="C1745" t="str">
        <f t="shared" si="868"/>
        <v>NFSE</v>
      </c>
      <c r="D1745" t="str">
        <f t="shared" si="878"/>
        <v>2852</v>
      </c>
      <c r="E1745" t="str">
        <f t="shared" si="869"/>
        <v>COM</v>
      </c>
      <c r="F1745" t="str">
        <f t="shared" si="879"/>
        <v>FARMÁCIA INDIANA LJ 85 (10128)</v>
      </c>
      <c r="G1745" t="str">
        <f t="shared" si="880"/>
        <v>Serv.Prest. 24/03/2025 a 30/03/2025 - RPS: 624 - NFSe: 2852</v>
      </c>
      <c r="H1745" t="str">
        <f t="shared" si="870"/>
        <v>09/04/2025</v>
      </c>
      <c r="I1745" t="str">
        <f t="shared" si="871"/>
        <v>01/04/2025</v>
      </c>
      <c r="J1745" t="str">
        <f t="shared" si="872"/>
        <v>09/04/2025</v>
      </c>
      <c r="M1745">
        <v>303</v>
      </c>
      <c r="N1745" t="str">
        <f t="shared" si="873"/>
        <v>RECEITAS COM ENTREGAS</v>
      </c>
      <c r="P1745">
        <v>141.84</v>
      </c>
      <c r="Q1745" t="str">
        <f>"FARMÁCIA INDIANA LJ 181 (10078)"</f>
        <v>FARMÁCIA INDIANA LJ 181 (10078)</v>
      </c>
      <c r="R1745" t="str">
        <f t="shared" si="874"/>
        <v>RECEITAS COM ENTREGAS (303)</v>
      </c>
      <c r="S1745">
        <v>1347</v>
      </c>
      <c r="T1745">
        <v>1034</v>
      </c>
      <c r="U1745" t="s">
        <v>19</v>
      </c>
    </row>
    <row r="1746" spans="1:21">
      <c r="A1746" t="str">
        <f t="shared" si="867"/>
        <v>09/04/2025</v>
      </c>
      <c r="B1746" t="str">
        <f t="shared" si="866"/>
        <v>ENTRADA</v>
      </c>
      <c r="C1746" t="str">
        <f t="shared" si="868"/>
        <v>NFSE</v>
      </c>
      <c r="D1746" t="str">
        <f t="shared" si="878"/>
        <v>2852</v>
      </c>
      <c r="E1746" t="str">
        <f t="shared" si="869"/>
        <v>COM</v>
      </c>
      <c r="F1746" t="str">
        <f t="shared" si="879"/>
        <v>FARMÁCIA INDIANA LJ 85 (10128)</v>
      </c>
      <c r="G1746" t="str">
        <f t="shared" si="880"/>
        <v>Serv.Prest. 24/03/2025 a 30/03/2025 - RPS: 624 - NFSe: 2852</v>
      </c>
      <c r="H1746" t="str">
        <f t="shared" si="870"/>
        <v>09/04/2025</v>
      </c>
      <c r="I1746" t="str">
        <f t="shared" si="871"/>
        <v>01/04/2025</v>
      </c>
      <c r="J1746" t="str">
        <f t="shared" si="872"/>
        <v>09/04/2025</v>
      </c>
      <c r="M1746">
        <v>303</v>
      </c>
      <c r="N1746" t="str">
        <f t="shared" si="873"/>
        <v>RECEITAS COM ENTREGAS</v>
      </c>
      <c r="P1746">
        <v>172.48</v>
      </c>
      <c r="Q1746" t="str">
        <f>"FARMÁCIA INDIANA LJ 221 (10093)"</f>
        <v>FARMÁCIA INDIANA LJ 221 (10093)</v>
      </c>
      <c r="R1746" t="str">
        <f t="shared" si="874"/>
        <v>RECEITAS COM ENTREGAS (303)</v>
      </c>
      <c r="S1746">
        <v>1347</v>
      </c>
      <c r="T1746">
        <v>1034</v>
      </c>
      <c r="U1746" t="s">
        <v>19</v>
      </c>
    </row>
    <row r="1747" spans="1:21">
      <c r="A1747" t="str">
        <f t="shared" si="867"/>
        <v>09/04/2025</v>
      </c>
      <c r="B1747" t="str">
        <f t="shared" si="866"/>
        <v>ENTRADA</v>
      </c>
      <c r="C1747" t="str">
        <f t="shared" si="868"/>
        <v>NFSE</v>
      </c>
      <c r="D1747" t="str">
        <f t="shared" si="878"/>
        <v>2852</v>
      </c>
      <c r="E1747" t="str">
        <f t="shared" si="869"/>
        <v>COM</v>
      </c>
      <c r="F1747" t="str">
        <f t="shared" si="879"/>
        <v>FARMÁCIA INDIANA LJ 85 (10128)</v>
      </c>
      <c r="G1747" t="str">
        <f t="shared" si="880"/>
        <v>Serv.Prest. 24/03/2025 a 30/03/2025 - RPS: 624 - NFSe: 2852</v>
      </c>
      <c r="H1747" t="str">
        <f t="shared" si="870"/>
        <v>09/04/2025</v>
      </c>
      <c r="I1747" t="str">
        <f t="shared" si="871"/>
        <v>01/04/2025</v>
      </c>
      <c r="J1747" t="str">
        <f t="shared" si="872"/>
        <v>09/04/2025</v>
      </c>
      <c r="M1747">
        <v>303</v>
      </c>
      <c r="N1747" t="str">
        <f t="shared" si="873"/>
        <v>RECEITAS COM ENTREGAS</v>
      </c>
      <c r="P1747">
        <v>182.16</v>
      </c>
      <c r="Q1747" t="str">
        <f>"FARMÁCIA INDIANA LJ 243 (10142)"</f>
        <v>FARMÁCIA INDIANA LJ 243 (10142)</v>
      </c>
      <c r="R1747" t="str">
        <f t="shared" si="874"/>
        <v>RECEITAS COM ENTREGAS (303)</v>
      </c>
      <c r="S1747">
        <v>1347</v>
      </c>
      <c r="T1747">
        <v>1034</v>
      </c>
      <c r="U1747" t="s">
        <v>19</v>
      </c>
    </row>
    <row r="1748" spans="1:21">
      <c r="A1748" t="str">
        <f t="shared" ref="A1748:A1769" si="881">("09/04/2025")</f>
        <v>09/04/2025</v>
      </c>
      <c r="B1748" t="str">
        <f t="shared" si="866"/>
        <v>ENTRADA</v>
      </c>
      <c r="C1748" t="str">
        <f t="shared" ref="C1748:C1755" si="882">"NFSE"</f>
        <v>NFSE</v>
      </c>
      <c r="D1748" t="str">
        <f>"2870"</f>
        <v>2870</v>
      </c>
      <c r="E1748" t="str">
        <f t="shared" ref="E1748:E1765" si="883">"COM"</f>
        <v>COM</v>
      </c>
      <c r="F1748" t="str">
        <f>"DROGARIA MEDALHA (10163)"</f>
        <v>DROGARIA MEDALHA (10163)</v>
      </c>
      <c r="G1748" t="str">
        <f>"Serv.Prest. 31/03/2025 a 06/04/2025 - RPS: 641 - NFSe: 2870"</f>
        <v>Serv.Prest. 31/03/2025 a 06/04/2025 - RPS: 641 - NFSe: 2870</v>
      </c>
      <c r="H1748" t="str">
        <f t="shared" ref="H1748:H1759" si="884">("09/04/2025")</f>
        <v>09/04/2025</v>
      </c>
      <c r="I1748" t="str">
        <f>("08/04/2025")</f>
        <v>08/04/2025</v>
      </c>
      <c r="J1748" t="str">
        <f t="shared" ref="J1748:J1769" si="885">("09/04/2025")</f>
        <v>09/04/2025</v>
      </c>
      <c r="K1748">
        <v>208.42</v>
      </c>
      <c r="L1748">
        <v>208.42</v>
      </c>
      <c r="M1748">
        <v>303</v>
      </c>
      <c r="N1748" t="str">
        <f t="shared" ref="N1748:N1755" si="886">"RECEITAS COM ENTREGAS"</f>
        <v>RECEITAS COM ENTREGAS</v>
      </c>
      <c r="O1748">
        <v>208.42</v>
      </c>
      <c r="R1748" t="str">
        <f t="shared" ref="R1748:R1755" si="887">"RECEITAS COM ENTREGAS (303)"</f>
        <v>RECEITAS COM ENTREGAS (303)</v>
      </c>
      <c r="S1748">
        <v>1352</v>
      </c>
      <c r="T1748">
        <v>1062</v>
      </c>
      <c r="U1748" t="s">
        <v>19</v>
      </c>
    </row>
    <row r="1749" spans="1:21">
      <c r="A1749" t="str">
        <f t="shared" si="881"/>
        <v>09/04/2025</v>
      </c>
      <c r="B1749" t="str">
        <f t="shared" ref="B1749:B1755" si="888">"ENTRADA"</f>
        <v>ENTRADA</v>
      </c>
      <c r="C1749" t="str">
        <f t="shared" si="882"/>
        <v>NFSE</v>
      </c>
      <c r="D1749" t="str">
        <f>"2870"</f>
        <v>2870</v>
      </c>
      <c r="E1749" t="str">
        <f t="shared" si="883"/>
        <v>COM</v>
      </c>
      <c r="F1749" t="str">
        <f>"DROGARIA MEDALHA (10163)"</f>
        <v>DROGARIA MEDALHA (10163)</v>
      </c>
      <c r="G1749" t="str">
        <f>"Serv.Prest. 31/03/2025 a 06/04/2025 - RPS: 641 - NFSe: 2870"</f>
        <v>Serv.Prest. 31/03/2025 a 06/04/2025 - RPS: 641 - NFSe: 2870</v>
      </c>
      <c r="H1749" t="str">
        <f t="shared" si="884"/>
        <v>09/04/2025</v>
      </c>
      <c r="I1749" t="str">
        <f>("08/04/2025")</f>
        <v>08/04/2025</v>
      </c>
      <c r="J1749" t="str">
        <f t="shared" si="885"/>
        <v>09/04/2025</v>
      </c>
      <c r="M1749">
        <v>303</v>
      </c>
      <c r="N1749" t="str">
        <f t="shared" si="886"/>
        <v>RECEITAS COM ENTREGAS</v>
      </c>
      <c r="P1749">
        <v>208.42</v>
      </c>
      <c r="Q1749" t="str">
        <f>"DROGARIA MEDALHA (10163)"</f>
        <v>DROGARIA MEDALHA (10163)</v>
      </c>
      <c r="R1749" t="str">
        <f t="shared" si="887"/>
        <v>RECEITAS COM ENTREGAS (303)</v>
      </c>
      <c r="S1749">
        <v>1352</v>
      </c>
      <c r="T1749">
        <v>1062</v>
      </c>
      <c r="U1749" t="s">
        <v>19</v>
      </c>
    </row>
    <row r="1750" spans="1:21">
      <c r="A1750" t="str">
        <f t="shared" si="881"/>
        <v>09/04/2025</v>
      </c>
      <c r="B1750" t="str">
        <f t="shared" si="888"/>
        <v>ENTRADA</v>
      </c>
      <c r="C1750" t="str">
        <f t="shared" si="882"/>
        <v>NFSE</v>
      </c>
      <c r="D1750" t="str">
        <f>"2860"</f>
        <v>2860</v>
      </c>
      <c r="E1750" t="str">
        <f t="shared" si="883"/>
        <v>COM</v>
      </c>
      <c r="F1750" t="str">
        <f>"JAL FARMACIA E DROGARIA LJ 2 (10138)"</f>
        <v>JAL FARMACIA E DROGARIA LJ 2 (10138)</v>
      </c>
      <c r="G1750" t="str">
        <f>"Serv.Prest. 31/03/2025 a 06/04/2025 - RPS: 631 - NFSe: 2860"</f>
        <v>Serv.Prest. 31/03/2025 a 06/04/2025 - RPS: 631 - NFSe: 2860</v>
      </c>
      <c r="H1750" t="str">
        <f t="shared" si="884"/>
        <v>09/04/2025</v>
      </c>
      <c r="I1750" t="str">
        <f>("07/04/2025")</f>
        <v>07/04/2025</v>
      </c>
      <c r="J1750" t="str">
        <f t="shared" si="885"/>
        <v>09/04/2025</v>
      </c>
      <c r="K1750">
        <v>268.8</v>
      </c>
      <c r="L1750">
        <v>268.8</v>
      </c>
      <c r="M1750">
        <v>303</v>
      </c>
      <c r="N1750" t="str">
        <f t="shared" si="886"/>
        <v>RECEITAS COM ENTREGAS</v>
      </c>
      <c r="O1750">
        <v>268.8</v>
      </c>
      <c r="R1750" t="str">
        <f t="shared" si="887"/>
        <v>RECEITAS COM ENTREGAS (303)</v>
      </c>
      <c r="S1750">
        <v>1360</v>
      </c>
      <c r="T1750">
        <v>1052</v>
      </c>
      <c r="U1750" t="s">
        <v>19</v>
      </c>
    </row>
    <row r="1751" spans="1:21">
      <c r="A1751" t="str">
        <f t="shared" si="881"/>
        <v>09/04/2025</v>
      </c>
      <c r="B1751" t="str">
        <f t="shared" si="888"/>
        <v>ENTRADA</v>
      </c>
      <c r="C1751" t="str">
        <f t="shared" si="882"/>
        <v>NFSE</v>
      </c>
      <c r="D1751" t="str">
        <f>"2860"</f>
        <v>2860</v>
      </c>
      <c r="E1751" t="str">
        <f t="shared" si="883"/>
        <v>COM</v>
      </c>
      <c r="F1751" t="str">
        <f>"JAL FARMACIA E DROGARIA LJ 2 (10138)"</f>
        <v>JAL FARMACIA E DROGARIA LJ 2 (10138)</v>
      </c>
      <c r="G1751" t="str">
        <f>"Serv.Prest. 31/03/2025 a 06/04/2025 - RPS: 631 - NFSe: 2860"</f>
        <v>Serv.Prest. 31/03/2025 a 06/04/2025 - RPS: 631 - NFSe: 2860</v>
      </c>
      <c r="H1751" t="str">
        <f t="shared" si="884"/>
        <v>09/04/2025</v>
      </c>
      <c r="I1751" t="str">
        <f>("07/04/2025")</f>
        <v>07/04/2025</v>
      </c>
      <c r="J1751" t="str">
        <f t="shared" si="885"/>
        <v>09/04/2025</v>
      </c>
      <c r="M1751">
        <v>303</v>
      </c>
      <c r="N1751" t="str">
        <f t="shared" si="886"/>
        <v>RECEITAS COM ENTREGAS</v>
      </c>
      <c r="P1751">
        <v>268.8</v>
      </c>
      <c r="Q1751" t="str">
        <f>"JAL FARMACIA E DROGARIA LJ 2 (10138)"</f>
        <v>JAL FARMACIA E DROGARIA LJ 2 (10138)</v>
      </c>
      <c r="R1751" t="str">
        <f t="shared" si="887"/>
        <v>RECEITAS COM ENTREGAS (303)</v>
      </c>
      <c r="S1751">
        <v>1360</v>
      </c>
      <c r="T1751">
        <v>1052</v>
      </c>
      <c r="U1751" t="s">
        <v>19</v>
      </c>
    </row>
    <row r="1752" spans="1:21">
      <c r="A1752" t="str">
        <f t="shared" si="881"/>
        <v>09/04/2025</v>
      </c>
      <c r="B1752" t="str">
        <f t="shared" si="888"/>
        <v>ENTRADA</v>
      </c>
      <c r="C1752" t="str">
        <f t="shared" si="882"/>
        <v>NFSE</v>
      </c>
      <c r="D1752" t="str">
        <f>"2871"</f>
        <v>2871</v>
      </c>
      <c r="E1752" t="str">
        <f t="shared" si="883"/>
        <v>COM</v>
      </c>
      <c r="F1752" t="str">
        <f>"ENTREFARMA (10164)"</f>
        <v>ENTREFARMA (10164)</v>
      </c>
      <c r="G1752" t="str">
        <f>"Serv.Prest. 31/03/2025 a 06/04/2025 - RPS: 642 - NFSe: 2871"</f>
        <v>Serv.Prest. 31/03/2025 a 06/04/2025 - RPS: 642 - NFSe: 2871</v>
      </c>
      <c r="H1752" t="str">
        <f t="shared" si="884"/>
        <v>09/04/2025</v>
      </c>
      <c r="I1752" t="str">
        <f>("08/04/2025")</f>
        <v>08/04/2025</v>
      </c>
      <c r="J1752" t="str">
        <f t="shared" si="885"/>
        <v>09/04/2025</v>
      </c>
      <c r="K1752">
        <v>977.84</v>
      </c>
      <c r="L1752">
        <v>977.84</v>
      </c>
      <c r="M1752">
        <v>303</v>
      </c>
      <c r="N1752" t="str">
        <f t="shared" si="886"/>
        <v>RECEITAS COM ENTREGAS</v>
      </c>
      <c r="O1752">
        <v>977.84</v>
      </c>
      <c r="R1752" t="str">
        <f t="shared" si="887"/>
        <v>RECEITAS COM ENTREGAS (303)</v>
      </c>
      <c r="S1752">
        <v>1361</v>
      </c>
      <c r="T1752">
        <v>1063</v>
      </c>
      <c r="U1752" t="s">
        <v>19</v>
      </c>
    </row>
    <row r="1753" spans="1:21">
      <c r="A1753" t="str">
        <f t="shared" si="881"/>
        <v>09/04/2025</v>
      </c>
      <c r="B1753" t="str">
        <f t="shared" si="888"/>
        <v>ENTRADA</v>
      </c>
      <c r="C1753" t="str">
        <f t="shared" si="882"/>
        <v>NFSE</v>
      </c>
      <c r="D1753" t="str">
        <f>"2871"</f>
        <v>2871</v>
      </c>
      <c r="E1753" t="str">
        <f t="shared" si="883"/>
        <v>COM</v>
      </c>
      <c r="F1753" t="str">
        <f>"ENTREFARMA (10164)"</f>
        <v>ENTREFARMA (10164)</v>
      </c>
      <c r="G1753" t="str">
        <f>"Serv.Prest. 31/03/2025 a 06/04/2025 - RPS: 642 - NFSe: 2871"</f>
        <v>Serv.Prest. 31/03/2025 a 06/04/2025 - RPS: 642 - NFSe: 2871</v>
      </c>
      <c r="H1753" t="str">
        <f t="shared" si="884"/>
        <v>09/04/2025</v>
      </c>
      <c r="I1753" t="str">
        <f>("08/04/2025")</f>
        <v>08/04/2025</v>
      </c>
      <c r="J1753" t="str">
        <f t="shared" si="885"/>
        <v>09/04/2025</v>
      </c>
      <c r="M1753">
        <v>303</v>
      </c>
      <c r="N1753" t="str">
        <f t="shared" si="886"/>
        <v>RECEITAS COM ENTREGAS</v>
      </c>
      <c r="P1753">
        <v>977.84</v>
      </c>
      <c r="Q1753" t="str">
        <f>"ENTREFARMA (10164)"</f>
        <v>ENTREFARMA (10164)</v>
      </c>
      <c r="R1753" t="str">
        <f t="shared" si="887"/>
        <v>RECEITAS COM ENTREGAS (303)</v>
      </c>
      <c r="S1753">
        <v>1361</v>
      </c>
      <c r="T1753">
        <v>1063</v>
      </c>
      <c r="U1753" t="s">
        <v>19</v>
      </c>
    </row>
    <row r="1754" spans="1:21">
      <c r="A1754" t="str">
        <f t="shared" si="881"/>
        <v>09/04/2025</v>
      </c>
      <c r="B1754" t="str">
        <f t="shared" si="888"/>
        <v>ENTRADA</v>
      </c>
      <c r="C1754" t="str">
        <f t="shared" si="882"/>
        <v>NFSE</v>
      </c>
      <c r="D1754" t="str">
        <f>"2872"</f>
        <v>2872</v>
      </c>
      <c r="E1754" t="str">
        <f t="shared" si="883"/>
        <v>COM</v>
      </c>
      <c r="F1754" t="str">
        <f>"ROSA MARIA LTDA (10165)"</f>
        <v>ROSA MARIA LTDA (10165)</v>
      </c>
      <c r="G1754" t="str">
        <f>"Serv.Prest. 31/03/2025 a 06/04/2025 - RPS: 643 - NFSe: 2872"</f>
        <v>Serv.Prest. 31/03/2025 a 06/04/2025 - RPS: 643 - NFSe: 2872</v>
      </c>
      <c r="H1754" t="str">
        <f t="shared" si="884"/>
        <v>09/04/2025</v>
      </c>
      <c r="I1754" t="str">
        <f>("08/04/2025")</f>
        <v>08/04/2025</v>
      </c>
      <c r="J1754" t="str">
        <f t="shared" si="885"/>
        <v>09/04/2025</v>
      </c>
      <c r="K1754">
        <v>216.24</v>
      </c>
      <c r="L1754">
        <v>216.24</v>
      </c>
      <c r="M1754">
        <v>303</v>
      </c>
      <c r="N1754" t="str">
        <f t="shared" si="886"/>
        <v>RECEITAS COM ENTREGAS</v>
      </c>
      <c r="O1754">
        <v>216.24</v>
      </c>
      <c r="R1754" t="str">
        <f t="shared" si="887"/>
        <v>RECEITAS COM ENTREGAS (303)</v>
      </c>
      <c r="S1754">
        <v>1362</v>
      </c>
      <c r="T1754">
        <v>1064</v>
      </c>
      <c r="U1754" t="s">
        <v>19</v>
      </c>
    </row>
    <row r="1755" spans="1:21">
      <c r="A1755" t="str">
        <f t="shared" si="881"/>
        <v>09/04/2025</v>
      </c>
      <c r="B1755" t="str">
        <f t="shared" si="888"/>
        <v>ENTRADA</v>
      </c>
      <c r="C1755" t="str">
        <f t="shared" si="882"/>
        <v>NFSE</v>
      </c>
      <c r="D1755" t="str">
        <f>"2872"</f>
        <v>2872</v>
      </c>
      <c r="E1755" t="str">
        <f t="shared" si="883"/>
        <v>COM</v>
      </c>
      <c r="F1755" t="str">
        <f>"ROSA MARIA LTDA (10165)"</f>
        <v>ROSA MARIA LTDA (10165)</v>
      </c>
      <c r="G1755" t="str">
        <f>"Serv.Prest. 31/03/2025 a 06/04/2025 - RPS: 643 - NFSe: 2872"</f>
        <v>Serv.Prest. 31/03/2025 a 06/04/2025 - RPS: 643 - NFSe: 2872</v>
      </c>
      <c r="H1755" t="str">
        <f t="shared" si="884"/>
        <v>09/04/2025</v>
      </c>
      <c r="I1755" t="str">
        <f>("08/04/2025")</f>
        <v>08/04/2025</v>
      </c>
      <c r="J1755" t="str">
        <f t="shared" si="885"/>
        <v>09/04/2025</v>
      </c>
      <c r="M1755">
        <v>303</v>
      </c>
      <c r="N1755" t="str">
        <f t="shared" si="886"/>
        <v>RECEITAS COM ENTREGAS</v>
      </c>
      <c r="P1755">
        <v>216.24</v>
      </c>
      <c r="Q1755" t="str">
        <f>"ROSA MARIA LTDA (10170)"</f>
        <v>ROSA MARIA LTDA (10170)</v>
      </c>
      <c r="R1755" t="str">
        <f t="shared" si="887"/>
        <v>RECEITAS COM ENTREGAS (303)</v>
      </c>
      <c r="S1755">
        <v>1362</v>
      </c>
      <c r="T1755">
        <v>1064</v>
      </c>
      <c r="U1755" t="s">
        <v>19</v>
      </c>
    </row>
    <row r="1756" spans="1:21">
      <c r="A1756" t="str">
        <f t="shared" si="881"/>
        <v>09/04/2025</v>
      </c>
      <c r="B1756" t="str">
        <f>"SAÍDA"</f>
        <v>SAÍDA</v>
      </c>
      <c r="C1756" t="str">
        <f>"PIX"</f>
        <v>PIX</v>
      </c>
      <c r="D1756" t="str">
        <f>"090425"</f>
        <v>090425</v>
      </c>
      <c r="E1756" t="str">
        <f t="shared" si="883"/>
        <v>COM</v>
      </c>
      <c r="F1756" t="str">
        <f t="shared" ref="F1756:F1761" si="889">"MARCELO REZENDE ARANTES (20014)"</f>
        <v>MARCELO REZENDE ARANTES (20014)</v>
      </c>
      <c r="G1756" t="str">
        <f>"DISTRIBUICAO DE LUCROS"</f>
        <v>DISTRIBUICAO DE LUCROS</v>
      </c>
      <c r="H1756" t="str">
        <f t="shared" si="884"/>
        <v>09/04/2025</v>
      </c>
      <c r="I1756" t="str">
        <f>("09/04/2025")</f>
        <v>09/04/2025</v>
      </c>
      <c r="J1756" t="str">
        <f t="shared" si="885"/>
        <v>09/04/2025</v>
      </c>
      <c r="K1756">
        <v>2507.87</v>
      </c>
      <c r="L1756">
        <v>2507.87</v>
      </c>
      <c r="M1756">
        <v>125</v>
      </c>
      <c r="N1756" t="str">
        <f>"DISTRIBUIÇÃO DE LUCRO"</f>
        <v>DISTRIBUIÇÃO DE LUCRO</v>
      </c>
      <c r="O1756">
        <v>2507.87</v>
      </c>
      <c r="R1756" t="str">
        <f>"BANCO CORA (102)"</f>
        <v>BANCO CORA (102)</v>
      </c>
      <c r="S1756">
        <v>1424</v>
      </c>
      <c r="T1756">
        <v>1172</v>
      </c>
      <c r="U1756" t="s">
        <v>19</v>
      </c>
    </row>
    <row r="1757" spans="1:21">
      <c r="A1757" t="str">
        <f t="shared" si="881"/>
        <v>09/04/2025</v>
      </c>
      <c r="B1757" t="str">
        <f>"SAÍDA"</f>
        <v>SAÍDA</v>
      </c>
      <c r="C1757" t="str">
        <f>"PIX"</f>
        <v>PIX</v>
      </c>
      <c r="D1757" t="str">
        <f>"090425"</f>
        <v>090425</v>
      </c>
      <c r="E1757" t="str">
        <f t="shared" si="883"/>
        <v>COM</v>
      </c>
      <c r="F1757" t="str">
        <f t="shared" si="889"/>
        <v>MARCELO REZENDE ARANTES (20014)</v>
      </c>
      <c r="G1757" t="str">
        <f>"DISTRIBUICAO DE LUCROS"</f>
        <v>DISTRIBUICAO DE LUCROS</v>
      </c>
      <c r="H1757" t="str">
        <f t="shared" si="884"/>
        <v>09/04/2025</v>
      </c>
      <c r="I1757" t="str">
        <f>("09/04/2025")</f>
        <v>09/04/2025</v>
      </c>
      <c r="J1757" t="str">
        <f t="shared" si="885"/>
        <v>09/04/2025</v>
      </c>
      <c r="M1757">
        <v>125</v>
      </c>
      <c r="N1757" t="str">
        <f>"DISTRIBUIÇÃO DE LUCRO"</f>
        <v>DISTRIBUIÇÃO DE LUCRO</v>
      </c>
      <c r="P1757">
        <v>2507.87</v>
      </c>
      <c r="Q1757" t="str">
        <f>"MARCELO REZENDE ARANTES (20014)"</f>
        <v>MARCELO REZENDE ARANTES (20014)</v>
      </c>
      <c r="R1757" t="str">
        <f>"BANCO CORA (102)"</f>
        <v>BANCO CORA (102)</v>
      </c>
      <c r="S1757">
        <v>1424</v>
      </c>
      <c r="T1757">
        <v>1172</v>
      </c>
      <c r="U1757" t="s">
        <v>19</v>
      </c>
    </row>
    <row r="1758" spans="1:21">
      <c r="A1758" t="str">
        <f t="shared" si="881"/>
        <v>09/04/2025</v>
      </c>
      <c r="B1758" t="str">
        <f>"SAÍDA"</f>
        <v>SAÍDA</v>
      </c>
      <c r="C1758" t="str">
        <f>"PIX"</f>
        <v>PIX</v>
      </c>
      <c r="D1758" t="str">
        <f>"090425"</f>
        <v>090425</v>
      </c>
      <c r="E1758" t="str">
        <f t="shared" si="883"/>
        <v>COM</v>
      </c>
      <c r="F1758" t="str">
        <f t="shared" si="889"/>
        <v>MARCELO REZENDE ARANTES (20014)</v>
      </c>
      <c r="G1758" t="str">
        <f>"DISTRIBUICAO DE LUCROS"</f>
        <v>DISTRIBUICAO DE LUCROS</v>
      </c>
      <c r="H1758" t="str">
        <f t="shared" si="884"/>
        <v>09/04/2025</v>
      </c>
      <c r="I1758" t="str">
        <f>("09/04/2025")</f>
        <v>09/04/2025</v>
      </c>
      <c r="J1758" t="str">
        <f t="shared" si="885"/>
        <v>09/04/2025</v>
      </c>
      <c r="K1758">
        <v>492.13</v>
      </c>
      <c r="L1758">
        <v>492.13</v>
      </c>
      <c r="M1758">
        <v>125</v>
      </c>
      <c r="N1758" t="str">
        <f>"DISTRIBUIÇÃO DE LUCRO"</f>
        <v>DISTRIBUIÇÃO DE LUCRO</v>
      </c>
      <c r="O1758">
        <v>492.13</v>
      </c>
      <c r="R1758" t="str">
        <f>"CAIXA MOVIMENTAÇÃO OPERACIONAL (132)"</f>
        <v>CAIXA MOVIMENTAÇÃO OPERACIONAL (132)</v>
      </c>
      <c r="S1758">
        <v>1425</v>
      </c>
      <c r="T1758">
        <v>1173</v>
      </c>
      <c r="U1758" t="s">
        <v>25</v>
      </c>
    </row>
    <row r="1759" spans="1:21">
      <c r="A1759" t="str">
        <f t="shared" si="881"/>
        <v>09/04/2025</v>
      </c>
      <c r="B1759" t="str">
        <f>"SAÍDA"</f>
        <v>SAÍDA</v>
      </c>
      <c r="C1759" t="str">
        <f>"PIX"</f>
        <v>PIX</v>
      </c>
      <c r="D1759" t="str">
        <f>"090425"</f>
        <v>090425</v>
      </c>
      <c r="E1759" t="str">
        <f t="shared" si="883"/>
        <v>COM</v>
      </c>
      <c r="F1759" t="str">
        <f t="shared" si="889"/>
        <v>MARCELO REZENDE ARANTES (20014)</v>
      </c>
      <c r="G1759" t="str">
        <f>"DISTRIBUICAO DE LUCROS"</f>
        <v>DISTRIBUICAO DE LUCROS</v>
      </c>
      <c r="H1759" t="str">
        <f t="shared" si="884"/>
        <v>09/04/2025</v>
      </c>
      <c r="I1759" t="str">
        <f>("09/04/2025")</f>
        <v>09/04/2025</v>
      </c>
      <c r="J1759" t="str">
        <f t="shared" si="885"/>
        <v>09/04/2025</v>
      </c>
      <c r="M1759">
        <v>125</v>
      </c>
      <c r="N1759" t="str">
        <f>"DISTRIBUIÇÃO DE LUCRO"</f>
        <v>DISTRIBUIÇÃO DE LUCRO</v>
      </c>
      <c r="P1759">
        <v>492.13</v>
      </c>
      <c r="Q1759" t="str">
        <f>"MARCELO REZENDE ARANTES (20014)"</f>
        <v>MARCELO REZENDE ARANTES (20014)</v>
      </c>
      <c r="R1759" t="str">
        <f>"CAIXA MOVIMENTAÇÃO OPERACIONAL (132)"</f>
        <v>CAIXA MOVIMENTAÇÃO OPERACIONAL (132)</v>
      </c>
      <c r="S1759">
        <v>1425</v>
      </c>
      <c r="T1759">
        <v>1173</v>
      </c>
      <c r="U1759" t="s">
        <v>25</v>
      </c>
    </row>
    <row r="1760" spans="1:21">
      <c r="A1760" t="str">
        <f t="shared" si="881"/>
        <v>09/04/2025</v>
      </c>
      <c r="B1760" t="str">
        <f>"ENTRADA"</f>
        <v>ENTRADA</v>
      </c>
      <c r="C1760" t="str">
        <f>"DINHEIRO"</f>
        <v>DINHEIRO</v>
      </c>
      <c r="D1760" t="str">
        <f>"04042549213"</f>
        <v>04042549213</v>
      </c>
      <c r="E1760" t="str">
        <f t="shared" si="883"/>
        <v>COM</v>
      </c>
      <c r="F1760" t="str">
        <f t="shared" si="889"/>
        <v>MARCELO REZENDE ARANTES (20014)</v>
      </c>
      <c r="G1760" t="str">
        <f>"DESCONTO CONVENIO MEDICO DEPENDENTE"</f>
        <v>DESCONTO CONVENIO MEDICO DEPENDENTE</v>
      </c>
      <c r="H1760" t="str">
        <f>("02/05/2025")</f>
        <v>02/05/2025</v>
      </c>
      <c r="I1760" t="str">
        <f>("04/04/2025")</f>
        <v>04/04/2025</v>
      </c>
      <c r="J1760" t="str">
        <f t="shared" si="885"/>
        <v>09/04/2025</v>
      </c>
      <c r="K1760">
        <v>492.13</v>
      </c>
      <c r="L1760">
        <v>492.13</v>
      </c>
      <c r="M1760">
        <v>119</v>
      </c>
      <c r="N1760" t="str">
        <f>"RECEITAS COM REEMBOLSOS"</f>
        <v>RECEITAS COM REEMBOLSOS</v>
      </c>
      <c r="O1760">
        <v>492.13</v>
      </c>
      <c r="R1760" t="str">
        <f>"RECEITAS COM REEMBOLSOS (119)"</f>
        <v>RECEITAS COM REEMBOLSOS (119)</v>
      </c>
      <c r="S1760">
        <v>1426</v>
      </c>
      <c r="T1760">
        <v>1041</v>
      </c>
      <c r="U1760" t="s">
        <v>25</v>
      </c>
    </row>
    <row r="1761" spans="1:21">
      <c r="A1761" t="str">
        <f t="shared" si="881"/>
        <v>09/04/2025</v>
      </c>
      <c r="B1761" t="str">
        <f t="shared" ref="B1761:B1769" si="890">"SAÍDA"</f>
        <v>SAÍDA</v>
      </c>
      <c r="C1761" t="str">
        <f>"DINHEIRO"</f>
        <v>DINHEIRO</v>
      </c>
      <c r="D1761" t="str">
        <f>"04042549213"</f>
        <v>04042549213</v>
      </c>
      <c r="E1761" t="str">
        <f t="shared" si="883"/>
        <v>COM</v>
      </c>
      <c r="F1761" t="str">
        <f t="shared" si="889"/>
        <v>MARCELO REZENDE ARANTES (20014)</v>
      </c>
      <c r="G1761" t="str">
        <f>"DESCONTO CONVENIO MEDICO DEPENDENTE"</f>
        <v>DESCONTO CONVENIO MEDICO DEPENDENTE</v>
      </c>
      <c r="H1761" t="str">
        <f>("02/05/2025")</f>
        <v>02/05/2025</v>
      </c>
      <c r="I1761" t="str">
        <f>("04/04/2025")</f>
        <v>04/04/2025</v>
      </c>
      <c r="J1761" t="str">
        <f t="shared" si="885"/>
        <v>09/04/2025</v>
      </c>
      <c r="M1761">
        <v>119</v>
      </c>
      <c r="N1761" t="str">
        <f>"RECEITAS COM REEMBOLSOS"</f>
        <v>RECEITAS COM REEMBOLSOS</v>
      </c>
      <c r="P1761">
        <v>492.13</v>
      </c>
      <c r="Q1761" t="str">
        <f>"MARCELO REZENDE ARANTES (20014)"</f>
        <v>MARCELO REZENDE ARANTES (20014)</v>
      </c>
      <c r="R1761" t="str">
        <f>"RECEITAS COM REEMBOLSOS (119)"</f>
        <v>RECEITAS COM REEMBOLSOS (119)</v>
      </c>
      <c r="S1761">
        <v>1426</v>
      </c>
      <c r="T1761">
        <v>1041</v>
      </c>
      <c r="U1761" t="s">
        <v>25</v>
      </c>
    </row>
    <row r="1762" spans="1:21">
      <c r="A1762" t="str">
        <f t="shared" si="881"/>
        <v>09/04/2025</v>
      </c>
      <c r="B1762" t="str">
        <f t="shared" si="890"/>
        <v>SAÍDA</v>
      </c>
      <c r="C1762" t="str">
        <f>"BOLETO"</f>
        <v>BOLETO</v>
      </c>
      <c r="D1762" t="str">
        <f>"2025"</f>
        <v>2025</v>
      </c>
      <c r="E1762" t="str">
        <f t="shared" si="883"/>
        <v>COM</v>
      </c>
      <c r="F1762" t="str">
        <f>"CORA SOCIEDADE DE CREDITO, FINANCIAMENTO E INVESTIMENTO (20035)"</f>
        <v>CORA SOCIEDADE DE CREDITO, FINANCIAMENTO E INVESTIMENTO (20035)</v>
      </c>
      <c r="G1762" t="str">
        <f>"DESPESAS COM TARIFAS BANCARIAS"</f>
        <v>DESPESAS COM TARIFAS BANCARIAS</v>
      </c>
      <c r="H1762" t="str">
        <f t="shared" ref="H1762:H1783" si="891">("09/04/2025")</f>
        <v>09/04/2025</v>
      </c>
      <c r="I1762" t="str">
        <f>("01/01/2025")</f>
        <v>01/01/2025</v>
      </c>
      <c r="J1762" t="str">
        <f t="shared" si="885"/>
        <v>09/04/2025</v>
      </c>
      <c r="K1762">
        <v>44.9</v>
      </c>
      <c r="L1762">
        <v>44.9</v>
      </c>
      <c r="M1762">
        <v>401</v>
      </c>
      <c r="N1762" t="str">
        <f>"IOF/JUROS/DESP.FINANCEIRA"</f>
        <v>IOF/JUROS/DESP.FINANCEIRA</v>
      </c>
      <c r="O1762">
        <v>44.9</v>
      </c>
      <c r="R1762" t="str">
        <f t="shared" ref="R1762:R1769" si="892">"BANCO CORA (102)"</f>
        <v>BANCO CORA (102)</v>
      </c>
      <c r="S1762">
        <v>1427</v>
      </c>
      <c r="T1762">
        <v>746</v>
      </c>
      <c r="U1762" t="s">
        <v>19</v>
      </c>
    </row>
    <row r="1763" spans="1:21">
      <c r="A1763" t="str">
        <f t="shared" si="881"/>
        <v>09/04/2025</v>
      </c>
      <c r="B1763" t="str">
        <f t="shared" si="890"/>
        <v>SAÍDA</v>
      </c>
      <c r="C1763" t="str">
        <f>"BOLETO"</f>
        <v>BOLETO</v>
      </c>
      <c r="D1763" t="str">
        <f>"2025"</f>
        <v>2025</v>
      </c>
      <c r="E1763" t="str">
        <f t="shared" si="883"/>
        <v>COM</v>
      </c>
      <c r="F1763" t="str">
        <f>"CORA SOCIEDADE DE CREDITO, FINANCIAMENTO E INVESTIMENTO (20035)"</f>
        <v>CORA SOCIEDADE DE CREDITO, FINANCIAMENTO E INVESTIMENTO (20035)</v>
      </c>
      <c r="G1763" t="str">
        <f>"DESPESAS COM TARIFAS BANCARIAS"</f>
        <v>DESPESAS COM TARIFAS BANCARIAS</v>
      </c>
      <c r="H1763" t="str">
        <f t="shared" si="891"/>
        <v>09/04/2025</v>
      </c>
      <c r="I1763" t="str">
        <f>("01/01/2025")</f>
        <v>01/01/2025</v>
      </c>
      <c r="J1763" t="str">
        <f t="shared" si="885"/>
        <v>09/04/2025</v>
      </c>
      <c r="M1763">
        <v>401</v>
      </c>
      <c r="N1763" t="str">
        <f>"IOF/JUROS/DESP.FINANCEIRA"</f>
        <v>IOF/JUROS/DESP.FINANCEIRA</v>
      </c>
      <c r="P1763">
        <v>44.9</v>
      </c>
      <c r="Q1763" t="str">
        <f>"CORA SOCIEDADE DE CREDITO, FINANCIAMENTO E INVESTIMENTO (20035)"</f>
        <v>CORA SOCIEDADE DE CREDITO, FINANCIAMENTO E INVESTIMENTO (20035)</v>
      </c>
      <c r="R1763" t="str">
        <f t="shared" si="892"/>
        <v>BANCO CORA (102)</v>
      </c>
      <c r="S1763">
        <v>1427</v>
      </c>
      <c r="T1763">
        <v>746</v>
      </c>
      <c r="U1763" t="s">
        <v>19</v>
      </c>
    </row>
    <row r="1764" spans="1:21">
      <c r="A1764" t="str">
        <f t="shared" si="881"/>
        <v>09/04/2025</v>
      </c>
      <c r="B1764" t="str">
        <f t="shared" si="890"/>
        <v>SAÍDA</v>
      </c>
      <c r="C1764" t="str">
        <f>"PIX"</f>
        <v>PIX</v>
      </c>
      <c r="D1764" t="str">
        <f>"090425"</f>
        <v>090425</v>
      </c>
      <c r="E1764" t="str">
        <f t="shared" si="883"/>
        <v>COM</v>
      </c>
      <c r="F1764" t="str">
        <f>"LILIANE DE FATIMA REZENDE JUSTINO (20013)"</f>
        <v>LILIANE DE FATIMA REZENDE JUSTINO (20013)</v>
      </c>
      <c r="G1764" t="str">
        <f>"DISTRIBUICAO DE LUCROS"</f>
        <v>DISTRIBUICAO DE LUCROS</v>
      </c>
      <c r="H1764" t="str">
        <f t="shared" si="891"/>
        <v>09/04/2025</v>
      </c>
      <c r="I1764" t="str">
        <f t="shared" ref="I1764:I1769" si="893">("09/04/2025")</f>
        <v>09/04/2025</v>
      </c>
      <c r="J1764" t="str">
        <f t="shared" si="885"/>
        <v>09/04/2025</v>
      </c>
      <c r="K1764">
        <v>7000</v>
      </c>
      <c r="L1764">
        <v>7000</v>
      </c>
      <c r="M1764">
        <v>125</v>
      </c>
      <c r="N1764" t="str">
        <f>"DISTRIBUIÇÃO DE LUCRO"</f>
        <v>DISTRIBUIÇÃO DE LUCRO</v>
      </c>
      <c r="O1764">
        <v>7000</v>
      </c>
      <c r="R1764" t="str">
        <f t="shared" si="892"/>
        <v>BANCO CORA (102)</v>
      </c>
      <c r="S1764">
        <v>1428</v>
      </c>
      <c r="T1764">
        <v>1174</v>
      </c>
      <c r="U1764" t="s">
        <v>19</v>
      </c>
    </row>
    <row r="1765" spans="1:21">
      <c r="A1765" t="str">
        <f t="shared" si="881"/>
        <v>09/04/2025</v>
      </c>
      <c r="B1765" t="str">
        <f t="shared" si="890"/>
        <v>SAÍDA</v>
      </c>
      <c r="C1765" t="str">
        <f>"PIX"</f>
        <v>PIX</v>
      </c>
      <c r="D1765" t="str">
        <f>"090425"</f>
        <v>090425</v>
      </c>
      <c r="E1765" t="str">
        <f t="shared" si="883"/>
        <v>COM</v>
      </c>
      <c r="F1765" t="str">
        <f>"LILIANE DE FATIMA REZENDE JUSTINO (20013)"</f>
        <v>LILIANE DE FATIMA REZENDE JUSTINO (20013)</v>
      </c>
      <c r="G1765" t="str">
        <f>"DISTRIBUICAO DE LUCROS"</f>
        <v>DISTRIBUICAO DE LUCROS</v>
      </c>
      <c r="H1765" t="str">
        <f t="shared" si="891"/>
        <v>09/04/2025</v>
      </c>
      <c r="I1765" t="str">
        <f t="shared" si="893"/>
        <v>09/04/2025</v>
      </c>
      <c r="J1765" t="str">
        <f t="shared" si="885"/>
        <v>09/04/2025</v>
      </c>
      <c r="M1765">
        <v>125</v>
      </c>
      <c r="N1765" t="str">
        <f>"DISTRIBUIÇÃO DE LUCRO"</f>
        <v>DISTRIBUIÇÃO DE LUCRO</v>
      </c>
      <c r="P1765">
        <v>7000</v>
      </c>
      <c r="Q1765" t="str">
        <f>"LILIANE DE FATIMA REZENDE JUSTINO (20013)"</f>
        <v>LILIANE DE FATIMA REZENDE JUSTINO (20013)</v>
      </c>
      <c r="R1765" t="str">
        <f t="shared" si="892"/>
        <v>BANCO CORA (102)</v>
      </c>
      <c r="S1765">
        <v>1428</v>
      </c>
      <c r="T1765">
        <v>1174</v>
      </c>
      <c r="U1765" t="s">
        <v>19</v>
      </c>
    </row>
    <row r="1766" spans="1:21">
      <c r="A1766" t="str">
        <f t="shared" si="881"/>
        <v>09/04/2025</v>
      </c>
      <c r="B1766" t="str">
        <f t="shared" si="890"/>
        <v>SAÍDA</v>
      </c>
      <c r="C1766" t="str">
        <f>"JUROS"</f>
        <v>JUROS</v>
      </c>
      <c r="D1766" t="str">
        <f>""</f>
        <v/>
      </c>
      <c r="E1766" t="str">
        <f>"CXA"</f>
        <v>CXA</v>
      </c>
      <c r="F1766" t="str">
        <f>""</f>
        <v/>
      </c>
      <c r="G1766" t="str">
        <f>"TAXA BOLETO COMPENSADO"</f>
        <v>TAXA BOLETO COMPENSADO</v>
      </c>
      <c r="H1766" t="str">
        <f t="shared" si="891"/>
        <v>09/04/2025</v>
      </c>
      <c r="I1766" t="str">
        <f t="shared" si="893"/>
        <v>09/04/2025</v>
      </c>
      <c r="J1766" t="str">
        <f t="shared" si="885"/>
        <v>09/04/2025</v>
      </c>
      <c r="K1766">
        <v>1.7</v>
      </c>
      <c r="L1766">
        <v>1.7</v>
      </c>
      <c r="M1766">
        <v>401</v>
      </c>
      <c r="N1766" t="str">
        <f>"IOF/JUROS/DESP.FINANCEIRA"</f>
        <v>IOF/JUROS/DESP.FINANCEIRA</v>
      </c>
      <c r="O1766">
        <v>1.7</v>
      </c>
      <c r="R1766" t="str">
        <f t="shared" si="892"/>
        <v>BANCO CORA (102)</v>
      </c>
      <c r="S1766">
        <v>1439</v>
      </c>
      <c r="T1766">
        <v>0</v>
      </c>
      <c r="U1766" t="s">
        <v>20</v>
      </c>
    </row>
    <row r="1767" spans="1:21">
      <c r="A1767" t="str">
        <f t="shared" si="881"/>
        <v>09/04/2025</v>
      </c>
      <c r="B1767" t="str">
        <f t="shared" si="890"/>
        <v>SAÍDA</v>
      </c>
      <c r="C1767" t="str">
        <f>"JUROS"</f>
        <v>JUROS</v>
      </c>
      <c r="D1767" t="str">
        <f>""</f>
        <v/>
      </c>
      <c r="E1767" t="str">
        <f>"CXA"</f>
        <v>CXA</v>
      </c>
      <c r="F1767" t="str">
        <f>""</f>
        <v/>
      </c>
      <c r="G1767" t="str">
        <f>"TAXA BOLETO COMPENSADO"</f>
        <v>TAXA BOLETO COMPENSADO</v>
      </c>
      <c r="H1767" t="str">
        <f t="shared" si="891"/>
        <v>09/04/2025</v>
      </c>
      <c r="I1767" t="str">
        <f t="shared" si="893"/>
        <v>09/04/2025</v>
      </c>
      <c r="J1767" t="str">
        <f t="shared" si="885"/>
        <v>09/04/2025</v>
      </c>
      <c r="K1767">
        <v>1.7</v>
      </c>
      <c r="L1767">
        <v>1.7</v>
      </c>
      <c r="M1767">
        <v>401</v>
      </c>
      <c r="N1767" t="str">
        <f>"IOF/JUROS/DESP.FINANCEIRA"</f>
        <v>IOF/JUROS/DESP.FINANCEIRA</v>
      </c>
      <c r="O1767">
        <v>1.7</v>
      </c>
      <c r="R1767" t="str">
        <f t="shared" si="892"/>
        <v>BANCO CORA (102)</v>
      </c>
      <c r="S1767">
        <v>1440</v>
      </c>
      <c r="T1767">
        <v>0</v>
      </c>
      <c r="U1767" t="s">
        <v>20</v>
      </c>
    </row>
    <row r="1768" spans="1:21">
      <c r="A1768" t="str">
        <f t="shared" si="881"/>
        <v>09/04/2025</v>
      </c>
      <c r="B1768" t="str">
        <f t="shared" si="890"/>
        <v>SAÍDA</v>
      </c>
      <c r="C1768" t="str">
        <f>"JUROS"</f>
        <v>JUROS</v>
      </c>
      <c r="D1768" t="str">
        <f>""</f>
        <v/>
      </c>
      <c r="E1768" t="str">
        <f>"CXA"</f>
        <v>CXA</v>
      </c>
      <c r="F1768" t="str">
        <f>""</f>
        <v/>
      </c>
      <c r="G1768" t="str">
        <f>"TAXA BOLETO COMPENSADO"</f>
        <v>TAXA BOLETO COMPENSADO</v>
      </c>
      <c r="H1768" t="str">
        <f t="shared" si="891"/>
        <v>09/04/2025</v>
      </c>
      <c r="I1768" t="str">
        <f t="shared" si="893"/>
        <v>09/04/2025</v>
      </c>
      <c r="J1768" t="str">
        <f t="shared" si="885"/>
        <v>09/04/2025</v>
      </c>
      <c r="K1768">
        <v>1.7</v>
      </c>
      <c r="L1768">
        <v>1.7</v>
      </c>
      <c r="M1768">
        <v>401</v>
      </c>
      <c r="N1768" t="str">
        <f>"IOF/JUROS/DESP.FINANCEIRA"</f>
        <v>IOF/JUROS/DESP.FINANCEIRA</v>
      </c>
      <c r="O1768">
        <v>1.7</v>
      </c>
      <c r="R1768" t="str">
        <f t="shared" si="892"/>
        <v>BANCO CORA (102)</v>
      </c>
      <c r="S1768">
        <v>1441</v>
      </c>
      <c r="T1768">
        <v>0</v>
      </c>
      <c r="U1768" t="s">
        <v>20</v>
      </c>
    </row>
    <row r="1769" spans="1:21">
      <c r="A1769" t="str">
        <f t="shared" si="881"/>
        <v>09/04/2025</v>
      </c>
      <c r="B1769" t="str">
        <f t="shared" si="890"/>
        <v>SAÍDA</v>
      </c>
      <c r="C1769" t="str">
        <f>"JUROS"</f>
        <v>JUROS</v>
      </c>
      <c r="D1769" t="str">
        <f>""</f>
        <v/>
      </c>
      <c r="E1769" t="str">
        <f>"CXA"</f>
        <v>CXA</v>
      </c>
      <c r="F1769" t="str">
        <f>""</f>
        <v/>
      </c>
      <c r="G1769" t="str">
        <f>"TAXA BOLETO COMPENSADO"</f>
        <v>TAXA BOLETO COMPENSADO</v>
      </c>
      <c r="H1769" t="str">
        <f t="shared" si="891"/>
        <v>09/04/2025</v>
      </c>
      <c r="I1769" t="str">
        <f t="shared" si="893"/>
        <v>09/04/2025</v>
      </c>
      <c r="J1769" t="str">
        <f t="shared" si="885"/>
        <v>09/04/2025</v>
      </c>
      <c r="K1769">
        <v>1.7</v>
      </c>
      <c r="L1769">
        <v>1.7</v>
      </c>
      <c r="M1769">
        <v>401</v>
      </c>
      <c r="N1769" t="str">
        <f>"IOF/JUROS/DESP.FINANCEIRA"</f>
        <v>IOF/JUROS/DESP.FINANCEIRA</v>
      </c>
      <c r="O1769">
        <v>1.7</v>
      </c>
      <c r="R1769" t="str">
        <f t="shared" si="892"/>
        <v>BANCO CORA (102)</v>
      </c>
      <c r="S1769">
        <v>1442</v>
      </c>
      <c r="T1769">
        <v>0</v>
      </c>
      <c r="U1769" t="s">
        <v>20</v>
      </c>
    </row>
    <row r="1770" spans="1:21">
      <c r="A1770" t="str">
        <f t="shared" ref="A1770:A1792" si="894">("10/04/2025")</f>
        <v>10/04/2025</v>
      </c>
      <c r="B1770" t="str">
        <f>"ENTRADA"</f>
        <v>ENTRADA</v>
      </c>
      <c r="C1770" t="str">
        <f t="shared" ref="C1770:C1785" si="895">"NFSE"</f>
        <v>NFSE</v>
      </c>
      <c r="D1770" t="str">
        <f>"2855"</f>
        <v>2855</v>
      </c>
      <c r="E1770" t="str">
        <f t="shared" ref="E1770:E1785" si="896">"COM"</f>
        <v>COM</v>
      </c>
      <c r="F1770" t="str">
        <f>"DELTA LOJA 2 (10123)"</f>
        <v>DELTA LOJA 2 (10123)</v>
      </c>
      <c r="G1770" t="str">
        <f>"Serv.Prest. 31/03/2025 a 06/04/2025 - RPS: 626 - NFSe: 2855"</f>
        <v>Serv.Prest. 31/03/2025 a 06/04/2025 - RPS: 626 - NFSe: 2855</v>
      </c>
      <c r="H1770" t="str">
        <f t="shared" si="891"/>
        <v>09/04/2025</v>
      </c>
      <c r="I1770" t="str">
        <f t="shared" ref="I1770:I1785" si="897">("07/04/2025")</f>
        <v>07/04/2025</v>
      </c>
      <c r="J1770" t="str">
        <f t="shared" ref="J1770:J1792" si="898">("10/04/2025")</f>
        <v>10/04/2025</v>
      </c>
      <c r="K1770">
        <v>480.48</v>
      </c>
      <c r="L1770">
        <v>480.48</v>
      </c>
      <c r="M1770">
        <v>303</v>
      </c>
      <c r="N1770" t="str">
        <f t="shared" ref="N1770:N1785" si="899">"RECEITAS COM ENTREGAS"</f>
        <v>RECEITAS COM ENTREGAS</v>
      </c>
      <c r="O1770">
        <v>480.48</v>
      </c>
      <c r="R1770" t="str">
        <f t="shared" ref="R1770:R1785" si="900">"RECEITAS COM ENTREGAS (303)"</f>
        <v>RECEITAS COM ENTREGAS (303)</v>
      </c>
      <c r="S1770">
        <v>1335</v>
      </c>
      <c r="T1770">
        <v>1047</v>
      </c>
      <c r="U1770" t="s">
        <v>19</v>
      </c>
    </row>
    <row r="1771" spans="1:21">
      <c r="A1771" t="str">
        <f t="shared" si="894"/>
        <v>10/04/2025</v>
      </c>
      <c r="B1771" t="str">
        <f t="shared" ref="B1771:B1785" si="901">"ENTRADA"</f>
        <v>ENTRADA</v>
      </c>
      <c r="C1771" t="str">
        <f t="shared" si="895"/>
        <v>NFSE</v>
      </c>
      <c r="D1771" t="str">
        <f>"2855"</f>
        <v>2855</v>
      </c>
      <c r="E1771" t="str">
        <f t="shared" si="896"/>
        <v>COM</v>
      </c>
      <c r="F1771" t="str">
        <f>"DELTA LOJA 2 (10123)"</f>
        <v>DELTA LOJA 2 (10123)</v>
      </c>
      <c r="G1771" t="str">
        <f>"Serv.Prest. 31/03/2025 a 06/04/2025 - RPS: 626 - NFSe: 2855"</f>
        <v>Serv.Prest. 31/03/2025 a 06/04/2025 - RPS: 626 - NFSe: 2855</v>
      </c>
      <c r="H1771" t="str">
        <f t="shared" si="891"/>
        <v>09/04/2025</v>
      </c>
      <c r="I1771" t="str">
        <f t="shared" si="897"/>
        <v>07/04/2025</v>
      </c>
      <c r="J1771" t="str">
        <f t="shared" si="898"/>
        <v>10/04/2025</v>
      </c>
      <c r="M1771">
        <v>303</v>
      </c>
      <c r="N1771" t="str">
        <f t="shared" si="899"/>
        <v>RECEITAS COM ENTREGAS</v>
      </c>
      <c r="P1771">
        <v>480.48</v>
      </c>
      <c r="Q1771" t="str">
        <f>"DELTA LOJA 2 (10123)"</f>
        <v>DELTA LOJA 2 (10123)</v>
      </c>
      <c r="R1771" t="str">
        <f t="shared" si="900"/>
        <v>RECEITAS COM ENTREGAS (303)</v>
      </c>
      <c r="S1771">
        <v>1335</v>
      </c>
      <c r="T1771">
        <v>1047</v>
      </c>
      <c r="U1771" t="s">
        <v>19</v>
      </c>
    </row>
    <row r="1772" spans="1:21">
      <c r="A1772" t="str">
        <f t="shared" si="894"/>
        <v>10/04/2025</v>
      </c>
      <c r="B1772" t="str">
        <f t="shared" si="901"/>
        <v>ENTRADA</v>
      </c>
      <c r="C1772" t="str">
        <f t="shared" si="895"/>
        <v>NFSE</v>
      </c>
      <c r="D1772" t="str">
        <f>"2856"</f>
        <v>2856</v>
      </c>
      <c r="E1772" t="str">
        <f t="shared" si="896"/>
        <v>COM</v>
      </c>
      <c r="F1772" t="str">
        <f>"DROGA ELIDA (10121)"</f>
        <v>DROGA ELIDA (10121)</v>
      </c>
      <c r="G1772" t="str">
        <f>"Serv.Prest. 31/03/2025 a 06/04/2025 - RPS: 627 - NFSe: 2856"</f>
        <v>Serv.Prest. 31/03/2025 a 06/04/2025 - RPS: 627 - NFSe: 2856</v>
      </c>
      <c r="H1772" t="str">
        <f t="shared" si="891"/>
        <v>09/04/2025</v>
      </c>
      <c r="I1772" t="str">
        <f t="shared" si="897"/>
        <v>07/04/2025</v>
      </c>
      <c r="J1772" t="str">
        <f t="shared" si="898"/>
        <v>10/04/2025</v>
      </c>
      <c r="K1772">
        <v>350.4</v>
      </c>
      <c r="L1772">
        <v>350.4</v>
      </c>
      <c r="M1772">
        <v>303</v>
      </c>
      <c r="N1772" t="str">
        <f t="shared" si="899"/>
        <v>RECEITAS COM ENTREGAS</v>
      </c>
      <c r="O1772">
        <v>350.4</v>
      </c>
      <c r="R1772" t="str">
        <f t="shared" si="900"/>
        <v>RECEITAS COM ENTREGAS (303)</v>
      </c>
      <c r="S1772">
        <v>1355</v>
      </c>
      <c r="T1772">
        <v>1048</v>
      </c>
      <c r="U1772" t="s">
        <v>19</v>
      </c>
    </row>
    <row r="1773" spans="1:21">
      <c r="A1773" t="str">
        <f t="shared" si="894"/>
        <v>10/04/2025</v>
      </c>
      <c r="B1773" t="str">
        <f t="shared" si="901"/>
        <v>ENTRADA</v>
      </c>
      <c r="C1773" t="str">
        <f t="shared" si="895"/>
        <v>NFSE</v>
      </c>
      <c r="D1773" t="str">
        <f>"2856"</f>
        <v>2856</v>
      </c>
      <c r="E1773" t="str">
        <f t="shared" si="896"/>
        <v>COM</v>
      </c>
      <c r="F1773" t="str">
        <f>"DROGA ELIDA (10121)"</f>
        <v>DROGA ELIDA (10121)</v>
      </c>
      <c r="G1773" t="str">
        <f>"Serv.Prest. 31/03/2025 a 06/04/2025 - RPS: 627 - NFSe: 2856"</f>
        <v>Serv.Prest. 31/03/2025 a 06/04/2025 - RPS: 627 - NFSe: 2856</v>
      </c>
      <c r="H1773" t="str">
        <f t="shared" si="891"/>
        <v>09/04/2025</v>
      </c>
      <c r="I1773" t="str">
        <f t="shared" si="897"/>
        <v>07/04/2025</v>
      </c>
      <c r="J1773" t="str">
        <f t="shared" si="898"/>
        <v>10/04/2025</v>
      </c>
      <c r="M1773">
        <v>303</v>
      </c>
      <c r="N1773" t="str">
        <f t="shared" si="899"/>
        <v>RECEITAS COM ENTREGAS</v>
      </c>
      <c r="P1773">
        <v>350.4</v>
      </c>
      <c r="Q1773" t="str">
        <f>"DROGA ELIDA (10121)"</f>
        <v>DROGA ELIDA (10121)</v>
      </c>
      <c r="R1773" t="str">
        <f t="shared" si="900"/>
        <v>RECEITAS COM ENTREGAS (303)</v>
      </c>
      <c r="S1773">
        <v>1355</v>
      </c>
      <c r="T1773">
        <v>1048</v>
      </c>
      <c r="U1773" t="s">
        <v>19</v>
      </c>
    </row>
    <row r="1774" spans="1:21">
      <c r="A1774" t="str">
        <f t="shared" si="894"/>
        <v>10/04/2025</v>
      </c>
      <c r="B1774" t="str">
        <f t="shared" si="901"/>
        <v>ENTRADA</v>
      </c>
      <c r="C1774" t="str">
        <f t="shared" si="895"/>
        <v>NFSE</v>
      </c>
      <c r="D1774" t="str">
        <f>"2859"</f>
        <v>2859</v>
      </c>
      <c r="E1774" t="str">
        <f t="shared" si="896"/>
        <v>COM</v>
      </c>
      <c r="F1774" t="str">
        <f>"JAL FARMACIA E DROGARIA LJ 1 (10137)"</f>
        <v>JAL FARMACIA E DROGARIA LJ 1 (10137)</v>
      </c>
      <c r="G1774" t="str">
        <f>"Serv.Prest. 31/03/2025 a 06/04/2025 - RPS: 630 - NFSe: 2859"</f>
        <v>Serv.Prest. 31/03/2025 a 06/04/2025 - RPS: 630 - NFSe: 2859</v>
      </c>
      <c r="H1774" t="str">
        <f t="shared" si="891"/>
        <v>09/04/2025</v>
      </c>
      <c r="I1774" t="str">
        <f t="shared" si="897"/>
        <v>07/04/2025</v>
      </c>
      <c r="J1774" t="str">
        <f t="shared" si="898"/>
        <v>10/04/2025</v>
      </c>
      <c r="K1774">
        <v>470.4</v>
      </c>
      <c r="L1774">
        <v>470.4</v>
      </c>
      <c r="M1774">
        <v>303</v>
      </c>
      <c r="N1774" t="str">
        <f t="shared" si="899"/>
        <v>RECEITAS COM ENTREGAS</v>
      </c>
      <c r="O1774">
        <v>470.4</v>
      </c>
      <c r="R1774" t="str">
        <f t="shared" si="900"/>
        <v>RECEITAS COM ENTREGAS (303)</v>
      </c>
      <c r="S1774">
        <v>1356</v>
      </c>
      <c r="T1774">
        <v>1051</v>
      </c>
      <c r="U1774" t="s">
        <v>19</v>
      </c>
    </row>
    <row r="1775" spans="1:21">
      <c r="A1775" t="str">
        <f t="shared" si="894"/>
        <v>10/04/2025</v>
      </c>
      <c r="B1775" t="str">
        <f t="shared" si="901"/>
        <v>ENTRADA</v>
      </c>
      <c r="C1775" t="str">
        <f t="shared" si="895"/>
        <v>NFSE</v>
      </c>
      <c r="D1775" t="str">
        <f>"2859"</f>
        <v>2859</v>
      </c>
      <c r="E1775" t="str">
        <f t="shared" si="896"/>
        <v>COM</v>
      </c>
      <c r="F1775" t="str">
        <f>"JAL FARMACIA E DROGARIA LJ 1 (10137)"</f>
        <v>JAL FARMACIA E DROGARIA LJ 1 (10137)</v>
      </c>
      <c r="G1775" t="str">
        <f>"Serv.Prest. 31/03/2025 a 06/04/2025 - RPS: 630 - NFSe: 2859"</f>
        <v>Serv.Prest. 31/03/2025 a 06/04/2025 - RPS: 630 - NFSe: 2859</v>
      </c>
      <c r="H1775" t="str">
        <f t="shared" si="891"/>
        <v>09/04/2025</v>
      </c>
      <c r="I1775" t="str">
        <f t="shared" si="897"/>
        <v>07/04/2025</v>
      </c>
      <c r="J1775" t="str">
        <f t="shared" si="898"/>
        <v>10/04/2025</v>
      </c>
      <c r="M1775">
        <v>303</v>
      </c>
      <c r="N1775" t="str">
        <f t="shared" si="899"/>
        <v>RECEITAS COM ENTREGAS</v>
      </c>
      <c r="P1775">
        <v>470.4</v>
      </c>
      <c r="Q1775" t="str">
        <f>"JAL FARMACIA E DROGARIA LJ 1 (10137)"</f>
        <v>JAL FARMACIA E DROGARIA LJ 1 (10137)</v>
      </c>
      <c r="R1775" t="str">
        <f t="shared" si="900"/>
        <v>RECEITAS COM ENTREGAS (303)</v>
      </c>
      <c r="S1775">
        <v>1356</v>
      </c>
      <c r="T1775">
        <v>1051</v>
      </c>
      <c r="U1775" t="s">
        <v>19</v>
      </c>
    </row>
    <row r="1776" spans="1:21">
      <c r="A1776" t="str">
        <f t="shared" si="894"/>
        <v>10/04/2025</v>
      </c>
      <c r="B1776" t="str">
        <f t="shared" si="901"/>
        <v>ENTRADA</v>
      </c>
      <c r="C1776" t="str">
        <f t="shared" si="895"/>
        <v>NFSE</v>
      </c>
      <c r="D1776" t="str">
        <f>"2861"</f>
        <v>2861</v>
      </c>
      <c r="E1776" t="str">
        <f t="shared" si="896"/>
        <v>COM</v>
      </c>
      <c r="F1776" t="str">
        <f>"DROGA MONICA (10147)"</f>
        <v>DROGA MONICA (10147)</v>
      </c>
      <c r="G1776" t="str">
        <f>"Serv.Prest. 31/03/2025 a 06/04/2025 - RPS: 632 - NFSe: 2861"</f>
        <v>Serv.Prest. 31/03/2025 a 06/04/2025 - RPS: 632 - NFSe: 2861</v>
      </c>
      <c r="H1776" t="str">
        <f t="shared" si="891"/>
        <v>09/04/2025</v>
      </c>
      <c r="I1776" t="str">
        <f t="shared" si="897"/>
        <v>07/04/2025</v>
      </c>
      <c r="J1776" t="str">
        <f t="shared" si="898"/>
        <v>10/04/2025</v>
      </c>
      <c r="K1776">
        <v>206.4</v>
      </c>
      <c r="L1776">
        <v>206.4</v>
      </c>
      <c r="M1776">
        <v>303</v>
      </c>
      <c r="N1776" t="str">
        <f t="shared" si="899"/>
        <v>RECEITAS COM ENTREGAS</v>
      </c>
      <c r="O1776">
        <v>206.4</v>
      </c>
      <c r="R1776" t="str">
        <f t="shared" si="900"/>
        <v>RECEITAS COM ENTREGAS (303)</v>
      </c>
      <c r="S1776">
        <v>1357</v>
      </c>
      <c r="T1776">
        <v>1053</v>
      </c>
      <c r="U1776" t="s">
        <v>19</v>
      </c>
    </row>
    <row r="1777" spans="1:21">
      <c r="A1777" t="str">
        <f t="shared" si="894"/>
        <v>10/04/2025</v>
      </c>
      <c r="B1777" t="str">
        <f t="shared" si="901"/>
        <v>ENTRADA</v>
      </c>
      <c r="C1777" t="str">
        <f t="shared" si="895"/>
        <v>NFSE</v>
      </c>
      <c r="D1777" t="str">
        <f>"2861"</f>
        <v>2861</v>
      </c>
      <c r="E1777" t="str">
        <f t="shared" si="896"/>
        <v>COM</v>
      </c>
      <c r="F1777" t="str">
        <f>"DROGA MONICA (10147)"</f>
        <v>DROGA MONICA (10147)</v>
      </c>
      <c r="G1777" t="str">
        <f>"Serv.Prest. 31/03/2025 a 06/04/2025 - RPS: 632 - NFSe: 2861"</f>
        <v>Serv.Prest. 31/03/2025 a 06/04/2025 - RPS: 632 - NFSe: 2861</v>
      </c>
      <c r="H1777" t="str">
        <f t="shared" si="891"/>
        <v>09/04/2025</v>
      </c>
      <c r="I1777" t="str">
        <f t="shared" si="897"/>
        <v>07/04/2025</v>
      </c>
      <c r="J1777" t="str">
        <f t="shared" si="898"/>
        <v>10/04/2025</v>
      </c>
      <c r="M1777">
        <v>303</v>
      </c>
      <c r="N1777" t="str">
        <f t="shared" si="899"/>
        <v>RECEITAS COM ENTREGAS</v>
      </c>
      <c r="P1777">
        <v>206.4</v>
      </c>
      <c r="Q1777" t="str">
        <f>"DROGA MONICA (10147)"</f>
        <v>DROGA MONICA (10147)</v>
      </c>
      <c r="R1777" t="str">
        <f t="shared" si="900"/>
        <v>RECEITAS COM ENTREGAS (303)</v>
      </c>
      <c r="S1777">
        <v>1357</v>
      </c>
      <c r="T1777">
        <v>1053</v>
      </c>
      <c r="U1777" t="s">
        <v>19</v>
      </c>
    </row>
    <row r="1778" spans="1:21">
      <c r="A1778" t="str">
        <f t="shared" si="894"/>
        <v>10/04/2025</v>
      </c>
      <c r="B1778" t="str">
        <f t="shared" si="901"/>
        <v>ENTRADA</v>
      </c>
      <c r="C1778" t="str">
        <f t="shared" si="895"/>
        <v>NFSE</v>
      </c>
      <c r="D1778" t="str">
        <f>"2862"</f>
        <v>2862</v>
      </c>
      <c r="E1778" t="str">
        <f t="shared" si="896"/>
        <v>COM</v>
      </c>
      <c r="F1778" t="str">
        <f>"DROGA MONICA LJ 3 (10152)"</f>
        <v>DROGA MONICA LJ 3 (10152)</v>
      </c>
      <c r="G1778" t="str">
        <f>"Serv.Prest. 31/03/2025 a 06/04/2025 - RPS: 633 - NFSe: 2862"</f>
        <v>Serv.Prest. 31/03/2025 a 06/04/2025 - RPS: 633 - NFSe: 2862</v>
      </c>
      <c r="H1778" t="str">
        <f t="shared" si="891"/>
        <v>09/04/2025</v>
      </c>
      <c r="I1778" t="str">
        <f t="shared" si="897"/>
        <v>07/04/2025</v>
      </c>
      <c r="J1778" t="str">
        <f t="shared" si="898"/>
        <v>10/04/2025</v>
      </c>
      <c r="K1778">
        <v>206.4</v>
      </c>
      <c r="L1778">
        <v>206.4</v>
      </c>
      <c r="M1778">
        <v>303</v>
      </c>
      <c r="N1778" t="str">
        <f t="shared" si="899"/>
        <v>RECEITAS COM ENTREGAS</v>
      </c>
      <c r="O1778">
        <v>206.4</v>
      </c>
      <c r="R1778" t="str">
        <f t="shared" si="900"/>
        <v>RECEITAS COM ENTREGAS (303)</v>
      </c>
      <c r="S1778">
        <v>1358</v>
      </c>
      <c r="T1778">
        <v>1054</v>
      </c>
      <c r="U1778" t="s">
        <v>19</v>
      </c>
    </row>
    <row r="1779" spans="1:21">
      <c r="A1779" t="str">
        <f t="shared" si="894"/>
        <v>10/04/2025</v>
      </c>
      <c r="B1779" t="str">
        <f t="shared" si="901"/>
        <v>ENTRADA</v>
      </c>
      <c r="C1779" t="str">
        <f t="shared" si="895"/>
        <v>NFSE</v>
      </c>
      <c r="D1779" t="str">
        <f>"2862"</f>
        <v>2862</v>
      </c>
      <c r="E1779" t="str">
        <f t="shared" si="896"/>
        <v>COM</v>
      </c>
      <c r="F1779" t="str">
        <f>"DROGA MONICA LJ 3 (10152)"</f>
        <v>DROGA MONICA LJ 3 (10152)</v>
      </c>
      <c r="G1779" t="str">
        <f>"Serv.Prest. 31/03/2025 a 06/04/2025 - RPS: 633 - NFSe: 2862"</f>
        <v>Serv.Prest. 31/03/2025 a 06/04/2025 - RPS: 633 - NFSe: 2862</v>
      </c>
      <c r="H1779" t="str">
        <f t="shared" si="891"/>
        <v>09/04/2025</v>
      </c>
      <c r="I1779" t="str">
        <f t="shared" si="897"/>
        <v>07/04/2025</v>
      </c>
      <c r="J1779" t="str">
        <f t="shared" si="898"/>
        <v>10/04/2025</v>
      </c>
      <c r="M1779">
        <v>303</v>
      </c>
      <c r="N1779" t="str">
        <f t="shared" si="899"/>
        <v>RECEITAS COM ENTREGAS</v>
      </c>
      <c r="P1779">
        <v>206.4</v>
      </c>
      <c r="Q1779" t="str">
        <f>"DROGA MONICA LJ 3 (10152)"</f>
        <v>DROGA MONICA LJ 3 (10152)</v>
      </c>
      <c r="R1779" t="str">
        <f t="shared" si="900"/>
        <v>RECEITAS COM ENTREGAS (303)</v>
      </c>
      <c r="S1779">
        <v>1358</v>
      </c>
      <c r="T1779">
        <v>1054</v>
      </c>
      <c r="U1779" t="s">
        <v>19</v>
      </c>
    </row>
    <row r="1780" spans="1:21">
      <c r="A1780" t="str">
        <f t="shared" si="894"/>
        <v>10/04/2025</v>
      </c>
      <c r="B1780" t="str">
        <f t="shared" si="901"/>
        <v>ENTRADA</v>
      </c>
      <c r="C1780" t="str">
        <f t="shared" si="895"/>
        <v>NFSE</v>
      </c>
      <c r="D1780" t="str">
        <f>"2858"</f>
        <v>2858</v>
      </c>
      <c r="E1780" t="str">
        <f t="shared" si="896"/>
        <v>COM</v>
      </c>
      <c r="F1780" t="str">
        <f>"FRAN FARMA (10124)"</f>
        <v>FRAN FARMA (10124)</v>
      </c>
      <c r="G1780" t="str">
        <f>"Serv.Prest. 31/03/2025 a 06/04/2025 - RPS: 629 - NFSe: 2858"</f>
        <v>Serv.Prest. 31/03/2025 a 06/04/2025 - RPS: 629 - NFSe: 2858</v>
      </c>
      <c r="H1780" t="str">
        <f t="shared" si="891"/>
        <v>09/04/2025</v>
      </c>
      <c r="I1780" t="str">
        <f t="shared" si="897"/>
        <v>07/04/2025</v>
      </c>
      <c r="J1780" t="str">
        <f t="shared" si="898"/>
        <v>10/04/2025</v>
      </c>
      <c r="K1780">
        <v>320</v>
      </c>
      <c r="L1780">
        <v>320</v>
      </c>
      <c r="M1780">
        <v>303</v>
      </c>
      <c r="N1780" t="str">
        <f t="shared" si="899"/>
        <v>RECEITAS COM ENTREGAS</v>
      </c>
      <c r="O1780">
        <v>320</v>
      </c>
      <c r="R1780" t="str">
        <f t="shared" si="900"/>
        <v>RECEITAS COM ENTREGAS (303)</v>
      </c>
      <c r="S1780">
        <v>1359</v>
      </c>
      <c r="T1780">
        <v>1050</v>
      </c>
      <c r="U1780" t="s">
        <v>19</v>
      </c>
    </row>
    <row r="1781" spans="1:21">
      <c r="A1781" t="str">
        <f t="shared" si="894"/>
        <v>10/04/2025</v>
      </c>
      <c r="B1781" t="str">
        <f t="shared" si="901"/>
        <v>ENTRADA</v>
      </c>
      <c r="C1781" t="str">
        <f t="shared" si="895"/>
        <v>NFSE</v>
      </c>
      <c r="D1781" t="str">
        <f>"2858"</f>
        <v>2858</v>
      </c>
      <c r="E1781" t="str">
        <f t="shared" si="896"/>
        <v>COM</v>
      </c>
      <c r="F1781" t="str">
        <f>"FRAN FARMA (10124)"</f>
        <v>FRAN FARMA (10124)</v>
      </c>
      <c r="G1781" t="str">
        <f>"Serv.Prest. 31/03/2025 a 06/04/2025 - RPS: 629 - NFSe: 2858"</f>
        <v>Serv.Prest. 31/03/2025 a 06/04/2025 - RPS: 629 - NFSe: 2858</v>
      </c>
      <c r="H1781" t="str">
        <f t="shared" si="891"/>
        <v>09/04/2025</v>
      </c>
      <c r="I1781" t="str">
        <f t="shared" si="897"/>
        <v>07/04/2025</v>
      </c>
      <c r="J1781" t="str">
        <f t="shared" si="898"/>
        <v>10/04/2025</v>
      </c>
      <c r="M1781">
        <v>303</v>
      </c>
      <c r="N1781" t="str">
        <f t="shared" si="899"/>
        <v>RECEITAS COM ENTREGAS</v>
      </c>
      <c r="P1781">
        <v>64</v>
      </c>
      <c r="Q1781" t="str">
        <f>"FRAN FARMA (10124)"</f>
        <v>FRAN FARMA (10124)</v>
      </c>
      <c r="R1781" t="str">
        <f t="shared" si="900"/>
        <v>RECEITAS COM ENTREGAS (303)</v>
      </c>
      <c r="S1781">
        <v>1359</v>
      </c>
      <c r="T1781">
        <v>1050</v>
      </c>
      <c r="U1781" t="s">
        <v>19</v>
      </c>
    </row>
    <row r="1782" spans="1:21">
      <c r="A1782" t="str">
        <f t="shared" si="894"/>
        <v>10/04/2025</v>
      </c>
      <c r="B1782" t="str">
        <f t="shared" si="901"/>
        <v>ENTRADA</v>
      </c>
      <c r="C1782" t="str">
        <f t="shared" si="895"/>
        <v>NFSE</v>
      </c>
      <c r="D1782" t="str">
        <f>"2858"</f>
        <v>2858</v>
      </c>
      <c r="E1782" t="str">
        <f t="shared" si="896"/>
        <v>COM</v>
      </c>
      <c r="F1782" t="str">
        <f>"FRAN FARMA (10124)"</f>
        <v>FRAN FARMA (10124)</v>
      </c>
      <c r="G1782" t="str">
        <f>"Serv.Prest. 31/03/2025 a 06/04/2025 - RPS: 629 - NFSe: 2858"</f>
        <v>Serv.Prest. 31/03/2025 a 06/04/2025 - RPS: 629 - NFSe: 2858</v>
      </c>
      <c r="H1782" t="str">
        <f t="shared" si="891"/>
        <v>09/04/2025</v>
      </c>
      <c r="I1782" t="str">
        <f t="shared" si="897"/>
        <v>07/04/2025</v>
      </c>
      <c r="J1782" t="str">
        <f t="shared" si="898"/>
        <v>10/04/2025</v>
      </c>
      <c r="M1782">
        <v>303</v>
      </c>
      <c r="N1782" t="str">
        <f t="shared" si="899"/>
        <v>RECEITAS COM ENTREGAS</v>
      </c>
      <c r="P1782">
        <v>192</v>
      </c>
      <c r="Q1782" t="str">
        <f>"FRAN FARMA LJ 2 (10131)"</f>
        <v>FRAN FARMA LJ 2 (10131)</v>
      </c>
      <c r="R1782" t="str">
        <f t="shared" si="900"/>
        <v>RECEITAS COM ENTREGAS (303)</v>
      </c>
      <c r="S1782">
        <v>1359</v>
      </c>
      <c r="T1782">
        <v>1050</v>
      </c>
      <c r="U1782" t="s">
        <v>19</v>
      </c>
    </row>
    <row r="1783" spans="1:21">
      <c r="A1783" t="str">
        <f t="shared" si="894"/>
        <v>10/04/2025</v>
      </c>
      <c r="B1783" t="str">
        <f t="shared" si="901"/>
        <v>ENTRADA</v>
      </c>
      <c r="C1783" t="str">
        <f t="shared" si="895"/>
        <v>NFSE</v>
      </c>
      <c r="D1783" t="str">
        <f>"2858"</f>
        <v>2858</v>
      </c>
      <c r="E1783" t="str">
        <f t="shared" si="896"/>
        <v>COM</v>
      </c>
      <c r="F1783" t="str">
        <f>"FRAN FARMA (10124)"</f>
        <v>FRAN FARMA (10124)</v>
      </c>
      <c r="G1783" t="str">
        <f>"Serv.Prest. 31/03/2025 a 06/04/2025 - RPS: 629 - NFSe: 2858"</f>
        <v>Serv.Prest. 31/03/2025 a 06/04/2025 - RPS: 629 - NFSe: 2858</v>
      </c>
      <c r="H1783" t="str">
        <f t="shared" si="891"/>
        <v>09/04/2025</v>
      </c>
      <c r="I1783" t="str">
        <f t="shared" si="897"/>
        <v>07/04/2025</v>
      </c>
      <c r="J1783" t="str">
        <f t="shared" si="898"/>
        <v>10/04/2025</v>
      </c>
      <c r="M1783">
        <v>303</v>
      </c>
      <c r="N1783" t="str">
        <f t="shared" si="899"/>
        <v>RECEITAS COM ENTREGAS</v>
      </c>
      <c r="P1783">
        <v>64</v>
      </c>
      <c r="Q1783" t="str">
        <f>"FRAN FARMA LJ 3 (10132)"</f>
        <v>FRAN FARMA LJ 3 (10132)</v>
      </c>
      <c r="R1783" t="str">
        <f t="shared" si="900"/>
        <v>RECEITAS COM ENTREGAS (303)</v>
      </c>
      <c r="S1783">
        <v>1359</v>
      </c>
      <c r="T1783">
        <v>1050</v>
      </c>
      <c r="U1783" t="s">
        <v>19</v>
      </c>
    </row>
    <row r="1784" spans="1:21">
      <c r="A1784" t="str">
        <f t="shared" si="894"/>
        <v>10/04/2025</v>
      </c>
      <c r="B1784" t="str">
        <f t="shared" si="901"/>
        <v>ENTRADA</v>
      </c>
      <c r="C1784" t="str">
        <f t="shared" si="895"/>
        <v>NFSE</v>
      </c>
      <c r="D1784" t="str">
        <f>"2863"</f>
        <v>2863</v>
      </c>
      <c r="E1784" t="str">
        <f t="shared" si="896"/>
        <v>COM</v>
      </c>
      <c r="F1784" t="str">
        <f>"DROGARIA POUPA MINAS (ULTRAMINAS) 3 (10129)"</f>
        <v>DROGARIA POUPA MINAS (ULTRAMINAS) 3 (10129)</v>
      </c>
      <c r="G1784" t="str">
        <f>"Serv.Prest. 31/03/2025 a 06/04/2025 - RPS: 634 - NFSe: 2863"</f>
        <v>Serv.Prest. 31/03/2025 a 06/04/2025 - RPS: 634 - NFSe: 2863</v>
      </c>
      <c r="H1784" t="str">
        <f t="shared" ref="H1784:H1798" si="902">("10/04/2025")</f>
        <v>10/04/2025</v>
      </c>
      <c r="I1784" t="str">
        <f t="shared" si="897"/>
        <v>07/04/2025</v>
      </c>
      <c r="J1784" t="str">
        <f t="shared" si="898"/>
        <v>10/04/2025</v>
      </c>
      <c r="K1784">
        <v>274.56</v>
      </c>
      <c r="L1784">
        <v>274.56</v>
      </c>
      <c r="M1784">
        <v>303</v>
      </c>
      <c r="N1784" t="str">
        <f t="shared" si="899"/>
        <v>RECEITAS COM ENTREGAS</v>
      </c>
      <c r="O1784">
        <v>274.56</v>
      </c>
      <c r="R1784" t="str">
        <f t="shared" si="900"/>
        <v>RECEITAS COM ENTREGAS (303)</v>
      </c>
      <c r="S1784">
        <v>1366</v>
      </c>
      <c r="T1784">
        <v>1055</v>
      </c>
      <c r="U1784" t="s">
        <v>19</v>
      </c>
    </row>
    <row r="1785" spans="1:21">
      <c r="A1785" t="str">
        <f t="shared" si="894"/>
        <v>10/04/2025</v>
      </c>
      <c r="B1785" t="str">
        <f t="shared" si="901"/>
        <v>ENTRADA</v>
      </c>
      <c r="C1785" t="str">
        <f t="shared" si="895"/>
        <v>NFSE</v>
      </c>
      <c r="D1785" t="str">
        <f>"2863"</f>
        <v>2863</v>
      </c>
      <c r="E1785" t="str">
        <f t="shared" si="896"/>
        <v>COM</v>
      </c>
      <c r="F1785" t="str">
        <f>"DROGARIA POUPA MINAS (ULTRAMINAS) 3 (10129)"</f>
        <v>DROGARIA POUPA MINAS (ULTRAMINAS) 3 (10129)</v>
      </c>
      <c r="G1785" t="str">
        <f>"Serv.Prest. 31/03/2025 a 06/04/2025 - RPS: 634 - NFSe: 2863"</f>
        <v>Serv.Prest. 31/03/2025 a 06/04/2025 - RPS: 634 - NFSe: 2863</v>
      </c>
      <c r="H1785" t="str">
        <f t="shared" si="902"/>
        <v>10/04/2025</v>
      </c>
      <c r="I1785" t="str">
        <f t="shared" si="897"/>
        <v>07/04/2025</v>
      </c>
      <c r="J1785" t="str">
        <f t="shared" si="898"/>
        <v>10/04/2025</v>
      </c>
      <c r="M1785">
        <v>303</v>
      </c>
      <c r="N1785" t="str">
        <f t="shared" si="899"/>
        <v>RECEITAS COM ENTREGAS</v>
      </c>
      <c r="P1785">
        <v>274.56</v>
      </c>
      <c r="Q1785" t="str">
        <f>"DROGARIA POUPA MINAS (ULTRAMINAS) 3 (10129)"</f>
        <v>DROGARIA POUPA MINAS (ULTRAMINAS) 3 (10129)</v>
      </c>
      <c r="R1785" t="str">
        <f t="shared" si="900"/>
        <v>RECEITAS COM ENTREGAS (303)</v>
      </c>
      <c r="S1785">
        <v>1366</v>
      </c>
      <c r="T1785">
        <v>1055</v>
      </c>
      <c r="U1785" t="s">
        <v>19</v>
      </c>
    </row>
    <row r="1786" spans="1:21">
      <c r="A1786" t="str">
        <f t="shared" si="894"/>
        <v>10/04/2025</v>
      </c>
      <c r="B1786" t="str">
        <f t="shared" ref="B1786:B1792" si="903">"SAÍDA"</f>
        <v>SAÍDA</v>
      </c>
      <c r="C1786" t="str">
        <f t="shared" ref="C1786:C1792" si="904">"JUROS"</f>
        <v>JUROS</v>
      </c>
      <c r="D1786" t="str">
        <f>""</f>
        <v/>
      </c>
      <c r="E1786" t="str">
        <f t="shared" ref="E1786:E1792" si="905">"CXA"</f>
        <v>CXA</v>
      </c>
      <c r="F1786" t="str">
        <f>""</f>
        <v/>
      </c>
      <c r="G1786" t="str">
        <f t="shared" ref="G1786:G1792" si="906">"TAXA BOLETO COMPENSADO"</f>
        <v>TAXA BOLETO COMPENSADO</v>
      </c>
      <c r="H1786" t="str">
        <f t="shared" si="902"/>
        <v>10/04/2025</v>
      </c>
      <c r="I1786" t="str">
        <f t="shared" ref="I1786:I1792" si="907">("10/04/2025")</f>
        <v>10/04/2025</v>
      </c>
      <c r="J1786" t="str">
        <f t="shared" si="898"/>
        <v>10/04/2025</v>
      </c>
      <c r="K1786">
        <v>1.7</v>
      </c>
      <c r="L1786">
        <v>1.7</v>
      </c>
      <c r="M1786">
        <v>401</v>
      </c>
      <c r="N1786" t="str">
        <f t="shared" ref="N1786:N1792" si="908">"IOF/JUROS/DESP.FINANCEIRA"</f>
        <v>IOF/JUROS/DESP.FINANCEIRA</v>
      </c>
      <c r="O1786">
        <v>1.7</v>
      </c>
      <c r="R1786" t="str">
        <f t="shared" ref="R1786:R1792" si="909">"BANCO CORA (102)"</f>
        <v>BANCO CORA (102)</v>
      </c>
      <c r="S1786">
        <v>1443</v>
      </c>
      <c r="T1786">
        <v>0</v>
      </c>
      <c r="U1786" t="s">
        <v>20</v>
      </c>
    </row>
    <row r="1787" spans="1:21">
      <c r="A1787" t="str">
        <f t="shared" si="894"/>
        <v>10/04/2025</v>
      </c>
      <c r="B1787" t="str">
        <f t="shared" si="903"/>
        <v>SAÍDA</v>
      </c>
      <c r="C1787" t="str">
        <f t="shared" si="904"/>
        <v>JUROS</v>
      </c>
      <c r="D1787" t="str">
        <f>""</f>
        <v/>
      </c>
      <c r="E1787" t="str">
        <f t="shared" si="905"/>
        <v>CXA</v>
      </c>
      <c r="F1787" t="str">
        <f>""</f>
        <v/>
      </c>
      <c r="G1787" t="str">
        <f t="shared" si="906"/>
        <v>TAXA BOLETO COMPENSADO</v>
      </c>
      <c r="H1787" t="str">
        <f t="shared" si="902"/>
        <v>10/04/2025</v>
      </c>
      <c r="I1787" t="str">
        <f t="shared" si="907"/>
        <v>10/04/2025</v>
      </c>
      <c r="J1787" t="str">
        <f t="shared" si="898"/>
        <v>10/04/2025</v>
      </c>
      <c r="K1787">
        <v>1.7</v>
      </c>
      <c r="L1787">
        <v>1.7</v>
      </c>
      <c r="M1787">
        <v>401</v>
      </c>
      <c r="N1787" t="str">
        <f t="shared" si="908"/>
        <v>IOF/JUROS/DESP.FINANCEIRA</v>
      </c>
      <c r="O1787">
        <v>1.7</v>
      </c>
      <c r="R1787" t="str">
        <f t="shared" si="909"/>
        <v>BANCO CORA (102)</v>
      </c>
      <c r="S1787">
        <v>1444</v>
      </c>
      <c r="T1787">
        <v>0</v>
      </c>
      <c r="U1787" t="s">
        <v>20</v>
      </c>
    </row>
    <row r="1788" spans="1:21">
      <c r="A1788" t="str">
        <f t="shared" si="894"/>
        <v>10/04/2025</v>
      </c>
      <c r="B1788" t="str">
        <f t="shared" si="903"/>
        <v>SAÍDA</v>
      </c>
      <c r="C1788" t="str">
        <f t="shared" si="904"/>
        <v>JUROS</v>
      </c>
      <c r="D1788" t="str">
        <f>""</f>
        <v/>
      </c>
      <c r="E1788" t="str">
        <f t="shared" si="905"/>
        <v>CXA</v>
      </c>
      <c r="F1788" t="str">
        <f>""</f>
        <v/>
      </c>
      <c r="G1788" t="str">
        <f t="shared" si="906"/>
        <v>TAXA BOLETO COMPENSADO</v>
      </c>
      <c r="H1788" t="str">
        <f t="shared" si="902"/>
        <v>10/04/2025</v>
      </c>
      <c r="I1788" t="str">
        <f t="shared" si="907"/>
        <v>10/04/2025</v>
      </c>
      <c r="J1788" t="str">
        <f t="shared" si="898"/>
        <v>10/04/2025</v>
      </c>
      <c r="K1788">
        <v>1.7</v>
      </c>
      <c r="L1788">
        <v>1.7</v>
      </c>
      <c r="M1788">
        <v>401</v>
      </c>
      <c r="N1788" t="str">
        <f t="shared" si="908"/>
        <v>IOF/JUROS/DESP.FINANCEIRA</v>
      </c>
      <c r="O1788">
        <v>1.7</v>
      </c>
      <c r="R1788" t="str">
        <f t="shared" si="909"/>
        <v>BANCO CORA (102)</v>
      </c>
      <c r="S1788">
        <v>1445</v>
      </c>
      <c r="T1788">
        <v>0</v>
      </c>
      <c r="U1788" t="s">
        <v>20</v>
      </c>
    </row>
    <row r="1789" spans="1:21">
      <c r="A1789" t="str">
        <f t="shared" si="894"/>
        <v>10/04/2025</v>
      </c>
      <c r="B1789" t="str">
        <f t="shared" si="903"/>
        <v>SAÍDA</v>
      </c>
      <c r="C1789" t="str">
        <f t="shared" si="904"/>
        <v>JUROS</v>
      </c>
      <c r="D1789" t="str">
        <f>""</f>
        <v/>
      </c>
      <c r="E1789" t="str">
        <f t="shared" si="905"/>
        <v>CXA</v>
      </c>
      <c r="F1789" t="str">
        <f>""</f>
        <v/>
      </c>
      <c r="G1789" t="str">
        <f t="shared" si="906"/>
        <v>TAXA BOLETO COMPENSADO</v>
      </c>
      <c r="H1789" t="str">
        <f t="shared" si="902"/>
        <v>10/04/2025</v>
      </c>
      <c r="I1789" t="str">
        <f t="shared" si="907"/>
        <v>10/04/2025</v>
      </c>
      <c r="J1789" t="str">
        <f t="shared" si="898"/>
        <v>10/04/2025</v>
      </c>
      <c r="K1789">
        <v>1.7</v>
      </c>
      <c r="L1789">
        <v>1.7</v>
      </c>
      <c r="M1789">
        <v>401</v>
      </c>
      <c r="N1789" t="str">
        <f t="shared" si="908"/>
        <v>IOF/JUROS/DESP.FINANCEIRA</v>
      </c>
      <c r="O1789">
        <v>1.7</v>
      </c>
      <c r="R1789" t="str">
        <f t="shared" si="909"/>
        <v>BANCO CORA (102)</v>
      </c>
      <c r="S1789">
        <v>1446</v>
      </c>
      <c r="T1789">
        <v>0</v>
      </c>
      <c r="U1789" t="s">
        <v>20</v>
      </c>
    </row>
    <row r="1790" spans="1:21">
      <c r="A1790" t="str">
        <f t="shared" si="894"/>
        <v>10/04/2025</v>
      </c>
      <c r="B1790" t="str">
        <f t="shared" si="903"/>
        <v>SAÍDA</v>
      </c>
      <c r="C1790" t="str">
        <f t="shared" si="904"/>
        <v>JUROS</v>
      </c>
      <c r="D1790" t="str">
        <f>""</f>
        <v/>
      </c>
      <c r="E1790" t="str">
        <f t="shared" si="905"/>
        <v>CXA</v>
      </c>
      <c r="F1790" t="str">
        <f>""</f>
        <v/>
      </c>
      <c r="G1790" t="str">
        <f t="shared" si="906"/>
        <v>TAXA BOLETO COMPENSADO</v>
      </c>
      <c r="H1790" t="str">
        <f t="shared" si="902"/>
        <v>10/04/2025</v>
      </c>
      <c r="I1790" t="str">
        <f t="shared" si="907"/>
        <v>10/04/2025</v>
      </c>
      <c r="J1790" t="str">
        <f t="shared" si="898"/>
        <v>10/04/2025</v>
      </c>
      <c r="K1790">
        <v>1.7</v>
      </c>
      <c r="L1790">
        <v>1.7</v>
      </c>
      <c r="M1790">
        <v>401</v>
      </c>
      <c r="N1790" t="str">
        <f t="shared" si="908"/>
        <v>IOF/JUROS/DESP.FINANCEIRA</v>
      </c>
      <c r="O1790">
        <v>1.7</v>
      </c>
      <c r="R1790" t="str">
        <f t="shared" si="909"/>
        <v>BANCO CORA (102)</v>
      </c>
      <c r="S1790">
        <v>1447</v>
      </c>
      <c r="T1790">
        <v>0</v>
      </c>
      <c r="U1790" t="s">
        <v>20</v>
      </c>
    </row>
    <row r="1791" spans="1:21">
      <c r="A1791" t="str">
        <f t="shared" si="894"/>
        <v>10/04/2025</v>
      </c>
      <c r="B1791" t="str">
        <f t="shared" si="903"/>
        <v>SAÍDA</v>
      </c>
      <c r="C1791" t="str">
        <f t="shared" si="904"/>
        <v>JUROS</v>
      </c>
      <c r="D1791" t="str">
        <f>""</f>
        <v/>
      </c>
      <c r="E1791" t="str">
        <f t="shared" si="905"/>
        <v>CXA</v>
      </c>
      <c r="F1791" t="str">
        <f>""</f>
        <v/>
      </c>
      <c r="G1791" t="str">
        <f t="shared" si="906"/>
        <v>TAXA BOLETO COMPENSADO</v>
      </c>
      <c r="H1791" t="str">
        <f t="shared" si="902"/>
        <v>10/04/2025</v>
      </c>
      <c r="I1791" t="str">
        <f t="shared" si="907"/>
        <v>10/04/2025</v>
      </c>
      <c r="J1791" t="str">
        <f t="shared" si="898"/>
        <v>10/04/2025</v>
      </c>
      <c r="K1791">
        <v>1.7</v>
      </c>
      <c r="L1791">
        <v>1.7</v>
      </c>
      <c r="M1791">
        <v>401</v>
      </c>
      <c r="N1791" t="str">
        <f t="shared" si="908"/>
        <v>IOF/JUROS/DESP.FINANCEIRA</v>
      </c>
      <c r="O1791">
        <v>1.7</v>
      </c>
      <c r="R1791" t="str">
        <f t="shared" si="909"/>
        <v>BANCO CORA (102)</v>
      </c>
      <c r="S1791">
        <v>1448</v>
      </c>
      <c r="T1791">
        <v>0</v>
      </c>
      <c r="U1791" t="s">
        <v>20</v>
      </c>
    </row>
    <row r="1792" spans="1:21">
      <c r="A1792" t="str">
        <f t="shared" si="894"/>
        <v>10/04/2025</v>
      </c>
      <c r="B1792" t="str">
        <f t="shared" si="903"/>
        <v>SAÍDA</v>
      </c>
      <c r="C1792" t="str">
        <f t="shared" si="904"/>
        <v>JUROS</v>
      </c>
      <c r="D1792" t="str">
        <f>""</f>
        <v/>
      </c>
      <c r="E1792" t="str">
        <f t="shared" si="905"/>
        <v>CXA</v>
      </c>
      <c r="F1792" t="str">
        <f>""</f>
        <v/>
      </c>
      <c r="G1792" t="str">
        <f t="shared" si="906"/>
        <v>TAXA BOLETO COMPENSADO</v>
      </c>
      <c r="H1792" t="str">
        <f t="shared" si="902"/>
        <v>10/04/2025</v>
      </c>
      <c r="I1792" t="str">
        <f t="shared" si="907"/>
        <v>10/04/2025</v>
      </c>
      <c r="J1792" t="str">
        <f t="shared" si="898"/>
        <v>10/04/2025</v>
      </c>
      <c r="K1792">
        <v>1.7</v>
      </c>
      <c r="L1792">
        <v>1.7</v>
      </c>
      <c r="M1792">
        <v>401</v>
      </c>
      <c r="N1792" t="str">
        <f t="shared" si="908"/>
        <v>IOF/JUROS/DESP.FINANCEIRA</v>
      </c>
      <c r="O1792">
        <v>1.7</v>
      </c>
      <c r="R1792" t="str">
        <f t="shared" si="909"/>
        <v>BANCO CORA (102)</v>
      </c>
      <c r="S1792">
        <v>1449</v>
      </c>
      <c r="T1792">
        <v>0</v>
      </c>
      <c r="U1792" t="s">
        <v>20</v>
      </c>
    </row>
    <row r="1793" spans="1:21">
      <c r="A1793" t="str">
        <f t="shared" ref="A1793:A1804" si="910">("11/04/2025")</f>
        <v>11/04/2025</v>
      </c>
      <c r="B1793" t="str">
        <f>"ENTRADA"</f>
        <v>ENTRADA</v>
      </c>
      <c r="C1793" t="str">
        <f t="shared" ref="C1793:C1800" si="911">"NFSE"</f>
        <v>NFSE</v>
      </c>
      <c r="D1793" t="str">
        <f>"2848"</f>
        <v>2848</v>
      </c>
      <c r="E1793" t="str">
        <f t="shared" ref="E1793:E1800" si="912">"COM"</f>
        <v>COM</v>
      </c>
      <c r="F1793" t="str">
        <f>"PAGMENOS - LJ 608 (10135)"</f>
        <v>PAGMENOS - LJ 608 (10135)</v>
      </c>
      <c r="G1793" t="str">
        <f>"Serv.Prest. 24/03/2025 a 30/03/2025 - RPS: 620 - NFSe: 2848"</f>
        <v>Serv.Prest. 24/03/2025 a 30/03/2025 - RPS: 620 - NFSe: 2848</v>
      </c>
      <c r="H1793" t="str">
        <f t="shared" si="902"/>
        <v>10/04/2025</v>
      </c>
      <c r="I1793" t="str">
        <f>("31/03/2025")</f>
        <v>31/03/2025</v>
      </c>
      <c r="J1793" t="str">
        <f t="shared" ref="J1793:J1804" si="913">("11/04/2025")</f>
        <v>11/04/2025</v>
      </c>
      <c r="K1793">
        <v>280.20999999999998</v>
      </c>
      <c r="L1793">
        <v>280.20999999999998</v>
      </c>
      <c r="M1793">
        <v>303</v>
      </c>
      <c r="N1793" t="str">
        <f t="shared" ref="N1793:N1800" si="914">"RECEITAS COM ENTREGAS"</f>
        <v>RECEITAS COM ENTREGAS</v>
      </c>
      <c r="O1793">
        <v>280.20999999999998</v>
      </c>
      <c r="R1793" t="str">
        <f t="shared" ref="R1793:R1800" si="915">"RECEITAS COM ENTREGAS (303)"</f>
        <v>RECEITAS COM ENTREGAS (303)</v>
      </c>
      <c r="S1793">
        <v>1363</v>
      </c>
      <c r="T1793">
        <v>1030</v>
      </c>
      <c r="U1793" t="s">
        <v>19</v>
      </c>
    </row>
    <row r="1794" spans="1:21">
      <c r="A1794" t="str">
        <f t="shared" si="910"/>
        <v>11/04/2025</v>
      </c>
      <c r="B1794" t="str">
        <f t="shared" ref="B1794:B1800" si="916">"ENTRADA"</f>
        <v>ENTRADA</v>
      </c>
      <c r="C1794" t="str">
        <f t="shared" si="911"/>
        <v>NFSE</v>
      </c>
      <c r="D1794" t="str">
        <f>"2848"</f>
        <v>2848</v>
      </c>
      <c r="E1794" t="str">
        <f t="shared" si="912"/>
        <v>COM</v>
      </c>
      <c r="F1794" t="str">
        <f>"PAGMENOS - LJ 608 (10135)"</f>
        <v>PAGMENOS - LJ 608 (10135)</v>
      </c>
      <c r="G1794" t="str">
        <f>"Serv.Prest. 24/03/2025 a 30/03/2025 - RPS: 620 - NFSe: 2848"</f>
        <v>Serv.Prest. 24/03/2025 a 30/03/2025 - RPS: 620 - NFSe: 2848</v>
      </c>
      <c r="H1794" t="str">
        <f t="shared" si="902"/>
        <v>10/04/2025</v>
      </c>
      <c r="I1794" t="str">
        <f>("31/03/2025")</f>
        <v>31/03/2025</v>
      </c>
      <c r="J1794" t="str">
        <f t="shared" si="913"/>
        <v>11/04/2025</v>
      </c>
      <c r="M1794">
        <v>303</v>
      </c>
      <c r="N1794" t="str">
        <f t="shared" si="914"/>
        <v>RECEITAS COM ENTREGAS</v>
      </c>
      <c r="P1794">
        <v>280.20999999999998</v>
      </c>
      <c r="Q1794" t="str">
        <f>"PAGMENOS - LJ 608 (10135)"</f>
        <v>PAGMENOS - LJ 608 (10135)</v>
      </c>
      <c r="R1794" t="str">
        <f t="shared" si="915"/>
        <v>RECEITAS COM ENTREGAS (303)</v>
      </c>
      <c r="S1794">
        <v>1363</v>
      </c>
      <c r="T1794">
        <v>1030</v>
      </c>
      <c r="U1794" t="s">
        <v>19</v>
      </c>
    </row>
    <row r="1795" spans="1:21">
      <c r="A1795" t="str">
        <f t="shared" si="910"/>
        <v>11/04/2025</v>
      </c>
      <c r="B1795" t="str">
        <f t="shared" si="916"/>
        <v>ENTRADA</v>
      </c>
      <c r="C1795" t="str">
        <f t="shared" si="911"/>
        <v>NFSE</v>
      </c>
      <c r="D1795" t="str">
        <f>"2849"</f>
        <v>2849</v>
      </c>
      <c r="E1795" t="str">
        <f t="shared" si="912"/>
        <v>COM</v>
      </c>
      <c r="F1795" t="str">
        <f>"PAGMENOS - LJ 657 (10136)"</f>
        <v>PAGMENOS - LJ 657 (10136)</v>
      </c>
      <c r="G1795" t="str">
        <f>"Serv.Prest. 24/03/2025 a 30/03/2025 - RPS: 621 - NFSe: 2849"</f>
        <v>Serv.Prest. 24/03/2025 a 30/03/2025 - RPS: 621 - NFSe: 2849</v>
      </c>
      <c r="H1795" t="str">
        <f t="shared" si="902"/>
        <v>10/04/2025</v>
      </c>
      <c r="I1795" t="str">
        <f>("31/03/2025")</f>
        <v>31/03/2025</v>
      </c>
      <c r="J1795" t="str">
        <f t="shared" si="913"/>
        <v>11/04/2025</v>
      </c>
      <c r="K1795">
        <v>596.6</v>
      </c>
      <c r="L1795">
        <v>596.6</v>
      </c>
      <c r="M1795">
        <v>303</v>
      </c>
      <c r="N1795" t="str">
        <f t="shared" si="914"/>
        <v>RECEITAS COM ENTREGAS</v>
      </c>
      <c r="O1795">
        <v>596.6</v>
      </c>
      <c r="R1795" t="str">
        <f t="shared" si="915"/>
        <v>RECEITAS COM ENTREGAS (303)</v>
      </c>
      <c r="S1795">
        <v>1364</v>
      </c>
      <c r="T1795">
        <v>1031</v>
      </c>
      <c r="U1795" t="s">
        <v>19</v>
      </c>
    </row>
    <row r="1796" spans="1:21">
      <c r="A1796" t="str">
        <f t="shared" si="910"/>
        <v>11/04/2025</v>
      </c>
      <c r="B1796" t="str">
        <f t="shared" si="916"/>
        <v>ENTRADA</v>
      </c>
      <c r="C1796" t="str">
        <f t="shared" si="911"/>
        <v>NFSE</v>
      </c>
      <c r="D1796" t="str">
        <f>"2849"</f>
        <v>2849</v>
      </c>
      <c r="E1796" t="str">
        <f t="shared" si="912"/>
        <v>COM</v>
      </c>
      <c r="F1796" t="str">
        <f>"PAGMENOS - LJ 657 (10136)"</f>
        <v>PAGMENOS - LJ 657 (10136)</v>
      </c>
      <c r="G1796" t="str">
        <f>"Serv.Prest. 24/03/2025 a 30/03/2025 - RPS: 621 - NFSe: 2849"</f>
        <v>Serv.Prest. 24/03/2025 a 30/03/2025 - RPS: 621 - NFSe: 2849</v>
      </c>
      <c r="H1796" t="str">
        <f t="shared" si="902"/>
        <v>10/04/2025</v>
      </c>
      <c r="I1796" t="str">
        <f>("31/03/2025")</f>
        <v>31/03/2025</v>
      </c>
      <c r="J1796" t="str">
        <f t="shared" si="913"/>
        <v>11/04/2025</v>
      </c>
      <c r="M1796">
        <v>303</v>
      </c>
      <c r="N1796" t="str">
        <f t="shared" si="914"/>
        <v>RECEITAS COM ENTREGAS</v>
      </c>
      <c r="P1796">
        <v>596.6</v>
      </c>
      <c r="Q1796" t="str">
        <f>"PAGMENOS - LJ 657 (10136)"</f>
        <v>PAGMENOS - LJ 657 (10136)</v>
      </c>
      <c r="R1796" t="str">
        <f t="shared" si="915"/>
        <v>RECEITAS COM ENTREGAS (303)</v>
      </c>
      <c r="S1796">
        <v>1364</v>
      </c>
      <c r="T1796">
        <v>1031</v>
      </c>
      <c r="U1796" t="s">
        <v>19</v>
      </c>
    </row>
    <row r="1797" spans="1:21">
      <c r="A1797" t="str">
        <f t="shared" si="910"/>
        <v>11/04/2025</v>
      </c>
      <c r="B1797" t="str">
        <f t="shared" si="916"/>
        <v>ENTRADA</v>
      </c>
      <c r="C1797" t="str">
        <f t="shared" si="911"/>
        <v>NFSE</v>
      </c>
      <c r="D1797" t="str">
        <f>"2864"</f>
        <v>2864</v>
      </c>
      <c r="E1797" t="str">
        <f t="shared" si="912"/>
        <v>COM</v>
      </c>
      <c r="F1797" t="str">
        <f>"DROGARIA POUPA MINAS (DOIS AMIGOS) 5 (10140)"</f>
        <v>DROGARIA POUPA MINAS (DOIS AMIGOS) 5 (10140)</v>
      </c>
      <c r="G1797" t="str">
        <f>"Serv.Prest. 01/03/2025 a 06/04/2025 - RPS: 635 - NFSe: 2864"</f>
        <v>Serv.Prest. 01/03/2025 a 06/04/2025 - RPS: 635 - NFSe: 2864</v>
      </c>
      <c r="H1797" t="str">
        <f t="shared" si="902"/>
        <v>10/04/2025</v>
      </c>
      <c r="I1797" t="str">
        <f>("07/04/2025")</f>
        <v>07/04/2025</v>
      </c>
      <c r="J1797" t="str">
        <f t="shared" si="913"/>
        <v>11/04/2025</v>
      </c>
      <c r="K1797">
        <v>1390.69</v>
      </c>
      <c r="L1797">
        <v>1390.69</v>
      </c>
      <c r="M1797">
        <v>303</v>
      </c>
      <c r="N1797" t="str">
        <f t="shared" si="914"/>
        <v>RECEITAS COM ENTREGAS</v>
      </c>
      <c r="O1797">
        <v>1390.69</v>
      </c>
      <c r="R1797" t="str">
        <f t="shared" si="915"/>
        <v>RECEITAS COM ENTREGAS (303)</v>
      </c>
      <c r="S1797">
        <v>1365</v>
      </c>
      <c r="T1797">
        <v>1056</v>
      </c>
      <c r="U1797" t="s">
        <v>19</v>
      </c>
    </row>
    <row r="1798" spans="1:21">
      <c r="A1798" t="str">
        <f t="shared" si="910"/>
        <v>11/04/2025</v>
      </c>
      <c r="B1798" t="str">
        <f t="shared" si="916"/>
        <v>ENTRADA</v>
      </c>
      <c r="C1798" t="str">
        <f t="shared" si="911"/>
        <v>NFSE</v>
      </c>
      <c r="D1798" t="str">
        <f>"2864"</f>
        <v>2864</v>
      </c>
      <c r="E1798" t="str">
        <f t="shared" si="912"/>
        <v>COM</v>
      </c>
      <c r="F1798" t="str">
        <f>"DROGARIA POUPA MINAS (DOIS AMIGOS) 5 (10140)"</f>
        <v>DROGARIA POUPA MINAS (DOIS AMIGOS) 5 (10140)</v>
      </c>
      <c r="G1798" t="str">
        <f>"Serv.Prest. 01/03/2025 a 06/04/2025 - RPS: 635 - NFSe: 2864"</f>
        <v>Serv.Prest. 01/03/2025 a 06/04/2025 - RPS: 635 - NFSe: 2864</v>
      </c>
      <c r="H1798" t="str">
        <f t="shared" si="902"/>
        <v>10/04/2025</v>
      </c>
      <c r="I1798" t="str">
        <f>("07/04/2025")</f>
        <v>07/04/2025</v>
      </c>
      <c r="J1798" t="str">
        <f t="shared" si="913"/>
        <v>11/04/2025</v>
      </c>
      <c r="M1798">
        <v>303</v>
      </c>
      <c r="N1798" t="str">
        <f t="shared" si="914"/>
        <v>RECEITAS COM ENTREGAS</v>
      </c>
      <c r="P1798">
        <v>1390.69</v>
      </c>
      <c r="Q1798" t="str">
        <f>"DROGARIA POUPA MINAS (ULTRAMINAS) (10116)"</f>
        <v>DROGARIA POUPA MINAS (ULTRAMINAS) (10116)</v>
      </c>
      <c r="R1798" t="str">
        <f t="shared" si="915"/>
        <v>RECEITAS COM ENTREGAS (303)</v>
      </c>
      <c r="S1798">
        <v>1365</v>
      </c>
      <c r="T1798">
        <v>1056</v>
      </c>
      <c r="U1798" t="s">
        <v>19</v>
      </c>
    </row>
    <row r="1799" spans="1:21">
      <c r="A1799" t="str">
        <f t="shared" si="910"/>
        <v>11/04/2025</v>
      </c>
      <c r="B1799" t="str">
        <f t="shared" si="916"/>
        <v>ENTRADA</v>
      </c>
      <c r="C1799" t="str">
        <f t="shared" si="911"/>
        <v>NFSE</v>
      </c>
      <c r="D1799" t="str">
        <f>"2857"</f>
        <v>2857</v>
      </c>
      <c r="E1799" t="str">
        <f t="shared" si="912"/>
        <v>COM</v>
      </c>
      <c r="F1799" t="str">
        <f>"FARMACIA ECONOMIZE (10103)"</f>
        <v>FARMACIA ECONOMIZE (10103)</v>
      </c>
      <c r="G1799" t="str">
        <f>"Serv.Prest. 31/03/2025 a 06/04/2025 - RPS: 628 - NFSe: 2857"</f>
        <v>Serv.Prest. 31/03/2025 a 06/04/2025 - RPS: 628 - NFSe: 2857</v>
      </c>
      <c r="H1799" t="str">
        <f>("09/04/2025")</f>
        <v>09/04/2025</v>
      </c>
      <c r="I1799" t="str">
        <f>("07/04/2025")</f>
        <v>07/04/2025</v>
      </c>
      <c r="J1799" t="str">
        <f t="shared" si="913"/>
        <v>11/04/2025</v>
      </c>
      <c r="K1799">
        <v>128.18</v>
      </c>
      <c r="L1799">
        <v>130.78</v>
      </c>
      <c r="M1799">
        <v>303</v>
      </c>
      <c r="N1799" t="str">
        <f t="shared" si="914"/>
        <v>RECEITAS COM ENTREGAS</v>
      </c>
      <c r="O1799">
        <v>130.78</v>
      </c>
      <c r="R1799" t="str">
        <f t="shared" si="915"/>
        <v>RECEITAS COM ENTREGAS (303)</v>
      </c>
      <c r="S1799">
        <v>1408</v>
      </c>
      <c r="T1799">
        <v>1049</v>
      </c>
      <c r="U1799" t="s">
        <v>19</v>
      </c>
    </row>
    <row r="1800" spans="1:21">
      <c r="A1800" t="str">
        <f t="shared" si="910"/>
        <v>11/04/2025</v>
      </c>
      <c r="B1800" t="str">
        <f t="shared" si="916"/>
        <v>ENTRADA</v>
      </c>
      <c r="C1800" t="str">
        <f t="shared" si="911"/>
        <v>NFSE</v>
      </c>
      <c r="D1800" t="str">
        <f>"2857"</f>
        <v>2857</v>
      </c>
      <c r="E1800" t="str">
        <f t="shared" si="912"/>
        <v>COM</v>
      </c>
      <c r="F1800" t="str">
        <f>"FARMACIA ECONOMIZE (10103)"</f>
        <v>FARMACIA ECONOMIZE (10103)</v>
      </c>
      <c r="G1800" t="str">
        <f>"Serv.Prest. 31/03/2025 a 06/04/2025 - RPS: 628 - NFSe: 2857"</f>
        <v>Serv.Prest. 31/03/2025 a 06/04/2025 - RPS: 628 - NFSe: 2857</v>
      </c>
      <c r="H1800" t="str">
        <f>("09/04/2025")</f>
        <v>09/04/2025</v>
      </c>
      <c r="I1800" t="str">
        <f>("07/04/2025")</f>
        <v>07/04/2025</v>
      </c>
      <c r="J1800" t="str">
        <f t="shared" si="913"/>
        <v>11/04/2025</v>
      </c>
      <c r="M1800">
        <v>303</v>
      </c>
      <c r="N1800" t="str">
        <f t="shared" si="914"/>
        <v>RECEITAS COM ENTREGAS</v>
      </c>
      <c r="P1800">
        <v>130.78</v>
      </c>
      <c r="Q1800" t="str">
        <f>"FARMACIA ECONOMIZE (10103)"</f>
        <v>FARMACIA ECONOMIZE (10103)</v>
      </c>
      <c r="R1800" t="str">
        <f t="shared" si="915"/>
        <v>RECEITAS COM ENTREGAS (303)</v>
      </c>
      <c r="S1800">
        <v>1408</v>
      </c>
      <c r="T1800">
        <v>1049</v>
      </c>
      <c r="U1800" t="s">
        <v>19</v>
      </c>
    </row>
    <row r="1801" spans="1:21">
      <c r="A1801" t="str">
        <f t="shared" si="910"/>
        <v>11/04/2025</v>
      </c>
      <c r="B1801" t="str">
        <f t="shared" ref="B1801:B1811" si="917">"SAÍDA"</f>
        <v>SAÍDA</v>
      </c>
      <c r="C1801" t="str">
        <f>"JUROS"</f>
        <v>JUROS</v>
      </c>
      <c r="D1801" t="str">
        <f>""</f>
        <v/>
      </c>
      <c r="E1801" t="str">
        <f>"CXA"</f>
        <v>CXA</v>
      </c>
      <c r="F1801" t="str">
        <f>""</f>
        <v/>
      </c>
      <c r="G1801" t="str">
        <f>"TAXA BOLETO COMPENSADO"</f>
        <v>TAXA BOLETO COMPENSADO</v>
      </c>
      <c r="H1801" t="str">
        <f t="shared" ref="H1801:I1804" si="918">("11/04/2025")</f>
        <v>11/04/2025</v>
      </c>
      <c r="I1801" t="str">
        <f t="shared" si="918"/>
        <v>11/04/2025</v>
      </c>
      <c r="J1801" t="str">
        <f t="shared" si="913"/>
        <v>11/04/2025</v>
      </c>
      <c r="K1801">
        <v>1.7</v>
      </c>
      <c r="L1801">
        <v>1.7</v>
      </c>
      <c r="M1801">
        <v>401</v>
      </c>
      <c r="N1801" t="str">
        <f>"IOF/JUROS/DESP.FINANCEIRA"</f>
        <v>IOF/JUROS/DESP.FINANCEIRA</v>
      </c>
      <c r="O1801">
        <v>1.7</v>
      </c>
      <c r="R1801" t="str">
        <f t="shared" ref="R1801:R1811" si="919">"BANCO CORA (102)"</f>
        <v>BANCO CORA (102)</v>
      </c>
      <c r="S1801">
        <v>1450</v>
      </c>
      <c r="T1801">
        <v>0</v>
      </c>
      <c r="U1801" t="s">
        <v>20</v>
      </c>
    </row>
    <row r="1802" spans="1:21">
      <c r="A1802" t="str">
        <f t="shared" si="910"/>
        <v>11/04/2025</v>
      </c>
      <c r="B1802" t="str">
        <f t="shared" si="917"/>
        <v>SAÍDA</v>
      </c>
      <c r="C1802" t="str">
        <f>"JUROS"</f>
        <v>JUROS</v>
      </c>
      <c r="D1802" t="str">
        <f>""</f>
        <v/>
      </c>
      <c r="E1802" t="str">
        <f>"CXA"</f>
        <v>CXA</v>
      </c>
      <c r="F1802" t="str">
        <f>""</f>
        <v/>
      </c>
      <c r="G1802" t="str">
        <f>"TAXA BOLETO COMPENSADO"</f>
        <v>TAXA BOLETO COMPENSADO</v>
      </c>
      <c r="H1802" t="str">
        <f t="shared" si="918"/>
        <v>11/04/2025</v>
      </c>
      <c r="I1802" t="str">
        <f t="shared" si="918"/>
        <v>11/04/2025</v>
      </c>
      <c r="J1802" t="str">
        <f t="shared" si="913"/>
        <v>11/04/2025</v>
      </c>
      <c r="K1802">
        <v>1.7</v>
      </c>
      <c r="L1802">
        <v>1.7</v>
      </c>
      <c r="M1802">
        <v>401</v>
      </c>
      <c r="N1802" t="str">
        <f>"IOF/JUROS/DESP.FINANCEIRA"</f>
        <v>IOF/JUROS/DESP.FINANCEIRA</v>
      </c>
      <c r="O1802">
        <v>1.7</v>
      </c>
      <c r="R1802" t="str">
        <f t="shared" si="919"/>
        <v>BANCO CORA (102)</v>
      </c>
      <c r="S1802">
        <v>1451</v>
      </c>
      <c r="T1802">
        <v>0</v>
      </c>
      <c r="U1802" t="s">
        <v>20</v>
      </c>
    </row>
    <row r="1803" spans="1:21">
      <c r="A1803" t="str">
        <f t="shared" si="910"/>
        <v>11/04/2025</v>
      </c>
      <c r="B1803" t="str">
        <f t="shared" si="917"/>
        <v>SAÍDA</v>
      </c>
      <c r="C1803" t="str">
        <f>"JUROS"</f>
        <v>JUROS</v>
      </c>
      <c r="D1803" t="str">
        <f>""</f>
        <v/>
      </c>
      <c r="E1803" t="str">
        <f>"CXA"</f>
        <v>CXA</v>
      </c>
      <c r="F1803" t="str">
        <f>""</f>
        <v/>
      </c>
      <c r="G1803" t="str">
        <f>"TAXA BOLETO COMPENSADO"</f>
        <v>TAXA BOLETO COMPENSADO</v>
      </c>
      <c r="H1803" t="str">
        <f t="shared" si="918"/>
        <v>11/04/2025</v>
      </c>
      <c r="I1803" t="str">
        <f t="shared" si="918"/>
        <v>11/04/2025</v>
      </c>
      <c r="J1803" t="str">
        <f t="shared" si="913"/>
        <v>11/04/2025</v>
      </c>
      <c r="K1803">
        <v>1.7</v>
      </c>
      <c r="L1803">
        <v>1.7</v>
      </c>
      <c r="M1803">
        <v>401</v>
      </c>
      <c r="N1803" t="str">
        <f>"IOF/JUROS/DESP.FINANCEIRA"</f>
        <v>IOF/JUROS/DESP.FINANCEIRA</v>
      </c>
      <c r="O1803">
        <v>1.7</v>
      </c>
      <c r="R1803" t="str">
        <f t="shared" si="919"/>
        <v>BANCO CORA (102)</v>
      </c>
      <c r="S1803">
        <v>1452</v>
      </c>
      <c r="T1803">
        <v>0</v>
      </c>
      <c r="U1803" t="s">
        <v>20</v>
      </c>
    </row>
    <row r="1804" spans="1:21">
      <c r="A1804" t="str">
        <f t="shared" si="910"/>
        <v>11/04/2025</v>
      </c>
      <c r="B1804" t="str">
        <f t="shared" si="917"/>
        <v>SAÍDA</v>
      </c>
      <c r="C1804" t="str">
        <f>"JUROS"</f>
        <v>JUROS</v>
      </c>
      <c r="D1804" t="str">
        <f>""</f>
        <v/>
      </c>
      <c r="E1804" t="str">
        <f>"CXA"</f>
        <v>CXA</v>
      </c>
      <c r="F1804" t="str">
        <f>""</f>
        <v/>
      </c>
      <c r="G1804" t="str">
        <f>"TAXA BOLETO COMPENSADO"</f>
        <v>TAXA BOLETO COMPENSADO</v>
      </c>
      <c r="H1804" t="str">
        <f t="shared" si="918"/>
        <v>11/04/2025</v>
      </c>
      <c r="I1804" t="str">
        <f t="shared" si="918"/>
        <v>11/04/2025</v>
      </c>
      <c r="J1804" t="str">
        <f t="shared" si="913"/>
        <v>11/04/2025</v>
      </c>
      <c r="K1804">
        <v>1.7</v>
      </c>
      <c r="L1804">
        <v>1.7</v>
      </c>
      <c r="M1804">
        <v>401</v>
      </c>
      <c r="N1804" t="str">
        <f>"IOF/JUROS/DESP.FINANCEIRA"</f>
        <v>IOF/JUROS/DESP.FINANCEIRA</v>
      </c>
      <c r="O1804">
        <v>1.7</v>
      </c>
      <c r="R1804" t="str">
        <f t="shared" si="919"/>
        <v>BANCO CORA (102)</v>
      </c>
      <c r="S1804">
        <v>1453</v>
      </c>
      <c r="T1804">
        <v>0</v>
      </c>
      <c r="U1804" t="s">
        <v>20</v>
      </c>
    </row>
    <row r="1805" spans="1:21">
      <c r="A1805" t="str">
        <f t="shared" ref="A1805:A1815" si="920">("14/04/2025")</f>
        <v>14/04/2025</v>
      </c>
      <c r="B1805" t="str">
        <f t="shared" si="917"/>
        <v>SAÍDA</v>
      </c>
      <c r="C1805" t="str">
        <f>"BOLETO"</f>
        <v>BOLETO</v>
      </c>
      <c r="D1805" t="str">
        <f>"10629677"</f>
        <v>10629677</v>
      </c>
      <c r="E1805" t="str">
        <f t="shared" ref="E1805:E1836" si="921">"COM"</f>
        <v>COM</v>
      </c>
      <c r="F1805" t="str">
        <f>"UNIODONTO REGIONAL COOPERATIVA ODONTOLOGICA LTDA. (20024)"</f>
        <v>UNIODONTO REGIONAL COOPERATIVA ODONTOLOGICA LTDA. (20024)</v>
      </c>
      <c r="G1805" t="str">
        <f>"PLANO ODONTOLOGICO 03/2025"</f>
        <v>PLANO ODONTOLOGICO 03/2025</v>
      </c>
      <c r="H1805" t="str">
        <f t="shared" ref="H1805:H1815" si="922">("14/04/2025")</f>
        <v>14/04/2025</v>
      </c>
      <c r="I1805" t="str">
        <f>("16/03/2025")</f>
        <v>16/03/2025</v>
      </c>
      <c r="J1805" t="str">
        <f t="shared" ref="J1805:J1815" si="923">("14/04/2025")</f>
        <v>14/04/2025</v>
      </c>
      <c r="K1805">
        <v>1663.2</v>
      </c>
      <c r="L1805">
        <v>1698.67</v>
      </c>
      <c r="M1805">
        <v>192</v>
      </c>
      <c r="N1805" t="str">
        <f>"PLANOS E SEGUROS"</f>
        <v>PLANOS E SEGUROS</v>
      </c>
      <c r="O1805">
        <v>1698.67</v>
      </c>
      <c r="R1805" t="str">
        <f t="shared" si="919"/>
        <v>BANCO CORA (102)</v>
      </c>
      <c r="S1805">
        <v>1330</v>
      </c>
      <c r="T1805">
        <v>838</v>
      </c>
      <c r="U1805" t="s">
        <v>19</v>
      </c>
    </row>
    <row r="1806" spans="1:21">
      <c r="A1806" t="str">
        <f t="shared" si="920"/>
        <v>14/04/2025</v>
      </c>
      <c r="B1806" t="str">
        <f t="shared" si="917"/>
        <v>SAÍDA</v>
      </c>
      <c r="C1806" t="str">
        <f t="shared" ref="C1806:C1811" si="924">"PIX"</f>
        <v>PIX</v>
      </c>
      <c r="D1806" t="str">
        <f>"75154"</f>
        <v>75154</v>
      </c>
      <c r="E1806" t="str">
        <f t="shared" si="921"/>
        <v>COM</v>
      </c>
      <c r="F1806" t="str">
        <f>"MONGERAL AEGON SEGUROS E PREVIDENCIA SA (20063)"</f>
        <v>MONGERAL AEGON SEGUROS E PREVIDENCIA SA (20063)</v>
      </c>
      <c r="G1806" t="str">
        <f>"SEGURO DE VIDA SOCIOS"</f>
        <v>SEGURO DE VIDA SOCIOS</v>
      </c>
      <c r="H1806" t="str">
        <f t="shared" si="922"/>
        <v>14/04/2025</v>
      </c>
      <c r="I1806" t="str">
        <f>("31/03/2025")</f>
        <v>31/03/2025</v>
      </c>
      <c r="J1806" t="str">
        <f t="shared" si="923"/>
        <v>14/04/2025</v>
      </c>
      <c r="K1806">
        <v>228.35</v>
      </c>
      <c r="L1806">
        <v>228.35</v>
      </c>
      <c r="M1806">
        <v>192</v>
      </c>
      <c r="N1806" t="str">
        <f>"PLANOS E SEGUROS"</f>
        <v>PLANOS E SEGUROS</v>
      </c>
      <c r="O1806">
        <v>228.35</v>
      </c>
      <c r="R1806" t="str">
        <f t="shared" si="919"/>
        <v>BANCO CORA (102)</v>
      </c>
      <c r="S1806">
        <v>1331</v>
      </c>
      <c r="T1806">
        <v>827</v>
      </c>
      <c r="U1806" t="s">
        <v>19</v>
      </c>
    </row>
    <row r="1807" spans="1:21">
      <c r="A1807" t="str">
        <f t="shared" si="920"/>
        <v>14/04/2025</v>
      </c>
      <c r="B1807" t="str">
        <f t="shared" si="917"/>
        <v>SAÍDA</v>
      </c>
      <c r="C1807" t="str">
        <f t="shared" si="924"/>
        <v>PIX</v>
      </c>
      <c r="D1807" t="str">
        <f>"75154"</f>
        <v>75154</v>
      </c>
      <c r="E1807" t="str">
        <f t="shared" si="921"/>
        <v>COM</v>
      </c>
      <c r="F1807" t="str">
        <f>"MONGERAL AEGON SEGUROS E PREVIDENCIA SA (20063)"</f>
        <v>MONGERAL AEGON SEGUROS E PREVIDENCIA SA (20063)</v>
      </c>
      <c r="G1807" t="str">
        <f>"SEGURO DE VIDA SOCIOS"</f>
        <v>SEGURO DE VIDA SOCIOS</v>
      </c>
      <c r="H1807" t="str">
        <f t="shared" si="922"/>
        <v>14/04/2025</v>
      </c>
      <c r="I1807" t="str">
        <f>("31/03/2025")</f>
        <v>31/03/2025</v>
      </c>
      <c r="J1807" t="str">
        <f t="shared" si="923"/>
        <v>14/04/2025</v>
      </c>
      <c r="M1807">
        <v>192</v>
      </c>
      <c r="N1807" t="str">
        <f>"PLANOS E SEGUROS"</f>
        <v>PLANOS E SEGUROS</v>
      </c>
      <c r="P1807">
        <v>228.35</v>
      </c>
      <c r="Q1807" t="str">
        <f>"MONGERAL AEGON SEGUROS E PREVIDENCIA SA (20063)"</f>
        <v>MONGERAL AEGON SEGUROS E PREVIDENCIA SA (20063)</v>
      </c>
      <c r="R1807" t="str">
        <f t="shared" si="919"/>
        <v>BANCO CORA (102)</v>
      </c>
      <c r="S1807">
        <v>1331</v>
      </c>
      <c r="T1807">
        <v>827</v>
      </c>
      <c r="U1807" t="s">
        <v>19</v>
      </c>
    </row>
    <row r="1808" spans="1:21">
      <c r="A1808" t="str">
        <f t="shared" si="920"/>
        <v>14/04/2025</v>
      </c>
      <c r="B1808" t="str">
        <f t="shared" si="917"/>
        <v>SAÍDA</v>
      </c>
      <c r="C1808" t="str">
        <f t="shared" si="924"/>
        <v>PIX</v>
      </c>
      <c r="D1808" t="str">
        <f t="shared" ref="D1808:D1813" si="925">"140425"</f>
        <v>140425</v>
      </c>
      <c r="E1808" t="str">
        <f t="shared" si="921"/>
        <v>COM</v>
      </c>
      <c r="F1808" t="str">
        <f>"MARCELO REZENDE ARANTES (20014)"</f>
        <v>MARCELO REZENDE ARANTES (20014)</v>
      </c>
      <c r="G1808" t="str">
        <f>"DISTRIBUICAO DE LUCROS"</f>
        <v>DISTRIBUICAO DE LUCROS</v>
      </c>
      <c r="H1808" t="str">
        <f t="shared" si="922"/>
        <v>14/04/2025</v>
      </c>
      <c r="I1808" t="str">
        <f t="shared" ref="I1808:I1813" si="926">("14/04/2025")</f>
        <v>14/04/2025</v>
      </c>
      <c r="J1808" t="str">
        <f t="shared" si="923"/>
        <v>14/04/2025</v>
      </c>
      <c r="K1808">
        <v>3000</v>
      </c>
      <c r="L1808">
        <v>3000</v>
      </c>
      <c r="M1808">
        <v>125</v>
      </c>
      <c r="N1808" t="str">
        <f>"DISTRIBUIÇÃO DE LUCRO"</f>
        <v>DISTRIBUIÇÃO DE LUCRO</v>
      </c>
      <c r="O1808">
        <v>3000</v>
      </c>
      <c r="R1808" t="str">
        <f t="shared" si="919"/>
        <v>BANCO CORA (102)</v>
      </c>
      <c r="S1808">
        <v>1421</v>
      </c>
      <c r="T1808">
        <v>1169</v>
      </c>
      <c r="U1808" t="s">
        <v>19</v>
      </c>
    </row>
    <row r="1809" spans="1:21">
      <c r="A1809" t="str">
        <f t="shared" si="920"/>
        <v>14/04/2025</v>
      </c>
      <c r="B1809" t="str">
        <f t="shared" si="917"/>
        <v>SAÍDA</v>
      </c>
      <c r="C1809" t="str">
        <f t="shared" si="924"/>
        <v>PIX</v>
      </c>
      <c r="D1809" t="str">
        <f t="shared" si="925"/>
        <v>140425</v>
      </c>
      <c r="E1809" t="str">
        <f t="shared" si="921"/>
        <v>COM</v>
      </c>
      <c r="F1809" t="str">
        <f>"MARCELO REZENDE ARANTES (20014)"</f>
        <v>MARCELO REZENDE ARANTES (20014)</v>
      </c>
      <c r="G1809" t="str">
        <f>"DISTRIBUICAO DE LUCROS"</f>
        <v>DISTRIBUICAO DE LUCROS</v>
      </c>
      <c r="H1809" t="str">
        <f t="shared" si="922"/>
        <v>14/04/2025</v>
      </c>
      <c r="I1809" t="str">
        <f t="shared" si="926"/>
        <v>14/04/2025</v>
      </c>
      <c r="J1809" t="str">
        <f t="shared" si="923"/>
        <v>14/04/2025</v>
      </c>
      <c r="M1809">
        <v>125</v>
      </c>
      <c r="N1809" t="str">
        <f>"DISTRIBUIÇÃO DE LUCRO"</f>
        <v>DISTRIBUIÇÃO DE LUCRO</v>
      </c>
      <c r="P1809">
        <v>3000</v>
      </c>
      <c r="Q1809" t="str">
        <f>"MARCELO REZENDE ARANTES (20014)"</f>
        <v>MARCELO REZENDE ARANTES (20014)</v>
      </c>
      <c r="R1809" t="str">
        <f t="shared" si="919"/>
        <v>BANCO CORA (102)</v>
      </c>
      <c r="S1809">
        <v>1421</v>
      </c>
      <c r="T1809">
        <v>1169</v>
      </c>
      <c r="U1809" t="s">
        <v>19</v>
      </c>
    </row>
    <row r="1810" spans="1:21">
      <c r="A1810" t="str">
        <f t="shared" si="920"/>
        <v>14/04/2025</v>
      </c>
      <c r="B1810" t="str">
        <f t="shared" si="917"/>
        <v>SAÍDA</v>
      </c>
      <c r="C1810" t="str">
        <f t="shared" si="924"/>
        <v>PIX</v>
      </c>
      <c r="D1810" t="str">
        <f t="shared" si="925"/>
        <v>140425</v>
      </c>
      <c r="E1810" t="str">
        <f t="shared" si="921"/>
        <v>COM</v>
      </c>
      <c r="F1810" t="str">
        <f>"LILIANE DE FATIMA REZENDE JUSTINO (20013)"</f>
        <v>LILIANE DE FATIMA REZENDE JUSTINO (20013)</v>
      </c>
      <c r="G1810" t="str">
        <f>"DSITRIBUICAO DE LUCROS"</f>
        <v>DSITRIBUICAO DE LUCROS</v>
      </c>
      <c r="H1810" t="str">
        <f t="shared" si="922"/>
        <v>14/04/2025</v>
      </c>
      <c r="I1810" t="str">
        <f t="shared" si="926"/>
        <v>14/04/2025</v>
      </c>
      <c r="J1810" t="str">
        <f t="shared" si="923"/>
        <v>14/04/2025</v>
      </c>
      <c r="K1810">
        <v>7000</v>
      </c>
      <c r="L1810">
        <v>7000</v>
      </c>
      <c r="M1810">
        <v>125</v>
      </c>
      <c r="N1810" t="str">
        <f>"DISTRIBUIÇÃO DE LUCRO"</f>
        <v>DISTRIBUIÇÃO DE LUCRO</v>
      </c>
      <c r="O1810">
        <v>7000</v>
      </c>
      <c r="R1810" t="str">
        <f t="shared" si="919"/>
        <v>BANCO CORA (102)</v>
      </c>
      <c r="S1810">
        <v>1429</v>
      </c>
      <c r="T1810">
        <v>1175</v>
      </c>
      <c r="U1810" t="s">
        <v>19</v>
      </c>
    </row>
    <row r="1811" spans="1:21">
      <c r="A1811" t="str">
        <f t="shared" si="920"/>
        <v>14/04/2025</v>
      </c>
      <c r="B1811" t="str">
        <f t="shared" si="917"/>
        <v>SAÍDA</v>
      </c>
      <c r="C1811" t="str">
        <f t="shared" si="924"/>
        <v>PIX</v>
      </c>
      <c r="D1811" t="str">
        <f t="shared" si="925"/>
        <v>140425</v>
      </c>
      <c r="E1811" t="str">
        <f t="shared" si="921"/>
        <v>COM</v>
      </c>
      <c r="F1811" t="str">
        <f>"LILIANE DE FATIMA REZENDE JUSTINO (20013)"</f>
        <v>LILIANE DE FATIMA REZENDE JUSTINO (20013)</v>
      </c>
      <c r="G1811" t="str">
        <f>"DSITRIBUICAO DE LUCROS"</f>
        <v>DSITRIBUICAO DE LUCROS</v>
      </c>
      <c r="H1811" t="str">
        <f t="shared" si="922"/>
        <v>14/04/2025</v>
      </c>
      <c r="I1811" t="str">
        <f t="shared" si="926"/>
        <v>14/04/2025</v>
      </c>
      <c r="J1811" t="str">
        <f t="shared" si="923"/>
        <v>14/04/2025</v>
      </c>
      <c r="M1811">
        <v>125</v>
      </c>
      <c r="N1811" t="str">
        <f>"DISTRIBUIÇÃO DE LUCRO"</f>
        <v>DISTRIBUIÇÃO DE LUCRO</v>
      </c>
      <c r="P1811">
        <v>7000</v>
      </c>
      <c r="Q1811" t="str">
        <f>"LILIANE DE FATIMA REZENDE JUSTINO (20013)"</f>
        <v>LILIANE DE FATIMA REZENDE JUSTINO (20013)</v>
      </c>
      <c r="R1811" t="str">
        <f t="shared" si="919"/>
        <v>BANCO CORA (102)</v>
      </c>
      <c r="S1811">
        <v>1429</v>
      </c>
      <c r="T1811">
        <v>1175</v>
      </c>
      <c r="U1811" t="s">
        <v>19</v>
      </c>
    </row>
    <row r="1812" spans="1:21">
      <c r="A1812" t="str">
        <f t="shared" si="920"/>
        <v>14/04/2025</v>
      </c>
      <c r="B1812" t="str">
        <f>"ENTRADA"</f>
        <v>ENTRADA</v>
      </c>
      <c r="C1812" t="str">
        <f>"BOLETO"</f>
        <v>BOLETO</v>
      </c>
      <c r="D1812" t="str">
        <f t="shared" si="925"/>
        <v>140425</v>
      </c>
      <c r="E1812" t="str">
        <f t="shared" si="921"/>
        <v>COM</v>
      </c>
      <c r="F1812" t="str">
        <f>"DROGARIA SOUZA E ROSA LTDA (10167)"</f>
        <v>DROGARIA SOUZA E ROSA LTDA (10167)</v>
      </c>
      <c r="G1812" t="str">
        <f>"RECEBIMENTO SETUP"</f>
        <v>RECEBIMENTO SETUP</v>
      </c>
      <c r="H1812" t="str">
        <f t="shared" si="922"/>
        <v>14/04/2025</v>
      </c>
      <c r="I1812" t="str">
        <f t="shared" si="926"/>
        <v>14/04/2025</v>
      </c>
      <c r="J1812" t="str">
        <f t="shared" si="923"/>
        <v>14/04/2025</v>
      </c>
      <c r="K1812">
        <v>1250</v>
      </c>
      <c r="L1812">
        <v>1250</v>
      </c>
      <c r="M1812">
        <v>117</v>
      </c>
      <c r="N1812" t="str">
        <f>"RECEITAS COM SETUP"</f>
        <v>RECEITAS COM SETUP</v>
      </c>
      <c r="O1812">
        <v>1250</v>
      </c>
      <c r="R1812" t="str">
        <f>"RECEITAS COM SETUP (117)"</f>
        <v>RECEITAS COM SETUP (117)</v>
      </c>
      <c r="S1812">
        <v>1432</v>
      </c>
      <c r="T1812">
        <v>1178</v>
      </c>
      <c r="U1812" t="s">
        <v>19</v>
      </c>
    </row>
    <row r="1813" spans="1:21">
      <c r="A1813" t="str">
        <f t="shared" si="920"/>
        <v>14/04/2025</v>
      </c>
      <c r="B1813" t="str">
        <f>"SAÍDA"</f>
        <v>SAÍDA</v>
      </c>
      <c r="C1813" t="str">
        <f>"BOLETO"</f>
        <v>BOLETO</v>
      </c>
      <c r="D1813" t="str">
        <f t="shared" si="925"/>
        <v>140425</v>
      </c>
      <c r="E1813" t="str">
        <f t="shared" si="921"/>
        <v>COM</v>
      </c>
      <c r="F1813" t="str">
        <f>"DROGARIA SOUZA E ROSA LTDA (10167)"</f>
        <v>DROGARIA SOUZA E ROSA LTDA (10167)</v>
      </c>
      <c r="G1813" t="str">
        <f>"RECEBIMENTO SETUP"</f>
        <v>RECEBIMENTO SETUP</v>
      </c>
      <c r="H1813" t="str">
        <f t="shared" si="922"/>
        <v>14/04/2025</v>
      </c>
      <c r="I1813" t="str">
        <f t="shared" si="926"/>
        <v>14/04/2025</v>
      </c>
      <c r="J1813" t="str">
        <f t="shared" si="923"/>
        <v>14/04/2025</v>
      </c>
      <c r="M1813">
        <v>117</v>
      </c>
      <c r="N1813" t="str">
        <f>"RECEITAS COM SETUP"</f>
        <v>RECEITAS COM SETUP</v>
      </c>
      <c r="P1813">
        <v>1250</v>
      </c>
      <c r="Q1813" t="str">
        <f>"DROGARIA SOUZA E ROSA LTDA (10167)"</f>
        <v>DROGARIA SOUZA E ROSA LTDA (10167)</v>
      </c>
      <c r="R1813" t="str">
        <f>"RECEITAS COM SETUP (117)"</f>
        <v>RECEITAS COM SETUP (117)</v>
      </c>
      <c r="S1813">
        <v>1432</v>
      </c>
      <c r="T1813">
        <v>1178</v>
      </c>
      <c r="U1813" t="s">
        <v>19</v>
      </c>
    </row>
    <row r="1814" spans="1:21">
      <c r="A1814" t="str">
        <f t="shared" si="920"/>
        <v>14/04/2025</v>
      </c>
      <c r="B1814" t="str">
        <f>"ENTRADA"</f>
        <v>ENTRADA</v>
      </c>
      <c r="C1814" t="str">
        <f>"BOLETO"</f>
        <v>BOLETO</v>
      </c>
      <c r="D1814" t="str">
        <f>"130325"</f>
        <v>130325</v>
      </c>
      <c r="E1814" t="str">
        <f t="shared" si="921"/>
        <v>COM</v>
      </c>
      <c r="F1814" t="str">
        <f>"FARMACIA BITTENCOURT LTDA (10164)"</f>
        <v>FARMACIA BITTENCOURT LTDA (10164)</v>
      </c>
      <c r="G1814" t="str">
        <f>"RECEBIMENTO SETUP"</f>
        <v>RECEBIMENTO SETUP</v>
      </c>
      <c r="H1814" t="str">
        <f t="shared" si="922"/>
        <v>14/04/2025</v>
      </c>
      <c r="I1814" t="str">
        <f>("13/03/2025")</f>
        <v>13/03/2025</v>
      </c>
      <c r="J1814" t="str">
        <f t="shared" si="923"/>
        <v>14/04/2025</v>
      </c>
      <c r="K1814">
        <v>1000</v>
      </c>
      <c r="L1814">
        <v>1000</v>
      </c>
      <c r="M1814">
        <v>117</v>
      </c>
      <c r="N1814" t="str">
        <f>"RECEITAS COM SETUP"</f>
        <v>RECEITAS COM SETUP</v>
      </c>
      <c r="O1814">
        <v>1000</v>
      </c>
      <c r="R1814" t="str">
        <f>"RECEITAS COM SETUP (117)"</f>
        <v>RECEITAS COM SETUP (117)</v>
      </c>
      <c r="S1814">
        <v>1433</v>
      </c>
      <c r="T1814">
        <v>1183</v>
      </c>
      <c r="U1814" t="s">
        <v>19</v>
      </c>
    </row>
    <row r="1815" spans="1:21">
      <c r="A1815" t="str">
        <f t="shared" si="920"/>
        <v>14/04/2025</v>
      </c>
      <c r="B1815" t="str">
        <f>"SAÍDA"</f>
        <v>SAÍDA</v>
      </c>
      <c r="C1815" t="str">
        <f>"BOLETO"</f>
        <v>BOLETO</v>
      </c>
      <c r="D1815" t="str">
        <f>"130325"</f>
        <v>130325</v>
      </c>
      <c r="E1815" t="str">
        <f t="shared" si="921"/>
        <v>COM</v>
      </c>
      <c r="F1815" t="str">
        <f>"FARMACIA BITTENCOURT LTDA (10164)"</f>
        <v>FARMACIA BITTENCOURT LTDA (10164)</v>
      </c>
      <c r="G1815" t="str">
        <f>"RECEBIMENTO SETUP"</f>
        <v>RECEBIMENTO SETUP</v>
      </c>
      <c r="H1815" t="str">
        <f t="shared" si="922"/>
        <v>14/04/2025</v>
      </c>
      <c r="I1815" t="str">
        <f>("13/03/2025")</f>
        <v>13/03/2025</v>
      </c>
      <c r="J1815" t="str">
        <f t="shared" si="923"/>
        <v>14/04/2025</v>
      </c>
      <c r="M1815">
        <v>117</v>
      </c>
      <c r="N1815" t="str">
        <f>"RECEITAS COM SETUP"</f>
        <v>RECEITAS COM SETUP</v>
      </c>
      <c r="P1815">
        <v>1000</v>
      </c>
      <c r="Q1815" t="str">
        <f>"FARMACIA BITTENCOURT LTDA (10164)"</f>
        <v>FARMACIA BITTENCOURT LTDA (10164)</v>
      </c>
      <c r="R1815" t="str">
        <f>"RECEITAS COM SETUP (117)"</f>
        <v>RECEITAS COM SETUP (117)</v>
      </c>
      <c r="S1815">
        <v>1433</v>
      </c>
      <c r="T1815">
        <v>1183</v>
      </c>
      <c r="U1815" t="s">
        <v>19</v>
      </c>
    </row>
    <row r="1816" spans="1:21">
      <c r="A1816" t="str">
        <f t="shared" ref="A1816:A1847" si="927">("16/04/2025")</f>
        <v>16/04/2025</v>
      </c>
      <c r="B1816" t="str">
        <f>"ENTRADA"</f>
        <v>ENTRADA</v>
      </c>
      <c r="C1816" t="str">
        <f t="shared" ref="C1816:C1847" si="928">"NFSE"</f>
        <v>NFSE</v>
      </c>
      <c r="D1816" t="str">
        <f t="shared" ref="D1816:D1861" si="929">"2869"</f>
        <v>2869</v>
      </c>
      <c r="E1816" t="str">
        <f t="shared" si="921"/>
        <v>COM</v>
      </c>
      <c r="F1816" t="str">
        <f t="shared" ref="F1816:F1861" si="930">"FARMÁCIA INDIANA LJ 1 (10126)"</f>
        <v>FARMÁCIA INDIANA LJ 1 (10126)</v>
      </c>
      <c r="G1816" t="str">
        <f t="shared" ref="G1816:G1861" si="931">"Serv.Prest. 31/03/2025 a 06/04/2025 - RPS: 640 - NFSe: 2869"</f>
        <v>Serv.Prest. 31/03/2025 a 06/04/2025 - RPS: 640 - NFSe: 2869</v>
      </c>
      <c r="H1816" t="str">
        <f t="shared" ref="H1816:H1847" si="932">("16/04/2025")</f>
        <v>16/04/2025</v>
      </c>
      <c r="I1816" t="str">
        <f t="shared" ref="I1816:I1847" si="933">("08/04/2025")</f>
        <v>08/04/2025</v>
      </c>
      <c r="J1816" t="str">
        <f t="shared" ref="J1816:J1847" si="934">("16/04/2025")</f>
        <v>16/04/2025</v>
      </c>
      <c r="K1816">
        <v>13119.97</v>
      </c>
      <c r="L1816">
        <v>13119.97</v>
      </c>
      <c r="M1816">
        <v>303</v>
      </c>
      <c r="N1816" t="str">
        <f t="shared" ref="N1816:N1847" si="935">"RECEITAS COM ENTREGAS"</f>
        <v>RECEITAS COM ENTREGAS</v>
      </c>
      <c r="O1816">
        <v>13119.97</v>
      </c>
      <c r="R1816" t="str">
        <f t="shared" ref="R1816:R1847" si="936">"RECEITAS COM ENTREGAS (303)"</f>
        <v>RECEITAS COM ENTREGAS (303)</v>
      </c>
      <c r="S1816">
        <v>1340</v>
      </c>
      <c r="T1816">
        <v>1061</v>
      </c>
      <c r="U1816" t="s">
        <v>19</v>
      </c>
    </row>
    <row r="1817" spans="1:21">
      <c r="A1817" t="str">
        <f t="shared" si="927"/>
        <v>16/04/2025</v>
      </c>
      <c r="B1817" t="str">
        <f t="shared" ref="B1817:B1880" si="937">"ENTRADA"</f>
        <v>ENTRADA</v>
      </c>
      <c r="C1817" t="str">
        <f t="shared" si="928"/>
        <v>NFSE</v>
      </c>
      <c r="D1817" t="str">
        <f t="shared" si="929"/>
        <v>2869</v>
      </c>
      <c r="E1817" t="str">
        <f t="shared" si="921"/>
        <v>COM</v>
      </c>
      <c r="F1817" t="str">
        <f t="shared" si="930"/>
        <v>FARMÁCIA INDIANA LJ 1 (10126)</v>
      </c>
      <c r="G1817" t="str">
        <f t="shared" si="931"/>
        <v>Serv.Prest. 31/03/2025 a 06/04/2025 - RPS: 640 - NFSe: 2869</v>
      </c>
      <c r="H1817" t="str">
        <f t="shared" si="932"/>
        <v>16/04/2025</v>
      </c>
      <c r="I1817" t="str">
        <f t="shared" si="933"/>
        <v>08/04/2025</v>
      </c>
      <c r="J1817" t="str">
        <f t="shared" si="934"/>
        <v>16/04/2025</v>
      </c>
      <c r="M1817">
        <v>303</v>
      </c>
      <c r="N1817" t="str">
        <f t="shared" si="935"/>
        <v>RECEITAS COM ENTREGAS</v>
      </c>
      <c r="P1817">
        <v>1828.92</v>
      </c>
      <c r="Q1817" t="str">
        <f>"FARMÁCIA INDIANA LJ 06 (10006)"</f>
        <v>FARMÁCIA INDIANA LJ 06 (10006)</v>
      </c>
      <c r="R1817" t="str">
        <f t="shared" si="936"/>
        <v>RECEITAS COM ENTREGAS (303)</v>
      </c>
      <c r="S1817">
        <v>1340</v>
      </c>
      <c r="T1817">
        <v>1061</v>
      </c>
      <c r="U1817" t="s">
        <v>19</v>
      </c>
    </row>
    <row r="1818" spans="1:21">
      <c r="A1818" t="str">
        <f t="shared" si="927"/>
        <v>16/04/2025</v>
      </c>
      <c r="B1818" t="str">
        <f t="shared" si="937"/>
        <v>ENTRADA</v>
      </c>
      <c r="C1818" t="str">
        <f t="shared" si="928"/>
        <v>NFSE</v>
      </c>
      <c r="D1818" t="str">
        <f t="shared" si="929"/>
        <v>2869</v>
      </c>
      <c r="E1818" t="str">
        <f t="shared" si="921"/>
        <v>COM</v>
      </c>
      <c r="F1818" t="str">
        <f t="shared" si="930"/>
        <v>FARMÁCIA INDIANA LJ 1 (10126)</v>
      </c>
      <c r="G1818" t="str">
        <f t="shared" si="931"/>
        <v>Serv.Prest. 31/03/2025 a 06/04/2025 - RPS: 640 - NFSe: 2869</v>
      </c>
      <c r="H1818" t="str">
        <f t="shared" si="932"/>
        <v>16/04/2025</v>
      </c>
      <c r="I1818" t="str">
        <f t="shared" si="933"/>
        <v>08/04/2025</v>
      </c>
      <c r="J1818" t="str">
        <f t="shared" si="934"/>
        <v>16/04/2025</v>
      </c>
      <c r="M1818">
        <v>303</v>
      </c>
      <c r="N1818" t="str">
        <f t="shared" si="935"/>
        <v>RECEITAS COM ENTREGAS</v>
      </c>
      <c r="P1818">
        <v>1357.92</v>
      </c>
      <c r="Q1818" t="str">
        <f>"FARMÁCIA INDIANA LJ 07 (10007)"</f>
        <v>FARMÁCIA INDIANA LJ 07 (10007)</v>
      </c>
      <c r="R1818" t="str">
        <f t="shared" si="936"/>
        <v>RECEITAS COM ENTREGAS (303)</v>
      </c>
      <c r="S1818">
        <v>1340</v>
      </c>
      <c r="T1818">
        <v>1061</v>
      </c>
      <c r="U1818" t="s">
        <v>19</v>
      </c>
    </row>
    <row r="1819" spans="1:21">
      <c r="A1819" t="str">
        <f t="shared" si="927"/>
        <v>16/04/2025</v>
      </c>
      <c r="B1819" t="str">
        <f t="shared" si="937"/>
        <v>ENTRADA</v>
      </c>
      <c r="C1819" t="str">
        <f t="shared" si="928"/>
        <v>NFSE</v>
      </c>
      <c r="D1819" t="str">
        <f t="shared" si="929"/>
        <v>2869</v>
      </c>
      <c r="E1819" t="str">
        <f t="shared" si="921"/>
        <v>COM</v>
      </c>
      <c r="F1819" t="str">
        <f t="shared" si="930"/>
        <v>FARMÁCIA INDIANA LJ 1 (10126)</v>
      </c>
      <c r="G1819" t="str">
        <f t="shared" si="931"/>
        <v>Serv.Prest. 31/03/2025 a 06/04/2025 - RPS: 640 - NFSe: 2869</v>
      </c>
      <c r="H1819" t="str">
        <f t="shared" si="932"/>
        <v>16/04/2025</v>
      </c>
      <c r="I1819" t="str">
        <f t="shared" si="933"/>
        <v>08/04/2025</v>
      </c>
      <c r="J1819" t="str">
        <f t="shared" si="934"/>
        <v>16/04/2025</v>
      </c>
      <c r="M1819">
        <v>303</v>
      </c>
      <c r="N1819" t="str">
        <f t="shared" si="935"/>
        <v>RECEITAS COM ENTREGAS</v>
      </c>
      <c r="P1819">
        <v>1081.0899999999999</v>
      </c>
      <c r="Q1819" t="str">
        <f>"FARMÁCIA INDIANA LJ 11 (10008)"</f>
        <v>FARMÁCIA INDIANA LJ 11 (10008)</v>
      </c>
      <c r="R1819" t="str">
        <f t="shared" si="936"/>
        <v>RECEITAS COM ENTREGAS (303)</v>
      </c>
      <c r="S1819">
        <v>1340</v>
      </c>
      <c r="T1819">
        <v>1061</v>
      </c>
      <c r="U1819" t="s">
        <v>19</v>
      </c>
    </row>
    <row r="1820" spans="1:21">
      <c r="A1820" t="str">
        <f t="shared" si="927"/>
        <v>16/04/2025</v>
      </c>
      <c r="B1820" t="str">
        <f t="shared" si="937"/>
        <v>ENTRADA</v>
      </c>
      <c r="C1820" t="str">
        <f t="shared" si="928"/>
        <v>NFSE</v>
      </c>
      <c r="D1820" t="str">
        <f t="shared" si="929"/>
        <v>2869</v>
      </c>
      <c r="E1820" t="str">
        <f t="shared" si="921"/>
        <v>COM</v>
      </c>
      <c r="F1820" t="str">
        <f t="shared" si="930"/>
        <v>FARMÁCIA INDIANA LJ 1 (10126)</v>
      </c>
      <c r="G1820" t="str">
        <f t="shared" si="931"/>
        <v>Serv.Prest. 31/03/2025 a 06/04/2025 - RPS: 640 - NFSe: 2869</v>
      </c>
      <c r="H1820" t="str">
        <f t="shared" si="932"/>
        <v>16/04/2025</v>
      </c>
      <c r="I1820" t="str">
        <f t="shared" si="933"/>
        <v>08/04/2025</v>
      </c>
      <c r="J1820" t="str">
        <f t="shared" si="934"/>
        <v>16/04/2025</v>
      </c>
      <c r="M1820">
        <v>303</v>
      </c>
      <c r="N1820" t="str">
        <f t="shared" si="935"/>
        <v>RECEITAS COM ENTREGAS</v>
      </c>
      <c r="P1820">
        <v>359.49</v>
      </c>
      <c r="Q1820" t="str">
        <f>"FARMÁCIA INDIANA LJ 14 (10009)"</f>
        <v>FARMÁCIA INDIANA LJ 14 (10009)</v>
      </c>
      <c r="R1820" t="str">
        <f t="shared" si="936"/>
        <v>RECEITAS COM ENTREGAS (303)</v>
      </c>
      <c r="S1820">
        <v>1340</v>
      </c>
      <c r="T1820">
        <v>1061</v>
      </c>
      <c r="U1820" t="s">
        <v>19</v>
      </c>
    </row>
    <row r="1821" spans="1:21">
      <c r="A1821" t="str">
        <f t="shared" si="927"/>
        <v>16/04/2025</v>
      </c>
      <c r="B1821" t="str">
        <f t="shared" si="937"/>
        <v>ENTRADA</v>
      </c>
      <c r="C1821" t="str">
        <f t="shared" si="928"/>
        <v>NFSE</v>
      </c>
      <c r="D1821" t="str">
        <f t="shared" si="929"/>
        <v>2869</v>
      </c>
      <c r="E1821" t="str">
        <f t="shared" si="921"/>
        <v>COM</v>
      </c>
      <c r="F1821" t="str">
        <f t="shared" si="930"/>
        <v>FARMÁCIA INDIANA LJ 1 (10126)</v>
      </c>
      <c r="G1821" t="str">
        <f t="shared" si="931"/>
        <v>Serv.Prest. 31/03/2025 a 06/04/2025 - RPS: 640 - NFSe: 2869</v>
      </c>
      <c r="H1821" t="str">
        <f t="shared" si="932"/>
        <v>16/04/2025</v>
      </c>
      <c r="I1821" t="str">
        <f t="shared" si="933"/>
        <v>08/04/2025</v>
      </c>
      <c r="J1821" t="str">
        <f t="shared" si="934"/>
        <v>16/04/2025</v>
      </c>
      <c r="M1821">
        <v>303</v>
      </c>
      <c r="N1821" t="str">
        <f t="shared" si="935"/>
        <v>RECEITAS COM ENTREGAS</v>
      </c>
      <c r="P1821">
        <v>438.21</v>
      </c>
      <c r="Q1821" t="str">
        <f>"FARMÁCIA INDIANA LJ 18 (10011)"</f>
        <v>FARMÁCIA INDIANA LJ 18 (10011)</v>
      </c>
      <c r="R1821" t="str">
        <f t="shared" si="936"/>
        <v>RECEITAS COM ENTREGAS (303)</v>
      </c>
      <c r="S1821">
        <v>1340</v>
      </c>
      <c r="T1821">
        <v>1061</v>
      </c>
      <c r="U1821" t="s">
        <v>19</v>
      </c>
    </row>
    <row r="1822" spans="1:21">
      <c r="A1822" t="str">
        <f t="shared" si="927"/>
        <v>16/04/2025</v>
      </c>
      <c r="B1822" t="str">
        <f t="shared" si="937"/>
        <v>ENTRADA</v>
      </c>
      <c r="C1822" t="str">
        <f t="shared" si="928"/>
        <v>NFSE</v>
      </c>
      <c r="D1822" t="str">
        <f t="shared" si="929"/>
        <v>2869</v>
      </c>
      <c r="E1822" t="str">
        <f t="shared" si="921"/>
        <v>COM</v>
      </c>
      <c r="F1822" t="str">
        <f t="shared" si="930"/>
        <v>FARMÁCIA INDIANA LJ 1 (10126)</v>
      </c>
      <c r="G1822" t="str">
        <f t="shared" si="931"/>
        <v>Serv.Prest. 31/03/2025 a 06/04/2025 - RPS: 640 - NFSe: 2869</v>
      </c>
      <c r="H1822" t="str">
        <f t="shared" si="932"/>
        <v>16/04/2025</v>
      </c>
      <c r="I1822" t="str">
        <f t="shared" si="933"/>
        <v>08/04/2025</v>
      </c>
      <c r="J1822" t="str">
        <f t="shared" si="934"/>
        <v>16/04/2025</v>
      </c>
      <c r="M1822">
        <v>303</v>
      </c>
      <c r="N1822" t="str">
        <f t="shared" si="935"/>
        <v>RECEITAS COM ENTREGAS</v>
      </c>
      <c r="P1822">
        <v>392.29</v>
      </c>
      <c r="Q1822" t="str">
        <f>"FARMÁCIA INDIANA LJ 19 (10012)"</f>
        <v>FARMÁCIA INDIANA LJ 19 (10012)</v>
      </c>
      <c r="R1822" t="str">
        <f t="shared" si="936"/>
        <v>RECEITAS COM ENTREGAS (303)</v>
      </c>
      <c r="S1822">
        <v>1340</v>
      </c>
      <c r="T1822">
        <v>1061</v>
      </c>
      <c r="U1822" t="s">
        <v>19</v>
      </c>
    </row>
    <row r="1823" spans="1:21">
      <c r="A1823" t="str">
        <f t="shared" si="927"/>
        <v>16/04/2025</v>
      </c>
      <c r="B1823" t="str">
        <f t="shared" si="937"/>
        <v>ENTRADA</v>
      </c>
      <c r="C1823" t="str">
        <f t="shared" si="928"/>
        <v>NFSE</v>
      </c>
      <c r="D1823" t="str">
        <f t="shared" si="929"/>
        <v>2869</v>
      </c>
      <c r="E1823" t="str">
        <f t="shared" si="921"/>
        <v>COM</v>
      </c>
      <c r="F1823" t="str">
        <f t="shared" si="930"/>
        <v>FARMÁCIA INDIANA LJ 1 (10126)</v>
      </c>
      <c r="G1823" t="str">
        <f t="shared" si="931"/>
        <v>Serv.Prest. 31/03/2025 a 06/04/2025 - RPS: 640 - NFSe: 2869</v>
      </c>
      <c r="H1823" t="str">
        <f t="shared" si="932"/>
        <v>16/04/2025</v>
      </c>
      <c r="I1823" t="str">
        <f t="shared" si="933"/>
        <v>08/04/2025</v>
      </c>
      <c r="J1823" t="str">
        <f t="shared" si="934"/>
        <v>16/04/2025</v>
      </c>
      <c r="M1823">
        <v>303</v>
      </c>
      <c r="N1823" t="str">
        <f t="shared" si="935"/>
        <v>RECEITAS COM ENTREGAS</v>
      </c>
      <c r="P1823">
        <v>499.87</v>
      </c>
      <c r="Q1823" t="str">
        <f>"FARMÁCIA INDIANA LJ 40 (10016)"</f>
        <v>FARMÁCIA INDIANA LJ 40 (10016)</v>
      </c>
      <c r="R1823" t="str">
        <f t="shared" si="936"/>
        <v>RECEITAS COM ENTREGAS (303)</v>
      </c>
      <c r="S1823">
        <v>1340</v>
      </c>
      <c r="T1823">
        <v>1061</v>
      </c>
      <c r="U1823" t="s">
        <v>19</v>
      </c>
    </row>
    <row r="1824" spans="1:21">
      <c r="A1824" t="str">
        <f t="shared" si="927"/>
        <v>16/04/2025</v>
      </c>
      <c r="B1824" t="str">
        <f t="shared" si="937"/>
        <v>ENTRADA</v>
      </c>
      <c r="C1824" t="str">
        <f t="shared" si="928"/>
        <v>NFSE</v>
      </c>
      <c r="D1824" t="str">
        <f t="shared" si="929"/>
        <v>2869</v>
      </c>
      <c r="E1824" t="str">
        <f t="shared" si="921"/>
        <v>COM</v>
      </c>
      <c r="F1824" t="str">
        <f t="shared" si="930"/>
        <v>FARMÁCIA INDIANA LJ 1 (10126)</v>
      </c>
      <c r="G1824" t="str">
        <f t="shared" si="931"/>
        <v>Serv.Prest. 31/03/2025 a 06/04/2025 - RPS: 640 - NFSe: 2869</v>
      </c>
      <c r="H1824" t="str">
        <f t="shared" si="932"/>
        <v>16/04/2025</v>
      </c>
      <c r="I1824" t="str">
        <f t="shared" si="933"/>
        <v>08/04/2025</v>
      </c>
      <c r="J1824" t="str">
        <f t="shared" si="934"/>
        <v>16/04/2025</v>
      </c>
      <c r="M1824">
        <v>303</v>
      </c>
      <c r="N1824" t="str">
        <f t="shared" si="935"/>
        <v>RECEITAS COM ENTREGAS</v>
      </c>
      <c r="P1824">
        <v>330.62</v>
      </c>
      <c r="Q1824" t="str">
        <f>"FARMÁCIA INDIANA LJ 59 (10026)"</f>
        <v>FARMÁCIA INDIANA LJ 59 (10026)</v>
      </c>
      <c r="R1824" t="str">
        <f t="shared" si="936"/>
        <v>RECEITAS COM ENTREGAS (303)</v>
      </c>
      <c r="S1824">
        <v>1340</v>
      </c>
      <c r="T1824">
        <v>1061</v>
      </c>
      <c r="U1824" t="s">
        <v>19</v>
      </c>
    </row>
    <row r="1825" spans="1:21">
      <c r="A1825" t="str">
        <f t="shared" si="927"/>
        <v>16/04/2025</v>
      </c>
      <c r="B1825" t="str">
        <f t="shared" si="937"/>
        <v>ENTRADA</v>
      </c>
      <c r="C1825" t="str">
        <f t="shared" si="928"/>
        <v>NFSE</v>
      </c>
      <c r="D1825" t="str">
        <f t="shared" si="929"/>
        <v>2869</v>
      </c>
      <c r="E1825" t="str">
        <f t="shared" si="921"/>
        <v>COM</v>
      </c>
      <c r="F1825" t="str">
        <f t="shared" si="930"/>
        <v>FARMÁCIA INDIANA LJ 1 (10126)</v>
      </c>
      <c r="G1825" t="str">
        <f t="shared" si="931"/>
        <v>Serv.Prest. 31/03/2025 a 06/04/2025 - RPS: 640 - NFSe: 2869</v>
      </c>
      <c r="H1825" t="str">
        <f t="shared" si="932"/>
        <v>16/04/2025</v>
      </c>
      <c r="I1825" t="str">
        <f t="shared" si="933"/>
        <v>08/04/2025</v>
      </c>
      <c r="J1825" t="str">
        <f t="shared" si="934"/>
        <v>16/04/2025</v>
      </c>
      <c r="M1825">
        <v>303</v>
      </c>
      <c r="N1825" t="str">
        <f t="shared" si="935"/>
        <v>RECEITAS COM ENTREGAS</v>
      </c>
      <c r="P1825">
        <v>464.45</v>
      </c>
      <c r="Q1825" t="str">
        <f>"FARMÁCIA INDIANA LJ 61 (10027)"</f>
        <v>FARMÁCIA INDIANA LJ 61 (10027)</v>
      </c>
      <c r="R1825" t="str">
        <f t="shared" si="936"/>
        <v>RECEITAS COM ENTREGAS (303)</v>
      </c>
      <c r="S1825">
        <v>1340</v>
      </c>
      <c r="T1825">
        <v>1061</v>
      </c>
      <c r="U1825" t="s">
        <v>19</v>
      </c>
    </row>
    <row r="1826" spans="1:21">
      <c r="A1826" t="str">
        <f t="shared" si="927"/>
        <v>16/04/2025</v>
      </c>
      <c r="B1826" t="str">
        <f t="shared" si="937"/>
        <v>ENTRADA</v>
      </c>
      <c r="C1826" t="str">
        <f t="shared" si="928"/>
        <v>NFSE</v>
      </c>
      <c r="D1826" t="str">
        <f t="shared" si="929"/>
        <v>2869</v>
      </c>
      <c r="E1826" t="str">
        <f t="shared" si="921"/>
        <v>COM</v>
      </c>
      <c r="F1826" t="str">
        <f t="shared" si="930"/>
        <v>FARMÁCIA INDIANA LJ 1 (10126)</v>
      </c>
      <c r="G1826" t="str">
        <f t="shared" si="931"/>
        <v>Serv.Prest. 31/03/2025 a 06/04/2025 - RPS: 640 - NFSe: 2869</v>
      </c>
      <c r="H1826" t="str">
        <f t="shared" si="932"/>
        <v>16/04/2025</v>
      </c>
      <c r="I1826" t="str">
        <f t="shared" si="933"/>
        <v>08/04/2025</v>
      </c>
      <c r="J1826" t="str">
        <f t="shared" si="934"/>
        <v>16/04/2025</v>
      </c>
      <c r="M1826">
        <v>303</v>
      </c>
      <c r="N1826" t="str">
        <f t="shared" si="935"/>
        <v>RECEITAS COM ENTREGAS</v>
      </c>
      <c r="P1826">
        <v>275.52</v>
      </c>
      <c r="Q1826" t="str">
        <f>"FARMÁCIA INDIANA LJ 62 (10028)"</f>
        <v>FARMÁCIA INDIANA LJ 62 (10028)</v>
      </c>
      <c r="R1826" t="str">
        <f t="shared" si="936"/>
        <v>RECEITAS COM ENTREGAS (303)</v>
      </c>
      <c r="S1826">
        <v>1340</v>
      </c>
      <c r="T1826">
        <v>1061</v>
      </c>
      <c r="U1826" t="s">
        <v>19</v>
      </c>
    </row>
    <row r="1827" spans="1:21">
      <c r="A1827" t="str">
        <f t="shared" si="927"/>
        <v>16/04/2025</v>
      </c>
      <c r="B1827" t="str">
        <f t="shared" si="937"/>
        <v>ENTRADA</v>
      </c>
      <c r="C1827" t="str">
        <f t="shared" si="928"/>
        <v>NFSE</v>
      </c>
      <c r="D1827" t="str">
        <f t="shared" si="929"/>
        <v>2869</v>
      </c>
      <c r="E1827" t="str">
        <f t="shared" si="921"/>
        <v>COM</v>
      </c>
      <c r="F1827" t="str">
        <f t="shared" si="930"/>
        <v>FARMÁCIA INDIANA LJ 1 (10126)</v>
      </c>
      <c r="G1827" t="str">
        <f t="shared" si="931"/>
        <v>Serv.Prest. 31/03/2025 a 06/04/2025 - RPS: 640 - NFSe: 2869</v>
      </c>
      <c r="H1827" t="str">
        <f t="shared" si="932"/>
        <v>16/04/2025</v>
      </c>
      <c r="I1827" t="str">
        <f t="shared" si="933"/>
        <v>08/04/2025</v>
      </c>
      <c r="J1827" t="str">
        <f t="shared" si="934"/>
        <v>16/04/2025</v>
      </c>
      <c r="M1827">
        <v>303</v>
      </c>
      <c r="N1827" t="str">
        <f t="shared" si="935"/>
        <v>RECEITAS COM ENTREGAS</v>
      </c>
      <c r="P1827">
        <v>115.46</v>
      </c>
      <c r="Q1827" t="str">
        <f>"FARMÁCIA INDIANA LJ 64 (10029)"</f>
        <v>FARMÁCIA INDIANA LJ 64 (10029)</v>
      </c>
      <c r="R1827" t="str">
        <f t="shared" si="936"/>
        <v>RECEITAS COM ENTREGAS (303)</v>
      </c>
      <c r="S1827">
        <v>1340</v>
      </c>
      <c r="T1827">
        <v>1061</v>
      </c>
      <c r="U1827" t="s">
        <v>19</v>
      </c>
    </row>
    <row r="1828" spans="1:21">
      <c r="A1828" t="str">
        <f t="shared" si="927"/>
        <v>16/04/2025</v>
      </c>
      <c r="B1828" t="str">
        <f t="shared" si="937"/>
        <v>ENTRADA</v>
      </c>
      <c r="C1828" t="str">
        <f t="shared" si="928"/>
        <v>NFSE</v>
      </c>
      <c r="D1828" t="str">
        <f t="shared" si="929"/>
        <v>2869</v>
      </c>
      <c r="E1828" t="str">
        <f t="shared" si="921"/>
        <v>COM</v>
      </c>
      <c r="F1828" t="str">
        <f t="shared" si="930"/>
        <v>FARMÁCIA INDIANA LJ 1 (10126)</v>
      </c>
      <c r="G1828" t="str">
        <f t="shared" si="931"/>
        <v>Serv.Prest. 31/03/2025 a 06/04/2025 - RPS: 640 - NFSe: 2869</v>
      </c>
      <c r="H1828" t="str">
        <f t="shared" si="932"/>
        <v>16/04/2025</v>
      </c>
      <c r="I1828" t="str">
        <f t="shared" si="933"/>
        <v>08/04/2025</v>
      </c>
      <c r="J1828" t="str">
        <f t="shared" si="934"/>
        <v>16/04/2025</v>
      </c>
      <c r="M1828">
        <v>303</v>
      </c>
      <c r="N1828" t="str">
        <f t="shared" si="935"/>
        <v>RECEITAS COM ENTREGAS</v>
      </c>
      <c r="P1828">
        <v>65.599999999999994</v>
      </c>
      <c r="Q1828" t="str">
        <f>"FARMÁCIA INDIANA LJ 97 (10040)"</f>
        <v>FARMÁCIA INDIANA LJ 97 (10040)</v>
      </c>
      <c r="R1828" t="str">
        <f t="shared" si="936"/>
        <v>RECEITAS COM ENTREGAS (303)</v>
      </c>
      <c r="S1828">
        <v>1340</v>
      </c>
      <c r="T1828">
        <v>1061</v>
      </c>
      <c r="U1828" t="s">
        <v>19</v>
      </c>
    </row>
    <row r="1829" spans="1:21">
      <c r="A1829" t="str">
        <f t="shared" si="927"/>
        <v>16/04/2025</v>
      </c>
      <c r="B1829" t="str">
        <f t="shared" si="937"/>
        <v>ENTRADA</v>
      </c>
      <c r="C1829" t="str">
        <f t="shared" si="928"/>
        <v>NFSE</v>
      </c>
      <c r="D1829" t="str">
        <f t="shared" si="929"/>
        <v>2869</v>
      </c>
      <c r="E1829" t="str">
        <f t="shared" si="921"/>
        <v>COM</v>
      </c>
      <c r="F1829" t="str">
        <f t="shared" si="930"/>
        <v>FARMÁCIA INDIANA LJ 1 (10126)</v>
      </c>
      <c r="G1829" t="str">
        <f t="shared" si="931"/>
        <v>Serv.Prest. 31/03/2025 a 06/04/2025 - RPS: 640 - NFSe: 2869</v>
      </c>
      <c r="H1829" t="str">
        <f t="shared" si="932"/>
        <v>16/04/2025</v>
      </c>
      <c r="I1829" t="str">
        <f t="shared" si="933"/>
        <v>08/04/2025</v>
      </c>
      <c r="J1829" t="str">
        <f t="shared" si="934"/>
        <v>16/04/2025</v>
      </c>
      <c r="M1829">
        <v>303</v>
      </c>
      <c r="N1829" t="str">
        <f t="shared" si="935"/>
        <v>RECEITAS COM ENTREGAS</v>
      </c>
      <c r="P1829">
        <v>320.13</v>
      </c>
      <c r="Q1829" t="str">
        <f>"FARMÁCIA INDIANA LJ 100 (10042)"</f>
        <v>FARMÁCIA INDIANA LJ 100 (10042)</v>
      </c>
      <c r="R1829" t="str">
        <f t="shared" si="936"/>
        <v>RECEITAS COM ENTREGAS (303)</v>
      </c>
      <c r="S1829">
        <v>1340</v>
      </c>
      <c r="T1829">
        <v>1061</v>
      </c>
      <c r="U1829" t="s">
        <v>19</v>
      </c>
    </row>
    <row r="1830" spans="1:21">
      <c r="A1830" t="str">
        <f t="shared" si="927"/>
        <v>16/04/2025</v>
      </c>
      <c r="B1830" t="str">
        <f t="shared" si="937"/>
        <v>ENTRADA</v>
      </c>
      <c r="C1830" t="str">
        <f t="shared" si="928"/>
        <v>NFSE</v>
      </c>
      <c r="D1830" t="str">
        <f t="shared" si="929"/>
        <v>2869</v>
      </c>
      <c r="E1830" t="str">
        <f t="shared" si="921"/>
        <v>COM</v>
      </c>
      <c r="F1830" t="str">
        <f t="shared" si="930"/>
        <v>FARMÁCIA INDIANA LJ 1 (10126)</v>
      </c>
      <c r="G1830" t="str">
        <f t="shared" si="931"/>
        <v>Serv.Prest. 31/03/2025 a 06/04/2025 - RPS: 640 - NFSe: 2869</v>
      </c>
      <c r="H1830" t="str">
        <f t="shared" si="932"/>
        <v>16/04/2025</v>
      </c>
      <c r="I1830" t="str">
        <f t="shared" si="933"/>
        <v>08/04/2025</v>
      </c>
      <c r="J1830" t="str">
        <f t="shared" si="934"/>
        <v>16/04/2025</v>
      </c>
      <c r="M1830">
        <v>303</v>
      </c>
      <c r="N1830" t="str">
        <f t="shared" si="935"/>
        <v>RECEITAS COM ENTREGAS</v>
      </c>
      <c r="P1830">
        <v>646.80999999999995</v>
      </c>
      <c r="Q1830" t="str">
        <f>"FARMÁCIA INDIANA LJ 101 (10043)"</f>
        <v>FARMÁCIA INDIANA LJ 101 (10043)</v>
      </c>
      <c r="R1830" t="str">
        <f t="shared" si="936"/>
        <v>RECEITAS COM ENTREGAS (303)</v>
      </c>
      <c r="S1830">
        <v>1340</v>
      </c>
      <c r="T1830">
        <v>1061</v>
      </c>
      <c r="U1830" t="s">
        <v>19</v>
      </c>
    </row>
    <row r="1831" spans="1:21">
      <c r="A1831" t="str">
        <f t="shared" si="927"/>
        <v>16/04/2025</v>
      </c>
      <c r="B1831" t="str">
        <f t="shared" si="937"/>
        <v>ENTRADA</v>
      </c>
      <c r="C1831" t="str">
        <f t="shared" si="928"/>
        <v>NFSE</v>
      </c>
      <c r="D1831" t="str">
        <f t="shared" si="929"/>
        <v>2869</v>
      </c>
      <c r="E1831" t="str">
        <f t="shared" si="921"/>
        <v>COM</v>
      </c>
      <c r="F1831" t="str">
        <f t="shared" si="930"/>
        <v>FARMÁCIA INDIANA LJ 1 (10126)</v>
      </c>
      <c r="G1831" t="str">
        <f t="shared" si="931"/>
        <v>Serv.Prest. 31/03/2025 a 06/04/2025 - RPS: 640 - NFSe: 2869</v>
      </c>
      <c r="H1831" t="str">
        <f t="shared" si="932"/>
        <v>16/04/2025</v>
      </c>
      <c r="I1831" t="str">
        <f t="shared" si="933"/>
        <v>08/04/2025</v>
      </c>
      <c r="J1831" t="str">
        <f t="shared" si="934"/>
        <v>16/04/2025</v>
      </c>
      <c r="M1831">
        <v>303</v>
      </c>
      <c r="N1831" t="str">
        <f t="shared" si="935"/>
        <v>RECEITAS COM ENTREGAS</v>
      </c>
      <c r="P1831">
        <v>70.849999999999994</v>
      </c>
      <c r="Q1831" t="str">
        <f>"FARMÁCIA INDIANA LJ 103 (10044)"</f>
        <v>FARMÁCIA INDIANA LJ 103 (10044)</v>
      </c>
      <c r="R1831" t="str">
        <f t="shared" si="936"/>
        <v>RECEITAS COM ENTREGAS (303)</v>
      </c>
      <c r="S1831">
        <v>1340</v>
      </c>
      <c r="T1831">
        <v>1061</v>
      </c>
      <c r="U1831" t="s">
        <v>19</v>
      </c>
    </row>
    <row r="1832" spans="1:21">
      <c r="A1832" t="str">
        <f t="shared" si="927"/>
        <v>16/04/2025</v>
      </c>
      <c r="B1832" t="str">
        <f t="shared" si="937"/>
        <v>ENTRADA</v>
      </c>
      <c r="C1832" t="str">
        <f t="shared" si="928"/>
        <v>NFSE</v>
      </c>
      <c r="D1832" t="str">
        <f t="shared" si="929"/>
        <v>2869</v>
      </c>
      <c r="E1832" t="str">
        <f t="shared" si="921"/>
        <v>COM</v>
      </c>
      <c r="F1832" t="str">
        <f t="shared" si="930"/>
        <v>FARMÁCIA INDIANA LJ 1 (10126)</v>
      </c>
      <c r="G1832" t="str">
        <f t="shared" si="931"/>
        <v>Serv.Prest. 31/03/2025 a 06/04/2025 - RPS: 640 - NFSe: 2869</v>
      </c>
      <c r="H1832" t="str">
        <f t="shared" si="932"/>
        <v>16/04/2025</v>
      </c>
      <c r="I1832" t="str">
        <f t="shared" si="933"/>
        <v>08/04/2025</v>
      </c>
      <c r="J1832" t="str">
        <f t="shared" si="934"/>
        <v>16/04/2025</v>
      </c>
      <c r="M1832">
        <v>303</v>
      </c>
      <c r="N1832" t="str">
        <f t="shared" si="935"/>
        <v>RECEITAS COM ENTREGAS</v>
      </c>
      <c r="P1832">
        <v>170.56</v>
      </c>
      <c r="Q1832" t="str">
        <f>"FARMÁCIA INDIANA LJ 109 (10047)"</f>
        <v>FARMÁCIA INDIANA LJ 109 (10047)</v>
      </c>
      <c r="R1832" t="str">
        <f t="shared" si="936"/>
        <v>RECEITAS COM ENTREGAS (303)</v>
      </c>
      <c r="S1832">
        <v>1340</v>
      </c>
      <c r="T1832">
        <v>1061</v>
      </c>
      <c r="U1832" t="s">
        <v>19</v>
      </c>
    </row>
    <row r="1833" spans="1:21">
      <c r="A1833" t="str">
        <f t="shared" si="927"/>
        <v>16/04/2025</v>
      </c>
      <c r="B1833" t="str">
        <f t="shared" si="937"/>
        <v>ENTRADA</v>
      </c>
      <c r="C1833" t="str">
        <f t="shared" si="928"/>
        <v>NFSE</v>
      </c>
      <c r="D1833" t="str">
        <f t="shared" si="929"/>
        <v>2869</v>
      </c>
      <c r="E1833" t="str">
        <f t="shared" si="921"/>
        <v>COM</v>
      </c>
      <c r="F1833" t="str">
        <f t="shared" si="930"/>
        <v>FARMÁCIA INDIANA LJ 1 (10126)</v>
      </c>
      <c r="G1833" t="str">
        <f t="shared" si="931"/>
        <v>Serv.Prest. 31/03/2025 a 06/04/2025 - RPS: 640 - NFSe: 2869</v>
      </c>
      <c r="H1833" t="str">
        <f t="shared" si="932"/>
        <v>16/04/2025</v>
      </c>
      <c r="I1833" t="str">
        <f t="shared" si="933"/>
        <v>08/04/2025</v>
      </c>
      <c r="J1833" t="str">
        <f t="shared" si="934"/>
        <v>16/04/2025</v>
      </c>
      <c r="M1833">
        <v>303</v>
      </c>
      <c r="N1833" t="str">
        <f t="shared" si="935"/>
        <v>RECEITAS COM ENTREGAS</v>
      </c>
      <c r="P1833">
        <v>481.5</v>
      </c>
      <c r="Q1833" t="str">
        <f>"FARMÁCIA INDIANA LJ 110 (10048)"</f>
        <v>FARMÁCIA INDIANA LJ 110 (10048)</v>
      </c>
      <c r="R1833" t="str">
        <f t="shared" si="936"/>
        <v>RECEITAS COM ENTREGAS (303)</v>
      </c>
      <c r="S1833">
        <v>1340</v>
      </c>
      <c r="T1833">
        <v>1061</v>
      </c>
      <c r="U1833" t="s">
        <v>19</v>
      </c>
    </row>
    <row r="1834" spans="1:21">
      <c r="A1834" t="str">
        <f t="shared" si="927"/>
        <v>16/04/2025</v>
      </c>
      <c r="B1834" t="str">
        <f t="shared" si="937"/>
        <v>ENTRADA</v>
      </c>
      <c r="C1834" t="str">
        <f t="shared" si="928"/>
        <v>NFSE</v>
      </c>
      <c r="D1834" t="str">
        <f t="shared" si="929"/>
        <v>2869</v>
      </c>
      <c r="E1834" t="str">
        <f t="shared" si="921"/>
        <v>COM</v>
      </c>
      <c r="F1834" t="str">
        <f t="shared" si="930"/>
        <v>FARMÁCIA INDIANA LJ 1 (10126)</v>
      </c>
      <c r="G1834" t="str">
        <f t="shared" si="931"/>
        <v>Serv.Prest. 31/03/2025 a 06/04/2025 - RPS: 640 - NFSe: 2869</v>
      </c>
      <c r="H1834" t="str">
        <f t="shared" si="932"/>
        <v>16/04/2025</v>
      </c>
      <c r="I1834" t="str">
        <f t="shared" si="933"/>
        <v>08/04/2025</v>
      </c>
      <c r="J1834" t="str">
        <f t="shared" si="934"/>
        <v>16/04/2025</v>
      </c>
      <c r="M1834">
        <v>303</v>
      </c>
      <c r="N1834" t="str">
        <f t="shared" si="935"/>
        <v>RECEITAS COM ENTREGAS</v>
      </c>
      <c r="P1834">
        <v>64.290000000000006</v>
      </c>
      <c r="Q1834" t="str">
        <f>"FARMÁCIA INDIANA LJ 111 (10049)"</f>
        <v>FARMÁCIA INDIANA LJ 111 (10049)</v>
      </c>
      <c r="R1834" t="str">
        <f t="shared" si="936"/>
        <v>RECEITAS COM ENTREGAS (303)</v>
      </c>
      <c r="S1834">
        <v>1340</v>
      </c>
      <c r="T1834">
        <v>1061</v>
      </c>
      <c r="U1834" t="s">
        <v>19</v>
      </c>
    </row>
    <row r="1835" spans="1:21">
      <c r="A1835" t="str">
        <f t="shared" si="927"/>
        <v>16/04/2025</v>
      </c>
      <c r="B1835" t="str">
        <f t="shared" si="937"/>
        <v>ENTRADA</v>
      </c>
      <c r="C1835" t="str">
        <f t="shared" si="928"/>
        <v>NFSE</v>
      </c>
      <c r="D1835" t="str">
        <f t="shared" si="929"/>
        <v>2869</v>
      </c>
      <c r="E1835" t="str">
        <f t="shared" si="921"/>
        <v>COM</v>
      </c>
      <c r="F1835" t="str">
        <f t="shared" si="930"/>
        <v>FARMÁCIA INDIANA LJ 1 (10126)</v>
      </c>
      <c r="G1835" t="str">
        <f t="shared" si="931"/>
        <v>Serv.Prest. 31/03/2025 a 06/04/2025 - RPS: 640 - NFSe: 2869</v>
      </c>
      <c r="H1835" t="str">
        <f t="shared" si="932"/>
        <v>16/04/2025</v>
      </c>
      <c r="I1835" t="str">
        <f t="shared" si="933"/>
        <v>08/04/2025</v>
      </c>
      <c r="J1835" t="str">
        <f t="shared" si="934"/>
        <v>16/04/2025</v>
      </c>
      <c r="M1835">
        <v>303</v>
      </c>
      <c r="N1835" t="str">
        <f t="shared" si="935"/>
        <v>RECEITAS COM ENTREGAS</v>
      </c>
      <c r="P1835">
        <v>125.95</v>
      </c>
      <c r="Q1835" t="str">
        <f>"FARMÁCIA INDIANA LJ 112 (10050)"</f>
        <v>FARMÁCIA INDIANA LJ 112 (10050)</v>
      </c>
      <c r="R1835" t="str">
        <f t="shared" si="936"/>
        <v>RECEITAS COM ENTREGAS (303)</v>
      </c>
      <c r="S1835">
        <v>1340</v>
      </c>
      <c r="T1835">
        <v>1061</v>
      </c>
      <c r="U1835" t="s">
        <v>19</v>
      </c>
    </row>
    <row r="1836" spans="1:21">
      <c r="A1836" t="str">
        <f t="shared" si="927"/>
        <v>16/04/2025</v>
      </c>
      <c r="B1836" t="str">
        <f t="shared" si="937"/>
        <v>ENTRADA</v>
      </c>
      <c r="C1836" t="str">
        <f t="shared" si="928"/>
        <v>NFSE</v>
      </c>
      <c r="D1836" t="str">
        <f t="shared" si="929"/>
        <v>2869</v>
      </c>
      <c r="E1836" t="str">
        <f t="shared" si="921"/>
        <v>COM</v>
      </c>
      <c r="F1836" t="str">
        <f t="shared" si="930"/>
        <v>FARMÁCIA INDIANA LJ 1 (10126)</v>
      </c>
      <c r="G1836" t="str">
        <f t="shared" si="931"/>
        <v>Serv.Prest. 31/03/2025 a 06/04/2025 - RPS: 640 - NFSe: 2869</v>
      </c>
      <c r="H1836" t="str">
        <f t="shared" si="932"/>
        <v>16/04/2025</v>
      </c>
      <c r="I1836" t="str">
        <f t="shared" si="933"/>
        <v>08/04/2025</v>
      </c>
      <c r="J1836" t="str">
        <f t="shared" si="934"/>
        <v>16/04/2025</v>
      </c>
      <c r="M1836">
        <v>303</v>
      </c>
      <c r="N1836" t="str">
        <f t="shared" si="935"/>
        <v>RECEITAS COM ENTREGAS</v>
      </c>
      <c r="P1836">
        <v>125.95</v>
      </c>
      <c r="Q1836" t="str">
        <f>"FARMÁCIA INDIANA LJ 116 (10051)"</f>
        <v>FARMÁCIA INDIANA LJ 116 (10051)</v>
      </c>
      <c r="R1836" t="str">
        <f t="shared" si="936"/>
        <v>RECEITAS COM ENTREGAS (303)</v>
      </c>
      <c r="S1836">
        <v>1340</v>
      </c>
      <c r="T1836">
        <v>1061</v>
      </c>
      <c r="U1836" t="s">
        <v>19</v>
      </c>
    </row>
    <row r="1837" spans="1:21">
      <c r="A1837" t="str">
        <f t="shared" si="927"/>
        <v>16/04/2025</v>
      </c>
      <c r="B1837" t="str">
        <f t="shared" si="937"/>
        <v>ENTRADA</v>
      </c>
      <c r="C1837" t="str">
        <f t="shared" si="928"/>
        <v>NFSE</v>
      </c>
      <c r="D1837" t="str">
        <f t="shared" si="929"/>
        <v>2869</v>
      </c>
      <c r="E1837" t="str">
        <f t="shared" ref="E1837:E1868" si="938">"COM"</f>
        <v>COM</v>
      </c>
      <c r="F1837" t="str">
        <f t="shared" si="930"/>
        <v>FARMÁCIA INDIANA LJ 1 (10126)</v>
      </c>
      <c r="G1837" t="str">
        <f t="shared" si="931"/>
        <v>Serv.Prest. 31/03/2025 a 06/04/2025 - RPS: 640 - NFSe: 2869</v>
      </c>
      <c r="H1837" t="str">
        <f t="shared" si="932"/>
        <v>16/04/2025</v>
      </c>
      <c r="I1837" t="str">
        <f t="shared" si="933"/>
        <v>08/04/2025</v>
      </c>
      <c r="J1837" t="str">
        <f t="shared" si="934"/>
        <v>16/04/2025</v>
      </c>
      <c r="M1837">
        <v>303</v>
      </c>
      <c r="N1837" t="str">
        <f t="shared" si="935"/>
        <v>RECEITAS COM ENTREGAS</v>
      </c>
      <c r="P1837">
        <v>141.69999999999999</v>
      </c>
      <c r="Q1837" t="str">
        <f>"FARMÁCIA INDIANA LJ 118 (10052)"</f>
        <v>FARMÁCIA INDIANA LJ 118 (10052)</v>
      </c>
      <c r="R1837" t="str">
        <f t="shared" si="936"/>
        <v>RECEITAS COM ENTREGAS (303)</v>
      </c>
      <c r="S1837">
        <v>1340</v>
      </c>
      <c r="T1837">
        <v>1061</v>
      </c>
      <c r="U1837" t="s">
        <v>19</v>
      </c>
    </row>
    <row r="1838" spans="1:21">
      <c r="A1838" t="str">
        <f t="shared" si="927"/>
        <v>16/04/2025</v>
      </c>
      <c r="B1838" t="str">
        <f t="shared" si="937"/>
        <v>ENTRADA</v>
      </c>
      <c r="C1838" t="str">
        <f t="shared" si="928"/>
        <v>NFSE</v>
      </c>
      <c r="D1838" t="str">
        <f t="shared" si="929"/>
        <v>2869</v>
      </c>
      <c r="E1838" t="str">
        <f t="shared" si="938"/>
        <v>COM</v>
      </c>
      <c r="F1838" t="str">
        <f t="shared" si="930"/>
        <v>FARMÁCIA INDIANA LJ 1 (10126)</v>
      </c>
      <c r="G1838" t="str">
        <f t="shared" si="931"/>
        <v>Serv.Prest. 31/03/2025 a 06/04/2025 - RPS: 640 - NFSe: 2869</v>
      </c>
      <c r="H1838" t="str">
        <f t="shared" si="932"/>
        <v>16/04/2025</v>
      </c>
      <c r="I1838" t="str">
        <f t="shared" si="933"/>
        <v>08/04/2025</v>
      </c>
      <c r="J1838" t="str">
        <f t="shared" si="934"/>
        <v>16/04/2025</v>
      </c>
      <c r="M1838">
        <v>303</v>
      </c>
      <c r="N1838" t="str">
        <f t="shared" si="935"/>
        <v>RECEITAS COM ENTREGAS</v>
      </c>
      <c r="P1838">
        <v>125.95</v>
      </c>
      <c r="Q1838" t="str">
        <f>"FARMÁCIA INDIANA LJ 121 (10054)"</f>
        <v>FARMÁCIA INDIANA LJ 121 (10054)</v>
      </c>
      <c r="R1838" t="str">
        <f t="shared" si="936"/>
        <v>RECEITAS COM ENTREGAS (303)</v>
      </c>
      <c r="S1838">
        <v>1340</v>
      </c>
      <c r="T1838">
        <v>1061</v>
      </c>
      <c r="U1838" t="s">
        <v>19</v>
      </c>
    </row>
    <row r="1839" spans="1:21">
      <c r="A1839" t="str">
        <f t="shared" si="927"/>
        <v>16/04/2025</v>
      </c>
      <c r="B1839" t="str">
        <f t="shared" si="937"/>
        <v>ENTRADA</v>
      </c>
      <c r="C1839" t="str">
        <f t="shared" si="928"/>
        <v>NFSE</v>
      </c>
      <c r="D1839" t="str">
        <f t="shared" si="929"/>
        <v>2869</v>
      </c>
      <c r="E1839" t="str">
        <f t="shared" si="938"/>
        <v>COM</v>
      </c>
      <c r="F1839" t="str">
        <f t="shared" si="930"/>
        <v>FARMÁCIA INDIANA LJ 1 (10126)</v>
      </c>
      <c r="G1839" t="str">
        <f t="shared" si="931"/>
        <v>Serv.Prest. 31/03/2025 a 06/04/2025 - RPS: 640 - NFSe: 2869</v>
      </c>
      <c r="H1839" t="str">
        <f t="shared" si="932"/>
        <v>16/04/2025</v>
      </c>
      <c r="I1839" t="str">
        <f t="shared" si="933"/>
        <v>08/04/2025</v>
      </c>
      <c r="J1839" t="str">
        <f t="shared" si="934"/>
        <v>16/04/2025</v>
      </c>
      <c r="M1839">
        <v>303</v>
      </c>
      <c r="N1839" t="str">
        <f t="shared" si="935"/>
        <v>RECEITAS COM ENTREGAS</v>
      </c>
      <c r="P1839">
        <v>125.95</v>
      </c>
      <c r="Q1839" t="str">
        <f>"FARMÁCIA INDIANA LJ 128 (10057)"</f>
        <v>FARMÁCIA INDIANA LJ 128 (10057)</v>
      </c>
      <c r="R1839" t="str">
        <f t="shared" si="936"/>
        <v>RECEITAS COM ENTREGAS (303)</v>
      </c>
      <c r="S1839">
        <v>1340</v>
      </c>
      <c r="T1839">
        <v>1061</v>
      </c>
      <c r="U1839" t="s">
        <v>19</v>
      </c>
    </row>
    <row r="1840" spans="1:21">
      <c r="A1840" t="str">
        <f t="shared" si="927"/>
        <v>16/04/2025</v>
      </c>
      <c r="B1840" t="str">
        <f t="shared" si="937"/>
        <v>ENTRADA</v>
      </c>
      <c r="C1840" t="str">
        <f t="shared" si="928"/>
        <v>NFSE</v>
      </c>
      <c r="D1840" t="str">
        <f t="shared" si="929"/>
        <v>2869</v>
      </c>
      <c r="E1840" t="str">
        <f t="shared" si="938"/>
        <v>COM</v>
      </c>
      <c r="F1840" t="str">
        <f t="shared" si="930"/>
        <v>FARMÁCIA INDIANA LJ 1 (10126)</v>
      </c>
      <c r="G1840" t="str">
        <f t="shared" si="931"/>
        <v>Serv.Prest. 31/03/2025 a 06/04/2025 - RPS: 640 - NFSe: 2869</v>
      </c>
      <c r="H1840" t="str">
        <f t="shared" si="932"/>
        <v>16/04/2025</v>
      </c>
      <c r="I1840" t="str">
        <f t="shared" si="933"/>
        <v>08/04/2025</v>
      </c>
      <c r="J1840" t="str">
        <f t="shared" si="934"/>
        <v>16/04/2025</v>
      </c>
      <c r="M1840">
        <v>303</v>
      </c>
      <c r="N1840" t="str">
        <f t="shared" si="935"/>
        <v>RECEITAS COM ENTREGAS</v>
      </c>
      <c r="P1840">
        <v>28.86</v>
      </c>
      <c r="Q1840" t="str">
        <f>"FARMÁCIA INDIANA LJ 140 (10064)"</f>
        <v>FARMÁCIA INDIANA LJ 140 (10064)</v>
      </c>
      <c r="R1840" t="str">
        <f t="shared" si="936"/>
        <v>RECEITAS COM ENTREGAS (303)</v>
      </c>
      <c r="S1840">
        <v>1340</v>
      </c>
      <c r="T1840">
        <v>1061</v>
      </c>
      <c r="U1840" t="s">
        <v>19</v>
      </c>
    </row>
    <row r="1841" spans="1:21">
      <c r="A1841" t="str">
        <f t="shared" si="927"/>
        <v>16/04/2025</v>
      </c>
      <c r="B1841" t="str">
        <f t="shared" si="937"/>
        <v>ENTRADA</v>
      </c>
      <c r="C1841" t="str">
        <f t="shared" si="928"/>
        <v>NFSE</v>
      </c>
      <c r="D1841" t="str">
        <f t="shared" si="929"/>
        <v>2869</v>
      </c>
      <c r="E1841" t="str">
        <f t="shared" si="938"/>
        <v>COM</v>
      </c>
      <c r="F1841" t="str">
        <f t="shared" si="930"/>
        <v>FARMÁCIA INDIANA LJ 1 (10126)</v>
      </c>
      <c r="G1841" t="str">
        <f t="shared" si="931"/>
        <v>Serv.Prest. 31/03/2025 a 06/04/2025 - RPS: 640 - NFSe: 2869</v>
      </c>
      <c r="H1841" t="str">
        <f t="shared" si="932"/>
        <v>16/04/2025</v>
      </c>
      <c r="I1841" t="str">
        <f t="shared" si="933"/>
        <v>08/04/2025</v>
      </c>
      <c r="J1841" t="str">
        <f t="shared" si="934"/>
        <v>16/04/2025</v>
      </c>
      <c r="M1841">
        <v>303</v>
      </c>
      <c r="N1841" t="str">
        <f t="shared" si="935"/>
        <v>RECEITAS COM ENTREGAS</v>
      </c>
      <c r="P1841">
        <v>20.99</v>
      </c>
      <c r="Q1841" t="str">
        <f>"FARMÁCIA INDIANA LJ 141 (10065)"</f>
        <v>FARMÁCIA INDIANA LJ 141 (10065)</v>
      </c>
      <c r="R1841" t="str">
        <f t="shared" si="936"/>
        <v>RECEITAS COM ENTREGAS (303)</v>
      </c>
      <c r="S1841">
        <v>1340</v>
      </c>
      <c r="T1841">
        <v>1061</v>
      </c>
      <c r="U1841" t="s">
        <v>19</v>
      </c>
    </row>
    <row r="1842" spans="1:21">
      <c r="A1842" t="str">
        <f t="shared" si="927"/>
        <v>16/04/2025</v>
      </c>
      <c r="B1842" t="str">
        <f t="shared" si="937"/>
        <v>ENTRADA</v>
      </c>
      <c r="C1842" t="str">
        <f t="shared" si="928"/>
        <v>NFSE</v>
      </c>
      <c r="D1842" t="str">
        <f t="shared" si="929"/>
        <v>2869</v>
      </c>
      <c r="E1842" t="str">
        <f t="shared" si="938"/>
        <v>COM</v>
      </c>
      <c r="F1842" t="str">
        <f t="shared" si="930"/>
        <v>FARMÁCIA INDIANA LJ 1 (10126)</v>
      </c>
      <c r="G1842" t="str">
        <f t="shared" si="931"/>
        <v>Serv.Prest. 31/03/2025 a 06/04/2025 - RPS: 640 - NFSe: 2869</v>
      </c>
      <c r="H1842" t="str">
        <f t="shared" si="932"/>
        <v>16/04/2025</v>
      </c>
      <c r="I1842" t="str">
        <f t="shared" si="933"/>
        <v>08/04/2025</v>
      </c>
      <c r="J1842" t="str">
        <f t="shared" si="934"/>
        <v>16/04/2025</v>
      </c>
      <c r="M1842">
        <v>303</v>
      </c>
      <c r="N1842" t="str">
        <f t="shared" si="935"/>
        <v>RECEITAS COM ENTREGAS</v>
      </c>
      <c r="P1842">
        <v>624.51</v>
      </c>
      <c r="Q1842" t="str">
        <f>"FARMÁCIA INDIANA LJ 142 (10066)"</f>
        <v>FARMÁCIA INDIANA LJ 142 (10066)</v>
      </c>
      <c r="R1842" t="str">
        <f t="shared" si="936"/>
        <v>RECEITAS COM ENTREGAS (303)</v>
      </c>
      <c r="S1842">
        <v>1340</v>
      </c>
      <c r="T1842">
        <v>1061</v>
      </c>
      <c r="U1842" t="s">
        <v>19</v>
      </c>
    </row>
    <row r="1843" spans="1:21">
      <c r="A1843" t="str">
        <f t="shared" si="927"/>
        <v>16/04/2025</v>
      </c>
      <c r="B1843" t="str">
        <f t="shared" si="937"/>
        <v>ENTRADA</v>
      </c>
      <c r="C1843" t="str">
        <f t="shared" si="928"/>
        <v>NFSE</v>
      </c>
      <c r="D1843" t="str">
        <f t="shared" si="929"/>
        <v>2869</v>
      </c>
      <c r="E1843" t="str">
        <f t="shared" si="938"/>
        <v>COM</v>
      </c>
      <c r="F1843" t="str">
        <f t="shared" si="930"/>
        <v>FARMÁCIA INDIANA LJ 1 (10126)</v>
      </c>
      <c r="G1843" t="str">
        <f t="shared" si="931"/>
        <v>Serv.Prest. 31/03/2025 a 06/04/2025 - RPS: 640 - NFSe: 2869</v>
      </c>
      <c r="H1843" t="str">
        <f t="shared" si="932"/>
        <v>16/04/2025</v>
      </c>
      <c r="I1843" t="str">
        <f t="shared" si="933"/>
        <v>08/04/2025</v>
      </c>
      <c r="J1843" t="str">
        <f t="shared" si="934"/>
        <v>16/04/2025</v>
      </c>
      <c r="M1843">
        <v>303</v>
      </c>
      <c r="N1843" t="str">
        <f t="shared" si="935"/>
        <v>RECEITAS COM ENTREGAS</v>
      </c>
      <c r="P1843">
        <v>65.599999999999994</v>
      </c>
      <c r="Q1843" t="str">
        <f>"FARMÁCIA INDIANA LJ 143 (10067)"</f>
        <v>FARMÁCIA INDIANA LJ 143 (10067)</v>
      </c>
      <c r="R1843" t="str">
        <f t="shared" si="936"/>
        <v>RECEITAS COM ENTREGAS (303)</v>
      </c>
      <c r="S1843">
        <v>1340</v>
      </c>
      <c r="T1843">
        <v>1061</v>
      </c>
      <c r="U1843" t="s">
        <v>19</v>
      </c>
    </row>
    <row r="1844" spans="1:21">
      <c r="A1844" t="str">
        <f t="shared" si="927"/>
        <v>16/04/2025</v>
      </c>
      <c r="B1844" t="str">
        <f t="shared" si="937"/>
        <v>ENTRADA</v>
      </c>
      <c r="C1844" t="str">
        <f t="shared" si="928"/>
        <v>NFSE</v>
      </c>
      <c r="D1844" t="str">
        <f t="shared" si="929"/>
        <v>2869</v>
      </c>
      <c r="E1844" t="str">
        <f t="shared" si="938"/>
        <v>COM</v>
      </c>
      <c r="F1844" t="str">
        <f t="shared" si="930"/>
        <v>FARMÁCIA INDIANA LJ 1 (10126)</v>
      </c>
      <c r="G1844" t="str">
        <f t="shared" si="931"/>
        <v>Serv.Prest. 31/03/2025 a 06/04/2025 - RPS: 640 - NFSe: 2869</v>
      </c>
      <c r="H1844" t="str">
        <f t="shared" si="932"/>
        <v>16/04/2025</v>
      </c>
      <c r="I1844" t="str">
        <f t="shared" si="933"/>
        <v>08/04/2025</v>
      </c>
      <c r="J1844" t="str">
        <f t="shared" si="934"/>
        <v>16/04/2025</v>
      </c>
      <c r="M1844">
        <v>303</v>
      </c>
      <c r="N1844" t="str">
        <f t="shared" si="935"/>
        <v>RECEITAS COM ENTREGAS</v>
      </c>
      <c r="P1844">
        <v>149.57</v>
      </c>
      <c r="Q1844" t="str">
        <f>"FARMÁCIA INDIANA LJ 152 (10069)"</f>
        <v>FARMÁCIA INDIANA LJ 152 (10069)</v>
      </c>
      <c r="R1844" t="str">
        <f t="shared" si="936"/>
        <v>RECEITAS COM ENTREGAS (303)</v>
      </c>
      <c r="S1844">
        <v>1340</v>
      </c>
      <c r="T1844">
        <v>1061</v>
      </c>
      <c r="U1844" t="s">
        <v>19</v>
      </c>
    </row>
    <row r="1845" spans="1:21">
      <c r="A1845" t="str">
        <f t="shared" si="927"/>
        <v>16/04/2025</v>
      </c>
      <c r="B1845" t="str">
        <f t="shared" si="937"/>
        <v>ENTRADA</v>
      </c>
      <c r="C1845" t="str">
        <f t="shared" si="928"/>
        <v>NFSE</v>
      </c>
      <c r="D1845" t="str">
        <f t="shared" si="929"/>
        <v>2869</v>
      </c>
      <c r="E1845" t="str">
        <f t="shared" si="938"/>
        <v>COM</v>
      </c>
      <c r="F1845" t="str">
        <f t="shared" si="930"/>
        <v>FARMÁCIA INDIANA LJ 1 (10126)</v>
      </c>
      <c r="G1845" t="str">
        <f t="shared" si="931"/>
        <v>Serv.Prest. 31/03/2025 a 06/04/2025 - RPS: 640 - NFSe: 2869</v>
      </c>
      <c r="H1845" t="str">
        <f t="shared" si="932"/>
        <v>16/04/2025</v>
      </c>
      <c r="I1845" t="str">
        <f t="shared" si="933"/>
        <v>08/04/2025</v>
      </c>
      <c r="J1845" t="str">
        <f t="shared" si="934"/>
        <v>16/04/2025</v>
      </c>
      <c r="M1845">
        <v>303</v>
      </c>
      <c r="N1845" t="str">
        <f t="shared" si="935"/>
        <v>RECEITAS COM ENTREGAS</v>
      </c>
      <c r="P1845">
        <v>39.36</v>
      </c>
      <c r="Q1845" t="str">
        <f>"FARMÁCIA INDIANA LJ 154 (10070)"</f>
        <v>FARMÁCIA INDIANA LJ 154 (10070)</v>
      </c>
      <c r="R1845" t="str">
        <f t="shared" si="936"/>
        <v>RECEITAS COM ENTREGAS (303)</v>
      </c>
      <c r="S1845">
        <v>1340</v>
      </c>
      <c r="T1845">
        <v>1061</v>
      </c>
      <c r="U1845" t="s">
        <v>19</v>
      </c>
    </row>
    <row r="1846" spans="1:21">
      <c r="A1846" t="str">
        <f t="shared" si="927"/>
        <v>16/04/2025</v>
      </c>
      <c r="B1846" t="str">
        <f t="shared" si="937"/>
        <v>ENTRADA</v>
      </c>
      <c r="C1846" t="str">
        <f t="shared" si="928"/>
        <v>NFSE</v>
      </c>
      <c r="D1846" t="str">
        <f t="shared" si="929"/>
        <v>2869</v>
      </c>
      <c r="E1846" t="str">
        <f t="shared" si="938"/>
        <v>COM</v>
      </c>
      <c r="F1846" t="str">
        <f t="shared" si="930"/>
        <v>FARMÁCIA INDIANA LJ 1 (10126)</v>
      </c>
      <c r="G1846" t="str">
        <f t="shared" si="931"/>
        <v>Serv.Prest. 31/03/2025 a 06/04/2025 - RPS: 640 - NFSe: 2869</v>
      </c>
      <c r="H1846" t="str">
        <f t="shared" si="932"/>
        <v>16/04/2025</v>
      </c>
      <c r="I1846" t="str">
        <f t="shared" si="933"/>
        <v>08/04/2025</v>
      </c>
      <c r="J1846" t="str">
        <f t="shared" si="934"/>
        <v>16/04/2025</v>
      </c>
      <c r="M1846">
        <v>303</v>
      </c>
      <c r="N1846" t="str">
        <f t="shared" si="935"/>
        <v>RECEITAS COM ENTREGAS</v>
      </c>
      <c r="P1846">
        <v>362.11</v>
      </c>
      <c r="Q1846" t="str">
        <f>"FARMÁCIA INDIANA LJ 171 (10074)"</f>
        <v>FARMÁCIA INDIANA LJ 171 (10074)</v>
      </c>
      <c r="R1846" t="str">
        <f t="shared" si="936"/>
        <v>RECEITAS COM ENTREGAS (303)</v>
      </c>
      <c r="S1846">
        <v>1340</v>
      </c>
      <c r="T1846">
        <v>1061</v>
      </c>
      <c r="U1846" t="s">
        <v>19</v>
      </c>
    </row>
    <row r="1847" spans="1:21">
      <c r="A1847" t="str">
        <f t="shared" si="927"/>
        <v>16/04/2025</v>
      </c>
      <c r="B1847" t="str">
        <f t="shared" si="937"/>
        <v>ENTRADA</v>
      </c>
      <c r="C1847" t="str">
        <f t="shared" si="928"/>
        <v>NFSE</v>
      </c>
      <c r="D1847" t="str">
        <f t="shared" si="929"/>
        <v>2869</v>
      </c>
      <c r="E1847" t="str">
        <f t="shared" si="938"/>
        <v>COM</v>
      </c>
      <c r="F1847" t="str">
        <f t="shared" si="930"/>
        <v>FARMÁCIA INDIANA LJ 1 (10126)</v>
      </c>
      <c r="G1847" t="str">
        <f t="shared" si="931"/>
        <v>Serv.Prest. 31/03/2025 a 06/04/2025 - RPS: 640 - NFSe: 2869</v>
      </c>
      <c r="H1847" t="str">
        <f t="shared" si="932"/>
        <v>16/04/2025</v>
      </c>
      <c r="I1847" t="str">
        <f t="shared" si="933"/>
        <v>08/04/2025</v>
      </c>
      <c r="J1847" t="str">
        <f t="shared" si="934"/>
        <v>16/04/2025</v>
      </c>
      <c r="M1847">
        <v>303</v>
      </c>
      <c r="N1847" t="str">
        <f t="shared" si="935"/>
        <v>RECEITAS COM ENTREGAS</v>
      </c>
      <c r="P1847">
        <v>131.19999999999999</v>
      </c>
      <c r="Q1847" t="str">
        <f>"FARMÁCIA INDIANA LJ 175 (10076)"</f>
        <v>FARMÁCIA INDIANA LJ 175 (10076)</v>
      </c>
      <c r="R1847" t="str">
        <f t="shared" si="936"/>
        <v>RECEITAS COM ENTREGAS (303)</v>
      </c>
      <c r="S1847">
        <v>1340</v>
      </c>
      <c r="T1847">
        <v>1061</v>
      </c>
      <c r="U1847" t="s">
        <v>19</v>
      </c>
    </row>
    <row r="1848" spans="1:21">
      <c r="A1848" t="str">
        <f t="shared" ref="A1848:A1879" si="939">("16/04/2025")</f>
        <v>16/04/2025</v>
      </c>
      <c r="B1848" t="str">
        <f t="shared" si="937"/>
        <v>ENTRADA</v>
      </c>
      <c r="C1848" t="str">
        <f t="shared" ref="C1848:C1879" si="940">"NFSE"</f>
        <v>NFSE</v>
      </c>
      <c r="D1848" t="str">
        <f t="shared" si="929"/>
        <v>2869</v>
      </c>
      <c r="E1848" t="str">
        <f t="shared" si="938"/>
        <v>COM</v>
      </c>
      <c r="F1848" t="str">
        <f t="shared" si="930"/>
        <v>FARMÁCIA INDIANA LJ 1 (10126)</v>
      </c>
      <c r="G1848" t="str">
        <f t="shared" si="931"/>
        <v>Serv.Prest. 31/03/2025 a 06/04/2025 - RPS: 640 - NFSe: 2869</v>
      </c>
      <c r="H1848" t="str">
        <f t="shared" ref="H1848:H1879" si="941">("16/04/2025")</f>
        <v>16/04/2025</v>
      </c>
      <c r="I1848" t="str">
        <f t="shared" ref="I1848:I1881" si="942">("08/04/2025")</f>
        <v>08/04/2025</v>
      </c>
      <c r="J1848" t="str">
        <f t="shared" ref="J1848:J1879" si="943">("16/04/2025")</f>
        <v>16/04/2025</v>
      </c>
      <c r="M1848">
        <v>303</v>
      </c>
      <c r="N1848" t="str">
        <f t="shared" ref="N1848:N1879" si="944">"RECEITAS COM ENTREGAS"</f>
        <v>RECEITAS COM ENTREGAS</v>
      </c>
      <c r="P1848">
        <v>115.46</v>
      </c>
      <c r="Q1848" t="str">
        <f>"FARMÁCIA INDIANA LJ 178 (10077)"</f>
        <v>FARMÁCIA INDIANA LJ 178 (10077)</v>
      </c>
      <c r="R1848" t="str">
        <f t="shared" ref="R1848:R1879" si="945">"RECEITAS COM ENTREGAS (303)"</f>
        <v>RECEITAS COM ENTREGAS (303)</v>
      </c>
      <c r="S1848">
        <v>1340</v>
      </c>
      <c r="T1848">
        <v>1061</v>
      </c>
      <c r="U1848" t="s">
        <v>19</v>
      </c>
    </row>
    <row r="1849" spans="1:21">
      <c r="A1849" t="str">
        <f t="shared" si="939"/>
        <v>16/04/2025</v>
      </c>
      <c r="B1849" t="str">
        <f t="shared" si="937"/>
        <v>ENTRADA</v>
      </c>
      <c r="C1849" t="str">
        <f t="shared" si="940"/>
        <v>NFSE</v>
      </c>
      <c r="D1849" t="str">
        <f t="shared" si="929"/>
        <v>2869</v>
      </c>
      <c r="E1849" t="str">
        <f t="shared" si="938"/>
        <v>COM</v>
      </c>
      <c r="F1849" t="str">
        <f t="shared" si="930"/>
        <v>FARMÁCIA INDIANA LJ 1 (10126)</v>
      </c>
      <c r="G1849" t="str">
        <f t="shared" si="931"/>
        <v>Serv.Prest. 31/03/2025 a 06/04/2025 - RPS: 640 - NFSe: 2869</v>
      </c>
      <c r="H1849" t="str">
        <f t="shared" si="941"/>
        <v>16/04/2025</v>
      </c>
      <c r="I1849" t="str">
        <f t="shared" si="942"/>
        <v>08/04/2025</v>
      </c>
      <c r="J1849" t="str">
        <f t="shared" si="943"/>
        <v>16/04/2025</v>
      </c>
      <c r="M1849">
        <v>303</v>
      </c>
      <c r="N1849" t="str">
        <f t="shared" si="944"/>
        <v>RECEITAS COM ENTREGAS</v>
      </c>
      <c r="P1849">
        <v>80.03</v>
      </c>
      <c r="Q1849" t="str">
        <f>"FARMÁCIA INDIANA LJ 182 (10079)"</f>
        <v>FARMÁCIA INDIANA LJ 182 (10079)</v>
      </c>
      <c r="R1849" t="str">
        <f t="shared" si="945"/>
        <v>RECEITAS COM ENTREGAS (303)</v>
      </c>
      <c r="S1849">
        <v>1340</v>
      </c>
      <c r="T1849">
        <v>1061</v>
      </c>
      <c r="U1849" t="s">
        <v>19</v>
      </c>
    </row>
    <row r="1850" spans="1:21">
      <c r="A1850" t="str">
        <f t="shared" si="939"/>
        <v>16/04/2025</v>
      </c>
      <c r="B1850" t="str">
        <f t="shared" si="937"/>
        <v>ENTRADA</v>
      </c>
      <c r="C1850" t="str">
        <f t="shared" si="940"/>
        <v>NFSE</v>
      </c>
      <c r="D1850" t="str">
        <f t="shared" si="929"/>
        <v>2869</v>
      </c>
      <c r="E1850" t="str">
        <f t="shared" si="938"/>
        <v>COM</v>
      </c>
      <c r="F1850" t="str">
        <f t="shared" si="930"/>
        <v>FARMÁCIA INDIANA LJ 1 (10126)</v>
      </c>
      <c r="G1850" t="str">
        <f t="shared" si="931"/>
        <v>Serv.Prest. 31/03/2025 a 06/04/2025 - RPS: 640 - NFSe: 2869</v>
      </c>
      <c r="H1850" t="str">
        <f t="shared" si="941"/>
        <v>16/04/2025</v>
      </c>
      <c r="I1850" t="str">
        <f t="shared" si="942"/>
        <v>08/04/2025</v>
      </c>
      <c r="J1850" t="str">
        <f t="shared" si="943"/>
        <v>16/04/2025</v>
      </c>
      <c r="M1850">
        <v>303</v>
      </c>
      <c r="N1850" t="str">
        <f t="shared" si="944"/>
        <v>RECEITAS COM ENTREGAS</v>
      </c>
      <c r="P1850">
        <v>39.36</v>
      </c>
      <c r="Q1850" t="str">
        <f>"FARMÁCIA INDIANA LJ 184 (10080)"</f>
        <v>FARMÁCIA INDIANA LJ 184 (10080)</v>
      </c>
      <c r="R1850" t="str">
        <f t="shared" si="945"/>
        <v>RECEITAS COM ENTREGAS (303)</v>
      </c>
      <c r="S1850">
        <v>1340</v>
      </c>
      <c r="T1850">
        <v>1061</v>
      </c>
      <c r="U1850" t="s">
        <v>19</v>
      </c>
    </row>
    <row r="1851" spans="1:21">
      <c r="A1851" t="str">
        <f t="shared" si="939"/>
        <v>16/04/2025</v>
      </c>
      <c r="B1851" t="str">
        <f t="shared" si="937"/>
        <v>ENTRADA</v>
      </c>
      <c r="C1851" t="str">
        <f t="shared" si="940"/>
        <v>NFSE</v>
      </c>
      <c r="D1851" t="str">
        <f t="shared" si="929"/>
        <v>2869</v>
      </c>
      <c r="E1851" t="str">
        <f t="shared" si="938"/>
        <v>COM</v>
      </c>
      <c r="F1851" t="str">
        <f t="shared" si="930"/>
        <v>FARMÁCIA INDIANA LJ 1 (10126)</v>
      </c>
      <c r="G1851" t="str">
        <f t="shared" si="931"/>
        <v>Serv.Prest. 31/03/2025 a 06/04/2025 - RPS: 640 - NFSe: 2869</v>
      </c>
      <c r="H1851" t="str">
        <f t="shared" si="941"/>
        <v>16/04/2025</v>
      </c>
      <c r="I1851" t="str">
        <f t="shared" si="942"/>
        <v>08/04/2025</v>
      </c>
      <c r="J1851" t="str">
        <f t="shared" si="943"/>
        <v>16/04/2025</v>
      </c>
      <c r="M1851">
        <v>303</v>
      </c>
      <c r="N1851" t="str">
        <f t="shared" si="944"/>
        <v>RECEITAS COM ENTREGAS</v>
      </c>
      <c r="P1851">
        <v>80.03</v>
      </c>
      <c r="Q1851" t="str">
        <f>"FARMÁCIA INDIANA LJ 186 (10081)"</f>
        <v>FARMÁCIA INDIANA LJ 186 (10081)</v>
      </c>
      <c r="R1851" t="str">
        <f t="shared" si="945"/>
        <v>RECEITAS COM ENTREGAS (303)</v>
      </c>
      <c r="S1851">
        <v>1340</v>
      </c>
      <c r="T1851">
        <v>1061</v>
      </c>
      <c r="U1851" t="s">
        <v>19</v>
      </c>
    </row>
    <row r="1852" spans="1:21">
      <c r="A1852" t="str">
        <f t="shared" si="939"/>
        <v>16/04/2025</v>
      </c>
      <c r="B1852" t="str">
        <f t="shared" si="937"/>
        <v>ENTRADA</v>
      </c>
      <c r="C1852" t="str">
        <f t="shared" si="940"/>
        <v>NFSE</v>
      </c>
      <c r="D1852" t="str">
        <f t="shared" si="929"/>
        <v>2869</v>
      </c>
      <c r="E1852" t="str">
        <f t="shared" si="938"/>
        <v>COM</v>
      </c>
      <c r="F1852" t="str">
        <f t="shared" si="930"/>
        <v>FARMÁCIA INDIANA LJ 1 (10126)</v>
      </c>
      <c r="G1852" t="str">
        <f t="shared" si="931"/>
        <v>Serv.Prest. 31/03/2025 a 06/04/2025 - RPS: 640 - NFSe: 2869</v>
      </c>
      <c r="H1852" t="str">
        <f t="shared" si="941"/>
        <v>16/04/2025</v>
      </c>
      <c r="I1852" t="str">
        <f t="shared" si="942"/>
        <v>08/04/2025</v>
      </c>
      <c r="J1852" t="str">
        <f t="shared" si="943"/>
        <v>16/04/2025</v>
      </c>
      <c r="M1852">
        <v>303</v>
      </c>
      <c r="N1852" t="str">
        <f t="shared" si="944"/>
        <v>RECEITAS COM ENTREGAS</v>
      </c>
      <c r="P1852">
        <v>44.61</v>
      </c>
      <c r="Q1852" t="str">
        <f>"FARMÁCIA INDIANA LJ 192 (10082)"</f>
        <v>FARMÁCIA INDIANA LJ 192 (10082)</v>
      </c>
      <c r="R1852" t="str">
        <f t="shared" si="945"/>
        <v>RECEITAS COM ENTREGAS (303)</v>
      </c>
      <c r="S1852">
        <v>1340</v>
      </c>
      <c r="T1852">
        <v>1061</v>
      </c>
      <c r="U1852" t="s">
        <v>19</v>
      </c>
    </row>
    <row r="1853" spans="1:21">
      <c r="A1853" t="str">
        <f t="shared" si="939"/>
        <v>16/04/2025</v>
      </c>
      <c r="B1853" t="str">
        <f t="shared" si="937"/>
        <v>ENTRADA</v>
      </c>
      <c r="C1853" t="str">
        <f t="shared" si="940"/>
        <v>NFSE</v>
      </c>
      <c r="D1853" t="str">
        <f t="shared" si="929"/>
        <v>2869</v>
      </c>
      <c r="E1853" t="str">
        <f t="shared" si="938"/>
        <v>COM</v>
      </c>
      <c r="F1853" t="str">
        <f t="shared" si="930"/>
        <v>FARMÁCIA INDIANA LJ 1 (10126)</v>
      </c>
      <c r="G1853" t="str">
        <f t="shared" si="931"/>
        <v>Serv.Prest. 31/03/2025 a 06/04/2025 - RPS: 640 - NFSe: 2869</v>
      </c>
      <c r="H1853" t="str">
        <f t="shared" si="941"/>
        <v>16/04/2025</v>
      </c>
      <c r="I1853" t="str">
        <f t="shared" si="942"/>
        <v>08/04/2025</v>
      </c>
      <c r="J1853" t="str">
        <f t="shared" si="943"/>
        <v>16/04/2025</v>
      </c>
      <c r="M1853">
        <v>303</v>
      </c>
      <c r="N1853" t="str">
        <f t="shared" si="944"/>
        <v>RECEITAS COM ENTREGAS</v>
      </c>
      <c r="P1853">
        <v>39.36</v>
      </c>
      <c r="Q1853" t="str">
        <f>"FARMÁCIA INDIANA LJ 195 (10083)"</f>
        <v>FARMÁCIA INDIANA LJ 195 (10083)</v>
      </c>
      <c r="R1853" t="str">
        <f t="shared" si="945"/>
        <v>RECEITAS COM ENTREGAS (303)</v>
      </c>
      <c r="S1853">
        <v>1340</v>
      </c>
      <c r="T1853">
        <v>1061</v>
      </c>
      <c r="U1853" t="s">
        <v>19</v>
      </c>
    </row>
    <row r="1854" spans="1:21">
      <c r="A1854" t="str">
        <f t="shared" si="939"/>
        <v>16/04/2025</v>
      </c>
      <c r="B1854" t="str">
        <f t="shared" si="937"/>
        <v>ENTRADA</v>
      </c>
      <c r="C1854" t="str">
        <f t="shared" si="940"/>
        <v>NFSE</v>
      </c>
      <c r="D1854" t="str">
        <f t="shared" si="929"/>
        <v>2869</v>
      </c>
      <c r="E1854" t="str">
        <f t="shared" si="938"/>
        <v>COM</v>
      </c>
      <c r="F1854" t="str">
        <f t="shared" si="930"/>
        <v>FARMÁCIA INDIANA LJ 1 (10126)</v>
      </c>
      <c r="G1854" t="str">
        <f t="shared" si="931"/>
        <v>Serv.Prest. 31/03/2025 a 06/04/2025 - RPS: 640 - NFSe: 2869</v>
      </c>
      <c r="H1854" t="str">
        <f t="shared" si="941"/>
        <v>16/04/2025</v>
      </c>
      <c r="I1854" t="str">
        <f t="shared" si="942"/>
        <v>08/04/2025</v>
      </c>
      <c r="J1854" t="str">
        <f t="shared" si="943"/>
        <v>16/04/2025</v>
      </c>
      <c r="M1854">
        <v>303</v>
      </c>
      <c r="N1854" t="str">
        <f t="shared" si="944"/>
        <v>RECEITAS COM ENTREGAS</v>
      </c>
      <c r="P1854">
        <v>160.06</v>
      </c>
      <c r="Q1854" t="str">
        <f>"FARMÁCIA INDIANA LJ 202 (10085)"</f>
        <v>FARMÁCIA INDIANA LJ 202 (10085)</v>
      </c>
      <c r="R1854" t="str">
        <f t="shared" si="945"/>
        <v>RECEITAS COM ENTREGAS (303)</v>
      </c>
      <c r="S1854">
        <v>1340</v>
      </c>
      <c r="T1854">
        <v>1061</v>
      </c>
      <c r="U1854" t="s">
        <v>19</v>
      </c>
    </row>
    <row r="1855" spans="1:21">
      <c r="A1855" t="str">
        <f t="shared" si="939"/>
        <v>16/04/2025</v>
      </c>
      <c r="B1855" t="str">
        <f t="shared" si="937"/>
        <v>ENTRADA</v>
      </c>
      <c r="C1855" t="str">
        <f t="shared" si="940"/>
        <v>NFSE</v>
      </c>
      <c r="D1855" t="str">
        <f t="shared" si="929"/>
        <v>2869</v>
      </c>
      <c r="E1855" t="str">
        <f t="shared" si="938"/>
        <v>COM</v>
      </c>
      <c r="F1855" t="str">
        <f t="shared" si="930"/>
        <v>FARMÁCIA INDIANA LJ 1 (10126)</v>
      </c>
      <c r="G1855" t="str">
        <f t="shared" si="931"/>
        <v>Serv.Prest. 31/03/2025 a 06/04/2025 - RPS: 640 - NFSe: 2869</v>
      </c>
      <c r="H1855" t="str">
        <f t="shared" si="941"/>
        <v>16/04/2025</v>
      </c>
      <c r="I1855" t="str">
        <f t="shared" si="942"/>
        <v>08/04/2025</v>
      </c>
      <c r="J1855" t="str">
        <f t="shared" si="943"/>
        <v>16/04/2025</v>
      </c>
      <c r="M1855">
        <v>303</v>
      </c>
      <c r="N1855" t="str">
        <f t="shared" si="944"/>
        <v>RECEITAS COM ENTREGAS</v>
      </c>
      <c r="P1855">
        <v>106.27</v>
      </c>
      <c r="Q1855" t="str">
        <f>"FARMÁCIA INDIANA LJ 204 (10087)"</f>
        <v>FARMÁCIA INDIANA LJ 204 (10087)</v>
      </c>
      <c r="R1855" t="str">
        <f t="shared" si="945"/>
        <v>RECEITAS COM ENTREGAS (303)</v>
      </c>
      <c r="S1855">
        <v>1340</v>
      </c>
      <c r="T1855">
        <v>1061</v>
      </c>
      <c r="U1855" t="s">
        <v>19</v>
      </c>
    </row>
    <row r="1856" spans="1:21">
      <c r="A1856" t="str">
        <f t="shared" si="939"/>
        <v>16/04/2025</v>
      </c>
      <c r="B1856" t="str">
        <f t="shared" si="937"/>
        <v>ENTRADA</v>
      </c>
      <c r="C1856" t="str">
        <f t="shared" si="940"/>
        <v>NFSE</v>
      </c>
      <c r="D1856" t="str">
        <f t="shared" si="929"/>
        <v>2869</v>
      </c>
      <c r="E1856" t="str">
        <f t="shared" si="938"/>
        <v>COM</v>
      </c>
      <c r="F1856" t="str">
        <f t="shared" si="930"/>
        <v>FARMÁCIA INDIANA LJ 1 (10126)</v>
      </c>
      <c r="G1856" t="str">
        <f t="shared" si="931"/>
        <v>Serv.Prest. 31/03/2025 a 06/04/2025 - RPS: 640 - NFSe: 2869</v>
      </c>
      <c r="H1856" t="str">
        <f t="shared" si="941"/>
        <v>16/04/2025</v>
      </c>
      <c r="I1856" t="str">
        <f t="shared" si="942"/>
        <v>08/04/2025</v>
      </c>
      <c r="J1856" t="str">
        <f t="shared" si="943"/>
        <v>16/04/2025</v>
      </c>
      <c r="M1856">
        <v>303</v>
      </c>
      <c r="N1856" t="str">
        <f t="shared" si="944"/>
        <v>RECEITAS COM ENTREGAS</v>
      </c>
      <c r="P1856">
        <v>106.27</v>
      </c>
      <c r="Q1856" t="str">
        <f>"FARMÁCIA INDIANA LJ 207 (10088)"</f>
        <v>FARMÁCIA INDIANA LJ 207 (10088)</v>
      </c>
      <c r="R1856" t="str">
        <f t="shared" si="945"/>
        <v>RECEITAS COM ENTREGAS (303)</v>
      </c>
      <c r="S1856">
        <v>1340</v>
      </c>
      <c r="T1856">
        <v>1061</v>
      </c>
      <c r="U1856" t="s">
        <v>19</v>
      </c>
    </row>
    <row r="1857" spans="1:21">
      <c r="A1857" t="str">
        <f t="shared" si="939"/>
        <v>16/04/2025</v>
      </c>
      <c r="B1857" t="str">
        <f t="shared" si="937"/>
        <v>ENTRADA</v>
      </c>
      <c r="C1857" t="str">
        <f t="shared" si="940"/>
        <v>NFSE</v>
      </c>
      <c r="D1857" t="str">
        <f t="shared" si="929"/>
        <v>2869</v>
      </c>
      <c r="E1857" t="str">
        <f t="shared" si="938"/>
        <v>COM</v>
      </c>
      <c r="F1857" t="str">
        <f t="shared" si="930"/>
        <v>FARMÁCIA INDIANA LJ 1 (10126)</v>
      </c>
      <c r="G1857" t="str">
        <f t="shared" si="931"/>
        <v>Serv.Prest. 31/03/2025 a 06/04/2025 - RPS: 640 - NFSe: 2869</v>
      </c>
      <c r="H1857" t="str">
        <f t="shared" si="941"/>
        <v>16/04/2025</v>
      </c>
      <c r="I1857" t="str">
        <f t="shared" si="942"/>
        <v>08/04/2025</v>
      </c>
      <c r="J1857" t="str">
        <f t="shared" si="943"/>
        <v>16/04/2025</v>
      </c>
      <c r="M1857">
        <v>303</v>
      </c>
      <c r="N1857" t="str">
        <f t="shared" si="944"/>
        <v>RECEITAS COM ENTREGAS</v>
      </c>
      <c r="P1857">
        <v>125.95</v>
      </c>
      <c r="Q1857" t="str">
        <f>"FARMÁCIA INDIANA LJ 209 (10089)"</f>
        <v>FARMÁCIA INDIANA LJ 209 (10089)</v>
      </c>
      <c r="R1857" t="str">
        <f t="shared" si="945"/>
        <v>RECEITAS COM ENTREGAS (303)</v>
      </c>
      <c r="S1857">
        <v>1340</v>
      </c>
      <c r="T1857">
        <v>1061</v>
      </c>
      <c r="U1857" t="s">
        <v>19</v>
      </c>
    </row>
    <row r="1858" spans="1:21">
      <c r="A1858" t="str">
        <f t="shared" si="939"/>
        <v>16/04/2025</v>
      </c>
      <c r="B1858" t="str">
        <f t="shared" si="937"/>
        <v>ENTRADA</v>
      </c>
      <c r="C1858" t="str">
        <f t="shared" si="940"/>
        <v>NFSE</v>
      </c>
      <c r="D1858" t="str">
        <f t="shared" si="929"/>
        <v>2869</v>
      </c>
      <c r="E1858" t="str">
        <f t="shared" si="938"/>
        <v>COM</v>
      </c>
      <c r="F1858" t="str">
        <f t="shared" si="930"/>
        <v>FARMÁCIA INDIANA LJ 1 (10126)</v>
      </c>
      <c r="G1858" t="str">
        <f t="shared" si="931"/>
        <v>Serv.Prest. 31/03/2025 a 06/04/2025 - RPS: 640 - NFSe: 2869</v>
      </c>
      <c r="H1858" t="str">
        <f t="shared" si="941"/>
        <v>16/04/2025</v>
      </c>
      <c r="I1858" t="str">
        <f t="shared" si="942"/>
        <v>08/04/2025</v>
      </c>
      <c r="J1858" t="str">
        <f t="shared" si="943"/>
        <v>16/04/2025</v>
      </c>
      <c r="M1858">
        <v>303</v>
      </c>
      <c r="N1858" t="str">
        <f t="shared" si="944"/>
        <v>RECEITAS COM ENTREGAS</v>
      </c>
      <c r="P1858">
        <v>194.18</v>
      </c>
      <c r="Q1858" t="str">
        <f>"FARMÁCIA INDIANA LJ 219 (10091)"</f>
        <v>FARMÁCIA INDIANA LJ 219 (10091)</v>
      </c>
      <c r="R1858" t="str">
        <f t="shared" si="945"/>
        <v>RECEITAS COM ENTREGAS (303)</v>
      </c>
      <c r="S1858">
        <v>1340</v>
      </c>
      <c r="T1858">
        <v>1061</v>
      </c>
      <c r="U1858" t="s">
        <v>19</v>
      </c>
    </row>
    <row r="1859" spans="1:21">
      <c r="A1859" t="str">
        <f t="shared" si="939"/>
        <v>16/04/2025</v>
      </c>
      <c r="B1859" t="str">
        <f t="shared" si="937"/>
        <v>ENTRADA</v>
      </c>
      <c r="C1859" t="str">
        <f t="shared" si="940"/>
        <v>NFSE</v>
      </c>
      <c r="D1859" t="str">
        <f t="shared" si="929"/>
        <v>2869</v>
      </c>
      <c r="E1859" t="str">
        <f t="shared" si="938"/>
        <v>COM</v>
      </c>
      <c r="F1859" t="str">
        <f t="shared" si="930"/>
        <v>FARMÁCIA INDIANA LJ 1 (10126)</v>
      </c>
      <c r="G1859" t="str">
        <f t="shared" si="931"/>
        <v>Serv.Prest. 31/03/2025 a 06/04/2025 - RPS: 640 - NFSe: 2869</v>
      </c>
      <c r="H1859" t="str">
        <f t="shared" si="941"/>
        <v>16/04/2025</v>
      </c>
      <c r="I1859" t="str">
        <f t="shared" si="942"/>
        <v>08/04/2025</v>
      </c>
      <c r="J1859" t="str">
        <f t="shared" si="943"/>
        <v>16/04/2025</v>
      </c>
      <c r="M1859">
        <v>303</v>
      </c>
      <c r="N1859" t="str">
        <f t="shared" si="944"/>
        <v>RECEITAS COM ENTREGAS</v>
      </c>
      <c r="P1859">
        <v>192.86</v>
      </c>
      <c r="Q1859" t="str">
        <f>"FARMÁCIA INDIANA LJ 220 (10092)"</f>
        <v>FARMÁCIA INDIANA LJ 220 (10092)</v>
      </c>
      <c r="R1859" t="str">
        <f t="shared" si="945"/>
        <v>RECEITAS COM ENTREGAS (303)</v>
      </c>
      <c r="S1859">
        <v>1340</v>
      </c>
      <c r="T1859">
        <v>1061</v>
      </c>
      <c r="U1859" t="s">
        <v>19</v>
      </c>
    </row>
    <row r="1860" spans="1:21">
      <c r="A1860" t="str">
        <f t="shared" si="939"/>
        <v>16/04/2025</v>
      </c>
      <c r="B1860" t="str">
        <f t="shared" si="937"/>
        <v>ENTRADA</v>
      </c>
      <c r="C1860" t="str">
        <f t="shared" si="940"/>
        <v>NFSE</v>
      </c>
      <c r="D1860" t="str">
        <f t="shared" si="929"/>
        <v>2869</v>
      </c>
      <c r="E1860" t="str">
        <f t="shared" si="938"/>
        <v>COM</v>
      </c>
      <c r="F1860" t="str">
        <f t="shared" si="930"/>
        <v>FARMÁCIA INDIANA LJ 1 (10126)</v>
      </c>
      <c r="G1860" t="str">
        <f t="shared" si="931"/>
        <v>Serv.Prest. 31/03/2025 a 06/04/2025 - RPS: 640 - NFSe: 2869</v>
      </c>
      <c r="H1860" t="str">
        <f t="shared" si="941"/>
        <v>16/04/2025</v>
      </c>
      <c r="I1860" t="str">
        <f t="shared" si="942"/>
        <v>08/04/2025</v>
      </c>
      <c r="J1860" t="str">
        <f t="shared" si="943"/>
        <v>16/04/2025</v>
      </c>
      <c r="M1860">
        <v>303</v>
      </c>
      <c r="N1860" t="str">
        <f t="shared" si="944"/>
        <v>RECEITAS COM ENTREGAS</v>
      </c>
      <c r="P1860">
        <v>183.68</v>
      </c>
      <c r="Q1860" t="str">
        <f>"FARMÁCIA INDIANA LJ 185 (10141)"</f>
        <v>FARMÁCIA INDIANA LJ 185 (10141)</v>
      </c>
      <c r="R1860" t="str">
        <f t="shared" si="945"/>
        <v>RECEITAS COM ENTREGAS (303)</v>
      </c>
      <c r="S1860">
        <v>1340</v>
      </c>
      <c r="T1860">
        <v>1061</v>
      </c>
      <c r="U1860" t="s">
        <v>19</v>
      </c>
    </row>
    <row r="1861" spans="1:21">
      <c r="A1861" t="str">
        <f t="shared" si="939"/>
        <v>16/04/2025</v>
      </c>
      <c r="B1861" t="str">
        <f t="shared" si="937"/>
        <v>ENTRADA</v>
      </c>
      <c r="C1861" t="str">
        <f t="shared" si="940"/>
        <v>NFSE</v>
      </c>
      <c r="D1861" t="str">
        <f t="shared" si="929"/>
        <v>2869</v>
      </c>
      <c r="E1861" t="str">
        <f t="shared" si="938"/>
        <v>COM</v>
      </c>
      <c r="F1861" t="str">
        <f t="shared" si="930"/>
        <v>FARMÁCIA INDIANA LJ 1 (10126)</v>
      </c>
      <c r="G1861" t="str">
        <f t="shared" si="931"/>
        <v>Serv.Prest. 31/03/2025 a 06/04/2025 - RPS: 640 - NFSe: 2869</v>
      </c>
      <c r="H1861" t="str">
        <f t="shared" si="941"/>
        <v>16/04/2025</v>
      </c>
      <c r="I1861" t="str">
        <f t="shared" si="942"/>
        <v>08/04/2025</v>
      </c>
      <c r="J1861" t="str">
        <f t="shared" si="943"/>
        <v>16/04/2025</v>
      </c>
      <c r="M1861">
        <v>303</v>
      </c>
      <c r="N1861" t="str">
        <f t="shared" si="944"/>
        <v>RECEITAS COM ENTREGAS</v>
      </c>
      <c r="P1861">
        <v>620.57000000000005</v>
      </c>
      <c r="Q1861" t="str">
        <f>"FARMÁCIA INDIANA LJ 172 (10161)"</f>
        <v>FARMÁCIA INDIANA LJ 172 (10161)</v>
      </c>
      <c r="R1861" t="str">
        <f t="shared" si="945"/>
        <v>RECEITAS COM ENTREGAS (303)</v>
      </c>
      <c r="S1861">
        <v>1340</v>
      </c>
      <c r="T1861">
        <v>1061</v>
      </c>
      <c r="U1861" t="s">
        <v>19</v>
      </c>
    </row>
    <row r="1862" spans="1:21">
      <c r="A1862" t="str">
        <f t="shared" si="939"/>
        <v>16/04/2025</v>
      </c>
      <c r="B1862" t="str">
        <f t="shared" si="937"/>
        <v>ENTRADA</v>
      </c>
      <c r="C1862" t="str">
        <f t="shared" si="940"/>
        <v>NFSE</v>
      </c>
      <c r="D1862" t="str">
        <f t="shared" ref="D1862:D1869" si="946">"2867"</f>
        <v>2867</v>
      </c>
      <c r="E1862" t="str">
        <f t="shared" si="938"/>
        <v>COM</v>
      </c>
      <c r="F1862" t="str">
        <f t="shared" ref="F1862:F1869" si="947">"FARMÁCIA INDIANA LJ 85 (10128)"</f>
        <v>FARMÁCIA INDIANA LJ 85 (10128)</v>
      </c>
      <c r="G1862" t="str">
        <f t="shared" ref="G1862:G1869" si="948">"Serv.Prest. 31/03/2025 a 06/04/2025 - RPS: 638 - NFSe: 2867"</f>
        <v>Serv.Prest. 31/03/2025 a 06/04/2025 - RPS: 638 - NFSe: 2867</v>
      </c>
      <c r="H1862" t="str">
        <f t="shared" si="941"/>
        <v>16/04/2025</v>
      </c>
      <c r="I1862" t="str">
        <f t="shared" si="942"/>
        <v>08/04/2025</v>
      </c>
      <c r="J1862" t="str">
        <f t="shared" si="943"/>
        <v>16/04/2025</v>
      </c>
      <c r="K1862">
        <v>1008.63</v>
      </c>
      <c r="L1862">
        <v>1008.63</v>
      </c>
      <c r="M1862">
        <v>303</v>
      </c>
      <c r="N1862" t="str">
        <f t="shared" si="944"/>
        <v>RECEITAS COM ENTREGAS</v>
      </c>
      <c r="O1862">
        <v>1008.63</v>
      </c>
      <c r="R1862" t="str">
        <f t="shared" si="945"/>
        <v>RECEITAS COM ENTREGAS (303)</v>
      </c>
      <c r="S1862">
        <v>1348</v>
      </c>
      <c r="T1862">
        <v>1059</v>
      </c>
      <c r="U1862" t="s">
        <v>19</v>
      </c>
    </row>
    <row r="1863" spans="1:21">
      <c r="A1863" t="str">
        <f t="shared" si="939"/>
        <v>16/04/2025</v>
      </c>
      <c r="B1863" t="str">
        <f t="shared" si="937"/>
        <v>ENTRADA</v>
      </c>
      <c r="C1863" t="str">
        <f t="shared" si="940"/>
        <v>NFSE</v>
      </c>
      <c r="D1863" t="str">
        <f t="shared" si="946"/>
        <v>2867</v>
      </c>
      <c r="E1863" t="str">
        <f t="shared" si="938"/>
        <v>COM</v>
      </c>
      <c r="F1863" t="str">
        <f t="shared" si="947"/>
        <v>FARMÁCIA INDIANA LJ 85 (10128)</v>
      </c>
      <c r="G1863" t="str">
        <f t="shared" si="948"/>
        <v>Serv.Prest. 31/03/2025 a 06/04/2025 - RPS: 638 - NFSe: 2867</v>
      </c>
      <c r="H1863" t="str">
        <f t="shared" si="941"/>
        <v>16/04/2025</v>
      </c>
      <c r="I1863" t="str">
        <f t="shared" si="942"/>
        <v>08/04/2025</v>
      </c>
      <c r="J1863" t="str">
        <f t="shared" si="943"/>
        <v>16/04/2025</v>
      </c>
      <c r="M1863">
        <v>303</v>
      </c>
      <c r="N1863" t="str">
        <f t="shared" si="944"/>
        <v>RECEITAS COM ENTREGAS</v>
      </c>
      <c r="P1863">
        <v>171.56</v>
      </c>
      <c r="Q1863" t="str">
        <f>"FARMÁCIA INDIANA LJ 119 (10053)"</f>
        <v>FARMÁCIA INDIANA LJ 119 (10053)</v>
      </c>
      <c r="R1863" t="str">
        <f t="shared" si="945"/>
        <v>RECEITAS COM ENTREGAS (303)</v>
      </c>
      <c r="S1863">
        <v>1348</v>
      </c>
      <c r="T1863">
        <v>1059</v>
      </c>
      <c r="U1863" t="s">
        <v>19</v>
      </c>
    </row>
    <row r="1864" spans="1:21">
      <c r="A1864" t="str">
        <f t="shared" si="939"/>
        <v>16/04/2025</v>
      </c>
      <c r="B1864" t="str">
        <f t="shared" si="937"/>
        <v>ENTRADA</v>
      </c>
      <c r="C1864" t="str">
        <f t="shared" si="940"/>
        <v>NFSE</v>
      </c>
      <c r="D1864" t="str">
        <f t="shared" si="946"/>
        <v>2867</v>
      </c>
      <c r="E1864" t="str">
        <f t="shared" si="938"/>
        <v>COM</v>
      </c>
      <c r="F1864" t="str">
        <f t="shared" si="947"/>
        <v>FARMÁCIA INDIANA LJ 85 (10128)</v>
      </c>
      <c r="G1864" t="str">
        <f t="shared" si="948"/>
        <v>Serv.Prest. 31/03/2025 a 06/04/2025 - RPS: 638 - NFSe: 2867</v>
      </c>
      <c r="H1864" t="str">
        <f t="shared" si="941"/>
        <v>16/04/2025</v>
      </c>
      <c r="I1864" t="str">
        <f t="shared" si="942"/>
        <v>08/04/2025</v>
      </c>
      <c r="J1864" t="str">
        <f t="shared" si="943"/>
        <v>16/04/2025</v>
      </c>
      <c r="M1864">
        <v>303</v>
      </c>
      <c r="N1864" t="str">
        <f t="shared" si="944"/>
        <v>RECEITAS COM ENTREGAS</v>
      </c>
      <c r="P1864">
        <v>159.97</v>
      </c>
      <c r="Q1864" t="str">
        <f>"FARMÁCIA INDIANA LJ 163 (10072)"</f>
        <v>FARMÁCIA INDIANA LJ 163 (10072)</v>
      </c>
      <c r="R1864" t="str">
        <f t="shared" si="945"/>
        <v>RECEITAS COM ENTREGAS (303)</v>
      </c>
      <c r="S1864">
        <v>1348</v>
      </c>
      <c r="T1864">
        <v>1059</v>
      </c>
      <c r="U1864" t="s">
        <v>19</v>
      </c>
    </row>
    <row r="1865" spans="1:21">
      <c r="A1865" t="str">
        <f t="shared" si="939"/>
        <v>16/04/2025</v>
      </c>
      <c r="B1865" t="str">
        <f t="shared" si="937"/>
        <v>ENTRADA</v>
      </c>
      <c r="C1865" t="str">
        <f t="shared" si="940"/>
        <v>NFSE</v>
      </c>
      <c r="D1865" t="str">
        <f t="shared" si="946"/>
        <v>2867</v>
      </c>
      <c r="E1865" t="str">
        <f t="shared" si="938"/>
        <v>COM</v>
      </c>
      <c r="F1865" t="str">
        <f t="shared" si="947"/>
        <v>FARMÁCIA INDIANA LJ 85 (10128)</v>
      </c>
      <c r="G1865" t="str">
        <f t="shared" si="948"/>
        <v>Serv.Prest. 31/03/2025 a 06/04/2025 - RPS: 638 - NFSe: 2867</v>
      </c>
      <c r="H1865" t="str">
        <f t="shared" si="941"/>
        <v>16/04/2025</v>
      </c>
      <c r="I1865" t="str">
        <f t="shared" si="942"/>
        <v>08/04/2025</v>
      </c>
      <c r="J1865" t="str">
        <f t="shared" si="943"/>
        <v>16/04/2025</v>
      </c>
      <c r="M1865">
        <v>303</v>
      </c>
      <c r="N1865" t="str">
        <f t="shared" si="944"/>
        <v>RECEITAS COM ENTREGAS</v>
      </c>
      <c r="P1865">
        <v>161.99</v>
      </c>
      <c r="Q1865" t="str">
        <f>"FARMÁCIA INDIANA LJ 181 (10078)"</f>
        <v>FARMÁCIA INDIANA LJ 181 (10078)</v>
      </c>
      <c r="R1865" t="str">
        <f t="shared" si="945"/>
        <v>RECEITAS COM ENTREGAS (303)</v>
      </c>
      <c r="S1865">
        <v>1348</v>
      </c>
      <c r="T1865">
        <v>1059</v>
      </c>
      <c r="U1865" t="s">
        <v>19</v>
      </c>
    </row>
    <row r="1866" spans="1:21">
      <c r="A1866" t="str">
        <f t="shared" si="939"/>
        <v>16/04/2025</v>
      </c>
      <c r="B1866" t="str">
        <f t="shared" si="937"/>
        <v>ENTRADA</v>
      </c>
      <c r="C1866" t="str">
        <f t="shared" si="940"/>
        <v>NFSE</v>
      </c>
      <c r="D1866" t="str">
        <f t="shared" si="946"/>
        <v>2867</v>
      </c>
      <c r="E1866" t="str">
        <f t="shared" si="938"/>
        <v>COM</v>
      </c>
      <c r="F1866" t="str">
        <f t="shared" si="947"/>
        <v>FARMÁCIA INDIANA LJ 85 (10128)</v>
      </c>
      <c r="G1866" t="str">
        <f t="shared" si="948"/>
        <v>Serv.Prest. 31/03/2025 a 06/04/2025 - RPS: 638 - NFSe: 2867</v>
      </c>
      <c r="H1866" t="str">
        <f t="shared" si="941"/>
        <v>16/04/2025</v>
      </c>
      <c r="I1866" t="str">
        <f t="shared" si="942"/>
        <v>08/04/2025</v>
      </c>
      <c r="J1866" t="str">
        <f t="shared" si="943"/>
        <v>16/04/2025</v>
      </c>
      <c r="M1866">
        <v>303</v>
      </c>
      <c r="N1866" t="str">
        <f t="shared" si="944"/>
        <v>RECEITAS COM ENTREGAS</v>
      </c>
      <c r="P1866">
        <v>172.48</v>
      </c>
      <c r="Q1866" t="str">
        <f>"FARMÁCIA INDIANA LJ 221 (10093)"</f>
        <v>FARMÁCIA INDIANA LJ 221 (10093)</v>
      </c>
      <c r="R1866" t="str">
        <f t="shared" si="945"/>
        <v>RECEITAS COM ENTREGAS (303)</v>
      </c>
      <c r="S1866">
        <v>1348</v>
      </c>
      <c r="T1866">
        <v>1059</v>
      </c>
      <c r="U1866" t="s">
        <v>19</v>
      </c>
    </row>
    <row r="1867" spans="1:21">
      <c r="A1867" t="str">
        <f t="shared" si="939"/>
        <v>16/04/2025</v>
      </c>
      <c r="B1867" t="str">
        <f t="shared" si="937"/>
        <v>ENTRADA</v>
      </c>
      <c r="C1867" t="str">
        <f t="shared" si="940"/>
        <v>NFSE</v>
      </c>
      <c r="D1867" t="str">
        <f t="shared" si="946"/>
        <v>2867</v>
      </c>
      <c r="E1867" t="str">
        <f t="shared" si="938"/>
        <v>COM</v>
      </c>
      <c r="F1867" t="str">
        <f t="shared" si="947"/>
        <v>FARMÁCIA INDIANA LJ 85 (10128)</v>
      </c>
      <c r="G1867" t="str">
        <f t="shared" si="948"/>
        <v>Serv.Prest. 31/03/2025 a 06/04/2025 - RPS: 638 - NFSe: 2867</v>
      </c>
      <c r="H1867" t="str">
        <f t="shared" si="941"/>
        <v>16/04/2025</v>
      </c>
      <c r="I1867" t="str">
        <f t="shared" si="942"/>
        <v>08/04/2025</v>
      </c>
      <c r="J1867" t="str">
        <f t="shared" si="943"/>
        <v>16/04/2025</v>
      </c>
      <c r="M1867">
        <v>303</v>
      </c>
      <c r="N1867" t="str">
        <f t="shared" si="944"/>
        <v>RECEITAS COM ENTREGAS</v>
      </c>
      <c r="P1867">
        <v>182.16</v>
      </c>
      <c r="Q1867" t="str">
        <f>"FARMÁCIA INDIANA LJ 243 (10142)"</f>
        <v>FARMÁCIA INDIANA LJ 243 (10142)</v>
      </c>
      <c r="R1867" t="str">
        <f t="shared" si="945"/>
        <v>RECEITAS COM ENTREGAS (303)</v>
      </c>
      <c r="S1867">
        <v>1348</v>
      </c>
      <c r="T1867">
        <v>1059</v>
      </c>
      <c r="U1867" t="s">
        <v>19</v>
      </c>
    </row>
    <row r="1868" spans="1:21">
      <c r="A1868" t="str">
        <f t="shared" si="939"/>
        <v>16/04/2025</v>
      </c>
      <c r="B1868" t="str">
        <f t="shared" si="937"/>
        <v>ENTRADA</v>
      </c>
      <c r="C1868" t="str">
        <f t="shared" si="940"/>
        <v>NFSE</v>
      </c>
      <c r="D1868" t="str">
        <f t="shared" si="946"/>
        <v>2867</v>
      </c>
      <c r="E1868" t="str">
        <f t="shared" si="938"/>
        <v>COM</v>
      </c>
      <c r="F1868" t="str">
        <f t="shared" si="947"/>
        <v>FARMÁCIA INDIANA LJ 85 (10128)</v>
      </c>
      <c r="G1868" t="str">
        <f t="shared" si="948"/>
        <v>Serv.Prest. 31/03/2025 a 06/04/2025 - RPS: 638 - NFSe: 2867</v>
      </c>
      <c r="H1868" t="str">
        <f t="shared" si="941"/>
        <v>16/04/2025</v>
      </c>
      <c r="I1868" t="str">
        <f t="shared" si="942"/>
        <v>08/04/2025</v>
      </c>
      <c r="J1868" t="str">
        <f t="shared" si="943"/>
        <v>16/04/2025</v>
      </c>
      <c r="M1868">
        <v>303</v>
      </c>
      <c r="N1868" t="str">
        <f t="shared" si="944"/>
        <v>RECEITAS COM ENTREGAS</v>
      </c>
      <c r="P1868">
        <v>80.89</v>
      </c>
      <c r="Q1868" t="str">
        <f>"FARMÁCIA INDIANA LJ 211 (10168)"</f>
        <v>FARMÁCIA INDIANA LJ 211 (10168)</v>
      </c>
      <c r="R1868" t="str">
        <f t="shared" si="945"/>
        <v>RECEITAS COM ENTREGAS (303)</v>
      </c>
      <c r="S1868">
        <v>1348</v>
      </c>
      <c r="T1868">
        <v>1059</v>
      </c>
      <c r="U1868" t="s">
        <v>19</v>
      </c>
    </row>
    <row r="1869" spans="1:21">
      <c r="A1869" t="str">
        <f t="shared" si="939"/>
        <v>16/04/2025</v>
      </c>
      <c r="B1869" t="str">
        <f t="shared" si="937"/>
        <v>ENTRADA</v>
      </c>
      <c r="C1869" t="str">
        <f t="shared" si="940"/>
        <v>NFSE</v>
      </c>
      <c r="D1869" t="str">
        <f t="shared" si="946"/>
        <v>2867</v>
      </c>
      <c r="E1869" t="str">
        <f t="shared" ref="E1869:E1903" si="949">"COM"</f>
        <v>COM</v>
      </c>
      <c r="F1869" t="str">
        <f t="shared" si="947"/>
        <v>FARMÁCIA INDIANA LJ 85 (10128)</v>
      </c>
      <c r="G1869" t="str">
        <f t="shared" si="948"/>
        <v>Serv.Prest. 31/03/2025 a 06/04/2025 - RPS: 638 - NFSe: 2867</v>
      </c>
      <c r="H1869" t="str">
        <f t="shared" si="941"/>
        <v>16/04/2025</v>
      </c>
      <c r="I1869" t="str">
        <f t="shared" si="942"/>
        <v>08/04/2025</v>
      </c>
      <c r="J1869" t="str">
        <f t="shared" si="943"/>
        <v>16/04/2025</v>
      </c>
      <c r="M1869">
        <v>303</v>
      </c>
      <c r="N1869" t="str">
        <f t="shared" si="944"/>
        <v>RECEITAS COM ENTREGAS</v>
      </c>
      <c r="P1869">
        <v>79.58</v>
      </c>
      <c r="Q1869" t="str">
        <f>"FARMÁCIA INDIANA LJ 236 (10169)"</f>
        <v>FARMÁCIA INDIANA LJ 236 (10169)</v>
      </c>
      <c r="R1869" t="str">
        <f t="shared" si="945"/>
        <v>RECEITAS COM ENTREGAS (303)</v>
      </c>
      <c r="S1869">
        <v>1348</v>
      </c>
      <c r="T1869">
        <v>1059</v>
      </c>
      <c r="U1869" t="s">
        <v>19</v>
      </c>
    </row>
    <row r="1870" spans="1:21">
      <c r="A1870" t="str">
        <f t="shared" si="939"/>
        <v>16/04/2025</v>
      </c>
      <c r="B1870" t="str">
        <f t="shared" si="937"/>
        <v>ENTRADA</v>
      </c>
      <c r="C1870" t="str">
        <f t="shared" si="940"/>
        <v>NFSE</v>
      </c>
      <c r="D1870" t="str">
        <f t="shared" ref="D1870:D1881" si="950">"2868"</f>
        <v>2868</v>
      </c>
      <c r="E1870" t="str">
        <f t="shared" si="949"/>
        <v>COM</v>
      </c>
      <c r="F1870" t="str">
        <f t="shared" ref="F1870:F1881" si="951">"FARMÁCIA INDIANA LJ 30 (10127)"</f>
        <v>FARMÁCIA INDIANA LJ 30 (10127)</v>
      </c>
      <c r="G1870" t="str">
        <f t="shared" ref="G1870:G1881" si="952">"Serv.Prest. 31/03/2025 a 06/04/2025 - RPS: 639 - NFSe: 2868"</f>
        <v>Serv.Prest. 31/03/2025 a 06/04/2025 - RPS: 639 - NFSe: 2868</v>
      </c>
      <c r="H1870" t="str">
        <f t="shared" si="941"/>
        <v>16/04/2025</v>
      </c>
      <c r="I1870" t="str">
        <f t="shared" si="942"/>
        <v>08/04/2025</v>
      </c>
      <c r="J1870" t="str">
        <f t="shared" si="943"/>
        <v>16/04/2025</v>
      </c>
      <c r="K1870">
        <v>2616.1999999999998</v>
      </c>
      <c r="L1870">
        <v>2616.1999999999998</v>
      </c>
      <c r="M1870">
        <v>303</v>
      </c>
      <c r="N1870" t="str">
        <f t="shared" si="944"/>
        <v>RECEITAS COM ENTREGAS</v>
      </c>
      <c r="O1870">
        <v>2616.1999999999998</v>
      </c>
      <c r="R1870" t="str">
        <f t="shared" si="945"/>
        <v>RECEITAS COM ENTREGAS (303)</v>
      </c>
      <c r="S1870">
        <v>1351</v>
      </c>
      <c r="T1870">
        <v>1060</v>
      </c>
      <c r="U1870" t="s">
        <v>19</v>
      </c>
    </row>
    <row r="1871" spans="1:21">
      <c r="A1871" t="str">
        <f t="shared" si="939"/>
        <v>16/04/2025</v>
      </c>
      <c r="B1871" t="str">
        <f t="shared" si="937"/>
        <v>ENTRADA</v>
      </c>
      <c r="C1871" t="str">
        <f t="shared" si="940"/>
        <v>NFSE</v>
      </c>
      <c r="D1871" t="str">
        <f t="shared" si="950"/>
        <v>2868</v>
      </c>
      <c r="E1871" t="str">
        <f t="shared" si="949"/>
        <v>COM</v>
      </c>
      <c r="F1871" t="str">
        <f t="shared" si="951"/>
        <v>FARMÁCIA INDIANA LJ 30 (10127)</v>
      </c>
      <c r="G1871" t="str">
        <f t="shared" si="952"/>
        <v>Serv.Prest. 31/03/2025 a 06/04/2025 - RPS: 639 - NFSe: 2868</v>
      </c>
      <c r="H1871" t="str">
        <f t="shared" si="941"/>
        <v>16/04/2025</v>
      </c>
      <c r="I1871" t="str">
        <f t="shared" si="942"/>
        <v>08/04/2025</v>
      </c>
      <c r="J1871" t="str">
        <f t="shared" si="943"/>
        <v>16/04/2025</v>
      </c>
      <c r="M1871">
        <v>303</v>
      </c>
      <c r="N1871" t="str">
        <f t="shared" si="944"/>
        <v>RECEITAS COM ENTREGAS</v>
      </c>
      <c r="P1871">
        <v>286.99</v>
      </c>
      <c r="Q1871" t="str">
        <f>"FARMÁCIA INDIANA LJ 34 (10014)"</f>
        <v>FARMÁCIA INDIANA LJ 34 (10014)</v>
      </c>
      <c r="R1871" t="str">
        <f t="shared" si="945"/>
        <v>RECEITAS COM ENTREGAS (303)</v>
      </c>
      <c r="S1871">
        <v>1351</v>
      </c>
      <c r="T1871">
        <v>1060</v>
      </c>
      <c r="U1871" t="s">
        <v>19</v>
      </c>
    </row>
    <row r="1872" spans="1:21">
      <c r="A1872" t="str">
        <f t="shared" si="939"/>
        <v>16/04/2025</v>
      </c>
      <c r="B1872" t="str">
        <f t="shared" si="937"/>
        <v>ENTRADA</v>
      </c>
      <c r="C1872" t="str">
        <f t="shared" si="940"/>
        <v>NFSE</v>
      </c>
      <c r="D1872" t="str">
        <f t="shared" si="950"/>
        <v>2868</v>
      </c>
      <c r="E1872" t="str">
        <f t="shared" si="949"/>
        <v>COM</v>
      </c>
      <c r="F1872" t="str">
        <f t="shared" si="951"/>
        <v>FARMÁCIA INDIANA LJ 30 (10127)</v>
      </c>
      <c r="G1872" t="str">
        <f t="shared" si="952"/>
        <v>Serv.Prest. 31/03/2025 a 06/04/2025 - RPS: 639 - NFSe: 2868</v>
      </c>
      <c r="H1872" t="str">
        <f t="shared" si="941"/>
        <v>16/04/2025</v>
      </c>
      <c r="I1872" t="str">
        <f t="shared" si="942"/>
        <v>08/04/2025</v>
      </c>
      <c r="J1872" t="str">
        <f t="shared" si="943"/>
        <v>16/04/2025</v>
      </c>
      <c r="M1872">
        <v>303</v>
      </c>
      <c r="N1872" t="str">
        <f t="shared" si="944"/>
        <v>RECEITAS COM ENTREGAS</v>
      </c>
      <c r="P1872">
        <v>235.98</v>
      </c>
      <c r="Q1872" t="str">
        <f>"FARMÁCIA INDIANA LJ 35 (10015)"</f>
        <v>FARMÁCIA INDIANA LJ 35 (10015)</v>
      </c>
      <c r="R1872" t="str">
        <f t="shared" si="945"/>
        <v>RECEITAS COM ENTREGAS (303)</v>
      </c>
      <c r="S1872">
        <v>1351</v>
      </c>
      <c r="T1872">
        <v>1060</v>
      </c>
      <c r="U1872" t="s">
        <v>19</v>
      </c>
    </row>
    <row r="1873" spans="1:21">
      <c r="A1873" t="str">
        <f t="shared" si="939"/>
        <v>16/04/2025</v>
      </c>
      <c r="B1873" t="str">
        <f t="shared" si="937"/>
        <v>ENTRADA</v>
      </c>
      <c r="C1873" t="str">
        <f t="shared" si="940"/>
        <v>NFSE</v>
      </c>
      <c r="D1873" t="str">
        <f t="shared" si="950"/>
        <v>2868</v>
      </c>
      <c r="E1873" t="str">
        <f t="shared" si="949"/>
        <v>COM</v>
      </c>
      <c r="F1873" t="str">
        <f t="shared" si="951"/>
        <v>FARMÁCIA INDIANA LJ 30 (10127)</v>
      </c>
      <c r="G1873" t="str">
        <f t="shared" si="952"/>
        <v>Serv.Prest. 31/03/2025 a 06/04/2025 - RPS: 639 - NFSe: 2868</v>
      </c>
      <c r="H1873" t="str">
        <f t="shared" si="941"/>
        <v>16/04/2025</v>
      </c>
      <c r="I1873" t="str">
        <f t="shared" si="942"/>
        <v>08/04/2025</v>
      </c>
      <c r="J1873" t="str">
        <f t="shared" si="943"/>
        <v>16/04/2025</v>
      </c>
      <c r="M1873">
        <v>303</v>
      </c>
      <c r="N1873" t="str">
        <f t="shared" si="944"/>
        <v>RECEITAS COM ENTREGAS</v>
      </c>
      <c r="P1873">
        <v>245.92</v>
      </c>
      <c r="Q1873" t="str">
        <f>"FARMÁCIA INDIANA LJ 48 (10018)"</f>
        <v>FARMÁCIA INDIANA LJ 48 (10018)</v>
      </c>
      <c r="R1873" t="str">
        <f t="shared" si="945"/>
        <v>RECEITAS COM ENTREGAS (303)</v>
      </c>
      <c r="S1873">
        <v>1351</v>
      </c>
      <c r="T1873">
        <v>1060</v>
      </c>
      <c r="U1873" t="s">
        <v>19</v>
      </c>
    </row>
    <row r="1874" spans="1:21">
      <c r="A1874" t="str">
        <f t="shared" si="939"/>
        <v>16/04/2025</v>
      </c>
      <c r="B1874" t="str">
        <f t="shared" si="937"/>
        <v>ENTRADA</v>
      </c>
      <c r="C1874" t="str">
        <f t="shared" si="940"/>
        <v>NFSE</v>
      </c>
      <c r="D1874" t="str">
        <f t="shared" si="950"/>
        <v>2868</v>
      </c>
      <c r="E1874" t="str">
        <f t="shared" si="949"/>
        <v>COM</v>
      </c>
      <c r="F1874" t="str">
        <f t="shared" si="951"/>
        <v>FARMÁCIA INDIANA LJ 30 (10127)</v>
      </c>
      <c r="G1874" t="str">
        <f t="shared" si="952"/>
        <v>Serv.Prest. 31/03/2025 a 06/04/2025 - RPS: 639 - NFSe: 2868</v>
      </c>
      <c r="H1874" t="str">
        <f t="shared" si="941"/>
        <v>16/04/2025</v>
      </c>
      <c r="I1874" t="str">
        <f t="shared" si="942"/>
        <v>08/04/2025</v>
      </c>
      <c r="J1874" t="str">
        <f t="shared" si="943"/>
        <v>16/04/2025</v>
      </c>
      <c r="M1874">
        <v>303</v>
      </c>
      <c r="N1874" t="str">
        <f t="shared" si="944"/>
        <v>RECEITAS COM ENTREGAS</v>
      </c>
      <c r="P1874">
        <v>418.59</v>
      </c>
      <c r="Q1874" t="str">
        <f>"FARMÁCIA INDIANA LJ 65 (10030)"</f>
        <v>FARMÁCIA INDIANA LJ 65 (10030)</v>
      </c>
      <c r="R1874" t="str">
        <f t="shared" si="945"/>
        <v>RECEITAS COM ENTREGAS (303)</v>
      </c>
      <c r="S1874">
        <v>1351</v>
      </c>
      <c r="T1874">
        <v>1060</v>
      </c>
      <c r="U1874" t="s">
        <v>19</v>
      </c>
    </row>
    <row r="1875" spans="1:21">
      <c r="A1875" t="str">
        <f t="shared" si="939"/>
        <v>16/04/2025</v>
      </c>
      <c r="B1875" t="str">
        <f t="shared" si="937"/>
        <v>ENTRADA</v>
      </c>
      <c r="C1875" t="str">
        <f t="shared" si="940"/>
        <v>NFSE</v>
      </c>
      <c r="D1875" t="str">
        <f t="shared" si="950"/>
        <v>2868</v>
      </c>
      <c r="E1875" t="str">
        <f t="shared" si="949"/>
        <v>COM</v>
      </c>
      <c r="F1875" t="str">
        <f t="shared" si="951"/>
        <v>FARMÁCIA INDIANA LJ 30 (10127)</v>
      </c>
      <c r="G1875" t="str">
        <f t="shared" si="952"/>
        <v>Serv.Prest. 31/03/2025 a 06/04/2025 - RPS: 639 - NFSe: 2868</v>
      </c>
      <c r="H1875" t="str">
        <f t="shared" si="941"/>
        <v>16/04/2025</v>
      </c>
      <c r="I1875" t="str">
        <f t="shared" si="942"/>
        <v>08/04/2025</v>
      </c>
      <c r="J1875" t="str">
        <f t="shared" si="943"/>
        <v>16/04/2025</v>
      </c>
      <c r="M1875">
        <v>303</v>
      </c>
      <c r="N1875" t="str">
        <f t="shared" si="944"/>
        <v>RECEITAS COM ENTREGAS</v>
      </c>
      <c r="P1875">
        <v>137.09</v>
      </c>
      <c r="Q1875" t="str">
        <f>"FARMÁCIA INDIANA LJ 77 (10034)"</f>
        <v>FARMÁCIA INDIANA LJ 77 (10034)</v>
      </c>
      <c r="R1875" t="str">
        <f t="shared" si="945"/>
        <v>RECEITAS COM ENTREGAS (303)</v>
      </c>
      <c r="S1875">
        <v>1351</v>
      </c>
      <c r="T1875">
        <v>1060</v>
      </c>
      <c r="U1875" t="s">
        <v>19</v>
      </c>
    </row>
    <row r="1876" spans="1:21">
      <c r="A1876" t="str">
        <f t="shared" si="939"/>
        <v>16/04/2025</v>
      </c>
      <c r="B1876" t="str">
        <f t="shared" si="937"/>
        <v>ENTRADA</v>
      </c>
      <c r="C1876" t="str">
        <f t="shared" si="940"/>
        <v>NFSE</v>
      </c>
      <c r="D1876" t="str">
        <f t="shared" si="950"/>
        <v>2868</v>
      </c>
      <c r="E1876" t="str">
        <f t="shared" si="949"/>
        <v>COM</v>
      </c>
      <c r="F1876" t="str">
        <f t="shared" si="951"/>
        <v>FARMÁCIA INDIANA LJ 30 (10127)</v>
      </c>
      <c r="G1876" t="str">
        <f t="shared" si="952"/>
        <v>Serv.Prest. 31/03/2025 a 06/04/2025 - RPS: 639 - NFSe: 2868</v>
      </c>
      <c r="H1876" t="str">
        <f t="shared" si="941"/>
        <v>16/04/2025</v>
      </c>
      <c r="I1876" t="str">
        <f t="shared" si="942"/>
        <v>08/04/2025</v>
      </c>
      <c r="J1876" t="str">
        <f t="shared" si="943"/>
        <v>16/04/2025</v>
      </c>
      <c r="M1876">
        <v>303</v>
      </c>
      <c r="N1876" t="str">
        <f t="shared" si="944"/>
        <v>RECEITAS COM ENTREGAS</v>
      </c>
      <c r="P1876">
        <v>207.73</v>
      </c>
      <c r="Q1876" t="str">
        <f>"FARMÁCIA INDIANA LJ 91 (10037)"</f>
        <v>FARMÁCIA INDIANA LJ 91 (10037)</v>
      </c>
      <c r="R1876" t="str">
        <f t="shared" si="945"/>
        <v>RECEITAS COM ENTREGAS (303)</v>
      </c>
      <c r="S1876">
        <v>1351</v>
      </c>
      <c r="T1876">
        <v>1060</v>
      </c>
      <c r="U1876" t="s">
        <v>19</v>
      </c>
    </row>
    <row r="1877" spans="1:21">
      <c r="A1877" t="str">
        <f t="shared" si="939"/>
        <v>16/04/2025</v>
      </c>
      <c r="B1877" t="str">
        <f t="shared" si="937"/>
        <v>ENTRADA</v>
      </c>
      <c r="C1877" t="str">
        <f t="shared" si="940"/>
        <v>NFSE</v>
      </c>
      <c r="D1877" t="str">
        <f t="shared" si="950"/>
        <v>2868</v>
      </c>
      <c r="E1877" t="str">
        <f t="shared" si="949"/>
        <v>COM</v>
      </c>
      <c r="F1877" t="str">
        <f t="shared" si="951"/>
        <v>FARMÁCIA INDIANA LJ 30 (10127)</v>
      </c>
      <c r="G1877" t="str">
        <f t="shared" si="952"/>
        <v>Serv.Prest. 31/03/2025 a 06/04/2025 - RPS: 639 - NFSe: 2868</v>
      </c>
      <c r="H1877" t="str">
        <f t="shared" si="941"/>
        <v>16/04/2025</v>
      </c>
      <c r="I1877" t="str">
        <f t="shared" si="942"/>
        <v>08/04/2025</v>
      </c>
      <c r="J1877" t="str">
        <f t="shared" si="943"/>
        <v>16/04/2025</v>
      </c>
      <c r="M1877">
        <v>303</v>
      </c>
      <c r="N1877" t="str">
        <f t="shared" si="944"/>
        <v>RECEITAS COM ENTREGAS</v>
      </c>
      <c r="P1877">
        <v>336.97</v>
      </c>
      <c r="Q1877" t="str">
        <f>"FARMÁCIA INDIANA LJ 95 (10039)"</f>
        <v>FARMÁCIA INDIANA LJ 95 (10039)</v>
      </c>
      <c r="R1877" t="str">
        <f t="shared" si="945"/>
        <v>RECEITAS COM ENTREGAS (303)</v>
      </c>
      <c r="S1877">
        <v>1351</v>
      </c>
      <c r="T1877">
        <v>1060</v>
      </c>
      <c r="U1877" t="s">
        <v>19</v>
      </c>
    </row>
    <row r="1878" spans="1:21">
      <c r="A1878" t="str">
        <f t="shared" si="939"/>
        <v>16/04/2025</v>
      </c>
      <c r="B1878" t="str">
        <f t="shared" si="937"/>
        <v>ENTRADA</v>
      </c>
      <c r="C1878" t="str">
        <f t="shared" si="940"/>
        <v>NFSE</v>
      </c>
      <c r="D1878" t="str">
        <f t="shared" si="950"/>
        <v>2868</v>
      </c>
      <c r="E1878" t="str">
        <f t="shared" si="949"/>
        <v>COM</v>
      </c>
      <c r="F1878" t="str">
        <f t="shared" si="951"/>
        <v>FARMÁCIA INDIANA LJ 30 (10127)</v>
      </c>
      <c r="G1878" t="str">
        <f t="shared" si="952"/>
        <v>Serv.Prest. 31/03/2025 a 06/04/2025 - RPS: 639 - NFSe: 2868</v>
      </c>
      <c r="H1878" t="str">
        <f t="shared" si="941"/>
        <v>16/04/2025</v>
      </c>
      <c r="I1878" t="str">
        <f t="shared" si="942"/>
        <v>08/04/2025</v>
      </c>
      <c r="J1878" t="str">
        <f t="shared" si="943"/>
        <v>16/04/2025</v>
      </c>
      <c r="M1878">
        <v>303</v>
      </c>
      <c r="N1878" t="str">
        <f t="shared" si="944"/>
        <v>RECEITAS COM ENTREGAS</v>
      </c>
      <c r="P1878">
        <v>280.72000000000003</v>
      </c>
      <c r="Q1878" t="str">
        <f>"FARMÁCIA INDIANA LJ 145 (10068)"</f>
        <v>FARMÁCIA INDIANA LJ 145 (10068)</v>
      </c>
      <c r="R1878" t="str">
        <f t="shared" si="945"/>
        <v>RECEITAS COM ENTREGAS (303)</v>
      </c>
      <c r="S1878">
        <v>1351</v>
      </c>
      <c r="T1878">
        <v>1060</v>
      </c>
      <c r="U1878" t="s">
        <v>19</v>
      </c>
    </row>
    <row r="1879" spans="1:21">
      <c r="A1879" t="str">
        <f t="shared" si="939"/>
        <v>16/04/2025</v>
      </c>
      <c r="B1879" t="str">
        <f t="shared" si="937"/>
        <v>ENTRADA</v>
      </c>
      <c r="C1879" t="str">
        <f t="shared" si="940"/>
        <v>NFSE</v>
      </c>
      <c r="D1879" t="str">
        <f t="shared" si="950"/>
        <v>2868</v>
      </c>
      <c r="E1879" t="str">
        <f t="shared" si="949"/>
        <v>COM</v>
      </c>
      <c r="F1879" t="str">
        <f t="shared" si="951"/>
        <v>FARMÁCIA INDIANA LJ 30 (10127)</v>
      </c>
      <c r="G1879" t="str">
        <f t="shared" si="952"/>
        <v>Serv.Prest. 31/03/2025 a 06/04/2025 - RPS: 639 - NFSe: 2868</v>
      </c>
      <c r="H1879" t="str">
        <f t="shared" si="941"/>
        <v>16/04/2025</v>
      </c>
      <c r="I1879" t="str">
        <f t="shared" si="942"/>
        <v>08/04/2025</v>
      </c>
      <c r="J1879" t="str">
        <f t="shared" si="943"/>
        <v>16/04/2025</v>
      </c>
      <c r="M1879">
        <v>303</v>
      </c>
      <c r="N1879" t="str">
        <f t="shared" si="944"/>
        <v>RECEITAS COM ENTREGAS</v>
      </c>
      <c r="P1879">
        <v>96.8</v>
      </c>
      <c r="Q1879" t="str">
        <f>"FARMÁCIA INDIANA LJ 169 (10073)"</f>
        <v>FARMÁCIA INDIANA LJ 169 (10073)</v>
      </c>
      <c r="R1879" t="str">
        <f t="shared" si="945"/>
        <v>RECEITAS COM ENTREGAS (303)</v>
      </c>
      <c r="S1879">
        <v>1351</v>
      </c>
      <c r="T1879">
        <v>1060</v>
      </c>
      <c r="U1879" t="s">
        <v>19</v>
      </c>
    </row>
    <row r="1880" spans="1:21">
      <c r="A1880" t="str">
        <f t="shared" ref="A1880:A1911" si="953">("16/04/2025")</f>
        <v>16/04/2025</v>
      </c>
      <c r="B1880" t="str">
        <f t="shared" si="937"/>
        <v>ENTRADA</v>
      </c>
      <c r="C1880" t="str">
        <f t="shared" ref="C1880:C1899" si="954">"NFSE"</f>
        <v>NFSE</v>
      </c>
      <c r="D1880" t="str">
        <f t="shared" si="950"/>
        <v>2868</v>
      </c>
      <c r="E1880" t="str">
        <f t="shared" si="949"/>
        <v>COM</v>
      </c>
      <c r="F1880" t="str">
        <f t="shared" si="951"/>
        <v>FARMÁCIA INDIANA LJ 30 (10127)</v>
      </c>
      <c r="G1880" t="str">
        <f t="shared" si="952"/>
        <v>Serv.Prest. 31/03/2025 a 06/04/2025 - RPS: 639 - NFSe: 2868</v>
      </c>
      <c r="H1880" t="str">
        <f t="shared" ref="H1880:H1895" si="955">("16/04/2025")</f>
        <v>16/04/2025</v>
      </c>
      <c r="I1880" t="str">
        <f t="shared" si="942"/>
        <v>08/04/2025</v>
      </c>
      <c r="J1880" t="str">
        <f t="shared" ref="J1880:J1911" si="956">("16/04/2025")</f>
        <v>16/04/2025</v>
      </c>
      <c r="M1880">
        <v>303</v>
      </c>
      <c r="N1880" t="str">
        <f t="shared" ref="N1880:N1899" si="957">"RECEITAS COM ENTREGAS"</f>
        <v>RECEITAS COM ENTREGAS</v>
      </c>
      <c r="P1880">
        <v>209.3</v>
      </c>
      <c r="Q1880" t="str">
        <f>"FARMÁCIA INDIANA LJ 173 (10075)"</f>
        <v>FARMÁCIA INDIANA LJ 173 (10075)</v>
      </c>
      <c r="R1880" t="str">
        <f t="shared" ref="R1880:R1899" si="958">"RECEITAS COM ENTREGAS (303)"</f>
        <v>RECEITAS COM ENTREGAS (303)</v>
      </c>
      <c r="S1880">
        <v>1351</v>
      </c>
      <c r="T1880">
        <v>1060</v>
      </c>
      <c r="U1880" t="s">
        <v>19</v>
      </c>
    </row>
    <row r="1881" spans="1:21">
      <c r="A1881" t="str">
        <f t="shared" si="953"/>
        <v>16/04/2025</v>
      </c>
      <c r="B1881" t="str">
        <f t="shared" ref="B1881:B1899" si="959">"ENTRADA"</f>
        <v>ENTRADA</v>
      </c>
      <c r="C1881" t="str">
        <f t="shared" si="954"/>
        <v>NFSE</v>
      </c>
      <c r="D1881" t="str">
        <f t="shared" si="950"/>
        <v>2868</v>
      </c>
      <c r="E1881" t="str">
        <f t="shared" si="949"/>
        <v>COM</v>
      </c>
      <c r="F1881" t="str">
        <f t="shared" si="951"/>
        <v>FARMÁCIA INDIANA LJ 30 (10127)</v>
      </c>
      <c r="G1881" t="str">
        <f t="shared" si="952"/>
        <v>Serv.Prest. 31/03/2025 a 06/04/2025 - RPS: 639 - NFSe: 2868</v>
      </c>
      <c r="H1881" t="str">
        <f t="shared" si="955"/>
        <v>16/04/2025</v>
      </c>
      <c r="I1881" t="str">
        <f t="shared" si="942"/>
        <v>08/04/2025</v>
      </c>
      <c r="J1881" t="str">
        <f t="shared" si="956"/>
        <v>16/04/2025</v>
      </c>
      <c r="M1881">
        <v>303</v>
      </c>
      <c r="N1881" t="str">
        <f t="shared" si="957"/>
        <v>RECEITAS COM ENTREGAS</v>
      </c>
      <c r="P1881">
        <v>160.11000000000001</v>
      </c>
      <c r="Q1881" t="str">
        <f>"FARMÁCIA INDIANA LJ 200 (10155)"</f>
        <v>FARMÁCIA INDIANA LJ 200 (10155)</v>
      </c>
      <c r="R1881" t="str">
        <f t="shared" si="958"/>
        <v>RECEITAS COM ENTREGAS (303)</v>
      </c>
      <c r="S1881">
        <v>1351</v>
      </c>
      <c r="T1881">
        <v>1060</v>
      </c>
      <c r="U1881" t="s">
        <v>19</v>
      </c>
    </row>
    <row r="1882" spans="1:21">
      <c r="A1882" t="str">
        <f t="shared" si="953"/>
        <v>16/04/2025</v>
      </c>
      <c r="B1882" t="str">
        <f t="shared" si="959"/>
        <v>ENTRADA</v>
      </c>
      <c r="C1882" t="str">
        <f t="shared" si="954"/>
        <v>NFSE</v>
      </c>
      <c r="D1882" t="str">
        <f>"2875"</f>
        <v>2875</v>
      </c>
      <c r="E1882" t="str">
        <f t="shared" si="949"/>
        <v>COM</v>
      </c>
      <c r="F1882" t="str">
        <f>"DROGARIA MEDALHA (10163)"</f>
        <v>DROGARIA MEDALHA (10163)</v>
      </c>
      <c r="G1882" t="str">
        <f>"Serv.Prest. 07/04/2025 a 13/04/2025 - RPS: 646 - NFSe: 2875"</f>
        <v>Serv.Prest. 07/04/2025 a 13/04/2025 - RPS: 646 - NFSe: 2875</v>
      </c>
      <c r="H1882" t="str">
        <f t="shared" si="955"/>
        <v>16/04/2025</v>
      </c>
      <c r="I1882" t="str">
        <f>("14/04/2025")</f>
        <v>14/04/2025</v>
      </c>
      <c r="J1882" t="str">
        <f t="shared" si="956"/>
        <v>16/04/2025</v>
      </c>
      <c r="K1882">
        <v>160.43</v>
      </c>
      <c r="L1882">
        <v>160.43</v>
      </c>
      <c r="M1882">
        <v>303</v>
      </c>
      <c r="N1882" t="str">
        <f t="shared" si="957"/>
        <v>RECEITAS COM ENTREGAS</v>
      </c>
      <c r="O1882">
        <v>160.43</v>
      </c>
      <c r="R1882" t="str">
        <f t="shared" si="958"/>
        <v>RECEITAS COM ENTREGAS (303)</v>
      </c>
      <c r="S1882">
        <v>1353</v>
      </c>
      <c r="T1882">
        <v>1067</v>
      </c>
      <c r="U1882" t="s">
        <v>19</v>
      </c>
    </row>
    <row r="1883" spans="1:21">
      <c r="A1883" t="str">
        <f t="shared" si="953"/>
        <v>16/04/2025</v>
      </c>
      <c r="B1883" t="str">
        <f t="shared" si="959"/>
        <v>ENTRADA</v>
      </c>
      <c r="C1883" t="str">
        <f t="shared" si="954"/>
        <v>NFSE</v>
      </c>
      <c r="D1883" t="str">
        <f>"2875"</f>
        <v>2875</v>
      </c>
      <c r="E1883" t="str">
        <f t="shared" si="949"/>
        <v>COM</v>
      </c>
      <c r="F1883" t="str">
        <f>"DROGARIA MEDALHA (10163)"</f>
        <v>DROGARIA MEDALHA (10163)</v>
      </c>
      <c r="G1883" t="str">
        <f>"Serv.Prest. 07/04/2025 a 13/04/2025 - RPS: 646 - NFSe: 2875"</f>
        <v>Serv.Prest. 07/04/2025 a 13/04/2025 - RPS: 646 - NFSe: 2875</v>
      </c>
      <c r="H1883" t="str">
        <f t="shared" si="955"/>
        <v>16/04/2025</v>
      </c>
      <c r="I1883" t="str">
        <f>("14/04/2025")</f>
        <v>14/04/2025</v>
      </c>
      <c r="J1883" t="str">
        <f t="shared" si="956"/>
        <v>16/04/2025</v>
      </c>
      <c r="M1883">
        <v>303</v>
      </c>
      <c r="N1883" t="str">
        <f t="shared" si="957"/>
        <v>RECEITAS COM ENTREGAS</v>
      </c>
      <c r="P1883">
        <v>160.43</v>
      </c>
      <c r="Q1883" t="str">
        <f>"DROGARIA MEDALHA (10163)"</f>
        <v>DROGARIA MEDALHA (10163)</v>
      </c>
      <c r="R1883" t="str">
        <f t="shared" si="958"/>
        <v>RECEITAS COM ENTREGAS (303)</v>
      </c>
      <c r="S1883">
        <v>1353</v>
      </c>
      <c r="T1883">
        <v>1067</v>
      </c>
      <c r="U1883" t="s">
        <v>19</v>
      </c>
    </row>
    <row r="1884" spans="1:21">
      <c r="A1884" t="str">
        <f t="shared" si="953"/>
        <v>16/04/2025</v>
      </c>
      <c r="B1884" t="str">
        <f t="shared" si="959"/>
        <v>ENTRADA</v>
      </c>
      <c r="C1884" t="str">
        <f t="shared" si="954"/>
        <v>NFSE</v>
      </c>
      <c r="D1884" t="str">
        <f>"2873"</f>
        <v>2873</v>
      </c>
      <c r="E1884" t="str">
        <f t="shared" si="949"/>
        <v>COM</v>
      </c>
      <c r="F1884" t="str">
        <f>"DROGARIA AGAPEAMA (10167)"</f>
        <v>DROGARIA AGAPEAMA (10167)</v>
      </c>
      <c r="G1884" t="str">
        <f>"Serv.Prest. 01/04/2025 a 07/04/2025 - RPS: 644 - NFSe: 2873"</f>
        <v>Serv.Prest. 01/04/2025 a 07/04/2025 - RPS: 644 - NFSe: 2873</v>
      </c>
      <c r="H1884" t="str">
        <f t="shared" si="955"/>
        <v>16/04/2025</v>
      </c>
      <c r="I1884" t="str">
        <f>("10/04/2025")</f>
        <v>10/04/2025</v>
      </c>
      <c r="J1884" t="str">
        <f t="shared" si="956"/>
        <v>16/04/2025</v>
      </c>
      <c r="K1884">
        <v>627.20000000000005</v>
      </c>
      <c r="L1884">
        <v>627.20000000000005</v>
      </c>
      <c r="M1884">
        <v>303</v>
      </c>
      <c r="N1884" t="str">
        <f t="shared" si="957"/>
        <v>RECEITAS COM ENTREGAS</v>
      </c>
      <c r="O1884">
        <v>627.20000000000005</v>
      </c>
      <c r="R1884" t="str">
        <f t="shared" si="958"/>
        <v>RECEITAS COM ENTREGAS (303)</v>
      </c>
      <c r="S1884">
        <v>1367</v>
      </c>
      <c r="T1884">
        <v>1065</v>
      </c>
      <c r="U1884" t="s">
        <v>19</v>
      </c>
    </row>
    <row r="1885" spans="1:21">
      <c r="A1885" t="str">
        <f t="shared" si="953"/>
        <v>16/04/2025</v>
      </c>
      <c r="B1885" t="str">
        <f t="shared" si="959"/>
        <v>ENTRADA</v>
      </c>
      <c r="C1885" t="str">
        <f t="shared" si="954"/>
        <v>NFSE</v>
      </c>
      <c r="D1885" t="str">
        <f>"2873"</f>
        <v>2873</v>
      </c>
      <c r="E1885" t="str">
        <f t="shared" si="949"/>
        <v>COM</v>
      </c>
      <c r="F1885" t="str">
        <f>"DROGARIA AGAPEAMA (10167)"</f>
        <v>DROGARIA AGAPEAMA (10167)</v>
      </c>
      <c r="G1885" t="str">
        <f>"Serv.Prest. 01/04/2025 a 07/04/2025 - RPS: 644 - NFSe: 2873"</f>
        <v>Serv.Prest. 01/04/2025 a 07/04/2025 - RPS: 644 - NFSe: 2873</v>
      </c>
      <c r="H1885" t="str">
        <f t="shared" si="955"/>
        <v>16/04/2025</v>
      </c>
      <c r="I1885" t="str">
        <f>("10/04/2025")</f>
        <v>10/04/2025</v>
      </c>
      <c r="J1885" t="str">
        <f t="shared" si="956"/>
        <v>16/04/2025</v>
      </c>
      <c r="M1885">
        <v>303</v>
      </c>
      <c r="N1885" t="str">
        <f t="shared" si="957"/>
        <v>RECEITAS COM ENTREGAS</v>
      </c>
      <c r="P1885">
        <v>627.20000000000005</v>
      </c>
      <c r="Q1885" t="str">
        <f>"DROGARIA AGAPEAMA (10167)"</f>
        <v>DROGARIA AGAPEAMA (10167)</v>
      </c>
      <c r="R1885" t="str">
        <f t="shared" si="958"/>
        <v>RECEITAS COM ENTREGAS (303)</v>
      </c>
      <c r="S1885">
        <v>1367</v>
      </c>
      <c r="T1885">
        <v>1065</v>
      </c>
      <c r="U1885" t="s">
        <v>19</v>
      </c>
    </row>
    <row r="1886" spans="1:21">
      <c r="A1886" t="str">
        <f t="shared" si="953"/>
        <v>16/04/2025</v>
      </c>
      <c r="B1886" t="str">
        <f t="shared" si="959"/>
        <v>ENTRADA</v>
      </c>
      <c r="C1886" t="str">
        <f t="shared" si="954"/>
        <v>NFSE</v>
      </c>
      <c r="D1886" t="str">
        <f>"2878"</f>
        <v>2878</v>
      </c>
      <c r="E1886" t="str">
        <f t="shared" si="949"/>
        <v>COM</v>
      </c>
      <c r="F1886" t="str">
        <f>"FRAN FARMA (10124)"</f>
        <v>FRAN FARMA (10124)</v>
      </c>
      <c r="G1886" t="str">
        <f>"Serv.Prest. 07/04/2025 a 13/04/2025 - RPS: 649 - NFSe: 2878"</f>
        <v>Serv.Prest. 07/04/2025 a 13/04/2025 - RPS: 649 - NFSe: 2878</v>
      </c>
      <c r="H1886" t="str">
        <f t="shared" si="955"/>
        <v>16/04/2025</v>
      </c>
      <c r="I1886" t="str">
        <f t="shared" ref="I1886:I1893" si="960">("14/04/2025")</f>
        <v>14/04/2025</v>
      </c>
      <c r="J1886" t="str">
        <f t="shared" si="956"/>
        <v>16/04/2025</v>
      </c>
      <c r="K1886">
        <v>320</v>
      </c>
      <c r="L1886">
        <v>320</v>
      </c>
      <c r="M1886">
        <v>303</v>
      </c>
      <c r="N1886" t="str">
        <f t="shared" si="957"/>
        <v>RECEITAS COM ENTREGAS</v>
      </c>
      <c r="O1886">
        <v>320</v>
      </c>
      <c r="R1886" t="str">
        <f t="shared" si="958"/>
        <v>RECEITAS COM ENTREGAS (303)</v>
      </c>
      <c r="S1886">
        <v>1368</v>
      </c>
      <c r="T1886">
        <v>1070</v>
      </c>
      <c r="U1886" t="s">
        <v>19</v>
      </c>
    </row>
    <row r="1887" spans="1:21">
      <c r="A1887" t="str">
        <f t="shared" si="953"/>
        <v>16/04/2025</v>
      </c>
      <c r="B1887" t="str">
        <f t="shared" si="959"/>
        <v>ENTRADA</v>
      </c>
      <c r="C1887" t="str">
        <f t="shared" si="954"/>
        <v>NFSE</v>
      </c>
      <c r="D1887" t="str">
        <f>"2878"</f>
        <v>2878</v>
      </c>
      <c r="E1887" t="str">
        <f t="shared" si="949"/>
        <v>COM</v>
      </c>
      <c r="F1887" t="str">
        <f>"FRAN FARMA (10124)"</f>
        <v>FRAN FARMA (10124)</v>
      </c>
      <c r="G1887" t="str">
        <f>"Serv.Prest. 07/04/2025 a 13/04/2025 - RPS: 649 - NFSe: 2878"</f>
        <v>Serv.Prest. 07/04/2025 a 13/04/2025 - RPS: 649 - NFSe: 2878</v>
      </c>
      <c r="H1887" t="str">
        <f t="shared" si="955"/>
        <v>16/04/2025</v>
      </c>
      <c r="I1887" t="str">
        <f t="shared" si="960"/>
        <v>14/04/2025</v>
      </c>
      <c r="J1887" t="str">
        <f t="shared" si="956"/>
        <v>16/04/2025</v>
      </c>
      <c r="M1887">
        <v>303</v>
      </c>
      <c r="N1887" t="str">
        <f t="shared" si="957"/>
        <v>RECEITAS COM ENTREGAS</v>
      </c>
      <c r="P1887">
        <v>64</v>
      </c>
      <c r="Q1887" t="str">
        <f>"FRAN FARMA (10124)"</f>
        <v>FRAN FARMA (10124)</v>
      </c>
      <c r="R1887" t="str">
        <f t="shared" si="958"/>
        <v>RECEITAS COM ENTREGAS (303)</v>
      </c>
      <c r="S1887">
        <v>1368</v>
      </c>
      <c r="T1887">
        <v>1070</v>
      </c>
      <c r="U1887" t="s">
        <v>19</v>
      </c>
    </row>
    <row r="1888" spans="1:21">
      <c r="A1888" t="str">
        <f t="shared" si="953"/>
        <v>16/04/2025</v>
      </c>
      <c r="B1888" t="str">
        <f t="shared" si="959"/>
        <v>ENTRADA</v>
      </c>
      <c r="C1888" t="str">
        <f t="shared" si="954"/>
        <v>NFSE</v>
      </c>
      <c r="D1888" t="str">
        <f>"2878"</f>
        <v>2878</v>
      </c>
      <c r="E1888" t="str">
        <f t="shared" si="949"/>
        <v>COM</v>
      </c>
      <c r="F1888" t="str">
        <f>"FRAN FARMA (10124)"</f>
        <v>FRAN FARMA (10124)</v>
      </c>
      <c r="G1888" t="str">
        <f>"Serv.Prest. 07/04/2025 a 13/04/2025 - RPS: 649 - NFSe: 2878"</f>
        <v>Serv.Prest. 07/04/2025 a 13/04/2025 - RPS: 649 - NFSe: 2878</v>
      </c>
      <c r="H1888" t="str">
        <f t="shared" si="955"/>
        <v>16/04/2025</v>
      </c>
      <c r="I1888" t="str">
        <f t="shared" si="960"/>
        <v>14/04/2025</v>
      </c>
      <c r="J1888" t="str">
        <f t="shared" si="956"/>
        <v>16/04/2025</v>
      </c>
      <c r="M1888">
        <v>303</v>
      </c>
      <c r="N1888" t="str">
        <f t="shared" si="957"/>
        <v>RECEITAS COM ENTREGAS</v>
      </c>
      <c r="P1888">
        <v>192</v>
      </c>
      <c r="Q1888" t="str">
        <f>"FRAN FARMA LJ 2 (10131)"</f>
        <v>FRAN FARMA LJ 2 (10131)</v>
      </c>
      <c r="R1888" t="str">
        <f t="shared" si="958"/>
        <v>RECEITAS COM ENTREGAS (303)</v>
      </c>
      <c r="S1888">
        <v>1368</v>
      </c>
      <c r="T1888">
        <v>1070</v>
      </c>
      <c r="U1888" t="s">
        <v>19</v>
      </c>
    </row>
    <row r="1889" spans="1:21">
      <c r="A1889" t="str">
        <f t="shared" si="953"/>
        <v>16/04/2025</v>
      </c>
      <c r="B1889" t="str">
        <f t="shared" si="959"/>
        <v>ENTRADA</v>
      </c>
      <c r="C1889" t="str">
        <f t="shared" si="954"/>
        <v>NFSE</v>
      </c>
      <c r="D1889" t="str">
        <f>"2878"</f>
        <v>2878</v>
      </c>
      <c r="E1889" t="str">
        <f t="shared" si="949"/>
        <v>COM</v>
      </c>
      <c r="F1889" t="str">
        <f>"FRAN FARMA (10124)"</f>
        <v>FRAN FARMA (10124)</v>
      </c>
      <c r="G1889" t="str">
        <f>"Serv.Prest. 07/04/2025 a 13/04/2025 - RPS: 649 - NFSe: 2878"</f>
        <v>Serv.Prest. 07/04/2025 a 13/04/2025 - RPS: 649 - NFSe: 2878</v>
      </c>
      <c r="H1889" t="str">
        <f t="shared" si="955"/>
        <v>16/04/2025</v>
      </c>
      <c r="I1889" t="str">
        <f t="shared" si="960"/>
        <v>14/04/2025</v>
      </c>
      <c r="J1889" t="str">
        <f t="shared" si="956"/>
        <v>16/04/2025</v>
      </c>
      <c r="M1889">
        <v>303</v>
      </c>
      <c r="N1889" t="str">
        <f t="shared" si="957"/>
        <v>RECEITAS COM ENTREGAS</v>
      </c>
      <c r="P1889">
        <v>64</v>
      </c>
      <c r="Q1889" t="str">
        <f>"FRAN FARMA LJ 3 (10132)"</f>
        <v>FRAN FARMA LJ 3 (10132)</v>
      </c>
      <c r="R1889" t="str">
        <f t="shared" si="958"/>
        <v>RECEITAS COM ENTREGAS (303)</v>
      </c>
      <c r="S1889">
        <v>1368</v>
      </c>
      <c r="T1889">
        <v>1070</v>
      </c>
      <c r="U1889" t="s">
        <v>19</v>
      </c>
    </row>
    <row r="1890" spans="1:21">
      <c r="A1890" t="str">
        <f t="shared" si="953"/>
        <v>16/04/2025</v>
      </c>
      <c r="B1890" t="str">
        <f t="shared" si="959"/>
        <v>ENTRADA</v>
      </c>
      <c r="C1890" t="str">
        <f t="shared" si="954"/>
        <v>NFSE</v>
      </c>
      <c r="D1890" t="str">
        <f>"2880"</f>
        <v>2880</v>
      </c>
      <c r="E1890" t="str">
        <f t="shared" si="949"/>
        <v>COM</v>
      </c>
      <c r="F1890" t="str">
        <f>"ENTREFARMA (10164)"</f>
        <v>ENTREFARMA (10164)</v>
      </c>
      <c r="G1890" t="str">
        <f>"Serv.Prest. 07/04/2025 a 13/04/2025 - RPS: 651 - NFSe: 2880"</f>
        <v>Serv.Prest. 07/04/2025 a 13/04/2025 - RPS: 651 - NFSe: 2880</v>
      </c>
      <c r="H1890" t="str">
        <f t="shared" si="955"/>
        <v>16/04/2025</v>
      </c>
      <c r="I1890" t="str">
        <f t="shared" si="960"/>
        <v>14/04/2025</v>
      </c>
      <c r="J1890" t="str">
        <f t="shared" si="956"/>
        <v>16/04/2025</v>
      </c>
      <c r="K1890">
        <v>957.44</v>
      </c>
      <c r="L1890">
        <v>957.44</v>
      </c>
      <c r="M1890">
        <v>303</v>
      </c>
      <c r="N1890" t="str">
        <f t="shared" si="957"/>
        <v>RECEITAS COM ENTREGAS</v>
      </c>
      <c r="O1890">
        <v>957.44</v>
      </c>
      <c r="R1890" t="str">
        <f t="shared" si="958"/>
        <v>RECEITAS COM ENTREGAS (303)</v>
      </c>
      <c r="S1890">
        <v>1369</v>
      </c>
      <c r="T1890">
        <v>1072</v>
      </c>
      <c r="U1890" t="s">
        <v>19</v>
      </c>
    </row>
    <row r="1891" spans="1:21">
      <c r="A1891" t="str">
        <f t="shared" si="953"/>
        <v>16/04/2025</v>
      </c>
      <c r="B1891" t="str">
        <f t="shared" si="959"/>
        <v>ENTRADA</v>
      </c>
      <c r="C1891" t="str">
        <f t="shared" si="954"/>
        <v>NFSE</v>
      </c>
      <c r="D1891" t="str">
        <f>"2880"</f>
        <v>2880</v>
      </c>
      <c r="E1891" t="str">
        <f t="shared" si="949"/>
        <v>COM</v>
      </c>
      <c r="F1891" t="str">
        <f>"ENTREFARMA (10164)"</f>
        <v>ENTREFARMA (10164)</v>
      </c>
      <c r="G1891" t="str">
        <f>"Serv.Prest. 07/04/2025 a 13/04/2025 - RPS: 651 - NFSe: 2880"</f>
        <v>Serv.Prest. 07/04/2025 a 13/04/2025 - RPS: 651 - NFSe: 2880</v>
      </c>
      <c r="H1891" t="str">
        <f t="shared" si="955"/>
        <v>16/04/2025</v>
      </c>
      <c r="I1891" t="str">
        <f t="shared" si="960"/>
        <v>14/04/2025</v>
      </c>
      <c r="J1891" t="str">
        <f t="shared" si="956"/>
        <v>16/04/2025</v>
      </c>
      <c r="M1891">
        <v>303</v>
      </c>
      <c r="N1891" t="str">
        <f t="shared" si="957"/>
        <v>RECEITAS COM ENTREGAS</v>
      </c>
      <c r="P1891">
        <v>957.44</v>
      </c>
      <c r="Q1891" t="str">
        <f>"ENTREFARMA (10164)"</f>
        <v>ENTREFARMA (10164)</v>
      </c>
      <c r="R1891" t="str">
        <f t="shared" si="958"/>
        <v>RECEITAS COM ENTREGAS (303)</v>
      </c>
      <c r="S1891">
        <v>1369</v>
      </c>
      <c r="T1891">
        <v>1072</v>
      </c>
      <c r="U1891" t="s">
        <v>19</v>
      </c>
    </row>
    <row r="1892" spans="1:21">
      <c r="A1892" t="str">
        <f t="shared" si="953"/>
        <v>16/04/2025</v>
      </c>
      <c r="B1892" t="str">
        <f t="shared" si="959"/>
        <v>ENTRADA</v>
      </c>
      <c r="C1892" t="str">
        <f t="shared" si="954"/>
        <v>NFSE</v>
      </c>
      <c r="D1892" t="str">
        <f>"2881"</f>
        <v>2881</v>
      </c>
      <c r="E1892" t="str">
        <f t="shared" si="949"/>
        <v>COM</v>
      </c>
      <c r="F1892" t="str">
        <f>"ROSA MARIA LTDA (10165)"</f>
        <v>ROSA MARIA LTDA (10165)</v>
      </c>
      <c r="G1892" t="str">
        <f>"Serv.Prest. 07/04/2025 a 13/04/2025 - RPS: 652 - NFSe: 2881"</f>
        <v>Serv.Prest. 07/04/2025 a 13/04/2025 - RPS: 652 - NFSe: 2881</v>
      </c>
      <c r="H1892" t="str">
        <f t="shared" si="955"/>
        <v>16/04/2025</v>
      </c>
      <c r="I1892" t="str">
        <f t="shared" si="960"/>
        <v>14/04/2025</v>
      </c>
      <c r="J1892" t="str">
        <f t="shared" si="956"/>
        <v>16/04/2025</v>
      </c>
      <c r="K1892">
        <v>180.88</v>
      </c>
      <c r="L1892">
        <v>180.88</v>
      </c>
      <c r="M1892">
        <v>303</v>
      </c>
      <c r="N1892" t="str">
        <f t="shared" si="957"/>
        <v>RECEITAS COM ENTREGAS</v>
      </c>
      <c r="O1892">
        <v>180.88</v>
      </c>
      <c r="R1892" t="str">
        <f t="shared" si="958"/>
        <v>RECEITAS COM ENTREGAS (303)</v>
      </c>
      <c r="S1892">
        <v>1370</v>
      </c>
      <c r="T1892">
        <v>1073</v>
      </c>
      <c r="U1892" t="s">
        <v>19</v>
      </c>
    </row>
    <row r="1893" spans="1:21">
      <c r="A1893" t="str">
        <f t="shared" si="953"/>
        <v>16/04/2025</v>
      </c>
      <c r="B1893" t="str">
        <f t="shared" si="959"/>
        <v>ENTRADA</v>
      </c>
      <c r="C1893" t="str">
        <f t="shared" si="954"/>
        <v>NFSE</v>
      </c>
      <c r="D1893" t="str">
        <f>"2881"</f>
        <v>2881</v>
      </c>
      <c r="E1893" t="str">
        <f t="shared" si="949"/>
        <v>COM</v>
      </c>
      <c r="F1893" t="str">
        <f>"ROSA MARIA LTDA (10165)"</f>
        <v>ROSA MARIA LTDA (10165)</v>
      </c>
      <c r="G1893" t="str">
        <f>"Serv.Prest. 07/04/2025 a 13/04/2025 - RPS: 652 - NFSe: 2881"</f>
        <v>Serv.Prest. 07/04/2025 a 13/04/2025 - RPS: 652 - NFSe: 2881</v>
      </c>
      <c r="H1893" t="str">
        <f t="shared" si="955"/>
        <v>16/04/2025</v>
      </c>
      <c r="I1893" t="str">
        <f t="shared" si="960"/>
        <v>14/04/2025</v>
      </c>
      <c r="J1893" t="str">
        <f t="shared" si="956"/>
        <v>16/04/2025</v>
      </c>
      <c r="M1893">
        <v>303</v>
      </c>
      <c r="N1893" t="str">
        <f t="shared" si="957"/>
        <v>RECEITAS COM ENTREGAS</v>
      </c>
      <c r="P1893">
        <v>180.88</v>
      </c>
      <c r="Q1893" t="str">
        <f>"ROSA MARIA LTDA (10170)"</f>
        <v>ROSA MARIA LTDA (10170)</v>
      </c>
      <c r="R1893" t="str">
        <f t="shared" si="958"/>
        <v>RECEITAS COM ENTREGAS (303)</v>
      </c>
      <c r="S1893">
        <v>1370</v>
      </c>
      <c r="T1893">
        <v>1073</v>
      </c>
      <c r="U1893" t="s">
        <v>19</v>
      </c>
    </row>
    <row r="1894" spans="1:21">
      <c r="A1894" t="str">
        <f t="shared" si="953"/>
        <v>16/04/2025</v>
      </c>
      <c r="B1894" t="str">
        <f t="shared" si="959"/>
        <v>ENTRADA</v>
      </c>
      <c r="C1894" t="str">
        <f t="shared" si="954"/>
        <v>NFSE</v>
      </c>
      <c r="D1894" t="str">
        <f>"2896"</f>
        <v>2896</v>
      </c>
      <c r="E1894" t="str">
        <f t="shared" si="949"/>
        <v>COM</v>
      </c>
      <c r="F1894" t="str">
        <f>"DROGARIA AGAPEAMA (10167)"</f>
        <v>DROGARIA AGAPEAMA (10167)</v>
      </c>
      <c r="G1894" t="str">
        <f>"Serv.Prest. 07/04/2025 a 13/04/2025 - RPS: 667 - NFSe: 2896"</f>
        <v>Serv.Prest. 07/04/2025 a 13/04/2025 - RPS: 667 - NFSe: 2896</v>
      </c>
      <c r="H1894" t="str">
        <f t="shared" si="955"/>
        <v>16/04/2025</v>
      </c>
      <c r="I1894" t="str">
        <f>("15/04/2025")</f>
        <v>15/04/2025</v>
      </c>
      <c r="J1894" t="str">
        <f t="shared" si="956"/>
        <v>16/04/2025</v>
      </c>
      <c r="K1894">
        <v>668.16</v>
      </c>
      <c r="L1894">
        <v>668.16</v>
      </c>
      <c r="M1894">
        <v>303</v>
      </c>
      <c r="N1894" t="str">
        <f t="shared" si="957"/>
        <v>RECEITAS COM ENTREGAS</v>
      </c>
      <c r="O1894">
        <v>668.16</v>
      </c>
      <c r="R1894" t="str">
        <f t="shared" si="958"/>
        <v>RECEITAS COM ENTREGAS (303)</v>
      </c>
      <c r="S1894">
        <v>1371</v>
      </c>
      <c r="T1894">
        <v>1088</v>
      </c>
      <c r="U1894" t="s">
        <v>19</v>
      </c>
    </row>
    <row r="1895" spans="1:21">
      <c r="A1895" t="str">
        <f t="shared" si="953"/>
        <v>16/04/2025</v>
      </c>
      <c r="B1895" t="str">
        <f t="shared" si="959"/>
        <v>ENTRADA</v>
      </c>
      <c r="C1895" t="str">
        <f t="shared" si="954"/>
        <v>NFSE</v>
      </c>
      <c r="D1895" t="str">
        <f>"2896"</f>
        <v>2896</v>
      </c>
      <c r="E1895" t="str">
        <f t="shared" si="949"/>
        <v>COM</v>
      </c>
      <c r="F1895" t="str">
        <f>"DROGARIA AGAPEAMA (10167)"</f>
        <v>DROGARIA AGAPEAMA (10167)</v>
      </c>
      <c r="G1895" t="str">
        <f>"Serv.Prest. 07/04/2025 a 13/04/2025 - RPS: 667 - NFSe: 2896"</f>
        <v>Serv.Prest. 07/04/2025 a 13/04/2025 - RPS: 667 - NFSe: 2896</v>
      </c>
      <c r="H1895" t="str">
        <f t="shared" si="955"/>
        <v>16/04/2025</v>
      </c>
      <c r="I1895" t="str">
        <f>("15/04/2025")</f>
        <v>15/04/2025</v>
      </c>
      <c r="J1895" t="str">
        <f t="shared" si="956"/>
        <v>16/04/2025</v>
      </c>
      <c r="M1895">
        <v>303</v>
      </c>
      <c r="N1895" t="str">
        <f t="shared" si="957"/>
        <v>RECEITAS COM ENTREGAS</v>
      </c>
      <c r="P1895">
        <v>668.16</v>
      </c>
      <c r="Q1895" t="str">
        <f>"DROGARIA AGAPEAMA (10167)"</f>
        <v>DROGARIA AGAPEAMA (10167)</v>
      </c>
      <c r="R1895" t="str">
        <f t="shared" si="958"/>
        <v>RECEITAS COM ENTREGAS (303)</v>
      </c>
      <c r="S1895">
        <v>1371</v>
      </c>
      <c r="T1895">
        <v>1088</v>
      </c>
      <c r="U1895" t="s">
        <v>19</v>
      </c>
    </row>
    <row r="1896" spans="1:21">
      <c r="A1896" t="str">
        <f t="shared" si="953"/>
        <v>16/04/2025</v>
      </c>
      <c r="B1896" t="str">
        <f t="shared" si="959"/>
        <v>ENTRADA</v>
      </c>
      <c r="C1896" t="str">
        <f t="shared" si="954"/>
        <v>NFSE</v>
      </c>
      <c r="D1896" t="str">
        <f>"2865"</f>
        <v>2865</v>
      </c>
      <c r="E1896" t="str">
        <f t="shared" si="949"/>
        <v>COM</v>
      </c>
      <c r="F1896" t="str">
        <f>"PAGMENOS - LJ 657 (10136)"</f>
        <v>PAGMENOS - LJ 657 (10136)</v>
      </c>
      <c r="G1896" t="str">
        <f>"Serv.Prest. 31/03/2025 a 06/04/2025 - RPS: 636 - NFSe: 2865"</f>
        <v>Serv.Prest. 31/03/2025 a 06/04/2025 - RPS: 636 - NFSe: 2865</v>
      </c>
      <c r="H1896" t="str">
        <f>("17/04/2025")</f>
        <v>17/04/2025</v>
      </c>
      <c r="I1896" t="str">
        <f>("07/04/2025")</f>
        <v>07/04/2025</v>
      </c>
      <c r="J1896" t="str">
        <f t="shared" si="956"/>
        <v>16/04/2025</v>
      </c>
      <c r="K1896">
        <v>596.6</v>
      </c>
      <c r="L1896">
        <v>596.6</v>
      </c>
      <c r="M1896">
        <v>303</v>
      </c>
      <c r="N1896" t="str">
        <f t="shared" si="957"/>
        <v>RECEITAS COM ENTREGAS</v>
      </c>
      <c r="O1896">
        <v>596.6</v>
      </c>
      <c r="R1896" t="str">
        <f t="shared" si="958"/>
        <v>RECEITAS COM ENTREGAS (303)</v>
      </c>
      <c r="S1896">
        <v>1383</v>
      </c>
      <c r="T1896">
        <v>1057</v>
      </c>
      <c r="U1896" t="s">
        <v>19</v>
      </c>
    </row>
    <row r="1897" spans="1:21">
      <c r="A1897" t="str">
        <f t="shared" si="953"/>
        <v>16/04/2025</v>
      </c>
      <c r="B1897" t="str">
        <f t="shared" si="959"/>
        <v>ENTRADA</v>
      </c>
      <c r="C1897" t="str">
        <f t="shared" si="954"/>
        <v>NFSE</v>
      </c>
      <c r="D1897" t="str">
        <f>"2865"</f>
        <v>2865</v>
      </c>
      <c r="E1897" t="str">
        <f t="shared" si="949"/>
        <v>COM</v>
      </c>
      <c r="F1897" t="str">
        <f>"PAGMENOS - LJ 657 (10136)"</f>
        <v>PAGMENOS - LJ 657 (10136)</v>
      </c>
      <c r="G1897" t="str">
        <f>"Serv.Prest. 31/03/2025 a 06/04/2025 - RPS: 636 - NFSe: 2865"</f>
        <v>Serv.Prest. 31/03/2025 a 06/04/2025 - RPS: 636 - NFSe: 2865</v>
      </c>
      <c r="H1897" t="str">
        <f>("17/04/2025")</f>
        <v>17/04/2025</v>
      </c>
      <c r="I1897" t="str">
        <f>("07/04/2025")</f>
        <v>07/04/2025</v>
      </c>
      <c r="J1897" t="str">
        <f t="shared" si="956"/>
        <v>16/04/2025</v>
      </c>
      <c r="M1897">
        <v>303</v>
      </c>
      <c r="N1897" t="str">
        <f t="shared" si="957"/>
        <v>RECEITAS COM ENTREGAS</v>
      </c>
      <c r="P1897">
        <v>596.6</v>
      </c>
      <c r="Q1897" t="str">
        <f>"PAGMENOS - LJ 657 (10136)"</f>
        <v>PAGMENOS - LJ 657 (10136)</v>
      </c>
      <c r="R1897" t="str">
        <f t="shared" si="958"/>
        <v>RECEITAS COM ENTREGAS (303)</v>
      </c>
      <c r="S1897">
        <v>1383</v>
      </c>
      <c r="T1897">
        <v>1057</v>
      </c>
      <c r="U1897" t="s">
        <v>19</v>
      </c>
    </row>
    <row r="1898" spans="1:21">
      <c r="A1898" t="str">
        <f t="shared" si="953"/>
        <v>16/04/2025</v>
      </c>
      <c r="B1898" t="str">
        <f t="shared" si="959"/>
        <v>ENTRADA</v>
      </c>
      <c r="C1898" t="str">
        <f t="shared" si="954"/>
        <v>NFSE</v>
      </c>
      <c r="D1898" t="str">
        <f>"2866"</f>
        <v>2866</v>
      </c>
      <c r="E1898" t="str">
        <f t="shared" si="949"/>
        <v>COM</v>
      </c>
      <c r="F1898" t="str">
        <f>"PAGMENOS - LJ 608 (10135)"</f>
        <v>PAGMENOS - LJ 608 (10135)</v>
      </c>
      <c r="G1898" t="str">
        <f>"Serv.Prest. 31/03/2025 a 06/04/2025 - RPS: 637 - NFSe: 2866"</f>
        <v>Serv.Prest. 31/03/2025 a 06/04/2025 - RPS: 637 - NFSe: 2866</v>
      </c>
      <c r="H1898" t="str">
        <f>("17/04/2025")</f>
        <v>17/04/2025</v>
      </c>
      <c r="I1898" t="str">
        <f>("07/04/2025")</f>
        <v>07/04/2025</v>
      </c>
      <c r="J1898" t="str">
        <f t="shared" si="956"/>
        <v>16/04/2025</v>
      </c>
      <c r="K1898">
        <v>280.20999999999998</v>
      </c>
      <c r="L1898">
        <v>280.20999999999998</v>
      </c>
      <c r="M1898">
        <v>303</v>
      </c>
      <c r="N1898" t="str">
        <f t="shared" si="957"/>
        <v>RECEITAS COM ENTREGAS</v>
      </c>
      <c r="O1898">
        <v>280.20999999999998</v>
      </c>
      <c r="R1898" t="str">
        <f t="shared" si="958"/>
        <v>RECEITAS COM ENTREGAS (303)</v>
      </c>
      <c r="S1898">
        <v>1384</v>
      </c>
      <c r="T1898">
        <v>1058</v>
      </c>
      <c r="U1898" t="s">
        <v>19</v>
      </c>
    </row>
    <row r="1899" spans="1:21">
      <c r="A1899" t="str">
        <f t="shared" si="953"/>
        <v>16/04/2025</v>
      </c>
      <c r="B1899" t="str">
        <f t="shared" si="959"/>
        <v>ENTRADA</v>
      </c>
      <c r="C1899" t="str">
        <f t="shared" si="954"/>
        <v>NFSE</v>
      </c>
      <c r="D1899" t="str">
        <f>"2866"</f>
        <v>2866</v>
      </c>
      <c r="E1899" t="str">
        <f t="shared" si="949"/>
        <v>COM</v>
      </c>
      <c r="F1899" t="str">
        <f>"PAGMENOS - LJ 608 (10135)"</f>
        <v>PAGMENOS - LJ 608 (10135)</v>
      </c>
      <c r="G1899" t="str">
        <f>"Serv.Prest. 31/03/2025 a 06/04/2025 - RPS: 637 - NFSe: 2866"</f>
        <v>Serv.Prest. 31/03/2025 a 06/04/2025 - RPS: 637 - NFSe: 2866</v>
      </c>
      <c r="H1899" t="str">
        <f>("17/04/2025")</f>
        <v>17/04/2025</v>
      </c>
      <c r="I1899" t="str">
        <f>("07/04/2025")</f>
        <v>07/04/2025</v>
      </c>
      <c r="J1899" t="str">
        <f t="shared" si="956"/>
        <v>16/04/2025</v>
      </c>
      <c r="M1899">
        <v>303</v>
      </c>
      <c r="N1899" t="str">
        <f t="shared" si="957"/>
        <v>RECEITAS COM ENTREGAS</v>
      </c>
      <c r="P1899">
        <v>280.20999999999998</v>
      </c>
      <c r="Q1899" t="str">
        <f>"PAGMENOS - LJ 608 (10135)"</f>
        <v>PAGMENOS - LJ 608 (10135)</v>
      </c>
      <c r="R1899" t="str">
        <f t="shared" si="958"/>
        <v>RECEITAS COM ENTREGAS (303)</v>
      </c>
      <c r="S1899">
        <v>1384</v>
      </c>
      <c r="T1899">
        <v>1058</v>
      </c>
      <c r="U1899" t="s">
        <v>19</v>
      </c>
    </row>
    <row r="1900" spans="1:21">
      <c r="A1900" t="str">
        <f t="shared" si="953"/>
        <v>16/04/2025</v>
      </c>
      <c r="B1900" t="str">
        <f t="shared" ref="B1900:B1914" si="961">"SAÍDA"</f>
        <v>SAÍDA</v>
      </c>
      <c r="C1900" t="str">
        <f>"PIX"</f>
        <v>PIX</v>
      </c>
      <c r="D1900" t="str">
        <f>"160425"</f>
        <v>160425</v>
      </c>
      <c r="E1900" t="str">
        <f t="shared" si="949"/>
        <v>COM</v>
      </c>
      <c r="F1900" t="str">
        <f>"CONTA SIMPLES SOLUCOES DE PAGAMENTOS LTDA (20019)"</f>
        <v>CONTA SIMPLES SOLUCOES DE PAGAMENTOS LTDA (20019)</v>
      </c>
      <c r="G1900" t="str">
        <f>"PUBLICIDADE E PROPAGANDA EM REDES SOCIAIS"</f>
        <v>PUBLICIDADE E PROPAGANDA EM REDES SOCIAIS</v>
      </c>
      <c r="H1900" t="str">
        <f t="shared" ref="H1900:I1911" si="962">("16/04/2025")</f>
        <v>16/04/2025</v>
      </c>
      <c r="I1900" t="str">
        <f t="shared" si="962"/>
        <v>16/04/2025</v>
      </c>
      <c r="J1900" t="str">
        <f t="shared" si="956"/>
        <v>16/04/2025</v>
      </c>
      <c r="K1900">
        <v>1000</v>
      </c>
      <c r="L1900">
        <v>1000</v>
      </c>
      <c r="M1900">
        <v>127</v>
      </c>
      <c r="N1900" t="str">
        <f>"PUBLICIDADE E PROPAGANDAS"</f>
        <v>PUBLICIDADE E PROPAGANDAS</v>
      </c>
      <c r="O1900">
        <v>1000</v>
      </c>
      <c r="R1900" t="str">
        <f t="shared" ref="R1900:R1914" si="963">"BANCO CORA (102)"</f>
        <v>BANCO CORA (102)</v>
      </c>
      <c r="S1900">
        <v>1435</v>
      </c>
      <c r="T1900">
        <v>1185</v>
      </c>
      <c r="U1900" t="s">
        <v>19</v>
      </c>
    </row>
    <row r="1901" spans="1:21">
      <c r="A1901" t="str">
        <f t="shared" si="953"/>
        <v>16/04/2025</v>
      </c>
      <c r="B1901" t="str">
        <f t="shared" si="961"/>
        <v>SAÍDA</v>
      </c>
      <c r="C1901" t="str">
        <f>"PIX"</f>
        <v>PIX</v>
      </c>
      <c r="D1901" t="str">
        <f>"160425"</f>
        <v>160425</v>
      </c>
      <c r="E1901" t="str">
        <f t="shared" si="949"/>
        <v>COM</v>
      </c>
      <c r="F1901" t="str">
        <f>"CONTA SIMPLES SOLUCOES DE PAGAMENTOS LTDA (20019)"</f>
        <v>CONTA SIMPLES SOLUCOES DE PAGAMENTOS LTDA (20019)</v>
      </c>
      <c r="G1901" t="str">
        <f>"PUBLICIDADE E PROPAGANDA EM REDES SOCIAIS"</f>
        <v>PUBLICIDADE E PROPAGANDA EM REDES SOCIAIS</v>
      </c>
      <c r="H1901" t="str">
        <f t="shared" si="962"/>
        <v>16/04/2025</v>
      </c>
      <c r="I1901" t="str">
        <f t="shared" si="962"/>
        <v>16/04/2025</v>
      </c>
      <c r="J1901" t="str">
        <f t="shared" si="956"/>
        <v>16/04/2025</v>
      </c>
      <c r="M1901">
        <v>127</v>
      </c>
      <c r="N1901" t="str">
        <f>"PUBLICIDADE E PROPAGANDAS"</f>
        <v>PUBLICIDADE E PROPAGANDAS</v>
      </c>
      <c r="P1901">
        <v>1000</v>
      </c>
      <c r="Q1901" t="str">
        <f>"CONTA SIMPLES SOLUCOES DE PAGAMENTOS LTDA (20019)"</f>
        <v>CONTA SIMPLES SOLUCOES DE PAGAMENTOS LTDA (20019)</v>
      </c>
      <c r="R1901" t="str">
        <f t="shared" si="963"/>
        <v>BANCO CORA (102)</v>
      </c>
      <c r="S1901">
        <v>1435</v>
      </c>
      <c r="T1901">
        <v>1185</v>
      </c>
      <c r="U1901" t="s">
        <v>19</v>
      </c>
    </row>
    <row r="1902" spans="1:21">
      <c r="A1902" t="str">
        <f t="shared" si="953"/>
        <v>16/04/2025</v>
      </c>
      <c r="B1902" t="str">
        <f t="shared" si="961"/>
        <v>SAÍDA</v>
      </c>
      <c r="C1902" t="str">
        <f>"BOLETO"</f>
        <v>BOLETO</v>
      </c>
      <c r="D1902" t="str">
        <f>"160425"</f>
        <v>160425</v>
      </c>
      <c r="E1902" t="str">
        <f t="shared" si="949"/>
        <v>COM</v>
      </c>
      <c r="F1902" t="str">
        <f>"UNIVERSO ONLINE SA (20062)"</f>
        <v>UNIVERSO ONLINE SA (20062)</v>
      </c>
      <c r="G1902" t="str">
        <f>"RENOVACAO DOMINIO FLUXFARMA.COM.BR"</f>
        <v>RENOVACAO DOMINIO FLUXFARMA.COM.BR</v>
      </c>
      <c r="H1902" t="str">
        <f t="shared" si="962"/>
        <v>16/04/2025</v>
      </c>
      <c r="I1902" t="str">
        <f t="shared" si="962"/>
        <v>16/04/2025</v>
      </c>
      <c r="J1902" t="str">
        <f t="shared" si="956"/>
        <v>16/04/2025</v>
      </c>
      <c r="K1902">
        <v>255.65</v>
      </c>
      <c r="L1902">
        <v>255.65</v>
      </c>
      <c r="M1902">
        <v>104</v>
      </c>
      <c r="N1902" t="str">
        <f>"SOFTWARE / LICENÇAS"</f>
        <v>SOFTWARE / LICENÇAS</v>
      </c>
      <c r="O1902">
        <v>255.65</v>
      </c>
      <c r="R1902" t="str">
        <f t="shared" si="963"/>
        <v>BANCO CORA (102)</v>
      </c>
      <c r="S1902">
        <v>1437</v>
      </c>
      <c r="T1902">
        <v>1187</v>
      </c>
      <c r="U1902" t="s">
        <v>19</v>
      </c>
    </row>
    <row r="1903" spans="1:21">
      <c r="A1903" t="str">
        <f t="shared" si="953"/>
        <v>16/04/2025</v>
      </c>
      <c r="B1903" t="str">
        <f t="shared" si="961"/>
        <v>SAÍDA</v>
      </c>
      <c r="C1903" t="str">
        <f>"BOLETO"</f>
        <v>BOLETO</v>
      </c>
      <c r="D1903" t="str">
        <f>"160425"</f>
        <v>160425</v>
      </c>
      <c r="E1903" t="str">
        <f t="shared" si="949"/>
        <v>COM</v>
      </c>
      <c r="F1903" t="str">
        <f>"UNIVERSO ONLINE SA (20062)"</f>
        <v>UNIVERSO ONLINE SA (20062)</v>
      </c>
      <c r="G1903" t="str">
        <f>"RENOVACAO DOMINIO FLUXFARMA.COM.BR"</f>
        <v>RENOVACAO DOMINIO FLUXFARMA.COM.BR</v>
      </c>
      <c r="H1903" t="str">
        <f t="shared" si="962"/>
        <v>16/04/2025</v>
      </c>
      <c r="I1903" t="str">
        <f t="shared" si="962"/>
        <v>16/04/2025</v>
      </c>
      <c r="J1903" t="str">
        <f t="shared" si="956"/>
        <v>16/04/2025</v>
      </c>
      <c r="M1903">
        <v>104</v>
      </c>
      <c r="N1903" t="str">
        <f>"SOFTWARE / LICENÇAS"</f>
        <v>SOFTWARE / LICENÇAS</v>
      </c>
      <c r="P1903">
        <v>255.65</v>
      </c>
      <c r="Q1903" t="str">
        <f>"UNIVERSO ONLINE SA (20062)"</f>
        <v>UNIVERSO ONLINE SA (20062)</v>
      </c>
      <c r="R1903" t="str">
        <f t="shared" si="963"/>
        <v>BANCO CORA (102)</v>
      </c>
      <c r="S1903">
        <v>1437</v>
      </c>
      <c r="T1903">
        <v>1187</v>
      </c>
      <c r="U1903" t="s">
        <v>19</v>
      </c>
    </row>
    <row r="1904" spans="1:21">
      <c r="A1904" t="str">
        <f t="shared" si="953"/>
        <v>16/04/2025</v>
      </c>
      <c r="B1904" t="str">
        <f t="shared" si="961"/>
        <v>SAÍDA</v>
      </c>
      <c r="C1904" t="str">
        <f t="shared" ref="C1904:C1911" si="964">"JUROS"</f>
        <v>JUROS</v>
      </c>
      <c r="D1904" t="str">
        <f>""</f>
        <v/>
      </c>
      <c r="E1904" t="str">
        <f t="shared" ref="E1904:E1911" si="965">"CXA"</f>
        <v>CXA</v>
      </c>
      <c r="F1904" t="str">
        <f>""</f>
        <v/>
      </c>
      <c r="G1904" t="str">
        <f t="shared" ref="G1904:G1911" si="966">"TAXA BOLETO COMPENSADO"</f>
        <v>TAXA BOLETO COMPENSADO</v>
      </c>
      <c r="H1904" t="str">
        <f t="shared" si="962"/>
        <v>16/04/2025</v>
      </c>
      <c r="I1904" t="str">
        <f t="shared" si="962"/>
        <v>16/04/2025</v>
      </c>
      <c r="J1904" t="str">
        <f t="shared" si="956"/>
        <v>16/04/2025</v>
      </c>
      <c r="K1904">
        <v>1.7</v>
      </c>
      <c r="L1904">
        <v>1.7</v>
      </c>
      <c r="M1904">
        <v>401</v>
      </c>
      <c r="N1904" t="str">
        <f t="shared" ref="N1904:N1911" si="967">"IOF/JUROS/DESP.FINANCEIRA"</f>
        <v>IOF/JUROS/DESP.FINANCEIRA</v>
      </c>
      <c r="O1904">
        <v>1.7</v>
      </c>
      <c r="R1904" t="str">
        <f t="shared" si="963"/>
        <v>BANCO CORA (102)</v>
      </c>
      <c r="S1904">
        <v>1454</v>
      </c>
      <c r="T1904">
        <v>0</v>
      </c>
      <c r="U1904" t="s">
        <v>20</v>
      </c>
    </row>
    <row r="1905" spans="1:21">
      <c r="A1905" t="str">
        <f t="shared" si="953"/>
        <v>16/04/2025</v>
      </c>
      <c r="B1905" t="str">
        <f t="shared" si="961"/>
        <v>SAÍDA</v>
      </c>
      <c r="C1905" t="str">
        <f t="shared" si="964"/>
        <v>JUROS</v>
      </c>
      <c r="D1905" t="str">
        <f>""</f>
        <v/>
      </c>
      <c r="E1905" t="str">
        <f t="shared" si="965"/>
        <v>CXA</v>
      </c>
      <c r="F1905" t="str">
        <f>""</f>
        <v/>
      </c>
      <c r="G1905" t="str">
        <f t="shared" si="966"/>
        <v>TAXA BOLETO COMPENSADO</v>
      </c>
      <c r="H1905" t="str">
        <f t="shared" si="962"/>
        <v>16/04/2025</v>
      </c>
      <c r="I1905" t="str">
        <f t="shared" si="962"/>
        <v>16/04/2025</v>
      </c>
      <c r="J1905" t="str">
        <f t="shared" si="956"/>
        <v>16/04/2025</v>
      </c>
      <c r="K1905">
        <v>1.7</v>
      </c>
      <c r="L1905">
        <v>1.7</v>
      </c>
      <c r="M1905">
        <v>401</v>
      </c>
      <c r="N1905" t="str">
        <f t="shared" si="967"/>
        <v>IOF/JUROS/DESP.FINANCEIRA</v>
      </c>
      <c r="O1905">
        <v>1.7</v>
      </c>
      <c r="R1905" t="str">
        <f t="shared" si="963"/>
        <v>BANCO CORA (102)</v>
      </c>
      <c r="S1905">
        <v>1455</v>
      </c>
      <c r="T1905">
        <v>0</v>
      </c>
      <c r="U1905" t="s">
        <v>20</v>
      </c>
    </row>
    <row r="1906" spans="1:21">
      <c r="A1906" t="str">
        <f t="shared" si="953"/>
        <v>16/04/2025</v>
      </c>
      <c r="B1906" t="str">
        <f t="shared" si="961"/>
        <v>SAÍDA</v>
      </c>
      <c r="C1906" t="str">
        <f t="shared" si="964"/>
        <v>JUROS</v>
      </c>
      <c r="D1906" t="str">
        <f>""</f>
        <v/>
      </c>
      <c r="E1906" t="str">
        <f t="shared" si="965"/>
        <v>CXA</v>
      </c>
      <c r="F1906" t="str">
        <f>""</f>
        <v/>
      </c>
      <c r="G1906" t="str">
        <f t="shared" si="966"/>
        <v>TAXA BOLETO COMPENSADO</v>
      </c>
      <c r="H1906" t="str">
        <f t="shared" si="962"/>
        <v>16/04/2025</v>
      </c>
      <c r="I1906" t="str">
        <f t="shared" si="962"/>
        <v>16/04/2025</v>
      </c>
      <c r="J1906" t="str">
        <f t="shared" si="956"/>
        <v>16/04/2025</v>
      </c>
      <c r="K1906">
        <v>1.7</v>
      </c>
      <c r="L1906">
        <v>1.7</v>
      </c>
      <c r="M1906">
        <v>401</v>
      </c>
      <c r="N1906" t="str">
        <f t="shared" si="967"/>
        <v>IOF/JUROS/DESP.FINANCEIRA</v>
      </c>
      <c r="O1906">
        <v>1.7</v>
      </c>
      <c r="R1906" t="str">
        <f t="shared" si="963"/>
        <v>BANCO CORA (102)</v>
      </c>
      <c r="S1906">
        <v>1456</v>
      </c>
      <c r="T1906">
        <v>0</v>
      </c>
      <c r="U1906" t="s">
        <v>20</v>
      </c>
    </row>
    <row r="1907" spans="1:21">
      <c r="A1907" t="str">
        <f t="shared" si="953"/>
        <v>16/04/2025</v>
      </c>
      <c r="B1907" t="str">
        <f t="shared" si="961"/>
        <v>SAÍDA</v>
      </c>
      <c r="C1907" t="str">
        <f t="shared" si="964"/>
        <v>JUROS</v>
      </c>
      <c r="D1907" t="str">
        <f>""</f>
        <v/>
      </c>
      <c r="E1907" t="str">
        <f t="shared" si="965"/>
        <v>CXA</v>
      </c>
      <c r="F1907" t="str">
        <f>""</f>
        <v/>
      </c>
      <c r="G1907" t="str">
        <f t="shared" si="966"/>
        <v>TAXA BOLETO COMPENSADO</v>
      </c>
      <c r="H1907" t="str">
        <f t="shared" si="962"/>
        <v>16/04/2025</v>
      </c>
      <c r="I1907" t="str">
        <f t="shared" si="962"/>
        <v>16/04/2025</v>
      </c>
      <c r="J1907" t="str">
        <f t="shared" si="956"/>
        <v>16/04/2025</v>
      </c>
      <c r="K1907">
        <v>1.7</v>
      </c>
      <c r="L1907">
        <v>1.7</v>
      </c>
      <c r="M1907">
        <v>401</v>
      </c>
      <c r="N1907" t="str">
        <f t="shared" si="967"/>
        <v>IOF/JUROS/DESP.FINANCEIRA</v>
      </c>
      <c r="O1907">
        <v>1.7</v>
      </c>
      <c r="R1907" t="str">
        <f t="shared" si="963"/>
        <v>BANCO CORA (102)</v>
      </c>
      <c r="S1907">
        <v>1457</v>
      </c>
      <c r="T1907">
        <v>0</v>
      </c>
      <c r="U1907" t="s">
        <v>20</v>
      </c>
    </row>
    <row r="1908" spans="1:21">
      <c r="A1908" t="str">
        <f t="shared" si="953"/>
        <v>16/04/2025</v>
      </c>
      <c r="B1908" t="str">
        <f t="shared" si="961"/>
        <v>SAÍDA</v>
      </c>
      <c r="C1908" t="str">
        <f t="shared" si="964"/>
        <v>JUROS</v>
      </c>
      <c r="D1908" t="str">
        <f>""</f>
        <v/>
      </c>
      <c r="E1908" t="str">
        <f t="shared" si="965"/>
        <v>CXA</v>
      </c>
      <c r="F1908" t="str">
        <f>""</f>
        <v/>
      </c>
      <c r="G1908" t="str">
        <f t="shared" si="966"/>
        <v>TAXA BOLETO COMPENSADO</v>
      </c>
      <c r="H1908" t="str">
        <f t="shared" si="962"/>
        <v>16/04/2025</v>
      </c>
      <c r="I1908" t="str">
        <f t="shared" si="962"/>
        <v>16/04/2025</v>
      </c>
      <c r="J1908" t="str">
        <f t="shared" si="956"/>
        <v>16/04/2025</v>
      </c>
      <c r="K1908">
        <v>1.7</v>
      </c>
      <c r="L1908">
        <v>1.7</v>
      </c>
      <c r="M1908">
        <v>401</v>
      </c>
      <c r="N1908" t="str">
        <f t="shared" si="967"/>
        <v>IOF/JUROS/DESP.FINANCEIRA</v>
      </c>
      <c r="O1908">
        <v>1.7</v>
      </c>
      <c r="R1908" t="str">
        <f t="shared" si="963"/>
        <v>BANCO CORA (102)</v>
      </c>
      <c r="S1908">
        <v>1458</v>
      </c>
      <c r="T1908">
        <v>0</v>
      </c>
      <c r="U1908" t="s">
        <v>20</v>
      </c>
    </row>
    <row r="1909" spans="1:21">
      <c r="A1909" t="str">
        <f t="shared" si="953"/>
        <v>16/04/2025</v>
      </c>
      <c r="B1909" t="str">
        <f t="shared" si="961"/>
        <v>SAÍDA</v>
      </c>
      <c r="C1909" t="str">
        <f t="shared" si="964"/>
        <v>JUROS</v>
      </c>
      <c r="D1909" t="str">
        <f>""</f>
        <v/>
      </c>
      <c r="E1909" t="str">
        <f t="shared" si="965"/>
        <v>CXA</v>
      </c>
      <c r="F1909" t="str">
        <f>""</f>
        <v/>
      </c>
      <c r="G1909" t="str">
        <f t="shared" si="966"/>
        <v>TAXA BOLETO COMPENSADO</v>
      </c>
      <c r="H1909" t="str">
        <f t="shared" si="962"/>
        <v>16/04/2025</v>
      </c>
      <c r="I1909" t="str">
        <f t="shared" si="962"/>
        <v>16/04/2025</v>
      </c>
      <c r="J1909" t="str">
        <f t="shared" si="956"/>
        <v>16/04/2025</v>
      </c>
      <c r="K1909">
        <v>1.7</v>
      </c>
      <c r="L1909">
        <v>1.7</v>
      </c>
      <c r="M1909">
        <v>401</v>
      </c>
      <c r="N1909" t="str">
        <f t="shared" si="967"/>
        <v>IOF/JUROS/DESP.FINANCEIRA</v>
      </c>
      <c r="O1909">
        <v>1.7</v>
      </c>
      <c r="R1909" t="str">
        <f t="shared" si="963"/>
        <v>BANCO CORA (102)</v>
      </c>
      <c r="S1909">
        <v>1459</v>
      </c>
      <c r="T1909">
        <v>0</v>
      </c>
      <c r="U1909" t="s">
        <v>20</v>
      </c>
    </row>
    <row r="1910" spans="1:21">
      <c r="A1910" t="str">
        <f t="shared" si="953"/>
        <v>16/04/2025</v>
      </c>
      <c r="B1910" t="str">
        <f t="shared" si="961"/>
        <v>SAÍDA</v>
      </c>
      <c r="C1910" t="str">
        <f t="shared" si="964"/>
        <v>JUROS</v>
      </c>
      <c r="D1910" t="str">
        <f>""</f>
        <v/>
      </c>
      <c r="E1910" t="str">
        <f t="shared" si="965"/>
        <v>CXA</v>
      </c>
      <c r="F1910" t="str">
        <f>""</f>
        <v/>
      </c>
      <c r="G1910" t="str">
        <f t="shared" si="966"/>
        <v>TAXA BOLETO COMPENSADO</v>
      </c>
      <c r="H1910" t="str">
        <f t="shared" si="962"/>
        <v>16/04/2025</v>
      </c>
      <c r="I1910" t="str">
        <f t="shared" si="962"/>
        <v>16/04/2025</v>
      </c>
      <c r="J1910" t="str">
        <f t="shared" si="956"/>
        <v>16/04/2025</v>
      </c>
      <c r="K1910">
        <v>1.7</v>
      </c>
      <c r="L1910">
        <v>1.7</v>
      </c>
      <c r="M1910">
        <v>401</v>
      </c>
      <c r="N1910" t="str">
        <f t="shared" si="967"/>
        <v>IOF/JUROS/DESP.FINANCEIRA</v>
      </c>
      <c r="O1910">
        <v>1.7</v>
      </c>
      <c r="R1910" t="str">
        <f t="shared" si="963"/>
        <v>BANCO CORA (102)</v>
      </c>
      <c r="S1910">
        <v>1460</v>
      </c>
      <c r="T1910">
        <v>0</v>
      </c>
      <c r="U1910" t="s">
        <v>20</v>
      </c>
    </row>
    <row r="1911" spans="1:21">
      <c r="A1911" t="str">
        <f t="shared" si="953"/>
        <v>16/04/2025</v>
      </c>
      <c r="B1911" t="str">
        <f t="shared" si="961"/>
        <v>SAÍDA</v>
      </c>
      <c r="C1911" t="str">
        <f t="shared" si="964"/>
        <v>JUROS</v>
      </c>
      <c r="D1911" t="str">
        <f>""</f>
        <v/>
      </c>
      <c r="E1911" t="str">
        <f t="shared" si="965"/>
        <v>CXA</v>
      </c>
      <c r="F1911" t="str">
        <f>""</f>
        <v/>
      </c>
      <c r="G1911" t="str">
        <f t="shared" si="966"/>
        <v>TAXA BOLETO COMPENSADO</v>
      </c>
      <c r="H1911" t="str">
        <f t="shared" si="962"/>
        <v>16/04/2025</v>
      </c>
      <c r="I1911" t="str">
        <f t="shared" si="962"/>
        <v>16/04/2025</v>
      </c>
      <c r="J1911" t="str">
        <f t="shared" si="956"/>
        <v>16/04/2025</v>
      </c>
      <c r="K1911">
        <v>1.7</v>
      </c>
      <c r="L1911">
        <v>1.7</v>
      </c>
      <c r="M1911">
        <v>401</v>
      </c>
      <c r="N1911" t="str">
        <f t="shared" si="967"/>
        <v>IOF/JUROS/DESP.FINANCEIRA</v>
      </c>
      <c r="O1911">
        <v>1.7</v>
      </c>
      <c r="R1911" t="str">
        <f t="shared" si="963"/>
        <v>BANCO CORA (102)</v>
      </c>
      <c r="S1911">
        <v>1461</v>
      </c>
      <c r="T1911">
        <v>0</v>
      </c>
      <c r="U1911" t="s">
        <v>20</v>
      </c>
    </row>
    <row r="1912" spans="1:21">
      <c r="A1912" t="str">
        <f t="shared" ref="A1912:A1947" si="968">("17/04/2025")</f>
        <v>17/04/2025</v>
      </c>
      <c r="B1912" t="str">
        <f t="shared" si="961"/>
        <v>SAÍDA</v>
      </c>
      <c r="C1912" t="str">
        <f>"BOLETO"</f>
        <v>BOLETO</v>
      </c>
      <c r="D1912" t="str">
        <f>"071625078871367"</f>
        <v>071625078871367</v>
      </c>
      <c r="E1912" t="str">
        <f t="shared" ref="E1912:E1936" si="969">"COM"</f>
        <v>COM</v>
      </c>
      <c r="F1912" t="str">
        <f>"MINISTERIO DA FAZENDA (20009)"</f>
        <v>MINISTERIO DA FAZENDA (20009)</v>
      </c>
      <c r="G1912" t="str">
        <f>"INSS SOBRE PROLABORE"</f>
        <v>INSS SOBRE PROLABORE</v>
      </c>
      <c r="H1912" t="str">
        <f>("17/04/2025")</f>
        <v>17/04/2025</v>
      </c>
      <c r="I1912" t="str">
        <f>("31/03/2025")</f>
        <v>31/03/2025</v>
      </c>
      <c r="J1912" t="str">
        <f t="shared" ref="J1912:J1947" si="970">("17/04/2025")</f>
        <v>17/04/2025</v>
      </c>
      <c r="K1912">
        <v>333.96</v>
      </c>
      <c r="L1912">
        <v>333.96</v>
      </c>
      <c r="M1912">
        <v>112</v>
      </c>
      <c r="N1912" t="str">
        <f>"INSS - PRO-LABORE"</f>
        <v>INSS - PRO-LABORE</v>
      </c>
      <c r="O1912">
        <v>333.96</v>
      </c>
      <c r="R1912" t="str">
        <f t="shared" si="963"/>
        <v>BANCO CORA (102)</v>
      </c>
      <c r="S1912">
        <v>1332</v>
      </c>
      <c r="T1912">
        <v>715</v>
      </c>
      <c r="U1912" t="s">
        <v>19</v>
      </c>
    </row>
    <row r="1913" spans="1:21">
      <c r="A1913" t="str">
        <f t="shared" si="968"/>
        <v>17/04/2025</v>
      </c>
      <c r="B1913" t="str">
        <f t="shared" si="961"/>
        <v>SAÍDA</v>
      </c>
      <c r="C1913" t="str">
        <f>"BOLETO"</f>
        <v>BOLETO</v>
      </c>
      <c r="D1913" t="str">
        <f>"071625078871367"</f>
        <v>071625078871367</v>
      </c>
      <c r="E1913" t="str">
        <f t="shared" si="969"/>
        <v>COM</v>
      </c>
      <c r="F1913" t="str">
        <f>"MINISTERIO DA FAZENDA (20009)"</f>
        <v>MINISTERIO DA FAZENDA (20009)</v>
      </c>
      <c r="G1913" t="str">
        <f>"INSS SOBRE PROLABORE"</f>
        <v>INSS SOBRE PROLABORE</v>
      </c>
      <c r="H1913" t="str">
        <f>("17/04/2025")</f>
        <v>17/04/2025</v>
      </c>
      <c r="I1913" t="str">
        <f>("31/03/2025")</f>
        <v>31/03/2025</v>
      </c>
      <c r="J1913" t="str">
        <f t="shared" si="970"/>
        <v>17/04/2025</v>
      </c>
      <c r="M1913">
        <v>112</v>
      </c>
      <c r="N1913" t="str">
        <f>"INSS - PRO-LABORE"</f>
        <v>INSS - PRO-LABORE</v>
      </c>
      <c r="P1913">
        <v>333.96</v>
      </c>
      <c r="Q1913" t="str">
        <f>"MINISTERIO DA FAZENDA (20009)"</f>
        <v>MINISTERIO DA FAZENDA (20009)</v>
      </c>
      <c r="R1913" t="str">
        <f t="shared" si="963"/>
        <v>BANCO CORA (102)</v>
      </c>
      <c r="S1913">
        <v>1332</v>
      </c>
      <c r="T1913">
        <v>715</v>
      </c>
      <c r="U1913" t="s">
        <v>19</v>
      </c>
    </row>
    <row r="1914" spans="1:21">
      <c r="A1914" t="str">
        <f t="shared" si="968"/>
        <v>17/04/2025</v>
      </c>
      <c r="B1914" t="str">
        <f t="shared" si="961"/>
        <v>SAÍDA</v>
      </c>
      <c r="C1914" t="str">
        <f>"BOLETO"</f>
        <v>BOLETO</v>
      </c>
      <c r="D1914" t="str">
        <f>"2357"</f>
        <v>2357</v>
      </c>
      <c r="E1914" t="str">
        <f t="shared" si="969"/>
        <v>COM</v>
      </c>
      <c r="F1914" t="str">
        <f>"INFINITY BRASIL LTDA (20020)"</f>
        <v>INFINITY BRASIL LTDA (20020)</v>
      </c>
      <c r="G1914" t="str">
        <f>"SERVIDOR FLUX FARMA PERÍODO MARÇO/2025"</f>
        <v>SERVIDOR FLUX FARMA PERÍODO MARÇO/2025</v>
      </c>
      <c r="H1914" t="str">
        <f>("17/04/2025")</f>
        <v>17/04/2025</v>
      </c>
      <c r="I1914" t="str">
        <f>("21/03/2025")</f>
        <v>21/03/2025</v>
      </c>
      <c r="J1914" t="str">
        <f t="shared" si="970"/>
        <v>17/04/2025</v>
      </c>
      <c r="K1914">
        <v>549</v>
      </c>
      <c r="L1914">
        <v>549</v>
      </c>
      <c r="M1914">
        <v>104</v>
      </c>
      <c r="N1914" t="str">
        <f>"SOFTWARE / LICENÇAS"</f>
        <v>SOFTWARE / LICENÇAS</v>
      </c>
      <c r="O1914">
        <v>549</v>
      </c>
      <c r="R1914" t="str">
        <f t="shared" si="963"/>
        <v>BANCO CORA (102)</v>
      </c>
      <c r="S1914">
        <v>1333</v>
      </c>
      <c r="T1914">
        <v>904</v>
      </c>
      <c r="U1914" t="s">
        <v>19</v>
      </c>
    </row>
    <row r="1915" spans="1:21">
      <c r="A1915" t="str">
        <f t="shared" si="968"/>
        <v>17/04/2025</v>
      </c>
      <c r="B1915" t="str">
        <f>"ENTRADA"</f>
        <v>ENTRADA</v>
      </c>
      <c r="C1915" t="str">
        <f t="shared" ref="C1915:C1936" si="971">"NFSE"</f>
        <v>NFSE</v>
      </c>
      <c r="D1915" t="str">
        <f>"2874"</f>
        <v>2874</v>
      </c>
      <c r="E1915" t="str">
        <f t="shared" si="969"/>
        <v>COM</v>
      </c>
      <c r="F1915" t="str">
        <f>"DELTA LOJA 2 (10123)"</f>
        <v>DELTA LOJA 2 (10123)</v>
      </c>
      <c r="G1915" t="str">
        <f>"Serv.Prest. 07/04/2025 a 13/04/2025 - RPS: 645 - NFSe: 2874"</f>
        <v>Serv.Prest. 07/04/2025 a 13/04/2025 - RPS: 645 - NFSe: 2874</v>
      </c>
      <c r="H1915" t="str">
        <f t="shared" ref="H1915:H1930" si="972">("16/04/2025")</f>
        <v>16/04/2025</v>
      </c>
      <c r="I1915" t="str">
        <f t="shared" ref="I1915:I1926" si="973">("14/04/2025")</f>
        <v>14/04/2025</v>
      </c>
      <c r="J1915" t="str">
        <f t="shared" si="970"/>
        <v>17/04/2025</v>
      </c>
      <c r="K1915">
        <v>480.48</v>
      </c>
      <c r="L1915">
        <v>480.48</v>
      </c>
      <c r="M1915">
        <v>303</v>
      </c>
      <c r="N1915" t="str">
        <f t="shared" ref="N1915:N1936" si="974">"RECEITAS COM ENTREGAS"</f>
        <v>RECEITAS COM ENTREGAS</v>
      </c>
      <c r="O1915">
        <v>480.48</v>
      </c>
      <c r="R1915" t="str">
        <f t="shared" ref="R1915:R1936" si="975">"RECEITAS COM ENTREGAS (303)"</f>
        <v>RECEITAS COM ENTREGAS (303)</v>
      </c>
      <c r="S1915">
        <v>1336</v>
      </c>
      <c r="T1915">
        <v>1066</v>
      </c>
      <c r="U1915" t="s">
        <v>19</v>
      </c>
    </row>
    <row r="1916" spans="1:21">
      <c r="A1916" t="str">
        <f t="shared" si="968"/>
        <v>17/04/2025</v>
      </c>
      <c r="B1916" t="str">
        <f t="shared" ref="B1916:B1936" si="976">"ENTRADA"</f>
        <v>ENTRADA</v>
      </c>
      <c r="C1916" t="str">
        <f t="shared" si="971"/>
        <v>NFSE</v>
      </c>
      <c r="D1916" t="str">
        <f>"2874"</f>
        <v>2874</v>
      </c>
      <c r="E1916" t="str">
        <f t="shared" si="969"/>
        <v>COM</v>
      </c>
      <c r="F1916" t="str">
        <f>"DELTA LOJA 2 (10123)"</f>
        <v>DELTA LOJA 2 (10123)</v>
      </c>
      <c r="G1916" t="str">
        <f>"Serv.Prest. 07/04/2025 a 13/04/2025 - RPS: 645 - NFSe: 2874"</f>
        <v>Serv.Prest. 07/04/2025 a 13/04/2025 - RPS: 645 - NFSe: 2874</v>
      </c>
      <c r="H1916" t="str">
        <f t="shared" si="972"/>
        <v>16/04/2025</v>
      </c>
      <c r="I1916" t="str">
        <f t="shared" si="973"/>
        <v>14/04/2025</v>
      </c>
      <c r="J1916" t="str">
        <f t="shared" si="970"/>
        <v>17/04/2025</v>
      </c>
      <c r="M1916">
        <v>303</v>
      </c>
      <c r="N1916" t="str">
        <f t="shared" si="974"/>
        <v>RECEITAS COM ENTREGAS</v>
      </c>
      <c r="P1916">
        <v>480.48</v>
      </c>
      <c r="Q1916" t="str">
        <f>"DELTA LOJA 2 (10123)"</f>
        <v>DELTA LOJA 2 (10123)</v>
      </c>
      <c r="R1916" t="str">
        <f t="shared" si="975"/>
        <v>RECEITAS COM ENTREGAS (303)</v>
      </c>
      <c r="S1916">
        <v>1336</v>
      </c>
      <c r="T1916">
        <v>1066</v>
      </c>
      <c r="U1916" t="s">
        <v>19</v>
      </c>
    </row>
    <row r="1917" spans="1:21">
      <c r="A1917" t="str">
        <f t="shared" si="968"/>
        <v>17/04/2025</v>
      </c>
      <c r="B1917" t="str">
        <f t="shared" si="976"/>
        <v>ENTRADA</v>
      </c>
      <c r="C1917" t="str">
        <f t="shared" si="971"/>
        <v>NFSE</v>
      </c>
      <c r="D1917" t="str">
        <f>"2877"</f>
        <v>2877</v>
      </c>
      <c r="E1917" t="str">
        <f t="shared" si="969"/>
        <v>COM</v>
      </c>
      <c r="F1917" t="str">
        <f>"DROGA ELIDA (10121)"</f>
        <v>DROGA ELIDA (10121)</v>
      </c>
      <c r="G1917" t="str">
        <f>"Serv.Prest. 07/04/2025 a 13/04/2025 - RPS: 648 - NFSe: 2877"</f>
        <v>Serv.Prest. 07/04/2025 a 13/04/2025 - RPS: 648 - NFSe: 2877</v>
      </c>
      <c r="H1917" t="str">
        <f t="shared" si="972"/>
        <v>16/04/2025</v>
      </c>
      <c r="I1917" t="str">
        <f t="shared" si="973"/>
        <v>14/04/2025</v>
      </c>
      <c r="J1917" t="str">
        <f t="shared" si="970"/>
        <v>17/04/2025</v>
      </c>
      <c r="K1917">
        <v>350.4</v>
      </c>
      <c r="L1917">
        <v>350.4</v>
      </c>
      <c r="M1917">
        <v>303</v>
      </c>
      <c r="N1917" t="str">
        <f t="shared" si="974"/>
        <v>RECEITAS COM ENTREGAS</v>
      </c>
      <c r="O1917">
        <v>350.4</v>
      </c>
      <c r="R1917" t="str">
        <f t="shared" si="975"/>
        <v>RECEITAS COM ENTREGAS (303)</v>
      </c>
      <c r="S1917">
        <v>1372</v>
      </c>
      <c r="T1917">
        <v>1069</v>
      </c>
      <c r="U1917" t="s">
        <v>19</v>
      </c>
    </row>
    <row r="1918" spans="1:21">
      <c r="A1918" t="str">
        <f t="shared" si="968"/>
        <v>17/04/2025</v>
      </c>
      <c r="B1918" t="str">
        <f t="shared" si="976"/>
        <v>ENTRADA</v>
      </c>
      <c r="C1918" t="str">
        <f t="shared" si="971"/>
        <v>NFSE</v>
      </c>
      <c r="D1918" t="str">
        <f>"2877"</f>
        <v>2877</v>
      </c>
      <c r="E1918" t="str">
        <f t="shared" si="969"/>
        <v>COM</v>
      </c>
      <c r="F1918" t="str">
        <f>"DROGA ELIDA (10121)"</f>
        <v>DROGA ELIDA (10121)</v>
      </c>
      <c r="G1918" t="str">
        <f>"Serv.Prest. 07/04/2025 a 13/04/2025 - RPS: 648 - NFSe: 2877"</f>
        <v>Serv.Prest. 07/04/2025 a 13/04/2025 - RPS: 648 - NFSe: 2877</v>
      </c>
      <c r="H1918" t="str">
        <f t="shared" si="972"/>
        <v>16/04/2025</v>
      </c>
      <c r="I1918" t="str">
        <f t="shared" si="973"/>
        <v>14/04/2025</v>
      </c>
      <c r="J1918" t="str">
        <f t="shared" si="970"/>
        <v>17/04/2025</v>
      </c>
      <c r="M1918">
        <v>303</v>
      </c>
      <c r="N1918" t="str">
        <f t="shared" si="974"/>
        <v>RECEITAS COM ENTREGAS</v>
      </c>
      <c r="P1918">
        <v>350.4</v>
      </c>
      <c r="Q1918" t="str">
        <f>"DROGA ELIDA (10121)"</f>
        <v>DROGA ELIDA (10121)</v>
      </c>
      <c r="R1918" t="str">
        <f t="shared" si="975"/>
        <v>RECEITAS COM ENTREGAS (303)</v>
      </c>
      <c r="S1918">
        <v>1372</v>
      </c>
      <c r="T1918">
        <v>1069</v>
      </c>
      <c r="U1918" t="s">
        <v>19</v>
      </c>
    </row>
    <row r="1919" spans="1:21">
      <c r="A1919" t="str">
        <f t="shared" si="968"/>
        <v>17/04/2025</v>
      </c>
      <c r="B1919" t="str">
        <f t="shared" si="976"/>
        <v>ENTRADA</v>
      </c>
      <c r="C1919" t="str">
        <f t="shared" si="971"/>
        <v>NFSE</v>
      </c>
      <c r="D1919" t="str">
        <f>"2879"</f>
        <v>2879</v>
      </c>
      <c r="E1919" t="str">
        <f t="shared" si="969"/>
        <v>COM</v>
      </c>
      <c r="F1919" t="str">
        <f>"FARMACIA ECONOMIZE (10103)"</f>
        <v>FARMACIA ECONOMIZE (10103)</v>
      </c>
      <c r="G1919" t="str">
        <f>"Serv.Prest. 07/04/2025 a 13/04/2025 - RPS: 650 - NFSe: 2879"</f>
        <v>Serv.Prest. 07/04/2025 a 13/04/2025 - RPS: 650 - NFSe: 2879</v>
      </c>
      <c r="H1919" t="str">
        <f t="shared" si="972"/>
        <v>16/04/2025</v>
      </c>
      <c r="I1919" t="str">
        <f t="shared" si="973"/>
        <v>14/04/2025</v>
      </c>
      <c r="J1919" t="str">
        <f t="shared" si="970"/>
        <v>17/04/2025</v>
      </c>
      <c r="K1919">
        <v>119.68</v>
      </c>
      <c r="L1919">
        <v>119.68</v>
      </c>
      <c r="M1919">
        <v>303</v>
      </c>
      <c r="N1919" t="str">
        <f t="shared" si="974"/>
        <v>RECEITAS COM ENTREGAS</v>
      </c>
      <c r="O1919">
        <v>119.68</v>
      </c>
      <c r="R1919" t="str">
        <f t="shared" si="975"/>
        <v>RECEITAS COM ENTREGAS (303)</v>
      </c>
      <c r="S1919">
        <v>1373</v>
      </c>
      <c r="T1919">
        <v>1071</v>
      </c>
      <c r="U1919" t="s">
        <v>19</v>
      </c>
    </row>
    <row r="1920" spans="1:21">
      <c r="A1920" t="str">
        <f t="shared" si="968"/>
        <v>17/04/2025</v>
      </c>
      <c r="B1920" t="str">
        <f t="shared" si="976"/>
        <v>ENTRADA</v>
      </c>
      <c r="C1920" t="str">
        <f t="shared" si="971"/>
        <v>NFSE</v>
      </c>
      <c r="D1920" t="str">
        <f>"2879"</f>
        <v>2879</v>
      </c>
      <c r="E1920" t="str">
        <f t="shared" si="969"/>
        <v>COM</v>
      </c>
      <c r="F1920" t="str">
        <f>"FARMACIA ECONOMIZE (10103)"</f>
        <v>FARMACIA ECONOMIZE (10103)</v>
      </c>
      <c r="G1920" t="str">
        <f>"Serv.Prest. 07/04/2025 a 13/04/2025 - RPS: 650 - NFSe: 2879"</f>
        <v>Serv.Prest. 07/04/2025 a 13/04/2025 - RPS: 650 - NFSe: 2879</v>
      </c>
      <c r="H1920" t="str">
        <f t="shared" si="972"/>
        <v>16/04/2025</v>
      </c>
      <c r="I1920" t="str">
        <f t="shared" si="973"/>
        <v>14/04/2025</v>
      </c>
      <c r="J1920" t="str">
        <f t="shared" si="970"/>
        <v>17/04/2025</v>
      </c>
      <c r="M1920">
        <v>303</v>
      </c>
      <c r="N1920" t="str">
        <f t="shared" si="974"/>
        <v>RECEITAS COM ENTREGAS</v>
      </c>
      <c r="P1920">
        <v>119.68</v>
      </c>
      <c r="Q1920" t="str">
        <f>"FARMACIA ECONOMIZE (10103)"</f>
        <v>FARMACIA ECONOMIZE (10103)</v>
      </c>
      <c r="R1920" t="str">
        <f t="shared" si="975"/>
        <v>RECEITAS COM ENTREGAS (303)</v>
      </c>
      <c r="S1920">
        <v>1373</v>
      </c>
      <c r="T1920">
        <v>1071</v>
      </c>
      <c r="U1920" t="s">
        <v>19</v>
      </c>
    </row>
    <row r="1921" spans="1:21">
      <c r="A1921" t="str">
        <f t="shared" si="968"/>
        <v>17/04/2025</v>
      </c>
      <c r="B1921" t="str">
        <f t="shared" si="976"/>
        <v>ENTRADA</v>
      </c>
      <c r="C1921" t="str">
        <f t="shared" si="971"/>
        <v>NFSE</v>
      </c>
      <c r="D1921" t="str">
        <f>"2885"</f>
        <v>2885</v>
      </c>
      <c r="E1921" t="str">
        <f t="shared" si="969"/>
        <v>COM</v>
      </c>
      <c r="F1921" t="str">
        <f>"AC FARMA - FLEMINFARMA (10160)"</f>
        <v>AC FARMA - FLEMINFARMA (10160)</v>
      </c>
      <c r="G1921" t="str">
        <f>"Serv.Prest. 31/03/2025 a 06/04/2025 - RPS: 656 - NFSe: 2885"</f>
        <v>Serv.Prest. 31/03/2025 a 06/04/2025 - RPS: 656 - NFSe: 2885</v>
      </c>
      <c r="H1921" t="str">
        <f t="shared" si="972"/>
        <v>16/04/2025</v>
      </c>
      <c r="I1921" t="str">
        <f t="shared" si="973"/>
        <v>14/04/2025</v>
      </c>
      <c r="J1921" t="str">
        <f t="shared" si="970"/>
        <v>17/04/2025</v>
      </c>
      <c r="K1921">
        <v>235.25</v>
      </c>
      <c r="L1921">
        <v>235.25</v>
      </c>
      <c r="M1921">
        <v>303</v>
      </c>
      <c r="N1921" t="str">
        <f t="shared" si="974"/>
        <v>RECEITAS COM ENTREGAS</v>
      </c>
      <c r="O1921">
        <v>235.25</v>
      </c>
      <c r="R1921" t="str">
        <f t="shared" si="975"/>
        <v>RECEITAS COM ENTREGAS (303)</v>
      </c>
      <c r="S1921">
        <v>1374</v>
      </c>
      <c r="T1921">
        <v>1077</v>
      </c>
      <c r="U1921" t="s">
        <v>19</v>
      </c>
    </row>
    <row r="1922" spans="1:21">
      <c r="A1922" t="str">
        <f t="shared" si="968"/>
        <v>17/04/2025</v>
      </c>
      <c r="B1922" t="str">
        <f t="shared" si="976"/>
        <v>ENTRADA</v>
      </c>
      <c r="C1922" t="str">
        <f t="shared" si="971"/>
        <v>NFSE</v>
      </c>
      <c r="D1922" t="str">
        <f>"2885"</f>
        <v>2885</v>
      </c>
      <c r="E1922" t="str">
        <f t="shared" si="969"/>
        <v>COM</v>
      </c>
      <c r="F1922" t="str">
        <f>"AC FARMA - FLEMINFARMA (10160)"</f>
        <v>AC FARMA - FLEMINFARMA (10160)</v>
      </c>
      <c r="G1922" t="str">
        <f>"Serv.Prest. 31/03/2025 a 06/04/2025 - RPS: 656 - NFSe: 2885"</f>
        <v>Serv.Prest. 31/03/2025 a 06/04/2025 - RPS: 656 - NFSe: 2885</v>
      </c>
      <c r="H1922" t="str">
        <f t="shared" si="972"/>
        <v>16/04/2025</v>
      </c>
      <c r="I1922" t="str">
        <f t="shared" si="973"/>
        <v>14/04/2025</v>
      </c>
      <c r="J1922" t="str">
        <f t="shared" si="970"/>
        <v>17/04/2025</v>
      </c>
      <c r="M1922">
        <v>303</v>
      </c>
      <c r="N1922" t="str">
        <f t="shared" si="974"/>
        <v>RECEITAS COM ENTREGAS</v>
      </c>
      <c r="P1922">
        <v>235.25</v>
      </c>
      <c r="Q1922" t="str">
        <f>"AC FARMA - FLEMINFARMA (10160)"</f>
        <v>AC FARMA - FLEMINFARMA (10160)</v>
      </c>
      <c r="R1922" t="str">
        <f t="shared" si="975"/>
        <v>RECEITAS COM ENTREGAS (303)</v>
      </c>
      <c r="S1922">
        <v>1374</v>
      </c>
      <c r="T1922">
        <v>1077</v>
      </c>
      <c r="U1922" t="s">
        <v>19</v>
      </c>
    </row>
    <row r="1923" spans="1:21">
      <c r="A1923" t="str">
        <f t="shared" si="968"/>
        <v>17/04/2025</v>
      </c>
      <c r="B1923" t="str">
        <f t="shared" si="976"/>
        <v>ENTRADA</v>
      </c>
      <c r="C1923" t="str">
        <f t="shared" si="971"/>
        <v>NFSE</v>
      </c>
      <c r="D1923" t="str">
        <f>"2884"</f>
        <v>2884</v>
      </c>
      <c r="E1923" t="str">
        <f t="shared" si="969"/>
        <v>COM</v>
      </c>
      <c r="F1923" t="str">
        <f>"AC FARMA - CID.ALTA (10166)"</f>
        <v>AC FARMA - CID.ALTA (10166)</v>
      </c>
      <c r="G1923" t="str">
        <f>"Serv.Prest. 31/03/2025 a 06/04/2025 - RPS: 655 - NFSe: 2884"</f>
        <v>Serv.Prest. 31/03/2025 a 06/04/2025 - RPS: 655 - NFSe: 2884</v>
      </c>
      <c r="H1923" t="str">
        <f t="shared" si="972"/>
        <v>16/04/2025</v>
      </c>
      <c r="I1923" t="str">
        <f t="shared" si="973"/>
        <v>14/04/2025</v>
      </c>
      <c r="J1923" t="str">
        <f t="shared" si="970"/>
        <v>17/04/2025</v>
      </c>
      <c r="K1923">
        <v>871.39</v>
      </c>
      <c r="L1923">
        <v>871.39</v>
      </c>
      <c r="M1923">
        <v>303</v>
      </c>
      <c r="N1923" t="str">
        <f t="shared" si="974"/>
        <v>RECEITAS COM ENTREGAS</v>
      </c>
      <c r="O1923">
        <v>871.39</v>
      </c>
      <c r="R1923" t="str">
        <f t="shared" si="975"/>
        <v>RECEITAS COM ENTREGAS (303)</v>
      </c>
      <c r="S1923">
        <v>1375</v>
      </c>
      <c r="T1923">
        <v>1076</v>
      </c>
      <c r="U1923" t="s">
        <v>19</v>
      </c>
    </row>
    <row r="1924" spans="1:21">
      <c r="A1924" t="str">
        <f t="shared" si="968"/>
        <v>17/04/2025</v>
      </c>
      <c r="B1924" t="str">
        <f t="shared" si="976"/>
        <v>ENTRADA</v>
      </c>
      <c r="C1924" t="str">
        <f t="shared" si="971"/>
        <v>NFSE</v>
      </c>
      <c r="D1924" t="str">
        <f>"2884"</f>
        <v>2884</v>
      </c>
      <c r="E1924" t="str">
        <f t="shared" si="969"/>
        <v>COM</v>
      </c>
      <c r="F1924" t="str">
        <f>"AC FARMA - CID.ALTA (10166)"</f>
        <v>AC FARMA - CID.ALTA (10166)</v>
      </c>
      <c r="G1924" t="str">
        <f>"Serv.Prest. 31/03/2025 a 06/04/2025 - RPS: 655 - NFSe: 2884"</f>
        <v>Serv.Prest. 31/03/2025 a 06/04/2025 - RPS: 655 - NFSe: 2884</v>
      </c>
      <c r="H1924" t="str">
        <f t="shared" si="972"/>
        <v>16/04/2025</v>
      </c>
      <c r="I1924" t="str">
        <f t="shared" si="973"/>
        <v>14/04/2025</v>
      </c>
      <c r="J1924" t="str">
        <f t="shared" si="970"/>
        <v>17/04/2025</v>
      </c>
      <c r="M1924">
        <v>303</v>
      </c>
      <c r="N1924" t="str">
        <f t="shared" si="974"/>
        <v>RECEITAS COM ENTREGAS</v>
      </c>
      <c r="P1924">
        <v>871.39</v>
      </c>
      <c r="Q1924" t="str">
        <f>"AC FARMA - CID.ALTA (10166)"</f>
        <v>AC FARMA - CID.ALTA (10166)</v>
      </c>
      <c r="R1924" t="str">
        <f t="shared" si="975"/>
        <v>RECEITAS COM ENTREGAS (303)</v>
      </c>
      <c r="S1924">
        <v>1375</v>
      </c>
      <c r="T1924">
        <v>1076</v>
      </c>
      <c r="U1924" t="s">
        <v>19</v>
      </c>
    </row>
    <row r="1925" spans="1:21">
      <c r="A1925" t="str">
        <f t="shared" si="968"/>
        <v>17/04/2025</v>
      </c>
      <c r="B1925" t="str">
        <f t="shared" si="976"/>
        <v>ENTRADA</v>
      </c>
      <c r="C1925" t="str">
        <f t="shared" si="971"/>
        <v>NFSE</v>
      </c>
      <c r="D1925" t="str">
        <f>"2886"</f>
        <v>2886</v>
      </c>
      <c r="E1925" t="str">
        <f t="shared" si="969"/>
        <v>COM</v>
      </c>
      <c r="F1925" t="str">
        <f>"DROGARIA MORENO LTDA (10171)"</f>
        <v>DROGARIA MORENO LTDA (10171)</v>
      </c>
      <c r="G1925" t="str">
        <f>"Serv.Prest. 07/04/2025 a 13/04/2025 - RPS: 657 - NFSe: 2886"</f>
        <v>Serv.Prest. 07/04/2025 a 13/04/2025 - RPS: 657 - NFSe: 2886</v>
      </c>
      <c r="H1925" t="str">
        <f t="shared" si="972"/>
        <v>16/04/2025</v>
      </c>
      <c r="I1925" t="str">
        <f t="shared" si="973"/>
        <v>14/04/2025</v>
      </c>
      <c r="J1925" t="str">
        <f t="shared" si="970"/>
        <v>17/04/2025</v>
      </c>
      <c r="K1925">
        <v>423.36</v>
      </c>
      <c r="L1925">
        <v>423.36</v>
      </c>
      <c r="M1925">
        <v>303</v>
      </c>
      <c r="N1925" t="str">
        <f t="shared" si="974"/>
        <v>RECEITAS COM ENTREGAS</v>
      </c>
      <c r="O1925">
        <v>423.36</v>
      </c>
      <c r="R1925" t="str">
        <f t="shared" si="975"/>
        <v>RECEITAS COM ENTREGAS (303)</v>
      </c>
      <c r="S1925">
        <v>1376</v>
      </c>
      <c r="T1925">
        <v>1078</v>
      </c>
      <c r="U1925" t="s">
        <v>19</v>
      </c>
    </row>
    <row r="1926" spans="1:21">
      <c r="A1926" t="str">
        <f t="shared" si="968"/>
        <v>17/04/2025</v>
      </c>
      <c r="B1926" t="str">
        <f t="shared" si="976"/>
        <v>ENTRADA</v>
      </c>
      <c r="C1926" t="str">
        <f t="shared" si="971"/>
        <v>NFSE</v>
      </c>
      <c r="D1926" t="str">
        <f>"2886"</f>
        <v>2886</v>
      </c>
      <c r="E1926" t="str">
        <f t="shared" si="969"/>
        <v>COM</v>
      </c>
      <c r="F1926" t="str">
        <f>"DROGARIA MORENO LTDA (10171)"</f>
        <v>DROGARIA MORENO LTDA (10171)</v>
      </c>
      <c r="G1926" t="str">
        <f>"Serv.Prest. 07/04/2025 a 13/04/2025 - RPS: 657 - NFSe: 2886"</f>
        <v>Serv.Prest. 07/04/2025 a 13/04/2025 - RPS: 657 - NFSe: 2886</v>
      </c>
      <c r="H1926" t="str">
        <f t="shared" si="972"/>
        <v>16/04/2025</v>
      </c>
      <c r="I1926" t="str">
        <f t="shared" si="973"/>
        <v>14/04/2025</v>
      </c>
      <c r="J1926" t="str">
        <f t="shared" si="970"/>
        <v>17/04/2025</v>
      </c>
      <c r="M1926">
        <v>303</v>
      </c>
      <c r="N1926" t="str">
        <f t="shared" si="974"/>
        <v>RECEITAS COM ENTREGAS</v>
      </c>
      <c r="P1926">
        <v>423.36</v>
      </c>
      <c r="Q1926" t="str">
        <f>"DROGARIA MORENO LTDA (10171)"</f>
        <v>DROGARIA MORENO LTDA (10171)</v>
      </c>
      <c r="R1926" t="str">
        <f t="shared" si="975"/>
        <v>RECEITAS COM ENTREGAS (303)</v>
      </c>
      <c r="S1926">
        <v>1376</v>
      </c>
      <c r="T1926">
        <v>1078</v>
      </c>
      <c r="U1926" t="s">
        <v>19</v>
      </c>
    </row>
    <row r="1927" spans="1:21">
      <c r="A1927" t="str">
        <f t="shared" si="968"/>
        <v>17/04/2025</v>
      </c>
      <c r="B1927" t="str">
        <f t="shared" si="976"/>
        <v>ENTRADA</v>
      </c>
      <c r="C1927" t="str">
        <f t="shared" si="971"/>
        <v>NFSE</v>
      </c>
      <c r="D1927" t="str">
        <f>"2892"</f>
        <v>2892</v>
      </c>
      <c r="E1927" t="str">
        <f t="shared" si="969"/>
        <v>COM</v>
      </c>
      <c r="F1927" t="str">
        <f>"JAL FARMACIA E DROGARIA LJ 1 (10137)"</f>
        <v>JAL FARMACIA E DROGARIA LJ 1 (10137)</v>
      </c>
      <c r="G1927" t="str">
        <f>"Serv.Prest. 07/04/2025 a 13/04/2025 - RPS: 663 - NFSe: 2892"</f>
        <v>Serv.Prest. 07/04/2025 a 13/04/2025 - RPS: 663 - NFSe: 2892</v>
      </c>
      <c r="H1927" t="str">
        <f t="shared" si="972"/>
        <v>16/04/2025</v>
      </c>
      <c r="I1927" t="str">
        <f>("15/04/2025")</f>
        <v>15/04/2025</v>
      </c>
      <c r="J1927" t="str">
        <f t="shared" si="970"/>
        <v>17/04/2025</v>
      </c>
      <c r="K1927">
        <v>392</v>
      </c>
      <c r="L1927">
        <v>392</v>
      </c>
      <c r="M1927">
        <v>303</v>
      </c>
      <c r="N1927" t="str">
        <f t="shared" si="974"/>
        <v>RECEITAS COM ENTREGAS</v>
      </c>
      <c r="O1927">
        <v>392</v>
      </c>
      <c r="R1927" t="str">
        <f t="shared" si="975"/>
        <v>RECEITAS COM ENTREGAS (303)</v>
      </c>
      <c r="S1927">
        <v>1377</v>
      </c>
      <c r="T1927">
        <v>1084</v>
      </c>
      <c r="U1927" t="s">
        <v>19</v>
      </c>
    </row>
    <row r="1928" spans="1:21">
      <c r="A1928" t="str">
        <f t="shared" si="968"/>
        <v>17/04/2025</v>
      </c>
      <c r="B1928" t="str">
        <f t="shared" si="976"/>
        <v>ENTRADA</v>
      </c>
      <c r="C1928" t="str">
        <f t="shared" si="971"/>
        <v>NFSE</v>
      </c>
      <c r="D1928" t="str">
        <f>"2892"</f>
        <v>2892</v>
      </c>
      <c r="E1928" t="str">
        <f t="shared" si="969"/>
        <v>COM</v>
      </c>
      <c r="F1928" t="str">
        <f>"JAL FARMACIA E DROGARIA LJ 1 (10137)"</f>
        <v>JAL FARMACIA E DROGARIA LJ 1 (10137)</v>
      </c>
      <c r="G1928" t="str">
        <f>"Serv.Prest. 07/04/2025 a 13/04/2025 - RPS: 663 - NFSe: 2892"</f>
        <v>Serv.Prest. 07/04/2025 a 13/04/2025 - RPS: 663 - NFSe: 2892</v>
      </c>
      <c r="H1928" t="str">
        <f t="shared" si="972"/>
        <v>16/04/2025</v>
      </c>
      <c r="I1928" t="str">
        <f>("15/04/2025")</f>
        <v>15/04/2025</v>
      </c>
      <c r="J1928" t="str">
        <f t="shared" si="970"/>
        <v>17/04/2025</v>
      </c>
      <c r="M1928">
        <v>303</v>
      </c>
      <c r="N1928" t="str">
        <f t="shared" si="974"/>
        <v>RECEITAS COM ENTREGAS</v>
      </c>
      <c r="P1928">
        <v>392</v>
      </c>
      <c r="Q1928" t="str">
        <f>"JAL FARMACIA E DROGARIA LJ 1 (10137)"</f>
        <v>JAL FARMACIA E DROGARIA LJ 1 (10137)</v>
      </c>
      <c r="R1928" t="str">
        <f t="shared" si="975"/>
        <v>RECEITAS COM ENTREGAS (303)</v>
      </c>
      <c r="S1928">
        <v>1377</v>
      </c>
      <c r="T1928">
        <v>1084</v>
      </c>
      <c r="U1928" t="s">
        <v>19</v>
      </c>
    </row>
    <row r="1929" spans="1:21">
      <c r="A1929" t="str">
        <f t="shared" si="968"/>
        <v>17/04/2025</v>
      </c>
      <c r="B1929" t="str">
        <f t="shared" si="976"/>
        <v>ENTRADA</v>
      </c>
      <c r="C1929" t="str">
        <f t="shared" si="971"/>
        <v>NFSE</v>
      </c>
      <c r="D1929" t="str">
        <f>"2895"</f>
        <v>2895</v>
      </c>
      <c r="E1929" t="str">
        <f t="shared" si="969"/>
        <v>COM</v>
      </c>
      <c r="F1929" t="str">
        <f>"DROGA MONICA (10147)"</f>
        <v>DROGA MONICA (10147)</v>
      </c>
      <c r="G1929" t="str">
        <f>"Serv.Prest. 07/04/2025 a 13/04/2025 - RPS: 666 - NFSe: 2895"</f>
        <v>Serv.Prest. 07/04/2025 a 13/04/2025 - RPS: 666 - NFSe: 2895</v>
      </c>
      <c r="H1929" t="str">
        <f t="shared" si="972"/>
        <v>16/04/2025</v>
      </c>
      <c r="I1929" t="str">
        <f>("15/04/2025")</f>
        <v>15/04/2025</v>
      </c>
      <c r="J1929" t="str">
        <f t="shared" si="970"/>
        <v>17/04/2025</v>
      </c>
      <c r="K1929">
        <v>206.4</v>
      </c>
      <c r="L1929">
        <v>206.4</v>
      </c>
      <c r="M1929">
        <v>303</v>
      </c>
      <c r="N1929" t="str">
        <f t="shared" si="974"/>
        <v>RECEITAS COM ENTREGAS</v>
      </c>
      <c r="O1929">
        <v>206.4</v>
      </c>
      <c r="R1929" t="str">
        <f t="shared" si="975"/>
        <v>RECEITAS COM ENTREGAS (303)</v>
      </c>
      <c r="S1929">
        <v>1378</v>
      </c>
      <c r="T1929">
        <v>1087</v>
      </c>
      <c r="U1929" t="s">
        <v>19</v>
      </c>
    </row>
    <row r="1930" spans="1:21">
      <c r="A1930" t="str">
        <f t="shared" si="968"/>
        <v>17/04/2025</v>
      </c>
      <c r="B1930" t="str">
        <f t="shared" si="976"/>
        <v>ENTRADA</v>
      </c>
      <c r="C1930" t="str">
        <f t="shared" si="971"/>
        <v>NFSE</v>
      </c>
      <c r="D1930" t="str">
        <f>"2895"</f>
        <v>2895</v>
      </c>
      <c r="E1930" t="str">
        <f t="shared" si="969"/>
        <v>COM</v>
      </c>
      <c r="F1930" t="str">
        <f>"DROGA MONICA (10147)"</f>
        <v>DROGA MONICA (10147)</v>
      </c>
      <c r="G1930" t="str">
        <f>"Serv.Prest. 07/04/2025 a 13/04/2025 - RPS: 666 - NFSe: 2895"</f>
        <v>Serv.Prest. 07/04/2025 a 13/04/2025 - RPS: 666 - NFSe: 2895</v>
      </c>
      <c r="H1930" t="str">
        <f t="shared" si="972"/>
        <v>16/04/2025</v>
      </c>
      <c r="I1930" t="str">
        <f>("15/04/2025")</f>
        <v>15/04/2025</v>
      </c>
      <c r="J1930" t="str">
        <f t="shared" si="970"/>
        <v>17/04/2025</v>
      </c>
      <c r="M1930">
        <v>303</v>
      </c>
      <c r="N1930" t="str">
        <f t="shared" si="974"/>
        <v>RECEITAS COM ENTREGAS</v>
      </c>
      <c r="P1930">
        <v>206.4</v>
      </c>
      <c r="Q1930" t="str">
        <f>"DROGA MONICA (10147)"</f>
        <v>DROGA MONICA (10147)</v>
      </c>
      <c r="R1930" t="str">
        <f t="shared" si="975"/>
        <v>RECEITAS COM ENTREGAS (303)</v>
      </c>
      <c r="S1930">
        <v>1378</v>
      </c>
      <c r="T1930">
        <v>1087</v>
      </c>
      <c r="U1930" t="s">
        <v>19</v>
      </c>
    </row>
    <row r="1931" spans="1:21">
      <c r="A1931" t="str">
        <f t="shared" si="968"/>
        <v>17/04/2025</v>
      </c>
      <c r="B1931" t="str">
        <f t="shared" si="976"/>
        <v>ENTRADA</v>
      </c>
      <c r="C1931" t="str">
        <f t="shared" si="971"/>
        <v>NFSE</v>
      </c>
      <c r="D1931" t="str">
        <f>"2876"</f>
        <v>2876</v>
      </c>
      <c r="E1931" t="str">
        <f t="shared" si="969"/>
        <v>COM</v>
      </c>
      <c r="F1931" t="str">
        <f>"DROGARIA POUPA MINAS (ULTRAMINAS) 3 (10129)"</f>
        <v>DROGARIA POUPA MINAS (ULTRAMINAS) 3 (10129)</v>
      </c>
      <c r="G1931" t="str">
        <f>"Serv.Prest. 07/04/2025 a 13/04/2025 - RPS: 647 - NFSe: 2876"</f>
        <v>Serv.Prest. 07/04/2025 a 13/04/2025 - RPS: 647 - NFSe: 2876</v>
      </c>
      <c r="H1931" t="str">
        <f t="shared" ref="H1931:H1947" si="977">("17/04/2025")</f>
        <v>17/04/2025</v>
      </c>
      <c r="I1931" t="str">
        <f>("14/04/2025")</f>
        <v>14/04/2025</v>
      </c>
      <c r="J1931" t="str">
        <f t="shared" si="970"/>
        <v>17/04/2025</v>
      </c>
      <c r="K1931">
        <v>274.56</v>
      </c>
      <c r="L1931">
        <v>274.56</v>
      </c>
      <c r="M1931">
        <v>303</v>
      </c>
      <c r="N1931" t="str">
        <f t="shared" si="974"/>
        <v>RECEITAS COM ENTREGAS</v>
      </c>
      <c r="O1931">
        <v>274.56</v>
      </c>
      <c r="R1931" t="str">
        <f t="shared" si="975"/>
        <v>RECEITAS COM ENTREGAS (303)</v>
      </c>
      <c r="S1931">
        <v>1379</v>
      </c>
      <c r="T1931">
        <v>1068</v>
      </c>
      <c r="U1931" t="s">
        <v>19</v>
      </c>
    </row>
    <row r="1932" spans="1:21">
      <c r="A1932" t="str">
        <f t="shared" si="968"/>
        <v>17/04/2025</v>
      </c>
      <c r="B1932" t="str">
        <f t="shared" si="976"/>
        <v>ENTRADA</v>
      </c>
      <c r="C1932" t="str">
        <f t="shared" si="971"/>
        <v>NFSE</v>
      </c>
      <c r="D1932" t="str">
        <f>"2876"</f>
        <v>2876</v>
      </c>
      <c r="E1932" t="str">
        <f t="shared" si="969"/>
        <v>COM</v>
      </c>
      <c r="F1932" t="str">
        <f>"DROGARIA POUPA MINAS (ULTRAMINAS) 3 (10129)"</f>
        <v>DROGARIA POUPA MINAS (ULTRAMINAS) 3 (10129)</v>
      </c>
      <c r="G1932" t="str">
        <f>"Serv.Prest. 07/04/2025 a 13/04/2025 - RPS: 647 - NFSe: 2876"</f>
        <v>Serv.Prest. 07/04/2025 a 13/04/2025 - RPS: 647 - NFSe: 2876</v>
      </c>
      <c r="H1932" t="str">
        <f t="shared" si="977"/>
        <v>17/04/2025</v>
      </c>
      <c r="I1932" t="str">
        <f>("14/04/2025")</f>
        <v>14/04/2025</v>
      </c>
      <c r="J1932" t="str">
        <f t="shared" si="970"/>
        <v>17/04/2025</v>
      </c>
      <c r="M1932">
        <v>303</v>
      </c>
      <c r="N1932" t="str">
        <f t="shared" si="974"/>
        <v>RECEITAS COM ENTREGAS</v>
      </c>
      <c r="P1932">
        <v>274.56</v>
      </c>
      <c r="Q1932" t="str">
        <f>"DROGARIA POUPA MINAS (ULTRAMINAS) 3 (10129)"</f>
        <v>DROGARIA POUPA MINAS (ULTRAMINAS) 3 (10129)</v>
      </c>
      <c r="R1932" t="str">
        <f t="shared" si="975"/>
        <v>RECEITAS COM ENTREGAS (303)</v>
      </c>
      <c r="S1932">
        <v>1379</v>
      </c>
      <c r="T1932">
        <v>1068</v>
      </c>
      <c r="U1932" t="s">
        <v>19</v>
      </c>
    </row>
    <row r="1933" spans="1:21">
      <c r="A1933" t="str">
        <f t="shared" si="968"/>
        <v>17/04/2025</v>
      </c>
      <c r="B1933" t="str">
        <f t="shared" si="976"/>
        <v>ENTRADA</v>
      </c>
      <c r="C1933" t="str">
        <f t="shared" si="971"/>
        <v>NFSE</v>
      </c>
      <c r="D1933" t="str">
        <f>"2893"</f>
        <v>2893</v>
      </c>
      <c r="E1933" t="str">
        <f t="shared" si="969"/>
        <v>COM</v>
      </c>
      <c r="F1933" t="str">
        <f>"JAL FARMACIA E DROGARIA LJ 2 (10138)"</f>
        <v>JAL FARMACIA E DROGARIA LJ 2 (10138)</v>
      </c>
      <c r="G1933" t="str">
        <f>"Serv.Prest. 07/04/2025 a 13/04/2025 - RPS: 664 - NFSe: 2893"</f>
        <v>Serv.Prest. 07/04/2025 a 13/04/2025 - RPS: 664 - NFSe: 2893</v>
      </c>
      <c r="H1933" t="str">
        <f t="shared" si="977"/>
        <v>17/04/2025</v>
      </c>
      <c r="I1933" t="str">
        <f>("15/04/2025")</f>
        <v>15/04/2025</v>
      </c>
      <c r="J1933" t="str">
        <f t="shared" si="970"/>
        <v>17/04/2025</v>
      </c>
      <c r="K1933">
        <v>284.8</v>
      </c>
      <c r="L1933">
        <v>284.8</v>
      </c>
      <c r="M1933">
        <v>303</v>
      </c>
      <c r="N1933" t="str">
        <f t="shared" si="974"/>
        <v>RECEITAS COM ENTREGAS</v>
      </c>
      <c r="O1933">
        <v>284.8</v>
      </c>
      <c r="R1933" t="str">
        <f t="shared" si="975"/>
        <v>RECEITAS COM ENTREGAS (303)</v>
      </c>
      <c r="S1933">
        <v>1380</v>
      </c>
      <c r="T1933">
        <v>1085</v>
      </c>
      <c r="U1933" t="s">
        <v>19</v>
      </c>
    </row>
    <row r="1934" spans="1:21">
      <c r="A1934" t="str">
        <f t="shared" si="968"/>
        <v>17/04/2025</v>
      </c>
      <c r="B1934" t="str">
        <f t="shared" si="976"/>
        <v>ENTRADA</v>
      </c>
      <c r="C1934" t="str">
        <f t="shared" si="971"/>
        <v>NFSE</v>
      </c>
      <c r="D1934" t="str">
        <f>"2893"</f>
        <v>2893</v>
      </c>
      <c r="E1934" t="str">
        <f t="shared" si="969"/>
        <v>COM</v>
      </c>
      <c r="F1934" t="str">
        <f>"JAL FARMACIA E DROGARIA LJ 2 (10138)"</f>
        <v>JAL FARMACIA E DROGARIA LJ 2 (10138)</v>
      </c>
      <c r="G1934" t="str">
        <f>"Serv.Prest. 07/04/2025 a 13/04/2025 - RPS: 664 - NFSe: 2893"</f>
        <v>Serv.Prest. 07/04/2025 a 13/04/2025 - RPS: 664 - NFSe: 2893</v>
      </c>
      <c r="H1934" t="str">
        <f t="shared" si="977"/>
        <v>17/04/2025</v>
      </c>
      <c r="I1934" t="str">
        <f>("15/04/2025")</f>
        <v>15/04/2025</v>
      </c>
      <c r="J1934" t="str">
        <f t="shared" si="970"/>
        <v>17/04/2025</v>
      </c>
      <c r="M1934">
        <v>303</v>
      </c>
      <c r="N1934" t="str">
        <f t="shared" si="974"/>
        <v>RECEITAS COM ENTREGAS</v>
      </c>
      <c r="P1934">
        <v>284.8</v>
      </c>
      <c r="Q1934" t="str">
        <f>"JAL FARMACIA E DROGARIA LJ 2 (10138)"</f>
        <v>JAL FARMACIA E DROGARIA LJ 2 (10138)</v>
      </c>
      <c r="R1934" t="str">
        <f t="shared" si="975"/>
        <v>RECEITAS COM ENTREGAS (303)</v>
      </c>
      <c r="S1934">
        <v>1380</v>
      </c>
      <c r="T1934">
        <v>1085</v>
      </c>
      <c r="U1934" t="s">
        <v>19</v>
      </c>
    </row>
    <row r="1935" spans="1:21">
      <c r="A1935" t="str">
        <f t="shared" si="968"/>
        <v>17/04/2025</v>
      </c>
      <c r="B1935" t="str">
        <f t="shared" si="976"/>
        <v>ENTRADA</v>
      </c>
      <c r="C1935" t="str">
        <f t="shared" si="971"/>
        <v>NFSE</v>
      </c>
      <c r="D1935" t="str">
        <f>"2894"</f>
        <v>2894</v>
      </c>
      <c r="E1935" t="str">
        <f t="shared" si="969"/>
        <v>COM</v>
      </c>
      <c r="F1935" t="str">
        <f>"DROGARIA POUPA MINAS (DOIS AMIGOS) 5 (10140)"</f>
        <v>DROGARIA POUPA MINAS (DOIS AMIGOS) 5 (10140)</v>
      </c>
      <c r="G1935" t="str">
        <f>"Serv.Prest. 07/04/2025 a 13/04/2025 - RPS: 665 - NFSe: 2894"</f>
        <v>Serv.Prest. 07/04/2025 a 13/04/2025 - RPS: 665 - NFSe: 2894</v>
      </c>
      <c r="H1935" t="str">
        <f t="shared" si="977"/>
        <v>17/04/2025</v>
      </c>
      <c r="I1935" t="str">
        <f>("15/04/2025")</f>
        <v>15/04/2025</v>
      </c>
      <c r="J1935" t="str">
        <f t="shared" si="970"/>
        <v>17/04/2025</v>
      </c>
      <c r="K1935">
        <v>873.64</v>
      </c>
      <c r="L1935">
        <v>873.64</v>
      </c>
      <c r="M1935">
        <v>303</v>
      </c>
      <c r="N1935" t="str">
        <f t="shared" si="974"/>
        <v>RECEITAS COM ENTREGAS</v>
      </c>
      <c r="O1935">
        <v>873.64</v>
      </c>
      <c r="R1935" t="str">
        <f t="shared" si="975"/>
        <v>RECEITAS COM ENTREGAS (303)</v>
      </c>
      <c r="S1935">
        <v>1381</v>
      </c>
      <c r="T1935">
        <v>1086</v>
      </c>
      <c r="U1935" t="s">
        <v>19</v>
      </c>
    </row>
    <row r="1936" spans="1:21">
      <c r="A1936" t="str">
        <f t="shared" si="968"/>
        <v>17/04/2025</v>
      </c>
      <c r="B1936" t="str">
        <f t="shared" si="976"/>
        <v>ENTRADA</v>
      </c>
      <c r="C1936" t="str">
        <f t="shared" si="971"/>
        <v>NFSE</v>
      </c>
      <c r="D1936" t="str">
        <f>"2894"</f>
        <v>2894</v>
      </c>
      <c r="E1936" t="str">
        <f t="shared" si="969"/>
        <v>COM</v>
      </c>
      <c r="F1936" t="str">
        <f>"DROGARIA POUPA MINAS (DOIS AMIGOS) 5 (10140)"</f>
        <v>DROGARIA POUPA MINAS (DOIS AMIGOS) 5 (10140)</v>
      </c>
      <c r="G1936" t="str">
        <f>"Serv.Prest. 07/04/2025 a 13/04/2025 - RPS: 665 - NFSe: 2894"</f>
        <v>Serv.Prest. 07/04/2025 a 13/04/2025 - RPS: 665 - NFSe: 2894</v>
      </c>
      <c r="H1936" t="str">
        <f t="shared" si="977"/>
        <v>17/04/2025</v>
      </c>
      <c r="I1936" t="str">
        <f>("15/04/2025")</f>
        <v>15/04/2025</v>
      </c>
      <c r="J1936" t="str">
        <f t="shared" si="970"/>
        <v>17/04/2025</v>
      </c>
      <c r="M1936">
        <v>303</v>
      </c>
      <c r="N1936" t="str">
        <f t="shared" si="974"/>
        <v>RECEITAS COM ENTREGAS</v>
      </c>
      <c r="P1936">
        <v>873.64</v>
      </c>
      <c r="Q1936" t="str">
        <f>"DROGARIA POUPA MINAS (ULTRAMINAS) (10116)"</f>
        <v>DROGARIA POUPA MINAS (ULTRAMINAS) (10116)</v>
      </c>
      <c r="R1936" t="str">
        <f t="shared" si="975"/>
        <v>RECEITAS COM ENTREGAS (303)</v>
      </c>
      <c r="S1936">
        <v>1381</v>
      </c>
      <c r="T1936">
        <v>1086</v>
      </c>
      <c r="U1936" t="s">
        <v>19</v>
      </c>
    </row>
    <row r="1937" spans="1:21">
      <c r="A1937" t="str">
        <f t="shared" si="968"/>
        <v>17/04/2025</v>
      </c>
      <c r="B1937" t="str">
        <f t="shared" ref="B1937:B1950" si="978">"SAÍDA"</f>
        <v>SAÍDA</v>
      </c>
      <c r="C1937" t="str">
        <f t="shared" ref="C1937:C1947" si="979">"JUROS"</f>
        <v>JUROS</v>
      </c>
      <c r="D1937" t="str">
        <f>""</f>
        <v/>
      </c>
      <c r="E1937" t="str">
        <f t="shared" ref="E1937:E1947" si="980">"CXA"</f>
        <v>CXA</v>
      </c>
      <c r="F1937" t="str">
        <f>""</f>
        <v/>
      </c>
      <c r="G1937" t="str">
        <f t="shared" ref="G1937:G1947" si="981">"TAXA BOLETO COMPENSADO"</f>
        <v>TAXA BOLETO COMPENSADO</v>
      </c>
      <c r="H1937" t="str">
        <f t="shared" si="977"/>
        <v>17/04/2025</v>
      </c>
      <c r="I1937" t="str">
        <f t="shared" ref="I1937:I1947" si="982">("17/04/2025")</f>
        <v>17/04/2025</v>
      </c>
      <c r="J1937" t="str">
        <f t="shared" si="970"/>
        <v>17/04/2025</v>
      </c>
      <c r="K1937">
        <v>1.7</v>
      </c>
      <c r="L1937">
        <v>1.7</v>
      </c>
      <c r="M1937">
        <v>401</v>
      </c>
      <c r="N1937" t="str">
        <f t="shared" ref="N1937:N1947" si="983">"IOF/JUROS/DESP.FINANCEIRA"</f>
        <v>IOF/JUROS/DESP.FINANCEIRA</v>
      </c>
      <c r="O1937">
        <v>1.7</v>
      </c>
      <c r="R1937" t="str">
        <f t="shared" ref="R1937:R1950" si="984">"BANCO CORA (102)"</f>
        <v>BANCO CORA (102)</v>
      </c>
      <c r="S1937">
        <v>1462</v>
      </c>
      <c r="T1937">
        <v>0</v>
      </c>
      <c r="U1937" t="s">
        <v>20</v>
      </c>
    </row>
    <row r="1938" spans="1:21">
      <c r="A1938" t="str">
        <f t="shared" si="968"/>
        <v>17/04/2025</v>
      </c>
      <c r="B1938" t="str">
        <f t="shared" si="978"/>
        <v>SAÍDA</v>
      </c>
      <c r="C1938" t="str">
        <f t="shared" si="979"/>
        <v>JUROS</v>
      </c>
      <c r="D1938" t="str">
        <f>""</f>
        <v/>
      </c>
      <c r="E1938" t="str">
        <f t="shared" si="980"/>
        <v>CXA</v>
      </c>
      <c r="F1938" t="str">
        <f>""</f>
        <v/>
      </c>
      <c r="G1938" t="str">
        <f t="shared" si="981"/>
        <v>TAXA BOLETO COMPENSADO</v>
      </c>
      <c r="H1938" t="str">
        <f t="shared" si="977"/>
        <v>17/04/2025</v>
      </c>
      <c r="I1938" t="str">
        <f t="shared" si="982"/>
        <v>17/04/2025</v>
      </c>
      <c r="J1938" t="str">
        <f t="shared" si="970"/>
        <v>17/04/2025</v>
      </c>
      <c r="K1938">
        <v>1.7</v>
      </c>
      <c r="L1938">
        <v>1.7</v>
      </c>
      <c r="M1938">
        <v>401</v>
      </c>
      <c r="N1938" t="str">
        <f t="shared" si="983"/>
        <v>IOF/JUROS/DESP.FINANCEIRA</v>
      </c>
      <c r="O1938">
        <v>1.7</v>
      </c>
      <c r="R1938" t="str">
        <f t="shared" si="984"/>
        <v>BANCO CORA (102)</v>
      </c>
      <c r="S1938">
        <v>1463</v>
      </c>
      <c r="T1938">
        <v>0</v>
      </c>
      <c r="U1938" t="s">
        <v>20</v>
      </c>
    </row>
    <row r="1939" spans="1:21">
      <c r="A1939" t="str">
        <f t="shared" si="968"/>
        <v>17/04/2025</v>
      </c>
      <c r="B1939" t="str">
        <f t="shared" si="978"/>
        <v>SAÍDA</v>
      </c>
      <c r="C1939" t="str">
        <f t="shared" si="979"/>
        <v>JUROS</v>
      </c>
      <c r="D1939" t="str">
        <f>""</f>
        <v/>
      </c>
      <c r="E1939" t="str">
        <f t="shared" si="980"/>
        <v>CXA</v>
      </c>
      <c r="F1939" t="str">
        <f>""</f>
        <v/>
      </c>
      <c r="G1939" t="str">
        <f t="shared" si="981"/>
        <v>TAXA BOLETO COMPENSADO</v>
      </c>
      <c r="H1939" t="str">
        <f t="shared" si="977"/>
        <v>17/04/2025</v>
      </c>
      <c r="I1939" t="str">
        <f t="shared" si="982"/>
        <v>17/04/2025</v>
      </c>
      <c r="J1939" t="str">
        <f t="shared" si="970"/>
        <v>17/04/2025</v>
      </c>
      <c r="K1939">
        <v>1.7</v>
      </c>
      <c r="L1939">
        <v>1.7</v>
      </c>
      <c r="M1939">
        <v>401</v>
      </c>
      <c r="N1939" t="str">
        <f t="shared" si="983"/>
        <v>IOF/JUROS/DESP.FINANCEIRA</v>
      </c>
      <c r="O1939">
        <v>1.7</v>
      </c>
      <c r="R1939" t="str">
        <f t="shared" si="984"/>
        <v>BANCO CORA (102)</v>
      </c>
      <c r="S1939">
        <v>1464</v>
      </c>
      <c r="T1939">
        <v>0</v>
      </c>
      <c r="U1939" t="s">
        <v>20</v>
      </c>
    </row>
    <row r="1940" spans="1:21">
      <c r="A1940" t="str">
        <f t="shared" si="968"/>
        <v>17/04/2025</v>
      </c>
      <c r="B1940" t="str">
        <f t="shared" si="978"/>
        <v>SAÍDA</v>
      </c>
      <c r="C1940" t="str">
        <f t="shared" si="979"/>
        <v>JUROS</v>
      </c>
      <c r="D1940" t="str">
        <f>""</f>
        <v/>
      </c>
      <c r="E1940" t="str">
        <f t="shared" si="980"/>
        <v>CXA</v>
      </c>
      <c r="F1940" t="str">
        <f>""</f>
        <v/>
      </c>
      <c r="G1940" t="str">
        <f t="shared" si="981"/>
        <v>TAXA BOLETO COMPENSADO</v>
      </c>
      <c r="H1940" t="str">
        <f t="shared" si="977"/>
        <v>17/04/2025</v>
      </c>
      <c r="I1940" t="str">
        <f t="shared" si="982"/>
        <v>17/04/2025</v>
      </c>
      <c r="J1940" t="str">
        <f t="shared" si="970"/>
        <v>17/04/2025</v>
      </c>
      <c r="K1940">
        <v>1.7</v>
      </c>
      <c r="L1940">
        <v>1.7</v>
      </c>
      <c r="M1940">
        <v>401</v>
      </c>
      <c r="N1940" t="str">
        <f t="shared" si="983"/>
        <v>IOF/JUROS/DESP.FINANCEIRA</v>
      </c>
      <c r="O1940">
        <v>1.7</v>
      </c>
      <c r="R1940" t="str">
        <f t="shared" si="984"/>
        <v>BANCO CORA (102)</v>
      </c>
      <c r="S1940">
        <v>1465</v>
      </c>
      <c r="T1940">
        <v>0</v>
      </c>
      <c r="U1940" t="s">
        <v>20</v>
      </c>
    </row>
    <row r="1941" spans="1:21">
      <c r="A1941" t="str">
        <f t="shared" si="968"/>
        <v>17/04/2025</v>
      </c>
      <c r="B1941" t="str">
        <f t="shared" si="978"/>
        <v>SAÍDA</v>
      </c>
      <c r="C1941" t="str">
        <f t="shared" si="979"/>
        <v>JUROS</v>
      </c>
      <c r="D1941" t="str">
        <f>""</f>
        <v/>
      </c>
      <c r="E1941" t="str">
        <f t="shared" si="980"/>
        <v>CXA</v>
      </c>
      <c r="F1941" t="str">
        <f>""</f>
        <v/>
      </c>
      <c r="G1941" t="str">
        <f t="shared" si="981"/>
        <v>TAXA BOLETO COMPENSADO</v>
      </c>
      <c r="H1941" t="str">
        <f t="shared" si="977"/>
        <v>17/04/2025</v>
      </c>
      <c r="I1941" t="str">
        <f t="shared" si="982"/>
        <v>17/04/2025</v>
      </c>
      <c r="J1941" t="str">
        <f t="shared" si="970"/>
        <v>17/04/2025</v>
      </c>
      <c r="K1941">
        <v>1.7</v>
      </c>
      <c r="L1941">
        <v>1.7</v>
      </c>
      <c r="M1941">
        <v>401</v>
      </c>
      <c r="N1941" t="str">
        <f t="shared" si="983"/>
        <v>IOF/JUROS/DESP.FINANCEIRA</v>
      </c>
      <c r="O1941">
        <v>1.7</v>
      </c>
      <c r="R1941" t="str">
        <f t="shared" si="984"/>
        <v>BANCO CORA (102)</v>
      </c>
      <c r="S1941">
        <v>1466</v>
      </c>
      <c r="T1941">
        <v>0</v>
      </c>
      <c r="U1941" t="s">
        <v>20</v>
      </c>
    </row>
    <row r="1942" spans="1:21">
      <c r="A1942" t="str">
        <f t="shared" si="968"/>
        <v>17/04/2025</v>
      </c>
      <c r="B1942" t="str">
        <f t="shared" si="978"/>
        <v>SAÍDA</v>
      </c>
      <c r="C1942" t="str">
        <f t="shared" si="979"/>
        <v>JUROS</v>
      </c>
      <c r="D1942" t="str">
        <f>""</f>
        <v/>
      </c>
      <c r="E1942" t="str">
        <f t="shared" si="980"/>
        <v>CXA</v>
      </c>
      <c r="F1942" t="str">
        <f>""</f>
        <v/>
      </c>
      <c r="G1942" t="str">
        <f t="shared" si="981"/>
        <v>TAXA BOLETO COMPENSADO</v>
      </c>
      <c r="H1942" t="str">
        <f t="shared" si="977"/>
        <v>17/04/2025</v>
      </c>
      <c r="I1942" t="str">
        <f t="shared" si="982"/>
        <v>17/04/2025</v>
      </c>
      <c r="J1942" t="str">
        <f t="shared" si="970"/>
        <v>17/04/2025</v>
      </c>
      <c r="K1942">
        <v>1.7</v>
      </c>
      <c r="L1942">
        <v>1.7</v>
      </c>
      <c r="M1942">
        <v>401</v>
      </c>
      <c r="N1942" t="str">
        <f t="shared" si="983"/>
        <v>IOF/JUROS/DESP.FINANCEIRA</v>
      </c>
      <c r="O1942">
        <v>1.7</v>
      </c>
      <c r="R1942" t="str">
        <f t="shared" si="984"/>
        <v>BANCO CORA (102)</v>
      </c>
      <c r="S1942">
        <v>1467</v>
      </c>
      <c r="T1942">
        <v>0</v>
      </c>
      <c r="U1942" t="s">
        <v>20</v>
      </c>
    </row>
    <row r="1943" spans="1:21">
      <c r="A1943" t="str">
        <f t="shared" si="968"/>
        <v>17/04/2025</v>
      </c>
      <c r="B1943" t="str">
        <f t="shared" si="978"/>
        <v>SAÍDA</v>
      </c>
      <c r="C1943" t="str">
        <f t="shared" si="979"/>
        <v>JUROS</v>
      </c>
      <c r="D1943" t="str">
        <f>""</f>
        <v/>
      </c>
      <c r="E1943" t="str">
        <f t="shared" si="980"/>
        <v>CXA</v>
      </c>
      <c r="F1943" t="str">
        <f>""</f>
        <v/>
      </c>
      <c r="G1943" t="str">
        <f t="shared" si="981"/>
        <v>TAXA BOLETO COMPENSADO</v>
      </c>
      <c r="H1943" t="str">
        <f t="shared" si="977"/>
        <v>17/04/2025</v>
      </c>
      <c r="I1943" t="str">
        <f t="shared" si="982"/>
        <v>17/04/2025</v>
      </c>
      <c r="J1943" t="str">
        <f t="shared" si="970"/>
        <v>17/04/2025</v>
      </c>
      <c r="K1943">
        <v>1.7</v>
      </c>
      <c r="L1943">
        <v>1.7</v>
      </c>
      <c r="M1943">
        <v>401</v>
      </c>
      <c r="N1943" t="str">
        <f t="shared" si="983"/>
        <v>IOF/JUROS/DESP.FINANCEIRA</v>
      </c>
      <c r="O1943">
        <v>1.7</v>
      </c>
      <c r="R1943" t="str">
        <f t="shared" si="984"/>
        <v>BANCO CORA (102)</v>
      </c>
      <c r="S1943">
        <v>1468</v>
      </c>
      <c r="T1943">
        <v>0</v>
      </c>
      <c r="U1943" t="s">
        <v>20</v>
      </c>
    </row>
    <row r="1944" spans="1:21">
      <c r="A1944" t="str">
        <f t="shared" si="968"/>
        <v>17/04/2025</v>
      </c>
      <c r="B1944" t="str">
        <f t="shared" si="978"/>
        <v>SAÍDA</v>
      </c>
      <c r="C1944" t="str">
        <f t="shared" si="979"/>
        <v>JUROS</v>
      </c>
      <c r="D1944" t="str">
        <f>""</f>
        <v/>
      </c>
      <c r="E1944" t="str">
        <f t="shared" si="980"/>
        <v>CXA</v>
      </c>
      <c r="F1944" t="str">
        <f>""</f>
        <v/>
      </c>
      <c r="G1944" t="str">
        <f t="shared" si="981"/>
        <v>TAXA BOLETO COMPENSADO</v>
      </c>
      <c r="H1944" t="str">
        <f t="shared" si="977"/>
        <v>17/04/2025</v>
      </c>
      <c r="I1944" t="str">
        <f t="shared" si="982"/>
        <v>17/04/2025</v>
      </c>
      <c r="J1944" t="str">
        <f t="shared" si="970"/>
        <v>17/04/2025</v>
      </c>
      <c r="K1944">
        <v>1.7</v>
      </c>
      <c r="L1944">
        <v>1.7</v>
      </c>
      <c r="M1944">
        <v>401</v>
      </c>
      <c r="N1944" t="str">
        <f t="shared" si="983"/>
        <v>IOF/JUROS/DESP.FINANCEIRA</v>
      </c>
      <c r="O1944">
        <v>1.7</v>
      </c>
      <c r="R1944" t="str">
        <f t="shared" si="984"/>
        <v>BANCO CORA (102)</v>
      </c>
      <c r="S1944">
        <v>1469</v>
      </c>
      <c r="T1944">
        <v>0</v>
      </c>
      <c r="U1944" t="s">
        <v>20</v>
      </c>
    </row>
    <row r="1945" spans="1:21">
      <c r="A1945" t="str">
        <f t="shared" si="968"/>
        <v>17/04/2025</v>
      </c>
      <c r="B1945" t="str">
        <f t="shared" si="978"/>
        <v>SAÍDA</v>
      </c>
      <c r="C1945" t="str">
        <f t="shared" si="979"/>
        <v>JUROS</v>
      </c>
      <c r="D1945" t="str">
        <f>""</f>
        <v/>
      </c>
      <c r="E1945" t="str">
        <f t="shared" si="980"/>
        <v>CXA</v>
      </c>
      <c r="F1945" t="str">
        <f>""</f>
        <v/>
      </c>
      <c r="G1945" t="str">
        <f t="shared" si="981"/>
        <v>TAXA BOLETO COMPENSADO</v>
      </c>
      <c r="H1945" t="str">
        <f t="shared" si="977"/>
        <v>17/04/2025</v>
      </c>
      <c r="I1945" t="str">
        <f t="shared" si="982"/>
        <v>17/04/2025</v>
      </c>
      <c r="J1945" t="str">
        <f t="shared" si="970"/>
        <v>17/04/2025</v>
      </c>
      <c r="K1945">
        <v>1.7</v>
      </c>
      <c r="L1945">
        <v>1.7</v>
      </c>
      <c r="M1945">
        <v>401</v>
      </c>
      <c r="N1945" t="str">
        <f t="shared" si="983"/>
        <v>IOF/JUROS/DESP.FINANCEIRA</v>
      </c>
      <c r="O1945">
        <v>1.7</v>
      </c>
      <c r="R1945" t="str">
        <f t="shared" si="984"/>
        <v>BANCO CORA (102)</v>
      </c>
      <c r="S1945">
        <v>1470</v>
      </c>
      <c r="T1945">
        <v>0</v>
      </c>
      <c r="U1945" t="s">
        <v>20</v>
      </c>
    </row>
    <row r="1946" spans="1:21">
      <c r="A1946" t="str">
        <f t="shared" si="968"/>
        <v>17/04/2025</v>
      </c>
      <c r="B1946" t="str">
        <f t="shared" si="978"/>
        <v>SAÍDA</v>
      </c>
      <c r="C1946" t="str">
        <f t="shared" si="979"/>
        <v>JUROS</v>
      </c>
      <c r="D1946" t="str">
        <f>""</f>
        <v/>
      </c>
      <c r="E1946" t="str">
        <f t="shared" si="980"/>
        <v>CXA</v>
      </c>
      <c r="F1946" t="str">
        <f>""</f>
        <v/>
      </c>
      <c r="G1946" t="str">
        <f t="shared" si="981"/>
        <v>TAXA BOLETO COMPENSADO</v>
      </c>
      <c r="H1946" t="str">
        <f t="shared" si="977"/>
        <v>17/04/2025</v>
      </c>
      <c r="I1946" t="str">
        <f t="shared" si="982"/>
        <v>17/04/2025</v>
      </c>
      <c r="J1946" t="str">
        <f t="shared" si="970"/>
        <v>17/04/2025</v>
      </c>
      <c r="K1946">
        <v>1.7</v>
      </c>
      <c r="L1946">
        <v>1.7</v>
      </c>
      <c r="M1946">
        <v>401</v>
      </c>
      <c r="N1946" t="str">
        <f t="shared" si="983"/>
        <v>IOF/JUROS/DESP.FINANCEIRA</v>
      </c>
      <c r="O1946">
        <v>1.7</v>
      </c>
      <c r="R1946" t="str">
        <f t="shared" si="984"/>
        <v>BANCO CORA (102)</v>
      </c>
      <c r="S1946">
        <v>1471</v>
      </c>
      <c r="T1946">
        <v>0</v>
      </c>
      <c r="U1946" t="s">
        <v>20</v>
      </c>
    </row>
    <row r="1947" spans="1:21">
      <c r="A1947" t="str">
        <f t="shared" si="968"/>
        <v>17/04/2025</v>
      </c>
      <c r="B1947" t="str">
        <f t="shared" si="978"/>
        <v>SAÍDA</v>
      </c>
      <c r="C1947" t="str">
        <f t="shared" si="979"/>
        <v>JUROS</v>
      </c>
      <c r="D1947" t="str">
        <f>""</f>
        <v/>
      </c>
      <c r="E1947" t="str">
        <f t="shared" si="980"/>
        <v>CXA</v>
      </c>
      <c r="F1947" t="str">
        <f>""</f>
        <v/>
      </c>
      <c r="G1947" t="str">
        <f t="shared" si="981"/>
        <v>TAXA BOLETO COMPENSADO</v>
      </c>
      <c r="H1947" t="str">
        <f t="shared" si="977"/>
        <v>17/04/2025</v>
      </c>
      <c r="I1947" t="str">
        <f t="shared" si="982"/>
        <v>17/04/2025</v>
      </c>
      <c r="J1947" t="str">
        <f t="shared" si="970"/>
        <v>17/04/2025</v>
      </c>
      <c r="K1947">
        <v>1.7</v>
      </c>
      <c r="L1947">
        <v>1.7</v>
      </c>
      <c r="M1947">
        <v>401</v>
      </c>
      <c r="N1947" t="str">
        <f t="shared" si="983"/>
        <v>IOF/JUROS/DESP.FINANCEIRA</v>
      </c>
      <c r="O1947">
        <v>1.7</v>
      </c>
      <c r="R1947" t="str">
        <f t="shared" si="984"/>
        <v>BANCO CORA (102)</v>
      </c>
      <c r="S1947">
        <v>1472</v>
      </c>
      <c r="T1947">
        <v>0</v>
      </c>
      <c r="U1947" t="s">
        <v>20</v>
      </c>
    </row>
    <row r="1948" spans="1:21">
      <c r="A1948" t="str">
        <f>("22/04/2025")</f>
        <v>22/04/2025</v>
      </c>
      <c r="B1948" t="str">
        <f t="shared" si="978"/>
        <v>SAÍDA</v>
      </c>
      <c r="C1948" t="str">
        <f>"BOLETO"</f>
        <v>BOLETO</v>
      </c>
      <c r="D1948" t="str">
        <f>"072025091599975"</f>
        <v>072025091599975</v>
      </c>
      <c r="E1948" t="str">
        <f>"COM"</f>
        <v>COM</v>
      </c>
      <c r="F1948" t="str">
        <f>"MINISTERIO DA FAZENDA (20009)"</f>
        <v>MINISTERIO DA FAZENDA (20009)</v>
      </c>
      <c r="G1948" t="str">
        <f>"SIMPLES NACIONAL MES 03/2025"</f>
        <v>SIMPLES NACIONAL MES 03/2025</v>
      </c>
      <c r="H1948" t="str">
        <f>("22/04/2025")</f>
        <v>22/04/2025</v>
      </c>
      <c r="I1948" t="str">
        <f>("31/03/2025")</f>
        <v>31/03/2025</v>
      </c>
      <c r="J1948" t="str">
        <f>("22/04/2025")</f>
        <v>22/04/2025</v>
      </c>
      <c r="K1948">
        <v>12207.35</v>
      </c>
      <c r="L1948">
        <v>12207.35</v>
      </c>
      <c r="M1948">
        <v>144</v>
      </c>
      <c r="N1948" t="str">
        <f>"SIMPLES NACIONAL (DASN)"</f>
        <v>SIMPLES NACIONAL (DASN)</v>
      </c>
      <c r="O1948">
        <v>12207.35</v>
      </c>
      <c r="R1948" t="str">
        <f t="shared" si="984"/>
        <v>BANCO CORA (102)</v>
      </c>
      <c r="S1948">
        <v>1420</v>
      </c>
      <c r="T1948">
        <v>893</v>
      </c>
      <c r="U1948" t="s">
        <v>19</v>
      </c>
    </row>
    <row r="1949" spans="1:21">
      <c r="A1949" t="str">
        <f>("22/04/2025")</f>
        <v>22/04/2025</v>
      </c>
      <c r="B1949" t="str">
        <f t="shared" si="978"/>
        <v>SAÍDA</v>
      </c>
      <c r="C1949" t="str">
        <f>"BOLETO"</f>
        <v>BOLETO</v>
      </c>
      <c r="D1949" t="str">
        <f>"072025091599975"</f>
        <v>072025091599975</v>
      </c>
      <c r="E1949" t="str">
        <f>"COM"</f>
        <v>COM</v>
      </c>
      <c r="F1949" t="str">
        <f>"MINISTERIO DA FAZENDA (20009)"</f>
        <v>MINISTERIO DA FAZENDA (20009)</v>
      </c>
      <c r="G1949" t="str">
        <f>"SIMPLES NACIONAL MES 03/2025"</f>
        <v>SIMPLES NACIONAL MES 03/2025</v>
      </c>
      <c r="H1949" t="str">
        <f>("22/04/2025")</f>
        <v>22/04/2025</v>
      </c>
      <c r="I1949" t="str">
        <f>("31/03/2025")</f>
        <v>31/03/2025</v>
      </c>
      <c r="J1949" t="str">
        <f>("22/04/2025")</f>
        <v>22/04/2025</v>
      </c>
      <c r="M1949">
        <v>144</v>
      </c>
      <c r="N1949" t="str">
        <f>"SIMPLES NACIONAL (DASN)"</f>
        <v>SIMPLES NACIONAL (DASN)</v>
      </c>
      <c r="P1949">
        <v>12207.35</v>
      </c>
      <c r="Q1949" t="str">
        <f>"MINISTERIO DA FAZENDA (20009)"</f>
        <v>MINISTERIO DA FAZENDA (20009)</v>
      </c>
      <c r="R1949" t="str">
        <f t="shared" si="984"/>
        <v>BANCO CORA (102)</v>
      </c>
      <c r="S1949">
        <v>1420</v>
      </c>
      <c r="T1949">
        <v>893</v>
      </c>
      <c r="U1949" t="s">
        <v>19</v>
      </c>
    </row>
    <row r="1950" spans="1:21">
      <c r="A1950" t="str">
        <f>("22/04/2025")</f>
        <v>22/04/2025</v>
      </c>
      <c r="B1950" t="str">
        <f t="shared" si="978"/>
        <v>SAÍDA</v>
      </c>
      <c r="C1950" t="str">
        <f>"JUROS"</f>
        <v>JUROS</v>
      </c>
      <c r="D1950" t="str">
        <f>""</f>
        <v/>
      </c>
      <c r="E1950" t="str">
        <f>"CXA"</f>
        <v>CXA</v>
      </c>
      <c r="F1950" t="str">
        <f>""</f>
        <v/>
      </c>
      <c r="G1950" t="str">
        <f>"TAXA BOLETO COMPENSADO"</f>
        <v>TAXA BOLETO COMPENSADO</v>
      </c>
      <c r="H1950" t="str">
        <f>("22/04/2025")</f>
        <v>22/04/2025</v>
      </c>
      <c r="I1950" t="str">
        <f>("22/04/2025")</f>
        <v>22/04/2025</v>
      </c>
      <c r="J1950" t="str">
        <f>("22/04/2025")</f>
        <v>22/04/2025</v>
      </c>
      <c r="K1950">
        <v>1.7</v>
      </c>
      <c r="L1950">
        <v>1.7</v>
      </c>
      <c r="M1950">
        <v>401</v>
      </c>
      <c r="N1950" t="str">
        <f>"IOF/JUROS/DESP.FINANCEIRA"</f>
        <v>IOF/JUROS/DESP.FINANCEIRA</v>
      </c>
      <c r="O1950">
        <v>1.7</v>
      </c>
      <c r="R1950" t="str">
        <f t="shared" si="984"/>
        <v>BANCO CORA (102)</v>
      </c>
      <c r="S1950">
        <v>1473</v>
      </c>
      <c r="T1950">
        <v>0</v>
      </c>
      <c r="U1950" t="s">
        <v>20</v>
      </c>
    </row>
    <row r="1951" spans="1:21">
      <c r="A1951" t="str">
        <f>("22/04/2025")</f>
        <v>22/04/2025</v>
      </c>
      <c r="B1951" t="str">
        <f>"ENTRADA"</f>
        <v>ENTRADA</v>
      </c>
      <c r="C1951" t="str">
        <f t="shared" ref="C1951:C1982" si="985">"NFSE"</f>
        <v>NFSE</v>
      </c>
      <c r="D1951" t="str">
        <f>"2898"</f>
        <v>2898</v>
      </c>
      <c r="E1951" t="str">
        <f t="shared" ref="E1951:E1982" si="986">"COM"</f>
        <v>COM</v>
      </c>
      <c r="F1951" t="str">
        <f>"DROGA MONICA LJ 3 (10152)"</f>
        <v>DROGA MONICA LJ 3 (10152)</v>
      </c>
      <c r="G1951" t="str">
        <f>"Serv.Prest. 07/04/2025 a 13/04/2025 - RPS: 669 - NFSe: 2898"</f>
        <v>Serv.Prest. 07/04/2025 a 13/04/2025 - RPS: 669 - NFSe: 2898</v>
      </c>
      <c r="H1951" t="str">
        <f>("17/04/2025")</f>
        <v>17/04/2025</v>
      </c>
      <c r="I1951" t="str">
        <f>("15/04/2025")</f>
        <v>15/04/2025</v>
      </c>
      <c r="J1951" t="str">
        <f>("22/04/2025")</f>
        <v>22/04/2025</v>
      </c>
      <c r="K1951">
        <v>206.4</v>
      </c>
      <c r="L1951">
        <v>206.4</v>
      </c>
      <c r="M1951">
        <v>303</v>
      </c>
      <c r="N1951" t="str">
        <f t="shared" ref="N1951:N1982" si="987">"RECEITAS COM ENTREGAS"</f>
        <v>RECEITAS COM ENTREGAS</v>
      </c>
      <c r="O1951">
        <v>206.4</v>
      </c>
      <c r="R1951" t="str">
        <f t="shared" ref="R1951:R1982" si="988">"RECEITAS COM ENTREGAS (303)"</f>
        <v>RECEITAS COM ENTREGAS (303)</v>
      </c>
      <c r="S1951">
        <v>1500</v>
      </c>
      <c r="T1951">
        <v>1090</v>
      </c>
      <c r="U1951" t="s">
        <v>19</v>
      </c>
    </row>
    <row r="1952" spans="1:21">
      <c r="A1952" t="str">
        <f>("22/04/2025")</f>
        <v>22/04/2025</v>
      </c>
      <c r="B1952" t="str">
        <f t="shared" ref="B1952:B2015" si="989">"ENTRADA"</f>
        <v>ENTRADA</v>
      </c>
      <c r="C1952" t="str">
        <f t="shared" si="985"/>
        <v>NFSE</v>
      </c>
      <c r="D1952" t="str">
        <f>"2898"</f>
        <v>2898</v>
      </c>
      <c r="E1952" t="str">
        <f t="shared" si="986"/>
        <v>COM</v>
      </c>
      <c r="F1952" t="str">
        <f>"DROGA MONICA LJ 3 (10152)"</f>
        <v>DROGA MONICA LJ 3 (10152)</v>
      </c>
      <c r="G1952" t="str">
        <f>"Serv.Prest. 07/04/2025 a 13/04/2025 - RPS: 669 - NFSe: 2898"</f>
        <v>Serv.Prest. 07/04/2025 a 13/04/2025 - RPS: 669 - NFSe: 2898</v>
      </c>
      <c r="H1952" t="str">
        <f>("17/04/2025")</f>
        <v>17/04/2025</v>
      </c>
      <c r="I1952" t="str">
        <f>("15/04/2025")</f>
        <v>15/04/2025</v>
      </c>
      <c r="J1952" t="str">
        <f>("22/04/2025")</f>
        <v>22/04/2025</v>
      </c>
      <c r="M1952">
        <v>303</v>
      </c>
      <c r="N1952" t="str">
        <f t="shared" si="987"/>
        <v>RECEITAS COM ENTREGAS</v>
      </c>
      <c r="P1952">
        <v>206.4</v>
      </c>
      <c r="Q1952" t="str">
        <f>"DROGA MONICA LJ 3 (10152)"</f>
        <v>DROGA MONICA LJ 3 (10152)</v>
      </c>
      <c r="R1952" t="str">
        <f t="shared" si="988"/>
        <v>RECEITAS COM ENTREGAS (303)</v>
      </c>
      <c r="S1952">
        <v>1500</v>
      </c>
      <c r="T1952">
        <v>1090</v>
      </c>
      <c r="U1952" t="s">
        <v>19</v>
      </c>
    </row>
    <row r="1953" spans="1:21">
      <c r="A1953" t="str">
        <f t="shared" ref="A1953:A1984" si="990">("23/04/2025")</f>
        <v>23/04/2025</v>
      </c>
      <c r="B1953" t="str">
        <f t="shared" si="989"/>
        <v>ENTRADA</v>
      </c>
      <c r="C1953" t="str">
        <f t="shared" si="985"/>
        <v>NFSE</v>
      </c>
      <c r="D1953" t="str">
        <f t="shared" ref="D1953:D1998" si="991">"2889"</f>
        <v>2889</v>
      </c>
      <c r="E1953" t="str">
        <f t="shared" si="986"/>
        <v>COM</v>
      </c>
      <c r="F1953" t="str">
        <f t="shared" ref="F1953:F1998" si="992">"FARMÁCIA INDIANA LJ 1 (10126)"</f>
        <v>FARMÁCIA INDIANA LJ 1 (10126)</v>
      </c>
      <c r="G1953" t="str">
        <f t="shared" ref="G1953:G1998" si="993">"Serv.Prest. 07/04/2025 a 13/04/2025 - RPS: 660 - NFSe: 2889"</f>
        <v>Serv.Prest. 07/04/2025 a 13/04/2025 - RPS: 660 - NFSe: 2889</v>
      </c>
      <c r="H1953" t="str">
        <f t="shared" ref="H1953:H1984" si="994">("23/04/2025")</f>
        <v>23/04/2025</v>
      </c>
      <c r="I1953" t="str">
        <f t="shared" ref="I1953:I1984" si="995">("14/04/2025")</f>
        <v>14/04/2025</v>
      </c>
      <c r="J1953" t="str">
        <f t="shared" ref="J1953:J1984" si="996">("23/04/2025")</f>
        <v>23/04/2025</v>
      </c>
      <c r="K1953">
        <v>14234.3</v>
      </c>
      <c r="L1953">
        <v>14234.3</v>
      </c>
      <c r="M1953">
        <v>303</v>
      </c>
      <c r="N1953" t="str">
        <f t="shared" si="987"/>
        <v>RECEITAS COM ENTREGAS</v>
      </c>
      <c r="O1953">
        <v>14234.3</v>
      </c>
      <c r="R1953" t="str">
        <f t="shared" si="988"/>
        <v>RECEITAS COM ENTREGAS (303)</v>
      </c>
      <c r="S1953">
        <v>1341</v>
      </c>
      <c r="T1953">
        <v>1081</v>
      </c>
      <c r="U1953" t="s">
        <v>19</v>
      </c>
    </row>
    <row r="1954" spans="1:21">
      <c r="A1954" t="str">
        <f t="shared" si="990"/>
        <v>23/04/2025</v>
      </c>
      <c r="B1954" t="str">
        <f t="shared" si="989"/>
        <v>ENTRADA</v>
      </c>
      <c r="C1954" t="str">
        <f t="shared" si="985"/>
        <v>NFSE</v>
      </c>
      <c r="D1954" t="str">
        <f t="shared" si="991"/>
        <v>2889</v>
      </c>
      <c r="E1954" t="str">
        <f t="shared" si="986"/>
        <v>COM</v>
      </c>
      <c r="F1954" t="str">
        <f t="shared" si="992"/>
        <v>FARMÁCIA INDIANA LJ 1 (10126)</v>
      </c>
      <c r="G1954" t="str">
        <f t="shared" si="993"/>
        <v>Serv.Prest. 07/04/2025 a 13/04/2025 - RPS: 660 - NFSe: 2889</v>
      </c>
      <c r="H1954" t="str">
        <f t="shared" si="994"/>
        <v>23/04/2025</v>
      </c>
      <c r="I1954" t="str">
        <f t="shared" si="995"/>
        <v>14/04/2025</v>
      </c>
      <c r="J1954" t="str">
        <f t="shared" si="996"/>
        <v>23/04/2025</v>
      </c>
      <c r="M1954">
        <v>303</v>
      </c>
      <c r="N1954" t="str">
        <f t="shared" si="987"/>
        <v>RECEITAS COM ENTREGAS</v>
      </c>
      <c r="P1954">
        <v>1846.15</v>
      </c>
      <c r="Q1954" t="str">
        <f>"FARMÁCIA INDIANA LJ 06 (10006)"</f>
        <v>FARMÁCIA INDIANA LJ 06 (10006)</v>
      </c>
      <c r="R1954" t="str">
        <f t="shared" si="988"/>
        <v>RECEITAS COM ENTREGAS (303)</v>
      </c>
      <c r="S1954">
        <v>1341</v>
      </c>
      <c r="T1954">
        <v>1081</v>
      </c>
      <c r="U1954" t="s">
        <v>19</v>
      </c>
    </row>
    <row r="1955" spans="1:21">
      <c r="A1955" t="str">
        <f t="shared" si="990"/>
        <v>23/04/2025</v>
      </c>
      <c r="B1955" t="str">
        <f t="shared" si="989"/>
        <v>ENTRADA</v>
      </c>
      <c r="C1955" t="str">
        <f t="shared" si="985"/>
        <v>NFSE</v>
      </c>
      <c r="D1955" t="str">
        <f t="shared" si="991"/>
        <v>2889</v>
      </c>
      <c r="E1955" t="str">
        <f t="shared" si="986"/>
        <v>COM</v>
      </c>
      <c r="F1955" t="str">
        <f t="shared" si="992"/>
        <v>FARMÁCIA INDIANA LJ 1 (10126)</v>
      </c>
      <c r="G1955" t="str">
        <f t="shared" si="993"/>
        <v>Serv.Prest. 07/04/2025 a 13/04/2025 - RPS: 660 - NFSe: 2889</v>
      </c>
      <c r="H1955" t="str">
        <f t="shared" si="994"/>
        <v>23/04/2025</v>
      </c>
      <c r="I1955" t="str">
        <f t="shared" si="995"/>
        <v>14/04/2025</v>
      </c>
      <c r="J1955" t="str">
        <f t="shared" si="996"/>
        <v>23/04/2025</v>
      </c>
      <c r="M1955">
        <v>303</v>
      </c>
      <c r="N1955" t="str">
        <f t="shared" si="987"/>
        <v>RECEITAS COM ENTREGAS</v>
      </c>
      <c r="P1955">
        <v>1565.77</v>
      </c>
      <c r="Q1955" t="str">
        <f>"FARMÁCIA INDIANA LJ 07 (10007)"</f>
        <v>FARMÁCIA INDIANA LJ 07 (10007)</v>
      </c>
      <c r="R1955" t="str">
        <f t="shared" si="988"/>
        <v>RECEITAS COM ENTREGAS (303)</v>
      </c>
      <c r="S1955">
        <v>1341</v>
      </c>
      <c r="T1955">
        <v>1081</v>
      </c>
      <c r="U1955" t="s">
        <v>19</v>
      </c>
    </row>
    <row r="1956" spans="1:21">
      <c r="A1956" t="str">
        <f t="shared" si="990"/>
        <v>23/04/2025</v>
      </c>
      <c r="B1956" t="str">
        <f t="shared" si="989"/>
        <v>ENTRADA</v>
      </c>
      <c r="C1956" t="str">
        <f t="shared" si="985"/>
        <v>NFSE</v>
      </c>
      <c r="D1956" t="str">
        <f t="shared" si="991"/>
        <v>2889</v>
      </c>
      <c r="E1956" t="str">
        <f t="shared" si="986"/>
        <v>COM</v>
      </c>
      <c r="F1956" t="str">
        <f t="shared" si="992"/>
        <v>FARMÁCIA INDIANA LJ 1 (10126)</v>
      </c>
      <c r="G1956" t="str">
        <f t="shared" si="993"/>
        <v>Serv.Prest. 07/04/2025 a 13/04/2025 - RPS: 660 - NFSe: 2889</v>
      </c>
      <c r="H1956" t="str">
        <f t="shared" si="994"/>
        <v>23/04/2025</v>
      </c>
      <c r="I1956" t="str">
        <f t="shared" si="995"/>
        <v>14/04/2025</v>
      </c>
      <c r="J1956" t="str">
        <f t="shared" si="996"/>
        <v>23/04/2025</v>
      </c>
      <c r="M1956">
        <v>303</v>
      </c>
      <c r="N1956" t="str">
        <f t="shared" si="987"/>
        <v>RECEITAS COM ENTREGAS</v>
      </c>
      <c r="P1956">
        <v>1127.3599999999999</v>
      </c>
      <c r="Q1956" t="str">
        <f>"FARMÁCIA INDIANA LJ 11 (10008)"</f>
        <v>FARMÁCIA INDIANA LJ 11 (10008)</v>
      </c>
      <c r="R1956" t="str">
        <f t="shared" si="988"/>
        <v>RECEITAS COM ENTREGAS (303)</v>
      </c>
      <c r="S1956">
        <v>1341</v>
      </c>
      <c r="T1956">
        <v>1081</v>
      </c>
      <c r="U1956" t="s">
        <v>19</v>
      </c>
    </row>
    <row r="1957" spans="1:21">
      <c r="A1957" t="str">
        <f t="shared" si="990"/>
        <v>23/04/2025</v>
      </c>
      <c r="B1957" t="str">
        <f t="shared" si="989"/>
        <v>ENTRADA</v>
      </c>
      <c r="C1957" t="str">
        <f t="shared" si="985"/>
        <v>NFSE</v>
      </c>
      <c r="D1957" t="str">
        <f t="shared" si="991"/>
        <v>2889</v>
      </c>
      <c r="E1957" t="str">
        <f t="shared" si="986"/>
        <v>COM</v>
      </c>
      <c r="F1957" t="str">
        <f t="shared" si="992"/>
        <v>FARMÁCIA INDIANA LJ 1 (10126)</v>
      </c>
      <c r="G1957" t="str">
        <f t="shared" si="993"/>
        <v>Serv.Prest. 07/04/2025 a 13/04/2025 - RPS: 660 - NFSe: 2889</v>
      </c>
      <c r="H1957" t="str">
        <f t="shared" si="994"/>
        <v>23/04/2025</v>
      </c>
      <c r="I1957" t="str">
        <f t="shared" si="995"/>
        <v>14/04/2025</v>
      </c>
      <c r="J1957" t="str">
        <f t="shared" si="996"/>
        <v>23/04/2025</v>
      </c>
      <c r="M1957">
        <v>303</v>
      </c>
      <c r="N1957" t="str">
        <f t="shared" si="987"/>
        <v>RECEITAS COM ENTREGAS</v>
      </c>
      <c r="P1957">
        <v>384.33</v>
      </c>
      <c r="Q1957" t="str">
        <f>"FARMÁCIA INDIANA LJ 14 (10009)"</f>
        <v>FARMÁCIA INDIANA LJ 14 (10009)</v>
      </c>
      <c r="R1957" t="str">
        <f t="shared" si="988"/>
        <v>RECEITAS COM ENTREGAS (303)</v>
      </c>
      <c r="S1957">
        <v>1341</v>
      </c>
      <c r="T1957">
        <v>1081</v>
      </c>
      <c r="U1957" t="s">
        <v>19</v>
      </c>
    </row>
    <row r="1958" spans="1:21">
      <c r="A1958" t="str">
        <f t="shared" si="990"/>
        <v>23/04/2025</v>
      </c>
      <c r="B1958" t="str">
        <f t="shared" si="989"/>
        <v>ENTRADA</v>
      </c>
      <c r="C1958" t="str">
        <f t="shared" si="985"/>
        <v>NFSE</v>
      </c>
      <c r="D1958" t="str">
        <f t="shared" si="991"/>
        <v>2889</v>
      </c>
      <c r="E1958" t="str">
        <f t="shared" si="986"/>
        <v>COM</v>
      </c>
      <c r="F1958" t="str">
        <f t="shared" si="992"/>
        <v>FARMÁCIA INDIANA LJ 1 (10126)</v>
      </c>
      <c r="G1958" t="str">
        <f t="shared" si="993"/>
        <v>Serv.Prest. 07/04/2025 a 13/04/2025 - RPS: 660 - NFSe: 2889</v>
      </c>
      <c r="H1958" t="str">
        <f t="shared" si="994"/>
        <v>23/04/2025</v>
      </c>
      <c r="I1958" t="str">
        <f t="shared" si="995"/>
        <v>14/04/2025</v>
      </c>
      <c r="J1958" t="str">
        <f t="shared" si="996"/>
        <v>23/04/2025</v>
      </c>
      <c r="M1958">
        <v>303</v>
      </c>
      <c r="N1958" t="str">
        <f t="shared" si="987"/>
        <v>RECEITAS COM ENTREGAS</v>
      </c>
      <c r="P1958">
        <v>431.3</v>
      </c>
      <c r="Q1958" t="str">
        <f>"FARMÁCIA INDIANA LJ 18 (10011)"</f>
        <v>FARMÁCIA INDIANA LJ 18 (10011)</v>
      </c>
      <c r="R1958" t="str">
        <f t="shared" si="988"/>
        <v>RECEITAS COM ENTREGAS (303)</v>
      </c>
      <c r="S1958">
        <v>1341</v>
      </c>
      <c r="T1958">
        <v>1081</v>
      </c>
      <c r="U1958" t="s">
        <v>19</v>
      </c>
    </row>
    <row r="1959" spans="1:21">
      <c r="A1959" t="str">
        <f t="shared" si="990"/>
        <v>23/04/2025</v>
      </c>
      <c r="B1959" t="str">
        <f t="shared" si="989"/>
        <v>ENTRADA</v>
      </c>
      <c r="C1959" t="str">
        <f t="shared" si="985"/>
        <v>NFSE</v>
      </c>
      <c r="D1959" t="str">
        <f t="shared" si="991"/>
        <v>2889</v>
      </c>
      <c r="E1959" t="str">
        <f t="shared" si="986"/>
        <v>COM</v>
      </c>
      <c r="F1959" t="str">
        <f t="shared" si="992"/>
        <v>FARMÁCIA INDIANA LJ 1 (10126)</v>
      </c>
      <c r="G1959" t="str">
        <f t="shared" si="993"/>
        <v>Serv.Prest. 07/04/2025 a 13/04/2025 - RPS: 660 - NFSe: 2889</v>
      </c>
      <c r="H1959" t="str">
        <f t="shared" si="994"/>
        <v>23/04/2025</v>
      </c>
      <c r="I1959" t="str">
        <f t="shared" si="995"/>
        <v>14/04/2025</v>
      </c>
      <c r="J1959" t="str">
        <f t="shared" si="996"/>
        <v>23/04/2025</v>
      </c>
      <c r="M1959">
        <v>303</v>
      </c>
      <c r="N1959" t="str">
        <f t="shared" si="987"/>
        <v>RECEITAS COM ENTREGAS</v>
      </c>
      <c r="P1959">
        <v>394.29</v>
      </c>
      <c r="Q1959" t="str">
        <f>"FARMÁCIA INDIANA LJ 19 (10012)"</f>
        <v>FARMÁCIA INDIANA LJ 19 (10012)</v>
      </c>
      <c r="R1959" t="str">
        <f t="shared" si="988"/>
        <v>RECEITAS COM ENTREGAS (303)</v>
      </c>
      <c r="S1959">
        <v>1341</v>
      </c>
      <c r="T1959">
        <v>1081</v>
      </c>
      <c r="U1959" t="s">
        <v>19</v>
      </c>
    </row>
    <row r="1960" spans="1:21">
      <c r="A1960" t="str">
        <f t="shared" si="990"/>
        <v>23/04/2025</v>
      </c>
      <c r="B1960" t="str">
        <f t="shared" si="989"/>
        <v>ENTRADA</v>
      </c>
      <c r="C1960" t="str">
        <f t="shared" si="985"/>
        <v>NFSE</v>
      </c>
      <c r="D1960" t="str">
        <f t="shared" si="991"/>
        <v>2889</v>
      </c>
      <c r="E1960" t="str">
        <f t="shared" si="986"/>
        <v>COM</v>
      </c>
      <c r="F1960" t="str">
        <f t="shared" si="992"/>
        <v>FARMÁCIA INDIANA LJ 1 (10126)</v>
      </c>
      <c r="G1960" t="str">
        <f t="shared" si="993"/>
        <v>Serv.Prest. 07/04/2025 a 13/04/2025 - RPS: 660 - NFSe: 2889</v>
      </c>
      <c r="H1960" t="str">
        <f t="shared" si="994"/>
        <v>23/04/2025</v>
      </c>
      <c r="I1960" t="str">
        <f t="shared" si="995"/>
        <v>14/04/2025</v>
      </c>
      <c r="J1960" t="str">
        <f t="shared" si="996"/>
        <v>23/04/2025</v>
      </c>
      <c r="M1960">
        <v>303</v>
      </c>
      <c r="N1960" t="str">
        <f t="shared" si="987"/>
        <v>RECEITAS COM ENTREGAS</v>
      </c>
      <c r="P1960">
        <v>550.87</v>
      </c>
      <c r="Q1960" t="str">
        <f>"FARMÁCIA INDIANA LJ 40 (10016)"</f>
        <v>FARMÁCIA INDIANA LJ 40 (10016)</v>
      </c>
      <c r="R1960" t="str">
        <f t="shared" si="988"/>
        <v>RECEITAS COM ENTREGAS (303)</v>
      </c>
      <c r="S1960">
        <v>1341</v>
      </c>
      <c r="T1960">
        <v>1081</v>
      </c>
      <c r="U1960" t="s">
        <v>19</v>
      </c>
    </row>
    <row r="1961" spans="1:21">
      <c r="A1961" t="str">
        <f t="shared" si="990"/>
        <v>23/04/2025</v>
      </c>
      <c r="B1961" t="str">
        <f t="shared" si="989"/>
        <v>ENTRADA</v>
      </c>
      <c r="C1961" t="str">
        <f t="shared" si="985"/>
        <v>NFSE</v>
      </c>
      <c r="D1961" t="str">
        <f t="shared" si="991"/>
        <v>2889</v>
      </c>
      <c r="E1961" t="str">
        <f t="shared" si="986"/>
        <v>COM</v>
      </c>
      <c r="F1961" t="str">
        <f t="shared" si="992"/>
        <v>FARMÁCIA INDIANA LJ 1 (10126)</v>
      </c>
      <c r="G1961" t="str">
        <f t="shared" si="993"/>
        <v>Serv.Prest. 07/04/2025 a 13/04/2025 - RPS: 660 - NFSe: 2889</v>
      </c>
      <c r="H1961" t="str">
        <f t="shared" si="994"/>
        <v>23/04/2025</v>
      </c>
      <c r="I1961" t="str">
        <f t="shared" si="995"/>
        <v>14/04/2025</v>
      </c>
      <c r="J1961" t="str">
        <f t="shared" si="996"/>
        <v>23/04/2025</v>
      </c>
      <c r="M1961">
        <v>303</v>
      </c>
      <c r="N1961" t="str">
        <f t="shared" si="987"/>
        <v>RECEITAS COM ENTREGAS</v>
      </c>
      <c r="P1961">
        <v>330.24</v>
      </c>
      <c r="Q1961" t="str">
        <f>"FARMÁCIA INDIANA LJ 59 (10026)"</f>
        <v>FARMÁCIA INDIANA LJ 59 (10026)</v>
      </c>
      <c r="R1961" t="str">
        <f t="shared" si="988"/>
        <v>RECEITAS COM ENTREGAS (303)</v>
      </c>
      <c r="S1961">
        <v>1341</v>
      </c>
      <c r="T1961">
        <v>1081</v>
      </c>
      <c r="U1961" t="s">
        <v>19</v>
      </c>
    </row>
    <row r="1962" spans="1:21">
      <c r="A1962" t="str">
        <f t="shared" si="990"/>
        <v>23/04/2025</v>
      </c>
      <c r="B1962" t="str">
        <f t="shared" si="989"/>
        <v>ENTRADA</v>
      </c>
      <c r="C1962" t="str">
        <f t="shared" si="985"/>
        <v>NFSE</v>
      </c>
      <c r="D1962" t="str">
        <f t="shared" si="991"/>
        <v>2889</v>
      </c>
      <c r="E1962" t="str">
        <f t="shared" si="986"/>
        <v>COM</v>
      </c>
      <c r="F1962" t="str">
        <f t="shared" si="992"/>
        <v>FARMÁCIA INDIANA LJ 1 (10126)</v>
      </c>
      <c r="G1962" t="str">
        <f t="shared" si="993"/>
        <v>Serv.Prest. 07/04/2025 a 13/04/2025 - RPS: 660 - NFSe: 2889</v>
      </c>
      <c r="H1962" t="str">
        <f t="shared" si="994"/>
        <v>23/04/2025</v>
      </c>
      <c r="I1962" t="str">
        <f t="shared" si="995"/>
        <v>14/04/2025</v>
      </c>
      <c r="J1962" t="str">
        <f t="shared" si="996"/>
        <v>23/04/2025</v>
      </c>
      <c r="M1962">
        <v>303</v>
      </c>
      <c r="N1962" t="str">
        <f t="shared" si="987"/>
        <v>RECEITAS COM ENTREGAS</v>
      </c>
      <c r="P1962">
        <v>540.9</v>
      </c>
      <c r="Q1962" t="str">
        <f>"FARMÁCIA INDIANA LJ 61 (10027)"</f>
        <v>FARMÁCIA INDIANA LJ 61 (10027)</v>
      </c>
      <c r="R1962" t="str">
        <f t="shared" si="988"/>
        <v>RECEITAS COM ENTREGAS (303)</v>
      </c>
      <c r="S1962">
        <v>1341</v>
      </c>
      <c r="T1962">
        <v>1081</v>
      </c>
      <c r="U1962" t="s">
        <v>19</v>
      </c>
    </row>
    <row r="1963" spans="1:21">
      <c r="A1963" t="str">
        <f t="shared" si="990"/>
        <v>23/04/2025</v>
      </c>
      <c r="B1963" t="str">
        <f t="shared" si="989"/>
        <v>ENTRADA</v>
      </c>
      <c r="C1963" t="str">
        <f t="shared" si="985"/>
        <v>NFSE</v>
      </c>
      <c r="D1963" t="str">
        <f t="shared" si="991"/>
        <v>2889</v>
      </c>
      <c r="E1963" t="str">
        <f t="shared" si="986"/>
        <v>COM</v>
      </c>
      <c r="F1963" t="str">
        <f t="shared" si="992"/>
        <v>FARMÁCIA INDIANA LJ 1 (10126)</v>
      </c>
      <c r="G1963" t="str">
        <f t="shared" si="993"/>
        <v>Serv.Prest. 07/04/2025 a 13/04/2025 - RPS: 660 - NFSe: 2889</v>
      </c>
      <c r="H1963" t="str">
        <f t="shared" si="994"/>
        <v>23/04/2025</v>
      </c>
      <c r="I1963" t="str">
        <f t="shared" si="995"/>
        <v>14/04/2025</v>
      </c>
      <c r="J1963" t="str">
        <f t="shared" si="996"/>
        <v>23/04/2025</v>
      </c>
      <c r="M1963">
        <v>303</v>
      </c>
      <c r="N1963" t="str">
        <f t="shared" si="987"/>
        <v>RECEITAS COM ENTREGAS</v>
      </c>
      <c r="P1963">
        <v>399.98</v>
      </c>
      <c r="Q1963" t="str">
        <f>"FARMÁCIA INDIANA LJ 62 (10028)"</f>
        <v>FARMÁCIA INDIANA LJ 62 (10028)</v>
      </c>
      <c r="R1963" t="str">
        <f t="shared" si="988"/>
        <v>RECEITAS COM ENTREGAS (303)</v>
      </c>
      <c r="S1963">
        <v>1341</v>
      </c>
      <c r="T1963">
        <v>1081</v>
      </c>
      <c r="U1963" t="s">
        <v>19</v>
      </c>
    </row>
    <row r="1964" spans="1:21">
      <c r="A1964" t="str">
        <f t="shared" si="990"/>
        <v>23/04/2025</v>
      </c>
      <c r="B1964" t="str">
        <f t="shared" si="989"/>
        <v>ENTRADA</v>
      </c>
      <c r="C1964" t="str">
        <f t="shared" si="985"/>
        <v>NFSE</v>
      </c>
      <c r="D1964" t="str">
        <f t="shared" si="991"/>
        <v>2889</v>
      </c>
      <c r="E1964" t="str">
        <f t="shared" si="986"/>
        <v>COM</v>
      </c>
      <c r="F1964" t="str">
        <f t="shared" si="992"/>
        <v>FARMÁCIA INDIANA LJ 1 (10126)</v>
      </c>
      <c r="G1964" t="str">
        <f t="shared" si="993"/>
        <v>Serv.Prest. 07/04/2025 a 13/04/2025 - RPS: 660 - NFSe: 2889</v>
      </c>
      <c r="H1964" t="str">
        <f t="shared" si="994"/>
        <v>23/04/2025</v>
      </c>
      <c r="I1964" t="str">
        <f t="shared" si="995"/>
        <v>14/04/2025</v>
      </c>
      <c r="J1964" t="str">
        <f t="shared" si="996"/>
        <v>23/04/2025</v>
      </c>
      <c r="M1964">
        <v>303</v>
      </c>
      <c r="N1964" t="str">
        <f t="shared" si="987"/>
        <v>RECEITAS COM ENTREGAS</v>
      </c>
      <c r="P1964">
        <v>115.3</v>
      </c>
      <c r="Q1964" t="str">
        <f>"FARMÁCIA INDIANA LJ 64 (10029)"</f>
        <v>FARMÁCIA INDIANA LJ 64 (10029)</v>
      </c>
      <c r="R1964" t="str">
        <f t="shared" si="988"/>
        <v>RECEITAS COM ENTREGAS (303)</v>
      </c>
      <c r="S1964">
        <v>1341</v>
      </c>
      <c r="T1964">
        <v>1081</v>
      </c>
      <c r="U1964" t="s">
        <v>19</v>
      </c>
    </row>
    <row r="1965" spans="1:21">
      <c r="A1965" t="str">
        <f t="shared" si="990"/>
        <v>23/04/2025</v>
      </c>
      <c r="B1965" t="str">
        <f t="shared" si="989"/>
        <v>ENTRADA</v>
      </c>
      <c r="C1965" t="str">
        <f t="shared" si="985"/>
        <v>NFSE</v>
      </c>
      <c r="D1965" t="str">
        <f t="shared" si="991"/>
        <v>2889</v>
      </c>
      <c r="E1965" t="str">
        <f t="shared" si="986"/>
        <v>COM</v>
      </c>
      <c r="F1965" t="str">
        <f t="shared" si="992"/>
        <v>FARMÁCIA INDIANA LJ 1 (10126)</v>
      </c>
      <c r="G1965" t="str">
        <f t="shared" si="993"/>
        <v>Serv.Prest. 07/04/2025 a 13/04/2025 - RPS: 660 - NFSe: 2889</v>
      </c>
      <c r="H1965" t="str">
        <f t="shared" si="994"/>
        <v>23/04/2025</v>
      </c>
      <c r="I1965" t="str">
        <f t="shared" si="995"/>
        <v>14/04/2025</v>
      </c>
      <c r="J1965" t="str">
        <f t="shared" si="996"/>
        <v>23/04/2025</v>
      </c>
      <c r="M1965">
        <v>303</v>
      </c>
      <c r="N1965" t="str">
        <f t="shared" si="987"/>
        <v>RECEITAS COM ENTREGAS</v>
      </c>
      <c r="P1965">
        <v>65.48</v>
      </c>
      <c r="Q1965" t="str">
        <f>"FARMÁCIA INDIANA LJ 97 (10040)"</f>
        <v>FARMÁCIA INDIANA LJ 97 (10040)</v>
      </c>
      <c r="R1965" t="str">
        <f t="shared" si="988"/>
        <v>RECEITAS COM ENTREGAS (303)</v>
      </c>
      <c r="S1965">
        <v>1341</v>
      </c>
      <c r="T1965">
        <v>1081</v>
      </c>
      <c r="U1965" t="s">
        <v>19</v>
      </c>
    </row>
    <row r="1966" spans="1:21">
      <c r="A1966" t="str">
        <f t="shared" si="990"/>
        <v>23/04/2025</v>
      </c>
      <c r="B1966" t="str">
        <f t="shared" si="989"/>
        <v>ENTRADA</v>
      </c>
      <c r="C1966" t="str">
        <f t="shared" si="985"/>
        <v>NFSE</v>
      </c>
      <c r="D1966" t="str">
        <f t="shared" si="991"/>
        <v>2889</v>
      </c>
      <c r="E1966" t="str">
        <f t="shared" si="986"/>
        <v>COM</v>
      </c>
      <c r="F1966" t="str">
        <f t="shared" si="992"/>
        <v>FARMÁCIA INDIANA LJ 1 (10126)</v>
      </c>
      <c r="G1966" t="str">
        <f t="shared" si="993"/>
        <v>Serv.Prest. 07/04/2025 a 13/04/2025 - RPS: 660 - NFSe: 2889</v>
      </c>
      <c r="H1966" t="str">
        <f t="shared" si="994"/>
        <v>23/04/2025</v>
      </c>
      <c r="I1966" t="str">
        <f t="shared" si="995"/>
        <v>14/04/2025</v>
      </c>
      <c r="J1966" t="str">
        <f t="shared" si="996"/>
        <v>23/04/2025</v>
      </c>
      <c r="M1966">
        <v>303</v>
      </c>
      <c r="N1966" t="str">
        <f t="shared" si="987"/>
        <v>RECEITAS COM ENTREGAS</v>
      </c>
      <c r="P1966">
        <v>320.27</v>
      </c>
      <c r="Q1966" t="str">
        <f>"FARMÁCIA INDIANA LJ 100 (10042)"</f>
        <v>FARMÁCIA INDIANA LJ 100 (10042)</v>
      </c>
      <c r="R1966" t="str">
        <f t="shared" si="988"/>
        <v>RECEITAS COM ENTREGAS (303)</v>
      </c>
      <c r="S1966">
        <v>1341</v>
      </c>
      <c r="T1966">
        <v>1081</v>
      </c>
      <c r="U1966" t="s">
        <v>19</v>
      </c>
    </row>
    <row r="1967" spans="1:21">
      <c r="A1967" t="str">
        <f t="shared" si="990"/>
        <v>23/04/2025</v>
      </c>
      <c r="B1967" t="str">
        <f t="shared" si="989"/>
        <v>ENTRADA</v>
      </c>
      <c r="C1967" t="str">
        <f t="shared" si="985"/>
        <v>NFSE</v>
      </c>
      <c r="D1967" t="str">
        <f t="shared" si="991"/>
        <v>2889</v>
      </c>
      <c r="E1967" t="str">
        <f t="shared" si="986"/>
        <v>COM</v>
      </c>
      <c r="F1967" t="str">
        <f t="shared" si="992"/>
        <v>FARMÁCIA INDIANA LJ 1 (10126)</v>
      </c>
      <c r="G1967" t="str">
        <f t="shared" si="993"/>
        <v>Serv.Prest. 07/04/2025 a 13/04/2025 - RPS: 660 - NFSe: 2889</v>
      </c>
      <c r="H1967" t="str">
        <f t="shared" si="994"/>
        <v>23/04/2025</v>
      </c>
      <c r="I1967" t="str">
        <f t="shared" si="995"/>
        <v>14/04/2025</v>
      </c>
      <c r="J1967" t="str">
        <f t="shared" si="996"/>
        <v>23/04/2025</v>
      </c>
      <c r="M1967">
        <v>303</v>
      </c>
      <c r="N1967" t="str">
        <f t="shared" si="987"/>
        <v>RECEITAS COM ENTREGAS</v>
      </c>
      <c r="P1967">
        <v>1104.58</v>
      </c>
      <c r="Q1967" t="str">
        <f>"FARMÁCIA INDIANA LJ 101 (10043)"</f>
        <v>FARMÁCIA INDIANA LJ 101 (10043)</v>
      </c>
      <c r="R1967" t="str">
        <f t="shared" si="988"/>
        <v>RECEITAS COM ENTREGAS (303)</v>
      </c>
      <c r="S1967">
        <v>1341</v>
      </c>
      <c r="T1967">
        <v>1081</v>
      </c>
      <c r="U1967" t="s">
        <v>19</v>
      </c>
    </row>
    <row r="1968" spans="1:21">
      <c r="A1968" t="str">
        <f t="shared" si="990"/>
        <v>23/04/2025</v>
      </c>
      <c r="B1968" t="str">
        <f t="shared" si="989"/>
        <v>ENTRADA</v>
      </c>
      <c r="C1968" t="str">
        <f t="shared" si="985"/>
        <v>NFSE</v>
      </c>
      <c r="D1968" t="str">
        <f t="shared" si="991"/>
        <v>2889</v>
      </c>
      <c r="E1968" t="str">
        <f t="shared" si="986"/>
        <v>COM</v>
      </c>
      <c r="F1968" t="str">
        <f t="shared" si="992"/>
        <v>FARMÁCIA INDIANA LJ 1 (10126)</v>
      </c>
      <c r="G1968" t="str">
        <f t="shared" si="993"/>
        <v>Serv.Prest. 07/04/2025 a 13/04/2025 - RPS: 660 - NFSe: 2889</v>
      </c>
      <c r="H1968" t="str">
        <f t="shared" si="994"/>
        <v>23/04/2025</v>
      </c>
      <c r="I1968" t="str">
        <f t="shared" si="995"/>
        <v>14/04/2025</v>
      </c>
      <c r="J1968" t="str">
        <f t="shared" si="996"/>
        <v>23/04/2025</v>
      </c>
      <c r="M1968">
        <v>303</v>
      </c>
      <c r="N1968" t="str">
        <f t="shared" si="987"/>
        <v>RECEITAS COM ENTREGAS</v>
      </c>
      <c r="P1968">
        <v>71.17</v>
      </c>
      <c r="Q1968" t="str">
        <f>"FARMÁCIA INDIANA LJ 103 (10044)"</f>
        <v>FARMÁCIA INDIANA LJ 103 (10044)</v>
      </c>
      <c r="R1968" t="str">
        <f t="shared" si="988"/>
        <v>RECEITAS COM ENTREGAS (303)</v>
      </c>
      <c r="S1968">
        <v>1341</v>
      </c>
      <c r="T1968">
        <v>1081</v>
      </c>
      <c r="U1968" t="s">
        <v>19</v>
      </c>
    </row>
    <row r="1969" spans="1:21">
      <c r="A1969" t="str">
        <f t="shared" si="990"/>
        <v>23/04/2025</v>
      </c>
      <c r="B1969" t="str">
        <f t="shared" si="989"/>
        <v>ENTRADA</v>
      </c>
      <c r="C1969" t="str">
        <f t="shared" si="985"/>
        <v>NFSE</v>
      </c>
      <c r="D1969" t="str">
        <f t="shared" si="991"/>
        <v>2889</v>
      </c>
      <c r="E1969" t="str">
        <f t="shared" si="986"/>
        <v>COM</v>
      </c>
      <c r="F1969" t="str">
        <f t="shared" si="992"/>
        <v>FARMÁCIA INDIANA LJ 1 (10126)</v>
      </c>
      <c r="G1969" t="str">
        <f t="shared" si="993"/>
        <v>Serv.Prest. 07/04/2025 a 13/04/2025 - RPS: 660 - NFSe: 2889</v>
      </c>
      <c r="H1969" t="str">
        <f t="shared" si="994"/>
        <v>23/04/2025</v>
      </c>
      <c r="I1969" t="str">
        <f t="shared" si="995"/>
        <v>14/04/2025</v>
      </c>
      <c r="J1969" t="str">
        <f t="shared" si="996"/>
        <v>23/04/2025</v>
      </c>
      <c r="M1969">
        <v>303</v>
      </c>
      <c r="N1969" t="str">
        <f t="shared" si="987"/>
        <v>RECEITAS COM ENTREGAS</v>
      </c>
      <c r="P1969">
        <v>182.2</v>
      </c>
      <c r="Q1969" t="str">
        <f>"FARMÁCIA INDIANA LJ 109 (10047)"</f>
        <v>FARMÁCIA INDIANA LJ 109 (10047)</v>
      </c>
      <c r="R1969" t="str">
        <f t="shared" si="988"/>
        <v>RECEITAS COM ENTREGAS (303)</v>
      </c>
      <c r="S1969">
        <v>1341</v>
      </c>
      <c r="T1969">
        <v>1081</v>
      </c>
      <c r="U1969" t="s">
        <v>19</v>
      </c>
    </row>
    <row r="1970" spans="1:21">
      <c r="A1970" t="str">
        <f t="shared" si="990"/>
        <v>23/04/2025</v>
      </c>
      <c r="B1970" t="str">
        <f t="shared" si="989"/>
        <v>ENTRADA</v>
      </c>
      <c r="C1970" t="str">
        <f t="shared" si="985"/>
        <v>NFSE</v>
      </c>
      <c r="D1970" t="str">
        <f t="shared" si="991"/>
        <v>2889</v>
      </c>
      <c r="E1970" t="str">
        <f t="shared" si="986"/>
        <v>COM</v>
      </c>
      <c r="F1970" t="str">
        <f t="shared" si="992"/>
        <v>FARMÁCIA INDIANA LJ 1 (10126)</v>
      </c>
      <c r="G1970" t="str">
        <f t="shared" si="993"/>
        <v>Serv.Prest. 07/04/2025 a 13/04/2025 - RPS: 660 - NFSe: 2889</v>
      </c>
      <c r="H1970" t="str">
        <f t="shared" si="994"/>
        <v>23/04/2025</v>
      </c>
      <c r="I1970" t="str">
        <f t="shared" si="995"/>
        <v>14/04/2025</v>
      </c>
      <c r="J1970" t="str">
        <f t="shared" si="996"/>
        <v>23/04/2025</v>
      </c>
      <c r="M1970">
        <v>303</v>
      </c>
      <c r="N1970" t="str">
        <f t="shared" si="987"/>
        <v>RECEITAS COM ENTREGAS</v>
      </c>
      <c r="P1970">
        <v>481.12</v>
      </c>
      <c r="Q1970" t="str">
        <f>"FARMÁCIA INDIANA LJ 110 (10048)"</f>
        <v>FARMÁCIA INDIANA LJ 110 (10048)</v>
      </c>
      <c r="R1970" t="str">
        <f t="shared" si="988"/>
        <v>RECEITAS COM ENTREGAS (303)</v>
      </c>
      <c r="S1970">
        <v>1341</v>
      </c>
      <c r="T1970">
        <v>1081</v>
      </c>
      <c r="U1970" t="s">
        <v>19</v>
      </c>
    </row>
    <row r="1971" spans="1:21">
      <c r="A1971" t="str">
        <f t="shared" si="990"/>
        <v>23/04/2025</v>
      </c>
      <c r="B1971" t="str">
        <f t="shared" si="989"/>
        <v>ENTRADA</v>
      </c>
      <c r="C1971" t="str">
        <f t="shared" si="985"/>
        <v>NFSE</v>
      </c>
      <c r="D1971" t="str">
        <f t="shared" si="991"/>
        <v>2889</v>
      </c>
      <c r="E1971" t="str">
        <f t="shared" si="986"/>
        <v>COM</v>
      </c>
      <c r="F1971" t="str">
        <f t="shared" si="992"/>
        <v>FARMÁCIA INDIANA LJ 1 (10126)</v>
      </c>
      <c r="G1971" t="str">
        <f t="shared" si="993"/>
        <v>Serv.Prest. 07/04/2025 a 13/04/2025 - RPS: 660 - NFSe: 2889</v>
      </c>
      <c r="H1971" t="str">
        <f t="shared" si="994"/>
        <v>23/04/2025</v>
      </c>
      <c r="I1971" t="str">
        <f t="shared" si="995"/>
        <v>14/04/2025</v>
      </c>
      <c r="J1971" t="str">
        <f t="shared" si="996"/>
        <v>23/04/2025</v>
      </c>
      <c r="M1971">
        <v>303</v>
      </c>
      <c r="N1971" t="str">
        <f t="shared" si="987"/>
        <v>RECEITAS COM ENTREGAS</v>
      </c>
      <c r="P1971">
        <v>64.05</v>
      </c>
      <c r="Q1971" t="str">
        <f>"FARMÁCIA INDIANA LJ 111 (10049)"</f>
        <v>FARMÁCIA INDIANA LJ 111 (10049)</v>
      </c>
      <c r="R1971" t="str">
        <f t="shared" si="988"/>
        <v>RECEITAS COM ENTREGAS (303)</v>
      </c>
      <c r="S1971">
        <v>1341</v>
      </c>
      <c r="T1971">
        <v>1081</v>
      </c>
      <c r="U1971" t="s">
        <v>19</v>
      </c>
    </row>
    <row r="1972" spans="1:21">
      <c r="A1972" t="str">
        <f t="shared" si="990"/>
        <v>23/04/2025</v>
      </c>
      <c r="B1972" t="str">
        <f t="shared" si="989"/>
        <v>ENTRADA</v>
      </c>
      <c r="C1972" t="str">
        <f t="shared" si="985"/>
        <v>NFSE</v>
      </c>
      <c r="D1972" t="str">
        <f t="shared" si="991"/>
        <v>2889</v>
      </c>
      <c r="E1972" t="str">
        <f t="shared" si="986"/>
        <v>COM</v>
      </c>
      <c r="F1972" t="str">
        <f t="shared" si="992"/>
        <v>FARMÁCIA INDIANA LJ 1 (10126)</v>
      </c>
      <c r="G1972" t="str">
        <f t="shared" si="993"/>
        <v>Serv.Prest. 07/04/2025 a 13/04/2025 - RPS: 660 - NFSe: 2889</v>
      </c>
      <c r="H1972" t="str">
        <f t="shared" si="994"/>
        <v>23/04/2025</v>
      </c>
      <c r="I1972" t="str">
        <f t="shared" si="995"/>
        <v>14/04/2025</v>
      </c>
      <c r="J1972" t="str">
        <f t="shared" si="996"/>
        <v>23/04/2025</v>
      </c>
      <c r="M1972">
        <v>303</v>
      </c>
      <c r="N1972" t="str">
        <f t="shared" si="987"/>
        <v>RECEITAS COM ENTREGAS</v>
      </c>
      <c r="P1972">
        <v>126.69</v>
      </c>
      <c r="Q1972" t="str">
        <f>"FARMÁCIA INDIANA LJ 112 (10050)"</f>
        <v>FARMÁCIA INDIANA LJ 112 (10050)</v>
      </c>
      <c r="R1972" t="str">
        <f t="shared" si="988"/>
        <v>RECEITAS COM ENTREGAS (303)</v>
      </c>
      <c r="S1972">
        <v>1341</v>
      </c>
      <c r="T1972">
        <v>1081</v>
      </c>
      <c r="U1972" t="s">
        <v>19</v>
      </c>
    </row>
    <row r="1973" spans="1:21">
      <c r="A1973" t="str">
        <f t="shared" si="990"/>
        <v>23/04/2025</v>
      </c>
      <c r="B1973" t="str">
        <f t="shared" si="989"/>
        <v>ENTRADA</v>
      </c>
      <c r="C1973" t="str">
        <f t="shared" si="985"/>
        <v>NFSE</v>
      </c>
      <c r="D1973" t="str">
        <f t="shared" si="991"/>
        <v>2889</v>
      </c>
      <c r="E1973" t="str">
        <f t="shared" si="986"/>
        <v>COM</v>
      </c>
      <c r="F1973" t="str">
        <f t="shared" si="992"/>
        <v>FARMÁCIA INDIANA LJ 1 (10126)</v>
      </c>
      <c r="G1973" t="str">
        <f t="shared" si="993"/>
        <v>Serv.Prest. 07/04/2025 a 13/04/2025 - RPS: 660 - NFSe: 2889</v>
      </c>
      <c r="H1973" t="str">
        <f t="shared" si="994"/>
        <v>23/04/2025</v>
      </c>
      <c r="I1973" t="str">
        <f t="shared" si="995"/>
        <v>14/04/2025</v>
      </c>
      <c r="J1973" t="str">
        <f t="shared" si="996"/>
        <v>23/04/2025</v>
      </c>
      <c r="M1973">
        <v>303</v>
      </c>
      <c r="N1973" t="str">
        <f t="shared" si="987"/>
        <v>RECEITAS COM ENTREGAS</v>
      </c>
      <c r="P1973">
        <v>126.69</v>
      </c>
      <c r="Q1973" t="str">
        <f>"FARMÁCIA INDIANA LJ 116 (10051)"</f>
        <v>FARMÁCIA INDIANA LJ 116 (10051)</v>
      </c>
      <c r="R1973" t="str">
        <f t="shared" si="988"/>
        <v>RECEITAS COM ENTREGAS (303)</v>
      </c>
      <c r="S1973">
        <v>1341</v>
      </c>
      <c r="T1973">
        <v>1081</v>
      </c>
      <c r="U1973" t="s">
        <v>19</v>
      </c>
    </row>
    <row r="1974" spans="1:21">
      <c r="A1974" t="str">
        <f t="shared" si="990"/>
        <v>23/04/2025</v>
      </c>
      <c r="B1974" t="str">
        <f t="shared" si="989"/>
        <v>ENTRADA</v>
      </c>
      <c r="C1974" t="str">
        <f t="shared" si="985"/>
        <v>NFSE</v>
      </c>
      <c r="D1974" t="str">
        <f t="shared" si="991"/>
        <v>2889</v>
      </c>
      <c r="E1974" t="str">
        <f t="shared" si="986"/>
        <v>COM</v>
      </c>
      <c r="F1974" t="str">
        <f t="shared" si="992"/>
        <v>FARMÁCIA INDIANA LJ 1 (10126)</v>
      </c>
      <c r="G1974" t="str">
        <f t="shared" si="993"/>
        <v>Serv.Prest. 07/04/2025 a 13/04/2025 - RPS: 660 - NFSe: 2889</v>
      </c>
      <c r="H1974" t="str">
        <f t="shared" si="994"/>
        <v>23/04/2025</v>
      </c>
      <c r="I1974" t="str">
        <f t="shared" si="995"/>
        <v>14/04/2025</v>
      </c>
      <c r="J1974" t="str">
        <f t="shared" si="996"/>
        <v>23/04/2025</v>
      </c>
      <c r="M1974">
        <v>303</v>
      </c>
      <c r="N1974" t="str">
        <f t="shared" si="987"/>
        <v>RECEITAS COM ENTREGAS</v>
      </c>
      <c r="P1974">
        <v>145.19</v>
      </c>
      <c r="Q1974" t="str">
        <f>"FARMÁCIA INDIANA LJ 118 (10052)"</f>
        <v>FARMÁCIA INDIANA LJ 118 (10052)</v>
      </c>
      <c r="R1974" t="str">
        <f t="shared" si="988"/>
        <v>RECEITAS COM ENTREGAS (303)</v>
      </c>
      <c r="S1974">
        <v>1341</v>
      </c>
      <c r="T1974">
        <v>1081</v>
      </c>
      <c r="U1974" t="s">
        <v>19</v>
      </c>
    </row>
    <row r="1975" spans="1:21">
      <c r="A1975" t="str">
        <f t="shared" si="990"/>
        <v>23/04/2025</v>
      </c>
      <c r="B1975" t="str">
        <f t="shared" si="989"/>
        <v>ENTRADA</v>
      </c>
      <c r="C1975" t="str">
        <f t="shared" si="985"/>
        <v>NFSE</v>
      </c>
      <c r="D1975" t="str">
        <f t="shared" si="991"/>
        <v>2889</v>
      </c>
      <c r="E1975" t="str">
        <f t="shared" si="986"/>
        <v>COM</v>
      </c>
      <c r="F1975" t="str">
        <f t="shared" si="992"/>
        <v>FARMÁCIA INDIANA LJ 1 (10126)</v>
      </c>
      <c r="G1975" t="str">
        <f t="shared" si="993"/>
        <v>Serv.Prest. 07/04/2025 a 13/04/2025 - RPS: 660 - NFSe: 2889</v>
      </c>
      <c r="H1975" t="str">
        <f t="shared" si="994"/>
        <v>23/04/2025</v>
      </c>
      <c r="I1975" t="str">
        <f t="shared" si="995"/>
        <v>14/04/2025</v>
      </c>
      <c r="J1975" t="str">
        <f t="shared" si="996"/>
        <v>23/04/2025</v>
      </c>
      <c r="M1975">
        <v>303</v>
      </c>
      <c r="N1975" t="str">
        <f t="shared" si="987"/>
        <v>RECEITAS COM ENTREGAS</v>
      </c>
      <c r="P1975">
        <v>126.69</v>
      </c>
      <c r="Q1975" t="str">
        <f>"FARMÁCIA INDIANA LJ 121 (10054)"</f>
        <v>FARMÁCIA INDIANA LJ 121 (10054)</v>
      </c>
      <c r="R1975" t="str">
        <f t="shared" si="988"/>
        <v>RECEITAS COM ENTREGAS (303)</v>
      </c>
      <c r="S1975">
        <v>1341</v>
      </c>
      <c r="T1975">
        <v>1081</v>
      </c>
      <c r="U1975" t="s">
        <v>19</v>
      </c>
    </row>
    <row r="1976" spans="1:21">
      <c r="A1976" t="str">
        <f t="shared" si="990"/>
        <v>23/04/2025</v>
      </c>
      <c r="B1976" t="str">
        <f t="shared" si="989"/>
        <v>ENTRADA</v>
      </c>
      <c r="C1976" t="str">
        <f t="shared" si="985"/>
        <v>NFSE</v>
      </c>
      <c r="D1976" t="str">
        <f t="shared" si="991"/>
        <v>2889</v>
      </c>
      <c r="E1976" t="str">
        <f t="shared" si="986"/>
        <v>COM</v>
      </c>
      <c r="F1976" t="str">
        <f t="shared" si="992"/>
        <v>FARMÁCIA INDIANA LJ 1 (10126)</v>
      </c>
      <c r="G1976" t="str">
        <f t="shared" si="993"/>
        <v>Serv.Prest. 07/04/2025 a 13/04/2025 - RPS: 660 - NFSe: 2889</v>
      </c>
      <c r="H1976" t="str">
        <f t="shared" si="994"/>
        <v>23/04/2025</v>
      </c>
      <c r="I1976" t="str">
        <f t="shared" si="995"/>
        <v>14/04/2025</v>
      </c>
      <c r="J1976" t="str">
        <f t="shared" si="996"/>
        <v>23/04/2025</v>
      </c>
      <c r="M1976">
        <v>303</v>
      </c>
      <c r="N1976" t="str">
        <f t="shared" si="987"/>
        <v>RECEITAS COM ENTREGAS</v>
      </c>
      <c r="P1976">
        <v>126.69</v>
      </c>
      <c r="Q1976" t="str">
        <f>"FARMÁCIA INDIANA LJ 128 (10057)"</f>
        <v>FARMÁCIA INDIANA LJ 128 (10057)</v>
      </c>
      <c r="R1976" t="str">
        <f t="shared" si="988"/>
        <v>RECEITAS COM ENTREGAS (303)</v>
      </c>
      <c r="S1976">
        <v>1341</v>
      </c>
      <c r="T1976">
        <v>1081</v>
      </c>
      <c r="U1976" t="s">
        <v>19</v>
      </c>
    </row>
    <row r="1977" spans="1:21">
      <c r="A1977" t="str">
        <f t="shared" si="990"/>
        <v>23/04/2025</v>
      </c>
      <c r="B1977" t="str">
        <f t="shared" si="989"/>
        <v>ENTRADA</v>
      </c>
      <c r="C1977" t="str">
        <f t="shared" si="985"/>
        <v>NFSE</v>
      </c>
      <c r="D1977" t="str">
        <f t="shared" si="991"/>
        <v>2889</v>
      </c>
      <c r="E1977" t="str">
        <f t="shared" si="986"/>
        <v>COM</v>
      </c>
      <c r="F1977" t="str">
        <f t="shared" si="992"/>
        <v>FARMÁCIA INDIANA LJ 1 (10126)</v>
      </c>
      <c r="G1977" t="str">
        <f t="shared" si="993"/>
        <v>Serv.Prest. 07/04/2025 a 13/04/2025 - RPS: 660 - NFSe: 2889</v>
      </c>
      <c r="H1977" t="str">
        <f t="shared" si="994"/>
        <v>23/04/2025</v>
      </c>
      <c r="I1977" t="str">
        <f t="shared" si="995"/>
        <v>14/04/2025</v>
      </c>
      <c r="J1977" t="str">
        <f t="shared" si="996"/>
        <v>23/04/2025</v>
      </c>
      <c r="M1977">
        <v>303</v>
      </c>
      <c r="N1977" t="str">
        <f t="shared" si="987"/>
        <v>RECEITAS COM ENTREGAS</v>
      </c>
      <c r="P1977">
        <v>28.47</v>
      </c>
      <c r="Q1977" t="str">
        <f>"FARMÁCIA INDIANA LJ 140 (10064)"</f>
        <v>FARMÁCIA INDIANA LJ 140 (10064)</v>
      </c>
      <c r="R1977" t="str">
        <f t="shared" si="988"/>
        <v>RECEITAS COM ENTREGAS (303)</v>
      </c>
      <c r="S1977">
        <v>1341</v>
      </c>
      <c r="T1977">
        <v>1081</v>
      </c>
      <c r="U1977" t="s">
        <v>19</v>
      </c>
    </row>
    <row r="1978" spans="1:21">
      <c r="A1978" t="str">
        <f t="shared" si="990"/>
        <v>23/04/2025</v>
      </c>
      <c r="B1978" t="str">
        <f t="shared" si="989"/>
        <v>ENTRADA</v>
      </c>
      <c r="C1978" t="str">
        <f t="shared" si="985"/>
        <v>NFSE</v>
      </c>
      <c r="D1978" t="str">
        <f t="shared" si="991"/>
        <v>2889</v>
      </c>
      <c r="E1978" t="str">
        <f t="shared" si="986"/>
        <v>COM</v>
      </c>
      <c r="F1978" t="str">
        <f t="shared" si="992"/>
        <v>FARMÁCIA INDIANA LJ 1 (10126)</v>
      </c>
      <c r="G1978" t="str">
        <f t="shared" si="993"/>
        <v>Serv.Prest. 07/04/2025 a 13/04/2025 - RPS: 660 - NFSe: 2889</v>
      </c>
      <c r="H1978" t="str">
        <f t="shared" si="994"/>
        <v>23/04/2025</v>
      </c>
      <c r="I1978" t="str">
        <f t="shared" si="995"/>
        <v>14/04/2025</v>
      </c>
      <c r="J1978" t="str">
        <f t="shared" si="996"/>
        <v>23/04/2025</v>
      </c>
      <c r="M1978">
        <v>303</v>
      </c>
      <c r="N1978" t="str">
        <f t="shared" si="987"/>
        <v>RECEITAS COM ENTREGAS</v>
      </c>
      <c r="P1978">
        <v>19.93</v>
      </c>
      <c r="Q1978" t="str">
        <f>"FARMÁCIA INDIANA LJ 141 (10065)"</f>
        <v>FARMÁCIA INDIANA LJ 141 (10065)</v>
      </c>
      <c r="R1978" t="str">
        <f t="shared" si="988"/>
        <v>RECEITAS COM ENTREGAS (303)</v>
      </c>
      <c r="S1978">
        <v>1341</v>
      </c>
      <c r="T1978">
        <v>1081</v>
      </c>
      <c r="U1978" t="s">
        <v>19</v>
      </c>
    </row>
    <row r="1979" spans="1:21">
      <c r="A1979" t="str">
        <f t="shared" si="990"/>
        <v>23/04/2025</v>
      </c>
      <c r="B1979" t="str">
        <f t="shared" si="989"/>
        <v>ENTRADA</v>
      </c>
      <c r="C1979" t="str">
        <f t="shared" si="985"/>
        <v>NFSE</v>
      </c>
      <c r="D1979" t="str">
        <f t="shared" si="991"/>
        <v>2889</v>
      </c>
      <c r="E1979" t="str">
        <f t="shared" si="986"/>
        <v>COM</v>
      </c>
      <c r="F1979" t="str">
        <f t="shared" si="992"/>
        <v>FARMÁCIA INDIANA LJ 1 (10126)</v>
      </c>
      <c r="G1979" t="str">
        <f t="shared" si="993"/>
        <v>Serv.Prest. 07/04/2025 a 13/04/2025 - RPS: 660 - NFSe: 2889</v>
      </c>
      <c r="H1979" t="str">
        <f t="shared" si="994"/>
        <v>23/04/2025</v>
      </c>
      <c r="I1979" t="str">
        <f t="shared" si="995"/>
        <v>14/04/2025</v>
      </c>
      <c r="J1979" t="str">
        <f t="shared" si="996"/>
        <v>23/04/2025</v>
      </c>
      <c r="M1979">
        <v>303</v>
      </c>
      <c r="N1979" t="str">
        <f t="shared" si="987"/>
        <v>RECEITAS COM ENTREGAS</v>
      </c>
      <c r="P1979">
        <v>691.79</v>
      </c>
      <c r="Q1979" t="str">
        <f>"FARMÁCIA INDIANA LJ 142 (10066)"</f>
        <v>FARMÁCIA INDIANA LJ 142 (10066)</v>
      </c>
      <c r="R1979" t="str">
        <f t="shared" si="988"/>
        <v>RECEITAS COM ENTREGAS (303)</v>
      </c>
      <c r="S1979">
        <v>1341</v>
      </c>
      <c r="T1979">
        <v>1081</v>
      </c>
      <c r="U1979" t="s">
        <v>19</v>
      </c>
    </row>
    <row r="1980" spans="1:21">
      <c r="A1980" t="str">
        <f t="shared" si="990"/>
        <v>23/04/2025</v>
      </c>
      <c r="B1980" t="str">
        <f t="shared" si="989"/>
        <v>ENTRADA</v>
      </c>
      <c r="C1980" t="str">
        <f t="shared" si="985"/>
        <v>NFSE</v>
      </c>
      <c r="D1980" t="str">
        <f t="shared" si="991"/>
        <v>2889</v>
      </c>
      <c r="E1980" t="str">
        <f t="shared" si="986"/>
        <v>COM</v>
      </c>
      <c r="F1980" t="str">
        <f t="shared" si="992"/>
        <v>FARMÁCIA INDIANA LJ 1 (10126)</v>
      </c>
      <c r="G1980" t="str">
        <f t="shared" si="993"/>
        <v>Serv.Prest. 07/04/2025 a 13/04/2025 - RPS: 660 - NFSe: 2889</v>
      </c>
      <c r="H1980" t="str">
        <f t="shared" si="994"/>
        <v>23/04/2025</v>
      </c>
      <c r="I1980" t="str">
        <f t="shared" si="995"/>
        <v>14/04/2025</v>
      </c>
      <c r="J1980" t="str">
        <f t="shared" si="996"/>
        <v>23/04/2025</v>
      </c>
      <c r="M1980">
        <v>303</v>
      </c>
      <c r="N1980" t="str">
        <f t="shared" si="987"/>
        <v>RECEITAS COM ENTREGAS</v>
      </c>
      <c r="P1980">
        <v>65.48</v>
      </c>
      <c r="Q1980" t="str">
        <f>"FARMÁCIA INDIANA LJ 143 (10067)"</f>
        <v>FARMÁCIA INDIANA LJ 143 (10067)</v>
      </c>
      <c r="R1980" t="str">
        <f t="shared" si="988"/>
        <v>RECEITAS COM ENTREGAS (303)</v>
      </c>
      <c r="S1980">
        <v>1341</v>
      </c>
      <c r="T1980">
        <v>1081</v>
      </c>
      <c r="U1980" t="s">
        <v>19</v>
      </c>
    </row>
    <row r="1981" spans="1:21">
      <c r="A1981" t="str">
        <f t="shared" si="990"/>
        <v>23/04/2025</v>
      </c>
      <c r="B1981" t="str">
        <f t="shared" si="989"/>
        <v>ENTRADA</v>
      </c>
      <c r="C1981" t="str">
        <f t="shared" si="985"/>
        <v>NFSE</v>
      </c>
      <c r="D1981" t="str">
        <f t="shared" si="991"/>
        <v>2889</v>
      </c>
      <c r="E1981" t="str">
        <f t="shared" si="986"/>
        <v>COM</v>
      </c>
      <c r="F1981" t="str">
        <f t="shared" si="992"/>
        <v>FARMÁCIA INDIANA LJ 1 (10126)</v>
      </c>
      <c r="G1981" t="str">
        <f t="shared" si="993"/>
        <v>Serv.Prest. 07/04/2025 a 13/04/2025 - RPS: 660 - NFSe: 2889</v>
      </c>
      <c r="H1981" t="str">
        <f t="shared" si="994"/>
        <v>23/04/2025</v>
      </c>
      <c r="I1981" t="str">
        <f t="shared" si="995"/>
        <v>14/04/2025</v>
      </c>
      <c r="J1981" t="str">
        <f t="shared" si="996"/>
        <v>23/04/2025</v>
      </c>
      <c r="M1981">
        <v>303</v>
      </c>
      <c r="N1981" t="str">
        <f t="shared" si="987"/>
        <v>RECEITAS COM ENTREGAS</v>
      </c>
      <c r="P1981">
        <v>170.81</v>
      </c>
      <c r="Q1981" t="str">
        <f>"FARMÁCIA INDIANA LJ 152 (10069)"</f>
        <v>FARMÁCIA INDIANA LJ 152 (10069)</v>
      </c>
      <c r="R1981" t="str">
        <f t="shared" si="988"/>
        <v>RECEITAS COM ENTREGAS (303)</v>
      </c>
      <c r="S1981">
        <v>1341</v>
      </c>
      <c r="T1981">
        <v>1081</v>
      </c>
      <c r="U1981" t="s">
        <v>19</v>
      </c>
    </row>
    <row r="1982" spans="1:21">
      <c r="A1982" t="str">
        <f t="shared" si="990"/>
        <v>23/04/2025</v>
      </c>
      <c r="B1982" t="str">
        <f t="shared" si="989"/>
        <v>ENTRADA</v>
      </c>
      <c r="C1982" t="str">
        <f t="shared" si="985"/>
        <v>NFSE</v>
      </c>
      <c r="D1982" t="str">
        <f t="shared" si="991"/>
        <v>2889</v>
      </c>
      <c r="E1982" t="str">
        <f t="shared" si="986"/>
        <v>COM</v>
      </c>
      <c r="F1982" t="str">
        <f t="shared" si="992"/>
        <v>FARMÁCIA INDIANA LJ 1 (10126)</v>
      </c>
      <c r="G1982" t="str">
        <f t="shared" si="993"/>
        <v>Serv.Prest. 07/04/2025 a 13/04/2025 - RPS: 660 - NFSe: 2889</v>
      </c>
      <c r="H1982" t="str">
        <f t="shared" si="994"/>
        <v>23/04/2025</v>
      </c>
      <c r="I1982" t="str">
        <f t="shared" si="995"/>
        <v>14/04/2025</v>
      </c>
      <c r="J1982" t="str">
        <f t="shared" si="996"/>
        <v>23/04/2025</v>
      </c>
      <c r="M1982">
        <v>303</v>
      </c>
      <c r="N1982" t="str">
        <f t="shared" si="987"/>
        <v>RECEITAS COM ENTREGAS</v>
      </c>
      <c r="P1982">
        <v>39.86</v>
      </c>
      <c r="Q1982" t="str">
        <f>"FARMÁCIA INDIANA LJ 154 (10070)"</f>
        <v>FARMÁCIA INDIANA LJ 154 (10070)</v>
      </c>
      <c r="R1982" t="str">
        <f t="shared" si="988"/>
        <v>RECEITAS COM ENTREGAS (303)</v>
      </c>
      <c r="S1982">
        <v>1341</v>
      </c>
      <c r="T1982">
        <v>1081</v>
      </c>
      <c r="U1982" t="s">
        <v>19</v>
      </c>
    </row>
    <row r="1983" spans="1:21">
      <c r="A1983" t="str">
        <f t="shared" si="990"/>
        <v>23/04/2025</v>
      </c>
      <c r="B1983" t="str">
        <f t="shared" si="989"/>
        <v>ENTRADA</v>
      </c>
      <c r="C1983" t="str">
        <f t="shared" ref="C1983:C2014" si="997">"NFSE"</f>
        <v>NFSE</v>
      </c>
      <c r="D1983" t="str">
        <f t="shared" si="991"/>
        <v>2889</v>
      </c>
      <c r="E1983" t="str">
        <f t="shared" ref="E1983:E2014" si="998">"COM"</f>
        <v>COM</v>
      </c>
      <c r="F1983" t="str">
        <f t="shared" si="992"/>
        <v>FARMÁCIA INDIANA LJ 1 (10126)</v>
      </c>
      <c r="G1983" t="str">
        <f t="shared" si="993"/>
        <v>Serv.Prest. 07/04/2025 a 13/04/2025 - RPS: 660 - NFSe: 2889</v>
      </c>
      <c r="H1983" t="str">
        <f t="shared" si="994"/>
        <v>23/04/2025</v>
      </c>
      <c r="I1983" t="str">
        <f t="shared" si="995"/>
        <v>14/04/2025</v>
      </c>
      <c r="J1983" t="str">
        <f t="shared" si="996"/>
        <v>23/04/2025</v>
      </c>
      <c r="M1983">
        <v>303</v>
      </c>
      <c r="N1983" t="str">
        <f t="shared" ref="N1983:N2014" si="999">"RECEITAS COM ENTREGAS"</f>
        <v>RECEITAS COM ENTREGAS</v>
      </c>
      <c r="P1983">
        <v>343.05</v>
      </c>
      <c r="Q1983" t="str">
        <f>"FARMÁCIA INDIANA LJ 171 (10074)"</f>
        <v>FARMÁCIA INDIANA LJ 171 (10074)</v>
      </c>
      <c r="R1983" t="str">
        <f t="shared" ref="R1983:R2014" si="1000">"RECEITAS COM ENTREGAS (303)"</f>
        <v>RECEITAS COM ENTREGAS (303)</v>
      </c>
      <c r="S1983">
        <v>1341</v>
      </c>
      <c r="T1983">
        <v>1081</v>
      </c>
      <c r="U1983" t="s">
        <v>19</v>
      </c>
    </row>
    <row r="1984" spans="1:21">
      <c r="A1984" t="str">
        <f t="shared" si="990"/>
        <v>23/04/2025</v>
      </c>
      <c r="B1984" t="str">
        <f t="shared" si="989"/>
        <v>ENTRADA</v>
      </c>
      <c r="C1984" t="str">
        <f t="shared" si="997"/>
        <v>NFSE</v>
      </c>
      <c r="D1984" t="str">
        <f t="shared" si="991"/>
        <v>2889</v>
      </c>
      <c r="E1984" t="str">
        <f t="shared" si="998"/>
        <v>COM</v>
      </c>
      <c r="F1984" t="str">
        <f t="shared" si="992"/>
        <v>FARMÁCIA INDIANA LJ 1 (10126)</v>
      </c>
      <c r="G1984" t="str">
        <f t="shared" si="993"/>
        <v>Serv.Prest. 07/04/2025 a 13/04/2025 - RPS: 660 - NFSe: 2889</v>
      </c>
      <c r="H1984" t="str">
        <f t="shared" si="994"/>
        <v>23/04/2025</v>
      </c>
      <c r="I1984" t="str">
        <f t="shared" si="995"/>
        <v>14/04/2025</v>
      </c>
      <c r="J1984" t="str">
        <f t="shared" si="996"/>
        <v>23/04/2025</v>
      </c>
      <c r="M1984">
        <v>303</v>
      </c>
      <c r="N1984" t="str">
        <f t="shared" si="999"/>
        <v>RECEITAS COM ENTREGAS</v>
      </c>
      <c r="P1984">
        <v>130.96</v>
      </c>
      <c r="Q1984" t="str">
        <f>"FARMÁCIA INDIANA LJ 175 (10076)"</f>
        <v>FARMÁCIA INDIANA LJ 175 (10076)</v>
      </c>
      <c r="R1984" t="str">
        <f t="shared" si="1000"/>
        <v>RECEITAS COM ENTREGAS (303)</v>
      </c>
      <c r="S1984">
        <v>1341</v>
      </c>
      <c r="T1984">
        <v>1081</v>
      </c>
      <c r="U1984" t="s">
        <v>19</v>
      </c>
    </row>
    <row r="1985" spans="1:21">
      <c r="A1985" t="str">
        <f t="shared" ref="A1985:A2016" si="1001">("23/04/2025")</f>
        <v>23/04/2025</v>
      </c>
      <c r="B1985" t="str">
        <f t="shared" si="989"/>
        <v>ENTRADA</v>
      </c>
      <c r="C1985" t="str">
        <f t="shared" si="997"/>
        <v>NFSE</v>
      </c>
      <c r="D1985" t="str">
        <f t="shared" si="991"/>
        <v>2889</v>
      </c>
      <c r="E1985" t="str">
        <f t="shared" si="998"/>
        <v>COM</v>
      </c>
      <c r="F1985" t="str">
        <f t="shared" si="992"/>
        <v>FARMÁCIA INDIANA LJ 1 (10126)</v>
      </c>
      <c r="G1985" t="str">
        <f t="shared" si="993"/>
        <v>Serv.Prest. 07/04/2025 a 13/04/2025 - RPS: 660 - NFSe: 2889</v>
      </c>
      <c r="H1985" t="str">
        <f t="shared" ref="H1985:H2016" si="1002">("23/04/2025")</f>
        <v>23/04/2025</v>
      </c>
      <c r="I1985" t="str">
        <f t="shared" ref="I1985:I2010" si="1003">("14/04/2025")</f>
        <v>14/04/2025</v>
      </c>
      <c r="J1985" t="str">
        <f t="shared" ref="J1985:J2016" si="1004">("23/04/2025")</f>
        <v>23/04/2025</v>
      </c>
      <c r="M1985">
        <v>303</v>
      </c>
      <c r="N1985" t="str">
        <f t="shared" si="999"/>
        <v>RECEITAS COM ENTREGAS</v>
      </c>
      <c r="P1985">
        <v>115.3</v>
      </c>
      <c r="Q1985" t="str">
        <f>"FARMÁCIA INDIANA LJ 178 (10077)"</f>
        <v>FARMÁCIA INDIANA LJ 178 (10077)</v>
      </c>
      <c r="R1985" t="str">
        <f t="shared" si="1000"/>
        <v>RECEITAS COM ENTREGAS (303)</v>
      </c>
      <c r="S1985">
        <v>1341</v>
      </c>
      <c r="T1985">
        <v>1081</v>
      </c>
      <c r="U1985" t="s">
        <v>19</v>
      </c>
    </row>
    <row r="1986" spans="1:21">
      <c r="A1986" t="str">
        <f t="shared" si="1001"/>
        <v>23/04/2025</v>
      </c>
      <c r="B1986" t="str">
        <f t="shared" si="989"/>
        <v>ENTRADA</v>
      </c>
      <c r="C1986" t="str">
        <f t="shared" si="997"/>
        <v>NFSE</v>
      </c>
      <c r="D1986" t="str">
        <f t="shared" si="991"/>
        <v>2889</v>
      </c>
      <c r="E1986" t="str">
        <f t="shared" si="998"/>
        <v>COM</v>
      </c>
      <c r="F1986" t="str">
        <f t="shared" si="992"/>
        <v>FARMÁCIA INDIANA LJ 1 (10126)</v>
      </c>
      <c r="G1986" t="str">
        <f t="shared" si="993"/>
        <v>Serv.Prest. 07/04/2025 a 13/04/2025 - RPS: 660 - NFSe: 2889</v>
      </c>
      <c r="H1986" t="str">
        <f t="shared" si="1002"/>
        <v>23/04/2025</v>
      </c>
      <c r="I1986" t="str">
        <f t="shared" si="1003"/>
        <v>14/04/2025</v>
      </c>
      <c r="J1986" t="str">
        <f t="shared" si="1004"/>
        <v>23/04/2025</v>
      </c>
      <c r="M1986">
        <v>303</v>
      </c>
      <c r="N1986" t="str">
        <f t="shared" si="999"/>
        <v>RECEITAS COM ENTREGAS</v>
      </c>
      <c r="P1986">
        <v>79.709999999999994</v>
      </c>
      <c r="Q1986" t="str">
        <f>"FARMÁCIA INDIANA LJ 182 (10079)"</f>
        <v>FARMÁCIA INDIANA LJ 182 (10079)</v>
      </c>
      <c r="R1986" t="str">
        <f t="shared" si="1000"/>
        <v>RECEITAS COM ENTREGAS (303)</v>
      </c>
      <c r="S1986">
        <v>1341</v>
      </c>
      <c r="T1986">
        <v>1081</v>
      </c>
      <c r="U1986" t="s">
        <v>19</v>
      </c>
    </row>
    <row r="1987" spans="1:21">
      <c r="A1987" t="str">
        <f t="shared" si="1001"/>
        <v>23/04/2025</v>
      </c>
      <c r="B1987" t="str">
        <f t="shared" si="989"/>
        <v>ENTRADA</v>
      </c>
      <c r="C1987" t="str">
        <f t="shared" si="997"/>
        <v>NFSE</v>
      </c>
      <c r="D1987" t="str">
        <f t="shared" si="991"/>
        <v>2889</v>
      </c>
      <c r="E1987" t="str">
        <f t="shared" si="998"/>
        <v>COM</v>
      </c>
      <c r="F1987" t="str">
        <f t="shared" si="992"/>
        <v>FARMÁCIA INDIANA LJ 1 (10126)</v>
      </c>
      <c r="G1987" t="str">
        <f t="shared" si="993"/>
        <v>Serv.Prest. 07/04/2025 a 13/04/2025 - RPS: 660 - NFSe: 2889</v>
      </c>
      <c r="H1987" t="str">
        <f t="shared" si="1002"/>
        <v>23/04/2025</v>
      </c>
      <c r="I1987" t="str">
        <f t="shared" si="1003"/>
        <v>14/04/2025</v>
      </c>
      <c r="J1987" t="str">
        <f t="shared" si="1004"/>
        <v>23/04/2025</v>
      </c>
      <c r="M1987">
        <v>303</v>
      </c>
      <c r="N1987" t="str">
        <f t="shared" si="999"/>
        <v>RECEITAS COM ENTREGAS</v>
      </c>
      <c r="P1987">
        <v>39.86</v>
      </c>
      <c r="Q1987" t="str">
        <f>"FARMÁCIA INDIANA LJ 184 (10080)"</f>
        <v>FARMÁCIA INDIANA LJ 184 (10080)</v>
      </c>
      <c r="R1987" t="str">
        <f t="shared" si="1000"/>
        <v>RECEITAS COM ENTREGAS (303)</v>
      </c>
      <c r="S1987">
        <v>1341</v>
      </c>
      <c r="T1987">
        <v>1081</v>
      </c>
      <c r="U1987" t="s">
        <v>19</v>
      </c>
    </row>
    <row r="1988" spans="1:21">
      <c r="A1988" t="str">
        <f t="shared" si="1001"/>
        <v>23/04/2025</v>
      </c>
      <c r="B1988" t="str">
        <f t="shared" si="989"/>
        <v>ENTRADA</v>
      </c>
      <c r="C1988" t="str">
        <f t="shared" si="997"/>
        <v>NFSE</v>
      </c>
      <c r="D1988" t="str">
        <f t="shared" si="991"/>
        <v>2889</v>
      </c>
      <c r="E1988" t="str">
        <f t="shared" si="998"/>
        <v>COM</v>
      </c>
      <c r="F1988" t="str">
        <f t="shared" si="992"/>
        <v>FARMÁCIA INDIANA LJ 1 (10126)</v>
      </c>
      <c r="G1988" t="str">
        <f t="shared" si="993"/>
        <v>Serv.Prest. 07/04/2025 a 13/04/2025 - RPS: 660 - NFSe: 2889</v>
      </c>
      <c r="H1988" t="str">
        <f t="shared" si="1002"/>
        <v>23/04/2025</v>
      </c>
      <c r="I1988" t="str">
        <f t="shared" si="1003"/>
        <v>14/04/2025</v>
      </c>
      <c r="J1988" t="str">
        <f t="shared" si="1004"/>
        <v>23/04/2025</v>
      </c>
      <c r="M1988">
        <v>303</v>
      </c>
      <c r="N1988" t="str">
        <f t="shared" si="999"/>
        <v>RECEITAS COM ENTREGAS</v>
      </c>
      <c r="P1988">
        <v>79.709999999999994</v>
      </c>
      <c r="Q1988" t="str">
        <f>"FARMÁCIA INDIANA LJ 186 (10081)"</f>
        <v>FARMÁCIA INDIANA LJ 186 (10081)</v>
      </c>
      <c r="R1988" t="str">
        <f t="shared" si="1000"/>
        <v>RECEITAS COM ENTREGAS (303)</v>
      </c>
      <c r="S1988">
        <v>1341</v>
      </c>
      <c r="T1988">
        <v>1081</v>
      </c>
      <c r="U1988" t="s">
        <v>19</v>
      </c>
    </row>
    <row r="1989" spans="1:21">
      <c r="A1989" t="str">
        <f t="shared" si="1001"/>
        <v>23/04/2025</v>
      </c>
      <c r="B1989" t="str">
        <f t="shared" si="989"/>
        <v>ENTRADA</v>
      </c>
      <c r="C1989" t="str">
        <f t="shared" si="997"/>
        <v>NFSE</v>
      </c>
      <c r="D1989" t="str">
        <f t="shared" si="991"/>
        <v>2889</v>
      </c>
      <c r="E1989" t="str">
        <f t="shared" si="998"/>
        <v>COM</v>
      </c>
      <c r="F1989" t="str">
        <f t="shared" si="992"/>
        <v>FARMÁCIA INDIANA LJ 1 (10126)</v>
      </c>
      <c r="G1989" t="str">
        <f t="shared" si="993"/>
        <v>Serv.Prest. 07/04/2025 a 13/04/2025 - RPS: 660 - NFSe: 2889</v>
      </c>
      <c r="H1989" t="str">
        <f t="shared" si="1002"/>
        <v>23/04/2025</v>
      </c>
      <c r="I1989" t="str">
        <f t="shared" si="1003"/>
        <v>14/04/2025</v>
      </c>
      <c r="J1989" t="str">
        <f t="shared" si="1004"/>
        <v>23/04/2025</v>
      </c>
      <c r="M1989">
        <v>303</v>
      </c>
      <c r="N1989" t="str">
        <f t="shared" si="999"/>
        <v>RECEITAS COM ENTREGAS</v>
      </c>
      <c r="P1989">
        <v>46.97</v>
      </c>
      <c r="Q1989" t="str">
        <f>"FARMÁCIA INDIANA LJ 192 (10082)"</f>
        <v>FARMÁCIA INDIANA LJ 192 (10082)</v>
      </c>
      <c r="R1989" t="str">
        <f t="shared" si="1000"/>
        <v>RECEITAS COM ENTREGAS (303)</v>
      </c>
      <c r="S1989">
        <v>1341</v>
      </c>
      <c r="T1989">
        <v>1081</v>
      </c>
      <c r="U1989" t="s">
        <v>19</v>
      </c>
    </row>
    <row r="1990" spans="1:21">
      <c r="A1990" t="str">
        <f t="shared" si="1001"/>
        <v>23/04/2025</v>
      </c>
      <c r="B1990" t="str">
        <f t="shared" si="989"/>
        <v>ENTRADA</v>
      </c>
      <c r="C1990" t="str">
        <f t="shared" si="997"/>
        <v>NFSE</v>
      </c>
      <c r="D1990" t="str">
        <f t="shared" si="991"/>
        <v>2889</v>
      </c>
      <c r="E1990" t="str">
        <f t="shared" si="998"/>
        <v>COM</v>
      </c>
      <c r="F1990" t="str">
        <f t="shared" si="992"/>
        <v>FARMÁCIA INDIANA LJ 1 (10126)</v>
      </c>
      <c r="G1990" t="str">
        <f t="shared" si="993"/>
        <v>Serv.Prest. 07/04/2025 a 13/04/2025 - RPS: 660 - NFSe: 2889</v>
      </c>
      <c r="H1990" t="str">
        <f t="shared" si="1002"/>
        <v>23/04/2025</v>
      </c>
      <c r="I1990" t="str">
        <f t="shared" si="1003"/>
        <v>14/04/2025</v>
      </c>
      <c r="J1990" t="str">
        <f t="shared" si="1004"/>
        <v>23/04/2025</v>
      </c>
      <c r="M1990">
        <v>303</v>
      </c>
      <c r="N1990" t="str">
        <f t="shared" si="999"/>
        <v>RECEITAS COM ENTREGAS</v>
      </c>
      <c r="P1990">
        <v>39.86</v>
      </c>
      <c r="Q1990" t="str">
        <f>"FARMÁCIA INDIANA LJ 195 (10083)"</f>
        <v>FARMÁCIA INDIANA LJ 195 (10083)</v>
      </c>
      <c r="R1990" t="str">
        <f t="shared" si="1000"/>
        <v>RECEITAS COM ENTREGAS (303)</v>
      </c>
      <c r="S1990">
        <v>1341</v>
      </c>
      <c r="T1990">
        <v>1081</v>
      </c>
      <c r="U1990" t="s">
        <v>19</v>
      </c>
    </row>
    <row r="1991" spans="1:21">
      <c r="A1991" t="str">
        <f t="shared" si="1001"/>
        <v>23/04/2025</v>
      </c>
      <c r="B1991" t="str">
        <f t="shared" si="989"/>
        <v>ENTRADA</v>
      </c>
      <c r="C1991" t="str">
        <f t="shared" si="997"/>
        <v>NFSE</v>
      </c>
      <c r="D1991" t="str">
        <f t="shared" si="991"/>
        <v>2889</v>
      </c>
      <c r="E1991" t="str">
        <f t="shared" si="998"/>
        <v>COM</v>
      </c>
      <c r="F1991" t="str">
        <f t="shared" si="992"/>
        <v>FARMÁCIA INDIANA LJ 1 (10126)</v>
      </c>
      <c r="G1991" t="str">
        <f t="shared" si="993"/>
        <v>Serv.Prest. 07/04/2025 a 13/04/2025 - RPS: 660 - NFSe: 2889</v>
      </c>
      <c r="H1991" t="str">
        <f t="shared" si="1002"/>
        <v>23/04/2025</v>
      </c>
      <c r="I1991" t="str">
        <f t="shared" si="1003"/>
        <v>14/04/2025</v>
      </c>
      <c r="J1991" t="str">
        <f t="shared" si="1004"/>
        <v>23/04/2025</v>
      </c>
      <c r="M1991">
        <v>303</v>
      </c>
      <c r="N1991" t="str">
        <f t="shared" si="999"/>
        <v>RECEITAS COM ENTREGAS</v>
      </c>
      <c r="P1991">
        <v>159.41999999999999</v>
      </c>
      <c r="Q1991" t="str">
        <f>"FARMÁCIA INDIANA LJ 202 (10085)"</f>
        <v>FARMÁCIA INDIANA LJ 202 (10085)</v>
      </c>
      <c r="R1991" t="str">
        <f t="shared" si="1000"/>
        <v>RECEITAS COM ENTREGAS (303)</v>
      </c>
      <c r="S1991">
        <v>1341</v>
      </c>
      <c r="T1991">
        <v>1081</v>
      </c>
      <c r="U1991" t="s">
        <v>19</v>
      </c>
    </row>
    <row r="1992" spans="1:21">
      <c r="A1992" t="str">
        <f t="shared" si="1001"/>
        <v>23/04/2025</v>
      </c>
      <c r="B1992" t="str">
        <f t="shared" si="989"/>
        <v>ENTRADA</v>
      </c>
      <c r="C1992" t="str">
        <f t="shared" si="997"/>
        <v>NFSE</v>
      </c>
      <c r="D1992" t="str">
        <f t="shared" si="991"/>
        <v>2889</v>
      </c>
      <c r="E1992" t="str">
        <f t="shared" si="998"/>
        <v>COM</v>
      </c>
      <c r="F1992" t="str">
        <f t="shared" si="992"/>
        <v>FARMÁCIA INDIANA LJ 1 (10126)</v>
      </c>
      <c r="G1992" t="str">
        <f t="shared" si="993"/>
        <v>Serv.Prest. 07/04/2025 a 13/04/2025 - RPS: 660 - NFSe: 2889</v>
      </c>
      <c r="H1992" t="str">
        <f t="shared" si="1002"/>
        <v>23/04/2025</v>
      </c>
      <c r="I1992" t="str">
        <f t="shared" si="1003"/>
        <v>14/04/2025</v>
      </c>
      <c r="J1992" t="str">
        <f t="shared" si="1004"/>
        <v>23/04/2025</v>
      </c>
      <c r="M1992">
        <v>303</v>
      </c>
      <c r="N1992" t="str">
        <f t="shared" si="999"/>
        <v>RECEITAS COM ENTREGAS</v>
      </c>
      <c r="P1992">
        <v>106.76</v>
      </c>
      <c r="Q1992" t="str">
        <f>"FARMÁCIA INDIANA LJ 204 (10087)"</f>
        <v>FARMÁCIA INDIANA LJ 204 (10087)</v>
      </c>
      <c r="R1992" t="str">
        <f t="shared" si="1000"/>
        <v>RECEITAS COM ENTREGAS (303)</v>
      </c>
      <c r="S1992">
        <v>1341</v>
      </c>
      <c r="T1992">
        <v>1081</v>
      </c>
      <c r="U1992" t="s">
        <v>19</v>
      </c>
    </row>
    <row r="1993" spans="1:21">
      <c r="A1993" t="str">
        <f t="shared" si="1001"/>
        <v>23/04/2025</v>
      </c>
      <c r="B1993" t="str">
        <f t="shared" si="989"/>
        <v>ENTRADA</v>
      </c>
      <c r="C1993" t="str">
        <f t="shared" si="997"/>
        <v>NFSE</v>
      </c>
      <c r="D1993" t="str">
        <f t="shared" si="991"/>
        <v>2889</v>
      </c>
      <c r="E1993" t="str">
        <f t="shared" si="998"/>
        <v>COM</v>
      </c>
      <c r="F1993" t="str">
        <f t="shared" si="992"/>
        <v>FARMÁCIA INDIANA LJ 1 (10126)</v>
      </c>
      <c r="G1993" t="str">
        <f t="shared" si="993"/>
        <v>Serv.Prest. 07/04/2025 a 13/04/2025 - RPS: 660 - NFSe: 2889</v>
      </c>
      <c r="H1993" t="str">
        <f t="shared" si="1002"/>
        <v>23/04/2025</v>
      </c>
      <c r="I1993" t="str">
        <f t="shared" si="1003"/>
        <v>14/04/2025</v>
      </c>
      <c r="J1993" t="str">
        <f t="shared" si="1004"/>
        <v>23/04/2025</v>
      </c>
      <c r="M1993">
        <v>303</v>
      </c>
      <c r="N1993" t="str">
        <f t="shared" si="999"/>
        <v>RECEITAS COM ENTREGAS</v>
      </c>
      <c r="P1993">
        <v>106.76</v>
      </c>
      <c r="Q1993" t="str">
        <f>"FARMÁCIA INDIANA LJ 207 (10088)"</f>
        <v>FARMÁCIA INDIANA LJ 207 (10088)</v>
      </c>
      <c r="R1993" t="str">
        <f t="shared" si="1000"/>
        <v>RECEITAS COM ENTREGAS (303)</v>
      </c>
      <c r="S1993">
        <v>1341</v>
      </c>
      <c r="T1993">
        <v>1081</v>
      </c>
      <c r="U1993" t="s">
        <v>19</v>
      </c>
    </row>
    <row r="1994" spans="1:21">
      <c r="A1994" t="str">
        <f t="shared" si="1001"/>
        <v>23/04/2025</v>
      </c>
      <c r="B1994" t="str">
        <f t="shared" si="989"/>
        <v>ENTRADA</v>
      </c>
      <c r="C1994" t="str">
        <f t="shared" si="997"/>
        <v>NFSE</v>
      </c>
      <c r="D1994" t="str">
        <f t="shared" si="991"/>
        <v>2889</v>
      </c>
      <c r="E1994" t="str">
        <f t="shared" si="998"/>
        <v>COM</v>
      </c>
      <c r="F1994" t="str">
        <f t="shared" si="992"/>
        <v>FARMÁCIA INDIANA LJ 1 (10126)</v>
      </c>
      <c r="G1994" t="str">
        <f t="shared" si="993"/>
        <v>Serv.Prest. 07/04/2025 a 13/04/2025 - RPS: 660 - NFSe: 2889</v>
      </c>
      <c r="H1994" t="str">
        <f t="shared" si="1002"/>
        <v>23/04/2025</v>
      </c>
      <c r="I1994" t="str">
        <f t="shared" si="1003"/>
        <v>14/04/2025</v>
      </c>
      <c r="J1994" t="str">
        <f t="shared" si="1004"/>
        <v>23/04/2025</v>
      </c>
      <c r="M1994">
        <v>303</v>
      </c>
      <c r="N1994" t="str">
        <f t="shared" si="999"/>
        <v>RECEITAS COM ENTREGAS</v>
      </c>
      <c r="P1994">
        <v>125.26</v>
      </c>
      <c r="Q1994" t="str">
        <f>"FARMÁCIA INDIANA LJ 209 (10089)"</f>
        <v>FARMÁCIA INDIANA LJ 209 (10089)</v>
      </c>
      <c r="R1994" t="str">
        <f t="shared" si="1000"/>
        <v>RECEITAS COM ENTREGAS (303)</v>
      </c>
      <c r="S1994">
        <v>1341</v>
      </c>
      <c r="T1994">
        <v>1081</v>
      </c>
      <c r="U1994" t="s">
        <v>19</v>
      </c>
    </row>
    <row r="1995" spans="1:21">
      <c r="A1995" t="str">
        <f t="shared" si="1001"/>
        <v>23/04/2025</v>
      </c>
      <c r="B1995" t="str">
        <f t="shared" si="989"/>
        <v>ENTRADA</v>
      </c>
      <c r="C1995" t="str">
        <f t="shared" si="997"/>
        <v>NFSE</v>
      </c>
      <c r="D1995" t="str">
        <f t="shared" si="991"/>
        <v>2889</v>
      </c>
      <c r="E1995" t="str">
        <f t="shared" si="998"/>
        <v>COM</v>
      </c>
      <c r="F1995" t="str">
        <f t="shared" si="992"/>
        <v>FARMÁCIA INDIANA LJ 1 (10126)</v>
      </c>
      <c r="G1995" t="str">
        <f t="shared" si="993"/>
        <v>Serv.Prest. 07/04/2025 a 13/04/2025 - RPS: 660 - NFSe: 2889</v>
      </c>
      <c r="H1995" t="str">
        <f t="shared" si="1002"/>
        <v>23/04/2025</v>
      </c>
      <c r="I1995" t="str">
        <f t="shared" si="1003"/>
        <v>14/04/2025</v>
      </c>
      <c r="J1995" t="str">
        <f t="shared" si="1004"/>
        <v>23/04/2025</v>
      </c>
      <c r="M1995">
        <v>303</v>
      </c>
      <c r="N1995" t="str">
        <f t="shared" si="999"/>
        <v>RECEITAS COM ENTREGAS</v>
      </c>
      <c r="P1995">
        <v>195.01</v>
      </c>
      <c r="Q1995" t="str">
        <f>"FARMÁCIA INDIANA LJ 219 (10091)"</f>
        <v>FARMÁCIA INDIANA LJ 219 (10091)</v>
      </c>
      <c r="R1995" t="str">
        <f t="shared" si="1000"/>
        <v>RECEITAS COM ENTREGAS (303)</v>
      </c>
      <c r="S1995">
        <v>1341</v>
      </c>
      <c r="T1995">
        <v>1081</v>
      </c>
      <c r="U1995" t="s">
        <v>19</v>
      </c>
    </row>
    <row r="1996" spans="1:21">
      <c r="A1996" t="str">
        <f t="shared" si="1001"/>
        <v>23/04/2025</v>
      </c>
      <c r="B1996" t="str">
        <f t="shared" si="989"/>
        <v>ENTRADA</v>
      </c>
      <c r="C1996" t="str">
        <f t="shared" si="997"/>
        <v>NFSE</v>
      </c>
      <c r="D1996" t="str">
        <f t="shared" si="991"/>
        <v>2889</v>
      </c>
      <c r="E1996" t="str">
        <f t="shared" si="998"/>
        <v>COM</v>
      </c>
      <c r="F1996" t="str">
        <f t="shared" si="992"/>
        <v>FARMÁCIA INDIANA LJ 1 (10126)</v>
      </c>
      <c r="G1996" t="str">
        <f t="shared" si="993"/>
        <v>Serv.Prest. 07/04/2025 a 13/04/2025 - RPS: 660 - NFSe: 2889</v>
      </c>
      <c r="H1996" t="str">
        <f t="shared" si="1002"/>
        <v>23/04/2025</v>
      </c>
      <c r="I1996" t="str">
        <f t="shared" si="1003"/>
        <v>14/04/2025</v>
      </c>
      <c r="J1996" t="str">
        <f t="shared" si="1004"/>
        <v>23/04/2025</v>
      </c>
      <c r="M1996">
        <v>303</v>
      </c>
      <c r="N1996" t="str">
        <f t="shared" si="999"/>
        <v>RECEITAS COM ENTREGAS</v>
      </c>
      <c r="P1996">
        <v>192.16</v>
      </c>
      <c r="Q1996" t="str">
        <f>"FARMÁCIA INDIANA LJ 220 (10092)"</f>
        <v>FARMÁCIA INDIANA LJ 220 (10092)</v>
      </c>
      <c r="R1996" t="str">
        <f t="shared" si="1000"/>
        <v>RECEITAS COM ENTREGAS (303)</v>
      </c>
      <c r="S1996">
        <v>1341</v>
      </c>
      <c r="T1996">
        <v>1081</v>
      </c>
      <c r="U1996" t="s">
        <v>19</v>
      </c>
    </row>
    <row r="1997" spans="1:21">
      <c r="A1997" t="str">
        <f t="shared" si="1001"/>
        <v>23/04/2025</v>
      </c>
      <c r="B1997" t="str">
        <f t="shared" si="989"/>
        <v>ENTRADA</v>
      </c>
      <c r="C1997" t="str">
        <f t="shared" si="997"/>
        <v>NFSE</v>
      </c>
      <c r="D1997" t="str">
        <f t="shared" si="991"/>
        <v>2889</v>
      </c>
      <c r="E1997" t="str">
        <f t="shared" si="998"/>
        <v>COM</v>
      </c>
      <c r="F1997" t="str">
        <f t="shared" si="992"/>
        <v>FARMÁCIA INDIANA LJ 1 (10126)</v>
      </c>
      <c r="G1997" t="str">
        <f t="shared" si="993"/>
        <v>Serv.Prest. 07/04/2025 a 13/04/2025 - RPS: 660 - NFSe: 2889</v>
      </c>
      <c r="H1997" t="str">
        <f t="shared" si="1002"/>
        <v>23/04/2025</v>
      </c>
      <c r="I1997" t="str">
        <f t="shared" si="1003"/>
        <v>14/04/2025</v>
      </c>
      <c r="J1997" t="str">
        <f t="shared" si="1004"/>
        <v>23/04/2025</v>
      </c>
      <c r="M1997">
        <v>303</v>
      </c>
      <c r="N1997" t="str">
        <f t="shared" si="999"/>
        <v>RECEITAS COM ENTREGAS</v>
      </c>
      <c r="P1997">
        <v>183.62</v>
      </c>
      <c r="Q1997" t="str">
        <f>"FARMÁCIA INDIANA LJ 185 (10141)"</f>
        <v>FARMÁCIA INDIANA LJ 185 (10141)</v>
      </c>
      <c r="R1997" t="str">
        <f t="shared" si="1000"/>
        <v>RECEITAS COM ENTREGAS (303)</v>
      </c>
      <c r="S1997">
        <v>1341</v>
      </c>
      <c r="T1997">
        <v>1081</v>
      </c>
      <c r="U1997" t="s">
        <v>19</v>
      </c>
    </row>
    <row r="1998" spans="1:21">
      <c r="A1998" t="str">
        <f t="shared" si="1001"/>
        <v>23/04/2025</v>
      </c>
      <c r="B1998" t="str">
        <f t="shared" si="989"/>
        <v>ENTRADA</v>
      </c>
      <c r="C1998" t="str">
        <f t="shared" si="997"/>
        <v>NFSE</v>
      </c>
      <c r="D1998" t="str">
        <f t="shared" si="991"/>
        <v>2889</v>
      </c>
      <c r="E1998" t="str">
        <f t="shared" si="998"/>
        <v>COM</v>
      </c>
      <c r="F1998" t="str">
        <f t="shared" si="992"/>
        <v>FARMÁCIA INDIANA LJ 1 (10126)</v>
      </c>
      <c r="G1998" t="str">
        <f t="shared" si="993"/>
        <v>Serv.Prest. 07/04/2025 a 13/04/2025 - RPS: 660 - NFSe: 2889</v>
      </c>
      <c r="H1998" t="str">
        <f t="shared" si="1002"/>
        <v>23/04/2025</v>
      </c>
      <c r="I1998" t="str">
        <f t="shared" si="1003"/>
        <v>14/04/2025</v>
      </c>
      <c r="J1998" t="str">
        <f t="shared" si="1004"/>
        <v>23/04/2025</v>
      </c>
      <c r="M1998">
        <v>303</v>
      </c>
      <c r="N1998" t="str">
        <f t="shared" si="999"/>
        <v>RECEITAS COM ENTREGAS</v>
      </c>
      <c r="P1998">
        <v>646.24</v>
      </c>
      <c r="Q1998" t="str">
        <f>"FARMÁCIA INDIANA LJ 172 (10161)"</f>
        <v>FARMÁCIA INDIANA LJ 172 (10161)</v>
      </c>
      <c r="R1998" t="str">
        <f t="shared" si="1000"/>
        <v>RECEITAS COM ENTREGAS (303)</v>
      </c>
      <c r="S1998">
        <v>1341</v>
      </c>
      <c r="T1998">
        <v>1081</v>
      </c>
      <c r="U1998" t="s">
        <v>19</v>
      </c>
    </row>
    <row r="1999" spans="1:21">
      <c r="A1999" t="str">
        <f t="shared" si="1001"/>
        <v>23/04/2025</v>
      </c>
      <c r="B1999" t="str">
        <f t="shared" si="989"/>
        <v>ENTRADA</v>
      </c>
      <c r="C1999" t="str">
        <f t="shared" si="997"/>
        <v>NFSE</v>
      </c>
      <c r="D1999" t="str">
        <f t="shared" ref="D1999:D2010" si="1005">"2890"</f>
        <v>2890</v>
      </c>
      <c r="E1999" t="str">
        <f t="shared" si="998"/>
        <v>COM</v>
      </c>
      <c r="F1999" t="str">
        <f t="shared" ref="F1999:F2010" si="1006">"FARMÁCIA INDIANA LJ 30 (10127)"</f>
        <v>FARMÁCIA INDIANA LJ 30 (10127)</v>
      </c>
      <c r="G1999" t="str">
        <f t="shared" ref="G1999:G2010" si="1007">"Serv.Prest. 07/04/2025 a 13/04/2025 - RPS: 661 - NFSe: 2890"</f>
        <v>Serv.Prest. 07/04/2025 a 13/04/2025 - RPS: 661 - NFSe: 2890</v>
      </c>
      <c r="H1999" t="str">
        <f t="shared" si="1002"/>
        <v>23/04/2025</v>
      </c>
      <c r="I1999" t="str">
        <f t="shared" si="1003"/>
        <v>14/04/2025</v>
      </c>
      <c r="J1999" t="str">
        <f t="shared" si="1004"/>
        <v>23/04/2025</v>
      </c>
      <c r="K1999">
        <v>2814.12</v>
      </c>
      <c r="L1999">
        <v>2814.12</v>
      </c>
      <c r="M1999">
        <v>303</v>
      </c>
      <c r="N1999" t="str">
        <f t="shared" si="999"/>
        <v>RECEITAS COM ENTREGAS</v>
      </c>
      <c r="O1999">
        <v>2814.12</v>
      </c>
      <c r="R1999" t="str">
        <f t="shared" si="1000"/>
        <v>RECEITAS COM ENTREGAS (303)</v>
      </c>
      <c r="S1999">
        <v>1345</v>
      </c>
      <c r="T1999">
        <v>1082</v>
      </c>
      <c r="U1999" t="s">
        <v>19</v>
      </c>
    </row>
    <row r="2000" spans="1:21">
      <c r="A2000" t="str">
        <f t="shared" si="1001"/>
        <v>23/04/2025</v>
      </c>
      <c r="B2000" t="str">
        <f t="shared" si="989"/>
        <v>ENTRADA</v>
      </c>
      <c r="C2000" t="str">
        <f t="shared" si="997"/>
        <v>NFSE</v>
      </c>
      <c r="D2000" t="str">
        <f t="shared" si="1005"/>
        <v>2890</v>
      </c>
      <c r="E2000" t="str">
        <f t="shared" si="998"/>
        <v>COM</v>
      </c>
      <c r="F2000" t="str">
        <f t="shared" si="1006"/>
        <v>FARMÁCIA INDIANA LJ 30 (10127)</v>
      </c>
      <c r="G2000" t="str">
        <f t="shared" si="1007"/>
        <v>Serv.Prest. 07/04/2025 a 13/04/2025 - RPS: 661 - NFSe: 2890</v>
      </c>
      <c r="H2000" t="str">
        <f t="shared" si="1002"/>
        <v>23/04/2025</v>
      </c>
      <c r="I2000" t="str">
        <f t="shared" si="1003"/>
        <v>14/04/2025</v>
      </c>
      <c r="J2000" t="str">
        <f t="shared" si="1004"/>
        <v>23/04/2025</v>
      </c>
      <c r="M2000">
        <v>303</v>
      </c>
      <c r="N2000" t="str">
        <f t="shared" si="999"/>
        <v>RECEITAS COM ENTREGAS</v>
      </c>
      <c r="P2000">
        <v>267.92</v>
      </c>
      <c r="Q2000" t="str">
        <f>"FARMÁCIA INDIANA LJ 34 (10014)"</f>
        <v>FARMÁCIA INDIANA LJ 34 (10014)</v>
      </c>
      <c r="R2000" t="str">
        <f t="shared" si="1000"/>
        <v>RECEITAS COM ENTREGAS (303)</v>
      </c>
      <c r="S2000">
        <v>1345</v>
      </c>
      <c r="T2000">
        <v>1082</v>
      </c>
      <c r="U2000" t="s">
        <v>19</v>
      </c>
    </row>
    <row r="2001" spans="1:21">
      <c r="A2001" t="str">
        <f t="shared" si="1001"/>
        <v>23/04/2025</v>
      </c>
      <c r="B2001" t="str">
        <f t="shared" si="989"/>
        <v>ENTRADA</v>
      </c>
      <c r="C2001" t="str">
        <f t="shared" si="997"/>
        <v>NFSE</v>
      </c>
      <c r="D2001" t="str">
        <f t="shared" si="1005"/>
        <v>2890</v>
      </c>
      <c r="E2001" t="str">
        <f t="shared" si="998"/>
        <v>COM</v>
      </c>
      <c r="F2001" t="str">
        <f t="shared" si="1006"/>
        <v>FARMÁCIA INDIANA LJ 30 (10127)</v>
      </c>
      <c r="G2001" t="str">
        <f t="shared" si="1007"/>
        <v>Serv.Prest. 07/04/2025 a 13/04/2025 - RPS: 661 - NFSe: 2890</v>
      </c>
      <c r="H2001" t="str">
        <f t="shared" si="1002"/>
        <v>23/04/2025</v>
      </c>
      <c r="I2001" t="str">
        <f t="shared" si="1003"/>
        <v>14/04/2025</v>
      </c>
      <c r="J2001" t="str">
        <f t="shared" si="1004"/>
        <v>23/04/2025</v>
      </c>
      <c r="M2001">
        <v>303</v>
      </c>
      <c r="N2001" t="str">
        <f t="shared" si="999"/>
        <v>RECEITAS COM ENTREGAS</v>
      </c>
      <c r="P2001">
        <v>235.82</v>
      </c>
      <c r="Q2001" t="str">
        <f>"FARMÁCIA INDIANA LJ 35 (10015)"</f>
        <v>FARMÁCIA INDIANA LJ 35 (10015)</v>
      </c>
      <c r="R2001" t="str">
        <f t="shared" si="1000"/>
        <v>RECEITAS COM ENTREGAS (303)</v>
      </c>
      <c r="S2001">
        <v>1345</v>
      </c>
      <c r="T2001">
        <v>1082</v>
      </c>
      <c r="U2001" t="s">
        <v>19</v>
      </c>
    </row>
    <row r="2002" spans="1:21">
      <c r="A2002" t="str">
        <f t="shared" si="1001"/>
        <v>23/04/2025</v>
      </c>
      <c r="B2002" t="str">
        <f t="shared" si="989"/>
        <v>ENTRADA</v>
      </c>
      <c r="C2002" t="str">
        <f t="shared" si="997"/>
        <v>NFSE</v>
      </c>
      <c r="D2002" t="str">
        <f t="shared" si="1005"/>
        <v>2890</v>
      </c>
      <c r="E2002" t="str">
        <f t="shared" si="998"/>
        <v>COM</v>
      </c>
      <c r="F2002" t="str">
        <f t="shared" si="1006"/>
        <v>FARMÁCIA INDIANA LJ 30 (10127)</v>
      </c>
      <c r="G2002" t="str">
        <f t="shared" si="1007"/>
        <v>Serv.Prest. 07/04/2025 a 13/04/2025 - RPS: 661 - NFSe: 2890</v>
      </c>
      <c r="H2002" t="str">
        <f t="shared" si="1002"/>
        <v>23/04/2025</v>
      </c>
      <c r="I2002" t="str">
        <f t="shared" si="1003"/>
        <v>14/04/2025</v>
      </c>
      <c r="J2002" t="str">
        <f t="shared" si="1004"/>
        <v>23/04/2025</v>
      </c>
      <c r="M2002">
        <v>303</v>
      </c>
      <c r="N2002" t="str">
        <f t="shared" si="999"/>
        <v>RECEITAS COM ENTREGAS</v>
      </c>
      <c r="P2002">
        <v>303.64</v>
      </c>
      <c r="Q2002" t="str">
        <f>"FARMÁCIA INDIANA LJ 48 (10018)"</f>
        <v>FARMÁCIA INDIANA LJ 48 (10018)</v>
      </c>
      <c r="R2002" t="str">
        <f t="shared" si="1000"/>
        <v>RECEITAS COM ENTREGAS (303)</v>
      </c>
      <c r="S2002">
        <v>1345</v>
      </c>
      <c r="T2002">
        <v>1082</v>
      </c>
      <c r="U2002" t="s">
        <v>19</v>
      </c>
    </row>
    <row r="2003" spans="1:21">
      <c r="A2003" t="str">
        <f t="shared" si="1001"/>
        <v>23/04/2025</v>
      </c>
      <c r="B2003" t="str">
        <f t="shared" si="989"/>
        <v>ENTRADA</v>
      </c>
      <c r="C2003" t="str">
        <f t="shared" si="997"/>
        <v>NFSE</v>
      </c>
      <c r="D2003" t="str">
        <f t="shared" si="1005"/>
        <v>2890</v>
      </c>
      <c r="E2003" t="str">
        <f t="shared" si="998"/>
        <v>COM</v>
      </c>
      <c r="F2003" t="str">
        <f t="shared" si="1006"/>
        <v>FARMÁCIA INDIANA LJ 30 (10127)</v>
      </c>
      <c r="G2003" t="str">
        <f t="shared" si="1007"/>
        <v>Serv.Prest. 07/04/2025 a 13/04/2025 - RPS: 661 - NFSe: 2890</v>
      </c>
      <c r="H2003" t="str">
        <f t="shared" si="1002"/>
        <v>23/04/2025</v>
      </c>
      <c r="I2003" t="str">
        <f t="shared" si="1003"/>
        <v>14/04/2025</v>
      </c>
      <c r="J2003" t="str">
        <f t="shared" si="1004"/>
        <v>23/04/2025</v>
      </c>
      <c r="M2003">
        <v>303</v>
      </c>
      <c r="N2003" t="str">
        <f t="shared" si="999"/>
        <v>RECEITAS COM ENTREGAS</v>
      </c>
      <c r="P2003">
        <v>418.46</v>
      </c>
      <c r="Q2003" t="str">
        <f>"FARMÁCIA INDIANA LJ 65 (10030)"</f>
        <v>FARMÁCIA INDIANA LJ 65 (10030)</v>
      </c>
      <c r="R2003" t="str">
        <f t="shared" si="1000"/>
        <v>RECEITAS COM ENTREGAS (303)</v>
      </c>
      <c r="S2003">
        <v>1345</v>
      </c>
      <c r="T2003">
        <v>1082</v>
      </c>
      <c r="U2003" t="s">
        <v>19</v>
      </c>
    </row>
    <row r="2004" spans="1:21">
      <c r="A2004" t="str">
        <f t="shared" si="1001"/>
        <v>23/04/2025</v>
      </c>
      <c r="B2004" t="str">
        <f t="shared" si="989"/>
        <v>ENTRADA</v>
      </c>
      <c r="C2004" t="str">
        <f t="shared" si="997"/>
        <v>NFSE</v>
      </c>
      <c r="D2004" t="str">
        <f t="shared" si="1005"/>
        <v>2890</v>
      </c>
      <c r="E2004" t="str">
        <f t="shared" si="998"/>
        <v>COM</v>
      </c>
      <c r="F2004" t="str">
        <f t="shared" si="1006"/>
        <v>FARMÁCIA INDIANA LJ 30 (10127)</v>
      </c>
      <c r="G2004" t="str">
        <f t="shared" si="1007"/>
        <v>Serv.Prest. 07/04/2025 a 13/04/2025 - RPS: 661 - NFSe: 2890</v>
      </c>
      <c r="H2004" t="str">
        <f t="shared" si="1002"/>
        <v>23/04/2025</v>
      </c>
      <c r="I2004" t="str">
        <f t="shared" si="1003"/>
        <v>14/04/2025</v>
      </c>
      <c r="J2004" t="str">
        <f t="shared" si="1004"/>
        <v>23/04/2025</v>
      </c>
      <c r="M2004">
        <v>303</v>
      </c>
      <c r="N2004" t="str">
        <f t="shared" si="999"/>
        <v>RECEITAS COM ENTREGAS</v>
      </c>
      <c r="P2004">
        <v>207.12</v>
      </c>
      <c r="Q2004" t="str">
        <f>"FARMÁCIA INDIANA LJ 77 (10034)"</f>
        <v>FARMÁCIA INDIANA LJ 77 (10034)</v>
      </c>
      <c r="R2004" t="str">
        <f t="shared" si="1000"/>
        <v>RECEITAS COM ENTREGAS (303)</v>
      </c>
      <c r="S2004">
        <v>1345</v>
      </c>
      <c r="T2004">
        <v>1082</v>
      </c>
      <c r="U2004" t="s">
        <v>19</v>
      </c>
    </row>
    <row r="2005" spans="1:21">
      <c r="A2005" t="str">
        <f t="shared" si="1001"/>
        <v>23/04/2025</v>
      </c>
      <c r="B2005" t="str">
        <f t="shared" si="989"/>
        <v>ENTRADA</v>
      </c>
      <c r="C2005" t="str">
        <f t="shared" si="997"/>
        <v>NFSE</v>
      </c>
      <c r="D2005" t="str">
        <f t="shared" si="1005"/>
        <v>2890</v>
      </c>
      <c r="E2005" t="str">
        <f t="shared" si="998"/>
        <v>COM</v>
      </c>
      <c r="F2005" t="str">
        <f t="shared" si="1006"/>
        <v>FARMÁCIA INDIANA LJ 30 (10127)</v>
      </c>
      <c r="G2005" t="str">
        <f t="shared" si="1007"/>
        <v>Serv.Prest. 07/04/2025 a 13/04/2025 - RPS: 661 - NFSe: 2890</v>
      </c>
      <c r="H2005" t="str">
        <f t="shared" si="1002"/>
        <v>23/04/2025</v>
      </c>
      <c r="I2005" t="str">
        <f t="shared" si="1003"/>
        <v>14/04/2025</v>
      </c>
      <c r="J2005" t="str">
        <f t="shared" si="1004"/>
        <v>23/04/2025</v>
      </c>
      <c r="M2005">
        <v>303</v>
      </c>
      <c r="N2005" t="str">
        <f t="shared" si="999"/>
        <v>RECEITAS COM ENTREGAS</v>
      </c>
      <c r="P2005">
        <v>199.24</v>
      </c>
      <c r="Q2005" t="str">
        <f>"FARMÁCIA INDIANA LJ 91 (10037)"</f>
        <v>FARMÁCIA INDIANA LJ 91 (10037)</v>
      </c>
      <c r="R2005" t="str">
        <f t="shared" si="1000"/>
        <v>RECEITAS COM ENTREGAS (303)</v>
      </c>
      <c r="S2005">
        <v>1345</v>
      </c>
      <c r="T2005">
        <v>1082</v>
      </c>
      <c r="U2005" t="s">
        <v>19</v>
      </c>
    </row>
    <row r="2006" spans="1:21">
      <c r="A2006" t="str">
        <f t="shared" si="1001"/>
        <v>23/04/2025</v>
      </c>
      <c r="B2006" t="str">
        <f t="shared" si="989"/>
        <v>ENTRADA</v>
      </c>
      <c r="C2006" t="str">
        <f t="shared" si="997"/>
        <v>NFSE</v>
      </c>
      <c r="D2006" t="str">
        <f t="shared" si="1005"/>
        <v>2890</v>
      </c>
      <c r="E2006" t="str">
        <f t="shared" si="998"/>
        <v>COM</v>
      </c>
      <c r="F2006" t="str">
        <f t="shared" si="1006"/>
        <v>FARMÁCIA INDIANA LJ 30 (10127)</v>
      </c>
      <c r="G2006" t="str">
        <f t="shared" si="1007"/>
        <v>Serv.Prest. 07/04/2025 a 13/04/2025 - RPS: 661 - NFSe: 2890</v>
      </c>
      <c r="H2006" t="str">
        <f t="shared" si="1002"/>
        <v>23/04/2025</v>
      </c>
      <c r="I2006" t="str">
        <f t="shared" si="1003"/>
        <v>14/04/2025</v>
      </c>
      <c r="J2006" t="str">
        <f t="shared" si="1004"/>
        <v>23/04/2025</v>
      </c>
      <c r="M2006">
        <v>303</v>
      </c>
      <c r="N2006" t="str">
        <f t="shared" si="999"/>
        <v>RECEITAS COM ENTREGAS</v>
      </c>
      <c r="P2006">
        <v>395.1</v>
      </c>
      <c r="Q2006" t="str">
        <f>"FARMÁCIA INDIANA LJ 95 (10039)"</f>
        <v>FARMÁCIA INDIANA LJ 95 (10039)</v>
      </c>
      <c r="R2006" t="str">
        <f t="shared" si="1000"/>
        <v>RECEITAS COM ENTREGAS (303)</v>
      </c>
      <c r="S2006">
        <v>1345</v>
      </c>
      <c r="T2006">
        <v>1082</v>
      </c>
      <c r="U2006" t="s">
        <v>19</v>
      </c>
    </row>
    <row r="2007" spans="1:21">
      <c r="A2007" t="str">
        <f t="shared" si="1001"/>
        <v>23/04/2025</v>
      </c>
      <c r="B2007" t="str">
        <f t="shared" si="989"/>
        <v>ENTRADA</v>
      </c>
      <c r="C2007" t="str">
        <f t="shared" si="997"/>
        <v>NFSE</v>
      </c>
      <c r="D2007" t="str">
        <f t="shared" si="1005"/>
        <v>2890</v>
      </c>
      <c r="E2007" t="str">
        <f t="shared" si="998"/>
        <v>COM</v>
      </c>
      <c r="F2007" t="str">
        <f t="shared" si="1006"/>
        <v>FARMÁCIA INDIANA LJ 30 (10127)</v>
      </c>
      <c r="G2007" t="str">
        <f t="shared" si="1007"/>
        <v>Serv.Prest. 07/04/2025 a 13/04/2025 - RPS: 661 - NFSe: 2890</v>
      </c>
      <c r="H2007" t="str">
        <f t="shared" si="1002"/>
        <v>23/04/2025</v>
      </c>
      <c r="I2007" t="str">
        <f t="shared" si="1003"/>
        <v>14/04/2025</v>
      </c>
      <c r="J2007" t="str">
        <f t="shared" si="1004"/>
        <v>23/04/2025</v>
      </c>
      <c r="M2007">
        <v>303</v>
      </c>
      <c r="N2007" t="str">
        <f t="shared" si="999"/>
        <v>RECEITAS COM ENTREGAS</v>
      </c>
      <c r="P2007">
        <v>280.85000000000002</v>
      </c>
      <c r="Q2007" t="str">
        <f>"FARMÁCIA INDIANA LJ 145 (10068)"</f>
        <v>FARMÁCIA INDIANA LJ 145 (10068)</v>
      </c>
      <c r="R2007" t="str">
        <f t="shared" si="1000"/>
        <v>RECEITAS COM ENTREGAS (303)</v>
      </c>
      <c r="S2007">
        <v>1345</v>
      </c>
      <c r="T2007">
        <v>1082</v>
      </c>
      <c r="U2007" t="s">
        <v>19</v>
      </c>
    </row>
    <row r="2008" spans="1:21">
      <c r="A2008" t="str">
        <f t="shared" si="1001"/>
        <v>23/04/2025</v>
      </c>
      <c r="B2008" t="str">
        <f t="shared" si="989"/>
        <v>ENTRADA</v>
      </c>
      <c r="C2008" t="str">
        <f t="shared" si="997"/>
        <v>NFSE</v>
      </c>
      <c r="D2008" t="str">
        <f t="shared" si="1005"/>
        <v>2890</v>
      </c>
      <c r="E2008" t="str">
        <f t="shared" si="998"/>
        <v>COM</v>
      </c>
      <c r="F2008" t="str">
        <f t="shared" si="1006"/>
        <v>FARMÁCIA INDIANA LJ 30 (10127)</v>
      </c>
      <c r="G2008" t="str">
        <f t="shared" si="1007"/>
        <v>Serv.Prest. 07/04/2025 a 13/04/2025 - RPS: 661 - NFSe: 2890</v>
      </c>
      <c r="H2008" t="str">
        <f t="shared" si="1002"/>
        <v>23/04/2025</v>
      </c>
      <c r="I2008" t="str">
        <f t="shared" si="1003"/>
        <v>14/04/2025</v>
      </c>
      <c r="J2008" t="str">
        <f t="shared" si="1004"/>
        <v>23/04/2025</v>
      </c>
      <c r="M2008">
        <v>303</v>
      </c>
      <c r="N2008" t="str">
        <f t="shared" si="999"/>
        <v>RECEITAS COM ENTREGAS</v>
      </c>
      <c r="P2008">
        <v>136.47999999999999</v>
      </c>
      <c r="Q2008" t="str">
        <f>"FARMÁCIA INDIANA LJ 169 (10073)"</f>
        <v>FARMÁCIA INDIANA LJ 169 (10073)</v>
      </c>
      <c r="R2008" t="str">
        <f t="shared" si="1000"/>
        <v>RECEITAS COM ENTREGAS (303)</v>
      </c>
      <c r="S2008">
        <v>1345</v>
      </c>
      <c r="T2008">
        <v>1082</v>
      </c>
      <c r="U2008" t="s">
        <v>19</v>
      </c>
    </row>
    <row r="2009" spans="1:21">
      <c r="A2009" t="str">
        <f t="shared" si="1001"/>
        <v>23/04/2025</v>
      </c>
      <c r="B2009" t="str">
        <f t="shared" si="989"/>
        <v>ENTRADA</v>
      </c>
      <c r="C2009" t="str">
        <f t="shared" si="997"/>
        <v>NFSE</v>
      </c>
      <c r="D2009" t="str">
        <f t="shared" si="1005"/>
        <v>2890</v>
      </c>
      <c r="E2009" t="str">
        <f t="shared" si="998"/>
        <v>COM</v>
      </c>
      <c r="F2009" t="str">
        <f t="shared" si="1006"/>
        <v>FARMÁCIA INDIANA LJ 30 (10127)</v>
      </c>
      <c r="G2009" t="str">
        <f t="shared" si="1007"/>
        <v>Serv.Prest. 07/04/2025 a 13/04/2025 - RPS: 661 - NFSe: 2890</v>
      </c>
      <c r="H2009" t="str">
        <f t="shared" si="1002"/>
        <v>23/04/2025</v>
      </c>
      <c r="I2009" t="str">
        <f t="shared" si="1003"/>
        <v>14/04/2025</v>
      </c>
      <c r="J2009" t="str">
        <f t="shared" si="1004"/>
        <v>23/04/2025</v>
      </c>
      <c r="M2009">
        <v>303</v>
      </c>
      <c r="N2009" t="str">
        <f t="shared" si="999"/>
        <v>RECEITAS COM ENTREGAS</v>
      </c>
      <c r="P2009">
        <v>209.37</v>
      </c>
      <c r="Q2009" t="str">
        <f>"FARMÁCIA INDIANA LJ 173 (10075)"</f>
        <v>FARMÁCIA INDIANA LJ 173 (10075)</v>
      </c>
      <c r="R2009" t="str">
        <f t="shared" si="1000"/>
        <v>RECEITAS COM ENTREGAS (303)</v>
      </c>
      <c r="S2009">
        <v>1345</v>
      </c>
      <c r="T2009">
        <v>1082</v>
      </c>
      <c r="U2009" t="s">
        <v>19</v>
      </c>
    </row>
    <row r="2010" spans="1:21">
      <c r="A2010" t="str">
        <f t="shared" si="1001"/>
        <v>23/04/2025</v>
      </c>
      <c r="B2010" t="str">
        <f t="shared" si="989"/>
        <v>ENTRADA</v>
      </c>
      <c r="C2010" t="str">
        <f t="shared" si="997"/>
        <v>NFSE</v>
      </c>
      <c r="D2010" t="str">
        <f t="shared" si="1005"/>
        <v>2890</v>
      </c>
      <c r="E2010" t="str">
        <f t="shared" si="998"/>
        <v>COM</v>
      </c>
      <c r="F2010" t="str">
        <f t="shared" si="1006"/>
        <v>FARMÁCIA INDIANA LJ 30 (10127)</v>
      </c>
      <c r="G2010" t="str">
        <f t="shared" si="1007"/>
        <v>Serv.Prest. 07/04/2025 a 13/04/2025 - RPS: 661 - NFSe: 2890</v>
      </c>
      <c r="H2010" t="str">
        <f t="shared" si="1002"/>
        <v>23/04/2025</v>
      </c>
      <c r="I2010" t="str">
        <f t="shared" si="1003"/>
        <v>14/04/2025</v>
      </c>
      <c r="J2010" t="str">
        <f t="shared" si="1004"/>
        <v>23/04/2025</v>
      </c>
      <c r="M2010">
        <v>303</v>
      </c>
      <c r="N2010" t="str">
        <f t="shared" si="999"/>
        <v>RECEITAS COM ENTREGAS</v>
      </c>
      <c r="P2010">
        <v>160.12</v>
      </c>
      <c r="Q2010" t="str">
        <f>"FARMÁCIA INDIANA LJ 200 (10155)"</f>
        <v>FARMÁCIA INDIANA LJ 200 (10155)</v>
      </c>
      <c r="R2010" t="str">
        <f t="shared" si="1000"/>
        <v>RECEITAS COM ENTREGAS (303)</v>
      </c>
      <c r="S2010">
        <v>1345</v>
      </c>
      <c r="T2010">
        <v>1082</v>
      </c>
      <c r="U2010" t="s">
        <v>19</v>
      </c>
    </row>
    <row r="2011" spans="1:21">
      <c r="A2011" t="str">
        <f t="shared" si="1001"/>
        <v>23/04/2025</v>
      </c>
      <c r="B2011" t="str">
        <f t="shared" si="989"/>
        <v>ENTRADA</v>
      </c>
      <c r="C2011" t="str">
        <f t="shared" si="997"/>
        <v>NFSE</v>
      </c>
      <c r="D2011" t="str">
        <f t="shared" ref="D2011:D2018" si="1008">"2891"</f>
        <v>2891</v>
      </c>
      <c r="E2011" t="str">
        <f t="shared" si="998"/>
        <v>COM</v>
      </c>
      <c r="F2011" t="str">
        <f t="shared" ref="F2011:F2018" si="1009">"FARMÁCIA INDIANA LJ 85 (10128)"</f>
        <v>FARMÁCIA INDIANA LJ 85 (10128)</v>
      </c>
      <c r="G2011" t="str">
        <f t="shared" ref="G2011:G2018" si="1010">"Serv.Prest. 07/04/2025 a 13/04/2025 - RPS: 662 - NFSe: 2891"</f>
        <v>Serv.Prest. 07/04/2025 a 13/04/2025 - RPS: 662 - NFSe: 2891</v>
      </c>
      <c r="H2011" t="str">
        <f t="shared" si="1002"/>
        <v>23/04/2025</v>
      </c>
      <c r="I2011" t="str">
        <f t="shared" ref="I2011:I2018" si="1011">("15/04/2025")</f>
        <v>15/04/2025</v>
      </c>
      <c r="J2011" t="str">
        <f t="shared" si="1004"/>
        <v>23/04/2025</v>
      </c>
      <c r="K2011">
        <v>996.95</v>
      </c>
      <c r="L2011">
        <v>996.95</v>
      </c>
      <c r="M2011">
        <v>303</v>
      </c>
      <c r="N2011" t="str">
        <f t="shared" si="999"/>
        <v>RECEITAS COM ENTREGAS</v>
      </c>
      <c r="O2011">
        <v>996.95</v>
      </c>
      <c r="R2011" t="str">
        <f t="shared" si="1000"/>
        <v>RECEITAS COM ENTREGAS (303)</v>
      </c>
      <c r="S2011">
        <v>1349</v>
      </c>
      <c r="T2011">
        <v>1083</v>
      </c>
      <c r="U2011" t="s">
        <v>19</v>
      </c>
    </row>
    <row r="2012" spans="1:21">
      <c r="A2012" t="str">
        <f t="shared" si="1001"/>
        <v>23/04/2025</v>
      </c>
      <c r="B2012" t="str">
        <f t="shared" si="989"/>
        <v>ENTRADA</v>
      </c>
      <c r="C2012" t="str">
        <f t="shared" si="997"/>
        <v>NFSE</v>
      </c>
      <c r="D2012" t="str">
        <f t="shared" si="1008"/>
        <v>2891</v>
      </c>
      <c r="E2012" t="str">
        <f t="shared" si="998"/>
        <v>COM</v>
      </c>
      <c r="F2012" t="str">
        <f t="shared" si="1009"/>
        <v>FARMÁCIA INDIANA LJ 85 (10128)</v>
      </c>
      <c r="G2012" t="str">
        <f t="shared" si="1010"/>
        <v>Serv.Prest. 07/04/2025 a 13/04/2025 - RPS: 662 - NFSe: 2891</v>
      </c>
      <c r="H2012" t="str">
        <f t="shared" si="1002"/>
        <v>23/04/2025</v>
      </c>
      <c r="I2012" t="str">
        <f t="shared" si="1011"/>
        <v>15/04/2025</v>
      </c>
      <c r="J2012" t="str">
        <f t="shared" si="1004"/>
        <v>23/04/2025</v>
      </c>
      <c r="M2012">
        <v>303</v>
      </c>
      <c r="N2012" t="str">
        <f t="shared" si="999"/>
        <v>RECEITAS COM ENTREGAS</v>
      </c>
      <c r="P2012">
        <v>171.58</v>
      </c>
      <c r="Q2012" t="str">
        <f>"FARMÁCIA INDIANA LJ 119 (10053)"</f>
        <v>FARMÁCIA INDIANA LJ 119 (10053)</v>
      </c>
      <c r="R2012" t="str">
        <f t="shared" si="1000"/>
        <v>RECEITAS COM ENTREGAS (303)</v>
      </c>
      <c r="S2012">
        <v>1349</v>
      </c>
      <c r="T2012">
        <v>1083</v>
      </c>
      <c r="U2012" t="s">
        <v>19</v>
      </c>
    </row>
    <row r="2013" spans="1:21">
      <c r="A2013" t="str">
        <f t="shared" si="1001"/>
        <v>23/04/2025</v>
      </c>
      <c r="B2013" t="str">
        <f t="shared" si="989"/>
        <v>ENTRADA</v>
      </c>
      <c r="C2013" t="str">
        <f t="shared" si="997"/>
        <v>NFSE</v>
      </c>
      <c r="D2013" t="str">
        <f t="shared" si="1008"/>
        <v>2891</v>
      </c>
      <c r="E2013" t="str">
        <f t="shared" si="998"/>
        <v>COM</v>
      </c>
      <c r="F2013" t="str">
        <f t="shared" si="1009"/>
        <v>FARMÁCIA INDIANA LJ 85 (10128)</v>
      </c>
      <c r="G2013" t="str">
        <f t="shared" si="1010"/>
        <v>Serv.Prest. 07/04/2025 a 13/04/2025 - RPS: 662 - NFSe: 2891</v>
      </c>
      <c r="H2013" t="str">
        <f t="shared" si="1002"/>
        <v>23/04/2025</v>
      </c>
      <c r="I2013" t="str">
        <f t="shared" si="1011"/>
        <v>15/04/2025</v>
      </c>
      <c r="J2013" t="str">
        <f t="shared" si="1004"/>
        <v>23/04/2025</v>
      </c>
      <c r="M2013">
        <v>303</v>
      </c>
      <c r="N2013" t="str">
        <f t="shared" si="999"/>
        <v>RECEITAS COM ENTREGAS</v>
      </c>
      <c r="P2013">
        <v>180.05</v>
      </c>
      <c r="Q2013" t="str">
        <f>"FARMÁCIA INDIANA LJ 163 (10072)"</f>
        <v>FARMÁCIA INDIANA LJ 163 (10072)</v>
      </c>
      <c r="R2013" t="str">
        <f t="shared" si="1000"/>
        <v>RECEITAS COM ENTREGAS (303)</v>
      </c>
      <c r="S2013">
        <v>1349</v>
      </c>
      <c r="T2013">
        <v>1083</v>
      </c>
      <c r="U2013" t="s">
        <v>19</v>
      </c>
    </row>
    <row r="2014" spans="1:21">
      <c r="A2014" t="str">
        <f t="shared" si="1001"/>
        <v>23/04/2025</v>
      </c>
      <c r="B2014" t="str">
        <f t="shared" si="989"/>
        <v>ENTRADA</v>
      </c>
      <c r="C2014" t="str">
        <f t="shared" si="997"/>
        <v>NFSE</v>
      </c>
      <c r="D2014" t="str">
        <f t="shared" si="1008"/>
        <v>2891</v>
      </c>
      <c r="E2014" t="str">
        <f t="shared" si="998"/>
        <v>COM</v>
      </c>
      <c r="F2014" t="str">
        <f t="shared" si="1009"/>
        <v>FARMÁCIA INDIANA LJ 85 (10128)</v>
      </c>
      <c r="G2014" t="str">
        <f t="shared" si="1010"/>
        <v>Serv.Prest. 07/04/2025 a 13/04/2025 - RPS: 662 - NFSe: 2891</v>
      </c>
      <c r="H2014" t="str">
        <f t="shared" si="1002"/>
        <v>23/04/2025</v>
      </c>
      <c r="I2014" t="str">
        <f t="shared" si="1011"/>
        <v>15/04/2025</v>
      </c>
      <c r="J2014" t="str">
        <f t="shared" si="1004"/>
        <v>23/04/2025</v>
      </c>
      <c r="M2014">
        <v>303</v>
      </c>
      <c r="N2014" t="str">
        <f t="shared" si="999"/>
        <v>RECEITAS COM ENTREGAS</v>
      </c>
      <c r="P2014">
        <v>130.30000000000001</v>
      </c>
      <c r="Q2014" t="str">
        <f>"FARMÁCIA INDIANA LJ 181 (10078)"</f>
        <v>FARMÁCIA INDIANA LJ 181 (10078)</v>
      </c>
      <c r="R2014" t="str">
        <f t="shared" si="1000"/>
        <v>RECEITAS COM ENTREGAS (303)</v>
      </c>
      <c r="S2014">
        <v>1349</v>
      </c>
      <c r="T2014">
        <v>1083</v>
      </c>
      <c r="U2014" t="s">
        <v>19</v>
      </c>
    </row>
    <row r="2015" spans="1:21">
      <c r="A2015" t="str">
        <f t="shared" si="1001"/>
        <v>23/04/2025</v>
      </c>
      <c r="B2015" t="str">
        <f t="shared" si="989"/>
        <v>ENTRADA</v>
      </c>
      <c r="C2015" t="str">
        <f t="shared" ref="C2015:C2030" si="1012">"NFSE"</f>
        <v>NFSE</v>
      </c>
      <c r="D2015" t="str">
        <f t="shared" si="1008"/>
        <v>2891</v>
      </c>
      <c r="E2015" t="str">
        <f t="shared" ref="E2015:E2030" si="1013">"COM"</f>
        <v>COM</v>
      </c>
      <c r="F2015" t="str">
        <f t="shared" si="1009"/>
        <v>FARMÁCIA INDIANA LJ 85 (10128)</v>
      </c>
      <c r="G2015" t="str">
        <f t="shared" si="1010"/>
        <v>Serv.Prest. 07/04/2025 a 13/04/2025 - RPS: 662 - NFSe: 2891</v>
      </c>
      <c r="H2015" t="str">
        <f t="shared" si="1002"/>
        <v>23/04/2025</v>
      </c>
      <c r="I2015" t="str">
        <f t="shared" si="1011"/>
        <v>15/04/2025</v>
      </c>
      <c r="J2015" t="str">
        <f t="shared" si="1004"/>
        <v>23/04/2025</v>
      </c>
      <c r="M2015">
        <v>303</v>
      </c>
      <c r="N2015" t="str">
        <f t="shared" ref="N2015:N2030" si="1014">"RECEITAS COM ENTREGAS"</f>
        <v>RECEITAS COM ENTREGAS</v>
      </c>
      <c r="P2015">
        <v>172.47</v>
      </c>
      <c r="Q2015" t="str">
        <f>"FARMÁCIA INDIANA LJ 221 (10093)"</f>
        <v>FARMÁCIA INDIANA LJ 221 (10093)</v>
      </c>
      <c r="R2015" t="str">
        <f t="shared" ref="R2015:R2030" si="1015">"RECEITAS COM ENTREGAS (303)"</f>
        <v>RECEITAS COM ENTREGAS (303)</v>
      </c>
      <c r="S2015">
        <v>1349</v>
      </c>
      <c r="T2015">
        <v>1083</v>
      </c>
      <c r="U2015" t="s">
        <v>19</v>
      </c>
    </row>
    <row r="2016" spans="1:21">
      <c r="A2016" t="str">
        <f t="shared" si="1001"/>
        <v>23/04/2025</v>
      </c>
      <c r="B2016" t="str">
        <f t="shared" ref="B2016:B2030" si="1016">"ENTRADA"</f>
        <v>ENTRADA</v>
      </c>
      <c r="C2016" t="str">
        <f t="shared" si="1012"/>
        <v>NFSE</v>
      </c>
      <c r="D2016" t="str">
        <f t="shared" si="1008"/>
        <v>2891</v>
      </c>
      <c r="E2016" t="str">
        <f t="shared" si="1013"/>
        <v>COM</v>
      </c>
      <c r="F2016" t="str">
        <f t="shared" si="1009"/>
        <v>FARMÁCIA INDIANA LJ 85 (10128)</v>
      </c>
      <c r="G2016" t="str">
        <f t="shared" si="1010"/>
        <v>Serv.Prest. 07/04/2025 a 13/04/2025 - RPS: 662 - NFSe: 2891</v>
      </c>
      <c r="H2016" t="str">
        <f t="shared" si="1002"/>
        <v>23/04/2025</v>
      </c>
      <c r="I2016" t="str">
        <f t="shared" si="1011"/>
        <v>15/04/2025</v>
      </c>
      <c r="J2016" t="str">
        <f t="shared" si="1004"/>
        <v>23/04/2025</v>
      </c>
      <c r="M2016">
        <v>303</v>
      </c>
      <c r="N2016" t="str">
        <f t="shared" si="1014"/>
        <v>RECEITAS COM ENTREGAS</v>
      </c>
      <c r="P2016">
        <v>182.14</v>
      </c>
      <c r="Q2016" t="str">
        <f>"FARMÁCIA INDIANA LJ 243 (10142)"</f>
        <v>FARMÁCIA INDIANA LJ 243 (10142)</v>
      </c>
      <c r="R2016" t="str">
        <f t="shared" si="1015"/>
        <v>RECEITAS COM ENTREGAS (303)</v>
      </c>
      <c r="S2016">
        <v>1349</v>
      </c>
      <c r="T2016">
        <v>1083</v>
      </c>
      <c r="U2016" t="s">
        <v>19</v>
      </c>
    </row>
    <row r="2017" spans="1:21">
      <c r="A2017" t="str">
        <f t="shared" ref="A2017:A2035" si="1017">("23/04/2025")</f>
        <v>23/04/2025</v>
      </c>
      <c r="B2017" t="str">
        <f t="shared" si="1016"/>
        <v>ENTRADA</v>
      </c>
      <c r="C2017" t="str">
        <f t="shared" si="1012"/>
        <v>NFSE</v>
      </c>
      <c r="D2017" t="str">
        <f t="shared" si="1008"/>
        <v>2891</v>
      </c>
      <c r="E2017" t="str">
        <f t="shared" si="1013"/>
        <v>COM</v>
      </c>
      <c r="F2017" t="str">
        <f t="shared" si="1009"/>
        <v>FARMÁCIA INDIANA LJ 85 (10128)</v>
      </c>
      <c r="G2017" t="str">
        <f t="shared" si="1010"/>
        <v>Serv.Prest. 07/04/2025 a 13/04/2025 - RPS: 662 - NFSe: 2891</v>
      </c>
      <c r="H2017" t="str">
        <f t="shared" ref="H2017:H2047" si="1018">("23/04/2025")</f>
        <v>23/04/2025</v>
      </c>
      <c r="I2017" t="str">
        <f t="shared" si="1011"/>
        <v>15/04/2025</v>
      </c>
      <c r="J2017" t="str">
        <f t="shared" ref="J2017:J2035" si="1019">("23/04/2025")</f>
        <v>23/04/2025</v>
      </c>
      <c r="M2017">
        <v>303</v>
      </c>
      <c r="N2017" t="str">
        <f t="shared" si="1014"/>
        <v>RECEITAS COM ENTREGAS</v>
      </c>
      <c r="P2017">
        <v>80.849999999999994</v>
      </c>
      <c r="Q2017" t="str">
        <f>"FARMÁCIA INDIANA LJ 211 (10168)"</f>
        <v>FARMÁCIA INDIANA LJ 211 (10168)</v>
      </c>
      <c r="R2017" t="str">
        <f t="shared" si="1015"/>
        <v>RECEITAS COM ENTREGAS (303)</v>
      </c>
      <c r="S2017">
        <v>1349</v>
      </c>
      <c r="T2017">
        <v>1083</v>
      </c>
      <c r="U2017" t="s">
        <v>19</v>
      </c>
    </row>
    <row r="2018" spans="1:21">
      <c r="A2018" t="str">
        <f t="shared" si="1017"/>
        <v>23/04/2025</v>
      </c>
      <c r="B2018" t="str">
        <f t="shared" si="1016"/>
        <v>ENTRADA</v>
      </c>
      <c r="C2018" t="str">
        <f t="shared" si="1012"/>
        <v>NFSE</v>
      </c>
      <c r="D2018" t="str">
        <f t="shared" si="1008"/>
        <v>2891</v>
      </c>
      <c r="E2018" t="str">
        <f t="shared" si="1013"/>
        <v>COM</v>
      </c>
      <c r="F2018" t="str">
        <f t="shared" si="1009"/>
        <v>FARMÁCIA INDIANA LJ 85 (10128)</v>
      </c>
      <c r="G2018" t="str">
        <f t="shared" si="1010"/>
        <v>Serv.Prest. 07/04/2025 a 13/04/2025 - RPS: 662 - NFSe: 2891</v>
      </c>
      <c r="H2018" t="str">
        <f t="shared" si="1018"/>
        <v>23/04/2025</v>
      </c>
      <c r="I2018" t="str">
        <f t="shared" si="1011"/>
        <v>15/04/2025</v>
      </c>
      <c r="J2018" t="str">
        <f t="shared" si="1019"/>
        <v>23/04/2025</v>
      </c>
      <c r="M2018">
        <v>303</v>
      </c>
      <c r="N2018" t="str">
        <f t="shared" si="1014"/>
        <v>RECEITAS COM ENTREGAS</v>
      </c>
      <c r="P2018">
        <v>79.56</v>
      </c>
      <c r="Q2018" t="str">
        <f>"FARMÁCIA INDIANA LJ 236 (10169)"</f>
        <v>FARMÁCIA INDIANA LJ 236 (10169)</v>
      </c>
      <c r="R2018" t="str">
        <f t="shared" si="1015"/>
        <v>RECEITAS COM ENTREGAS (303)</v>
      </c>
      <c r="S2018">
        <v>1349</v>
      </c>
      <c r="T2018">
        <v>1083</v>
      </c>
      <c r="U2018" t="s">
        <v>19</v>
      </c>
    </row>
    <row r="2019" spans="1:21">
      <c r="A2019" t="str">
        <f t="shared" si="1017"/>
        <v>23/04/2025</v>
      </c>
      <c r="B2019" t="str">
        <f t="shared" si="1016"/>
        <v>ENTRADA</v>
      </c>
      <c r="C2019" t="str">
        <f t="shared" si="1012"/>
        <v>NFSE</v>
      </c>
      <c r="D2019" t="str">
        <f>"2904"</f>
        <v>2904</v>
      </c>
      <c r="E2019" t="str">
        <f t="shared" si="1013"/>
        <v>COM</v>
      </c>
      <c r="F2019" t="str">
        <f>"JAL FARMACIA E DROGARIA LJ 2 (10138)"</f>
        <v>JAL FARMACIA E DROGARIA LJ 2 (10138)</v>
      </c>
      <c r="G2019" t="str">
        <f>"Serv.Prest. 14/04/2025 a 20/04/2025 - RPS: 675 - NFSe: 2904"</f>
        <v>Serv.Prest. 14/04/2025 a 20/04/2025 - RPS: 675 - NFSe: 2904</v>
      </c>
      <c r="H2019" t="str">
        <f t="shared" si="1018"/>
        <v>23/04/2025</v>
      </c>
      <c r="I2019" t="str">
        <f t="shared" ref="I2019:I2030" si="1020">("22/04/2025")</f>
        <v>22/04/2025</v>
      </c>
      <c r="J2019" t="str">
        <f t="shared" si="1019"/>
        <v>23/04/2025</v>
      </c>
      <c r="K2019">
        <v>238.4</v>
      </c>
      <c r="L2019">
        <v>238.4</v>
      </c>
      <c r="M2019">
        <v>303</v>
      </c>
      <c r="N2019" t="str">
        <f t="shared" si="1014"/>
        <v>RECEITAS COM ENTREGAS</v>
      </c>
      <c r="O2019">
        <v>238.4</v>
      </c>
      <c r="R2019" t="str">
        <f t="shared" si="1015"/>
        <v>RECEITAS COM ENTREGAS (303)</v>
      </c>
      <c r="S2019">
        <v>1385</v>
      </c>
      <c r="T2019">
        <v>1096</v>
      </c>
      <c r="U2019" t="s">
        <v>19</v>
      </c>
    </row>
    <row r="2020" spans="1:21">
      <c r="A2020" t="str">
        <f t="shared" si="1017"/>
        <v>23/04/2025</v>
      </c>
      <c r="B2020" t="str">
        <f t="shared" si="1016"/>
        <v>ENTRADA</v>
      </c>
      <c r="C2020" t="str">
        <f t="shared" si="1012"/>
        <v>NFSE</v>
      </c>
      <c r="D2020" t="str">
        <f>"2904"</f>
        <v>2904</v>
      </c>
      <c r="E2020" t="str">
        <f t="shared" si="1013"/>
        <v>COM</v>
      </c>
      <c r="F2020" t="str">
        <f>"JAL FARMACIA E DROGARIA LJ 2 (10138)"</f>
        <v>JAL FARMACIA E DROGARIA LJ 2 (10138)</v>
      </c>
      <c r="G2020" t="str">
        <f>"Serv.Prest. 14/04/2025 a 20/04/2025 - RPS: 675 - NFSe: 2904"</f>
        <v>Serv.Prest. 14/04/2025 a 20/04/2025 - RPS: 675 - NFSe: 2904</v>
      </c>
      <c r="H2020" t="str">
        <f t="shared" si="1018"/>
        <v>23/04/2025</v>
      </c>
      <c r="I2020" t="str">
        <f t="shared" si="1020"/>
        <v>22/04/2025</v>
      </c>
      <c r="J2020" t="str">
        <f t="shared" si="1019"/>
        <v>23/04/2025</v>
      </c>
      <c r="M2020">
        <v>303</v>
      </c>
      <c r="N2020" t="str">
        <f t="shared" si="1014"/>
        <v>RECEITAS COM ENTREGAS</v>
      </c>
      <c r="P2020">
        <v>238.4</v>
      </c>
      <c r="Q2020" t="str">
        <f>"JAL FARMACIA E DROGARIA LJ 2 (10138)"</f>
        <v>JAL FARMACIA E DROGARIA LJ 2 (10138)</v>
      </c>
      <c r="R2020" t="str">
        <f t="shared" si="1015"/>
        <v>RECEITAS COM ENTREGAS (303)</v>
      </c>
      <c r="S2020">
        <v>1385</v>
      </c>
      <c r="T2020">
        <v>1096</v>
      </c>
      <c r="U2020" t="s">
        <v>19</v>
      </c>
    </row>
    <row r="2021" spans="1:21">
      <c r="A2021" t="str">
        <f t="shared" si="1017"/>
        <v>23/04/2025</v>
      </c>
      <c r="B2021" t="str">
        <f t="shared" si="1016"/>
        <v>ENTRADA</v>
      </c>
      <c r="C2021" t="str">
        <f t="shared" si="1012"/>
        <v>NFSE</v>
      </c>
      <c r="D2021" t="str">
        <f>"2906"</f>
        <v>2906</v>
      </c>
      <c r="E2021" t="str">
        <f t="shared" si="1013"/>
        <v>COM</v>
      </c>
      <c r="F2021" t="str">
        <f>"FRAN FARMA (10124)"</f>
        <v>FRAN FARMA (10124)</v>
      </c>
      <c r="G2021" t="str">
        <f>"Serv.Prest. 14/04/2025 a 20/04/2025 - RPS: 676 - NFSe: 2906"</f>
        <v>Serv.Prest. 14/04/2025 a 20/04/2025 - RPS: 676 - NFSe: 2906</v>
      </c>
      <c r="H2021" t="str">
        <f t="shared" si="1018"/>
        <v>23/04/2025</v>
      </c>
      <c r="I2021" t="str">
        <f t="shared" si="1020"/>
        <v>22/04/2025</v>
      </c>
      <c r="J2021" t="str">
        <f t="shared" si="1019"/>
        <v>23/04/2025</v>
      </c>
      <c r="K2021">
        <v>320</v>
      </c>
      <c r="L2021">
        <v>320</v>
      </c>
      <c r="M2021">
        <v>303</v>
      </c>
      <c r="N2021" t="str">
        <f t="shared" si="1014"/>
        <v>RECEITAS COM ENTREGAS</v>
      </c>
      <c r="O2021">
        <v>320</v>
      </c>
      <c r="R2021" t="str">
        <f t="shared" si="1015"/>
        <v>RECEITAS COM ENTREGAS (303)</v>
      </c>
      <c r="S2021">
        <v>1386</v>
      </c>
      <c r="T2021">
        <v>1097</v>
      </c>
      <c r="U2021" t="s">
        <v>19</v>
      </c>
    </row>
    <row r="2022" spans="1:21">
      <c r="A2022" t="str">
        <f t="shared" si="1017"/>
        <v>23/04/2025</v>
      </c>
      <c r="B2022" t="str">
        <f t="shared" si="1016"/>
        <v>ENTRADA</v>
      </c>
      <c r="C2022" t="str">
        <f t="shared" si="1012"/>
        <v>NFSE</v>
      </c>
      <c r="D2022" t="str">
        <f>"2906"</f>
        <v>2906</v>
      </c>
      <c r="E2022" t="str">
        <f t="shared" si="1013"/>
        <v>COM</v>
      </c>
      <c r="F2022" t="str">
        <f>"FRAN FARMA (10124)"</f>
        <v>FRAN FARMA (10124)</v>
      </c>
      <c r="G2022" t="str">
        <f>"Serv.Prest. 14/04/2025 a 20/04/2025 - RPS: 676 - NFSe: 2906"</f>
        <v>Serv.Prest. 14/04/2025 a 20/04/2025 - RPS: 676 - NFSe: 2906</v>
      </c>
      <c r="H2022" t="str">
        <f t="shared" si="1018"/>
        <v>23/04/2025</v>
      </c>
      <c r="I2022" t="str">
        <f t="shared" si="1020"/>
        <v>22/04/2025</v>
      </c>
      <c r="J2022" t="str">
        <f t="shared" si="1019"/>
        <v>23/04/2025</v>
      </c>
      <c r="M2022">
        <v>303</v>
      </c>
      <c r="N2022" t="str">
        <f t="shared" si="1014"/>
        <v>RECEITAS COM ENTREGAS</v>
      </c>
      <c r="P2022">
        <v>64</v>
      </c>
      <c r="Q2022" t="str">
        <f>"FRAN FARMA (10124)"</f>
        <v>FRAN FARMA (10124)</v>
      </c>
      <c r="R2022" t="str">
        <f t="shared" si="1015"/>
        <v>RECEITAS COM ENTREGAS (303)</v>
      </c>
      <c r="S2022">
        <v>1386</v>
      </c>
      <c r="T2022">
        <v>1097</v>
      </c>
      <c r="U2022" t="s">
        <v>19</v>
      </c>
    </row>
    <row r="2023" spans="1:21">
      <c r="A2023" t="str">
        <f t="shared" si="1017"/>
        <v>23/04/2025</v>
      </c>
      <c r="B2023" t="str">
        <f t="shared" si="1016"/>
        <v>ENTRADA</v>
      </c>
      <c r="C2023" t="str">
        <f t="shared" si="1012"/>
        <v>NFSE</v>
      </c>
      <c r="D2023" t="str">
        <f>"2906"</f>
        <v>2906</v>
      </c>
      <c r="E2023" t="str">
        <f t="shared" si="1013"/>
        <v>COM</v>
      </c>
      <c r="F2023" t="str">
        <f>"FRAN FARMA (10124)"</f>
        <v>FRAN FARMA (10124)</v>
      </c>
      <c r="G2023" t="str">
        <f>"Serv.Prest. 14/04/2025 a 20/04/2025 - RPS: 676 - NFSe: 2906"</f>
        <v>Serv.Prest. 14/04/2025 a 20/04/2025 - RPS: 676 - NFSe: 2906</v>
      </c>
      <c r="H2023" t="str">
        <f t="shared" si="1018"/>
        <v>23/04/2025</v>
      </c>
      <c r="I2023" t="str">
        <f t="shared" si="1020"/>
        <v>22/04/2025</v>
      </c>
      <c r="J2023" t="str">
        <f t="shared" si="1019"/>
        <v>23/04/2025</v>
      </c>
      <c r="M2023">
        <v>303</v>
      </c>
      <c r="N2023" t="str">
        <f t="shared" si="1014"/>
        <v>RECEITAS COM ENTREGAS</v>
      </c>
      <c r="P2023">
        <v>192</v>
      </c>
      <c r="Q2023" t="str">
        <f>"FRAN FARMA LJ 2 (10131)"</f>
        <v>FRAN FARMA LJ 2 (10131)</v>
      </c>
      <c r="R2023" t="str">
        <f t="shared" si="1015"/>
        <v>RECEITAS COM ENTREGAS (303)</v>
      </c>
      <c r="S2023">
        <v>1386</v>
      </c>
      <c r="T2023">
        <v>1097</v>
      </c>
      <c r="U2023" t="s">
        <v>19</v>
      </c>
    </row>
    <row r="2024" spans="1:21">
      <c r="A2024" t="str">
        <f t="shared" si="1017"/>
        <v>23/04/2025</v>
      </c>
      <c r="B2024" t="str">
        <f t="shared" si="1016"/>
        <v>ENTRADA</v>
      </c>
      <c r="C2024" t="str">
        <f t="shared" si="1012"/>
        <v>NFSE</v>
      </c>
      <c r="D2024" t="str">
        <f>"2906"</f>
        <v>2906</v>
      </c>
      <c r="E2024" t="str">
        <f t="shared" si="1013"/>
        <v>COM</v>
      </c>
      <c r="F2024" t="str">
        <f>"FRAN FARMA (10124)"</f>
        <v>FRAN FARMA (10124)</v>
      </c>
      <c r="G2024" t="str">
        <f>"Serv.Prest. 14/04/2025 a 20/04/2025 - RPS: 676 - NFSe: 2906"</f>
        <v>Serv.Prest. 14/04/2025 a 20/04/2025 - RPS: 676 - NFSe: 2906</v>
      </c>
      <c r="H2024" t="str">
        <f t="shared" si="1018"/>
        <v>23/04/2025</v>
      </c>
      <c r="I2024" t="str">
        <f t="shared" si="1020"/>
        <v>22/04/2025</v>
      </c>
      <c r="J2024" t="str">
        <f t="shared" si="1019"/>
        <v>23/04/2025</v>
      </c>
      <c r="M2024">
        <v>303</v>
      </c>
      <c r="N2024" t="str">
        <f t="shared" si="1014"/>
        <v>RECEITAS COM ENTREGAS</v>
      </c>
      <c r="P2024">
        <v>64</v>
      </c>
      <c r="Q2024" t="str">
        <f>"FRAN FARMA LJ 3 (10132)"</f>
        <v>FRAN FARMA LJ 3 (10132)</v>
      </c>
      <c r="R2024" t="str">
        <f t="shared" si="1015"/>
        <v>RECEITAS COM ENTREGAS (303)</v>
      </c>
      <c r="S2024">
        <v>1386</v>
      </c>
      <c r="T2024">
        <v>1097</v>
      </c>
      <c r="U2024" t="s">
        <v>19</v>
      </c>
    </row>
    <row r="2025" spans="1:21">
      <c r="A2025" t="str">
        <f t="shared" si="1017"/>
        <v>23/04/2025</v>
      </c>
      <c r="B2025" t="str">
        <f t="shared" si="1016"/>
        <v>ENTRADA</v>
      </c>
      <c r="C2025" t="str">
        <f t="shared" si="1012"/>
        <v>NFSE</v>
      </c>
      <c r="D2025" t="str">
        <f>"2911"</f>
        <v>2911</v>
      </c>
      <c r="E2025" t="str">
        <f t="shared" si="1013"/>
        <v>COM</v>
      </c>
      <c r="F2025" t="str">
        <f>"ROSA MARIA LTDA (10165)"</f>
        <v>ROSA MARIA LTDA (10165)</v>
      </c>
      <c r="G2025" t="str">
        <f>"Serv.Prest. 14/04/2025 a 20/04/2025 - RPS: 682 - NFSe: 2911"</f>
        <v>Serv.Prest. 14/04/2025 a 20/04/2025 - RPS: 682 - NFSe: 2911</v>
      </c>
      <c r="H2025" t="str">
        <f t="shared" si="1018"/>
        <v>23/04/2025</v>
      </c>
      <c r="I2025" t="str">
        <f t="shared" si="1020"/>
        <v>22/04/2025</v>
      </c>
      <c r="J2025" t="str">
        <f t="shared" si="1019"/>
        <v>23/04/2025</v>
      </c>
      <c r="K2025">
        <v>229.84</v>
      </c>
      <c r="L2025">
        <v>229.84</v>
      </c>
      <c r="M2025">
        <v>303</v>
      </c>
      <c r="N2025" t="str">
        <f t="shared" si="1014"/>
        <v>RECEITAS COM ENTREGAS</v>
      </c>
      <c r="O2025">
        <v>229.84</v>
      </c>
      <c r="R2025" t="str">
        <f t="shared" si="1015"/>
        <v>RECEITAS COM ENTREGAS (303)</v>
      </c>
      <c r="S2025">
        <v>1387</v>
      </c>
      <c r="T2025">
        <v>1103</v>
      </c>
      <c r="U2025" t="s">
        <v>19</v>
      </c>
    </row>
    <row r="2026" spans="1:21">
      <c r="A2026" t="str">
        <f t="shared" si="1017"/>
        <v>23/04/2025</v>
      </c>
      <c r="B2026" t="str">
        <f t="shared" si="1016"/>
        <v>ENTRADA</v>
      </c>
      <c r="C2026" t="str">
        <f t="shared" si="1012"/>
        <v>NFSE</v>
      </c>
      <c r="D2026" t="str">
        <f>"2911"</f>
        <v>2911</v>
      </c>
      <c r="E2026" t="str">
        <f t="shared" si="1013"/>
        <v>COM</v>
      </c>
      <c r="F2026" t="str">
        <f>"ROSA MARIA LTDA (10165)"</f>
        <v>ROSA MARIA LTDA (10165)</v>
      </c>
      <c r="G2026" t="str">
        <f>"Serv.Prest. 14/04/2025 a 20/04/2025 - RPS: 682 - NFSe: 2911"</f>
        <v>Serv.Prest. 14/04/2025 a 20/04/2025 - RPS: 682 - NFSe: 2911</v>
      </c>
      <c r="H2026" t="str">
        <f t="shared" si="1018"/>
        <v>23/04/2025</v>
      </c>
      <c r="I2026" t="str">
        <f t="shared" si="1020"/>
        <v>22/04/2025</v>
      </c>
      <c r="J2026" t="str">
        <f t="shared" si="1019"/>
        <v>23/04/2025</v>
      </c>
      <c r="M2026">
        <v>303</v>
      </c>
      <c r="N2026" t="str">
        <f t="shared" si="1014"/>
        <v>RECEITAS COM ENTREGAS</v>
      </c>
      <c r="P2026">
        <v>229.84</v>
      </c>
      <c r="Q2026" t="str">
        <f>"ROSA MARIA LTDA (10170)"</f>
        <v>ROSA MARIA LTDA (10170)</v>
      </c>
      <c r="R2026" t="str">
        <f t="shared" si="1015"/>
        <v>RECEITAS COM ENTREGAS (303)</v>
      </c>
      <c r="S2026">
        <v>1387</v>
      </c>
      <c r="T2026">
        <v>1103</v>
      </c>
      <c r="U2026" t="s">
        <v>19</v>
      </c>
    </row>
    <row r="2027" spans="1:21">
      <c r="A2027" t="str">
        <f t="shared" si="1017"/>
        <v>23/04/2025</v>
      </c>
      <c r="B2027" t="str">
        <f t="shared" si="1016"/>
        <v>ENTRADA</v>
      </c>
      <c r="C2027" t="str">
        <f t="shared" si="1012"/>
        <v>NFSE</v>
      </c>
      <c r="D2027" t="str">
        <f>"2912"</f>
        <v>2912</v>
      </c>
      <c r="E2027" t="str">
        <f t="shared" si="1013"/>
        <v>COM</v>
      </c>
      <c r="F2027" t="str">
        <f>"ENTREFARMA (10164)"</f>
        <v>ENTREFARMA (10164)</v>
      </c>
      <c r="G2027" t="str">
        <f>"Serv.Prest. 14/04/2025 a 20/04/2025 - RPS: 683 - NFSe: 2912"</f>
        <v>Serv.Prest. 14/04/2025 a 20/04/2025 - RPS: 683 - NFSe: 2912</v>
      </c>
      <c r="H2027" t="str">
        <f t="shared" si="1018"/>
        <v>23/04/2025</v>
      </c>
      <c r="I2027" t="str">
        <f t="shared" si="1020"/>
        <v>22/04/2025</v>
      </c>
      <c r="J2027" t="str">
        <f t="shared" si="1019"/>
        <v>23/04/2025</v>
      </c>
      <c r="K2027">
        <v>820.08</v>
      </c>
      <c r="L2027">
        <v>820.08</v>
      </c>
      <c r="M2027">
        <v>303</v>
      </c>
      <c r="N2027" t="str">
        <f t="shared" si="1014"/>
        <v>RECEITAS COM ENTREGAS</v>
      </c>
      <c r="O2027">
        <v>820.08</v>
      </c>
      <c r="R2027" t="str">
        <f t="shared" si="1015"/>
        <v>RECEITAS COM ENTREGAS (303)</v>
      </c>
      <c r="S2027">
        <v>1388</v>
      </c>
      <c r="T2027">
        <v>1104</v>
      </c>
      <c r="U2027" t="s">
        <v>19</v>
      </c>
    </row>
    <row r="2028" spans="1:21">
      <c r="A2028" t="str">
        <f t="shared" si="1017"/>
        <v>23/04/2025</v>
      </c>
      <c r="B2028" t="str">
        <f t="shared" si="1016"/>
        <v>ENTRADA</v>
      </c>
      <c r="C2028" t="str">
        <f t="shared" si="1012"/>
        <v>NFSE</v>
      </c>
      <c r="D2028" t="str">
        <f>"2912"</f>
        <v>2912</v>
      </c>
      <c r="E2028" t="str">
        <f t="shared" si="1013"/>
        <v>COM</v>
      </c>
      <c r="F2028" t="str">
        <f>"ENTREFARMA (10164)"</f>
        <v>ENTREFARMA (10164)</v>
      </c>
      <c r="G2028" t="str">
        <f>"Serv.Prest. 14/04/2025 a 20/04/2025 - RPS: 683 - NFSe: 2912"</f>
        <v>Serv.Prest. 14/04/2025 a 20/04/2025 - RPS: 683 - NFSe: 2912</v>
      </c>
      <c r="H2028" t="str">
        <f t="shared" si="1018"/>
        <v>23/04/2025</v>
      </c>
      <c r="I2028" t="str">
        <f t="shared" si="1020"/>
        <v>22/04/2025</v>
      </c>
      <c r="J2028" t="str">
        <f t="shared" si="1019"/>
        <v>23/04/2025</v>
      </c>
      <c r="M2028">
        <v>303</v>
      </c>
      <c r="N2028" t="str">
        <f t="shared" si="1014"/>
        <v>RECEITAS COM ENTREGAS</v>
      </c>
      <c r="P2028">
        <v>820.08</v>
      </c>
      <c r="Q2028" t="str">
        <f>"ENTREFARMA (10164)"</f>
        <v>ENTREFARMA (10164)</v>
      </c>
      <c r="R2028" t="str">
        <f t="shared" si="1015"/>
        <v>RECEITAS COM ENTREGAS (303)</v>
      </c>
      <c r="S2028">
        <v>1388</v>
      </c>
      <c r="T2028">
        <v>1104</v>
      </c>
      <c r="U2028" t="s">
        <v>19</v>
      </c>
    </row>
    <row r="2029" spans="1:21">
      <c r="A2029" t="str">
        <f t="shared" si="1017"/>
        <v>23/04/2025</v>
      </c>
      <c r="B2029" t="str">
        <f t="shared" si="1016"/>
        <v>ENTRADA</v>
      </c>
      <c r="C2029" t="str">
        <f t="shared" si="1012"/>
        <v>NFSE</v>
      </c>
      <c r="D2029" t="str">
        <f>"2921"</f>
        <v>2921</v>
      </c>
      <c r="E2029" t="str">
        <f t="shared" si="1013"/>
        <v>COM</v>
      </c>
      <c r="F2029" t="str">
        <f>"DROGARIA AGAPEAMA (10167)"</f>
        <v>DROGARIA AGAPEAMA (10167)</v>
      </c>
      <c r="G2029" t="str">
        <f>"Serv.Prest. 14/04/2025 a 20/04/2025 - RPS: 692 - NFSe: 2921"</f>
        <v>Serv.Prest. 14/04/2025 a 20/04/2025 - RPS: 692 - NFSe: 2921</v>
      </c>
      <c r="H2029" t="str">
        <f t="shared" si="1018"/>
        <v>23/04/2025</v>
      </c>
      <c r="I2029" t="str">
        <f t="shared" si="1020"/>
        <v>22/04/2025</v>
      </c>
      <c r="J2029" t="str">
        <f t="shared" si="1019"/>
        <v>23/04/2025</v>
      </c>
      <c r="K2029">
        <v>564.48</v>
      </c>
      <c r="L2029">
        <v>564.48</v>
      </c>
      <c r="M2029">
        <v>303</v>
      </c>
      <c r="N2029" t="str">
        <f t="shared" si="1014"/>
        <v>RECEITAS COM ENTREGAS</v>
      </c>
      <c r="O2029">
        <v>564.48</v>
      </c>
      <c r="R2029" t="str">
        <f t="shared" si="1015"/>
        <v>RECEITAS COM ENTREGAS (303)</v>
      </c>
      <c r="S2029">
        <v>1389</v>
      </c>
      <c r="T2029">
        <v>1113</v>
      </c>
      <c r="U2029" t="s">
        <v>19</v>
      </c>
    </row>
    <row r="2030" spans="1:21">
      <c r="A2030" t="str">
        <f t="shared" si="1017"/>
        <v>23/04/2025</v>
      </c>
      <c r="B2030" t="str">
        <f t="shared" si="1016"/>
        <v>ENTRADA</v>
      </c>
      <c r="C2030" t="str">
        <f t="shared" si="1012"/>
        <v>NFSE</v>
      </c>
      <c r="D2030" t="str">
        <f>"2921"</f>
        <v>2921</v>
      </c>
      <c r="E2030" t="str">
        <f t="shared" si="1013"/>
        <v>COM</v>
      </c>
      <c r="F2030" t="str">
        <f>"DROGARIA AGAPEAMA (10167)"</f>
        <v>DROGARIA AGAPEAMA (10167)</v>
      </c>
      <c r="G2030" t="str">
        <f>"Serv.Prest. 14/04/2025 a 20/04/2025 - RPS: 692 - NFSe: 2921"</f>
        <v>Serv.Prest. 14/04/2025 a 20/04/2025 - RPS: 692 - NFSe: 2921</v>
      </c>
      <c r="H2030" t="str">
        <f t="shared" si="1018"/>
        <v>23/04/2025</v>
      </c>
      <c r="I2030" t="str">
        <f t="shared" si="1020"/>
        <v>22/04/2025</v>
      </c>
      <c r="J2030" t="str">
        <f t="shared" si="1019"/>
        <v>23/04/2025</v>
      </c>
      <c r="M2030">
        <v>303</v>
      </c>
      <c r="N2030" t="str">
        <f t="shared" si="1014"/>
        <v>RECEITAS COM ENTREGAS</v>
      </c>
      <c r="P2030">
        <v>564.48</v>
      </c>
      <c r="Q2030" t="str">
        <f>"DROGARIA AGAPEAMA (10167)"</f>
        <v>DROGARIA AGAPEAMA (10167)</v>
      </c>
      <c r="R2030" t="str">
        <f t="shared" si="1015"/>
        <v>RECEITAS COM ENTREGAS (303)</v>
      </c>
      <c r="S2030">
        <v>1389</v>
      </c>
      <c r="T2030">
        <v>1113</v>
      </c>
      <c r="U2030" t="s">
        <v>19</v>
      </c>
    </row>
    <row r="2031" spans="1:21">
      <c r="A2031" t="str">
        <f t="shared" si="1017"/>
        <v>23/04/2025</v>
      </c>
      <c r="B2031" t="str">
        <f t="shared" ref="B2031:B2035" si="1021">"SAÍDA"</f>
        <v>SAÍDA</v>
      </c>
      <c r="C2031" t="str">
        <f>"JUROS"</f>
        <v>JUROS</v>
      </c>
      <c r="D2031" t="str">
        <f>""</f>
        <v/>
      </c>
      <c r="E2031" t="str">
        <f>"CXA"</f>
        <v>CXA</v>
      </c>
      <c r="F2031" t="str">
        <f>""</f>
        <v/>
      </c>
      <c r="G2031" t="str">
        <f>"TAXA BOLETO COMPENSADO"</f>
        <v>TAXA BOLETO COMPENSADO</v>
      </c>
      <c r="H2031" t="str">
        <f t="shared" si="1018"/>
        <v>23/04/2025</v>
      </c>
      <c r="I2031" t="str">
        <f>("23/04/2025")</f>
        <v>23/04/2025</v>
      </c>
      <c r="J2031" t="str">
        <f t="shared" si="1019"/>
        <v>23/04/2025</v>
      </c>
      <c r="K2031">
        <v>1.7</v>
      </c>
      <c r="L2031">
        <v>1.7</v>
      </c>
      <c r="M2031">
        <v>401</v>
      </c>
      <c r="N2031" t="str">
        <f>"IOF/JUROS/DESP.FINANCEIRA"</f>
        <v>IOF/JUROS/DESP.FINANCEIRA</v>
      </c>
      <c r="O2031">
        <v>1.7</v>
      </c>
      <c r="R2031" t="str">
        <f>"BANCO CORA (102)"</f>
        <v>BANCO CORA (102)</v>
      </c>
      <c r="S2031">
        <v>1474</v>
      </c>
      <c r="T2031">
        <v>0</v>
      </c>
      <c r="U2031" t="s">
        <v>20</v>
      </c>
    </row>
    <row r="2032" spans="1:21">
      <c r="A2032" t="str">
        <f t="shared" si="1017"/>
        <v>23/04/2025</v>
      </c>
      <c r="B2032" t="str">
        <f t="shared" si="1021"/>
        <v>SAÍDA</v>
      </c>
      <c r="C2032" t="str">
        <f>"JUROS"</f>
        <v>JUROS</v>
      </c>
      <c r="D2032" t="str">
        <f>""</f>
        <v/>
      </c>
      <c r="E2032" t="str">
        <f>"CXA"</f>
        <v>CXA</v>
      </c>
      <c r="F2032" t="str">
        <f>""</f>
        <v/>
      </c>
      <c r="G2032" t="str">
        <f>"TAXA BOLETO COMPENSADO"</f>
        <v>TAXA BOLETO COMPENSADO</v>
      </c>
      <c r="H2032" t="str">
        <f t="shared" si="1018"/>
        <v>23/04/2025</v>
      </c>
      <c r="I2032" t="str">
        <f>("23/04/2025")</f>
        <v>23/04/2025</v>
      </c>
      <c r="J2032" t="str">
        <f t="shared" si="1019"/>
        <v>23/04/2025</v>
      </c>
      <c r="K2032">
        <v>1.7</v>
      </c>
      <c r="L2032">
        <v>1.7</v>
      </c>
      <c r="M2032">
        <v>401</v>
      </c>
      <c r="N2032" t="str">
        <f>"IOF/JUROS/DESP.FINANCEIRA"</f>
        <v>IOF/JUROS/DESP.FINANCEIRA</v>
      </c>
      <c r="O2032">
        <v>1.7</v>
      </c>
      <c r="R2032" t="str">
        <f>"BANCO CORA (102)"</f>
        <v>BANCO CORA (102)</v>
      </c>
      <c r="S2032">
        <v>1475</v>
      </c>
      <c r="T2032">
        <v>0</v>
      </c>
      <c r="U2032" t="s">
        <v>20</v>
      </c>
    </row>
    <row r="2033" spans="1:21">
      <c r="A2033" t="str">
        <f t="shared" si="1017"/>
        <v>23/04/2025</v>
      </c>
      <c r="B2033" t="str">
        <f t="shared" si="1021"/>
        <v>SAÍDA</v>
      </c>
      <c r="C2033" t="str">
        <f>"JUROS"</f>
        <v>JUROS</v>
      </c>
      <c r="D2033" t="str">
        <f>""</f>
        <v/>
      </c>
      <c r="E2033" t="str">
        <f>"CXA"</f>
        <v>CXA</v>
      </c>
      <c r="F2033" t="str">
        <f>""</f>
        <v/>
      </c>
      <c r="G2033" t="str">
        <f>"TAXA BOLETO COMPENSADO"</f>
        <v>TAXA BOLETO COMPENSADO</v>
      </c>
      <c r="H2033" t="str">
        <f t="shared" si="1018"/>
        <v>23/04/2025</v>
      </c>
      <c r="I2033" t="str">
        <f>("23/04/2025")</f>
        <v>23/04/2025</v>
      </c>
      <c r="J2033" t="str">
        <f t="shared" si="1019"/>
        <v>23/04/2025</v>
      </c>
      <c r="K2033">
        <v>1.7</v>
      </c>
      <c r="L2033">
        <v>1.7</v>
      </c>
      <c r="M2033">
        <v>401</v>
      </c>
      <c r="N2033" t="str">
        <f>"IOF/JUROS/DESP.FINANCEIRA"</f>
        <v>IOF/JUROS/DESP.FINANCEIRA</v>
      </c>
      <c r="O2033">
        <v>1.7</v>
      </c>
      <c r="R2033" t="str">
        <f>"BANCO CORA (102)"</f>
        <v>BANCO CORA (102)</v>
      </c>
      <c r="S2033">
        <v>1476</v>
      </c>
      <c r="T2033">
        <v>0</v>
      </c>
      <c r="U2033" t="s">
        <v>20</v>
      </c>
    </row>
    <row r="2034" spans="1:21">
      <c r="A2034" t="str">
        <f t="shared" si="1017"/>
        <v>23/04/2025</v>
      </c>
      <c r="B2034" t="str">
        <f t="shared" si="1021"/>
        <v>SAÍDA</v>
      </c>
      <c r="C2034" t="str">
        <f>"JUROS"</f>
        <v>JUROS</v>
      </c>
      <c r="D2034" t="str">
        <f>""</f>
        <v/>
      </c>
      <c r="E2034" t="str">
        <f>"CXA"</f>
        <v>CXA</v>
      </c>
      <c r="F2034" t="str">
        <f>""</f>
        <v/>
      </c>
      <c r="G2034" t="str">
        <f>"TAXA BOLETO COMPENSADO"</f>
        <v>TAXA BOLETO COMPENSADO</v>
      </c>
      <c r="H2034" t="str">
        <f t="shared" si="1018"/>
        <v>23/04/2025</v>
      </c>
      <c r="I2034" t="str">
        <f>("23/04/2025")</f>
        <v>23/04/2025</v>
      </c>
      <c r="J2034" t="str">
        <f t="shared" si="1019"/>
        <v>23/04/2025</v>
      </c>
      <c r="K2034">
        <v>1.7</v>
      </c>
      <c r="L2034">
        <v>1.7</v>
      </c>
      <c r="M2034">
        <v>401</v>
      </c>
      <c r="N2034" t="str">
        <f>"IOF/JUROS/DESP.FINANCEIRA"</f>
        <v>IOF/JUROS/DESP.FINANCEIRA</v>
      </c>
      <c r="O2034">
        <v>1.7</v>
      </c>
      <c r="R2034" t="str">
        <f>"BANCO CORA (102)"</f>
        <v>BANCO CORA (102)</v>
      </c>
      <c r="S2034">
        <v>1477</v>
      </c>
      <c r="T2034">
        <v>0</v>
      </c>
      <c r="U2034" t="s">
        <v>20</v>
      </c>
    </row>
    <row r="2035" spans="1:21">
      <c r="A2035" t="str">
        <f t="shared" si="1017"/>
        <v>23/04/2025</v>
      </c>
      <c r="B2035" t="str">
        <f t="shared" si="1021"/>
        <v>SAÍDA</v>
      </c>
      <c r="C2035" t="str">
        <f>"JUROS"</f>
        <v>JUROS</v>
      </c>
      <c r="D2035" t="str">
        <f>""</f>
        <v/>
      </c>
      <c r="E2035" t="str">
        <f>"CXA"</f>
        <v>CXA</v>
      </c>
      <c r="F2035" t="str">
        <f>""</f>
        <v/>
      </c>
      <c r="G2035" t="str">
        <f>"TAXA BOLETO COMPENSADO"</f>
        <v>TAXA BOLETO COMPENSADO</v>
      </c>
      <c r="H2035" t="str">
        <f t="shared" si="1018"/>
        <v>23/04/2025</v>
      </c>
      <c r="I2035" t="str">
        <f>("23/04/2025")</f>
        <v>23/04/2025</v>
      </c>
      <c r="J2035" t="str">
        <f t="shared" si="1019"/>
        <v>23/04/2025</v>
      </c>
      <c r="K2035">
        <v>1.7</v>
      </c>
      <c r="L2035">
        <v>1.7</v>
      </c>
      <c r="M2035">
        <v>401</v>
      </c>
      <c r="N2035" t="str">
        <f>"IOF/JUROS/DESP.FINANCEIRA"</f>
        <v>IOF/JUROS/DESP.FINANCEIRA</v>
      </c>
      <c r="O2035">
        <v>1.7</v>
      </c>
      <c r="R2035" t="str">
        <f>"BANCO CORA (102)"</f>
        <v>BANCO CORA (102)</v>
      </c>
      <c r="S2035">
        <v>1478</v>
      </c>
      <c r="T2035">
        <v>0</v>
      </c>
      <c r="U2035" t="s">
        <v>20</v>
      </c>
    </row>
    <row r="2036" spans="1:21">
      <c r="A2036" t="str">
        <f t="shared" ref="A2036:A2057" si="1022">("24/04/2025")</f>
        <v>24/04/2025</v>
      </c>
      <c r="B2036" t="str">
        <f>"ENTRADA"</f>
        <v>ENTRADA</v>
      </c>
      <c r="C2036" t="str">
        <f t="shared" ref="C2036:C2047" si="1023">"NFSE"</f>
        <v>NFSE</v>
      </c>
      <c r="D2036" t="str">
        <f>"2905"</f>
        <v>2905</v>
      </c>
      <c r="E2036" t="str">
        <f t="shared" ref="E2036:E2051" si="1024">"COM"</f>
        <v>COM</v>
      </c>
      <c r="F2036" t="str">
        <f>"DELTA LOJA 2 (10123)"</f>
        <v>DELTA LOJA 2 (10123)</v>
      </c>
      <c r="G2036" t="str">
        <f>"Serv.Prest. 14/04/2025 a 20/04/2025 - RPS: 677 - NFSe: 2905"</f>
        <v>Serv.Prest. 14/04/2025 a 20/04/2025 - RPS: 677 - NFSe: 2905</v>
      </c>
      <c r="H2036" t="str">
        <f t="shared" si="1018"/>
        <v>23/04/2025</v>
      </c>
      <c r="I2036" t="str">
        <f t="shared" ref="I2036:I2047" si="1025">("22/04/2025")</f>
        <v>22/04/2025</v>
      </c>
      <c r="J2036" t="str">
        <f t="shared" ref="J2036:J2057" si="1026">("24/04/2025")</f>
        <v>24/04/2025</v>
      </c>
      <c r="K2036">
        <v>480.48</v>
      </c>
      <c r="L2036">
        <v>480.48</v>
      </c>
      <c r="M2036">
        <v>303</v>
      </c>
      <c r="N2036" t="str">
        <f t="shared" ref="N2036:N2047" si="1027">"RECEITAS COM ENTREGAS"</f>
        <v>RECEITAS COM ENTREGAS</v>
      </c>
      <c r="O2036">
        <v>480.48</v>
      </c>
      <c r="R2036" t="str">
        <f t="shared" ref="R2036:R2047" si="1028">"RECEITAS COM ENTREGAS (303)"</f>
        <v>RECEITAS COM ENTREGAS (303)</v>
      </c>
      <c r="S2036">
        <v>1337</v>
      </c>
      <c r="T2036">
        <v>1098</v>
      </c>
      <c r="U2036" t="s">
        <v>19</v>
      </c>
    </row>
    <row r="2037" spans="1:21">
      <c r="A2037" t="str">
        <f t="shared" si="1022"/>
        <v>24/04/2025</v>
      </c>
      <c r="B2037" t="str">
        <f t="shared" ref="B2037:B2047" si="1029">"ENTRADA"</f>
        <v>ENTRADA</v>
      </c>
      <c r="C2037" t="str">
        <f t="shared" si="1023"/>
        <v>NFSE</v>
      </c>
      <c r="D2037" t="str">
        <f>"2905"</f>
        <v>2905</v>
      </c>
      <c r="E2037" t="str">
        <f t="shared" si="1024"/>
        <v>COM</v>
      </c>
      <c r="F2037" t="str">
        <f>"DELTA LOJA 2 (10123)"</f>
        <v>DELTA LOJA 2 (10123)</v>
      </c>
      <c r="G2037" t="str">
        <f>"Serv.Prest. 14/04/2025 a 20/04/2025 - RPS: 677 - NFSe: 2905"</f>
        <v>Serv.Prest. 14/04/2025 a 20/04/2025 - RPS: 677 - NFSe: 2905</v>
      </c>
      <c r="H2037" t="str">
        <f t="shared" si="1018"/>
        <v>23/04/2025</v>
      </c>
      <c r="I2037" t="str">
        <f t="shared" si="1025"/>
        <v>22/04/2025</v>
      </c>
      <c r="J2037" t="str">
        <f t="shared" si="1026"/>
        <v>24/04/2025</v>
      </c>
      <c r="M2037">
        <v>303</v>
      </c>
      <c r="N2037" t="str">
        <f t="shared" si="1027"/>
        <v>RECEITAS COM ENTREGAS</v>
      </c>
      <c r="P2037">
        <v>480.48</v>
      </c>
      <c r="Q2037" t="str">
        <f>"DELTA LOJA 2 (10123)"</f>
        <v>DELTA LOJA 2 (10123)</v>
      </c>
      <c r="R2037" t="str">
        <f t="shared" si="1028"/>
        <v>RECEITAS COM ENTREGAS (303)</v>
      </c>
      <c r="S2037">
        <v>1337</v>
      </c>
      <c r="T2037">
        <v>1098</v>
      </c>
      <c r="U2037" t="s">
        <v>19</v>
      </c>
    </row>
    <row r="2038" spans="1:21">
      <c r="A2038" t="str">
        <f t="shared" si="1022"/>
        <v>24/04/2025</v>
      </c>
      <c r="B2038" t="str">
        <f t="shared" si="1029"/>
        <v>ENTRADA</v>
      </c>
      <c r="C2038" t="str">
        <f t="shared" si="1023"/>
        <v>NFSE</v>
      </c>
      <c r="D2038" t="str">
        <f>"2903"</f>
        <v>2903</v>
      </c>
      <c r="E2038" t="str">
        <f t="shared" si="1024"/>
        <v>COM</v>
      </c>
      <c r="F2038" t="str">
        <f>"JAL FARMACIA E DROGARIA LJ 1 (10137)"</f>
        <v>JAL FARMACIA E DROGARIA LJ 1 (10137)</v>
      </c>
      <c r="G2038" t="str">
        <f>"Serv.Prest. 14/04/2025 a 20/04/2025 - RPS: 674 - NFSe: 2903"</f>
        <v>Serv.Prest. 14/04/2025 a 20/04/2025 - RPS: 674 - NFSe: 2903</v>
      </c>
      <c r="H2038" t="str">
        <f t="shared" si="1018"/>
        <v>23/04/2025</v>
      </c>
      <c r="I2038" t="str">
        <f t="shared" si="1025"/>
        <v>22/04/2025</v>
      </c>
      <c r="J2038" t="str">
        <f t="shared" si="1026"/>
        <v>24/04/2025</v>
      </c>
      <c r="K2038">
        <v>444.8</v>
      </c>
      <c r="L2038">
        <v>444.8</v>
      </c>
      <c r="M2038">
        <v>303</v>
      </c>
      <c r="N2038" t="str">
        <f t="shared" si="1027"/>
        <v>RECEITAS COM ENTREGAS</v>
      </c>
      <c r="O2038">
        <v>444.8</v>
      </c>
      <c r="R2038" t="str">
        <f t="shared" si="1028"/>
        <v>RECEITAS COM ENTREGAS (303)</v>
      </c>
      <c r="S2038">
        <v>1390</v>
      </c>
      <c r="T2038">
        <v>1095</v>
      </c>
      <c r="U2038" t="s">
        <v>19</v>
      </c>
    </row>
    <row r="2039" spans="1:21">
      <c r="A2039" t="str">
        <f t="shared" si="1022"/>
        <v>24/04/2025</v>
      </c>
      <c r="B2039" t="str">
        <f t="shared" si="1029"/>
        <v>ENTRADA</v>
      </c>
      <c r="C2039" t="str">
        <f t="shared" si="1023"/>
        <v>NFSE</v>
      </c>
      <c r="D2039" t="str">
        <f>"2903"</f>
        <v>2903</v>
      </c>
      <c r="E2039" t="str">
        <f t="shared" si="1024"/>
        <v>COM</v>
      </c>
      <c r="F2039" t="str">
        <f>"JAL FARMACIA E DROGARIA LJ 1 (10137)"</f>
        <v>JAL FARMACIA E DROGARIA LJ 1 (10137)</v>
      </c>
      <c r="G2039" t="str">
        <f>"Serv.Prest. 14/04/2025 a 20/04/2025 - RPS: 674 - NFSe: 2903"</f>
        <v>Serv.Prest. 14/04/2025 a 20/04/2025 - RPS: 674 - NFSe: 2903</v>
      </c>
      <c r="H2039" t="str">
        <f t="shared" si="1018"/>
        <v>23/04/2025</v>
      </c>
      <c r="I2039" t="str">
        <f t="shared" si="1025"/>
        <v>22/04/2025</v>
      </c>
      <c r="J2039" t="str">
        <f t="shared" si="1026"/>
        <v>24/04/2025</v>
      </c>
      <c r="M2039">
        <v>303</v>
      </c>
      <c r="N2039" t="str">
        <f t="shared" si="1027"/>
        <v>RECEITAS COM ENTREGAS</v>
      </c>
      <c r="P2039">
        <v>444.8</v>
      </c>
      <c r="Q2039" t="str">
        <f>"JAL FARMACIA E DROGARIA LJ 1 (10137)"</f>
        <v>JAL FARMACIA E DROGARIA LJ 1 (10137)</v>
      </c>
      <c r="R2039" t="str">
        <f t="shared" si="1028"/>
        <v>RECEITAS COM ENTREGAS (303)</v>
      </c>
      <c r="S2039">
        <v>1390</v>
      </c>
      <c r="T2039">
        <v>1095</v>
      </c>
      <c r="U2039" t="s">
        <v>19</v>
      </c>
    </row>
    <row r="2040" spans="1:21">
      <c r="A2040" t="str">
        <f t="shared" si="1022"/>
        <v>24/04/2025</v>
      </c>
      <c r="B2040" t="str">
        <f t="shared" si="1029"/>
        <v>ENTRADA</v>
      </c>
      <c r="C2040" t="str">
        <f t="shared" si="1023"/>
        <v>NFSE</v>
      </c>
      <c r="D2040" t="str">
        <f>"2907"</f>
        <v>2907</v>
      </c>
      <c r="E2040" t="str">
        <f t="shared" si="1024"/>
        <v>COM</v>
      </c>
      <c r="F2040" t="str">
        <f>"DROGA ELIDA (10121)"</f>
        <v>DROGA ELIDA (10121)</v>
      </c>
      <c r="G2040" t="str">
        <f>"Serv.Prest. 14/04/2025 a 20/04/2025 - RPS: 678 - NFSe: 2907"</f>
        <v>Serv.Prest. 14/04/2025 a 20/04/2025 - RPS: 678 - NFSe: 2907</v>
      </c>
      <c r="H2040" t="str">
        <f t="shared" si="1018"/>
        <v>23/04/2025</v>
      </c>
      <c r="I2040" t="str">
        <f t="shared" si="1025"/>
        <v>22/04/2025</v>
      </c>
      <c r="J2040" t="str">
        <f t="shared" si="1026"/>
        <v>24/04/2025</v>
      </c>
      <c r="K2040">
        <v>350.4</v>
      </c>
      <c r="L2040">
        <v>350.4</v>
      </c>
      <c r="M2040">
        <v>303</v>
      </c>
      <c r="N2040" t="str">
        <f t="shared" si="1027"/>
        <v>RECEITAS COM ENTREGAS</v>
      </c>
      <c r="O2040">
        <v>350.4</v>
      </c>
      <c r="R2040" t="str">
        <f t="shared" si="1028"/>
        <v>RECEITAS COM ENTREGAS (303)</v>
      </c>
      <c r="S2040">
        <v>1391</v>
      </c>
      <c r="T2040">
        <v>1099</v>
      </c>
      <c r="U2040" t="s">
        <v>19</v>
      </c>
    </row>
    <row r="2041" spans="1:21">
      <c r="A2041" t="str">
        <f t="shared" si="1022"/>
        <v>24/04/2025</v>
      </c>
      <c r="B2041" t="str">
        <f t="shared" si="1029"/>
        <v>ENTRADA</v>
      </c>
      <c r="C2041" t="str">
        <f t="shared" si="1023"/>
        <v>NFSE</v>
      </c>
      <c r="D2041" t="str">
        <f>"2907"</f>
        <v>2907</v>
      </c>
      <c r="E2041" t="str">
        <f t="shared" si="1024"/>
        <v>COM</v>
      </c>
      <c r="F2041" t="str">
        <f>"DROGA ELIDA (10121)"</f>
        <v>DROGA ELIDA (10121)</v>
      </c>
      <c r="G2041" t="str">
        <f>"Serv.Prest. 14/04/2025 a 20/04/2025 - RPS: 678 - NFSe: 2907"</f>
        <v>Serv.Prest. 14/04/2025 a 20/04/2025 - RPS: 678 - NFSe: 2907</v>
      </c>
      <c r="H2041" t="str">
        <f t="shared" si="1018"/>
        <v>23/04/2025</v>
      </c>
      <c r="I2041" t="str">
        <f t="shared" si="1025"/>
        <v>22/04/2025</v>
      </c>
      <c r="J2041" t="str">
        <f t="shared" si="1026"/>
        <v>24/04/2025</v>
      </c>
      <c r="M2041">
        <v>303</v>
      </c>
      <c r="N2041" t="str">
        <f t="shared" si="1027"/>
        <v>RECEITAS COM ENTREGAS</v>
      </c>
      <c r="P2041">
        <v>350.4</v>
      </c>
      <c r="Q2041" t="str">
        <f>"DROGA ELIDA (10121)"</f>
        <v>DROGA ELIDA (10121)</v>
      </c>
      <c r="R2041" t="str">
        <f t="shared" si="1028"/>
        <v>RECEITAS COM ENTREGAS (303)</v>
      </c>
      <c r="S2041">
        <v>1391</v>
      </c>
      <c r="T2041">
        <v>1099</v>
      </c>
      <c r="U2041" t="s">
        <v>19</v>
      </c>
    </row>
    <row r="2042" spans="1:21">
      <c r="A2042" t="str">
        <f t="shared" si="1022"/>
        <v>24/04/2025</v>
      </c>
      <c r="B2042" t="str">
        <f t="shared" si="1029"/>
        <v>ENTRADA</v>
      </c>
      <c r="C2042" t="str">
        <f t="shared" si="1023"/>
        <v>NFSE</v>
      </c>
      <c r="D2042" t="str">
        <f>"2909"</f>
        <v>2909</v>
      </c>
      <c r="E2042" t="str">
        <f t="shared" si="1024"/>
        <v>COM</v>
      </c>
      <c r="F2042" t="str">
        <f>"DROGA MONICA LJ 3 (10152)"</f>
        <v>DROGA MONICA LJ 3 (10152)</v>
      </c>
      <c r="G2042" t="str">
        <f>"Serv.Prest. 14/04/2025 a 20/04/2025 - RPS: 680 - NFSe: 2909"</f>
        <v>Serv.Prest. 14/04/2025 a 20/04/2025 - RPS: 680 - NFSe: 2909</v>
      </c>
      <c r="H2042" t="str">
        <f t="shared" si="1018"/>
        <v>23/04/2025</v>
      </c>
      <c r="I2042" t="str">
        <f t="shared" si="1025"/>
        <v>22/04/2025</v>
      </c>
      <c r="J2042" t="str">
        <f t="shared" si="1026"/>
        <v>24/04/2025</v>
      </c>
      <c r="K2042">
        <v>206.4</v>
      </c>
      <c r="L2042">
        <v>206.4</v>
      </c>
      <c r="M2042">
        <v>303</v>
      </c>
      <c r="N2042" t="str">
        <f t="shared" si="1027"/>
        <v>RECEITAS COM ENTREGAS</v>
      </c>
      <c r="O2042">
        <v>206.4</v>
      </c>
      <c r="R2042" t="str">
        <f t="shared" si="1028"/>
        <v>RECEITAS COM ENTREGAS (303)</v>
      </c>
      <c r="S2042">
        <v>1392</v>
      </c>
      <c r="T2042">
        <v>1101</v>
      </c>
      <c r="U2042" t="s">
        <v>19</v>
      </c>
    </row>
    <row r="2043" spans="1:21">
      <c r="A2043" t="str">
        <f t="shared" si="1022"/>
        <v>24/04/2025</v>
      </c>
      <c r="B2043" t="str">
        <f t="shared" si="1029"/>
        <v>ENTRADA</v>
      </c>
      <c r="C2043" t="str">
        <f t="shared" si="1023"/>
        <v>NFSE</v>
      </c>
      <c r="D2043" t="str">
        <f>"2909"</f>
        <v>2909</v>
      </c>
      <c r="E2043" t="str">
        <f t="shared" si="1024"/>
        <v>COM</v>
      </c>
      <c r="F2043" t="str">
        <f>"DROGA MONICA LJ 3 (10152)"</f>
        <v>DROGA MONICA LJ 3 (10152)</v>
      </c>
      <c r="G2043" t="str">
        <f>"Serv.Prest. 14/04/2025 a 20/04/2025 - RPS: 680 - NFSe: 2909"</f>
        <v>Serv.Prest. 14/04/2025 a 20/04/2025 - RPS: 680 - NFSe: 2909</v>
      </c>
      <c r="H2043" t="str">
        <f t="shared" si="1018"/>
        <v>23/04/2025</v>
      </c>
      <c r="I2043" t="str">
        <f t="shared" si="1025"/>
        <v>22/04/2025</v>
      </c>
      <c r="J2043" t="str">
        <f t="shared" si="1026"/>
        <v>24/04/2025</v>
      </c>
      <c r="M2043">
        <v>303</v>
      </c>
      <c r="N2043" t="str">
        <f t="shared" si="1027"/>
        <v>RECEITAS COM ENTREGAS</v>
      </c>
      <c r="P2043">
        <v>206.4</v>
      </c>
      <c r="Q2043" t="str">
        <f>"DROGA MONICA LJ 3 (10152)"</f>
        <v>DROGA MONICA LJ 3 (10152)</v>
      </c>
      <c r="R2043" t="str">
        <f t="shared" si="1028"/>
        <v>RECEITAS COM ENTREGAS (303)</v>
      </c>
      <c r="S2043">
        <v>1392</v>
      </c>
      <c r="T2043">
        <v>1101</v>
      </c>
      <c r="U2043" t="s">
        <v>19</v>
      </c>
    </row>
    <row r="2044" spans="1:21">
      <c r="A2044" t="str">
        <f t="shared" si="1022"/>
        <v>24/04/2025</v>
      </c>
      <c r="B2044" t="str">
        <f t="shared" si="1029"/>
        <v>ENTRADA</v>
      </c>
      <c r="C2044" t="str">
        <f t="shared" si="1023"/>
        <v>NFSE</v>
      </c>
      <c r="D2044" t="str">
        <f>"2918"</f>
        <v>2918</v>
      </c>
      <c r="E2044" t="str">
        <f t="shared" si="1024"/>
        <v>COM</v>
      </c>
      <c r="F2044" t="str">
        <f>"DROGARIA MORENO LTDA (10171)"</f>
        <v>DROGARIA MORENO LTDA (10171)</v>
      </c>
      <c r="G2044" t="str">
        <f>"Serv.Prest. 14/04/2025 a 20/04/2025 - RPS: 689 - NFSe: 2918"</f>
        <v>Serv.Prest. 14/04/2025 a 20/04/2025 - RPS: 689 - NFSe: 2918</v>
      </c>
      <c r="H2044" t="str">
        <f t="shared" si="1018"/>
        <v>23/04/2025</v>
      </c>
      <c r="I2044" t="str">
        <f t="shared" si="1025"/>
        <v>22/04/2025</v>
      </c>
      <c r="J2044" t="str">
        <f t="shared" si="1026"/>
        <v>24/04/2025</v>
      </c>
      <c r="K2044">
        <v>352.8</v>
      </c>
      <c r="L2044">
        <v>352.8</v>
      </c>
      <c r="M2044">
        <v>303</v>
      </c>
      <c r="N2044" t="str">
        <f t="shared" si="1027"/>
        <v>RECEITAS COM ENTREGAS</v>
      </c>
      <c r="O2044">
        <v>352.8</v>
      </c>
      <c r="R2044" t="str">
        <f t="shared" si="1028"/>
        <v>RECEITAS COM ENTREGAS (303)</v>
      </c>
      <c r="S2044">
        <v>1393</v>
      </c>
      <c r="T2044">
        <v>1110</v>
      </c>
      <c r="U2044" t="s">
        <v>19</v>
      </c>
    </row>
    <row r="2045" spans="1:21">
      <c r="A2045" t="str">
        <f t="shared" si="1022"/>
        <v>24/04/2025</v>
      </c>
      <c r="B2045" t="str">
        <f t="shared" si="1029"/>
        <v>ENTRADA</v>
      </c>
      <c r="C2045" t="str">
        <f t="shared" si="1023"/>
        <v>NFSE</v>
      </c>
      <c r="D2045" t="str">
        <f>"2918"</f>
        <v>2918</v>
      </c>
      <c r="E2045" t="str">
        <f t="shared" si="1024"/>
        <v>COM</v>
      </c>
      <c r="F2045" t="str">
        <f>"DROGARIA MORENO LTDA (10171)"</f>
        <v>DROGARIA MORENO LTDA (10171)</v>
      </c>
      <c r="G2045" t="str">
        <f>"Serv.Prest. 14/04/2025 a 20/04/2025 - RPS: 689 - NFSe: 2918"</f>
        <v>Serv.Prest. 14/04/2025 a 20/04/2025 - RPS: 689 - NFSe: 2918</v>
      </c>
      <c r="H2045" t="str">
        <f t="shared" si="1018"/>
        <v>23/04/2025</v>
      </c>
      <c r="I2045" t="str">
        <f t="shared" si="1025"/>
        <v>22/04/2025</v>
      </c>
      <c r="J2045" t="str">
        <f t="shared" si="1026"/>
        <v>24/04/2025</v>
      </c>
      <c r="M2045">
        <v>303</v>
      </c>
      <c r="N2045" t="str">
        <f t="shared" si="1027"/>
        <v>RECEITAS COM ENTREGAS</v>
      </c>
      <c r="P2045">
        <v>352.8</v>
      </c>
      <c r="Q2045" t="str">
        <f>"DROGARIA MORENO LTDA (10171)"</f>
        <v>DROGARIA MORENO LTDA (10171)</v>
      </c>
      <c r="R2045" t="str">
        <f t="shared" si="1028"/>
        <v>RECEITAS COM ENTREGAS (303)</v>
      </c>
      <c r="S2045">
        <v>1393</v>
      </c>
      <c r="T2045">
        <v>1110</v>
      </c>
      <c r="U2045" t="s">
        <v>19</v>
      </c>
    </row>
    <row r="2046" spans="1:21">
      <c r="A2046" t="str">
        <f t="shared" si="1022"/>
        <v>24/04/2025</v>
      </c>
      <c r="B2046" t="str">
        <f t="shared" si="1029"/>
        <v>ENTRADA</v>
      </c>
      <c r="C2046" t="str">
        <f t="shared" si="1023"/>
        <v>NFSE</v>
      </c>
      <c r="D2046" t="str">
        <f>"2919"</f>
        <v>2919</v>
      </c>
      <c r="E2046" t="str">
        <f t="shared" si="1024"/>
        <v>COM</v>
      </c>
      <c r="F2046" t="str">
        <f>"FARMACIA ECONOMIZE (10103)"</f>
        <v>FARMACIA ECONOMIZE (10103)</v>
      </c>
      <c r="G2046" t="str">
        <f>"Serv.Prest. 14/04/2025 a 20/04/2025 - RPS: 690 - NFSe: 2919"</f>
        <v>Serv.Prest. 14/04/2025 a 20/04/2025 - RPS: 690 - NFSe: 2919</v>
      </c>
      <c r="H2046" t="str">
        <f t="shared" si="1018"/>
        <v>23/04/2025</v>
      </c>
      <c r="I2046" t="str">
        <f t="shared" si="1025"/>
        <v>22/04/2025</v>
      </c>
      <c r="J2046" t="str">
        <f t="shared" si="1026"/>
        <v>24/04/2025</v>
      </c>
      <c r="K2046">
        <v>96.9</v>
      </c>
      <c r="L2046">
        <v>96.9</v>
      </c>
      <c r="M2046">
        <v>303</v>
      </c>
      <c r="N2046" t="str">
        <f t="shared" si="1027"/>
        <v>RECEITAS COM ENTREGAS</v>
      </c>
      <c r="O2046">
        <v>96.9</v>
      </c>
      <c r="R2046" t="str">
        <f t="shared" si="1028"/>
        <v>RECEITAS COM ENTREGAS (303)</v>
      </c>
      <c r="S2046">
        <v>1394</v>
      </c>
      <c r="T2046">
        <v>1111</v>
      </c>
      <c r="U2046" t="s">
        <v>19</v>
      </c>
    </row>
    <row r="2047" spans="1:21">
      <c r="A2047" t="str">
        <f t="shared" si="1022"/>
        <v>24/04/2025</v>
      </c>
      <c r="B2047" t="str">
        <f t="shared" si="1029"/>
        <v>ENTRADA</v>
      </c>
      <c r="C2047" t="str">
        <f t="shared" si="1023"/>
        <v>NFSE</v>
      </c>
      <c r="D2047" t="str">
        <f>"2919"</f>
        <v>2919</v>
      </c>
      <c r="E2047" t="str">
        <f t="shared" si="1024"/>
        <v>COM</v>
      </c>
      <c r="F2047" t="str">
        <f>"FARMACIA ECONOMIZE (10103)"</f>
        <v>FARMACIA ECONOMIZE (10103)</v>
      </c>
      <c r="G2047" t="str">
        <f>"Serv.Prest. 14/04/2025 a 20/04/2025 - RPS: 690 - NFSe: 2919"</f>
        <v>Serv.Prest. 14/04/2025 a 20/04/2025 - RPS: 690 - NFSe: 2919</v>
      </c>
      <c r="H2047" t="str">
        <f t="shared" si="1018"/>
        <v>23/04/2025</v>
      </c>
      <c r="I2047" t="str">
        <f t="shared" si="1025"/>
        <v>22/04/2025</v>
      </c>
      <c r="J2047" t="str">
        <f t="shared" si="1026"/>
        <v>24/04/2025</v>
      </c>
      <c r="M2047">
        <v>303</v>
      </c>
      <c r="N2047" t="str">
        <f t="shared" si="1027"/>
        <v>RECEITAS COM ENTREGAS</v>
      </c>
      <c r="P2047">
        <v>96.9</v>
      </c>
      <c r="Q2047" t="str">
        <f>"FARMACIA ECONOMIZE (10103)"</f>
        <v>FARMACIA ECONOMIZE (10103)</v>
      </c>
      <c r="R2047" t="str">
        <f t="shared" si="1028"/>
        <v>RECEITAS COM ENTREGAS (303)</v>
      </c>
      <c r="S2047">
        <v>1394</v>
      </c>
      <c r="T2047">
        <v>1111</v>
      </c>
      <c r="U2047" t="s">
        <v>19</v>
      </c>
    </row>
    <row r="2048" spans="1:21">
      <c r="A2048" t="str">
        <f t="shared" si="1022"/>
        <v>24/04/2025</v>
      </c>
      <c r="B2048" t="str">
        <f t="shared" ref="B2048:B2057" si="1030">"SAÍDA"</f>
        <v>SAÍDA</v>
      </c>
      <c r="C2048" t="str">
        <f>"PIX"</f>
        <v>PIX</v>
      </c>
      <c r="D2048" t="str">
        <f>"240425"</f>
        <v>240425</v>
      </c>
      <c r="E2048" t="str">
        <f t="shared" si="1024"/>
        <v>COM</v>
      </c>
      <c r="F2048" t="str">
        <f>"MARCELO REZENDE ARANTES (20014)"</f>
        <v>MARCELO REZENDE ARANTES (20014)</v>
      </c>
      <c r="G2048" t="str">
        <f>"DISTRIBUICAO DE LUCROS"</f>
        <v>DISTRIBUICAO DE LUCROS</v>
      </c>
      <c r="H2048" t="str">
        <f t="shared" ref="H2048:I2057" si="1031">("24/04/2025")</f>
        <v>24/04/2025</v>
      </c>
      <c r="I2048" t="str">
        <f t="shared" si="1031"/>
        <v>24/04/2025</v>
      </c>
      <c r="J2048" t="str">
        <f t="shared" si="1026"/>
        <v>24/04/2025</v>
      </c>
      <c r="K2048">
        <v>1000</v>
      </c>
      <c r="L2048">
        <v>1000</v>
      </c>
      <c r="M2048">
        <v>125</v>
      </c>
      <c r="N2048" t="str">
        <f>"DISTRIBUIÇÃO DE LUCRO"</f>
        <v>DISTRIBUIÇÃO DE LUCRO</v>
      </c>
      <c r="O2048">
        <v>1000</v>
      </c>
      <c r="R2048" t="str">
        <f t="shared" ref="R2048:R2057" si="1032">"BANCO CORA (102)"</f>
        <v>BANCO CORA (102)</v>
      </c>
      <c r="S2048">
        <v>1422</v>
      </c>
      <c r="T2048">
        <v>1170</v>
      </c>
      <c r="U2048" t="s">
        <v>19</v>
      </c>
    </row>
    <row r="2049" spans="1:21">
      <c r="A2049" t="str">
        <f t="shared" si="1022"/>
        <v>24/04/2025</v>
      </c>
      <c r="B2049" t="str">
        <f t="shared" si="1030"/>
        <v>SAÍDA</v>
      </c>
      <c r="C2049" t="str">
        <f>"PIX"</f>
        <v>PIX</v>
      </c>
      <c r="D2049" t="str">
        <f>"240425"</f>
        <v>240425</v>
      </c>
      <c r="E2049" t="str">
        <f t="shared" si="1024"/>
        <v>COM</v>
      </c>
      <c r="F2049" t="str">
        <f>"MARCELO REZENDE ARANTES (20014)"</f>
        <v>MARCELO REZENDE ARANTES (20014)</v>
      </c>
      <c r="G2049" t="str">
        <f>"DISTRIBUICAO DE LUCROS"</f>
        <v>DISTRIBUICAO DE LUCROS</v>
      </c>
      <c r="H2049" t="str">
        <f t="shared" si="1031"/>
        <v>24/04/2025</v>
      </c>
      <c r="I2049" t="str">
        <f t="shared" si="1031"/>
        <v>24/04/2025</v>
      </c>
      <c r="J2049" t="str">
        <f t="shared" si="1026"/>
        <v>24/04/2025</v>
      </c>
      <c r="M2049">
        <v>125</v>
      </c>
      <c r="N2049" t="str">
        <f>"DISTRIBUIÇÃO DE LUCRO"</f>
        <v>DISTRIBUIÇÃO DE LUCRO</v>
      </c>
      <c r="P2049">
        <v>1000</v>
      </c>
      <c r="Q2049" t="str">
        <f>"MARCELO REZENDE ARANTES (20014)"</f>
        <v>MARCELO REZENDE ARANTES (20014)</v>
      </c>
      <c r="R2049" t="str">
        <f t="shared" si="1032"/>
        <v>BANCO CORA (102)</v>
      </c>
      <c r="S2049">
        <v>1422</v>
      </c>
      <c r="T2049">
        <v>1170</v>
      </c>
      <c r="U2049" t="s">
        <v>19</v>
      </c>
    </row>
    <row r="2050" spans="1:21">
      <c r="A2050" t="str">
        <f t="shared" si="1022"/>
        <v>24/04/2025</v>
      </c>
      <c r="B2050" t="str">
        <f t="shared" si="1030"/>
        <v>SAÍDA</v>
      </c>
      <c r="C2050" t="str">
        <f>"PIX"</f>
        <v>PIX</v>
      </c>
      <c r="D2050" t="str">
        <f>"240425"</f>
        <v>240425</v>
      </c>
      <c r="E2050" t="str">
        <f t="shared" si="1024"/>
        <v>COM</v>
      </c>
      <c r="F2050" t="str">
        <f>"LILIANE DE FATIMA REZENDE JUSTINO (20013)"</f>
        <v>LILIANE DE FATIMA REZENDE JUSTINO (20013)</v>
      </c>
      <c r="G2050" t="str">
        <f>"DISTRIBUICAO DE LUCROS"</f>
        <v>DISTRIBUICAO DE LUCROS</v>
      </c>
      <c r="H2050" t="str">
        <f t="shared" si="1031"/>
        <v>24/04/2025</v>
      </c>
      <c r="I2050" t="str">
        <f t="shared" si="1031"/>
        <v>24/04/2025</v>
      </c>
      <c r="J2050" t="str">
        <f t="shared" si="1026"/>
        <v>24/04/2025</v>
      </c>
      <c r="K2050">
        <v>2333</v>
      </c>
      <c r="L2050">
        <v>2333</v>
      </c>
      <c r="M2050">
        <v>125</v>
      </c>
      <c r="N2050" t="str">
        <f>"DISTRIBUIÇÃO DE LUCRO"</f>
        <v>DISTRIBUIÇÃO DE LUCRO</v>
      </c>
      <c r="O2050">
        <v>2333</v>
      </c>
      <c r="R2050" t="str">
        <f t="shared" si="1032"/>
        <v>BANCO CORA (102)</v>
      </c>
      <c r="S2050">
        <v>1430</v>
      </c>
      <c r="T2050">
        <v>1176</v>
      </c>
      <c r="U2050" t="s">
        <v>19</v>
      </c>
    </row>
    <row r="2051" spans="1:21">
      <c r="A2051" t="str">
        <f t="shared" si="1022"/>
        <v>24/04/2025</v>
      </c>
      <c r="B2051" t="str">
        <f t="shared" si="1030"/>
        <v>SAÍDA</v>
      </c>
      <c r="C2051" t="str">
        <f>"PIX"</f>
        <v>PIX</v>
      </c>
      <c r="D2051" t="str">
        <f>"240425"</f>
        <v>240425</v>
      </c>
      <c r="E2051" t="str">
        <f t="shared" si="1024"/>
        <v>COM</v>
      </c>
      <c r="F2051" t="str">
        <f>"LILIANE DE FATIMA REZENDE JUSTINO (20013)"</f>
        <v>LILIANE DE FATIMA REZENDE JUSTINO (20013)</v>
      </c>
      <c r="G2051" t="str">
        <f>"DISTRIBUICAO DE LUCROS"</f>
        <v>DISTRIBUICAO DE LUCROS</v>
      </c>
      <c r="H2051" t="str">
        <f t="shared" si="1031"/>
        <v>24/04/2025</v>
      </c>
      <c r="I2051" t="str">
        <f t="shared" si="1031"/>
        <v>24/04/2025</v>
      </c>
      <c r="J2051" t="str">
        <f t="shared" si="1026"/>
        <v>24/04/2025</v>
      </c>
      <c r="M2051">
        <v>125</v>
      </c>
      <c r="N2051" t="str">
        <f>"DISTRIBUIÇÃO DE LUCRO"</f>
        <v>DISTRIBUIÇÃO DE LUCRO</v>
      </c>
      <c r="P2051">
        <v>2333</v>
      </c>
      <c r="Q2051" t="str">
        <f>"LILIANE DE FATIMA REZENDE JUSTINO (20013)"</f>
        <v>LILIANE DE FATIMA REZENDE JUSTINO (20013)</v>
      </c>
      <c r="R2051" t="str">
        <f t="shared" si="1032"/>
        <v>BANCO CORA (102)</v>
      </c>
      <c r="S2051">
        <v>1430</v>
      </c>
      <c r="T2051">
        <v>1176</v>
      </c>
      <c r="U2051" t="s">
        <v>19</v>
      </c>
    </row>
    <row r="2052" spans="1:21">
      <c r="A2052" t="str">
        <f t="shared" si="1022"/>
        <v>24/04/2025</v>
      </c>
      <c r="B2052" t="str">
        <f t="shared" si="1030"/>
        <v>SAÍDA</v>
      </c>
      <c r="C2052" t="str">
        <f t="shared" ref="C2052:C2057" si="1033">"JUROS"</f>
        <v>JUROS</v>
      </c>
      <c r="D2052" t="str">
        <f>""</f>
        <v/>
      </c>
      <c r="E2052" t="str">
        <f t="shared" ref="E2052:E2057" si="1034">"CXA"</f>
        <v>CXA</v>
      </c>
      <c r="F2052" t="str">
        <f>""</f>
        <v/>
      </c>
      <c r="G2052" t="str">
        <f t="shared" ref="G2052:G2057" si="1035">"TAXA BOLETO COMPENSADO"</f>
        <v>TAXA BOLETO COMPENSADO</v>
      </c>
      <c r="H2052" t="str">
        <f t="shared" si="1031"/>
        <v>24/04/2025</v>
      </c>
      <c r="I2052" t="str">
        <f t="shared" si="1031"/>
        <v>24/04/2025</v>
      </c>
      <c r="J2052" t="str">
        <f t="shared" si="1026"/>
        <v>24/04/2025</v>
      </c>
      <c r="K2052">
        <v>1.7</v>
      </c>
      <c r="L2052">
        <v>1.7</v>
      </c>
      <c r="M2052">
        <v>401</v>
      </c>
      <c r="N2052" t="str">
        <f t="shared" ref="N2052:N2057" si="1036">"IOF/JUROS/DESP.FINANCEIRA"</f>
        <v>IOF/JUROS/DESP.FINANCEIRA</v>
      </c>
      <c r="O2052">
        <v>1.7</v>
      </c>
      <c r="R2052" t="str">
        <f t="shared" si="1032"/>
        <v>BANCO CORA (102)</v>
      </c>
      <c r="S2052">
        <v>1479</v>
      </c>
      <c r="T2052">
        <v>0</v>
      </c>
      <c r="U2052" t="s">
        <v>20</v>
      </c>
    </row>
    <row r="2053" spans="1:21">
      <c r="A2053" t="str">
        <f t="shared" si="1022"/>
        <v>24/04/2025</v>
      </c>
      <c r="B2053" t="str">
        <f t="shared" si="1030"/>
        <v>SAÍDA</v>
      </c>
      <c r="C2053" t="str">
        <f t="shared" si="1033"/>
        <v>JUROS</v>
      </c>
      <c r="D2053" t="str">
        <f>""</f>
        <v/>
      </c>
      <c r="E2053" t="str">
        <f t="shared" si="1034"/>
        <v>CXA</v>
      </c>
      <c r="F2053" t="str">
        <f>""</f>
        <v/>
      </c>
      <c r="G2053" t="str">
        <f t="shared" si="1035"/>
        <v>TAXA BOLETO COMPENSADO</v>
      </c>
      <c r="H2053" t="str">
        <f t="shared" si="1031"/>
        <v>24/04/2025</v>
      </c>
      <c r="I2053" t="str">
        <f t="shared" si="1031"/>
        <v>24/04/2025</v>
      </c>
      <c r="J2053" t="str">
        <f t="shared" si="1026"/>
        <v>24/04/2025</v>
      </c>
      <c r="K2053">
        <v>1.7</v>
      </c>
      <c r="L2053">
        <v>1.7</v>
      </c>
      <c r="M2053">
        <v>401</v>
      </c>
      <c r="N2053" t="str">
        <f t="shared" si="1036"/>
        <v>IOF/JUROS/DESP.FINANCEIRA</v>
      </c>
      <c r="O2053">
        <v>1.7</v>
      </c>
      <c r="R2053" t="str">
        <f t="shared" si="1032"/>
        <v>BANCO CORA (102)</v>
      </c>
      <c r="S2053">
        <v>1480</v>
      </c>
      <c r="T2053">
        <v>0</v>
      </c>
      <c r="U2053" t="s">
        <v>20</v>
      </c>
    </row>
    <row r="2054" spans="1:21">
      <c r="A2054" t="str">
        <f t="shared" si="1022"/>
        <v>24/04/2025</v>
      </c>
      <c r="B2054" t="str">
        <f t="shared" si="1030"/>
        <v>SAÍDA</v>
      </c>
      <c r="C2054" t="str">
        <f t="shared" si="1033"/>
        <v>JUROS</v>
      </c>
      <c r="D2054" t="str">
        <f>""</f>
        <v/>
      </c>
      <c r="E2054" t="str">
        <f t="shared" si="1034"/>
        <v>CXA</v>
      </c>
      <c r="F2054" t="str">
        <f>""</f>
        <v/>
      </c>
      <c r="G2054" t="str">
        <f t="shared" si="1035"/>
        <v>TAXA BOLETO COMPENSADO</v>
      </c>
      <c r="H2054" t="str">
        <f t="shared" si="1031"/>
        <v>24/04/2025</v>
      </c>
      <c r="I2054" t="str">
        <f t="shared" si="1031"/>
        <v>24/04/2025</v>
      </c>
      <c r="J2054" t="str">
        <f t="shared" si="1026"/>
        <v>24/04/2025</v>
      </c>
      <c r="K2054">
        <v>1.7</v>
      </c>
      <c r="L2054">
        <v>1.7</v>
      </c>
      <c r="M2054">
        <v>401</v>
      </c>
      <c r="N2054" t="str">
        <f t="shared" si="1036"/>
        <v>IOF/JUROS/DESP.FINANCEIRA</v>
      </c>
      <c r="O2054">
        <v>1.7</v>
      </c>
      <c r="R2054" t="str">
        <f t="shared" si="1032"/>
        <v>BANCO CORA (102)</v>
      </c>
      <c r="S2054">
        <v>1481</v>
      </c>
      <c r="T2054">
        <v>0</v>
      </c>
      <c r="U2054" t="s">
        <v>20</v>
      </c>
    </row>
    <row r="2055" spans="1:21">
      <c r="A2055" t="str">
        <f t="shared" si="1022"/>
        <v>24/04/2025</v>
      </c>
      <c r="B2055" t="str">
        <f t="shared" si="1030"/>
        <v>SAÍDA</v>
      </c>
      <c r="C2055" t="str">
        <f t="shared" si="1033"/>
        <v>JUROS</v>
      </c>
      <c r="D2055" t="str">
        <f>""</f>
        <v/>
      </c>
      <c r="E2055" t="str">
        <f t="shared" si="1034"/>
        <v>CXA</v>
      </c>
      <c r="F2055" t="str">
        <f>""</f>
        <v/>
      </c>
      <c r="G2055" t="str">
        <f t="shared" si="1035"/>
        <v>TAXA BOLETO COMPENSADO</v>
      </c>
      <c r="H2055" t="str">
        <f t="shared" si="1031"/>
        <v>24/04/2025</v>
      </c>
      <c r="I2055" t="str">
        <f t="shared" si="1031"/>
        <v>24/04/2025</v>
      </c>
      <c r="J2055" t="str">
        <f t="shared" si="1026"/>
        <v>24/04/2025</v>
      </c>
      <c r="K2055">
        <v>1.7</v>
      </c>
      <c r="L2055">
        <v>1.7</v>
      </c>
      <c r="M2055">
        <v>401</v>
      </c>
      <c r="N2055" t="str">
        <f t="shared" si="1036"/>
        <v>IOF/JUROS/DESP.FINANCEIRA</v>
      </c>
      <c r="O2055">
        <v>1.7</v>
      </c>
      <c r="R2055" t="str">
        <f t="shared" si="1032"/>
        <v>BANCO CORA (102)</v>
      </c>
      <c r="S2055">
        <v>1482</v>
      </c>
      <c r="T2055">
        <v>0</v>
      </c>
      <c r="U2055" t="s">
        <v>20</v>
      </c>
    </row>
    <row r="2056" spans="1:21">
      <c r="A2056" t="str">
        <f t="shared" si="1022"/>
        <v>24/04/2025</v>
      </c>
      <c r="B2056" t="str">
        <f t="shared" si="1030"/>
        <v>SAÍDA</v>
      </c>
      <c r="C2056" t="str">
        <f t="shared" si="1033"/>
        <v>JUROS</v>
      </c>
      <c r="D2056" t="str">
        <f>""</f>
        <v/>
      </c>
      <c r="E2056" t="str">
        <f t="shared" si="1034"/>
        <v>CXA</v>
      </c>
      <c r="F2056" t="str">
        <f>""</f>
        <v/>
      </c>
      <c r="G2056" t="str">
        <f t="shared" si="1035"/>
        <v>TAXA BOLETO COMPENSADO</v>
      </c>
      <c r="H2056" t="str">
        <f t="shared" si="1031"/>
        <v>24/04/2025</v>
      </c>
      <c r="I2056" t="str">
        <f t="shared" si="1031"/>
        <v>24/04/2025</v>
      </c>
      <c r="J2056" t="str">
        <f t="shared" si="1026"/>
        <v>24/04/2025</v>
      </c>
      <c r="K2056">
        <v>1.7</v>
      </c>
      <c r="L2056">
        <v>1.7</v>
      </c>
      <c r="M2056">
        <v>401</v>
      </c>
      <c r="N2056" t="str">
        <f t="shared" si="1036"/>
        <v>IOF/JUROS/DESP.FINANCEIRA</v>
      </c>
      <c r="O2056">
        <v>1.7</v>
      </c>
      <c r="R2056" t="str">
        <f t="shared" si="1032"/>
        <v>BANCO CORA (102)</v>
      </c>
      <c r="S2056">
        <v>1483</v>
      </c>
      <c r="T2056">
        <v>0</v>
      </c>
      <c r="U2056" t="s">
        <v>20</v>
      </c>
    </row>
    <row r="2057" spans="1:21">
      <c r="A2057" t="str">
        <f t="shared" si="1022"/>
        <v>24/04/2025</v>
      </c>
      <c r="B2057" t="str">
        <f t="shared" si="1030"/>
        <v>SAÍDA</v>
      </c>
      <c r="C2057" t="str">
        <f t="shared" si="1033"/>
        <v>JUROS</v>
      </c>
      <c r="D2057" t="str">
        <f>""</f>
        <v/>
      </c>
      <c r="E2057" t="str">
        <f t="shared" si="1034"/>
        <v>CXA</v>
      </c>
      <c r="F2057" t="str">
        <f>""</f>
        <v/>
      </c>
      <c r="G2057" t="str">
        <f t="shared" si="1035"/>
        <v>TAXA BOLETO COMPENSADO</v>
      </c>
      <c r="H2057" t="str">
        <f t="shared" si="1031"/>
        <v>24/04/2025</v>
      </c>
      <c r="I2057" t="str">
        <f t="shared" si="1031"/>
        <v>24/04/2025</v>
      </c>
      <c r="J2057" t="str">
        <f t="shared" si="1026"/>
        <v>24/04/2025</v>
      </c>
      <c r="K2057">
        <v>1.7</v>
      </c>
      <c r="L2057">
        <v>1.7</v>
      </c>
      <c r="M2057">
        <v>401</v>
      </c>
      <c r="N2057" t="str">
        <f t="shared" si="1036"/>
        <v>IOF/JUROS/DESP.FINANCEIRA</v>
      </c>
      <c r="O2057">
        <v>1.7</v>
      </c>
      <c r="R2057" t="str">
        <f t="shared" si="1032"/>
        <v>BANCO CORA (102)</v>
      </c>
      <c r="S2057">
        <v>1484</v>
      </c>
      <c r="T2057">
        <v>0</v>
      </c>
      <c r="U2057" t="s">
        <v>20</v>
      </c>
    </row>
    <row r="2058" spans="1:21">
      <c r="A2058" t="str">
        <f t="shared" ref="A2058:A2078" si="1037">("25/04/2025")</f>
        <v>25/04/2025</v>
      </c>
      <c r="B2058" t="str">
        <f>"ENTRADA"</f>
        <v>ENTRADA</v>
      </c>
      <c r="C2058" t="str">
        <f t="shared" ref="C2058:C2071" si="1038">"NFSE"</f>
        <v>NFSE</v>
      </c>
      <c r="D2058" t="str">
        <f>"2887"</f>
        <v>2887</v>
      </c>
      <c r="E2058" t="str">
        <f t="shared" ref="E2058:E2071" si="1039">"COM"</f>
        <v>COM</v>
      </c>
      <c r="F2058" t="str">
        <f>"PAGMENOS - LJ 608 (10135)"</f>
        <v>PAGMENOS - LJ 608 (10135)</v>
      </c>
      <c r="G2058" t="str">
        <f>"Serv.Prest. 07/04/2025 a 13/04/2025 - RPS: 658 - NFSe: 2887"</f>
        <v>Serv.Prest. 07/04/2025 a 13/04/2025 - RPS: 658 - NFSe: 2887</v>
      </c>
      <c r="H2058" t="str">
        <f t="shared" ref="H2058:H2071" si="1040">("24/04/2025")</f>
        <v>24/04/2025</v>
      </c>
      <c r="I2058" t="str">
        <f>("14/04/2025")</f>
        <v>14/04/2025</v>
      </c>
      <c r="J2058" t="str">
        <f t="shared" ref="J2058:J2078" si="1041">("25/04/2025")</f>
        <v>25/04/2025</v>
      </c>
      <c r="K2058">
        <v>280.20999999999998</v>
      </c>
      <c r="L2058">
        <v>280.20999999999998</v>
      </c>
      <c r="M2058">
        <v>303</v>
      </c>
      <c r="N2058" t="str">
        <f t="shared" ref="N2058:N2071" si="1042">"RECEITAS COM ENTREGAS"</f>
        <v>RECEITAS COM ENTREGAS</v>
      </c>
      <c r="O2058">
        <v>280.20999999999998</v>
      </c>
      <c r="R2058" t="str">
        <f t="shared" ref="R2058:R2071" si="1043">"RECEITAS COM ENTREGAS (303)"</f>
        <v>RECEITAS COM ENTREGAS (303)</v>
      </c>
      <c r="S2058">
        <v>1395</v>
      </c>
      <c r="T2058">
        <v>1079</v>
      </c>
      <c r="U2058" t="s">
        <v>19</v>
      </c>
    </row>
    <row r="2059" spans="1:21">
      <c r="A2059" t="str">
        <f t="shared" si="1037"/>
        <v>25/04/2025</v>
      </c>
      <c r="B2059" t="str">
        <f t="shared" ref="B2059:B2071" si="1044">"ENTRADA"</f>
        <v>ENTRADA</v>
      </c>
      <c r="C2059" t="str">
        <f t="shared" si="1038"/>
        <v>NFSE</v>
      </c>
      <c r="D2059" t="str">
        <f>"2887"</f>
        <v>2887</v>
      </c>
      <c r="E2059" t="str">
        <f t="shared" si="1039"/>
        <v>COM</v>
      </c>
      <c r="F2059" t="str">
        <f>"PAGMENOS - LJ 608 (10135)"</f>
        <v>PAGMENOS - LJ 608 (10135)</v>
      </c>
      <c r="G2059" t="str">
        <f>"Serv.Prest. 07/04/2025 a 13/04/2025 - RPS: 658 - NFSe: 2887"</f>
        <v>Serv.Prest. 07/04/2025 a 13/04/2025 - RPS: 658 - NFSe: 2887</v>
      </c>
      <c r="H2059" t="str">
        <f t="shared" si="1040"/>
        <v>24/04/2025</v>
      </c>
      <c r="I2059" t="str">
        <f>("14/04/2025")</f>
        <v>14/04/2025</v>
      </c>
      <c r="J2059" t="str">
        <f t="shared" si="1041"/>
        <v>25/04/2025</v>
      </c>
      <c r="M2059">
        <v>303</v>
      </c>
      <c r="N2059" t="str">
        <f t="shared" si="1042"/>
        <v>RECEITAS COM ENTREGAS</v>
      </c>
      <c r="P2059">
        <v>280.20999999999998</v>
      </c>
      <c r="Q2059" t="str">
        <f>"PAGMENOS - LJ 608 (10135)"</f>
        <v>PAGMENOS - LJ 608 (10135)</v>
      </c>
      <c r="R2059" t="str">
        <f t="shared" si="1043"/>
        <v>RECEITAS COM ENTREGAS (303)</v>
      </c>
      <c r="S2059">
        <v>1395</v>
      </c>
      <c r="T2059">
        <v>1079</v>
      </c>
      <c r="U2059" t="s">
        <v>19</v>
      </c>
    </row>
    <row r="2060" spans="1:21">
      <c r="A2060" t="str">
        <f t="shared" si="1037"/>
        <v>25/04/2025</v>
      </c>
      <c r="B2060" t="str">
        <f t="shared" si="1044"/>
        <v>ENTRADA</v>
      </c>
      <c r="C2060" t="str">
        <f t="shared" si="1038"/>
        <v>NFSE</v>
      </c>
      <c r="D2060" t="str">
        <f>"2888"</f>
        <v>2888</v>
      </c>
      <c r="E2060" t="str">
        <f t="shared" si="1039"/>
        <v>COM</v>
      </c>
      <c r="F2060" t="str">
        <f>"PAGMENOS - LJ 657 (10136)"</f>
        <v>PAGMENOS - LJ 657 (10136)</v>
      </c>
      <c r="G2060" t="str">
        <f>"Serv.Prest. 07/04/2025 a 13/04/2025 - RPS: 659 - NFSe: 2888"</f>
        <v>Serv.Prest. 07/04/2025 a 13/04/2025 - RPS: 659 - NFSe: 2888</v>
      </c>
      <c r="H2060" t="str">
        <f t="shared" si="1040"/>
        <v>24/04/2025</v>
      </c>
      <c r="I2060" t="str">
        <f>("14/04/2025")</f>
        <v>14/04/2025</v>
      </c>
      <c r="J2060" t="str">
        <f t="shared" si="1041"/>
        <v>25/04/2025</v>
      </c>
      <c r="K2060">
        <v>596.6</v>
      </c>
      <c r="L2060">
        <v>596.6</v>
      </c>
      <c r="M2060">
        <v>303</v>
      </c>
      <c r="N2060" t="str">
        <f t="shared" si="1042"/>
        <v>RECEITAS COM ENTREGAS</v>
      </c>
      <c r="O2060">
        <v>596.6</v>
      </c>
      <c r="R2060" t="str">
        <f t="shared" si="1043"/>
        <v>RECEITAS COM ENTREGAS (303)</v>
      </c>
      <c r="S2060">
        <v>1396</v>
      </c>
      <c r="T2060">
        <v>1080</v>
      </c>
      <c r="U2060" t="s">
        <v>19</v>
      </c>
    </row>
    <row r="2061" spans="1:21">
      <c r="A2061" t="str">
        <f t="shared" si="1037"/>
        <v>25/04/2025</v>
      </c>
      <c r="B2061" t="str">
        <f t="shared" si="1044"/>
        <v>ENTRADA</v>
      </c>
      <c r="C2061" t="str">
        <f t="shared" si="1038"/>
        <v>NFSE</v>
      </c>
      <c r="D2061" t="str">
        <f>"2888"</f>
        <v>2888</v>
      </c>
      <c r="E2061" t="str">
        <f t="shared" si="1039"/>
        <v>COM</v>
      </c>
      <c r="F2061" t="str">
        <f>"PAGMENOS - LJ 657 (10136)"</f>
        <v>PAGMENOS - LJ 657 (10136)</v>
      </c>
      <c r="G2061" t="str">
        <f>"Serv.Prest. 07/04/2025 a 13/04/2025 - RPS: 659 - NFSe: 2888"</f>
        <v>Serv.Prest. 07/04/2025 a 13/04/2025 - RPS: 659 - NFSe: 2888</v>
      </c>
      <c r="H2061" t="str">
        <f t="shared" si="1040"/>
        <v>24/04/2025</v>
      </c>
      <c r="I2061" t="str">
        <f>("14/04/2025")</f>
        <v>14/04/2025</v>
      </c>
      <c r="J2061" t="str">
        <f t="shared" si="1041"/>
        <v>25/04/2025</v>
      </c>
      <c r="M2061">
        <v>303</v>
      </c>
      <c r="N2061" t="str">
        <f t="shared" si="1042"/>
        <v>RECEITAS COM ENTREGAS</v>
      </c>
      <c r="P2061">
        <v>596.6</v>
      </c>
      <c r="Q2061" t="str">
        <f>"PAGMENOS - LJ 657 (10136)"</f>
        <v>PAGMENOS - LJ 657 (10136)</v>
      </c>
      <c r="R2061" t="str">
        <f t="shared" si="1043"/>
        <v>RECEITAS COM ENTREGAS (303)</v>
      </c>
      <c r="S2061">
        <v>1396</v>
      </c>
      <c r="T2061">
        <v>1080</v>
      </c>
      <c r="U2061" t="s">
        <v>19</v>
      </c>
    </row>
    <row r="2062" spans="1:21">
      <c r="A2062" t="str">
        <f t="shared" si="1037"/>
        <v>25/04/2025</v>
      </c>
      <c r="B2062" t="str">
        <f t="shared" si="1044"/>
        <v>ENTRADA</v>
      </c>
      <c r="C2062" t="str">
        <f t="shared" si="1038"/>
        <v>NFSE</v>
      </c>
      <c r="D2062" t="str">
        <f>"2899"</f>
        <v>2899</v>
      </c>
      <c r="E2062" t="str">
        <f t="shared" si="1039"/>
        <v>COM</v>
      </c>
      <c r="F2062" t="str">
        <f>"AC FARMA - CID.ALTA (10166)"</f>
        <v>AC FARMA - CID.ALTA (10166)</v>
      </c>
      <c r="G2062" t="str">
        <f>"Serv.Prest. 07/04/2025 a 13/04/2025 - RPS: 668 - NFSe: 2899"</f>
        <v>Serv.Prest. 07/04/2025 a 13/04/2025 - RPS: 668 - NFSe: 2899</v>
      </c>
      <c r="H2062" t="str">
        <f t="shared" si="1040"/>
        <v>24/04/2025</v>
      </c>
      <c r="I2062" t="str">
        <f>("15/04/2025")</f>
        <v>15/04/2025</v>
      </c>
      <c r="J2062" t="str">
        <f t="shared" si="1041"/>
        <v>25/04/2025</v>
      </c>
      <c r="K2062">
        <v>1006.42</v>
      </c>
      <c r="L2062">
        <v>1006.42</v>
      </c>
      <c r="M2062">
        <v>303</v>
      </c>
      <c r="N2062" t="str">
        <f t="shared" si="1042"/>
        <v>RECEITAS COM ENTREGAS</v>
      </c>
      <c r="O2062">
        <v>1006.42</v>
      </c>
      <c r="R2062" t="str">
        <f t="shared" si="1043"/>
        <v>RECEITAS COM ENTREGAS (303)</v>
      </c>
      <c r="S2062">
        <v>1397</v>
      </c>
      <c r="T2062">
        <v>1089</v>
      </c>
      <c r="U2062" t="s">
        <v>19</v>
      </c>
    </row>
    <row r="2063" spans="1:21">
      <c r="A2063" t="str">
        <f t="shared" si="1037"/>
        <v>25/04/2025</v>
      </c>
      <c r="B2063" t="str">
        <f t="shared" si="1044"/>
        <v>ENTRADA</v>
      </c>
      <c r="C2063" t="str">
        <f t="shared" si="1038"/>
        <v>NFSE</v>
      </c>
      <c r="D2063" t="str">
        <f>"2899"</f>
        <v>2899</v>
      </c>
      <c r="E2063" t="str">
        <f t="shared" si="1039"/>
        <v>COM</v>
      </c>
      <c r="F2063" t="str">
        <f>"AC FARMA - CID.ALTA (10166)"</f>
        <v>AC FARMA - CID.ALTA (10166)</v>
      </c>
      <c r="G2063" t="str">
        <f>"Serv.Prest. 07/04/2025 a 13/04/2025 - RPS: 668 - NFSe: 2899"</f>
        <v>Serv.Prest. 07/04/2025 a 13/04/2025 - RPS: 668 - NFSe: 2899</v>
      </c>
      <c r="H2063" t="str">
        <f t="shared" si="1040"/>
        <v>24/04/2025</v>
      </c>
      <c r="I2063" t="str">
        <f>("15/04/2025")</f>
        <v>15/04/2025</v>
      </c>
      <c r="J2063" t="str">
        <f t="shared" si="1041"/>
        <v>25/04/2025</v>
      </c>
      <c r="M2063">
        <v>303</v>
      </c>
      <c r="N2063" t="str">
        <f t="shared" si="1042"/>
        <v>RECEITAS COM ENTREGAS</v>
      </c>
      <c r="P2063">
        <v>1006.42</v>
      </c>
      <c r="Q2063" t="str">
        <f>"AC FARMA - CID.ALTA (10166)"</f>
        <v>AC FARMA - CID.ALTA (10166)</v>
      </c>
      <c r="R2063" t="str">
        <f t="shared" si="1043"/>
        <v>RECEITAS COM ENTREGAS (303)</v>
      </c>
      <c r="S2063">
        <v>1397</v>
      </c>
      <c r="T2063">
        <v>1089</v>
      </c>
      <c r="U2063" t="s">
        <v>19</v>
      </c>
    </row>
    <row r="2064" spans="1:21">
      <c r="A2064" t="str">
        <f t="shared" si="1037"/>
        <v>25/04/2025</v>
      </c>
      <c r="B2064" t="str">
        <f t="shared" si="1044"/>
        <v>ENTRADA</v>
      </c>
      <c r="C2064" t="str">
        <f t="shared" si="1038"/>
        <v>NFSE</v>
      </c>
      <c r="D2064" t="str">
        <f>"2897"</f>
        <v>2897</v>
      </c>
      <c r="E2064" t="str">
        <f t="shared" si="1039"/>
        <v>COM</v>
      </c>
      <c r="F2064" t="str">
        <f>"AC FARMA - FLEMINFARMA (10160)"</f>
        <v>AC FARMA - FLEMINFARMA (10160)</v>
      </c>
      <c r="G2064" t="str">
        <f>"Serv.Prest. 07/04/2025 a 13/04/2025 - RPS: 670 - NFSe: 2897"</f>
        <v>Serv.Prest. 07/04/2025 a 13/04/2025 - RPS: 670 - NFSe: 2897</v>
      </c>
      <c r="H2064" t="str">
        <f t="shared" si="1040"/>
        <v>24/04/2025</v>
      </c>
      <c r="I2064" t="str">
        <f>("16/04/2025")</f>
        <v>16/04/2025</v>
      </c>
      <c r="J2064" t="str">
        <f t="shared" si="1041"/>
        <v>25/04/2025</v>
      </c>
      <c r="K2064">
        <v>243.6</v>
      </c>
      <c r="L2064">
        <v>243.6</v>
      </c>
      <c r="M2064">
        <v>303</v>
      </c>
      <c r="N2064" t="str">
        <f t="shared" si="1042"/>
        <v>RECEITAS COM ENTREGAS</v>
      </c>
      <c r="O2064">
        <v>243.6</v>
      </c>
      <c r="R2064" t="str">
        <f t="shared" si="1043"/>
        <v>RECEITAS COM ENTREGAS (303)</v>
      </c>
      <c r="S2064">
        <v>1398</v>
      </c>
      <c r="T2064">
        <v>1091</v>
      </c>
      <c r="U2064" t="s">
        <v>19</v>
      </c>
    </row>
    <row r="2065" spans="1:21">
      <c r="A2065" t="str">
        <f t="shared" si="1037"/>
        <v>25/04/2025</v>
      </c>
      <c r="B2065" t="str">
        <f t="shared" si="1044"/>
        <v>ENTRADA</v>
      </c>
      <c r="C2065" t="str">
        <f t="shared" si="1038"/>
        <v>NFSE</v>
      </c>
      <c r="D2065" t="str">
        <f>"2897"</f>
        <v>2897</v>
      </c>
      <c r="E2065" t="str">
        <f t="shared" si="1039"/>
        <v>COM</v>
      </c>
      <c r="F2065" t="str">
        <f>"AC FARMA - FLEMINFARMA (10160)"</f>
        <v>AC FARMA - FLEMINFARMA (10160)</v>
      </c>
      <c r="G2065" t="str">
        <f>"Serv.Prest. 07/04/2025 a 13/04/2025 - RPS: 670 - NFSe: 2897"</f>
        <v>Serv.Prest. 07/04/2025 a 13/04/2025 - RPS: 670 - NFSe: 2897</v>
      </c>
      <c r="H2065" t="str">
        <f t="shared" si="1040"/>
        <v>24/04/2025</v>
      </c>
      <c r="I2065" t="str">
        <f>("16/04/2025")</f>
        <v>16/04/2025</v>
      </c>
      <c r="J2065" t="str">
        <f t="shared" si="1041"/>
        <v>25/04/2025</v>
      </c>
      <c r="M2065">
        <v>303</v>
      </c>
      <c r="N2065" t="str">
        <f t="shared" si="1042"/>
        <v>RECEITAS COM ENTREGAS</v>
      </c>
      <c r="P2065">
        <v>243.6</v>
      </c>
      <c r="Q2065" t="str">
        <f>"AC FARMA - FLEMINFARMA (10160)"</f>
        <v>AC FARMA - FLEMINFARMA (10160)</v>
      </c>
      <c r="R2065" t="str">
        <f t="shared" si="1043"/>
        <v>RECEITAS COM ENTREGAS (303)</v>
      </c>
      <c r="S2065">
        <v>1398</v>
      </c>
      <c r="T2065">
        <v>1091</v>
      </c>
      <c r="U2065" t="s">
        <v>19</v>
      </c>
    </row>
    <row r="2066" spans="1:21">
      <c r="A2066" t="str">
        <f t="shared" si="1037"/>
        <v>25/04/2025</v>
      </c>
      <c r="B2066" t="str">
        <f t="shared" si="1044"/>
        <v>ENTRADA</v>
      </c>
      <c r="C2066" t="str">
        <f t="shared" si="1038"/>
        <v>NFSE</v>
      </c>
      <c r="D2066" t="str">
        <f>"2923"</f>
        <v>2923</v>
      </c>
      <c r="E2066" t="str">
        <f t="shared" si="1039"/>
        <v>COM</v>
      </c>
      <c r="F2066" t="str">
        <f>"DROGA MONICA (10147)"</f>
        <v>DROGA MONICA (10147)</v>
      </c>
      <c r="G2066" t="str">
        <f>"Serv.Prest. 14/04/2025 a 20/04/2025 - RPS: 694 - NFSe: 2923"</f>
        <v>Serv.Prest. 14/04/2025 a 20/04/2025 - RPS: 694 - NFSe: 2923</v>
      </c>
      <c r="H2066" t="str">
        <f t="shared" si="1040"/>
        <v>24/04/2025</v>
      </c>
      <c r="I2066" t="str">
        <f>("23/04/2025")</f>
        <v>23/04/2025</v>
      </c>
      <c r="J2066" t="str">
        <f t="shared" si="1041"/>
        <v>25/04/2025</v>
      </c>
      <c r="K2066">
        <v>87.6</v>
      </c>
      <c r="L2066">
        <v>87.6</v>
      </c>
      <c r="M2066">
        <v>303</v>
      </c>
      <c r="N2066" t="str">
        <f t="shared" si="1042"/>
        <v>RECEITAS COM ENTREGAS</v>
      </c>
      <c r="O2066">
        <v>87.6</v>
      </c>
      <c r="R2066" t="str">
        <f t="shared" si="1043"/>
        <v>RECEITAS COM ENTREGAS (303)</v>
      </c>
      <c r="S2066">
        <v>1399</v>
      </c>
      <c r="T2066">
        <v>1115</v>
      </c>
      <c r="U2066" t="s">
        <v>19</v>
      </c>
    </row>
    <row r="2067" spans="1:21">
      <c r="A2067" t="str">
        <f t="shared" si="1037"/>
        <v>25/04/2025</v>
      </c>
      <c r="B2067" t="str">
        <f t="shared" si="1044"/>
        <v>ENTRADA</v>
      </c>
      <c r="C2067" t="str">
        <f t="shared" si="1038"/>
        <v>NFSE</v>
      </c>
      <c r="D2067" t="str">
        <f>"2923"</f>
        <v>2923</v>
      </c>
      <c r="E2067" t="str">
        <f t="shared" si="1039"/>
        <v>COM</v>
      </c>
      <c r="F2067" t="str">
        <f>"DROGA MONICA (10147)"</f>
        <v>DROGA MONICA (10147)</v>
      </c>
      <c r="G2067" t="str">
        <f>"Serv.Prest. 14/04/2025 a 20/04/2025 - RPS: 694 - NFSe: 2923"</f>
        <v>Serv.Prest. 14/04/2025 a 20/04/2025 - RPS: 694 - NFSe: 2923</v>
      </c>
      <c r="H2067" t="str">
        <f t="shared" si="1040"/>
        <v>24/04/2025</v>
      </c>
      <c r="I2067" t="str">
        <f>("23/04/2025")</f>
        <v>23/04/2025</v>
      </c>
      <c r="J2067" t="str">
        <f t="shared" si="1041"/>
        <v>25/04/2025</v>
      </c>
      <c r="M2067">
        <v>303</v>
      </c>
      <c r="N2067" t="str">
        <f t="shared" si="1042"/>
        <v>RECEITAS COM ENTREGAS</v>
      </c>
      <c r="P2067">
        <v>87.6</v>
      </c>
      <c r="Q2067" t="str">
        <f>"DROGA MONICA (10147)"</f>
        <v>DROGA MONICA (10147)</v>
      </c>
      <c r="R2067" t="str">
        <f t="shared" si="1043"/>
        <v>RECEITAS COM ENTREGAS (303)</v>
      </c>
      <c r="S2067">
        <v>1399</v>
      </c>
      <c r="T2067">
        <v>1115</v>
      </c>
      <c r="U2067" t="s">
        <v>19</v>
      </c>
    </row>
    <row r="2068" spans="1:21">
      <c r="A2068" t="str">
        <f t="shared" si="1037"/>
        <v>25/04/2025</v>
      </c>
      <c r="B2068" t="str">
        <f t="shared" si="1044"/>
        <v>ENTRADA</v>
      </c>
      <c r="C2068" t="str">
        <f t="shared" si="1038"/>
        <v>NFSE</v>
      </c>
      <c r="D2068" t="str">
        <f>"2913"</f>
        <v>2913</v>
      </c>
      <c r="E2068" t="str">
        <f t="shared" si="1039"/>
        <v>COM</v>
      </c>
      <c r="F2068" t="str">
        <f>"DROGARIA POUPA MINAS (DOIS AMIGOS) 5 (10140)"</f>
        <v>DROGARIA POUPA MINAS (DOIS AMIGOS) 5 (10140)</v>
      </c>
      <c r="G2068" t="str">
        <f>"Serv.Prest. 14/04/2025 a 20/04/2025 - RPS: 684 - NFSe: 2913"</f>
        <v>Serv.Prest. 14/04/2025 a 20/04/2025 - RPS: 684 - NFSe: 2913</v>
      </c>
      <c r="H2068" t="str">
        <f t="shared" si="1040"/>
        <v>24/04/2025</v>
      </c>
      <c r="I2068" t="str">
        <f>("22/04/2025")</f>
        <v>22/04/2025</v>
      </c>
      <c r="J2068" t="str">
        <f t="shared" si="1041"/>
        <v>25/04/2025</v>
      </c>
      <c r="K2068">
        <v>740.81</v>
      </c>
      <c r="L2068">
        <v>740.81</v>
      </c>
      <c r="M2068">
        <v>303</v>
      </c>
      <c r="N2068" t="str">
        <f t="shared" si="1042"/>
        <v>RECEITAS COM ENTREGAS</v>
      </c>
      <c r="O2068">
        <v>740.81</v>
      </c>
      <c r="R2068" t="str">
        <f t="shared" si="1043"/>
        <v>RECEITAS COM ENTREGAS (303)</v>
      </c>
      <c r="S2068">
        <v>1400</v>
      </c>
      <c r="T2068">
        <v>1105</v>
      </c>
      <c r="U2068" t="s">
        <v>19</v>
      </c>
    </row>
    <row r="2069" spans="1:21">
      <c r="A2069" t="str">
        <f t="shared" si="1037"/>
        <v>25/04/2025</v>
      </c>
      <c r="B2069" t="str">
        <f t="shared" si="1044"/>
        <v>ENTRADA</v>
      </c>
      <c r="C2069" t="str">
        <f t="shared" si="1038"/>
        <v>NFSE</v>
      </c>
      <c r="D2069" t="str">
        <f>"2913"</f>
        <v>2913</v>
      </c>
      <c r="E2069" t="str">
        <f t="shared" si="1039"/>
        <v>COM</v>
      </c>
      <c r="F2069" t="str">
        <f>"DROGARIA POUPA MINAS (DOIS AMIGOS) 5 (10140)"</f>
        <v>DROGARIA POUPA MINAS (DOIS AMIGOS) 5 (10140)</v>
      </c>
      <c r="G2069" t="str">
        <f>"Serv.Prest. 14/04/2025 a 20/04/2025 - RPS: 684 - NFSe: 2913"</f>
        <v>Serv.Prest. 14/04/2025 a 20/04/2025 - RPS: 684 - NFSe: 2913</v>
      </c>
      <c r="H2069" t="str">
        <f t="shared" si="1040"/>
        <v>24/04/2025</v>
      </c>
      <c r="I2069" t="str">
        <f>("22/04/2025")</f>
        <v>22/04/2025</v>
      </c>
      <c r="J2069" t="str">
        <f t="shared" si="1041"/>
        <v>25/04/2025</v>
      </c>
      <c r="M2069">
        <v>303</v>
      </c>
      <c r="N2069" t="str">
        <f t="shared" si="1042"/>
        <v>RECEITAS COM ENTREGAS</v>
      </c>
      <c r="P2069">
        <v>740.81</v>
      </c>
      <c r="Q2069" t="str">
        <f>"DROGARIA POUPA MINAS (ULTRAMINAS) (10116)"</f>
        <v>DROGARIA POUPA MINAS (ULTRAMINAS) (10116)</v>
      </c>
      <c r="R2069" t="str">
        <f t="shared" si="1043"/>
        <v>RECEITAS COM ENTREGAS (303)</v>
      </c>
      <c r="S2069">
        <v>1400</v>
      </c>
      <c r="T2069">
        <v>1105</v>
      </c>
      <c r="U2069" t="s">
        <v>19</v>
      </c>
    </row>
    <row r="2070" spans="1:21">
      <c r="A2070" t="str">
        <f t="shared" si="1037"/>
        <v>25/04/2025</v>
      </c>
      <c r="B2070" t="str">
        <f t="shared" si="1044"/>
        <v>ENTRADA</v>
      </c>
      <c r="C2070" t="str">
        <f t="shared" si="1038"/>
        <v>NFSE</v>
      </c>
      <c r="D2070" t="str">
        <f>"2914"</f>
        <v>2914</v>
      </c>
      <c r="E2070" t="str">
        <f t="shared" si="1039"/>
        <v>COM</v>
      </c>
      <c r="F2070" t="str">
        <f>"DROGARIA POUPA MINAS (ULTRAMINAS) 3 (10129)"</f>
        <v>DROGARIA POUPA MINAS (ULTRAMINAS) 3 (10129)</v>
      </c>
      <c r="G2070" t="str">
        <f>"Serv.Prest. 14/04/2025 a 20/04/2025 - RPS: 685 - NFSe: 2914"</f>
        <v>Serv.Prest. 14/04/2025 a 20/04/2025 - RPS: 685 - NFSe: 2914</v>
      </c>
      <c r="H2070" t="str">
        <f t="shared" si="1040"/>
        <v>24/04/2025</v>
      </c>
      <c r="I2070" t="str">
        <f>("22/04/2025")</f>
        <v>22/04/2025</v>
      </c>
      <c r="J2070" t="str">
        <f t="shared" si="1041"/>
        <v>25/04/2025</v>
      </c>
      <c r="K2070">
        <v>274.56</v>
      </c>
      <c r="L2070">
        <v>274.56</v>
      </c>
      <c r="M2070">
        <v>303</v>
      </c>
      <c r="N2070" t="str">
        <f t="shared" si="1042"/>
        <v>RECEITAS COM ENTREGAS</v>
      </c>
      <c r="O2070">
        <v>274.56</v>
      </c>
      <c r="R2070" t="str">
        <f t="shared" si="1043"/>
        <v>RECEITAS COM ENTREGAS (303)</v>
      </c>
      <c r="S2070">
        <v>1401</v>
      </c>
      <c r="T2070">
        <v>1106</v>
      </c>
      <c r="U2070" t="s">
        <v>19</v>
      </c>
    </row>
    <row r="2071" spans="1:21">
      <c r="A2071" t="str">
        <f t="shared" si="1037"/>
        <v>25/04/2025</v>
      </c>
      <c r="B2071" t="str">
        <f t="shared" si="1044"/>
        <v>ENTRADA</v>
      </c>
      <c r="C2071" t="str">
        <f t="shared" si="1038"/>
        <v>NFSE</v>
      </c>
      <c r="D2071" t="str">
        <f>"2914"</f>
        <v>2914</v>
      </c>
      <c r="E2071" t="str">
        <f t="shared" si="1039"/>
        <v>COM</v>
      </c>
      <c r="F2071" t="str">
        <f>"DROGARIA POUPA MINAS (ULTRAMINAS) 3 (10129)"</f>
        <v>DROGARIA POUPA MINAS (ULTRAMINAS) 3 (10129)</v>
      </c>
      <c r="G2071" t="str">
        <f>"Serv.Prest. 14/04/2025 a 20/04/2025 - RPS: 685 - NFSe: 2914"</f>
        <v>Serv.Prest. 14/04/2025 a 20/04/2025 - RPS: 685 - NFSe: 2914</v>
      </c>
      <c r="H2071" t="str">
        <f t="shared" si="1040"/>
        <v>24/04/2025</v>
      </c>
      <c r="I2071" t="str">
        <f>("22/04/2025")</f>
        <v>22/04/2025</v>
      </c>
      <c r="J2071" t="str">
        <f t="shared" si="1041"/>
        <v>25/04/2025</v>
      </c>
      <c r="M2071">
        <v>303</v>
      </c>
      <c r="N2071" t="str">
        <f t="shared" si="1042"/>
        <v>RECEITAS COM ENTREGAS</v>
      </c>
      <c r="P2071">
        <v>274.56</v>
      </c>
      <c r="Q2071" t="str">
        <f>"DROGARIA POUPA MINAS (ULTRAMINAS) 3 (10129)"</f>
        <v>DROGARIA POUPA MINAS (ULTRAMINAS) 3 (10129)</v>
      </c>
      <c r="R2071" t="str">
        <f t="shared" si="1043"/>
        <v>RECEITAS COM ENTREGAS (303)</v>
      </c>
      <c r="S2071">
        <v>1401</v>
      </c>
      <c r="T2071">
        <v>1106</v>
      </c>
      <c r="U2071" t="s">
        <v>19</v>
      </c>
    </row>
    <row r="2072" spans="1:21">
      <c r="A2072" t="str">
        <f t="shared" si="1037"/>
        <v>25/04/2025</v>
      </c>
      <c r="B2072" t="str">
        <f t="shared" ref="B2072:B2078" si="1045">"SAÍDA"</f>
        <v>SAÍDA</v>
      </c>
      <c r="C2072" t="str">
        <f t="shared" ref="C2072:C2078" si="1046">"JUROS"</f>
        <v>JUROS</v>
      </c>
      <c r="D2072" t="str">
        <f>""</f>
        <v/>
      </c>
      <c r="E2072" t="str">
        <f t="shared" ref="E2072:E2078" si="1047">"CXA"</f>
        <v>CXA</v>
      </c>
      <c r="F2072" t="str">
        <f>""</f>
        <v/>
      </c>
      <c r="G2072" t="str">
        <f t="shared" ref="G2072:G2078" si="1048">"TAXA BOLETO COMPENSADO"</f>
        <v>TAXA BOLETO COMPENSADO</v>
      </c>
      <c r="H2072" t="str">
        <f t="shared" ref="H2072:I2078" si="1049">("25/04/2025")</f>
        <v>25/04/2025</v>
      </c>
      <c r="I2072" t="str">
        <f t="shared" si="1049"/>
        <v>25/04/2025</v>
      </c>
      <c r="J2072" t="str">
        <f t="shared" si="1041"/>
        <v>25/04/2025</v>
      </c>
      <c r="K2072">
        <v>1.7</v>
      </c>
      <c r="L2072">
        <v>1.7</v>
      </c>
      <c r="M2072">
        <v>401</v>
      </c>
      <c r="N2072" t="str">
        <f t="shared" ref="N2072:N2078" si="1050">"IOF/JUROS/DESP.FINANCEIRA"</f>
        <v>IOF/JUROS/DESP.FINANCEIRA</v>
      </c>
      <c r="O2072">
        <v>1.7</v>
      </c>
      <c r="R2072" t="str">
        <f t="shared" ref="R2072:R2078" si="1051">"BANCO CORA (102)"</f>
        <v>BANCO CORA (102)</v>
      </c>
      <c r="S2072">
        <v>1485</v>
      </c>
      <c r="T2072">
        <v>0</v>
      </c>
      <c r="U2072" t="s">
        <v>20</v>
      </c>
    </row>
    <row r="2073" spans="1:21">
      <c r="A2073" t="str">
        <f t="shared" si="1037"/>
        <v>25/04/2025</v>
      </c>
      <c r="B2073" t="str">
        <f t="shared" si="1045"/>
        <v>SAÍDA</v>
      </c>
      <c r="C2073" t="str">
        <f t="shared" si="1046"/>
        <v>JUROS</v>
      </c>
      <c r="D2073" t="str">
        <f>""</f>
        <v/>
      </c>
      <c r="E2073" t="str">
        <f t="shared" si="1047"/>
        <v>CXA</v>
      </c>
      <c r="F2073" t="str">
        <f>""</f>
        <v/>
      </c>
      <c r="G2073" t="str">
        <f t="shared" si="1048"/>
        <v>TAXA BOLETO COMPENSADO</v>
      </c>
      <c r="H2073" t="str">
        <f t="shared" si="1049"/>
        <v>25/04/2025</v>
      </c>
      <c r="I2073" t="str">
        <f t="shared" si="1049"/>
        <v>25/04/2025</v>
      </c>
      <c r="J2073" t="str">
        <f t="shared" si="1041"/>
        <v>25/04/2025</v>
      </c>
      <c r="K2073">
        <v>1.7</v>
      </c>
      <c r="L2073">
        <v>1.7</v>
      </c>
      <c r="M2073">
        <v>401</v>
      </c>
      <c r="N2073" t="str">
        <f t="shared" si="1050"/>
        <v>IOF/JUROS/DESP.FINANCEIRA</v>
      </c>
      <c r="O2073">
        <v>1.7</v>
      </c>
      <c r="R2073" t="str">
        <f t="shared" si="1051"/>
        <v>BANCO CORA (102)</v>
      </c>
      <c r="S2073">
        <v>1486</v>
      </c>
      <c r="T2073">
        <v>0</v>
      </c>
      <c r="U2073" t="s">
        <v>20</v>
      </c>
    </row>
    <row r="2074" spans="1:21">
      <c r="A2074" t="str">
        <f t="shared" si="1037"/>
        <v>25/04/2025</v>
      </c>
      <c r="B2074" t="str">
        <f t="shared" si="1045"/>
        <v>SAÍDA</v>
      </c>
      <c r="C2074" t="str">
        <f t="shared" si="1046"/>
        <v>JUROS</v>
      </c>
      <c r="D2074" t="str">
        <f>""</f>
        <v/>
      </c>
      <c r="E2074" t="str">
        <f t="shared" si="1047"/>
        <v>CXA</v>
      </c>
      <c r="F2074" t="str">
        <f>""</f>
        <v/>
      </c>
      <c r="G2074" t="str">
        <f t="shared" si="1048"/>
        <v>TAXA BOLETO COMPENSADO</v>
      </c>
      <c r="H2074" t="str">
        <f t="shared" si="1049"/>
        <v>25/04/2025</v>
      </c>
      <c r="I2074" t="str">
        <f t="shared" si="1049"/>
        <v>25/04/2025</v>
      </c>
      <c r="J2074" t="str">
        <f t="shared" si="1041"/>
        <v>25/04/2025</v>
      </c>
      <c r="K2074">
        <v>1.7</v>
      </c>
      <c r="L2074">
        <v>1.7</v>
      </c>
      <c r="M2074">
        <v>401</v>
      </c>
      <c r="N2074" t="str">
        <f t="shared" si="1050"/>
        <v>IOF/JUROS/DESP.FINANCEIRA</v>
      </c>
      <c r="O2074">
        <v>1.7</v>
      </c>
      <c r="R2074" t="str">
        <f t="shared" si="1051"/>
        <v>BANCO CORA (102)</v>
      </c>
      <c r="S2074">
        <v>1487</v>
      </c>
      <c r="T2074">
        <v>0</v>
      </c>
      <c r="U2074" t="s">
        <v>20</v>
      </c>
    </row>
    <row r="2075" spans="1:21">
      <c r="A2075" t="str">
        <f t="shared" si="1037"/>
        <v>25/04/2025</v>
      </c>
      <c r="B2075" t="str">
        <f t="shared" si="1045"/>
        <v>SAÍDA</v>
      </c>
      <c r="C2075" t="str">
        <f t="shared" si="1046"/>
        <v>JUROS</v>
      </c>
      <c r="D2075" t="str">
        <f>""</f>
        <v/>
      </c>
      <c r="E2075" t="str">
        <f t="shared" si="1047"/>
        <v>CXA</v>
      </c>
      <c r="F2075" t="str">
        <f>""</f>
        <v/>
      </c>
      <c r="G2075" t="str">
        <f t="shared" si="1048"/>
        <v>TAXA BOLETO COMPENSADO</v>
      </c>
      <c r="H2075" t="str">
        <f t="shared" si="1049"/>
        <v>25/04/2025</v>
      </c>
      <c r="I2075" t="str">
        <f t="shared" si="1049"/>
        <v>25/04/2025</v>
      </c>
      <c r="J2075" t="str">
        <f t="shared" si="1041"/>
        <v>25/04/2025</v>
      </c>
      <c r="K2075">
        <v>1.7</v>
      </c>
      <c r="L2075">
        <v>1.7</v>
      </c>
      <c r="M2075">
        <v>401</v>
      </c>
      <c r="N2075" t="str">
        <f t="shared" si="1050"/>
        <v>IOF/JUROS/DESP.FINANCEIRA</v>
      </c>
      <c r="O2075">
        <v>1.7</v>
      </c>
      <c r="R2075" t="str">
        <f t="shared" si="1051"/>
        <v>BANCO CORA (102)</v>
      </c>
      <c r="S2075">
        <v>1488</v>
      </c>
      <c r="T2075">
        <v>0</v>
      </c>
      <c r="U2075" t="s">
        <v>20</v>
      </c>
    </row>
    <row r="2076" spans="1:21">
      <c r="A2076" t="str">
        <f t="shared" si="1037"/>
        <v>25/04/2025</v>
      </c>
      <c r="B2076" t="str">
        <f t="shared" si="1045"/>
        <v>SAÍDA</v>
      </c>
      <c r="C2076" t="str">
        <f t="shared" si="1046"/>
        <v>JUROS</v>
      </c>
      <c r="D2076" t="str">
        <f>""</f>
        <v/>
      </c>
      <c r="E2076" t="str">
        <f t="shared" si="1047"/>
        <v>CXA</v>
      </c>
      <c r="F2076" t="str">
        <f>""</f>
        <v/>
      </c>
      <c r="G2076" t="str">
        <f t="shared" si="1048"/>
        <v>TAXA BOLETO COMPENSADO</v>
      </c>
      <c r="H2076" t="str">
        <f t="shared" si="1049"/>
        <v>25/04/2025</v>
      </c>
      <c r="I2076" t="str">
        <f t="shared" si="1049"/>
        <v>25/04/2025</v>
      </c>
      <c r="J2076" t="str">
        <f t="shared" si="1041"/>
        <v>25/04/2025</v>
      </c>
      <c r="K2076">
        <v>1.7</v>
      </c>
      <c r="L2076">
        <v>1.7</v>
      </c>
      <c r="M2076">
        <v>401</v>
      </c>
      <c r="N2076" t="str">
        <f t="shared" si="1050"/>
        <v>IOF/JUROS/DESP.FINANCEIRA</v>
      </c>
      <c r="O2076">
        <v>1.7</v>
      </c>
      <c r="R2076" t="str">
        <f t="shared" si="1051"/>
        <v>BANCO CORA (102)</v>
      </c>
      <c r="S2076">
        <v>1489</v>
      </c>
      <c r="T2076">
        <v>0</v>
      </c>
      <c r="U2076" t="s">
        <v>20</v>
      </c>
    </row>
    <row r="2077" spans="1:21">
      <c r="A2077" t="str">
        <f t="shared" si="1037"/>
        <v>25/04/2025</v>
      </c>
      <c r="B2077" t="str">
        <f t="shared" si="1045"/>
        <v>SAÍDA</v>
      </c>
      <c r="C2077" t="str">
        <f t="shared" si="1046"/>
        <v>JUROS</v>
      </c>
      <c r="D2077" t="str">
        <f>""</f>
        <v/>
      </c>
      <c r="E2077" t="str">
        <f t="shared" si="1047"/>
        <v>CXA</v>
      </c>
      <c r="F2077" t="str">
        <f>""</f>
        <v/>
      </c>
      <c r="G2077" t="str">
        <f t="shared" si="1048"/>
        <v>TAXA BOLETO COMPENSADO</v>
      </c>
      <c r="H2077" t="str">
        <f t="shared" si="1049"/>
        <v>25/04/2025</v>
      </c>
      <c r="I2077" t="str">
        <f t="shared" si="1049"/>
        <v>25/04/2025</v>
      </c>
      <c r="J2077" t="str">
        <f t="shared" si="1041"/>
        <v>25/04/2025</v>
      </c>
      <c r="K2077">
        <v>1.7</v>
      </c>
      <c r="L2077">
        <v>1.7</v>
      </c>
      <c r="M2077">
        <v>401</v>
      </c>
      <c r="N2077" t="str">
        <f t="shared" si="1050"/>
        <v>IOF/JUROS/DESP.FINANCEIRA</v>
      </c>
      <c r="O2077">
        <v>1.7</v>
      </c>
      <c r="R2077" t="str">
        <f t="shared" si="1051"/>
        <v>BANCO CORA (102)</v>
      </c>
      <c r="S2077">
        <v>1490</v>
      </c>
      <c r="T2077">
        <v>0</v>
      </c>
      <c r="U2077" t="s">
        <v>20</v>
      </c>
    </row>
    <row r="2078" spans="1:21">
      <c r="A2078" t="str">
        <f t="shared" si="1037"/>
        <v>25/04/2025</v>
      </c>
      <c r="B2078" t="str">
        <f t="shared" si="1045"/>
        <v>SAÍDA</v>
      </c>
      <c r="C2078" t="str">
        <f t="shared" si="1046"/>
        <v>JUROS</v>
      </c>
      <c r="D2078" t="str">
        <f>""</f>
        <v/>
      </c>
      <c r="E2078" t="str">
        <f t="shared" si="1047"/>
        <v>CXA</v>
      </c>
      <c r="F2078" t="str">
        <f>""</f>
        <v/>
      </c>
      <c r="G2078" t="str">
        <f t="shared" si="1048"/>
        <v>TAXA BOLETO COMPENSADO</v>
      </c>
      <c r="H2078" t="str">
        <f t="shared" si="1049"/>
        <v>25/04/2025</v>
      </c>
      <c r="I2078" t="str">
        <f t="shared" si="1049"/>
        <v>25/04/2025</v>
      </c>
      <c r="J2078" t="str">
        <f t="shared" si="1041"/>
        <v>25/04/2025</v>
      </c>
      <c r="K2078">
        <v>1.7</v>
      </c>
      <c r="L2078">
        <v>1.7</v>
      </c>
      <c r="M2078">
        <v>401</v>
      </c>
      <c r="N2078" t="str">
        <f t="shared" si="1050"/>
        <v>IOF/JUROS/DESP.FINANCEIRA</v>
      </c>
      <c r="O2078">
        <v>1.7</v>
      </c>
      <c r="R2078" t="str">
        <f t="shared" si="1051"/>
        <v>BANCO CORA (102)</v>
      </c>
      <c r="S2078">
        <v>1491</v>
      </c>
      <c r="T2078">
        <v>0</v>
      </c>
      <c r="U2078" t="s">
        <v>20</v>
      </c>
    </row>
    <row r="2079" spans="1:21">
      <c r="A2079" t="str">
        <f>("28/04/2025")</f>
        <v>28/04/2025</v>
      </c>
      <c r="B2079" t="str">
        <f>"ENTRADA"</f>
        <v>ENTRADA</v>
      </c>
      <c r="C2079" t="str">
        <f>"NFSE"</f>
        <v>NFSE</v>
      </c>
      <c r="D2079" t="str">
        <f>"2922"</f>
        <v>2922</v>
      </c>
      <c r="E2079" t="str">
        <f>"COM"</f>
        <v>COM</v>
      </c>
      <c r="F2079" t="str">
        <f>"DROGARIA MEDIC CENTER LTDA (10172)"</f>
        <v>DROGARIA MEDIC CENTER LTDA (10172)</v>
      </c>
      <c r="G2079" t="str">
        <f>"Serv.Prest. 14/04/2025 a 20/04/2025 - RPS: 693 - NFSe: 2922"</f>
        <v>Serv.Prest. 14/04/2025 a 20/04/2025 - RPS: 693 - NFSe: 2922</v>
      </c>
      <c r="H2079" t="str">
        <f>("23/04/2025")</f>
        <v>23/04/2025</v>
      </c>
      <c r="I2079" t="str">
        <f>("22/04/2025")</f>
        <v>22/04/2025</v>
      </c>
      <c r="J2079" t="str">
        <f>("28/04/2025")</f>
        <v>28/04/2025</v>
      </c>
      <c r="K2079">
        <v>227.52</v>
      </c>
      <c r="L2079">
        <v>232.22</v>
      </c>
      <c r="M2079">
        <v>303</v>
      </c>
      <c r="N2079" t="str">
        <f>"RECEITAS COM ENTREGAS"</f>
        <v>RECEITAS COM ENTREGAS</v>
      </c>
      <c r="O2079">
        <v>232.22</v>
      </c>
      <c r="R2079" t="str">
        <f>"RECEITAS COM ENTREGAS (303)"</f>
        <v>RECEITAS COM ENTREGAS (303)</v>
      </c>
      <c r="S2079">
        <v>1409</v>
      </c>
      <c r="T2079">
        <v>1114</v>
      </c>
      <c r="U2079" t="s">
        <v>19</v>
      </c>
    </row>
    <row r="2080" spans="1:21">
      <c r="A2080" t="str">
        <f>("28/04/2025")</f>
        <v>28/04/2025</v>
      </c>
      <c r="B2080" t="str">
        <f>"ENTRADA"</f>
        <v>ENTRADA</v>
      </c>
      <c r="C2080" t="str">
        <f>"NFSE"</f>
        <v>NFSE</v>
      </c>
      <c r="D2080" t="str">
        <f>"2922"</f>
        <v>2922</v>
      </c>
      <c r="E2080" t="str">
        <f>"COM"</f>
        <v>COM</v>
      </c>
      <c r="F2080" t="str">
        <f>"DROGARIA MEDIC CENTER LTDA (10172)"</f>
        <v>DROGARIA MEDIC CENTER LTDA (10172)</v>
      </c>
      <c r="G2080" t="str">
        <f>"Serv.Prest. 14/04/2025 a 20/04/2025 - RPS: 693 - NFSe: 2922"</f>
        <v>Serv.Prest. 14/04/2025 a 20/04/2025 - RPS: 693 - NFSe: 2922</v>
      </c>
      <c r="H2080" t="str">
        <f>("23/04/2025")</f>
        <v>23/04/2025</v>
      </c>
      <c r="I2080" t="str">
        <f>("22/04/2025")</f>
        <v>22/04/2025</v>
      </c>
      <c r="J2080" t="str">
        <f>("28/04/2025")</f>
        <v>28/04/2025</v>
      </c>
      <c r="M2080">
        <v>303</v>
      </c>
      <c r="N2080" t="str">
        <f>"RECEITAS COM ENTREGAS"</f>
        <v>RECEITAS COM ENTREGAS</v>
      </c>
      <c r="P2080">
        <v>232.22</v>
      </c>
      <c r="Q2080" t="str">
        <f>"DROGARIA MEDIC CENTER LTDA (10172)"</f>
        <v>DROGARIA MEDIC CENTER LTDA (10172)</v>
      </c>
      <c r="R2080" t="str">
        <f>"RECEITAS COM ENTREGAS (303)"</f>
        <v>RECEITAS COM ENTREGAS (303)</v>
      </c>
      <c r="S2080">
        <v>1409</v>
      </c>
      <c r="T2080">
        <v>1114</v>
      </c>
      <c r="U2080" t="s">
        <v>19</v>
      </c>
    </row>
    <row r="2081" spans="1:21">
      <c r="A2081" t="str">
        <f>("28/04/2025")</f>
        <v>28/04/2025</v>
      </c>
      <c r="B2081" t="str">
        <f>"SAÍDA"</f>
        <v>SAÍDA</v>
      </c>
      <c r="C2081" t="str">
        <f>"PIX"</f>
        <v>PIX</v>
      </c>
      <c r="D2081" t="str">
        <f>"280425"</f>
        <v>280425</v>
      </c>
      <c r="E2081" t="str">
        <f>"COM"</f>
        <v>COM</v>
      </c>
      <c r="F2081" t="str">
        <f>"CONTA SIMPLES SOLUCOES DE PAGAMENTOS LTDA (20019)"</f>
        <v>CONTA SIMPLES SOLUCOES DE PAGAMENTOS LTDA (20019)</v>
      </c>
      <c r="G2081" t="str">
        <f>"PUBLICIDADE E PROPAGANDA EM REDES SOCIAIS"</f>
        <v>PUBLICIDADE E PROPAGANDA EM REDES SOCIAIS</v>
      </c>
      <c r="H2081" t="str">
        <f t="shared" ref="H2081:I2083" si="1052">("28/04/2025")</f>
        <v>28/04/2025</v>
      </c>
      <c r="I2081" t="str">
        <f t="shared" si="1052"/>
        <v>28/04/2025</v>
      </c>
      <c r="J2081" t="str">
        <f>("28/04/2025")</f>
        <v>28/04/2025</v>
      </c>
      <c r="K2081">
        <v>1000</v>
      </c>
      <c r="L2081">
        <v>1000</v>
      </c>
      <c r="M2081">
        <v>127</v>
      </c>
      <c r="N2081" t="str">
        <f>"PUBLICIDADE E PROPAGANDAS"</f>
        <v>PUBLICIDADE E PROPAGANDAS</v>
      </c>
      <c r="O2081">
        <v>1000</v>
      </c>
      <c r="R2081" t="str">
        <f>"BANCO CORA (102)"</f>
        <v>BANCO CORA (102)</v>
      </c>
      <c r="S2081">
        <v>1436</v>
      </c>
      <c r="T2081">
        <v>1186</v>
      </c>
      <c r="U2081" t="s">
        <v>19</v>
      </c>
    </row>
    <row r="2082" spans="1:21">
      <c r="A2082" t="str">
        <f>("28/04/2025")</f>
        <v>28/04/2025</v>
      </c>
      <c r="B2082" t="str">
        <f>"SAÍDA"</f>
        <v>SAÍDA</v>
      </c>
      <c r="C2082" t="str">
        <f>"PIX"</f>
        <v>PIX</v>
      </c>
      <c r="D2082" t="str">
        <f>"280425"</f>
        <v>280425</v>
      </c>
      <c r="E2082" t="str">
        <f>"COM"</f>
        <v>COM</v>
      </c>
      <c r="F2082" t="str">
        <f>"CONTA SIMPLES SOLUCOES DE PAGAMENTOS LTDA (20019)"</f>
        <v>CONTA SIMPLES SOLUCOES DE PAGAMENTOS LTDA (20019)</v>
      </c>
      <c r="G2082" t="str">
        <f>"PUBLICIDADE E PROPAGANDA EM REDES SOCIAIS"</f>
        <v>PUBLICIDADE E PROPAGANDA EM REDES SOCIAIS</v>
      </c>
      <c r="H2082" t="str">
        <f t="shared" si="1052"/>
        <v>28/04/2025</v>
      </c>
      <c r="I2082" t="str">
        <f t="shared" si="1052"/>
        <v>28/04/2025</v>
      </c>
      <c r="J2082" t="str">
        <f>("28/04/2025")</f>
        <v>28/04/2025</v>
      </c>
      <c r="M2082">
        <v>127</v>
      </c>
      <c r="N2082" t="str">
        <f>"PUBLICIDADE E PROPAGANDAS"</f>
        <v>PUBLICIDADE E PROPAGANDAS</v>
      </c>
      <c r="P2082">
        <v>1000</v>
      </c>
      <c r="Q2082" t="str">
        <f>"CONTA SIMPLES SOLUCOES DE PAGAMENTOS LTDA (20019)"</f>
        <v>CONTA SIMPLES SOLUCOES DE PAGAMENTOS LTDA (20019)</v>
      </c>
      <c r="R2082" t="str">
        <f>"BANCO CORA (102)"</f>
        <v>BANCO CORA (102)</v>
      </c>
      <c r="S2082">
        <v>1436</v>
      </c>
      <c r="T2082">
        <v>1186</v>
      </c>
      <c r="U2082" t="s">
        <v>19</v>
      </c>
    </row>
    <row r="2083" spans="1:21">
      <c r="A2083" t="str">
        <f>("28/04/2025")</f>
        <v>28/04/2025</v>
      </c>
      <c r="B2083" t="str">
        <f>"SAÍDA"</f>
        <v>SAÍDA</v>
      </c>
      <c r="C2083" t="str">
        <f>"JUROS"</f>
        <v>JUROS</v>
      </c>
      <c r="D2083" t="str">
        <f>""</f>
        <v/>
      </c>
      <c r="E2083" t="str">
        <f>"CXA"</f>
        <v>CXA</v>
      </c>
      <c r="F2083" t="str">
        <f>""</f>
        <v/>
      </c>
      <c r="G2083" t="str">
        <f>"TAXA BOLETO COMPENSADO"</f>
        <v>TAXA BOLETO COMPENSADO</v>
      </c>
      <c r="H2083" t="str">
        <f t="shared" si="1052"/>
        <v>28/04/2025</v>
      </c>
      <c r="I2083" t="str">
        <f t="shared" si="1052"/>
        <v>28/04/2025</v>
      </c>
      <c r="J2083" t="str">
        <f>("28/04/2025")</f>
        <v>28/04/2025</v>
      </c>
      <c r="K2083">
        <v>1.7</v>
      </c>
      <c r="L2083">
        <v>1.7</v>
      </c>
      <c r="M2083">
        <v>401</v>
      </c>
      <c r="N2083" t="str">
        <f>"IOF/JUROS/DESP.FINANCEIRA"</f>
        <v>IOF/JUROS/DESP.FINANCEIRA</v>
      </c>
      <c r="O2083">
        <v>1.7</v>
      </c>
      <c r="R2083" t="str">
        <f>"BANCO CORA (102)"</f>
        <v>BANCO CORA (102)</v>
      </c>
      <c r="S2083">
        <v>1492</v>
      </c>
      <c r="T2083">
        <v>0</v>
      </c>
      <c r="U2083" t="s">
        <v>20</v>
      </c>
    </row>
    <row r="2084" spans="1:21">
      <c r="A2084" t="str">
        <f t="shared" ref="A2084:A2115" si="1053">("30/04/2025")</f>
        <v>30/04/2025</v>
      </c>
      <c r="B2084" t="str">
        <f>"ENTRADA"</f>
        <v>ENTRADA</v>
      </c>
      <c r="C2084" t="str">
        <f t="shared" ref="C2084:C2115" si="1054">"NFSE"</f>
        <v>NFSE</v>
      </c>
      <c r="D2084" t="str">
        <f t="shared" ref="D2084:D2129" si="1055">"2900"</f>
        <v>2900</v>
      </c>
      <c r="E2084" t="str">
        <f t="shared" ref="E2084:E2115" si="1056">"COM"</f>
        <v>COM</v>
      </c>
      <c r="F2084" t="str">
        <f t="shared" ref="F2084:F2129" si="1057">"FARMÁCIA INDIANA LJ 1 (10126)"</f>
        <v>FARMÁCIA INDIANA LJ 1 (10126)</v>
      </c>
      <c r="G2084" t="str">
        <f t="shared" ref="G2084:G2129" si="1058">"Serv.Prest. 14/04/2025 a 20/04/2025 - RPS: 671 - NFSe: 2900"</f>
        <v>Serv.Prest. 14/04/2025 a 20/04/2025 - RPS: 671 - NFSe: 2900</v>
      </c>
      <c r="H2084" t="str">
        <f t="shared" ref="H2084:H2115" si="1059">("30/04/2025")</f>
        <v>30/04/2025</v>
      </c>
      <c r="I2084" t="str">
        <f t="shared" ref="I2084:I2129" si="1060">("21/04/2025")</f>
        <v>21/04/2025</v>
      </c>
      <c r="J2084" t="str">
        <f t="shared" ref="J2084:J2115" si="1061">("30/04/2025")</f>
        <v>30/04/2025</v>
      </c>
      <c r="K2084">
        <v>13135.94</v>
      </c>
      <c r="L2084">
        <v>13135.94</v>
      </c>
      <c r="M2084">
        <v>303</v>
      </c>
      <c r="N2084" t="str">
        <f t="shared" ref="N2084:N2115" si="1062">"RECEITAS COM ENTREGAS"</f>
        <v>RECEITAS COM ENTREGAS</v>
      </c>
      <c r="O2084">
        <v>13135.94</v>
      </c>
      <c r="R2084" t="str">
        <f t="shared" ref="R2084:R2115" si="1063">"RECEITAS COM ENTREGAS (303)"</f>
        <v>RECEITAS COM ENTREGAS (303)</v>
      </c>
      <c r="S2084">
        <v>1342</v>
      </c>
      <c r="T2084">
        <v>1092</v>
      </c>
      <c r="U2084" t="s">
        <v>19</v>
      </c>
    </row>
    <row r="2085" spans="1:21">
      <c r="A2085" t="str">
        <f t="shared" si="1053"/>
        <v>30/04/2025</v>
      </c>
      <c r="B2085" t="str">
        <f t="shared" ref="B2085:B2148" si="1064">"ENTRADA"</f>
        <v>ENTRADA</v>
      </c>
      <c r="C2085" t="str">
        <f t="shared" si="1054"/>
        <v>NFSE</v>
      </c>
      <c r="D2085" t="str">
        <f t="shared" si="1055"/>
        <v>2900</v>
      </c>
      <c r="E2085" t="str">
        <f t="shared" si="1056"/>
        <v>COM</v>
      </c>
      <c r="F2085" t="str">
        <f t="shared" si="1057"/>
        <v>FARMÁCIA INDIANA LJ 1 (10126)</v>
      </c>
      <c r="G2085" t="str">
        <f t="shared" si="1058"/>
        <v>Serv.Prest. 14/04/2025 a 20/04/2025 - RPS: 671 - NFSe: 2900</v>
      </c>
      <c r="H2085" t="str">
        <f t="shared" si="1059"/>
        <v>30/04/2025</v>
      </c>
      <c r="I2085" t="str">
        <f t="shared" si="1060"/>
        <v>21/04/2025</v>
      </c>
      <c r="J2085" t="str">
        <f t="shared" si="1061"/>
        <v>30/04/2025</v>
      </c>
      <c r="M2085">
        <v>303</v>
      </c>
      <c r="N2085" t="str">
        <f t="shared" si="1062"/>
        <v>RECEITAS COM ENTREGAS</v>
      </c>
      <c r="P2085">
        <v>1816.67</v>
      </c>
      <c r="Q2085" t="str">
        <f>"FARMÁCIA INDIANA LJ 06 (10006)"</f>
        <v>FARMÁCIA INDIANA LJ 06 (10006)</v>
      </c>
      <c r="R2085" t="str">
        <f t="shared" si="1063"/>
        <v>RECEITAS COM ENTREGAS (303)</v>
      </c>
      <c r="S2085">
        <v>1342</v>
      </c>
      <c r="T2085">
        <v>1092</v>
      </c>
      <c r="U2085" t="s">
        <v>19</v>
      </c>
    </row>
    <row r="2086" spans="1:21">
      <c r="A2086" t="str">
        <f t="shared" si="1053"/>
        <v>30/04/2025</v>
      </c>
      <c r="B2086" t="str">
        <f t="shared" si="1064"/>
        <v>ENTRADA</v>
      </c>
      <c r="C2086" t="str">
        <f t="shared" si="1054"/>
        <v>NFSE</v>
      </c>
      <c r="D2086" t="str">
        <f t="shared" si="1055"/>
        <v>2900</v>
      </c>
      <c r="E2086" t="str">
        <f t="shared" si="1056"/>
        <v>COM</v>
      </c>
      <c r="F2086" t="str">
        <f t="shared" si="1057"/>
        <v>FARMÁCIA INDIANA LJ 1 (10126)</v>
      </c>
      <c r="G2086" t="str">
        <f t="shared" si="1058"/>
        <v>Serv.Prest. 14/04/2025 a 20/04/2025 - RPS: 671 - NFSe: 2900</v>
      </c>
      <c r="H2086" t="str">
        <f t="shared" si="1059"/>
        <v>30/04/2025</v>
      </c>
      <c r="I2086" t="str">
        <f t="shared" si="1060"/>
        <v>21/04/2025</v>
      </c>
      <c r="J2086" t="str">
        <f t="shared" si="1061"/>
        <v>30/04/2025</v>
      </c>
      <c r="M2086">
        <v>303</v>
      </c>
      <c r="N2086" t="str">
        <f t="shared" si="1062"/>
        <v>RECEITAS COM ENTREGAS</v>
      </c>
      <c r="P2086">
        <v>1418.68</v>
      </c>
      <c r="Q2086" t="str">
        <f>"FARMÁCIA INDIANA LJ 07 (10007)"</f>
        <v>FARMÁCIA INDIANA LJ 07 (10007)</v>
      </c>
      <c r="R2086" t="str">
        <f t="shared" si="1063"/>
        <v>RECEITAS COM ENTREGAS (303)</v>
      </c>
      <c r="S2086">
        <v>1342</v>
      </c>
      <c r="T2086">
        <v>1092</v>
      </c>
      <c r="U2086" t="s">
        <v>19</v>
      </c>
    </row>
    <row r="2087" spans="1:21">
      <c r="A2087" t="str">
        <f t="shared" si="1053"/>
        <v>30/04/2025</v>
      </c>
      <c r="B2087" t="str">
        <f t="shared" si="1064"/>
        <v>ENTRADA</v>
      </c>
      <c r="C2087" t="str">
        <f t="shared" si="1054"/>
        <v>NFSE</v>
      </c>
      <c r="D2087" t="str">
        <f t="shared" si="1055"/>
        <v>2900</v>
      </c>
      <c r="E2087" t="str">
        <f t="shared" si="1056"/>
        <v>COM</v>
      </c>
      <c r="F2087" t="str">
        <f t="shared" si="1057"/>
        <v>FARMÁCIA INDIANA LJ 1 (10126)</v>
      </c>
      <c r="G2087" t="str">
        <f t="shared" si="1058"/>
        <v>Serv.Prest. 14/04/2025 a 20/04/2025 - RPS: 671 - NFSe: 2900</v>
      </c>
      <c r="H2087" t="str">
        <f t="shared" si="1059"/>
        <v>30/04/2025</v>
      </c>
      <c r="I2087" t="str">
        <f t="shared" si="1060"/>
        <v>21/04/2025</v>
      </c>
      <c r="J2087" t="str">
        <f t="shared" si="1061"/>
        <v>30/04/2025</v>
      </c>
      <c r="M2087">
        <v>303</v>
      </c>
      <c r="N2087" t="str">
        <f t="shared" si="1062"/>
        <v>RECEITAS COM ENTREGAS</v>
      </c>
      <c r="P2087">
        <v>887.99</v>
      </c>
      <c r="Q2087" t="str">
        <f>"FARMÁCIA INDIANA LJ 11 (10008)"</f>
        <v>FARMÁCIA INDIANA LJ 11 (10008)</v>
      </c>
      <c r="R2087" t="str">
        <f t="shared" si="1063"/>
        <v>RECEITAS COM ENTREGAS (303)</v>
      </c>
      <c r="S2087">
        <v>1342</v>
      </c>
      <c r="T2087">
        <v>1092</v>
      </c>
      <c r="U2087" t="s">
        <v>19</v>
      </c>
    </row>
    <row r="2088" spans="1:21">
      <c r="A2088" t="str">
        <f t="shared" si="1053"/>
        <v>30/04/2025</v>
      </c>
      <c r="B2088" t="str">
        <f t="shared" si="1064"/>
        <v>ENTRADA</v>
      </c>
      <c r="C2088" t="str">
        <f t="shared" si="1054"/>
        <v>NFSE</v>
      </c>
      <c r="D2088" t="str">
        <f t="shared" si="1055"/>
        <v>2900</v>
      </c>
      <c r="E2088" t="str">
        <f t="shared" si="1056"/>
        <v>COM</v>
      </c>
      <c r="F2088" t="str">
        <f t="shared" si="1057"/>
        <v>FARMÁCIA INDIANA LJ 1 (10126)</v>
      </c>
      <c r="G2088" t="str">
        <f t="shared" si="1058"/>
        <v>Serv.Prest. 14/04/2025 a 20/04/2025 - RPS: 671 - NFSe: 2900</v>
      </c>
      <c r="H2088" t="str">
        <f t="shared" si="1059"/>
        <v>30/04/2025</v>
      </c>
      <c r="I2088" t="str">
        <f t="shared" si="1060"/>
        <v>21/04/2025</v>
      </c>
      <c r="J2088" t="str">
        <f t="shared" si="1061"/>
        <v>30/04/2025</v>
      </c>
      <c r="M2088">
        <v>303</v>
      </c>
      <c r="N2088" t="str">
        <f t="shared" si="1062"/>
        <v>RECEITAS COM ENTREGAS</v>
      </c>
      <c r="P2088">
        <v>383.57</v>
      </c>
      <c r="Q2088" t="str">
        <f>"FARMÁCIA INDIANA LJ 14 (10009)"</f>
        <v>FARMÁCIA INDIANA LJ 14 (10009)</v>
      </c>
      <c r="R2088" t="str">
        <f t="shared" si="1063"/>
        <v>RECEITAS COM ENTREGAS (303)</v>
      </c>
      <c r="S2088">
        <v>1342</v>
      </c>
      <c r="T2088">
        <v>1092</v>
      </c>
      <c r="U2088" t="s">
        <v>19</v>
      </c>
    </row>
    <row r="2089" spans="1:21">
      <c r="A2089" t="str">
        <f t="shared" si="1053"/>
        <v>30/04/2025</v>
      </c>
      <c r="B2089" t="str">
        <f t="shared" si="1064"/>
        <v>ENTRADA</v>
      </c>
      <c r="C2089" t="str">
        <f t="shared" si="1054"/>
        <v>NFSE</v>
      </c>
      <c r="D2089" t="str">
        <f t="shared" si="1055"/>
        <v>2900</v>
      </c>
      <c r="E2089" t="str">
        <f t="shared" si="1056"/>
        <v>COM</v>
      </c>
      <c r="F2089" t="str">
        <f t="shared" si="1057"/>
        <v>FARMÁCIA INDIANA LJ 1 (10126)</v>
      </c>
      <c r="G2089" t="str">
        <f t="shared" si="1058"/>
        <v>Serv.Prest. 14/04/2025 a 20/04/2025 - RPS: 671 - NFSe: 2900</v>
      </c>
      <c r="H2089" t="str">
        <f t="shared" si="1059"/>
        <v>30/04/2025</v>
      </c>
      <c r="I2089" t="str">
        <f t="shared" si="1060"/>
        <v>21/04/2025</v>
      </c>
      <c r="J2089" t="str">
        <f t="shared" si="1061"/>
        <v>30/04/2025</v>
      </c>
      <c r="M2089">
        <v>303</v>
      </c>
      <c r="N2089" t="str">
        <f t="shared" si="1062"/>
        <v>RECEITAS COM ENTREGAS</v>
      </c>
      <c r="P2089">
        <v>404.59</v>
      </c>
      <c r="Q2089" t="str">
        <f>"FARMÁCIA INDIANA LJ 18 (10011)"</f>
        <v>FARMÁCIA INDIANA LJ 18 (10011)</v>
      </c>
      <c r="R2089" t="str">
        <f t="shared" si="1063"/>
        <v>RECEITAS COM ENTREGAS (303)</v>
      </c>
      <c r="S2089">
        <v>1342</v>
      </c>
      <c r="T2089">
        <v>1092</v>
      </c>
      <c r="U2089" t="s">
        <v>19</v>
      </c>
    </row>
    <row r="2090" spans="1:21">
      <c r="A2090" t="str">
        <f t="shared" si="1053"/>
        <v>30/04/2025</v>
      </c>
      <c r="B2090" t="str">
        <f t="shared" si="1064"/>
        <v>ENTRADA</v>
      </c>
      <c r="C2090" t="str">
        <f t="shared" si="1054"/>
        <v>NFSE</v>
      </c>
      <c r="D2090" t="str">
        <f t="shared" si="1055"/>
        <v>2900</v>
      </c>
      <c r="E2090" t="str">
        <f t="shared" si="1056"/>
        <v>COM</v>
      </c>
      <c r="F2090" t="str">
        <f t="shared" si="1057"/>
        <v>FARMÁCIA INDIANA LJ 1 (10126)</v>
      </c>
      <c r="G2090" t="str">
        <f t="shared" si="1058"/>
        <v>Serv.Prest. 14/04/2025 a 20/04/2025 - RPS: 671 - NFSe: 2900</v>
      </c>
      <c r="H2090" t="str">
        <f t="shared" si="1059"/>
        <v>30/04/2025</v>
      </c>
      <c r="I2090" t="str">
        <f t="shared" si="1060"/>
        <v>21/04/2025</v>
      </c>
      <c r="J2090" t="str">
        <f t="shared" si="1061"/>
        <v>30/04/2025</v>
      </c>
      <c r="M2090">
        <v>303</v>
      </c>
      <c r="N2090" t="str">
        <f t="shared" si="1062"/>
        <v>RECEITAS COM ENTREGAS</v>
      </c>
      <c r="P2090">
        <v>369.12</v>
      </c>
      <c r="Q2090" t="str">
        <f>"FARMÁCIA INDIANA LJ 19 (10012)"</f>
        <v>FARMÁCIA INDIANA LJ 19 (10012)</v>
      </c>
      <c r="R2090" t="str">
        <f t="shared" si="1063"/>
        <v>RECEITAS COM ENTREGAS (303)</v>
      </c>
      <c r="S2090">
        <v>1342</v>
      </c>
      <c r="T2090">
        <v>1092</v>
      </c>
      <c r="U2090" t="s">
        <v>19</v>
      </c>
    </row>
    <row r="2091" spans="1:21">
      <c r="A2091" t="str">
        <f t="shared" si="1053"/>
        <v>30/04/2025</v>
      </c>
      <c r="B2091" t="str">
        <f t="shared" si="1064"/>
        <v>ENTRADA</v>
      </c>
      <c r="C2091" t="str">
        <f t="shared" si="1054"/>
        <v>NFSE</v>
      </c>
      <c r="D2091" t="str">
        <f t="shared" si="1055"/>
        <v>2900</v>
      </c>
      <c r="E2091" t="str">
        <f t="shared" si="1056"/>
        <v>COM</v>
      </c>
      <c r="F2091" t="str">
        <f t="shared" si="1057"/>
        <v>FARMÁCIA INDIANA LJ 1 (10126)</v>
      </c>
      <c r="G2091" t="str">
        <f t="shared" si="1058"/>
        <v>Serv.Prest. 14/04/2025 a 20/04/2025 - RPS: 671 - NFSe: 2900</v>
      </c>
      <c r="H2091" t="str">
        <f t="shared" si="1059"/>
        <v>30/04/2025</v>
      </c>
      <c r="I2091" t="str">
        <f t="shared" si="1060"/>
        <v>21/04/2025</v>
      </c>
      <c r="J2091" t="str">
        <f t="shared" si="1061"/>
        <v>30/04/2025</v>
      </c>
      <c r="M2091">
        <v>303</v>
      </c>
      <c r="N2091" t="str">
        <f t="shared" si="1062"/>
        <v>RECEITAS COM ENTREGAS</v>
      </c>
      <c r="P2091">
        <v>538.57000000000005</v>
      </c>
      <c r="Q2091" t="str">
        <f>"FARMÁCIA INDIANA LJ 40 (10016)"</f>
        <v>FARMÁCIA INDIANA LJ 40 (10016)</v>
      </c>
      <c r="R2091" t="str">
        <f t="shared" si="1063"/>
        <v>RECEITAS COM ENTREGAS (303)</v>
      </c>
      <c r="S2091">
        <v>1342</v>
      </c>
      <c r="T2091">
        <v>1092</v>
      </c>
      <c r="U2091" t="s">
        <v>19</v>
      </c>
    </row>
    <row r="2092" spans="1:21">
      <c r="A2092" t="str">
        <f t="shared" si="1053"/>
        <v>30/04/2025</v>
      </c>
      <c r="B2092" t="str">
        <f t="shared" si="1064"/>
        <v>ENTRADA</v>
      </c>
      <c r="C2092" t="str">
        <f t="shared" si="1054"/>
        <v>NFSE</v>
      </c>
      <c r="D2092" t="str">
        <f t="shared" si="1055"/>
        <v>2900</v>
      </c>
      <c r="E2092" t="str">
        <f t="shared" si="1056"/>
        <v>COM</v>
      </c>
      <c r="F2092" t="str">
        <f t="shared" si="1057"/>
        <v>FARMÁCIA INDIANA LJ 1 (10126)</v>
      </c>
      <c r="G2092" t="str">
        <f t="shared" si="1058"/>
        <v>Serv.Prest. 14/04/2025 a 20/04/2025 - RPS: 671 - NFSe: 2900</v>
      </c>
      <c r="H2092" t="str">
        <f t="shared" si="1059"/>
        <v>30/04/2025</v>
      </c>
      <c r="I2092" t="str">
        <f t="shared" si="1060"/>
        <v>21/04/2025</v>
      </c>
      <c r="J2092" t="str">
        <f t="shared" si="1061"/>
        <v>30/04/2025</v>
      </c>
      <c r="M2092">
        <v>303</v>
      </c>
      <c r="N2092" t="str">
        <f t="shared" si="1062"/>
        <v>RECEITAS COM ENTREGAS</v>
      </c>
      <c r="P2092">
        <v>362.55</v>
      </c>
      <c r="Q2092" t="str">
        <f>"FARMÁCIA INDIANA LJ 59 (10026)"</f>
        <v>FARMÁCIA INDIANA LJ 59 (10026)</v>
      </c>
      <c r="R2092" t="str">
        <f t="shared" si="1063"/>
        <v>RECEITAS COM ENTREGAS (303)</v>
      </c>
      <c r="S2092">
        <v>1342</v>
      </c>
      <c r="T2092">
        <v>1092</v>
      </c>
      <c r="U2092" t="s">
        <v>19</v>
      </c>
    </row>
    <row r="2093" spans="1:21">
      <c r="A2093" t="str">
        <f t="shared" si="1053"/>
        <v>30/04/2025</v>
      </c>
      <c r="B2093" t="str">
        <f t="shared" si="1064"/>
        <v>ENTRADA</v>
      </c>
      <c r="C2093" t="str">
        <f t="shared" si="1054"/>
        <v>NFSE</v>
      </c>
      <c r="D2093" t="str">
        <f t="shared" si="1055"/>
        <v>2900</v>
      </c>
      <c r="E2093" t="str">
        <f t="shared" si="1056"/>
        <v>COM</v>
      </c>
      <c r="F2093" t="str">
        <f t="shared" si="1057"/>
        <v>FARMÁCIA INDIANA LJ 1 (10126)</v>
      </c>
      <c r="G2093" t="str">
        <f t="shared" si="1058"/>
        <v>Serv.Prest. 14/04/2025 a 20/04/2025 - RPS: 671 - NFSe: 2900</v>
      </c>
      <c r="H2093" t="str">
        <f t="shared" si="1059"/>
        <v>30/04/2025</v>
      </c>
      <c r="I2093" t="str">
        <f t="shared" si="1060"/>
        <v>21/04/2025</v>
      </c>
      <c r="J2093" t="str">
        <f t="shared" si="1061"/>
        <v>30/04/2025</v>
      </c>
      <c r="M2093">
        <v>303</v>
      </c>
      <c r="N2093" t="str">
        <f t="shared" si="1062"/>
        <v>RECEITAS COM ENTREGAS</v>
      </c>
      <c r="P2093">
        <v>581.91999999999996</v>
      </c>
      <c r="Q2093" t="str">
        <f>"FARMÁCIA INDIANA LJ 61 (10027)"</f>
        <v>FARMÁCIA INDIANA LJ 61 (10027)</v>
      </c>
      <c r="R2093" t="str">
        <f t="shared" si="1063"/>
        <v>RECEITAS COM ENTREGAS (303)</v>
      </c>
      <c r="S2093">
        <v>1342</v>
      </c>
      <c r="T2093">
        <v>1092</v>
      </c>
      <c r="U2093" t="s">
        <v>19</v>
      </c>
    </row>
    <row r="2094" spans="1:21">
      <c r="A2094" t="str">
        <f t="shared" si="1053"/>
        <v>30/04/2025</v>
      </c>
      <c r="B2094" t="str">
        <f t="shared" si="1064"/>
        <v>ENTRADA</v>
      </c>
      <c r="C2094" t="str">
        <f t="shared" si="1054"/>
        <v>NFSE</v>
      </c>
      <c r="D2094" t="str">
        <f t="shared" si="1055"/>
        <v>2900</v>
      </c>
      <c r="E2094" t="str">
        <f t="shared" si="1056"/>
        <v>COM</v>
      </c>
      <c r="F2094" t="str">
        <f t="shared" si="1057"/>
        <v>FARMÁCIA INDIANA LJ 1 (10126)</v>
      </c>
      <c r="G2094" t="str">
        <f t="shared" si="1058"/>
        <v>Serv.Prest. 14/04/2025 a 20/04/2025 - RPS: 671 - NFSe: 2900</v>
      </c>
      <c r="H2094" t="str">
        <f t="shared" si="1059"/>
        <v>30/04/2025</v>
      </c>
      <c r="I2094" t="str">
        <f t="shared" si="1060"/>
        <v>21/04/2025</v>
      </c>
      <c r="J2094" t="str">
        <f t="shared" si="1061"/>
        <v>30/04/2025</v>
      </c>
      <c r="M2094">
        <v>303</v>
      </c>
      <c r="N2094" t="str">
        <f t="shared" si="1062"/>
        <v>RECEITAS COM ENTREGAS</v>
      </c>
      <c r="P2094">
        <v>274.54000000000002</v>
      </c>
      <c r="Q2094" t="str">
        <f>"FARMÁCIA INDIANA LJ 62 (10028)"</f>
        <v>FARMÁCIA INDIANA LJ 62 (10028)</v>
      </c>
      <c r="R2094" t="str">
        <f t="shared" si="1063"/>
        <v>RECEITAS COM ENTREGAS (303)</v>
      </c>
      <c r="S2094">
        <v>1342</v>
      </c>
      <c r="T2094">
        <v>1092</v>
      </c>
      <c r="U2094" t="s">
        <v>19</v>
      </c>
    </row>
    <row r="2095" spans="1:21">
      <c r="A2095" t="str">
        <f t="shared" si="1053"/>
        <v>30/04/2025</v>
      </c>
      <c r="B2095" t="str">
        <f t="shared" si="1064"/>
        <v>ENTRADA</v>
      </c>
      <c r="C2095" t="str">
        <f t="shared" si="1054"/>
        <v>NFSE</v>
      </c>
      <c r="D2095" t="str">
        <f t="shared" si="1055"/>
        <v>2900</v>
      </c>
      <c r="E2095" t="str">
        <f t="shared" si="1056"/>
        <v>COM</v>
      </c>
      <c r="F2095" t="str">
        <f t="shared" si="1057"/>
        <v>FARMÁCIA INDIANA LJ 1 (10126)</v>
      </c>
      <c r="G2095" t="str">
        <f t="shared" si="1058"/>
        <v>Serv.Prest. 14/04/2025 a 20/04/2025 - RPS: 671 - NFSe: 2900</v>
      </c>
      <c r="H2095" t="str">
        <f t="shared" si="1059"/>
        <v>30/04/2025</v>
      </c>
      <c r="I2095" t="str">
        <f t="shared" si="1060"/>
        <v>21/04/2025</v>
      </c>
      <c r="J2095" t="str">
        <f t="shared" si="1061"/>
        <v>30/04/2025</v>
      </c>
      <c r="M2095">
        <v>303</v>
      </c>
      <c r="N2095" t="str">
        <f t="shared" si="1062"/>
        <v>RECEITAS COM ENTREGAS</v>
      </c>
      <c r="P2095">
        <v>115.6</v>
      </c>
      <c r="Q2095" t="str">
        <f>"FARMÁCIA INDIANA LJ 64 (10029)"</f>
        <v>FARMÁCIA INDIANA LJ 64 (10029)</v>
      </c>
      <c r="R2095" t="str">
        <f t="shared" si="1063"/>
        <v>RECEITAS COM ENTREGAS (303)</v>
      </c>
      <c r="S2095">
        <v>1342</v>
      </c>
      <c r="T2095">
        <v>1092</v>
      </c>
      <c r="U2095" t="s">
        <v>19</v>
      </c>
    </row>
    <row r="2096" spans="1:21">
      <c r="A2096" t="str">
        <f t="shared" si="1053"/>
        <v>30/04/2025</v>
      </c>
      <c r="B2096" t="str">
        <f t="shared" si="1064"/>
        <v>ENTRADA</v>
      </c>
      <c r="C2096" t="str">
        <f t="shared" si="1054"/>
        <v>NFSE</v>
      </c>
      <c r="D2096" t="str">
        <f t="shared" si="1055"/>
        <v>2900</v>
      </c>
      <c r="E2096" t="str">
        <f t="shared" si="1056"/>
        <v>COM</v>
      </c>
      <c r="F2096" t="str">
        <f t="shared" si="1057"/>
        <v>FARMÁCIA INDIANA LJ 1 (10126)</v>
      </c>
      <c r="G2096" t="str">
        <f t="shared" si="1058"/>
        <v>Serv.Prest. 14/04/2025 a 20/04/2025 - RPS: 671 - NFSe: 2900</v>
      </c>
      <c r="H2096" t="str">
        <f t="shared" si="1059"/>
        <v>30/04/2025</v>
      </c>
      <c r="I2096" t="str">
        <f t="shared" si="1060"/>
        <v>21/04/2025</v>
      </c>
      <c r="J2096" t="str">
        <f t="shared" si="1061"/>
        <v>30/04/2025</v>
      </c>
      <c r="M2096">
        <v>303</v>
      </c>
      <c r="N2096" t="str">
        <f t="shared" si="1062"/>
        <v>RECEITAS COM ENTREGAS</v>
      </c>
      <c r="P2096">
        <v>65.680000000000007</v>
      </c>
      <c r="Q2096" t="str">
        <f>"FARMÁCIA INDIANA LJ 97 (10040)"</f>
        <v>FARMÁCIA INDIANA LJ 97 (10040)</v>
      </c>
      <c r="R2096" t="str">
        <f t="shared" si="1063"/>
        <v>RECEITAS COM ENTREGAS (303)</v>
      </c>
      <c r="S2096">
        <v>1342</v>
      </c>
      <c r="T2096">
        <v>1092</v>
      </c>
      <c r="U2096" t="s">
        <v>19</v>
      </c>
    </row>
    <row r="2097" spans="1:21">
      <c r="A2097" t="str">
        <f t="shared" si="1053"/>
        <v>30/04/2025</v>
      </c>
      <c r="B2097" t="str">
        <f t="shared" si="1064"/>
        <v>ENTRADA</v>
      </c>
      <c r="C2097" t="str">
        <f t="shared" si="1054"/>
        <v>NFSE</v>
      </c>
      <c r="D2097" t="str">
        <f t="shared" si="1055"/>
        <v>2900</v>
      </c>
      <c r="E2097" t="str">
        <f t="shared" si="1056"/>
        <v>COM</v>
      </c>
      <c r="F2097" t="str">
        <f t="shared" si="1057"/>
        <v>FARMÁCIA INDIANA LJ 1 (10126)</v>
      </c>
      <c r="G2097" t="str">
        <f t="shared" si="1058"/>
        <v>Serv.Prest. 14/04/2025 a 20/04/2025 - RPS: 671 - NFSe: 2900</v>
      </c>
      <c r="H2097" t="str">
        <f t="shared" si="1059"/>
        <v>30/04/2025</v>
      </c>
      <c r="I2097" t="str">
        <f t="shared" si="1060"/>
        <v>21/04/2025</v>
      </c>
      <c r="J2097" t="str">
        <f t="shared" si="1061"/>
        <v>30/04/2025</v>
      </c>
      <c r="M2097">
        <v>303</v>
      </c>
      <c r="N2097" t="str">
        <f t="shared" si="1062"/>
        <v>RECEITAS COM ENTREGAS</v>
      </c>
      <c r="P2097">
        <v>320.52</v>
      </c>
      <c r="Q2097" t="str">
        <f>"FARMÁCIA INDIANA LJ 100 (10042)"</f>
        <v>FARMÁCIA INDIANA LJ 100 (10042)</v>
      </c>
      <c r="R2097" t="str">
        <f t="shared" si="1063"/>
        <v>RECEITAS COM ENTREGAS (303)</v>
      </c>
      <c r="S2097">
        <v>1342</v>
      </c>
      <c r="T2097">
        <v>1092</v>
      </c>
      <c r="U2097" t="s">
        <v>19</v>
      </c>
    </row>
    <row r="2098" spans="1:21">
      <c r="A2098" t="str">
        <f t="shared" si="1053"/>
        <v>30/04/2025</v>
      </c>
      <c r="B2098" t="str">
        <f t="shared" si="1064"/>
        <v>ENTRADA</v>
      </c>
      <c r="C2098" t="str">
        <f t="shared" si="1054"/>
        <v>NFSE</v>
      </c>
      <c r="D2098" t="str">
        <f t="shared" si="1055"/>
        <v>2900</v>
      </c>
      <c r="E2098" t="str">
        <f t="shared" si="1056"/>
        <v>COM</v>
      </c>
      <c r="F2098" t="str">
        <f t="shared" si="1057"/>
        <v>FARMÁCIA INDIANA LJ 1 (10126)</v>
      </c>
      <c r="G2098" t="str">
        <f t="shared" si="1058"/>
        <v>Serv.Prest. 14/04/2025 a 20/04/2025 - RPS: 671 - NFSe: 2900</v>
      </c>
      <c r="H2098" t="str">
        <f t="shared" si="1059"/>
        <v>30/04/2025</v>
      </c>
      <c r="I2098" t="str">
        <f t="shared" si="1060"/>
        <v>21/04/2025</v>
      </c>
      <c r="J2098" t="str">
        <f t="shared" si="1061"/>
        <v>30/04/2025</v>
      </c>
      <c r="M2098">
        <v>303</v>
      </c>
      <c r="N2098" t="str">
        <f t="shared" si="1062"/>
        <v>RECEITAS COM ENTREGAS</v>
      </c>
      <c r="P2098">
        <v>644.97</v>
      </c>
      <c r="Q2098" t="str">
        <f>"FARMÁCIA INDIANA LJ 101 (10043)"</f>
        <v>FARMÁCIA INDIANA LJ 101 (10043)</v>
      </c>
      <c r="R2098" t="str">
        <f t="shared" si="1063"/>
        <v>RECEITAS COM ENTREGAS (303)</v>
      </c>
      <c r="S2098">
        <v>1342</v>
      </c>
      <c r="T2098">
        <v>1092</v>
      </c>
      <c r="U2098" t="s">
        <v>19</v>
      </c>
    </row>
    <row r="2099" spans="1:21">
      <c r="A2099" t="str">
        <f t="shared" si="1053"/>
        <v>30/04/2025</v>
      </c>
      <c r="B2099" t="str">
        <f t="shared" si="1064"/>
        <v>ENTRADA</v>
      </c>
      <c r="C2099" t="str">
        <f t="shared" si="1054"/>
        <v>NFSE</v>
      </c>
      <c r="D2099" t="str">
        <f t="shared" si="1055"/>
        <v>2900</v>
      </c>
      <c r="E2099" t="str">
        <f t="shared" si="1056"/>
        <v>COM</v>
      </c>
      <c r="F2099" t="str">
        <f t="shared" si="1057"/>
        <v>FARMÁCIA INDIANA LJ 1 (10126)</v>
      </c>
      <c r="G2099" t="str">
        <f t="shared" si="1058"/>
        <v>Serv.Prest. 14/04/2025 a 20/04/2025 - RPS: 671 - NFSe: 2900</v>
      </c>
      <c r="H2099" t="str">
        <f t="shared" si="1059"/>
        <v>30/04/2025</v>
      </c>
      <c r="I2099" t="str">
        <f t="shared" si="1060"/>
        <v>21/04/2025</v>
      </c>
      <c r="J2099" t="str">
        <f t="shared" si="1061"/>
        <v>30/04/2025</v>
      </c>
      <c r="M2099">
        <v>303</v>
      </c>
      <c r="N2099" t="str">
        <f t="shared" si="1062"/>
        <v>RECEITAS COM ENTREGAS</v>
      </c>
      <c r="P2099">
        <v>70.930000000000007</v>
      </c>
      <c r="Q2099" t="str">
        <f>"FARMÁCIA INDIANA LJ 103 (10044)"</f>
        <v>FARMÁCIA INDIANA LJ 103 (10044)</v>
      </c>
      <c r="R2099" t="str">
        <f t="shared" si="1063"/>
        <v>RECEITAS COM ENTREGAS (303)</v>
      </c>
      <c r="S2099">
        <v>1342</v>
      </c>
      <c r="T2099">
        <v>1092</v>
      </c>
      <c r="U2099" t="s">
        <v>19</v>
      </c>
    </row>
    <row r="2100" spans="1:21">
      <c r="A2100" t="str">
        <f t="shared" si="1053"/>
        <v>30/04/2025</v>
      </c>
      <c r="B2100" t="str">
        <f t="shared" si="1064"/>
        <v>ENTRADA</v>
      </c>
      <c r="C2100" t="str">
        <f t="shared" si="1054"/>
        <v>NFSE</v>
      </c>
      <c r="D2100" t="str">
        <f t="shared" si="1055"/>
        <v>2900</v>
      </c>
      <c r="E2100" t="str">
        <f t="shared" si="1056"/>
        <v>COM</v>
      </c>
      <c r="F2100" t="str">
        <f t="shared" si="1057"/>
        <v>FARMÁCIA INDIANA LJ 1 (10126)</v>
      </c>
      <c r="G2100" t="str">
        <f t="shared" si="1058"/>
        <v>Serv.Prest. 14/04/2025 a 20/04/2025 - RPS: 671 - NFSe: 2900</v>
      </c>
      <c r="H2100" t="str">
        <f t="shared" si="1059"/>
        <v>30/04/2025</v>
      </c>
      <c r="I2100" t="str">
        <f t="shared" si="1060"/>
        <v>21/04/2025</v>
      </c>
      <c r="J2100" t="str">
        <f t="shared" si="1061"/>
        <v>30/04/2025</v>
      </c>
      <c r="M2100">
        <v>303</v>
      </c>
      <c r="N2100" t="str">
        <f t="shared" si="1062"/>
        <v>RECEITAS COM ENTREGAS</v>
      </c>
      <c r="P2100">
        <v>143.18</v>
      </c>
      <c r="Q2100" t="str">
        <f>"FARMÁCIA INDIANA LJ 109 (10047)"</f>
        <v>FARMÁCIA INDIANA LJ 109 (10047)</v>
      </c>
      <c r="R2100" t="str">
        <f t="shared" si="1063"/>
        <v>RECEITAS COM ENTREGAS (303)</v>
      </c>
      <c r="S2100">
        <v>1342</v>
      </c>
      <c r="T2100">
        <v>1092</v>
      </c>
      <c r="U2100" t="s">
        <v>19</v>
      </c>
    </row>
    <row r="2101" spans="1:21">
      <c r="A2101" t="str">
        <f t="shared" si="1053"/>
        <v>30/04/2025</v>
      </c>
      <c r="B2101" t="str">
        <f t="shared" si="1064"/>
        <v>ENTRADA</v>
      </c>
      <c r="C2101" t="str">
        <f t="shared" si="1054"/>
        <v>NFSE</v>
      </c>
      <c r="D2101" t="str">
        <f t="shared" si="1055"/>
        <v>2900</v>
      </c>
      <c r="E2101" t="str">
        <f t="shared" si="1056"/>
        <v>COM</v>
      </c>
      <c r="F2101" t="str">
        <f t="shared" si="1057"/>
        <v>FARMÁCIA INDIANA LJ 1 (10126)</v>
      </c>
      <c r="G2101" t="str">
        <f t="shared" si="1058"/>
        <v>Serv.Prest. 14/04/2025 a 20/04/2025 - RPS: 671 - NFSe: 2900</v>
      </c>
      <c r="H2101" t="str">
        <f t="shared" si="1059"/>
        <v>30/04/2025</v>
      </c>
      <c r="I2101" t="str">
        <f t="shared" si="1060"/>
        <v>21/04/2025</v>
      </c>
      <c r="J2101" t="str">
        <f t="shared" si="1061"/>
        <v>30/04/2025</v>
      </c>
      <c r="M2101">
        <v>303</v>
      </c>
      <c r="N2101" t="str">
        <f t="shared" si="1062"/>
        <v>RECEITAS COM ENTREGAS</v>
      </c>
      <c r="P2101">
        <v>480.78</v>
      </c>
      <c r="Q2101" t="str">
        <f>"FARMÁCIA INDIANA LJ 110 (10048)"</f>
        <v>FARMÁCIA INDIANA LJ 110 (10048)</v>
      </c>
      <c r="R2101" t="str">
        <f t="shared" si="1063"/>
        <v>RECEITAS COM ENTREGAS (303)</v>
      </c>
      <c r="S2101">
        <v>1342</v>
      </c>
      <c r="T2101">
        <v>1092</v>
      </c>
      <c r="U2101" t="s">
        <v>19</v>
      </c>
    </row>
    <row r="2102" spans="1:21">
      <c r="A2102" t="str">
        <f t="shared" si="1053"/>
        <v>30/04/2025</v>
      </c>
      <c r="B2102" t="str">
        <f t="shared" si="1064"/>
        <v>ENTRADA</v>
      </c>
      <c r="C2102" t="str">
        <f t="shared" si="1054"/>
        <v>NFSE</v>
      </c>
      <c r="D2102" t="str">
        <f t="shared" si="1055"/>
        <v>2900</v>
      </c>
      <c r="E2102" t="str">
        <f t="shared" si="1056"/>
        <v>COM</v>
      </c>
      <c r="F2102" t="str">
        <f t="shared" si="1057"/>
        <v>FARMÁCIA INDIANA LJ 1 (10126)</v>
      </c>
      <c r="G2102" t="str">
        <f t="shared" si="1058"/>
        <v>Serv.Prest. 14/04/2025 a 20/04/2025 - RPS: 671 - NFSe: 2900</v>
      </c>
      <c r="H2102" t="str">
        <f t="shared" si="1059"/>
        <v>30/04/2025</v>
      </c>
      <c r="I2102" t="str">
        <f t="shared" si="1060"/>
        <v>21/04/2025</v>
      </c>
      <c r="J2102" t="str">
        <f t="shared" si="1061"/>
        <v>30/04/2025</v>
      </c>
      <c r="M2102">
        <v>303</v>
      </c>
      <c r="N2102" t="str">
        <f t="shared" si="1062"/>
        <v>RECEITAS COM ENTREGAS</v>
      </c>
      <c r="P2102">
        <v>64.37</v>
      </c>
      <c r="Q2102" t="str">
        <f>"FARMÁCIA INDIANA LJ 111 (10049)"</f>
        <v>FARMÁCIA INDIANA LJ 111 (10049)</v>
      </c>
      <c r="R2102" t="str">
        <f t="shared" si="1063"/>
        <v>RECEITAS COM ENTREGAS (303)</v>
      </c>
      <c r="S2102">
        <v>1342</v>
      </c>
      <c r="T2102">
        <v>1092</v>
      </c>
      <c r="U2102" t="s">
        <v>19</v>
      </c>
    </row>
    <row r="2103" spans="1:21">
      <c r="A2103" t="str">
        <f t="shared" si="1053"/>
        <v>30/04/2025</v>
      </c>
      <c r="B2103" t="str">
        <f t="shared" si="1064"/>
        <v>ENTRADA</v>
      </c>
      <c r="C2103" t="str">
        <f t="shared" si="1054"/>
        <v>NFSE</v>
      </c>
      <c r="D2103" t="str">
        <f t="shared" si="1055"/>
        <v>2900</v>
      </c>
      <c r="E2103" t="str">
        <f t="shared" si="1056"/>
        <v>COM</v>
      </c>
      <c r="F2103" t="str">
        <f t="shared" si="1057"/>
        <v>FARMÁCIA INDIANA LJ 1 (10126)</v>
      </c>
      <c r="G2103" t="str">
        <f t="shared" si="1058"/>
        <v>Serv.Prest. 14/04/2025 a 20/04/2025 - RPS: 671 - NFSe: 2900</v>
      </c>
      <c r="H2103" t="str">
        <f t="shared" si="1059"/>
        <v>30/04/2025</v>
      </c>
      <c r="I2103" t="str">
        <f t="shared" si="1060"/>
        <v>21/04/2025</v>
      </c>
      <c r="J2103" t="str">
        <f t="shared" si="1061"/>
        <v>30/04/2025</v>
      </c>
      <c r="M2103">
        <v>303</v>
      </c>
      <c r="N2103" t="str">
        <f t="shared" si="1062"/>
        <v>RECEITAS COM ENTREGAS</v>
      </c>
      <c r="P2103">
        <v>126.11</v>
      </c>
      <c r="Q2103" t="str">
        <f>"FARMÁCIA INDIANA LJ 112 (10050)"</f>
        <v>FARMÁCIA INDIANA LJ 112 (10050)</v>
      </c>
      <c r="R2103" t="str">
        <f t="shared" si="1063"/>
        <v>RECEITAS COM ENTREGAS (303)</v>
      </c>
      <c r="S2103">
        <v>1342</v>
      </c>
      <c r="T2103">
        <v>1092</v>
      </c>
      <c r="U2103" t="s">
        <v>19</v>
      </c>
    </row>
    <row r="2104" spans="1:21">
      <c r="A2104" t="str">
        <f t="shared" si="1053"/>
        <v>30/04/2025</v>
      </c>
      <c r="B2104" t="str">
        <f t="shared" si="1064"/>
        <v>ENTRADA</v>
      </c>
      <c r="C2104" t="str">
        <f t="shared" si="1054"/>
        <v>NFSE</v>
      </c>
      <c r="D2104" t="str">
        <f t="shared" si="1055"/>
        <v>2900</v>
      </c>
      <c r="E2104" t="str">
        <f t="shared" si="1056"/>
        <v>COM</v>
      </c>
      <c r="F2104" t="str">
        <f t="shared" si="1057"/>
        <v>FARMÁCIA INDIANA LJ 1 (10126)</v>
      </c>
      <c r="G2104" t="str">
        <f t="shared" si="1058"/>
        <v>Serv.Prest. 14/04/2025 a 20/04/2025 - RPS: 671 - NFSe: 2900</v>
      </c>
      <c r="H2104" t="str">
        <f t="shared" si="1059"/>
        <v>30/04/2025</v>
      </c>
      <c r="I2104" t="str">
        <f t="shared" si="1060"/>
        <v>21/04/2025</v>
      </c>
      <c r="J2104" t="str">
        <f t="shared" si="1061"/>
        <v>30/04/2025</v>
      </c>
      <c r="M2104">
        <v>303</v>
      </c>
      <c r="N2104" t="str">
        <f t="shared" si="1062"/>
        <v>RECEITAS COM ENTREGAS</v>
      </c>
      <c r="P2104">
        <v>126.11</v>
      </c>
      <c r="Q2104" t="str">
        <f>"FARMÁCIA INDIANA LJ 116 (10051)"</f>
        <v>FARMÁCIA INDIANA LJ 116 (10051)</v>
      </c>
      <c r="R2104" t="str">
        <f t="shared" si="1063"/>
        <v>RECEITAS COM ENTREGAS (303)</v>
      </c>
      <c r="S2104">
        <v>1342</v>
      </c>
      <c r="T2104">
        <v>1092</v>
      </c>
      <c r="U2104" t="s">
        <v>19</v>
      </c>
    </row>
    <row r="2105" spans="1:21">
      <c r="A2105" t="str">
        <f t="shared" si="1053"/>
        <v>30/04/2025</v>
      </c>
      <c r="B2105" t="str">
        <f t="shared" si="1064"/>
        <v>ENTRADA</v>
      </c>
      <c r="C2105" t="str">
        <f t="shared" si="1054"/>
        <v>NFSE</v>
      </c>
      <c r="D2105" t="str">
        <f t="shared" si="1055"/>
        <v>2900</v>
      </c>
      <c r="E2105" t="str">
        <f t="shared" si="1056"/>
        <v>COM</v>
      </c>
      <c r="F2105" t="str">
        <f t="shared" si="1057"/>
        <v>FARMÁCIA INDIANA LJ 1 (10126)</v>
      </c>
      <c r="G2105" t="str">
        <f t="shared" si="1058"/>
        <v>Serv.Prest. 14/04/2025 a 20/04/2025 - RPS: 671 - NFSe: 2900</v>
      </c>
      <c r="H2105" t="str">
        <f t="shared" si="1059"/>
        <v>30/04/2025</v>
      </c>
      <c r="I2105" t="str">
        <f t="shared" si="1060"/>
        <v>21/04/2025</v>
      </c>
      <c r="J2105" t="str">
        <f t="shared" si="1061"/>
        <v>30/04/2025</v>
      </c>
      <c r="M2105">
        <v>303</v>
      </c>
      <c r="N2105" t="str">
        <f t="shared" si="1062"/>
        <v>RECEITAS COM ENTREGAS</v>
      </c>
      <c r="P2105">
        <v>131.36000000000001</v>
      </c>
      <c r="Q2105" t="str">
        <f>"FARMÁCIA INDIANA LJ 118 (10052)"</f>
        <v>FARMÁCIA INDIANA LJ 118 (10052)</v>
      </c>
      <c r="R2105" t="str">
        <f t="shared" si="1063"/>
        <v>RECEITAS COM ENTREGAS (303)</v>
      </c>
      <c r="S2105">
        <v>1342</v>
      </c>
      <c r="T2105">
        <v>1092</v>
      </c>
      <c r="U2105" t="s">
        <v>19</v>
      </c>
    </row>
    <row r="2106" spans="1:21">
      <c r="A2106" t="str">
        <f t="shared" si="1053"/>
        <v>30/04/2025</v>
      </c>
      <c r="B2106" t="str">
        <f t="shared" si="1064"/>
        <v>ENTRADA</v>
      </c>
      <c r="C2106" t="str">
        <f t="shared" si="1054"/>
        <v>NFSE</v>
      </c>
      <c r="D2106" t="str">
        <f t="shared" si="1055"/>
        <v>2900</v>
      </c>
      <c r="E2106" t="str">
        <f t="shared" si="1056"/>
        <v>COM</v>
      </c>
      <c r="F2106" t="str">
        <f t="shared" si="1057"/>
        <v>FARMÁCIA INDIANA LJ 1 (10126)</v>
      </c>
      <c r="G2106" t="str">
        <f t="shared" si="1058"/>
        <v>Serv.Prest. 14/04/2025 a 20/04/2025 - RPS: 671 - NFSe: 2900</v>
      </c>
      <c r="H2106" t="str">
        <f t="shared" si="1059"/>
        <v>30/04/2025</v>
      </c>
      <c r="I2106" t="str">
        <f t="shared" si="1060"/>
        <v>21/04/2025</v>
      </c>
      <c r="J2106" t="str">
        <f t="shared" si="1061"/>
        <v>30/04/2025</v>
      </c>
      <c r="M2106">
        <v>303</v>
      </c>
      <c r="N2106" t="str">
        <f t="shared" si="1062"/>
        <v>RECEITAS COM ENTREGAS</v>
      </c>
      <c r="P2106">
        <v>126.11</v>
      </c>
      <c r="Q2106" t="str">
        <f>"FARMÁCIA INDIANA LJ 121 (10054)"</f>
        <v>FARMÁCIA INDIANA LJ 121 (10054)</v>
      </c>
      <c r="R2106" t="str">
        <f t="shared" si="1063"/>
        <v>RECEITAS COM ENTREGAS (303)</v>
      </c>
      <c r="S2106">
        <v>1342</v>
      </c>
      <c r="T2106">
        <v>1092</v>
      </c>
      <c r="U2106" t="s">
        <v>19</v>
      </c>
    </row>
    <row r="2107" spans="1:21">
      <c r="A2107" t="str">
        <f t="shared" si="1053"/>
        <v>30/04/2025</v>
      </c>
      <c r="B2107" t="str">
        <f t="shared" si="1064"/>
        <v>ENTRADA</v>
      </c>
      <c r="C2107" t="str">
        <f t="shared" si="1054"/>
        <v>NFSE</v>
      </c>
      <c r="D2107" t="str">
        <f t="shared" si="1055"/>
        <v>2900</v>
      </c>
      <c r="E2107" t="str">
        <f t="shared" si="1056"/>
        <v>COM</v>
      </c>
      <c r="F2107" t="str">
        <f t="shared" si="1057"/>
        <v>FARMÁCIA INDIANA LJ 1 (10126)</v>
      </c>
      <c r="G2107" t="str">
        <f t="shared" si="1058"/>
        <v>Serv.Prest. 14/04/2025 a 20/04/2025 - RPS: 671 - NFSe: 2900</v>
      </c>
      <c r="H2107" t="str">
        <f t="shared" si="1059"/>
        <v>30/04/2025</v>
      </c>
      <c r="I2107" t="str">
        <f t="shared" si="1060"/>
        <v>21/04/2025</v>
      </c>
      <c r="J2107" t="str">
        <f t="shared" si="1061"/>
        <v>30/04/2025</v>
      </c>
      <c r="M2107">
        <v>303</v>
      </c>
      <c r="N2107" t="str">
        <f t="shared" si="1062"/>
        <v>RECEITAS COM ENTREGAS</v>
      </c>
      <c r="P2107">
        <v>126.11</v>
      </c>
      <c r="Q2107" t="str">
        <f>"FARMÁCIA INDIANA LJ 128 (10057)"</f>
        <v>FARMÁCIA INDIANA LJ 128 (10057)</v>
      </c>
      <c r="R2107" t="str">
        <f t="shared" si="1063"/>
        <v>RECEITAS COM ENTREGAS (303)</v>
      </c>
      <c r="S2107">
        <v>1342</v>
      </c>
      <c r="T2107">
        <v>1092</v>
      </c>
      <c r="U2107" t="s">
        <v>19</v>
      </c>
    </row>
    <row r="2108" spans="1:21">
      <c r="A2108" t="str">
        <f t="shared" si="1053"/>
        <v>30/04/2025</v>
      </c>
      <c r="B2108" t="str">
        <f t="shared" si="1064"/>
        <v>ENTRADA</v>
      </c>
      <c r="C2108" t="str">
        <f t="shared" si="1054"/>
        <v>NFSE</v>
      </c>
      <c r="D2108" t="str">
        <f t="shared" si="1055"/>
        <v>2900</v>
      </c>
      <c r="E2108" t="str">
        <f t="shared" si="1056"/>
        <v>COM</v>
      </c>
      <c r="F2108" t="str">
        <f t="shared" si="1057"/>
        <v>FARMÁCIA INDIANA LJ 1 (10126)</v>
      </c>
      <c r="G2108" t="str">
        <f t="shared" si="1058"/>
        <v>Serv.Prest. 14/04/2025 a 20/04/2025 - RPS: 671 - NFSe: 2900</v>
      </c>
      <c r="H2108" t="str">
        <f t="shared" si="1059"/>
        <v>30/04/2025</v>
      </c>
      <c r="I2108" t="str">
        <f t="shared" si="1060"/>
        <v>21/04/2025</v>
      </c>
      <c r="J2108" t="str">
        <f t="shared" si="1061"/>
        <v>30/04/2025</v>
      </c>
      <c r="M2108">
        <v>303</v>
      </c>
      <c r="N2108" t="str">
        <f t="shared" si="1062"/>
        <v>RECEITAS COM ENTREGAS</v>
      </c>
      <c r="P2108">
        <v>28.9</v>
      </c>
      <c r="Q2108" t="str">
        <f>"FARMÁCIA INDIANA LJ 140 (10064)"</f>
        <v>FARMÁCIA INDIANA LJ 140 (10064)</v>
      </c>
      <c r="R2108" t="str">
        <f t="shared" si="1063"/>
        <v>RECEITAS COM ENTREGAS (303)</v>
      </c>
      <c r="S2108">
        <v>1342</v>
      </c>
      <c r="T2108">
        <v>1092</v>
      </c>
      <c r="U2108" t="s">
        <v>19</v>
      </c>
    </row>
    <row r="2109" spans="1:21">
      <c r="A2109" t="str">
        <f t="shared" si="1053"/>
        <v>30/04/2025</v>
      </c>
      <c r="B2109" t="str">
        <f t="shared" si="1064"/>
        <v>ENTRADA</v>
      </c>
      <c r="C2109" t="str">
        <f t="shared" si="1054"/>
        <v>NFSE</v>
      </c>
      <c r="D2109" t="str">
        <f t="shared" si="1055"/>
        <v>2900</v>
      </c>
      <c r="E2109" t="str">
        <f t="shared" si="1056"/>
        <v>COM</v>
      </c>
      <c r="F2109" t="str">
        <f t="shared" si="1057"/>
        <v>FARMÁCIA INDIANA LJ 1 (10126)</v>
      </c>
      <c r="G2109" t="str">
        <f t="shared" si="1058"/>
        <v>Serv.Prest. 14/04/2025 a 20/04/2025 - RPS: 671 - NFSe: 2900</v>
      </c>
      <c r="H2109" t="str">
        <f t="shared" si="1059"/>
        <v>30/04/2025</v>
      </c>
      <c r="I2109" t="str">
        <f t="shared" si="1060"/>
        <v>21/04/2025</v>
      </c>
      <c r="J2109" t="str">
        <f t="shared" si="1061"/>
        <v>30/04/2025</v>
      </c>
      <c r="M2109">
        <v>303</v>
      </c>
      <c r="N2109" t="str">
        <f t="shared" si="1062"/>
        <v>RECEITAS COM ENTREGAS</v>
      </c>
      <c r="P2109">
        <v>21.02</v>
      </c>
      <c r="Q2109" t="str">
        <f>"FARMÁCIA INDIANA LJ 141 (10065)"</f>
        <v>FARMÁCIA INDIANA LJ 141 (10065)</v>
      </c>
      <c r="R2109" t="str">
        <f t="shared" si="1063"/>
        <v>RECEITAS COM ENTREGAS (303)</v>
      </c>
      <c r="S2109">
        <v>1342</v>
      </c>
      <c r="T2109">
        <v>1092</v>
      </c>
      <c r="U2109" t="s">
        <v>19</v>
      </c>
    </row>
    <row r="2110" spans="1:21">
      <c r="A2110" t="str">
        <f t="shared" si="1053"/>
        <v>30/04/2025</v>
      </c>
      <c r="B2110" t="str">
        <f t="shared" si="1064"/>
        <v>ENTRADA</v>
      </c>
      <c r="C2110" t="str">
        <f t="shared" si="1054"/>
        <v>NFSE</v>
      </c>
      <c r="D2110" t="str">
        <f t="shared" si="1055"/>
        <v>2900</v>
      </c>
      <c r="E2110" t="str">
        <f t="shared" si="1056"/>
        <v>COM</v>
      </c>
      <c r="F2110" t="str">
        <f t="shared" si="1057"/>
        <v>FARMÁCIA INDIANA LJ 1 (10126)</v>
      </c>
      <c r="G2110" t="str">
        <f t="shared" si="1058"/>
        <v>Serv.Prest. 14/04/2025 a 20/04/2025 - RPS: 671 - NFSe: 2900</v>
      </c>
      <c r="H2110" t="str">
        <f t="shared" si="1059"/>
        <v>30/04/2025</v>
      </c>
      <c r="I2110" t="str">
        <f t="shared" si="1060"/>
        <v>21/04/2025</v>
      </c>
      <c r="J2110" t="str">
        <f t="shared" si="1061"/>
        <v>30/04/2025</v>
      </c>
      <c r="M2110">
        <v>303</v>
      </c>
      <c r="N2110" t="str">
        <f t="shared" si="1062"/>
        <v>RECEITAS COM ENTREGAS</v>
      </c>
      <c r="P2110">
        <v>650.23</v>
      </c>
      <c r="Q2110" t="str">
        <f>"FARMÁCIA INDIANA LJ 142 (10066)"</f>
        <v>FARMÁCIA INDIANA LJ 142 (10066)</v>
      </c>
      <c r="R2110" t="str">
        <f t="shared" si="1063"/>
        <v>RECEITAS COM ENTREGAS (303)</v>
      </c>
      <c r="S2110">
        <v>1342</v>
      </c>
      <c r="T2110">
        <v>1092</v>
      </c>
      <c r="U2110" t="s">
        <v>19</v>
      </c>
    </row>
    <row r="2111" spans="1:21">
      <c r="A2111" t="str">
        <f t="shared" si="1053"/>
        <v>30/04/2025</v>
      </c>
      <c r="B2111" t="str">
        <f t="shared" si="1064"/>
        <v>ENTRADA</v>
      </c>
      <c r="C2111" t="str">
        <f t="shared" si="1054"/>
        <v>NFSE</v>
      </c>
      <c r="D2111" t="str">
        <f t="shared" si="1055"/>
        <v>2900</v>
      </c>
      <c r="E2111" t="str">
        <f t="shared" si="1056"/>
        <v>COM</v>
      </c>
      <c r="F2111" t="str">
        <f t="shared" si="1057"/>
        <v>FARMÁCIA INDIANA LJ 1 (10126)</v>
      </c>
      <c r="G2111" t="str">
        <f t="shared" si="1058"/>
        <v>Serv.Prest. 14/04/2025 a 20/04/2025 - RPS: 671 - NFSe: 2900</v>
      </c>
      <c r="H2111" t="str">
        <f t="shared" si="1059"/>
        <v>30/04/2025</v>
      </c>
      <c r="I2111" t="str">
        <f t="shared" si="1060"/>
        <v>21/04/2025</v>
      </c>
      <c r="J2111" t="str">
        <f t="shared" si="1061"/>
        <v>30/04/2025</v>
      </c>
      <c r="M2111">
        <v>303</v>
      </c>
      <c r="N2111" t="str">
        <f t="shared" si="1062"/>
        <v>RECEITAS COM ENTREGAS</v>
      </c>
      <c r="P2111">
        <v>65.680000000000007</v>
      </c>
      <c r="Q2111" t="str">
        <f>"FARMÁCIA INDIANA LJ 143 (10067)"</f>
        <v>FARMÁCIA INDIANA LJ 143 (10067)</v>
      </c>
      <c r="R2111" t="str">
        <f t="shared" si="1063"/>
        <v>RECEITAS COM ENTREGAS (303)</v>
      </c>
      <c r="S2111">
        <v>1342</v>
      </c>
      <c r="T2111">
        <v>1092</v>
      </c>
      <c r="U2111" t="s">
        <v>19</v>
      </c>
    </row>
    <row r="2112" spans="1:21">
      <c r="A2112" t="str">
        <f t="shared" si="1053"/>
        <v>30/04/2025</v>
      </c>
      <c r="B2112" t="str">
        <f t="shared" si="1064"/>
        <v>ENTRADA</v>
      </c>
      <c r="C2112" t="str">
        <f t="shared" si="1054"/>
        <v>NFSE</v>
      </c>
      <c r="D2112" t="str">
        <f t="shared" si="1055"/>
        <v>2900</v>
      </c>
      <c r="E2112" t="str">
        <f t="shared" si="1056"/>
        <v>COM</v>
      </c>
      <c r="F2112" t="str">
        <f t="shared" si="1057"/>
        <v>FARMÁCIA INDIANA LJ 1 (10126)</v>
      </c>
      <c r="G2112" t="str">
        <f t="shared" si="1058"/>
        <v>Serv.Prest. 14/04/2025 a 20/04/2025 - RPS: 671 - NFSe: 2900</v>
      </c>
      <c r="H2112" t="str">
        <f t="shared" si="1059"/>
        <v>30/04/2025</v>
      </c>
      <c r="I2112" t="str">
        <f t="shared" si="1060"/>
        <v>21/04/2025</v>
      </c>
      <c r="J2112" t="str">
        <f t="shared" si="1061"/>
        <v>30/04/2025</v>
      </c>
      <c r="M2112">
        <v>303</v>
      </c>
      <c r="N2112" t="str">
        <f t="shared" si="1062"/>
        <v>RECEITAS COM ENTREGAS</v>
      </c>
      <c r="P2112">
        <v>160.26</v>
      </c>
      <c r="Q2112" t="str">
        <f>"FARMÁCIA INDIANA LJ 152 (10069)"</f>
        <v>FARMÁCIA INDIANA LJ 152 (10069)</v>
      </c>
      <c r="R2112" t="str">
        <f t="shared" si="1063"/>
        <v>RECEITAS COM ENTREGAS (303)</v>
      </c>
      <c r="S2112">
        <v>1342</v>
      </c>
      <c r="T2112">
        <v>1092</v>
      </c>
      <c r="U2112" t="s">
        <v>19</v>
      </c>
    </row>
    <row r="2113" spans="1:21">
      <c r="A2113" t="str">
        <f t="shared" si="1053"/>
        <v>30/04/2025</v>
      </c>
      <c r="B2113" t="str">
        <f t="shared" si="1064"/>
        <v>ENTRADA</v>
      </c>
      <c r="C2113" t="str">
        <f t="shared" si="1054"/>
        <v>NFSE</v>
      </c>
      <c r="D2113" t="str">
        <f t="shared" si="1055"/>
        <v>2900</v>
      </c>
      <c r="E2113" t="str">
        <f t="shared" si="1056"/>
        <v>COM</v>
      </c>
      <c r="F2113" t="str">
        <f t="shared" si="1057"/>
        <v>FARMÁCIA INDIANA LJ 1 (10126)</v>
      </c>
      <c r="G2113" t="str">
        <f t="shared" si="1058"/>
        <v>Serv.Prest. 14/04/2025 a 20/04/2025 - RPS: 671 - NFSe: 2900</v>
      </c>
      <c r="H2113" t="str">
        <f t="shared" si="1059"/>
        <v>30/04/2025</v>
      </c>
      <c r="I2113" t="str">
        <f t="shared" si="1060"/>
        <v>21/04/2025</v>
      </c>
      <c r="J2113" t="str">
        <f t="shared" si="1061"/>
        <v>30/04/2025</v>
      </c>
      <c r="M2113">
        <v>303</v>
      </c>
      <c r="N2113" t="str">
        <f t="shared" si="1062"/>
        <v>RECEITAS COM ENTREGAS</v>
      </c>
      <c r="P2113">
        <v>39.409999999999997</v>
      </c>
      <c r="Q2113" t="str">
        <f>"FARMÁCIA INDIANA LJ 154 (10070)"</f>
        <v>FARMÁCIA INDIANA LJ 154 (10070)</v>
      </c>
      <c r="R2113" t="str">
        <f t="shared" si="1063"/>
        <v>RECEITAS COM ENTREGAS (303)</v>
      </c>
      <c r="S2113">
        <v>1342</v>
      </c>
      <c r="T2113">
        <v>1092</v>
      </c>
      <c r="U2113" t="s">
        <v>19</v>
      </c>
    </row>
    <row r="2114" spans="1:21">
      <c r="A2114" t="str">
        <f t="shared" si="1053"/>
        <v>30/04/2025</v>
      </c>
      <c r="B2114" t="str">
        <f t="shared" si="1064"/>
        <v>ENTRADA</v>
      </c>
      <c r="C2114" t="str">
        <f t="shared" si="1054"/>
        <v>NFSE</v>
      </c>
      <c r="D2114" t="str">
        <f t="shared" si="1055"/>
        <v>2900</v>
      </c>
      <c r="E2114" t="str">
        <f t="shared" si="1056"/>
        <v>COM</v>
      </c>
      <c r="F2114" t="str">
        <f t="shared" si="1057"/>
        <v>FARMÁCIA INDIANA LJ 1 (10126)</v>
      </c>
      <c r="G2114" t="str">
        <f t="shared" si="1058"/>
        <v>Serv.Prest. 14/04/2025 a 20/04/2025 - RPS: 671 - NFSe: 2900</v>
      </c>
      <c r="H2114" t="str">
        <f t="shared" si="1059"/>
        <v>30/04/2025</v>
      </c>
      <c r="I2114" t="str">
        <f t="shared" si="1060"/>
        <v>21/04/2025</v>
      </c>
      <c r="J2114" t="str">
        <f t="shared" si="1061"/>
        <v>30/04/2025</v>
      </c>
      <c r="M2114">
        <v>303</v>
      </c>
      <c r="N2114" t="str">
        <f t="shared" si="1062"/>
        <v>RECEITAS COM ENTREGAS</v>
      </c>
      <c r="P2114">
        <v>342.85</v>
      </c>
      <c r="Q2114" t="str">
        <f>"FARMÁCIA INDIANA LJ 171 (10074)"</f>
        <v>FARMÁCIA INDIANA LJ 171 (10074)</v>
      </c>
      <c r="R2114" t="str">
        <f t="shared" si="1063"/>
        <v>RECEITAS COM ENTREGAS (303)</v>
      </c>
      <c r="S2114">
        <v>1342</v>
      </c>
      <c r="T2114">
        <v>1092</v>
      </c>
      <c r="U2114" t="s">
        <v>19</v>
      </c>
    </row>
    <row r="2115" spans="1:21">
      <c r="A2115" t="str">
        <f t="shared" si="1053"/>
        <v>30/04/2025</v>
      </c>
      <c r="B2115" t="str">
        <f t="shared" si="1064"/>
        <v>ENTRADA</v>
      </c>
      <c r="C2115" t="str">
        <f t="shared" si="1054"/>
        <v>NFSE</v>
      </c>
      <c r="D2115" t="str">
        <f t="shared" si="1055"/>
        <v>2900</v>
      </c>
      <c r="E2115" t="str">
        <f t="shared" si="1056"/>
        <v>COM</v>
      </c>
      <c r="F2115" t="str">
        <f t="shared" si="1057"/>
        <v>FARMÁCIA INDIANA LJ 1 (10126)</v>
      </c>
      <c r="G2115" t="str">
        <f t="shared" si="1058"/>
        <v>Serv.Prest. 14/04/2025 a 20/04/2025 - RPS: 671 - NFSe: 2900</v>
      </c>
      <c r="H2115" t="str">
        <f t="shared" si="1059"/>
        <v>30/04/2025</v>
      </c>
      <c r="I2115" t="str">
        <f t="shared" si="1060"/>
        <v>21/04/2025</v>
      </c>
      <c r="J2115" t="str">
        <f t="shared" si="1061"/>
        <v>30/04/2025</v>
      </c>
      <c r="M2115">
        <v>303</v>
      </c>
      <c r="N2115" t="str">
        <f t="shared" si="1062"/>
        <v>RECEITAS COM ENTREGAS</v>
      </c>
      <c r="P2115">
        <v>131.36000000000001</v>
      </c>
      <c r="Q2115" t="str">
        <f>"FARMÁCIA INDIANA LJ 175 (10076)"</f>
        <v>FARMÁCIA INDIANA LJ 175 (10076)</v>
      </c>
      <c r="R2115" t="str">
        <f t="shared" si="1063"/>
        <v>RECEITAS COM ENTREGAS (303)</v>
      </c>
      <c r="S2115">
        <v>1342</v>
      </c>
      <c r="T2115">
        <v>1092</v>
      </c>
      <c r="U2115" t="s">
        <v>19</v>
      </c>
    </row>
    <row r="2116" spans="1:21">
      <c r="A2116" t="str">
        <f t="shared" ref="A2116:A2147" si="1065">("30/04/2025")</f>
        <v>30/04/2025</v>
      </c>
      <c r="B2116" t="str">
        <f t="shared" si="1064"/>
        <v>ENTRADA</v>
      </c>
      <c r="C2116" t="str">
        <f t="shared" ref="C2116:C2147" si="1066">"NFSE"</f>
        <v>NFSE</v>
      </c>
      <c r="D2116" t="str">
        <f t="shared" si="1055"/>
        <v>2900</v>
      </c>
      <c r="E2116" t="str">
        <f t="shared" ref="E2116:E2147" si="1067">"COM"</f>
        <v>COM</v>
      </c>
      <c r="F2116" t="str">
        <f t="shared" si="1057"/>
        <v>FARMÁCIA INDIANA LJ 1 (10126)</v>
      </c>
      <c r="G2116" t="str">
        <f t="shared" si="1058"/>
        <v>Serv.Prest. 14/04/2025 a 20/04/2025 - RPS: 671 - NFSe: 2900</v>
      </c>
      <c r="H2116" t="str">
        <f t="shared" ref="H2116:H2151" si="1068">("30/04/2025")</f>
        <v>30/04/2025</v>
      </c>
      <c r="I2116" t="str">
        <f t="shared" si="1060"/>
        <v>21/04/2025</v>
      </c>
      <c r="J2116" t="str">
        <f t="shared" ref="J2116:J2147" si="1069">("30/04/2025")</f>
        <v>30/04/2025</v>
      </c>
      <c r="M2116">
        <v>303</v>
      </c>
      <c r="N2116" t="str">
        <f t="shared" ref="N2116:N2147" si="1070">"RECEITAS COM ENTREGAS"</f>
        <v>RECEITAS COM ENTREGAS</v>
      </c>
      <c r="P2116">
        <v>115.6</v>
      </c>
      <c r="Q2116" t="str">
        <f>"FARMÁCIA INDIANA LJ 178 (10077)"</f>
        <v>FARMÁCIA INDIANA LJ 178 (10077)</v>
      </c>
      <c r="R2116" t="str">
        <f t="shared" ref="R2116:R2147" si="1071">"RECEITAS COM ENTREGAS (303)"</f>
        <v>RECEITAS COM ENTREGAS (303)</v>
      </c>
      <c r="S2116">
        <v>1342</v>
      </c>
      <c r="T2116">
        <v>1092</v>
      </c>
      <c r="U2116" t="s">
        <v>19</v>
      </c>
    </row>
    <row r="2117" spans="1:21">
      <c r="A2117" t="str">
        <f t="shared" si="1065"/>
        <v>30/04/2025</v>
      </c>
      <c r="B2117" t="str">
        <f t="shared" si="1064"/>
        <v>ENTRADA</v>
      </c>
      <c r="C2117" t="str">
        <f t="shared" si="1066"/>
        <v>NFSE</v>
      </c>
      <c r="D2117" t="str">
        <f t="shared" si="1055"/>
        <v>2900</v>
      </c>
      <c r="E2117" t="str">
        <f t="shared" si="1067"/>
        <v>COM</v>
      </c>
      <c r="F2117" t="str">
        <f t="shared" si="1057"/>
        <v>FARMÁCIA INDIANA LJ 1 (10126)</v>
      </c>
      <c r="G2117" t="str">
        <f t="shared" si="1058"/>
        <v>Serv.Prest. 14/04/2025 a 20/04/2025 - RPS: 671 - NFSe: 2900</v>
      </c>
      <c r="H2117" t="str">
        <f t="shared" si="1068"/>
        <v>30/04/2025</v>
      </c>
      <c r="I2117" t="str">
        <f t="shared" si="1060"/>
        <v>21/04/2025</v>
      </c>
      <c r="J2117" t="str">
        <f t="shared" si="1069"/>
        <v>30/04/2025</v>
      </c>
      <c r="M2117">
        <v>303</v>
      </c>
      <c r="N2117" t="str">
        <f t="shared" si="1070"/>
        <v>RECEITAS COM ENTREGAS</v>
      </c>
      <c r="P2117">
        <v>80.13</v>
      </c>
      <c r="Q2117" t="str">
        <f>"FARMÁCIA INDIANA LJ 182 (10079)"</f>
        <v>FARMÁCIA INDIANA LJ 182 (10079)</v>
      </c>
      <c r="R2117" t="str">
        <f t="shared" si="1071"/>
        <v>RECEITAS COM ENTREGAS (303)</v>
      </c>
      <c r="S2117">
        <v>1342</v>
      </c>
      <c r="T2117">
        <v>1092</v>
      </c>
      <c r="U2117" t="s">
        <v>19</v>
      </c>
    </row>
    <row r="2118" spans="1:21">
      <c r="A2118" t="str">
        <f t="shared" si="1065"/>
        <v>30/04/2025</v>
      </c>
      <c r="B2118" t="str">
        <f t="shared" si="1064"/>
        <v>ENTRADA</v>
      </c>
      <c r="C2118" t="str">
        <f t="shared" si="1066"/>
        <v>NFSE</v>
      </c>
      <c r="D2118" t="str">
        <f t="shared" si="1055"/>
        <v>2900</v>
      </c>
      <c r="E2118" t="str">
        <f t="shared" si="1067"/>
        <v>COM</v>
      </c>
      <c r="F2118" t="str">
        <f t="shared" si="1057"/>
        <v>FARMÁCIA INDIANA LJ 1 (10126)</v>
      </c>
      <c r="G2118" t="str">
        <f t="shared" si="1058"/>
        <v>Serv.Prest. 14/04/2025 a 20/04/2025 - RPS: 671 - NFSe: 2900</v>
      </c>
      <c r="H2118" t="str">
        <f t="shared" si="1068"/>
        <v>30/04/2025</v>
      </c>
      <c r="I2118" t="str">
        <f t="shared" si="1060"/>
        <v>21/04/2025</v>
      </c>
      <c r="J2118" t="str">
        <f t="shared" si="1069"/>
        <v>30/04/2025</v>
      </c>
      <c r="M2118">
        <v>303</v>
      </c>
      <c r="N2118" t="str">
        <f t="shared" si="1070"/>
        <v>RECEITAS COM ENTREGAS</v>
      </c>
      <c r="P2118">
        <v>39.409999999999997</v>
      </c>
      <c r="Q2118" t="str">
        <f>"FARMÁCIA INDIANA LJ 184 (10080)"</f>
        <v>FARMÁCIA INDIANA LJ 184 (10080)</v>
      </c>
      <c r="R2118" t="str">
        <f t="shared" si="1071"/>
        <v>RECEITAS COM ENTREGAS (303)</v>
      </c>
      <c r="S2118">
        <v>1342</v>
      </c>
      <c r="T2118">
        <v>1092</v>
      </c>
      <c r="U2118" t="s">
        <v>19</v>
      </c>
    </row>
    <row r="2119" spans="1:21">
      <c r="A2119" t="str">
        <f t="shared" si="1065"/>
        <v>30/04/2025</v>
      </c>
      <c r="B2119" t="str">
        <f t="shared" si="1064"/>
        <v>ENTRADA</v>
      </c>
      <c r="C2119" t="str">
        <f t="shared" si="1066"/>
        <v>NFSE</v>
      </c>
      <c r="D2119" t="str">
        <f t="shared" si="1055"/>
        <v>2900</v>
      </c>
      <c r="E2119" t="str">
        <f t="shared" si="1067"/>
        <v>COM</v>
      </c>
      <c r="F2119" t="str">
        <f t="shared" si="1057"/>
        <v>FARMÁCIA INDIANA LJ 1 (10126)</v>
      </c>
      <c r="G2119" t="str">
        <f t="shared" si="1058"/>
        <v>Serv.Prest. 14/04/2025 a 20/04/2025 - RPS: 671 - NFSe: 2900</v>
      </c>
      <c r="H2119" t="str">
        <f t="shared" si="1068"/>
        <v>30/04/2025</v>
      </c>
      <c r="I2119" t="str">
        <f t="shared" si="1060"/>
        <v>21/04/2025</v>
      </c>
      <c r="J2119" t="str">
        <f t="shared" si="1069"/>
        <v>30/04/2025</v>
      </c>
      <c r="M2119">
        <v>303</v>
      </c>
      <c r="N2119" t="str">
        <f t="shared" si="1070"/>
        <v>RECEITAS COM ENTREGAS</v>
      </c>
      <c r="P2119">
        <v>80.13</v>
      </c>
      <c r="Q2119" t="str">
        <f>"FARMÁCIA INDIANA LJ 186 (10081)"</f>
        <v>FARMÁCIA INDIANA LJ 186 (10081)</v>
      </c>
      <c r="R2119" t="str">
        <f t="shared" si="1071"/>
        <v>RECEITAS COM ENTREGAS (303)</v>
      </c>
      <c r="S2119">
        <v>1342</v>
      </c>
      <c r="T2119">
        <v>1092</v>
      </c>
      <c r="U2119" t="s">
        <v>19</v>
      </c>
    </row>
    <row r="2120" spans="1:21">
      <c r="A2120" t="str">
        <f t="shared" si="1065"/>
        <v>30/04/2025</v>
      </c>
      <c r="B2120" t="str">
        <f t="shared" si="1064"/>
        <v>ENTRADA</v>
      </c>
      <c r="C2120" t="str">
        <f t="shared" si="1066"/>
        <v>NFSE</v>
      </c>
      <c r="D2120" t="str">
        <f t="shared" si="1055"/>
        <v>2900</v>
      </c>
      <c r="E2120" t="str">
        <f t="shared" si="1067"/>
        <v>COM</v>
      </c>
      <c r="F2120" t="str">
        <f t="shared" si="1057"/>
        <v>FARMÁCIA INDIANA LJ 1 (10126)</v>
      </c>
      <c r="G2120" t="str">
        <f t="shared" si="1058"/>
        <v>Serv.Prest. 14/04/2025 a 20/04/2025 - RPS: 671 - NFSe: 2900</v>
      </c>
      <c r="H2120" t="str">
        <f t="shared" si="1068"/>
        <v>30/04/2025</v>
      </c>
      <c r="I2120" t="str">
        <f t="shared" si="1060"/>
        <v>21/04/2025</v>
      </c>
      <c r="J2120" t="str">
        <f t="shared" si="1069"/>
        <v>30/04/2025</v>
      </c>
      <c r="M2120">
        <v>303</v>
      </c>
      <c r="N2120" t="str">
        <f t="shared" si="1070"/>
        <v>RECEITAS COM ENTREGAS</v>
      </c>
      <c r="P2120">
        <v>47.29</v>
      </c>
      <c r="Q2120" t="str">
        <f>"FARMÁCIA INDIANA LJ 192 (10082)"</f>
        <v>FARMÁCIA INDIANA LJ 192 (10082)</v>
      </c>
      <c r="R2120" t="str">
        <f t="shared" si="1071"/>
        <v>RECEITAS COM ENTREGAS (303)</v>
      </c>
      <c r="S2120">
        <v>1342</v>
      </c>
      <c r="T2120">
        <v>1092</v>
      </c>
      <c r="U2120" t="s">
        <v>19</v>
      </c>
    </row>
    <row r="2121" spans="1:21">
      <c r="A2121" t="str">
        <f t="shared" si="1065"/>
        <v>30/04/2025</v>
      </c>
      <c r="B2121" t="str">
        <f t="shared" si="1064"/>
        <v>ENTRADA</v>
      </c>
      <c r="C2121" t="str">
        <f t="shared" si="1066"/>
        <v>NFSE</v>
      </c>
      <c r="D2121" t="str">
        <f t="shared" si="1055"/>
        <v>2900</v>
      </c>
      <c r="E2121" t="str">
        <f t="shared" si="1067"/>
        <v>COM</v>
      </c>
      <c r="F2121" t="str">
        <f t="shared" si="1057"/>
        <v>FARMÁCIA INDIANA LJ 1 (10126)</v>
      </c>
      <c r="G2121" t="str">
        <f t="shared" si="1058"/>
        <v>Serv.Prest. 14/04/2025 a 20/04/2025 - RPS: 671 - NFSe: 2900</v>
      </c>
      <c r="H2121" t="str">
        <f t="shared" si="1068"/>
        <v>30/04/2025</v>
      </c>
      <c r="I2121" t="str">
        <f t="shared" si="1060"/>
        <v>21/04/2025</v>
      </c>
      <c r="J2121" t="str">
        <f t="shared" si="1069"/>
        <v>30/04/2025</v>
      </c>
      <c r="M2121">
        <v>303</v>
      </c>
      <c r="N2121" t="str">
        <f t="shared" si="1070"/>
        <v>RECEITAS COM ENTREGAS</v>
      </c>
      <c r="P2121">
        <v>39.409999999999997</v>
      </c>
      <c r="Q2121" t="str">
        <f>"FARMÁCIA INDIANA LJ 195 (10083)"</f>
        <v>FARMÁCIA INDIANA LJ 195 (10083)</v>
      </c>
      <c r="R2121" t="str">
        <f t="shared" si="1071"/>
        <v>RECEITAS COM ENTREGAS (303)</v>
      </c>
      <c r="S2121">
        <v>1342</v>
      </c>
      <c r="T2121">
        <v>1092</v>
      </c>
      <c r="U2121" t="s">
        <v>19</v>
      </c>
    </row>
    <row r="2122" spans="1:21">
      <c r="A2122" t="str">
        <f t="shared" si="1065"/>
        <v>30/04/2025</v>
      </c>
      <c r="B2122" t="str">
        <f t="shared" si="1064"/>
        <v>ENTRADA</v>
      </c>
      <c r="C2122" t="str">
        <f t="shared" si="1066"/>
        <v>NFSE</v>
      </c>
      <c r="D2122" t="str">
        <f t="shared" si="1055"/>
        <v>2900</v>
      </c>
      <c r="E2122" t="str">
        <f t="shared" si="1067"/>
        <v>COM</v>
      </c>
      <c r="F2122" t="str">
        <f t="shared" si="1057"/>
        <v>FARMÁCIA INDIANA LJ 1 (10126)</v>
      </c>
      <c r="G2122" t="str">
        <f t="shared" si="1058"/>
        <v>Serv.Prest. 14/04/2025 a 20/04/2025 - RPS: 671 - NFSe: 2900</v>
      </c>
      <c r="H2122" t="str">
        <f t="shared" si="1068"/>
        <v>30/04/2025</v>
      </c>
      <c r="I2122" t="str">
        <f t="shared" si="1060"/>
        <v>21/04/2025</v>
      </c>
      <c r="J2122" t="str">
        <f t="shared" si="1069"/>
        <v>30/04/2025</v>
      </c>
      <c r="M2122">
        <v>303</v>
      </c>
      <c r="N2122" t="str">
        <f t="shared" si="1070"/>
        <v>RECEITAS COM ENTREGAS</v>
      </c>
      <c r="P2122">
        <v>158.94</v>
      </c>
      <c r="Q2122" t="str">
        <f>"FARMÁCIA INDIANA LJ 202 (10085)"</f>
        <v>FARMÁCIA INDIANA LJ 202 (10085)</v>
      </c>
      <c r="R2122" t="str">
        <f t="shared" si="1071"/>
        <v>RECEITAS COM ENTREGAS (303)</v>
      </c>
      <c r="S2122">
        <v>1342</v>
      </c>
      <c r="T2122">
        <v>1092</v>
      </c>
      <c r="U2122" t="s">
        <v>19</v>
      </c>
    </row>
    <row r="2123" spans="1:21">
      <c r="A2123" t="str">
        <f t="shared" si="1065"/>
        <v>30/04/2025</v>
      </c>
      <c r="B2123" t="str">
        <f t="shared" si="1064"/>
        <v>ENTRADA</v>
      </c>
      <c r="C2123" t="str">
        <f t="shared" si="1066"/>
        <v>NFSE</v>
      </c>
      <c r="D2123" t="str">
        <f t="shared" si="1055"/>
        <v>2900</v>
      </c>
      <c r="E2123" t="str">
        <f t="shared" si="1067"/>
        <v>COM</v>
      </c>
      <c r="F2123" t="str">
        <f t="shared" si="1057"/>
        <v>FARMÁCIA INDIANA LJ 1 (10126)</v>
      </c>
      <c r="G2123" t="str">
        <f t="shared" si="1058"/>
        <v>Serv.Prest. 14/04/2025 a 20/04/2025 - RPS: 671 - NFSe: 2900</v>
      </c>
      <c r="H2123" t="str">
        <f t="shared" si="1068"/>
        <v>30/04/2025</v>
      </c>
      <c r="I2123" t="str">
        <f t="shared" si="1060"/>
        <v>21/04/2025</v>
      </c>
      <c r="J2123" t="str">
        <f t="shared" si="1069"/>
        <v>30/04/2025</v>
      </c>
      <c r="M2123">
        <v>303</v>
      </c>
      <c r="N2123" t="str">
        <f t="shared" si="1070"/>
        <v>RECEITAS COM ENTREGAS</v>
      </c>
      <c r="P2123">
        <v>106.4</v>
      </c>
      <c r="Q2123" t="str">
        <f>"FARMÁCIA INDIANA LJ 204 (10087)"</f>
        <v>FARMÁCIA INDIANA LJ 204 (10087)</v>
      </c>
      <c r="R2123" t="str">
        <f t="shared" si="1071"/>
        <v>RECEITAS COM ENTREGAS (303)</v>
      </c>
      <c r="S2123">
        <v>1342</v>
      </c>
      <c r="T2123">
        <v>1092</v>
      </c>
      <c r="U2123" t="s">
        <v>19</v>
      </c>
    </row>
    <row r="2124" spans="1:21">
      <c r="A2124" t="str">
        <f t="shared" si="1065"/>
        <v>30/04/2025</v>
      </c>
      <c r="B2124" t="str">
        <f t="shared" si="1064"/>
        <v>ENTRADA</v>
      </c>
      <c r="C2124" t="str">
        <f t="shared" si="1066"/>
        <v>NFSE</v>
      </c>
      <c r="D2124" t="str">
        <f t="shared" si="1055"/>
        <v>2900</v>
      </c>
      <c r="E2124" t="str">
        <f t="shared" si="1067"/>
        <v>COM</v>
      </c>
      <c r="F2124" t="str">
        <f t="shared" si="1057"/>
        <v>FARMÁCIA INDIANA LJ 1 (10126)</v>
      </c>
      <c r="G2124" t="str">
        <f t="shared" si="1058"/>
        <v>Serv.Prest. 14/04/2025 a 20/04/2025 - RPS: 671 - NFSe: 2900</v>
      </c>
      <c r="H2124" t="str">
        <f t="shared" si="1068"/>
        <v>30/04/2025</v>
      </c>
      <c r="I2124" t="str">
        <f t="shared" si="1060"/>
        <v>21/04/2025</v>
      </c>
      <c r="J2124" t="str">
        <f t="shared" si="1069"/>
        <v>30/04/2025</v>
      </c>
      <c r="M2124">
        <v>303</v>
      </c>
      <c r="N2124" t="str">
        <f t="shared" si="1070"/>
        <v>RECEITAS COM ENTREGAS</v>
      </c>
      <c r="P2124">
        <v>106.4</v>
      </c>
      <c r="Q2124" t="str">
        <f>"FARMÁCIA INDIANA LJ 207 (10088)"</f>
        <v>FARMÁCIA INDIANA LJ 207 (10088)</v>
      </c>
      <c r="R2124" t="str">
        <f t="shared" si="1071"/>
        <v>RECEITAS COM ENTREGAS (303)</v>
      </c>
      <c r="S2124">
        <v>1342</v>
      </c>
      <c r="T2124">
        <v>1092</v>
      </c>
      <c r="U2124" t="s">
        <v>19</v>
      </c>
    </row>
    <row r="2125" spans="1:21">
      <c r="A2125" t="str">
        <f t="shared" si="1065"/>
        <v>30/04/2025</v>
      </c>
      <c r="B2125" t="str">
        <f t="shared" si="1064"/>
        <v>ENTRADA</v>
      </c>
      <c r="C2125" t="str">
        <f t="shared" si="1066"/>
        <v>NFSE</v>
      </c>
      <c r="D2125" t="str">
        <f t="shared" si="1055"/>
        <v>2900</v>
      </c>
      <c r="E2125" t="str">
        <f t="shared" si="1067"/>
        <v>COM</v>
      </c>
      <c r="F2125" t="str">
        <f t="shared" si="1057"/>
        <v>FARMÁCIA INDIANA LJ 1 (10126)</v>
      </c>
      <c r="G2125" t="str">
        <f t="shared" si="1058"/>
        <v>Serv.Prest. 14/04/2025 a 20/04/2025 - RPS: 671 - NFSe: 2900</v>
      </c>
      <c r="H2125" t="str">
        <f t="shared" si="1068"/>
        <v>30/04/2025</v>
      </c>
      <c r="I2125" t="str">
        <f t="shared" si="1060"/>
        <v>21/04/2025</v>
      </c>
      <c r="J2125" t="str">
        <f t="shared" si="1069"/>
        <v>30/04/2025</v>
      </c>
      <c r="M2125">
        <v>303</v>
      </c>
      <c r="N2125" t="str">
        <f t="shared" si="1070"/>
        <v>RECEITAS COM ENTREGAS</v>
      </c>
      <c r="P2125">
        <v>124.79</v>
      </c>
      <c r="Q2125" t="str">
        <f>"FARMÁCIA INDIANA LJ 209 (10089)"</f>
        <v>FARMÁCIA INDIANA LJ 209 (10089)</v>
      </c>
      <c r="R2125" t="str">
        <f t="shared" si="1071"/>
        <v>RECEITAS COM ENTREGAS (303)</v>
      </c>
      <c r="S2125">
        <v>1342</v>
      </c>
      <c r="T2125">
        <v>1092</v>
      </c>
      <c r="U2125" t="s">
        <v>19</v>
      </c>
    </row>
    <row r="2126" spans="1:21">
      <c r="A2126" t="str">
        <f t="shared" si="1065"/>
        <v>30/04/2025</v>
      </c>
      <c r="B2126" t="str">
        <f t="shared" si="1064"/>
        <v>ENTRADA</v>
      </c>
      <c r="C2126" t="str">
        <f t="shared" si="1066"/>
        <v>NFSE</v>
      </c>
      <c r="D2126" t="str">
        <f t="shared" si="1055"/>
        <v>2900</v>
      </c>
      <c r="E2126" t="str">
        <f t="shared" si="1067"/>
        <v>COM</v>
      </c>
      <c r="F2126" t="str">
        <f t="shared" si="1057"/>
        <v>FARMÁCIA INDIANA LJ 1 (10126)</v>
      </c>
      <c r="G2126" t="str">
        <f t="shared" si="1058"/>
        <v>Serv.Prest. 14/04/2025 a 20/04/2025 - RPS: 671 - NFSe: 2900</v>
      </c>
      <c r="H2126" t="str">
        <f t="shared" si="1068"/>
        <v>30/04/2025</v>
      </c>
      <c r="I2126" t="str">
        <f t="shared" si="1060"/>
        <v>21/04/2025</v>
      </c>
      <c r="J2126" t="str">
        <f t="shared" si="1069"/>
        <v>30/04/2025</v>
      </c>
      <c r="M2126">
        <v>303</v>
      </c>
      <c r="N2126" t="str">
        <f t="shared" si="1070"/>
        <v>RECEITAS COM ENTREGAS</v>
      </c>
      <c r="P2126">
        <v>145.81</v>
      </c>
      <c r="Q2126" t="str">
        <f>"FARMÁCIA INDIANA LJ 219 (10091)"</f>
        <v>FARMÁCIA INDIANA LJ 219 (10091)</v>
      </c>
      <c r="R2126" t="str">
        <f t="shared" si="1071"/>
        <v>RECEITAS COM ENTREGAS (303)</v>
      </c>
      <c r="S2126">
        <v>1342</v>
      </c>
      <c r="T2126">
        <v>1092</v>
      </c>
      <c r="U2126" t="s">
        <v>19</v>
      </c>
    </row>
    <row r="2127" spans="1:21">
      <c r="A2127" t="str">
        <f t="shared" si="1065"/>
        <v>30/04/2025</v>
      </c>
      <c r="B2127" t="str">
        <f t="shared" si="1064"/>
        <v>ENTRADA</v>
      </c>
      <c r="C2127" t="str">
        <f t="shared" si="1066"/>
        <v>NFSE</v>
      </c>
      <c r="D2127" t="str">
        <f t="shared" si="1055"/>
        <v>2900</v>
      </c>
      <c r="E2127" t="str">
        <f t="shared" si="1067"/>
        <v>COM</v>
      </c>
      <c r="F2127" t="str">
        <f t="shared" si="1057"/>
        <v>FARMÁCIA INDIANA LJ 1 (10126)</v>
      </c>
      <c r="G2127" t="str">
        <f t="shared" si="1058"/>
        <v>Serv.Prest. 14/04/2025 a 20/04/2025 - RPS: 671 - NFSe: 2900</v>
      </c>
      <c r="H2127" t="str">
        <f t="shared" si="1068"/>
        <v>30/04/2025</v>
      </c>
      <c r="I2127" t="str">
        <f t="shared" si="1060"/>
        <v>21/04/2025</v>
      </c>
      <c r="J2127" t="str">
        <f t="shared" si="1069"/>
        <v>30/04/2025</v>
      </c>
      <c r="M2127">
        <v>303</v>
      </c>
      <c r="N2127" t="str">
        <f t="shared" si="1070"/>
        <v>RECEITAS COM ENTREGAS</v>
      </c>
      <c r="P2127">
        <v>197.04</v>
      </c>
      <c r="Q2127" t="str">
        <f>"FARMÁCIA INDIANA LJ 220 (10092)"</f>
        <v>FARMÁCIA INDIANA LJ 220 (10092)</v>
      </c>
      <c r="R2127" t="str">
        <f t="shared" si="1071"/>
        <v>RECEITAS COM ENTREGAS (303)</v>
      </c>
      <c r="S2127">
        <v>1342</v>
      </c>
      <c r="T2127">
        <v>1092</v>
      </c>
      <c r="U2127" t="s">
        <v>19</v>
      </c>
    </row>
    <row r="2128" spans="1:21">
      <c r="A2128" t="str">
        <f t="shared" si="1065"/>
        <v>30/04/2025</v>
      </c>
      <c r="B2128" t="str">
        <f t="shared" si="1064"/>
        <v>ENTRADA</v>
      </c>
      <c r="C2128" t="str">
        <f t="shared" si="1066"/>
        <v>NFSE</v>
      </c>
      <c r="D2128" t="str">
        <f t="shared" si="1055"/>
        <v>2900</v>
      </c>
      <c r="E2128" t="str">
        <f t="shared" si="1067"/>
        <v>COM</v>
      </c>
      <c r="F2128" t="str">
        <f t="shared" si="1057"/>
        <v>FARMÁCIA INDIANA LJ 1 (10126)</v>
      </c>
      <c r="G2128" t="str">
        <f t="shared" si="1058"/>
        <v>Serv.Prest. 14/04/2025 a 20/04/2025 - RPS: 671 - NFSe: 2900</v>
      </c>
      <c r="H2128" t="str">
        <f t="shared" si="1068"/>
        <v>30/04/2025</v>
      </c>
      <c r="I2128" t="str">
        <f t="shared" si="1060"/>
        <v>21/04/2025</v>
      </c>
      <c r="J2128" t="str">
        <f t="shared" si="1069"/>
        <v>30/04/2025</v>
      </c>
      <c r="M2128">
        <v>303</v>
      </c>
      <c r="N2128" t="str">
        <f t="shared" si="1070"/>
        <v>RECEITAS COM ENTREGAS</v>
      </c>
      <c r="P2128">
        <v>183.9</v>
      </c>
      <c r="Q2128" t="str">
        <f>"FARMÁCIA INDIANA LJ 185 (10141)"</f>
        <v>FARMÁCIA INDIANA LJ 185 (10141)</v>
      </c>
      <c r="R2128" t="str">
        <f t="shared" si="1071"/>
        <v>RECEITAS COM ENTREGAS (303)</v>
      </c>
      <c r="S2128">
        <v>1342</v>
      </c>
      <c r="T2128">
        <v>1092</v>
      </c>
      <c r="U2128" t="s">
        <v>19</v>
      </c>
    </row>
    <row r="2129" spans="1:21">
      <c r="A2129" t="str">
        <f t="shared" si="1065"/>
        <v>30/04/2025</v>
      </c>
      <c r="B2129" t="str">
        <f t="shared" si="1064"/>
        <v>ENTRADA</v>
      </c>
      <c r="C2129" t="str">
        <f t="shared" si="1066"/>
        <v>NFSE</v>
      </c>
      <c r="D2129" t="str">
        <f t="shared" si="1055"/>
        <v>2900</v>
      </c>
      <c r="E2129" t="str">
        <f t="shared" si="1067"/>
        <v>COM</v>
      </c>
      <c r="F2129" t="str">
        <f t="shared" si="1057"/>
        <v>FARMÁCIA INDIANA LJ 1 (10126)</v>
      </c>
      <c r="G2129" t="str">
        <f t="shared" si="1058"/>
        <v>Serv.Prest. 14/04/2025 a 20/04/2025 - RPS: 671 - NFSe: 2900</v>
      </c>
      <c r="H2129" t="str">
        <f t="shared" si="1068"/>
        <v>30/04/2025</v>
      </c>
      <c r="I2129" t="str">
        <f t="shared" si="1060"/>
        <v>21/04/2025</v>
      </c>
      <c r="J2129" t="str">
        <f t="shared" si="1069"/>
        <v>30/04/2025</v>
      </c>
      <c r="M2129">
        <v>303</v>
      </c>
      <c r="N2129" t="str">
        <f t="shared" si="1070"/>
        <v>RECEITAS COM ENTREGAS</v>
      </c>
      <c r="P2129">
        <v>690.95</v>
      </c>
      <c r="Q2129" t="str">
        <f>"FARMÁCIA INDIANA LJ 172 (10161)"</f>
        <v>FARMÁCIA INDIANA LJ 172 (10161)</v>
      </c>
      <c r="R2129" t="str">
        <f t="shared" si="1071"/>
        <v>RECEITAS COM ENTREGAS (303)</v>
      </c>
      <c r="S2129">
        <v>1342</v>
      </c>
      <c r="T2129">
        <v>1092</v>
      </c>
      <c r="U2129" t="s">
        <v>19</v>
      </c>
    </row>
    <row r="2130" spans="1:21">
      <c r="A2130" t="str">
        <f t="shared" si="1065"/>
        <v>30/04/2025</v>
      </c>
      <c r="B2130" t="str">
        <f t="shared" si="1064"/>
        <v>ENTRADA</v>
      </c>
      <c r="C2130" t="str">
        <f t="shared" si="1066"/>
        <v>NFSE</v>
      </c>
      <c r="D2130" t="str">
        <f t="shared" ref="D2130:D2141" si="1072">"2901"</f>
        <v>2901</v>
      </c>
      <c r="E2130" t="str">
        <f t="shared" si="1067"/>
        <v>COM</v>
      </c>
      <c r="F2130" t="str">
        <f t="shared" ref="F2130:F2141" si="1073">"FARMÁCIA INDIANA LJ 30 (10127)"</f>
        <v>FARMÁCIA INDIANA LJ 30 (10127)</v>
      </c>
      <c r="G2130" t="str">
        <f t="shared" ref="G2130:G2141" si="1074">"Serv.Prest. 14/04/2025 a 20/04/2025 - RPS: 672 - NFSe: 2901"</f>
        <v>Serv.Prest. 14/04/2025 a 20/04/2025 - RPS: 672 - NFSe: 2901</v>
      </c>
      <c r="H2130" t="str">
        <f t="shared" si="1068"/>
        <v>30/04/2025</v>
      </c>
      <c r="I2130" t="str">
        <f t="shared" ref="I2130:I2149" si="1075">("22/04/2025")</f>
        <v>22/04/2025</v>
      </c>
      <c r="J2130" t="str">
        <f t="shared" si="1069"/>
        <v>30/04/2025</v>
      </c>
      <c r="K2130">
        <v>2688.92</v>
      </c>
      <c r="L2130">
        <v>2688.92</v>
      </c>
      <c r="M2130">
        <v>303</v>
      </c>
      <c r="N2130" t="str">
        <f t="shared" si="1070"/>
        <v>RECEITAS COM ENTREGAS</v>
      </c>
      <c r="O2130">
        <v>2688.92</v>
      </c>
      <c r="R2130" t="str">
        <f t="shared" si="1071"/>
        <v>RECEITAS COM ENTREGAS (303)</v>
      </c>
      <c r="S2130">
        <v>1346</v>
      </c>
      <c r="T2130">
        <v>1093</v>
      </c>
      <c r="U2130" t="s">
        <v>19</v>
      </c>
    </row>
    <row r="2131" spans="1:21">
      <c r="A2131" t="str">
        <f t="shared" si="1065"/>
        <v>30/04/2025</v>
      </c>
      <c r="B2131" t="str">
        <f t="shared" si="1064"/>
        <v>ENTRADA</v>
      </c>
      <c r="C2131" t="str">
        <f t="shared" si="1066"/>
        <v>NFSE</v>
      </c>
      <c r="D2131" t="str">
        <f t="shared" si="1072"/>
        <v>2901</v>
      </c>
      <c r="E2131" t="str">
        <f t="shared" si="1067"/>
        <v>COM</v>
      </c>
      <c r="F2131" t="str">
        <f t="shared" si="1073"/>
        <v>FARMÁCIA INDIANA LJ 30 (10127)</v>
      </c>
      <c r="G2131" t="str">
        <f t="shared" si="1074"/>
        <v>Serv.Prest. 14/04/2025 a 20/04/2025 - RPS: 672 - NFSe: 2901</v>
      </c>
      <c r="H2131" t="str">
        <f t="shared" si="1068"/>
        <v>30/04/2025</v>
      </c>
      <c r="I2131" t="str">
        <f t="shared" si="1075"/>
        <v>22/04/2025</v>
      </c>
      <c r="J2131" t="str">
        <f t="shared" si="1069"/>
        <v>30/04/2025</v>
      </c>
      <c r="M2131">
        <v>303</v>
      </c>
      <c r="N2131" t="str">
        <f t="shared" si="1070"/>
        <v>RECEITAS COM ENTREGAS</v>
      </c>
      <c r="P2131">
        <v>296.58999999999997</v>
      </c>
      <c r="Q2131" t="str">
        <f>"FARMÁCIA INDIANA LJ 34 (10014)"</f>
        <v>FARMÁCIA INDIANA LJ 34 (10014)</v>
      </c>
      <c r="R2131" t="str">
        <f t="shared" si="1071"/>
        <v>RECEITAS COM ENTREGAS (303)</v>
      </c>
      <c r="S2131">
        <v>1346</v>
      </c>
      <c r="T2131">
        <v>1093</v>
      </c>
      <c r="U2131" t="s">
        <v>19</v>
      </c>
    </row>
    <row r="2132" spans="1:21">
      <c r="A2132" t="str">
        <f t="shared" si="1065"/>
        <v>30/04/2025</v>
      </c>
      <c r="B2132" t="str">
        <f t="shared" si="1064"/>
        <v>ENTRADA</v>
      </c>
      <c r="C2132" t="str">
        <f t="shared" si="1066"/>
        <v>NFSE</v>
      </c>
      <c r="D2132" t="str">
        <f t="shared" si="1072"/>
        <v>2901</v>
      </c>
      <c r="E2132" t="str">
        <f t="shared" si="1067"/>
        <v>COM</v>
      </c>
      <c r="F2132" t="str">
        <f t="shared" si="1073"/>
        <v>FARMÁCIA INDIANA LJ 30 (10127)</v>
      </c>
      <c r="G2132" t="str">
        <f t="shared" si="1074"/>
        <v>Serv.Prest. 14/04/2025 a 20/04/2025 - RPS: 672 - NFSe: 2901</v>
      </c>
      <c r="H2132" t="str">
        <f t="shared" si="1068"/>
        <v>30/04/2025</v>
      </c>
      <c r="I2132" t="str">
        <f t="shared" si="1075"/>
        <v>22/04/2025</v>
      </c>
      <c r="J2132" t="str">
        <f t="shared" si="1069"/>
        <v>30/04/2025</v>
      </c>
      <c r="M2132">
        <v>303</v>
      </c>
      <c r="N2132" t="str">
        <f t="shared" si="1070"/>
        <v>RECEITAS COM ENTREGAS</v>
      </c>
      <c r="P2132">
        <v>235.82</v>
      </c>
      <c r="Q2132" t="str">
        <f>"FARMÁCIA INDIANA LJ 35 (10015)"</f>
        <v>FARMÁCIA INDIANA LJ 35 (10015)</v>
      </c>
      <c r="R2132" t="str">
        <f t="shared" si="1071"/>
        <v>RECEITAS COM ENTREGAS (303)</v>
      </c>
      <c r="S2132">
        <v>1346</v>
      </c>
      <c r="T2132">
        <v>1093</v>
      </c>
      <c r="U2132" t="s">
        <v>19</v>
      </c>
    </row>
    <row r="2133" spans="1:21">
      <c r="A2133" t="str">
        <f t="shared" si="1065"/>
        <v>30/04/2025</v>
      </c>
      <c r="B2133" t="str">
        <f t="shared" si="1064"/>
        <v>ENTRADA</v>
      </c>
      <c r="C2133" t="str">
        <f t="shared" si="1066"/>
        <v>NFSE</v>
      </c>
      <c r="D2133" t="str">
        <f t="shared" si="1072"/>
        <v>2901</v>
      </c>
      <c r="E2133" t="str">
        <f t="shared" si="1067"/>
        <v>COM</v>
      </c>
      <c r="F2133" t="str">
        <f t="shared" si="1073"/>
        <v>FARMÁCIA INDIANA LJ 30 (10127)</v>
      </c>
      <c r="G2133" t="str">
        <f t="shared" si="1074"/>
        <v>Serv.Prest. 14/04/2025 a 20/04/2025 - RPS: 672 - NFSe: 2901</v>
      </c>
      <c r="H2133" t="str">
        <f t="shared" si="1068"/>
        <v>30/04/2025</v>
      </c>
      <c r="I2133" t="str">
        <f t="shared" si="1075"/>
        <v>22/04/2025</v>
      </c>
      <c r="J2133" t="str">
        <f t="shared" si="1069"/>
        <v>30/04/2025</v>
      </c>
      <c r="M2133">
        <v>303</v>
      </c>
      <c r="N2133" t="str">
        <f t="shared" si="1070"/>
        <v>RECEITAS COM ENTREGAS</v>
      </c>
      <c r="P2133">
        <v>278.3</v>
      </c>
      <c r="Q2133" t="str">
        <f>"FARMÁCIA INDIANA LJ 48 (10018)"</f>
        <v>FARMÁCIA INDIANA LJ 48 (10018)</v>
      </c>
      <c r="R2133" t="str">
        <f t="shared" si="1071"/>
        <v>RECEITAS COM ENTREGAS (303)</v>
      </c>
      <c r="S2133">
        <v>1346</v>
      </c>
      <c r="T2133">
        <v>1093</v>
      </c>
      <c r="U2133" t="s">
        <v>19</v>
      </c>
    </row>
    <row r="2134" spans="1:21">
      <c r="A2134" t="str">
        <f t="shared" si="1065"/>
        <v>30/04/2025</v>
      </c>
      <c r="B2134" t="str">
        <f t="shared" si="1064"/>
        <v>ENTRADA</v>
      </c>
      <c r="C2134" t="str">
        <f t="shared" si="1066"/>
        <v>NFSE</v>
      </c>
      <c r="D2134" t="str">
        <f t="shared" si="1072"/>
        <v>2901</v>
      </c>
      <c r="E2134" t="str">
        <f t="shared" si="1067"/>
        <v>COM</v>
      </c>
      <c r="F2134" t="str">
        <f t="shared" si="1073"/>
        <v>FARMÁCIA INDIANA LJ 30 (10127)</v>
      </c>
      <c r="G2134" t="str">
        <f t="shared" si="1074"/>
        <v>Serv.Prest. 14/04/2025 a 20/04/2025 - RPS: 672 - NFSe: 2901</v>
      </c>
      <c r="H2134" t="str">
        <f t="shared" si="1068"/>
        <v>30/04/2025</v>
      </c>
      <c r="I2134" t="str">
        <f t="shared" si="1075"/>
        <v>22/04/2025</v>
      </c>
      <c r="J2134" t="str">
        <f t="shared" si="1069"/>
        <v>30/04/2025</v>
      </c>
      <c r="M2134">
        <v>303</v>
      </c>
      <c r="N2134" t="str">
        <f t="shared" si="1070"/>
        <v>RECEITAS COM ENTREGAS</v>
      </c>
      <c r="P2134">
        <v>418.66</v>
      </c>
      <c r="Q2134" t="str">
        <f>"FARMÁCIA INDIANA LJ 65 (10030)"</f>
        <v>FARMÁCIA INDIANA LJ 65 (10030)</v>
      </c>
      <c r="R2134" t="str">
        <f t="shared" si="1071"/>
        <v>RECEITAS COM ENTREGAS (303)</v>
      </c>
      <c r="S2134">
        <v>1346</v>
      </c>
      <c r="T2134">
        <v>1093</v>
      </c>
      <c r="U2134" t="s">
        <v>19</v>
      </c>
    </row>
    <row r="2135" spans="1:21">
      <c r="A2135" t="str">
        <f t="shared" si="1065"/>
        <v>30/04/2025</v>
      </c>
      <c r="B2135" t="str">
        <f t="shared" si="1064"/>
        <v>ENTRADA</v>
      </c>
      <c r="C2135" t="str">
        <f t="shared" si="1066"/>
        <v>NFSE</v>
      </c>
      <c r="D2135" t="str">
        <f t="shared" si="1072"/>
        <v>2901</v>
      </c>
      <c r="E2135" t="str">
        <f t="shared" si="1067"/>
        <v>COM</v>
      </c>
      <c r="F2135" t="str">
        <f t="shared" si="1073"/>
        <v>FARMÁCIA INDIANA LJ 30 (10127)</v>
      </c>
      <c r="G2135" t="str">
        <f t="shared" si="1074"/>
        <v>Serv.Prest. 14/04/2025 a 20/04/2025 - RPS: 672 - NFSe: 2901</v>
      </c>
      <c r="H2135" t="str">
        <f t="shared" si="1068"/>
        <v>30/04/2025</v>
      </c>
      <c r="I2135" t="str">
        <f t="shared" si="1075"/>
        <v>22/04/2025</v>
      </c>
      <c r="J2135" t="str">
        <f t="shared" si="1069"/>
        <v>30/04/2025</v>
      </c>
      <c r="M2135">
        <v>303</v>
      </c>
      <c r="N2135" t="str">
        <f t="shared" si="1070"/>
        <v>RECEITAS COM ENTREGAS</v>
      </c>
      <c r="P2135">
        <v>186.61</v>
      </c>
      <c r="Q2135" t="str">
        <f>"FARMÁCIA INDIANA LJ 77 (10034)"</f>
        <v>FARMÁCIA INDIANA LJ 77 (10034)</v>
      </c>
      <c r="R2135" t="str">
        <f t="shared" si="1071"/>
        <v>RECEITAS COM ENTREGAS (303)</v>
      </c>
      <c r="S2135">
        <v>1346</v>
      </c>
      <c r="T2135">
        <v>1093</v>
      </c>
      <c r="U2135" t="s">
        <v>19</v>
      </c>
    </row>
    <row r="2136" spans="1:21">
      <c r="A2136" t="str">
        <f t="shared" si="1065"/>
        <v>30/04/2025</v>
      </c>
      <c r="B2136" t="str">
        <f t="shared" si="1064"/>
        <v>ENTRADA</v>
      </c>
      <c r="C2136" t="str">
        <f t="shared" si="1066"/>
        <v>NFSE</v>
      </c>
      <c r="D2136" t="str">
        <f t="shared" si="1072"/>
        <v>2901</v>
      </c>
      <c r="E2136" t="str">
        <f t="shared" si="1067"/>
        <v>COM</v>
      </c>
      <c r="F2136" t="str">
        <f t="shared" si="1073"/>
        <v>FARMÁCIA INDIANA LJ 30 (10127)</v>
      </c>
      <c r="G2136" t="str">
        <f t="shared" si="1074"/>
        <v>Serv.Prest. 14/04/2025 a 20/04/2025 - RPS: 672 - NFSe: 2901</v>
      </c>
      <c r="H2136" t="str">
        <f t="shared" si="1068"/>
        <v>30/04/2025</v>
      </c>
      <c r="I2136" t="str">
        <f t="shared" si="1075"/>
        <v>22/04/2025</v>
      </c>
      <c r="J2136" t="str">
        <f t="shared" si="1069"/>
        <v>30/04/2025</v>
      </c>
      <c r="M2136">
        <v>303</v>
      </c>
      <c r="N2136" t="str">
        <f t="shared" si="1070"/>
        <v>RECEITAS COM ENTREGAS</v>
      </c>
      <c r="P2136">
        <v>213.5</v>
      </c>
      <c r="Q2136" t="str">
        <f>"FARMÁCIA INDIANA LJ 91 (10037)"</f>
        <v>FARMÁCIA INDIANA LJ 91 (10037)</v>
      </c>
      <c r="R2136" t="str">
        <f t="shared" si="1071"/>
        <v>RECEITAS COM ENTREGAS (303)</v>
      </c>
      <c r="S2136">
        <v>1346</v>
      </c>
      <c r="T2136">
        <v>1093</v>
      </c>
      <c r="U2136" t="s">
        <v>19</v>
      </c>
    </row>
    <row r="2137" spans="1:21">
      <c r="A2137" t="str">
        <f t="shared" si="1065"/>
        <v>30/04/2025</v>
      </c>
      <c r="B2137" t="str">
        <f t="shared" si="1064"/>
        <v>ENTRADA</v>
      </c>
      <c r="C2137" t="str">
        <f t="shared" si="1066"/>
        <v>NFSE</v>
      </c>
      <c r="D2137" t="str">
        <f t="shared" si="1072"/>
        <v>2901</v>
      </c>
      <c r="E2137" t="str">
        <f t="shared" si="1067"/>
        <v>COM</v>
      </c>
      <c r="F2137" t="str">
        <f t="shared" si="1073"/>
        <v>FARMÁCIA INDIANA LJ 30 (10127)</v>
      </c>
      <c r="G2137" t="str">
        <f t="shared" si="1074"/>
        <v>Serv.Prest. 14/04/2025 a 20/04/2025 - RPS: 672 - NFSe: 2901</v>
      </c>
      <c r="H2137" t="str">
        <f t="shared" si="1068"/>
        <v>30/04/2025</v>
      </c>
      <c r="I2137" t="str">
        <f t="shared" si="1075"/>
        <v>22/04/2025</v>
      </c>
      <c r="J2137" t="str">
        <f t="shared" si="1069"/>
        <v>30/04/2025</v>
      </c>
      <c r="M2137">
        <v>303</v>
      </c>
      <c r="N2137" t="str">
        <f t="shared" si="1070"/>
        <v>RECEITAS COM ENTREGAS</v>
      </c>
      <c r="P2137">
        <v>343.38</v>
      </c>
      <c r="Q2137" t="str">
        <f>"FARMÁCIA INDIANA LJ 95 (10039)"</f>
        <v>FARMÁCIA INDIANA LJ 95 (10039)</v>
      </c>
      <c r="R2137" t="str">
        <f t="shared" si="1071"/>
        <v>RECEITAS COM ENTREGAS (303)</v>
      </c>
      <c r="S2137">
        <v>1346</v>
      </c>
      <c r="T2137">
        <v>1093</v>
      </c>
      <c r="U2137" t="s">
        <v>19</v>
      </c>
    </row>
    <row r="2138" spans="1:21">
      <c r="A2138" t="str">
        <f t="shared" si="1065"/>
        <v>30/04/2025</v>
      </c>
      <c r="B2138" t="str">
        <f t="shared" si="1064"/>
        <v>ENTRADA</v>
      </c>
      <c r="C2138" t="str">
        <f t="shared" si="1066"/>
        <v>NFSE</v>
      </c>
      <c r="D2138" t="str">
        <f t="shared" si="1072"/>
        <v>2901</v>
      </c>
      <c r="E2138" t="str">
        <f t="shared" si="1067"/>
        <v>COM</v>
      </c>
      <c r="F2138" t="str">
        <f t="shared" si="1073"/>
        <v>FARMÁCIA INDIANA LJ 30 (10127)</v>
      </c>
      <c r="G2138" t="str">
        <f t="shared" si="1074"/>
        <v>Serv.Prest. 14/04/2025 a 20/04/2025 - RPS: 672 - NFSe: 2901</v>
      </c>
      <c r="H2138" t="str">
        <f t="shared" si="1068"/>
        <v>30/04/2025</v>
      </c>
      <c r="I2138" t="str">
        <f t="shared" si="1075"/>
        <v>22/04/2025</v>
      </c>
      <c r="J2138" t="str">
        <f t="shared" si="1069"/>
        <v>30/04/2025</v>
      </c>
      <c r="M2138">
        <v>303</v>
      </c>
      <c r="N2138" t="str">
        <f t="shared" si="1070"/>
        <v>RECEITAS COM ENTREGAS</v>
      </c>
      <c r="P2138">
        <v>280.72000000000003</v>
      </c>
      <c r="Q2138" t="str">
        <f>"FARMÁCIA INDIANA LJ 145 (10068)"</f>
        <v>FARMÁCIA INDIANA LJ 145 (10068)</v>
      </c>
      <c r="R2138" t="str">
        <f t="shared" si="1071"/>
        <v>RECEITAS COM ENTREGAS (303)</v>
      </c>
      <c r="S2138">
        <v>1346</v>
      </c>
      <c r="T2138">
        <v>1093</v>
      </c>
      <c r="U2138" t="s">
        <v>19</v>
      </c>
    </row>
    <row r="2139" spans="1:21">
      <c r="A2139" t="str">
        <f t="shared" si="1065"/>
        <v>30/04/2025</v>
      </c>
      <c r="B2139" t="str">
        <f t="shared" si="1064"/>
        <v>ENTRADA</v>
      </c>
      <c r="C2139" t="str">
        <f t="shared" si="1066"/>
        <v>NFSE</v>
      </c>
      <c r="D2139" t="str">
        <f t="shared" si="1072"/>
        <v>2901</v>
      </c>
      <c r="E2139" t="str">
        <f t="shared" si="1067"/>
        <v>COM</v>
      </c>
      <c r="F2139" t="str">
        <f t="shared" si="1073"/>
        <v>FARMÁCIA INDIANA LJ 30 (10127)</v>
      </c>
      <c r="G2139" t="str">
        <f t="shared" si="1074"/>
        <v>Serv.Prest. 14/04/2025 a 20/04/2025 - RPS: 672 - NFSe: 2901</v>
      </c>
      <c r="H2139" t="str">
        <f t="shared" si="1068"/>
        <v>30/04/2025</v>
      </c>
      <c r="I2139" t="str">
        <f t="shared" si="1075"/>
        <v>22/04/2025</v>
      </c>
      <c r="J2139" t="str">
        <f t="shared" si="1069"/>
        <v>30/04/2025</v>
      </c>
      <c r="M2139">
        <v>303</v>
      </c>
      <c r="N2139" t="str">
        <f t="shared" si="1070"/>
        <v>RECEITAS COM ENTREGAS</v>
      </c>
      <c r="P2139">
        <v>65.88</v>
      </c>
      <c r="Q2139" t="str">
        <f>"FARMÁCIA INDIANA LJ 169 (10073)"</f>
        <v>FARMÁCIA INDIANA LJ 169 (10073)</v>
      </c>
      <c r="R2139" t="str">
        <f t="shared" si="1071"/>
        <v>RECEITAS COM ENTREGAS (303)</v>
      </c>
      <c r="S2139">
        <v>1346</v>
      </c>
      <c r="T2139">
        <v>1093</v>
      </c>
      <c r="U2139" t="s">
        <v>19</v>
      </c>
    </row>
    <row r="2140" spans="1:21">
      <c r="A2140" t="str">
        <f t="shared" si="1065"/>
        <v>30/04/2025</v>
      </c>
      <c r="B2140" t="str">
        <f t="shared" si="1064"/>
        <v>ENTRADA</v>
      </c>
      <c r="C2140" t="str">
        <f t="shared" si="1066"/>
        <v>NFSE</v>
      </c>
      <c r="D2140" t="str">
        <f t="shared" si="1072"/>
        <v>2901</v>
      </c>
      <c r="E2140" t="str">
        <f t="shared" si="1067"/>
        <v>COM</v>
      </c>
      <c r="F2140" t="str">
        <f t="shared" si="1073"/>
        <v>FARMÁCIA INDIANA LJ 30 (10127)</v>
      </c>
      <c r="G2140" t="str">
        <f t="shared" si="1074"/>
        <v>Serv.Prest. 14/04/2025 a 20/04/2025 - RPS: 672 - NFSe: 2901</v>
      </c>
      <c r="H2140" t="str">
        <f t="shared" si="1068"/>
        <v>30/04/2025</v>
      </c>
      <c r="I2140" t="str">
        <f t="shared" si="1075"/>
        <v>22/04/2025</v>
      </c>
      <c r="J2140" t="str">
        <f t="shared" si="1069"/>
        <v>30/04/2025</v>
      </c>
      <c r="M2140">
        <v>303</v>
      </c>
      <c r="N2140" t="str">
        <f t="shared" si="1070"/>
        <v>RECEITAS COM ENTREGAS</v>
      </c>
      <c r="P2140">
        <v>209.2</v>
      </c>
      <c r="Q2140" t="str">
        <f>"FARMÁCIA INDIANA LJ 173 (10075)"</f>
        <v>FARMÁCIA INDIANA LJ 173 (10075)</v>
      </c>
      <c r="R2140" t="str">
        <f t="shared" si="1071"/>
        <v>RECEITAS COM ENTREGAS (303)</v>
      </c>
      <c r="S2140">
        <v>1346</v>
      </c>
      <c r="T2140">
        <v>1093</v>
      </c>
      <c r="U2140" t="s">
        <v>19</v>
      </c>
    </row>
    <row r="2141" spans="1:21">
      <c r="A2141" t="str">
        <f t="shared" si="1065"/>
        <v>30/04/2025</v>
      </c>
      <c r="B2141" t="str">
        <f t="shared" si="1064"/>
        <v>ENTRADA</v>
      </c>
      <c r="C2141" t="str">
        <f t="shared" si="1066"/>
        <v>NFSE</v>
      </c>
      <c r="D2141" t="str">
        <f t="shared" si="1072"/>
        <v>2901</v>
      </c>
      <c r="E2141" t="str">
        <f t="shared" si="1067"/>
        <v>COM</v>
      </c>
      <c r="F2141" t="str">
        <f t="shared" si="1073"/>
        <v>FARMÁCIA INDIANA LJ 30 (10127)</v>
      </c>
      <c r="G2141" t="str">
        <f t="shared" si="1074"/>
        <v>Serv.Prest. 14/04/2025 a 20/04/2025 - RPS: 672 - NFSe: 2901</v>
      </c>
      <c r="H2141" t="str">
        <f t="shared" si="1068"/>
        <v>30/04/2025</v>
      </c>
      <c r="I2141" t="str">
        <f t="shared" si="1075"/>
        <v>22/04/2025</v>
      </c>
      <c r="J2141" t="str">
        <f t="shared" si="1069"/>
        <v>30/04/2025</v>
      </c>
      <c r="M2141">
        <v>303</v>
      </c>
      <c r="N2141" t="str">
        <f t="shared" si="1070"/>
        <v>RECEITAS COM ENTREGAS</v>
      </c>
      <c r="P2141">
        <v>160.26</v>
      </c>
      <c r="Q2141" t="str">
        <f>"FARMÁCIA INDIANA LJ 200 (10155)"</f>
        <v>FARMÁCIA INDIANA LJ 200 (10155)</v>
      </c>
      <c r="R2141" t="str">
        <f t="shared" si="1071"/>
        <v>RECEITAS COM ENTREGAS (303)</v>
      </c>
      <c r="S2141">
        <v>1346</v>
      </c>
      <c r="T2141">
        <v>1093</v>
      </c>
      <c r="U2141" t="s">
        <v>19</v>
      </c>
    </row>
    <row r="2142" spans="1:21">
      <c r="A2142" t="str">
        <f t="shared" si="1065"/>
        <v>30/04/2025</v>
      </c>
      <c r="B2142" t="str">
        <f t="shared" si="1064"/>
        <v>ENTRADA</v>
      </c>
      <c r="C2142" t="str">
        <f t="shared" si="1066"/>
        <v>NFSE</v>
      </c>
      <c r="D2142" t="str">
        <f t="shared" ref="D2142:D2149" si="1076">"2902"</f>
        <v>2902</v>
      </c>
      <c r="E2142" t="str">
        <f t="shared" si="1067"/>
        <v>COM</v>
      </c>
      <c r="F2142" t="str">
        <f t="shared" ref="F2142:F2149" si="1077">"FARMÁCIA INDIANA LJ 85 (10128)"</f>
        <v>FARMÁCIA INDIANA LJ 85 (10128)</v>
      </c>
      <c r="G2142" t="str">
        <f t="shared" ref="G2142:G2149" si="1078">"Serv.Prest. 14/04/2025 a 20/04/2025 - RPS: 673 - NFSe: 2902"</f>
        <v>Serv.Prest. 14/04/2025 a 20/04/2025 - RPS: 673 - NFSe: 2902</v>
      </c>
      <c r="H2142" t="str">
        <f t="shared" si="1068"/>
        <v>30/04/2025</v>
      </c>
      <c r="I2142" t="str">
        <f t="shared" si="1075"/>
        <v>22/04/2025</v>
      </c>
      <c r="J2142" t="str">
        <f t="shared" si="1069"/>
        <v>30/04/2025</v>
      </c>
      <c r="K2142">
        <v>1029.75</v>
      </c>
      <c r="L2142">
        <v>1029.75</v>
      </c>
      <c r="M2142">
        <v>303</v>
      </c>
      <c r="N2142" t="str">
        <f t="shared" si="1070"/>
        <v>RECEITAS COM ENTREGAS</v>
      </c>
      <c r="O2142">
        <v>1029.75</v>
      </c>
      <c r="R2142" t="str">
        <f t="shared" si="1071"/>
        <v>RECEITAS COM ENTREGAS (303)</v>
      </c>
      <c r="S2142">
        <v>1350</v>
      </c>
      <c r="T2142">
        <v>1094</v>
      </c>
      <c r="U2142" t="s">
        <v>19</v>
      </c>
    </row>
    <row r="2143" spans="1:21">
      <c r="A2143" t="str">
        <f t="shared" si="1065"/>
        <v>30/04/2025</v>
      </c>
      <c r="B2143" t="str">
        <f t="shared" si="1064"/>
        <v>ENTRADA</v>
      </c>
      <c r="C2143" t="str">
        <f t="shared" si="1066"/>
        <v>NFSE</v>
      </c>
      <c r="D2143" t="str">
        <f t="shared" si="1076"/>
        <v>2902</v>
      </c>
      <c r="E2143" t="str">
        <f t="shared" si="1067"/>
        <v>COM</v>
      </c>
      <c r="F2143" t="str">
        <f t="shared" si="1077"/>
        <v>FARMÁCIA INDIANA LJ 85 (10128)</v>
      </c>
      <c r="G2143" t="str">
        <f t="shared" si="1078"/>
        <v>Serv.Prest. 14/04/2025 a 20/04/2025 - RPS: 673 - NFSe: 2902</v>
      </c>
      <c r="H2143" t="str">
        <f t="shared" si="1068"/>
        <v>30/04/2025</v>
      </c>
      <c r="I2143" t="str">
        <f t="shared" si="1075"/>
        <v>22/04/2025</v>
      </c>
      <c r="J2143" t="str">
        <f t="shared" si="1069"/>
        <v>30/04/2025</v>
      </c>
      <c r="M2143">
        <v>303</v>
      </c>
      <c r="N2143" t="str">
        <f t="shared" si="1070"/>
        <v>RECEITAS COM ENTREGAS</v>
      </c>
      <c r="P2143">
        <v>171.56</v>
      </c>
      <c r="Q2143" t="str">
        <f>"FARMÁCIA INDIANA LJ 119 (10053)"</f>
        <v>FARMÁCIA INDIANA LJ 119 (10053)</v>
      </c>
      <c r="R2143" t="str">
        <f t="shared" si="1071"/>
        <v>RECEITAS COM ENTREGAS (303)</v>
      </c>
      <c r="S2143">
        <v>1350</v>
      </c>
      <c r="T2143">
        <v>1094</v>
      </c>
      <c r="U2143" t="s">
        <v>19</v>
      </c>
    </row>
    <row r="2144" spans="1:21">
      <c r="A2144" t="str">
        <f t="shared" si="1065"/>
        <v>30/04/2025</v>
      </c>
      <c r="B2144" t="str">
        <f t="shared" si="1064"/>
        <v>ENTRADA</v>
      </c>
      <c r="C2144" t="str">
        <f t="shared" si="1066"/>
        <v>NFSE</v>
      </c>
      <c r="D2144" t="str">
        <f t="shared" si="1076"/>
        <v>2902</v>
      </c>
      <c r="E2144" t="str">
        <f t="shared" si="1067"/>
        <v>COM</v>
      </c>
      <c r="F2144" t="str">
        <f t="shared" si="1077"/>
        <v>FARMÁCIA INDIANA LJ 85 (10128)</v>
      </c>
      <c r="G2144" t="str">
        <f t="shared" si="1078"/>
        <v>Serv.Prest. 14/04/2025 a 20/04/2025 - RPS: 673 - NFSe: 2902</v>
      </c>
      <c r="H2144" t="str">
        <f t="shared" si="1068"/>
        <v>30/04/2025</v>
      </c>
      <c r="I2144" t="str">
        <f t="shared" si="1075"/>
        <v>22/04/2025</v>
      </c>
      <c r="J2144" t="str">
        <f t="shared" si="1069"/>
        <v>30/04/2025</v>
      </c>
      <c r="M2144">
        <v>303</v>
      </c>
      <c r="N2144" t="str">
        <f t="shared" si="1070"/>
        <v>RECEITAS COM ENTREGAS</v>
      </c>
      <c r="P2144">
        <v>133.56</v>
      </c>
      <c r="Q2144" t="str">
        <f>"FARMÁCIA INDIANA LJ 163 (10072)"</f>
        <v>FARMÁCIA INDIANA LJ 163 (10072)</v>
      </c>
      <c r="R2144" t="str">
        <f t="shared" si="1071"/>
        <v>RECEITAS COM ENTREGAS (303)</v>
      </c>
      <c r="S2144">
        <v>1350</v>
      </c>
      <c r="T2144">
        <v>1094</v>
      </c>
      <c r="U2144" t="s">
        <v>19</v>
      </c>
    </row>
    <row r="2145" spans="1:21">
      <c r="A2145" t="str">
        <f t="shared" si="1065"/>
        <v>30/04/2025</v>
      </c>
      <c r="B2145" t="str">
        <f t="shared" si="1064"/>
        <v>ENTRADA</v>
      </c>
      <c r="C2145" t="str">
        <f t="shared" si="1066"/>
        <v>NFSE</v>
      </c>
      <c r="D2145" t="str">
        <f t="shared" si="1076"/>
        <v>2902</v>
      </c>
      <c r="E2145" t="str">
        <f t="shared" si="1067"/>
        <v>COM</v>
      </c>
      <c r="F2145" t="str">
        <f t="shared" si="1077"/>
        <v>FARMÁCIA INDIANA LJ 85 (10128)</v>
      </c>
      <c r="G2145" t="str">
        <f t="shared" si="1078"/>
        <v>Serv.Prest. 14/04/2025 a 20/04/2025 - RPS: 673 - NFSe: 2902</v>
      </c>
      <c r="H2145" t="str">
        <f t="shared" si="1068"/>
        <v>30/04/2025</v>
      </c>
      <c r="I2145" t="str">
        <f t="shared" si="1075"/>
        <v>22/04/2025</v>
      </c>
      <c r="J2145" t="str">
        <f t="shared" si="1069"/>
        <v>30/04/2025</v>
      </c>
      <c r="M2145">
        <v>303</v>
      </c>
      <c r="N2145" t="str">
        <f t="shared" si="1070"/>
        <v>RECEITAS COM ENTREGAS</v>
      </c>
      <c r="P2145">
        <v>209.55</v>
      </c>
      <c r="Q2145" t="str">
        <f>"FARMÁCIA INDIANA LJ 181 (10078)"</f>
        <v>FARMÁCIA INDIANA LJ 181 (10078)</v>
      </c>
      <c r="R2145" t="str">
        <f t="shared" si="1071"/>
        <v>RECEITAS COM ENTREGAS (303)</v>
      </c>
      <c r="S2145">
        <v>1350</v>
      </c>
      <c r="T2145">
        <v>1094</v>
      </c>
      <c r="U2145" t="s">
        <v>19</v>
      </c>
    </row>
    <row r="2146" spans="1:21">
      <c r="A2146" t="str">
        <f t="shared" si="1065"/>
        <v>30/04/2025</v>
      </c>
      <c r="B2146" t="str">
        <f t="shared" si="1064"/>
        <v>ENTRADA</v>
      </c>
      <c r="C2146" t="str">
        <f t="shared" si="1066"/>
        <v>NFSE</v>
      </c>
      <c r="D2146" t="str">
        <f t="shared" si="1076"/>
        <v>2902</v>
      </c>
      <c r="E2146" t="str">
        <f t="shared" si="1067"/>
        <v>COM</v>
      </c>
      <c r="F2146" t="str">
        <f t="shared" si="1077"/>
        <v>FARMÁCIA INDIANA LJ 85 (10128)</v>
      </c>
      <c r="G2146" t="str">
        <f t="shared" si="1078"/>
        <v>Serv.Prest. 14/04/2025 a 20/04/2025 - RPS: 673 - NFSe: 2902</v>
      </c>
      <c r="H2146" t="str">
        <f t="shared" si="1068"/>
        <v>30/04/2025</v>
      </c>
      <c r="I2146" t="str">
        <f t="shared" si="1075"/>
        <v>22/04/2025</v>
      </c>
      <c r="J2146" t="str">
        <f t="shared" si="1069"/>
        <v>30/04/2025</v>
      </c>
      <c r="M2146">
        <v>303</v>
      </c>
      <c r="N2146" t="str">
        <f t="shared" si="1070"/>
        <v>RECEITAS COM ENTREGAS</v>
      </c>
      <c r="P2146">
        <v>172.48</v>
      </c>
      <c r="Q2146" t="str">
        <f>"FARMÁCIA INDIANA LJ 221 (10093)"</f>
        <v>FARMÁCIA INDIANA LJ 221 (10093)</v>
      </c>
      <c r="R2146" t="str">
        <f t="shared" si="1071"/>
        <v>RECEITAS COM ENTREGAS (303)</v>
      </c>
      <c r="S2146">
        <v>1350</v>
      </c>
      <c r="T2146">
        <v>1094</v>
      </c>
      <c r="U2146" t="s">
        <v>19</v>
      </c>
    </row>
    <row r="2147" spans="1:21">
      <c r="A2147" t="str">
        <f t="shared" si="1065"/>
        <v>30/04/2025</v>
      </c>
      <c r="B2147" t="str">
        <f t="shared" si="1064"/>
        <v>ENTRADA</v>
      </c>
      <c r="C2147" t="str">
        <f t="shared" si="1066"/>
        <v>NFSE</v>
      </c>
      <c r="D2147" t="str">
        <f t="shared" si="1076"/>
        <v>2902</v>
      </c>
      <c r="E2147" t="str">
        <f t="shared" si="1067"/>
        <v>COM</v>
      </c>
      <c r="F2147" t="str">
        <f t="shared" si="1077"/>
        <v>FARMÁCIA INDIANA LJ 85 (10128)</v>
      </c>
      <c r="G2147" t="str">
        <f t="shared" si="1078"/>
        <v>Serv.Prest. 14/04/2025 a 20/04/2025 - RPS: 673 - NFSe: 2902</v>
      </c>
      <c r="H2147" t="str">
        <f t="shared" si="1068"/>
        <v>30/04/2025</v>
      </c>
      <c r="I2147" t="str">
        <f t="shared" si="1075"/>
        <v>22/04/2025</v>
      </c>
      <c r="J2147" t="str">
        <f t="shared" si="1069"/>
        <v>30/04/2025</v>
      </c>
      <c r="M2147">
        <v>303</v>
      </c>
      <c r="N2147" t="str">
        <f t="shared" si="1070"/>
        <v>RECEITAS COM ENTREGAS</v>
      </c>
      <c r="P2147">
        <v>182.16</v>
      </c>
      <c r="Q2147" t="str">
        <f>"FARMÁCIA INDIANA LJ 243 (10142)"</f>
        <v>FARMÁCIA INDIANA LJ 243 (10142)</v>
      </c>
      <c r="R2147" t="str">
        <f t="shared" si="1071"/>
        <v>RECEITAS COM ENTREGAS (303)</v>
      </c>
      <c r="S2147">
        <v>1350</v>
      </c>
      <c r="T2147">
        <v>1094</v>
      </c>
      <c r="U2147" t="s">
        <v>19</v>
      </c>
    </row>
    <row r="2148" spans="1:21">
      <c r="A2148" t="str">
        <f t="shared" ref="A2148:A2173" si="1079">("30/04/2025")</f>
        <v>30/04/2025</v>
      </c>
      <c r="B2148" t="str">
        <f t="shared" si="1064"/>
        <v>ENTRADA</v>
      </c>
      <c r="C2148" t="str">
        <f t="shared" ref="C2148:C2161" si="1080">"NFSE"</f>
        <v>NFSE</v>
      </c>
      <c r="D2148" t="str">
        <f t="shared" si="1076"/>
        <v>2902</v>
      </c>
      <c r="E2148" t="str">
        <f t="shared" ref="E2148:E2163" si="1081">"COM"</f>
        <v>COM</v>
      </c>
      <c r="F2148" t="str">
        <f t="shared" si="1077"/>
        <v>FARMÁCIA INDIANA LJ 85 (10128)</v>
      </c>
      <c r="G2148" t="str">
        <f t="shared" si="1078"/>
        <v>Serv.Prest. 14/04/2025 a 20/04/2025 - RPS: 673 - NFSe: 2902</v>
      </c>
      <c r="H2148" t="str">
        <f t="shared" si="1068"/>
        <v>30/04/2025</v>
      </c>
      <c r="I2148" t="str">
        <f t="shared" si="1075"/>
        <v>22/04/2025</v>
      </c>
      <c r="J2148" t="str">
        <f t="shared" ref="J2148:J2173" si="1082">("30/04/2025")</f>
        <v>30/04/2025</v>
      </c>
      <c r="M2148">
        <v>303</v>
      </c>
      <c r="N2148" t="str">
        <f t="shared" ref="N2148:N2161" si="1083">"RECEITAS COM ENTREGAS"</f>
        <v>RECEITAS COM ENTREGAS</v>
      </c>
      <c r="P2148">
        <v>80.94</v>
      </c>
      <c r="Q2148" t="str">
        <f>"FARMÁCIA INDIANA LJ 211 (10168)"</f>
        <v>FARMÁCIA INDIANA LJ 211 (10168)</v>
      </c>
      <c r="R2148" t="str">
        <f t="shared" ref="R2148:R2161" si="1084">"RECEITAS COM ENTREGAS (303)"</f>
        <v>RECEITAS COM ENTREGAS (303)</v>
      </c>
      <c r="S2148">
        <v>1350</v>
      </c>
      <c r="T2148">
        <v>1094</v>
      </c>
      <c r="U2148" t="s">
        <v>19</v>
      </c>
    </row>
    <row r="2149" spans="1:21">
      <c r="A2149" t="str">
        <f t="shared" si="1079"/>
        <v>30/04/2025</v>
      </c>
      <c r="B2149" t="str">
        <f t="shared" ref="B2149:B2161" si="1085">"ENTRADA"</f>
        <v>ENTRADA</v>
      </c>
      <c r="C2149" t="str">
        <f t="shared" si="1080"/>
        <v>NFSE</v>
      </c>
      <c r="D2149" t="str">
        <f t="shared" si="1076"/>
        <v>2902</v>
      </c>
      <c r="E2149" t="str">
        <f t="shared" si="1081"/>
        <v>COM</v>
      </c>
      <c r="F2149" t="str">
        <f t="shared" si="1077"/>
        <v>FARMÁCIA INDIANA LJ 85 (10128)</v>
      </c>
      <c r="G2149" t="str">
        <f t="shared" si="1078"/>
        <v>Serv.Prest. 14/04/2025 a 20/04/2025 - RPS: 673 - NFSe: 2902</v>
      </c>
      <c r="H2149" t="str">
        <f t="shared" si="1068"/>
        <v>30/04/2025</v>
      </c>
      <c r="I2149" t="str">
        <f t="shared" si="1075"/>
        <v>22/04/2025</v>
      </c>
      <c r="J2149" t="str">
        <f t="shared" si="1082"/>
        <v>30/04/2025</v>
      </c>
      <c r="M2149">
        <v>303</v>
      </c>
      <c r="N2149" t="str">
        <f t="shared" si="1083"/>
        <v>RECEITAS COM ENTREGAS</v>
      </c>
      <c r="P2149">
        <v>79.5</v>
      </c>
      <c r="Q2149" t="str">
        <f>"FARMÁCIA INDIANA LJ 236 (10169)"</f>
        <v>FARMÁCIA INDIANA LJ 236 (10169)</v>
      </c>
      <c r="R2149" t="str">
        <f t="shared" si="1084"/>
        <v>RECEITAS COM ENTREGAS (303)</v>
      </c>
      <c r="S2149">
        <v>1350</v>
      </c>
      <c r="T2149">
        <v>1094</v>
      </c>
      <c r="U2149" t="s">
        <v>19</v>
      </c>
    </row>
    <row r="2150" spans="1:21">
      <c r="A2150" t="str">
        <f t="shared" si="1079"/>
        <v>30/04/2025</v>
      </c>
      <c r="B2150" t="str">
        <f t="shared" si="1085"/>
        <v>ENTRADA</v>
      </c>
      <c r="C2150" t="str">
        <f t="shared" si="1080"/>
        <v>NFSE</v>
      </c>
      <c r="D2150" t="str">
        <f>"2929"</f>
        <v>2929</v>
      </c>
      <c r="E2150" t="str">
        <f t="shared" si="1081"/>
        <v>COM</v>
      </c>
      <c r="F2150" t="str">
        <f>"DROGARIA MEDALHA (10163)"</f>
        <v>DROGARIA MEDALHA (10163)</v>
      </c>
      <c r="G2150" t="str">
        <f>"Serv.Prest. 21/04/2025 a 27/04/2025 - RPS: 700 - NFSe: 2929"</f>
        <v>Serv.Prest. 21/04/2025 a 27/04/2025 - RPS: 700 - NFSe: 2929</v>
      </c>
      <c r="H2150" t="str">
        <f t="shared" si="1068"/>
        <v>30/04/2025</v>
      </c>
      <c r="I2150" t="str">
        <f>("28/04/2025")</f>
        <v>28/04/2025</v>
      </c>
      <c r="J2150" t="str">
        <f t="shared" si="1082"/>
        <v>30/04/2025</v>
      </c>
      <c r="K2150">
        <v>160.43</v>
      </c>
      <c r="L2150">
        <v>160.43</v>
      </c>
      <c r="M2150">
        <v>303</v>
      </c>
      <c r="N2150" t="str">
        <f t="shared" si="1083"/>
        <v>RECEITAS COM ENTREGAS</v>
      </c>
      <c r="O2150">
        <v>160.43</v>
      </c>
      <c r="R2150" t="str">
        <f t="shared" si="1084"/>
        <v>RECEITAS COM ENTREGAS (303)</v>
      </c>
      <c r="S2150">
        <v>1354</v>
      </c>
      <c r="T2150">
        <v>1121</v>
      </c>
      <c r="U2150" t="s">
        <v>19</v>
      </c>
    </row>
    <row r="2151" spans="1:21">
      <c r="A2151" t="str">
        <f t="shared" si="1079"/>
        <v>30/04/2025</v>
      </c>
      <c r="B2151" t="str">
        <f t="shared" si="1085"/>
        <v>ENTRADA</v>
      </c>
      <c r="C2151" t="str">
        <f t="shared" si="1080"/>
        <v>NFSE</v>
      </c>
      <c r="D2151" t="str">
        <f>"2929"</f>
        <v>2929</v>
      </c>
      <c r="E2151" t="str">
        <f t="shared" si="1081"/>
        <v>COM</v>
      </c>
      <c r="F2151" t="str">
        <f>"DROGARIA MEDALHA (10163)"</f>
        <v>DROGARIA MEDALHA (10163)</v>
      </c>
      <c r="G2151" t="str">
        <f>"Serv.Prest. 21/04/2025 a 27/04/2025 - RPS: 700 - NFSe: 2929"</f>
        <v>Serv.Prest. 21/04/2025 a 27/04/2025 - RPS: 700 - NFSe: 2929</v>
      </c>
      <c r="H2151" t="str">
        <f t="shared" si="1068"/>
        <v>30/04/2025</v>
      </c>
      <c r="I2151" t="str">
        <f>("28/04/2025")</f>
        <v>28/04/2025</v>
      </c>
      <c r="J2151" t="str">
        <f t="shared" si="1082"/>
        <v>30/04/2025</v>
      </c>
      <c r="M2151">
        <v>303</v>
      </c>
      <c r="N2151" t="str">
        <f t="shared" si="1083"/>
        <v>RECEITAS COM ENTREGAS</v>
      </c>
      <c r="P2151">
        <v>160.43</v>
      </c>
      <c r="Q2151" t="str">
        <f>"DROGARIA MEDALHA (10163)"</f>
        <v>DROGARIA MEDALHA (10163)</v>
      </c>
      <c r="R2151" t="str">
        <f t="shared" si="1084"/>
        <v>RECEITAS COM ENTREGAS (303)</v>
      </c>
      <c r="S2151">
        <v>1354</v>
      </c>
      <c r="T2151">
        <v>1121</v>
      </c>
      <c r="U2151" t="s">
        <v>19</v>
      </c>
    </row>
    <row r="2152" spans="1:21">
      <c r="A2152" t="str">
        <f t="shared" si="1079"/>
        <v>30/04/2025</v>
      </c>
      <c r="B2152" t="str">
        <f t="shared" si="1085"/>
        <v>ENTRADA</v>
      </c>
      <c r="C2152" t="str">
        <f t="shared" si="1080"/>
        <v>NFSE</v>
      </c>
      <c r="D2152" t="str">
        <f>"2917"</f>
        <v>2917</v>
      </c>
      <c r="E2152" t="str">
        <f t="shared" si="1081"/>
        <v>COM</v>
      </c>
      <c r="F2152" t="str">
        <f>"AC FARMA - FLEMINFARMA (10160)"</f>
        <v>AC FARMA - FLEMINFARMA (10160)</v>
      </c>
      <c r="G2152" t="str">
        <f>"Serv.Prest. 14/04/2025 a 20/04/2025 - RPS: 688 - NFSe: 2917"</f>
        <v>Serv.Prest. 14/04/2025 a 20/04/2025 - RPS: 688 - NFSe: 2917</v>
      </c>
      <c r="H2152" t="str">
        <f>("29/04/2025")</f>
        <v>29/04/2025</v>
      </c>
      <c r="I2152" t="str">
        <f>("22/04/2025")</f>
        <v>22/04/2025</v>
      </c>
      <c r="J2152" t="str">
        <f t="shared" si="1082"/>
        <v>30/04/2025</v>
      </c>
      <c r="K2152">
        <v>167.04</v>
      </c>
      <c r="L2152">
        <v>167.04</v>
      </c>
      <c r="M2152">
        <v>303</v>
      </c>
      <c r="N2152" t="str">
        <f t="shared" si="1083"/>
        <v>RECEITAS COM ENTREGAS</v>
      </c>
      <c r="O2152">
        <v>167.04</v>
      </c>
      <c r="R2152" t="str">
        <f t="shared" si="1084"/>
        <v>RECEITAS COM ENTREGAS (303)</v>
      </c>
      <c r="S2152">
        <v>1402</v>
      </c>
      <c r="T2152">
        <v>1109</v>
      </c>
      <c r="U2152" t="s">
        <v>19</v>
      </c>
    </row>
    <row r="2153" spans="1:21">
      <c r="A2153" t="str">
        <f t="shared" si="1079"/>
        <v>30/04/2025</v>
      </c>
      <c r="B2153" t="str">
        <f t="shared" si="1085"/>
        <v>ENTRADA</v>
      </c>
      <c r="C2153" t="str">
        <f t="shared" si="1080"/>
        <v>NFSE</v>
      </c>
      <c r="D2153" t="str">
        <f>"2917"</f>
        <v>2917</v>
      </c>
      <c r="E2153" t="str">
        <f t="shared" si="1081"/>
        <v>COM</v>
      </c>
      <c r="F2153" t="str">
        <f>"AC FARMA - FLEMINFARMA (10160)"</f>
        <v>AC FARMA - FLEMINFARMA (10160)</v>
      </c>
      <c r="G2153" t="str">
        <f>"Serv.Prest. 14/04/2025 a 20/04/2025 - RPS: 688 - NFSe: 2917"</f>
        <v>Serv.Prest. 14/04/2025 a 20/04/2025 - RPS: 688 - NFSe: 2917</v>
      </c>
      <c r="H2153" t="str">
        <f>("29/04/2025")</f>
        <v>29/04/2025</v>
      </c>
      <c r="I2153" t="str">
        <f>("22/04/2025")</f>
        <v>22/04/2025</v>
      </c>
      <c r="J2153" t="str">
        <f t="shared" si="1082"/>
        <v>30/04/2025</v>
      </c>
      <c r="M2153">
        <v>303</v>
      </c>
      <c r="N2153" t="str">
        <f t="shared" si="1083"/>
        <v>RECEITAS COM ENTREGAS</v>
      </c>
      <c r="P2153">
        <v>167.04</v>
      </c>
      <c r="Q2153" t="str">
        <f>"AC FARMA - FLEMINFARMA (10160)"</f>
        <v>AC FARMA - FLEMINFARMA (10160)</v>
      </c>
      <c r="R2153" t="str">
        <f t="shared" si="1084"/>
        <v>RECEITAS COM ENTREGAS (303)</v>
      </c>
      <c r="S2153">
        <v>1402</v>
      </c>
      <c r="T2153">
        <v>1109</v>
      </c>
      <c r="U2153" t="s">
        <v>19</v>
      </c>
    </row>
    <row r="2154" spans="1:21">
      <c r="A2154" t="str">
        <f t="shared" si="1079"/>
        <v>30/04/2025</v>
      </c>
      <c r="B2154" t="str">
        <f t="shared" si="1085"/>
        <v>ENTRADA</v>
      </c>
      <c r="C2154" t="str">
        <f t="shared" si="1080"/>
        <v>NFSE</v>
      </c>
      <c r="D2154" t="str">
        <f>"2920"</f>
        <v>2920</v>
      </c>
      <c r="E2154" t="str">
        <f t="shared" si="1081"/>
        <v>COM</v>
      </c>
      <c r="F2154" t="str">
        <f>"AC FARMA - CID.ALTA (10166)"</f>
        <v>AC FARMA - CID.ALTA (10166)</v>
      </c>
      <c r="G2154" t="str">
        <f>"Serv.Prest. 14/04/2025 a 20/04/2025 - RPS: 691 - NFSe: 2920"</f>
        <v>Serv.Prest. 14/04/2025 a 20/04/2025 - RPS: 691 - NFSe: 2920</v>
      </c>
      <c r="H2154" t="str">
        <f t="shared" ref="H2154:H2189" si="1086">("30/04/2025")</f>
        <v>30/04/2025</v>
      </c>
      <c r="I2154" t="str">
        <f>("22/04/2025")</f>
        <v>22/04/2025</v>
      </c>
      <c r="J2154" t="str">
        <f t="shared" si="1082"/>
        <v>30/04/2025</v>
      </c>
      <c r="K2154">
        <v>978.58</v>
      </c>
      <c r="L2154">
        <v>978.58</v>
      </c>
      <c r="M2154">
        <v>303</v>
      </c>
      <c r="N2154" t="str">
        <f t="shared" si="1083"/>
        <v>RECEITAS COM ENTREGAS</v>
      </c>
      <c r="O2154">
        <v>978.58</v>
      </c>
      <c r="R2154" t="str">
        <f t="shared" si="1084"/>
        <v>RECEITAS COM ENTREGAS (303)</v>
      </c>
      <c r="S2154">
        <v>1403</v>
      </c>
      <c r="T2154">
        <v>1112</v>
      </c>
      <c r="U2154" t="s">
        <v>19</v>
      </c>
    </row>
    <row r="2155" spans="1:21">
      <c r="A2155" t="str">
        <f t="shared" si="1079"/>
        <v>30/04/2025</v>
      </c>
      <c r="B2155" t="str">
        <f t="shared" si="1085"/>
        <v>ENTRADA</v>
      </c>
      <c r="C2155" t="str">
        <f t="shared" si="1080"/>
        <v>NFSE</v>
      </c>
      <c r="D2155" t="str">
        <f>"2920"</f>
        <v>2920</v>
      </c>
      <c r="E2155" t="str">
        <f t="shared" si="1081"/>
        <v>COM</v>
      </c>
      <c r="F2155" t="str">
        <f>"AC FARMA - CID.ALTA (10166)"</f>
        <v>AC FARMA - CID.ALTA (10166)</v>
      </c>
      <c r="G2155" t="str">
        <f>"Serv.Prest. 14/04/2025 a 20/04/2025 - RPS: 691 - NFSe: 2920"</f>
        <v>Serv.Prest. 14/04/2025 a 20/04/2025 - RPS: 691 - NFSe: 2920</v>
      </c>
      <c r="H2155" t="str">
        <f t="shared" si="1086"/>
        <v>30/04/2025</v>
      </c>
      <c r="I2155" t="str">
        <f>("22/04/2025")</f>
        <v>22/04/2025</v>
      </c>
      <c r="J2155" t="str">
        <f t="shared" si="1082"/>
        <v>30/04/2025</v>
      </c>
      <c r="M2155">
        <v>303</v>
      </c>
      <c r="N2155" t="str">
        <f t="shared" si="1083"/>
        <v>RECEITAS COM ENTREGAS</v>
      </c>
      <c r="P2155">
        <v>978.58</v>
      </c>
      <c r="Q2155" t="str">
        <f>"AC FARMA - CID.ALTA (10166)"</f>
        <v>AC FARMA - CID.ALTA (10166)</v>
      </c>
      <c r="R2155" t="str">
        <f t="shared" si="1084"/>
        <v>RECEITAS COM ENTREGAS (303)</v>
      </c>
      <c r="S2155">
        <v>1403</v>
      </c>
      <c r="T2155">
        <v>1112</v>
      </c>
      <c r="U2155" t="s">
        <v>19</v>
      </c>
    </row>
    <row r="2156" spans="1:21">
      <c r="A2156" t="str">
        <f t="shared" si="1079"/>
        <v>30/04/2025</v>
      </c>
      <c r="B2156" t="str">
        <f t="shared" si="1085"/>
        <v>ENTRADA</v>
      </c>
      <c r="C2156" t="str">
        <f t="shared" si="1080"/>
        <v>NFSE</v>
      </c>
      <c r="D2156" t="str">
        <f>"2931"</f>
        <v>2931</v>
      </c>
      <c r="E2156" t="str">
        <f t="shared" si="1081"/>
        <v>COM</v>
      </c>
      <c r="F2156" t="str">
        <f>"FRAN FARMA (10124)"</f>
        <v>FRAN FARMA (10124)</v>
      </c>
      <c r="G2156" t="str">
        <f>"Serv.Prest. 21/04/2025 a 27/04/2025 - RPS: 702 - NFSe: 2931"</f>
        <v>Serv.Prest. 21/04/2025 a 27/04/2025 - RPS: 702 - NFSe: 2931</v>
      </c>
      <c r="H2156" t="str">
        <f t="shared" si="1086"/>
        <v>30/04/2025</v>
      </c>
      <c r="I2156" t="str">
        <f>("28/04/2025")</f>
        <v>28/04/2025</v>
      </c>
      <c r="J2156" t="str">
        <f t="shared" si="1082"/>
        <v>30/04/2025</v>
      </c>
      <c r="K2156">
        <v>320</v>
      </c>
      <c r="L2156">
        <v>320</v>
      </c>
      <c r="M2156">
        <v>303</v>
      </c>
      <c r="N2156" t="str">
        <f t="shared" si="1083"/>
        <v>RECEITAS COM ENTREGAS</v>
      </c>
      <c r="O2156">
        <v>320</v>
      </c>
      <c r="R2156" t="str">
        <f t="shared" si="1084"/>
        <v>RECEITAS COM ENTREGAS (303)</v>
      </c>
      <c r="S2156">
        <v>1404</v>
      </c>
      <c r="T2156">
        <v>1123</v>
      </c>
      <c r="U2156" t="s">
        <v>19</v>
      </c>
    </row>
    <row r="2157" spans="1:21">
      <c r="A2157" t="str">
        <f t="shared" si="1079"/>
        <v>30/04/2025</v>
      </c>
      <c r="B2157" t="str">
        <f t="shared" si="1085"/>
        <v>ENTRADA</v>
      </c>
      <c r="C2157" t="str">
        <f t="shared" si="1080"/>
        <v>NFSE</v>
      </c>
      <c r="D2157" t="str">
        <f>"2931"</f>
        <v>2931</v>
      </c>
      <c r="E2157" t="str">
        <f t="shared" si="1081"/>
        <v>COM</v>
      </c>
      <c r="F2157" t="str">
        <f>"FRAN FARMA (10124)"</f>
        <v>FRAN FARMA (10124)</v>
      </c>
      <c r="G2157" t="str">
        <f>"Serv.Prest. 21/04/2025 a 27/04/2025 - RPS: 702 - NFSe: 2931"</f>
        <v>Serv.Prest. 21/04/2025 a 27/04/2025 - RPS: 702 - NFSe: 2931</v>
      </c>
      <c r="H2157" t="str">
        <f t="shared" si="1086"/>
        <v>30/04/2025</v>
      </c>
      <c r="I2157" t="str">
        <f>("28/04/2025")</f>
        <v>28/04/2025</v>
      </c>
      <c r="J2157" t="str">
        <f t="shared" si="1082"/>
        <v>30/04/2025</v>
      </c>
      <c r="M2157">
        <v>303</v>
      </c>
      <c r="N2157" t="str">
        <f t="shared" si="1083"/>
        <v>RECEITAS COM ENTREGAS</v>
      </c>
      <c r="P2157">
        <v>64</v>
      </c>
      <c r="Q2157" t="str">
        <f>"FRAN FARMA (10124)"</f>
        <v>FRAN FARMA (10124)</v>
      </c>
      <c r="R2157" t="str">
        <f t="shared" si="1084"/>
        <v>RECEITAS COM ENTREGAS (303)</v>
      </c>
      <c r="S2157">
        <v>1404</v>
      </c>
      <c r="T2157">
        <v>1123</v>
      </c>
      <c r="U2157" t="s">
        <v>19</v>
      </c>
    </row>
    <row r="2158" spans="1:21">
      <c r="A2158" t="str">
        <f t="shared" si="1079"/>
        <v>30/04/2025</v>
      </c>
      <c r="B2158" t="str">
        <f t="shared" si="1085"/>
        <v>ENTRADA</v>
      </c>
      <c r="C2158" t="str">
        <f t="shared" si="1080"/>
        <v>NFSE</v>
      </c>
      <c r="D2158" t="str">
        <f>"2931"</f>
        <v>2931</v>
      </c>
      <c r="E2158" t="str">
        <f t="shared" si="1081"/>
        <v>COM</v>
      </c>
      <c r="F2158" t="str">
        <f>"FRAN FARMA (10124)"</f>
        <v>FRAN FARMA (10124)</v>
      </c>
      <c r="G2158" t="str">
        <f>"Serv.Prest. 21/04/2025 a 27/04/2025 - RPS: 702 - NFSe: 2931"</f>
        <v>Serv.Prest. 21/04/2025 a 27/04/2025 - RPS: 702 - NFSe: 2931</v>
      </c>
      <c r="H2158" t="str">
        <f t="shared" si="1086"/>
        <v>30/04/2025</v>
      </c>
      <c r="I2158" t="str">
        <f>("28/04/2025")</f>
        <v>28/04/2025</v>
      </c>
      <c r="J2158" t="str">
        <f t="shared" si="1082"/>
        <v>30/04/2025</v>
      </c>
      <c r="M2158">
        <v>303</v>
      </c>
      <c r="N2158" t="str">
        <f t="shared" si="1083"/>
        <v>RECEITAS COM ENTREGAS</v>
      </c>
      <c r="P2158">
        <v>192</v>
      </c>
      <c r="Q2158" t="str">
        <f>"FRAN FARMA LJ 2 (10131)"</f>
        <v>FRAN FARMA LJ 2 (10131)</v>
      </c>
      <c r="R2158" t="str">
        <f t="shared" si="1084"/>
        <v>RECEITAS COM ENTREGAS (303)</v>
      </c>
      <c r="S2158">
        <v>1404</v>
      </c>
      <c r="T2158">
        <v>1123</v>
      </c>
      <c r="U2158" t="s">
        <v>19</v>
      </c>
    </row>
    <row r="2159" spans="1:21">
      <c r="A2159" t="str">
        <f t="shared" si="1079"/>
        <v>30/04/2025</v>
      </c>
      <c r="B2159" t="str">
        <f t="shared" si="1085"/>
        <v>ENTRADA</v>
      </c>
      <c r="C2159" t="str">
        <f t="shared" si="1080"/>
        <v>NFSE</v>
      </c>
      <c r="D2159" t="str">
        <f>"2931"</f>
        <v>2931</v>
      </c>
      <c r="E2159" t="str">
        <f t="shared" si="1081"/>
        <v>COM</v>
      </c>
      <c r="F2159" t="str">
        <f>"FRAN FARMA (10124)"</f>
        <v>FRAN FARMA (10124)</v>
      </c>
      <c r="G2159" t="str">
        <f>"Serv.Prest. 21/04/2025 a 27/04/2025 - RPS: 702 - NFSe: 2931"</f>
        <v>Serv.Prest. 21/04/2025 a 27/04/2025 - RPS: 702 - NFSe: 2931</v>
      </c>
      <c r="H2159" t="str">
        <f t="shared" si="1086"/>
        <v>30/04/2025</v>
      </c>
      <c r="I2159" t="str">
        <f>("28/04/2025")</f>
        <v>28/04/2025</v>
      </c>
      <c r="J2159" t="str">
        <f t="shared" si="1082"/>
        <v>30/04/2025</v>
      </c>
      <c r="M2159">
        <v>303</v>
      </c>
      <c r="N2159" t="str">
        <f t="shared" si="1083"/>
        <v>RECEITAS COM ENTREGAS</v>
      </c>
      <c r="P2159">
        <v>64</v>
      </c>
      <c r="Q2159" t="str">
        <f>"FRAN FARMA LJ 3 (10132)"</f>
        <v>FRAN FARMA LJ 3 (10132)</v>
      </c>
      <c r="R2159" t="str">
        <f t="shared" si="1084"/>
        <v>RECEITAS COM ENTREGAS (303)</v>
      </c>
      <c r="S2159">
        <v>1404</v>
      </c>
      <c r="T2159">
        <v>1123</v>
      </c>
      <c r="U2159" t="s">
        <v>19</v>
      </c>
    </row>
    <row r="2160" spans="1:21">
      <c r="A2160" t="str">
        <f t="shared" si="1079"/>
        <v>30/04/2025</v>
      </c>
      <c r="B2160" t="str">
        <f t="shared" si="1085"/>
        <v>ENTRADA</v>
      </c>
      <c r="C2160" t="str">
        <f t="shared" si="1080"/>
        <v>NFSE</v>
      </c>
      <c r="D2160" t="str">
        <f>"2944"</f>
        <v>2944</v>
      </c>
      <c r="E2160" t="str">
        <f t="shared" si="1081"/>
        <v>COM</v>
      </c>
      <c r="F2160" t="str">
        <f>"JAL FARMACIA E DROGARIA LJ 2 (10138)"</f>
        <v>JAL FARMACIA E DROGARIA LJ 2 (10138)</v>
      </c>
      <c r="G2160" t="str">
        <f>"Serv.Prest. 21/04/2025 a 27/04/2025 - RPS: 715 - NFSe: 2944"</f>
        <v>Serv.Prest. 21/04/2025 a 27/04/2025 - RPS: 715 - NFSe: 2944</v>
      </c>
      <c r="H2160" t="str">
        <f t="shared" si="1086"/>
        <v>30/04/2025</v>
      </c>
      <c r="I2160" t="str">
        <f>("29/04/2025")</f>
        <v>29/04/2025</v>
      </c>
      <c r="J2160" t="str">
        <f t="shared" si="1082"/>
        <v>30/04/2025</v>
      </c>
      <c r="K2160">
        <v>248</v>
      </c>
      <c r="L2160">
        <v>248</v>
      </c>
      <c r="M2160">
        <v>303</v>
      </c>
      <c r="N2160" t="str">
        <f t="shared" si="1083"/>
        <v>RECEITAS COM ENTREGAS</v>
      </c>
      <c r="O2160">
        <v>248</v>
      </c>
      <c r="R2160" t="str">
        <f t="shared" si="1084"/>
        <v>RECEITAS COM ENTREGAS (303)</v>
      </c>
      <c r="S2160">
        <v>1405</v>
      </c>
      <c r="T2160">
        <v>1136</v>
      </c>
      <c r="U2160" t="s">
        <v>19</v>
      </c>
    </row>
    <row r="2161" spans="1:21">
      <c r="A2161" t="str">
        <f t="shared" si="1079"/>
        <v>30/04/2025</v>
      </c>
      <c r="B2161" t="str">
        <f t="shared" si="1085"/>
        <v>ENTRADA</v>
      </c>
      <c r="C2161" t="str">
        <f t="shared" si="1080"/>
        <v>NFSE</v>
      </c>
      <c r="D2161" t="str">
        <f>"2944"</f>
        <v>2944</v>
      </c>
      <c r="E2161" t="str">
        <f t="shared" si="1081"/>
        <v>COM</v>
      </c>
      <c r="F2161" t="str">
        <f>"JAL FARMACIA E DROGARIA LJ 2 (10138)"</f>
        <v>JAL FARMACIA E DROGARIA LJ 2 (10138)</v>
      </c>
      <c r="G2161" t="str">
        <f>"Serv.Prest. 21/04/2025 a 27/04/2025 - RPS: 715 - NFSe: 2944"</f>
        <v>Serv.Prest. 21/04/2025 a 27/04/2025 - RPS: 715 - NFSe: 2944</v>
      </c>
      <c r="H2161" t="str">
        <f t="shared" si="1086"/>
        <v>30/04/2025</v>
      </c>
      <c r="I2161" t="str">
        <f>("29/04/2025")</f>
        <v>29/04/2025</v>
      </c>
      <c r="J2161" t="str">
        <f t="shared" si="1082"/>
        <v>30/04/2025</v>
      </c>
      <c r="M2161">
        <v>303</v>
      </c>
      <c r="N2161" t="str">
        <f t="shared" si="1083"/>
        <v>RECEITAS COM ENTREGAS</v>
      </c>
      <c r="P2161">
        <v>248</v>
      </c>
      <c r="Q2161" t="str">
        <f>"JAL FARMACIA E DROGARIA LJ 2 (10138)"</f>
        <v>JAL FARMACIA E DROGARIA LJ 2 (10138)</v>
      </c>
      <c r="R2161" t="str">
        <f t="shared" si="1084"/>
        <v>RECEITAS COM ENTREGAS (303)</v>
      </c>
      <c r="S2161">
        <v>1405</v>
      </c>
      <c r="T2161">
        <v>1136</v>
      </c>
      <c r="U2161" t="s">
        <v>19</v>
      </c>
    </row>
    <row r="2162" spans="1:21">
      <c r="A2162" t="str">
        <f t="shared" si="1079"/>
        <v>30/04/2025</v>
      </c>
      <c r="B2162" t="str">
        <f>"ENTRADA"</f>
        <v>ENTRADA</v>
      </c>
      <c r="C2162" t="str">
        <f>"BOLETO"</f>
        <v>BOLETO</v>
      </c>
      <c r="D2162" t="str">
        <f>"300425"</f>
        <v>300425</v>
      </c>
      <c r="E2162" t="str">
        <f t="shared" si="1081"/>
        <v>COM</v>
      </c>
      <c r="F2162" t="str">
        <f>"DROGARIA TOTAL JUNDIAI (10177)"</f>
        <v>DROGARIA TOTAL JUNDIAI (10177)</v>
      </c>
      <c r="G2162" t="str">
        <f>"RECEBIMENTO SETUP"</f>
        <v>RECEBIMENTO SETUP</v>
      </c>
      <c r="H2162" t="str">
        <f t="shared" si="1086"/>
        <v>30/04/2025</v>
      </c>
      <c r="I2162" t="str">
        <f t="shared" ref="I2162:I2171" si="1087">("30/04/2025")</f>
        <v>30/04/2025</v>
      </c>
      <c r="J2162" t="str">
        <f t="shared" si="1082"/>
        <v>30/04/2025</v>
      </c>
      <c r="K2162">
        <v>1000</v>
      </c>
      <c r="L2162">
        <v>1000</v>
      </c>
      <c r="M2162">
        <v>117</v>
      </c>
      <c r="N2162" t="str">
        <f>"RECEITAS COM SETUP"</f>
        <v>RECEITAS COM SETUP</v>
      </c>
      <c r="O2162">
        <v>1000</v>
      </c>
      <c r="R2162" t="str">
        <f>"RECEITAS COM SETUP (117)"</f>
        <v>RECEITAS COM SETUP (117)</v>
      </c>
      <c r="S2162">
        <v>1434</v>
      </c>
      <c r="T2162">
        <v>1184</v>
      </c>
      <c r="U2162" t="s">
        <v>19</v>
      </c>
    </row>
    <row r="2163" spans="1:21">
      <c r="A2163" t="str">
        <f t="shared" si="1079"/>
        <v>30/04/2025</v>
      </c>
      <c r="B2163" t="str">
        <f t="shared" ref="B2163:B2169" si="1088">"SAÍDA"</f>
        <v>SAÍDA</v>
      </c>
      <c r="C2163" t="str">
        <f>"BOLETO"</f>
        <v>BOLETO</v>
      </c>
      <c r="D2163" t="str">
        <f>"300425"</f>
        <v>300425</v>
      </c>
      <c r="E2163" t="str">
        <f t="shared" si="1081"/>
        <v>COM</v>
      </c>
      <c r="F2163" t="str">
        <f>"DROGARIA TOTAL JUNDIAI (10177)"</f>
        <v>DROGARIA TOTAL JUNDIAI (10177)</v>
      </c>
      <c r="G2163" t="str">
        <f>"RECEBIMENTO SETUP"</f>
        <v>RECEBIMENTO SETUP</v>
      </c>
      <c r="H2163" t="str">
        <f t="shared" si="1086"/>
        <v>30/04/2025</v>
      </c>
      <c r="I2163" t="str">
        <f t="shared" si="1087"/>
        <v>30/04/2025</v>
      </c>
      <c r="J2163" t="str">
        <f t="shared" si="1082"/>
        <v>30/04/2025</v>
      </c>
      <c r="M2163">
        <v>117</v>
      </c>
      <c r="N2163" t="str">
        <f>"RECEITAS COM SETUP"</f>
        <v>RECEITAS COM SETUP</v>
      </c>
      <c r="P2163">
        <v>1000</v>
      </c>
      <c r="Q2163" t="str">
        <f>"DROGARIA TOTAL JUNDIAI (10177)"</f>
        <v>DROGARIA TOTAL JUNDIAI (10177)</v>
      </c>
      <c r="R2163" t="str">
        <f>"RECEITAS COM SETUP (117)"</f>
        <v>RECEITAS COM SETUP (117)</v>
      </c>
      <c r="S2163">
        <v>1434</v>
      </c>
      <c r="T2163">
        <v>1184</v>
      </c>
      <c r="U2163" t="s">
        <v>19</v>
      </c>
    </row>
    <row r="2164" spans="1:21">
      <c r="A2164" t="str">
        <f t="shared" si="1079"/>
        <v>30/04/2025</v>
      </c>
      <c r="B2164" t="str">
        <f t="shared" si="1088"/>
        <v>SAÍDA</v>
      </c>
      <c r="C2164" t="str">
        <f t="shared" ref="C2164:C2169" si="1089">"JUROS"</f>
        <v>JUROS</v>
      </c>
      <c r="D2164" t="str">
        <f>""</f>
        <v/>
      </c>
      <c r="E2164" t="str">
        <f t="shared" ref="E2164:E2169" si="1090">"CXA"</f>
        <v>CXA</v>
      </c>
      <c r="F2164" t="str">
        <f>""</f>
        <v/>
      </c>
      <c r="G2164" t="str">
        <f t="shared" ref="G2164:G2169" si="1091">"TAXA BOLETO COMPENSADO"</f>
        <v>TAXA BOLETO COMPENSADO</v>
      </c>
      <c r="H2164" t="str">
        <f t="shared" si="1086"/>
        <v>30/04/2025</v>
      </c>
      <c r="I2164" t="str">
        <f t="shared" si="1087"/>
        <v>30/04/2025</v>
      </c>
      <c r="J2164" t="str">
        <f t="shared" si="1082"/>
        <v>30/04/2025</v>
      </c>
      <c r="K2164">
        <v>1.7</v>
      </c>
      <c r="L2164">
        <v>1.7</v>
      </c>
      <c r="M2164">
        <v>401</v>
      </c>
      <c r="N2164" t="str">
        <f t="shared" ref="N2164:N2169" si="1092">"IOF/JUROS/DESP.FINANCEIRA"</f>
        <v>IOF/JUROS/DESP.FINANCEIRA</v>
      </c>
      <c r="O2164">
        <v>1.7</v>
      </c>
      <c r="R2164" t="str">
        <f t="shared" ref="R2164:R2169" si="1093">"BANCO CORA (102)"</f>
        <v>BANCO CORA (102)</v>
      </c>
      <c r="S2164">
        <v>1493</v>
      </c>
      <c r="T2164">
        <v>0</v>
      </c>
      <c r="U2164" t="s">
        <v>20</v>
      </c>
    </row>
    <row r="2165" spans="1:21">
      <c r="A2165" t="str">
        <f t="shared" si="1079"/>
        <v>30/04/2025</v>
      </c>
      <c r="B2165" t="str">
        <f t="shared" si="1088"/>
        <v>SAÍDA</v>
      </c>
      <c r="C2165" t="str">
        <f t="shared" si="1089"/>
        <v>JUROS</v>
      </c>
      <c r="D2165" t="str">
        <f>""</f>
        <v/>
      </c>
      <c r="E2165" t="str">
        <f t="shared" si="1090"/>
        <v>CXA</v>
      </c>
      <c r="F2165" t="str">
        <f>""</f>
        <v/>
      </c>
      <c r="G2165" t="str">
        <f t="shared" si="1091"/>
        <v>TAXA BOLETO COMPENSADO</v>
      </c>
      <c r="H2165" t="str">
        <f t="shared" si="1086"/>
        <v>30/04/2025</v>
      </c>
      <c r="I2165" t="str">
        <f t="shared" si="1087"/>
        <v>30/04/2025</v>
      </c>
      <c r="J2165" t="str">
        <f t="shared" si="1082"/>
        <v>30/04/2025</v>
      </c>
      <c r="K2165">
        <v>1.7</v>
      </c>
      <c r="L2165">
        <v>1.7</v>
      </c>
      <c r="M2165">
        <v>401</v>
      </c>
      <c r="N2165" t="str">
        <f t="shared" si="1092"/>
        <v>IOF/JUROS/DESP.FINANCEIRA</v>
      </c>
      <c r="O2165">
        <v>1.7</v>
      </c>
      <c r="R2165" t="str">
        <f t="shared" si="1093"/>
        <v>BANCO CORA (102)</v>
      </c>
      <c r="S2165">
        <v>1494</v>
      </c>
      <c r="T2165">
        <v>0</v>
      </c>
      <c r="U2165" t="s">
        <v>20</v>
      </c>
    </row>
    <row r="2166" spans="1:21">
      <c r="A2166" t="str">
        <f t="shared" si="1079"/>
        <v>30/04/2025</v>
      </c>
      <c r="B2166" t="str">
        <f t="shared" si="1088"/>
        <v>SAÍDA</v>
      </c>
      <c r="C2166" t="str">
        <f t="shared" si="1089"/>
        <v>JUROS</v>
      </c>
      <c r="D2166" t="str">
        <f>""</f>
        <v/>
      </c>
      <c r="E2166" t="str">
        <f t="shared" si="1090"/>
        <v>CXA</v>
      </c>
      <c r="F2166" t="str">
        <f>""</f>
        <v/>
      </c>
      <c r="G2166" t="str">
        <f t="shared" si="1091"/>
        <v>TAXA BOLETO COMPENSADO</v>
      </c>
      <c r="H2166" t="str">
        <f t="shared" si="1086"/>
        <v>30/04/2025</v>
      </c>
      <c r="I2166" t="str">
        <f t="shared" si="1087"/>
        <v>30/04/2025</v>
      </c>
      <c r="J2166" t="str">
        <f t="shared" si="1082"/>
        <v>30/04/2025</v>
      </c>
      <c r="K2166">
        <v>1.7</v>
      </c>
      <c r="L2166">
        <v>1.7</v>
      </c>
      <c r="M2166">
        <v>401</v>
      </c>
      <c r="N2166" t="str">
        <f t="shared" si="1092"/>
        <v>IOF/JUROS/DESP.FINANCEIRA</v>
      </c>
      <c r="O2166">
        <v>1.7</v>
      </c>
      <c r="R2166" t="str">
        <f t="shared" si="1093"/>
        <v>BANCO CORA (102)</v>
      </c>
      <c r="S2166">
        <v>1495</v>
      </c>
      <c r="T2166">
        <v>0</v>
      </c>
      <c r="U2166" t="s">
        <v>20</v>
      </c>
    </row>
    <row r="2167" spans="1:21">
      <c r="A2167" t="str">
        <f t="shared" si="1079"/>
        <v>30/04/2025</v>
      </c>
      <c r="B2167" t="str">
        <f t="shared" si="1088"/>
        <v>SAÍDA</v>
      </c>
      <c r="C2167" t="str">
        <f t="shared" si="1089"/>
        <v>JUROS</v>
      </c>
      <c r="D2167" t="str">
        <f>""</f>
        <v/>
      </c>
      <c r="E2167" t="str">
        <f t="shared" si="1090"/>
        <v>CXA</v>
      </c>
      <c r="F2167" t="str">
        <f>""</f>
        <v/>
      </c>
      <c r="G2167" t="str">
        <f t="shared" si="1091"/>
        <v>TAXA BOLETO COMPENSADO</v>
      </c>
      <c r="H2167" t="str">
        <f t="shared" si="1086"/>
        <v>30/04/2025</v>
      </c>
      <c r="I2167" t="str">
        <f t="shared" si="1087"/>
        <v>30/04/2025</v>
      </c>
      <c r="J2167" t="str">
        <f t="shared" si="1082"/>
        <v>30/04/2025</v>
      </c>
      <c r="K2167">
        <v>1.7</v>
      </c>
      <c r="L2167">
        <v>1.7</v>
      </c>
      <c r="M2167">
        <v>401</v>
      </c>
      <c r="N2167" t="str">
        <f t="shared" si="1092"/>
        <v>IOF/JUROS/DESP.FINANCEIRA</v>
      </c>
      <c r="O2167">
        <v>1.7</v>
      </c>
      <c r="R2167" t="str">
        <f t="shared" si="1093"/>
        <v>BANCO CORA (102)</v>
      </c>
      <c r="S2167">
        <v>1496</v>
      </c>
      <c r="T2167">
        <v>0</v>
      </c>
      <c r="U2167" t="s">
        <v>20</v>
      </c>
    </row>
    <row r="2168" spans="1:21">
      <c r="A2168" t="str">
        <f t="shared" si="1079"/>
        <v>30/04/2025</v>
      </c>
      <c r="B2168" t="str">
        <f t="shared" si="1088"/>
        <v>SAÍDA</v>
      </c>
      <c r="C2168" t="str">
        <f t="shared" si="1089"/>
        <v>JUROS</v>
      </c>
      <c r="D2168" t="str">
        <f>""</f>
        <v/>
      </c>
      <c r="E2168" t="str">
        <f t="shared" si="1090"/>
        <v>CXA</v>
      </c>
      <c r="F2168" t="str">
        <f>""</f>
        <v/>
      </c>
      <c r="G2168" t="str">
        <f t="shared" si="1091"/>
        <v>TAXA BOLETO COMPENSADO</v>
      </c>
      <c r="H2168" t="str">
        <f t="shared" si="1086"/>
        <v>30/04/2025</v>
      </c>
      <c r="I2168" t="str">
        <f t="shared" si="1087"/>
        <v>30/04/2025</v>
      </c>
      <c r="J2168" t="str">
        <f t="shared" si="1082"/>
        <v>30/04/2025</v>
      </c>
      <c r="K2168">
        <v>1.7</v>
      </c>
      <c r="L2168">
        <v>1.7</v>
      </c>
      <c r="M2168">
        <v>401</v>
      </c>
      <c r="N2168" t="str">
        <f t="shared" si="1092"/>
        <v>IOF/JUROS/DESP.FINANCEIRA</v>
      </c>
      <c r="O2168">
        <v>1.7</v>
      </c>
      <c r="R2168" t="str">
        <f t="shared" si="1093"/>
        <v>BANCO CORA (102)</v>
      </c>
      <c r="S2168">
        <v>1497</v>
      </c>
      <c r="T2168">
        <v>0</v>
      </c>
      <c r="U2168" t="s">
        <v>20</v>
      </c>
    </row>
    <row r="2169" spans="1:21">
      <c r="A2169" t="str">
        <f t="shared" si="1079"/>
        <v>30/04/2025</v>
      </c>
      <c r="B2169" t="str">
        <f t="shared" si="1088"/>
        <v>SAÍDA</v>
      </c>
      <c r="C2169" t="str">
        <f t="shared" si="1089"/>
        <v>JUROS</v>
      </c>
      <c r="D2169" t="str">
        <f>""</f>
        <v/>
      </c>
      <c r="E2169" t="str">
        <f t="shared" si="1090"/>
        <v>CXA</v>
      </c>
      <c r="F2169" t="str">
        <f>""</f>
        <v/>
      </c>
      <c r="G2169" t="str">
        <f t="shared" si="1091"/>
        <v>TAXA BOLETO COMPENSADO</v>
      </c>
      <c r="H2169" t="str">
        <f t="shared" si="1086"/>
        <v>30/04/2025</v>
      </c>
      <c r="I2169" t="str">
        <f t="shared" si="1087"/>
        <v>30/04/2025</v>
      </c>
      <c r="J2169" t="str">
        <f t="shared" si="1082"/>
        <v>30/04/2025</v>
      </c>
      <c r="K2169">
        <v>1.7</v>
      </c>
      <c r="L2169">
        <v>1.7</v>
      </c>
      <c r="M2169">
        <v>401</v>
      </c>
      <c r="N2169" t="str">
        <f t="shared" si="1092"/>
        <v>IOF/JUROS/DESP.FINANCEIRA</v>
      </c>
      <c r="O2169">
        <v>1.7</v>
      </c>
      <c r="R2169" t="str">
        <f t="shared" si="1093"/>
        <v>BANCO CORA (102)</v>
      </c>
      <c r="S2169">
        <v>1498</v>
      </c>
      <c r="T2169">
        <v>0</v>
      </c>
      <c r="U2169" t="s">
        <v>20</v>
      </c>
    </row>
    <row r="2170" spans="1:21">
      <c r="A2170" t="str">
        <f t="shared" si="1079"/>
        <v>30/04/2025</v>
      </c>
      <c r="B2170" t="str">
        <f>"ENTRADA"</f>
        <v>ENTRADA</v>
      </c>
      <c r="C2170" t="str">
        <f>"BOLETO"</f>
        <v>BOLETO</v>
      </c>
      <c r="D2170" t="str">
        <f>"3004252000"</f>
        <v>3004252000</v>
      </c>
      <c r="E2170" t="str">
        <f t="shared" ref="E2170:E2193" si="1094">"COM"</f>
        <v>COM</v>
      </c>
      <c r="F2170" t="str">
        <f>"VAZ (10179)"</f>
        <v>VAZ (10179)</v>
      </c>
      <c r="G2170" t="str">
        <f>"PAGAMENTO SETUP"</f>
        <v>PAGAMENTO SETUP</v>
      </c>
      <c r="H2170" t="str">
        <f t="shared" si="1086"/>
        <v>30/04/2025</v>
      </c>
      <c r="I2170" t="str">
        <f t="shared" si="1087"/>
        <v>30/04/2025</v>
      </c>
      <c r="J2170" t="str">
        <f t="shared" si="1082"/>
        <v>30/04/2025</v>
      </c>
      <c r="K2170">
        <v>2000</v>
      </c>
      <c r="L2170">
        <v>2000</v>
      </c>
      <c r="M2170">
        <v>117</v>
      </c>
      <c r="N2170" t="str">
        <f>"RECEITAS COM SETUP"</f>
        <v>RECEITAS COM SETUP</v>
      </c>
      <c r="O2170">
        <v>2000</v>
      </c>
      <c r="R2170" t="str">
        <f>"RECEITAS COM SETUP (117)"</f>
        <v>RECEITAS COM SETUP (117)</v>
      </c>
      <c r="S2170">
        <v>1730</v>
      </c>
      <c r="T2170">
        <v>1295</v>
      </c>
      <c r="U2170" t="s">
        <v>19</v>
      </c>
    </row>
    <row r="2171" spans="1:21">
      <c r="A2171" t="str">
        <f t="shared" si="1079"/>
        <v>30/04/2025</v>
      </c>
      <c r="B2171" t="str">
        <f>"SAÍDA"</f>
        <v>SAÍDA</v>
      </c>
      <c r="C2171" t="str">
        <f>"BOLETO"</f>
        <v>BOLETO</v>
      </c>
      <c r="D2171" t="str">
        <f>"3004252000"</f>
        <v>3004252000</v>
      </c>
      <c r="E2171" t="str">
        <f t="shared" si="1094"/>
        <v>COM</v>
      </c>
      <c r="F2171" t="str">
        <f>"VAZ (10179)"</f>
        <v>VAZ (10179)</v>
      </c>
      <c r="G2171" t="str">
        <f>"PAGAMENTO SETUP"</f>
        <v>PAGAMENTO SETUP</v>
      </c>
      <c r="H2171" t="str">
        <f t="shared" si="1086"/>
        <v>30/04/2025</v>
      </c>
      <c r="I2171" t="str">
        <f t="shared" si="1087"/>
        <v>30/04/2025</v>
      </c>
      <c r="J2171" t="str">
        <f t="shared" si="1082"/>
        <v>30/04/2025</v>
      </c>
      <c r="M2171">
        <v>117</v>
      </c>
      <c r="N2171" t="str">
        <f>"RECEITAS COM SETUP"</f>
        <v>RECEITAS COM SETUP</v>
      </c>
      <c r="P2171">
        <v>2000</v>
      </c>
      <c r="Q2171" t="str">
        <f>"VAZ (10179)"</f>
        <v>VAZ (10179)</v>
      </c>
      <c r="R2171" t="str">
        <f>"RECEITAS COM SETUP (117)"</f>
        <v>RECEITAS COM SETUP (117)</v>
      </c>
      <c r="S2171">
        <v>1730</v>
      </c>
      <c r="T2171">
        <v>1295</v>
      </c>
      <c r="U2171" t="s">
        <v>19</v>
      </c>
    </row>
    <row r="2172" spans="1:21">
      <c r="A2172" t="str">
        <f t="shared" si="1079"/>
        <v>30/04/2025</v>
      </c>
      <c r="B2172" t="str">
        <f>"ENTRADA"</f>
        <v>ENTRADA</v>
      </c>
      <c r="C2172" t="str">
        <f t="shared" ref="C2172:C2189" si="1095">"NFSE"</f>
        <v>NFSE</v>
      </c>
      <c r="D2172" t="str">
        <f>"2927"</f>
        <v>2927</v>
      </c>
      <c r="E2172" t="str">
        <f t="shared" si="1094"/>
        <v>COM</v>
      </c>
      <c r="F2172" t="str">
        <f>"DELTA LOJA 2 (10123)"</f>
        <v>DELTA LOJA 2 (10123)</v>
      </c>
      <c r="G2172" t="str">
        <f>"Serv.Prest. 21/04/2025 a 27/04/2025 - RPS: 698 - NFSe: 2927"</f>
        <v>Serv.Prest. 21/04/2025 a 27/04/2025 - RPS: 698 - NFSe: 2927</v>
      </c>
      <c r="H2172" t="str">
        <f t="shared" si="1086"/>
        <v>30/04/2025</v>
      </c>
      <c r="I2172" t="str">
        <f t="shared" ref="I2172:I2183" si="1096">("28/04/2025")</f>
        <v>28/04/2025</v>
      </c>
      <c r="J2172" t="str">
        <f t="shared" si="1082"/>
        <v>30/04/2025</v>
      </c>
      <c r="K2172">
        <v>480.48</v>
      </c>
      <c r="L2172">
        <v>480.48</v>
      </c>
      <c r="M2172">
        <v>303</v>
      </c>
      <c r="N2172" t="str">
        <f t="shared" ref="N2172:N2189" si="1097">"RECEITAS COM ENTREGAS"</f>
        <v>RECEITAS COM ENTREGAS</v>
      </c>
      <c r="O2172">
        <v>480.48</v>
      </c>
      <c r="R2172" t="str">
        <f t="shared" ref="R2172:R2189" si="1098">"RECEITAS COM ENTREGAS (303)"</f>
        <v>RECEITAS COM ENTREGAS (303)</v>
      </c>
      <c r="S2172">
        <v>1767</v>
      </c>
      <c r="T2172">
        <v>1119</v>
      </c>
      <c r="U2172" t="s">
        <v>19</v>
      </c>
    </row>
    <row r="2173" spans="1:21">
      <c r="A2173" t="str">
        <f t="shared" si="1079"/>
        <v>30/04/2025</v>
      </c>
      <c r="B2173" t="str">
        <f t="shared" ref="B2173:B2189" si="1099">"ENTRADA"</f>
        <v>ENTRADA</v>
      </c>
      <c r="C2173" t="str">
        <f t="shared" si="1095"/>
        <v>NFSE</v>
      </c>
      <c r="D2173" t="str">
        <f>"2927"</f>
        <v>2927</v>
      </c>
      <c r="E2173" t="str">
        <f t="shared" si="1094"/>
        <v>COM</v>
      </c>
      <c r="F2173" t="str">
        <f>"DELTA LOJA 2 (10123)"</f>
        <v>DELTA LOJA 2 (10123)</v>
      </c>
      <c r="G2173" t="str">
        <f>"Serv.Prest. 21/04/2025 a 27/04/2025 - RPS: 698 - NFSe: 2927"</f>
        <v>Serv.Prest. 21/04/2025 a 27/04/2025 - RPS: 698 - NFSe: 2927</v>
      </c>
      <c r="H2173" t="str">
        <f t="shared" si="1086"/>
        <v>30/04/2025</v>
      </c>
      <c r="I2173" t="str">
        <f t="shared" si="1096"/>
        <v>28/04/2025</v>
      </c>
      <c r="J2173" t="str">
        <f t="shared" si="1082"/>
        <v>30/04/2025</v>
      </c>
      <c r="M2173">
        <v>303</v>
      </c>
      <c r="N2173" t="str">
        <f t="shared" si="1097"/>
        <v>RECEITAS COM ENTREGAS</v>
      </c>
      <c r="P2173">
        <v>480.48</v>
      </c>
      <c r="Q2173" t="str">
        <f>"DELTA LOJA 2 (10123)"</f>
        <v>DELTA LOJA 2 (10123)</v>
      </c>
      <c r="R2173" t="str">
        <f t="shared" si="1098"/>
        <v>RECEITAS COM ENTREGAS (303)</v>
      </c>
      <c r="S2173">
        <v>1767</v>
      </c>
      <c r="T2173">
        <v>1119</v>
      </c>
      <c r="U2173" t="s">
        <v>19</v>
      </c>
    </row>
    <row r="2174" spans="1:21">
      <c r="A2174" t="str">
        <f t="shared" ref="A2174:A2201" si="1100">("02/05/2025")</f>
        <v>02/05/2025</v>
      </c>
      <c r="B2174" t="str">
        <f t="shared" si="1099"/>
        <v>ENTRADA</v>
      </c>
      <c r="C2174" t="str">
        <f t="shared" si="1095"/>
        <v>NFSE</v>
      </c>
      <c r="D2174" t="str">
        <f>"2928"</f>
        <v>2928</v>
      </c>
      <c r="E2174" t="str">
        <f t="shared" si="1094"/>
        <v>COM</v>
      </c>
      <c r="F2174" t="str">
        <f>"DROGA ELIDA (10121)"</f>
        <v>DROGA ELIDA (10121)</v>
      </c>
      <c r="G2174" t="str">
        <f>"Serv.Prest. 21/04/2025 a 27/04/2025 - RPS: 699 - NFSe: 2928"</f>
        <v>Serv.Prest. 21/04/2025 a 27/04/2025 - RPS: 699 - NFSe: 2928</v>
      </c>
      <c r="H2174" t="str">
        <f t="shared" si="1086"/>
        <v>30/04/2025</v>
      </c>
      <c r="I2174" t="str">
        <f t="shared" si="1096"/>
        <v>28/04/2025</v>
      </c>
      <c r="J2174" t="str">
        <f t="shared" ref="J2174:J2201" si="1101">("02/05/2025")</f>
        <v>02/05/2025</v>
      </c>
      <c r="K2174">
        <v>350.4</v>
      </c>
      <c r="L2174">
        <v>350.4</v>
      </c>
      <c r="M2174">
        <v>303</v>
      </c>
      <c r="N2174" t="str">
        <f t="shared" si="1097"/>
        <v>RECEITAS COM ENTREGAS</v>
      </c>
      <c r="O2174">
        <v>350.4</v>
      </c>
      <c r="R2174" t="str">
        <f t="shared" si="1098"/>
        <v>RECEITAS COM ENTREGAS (303)</v>
      </c>
      <c r="S2174">
        <v>1410</v>
      </c>
      <c r="T2174">
        <v>1120</v>
      </c>
      <c r="U2174" t="s">
        <v>19</v>
      </c>
    </row>
    <row r="2175" spans="1:21">
      <c r="A2175" t="str">
        <f t="shared" si="1100"/>
        <v>02/05/2025</v>
      </c>
      <c r="B2175" t="str">
        <f t="shared" si="1099"/>
        <v>ENTRADA</v>
      </c>
      <c r="C2175" t="str">
        <f t="shared" si="1095"/>
        <v>NFSE</v>
      </c>
      <c r="D2175" t="str">
        <f>"2928"</f>
        <v>2928</v>
      </c>
      <c r="E2175" t="str">
        <f t="shared" si="1094"/>
        <v>COM</v>
      </c>
      <c r="F2175" t="str">
        <f>"DROGA ELIDA (10121)"</f>
        <v>DROGA ELIDA (10121)</v>
      </c>
      <c r="G2175" t="str">
        <f>"Serv.Prest. 21/04/2025 a 27/04/2025 - RPS: 699 - NFSe: 2928"</f>
        <v>Serv.Prest. 21/04/2025 a 27/04/2025 - RPS: 699 - NFSe: 2928</v>
      </c>
      <c r="H2175" t="str">
        <f t="shared" si="1086"/>
        <v>30/04/2025</v>
      </c>
      <c r="I2175" t="str">
        <f t="shared" si="1096"/>
        <v>28/04/2025</v>
      </c>
      <c r="J2175" t="str">
        <f t="shared" si="1101"/>
        <v>02/05/2025</v>
      </c>
      <c r="M2175">
        <v>303</v>
      </c>
      <c r="N2175" t="str">
        <f t="shared" si="1097"/>
        <v>RECEITAS COM ENTREGAS</v>
      </c>
      <c r="P2175">
        <v>350.4</v>
      </c>
      <c r="Q2175" t="str">
        <f>"DROGA ELIDA (10121)"</f>
        <v>DROGA ELIDA (10121)</v>
      </c>
      <c r="R2175" t="str">
        <f t="shared" si="1098"/>
        <v>RECEITAS COM ENTREGAS (303)</v>
      </c>
      <c r="S2175">
        <v>1410</v>
      </c>
      <c r="T2175">
        <v>1120</v>
      </c>
      <c r="U2175" t="s">
        <v>19</v>
      </c>
    </row>
    <row r="2176" spans="1:21">
      <c r="A2176" t="str">
        <f t="shared" si="1100"/>
        <v>02/05/2025</v>
      </c>
      <c r="B2176" t="str">
        <f t="shared" si="1099"/>
        <v>ENTRADA</v>
      </c>
      <c r="C2176" t="str">
        <f t="shared" si="1095"/>
        <v>NFSE</v>
      </c>
      <c r="D2176" t="str">
        <f>"2930"</f>
        <v>2930</v>
      </c>
      <c r="E2176" t="str">
        <f t="shared" si="1094"/>
        <v>COM</v>
      </c>
      <c r="F2176" t="str">
        <f>"FARMACIA ECONOMIZE (10103)"</f>
        <v>FARMACIA ECONOMIZE (10103)</v>
      </c>
      <c r="G2176" t="str">
        <f>"Serv.Prest. 21/04/2025 a 27/04/2025 - RPS: 701 - NFSe: 2930"</f>
        <v>Serv.Prest. 21/04/2025 a 27/04/2025 - RPS: 701 - NFSe: 2930</v>
      </c>
      <c r="H2176" t="str">
        <f t="shared" si="1086"/>
        <v>30/04/2025</v>
      </c>
      <c r="I2176" t="str">
        <f t="shared" si="1096"/>
        <v>28/04/2025</v>
      </c>
      <c r="J2176" t="str">
        <f t="shared" si="1101"/>
        <v>02/05/2025</v>
      </c>
      <c r="K2176">
        <v>107.44</v>
      </c>
      <c r="L2176">
        <v>107.44</v>
      </c>
      <c r="M2176">
        <v>303</v>
      </c>
      <c r="N2176" t="str">
        <f t="shared" si="1097"/>
        <v>RECEITAS COM ENTREGAS</v>
      </c>
      <c r="O2176">
        <v>107.44</v>
      </c>
      <c r="R2176" t="str">
        <f t="shared" si="1098"/>
        <v>RECEITAS COM ENTREGAS (303)</v>
      </c>
      <c r="S2176">
        <v>1411</v>
      </c>
      <c r="T2176">
        <v>1122</v>
      </c>
      <c r="U2176" t="s">
        <v>19</v>
      </c>
    </row>
    <row r="2177" spans="1:21">
      <c r="A2177" t="str">
        <f t="shared" si="1100"/>
        <v>02/05/2025</v>
      </c>
      <c r="B2177" t="str">
        <f t="shared" si="1099"/>
        <v>ENTRADA</v>
      </c>
      <c r="C2177" t="str">
        <f t="shared" si="1095"/>
        <v>NFSE</v>
      </c>
      <c r="D2177" t="str">
        <f>"2930"</f>
        <v>2930</v>
      </c>
      <c r="E2177" t="str">
        <f t="shared" si="1094"/>
        <v>COM</v>
      </c>
      <c r="F2177" t="str">
        <f>"FARMACIA ECONOMIZE (10103)"</f>
        <v>FARMACIA ECONOMIZE (10103)</v>
      </c>
      <c r="G2177" t="str">
        <f>"Serv.Prest. 21/04/2025 a 27/04/2025 - RPS: 701 - NFSe: 2930"</f>
        <v>Serv.Prest. 21/04/2025 a 27/04/2025 - RPS: 701 - NFSe: 2930</v>
      </c>
      <c r="H2177" t="str">
        <f t="shared" si="1086"/>
        <v>30/04/2025</v>
      </c>
      <c r="I2177" t="str">
        <f t="shared" si="1096"/>
        <v>28/04/2025</v>
      </c>
      <c r="J2177" t="str">
        <f t="shared" si="1101"/>
        <v>02/05/2025</v>
      </c>
      <c r="M2177">
        <v>303</v>
      </c>
      <c r="N2177" t="str">
        <f t="shared" si="1097"/>
        <v>RECEITAS COM ENTREGAS</v>
      </c>
      <c r="P2177">
        <v>107.44</v>
      </c>
      <c r="Q2177" t="str">
        <f>"FARMACIA ECONOMIZE (10103)"</f>
        <v>FARMACIA ECONOMIZE (10103)</v>
      </c>
      <c r="R2177" t="str">
        <f t="shared" si="1098"/>
        <v>RECEITAS COM ENTREGAS (303)</v>
      </c>
      <c r="S2177">
        <v>1411</v>
      </c>
      <c r="T2177">
        <v>1122</v>
      </c>
      <c r="U2177" t="s">
        <v>19</v>
      </c>
    </row>
    <row r="2178" spans="1:21">
      <c r="A2178" t="str">
        <f t="shared" si="1100"/>
        <v>02/05/2025</v>
      </c>
      <c r="B2178" t="str">
        <f t="shared" si="1099"/>
        <v>ENTRADA</v>
      </c>
      <c r="C2178" t="str">
        <f t="shared" si="1095"/>
        <v>NFSE</v>
      </c>
      <c r="D2178" t="str">
        <f>"2932"</f>
        <v>2932</v>
      </c>
      <c r="E2178" t="str">
        <f t="shared" si="1094"/>
        <v>COM</v>
      </c>
      <c r="F2178" t="str">
        <f>"ENTREFARMA (10164)"</f>
        <v>ENTREFARMA (10164)</v>
      </c>
      <c r="G2178" t="str">
        <f>"Serv.Prest. 21/04/2025 a 27/04/2025 - RPS: 703 - NFSe: 2932"</f>
        <v>Serv.Prest. 21/04/2025 a 27/04/2025 - RPS: 703 - NFSe: 2932</v>
      </c>
      <c r="H2178" t="str">
        <f t="shared" si="1086"/>
        <v>30/04/2025</v>
      </c>
      <c r="I2178" t="str">
        <f t="shared" si="1096"/>
        <v>28/04/2025</v>
      </c>
      <c r="J2178" t="str">
        <f t="shared" si="1101"/>
        <v>02/05/2025</v>
      </c>
      <c r="K2178">
        <v>850</v>
      </c>
      <c r="L2178">
        <v>850</v>
      </c>
      <c r="M2178">
        <v>303</v>
      </c>
      <c r="N2178" t="str">
        <f t="shared" si="1097"/>
        <v>RECEITAS COM ENTREGAS</v>
      </c>
      <c r="O2178">
        <v>850</v>
      </c>
      <c r="R2178" t="str">
        <f t="shared" si="1098"/>
        <v>RECEITAS COM ENTREGAS (303)</v>
      </c>
      <c r="S2178">
        <v>1412</v>
      </c>
      <c r="T2178">
        <v>1124</v>
      </c>
      <c r="U2178" t="s">
        <v>19</v>
      </c>
    </row>
    <row r="2179" spans="1:21">
      <c r="A2179" t="str">
        <f t="shared" si="1100"/>
        <v>02/05/2025</v>
      </c>
      <c r="B2179" t="str">
        <f t="shared" si="1099"/>
        <v>ENTRADA</v>
      </c>
      <c r="C2179" t="str">
        <f t="shared" si="1095"/>
        <v>NFSE</v>
      </c>
      <c r="D2179" t="str">
        <f>"2932"</f>
        <v>2932</v>
      </c>
      <c r="E2179" t="str">
        <f t="shared" si="1094"/>
        <v>COM</v>
      </c>
      <c r="F2179" t="str">
        <f>"ENTREFARMA (10164)"</f>
        <v>ENTREFARMA (10164)</v>
      </c>
      <c r="G2179" t="str">
        <f>"Serv.Prest. 21/04/2025 a 27/04/2025 - RPS: 703 - NFSe: 2932"</f>
        <v>Serv.Prest. 21/04/2025 a 27/04/2025 - RPS: 703 - NFSe: 2932</v>
      </c>
      <c r="H2179" t="str">
        <f t="shared" si="1086"/>
        <v>30/04/2025</v>
      </c>
      <c r="I2179" t="str">
        <f t="shared" si="1096"/>
        <v>28/04/2025</v>
      </c>
      <c r="J2179" t="str">
        <f t="shared" si="1101"/>
        <v>02/05/2025</v>
      </c>
      <c r="M2179">
        <v>303</v>
      </c>
      <c r="N2179" t="str">
        <f t="shared" si="1097"/>
        <v>RECEITAS COM ENTREGAS</v>
      </c>
      <c r="P2179">
        <v>850</v>
      </c>
      <c r="Q2179" t="str">
        <f>"ENTREFARMA (10164)"</f>
        <v>ENTREFARMA (10164)</v>
      </c>
      <c r="R2179" t="str">
        <f t="shared" si="1098"/>
        <v>RECEITAS COM ENTREGAS (303)</v>
      </c>
      <c r="S2179">
        <v>1412</v>
      </c>
      <c r="T2179">
        <v>1124</v>
      </c>
      <c r="U2179" t="s">
        <v>19</v>
      </c>
    </row>
    <row r="2180" spans="1:21">
      <c r="A2180" t="str">
        <f t="shared" si="1100"/>
        <v>02/05/2025</v>
      </c>
      <c r="B2180" t="str">
        <f t="shared" si="1099"/>
        <v>ENTRADA</v>
      </c>
      <c r="C2180" t="str">
        <f t="shared" si="1095"/>
        <v>NFSE</v>
      </c>
      <c r="D2180" t="str">
        <f>"2933"</f>
        <v>2933</v>
      </c>
      <c r="E2180" t="str">
        <f t="shared" si="1094"/>
        <v>COM</v>
      </c>
      <c r="F2180" t="str">
        <f>"ROSA MARIA LTDA (10165)"</f>
        <v>ROSA MARIA LTDA (10165)</v>
      </c>
      <c r="G2180" t="str">
        <f>"Serv.Prest. 21/04/2025 a 27/04/2025 - RPS: 704 - NFSe: 2933"</f>
        <v>Serv.Prest. 21/04/2025 a 27/04/2025 - RPS: 704 - NFSe: 2933</v>
      </c>
      <c r="H2180" t="str">
        <f t="shared" si="1086"/>
        <v>30/04/2025</v>
      </c>
      <c r="I2180" t="str">
        <f t="shared" si="1096"/>
        <v>28/04/2025</v>
      </c>
      <c r="J2180" t="str">
        <f t="shared" si="1101"/>
        <v>02/05/2025</v>
      </c>
      <c r="K2180">
        <v>179.52</v>
      </c>
      <c r="L2180">
        <v>179.52</v>
      </c>
      <c r="M2180">
        <v>303</v>
      </c>
      <c r="N2180" t="str">
        <f t="shared" si="1097"/>
        <v>RECEITAS COM ENTREGAS</v>
      </c>
      <c r="O2180">
        <v>179.52</v>
      </c>
      <c r="R2180" t="str">
        <f t="shared" si="1098"/>
        <v>RECEITAS COM ENTREGAS (303)</v>
      </c>
      <c r="S2180">
        <v>1413</v>
      </c>
      <c r="T2180">
        <v>1125</v>
      </c>
      <c r="U2180" t="s">
        <v>19</v>
      </c>
    </row>
    <row r="2181" spans="1:21">
      <c r="A2181" t="str">
        <f t="shared" si="1100"/>
        <v>02/05/2025</v>
      </c>
      <c r="B2181" t="str">
        <f t="shared" si="1099"/>
        <v>ENTRADA</v>
      </c>
      <c r="C2181" t="str">
        <f t="shared" si="1095"/>
        <v>NFSE</v>
      </c>
      <c r="D2181" t="str">
        <f>"2933"</f>
        <v>2933</v>
      </c>
      <c r="E2181" t="str">
        <f t="shared" si="1094"/>
        <v>COM</v>
      </c>
      <c r="F2181" t="str">
        <f>"ROSA MARIA LTDA (10165)"</f>
        <v>ROSA MARIA LTDA (10165)</v>
      </c>
      <c r="G2181" t="str">
        <f>"Serv.Prest. 21/04/2025 a 27/04/2025 - RPS: 704 - NFSe: 2933"</f>
        <v>Serv.Prest. 21/04/2025 a 27/04/2025 - RPS: 704 - NFSe: 2933</v>
      </c>
      <c r="H2181" t="str">
        <f t="shared" si="1086"/>
        <v>30/04/2025</v>
      </c>
      <c r="I2181" t="str">
        <f t="shared" si="1096"/>
        <v>28/04/2025</v>
      </c>
      <c r="J2181" t="str">
        <f t="shared" si="1101"/>
        <v>02/05/2025</v>
      </c>
      <c r="M2181">
        <v>303</v>
      </c>
      <c r="N2181" t="str">
        <f t="shared" si="1097"/>
        <v>RECEITAS COM ENTREGAS</v>
      </c>
      <c r="P2181">
        <v>179.52</v>
      </c>
      <c r="Q2181" t="str">
        <f>"ROSA MARIA LTDA (10170)"</f>
        <v>ROSA MARIA LTDA (10170)</v>
      </c>
      <c r="R2181" t="str">
        <f t="shared" si="1098"/>
        <v>RECEITAS COM ENTREGAS (303)</v>
      </c>
      <c r="S2181">
        <v>1413</v>
      </c>
      <c r="T2181">
        <v>1125</v>
      </c>
      <c r="U2181" t="s">
        <v>19</v>
      </c>
    </row>
    <row r="2182" spans="1:21">
      <c r="A2182" t="str">
        <f t="shared" si="1100"/>
        <v>02/05/2025</v>
      </c>
      <c r="B2182" t="str">
        <f t="shared" si="1099"/>
        <v>ENTRADA</v>
      </c>
      <c r="C2182" t="str">
        <f t="shared" si="1095"/>
        <v>NFSE</v>
      </c>
      <c r="D2182" t="str">
        <f>"2935"</f>
        <v>2935</v>
      </c>
      <c r="E2182" t="str">
        <f t="shared" si="1094"/>
        <v>COM</v>
      </c>
      <c r="F2182" t="str">
        <f>"DROGA MONICA LJ 3 (10152)"</f>
        <v>DROGA MONICA LJ 3 (10152)</v>
      </c>
      <c r="G2182" t="str">
        <f>"Serv.Prest. 21/04/2025 a 27/04/2025 - RPS: 706 - NFSe: 2935"</f>
        <v>Serv.Prest. 21/04/2025 a 27/04/2025 - RPS: 706 - NFSe: 2935</v>
      </c>
      <c r="H2182" t="str">
        <f t="shared" si="1086"/>
        <v>30/04/2025</v>
      </c>
      <c r="I2182" t="str">
        <f t="shared" si="1096"/>
        <v>28/04/2025</v>
      </c>
      <c r="J2182" t="str">
        <f t="shared" si="1101"/>
        <v>02/05/2025</v>
      </c>
      <c r="K2182">
        <v>206.4</v>
      </c>
      <c r="L2182">
        <v>206.4</v>
      </c>
      <c r="M2182">
        <v>303</v>
      </c>
      <c r="N2182" t="str">
        <f t="shared" si="1097"/>
        <v>RECEITAS COM ENTREGAS</v>
      </c>
      <c r="O2182">
        <v>206.4</v>
      </c>
      <c r="R2182" t="str">
        <f t="shared" si="1098"/>
        <v>RECEITAS COM ENTREGAS (303)</v>
      </c>
      <c r="S2182">
        <v>1414</v>
      </c>
      <c r="T2182">
        <v>1127</v>
      </c>
      <c r="U2182" t="s">
        <v>19</v>
      </c>
    </row>
    <row r="2183" spans="1:21">
      <c r="A2183" t="str">
        <f t="shared" si="1100"/>
        <v>02/05/2025</v>
      </c>
      <c r="B2183" t="str">
        <f t="shared" si="1099"/>
        <v>ENTRADA</v>
      </c>
      <c r="C2183" t="str">
        <f t="shared" si="1095"/>
        <v>NFSE</v>
      </c>
      <c r="D2183" t="str">
        <f>"2935"</f>
        <v>2935</v>
      </c>
      <c r="E2183" t="str">
        <f t="shared" si="1094"/>
        <v>COM</v>
      </c>
      <c r="F2183" t="str">
        <f>"DROGA MONICA LJ 3 (10152)"</f>
        <v>DROGA MONICA LJ 3 (10152)</v>
      </c>
      <c r="G2183" t="str">
        <f>"Serv.Prest. 21/04/2025 a 27/04/2025 - RPS: 706 - NFSe: 2935"</f>
        <v>Serv.Prest. 21/04/2025 a 27/04/2025 - RPS: 706 - NFSe: 2935</v>
      </c>
      <c r="H2183" t="str">
        <f t="shared" si="1086"/>
        <v>30/04/2025</v>
      </c>
      <c r="I2183" t="str">
        <f t="shared" si="1096"/>
        <v>28/04/2025</v>
      </c>
      <c r="J2183" t="str">
        <f t="shared" si="1101"/>
        <v>02/05/2025</v>
      </c>
      <c r="M2183">
        <v>303</v>
      </c>
      <c r="N2183" t="str">
        <f t="shared" si="1097"/>
        <v>RECEITAS COM ENTREGAS</v>
      </c>
      <c r="P2183">
        <v>206.4</v>
      </c>
      <c r="Q2183" t="str">
        <f>"DROGA MONICA LJ 3 (10152)"</f>
        <v>DROGA MONICA LJ 3 (10152)</v>
      </c>
      <c r="R2183" t="str">
        <f t="shared" si="1098"/>
        <v>RECEITAS COM ENTREGAS (303)</v>
      </c>
      <c r="S2183">
        <v>1414</v>
      </c>
      <c r="T2183">
        <v>1127</v>
      </c>
      <c r="U2183" t="s">
        <v>19</v>
      </c>
    </row>
    <row r="2184" spans="1:21">
      <c r="A2184" t="str">
        <f t="shared" si="1100"/>
        <v>02/05/2025</v>
      </c>
      <c r="B2184" t="str">
        <f t="shared" si="1099"/>
        <v>ENTRADA</v>
      </c>
      <c r="C2184" t="str">
        <f t="shared" si="1095"/>
        <v>NFSE</v>
      </c>
      <c r="D2184" t="str">
        <f>"2941"</f>
        <v>2941</v>
      </c>
      <c r="E2184" t="str">
        <f t="shared" si="1094"/>
        <v>COM</v>
      </c>
      <c r="F2184" t="str">
        <f>"DROGARIA MEDIC CENTER LTDA (10172)"</f>
        <v>DROGARIA MEDIC CENTER LTDA (10172)</v>
      </c>
      <c r="G2184" t="str">
        <f>"Serv.Prest. 21/04/2025 a 27/04/2025 - RPS: 712 - NFSe: 2941"</f>
        <v>Serv.Prest. 21/04/2025 a 27/04/2025 - RPS: 712 - NFSe: 2941</v>
      </c>
      <c r="H2184" t="str">
        <f t="shared" si="1086"/>
        <v>30/04/2025</v>
      </c>
      <c r="I2184" t="str">
        <f t="shared" ref="I2184:I2189" si="1102">("29/04/2025")</f>
        <v>29/04/2025</v>
      </c>
      <c r="J2184" t="str">
        <f t="shared" si="1101"/>
        <v>02/05/2025</v>
      </c>
      <c r="K2184">
        <v>319.68</v>
      </c>
      <c r="L2184">
        <v>319.68</v>
      </c>
      <c r="M2184">
        <v>303</v>
      </c>
      <c r="N2184" t="str">
        <f t="shared" si="1097"/>
        <v>RECEITAS COM ENTREGAS</v>
      </c>
      <c r="O2184">
        <v>319.68</v>
      </c>
      <c r="R2184" t="str">
        <f t="shared" si="1098"/>
        <v>RECEITAS COM ENTREGAS (303)</v>
      </c>
      <c r="S2184">
        <v>1415</v>
      </c>
      <c r="T2184">
        <v>1133</v>
      </c>
      <c r="U2184" t="s">
        <v>19</v>
      </c>
    </row>
    <row r="2185" spans="1:21">
      <c r="A2185" t="str">
        <f t="shared" si="1100"/>
        <v>02/05/2025</v>
      </c>
      <c r="B2185" t="str">
        <f t="shared" si="1099"/>
        <v>ENTRADA</v>
      </c>
      <c r="C2185" t="str">
        <f t="shared" si="1095"/>
        <v>NFSE</v>
      </c>
      <c r="D2185" t="str">
        <f>"2941"</f>
        <v>2941</v>
      </c>
      <c r="E2185" t="str">
        <f t="shared" si="1094"/>
        <v>COM</v>
      </c>
      <c r="F2185" t="str">
        <f>"DROGARIA MEDIC CENTER LTDA (10172)"</f>
        <v>DROGARIA MEDIC CENTER LTDA (10172)</v>
      </c>
      <c r="G2185" t="str">
        <f>"Serv.Prest. 21/04/2025 a 27/04/2025 - RPS: 712 - NFSe: 2941"</f>
        <v>Serv.Prest. 21/04/2025 a 27/04/2025 - RPS: 712 - NFSe: 2941</v>
      </c>
      <c r="H2185" t="str">
        <f t="shared" si="1086"/>
        <v>30/04/2025</v>
      </c>
      <c r="I2185" t="str">
        <f t="shared" si="1102"/>
        <v>29/04/2025</v>
      </c>
      <c r="J2185" t="str">
        <f t="shared" si="1101"/>
        <v>02/05/2025</v>
      </c>
      <c r="M2185">
        <v>303</v>
      </c>
      <c r="N2185" t="str">
        <f t="shared" si="1097"/>
        <v>RECEITAS COM ENTREGAS</v>
      </c>
      <c r="P2185">
        <v>319.68</v>
      </c>
      <c r="Q2185" t="str">
        <f>"DROGARIA MEDIC CENTER LTDA (10172)"</f>
        <v>DROGARIA MEDIC CENTER LTDA (10172)</v>
      </c>
      <c r="R2185" t="str">
        <f t="shared" si="1098"/>
        <v>RECEITAS COM ENTREGAS (303)</v>
      </c>
      <c r="S2185">
        <v>1415</v>
      </c>
      <c r="T2185">
        <v>1133</v>
      </c>
      <c r="U2185" t="s">
        <v>19</v>
      </c>
    </row>
    <row r="2186" spans="1:21">
      <c r="A2186" t="str">
        <f t="shared" si="1100"/>
        <v>02/05/2025</v>
      </c>
      <c r="B2186" t="str">
        <f t="shared" si="1099"/>
        <v>ENTRADA</v>
      </c>
      <c r="C2186" t="str">
        <f t="shared" si="1095"/>
        <v>NFSE</v>
      </c>
      <c r="D2186" t="str">
        <f>"2942"</f>
        <v>2942</v>
      </c>
      <c r="E2186" t="str">
        <f t="shared" si="1094"/>
        <v>COM</v>
      </c>
      <c r="F2186" t="str">
        <f>"DROGARIA MORENO LTDA (10171)"</f>
        <v>DROGARIA MORENO LTDA (10171)</v>
      </c>
      <c r="G2186" t="str">
        <f>"Serv.Prest. 21/04/2025 a 27/04/2025 - RPS: 713 - NFSe: 2942"</f>
        <v>Serv.Prest. 21/04/2025 a 27/04/2025 - RPS: 713 - NFSe: 2942</v>
      </c>
      <c r="H2186" t="str">
        <f t="shared" si="1086"/>
        <v>30/04/2025</v>
      </c>
      <c r="I2186" t="str">
        <f t="shared" si="1102"/>
        <v>29/04/2025</v>
      </c>
      <c r="J2186" t="str">
        <f t="shared" si="1101"/>
        <v>02/05/2025</v>
      </c>
      <c r="K2186">
        <v>421.92</v>
      </c>
      <c r="L2186">
        <v>421.92</v>
      </c>
      <c r="M2186">
        <v>303</v>
      </c>
      <c r="N2186" t="str">
        <f t="shared" si="1097"/>
        <v>RECEITAS COM ENTREGAS</v>
      </c>
      <c r="O2186">
        <v>421.92</v>
      </c>
      <c r="R2186" t="str">
        <f t="shared" si="1098"/>
        <v>RECEITAS COM ENTREGAS (303)</v>
      </c>
      <c r="S2186">
        <v>1416</v>
      </c>
      <c r="T2186">
        <v>1134</v>
      </c>
      <c r="U2186" t="s">
        <v>19</v>
      </c>
    </row>
    <row r="2187" spans="1:21">
      <c r="A2187" t="str">
        <f t="shared" si="1100"/>
        <v>02/05/2025</v>
      </c>
      <c r="B2187" t="str">
        <f t="shared" si="1099"/>
        <v>ENTRADA</v>
      </c>
      <c r="C2187" t="str">
        <f t="shared" si="1095"/>
        <v>NFSE</v>
      </c>
      <c r="D2187" t="str">
        <f>"2942"</f>
        <v>2942</v>
      </c>
      <c r="E2187" t="str">
        <f t="shared" si="1094"/>
        <v>COM</v>
      </c>
      <c r="F2187" t="str">
        <f>"DROGARIA MORENO LTDA (10171)"</f>
        <v>DROGARIA MORENO LTDA (10171)</v>
      </c>
      <c r="G2187" t="str">
        <f>"Serv.Prest. 21/04/2025 a 27/04/2025 - RPS: 713 - NFSe: 2942"</f>
        <v>Serv.Prest. 21/04/2025 a 27/04/2025 - RPS: 713 - NFSe: 2942</v>
      </c>
      <c r="H2187" t="str">
        <f t="shared" si="1086"/>
        <v>30/04/2025</v>
      </c>
      <c r="I2187" t="str">
        <f t="shared" si="1102"/>
        <v>29/04/2025</v>
      </c>
      <c r="J2187" t="str">
        <f t="shared" si="1101"/>
        <v>02/05/2025</v>
      </c>
      <c r="M2187">
        <v>303</v>
      </c>
      <c r="N2187" t="str">
        <f t="shared" si="1097"/>
        <v>RECEITAS COM ENTREGAS</v>
      </c>
      <c r="P2187">
        <v>421.92</v>
      </c>
      <c r="Q2187" t="str">
        <f>"DROGARIA MORENO LTDA (10171)"</f>
        <v>DROGARIA MORENO LTDA (10171)</v>
      </c>
      <c r="R2187" t="str">
        <f t="shared" si="1098"/>
        <v>RECEITAS COM ENTREGAS (303)</v>
      </c>
      <c r="S2187">
        <v>1416</v>
      </c>
      <c r="T2187">
        <v>1134</v>
      </c>
      <c r="U2187" t="s">
        <v>19</v>
      </c>
    </row>
    <row r="2188" spans="1:21">
      <c r="A2188" t="str">
        <f t="shared" si="1100"/>
        <v>02/05/2025</v>
      </c>
      <c r="B2188" t="str">
        <f t="shared" si="1099"/>
        <v>ENTRADA</v>
      </c>
      <c r="C2188" t="str">
        <f t="shared" si="1095"/>
        <v>NFSE</v>
      </c>
      <c r="D2188" t="str">
        <f>"2943"</f>
        <v>2943</v>
      </c>
      <c r="E2188" t="str">
        <f t="shared" si="1094"/>
        <v>COM</v>
      </c>
      <c r="F2188" t="str">
        <f>"JAL FARMACIA E DROGARIA LJ 1 (10137)"</f>
        <v>JAL FARMACIA E DROGARIA LJ 1 (10137)</v>
      </c>
      <c r="G2188" t="str">
        <f>"Serv.Prest. 21/04/2025 a 27/04/2025 - RPS: 714 - NFSe: 2943"</f>
        <v>Serv.Prest. 21/04/2025 a 27/04/2025 - RPS: 714 - NFSe: 2943</v>
      </c>
      <c r="H2188" t="str">
        <f t="shared" si="1086"/>
        <v>30/04/2025</v>
      </c>
      <c r="I2188" t="str">
        <f t="shared" si="1102"/>
        <v>29/04/2025</v>
      </c>
      <c r="J2188" t="str">
        <f t="shared" si="1101"/>
        <v>02/05/2025</v>
      </c>
      <c r="K2188">
        <v>366.4</v>
      </c>
      <c r="L2188">
        <v>366.4</v>
      </c>
      <c r="M2188">
        <v>303</v>
      </c>
      <c r="N2188" t="str">
        <f t="shared" si="1097"/>
        <v>RECEITAS COM ENTREGAS</v>
      </c>
      <c r="O2188">
        <v>366.4</v>
      </c>
      <c r="R2188" t="str">
        <f t="shared" si="1098"/>
        <v>RECEITAS COM ENTREGAS (303)</v>
      </c>
      <c r="S2188">
        <v>1417</v>
      </c>
      <c r="T2188">
        <v>1135</v>
      </c>
      <c r="U2188" t="s">
        <v>19</v>
      </c>
    </row>
    <row r="2189" spans="1:21">
      <c r="A2189" t="str">
        <f t="shared" si="1100"/>
        <v>02/05/2025</v>
      </c>
      <c r="B2189" t="str">
        <f t="shared" si="1099"/>
        <v>ENTRADA</v>
      </c>
      <c r="C2189" t="str">
        <f t="shared" si="1095"/>
        <v>NFSE</v>
      </c>
      <c r="D2189" t="str">
        <f>"2943"</f>
        <v>2943</v>
      </c>
      <c r="E2189" t="str">
        <f t="shared" si="1094"/>
        <v>COM</v>
      </c>
      <c r="F2189" t="str">
        <f>"JAL FARMACIA E DROGARIA LJ 1 (10137)"</f>
        <v>JAL FARMACIA E DROGARIA LJ 1 (10137)</v>
      </c>
      <c r="G2189" t="str">
        <f>"Serv.Prest. 21/04/2025 a 27/04/2025 - RPS: 714 - NFSe: 2943"</f>
        <v>Serv.Prest. 21/04/2025 a 27/04/2025 - RPS: 714 - NFSe: 2943</v>
      </c>
      <c r="H2189" t="str">
        <f t="shared" si="1086"/>
        <v>30/04/2025</v>
      </c>
      <c r="I2189" t="str">
        <f t="shared" si="1102"/>
        <v>29/04/2025</v>
      </c>
      <c r="J2189" t="str">
        <f t="shared" si="1101"/>
        <v>02/05/2025</v>
      </c>
      <c r="M2189">
        <v>303</v>
      </c>
      <c r="N2189" t="str">
        <f t="shared" si="1097"/>
        <v>RECEITAS COM ENTREGAS</v>
      </c>
      <c r="P2189">
        <v>366.4</v>
      </c>
      <c r="Q2189" t="str">
        <f>"JAL FARMACIA E DROGARIA LJ 1 (10137)"</f>
        <v>JAL FARMACIA E DROGARIA LJ 1 (10137)</v>
      </c>
      <c r="R2189" t="str">
        <f t="shared" si="1098"/>
        <v>RECEITAS COM ENTREGAS (303)</v>
      </c>
      <c r="S2189">
        <v>1417</v>
      </c>
      <c r="T2189">
        <v>1135</v>
      </c>
      <c r="U2189" t="s">
        <v>19</v>
      </c>
    </row>
    <row r="2190" spans="1:21">
      <c r="A2190" t="str">
        <f t="shared" si="1100"/>
        <v>02/05/2025</v>
      </c>
      <c r="B2190" t="str">
        <f>"ENTRADA"</f>
        <v>ENTRADA</v>
      </c>
      <c r="C2190" t="str">
        <f>"BOLETO"</f>
        <v>BOLETO</v>
      </c>
      <c r="D2190" t="str">
        <f>"131726560"</f>
        <v>131726560</v>
      </c>
      <c r="E2190" t="str">
        <f t="shared" si="1094"/>
        <v>COM</v>
      </c>
      <c r="F2190" t="str">
        <f>"GABRIEL C SEREIA DROGARIA (10178)"</f>
        <v>GABRIEL C SEREIA DROGARIA (10178)</v>
      </c>
      <c r="G2190" t="str">
        <f>"RECEBIMENTO SETUP"</f>
        <v>RECEBIMENTO SETUP</v>
      </c>
      <c r="H2190" t="str">
        <f>("02/05/2025")</f>
        <v>02/05/2025</v>
      </c>
      <c r="I2190" t="str">
        <f>("02/05/2025")</f>
        <v>02/05/2025</v>
      </c>
      <c r="J2190" t="str">
        <f t="shared" si="1101"/>
        <v>02/05/2025</v>
      </c>
      <c r="K2190">
        <v>2000</v>
      </c>
      <c r="L2190">
        <v>2000</v>
      </c>
      <c r="M2190">
        <v>117</v>
      </c>
      <c r="N2190" t="str">
        <f>"RECEITAS COM SETUP"</f>
        <v>RECEITAS COM SETUP</v>
      </c>
      <c r="O2190">
        <v>2000</v>
      </c>
      <c r="R2190" t="str">
        <f>"RECEITAS COM SETUP (117)"</f>
        <v>RECEITAS COM SETUP (117)</v>
      </c>
      <c r="S2190">
        <v>1605</v>
      </c>
      <c r="T2190">
        <v>1275</v>
      </c>
      <c r="U2190" t="s">
        <v>19</v>
      </c>
    </row>
    <row r="2191" spans="1:21">
      <c r="A2191" t="str">
        <f t="shared" si="1100"/>
        <v>02/05/2025</v>
      </c>
      <c r="B2191" t="str">
        <f t="shared" ref="B2191:B2205" si="1103">"SAÍDA"</f>
        <v>SAÍDA</v>
      </c>
      <c r="C2191" t="str">
        <f>"BOLETO"</f>
        <v>BOLETO</v>
      </c>
      <c r="D2191" t="str">
        <f>"131726560"</f>
        <v>131726560</v>
      </c>
      <c r="E2191" t="str">
        <f t="shared" si="1094"/>
        <v>COM</v>
      </c>
      <c r="F2191" t="str">
        <f>"GABRIEL C SEREIA DROGARIA (10178)"</f>
        <v>GABRIEL C SEREIA DROGARIA (10178)</v>
      </c>
      <c r="G2191" t="str">
        <f>"RECEBIMENTO SETUP"</f>
        <v>RECEBIMENTO SETUP</v>
      </c>
      <c r="H2191" t="str">
        <f>("02/05/2025")</f>
        <v>02/05/2025</v>
      </c>
      <c r="I2191" t="str">
        <f>("02/05/2025")</f>
        <v>02/05/2025</v>
      </c>
      <c r="J2191" t="str">
        <f t="shared" si="1101"/>
        <v>02/05/2025</v>
      </c>
      <c r="M2191">
        <v>117</v>
      </c>
      <c r="N2191" t="str">
        <f>"RECEITAS COM SETUP"</f>
        <v>RECEITAS COM SETUP</v>
      </c>
      <c r="P2191">
        <v>2000</v>
      </c>
      <c r="Q2191" t="str">
        <f>"GABRIEL C SEREIA DROGARIA (10178)"</f>
        <v>GABRIEL C SEREIA DROGARIA (10178)</v>
      </c>
      <c r="R2191" t="str">
        <f>"RECEITAS COM SETUP (117)"</f>
        <v>RECEITAS COM SETUP (117)</v>
      </c>
      <c r="S2191">
        <v>1605</v>
      </c>
      <c r="T2191">
        <v>1275</v>
      </c>
      <c r="U2191" t="s">
        <v>19</v>
      </c>
    </row>
    <row r="2192" spans="1:21">
      <c r="A2192" t="str">
        <f t="shared" si="1100"/>
        <v>02/05/2025</v>
      </c>
      <c r="B2192" t="str">
        <f t="shared" si="1103"/>
        <v>SAÍDA</v>
      </c>
      <c r="C2192" t="str">
        <f>"PIX"</f>
        <v>PIX</v>
      </c>
      <c r="D2192" t="str">
        <f>"0425"</f>
        <v>0425</v>
      </c>
      <c r="E2192" t="str">
        <f t="shared" si="1094"/>
        <v>COM</v>
      </c>
      <c r="F2192" t="str">
        <f>"MARCELO REZENDE ARANTES (20014)"</f>
        <v>MARCELO REZENDE ARANTES (20014)</v>
      </c>
      <c r="G2192" t="str">
        <f>"REF. PRO-LABORE MES 04/2025"</f>
        <v>REF. PRO-LABORE MES 04/2025</v>
      </c>
      <c r="H2192" t="str">
        <f t="shared" ref="H2192:H2205" si="1104">("02/05/2025")</f>
        <v>02/05/2025</v>
      </c>
      <c r="I2192" t="str">
        <f>("01/01/2025")</f>
        <v>01/01/2025</v>
      </c>
      <c r="J2192" t="str">
        <f t="shared" si="1101"/>
        <v>02/05/2025</v>
      </c>
      <c r="K2192">
        <v>10000</v>
      </c>
      <c r="L2192">
        <v>10000</v>
      </c>
      <c r="M2192">
        <v>108</v>
      </c>
      <c r="N2192" t="str">
        <f>"PRO LABORE - MARCELO"</f>
        <v>PRO LABORE - MARCELO</v>
      </c>
      <c r="O2192">
        <v>10000</v>
      </c>
      <c r="R2192" t="str">
        <f t="shared" ref="R2192:R2205" si="1105">"BANCO CORA (102)"</f>
        <v>BANCO CORA (102)</v>
      </c>
      <c r="S2192">
        <v>1609</v>
      </c>
      <c r="T2192">
        <v>591</v>
      </c>
      <c r="U2192" t="s">
        <v>19</v>
      </c>
    </row>
    <row r="2193" spans="1:21">
      <c r="A2193" t="str">
        <f t="shared" si="1100"/>
        <v>02/05/2025</v>
      </c>
      <c r="B2193" t="str">
        <f t="shared" si="1103"/>
        <v>SAÍDA</v>
      </c>
      <c r="C2193" t="str">
        <f>"PIX"</f>
        <v>PIX</v>
      </c>
      <c r="D2193" t="str">
        <f>"0425"</f>
        <v>0425</v>
      </c>
      <c r="E2193" t="str">
        <f t="shared" si="1094"/>
        <v>COM</v>
      </c>
      <c r="F2193" t="str">
        <f>"MARCELO REZENDE ARANTES (20014)"</f>
        <v>MARCELO REZENDE ARANTES (20014)</v>
      </c>
      <c r="G2193" t="str">
        <f>"REF. PRO-LABORE MES 04/2025"</f>
        <v>REF. PRO-LABORE MES 04/2025</v>
      </c>
      <c r="H2193" t="str">
        <f t="shared" si="1104"/>
        <v>02/05/2025</v>
      </c>
      <c r="I2193" t="str">
        <f>("01/01/2025")</f>
        <v>01/01/2025</v>
      </c>
      <c r="J2193" t="str">
        <f t="shared" si="1101"/>
        <v>02/05/2025</v>
      </c>
      <c r="M2193">
        <v>108</v>
      </c>
      <c r="N2193" t="str">
        <f>"PRO LABORE - MARCELO"</f>
        <v>PRO LABORE - MARCELO</v>
      </c>
      <c r="P2193">
        <v>10000</v>
      </c>
      <c r="Q2193" t="str">
        <f>"MARCELO REZENDE ARANTES (20014)"</f>
        <v>MARCELO REZENDE ARANTES (20014)</v>
      </c>
      <c r="R2193" t="str">
        <f t="shared" si="1105"/>
        <v>BANCO CORA (102)</v>
      </c>
      <c r="S2193">
        <v>1609</v>
      </c>
      <c r="T2193">
        <v>591</v>
      </c>
      <c r="U2193" t="s">
        <v>19</v>
      </c>
    </row>
    <row r="2194" spans="1:21">
      <c r="A2194" t="str">
        <f t="shared" si="1100"/>
        <v>02/05/2025</v>
      </c>
      <c r="B2194" t="str">
        <f t="shared" si="1103"/>
        <v>SAÍDA</v>
      </c>
      <c r="C2194" t="str">
        <f t="shared" ref="C2194:C2201" si="1106">"JUROS"</f>
        <v>JUROS</v>
      </c>
      <c r="D2194" t="str">
        <f>""</f>
        <v/>
      </c>
      <c r="E2194" t="str">
        <f t="shared" ref="E2194:E2201" si="1107">"CXA"</f>
        <v>CXA</v>
      </c>
      <c r="F2194" t="str">
        <f>""</f>
        <v/>
      </c>
      <c r="G2194" t="str">
        <f t="shared" ref="G2194:G2201" si="1108">"TAXA BOLETO COMPENSADO"</f>
        <v>TAXA BOLETO COMPENSADO</v>
      </c>
      <c r="H2194" t="str">
        <f t="shared" si="1104"/>
        <v>02/05/2025</v>
      </c>
      <c r="I2194" t="str">
        <f t="shared" ref="I2194:I2201" si="1109">("02/05/2025")</f>
        <v>02/05/2025</v>
      </c>
      <c r="J2194" t="str">
        <f t="shared" si="1101"/>
        <v>02/05/2025</v>
      </c>
      <c r="K2194">
        <v>1.7</v>
      </c>
      <c r="L2194">
        <v>1.7</v>
      </c>
      <c r="M2194">
        <v>401</v>
      </c>
      <c r="N2194" t="str">
        <f t="shared" ref="N2194:N2201" si="1110">"IOF/JUROS/DESP.FINANCEIRA"</f>
        <v>IOF/JUROS/DESP.FINANCEIRA</v>
      </c>
      <c r="O2194">
        <v>1.7</v>
      </c>
      <c r="R2194" t="str">
        <f t="shared" si="1105"/>
        <v>BANCO CORA (102)</v>
      </c>
      <c r="S2194">
        <v>1630</v>
      </c>
      <c r="T2194">
        <v>0</v>
      </c>
      <c r="U2194" t="s">
        <v>20</v>
      </c>
    </row>
    <row r="2195" spans="1:21">
      <c r="A2195" t="str">
        <f t="shared" si="1100"/>
        <v>02/05/2025</v>
      </c>
      <c r="B2195" t="str">
        <f t="shared" si="1103"/>
        <v>SAÍDA</v>
      </c>
      <c r="C2195" t="str">
        <f t="shared" si="1106"/>
        <v>JUROS</v>
      </c>
      <c r="D2195" t="str">
        <f>""</f>
        <v/>
      </c>
      <c r="E2195" t="str">
        <f t="shared" si="1107"/>
        <v>CXA</v>
      </c>
      <c r="F2195" t="str">
        <f>""</f>
        <v/>
      </c>
      <c r="G2195" t="str">
        <f t="shared" si="1108"/>
        <v>TAXA BOLETO COMPENSADO</v>
      </c>
      <c r="H2195" t="str">
        <f t="shared" si="1104"/>
        <v>02/05/2025</v>
      </c>
      <c r="I2195" t="str">
        <f t="shared" si="1109"/>
        <v>02/05/2025</v>
      </c>
      <c r="J2195" t="str">
        <f t="shared" si="1101"/>
        <v>02/05/2025</v>
      </c>
      <c r="K2195">
        <v>1.7</v>
      </c>
      <c r="L2195">
        <v>1.7</v>
      </c>
      <c r="M2195">
        <v>401</v>
      </c>
      <c r="N2195" t="str">
        <f t="shared" si="1110"/>
        <v>IOF/JUROS/DESP.FINANCEIRA</v>
      </c>
      <c r="O2195">
        <v>1.7</v>
      </c>
      <c r="R2195" t="str">
        <f t="shared" si="1105"/>
        <v>BANCO CORA (102)</v>
      </c>
      <c r="S2195">
        <v>1631</v>
      </c>
      <c r="T2195">
        <v>0</v>
      </c>
      <c r="U2195" t="s">
        <v>20</v>
      </c>
    </row>
    <row r="2196" spans="1:21">
      <c r="A2196" t="str">
        <f t="shared" si="1100"/>
        <v>02/05/2025</v>
      </c>
      <c r="B2196" t="str">
        <f t="shared" si="1103"/>
        <v>SAÍDA</v>
      </c>
      <c r="C2196" t="str">
        <f t="shared" si="1106"/>
        <v>JUROS</v>
      </c>
      <c r="D2196" t="str">
        <f>""</f>
        <v/>
      </c>
      <c r="E2196" t="str">
        <f t="shared" si="1107"/>
        <v>CXA</v>
      </c>
      <c r="F2196" t="str">
        <f>""</f>
        <v/>
      </c>
      <c r="G2196" t="str">
        <f t="shared" si="1108"/>
        <v>TAXA BOLETO COMPENSADO</v>
      </c>
      <c r="H2196" t="str">
        <f t="shared" si="1104"/>
        <v>02/05/2025</v>
      </c>
      <c r="I2196" t="str">
        <f t="shared" si="1109"/>
        <v>02/05/2025</v>
      </c>
      <c r="J2196" t="str">
        <f t="shared" si="1101"/>
        <v>02/05/2025</v>
      </c>
      <c r="K2196">
        <v>1.7</v>
      </c>
      <c r="L2196">
        <v>1.7</v>
      </c>
      <c r="M2196">
        <v>401</v>
      </c>
      <c r="N2196" t="str">
        <f t="shared" si="1110"/>
        <v>IOF/JUROS/DESP.FINANCEIRA</v>
      </c>
      <c r="O2196">
        <v>1.7</v>
      </c>
      <c r="R2196" t="str">
        <f t="shared" si="1105"/>
        <v>BANCO CORA (102)</v>
      </c>
      <c r="S2196">
        <v>1632</v>
      </c>
      <c r="T2196">
        <v>0</v>
      </c>
      <c r="U2196" t="s">
        <v>20</v>
      </c>
    </row>
    <row r="2197" spans="1:21">
      <c r="A2197" t="str">
        <f t="shared" si="1100"/>
        <v>02/05/2025</v>
      </c>
      <c r="B2197" t="str">
        <f t="shared" si="1103"/>
        <v>SAÍDA</v>
      </c>
      <c r="C2197" t="str">
        <f t="shared" si="1106"/>
        <v>JUROS</v>
      </c>
      <c r="D2197" t="str">
        <f>""</f>
        <v/>
      </c>
      <c r="E2197" t="str">
        <f t="shared" si="1107"/>
        <v>CXA</v>
      </c>
      <c r="F2197" t="str">
        <f>""</f>
        <v/>
      </c>
      <c r="G2197" t="str">
        <f t="shared" si="1108"/>
        <v>TAXA BOLETO COMPENSADO</v>
      </c>
      <c r="H2197" t="str">
        <f t="shared" si="1104"/>
        <v>02/05/2025</v>
      </c>
      <c r="I2197" t="str">
        <f t="shared" si="1109"/>
        <v>02/05/2025</v>
      </c>
      <c r="J2197" t="str">
        <f t="shared" si="1101"/>
        <v>02/05/2025</v>
      </c>
      <c r="K2197">
        <v>1.7</v>
      </c>
      <c r="L2197">
        <v>1.7</v>
      </c>
      <c r="M2197">
        <v>401</v>
      </c>
      <c r="N2197" t="str">
        <f t="shared" si="1110"/>
        <v>IOF/JUROS/DESP.FINANCEIRA</v>
      </c>
      <c r="O2197">
        <v>1.7</v>
      </c>
      <c r="R2197" t="str">
        <f t="shared" si="1105"/>
        <v>BANCO CORA (102)</v>
      </c>
      <c r="S2197">
        <v>1633</v>
      </c>
      <c r="T2197">
        <v>0</v>
      </c>
      <c r="U2197" t="s">
        <v>20</v>
      </c>
    </row>
    <row r="2198" spans="1:21">
      <c r="A2198" t="str">
        <f t="shared" si="1100"/>
        <v>02/05/2025</v>
      </c>
      <c r="B2198" t="str">
        <f t="shared" si="1103"/>
        <v>SAÍDA</v>
      </c>
      <c r="C2198" t="str">
        <f t="shared" si="1106"/>
        <v>JUROS</v>
      </c>
      <c r="D2198" t="str">
        <f>""</f>
        <v/>
      </c>
      <c r="E2198" t="str">
        <f t="shared" si="1107"/>
        <v>CXA</v>
      </c>
      <c r="F2198" t="str">
        <f>""</f>
        <v/>
      </c>
      <c r="G2198" t="str">
        <f t="shared" si="1108"/>
        <v>TAXA BOLETO COMPENSADO</v>
      </c>
      <c r="H2198" t="str">
        <f t="shared" si="1104"/>
        <v>02/05/2025</v>
      </c>
      <c r="I2198" t="str">
        <f t="shared" si="1109"/>
        <v>02/05/2025</v>
      </c>
      <c r="J2198" t="str">
        <f t="shared" si="1101"/>
        <v>02/05/2025</v>
      </c>
      <c r="K2198">
        <v>1.7</v>
      </c>
      <c r="L2198">
        <v>1.7</v>
      </c>
      <c r="M2198">
        <v>401</v>
      </c>
      <c r="N2198" t="str">
        <f t="shared" si="1110"/>
        <v>IOF/JUROS/DESP.FINANCEIRA</v>
      </c>
      <c r="O2198">
        <v>1.7</v>
      </c>
      <c r="R2198" t="str">
        <f t="shared" si="1105"/>
        <v>BANCO CORA (102)</v>
      </c>
      <c r="S2198">
        <v>1634</v>
      </c>
      <c r="T2198">
        <v>0</v>
      </c>
      <c r="U2198" t="s">
        <v>20</v>
      </c>
    </row>
    <row r="2199" spans="1:21">
      <c r="A2199" t="str">
        <f t="shared" si="1100"/>
        <v>02/05/2025</v>
      </c>
      <c r="B2199" t="str">
        <f t="shared" si="1103"/>
        <v>SAÍDA</v>
      </c>
      <c r="C2199" t="str">
        <f t="shared" si="1106"/>
        <v>JUROS</v>
      </c>
      <c r="D2199" t="str">
        <f>""</f>
        <v/>
      </c>
      <c r="E2199" t="str">
        <f t="shared" si="1107"/>
        <v>CXA</v>
      </c>
      <c r="F2199" t="str">
        <f>""</f>
        <v/>
      </c>
      <c r="G2199" t="str">
        <f t="shared" si="1108"/>
        <v>TAXA BOLETO COMPENSADO</v>
      </c>
      <c r="H2199" t="str">
        <f t="shared" si="1104"/>
        <v>02/05/2025</v>
      </c>
      <c r="I2199" t="str">
        <f t="shared" si="1109"/>
        <v>02/05/2025</v>
      </c>
      <c r="J2199" t="str">
        <f t="shared" si="1101"/>
        <v>02/05/2025</v>
      </c>
      <c r="K2199">
        <v>1.7</v>
      </c>
      <c r="L2199">
        <v>1.7</v>
      </c>
      <c r="M2199">
        <v>401</v>
      </c>
      <c r="N2199" t="str">
        <f t="shared" si="1110"/>
        <v>IOF/JUROS/DESP.FINANCEIRA</v>
      </c>
      <c r="O2199">
        <v>1.7</v>
      </c>
      <c r="R2199" t="str">
        <f t="shared" si="1105"/>
        <v>BANCO CORA (102)</v>
      </c>
      <c r="S2199">
        <v>1635</v>
      </c>
      <c r="T2199">
        <v>0</v>
      </c>
      <c r="U2199" t="s">
        <v>20</v>
      </c>
    </row>
    <row r="2200" spans="1:21">
      <c r="A2200" t="str">
        <f t="shared" si="1100"/>
        <v>02/05/2025</v>
      </c>
      <c r="B2200" t="str">
        <f t="shared" si="1103"/>
        <v>SAÍDA</v>
      </c>
      <c r="C2200" t="str">
        <f t="shared" si="1106"/>
        <v>JUROS</v>
      </c>
      <c r="D2200" t="str">
        <f>""</f>
        <v/>
      </c>
      <c r="E2200" t="str">
        <f t="shared" si="1107"/>
        <v>CXA</v>
      </c>
      <c r="F2200" t="str">
        <f>""</f>
        <v/>
      </c>
      <c r="G2200" t="str">
        <f t="shared" si="1108"/>
        <v>TAXA BOLETO COMPENSADO</v>
      </c>
      <c r="H2200" t="str">
        <f t="shared" si="1104"/>
        <v>02/05/2025</v>
      </c>
      <c r="I2200" t="str">
        <f t="shared" si="1109"/>
        <v>02/05/2025</v>
      </c>
      <c r="J2200" t="str">
        <f t="shared" si="1101"/>
        <v>02/05/2025</v>
      </c>
      <c r="K2200">
        <v>1.7</v>
      </c>
      <c r="L2200">
        <v>1.7</v>
      </c>
      <c r="M2200">
        <v>401</v>
      </c>
      <c r="N2200" t="str">
        <f t="shared" si="1110"/>
        <v>IOF/JUROS/DESP.FINANCEIRA</v>
      </c>
      <c r="O2200">
        <v>1.7</v>
      </c>
      <c r="R2200" t="str">
        <f t="shared" si="1105"/>
        <v>BANCO CORA (102)</v>
      </c>
      <c r="S2200">
        <v>1636</v>
      </c>
      <c r="T2200">
        <v>0</v>
      </c>
      <c r="U2200" t="s">
        <v>20</v>
      </c>
    </row>
    <row r="2201" spans="1:21">
      <c r="A2201" t="str">
        <f t="shared" si="1100"/>
        <v>02/05/2025</v>
      </c>
      <c r="B2201" t="str">
        <f t="shared" si="1103"/>
        <v>SAÍDA</v>
      </c>
      <c r="C2201" t="str">
        <f t="shared" si="1106"/>
        <v>JUROS</v>
      </c>
      <c r="D2201" t="str">
        <f>""</f>
        <v/>
      </c>
      <c r="E2201" t="str">
        <f t="shared" si="1107"/>
        <v>CXA</v>
      </c>
      <c r="F2201" t="str">
        <f>""</f>
        <v/>
      </c>
      <c r="G2201" t="str">
        <f t="shared" si="1108"/>
        <v>TAXA BOLETO COMPENSADO</v>
      </c>
      <c r="H2201" t="str">
        <f t="shared" si="1104"/>
        <v>02/05/2025</v>
      </c>
      <c r="I2201" t="str">
        <f t="shared" si="1109"/>
        <v>02/05/2025</v>
      </c>
      <c r="J2201" t="str">
        <f t="shared" si="1101"/>
        <v>02/05/2025</v>
      </c>
      <c r="K2201">
        <v>1.7</v>
      </c>
      <c r="L2201">
        <v>1.7</v>
      </c>
      <c r="M2201">
        <v>401</v>
      </c>
      <c r="N2201" t="str">
        <f t="shared" si="1110"/>
        <v>IOF/JUROS/DESP.FINANCEIRA</v>
      </c>
      <c r="O2201">
        <v>1.7</v>
      </c>
      <c r="R2201" t="str">
        <f t="shared" si="1105"/>
        <v>BANCO CORA (102)</v>
      </c>
      <c r="S2201">
        <v>1637</v>
      </c>
      <c r="T2201">
        <v>0</v>
      </c>
      <c r="U2201" t="s">
        <v>20</v>
      </c>
    </row>
    <row r="2202" spans="1:21">
      <c r="A2202" t="str">
        <f>("03/05/2025")</f>
        <v>03/05/2025</v>
      </c>
      <c r="B2202" t="str">
        <f t="shared" si="1103"/>
        <v>SAÍDA</v>
      </c>
      <c r="C2202" t="str">
        <f>"PIX"</f>
        <v>PIX</v>
      </c>
      <c r="D2202" t="str">
        <f>"07"</f>
        <v>07</v>
      </c>
      <c r="E2202" t="str">
        <f t="shared" ref="E2202:E2211" si="1111">"COM"</f>
        <v>COM</v>
      </c>
      <c r="F2202" t="str">
        <f>"LILIANE DE FATIMA REZENDE JUSTINO (20013)"</f>
        <v>LILIANE DE FATIMA REZENDE JUSTINO (20013)</v>
      </c>
      <c r="G2202" t="str">
        <f>"REF. PRO-LABORE MES 04/2025"</f>
        <v>REF. PRO-LABORE MES 04/2025</v>
      </c>
      <c r="H2202" t="str">
        <f t="shared" si="1104"/>
        <v>02/05/2025</v>
      </c>
      <c r="I2202" t="str">
        <f>("01/01/2025")</f>
        <v>01/01/2025</v>
      </c>
      <c r="J2202" t="str">
        <f>("03/05/2025")</f>
        <v>03/05/2025</v>
      </c>
      <c r="K2202">
        <v>23333.33</v>
      </c>
      <c r="L2202">
        <v>23333.33</v>
      </c>
      <c r="M2202">
        <v>124</v>
      </c>
      <c r="N2202" t="str">
        <f>"PRO LABORE - LILIANE"</f>
        <v>PRO LABORE - LILIANE</v>
      </c>
      <c r="O2202">
        <v>23333.33</v>
      </c>
      <c r="R2202" t="str">
        <f t="shared" si="1105"/>
        <v>BANCO CORA (102)</v>
      </c>
      <c r="S2202">
        <v>1610</v>
      </c>
      <c r="T2202">
        <v>567</v>
      </c>
      <c r="U2202" t="s">
        <v>19</v>
      </c>
    </row>
    <row r="2203" spans="1:21">
      <c r="A2203" t="str">
        <f>("03/05/2025")</f>
        <v>03/05/2025</v>
      </c>
      <c r="B2203" t="str">
        <f t="shared" si="1103"/>
        <v>SAÍDA</v>
      </c>
      <c r="C2203" t="str">
        <f>"PIX"</f>
        <v>PIX</v>
      </c>
      <c r="D2203" t="str">
        <f>"07"</f>
        <v>07</v>
      </c>
      <c r="E2203" t="str">
        <f t="shared" si="1111"/>
        <v>COM</v>
      </c>
      <c r="F2203" t="str">
        <f>"LILIANE DE FATIMA REZENDE JUSTINO (20013)"</f>
        <v>LILIANE DE FATIMA REZENDE JUSTINO (20013)</v>
      </c>
      <c r="G2203" t="str">
        <f>"REF. PRO-LABORE MES 04/2025"</f>
        <v>REF. PRO-LABORE MES 04/2025</v>
      </c>
      <c r="H2203" t="str">
        <f t="shared" si="1104"/>
        <v>02/05/2025</v>
      </c>
      <c r="I2203" t="str">
        <f>("01/01/2025")</f>
        <v>01/01/2025</v>
      </c>
      <c r="J2203" t="str">
        <f>("03/05/2025")</f>
        <v>03/05/2025</v>
      </c>
      <c r="M2203">
        <v>124</v>
      </c>
      <c r="N2203" t="str">
        <f>"PRO LABORE - LILIANE"</f>
        <v>PRO LABORE - LILIANE</v>
      </c>
      <c r="P2203">
        <v>23333.33</v>
      </c>
      <c r="Q2203" t="str">
        <f>"LILIANE DE FATIMA REZENDE JUSTINO (20013)"</f>
        <v>LILIANE DE FATIMA REZENDE JUSTINO (20013)</v>
      </c>
      <c r="R2203" t="str">
        <f t="shared" si="1105"/>
        <v>BANCO CORA (102)</v>
      </c>
      <c r="S2203">
        <v>1610</v>
      </c>
      <c r="T2203">
        <v>567</v>
      </c>
      <c r="U2203" t="s">
        <v>19</v>
      </c>
    </row>
    <row r="2204" spans="1:21">
      <c r="A2204" t="str">
        <f>("03/05/2025")</f>
        <v>03/05/2025</v>
      </c>
      <c r="B2204" t="str">
        <f t="shared" si="1103"/>
        <v>SAÍDA</v>
      </c>
      <c r="C2204" t="str">
        <f>"PIX"</f>
        <v>PIX</v>
      </c>
      <c r="D2204" t="str">
        <f>"2025"</f>
        <v>2025</v>
      </c>
      <c r="E2204" t="str">
        <f t="shared" si="1111"/>
        <v>COM</v>
      </c>
      <c r="F2204" t="str">
        <f>"LILIANE DE FATIMA REZENDE JUSTINO (20013)"</f>
        <v>LILIANE DE FATIMA REZENDE JUSTINO (20013)</v>
      </c>
      <c r="G2204" t="str">
        <f>"REF. PREST. SERVICO LILIANE 04/2025"</f>
        <v>REF. PREST. SERVICO LILIANE 04/2025</v>
      </c>
      <c r="H2204" t="str">
        <f t="shared" si="1104"/>
        <v>02/05/2025</v>
      </c>
      <c r="I2204" t="str">
        <f>("01/01/2025")</f>
        <v>01/01/2025</v>
      </c>
      <c r="J2204" t="str">
        <f>("03/05/2025")</f>
        <v>03/05/2025</v>
      </c>
      <c r="K2204">
        <v>1500</v>
      </c>
      <c r="L2204">
        <v>1500</v>
      </c>
      <c r="M2204">
        <v>103</v>
      </c>
      <c r="N2204" t="str">
        <f>"PAGAMENTO DE FUNCIONÁRIOS"</f>
        <v>PAGAMENTO DE FUNCIONÁRIOS</v>
      </c>
      <c r="O2204">
        <v>1500</v>
      </c>
      <c r="R2204" t="str">
        <f t="shared" si="1105"/>
        <v>BANCO CORA (102)</v>
      </c>
      <c r="S2204">
        <v>1611</v>
      </c>
      <c r="T2204">
        <v>579</v>
      </c>
      <c r="U2204" t="s">
        <v>19</v>
      </c>
    </row>
    <row r="2205" spans="1:21">
      <c r="A2205" t="str">
        <f>("03/05/2025")</f>
        <v>03/05/2025</v>
      </c>
      <c r="B2205" t="str">
        <f t="shared" si="1103"/>
        <v>SAÍDA</v>
      </c>
      <c r="C2205" t="str">
        <f>"PIX"</f>
        <v>PIX</v>
      </c>
      <c r="D2205" t="str">
        <f>"2025"</f>
        <v>2025</v>
      </c>
      <c r="E2205" t="str">
        <f t="shared" si="1111"/>
        <v>COM</v>
      </c>
      <c r="F2205" t="str">
        <f>"LILIANE DE FATIMA REZENDE JUSTINO (20013)"</f>
        <v>LILIANE DE FATIMA REZENDE JUSTINO (20013)</v>
      </c>
      <c r="G2205" t="str">
        <f>"REF. PREST. SERVICO LILIANE 04/2025"</f>
        <v>REF. PREST. SERVICO LILIANE 04/2025</v>
      </c>
      <c r="H2205" t="str">
        <f t="shared" si="1104"/>
        <v>02/05/2025</v>
      </c>
      <c r="I2205" t="str">
        <f>("01/01/2025")</f>
        <v>01/01/2025</v>
      </c>
      <c r="J2205" t="str">
        <f>("03/05/2025")</f>
        <v>03/05/2025</v>
      </c>
      <c r="M2205">
        <v>103</v>
      </c>
      <c r="N2205" t="str">
        <f>"PAGAMENTO DE FUNCIONÁRIOS"</f>
        <v>PAGAMENTO DE FUNCIONÁRIOS</v>
      </c>
      <c r="P2205">
        <v>1500</v>
      </c>
      <c r="Q2205" t="str">
        <f>"LILIANE DE FATIMA REZENDE JUSTINO (20013)"</f>
        <v>LILIANE DE FATIMA REZENDE JUSTINO (20013)</v>
      </c>
      <c r="R2205" t="str">
        <f t="shared" si="1105"/>
        <v>BANCO CORA (102)</v>
      </c>
      <c r="S2205">
        <v>1611</v>
      </c>
      <c r="T2205">
        <v>579</v>
      </c>
      <c r="U2205" t="s">
        <v>19</v>
      </c>
    </row>
    <row r="2206" spans="1:21">
      <c r="A2206" t="str">
        <f t="shared" ref="A2206:A2213" si="1112">("05/05/2025")</f>
        <v>05/05/2025</v>
      </c>
      <c r="B2206" t="str">
        <f>"ENTRADA"</f>
        <v>ENTRADA</v>
      </c>
      <c r="C2206" t="str">
        <f t="shared" ref="C2206:C2211" si="1113">"NFSE"</f>
        <v>NFSE</v>
      </c>
      <c r="D2206" t="str">
        <f>"2947"</f>
        <v>2947</v>
      </c>
      <c r="E2206" t="str">
        <f t="shared" si="1111"/>
        <v>COM</v>
      </c>
      <c r="F2206" t="str">
        <f>"DROGARIA AGAPEAMA (10167)"</f>
        <v>DROGARIA AGAPEAMA (10167)</v>
      </c>
      <c r="G2206" t="str">
        <f>"Serv.Prest. 21/04/2025 a 04/05/2025 - RPS: 717 - NFSe: 2947"</f>
        <v>Serv.Prest. 21/04/2025 a 04/05/2025 - RPS: 717 - NFSe: 2947</v>
      </c>
      <c r="H2206" t="str">
        <f t="shared" ref="H2206:J2207" si="1114">("05/05/2025")</f>
        <v>05/05/2025</v>
      </c>
      <c r="I2206" t="str">
        <f t="shared" si="1114"/>
        <v>05/05/2025</v>
      </c>
      <c r="J2206" t="str">
        <f t="shared" si="1114"/>
        <v>05/05/2025</v>
      </c>
      <c r="K2206">
        <v>1192.96</v>
      </c>
      <c r="L2206">
        <v>1192.96</v>
      </c>
      <c r="M2206">
        <v>303</v>
      </c>
      <c r="N2206" t="str">
        <f t="shared" ref="N2206:N2211" si="1115">"RECEITAS COM ENTREGAS"</f>
        <v>RECEITAS COM ENTREGAS</v>
      </c>
      <c r="O2206">
        <v>1192.96</v>
      </c>
      <c r="R2206" t="str">
        <f t="shared" ref="R2206:R2211" si="1116">"RECEITAS COM ENTREGAS (303)"</f>
        <v>RECEITAS COM ENTREGAS (303)</v>
      </c>
      <c r="S2206">
        <v>1334</v>
      </c>
      <c r="T2206">
        <v>1139</v>
      </c>
      <c r="U2206" t="s">
        <v>19</v>
      </c>
    </row>
    <row r="2207" spans="1:21">
      <c r="A2207" t="str">
        <f t="shared" si="1112"/>
        <v>05/05/2025</v>
      </c>
      <c r="B2207" t="str">
        <f t="shared" ref="B2207:B2211" si="1117">"ENTRADA"</f>
        <v>ENTRADA</v>
      </c>
      <c r="C2207" t="str">
        <f t="shared" si="1113"/>
        <v>NFSE</v>
      </c>
      <c r="D2207" t="str">
        <f>"2947"</f>
        <v>2947</v>
      </c>
      <c r="E2207" t="str">
        <f t="shared" si="1111"/>
        <v>COM</v>
      </c>
      <c r="F2207" t="str">
        <f>"DROGARIA AGAPEAMA (10167)"</f>
        <v>DROGARIA AGAPEAMA (10167)</v>
      </c>
      <c r="G2207" t="str">
        <f>"Serv.Prest. 21/04/2025 a 04/05/2025 - RPS: 717 - NFSe: 2947"</f>
        <v>Serv.Prest. 21/04/2025 a 04/05/2025 - RPS: 717 - NFSe: 2947</v>
      </c>
      <c r="H2207" t="str">
        <f t="shared" si="1114"/>
        <v>05/05/2025</v>
      </c>
      <c r="I2207" t="str">
        <f t="shared" si="1114"/>
        <v>05/05/2025</v>
      </c>
      <c r="J2207" t="str">
        <f t="shared" si="1114"/>
        <v>05/05/2025</v>
      </c>
      <c r="M2207">
        <v>303</v>
      </c>
      <c r="N2207" t="str">
        <f t="shared" si="1115"/>
        <v>RECEITAS COM ENTREGAS</v>
      </c>
      <c r="P2207">
        <v>1192.96</v>
      </c>
      <c r="Q2207" t="str">
        <f>"DROGARIA AGAPEAMA (10167)"</f>
        <v>DROGARIA AGAPEAMA (10167)</v>
      </c>
      <c r="R2207" t="str">
        <f t="shared" si="1116"/>
        <v>RECEITAS COM ENTREGAS (303)</v>
      </c>
      <c r="S2207">
        <v>1334</v>
      </c>
      <c r="T2207">
        <v>1139</v>
      </c>
      <c r="U2207" t="s">
        <v>19</v>
      </c>
    </row>
    <row r="2208" spans="1:21">
      <c r="A2208" t="str">
        <f t="shared" si="1112"/>
        <v>05/05/2025</v>
      </c>
      <c r="B2208" t="str">
        <f t="shared" si="1117"/>
        <v>ENTRADA</v>
      </c>
      <c r="C2208" t="str">
        <f t="shared" si="1113"/>
        <v>NFSE</v>
      </c>
      <c r="D2208" t="str">
        <f>"2934"</f>
        <v>2934</v>
      </c>
      <c r="E2208" t="str">
        <f t="shared" si="1111"/>
        <v>COM</v>
      </c>
      <c r="F2208" t="str">
        <f>"DROGARIA POUPA MINAS (ULTRAMINAS) 3 (10129)"</f>
        <v>DROGARIA POUPA MINAS (ULTRAMINAS) 3 (10129)</v>
      </c>
      <c r="G2208" t="str">
        <f>"Serv.Prest. 21/04/2025 a 27/04/2025 - RPS: 705 - NFSe: 2934"</f>
        <v>Serv.Prest. 21/04/2025 a 27/04/2025 - RPS: 705 - NFSe: 2934</v>
      </c>
      <c r="H2208" t="str">
        <f>("01/05/2025")</f>
        <v>01/05/2025</v>
      </c>
      <c r="I2208" t="str">
        <f>("28/04/2025")</f>
        <v>28/04/2025</v>
      </c>
      <c r="J2208" t="str">
        <f t="shared" ref="J2208:J2213" si="1118">("05/05/2025")</f>
        <v>05/05/2025</v>
      </c>
      <c r="K2208">
        <v>274.56</v>
      </c>
      <c r="L2208">
        <v>274.56</v>
      </c>
      <c r="M2208">
        <v>303</v>
      </c>
      <c r="N2208" t="str">
        <f t="shared" si="1115"/>
        <v>RECEITAS COM ENTREGAS</v>
      </c>
      <c r="O2208">
        <v>274.56</v>
      </c>
      <c r="R2208" t="str">
        <f t="shared" si="1116"/>
        <v>RECEITAS COM ENTREGAS (303)</v>
      </c>
      <c r="S2208">
        <v>1418</v>
      </c>
      <c r="T2208">
        <v>1126</v>
      </c>
      <c r="U2208" t="s">
        <v>19</v>
      </c>
    </row>
    <row r="2209" spans="1:21">
      <c r="A2209" t="str">
        <f t="shared" si="1112"/>
        <v>05/05/2025</v>
      </c>
      <c r="B2209" t="str">
        <f t="shared" si="1117"/>
        <v>ENTRADA</v>
      </c>
      <c r="C2209" t="str">
        <f t="shared" si="1113"/>
        <v>NFSE</v>
      </c>
      <c r="D2209" t="str">
        <f>"2934"</f>
        <v>2934</v>
      </c>
      <c r="E2209" t="str">
        <f t="shared" si="1111"/>
        <v>COM</v>
      </c>
      <c r="F2209" t="str">
        <f>"DROGARIA POUPA MINAS (ULTRAMINAS) 3 (10129)"</f>
        <v>DROGARIA POUPA MINAS (ULTRAMINAS) 3 (10129)</v>
      </c>
      <c r="G2209" t="str">
        <f>"Serv.Prest. 21/04/2025 a 27/04/2025 - RPS: 705 - NFSe: 2934"</f>
        <v>Serv.Prest. 21/04/2025 a 27/04/2025 - RPS: 705 - NFSe: 2934</v>
      </c>
      <c r="H2209" t="str">
        <f>("01/05/2025")</f>
        <v>01/05/2025</v>
      </c>
      <c r="I2209" t="str">
        <f>("28/04/2025")</f>
        <v>28/04/2025</v>
      </c>
      <c r="J2209" t="str">
        <f t="shared" si="1118"/>
        <v>05/05/2025</v>
      </c>
      <c r="M2209">
        <v>303</v>
      </c>
      <c r="N2209" t="str">
        <f t="shared" si="1115"/>
        <v>RECEITAS COM ENTREGAS</v>
      </c>
      <c r="P2209">
        <v>274.56</v>
      </c>
      <c r="Q2209" t="str">
        <f>"DROGARIA POUPA MINAS (ULTRAMINAS) 3 (10129)"</f>
        <v>DROGARIA POUPA MINAS (ULTRAMINAS) 3 (10129)</v>
      </c>
      <c r="R2209" t="str">
        <f t="shared" si="1116"/>
        <v>RECEITAS COM ENTREGAS (303)</v>
      </c>
      <c r="S2209">
        <v>1418</v>
      </c>
      <c r="T2209">
        <v>1126</v>
      </c>
      <c r="U2209" t="s">
        <v>19</v>
      </c>
    </row>
    <row r="2210" spans="1:21">
      <c r="A2210" t="str">
        <f t="shared" si="1112"/>
        <v>05/05/2025</v>
      </c>
      <c r="B2210" t="str">
        <f t="shared" si="1117"/>
        <v>ENTRADA</v>
      </c>
      <c r="C2210" t="str">
        <f t="shared" si="1113"/>
        <v>NFSE</v>
      </c>
      <c r="D2210" t="str">
        <f>"2938"</f>
        <v>2938</v>
      </c>
      <c r="E2210" t="str">
        <f t="shared" si="1111"/>
        <v>COM</v>
      </c>
      <c r="F2210" t="str">
        <f>"DROGARIA POUPA MINAS (DOIS AMIGOS) 5 (10140)"</f>
        <v>DROGARIA POUPA MINAS (DOIS AMIGOS) 5 (10140)</v>
      </c>
      <c r="G2210" t="str">
        <f>"Serv.Prest. 21/04/2025 a 27/04/2025 - RPS: 709 - NFSe: 2938"</f>
        <v>Serv.Prest. 21/04/2025 a 27/04/2025 - RPS: 709 - NFSe: 2938</v>
      </c>
      <c r="H2210" t="str">
        <f>("01/05/2025")</f>
        <v>01/05/2025</v>
      </c>
      <c r="I2210" t="str">
        <f>("29/04/2025")</f>
        <v>29/04/2025</v>
      </c>
      <c r="J2210" t="str">
        <f t="shared" si="1118"/>
        <v>05/05/2025</v>
      </c>
      <c r="K2210">
        <v>775.58</v>
      </c>
      <c r="L2210">
        <v>775.58</v>
      </c>
      <c r="M2210">
        <v>303</v>
      </c>
      <c r="N2210" t="str">
        <f t="shared" si="1115"/>
        <v>RECEITAS COM ENTREGAS</v>
      </c>
      <c r="O2210">
        <v>775.58</v>
      </c>
      <c r="R2210" t="str">
        <f t="shared" si="1116"/>
        <v>RECEITAS COM ENTREGAS (303)</v>
      </c>
      <c r="S2210">
        <v>1419</v>
      </c>
      <c r="T2210">
        <v>1130</v>
      </c>
      <c r="U2210" t="s">
        <v>19</v>
      </c>
    </row>
    <row r="2211" spans="1:21">
      <c r="A2211" t="str">
        <f t="shared" si="1112"/>
        <v>05/05/2025</v>
      </c>
      <c r="B2211" t="str">
        <f t="shared" si="1117"/>
        <v>ENTRADA</v>
      </c>
      <c r="C2211" t="str">
        <f t="shared" si="1113"/>
        <v>NFSE</v>
      </c>
      <c r="D2211" t="str">
        <f>"2938"</f>
        <v>2938</v>
      </c>
      <c r="E2211" t="str">
        <f t="shared" si="1111"/>
        <v>COM</v>
      </c>
      <c r="F2211" t="str">
        <f>"DROGARIA POUPA MINAS (DOIS AMIGOS) 5 (10140)"</f>
        <v>DROGARIA POUPA MINAS (DOIS AMIGOS) 5 (10140)</v>
      </c>
      <c r="G2211" t="str">
        <f>"Serv.Prest. 21/04/2025 a 27/04/2025 - RPS: 709 - NFSe: 2938"</f>
        <v>Serv.Prest. 21/04/2025 a 27/04/2025 - RPS: 709 - NFSe: 2938</v>
      </c>
      <c r="H2211" t="str">
        <f>("01/05/2025")</f>
        <v>01/05/2025</v>
      </c>
      <c r="I2211" t="str">
        <f>("29/04/2025")</f>
        <v>29/04/2025</v>
      </c>
      <c r="J2211" t="str">
        <f t="shared" si="1118"/>
        <v>05/05/2025</v>
      </c>
      <c r="M2211">
        <v>303</v>
      </c>
      <c r="N2211" t="str">
        <f t="shared" si="1115"/>
        <v>RECEITAS COM ENTREGAS</v>
      </c>
      <c r="P2211">
        <v>775.58</v>
      </c>
      <c r="Q2211" t="str">
        <f>"DROGARIA POUPA MINAS (ULTRAMINAS) (10116)"</f>
        <v>DROGARIA POUPA MINAS (ULTRAMINAS) (10116)</v>
      </c>
      <c r="R2211" t="str">
        <f t="shared" si="1116"/>
        <v>RECEITAS COM ENTREGAS (303)</v>
      </c>
      <c r="S2211">
        <v>1419</v>
      </c>
      <c r="T2211">
        <v>1130</v>
      </c>
      <c r="U2211" t="s">
        <v>19</v>
      </c>
    </row>
    <row r="2212" spans="1:21">
      <c r="A2212" t="str">
        <f t="shared" si="1112"/>
        <v>05/05/2025</v>
      </c>
      <c r="B2212" t="str">
        <f>"SAÍDA"</f>
        <v>SAÍDA</v>
      </c>
      <c r="C2212" t="str">
        <f>"JUROS"</f>
        <v>JUROS</v>
      </c>
      <c r="D2212" t="str">
        <f>""</f>
        <v/>
      </c>
      <c r="E2212" t="str">
        <f>"CXA"</f>
        <v>CXA</v>
      </c>
      <c r="F2212" t="str">
        <f>""</f>
        <v/>
      </c>
      <c r="G2212" t="str">
        <f>"TAXA BOLETO COMPENSADO"</f>
        <v>TAXA BOLETO COMPENSADO</v>
      </c>
      <c r="H2212" t="str">
        <f>("05/05/2025")</f>
        <v>05/05/2025</v>
      </c>
      <c r="I2212" t="str">
        <f>("05/05/2025")</f>
        <v>05/05/2025</v>
      </c>
      <c r="J2212" t="str">
        <f t="shared" si="1118"/>
        <v>05/05/2025</v>
      </c>
      <c r="K2212">
        <v>1.7</v>
      </c>
      <c r="L2212">
        <v>1.7</v>
      </c>
      <c r="M2212">
        <v>401</v>
      </c>
      <c r="N2212" t="str">
        <f>"IOF/JUROS/DESP.FINANCEIRA"</f>
        <v>IOF/JUROS/DESP.FINANCEIRA</v>
      </c>
      <c r="O2212">
        <v>1.7</v>
      </c>
      <c r="R2212" t="str">
        <f>"BANCO CORA (102)"</f>
        <v>BANCO CORA (102)</v>
      </c>
      <c r="S2212">
        <v>1638</v>
      </c>
      <c r="T2212">
        <v>0</v>
      </c>
      <c r="U2212" t="s">
        <v>20</v>
      </c>
    </row>
    <row r="2213" spans="1:21">
      <c r="A2213" t="str">
        <f t="shared" si="1112"/>
        <v>05/05/2025</v>
      </c>
      <c r="B2213" t="str">
        <f>"SAÍDA"</f>
        <v>SAÍDA</v>
      </c>
      <c r="C2213" t="str">
        <f>"JUROS"</f>
        <v>JUROS</v>
      </c>
      <c r="D2213" t="str">
        <f>""</f>
        <v/>
      </c>
      <c r="E2213" t="str">
        <f>"CXA"</f>
        <v>CXA</v>
      </c>
      <c r="F2213" t="str">
        <f>""</f>
        <v/>
      </c>
      <c r="G2213" t="str">
        <f>"TAXA BOLETO COMPENSADO"</f>
        <v>TAXA BOLETO COMPENSADO</v>
      </c>
      <c r="H2213" t="str">
        <f>("05/05/2025")</f>
        <v>05/05/2025</v>
      </c>
      <c r="I2213" t="str">
        <f>("05/05/2025")</f>
        <v>05/05/2025</v>
      </c>
      <c r="J2213" t="str">
        <f t="shared" si="1118"/>
        <v>05/05/2025</v>
      </c>
      <c r="K2213">
        <v>1.7</v>
      </c>
      <c r="L2213">
        <v>1.7</v>
      </c>
      <c r="M2213">
        <v>401</v>
      </c>
      <c r="N2213" t="str">
        <f>"IOF/JUROS/DESP.FINANCEIRA"</f>
        <v>IOF/JUROS/DESP.FINANCEIRA</v>
      </c>
      <c r="O2213">
        <v>1.7</v>
      </c>
      <c r="R2213" t="str">
        <f>"BANCO CORA (102)"</f>
        <v>BANCO CORA (102)</v>
      </c>
      <c r="S2213">
        <v>1639</v>
      </c>
      <c r="T2213">
        <v>0</v>
      </c>
      <c r="U2213" t="s">
        <v>20</v>
      </c>
    </row>
    <row r="2214" spans="1:21">
      <c r="A2214" t="str">
        <f>("06/05/2025")</f>
        <v>06/05/2025</v>
      </c>
      <c r="B2214" t="str">
        <f>"SAÍDA"</f>
        <v>SAÍDA</v>
      </c>
      <c r="C2214" t="str">
        <f>"BOLETO"</f>
        <v>BOLETO</v>
      </c>
      <c r="D2214" t="str">
        <f>"01"</f>
        <v>01</v>
      </c>
      <c r="E2214" t="str">
        <f t="shared" ref="E2214:E2245" si="1119">"COM"</f>
        <v>COM</v>
      </c>
      <c r="F2214" t="str">
        <f>"BANCO DO BRASIL (20001)"</f>
        <v>BANCO DO BRASIL (20001)</v>
      </c>
      <c r="G2214" t="str">
        <f>"EMPRESTIMO FUI TECNOLOGIA"</f>
        <v>EMPRESTIMO FUI TECNOLOGIA</v>
      </c>
      <c r="H2214" t="str">
        <f>("06/05/2025")</f>
        <v>06/05/2025</v>
      </c>
      <c r="I2214" t="str">
        <f>("23/07/2024")</f>
        <v>23/07/2024</v>
      </c>
      <c r="J2214" t="str">
        <f>("06/05/2025")</f>
        <v>06/05/2025</v>
      </c>
      <c r="K2214">
        <v>508.77</v>
      </c>
      <c r="L2214">
        <v>508.77</v>
      </c>
      <c r="M2214">
        <v>114</v>
      </c>
      <c r="N2214" t="str">
        <f>"EMPRESTIMOS"</f>
        <v>EMPRESTIMOS</v>
      </c>
      <c r="O2214">
        <v>508.77</v>
      </c>
      <c r="R2214" t="str">
        <f>"BANCO CORA (102)"</f>
        <v>BANCO CORA (102)</v>
      </c>
      <c r="S2214">
        <v>1619</v>
      </c>
      <c r="T2214">
        <v>74</v>
      </c>
      <c r="U2214" t="s">
        <v>19</v>
      </c>
    </row>
    <row r="2215" spans="1:21">
      <c r="A2215" t="str">
        <f>("06/05/2025")</f>
        <v>06/05/2025</v>
      </c>
      <c r="B2215" t="str">
        <f>"SAÍDA"</f>
        <v>SAÍDA</v>
      </c>
      <c r="C2215" t="str">
        <f>"BOLETO"</f>
        <v>BOLETO</v>
      </c>
      <c r="D2215" t="str">
        <f>"01"</f>
        <v>01</v>
      </c>
      <c r="E2215" t="str">
        <f t="shared" si="1119"/>
        <v>COM</v>
      </c>
      <c r="F2215" t="str">
        <f>"BANCO DO BRASIL (20001)"</f>
        <v>BANCO DO BRASIL (20001)</v>
      </c>
      <c r="G2215" t="str">
        <f>"EMPRESTIMO FUI TECNOLOGIA"</f>
        <v>EMPRESTIMO FUI TECNOLOGIA</v>
      </c>
      <c r="H2215" t="str">
        <f>("06/05/2025")</f>
        <v>06/05/2025</v>
      </c>
      <c r="I2215" t="str">
        <f>("23/07/2024")</f>
        <v>23/07/2024</v>
      </c>
      <c r="J2215" t="str">
        <f>("06/05/2025")</f>
        <v>06/05/2025</v>
      </c>
      <c r="M2215">
        <v>114</v>
      </c>
      <c r="N2215" t="str">
        <f>"EMPRESTIMOS"</f>
        <v>EMPRESTIMOS</v>
      </c>
      <c r="P2215">
        <v>508.77</v>
      </c>
      <c r="Q2215" t="str">
        <f>"BANCO DO BRASIL (20001)"</f>
        <v>BANCO DO BRASIL (20001)</v>
      </c>
      <c r="R2215" t="str">
        <f>"BANCO CORA (102)"</f>
        <v>BANCO CORA (102)</v>
      </c>
      <c r="S2215">
        <v>1619</v>
      </c>
      <c r="T2215">
        <v>74</v>
      </c>
      <c r="U2215" t="s">
        <v>19</v>
      </c>
    </row>
    <row r="2216" spans="1:21">
      <c r="A2216" t="str">
        <f t="shared" ref="A2216:A2247" si="1120">("07/05/2025")</f>
        <v>07/05/2025</v>
      </c>
      <c r="B2216" t="str">
        <f>"ENTRADA"</f>
        <v>ENTRADA</v>
      </c>
      <c r="C2216" t="str">
        <f t="shared" ref="C2216:C2247" si="1121">"NFSE"</f>
        <v>NFSE</v>
      </c>
      <c r="D2216" t="str">
        <f>"2915"</f>
        <v>2915</v>
      </c>
      <c r="E2216" t="str">
        <f t="shared" si="1119"/>
        <v>COM</v>
      </c>
      <c r="F2216" t="str">
        <f>"PAGMENOS - LJ 608 (10135)"</f>
        <v>PAGMENOS - LJ 608 (10135)</v>
      </c>
      <c r="G2216" t="str">
        <f>"Serv.Prest. 14/04/2025 a 20/04/2025 - RPS: 686 - NFSe: 2915"</f>
        <v>Serv.Prest. 14/04/2025 a 20/04/2025 - RPS: 686 - NFSe: 2915</v>
      </c>
      <c r="H2216" t="str">
        <f>("01/05/2025")</f>
        <v>01/05/2025</v>
      </c>
      <c r="I2216" t="str">
        <f>("22/04/2025")</f>
        <v>22/04/2025</v>
      </c>
      <c r="J2216" t="str">
        <f t="shared" ref="J2216:J2247" si="1122">("07/05/2025")</f>
        <v>07/05/2025</v>
      </c>
      <c r="K2216">
        <v>280.20999999999998</v>
      </c>
      <c r="L2216">
        <v>280.20999999999998</v>
      </c>
      <c r="M2216">
        <v>303</v>
      </c>
      <c r="N2216" t="str">
        <f t="shared" ref="N2216:N2247" si="1123">"RECEITAS COM ENTREGAS"</f>
        <v>RECEITAS COM ENTREGAS</v>
      </c>
      <c r="O2216">
        <v>280.20999999999998</v>
      </c>
      <c r="R2216" t="str">
        <f t="shared" ref="R2216:R2247" si="1124">"RECEITAS COM ENTREGAS (303)"</f>
        <v>RECEITAS COM ENTREGAS (303)</v>
      </c>
      <c r="S2216">
        <v>1501</v>
      </c>
      <c r="T2216">
        <v>1107</v>
      </c>
      <c r="U2216" t="s">
        <v>19</v>
      </c>
    </row>
    <row r="2217" spans="1:21">
      <c r="A2217" t="str">
        <f t="shared" si="1120"/>
        <v>07/05/2025</v>
      </c>
      <c r="B2217" t="str">
        <f t="shared" ref="B2217:B2280" si="1125">"ENTRADA"</f>
        <v>ENTRADA</v>
      </c>
      <c r="C2217" t="str">
        <f t="shared" si="1121"/>
        <v>NFSE</v>
      </c>
      <c r="D2217" t="str">
        <f>"2915"</f>
        <v>2915</v>
      </c>
      <c r="E2217" t="str">
        <f t="shared" si="1119"/>
        <v>COM</v>
      </c>
      <c r="F2217" t="str">
        <f>"PAGMENOS - LJ 608 (10135)"</f>
        <v>PAGMENOS - LJ 608 (10135)</v>
      </c>
      <c r="G2217" t="str">
        <f>"Serv.Prest. 14/04/2025 a 20/04/2025 - RPS: 686 - NFSe: 2915"</f>
        <v>Serv.Prest. 14/04/2025 a 20/04/2025 - RPS: 686 - NFSe: 2915</v>
      </c>
      <c r="H2217" t="str">
        <f>("01/05/2025")</f>
        <v>01/05/2025</v>
      </c>
      <c r="I2217" t="str">
        <f>("22/04/2025")</f>
        <v>22/04/2025</v>
      </c>
      <c r="J2217" t="str">
        <f t="shared" si="1122"/>
        <v>07/05/2025</v>
      </c>
      <c r="M2217">
        <v>303</v>
      </c>
      <c r="N2217" t="str">
        <f t="shared" si="1123"/>
        <v>RECEITAS COM ENTREGAS</v>
      </c>
      <c r="P2217">
        <v>280.20999999999998</v>
      </c>
      <c r="Q2217" t="str">
        <f>"PAGMENOS - LJ 608 (10135)"</f>
        <v>PAGMENOS - LJ 608 (10135)</v>
      </c>
      <c r="R2217" t="str">
        <f t="shared" si="1124"/>
        <v>RECEITAS COM ENTREGAS (303)</v>
      </c>
      <c r="S2217">
        <v>1501</v>
      </c>
      <c r="T2217">
        <v>1107</v>
      </c>
      <c r="U2217" t="s">
        <v>19</v>
      </c>
    </row>
    <row r="2218" spans="1:21">
      <c r="A2218" t="str">
        <f t="shared" si="1120"/>
        <v>07/05/2025</v>
      </c>
      <c r="B2218" t="str">
        <f t="shared" si="1125"/>
        <v>ENTRADA</v>
      </c>
      <c r="C2218" t="str">
        <f t="shared" si="1121"/>
        <v>NFSE</v>
      </c>
      <c r="D2218" t="str">
        <f>"2916"</f>
        <v>2916</v>
      </c>
      <c r="E2218" t="str">
        <f t="shared" si="1119"/>
        <v>COM</v>
      </c>
      <c r="F2218" t="str">
        <f>"PAGMENOS - LJ 657 (10136)"</f>
        <v>PAGMENOS - LJ 657 (10136)</v>
      </c>
      <c r="G2218" t="str">
        <f>"Serv.Prest. 14/04/2025 a 20/04/2025 - RPS: 687 - NFSe: 2916"</f>
        <v>Serv.Prest. 14/04/2025 a 20/04/2025 - RPS: 687 - NFSe: 2916</v>
      </c>
      <c r="H2218" t="str">
        <f>("01/05/2025")</f>
        <v>01/05/2025</v>
      </c>
      <c r="I2218" t="str">
        <f>("22/04/2025")</f>
        <v>22/04/2025</v>
      </c>
      <c r="J2218" t="str">
        <f t="shared" si="1122"/>
        <v>07/05/2025</v>
      </c>
      <c r="K2218">
        <v>596.6</v>
      </c>
      <c r="L2218">
        <v>596.6</v>
      </c>
      <c r="M2218">
        <v>303</v>
      </c>
      <c r="N2218" t="str">
        <f t="shared" si="1123"/>
        <v>RECEITAS COM ENTREGAS</v>
      </c>
      <c r="O2218">
        <v>596.6</v>
      </c>
      <c r="R2218" t="str">
        <f t="shared" si="1124"/>
        <v>RECEITAS COM ENTREGAS (303)</v>
      </c>
      <c r="S2218">
        <v>1502</v>
      </c>
      <c r="T2218">
        <v>1108</v>
      </c>
      <c r="U2218" t="s">
        <v>19</v>
      </c>
    </row>
    <row r="2219" spans="1:21">
      <c r="A2219" t="str">
        <f t="shared" si="1120"/>
        <v>07/05/2025</v>
      </c>
      <c r="B2219" t="str">
        <f t="shared" si="1125"/>
        <v>ENTRADA</v>
      </c>
      <c r="C2219" t="str">
        <f t="shared" si="1121"/>
        <v>NFSE</v>
      </c>
      <c r="D2219" t="str">
        <f>"2916"</f>
        <v>2916</v>
      </c>
      <c r="E2219" t="str">
        <f t="shared" si="1119"/>
        <v>COM</v>
      </c>
      <c r="F2219" t="str">
        <f>"PAGMENOS - LJ 657 (10136)"</f>
        <v>PAGMENOS - LJ 657 (10136)</v>
      </c>
      <c r="G2219" t="str">
        <f>"Serv.Prest. 14/04/2025 a 20/04/2025 - RPS: 687 - NFSe: 2916"</f>
        <v>Serv.Prest. 14/04/2025 a 20/04/2025 - RPS: 687 - NFSe: 2916</v>
      </c>
      <c r="H2219" t="str">
        <f>("01/05/2025")</f>
        <v>01/05/2025</v>
      </c>
      <c r="I2219" t="str">
        <f>("22/04/2025")</f>
        <v>22/04/2025</v>
      </c>
      <c r="J2219" t="str">
        <f t="shared" si="1122"/>
        <v>07/05/2025</v>
      </c>
      <c r="M2219">
        <v>303</v>
      </c>
      <c r="N2219" t="str">
        <f t="shared" si="1123"/>
        <v>RECEITAS COM ENTREGAS</v>
      </c>
      <c r="P2219">
        <v>596.6</v>
      </c>
      <c r="Q2219" t="str">
        <f>"PAGMENOS - LJ 657 (10136)"</f>
        <v>PAGMENOS - LJ 657 (10136)</v>
      </c>
      <c r="R2219" t="str">
        <f t="shared" si="1124"/>
        <v>RECEITAS COM ENTREGAS (303)</v>
      </c>
      <c r="S2219">
        <v>1502</v>
      </c>
      <c r="T2219">
        <v>1108</v>
      </c>
      <c r="U2219" t="s">
        <v>19</v>
      </c>
    </row>
    <row r="2220" spans="1:21">
      <c r="A2220" t="str">
        <f t="shared" si="1120"/>
        <v>07/05/2025</v>
      </c>
      <c r="B2220" t="str">
        <f t="shared" si="1125"/>
        <v>ENTRADA</v>
      </c>
      <c r="C2220" t="str">
        <f t="shared" si="1121"/>
        <v>NFSE</v>
      </c>
      <c r="D2220" t="str">
        <f t="shared" ref="D2220:D2265" si="1126">"2924"</f>
        <v>2924</v>
      </c>
      <c r="E2220" t="str">
        <f t="shared" si="1119"/>
        <v>COM</v>
      </c>
      <c r="F2220" t="str">
        <f t="shared" ref="F2220:F2265" si="1127">"FARMÁCIA INDIANA LJ 1 (10126)"</f>
        <v>FARMÁCIA INDIANA LJ 1 (10126)</v>
      </c>
      <c r="G2220" t="str">
        <f t="shared" ref="G2220:G2265" si="1128">"Serv.Prest. 21/04/2025 a 24/04/2025 - RPS: 695 - NFSe: 2924"</f>
        <v>Serv.Prest. 21/04/2025 a 24/04/2025 - RPS: 695 - NFSe: 2924</v>
      </c>
      <c r="H2220" t="str">
        <f t="shared" ref="H2220:H2251" si="1129">("07/05/2025")</f>
        <v>07/05/2025</v>
      </c>
      <c r="I2220" t="str">
        <f t="shared" ref="I2220:I2251" si="1130">("25/04/2025")</f>
        <v>25/04/2025</v>
      </c>
      <c r="J2220" t="str">
        <f t="shared" si="1122"/>
        <v>07/05/2025</v>
      </c>
      <c r="K2220">
        <v>9897.7900000000009</v>
      </c>
      <c r="L2220">
        <v>9897.7900000000009</v>
      </c>
      <c r="M2220">
        <v>303</v>
      </c>
      <c r="N2220" t="str">
        <f t="shared" si="1123"/>
        <v>RECEITAS COM ENTREGAS</v>
      </c>
      <c r="O2220">
        <v>9897.7900000000009</v>
      </c>
      <c r="R2220" t="str">
        <f t="shared" si="1124"/>
        <v>RECEITAS COM ENTREGAS (303)</v>
      </c>
      <c r="S2220">
        <v>1503</v>
      </c>
      <c r="T2220">
        <v>1116</v>
      </c>
      <c r="U2220" t="s">
        <v>19</v>
      </c>
    </row>
    <row r="2221" spans="1:21">
      <c r="A2221" t="str">
        <f t="shared" si="1120"/>
        <v>07/05/2025</v>
      </c>
      <c r="B2221" t="str">
        <f t="shared" si="1125"/>
        <v>ENTRADA</v>
      </c>
      <c r="C2221" t="str">
        <f t="shared" si="1121"/>
        <v>NFSE</v>
      </c>
      <c r="D2221" t="str">
        <f t="shared" si="1126"/>
        <v>2924</v>
      </c>
      <c r="E2221" t="str">
        <f t="shared" si="1119"/>
        <v>COM</v>
      </c>
      <c r="F2221" t="str">
        <f t="shared" si="1127"/>
        <v>FARMÁCIA INDIANA LJ 1 (10126)</v>
      </c>
      <c r="G2221" t="str">
        <f t="shared" si="1128"/>
        <v>Serv.Prest. 21/04/2025 a 24/04/2025 - RPS: 695 - NFSe: 2924</v>
      </c>
      <c r="H2221" t="str">
        <f t="shared" si="1129"/>
        <v>07/05/2025</v>
      </c>
      <c r="I2221" t="str">
        <f t="shared" si="1130"/>
        <v>25/04/2025</v>
      </c>
      <c r="J2221" t="str">
        <f t="shared" si="1122"/>
        <v>07/05/2025</v>
      </c>
      <c r="M2221">
        <v>303</v>
      </c>
      <c r="N2221" t="str">
        <f t="shared" si="1123"/>
        <v>RECEITAS COM ENTREGAS</v>
      </c>
      <c r="P2221">
        <v>1061.05</v>
      </c>
      <c r="Q2221" t="str">
        <f>"FARMÁCIA INDIANA LJ 06 (10006)"</f>
        <v>FARMÁCIA INDIANA LJ 06 (10006)</v>
      </c>
      <c r="R2221" t="str">
        <f t="shared" si="1124"/>
        <v>RECEITAS COM ENTREGAS (303)</v>
      </c>
      <c r="S2221">
        <v>1503</v>
      </c>
      <c r="T2221">
        <v>1116</v>
      </c>
      <c r="U2221" t="s">
        <v>19</v>
      </c>
    </row>
    <row r="2222" spans="1:21">
      <c r="A2222" t="str">
        <f t="shared" si="1120"/>
        <v>07/05/2025</v>
      </c>
      <c r="B2222" t="str">
        <f t="shared" si="1125"/>
        <v>ENTRADA</v>
      </c>
      <c r="C2222" t="str">
        <f t="shared" si="1121"/>
        <v>NFSE</v>
      </c>
      <c r="D2222" t="str">
        <f t="shared" si="1126"/>
        <v>2924</v>
      </c>
      <c r="E2222" t="str">
        <f t="shared" si="1119"/>
        <v>COM</v>
      </c>
      <c r="F2222" t="str">
        <f t="shared" si="1127"/>
        <v>FARMÁCIA INDIANA LJ 1 (10126)</v>
      </c>
      <c r="G2222" t="str">
        <f t="shared" si="1128"/>
        <v>Serv.Prest. 21/04/2025 a 24/04/2025 - RPS: 695 - NFSe: 2924</v>
      </c>
      <c r="H2222" t="str">
        <f t="shared" si="1129"/>
        <v>07/05/2025</v>
      </c>
      <c r="I2222" t="str">
        <f t="shared" si="1130"/>
        <v>25/04/2025</v>
      </c>
      <c r="J2222" t="str">
        <f t="shared" si="1122"/>
        <v>07/05/2025</v>
      </c>
      <c r="M2222">
        <v>303</v>
      </c>
      <c r="N2222" t="str">
        <f t="shared" si="1123"/>
        <v>RECEITAS COM ENTREGAS</v>
      </c>
      <c r="P2222">
        <v>1165.96</v>
      </c>
      <c r="Q2222" t="str">
        <f>"FARMÁCIA INDIANA LJ 07 (10007)"</f>
        <v>FARMÁCIA INDIANA LJ 07 (10007)</v>
      </c>
      <c r="R2222" t="str">
        <f t="shared" si="1124"/>
        <v>RECEITAS COM ENTREGAS (303)</v>
      </c>
      <c r="S2222">
        <v>1503</v>
      </c>
      <c r="T2222">
        <v>1116</v>
      </c>
      <c r="U2222" t="s">
        <v>19</v>
      </c>
    </row>
    <row r="2223" spans="1:21">
      <c r="A2223" t="str">
        <f t="shared" si="1120"/>
        <v>07/05/2025</v>
      </c>
      <c r="B2223" t="str">
        <f t="shared" si="1125"/>
        <v>ENTRADA</v>
      </c>
      <c r="C2223" t="str">
        <f t="shared" si="1121"/>
        <v>NFSE</v>
      </c>
      <c r="D2223" t="str">
        <f t="shared" si="1126"/>
        <v>2924</v>
      </c>
      <c r="E2223" t="str">
        <f t="shared" si="1119"/>
        <v>COM</v>
      </c>
      <c r="F2223" t="str">
        <f t="shared" si="1127"/>
        <v>FARMÁCIA INDIANA LJ 1 (10126)</v>
      </c>
      <c r="G2223" t="str">
        <f t="shared" si="1128"/>
        <v>Serv.Prest. 21/04/2025 a 24/04/2025 - RPS: 695 - NFSe: 2924</v>
      </c>
      <c r="H2223" t="str">
        <f t="shared" si="1129"/>
        <v>07/05/2025</v>
      </c>
      <c r="I2223" t="str">
        <f t="shared" si="1130"/>
        <v>25/04/2025</v>
      </c>
      <c r="J2223" t="str">
        <f t="shared" si="1122"/>
        <v>07/05/2025</v>
      </c>
      <c r="M2223">
        <v>303</v>
      </c>
      <c r="N2223" t="str">
        <f t="shared" si="1123"/>
        <v>RECEITAS COM ENTREGAS</v>
      </c>
      <c r="P2223">
        <v>563.17999999999995</v>
      </c>
      <c r="Q2223" t="str">
        <f>"FARMÁCIA INDIANA LJ 11 (10008)"</f>
        <v>FARMÁCIA INDIANA LJ 11 (10008)</v>
      </c>
      <c r="R2223" t="str">
        <f t="shared" si="1124"/>
        <v>RECEITAS COM ENTREGAS (303)</v>
      </c>
      <c r="S2223">
        <v>1503</v>
      </c>
      <c r="T2223">
        <v>1116</v>
      </c>
      <c r="U2223" t="s">
        <v>19</v>
      </c>
    </row>
    <row r="2224" spans="1:21">
      <c r="A2224" t="str">
        <f t="shared" si="1120"/>
        <v>07/05/2025</v>
      </c>
      <c r="B2224" t="str">
        <f t="shared" si="1125"/>
        <v>ENTRADA</v>
      </c>
      <c r="C2224" t="str">
        <f t="shared" si="1121"/>
        <v>NFSE</v>
      </c>
      <c r="D2224" t="str">
        <f t="shared" si="1126"/>
        <v>2924</v>
      </c>
      <c r="E2224" t="str">
        <f t="shared" si="1119"/>
        <v>COM</v>
      </c>
      <c r="F2224" t="str">
        <f t="shared" si="1127"/>
        <v>FARMÁCIA INDIANA LJ 1 (10126)</v>
      </c>
      <c r="G2224" t="str">
        <f t="shared" si="1128"/>
        <v>Serv.Prest. 21/04/2025 a 24/04/2025 - RPS: 695 - NFSe: 2924</v>
      </c>
      <c r="H2224" t="str">
        <f t="shared" si="1129"/>
        <v>07/05/2025</v>
      </c>
      <c r="I2224" t="str">
        <f t="shared" si="1130"/>
        <v>25/04/2025</v>
      </c>
      <c r="J2224" t="str">
        <f t="shared" si="1122"/>
        <v>07/05/2025</v>
      </c>
      <c r="M2224">
        <v>303</v>
      </c>
      <c r="N2224" t="str">
        <f t="shared" si="1123"/>
        <v>RECEITAS COM ENTREGAS</v>
      </c>
      <c r="P2224">
        <v>258.33</v>
      </c>
      <c r="Q2224" t="str">
        <f>"FARMÁCIA INDIANA LJ 14 (10009)"</f>
        <v>FARMÁCIA INDIANA LJ 14 (10009)</v>
      </c>
      <c r="R2224" t="str">
        <f t="shared" si="1124"/>
        <v>RECEITAS COM ENTREGAS (303)</v>
      </c>
      <c r="S2224">
        <v>1503</v>
      </c>
      <c r="T2224">
        <v>1116</v>
      </c>
      <c r="U2224" t="s">
        <v>19</v>
      </c>
    </row>
    <row r="2225" spans="1:21">
      <c r="A2225" t="str">
        <f t="shared" si="1120"/>
        <v>07/05/2025</v>
      </c>
      <c r="B2225" t="str">
        <f t="shared" si="1125"/>
        <v>ENTRADA</v>
      </c>
      <c r="C2225" t="str">
        <f t="shared" si="1121"/>
        <v>NFSE</v>
      </c>
      <c r="D2225" t="str">
        <f t="shared" si="1126"/>
        <v>2924</v>
      </c>
      <c r="E2225" t="str">
        <f t="shared" si="1119"/>
        <v>COM</v>
      </c>
      <c r="F2225" t="str">
        <f t="shared" si="1127"/>
        <v>FARMÁCIA INDIANA LJ 1 (10126)</v>
      </c>
      <c r="G2225" t="str">
        <f t="shared" si="1128"/>
        <v>Serv.Prest. 21/04/2025 a 24/04/2025 - RPS: 695 - NFSe: 2924</v>
      </c>
      <c r="H2225" t="str">
        <f t="shared" si="1129"/>
        <v>07/05/2025</v>
      </c>
      <c r="I2225" t="str">
        <f t="shared" si="1130"/>
        <v>25/04/2025</v>
      </c>
      <c r="J2225" t="str">
        <f t="shared" si="1122"/>
        <v>07/05/2025</v>
      </c>
      <c r="M2225">
        <v>303</v>
      </c>
      <c r="N2225" t="str">
        <f t="shared" si="1123"/>
        <v>RECEITAS COM ENTREGAS</v>
      </c>
      <c r="P2225">
        <v>212.8</v>
      </c>
      <c r="Q2225" t="str">
        <f>"FARMÁCIA INDIANA LJ 18 (10011)"</f>
        <v>FARMÁCIA INDIANA LJ 18 (10011)</v>
      </c>
      <c r="R2225" t="str">
        <f t="shared" si="1124"/>
        <v>RECEITAS COM ENTREGAS (303)</v>
      </c>
      <c r="S2225">
        <v>1503</v>
      </c>
      <c r="T2225">
        <v>1116</v>
      </c>
      <c r="U2225" t="s">
        <v>19</v>
      </c>
    </row>
    <row r="2226" spans="1:21">
      <c r="A2226" t="str">
        <f t="shared" si="1120"/>
        <v>07/05/2025</v>
      </c>
      <c r="B2226" t="str">
        <f t="shared" si="1125"/>
        <v>ENTRADA</v>
      </c>
      <c r="C2226" t="str">
        <f t="shared" si="1121"/>
        <v>NFSE</v>
      </c>
      <c r="D2226" t="str">
        <f t="shared" si="1126"/>
        <v>2924</v>
      </c>
      <c r="E2226" t="str">
        <f t="shared" si="1119"/>
        <v>COM</v>
      </c>
      <c r="F2226" t="str">
        <f t="shared" si="1127"/>
        <v>FARMÁCIA INDIANA LJ 1 (10126)</v>
      </c>
      <c r="G2226" t="str">
        <f t="shared" si="1128"/>
        <v>Serv.Prest. 21/04/2025 a 24/04/2025 - RPS: 695 - NFSe: 2924</v>
      </c>
      <c r="H2226" t="str">
        <f t="shared" si="1129"/>
        <v>07/05/2025</v>
      </c>
      <c r="I2226" t="str">
        <f t="shared" si="1130"/>
        <v>25/04/2025</v>
      </c>
      <c r="J2226" t="str">
        <f t="shared" si="1122"/>
        <v>07/05/2025</v>
      </c>
      <c r="M2226">
        <v>303</v>
      </c>
      <c r="N2226" t="str">
        <f t="shared" si="1123"/>
        <v>RECEITAS COM ENTREGAS</v>
      </c>
      <c r="P2226">
        <v>217.75</v>
      </c>
      <c r="Q2226" t="str">
        <f>"FARMÁCIA INDIANA LJ 19 (10012)"</f>
        <v>FARMÁCIA INDIANA LJ 19 (10012)</v>
      </c>
      <c r="R2226" t="str">
        <f t="shared" si="1124"/>
        <v>RECEITAS COM ENTREGAS (303)</v>
      </c>
      <c r="S2226">
        <v>1503</v>
      </c>
      <c r="T2226">
        <v>1116</v>
      </c>
      <c r="U2226" t="s">
        <v>19</v>
      </c>
    </row>
    <row r="2227" spans="1:21">
      <c r="A2227" t="str">
        <f t="shared" si="1120"/>
        <v>07/05/2025</v>
      </c>
      <c r="B2227" t="str">
        <f t="shared" si="1125"/>
        <v>ENTRADA</v>
      </c>
      <c r="C2227" t="str">
        <f t="shared" si="1121"/>
        <v>NFSE</v>
      </c>
      <c r="D2227" t="str">
        <f t="shared" si="1126"/>
        <v>2924</v>
      </c>
      <c r="E2227" t="str">
        <f t="shared" si="1119"/>
        <v>COM</v>
      </c>
      <c r="F2227" t="str">
        <f t="shared" si="1127"/>
        <v>FARMÁCIA INDIANA LJ 1 (10126)</v>
      </c>
      <c r="G2227" t="str">
        <f t="shared" si="1128"/>
        <v>Serv.Prest. 21/04/2025 a 24/04/2025 - RPS: 695 - NFSe: 2924</v>
      </c>
      <c r="H2227" t="str">
        <f t="shared" si="1129"/>
        <v>07/05/2025</v>
      </c>
      <c r="I2227" t="str">
        <f t="shared" si="1130"/>
        <v>25/04/2025</v>
      </c>
      <c r="J2227" t="str">
        <f t="shared" si="1122"/>
        <v>07/05/2025</v>
      </c>
      <c r="M2227">
        <v>303</v>
      </c>
      <c r="N2227" t="str">
        <f t="shared" si="1123"/>
        <v>RECEITAS COM ENTREGAS</v>
      </c>
      <c r="P2227">
        <v>371.17</v>
      </c>
      <c r="Q2227" t="str">
        <f>"FARMÁCIA INDIANA LJ 40 (10016)"</f>
        <v>FARMÁCIA INDIANA LJ 40 (10016)</v>
      </c>
      <c r="R2227" t="str">
        <f t="shared" si="1124"/>
        <v>RECEITAS COM ENTREGAS (303)</v>
      </c>
      <c r="S2227">
        <v>1503</v>
      </c>
      <c r="T2227">
        <v>1116</v>
      </c>
      <c r="U2227" t="s">
        <v>19</v>
      </c>
    </row>
    <row r="2228" spans="1:21">
      <c r="A2228" t="str">
        <f t="shared" si="1120"/>
        <v>07/05/2025</v>
      </c>
      <c r="B2228" t="str">
        <f t="shared" si="1125"/>
        <v>ENTRADA</v>
      </c>
      <c r="C2228" t="str">
        <f t="shared" si="1121"/>
        <v>NFSE</v>
      </c>
      <c r="D2228" t="str">
        <f t="shared" si="1126"/>
        <v>2924</v>
      </c>
      <c r="E2228" t="str">
        <f t="shared" si="1119"/>
        <v>COM</v>
      </c>
      <c r="F2228" t="str">
        <f t="shared" si="1127"/>
        <v>FARMÁCIA INDIANA LJ 1 (10126)</v>
      </c>
      <c r="G2228" t="str">
        <f t="shared" si="1128"/>
        <v>Serv.Prest. 21/04/2025 a 24/04/2025 - RPS: 695 - NFSe: 2924</v>
      </c>
      <c r="H2228" t="str">
        <f t="shared" si="1129"/>
        <v>07/05/2025</v>
      </c>
      <c r="I2228" t="str">
        <f t="shared" si="1130"/>
        <v>25/04/2025</v>
      </c>
      <c r="J2228" t="str">
        <f t="shared" si="1122"/>
        <v>07/05/2025</v>
      </c>
      <c r="M2228">
        <v>303</v>
      </c>
      <c r="N2228" t="str">
        <f t="shared" si="1123"/>
        <v>RECEITAS COM ENTREGAS</v>
      </c>
      <c r="P2228">
        <v>217.75</v>
      </c>
      <c r="Q2228" t="str">
        <f>"FARMÁCIA INDIANA LJ 59 (10026)"</f>
        <v>FARMÁCIA INDIANA LJ 59 (10026)</v>
      </c>
      <c r="R2228" t="str">
        <f t="shared" si="1124"/>
        <v>RECEITAS COM ENTREGAS (303)</v>
      </c>
      <c r="S2228">
        <v>1503</v>
      </c>
      <c r="T2228">
        <v>1116</v>
      </c>
      <c r="U2228" t="s">
        <v>19</v>
      </c>
    </row>
    <row r="2229" spans="1:21">
      <c r="A2229" t="str">
        <f t="shared" si="1120"/>
        <v>07/05/2025</v>
      </c>
      <c r="B2229" t="str">
        <f t="shared" si="1125"/>
        <v>ENTRADA</v>
      </c>
      <c r="C2229" t="str">
        <f t="shared" si="1121"/>
        <v>NFSE</v>
      </c>
      <c r="D2229" t="str">
        <f t="shared" si="1126"/>
        <v>2924</v>
      </c>
      <c r="E2229" t="str">
        <f t="shared" si="1119"/>
        <v>COM</v>
      </c>
      <c r="F2229" t="str">
        <f t="shared" si="1127"/>
        <v>FARMÁCIA INDIANA LJ 1 (10126)</v>
      </c>
      <c r="G2229" t="str">
        <f t="shared" si="1128"/>
        <v>Serv.Prest. 21/04/2025 a 24/04/2025 - RPS: 695 - NFSe: 2924</v>
      </c>
      <c r="H2229" t="str">
        <f t="shared" si="1129"/>
        <v>07/05/2025</v>
      </c>
      <c r="I2229" t="str">
        <f t="shared" si="1130"/>
        <v>25/04/2025</v>
      </c>
      <c r="J2229" t="str">
        <f t="shared" si="1122"/>
        <v>07/05/2025</v>
      </c>
      <c r="M2229">
        <v>303</v>
      </c>
      <c r="N2229" t="str">
        <f t="shared" si="1123"/>
        <v>RECEITAS COM ENTREGAS</v>
      </c>
      <c r="P2229">
        <v>300.89</v>
      </c>
      <c r="Q2229" t="str">
        <f>"FARMÁCIA INDIANA LJ 61 (10027)"</f>
        <v>FARMÁCIA INDIANA LJ 61 (10027)</v>
      </c>
      <c r="R2229" t="str">
        <f t="shared" si="1124"/>
        <v>RECEITAS COM ENTREGAS (303)</v>
      </c>
      <c r="S2229">
        <v>1503</v>
      </c>
      <c r="T2229">
        <v>1116</v>
      </c>
      <c r="U2229" t="s">
        <v>19</v>
      </c>
    </row>
    <row r="2230" spans="1:21">
      <c r="A2230" t="str">
        <f t="shared" si="1120"/>
        <v>07/05/2025</v>
      </c>
      <c r="B2230" t="str">
        <f t="shared" si="1125"/>
        <v>ENTRADA</v>
      </c>
      <c r="C2230" t="str">
        <f t="shared" si="1121"/>
        <v>NFSE</v>
      </c>
      <c r="D2230" t="str">
        <f t="shared" si="1126"/>
        <v>2924</v>
      </c>
      <c r="E2230" t="str">
        <f t="shared" si="1119"/>
        <v>COM</v>
      </c>
      <c r="F2230" t="str">
        <f t="shared" si="1127"/>
        <v>FARMÁCIA INDIANA LJ 1 (10126)</v>
      </c>
      <c r="G2230" t="str">
        <f t="shared" si="1128"/>
        <v>Serv.Prest. 21/04/2025 a 24/04/2025 - RPS: 695 - NFSe: 2924</v>
      </c>
      <c r="H2230" t="str">
        <f t="shared" si="1129"/>
        <v>07/05/2025</v>
      </c>
      <c r="I2230" t="str">
        <f t="shared" si="1130"/>
        <v>25/04/2025</v>
      </c>
      <c r="J2230" t="str">
        <f t="shared" si="1122"/>
        <v>07/05/2025</v>
      </c>
      <c r="M2230">
        <v>303</v>
      </c>
      <c r="N2230" t="str">
        <f t="shared" si="1123"/>
        <v>RECEITAS COM ENTREGAS</v>
      </c>
      <c r="P2230">
        <v>275.16000000000003</v>
      </c>
      <c r="Q2230" t="str">
        <f>"FARMÁCIA INDIANA LJ 62 (10028)"</f>
        <v>FARMÁCIA INDIANA LJ 62 (10028)</v>
      </c>
      <c r="R2230" t="str">
        <f t="shared" si="1124"/>
        <v>RECEITAS COM ENTREGAS (303)</v>
      </c>
      <c r="S2230">
        <v>1503</v>
      </c>
      <c r="T2230">
        <v>1116</v>
      </c>
      <c r="U2230" t="s">
        <v>19</v>
      </c>
    </row>
    <row r="2231" spans="1:21">
      <c r="A2231" t="str">
        <f t="shared" si="1120"/>
        <v>07/05/2025</v>
      </c>
      <c r="B2231" t="str">
        <f t="shared" si="1125"/>
        <v>ENTRADA</v>
      </c>
      <c r="C2231" t="str">
        <f t="shared" si="1121"/>
        <v>NFSE</v>
      </c>
      <c r="D2231" t="str">
        <f t="shared" si="1126"/>
        <v>2924</v>
      </c>
      <c r="E2231" t="str">
        <f t="shared" si="1119"/>
        <v>COM</v>
      </c>
      <c r="F2231" t="str">
        <f t="shared" si="1127"/>
        <v>FARMÁCIA INDIANA LJ 1 (10126)</v>
      </c>
      <c r="G2231" t="str">
        <f t="shared" si="1128"/>
        <v>Serv.Prest. 21/04/2025 a 24/04/2025 - RPS: 695 - NFSe: 2924</v>
      </c>
      <c r="H2231" t="str">
        <f t="shared" si="1129"/>
        <v>07/05/2025</v>
      </c>
      <c r="I2231" t="str">
        <f t="shared" si="1130"/>
        <v>25/04/2025</v>
      </c>
      <c r="J2231" t="str">
        <f t="shared" si="1122"/>
        <v>07/05/2025</v>
      </c>
      <c r="M2231">
        <v>303</v>
      </c>
      <c r="N2231" t="str">
        <f t="shared" si="1123"/>
        <v>RECEITAS COM ENTREGAS</v>
      </c>
      <c r="P2231">
        <v>114.81</v>
      </c>
      <c r="Q2231" t="str">
        <f>"FARMÁCIA INDIANA LJ 64 (10029)"</f>
        <v>FARMÁCIA INDIANA LJ 64 (10029)</v>
      </c>
      <c r="R2231" t="str">
        <f t="shared" si="1124"/>
        <v>RECEITAS COM ENTREGAS (303)</v>
      </c>
      <c r="S2231">
        <v>1503</v>
      </c>
      <c r="T2231">
        <v>1116</v>
      </c>
      <c r="U2231" t="s">
        <v>19</v>
      </c>
    </row>
    <row r="2232" spans="1:21">
      <c r="A2232" t="str">
        <f t="shared" si="1120"/>
        <v>07/05/2025</v>
      </c>
      <c r="B2232" t="str">
        <f t="shared" si="1125"/>
        <v>ENTRADA</v>
      </c>
      <c r="C2232" t="str">
        <f t="shared" si="1121"/>
        <v>NFSE</v>
      </c>
      <c r="D2232" t="str">
        <f t="shared" si="1126"/>
        <v>2924</v>
      </c>
      <c r="E2232" t="str">
        <f t="shared" si="1119"/>
        <v>COM</v>
      </c>
      <c r="F2232" t="str">
        <f t="shared" si="1127"/>
        <v>FARMÁCIA INDIANA LJ 1 (10126)</v>
      </c>
      <c r="G2232" t="str">
        <f t="shared" si="1128"/>
        <v>Serv.Prest. 21/04/2025 a 24/04/2025 - RPS: 695 - NFSe: 2924</v>
      </c>
      <c r="H2232" t="str">
        <f t="shared" si="1129"/>
        <v>07/05/2025</v>
      </c>
      <c r="I2232" t="str">
        <f t="shared" si="1130"/>
        <v>25/04/2025</v>
      </c>
      <c r="J2232" t="str">
        <f t="shared" si="1122"/>
        <v>07/05/2025</v>
      </c>
      <c r="M2232">
        <v>303</v>
      </c>
      <c r="N2232" t="str">
        <f t="shared" si="1123"/>
        <v>RECEITAS COM ENTREGAS</v>
      </c>
      <c r="P2232">
        <v>66.319999999999993</v>
      </c>
      <c r="Q2232" t="str">
        <f>"FARMÁCIA INDIANA LJ 97 (10040)"</f>
        <v>FARMÁCIA INDIANA LJ 97 (10040)</v>
      </c>
      <c r="R2232" t="str">
        <f t="shared" si="1124"/>
        <v>RECEITAS COM ENTREGAS (303)</v>
      </c>
      <c r="S2232">
        <v>1503</v>
      </c>
      <c r="T2232">
        <v>1116</v>
      </c>
      <c r="U2232" t="s">
        <v>19</v>
      </c>
    </row>
    <row r="2233" spans="1:21">
      <c r="A2233" t="str">
        <f t="shared" si="1120"/>
        <v>07/05/2025</v>
      </c>
      <c r="B2233" t="str">
        <f t="shared" si="1125"/>
        <v>ENTRADA</v>
      </c>
      <c r="C2233" t="str">
        <f t="shared" si="1121"/>
        <v>NFSE</v>
      </c>
      <c r="D2233" t="str">
        <f t="shared" si="1126"/>
        <v>2924</v>
      </c>
      <c r="E2233" t="str">
        <f t="shared" si="1119"/>
        <v>COM</v>
      </c>
      <c r="F2233" t="str">
        <f t="shared" si="1127"/>
        <v>FARMÁCIA INDIANA LJ 1 (10126)</v>
      </c>
      <c r="G2233" t="str">
        <f t="shared" si="1128"/>
        <v>Serv.Prest. 21/04/2025 a 24/04/2025 - RPS: 695 - NFSe: 2924</v>
      </c>
      <c r="H2233" t="str">
        <f t="shared" si="1129"/>
        <v>07/05/2025</v>
      </c>
      <c r="I2233" t="str">
        <f t="shared" si="1130"/>
        <v>25/04/2025</v>
      </c>
      <c r="J2233" t="str">
        <f t="shared" si="1122"/>
        <v>07/05/2025</v>
      </c>
      <c r="M2233">
        <v>303</v>
      </c>
      <c r="N2233" t="str">
        <f t="shared" si="1123"/>
        <v>RECEITAS COM ENTREGAS</v>
      </c>
      <c r="P2233">
        <v>320.69</v>
      </c>
      <c r="Q2233" t="str">
        <f>"FARMÁCIA INDIANA LJ 100 (10042)"</f>
        <v>FARMÁCIA INDIANA LJ 100 (10042)</v>
      </c>
      <c r="R2233" t="str">
        <f t="shared" si="1124"/>
        <v>RECEITAS COM ENTREGAS (303)</v>
      </c>
      <c r="S2233">
        <v>1503</v>
      </c>
      <c r="T2233">
        <v>1116</v>
      </c>
      <c r="U2233" t="s">
        <v>19</v>
      </c>
    </row>
    <row r="2234" spans="1:21">
      <c r="A2234" t="str">
        <f t="shared" si="1120"/>
        <v>07/05/2025</v>
      </c>
      <c r="B2234" t="str">
        <f t="shared" si="1125"/>
        <v>ENTRADA</v>
      </c>
      <c r="C2234" t="str">
        <f t="shared" si="1121"/>
        <v>NFSE</v>
      </c>
      <c r="D2234" t="str">
        <f t="shared" si="1126"/>
        <v>2924</v>
      </c>
      <c r="E2234" t="str">
        <f t="shared" si="1119"/>
        <v>COM</v>
      </c>
      <c r="F2234" t="str">
        <f t="shared" si="1127"/>
        <v>FARMÁCIA INDIANA LJ 1 (10126)</v>
      </c>
      <c r="G2234" t="str">
        <f t="shared" si="1128"/>
        <v>Serv.Prest. 21/04/2025 a 24/04/2025 - RPS: 695 - NFSe: 2924</v>
      </c>
      <c r="H2234" t="str">
        <f t="shared" si="1129"/>
        <v>07/05/2025</v>
      </c>
      <c r="I2234" t="str">
        <f t="shared" si="1130"/>
        <v>25/04/2025</v>
      </c>
      <c r="J2234" t="str">
        <f t="shared" si="1122"/>
        <v>07/05/2025</v>
      </c>
      <c r="M2234">
        <v>303</v>
      </c>
      <c r="N2234" t="str">
        <f t="shared" si="1123"/>
        <v>RECEITAS COM ENTREGAS</v>
      </c>
      <c r="P2234">
        <v>542.4</v>
      </c>
      <c r="Q2234" t="str">
        <f>"FARMÁCIA INDIANA LJ 101 (10043)"</f>
        <v>FARMÁCIA INDIANA LJ 101 (10043)</v>
      </c>
      <c r="R2234" t="str">
        <f t="shared" si="1124"/>
        <v>RECEITAS COM ENTREGAS (303)</v>
      </c>
      <c r="S2234">
        <v>1503</v>
      </c>
      <c r="T2234">
        <v>1116</v>
      </c>
      <c r="U2234" t="s">
        <v>19</v>
      </c>
    </row>
    <row r="2235" spans="1:21">
      <c r="A2235" t="str">
        <f t="shared" si="1120"/>
        <v>07/05/2025</v>
      </c>
      <c r="B2235" t="str">
        <f t="shared" si="1125"/>
        <v>ENTRADA</v>
      </c>
      <c r="C2235" t="str">
        <f t="shared" si="1121"/>
        <v>NFSE</v>
      </c>
      <c r="D2235" t="str">
        <f t="shared" si="1126"/>
        <v>2924</v>
      </c>
      <c r="E2235" t="str">
        <f t="shared" si="1119"/>
        <v>COM</v>
      </c>
      <c r="F2235" t="str">
        <f t="shared" si="1127"/>
        <v>FARMÁCIA INDIANA LJ 1 (10126)</v>
      </c>
      <c r="G2235" t="str">
        <f t="shared" si="1128"/>
        <v>Serv.Prest. 21/04/2025 a 24/04/2025 - RPS: 695 - NFSe: 2924</v>
      </c>
      <c r="H2235" t="str">
        <f t="shared" si="1129"/>
        <v>07/05/2025</v>
      </c>
      <c r="I2235" t="str">
        <f t="shared" si="1130"/>
        <v>25/04/2025</v>
      </c>
      <c r="J2235" t="str">
        <f t="shared" si="1122"/>
        <v>07/05/2025</v>
      </c>
      <c r="M2235">
        <v>303</v>
      </c>
      <c r="N2235" t="str">
        <f t="shared" si="1123"/>
        <v>RECEITAS COM ENTREGAS</v>
      </c>
      <c r="P2235">
        <v>71.260000000000005</v>
      </c>
      <c r="Q2235" t="str">
        <f>"FARMÁCIA INDIANA LJ 103 (10044)"</f>
        <v>FARMÁCIA INDIANA LJ 103 (10044)</v>
      </c>
      <c r="R2235" t="str">
        <f t="shared" si="1124"/>
        <v>RECEITAS COM ENTREGAS (303)</v>
      </c>
      <c r="S2235">
        <v>1503</v>
      </c>
      <c r="T2235">
        <v>1116</v>
      </c>
      <c r="U2235" t="s">
        <v>19</v>
      </c>
    </row>
    <row r="2236" spans="1:21">
      <c r="A2236" t="str">
        <f t="shared" si="1120"/>
        <v>07/05/2025</v>
      </c>
      <c r="B2236" t="str">
        <f t="shared" si="1125"/>
        <v>ENTRADA</v>
      </c>
      <c r="C2236" t="str">
        <f t="shared" si="1121"/>
        <v>NFSE</v>
      </c>
      <c r="D2236" t="str">
        <f t="shared" si="1126"/>
        <v>2924</v>
      </c>
      <c r="E2236" t="str">
        <f t="shared" si="1119"/>
        <v>COM</v>
      </c>
      <c r="F2236" t="str">
        <f t="shared" si="1127"/>
        <v>FARMÁCIA INDIANA LJ 1 (10126)</v>
      </c>
      <c r="G2236" t="str">
        <f t="shared" si="1128"/>
        <v>Serv.Prest. 21/04/2025 a 24/04/2025 - RPS: 695 - NFSe: 2924</v>
      </c>
      <c r="H2236" t="str">
        <f t="shared" si="1129"/>
        <v>07/05/2025</v>
      </c>
      <c r="I2236" t="str">
        <f t="shared" si="1130"/>
        <v>25/04/2025</v>
      </c>
      <c r="J2236" t="str">
        <f t="shared" si="1122"/>
        <v>07/05/2025</v>
      </c>
      <c r="M2236">
        <v>303</v>
      </c>
      <c r="N2236" t="str">
        <f t="shared" si="1123"/>
        <v>RECEITAS COM ENTREGAS</v>
      </c>
      <c r="P2236">
        <v>102.94</v>
      </c>
      <c r="Q2236" t="str">
        <f>"FARMÁCIA INDIANA LJ 109 (10047)"</f>
        <v>FARMÁCIA INDIANA LJ 109 (10047)</v>
      </c>
      <c r="R2236" t="str">
        <f t="shared" si="1124"/>
        <v>RECEITAS COM ENTREGAS (303)</v>
      </c>
      <c r="S2236">
        <v>1503</v>
      </c>
      <c r="T2236">
        <v>1116</v>
      </c>
      <c r="U2236" t="s">
        <v>19</v>
      </c>
    </row>
    <row r="2237" spans="1:21">
      <c r="A2237" t="str">
        <f t="shared" si="1120"/>
        <v>07/05/2025</v>
      </c>
      <c r="B2237" t="str">
        <f t="shared" si="1125"/>
        <v>ENTRADA</v>
      </c>
      <c r="C2237" t="str">
        <f t="shared" si="1121"/>
        <v>NFSE</v>
      </c>
      <c r="D2237" t="str">
        <f t="shared" si="1126"/>
        <v>2924</v>
      </c>
      <c r="E2237" t="str">
        <f t="shared" si="1119"/>
        <v>COM</v>
      </c>
      <c r="F2237" t="str">
        <f t="shared" si="1127"/>
        <v>FARMÁCIA INDIANA LJ 1 (10126)</v>
      </c>
      <c r="G2237" t="str">
        <f t="shared" si="1128"/>
        <v>Serv.Prest. 21/04/2025 a 24/04/2025 - RPS: 695 - NFSe: 2924</v>
      </c>
      <c r="H2237" t="str">
        <f t="shared" si="1129"/>
        <v>07/05/2025</v>
      </c>
      <c r="I2237" t="str">
        <f t="shared" si="1130"/>
        <v>25/04/2025</v>
      </c>
      <c r="J2237" t="str">
        <f t="shared" si="1122"/>
        <v>07/05/2025</v>
      </c>
      <c r="M2237">
        <v>303</v>
      </c>
      <c r="N2237" t="str">
        <f t="shared" si="1123"/>
        <v>RECEITAS COM ENTREGAS</v>
      </c>
      <c r="P2237">
        <v>330.59</v>
      </c>
      <c r="Q2237" t="str">
        <f>"FARMÁCIA INDIANA LJ 110 (10048)"</f>
        <v>FARMÁCIA INDIANA LJ 110 (10048)</v>
      </c>
      <c r="R2237" t="str">
        <f t="shared" si="1124"/>
        <v>RECEITAS COM ENTREGAS (303)</v>
      </c>
      <c r="S2237">
        <v>1503</v>
      </c>
      <c r="T2237">
        <v>1116</v>
      </c>
      <c r="U2237" t="s">
        <v>19</v>
      </c>
    </row>
    <row r="2238" spans="1:21">
      <c r="A2238" t="str">
        <f t="shared" si="1120"/>
        <v>07/05/2025</v>
      </c>
      <c r="B2238" t="str">
        <f t="shared" si="1125"/>
        <v>ENTRADA</v>
      </c>
      <c r="C2238" t="str">
        <f t="shared" si="1121"/>
        <v>NFSE</v>
      </c>
      <c r="D2238" t="str">
        <f t="shared" si="1126"/>
        <v>2924</v>
      </c>
      <c r="E2238" t="str">
        <f t="shared" si="1119"/>
        <v>COM</v>
      </c>
      <c r="F2238" t="str">
        <f t="shared" si="1127"/>
        <v>FARMÁCIA INDIANA LJ 1 (10126)</v>
      </c>
      <c r="G2238" t="str">
        <f t="shared" si="1128"/>
        <v>Serv.Prest. 21/04/2025 a 24/04/2025 - RPS: 695 - NFSe: 2924</v>
      </c>
      <c r="H2238" t="str">
        <f t="shared" si="1129"/>
        <v>07/05/2025</v>
      </c>
      <c r="I2238" t="str">
        <f t="shared" si="1130"/>
        <v>25/04/2025</v>
      </c>
      <c r="J2238" t="str">
        <f t="shared" si="1122"/>
        <v>07/05/2025</v>
      </c>
      <c r="M2238">
        <v>303</v>
      </c>
      <c r="N2238" t="str">
        <f t="shared" si="1123"/>
        <v>RECEITAS COM ENTREGAS</v>
      </c>
      <c r="P2238">
        <v>64.34</v>
      </c>
      <c r="Q2238" t="str">
        <f>"FARMÁCIA INDIANA LJ 111 (10049)"</f>
        <v>FARMÁCIA INDIANA LJ 111 (10049)</v>
      </c>
      <c r="R2238" t="str">
        <f t="shared" si="1124"/>
        <v>RECEITAS COM ENTREGAS (303)</v>
      </c>
      <c r="S2238">
        <v>1503</v>
      </c>
      <c r="T2238">
        <v>1116</v>
      </c>
      <c r="U2238" t="s">
        <v>19</v>
      </c>
    </row>
    <row r="2239" spans="1:21">
      <c r="A2239" t="str">
        <f t="shared" si="1120"/>
        <v>07/05/2025</v>
      </c>
      <c r="B2239" t="str">
        <f t="shared" si="1125"/>
        <v>ENTRADA</v>
      </c>
      <c r="C2239" t="str">
        <f t="shared" si="1121"/>
        <v>NFSE</v>
      </c>
      <c r="D2239" t="str">
        <f t="shared" si="1126"/>
        <v>2924</v>
      </c>
      <c r="E2239" t="str">
        <f t="shared" si="1119"/>
        <v>COM</v>
      </c>
      <c r="F2239" t="str">
        <f t="shared" si="1127"/>
        <v>FARMÁCIA INDIANA LJ 1 (10126)</v>
      </c>
      <c r="G2239" t="str">
        <f t="shared" si="1128"/>
        <v>Serv.Prest. 21/04/2025 a 24/04/2025 - RPS: 695 - NFSe: 2924</v>
      </c>
      <c r="H2239" t="str">
        <f t="shared" si="1129"/>
        <v>07/05/2025</v>
      </c>
      <c r="I2239" t="str">
        <f t="shared" si="1130"/>
        <v>25/04/2025</v>
      </c>
      <c r="J2239" t="str">
        <f t="shared" si="1122"/>
        <v>07/05/2025</v>
      </c>
      <c r="M2239">
        <v>303</v>
      </c>
      <c r="N2239" t="str">
        <f t="shared" si="1123"/>
        <v>RECEITAS COM ENTREGAS</v>
      </c>
      <c r="P2239">
        <v>126.69</v>
      </c>
      <c r="Q2239" t="str">
        <f>"FARMÁCIA INDIANA LJ 112 (10050)"</f>
        <v>FARMÁCIA INDIANA LJ 112 (10050)</v>
      </c>
      <c r="R2239" t="str">
        <f t="shared" si="1124"/>
        <v>RECEITAS COM ENTREGAS (303)</v>
      </c>
      <c r="S2239">
        <v>1503</v>
      </c>
      <c r="T2239">
        <v>1116</v>
      </c>
      <c r="U2239" t="s">
        <v>19</v>
      </c>
    </row>
    <row r="2240" spans="1:21">
      <c r="A2240" t="str">
        <f t="shared" si="1120"/>
        <v>07/05/2025</v>
      </c>
      <c r="B2240" t="str">
        <f t="shared" si="1125"/>
        <v>ENTRADA</v>
      </c>
      <c r="C2240" t="str">
        <f t="shared" si="1121"/>
        <v>NFSE</v>
      </c>
      <c r="D2240" t="str">
        <f t="shared" si="1126"/>
        <v>2924</v>
      </c>
      <c r="E2240" t="str">
        <f t="shared" si="1119"/>
        <v>COM</v>
      </c>
      <c r="F2240" t="str">
        <f t="shared" si="1127"/>
        <v>FARMÁCIA INDIANA LJ 1 (10126)</v>
      </c>
      <c r="G2240" t="str">
        <f t="shared" si="1128"/>
        <v>Serv.Prest. 21/04/2025 a 24/04/2025 - RPS: 695 - NFSe: 2924</v>
      </c>
      <c r="H2240" t="str">
        <f t="shared" si="1129"/>
        <v>07/05/2025</v>
      </c>
      <c r="I2240" t="str">
        <f t="shared" si="1130"/>
        <v>25/04/2025</v>
      </c>
      <c r="J2240" t="str">
        <f t="shared" si="1122"/>
        <v>07/05/2025</v>
      </c>
      <c r="M2240">
        <v>303</v>
      </c>
      <c r="N2240" t="str">
        <f t="shared" si="1123"/>
        <v>RECEITAS COM ENTREGAS</v>
      </c>
      <c r="P2240">
        <v>126.69</v>
      </c>
      <c r="Q2240" t="str">
        <f>"FARMÁCIA INDIANA LJ 116 (10051)"</f>
        <v>FARMÁCIA INDIANA LJ 116 (10051)</v>
      </c>
      <c r="R2240" t="str">
        <f t="shared" si="1124"/>
        <v>RECEITAS COM ENTREGAS (303)</v>
      </c>
      <c r="S2240">
        <v>1503</v>
      </c>
      <c r="T2240">
        <v>1116</v>
      </c>
      <c r="U2240" t="s">
        <v>19</v>
      </c>
    </row>
    <row r="2241" spans="1:21">
      <c r="A2241" t="str">
        <f t="shared" si="1120"/>
        <v>07/05/2025</v>
      </c>
      <c r="B2241" t="str">
        <f t="shared" si="1125"/>
        <v>ENTRADA</v>
      </c>
      <c r="C2241" t="str">
        <f t="shared" si="1121"/>
        <v>NFSE</v>
      </c>
      <c r="D2241" t="str">
        <f t="shared" si="1126"/>
        <v>2924</v>
      </c>
      <c r="E2241" t="str">
        <f t="shared" si="1119"/>
        <v>COM</v>
      </c>
      <c r="F2241" t="str">
        <f t="shared" si="1127"/>
        <v>FARMÁCIA INDIANA LJ 1 (10126)</v>
      </c>
      <c r="G2241" t="str">
        <f t="shared" si="1128"/>
        <v>Serv.Prest. 21/04/2025 a 24/04/2025 - RPS: 695 - NFSe: 2924</v>
      </c>
      <c r="H2241" t="str">
        <f t="shared" si="1129"/>
        <v>07/05/2025</v>
      </c>
      <c r="I2241" t="str">
        <f t="shared" si="1130"/>
        <v>25/04/2025</v>
      </c>
      <c r="J2241" t="str">
        <f t="shared" si="1122"/>
        <v>07/05/2025</v>
      </c>
      <c r="M2241">
        <v>303</v>
      </c>
      <c r="N2241" t="str">
        <f t="shared" si="1123"/>
        <v>RECEITAS COM ENTREGAS</v>
      </c>
      <c r="P2241">
        <v>103.93</v>
      </c>
      <c r="Q2241" t="str">
        <f>"FARMÁCIA INDIANA LJ 118 (10052)"</f>
        <v>FARMÁCIA INDIANA LJ 118 (10052)</v>
      </c>
      <c r="R2241" t="str">
        <f t="shared" si="1124"/>
        <v>RECEITAS COM ENTREGAS (303)</v>
      </c>
      <c r="S2241">
        <v>1503</v>
      </c>
      <c r="T2241">
        <v>1116</v>
      </c>
      <c r="U2241" t="s">
        <v>19</v>
      </c>
    </row>
    <row r="2242" spans="1:21">
      <c r="A2242" t="str">
        <f t="shared" si="1120"/>
        <v>07/05/2025</v>
      </c>
      <c r="B2242" t="str">
        <f t="shared" si="1125"/>
        <v>ENTRADA</v>
      </c>
      <c r="C2242" t="str">
        <f t="shared" si="1121"/>
        <v>NFSE</v>
      </c>
      <c r="D2242" t="str">
        <f t="shared" si="1126"/>
        <v>2924</v>
      </c>
      <c r="E2242" t="str">
        <f t="shared" si="1119"/>
        <v>COM</v>
      </c>
      <c r="F2242" t="str">
        <f t="shared" si="1127"/>
        <v>FARMÁCIA INDIANA LJ 1 (10126)</v>
      </c>
      <c r="G2242" t="str">
        <f t="shared" si="1128"/>
        <v>Serv.Prest. 21/04/2025 a 24/04/2025 - RPS: 695 - NFSe: 2924</v>
      </c>
      <c r="H2242" t="str">
        <f t="shared" si="1129"/>
        <v>07/05/2025</v>
      </c>
      <c r="I2242" t="str">
        <f t="shared" si="1130"/>
        <v>25/04/2025</v>
      </c>
      <c r="J2242" t="str">
        <f t="shared" si="1122"/>
        <v>07/05/2025</v>
      </c>
      <c r="M2242">
        <v>303</v>
      </c>
      <c r="N2242" t="str">
        <f t="shared" si="1123"/>
        <v>RECEITAS COM ENTREGAS</v>
      </c>
      <c r="P2242">
        <v>126.69</v>
      </c>
      <c r="Q2242" t="str">
        <f>"FARMÁCIA INDIANA LJ 121 (10054)"</f>
        <v>FARMÁCIA INDIANA LJ 121 (10054)</v>
      </c>
      <c r="R2242" t="str">
        <f t="shared" si="1124"/>
        <v>RECEITAS COM ENTREGAS (303)</v>
      </c>
      <c r="S2242">
        <v>1503</v>
      </c>
      <c r="T2242">
        <v>1116</v>
      </c>
      <c r="U2242" t="s">
        <v>19</v>
      </c>
    </row>
    <row r="2243" spans="1:21">
      <c r="A2243" t="str">
        <f t="shared" si="1120"/>
        <v>07/05/2025</v>
      </c>
      <c r="B2243" t="str">
        <f t="shared" si="1125"/>
        <v>ENTRADA</v>
      </c>
      <c r="C2243" t="str">
        <f t="shared" si="1121"/>
        <v>NFSE</v>
      </c>
      <c r="D2243" t="str">
        <f t="shared" si="1126"/>
        <v>2924</v>
      </c>
      <c r="E2243" t="str">
        <f t="shared" si="1119"/>
        <v>COM</v>
      </c>
      <c r="F2243" t="str">
        <f t="shared" si="1127"/>
        <v>FARMÁCIA INDIANA LJ 1 (10126)</v>
      </c>
      <c r="G2243" t="str">
        <f t="shared" si="1128"/>
        <v>Serv.Prest. 21/04/2025 a 24/04/2025 - RPS: 695 - NFSe: 2924</v>
      </c>
      <c r="H2243" t="str">
        <f t="shared" si="1129"/>
        <v>07/05/2025</v>
      </c>
      <c r="I2243" t="str">
        <f t="shared" si="1130"/>
        <v>25/04/2025</v>
      </c>
      <c r="J2243" t="str">
        <f t="shared" si="1122"/>
        <v>07/05/2025</v>
      </c>
      <c r="M2243">
        <v>303</v>
      </c>
      <c r="N2243" t="str">
        <f t="shared" si="1123"/>
        <v>RECEITAS COM ENTREGAS</v>
      </c>
      <c r="P2243">
        <v>126.69</v>
      </c>
      <c r="Q2243" t="str">
        <f>"FARMÁCIA INDIANA LJ 128 (10057)"</f>
        <v>FARMÁCIA INDIANA LJ 128 (10057)</v>
      </c>
      <c r="R2243" t="str">
        <f t="shared" si="1124"/>
        <v>RECEITAS COM ENTREGAS (303)</v>
      </c>
      <c r="S2243">
        <v>1503</v>
      </c>
      <c r="T2243">
        <v>1116</v>
      </c>
      <c r="U2243" t="s">
        <v>19</v>
      </c>
    </row>
    <row r="2244" spans="1:21">
      <c r="A2244" t="str">
        <f t="shared" si="1120"/>
        <v>07/05/2025</v>
      </c>
      <c r="B2244" t="str">
        <f t="shared" si="1125"/>
        <v>ENTRADA</v>
      </c>
      <c r="C2244" t="str">
        <f t="shared" si="1121"/>
        <v>NFSE</v>
      </c>
      <c r="D2244" t="str">
        <f t="shared" si="1126"/>
        <v>2924</v>
      </c>
      <c r="E2244" t="str">
        <f t="shared" si="1119"/>
        <v>COM</v>
      </c>
      <c r="F2244" t="str">
        <f t="shared" si="1127"/>
        <v>FARMÁCIA INDIANA LJ 1 (10126)</v>
      </c>
      <c r="G2244" t="str">
        <f t="shared" si="1128"/>
        <v>Serv.Prest. 21/04/2025 a 24/04/2025 - RPS: 695 - NFSe: 2924</v>
      </c>
      <c r="H2244" t="str">
        <f t="shared" si="1129"/>
        <v>07/05/2025</v>
      </c>
      <c r="I2244" t="str">
        <f t="shared" si="1130"/>
        <v>25/04/2025</v>
      </c>
      <c r="J2244" t="str">
        <f t="shared" si="1122"/>
        <v>07/05/2025</v>
      </c>
      <c r="M2244">
        <v>303</v>
      </c>
      <c r="N2244" t="str">
        <f t="shared" si="1123"/>
        <v>RECEITAS COM ENTREGAS</v>
      </c>
      <c r="P2244">
        <v>28.7</v>
      </c>
      <c r="Q2244" t="str">
        <f>"FARMÁCIA INDIANA LJ 140 (10064)"</f>
        <v>FARMÁCIA INDIANA LJ 140 (10064)</v>
      </c>
      <c r="R2244" t="str">
        <f t="shared" si="1124"/>
        <v>RECEITAS COM ENTREGAS (303)</v>
      </c>
      <c r="S2244">
        <v>1503</v>
      </c>
      <c r="T2244">
        <v>1116</v>
      </c>
      <c r="U2244" t="s">
        <v>19</v>
      </c>
    </row>
    <row r="2245" spans="1:21">
      <c r="A2245" t="str">
        <f t="shared" si="1120"/>
        <v>07/05/2025</v>
      </c>
      <c r="B2245" t="str">
        <f t="shared" si="1125"/>
        <v>ENTRADA</v>
      </c>
      <c r="C2245" t="str">
        <f t="shared" si="1121"/>
        <v>NFSE</v>
      </c>
      <c r="D2245" t="str">
        <f t="shared" si="1126"/>
        <v>2924</v>
      </c>
      <c r="E2245" t="str">
        <f t="shared" si="1119"/>
        <v>COM</v>
      </c>
      <c r="F2245" t="str">
        <f t="shared" si="1127"/>
        <v>FARMÁCIA INDIANA LJ 1 (10126)</v>
      </c>
      <c r="G2245" t="str">
        <f t="shared" si="1128"/>
        <v>Serv.Prest. 21/04/2025 a 24/04/2025 - RPS: 695 - NFSe: 2924</v>
      </c>
      <c r="H2245" t="str">
        <f t="shared" si="1129"/>
        <v>07/05/2025</v>
      </c>
      <c r="I2245" t="str">
        <f t="shared" si="1130"/>
        <v>25/04/2025</v>
      </c>
      <c r="J2245" t="str">
        <f t="shared" si="1122"/>
        <v>07/05/2025</v>
      </c>
      <c r="M2245">
        <v>303</v>
      </c>
      <c r="N2245" t="str">
        <f t="shared" si="1123"/>
        <v>RECEITAS COM ENTREGAS</v>
      </c>
      <c r="P2245">
        <v>20.79</v>
      </c>
      <c r="Q2245" t="str">
        <f>"FARMÁCIA INDIANA LJ 141 (10065)"</f>
        <v>FARMÁCIA INDIANA LJ 141 (10065)</v>
      </c>
      <c r="R2245" t="str">
        <f t="shared" si="1124"/>
        <v>RECEITAS COM ENTREGAS (303)</v>
      </c>
      <c r="S2245">
        <v>1503</v>
      </c>
      <c r="T2245">
        <v>1116</v>
      </c>
      <c r="U2245" t="s">
        <v>19</v>
      </c>
    </row>
    <row r="2246" spans="1:21">
      <c r="A2246" t="str">
        <f t="shared" si="1120"/>
        <v>07/05/2025</v>
      </c>
      <c r="B2246" t="str">
        <f t="shared" si="1125"/>
        <v>ENTRADA</v>
      </c>
      <c r="C2246" t="str">
        <f t="shared" si="1121"/>
        <v>NFSE</v>
      </c>
      <c r="D2246" t="str">
        <f t="shared" si="1126"/>
        <v>2924</v>
      </c>
      <c r="E2246" t="str">
        <f t="shared" ref="E2246:E2277" si="1131">"COM"</f>
        <v>COM</v>
      </c>
      <c r="F2246" t="str">
        <f t="shared" si="1127"/>
        <v>FARMÁCIA INDIANA LJ 1 (10126)</v>
      </c>
      <c r="G2246" t="str">
        <f t="shared" si="1128"/>
        <v>Serv.Prest. 21/04/2025 a 24/04/2025 - RPS: 695 - NFSe: 2924</v>
      </c>
      <c r="H2246" t="str">
        <f t="shared" si="1129"/>
        <v>07/05/2025</v>
      </c>
      <c r="I2246" t="str">
        <f t="shared" si="1130"/>
        <v>25/04/2025</v>
      </c>
      <c r="J2246" t="str">
        <f t="shared" si="1122"/>
        <v>07/05/2025</v>
      </c>
      <c r="M2246">
        <v>303</v>
      </c>
      <c r="N2246" t="str">
        <f t="shared" si="1123"/>
        <v>RECEITAS COM ENTREGAS</v>
      </c>
      <c r="P2246">
        <v>506.77</v>
      </c>
      <c r="Q2246" t="str">
        <f>"FARMÁCIA INDIANA LJ 142 (10066)"</f>
        <v>FARMÁCIA INDIANA LJ 142 (10066)</v>
      </c>
      <c r="R2246" t="str">
        <f t="shared" si="1124"/>
        <v>RECEITAS COM ENTREGAS (303)</v>
      </c>
      <c r="S2246">
        <v>1503</v>
      </c>
      <c r="T2246">
        <v>1116</v>
      </c>
      <c r="U2246" t="s">
        <v>19</v>
      </c>
    </row>
    <row r="2247" spans="1:21">
      <c r="A2247" t="str">
        <f t="shared" si="1120"/>
        <v>07/05/2025</v>
      </c>
      <c r="B2247" t="str">
        <f t="shared" si="1125"/>
        <v>ENTRADA</v>
      </c>
      <c r="C2247" t="str">
        <f t="shared" si="1121"/>
        <v>NFSE</v>
      </c>
      <c r="D2247" t="str">
        <f t="shared" si="1126"/>
        <v>2924</v>
      </c>
      <c r="E2247" t="str">
        <f t="shared" si="1131"/>
        <v>COM</v>
      </c>
      <c r="F2247" t="str">
        <f t="shared" si="1127"/>
        <v>FARMÁCIA INDIANA LJ 1 (10126)</v>
      </c>
      <c r="G2247" t="str">
        <f t="shared" si="1128"/>
        <v>Serv.Prest. 21/04/2025 a 24/04/2025 - RPS: 695 - NFSe: 2924</v>
      </c>
      <c r="H2247" t="str">
        <f t="shared" si="1129"/>
        <v>07/05/2025</v>
      </c>
      <c r="I2247" t="str">
        <f t="shared" si="1130"/>
        <v>25/04/2025</v>
      </c>
      <c r="J2247" t="str">
        <f t="shared" si="1122"/>
        <v>07/05/2025</v>
      </c>
      <c r="M2247">
        <v>303</v>
      </c>
      <c r="N2247" t="str">
        <f t="shared" si="1123"/>
        <v>RECEITAS COM ENTREGAS</v>
      </c>
      <c r="P2247">
        <v>66.319999999999993</v>
      </c>
      <c r="Q2247" t="str">
        <f>"FARMÁCIA INDIANA LJ 143 (10067)"</f>
        <v>FARMÁCIA INDIANA LJ 143 (10067)</v>
      </c>
      <c r="R2247" t="str">
        <f t="shared" si="1124"/>
        <v>RECEITAS COM ENTREGAS (303)</v>
      </c>
      <c r="S2247">
        <v>1503</v>
      </c>
      <c r="T2247">
        <v>1116</v>
      </c>
      <c r="U2247" t="s">
        <v>19</v>
      </c>
    </row>
    <row r="2248" spans="1:21">
      <c r="A2248" t="str">
        <f t="shared" ref="A2248:A2279" si="1132">("07/05/2025")</f>
        <v>07/05/2025</v>
      </c>
      <c r="B2248" t="str">
        <f t="shared" si="1125"/>
        <v>ENTRADA</v>
      </c>
      <c r="C2248" t="str">
        <f t="shared" ref="C2248:C2279" si="1133">"NFSE"</f>
        <v>NFSE</v>
      </c>
      <c r="D2248" t="str">
        <f t="shared" si="1126"/>
        <v>2924</v>
      </c>
      <c r="E2248" t="str">
        <f t="shared" si="1131"/>
        <v>COM</v>
      </c>
      <c r="F2248" t="str">
        <f t="shared" si="1127"/>
        <v>FARMÁCIA INDIANA LJ 1 (10126)</v>
      </c>
      <c r="G2248" t="str">
        <f t="shared" si="1128"/>
        <v>Serv.Prest. 21/04/2025 a 24/04/2025 - RPS: 695 - NFSe: 2924</v>
      </c>
      <c r="H2248" t="str">
        <f t="shared" si="1129"/>
        <v>07/05/2025</v>
      </c>
      <c r="I2248" t="str">
        <f t="shared" si="1130"/>
        <v>25/04/2025</v>
      </c>
      <c r="J2248" t="str">
        <f t="shared" ref="J2248:J2279" si="1134">("07/05/2025")</f>
        <v>07/05/2025</v>
      </c>
      <c r="M2248">
        <v>303</v>
      </c>
      <c r="N2248" t="str">
        <f t="shared" ref="N2248:N2279" si="1135">"RECEITAS COM ENTREGAS"</f>
        <v>RECEITAS COM ENTREGAS</v>
      </c>
      <c r="P2248">
        <v>98.98</v>
      </c>
      <c r="Q2248" t="str">
        <f>"FARMÁCIA INDIANA LJ 152 (10069)"</f>
        <v>FARMÁCIA INDIANA LJ 152 (10069)</v>
      </c>
      <c r="R2248" t="str">
        <f t="shared" ref="R2248:R2279" si="1136">"RECEITAS COM ENTREGAS (303)"</f>
        <v>RECEITAS COM ENTREGAS (303)</v>
      </c>
      <c r="S2248">
        <v>1503</v>
      </c>
      <c r="T2248">
        <v>1116</v>
      </c>
      <c r="U2248" t="s">
        <v>19</v>
      </c>
    </row>
    <row r="2249" spans="1:21">
      <c r="A2249" t="str">
        <f t="shared" si="1132"/>
        <v>07/05/2025</v>
      </c>
      <c r="B2249" t="str">
        <f t="shared" si="1125"/>
        <v>ENTRADA</v>
      </c>
      <c r="C2249" t="str">
        <f t="shared" si="1133"/>
        <v>NFSE</v>
      </c>
      <c r="D2249" t="str">
        <f t="shared" si="1126"/>
        <v>2924</v>
      </c>
      <c r="E2249" t="str">
        <f t="shared" si="1131"/>
        <v>COM</v>
      </c>
      <c r="F2249" t="str">
        <f t="shared" si="1127"/>
        <v>FARMÁCIA INDIANA LJ 1 (10126)</v>
      </c>
      <c r="G2249" t="str">
        <f t="shared" si="1128"/>
        <v>Serv.Prest. 21/04/2025 a 24/04/2025 - RPS: 695 - NFSe: 2924</v>
      </c>
      <c r="H2249" t="str">
        <f t="shared" si="1129"/>
        <v>07/05/2025</v>
      </c>
      <c r="I2249" t="str">
        <f t="shared" si="1130"/>
        <v>25/04/2025</v>
      </c>
      <c r="J2249" t="str">
        <f t="shared" si="1134"/>
        <v>07/05/2025</v>
      </c>
      <c r="M2249">
        <v>303</v>
      </c>
      <c r="N2249" t="str">
        <f t="shared" si="1135"/>
        <v>RECEITAS COM ENTREGAS</v>
      </c>
      <c r="P2249">
        <v>39.590000000000003</v>
      </c>
      <c r="Q2249" t="str">
        <f>"FARMÁCIA INDIANA LJ 154 (10070)"</f>
        <v>FARMÁCIA INDIANA LJ 154 (10070)</v>
      </c>
      <c r="R2249" t="str">
        <f t="shared" si="1136"/>
        <v>RECEITAS COM ENTREGAS (303)</v>
      </c>
      <c r="S2249">
        <v>1503</v>
      </c>
      <c r="T2249">
        <v>1116</v>
      </c>
      <c r="U2249" t="s">
        <v>19</v>
      </c>
    </row>
    <row r="2250" spans="1:21">
      <c r="A2250" t="str">
        <f t="shared" si="1132"/>
        <v>07/05/2025</v>
      </c>
      <c r="B2250" t="str">
        <f t="shared" si="1125"/>
        <v>ENTRADA</v>
      </c>
      <c r="C2250" t="str">
        <f t="shared" si="1133"/>
        <v>NFSE</v>
      </c>
      <c r="D2250" t="str">
        <f t="shared" si="1126"/>
        <v>2924</v>
      </c>
      <c r="E2250" t="str">
        <f t="shared" si="1131"/>
        <v>COM</v>
      </c>
      <c r="F2250" t="str">
        <f t="shared" si="1127"/>
        <v>FARMÁCIA INDIANA LJ 1 (10126)</v>
      </c>
      <c r="G2250" t="str">
        <f t="shared" si="1128"/>
        <v>Serv.Prest. 21/04/2025 a 24/04/2025 - RPS: 695 - NFSe: 2924</v>
      </c>
      <c r="H2250" t="str">
        <f t="shared" si="1129"/>
        <v>07/05/2025</v>
      </c>
      <c r="I2250" t="str">
        <f t="shared" si="1130"/>
        <v>25/04/2025</v>
      </c>
      <c r="J2250" t="str">
        <f t="shared" si="1134"/>
        <v>07/05/2025</v>
      </c>
      <c r="M2250">
        <v>303</v>
      </c>
      <c r="N2250" t="str">
        <f t="shared" si="1135"/>
        <v>RECEITAS COM ENTREGAS</v>
      </c>
      <c r="P2250">
        <v>342.46</v>
      </c>
      <c r="Q2250" t="str">
        <f>"FARMÁCIA INDIANA LJ 171 (10074)"</f>
        <v>FARMÁCIA INDIANA LJ 171 (10074)</v>
      </c>
      <c r="R2250" t="str">
        <f t="shared" si="1136"/>
        <v>RECEITAS COM ENTREGAS (303)</v>
      </c>
      <c r="S2250">
        <v>1503</v>
      </c>
      <c r="T2250">
        <v>1116</v>
      </c>
      <c r="U2250" t="s">
        <v>19</v>
      </c>
    </row>
    <row r="2251" spans="1:21">
      <c r="A2251" t="str">
        <f t="shared" si="1132"/>
        <v>07/05/2025</v>
      </c>
      <c r="B2251" t="str">
        <f t="shared" si="1125"/>
        <v>ENTRADA</v>
      </c>
      <c r="C2251" t="str">
        <f t="shared" si="1133"/>
        <v>NFSE</v>
      </c>
      <c r="D2251" t="str">
        <f t="shared" si="1126"/>
        <v>2924</v>
      </c>
      <c r="E2251" t="str">
        <f t="shared" si="1131"/>
        <v>COM</v>
      </c>
      <c r="F2251" t="str">
        <f t="shared" si="1127"/>
        <v>FARMÁCIA INDIANA LJ 1 (10126)</v>
      </c>
      <c r="G2251" t="str">
        <f t="shared" si="1128"/>
        <v>Serv.Prest. 21/04/2025 a 24/04/2025 - RPS: 695 - NFSe: 2924</v>
      </c>
      <c r="H2251" t="str">
        <f t="shared" si="1129"/>
        <v>07/05/2025</v>
      </c>
      <c r="I2251" t="str">
        <f t="shared" si="1130"/>
        <v>25/04/2025</v>
      </c>
      <c r="J2251" t="str">
        <f t="shared" si="1134"/>
        <v>07/05/2025</v>
      </c>
      <c r="M2251">
        <v>303</v>
      </c>
      <c r="N2251" t="str">
        <f t="shared" si="1135"/>
        <v>RECEITAS COM ENTREGAS</v>
      </c>
      <c r="P2251">
        <v>131.63999999999999</v>
      </c>
      <c r="Q2251" t="str">
        <f>"FARMÁCIA INDIANA LJ 175 (10076)"</f>
        <v>FARMÁCIA INDIANA LJ 175 (10076)</v>
      </c>
      <c r="R2251" t="str">
        <f t="shared" si="1136"/>
        <v>RECEITAS COM ENTREGAS (303)</v>
      </c>
      <c r="S2251">
        <v>1503</v>
      </c>
      <c r="T2251">
        <v>1116</v>
      </c>
      <c r="U2251" t="s">
        <v>19</v>
      </c>
    </row>
    <row r="2252" spans="1:21">
      <c r="A2252" t="str">
        <f t="shared" si="1132"/>
        <v>07/05/2025</v>
      </c>
      <c r="B2252" t="str">
        <f t="shared" si="1125"/>
        <v>ENTRADA</v>
      </c>
      <c r="C2252" t="str">
        <f t="shared" si="1133"/>
        <v>NFSE</v>
      </c>
      <c r="D2252" t="str">
        <f t="shared" si="1126"/>
        <v>2924</v>
      </c>
      <c r="E2252" t="str">
        <f t="shared" si="1131"/>
        <v>COM</v>
      </c>
      <c r="F2252" t="str">
        <f t="shared" si="1127"/>
        <v>FARMÁCIA INDIANA LJ 1 (10126)</v>
      </c>
      <c r="G2252" t="str">
        <f t="shared" si="1128"/>
        <v>Serv.Prest. 21/04/2025 a 24/04/2025 - RPS: 695 - NFSe: 2924</v>
      </c>
      <c r="H2252" t="str">
        <f t="shared" ref="H2252:H2283" si="1137">("07/05/2025")</f>
        <v>07/05/2025</v>
      </c>
      <c r="I2252" t="str">
        <f t="shared" ref="I2252:I2285" si="1138">("25/04/2025")</f>
        <v>25/04/2025</v>
      </c>
      <c r="J2252" t="str">
        <f t="shared" si="1134"/>
        <v>07/05/2025</v>
      </c>
      <c r="M2252">
        <v>303</v>
      </c>
      <c r="N2252" t="str">
        <f t="shared" si="1135"/>
        <v>RECEITAS COM ENTREGAS</v>
      </c>
      <c r="P2252">
        <v>114.81</v>
      </c>
      <c r="Q2252" t="str">
        <f>"FARMÁCIA INDIANA LJ 178 (10077)"</f>
        <v>FARMÁCIA INDIANA LJ 178 (10077)</v>
      </c>
      <c r="R2252" t="str">
        <f t="shared" si="1136"/>
        <v>RECEITAS COM ENTREGAS (303)</v>
      </c>
      <c r="S2252">
        <v>1503</v>
      </c>
      <c r="T2252">
        <v>1116</v>
      </c>
      <c r="U2252" t="s">
        <v>19</v>
      </c>
    </row>
    <row r="2253" spans="1:21">
      <c r="A2253" t="str">
        <f t="shared" si="1132"/>
        <v>07/05/2025</v>
      </c>
      <c r="B2253" t="str">
        <f t="shared" si="1125"/>
        <v>ENTRADA</v>
      </c>
      <c r="C2253" t="str">
        <f t="shared" si="1133"/>
        <v>NFSE</v>
      </c>
      <c r="D2253" t="str">
        <f t="shared" si="1126"/>
        <v>2924</v>
      </c>
      <c r="E2253" t="str">
        <f t="shared" si="1131"/>
        <v>COM</v>
      </c>
      <c r="F2253" t="str">
        <f t="shared" si="1127"/>
        <v>FARMÁCIA INDIANA LJ 1 (10126)</v>
      </c>
      <c r="G2253" t="str">
        <f t="shared" si="1128"/>
        <v>Serv.Prest. 21/04/2025 a 24/04/2025 - RPS: 695 - NFSe: 2924</v>
      </c>
      <c r="H2253" t="str">
        <f t="shared" si="1137"/>
        <v>07/05/2025</v>
      </c>
      <c r="I2253" t="str">
        <f t="shared" si="1138"/>
        <v>25/04/2025</v>
      </c>
      <c r="J2253" t="str">
        <f t="shared" si="1134"/>
        <v>07/05/2025</v>
      </c>
      <c r="M2253">
        <v>303</v>
      </c>
      <c r="N2253" t="str">
        <f t="shared" si="1135"/>
        <v>RECEITAS COM ENTREGAS</v>
      </c>
      <c r="P2253">
        <v>80.17</v>
      </c>
      <c r="Q2253" t="str">
        <f>"FARMÁCIA INDIANA LJ 182 (10079)"</f>
        <v>FARMÁCIA INDIANA LJ 182 (10079)</v>
      </c>
      <c r="R2253" t="str">
        <f t="shared" si="1136"/>
        <v>RECEITAS COM ENTREGAS (303)</v>
      </c>
      <c r="S2253">
        <v>1503</v>
      </c>
      <c r="T2253">
        <v>1116</v>
      </c>
      <c r="U2253" t="s">
        <v>19</v>
      </c>
    </row>
    <row r="2254" spans="1:21">
      <c r="A2254" t="str">
        <f t="shared" si="1132"/>
        <v>07/05/2025</v>
      </c>
      <c r="B2254" t="str">
        <f t="shared" si="1125"/>
        <v>ENTRADA</v>
      </c>
      <c r="C2254" t="str">
        <f t="shared" si="1133"/>
        <v>NFSE</v>
      </c>
      <c r="D2254" t="str">
        <f t="shared" si="1126"/>
        <v>2924</v>
      </c>
      <c r="E2254" t="str">
        <f t="shared" si="1131"/>
        <v>COM</v>
      </c>
      <c r="F2254" t="str">
        <f t="shared" si="1127"/>
        <v>FARMÁCIA INDIANA LJ 1 (10126)</v>
      </c>
      <c r="G2254" t="str">
        <f t="shared" si="1128"/>
        <v>Serv.Prest. 21/04/2025 a 24/04/2025 - RPS: 695 - NFSe: 2924</v>
      </c>
      <c r="H2254" t="str">
        <f t="shared" si="1137"/>
        <v>07/05/2025</v>
      </c>
      <c r="I2254" t="str">
        <f t="shared" si="1138"/>
        <v>25/04/2025</v>
      </c>
      <c r="J2254" t="str">
        <f t="shared" si="1134"/>
        <v>07/05/2025</v>
      </c>
      <c r="M2254">
        <v>303</v>
      </c>
      <c r="N2254" t="str">
        <f t="shared" si="1135"/>
        <v>RECEITAS COM ENTREGAS</v>
      </c>
      <c r="P2254">
        <v>39.590000000000003</v>
      </c>
      <c r="Q2254" t="str">
        <f>"FARMÁCIA INDIANA LJ 184 (10080)"</f>
        <v>FARMÁCIA INDIANA LJ 184 (10080)</v>
      </c>
      <c r="R2254" t="str">
        <f t="shared" si="1136"/>
        <v>RECEITAS COM ENTREGAS (303)</v>
      </c>
      <c r="S2254">
        <v>1503</v>
      </c>
      <c r="T2254">
        <v>1116</v>
      </c>
      <c r="U2254" t="s">
        <v>19</v>
      </c>
    </row>
    <row r="2255" spans="1:21">
      <c r="A2255" t="str">
        <f t="shared" si="1132"/>
        <v>07/05/2025</v>
      </c>
      <c r="B2255" t="str">
        <f t="shared" si="1125"/>
        <v>ENTRADA</v>
      </c>
      <c r="C2255" t="str">
        <f t="shared" si="1133"/>
        <v>NFSE</v>
      </c>
      <c r="D2255" t="str">
        <f t="shared" si="1126"/>
        <v>2924</v>
      </c>
      <c r="E2255" t="str">
        <f t="shared" si="1131"/>
        <v>COM</v>
      </c>
      <c r="F2255" t="str">
        <f t="shared" si="1127"/>
        <v>FARMÁCIA INDIANA LJ 1 (10126)</v>
      </c>
      <c r="G2255" t="str">
        <f t="shared" si="1128"/>
        <v>Serv.Prest. 21/04/2025 a 24/04/2025 - RPS: 695 - NFSe: 2924</v>
      </c>
      <c r="H2255" t="str">
        <f t="shared" si="1137"/>
        <v>07/05/2025</v>
      </c>
      <c r="I2255" t="str">
        <f t="shared" si="1138"/>
        <v>25/04/2025</v>
      </c>
      <c r="J2255" t="str">
        <f t="shared" si="1134"/>
        <v>07/05/2025</v>
      </c>
      <c r="M2255">
        <v>303</v>
      </c>
      <c r="N2255" t="str">
        <f t="shared" si="1135"/>
        <v>RECEITAS COM ENTREGAS</v>
      </c>
      <c r="P2255">
        <v>80.17</v>
      </c>
      <c r="Q2255" t="str">
        <f>"FARMÁCIA INDIANA LJ 186 (10081)"</f>
        <v>FARMÁCIA INDIANA LJ 186 (10081)</v>
      </c>
      <c r="R2255" t="str">
        <f t="shared" si="1136"/>
        <v>RECEITAS COM ENTREGAS (303)</v>
      </c>
      <c r="S2255">
        <v>1503</v>
      </c>
      <c r="T2255">
        <v>1116</v>
      </c>
      <c r="U2255" t="s">
        <v>19</v>
      </c>
    </row>
    <row r="2256" spans="1:21">
      <c r="A2256" t="str">
        <f t="shared" si="1132"/>
        <v>07/05/2025</v>
      </c>
      <c r="B2256" t="str">
        <f t="shared" si="1125"/>
        <v>ENTRADA</v>
      </c>
      <c r="C2256" t="str">
        <f t="shared" si="1133"/>
        <v>NFSE</v>
      </c>
      <c r="D2256" t="str">
        <f t="shared" si="1126"/>
        <v>2924</v>
      </c>
      <c r="E2256" t="str">
        <f t="shared" si="1131"/>
        <v>COM</v>
      </c>
      <c r="F2256" t="str">
        <f t="shared" si="1127"/>
        <v>FARMÁCIA INDIANA LJ 1 (10126)</v>
      </c>
      <c r="G2256" t="str">
        <f t="shared" si="1128"/>
        <v>Serv.Prest. 21/04/2025 a 24/04/2025 - RPS: 695 - NFSe: 2924</v>
      </c>
      <c r="H2256" t="str">
        <f t="shared" si="1137"/>
        <v>07/05/2025</v>
      </c>
      <c r="I2256" t="str">
        <f t="shared" si="1138"/>
        <v>25/04/2025</v>
      </c>
      <c r="J2256" t="str">
        <f t="shared" si="1134"/>
        <v>07/05/2025</v>
      </c>
      <c r="M2256">
        <v>303</v>
      </c>
      <c r="N2256" t="str">
        <f t="shared" si="1135"/>
        <v>RECEITAS COM ENTREGAS</v>
      </c>
      <c r="P2256">
        <v>52.46</v>
      </c>
      <c r="Q2256" t="str">
        <f>"FARMÁCIA INDIANA LJ 192 (10082)"</f>
        <v>FARMÁCIA INDIANA LJ 192 (10082)</v>
      </c>
      <c r="R2256" t="str">
        <f t="shared" si="1136"/>
        <v>RECEITAS COM ENTREGAS (303)</v>
      </c>
      <c r="S2256">
        <v>1503</v>
      </c>
      <c r="T2256">
        <v>1116</v>
      </c>
      <c r="U2256" t="s">
        <v>19</v>
      </c>
    </row>
    <row r="2257" spans="1:21">
      <c r="A2257" t="str">
        <f t="shared" si="1132"/>
        <v>07/05/2025</v>
      </c>
      <c r="B2257" t="str">
        <f t="shared" si="1125"/>
        <v>ENTRADA</v>
      </c>
      <c r="C2257" t="str">
        <f t="shared" si="1133"/>
        <v>NFSE</v>
      </c>
      <c r="D2257" t="str">
        <f t="shared" si="1126"/>
        <v>2924</v>
      </c>
      <c r="E2257" t="str">
        <f t="shared" si="1131"/>
        <v>COM</v>
      </c>
      <c r="F2257" t="str">
        <f t="shared" si="1127"/>
        <v>FARMÁCIA INDIANA LJ 1 (10126)</v>
      </c>
      <c r="G2257" t="str">
        <f t="shared" si="1128"/>
        <v>Serv.Prest. 21/04/2025 a 24/04/2025 - RPS: 695 - NFSe: 2924</v>
      </c>
      <c r="H2257" t="str">
        <f t="shared" si="1137"/>
        <v>07/05/2025</v>
      </c>
      <c r="I2257" t="str">
        <f t="shared" si="1138"/>
        <v>25/04/2025</v>
      </c>
      <c r="J2257" t="str">
        <f t="shared" si="1134"/>
        <v>07/05/2025</v>
      </c>
      <c r="M2257">
        <v>303</v>
      </c>
      <c r="N2257" t="str">
        <f t="shared" si="1135"/>
        <v>RECEITAS COM ENTREGAS</v>
      </c>
      <c r="P2257">
        <v>39.590000000000003</v>
      </c>
      <c r="Q2257" t="str">
        <f>"FARMÁCIA INDIANA LJ 195 (10083)"</f>
        <v>FARMÁCIA INDIANA LJ 195 (10083)</v>
      </c>
      <c r="R2257" t="str">
        <f t="shared" si="1136"/>
        <v>RECEITAS COM ENTREGAS (303)</v>
      </c>
      <c r="S2257">
        <v>1503</v>
      </c>
      <c r="T2257">
        <v>1116</v>
      </c>
      <c r="U2257" t="s">
        <v>19</v>
      </c>
    </row>
    <row r="2258" spans="1:21">
      <c r="A2258" t="str">
        <f t="shared" si="1132"/>
        <v>07/05/2025</v>
      </c>
      <c r="B2258" t="str">
        <f t="shared" si="1125"/>
        <v>ENTRADA</v>
      </c>
      <c r="C2258" t="str">
        <f t="shared" si="1133"/>
        <v>NFSE</v>
      </c>
      <c r="D2258" t="str">
        <f t="shared" si="1126"/>
        <v>2924</v>
      </c>
      <c r="E2258" t="str">
        <f t="shared" si="1131"/>
        <v>COM</v>
      </c>
      <c r="F2258" t="str">
        <f t="shared" si="1127"/>
        <v>FARMÁCIA INDIANA LJ 1 (10126)</v>
      </c>
      <c r="G2258" t="str">
        <f t="shared" si="1128"/>
        <v>Serv.Prest. 21/04/2025 a 24/04/2025 - RPS: 695 - NFSe: 2924</v>
      </c>
      <c r="H2258" t="str">
        <f t="shared" si="1137"/>
        <v>07/05/2025</v>
      </c>
      <c r="I2258" t="str">
        <f t="shared" si="1138"/>
        <v>25/04/2025</v>
      </c>
      <c r="J2258" t="str">
        <f t="shared" si="1134"/>
        <v>07/05/2025</v>
      </c>
      <c r="M2258">
        <v>303</v>
      </c>
      <c r="N2258" t="str">
        <f t="shared" si="1135"/>
        <v>RECEITAS COM ENTREGAS</v>
      </c>
      <c r="P2258">
        <v>159.35</v>
      </c>
      <c r="Q2258" t="str">
        <f>"FARMÁCIA INDIANA LJ 202 (10085)"</f>
        <v>FARMÁCIA INDIANA LJ 202 (10085)</v>
      </c>
      <c r="R2258" t="str">
        <f t="shared" si="1136"/>
        <v>RECEITAS COM ENTREGAS (303)</v>
      </c>
      <c r="S2258">
        <v>1503</v>
      </c>
      <c r="T2258">
        <v>1116</v>
      </c>
      <c r="U2258" t="s">
        <v>19</v>
      </c>
    </row>
    <row r="2259" spans="1:21">
      <c r="A2259" t="str">
        <f t="shared" si="1132"/>
        <v>07/05/2025</v>
      </c>
      <c r="B2259" t="str">
        <f t="shared" si="1125"/>
        <v>ENTRADA</v>
      </c>
      <c r="C2259" t="str">
        <f t="shared" si="1133"/>
        <v>NFSE</v>
      </c>
      <c r="D2259" t="str">
        <f t="shared" si="1126"/>
        <v>2924</v>
      </c>
      <c r="E2259" t="str">
        <f t="shared" si="1131"/>
        <v>COM</v>
      </c>
      <c r="F2259" t="str">
        <f t="shared" si="1127"/>
        <v>FARMÁCIA INDIANA LJ 1 (10126)</v>
      </c>
      <c r="G2259" t="str">
        <f t="shared" si="1128"/>
        <v>Serv.Prest. 21/04/2025 a 24/04/2025 - RPS: 695 - NFSe: 2924</v>
      </c>
      <c r="H2259" t="str">
        <f t="shared" si="1137"/>
        <v>07/05/2025</v>
      </c>
      <c r="I2259" t="str">
        <f t="shared" si="1138"/>
        <v>25/04/2025</v>
      </c>
      <c r="J2259" t="str">
        <f t="shared" si="1134"/>
        <v>07/05/2025</v>
      </c>
      <c r="M2259">
        <v>303</v>
      </c>
      <c r="N2259" t="str">
        <f t="shared" si="1135"/>
        <v>RECEITAS COM ENTREGAS</v>
      </c>
      <c r="P2259">
        <v>106.9</v>
      </c>
      <c r="Q2259" t="str">
        <f>"FARMÁCIA INDIANA LJ 204 (10087)"</f>
        <v>FARMÁCIA INDIANA LJ 204 (10087)</v>
      </c>
      <c r="R2259" t="str">
        <f t="shared" si="1136"/>
        <v>RECEITAS COM ENTREGAS (303)</v>
      </c>
      <c r="S2259">
        <v>1503</v>
      </c>
      <c r="T2259">
        <v>1116</v>
      </c>
      <c r="U2259" t="s">
        <v>19</v>
      </c>
    </row>
    <row r="2260" spans="1:21">
      <c r="A2260" t="str">
        <f t="shared" si="1132"/>
        <v>07/05/2025</v>
      </c>
      <c r="B2260" t="str">
        <f t="shared" si="1125"/>
        <v>ENTRADA</v>
      </c>
      <c r="C2260" t="str">
        <f t="shared" si="1133"/>
        <v>NFSE</v>
      </c>
      <c r="D2260" t="str">
        <f t="shared" si="1126"/>
        <v>2924</v>
      </c>
      <c r="E2260" t="str">
        <f t="shared" si="1131"/>
        <v>COM</v>
      </c>
      <c r="F2260" t="str">
        <f t="shared" si="1127"/>
        <v>FARMÁCIA INDIANA LJ 1 (10126)</v>
      </c>
      <c r="G2260" t="str">
        <f t="shared" si="1128"/>
        <v>Serv.Prest. 21/04/2025 a 24/04/2025 - RPS: 695 - NFSe: 2924</v>
      </c>
      <c r="H2260" t="str">
        <f t="shared" si="1137"/>
        <v>07/05/2025</v>
      </c>
      <c r="I2260" t="str">
        <f t="shared" si="1138"/>
        <v>25/04/2025</v>
      </c>
      <c r="J2260" t="str">
        <f t="shared" si="1134"/>
        <v>07/05/2025</v>
      </c>
      <c r="M2260">
        <v>303</v>
      </c>
      <c r="N2260" t="str">
        <f t="shared" si="1135"/>
        <v>RECEITAS COM ENTREGAS</v>
      </c>
      <c r="P2260">
        <v>106.9</v>
      </c>
      <c r="Q2260" t="str">
        <f>"FARMÁCIA INDIANA LJ 207 (10088)"</f>
        <v>FARMÁCIA INDIANA LJ 207 (10088)</v>
      </c>
      <c r="R2260" t="str">
        <f t="shared" si="1136"/>
        <v>RECEITAS COM ENTREGAS (303)</v>
      </c>
      <c r="S2260">
        <v>1503</v>
      </c>
      <c r="T2260">
        <v>1116</v>
      </c>
      <c r="U2260" t="s">
        <v>19</v>
      </c>
    </row>
    <row r="2261" spans="1:21">
      <c r="A2261" t="str">
        <f t="shared" si="1132"/>
        <v>07/05/2025</v>
      </c>
      <c r="B2261" t="str">
        <f t="shared" si="1125"/>
        <v>ENTRADA</v>
      </c>
      <c r="C2261" t="str">
        <f t="shared" si="1133"/>
        <v>NFSE</v>
      </c>
      <c r="D2261" t="str">
        <f t="shared" si="1126"/>
        <v>2924</v>
      </c>
      <c r="E2261" t="str">
        <f t="shared" si="1131"/>
        <v>COM</v>
      </c>
      <c r="F2261" t="str">
        <f t="shared" si="1127"/>
        <v>FARMÁCIA INDIANA LJ 1 (10126)</v>
      </c>
      <c r="G2261" t="str">
        <f t="shared" si="1128"/>
        <v>Serv.Prest. 21/04/2025 a 24/04/2025 - RPS: 695 - NFSe: 2924</v>
      </c>
      <c r="H2261" t="str">
        <f t="shared" si="1137"/>
        <v>07/05/2025</v>
      </c>
      <c r="I2261" t="str">
        <f t="shared" si="1138"/>
        <v>25/04/2025</v>
      </c>
      <c r="J2261" t="str">
        <f t="shared" si="1134"/>
        <v>07/05/2025</v>
      </c>
      <c r="M2261">
        <v>303</v>
      </c>
      <c r="N2261" t="str">
        <f t="shared" si="1135"/>
        <v>RECEITAS COM ENTREGAS</v>
      </c>
      <c r="P2261">
        <v>125.7</v>
      </c>
      <c r="Q2261" t="str">
        <f>"FARMÁCIA INDIANA LJ 209 (10089)"</f>
        <v>FARMÁCIA INDIANA LJ 209 (10089)</v>
      </c>
      <c r="R2261" t="str">
        <f t="shared" si="1136"/>
        <v>RECEITAS COM ENTREGAS (303)</v>
      </c>
      <c r="S2261">
        <v>1503</v>
      </c>
      <c r="T2261">
        <v>1116</v>
      </c>
      <c r="U2261" t="s">
        <v>19</v>
      </c>
    </row>
    <row r="2262" spans="1:21">
      <c r="A2262" t="str">
        <f t="shared" si="1132"/>
        <v>07/05/2025</v>
      </c>
      <c r="B2262" t="str">
        <f t="shared" si="1125"/>
        <v>ENTRADA</v>
      </c>
      <c r="C2262" t="str">
        <f t="shared" si="1133"/>
        <v>NFSE</v>
      </c>
      <c r="D2262" t="str">
        <f t="shared" si="1126"/>
        <v>2924</v>
      </c>
      <c r="E2262" t="str">
        <f t="shared" si="1131"/>
        <v>COM</v>
      </c>
      <c r="F2262" t="str">
        <f t="shared" si="1127"/>
        <v>FARMÁCIA INDIANA LJ 1 (10126)</v>
      </c>
      <c r="G2262" t="str">
        <f t="shared" si="1128"/>
        <v>Serv.Prest. 21/04/2025 a 24/04/2025 - RPS: 695 - NFSe: 2924</v>
      </c>
      <c r="H2262" t="str">
        <f t="shared" si="1137"/>
        <v>07/05/2025</v>
      </c>
      <c r="I2262" t="str">
        <f t="shared" si="1138"/>
        <v>25/04/2025</v>
      </c>
      <c r="J2262" t="str">
        <f t="shared" si="1134"/>
        <v>07/05/2025</v>
      </c>
      <c r="M2262">
        <v>303</v>
      </c>
      <c r="N2262" t="str">
        <f t="shared" si="1135"/>
        <v>RECEITAS COM ENTREGAS</v>
      </c>
      <c r="P2262">
        <v>146.49</v>
      </c>
      <c r="Q2262" t="str">
        <f>"FARMÁCIA INDIANA LJ 219 (10091)"</f>
        <v>FARMÁCIA INDIANA LJ 219 (10091)</v>
      </c>
      <c r="R2262" t="str">
        <f t="shared" si="1136"/>
        <v>RECEITAS COM ENTREGAS (303)</v>
      </c>
      <c r="S2262">
        <v>1503</v>
      </c>
      <c r="T2262">
        <v>1116</v>
      </c>
      <c r="U2262" t="s">
        <v>19</v>
      </c>
    </row>
    <row r="2263" spans="1:21">
      <c r="A2263" t="str">
        <f t="shared" si="1132"/>
        <v>07/05/2025</v>
      </c>
      <c r="B2263" t="str">
        <f t="shared" si="1125"/>
        <v>ENTRADA</v>
      </c>
      <c r="C2263" t="str">
        <f t="shared" si="1133"/>
        <v>NFSE</v>
      </c>
      <c r="D2263" t="str">
        <f t="shared" si="1126"/>
        <v>2924</v>
      </c>
      <c r="E2263" t="str">
        <f t="shared" si="1131"/>
        <v>COM</v>
      </c>
      <c r="F2263" t="str">
        <f t="shared" si="1127"/>
        <v>FARMÁCIA INDIANA LJ 1 (10126)</v>
      </c>
      <c r="G2263" t="str">
        <f t="shared" si="1128"/>
        <v>Serv.Prest. 21/04/2025 a 24/04/2025 - RPS: 695 - NFSe: 2924</v>
      </c>
      <c r="H2263" t="str">
        <f t="shared" si="1137"/>
        <v>07/05/2025</v>
      </c>
      <c r="I2263" t="str">
        <f t="shared" si="1138"/>
        <v>25/04/2025</v>
      </c>
      <c r="J2263" t="str">
        <f t="shared" si="1134"/>
        <v>07/05/2025</v>
      </c>
      <c r="M2263">
        <v>303</v>
      </c>
      <c r="N2263" t="str">
        <f t="shared" si="1135"/>
        <v>RECEITAS COM ENTREGAS</v>
      </c>
      <c r="P2263">
        <v>159.35</v>
      </c>
      <c r="Q2263" t="str">
        <f>"FARMÁCIA INDIANA LJ 220 (10092)"</f>
        <v>FARMÁCIA INDIANA LJ 220 (10092)</v>
      </c>
      <c r="R2263" t="str">
        <f t="shared" si="1136"/>
        <v>RECEITAS COM ENTREGAS (303)</v>
      </c>
      <c r="S2263">
        <v>1503</v>
      </c>
      <c r="T2263">
        <v>1116</v>
      </c>
      <c r="U2263" t="s">
        <v>19</v>
      </c>
    </row>
    <row r="2264" spans="1:21">
      <c r="A2264" t="str">
        <f t="shared" si="1132"/>
        <v>07/05/2025</v>
      </c>
      <c r="B2264" t="str">
        <f t="shared" si="1125"/>
        <v>ENTRADA</v>
      </c>
      <c r="C2264" t="str">
        <f t="shared" si="1133"/>
        <v>NFSE</v>
      </c>
      <c r="D2264" t="str">
        <f t="shared" si="1126"/>
        <v>2924</v>
      </c>
      <c r="E2264" t="str">
        <f t="shared" si="1131"/>
        <v>COM</v>
      </c>
      <c r="F2264" t="str">
        <f t="shared" si="1127"/>
        <v>FARMÁCIA INDIANA LJ 1 (10126)</v>
      </c>
      <c r="G2264" t="str">
        <f t="shared" si="1128"/>
        <v>Serv.Prest. 21/04/2025 a 24/04/2025 - RPS: 695 - NFSe: 2924</v>
      </c>
      <c r="H2264" t="str">
        <f t="shared" si="1137"/>
        <v>07/05/2025</v>
      </c>
      <c r="I2264" t="str">
        <f t="shared" si="1138"/>
        <v>25/04/2025</v>
      </c>
      <c r="J2264" t="str">
        <f t="shared" si="1134"/>
        <v>07/05/2025</v>
      </c>
      <c r="M2264">
        <v>303</v>
      </c>
      <c r="N2264" t="str">
        <f t="shared" si="1135"/>
        <v>RECEITAS COM ENTREGAS</v>
      </c>
      <c r="P2264">
        <v>183.11</v>
      </c>
      <c r="Q2264" t="str">
        <f>"FARMÁCIA INDIANA LJ 185 (10141)"</f>
        <v>FARMÁCIA INDIANA LJ 185 (10141)</v>
      </c>
      <c r="R2264" t="str">
        <f t="shared" si="1136"/>
        <v>RECEITAS COM ENTREGAS (303)</v>
      </c>
      <c r="S2264">
        <v>1503</v>
      </c>
      <c r="T2264">
        <v>1116</v>
      </c>
      <c r="U2264" t="s">
        <v>19</v>
      </c>
    </row>
    <row r="2265" spans="1:21">
      <c r="A2265" t="str">
        <f t="shared" si="1132"/>
        <v>07/05/2025</v>
      </c>
      <c r="B2265" t="str">
        <f t="shared" si="1125"/>
        <v>ENTRADA</v>
      </c>
      <c r="C2265" t="str">
        <f t="shared" si="1133"/>
        <v>NFSE</v>
      </c>
      <c r="D2265" t="str">
        <f t="shared" si="1126"/>
        <v>2924</v>
      </c>
      <c r="E2265" t="str">
        <f t="shared" si="1131"/>
        <v>COM</v>
      </c>
      <c r="F2265" t="str">
        <f t="shared" si="1127"/>
        <v>FARMÁCIA INDIANA LJ 1 (10126)</v>
      </c>
      <c r="G2265" t="str">
        <f t="shared" si="1128"/>
        <v>Serv.Prest. 21/04/2025 a 24/04/2025 - RPS: 695 - NFSe: 2924</v>
      </c>
      <c r="H2265" t="str">
        <f t="shared" si="1137"/>
        <v>07/05/2025</v>
      </c>
      <c r="I2265" t="str">
        <f t="shared" si="1138"/>
        <v>25/04/2025</v>
      </c>
      <c r="J2265" t="str">
        <f t="shared" si="1134"/>
        <v>07/05/2025</v>
      </c>
      <c r="M2265">
        <v>303</v>
      </c>
      <c r="N2265" t="str">
        <f t="shared" si="1135"/>
        <v>RECEITAS COM ENTREGAS</v>
      </c>
      <c r="P2265">
        <v>399.87</v>
      </c>
      <c r="Q2265" t="str">
        <f>"FARMÁCIA INDIANA LJ 172 (10161)"</f>
        <v>FARMÁCIA INDIANA LJ 172 (10161)</v>
      </c>
      <c r="R2265" t="str">
        <f t="shared" si="1136"/>
        <v>RECEITAS COM ENTREGAS (303)</v>
      </c>
      <c r="S2265">
        <v>1503</v>
      </c>
      <c r="T2265">
        <v>1116</v>
      </c>
      <c r="U2265" t="s">
        <v>19</v>
      </c>
    </row>
    <row r="2266" spans="1:21">
      <c r="A2266" t="str">
        <f t="shared" si="1132"/>
        <v>07/05/2025</v>
      </c>
      <c r="B2266" t="str">
        <f t="shared" si="1125"/>
        <v>ENTRADA</v>
      </c>
      <c r="C2266" t="str">
        <f t="shared" si="1133"/>
        <v>NFSE</v>
      </c>
      <c r="D2266" t="str">
        <f t="shared" ref="D2266:D2273" si="1139">"2925"</f>
        <v>2925</v>
      </c>
      <c r="E2266" t="str">
        <f t="shared" si="1131"/>
        <v>COM</v>
      </c>
      <c r="F2266" t="str">
        <f t="shared" ref="F2266:F2273" si="1140">"FARMÁCIA INDIANA LJ 85 (10128)"</f>
        <v>FARMÁCIA INDIANA LJ 85 (10128)</v>
      </c>
      <c r="G2266" t="str">
        <f t="shared" ref="G2266:G2273" si="1141">"Serv.Prest. 21/04/2025 a 24/04/2025 - RPS: 696 - NFSe: 2925"</f>
        <v>Serv.Prest. 21/04/2025 a 24/04/2025 - RPS: 696 - NFSe: 2925</v>
      </c>
      <c r="H2266" t="str">
        <f t="shared" si="1137"/>
        <v>07/05/2025</v>
      </c>
      <c r="I2266" t="str">
        <f t="shared" si="1138"/>
        <v>25/04/2025</v>
      </c>
      <c r="J2266" t="str">
        <f t="shared" si="1134"/>
        <v>07/05/2025</v>
      </c>
      <c r="K2266">
        <v>901.83</v>
      </c>
      <c r="L2266">
        <v>901.83</v>
      </c>
      <c r="M2266">
        <v>303</v>
      </c>
      <c r="N2266" t="str">
        <f t="shared" si="1135"/>
        <v>RECEITAS COM ENTREGAS</v>
      </c>
      <c r="O2266">
        <v>901.83</v>
      </c>
      <c r="R2266" t="str">
        <f t="shared" si="1136"/>
        <v>RECEITAS COM ENTREGAS (303)</v>
      </c>
      <c r="S2266">
        <v>1504</v>
      </c>
      <c r="T2266">
        <v>1117</v>
      </c>
      <c r="U2266" t="s">
        <v>19</v>
      </c>
    </row>
    <row r="2267" spans="1:21">
      <c r="A2267" t="str">
        <f t="shared" si="1132"/>
        <v>07/05/2025</v>
      </c>
      <c r="B2267" t="str">
        <f t="shared" si="1125"/>
        <v>ENTRADA</v>
      </c>
      <c r="C2267" t="str">
        <f t="shared" si="1133"/>
        <v>NFSE</v>
      </c>
      <c r="D2267" t="str">
        <f t="shared" si="1139"/>
        <v>2925</v>
      </c>
      <c r="E2267" t="str">
        <f t="shared" si="1131"/>
        <v>COM</v>
      </c>
      <c r="F2267" t="str">
        <f t="shared" si="1140"/>
        <v>FARMÁCIA INDIANA LJ 85 (10128)</v>
      </c>
      <c r="G2267" t="str">
        <f t="shared" si="1141"/>
        <v>Serv.Prest. 21/04/2025 a 24/04/2025 - RPS: 696 - NFSe: 2925</v>
      </c>
      <c r="H2267" t="str">
        <f t="shared" si="1137"/>
        <v>07/05/2025</v>
      </c>
      <c r="I2267" t="str">
        <f t="shared" si="1138"/>
        <v>25/04/2025</v>
      </c>
      <c r="J2267" t="str">
        <f t="shared" si="1134"/>
        <v>07/05/2025</v>
      </c>
      <c r="M2267">
        <v>303</v>
      </c>
      <c r="N2267" t="str">
        <f t="shared" si="1135"/>
        <v>RECEITAS COM ENTREGAS</v>
      </c>
      <c r="P2267">
        <v>171.63</v>
      </c>
      <c r="Q2267" t="str">
        <f>"FARMÁCIA INDIANA LJ 119 (10053)"</f>
        <v>FARMÁCIA INDIANA LJ 119 (10053)</v>
      </c>
      <c r="R2267" t="str">
        <f t="shared" si="1136"/>
        <v>RECEITAS COM ENTREGAS (303)</v>
      </c>
      <c r="S2267">
        <v>1504</v>
      </c>
      <c r="T2267">
        <v>1117</v>
      </c>
      <c r="U2267" t="s">
        <v>19</v>
      </c>
    </row>
    <row r="2268" spans="1:21">
      <c r="A2268" t="str">
        <f t="shared" si="1132"/>
        <v>07/05/2025</v>
      </c>
      <c r="B2268" t="str">
        <f t="shared" si="1125"/>
        <v>ENTRADA</v>
      </c>
      <c r="C2268" t="str">
        <f t="shared" si="1133"/>
        <v>NFSE</v>
      </c>
      <c r="D2268" t="str">
        <f t="shared" si="1139"/>
        <v>2925</v>
      </c>
      <c r="E2268" t="str">
        <f t="shared" si="1131"/>
        <v>COM</v>
      </c>
      <c r="F2268" t="str">
        <f t="shared" si="1140"/>
        <v>FARMÁCIA INDIANA LJ 85 (10128)</v>
      </c>
      <c r="G2268" t="str">
        <f t="shared" si="1141"/>
        <v>Serv.Prest. 21/04/2025 a 24/04/2025 - RPS: 696 - NFSe: 2925</v>
      </c>
      <c r="H2268" t="str">
        <f t="shared" si="1137"/>
        <v>07/05/2025</v>
      </c>
      <c r="I2268" t="str">
        <f t="shared" si="1138"/>
        <v>25/04/2025</v>
      </c>
      <c r="J2268" t="str">
        <f t="shared" si="1134"/>
        <v>07/05/2025</v>
      </c>
      <c r="M2268">
        <v>303</v>
      </c>
      <c r="N2268" t="str">
        <f t="shared" si="1135"/>
        <v>RECEITAS COM ENTREGAS</v>
      </c>
      <c r="P2268">
        <v>164.76</v>
      </c>
      <c r="Q2268" t="str">
        <f>"FARMÁCIA INDIANA LJ 163 (10072)"</f>
        <v>FARMÁCIA INDIANA LJ 163 (10072)</v>
      </c>
      <c r="R2268" t="str">
        <f t="shared" si="1136"/>
        <v>RECEITAS COM ENTREGAS (303)</v>
      </c>
      <c r="S2268">
        <v>1504</v>
      </c>
      <c r="T2268">
        <v>1117</v>
      </c>
      <c r="U2268" t="s">
        <v>19</v>
      </c>
    </row>
    <row r="2269" spans="1:21">
      <c r="A2269" t="str">
        <f t="shared" si="1132"/>
        <v>07/05/2025</v>
      </c>
      <c r="B2269" t="str">
        <f t="shared" si="1125"/>
        <v>ENTRADA</v>
      </c>
      <c r="C2269" t="str">
        <f t="shared" si="1133"/>
        <v>NFSE</v>
      </c>
      <c r="D2269" t="str">
        <f t="shared" si="1139"/>
        <v>2925</v>
      </c>
      <c r="E2269" t="str">
        <f t="shared" si="1131"/>
        <v>COM</v>
      </c>
      <c r="F2269" t="str">
        <f t="shared" si="1140"/>
        <v>FARMÁCIA INDIANA LJ 85 (10128)</v>
      </c>
      <c r="G2269" t="str">
        <f t="shared" si="1141"/>
        <v>Serv.Prest. 21/04/2025 a 24/04/2025 - RPS: 696 - NFSe: 2925</v>
      </c>
      <c r="H2269" t="str">
        <f t="shared" si="1137"/>
        <v>07/05/2025</v>
      </c>
      <c r="I2269" t="str">
        <f t="shared" si="1138"/>
        <v>25/04/2025</v>
      </c>
      <c r="J2269" t="str">
        <f t="shared" si="1134"/>
        <v>07/05/2025</v>
      </c>
      <c r="M2269">
        <v>303</v>
      </c>
      <c r="N2269" t="str">
        <f t="shared" si="1135"/>
        <v>RECEITAS COM ENTREGAS</v>
      </c>
      <c r="P2269">
        <v>50.41</v>
      </c>
      <c r="Q2269" t="str">
        <f>"FARMÁCIA INDIANA LJ 181 (10078)"</f>
        <v>FARMÁCIA INDIANA LJ 181 (10078)</v>
      </c>
      <c r="R2269" t="str">
        <f t="shared" si="1136"/>
        <v>RECEITAS COM ENTREGAS (303)</v>
      </c>
      <c r="S2269">
        <v>1504</v>
      </c>
      <c r="T2269">
        <v>1117</v>
      </c>
      <c r="U2269" t="s">
        <v>19</v>
      </c>
    </row>
    <row r="2270" spans="1:21">
      <c r="A2270" t="str">
        <f t="shared" si="1132"/>
        <v>07/05/2025</v>
      </c>
      <c r="B2270" t="str">
        <f t="shared" si="1125"/>
        <v>ENTRADA</v>
      </c>
      <c r="C2270" t="str">
        <f t="shared" si="1133"/>
        <v>NFSE</v>
      </c>
      <c r="D2270" t="str">
        <f t="shared" si="1139"/>
        <v>2925</v>
      </c>
      <c r="E2270" t="str">
        <f t="shared" si="1131"/>
        <v>COM</v>
      </c>
      <c r="F2270" t="str">
        <f t="shared" si="1140"/>
        <v>FARMÁCIA INDIANA LJ 85 (10128)</v>
      </c>
      <c r="G2270" t="str">
        <f t="shared" si="1141"/>
        <v>Serv.Prest. 21/04/2025 a 24/04/2025 - RPS: 696 - NFSe: 2925</v>
      </c>
      <c r="H2270" t="str">
        <f t="shared" si="1137"/>
        <v>07/05/2025</v>
      </c>
      <c r="I2270" t="str">
        <f t="shared" si="1138"/>
        <v>25/04/2025</v>
      </c>
      <c r="J2270" t="str">
        <f t="shared" si="1134"/>
        <v>07/05/2025</v>
      </c>
      <c r="M2270">
        <v>303</v>
      </c>
      <c r="N2270" t="str">
        <f t="shared" si="1135"/>
        <v>RECEITAS COM ENTREGAS</v>
      </c>
      <c r="P2270">
        <v>172.52</v>
      </c>
      <c r="Q2270" t="str">
        <f>"FARMÁCIA INDIANA LJ 221 (10093)"</f>
        <v>FARMÁCIA INDIANA LJ 221 (10093)</v>
      </c>
      <c r="R2270" t="str">
        <f t="shared" si="1136"/>
        <v>RECEITAS COM ENTREGAS (303)</v>
      </c>
      <c r="S2270">
        <v>1504</v>
      </c>
      <c r="T2270">
        <v>1117</v>
      </c>
      <c r="U2270" t="s">
        <v>19</v>
      </c>
    </row>
    <row r="2271" spans="1:21">
      <c r="A2271" t="str">
        <f t="shared" si="1132"/>
        <v>07/05/2025</v>
      </c>
      <c r="B2271" t="str">
        <f t="shared" si="1125"/>
        <v>ENTRADA</v>
      </c>
      <c r="C2271" t="str">
        <f t="shared" si="1133"/>
        <v>NFSE</v>
      </c>
      <c r="D2271" t="str">
        <f t="shared" si="1139"/>
        <v>2925</v>
      </c>
      <c r="E2271" t="str">
        <f t="shared" si="1131"/>
        <v>COM</v>
      </c>
      <c r="F2271" t="str">
        <f t="shared" si="1140"/>
        <v>FARMÁCIA INDIANA LJ 85 (10128)</v>
      </c>
      <c r="G2271" t="str">
        <f t="shared" si="1141"/>
        <v>Serv.Prest. 21/04/2025 a 24/04/2025 - RPS: 696 - NFSe: 2925</v>
      </c>
      <c r="H2271" t="str">
        <f t="shared" si="1137"/>
        <v>07/05/2025</v>
      </c>
      <c r="I2271" t="str">
        <f t="shared" si="1138"/>
        <v>25/04/2025</v>
      </c>
      <c r="J2271" t="str">
        <f t="shared" si="1134"/>
        <v>07/05/2025</v>
      </c>
      <c r="M2271">
        <v>303</v>
      </c>
      <c r="N2271" t="str">
        <f t="shared" si="1135"/>
        <v>RECEITAS COM ENTREGAS</v>
      </c>
      <c r="P2271">
        <v>182.08</v>
      </c>
      <c r="Q2271" t="str">
        <f>"FARMÁCIA INDIANA LJ 243 (10142)"</f>
        <v>FARMÁCIA INDIANA LJ 243 (10142)</v>
      </c>
      <c r="R2271" t="str">
        <f t="shared" si="1136"/>
        <v>RECEITAS COM ENTREGAS (303)</v>
      </c>
      <c r="S2271">
        <v>1504</v>
      </c>
      <c r="T2271">
        <v>1117</v>
      </c>
      <c r="U2271" t="s">
        <v>19</v>
      </c>
    </row>
    <row r="2272" spans="1:21">
      <c r="A2272" t="str">
        <f t="shared" si="1132"/>
        <v>07/05/2025</v>
      </c>
      <c r="B2272" t="str">
        <f t="shared" si="1125"/>
        <v>ENTRADA</v>
      </c>
      <c r="C2272" t="str">
        <f t="shared" si="1133"/>
        <v>NFSE</v>
      </c>
      <c r="D2272" t="str">
        <f t="shared" si="1139"/>
        <v>2925</v>
      </c>
      <c r="E2272" t="str">
        <f t="shared" si="1131"/>
        <v>COM</v>
      </c>
      <c r="F2272" t="str">
        <f t="shared" si="1140"/>
        <v>FARMÁCIA INDIANA LJ 85 (10128)</v>
      </c>
      <c r="G2272" t="str">
        <f t="shared" si="1141"/>
        <v>Serv.Prest. 21/04/2025 a 24/04/2025 - RPS: 696 - NFSe: 2925</v>
      </c>
      <c r="H2272" t="str">
        <f t="shared" si="1137"/>
        <v>07/05/2025</v>
      </c>
      <c r="I2272" t="str">
        <f t="shared" si="1138"/>
        <v>25/04/2025</v>
      </c>
      <c r="J2272" t="str">
        <f t="shared" si="1134"/>
        <v>07/05/2025</v>
      </c>
      <c r="M2272">
        <v>303</v>
      </c>
      <c r="N2272" t="str">
        <f t="shared" si="1135"/>
        <v>RECEITAS COM ENTREGAS</v>
      </c>
      <c r="P2272">
        <v>80.89</v>
      </c>
      <c r="Q2272" t="str">
        <f>"FARMÁCIA INDIANA LJ 211 (10168)"</f>
        <v>FARMÁCIA INDIANA LJ 211 (10168)</v>
      </c>
      <c r="R2272" t="str">
        <f t="shared" si="1136"/>
        <v>RECEITAS COM ENTREGAS (303)</v>
      </c>
      <c r="S2272">
        <v>1504</v>
      </c>
      <c r="T2272">
        <v>1117</v>
      </c>
      <c r="U2272" t="s">
        <v>19</v>
      </c>
    </row>
    <row r="2273" spans="1:21">
      <c r="A2273" t="str">
        <f t="shared" si="1132"/>
        <v>07/05/2025</v>
      </c>
      <c r="B2273" t="str">
        <f t="shared" si="1125"/>
        <v>ENTRADA</v>
      </c>
      <c r="C2273" t="str">
        <f t="shared" si="1133"/>
        <v>NFSE</v>
      </c>
      <c r="D2273" t="str">
        <f t="shared" si="1139"/>
        <v>2925</v>
      </c>
      <c r="E2273" t="str">
        <f t="shared" si="1131"/>
        <v>COM</v>
      </c>
      <c r="F2273" t="str">
        <f t="shared" si="1140"/>
        <v>FARMÁCIA INDIANA LJ 85 (10128)</v>
      </c>
      <c r="G2273" t="str">
        <f t="shared" si="1141"/>
        <v>Serv.Prest. 21/04/2025 a 24/04/2025 - RPS: 696 - NFSe: 2925</v>
      </c>
      <c r="H2273" t="str">
        <f t="shared" si="1137"/>
        <v>07/05/2025</v>
      </c>
      <c r="I2273" t="str">
        <f t="shared" si="1138"/>
        <v>25/04/2025</v>
      </c>
      <c r="J2273" t="str">
        <f t="shared" si="1134"/>
        <v>07/05/2025</v>
      </c>
      <c r="M2273">
        <v>303</v>
      </c>
      <c r="N2273" t="str">
        <f t="shared" si="1135"/>
        <v>RECEITAS COM ENTREGAS</v>
      </c>
      <c r="P2273">
        <v>79.540000000000006</v>
      </c>
      <c r="Q2273" t="str">
        <f>"FARMÁCIA INDIANA LJ 236 (10169)"</f>
        <v>FARMÁCIA INDIANA LJ 236 (10169)</v>
      </c>
      <c r="R2273" t="str">
        <f t="shared" si="1136"/>
        <v>RECEITAS COM ENTREGAS (303)</v>
      </c>
      <c r="S2273">
        <v>1504</v>
      </c>
      <c r="T2273">
        <v>1117</v>
      </c>
      <c r="U2273" t="s">
        <v>19</v>
      </c>
    </row>
    <row r="2274" spans="1:21">
      <c r="A2274" t="str">
        <f t="shared" si="1132"/>
        <v>07/05/2025</v>
      </c>
      <c r="B2274" t="str">
        <f t="shared" si="1125"/>
        <v>ENTRADA</v>
      </c>
      <c r="C2274" t="str">
        <f t="shared" si="1133"/>
        <v>NFSE</v>
      </c>
      <c r="D2274" t="str">
        <f t="shared" ref="D2274:D2285" si="1142">"2926"</f>
        <v>2926</v>
      </c>
      <c r="E2274" t="str">
        <f t="shared" si="1131"/>
        <v>COM</v>
      </c>
      <c r="F2274" t="str">
        <f t="shared" ref="F2274:F2285" si="1143">"FARMÁCIA INDIANA LJ 30 (10127)"</f>
        <v>FARMÁCIA INDIANA LJ 30 (10127)</v>
      </c>
      <c r="G2274" t="str">
        <f t="shared" ref="G2274:G2285" si="1144">"Serv.Prest. 21/04/2025 a 24/04/2025 - RPS: 697 - NFSe: 2926"</f>
        <v>Serv.Prest. 21/04/2025 a 24/04/2025 - RPS: 697 - NFSe: 2926</v>
      </c>
      <c r="H2274" t="str">
        <f t="shared" si="1137"/>
        <v>07/05/2025</v>
      </c>
      <c r="I2274" t="str">
        <f t="shared" si="1138"/>
        <v>25/04/2025</v>
      </c>
      <c r="J2274" t="str">
        <f t="shared" si="1134"/>
        <v>07/05/2025</v>
      </c>
      <c r="K2274">
        <v>2153.42</v>
      </c>
      <c r="L2274">
        <v>2153.42</v>
      </c>
      <c r="M2274">
        <v>303</v>
      </c>
      <c r="N2274" t="str">
        <f t="shared" si="1135"/>
        <v>RECEITAS COM ENTREGAS</v>
      </c>
      <c r="O2274">
        <v>2153.42</v>
      </c>
      <c r="R2274" t="str">
        <f t="shared" si="1136"/>
        <v>RECEITAS COM ENTREGAS (303)</v>
      </c>
      <c r="S2274">
        <v>1505</v>
      </c>
      <c r="T2274">
        <v>1118</v>
      </c>
      <c r="U2274" t="s">
        <v>19</v>
      </c>
    </row>
    <row r="2275" spans="1:21">
      <c r="A2275" t="str">
        <f t="shared" si="1132"/>
        <v>07/05/2025</v>
      </c>
      <c r="B2275" t="str">
        <f t="shared" si="1125"/>
        <v>ENTRADA</v>
      </c>
      <c r="C2275" t="str">
        <f t="shared" si="1133"/>
        <v>NFSE</v>
      </c>
      <c r="D2275" t="str">
        <f t="shared" si="1142"/>
        <v>2926</v>
      </c>
      <c r="E2275" t="str">
        <f t="shared" si="1131"/>
        <v>COM</v>
      </c>
      <c r="F2275" t="str">
        <f t="shared" si="1143"/>
        <v>FARMÁCIA INDIANA LJ 30 (10127)</v>
      </c>
      <c r="G2275" t="str">
        <f t="shared" si="1144"/>
        <v>Serv.Prest. 21/04/2025 a 24/04/2025 - RPS: 697 - NFSe: 2926</v>
      </c>
      <c r="H2275" t="str">
        <f t="shared" si="1137"/>
        <v>07/05/2025</v>
      </c>
      <c r="I2275" t="str">
        <f t="shared" si="1138"/>
        <v>25/04/2025</v>
      </c>
      <c r="J2275" t="str">
        <f t="shared" si="1134"/>
        <v>07/05/2025</v>
      </c>
      <c r="M2275">
        <v>303</v>
      </c>
      <c r="N2275" t="str">
        <f t="shared" si="1135"/>
        <v>RECEITAS COM ENTREGAS</v>
      </c>
      <c r="P2275">
        <v>203.95</v>
      </c>
      <c r="Q2275" t="str">
        <f>"FARMÁCIA INDIANA LJ 34 (10014)"</f>
        <v>FARMÁCIA INDIANA LJ 34 (10014)</v>
      </c>
      <c r="R2275" t="str">
        <f t="shared" si="1136"/>
        <v>RECEITAS COM ENTREGAS (303)</v>
      </c>
      <c r="S2275">
        <v>1505</v>
      </c>
      <c r="T2275">
        <v>1118</v>
      </c>
      <c r="U2275" t="s">
        <v>19</v>
      </c>
    </row>
    <row r="2276" spans="1:21">
      <c r="A2276" t="str">
        <f t="shared" si="1132"/>
        <v>07/05/2025</v>
      </c>
      <c r="B2276" t="str">
        <f t="shared" si="1125"/>
        <v>ENTRADA</v>
      </c>
      <c r="C2276" t="str">
        <f t="shared" si="1133"/>
        <v>NFSE</v>
      </c>
      <c r="D2276" t="str">
        <f t="shared" si="1142"/>
        <v>2926</v>
      </c>
      <c r="E2276" t="str">
        <f t="shared" si="1131"/>
        <v>COM</v>
      </c>
      <c r="F2276" t="str">
        <f t="shared" si="1143"/>
        <v>FARMÁCIA INDIANA LJ 30 (10127)</v>
      </c>
      <c r="G2276" t="str">
        <f t="shared" si="1144"/>
        <v>Serv.Prest. 21/04/2025 a 24/04/2025 - RPS: 697 - NFSe: 2926</v>
      </c>
      <c r="H2276" t="str">
        <f t="shared" si="1137"/>
        <v>07/05/2025</v>
      </c>
      <c r="I2276" t="str">
        <f t="shared" si="1138"/>
        <v>25/04/2025</v>
      </c>
      <c r="J2276" t="str">
        <f t="shared" si="1134"/>
        <v>07/05/2025</v>
      </c>
      <c r="M2276">
        <v>303</v>
      </c>
      <c r="N2276" t="str">
        <f t="shared" si="1135"/>
        <v>RECEITAS COM ENTREGAS</v>
      </c>
      <c r="P2276">
        <v>236.01</v>
      </c>
      <c r="Q2276" t="str">
        <f>"FARMÁCIA INDIANA LJ 35 (10015)"</f>
        <v>FARMÁCIA INDIANA LJ 35 (10015)</v>
      </c>
      <c r="R2276" t="str">
        <f t="shared" si="1136"/>
        <v>RECEITAS COM ENTREGAS (303)</v>
      </c>
      <c r="S2276">
        <v>1505</v>
      </c>
      <c r="T2276">
        <v>1118</v>
      </c>
      <c r="U2276" t="s">
        <v>19</v>
      </c>
    </row>
    <row r="2277" spans="1:21">
      <c r="A2277" t="str">
        <f t="shared" si="1132"/>
        <v>07/05/2025</v>
      </c>
      <c r="B2277" t="str">
        <f t="shared" si="1125"/>
        <v>ENTRADA</v>
      </c>
      <c r="C2277" t="str">
        <f t="shared" si="1133"/>
        <v>NFSE</v>
      </c>
      <c r="D2277" t="str">
        <f t="shared" si="1142"/>
        <v>2926</v>
      </c>
      <c r="E2277" t="str">
        <f t="shared" si="1131"/>
        <v>COM</v>
      </c>
      <c r="F2277" t="str">
        <f t="shared" si="1143"/>
        <v>FARMÁCIA INDIANA LJ 30 (10127)</v>
      </c>
      <c r="G2277" t="str">
        <f t="shared" si="1144"/>
        <v>Serv.Prest. 21/04/2025 a 24/04/2025 - RPS: 697 - NFSe: 2926</v>
      </c>
      <c r="H2277" t="str">
        <f t="shared" si="1137"/>
        <v>07/05/2025</v>
      </c>
      <c r="I2277" t="str">
        <f t="shared" si="1138"/>
        <v>25/04/2025</v>
      </c>
      <c r="J2277" t="str">
        <f t="shared" si="1134"/>
        <v>07/05/2025</v>
      </c>
      <c r="M2277">
        <v>303</v>
      </c>
      <c r="N2277" t="str">
        <f t="shared" si="1135"/>
        <v>RECEITAS COM ENTREGAS</v>
      </c>
      <c r="P2277">
        <v>74.94</v>
      </c>
      <c r="Q2277" t="str">
        <f>"FARMÁCIA INDIANA LJ 48 (10018)"</f>
        <v>FARMÁCIA INDIANA LJ 48 (10018)</v>
      </c>
      <c r="R2277" t="str">
        <f t="shared" si="1136"/>
        <v>RECEITAS COM ENTREGAS (303)</v>
      </c>
      <c r="S2277">
        <v>1505</v>
      </c>
      <c r="T2277">
        <v>1118</v>
      </c>
      <c r="U2277" t="s">
        <v>19</v>
      </c>
    </row>
    <row r="2278" spans="1:21">
      <c r="A2278" t="str">
        <f t="shared" si="1132"/>
        <v>07/05/2025</v>
      </c>
      <c r="B2278" t="str">
        <f t="shared" si="1125"/>
        <v>ENTRADA</v>
      </c>
      <c r="C2278" t="str">
        <f t="shared" si="1133"/>
        <v>NFSE</v>
      </c>
      <c r="D2278" t="str">
        <f t="shared" si="1142"/>
        <v>2926</v>
      </c>
      <c r="E2278" t="str">
        <f t="shared" ref="E2278:E2297" si="1145">"COM"</f>
        <v>COM</v>
      </c>
      <c r="F2278" t="str">
        <f t="shared" si="1143"/>
        <v>FARMÁCIA INDIANA LJ 30 (10127)</v>
      </c>
      <c r="G2278" t="str">
        <f t="shared" si="1144"/>
        <v>Serv.Prest. 21/04/2025 a 24/04/2025 - RPS: 697 - NFSe: 2926</v>
      </c>
      <c r="H2278" t="str">
        <f t="shared" si="1137"/>
        <v>07/05/2025</v>
      </c>
      <c r="I2278" t="str">
        <f t="shared" si="1138"/>
        <v>25/04/2025</v>
      </c>
      <c r="J2278" t="str">
        <f t="shared" si="1134"/>
        <v>07/05/2025</v>
      </c>
      <c r="M2278">
        <v>303</v>
      </c>
      <c r="N2278" t="str">
        <f t="shared" si="1135"/>
        <v>RECEITAS COM ENTREGAS</v>
      </c>
      <c r="P2278">
        <v>418.62</v>
      </c>
      <c r="Q2278" t="str">
        <f>"FARMÁCIA INDIANA LJ 65 (10030)"</f>
        <v>FARMÁCIA INDIANA LJ 65 (10030)</v>
      </c>
      <c r="R2278" t="str">
        <f t="shared" si="1136"/>
        <v>RECEITAS COM ENTREGAS (303)</v>
      </c>
      <c r="S2278">
        <v>1505</v>
      </c>
      <c r="T2278">
        <v>1118</v>
      </c>
      <c r="U2278" t="s">
        <v>19</v>
      </c>
    </row>
    <row r="2279" spans="1:21">
      <c r="A2279" t="str">
        <f t="shared" si="1132"/>
        <v>07/05/2025</v>
      </c>
      <c r="B2279" t="str">
        <f t="shared" si="1125"/>
        <v>ENTRADA</v>
      </c>
      <c r="C2279" t="str">
        <f t="shared" si="1133"/>
        <v>NFSE</v>
      </c>
      <c r="D2279" t="str">
        <f t="shared" si="1142"/>
        <v>2926</v>
      </c>
      <c r="E2279" t="str">
        <f t="shared" si="1145"/>
        <v>COM</v>
      </c>
      <c r="F2279" t="str">
        <f t="shared" si="1143"/>
        <v>FARMÁCIA INDIANA LJ 30 (10127)</v>
      </c>
      <c r="G2279" t="str">
        <f t="shared" si="1144"/>
        <v>Serv.Prest. 21/04/2025 a 24/04/2025 - RPS: 697 - NFSe: 2926</v>
      </c>
      <c r="H2279" t="str">
        <f t="shared" si="1137"/>
        <v>07/05/2025</v>
      </c>
      <c r="I2279" t="str">
        <f t="shared" si="1138"/>
        <v>25/04/2025</v>
      </c>
      <c r="J2279" t="str">
        <f t="shared" si="1134"/>
        <v>07/05/2025</v>
      </c>
      <c r="M2279">
        <v>303</v>
      </c>
      <c r="N2279" t="str">
        <f t="shared" si="1135"/>
        <v>RECEITAS COM ENTREGAS</v>
      </c>
      <c r="P2279">
        <v>137.16999999999999</v>
      </c>
      <c r="Q2279" t="str">
        <f>"FARMÁCIA INDIANA LJ 77 (10034)"</f>
        <v>FARMÁCIA INDIANA LJ 77 (10034)</v>
      </c>
      <c r="R2279" t="str">
        <f t="shared" si="1136"/>
        <v>RECEITAS COM ENTREGAS (303)</v>
      </c>
      <c r="S2279">
        <v>1505</v>
      </c>
      <c r="T2279">
        <v>1118</v>
      </c>
      <c r="U2279" t="s">
        <v>19</v>
      </c>
    </row>
    <row r="2280" spans="1:21">
      <c r="A2280" t="str">
        <f t="shared" ref="A2280:A2303" si="1146">("07/05/2025")</f>
        <v>07/05/2025</v>
      </c>
      <c r="B2280" t="str">
        <f t="shared" si="1125"/>
        <v>ENTRADA</v>
      </c>
      <c r="C2280" t="str">
        <f t="shared" ref="C2280:C2293" si="1147">"NFSE"</f>
        <v>NFSE</v>
      </c>
      <c r="D2280" t="str">
        <f t="shared" si="1142"/>
        <v>2926</v>
      </c>
      <c r="E2280" t="str">
        <f t="shared" si="1145"/>
        <v>COM</v>
      </c>
      <c r="F2280" t="str">
        <f t="shared" si="1143"/>
        <v>FARMÁCIA INDIANA LJ 30 (10127)</v>
      </c>
      <c r="G2280" t="str">
        <f t="shared" si="1144"/>
        <v>Serv.Prest. 21/04/2025 a 24/04/2025 - RPS: 697 - NFSe: 2926</v>
      </c>
      <c r="H2280" t="str">
        <f t="shared" si="1137"/>
        <v>07/05/2025</v>
      </c>
      <c r="I2280" t="str">
        <f t="shared" si="1138"/>
        <v>25/04/2025</v>
      </c>
      <c r="J2280" t="str">
        <f t="shared" ref="J2280:J2303" si="1148">("07/05/2025")</f>
        <v>07/05/2025</v>
      </c>
      <c r="M2280">
        <v>303</v>
      </c>
      <c r="N2280" t="str">
        <f t="shared" ref="N2280:N2293" si="1149">"RECEITAS COM ENTREGAS"</f>
        <v>RECEITAS COM ENTREGAS</v>
      </c>
      <c r="P2280">
        <v>105.3</v>
      </c>
      <c r="Q2280" t="str">
        <f>"FARMÁCIA INDIANA LJ 91 (10037)"</f>
        <v>FARMÁCIA INDIANA LJ 91 (10037)</v>
      </c>
      <c r="R2280" t="str">
        <f t="shared" ref="R2280:R2293" si="1150">"RECEITAS COM ENTREGAS (303)"</f>
        <v>RECEITAS COM ENTREGAS (303)</v>
      </c>
      <c r="S2280">
        <v>1505</v>
      </c>
      <c r="T2280">
        <v>1118</v>
      </c>
      <c r="U2280" t="s">
        <v>19</v>
      </c>
    </row>
    <row r="2281" spans="1:21">
      <c r="A2281" t="str">
        <f t="shared" si="1146"/>
        <v>07/05/2025</v>
      </c>
      <c r="B2281" t="str">
        <f t="shared" ref="B2281:B2293" si="1151">"ENTRADA"</f>
        <v>ENTRADA</v>
      </c>
      <c r="C2281" t="str">
        <f t="shared" si="1147"/>
        <v>NFSE</v>
      </c>
      <c r="D2281" t="str">
        <f t="shared" si="1142"/>
        <v>2926</v>
      </c>
      <c r="E2281" t="str">
        <f t="shared" si="1145"/>
        <v>COM</v>
      </c>
      <c r="F2281" t="str">
        <f t="shared" si="1143"/>
        <v>FARMÁCIA INDIANA LJ 30 (10127)</v>
      </c>
      <c r="G2281" t="str">
        <f t="shared" si="1144"/>
        <v>Serv.Prest. 21/04/2025 a 24/04/2025 - RPS: 697 - NFSe: 2926</v>
      </c>
      <c r="H2281" t="str">
        <f t="shared" si="1137"/>
        <v>07/05/2025</v>
      </c>
      <c r="I2281" t="str">
        <f t="shared" si="1138"/>
        <v>25/04/2025</v>
      </c>
      <c r="J2281" t="str">
        <f t="shared" si="1148"/>
        <v>07/05/2025</v>
      </c>
      <c r="M2281">
        <v>303</v>
      </c>
      <c r="N2281" t="str">
        <f t="shared" si="1149"/>
        <v>RECEITAS COM ENTREGAS</v>
      </c>
      <c r="P2281">
        <v>239.46</v>
      </c>
      <c r="Q2281" t="str">
        <f>"FARMÁCIA INDIANA LJ 95 (10039)"</f>
        <v>FARMÁCIA INDIANA LJ 95 (10039)</v>
      </c>
      <c r="R2281" t="str">
        <f t="shared" si="1150"/>
        <v>RECEITAS COM ENTREGAS (303)</v>
      </c>
      <c r="S2281">
        <v>1505</v>
      </c>
      <c r="T2281">
        <v>1118</v>
      </c>
      <c r="U2281" t="s">
        <v>19</v>
      </c>
    </row>
    <row r="2282" spans="1:21">
      <c r="A2282" t="str">
        <f t="shared" si="1146"/>
        <v>07/05/2025</v>
      </c>
      <c r="B2282" t="str">
        <f t="shared" si="1151"/>
        <v>ENTRADA</v>
      </c>
      <c r="C2282" t="str">
        <f t="shared" si="1147"/>
        <v>NFSE</v>
      </c>
      <c r="D2282" t="str">
        <f t="shared" si="1142"/>
        <v>2926</v>
      </c>
      <c r="E2282" t="str">
        <f t="shared" si="1145"/>
        <v>COM</v>
      </c>
      <c r="F2282" t="str">
        <f t="shared" si="1143"/>
        <v>FARMÁCIA INDIANA LJ 30 (10127)</v>
      </c>
      <c r="G2282" t="str">
        <f t="shared" si="1144"/>
        <v>Serv.Prest. 21/04/2025 a 24/04/2025 - RPS: 697 - NFSe: 2926</v>
      </c>
      <c r="H2282" t="str">
        <f t="shared" si="1137"/>
        <v>07/05/2025</v>
      </c>
      <c r="I2282" t="str">
        <f t="shared" si="1138"/>
        <v>25/04/2025</v>
      </c>
      <c r="J2282" t="str">
        <f t="shared" si="1148"/>
        <v>07/05/2025</v>
      </c>
      <c r="M2282">
        <v>303</v>
      </c>
      <c r="N2282" t="str">
        <f t="shared" si="1149"/>
        <v>RECEITAS COM ENTREGAS</v>
      </c>
      <c r="P2282">
        <v>280.81</v>
      </c>
      <c r="Q2282" t="str">
        <f>"FARMÁCIA INDIANA LJ 145 (10068)"</f>
        <v>FARMÁCIA INDIANA LJ 145 (10068)</v>
      </c>
      <c r="R2282" t="str">
        <f t="shared" si="1150"/>
        <v>RECEITAS COM ENTREGAS (303)</v>
      </c>
      <c r="S2282">
        <v>1505</v>
      </c>
      <c r="T2282">
        <v>1118</v>
      </c>
      <c r="U2282" t="s">
        <v>19</v>
      </c>
    </row>
    <row r="2283" spans="1:21">
      <c r="A2283" t="str">
        <f t="shared" si="1146"/>
        <v>07/05/2025</v>
      </c>
      <c r="B2283" t="str">
        <f t="shared" si="1151"/>
        <v>ENTRADA</v>
      </c>
      <c r="C2283" t="str">
        <f t="shared" si="1147"/>
        <v>NFSE</v>
      </c>
      <c r="D2283" t="str">
        <f t="shared" si="1142"/>
        <v>2926</v>
      </c>
      <c r="E2283" t="str">
        <f t="shared" si="1145"/>
        <v>COM</v>
      </c>
      <c r="F2283" t="str">
        <f t="shared" si="1143"/>
        <v>FARMÁCIA INDIANA LJ 30 (10127)</v>
      </c>
      <c r="G2283" t="str">
        <f t="shared" si="1144"/>
        <v>Serv.Prest. 21/04/2025 a 24/04/2025 - RPS: 697 - NFSe: 2926</v>
      </c>
      <c r="H2283" t="str">
        <f t="shared" si="1137"/>
        <v>07/05/2025</v>
      </c>
      <c r="I2283" t="str">
        <f t="shared" si="1138"/>
        <v>25/04/2025</v>
      </c>
      <c r="J2283" t="str">
        <f t="shared" si="1148"/>
        <v>07/05/2025</v>
      </c>
      <c r="M2283">
        <v>303</v>
      </c>
      <c r="N2283" t="str">
        <f t="shared" si="1149"/>
        <v>RECEITAS COM ENTREGAS</v>
      </c>
      <c r="P2283">
        <v>87.64</v>
      </c>
      <c r="Q2283" t="str">
        <f>"FARMÁCIA INDIANA LJ 169 (10073)"</f>
        <v>FARMÁCIA INDIANA LJ 169 (10073)</v>
      </c>
      <c r="R2283" t="str">
        <f t="shared" si="1150"/>
        <v>RECEITAS COM ENTREGAS (303)</v>
      </c>
      <c r="S2283">
        <v>1505</v>
      </c>
      <c r="T2283">
        <v>1118</v>
      </c>
      <c r="U2283" t="s">
        <v>19</v>
      </c>
    </row>
    <row r="2284" spans="1:21">
      <c r="A2284" t="str">
        <f t="shared" si="1146"/>
        <v>07/05/2025</v>
      </c>
      <c r="B2284" t="str">
        <f t="shared" si="1151"/>
        <v>ENTRADA</v>
      </c>
      <c r="C2284" t="str">
        <f t="shared" si="1147"/>
        <v>NFSE</v>
      </c>
      <c r="D2284" t="str">
        <f t="shared" si="1142"/>
        <v>2926</v>
      </c>
      <c r="E2284" t="str">
        <f t="shared" si="1145"/>
        <v>COM</v>
      </c>
      <c r="F2284" t="str">
        <f t="shared" si="1143"/>
        <v>FARMÁCIA INDIANA LJ 30 (10127)</v>
      </c>
      <c r="G2284" t="str">
        <f t="shared" si="1144"/>
        <v>Serv.Prest. 21/04/2025 a 24/04/2025 - RPS: 697 - NFSe: 2926</v>
      </c>
      <c r="H2284" t="str">
        <f t="shared" ref="H2284:H2315" si="1152">("07/05/2025")</f>
        <v>07/05/2025</v>
      </c>
      <c r="I2284" t="str">
        <f t="shared" si="1138"/>
        <v>25/04/2025</v>
      </c>
      <c r="J2284" t="str">
        <f t="shared" si="1148"/>
        <v>07/05/2025</v>
      </c>
      <c r="M2284">
        <v>303</v>
      </c>
      <c r="N2284" t="str">
        <f t="shared" si="1149"/>
        <v>RECEITAS COM ENTREGAS</v>
      </c>
      <c r="P2284">
        <v>209.31</v>
      </c>
      <c r="Q2284" t="str">
        <f>"FARMÁCIA INDIANA LJ 173 (10075)"</f>
        <v>FARMÁCIA INDIANA LJ 173 (10075)</v>
      </c>
      <c r="R2284" t="str">
        <f t="shared" si="1150"/>
        <v>RECEITAS COM ENTREGAS (303)</v>
      </c>
      <c r="S2284">
        <v>1505</v>
      </c>
      <c r="T2284">
        <v>1118</v>
      </c>
      <c r="U2284" t="s">
        <v>19</v>
      </c>
    </row>
    <row r="2285" spans="1:21">
      <c r="A2285" t="str">
        <f t="shared" si="1146"/>
        <v>07/05/2025</v>
      </c>
      <c r="B2285" t="str">
        <f t="shared" si="1151"/>
        <v>ENTRADA</v>
      </c>
      <c r="C2285" t="str">
        <f t="shared" si="1147"/>
        <v>NFSE</v>
      </c>
      <c r="D2285" t="str">
        <f t="shared" si="1142"/>
        <v>2926</v>
      </c>
      <c r="E2285" t="str">
        <f t="shared" si="1145"/>
        <v>COM</v>
      </c>
      <c r="F2285" t="str">
        <f t="shared" si="1143"/>
        <v>FARMÁCIA INDIANA LJ 30 (10127)</v>
      </c>
      <c r="G2285" t="str">
        <f t="shared" si="1144"/>
        <v>Serv.Prest. 21/04/2025 a 24/04/2025 - RPS: 697 - NFSe: 2926</v>
      </c>
      <c r="H2285" t="str">
        <f t="shared" si="1152"/>
        <v>07/05/2025</v>
      </c>
      <c r="I2285" t="str">
        <f t="shared" si="1138"/>
        <v>25/04/2025</v>
      </c>
      <c r="J2285" t="str">
        <f t="shared" si="1148"/>
        <v>07/05/2025</v>
      </c>
      <c r="M2285">
        <v>303</v>
      </c>
      <c r="N2285" t="str">
        <f t="shared" si="1149"/>
        <v>RECEITAS COM ENTREGAS</v>
      </c>
      <c r="P2285">
        <v>160.21</v>
      </c>
      <c r="Q2285" t="str">
        <f>"FARMÁCIA INDIANA LJ 200 (10155)"</f>
        <v>FARMÁCIA INDIANA LJ 200 (10155)</v>
      </c>
      <c r="R2285" t="str">
        <f t="shared" si="1150"/>
        <v>RECEITAS COM ENTREGAS (303)</v>
      </c>
      <c r="S2285">
        <v>1505</v>
      </c>
      <c r="T2285">
        <v>1118</v>
      </c>
      <c r="U2285" t="s">
        <v>19</v>
      </c>
    </row>
    <row r="2286" spans="1:21">
      <c r="A2286" t="str">
        <f t="shared" si="1146"/>
        <v>07/05/2025</v>
      </c>
      <c r="B2286" t="str">
        <f t="shared" si="1151"/>
        <v>ENTRADA</v>
      </c>
      <c r="C2286" t="str">
        <f t="shared" si="1147"/>
        <v>NFSE</v>
      </c>
      <c r="D2286" t="str">
        <f>"2949"</f>
        <v>2949</v>
      </c>
      <c r="E2286" t="str">
        <f t="shared" si="1145"/>
        <v>COM</v>
      </c>
      <c r="F2286" t="str">
        <f>"ENTREFARMA (10164)"</f>
        <v>ENTREFARMA (10164)</v>
      </c>
      <c r="G2286" t="str">
        <f>"Serv.Prest. 28/04/2025 a 04/05/2025 - RPS: 719 - NFSe: 2949"</f>
        <v>Serv.Prest. 28/04/2025 a 04/05/2025 - RPS: 719 - NFSe: 2949</v>
      </c>
      <c r="H2286" t="str">
        <f t="shared" si="1152"/>
        <v>07/05/2025</v>
      </c>
      <c r="I2286" t="str">
        <f t="shared" ref="I2286:I2293" si="1153">("05/05/2025")</f>
        <v>05/05/2025</v>
      </c>
      <c r="J2286" t="str">
        <f t="shared" si="1148"/>
        <v>07/05/2025</v>
      </c>
      <c r="K2286">
        <v>877.2</v>
      </c>
      <c r="L2286">
        <v>877.2</v>
      </c>
      <c r="M2286">
        <v>303</v>
      </c>
      <c r="N2286" t="str">
        <f t="shared" si="1149"/>
        <v>RECEITAS COM ENTREGAS</v>
      </c>
      <c r="O2286">
        <v>877.2</v>
      </c>
      <c r="R2286" t="str">
        <f t="shared" si="1150"/>
        <v>RECEITAS COM ENTREGAS (303)</v>
      </c>
      <c r="S2286">
        <v>1506</v>
      </c>
      <c r="T2286">
        <v>1141</v>
      </c>
      <c r="U2286" t="s">
        <v>19</v>
      </c>
    </row>
    <row r="2287" spans="1:21">
      <c r="A2287" t="str">
        <f t="shared" si="1146"/>
        <v>07/05/2025</v>
      </c>
      <c r="B2287" t="str">
        <f t="shared" si="1151"/>
        <v>ENTRADA</v>
      </c>
      <c r="C2287" t="str">
        <f t="shared" si="1147"/>
        <v>NFSE</v>
      </c>
      <c r="D2287" t="str">
        <f>"2949"</f>
        <v>2949</v>
      </c>
      <c r="E2287" t="str">
        <f t="shared" si="1145"/>
        <v>COM</v>
      </c>
      <c r="F2287" t="str">
        <f>"ENTREFARMA (10164)"</f>
        <v>ENTREFARMA (10164)</v>
      </c>
      <c r="G2287" t="str">
        <f>"Serv.Prest. 28/04/2025 a 04/05/2025 - RPS: 719 - NFSe: 2949"</f>
        <v>Serv.Prest. 28/04/2025 a 04/05/2025 - RPS: 719 - NFSe: 2949</v>
      </c>
      <c r="H2287" t="str">
        <f t="shared" si="1152"/>
        <v>07/05/2025</v>
      </c>
      <c r="I2287" t="str">
        <f t="shared" si="1153"/>
        <v>05/05/2025</v>
      </c>
      <c r="J2287" t="str">
        <f t="shared" si="1148"/>
        <v>07/05/2025</v>
      </c>
      <c r="M2287">
        <v>303</v>
      </c>
      <c r="N2287" t="str">
        <f t="shared" si="1149"/>
        <v>RECEITAS COM ENTREGAS</v>
      </c>
      <c r="P2287">
        <v>877.2</v>
      </c>
      <c r="Q2287" t="str">
        <f>"ENTREFARMA (10164)"</f>
        <v>ENTREFARMA (10164)</v>
      </c>
      <c r="R2287" t="str">
        <f t="shared" si="1150"/>
        <v>RECEITAS COM ENTREGAS (303)</v>
      </c>
      <c r="S2287">
        <v>1506</v>
      </c>
      <c r="T2287">
        <v>1141</v>
      </c>
      <c r="U2287" t="s">
        <v>19</v>
      </c>
    </row>
    <row r="2288" spans="1:21">
      <c r="A2288" t="str">
        <f t="shared" si="1146"/>
        <v>07/05/2025</v>
      </c>
      <c r="B2288" t="str">
        <f t="shared" si="1151"/>
        <v>ENTRADA</v>
      </c>
      <c r="C2288" t="str">
        <f t="shared" si="1147"/>
        <v>NFSE</v>
      </c>
      <c r="D2288" t="str">
        <f>"2950"</f>
        <v>2950</v>
      </c>
      <c r="E2288" t="str">
        <f t="shared" si="1145"/>
        <v>COM</v>
      </c>
      <c r="F2288" t="str">
        <f>"ROSA MARIA LTDA (10165)"</f>
        <v>ROSA MARIA LTDA (10165)</v>
      </c>
      <c r="G2288" t="str">
        <f>"Serv.Prest. 28/04/2025 a 04/05/2025 - RPS: 720 - NFSe: 2950"</f>
        <v>Serv.Prest. 28/04/2025 a 04/05/2025 - RPS: 720 - NFSe: 2950</v>
      </c>
      <c r="H2288" t="str">
        <f t="shared" si="1152"/>
        <v>07/05/2025</v>
      </c>
      <c r="I2288" t="str">
        <f t="shared" si="1153"/>
        <v>05/05/2025</v>
      </c>
      <c r="J2288" t="str">
        <f t="shared" si="1148"/>
        <v>07/05/2025</v>
      </c>
      <c r="K2288">
        <v>178.16</v>
      </c>
      <c r="L2288">
        <v>178.16</v>
      </c>
      <c r="M2288">
        <v>303</v>
      </c>
      <c r="N2288" t="str">
        <f t="shared" si="1149"/>
        <v>RECEITAS COM ENTREGAS</v>
      </c>
      <c r="O2288">
        <v>178.16</v>
      </c>
      <c r="R2288" t="str">
        <f t="shared" si="1150"/>
        <v>RECEITAS COM ENTREGAS (303)</v>
      </c>
      <c r="S2288">
        <v>1507</v>
      </c>
      <c r="T2288">
        <v>1142</v>
      </c>
      <c r="U2288" t="s">
        <v>19</v>
      </c>
    </row>
    <row r="2289" spans="1:21">
      <c r="A2289" t="str">
        <f t="shared" si="1146"/>
        <v>07/05/2025</v>
      </c>
      <c r="B2289" t="str">
        <f t="shared" si="1151"/>
        <v>ENTRADA</v>
      </c>
      <c r="C2289" t="str">
        <f t="shared" si="1147"/>
        <v>NFSE</v>
      </c>
      <c r="D2289" t="str">
        <f>"2950"</f>
        <v>2950</v>
      </c>
      <c r="E2289" t="str">
        <f t="shared" si="1145"/>
        <v>COM</v>
      </c>
      <c r="F2289" t="str">
        <f>"ROSA MARIA LTDA (10165)"</f>
        <v>ROSA MARIA LTDA (10165)</v>
      </c>
      <c r="G2289" t="str">
        <f>"Serv.Prest. 28/04/2025 a 04/05/2025 - RPS: 720 - NFSe: 2950"</f>
        <v>Serv.Prest. 28/04/2025 a 04/05/2025 - RPS: 720 - NFSe: 2950</v>
      </c>
      <c r="H2289" t="str">
        <f t="shared" si="1152"/>
        <v>07/05/2025</v>
      </c>
      <c r="I2289" t="str">
        <f t="shared" si="1153"/>
        <v>05/05/2025</v>
      </c>
      <c r="J2289" t="str">
        <f t="shared" si="1148"/>
        <v>07/05/2025</v>
      </c>
      <c r="M2289">
        <v>303</v>
      </c>
      <c r="N2289" t="str">
        <f t="shared" si="1149"/>
        <v>RECEITAS COM ENTREGAS</v>
      </c>
      <c r="P2289">
        <v>178.16</v>
      </c>
      <c r="Q2289" t="str">
        <f>"ROSA MARIA LTDA (10170)"</f>
        <v>ROSA MARIA LTDA (10170)</v>
      </c>
      <c r="R2289" t="str">
        <f t="shared" si="1150"/>
        <v>RECEITAS COM ENTREGAS (303)</v>
      </c>
      <c r="S2289">
        <v>1507</v>
      </c>
      <c r="T2289">
        <v>1142</v>
      </c>
      <c r="U2289" t="s">
        <v>19</v>
      </c>
    </row>
    <row r="2290" spans="1:21">
      <c r="A2290" t="str">
        <f t="shared" si="1146"/>
        <v>07/05/2025</v>
      </c>
      <c r="B2290" t="str">
        <f t="shared" si="1151"/>
        <v>ENTRADA</v>
      </c>
      <c r="C2290" t="str">
        <f t="shared" si="1147"/>
        <v>NFSE</v>
      </c>
      <c r="D2290" t="str">
        <f>"2952"</f>
        <v>2952</v>
      </c>
      <c r="E2290" t="str">
        <f t="shared" si="1145"/>
        <v>COM</v>
      </c>
      <c r="F2290" t="str">
        <f>"DROGARIA MEDALHA (10163)"</f>
        <v>DROGARIA MEDALHA (10163)</v>
      </c>
      <c r="G2290" t="str">
        <f>"Serv.Prest. 28/04/2025 a 04/05/2025 - RPS: 722 - NFSe: 2952"</f>
        <v>Serv.Prest. 28/04/2025 a 04/05/2025 - RPS: 722 - NFSe: 2952</v>
      </c>
      <c r="H2290" t="str">
        <f t="shared" si="1152"/>
        <v>07/05/2025</v>
      </c>
      <c r="I2290" t="str">
        <f t="shared" si="1153"/>
        <v>05/05/2025</v>
      </c>
      <c r="J2290" t="str">
        <f t="shared" si="1148"/>
        <v>07/05/2025</v>
      </c>
      <c r="K2290">
        <v>191.97</v>
      </c>
      <c r="L2290">
        <v>191.97</v>
      </c>
      <c r="M2290">
        <v>303</v>
      </c>
      <c r="N2290" t="str">
        <f t="shared" si="1149"/>
        <v>RECEITAS COM ENTREGAS</v>
      </c>
      <c r="O2290">
        <v>191.97</v>
      </c>
      <c r="R2290" t="str">
        <f t="shared" si="1150"/>
        <v>RECEITAS COM ENTREGAS (303)</v>
      </c>
      <c r="S2290">
        <v>1508</v>
      </c>
      <c r="T2290">
        <v>1144</v>
      </c>
      <c r="U2290" t="s">
        <v>19</v>
      </c>
    </row>
    <row r="2291" spans="1:21">
      <c r="A2291" t="str">
        <f t="shared" si="1146"/>
        <v>07/05/2025</v>
      </c>
      <c r="B2291" t="str">
        <f t="shared" si="1151"/>
        <v>ENTRADA</v>
      </c>
      <c r="C2291" t="str">
        <f t="shared" si="1147"/>
        <v>NFSE</v>
      </c>
      <c r="D2291" t="str">
        <f>"2952"</f>
        <v>2952</v>
      </c>
      <c r="E2291" t="str">
        <f t="shared" si="1145"/>
        <v>COM</v>
      </c>
      <c r="F2291" t="str">
        <f>"DROGARIA MEDALHA (10163)"</f>
        <v>DROGARIA MEDALHA (10163)</v>
      </c>
      <c r="G2291" t="str">
        <f>"Serv.Prest. 28/04/2025 a 04/05/2025 - RPS: 722 - NFSe: 2952"</f>
        <v>Serv.Prest. 28/04/2025 a 04/05/2025 - RPS: 722 - NFSe: 2952</v>
      </c>
      <c r="H2291" t="str">
        <f t="shared" si="1152"/>
        <v>07/05/2025</v>
      </c>
      <c r="I2291" t="str">
        <f t="shared" si="1153"/>
        <v>05/05/2025</v>
      </c>
      <c r="J2291" t="str">
        <f t="shared" si="1148"/>
        <v>07/05/2025</v>
      </c>
      <c r="M2291">
        <v>303</v>
      </c>
      <c r="N2291" t="str">
        <f t="shared" si="1149"/>
        <v>RECEITAS COM ENTREGAS</v>
      </c>
      <c r="P2291">
        <v>191.97</v>
      </c>
      <c r="Q2291" t="str">
        <f>"DROGARIA MEDALHA (10163)"</f>
        <v>DROGARIA MEDALHA (10163)</v>
      </c>
      <c r="R2291" t="str">
        <f t="shared" si="1150"/>
        <v>RECEITAS COM ENTREGAS (303)</v>
      </c>
      <c r="S2291">
        <v>1508</v>
      </c>
      <c r="T2291">
        <v>1144</v>
      </c>
      <c r="U2291" t="s">
        <v>19</v>
      </c>
    </row>
    <row r="2292" spans="1:21">
      <c r="A2292" t="str">
        <f t="shared" si="1146"/>
        <v>07/05/2025</v>
      </c>
      <c r="B2292" t="str">
        <f t="shared" si="1151"/>
        <v>ENTRADA</v>
      </c>
      <c r="C2292" t="str">
        <f t="shared" si="1147"/>
        <v>NFSE</v>
      </c>
      <c r="D2292" t="str">
        <f>"2958"</f>
        <v>2958</v>
      </c>
      <c r="E2292" t="str">
        <f t="shared" si="1145"/>
        <v>COM</v>
      </c>
      <c r="F2292" t="str">
        <f>"JAL FARMACIA E DROGARIA LJ 2 (10138)"</f>
        <v>JAL FARMACIA E DROGARIA LJ 2 (10138)</v>
      </c>
      <c r="G2292" t="str">
        <f>"Serv.Prest. 28/04/2025 a 04/05/2025 - RPS: 728 - NFSe: 2958"</f>
        <v>Serv.Prest. 28/04/2025 a 04/05/2025 - RPS: 728 - NFSe: 2958</v>
      </c>
      <c r="H2292" t="str">
        <f t="shared" si="1152"/>
        <v>07/05/2025</v>
      </c>
      <c r="I2292" t="str">
        <f t="shared" si="1153"/>
        <v>05/05/2025</v>
      </c>
      <c r="J2292" t="str">
        <f t="shared" si="1148"/>
        <v>07/05/2025</v>
      </c>
      <c r="K2292">
        <v>265.60000000000002</v>
      </c>
      <c r="L2292">
        <v>265.60000000000002</v>
      </c>
      <c r="M2292">
        <v>303</v>
      </c>
      <c r="N2292" t="str">
        <f t="shared" si="1149"/>
        <v>RECEITAS COM ENTREGAS</v>
      </c>
      <c r="O2292">
        <v>265.60000000000002</v>
      </c>
      <c r="R2292" t="str">
        <f t="shared" si="1150"/>
        <v>RECEITAS COM ENTREGAS (303)</v>
      </c>
      <c r="S2292">
        <v>1509</v>
      </c>
      <c r="T2292">
        <v>1150</v>
      </c>
      <c r="U2292" t="s">
        <v>19</v>
      </c>
    </row>
    <row r="2293" spans="1:21">
      <c r="A2293" t="str">
        <f t="shared" si="1146"/>
        <v>07/05/2025</v>
      </c>
      <c r="B2293" t="str">
        <f t="shared" si="1151"/>
        <v>ENTRADA</v>
      </c>
      <c r="C2293" t="str">
        <f t="shared" si="1147"/>
        <v>NFSE</v>
      </c>
      <c r="D2293" t="str">
        <f>"2958"</f>
        <v>2958</v>
      </c>
      <c r="E2293" t="str">
        <f t="shared" si="1145"/>
        <v>COM</v>
      </c>
      <c r="F2293" t="str">
        <f>"JAL FARMACIA E DROGARIA LJ 2 (10138)"</f>
        <v>JAL FARMACIA E DROGARIA LJ 2 (10138)</v>
      </c>
      <c r="G2293" t="str">
        <f>"Serv.Prest. 28/04/2025 a 04/05/2025 - RPS: 728 - NFSe: 2958"</f>
        <v>Serv.Prest. 28/04/2025 a 04/05/2025 - RPS: 728 - NFSe: 2958</v>
      </c>
      <c r="H2293" t="str">
        <f t="shared" si="1152"/>
        <v>07/05/2025</v>
      </c>
      <c r="I2293" t="str">
        <f t="shared" si="1153"/>
        <v>05/05/2025</v>
      </c>
      <c r="J2293" t="str">
        <f t="shared" si="1148"/>
        <v>07/05/2025</v>
      </c>
      <c r="M2293">
        <v>303</v>
      </c>
      <c r="N2293" t="str">
        <f t="shared" si="1149"/>
        <v>RECEITAS COM ENTREGAS</v>
      </c>
      <c r="P2293">
        <v>265.60000000000002</v>
      </c>
      <c r="Q2293" t="str">
        <f>"JAL FARMACIA E DROGARIA LJ 2 (10138)"</f>
        <v>JAL FARMACIA E DROGARIA LJ 2 (10138)</v>
      </c>
      <c r="R2293" t="str">
        <f t="shared" si="1150"/>
        <v>RECEITAS COM ENTREGAS (303)</v>
      </c>
      <c r="S2293">
        <v>1509</v>
      </c>
      <c r="T2293">
        <v>1150</v>
      </c>
      <c r="U2293" t="s">
        <v>19</v>
      </c>
    </row>
    <row r="2294" spans="1:21">
      <c r="A2294" t="str">
        <f t="shared" si="1146"/>
        <v>07/05/2025</v>
      </c>
      <c r="B2294" t="str">
        <f t="shared" ref="B2294:B2303" si="1154">"SAÍDA"</f>
        <v>SAÍDA</v>
      </c>
      <c r="C2294" t="str">
        <f>"PIX"</f>
        <v>PIX</v>
      </c>
      <c r="D2294" t="str">
        <f>"070520257000"</f>
        <v>070520257000</v>
      </c>
      <c r="E2294" t="str">
        <f t="shared" si="1145"/>
        <v>COM</v>
      </c>
      <c r="F2294" t="str">
        <f>"LILIANE DE FATIMA REZENDE JUSTINO (20013)"</f>
        <v>LILIANE DE FATIMA REZENDE JUSTINO (20013)</v>
      </c>
      <c r="G2294" t="str">
        <f>"DISTRIBUICAO DE LUCROS"</f>
        <v>DISTRIBUICAO DE LUCROS</v>
      </c>
      <c r="H2294" t="str">
        <f t="shared" si="1152"/>
        <v>07/05/2025</v>
      </c>
      <c r="I2294" t="str">
        <f t="shared" ref="I2294:I2303" si="1155">("07/05/2025")</f>
        <v>07/05/2025</v>
      </c>
      <c r="J2294" t="str">
        <f t="shared" si="1148"/>
        <v>07/05/2025</v>
      </c>
      <c r="K2294">
        <v>7000</v>
      </c>
      <c r="L2294">
        <v>7000</v>
      </c>
      <c r="M2294">
        <v>125</v>
      </c>
      <c r="N2294" t="str">
        <f>"DISTRIBUIÇÃO DE LUCRO"</f>
        <v>DISTRIBUIÇÃO DE LUCRO</v>
      </c>
      <c r="O2294">
        <v>7000</v>
      </c>
      <c r="R2294" t="str">
        <f t="shared" ref="R2294:R2303" si="1156">"BANCO CORA (102)"</f>
        <v>BANCO CORA (102)</v>
      </c>
      <c r="S2294">
        <v>1612</v>
      </c>
      <c r="T2294">
        <v>1277</v>
      </c>
      <c r="U2294" t="s">
        <v>19</v>
      </c>
    </row>
    <row r="2295" spans="1:21">
      <c r="A2295" t="str">
        <f t="shared" si="1146"/>
        <v>07/05/2025</v>
      </c>
      <c r="B2295" t="str">
        <f t="shared" si="1154"/>
        <v>SAÍDA</v>
      </c>
      <c r="C2295" t="str">
        <f>"PIX"</f>
        <v>PIX</v>
      </c>
      <c r="D2295" t="str">
        <f>"070520257000"</f>
        <v>070520257000</v>
      </c>
      <c r="E2295" t="str">
        <f t="shared" si="1145"/>
        <v>COM</v>
      </c>
      <c r="F2295" t="str">
        <f>"LILIANE DE FATIMA REZENDE JUSTINO (20013)"</f>
        <v>LILIANE DE FATIMA REZENDE JUSTINO (20013)</v>
      </c>
      <c r="G2295" t="str">
        <f>"DISTRIBUICAO DE LUCROS"</f>
        <v>DISTRIBUICAO DE LUCROS</v>
      </c>
      <c r="H2295" t="str">
        <f t="shared" si="1152"/>
        <v>07/05/2025</v>
      </c>
      <c r="I2295" t="str">
        <f t="shared" si="1155"/>
        <v>07/05/2025</v>
      </c>
      <c r="J2295" t="str">
        <f t="shared" si="1148"/>
        <v>07/05/2025</v>
      </c>
      <c r="M2295">
        <v>125</v>
      </c>
      <c r="N2295" t="str">
        <f>"DISTRIBUIÇÃO DE LUCRO"</f>
        <v>DISTRIBUIÇÃO DE LUCRO</v>
      </c>
      <c r="P2295">
        <v>7000</v>
      </c>
      <c r="Q2295" t="str">
        <f>"LILIANE DE FATIMA REZENDE JUSTINO (20013)"</f>
        <v>LILIANE DE FATIMA REZENDE JUSTINO (20013)</v>
      </c>
      <c r="R2295" t="str">
        <f t="shared" si="1156"/>
        <v>BANCO CORA (102)</v>
      </c>
      <c r="S2295">
        <v>1612</v>
      </c>
      <c r="T2295">
        <v>1277</v>
      </c>
      <c r="U2295" t="s">
        <v>19</v>
      </c>
    </row>
    <row r="2296" spans="1:21">
      <c r="A2296" t="str">
        <f t="shared" si="1146"/>
        <v>07/05/2025</v>
      </c>
      <c r="B2296" t="str">
        <f t="shared" si="1154"/>
        <v>SAÍDA</v>
      </c>
      <c r="C2296" t="str">
        <f>"PIX"</f>
        <v>PIX</v>
      </c>
      <c r="D2296" t="str">
        <f>"0705253000"</f>
        <v>0705253000</v>
      </c>
      <c r="E2296" t="str">
        <f t="shared" si="1145"/>
        <v>COM</v>
      </c>
      <c r="F2296" t="str">
        <f>"MARCELO REZENDE ARANTES (20014)"</f>
        <v>MARCELO REZENDE ARANTES (20014)</v>
      </c>
      <c r="G2296" t="str">
        <f>"DISTRIBUICAO DE LUCROS"</f>
        <v>DISTRIBUICAO DE LUCROS</v>
      </c>
      <c r="H2296" t="str">
        <f t="shared" si="1152"/>
        <v>07/05/2025</v>
      </c>
      <c r="I2296" t="str">
        <f t="shared" si="1155"/>
        <v>07/05/2025</v>
      </c>
      <c r="J2296" t="str">
        <f t="shared" si="1148"/>
        <v>07/05/2025</v>
      </c>
      <c r="K2296">
        <v>3000</v>
      </c>
      <c r="L2296">
        <v>3000</v>
      </c>
      <c r="M2296">
        <v>125</v>
      </c>
      <c r="N2296" t="str">
        <f>"DISTRIBUIÇÃO DE LUCRO"</f>
        <v>DISTRIBUIÇÃO DE LUCRO</v>
      </c>
      <c r="O2296">
        <v>3000</v>
      </c>
      <c r="R2296" t="str">
        <f t="shared" si="1156"/>
        <v>BANCO CORA (102)</v>
      </c>
      <c r="S2296">
        <v>1615</v>
      </c>
      <c r="T2296">
        <v>1280</v>
      </c>
      <c r="U2296" t="s">
        <v>19</v>
      </c>
    </row>
    <row r="2297" spans="1:21">
      <c r="A2297" t="str">
        <f t="shared" si="1146"/>
        <v>07/05/2025</v>
      </c>
      <c r="B2297" t="str">
        <f t="shared" si="1154"/>
        <v>SAÍDA</v>
      </c>
      <c r="C2297" t="str">
        <f>"PIX"</f>
        <v>PIX</v>
      </c>
      <c r="D2297" t="str">
        <f>"0705253000"</f>
        <v>0705253000</v>
      </c>
      <c r="E2297" t="str">
        <f t="shared" si="1145"/>
        <v>COM</v>
      </c>
      <c r="F2297" t="str">
        <f>"MARCELO REZENDE ARANTES (20014)"</f>
        <v>MARCELO REZENDE ARANTES (20014)</v>
      </c>
      <c r="G2297" t="str">
        <f>"DISTRIBUICAO DE LUCROS"</f>
        <v>DISTRIBUICAO DE LUCROS</v>
      </c>
      <c r="H2297" t="str">
        <f t="shared" si="1152"/>
        <v>07/05/2025</v>
      </c>
      <c r="I2297" t="str">
        <f t="shared" si="1155"/>
        <v>07/05/2025</v>
      </c>
      <c r="J2297" t="str">
        <f t="shared" si="1148"/>
        <v>07/05/2025</v>
      </c>
      <c r="M2297">
        <v>125</v>
      </c>
      <c r="N2297" t="str">
        <f>"DISTRIBUIÇÃO DE LUCRO"</f>
        <v>DISTRIBUIÇÃO DE LUCRO</v>
      </c>
      <c r="P2297">
        <v>3000</v>
      </c>
      <c r="Q2297" t="str">
        <f>"MARCELO REZENDE ARANTES (20014)"</f>
        <v>MARCELO REZENDE ARANTES (20014)</v>
      </c>
      <c r="R2297" t="str">
        <f t="shared" si="1156"/>
        <v>BANCO CORA (102)</v>
      </c>
      <c r="S2297">
        <v>1615</v>
      </c>
      <c r="T2297">
        <v>1280</v>
      </c>
      <c r="U2297" t="s">
        <v>19</v>
      </c>
    </row>
    <row r="2298" spans="1:21">
      <c r="A2298" t="str">
        <f t="shared" si="1146"/>
        <v>07/05/2025</v>
      </c>
      <c r="B2298" t="str">
        <f t="shared" si="1154"/>
        <v>SAÍDA</v>
      </c>
      <c r="C2298" t="str">
        <f>"JUROS"</f>
        <v>JUROS</v>
      </c>
      <c r="D2298" t="str">
        <f>""</f>
        <v/>
      </c>
      <c r="E2298" t="str">
        <f>"CXA"</f>
        <v>CXA</v>
      </c>
      <c r="F2298" t="str">
        <f>""</f>
        <v/>
      </c>
      <c r="G2298" t="str">
        <f>"TAXA BOLETO COMPENSADO"</f>
        <v>TAXA BOLETO COMPENSADO</v>
      </c>
      <c r="H2298" t="str">
        <f t="shared" si="1152"/>
        <v>07/05/2025</v>
      </c>
      <c r="I2298" t="str">
        <f t="shared" si="1155"/>
        <v>07/05/2025</v>
      </c>
      <c r="J2298" t="str">
        <f t="shared" si="1148"/>
        <v>07/05/2025</v>
      </c>
      <c r="K2298">
        <v>1.7</v>
      </c>
      <c r="L2298">
        <v>1.7</v>
      </c>
      <c r="M2298">
        <v>401</v>
      </c>
      <c r="N2298" t="str">
        <f>"IOF/JUROS/DESP.FINANCEIRA"</f>
        <v>IOF/JUROS/DESP.FINANCEIRA</v>
      </c>
      <c r="O2298">
        <v>1.7</v>
      </c>
      <c r="R2298" t="str">
        <f t="shared" si="1156"/>
        <v>BANCO CORA (102)</v>
      </c>
      <c r="S2298">
        <v>1640</v>
      </c>
      <c r="T2298">
        <v>0</v>
      </c>
      <c r="U2298" t="s">
        <v>20</v>
      </c>
    </row>
    <row r="2299" spans="1:21">
      <c r="A2299" t="str">
        <f t="shared" si="1146"/>
        <v>07/05/2025</v>
      </c>
      <c r="B2299" t="str">
        <f t="shared" si="1154"/>
        <v>SAÍDA</v>
      </c>
      <c r="C2299" t="str">
        <f>"JUROS"</f>
        <v>JUROS</v>
      </c>
      <c r="D2299" t="str">
        <f>""</f>
        <v/>
      </c>
      <c r="E2299" t="str">
        <f>"CXA"</f>
        <v>CXA</v>
      </c>
      <c r="F2299" t="str">
        <f>""</f>
        <v/>
      </c>
      <c r="G2299" t="str">
        <f>"TAXA BOLETO COMPENSADO"</f>
        <v>TAXA BOLETO COMPENSADO</v>
      </c>
      <c r="H2299" t="str">
        <f t="shared" si="1152"/>
        <v>07/05/2025</v>
      </c>
      <c r="I2299" t="str">
        <f t="shared" si="1155"/>
        <v>07/05/2025</v>
      </c>
      <c r="J2299" t="str">
        <f t="shared" si="1148"/>
        <v>07/05/2025</v>
      </c>
      <c r="K2299">
        <v>1.7</v>
      </c>
      <c r="L2299">
        <v>1.7</v>
      </c>
      <c r="M2299">
        <v>401</v>
      </c>
      <c r="N2299" t="str">
        <f>"IOF/JUROS/DESP.FINANCEIRA"</f>
        <v>IOF/JUROS/DESP.FINANCEIRA</v>
      </c>
      <c r="O2299">
        <v>1.7</v>
      </c>
      <c r="R2299" t="str">
        <f t="shared" si="1156"/>
        <v>BANCO CORA (102)</v>
      </c>
      <c r="S2299">
        <v>1641</v>
      </c>
      <c r="T2299">
        <v>0</v>
      </c>
      <c r="U2299" t="s">
        <v>20</v>
      </c>
    </row>
    <row r="2300" spans="1:21">
      <c r="A2300" t="str">
        <f t="shared" si="1146"/>
        <v>07/05/2025</v>
      </c>
      <c r="B2300" t="str">
        <f t="shared" si="1154"/>
        <v>SAÍDA</v>
      </c>
      <c r="C2300" t="str">
        <f>"JUROS"</f>
        <v>JUROS</v>
      </c>
      <c r="D2300" t="str">
        <f>""</f>
        <v/>
      </c>
      <c r="E2300" t="str">
        <f>"CXA"</f>
        <v>CXA</v>
      </c>
      <c r="F2300" t="str">
        <f>""</f>
        <v/>
      </c>
      <c r="G2300" t="str">
        <f>"TAXA BOLETO COMPENSADO"</f>
        <v>TAXA BOLETO COMPENSADO</v>
      </c>
      <c r="H2300" t="str">
        <f t="shared" si="1152"/>
        <v>07/05/2025</v>
      </c>
      <c r="I2300" t="str">
        <f t="shared" si="1155"/>
        <v>07/05/2025</v>
      </c>
      <c r="J2300" t="str">
        <f t="shared" si="1148"/>
        <v>07/05/2025</v>
      </c>
      <c r="K2300">
        <v>1.7</v>
      </c>
      <c r="L2300">
        <v>1.7</v>
      </c>
      <c r="M2300">
        <v>401</v>
      </c>
      <c r="N2300" t="str">
        <f>"IOF/JUROS/DESP.FINANCEIRA"</f>
        <v>IOF/JUROS/DESP.FINANCEIRA</v>
      </c>
      <c r="O2300">
        <v>1.7</v>
      </c>
      <c r="R2300" t="str">
        <f t="shared" si="1156"/>
        <v>BANCO CORA (102)</v>
      </c>
      <c r="S2300">
        <v>1642</v>
      </c>
      <c r="T2300">
        <v>0</v>
      </c>
      <c r="U2300" t="s">
        <v>20</v>
      </c>
    </row>
    <row r="2301" spans="1:21">
      <c r="A2301" t="str">
        <f t="shared" si="1146"/>
        <v>07/05/2025</v>
      </c>
      <c r="B2301" t="str">
        <f t="shared" si="1154"/>
        <v>SAÍDA</v>
      </c>
      <c r="C2301" t="str">
        <f>"JUROS"</f>
        <v>JUROS</v>
      </c>
      <c r="D2301" t="str">
        <f>""</f>
        <v/>
      </c>
      <c r="E2301" t="str">
        <f>"CXA"</f>
        <v>CXA</v>
      </c>
      <c r="F2301" t="str">
        <f>""</f>
        <v/>
      </c>
      <c r="G2301" t="str">
        <f>"TAXA BOLETO COMPENSADO"</f>
        <v>TAXA BOLETO COMPENSADO</v>
      </c>
      <c r="H2301" t="str">
        <f t="shared" si="1152"/>
        <v>07/05/2025</v>
      </c>
      <c r="I2301" t="str">
        <f t="shared" si="1155"/>
        <v>07/05/2025</v>
      </c>
      <c r="J2301" t="str">
        <f t="shared" si="1148"/>
        <v>07/05/2025</v>
      </c>
      <c r="K2301">
        <v>1.7</v>
      </c>
      <c r="L2301">
        <v>1.7</v>
      </c>
      <c r="M2301">
        <v>401</v>
      </c>
      <c r="N2301" t="str">
        <f>"IOF/JUROS/DESP.FINANCEIRA"</f>
        <v>IOF/JUROS/DESP.FINANCEIRA</v>
      </c>
      <c r="O2301">
        <v>1.7</v>
      </c>
      <c r="R2301" t="str">
        <f t="shared" si="1156"/>
        <v>BANCO CORA (102)</v>
      </c>
      <c r="S2301">
        <v>1643</v>
      </c>
      <c r="T2301">
        <v>0</v>
      </c>
      <c r="U2301" t="s">
        <v>20</v>
      </c>
    </row>
    <row r="2302" spans="1:21">
      <c r="A2302" t="str">
        <f t="shared" si="1146"/>
        <v>07/05/2025</v>
      </c>
      <c r="B2302" t="str">
        <f t="shared" si="1154"/>
        <v>SAÍDA</v>
      </c>
      <c r="C2302" t="str">
        <f>"PIX"</f>
        <v>PIX</v>
      </c>
      <c r="D2302" t="str">
        <f>"070525980"</f>
        <v>070525980</v>
      </c>
      <c r="E2302" t="str">
        <f t="shared" ref="E2302:E2326" si="1157">"COM"</f>
        <v>COM</v>
      </c>
      <c r="F2302" t="str">
        <f>"HUGO DE MATOS PEREIRA (20087)"</f>
        <v>HUGO DE MATOS PEREIRA (20087)</v>
      </c>
      <c r="G2302" t="str">
        <f>"SESSAO DE FOTOS PROFISSIONAIS"</f>
        <v>SESSAO DE FOTOS PROFISSIONAIS</v>
      </c>
      <c r="H2302" t="str">
        <f t="shared" si="1152"/>
        <v>07/05/2025</v>
      </c>
      <c r="I2302" t="str">
        <f t="shared" si="1155"/>
        <v>07/05/2025</v>
      </c>
      <c r="J2302" t="str">
        <f t="shared" si="1148"/>
        <v>07/05/2025</v>
      </c>
      <c r="K2302">
        <v>980</v>
      </c>
      <c r="L2302">
        <v>980</v>
      </c>
      <c r="M2302">
        <v>127</v>
      </c>
      <c r="N2302" t="str">
        <f>"PUBLICIDADE E PROPAGANDAS"</f>
        <v>PUBLICIDADE E PROPAGANDAS</v>
      </c>
      <c r="O2302">
        <v>980</v>
      </c>
      <c r="R2302" t="str">
        <f t="shared" si="1156"/>
        <v>BANCO CORA (102)</v>
      </c>
      <c r="S2302">
        <v>1798</v>
      </c>
      <c r="T2302">
        <v>1294</v>
      </c>
      <c r="U2302" t="s">
        <v>19</v>
      </c>
    </row>
    <row r="2303" spans="1:21">
      <c r="A2303" t="str">
        <f t="shared" si="1146"/>
        <v>07/05/2025</v>
      </c>
      <c r="B2303" t="str">
        <f t="shared" si="1154"/>
        <v>SAÍDA</v>
      </c>
      <c r="C2303" t="str">
        <f>"PIX"</f>
        <v>PIX</v>
      </c>
      <c r="D2303" t="str">
        <f>"070525980"</f>
        <v>070525980</v>
      </c>
      <c r="E2303" t="str">
        <f t="shared" si="1157"/>
        <v>COM</v>
      </c>
      <c r="F2303" t="str">
        <f>"HUGO DE MATOS PEREIRA (20087)"</f>
        <v>HUGO DE MATOS PEREIRA (20087)</v>
      </c>
      <c r="G2303" t="str">
        <f>"SESSAO DE FOTOS PROFISSIONAIS"</f>
        <v>SESSAO DE FOTOS PROFISSIONAIS</v>
      </c>
      <c r="H2303" t="str">
        <f t="shared" si="1152"/>
        <v>07/05/2025</v>
      </c>
      <c r="I2303" t="str">
        <f t="shared" si="1155"/>
        <v>07/05/2025</v>
      </c>
      <c r="J2303" t="str">
        <f t="shared" si="1148"/>
        <v>07/05/2025</v>
      </c>
      <c r="M2303">
        <v>127</v>
      </c>
      <c r="N2303" t="str">
        <f>"PUBLICIDADE E PROPAGANDAS"</f>
        <v>PUBLICIDADE E PROPAGANDAS</v>
      </c>
      <c r="P2303">
        <v>980</v>
      </c>
      <c r="Q2303" t="str">
        <f>"HUGO DE MATOS PEREIRA (20087)"</f>
        <v>HUGO DE MATOS PEREIRA (20087)</v>
      </c>
      <c r="R2303" t="str">
        <f t="shared" si="1156"/>
        <v>BANCO CORA (102)</v>
      </c>
      <c r="S2303">
        <v>1798</v>
      </c>
      <c r="T2303">
        <v>1294</v>
      </c>
      <c r="U2303" t="s">
        <v>19</v>
      </c>
    </row>
    <row r="2304" spans="1:21">
      <c r="A2304" t="str">
        <f t="shared" ref="A2304:A2335" si="1158">("08/05/2025")</f>
        <v>08/05/2025</v>
      </c>
      <c r="B2304" t="str">
        <f>"ENTRADA"</f>
        <v>ENTRADA</v>
      </c>
      <c r="C2304" t="str">
        <f t="shared" ref="C2304:C2324" si="1159">"NFSE"</f>
        <v>NFSE</v>
      </c>
      <c r="D2304" t="str">
        <f>"2936"</f>
        <v>2936</v>
      </c>
      <c r="E2304" t="str">
        <f t="shared" si="1157"/>
        <v>COM</v>
      </c>
      <c r="F2304" t="str">
        <f>"AC FARMA - CID.ALTA (10166)"</f>
        <v>AC FARMA - CID.ALTA (10166)</v>
      </c>
      <c r="G2304" t="str">
        <f>"Serv.Prest. 21/04/2025 a 27/04/2025 - RPS: 707 - NFSe: 2936"</f>
        <v>Serv.Prest. 21/04/2025 a 27/04/2025 - RPS: 707 - NFSe: 2936</v>
      </c>
      <c r="H2304" t="str">
        <f t="shared" si="1152"/>
        <v>07/05/2025</v>
      </c>
      <c r="I2304" t="str">
        <f>("28/04/2025")</f>
        <v>28/04/2025</v>
      </c>
      <c r="J2304" t="str">
        <f t="shared" ref="J2304:J2335" si="1160">("08/05/2025")</f>
        <v>08/05/2025</v>
      </c>
      <c r="K2304">
        <v>1156.75</v>
      </c>
      <c r="L2304">
        <v>1156.75</v>
      </c>
      <c r="M2304">
        <v>303</v>
      </c>
      <c r="N2304" t="str">
        <f t="shared" ref="N2304:N2324" si="1161">"RECEITAS COM ENTREGAS"</f>
        <v>RECEITAS COM ENTREGAS</v>
      </c>
      <c r="O2304">
        <v>1156.75</v>
      </c>
      <c r="R2304" t="str">
        <f t="shared" ref="R2304:R2324" si="1162">"RECEITAS COM ENTREGAS (303)"</f>
        <v>RECEITAS COM ENTREGAS (303)</v>
      </c>
      <c r="S2304">
        <v>1510</v>
      </c>
      <c r="T2304">
        <v>1128</v>
      </c>
      <c r="U2304" t="s">
        <v>19</v>
      </c>
    </row>
    <row r="2305" spans="1:21">
      <c r="A2305" t="str">
        <f t="shared" si="1158"/>
        <v>08/05/2025</v>
      </c>
      <c r="B2305" t="str">
        <f t="shared" ref="B2305:B2324" si="1163">"ENTRADA"</f>
        <v>ENTRADA</v>
      </c>
      <c r="C2305" t="str">
        <f t="shared" si="1159"/>
        <v>NFSE</v>
      </c>
      <c r="D2305" t="str">
        <f>"2936"</f>
        <v>2936</v>
      </c>
      <c r="E2305" t="str">
        <f t="shared" si="1157"/>
        <v>COM</v>
      </c>
      <c r="F2305" t="str">
        <f>"AC FARMA - CID.ALTA (10166)"</f>
        <v>AC FARMA - CID.ALTA (10166)</v>
      </c>
      <c r="G2305" t="str">
        <f>"Serv.Prest. 21/04/2025 a 27/04/2025 - RPS: 707 - NFSe: 2936"</f>
        <v>Serv.Prest. 21/04/2025 a 27/04/2025 - RPS: 707 - NFSe: 2936</v>
      </c>
      <c r="H2305" t="str">
        <f t="shared" si="1152"/>
        <v>07/05/2025</v>
      </c>
      <c r="I2305" t="str">
        <f>("28/04/2025")</f>
        <v>28/04/2025</v>
      </c>
      <c r="J2305" t="str">
        <f t="shared" si="1160"/>
        <v>08/05/2025</v>
      </c>
      <c r="M2305">
        <v>303</v>
      </c>
      <c r="N2305" t="str">
        <f t="shared" si="1161"/>
        <v>RECEITAS COM ENTREGAS</v>
      </c>
      <c r="P2305">
        <v>1156.75</v>
      </c>
      <c r="Q2305" t="str">
        <f>"AC FARMA - CID.ALTA (10166)"</f>
        <v>AC FARMA - CID.ALTA (10166)</v>
      </c>
      <c r="R2305" t="str">
        <f t="shared" si="1162"/>
        <v>RECEITAS COM ENTREGAS (303)</v>
      </c>
      <c r="S2305">
        <v>1510</v>
      </c>
      <c r="T2305">
        <v>1128</v>
      </c>
      <c r="U2305" t="s">
        <v>19</v>
      </c>
    </row>
    <row r="2306" spans="1:21">
      <c r="A2306" t="str">
        <f t="shared" si="1158"/>
        <v>08/05/2025</v>
      </c>
      <c r="B2306" t="str">
        <f t="shared" si="1163"/>
        <v>ENTRADA</v>
      </c>
      <c r="C2306" t="str">
        <f t="shared" si="1159"/>
        <v>NFSE</v>
      </c>
      <c r="D2306" t="str">
        <f>"2937"</f>
        <v>2937</v>
      </c>
      <c r="E2306" t="str">
        <f t="shared" si="1157"/>
        <v>COM</v>
      </c>
      <c r="F2306" t="str">
        <f>"AC FARMA - FLEMINFARMA (10160)"</f>
        <v>AC FARMA - FLEMINFARMA (10160)</v>
      </c>
      <c r="G2306" t="str">
        <f>"Serv.Prest. 21/04/2025 a 27/04/2025 - RPS: 708 - NFSe: 2937"</f>
        <v>Serv.Prest. 21/04/2025 a 27/04/2025 - RPS: 708 - NFSe: 2937</v>
      </c>
      <c r="H2306" t="str">
        <f t="shared" si="1152"/>
        <v>07/05/2025</v>
      </c>
      <c r="I2306" t="str">
        <f>("28/04/2025")</f>
        <v>28/04/2025</v>
      </c>
      <c r="J2306" t="str">
        <f t="shared" si="1160"/>
        <v>08/05/2025</v>
      </c>
      <c r="K2306">
        <v>249.17</v>
      </c>
      <c r="L2306">
        <v>249.17</v>
      </c>
      <c r="M2306">
        <v>303</v>
      </c>
      <c r="N2306" t="str">
        <f t="shared" si="1161"/>
        <v>RECEITAS COM ENTREGAS</v>
      </c>
      <c r="O2306">
        <v>249.17</v>
      </c>
      <c r="R2306" t="str">
        <f t="shared" si="1162"/>
        <v>RECEITAS COM ENTREGAS (303)</v>
      </c>
      <c r="S2306">
        <v>1511</v>
      </c>
      <c r="T2306">
        <v>1129</v>
      </c>
      <c r="U2306" t="s">
        <v>19</v>
      </c>
    </row>
    <row r="2307" spans="1:21">
      <c r="A2307" t="str">
        <f t="shared" si="1158"/>
        <v>08/05/2025</v>
      </c>
      <c r="B2307" t="str">
        <f t="shared" si="1163"/>
        <v>ENTRADA</v>
      </c>
      <c r="C2307" t="str">
        <f t="shared" si="1159"/>
        <v>NFSE</v>
      </c>
      <c r="D2307" t="str">
        <f>"2937"</f>
        <v>2937</v>
      </c>
      <c r="E2307" t="str">
        <f t="shared" si="1157"/>
        <v>COM</v>
      </c>
      <c r="F2307" t="str">
        <f>"AC FARMA - FLEMINFARMA (10160)"</f>
        <v>AC FARMA - FLEMINFARMA (10160)</v>
      </c>
      <c r="G2307" t="str">
        <f>"Serv.Prest. 21/04/2025 a 27/04/2025 - RPS: 708 - NFSe: 2937"</f>
        <v>Serv.Prest. 21/04/2025 a 27/04/2025 - RPS: 708 - NFSe: 2937</v>
      </c>
      <c r="H2307" t="str">
        <f t="shared" si="1152"/>
        <v>07/05/2025</v>
      </c>
      <c r="I2307" t="str">
        <f>("28/04/2025")</f>
        <v>28/04/2025</v>
      </c>
      <c r="J2307" t="str">
        <f t="shared" si="1160"/>
        <v>08/05/2025</v>
      </c>
      <c r="M2307">
        <v>303</v>
      </c>
      <c r="N2307" t="str">
        <f t="shared" si="1161"/>
        <v>RECEITAS COM ENTREGAS</v>
      </c>
      <c r="P2307">
        <v>242.22</v>
      </c>
      <c r="Q2307" t="str">
        <f>"FARMACIA E PERFUMARIA CIDADE ALTA LTDA (10159)"</f>
        <v>FARMACIA E PERFUMARIA CIDADE ALTA LTDA (10159)</v>
      </c>
      <c r="R2307" t="str">
        <f t="shared" si="1162"/>
        <v>RECEITAS COM ENTREGAS (303)</v>
      </c>
      <c r="S2307">
        <v>1511</v>
      </c>
      <c r="T2307">
        <v>1129</v>
      </c>
      <c r="U2307" t="s">
        <v>19</v>
      </c>
    </row>
    <row r="2308" spans="1:21">
      <c r="A2308" t="str">
        <f t="shared" si="1158"/>
        <v>08/05/2025</v>
      </c>
      <c r="B2308" t="str">
        <f t="shared" si="1163"/>
        <v>ENTRADA</v>
      </c>
      <c r="C2308" t="str">
        <f t="shared" si="1159"/>
        <v>NFSE</v>
      </c>
      <c r="D2308" t="str">
        <f>"2937"</f>
        <v>2937</v>
      </c>
      <c r="E2308" t="str">
        <f t="shared" si="1157"/>
        <v>COM</v>
      </c>
      <c r="F2308" t="str">
        <f>"AC FARMA - FLEMINFARMA (10160)"</f>
        <v>AC FARMA - FLEMINFARMA (10160)</v>
      </c>
      <c r="G2308" t="str">
        <f>"Serv.Prest. 21/04/2025 a 27/04/2025 - RPS: 708 - NFSe: 2937"</f>
        <v>Serv.Prest. 21/04/2025 a 27/04/2025 - RPS: 708 - NFSe: 2937</v>
      </c>
      <c r="H2308" t="str">
        <f t="shared" si="1152"/>
        <v>07/05/2025</v>
      </c>
      <c r="I2308" t="str">
        <f>("28/04/2025")</f>
        <v>28/04/2025</v>
      </c>
      <c r="J2308" t="str">
        <f t="shared" si="1160"/>
        <v>08/05/2025</v>
      </c>
      <c r="M2308">
        <v>303</v>
      </c>
      <c r="N2308" t="str">
        <f t="shared" si="1161"/>
        <v>RECEITAS COM ENTREGAS</v>
      </c>
      <c r="P2308">
        <v>6.95</v>
      </c>
      <c r="Q2308" t="str">
        <f>"AC FARMA - FLEMINFARMA (10160)"</f>
        <v>AC FARMA - FLEMINFARMA (10160)</v>
      </c>
      <c r="R2308" t="str">
        <f t="shared" si="1162"/>
        <v>RECEITAS COM ENTREGAS (303)</v>
      </c>
      <c r="S2308">
        <v>1511</v>
      </c>
      <c r="T2308">
        <v>1129</v>
      </c>
      <c r="U2308" t="s">
        <v>19</v>
      </c>
    </row>
    <row r="2309" spans="1:21">
      <c r="A2309" t="str">
        <f t="shared" si="1158"/>
        <v>08/05/2025</v>
      </c>
      <c r="B2309" t="str">
        <f t="shared" si="1163"/>
        <v>ENTRADA</v>
      </c>
      <c r="C2309" t="str">
        <f t="shared" si="1159"/>
        <v>NFSE</v>
      </c>
      <c r="D2309" t="str">
        <f>"2948"</f>
        <v>2948</v>
      </c>
      <c r="E2309" t="str">
        <f t="shared" si="1157"/>
        <v>COM</v>
      </c>
      <c r="F2309" t="str">
        <f>"DELTA LOJA 2 (10123)"</f>
        <v>DELTA LOJA 2 (10123)</v>
      </c>
      <c r="G2309" t="str">
        <f>"Serv.Prest. 28/04/2025 a 04/05/2025 - RPS: 718 - NFSe: 2948"</f>
        <v>Serv.Prest. 28/04/2025 a 04/05/2025 - RPS: 718 - NFSe: 2948</v>
      </c>
      <c r="H2309" t="str">
        <f t="shared" si="1152"/>
        <v>07/05/2025</v>
      </c>
      <c r="I2309" t="str">
        <f t="shared" ref="I2309:I2320" si="1164">("05/05/2025")</f>
        <v>05/05/2025</v>
      </c>
      <c r="J2309" t="str">
        <f t="shared" si="1160"/>
        <v>08/05/2025</v>
      </c>
      <c r="K2309">
        <v>480.48</v>
      </c>
      <c r="L2309">
        <v>480.48</v>
      </c>
      <c r="M2309">
        <v>303</v>
      </c>
      <c r="N2309" t="str">
        <f t="shared" si="1161"/>
        <v>RECEITAS COM ENTREGAS</v>
      </c>
      <c r="O2309">
        <v>480.48</v>
      </c>
      <c r="R2309" t="str">
        <f t="shared" si="1162"/>
        <v>RECEITAS COM ENTREGAS (303)</v>
      </c>
      <c r="S2309">
        <v>1512</v>
      </c>
      <c r="T2309">
        <v>1140</v>
      </c>
      <c r="U2309" t="s">
        <v>19</v>
      </c>
    </row>
    <row r="2310" spans="1:21">
      <c r="A2310" t="str">
        <f t="shared" si="1158"/>
        <v>08/05/2025</v>
      </c>
      <c r="B2310" t="str">
        <f t="shared" si="1163"/>
        <v>ENTRADA</v>
      </c>
      <c r="C2310" t="str">
        <f t="shared" si="1159"/>
        <v>NFSE</v>
      </c>
      <c r="D2310" t="str">
        <f>"2948"</f>
        <v>2948</v>
      </c>
      <c r="E2310" t="str">
        <f t="shared" si="1157"/>
        <v>COM</v>
      </c>
      <c r="F2310" t="str">
        <f>"DELTA LOJA 2 (10123)"</f>
        <v>DELTA LOJA 2 (10123)</v>
      </c>
      <c r="G2310" t="str">
        <f>"Serv.Prest. 28/04/2025 a 04/05/2025 - RPS: 718 - NFSe: 2948"</f>
        <v>Serv.Prest. 28/04/2025 a 04/05/2025 - RPS: 718 - NFSe: 2948</v>
      </c>
      <c r="H2310" t="str">
        <f t="shared" si="1152"/>
        <v>07/05/2025</v>
      </c>
      <c r="I2310" t="str">
        <f t="shared" si="1164"/>
        <v>05/05/2025</v>
      </c>
      <c r="J2310" t="str">
        <f t="shared" si="1160"/>
        <v>08/05/2025</v>
      </c>
      <c r="M2310">
        <v>303</v>
      </c>
      <c r="N2310" t="str">
        <f t="shared" si="1161"/>
        <v>RECEITAS COM ENTREGAS</v>
      </c>
      <c r="P2310">
        <v>480.48</v>
      </c>
      <c r="Q2310" t="str">
        <f>"DELTA LOJA 2 (10123)"</f>
        <v>DELTA LOJA 2 (10123)</v>
      </c>
      <c r="R2310" t="str">
        <f t="shared" si="1162"/>
        <v>RECEITAS COM ENTREGAS (303)</v>
      </c>
      <c r="S2310">
        <v>1512</v>
      </c>
      <c r="T2310">
        <v>1140</v>
      </c>
      <c r="U2310" t="s">
        <v>19</v>
      </c>
    </row>
    <row r="2311" spans="1:21">
      <c r="A2311" t="str">
        <f t="shared" si="1158"/>
        <v>08/05/2025</v>
      </c>
      <c r="B2311" t="str">
        <f t="shared" si="1163"/>
        <v>ENTRADA</v>
      </c>
      <c r="C2311" t="str">
        <f t="shared" si="1159"/>
        <v>NFSE</v>
      </c>
      <c r="D2311" t="str">
        <f>"2951"</f>
        <v>2951</v>
      </c>
      <c r="E2311" t="str">
        <f t="shared" si="1157"/>
        <v>COM</v>
      </c>
      <c r="F2311" t="str">
        <f>"FRAN FARMA (10124)"</f>
        <v>FRAN FARMA (10124)</v>
      </c>
      <c r="G2311" t="str">
        <f>"Serv.Prest. 28/04/2025 a 04/05/2025 - RPS: 721 - NFSe: 2951"</f>
        <v>Serv.Prest. 28/04/2025 a 04/05/2025 - RPS: 721 - NFSe: 2951</v>
      </c>
      <c r="H2311" t="str">
        <f t="shared" si="1152"/>
        <v>07/05/2025</v>
      </c>
      <c r="I2311" t="str">
        <f t="shared" si="1164"/>
        <v>05/05/2025</v>
      </c>
      <c r="J2311" t="str">
        <f t="shared" si="1160"/>
        <v>08/05/2025</v>
      </c>
      <c r="K2311">
        <v>320</v>
      </c>
      <c r="L2311">
        <v>320</v>
      </c>
      <c r="M2311">
        <v>303</v>
      </c>
      <c r="N2311" t="str">
        <f t="shared" si="1161"/>
        <v>RECEITAS COM ENTREGAS</v>
      </c>
      <c r="O2311">
        <v>320</v>
      </c>
      <c r="R2311" t="str">
        <f t="shared" si="1162"/>
        <v>RECEITAS COM ENTREGAS (303)</v>
      </c>
      <c r="S2311">
        <v>1513</v>
      </c>
      <c r="T2311">
        <v>1143</v>
      </c>
      <c r="U2311" t="s">
        <v>19</v>
      </c>
    </row>
    <row r="2312" spans="1:21">
      <c r="A2312" t="str">
        <f t="shared" si="1158"/>
        <v>08/05/2025</v>
      </c>
      <c r="B2312" t="str">
        <f t="shared" si="1163"/>
        <v>ENTRADA</v>
      </c>
      <c r="C2312" t="str">
        <f t="shared" si="1159"/>
        <v>NFSE</v>
      </c>
      <c r="D2312" t="str">
        <f>"2951"</f>
        <v>2951</v>
      </c>
      <c r="E2312" t="str">
        <f t="shared" si="1157"/>
        <v>COM</v>
      </c>
      <c r="F2312" t="str">
        <f>"FRAN FARMA (10124)"</f>
        <v>FRAN FARMA (10124)</v>
      </c>
      <c r="G2312" t="str">
        <f>"Serv.Prest. 28/04/2025 a 04/05/2025 - RPS: 721 - NFSe: 2951"</f>
        <v>Serv.Prest. 28/04/2025 a 04/05/2025 - RPS: 721 - NFSe: 2951</v>
      </c>
      <c r="H2312" t="str">
        <f t="shared" si="1152"/>
        <v>07/05/2025</v>
      </c>
      <c r="I2312" t="str">
        <f t="shared" si="1164"/>
        <v>05/05/2025</v>
      </c>
      <c r="J2312" t="str">
        <f t="shared" si="1160"/>
        <v>08/05/2025</v>
      </c>
      <c r="M2312">
        <v>303</v>
      </c>
      <c r="N2312" t="str">
        <f t="shared" si="1161"/>
        <v>RECEITAS COM ENTREGAS</v>
      </c>
      <c r="P2312">
        <v>64</v>
      </c>
      <c r="Q2312" t="str">
        <f>"FRAN FARMA (10124)"</f>
        <v>FRAN FARMA (10124)</v>
      </c>
      <c r="R2312" t="str">
        <f t="shared" si="1162"/>
        <v>RECEITAS COM ENTREGAS (303)</v>
      </c>
      <c r="S2312">
        <v>1513</v>
      </c>
      <c r="T2312">
        <v>1143</v>
      </c>
      <c r="U2312" t="s">
        <v>19</v>
      </c>
    </row>
    <row r="2313" spans="1:21">
      <c r="A2313" t="str">
        <f t="shared" si="1158"/>
        <v>08/05/2025</v>
      </c>
      <c r="B2313" t="str">
        <f t="shared" si="1163"/>
        <v>ENTRADA</v>
      </c>
      <c r="C2313" t="str">
        <f t="shared" si="1159"/>
        <v>NFSE</v>
      </c>
      <c r="D2313" t="str">
        <f>"2951"</f>
        <v>2951</v>
      </c>
      <c r="E2313" t="str">
        <f t="shared" si="1157"/>
        <v>COM</v>
      </c>
      <c r="F2313" t="str">
        <f>"FRAN FARMA (10124)"</f>
        <v>FRAN FARMA (10124)</v>
      </c>
      <c r="G2313" t="str">
        <f>"Serv.Prest. 28/04/2025 a 04/05/2025 - RPS: 721 - NFSe: 2951"</f>
        <v>Serv.Prest. 28/04/2025 a 04/05/2025 - RPS: 721 - NFSe: 2951</v>
      </c>
      <c r="H2313" t="str">
        <f t="shared" si="1152"/>
        <v>07/05/2025</v>
      </c>
      <c r="I2313" t="str">
        <f t="shared" si="1164"/>
        <v>05/05/2025</v>
      </c>
      <c r="J2313" t="str">
        <f t="shared" si="1160"/>
        <v>08/05/2025</v>
      </c>
      <c r="M2313">
        <v>303</v>
      </c>
      <c r="N2313" t="str">
        <f t="shared" si="1161"/>
        <v>RECEITAS COM ENTREGAS</v>
      </c>
      <c r="P2313">
        <v>192</v>
      </c>
      <c r="Q2313" t="str">
        <f>"FRAN FARMA LJ 2 (10131)"</f>
        <v>FRAN FARMA LJ 2 (10131)</v>
      </c>
      <c r="R2313" t="str">
        <f t="shared" si="1162"/>
        <v>RECEITAS COM ENTREGAS (303)</v>
      </c>
      <c r="S2313">
        <v>1513</v>
      </c>
      <c r="T2313">
        <v>1143</v>
      </c>
      <c r="U2313" t="s">
        <v>19</v>
      </c>
    </row>
    <row r="2314" spans="1:21">
      <c r="A2314" t="str">
        <f t="shared" si="1158"/>
        <v>08/05/2025</v>
      </c>
      <c r="B2314" t="str">
        <f t="shared" si="1163"/>
        <v>ENTRADA</v>
      </c>
      <c r="C2314" t="str">
        <f t="shared" si="1159"/>
        <v>NFSE</v>
      </c>
      <c r="D2314" t="str">
        <f>"2951"</f>
        <v>2951</v>
      </c>
      <c r="E2314" t="str">
        <f t="shared" si="1157"/>
        <v>COM</v>
      </c>
      <c r="F2314" t="str">
        <f>"FRAN FARMA (10124)"</f>
        <v>FRAN FARMA (10124)</v>
      </c>
      <c r="G2314" t="str">
        <f>"Serv.Prest. 28/04/2025 a 04/05/2025 - RPS: 721 - NFSe: 2951"</f>
        <v>Serv.Prest. 28/04/2025 a 04/05/2025 - RPS: 721 - NFSe: 2951</v>
      </c>
      <c r="H2314" t="str">
        <f t="shared" si="1152"/>
        <v>07/05/2025</v>
      </c>
      <c r="I2314" t="str">
        <f t="shared" si="1164"/>
        <v>05/05/2025</v>
      </c>
      <c r="J2314" t="str">
        <f t="shared" si="1160"/>
        <v>08/05/2025</v>
      </c>
      <c r="M2314">
        <v>303</v>
      </c>
      <c r="N2314" t="str">
        <f t="shared" si="1161"/>
        <v>RECEITAS COM ENTREGAS</v>
      </c>
      <c r="P2314">
        <v>64</v>
      </c>
      <c r="Q2314" t="str">
        <f>"FRAN FARMA LJ 3 (10132)"</f>
        <v>FRAN FARMA LJ 3 (10132)</v>
      </c>
      <c r="R2314" t="str">
        <f t="shared" si="1162"/>
        <v>RECEITAS COM ENTREGAS (303)</v>
      </c>
      <c r="S2314">
        <v>1513</v>
      </c>
      <c r="T2314">
        <v>1143</v>
      </c>
      <c r="U2314" t="s">
        <v>19</v>
      </c>
    </row>
    <row r="2315" spans="1:21">
      <c r="A2315" t="str">
        <f t="shared" si="1158"/>
        <v>08/05/2025</v>
      </c>
      <c r="B2315" t="str">
        <f t="shared" si="1163"/>
        <v>ENTRADA</v>
      </c>
      <c r="C2315" t="str">
        <f t="shared" si="1159"/>
        <v>NFSE</v>
      </c>
      <c r="D2315" t="str">
        <f>"2953"</f>
        <v>2953</v>
      </c>
      <c r="E2315" t="str">
        <f t="shared" si="1157"/>
        <v>COM</v>
      </c>
      <c r="F2315" t="str">
        <f>"BRASIL FARMA (10173)"</f>
        <v>BRASIL FARMA (10173)</v>
      </c>
      <c r="G2315" t="str">
        <f>"Serv.Prest. 28/04/2025 a 04/05/2025 - RPS: 723 - NFSe: 2953"</f>
        <v>Serv.Prest. 28/04/2025 a 04/05/2025 - RPS: 723 - NFSe: 2953</v>
      </c>
      <c r="H2315" t="str">
        <f t="shared" si="1152"/>
        <v>07/05/2025</v>
      </c>
      <c r="I2315" t="str">
        <f t="shared" si="1164"/>
        <v>05/05/2025</v>
      </c>
      <c r="J2315" t="str">
        <f t="shared" si="1160"/>
        <v>08/05/2025</v>
      </c>
      <c r="K2315">
        <v>320.95999999999998</v>
      </c>
      <c r="L2315">
        <v>320.95999999999998</v>
      </c>
      <c r="M2315">
        <v>303</v>
      </c>
      <c r="N2315" t="str">
        <f t="shared" si="1161"/>
        <v>RECEITAS COM ENTREGAS</v>
      </c>
      <c r="O2315">
        <v>320.95999999999998</v>
      </c>
      <c r="R2315" t="str">
        <f t="shared" si="1162"/>
        <v>RECEITAS COM ENTREGAS (303)</v>
      </c>
      <c r="S2315">
        <v>1514</v>
      </c>
      <c r="T2315">
        <v>1145</v>
      </c>
      <c r="U2315" t="s">
        <v>19</v>
      </c>
    </row>
    <row r="2316" spans="1:21">
      <c r="A2316" t="str">
        <f t="shared" si="1158"/>
        <v>08/05/2025</v>
      </c>
      <c r="B2316" t="str">
        <f t="shared" si="1163"/>
        <v>ENTRADA</v>
      </c>
      <c r="C2316" t="str">
        <f t="shared" si="1159"/>
        <v>NFSE</v>
      </c>
      <c r="D2316" t="str">
        <f>"2953"</f>
        <v>2953</v>
      </c>
      <c r="E2316" t="str">
        <f t="shared" si="1157"/>
        <v>COM</v>
      </c>
      <c r="F2316" t="str">
        <f>"BRASIL FARMA (10173)"</f>
        <v>BRASIL FARMA (10173)</v>
      </c>
      <c r="G2316" t="str">
        <f>"Serv.Prest. 28/04/2025 a 04/05/2025 - RPS: 723 - NFSe: 2953"</f>
        <v>Serv.Prest. 28/04/2025 a 04/05/2025 - RPS: 723 - NFSe: 2953</v>
      </c>
      <c r="H2316" t="str">
        <f t="shared" ref="H2316:H2324" si="1165">("07/05/2025")</f>
        <v>07/05/2025</v>
      </c>
      <c r="I2316" t="str">
        <f t="shared" si="1164"/>
        <v>05/05/2025</v>
      </c>
      <c r="J2316" t="str">
        <f t="shared" si="1160"/>
        <v>08/05/2025</v>
      </c>
      <c r="M2316">
        <v>303</v>
      </c>
      <c r="N2316" t="str">
        <f t="shared" si="1161"/>
        <v>RECEITAS COM ENTREGAS</v>
      </c>
      <c r="P2316">
        <v>320.95999999999998</v>
      </c>
      <c r="Q2316" t="str">
        <f>"BRASIL FARMA (10173)"</f>
        <v>BRASIL FARMA (10173)</v>
      </c>
      <c r="R2316" t="str">
        <f t="shared" si="1162"/>
        <v>RECEITAS COM ENTREGAS (303)</v>
      </c>
      <c r="S2316">
        <v>1514</v>
      </c>
      <c r="T2316">
        <v>1145</v>
      </c>
      <c r="U2316" t="s">
        <v>19</v>
      </c>
    </row>
    <row r="2317" spans="1:21">
      <c r="A2317" t="str">
        <f t="shared" si="1158"/>
        <v>08/05/2025</v>
      </c>
      <c r="B2317" t="str">
        <f t="shared" si="1163"/>
        <v>ENTRADA</v>
      </c>
      <c r="C2317" t="str">
        <f t="shared" si="1159"/>
        <v>NFSE</v>
      </c>
      <c r="D2317" t="str">
        <f>"2956"</f>
        <v>2956</v>
      </c>
      <c r="E2317" t="str">
        <f t="shared" si="1157"/>
        <v>COM</v>
      </c>
      <c r="F2317" t="str">
        <f>"DROGA ELIDA (10121)"</f>
        <v>DROGA ELIDA (10121)</v>
      </c>
      <c r="G2317" t="str">
        <f>"Serv.Prest. 28/04/2025 a 04/05/2025 - RPS: 726 - NFSe: 2956"</f>
        <v>Serv.Prest. 28/04/2025 a 04/05/2025 - RPS: 726 - NFSe: 2956</v>
      </c>
      <c r="H2317" t="str">
        <f t="shared" si="1165"/>
        <v>07/05/2025</v>
      </c>
      <c r="I2317" t="str">
        <f t="shared" si="1164"/>
        <v>05/05/2025</v>
      </c>
      <c r="J2317" t="str">
        <f t="shared" si="1160"/>
        <v>08/05/2025</v>
      </c>
      <c r="K2317">
        <v>327.60000000000002</v>
      </c>
      <c r="L2317">
        <v>327.60000000000002</v>
      </c>
      <c r="M2317">
        <v>303</v>
      </c>
      <c r="N2317" t="str">
        <f t="shared" si="1161"/>
        <v>RECEITAS COM ENTREGAS</v>
      </c>
      <c r="O2317">
        <v>327.60000000000002</v>
      </c>
      <c r="R2317" t="str">
        <f t="shared" si="1162"/>
        <v>RECEITAS COM ENTREGAS (303)</v>
      </c>
      <c r="S2317">
        <v>1515</v>
      </c>
      <c r="T2317">
        <v>1148</v>
      </c>
      <c r="U2317" t="s">
        <v>19</v>
      </c>
    </row>
    <row r="2318" spans="1:21">
      <c r="A2318" t="str">
        <f t="shared" si="1158"/>
        <v>08/05/2025</v>
      </c>
      <c r="B2318" t="str">
        <f t="shared" si="1163"/>
        <v>ENTRADA</v>
      </c>
      <c r="C2318" t="str">
        <f t="shared" si="1159"/>
        <v>NFSE</v>
      </c>
      <c r="D2318" t="str">
        <f>"2956"</f>
        <v>2956</v>
      </c>
      <c r="E2318" t="str">
        <f t="shared" si="1157"/>
        <v>COM</v>
      </c>
      <c r="F2318" t="str">
        <f>"DROGA ELIDA (10121)"</f>
        <v>DROGA ELIDA (10121)</v>
      </c>
      <c r="G2318" t="str">
        <f>"Serv.Prest. 28/04/2025 a 04/05/2025 - RPS: 726 - NFSe: 2956"</f>
        <v>Serv.Prest. 28/04/2025 a 04/05/2025 - RPS: 726 - NFSe: 2956</v>
      </c>
      <c r="H2318" t="str">
        <f t="shared" si="1165"/>
        <v>07/05/2025</v>
      </c>
      <c r="I2318" t="str">
        <f t="shared" si="1164"/>
        <v>05/05/2025</v>
      </c>
      <c r="J2318" t="str">
        <f t="shared" si="1160"/>
        <v>08/05/2025</v>
      </c>
      <c r="M2318">
        <v>303</v>
      </c>
      <c r="N2318" t="str">
        <f t="shared" si="1161"/>
        <v>RECEITAS COM ENTREGAS</v>
      </c>
      <c r="P2318">
        <v>327.60000000000002</v>
      </c>
      <c r="Q2318" t="str">
        <f>"DROGA ELIDA (10121)"</f>
        <v>DROGA ELIDA (10121)</v>
      </c>
      <c r="R2318" t="str">
        <f t="shared" si="1162"/>
        <v>RECEITAS COM ENTREGAS (303)</v>
      </c>
      <c r="S2318">
        <v>1515</v>
      </c>
      <c r="T2318">
        <v>1148</v>
      </c>
      <c r="U2318" t="s">
        <v>19</v>
      </c>
    </row>
    <row r="2319" spans="1:21">
      <c r="A2319" t="str">
        <f t="shared" si="1158"/>
        <v>08/05/2025</v>
      </c>
      <c r="B2319" t="str">
        <f t="shared" si="1163"/>
        <v>ENTRADA</v>
      </c>
      <c r="C2319" t="str">
        <f t="shared" si="1159"/>
        <v>NFSE</v>
      </c>
      <c r="D2319" t="str">
        <f>"2957"</f>
        <v>2957</v>
      </c>
      <c r="E2319" t="str">
        <f t="shared" si="1157"/>
        <v>COM</v>
      </c>
      <c r="F2319" t="str">
        <f>"JAL FARMACIA E DROGARIA LJ 1 (10137)"</f>
        <v>JAL FARMACIA E DROGARIA LJ 1 (10137)</v>
      </c>
      <c r="G2319" t="str">
        <f>"Serv.Prest. 28/04/2025 a 04/05/2025 - RPS: 727 - NFSe: 2957"</f>
        <v>Serv.Prest. 28/04/2025 a 04/05/2025 - RPS: 727 - NFSe: 2957</v>
      </c>
      <c r="H2319" t="str">
        <f t="shared" si="1165"/>
        <v>07/05/2025</v>
      </c>
      <c r="I2319" t="str">
        <f t="shared" si="1164"/>
        <v>05/05/2025</v>
      </c>
      <c r="J2319" t="str">
        <f t="shared" si="1160"/>
        <v>08/05/2025</v>
      </c>
      <c r="K2319">
        <v>409.6</v>
      </c>
      <c r="L2319">
        <v>409.6</v>
      </c>
      <c r="M2319">
        <v>303</v>
      </c>
      <c r="N2319" t="str">
        <f t="shared" si="1161"/>
        <v>RECEITAS COM ENTREGAS</v>
      </c>
      <c r="O2319">
        <v>409.6</v>
      </c>
      <c r="R2319" t="str">
        <f t="shared" si="1162"/>
        <v>RECEITAS COM ENTREGAS (303)</v>
      </c>
      <c r="S2319">
        <v>1516</v>
      </c>
      <c r="T2319">
        <v>1149</v>
      </c>
      <c r="U2319" t="s">
        <v>19</v>
      </c>
    </row>
    <row r="2320" spans="1:21">
      <c r="A2320" t="str">
        <f t="shared" si="1158"/>
        <v>08/05/2025</v>
      </c>
      <c r="B2320" t="str">
        <f t="shared" si="1163"/>
        <v>ENTRADA</v>
      </c>
      <c r="C2320" t="str">
        <f t="shared" si="1159"/>
        <v>NFSE</v>
      </c>
      <c r="D2320" t="str">
        <f>"2957"</f>
        <v>2957</v>
      </c>
      <c r="E2320" t="str">
        <f t="shared" si="1157"/>
        <v>COM</v>
      </c>
      <c r="F2320" t="str">
        <f>"JAL FARMACIA E DROGARIA LJ 1 (10137)"</f>
        <v>JAL FARMACIA E DROGARIA LJ 1 (10137)</v>
      </c>
      <c r="G2320" t="str">
        <f>"Serv.Prest. 28/04/2025 a 04/05/2025 - RPS: 727 - NFSe: 2957"</f>
        <v>Serv.Prest. 28/04/2025 a 04/05/2025 - RPS: 727 - NFSe: 2957</v>
      </c>
      <c r="H2320" t="str">
        <f t="shared" si="1165"/>
        <v>07/05/2025</v>
      </c>
      <c r="I2320" t="str">
        <f t="shared" si="1164"/>
        <v>05/05/2025</v>
      </c>
      <c r="J2320" t="str">
        <f t="shared" si="1160"/>
        <v>08/05/2025</v>
      </c>
      <c r="M2320">
        <v>303</v>
      </c>
      <c r="N2320" t="str">
        <f t="shared" si="1161"/>
        <v>RECEITAS COM ENTREGAS</v>
      </c>
      <c r="P2320">
        <v>409.6</v>
      </c>
      <c r="Q2320" t="str">
        <f>"JAL FARMACIA E DROGARIA LJ 1 (10137)"</f>
        <v>JAL FARMACIA E DROGARIA LJ 1 (10137)</v>
      </c>
      <c r="R2320" t="str">
        <f t="shared" si="1162"/>
        <v>RECEITAS COM ENTREGAS (303)</v>
      </c>
      <c r="S2320">
        <v>1516</v>
      </c>
      <c r="T2320">
        <v>1149</v>
      </c>
      <c r="U2320" t="s">
        <v>19</v>
      </c>
    </row>
    <row r="2321" spans="1:21">
      <c r="A2321" t="str">
        <f t="shared" si="1158"/>
        <v>08/05/2025</v>
      </c>
      <c r="B2321" t="str">
        <f t="shared" si="1163"/>
        <v>ENTRADA</v>
      </c>
      <c r="C2321" t="str">
        <f t="shared" si="1159"/>
        <v>NFSE</v>
      </c>
      <c r="D2321" t="str">
        <f>"2964"</f>
        <v>2964</v>
      </c>
      <c r="E2321" t="str">
        <f t="shared" si="1157"/>
        <v>COM</v>
      </c>
      <c r="F2321" t="str">
        <f>"FARMACIA ECONOMIZE (10103)"</f>
        <v>FARMACIA ECONOMIZE (10103)</v>
      </c>
      <c r="G2321" t="str">
        <f>"Serv.Prest. 28/04/2025 a 04/05/2025 - RPS: 734 - NFSe: 2964"</f>
        <v>Serv.Prest. 28/04/2025 a 04/05/2025 - RPS: 734 - NFSe: 2964</v>
      </c>
      <c r="H2321" t="str">
        <f t="shared" si="1165"/>
        <v>07/05/2025</v>
      </c>
      <c r="I2321" t="str">
        <f>("06/05/2025")</f>
        <v>06/05/2025</v>
      </c>
      <c r="J2321" t="str">
        <f t="shared" si="1160"/>
        <v>08/05/2025</v>
      </c>
      <c r="K2321">
        <v>20.74</v>
      </c>
      <c r="L2321">
        <v>20.74</v>
      </c>
      <c r="M2321">
        <v>303</v>
      </c>
      <c r="N2321" t="str">
        <f t="shared" si="1161"/>
        <v>RECEITAS COM ENTREGAS</v>
      </c>
      <c r="O2321">
        <v>20.74</v>
      </c>
      <c r="R2321" t="str">
        <f t="shared" si="1162"/>
        <v>RECEITAS COM ENTREGAS (303)</v>
      </c>
      <c r="S2321">
        <v>1517</v>
      </c>
      <c r="T2321">
        <v>1156</v>
      </c>
      <c r="U2321" t="s">
        <v>19</v>
      </c>
    </row>
    <row r="2322" spans="1:21">
      <c r="A2322" t="str">
        <f t="shared" si="1158"/>
        <v>08/05/2025</v>
      </c>
      <c r="B2322" t="str">
        <f t="shared" si="1163"/>
        <v>ENTRADA</v>
      </c>
      <c r="C2322" t="str">
        <f t="shared" si="1159"/>
        <v>NFSE</v>
      </c>
      <c r="D2322" t="str">
        <f>"2964"</f>
        <v>2964</v>
      </c>
      <c r="E2322" t="str">
        <f t="shared" si="1157"/>
        <v>COM</v>
      </c>
      <c r="F2322" t="str">
        <f>"FARMACIA ECONOMIZE (10103)"</f>
        <v>FARMACIA ECONOMIZE (10103)</v>
      </c>
      <c r="G2322" t="str">
        <f>"Serv.Prest. 28/04/2025 a 04/05/2025 - RPS: 734 - NFSe: 2964"</f>
        <v>Serv.Prest. 28/04/2025 a 04/05/2025 - RPS: 734 - NFSe: 2964</v>
      </c>
      <c r="H2322" t="str">
        <f t="shared" si="1165"/>
        <v>07/05/2025</v>
      </c>
      <c r="I2322" t="str">
        <f>("06/05/2025")</f>
        <v>06/05/2025</v>
      </c>
      <c r="J2322" t="str">
        <f t="shared" si="1160"/>
        <v>08/05/2025</v>
      </c>
      <c r="M2322">
        <v>303</v>
      </c>
      <c r="N2322" t="str">
        <f t="shared" si="1161"/>
        <v>RECEITAS COM ENTREGAS</v>
      </c>
      <c r="P2322">
        <v>20.74</v>
      </c>
      <c r="Q2322" t="str">
        <f>"FARMACIA ECONOMIZE (10103)"</f>
        <v>FARMACIA ECONOMIZE (10103)</v>
      </c>
      <c r="R2322" t="str">
        <f t="shared" si="1162"/>
        <v>RECEITAS COM ENTREGAS (303)</v>
      </c>
      <c r="S2322">
        <v>1517</v>
      </c>
      <c r="T2322">
        <v>1156</v>
      </c>
      <c r="U2322" t="s">
        <v>19</v>
      </c>
    </row>
    <row r="2323" spans="1:21">
      <c r="A2323" t="str">
        <f t="shared" si="1158"/>
        <v>08/05/2025</v>
      </c>
      <c r="B2323" t="str">
        <f t="shared" si="1163"/>
        <v>ENTRADA</v>
      </c>
      <c r="C2323" t="str">
        <f t="shared" si="1159"/>
        <v>NFSE</v>
      </c>
      <c r="D2323" t="str">
        <f>"2965"</f>
        <v>2965</v>
      </c>
      <c r="E2323" t="str">
        <f t="shared" si="1157"/>
        <v>COM</v>
      </c>
      <c r="F2323" t="str">
        <f>"DROGARIA MEDIC CENTER LTDA (10172)"</f>
        <v>DROGARIA MEDIC CENTER LTDA (10172)</v>
      </c>
      <c r="G2323" t="str">
        <f>"Serv.Prest. 28/04/2025 a 04/05/2025 - RPS: 735 - NFSe: 2965"</f>
        <v>Serv.Prest. 28/04/2025 a 04/05/2025 - RPS: 735 - NFSe: 2965</v>
      </c>
      <c r="H2323" t="str">
        <f t="shared" si="1165"/>
        <v>07/05/2025</v>
      </c>
      <c r="I2323" t="str">
        <f>("06/05/2025")</f>
        <v>06/05/2025</v>
      </c>
      <c r="J2323" t="str">
        <f t="shared" si="1160"/>
        <v>08/05/2025</v>
      </c>
      <c r="K2323">
        <v>319.68</v>
      </c>
      <c r="L2323">
        <v>319.68</v>
      </c>
      <c r="M2323">
        <v>303</v>
      </c>
      <c r="N2323" t="str">
        <f t="shared" si="1161"/>
        <v>RECEITAS COM ENTREGAS</v>
      </c>
      <c r="O2323">
        <v>319.68</v>
      </c>
      <c r="R2323" t="str">
        <f t="shared" si="1162"/>
        <v>RECEITAS COM ENTREGAS (303)</v>
      </c>
      <c r="S2323">
        <v>1518</v>
      </c>
      <c r="T2323">
        <v>1157</v>
      </c>
      <c r="U2323" t="s">
        <v>19</v>
      </c>
    </row>
    <row r="2324" spans="1:21">
      <c r="A2324" t="str">
        <f t="shared" si="1158"/>
        <v>08/05/2025</v>
      </c>
      <c r="B2324" t="str">
        <f t="shared" si="1163"/>
        <v>ENTRADA</v>
      </c>
      <c r="C2324" t="str">
        <f t="shared" si="1159"/>
        <v>NFSE</v>
      </c>
      <c r="D2324" t="str">
        <f>"2965"</f>
        <v>2965</v>
      </c>
      <c r="E2324" t="str">
        <f t="shared" si="1157"/>
        <v>COM</v>
      </c>
      <c r="F2324" t="str">
        <f>"DROGARIA MEDIC CENTER LTDA (10172)"</f>
        <v>DROGARIA MEDIC CENTER LTDA (10172)</v>
      </c>
      <c r="G2324" t="str">
        <f>"Serv.Prest. 28/04/2025 a 04/05/2025 - RPS: 735 - NFSe: 2965"</f>
        <v>Serv.Prest. 28/04/2025 a 04/05/2025 - RPS: 735 - NFSe: 2965</v>
      </c>
      <c r="H2324" t="str">
        <f t="shared" si="1165"/>
        <v>07/05/2025</v>
      </c>
      <c r="I2324" t="str">
        <f>("06/05/2025")</f>
        <v>06/05/2025</v>
      </c>
      <c r="J2324" t="str">
        <f t="shared" si="1160"/>
        <v>08/05/2025</v>
      </c>
      <c r="M2324">
        <v>303</v>
      </c>
      <c r="N2324" t="str">
        <f t="shared" si="1161"/>
        <v>RECEITAS COM ENTREGAS</v>
      </c>
      <c r="P2324">
        <v>319.68</v>
      </c>
      <c r="Q2324" t="str">
        <f>"DROGARIA MEDIC CENTER LTDA (10172)"</f>
        <v>DROGARIA MEDIC CENTER LTDA (10172)</v>
      </c>
      <c r="R2324" t="str">
        <f t="shared" si="1162"/>
        <v>RECEITAS COM ENTREGAS (303)</v>
      </c>
      <c r="S2324">
        <v>1518</v>
      </c>
      <c r="T2324">
        <v>1157</v>
      </c>
      <c r="U2324" t="s">
        <v>19</v>
      </c>
    </row>
    <row r="2325" spans="1:21">
      <c r="A2325" t="str">
        <f t="shared" si="1158"/>
        <v>08/05/2025</v>
      </c>
      <c r="B2325" t="str">
        <f>"ENTRADA"</f>
        <v>ENTRADA</v>
      </c>
      <c r="C2325" t="str">
        <f>"BOLETO"</f>
        <v>BOLETO</v>
      </c>
      <c r="D2325" t="str">
        <f>"132768350"</f>
        <v>132768350</v>
      </c>
      <c r="E2325" t="str">
        <f t="shared" si="1157"/>
        <v>COM</v>
      </c>
      <c r="F2325" t="str">
        <f>"PRODUTOS FARMACEUTICOS LOPES LTDA (10180)"</f>
        <v>PRODUTOS FARMACEUTICOS LOPES LTDA (10180)</v>
      </c>
      <c r="G2325" t="str">
        <f>"RECEBIMENTO SETUP"</f>
        <v>RECEBIMENTO SETUP</v>
      </c>
      <c r="H2325" t="str">
        <f t="shared" ref="H2325:H2349" si="1166">("08/05/2025")</f>
        <v>08/05/2025</v>
      </c>
      <c r="I2325" t="str">
        <f>("07/05/2025")</f>
        <v>07/05/2025</v>
      </c>
      <c r="J2325" t="str">
        <f t="shared" si="1160"/>
        <v>08/05/2025</v>
      </c>
      <c r="K2325">
        <v>3500</v>
      </c>
      <c r="L2325">
        <v>3500</v>
      </c>
      <c r="M2325">
        <v>117</v>
      </c>
      <c r="N2325" t="str">
        <f>"RECEITAS COM SETUP"</f>
        <v>RECEITAS COM SETUP</v>
      </c>
      <c r="O2325">
        <v>3500</v>
      </c>
      <c r="R2325" t="str">
        <f>"RECEITAS COM SETUP (117)"</f>
        <v>RECEITAS COM SETUP (117)</v>
      </c>
      <c r="S2325">
        <v>1606</v>
      </c>
      <c r="T2325">
        <v>1276</v>
      </c>
      <c r="U2325" t="s">
        <v>19</v>
      </c>
    </row>
    <row r="2326" spans="1:21">
      <c r="A2326" t="str">
        <f t="shared" si="1158"/>
        <v>08/05/2025</v>
      </c>
      <c r="B2326" t="str">
        <f>"ENTRADA"</f>
        <v>ENTRADA</v>
      </c>
      <c r="C2326" t="str">
        <f>"BOLETO"</f>
        <v>BOLETO</v>
      </c>
      <c r="D2326" t="str">
        <f>"132768350"</f>
        <v>132768350</v>
      </c>
      <c r="E2326" t="str">
        <f t="shared" si="1157"/>
        <v>COM</v>
      </c>
      <c r="F2326" t="str">
        <f>"PRODUTOS FARMACEUTICOS LOPES LTDA (10180)"</f>
        <v>PRODUTOS FARMACEUTICOS LOPES LTDA (10180)</v>
      </c>
      <c r="G2326" t="str">
        <f>"RECEBIMENTO SETUP"</f>
        <v>RECEBIMENTO SETUP</v>
      </c>
      <c r="H2326" t="str">
        <f t="shared" si="1166"/>
        <v>08/05/2025</v>
      </c>
      <c r="I2326" t="str">
        <f>("07/05/2025")</f>
        <v>07/05/2025</v>
      </c>
      <c r="J2326" t="str">
        <f t="shared" si="1160"/>
        <v>08/05/2025</v>
      </c>
      <c r="M2326">
        <v>117</v>
      </c>
      <c r="N2326" t="str">
        <f>"RECEITAS COM SETUP"</f>
        <v>RECEITAS COM SETUP</v>
      </c>
      <c r="P2326">
        <v>3500</v>
      </c>
      <c r="Q2326" t="str">
        <f>"PRODUTOS FARMACEUTICOS LOPES LTDA (10180)"</f>
        <v>PRODUTOS FARMACEUTICOS LOPES LTDA (10180)</v>
      </c>
      <c r="R2326" t="str">
        <f>"RECEITAS COM SETUP (117)"</f>
        <v>RECEITAS COM SETUP (117)</v>
      </c>
      <c r="S2326">
        <v>1606</v>
      </c>
      <c r="T2326">
        <v>1276</v>
      </c>
      <c r="U2326" t="s">
        <v>19</v>
      </c>
    </row>
    <row r="2327" spans="1:21">
      <c r="A2327" t="str">
        <f t="shared" si="1158"/>
        <v>08/05/2025</v>
      </c>
      <c r="B2327" t="str">
        <f t="shared" ref="B2327:B2335" si="1167">"SAÍDA"</f>
        <v>SAÍDA</v>
      </c>
      <c r="C2327" t="str">
        <f t="shared" ref="C2327:C2335" si="1168">"JUROS"</f>
        <v>JUROS</v>
      </c>
      <c r="D2327" t="str">
        <f>""</f>
        <v/>
      </c>
      <c r="E2327" t="str">
        <f t="shared" ref="E2327:E2335" si="1169">"CXA"</f>
        <v>CXA</v>
      </c>
      <c r="F2327" t="str">
        <f>""</f>
        <v/>
      </c>
      <c r="G2327" t="str">
        <f t="shared" ref="G2327:G2335" si="1170">"TAXA BOLETO COMPENSADO"</f>
        <v>TAXA BOLETO COMPENSADO</v>
      </c>
      <c r="H2327" t="str">
        <f t="shared" si="1166"/>
        <v>08/05/2025</v>
      </c>
      <c r="I2327" t="str">
        <f t="shared" ref="I2327:I2335" si="1171">("08/05/2025")</f>
        <v>08/05/2025</v>
      </c>
      <c r="J2327" t="str">
        <f t="shared" si="1160"/>
        <v>08/05/2025</v>
      </c>
      <c r="K2327">
        <v>1.7</v>
      </c>
      <c r="L2327">
        <v>1.7</v>
      </c>
      <c r="M2327">
        <v>401</v>
      </c>
      <c r="N2327" t="str">
        <f t="shared" ref="N2327:N2335" si="1172">"IOF/JUROS/DESP.FINANCEIRA"</f>
        <v>IOF/JUROS/DESP.FINANCEIRA</v>
      </c>
      <c r="O2327">
        <v>1.7</v>
      </c>
      <c r="R2327" t="str">
        <f t="shared" ref="R2327:R2335" si="1173">"BANCO CORA (102)"</f>
        <v>BANCO CORA (102)</v>
      </c>
      <c r="S2327">
        <v>1644</v>
      </c>
      <c r="T2327">
        <v>0</v>
      </c>
      <c r="U2327" t="s">
        <v>20</v>
      </c>
    </row>
    <row r="2328" spans="1:21">
      <c r="A2328" t="str">
        <f t="shared" si="1158"/>
        <v>08/05/2025</v>
      </c>
      <c r="B2328" t="str">
        <f t="shared" si="1167"/>
        <v>SAÍDA</v>
      </c>
      <c r="C2328" t="str">
        <f t="shared" si="1168"/>
        <v>JUROS</v>
      </c>
      <c r="D2328" t="str">
        <f>""</f>
        <v/>
      </c>
      <c r="E2328" t="str">
        <f t="shared" si="1169"/>
        <v>CXA</v>
      </c>
      <c r="F2328" t="str">
        <f>""</f>
        <v/>
      </c>
      <c r="G2328" t="str">
        <f t="shared" si="1170"/>
        <v>TAXA BOLETO COMPENSADO</v>
      </c>
      <c r="H2328" t="str">
        <f t="shared" si="1166"/>
        <v>08/05/2025</v>
      </c>
      <c r="I2328" t="str">
        <f t="shared" si="1171"/>
        <v>08/05/2025</v>
      </c>
      <c r="J2328" t="str">
        <f t="shared" si="1160"/>
        <v>08/05/2025</v>
      </c>
      <c r="K2328">
        <v>1.7</v>
      </c>
      <c r="L2328">
        <v>1.7</v>
      </c>
      <c r="M2328">
        <v>401</v>
      </c>
      <c r="N2328" t="str">
        <f t="shared" si="1172"/>
        <v>IOF/JUROS/DESP.FINANCEIRA</v>
      </c>
      <c r="O2328">
        <v>1.7</v>
      </c>
      <c r="R2328" t="str">
        <f t="shared" si="1173"/>
        <v>BANCO CORA (102)</v>
      </c>
      <c r="S2328">
        <v>1645</v>
      </c>
      <c r="T2328">
        <v>0</v>
      </c>
      <c r="U2328" t="s">
        <v>20</v>
      </c>
    </row>
    <row r="2329" spans="1:21">
      <c r="A2329" t="str">
        <f t="shared" si="1158"/>
        <v>08/05/2025</v>
      </c>
      <c r="B2329" t="str">
        <f t="shared" si="1167"/>
        <v>SAÍDA</v>
      </c>
      <c r="C2329" t="str">
        <f t="shared" si="1168"/>
        <v>JUROS</v>
      </c>
      <c r="D2329" t="str">
        <f>""</f>
        <v/>
      </c>
      <c r="E2329" t="str">
        <f t="shared" si="1169"/>
        <v>CXA</v>
      </c>
      <c r="F2329" t="str">
        <f>""</f>
        <v/>
      </c>
      <c r="G2329" t="str">
        <f t="shared" si="1170"/>
        <v>TAXA BOLETO COMPENSADO</v>
      </c>
      <c r="H2329" t="str">
        <f t="shared" si="1166"/>
        <v>08/05/2025</v>
      </c>
      <c r="I2329" t="str">
        <f t="shared" si="1171"/>
        <v>08/05/2025</v>
      </c>
      <c r="J2329" t="str">
        <f t="shared" si="1160"/>
        <v>08/05/2025</v>
      </c>
      <c r="K2329">
        <v>1.7</v>
      </c>
      <c r="L2329">
        <v>1.7</v>
      </c>
      <c r="M2329">
        <v>401</v>
      </c>
      <c r="N2329" t="str">
        <f t="shared" si="1172"/>
        <v>IOF/JUROS/DESP.FINANCEIRA</v>
      </c>
      <c r="O2329">
        <v>1.7</v>
      </c>
      <c r="R2329" t="str">
        <f t="shared" si="1173"/>
        <v>BANCO CORA (102)</v>
      </c>
      <c r="S2329">
        <v>1646</v>
      </c>
      <c r="T2329">
        <v>0</v>
      </c>
      <c r="U2329" t="s">
        <v>20</v>
      </c>
    </row>
    <row r="2330" spans="1:21">
      <c r="A2330" t="str">
        <f t="shared" si="1158"/>
        <v>08/05/2025</v>
      </c>
      <c r="B2330" t="str">
        <f t="shared" si="1167"/>
        <v>SAÍDA</v>
      </c>
      <c r="C2330" t="str">
        <f t="shared" si="1168"/>
        <v>JUROS</v>
      </c>
      <c r="D2330" t="str">
        <f>""</f>
        <v/>
      </c>
      <c r="E2330" t="str">
        <f t="shared" si="1169"/>
        <v>CXA</v>
      </c>
      <c r="F2330" t="str">
        <f>""</f>
        <v/>
      </c>
      <c r="G2330" t="str">
        <f t="shared" si="1170"/>
        <v>TAXA BOLETO COMPENSADO</v>
      </c>
      <c r="H2330" t="str">
        <f t="shared" si="1166"/>
        <v>08/05/2025</v>
      </c>
      <c r="I2330" t="str">
        <f t="shared" si="1171"/>
        <v>08/05/2025</v>
      </c>
      <c r="J2330" t="str">
        <f t="shared" si="1160"/>
        <v>08/05/2025</v>
      </c>
      <c r="K2330">
        <v>1.7</v>
      </c>
      <c r="L2330">
        <v>1.7</v>
      </c>
      <c r="M2330">
        <v>401</v>
      </c>
      <c r="N2330" t="str">
        <f t="shared" si="1172"/>
        <v>IOF/JUROS/DESP.FINANCEIRA</v>
      </c>
      <c r="O2330">
        <v>1.7</v>
      </c>
      <c r="R2330" t="str">
        <f t="shared" si="1173"/>
        <v>BANCO CORA (102)</v>
      </c>
      <c r="S2330">
        <v>1647</v>
      </c>
      <c r="T2330">
        <v>0</v>
      </c>
      <c r="U2330" t="s">
        <v>20</v>
      </c>
    </row>
    <row r="2331" spans="1:21">
      <c r="A2331" t="str">
        <f t="shared" si="1158"/>
        <v>08/05/2025</v>
      </c>
      <c r="B2331" t="str">
        <f t="shared" si="1167"/>
        <v>SAÍDA</v>
      </c>
      <c r="C2331" t="str">
        <f t="shared" si="1168"/>
        <v>JUROS</v>
      </c>
      <c r="D2331" t="str">
        <f>""</f>
        <v/>
      </c>
      <c r="E2331" t="str">
        <f t="shared" si="1169"/>
        <v>CXA</v>
      </c>
      <c r="F2331" t="str">
        <f>""</f>
        <v/>
      </c>
      <c r="G2331" t="str">
        <f t="shared" si="1170"/>
        <v>TAXA BOLETO COMPENSADO</v>
      </c>
      <c r="H2331" t="str">
        <f t="shared" si="1166"/>
        <v>08/05/2025</v>
      </c>
      <c r="I2331" t="str">
        <f t="shared" si="1171"/>
        <v>08/05/2025</v>
      </c>
      <c r="J2331" t="str">
        <f t="shared" si="1160"/>
        <v>08/05/2025</v>
      </c>
      <c r="K2331">
        <v>1.7</v>
      </c>
      <c r="L2331">
        <v>1.7</v>
      </c>
      <c r="M2331">
        <v>401</v>
      </c>
      <c r="N2331" t="str">
        <f t="shared" si="1172"/>
        <v>IOF/JUROS/DESP.FINANCEIRA</v>
      </c>
      <c r="O2331">
        <v>1.7</v>
      </c>
      <c r="R2331" t="str">
        <f t="shared" si="1173"/>
        <v>BANCO CORA (102)</v>
      </c>
      <c r="S2331">
        <v>1648</v>
      </c>
      <c r="T2331">
        <v>0</v>
      </c>
      <c r="U2331" t="s">
        <v>20</v>
      </c>
    </row>
    <row r="2332" spans="1:21">
      <c r="A2332" t="str">
        <f t="shared" si="1158"/>
        <v>08/05/2025</v>
      </c>
      <c r="B2332" t="str">
        <f t="shared" si="1167"/>
        <v>SAÍDA</v>
      </c>
      <c r="C2332" t="str">
        <f t="shared" si="1168"/>
        <v>JUROS</v>
      </c>
      <c r="D2332" t="str">
        <f>""</f>
        <v/>
      </c>
      <c r="E2332" t="str">
        <f t="shared" si="1169"/>
        <v>CXA</v>
      </c>
      <c r="F2332" t="str">
        <f>""</f>
        <v/>
      </c>
      <c r="G2332" t="str">
        <f t="shared" si="1170"/>
        <v>TAXA BOLETO COMPENSADO</v>
      </c>
      <c r="H2332" t="str">
        <f t="shared" si="1166"/>
        <v>08/05/2025</v>
      </c>
      <c r="I2332" t="str">
        <f t="shared" si="1171"/>
        <v>08/05/2025</v>
      </c>
      <c r="J2332" t="str">
        <f t="shared" si="1160"/>
        <v>08/05/2025</v>
      </c>
      <c r="K2332">
        <v>1.7</v>
      </c>
      <c r="L2332">
        <v>1.7</v>
      </c>
      <c r="M2332">
        <v>401</v>
      </c>
      <c r="N2332" t="str">
        <f t="shared" si="1172"/>
        <v>IOF/JUROS/DESP.FINANCEIRA</v>
      </c>
      <c r="O2332">
        <v>1.7</v>
      </c>
      <c r="R2332" t="str">
        <f t="shared" si="1173"/>
        <v>BANCO CORA (102)</v>
      </c>
      <c r="S2332">
        <v>1649</v>
      </c>
      <c r="T2332">
        <v>0</v>
      </c>
      <c r="U2332" t="s">
        <v>20</v>
      </c>
    </row>
    <row r="2333" spans="1:21">
      <c r="A2333" t="str">
        <f t="shared" si="1158"/>
        <v>08/05/2025</v>
      </c>
      <c r="B2333" t="str">
        <f t="shared" si="1167"/>
        <v>SAÍDA</v>
      </c>
      <c r="C2333" t="str">
        <f t="shared" si="1168"/>
        <v>JUROS</v>
      </c>
      <c r="D2333" t="str">
        <f>""</f>
        <v/>
      </c>
      <c r="E2333" t="str">
        <f t="shared" si="1169"/>
        <v>CXA</v>
      </c>
      <c r="F2333" t="str">
        <f>""</f>
        <v/>
      </c>
      <c r="G2333" t="str">
        <f t="shared" si="1170"/>
        <v>TAXA BOLETO COMPENSADO</v>
      </c>
      <c r="H2333" t="str">
        <f t="shared" si="1166"/>
        <v>08/05/2025</v>
      </c>
      <c r="I2333" t="str">
        <f t="shared" si="1171"/>
        <v>08/05/2025</v>
      </c>
      <c r="J2333" t="str">
        <f t="shared" si="1160"/>
        <v>08/05/2025</v>
      </c>
      <c r="K2333">
        <v>1.7</v>
      </c>
      <c r="L2333">
        <v>1.7</v>
      </c>
      <c r="M2333">
        <v>401</v>
      </c>
      <c r="N2333" t="str">
        <f t="shared" si="1172"/>
        <v>IOF/JUROS/DESP.FINANCEIRA</v>
      </c>
      <c r="O2333">
        <v>1.7</v>
      </c>
      <c r="R2333" t="str">
        <f t="shared" si="1173"/>
        <v>BANCO CORA (102)</v>
      </c>
      <c r="S2333">
        <v>1650</v>
      </c>
      <c r="T2333">
        <v>0</v>
      </c>
      <c r="U2333" t="s">
        <v>20</v>
      </c>
    </row>
    <row r="2334" spans="1:21">
      <c r="A2334" t="str">
        <f t="shared" si="1158"/>
        <v>08/05/2025</v>
      </c>
      <c r="B2334" t="str">
        <f t="shared" si="1167"/>
        <v>SAÍDA</v>
      </c>
      <c r="C2334" t="str">
        <f t="shared" si="1168"/>
        <v>JUROS</v>
      </c>
      <c r="D2334" t="str">
        <f>""</f>
        <v/>
      </c>
      <c r="E2334" t="str">
        <f t="shared" si="1169"/>
        <v>CXA</v>
      </c>
      <c r="F2334" t="str">
        <f>""</f>
        <v/>
      </c>
      <c r="G2334" t="str">
        <f t="shared" si="1170"/>
        <v>TAXA BOLETO COMPENSADO</v>
      </c>
      <c r="H2334" t="str">
        <f t="shared" si="1166"/>
        <v>08/05/2025</v>
      </c>
      <c r="I2334" t="str">
        <f t="shared" si="1171"/>
        <v>08/05/2025</v>
      </c>
      <c r="J2334" t="str">
        <f t="shared" si="1160"/>
        <v>08/05/2025</v>
      </c>
      <c r="K2334">
        <v>1.7</v>
      </c>
      <c r="L2334">
        <v>1.7</v>
      </c>
      <c r="M2334">
        <v>401</v>
      </c>
      <c r="N2334" t="str">
        <f t="shared" si="1172"/>
        <v>IOF/JUROS/DESP.FINANCEIRA</v>
      </c>
      <c r="O2334">
        <v>1.7</v>
      </c>
      <c r="R2334" t="str">
        <f t="shared" si="1173"/>
        <v>BANCO CORA (102)</v>
      </c>
      <c r="S2334">
        <v>1651</v>
      </c>
      <c r="T2334">
        <v>0</v>
      </c>
      <c r="U2334" t="s">
        <v>20</v>
      </c>
    </row>
    <row r="2335" spans="1:21">
      <c r="A2335" t="str">
        <f t="shared" si="1158"/>
        <v>08/05/2025</v>
      </c>
      <c r="B2335" t="str">
        <f t="shared" si="1167"/>
        <v>SAÍDA</v>
      </c>
      <c r="C2335" t="str">
        <f t="shared" si="1168"/>
        <v>JUROS</v>
      </c>
      <c r="D2335" t="str">
        <f>""</f>
        <v/>
      </c>
      <c r="E2335" t="str">
        <f t="shared" si="1169"/>
        <v>CXA</v>
      </c>
      <c r="F2335" t="str">
        <f>""</f>
        <v/>
      </c>
      <c r="G2335" t="str">
        <f t="shared" si="1170"/>
        <v>TAXA BOLETO COMPENSADO</v>
      </c>
      <c r="H2335" t="str">
        <f t="shared" si="1166"/>
        <v>08/05/2025</v>
      </c>
      <c r="I2335" t="str">
        <f t="shared" si="1171"/>
        <v>08/05/2025</v>
      </c>
      <c r="J2335" t="str">
        <f t="shared" si="1160"/>
        <v>08/05/2025</v>
      </c>
      <c r="K2335">
        <v>1.7</v>
      </c>
      <c r="L2335">
        <v>1.7</v>
      </c>
      <c r="M2335">
        <v>401</v>
      </c>
      <c r="N2335" t="str">
        <f t="shared" si="1172"/>
        <v>IOF/JUROS/DESP.FINANCEIRA</v>
      </c>
      <c r="O2335">
        <v>1.7</v>
      </c>
      <c r="R2335" t="str">
        <f t="shared" si="1173"/>
        <v>BANCO CORA (102)</v>
      </c>
      <c r="S2335">
        <v>1652</v>
      </c>
      <c r="T2335">
        <v>0</v>
      </c>
      <c r="U2335" t="s">
        <v>20</v>
      </c>
    </row>
    <row r="2336" spans="1:21">
      <c r="A2336" t="str">
        <f t="shared" ref="A2336:A2358" si="1174">("09/05/2025")</f>
        <v>09/05/2025</v>
      </c>
      <c r="B2336" t="str">
        <f>"ENTRADA"</f>
        <v>ENTRADA</v>
      </c>
      <c r="C2336" t="str">
        <f t="shared" ref="C2336:C2349" si="1175">"NFSE"</f>
        <v>NFSE</v>
      </c>
      <c r="D2336" t="str">
        <f>"2939"</f>
        <v>2939</v>
      </c>
      <c r="E2336" t="str">
        <f t="shared" ref="E2336:E2351" si="1176">"COM"</f>
        <v>COM</v>
      </c>
      <c r="F2336" t="str">
        <f>"PAGMENOS - LJ 608 (10135)"</f>
        <v>PAGMENOS - LJ 608 (10135)</v>
      </c>
      <c r="G2336" t="str">
        <f>"Serv.Prest. 21/04/2025 a 27/04/2025 - RPS: 710 - NFSe: 2939"</f>
        <v>Serv.Prest. 21/04/2025 a 27/04/2025 - RPS: 710 - NFSe: 2939</v>
      </c>
      <c r="H2336" t="str">
        <f t="shared" si="1166"/>
        <v>08/05/2025</v>
      </c>
      <c r="I2336" t="str">
        <f>("29/04/2025")</f>
        <v>29/04/2025</v>
      </c>
      <c r="J2336" t="str">
        <f t="shared" ref="J2336:J2358" si="1177">("09/05/2025")</f>
        <v>09/05/2025</v>
      </c>
      <c r="K2336">
        <v>280.20999999999998</v>
      </c>
      <c r="L2336">
        <v>280.20999999999998</v>
      </c>
      <c r="M2336">
        <v>303</v>
      </c>
      <c r="N2336" t="str">
        <f t="shared" ref="N2336:N2349" si="1178">"RECEITAS COM ENTREGAS"</f>
        <v>RECEITAS COM ENTREGAS</v>
      </c>
      <c r="O2336">
        <v>280.20999999999998</v>
      </c>
      <c r="R2336" t="str">
        <f t="shared" ref="R2336:R2349" si="1179">"RECEITAS COM ENTREGAS (303)"</f>
        <v>RECEITAS COM ENTREGAS (303)</v>
      </c>
      <c r="S2336">
        <v>1519</v>
      </c>
      <c r="T2336">
        <v>1131</v>
      </c>
      <c r="U2336" t="s">
        <v>19</v>
      </c>
    </row>
    <row r="2337" spans="1:21">
      <c r="A2337" t="str">
        <f t="shared" si="1174"/>
        <v>09/05/2025</v>
      </c>
      <c r="B2337" t="str">
        <f t="shared" ref="B2337:B2349" si="1180">"ENTRADA"</f>
        <v>ENTRADA</v>
      </c>
      <c r="C2337" t="str">
        <f t="shared" si="1175"/>
        <v>NFSE</v>
      </c>
      <c r="D2337" t="str">
        <f>"2939"</f>
        <v>2939</v>
      </c>
      <c r="E2337" t="str">
        <f t="shared" si="1176"/>
        <v>COM</v>
      </c>
      <c r="F2337" t="str">
        <f>"PAGMENOS - LJ 608 (10135)"</f>
        <v>PAGMENOS - LJ 608 (10135)</v>
      </c>
      <c r="G2337" t="str">
        <f>"Serv.Prest. 21/04/2025 a 27/04/2025 - RPS: 710 - NFSe: 2939"</f>
        <v>Serv.Prest. 21/04/2025 a 27/04/2025 - RPS: 710 - NFSe: 2939</v>
      </c>
      <c r="H2337" t="str">
        <f t="shared" si="1166"/>
        <v>08/05/2025</v>
      </c>
      <c r="I2337" t="str">
        <f>("29/04/2025")</f>
        <v>29/04/2025</v>
      </c>
      <c r="J2337" t="str">
        <f t="shared" si="1177"/>
        <v>09/05/2025</v>
      </c>
      <c r="M2337">
        <v>303</v>
      </c>
      <c r="N2337" t="str">
        <f t="shared" si="1178"/>
        <v>RECEITAS COM ENTREGAS</v>
      </c>
      <c r="P2337">
        <v>280.20999999999998</v>
      </c>
      <c r="Q2337" t="str">
        <f>"PAGMENOS - LJ 608 (10135)"</f>
        <v>PAGMENOS - LJ 608 (10135)</v>
      </c>
      <c r="R2337" t="str">
        <f t="shared" si="1179"/>
        <v>RECEITAS COM ENTREGAS (303)</v>
      </c>
      <c r="S2337">
        <v>1519</v>
      </c>
      <c r="T2337">
        <v>1131</v>
      </c>
      <c r="U2337" t="s">
        <v>19</v>
      </c>
    </row>
    <row r="2338" spans="1:21">
      <c r="A2338" t="str">
        <f t="shared" si="1174"/>
        <v>09/05/2025</v>
      </c>
      <c r="B2338" t="str">
        <f t="shared" si="1180"/>
        <v>ENTRADA</v>
      </c>
      <c r="C2338" t="str">
        <f t="shared" si="1175"/>
        <v>NFSE</v>
      </c>
      <c r="D2338" t="str">
        <f>"2940"</f>
        <v>2940</v>
      </c>
      <c r="E2338" t="str">
        <f t="shared" si="1176"/>
        <v>COM</v>
      </c>
      <c r="F2338" t="str">
        <f>"PAGMENOS - LJ 657 (10136)"</f>
        <v>PAGMENOS - LJ 657 (10136)</v>
      </c>
      <c r="G2338" t="str">
        <f>"Serv.Prest. 21/04/2025 a 27/04/2025 - RPS: 711 - NFSe: 2940"</f>
        <v>Serv.Prest. 21/04/2025 a 27/04/2025 - RPS: 711 - NFSe: 2940</v>
      </c>
      <c r="H2338" t="str">
        <f t="shared" si="1166"/>
        <v>08/05/2025</v>
      </c>
      <c r="I2338" t="str">
        <f>("29/04/2025")</f>
        <v>29/04/2025</v>
      </c>
      <c r="J2338" t="str">
        <f t="shared" si="1177"/>
        <v>09/05/2025</v>
      </c>
      <c r="K2338">
        <v>596.6</v>
      </c>
      <c r="L2338">
        <v>596.6</v>
      </c>
      <c r="M2338">
        <v>303</v>
      </c>
      <c r="N2338" t="str">
        <f t="shared" si="1178"/>
        <v>RECEITAS COM ENTREGAS</v>
      </c>
      <c r="O2338">
        <v>596.6</v>
      </c>
      <c r="R2338" t="str">
        <f t="shared" si="1179"/>
        <v>RECEITAS COM ENTREGAS (303)</v>
      </c>
      <c r="S2338">
        <v>1520</v>
      </c>
      <c r="T2338">
        <v>1132</v>
      </c>
      <c r="U2338" t="s">
        <v>19</v>
      </c>
    </row>
    <row r="2339" spans="1:21">
      <c r="A2339" t="str">
        <f t="shared" si="1174"/>
        <v>09/05/2025</v>
      </c>
      <c r="B2339" t="str">
        <f t="shared" si="1180"/>
        <v>ENTRADA</v>
      </c>
      <c r="C2339" t="str">
        <f t="shared" si="1175"/>
        <v>NFSE</v>
      </c>
      <c r="D2339" t="str">
        <f>"2940"</f>
        <v>2940</v>
      </c>
      <c r="E2339" t="str">
        <f t="shared" si="1176"/>
        <v>COM</v>
      </c>
      <c r="F2339" t="str">
        <f>"PAGMENOS - LJ 657 (10136)"</f>
        <v>PAGMENOS - LJ 657 (10136)</v>
      </c>
      <c r="G2339" t="str">
        <f>"Serv.Prest. 21/04/2025 a 27/04/2025 - RPS: 711 - NFSe: 2940"</f>
        <v>Serv.Prest. 21/04/2025 a 27/04/2025 - RPS: 711 - NFSe: 2940</v>
      </c>
      <c r="H2339" t="str">
        <f t="shared" si="1166"/>
        <v>08/05/2025</v>
      </c>
      <c r="I2339" t="str">
        <f>("29/04/2025")</f>
        <v>29/04/2025</v>
      </c>
      <c r="J2339" t="str">
        <f t="shared" si="1177"/>
        <v>09/05/2025</v>
      </c>
      <c r="M2339">
        <v>303</v>
      </c>
      <c r="N2339" t="str">
        <f t="shared" si="1178"/>
        <v>RECEITAS COM ENTREGAS</v>
      </c>
      <c r="P2339">
        <v>596.6</v>
      </c>
      <c r="Q2339" t="str">
        <f>"PAGMENOS - LJ 657 (10136)"</f>
        <v>PAGMENOS - LJ 657 (10136)</v>
      </c>
      <c r="R2339" t="str">
        <f t="shared" si="1179"/>
        <v>RECEITAS COM ENTREGAS (303)</v>
      </c>
      <c r="S2339">
        <v>1520</v>
      </c>
      <c r="T2339">
        <v>1132</v>
      </c>
      <c r="U2339" t="s">
        <v>19</v>
      </c>
    </row>
    <row r="2340" spans="1:21">
      <c r="A2340" t="str">
        <f t="shared" si="1174"/>
        <v>09/05/2025</v>
      </c>
      <c r="B2340" t="str">
        <f t="shared" si="1180"/>
        <v>ENTRADA</v>
      </c>
      <c r="C2340" t="str">
        <f t="shared" si="1175"/>
        <v>NFSE</v>
      </c>
      <c r="D2340" t="str">
        <f>"2946"</f>
        <v>2946</v>
      </c>
      <c r="E2340" t="str">
        <f t="shared" si="1176"/>
        <v>COM</v>
      </c>
      <c r="F2340" t="str">
        <f>"DROGARIA POUPA MINAS (DOIS AMIGOS) 5 (10140)"</f>
        <v>DROGARIA POUPA MINAS (DOIS AMIGOS) 5 (10140)</v>
      </c>
      <c r="G2340" t="str">
        <f>"Serv.Prest. 01/04/2025 a 30/04/2025 - RPS: 716 - NFSe: 2946"</f>
        <v>Serv.Prest. 01/04/2025 a 30/04/2025 - RPS: 716 - NFSe: 2946</v>
      </c>
      <c r="H2340" t="str">
        <f t="shared" si="1166"/>
        <v>08/05/2025</v>
      </c>
      <c r="I2340" t="str">
        <f>("02/05/2025")</f>
        <v>02/05/2025</v>
      </c>
      <c r="J2340" t="str">
        <f t="shared" si="1177"/>
        <v>09/05/2025</v>
      </c>
      <c r="K2340">
        <v>542.91</v>
      </c>
      <c r="L2340">
        <v>542.91</v>
      </c>
      <c r="M2340">
        <v>303</v>
      </c>
      <c r="N2340" t="str">
        <f t="shared" si="1178"/>
        <v>RECEITAS COM ENTREGAS</v>
      </c>
      <c r="O2340">
        <v>542.91</v>
      </c>
      <c r="R2340" t="str">
        <f t="shared" si="1179"/>
        <v>RECEITAS COM ENTREGAS (303)</v>
      </c>
      <c r="S2340">
        <v>1521</v>
      </c>
      <c r="T2340">
        <v>1137</v>
      </c>
      <c r="U2340" t="s">
        <v>19</v>
      </c>
    </row>
    <row r="2341" spans="1:21">
      <c r="A2341" t="str">
        <f t="shared" si="1174"/>
        <v>09/05/2025</v>
      </c>
      <c r="B2341" t="str">
        <f t="shared" si="1180"/>
        <v>ENTRADA</v>
      </c>
      <c r="C2341" t="str">
        <f t="shared" si="1175"/>
        <v>NFSE</v>
      </c>
      <c r="D2341" t="str">
        <f>"2946"</f>
        <v>2946</v>
      </c>
      <c r="E2341" t="str">
        <f t="shared" si="1176"/>
        <v>COM</v>
      </c>
      <c r="F2341" t="str">
        <f>"DROGARIA POUPA MINAS (DOIS AMIGOS) 5 (10140)"</f>
        <v>DROGARIA POUPA MINAS (DOIS AMIGOS) 5 (10140)</v>
      </c>
      <c r="G2341" t="str">
        <f>"Serv.Prest. 01/04/2025 a 30/04/2025 - RPS: 716 - NFSe: 2946"</f>
        <v>Serv.Prest. 01/04/2025 a 30/04/2025 - RPS: 716 - NFSe: 2946</v>
      </c>
      <c r="H2341" t="str">
        <f t="shared" si="1166"/>
        <v>08/05/2025</v>
      </c>
      <c r="I2341" t="str">
        <f>("02/05/2025")</f>
        <v>02/05/2025</v>
      </c>
      <c r="J2341" t="str">
        <f t="shared" si="1177"/>
        <v>09/05/2025</v>
      </c>
      <c r="M2341">
        <v>303</v>
      </c>
      <c r="N2341" t="str">
        <f t="shared" si="1178"/>
        <v>RECEITAS COM ENTREGAS</v>
      </c>
      <c r="P2341">
        <v>542.91</v>
      </c>
      <c r="Q2341" t="str">
        <f>"DROGARIA POUPA MINAS (ULTRAMINAS) (10116)"</f>
        <v>DROGARIA POUPA MINAS (ULTRAMINAS) (10116)</v>
      </c>
      <c r="R2341" t="str">
        <f t="shared" si="1179"/>
        <v>RECEITAS COM ENTREGAS (303)</v>
      </c>
      <c r="S2341">
        <v>1521</v>
      </c>
      <c r="T2341">
        <v>1137</v>
      </c>
      <c r="U2341" t="s">
        <v>19</v>
      </c>
    </row>
    <row r="2342" spans="1:21">
      <c r="A2342" t="str">
        <f t="shared" si="1174"/>
        <v>09/05/2025</v>
      </c>
      <c r="B2342" t="str">
        <f t="shared" si="1180"/>
        <v>ENTRADA</v>
      </c>
      <c r="C2342" t="str">
        <f t="shared" si="1175"/>
        <v>NFSE</v>
      </c>
      <c r="D2342" t="str">
        <f>"2954"</f>
        <v>2954</v>
      </c>
      <c r="E2342" t="str">
        <f t="shared" si="1176"/>
        <v>COM</v>
      </c>
      <c r="F2342" t="str">
        <f>"DROGARIA POUPA MINAS (ULTRAMINAS) 3 (10129)"</f>
        <v>DROGARIA POUPA MINAS (ULTRAMINAS) 3 (10129)</v>
      </c>
      <c r="G2342" t="str">
        <f>"Serv.Prest. 28/04/2025 a 04/05/2025 - RPS: 724 - NFSe: 2954"</f>
        <v>Serv.Prest. 28/04/2025 a 04/05/2025 - RPS: 724 - NFSe: 2954</v>
      </c>
      <c r="H2342" t="str">
        <f t="shared" si="1166"/>
        <v>08/05/2025</v>
      </c>
      <c r="I2342" t="str">
        <f>("05/05/2025")</f>
        <v>05/05/2025</v>
      </c>
      <c r="J2342" t="str">
        <f t="shared" si="1177"/>
        <v>09/05/2025</v>
      </c>
      <c r="K2342">
        <v>274.56</v>
      </c>
      <c r="L2342">
        <v>274.56</v>
      </c>
      <c r="M2342">
        <v>303</v>
      </c>
      <c r="N2342" t="str">
        <f t="shared" si="1178"/>
        <v>RECEITAS COM ENTREGAS</v>
      </c>
      <c r="O2342">
        <v>274.56</v>
      </c>
      <c r="R2342" t="str">
        <f t="shared" si="1179"/>
        <v>RECEITAS COM ENTREGAS (303)</v>
      </c>
      <c r="S2342">
        <v>1522</v>
      </c>
      <c r="T2342">
        <v>1146</v>
      </c>
      <c r="U2342" t="s">
        <v>19</v>
      </c>
    </row>
    <row r="2343" spans="1:21">
      <c r="A2343" t="str">
        <f t="shared" si="1174"/>
        <v>09/05/2025</v>
      </c>
      <c r="B2343" t="str">
        <f t="shared" si="1180"/>
        <v>ENTRADA</v>
      </c>
      <c r="C2343" t="str">
        <f t="shared" si="1175"/>
        <v>NFSE</v>
      </c>
      <c r="D2343" t="str">
        <f>"2954"</f>
        <v>2954</v>
      </c>
      <c r="E2343" t="str">
        <f t="shared" si="1176"/>
        <v>COM</v>
      </c>
      <c r="F2343" t="str">
        <f>"DROGARIA POUPA MINAS (ULTRAMINAS) 3 (10129)"</f>
        <v>DROGARIA POUPA MINAS (ULTRAMINAS) 3 (10129)</v>
      </c>
      <c r="G2343" t="str">
        <f>"Serv.Prest. 28/04/2025 a 04/05/2025 - RPS: 724 - NFSe: 2954"</f>
        <v>Serv.Prest. 28/04/2025 a 04/05/2025 - RPS: 724 - NFSe: 2954</v>
      </c>
      <c r="H2343" t="str">
        <f t="shared" si="1166"/>
        <v>08/05/2025</v>
      </c>
      <c r="I2343" t="str">
        <f>("05/05/2025")</f>
        <v>05/05/2025</v>
      </c>
      <c r="J2343" t="str">
        <f t="shared" si="1177"/>
        <v>09/05/2025</v>
      </c>
      <c r="M2343">
        <v>303</v>
      </c>
      <c r="N2343" t="str">
        <f t="shared" si="1178"/>
        <v>RECEITAS COM ENTREGAS</v>
      </c>
      <c r="P2343">
        <v>274.56</v>
      </c>
      <c r="Q2343" t="str">
        <f>"DROGARIA POUPA MINAS (ULTRAMINAS) 3 (10129)"</f>
        <v>DROGARIA POUPA MINAS (ULTRAMINAS) 3 (10129)</v>
      </c>
      <c r="R2343" t="str">
        <f t="shared" si="1179"/>
        <v>RECEITAS COM ENTREGAS (303)</v>
      </c>
      <c r="S2343">
        <v>1522</v>
      </c>
      <c r="T2343">
        <v>1146</v>
      </c>
      <c r="U2343" t="s">
        <v>19</v>
      </c>
    </row>
    <row r="2344" spans="1:21">
      <c r="A2344" t="str">
        <f t="shared" si="1174"/>
        <v>09/05/2025</v>
      </c>
      <c r="B2344" t="str">
        <f t="shared" si="1180"/>
        <v>ENTRADA</v>
      </c>
      <c r="C2344" t="str">
        <f t="shared" si="1175"/>
        <v>NFSE</v>
      </c>
      <c r="D2344" t="str">
        <f>"2955"</f>
        <v>2955</v>
      </c>
      <c r="E2344" t="str">
        <f t="shared" si="1176"/>
        <v>COM</v>
      </c>
      <c r="F2344" t="str">
        <f>"DROGARIA POUPA MINAS (DOIS AMIGOS) 5 (10140)"</f>
        <v>DROGARIA POUPA MINAS (DOIS AMIGOS) 5 (10140)</v>
      </c>
      <c r="G2344" t="str">
        <f>"Serv.Prest. 28/04/2025 a 04/05/2025 - RPS: 725 - NFSe: 2955"</f>
        <v>Serv.Prest. 28/04/2025 a 04/05/2025 - RPS: 725 - NFSe: 2955</v>
      </c>
      <c r="H2344" t="str">
        <f t="shared" si="1166"/>
        <v>08/05/2025</v>
      </c>
      <c r="I2344" t="str">
        <f>("05/05/2025")</f>
        <v>05/05/2025</v>
      </c>
      <c r="J2344" t="str">
        <f t="shared" si="1177"/>
        <v>09/05/2025</v>
      </c>
      <c r="K2344">
        <v>863.83</v>
      </c>
      <c r="L2344">
        <v>863.83</v>
      </c>
      <c r="M2344">
        <v>303</v>
      </c>
      <c r="N2344" t="str">
        <f t="shared" si="1178"/>
        <v>RECEITAS COM ENTREGAS</v>
      </c>
      <c r="O2344">
        <v>863.83</v>
      </c>
      <c r="R2344" t="str">
        <f t="shared" si="1179"/>
        <v>RECEITAS COM ENTREGAS (303)</v>
      </c>
      <c r="S2344">
        <v>1523</v>
      </c>
      <c r="T2344">
        <v>1147</v>
      </c>
      <c r="U2344" t="s">
        <v>19</v>
      </c>
    </row>
    <row r="2345" spans="1:21">
      <c r="A2345" t="str">
        <f t="shared" si="1174"/>
        <v>09/05/2025</v>
      </c>
      <c r="B2345" t="str">
        <f t="shared" si="1180"/>
        <v>ENTRADA</v>
      </c>
      <c r="C2345" t="str">
        <f t="shared" si="1175"/>
        <v>NFSE</v>
      </c>
      <c r="D2345" t="str">
        <f>"2955"</f>
        <v>2955</v>
      </c>
      <c r="E2345" t="str">
        <f t="shared" si="1176"/>
        <v>COM</v>
      </c>
      <c r="F2345" t="str">
        <f>"DROGARIA POUPA MINAS (DOIS AMIGOS) 5 (10140)"</f>
        <v>DROGARIA POUPA MINAS (DOIS AMIGOS) 5 (10140)</v>
      </c>
      <c r="G2345" t="str">
        <f>"Serv.Prest. 28/04/2025 a 04/05/2025 - RPS: 725 - NFSe: 2955"</f>
        <v>Serv.Prest. 28/04/2025 a 04/05/2025 - RPS: 725 - NFSe: 2955</v>
      </c>
      <c r="H2345" t="str">
        <f t="shared" si="1166"/>
        <v>08/05/2025</v>
      </c>
      <c r="I2345" t="str">
        <f>("05/05/2025")</f>
        <v>05/05/2025</v>
      </c>
      <c r="J2345" t="str">
        <f t="shared" si="1177"/>
        <v>09/05/2025</v>
      </c>
      <c r="M2345">
        <v>303</v>
      </c>
      <c r="N2345" t="str">
        <f t="shared" si="1178"/>
        <v>RECEITAS COM ENTREGAS</v>
      </c>
      <c r="P2345">
        <v>863.83</v>
      </c>
      <c r="Q2345" t="str">
        <f>"DROGARIA POUPA MINAS (ULTRAMINAS) (10116)"</f>
        <v>DROGARIA POUPA MINAS (ULTRAMINAS) (10116)</v>
      </c>
      <c r="R2345" t="str">
        <f t="shared" si="1179"/>
        <v>RECEITAS COM ENTREGAS (303)</v>
      </c>
      <c r="S2345">
        <v>1523</v>
      </c>
      <c r="T2345">
        <v>1147</v>
      </c>
      <c r="U2345" t="s">
        <v>19</v>
      </c>
    </row>
    <row r="2346" spans="1:21">
      <c r="A2346" t="str">
        <f t="shared" si="1174"/>
        <v>09/05/2025</v>
      </c>
      <c r="B2346" t="str">
        <f t="shared" si="1180"/>
        <v>ENTRADA</v>
      </c>
      <c r="C2346" t="str">
        <f t="shared" si="1175"/>
        <v>NFSE</v>
      </c>
      <c r="D2346" t="str">
        <f>"2966"</f>
        <v>2966</v>
      </c>
      <c r="E2346" t="str">
        <f t="shared" si="1176"/>
        <v>COM</v>
      </c>
      <c r="F2346" t="str">
        <f>"DROGARIA MORENO LTDA (10171)"</f>
        <v>DROGARIA MORENO LTDA (10171)</v>
      </c>
      <c r="G2346" t="str">
        <f>"Serv.Prest. 28/04/2025 a 04/05/2025 - RPS: 736 - NFSe: 2966"</f>
        <v>Serv.Prest. 28/04/2025 a 04/05/2025 - RPS: 736 - NFSe: 2966</v>
      </c>
      <c r="H2346" t="str">
        <f t="shared" si="1166"/>
        <v>08/05/2025</v>
      </c>
      <c r="I2346" t="str">
        <f>("07/05/2025")</f>
        <v>07/05/2025</v>
      </c>
      <c r="J2346" t="str">
        <f t="shared" si="1177"/>
        <v>09/05/2025</v>
      </c>
      <c r="K2346">
        <v>387.36</v>
      </c>
      <c r="L2346">
        <v>387.36</v>
      </c>
      <c r="M2346">
        <v>303</v>
      </c>
      <c r="N2346" t="str">
        <f t="shared" si="1178"/>
        <v>RECEITAS COM ENTREGAS</v>
      </c>
      <c r="O2346">
        <v>387.36</v>
      </c>
      <c r="R2346" t="str">
        <f t="shared" si="1179"/>
        <v>RECEITAS COM ENTREGAS (303)</v>
      </c>
      <c r="S2346">
        <v>1524</v>
      </c>
      <c r="T2346">
        <v>1158</v>
      </c>
      <c r="U2346" t="s">
        <v>19</v>
      </c>
    </row>
    <row r="2347" spans="1:21">
      <c r="A2347" t="str">
        <f t="shared" si="1174"/>
        <v>09/05/2025</v>
      </c>
      <c r="B2347" t="str">
        <f t="shared" si="1180"/>
        <v>ENTRADA</v>
      </c>
      <c r="C2347" t="str">
        <f t="shared" si="1175"/>
        <v>NFSE</v>
      </c>
      <c r="D2347" t="str">
        <f>"2966"</f>
        <v>2966</v>
      </c>
      <c r="E2347" t="str">
        <f t="shared" si="1176"/>
        <v>COM</v>
      </c>
      <c r="F2347" t="str">
        <f>"DROGARIA MORENO LTDA (10171)"</f>
        <v>DROGARIA MORENO LTDA (10171)</v>
      </c>
      <c r="G2347" t="str">
        <f>"Serv.Prest. 28/04/2025 a 04/05/2025 - RPS: 736 - NFSe: 2966"</f>
        <v>Serv.Prest. 28/04/2025 a 04/05/2025 - RPS: 736 - NFSe: 2966</v>
      </c>
      <c r="H2347" t="str">
        <f t="shared" si="1166"/>
        <v>08/05/2025</v>
      </c>
      <c r="I2347" t="str">
        <f>("07/05/2025")</f>
        <v>07/05/2025</v>
      </c>
      <c r="J2347" t="str">
        <f t="shared" si="1177"/>
        <v>09/05/2025</v>
      </c>
      <c r="M2347">
        <v>303</v>
      </c>
      <c r="N2347" t="str">
        <f t="shared" si="1178"/>
        <v>RECEITAS COM ENTREGAS</v>
      </c>
      <c r="P2347">
        <v>387.36</v>
      </c>
      <c r="Q2347" t="str">
        <f>"DROGARIA MORENO LTDA (10171)"</f>
        <v>DROGARIA MORENO LTDA (10171)</v>
      </c>
      <c r="R2347" t="str">
        <f t="shared" si="1179"/>
        <v>RECEITAS COM ENTREGAS (303)</v>
      </c>
      <c r="S2347">
        <v>1524</v>
      </c>
      <c r="T2347">
        <v>1158</v>
      </c>
      <c r="U2347" t="s">
        <v>19</v>
      </c>
    </row>
    <row r="2348" spans="1:21">
      <c r="A2348" t="str">
        <f t="shared" si="1174"/>
        <v>09/05/2025</v>
      </c>
      <c r="B2348" t="str">
        <f t="shared" si="1180"/>
        <v>ENTRADA</v>
      </c>
      <c r="C2348" t="str">
        <f t="shared" si="1175"/>
        <v>NFSE</v>
      </c>
      <c r="D2348" t="str">
        <f>"2969"</f>
        <v>2969</v>
      </c>
      <c r="E2348" t="str">
        <f t="shared" si="1176"/>
        <v>COM</v>
      </c>
      <c r="F2348" t="str">
        <f>"DROGA MONICA LJ 3 (10152)"</f>
        <v>DROGA MONICA LJ 3 (10152)</v>
      </c>
      <c r="G2348" t="str">
        <f>"Serv.Prest. 28/04/2025 a 04/05/2025 - RPS: 739 - NFSe: 2969"</f>
        <v>Serv.Prest. 28/04/2025 a 04/05/2025 - RPS: 739 - NFSe: 2969</v>
      </c>
      <c r="H2348" t="str">
        <f t="shared" si="1166"/>
        <v>08/05/2025</v>
      </c>
      <c r="I2348" t="str">
        <f>("07/05/2025")</f>
        <v>07/05/2025</v>
      </c>
      <c r="J2348" t="str">
        <f t="shared" si="1177"/>
        <v>09/05/2025</v>
      </c>
      <c r="K2348">
        <v>206.4</v>
      </c>
      <c r="L2348">
        <v>206.4</v>
      </c>
      <c r="M2348">
        <v>303</v>
      </c>
      <c r="N2348" t="str">
        <f t="shared" si="1178"/>
        <v>RECEITAS COM ENTREGAS</v>
      </c>
      <c r="O2348">
        <v>206.4</v>
      </c>
      <c r="R2348" t="str">
        <f t="shared" si="1179"/>
        <v>RECEITAS COM ENTREGAS (303)</v>
      </c>
      <c r="S2348">
        <v>1525</v>
      </c>
      <c r="T2348">
        <v>1161</v>
      </c>
      <c r="U2348" t="s">
        <v>19</v>
      </c>
    </row>
    <row r="2349" spans="1:21">
      <c r="A2349" t="str">
        <f t="shared" si="1174"/>
        <v>09/05/2025</v>
      </c>
      <c r="B2349" t="str">
        <f t="shared" si="1180"/>
        <v>ENTRADA</v>
      </c>
      <c r="C2349" t="str">
        <f t="shared" si="1175"/>
        <v>NFSE</v>
      </c>
      <c r="D2349" t="str">
        <f>"2969"</f>
        <v>2969</v>
      </c>
      <c r="E2349" t="str">
        <f t="shared" si="1176"/>
        <v>COM</v>
      </c>
      <c r="F2349" t="str">
        <f>"DROGA MONICA LJ 3 (10152)"</f>
        <v>DROGA MONICA LJ 3 (10152)</v>
      </c>
      <c r="G2349" t="str">
        <f>"Serv.Prest. 28/04/2025 a 04/05/2025 - RPS: 739 - NFSe: 2969"</f>
        <v>Serv.Prest. 28/04/2025 a 04/05/2025 - RPS: 739 - NFSe: 2969</v>
      </c>
      <c r="H2349" t="str">
        <f t="shared" si="1166"/>
        <v>08/05/2025</v>
      </c>
      <c r="I2349" t="str">
        <f>("07/05/2025")</f>
        <v>07/05/2025</v>
      </c>
      <c r="J2349" t="str">
        <f t="shared" si="1177"/>
        <v>09/05/2025</v>
      </c>
      <c r="M2349">
        <v>303</v>
      </c>
      <c r="N2349" t="str">
        <f t="shared" si="1178"/>
        <v>RECEITAS COM ENTREGAS</v>
      </c>
      <c r="P2349">
        <v>206.4</v>
      </c>
      <c r="Q2349" t="str">
        <f>"DROGA MONICA LJ 3 (10152)"</f>
        <v>DROGA MONICA LJ 3 (10152)</v>
      </c>
      <c r="R2349" t="str">
        <f t="shared" si="1179"/>
        <v>RECEITAS COM ENTREGAS (303)</v>
      </c>
      <c r="S2349">
        <v>1525</v>
      </c>
      <c r="T2349">
        <v>1161</v>
      </c>
      <c r="U2349" t="s">
        <v>19</v>
      </c>
    </row>
    <row r="2350" spans="1:21">
      <c r="A2350" t="str">
        <f t="shared" si="1174"/>
        <v>09/05/2025</v>
      </c>
      <c r="B2350" t="str">
        <f t="shared" ref="B2350:B2364" si="1181">"SAÍDA"</f>
        <v>SAÍDA</v>
      </c>
      <c r="C2350" t="str">
        <f>"BOLETO"</f>
        <v>BOLETO</v>
      </c>
      <c r="D2350" t="str">
        <f>"0901"</f>
        <v>0901</v>
      </c>
      <c r="E2350" t="str">
        <f t="shared" si="1176"/>
        <v>COM</v>
      </c>
      <c r="F2350" t="str">
        <f>"CORA SOCIEDADE DE CREDITO, FINANCIAMENTO E INVESTIMENTO (20035)"</f>
        <v>CORA SOCIEDADE DE CREDITO, FINANCIAMENTO E INVESTIMENTO (20035)</v>
      </c>
      <c r="G2350" t="str">
        <f>"DESPESAS COM TARIFAS BANCARIAS"</f>
        <v>DESPESAS COM TARIFAS BANCARIAS</v>
      </c>
      <c r="H2350" t="str">
        <f t="shared" ref="H2350:H2358" si="1182">("09/05/2025")</f>
        <v>09/05/2025</v>
      </c>
      <c r="I2350" t="str">
        <f>("01/01/2025")</f>
        <v>01/01/2025</v>
      </c>
      <c r="J2350" t="str">
        <f t="shared" si="1177"/>
        <v>09/05/2025</v>
      </c>
      <c r="K2350">
        <v>44.9</v>
      </c>
      <c r="L2350">
        <v>44.9</v>
      </c>
      <c r="M2350">
        <v>401</v>
      </c>
      <c r="N2350" t="str">
        <f t="shared" ref="N2350:N2358" si="1183">"IOF/JUROS/DESP.FINANCEIRA"</f>
        <v>IOF/JUROS/DESP.FINANCEIRA</v>
      </c>
      <c r="O2350">
        <v>44.9</v>
      </c>
      <c r="R2350" t="str">
        <f t="shared" ref="R2350:R2364" si="1184">"BANCO CORA (102)"</f>
        <v>BANCO CORA (102)</v>
      </c>
      <c r="S2350">
        <v>1621</v>
      </c>
      <c r="T2350">
        <v>747</v>
      </c>
      <c r="U2350" t="s">
        <v>19</v>
      </c>
    </row>
    <row r="2351" spans="1:21">
      <c r="A2351" t="str">
        <f t="shared" si="1174"/>
        <v>09/05/2025</v>
      </c>
      <c r="B2351" t="str">
        <f t="shared" si="1181"/>
        <v>SAÍDA</v>
      </c>
      <c r="C2351" t="str">
        <f>"BOLETO"</f>
        <v>BOLETO</v>
      </c>
      <c r="D2351" t="str">
        <f>"0901"</f>
        <v>0901</v>
      </c>
      <c r="E2351" t="str">
        <f t="shared" si="1176"/>
        <v>COM</v>
      </c>
      <c r="F2351" t="str">
        <f>"CORA SOCIEDADE DE CREDITO, FINANCIAMENTO E INVESTIMENTO (20035)"</f>
        <v>CORA SOCIEDADE DE CREDITO, FINANCIAMENTO E INVESTIMENTO (20035)</v>
      </c>
      <c r="G2351" t="str">
        <f>"DESPESAS COM TARIFAS BANCARIAS"</f>
        <v>DESPESAS COM TARIFAS BANCARIAS</v>
      </c>
      <c r="H2351" t="str">
        <f t="shared" si="1182"/>
        <v>09/05/2025</v>
      </c>
      <c r="I2351" t="str">
        <f>("01/01/2025")</f>
        <v>01/01/2025</v>
      </c>
      <c r="J2351" t="str">
        <f t="shared" si="1177"/>
        <v>09/05/2025</v>
      </c>
      <c r="M2351">
        <v>401</v>
      </c>
      <c r="N2351" t="str">
        <f t="shared" si="1183"/>
        <v>IOF/JUROS/DESP.FINANCEIRA</v>
      </c>
      <c r="P2351">
        <v>44.9</v>
      </c>
      <c r="Q2351" t="str">
        <f>"CORA SOCIEDADE DE CREDITO, FINANCIAMENTO E INVESTIMENTO (20035)"</f>
        <v>CORA SOCIEDADE DE CREDITO, FINANCIAMENTO E INVESTIMENTO (20035)</v>
      </c>
      <c r="R2351" t="str">
        <f t="shared" si="1184"/>
        <v>BANCO CORA (102)</v>
      </c>
      <c r="S2351">
        <v>1621</v>
      </c>
      <c r="T2351">
        <v>747</v>
      </c>
      <c r="U2351" t="s">
        <v>19</v>
      </c>
    </row>
    <row r="2352" spans="1:21">
      <c r="A2352" t="str">
        <f t="shared" si="1174"/>
        <v>09/05/2025</v>
      </c>
      <c r="B2352" t="str">
        <f t="shared" si="1181"/>
        <v>SAÍDA</v>
      </c>
      <c r="C2352" t="str">
        <f t="shared" ref="C2352:C2358" si="1185">"JUROS"</f>
        <v>JUROS</v>
      </c>
      <c r="D2352" t="str">
        <f>""</f>
        <v/>
      </c>
      <c r="E2352" t="str">
        <f t="shared" ref="E2352:E2358" si="1186">"CXA"</f>
        <v>CXA</v>
      </c>
      <c r="F2352" t="str">
        <f>""</f>
        <v/>
      </c>
      <c r="G2352" t="str">
        <f t="shared" ref="G2352:G2358" si="1187">"TAXA BOLETO COMPENSADO"</f>
        <v>TAXA BOLETO COMPENSADO</v>
      </c>
      <c r="H2352" t="str">
        <f t="shared" si="1182"/>
        <v>09/05/2025</v>
      </c>
      <c r="I2352" t="str">
        <f t="shared" ref="I2352:I2358" si="1188">("09/05/2025")</f>
        <v>09/05/2025</v>
      </c>
      <c r="J2352" t="str">
        <f t="shared" si="1177"/>
        <v>09/05/2025</v>
      </c>
      <c r="K2352">
        <v>1.7</v>
      </c>
      <c r="L2352">
        <v>1.7</v>
      </c>
      <c r="M2352">
        <v>401</v>
      </c>
      <c r="N2352" t="str">
        <f t="shared" si="1183"/>
        <v>IOF/JUROS/DESP.FINANCEIRA</v>
      </c>
      <c r="O2352">
        <v>1.7</v>
      </c>
      <c r="R2352" t="str">
        <f t="shared" si="1184"/>
        <v>BANCO CORA (102)</v>
      </c>
      <c r="S2352">
        <v>1654</v>
      </c>
      <c r="T2352">
        <v>0</v>
      </c>
      <c r="U2352" t="s">
        <v>20</v>
      </c>
    </row>
    <row r="2353" spans="1:21">
      <c r="A2353" t="str">
        <f t="shared" si="1174"/>
        <v>09/05/2025</v>
      </c>
      <c r="B2353" t="str">
        <f t="shared" si="1181"/>
        <v>SAÍDA</v>
      </c>
      <c r="C2353" t="str">
        <f t="shared" si="1185"/>
        <v>JUROS</v>
      </c>
      <c r="D2353" t="str">
        <f>""</f>
        <v/>
      </c>
      <c r="E2353" t="str">
        <f t="shared" si="1186"/>
        <v>CXA</v>
      </c>
      <c r="F2353" t="str">
        <f>""</f>
        <v/>
      </c>
      <c r="G2353" t="str">
        <f t="shared" si="1187"/>
        <v>TAXA BOLETO COMPENSADO</v>
      </c>
      <c r="H2353" t="str">
        <f t="shared" si="1182"/>
        <v>09/05/2025</v>
      </c>
      <c r="I2353" t="str">
        <f t="shared" si="1188"/>
        <v>09/05/2025</v>
      </c>
      <c r="J2353" t="str">
        <f t="shared" si="1177"/>
        <v>09/05/2025</v>
      </c>
      <c r="K2353">
        <v>1.7</v>
      </c>
      <c r="L2353">
        <v>1.7</v>
      </c>
      <c r="M2353">
        <v>401</v>
      </c>
      <c r="N2353" t="str">
        <f t="shared" si="1183"/>
        <v>IOF/JUROS/DESP.FINANCEIRA</v>
      </c>
      <c r="O2353">
        <v>1.7</v>
      </c>
      <c r="R2353" t="str">
        <f t="shared" si="1184"/>
        <v>BANCO CORA (102)</v>
      </c>
      <c r="S2353">
        <v>1655</v>
      </c>
      <c r="T2353">
        <v>0</v>
      </c>
      <c r="U2353" t="s">
        <v>20</v>
      </c>
    </row>
    <row r="2354" spans="1:21">
      <c r="A2354" t="str">
        <f t="shared" si="1174"/>
        <v>09/05/2025</v>
      </c>
      <c r="B2354" t="str">
        <f t="shared" si="1181"/>
        <v>SAÍDA</v>
      </c>
      <c r="C2354" t="str">
        <f t="shared" si="1185"/>
        <v>JUROS</v>
      </c>
      <c r="D2354" t="str">
        <f>""</f>
        <v/>
      </c>
      <c r="E2354" t="str">
        <f t="shared" si="1186"/>
        <v>CXA</v>
      </c>
      <c r="F2354" t="str">
        <f>""</f>
        <v/>
      </c>
      <c r="G2354" t="str">
        <f t="shared" si="1187"/>
        <v>TAXA BOLETO COMPENSADO</v>
      </c>
      <c r="H2354" t="str">
        <f t="shared" si="1182"/>
        <v>09/05/2025</v>
      </c>
      <c r="I2354" t="str">
        <f t="shared" si="1188"/>
        <v>09/05/2025</v>
      </c>
      <c r="J2354" t="str">
        <f t="shared" si="1177"/>
        <v>09/05/2025</v>
      </c>
      <c r="K2354">
        <v>1.7</v>
      </c>
      <c r="L2354">
        <v>1.7</v>
      </c>
      <c r="M2354">
        <v>401</v>
      </c>
      <c r="N2354" t="str">
        <f t="shared" si="1183"/>
        <v>IOF/JUROS/DESP.FINANCEIRA</v>
      </c>
      <c r="O2354">
        <v>1.7</v>
      </c>
      <c r="R2354" t="str">
        <f t="shared" si="1184"/>
        <v>BANCO CORA (102)</v>
      </c>
      <c r="S2354">
        <v>1656</v>
      </c>
      <c r="T2354">
        <v>0</v>
      </c>
      <c r="U2354" t="s">
        <v>20</v>
      </c>
    </row>
    <row r="2355" spans="1:21">
      <c r="A2355" t="str">
        <f t="shared" si="1174"/>
        <v>09/05/2025</v>
      </c>
      <c r="B2355" t="str">
        <f t="shared" si="1181"/>
        <v>SAÍDA</v>
      </c>
      <c r="C2355" t="str">
        <f t="shared" si="1185"/>
        <v>JUROS</v>
      </c>
      <c r="D2355" t="str">
        <f>""</f>
        <v/>
      </c>
      <c r="E2355" t="str">
        <f t="shared" si="1186"/>
        <v>CXA</v>
      </c>
      <c r="F2355" t="str">
        <f>""</f>
        <v/>
      </c>
      <c r="G2355" t="str">
        <f t="shared" si="1187"/>
        <v>TAXA BOLETO COMPENSADO</v>
      </c>
      <c r="H2355" t="str">
        <f t="shared" si="1182"/>
        <v>09/05/2025</v>
      </c>
      <c r="I2355" t="str">
        <f t="shared" si="1188"/>
        <v>09/05/2025</v>
      </c>
      <c r="J2355" t="str">
        <f t="shared" si="1177"/>
        <v>09/05/2025</v>
      </c>
      <c r="K2355">
        <v>1.7</v>
      </c>
      <c r="L2355">
        <v>1.7</v>
      </c>
      <c r="M2355">
        <v>401</v>
      </c>
      <c r="N2355" t="str">
        <f t="shared" si="1183"/>
        <v>IOF/JUROS/DESP.FINANCEIRA</v>
      </c>
      <c r="O2355">
        <v>1.7</v>
      </c>
      <c r="R2355" t="str">
        <f t="shared" si="1184"/>
        <v>BANCO CORA (102)</v>
      </c>
      <c r="S2355">
        <v>1657</v>
      </c>
      <c r="T2355">
        <v>0</v>
      </c>
      <c r="U2355" t="s">
        <v>20</v>
      </c>
    </row>
    <row r="2356" spans="1:21">
      <c r="A2356" t="str">
        <f t="shared" si="1174"/>
        <v>09/05/2025</v>
      </c>
      <c r="B2356" t="str">
        <f t="shared" si="1181"/>
        <v>SAÍDA</v>
      </c>
      <c r="C2356" t="str">
        <f t="shared" si="1185"/>
        <v>JUROS</v>
      </c>
      <c r="D2356" t="str">
        <f>""</f>
        <v/>
      </c>
      <c r="E2356" t="str">
        <f t="shared" si="1186"/>
        <v>CXA</v>
      </c>
      <c r="F2356" t="str">
        <f>""</f>
        <v/>
      </c>
      <c r="G2356" t="str">
        <f t="shared" si="1187"/>
        <v>TAXA BOLETO COMPENSADO</v>
      </c>
      <c r="H2356" t="str">
        <f t="shared" si="1182"/>
        <v>09/05/2025</v>
      </c>
      <c r="I2356" t="str">
        <f t="shared" si="1188"/>
        <v>09/05/2025</v>
      </c>
      <c r="J2356" t="str">
        <f t="shared" si="1177"/>
        <v>09/05/2025</v>
      </c>
      <c r="K2356">
        <v>1.7</v>
      </c>
      <c r="L2356">
        <v>1.7</v>
      </c>
      <c r="M2356">
        <v>401</v>
      </c>
      <c r="N2356" t="str">
        <f t="shared" si="1183"/>
        <v>IOF/JUROS/DESP.FINANCEIRA</v>
      </c>
      <c r="O2356">
        <v>1.7</v>
      </c>
      <c r="R2356" t="str">
        <f t="shared" si="1184"/>
        <v>BANCO CORA (102)</v>
      </c>
      <c r="S2356">
        <v>1658</v>
      </c>
      <c r="T2356">
        <v>0</v>
      </c>
      <c r="U2356" t="s">
        <v>20</v>
      </c>
    </row>
    <row r="2357" spans="1:21">
      <c r="A2357" t="str">
        <f t="shared" si="1174"/>
        <v>09/05/2025</v>
      </c>
      <c r="B2357" t="str">
        <f t="shared" si="1181"/>
        <v>SAÍDA</v>
      </c>
      <c r="C2357" t="str">
        <f t="shared" si="1185"/>
        <v>JUROS</v>
      </c>
      <c r="D2357" t="str">
        <f>""</f>
        <v/>
      </c>
      <c r="E2357" t="str">
        <f t="shared" si="1186"/>
        <v>CXA</v>
      </c>
      <c r="F2357" t="str">
        <f>""</f>
        <v/>
      </c>
      <c r="G2357" t="str">
        <f t="shared" si="1187"/>
        <v>TAXA BOLETO COMPENSADO</v>
      </c>
      <c r="H2357" t="str">
        <f t="shared" si="1182"/>
        <v>09/05/2025</v>
      </c>
      <c r="I2357" t="str">
        <f t="shared" si="1188"/>
        <v>09/05/2025</v>
      </c>
      <c r="J2357" t="str">
        <f t="shared" si="1177"/>
        <v>09/05/2025</v>
      </c>
      <c r="K2357">
        <v>1.7</v>
      </c>
      <c r="L2357">
        <v>1.7</v>
      </c>
      <c r="M2357">
        <v>401</v>
      </c>
      <c r="N2357" t="str">
        <f t="shared" si="1183"/>
        <v>IOF/JUROS/DESP.FINANCEIRA</v>
      </c>
      <c r="O2357">
        <v>1.7</v>
      </c>
      <c r="R2357" t="str">
        <f t="shared" si="1184"/>
        <v>BANCO CORA (102)</v>
      </c>
      <c r="S2357">
        <v>1659</v>
      </c>
      <c r="T2357">
        <v>0</v>
      </c>
      <c r="U2357" t="s">
        <v>20</v>
      </c>
    </row>
    <row r="2358" spans="1:21">
      <c r="A2358" t="str">
        <f t="shared" si="1174"/>
        <v>09/05/2025</v>
      </c>
      <c r="B2358" t="str">
        <f t="shared" si="1181"/>
        <v>SAÍDA</v>
      </c>
      <c r="C2358" t="str">
        <f t="shared" si="1185"/>
        <v>JUROS</v>
      </c>
      <c r="D2358" t="str">
        <f>""</f>
        <v/>
      </c>
      <c r="E2358" t="str">
        <f t="shared" si="1186"/>
        <v>CXA</v>
      </c>
      <c r="F2358" t="str">
        <f>""</f>
        <v/>
      </c>
      <c r="G2358" t="str">
        <f t="shared" si="1187"/>
        <v>TAXA BOLETO COMPENSADO</v>
      </c>
      <c r="H2358" t="str">
        <f t="shared" si="1182"/>
        <v>09/05/2025</v>
      </c>
      <c r="I2358" t="str">
        <f t="shared" si="1188"/>
        <v>09/05/2025</v>
      </c>
      <c r="J2358" t="str">
        <f t="shared" si="1177"/>
        <v>09/05/2025</v>
      </c>
      <c r="K2358">
        <v>1.7</v>
      </c>
      <c r="L2358">
        <v>1.7</v>
      </c>
      <c r="M2358">
        <v>401</v>
      </c>
      <c r="N2358" t="str">
        <f t="shared" si="1183"/>
        <v>IOF/JUROS/DESP.FINANCEIRA</v>
      </c>
      <c r="O2358">
        <v>1.7</v>
      </c>
      <c r="R2358" t="str">
        <f t="shared" si="1184"/>
        <v>BANCO CORA (102)</v>
      </c>
      <c r="S2358">
        <v>1660</v>
      </c>
      <c r="T2358">
        <v>0</v>
      </c>
      <c r="U2358" t="s">
        <v>20</v>
      </c>
    </row>
    <row r="2359" spans="1:21">
      <c r="A2359" t="str">
        <f>("12/05/2025")</f>
        <v>12/05/2025</v>
      </c>
      <c r="B2359" t="str">
        <f t="shared" si="1181"/>
        <v>SAÍDA</v>
      </c>
      <c r="C2359" t="str">
        <f>"BOLETO"</f>
        <v>BOLETO</v>
      </c>
      <c r="D2359" t="str">
        <f>"10644316"</f>
        <v>10644316</v>
      </c>
      <c r="E2359" t="str">
        <f t="shared" ref="E2359:E2390" si="1189">"COM"</f>
        <v>COM</v>
      </c>
      <c r="F2359" t="str">
        <f>"UNIODONTO REGIONAL COOPERATIVA ODONTOLOGICA LTDA. (20024)"</f>
        <v>UNIODONTO REGIONAL COOPERATIVA ODONTOLOGICA LTDA. (20024)</v>
      </c>
      <c r="G2359" t="str">
        <f>"PLANO ODONTOLOGICO 04/2025"</f>
        <v>PLANO ODONTOLOGICO 04/2025</v>
      </c>
      <c r="H2359" t="str">
        <f>("10/05/2025")</f>
        <v>10/05/2025</v>
      </c>
      <c r="I2359" t="str">
        <f>("16/04/2025")</f>
        <v>16/04/2025</v>
      </c>
      <c r="J2359" t="str">
        <f>("12/05/2025")</f>
        <v>12/05/2025</v>
      </c>
      <c r="K2359">
        <v>1696.8</v>
      </c>
      <c r="L2359">
        <v>1696.8</v>
      </c>
      <c r="M2359">
        <v>192</v>
      </c>
      <c r="N2359" t="str">
        <f>"PLANOS E SEGUROS"</f>
        <v>PLANOS E SEGUROS</v>
      </c>
      <c r="O2359">
        <v>1696.8</v>
      </c>
      <c r="R2359" t="str">
        <f t="shared" si="1184"/>
        <v>BANCO CORA (102)</v>
      </c>
      <c r="S2359">
        <v>1620</v>
      </c>
      <c r="T2359">
        <v>839</v>
      </c>
      <c r="U2359" t="s">
        <v>19</v>
      </c>
    </row>
    <row r="2360" spans="1:21">
      <c r="A2360" t="str">
        <f>("12/05/2025")</f>
        <v>12/05/2025</v>
      </c>
      <c r="B2360" t="str">
        <f t="shared" si="1181"/>
        <v>SAÍDA</v>
      </c>
      <c r="C2360" t="str">
        <f>"BOLETO"</f>
        <v>BOLETO</v>
      </c>
      <c r="D2360" t="str">
        <f>"10644316"</f>
        <v>10644316</v>
      </c>
      <c r="E2360" t="str">
        <f t="shared" si="1189"/>
        <v>COM</v>
      </c>
      <c r="F2360" t="str">
        <f>"UNIODONTO REGIONAL COOPERATIVA ODONTOLOGICA LTDA. (20024)"</f>
        <v>UNIODONTO REGIONAL COOPERATIVA ODONTOLOGICA LTDA. (20024)</v>
      </c>
      <c r="G2360" t="str">
        <f>"PLANO ODONTOLOGICO 04/2025"</f>
        <v>PLANO ODONTOLOGICO 04/2025</v>
      </c>
      <c r="H2360" t="str">
        <f>("10/05/2025")</f>
        <v>10/05/2025</v>
      </c>
      <c r="I2360" t="str">
        <f>("16/04/2025")</f>
        <v>16/04/2025</v>
      </c>
      <c r="J2360" t="str">
        <f>("12/05/2025")</f>
        <v>12/05/2025</v>
      </c>
      <c r="M2360">
        <v>192</v>
      </c>
      <c r="N2360" t="str">
        <f>"PLANOS E SEGUROS"</f>
        <v>PLANOS E SEGUROS</v>
      </c>
      <c r="P2360">
        <v>1696.8</v>
      </c>
      <c r="Q2360" t="str">
        <f>"UNIODONTO REGIONAL COOPERATIVA ODONTOLOGICA LTDA. (20024)"</f>
        <v>UNIODONTO REGIONAL COOPERATIVA ODONTOLOGICA LTDA. (20024)</v>
      </c>
      <c r="R2360" t="str">
        <f t="shared" si="1184"/>
        <v>BANCO CORA (102)</v>
      </c>
      <c r="S2360">
        <v>1620</v>
      </c>
      <c r="T2360">
        <v>839</v>
      </c>
      <c r="U2360" t="s">
        <v>19</v>
      </c>
    </row>
    <row r="2361" spans="1:21">
      <c r="A2361" t="str">
        <f>("12/05/2025")</f>
        <v>12/05/2025</v>
      </c>
      <c r="B2361" t="str">
        <f t="shared" si="1181"/>
        <v>SAÍDA</v>
      </c>
      <c r="C2361" t="str">
        <f>"PIX"</f>
        <v>PIX</v>
      </c>
      <c r="D2361" t="str">
        <f>"1205251000"</f>
        <v>1205251000</v>
      </c>
      <c r="E2361" t="str">
        <f t="shared" si="1189"/>
        <v>COM</v>
      </c>
      <c r="F2361" t="str">
        <f>"CONTA SIMPLES SOLUCOES DE PAGAMENTOS LTDA (20019)"</f>
        <v>CONTA SIMPLES SOLUCOES DE PAGAMENTOS LTDA (20019)</v>
      </c>
      <c r="G2361" t="str">
        <f>"MARKETING REDES SOCIAIS"</f>
        <v>MARKETING REDES SOCIAIS</v>
      </c>
      <c r="H2361" t="str">
        <f>("12/05/2025")</f>
        <v>12/05/2025</v>
      </c>
      <c r="I2361" t="str">
        <f>("12/05/2025")</f>
        <v>12/05/2025</v>
      </c>
      <c r="J2361" t="str">
        <f>("12/05/2025")</f>
        <v>12/05/2025</v>
      </c>
      <c r="K2361">
        <v>1000</v>
      </c>
      <c r="L2361">
        <v>1000</v>
      </c>
      <c r="M2361">
        <v>127</v>
      </c>
      <c r="N2361" t="str">
        <f>"PUBLICIDADE E PROPAGANDAS"</f>
        <v>PUBLICIDADE E PROPAGANDAS</v>
      </c>
      <c r="O2361">
        <v>1000</v>
      </c>
      <c r="R2361" t="str">
        <f t="shared" si="1184"/>
        <v>BANCO CORA (102)</v>
      </c>
      <c r="S2361">
        <v>1629</v>
      </c>
      <c r="T2361">
        <v>1291</v>
      </c>
      <c r="U2361" t="s">
        <v>19</v>
      </c>
    </row>
    <row r="2362" spans="1:21">
      <c r="A2362" t="str">
        <f>("12/05/2025")</f>
        <v>12/05/2025</v>
      </c>
      <c r="B2362" t="str">
        <f t="shared" si="1181"/>
        <v>SAÍDA</v>
      </c>
      <c r="C2362" t="str">
        <f>"PIX"</f>
        <v>PIX</v>
      </c>
      <c r="D2362" t="str">
        <f>"1205251000"</f>
        <v>1205251000</v>
      </c>
      <c r="E2362" t="str">
        <f t="shared" si="1189"/>
        <v>COM</v>
      </c>
      <c r="F2362" t="str">
        <f>"CONTA SIMPLES SOLUCOES DE PAGAMENTOS LTDA (20019)"</f>
        <v>CONTA SIMPLES SOLUCOES DE PAGAMENTOS LTDA (20019)</v>
      </c>
      <c r="G2362" t="str">
        <f>"MARKETING REDES SOCIAIS"</f>
        <v>MARKETING REDES SOCIAIS</v>
      </c>
      <c r="H2362" t="str">
        <f>("12/05/2025")</f>
        <v>12/05/2025</v>
      </c>
      <c r="I2362" t="str">
        <f>("12/05/2025")</f>
        <v>12/05/2025</v>
      </c>
      <c r="J2362" t="str">
        <f>("12/05/2025")</f>
        <v>12/05/2025</v>
      </c>
      <c r="M2362">
        <v>127</v>
      </c>
      <c r="N2362" t="str">
        <f>"PUBLICIDADE E PROPAGANDAS"</f>
        <v>PUBLICIDADE E PROPAGANDAS</v>
      </c>
      <c r="P2362">
        <v>1000</v>
      </c>
      <c r="Q2362" t="str">
        <f>"CONTA SIMPLES SOLUCOES DE PAGAMENTOS LTDA (20019)"</f>
        <v>CONTA SIMPLES SOLUCOES DE PAGAMENTOS LTDA (20019)</v>
      </c>
      <c r="R2362" t="str">
        <f t="shared" si="1184"/>
        <v>BANCO CORA (102)</v>
      </c>
      <c r="S2362">
        <v>1629</v>
      </c>
      <c r="T2362">
        <v>1291</v>
      </c>
      <c r="U2362" t="s">
        <v>19</v>
      </c>
    </row>
    <row r="2363" spans="1:21">
      <c r="A2363" t="str">
        <f>("13/05/2025")</f>
        <v>13/05/2025</v>
      </c>
      <c r="B2363" t="str">
        <f t="shared" si="1181"/>
        <v>SAÍDA</v>
      </c>
      <c r="C2363" t="str">
        <f>"PIX"</f>
        <v>PIX</v>
      </c>
      <c r="D2363" t="str">
        <f>"130525"</f>
        <v>130525</v>
      </c>
      <c r="E2363" t="str">
        <f t="shared" si="1189"/>
        <v>COM</v>
      </c>
      <c r="F2363" t="str">
        <f>"EDSON BARROS DOS SANTOS 10882852604 (20025)"</f>
        <v>EDSON BARROS DOS SANTOS 10882852604 (20025)</v>
      </c>
      <c r="G2363" t="str">
        <f>"DISTRIBUICAO DE LUCROS ANTECIPADA"</f>
        <v>DISTRIBUICAO DE LUCROS ANTECIPADA</v>
      </c>
      <c r="H2363" t="str">
        <f t="shared" ref="H2363:J2364" si="1190">("13/05/2025")</f>
        <v>13/05/2025</v>
      </c>
      <c r="I2363" t="str">
        <f t="shared" si="1190"/>
        <v>13/05/2025</v>
      </c>
      <c r="J2363" t="str">
        <f t="shared" si="1190"/>
        <v>13/05/2025</v>
      </c>
      <c r="K2363">
        <v>1890</v>
      </c>
      <c r="L2363">
        <v>1890</v>
      </c>
      <c r="M2363">
        <v>125</v>
      </c>
      <c r="N2363" t="str">
        <f>"DISTRIBUIÇÃO DE LUCRO"</f>
        <v>DISTRIBUIÇÃO DE LUCRO</v>
      </c>
      <c r="O2363">
        <v>1890</v>
      </c>
      <c r="R2363" t="str">
        <f t="shared" si="1184"/>
        <v>BANCO CORA (102)</v>
      </c>
      <c r="S2363">
        <v>1628</v>
      </c>
      <c r="T2363">
        <v>1289</v>
      </c>
      <c r="U2363" t="s">
        <v>19</v>
      </c>
    </row>
    <row r="2364" spans="1:21">
      <c r="A2364" t="str">
        <f>("13/05/2025")</f>
        <v>13/05/2025</v>
      </c>
      <c r="B2364" t="str">
        <f t="shared" si="1181"/>
        <v>SAÍDA</v>
      </c>
      <c r="C2364" t="str">
        <f>"PIX"</f>
        <v>PIX</v>
      </c>
      <c r="D2364" t="str">
        <f>"130525"</f>
        <v>130525</v>
      </c>
      <c r="E2364" t="str">
        <f t="shared" si="1189"/>
        <v>COM</v>
      </c>
      <c r="F2364" t="str">
        <f>"EDSON BARROS DOS SANTOS 10882852604 (20025)"</f>
        <v>EDSON BARROS DOS SANTOS 10882852604 (20025)</v>
      </c>
      <c r="G2364" t="str">
        <f>"DISTRIBUICAO DE LUCROS ANTECIPADA"</f>
        <v>DISTRIBUICAO DE LUCROS ANTECIPADA</v>
      </c>
      <c r="H2364" t="str">
        <f t="shared" si="1190"/>
        <v>13/05/2025</v>
      </c>
      <c r="I2364" t="str">
        <f t="shared" si="1190"/>
        <v>13/05/2025</v>
      </c>
      <c r="J2364" t="str">
        <f t="shared" si="1190"/>
        <v>13/05/2025</v>
      </c>
      <c r="M2364">
        <v>125</v>
      </c>
      <c r="N2364" t="str">
        <f>"DISTRIBUIÇÃO DE LUCRO"</f>
        <v>DISTRIBUIÇÃO DE LUCRO</v>
      </c>
      <c r="P2364">
        <v>1890</v>
      </c>
      <c r="Q2364" t="str">
        <f>"EDSON BARROS DOS SANTOS 10882852604 (20025)"</f>
        <v>EDSON BARROS DOS SANTOS 10882852604 (20025)</v>
      </c>
      <c r="R2364" t="str">
        <f t="shared" si="1184"/>
        <v>BANCO CORA (102)</v>
      </c>
      <c r="S2364">
        <v>1628</v>
      </c>
      <c r="T2364">
        <v>1289</v>
      </c>
      <c r="U2364" t="s">
        <v>19</v>
      </c>
    </row>
    <row r="2365" spans="1:21">
      <c r="A2365" t="str">
        <f t="shared" ref="A2365:A2396" si="1191">("14/05/2025")</f>
        <v>14/05/2025</v>
      </c>
      <c r="B2365" t="str">
        <f>"ENTRADA"</f>
        <v>ENTRADA</v>
      </c>
      <c r="C2365" t="str">
        <f t="shared" ref="C2365:C2396" si="1192">"NFSE"</f>
        <v>NFSE</v>
      </c>
      <c r="D2365" t="str">
        <f t="shared" ref="D2365:D2376" si="1193">"2959"</f>
        <v>2959</v>
      </c>
      <c r="E2365" t="str">
        <f t="shared" si="1189"/>
        <v>COM</v>
      </c>
      <c r="F2365" t="str">
        <f t="shared" ref="F2365:F2376" si="1194">"FARMÁCIA INDIANA LJ 30 (10127)"</f>
        <v>FARMÁCIA INDIANA LJ 30 (10127)</v>
      </c>
      <c r="G2365" t="str">
        <f t="shared" ref="G2365:G2376" si="1195">"Serv.Prest. 25/04/2025 a 04/05/2025 - RPS: 729 - NFSe: 2959"</f>
        <v>Serv.Prest. 25/04/2025 a 04/05/2025 - RPS: 729 - NFSe: 2959</v>
      </c>
      <c r="H2365" t="str">
        <f t="shared" ref="H2365:H2396" si="1196">("14/05/2025")</f>
        <v>14/05/2025</v>
      </c>
      <c r="I2365" t="str">
        <f t="shared" ref="I2365:I2376" si="1197">("05/05/2025")</f>
        <v>05/05/2025</v>
      </c>
      <c r="J2365" t="str">
        <f t="shared" ref="J2365:J2396" si="1198">("14/05/2025")</f>
        <v>14/05/2025</v>
      </c>
      <c r="K2365">
        <v>3336.25</v>
      </c>
      <c r="L2365">
        <v>3336.25</v>
      </c>
      <c r="M2365">
        <v>303</v>
      </c>
      <c r="N2365" t="str">
        <f t="shared" ref="N2365:N2396" si="1199">"RECEITAS COM ENTREGAS"</f>
        <v>RECEITAS COM ENTREGAS</v>
      </c>
      <c r="O2365">
        <v>3336.25</v>
      </c>
      <c r="R2365" t="str">
        <f t="shared" ref="R2365:R2396" si="1200">"RECEITAS COM ENTREGAS (303)"</f>
        <v>RECEITAS COM ENTREGAS (303)</v>
      </c>
      <c r="S2365">
        <v>1532</v>
      </c>
      <c r="T2365">
        <v>1151</v>
      </c>
      <c r="U2365" t="s">
        <v>19</v>
      </c>
    </row>
    <row r="2366" spans="1:21">
      <c r="A2366" t="str">
        <f t="shared" si="1191"/>
        <v>14/05/2025</v>
      </c>
      <c r="B2366" t="str">
        <f t="shared" ref="B2366:B2429" si="1201">"ENTRADA"</f>
        <v>ENTRADA</v>
      </c>
      <c r="C2366" t="str">
        <f t="shared" si="1192"/>
        <v>NFSE</v>
      </c>
      <c r="D2366" t="str">
        <f t="shared" si="1193"/>
        <v>2959</v>
      </c>
      <c r="E2366" t="str">
        <f t="shared" si="1189"/>
        <v>COM</v>
      </c>
      <c r="F2366" t="str">
        <f t="shared" si="1194"/>
        <v>FARMÁCIA INDIANA LJ 30 (10127)</v>
      </c>
      <c r="G2366" t="str">
        <f t="shared" si="1195"/>
        <v>Serv.Prest. 25/04/2025 a 04/05/2025 - RPS: 729 - NFSe: 2959</v>
      </c>
      <c r="H2366" t="str">
        <f t="shared" si="1196"/>
        <v>14/05/2025</v>
      </c>
      <c r="I2366" t="str">
        <f t="shared" si="1197"/>
        <v>05/05/2025</v>
      </c>
      <c r="J2366" t="str">
        <f t="shared" si="1198"/>
        <v>14/05/2025</v>
      </c>
      <c r="M2366">
        <v>303</v>
      </c>
      <c r="N2366" t="str">
        <f t="shared" si="1199"/>
        <v>RECEITAS COM ENTREGAS</v>
      </c>
      <c r="P2366">
        <v>404.69</v>
      </c>
      <c r="Q2366" t="str">
        <f>"FARMÁCIA INDIANA LJ 34 (10014)"</f>
        <v>FARMÁCIA INDIANA LJ 34 (10014)</v>
      </c>
      <c r="R2366" t="str">
        <f t="shared" si="1200"/>
        <v>RECEITAS COM ENTREGAS (303)</v>
      </c>
      <c r="S2366">
        <v>1532</v>
      </c>
      <c r="T2366">
        <v>1151</v>
      </c>
      <c r="U2366" t="s">
        <v>19</v>
      </c>
    </row>
    <row r="2367" spans="1:21">
      <c r="A2367" t="str">
        <f t="shared" si="1191"/>
        <v>14/05/2025</v>
      </c>
      <c r="B2367" t="str">
        <f t="shared" si="1201"/>
        <v>ENTRADA</v>
      </c>
      <c r="C2367" t="str">
        <f t="shared" si="1192"/>
        <v>NFSE</v>
      </c>
      <c r="D2367" t="str">
        <f t="shared" si="1193"/>
        <v>2959</v>
      </c>
      <c r="E2367" t="str">
        <f t="shared" si="1189"/>
        <v>COM</v>
      </c>
      <c r="F2367" t="str">
        <f t="shared" si="1194"/>
        <v>FARMÁCIA INDIANA LJ 30 (10127)</v>
      </c>
      <c r="G2367" t="str">
        <f t="shared" si="1195"/>
        <v>Serv.Prest. 25/04/2025 a 04/05/2025 - RPS: 729 - NFSe: 2959</v>
      </c>
      <c r="H2367" t="str">
        <f t="shared" si="1196"/>
        <v>14/05/2025</v>
      </c>
      <c r="I2367" t="str">
        <f t="shared" si="1197"/>
        <v>05/05/2025</v>
      </c>
      <c r="J2367" t="str">
        <f t="shared" si="1198"/>
        <v>14/05/2025</v>
      </c>
      <c r="M2367">
        <v>303</v>
      </c>
      <c r="N2367" t="str">
        <f t="shared" si="1199"/>
        <v>RECEITAS COM ENTREGAS</v>
      </c>
      <c r="P2367">
        <v>235.87</v>
      </c>
      <c r="Q2367" t="str">
        <f>"FARMÁCIA INDIANA LJ 35 (10015)"</f>
        <v>FARMÁCIA INDIANA LJ 35 (10015)</v>
      </c>
      <c r="R2367" t="str">
        <f t="shared" si="1200"/>
        <v>RECEITAS COM ENTREGAS (303)</v>
      </c>
      <c r="S2367">
        <v>1532</v>
      </c>
      <c r="T2367">
        <v>1151</v>
      </c>
      <c r="U2367" t="s">
        <v>19</v>
      </c>
    </row>
    <row r="2368" spans="1:21">
      <c r="A2368" t="str">
        <f t="shared" si="1191"/>
        <v>14/05/2025</v>
      </c>
      <c r="B2368" t="str">
        <f t="shared" si="1201"/>
        <v>ENTRADA</v>
      </c>
      <c r="C2368" t="str">
        <f t="shared" si="1192"/>
        <v>NFSE</v>
      </c>
      <c r="D2368" t="str">
        <f t="shared" si="1193"/>
        <v>2959</v>
      </c>
      <c r="E2368" t="str">
        <f t="shared" si="1189"/>
        <v>COM</v>
      </c>
      <c r="F2368" t="str">
        <f t="shared" si="1194"/>
        <v>FARMÁCIA INDIANA LJ 30 (10127)</v>
      </c>
      <c r="G2368" t="str">
        <f t="shared" si="1195"/>
        <v>Serv.Prest. 25/04/2025 a 04/05/2025 - RPS: 729 - NFSe: 2959</v>
      </c>
      <c r="H2368" t="str">
        <f t="shared" si="1196"/>
        <v>14/05/2025</v>
      </c>
      <c r="I2368" t="str">
        <f t="shared" si="1197"/>
        <v>05/05/2025</v>
      </c>
      <c r="J2368" t="str">
        <f t="shared" si="1198"/>
        <v>14/05/2025</v>
      </c>
      <c r="M2368">
        <v>303</v>
      </c>
      <c r="N2368" t="str">
        <f t="shared" si="1199"/>
        <v>RECEITAS COM ENTREGAS</v>
      </c>
      <c r="P2368">
        <v>367.65</v>
      </c>
      <c r="Q2368" t="str">
        <f>"FARMÁCIA INDIANA LJ 48 (10018)"</f>
        <v>FARMÁCIA INDIANA LJ 48 (10018)</v>
      </c>
      <c r="R2368" t="str">
        <f t="shared" si="1200"/>
        <v>RECEITAS COM ENTREGAS (303)</v>
      </c>
      <c r="S2368">
        <v>1532</v>
      </c>
      <c r="T2368">
        <v>1151</v>
      </c>
      <c r="U2368" t="s">
        <v>19</v>
      </c>
    </row>
    <row r="2369" spans="1:21">
      <c r="A2369" t="str">
        <f t="shared" si="1191"/>
        <v>14/05/2025</v>
      </c>
      <c r="B2369" t="str">
        <f t="shared" si="1201"/>
        <v>ENTRADA</v>
      </c>
      <c r="C2369" t="str">
        <f t="shared" si="1192"/>
        <v>NFSE</v>
      </c>
      <c r="D2369" t="str">
        <f t="shared" si="1193"/>
        <v>2959</v>
      </c>
      <c r="E2369" t="str">
        <f t="shared" si="1189"/>
        <v>COM</v>
      </c>
      <c r="F2369" t="str">
        <f t="shared" si="1194"/>
        <v>FARMÁCIA INDIANA LJ 30 (10127)</v>
      </c>
      <c r="G2369" t="str">
        <f t="shared" si="1195"/>
        <v>Serv.Prest. 25/04/2025 a 04/05/2025 - RPS: 729 - NFSe: 2959</v>
      </c>
      <c r="H2369" t="str">
        <f t="shared" si="1196"/>
        <v>14/05/2025</v>
      </c>
      <c r="I2369" t="str">
        <f t="shared" si="1197"/>
        <v>05/05/2025</v>
      </c>
      <c r="J2369" t="str">
        <f t="shared" si="1198"/>
        <v>14/05/2025</v>
      </c>
      <c r="M2369">
        <v>303</v>
      </c>
      <c r="N2369" t="str">
        <f t="shared" si="1199"/>
        <v>RECEITAS COM ENTREGAS</v>
      </c>
      <c r="P2369">
        <v>418.7</v>
      </c>
      <c r="Q2369" t="str">
        <f>"FARMÁCIA INDIANA LJ 65 (10030)"</f>
        <v>FARMÁCIA INDIANA LJ 65 (10030)</v>
      </c>
      <c r="R2369" t="str">
        <f t="shared" si="1200"/>
        <v>RECEITAS COM ENTREGAS (303)</v>
      </c>
      <c r="S2369">
        <v>1532</v>
      </c>
      <c r="T2369">
        <v>1151</v>
      </c>
      <c r="U2369" t="s">
        <v>19</v>
      </c>
    </row>
    <row r="2370" spans="1:21">
      <c r="A2370" t="str">
        <f t="shared" si="1191"/>
        <v>14/05/2025</v>
      </c>
      <c r="B2370" t="str">
        <f t="shared" si="1201"/>
        <v>ENTRADA</v>
      </c>
      <c r="C2370" t="str">
        <f t="shared" si="1192"/>
        <v>NFSE</v>
      </c>
      <c r="D2370" t="str">
        <f t="shared" si="1193"/>
        <v>2959</v>
      </c>
      <c r="E2370" t="str">
        <f t="shared" si="1189"/>
        <v>COM</v>
      </c>
      <c r="F2370" t="str">
        <f t="shared" si="1194"/>
        <v>FARMÁCIA INDIANA LJ 30 (10127)</v>
      </c>
      <c r="G2370" t="str">
        <f t="shared" si="1195"/>
        <v>Serv.Prest. 25/04/2025 a 04/05/2025 - RPS: 729 - NFSe: 2959</v>
      </c>
      <c r="H2370" t="str">
        <f t="shared" si="1196"/>
        <v>14/05/2025</v>
      </c>
      <c r="I2370" t="str">
        <f t="shared" si="1197"/>
        <v>05/05/2025</v>
      </c>
      <c r="J2370" t="str">
        <f t="shared" si="1198"/>
        <v>14/05/2025</v>
      </c>
      <c r="M2370">
        <v>303</v>
      </c>
      <c r="N2370" t="str">
        <f t="shared" si="1199"/>
        <v>RECEITAS COM ENTREGAS</v>
      </c>
      <c r="P2370">
        <v>183.83</v>
      </c>
      <c r="Q2370" t="str">
        <f>"FARMÁCIA INDIANA LJ 77 (10034)"</f>
        <v>FARMÁCIA INDIANA LJ 77 (10034)</v>
      </c>
      <c r="R2370" t="str">
        <f t="shared" si="1200"/>
        <v>RECEITAS COM ENTREGAS (303)</v>
      </c>
      <c r="S2370">
        <v>1532</v>
      </c>
      <c r="T2370">
        <v>1151</v>
      </c>
      <c r="U2370" t="s">
        <v>19</v>
      </c>
    </row>
    <row r="2371" spans="1:21">
      <c r="A2371" t="str">
        <f t="shared" si="1191"/>
        <v>14/05/2025</v>
      </c>
      <c r="B2371" t="str">
        <f t="shared" si="1201"/>
        <v>ENTRADA</v>
      </c>
      <c r="C2371" t="str">
        <f t="shared" si="1192"/>
        <v>NFSE</v>
      </c>
      <c r="D2371" t="str">
        <f t="shared" si="1193"/>
        <v>2959</v>
      </c>
      <c r="E2371" t="str">
        <f t="shared" si="1189"/>
        <v>COM</v>
      </c>
      <c r="F2371" t="str">
        <f t="shared" si="1194"/>
        <v>FARMÁCIA INDIANA LJ 30 (10127)</v>
      </c>
      <c r="G2371" t="str">
        <f t="shared" si="1195"/>
        <v>Serv.Prest. 25/04/2025 a 04/05/2025 - RPS: 729 - NFSe: 2959</v>
      </c>
      <c r="H2371" t="str">
        <f t="shared" si="1196"/>
        <v>14/05/2025</v>
      </c>
      <c r="I2371" t="str">
        <f t="shared" si="1197"/>
        <v>05/05/2025</v>
      </c>
      <c r="J2371" t="str">
        <f t="shared" si="1198"/>
        <v>14/05/2025</v>
      </c>
      <c r="M2371">
        <v>303</v>
      </c>
      <c r="N2371" t="str">
        <f t="shared" si="1199"/>
        <v>RECEITAS COM ENTREGAS</v>
      </c>
      <c r="P2371">
        <v>280.25</v>
      </c>
      <c r="Q2371" t="str">
        <f>"FARMÁCIA INDIANA LJ 91 (10037)"</f>
        <v>FARMÁCIA INDIANA LJ 91 (10037)</v>
      </c>
      <c r="R2371" t="str">
        <f t="shared" si="1200"/>
        <v>RECEITAS COM ENTREGAS (303)</v>
      </c>
      <c r="S2371">
        <v>1532</v>
      </c>
      <c r="T2371">
        <v>1151</v>
      </c>
      <c r="U2371" t="s">
        <v>19</v>
      </c>
    </row>
    <row r="2372" spans="1:21">
      <c r="A2372" t="str">
        <f t="shared" si="1191"/>
        <v>14/05/2025</v>
      </c>
      <c r="B2372" t="str">
        <f t="shared" si="1201"/>
        <v>ENTRADA</v>
      </c>
      <c r="C2372" t="str">
        <f t="shared" si="1192"/>
        <v>NFSE</v>
      </c>
      <c r="D2372" t="str">
        <f t="shared" si="1193"/>
        <v>2959</v>
      </c>
      <c r="E2372" t="str">
        <f t="shared" si="1189"/>
        <v>COM</v>
      </c>
      <c r="F2372" t="str">
        <f t="shared" si="1194"/>
        <v>FARMÁCIA INDIANA LJ 30 (10127)</v>
      </c>
      <c r="G2372" t="str">
        <f t="shared" si="1195"/>
        <v>Serv.Prest. 25/04/2025 a 04/05/2025 - RPS: 729 - NFSe: 2959</v>
      </c>
      <c r="H2372" t="str">
        <f t="shared" si="1196"/>
        <v>14/05/2025</v>
      </c>
      <c r="I2372" t="str">
        <f t="shared" si="1197"/>
        <v>05/05/2025</v>
      </c>
      <c r="J2372" t="str">
        <f t="shared" si="1198"/>
        <v>14/05/2025</v>
      </c>
      <c r="M2372">
        <v>303</v>
      </c>
      <c r="N2372" t="str">
        <f t="shared" si="1199"/>
        <v>RECEITAS COM ENTREGAS</v>
      </c>
      <c r="P2372">
        <v>553.15</v>
      </c>
      <c r="Q2372" t="str">
        <f>"FARMÁCIA INDIANA LJ 95 (10039)"</f>
        <v>FARMÁCIA INDIANA LJ 95 (10039)</v>
      </c>
      <c r="R2372" t="str">
        <f t="shared" si="1200"/>
        <v>RECEITAS COM ENTREGAS (303)</v>
      </c>
      <c r="S2372">
        <v>1532</v>
      </c>
      <c r="T2372">
        <v>1151</v>
      </c>
      <c r="U2372" t="s">
        <v>19</v>
      </c>
    </row>
    <row r="2373" spans="1:21">
      <c r="A2373" t="str">
        <f t="shared" si="1191"/>
        <v>14/05/2025</v>
      </c>
      <c r="B2373" t="str">
        <f t="shared" si="1201"/>
        <v>ENTRADA</v>
      </c>
      <c r="C2373" t="str">
        <f t="shared" si="1192"/>
        <v>NFSE</v>
      </c>
      <c r="D2373" t="str">
        <f t="shared" si="1193"/>
        <v>2959</v>
      </c>
      <c r="E2373" t="str">
        <f t="shared" si="1189"/>
        <v>COM</v>
      </c>
      <c r="F2373" t="str">
        <f t="shared" si="1194"/>
        <v>FARMÁCIA INDIANA LJ 30 (10127)</v>
      </c>
      <c r="G2373" t="str">
        <f t="shared" si="1195"/>
        <v>Serv.Prest. 25/04/2025 a 04/05/2025 - RPS: 729 - NFSe: 2959</v>
      </c>
      <c r="H2373" t="str">
        <f t="shared" si="1196"/>
        <v>14/05/2025</v>
      </c>
      <c r="I2373" t="str">
        <f t="shared" si="1197"/>
        <v>05/05/2025</v>
      </c>
      <c r="J2373" t="str">
        <f t="shared" si="1198"/>
        <v>14/05/2025</v>
      </c>
      <c r="M2373">
        <v>303</v>
      </c>
      <c r="N2373" t="str">
        <f t="shared" si="1199"/>
        <v>RECEITAS COM ENTREGAS</v>
      </c>
      <c r="P2373">
        <v>280.91000000000003</v>
      </c>
      <c r="Q2373" t="str">
        <f>"FARMÁCIA INDIANA LJ 145 (10068)"</f>
        <v>FARMÁCIA INDIANA LJ 145 (10068)</v>
      </c>
      <c r="R2373" t="str">
        <f t="shared" si="1200"/>
        <v>RECEITAS COM ENTREGAS (303)</v>
      </c>
      <c r="S2373">
        <v>1532</v>
      </c>
      <c r="T2373">
        <v>1151</v>
      </c>
      <c r="U2373" t="s">
        <v>19</v>
      </c>
    </row>
    <row r="2374" spans="1:21">
      <c r="A2374" t="str">
        <f t="shared" si="1191"/>
        <v>14/05/2025</v>
      </c>
      <c r="B2374" t="str">
        <f t="shared" si="1201"/>
        <v>ENTRADA</v>
      </c>
      <c r="C2374" t="str">
        <f t="shared" si="1192"/>
        <v>NFSE</v>
      </c>
      <c r="D2374" t="str">
        <f t="shared" si="1193"/>
        <v>2959</v>
      </c>
      <c r="E2374" t="str">
        <f t="shared" si="1189"/>
        <v>COM</v>
      </c>
      <c r="F2374" t="str">
        <f t="shared" si="1194"/>
        <v>FARMÁCIA INDIANA LJ 30 (10127)</v>
      </c>
      <c r="G2374" t="str">
        <f t="shared" si="1195"/>
        <v>Serv.Prest. 25/04/2025 a 04/05/2025 - RPS: 729 - NFSe: 2959</v>
      </c>
      <c r="H2374" t="str">
        <f t="shared" si="1196"/>
        <v>14/05/2025</v>
      </c>
      <c r="I2374" t="str">
        <f t="shared" si="1197"/>
        <v>05/05/2025</v>
      </c>
      <c r="J2374" t="str">
        <f t="shared" si="1198"/>
        <v>14/05/2025</v>
      </c>
      <c r="M2374">
        <v>303</v>
      </c>
      <c r="N2374" t="str">
        <f t="shared" si="1199"/>
        <v>RECEITAS COM ENTREGAS</v>
      </c>
      <c r="P2374">
        <v>242.21</v>
      </c>
      <c r="Q2374" t="str">
        <f>"FARMÁCIA INDIANA LJ 169 (10073)"</f>
        <v>FARMÁCIA INDIANA LJ 169 (10073)</v>
      </c>
      <c r="R2374" t="str">
        <f t="shared" si="1200"/>
        <v>RECEITAS COM ENTREGAS (303)</v>
      </c>
      <c r="S2374">
        <v>1532</v>
      </c>
      <c r="T2374">
        <v>1151</v>
      </c>
      <c r="U2374" t="s">
        <v>19</v>
      </c>
    </row>
    <row r="2375" spans="1:21">
      <c r="A2375" t="str">
        <f t="shared" si="1191"/>
        <v>14/05/2025</v>
      </c>
      <c r="B2375" t="str">
        <f t="shared" si="1201"/>
        <v>ENTRADA</v>
      </c>
      <c r="C2375" t="str">
        <f t="shared" si="1192"/>
        <v>NFSE</v>
      </c>
      <c r="D2375" t="str">
        <f t="shared" si="1193"/>
        <v>2959</v>
      </c>
      <c r="E2375" t="str">
        <f t="shared" si="1189"/>
        <v>COM</v>
      </c>
      <c r="F2375" t="str">
        <f t="shared" si="1194"/>
        <v>FARMÁCIA INDIANA LJ 30 (10127)</v>
      </c>
      <c r="G2375" t="str">
        <f t="shared" si="1195"/>
        <v>Serv.Prest. 25/04/2025 a 04/05/2025 - RPS: 729 - NFSe: 2959</v>
      </c>
      <c r="H2375" t="str">
        <f t="shared" si="1196"/>
        <v>14/05/2025</v>
      </c>
      <c r="I2375" t="str">
        <f t="shared" si="1197"/>
        <v>05/05/2025</v>
      </c>
      <c r="J2375" t="str">
        <f t="shared" si="1198"/>
        <v>14/05/2025</v>
      </c>
      <c r="M2375">
        <v>303</v>
      </c>
      <c r="N2375" t="str">
        <f t="shared" si="1199"/>
        <v>RECEITAS COM ENTREGAS</v>
      </c>
      <c r="P2375">
        <v>209.18</v>
      </c>
      <c r="Q2375" t="str">
        <f>"FARMÁCIA INDIANA LJ 173 (10075)"</f>
        <v>FARMÁCIA INDIANA LJ 173 (10075)</v>
      </c>
      <c r="R2375" t="str">
        <f t="shared" si="1200"/>
        <v>RECEITAS COM ENTREGAS (303)</v>
      </c>
      <c r="S2375">
        <v>1532</v>
      </c>
      <c r="T2375">
        <v>1151</v>
      </c>
      <c r="U2375" t="s">
        <v>19</v>
      </c>
    </row>
    <row r="2376" spans="1:21">
      <c r="A2376" t="str">
        <f t="shared" si="1191"/>
        <v>14/05/2025</v>
      </c>
      <c r="B2376" t="str">
        <f t="shared" si="1201"/>
        <v>ENTRADA</v>
      </c>
      <c r="C2376" t="str">
        <f t="shared" si="1192"/>
        <v>NFSE</v>
      </c>
      <c r="D2376" t="str">
        <f t="shared" si="1193"/>
        <v>2959</v>
      </c>
      <c r="E2376" t="str">
        <f t="shared" si="1189"/>
        <v>COM</v>
      </c>
      <c r="F2376" t="str">
        <f t="shared" si="1194"/>
        <v>FARMÁCIA INDIANA LJ 30 (10127)</v>
      </c>
      <c r="G2376" t="str">
        <f t="shared" si="1195"/>
        <v>Serv.Prest. 25/04/2025 a 04/05/2025 - RPS: 729 - NFSe: 2959</v>
      </c>
      <c r="H2376" t="str">
        <f t="shared" si="1196"/>
        <v>14/05/2025</v>
      </c>
      <c r="I2376" t="str">
        <f t="shared" si="1197"/>
        <v>05/05/2025</v>
      </c>
      <c r="J2376" t="str">
        <f t="shared" si="1198"/>
        <v>14/05/2025</v>
      </c>
      <c r="M2376">
        <v>303</v>
      </c>
      <c r="N2376" t="str">
        <f t="shared" si="1199"/>
        <v>RECEITAS COM ENTREGAS</v>
      </c>
      <c r="P2376">
        <v>159.81</v>
      </c>
      <c r="Q2376" t="str">
        <f>"FARMÁCIA INDIANA LJ 200 (10155)"</f>
        <v>FARMÁCIA INDIANA LJ 200 (10155)</v>
      </c>
      <c r="R2376" t="str">
        <f t="shared" si="1200"/>
        <v>RECEITAS COM ENTREGAS (303)</v>
      </c>
      <c r="S2376">
        <v>1532</v>
      </c>
      <c r="T2376">
        <v>1151</v>
      </c>
      <c r="U2376" t="s">
        <v>19</v>
      </c>
    </row>
    <row r="2377" spans="1:21">
      <c r="A2377" t="str">
        <f t="shared" si="1191"/>
        <v>14/05/2025</v>
      </c>
      <c r="B2377" t="str">
        <f t="shared" si="1201"/>
        <v>ENTRADA</v>
      </c>
      <c r="C2377" t="str">
        <f t="shared" si="1192"/>
        <v>NFSE</v>
      </c>
      <c r="D2377" t="str">
        <f t="shared" ref="D2377:D2422" si="1202">"2960"</f>
        <v>2960</v>
      </c>
      <c r="E2377" t="str">
        <f t="shared" si="1189"/>
        <v>COM</v>
      </c>
      <c r="F2377" t="str">
        <f t="shared" ref="F2377:F2422" si="1203">"FARMÁCIA INDIANA LJ 1 (10126)"</f>
        <v>FARMÁCIA INDIANA LJ 1 (10126)</v>
      </c>
      <c r="G2377" t="str">
        <f t="shared" ref="G2377:G2422" si="1204">"Serv.Prest. 25/04/2025 a 04/05/2025 - RPS: 730 - NFSe: 2960"</f>
        <v>Serv.Prest. 25/04/2025 a 04/05/2025 - RPS: 730 - NFSe: 2960</v>
      </c>
      <c r="H2377" t="str">
        <f t="shared" si="1196"/>
        <v>14/05/2025</v>
      </c>
      <c r="I2377" t="str">
        <f t="shared" ref="I2377:I2408" si="1205">("06/05/2025")</f>
        <v>06/05/2025</v>
      </c>
      <c r="J2377" t="str">
        <f t="shared" si="1198"/>
        <v>14/05/2025</v>
      </c>
      <c r="K2377">
        <v>17106.400000000001</v>
      </c>
      <c r="L2377">
        <v>17106.400000000001</v>
      </c>
      <c r="M2377">
        <v>303</v>
      </c>
      <c r="N2377" t="str">
        <f t="shared" si="1199"/>
        <v>RECEITAS COM ENTREGAS</v>
      </c>
      <c r="O2377">
        <v>17106.400000000001</v>
      </c>
      <c r="R2377" t="str">
        <f t="shared" si="1200"/>
        <v>RECEITAS COM ENTREGAS (303)</v>
      </c>
      <c r="S2377">
        <v>1533</v>
      </c>
      <c r="T2377">
        <v>1152</v>
      </c>
      <c r="U2377" t="s">
        <v>19</v>
      </c>
    </row>
    <row r="2378" spans="1:21">
      <c r="A2378" t="str">
        <f t="shared" si="1191"/>
        <v>14/05/2025</v>
      </c>
      <c r="B2378" t="str">
        <f t="shared" si="1201"/>
        <v>ENTRADA</v>
      </c>
      <c r="C2378" t="str">
        <f t="shared" si="1192"/>
        <v>NFSE</v>
      </c>
      <c r="D2378" t="str">
        <f t="shared" si="1202"/>
        <v>2960</v>
      </c>
      <c r="E2378" t="str">
        <f t="shared" si="1189"/>
        <v>COM</v>
      </c>
      <c r="F2378" t="str">
        <f t="shared" si="1203"/>
        <v>FARMÁCIA INDIANA LJ 1 (10126)</v>
      </c>
      <c r="G2378" t="str">
        <f t="shared" si="1204"/>
        <v>Serv.Prest. 25/04/2025 a 04/05/2025 - RPS: 730 - NFSe: 2960</v>
      </c>
      <c r="H2378" t="str">
        <f t="shared" si="1196"/>
        <v>14/05/2025</v>
      </c>
      <c r="I2378" t="str">
        <f t="shared" si="1205"/>
        <v>06/05/2025</v>
      </c>
      <c r="J2378" t="str">
        <f t="shared" si="1198"/>
        <v>14/05/2025</v>
      </c>
      <c r="M2378">
        <v>303</v>
      </c>
      <c r="N2378" t="str">
        <f t="shared" si="1199"/>
        <v>RECEITAS COM ENTREGAS</v>
      </c>
      <c r="P2378">
        <v>2605.33</v>
      </c>
      <c r="Q2378" t="str">
        <f>"FARMÁCIA INDIANA LJ 06 (10006)"</f>
        <v>FARMÁCIA INDIANA LJ 06 (10006)</v>
      </c>
      <c r="R2378" t="str">
        <f t="shared" si="1200"/>
        <v>RECEITAS COM ENTREGAS (303)</v>
      </c>
      <c r="S2378">
        <v>1533</v>
      </c>
      <c r="T2378">
        <v>1152</v>
      </c>
      <c r="U2378" t="s">
        <v>19</v>
      </c>
    </row>
    <row r="2379" spans="1:21">
      <c r="A2379" t="str">
        <f t="shared" si="1191"/>
        <v>14/05/2025</v>
      </c>
      <c r="B2379" t="str">
        <f t="shared" si="1201"/>
        <v>ENTRADA</v>
      </c>
      <c r="C2379" t="str">
        <f t="shared" si="1192"/>
        <v>NFSE</v>
      </c>
      <c r="D2379" t="str">
        <f t="shared" si="1202"/>
        <v>2960</v>
      </c>
      <c r="E2379" t="str">
        <f t="shared" si="1189"/>
        <v>COM</v>
      </c>
      <c r="F2379" t="str">
        <f t="shared" si="1203"/>
        <v>FARMÁCIA INDIANA LJ 1 (10126)</v>
      </c>
      <c r="G2379" t="str">
        <f t="shared" si="1204"/>
        <v>Serv.Prest. 25/04/2025 a 04/05/2025 - RPS: 730 - NFSe: 2960</v>
      </c>
      <c r="H2379" t="str">
        <f t="shared" si="1196"/>
        <v>14/05/2025</v>
      </c>
      <c r="I2379" t="str">
        <f t="shared" si="1205"/>
        <v>06/05/2025</v>
      </c>
      <c r="J2379" t="str">
        <f t="shared" si="1198"/>
        <v>14/05/2025</v>
      </c>
      <c r="M2379">
        <v>303</v>
      </c>
      <c r="N2379" t="str">
        <f t="shared" si="1199"/>
        <v>RECEITAS COM ENTREGAS</v>
      </c>
      <c r="P2379">
        <v>2049.35</v>
      </c>
      <c r="Q2379" t="str">
        <f>"FARMÁCIA INDIANA LJ 07 (10007)"</f>
        <v>FARMÁCIA INDIANA LJ 07 (10007)</v>
      </c>
      <c r="R2379" t="str">
        <f t="shared" si="1200"/>
        <v>RECEITAS COM ENTREGAS (303)</v>
      </c>
      <c r="S2379">
        <v>1533</v>
      </c>
      <c r="T2379">
        <v>1152</v>
      </c>
      <c r="U2379" t="s">
        <v>19</v>
      </c>
    </row>
    <row r="2380" spans="1:21">
      <c r="A2380" t="str">
        <f t="shared" si="1191"/>
        <v>14/05/2025</v>
      </c>
      <c r="B2380" t="str">
        <f t="shared" si="1201"/>
        <v>ENTRADA</v>
      </c>
      <c r="C2380" t="str">
        <f t="shared" si="1192"/>
        <v>NFSE</v>
      </c>
      <c r="D2380" t="str">
        <f t="shared" si="1202"/>
        <v>2960</v>
      </c>
      <c r="E2380" t="str">
        <f t="shared" si="1189"/>
        <v>COM</v>
      </c>
      <c r="F2380" t="str">
        <f t="shared" si="1203"/>
        <v>FARMÁCIA INDIANA LJ 1 (10126)</v>
      </c>
      <c r="G2380" t="str">
        <f t="shared" si="1204"/>
        <v>Serv.Prest. 25/04/2025 a 04/05/2025 - RPS: 730 - NFSe: 2960</v>
      </c>
      <c r="H2380" t="str">
        <f t="shared" si="1196"/>
        <v>14/05/2025</v>
      </c>
      <c r="I2380" t="str">
        <f t="shared" si="1205"/>
        <v>06/05/2025</v>
      </c>
      <c r="J2380" t="str">
        <f t="shared" si="1198"/>
        <v>14/05/2025</v>
      </c>
      <c r="M2380">
        <v>303</v>
      </c>
      <c r="N2380" t="str">
        <f t="shared" si="1199"/>
        <v>RECEITAS COM ENTREGAS</v>
      </c>
      <c r="P2380">
        <v>1281.27</v>
      </c>
      <c r="Q2380" t="str">
        <f>"FARMÁCIA INDIANA LJ 11 (10008)"</f>
        <v>FARMÁCIA INDIANA LJ 11 (10008)</v>
      </c>
      <c r="R2380" t="str">
        <f t="shared" si="1200"/>
        <v>RECEITAS COM ENTREGAS (303)</v>
      </c>
      <c r="S2380">
        <v>1533</v>
      </c>
      <c r="T2380">
        <v>1152</v>
      </c>
      <c r="U2380" t="s">
        <v>19</v>
      </c>
    </row>
    <row r="2381" spans="1:21">
      <c r="A2381" t="str">
        <f t="shared" si="1191"/>
        <v>14/05/2025</v>
      </c>
      <c r="B2381" t="str">
        <f t="shared" si="1201"/>
        <v>ENTRADA</v>
      </c>
      <c r="C2381" t="str">
        <f t="shared" si="1192"/>
        <v>NFSE</v>
      </c>
      <c r="D2381" t="str">
        <f t="shared" si="1202"/>
        <v>2960</v>
      </c>
      <c r="E2381" t="str">
        <f t="shared" si="1189"/>
        <v>COM</v>
      </c>
      <c r="F2381" t="str">
        <f t="shared" si="1203"/>
        <v>FARMÁCIA INDIANA LJ 1 (10126)</v>
      </c>
      <c r="G2381" t="str">
        <f t="shared" si="1204"/>
        <v>Serv.Prest. 25/04/2025 a 04/05/2025 - RPS: 730 - NFSe: 2960</v>
      </c>
      <c r="H2381" t="str">
        <f t="shared" si="1196"/>
        <v>14/05/2025</v>
      </c>
      <c r="I2381" t="str">
        <f t="shared" si="1205"/>
        <v>06/05/2025</v>
      </c>
      <c r="J2381" t="str">
        <f t="shared" si="1198"/>
        <v>14/05/2025</v>
      </c>
      <c r="M2381">
        <v>303</v>
      </c>
      <c r="N2381" t="str">
        <f t="shared" si="1199"/>
        <v>RECEITAS COM ENTREGAS</v>
      </c>
      <c r="P2381">
        <v>509.77</v>
      </c>
      <c r="Q2381" t="str">
        <f>"FARMÁCIA INDIANA LJ 14 (10009)"</f>
        <v>FARMÁCIA INDIANA LJ 14 (10009)</v>
      </c>
      <c r="R2381" t="str">
        <f t="shared" si="1200"/>
        <v>RECEITAS COM ENTREGAS (303)</v>
      </c>
      <c r="S2381">
        <v>1533</v>
      </c>
      <c r="T2381">
        <v>1152</v>
      </c>
      <c r="U2381" t="s">
        <v>19</v>
      </c>
    </row>
    <row r="2382" spans="1:21">
      <c r="A2382" t="str">
        <f t="shared" si="1191"/>
        <v>14/05/2025</v>
      </c>
      <c r="B2382" t="str">
        <f t="shared" si="1201"/>
        <v>ENTRADA</v>
      </c>
      <c r="C2382" t="str">
        <f t="shared" si="1192"/>
        <v>NFSE</v>
      </c>
      <c r="D2382" t="str">
        <f t="shared" si="1202"/>
        <v>2960</v>
      </c>
      <c r="E2382" t="str">
        <f t="shared" si="1189"/>
        <v>COM</v>
      </c>
      <c r="F2382" t="str">
        <f t="shared" si="1203"/>
        <v>FARMÁCIA INDIANA LJ 1 (10126)</v>
      </c>
      <c r="G2382" t="str">
        <f t="shared" si="1204"/>
        <v>Serv.Prest. 25/04/2025 a 04/05/2025 - RPS: 730 - NFSe: 2960</v>
      </c>
      <c r="H2382" t="str">
        <f t="shared" si="1196"/>
        <v>14/05/2025</v>
      </c>
      <c r="I2382" t="str">
        <f t="shared" si="1205"/>
        <v>06/05/2025</v>
      </c>
      <c r="J2382" t="str">
        <f t="shared" si="1198"/>
        <v>14/05/2025</v>
      </c>
      <c r="M2382">
        <v>303</v>
      </c>
      <c r="N2382" t="str">
        <f t="shared" si="1199"/>
        <v>RECEITAS COM ENTREGAS</v>
      </c>
      <c r="P2382">
        <v>564.51</v>
      </c>
      <c r="Q2382" t="str">
        <f>"FARMÁCIA INDIANA LJ 18 (10011)"</f>
        <v>FARMÁCIA INDIANA LJ 18 (10011)</v>
      </c>
      <c r="R2382" t="str">
        <f t="shared" si="1200"/>
        <v>RECEITAS COM ENTREGAS (303)</v>
      </c>
      <c r="S2382">
        <v>1533</v>
      </c>
      <c r="T2382">
        <v>1152</v>
      </c>
      <c r="U2382" t="s">
        <v>19</v>
      </c>
    </row>
    <row r="2383" spans="1:21">
      <c r="A2383" t="str">
        <f t="shared" si="1191"/>
        <v>14/05/2025</v>
      </c>
      <c r="B2383" t="str">
        <f t="shared" si="1201"/>
        <v>ENTRADA</v>
      </c>
      <c r="C2383" t="str">
        <f t="shared" si="1192"/>
        <v>NFSE</v>
      </c>
      <c r="D2383" t="str">
        <f t="shared" si="1202"/>
        <v>2960</v>
      </c>
      <c r="E2383" t="str">
        <f t="shared" si="1189"/>
        <v>COM</v>
      </c>
      <c r="F2383" t="str">
        <f t="shared" si="1203"/>
        <v>FARMÁCIA INDIANA LJ 1 (10126)</v>
      </c>
      <c r="G2383" t="str">
        <f t="shared" si="1204"/>
        <v>Serv.Prest. 25/04/2025 a 04/05/2025 - RPS: 730 - NFSe: 2960</v>
      </c>
      <c r="H2383" t="str">
        <f t="shared" si="1196"/>
        <v>14/05/2025</v>
      </c>
      <c r="I2383" t="str">
        <f t="shared" si="1205"/>
        <v>06/05/2025</v>
      </c>
      <c r="J2383" t="str">
        <f t="shared" si="1198"/>
        <v>14/05/2025</v>
      </c>
      <c r="M2383">
        <v>303</v>
      </c>
      <c r="N2383" t="str">
        <f t="shared" si="1199"/>
        <v>RECEITAS COM ENTREGAS</v>
      </c>
      <c r="P2383">
        <v>485.82</v>
      </c>
      <c r="Q2383" t="str">
        <f>"FARMÁCIA INDIANA LJ 19 (10012)"</f>
        <v>FARMÁCIA INDIANA LJ 19 (10012)</v>
      </c>
      <c r="R2383" t="str">
        <f t="shared" si="1200"/>
        <v>RECEITAS COM ENTREGAS (303)</v>
      </c>
      <c r="S2383">
        <v>1533</v>
      </c>
      <c r="T2383">
        <v>1152</v>
      </c>
      <c r="U2383" t="s">
        <v>19</v>
      </c>
    </row>
    <row r="2384" spans="1:21">
      <c r="A2384" t="str">
        <f t="shared" si="1191"/>
        <v>14/05/2025</v>
      </c>
      <c r="B2384" t="str">
        <f t="shared" si="1201"/>
        <v>ENTRADA</v>
      </c>
      <c r="C2384" t="str">
        <f t="shared" si="1192"/>
        <v>NFSE</v>
      </c>
      <c r="D2384" t="str">
        <f t="shared" si="1202"/>
        <v>2960</v>
      </c>
      <c r="E2384" t="str">
        <f t="shared" si="1189"/>
        <v>COM</v>
      </c>
      <c r="F2384" t="str">
        <f t="shared" si="1203"/>
        <v>FARMÁCIA INDIANA LJ 1 (10126)</v>
      </c>
      <c r="G2384" t="str">
        <f t="shared" si="1204"/>
        <v>Serv.Prest. 25/04/2025 a 04/05/2025 - RPS: 730 - NFSe: 2960</v>
      </c>
      <c r="H2384" t="str">
        <f t="shared" si="1196"/>
        <v>14/05/2025</v>
      </c>
      <c r="I2384" t="str">
        <f t="shared" si="1205"/>
        <v>06/05/2025</v>
      </c>
      <c r="J2384" t="str">
        <f t="shared" si="1198"/>
        <v>14/05/2025</v>
      </c>
      <c r="M2384">
        <v>303</v>
      </c>
      <c r="N2384" t="str">
        <f t="shared" si="1199"/>
        <v>RECEITAS COM ENTREGAS</v>
      </c>
      <c r="P2384">
        <v>894.66</v>
      </c>
      <c r="Q2384" t="str">
        <f>"FARMÁCIA INDIANA LJ 40 (10016)"</f>
        <v>FARMÁCIA INDIANA LJ 40 (10016)</v>
      </c>
      <c r="R2384" t="str">
        <f t="shared" si="1200"/>
        <v>RECEITAS COM ENTREGAS (303)</v>
      </c>
      <c r="S2384">
        <v>1533</v>
      </c>
      <c r="T2384">
        <v>1152</v>
      </c>
      <c r="U2384" t="s">
        <v>19</v>
      </c>
    </row>
    <row r="2385" spans="1:21">
      <c r="A2385" t="str">
        <f t="shared" si="1191"/>
        <v>14/05/2025</v>
      </c>
      <c r="B2385" t="str">
        <f t="shared" si="1201"/>
        <v>ENTRADA</v>
      </c>
      <c r="C2385" t="str">
        <f t="shared" si="1192"/>
        <v>NFSE</v>
      </c>
      <c r="D2385" t="str">
        <f t="shared" si="1202"/>
        <v>2960</v>
      </c>
      <c r="E2385" t="str">
        <f t="shared" si="1189"/>
        <v>COM</v>
      </c>
      <c r="F2385" t="str">
        <f t="shared" si="1203"/>
        <v>FARMÁCIA INDIANA LJ 1 (10126)</v>
      </c>
      <c r="G2385" t="str">
        <f t="shared" si="1204"/>
        <v>Serv.Prest. 25/04/2025 a 04/05/2025 - RPS: 730 - NFSe: 2960</v>
      </c>
      <c r="H2385" t="str">
        <f t="shared" si="1196"/>
        <v>14/05/2025</v>
      </c>
      <c r="I2385" t="str">
        <f t="shared" si="1205"/>
        <v>06/05/2025</v>
      </c>
      <c r="J2385" t="str">
        <f t="shared" si="1198"/>
        <v>14/05/2025</v>
      </c>
      <c r="M2385">
        <v>303</v>
      </c>
      <c r="N2385" t="str">
        <f t="shared" si="1199"/>
        <v>RECEITAS COM ENTREGAS</v>
      </c>
      <c r="P2385">
        <v>443.06</v>
      </c>
      <c r="Q2385" t="str">
        <f>"FARMÁCIA INDIANA LJ 59 (10026)"</f>
        <v>FARMÁCIA INDIANA LJ 59 (10026)</v>
      </c>
      <c r="R2385" t="str">
        <f t="shared" si="1200"/>
        <v>RECEITAS COM ENTREGAS (303)</v>
      </c>
      <c r="S2385">
        <v>1533</v>
      </c>
      <c r="T2385">
        <v>1152</v>
      </c>
      <c r="U2385" t="s">
        <v>19</v>
      </c>
    </row>
    <row r="2386" spans="1:21">
      <c r="A2386" t="str">
        <f t="shared" si="1191"/>
        <v>14/05/2025</v>
      </c>
      <c r="B2386" t="str">
        <f t="shared" si="1201"/>
        <v>ENTRADA</v>
      </c>
      <c r="C2386" t="str">
        <f t="shared" si="1192"/>
        <v>NFSE</v>
      </c>
      <c r="D2386" t="str">
        <f t="shared" si="1202"/>
        <v>2960</v>
      </c>
      <c r="E2386" t="str">
        <f t="shared" si="1189"/>
        <v>COM</v>
      </c>
      <c r="F2386" t="str">
        <f t="shared" si="1203"/>
        <v>FARMÁCIA INDIANA LJ 1 (10126)</v>
      </c>
      <c r="G2386" t="str">
        <f t="shared" si="1204"/>
        <v>Serv.Prest. 25/04/2025 a 04/05/2025 - RPS: 730 - NFSe: 2960</v>
      </c>
      <c r="H2386" t="str">
        <f t="shared" si="1196"/>
        <v>14/05/2025</v>
      </c>
      <c r="I2386" t="str">
        <f t="shared" si="1205"/>
        <v>06/05/2025</v>
      </c>
      <c r="J2386" t="str">
        <f t="shared" si="1198"/>
        <v>14/05/2025</v>
      </c>
      <c r="M2386">
        <v>303</v>
      </c>
      <c r="N2386" t="str">
        <f t="shared" si="1199"/>
        <v>RECEITAS COM ENTREGAS</v>
      </c>
      <c r="P2386">
        <v>766.37</v>
      </c>
      <c r="Q2386" t="str">
        <f>"FARMÁCIA INDIANA LJ 61 (10027)"</f>
        <v>FARMÁCIA INDIANA LJ 61 (10027)</v>
      </c>
      <c r="R2386" t="str">
        <f t="shared" si="1200"/>
        <v>RECEITAS COM ENTREGAS (303)</v>
      </c>
      <c r="S2386">
        <v>1533</v>
      </c>
      <c r="T2386">
        <v>1152</v>
      </c>
      <c r="U2386" t="s">
        <v>19</v>
      </c>
    </row>
    <row r="2387" spans="1:21">
      <c r="A2387" t="str">
        <f t="shared" si="1191"/>
        <v>14/05/2025</v>
      </c>
      <c r="B2387" t="str">
        <f t="shared" si="1201"/>
        <v>ENTRADA</v>
      </c>
      <c r="C2387" t="str">
        <f t="shared" si="1192"/>
        <v>NFSE</v>
      </c>
      <c r="D2387" t="str">
        <f t="shared" si="1202"/>
        <v>2960</v>
      </c>
      <c r="E2387" t="str">
        <f t="shared" si="1189"/>
        <v>COM</v>
      </c>
      <c r="F2387" t="str">
        <f t="shared" si="1203"/>
        <v>FARMÁCIA INDIANA LJ 1 (10126)</v>
      </c>
      <c r="G2387" t="str">
        <f t="shared" si="1204"/>
        <v>Serv.Prest. 25/04/2025 a 04/05/2025 - RPS: 730 - NFSe: 2960</v>
      </c>
      <c r="H2387" t="str">
        <f t="shared" si="1196"/>
        <v>14/05/2025</v>
      </c>
      <c r="I2387" t="str">
        <f t="shared" si="1205"/>
        <v>06/05/2025</v>
      </c>
      <c r="J2387" t="str">
        <f t="shared" si="1198"/>
        <v>14/05/2025</v>
      </c>
      <c r="M2387">
        <v>303</v>
      </c>
      <c r="N2387" t="str">
        <f t="shared" si="1199"/>
        <v>RECEITAS COM ENTREGAS</v>
      </c>
      <c r="P2387">
        <v>304.49</v>
      </c>
      <c r="Q2387" t="str">
        <f>"FARMÁCIA INDIANA LJ 62 (10028)"</f>
        <v>FARMÁCIA INDIANA LJ 62 (10028)</v>
      </c>
      <c r="R2387" t="str">
        <f t="shared" si="1200"/>
        <v>RECEITAS COM ENTREGAS (303)</v>
      </c>
      <c r="S2387">
        <v>1533</v>
      </c>
      <c r="T2387">
        <v>1152</v>
      </c>
      <c r="U2387" t="s">
        <v>19</v>
      </c>
    </row>
    <row r="2388" spans="1:21">
      <c r="A2388" t="str">
        <f t="shared" si="1191"/>
        <v>14/05/2025</v>
      </c>
      <c r="B2388" t="str">
        <f t="shared" si="1201"/>
        <v>ENTRADA</v>
      </c>
      <c r="C2388" t="str">
        <f t="shared" si="1192"/>
        <v>NFSE</v>
      </c>
      <c r="D2388" t="str">
        <f t="shared" si="1202"/>
        <v>2960</v>
      </c>
      <c r="E2388" t="str">
        <f t="shared" si="1189"/>
        <v>COM</v>
      </c>
      <c r="F2388" t="str">
        <f t="shared" si="1203"/>
        <v>FARMÁCIA INDIANA LJ 1 (10126)</v>
      </c>
      <c r="G2388" t="str">
        <f t="shared" si="1204"/>
        <v>Serv.Prest. 25/04/2025 a 04/05/2025 - RPS: 730 - NFSe: 2960</v>
      </c>
      <c r="H2388" t="str">
        <f t="shared" si="1196"/>
        <v>14/05/2025</v>
      </c>
      <c r="I2388" t="str">
        <f t="shared" si="1205"/>
        <v>06/05/2025</v>
      </c>
      <c r="J2388" t="str">
        <f t="shared" si="1198"/>
        <v>14/05/2025</v>
      </c>
      <c r="M2388">
        <v>303</v>
      </c>
      <c r="N2388" t="str">
        <f t="shared" si="1199"/>
        <v>RECEITAS COM ENTREGAS</v>
      </c>
      <c r="P2388">
        <v>114.61</v>
      </c>
      <c r="Q2388" t="str">
        <f>"FARMÁCIA INDIANA LJ 64 (10029)"</f>
        <v>FARMÁCIA INDIANA LJ 64 (10029)</v>
      </c>
      <c r="R2388" t="str">
        <f t="shared" si="1200"/>
        <v>RECEITAS COM ENTREGAS (303)</v>
      </c>
      <c r="S2388">
        <v>1533</v>
      </c>
      <c r="T2388">
        <v>1152</v>
      </c>
      <c r="U2388" t="s">
        <v>19</v>
      </c>
    </row>
    <row r="2389" spans="1:21">
      <c r="A2389" t="str">
        <f t="shared" si="1191"/>
        <v>14/05/2025</v>
      </c>
      <c r="B2389" t="str">
        <f t="shared" si="1201"/>
        <v>ENTRADA</v>
      </c>
      <c r="C2389" t="str">
        <f t="shared" si="1192"/>
        <v>NFSE</v>
      </c>
      <c r="D2389" t="str">
        <f t="shared" si="1202"/>
        <v>2960</v>
      </c>
      <c r="E2389" t="str">
        <f t="shared" si="1189"/>
        <v>COM</v>
      </c>
      <c r="F2389" t="str">
        <f t="shared" si="1203"/>
        <v>FARMÁCIA INDIANA LJ 1 (10126)</v>
      </c>
      <c r="G2389" t="str">
        <f t="shared" si="1204"/>
        <v>Serv.Prest. 25/04/2025 a 04/05/2025 - RPS: 730 - NFSe: 2960</v>
      </c>
      <c r="H2389" t="str">
        <f t="shared" si="1196"/>
        <v>14/05/2025</v>
      </c>
      <c r="I2389" t="str">
        <f t="shared" si="1205"/>
        <v>06/05/2025</v>
      </c>
      <c r="J2389" t="str">
        <f t="shared" si="1198"/>
        <v>14/05/2025</v>
      </c>
      <c r="M2389">
        <v>303</v>
      </c>
      <c r="N2389" t="str">
        <f t="shared" si="1199"/>
        <v>RECEITAS COM ENTREGAS</v>
      </c>
      <c r="P2389">
        <v>66.709999999999994</v>
      </c>
      <c r="Q2389" t="str">
        <f>"FARMÁCIA INDIANA LJ 97 (10040)"</f>
        <v>FARMÁCIA INDIANA LJ 97 (10040)</v>
      </c>
      <c r="R2389" t="str">
        <f t="shared" si="1200"/>
        <v>RECEITAS COM ENTREGAS (303)</v>
      </c>
      <c r="S2389">
        <v>1533</v>
      </c>
      <c r="T2389">
        <v>1152</v>
      </c>
      <c r="U2389" t="s">
        <v>19</v>
      </c>
    </row>
    <row r="2390" spans="1:21">
      <c r="A2390" t="str">
        <f t="shared" si="1191"/>
        <v>14/05/2025</v>
      </c>
      <c r="B2390" t="str">
        <f t="shared" si="1201"/>
        <v>ENTRADA</v>
      </c>
      <c r="C2390" t="str">
        <f t="shared" si="1192"/>
        <v>NFSE</v>
      </c>
      <c r="D2390" t="str">
        <f t="shared" si="1202"/>
        <v>2960</v>
      </c>
      <c r="E2390" t="str">
        <f t="shared" si="1189"/>
        <v>COM</v>
      </c>
      <c r="F2390" t="str">
        <f t="shared" si="1203"/>
        <v>FARMÁCIA INDIANA LJ 1 (10126)</v>
      </c>
      <c r="G2390" t="str">
        <f t="shared" si="1204"/>
        <v>Serv.Prest. 25/04/2025 a 04/05/2025 - RPS: 730 - NFSe: 2960</v>
      </c>
      <c r="H2390" t="str">
        <f t="shared" si="1196"/>
        <v>14/05/2025</v>
      </c>
      <c r="I2390" t="str">
        <f t="shared" si="1205"/>
        <v>06/05/2025</v>
      </c>
      <c r="J2390" t="str">
        <f t="shared" si="1198"/>
        <v>14/05/2025</v>
      </c>
      <c r="M2390">
        <v>303</v>
      </c>
      <c r="N2390" t="str">
        <f t="shared" si="1199"/>
        <v>RECEITAS COM ENTREGAS</v>
      </c>
      <c r="P2390">
        <v>319.89</v>
      </c>
      <c r="Q2390" t="str">
        <f>"FARMÁCIA INDIANA LJ 100 (10042)"</f>
        <v>FARMÁCIA INDIANA LJ 100 (10042)</v>
      </c>
      <c r="R2390" t="str">
        <f t="shared" si="1200"/>
        <v>RECEITAS COM ENTREGAS (303)</v>
      </c>
      <c r="S2390">
        <v>1533</v>
      </c>
      <c r="T2390">
        <v>1152</v>
      </c>
      <c r="U2390" t="s">
        <v>19</v>
      </c>
    </row>
    <row r="2391" spans="1:21">
      <c r="A2391" t="str">
        <f t="shared" si="1191"/>
        <v>14/05/2025</v>
      </c>
      <c r="B2391" t="str">
        <f t="shared" si="1201"/>
        <v>ENTRADA</v>
      </c>
      <c r="C2391" t="str">
        <f t="shared" si="1192"/>
        <v>NFSE</v>
      </c>
      <c r="D2391" t="str">
        <f t="shared" si="1202"/>
        <v>2960</v>
      </c>
      <c r="E2391" t="str">
        <f t="shared" ref="E2391:E2422" si="1206">"COM"</f>
        <v>COM</v>
      </c>
      <c r="F2391" t="str">
        <f t="shared" si="1203"/>
        <v>FARMÁCIA INDIANA LJ 1 (10126)</v>
      </c>
      <c r="G2391" t="str">
        <f t="shared" si="1204"/>
        <v>Serv.Prest. 25/04/2025 a 04/05/2025 - RPS: 730 - NFSe: 2960</v>
      </c>
      <c r="H2391" t="str">
        <f t="shared" si="1196"/>
        <v>14/05/2025</v>
      </c>
      <c r="I2391" t="str">
        <f t="shared" si="1205"/>
        <v>06/05/2025</v>
      </c>
      <c r="J2391" t="str">
        <f t="shared" si="1198"/>
        <v>14/05/2025</v>
      </c>
      <c r="M2391">
        <v>303</v>
      </c>
      <c r="N2391" t="str">
        <f t="shared" si="1199"/>
        <v>RECEITAS COM ENTREGAS</v>
      </c>
      <c r="P2391">
        <v>1021.25</v>
      </c>
      <c r="Q2391" t="str">
        <f>"FARMÁCIA INDIANA LJ 101 (10043)"</f>
        <v>FARMÁCIA INDIANA LJ 101 (10043)</v>
      </c>
      <c r="R2391" t="str">
        <f t="shared" si="1200"/>
        <v>RECEITAS COM ENTREGAS (303)</v>
      </c>
      <c r="S2391">
        <v>1533</v>
      </c>
      <c r="T2391">
        <v>1152</v>
      </c>
      <c r="U2391" t="s">
        <v>19</v>
      </c>
    </row>
    <row r="2392" spans="1:21">
      <c r="A2392" t="str">
        <f t="shared" si="1191"/>
        <v>14/05/2025</v>
      </c>
      <c r="B2392" t="str">
        <f t="shared" si="1201"/>
        <v>ENTRADA</v>
      </c>
      <c r="C2392" t="str">
        <f t="shared" si="1192"/>
        <v>NFSE</v>
      </c>
      <c r="D2392" t="str">
        <f t="shared" si="1202"/>
        <v>2960</v>
      </c>
      <c r="E2392" t="str">
        <f t="shared" si="1206"/>
        <v>COM</v>
      </c>
      <c r="F2392" t="str">
        <f t="shared" si="1203"/>
        <v>FARMÁCIA INDIANA LJ 1 (10126)</v>
      </c>
      <c r="G2392" t="str">
        <f t="shared" si="1204"/>
        <v>Serv.Prest. 25/04/2025 a 04/05/2025 - RPS: 730 - NFSe: 2960</v>
      </c>
      <c r="H2392" t="str">
        <f t="shared" si="1196"/>
        <v>14/05/2025</v>
      </c>
      <c r="I2392" t="str">
        <f t="shared" si="1205"/>
        <v>06/05/2025</v>
      </c>
      <c r="J2392" t="str">
        <f t="shared" si="1198"/>
        <v>14/05/2025</v>
      </c>
      <c r="M2392">
        <v>303</v>
      </c>
      <c r="N2392" t="str">
        <f t="shared" si="1199"/>
        <v>RECEITAS COM ENTREGAS</v>
      </c>
      <c r="P2392">
        <v>71.849999999999994</v>
      </c>
      <c r="Q2392" t="str">
        <f>"FARMÁCIA INDIANA LJ 103 (10044)"</f>
        <v>FARMÁCIA INDIANA LJ 103 (10044)</v>
      </c>
      <c r="R2392" t="str">
        <f t="shared" si="1200"/>
        <v>RECEITAS COM ENTREGAS (303)</v>
      </c>
      <c r="S2392">
        <v>1533</v>
      </c>
      <c r="T2392">
        <v>1152</v>
      </c>
      <c r="U2392" t="s">
        <v>19</v>
      </c>
    </row>
    <row r="2393" spans="1:21">
      <c r="A2393" t="str">
        <f t="shared" si="1191"/>
        <v>14/05/2025</v>
      </c>
      <c r="B2393" t="str">
        <f t="shared" si="1201"/>
        <v>ENTRADA</v>
      </c>
      <c r="C2393" t="str">
        <f t="shared" si="1192"/>
        <v>NFSE</v>
      </c>
      <c r="D2393" t="str">
        <f t="shared" si="1202"/>
        <v>2960</v>
      </c>
      <c r="E2393" t="str">
        <f t="shared" si="1206"/>
        <v>COM</v>
      </c>
      <c r="F2393" t="str">
        <f t="shared" si="1203"/>
        <v>FARMÁCIA INDIANA LJ 1 (10126)</v>
      </c>
      <c r="G2393" t="str">
        <f t="shared" si="1204"/>
        <v>Serv.Prest. 25/04/2025 a 04/05/2025 - RPS: 730 - NFSe: 2960</v>
      </c>
      <c r="H2393" t="str">
        <f t="shared" si="1196"/>
        <v>14/05/2025</v>
      </c>
      <c r="I2393" t="str">
        <f t="shared" si="1205"/>
        <v>06/05/2025</v>
      </c>
      <c r="J2393" t="str">
        <f t="shared" si="1198"/>
        <v>14/05/2025</v>
      </c>
      <c r="M2393">
        <v>303</v>
      </c>
      <c r="N2393" t="str">
        <f t="shared" si="1199"/>
        <v>RECEITAS COM ENTREGAS</v>
      </c>
      <c r="P2393">
        <v>162.51</v>
      </c>
      <c r="Q2393" t="str">
        <f>"FARMÁCIA INDIANA LJ 109 (10047)"</f>
        <v>FARMÁCIA INDIANA LJ 109 (10047)</v>
      </c>
      <c r="R2393" t="str">
        <f t="shared" si="1200"/>
        <v>RECEITAS COM ENTREGAS (303)</v>
      </c>
      <c r="S2393">
        <v>1533</v>
      </c>
      <c r="T2393">
        <v>1152</v>
      </c>
      <c r="U2393" t="s">
        <v>19</v>
      </c>
    </row>
    <row r="2394" spans="1:21">
      <c r="A2394" t="str">
        <f t="shared" si="1191"/>
        <v>14/05/2025</v>
      </c>
      <c r="B2394" t="str">
        <f t="shared" si="1201"/>
        <v>ENTRADA</v>
      </c>
      <c r="C2394" t="str">
        <f t="shared" si="1192"/>
        <v>NFSE</v>
      </c>
      <c r="D2394" t="str">
        <f t="shared" si="1202"/>
        <v>2960</v>
      </c>
      <c r="E2394" t="str">
        <f t="shared" si="1206"/>
        <v>COM</v>
      </c>
      <c r="F2394" t="str">
        <f t="shared" si="1203"/>
        <v>FARMÁCIA INDIANA LJ 1 (10126)</v>
      </c>
      <c r="G2394" t="str">
        <f t="shared" si="1204"/>
        <v>Serv.Prest. 25/04/2025 a 04/05/2025 - RPS: 730 - NFSe: 2960</v>
      </c>
      <c r="H2394" t="str">
        <f t="shared" si="1196"/>
        <v>14/05/2025</v>
      </c>
      <c r="I2394" t="str">
        <f t="shared" si="1205"/>
        <v>06/05/2025</v>
      </c>
      <c r="J2394" t="str">
        <f t="shared" si="1198"/>
        <v>14/05/2025</v>
      </c>
      <c r="M2394">
        <v>303</v>
      </c>
      <c r="N2394" t="str">
        <f t="shared" si="1199"/>
        <v>RECEITAS COM ENTREGAS</v>
      </c>
      <c r="P2394">
        <v>513.19000000000005</v>
      </c>
      <c r="Q2394" t="str">
        <f>"FARMÁCIA INDIANA LJ 110 (10048)"</f>
        <v>FARMÁCIA INDIANA LJ 110 (10048)</v>
      </c>
      <c r="R2394" t="str">
        <f t="shared" si="1200"/>
        <v>RECEITAS COM ENTREGAS (303)</v>
      </c>
      <c r="S2394">
        <v>1533</v>
      </c>
      <c r="T2394">
        <v>1152</v>
      </c>
      <c r="U2394" t="s">
        <v>19</v>
      </c>
    </row>
    <row r="2395" spans="1:21">
      <c r="A2395" t="str">
        <f t="shared" si="1191"/>
        <v>14/05/2025</v>
      </c>
      <c r="B2395" t="str">
        <f t="shared" si="1201"/>
        <v>ENTRADA</v>
      </c>
      <c r="C2395" t="str">
        <f t="shared" si="1192"/>
        <v>NFSE</v>
      </c>
      <c r="D2395" t="str">
        <f t="shared" si="1202"/>
        <v>2960</v>
      </c>
      <c r="E2395" t="str">
        <f t="shared" si="1206"/>
        <v>COM</v>
      </c>
      <c r="F2395" t="str">
        <f t="shared" si="1203"/>
        <v>FARMÁCIA INDIANA LJ 1 (10126)</v>
      </c>
      <c r="G2395" t="str">
        <f t="shared" si="1204"/>
        <v>Serv.Prest. 25/04/2025 a 04/05/2025 - RPS: 730 - NFSe: 2960</v>
      </c>
      <c r="H2395" t="str">
        <f t="shared" si="1196"/>
        <v>14/05/2025</v>
      </c>
      <c r="I2395" t="str">
        <f t="shared" si="1205"/>
        <v>06/05/2025</v>
      </c>
      <c r="J2395" t="str">
        <f t="shared" si="1198"/>
        <v>14/05/2025</v>
      </c>
      <c r="M2395">
        <v>303</v>
      </c>
      <c r="N2395" t="str">
        <f t="shared" si="1199"/>
        <v>RECEITAS COM ENTREGAS</v>
      </c>
      <c r="P2395">
        <v>65</v>
      </c>
      <c r="Q2395" t="str">
        <f>"FARMÁCIA INDIANA LJ 111 (10049)"</f>
        <v>FARMÁCIA INDIANA LJ 111 (10049)</v>
      </c>
      <c r="R2395" t="str">
        <f t="shared" si="1200"/>
        <v>RECEITAS COM ENTREGAS (303)</v>
      </c>
      <c r="S2395">
        <v>1533</v>
      </c>
      <c r="T2395">
        <v>1152</v>
      </c>
      <c r="U2395" t="s">
        <v>19</v>
      </c>
    </row>
    <row r="2396" spans="1:21">
      <c r="A2396" t="str">
        <f t="shared" si="1191"/>
        <v>14/05/2025</v>
      </c>
      <c r="B2396" t="str">
        <f t="shared" si="1201"/>
        <v>ENTRADA</v>
      </c>
      <c r="C2396" t="str">
        <f t="shared" si="1192"/>
        <v>NFSE</v>
      </c>
      <c r="D2396" t="str">
        <f t="shared" si="1202"/>
        <v>2960</v>
      </c>
      <c r="E2396" t="str">
        <f t="shared" si="1206"/>
        <v>COM</v>
      </c>
      <c r="F2396" t="str">
        <f t="shared" si="1203"/>
        <v>FARMÁCIA INDIANA LJ 1 (10126)</v>
      </c>
      <c r="G2396" t="str">
        <f t="shared" si="1204"/>
        <v>Serv.Prest. 25/04/2025 a 04/05/2025 - RPS: 730 - NFSe: 2960</v>
      </c>
      <c r="H2396" t="str">
        <f t="shared" si="1196"/>
        <v>14/05/2025</v>
      </c>
      <c r="I2396" t="str">
        <f t="shared" si="1205"/>
        <v>06/05/2025</v>
      </c>
      <c r="J2396" t="str">
        <f t="shared" si="1198"/>
        <v>14/05/2025</v>
      </c>
      <c r="M2396">
        <v>303</v>
      </c>
      <c r="N2396" t="str">
        <f t="shared" si="1199"/>
        <v>RECEITAS COM ENTREGAS</v>
      </c>
      <c r="P2396">
        <v>126.59</v>
      </c>
      <c r="Q2396" t="str">
        <f>"FARMÁCIA INDIANA LJ 112 (10050)"</f>
        <v>FARMÁCIA INDIANA LJ 112 (10050)</v>
      </c>
      <c r="R2396" t="str">
        <f t="shared" si="1200"/>
        <v>RECEITAS COM ENTREGAS (303)</v>
      </c>
      <c r="S2396">
        <v>1533</v>
      </c>
      <c r="T2396">
        <v>1152</v>
      </c>
      <c r="U2396" t="s">
        <v>19</v>
      </c>
    </row>
    <row r="2397" spans="1:21">
      <c r="A2397" t="str">
        <f t="shared" ref="A2397:A2428" si="1207">("14/05/2025")</f>
        <v>14/05/2025</v>
      </c>
      <c r="B2397" t="str">
        <f t="shared" si="1201"/>
        <v>ENTRADA</v>
      </c>
      <c r="C2397" t="str">
        <f t="shared" ref="C2397:C2428" si="1208">"NFSE"</f>
        <v>NFSE</v>
      </c>
      <c r="D2397" t="str">
        <f t="shared" si="1202"/>
        <v>2960</v>
      </c>
      <c r="E2397" t="str">
        <f t="shared" si="1206"/>
        <v>COM</v>
      </c>
      <c r="F2397" t="str">
        <f t="shared" si="1203"/>
        <v>FARMÁCIA INDIANA LJ 1 (10126)</v>
      </c>
      <c r="G2397" t="str">
        <f t="shared" si="1204"/>
        <v>Serv.Prest. 25/04/2025 a 04/05/2025 - RPS: 730 - NFSe: 2960</v>
      </c>
      <c r="H2397" t="str">
        <f t="shared" ref="H2397:H2428" si="1209">("14/05/2025")</f>
        <v>14/05/2025</v>
      </c>
      <c r="I2397" t="str">
        <f t="shared" si="1205"/>
        <v>06/05/2025</v>
      </c>
      <c r="J2397" t="str">
        <f t="shared" ref="J2397:J2428" si="1210">("14/05/2025")</f>
        <v>14/05/2025</v>
      </c>
      <c r="M2397">
        <v>303</v>
      </c>
      <c r="N2397" t="str">
        <f t="shared" ref="N2397:N2428" si="1211">"RECEITAS COM ENTREGAS"</f>
        <v>RECEITAS COM ENTREGAS</v>
      </c>
      <c r="P2397">
        <v>126.59</v>
      </c>
      <c r="Q2397" t="str">
        <f>"FARMÁCIA INDIANA LJ 116 (10051)"</f>
        <v>FARMÁCIA INDIANA LJ 116 (10051)</v>
      </c>
      <c r="R2397" t="str">
        <f t="shared" ref="R2397:R2428" si="1212">"RECEITAS COM ENTREGAS (303)"</f>
        <v>RECEITAS COM ENTREGAS (303)</v>
      </c>
      <c r="S2397">
        <v>1533</v>
      </c>
      <c r="T2397">
        <v>1152</v>
      </c>
      <c r="U2397" t="s">
        <v>19</v>
      </c>
    </row>
    <row r="2398" spans="1:21">
      <c r="A2398" t="str">
        <f t="shared" si="1207"/>
        <v>14/05/2025</v>
      </c>
      <c r="B2398" t="str">
        <f t="shared" si="1201"/>
        <v>ENTRADA</v>
      </c>
      <c r="C2398" t="str">
        <f t="shared" si="1208"/>
        <v>NFSE</v>
      </c>
      <c r="D2398" t="str">
        <f t="shared" si="1202"/>
        <v>2960</v>
      </c>
      <c r="E2398" t="str">
        <f t="shared" si="1206"/>
        <v>COM</v>
      </c>
      <c r="F2398" t="str">
        <f t="shared" si="1203"/>
        <v>FARMÁCIA INDIANA LJ 1 (10126)</v>
      </c>
      <c r="G2398" t="str">
        <f t="shared" si="1204"/>
        <v>Serv.Prest. 25/04/2025 a 04/05/2025 - RPS: 730 - NFSe: 2960</v>
      </c>
      <c r="H2398" t="str">
        <f t="shared" si="1209"/>
        <v>14/05/2025</v>
      </c>
      <c r="I2398" t="str">
        <f t="shared" si="1205"/>
        <v>06/05/2025</v>
      </c>
      <c r="J2398" t="str">
        <f t="shared" si="1210"/>
        <v>14/05/2025</v>
      </c>
      <c r="M2398">
        <v>303</v>
      </c>
      <c r="N2398" t="str">
        <f t="shared" si="1211"/>
        <v>RECEITAS COM ENTREGAS</v>
      </c>
      <c r="P2398">
        <v>112.9</v>
      </c>
      <c r="Q2398" t="str">
        <f>"FARMÁCIA INDIANA LJ 118 (10052)"</f>
        <v>FARMÁCIA INDIANA LJ 118 (10052)</v>
      </c>
      <c r="R2398" t="str">
        <f t="shared" si="1212"/>
        <v>RECEITAS COM ENTREGAS (303)</v>
      </c>
      <c r="S2398">
        <v>1533</v>
      </c>
      <c r="T2398">
        <v>1152</v>
      </c>
      <c r="U2398" t="s">
        <v>19</v>
      </c>
    </row>
    <row r="2399" spans="1:21">
      <c r="A2399" t="str">
        <f t="shared" si="1207"/>
        <v>14/05/2025</v>
      </c>
      <c r="B2399" t="str">
        <f t="shared" si="1201"/>
        <v>ENTRADA</v>
      </c>
      <c r="C2399" t="str">
        <f t="shared" si="1208"/>
        <v>NFSE</v>
      </c>
      <c r="D2399" t="str">
        <f t="shared" si="1202"/>
        <v>2960</v>
      </c>
      <c r="E2399" t="str">
        <f t="shared" si="1206"/>
        <v>COM</v>
      </c>
      <c r="F2399" t="str">
        <f t="shared" si="1203"/>
        <v>FARMÁCIA INDIANA LJ 1 (10126)</v>
      </c>
      <c r="G2399" t="str">
        <f t="shared" si="1204"/>
        <v>Serv.Prest. 25/04/2025 a 04/05/2025 - RPS: 730 - NFSe: 2960</v>
      </c>
      <c r="H2399" t="str">
        <f t="shared" si="1209"/>
        <v>14/05/2025</v>
      </c>
      <c r="I2399" t="str">
        <f t="shared" si="1205"/>
        <v>06/05/2025</v>
      </c>
      <c r="J2399" t="str">
        <f t="shared" si="1210"/>
        <v>14/05/2025</v>
      </c>
      <c r="M2399">
        <v>303</v>
      </c>
      <c r="N2399" t="str">
        <f t="shared" si="1211"/>
        <v>RECEITAS COM ENTREGAS</v>
      </c>
      <c r="P2399">
        <v>126.59</v>
      </c>
      <c r="Q2399" t="str">
        <f>"FARMÁCIA INDIANA LJ 121 (10054)"</f>
        <v>FARMÁCIA INDIANA LJ 121 (10054)</v>
      </c>
      <c r="R2399" t="str">
        <f t="shared" si="1212"/>
        <v>RECEITAS COM ENTREGAS (303)</v>
      </c>
      <c r="S2399">
        <v>1533</v>
      </c>
      <c r="T2399">
        <v>1152</v>
      </c>
      <c r="U2399" t="s">
        <v>19</v>
      </c>
    </row>
    <row r="2400" spans="1:21">
      <c r="A2400" t="str">
        <f t="shared" si="1207"/>
        <v>14/05/2025</v>
      </c>
      <c r="B2400" t="str">
        <f t="shared" si="1201"/>
        <v>ENTRADA</v>
      </c>
      <c r="C2400" t="str">
        <f t="shared" si="1208"/>
        <v>NFSE</v>
      </c>
      <c r="D2400" t="str">
        <f t="shared" si="1202"/>
        <v>2960</v>
      </c>
      <c r="E2400" t="str">
        <f t="shared" si="1206"/>
        <v>COM</v>
      </c>
      <c r="F2400" t="str">
        <f t="shared" si="1203"/>
        <v>FARMÁCIA INDIANA LJ 1 (10126)</v>
      </c>
      <c r="G2400" t="str">
        <f t="shared" si="1204"/>
        <v>Serv.Prest. 25/04/2025 a 04/05/2025 - RPS: 730 - NFSe: 2960</v>
      </c>
      <c r="H2400" t="str">
        <f t="shared" si="1209"/>
        <v>14/05/2025</v>
      </c>
      <c r="I2400" t="str">
        <f t="shared" si="1205"/>
        <v>06/05/2025</v>
      </c>
      <c r="J2400" t="str">
        <f t="shared" si="1210"/>
        <v>14/05/2025</v>
      </c>
      <c r="M2400">
        <v>303</v>
      </c>
      <c r="N2400" t="str">
        <f t="shared" si="1211"/>
        <v>RECEITAS COM ENTREGAS</v>
      </c>
      <c r="P2400">
        <v>126.59</v>
      </c>
      <c r="Q2400" t="str">
        <f>"FARMÁCIA INDIANA LJ 128 (10057)"</f>
        <v>FARMÁCIA INDIANA LJ 128 (10057)</v>
      </c>
      <c r="R2400" t="str">
        <f t="shared" si="1212"/>
        <v>RECEITAS COM ENTREGAS (303)</v>
      </c>
      <c r="S2400">
        <v>1533</v>
      </c>
      <c r="T2400">
        <v>1152</v>
      </c>
      <c r="U2400" t="s">
        <v>19</v>
      </c>
    </row>
    <row r="2401" spans="1:21">
      <c r="A2401" t="str">
        <f t="shared" si="1207"/>
        <v>14/05/2025</v>
      </c>
      <c r="B2401" t="str">
        <f t="shared" si="1201"/>
        <v>ENTRADA</v>
      </c>
      <c r="C2401" t="str">
        <f t="shared" si="1208"/>
        <v>NFSE</v>
      </c>
      <c r="D2401" t="str">
        <f t="shared" si="1202"/>
        <v>2960</v>
      </c>
      <c r="E2401" t="str">
        <f t="shared" si="1206"/>
        <v>COM</v>
      </c>
      <c r="F2401" t="str">
        <f t="shared" si="1203"/>
        <v>FARMÁCIA INDIANA LJ 1 (10126)</v>
      </c>
      <c r="G2401" t="str">
        <f t="shared" si="1204"/>
        <v>Serv.Prest. 25/04/2025 a 04/05/2025 - RPS: 730 - NFSe: 2960</v>
      </c>
      <c r="H2401" t="str">
        <f t="shared" si="1209"/>
        <v>14/05/2025</v>
      </c>
      <c r="I2401" t="str">
        <f t="shared" si="1205"/>
        <v>06/05/2025</v>
      </c>
      <c r="J2401" t="str">
        <f t="shared" si="1210"/>
        <v>14/05/2025</v>
      </c>
      <c r="M2401">
        <v>303</v>
      </c>
      <c r="N2401" t="str">
        <f t="shared" si="1211"/>
        <v>RECEITAS COM ENTREGAS</v>
      </c>
      <c r="P2401">
        <v>29.08</v>
      </c>
      <c r="Q2401" t="str">
        <f>"FARMÁCIA INDIANA LJ 140 (10064)"</f>
        <v>FARMÁCIA INDIANA LJ 140 (10064)</v>
      </c>
      <c r="R2401" t="str">
        <f t="shared" si="1212"/>
        <v>RECEITAS COM ENTREGAS (303)</v>
      </c>
      <c r="S2401">
        <v>1533</v>
      </c>
      <c r="T2401">
        <v>1152</v>
      </c>
      <c r="U2401" t="s">
        <v>19</v>
      </c>
    </row>
    <row r="2402" spans="1:21">
      <c r="A2402" t="str">
        <f t="shared" si="1207"/>
        <v>14/05/2025</v>
      </c>
      <c r="B2402" t="str">
        <f t="shared" si="1201"/>
        <v>ENTRADA</v>
      </c>
      <c r="C2402" t="str">
        <f t="shared" si="1208"/>
        <v>NFSE</v>
      </c>
      <c r="D2402" t="str">
        <f t="shared" si="1202"/>
        <v>2960</v>
      </c>
      <c r="E2402" t="str">
        <f t="shared" si="1206"/>
        <v>COM</v>
      </c>
      <c r="F2402" t="str">
        <f t="shared" si="1203"/>
        <v>FARMÁCIA INDIANA LJ 1 (10126)</v>
      </c>
      <c r="G2402" t="str">
        <f t="shared" si="1204"/>
        <v>Serv.Prest. 25/04/2025 a 04/05/2025 - RPS: 730 - NFSe: 2960</v>
      </c>
      <c r="H2402" t="str">
        <f t="shared" si="1209"/>
        <v>14/05/2025</v>
      </c>
      <c r="I2402" t="str">
        <f t="shared" si="1205"/>
        <v>06/05/2025</v>
      </c>
      <c r="J2402" t="str">
        <f t="shared" si="1210"/>
        <v>14/05/2025</v>
      </c>
      <c r="M2402">
        <v>303</v>
      </c>
      <c r="N2402" t="str">
        <f t="shared" si="1211"/>
        <v>RECEITAS COM ENTREGAS</v>
      </c>
      <c r="P2402">
        <v>20.53</v>
      </c>
      <c r="Q2402" t="str">
        <f>"FARMÁCIA INDIANA LJ 141 (10065)"</f>
        <v>FARMÁCIA INDIANA LJ 141 (10065)</v>
      </c>
      <c r="R2402" t="str">
        <f t="shared" si="1212"/>
        <v>RECEITAS COM ENTREGAS (303)</v>
      </c>
      <c r="S2402">
        <v>1533</v>
      </c>
      <c r="T2402">
        <v>1152</v>
      </c>
      <c r="U2402" t="s">
        <v>19</v>
      </c>
    </row>
    <row r="2403" spans="1:21">
      <c r="A2403" t="str">
        <f t="shared" si="1207"/>
        <v>14/05/2025</v>
      </c>
      <c r="B2403" t="str">
        <f t="shared" si="1201"/>
        <v>ENTRADA</v>
      </c>
      <c r="C2403" t="str">
        <f t="shared" si="1208"/>
        <v>NFSE</v>
      </c>
      <c r="D2403" t="str">
        <f t="shared" si="1202"/>
        <v>2960</v>
      </c>
      <c r="E2403" t="str">
        <f t="shared" si="1206"/>
        <v>COM</v>
      </c>
      <c r="F2403" t="str">
        <f t="shared" si="1203"/>
        <v>FARMÁCIA INDIANA LJ 1 (10126)</v>
      </c>
      <c r="G2403" t="str">
        <f t="shared" si="1204"/>
        <v>Serv.Prest. 25/04/2025 a 04/05/2025 - RPS: 730 - NFSe: 2960</v>
      </c>
      <c r="H2403" t="str">
        <f t="shared" si="1209"/>
        <v>14/05/2025</v>
      </c>
      <c r="I2403" t="str">
        <f t="shared" si="1205"/>
        <v>06/05/2025</v>
      </c>
      <c r="J2403" t="str">
        <f t="shared" si="1210"/>
        <v>14/05/2025</v>
      </c>
      <c r="M2403">
        <v>303</v>
      </c>
      <c r="N2403" t="str">
        <f t="shared" si="1211"/>
        <v>RECEITAS COM ENTREGAS</v>
      </c>
      <c r="P2403">
        <v>973.35</v>
      </c>
      <c r="Q2403" t="str">
        <f>"FARMÁCIA INDIANA LJ 142 (10066)"</f>
        <v>FARMÁCIA INDIANA LJ 142 (10066)</v>
      </c>
      <c r="R2403" t="str">
        <f t="shared" si="1212"/>
        <v>RECEITAS COM ENTREGAS (303)</v>
      </c>
      <c r="S2403">
        <v>1533</v>
      </c>
      <c r="T2403">
        <v>1152</v>
      </c>
      <c r="U2403" t="s">
        <v>19</v>
      </c>
    </row>
    <row r="2404" spans="1:21">
      <c r="A2404" t="str">
        <f t="shared" si="1207"/>
        <v>14/05/2025</v>
      </c>
      <c r="B2404" t="str">
        <f t="shared" si="1201"/>
        <v>ENTRADA</v>
      </c>
      <c r="C2404" t="str">
        <f t="shared" si="1208"/>
        <v>NFSE</v>
      </c>
      <c r="D2404" t="str">
        <f t="shared" si="1202"/>
        <v>2960</v>
      </c>
      <c r="E2404" t="str">
        <f t="shared" si="1206"/>
        <v>COM</v>
      </c>
      <c r="F2404" t="str">
        <f t="shared" si="1203"/>
        <v>FARMÁCIA INDIANA LJ 1 (10126)</v>
      </c>
      <c r="G2404" t="str">
        <f t="shared" si="1204"/>
        <v>Serv.Prest. 25/04/2025 a 04/05/2025 - RPS: 730 - NFSe: 2960</v>
      </c>
      <c r="H2404" t="str">
        <f t="shared" si="1209"/>
        <v>14/05/2025</v>
      </c>
      <c r="I2404" t="str">
        <f t="shared" si="1205"/>
        <v>06/05/2025</v>
      </c>
      <c r="J2404" t="str">
        <f t="shared" si="1210"/>
        <v>14/05/2025</v>
      </c>
      <c r="M2404">
        <v>303</v>
      </c>
      <c r="N2404" t="str">
        <f t="shared" si="1211"/>
        <v>RECEITAS COM ENTREGAS</v>
      </c>
      <c r="P2404">
        <v>66.709999999999994</v>
      </c>
      <c r="Q2404" t="str">
        <f>"FARMÁCIA INDIANA LJ 143 (10067)"</f>
        <v>FARMÁCIA INDIANA LJ 143 (10067)</v>
      </c>
      <c r="R2404" t="str">
        <f t="shared" si="1212"/>
        <v>RECEITAS COM ENTREGAS (303)</v>
      </c>
      <c r="S2404">
        <v>1533</v>
      </c>
      <c r="T2404">
        <v>1152</v>
      </c>
      <c r="U2404" t="s">
        <v>19</v>
      </c>
    </row>
    <row r="2405" spans="1:21">
      <c r="A2405" t="str">
        <f t="shared" si="1207"/>
        <v>14/05/2025</v>
      </c>
      <c r="B2405" t="str">
        <f t="shared" si="1201"/>
        <v>ENTRADA</v>
      </c>
      <c r="C2405" t="str">
        <f t="shared" si="1208"/>
        <v>NFSE</v>
      </c>
      <c r="D2405" t="str">
        <f t="shared" si="1202"/>
        <v>2960</v>
      </c>
      <c r="E2405" t="str">
        <f t="shared" si="1206"/>
        <v>COM</v>
      </c>
      <c r="F2405" t="str">
        <f t="shared" si="1203"/>
        <v>FARMÁCIA INDIANA LJ 1 (10126)</v>
      </c>
      <c r="G2405" t="str">
        <f t="shared" si="1204"/>
        <v>Serv.Prest. 25/04/2025 a 04/05/2025 - RPS: 730 - NFSe: 2960</v>
      </c>
      <c r="H2405" t="str">
        <f t="shared" si="1209"/>
        <v>14/05/2025</v>
      </c>
      <c r="I2405" t="str">
        <f t="shared" si="1205"/>
        <v>06/05/2025</v>
      </c>
      <c r="J2405" t="str">
        <f t="shared" si="1210"/>
        <v>14/05/2025</v>
      </c>
      <c r="M2405">
        <v>303</v>
      </c>
      <c r="N2405" t="str">
        <f t="shared" si="1211"/>
        <v>RECEITAS COM ENTREGAS</v>
      </c>
      <c r="P2405">
        <v>225.8</v>
      </c>
      <c r="Q2405" t="str">
        <f>"FARMÁCIA INDIANA LJ 152 (10069)"</f>
        <v>FARMÁCIA INDIANA LJ 152 (10069)</v>
      </c>
      <c r="R2405" t="str">
        <f t="shared" si="1212"/>
        <v>RECEITAS COM ENTREGAS (303)</v>
      </c>
      <c r="S2405">
        <v>1533</v>
      </c>
      <c r="T2405">
        <v>1152</v>
      </c>
      <c r="U2405" t="s">
        <v>19</v>
      </c>
    </row>
    <row r="2406" spans="1:21">
      <c r="A2406" t="str">
        <f t="shared" si="1207"/>
        <v>14/05/2025</v>
      </c>
      <c r="B2406" t="str">
        <f t="shared" si="1201"/>
        <v>ENTRADA</v>
      </c>
      <c r="C2406" t="str">
        <f t="shared" si="1208"/>
        <v>NFSE</v>
      </c>
      <c r="D2406" t="str">
        <f t="shared" si="1202"/>
        <v>2960</v>
      </c>
      <c r="E2406" t="str">
        <f t="shared" si="1206"/>
        <v>COM</v>
      </c>
      <c r="F2406" t="str">
        <f t="shared" si="1203"/>
        <v>FARMÁCIA INDIANA LJ 1 (10126)</v>
      </c>
      <c r="G2406" t="str">
        <f t="shared" si="1204"/>
        <v>Serv.Prest. 25/04/2025 a 04/05/2025 - RPS: 730 - NFSe: 2960</v>
      </c>
      <c r="H2406" t="str">
        <f t="shared" si="1209"/>
        <v>14/05/2025</v>
      </c>
      <c r="I2406" t="str">
        <f t="shared" si="1205"/>
        <v>06/05/2025</v>
      </c>
      <c r="J2406" t="str">
        <f t="shared" si="1210"/>
        <v>14/05/2025</v>
      </c>
      <c r="M2406">
        <v>303</v>
      </c>
      <c r="N2406" t="str">
        <f t="shared" si="1211"/>
        <v>RECEITAS COM ENTREGAS</v>
      </c>
      <c r="P2406">
        <v>39.340000000000003</v>
      </c>
      <c r="Q2406" t="str">
        <f>"FARMÁCIA INDIANA LJ 154 (10070)"</f>
        <v>FARMÁCIA INDIANA LJ 154 (10070)</v>
      </c>
      <c r="R2406" t="str">
        <f t="shared" si="1212"/>
        <v>RECEITAS COM ENTREGAS (303)</v>
      </c>
      <c r="S2406">
        <v>1533</v>
      </c>
      <c r="T2406">
        <v>1152</v>
      </c>
      <c r="U2406" t="s">
        <v>19</v>
      </c>
    </row>
    <row r="2407" spans="1:21">
      <c r="A2407" t="str">
        <f t="shared" si="1207"/>
        <v>14/05/2025</v>
      </c>
      <c r="B2407" t="str">
        <f t="shared" si="1201"/>
        <v>ENTRADA</v>
      </c>
      <c r="C2407" t="str">
        <f t="shared" si="1208"/>
        <v>NFSE</v>
      </c>
      <c r="D2407" t="str">
        <f t="shared" si="1202"/>
        <v>2960</v>
      </c>
      <c r="E2407" t="str">
        <f t="shared" si="1206"/>
        <v>COM</v>
      </c>
      <c r="F2407" t="str">
        <f t="shared" si="1203"/>
        <v>FARMÁCIA INDIANA LJ 1 (10126)</v>
      </c>
      <c r="G2407" t="str">
        <f t="shared" si="1204"/>
        <v>Serv.Prest. 25/04/2025 a 04/05/2025 - RPS: 730 - NFSe: 2960</v>
      </c>
      <c r="H2407" t="str">
        <f t="shared" si="1209"/>
        <v>14/05/2025</v>
      </c>
      <c r="I2407" t="str">
        <f t="shared" si="1205"/>
        <v>06/05/2025</v>
      </c>
      <c r="J2407" t="str">
        <f t="shared" si="1210"/>
        <v>14/05/2025</v>
      </c>
      <c r="M2407">
        <v>303</v>
      </c>
      <c r="N2407" t="str">
        <f t="shared" si="1211"/>
        <v>RECEITAS COM ENTREGAS</v>
      </c>
      <c r="P2407">
        <v>342.13</v>
      </c>
      <c r="Q2407" t="str">
        <f>"FARMÁCIA INDIANA LJ 171 (10074)"</f>
        <v>FARMÁCIA INDIANA LJ 171 (10074)</v>
      </c>
      <c r="R2407" t="str">
        <f t="shared" si="1212"/>
        <v>RECEITAS COM ENTREGAS (303)</v>
      </c>
      <c r="S2407">
        <v>1533</v>
      </c>
      <c r="T2407">
        <v>1152</v>
      </c>
      <c r="U2407" t="s">
        <v>19</v>
      </c>
    </row>
    <row r="2408" spans="1:21">
      <c r="A2408" t="str">
        <f t="shared" si="1207"/>
        <v>14/05/2025</v>
      </c>
      <c r="B2408" t="str">
        <f t="shared" si="1201"/>
        <v>ENTRADA</v>
      </c>
      <c r="C2408" t="str">
        <f t="shared" si="1208"/>
        <v>NFSE</v>
      </c>
      <c r="D2408" t="str">
        <f t="shared" si="1202"/>
        <v>2960</v>
      </c>
      <c r="E2408" t="str">
        <f t="shared" si="1206"/>
        <v>COM</v>
      </c>
      <c r="F2408" t="str">
        <f t="shared" si="1203"/>
        <v>FARMÁCIA INDIANA LJ 1 (10126)</v>
      </c>
      <c r="G2408" t="str">
        <f t="shared" si="1204"/>
        <v>Serv.Prest. 25/04/2025 a 04/05/2025 - RPS: 730 - NFSe: 2960</v>
      </c>
      <c r="H2408" t="str">
        <f t="shared" si="1209"/>
        <v>14/05/2025</v>
      </c>
      <c r="I2408" t="str">
        <f t="shared" si="1205"/>
        <v>06/05/2025</v>
      </c>
      <c r="J2408" t="str">
        <f t="shared" si="1210"/>
        <v>14/05/2025</v>
      </c>
      <c r="M2408">
        <v>303</v>
      </c>
      <c r="N2408" t="str">
        <f t="shared" si="1211"/>
        <v>RECEITAS COM ENTREGAS</v>
      </c>
      <c r="P2408">
        <v>131.72</v>
      </c>
      <c r="Q2408" t="str">
        <f>"FARMÁCIA INDIANA LJ 175 (10076)"</f>
        <v>FARMÁCIA INDIANA LJ 175 (10076)</v>
      </c>
      <c r="R2408" t="str">
        <f t="shared" si="1212"/>
        <v>RECEITAS COM ENTREGAS (303)</v>
      </c>
      <c r="S2408">
        <v>1533</v>
      </c>
      <c r="T2408">
        <v>1152</v>
      </c>
      <c r="U2408" t="s">
        <v>19</v>
      </c>
    </row>
    <row r="2409" spans="1:21">
      <c r="A2409" t="str">
        <f t="shared" si="1207"/>
        <v>14/05/2025</v>
      </c>
      <c r="B2409" t="str">
        <f t="shared" si="1201"/>
        <v>ENTRADA</v>
      </c>
      <c r="C2409" t="str">
        <f t="shared" si="1208"/>
        <v>NFSE</v>
      </c>
      <c r="D2409" t="str">
        <f t="shared" si="1202"/>
        <v>2960</v>
      </c>
      <c r="E2409" t="str">
        <f t="shared" si="1206"/>
        <v>COM</v>
      </c>
      <c r="F2409" t="str">
        <f t="shared" si="1203"/>
        <v>FARMÁCIA INDIANA LJ 1 (10126)</v>
      </c>
      <c r="G2409" t="str">
        <f t="shared" si="1204"/>
        <v>Serv.Prest. 25/04/2025 a 04/05/2025 - RPS: 730 - NFSe: 2960</v>
      </c>
      <c r="H2409" t="str">
        <f t="shared" si="1209"/>
        <v>14/05/2025</v>
      </c>
      <c r="I2409" t="str">
        <f t="shared" ref="I2409:I2431" si="1213">("06/05/2025")</f>
        <v>06/05/2025</v>
      </c>
      <c r="J2409" t="str">
        <f t="shared" si="1210"/>
        <v>14/05/2025</v>
      </c>
      <c r="M2409">
        <v>303</v>
      </c>
      <c r="N2409" t="str">
        <f t="shared" si="1211"/>
        <v>RECEITAS COM ENTREGAS</v>
      </c>
      <c r="P2409">
        <v>114.61</v>
      </c>
      <c r="Q2409" t="str">
        <f>"FARMÁCIA INDIANA LJ 178 (10077)"</f>
        <v>FARMÁCIA INDIANA LJ 178 (10077)</v>
      </c>
      <c r="R2409" t="str">
        <f t="shared" si="1212"/>
        <v>RECEITAS COM ENTREGAS (303)</v>
      </c>
      <c r="S2409">
        <v>1533</v>
      </c>
      <c r="T2409">
        <v>1152</v>
      </c>
      <c r="U2409" t="s">
        <v>19</v>
      </c>
    </row>
    <row r="2410" spans="1:21">
      <c r="A2410" t="str">
        <f t="shared" si="1207"/>
        <v>14/05/2025</v>
      </c>
      <c r="B2410" t="str">
        <f t="shared" si="1201"/>
        <v>ENTRADA</v>
      </c>
      <c r="C2410" t="str">
        <f t="shared" si="1208"/>
        <v>NFSE</v>
      </c>
      <c r="D2410" t="str">
        <f t="shared" si="1202"/>
        <v>2960</v>
      </c>
      <c r="E2410" t="str">
        <f t="shared" si="1206"/>
        <v>COM</v>
      </c>
      <c r="F2410" t="str">
        <f t="shared" si="1203"/>
        <v>FARMÁCIA INDIANA LJ 1 (10126)</v>
      </c>
      <c r="G2410" t="str">
        <f t="shared" si="1204"/>
        <v>Serv.Prest. 25/04/2025 a 04/05/2025 - RPS: 730 - NFSe: 2960</v>
      </c>
      <c r="H2410" t="str">
        <f t="shared" si="1209"/>
        <v>14/05/2025</v>
      </c>
      <c r="I2410" t="str">
        <f t="shared" si="1213"/>
        <v>06/05/2025</v>
      </c>
      <c r="J2410" t="str">
        <f t="shared" si="1210"/>
        <v>14/05/2025</v>
      </c>
      <c r="M2410">
        <v>303</v>
      </c>
      <c r="N2410" t="str">
        <f t="shared" si="1211"/>
        <v>RECEITAS COM ENTREGAS</v>
      </c>
      <c r="P2410">
        <v>80.400000000000006</v>
      </c>
      <c r="Q2410" t="str">
        <f>"FARMÁCIA INDIANA LJ 182 (10079)"</f>
        <v>FARMÁCIA INDIANA LJ 182 (10079)</v>
      </c>
      <c r="R2410" t="str">
        <f t="shared" si="1212"/>
        <v>RECEITAS COM ENTREGAS (303)</v>
      </c>
      <c r="S2410">
        <v>1533</v>
      </c>
      <c r="T2410">
        <v>1152</v>
      </c>
      <c r="U2410" t="s">
        <v>19</v>
      </c>
    </row>
    <row r="2411" spans="1:21">
      <c r="A2411" t="str">
        <f t="shared" si="1207"/>
        <v>14/05/2025</v>
      </c>
      <c r="B2411" t="str">
        <f t="shared" si="1201"/>
        <v>ENTRADA</v>
      </c>
      <c r="C2411" t="str">
        <f t="shared" si="1208"/>
        <v>NFSE</v>
      </c>
      <c r="D2411" t="str">
        <f t="shared" si="1202"/>
        <v>2960</v>
      </c>
      <c r="E2411" t="str">
        <f t="shared" si="1206"/>
        <v>COM</v>
      </c>
      <c r="F2411" t="str">
        <f t="shared" si="1203"/>
        <v>FARMÁCIA INDIANA LJ 1 (10126)</v>
      </c>
      <c r="G2411" t="str">
        <f t="shared" si="1204"/>
        <v>Serv.Prest. 25/04/2025 a 04/05/2025 - RPS: 730 - NFSe: 2960</v>
      </c>
      <c r="H2411" t="str">
        <f t="shared" si="1209"/>
        <v>14/05/2025</v>
      </c>
      <c r="I2411" t="str">
        <f t="shared" si="1213"/>
        <v>06/05/2025</v>
      </c>
      <c r="J2411" t="str">
        <f t="shared" si="1210"/>
        <v>14/05/2025</v>
      </c>
      <c r="M2411">
        <v>303</v>
      </c>
      <c r="N2411" t="str">
        <f t="shared" si="1211"/>
        <v>RECEITAS COM ENTREGAS</v>
      </c>
      <c r="P2411">
        <v>39.340000000000003</v>
      </c>
      <c r="Q2411" t="str">
        <f>"FARMÁCIA INDIANA LJ 184 (10080)"</f>
        <v>FARMÁCIA INDIANA LJ 184 (10080)</v>
      </c>
      <c r="R2411" t="str">
        <f t="shared" si="1212"/>
        <v>RECEITAS COM ENTREGAS (303)</v>
      </c>
      <c r="S2411">
        <v>1533</v>
      </c>
      <c r="T2411">
        <v>1152</v>
      </c>
      <c r="U2411" t="s">
        <v>19</v>
      </c>
    </row>
    <row r="2412" spans="1:21">
      <c r="A2412" t="str">
        <f t="shared" si="1207"/>
        <v>14/05/2025</v>
      </c>
      <c r="B2412" t="str">
        <f t="shared" si="1201"/>
        <v>ENTRADA</v>
      </c>
      <c r="C2412" t="str">
        <f t="shared" si="1208"/>
        <v>NFSE</v>
      </c>
      <c r="D2412" t="str">
        <f t="shared" si="1202"/>
        <v>2960</v>
      </c>
      <c r="E2412" t="str">
        <f t="shared" si="1206"/>
        <v>COM</v>
      </c>
      <c r="F2412" t="str">
        <f t="shared" si="1203"/>
        <v>FARMÁCIA INDIANA LJ 1 (10126)</v>
      </c>
      <c r="G2412" t="str">
        <f t="shared" si="1204"/>
        <v>Serv.Prest. 25/04/2025 a 04/05/2025 - RPS: 730 - NFSe: 2960</v>
      </c>
      <c r="H2412" t="str">
        <f t="shared" si="1209"/>
        <v>14/05/2025</v>
      </c>
      <c r="I2412" t="str">
        <f t="shared" si="1213"/>
        <v>06/05/2025</v>
      </c>
      <c r="J2412" t="str">
        <f t="shared" si="1210"/>
        <v>14/05/2025</v>
      </c>
      <c r="M2412">
        <v>303</v>
      </c>
      <c r="N2412" t="str">
        <f t="shared" si="1211"/>
        <v>RECEITAS COM ENTREGAS</v>
      </c>
      <c r="P2412">
        <v>80.400000000000006</v>
      </c>
      <c r="Q2412" t="str">
        <f>"FARMÁCIA INDIANA LJ 186 (10081)"</f>
        <v>FARMÁCIA INDIANA LJ 186 (10081)</v>
      </c>
      <c r="R2412" t="str">
        <f t="shared" si="1212"/>
        <v>RECEITAS COM ENTREGAS (303)</v>
      </c>
      <c r="S2412">
        <v>1533</v>
      </c>
      <c r="T2412">
        <v>1152</v>
      </c>
      <c r="U2412" t="s">
        <v>19</v>
      </c>
    </row>
    <row r="2413" spans="1:21">
      <c r="A2413" t="str">
        <f t="shared" si="1207"/>
        <v>14/05/2025</v>
      </c>
      <c r="B2413" t="str">
        <f t="shared" si="1201"/>
        <v>ENTRADA</v>
      </c>
      <c r="C2413" t="str">
        <f t="shared" si="1208"/>
        <v>NFSE</v>
      </c>
      <c r="D2413" t="str">
        <f t="shared" si="1202"/>
        <v>2960</v>
      </c>
      <c r="E2413" t="str">
        <f t="shared" si="1206"/>
        <v>COM</v>
      </c>
      <c r="F2413" t="str">
        <f t="shared" si="1203"/>
        <v>FARMÁCIA INDIANA LJ 1 (10126)</v>
      </c>
      <c r="G2413" t="str">
        <f t="shared" si="1204"/>
        <v>Serv.Prest. 25/04/2025 a 04/05/2025 - RPS: 730 - NFSe: 2960</v>
      </c>
      <c r="H2413" t="str">
        <f t="shared" si="1209"/>
        <v>14/05/2025</v>
      </c>
      <c r="I2413" t="str">
        <f t="shared" si="1213"/>
        <v>06/05/2025</v>
      </c>
      <c r="J2413" t="str">
        <f t="shared" si="1210"/>
        <v>14/05/2025</v>
      </c>
      <c r="M2413">
        <v>303</v>
      </c>
      <c r="N2413" t="str">
        <f t="shared" si="1211"/>
        <v>RECEITAS COM ENTREGAS</v>
      </c>
      <c r="P2413">
        <v>116.32</v>
      </c>
      <c r="Q2413" t="str">
        <f>"FARMÁCIA INDIANA LJ 192 (10082)"</f>
        <v>FARMÁCIA INDIANA LJ 192 (10082)</v>
      </c>
      <c r="R2413" t="str">
        <f t="shared" si="1212"/>
        <v>RECEITAS COM ENTREGAS (303)</v>
      </c>
      <c r="S2413">
        <v>1533</v>
      </c>
      <c r="T2413">
        <v>1152</v>
      </c>
      <c r="U2413" t="s">
        <v>19</v>
      </c>
    </row>
    <row r="2414" spans="1:21">
      <c r="A2414" t="str">
        <f t="shared" si="1207"/>
        <v>14/05/2025</v>
      </c>
      <c r="B2414" t="str">
        <f t="shared" si="1201"/>
        <v>ENTRADA</v>
      </c>
      <c r="C2414" t="str">
        <f t="shared" si="1208"/>
        <v>NFSE</v>
      </c>
      <c r="D2414" t="str">
        <f t="shared" si="1202"/>
        <v>2960</v>
      </c>
      <c r="E2414" t="str">
        <f t="shared" si="1206"/>
        <v>COM</v>
      </c>
      <c r="F2414" t="str">
        <f t="shared" si="1203"/>
        <v>FARMÁCIA INDIANA LJ 1 (10126)</v>
      </c>
      <c r="G2414" t="str">
        <f t="shared" si="1204"/>
        <v>Serv.Prest. 25/04/2025 a 04/05/2025 - RPS: 730 - NFSe: 2960</v>
      </c>
      <c r="H2414" t="str">
        <f t="shared" si="1209"/>
        <v>14/05/2025</v>
      </c>
      <c r="I2414" t="str">
        <f t="shared" si="1213"/>
        <v>06/05/2025</v>
      </c>
      <c r="J2414" t="str">
        <f t="shared" si="1210"/>
        <v>14/05/2025</v>
      </c>
      <c r="M2414">
        <v>303</v>
      </c>
      <c r="N2414" t="str">
        <f t="shared" si="1211"/>
        <v>RECEITAS COM ENTREGAS</v>
      </c>
      <c r="P2414">
        <v>39.340000000000003</v>
      </c>
      <c r="Q2414" t="str">
        <f>"FARMÁCIA INDIANA LJ 195 (10083)"</f>
        <v>FARMÁCIA INDIANA LJ 195 (10083)</v>
      </c>
      <c r="R2414" t="str">
        <f t="shared" si="1212"/>
        <v>RECEITAS COM ENTREGAS (303)</v>
      </c>
      <c r="S2414">
        <v>1533</v>
      </c>
      <c r="T2414">
        <v>1152</v>
      </c>
      <c r="U2414" t="s">
        <v>19</v>
      </c>
    </row>
    <row r="2415" spans="1:21">
      <c r="A2415" t="str">
        <f t="shared" si="1207"/>
        <v>14/05/2025</v>
      </c>
      <c r="B2415" t="str">
        <f t="shared" si="1201"/>
        <v>ENTRADA</v>
      </c>
      <c r="C2415" t="str">
        <f t="shared" si="1208"/>
        <v>NFSE</v>
      </c>
      <c r="D2415" t="str">
        <f t="shared" si="1202"/>
        <v>2960</v>
      </c>
      <c r="E2415" t="str">
        <f t="shared" si="1206"/>
        <v>COM</v>
      </c>
      <c r="F2415" t="str">
        <f t="shared" si="1203"/>
        <v>FARMÁCIA INDIANA LJ 1 (10126)</v>
      </c>
      <c r="G2415" t="str">
        <f t="shared" si="1204"/>
        <v>Serv.Prest. 25/04/2025 a 04/05/2025 - RPS: 730 - NFSe: 2960</v>
      </c>
      <c r="H2415" t="str">
        <f t="shared" si="1209"/>
        <v>14/05/2025</v>
      </c>
      <c r="I2415" t="str">
        <f t="shared" si="1213"/>
        <v>06/05/2025</v>
      </c>
      <c r="J2415" t="str">
        <f t="shared" si="1210"/>
        <v>14/05/2025</v>
      </c>
      <c r="M2415">
        <v>303</v>
      </c>
      <c r="N2415" t="str">
        <f t="shared" si="1211"/>
        <v>RECEITAS COM ENTREGAS</v>
      </c>
      <c r="P2415">
        <v>159.09</v>
      </c>
      <c r="Q2415" t="str">
        <f>"FARMÁCIA INDIANA LJ 202 (10085)"</f>
        <v>FARMÁCIA INDIANA LJ 202 (10085)</v>
      </c>
      <c r="R2415" t="str">
        <f t="shared" si="1212"/>
        <v>RECEITAS COM ENTREGAS (303)</v>
      </c>
      <c r="S2415">
        <v>1533</v>
      </c>
      <c r="T2415">
        <v>1152</v>
      </c>
      <c r="U2415" t="s">
        <v>19</v>
      </c>
    </row>
    <row r="2416" spans="1:21">
      <c r="A2416" t="str">
        <f t="shared" si="1207"/>
        <v>14/05/2025</v>
      </c>
      <c r="B2416" t="str">
        <f t="shared" si="1201"/>
        <v>ENTRADA</v>
      </c>
      <c r="C2416" t="str">
        <f t="shared" si="1208"/>
        <v>NFSE</v>
      </c>
      <c r="D2416" t="str">
        <f t="shared" si="1202"/>
        <v>2960</v>
      </c>
      <c r="E2416" t="str">
        <f t="shared" si="1206"/>
        <v>COM</v>
      </c>
      <c r="F2416" t="str">
        <f t="shared" si="1203"/>
        <v>FARMÁCIA INDIANA LJ 1 (10126)</v>
      </c>
      <c r="G2416" t="str">
        <f t="shared" si="1204"/>
        <v>Serv.Prest. 25/04/2025 a 04/05/2025 - RPS: 730 - NFSe: 2960</v>
      </c>
      <c r="H2416" t="str">
        <f t="shared" si="1209"/>
        <v>14/05/2025</v>
      </c>
      <c r="I2416" t="str">
        <f t="shared" si="1213"/>
        <v>06/05/2025</v>
      </c>
      <c r="J2416" t="str">
        <f t="shared" si="1210"/>
        <v>14/05/2025</v>
      </c>
      <c r="M2416">
        <v>303</v>
      </c>
      <c r="N2416" t="str">
        <f t="shared" si="1211"/>
        <v>RECEITAS COM ENTREGAS</v>
      </c>
      <c r="P2416">
        <v>106.06</v>
      </c>
      <c r="Q2416" t="str">
        <f>"FARMÁCIA INDIANA LJ 204 (10087)"</f>
        <v>FARMÁCIA INDIANA LJ 204 (10087)</v>
      </c>
      <c r="R2416" t="str">
        <f t="shared" si="1212"/>
        <v>RECEITAS COM ENTREGAS (303)</v>
      </c>
      <c r="S2416">
        <v>1533</v>
      </c>
      <c r="T2416">
        <v>1152</v>
      </c>
      <c r="U2416" t="s">
        <v>19</v>
      </c>
    </row>
    <row r="2417" spans="1:21">
      <c r="A2417" t="str">
        <f t="shared" si="1207"/>
        <v>14/05/2025</v>
      </c>
      <c r="B2417" t="str">
        <f t="shared" si="1201"/>
        <v>ENTRADA</v>
      </c>
      <c r="C2417" t="str">
        <f t="shared" si="1208"/>
        <v>NFSE</v>
      </c>
      <c r="D2417" t="str">
        <f t="shared" si="1202"/>
        <v>2960</v>
      </c>
      <c r="E2417" t="str">
        <f t="shared" si="1206"/>
        <v>COM</v>
      </c>
      <c r="F2417" t="str">
        <f t="shared" si="1203"/>
        <v>FARMÁCIA INDIANA LJ 1 (10126)</v>
      </c>
      <c r="G2417" t="str">
        <f t="shared" si="1204"/>
        <v>Serv.Prest. 25/04/2025 a 04/05/2025 - RPS: 730 - NFSe: 2960</v>
      </c>
      <c r="H2417" t="str">
        <f t="shared" si="1209"/>
        <v>14/05/2025</v>
      </c>
      <c r="I2417" t="str">
        <f t="shared" si="1213"/>
        <v>06/05/2025</v>
      </c>
      <c r="J2417" t="str">
        <f t="shared" si="1210"/>
        <v>14/05/2025</v>
      </c>
      <c r="M2417">
        <v>303</v>
      </c>
      <c r="N2417" t="str">
        <f t="shared" si="1211"/>
        <v>RECEITAS COM ENTREGAS</v>
      </c>
      <c r="P2417">
        <v>106.06</v>
      </c>
      <c r="Q2417" t="str">
        <f>"FARMÁCIA INDIANA LJ 207 (10088)"</f>
        <v>FARMÁCIA INDIANA LJ 207 (10088)</v>
      </c>
      <c r="R2417" t="str">
        <f t="shared" si="1212"/>
        <v>RECEITAS COM ENTREGAS (303)</v>
      </c>
      <c r="S2417">
        <v>1533</v>
      </c>
      <c r="T2417">
        <v>1152</v>
      </c>
      <c r="U2417" t="s">
        <v>19</v>
      </c>
    </row>
    <row r="2418" spans="1:21">
      <c r="A2418" t="str">
        <f t="shared" si="1207"/>
        <v>14/05/2025</v>
      </c>
      <c r="B2418" t="str">
        <f t="shared" si="1201"/>
        <v>ENTRADA</v>
      </c>
      <c r="C2418" t="str">
        <f t="shared" si="1208"/>
        <v>NFSE</v>
      </c>
      <c r="D2418" t="str">
        <f t="shared" si="1202"/>
        <v>2960</v>
      </c>
      <c r="E2418" t="str">
        <f t="shared" si="1206"/>
        <v>COM</v>
      </c>
      <c r="F2418" t="str">
        <f t="shared" si="1203"/>
        <v>FARMÁCIA INDIANA LJ 1 (10126)</v>
      </c>
      <c r="G2418" t="str">
        <f t="shared" si="1204"/>
        <v>Serv.Prest. 25/04/2025 a 04/05/2025 - RPS: 730 - NFSe: 2960</v>
      </c>
      <c r="H2418" t="str">
        <f t="shared" si="1209"/>
        <v>14/05/2025</v>
      </c>
      <c r="I2418" t="str">
        <f t="shared" si="1213"/>
        <v>06/05/2025</v>
      </c>
      <c r="J2418" t="str">
        <f t="shared" si="1210"/>
        <v>14/05/2025</v>
      </c>
      <c r="M2418">
        <v>303</v>
      </c>
      <c r="N2418" t="str">
        <f t="shared" si="1211"/>
        <v>RECEITAS COM ENTREGAS</v>
      </c>
      <c r="P2418">
        <v>124.88</v>
      </c>
      <c r="Q2418" t="str">
        <f>"FARMÁCIA INDIANA LJ 209 (10089)"</f>
        <v>FARMÁCIA INDIANA LJ 209 (10089)</v>
      </c>
      <c r="R2418" t="str">
        <f t="shared" si="1212"/>
        <v>RECEITAS COM ENTREGAS (303)</v>
      </c>
      <c r="S2418">
        <v>1533</v>
      </c>
      <c r="T2418">
        <v>1152</v>
      </c>
      <c r="U2418" t="s">
        <v>19</v>
      </c>
    </row>
    <row r="2419" spans="1:21">
      <c r="A2419" t="str">
        <f t="shared" si="1207"/>
        <v>14/05/2025</v>
      </c>
      <c r="B2419" t="str">
        <f t="shared" si="1201"/>
        <v>ENTRADA</v>
      </c>
      <c r="C2419" t="str">
        <f t="shared" si="1208"/>
        <v>NFSE</v>
      </c>
      <c r="D2419" t="str">
        <f t="shared" si="1202"/>
        <v>2960</v>
      </c>
      <c r="E2419" t="str">
        <f t="shared" si="1206"/>
        <v>COM</v>
      </c>
      <c r="F2419" t="str">
        <f t="shared" si="1203"/>
        <v>FARMÁCIA INDIANA LJ 1 (10126)</v>
      </c>
      <c r="G2419" t="str">
        <f t="shared" si="1204"/>
        <v>Serv.Prest. 25/04/2025 a 04/05/2025 - RPS: 730 - NFSe: 2960</v>
      </c>
      <c r="H2419" t="str">
        <f t="shared" si="1209"/>
        <v>14/05/2025</v>
      </c>
      <c r="I2419" t="str">
        <f t="shared" si="1213"/>
        <v>06/05/2025</v>
      </c>
      <c r="J2419" t="str">
        <f t="shared" si="1210"/>
        <v>14/05/2025</v>
      </c>
      <c r="M2419">
        <v>303</v>
      </c>
      <c r="N2419" t="str">
        <f t="shared" si="1211"/>
        <v>RECEITAS COM ENTREGAS</v>
      </c>
      <c r="P2419">
        <v>181.33</v>
      </c>
      <c r="Q2419" t="str">
        <f>"FARMÁCIA INDIANA LJ 219 (10091)"</f>
        <v>FARMÁCIA INDIANA LJ 219 (10091)</v>
      </c>
      <c r="R2419" t="str">
        <f t="shared" si="1212"/>
        <v>RECEITAS COM ENTREGAS (303)</v>
      </c>
      <c r="S2419">
        <v>1533</v>
      </c>
      <c r="T2419">
        <v>1152</v>
      </c>
      <c r="U2419" t="s">
        <v>19</v>
      </c>
    </row>
    <row r="2420" spans="1:21">
      <c r="A2420" t="str">
        <f t="shared" si="1207"/>
        <v>14/05/2025</v>
      </c>
      <c r="B2420" t="str">
        <f t="shared" si="1201"/>
        <v>ENTRADA</v>
      </c>
      <c r="C2420" t="str">
        <f t="shared" si="1208"/>
        <v>NFSE</v>
      </c>
      <c r="D2420" t="str">
        <f t="shared" si="1202"/>
        <v>2960</v>
      </c>
      <c r="E2420" t="str">
        <f t="shared" si="1206"/>
        <v>COM</v>
      </c>
      <c r="F2420" t="str">
        <f t="shared" si="1203"/>
        <v>FARMÁCIA INDIANA LJ 1 (10126)</v>
      </c>
      <c r="G2420" t="str">
        <f t="shared" si="1204"/>
        <v>Serv.Prest. 25/04/2025 a 04/05/2025 - RPS: 730 - NFSe: 2960</v>
      </c>
      <c r="H2420" t="str">
        <f t="shared" si="1209"/>
        <v>14/05/2025</v>
      </c>
      <c r="I2420" t="str">
        <f t="shared" si="1213"/>
        <v>06/05/2025</v>
      </c>
      <c r="J2420" t="str">
        <f t="shared" si="1210"/>
        <v>14/05/2025</v>
      </c>
      <c r="M2420">
        <v>303</v>
      </c>
      <c r="N2420" t="str">
        <f t="shared" si="1211"/>
        <v>RECEITAS COM ENTREGAS</v>
      </c>
      <c r="P2420">
        <v>213.83</v>
      </c>
      <c r="Q2420" t="str">
        <f>"FARMÁCIA INDIANA LJ 220 (10092)"</f>
        <v>FARMÁCIA INDIANA LJ 220 (10092)</v>
      </c>
      <c r="R2420" t="str">
        <f t="shared" si="1212"/>
        <v>RECEITAS COM ENTREGAS (303)</v>
      </c>
      <c r="S2420">
        <v>1533</v>
      </c>
      <c r="T2420">
        <v>1152</v>
      </c>
      <c r="U2420" t="s">
        <v>19</v>
      </c>
    </row>
    <row r="2421" spans="1:21">
      <c r="A2421" t="str">
        <f t="shared" si="1207"/>
        <v>14/05/2025</v>
      </c>
      <c r="B2421" t="str">
        <f t="shared" si="1201"/>
        <v>ENTRADA</v>
      </c>
      <c r="C2421" t="str">
        <f t="shared" si="1208"/>
        <v>NFSE</v>
      </c>
      <c r="D2421" t="str">
        <f t="shared" si="1202"/>
        <v>2960</v>
      </c>
      <c r="E2421" t="str">
        <f t="shared" si="1206"/>
        <v>COM</v>
      </c>
      <c r="F2421" t="str">
        <f t="shared" si="1203"/>
        <v>FARMÁCIA INDIANA LJ 1 (10126)</v>
      </c>
      <c r="G2421" t="str">
        <f t="shared" si="1204"/>
        <v>Serv.Prest. 25/04/2025 a 04/05/2025 - RPS: 730 - NFSe: 2960</v>
      </c>
      <c r="H2421" t="str">
        <f t="shared" si="1209"/>
        <v>14/05/2025</v>
      </c>
      <c r="I2421" t="str">
        <f t="shared" si="1213"/>
        <v>06/05/2025</v>
      </c>
      <c r="J2421" t="str">
        <f t="shared" si="1210"/>
        <v>14/05/2025</v>
      </c>
      <c r="M2421">
        <v>303</v>
      </c>
      <c r="N2421" t="str">
        <f t="shared" si="1211"/>
        <v>RECEITAS COM ENTREGAS</v>
      </c>
      <c r="P2421">
        <v>183.04</v>
      </c>
      <c r="Q2421" t="str">
        <f>"FARMÁCIA INDIANA LJ 185 (10141)"</f>
        <v>FARMÁCIA INDIANA LJ 185 (10141)</v>
      </c>
      <c r="R2421" t="str">
        <f t="shared" si="1212"/>
        <v>RECEITAS COM ENTREGAS (303)</v>
      </c>
      <c r="S2421">
        <v>1533</v>
      </c>
      <c r="T2421">
        <v>1152</v>
      </c>
      <c r="U2421" t="s">
        <v>19</v>
      </c>
    </row>
    <row r="2422" spans="1:21">
      <c r="A2422" t="str">
        <f t="shared" si="1207"/>
        <v>14/05/2025</v>
      </c>
      <c r="B2422" t="str">
        <f t="shared" si="1201"/>
        <v>ENTRADA</v>
      </c>
      <c r="C2422" t="str">
        <f t="shared" si="1208"/>
        <v>NFSE</v>
      </c>
      <c r="D2422" t="str">
        <f t="shared" si="1202"/>
        <v>2960</v>
      </c>
      <c r="E2422" t="str">
        <f t="shared" si="1206"/>
        <v>COM</v>
      </c>
      <c r="F2422" t="str">
        <f t="shared" si="1203"/>
        <v>FARMÁCIA INDIANA LJ 1 (10126)</v>
      </c>
      <c r="G2422" t="str">
        <f t="shared" si="1204"/>
        <v>Serv.Prest. 25/04/2025 a 04/05/2025 - RPS: 730 - NFSe: 2960</v>
      </c>
      <c r="H2422" t="str">
        <f t="shared" si="1209"/>
        <v>14/05/2025</v>
      </c>
      <c r="I2422" t="str">
        <f t="shared" si="1213"/>
        <v>06/05/2025</v>
      </c>
      <c r="J2422" t="str">
        <f t="shared" si="1210"/>
        <v>14/05/2025</v>
      </c>
      <c r="M2422">
        <v>303</v>
      </c>
      <c r="N2422" t="str">
        <f t="shared" si="1211"/>
        <v>RECEITAS COM ENTREGAS</v>
      </c>
      <c r="P2422">
        <v>874.14</v>
      </c>
      <c r="Q2422" t="str">
        <f>"FARMÁCIA INDIANA LJ 172 (10161)"</f>
        <v>FARMÁCIA INDIANA LJ 172 (10161)</v>
      </c>
      <c r="R2422" t="str">
        <f t="shared" si="1212"/>
        <v>RECEITAS COM ENTREGAS (303)</v>
      </c>
      <c r="S2422">
        <v>1533</v>
      </c>
      <c r="T2422">
        <v>1152</v>
      </c>
      <c r="U2422" t="s">
        <v>19</v>
      </c>
    </row>
    <row r="2423" spans="1:21">
      <c r="A2423" t="str">
        <f t="shared" si="1207"/>
        <v>14/05/2025</v>
      </c>
      <c r="B2423" t="str">
        <f t="shared" si="1201"/>
        <v>ENTRADA</v>
      </c>
      <c r="C2423" t="str">
        <f t="shared" si="1208"/>
        <v>NFSE</v>
      </c>
      <c r="D2423" t="str">
        <f t="shared" ref="D2423:D2431" si="1214">"2961"</f>
        <v>2961</v>
      </c>
      <c r="E2423" t="str">
        <f t="shared" ref="E2423:E2437" si="1215">"COM"</f>
        <v>COM</v>
      </c>
      <c r="F2423" t="str">
        <f t="shared" ref="F2423:F2431" si="1216">"FARMÁCIA INDIANA LJ 85 (10128)"</f>
        <v>FARMÁCIA INDIANA LJ 85 (10128)</v>
      </c>
      <c r="G2423" t="str">
        <f t="shared" ref="G2423:G2431" si="1217">"Serv.Prest. 07/04/2025 a 04/05/2025 - RPS: 731 - NFSe: 2961"</f>
        <v>Serv.Prest. 07/04/2025 a 04/05/2025 - RPS: 731 - NFSe: 2961</v>
      </c>
      <c r="H2423" t="str">
        <f t="shared" si="1209"/>
        <v>14/05/2025</v>
      </c>
      <c r="I2423" t="str">
        <f t="shared" si="1213"/>
        <v>06/05/2025</v>
      </c>
      <c r="J2423" t="str">
        <f t="shared" si="1210"/>
        <v>14/05/2025</v>
      </c>
      <c r="K2423">
        <v>1822.6</v>
      </c>
      <c r="L2423">
        <v>1822.6</v>
      </c>
      <c r="M2423">
        <v>303</v>
      </c>
      <c r="N2423" t="str">
        <f t="shared" si="1211"/>
        <v>RECEITAS COM ENTREGAS</v>
      </c>
      <c r="O2423">
        <v>1822.6</v>
      </c>
      <c r="R2423" t="str">
        <f t="shared" si="1212"/>
        <v>RECEITAS COM ENTREGAS (303)</v>
      </c>
      <c r="S2423">
        <v>1534</v>
      </c>
      <c r="T2423">
        <v>1153</v>
      </c>
      <c r="U2423" t="s">
        <v>19</v>
      </c>
    </row>
    <row r="2424" spans="1:21">
      <c r="A2424" t="str">
        <f t="shared" si="1207"/>
        <v>14/05/2025</v>
      </c>
      <c r="B2424" t="str">
        <f t="shared" si="1201"/>
        <v>ENTRADA</v>
      </c>
      <c r="C2424" t="str">
        <f t="shared" si="1208"/>
        <v>NFSE</v>
      </c>
      <c r="D2424" t="str">
        <f t="shared" si="1214"/>
        <v>2961</v>
      </c>
      <c r="E2424" t="str">
        <f t="shared" si="1215"/>
        <v>COM</v>
      </c>
      <c r="F2424" t="str">
        <f t="shared" si="1216"/>
        <v>FARMÁCIA INDIANA LJ 85 (10128)</v>
      </c>
      <c r="G2424" t="str">
        <f t="shared" si="1217"/>
        <v>Serv.Prest. 07/04/2025 a 04/05/2025 - RPS: 731 - NFSe: 2961</v>
      </c>
      <c r="H2424" t="str">
        <f t="shared" si="1209"/>
        <v>14/05/2025</v>
      </c>
      <c r="I2424" t="str">
        <f t="shared" si="1213"/>
        <v>06/05/2025</v>
      </c>
      <c r="J2424" t="str">
        <f t="shared" si="1210"/>
        <v>14/05/2025</v>
      </c>
      <c r="M2424">
        <v>303</v>
      </c>
      <c r="N2424" t="str">
        <f t="shared" si="1211"/>
        <v>RECEITAS COM ENTREGAS</v>
      </c>
      <c r="P2424">
        <v>171.69</v>
      </c>
      <c r="Q2424" t="str">
        <f>"FARMÁCIA INDIANA LJ 119 (10053)"</f>
        <v>FARMÁCIA INDIANA LJ 119 (10053)</v>
      </c>
      <c r="R2424" t="str">
        <f t="shared" si="1212"/>
        <v>RECEITAS COM ENTREGAS (303)</v>
      </c>
      <c r="S2424">
        <v>1534</v>
      </c>
      <c r="T2424">
        <v>1153</v>
      </c>
      <c r="U2424" t="s">
        <v>19</v>
      </c>
    </row>
    <row r="2425" spans="1:21">
      <c r="A2425" t="str">
        <f t="shared" si="1207"/>
        <v>14/05/2025</v>
      </c>
      <c r="B2425" t="str">
        <f t="shared" si="1201"/>
        <v>ENTRADA</v>
      </c>
      <c r="C2425" t="str">
        <f t="shared" si="1208"/>
        <v>NFSE</v>
      </c>
      <c r="D2425" t="str">
        <f t="shared" si="1214"/>
        <v>2961</v>
      </c>
      <c r="E2425" t="str">
        <f t="shared" si="1215"/>
        <v>COM</v>
      </c>
      <c r="F2425" t="str">
        <f t="shared" si="1216"/>
        <v>FARMÁCIA INDIANA LJ 85 (10128)</v>
      </c>
      <c r="G2425" t="str">
        <f t="shared" si="1217"/>
        <v>Serv.Prest. 07/04/2025 a 04/05/2025 - RPS: 731 - NFSe: 2961</v>
      </c>
      <c r="H2425" t="str">
        <f t="shared" si="1209"/>
        <v>14/05/2025</v>
      </c>
      <c r="I2425" t="str">
        <f t="shared" si="1213"/>
        <v>06/05/2025</v>
      </c>
      <c r="J2425" t="str">
        <f t="shared" si="1210"/>
        <v>14/05/2025</v>
      </c>
      <c r="M2425">
        <v>303</v>
      </c>
      <c r="N2425" t="str">
        <f t="shared" si="1211"/>
        <v>RECEITAS COM ENTREGAS</v>
      </c>
      <c r="P2425">
        <v>220.72</v>
      </c>
      <c r="Q2425" t="str">
        <f>"FARMÁCIA INDIANA LJ 163 (10072)"</f>
        <v>FARMÁCIA INDIANA LJ 163 (10072)</v>
      </c>
      <c r="R2425" t="str">
        <f t="shared" si="1212"/>
        <v>RECEITAS COM ENTREGAS (303)</v>
      </c>
      <c r="S2425">
        <v>1534</v>
      </c>
      <c r="T2425">
        <v>1153</v>
      </c>
      <c r="U2425" t="s">
        <v>19</v>
      </c>
    </row>
    <row r="2426" spans="1:21">
      <c r="A2426" t="str">
        <f t="shared" si="1207"/>
        <v>14/05/2025</v>
      </c>
      <c r="B2426" t="str">
        <f t="shared" si="1201"/>
        <v>ENTRADA</v>
      </c>
      <c r="C2426" t="str">
        <f t="shared" si="1208"/>
        <v>NFSE</v>
      </c>
      <c r="D2426" t="str">
        <f t="shared" si="1214"/>
        <v>2961</v>
      </c>
      <c r="E2426" t="str">
        <f t="shared" si="1215"/>
        <v>COM</v>
      </c>
      <c r="F2426" t="str">
        <f t="shared" si="1216"/>
        <v>FARMÁCIA INDIANA LJ 85 (10128)</v>
      </c>
      <c r="G2426" t="str">
        <f t="shared" si="1217"/>
        <v>Serv.Prest. 07/04/2025 a 04/05/2025 - RPS: 731 - NFSe: 2961</v>
      </c>
      <c r="H2426" t="str">
        <f t="shared" si="1209"/>
        <v>14/05/2025</v>
      </c>
      <c r="I2426" t="str">
        <f t="shared" si="1213"/>
        <v>06/05/2025</v>
      </c>
      <c r="J2426" t="str">
        <f t="shared" si="1210"/>
        <v>14/05/2025</v>
      </c>
      <c r="M2426">
        <v>303</v>
      </c>
      <c r="N2426" t="str">
        <f t="shared" si="1211"/>
        <v>RECEITAS COM ENTREGAS</v>
      </c>
      <c r="P2426">
        <v>184.26</v>
      </c>
      <c r="Q2426" t="str">
        <f>"FARMÁCIA INDIANA LJ 181 (10078)"</f>
        <v>FARMÁCIA INDIANA LJ 181 (10078)</v>
      </c>
      <c r="R2426" t="str">
        <f t="shared" si="1212"/>
        <v>RECEITAS COM ENTREGAS (303)</v>
      </c>
      <c r="S2426">
        <v>1534</v>
      </c>
      <c r="T2426">
        <v>1153</v>
      </c>
      <c r="U2426" t="s">
        <v>19</v>
      </c>
    </row>
    <row r="2427" spans="1:21">
      <c r="A2427" t="str">
        <f t="shared" si="1207"/>
        <v>14/05/2025</v>
      </c>
      <c r="B2427" t="str">
        <f t="shared" si="1201"/>
        <v>ENTRADA</v>
      </c>
      <c r="C2427" t="str">
        <f t="shared" si="1208"/>
        <v>NFSE</v>
      </c>
      <c r="D2427" t="str">
        <f t="shared" si="1214"/>
        <v>2961</v>
      </c>
      <c r="E2427" t="str">
        <f t="shared" si="1215"/>
        <v>COM</v>
      </c>
      <c r="F2427" t="str">
        <f t="shared" si="1216"/>
        <v>FARMÁCIA INDIANA LJ 85 (10128)</v>
      </c>
      <c r="G2427" t="str">
        <f t="shared" si="1217"/>
        <v>Serv.Prest. 07/04/2025 a 04/05/2025 - RPS: 731 - NFSe: 2961</v>
      </c>
      <c r="H2427" t="str">
        <f t="shared" si="1209"/>
        <v>14/05/2025</v>
      </c>
      <c r="I2427" t="str">
        <f t="shared" si="1213"/>
        <v>06/05/2025</v>
      </c>
      <c r="J2427" t="str">
        <f t="shared" si="1210"/>
        <v>14/05/2025</v>
      </c>
      <c r="M2427">
        <v>303</v>
      </c>
      <c r="N2427" t="str">
        <f t="shared" si="1211"/>
        <v>RECEITAS COM ENTREGAS</v>
      </c>
      <c r="P2427">
        <v>172.42</v>
      </c>
      <c r="Q2427" t="str">
        <f>"FARMÁCIA INDIANA LJ 221 (10093)"</f>
        <v>FARMÁCIA INDIANA LJ 221 (10093)</v>
      </c>
      <c r="R2427" t="str">
        <f t="shared" si="1212"/>
        <v>RECEITAS COM ENTREGAS (303)</v>
      </c>
      <c r="S2427">
        <v>1534</v>
      </c>
      <c r="T2427">
        <v>1153</v>
      </c>
      <c r="U2427" t="s">
        <v>19</v>
      </c>
    </row>
    <row r="2428" spans="1:21">
      <c r="A2428" t="str">
        <f t="shared" si="1207"/>
        <v>14/05/2025</v>
      </c>
      <c r="B2428" t="str">
        <f t="shared" si="1201"/>
        <v>ENTRADA</v>
      </c>
      <c r="C2428" t="str">
        <f t="shared" si="1208"/>
        <v>NFSE</v>
      </c>
      <c r="D2428" t="str">
        <f t="shared" si="1214"/>
        <v>2961</v>
      </c>
      <c r="E2428" t="str">
        <f t="shared" si="1215"/>
        <v>COM</v>
      </c>
      <c r="F2428" t="str">
        <f t="shared" si="1216"/>
        <v>FARMÁCIA INDIANA LJ 85 (10128)</v>
      </c>
      <c r="G2428" t="str">
        <f t="shared" si="1217"/>
        <v>Serv.Prest. 07/04/2025 a 04/05/2025 - RPS: 731 - NFSe: 2961</v>
      </c>
      <c r="H2428" t="str">
        <f t="shared" si="1209"/>
        <v>14/05/2025</v>
      </c>
      <c r="I2428" t="str">
        <f t="shared" si="1213"/>
        <v>06/05/2025</v>
      </c>
      <c r="J2428" t="str">
        <f t="shared" si="1210"/>
        <v>14/05/2025</v>
      </c>
      <c r="M2428">
        <v>303</v>
      </c>
      <c r="N2428" t="str">
        <f t="shared" si="1211"/>
        <v>RECEITAS COM ENTREGAS</v>
      </c>
      <c r="P2428">
        <v>182.08</v>
      </c>
      <c r="Q2428" t="str">
        <f>"FARMÁCIA INDIANA LJ 243 (10142)"</f>
        <v>FARMÁCIA INDIANA LJ 243 (10142)</v>
      </c>
      <c r="R2428" t="str">
        <f t="shared" si="1212"/>
        <v>RECEITAS COM ENTREGAS (303)</v>
      </c>
      <c r="S2428">
        <v>1534</v>
      </c>
      <c r="T2428">
        <v>1153</v>
      </c>
      <c r="U2428" t="s">
        <v>19</v>
      </c>
    </row>
    <row r="2429" spans="1:21">
      <c r="A2429" t="str">
        <f t="shared" ref="A2429:A2440" si="1218">("14/05/2025")</f>
        <v>14/05/2025</v>
      </c>
      <c r="B2429" t="str">
        <f t="shared" si="1201"/>
        <v>ENTRADA</v>
      </c>
      <c r="C2429" t="str">
        <f t="shared" ref="C2429:C2437" si="1219">"NFSE"</f>
        <v>NFSE</v>
      </c>
      <c r="D2429" t="str">
        <f t="shared" si="1214"/>
        <v>2961</v>
      </c>
      <c r="E2429" t="str">
        <f t="shared" si="1215"/>
        <v>COM</v>
      </c>
      <c r="F2429" t="str">
        <f t="shared" si="1216"/>
        <v>FARMÁCIA INDIANA LJ 85 (10128)</v>
      </c>
      <c r="G2429" t="str">
        <f t="shared" si="1217"/>
        <v>Serv.Prest. 07/04/2025 a 04/05/2025 - RPS: 731 - NFSe: 2961</v>
      </c>
      <c r="H2429" t="str">
        <f t="shared" ref="H2429:H2460" si="1220">("14/05/2025")</f>
        <v>14/05/2025</v>
      </c>
      <c r="I2429" t="str">
        <f t="shared" si="1213"/>
        <v>06/05/2025</v>
      </c>
      <c r="J2429" t="str">
        <f t="shared" ref="J2429:J2440" si="1221">("14/05/2025")</f>
        <v>14/05/2025</v>
      </c>
      <c r="M2429">
        <v>303</v>
      </c>
      <c r="N2429" t="str">
        <f t="shared" ref="N2429:N2437" si="1222">"RECEITAS COM ENTREGAS"</f>
        <v>RECEITAS COM ENTREGAS</v>
      </c>
      <c r="P2429">
        <v>80.92</v>
      </c>
      <c r="Q2429" t="str">
        <f>"FARMÁCIA INDIANA LJ 211 (10168)"</f>
        <v>FARMÁCIA INDIANA LJ 211 (10168)</v>
      </c>
      <c r="R2429" t="str">
        <f t="shared" ref="R2429:R2437" si="1223">"RECEITAS COM ENTREGAS (303)"</f>
        <v>RECEITAS COM ENTREGAS (303)</v>
      </c>
      <c r="S2429">
        <v>1534</v>
      </c>
      <c r="T2429">
        <v>1153</v>
      </c>
      <c r="U2429" t="s">
        <v>19</v>
      </c>
    </row>
    <row r="2430" spans="1:21">
      <c r="A2430" t="str">
        <f t="shared" si="1218"/>
        <v>14/05/2025</v>
      </c>
      <c r="B2430" t="str">
        <f t="shared" ref="B2430:B2437" si="1224">"ENTRADA"</f>
        <v>ENTRADA</v>
      </c>
      <c r="C2430" t="str">
        <f t="shared" si="1219"/>
        <v>NFSE</v>
      </c>
      <c r="D2430" t="str">
        <f t="shared" si="1214"/>
        <v>2961</v>
      </c>
      <c r="E2430" t="str">
        <f t="shared" si="1215"/>
        <v>COM</v>
      </c>
      <c r="F2430" t="str">
        <f t="shared" si="1216"/>
        <v>FARMÁCIA INDIANA LJ 85 (10128)</v>
      </c>
      <c r="G2430" t="str">
        <f t="shared" si="1217"/>
        <v>Serv.Prest. 07/04/2025 a 04/05/2025 - RPS: 731 - NFSe: 2961</v>
      </c>
      <c r="H2430" t="str">
        <f t="shared" si="1220"/>
        <v>14/05/2025</v>
      </c>
      <c r="I2430" t="str">
        <f t="shared" si="1213"/>
        <v>06/05/2025</v>
      </c>
      <c r="J2430" t="str">
        <f t="shared" si="1221"/>
        <v>14/05/2025</v>
      </c>
      <c r="M2430">
        <v>303</v>
      </c>
      <c r="N2430" t="str">
        <f t="shared" si="1222"/>
        <v>RECEITAS COM ENTREGAS</v>
      </c>
      <c r="P2430">
        <v>79.47</v>
      </c>
      <c r="Q2430" t="str">
        <f>"FARMÁCIA INDIANA LJ 236 (10169)"</f>
        <v>FARMÁCIA INDIANA LJ 236 (10169)</v>
      </c>
      <c r="R2430" t="str">
        <f t="shared" si="1223"/>
        <v>RECEITAS COM ENTREGAS (303)</v>
      </c>
      <c r="S2430">
        <v>1534</v>
      </c>
      <c r="T2430">
        <v>1153</v>
      </c>
      <c r="U2430" t="s">
        <v>19</v>
      </c>
    </row>
    <row r="2431" spans="1:21">
      <c r="A2431" t="str">
        <f t="shared" si="1218"/>
        <v>14/05/2025</v>
      </c>
      <c r="B2431" t="str">
        <f t="shared" si="1224"/>
        <v>ENTRADA</v>
      </c>
      <c r="C2431" t="str">
        <f t="shared" si="1219"/>
        <v>NFSE</v>
      </c>
      <c r="D2431" t="str">
        <f t="shared" si="1214"/>
        <v>2961</v>
      </c>
      <c r="E2431" t="str">
        <f t="shared" si="1215"/>
        <v>COM</v>
      </c>
      <c r="F2431" t="str">
        <f t="shared" si="1216"/>
        <v>FARMÁCIA INDIANA LJ 85 (10128)</v>
      </c>
      <c r="G2431" t="str">
        <f t="shared" si="1217"/>
        <v>Serv.Prest. 07/04/2025 a 04/05/2025 - RPS: 731 - NFSe: 2961</v>
      </c>
      <c r="H2431" t="str">
        <f t="shared" si="1220"/>
        <v>14/05/2025</v>
      </c>
      <c r="I2431" t="str">
        <f t="shared" si="1213"/>
        <v>06/05/2025</v>
      </c>
      <c r="J2431" t="str">
        <f t="shared" si="1221"/>
        <v>14/05/2025</v>
      </c>
      <c r="M2431">
        <v>303</v>
      </c>
      <c r="N2431" t="str">
        <f t="shared" si="1222"/>
        <v>RECEITAS COM ENTREGAS</v>
      </c>
      <c r="P2431">
        <v>731.04</v>
      </c>
      <c r="Q2431" t="str">
        <f>"FARMÁCIA INDIANA LJ 188 (10176)"</f>
        <v>FARMÁCIA INDIANA LJ 188 (10176)</v>
      </c>
      <c r="R2431" t="str">
        <f t="shared" si="1223"/>
        <v>RECEITAS COM ENTREGAS (303)</v>
      </c>
      <c r="S2431">
        <v>1534</v>
      </c>
      <c r="T2431">
        <v>1153</v>
      </c>
      <c r="U2431" t="s">
        <v>19</v>
      </c>
    </row>
    <row r="2432" spans="1:21">
      <c r="A2432" t="str">
        <f t="shared" si="1218"/>
        <v>14/05/2025</v>
      </c>
      <c r="B2432" t="str">
        <f t="shared" si="1224"/>
        <v>ENTRADA</v>
      </c>
      <c r="C2432" t="str">
        <f t="shared" si="1219"/>
        <v>NFSE</v>
      </c>
      <c r="D2432" t="str">
        <f>"2973"</f>
        <v>2973</v>
      </c>
      <c r="E2432" t="str">
        <f t="shared" si="1215"/>
        <v>COM</v>
      </c>
      <c r="F2432" t="str">
        <f>"DROGARIA MEDALHA (10163)"</f>
        <v>DROGARIA MEDALHA (10163)</v>
      </c>
      <c r="G2432" t="str">
        <f>"Serv.Prest. 05/05/2025 a 11/05/2025 - RPS: 743 - NFSe: 2973"</f>
        <v>Serv.Prest. 05/05/2025 a 11/05/2025 - RPS: 743 - NFSe: 2973</v>
      </c>
      <c r="H2432" t="str">
        <f t="shared" si="1220"/>
        <v>14/05/2025</v>
      </c>
      <c r="I2432" t="str">
        <f t="shared" ref="I2432:I2437" si="1225">("12/05/2025")</f>
        <v>12/05/2025</v>
      </c>
      <c r="J2432" t="str">
        <f t="shared" si="1221"/>
        <v>14/05/2025</v>
      </c>
      <c r="K2432">
        <v>176.88</v>
      </c>
      <c r="L2432">
        <v>176.88</v>
      </c>
      <c r="M2432">
        <v>303</v>
      </c>
      <c r="N2432" t="str">
        <f t="shared" si="1222"/>
        <v>RECEITAS COM ENTREGAS</v>
      </c>
      <c r="O2432">
        <v>176.88</v>
      </c>
      <c r="R2432" t="str">
        <f t="shared" si="1223"/>
        <v>RECEITAS COM ENTREGAS (303)</v>
      </c>
      <c r="S2432">
        <v>1535</v>
      </c>
      <c r="T2432">
        <v>1165</v>
      </c>
      <c r="U2432" t="s">
        <v>19</v>
      </c>
    </row>
    <row r="2433" spans="1:21">
      <c r="A2433" t="str">
        <f t="shared" si="1218"/>
        <v>14/05/2025</v>
      </c>
      <c r="B2433" t="str">
        <f t="shared" si="1224"/>
        <v>ENTRADA</v>
      </c>
      <c r="C2433" t="str">
        <f t="shared" si="1219"/>
        <v>NFSE</v>
      </c>
      <c r="D2433" t="str">
        <f>"2973"</f>
        <v>2973</v>
      </c>
      <c r="E2433" t="str">
        <f t="shared" si="1215"/>
        <v>COM</v>
      </c>
      <c r="F2433" t="str">
        <f>"DROGARIA MEDALHA (10163)"</f>
        <v>DROGARIA MEDALHA (10163)</v>
      </c>
      <c r="G2433" t="str">
        <f>"Serv.Prest. 05/05/2025 a 11/05/2025 - RPS: 743 - NFSe: 2973"</f>
        <v>Serv.Prest. 05/05/2025 a 11/05/2025 - RPS: 743 - NFSe: 2973</v>
      </c>
      <c r="H2433" t="str">
        <f t="shared" si="1220"/>
        <v>14/05/2025</v>
      </c>
      <c r="I2433" t="str">
        <f t="shared" si="1225"/>
        <v>12/05/2025</v>
      </c>
      <c r="J2433" t="str">
        <f t="shared" si="1221"/>
        <v>14/05/2025</v>
      </c>
      <c r="M2433">
        <v>303</v>
      </c>
      <c r="N2433" t="str">
        <f t="shared" si="1222"/>
        <v>RECEITAS COM ENTREGAS</v>
      </c>
      <c r="P2433">
        <v>176.88</v>
      </c>
      <c r="Q2433" t="str">
        <f>"DROGARIA MEDALHA (10163)"</f>
        <v>DROGARIA MEDALHA (10163)</v>
      </c>
      <c r="R2433" t="str">
        <f t="shared" si="1223"/>
        <v>RECEITAS COM ENTREGAS (303)</v>
      </c>
      <c r="S2433">
        <v>1535</v>
      </c>
      <c r="T2433">
        <v>1165</v>
      </c>
      <c r="U2433" t="s">
        <v>19</v>
      </c>
    </row>
    <row r="2434" spans="1:21">
      <c r="A2434" t="str">
        <f t="shared" si="1218"/>
        <v>14/05/2025</v>
      </c>
      <c r="B2434" t="str">
        <f t="shared" si="1224"/>
        <v>ENTRADA</v>
      </c>
      <c r="C2434" t="str">
        <f t="shared" si="1219"/>
        <v>NFSE</v>
      </c>
      <c r="D2434" t="str">
        <f>"2975"</f>
        <v>2975</v>
      </c>
      <c r="E2434" t="str">
        <f t="shared" si="1215"/>
        <v>COM</v>
      </c>
      <c r="F2434" t="str">
        <f>"ENTREFARMA (10164)"</f>
        <v>ENTREFARMA (10164)</v>
      </c>
      <c r="G2434" t="str">
        <f>"Serv.Prest. 05/05/2025 a 11/05/2025 - RPS: 745 - NFSe: 2975"</f>
        <v>Serv.Prest. 05/05/2025 a 11/05/2025 - RPS: 745 - NFSe: 2975</v>
      </c>
      <c r="H2434" t="str">
        <f t="shared" si="1220"/>
        <v>14/05/2025</v>
      </c>
      <c r="I2434" t="str">
        <f t="shared" si="1225"/>
        <v>12/05/2025</v>
      </c>
      <c r="J2434" t="str">
        <f t="shared" si="1221"/>
        <v>14/05/2025</v>
      </c>
      <c r="K2434">
        <v>1000.96</v>
      </c>
      <c r="L2434">
        <v>1000.96</v>
      </c>
      <c r="M2434">
        <v>303</v>
      </c>
      <c r="N2434" t="str">
        <f t="shared" si="1222"/>
        <v>RECEITAS COM ENTREGAS</v>
      </c>
      <c r="O2434">
        <v>1000.96</v>
      </c>
      <c r="R2434" t="str">
        <f t="shared" si="1223"/>
        <v>RECEITAS COM ENTREGAS (303)</v>
      </c>
      <c r="S2434">
        <v>1536</v>
      </c>
      <c r="T2434">
        <v>1167</v>
      </c>
      <c r="U2434" t="s">
        <v>19</v>
      </c>
    </row>
    <row r="2435" spans="1:21">
      <c r="A2435" t="str">
        <f t="shared" si="1218"/>
        <v>14/05/2025</v>
      </c>
      <c r="B2435" t="str">
        <f t="shared" si="1224"/>
        <v>ENTRADA</v>
      </c>
      <c r="C2435" t="str">
        <f t="shared" si="1219"/>
        <v>NFSE</v>
      </c>
      <c r="D2435" t="str">
        <f>"2975"</f>
        <v>2975</v>
      </c>
      <c r="E2435" t="str">
        <f t="shared" si="1215"/>
        <v>COM</v>
      </c>
      <c r="F2435" t="str">
        <f>"ENTREFARMA (10164)"</f>
        <v>ENTREFARMA (10164)</v>
      </c>
      <c r="G2435" t="str">
        <f>"Serv.Prest. 05/05/2025 a 11/05/2025 - RPS: 745 - NFSe: 2975"</f>
        <v>Serv.Prest. 05/05/2025 a 11/05/2025 - RPS: 745 - NFSe: 2975</v>
      </c>
      <c r="H2435" t="str">
        <f t="shared" si="1220"/>
        <v>14/05/2025</v>
      </c>
      <c r="I2435" t="str">
        <f t="shared" si="1225"/>
        <v>12/05/2025</v>
      </c>
      <c r="J2435" t="str">
        <f t="shared" si="1221"/>
        <v>14/05/2025</v>
      </c>
      <c r="M2435">
        <v>303</v>
      </c>
      <c r="N2435" t="str">
        <f t="shared" si="1222"/>
        <v>RECEITAS COM ENTREGAS</v>
      </c>
      <c r="P2435">
        <v>1000.96</v>
      </c>
      <c r="Q2435" t="str">
        <f>"ENTREFARMA (10164)"</f>
        <v>ENTREFARMA (10164)</v>
      </c>
      <c r="R2435" t="str">
        <f t="shared" si="1223"/>
        <v>RECEITAS COM ENTREGAS (303)</v>
      </c>
      <c r="S2435">
        <v>1536</v>
      </c>
      <c r="T2435">
        <v>1167</v>
      </c>
      <c r="U2435" t="s">
        <v>19</v>
      </c>
    </row>
    <row r="2436" spans="1:21">
      <c r="A2436" t="str">
        <f t="shared" si="1218"/>
        <v>14/05/2025</v>
      </c>
      <c r="B2436" t="str">
        <f t="shared" si="1224"/>
        <v>ENTRADA</v>
      </c>
      <c r="C2436" t="str">
        <f t="shared" si="1219"/>
        <v>NFSE</v>
      </c>
      <c r="D2436" t="str">
        <f>"2978"</f>
        <v>2978</v>
      </c>
      <c r="E2436" t="str">
        <f t="shared" si="1215"/>
        <v>COM</v>
      </c>
      <c r="F2436" t="str">
        <f>"DROGARIA AGAPEAMA (10167)"</f>
        <v>DROGARIA AGAPEAMA (10167)</v>
      </c>
      <c r="G2436" t="str">
        <f>"Serv.Prest. 05/05/2025 a 11/05/2025 - RPS: 748 - NFSe: 2978"</f>
        <v>Serv.Prest. 05/05/2025 a 11/05/2025 - RPS: 748 - NFSe: 2978</v>
      </c>
      <c r="H2436" t="str">
        <f t="shared" si="1220"/>
        <v>14/05/2025</v>
      </c>
      <c r="I2436" t="str">
        <f t="shared" si="1225"/>
        <v>12/05/2025</v>
      </c>
      <c r="J2436" t="str">
        <f t="shared" si="1221"/>
        <v>14/05/2025</v>
      </c>
      <c r="K2436">
        <v>616.96</v>
      </c>
      <c r="L2436">
        <v>616.96</v>
      </c>
      <c r="M2436">
        <v>303</v>
      </c>
      <c r="N2436" t="str">
        <f t="shared" si="1222"/>
        <v>RECEITAS COM ENTREGAS</v>
      </c>
      <c r="O2436">
        <v>616.96</v>
      </c>
      <c r="R2436" t="str">
        <f t="shared" si="1223"/>
        <v>RECEITAS COM ENTREGAS (303)</v>
      </c>
      <c r="S2436">
        <v>1537</v>
      </c>
      <c r="T2436">
        <v>1177</v>
      </c>
      <c r="U2436" t="s">
        <v>19</v>
      </c>
    </row>
    <row r="2437" spans="1:21">
      <c r="A2437" t="str">
        <f t="shared" si="1218"/>
        <v>14/05/2025</v>
      </c>
      <c r="B2437" t="str">
        <f t="shared" si="1224"/>
        <v>ENTRADA</v>
      </c>
      <c r="C2437" t="str">
        <f t="shared" si="1219"/>
        <v>NFSE</v>
      </c>
      <c r="D2437" t="str">
        <f>"2978"</f>
        <v>2978</v>
      </c>
      <c r="E2437" t="str">
        <f t="shared" si="1215"/>
        <v>COM</v>
      </c>
      <c r="F2437" t="str">
        <f>"DROGARIA AGAPEAMA (10167)"</f>
        <v>DROGARIA AGAPEAMA (10167)</v>
      </c>
      <c r="G2437" t="str">
        <f>"Serv.Prest. 05/05/2025 a 11/05/2025 - RPS: 748 - NFSe: 2978"</f>
        <v>Serv.Prest. 05/05/2025 a 11/05/2025 - RPS: 748 - NFSe: 2978</v>
      </c>
      <c r="H2437" t="str">
        <f t="shared" si="1220"/>
        <v>14/05/2025</v>
      </c>
      <c r="I2437" t="str">
        <f t="shared" si="1225"/>
        <v>12/05/2025</v>
      </c>
      <c r="J2437" t="str">
        <f t="shared" si="1221"/>
        <v>14/05/2025</v>
      </c>
      <c r="M2437">
        <v>303</v>
      </c>
      <c r="N2437" t="str">
        <f t="shared" si="1222"/>
        <v>RECEITAS COM ENTREGAS</v>
      </c>
      <c r="P2437">
        <v>616.96</v>
      </c>
      <c r="Q2437" t="str">
        <f>"DROGARIA AGAPEAMA (10167)"</f>
        <v>DROGARIA AGAPEAMA (10167)</v>
      </c>
      <c r="R2437" t="str">
        <f t="shared" si="1223"/>
        <v>RECEITAS COM ENTREGAS (303)</v>
      </c>
      <c r="S2437">
        <v>1537</v>
      </c>
      <c r="T2437">
        <v>1177</v>
      </c>
      <c r="U2437" t="s">
        <v>19</v>
      </c>
    </row>
    <row r="2438" spans="1:21">
      <c r="A2438" t="str">
        <f t="shared" si="1218"/>
        <v>14/05/2025</v>
      </c>
      <c r="B2438" t="str">
        <f>"SAÍDA"</f>
        <v>SAÍDA</v>
      </c>
      <c r="C2438" t="str">
        <f>"JUROS"</f>
        <v>JUROS</v>
      </c>
      <c r="D2438" t="str">
        <f>""</f>
        <v/>
      </c>
      <c r="E2438" t="str">
        <f>"CXA"</f>
        <v>CXA</v>
      </c>
      <c r="F2438" t="str">
        <f>""</f>
        <v/>
      </c>
      <c r="G2438" t="str">
        <f>"TAXA BOLETO COMPENSADO"</f>
        <v>TAXA BOLETO COMPENSADO</v>
      </c>
      <c r="H2438" t="str">
        <f t="shared" si="1220"/>
        <v>14/05/2025</v>
      </c>
      <c r="I2438" t="str">
        <f>("14/05/2025")</f>
        <v>14/05/2025</v>
      </c>
      <c r="J2438" t="str">
        <f t="shared" si="1221"/>
        <v>14/05/2025</v>
      </c>
      <c r="K2438">
        <v>1.7</v>
      </c>
      <c r="L2438">
        <v>1.7</v>
      </c>
      <c r="M2438">
        <v>401</v>
      </c>
      <c r="N2438" t="str">
        <f>"IOF/JUROS/DESP.FINANCEIRA"</f>
        <v>IOF/JUROS/DESP.FINANCEIRA</v>
      </c>
      <c r="O2438">
        <v>1.7</v>
      </c>
      <c r="R2438" t="str">
        <f>"BANCO CORA (102)"</f>
        <v>BANCO CORA (102)</v>
      </c>
      <c r="S2438">
        <v>1661</v>
      </c>
      <c r="T2438">
        <v>0</v>
      </c>
      <c r="U2438" t="s">
        <v>20</v>
      </c>
    </row>
    <row r="2439" spans="1:21">
      <c r="A2439" t="str">
        <f t="shared" si="1218"/>
        <v>14/05/2025</v>
      </c>
      <c r="B2439" t="str">
        <f>"SAÍDA"</f>
        <v>SAÍDA</v>
      </c>
      <c r="C2439" t="str">
        <f>"JUROS"</f>
        <v>JUROS</v>
      </c>
      <c r="D2439" t="str">
        <f>""</f>
        <v/>
      </c>
      <c r="E2439" t="str">
        <f>"CXA"</f>
        <v>CXA</v>
      </c>
      <c r="F2439" t="str">
        <f>""</f>
        <v/>
      </c>
      <c r="G2439" t="str">
        <f>"TAXA BOLETO COMPENSADO"</f>
        <v>TAXA BOLETO COMPENSADO</v>
      </c>
      <c r="H2439" t="str">
        <f t="shared" si="1220"/>
        <v>14/05/2025</v>
      </c>
      <c r="I2439" t="str">
        <f>("14/05/2025")</f>
        <v>14/05/2025</v>
      </c>
      <c r="J2439" t="str">
        <f t="shared" si="1221"/>
        <v>14/05/2025</v>
      </c>
      <c r="K2439">
        <v>1.7</v>
      </c>
      <c r="L2439">
        <v>1.7</v>
      </c>
      <c r="M2439">
        <v>401</v>
      </c>
      <c r="N2439" t="str">
        <f>"IOF/JUROS/DESP.FINANCEIRA"</f>
        <v>IOF/JUROS/DESP.FINANCEIRA</v>
      </c>
      <c r="O2439">
        <v>1.7</v>
      </c>
      <c r="R2439" t="str">
        <f>"BANCO CORA (102)"</f>
        <v>BANCO CORA (102)</v>
      </c>
      <c r="S2439">
        <v>1662</v>
      </c>
      <c r="T2439">
        <v>0</v>
      </c>
      <c r="U2439" t="s">
        <v>20</v>
      </c>
    </row>
    <row r="2440" spans="1:21">
      <c r="A2440" t="str">
        <f t="shared" si="1218"/>
        <v>14/05/2025</v>
      </c>
      <c r="B2440" t="str">
        <f>"SAÍDA"</f>
        <v>SAÍDA</v>
      </c>
      <c r="C2440" t="str">
        <f>"JUROS"</f>
        <v>JUROS</v>
      </c>
      <c r="D2440" t="str">
        <f>""</f>
        <v/>
      </c>
      <c r="E2440" t="str">
        <f>"CXA"</f>
        <v>CXA</v>
      </c>
      <c r="F2440" t="str">
        <f>""</f>
        <v/>
      </c>
      <c r="G2440" t="str">
        <f>"TAXA BOLETO COMPENSADO"</f>
        <v>TAXA BOLETO COMPENSADO</v>
      </c>
      <c r="H2440" t="str">
        <f t="shared" si="1220"/>
        <v>14/05/2025</v>
      </c>
      <c r="I2440" t="str">
        <f>("14/05/2025")</f>
        <v>14/05/2025</v>
      </c>
      <c r="J2440" t="str">
        <f t="shared" si="1221"/>
        <v>14/05/2025</v>
      </c>
      <c r="K2440">
        <v>1.7</v>
      </c>
      <c r="L2440">
        <v>1.7</v>
      </c>
      <c r="M2440">
        <v>401</v>
      </c>
      <c r="N2440" t="str">
        <f>"IOF/JUROS/DESP.FINANCEIRA"</f>
        <v>IOF/JUROS/DESP.FINANCEIRA</v>
      </c>
      <c r="O2440">
        <v>1.7</v>
      </c>
      <c r="R2440" t="str">
        <f>"BANCO CORA (102)"</f>
        <v>BANCO CORA (102)</v>
      </c>
      <c r="S2440">
        <v>1663</v>
      </c>
      <c r="T2440">
        <v>0</v>
      </c>
      <c r="U2440" t="s">
        <v>20</v>
      </c>
    </row>
    <row r="2441" spans="1:21">
      <c r="A2441" t="str">
        <f t="shared" ref="A2441:A2472" si="1226">("15/05/2025")</f>
        <v>15/05/2025</v>
      </c>
      <c r="B2441" t="str">
        <f>"ENTRADA"</f>
        <v>ENTRADA</v>
      </c>
      <c r="C2441" t="str">
        <f t="shared" ref="C2441:C2469" si="1227">"NFSE"</f>
        <v>NFSE</v>
      </c>
      <c r="D2441" t="str">
        <f>"2962"</f>
        <v>2962</v>
      </c>
      <c r="E2441" t="str">
        <f t="shared" ref="E2441:E2477" si="1228">"COM"</f>
        <v>COM</v>
      </c>
      <c r="F2441" t="str">
        <f>"AC FARMA - CID.ALTA (10166)"</f>
        <v>AC FARMA - CID.ALTA (10166)</v>
      </c>
      <c r="G2441" t="str">
        <f>"Serv.Prest. 28/04/2025 a 04/05/2025 - RPS: 732 - NFSe: 2962"</f>
        <v>Serv.Prest. 28/04/2025 a 04/05/2025 - RPS: 732 - NFSe: 2962</v>
      </c>
      <c r="H2441" t="str">
        <f t="shared" si="1220"/>
        <v>14/05/2025</v>
      </c>
      <c r="I2441" t="str">
        <f>("06/05/2025")</f>
        <v>06/05/2025</v>
      </c>
      <c r="J2441" t="str">
        <f t="shared" ref="J2441:J2472" si="1229">("15/05/2025")</f>
        <v>15/05/2025</v>
      </c>
      <c r="K2441">
        <v>1088.54</v>
      </c>
      <c r="L2441">
        <v>1088.54</v>
      </c>
      <c r="M2441">
        <v>303</v>
      </c>
      <c r="N2441" t="str">
        <f t="shared" ref="N2441:N2469" si="1230">"RECEITAS COM ENTREGAS"</f>
        <v>RECEITAS COM ENTREGAS</v>
      </c>
      <c r="O2441">
        <v>1088.54</v>
      </c>
      <c r="R2441" t="str">
        <f t="shared" ref="R2441:R2469" si="1231">"RECEITAS COM ENTREGAS (303)"</f>
        <v>RECEITAS COM ENTREGAS (303)</v>
      </c>
      <c r="S2441">
        <v>1538</v>
      </c>
      <c r="T2441">
        <v>1154</v>
      </c>
      <c r="U2441" t="s">
        <v>19</v>
      </c>
    </row>
    <row r="2442" spans="1:21">
      <c r="A2442" t="str">
        <f t="shared" si="1226"/>
        <v>15/05/2025</v>
      </c>
      <c r="B2442" t="str">
        <f t="shared" ref="B2442:B2469" si="1232">"ENTRADA"</f>
        <v>ENTRADA</v>
      </c>
      <c r="C2442" t="str">
        <f t="shared" si="1227"/>
        <v>NFSE</v>
      </c>
      <c r="D2442" t="str">
        <f>"2962"</f>
        <v>2962</v>
      </c>
      <c r="E2442" t="str">
        <f t="shared" si="1228"/>
        <v>COM</v>
      </c>
      <c r="F2442" t="str">
        <f>"AC FARMA - CID.ALTA (10166)"</f>
        <v>AC FARMA - CID.ALTA (10166)</v>
      </c>
      <c r="G2442" t="str">
        <f>"Serv.Prest. 28/04/2025 a 04/05/2025 - RPS: 732 - NFSe: 2962"</f>
        <v>Serv.Prest. 28/04/2025 a 04/05/2025 - RPS: 732 - NFSe: 2962</v>
      </c>
      <c r="H2442" t="str">
        <f t="shared" si="1220"/>
        <v>14/05/2025</v>
      </c>
      <c r="I2442" t="str">
        <f>("06/05/2025")</f>
        <v>06/05/2025</v>
      </c>
      <c r="J2442" t="str">
        <f t="shared" si="1229"/>
        <v>15/05/2025</v>
      </c>
      <c r="M2442">
        <v>303</v>
      </c>
      <c r="N2442" t="str">
        <f t="shared" si="1230"/>
        <v>RECEITAS COM ENTREGAS</v>
      </c>
      <c r="P2442">
        <v>1088.54</v>
      </c>
      <c r="Q2442" t="str">
        <f>"AC FARMA - CID.ALTA (10166)"</f>
        <v>AC FARMA - CID.ALTA (10166)</v>
      </c>
      <c r="R2442" t="str">
        <f t="shared" si="1231"/>
        <v>RECEITAS COM ENTREGAS (303)</v>
      </c>
      <c r="S2442">
        <v>1538</v>
      </c>
      <c r="T2442">
        <v>1154</v>
      </c>
      <c r="U2442" t="s">
        <v>19</v>
      </c>
    </row>
    <row r="2443" spans="1:21">
      <c r="A2443" t="str">
        <f t="shared" si="1226"/>
        <v>15/05/2025</v>
      </c>
      <c r="B2443" t="str">
        <f t="shared" si="1232"/>
        <v>ENTRADA</v>
      </c>
      <c r="C2443" t="str">
        <f t="shared" si="1227"/>
        <v>NFSE</v>
      </c>
      <c r="D2443" t="str">
        <f>"2963"</f>
        <v>2963</v>
      </c>
      <c r="E2443" t="str">
        <f t="shared" si="1228"/>
        <v>COM</v>
      </c>
      <c r="F2443" t="str">
        <f>"AC FARMA - FLEMINFARMA (10160)"</f>
        <v>AC FARMA - FLEMINFARMA (10160)</v>
      </c>
      <c r="G2443" t="str">
        <f>"Serv.Prest. 28/04/2025 a 04/05/2025 - RPS: 733 - NFSe: 2963"</f>
        <v>Serv.Prest. 28/04/2025 a 04/05/2025 - RPS: 733 - NFSe: 2963</v>
      </c>
      <c r="H2443" t="str">
        <f t="shared" si="1220"/>
        <v>14/05/2025</v>
      </c>
      <c r="I2443" t="str">
        <f>("06/05/2025")</f>
        <v>06/05/2025</v>
      </c>
      <c r="J2443" t="str">
        <f t="shared" si="1229"/>
        <v>15/05/2025</v>
      </c>
      <c r="K2443">
        <v>206.01</v>
      </c>
      <c r="L2443">
        <v>206.01</v>
      </c>
      <c r="M2443">
        <v>303</v>
      </c>
      <c r="N2443" t="str">
        <f t="shared" si="1230"/>
        <v>RECEITAS COM ENTREGAS</v>
      </c>
      <c r="O2443">
        <v>206.01</v>
      </c>
      <c r="R2443" t="str">
        <f t="shared" si="1231"/>
        <v>RECEITAS COM ENTREGAS (303)</v>
      </c>
      <c r="S2443">
        <v>1539</v>
      </c>
      <c r="T2443">
        <v>1155</v>
      </c>
      <c r="U2443" t="s">
        <v>19</v>
      </c>
    </row>
    <row r="2444" spans="1:21">
      <c r="A2444" t="str">
        <f t="shared" si="1226"/>
        <v>15/05/2025</v>
      </c>
      <c r="B2444" t="str">
        <f t="shared" si="1232"/>
        <v>ENTRADA</v>
      </c>
      <c r="C2444" t="str">
        <f t="shared" si="1227"/>
        <v>NFSE</v>
      </c>
      <c r="D2444" t="str">
        <f>"2963"</f>
        <v>2963</v>
      </c>
      <c r="E2444" t="str">
        <f t="shared" si="1228"/>
        <v>COM</v>
      </c>
      <c r="F2444" t="str">
        <f>"AC FARMA - FLEMINFARMA (10160)"</f>
        <v>AC FARMA - FLEMINFARMA (10160)</v>
      </c>
      <c r="G2444" t="str">
        <f>"Serv.Prest. 28/04/2025 a 04/05/2025 - RPS: 733 - NFSe: 2963"</f>
        <v>Serv.Prest. 28/04/2025 a 04/05/2025 - RPS: 733 - NFSe: 2963</v>
      </c>
      <c r="H2444" t="str">
        <f t="shared" si="1220"/>
        <v>14/05/2025</v>
      </c>
      <c r="I2444" t="str">
        <f>("06/05/2025")</f>
        <v>06/05/2025</v>
      </c>
      <c r="J2444" t="str">
        <f t="shared" si="1229"/>
        <v>15/05/2025</v>
      </c>
      <c r="M2444">
        <v>303</v>
      </c>
      <c r="N2444" t="str">
        <f t="shared" si="1230"/>
        <v>RECEITAS COM ENTREGAS</v>
      </c>
      <c r="P2444">
        <v>204.63</v>
      </c>
      <c r="Q2444" t="str">
        <f>"FARMACIA E PERFUMARIA CIDADE ALTA LTDA (10159)"</f>
        <v>FARMACIA E PERFUMARIA CIDADE ALTA LTDA (10159)</v>
      </c>
      <c r="R2444" t="str">
        <f t="shared" si="1231"/>
        <v>RECEITAS COM ENTREGAS (303)</v>
      </c>
      <c r="S2444">
        <v>1539</v>
      </c>
      <c r="T2444">
        <v>1155</v>
      </c>
      <c r="U2444" t="s">
        <v>19</v>
      </c>
    </row>
    <row r="2445" spans="1:21">
      <c r="A2445" t="str">
        <f t="shared" si="1226"/>
        <v>15/05/2025</v>
      </c>
      <c r="B2445" t="str">
        <f t="shared" si="1232"/>
        <v>ENTRADA</v>
      </c>
      <c r="C2445" t="str">
        <f t="shared" si="1227"/>
        <v>NFSE</v>
      </c>
      <c r="D2445" t="str">
        <f>"2963"</f>
        <v>2963</v>
      </c>
      <c r="E2445" t="str">
        <f t="shared" si="1228"/>
        <v>COM</v>
      </c>
      <c r="F2445" t="str">
        <f>"AC FARMA - FLEMINFARMA (10160)"</f>
        <v>AC FARMA - FLEMINFARMA (10160)</v>
      </c>
      <c r="G2445" t="str">
        <f>"Serv.Prest. 28/04/2025 a 04/05/2025 - RPS: 733 - NFSe: 2963"</f>
        <v>Serv.Prest. 28/04/2025 a 04/05/2025 - RPS: 733 - NFSe: 2963</v>
      </c>
      <c r="H2445" t="str">
        <f t="shared" si="1220"/>
        <v>14/05/2025</v>
      </c>
      <c r="I2445" t="str">
        <f>("06/05/2025")</f>
        <v>06/05/2025</v>
      </c>
      <c r="J2445" t="str">
        <f t="shared" si="1229"/>
        <v>15/05/2025</v>
      </c>
      <c r="M2445">
        <v>303</v>
      </c>
      <c r="N2445" t="str">
        <f t="shared" si="1230"/>
        <v>RECEITAS COM ENTREGAS</v>
      </c>
      <c r="P2445">
        <v>1.38</v>
      </c>
      <c r="Q2445" t="str">
        <f>"AC FARMA - FLEMINFARMA (10160)"</f>
        <v>AC FARMA - FLEMINFARMA (10160)</v>
      </c>
      <c r="R2445" t="str">
        <f t="shared" si="1231"/>
        <v>RECEITAS COM ENTREGAS (303)</v>
      </c>
      <c r="S2445">
        <v>1539</v>
      </c>
      <c r="T2445">
        <v>1155</v>
      </c>
      <c r="U2445" t="s">
        <v>19</v>
      </c>
    </row>
    <row r="2446" spans="1:21">
      <c r="A2446" t="str">
        <f t="shared" si="1226"/>
        <v>15/05/2025</v>
      </c>
      <c r="B2446" t="str">
        <f t="shared" si="1232"/>
        <v>ENTRADA</v>
      </c>
      <c r="C2446" t="str">
        <f t="shared" si="1227"/>
        <v>NFSE</v>
      </c>
      <c r="D2446" t="str">
        <f>"2971"</f>
        <v>2971</v>
      </c>
      <c r="E2446" t="str">
        <f t="shared" si="1228"/>
        <v>COM</v>
      </c>
      <c r="F2446" t="str">
        <f>"DELTA LOJA 2 (10123)"</f>
        <v>DELTA LOJA 2 (10123)</v>
      </c>
      <c r="G2446" t="str">
        <f>"Serv.Prest. 05/05/2025 a 11/05/2025 - RPS: 741 - NFSe: 2971"</f>
        <v>Serv.Prest. 05/05/2025 a 11/05/2025 - RPS: 741 - NFSe: 2971</v>
      </c>
      <c r="H2446" t="str">
        <f t="shared" si="1220"/>
        <v>14/05/2025</v>
      </c>
      <c r="I2446" t="str">
        <f t="shared" ref="I2446:I2455" si="1233">("12/05/2025")</f>
        <v>12/05/2025</v>
      </c>
      <c r="J2446" t="str">
        <f t="shared" si="1229"/>
        <v>15/05/2025</v>
      </c>
      <c r="K2446">
        <v>480.48</v>
      </c>
      <c r="L2446">
        <v>480.48</v>
      </c>
      <c r="M2446">
        <v>303</v>
      </c>
      <c r="N2446" t="str">
        <f t="shared" si="1230"/>
        <v>RECEITAS COM ENTREGAS</v>
      </c>
      <c r="O2446">
        <v>480.48</v>
      </c>
      <c r="R2446" t="str">
        <f t="shared" si="1231"/>
        <v>RECEITAS COM ENTREGAS (303)</v>
      </c>
      <c r="S2446">
        <v>1540</v>
      </c>
      <c r="T2446">
        <v>1163</v>
      </c>
      <c r="U2446" t="s">
        <v>19</v>
      </c>
    </row>
    <row r="2447" spans="1:21">
      <c r="A2447" t="str">
        <f t="shared" si="1226"/>
        <v>15/05/2025</v>
      </c>
      <c r="B2447" t="str">
        <f t="shared" si="1232"/>
        <v>ENTRADA</v>
      </c>
      <c r="C2447" t="str">
        <f t="shared" si="1227"/>
        <v>NFSE</v>
      </c>
      <c r="D2447" t="str">
        <f>"2971"</f>
        <v>2971</v>
      </c>
      <c r="E2447" t="str">
        <f t="shared" si="1228"/>
        <v>COM</v>
      </c>
      <c r="F2447" t="str">
        <f>"DELTA LOJA 2 (10123)"</f>
        <v>DELTA LOJA 2 (10123)</v>
      </c>
      <c r="G2447" t="str">
        <f>"Serv.Prest. 05/05/2025 a 11/05/2025 - RPS: 741 - NFSe: 2971"</f>
        <v>Serv.Prest. 05/05/2025 a 11/05/2025 - RPS: 741 - NFSe: 2971</v>
      </c>
      <c r="H2447" t="str">
        <f t="shared" si="1220"/>
        <v>14/05/2025</v>
      </c>
      <c r="I2447" t="str">
        <f t="shared" si="1233"/>
        <v>12/05/2025</v>
      </c>
      <c r="J2447" t="str">
        <f t="shared" si="1229"/>
        <v>15/05/2025</v>
      </c>
      <c r="M2447">
        <v>303</v>
      </c>
      <c r="N2447" t="str">
        <f t="shared" si="1230"/>
        <v>RECEITAS COM ENTREGAS</v>
      </c>
      <c r="P2447">
        <v>480.48</v>
      </c>
      <c r="Q2447" t="str">
        <f>"DELTA LOJA 2 (10123)"</f>
        <v>DELTA LOJA 2 (10123)</v>
      </c>
      <c r="R2447" t="str">
        <f t="shared" si="1231"/>
        <v>RECEITAS COM ENTREGAS (303)</v>
      </c>
      <c r="S2447">
        <v>1540</v>
      </c>
      <c r="T2447">
        <v>1163</v>
      </c>
      <c r="U2447" t="s">
        <v>19</v>
      </c>
    </row>
    <row r="2448" spans="1:21">
      <c r="A2448" t="str">
        <f t="shared" si="1226"/>
        <v>15/05/2025</v>
      </c>
      <c r="B2448" t="str">
        <f t="shared" si="1232"/>
        <v>ENTRADA</v>
      </c>
      <c r="C2448" t="str">
        <f t="shared" si="1227"/>
        <v>NFSE</v>
      </c>
      <c r="D2448" t="str">
        <f>"2972"</f>
        <v>2972</v>
      </c>
      <c r="E2448" t="str">
        <f t="shared" si="1228"/>
        <v>COM</v>
      </c>
      <c r="F2448" t="str">
        <f>"DROGA ELIDA (10121)"</f>
        <v>DROGA ELIDA (10121)</v>
      </c>
      <c r="G2448" t="str">
        <f>"Serv.Prest. 05/05/2025 a 11/05/2025 - RPS: 742 - NFSe: 2972"</f>
        <v>Serv.Prest. 05/05/2025 a 11/05/2025 - RPS: 742 - NFSe: 2972</v>
      </c>
      <c r="H2448" t="str">
        <f t="shared" si="1220"/>
        <v>14/05/2025</v>
      </c>
      <c r="I2448" t="str">
        <f t="shared" si="1233"/>
        <v>12/05/2025</v>
      </c>
      <c r="J2448" t="str">
        <f t="shared" si="1229"/>
        <v>15/05/2025</v>
      </c>
      <c r="K2448">
        <v>350.4</v>
      </c>
      <c r="L2448">
        <v>350.4</v>
      </c>
      <c r="M2448">
        <v>303</v>
      </c>
      <c r="N2448" t="str">
        <f t="shared" si="1230"/>
        <v>RECEITAS COM ENTREGAS</v>
      </c>
      <c r="O2448">
        <v>350.4</v>
      </c>
      <c r="R2448" t="str">
        <f t="shared" si="1231"/>
        <v>RECEITAS COM ENTREGAS (303)</v>
      </c>
      <c r="S2448">
        <v>1541</v>
      </c>
      <c r="T2448">
        <v>1164</v>
      </c>
      <c r="U2448" t="s">
        <v>19</v>
      </c>
    </row>
    <row r="2449" spans="1:21">
      <c r="A2449" t="str">
        <f t="shared" si="1226"/>
        <v>15/05/2025</v>
      </c>
      <c r="B2449" t="str">
        <f t="shared" si="1232"/>
        <v>ENTRADA</v>
      </c>
      <c r="C2449" t="str">
        <f t="shared" si="1227"/>
        <v>NFSE</v>
      </c>
      <c r="D2449" t="str">
        <f>"2972"</f>
        <v>2972</v>
      </c>
      <c r="E2449" t="str">
        <f t="shared" si="1228"/>
        <v>COM</v>
      </c>
      <c r="F2449" t="str">
        <f>"DROGA ELIDA (10121)"</f>
        <v>DROGA ELIDA (10121)</v>
      </c>
      <c r="G2449" t="str">
        <f>"Serv.Prest. 05/05/2025 a 11/05/2025 - RPS: 742 - NFSe: 2972"</f>
        <v>Serv.Prest. 05/05/2025 a 11/05/2025 - RPS: 742 - NFSe: 2972</v>
      </c>
      <c r="H2449" t="str">
        <f t="shared" si="1220"/>
        <v>14/05/2025</v>
      </c>
      <c r="I2449" t="str">
        <f t="shared" si="1233"/>
        <v>12/05/2025</v>
      </c>
      <c r="J2449" t="str">
        <f t="shared" si="1229"/>
        <v>15/05/2025</v>
      </c>
      <c r="M2449">
        <v>303</v>
      </c>
      <c r="N2449" t="str">
        <f t="shared" si="1230"/>
        <v>RECEITAS COM ENTREGAS</v>
      </c>
      <c r="P2449">
        <v>350.4</v>
      </c>
      <c r="Q2449" t="str">
        <f>"DROGA ELIDA (10121)"</f>
        <v>DROGA ELIDA (10121)</v>
      </c>
      <c r="R2449" t="str">
        <f t="shared" si="1231"/>
        <v>RECEITAS COM ENTREGAS (303)</v>
      </c>
      <c r="S2449">
        <v>1541</v>
      </c>
      <c r="T2449">
        <v>1164</v>
      </c>
      <c r="U2449" t="s">
        <v>19</v>
      </c>
    </row>
    <row r="2450" spans="1:21">
      <c r="A2450" t="str">
        <f t="shared" si="1226"/>
        <v>15/05/2025</v>
      </c>
      <c r="B2450" t="str">
        <f t="shared" si="1232"/>
        <v>ENTRADA</v>
      </c>
      <c r="C2450" t="str">
        <f t="shared" si="1227"/>
        <v>NFSE</v>
      </c>
      <c r="D2450" t="str">
        <f>"2976"</f>
        <v>2976</v>
      </c>
      <c r="E2450" t="str">
        <f t="shared" si="1228"/>
        <v>COM</v>
      </c>
      <c r="F2450" t="str">
        <f>"ROSA MARIA LTDA (10165)"</f>
        <v>ROSA MARIA LTDA (10165)</v>
      </c>
      <c r="G2450" t="str">
        <f>"Serv.Prest. 05/05/2025 a 11/05/2025 - RPS: 746 - NFSe: 2976"</f>
        <v>Serv.Prest. 05/05/2025 a 11/05/2025 - RPS: 746 - NFSe: 2976</v>
      </c>
      <c r="H2450" t="str">
        <f t="shared" si="1220"/>
        <v>14/05/2025</v>
      </c>
      <c r="I2450" t="str">
        <f t="shared" si="1233"/>
        <v>12/05/2025</v>
      </c>
      <c r="J2450" t="str">
        <f t="shared" si="1229"/>
        <v>15/05/2025</v>
      </c>
      <c r="K2450">
        <v>191.76</v>
      </c>
      <c r="L2450">
        <v>191.76</v>
      </c>
      <c r="M2450">
        <v>303</v>
      </c>
      <c r="N2450" t="str">
        <f t="shared" si="1230"/>
        <v>RECEITAS COM ENTREGAS</v>
      </c>
      <c r="O2450">
        <v>191.76</v>
      </c>
      <c r="R2450" t="str">
        <f t="shared" si="1231"/>
        <v>RECEITAS COM ENTREGAS (303)</v>
      </c>
      <c r="S2450">
        <v>1542</v>
      </c>
      <c r="T2450">
        <v>1168</v>
      </c>
      <c r="U2450" t="s">
        <v>19</v>
      </c>
    </row>
    <row r="2451" spans="1:21">
      <c r="A2451" t="str">
        <f t="shared" si="1226"/>
        <v>15/05/2025</v>
      </c>
      <c r="B2451" t="str">
        <f t="shared" si="1232"/>
        <v>ENTRADA</v>
      </c>
      <c r="C2451" t="str">
        <f t="shared" si="1227"/>
        <v>NFSE</v>
      </c>
      <c r="D2451" t="str">
        <f>"2976"</f>
        <v>2976</v>
      </c>
      <c r="E2451" t="str">
        <f t="shared" si="1228"/>
        <v>COM</v>
      </c>
      <c r="F2451" t="str">
        <f>"ROSA MARIA LTDA (10165)"</f>
        <v>ROSA MARIA LTDA (10165)</v>
      </c>
      <c r="G2451" t="str">
        <f>"Serv.Prest. 05/05/2025 a 11/05/2025 - RPS: 746 - NFSe: 2976"</f>
        <v>Serv.Prest. 05/05/2025 a 11/05/2025 - RPS: 746 - NFSe: 2976</v>
      </c>
      <c r="H2451" t="str">
        <f t="shared" si="1220"/>
        <v>14/05/2025</v>
      </c>
      <c r="I2451" t="str">
        <f t="shared" si="1233"/>
        <v>12/05/2025</v>
      </c>
      <c r="J2451" t="str">
        <f t="shared" si="1229"/>
        <v>15/05/2025</v>
      </c>
      <c r="M2451">
        <v>303</v>
      </c>
      <c r="N2451" t="str">
        <f t="shared" si="1230"/>
        <v>RECEITAS COM ENTREGAS</v>
      </c>
      <c r="P2451">
        <v>191.76</v>
      </c>
      <c r="Q2451" t="str">
        <f>"ROSA MARIA LTDA (10170)"</f>
        <v>ROSA MARIA LTDA (10170)</v>
      </c>
      <c r="R2451" t="str">
        <f t="shared" si="1231"/>
        <v>RECEITAS COM ENTREGAS (303)</v>
      </c>
      <c r="S2451">
        <v>1542</v>
      </c>
      <c r="T2451">
        <v>1168</v>
      </c>
      <c r="U2451" t="s">
        <v>19</v>
      </c>
    </row>
    <row r="2452" spans="1:21">
      <c r="A2452" t="str">
        <f t="shared" si="1226"/>
        <v>15/05/2025</v>
      </c>
      <c r="B2452" t="str">
        <f t="shared" si="1232"/>
        <v>ENTRADA</v>
      </c>
      <c r="C2452" t="str">
        <f t="shared" si="1227"/>
        <v>NFSE</v>
      </c>
      <c r="D2452" t="str">
        <f>"2980"</f>
        <v>2980</v>
      </c>
      <c r="E2452" t="str">
        <f t="shared" si="1228"/>
        <v>COM</v>
      </c>
      <c r="F2452" t="str">
        <f>"JAL FARMACIA E DROGARIA LJ 1 (10137)"</f>
        <v>JAL FARMACIA E DROGARIA LJ 1 (10137)</v>
      </c>
      <c r="G2452" t="str">
        <f>"Serv.Prest. 05/05/2025 a 11/05/2025 - RPS: 750 - NFSe: 2980"</f>
        <v>Serv.Prest. 05/05/2025 a 11/05/2025 - RPS: 750 - NFSe: 2980</v>
      </c>
      <c r="H2452" t="str">
        <f t="shared" si="1220"/>
        <v>14/05/2025</v>
      </c>
      <c r="I2452" t="str">
        <f t="shared" si="1233"/>
        <v>12/05/2025</v>
      </c>
      <c r="J2452" t="str">
        <f t="shared" si="1229"/>
        <v>15/05/2025</v>
      </c>
      <c r="K2452">
        <v>464</v>
      </c>
      <c r="L2452">
        <v>464</v>
      </c>
      <c r="M2452">
        <v>303</v>
      </c>
      <c r="N2452" t="str">
        <f t="shared" si="1230"/>
        <v>RECEITAS COM ENTREGAS</v>
      </c>
      <c r="O2452">
        <v>464</v>
      </c>
      <c r="R2452" t="str">
        <f t="shared" si="1231"/>
        <v>RECEITAS COM ENTREGAS (303)</v>
      </c>
      <c r="S2452">
        <v>1543</v>
      </c>
      <c r="T2452">
        <v>1182</v>
      </c>
      <c r="U2452" t="s">
        <v>19</v>
      </c>
    </row>
    <row r="2453" spans="1:21">
      <c r="A2453" t="str">
        <f t="shared" si="1226"/>
        <v>15/05/2025</v>
      </c>
      <c r="B2453" t="str">
        <f t="shared" si="1232"/>
        <v>ENTRADA</v>
      </c>
      <c r="C2453" t="str">
        <f t="shared" si="1227"/>
        <v>NFSE</v>
      </c>
      <c r="D2453" t="str">
        <f>"2980"</f>
        <v>2980</v>
      </c>
      <c r="E2453" t="str">
        <f t="shared" si="1228"/>
        <v>COM</v>
      </c>
      <c r="F2453" t="str">
        <f>"JAL FARMACIA E DROGARIA LJ 1 (10137)"</f>
        <v>JAL FARMACIA E DROGARIA LJ 1 (10137)</v>
      </c>
      <c r="G2453" t="str">
        <f>"Serv.Prest. 05/05/2025 a 11/05/2025 - RPS: 750 - NFSe: 2980"</f>
        <v>Serv.Prest. 05/05/2025 a 11/05/2025 - RPS: 750 - NFSe: 2980</v>
      </c>
      <c r="H2453" t="str">
        <f t="shared" si="1220"/>
        <v>14/05/2025</v>
      </c>
      <c r="I2453" t="str">
        <f t="shared" si="1233"/>
        <v>12/05/2025</v>
      </c>
      <c r="J2453" t="str">
        <f t="shared" si="1229"/>
        <v>15/05/2025</v>
      </c>
      <c r="M2453">
        <v>303</v>
      </c>
      <c r="N2453" t="str">
        <f t="shared" si="1230"/>
        <v>RECEITAS COM ENTREGAS</v>
      </c>
      <c r="P2453">
        <v>464</v>
      </c>
      <c r="Q2453" t="str">
        <f>"JAL FARMACIA E DROGARIA LJ 1 (10137)"</f>
        <v>JAL FARMACIA E DROGARIA LJ 1 (10137)</v>
      </c>
      <c r="R2453" t="str">
        <f t="shared" si="1231"/>
        <v>RECEITAS COM ENTREGAS (303)</v>
      </c>
      <c r="S2453">
        <v>1543</v>
      </c>
      <c r="T2453">
        <v>1182</v>
      </c>
      <c r="U2453" t="s">
        <v>19</v>
      </c>
    </row>
    <row r="2454" spans="1:21">
      <c r="A2454" t="str">
        <f t="shared" si="1226"/>
        <v>15/05/2025</v>
      </c>
      <c r="B2454" t="str">
        <f t="shared" si="1232"/>
        <v>ENTRADA</v>
      </c>
      <c r="C2454" t="str">
        <f t="shared" si="1227"/>
        <v>NFSE</v>
      </c>
      <c r="D2454" t="str">
        <f>"2979"</f>
        <v>2979</v>
      </c>
      <c r="E2454" t="str">
        <f t="shared" si="1228"/>
        <v>COM</v>
      </c>
      <c r="F2454" t="str">
        <f>"JAL FARMACIA E DROGARIA LJ 2 (10138)"</f>
        <v>JAL FARMACIA E DROGARIA LJ 2 (10138)</v>
      </c>
      <c r="G2454" t="str">
        <f>"Serv.Prest. 05/05/2025 a 11/05/2025 - RPS: 749 - NFSe: 2979"</f>
        <v>Serv.Prest. 05/05/2025 a 11/05/2025 - RPS: 749 - NFSe: 2979</v>
      </c>
      <c r="H2454" t="str">
        <f t="shared" si="1220"/>
        <v>14/05/2025</v>
      </c>
      <c r="I2454" t="str">
        <f t="shared" si="1233"/>
        <v>12/05/2025</v>
      </c>
      <c r="J2454" t="str">
        <f t="shared" si="1229"/>
        <v>15/05/2025</v>
      </c>
      <c r="K2454">
        <v>291.2</v>
      </c>
      <c r="L2454">
        <v>291.2</v>
      </c>
      <c r="M2454">
        <v>303</v>
      </c>
      <c r="N2454" t="str">
        <f t="shared" si="1230"/>
        <v>RECEITAS COM ENTREGAS</v>
      </c>
      <c r="O2454">
        <v>291.2</v>
      </c>
      <c r="R2454" t="str">
        <f t="shared" si="1231"/>
        <v>RECEITAS COM ENTREGAS (303)</v>
      </c>
      <c r="S2454">
        <v>1544</v>
      </c>
      <c r="T2454">
        <v>1181</v>
      </c>
      <c r="U2454" t="s">
        <v>19</v>
      </c>
    </row>
    <row r="2455" spans="1:21">
      <c r="A2455" t="str">
        <f t="shared" si="1226"/>
        <v>15/05/2025</v>
      </c>
      <c r="B2455" t="str">
        <f t="shared" si="1232"/>
        <v>ENTRADA</v>
      </c>
      <c r="C2455" t="str">
        <f t="shared" si="1227"/>
        <v>NFSE</v>
      </c>
      <c r="D2455" t="str">
        <f>"2979"</f>
        <v>2979</v>
      </c>
      <c r="E2455" t="str">
        <f t="shared" si="1228"/>
        <v>COM</v>
      </c>
      <c r="F2455" t="str">
        <f>"JAL FARMACIA E DROGARIA LJ 2 (10138)"</f>
        <v>JAL FARMACIA E DROGARIA LJ 2 (10138)</v>
      </c>
      <c r="G2455" t="str">
        <f>"Serv.Prest. 05/05/2025 a 11/05/2025 - RPS: 749 - NFSe: 2979"</f>
        <v>Serv.Prest. 05/05/2025 a 11/05/2025 - RPS: 749 - NFSe: 2979</v>
      </c>
      <c r="H2455" t="str">
        <f t="shared" si="1220"/>
        <v>14/05/2025</v>
      </c>
      <c r="I2455" t="str">
        <f t="shared" si="1233"/>
        <v>12/05/2025</v>
      </c>
      <c r="J2455" t="str">
        <f t="shared" si="1229"/>
        <v>15/05/2025</v>
      </c>
      <c r="M2455">
        <v>303</v>
      </c>
      <c r="N2455" t="str">
        <f t="shared" si="1230"/>
        <v>RECEITAS COM ENTREGAS</v>
      </c>
      <c r="P2455">
        <v>291.2</v>
      </c>
      <c r="Q2455" t="str">
        <f>"JAL FARMACIA E DROGARIA LJ 2 (10138)"</f>
        <v>JAL FARMACIA E DROGARIA LJ 2 (10138)</v>
      </c>
      <c r="R2455" t="str">
        <f t="shared" si="1231"/>
        <v>RECEITAS COM ENTREGAS (303)</v>
      </c>
      <c r="S2455">
        <v>1544</v>
      </c>
      <c r="T2455">
        <v>1181</v>
      </c>
      <c r="U2455" t="s">
        <v>19</v>
      </c>
    </row>
    <row r="2456" spans="1:21">
      <c r="A2456" t="str">
        <f t="shared" si="1226"/>
        <v>15/05/2025</v>
      </c>
      <c r="B2456" t="str">
        <f t="shared" si="1232"/>
        <v>ENTRADA</v>
      </c>
      <c r="C2456" t="str">
        <f t="shared" si="1227"/>
        <v>NFSE</v>
      </c>
      <c r="D2456" t="str">
        <f>"2985"</f>
        <v>2985</v>
      </c>
      <c r="E2456" t="str">
        <f t="shared" si="1228"/>
        <v>COM</v>
      </c>
      <c r="F2456" t="str">
        <f>"FARMACIA ECONOMIZE (10103)"</f>
        <v>FARMACIA ECONOMIZE (10103)</v>
      </c>
      <c r="G2456" t="str">
        <f>"Serv.Prest. 05/05/2025 a 11/05/2025 - RPS: 755 - NFSe: 2985"</f>
        <v>Serv.Prest. 05/05/2025 a 11/05/2025 - RPS: 755 - NFSe: 2985</v>
      </c>
      <c r="H2456" t="str">
        <f t="shared" si="1220"/>
        <v>14/05/2025</v>
      </c>
      <c r="I2456" t="str">
        <f t="shared" ref="I2456:I2463" si="1234">("13/05/2025")</f>
        <v>13/05/2025</v>
      </c>
      <c r="J2456" t="str">
        <f t="shared" si="1229"/>
        <v>15/05/2025</v>
      </c>
      <c r="K2456">
        <v>20.059999999999999</v>
      </c>
      <c r="L2456">
        <v>20.059999999999999</v>
      </c>
      <c r="M2456">
        <v>303</v>
      </c>
      <c r="N2456" t="str">
        <f t="shared" si="1230"/>
        <v>RECEITAS COM ENTREGAS</v>
      </c>
      <c r="O2456">
        <v>20.059999999999999</v>
      </c>
      <c r="R2456" t="str">
        <f t="shared" si="1231"/>
        <v>RECEITAS COM ENTREGAS (303)</v>
      </c>
      <c r="S2456">
        <v>1545</v>
      </c>
      <c r="T2456">
        <v>1192</v>
      </c>
      <c r="U2456" t="s">
        <v>19</v>
      </c>
    </row>
    <row r="2457" spans="1:21">
      <c r="A2457" t="str">
        <f t="shared" si="1226"/>
        <v>15/05/2025</v>
      </c>
      <c r="B2457" t="str">
        <f t="shared" si="1232"/>
        <v>ENTRADA</v>
      </c>
      <c r="C2457" t="str">
        <f t="shared" si="1227"/>
        <v>NFSE</v>
      </c>
      <c r="D2457" t="str">
        <f>"2985"</f>
        <v>2985</v>
      </c>
      <c r="E2457" t="str">
        <f t="shared" si="1228"/>
        <v>COM</v>
      </c>
      <c r="F2457" t="str">
        <f>"FARMACIA ECONOMIZE (10103)"</f>
        <v>FARMACIA ECONOMIZE (10103)</v>
      </c>
      <c r="G2457" t="str">
        <f>"Serv.Prest. 05/05/2025 a 11/05/2025 - RPS: 755 - NFSe: 2985"</f>
        <v>Serv.Prest. 05/05/2025 a 11/05/2025 - RPS: 755 - NFSe: 2985</v>
      </c>
      <c r="H2457" t="str">
        <f t="shared" si="1220"/>
        <v>14/05/2025</v>
      </c>
      <c r="I2457" t="str">
        <f t="shared" si="1234"/>
        <v>13/05/2025</v>
      </c>
      <c r="J2457" t="str">
        <f t="shared" si="1229"/>
        <v>15/05/2025</v>
      </c>
      <c r="M2457">
        <v>303</v>
      </c>
      <c r="N2457" t="str">
        <f t="shared" si="1230"/>
        <v>RECEITAS COM ENTREGAS</v>
      </c>
      <c r="P2457">
        <v>20.059999999999999</v>
      </c>
      <c r="Q2457" t="str">
        <f>"FARMACIA ECONOMIZE (10103)"</f>
        <v>FARMACIA ECONOMIZE (10103)</v>
      </c>
      <c r="R2457" t="str">
        <f t="shared" si="1231"/>
        <v>RECEITAS COM ENTREGAS (303)</v>
      </c>
      <c r="S2457">
        <v>1545</v>
      </c>
      <c r="T2457">
        <v>1192</v>
      </c>
      <c r="U2457" t="s">
        <v>19</v>
      </c>
    </row>
    <row r="2458" spans="1:21">
      <c r="A2458" t="str">
        <f t="shared" si="1226"/>
        <v>15/05/2025</v>
      </c>
      <c r="B2458" t="str">
        <f t="shared" si="1232"/>
        <v>ENTRADA</v>
      </c>
      <c r="C2458" t="str">
        <f t="shared" si="1227"/>
        <v>NFSE</v>
      </c>
      <c r="D2458" t="str">
        <f>"2986"</f>
        <v>2986</v>
      </c>
      <c r="E2458" t="str">
        <f t="shared" si="1228"/>
        <v>COM</v>
      </c>
      <c r="F2458" t="str">
        <f>"DROGA MONICA LJ 3 (10152)"</f>
        <v>DROGA MONICA LJ 3 (10152)</v>
      </c>
      <c r="G2458" t="str">
        <f>"Serv.Prest. 05/05/2025 a 11/05/2025 - RPS: 756 - NFSe: 2986"</f>
        <v>Serv.Prest. 05/05/2025 a 11/05/2025 - RPS: 756 - NFSe: 2986</v>
      </c>
      <c r="H2458" t="str">
        <f t="shared" si="1220"/>
        <v>14/05/2025</v>
      </c>
      <c r="I2458" t="str">
        <f t="shared" si="1234"/>
        <v>13/05/2025</v>
      </c>
      <c r="J2458" t="str">
        <f t="shared" si="1229"/>
        <v>15/05/2025</v>
      </c>
      <c r="K2458">
        <v>206.4</v>
      </c>
      <c r="L2458">
        <v>206.4</v>
      </c>
      <c r="M2458">
        <v>303</v>
      </c>
      <c r="N2458" t="str">
        <f t="shared" si="1230"/>
        <v>RECEITAS COM ENTREGAS</v>
      </c>
      <c r="O2458">
        <v>206.4</v>
      </c>
      <c r="R2458" t="str">
        <f t="shared" si="1231"/>
        <v>RECEITAS COM ENTREGAS (303)</v>
      </c>
      <c r="S2458">
        <v>1546</v>
      </c>
      <c r="T2458">
        <v>1193</v>
      </c>
      <c r="U2458" t="s">
        <v>19</v>
      </c>
    </row>
    <row r="2459" spans="1:21">
      <c r="A2459" t="str">
        <f t="shared" si="1226"/>
        <v>15/05/2025</v>
      </c>
      <c r="B2459" t="str">
        <f t="shared" si="1232"/>
        <v>ENTRADA</v>
      </c>
      <c r="C2459" t="str">
        <f t="shared" si="1227"/>
        <v>NFSE</v>
      </c>
      <c r="D2459" t="str">
        <f>"2986"</f>
        <v>2986</v>
      </c>
      <c r="E2459" t="str">
        <f t="shared" si="1228"/>
        <v>COM</v>
      </c>
      <c r="F2459" t="str">
        <f>"DROGA MONICA LJ 3 (10152)"</f>
        <v>DROGA MONICA LJ 3 (10152)</v>
      </c>
      <c r="G2459" t="str">
        <f>"Serv.Prest. 05/05/2025 a 11/05/2025 - RPS: 756 - NFSe: 2986"</f>
        <v>Serv.Prest. 05/05/2025 a 11/05/2025 - RPS: 756 - NFSe: 2986</v>
      </c>
      <c r="H2459" t="str">
        <f t="shared" si="1220"/>
        <v>14/05/2025</v>
      </c>
      <c r="I2459" t="str">
        <f t="shared" si="1234"/>
        <v>13/05/2025</v>
      </c>
      <c r="J2459" t="str">
        <f t="shared" si="1229"/>
        <v>15/05/2025</v>
      </c>
      <c r="M2459">
        <v>303</v>
      </c>
      <c r="N2459" t="str">
        <f t="shared" si="1230"/>
        <v>RECEITAS COM ENTREGAS</v>
      </c>
      <c r="P2459">
        <v>206.4</v>
      </c>
      <c r="Q2459" t="str">
        <f>"DROGA MONICA LJ 3 (10152)"</f>
        <v>DROGA MONICA LJ 3 (10152)</v>
      </c>
      <c r="R2459" t="str">
        <f t="shared" si="1231"/>
        <v>RECEITAS COM ENTREGAS (303)</v>
      </c>
      <c r="S2459">
        <v>1546</v>
      </c>
      <c r="T2459">
        <v>1193</v>
      </c>
      <c r="U2459" t="s">
        <v>19</v>
      </c>
    </row>
    <row r="2460" spans="1:21">
      <c r="A2460" t="str">
        <f t="shared" si="1226"/>
        <v>15/05/2025</v>
      </c>
      <c r="B2460" t="str">
        <f t="shared" si="1232"/>
        <v>ENTRADA</v>
      </c>
      <c r="C2460" t="str">
        <f t="shared" si="1227"/>
        <v>NFSE</v>
      </c>
      <c r="D2460" t="str">
        <f>"2989"</f>
        <v>2989</v>
      </c>
      <c r="E2460" t="str">
        <f t="shared" si="1228"/>
        <v>COM</v>
      </c>
      <c r="F2460" t="str">
        <f>"DROGARIA MEDIC CENTER LTDA (10172)"</f>
        <v>DROGARIA MEDIC CENTER LTDA (10172)</v>
      </c>
      <c r="G2460" t="str">
        <f>"Serv.Prest. 05/05/2025 a 11/05/2025 - RPS: 759 - NFSe: 2989"</f>
        <v>Serv.Prest. 05/05/2025 a 11/05/2025 - RPS: 759 - NFSe: 2989</v>
      </c>
      <c r="H2460" t="str">
        <f t="shared" si="1220"/>
        <v>14/05/2025</v>
      </c>
      <c r="I2460" t="str">
        <f t="shared" si="1234"/>
        <v>13/05/2025</v>
      </c>
      <c r="J2460" t="str">
        <f t="shared" si="1229"/>
        <v>15/05/2025</v>
      </c>
      <c r="K2460">
        <v>370.08</v>
      </c>
      <c r="L2460">
        <v>370.08</v>
      </c>
      <c r="M2460">
        <v>303</v>
      </c>
      <c r="N2460" t="str">
        <f t="shared" si="1230"/>
        <v>RECEITAS COM ENTREGAS</v>
      </c>
      <c r="O2460">
        <v>370.08</v>
      </c>
      <c r="R2460" t="str">
        <f t="shared" si="1231"/>
        <v>RECEITAS COM ENTREGAS (303)</v>
      </c>
      <c r="S2460">
        <v>1547</v>
      </c>
      <c r="T2460">
        <v>1196</v>
      </c>
      <c r="U2460" t="s">
        <v>19</v>
      </c>
    </row>
    <row r="2461" spans="1:21">
      <c r="A2461" t="str">
        <f t="shared" si="1226"/>
        <v>15/05/2025</v>
      </c>
      <c r="B2461" t="str">
        <f t="shared" si="1232"/>
        <v>ENTRADA</v>
      </c>
      <c r="C2461" t="str">
        <f t="shared" si="1227"/>
        <v>NFSE</v>
      </c>
      <c r="D2461" t="str">
        <f>"2989"</f>
        <v>2989</v>
      </c>
      <c r="E2461" t="str">
        <f t="shared" si="1228"/>
        <v>COM</v>
      </c>
      <c r="F2461" t="str">
        <f>"DROGARIA MEDIC CENTER LTDA (10172)"</f>
        <v>DROGARIA MEDIC CENTER LTDA (10172)</v>
      </c>
      <c r="G2461" t="str">
        <f>"Serv.Prest. 05/05/2025 a 11/05/2025 - RPS: 759 - NFSe: 2989"</f>
        <v>Serv.Prest. 05/05/2025 a 11/05/2025 - RPS: 759 - NFSe: 2989</v>
      </c>
      <c r="H2461" t="str">
        <f t="shared" ref="H2461:H2469" si="1235">("14/05/2025")</f>
        <v>14/05/2025</v>
      </c>
      <c r="I2461" t="str">
        <f t="shared" si="1234"/>
        <v>13/05/2025</v>
      </c>
      <c r="J2461" t="str">
        <f t="shared" si="1229"/>
        <v>15/05/2025</v>
      </c>
      <c r="M2461">
        <v>303</v>
      </c>
      <c r="N2461" t="str">
        <f t="shared" si="1230"/>
        <v>RECEITAS COM ENTREGAS</v>
      </c>
      <c r="P2461">
        <v>370.08</v>
      </c>
      <c r="Q2461" t="str">
        <f>"DROGARIA MEDIC CENTER LTDA (10172)"</f>
        <v>DROGARIA MEDIC CENTER LTDA (10172)</v>
      </c>
      <c r="R2461" t="str">
        <f t="shared" si="1231"/>
        <v>RECEITAS COM ENTREGAS (303)</v>
      </c>
      <c r="S2461">
        <v>1547</v>
      </c>
      <c r="T2461">
        <v>1196</v>
      </c>
      <c r="U2461" t="s">
        <v>19</v>
      </c>
    </row>
    <row r="2462" spans="1:21">
      <c r="A2462" t="str">
        <f t="shared" si="1226"/>
        <v>15/05/2025</v>
      </c>
      <c r="B2462" t="str">
        <f t="shared" si="1232"/>
        <v>ENTRADA</v>
      </c>
      <c r="C2462" t="str">
        <f t="shared" si="1227"/>
        <v>NFSE</v>
      </c>
      <c r="D2462" t="str">
        <f>"2990"</f>
        <v>2990</v>
      </c>
      <c r="E2462" t="str">
        <f t="shared" si="1228"/>
        <v>COM</v>
      </c>
      <c r="F2462" t="str">
        <f>"DROGARIA MORENO LTDA (10171)"</f>
        <v>DROGARIA MORENO LTDA (10171)</v>
      </c>
      <c r="G2462" t="str">
        <f>"Serv.Prest. 05/05/2025 a 11/05/2025 - RPS: 760 - NFSe: 2990"</f>
        <v>Serv.Prest. 05/05/2025 a 11/05/2025 - RPS: 760 - NFSe: 2990</v>
      </c>
      <c r="H2462" t="str">
        <f t="shared" si="1235"/>
        <v>14/05/2025</v>
      </c>
      <c r="I2462" t="str">
        <f t="shared" si="1234"/>
        <v>13/05/2025</v>
      </c>
      <c r="J2462" t="str">
        <f t="shared" si="1229"/>
        <v>15/05/2025</v>
      </c>
      <c r="K2462">
        <v>504</v>
      </c>
      <c r="L2462">
        <v>504</v>
      </c>
      <c r="M2462">
        <v>303</v>
      </c>
      <c r="N2462" t="str">
        <f t="shared" si="1230"/>
        <v>RECEITAS COM ENTREGAS</v>
      </c>
      <c r="O2462">
        <v>504</v>
      </c>
      <c r="R2462" t="str">
        <f t="shared" si="1231"/>
        <v>RECEITAS COM ENTREGAS (303)</v>
      </c>
      <c r="S2462">
        <v>1548</v>
      </c>
      <c r="T2462">
        <v>1197</v>
      </c>
      <c r="U2462" t="s">
        <v>19</v>
      </c>
    </row>
    <row r="2463" spans="1:21">
      <c r="A2463" t="str">
        <f t="shared" si="1226"/>
        <v>15/05/2025</v>
      </c>
      <c r="B2463" t="str">
        <f t="shared" si="1232"/>
        <v>ENTRADA</v>
      </c>
      <c r="C2463" t="str">
        <f t="shared" si="1227"/>
        <v>NFSE</v>
      </c>
      <c r="D2463" t="str">
        <f>"2990"</f>
        <v>2990</v>
      </c>
      <c r="E2463" t="str">
        <f t="shared" si="1228"/>
        <v>COM</v>
      </c>
      <c r="F2463" t="str">
        <f>"DROGARIA MORENO LTDA (10171)"</f>
        <v>DROGARIA MORENO LTDA (10171)</v>
      </c>
      <c r="G2463" t="str">
        <f>"Serv.Prest. 05/05/2025 a 11/05/2025 - RPS: 760 - NFSe: 2990"</f>
        <v>Serv.Prest. 05/05/2025 a 11/05/2025 - RPS: 760 - NFSe: 2990</v>
      </c>
      <c r="H2463" t="str">
        <f t="shared" si="1235"/>
        <v>14/05/2025</v>
      </c>
      <c r="I2463" t="str">
        <f t="shared" si="1234"/>
        <v>13/05/2025</v>
      </c>
      <c r="J2463" t="str">
        <f t="shared" si="1229"/>
        <v>15/05/2025</v>
      </c>
      <c r="M2463">
        <v>303</v>
      </c>
      <c r="N2463" t="str">
        <f t="shared" si="1230"/>
        <v>RECEITAS COM ENTREGAS</v>
      </c>
      <c r="P2463">
        <v>504</v>
      </c>
      <c r="Q2463" t="str">
        <f>"DROGARIA MORENO LTDA (10171)"</f>
        <v>DROGARIA MORENO LTDA (10171)</v>
      </c>
      <c r="R2463" t="str">
        <f t="shared" si="1231"/>
        <v>RECEITAS COM ENTREGAS (303)</v>
      </c>
      <c r="S2463">
        <v>1548</v>
      </c>
      <c r="T2463">
        <v>1197</v>
      </c>
      <c r="U2463" t="s">
        <v>19</v>
      </c>
    </row>
    <row r="2464" spans="1:21">
      <c r="A2464" t="str">
        <f t="shared" si="1226"/>
        <v>15/05/2025</v>
      </c>
      <c r="B2464" t="str">
        <f t="shared" si="1232"/>
        <v>ENTRADA</v>
      </c>
      <c r="C2464" t="str">
        <f t="shared" si="1227"/>
        <v>NFSE</v>
      </c>
      <c r="D2464" t="str">
        <f>"2977"</f>
        <v>2977</v>
      </c>
      <c r="E2464" t="str">
        <f t="shared" si="1228"/>
        <v>COM</v>
      </c>
      <c r="F2464" t="str">
        <f>"FRAN FARMA (10124)"</f>
        <v>FRAN FARMA (10124)</v>
      </c>
      <c r="G2464" t="str">
        <f>"Serv.Prest. 05/05/2025 a 11/05/2025 - RPS: 747 - NFSe: 2977"</f>
        <v>Serv.Prest. 05/05/2025 a 11/05/2025 - RPS: 747 - NFSe: 2977</v>
      </c>
      <c r="H2464" t="str">
        <f t="shared" si="1235"/>
        <v>14/05/2025</v>
      </c>
      <c r="I2464" t="str">
        <f t="shared" ref="I2464:I2469" si="1236">("12/05/2025")</f>
        <v>12/05/2025</v>
      </c>
      <c r="J2464" t="str">
        <f t="shared" si="1229"/>
        <v>15/05/2025</v>
      </c>
      <c r="K2464">
        <v>320</v>
      </c>
      <c r="L2464">
        <v>320</v>
      </c>
      <c r="M2464">
        <v>303</v>
      </c>
      <c r="N2464" t="str">
        <f t="shared" si="1230"/>
        <v>RECEITAS COM ENTREGAS</v>
      </c>
      <c r="O2464">
        <v>320</v>
      </c>
      <c r="R2464" t="str">
        <f t="shared" si="1231"/>
        <v>RECEITAS COM ENTREGAS (303)</v>
      </c>
      <c r="S2464">
        <v>1549</v>
      </c>
      <c r="T2464">
        <v>1171</v>
      </c>
      <c r="U2464" t="s">
        <v>19</v>
      </c>
    </row>
    <row r="2465" spans="1:21">
      <c r="A2465" t="str">
        <f t="shared" si="1226"/>
        <v>15/05/2025</v>
      </c>
      <c r="B2465" t="str">
        <f t="shared" si="1232"/>
        <v>ENTRADA</v>
      </c>
      <c r="C2465" t="str">
        <f t="shared" si="1227"/>
        <v>NFSE</v>
      </c>
      <c r="D2465" t="str">
        <f>"2977"</f>
        <v>2977</v>
      </c>
      <c r="E2465" t="str">
        <f t="shared" si="1228"/>
        <v>COM</v>
      </c>
      <c r="F2465" t="str">
        <f>"FRAN FARMA (10124)"</f>
        <v>FRAN FARMA (10124)</v>
      </c>
      <c r="G2465" t="str">
        <f>"Serv.Prest. 05/05/2025 a 11/05/2025 - RPS: 747 - NFSe: 2977"</f>
        <v>Serv.Prest. 05/05/2025 a 11/05/2025 - RPS: 747 - NFSe: 2977</v>
      </c>
      <c r="H2465" t="str">
        <f t="shared" si="1235"/>
        <v>14/05/2025</v>
      </c>
      <c r="I2465" t="str">
        <f t="shared" si="1236"/>
        <v>12/05/2025</v>
      </c>
      <c r="J2465" t="str">
        <f t="shared" si="1229"/>
        <v>15/05/2025</v>
      </c>
      <c r="M2465">
        <v>303</v>
      </c>
      <c r="N2465" t="str">
        <f t="shared" si="1230"/>
        <v>RECEITAS COM ENTREGAS</v>
      </c>
      <c r="P2465">
        <v>64</v>
      </c>
      <c r="Q2465" t="str">
        <f>"FRAN FARMA (10124)"</f>
        <v>FRAN FARMA (10124)</v>
      </c>
      <c r="R2465" t="str">
        <f t="shared" si="1231"/>
        <v>RECEITAS COM ENTREGAS (303)</v>
      </c>
      <c r="S2465">
        <v>1549</v>
      </c>
      <c r="T2465">
        <v>1171</v>
      </c>
      <c r="U2465" t="s">
        <v>19</v>
      </c>
    </row>
    <row r="2466" spans="1:21">
      <c r="A2466" t="str">
        <f t="shared" si="1226"/>
        <v>15/05/2025</v>
      </c>
      <c r="B2466" t="str">
        <f t="shared" si="1232"/>
        <v>ENTRADA</v>
      </c>
      <c r="C2466" t="str">
        <f t="shared" si="1227"/>
        <v>NFSE</v>
      </c>
      <c r="D2466" t="str">
        <f>"2977"</f>
        <v>2977</v>
      </c>
      <c r="E2466" t="str">
        <f t="shared" si="1228"/>
        <v>COM</v>
      </c>
      <c r="F2466" t="str">
        <f>"FRAN FARMA (10124)"</f>
        <v>FRAN FARMA (10124)</v>
      </c>
      <c r="G2466" t="str">
        <f>"Serv.Prest. 05/05/2025 a 11/05/2025 - RPS: 747 - NFSe: 2977"</f>
        <v>Serv.Prest. 05/05/2025 a 11/05/2025 - RPS: 747 - NFSe: 2977</v>
      </c>
      <c r="H2466" t="str">
        <f t="shared" si="1235"/>
        <v>14/05/2025</v>
      </c>
      <c r="I2466" t="str">
        <f t="shared" si="1236"/>
        <v>12/05/2025</v>
      </c>
      <c r="J2466" t="str">
        <f t="shared" si="1229"/>
        <v>15/05/2025</v>
      </c>
      <c r="M2466">
        <v>303</v>
      </c>
      <c r="N2466" t="str">
        <f t="shared" si="1230"/>
        <v>RECEITAS COM ENTREGAS</v>
      </c>
      <c r="P2466">
        <v>192</v>
      </c>
      <c r="Q2466" t="str">
        <f>"FRAN FARMA LJ 2 (10131)"</f>
        <v>FRAN FARMA LJ 2 (10131)</v>
      </c>
      <c r="R2466" t="str">
        <f t="shared" si="1231"/>
        <v>RECEITAS COM ENTREGAS (303)</v>
      </c>
      <c r="S2466">
        <v>1549</v>
      </c>
      <c r="T2466">
        <v>1171</v>
      </c>
      <c r="U2466" t="s">
        <v>19</v>
      </c>
    </row>
    <row r="2467" spans="1:21">
      <c r="A2467" t="str">
        <f t="shared" si="1226"/>
        <v>15/05/2025</v>
      </c>
      <c r="B2467" t="str">
        <f t="shared" si="1232"/>
        <v>ENTRADA</v>
      </c>
      <c r="C2467" t="str">
        <f t="shared" si="1227"/>
        <v>NFSE</v>
      </c>
      <c r="D2467" t="str">
        <f>"2977"</f>
        <v>2977</v>
      </c>
      <c r="E2467" t="str">
        <f t="shared" si="1228"/>
        <v>COM</v>
      </c>
      <c r="F2467" t="str">
        <f>"FRAN FARMA (10124)"</f>
        <v>FRAN FARMA (10124)</v>
      </c>
      <c r="G2467" t="str">
        <f>"Serv.Prest. 05/05/2025 a 11/05/2025 - RPS: 747 - NFSe: 2977"</f>
        <v>Serv.Prest. 05/05/2025 a 11/05/2025 - RPS: 747 - NFSe: 2977</v>
      </c>
      <c r="H2467" t="str">
        <f t="shared" si="1235"/>
        <v>14/05/2025</v>
      </c>
      <c r="I2467" t="str">
        <f t="shared" si="1236"/>
        <v>12/05/2025</v>
      </c>
      <c r="J2467" t="str">
        <f t="shared" si="1229"/>
        <v>15/05/2025</v>
      </c>
      <c r="M2467">
        <v>303</v>
      </c>
      <c r="N2467" t="str">
        <f t="shared" si="1230"/>
        <v>RECEITAS COM ENTREGAS</v>
      </c>
      <c r="P2467">
        <v>64</v>
      </c>
      <c r="Q2467" t="str">
        <f>"FRAN FARMA LJ 3 (10132)"</f>
        <v>FRAN FARMA LJ 3 (10132)</v>
      </c>
      <c r="R2467" t="str">
        <f t="shared" si="1231"/>
        <v>RECEITAS COM ENTREGAS (303)</v>
      </c>
      <c r="S2467">
        <v>1549</v>
      </c>
      <c r="T2467">
        <v>1171</v>
      </c>
      <c r="U2467" t="s">
        <v>19</v>
      </c>
    </row>
    <row r="2468" spans="1:21">
      <c r="A2468" t="str">
        <f t="shared" si="1226"/>
        <v>15/05/2025</v>
      </c>
      <c r="B2468" t="str">
        <f t="shared" si="1232"/>
        <v>ENTRADA</v>
      </c>
      <c r="C2468" t="str">
        <f t="shared" si="1227"/>
        <v>NFSE</v>
      </c>
      <c r="D2468" t="str">
        <f>"2970"</f>
        <v>2970</v>
      </c>
      <c r="E2468" t="str">
        <f t="shared" si="1228"/>
        <v>COM</v>
      </c>
      <c r="F2468" t="str">
        <f>"BRASIL FARMA (10173)"</f>
        <v>BRASIL FARMA (10173)</v>
      </c>
      <c r="G2468" t="str">
        <f>"Serv.Prest. 05/05/2025 a 11/05/2025 - RPS: 740 - NFSe: 2970"</f>
        <v>Serv.Prest. 05/05/2025 a 11/05/2025 - RPS: 740 - NFSe: 2970</v>
      </c>
      <c r="H2468" t="str">
        <f t="shared" si="1235"/>
        <v>14/05/2025</v>
      </c>
      <c r="I2468" t="str">
        <f t="shared" si="1236"/>
        <v>12/05/2025</v>
      </c>
      <c r="J2468" t="str">
        <f t="shared" si="1229"/>
        <v>15/05/2025</v>
      </c>
      <c r="K2468">
        <v>320.95999999999998</v>
      </c>
      <c r="L2468">
        <v>327.47000000000003</v>
      </c>
      <c r="M2468">
        <v>303</v>
      </c>
      <c r="N2468" t="str">
        <f t="shared" si="1230"/>
        <v>RECEITAS COM ENTREGAS</v>
      </c>
      <c r="O2468">
        <v>327.47000000000003</v>
      </c>
      <c r="R2468" t="str">
        <f t="shared" si="1231"/>
        <v>RECEITAS COM ENTREGAS (303)</v>
      </c>
      <c r="S2468">
        <v>1550</v>
      </c>
      <c r="T2468">
        <v>1162</v>
      </c>
      <c r="U2468" t="s">
        <v>19</v>
      </c>
    </row>
    <row r="2469" spans="1:21">
      <c r="A2469" t="str">
        <f t="shared" si="1226"/>
        <v>15/05/2025</v>
      </c>
      <c r="B2469" t="str">
        <f t="shared" si="1232"/>
        <v>ENTRADA</v>
      </c>
      <c r="C2469" t="str">
        <f t="shared" si="1227"/>
        <v>NFSE</v>
      </c>
      <c r="D2469" t="str">
        <f>"2970"</f>
        <v>2970</v>
      </c>
      <c r="E2469" t="str">
        <f t="shared" si="1228"/>
        <v>COM</v>
      </c>
      <c r="F2469" t="str">
        <f>"BRASIL FARMA (10173)"</f>
        <v>BRASIL FARMA (10173)</v>
      </c>
      <c r="G2469" t="str">
        <f>"Serv.Prest. 05/05/2025 a 11/05/2025 - RPS: 740 - NFSe: 2970"</f>
        <v>Serv.Prest. 05/05/2025 a 11/05/2025 - RPS: 740 - NFSe: 2970</v>
      </c>
      <c r="H2469" t="str">
        <f t="shared" si="1235"/>
        <v>14/05/2025</v>
      </c>
      <c r="I2469" t="str">
        <f t="shared" si="1236"/>
        <v>12/05/2025</v>
      </c>
      <c r="J2469" t="str">
        <f t="shared" si="1229"/>
        <v>15/05/2025</v>
      </c>
      <c r="M2469">
        <v>303</v>
      </c>
      <c r="N2469" t="str">
        <f t="shared" si="1230"/>
        <v>RECEITAS COM ENTREGAS</v>
      </c>
      <c r="P2469">
        <v>327.47000000000003</v>
      </c>
      <c r="Q2469" t="str">
        <f>"BRASIL FARMA (10173)"</f>
        <v>BRASIL FARMA (10173)</v>
      </c>
      <c r="R2469" t="str">
        <f t="shared" si="1231"/>
        <v>RECEITAS COM ENTREGAS (303)</v>
      </c>
      <c r="S2469">
        <v>1550</v>
      </c>
      <c r="T2469">
        <v>1162</v>
      </c>
      <c r="U2469" t="s">
        <v>19</v>
      </c>
    </row>
    <row r="2470" spans="1:21">
      <c r="A2470" t="str">
        <f t="shared" si="1226"/>
        <v>15/05/2025</v>
      </c>
      <c r="B2470" t="str">
        <f t="shared" ref="B2470:B2490" si="1237">"SAÍDA"</f>
        <v>SAÍDA</v>
      </c>
      <c r="C2470" t="str">
        <f t="shared" ref="C2470:C2477" si="1238">"PIX"</f>
        <v>PIX</v>
      </c>
      <c r="D2470" t="str">
        <f>"1505257000"</f>
        <v>1505257000</v>
      </c>
      <c r="E2470" t="str">
        <f t="shared" si="1228"/>
        <v>COM</v>
      </c>
      <c r="F2470" t="str">
        <f>"LILIANE DE FATIMA REZENDE JUSTINO (20013)"</f>
        <v>LILIANE DE FATIMA REZENDE JUSTINO (20013)</v>
      </c>
      <c r="G2470" t="str">
        <f t="shared" ref="G2470:G2477" si="1239">"DISTRIBUICAO DE LUCROS"</f>
        <v>DISTRIBUICAO DE LUCROS</v>
      </c>
      <c r="H2470" t="str">
        <f t="shared" ref="H2470:I2473" si="1240">("15/05/2025")</f>
        <v>15/05/2025</v>
      </c>
      <c r="I2470" t="str">
        <f t="shared" si="1240"/>
        <v>15/05/2025</v>
      </c>
      <c r="J2470" t="str">
        <f t="shared" si="1229"/>
        <v>15/05/2025</v>
      </c>
      <c r="K2470">
        <v>7000</v>
      </c>
      <c r="L2470">
        <v>7000</v>
      </c>
      <c r="M2470">
        <v>125</v>
      </c>
      <c r="N2470" t="str">
        <f t="shared" ref="N2470:N2477" si="1241">"DISTRIBUIÇÃO DE LUCRO"</f>
        <v>DISTRIBUIÇÃO DE LUCRO</v>
      </c>
      <c r="O2470">
        <v>7000</v>
      </c>
      <c r="R2470" t="str">
        <f t="shared" ref="R2470:R2490" si="1242">"BANCO CORA (102)"</f>
        <v>BANCO CORA (102)</v>
      </c>
      <c r="S2470">
        <v>1613</v>
      </c>
      <c r="T2470">
        <v>1278</v>
      </c>
      <c r="U2470" t="s">
        <v>19</v>
      </c>
    </row>
    <row r="2471" spans="1:21">
      <c r="A2471" t="str">
        <f t="shared" si="1226"/>
        <v>15/05/2025</v>
      </c>
      <c r="B2471" t="str">
        <f t="shared" si="1237"/>
        <v>SAÍDA</v>
      </c>
      <c r="C2471" t="str">
        <f t="shared" si="1238"/>
        <v>PIX</v>
      </c>
      <c r="D2471" t="str">
        <f>"1505257000"</f>
        <v>1505257000</v>
      </c>
      <c r="E2471" t="str">
        <f t="shared" si="1228"/>
        <v>COM</v>
      </c>
      <c r="F2471" t="str">
        <f>"LILIANE DE FATIMA REZENDE JUSTINO (20013)"</f>
        <v>LILIANE DE FATIMA REZENDE JUSTINO (20013)</v>
      </c>
      <c r="G2471" t="str">
        <f t="shared" si="1239"/>
        <v>DISTRIBUICAO DE LUCROS</v>
      </c>
      <c r="H2471" t="str">
        <f t="shared" si="1240"/>
        <v>15/05/2025</v>
      </c>
      <c r="I2471" t="str">
        <f t="shared" si="1240"/>
        <v>15/05/2025</v>
      </c>
      <c r="J2471" t="str">
        <f t="shared" si="1229"/>
        <v>15/05/2025</v>
      </c>
      <c r="M2471">
        <v>125</v>
      </c>
      <c r="N2471" t="str">
        <f t="shared" si="1241"/>
        <v>DISTRIBUIÇÃO DE LUCRO</v>
      </c>
      <c r="P2471">
        <v>7000</v>
      </c>
      <c r="Q2471" t="str">
        <f>"LILIANE DE FATIMA REZENDE JUSTINO (20013)"</f>
        <v>LILIANE DE FATIMA REZENDE JUSTINO (20013)</v>
      </c>
      <c r="R2471" t="str">
        <f t="shared" si="1242"/>
        <v>BANCO CORA (102)</v>
      </c>
      <c r="S2471">
        <v>1613</v>
      </c>
      <c r="T2471">
        <v>1278</v>
      </c>
      <c r="U2471" t="s">
        <v>19</v>
      </c>
    </row>
    <row r="2472" spans="1:21">
      <c r="A2472" t="str">
        <f t="shared" si="1226"/>
        <v>15/05/2025</v>
      </c>
      <c r="B2472" t="str">
        <f t="shared" si="1237"/>
        <v>SAÍDA</v>
      </c>
      <c r="C2472" t="str">
        <f t="shared" si="1238"/>
        <v>PIX</v>
      </c>
      <c r="D2472" t="str">
        <f>"1505252333"</f>
        <v>1505252333</v>
      </c>
      <c r="E2472" t="str">
        <f t="shared" si="1228"/>
        <v>COM</v>
      </c>
      <c r="F2472" t="str">
        <f>"LILIANE DE FATIMA REZENDE JUSTINO (20013)"</f>
        <v>LILIANE DE FATIMA REZENDE JUSTINO (20013)</v>
      </c>
      <c r="G2472" t="str">
        <f t="shared" si="1239"/>
        <v>DISTRIBUICAO DE LUCROS</v>
      </c>
      <c r="H2472" t="str">
        <f t="shared" si="1240"/>
        <v>15/05/2025</v>
      </c>
      <c r="I2472" t="str">
        <f t="shared" si="1240"/>
        <v>15/05/2025</v>
      </c>
      <c r="J2472" t="str">
        <f t="shared" si="1229"/>
        <v>15/05/2025</v>
      </c>
      <c r="K2472">
        <v>2333</v>
      </c>
      <c r="L2472">
        <v>2333</v>
      </c>
      <c r="M2472">
        <v>125</v>
      </c>
      <c r="N2472" t="str">
        <f t="shared" si="1241"/>
        <v>DISTRIBUIÇÃO DE LUCRO</v>
      </c>
      <c r="O2472">
        <v>2333</v>
      </c>
      <c r="R2472" t="str">
        <f t="shared" si="1242"/>
        <v>BANCO CORA (102)</v>
      </c>
      <c r="S2472">
        <v>1614</v>
      </c>
      <c r="T2472">
        <v>1279</v>
      </c>
      <c r="U2472" t="s">
        <v>19</v>
      </c>
    </row>
    <row r="2473" spans="1:21">
      <c r="A2473" t="str">
        <f t="shared" ref="A2473:A2490" si="1243">("15/05/2025")</f>
        <v>15/05/2025</v>
      </c>
      <c r="B2473" t="str">
        <f t="shared" si="1237"/>
        <v>SAÍDA</v>
      </c>
      <c r="C2473" t="str">
        <f t="shared" si="1238"/>
        <v>PIX</v>
      </c>
      <c r="D2473" t="str">
        <f>"1505252333"</f>
        <v>1505252333</v>
      </c>
      <c r="E2473" t="str">
        <f t="shared" si="1228"/>
        <v>COM</v>
      </c>
      <c r="F2473" t="str">
        <f>"LILIANE DE FATIMA REZENDE JUSTINO (20013)"</f>
        <v>LILIANE DE FATIMA REZENDE JUSTINO (20013)</v>
      </c>
      <c r="G2473" t="str">
        <f t="shared" si="1239"/>
        <v>DISTRIBUICAO DE LUCROS</v>
      </c>
      <c r="H2473" t="str">
        <f t="shared" si="1240"/>
        <v>15/05/2025</v>
      </c>
      <c r="I2473" t="str">
        <f t="shared" si="1240"/>
        <v>15/05/2025</v>
      </c>
      <c r="J2473" t="str">
        <f t="shared" ref="J2473:J2490" si="1244">("15/05/2025")</f>
        <v>15/05/2025</v>
      </c>
      <c r="M2473">
        <v>125</v>
      </c>
      <c r="N2473" t="str">
        <f t="shared" si="1241"/>
        <v>DISTRIBUIÇÃO DE LUCRO</v>
      </c>
      <c r="P2473">
        <v>2333</v>
      </c>
      <c r="Q2473" t="str">
        <f>"LILIANE DE FATIMA REZENDE JUSTINO (20013)"</f>
        <v>LILIANE DE FATIMA REZENDE JUSTINO (20013)</v>
      </c>
      <c r="R2473" t="str">
        <f t="shared" si="1242"/>
        <v>BANCO CORA (102)</v>
      </c>
      <c r="S2473">
        <v>1614</v>
      </c>
      <c r="T2473">
        <v>1279</v>
      </c>
      <c r="U2473" t="s">
        <v>19</v>
      </c>
    </row>
    <row r="2474" spans="1:21">
      <c r="A2474" t="str">
        <f t="shared" si="1243"/>
        <v>15/05/2025</v>
      </c>
      <c r="B2474" t="str">
        <f t="shared" si="1237"/>
        <v>SAÍDA</v>
      </c>
      <c r="C2474" t="str">
        <f t="shared" si="1238"/>
        <v>PIX</v>
      </c>
      <c r="D2474" t="str">
        <f>"1505253000"</f>
        <v>1505253000</v>
      </c>
      <c r="E2474" t="str">
        <f t="shared" si="1228"/>
        <v>COM</v>
      </c>
      <c r="F2474" t="str">
        <f>"MARCELO REZENDE ARANTES (20014)"</f>
        <v>MARCELO REZENDE ARANTES (20014)</v>
      </c>
      <c r="G2474" t="str">
        <f t="shared" si="1239"/>
        <v>DISTRIBUICAO DE LUCROS</v>
      </c>
      <c r="H2474" t="str">
        <f t="shared" ref="H2474:H2492" si="1245">("15/05/2025")</f>
        <v>15/05/2025</v>
      </c>
      <c r="I2474" t="str">
        <f>("07/05/2025")</f>
        <v>07/05/2025</v>
      </c>
      <c r="J2474" t="str">
        <f t="shared" si="1244"/>
        <v>15/05/2025</v>
      </c>
      <c r="K2474">
        <v>3000</v>
      </c>
      <c r="L2474">
        <v>3000</v>
      </c>
      <c r="M2474">
        <v>125</v>
      </c>
      <c r="N2474" t="str">
        <f t="shared" si="1241"/>
        <v>DISTRIBUIÇÃO DE LUCRO</v>
      </c>
      <c r="O2474">
        <v>3000</v>
      </c>
      <c r="R2474" t="str">
        <f t="shared" si="1242"/>
        <v>BANCO CORA (102)</v>
      </c>
      <c r="S2474">
        <v>1616</v>
      </c>
      <c r="T2474">
        <v>1282</v>
      </c>
      <c r="U2474" t="s">
        <v>19</v>
      </c>
    </row>
    <row r="2475" spans="1:21">
      <c r="A2475" t="str">
        <f t="shared" si="1243"/>
        <v>15/05/2025</v>
      </c>
      <c r="B2475" t="str">
        <f t="shared" si="1237"/>
        <v>SAÍDA</v>
      </c>
      <c r="C2475" t="str">
        <f t="shared" si="1238"/>
        <v>PIX</v>
      </c>
      <c r="D2475" t="str">
        <f>"1505253000"</f>
        <v>1505253000</v>
      </c>
      <c r="E2475" t="str">
        <f t="shared" si="1228"/>
        <v>COM</v>
      </c>
      <c r="F2475" t="str">
        <f>"MARCELO REZENDE ARANTES (20014)"</f>
        <v>MARCELO REZENDE ARANTES (20014)</v>
      </c>
      <c r="G2475" t="str">
        <f t="shared" si="1239"/>
        <v>DISTRIBUICAO DE LUCROS</v>
      </c>
      <c r="H2475" t="str">
        <f t="shared" si="1245"/>
        <v>15/05/2025</v>
      </c>
      <c r="I2475" t="str">
        <f>("07/05/2025")</f>
        <v>07/05/2025</v>
      </c>
      <c r="J2475" t="str">
        <f t="shared" si="1244"/>
        <v>15/05/2025</v>
      </c>
      <c r="M2475">
        <v>125</v>
      </c>
      <c r="N2475" t="str">
        <f t="shared" si="1241"/>
        <v>DISTRIBUIÇÃO DE LUCRO</v>
      </c>
      <c r="P2475">
        <v>3000</v>
      </c>
      <c r="Q2475" t="str">
        <f>"MARCELO REZENDE ARANTES (20014)"</f>
        <v>MARCELO REZENDE ARANTES (20014)</v>
      </c>
      <c r="R2475" t="str">
        <f t="shared" si="1242"/>
        <v>BANCO CORA (102)</v>
      </c>
      <c r="S2475">
        <v>1616</v>
      </c>
      <c r="T2475">
        <v>1282</v>
      </c>
      <c r="U2475" t="s">
        <v>19</v>
      </c>
    </row>
    <row r="2476" spans="1:21">
      <c r="A2476" t="str">
        <f t="shared" si="1243"/>
        <v>15/05/2025</v>
      </c>
      <c r="B2476" t="str">
        <f t="shared" si="1237"/>
        <v>SAÍDA</v>
      </c>
      <c r="C2476" t="str">
        <f t="shared" si="1238"/>
        <v>PIX</v>
      </c>
      <c r="D2476" t="str">
        <f>"1505251000"</f>
        <v>1505251000</v>
      </c>
      <c r="E2476" t="str">
        <f t="shared" si="1228"/>
        <v>COM</v>
      </c>
      <c r="F2476" t="str">
        <f>"MARCELO REZENDE ARANTES (20014)"</f>
        <v>MARCELO REZENDE ARANTES (20014)</v>
      </c>
      <c r="G2476" t="str">
        <f t="shared" si="1239"/>
        <v>DISTRIBUICAO DE LUCROS</v>
      </c>
      <c r="H2476" t="str">
        <f t="shared" si="1245"/>
        <v>15/05/2025</v>
      </c>
      <c r="I2476" t="str">
        <f>("07/05/2025")</f>
        <v>07/05/2025</v>
      </c>
      <c r="J2476" t="str">
        <f t="shared" si="1244"/>
        <v>15/05/2025</v>
      </c>
      <c r="K2476">
        <v>1000</v>
      </c>
      <c r="L2476">
        <v>1000</v>
      </c>
      <c r="M2476">
        <v>125</v>
      </c>
      <c r="N2476" t="str">
        <f t="shared" si="1241"/>
        <v>DISTRIBUIÇÃO DE LUCRO</v>
      </c>
      <c r="O2476">
        <v>1000</v>
      </c>
      <c r="R2476" t="str">
        <f t="shared" si="1242"/>
        <v>BANCO CORA (102)</v>
      </c>
      <c r="S2476">
        <v>1617</v>
      </c>
      <c r="T2476">
        <v>1281</v>
      </c>
      <c r="U2476" t="s">
        <v>19</v>
      </c>
    </row>
    <row r="2477" spans="1:21">
      <c r="A2477" t="str">
        <f t="shared" si="1243"/>
        <v>15/05/2025</v>
      </c>
      <c r="B2477" t="str">
        <f t="shared" si="1237"/>
        <v>SAÍDA</v>
      </c>
      <c r="C2477" t="str">
        <f t="shared" si="1238"/>
        <v>PIX</v>
      </c>
      <c r="D2477" t="str">
        <f>"1505251000"</f>
        <v>1505251000</v>
      </c>
      <c r="E2477" t="str">
        <f t="shared" si="1228"/>
        <v>COM</v>
      </c>
      <c r="F2477" t="str">
        <f>"MARCELO REZENDE ARANTES (20014)"</f>
        <v>MARCELO REZENDE ARANTES (20014)</v>
      </c>
      <c r="G2477" t="str">
        <f t="shared" si="1239"/>
        <v>DISTRIBUICAO DE LUCROS</v>
      </c>
      <c r="H2477" t="str">
        <f t="shared" si="1245"/>
        <v>15/05/2025</v>
      </c>
      <c r="I2477" t="str">
        <f>("07/05/2025")</f>
        <v>07/05/2025</v>
      </c>
      <c r="J2477" t="str">
        <f t="shared" si="1244"/>
        <v>15/05/2025</v>
      </c>
      <c r="M2477">
        <v>125</v>
      </c>
      <c r="N2477" t="str">
        <f t="shared" si="1241"/>
        <v>DISTRIBUIÇÃO DE LUCRO</v>
      </c>
      <c r="P2477">
        <v>1000</v>
      </c>
      <c r="Q2477" t="str">
        <f>"MARCELO REZENDE ARANTES (20014)"</f>
        <v>MARCELO REZENDE ARANTES (20014)</v>
      </c>
      <c r="R2477" t="str">
        <f t="shared" si="1242"/>
        <v>BANCO CORA (102)</v>
      </c>
      <c r="S2477">
        <v>1617</v>
      </c>
      <c r="T2477">
        <v>1281</v>
      </c>
      <c r="U2477" t="s">
        <v>19</v>
      </c>
    </row>
    <row r="2478" spans="1:21">
      <c r="A2478" t="str">
        <f t="shared" si="1243"/>
        <v>15/05/2025</v>
      </c>
      <c r="B2478" t="str">
        <f t="shared" si="1237"/>
        <v>SAÍDA</v>
      </c>
      <c r="C2478" t="str">
        <f t="shared" ref="C2478:C2490" si="1246">"JUROS"</f>
        <v>JUROS</v>
      </c>
      <c r="D2478" t="str">
        <f>""</f>
        <v/>
      </c>
      <c r="E2478" t="str">
        <f t="shared" ref="E2478:E2490" si="1247">"CXA"</f>
        <v>CXA</v>
      </c>
      <c r="F2478" t="str">
        <f>""</f>
        <v/>
      </c>
      <c r="G2478" t="str">
        <f t="shared" ref="G2478:G2490" si="1248">"TAXA BOLETO COMPENSADO"</f>
        <v>TAXA BOLETO COMPENSADO</v>
      </c>
      <c r="H2478" t="str">
        <f t="shared" si="1245"/>
        <v>15/05/2025</v>
      </c>
      <c r="I2478" t="str">
        <f t="shared" ref="I2478:I2490" si="1249">("15/05/2025")</f>
        <v>15/05/2025</v>
      </c>
      <c r="J2478" t="str">
        <f t="shared" si="1244"/>
        <v>15/05/2025</v>
      </c>
      <c r="K2478">
        <v>1.7</v>
      </c>
      <c r="L2478">
        <v>1.7</v>
      </c>
      <c r="M2478">
        <v>401</v>
      </c>
      <c r="N2478" t="str">
        <f t="shared" ref="N2478:N2490" si="1250">"IOF/JUROS/DESP.FINANCEIRA"</f>
        <v>IOF/JUROS/DESP.FINANCEIRA</v>
      </c>
      <c r="O2478">
        <v>1.7</v>
      </c>
      <c r="R2478" t="str">
        <f t="shared" si="1242"/>
        <v>BANCO CORA (102)</v>
      </c>
      <c r="S2478">
        <v>1664</v>
      </c>
      <c r="T2478">
        <v>0</v>
      </c>
      <c r="U2478" t="s">
        <v>20</v>
      </c>
    </row>
    <row r="2479" spans="1:21">
      <c r="A2479" t="str">
        <f t="shared" si="1243"/>
        <v>15/05/2025</v>
      </c>
      <c r="B2479" t="str">
        <f t="shared" si="1237"/>
        <v>SAÍDA</v>
      </c>
      <c r="C2479" t="str">
        <f t="shared" si="1246"/>
        <v>JUROS</v>
      </c>
      <c r="D2479" t="str">
        <f>""</f>
        <v/>
      </c>
      <c r="E2479" t="str">
        <f t="shared" si="1247"/>
        <v>CXA</v>
      </c>
      <c r="F2479" t="str">
        <f>""</f>
        <v/>
      </c>
      <c r="G2479" t="str">
        <f t="shared" si="1248"/>
        <v>TAXA BOLETO COMPENSADO</v>
      </c>
      <c r="H2479" t="str">
        <f t="shared" si="1245"/>
        <v>15/05/2025</v>
      </c>
      <c r="I2479" t="str">
        <f t="shared" si="1249"/>
        <v>15/05/2025</v>
      </c>
      <c r="J2479" t="str">
        <f t="shared" si="1244"/>
        <v>15/05/2025</v>
      </c>
      <c r="K2479">
        <v>1.7</v>
      </c>
      <c r="L2479">
        <v>1.7</v>
      </c>
      <c r="M2479">
        <v>401</v>
      </c>
      <c r="N2479" t="str">
        <f t="shared" si="1250"/>
        <v>IOF/JUROS/DESP.FINANCEIRA</v>
      </c>
      <c r="O2479">
        <v>1.7</v>
      </c>
      <c r="R2479" t="str">
        <f t="shared" si="1242"/>
        <v>BANCO CORA (102)</v>
      </c>
      <c r="S2479">
        <v>1665</v>
      </c>
      <c r="T2479">
        <v>0</v>
      </c>
      <c r="U2479" t="s">
        <v>20</v>
      </c>
    </row>
    <row r="2480" spans="1:21">
      <c r="A2480" t="str">
        <f t="shared" si="1243"/>
        <v>15/05/2025</v>
      </c>
      <c r="B2480" t="str">
        <f t="shared" si="1237"/>
        <v>SAÍDA</v>
      </c>
      <c r="C2480" t="str">
        <f t="shared" si="1246"/>
        <v>JUROS</v>
      </c>
      <c r="D2480" t="str">
        <f>""</f>
        <v/>
      </c>
      <c r="E2480" t="str">
        <f t="shared" si="1247"/>
        <v>CXA</v>
      </c>
      <c r="F2480" t="str">
        <f>""</f>
        <v/>
      </c>
      <c r="G2480" t="str">
        <f t="shared" si="1248"/>
        <v>TAXA BOLETO COMPENSADO</v>
      </c>
      <c r="H2480" t="str">
        <f t="shared" si="1245"/>
        <v>15/05/2025</v>
      </c>
      <c r="I2480" t="str">
        <f t="shared" si="1249"/>
        <v>15/05/2025</v>
      </c>
      <c r="J2480" t="str">
        <f t="shared" si="1244"/>
        <v>15/05/2025</v>
      </c>
      <c r="K2480">
        <v>1.7</v>
      </c>
      <c r="L2480">
        <v>1.7</v>
      </c>
      <c r="M2480">
        <v>401</v>
      </c>
      <c r="N2480" t="str">
        <f t="shared" si="1250"/>
        <v>IOF/JUROS/DESP.FINANCEIRA</v>
      </c>
      <c r="O2480">
        <v>1.7</v>
      </c>
      <c r="R2480" t="str">
        <f t="shared" si="1242"/>
        <v>BANCO CORA (102)</v>
      </c>
      <c r="S2480">
        <v>1666</v>
      </c>
      <c r="T2480">
        <v>0</v>
      </c>
      <c r="U2480" t="s">
        <v>20</v>
      </c>
    </row>
    <row r="2481" spans="1:21">
      <c r="A2481" t="str">
        <f t="shared" si="1243"/>
        <v>15/05/2025</v>
      </c>
      <c r="B2481" t="str">
        <f t="shared" si="1237"/>
        <v>SAÍDA</v>
      </c>
      <c r="C2481" t="str">
        <f t="shared" si="1246"/>
        <v>JUROS</v>
      </c>
      <c r="D2481" t="str">
        <f>""</f>
        <v/>
      </c>
      <c r="E2481" t="str">
        <f t="shared" si="1247"/>
        <v>CXA</v>
      </c>
      <c r="F2481" t="str">
        <f>""</f>
        <v/>
      </c>
      <c r="G2481" t="str">
        <f t="shared" si="1248"/>
        <v>TAXA BOLETO COMPENSADO</v>
      </c>
      <c r="H2481" t="str">
        <f t="shared" si="1245"/>
        <v>15/05/2025</v>
      </c>
      <c r="I2481" t="str">
        <f t="shared" si="1249"/>
        <v>15/05/2025</v>
      </c>
      <c r="J2481" t="str">
        <f t="shared" si="1244"/>
        <v>15/05/2025</v>
      </c>
      <c r="K2481">
        <v>1.7</v>
      </c>
      <c r="L2481">
        <v>1.7</v>
      </c>
      <c r="M2481">
        <v>401</v>
      </c>
      <c r="N2481" t="str">
        <f t="shared" si="1250"/>
        <v>IOF/JUROS/DESP.FINANCEIRA</v>
      </c>
      <c r="O2481">
        <v>1.7</v>
      </c>
      <c r="R2481" t="str">
        <f t="shared" si="1242"/>
        <v>BANCO CORA (102)</v>
      </c>
      <c r="S2481">
        <v>1667</v>
      </c>
      <c r="T2481">
        <v>0</v>
      </c>
      <c r="U2481" t="s">
        <v>20</v>
      </c>
    </row>
    <row r="2482" spans="1:21">
      <c r="A2482" t="str">
        <f t="shared" si="1243"/>
        <v>15/05/2025</v>
      </c>
      <c r="B2482" t="str">
        <f t="shared" si="1237"/>
        <v>SAÍDA</v>
      </c>
      <c r="C2482" t="str">
        <f t="shared" si="1246"/>
        <v>JUROS</v>
      </c>
      <c r="D2482" t="str">
        <f>""</f>
        <v/>
      </c>
      <c r="E2482" t="str">
        <f t="shared" si="1247"/>
        <v>CXA</v>
      </c>
      <c r="F2482" t="str">
        <f>""</f>
        <v/>
      </c>
      <c r="G2482" t="str">
        <f t="shared" si="1248"/>
        <v>TAXA BOLETO COMPENSADO</v>
      </c>
      <c r="H2482" t="str">
        <f t="shared" si="1245"/>
        <v>15/05/2025</v>
      </c>
      <c r="I2482" t="str">
        <f t="shared" si="1249"/>
        <v>15/05/2025</v>
      </c>
      <c r="J2482" t="str">
        <f t="shared" si="1244"/>
        <v>15/05/2025</v>
      </c>
      <c r="K2482">
        <v>1.7</v>
      </c>
      <c r="L2482">
        <v>1.7</v>
      </c>
      <c r="M2482">
        <v>401</v>
      </c>
      <c r="N2482" t="str">
        <f t="shared" si="1250"/>
        <v>IOF/JUROS/DESP.FINANCEIRA</v>
      </c>
      <c r="O2482">
        <v>1.7</v>
      </c>
      <c r="R2482" t="str">
        <f t="shared" si="1242"/>
        <v>BANCO CORA (102)</v>
      </c>
      <c r="S2482">
        <v>1668</v>
      </c>
      <c r="T2482">
        <v>0</v>
      </c>
      <c r="U2482" t="s">
        <v>20</v>
      </c>
    </row>
    <row r="2483" spans="1:21">
      <c r="A2483" t="str">
        <f t="shared" si="1243"/>
        <v>15/05/2025</v>
      </c>
      <c r="B2483" t="str">
        <f t="shared" si="1237"/>
        <v>SAÍDA</v>
      </c>
      <c r="C2483" t="str">
        <f t="shared" si="1246"/>
        <v>JUROS</v>
      </c>
      <c r="D2483" t="str">
        <f>""</f>
        <v/>
      </c>
      <c r="E2483" t="str">
        <f t="shared" si="1247"/>
        <v>CXA</v>
      </c>
      <c r="F2483" t="str">
        <f>""</f>
        <v/>
      </c>
      <c r="G2483" t="str">
        <f t="shared" si="1248"/>
        <v>TAXA BOLETO COMPENSADO</v>
      </c>
      <c r="H2483" t="str">
        <f t="shared" si="1245"/>
        <v>15/05/2025</v>
      </c>
      <c r="I2483" t="str">
        <f t="shared" si="1249"/>
        <v>15/05/2025</v>
      </c>
      <c r="J2483" t="str">
        <f t="shared" si="1244"/>
        <v>15/05/2025</v>
      </c>
      <c r="K2483">
        <v>1.7</v>
      </c>
      <c r="L2483">
        <v>1.7</v>
      </c>
      <c r="M2483">
        <v>401</v>
      </c>
      <c r="N2483" t="str">
        <f t="shared" si="1250"/>
        <v>IOF/JUROS/DESP.FINANCEIRA</v>
      </c>
      <c r="O2483">
        <v>1.7</v>
      </c>
      <c r="R2483" t="str">
        <f t="shared" si="1242"/>
        <v>BANCO CORA (102)</v>
      </c>
      <c r="S2483">
        <v>1669</v>
      </c>
      <c r="T2483">
        <v>0</v>
      </c>
      <c r="U2483" t="s">
        <v>20</v>
      </c>
    </row>
    <row r="2484" spans="1:21">
      <c r="A2484" t="str">
        <f t="shared" si="1243"/>
        <v>15/05/2025</v>
      </c>
      <c r="B2484" t="str">
        <f t="shared" si="1237"/>
        <v>SAÍDA</v>
      </c>
      <c r="C2484" t="str">
        <f t="shared" si="1246"/>
        <v>JUROS</v>
      </c>
      <c r="D2484" t="str">
        <f>""</f>
        <v/>
      </c>
      <c r="E2484" t="str">
        <f t="shared" si="1247"/>
        <v>CXA</v>
      </c>
      <c r="F2484" t="str">
        <f>""</f>
        <v/>
      </c>
      <c r="G2484" t="str">
        <f t="shared" si="1248"/>
        <v>TAXA BOLETO COMPENSADO</v>
      </c>
      <c r="H2484" t="str">
        <f t="shared" si="1245"/>
        <v>15/05/2025</v>
      </c>
      <c r="I2484" t="str">
        <f t="shared" si="1249"/>
        <v>15/05/2025</v>
      </c>
      <c r="J2484" t="str">
        <f t="shared" si="1244"/>
        <v>15/05/2025</v>
      </c>
      <c r="K2484">
        <v>1.7</v>
      </c>
      <c r="L2484">
        <v>1.7</v>
      </c>
      <c r="M2484">
        <v>401</v>
      </c>
      <c r="N2484" t="str">
        <f t="shared" si="1250"/>
        <v>IOF/JUROS/DESP.FINANCEIRA</v>
      </c>
      <c r="O2484">
        <v>1.7</v>
      </c>
      <c r="R2484" t="str">
        <f t="shared" si="1242"/>
        <v>BANCO CORA (102)</v>
      </c>
      <c r="S2484">
        <v>1670</v>
      </c>
      <c r="T2484">
        <v>0</v>
      </c>
      <c r="U2484" t="s">
        <v>20</v>
      </c>
    </row>
    <row r="2485" spans="1:21">
      <c r="A2485" t="str">
        <f t="shared" si="1243"/>
        <v>15/05/2025</v>
      </c>
      <c r="B2485" t="str">
        <f t="shared" si="1237"/>
        <v>SAÍDA</v>
      </c>
      <c r="C2485" t="str">
        <f t="shared" si="1246"/>
        <v>JUROS</v>
      </c>
      <c r="D2485" t="str">
        <f>""</f>
        <v/>
      </c>
      <c r="E2485" t="str">
        <f t="shared" si="1247"/>
        <v>CXA</v>
      </c>
      <c r="F2485" t="str">
        <f>""</f>
        <v/>
      </c>
      <c r="G2485" t="str">
        <f t="shared" si="1248"/>
        <v>TAXA BOLETO COMPENSADO</v>
      </c>
      <c r="H2485" t="str">
        <f t="shared" si="1245"/>
        <v>15/05/2025</v>
      </c>
      <c r="I2485" t="str">
        <f t="shared" si="1249"/>
        <v>15/05/2025</v>
      </c>
      <c r="J2485" t="str">
        <f t="shared" si="1244"/>
        <v>15/05/2025</v>
      </c>
      <c r="K2485">
        <v>1.7</v>
      </c>
      <c r="L2485">
        <v>1.7</v>
      </c>
      <c r="M2485">
        <v>401</v>
      </c>
      <c r="N2485" t="str">
        <f t="shared" si="1250"/>
        <v>IOF/JUROS/DESP.FINANCEIRA</v>
      </c>
      <c r="O2485">
        <v>1.7</v>
      </c>
      <c r="R2485" t="str">
        <f t="shared" si="1242"/>
        <v>BANCO CORA (102)</v>
      </c>
      <c r="S2485">
        <v>1671</v>
      </c>
      <c r="T2485">
        <v>0</v>
      </c>
      <c r="U2485" t="s">
        <v>20</v>
      </c>
    </row>
    <row r="2486" spans="1:21">
      <c r="A2486" t="str">
        <f t="shared" si="1243"/>
        <v>15/05/2025</v>
      </c>
      <c r="B2486" t="str">
        <f t="shared" si="1237"/>
        <v>SAÍDA</v>
      </c>
      <c r="C2486" t="str">
        <f t="shared" si="1246"/>
        <v>JUROS</v>
      </c>
      <c r="D2486" t="str">
        <f>""</f>
        <v/>
      </c>
      <c r="E2486" t="str">
        <f t="shared" si="1247"/>
        <v>CXA</v>
      </c>
      <c r="F2486" t="str">
        <f>""</f>
        <v/>
      </c>
      <c r="G2486" t="str">
        <f t="shared" si="1248"/>
        <v>TAXA BOLETO COMPENSADO</v>
      </c>
      <c r="H2486" t="str">
        <f t="shared" si="1245"/>
        <v>15/05/2025</v>
      </c>
      <c r="I2486" t="str">
        <f t="shared" si="1249"/>
        <v>15/05/2025</v>
      </c>
      <c r="J2486" t="str">
        <f t="shared" si="1244"/>
        <v>15/05/2025</v>
      </c>
      <c r="K2486">
        <v>1.7</v>
      </c>
      <c r="L2486">
        <v>1.7</v>
      </c>
      <c r="M2486">
        <v>401</v>
      </c>
      <c r="N2486" t="str">
        <f t="shared" si="1250"/>
        <v>IOF/JUROS/DESP.FINANCEIRA</v>
      </c>
      <c r="O2486">
        <v>1.7</v>
      </c>
      <c r="R2486" t="str">
        <f t="shared" si="1242"/>
        <v>BANCO CORA (102)</v>
      </c>
      <c r="S2486">
        <v>1672</v>
      </c>
      <c r="T2486">
        <v>0</v>
      </c>
      <c r="U2486" t="s">
        <v>20</v>
      </c>
    </row>
    <row r="2487" spans="1:21">
      <c r="A2487" t="str">
        <f t="shared" si="1243"/>
        <v>15/05/2025</v>
      </c>
      <c r="B2487" t="str">
        <f t="shared" si="1237"/>
        <v>SAÍDA</v>
      </c>
      <c r="C2487" t="str">
        <f t="shared" si="1246"/>
        <v>JUROS</v>
      </c>
      <c r="D2487" t="str">
        <f>""</f>
        <v/>
      </c>
      <c r="E2487" t="str">
        <f t="shared" si="1247"/>
        <v>CXA</v>
      </c>
      <c r="F2487" t="str">
        <f>""</f>
        <v/>
      </c>
      <c r="G2487" t="str">
        <f t="shared" si="1248"/>
        <v>TAXA BOLETO COMPENSADO</v>
      </c>
      <c r="H2487" t="str">
        <f t="shared" si="1245"/>
        <v>15/05/2025</v>
      </c>
      <c r="I2487" t="str">
        <f t="shared" si="1249"/>
        <v>15/05/2025</v>
      </c>
      <c r="J2487" t="str">
        <f t="shared" si="1244"/>
        <v>15/05/2025</v>
      </c>
      <c r="K2487">
        <v>1.7</v>
      </c>
      <c r="L2487">
        <v>1.7</v>
      </c>
      <c r="M2487">
        <v>401</v>
      </c>
      <c r="N2487" t="str">
        <f t="shared" si="1250"/>
        <v>IOF/JUROS/DESP.FINANCEIRA</v>
      </c>
      <c r="O2487">
        <v>1.7</v>
      </c>
      <c r="R2487" t="str">
        <f t="shared" si="1242"/>
        <v>BANCO CORA (102)</v>
      </c>
      <c r="S2487">
        <v>1673</v>
      </c>
      <c r="T2487">
        <v>0</v>
      </c>
      <c r="U2487" t="s">
        <v>20</v>
      </c>
    </row>
    <row r="2488" spans="1:21">
      <c r="A2488" t="str">
        <f t="shared" si="1243"/>
        <v>15/05/2025</v>
      </c>
      <c r="B2488" t="str">
        <f t="shared" si="1237"/>
        <v>SAÍDA</v>
      </c>
      <c r="C2488" t="str">
        <f t="shared" si="1246"/>
        <v>JUROS</v>
      </c>
      <c r="D2488" t="str">
        <f>""</f>
        <v/>
      </c>
      <c r="E2488" t="str">
        <f t="shared" si="1247"/>
        <v>CXA</v>
      </c>
      <c r="F2488" t="str">
        <f>""</f>
        <v/>
      </c>
      <c r="G2488" t="str">
        <f t="shared" si="1248"/>
        <v>TAXA BOLETO COMPENSADO</v>
      </c>
      <c r="H2488" t="str">
        <f t="shared" si="1245"/>
        <v>15/05/2025</v>
      </c>
      <c r="I2488" t="str">
        <f t="shared" si="1249"/>
        <v>15/05/2025</v>
      </c>
      <c r="J2488" t="str">
        <f t="shared" si="1244"/>
        <v>15/05/2025</v>
      </c>
      <c r="K2488">
        <v>1.7</v>
      </c>
      <c r="L2488">
        <v>1.7</v>
      </c>
      <c r="M2488">
        <v>401</v>
      </c>
      <c r="N2488" t="str">
        <f t="shared" si="1250"/>
        <v>IOF/JUROS/DESP.FINANCEIRA</v>
      </c>
      <c r="O2488">
        <v>1.7</v>
      </c>
      <c r="R2488" t="str">
        <f t="shared" si="1242"/>
        <v>BANCO CORA (102)</v>
      </c>
      <c r="S2488">
        <v>1674</v>
      </c>
      <c r="T2488">
        <v>0</v>
      </c>
      <c r="U2488" t="s">
        <v>20</v>
      </c>
    </row>
    <row r="2489" spans="1:21">
      <c r="A2489" t="str">
        <f t="shared" si="1243"/>
        <v>15/05/2025</v>
      </c>
      <c r="B2489" t="str">
        <f t="shared" si="1237"/>
        <v>SAÍDA</v>
      </c>
      <c r="C2489" t="str">
        <f t="shared" si="1246"/>
        <v>JUROS</v>
      </c>
      <c r="D2489" t="str">
        <f>""</f>
        <v/>
      </c>
      <c r="E2489" t="str">
        <f t="shared" si="1247"/>
        <v>CXA</v>
      </c>
      <c r="F2489" t="str">
        <f>""</f>
        <v/>
      </c>
      <c r="G2489" t="str">
        <f t="shared" si="1248"/>
        <v>TAXA BOLETO COMPENSADO</v>
      </c>
      <c r="H2489" t="str">
        <f t="shared" si="1245"/>
        <v>15/05/2025</v>
      </c>
      <c r="I2489" t="str">
        <f t="shared" si="1249"/>
        <v>15/05/2025</v>
      </c>
      <c r="J2489" t="str">
        <f t="shared" si="1244"/>
        <v>15/05/2025</v>
      </c>
      <c r="K2489">
        <v>1.7</v>
      </c>
      <c r="L2489">
        <v>1.7</v>
      </c>
      <c r="M2489">
        <v>401</v>
      </c>
      <c r="N2489" t="str">
        <f t="shared" si="1250"/>
        <v>IOF/JUROS/DESP.FINANCEIRA</v>
      </c>
      <c r="O2489">
        <v>1.7</v>
      </c>
      <c r="R2489" t="str">
        <f t="shared" si="1242"/>
        <v>BANCO CORA (102)</v>
      </c>
      <c r="S2489">
        <v>1675</v>
      </c>
      <c r="T2489">
        <v>0</v>
      </c>
      <c r="U2489" t="s">
        <v>20</v>
      </c>
    </row>
    <row r="2490" spans="1:21">
      <c r="A2490" t="str">
        <f t="shared" si="1243"/>
        <v>15/05/2025</v>
      </c>
      <c r="B2490" t="str">
        <f t="shared" si="1237"/>
        <v>SAÍDA</v>
      </c>
      <c r="C2490" t="str">
        <f t="shared" si="1246"/>
        <v>JUROS</v>
      </c>
      <c r="D2490" t="str">
        <f>""</f>
        <v/>
      </c>
      <c r="E2490" t="str">
        <f t="shared" si="1247"/>
        <v>CXA</v>
      </c>
      <c r="F2490" t="str">
        <f>""</f>
        <v/>
      </c>
      <c r="G2490" t="str">
        <f t="shared" si="1248"/>
        <v>TAXA BOLETO COMPENSADO</v>
      </c>
      <c r="H2490" t="str">
        <f t="shared" si="1245"/>
        <v>15/05/2025</v>
      </c>
      <c r="I2490" t="str">
        <f t="shared" si="1249"/>
        <v>15/05/2025</v>
      </c>
      <c r="J2490" t="str">
        <f t="shared" si="1244"/>
        <v>15/05/2025</v>
      </c>
      <c r="K2490">
        <v>1.7</v>
      </c>
      <c r="L2490">
        <v>1.7</v>
      </c>
      <c r="M2490">
        <v>401</v>
      </c>
      <c r="N2490" t="str">
        <f t="shared" si="1250"/>
        <v>IOF/JUROS/DESP.FINANCEIRA</v>
      </c>
      <c r="O2490">
        <v>1.7</v>
      </c>
      <c r="R2490" t="str">
        <f t="shared" si="1242"/>
        <v>BANCO CORA (102)</v>
      </c>
      <c r="S2490">
        <v>1676</v>
      </c>
      <c r="T2490">
        <v>0</v>
      </c>
      <c r="U2490" t="s">
        <v>20</v>
      </c>
    </row>
    <row r="2491" spans="1:21">
      <c r="A2491" t="str">
        <f>("16/05/2025")</f>
        <v>16/05/2025</v>
      </c>
      <c r="B2491" t="str">
        <f>"ENTRADA"</f>
        <v>ENTRADA</v>
      </c>
      <c r="C2491" t="str">
        <f>"NFSE"</f>
        <v>NFSE</v>
      </c>
      <c r="D2491" t="str">
        <f>"2974"</f>
        <v>2974</v>
      </c>
      <c r="E2491" t="str">
        <f>"COM"</f>
        <v>COM</v>
      </c>
      <c r="F2491" t="str">
        <f>"DROGARIA POUPA MINAS (ULTRAMINAS) 3 (10129)"</f>
        <v>DROGARIA POUPA MINAS (ULTRAMINAS) 3 (10129)</v>
      </c>
      <c r="G2491" t="str">
        <f>"Serv.Prest. 05/05/2025 a 11/05/2025 - RPS: 744 - NFSe: 2974"</f>
        <v>Serv.Prest. 05/05/2025 a 11/05/2025 - RPS: 744 - NFSe: 2974</v>
      </c>
      <c r="H2491" t="str">
        <f t="shared" si="1245"/>
        <v>15/05/2025</v>
      </c>
      <c r="I2491" t="str">
        <f>("12/05/2025")</f>
        <v>12/05/2025</v>
      </c>
      <c r="J2491" t="str">
        <f>("16/05/2025")</f>
        <v>16/05/2025</v>
      </c>
      <c r="K2491">
        <v>274.56</v>
      </c>
      <c r="L2491">
        <v>274.56</v>
      </c>
      <c r="M2491">
        <v>303</v>
      </c>
      <c r="N2491" t="str">
        <f>"RECEITAS COM ENTREGAS"</f>
        <v>RECEITAS COM ENTREGAS</v>
      </c>
      <c r="O2491">
        <v>274.56</v>
      </c>
      <c r="R2491" t="str">
        <f>"RECEITAS COM ENTREGAS (303)"</f>
        <v>RECEITAS COM ENTREGAS (303)</v>
      </c>
      <c r="S2491">
        <v>1551</v>
      </c>
      <c r="T2491">
        <v>1166</v>
      </c>
      <c r="U2491" t="s">
        <v>19</v>
      </c>
    </row>
    <row r="2492" spans="1:21">
      <c r="A2492" t="str">
        <f>("16/05/2025")</f>
        <v>16/05/2025</v>
      </c>
      <c r="B2492" t="str">
        <f>"ENTRADA"</f>
        <v>ENTRADA</v>
      </c>
      <c r="C2492" t="str">
        <f>"NFSE"</f>
        <v>NFSE</v>
      </c>
      <c r="D2492" t="str">
        <f>"2974"</f>
        <v>2974</v>
      </c>
      <c r="E2492" t="str">
        <f>"COM"</f>
        <v>COM</v>
      </c>
      <c r="F2492" t="str">
        <f>"DROGARIA POUPA MINAS (ULTRAMINAS) 3 (10129)"</f>
        <v>DROGARIA POUPA MINAS (ULTRAMINAS) 3 (10129)</v>
      </c>
      <c r="G2492" t="str">
        <f>"Serv.Prest. 05/05/2025 a 11/05/2025 - RPS: 744 - NFSe: 2974"</f>
        <v>Serv.Prest. 05/05/2025 a 11/05/2025 - RPS: 744 - NFSe: 2974</v>
      </c>
      <c r="H2492" t="str">
        <f t="shared" si="1245"/>
        <v>15/05/2025</v>
      </c>
      <c r="I2492" t="str">
        <f>("12/05/2025")</f>
        <v>12/05/2025</v>
      </c>
      <c r="J2492" t="str">
        <f>("16/05/2025")</f>
        <v>16/05/2025</v>
      </c>
      <c r="M2492">
        <v>303</v>
      </c>
      <c r="N2492" t="str">
        <f>"RECEITAS COM ENTREGAS"</f>
        <v>RECEITAS COM ENTREGAS</v>
      </c>
      <c r="P2492">
        <v>274.56</v>
      </c>
      <c r="Q2492" t="str">
        <f>"DROGARIA POUPA MINAS (ULTRAMINAS) 3 (10129)"</f>
        <v>DROGARIA POUPA MINAS (ULTRAMINAS) 3 (10129)</v>
      </c>
      <c r="R2492" t="str">
        <f>"RECEITAS COM ENTREGAS (303)"</f>
        <v>RECEITAS COM ENTREGAS (303)</v>
      </c>
      <c r="S2492">
        <v>1551</v>
      </c>
      <c r="T2492">
        <v>1166</v>
      </c>
      <c r="U2492" t="s">
        <v>19</v>
      </c>
    </row>
    <row r="2493" spans="1:21">
      <c r="A2493" t="str">
        <f>("16/05/2025")</f>
        <v>16/05/2025</v>
      </c>
      <c r="B2493" t="str">
        <f t="shared" ref="B2493:B2497" si="1251">"SAÍDA"</f>
        <v>SAÍDA</v>
      </c>
      <c r="C2493" t="str">
        <f>"JUROS"</f>
        <v>JUROS</v>
      </c>
      <c r="D2493" t="str">
        <f>""</f>
        <v/>
      </c>
      <c r="E2493" t="str">
        <f>"CXA"</f>
        <v>CXA</v>
      </c>
      <c r="F2493" t="str">
        <f>""</f>
        <v/>
      </c>
      <c r="G2493" t="str">
        <f>"TAXA BOLETO COMPENSADO"</f>
        <v>TAXA BOLETO COMPENSADO</v>
      </c>
      <c r="H2493" t="str">
        <f>("16/05/2025")</f>
        <v>16/05/2025</v>
      </c>
      <c r="I2493" t="str">
        <f>("16/05/2025")</f>
        <v>16/05/2025</v>
      </c>
      <c r="J2493" t="str">
        <f>("16/05/2025")</f>
        <v>16/05/2025</v>
      </c>
      <c r="K2493">
        <v>1.7</v>
      </c>
      <c r="L2493">
        <v>1.7</v>
      </c>
      <c r="M2493">
        <v>401</v>
      </c>
      <c r="N2493" t="str">
        <f>"IOF/JUROS/DESP.FINANCEIRA"</f>
        <v>IOF/JUROS/DESP.FINANCEIRA</v>
      </c>
      <c r="O2493">
        <v>1.7</v>
      </c>
      <c r="R2493" t="str">
        <f>"BANCO CORA (102)"</f>
        <v>BANCO CORA (102)</v>
      </c>
      <c r="S2493">
        <v>1678</v>
      </c>
      <c r="T2493">
        <v>0</v>
      </c>
      <c r="U2493" t="s">
        <v>20</v>
      </c>
    </row>
    <row r="2494" spans="1:21">
      <c r="A2494" t="str">
        <f>("17/05/2025")</f>
        <v>17/05/2025</v>
      </c>
      <c r="B2494" t="str">
        <f t="shared" si="1251"/>
        <v>SAÍDA</v>
      </c>
      <c r="C2494" t="str">
        <f>"PIX"</f>
        <v>PIX</v>
      </c>
      <c r="D2494" t="str">
        <f>"17052528150"</f>
        <v>17052528150</v>
      </c>
      <c r="E2494" t="str">
        <f t="shared" ref="E2494:E2503" si="1252">"COM"</f>
        <v>COM</v>
      </c>
      <c r="F2494" t="str">
        <f>"LILIANE DE FATIMA REZENDE JUSTINO (20013)"</f>
        <v>LILIANE DE FATIMA REZENDE JUSTINO (20013)</v>
      </c>
      <c r="G2494" t="str">
        <f>"REEMBOLSO DESPESAS COM VIAGEM"</f>
        <v>REEMBOLSO DESPESAS COM VIAGEM</v>
      </c>
      <c r="H2494" t="str">
        <f t="shared" ref="H2494:J2495" si="1253">("17/05/2025")</f>
        <v>17/05/2025</v>
      </c>
      <c r="I2494" t="str">
        <f t="shared" si="1253"/>
        <v>17/05/2025</v>
      </c>
      <c r="J2494" t="str">
        <f t="shared" si="1253"/>
        <v>17/05/2025</v>
      </c>
      <c r="K2494">
        <v>281.5</v>
      </c>
      <c r="L2494">
        <v>281.5</v>
      </c>
      <c r="M2494">
        <v>128</v>
      </c>
      <c r="N2494" t="str">
        <f>"DESPESAS COM VIAGENS"</f>
        <v>DESPESAS COM VIAGENS</v>
      </c>
      <c r="O2494">
        <v>281.5</v>
      </c>
      <c r="R2494" t="str">
        <f>"BANCO CORA (102)"</f>
        <v>BANCO CORA (102)</v>
      </c>
      <c r="S2494">
        <v>1731</v>
      </c>
      <c r="T2494">
        <v>1288</v>
      </c>
      <c r="U2494" t="s">
        <v>19</v>
      </c>
    </row>
    <row r="2495" spans="1:21">
      <c r="A2495" t="str">
        <f>("17/05/2025")</f>
        <v>17/05/2025</v>
      </c>
      <c r="B2495" t="str">
        <f t="shared" si="1251"/>
        <v>SAÍDA</v>
      </c>
      <c r="C2495" t="str">
        <f>"PIX"</f>
        <v>PIX</v>
      </c>
      <c r="D2495" t="str">
        <f>"17052528150"</f>
        <v>17052528150</v>
      </c>
      <c r="E2495" t="str">
        <f t="shared" si="1252"/>
        <v>COM</v>
      </c>
      <c r="F2495" t="str">
        <f>"LILIANE DE FATIMA REZENDE JUSTINO (20013)"</f>
        <v>LILIANE DE FATIMA REZENDE JUSTINO (20013)</v>
      </c>
      <c r="G2495" t="str">
        <f>"REEMBOLSO DESPESAS COM VIAGEM"</f>
        <v>REEMBOLSO DESPESAS COM VIAGEM</v>
      </c>
      <c r="H2495" t="str">
        <f t="shared" si="1253"/>
        <v>17/05/2025</v>
      </c>
      <c r="I2495" t="str">
        <f t="shared" si="1253"/>
        <v>17/05/2025</v>
      </c>
      <c r="J2495" t="str">
        <f t="shared" si="1253"/>
        <v>17/05/2025</v>
      </c>
      <c r="M2495">
        <v>128</v>
      </c>
      <c r="N2495" t="str">
        <f>"DESPESAS COM VIAGENS"</f>
        <v>DESPESAS COM VIAGENS</v>
      </c>
      <c r="P2495">
        <v>281.5</v>
      </c>
      <c r="Q2495" t="str">
        <f>"LILIANE DE FATIMA REZENDE JUSTINO (20013)"</f>
        <v>LILIANE DE FATIMA REZENDE JUSTINO (20013)</v>
      </c>
      <c r="R2495" t="str">
        <f>"BANCO CORA (102)"</f>
        <v>BANCO CORA (102)</v>
      </c>
      <c r="S2495">
        <v>1731</v>
      </c>
      <c r="T2495">
        <v>1288</v>
      </c>
      <c r="U2495" t="s">
        <v>19</v>
      </c>
    </row>
    <row r="2496" spans="1:21">
      <c r="A2496" t="str">
        <f>("19/05/2025")</f>
        <v>19/05/2025</v>
      </c>
      <c r="B2496" t="str">
        <f t="shared" si="1251"/>
        <v>SAÍDA</v>
      </c>
      <c r="C2496" t="str">
        <f>"PIX"</f>
        <v>PIX</v>
      </c>
      <c r="D2496" t="str">
        <f>"751540"</f>
        <v>751540</v>
      </c>
      <c r="E2496" t="str">
        <f t="shared" si="1252"/>
        <v>COM</v>
      </c>
      <c r="F2496" t="str">
        <f>"MONGERAL AEGON SEGUROS E PREVIDENCIA SA (20063)"</f>
        <v>MONGERAL AEGON SEGUROS E PREVIDENCIA SA (20063)</v>
      </c>
      <c r="G2496" t="str">
        <f>"SEGURO DE VIDA SOCIOS"</f>
        <v>SEGURO DE VIDA SOCIOS</v>
      </c>
      <c r="H2496" t="str">
        <f>("12/05/2025")</f>
        <v>12/05/2025</v>
      </c>
      <c r="I2496" t="str">
        <f>("05/02/2025")</f>
        <v>05/02/2025</v>
      </c>
      <c r="J2496" t="str">
        <f>("19/05/2025")</f>
        <v>19/05/2025</v>
      </c>
      <c r="K2496">
        <v>228.35</v>
      </c>
      <c r="L2496">
        <v>228.35</v>
      </c>
      <c r="M2496">
        <v>192</v>
      </c>
      <c r="N2496" t="str">
        <f>"PLANOS E SEGUROS"</f>
        <v>PLANOS E SEGUROS</v>
      </c>
      <c r="O2496">
        <v>228.35</v>
      </c>
      <c r="R2496" t="str">
        <f>"BANCO CORA (102)"</f>
        <v>BANCO CORA (102)</v>
      </c>
      <c r="S2496">
        <v>1797</v>
      </c>
      <c r="T2496">
        <v>828</v>
      </c>
      <c r="U2496" t="s">
        <v>19</v>
      </c>
    </row>
    <row r="2497" spans="1:21">
      <c r="A2497" t="str">
        <f>("19/05/2025")</f>
        <v>19/05/2025</v>
      </c>
      <c r="B2497" t="str">
        <f t="shared" si="1251"/>
        <v>SAÍDA</v>
      </c>
      <c r="C2497" t="str">
        <f>"PIX"</f>
        <v>PIX</v>
      </c>
      <c r="D2497" t="str">
        <f>"751540"</f>
        <v>751540</v>
      </c>
      <c r="E2497" t="str">
        <f t="shared" si="1252"/>
        <v>COM</v>
      </c>
      <c r="F2497" t="str">
        <f>"MONGERAL AEGON SEGUROS E PREVIDENCIA SA (20063)"</f>
        <v>MONGERAL AEGON SEGUROS E PREVIDENCIA SA (20063)</v>
      </c>
      <c r="G2497" t="str">
        <f>"SEGURO DE VIDA SOCIOS"</f>
        <v>SEGURO DE VIDA SOCIOS</v>
      </c>
      <c r="H2497" t="str">
        <f>("12/05/2025")</f>
        <v>12/05/2025</v>
      </c>
      <c r="I2497" t="str">
        <f>("05/02/2025")</f>
        <v>05/02/2025</v>
      </c>
      <c r="J2497" t="str">
        <f>("19/05/2025")</f>
        <v>19/05/2025</v>
      </c>
      <c r="M2497">
        <v>192</v>
      </c>
      <c r="N2497" t="str">
        <f>"PLANOS E SEGUROS"</f>
        <v>PLANOS E SEGUROS</v>
      </c>
      <c r="P2497">
        <v>228.35</v>
      </c>
      <c r="Q2497" t="str">
        <f>"MONGERAL AEGON SEGUROS E PREVIDENCIA SA (20063)"</f>
        <v>MONGERAL AEGON SEGUROS E PREVIDENCIA SA (20063)</v>
      </c>
      <c r="R2497" t="str">
        <f>"BANCO CORA (102)"</f>
        <v>BANCO CORA (102)</v>
      </c>
      <c r="S2497">
        <v>1797</v>
      </c>
      <c r="T2497">
        <v>828</v>
      </c>
      <c r="U2497" t="s">
        <v>19</v>
      </c>
    </row>
    <row r="2498" spans="1:21">
      <c r="A2498" t="str">
        <f t="shared" ref="A2498:A2515" si="1254">("20/05/2025")</f>
        <v>20/05/2025</v>
      </c>
      <c r="B2498" t="str">
        <f>"ENTRADA"</f>
        <v>ENTRADA</v>
      </c>
      <c r="C2498" t="str">
        <f t="shared" ref="C2498:C2503" si="1255">"NFSE"</f>
        <v>NFSE</v>
      </c>
      <c r="D2498" t="str">
        <f>"2967"</f>
        <v>2967</v>
      </c>
      <c r="E2498" t="str">
        <f t="shared" si="1252"/>
        <v>COM</v>
      </c>
      <c r="F2498" t="str">
        <f>"PAGMENOS - LJ 608 (10135)"</f>
        <v>PAGMENOS - LJ 608 (10135)</v>
      </c>
      <c r="G2498" t="str">
        <f>"Serv.Prest. 28/04/2025 a 04/05/2025 - RPS: 737 - NFSe: 2967"</f>
        <v>Serv.Prest. 28/04/2025 a 04/05/2025 - RPS: 737 - NFSe: 2967</v>
      </c>
      <c r="H2498" t="str">
        <f>("19/05/2025")</f>
        <v>19/05/2025</v>
      </c>
      <c r="I2498" t="str">
        <f>("07/05/2025")</f>
        <v>07/05/2025</v>
      </c>
      <c r="J2498" t="str">
        <f t="shared" ref="J2498:J2515" si="1256">("20/05/2025")</f>
        <v>20/05/2025</v>
      </c>
      <c r="K2498">
        <v>280.20999999999998</v>
      </c>
      <c r="L2498">
        <v>280.20999999999998</v>
      </c>
      <c r="M2498">
        <v>303</v>
      </c>
      <c r="N2498" t="str">
        <f t="shared" ref="N2498:N2503" si="1257">"RECEITAS COM ENTREGAS"</f>
        <v>RECEITAS COM ENTREGAS</v>
      </c>
      <c r="O2498">
        <v>280.20999999999998</v>
      </c>
      <c r="R2498" t="str">
        <f t="shared" ref="R2498:R2503" si="1258">"RECEITAS COM ENTREGAS (303)"</f>
        <v>RECEITAS COM ENTREGAS (303)</v>
      </c>
      <c r="S2498">
        <v>1552</v>
      </c>
      <c r="T2498">
        <v>1159</v>
      </c>
      <c r="U2498" t="s">
        <v>19</v>
      </c>
    </row>
    <row r="2499" spans="1:21">
      <c r="A2499" t="str">
        <f t="shared" si="1254"/>
        <v>20/05/2025</v>
      </c>
      <c r="B2499" t="str">
        <f t="shared" ref="B2499:B2503" si="1259">"ENTRADA"</f>
        <v>ENTRADA</v>
      </c>
      <c r="C2499" t="str">
        <f t="shared" si="1255"/>
        <v>NFSE</v>
      </c>
      <c r="D2499" t="str">
        <f>"2967"</f>
        <v>2967</v>
      </c>
      <c r="E2499" t="str">
        <f t="shared" si="1252"/>
        <v>COM</v>
      </c>
      <c r="F2499" t="str">
        <f>"PAGMENOS - LJ 608 (10135)"</f>
        <v>PAGMENOS - LJ 608 (10135)</v>
      </c>
      <c r="G2499" t="str">
        <f>"Serv.Prest. 28/04/2025 a 04/05/2025 - RPS: 737 - NFSe: 2967"</f>
        <v>Serv.Prest. 28/04/2025 a 04/05/2025 - RPS: 737 - NFSe: 2967</v>
      </c>
      <c r="H2499" t="str">
        <f>("19/05/2025")</f>
        <v>19/05/2025</v>
      </c>
      <c r="I2499" t="str">
        <f>("07/05/2025")</f>
        <v>07/05/2025</v>
      </c>
      <c r="J2499" t="str">
        <f t="shared" si="1256"/>
        <v>20/05/2025</v>
      </c>
      <c r="M2499">
        <v>303</v>
      </c>
      <c r="N2499" t="str">
        <f t="shared" si="1257"/>
        <v>RECEITAS COM ENTREGAS</v>
      </c>
      <c r="P2499">
        <v>280.20999999999998</v>
      </c>
      <c r="Q2499" t="str">
        <f>"PAGMENOS - LJ 608 (10135)"</f>
        <v>PAGMENOS - LJ 608 (10135)</v>
      </c>
      <c r="R2499" t="str">
        <f t="shared" si="1258"/>
        <v>RECEITAS COM ENTREGAS (303)</v>
      </c>
      <c r="S2499">
        <v>1552</v>
      </c>
      <c r="T2499">
        <v>1159</v>
      </c>
      <c r="U2499" t="s">
        <v>19</v>
      </c>
    </row>
    <row r="2500" spans="1:21">
      <c r="A2500" t="str">
        <f t="shared" si="1254"/>
        <v>20/05/2025</v>
      </c>
      <c r="B2500" t="str">
        <f t="shared" si="1259"/>
        <v>ENTRADA</v>
      </c>
      <c r="C2500" t="str">
        <f t="shared" si="1255"/>
        <v>NFSE</v>
      </c>
      <c r="D2500" t="str">
        <f>"2968"</f>
        <v>2968</v>
      </c>
      <c r="E2500" t="str">
        <f t="shared" si="1252"/>
        <v>COM</v>
      </c>
      <c r="F2500" t="str">
        <f>"PAGMENOS - LJ 657 (10136)"</f>
        <v>PAGMENOS - LJ 657 (10136)</v>
      </c>
      <c r="G2500" t="str">
        <f>"Serv.Prest. 28/04/2025 a 04/05/2025 - RPS: 738 - NFSe: 2968"</f>
        <v>Serv.Prest. 28/04/2025 a 04/05/2025 - RPS: 738 - NFSe: 2968</v>
      </c>
      <c r="H2500" t="str">
        <f>("19/05/2025")</f>
        <v>19/05/2025</v>
      </c>
      <c r="I2500" t="str">
        <f>("07/05/2025")</f>
        <v>07/05/2025</v>
      </c>
      <c r="J2500" t="str">
        <f t="shared" si="1256"/>
        <v>20/05/2025</v>
      </c>
      <c r="K2500">
        <v>596.6</v>
      </c>
      <c r="L2500">
        <v>596.6</v>
      </c>
      <c r="M2500">
        <v>303</v>
      </c>
      <c r="N2500" t="str">
        <f t="shared" si="1257"/>
        <v>RECEITAS COM ENTREGAS</v>
      </c>
      <c r="O2500">
        <v>596.6</v>
      </c>
      <c r="R2500" t="str">
        <f t="shared" si="1258"/>
        <v>RECEITAS COM ENTREGAS (303)</v>
      </c>
      <c r="S2500">
        <v>1553</v>
      </c>
      <c r="T2500">
        <v>1160</v>
      </c>
      <c r="U2500" t="s">
        <v>19</v>
      </c>
    </row>
    <row r="2501" spans="1:21">
      <c r="A2501" t="str">
        <f t="shared" si="1254"/>
        <v>20/05/2025</v>
      </c>
      <c r="B2501" t="str">
        <f t="shared" si="1259"/>
        <v>ENTRADA</v>
      </c>
      <c r="C2501" t="str">
        <f t="shared" si="1255"/>
        <v>NFSE</v>
      </c>
      <c r="D2501" t="str">
        <f>"2968"</f>
        <v>2968</v>
      </c>
      <c r="E2501" t="str">
        <f t="shared" si="1252"/>
        <v>COM</v>
      </c>
      <c r="F2501" t="str">
        <f>"PAGMENOS - LJ 657 (10136)"</f>
        <v>PAGMENOS - LJ 657 (10136)</v>
      </c>
      <c r="G2501" t="str">
        <f>"Serv.Prest. 28/04/2025 a 04/05/2025 - RPS: 738 - NFSe: 2968"</f>
        <v>Serv.Prest. 28/04/2025 a 04/05/2025 - RPS: 738 - NFSe: 2968</v>
      </c>
      <c r="H2501" t="str">
        <f>("19/05/2025")</f>
        <v>19/05/2025</v>
      </c>
      <c r="I2501" t="str">
        <f>("07/05/2025")</f>
        <v>07/05/2025</v>
      </c>
      <c r="J2501" t="str">
        <f t="shared" si="1256"/>
        <v>20/05/2025</v>
      </c>
      <c r="M2501">
        <v>303</v>
      </c>
      <c r="N2501" t="str">
        <f t="shared" si="1257"/>
        <v>RECEITAS COM ENTREGAS</v>
      </c>
      <c r="P2501">
        <v>596.6</v>
      </c>
      <c r="Q2501" t="str">
        <f>"PAGMENOS - LJ 657 (10136)"</f>
        <v>PAGMENOS - LJ 657 (10136)</v>
      </c>
      <c r="R2501" t="str">
        <f t="shared" si="1258"/>
        <v>RECEITAS COM ENTREGAS (303)</v>
      </c>
      <c r="S2501">
        <v>1553</v>
      </c>
      <c r="T2501">
        <v>1160</v>
      </c>
      <c r="U2501" t="s">
        <v>19</v>
      </c>
    </row>
    <row r="2502" spans="1:21">
      <c r="A2502" t="str">
        <f t="shared" si="1254"/>
        <v>20/05/2025</v>
      </c>
      <c r="B2502" t="str">
        <f t="shared" si="1259"/>
        <v>ENTRADA</v>
      </c>
      <c r="C2502" t="str">
        <f t="shared" si="1255"/>
        <v>NFSE</v>
      </c>
      <c r="D2502" t="str">
        <f>"2998"</f>
        <v>2998</v>
      </c>
      <c r="E2502" t="str">
        <f t="shared" si="1252"/>
        <v>COM</v>
      </c>
      <c r="F2502" t="str">
        <f>"DROGARIA MEDALHA (10163)"</f>
        <v>DROGARIA MEDALHA (10163)</v>
      </c>
      <c r="G2502" t="str">
        <f>"Serv.Prest. 12/05/2025 a 18/05/2025 - RPS: 768 - NFSe: 2998"</f>
        <v>Serv.Prest. 12/05/2025 a 18/05/2025 - RPS: 768 - NFSe: 2998</v>
      </c>
      <c r="H2502" t="str">
        <f>("21/05/2025")</f>
        <v>21/05/2025</v>
      </c>
      <c r="I2502" t="str">
        <f>("19/05/2025")</f>
        <v>19/05/2025</v>
      </c>
      <c r="J2502" t="str">
        <f t="shared" si="1256"/>
        <v>20/05/2025</v>
      </c>
      <c r="K2502">
        <v>250.93</v>
      </c>
      <c r="L2502">
        <v>250.93</v>
      </c>
      <c r="M2502">
        <v>303</v>
      </c>
      <c r="N2502" t="str">
        <f t="shared" si="1257"/>
        <v>RECEITAS COM ENTREGAS</v>
      </c>
      <c r="O2502">
        <v>250.93</v>
      </c>
      <c r="R2502" t="str">
        <f t="shared" si="1258"/>
        <v>RECEITAS COM ENTREGAS (303)</v>
      </c>
      <c r="S2502">
        <v>1601</v>
      </c>
      <c r="T2502">
        <v>1205</v>
      </c>
      <c r="U2502" t="s">
        <v>19</v>
      </c>
    </row>
    <row r="2503" spans="1:21">
      <c r="A2503" t="str">
        <f t="shared" si="1254"/>
        <v>20/05/2025</v>
      </c>
      <c r="B2503" t="str">
        <f t="shared" si="1259"/>
        <v>ENTRADA</v>
      </c>
      <c r="C2503" t="str">
        <f t="shared" si="1255"/>
        <v>NFSE</v>
      </c>
      <c r="D2503" t="str">
        <f>"2998"</f>
        <v>2998</v>
      </c>
      <c r="E2503" t="str">
        <f t="shared" si="1252"/>
        <v>COM</v>
      </c>
      <c r="F2503" t="str">
        <f>"DROGARIA MEDALHA (10163)"</f>
        <v>DROGARIA MEDALHA (10163)</v>
      </c>
      <c r="G2503" t="str">
        <f>"Serv.Prest. 12/05/2025 a 18/05/2025 - RPS: 768 - NFSe: 2998"</f>
        <v>Serv.Prest. 12/05/2025 a 18/05/2025 - RPS: 768 - NFSe: 2998</v>
      </c>
      <c r="H2503" t="str">
        <f>("21/05/2025")</f>
        <v>21/05/2025</v>
      </c>
      <c r="I2503" t="str">
        <f>("19/05/2025")</f>
        <v>19/05/2025</v>
      </c>
      <c r="J2503" t="str">
        <f t="shared" si="1256"/>
        <v>20/05/2025</v>
      </c>
      <c r="M2503">
        <v>303</v>
      </c>
      <c r="N2503" t="str">
        <f t="shared" si="1257"/>
        <v>RECEITAS COM ENTREGAS</v>
      </c>
      <c r="P2503">
        <v>250.93</v>
      </c>
      <c r="Q2503" t="str">
        <f>"DROGARIA MEDALHA (10163)"</f>
        <v>DROGARIA MEDALHA (10163)</v>
      </c>
      <c r="R2503" t="str">
        <f t="shared" si="1258"/>
        <v>RECEITAS COM ENTREGAS (303)</v>
      </c>
      <c r="S2503">
        <v>1601</v>
      </c>
      <c r="T2503">
        <v>1205</v>
      </c>
      <c r="U2503" t="s">
        <v>19</v>
      </c>
    </row>
    <row r="2504" spans="1:21">
      <c r="A2504" t="str">
        <f t="shared" si="1254"/>
        <v>20/05/2025</v>
      </c>
      <c r="B2504" t="str">
        <f>"SAÍDA"</f>
        <v>SAÍDA</v>
      </c>
      <c r="C2504" t="str">
        <f>"TRANSFERENCIA"</f>
        <v>TRANSFERENCIA</v>
      </c>
      <c r="D2504" t="str">
        <f>""</f>
        <v/>
      </c>
      <c r="E2504" t="str">
        <f>"TRF"</f>
        <v>TRF</v>
      </c>
      <c r="F2504" t="str">
        <f>""</f>
        <v/>
      </c>
      <c r="G2504" t="str">
        <f>"EMPRESTIMO AJUDA DE CAIXA  (102-&gt;120)"</f>
        <v>EMPRESTIMO AJUDA DE CAIXA  (102-&gt;120)</v>
      </c>
      <c r="H2504" t="str">
        <f>("20/05/2025")</f>
        <v>20/05/2025</v>
      </c>
      <c r="I2504" t="str">
        <f>("20/05/2025")</f>
        <v>20/05/2025</v>
      </c>
      <c r="J2504" t="str">
        <f t="shared" si="1256"/>
        <v>20/05/2025</v>
      </c>
      <c r="M2504">
        <v>102</v>
      </c>
      <c r="N2504" t="str">
        <f>"BANCO CORA"</f>
        <v>BANCO CORA</v>
      </c>
      <c r="O2504">
        <v>12333.5</v>
      </c>
      <c r="R2504" t="str">
        <f>"BANCO CORA (102)"</f>
        <v>BANCO CORA (102)</v>
      </c>
      <c r="S2504">
        <v>1607</v>
      </c>
      <c r="T2504">
        <v>0</v>
      </c>
      <c r="U2504" t="s">
        <v>19</v>
      </c>
    </row>
    <row r="2505" spans="1:21">
      <c r="A2505" t="str">
        <f t="shared" si="1254"/>
        <v>20/05/2025</v>
      </c>
      <c r="B2505" t="str">
        <f>"ENTRADA"</f>
        <v>ENTRADA</v>
      </c>
      <c r="C2505" t="str">
        <f>"TRANSFERENCIA"</f>
        <v>TRANSFERENCIA</v>
      </c>
      <c r="D2505" t="str">
        <f>""</f>
        <v/>
      </c>
      <c r="E2505" t="str">
        <f>"TRF"</f>
        <v>TRF</v>
      </c>
      <c r="F2505" t="str">
        <f>""</f>
        <v/>
      </c>
      <c r="G2505" t="str">
        <f>"EMPRESTIMO AJUDA DE CAIXA  (102-&gt;120)"</f>
        <v>EMPRESTIMO AJUDA DE CAIXA  (102-&gt;120)</v>
      </c>
      <c r="H2505" t="str">
        <f>("20/05/2025")</f>
        <v>20/05/2025</v>
      </c>
      <c r="I2505" t="str">
        <f>("20/05/2025")</f>
        <v>20/05/2025</v>
      </c>
      <c r="J2505" t="str">
        <f t="shared" si="1256"/>
        <v>20/05/2025</v>
      </c>
      <c r="M2505">
        <v>120</v>
      </c>
      <c r="N2505" t="str">
        <f>"CAIXA - COOPERATIVA"</f>
        <v>CAIXA - COOPERATIVA</v>
      </c>
      <c r="O2505">
        <v>12333.5</v>
      </c>
      <c r="R2505" t="str">
        <f>"CAIXA - COOPERATIVA (120)"</f>
        <v>CAIXA - COOPERATIVA (120)</v>
      </c>
      <c r="S2505">
        <v>1607</v>
      </c>
      <c r="T2505">
        <v>0</v>
      </c>
      <c r="U2505" t="s">
        <v>26</v>
      </c>
    </row>
    <row r="2506" spans="1:21">
      <c r="A2506" t="str">
        <f t="shared" si="1254"/>
        <v>20/05/2025</v>
      </c>
      <c r="B2506" t="str">
        <f t="shared" ref="B2506:B2515" si="1260">"SAÍDA"</f>
        <v>SAÍDA</v>
      </c>
      <c r="C2506" t="str">
        <f>"BOLETO"</f>
        <v>BOLETO</v>
      </c>
      <c r="D2506" t="str">
        <f>"071625107329046"</f>
        <v>071625107329046</v>
      </c>
      <c r="E2506" t="str">
        <f t="shared" ref="E2506:E2512" si="1261">"COM"</f>
        <v>COM</v>
      </c>
      <c r="F2506" t="str">
        <f>"MINISTERIO DA FAZENDA (20009)"</f>
        <v>MINISTERIO DA FAZENDA (20009)</v>
      </c>
      <c r="G2506" t="str">
        <f>"INSS SOBRE PROLABORE"</f>
        <v>INSS SOBRE PROLABORE</v>
      </c>
      <c r="H2506" t="str">
        <f t="shared" ref="H2506:H2515" si="1262">("20/05/2025")</f>
        <v>20/05/2025</v>
      </c>
      <c r="I2506" t="str">
        <f>("17/04/2025")</f>
        <v>17/04/2025</v>
      </c>
      <c r="J2506" t="str">
        <f t="shared" si="1256"/>
        <v>20/05/2025</v>
      </c>
      <c r="K2506">
        <v>333.96</v>
      </c>
      <c r="L2506">
        <v>333.96</v>
      </c>
      <c r="M2506">
        <v>112</v>
      </c>
      <c r="N2506" t="str">
        <f>"INSS - PRO-LABORE"</f>
        <v>INSS - PRO-LABORE</v>
      </c>
      <c r="O2506">
        <v>333.96</v>
      </c>
      <c r="R2506" t="str">
        <f t="shared" ref="R2506:R2515" si="1263">"BANCO CORA (102)"</f>
        <v>BANCO CORA (102)</v>
      </c>
      <c r="S2506">
        <v>1623</v>
      </c>
      <c r="T2506">
        <v>716</v>
      </c>
      <c r="U2506" t="s">
        <v>19</v>
      </c>
    </row>
    <row r="2507" spans="1:21">
      <c r="A2507" t="str">
        <f t="shared" si="1254"/>
        <v>20/05/2025</v>
      </c>
      <c r="B2507" t="str">
        <f t="shared" si="1260"/>
        <v>SAÍDA</v>
      </c>
      <c r="C2507" t="str">
        <f>"BOLETO"</f>
        <v>BOLETO</v>
      </c>
      <c r="D2507" t="str">
        <f>"072025127958614"</f>
        <v>072025127958614</v>
      </c>
      <c r="E2507" t="str">
        <f t="shared" si="1261"/>
        <v>COM</v>
      </c>
      <c r="F2507" t="str">
        <f>"MINISTERIO DA FAZENDA (20009)"</f>
        <v>MINISTERIO DA FAZENDA (20009)</v>
      </c>
      <c r="G2507" t="str">
        <f>"SIMPLES NACIONAL MES 04/2025"</f>
        <v>SIMPLES NACIONAL MES 04/2025</v>
      </c>
      <c r="H2507" t="str">
        <f t="shared" si="1262"/>
        <v>20/05/2025</v>
      </c>
      <c r="I2507" t="str">
        <f>("07/05/2025")</f>
        <v>07/05/2025</v>
      </c>
      <c r="J2507" t="str">
        <f t="shared" si="1256"/>
        <v>20/05/2025</v>
      </c>
      <c r="K2507">
        <v>14713.25</v>
      </c>
      <c r="L2507">
        <v>14713.25</v>
      </c>
      <c r="M2507">
        <v>144</v>
      </c>
      <c r="N2507" t="str">
        <f>"SIMPLES NACIONAL (DASN)"</f>
        <v>SIMPLES NACIONAL (DASN)</v>
      </c>
      <c r="O2507">
        <v>14713.25</v>
      </c>
      <c r="R2507" t="str">
        <f t="shared" si="1263"/>
        <v>BANCO CORA (102)</v>
      </c>
      <c r="S2507">
        <v>1624</v>
      </c>
      <c r="T2507">
        <v>894</v>
      </c>
      <c r="U2507" t="s">
        <v>19</v>
      </c>
    </row>
    <row r="2508" spans="1:21">
      <c r="A2508" t="str">
        <f t="shared" si="1254"/>
        <v>20/05/2025</v>
      </c>
      <c r="B2508" t="str">
        <f t="shared" si="1260"/>
        <v>SAÍDA</v>
      </c>
      <c r="C2508" t="str">
        <f>"BOLETO"</f>
        <v>BOLETO</v>
      </c>
      <c r="D2508" t="str">
        <f>"072025127958614"</f>
        <v>072025127958614</v>
      </c>
      <c r="E2508" t="str">
        <f t="shared" si="1261"/>
        <v>COM</v>
      </c>
      <c r="F2508" t="str">
        <f>"MINISTERIO DA FAZENDA (20009)"</f>
        <v>MINISTERIO DA FAZENDA (20009)</v>
      </c>
      <c r="G2508" t="str">
        <f>"SIMPLES NACIONAL MES 04/2025"</f>
        <v>SIMPLES NACIONAL MES 04/2025</v>
      </c>
      <c r="H2508" t="str">
        <f t="shared" si="1262"/>
        <v>20/05/2025</v>
      </c>
      <c r="I2508" t="str">
        <f>("07/05/2025")</f>
        <v>07/05/2025</v>
      </c>
      <c r="J2508" t="str">
        <f t="shared" si="1256"/>
        <v>20/05/2025</v>
      </c>
      <c r="M2508">
        <v>144</v>
      </c>
      <c r="N2508" t="str">
        <f>"SIMPLES NACIONAL (DASN)"</f>
        <v>SIMPLES NACIONAL (DASN)</v>
      </c>
      <c r="P2508">
        <v>14713.25</v>
      </c>
      <c r="Q2508" t="str">
        <f>"MINISTERIO DA FAZENDA (20009)"</f>
        <v>MINISTERIO DA FAZENDA (20009)</v>
      </c>
      <c r="R2508" t="str">
        <f t="shared" si="1263"/>
        <v>BANCO CORA (102)</v>
      </c>
      <c r="S2508">
        <v>1624</v>
      </c>
      <c r="T2508">
        <v>894</v>
      </c>
      <c r="U2508" t="s">
        <v>19</v>
      </c>
    </row>
    <row r="2509" spans="1:21">
      <c r="A2509" t="str">
        <f t="shared" si="1254"/>
        <v>20/05/2025</v>
      </c>
      <c r="B2509" t="str">
        <f t="shared" si="1260"/>
        <v>SAÍDA</v>
      </c>
      <c r="C2509" t="str">
        <f>"BOLETO"</f>
        <v>BOLETO</v>
      </c>
      <c r="D2509" t="str">
        <f>"2391"</f>
        <v>2391</v>
      </c>
      <c r="E2509" t="str">
        <f t="shared" si="1261"/>
        <v>COM</v>
      </c>
      <c r="F2509" t="str">
        <f>"INFINITY BRASIL LTDA (20020)"</f>
        <v>INFINITY BRASIL LTDA (20020)</v>
      </c>
      <c r="G2509" t="str">
        <f>"SERVIDOR FLUX FARMA PERÍODO ABRIL/2025"</f>
        <v>SERVIDOR FLUX FARMA PERÍODO ABRIL/2025</v>
      </c>
      <c r="H2509" t="str">
        <f t="shared" si="1262"/>
        <v>20/05/2025</v>
      </c>
      <c r="I2509" t="str">
        <f>("30/04/2025")</f>
        <v>30/04/2025</v>
      </c>
      <c r="J2509" t="str">
        <f t="shared" si="1256"/>
        <v>20/05/2025</v>
      </c>
      <c r="K2509">
        <v>549</v>
      </c>
      <c r="L2509">
        <v>549</v>
      </c>
      <c r="M2509">
        <v>104</v>
      </c>
      <c r="N2509" t="str">
        <f>"SOFTWARE / LICENÇAS"</f>
        <v>SOFTWARE / LICENÇAS</v>
      </c>
      <c r="O2509">
        <v>549</v>
      </c>
      <c r="R2509" t="str">
        <f t="shared" si="1263"/>
        <v>BANCO CORA (102)</v>
      </c>
      <c r="S2509">
        <v>1625</v>
      </c>
      <c r="T2509">
        <v>905</v>
      </c>
      <c r="U2509" t="s">
        <v>19</v>
      </c>
    </row>
    <row r="2510" spans="1:21">
      <c r="A2510" t="str">
        <f t="shared" si="1254"/>
        <v>20/05/2025</v>
      </c>
      <c r="B2510" t="str">
        <f t="shared" si="1260"/>
        <v>SAÍDA</v>
      </c>
      <c r="C2510" t="str">
        <f>"BOLETO"</f>
        <v>BOLETO</v>
      </c>
      <c r="D2510" t="str">
        <f>"2391"</f>
        <v>2391</v>
      </c>
      <c r="E2510" t="str">
        <f t="shared" si="1261"/>
        <v>COM</v>
      </c>
      <c r="F2510" t="str">
        <f>"INFINITY BRASIL LTDA (20020)"</f>
        <v>INFINITY BRASIL LTDA (20020)</v>
      </c>
      <c r="G2510" t="str">
        <f>"SERVIDOR FLUX FARMA PERÍODO ABRIL/2025"</f>
        <v>SERVIDOR FLUX FARMA PERÍODO ABRIL/2025</v>
      </c>
      <c r="H2510" t="str">
        <f t="shared" si="1262"/>
        <v>20/05/2025</v>
      </c>
      <c r="I2510" t="str">
        <f>("30/04/2025")</f>
        <v>30/04/2025</v>
      </c>
      <c r="J2510" t="str">
        <f t="shared" si="1256"/>
        <v>20/05/2025</v>
      </c>
      <c r="M2510">
        <v>104</v>
      </c>
      <c r="N2510" t="str">
        <f>"SOFTWARE / LICENÇAS"</f>
        <v>SOFTWARE / LICENÇAS</v>
      </c>
      <c r="P2510">
        <v>549</v>
      </c>
      <c r="Q2510" t="str">
        <f>"INFINITY BRASIL LTDA (20020)"</f>
        <v>INFINITY BRASIL LTDA (20020)</v>
      </c>
      <c r="R2510" t="str">
        <f t="shared" si="1263"/>
        <v>BANCO CORA (102)</v>
      </c>
      <c r="S2510">
        <v>1625</v>
      </c>
      <c r="T2510">
        <v>905</v>
      </c>
      <c r="U2510" t="s">
        <v>19</v>
      </c>
    </row>
    <row r="2511" spans="1:21">
      <c r="A2511" t="str">
        <f t="shared" si="1254"/>
        <v>20/05/2025</v>
      </c>
      <c r="B2511" t="str">
        <f t="shared" si="1260"/>
        <v>SAÍDA</v>
      </c>
      <c r="C2511" t="str">
        <f>"PIX"</f>
        <v>PIX</v>
      </c>
      <c r="D2511" t="str">
        <f>"2005252500"</f>
        <v>2005252500</v>
      </c>
      <c r="E2511" t="str">
        <f t="shared" si="1261"/>
        <v>COM</v>
      </c>
      <c r="F2511" t="str">
        <f>"MAYKON NUNES DA SILVA (20085)"</f>
        <v>MAYKON NUNES DA SILVA (20085)</v>
      </c>
      <c r="G2511" t="str">
        <f>"COMISSAO VENDA SETUP"</f>
        <v>COMISSAO VENDA SETUP</v>
      </c>
      <c r="H2511" t="str">
        <f t="shared" si="1262"/>
        <v>20/05/2025</v>
      </c>
      <c r="I2511" t="str">
        <f>("20/05/2025")</f>
        <v>20/05/2025</v>
      </c>
      <c r="J2511" t="str">
        <f t="shared" si="1256"/>
        <v>20/05/2025</v>
      </c>
      <c r="K2511">
        <v>2500</v>
      </c>
      <c r="L2511">
        <v>2500</v>
      </c>
      <c r="M2511">
        <v>126</v>
      </c>
      <c r="N2511" t="str">
        <f>"COMISSÕES DE REPRESENTANTES"</f>
        <v>COMISSÕES DE REPRESENTANTES</v>
      </c>
      <c r="O2511">
        <v>2500</v>
      </c>
      <c r="R2511" t="str">
        <f t="shared" si="1263"/>
        <v>BANCO CORA (102)</v>
      </c>
      <c r="S2511">
        <v>1626</v>
      </c>
      <c r="T2511">
        <v>1285</v>
      </c>
      <c r="U2511" t="s">
        <v>19</v>
      </c>
    </row>
    <row r="2512" spans="1:21">
      <c r="A2512" t="str">
        <f t="shared" si="1254"/>
        <v>20/05/2025</v>
      </c>
      <c r="B2512" t="str">
        <f t="shared" si="1260"/>
        <v>SAÍDA</v>
      </c>
      <c r="C2512" t="str">
        <f>"PIX"</f>
        <v>PIX</v>
      </c>
      <c r="D2512" t="str">
        <f>"2005252500"</f>
        <v>2005252500</v>
      </c>
      <c r="E2512" t="str">
        <f t="shared" si="1261"/>
        <v>COM</v>
      </c>
      <c r="F2512" t="str">
        <f>"MAYKON NUNES DA SILVA (20085)"</f>
        <v>MAYKON NUNES DA SILVA (20085)</v>
      </c>
      <c r="G2512" t="str">
        <f>"COMISSAO VENDA SETUP"</f>
        <v>COMISSAO VENDA SETUP</v>
      </c>
      <c r="H2512" t="str">
        <f t="shared" si="1262"/>
        <v>20/05/2025</v>
      </c>
      <c r="I2512" t="str">
        <f>("20/05/2025")</f>
        <v>20/05/2025</v>
      </c>
      <c r="J2512" t="str">
        <f t="shared" si="1256"/>
        <v>20/05/2025</v>
      </c>
      <c r="M2512">
        <v>126</v>
      </c>
      <c r="N2512" t="str">
        <f>"COMISSÕES DE REPRESENTANTES"</f>
        <v>COMISSÕES DE REPRESENTANTES</v>
      </c>
      <c r="P2512">
        <v>2500</v>
      </c>
      <c r="Q2512" t="str">
        <f>"MAYKON NUNES DA SILVA (20085)"</f>
        <v>MAYKON NUNES DA SILVA (20085)</v>
      </c>
      <c r="R2512" t="str">
        <f t="shared" si="1263"/>
        <v>BANCO CORA (102)</v>
      </c>
      <c r="S2512">
        <v>1626</v>
      </c>
      <c r="T2512">
        <v>1285</v>
      </c>
      <c r="U2512" t="s">
        <v>19</v>
      </c>
    </row>
    <row r="2513" spans="1:21">
      <c r="A2513" t="str">
        <f t="shared" si="1254"/>
        <v>20/05/2025</v>
      </c>
      <c r="B2513" t="str">
        <f t="shared" si="1260"/>
        <v>SAÍDA</v>
      </c>
      <c r="C2513" t="str">
        <f>"JUROS"</f>
        <v>JUROS</v>
      </c>
      <c r="D2513" t="str">
        <f>""</f>
        <v/>
      </c>
      <c r="E2513" t="str">
        <f>"CXA"</f>
        <v>CXA</v>
      </c>
      <c r="F2513" t="str">
        <f>""</f>
        <v/>
      </c>
      <c r="G2513" t="str">
        <f>"TAXA BOLETO COMPENSADO"</f>
        <v>TAXA BOLETO COMPENSADO</v>
      </c>
      <c r="H2513" t="str">
        <f t="shared" si="1262"/>
        <v>20/05/2025</v>
      </c>
      <c r="I2513" t="str">
        <f>("20/05/2025")</f>
        <v>20/05/2025</v>
      </c>
      <c r="J2513" t="str">
        <f t="shared" si="1256"/>
        <v>20/05/2025</v>
      </c>
      <c r="K2513">
        <v>1.7</v>
      </c>
      <c r="L2513">
        <v>1.7</v>
      </c>
      <c r="M2513">
        <v>401</v>
      </c>
      <c r="N2513" t="str">
        <f>"IOF/JUROS/DESP.FINANCEIRA"</f>
        <v>IOF/JUROS/DESP.FINANCEIRA</v>
      </c>
      <c r="O2513">
        <v>1.7</v>
      </c>
      <c r="R2513" t="str">
        <f t="shared" si="1263"/>
        <v>BANCO CORA (102)</v>
      </c>
      <c r="S2513">
        <v>1679</v>
      </c>
      <c r="T2513">
        <v>0</v>
      </c>
      <c r="U2513" t="s">
        <v>20</v>
      </c>
    </row>
    <row r="2514" spans="1:21">
      <c r="A2514" t="str">
        <f t="shared" si="1254"/>
        <v>20/05/2025</v>
      </c>
      <c r="B2514" t="str">
        <f t="shared" si="1260"/>
        <v>SAÍDA</v>
      </c>
      <c r="C2514" t="str">
        <f>"JUROS"</f>
        <v>JUROS</v>
      </c>
      <c r="D2514" t="str">
        <f>""</f>
        <v/>
      </c>
      <c r="E2514" t="str">
        <f>"CXA"</f>
        <v>CXA</v>
      </c>
      <c r="F2514" t="str">
        <f>""</f>
        <v/>
      </c>
      <c r="G2514" t="str">
        <f>"TAXA BOLETO COMPENSADO"</f>
        <v>TAXA BOLETO COMPENSADO</v>
      </c>
      <c r="H2514" t="str">
        <f t="shared" si="1262"/>
        <v>20/05/2025</v>
      </c>
      <c r="I2514" t="str">
        <f>("20/05/2025")</f>
        <v>20/05/2025</v>
      </c>
      <c r="J2514" t="str">
        <f t="shared" si="1256"/>
        <v>20/05/2025</v>
      </c>
      <c r="K2514">
        <v>1.7</v>
      </c>
      <c r="L2514">
        <v>1.7</v>
      </c>
      <c r="M2514">
        <v>401</v>
      </c>
      <c r="N2514" t="str">
        <f>"IOF/JUROS/DESP.FINANCEIRA"</f>
        <v>IOF/JUROS/DESP.FINANCEIRA</v>
      </c>
      <c r="O2514">
        <v>1.7</v>
      </c>
      <c r="R2514" t="str">
        <f t="shared" si="1263"/>
        <v>BANCO CORA (102)</v>
      </c>
      <c r="S2514">
        <v>1680</v>
      </c>
      <c r="T2514">
        <v>0</v>
      </c>
      <c r="U2514" t="s">
        <v>20</v>
      </c>
    </row>
    <row r="2515" spans="1:21">
      <c r="A2515" t="str">
        <f t="shared" si="1254"/>
        <v>20/05/2025</v>
      </c>
      <c r="B2515" t="str">
        <f t="shared" si="1260"/>
        <v>SAÍDA</v>
      </c>
      <c r="C2515" t="str">
        <f>"JUROS"</f>
        <v>JUROS</v>
      </c>
      <c r="D2515" t="str">
        <f>""</f>
        <v/>
      </c>
      <c r="E2515" t="str">
        <f>"CXA"</f>
        <v>CXA</v>
      </c>
      <c r="F2515" t="str">
        <f>""</f>
        <v/>
      </c>
      <c r="G2515" t="str">
        <f>"TAXA BOLETO COMPENSADO"</f>
        <v>TAXA BOLETO COMPENSADO</v>
      </c>
      <c r="H2515" t="str">
        <f t="shared" si="1262"/>
        <v>20/05/2025</v>
      </c>
      <c r="I2515" t="str">
        <f>("20/05/2025")</f>
        <v>20/05/2025</v>
      </c>
      <c r="J2515" t="str">
        <f t="shared" si="1256"/>
        <v>20/05/2025</v>
      </c>
      <c r="K2515">
        <v>1.7</v>
      </c>
      <c r="L2515">
        <v>1.7</v>
      </c>
      <c r="M2515">
        <v>401</v>
      </c>
      <c r="N2515" t="str">
        <f>"IOF/JUROS/DESP.FINANCEIRA"</f>
        <v>IOF/JUROS/DESP.FINANCEIRA</v>
      </c>
      <c r="O2515">
        <v>1.7</v>
      </c>
      <c r="R2515" t="str">
        <f t="shared" si="1263"/>
        <v>BANCO CORA (102)</v>
      </c>
      <c r="S2515">
        <v>1681</v>
      </c>
      <c r="T2515">
        <v>0</v>
      </c>
      <c r="U2515" t="s">
        <v>20</v>
      </c>
    </row>
    <row r="2516" spans="1:21">
      <c r="A2516" t="str">
        <f t="shared" ref="A2516:A2547" si="1264">("21/05/2025")</f>
        <v>21/05/2025</v>
      </c>
      <c r="B2516" t="str">
        <f>"ENTRADA"</f>
        <v>ENTRADA</v>
      </c>
      <c r="C2516" t="str">
        <f t="shared" ref="C2516:C2547" si="1265">"NFSE"</f>
        <v>NFSE</v>
      </c>
      <c r="D2516" t="str">
        <f t="shared" ref="D2516:D2524" si="1266">"2982"</f>
        <v>2982</v>
      </c>
      <c r="E2516" t="str">
        <f t="shared" ref="E2516:E2547" si="1267">"COM"</f>
        <v>COM</v>
      </c>
      <c r="F2516" t="str">
        <f t="shared" ref="F2516:F2524" si="1268">"FARMÁCIA INDIANA LJ 85 (10128)"</f>
        <v>FARMÁCIA INDIANA LJ 85 (10128)</v>
      </c>
      <c r="G2516" t="str">
        <f t="shared" ref="G2516:G2524" si="1269">"Serv.Prest. 05/05/2025 a 11/05/2025 - RPS: 752 - NFSe: 2982"</f>
        <v>Serv.Prest. 05/05/2025 a 11/05/2025 - RPS: 752 - NFSe: 2982</v>
      </c>
      <c r="H2516" t="str">
        <f t="shared" ref="H2516:H2547" si="1270">("21/05/2025")</f>
        <v>21/05/2025</v>
      </c>
      <c r="I2516" t="str">
        <f t="shared" ref="I2516:I2547" si="1271">("12/05/2025")</f>
        <v>12/05/2025</v>
      </c>
      <c r="J2516" t="str">
        <f t="shared" ref="J2516:J2547" si="1272">("21/05/2025")</f>
        <v>21/05/2025</v>
      </c>
      <c r="K2516">
        <v>1270.1600000000001</v>
      </c>
      <c r="L2516">
        <v>1270.1600000000001</v>
      </c>
      <c r="M2516">
        <v>303</v>
      </c>
      <c r="N2516" t="str">
        <f t="shared" ref="N2516:N2547" si="1273">"RECEITAS COM ENTREGAS"</f>
        <v>RECEITAS COM ENTREGAS</v>
      </c>
      <c r="O2516">
        <v>1270.1600000000001</v>
      </c>
      <c r="R2516" t="str">
        <f t="shared" ref="R2516:R2547" si="1274">"RECEITAS COM ENTREGAS (303)"</f>
        <v>RECEITAS COM ENTREGAS (303)</v>
      </c>
      <c r="S2516">
        <v>1554</v>
      </c>
      <c r="T2516">
        <v>1189</v>
      </c>
      <c r="U2516" t="s">
        <v>19</v>
      </c>
    </row>
    <row r="2517" spans="1:21">
      <c r="A2517" t="str">
        <f t="shared" si="1264"/>
        <v>21/05/2025</v>
      </c>
      <c r="B2517" t="str">
        <f t="shared" ref="B2517:B2580" si="1275">"ENTRADA"</f>
        <v>ENTRADA</v>
      </c>
      <c r="C2517" t="str">
        <f t="shared" si="1265"/>
        <v>NFSE</v>
      </c>
      <c r="D2517" t="str">
        <f t="shared" si="1266"/>
        <v>2982</v>
      </c>
      <c r="E2517" t="str">
        <f t="shared" si="1267"/>
        <v>COM</v>
      </c>
      <c r="F2517" t="str">
        <f t="shared" si="1268"/>
        <v>FARMÁCIA INDIANA LJ 85 (10128)</v>
      </c>
      <c r="G2517" t="str">
        <f t="shared" si="1269"/>
        <v>Serv.Prest. 05/05/2025 a 11/05/2025 - RPS: 752 - NFSe: 2982</v>
      </c>
      <c r="H2517" t="str">
        <f t="shared" si="1270"/>
        <v>21/05/2025</v>
      </c>
      <c r="I2517" t="str">
        <f t="shared" si="1271"/>
        <v>12/05/2025</v>
      </c>
      <c r="J2517" t="str">
        <f t="shared" si="1272"/>
        <v>21/05/2025</v>
      </c>
      <c r="M2517">
        <v>303</v>
      </c>
      <c r="N2517" t="str">
        <f t="shared" si="1273"/>
        <v>RECEITAS COM ENTREGAS</v>
      </c>
      <c r="P2517">
        <v>160.93</v>
      </c>
      <c r="Q2517" t="str">
        <f>"FARMÁCIA INDIANA LJ 119 (10053)"</f>
        <v>FARMÁCIA INDIANA LJ 119 (10053)</v>
      </c>
      <c r="R2517" t="str">
        <f t="shared" si="1274"/>
        <v>RECEITAS COM ENTREGAS (303)</v>
      </c>
      <c r="S2517">
        <v>1554</v>
      </c>
      <c r="T2517">
        <v>1189</v>
      </c>
      <c r="U2517" t="s">
        <v>19</v>
      </c>
    </row>
    <row r="2518" spans="1:21">
      <c r="A2518" t="str">
        <f t="shared" si="1264"/>
        <v>21/05/2025</v>
      </c>
      <c r="B2518" t="str">
        <f t="shared" si="1275"/>
        <v>ENTRADA</v>
      </c>
      <c r="C2518" t="str">
        <f t="shared" si="1265"/>
        <v>NFSE</v>
      </c>
      <c r="D2518" t="str">
        <f t="shared" si="1266"/>
        <v>2982</v>
      </c>
      <c r="E2518" t="str">
        <f t="shared" si="1267"/>
        <v>COM</v>
      </c>
      <c r="F2518" t="str">
        <f t="shared" si="1268"/>
        <v>FARMÁCIA INDIANA LJ 85 (10128)</v>
      </c>
      <c r="G2518" t="str">
        <f t="shared" si="1269"/>
        <v>Serv.Prest. 05/05/2025 a 11/05/2025 - RPS: 752 - NFSe: 2982</v>
      </c>
      <c r="H2518" t="str">
        <f t="shared" si="1270"/>
        <v>21/05/2025</v>
      </c>
      <c r="I2518" t="str">
        <f t="shared" si="1271"/>
        <v>12/05/2025</v>
      </c>
      <c r="J2518" t="str">
        <f t="shared" si="1272"/>
        <v>21/05/2025</v>
      </c>
      <c r="M2518">
        <v>303</v>
      </c>
      <c r="N2518" t="str">
        <f t="shared" si="1273"/>
        <v>RECEITAS COM ENTREGAS</v>
      </c>
      <c r="P2518">
        <v>248.06</v>
      </c>
      <c r="Q2518" t="str">
        <f>"FARMÁCIA INDIANA LJ 163 (10072)"</f>
        <v>FARMÁCIA INDIANA LJ 163 (10072)</v>
      </c>
      <c r="R2518" t="str">
        <f t="shared" si="1274"/>
        <v>RECEITAS COM ENTREGAS (303)</v>
      </c>
      <c r="S2518">
        <v>1554</v>
      </c>
      <c r="T2518">
        <v>1189</v>
      </c>
      <c r="U2518" t="s">
        <v>19</v>
      </c>
    </row>
    <row r="2519" spans="1:21">
      <c r="A2519" t="str">
        <f t="shared" si="1264"/>
        <v>21/05/2025</v>
      </c>
      <c r="B2519" t="str">
        <f t="shared" si="1275"/>
        <v>ENTRADA</v>
      </c>
      <c r="C2519" t="str">
        <f t="shared" si="1265"/>
        <v>NFSE</v>
      </c>
      <c r="D2519" t="str">
        <f t="shared" si="1266"/>
        <v>2982</v>
      </c>
      <c r="E2519" t="str">
        <f t="shared" si="1267"/>
        <v>COM</v>
      </c>
      <c r="F2519" t="str">
        <f t="shared" si="1268"/>
        <v>FARMÁCIA INDIANA LJ 85 (10128)</v>
      </c>
      <c r="G2519" t="str">
        <f t="shared" si="1269"/>
        <v>Serv.Prest. 05/05/2025 a 11/05/2025 - RPS: 752 - NFSe: 2982</v>
      </c>
      <c r="H2519" t="str">
        <f t="shared" si="1270"/>
        <v>21/05/2025</v>
      </c>
      <c r="I2519" t="str">
        <f t="shared" si="1271"/>
        <v>12/05/2025</v>
      </c>
      <c r="J2519" t="str">
        <f t="shared" si="1272"/>
        <v>21/05/2025</v>
      </c>
      <c r="M2519">
        <v>303</v>
      </c>
      <c r="N2519" t="str">
        <f t="shared" si="1273"/>
        <v>RECEITAS COM ENTREGAS</v>
      </c>
      <c r="P2519">
        <v>184.3</v>
      </c>
      <c r="Q2519" t="str">
        <f>"FARMÁCIA INDIANA LJ 181 (10078)"</f>
        <v>FARMÁCIA INDIANA LJ 181 (10078)</v>
      </c>
      <c r="R2519" t="str">
        <f t="shared" si="1274"/>
        <v>RECEITAS COM ENTREGAS (303)</v>
      </c>
      <c r="S2519">
        <v>1554</v>
      </c>
      <c r="T2519">
        <v>1189</v>
      </c>
      <c r="U2519" t="s">
        <v>19</v>
      </c>
    </row>
    <row r="2520" spans="1:21">
      <c r="A2520" t="str">
        <f t="shared" si="1264"/>
        <v>21/05/2025</v>
      </c>
      <c r="B2520" t="str">
        <f t="shared" si="1275"/>
        <v>ENTRADA</v>
      </c>
      <c r="C2520" t="str">
        <f t="shared" si="1265"/>
        <v>NFSE</v>
      </c>
      <c r="D2520" t="str">
        <f t="shared" si="1266"/>
        <v>2982</v>
      </c>
      <c r="E2520" t="str">
        <f t="shared" si="1267"/>
        <v>COM</v>
      </c>
      <c r="F2520" t="str">
        <f t="shared" si="1268"/>
        <v>FARMÁCIA INDIANA LJ 85 (10128)</v>
      </c>
      <c r="G2520" t="str">
        <f t="shared" si="1269"/>
        <v>Serv.Prest. 05/05/2025 a 11/05/2025 - RPS: 752 - NFSe: 2982</v>
      </c>
      <c r="H2520" t="str">
        <f t="shared" si="1270"/>
        <v>21/05/2025</v>
      </c>
      <c r="I2520" t="str">
        <f t="shared" si="1271"/>
        <v>12/05/2025</v>
      </c>
      <c r="J2520" t="str">
        <f t="shared" si="1272"/>
        <v>21/05/2025</v>
      </c>
      <c r="M2520">
        <v>303</v>
      </c>
      <c r="N2520" t="str">
        <f t="shared" si="1273"/>
        <v>RECEITAS COM ENTREGAS</v>
      </c>
      <c r="P2520">
        <v>161.69</v>
      </c>
      <c r="Q2520" t="str">
        <f>"FARMÁCIA INDIANA LJ 221 (10093)"</f>
        <v>FARMÁCIA INDIANA LJ 221 (10093)</v>
      </c>
      <c r="R2520" t="str">
        <f t="shared" si="1274"/>
        <v>RECEITAS COM ENTREGAS (303)</v>
      </c>
      <c r="S2520">
        <v>1554</v>
      </c>
      <c r="T2520">
        <v>1189</v>
      </c>
      <c r="U2520" t="s">
        <v>19</v>
      </c>
    </row>
    <row r="2521" spans="1:21">
      <c r="A2521" t="str">
        <f t="shared" si="1264"/>
        <v>21/05/2025</v>
      </c>
      <c r="B2521" t="str">
        <f t="shared" si="1275"/>
        <v>ENTRADA</v>
      </c>
      <c r="C2521" t="str">
        <f t="shared" si="1265"/>
        <v>NFSE</v>
      </c>
      <c r="D2521" t="str">
        <f t="shared" si="1266"/>
        <v>2982</v>
      </c>
      <c r="E2521" t="str">
        <f t="shared" si="1267"/>
        <v>COM</v>
      </c>
      <c r="F2521" t="str">
        <f t="shared" si="1268"/>
        <v>FARMÁCIA INDIANA LJ 85 (10128)</v>
      </c>
      <c r="G2521" t="str">
        <f t="shared" si="1269"/>
        <v>Serv.Prest. 05/05/2025 a 11/05/2025 - RPS: 752 - NFSe: 2982</v>
      </c>
      <c r="H2521" t="str">
        <f t="shared" si="1270"/>
        <v>21/05/2025</v>
      </c>
      <c r="I2521" t="str">
        <f t="shared" si="1271"/>
        <v>12/05/2025</v>
      </c>
      <c r="J2521" t="str">
        <f t="shared" si="1272"/>
        <v>21/05/2025</v>
      </c>
      <c r="M2521">
        <v>303</v>
      </c>
      <c r="N2521" t="str">
        <f t="shared" si="1273"/>
        <v>RECEITAS COM ENTREGAS</v>
      </c>
      <c r="P2521">
        <v>170.71</v>
      </c>
      <c r="Q2521" t="str">
        <f>"FARMÁCIA INDIANA LJ 243 (10142)"</f>
        <v>FARMÁCIA INDIANA LJ 243 (10142)</v>
      </c>
      <c r="R2521" t="str">
        <f t="shared" si="1274"/>
        <v>RECEITAS COM ENTREGAS (303)</v>
      </c>
      <c r="S2521">
        <v>1554</v>
      </c>
      <c r="T2521">
        <v>1189</v>
      </c>
      <c r="U2521" t="s">
        <v>19</v>
      </c>
    </row>
    <row r="2522" spans="1:21">
      <c r="A2522" t="str">
        <f t="shared" si="1264"/>
        <v>21/05/2025</v>
      </c>
      <c r="B2522" t="str">
        <f t="shared" si="1275"/>
        <v>ENTRADA</v>
      </c>
      <c r="C2522" t="str">
        <f t="shared" si="1265"/>
        <v>NFSE</v>
      </c>
      <c r="D2522" t="str">
        <f t="shared" si="1266"/>
        <v>2982</v>
      </c>
      <c r="E2522" t="str">
        <f t="shared" si="1267"/>
        <v>COM</v>
      </c>
      <c r="F2522" t="str">
        <f t="shared" si="1268"/>
        <v>FARMÁCIA INDIANA LJ 85 (10128)</v>
      </c>
      <c r="G2522" t="str">
        <f t="shared" si="1269"/>
        <v>Serv.Prest. 05/05/2025 a 11/05/2025 - RPS: 752 - NFSe: 2982</v>
      </c>
      <c r="H2522" t="str">
        <f t="shared" si="1270"/>
        <v>21/05/2025</v>
      </c>
      <c r="I2522" t="str">
        <f t="shared" si="1271"/>
        <v>12/05/2025</v>
      </c>
      <c r="J2522" t="str">
        <f t="shared" si="1272"/>
        <v>21/05/2025</v>
      </c>
      <c r="M2522">
        <v>303</v>
      </c>
      <c r="N2522" t="str">
        <f t="shared" si="1273"/>
        <v>RECEITAS COM ENTREGAS</v>
      </c>
      <c r="P2522">
        <v>86.12</v>
      </c>
      <c r="Q2522" t="str">
        <f>"FARMÁCIA INDIANA LJ 211 (10168)"</f>
        <v>FARMÁCIA INDIANA LJ 211 (10168)</v>
      </c>
      <c r="R2522" t="str">
        <f t="shared" si="1274"/>
        <v>RECEITAS COM ENTREGAS (303)</v>
      </c>
      <c r="S2522">
        <v>1554</v>
      </c>
      <c r="T2522">
        <v>1189</v>
      </c>
      <c r="U2522" t="s">
        <v>19</v>
      </c>
    </row>
    <row r="2523" spans="1:21">
      <c r="A2523" t="str">
        <f t="shared" si="1264"/>
        <v>21/05/2025</v>
      </c>
      <c r="B2523" t="str">
        <f t="shared" si="1275"/>
        <v>ENTRADA</v>
      </c>
      <c r="C2523" t="str">
        <f t="shared" si="1265"/>
        <v>NFSE</v>
      </c>
      <c r="D2523" t="str">
        <f t="shared" si="1266"/>
        <v>2982</v>
      </c>
      <c r="E2523" t="str">
        <f t="shared" si="1267"/>
        <v>COM</v>
      </c>
      <c r="F2523" t="str">
        <f t="shared" si="1268"/>
        <v>FARMÁCIA INDIANA LJ 85 (10128)</v>
      </c>
      <c r="G2523" t="str">
        <f t="shared" si="1269"/>
        <v>Serv.Prest. 05/05/2025 a 11/05/2025 - RPS: 752 - NFSe: 2982</v>
      </c>
      <c r="H2523" t="str">
        <f t="shared" si="1270"/>
        <v>21/05/2025</v>
      </c>
      <c r="I2523" t="str">
        <f t="shared" si="1271"/>
        <v>12/05/2025</v>
      </c>
      <c r="J2523" t="str">
        <f t="shared" si="1272"/>
        <v>21/05/2025</v>
      </c>
      <c r="M2523">
        <v>303</v>
      </c>
      <c r="N2523" t="str">
        <f t="shared" si="1273"/>
        <v>RECEITAS COM ENTREGAS</v>
      </c>
      <c r="P2523">
        <v>86.12</v>
      </c>
      <c r="Q2523" t="str">
        <f>"FARMÁCIA INDIANA LJ 236 (10169)"</f>
        <v>FARMÁCIA INDIANA LJ 236 (10169)</v>
      </c>
      <c r="R2523" t="str">
        <f t="shared" si="1274"/>
        <v>RECEITAS COM ENTREGAS (303)</v>
      </c>
      <c r="S2523">
        <v>1554</v>
      </c>
      <c r="T2523">
        <v>1189</v>
      </c>
      <c r="U2523" t="s">
        <v>19</v>
      </c>
    </row>
    <row r="2524" spans="1:21">
      <c r="A2524" t="str">
        <f t="shared" si="1264"/>
        <v>21/05/2025</v>
      </c>
      <c r="B2524" t="str">
        <f t="shared" si="1275"/>
        <v>ENTRADA</v>
      </c>
      <c r="C2524" t="str">
        <f t="shared" si="1265"/>
        <v>NFSE</v>
      </c>
      <c r="D2524" t="str">
        <f t="shared" si="1266"/>
        <v>2982</v>
      </c>
      <c r="E2524" t="str">
        <f t="shared" si="1267"/>
        <v>COM</v>
      </c>
      <c r="F2524" t="str">
        <f t="shared" si="1268"/>
        <v>FARMÁCIA INDIANA LJ 85 (10128)</v>
      </c>
      <c r="G2524" t="str">
        <f t="shared" si="1269"/>
        <v>Serv.Prest. 05/05/2025 a 11/05/2025 - RPS: 752 - NFSe: 2982</v>
      </c>
      <c r="H2524" t="str">
        <f t="shared" si="1270"/>
        <v>21/05/2025</v>
      </c>
      <c r="I2524" t="str">
        <f t="shared" si="1271"/>
        <v>12/05/2025</v>
      </c>
      <c r="J2524" t="str">
        <f t="shared" si="1272"/>
        <v>21/05/2025</v>
      </c>
      <c r="M2524">
        <v>303</v>
      </c>
      <c r="N2524" t="str">
        <f t="shared" si="1273"/>
        <v>RECEITAS COM ENTREGAS</v>
      </c>
      <c r="P2524">
        <v>172.23</v>
      </c>
      <c r="Q2524" t="str">
        <f>"FARMÁCIA INDIANA LJ 188 (10176)"</f>
        <v>FARMÁCIA INDIANA LJ 188 (10176)</v>
      </c>
      <c r="R2524" t="str">
        <f t="shared" si="1274"/>
        <v>RECEITAS COM ENTREGAS (303)</v>
      </c>
      <c r="S2524">
        <v>1554</v>
      </c>
      <c r="T2524">
        <v>1189</v>
      </c>
      <c r="U2524" t="s">
        <v>19</v>
      </c>
    </row>
    <row r="2525" spans="1:21">
      <c r="A2525" t="str">
        <f t="shared" si="1264"/>
        <v>21/05/2025</v>
      </c>
      <c r="B2525" t="str">
        <f t="shared" si="1275"/>
        <v>ENTRADA</v>
      </c>
      <c r="C2525" t="str">
        <f t="shared" si="1265"/>
        <v>NFSE</v>
      </c>
      <c r="D2525" t="str">
        <f t="shared" ref="D2525:D2570" si="1276">"2983"</f>
        <v>2983</v>
      </c>
      <c r="E2525" t="str">
        <f t="shared" si="1267"/>
        <v>COM</v>
      </c>
      <c r="F2525" t="str">
        <f t="shared" ref="F2525:F2570" si="1277">"FARMÁCIA INDIANA LJ 1 (10126)"</f>
        <v>FARMÁCIA INDIANA LJ 1 (10126)</v>
      </c>
      <c r="G2525" t="str">
        <f t="shared" ref="G2525:G2570" si="1278">"Serv.Prest. 05/05/2025 a 11/05/2025 - RPS: 753 - NFSe: 2983"</f>
        <v>Serv.Prest. 05/05/2025 a 11/05/2025 - RPS: 753 - NFSe: 2983</v>
      </c>
      <c r="H2525" t="str">
        <f t="shared" si="1270"/>
        <v>21/05/2025</v>
      </c>
      <c r="I2525" t="str">
        <f t="shared" si="1271"/>
        <v>12/05/2025</v>
      </c>
      <c r="J2525" t="str">
        <f t="shared" si="1272"/>
        <v>21/05/2025</v>
      </c>
      <c r="K2525">
        <v>13483.99</v>
      </c>
      <c r="L2525">
        <v>13483.99</v>
      </c>
      <c r="M2525">
        <v>303</v>
      </c>
      <c r="N2525" t="str">
        <f t="shared" si="1273"/>
        <v>RECEITAS COM ENTREGAS</v>
      </c>
      <c r="O2525">
        <v>13483.99</v>
      </c>
      <c r="R2525" t="str">
        <f t="shared" si="1274"/>
        <v>RECEITAS COM ENTREGAS (303)</v>
      </c>
      <c r="S2525">
        <v>1555</v>
      </c>
      <c r="T2525">
        <v>1190</v>
      </c>
      <c r="U2525" t="s">
        <v>19</v>
      </c>
    </row>
    <row r="2526" spans="1:21">
      <c r="A2526" t="str">
        <f t="shared" si="1264"/>
        <v>21/05/2025</v>
      </c>
      <c r="B2526" t="str">
        <f t="shared" si="1275"/>
        <v>ENTRADA</v>
      </c>
      <c r="C2526" t="str">
        <f t="shared" si="1265"/>
        <v>NFSE</v>
      </c>
      <c r="D2526" t="str">
        <f t="shared" si="1276"/>
        <v>2983</v>
      </c>
      <c r="E2526" t="str">
        <f t="shared" si="1267"/>
        <v>COM</v>
      </c>
      <c r="F2526" t="str">
        <f t="shared" si="1277"/>
        <v>FARMÁCIA INDIANA LJ 1 (10126)</v>
      </c>
      <c r="G2526" t="str">
        <f t="shared" si="1278"/>
        <v>Serv.Prest. 05/05/2025 a 11/05/2025 - RPS: 753 - NFSe: 2983</v>
      </c>
      <c r="H2526" t="str">
        <f t="shared" si="1270"/>
        <v>21/05/2025</v>
      </c>
      <c r="I2526" t="str">
        <f t="shared" si="1271"/>
        <v>12/05/2025</v>
      </c>
      <c r="J2526" t="str">
        <f t="shared" si="1272"/>
        <v>21/05/2025</v>
      </c>
      <c r="M2526">
        <v>303</v>
      </c>
      <c r="N2526" t="str">
        <f t="shared" si="1273"/>
        <v>RECEITAS COM ENTREGAS</v>
      </c>
      <c r="P2526">
        <v>1713.84</v>
      </c>
      <c r="Q2526" t="str">
        <f>"FARMÁCIA INDIANA LJ 06 (10006)"</f>
        <v>FARMÁCIA INDIANA LJ 06 (10006)</v>
      </c>
      <c r="R2526" t="str">
        <f t="shared" si="1274"/>
        <v>RECEITAS COM ENTREGAS (303)</v>
      </c>
      <c r="S2526">
        <v>1555</v>
      </c>
      <c r="T2526">
        <v>1190</v>
      </c>
      <c r="U2526" t="s">
        <v>19</v>
      </c>
    </row>
    <row r="2527" spans="1:21">
      <c r="A2527" t="str">
        <f t="shared" si="1264"/>
        <v>21/05/2025</v>
      </c>
      <c r="B2527" t="str">
        <f t="shared" si="1275"/>
        <v>ENTRADA</v>
      </c>
      <c r="C2527" t="str">
        <f t="shared" si="1265"/>
        <v>NFSE</v>
      </c>
      <c r="D2527" t="str">
        <f t="shared" si="1276"/>
        <v>2983</v>
      </c>
      <c r="E2527" t="str">
        <f t="shared" si="1267"/>
        <v>COM</v>
      </c>
      <c r="F2527" t="str">
        <f t="shared" si="1277"/>
        <v>FARMÁCIA INDIANA LJ 1 (10126)</v>
      </c>
      <c r="G2527" t="str">
        <f t="shared" si="1278"/>
        <v>Serv.Prest. 05/05/2025 a 11/05/2025 - RPS: 753 - NFSe: 2983</v>
      </c>
      <c r="H2527" t="str">
        <f t="shared" si="1270"/>
        <v>21/05/2025</v>
      </c>
      <c r="I2527" t="str">
        <f t="shared" si="1271"/>
        <v>12/05/2025</v>
      </c>
      <c r="J2527" t="str">
        <f t="shared" si="1272"/>
        <v>21/05/2025</v>
      </c>
      <c r="M2527">
        <v>303</v>
      </c>
      <c r="N2527" t="str">
        <f t="shared" si="1273"/>
        <v>RECEITAS COM ENTREGAS</v>
      </c>
      <c r="P2527">
        <v>1425.26</v>
      </c>
      <c r="Q2527" t="str">
        <f>"FARMÁCIA INDIANA LJ 07 (10007)"</f>
        <v>FARMÁCIA INDIANA LJ 07 (10007)</v>
      </c>
      <c r="R2527" t="str">
        <f t="shared" si="1274"/>
        <v>RECEITAS COM ENTREGAS (303)</v>
      </c>
      <c r="S2527">
        <v>1555</v>
      </c>
      <c r="T2527">
        <v>1190</v>
      </c>
      <c r="U2527" t="s">
        <v>19</v>
      </c>
    </row>
    <row r="2528" spans="1:21">
      <c r="A2528" t="str">
        <f t="shared" si="1264"/>
        <v>21/05/2025</v>
      </c>
      <c r="B2528" t="str">
        <f t="shared" si="1275"/>
        <v>ENTRADA</v>
      </c>
      <c r="C2528" t="str">
        <f t="shared" si="1265"/>
        <v>NFSE</v>
      </c>
      <c r="D2528" t="str">
        <f t="shared" si="1276"/>
        <v>2983</v>
      </c>
      <c r="E2528" t="str">
        <f t="shared" si="1267"/>
        <v>COM</v>
      </c>
      <c r="F2528" t="str">
        <f t="shared" si="1277"/>
        <v>FARMÁCIA INDIANA LJ 1 (10126)</v>
      </c>
      <c r="G2528" t="str">
        <f t="shared" si="1278"/>
        <v>Serv.Prest. 05/05/2025 a 11/05/2025 - RPS: 753 - NFSe: 2983</v>
      </c>
      <c r="H2528" t="str">
        <f t="shared" si="1270"/>
        <v>21/05/2025</v>
      </c>
      <c r="I2528" t="str">
        <f t="shared" si="1271"/>
        <v>12/05/2025</v>
      </c>
      <c r="J2528" t="str">
        <f t="shared" si="1272"/>
        <v>21/05/2025</v>
      </c>
      <c r="M2528">
        <v>303</v>
      </c>
      <c r="N2528" t="str">
        <f t="shared" si="1273"/>
        <v>RECEITAS COM ENTREGAS</v>
      </c>
      <c r="P2528">
        <v>966.8</v>
      </c>
      <c r="Q2528" t="str">
        <f>"FARMÁCIA INDIANA LJ 11 (10008)"</f>
        <v>FARMÁCIA INDIANA LJ 11 (10008)</v>
      </c>
      <c r="R2528" t="str">
        <f t="shared" si="1274"/>
        <v>RECEITAS COM ENTREGAS (303)</v>
      </c>
      <c r="S2528">
        <v>1555</v>
      </c>
      <c r="T2528">
        <v>1190</v>
      </c>
      <c r="U2528" t="s">
        <v>19</v>
      </c>
    </row>
    <row r="2529" spans="1:21">
      <c r="A2529" t="str">
        <f t="shared" si="1264"/>
        <v>21/05/2025</v>
      </c>
      <c r="B2529" t="str">
        <f t="shared" si="1275"/>
        <v>ENTRADA</v>
      </c>
      <c r="C2529" t="str">
        <f t="shared" si="1265"/>
        <v>NFSE</v>
      </c>
      <c r="D2529" t="str">
        <f t="shared" si="1276"/>
        <v>2983</v>
      </c>
      <c r="E2529" t="str">
        <f t="shared" si="1267"/>
        <v>COM</v>
      </c>
      <c r="F2529" t="str">
        <f t="shared" si="1277"/>
        <v>FARMÁCIA INDIANA LJ 1 (10126)</v>
      </c>
      <c r="G2529" t="str">
        <f t="shared" si="1278"/>
        <v>Serv.Prest. 05/05/2025 a 11/05/2025 - RPS: 753 - NFSe: 2983</v>
      </c>
      <c r="H2529" t="str">
        <f t="shared" si="1270"/>
        <v>21/05/2025</v>
      </c>
      <c r="I2529" t="str">
        <f t="shared" si="1271"/>
        <v>12/05/2025</v>
      </c>
      <c r="J2529" t="str">
        <f t="shared" si="1272"/>
        <v>21/05/2025</v>
      </c>
      <c r="M2529">
        <v>303</v>
      </c>
      <c r="N2529" t="str">
        <f t="shared" si="1273"/>
        <v>RECEITAS COM ENTREGAS</v>
      </c>
      <c r="P2529">
        <v>404.52</v>
      </c>
      <c r="Q2529" t="str">
        <f>"FARMÁCIA INDIANA LJ 14 (10009)"</f>
        <v>FARMÁCIA INDIANA LJ 14 (10009)</v>
      </c>
      <c r="R2529" t="str">
        <f t="shared" si="1274"/>
        <v>RECEITAS COM ENTREGAS (303)</v>
      </c>
      <c r="S2529">
        <v>1555</v>
      </c>
      <c r="T2529">
        <v>1190</v>
      </c>
      <c r="U2529" t="s">
        <v>19</v>
      </c>
    </row>
    <row r="2530" spans="1:21">
      <c r="A2530" t="str">
        <f t="shared" si="1264"/>
        <v>21/05/2025</v>
      </c>
      <c r="B2530" t="str">
        <f t="shared" si="1275"/>
        <v>ENTRADA</v>
      </c>
      <c r="C2530" t="str">
        <f t="shared" si="1265"/>
        <v>NFSE</v>
      </c>
      <c r="D2530" t="str">
        <f t="shared" si="1276"/>
        <v>2983</v>
      </c>
      <c r="E2530" t="str">
        <f t="shared" si="1267"/>
        <v>COM</v>
      </c>
      <c r="F2530" t="str">
        <f t="shared" si="1277"/>
        <v>FARMÁCIA INDIANA LJ 1 (10126)</v>
      </c>
      <c r="G2530" t="str">
        <f t="shared" si="1278"/>
        <v>Serv.Prest. 05/05/2025 a 11/05/2025 - RPS: 753 - NFSe: 2983</v>
      </c>
      <c r="H2530" t="str">
        <f t="shared" si="1270"/>
        <v>21/05/2025</v>
      </c>
      <c r="I2530" t="str">
        <f t="shared" si="1271"/>
        <v>12/05/2025</v>
      </c>
      <c r="J2530" t="str">
        <f t="shared" si="1272"/>
        <v>21/05/2025</v>
      </c>
      <c r="M2530">
        <v>303</v>
      </c>
      <c r="N2530" t="str">
        <f t="shared" si="1273"/>
        <v>RECEITAS COM ENTREGAS</v>
      </c>
      <c r="P2530">
        <v>404.52</v>
      </c>
      <c r="Q2530" t="str">
        <f>"FARMÁCIA INDIANA LJ 18 (10011)"</f>
        <v>FARMÁCIA INDIANA LJ 18 (10011)</v>
      </c>
      <c r="R2530" t="str">
        <f t="shared" si="1274"/>
        <v>RECEITAS COM ENTREGAS (303)</v>
      </c>
      <c r="S2530">
        <v>1555</v>
      </c>
      <c r="T2530">
        <v>1190</v>
      </c>
      <c r="U2530" t="s">
        <v>19</v>
      </c>
    </row>
    <row r="2531" spans="1:21">
      <c r="A2531" t="str">
        <f t="shared" si="1264"/>
        <v>21/05/2025</v>
      </c>
      <c r="B2531" t="str">
        <f t="shared" si="1275"/>
        <v>ENTRADA</v>
      </c>
      <c r="C2531" t="str">
        <f t="shared" si="1265"/>
        <v>NFSE</v>
      </c>
      <c r="D2531" t="str">
        <f t="shared" si="1276"/>
        <v>2983</v>
      </c>
      <c r="E2531" t="str">
        <f t="shared" si="1267"/>
        <v>COM</v>
      </c>
      <c r="F2531" t="str">
        <f t="shared" si="1277"/>
        <v>FARMÁCIA INDIANA LJ 1 (10126)</v>
      </c>
      <c r="G2531" t="str">
        <f t="shared" si="1278"/>
        <v>Serv.Prest. 05/05/2025 a 11/05/2025 - RPS: 753 - NFSe: 2983</v>
      </c>
      <c r="H2531" t="str">
        <f t="shared" si="1270"/>
        <v>21/05/2025</v>
      </c>
      <c r="I2531" t="str">
        <f t="shared" si="1271"/>
        <v>12/05/2025</v>
      </c>
      <c r="J2531" t="str">
        <f t="shared" si="1272"/>
        <v>21/05/2025</v>
      </c>
      <c r="M2531">
        <v>303</v>
      </c>
      <c r="N2531" t="str">
        <f t="shared" si="1273"/>
        <v>RECEITAS COM ENTREGAS</v>
      </c>
      <c r="P2531">
        <v>376.2</v>
      </c>
      <c r="Q2531" t="str">
        <f>"FARMÁCIA INDIANA LJ 19 (10012)"</f>
        <v>FARMÁCIA INDIANA LJ 19 (10012)</v>
      </c>
      <c r="R2531" t="str">
        <f t="shared" si="1274"/>
        <v>RECEITAS COM ENTREGAS (303)</v>
      </c>
      <c r="S2531">
        <v>1555</v>
      </c>
      <c r="T2531">
        <v>1190</v>
      </c>
      <c r="U2531" t="s">
        <v>19</v>
      </c>
    </row>
    <row r="2532" spans="1:21">
      <c r="A2532" t="str">
        <f t="shared" si="1264"/>
        <v>21/05/2025</v>
      </c>
      <c r="B2532" t="str">
        <f t="shared" si="1275"/>
        <v>ENTRADA</v>
      </c>
      <c r="C2532" t="str">
        <f t="shared" si="1265"/>
        <v>NFSE</v>
      </c>
      <c r="D2532" t="str">
        <f t="shared" si="1276"/>
        <v>2983</v>
      </c>
      <c r="E2532" t="str">
        <f t="shared" si="1267"/>
        <v>COM</v>
      </c>
      <c r="F2532" t="str">
        <f t="shared" si="1277"/>
        <v>FARMÁCIA INDIANA LJ 1 (10126)</v>
      </c>
      <c r="G2532" t="str">
        <f t="shared" si="1278"/>
        <v>Serv.Prest. 05/05/2025 a 11/05/2025 - RPS: 753 - NFSe: 2983</v>
      </c>
      <c r="H2532" t="str">
        <f t="shared" si="1270"/>
        <v>21/05/2025</v>
      </c>
      <c r="I2532" t="str">
        <f t="shared" si="1271"/>
        <v>12/05/2025</v>
      </c>
      <c r="J2532" t="str">
        <f t="shared" si="1272"/>
        <v>21/05/2025</v>
      </c>
      <c r="M2532">
        <v>303</v>
      </c>
      <c r="N2532" t="str">
        <f t="shared" si="1273"/>
        <v>RECEITAS COM ENTREGAS</v>
      </c>
      <c r="P2532">
        <v>679.59</v>
      </c>
      <c r="Q2532" t="str">
        <f>"FARMÁCIA INDIANA LJ 40 (10016)"</f>
        <v>FARMÁCIA INDIANA LJ 40 (10016)</v>
      </c>
      <c r="R2532" t="str">
        <f t="shared" si="1274"/>
        <v>RECEITAS COM ENTREGAS (303)</v>
      </c>
      <c r="S2532">
        <v>1555</v>
      </c>
      <c r="T2532">
        <v>1190</v>
      </c>
      <c r="U2532" t="s">
        <v>19</v>
      </c>
    </row>
    <row r="2533" spans="1:21">
      <c r="A2533" t="str">
        <f t="shared" si="1264"/>
        <v>21/05/2025</v>
      </c>
      <c r="B2533" t="str">
        <f t="shared" si="1275"/>
        <v>ENTRADA</v>
      </c>
      <c r="C2533" t="str">
        <f t="shared" si="1265"/>
        <v>NFSE</v>
      </c>
      <c r="D2533" t="str">
        <f t="shared" si="1276"/>
        <v>2983</v>
      </c>
      <c r="E2533" t="str">
        <f t="shared" si="1267"/>
        <v>COM</v>
      </c>
      <c r="F2533" t="str">
        <f t="shared" si="1277"/>
        <v>FARMÁCIA INDIANA LJ 1 (10126)</v>
      </c>
      <c r="G2533" t="str">
        <f t="shared" si="1278"/>
        <v>Serv.Prest. 05/05/2025 a 11/05/2025 - RPS: 753 - NFSe: 2983</v>
      </c>
      <c r="H2533" t="str">
        <f t="shared" si="1270"/>
        <v>21/05/2025</v>
      </c>
      <c r="I2533" t="str">
        <f t="shared" si="1271"/>
        <v>12/05/2025</v>
      </c>
      <c r="J2533" t="str">
        <f t="shared" si="1272"/>
        <v>21/05/2025</v>
      </c>
      <c r="M2533">
        <v>303</v>
      </c>
      <c r="N2533" t="str">
        <f t="shared" si="1273"/>
        <v>RECEITAS COM ENTREGAS</v>
      </c>
      <c r="P2533">
        <v>357.33</v>
      </c>
      <c r="Q2533" t="str">
        <f>"FARMÁCIA INDIANA LJ 59 (10026)"</f>
        <v>FARMÁCIA INDIANA LJ 59 (10026)</v>
      </c>
      <c r="R2533" t="str">
        <f t="shared" si="1274"/>
        <v>RECEITAS COM ENTREGAS (303)</v>
      </c>
      <c r="S2533">
        <v>1555</v>
      </c>
      <c r="T2533">
        <v>1190</v>
      </c>
      <c r="U2533" t="s">
        <v>19</v>
      </c>
    </row>
    <row r="2534" spans="1:21">
      <c r="A2534" t="str">
        <f t="shared" si="1264"/>
        <v>21/05/2025</v>
      </c>
      <c r="B2534" t="str">
        <f t="shared" si="1275"/>
        <v>ENTRADA</v>
      </c>
      <c r="C2534" t="str">
        <f t="shared" si="1265"/>
        <v>NFSE</v>
      </c>
      <c r="D2534" t="str">
        <f t="shared" si="1276"/>
        <v>2983</v>
      </c>
      <c r="E2534" t="str">
        <f t="shared" si="1267"/>
        <v>COM</v>
      </c>
      <c r="F2534" t="str">
        <f t="shared" si="1277"/>
        <v>FARMÁCIA INDIANA LJ 1 (10126)</v>
      </c>
      <c r="G2534" t="str">
        <f t="shared" si="1278"/>
        <v>Serv.Prest. 05/05/2025 a 11/05/2025 - RPS: 753 - NFSe: 2983</v>
      </c>
      <c r="H2534" t="str">
        <f t="shared" si="1270"/>
        <v>21/05/2025</v>
      </c>
      <c r="I2534" t="str">
        <f t="shared" si="1271"/>
        <v>12/05/2025</v>
      </c>
      <c r="J2534" t="str">
        <f t="shared" si="1272"/>
        <v>21/05/2025</v>
      </c>
      <c r="M2534">
        <v>303</v>
      </c>
      <c r="N2534" t="str">
        <f t="shared" si="1273"/>
        <v>RECEITAS COM ENTREGAS</v>
      </c>
      <c r="P2534">
        <v>527.22</v>
      </c>
      <c r="Q2534" t="str">
        <f>"FARMÁCIA INDIANA LJ 61 (10027)"</f>
        <v>FARMÁCIA INDIANA LJ 61 (10027)</v>
      </c>
      <c r="R2534" t="str">
        <f t="shared" si="1274"/>
        <v>RECEITAS COM ENTREGAS (303)</v>
      </c>
      <c r="S2534">
        <v>1555</v>
      </c>
      <c r="T2534">
        <v>1190</v>
      </c>
      <c r="U2534" t="s">
        <v>19</v>
      </c>
    </row>
    <row r="2535" spans="1:21">
      <c r="A2535" t="str">
        <f t="shared" si="1264"/>
        <v>21/05/2025</v>
      </c>
      <c r="B2535" t="str">
        <f t="shared" si="1275"/>
        <v>ENTRADA</v>
      </c>
      <c r="C2535" t="str">
        <f t="shared" si="1265"/>
        <v>NFSE</v>
      </c>
      <c r="D2535" t="str">
        <f t="shared" si="1276"/>
        <v>2983</v>
      </c>
      <c r="E2535" t="str">
        <f t="shared" si="1267"/>
        <v>COM</v>
      </c>
      <c r="F2535" t="str">
        <f t="shared" si="1277"/>
        <v>FARMÁCIA INDIANA LJ 1 (10126)</v>
      </c>
      <c r="G2535" t="str">
        <f t="shared" si="1278"/>
        <v>Serv.Prest. 05/05/2025 a 11/05/2025 - RPS: 753 - NFSe: 2983</v>
      </c>
      <c r="H2535" t="str">
        <f t="shared" si="1270"/>
        <v>21/05/2025</v>
      </c>
      <c r="I2535" t="str">
        <f t="shared" si="1271"/>
        <v>12/05/2025</v>
      </c>
      <c r="J2535" t="str">
        <f t="shared" si="1272"/>
        <v>21/05/2025</v>
      </c>
      <c r="M2535">
        <v>303</v>
      </c>
      <c r="N2535" t="str">
        <f t="shared" si="1273"/>
        <v>RECEITAS COM ENTREGAS</v>
      </c>
      <c r="P2535">
        <v>343.84</v>
      </c>
      <c r="Q2535" t="str">
        <f>"FARMÁCIA INDIANA LJ 62 (10028)"</f>
        <v>FARMÁCIA INDIANA LJ 62 (10028)</v>
      </c>
      <c r="R2535" t="str">
        <f t="shared" si="1274"/>
        <v>RECEITAS COM ENTREGAS (303)</v>
      </c>
      <c r="S2535">
        <v>1555</v>
      </c>
      <c r="T2535">
        <v>1190</v>
      </c>
      <c r="U2535" t="s">
        <v>19</v>
      </c>
    </row>
    <row r="2536" spans="1:21">
      <c r="A2536" t="str">
        <f t="shared" si="1264"/>
        <v>21/05/2025</v>
      </c>
      <c r="B2536" t="str">
        <f t="shared" si="1275"/>
        <v>ENTRADA</v>
      </c>
      <c r="C2536" t="str">
        <f t="shared" si="1265"/>
        <v>NFSE</v>
      </c>
      <c r="D2536" t="str">
        <f t="shared" si="1276"/>
        <v>2983</v>
      </c>
      <c r="E2536" t="str">
        <f t="shared" si="1267"/>
        <v>COM</v>
      </c>
      <c r="F2536" t="str">
        <f t="shared" si="1277"/>
        <v>FARMÁCIA INDIANA LJ 1 (10126)</v>
      </c>
      <c r="G2536" t="str">
        <f t="shared" si="1278"/>
        <v>Serv.Prest. 05/05/2025 a 11/05/2025 - RPS: 753 - NFSe: 2983</v>
      </c>
      <c r="H2536" t="str">
        <f t="shared" si="1270"/>
        <v>21/05/2025</v>
      </c>
      <c r="I2536" t="str">
        <f t="shared" si="1271"/>
        <v>12/05/2025</v>
      </c>
      <c r="J2536" t="str">
        <f t="shared" si="1272"/>
        <v>21/05/2025</v>
      </c>
      <c r="M2536">
        <v>303</v>
      </c>
      <c r="N2536" t="str">
        <f t="shared" si="1273"/>
        <v>RECEITAS COM ENTREGAS</v>
      </c>
      <c r="P2536">
        <v>114.61</v>
      </c>
      <c r="Q2536" t="str">
        <f>"FARMÁCIA INDIANA LJ 64 (10029)"</f>
        <v>FARMÁCIA INDIANA LJ 64 (10029)</v>
      </c>
      <c r="R2536" t="str">
        <f t="shared" si="1274"/>
        <v>RECEITAS COM ENTREGAS (303)</v>
      </c>
      <c r="S2536">
        <v>1555</v>
      </c>
      <c r="T2536">
        <v>1190</v>
      </c>
      <c r="U2536" t="s">
        <v>19</v>
      </c>
    </row>
    <row r="2537" spans="1:21">
      <c r="A2537" t="str">
        <f t="shared" si="1264"/>
        <v>21/05/2025</v>
      </c>
      <c r="B2537" t="str">
        <f t="shared" si="1275"/>
        <v>ENTRADA</v>
      </c>
      <c r="C2537" t="str">
        <f t="shared" si="1265"/>
        <v>NFSE</v>
      </c>
      <c r="D2537" t="str">
        <f t="shared" si="1276"/>
        <v>2983</v>
      </c>
      <c r="E2537" t="str">
        <f t="shared" si="1267"/>
        <v>COM</v>
      </c>
      <c r="F2537" t="str">
        <f t="shared" si="1277"/>
        <v>FARMÁCIA INDIANA LJ 1 (10126)</v>
      </c>
      <c r="G2537" t="str">
        <f t="shared" si="1278"/>
        <v>Serv.Prest. 05/05/2025 a 11/05/2025 - RPS: 753 - NFSe: 2983</v>
      </c>
      <c r="H2537" t="str">
        <f t="shared" si="1270"/>
        <v>21/05/2025</v>
      </c>
      <c r="I2537" t="str">
        <f t="shared" si="1271"/>
        <v>12/05/2025</v>
      </c>
      <c r="J2537" t="str">
        <f t="shared" si="1272"/>
        <v>21/05/2025</v>
      </c>
      <c r="M2537">
        <v>303</v>
      </c>
      <c r="N2537" t="str">
        <f t="shared" si="1273"/>
        <v>RECEITAS COM ENTREGAS</v>
      </c>
      <c r="P2537">
        <v>66.069999999999993</v>
      </c>
      <c r="Q2537" t="str">
        <f>"FARMÁCIA INDIANA LJ 97 (10040)"</f>
        <v>FARMÁCIA INDIANA LJ 97 (10040)</v>
      </c>
      <c r="R2537" t="str">
        <f t="shared" si="1274"/>
        <v>RECEITAS COM ENTREGAS (303)</v>
      </c>
      <c r="S2537">
        <v>1555</v>
      </c>
      <c r="T2537">
        <v>1190</v>
      </c>
      <c r="U2537" t="s">
        <v>19</v>
      </c>
    </row>
    <row r="2538" spans="1:21">
      <c r="A2538" t="str">
        <f t="shared" si="1264"/>
        <v>21/05/2025</v>
      </c>
      <c r="B2538" t="str">
        <f t="shared" si="1275"/>
        <v>ENTRADA</v>
      </c>
      <c r="C2538" t="str">
        <f t="shared" si="1265"/>
        <v>NFSE</v>
      </c>
      <c r="D2538" t="str">
        <f t="shared" si="1276"/>
        <v>2983</v>
      </c>
      <c r="E2538" t="str">
        <f t="shared" si="1267"/>
        <v>COM</v>
      </c>
      <c r="F2538" t="str">
        <f t="shared" si="1277"/>
        <v>FARMÁCIA INDIANA LJ 1 (10126)</v>
      </c>
      <c r="G2538" t="str">
        <f t="shared" si="1278"/>
        <v>Serv.Prest. 05/05/2025 a 11/05/2025 - RPS: 753 - NFSe: 2983</v>
      </c>
      <c r="H2538" t="str">
        <f t="shared" si="1270"/>
        <v>21/05/2025</v>
      </c>
      <c r="I2538" t="str">
        <f t="shared" si="1271"/>
        <v>12/05/2025</v>
      </c>
      <c r="J2538" t="str">
        <f t="shared" si="1272"/>
        <v>21/05/2025</v>
      </c>
      <c r="M2538">
        <v>303</v>
      </c>
      <c r="N2538" t="str">
        <f t="shared" si="1273"/>
        <v>RECEITAS COM ENTREGAS</v>
      </c>
      <c r="P2538">
        <v>320.92</v>
      </c>
      <c r="Q2538" t="str">
        <f>"FARMÁCIA INDIANA LJ 100 (10042)"</f>
        <v>FARMÁCIA INDIANA LJ 100 (10042)</v>
      </c>
      <c r="R2538" t="str">
        <f t="shared" si="1274"/>
        <v>RECEITAS COM ENTREGAS (303)</v>
      </c>
      <c r="S2538">
        <v>1555</v>
      </c>
      <c r="T2538">
        <v>1190</v>
      </c>
      <c r="U2538" t="s">
        <v>19</v>
      </c>
    </row>
    <row r="2539" spans="1:21">
      <c r="A2539" t="str">
        <f t="shared" si="1264"/>
        <v>21/05/2025</v>
      </c>
      <c r="B2539" t="str">
        <f t="shared" si="1275"/>
        <v>ENTRADA</v>
      </c>
      <c r="C2539" t="str">
        <f t="shared" si="1265"/>
        <v>NFSE</v>
      </c>
      <c r="D2539" t="str">
        <f t="shared" si="1276"/>
        <v>2983</v>
      </c>
      <c r="E2539" t="str">
        <f t="shared" si="1267"/>
        <v>COM</v>
      </c>
      <c r="F2539" t="str">
        <f t="shared" si="1277"/>
        <v>FARMÁCIA INDIANA LJ 1 (10126)</v>
      </c>
      <c r="G2539" t="str">
        <f t="shared" si="1278"/>
        <v>Serv.Prest. 05/05/2025 a 11/05/2025 - RPS: 753 - NFSe: 2983</v>
      </c>
      <c r="H2539" t="str">
        <f t="shared" si="1270"/>
        <v>21/05/2025</v>
      </c>
      <c r="I2539" t="str">
        <f t="shared" si="1271"/>
        <v>12/05/2025</v>
      </c>
      <c r="J2539" t="str">
        <f t="shared" si="1272"/>
        <v>21/05/2025</v>
      </c>
      <c r="M2539">
        <v>303</v>
      </c>
      <c r="N2539" t="str">
        <f t="shared" si="1273"/>
        <v>RECEITAS COM ENTREGAS</v>
      </c>
      <c r="P2539">
        <v>683.64</v>
      </c>
      <c r="Q2539" t="str">
        <f>"FARMÁCIA INDIANA LJ 101 (10043)"</f>
        <v>FARMÁCIA INDIANA LJ 101 (10043)</v>
      </c>
      <c r="R2539" t="str">
        <f t="shared" si="1274"/>
        <v>RECEITAS COM ENTREGAS (303)</v>
      </c>
      <c r="S2539">
        <v>1555</v>
      </c>
      <c r="T2539">
        <v>1190</v>
      </c>
      <c r="U2539" t="s">
        <v>19</v>
      </c>
    </row>
    <row r="2540" spans="1:21">
      <c r="A2540" t="str">
        <f t="shared" si="1264"/>
        <v>21/05/2025</v>
      </c>
      <c r="B2540" t="str">
        <f t="shared" si="1275"/>
        <v>ENTRADA</v>
      </c>
      <c r="C2540" t="str">
        <f t="shared" si="1265"/>
        <v>NFSE</v>
      </c>
      <c r="D2540" t="str">
        <f t="shared" si="1276"/>
        <v>2983</v>
      </c>
      <c r="E2540" t="str">
        <f t="shared" si="1267"/>
        <v>COM</v>
      </c>
      <c r="F2540" t="str">
        <f t="shared" si="1277"/>
        <v>FARMÁCIA INDIANA LJ 1 (10126)</v>
      </c>
      <c r="G2540" t="str">
        <f t="shared" si="1278"/>
        <v>Serv.Prest. 05/05/2025 a 11/05/2025 - RPS: 753 - NFSe: 2983</v>
      </c>
      <c r="H2540" t="str">
        <f t="shared" si="1270"/>
        <v>21/05/2025</v>
      </c>
      <c r="I2540" t="str">
        <f t="shared" si="1271"/>
        <v>12/05/2025</v>
      </c>
      <c r="J2540" t="str">
        <f t="shared" si="1272"/>
        <v>21/05/2025</v>
      </c>
      <c r="M2540">
        <v>303</v>
      </c>
      <c r="N2540" t="str">
        <f t="shared" si="1273"/>
        <v>RECEITAS COM ENTREGAS</v>
      </c>
      <c r="P2540">
        <v>71.47</v>
      </c>
      <c r="Q2540" t="str">
        <f>"FARMÁCIA INDIANA LJ 103 (10044)"</f>
        <v>FARMÁCIA INDIANA LJ 103 (10044)</v>
      </c>
      <c r="R2540" t="str">
        <f t="shared" si="1274"/>
        <v>RECEITAS COM ENTREGAS (303)</v>
      </c>
      <c r="S2540">
        <v>1555</v>
      </c>
      <c r="T2540">
        <v>1190</v>
      </c>
      <c r="U2540" t="s">
        <v>19</v>
      </c>
    </row>
    <row r="2541" spans="1:21">
      <c r="A2541" t="str">
        <f t="shared" si="1264"/>
        <v>21/05/2025</v>
      </c>
      <c r="B2541" t="str">
        <f t="shared" si="1275"/>
        <v>ENTRADA</v>
      </c>
      <c r="C2541" t="str">
        <f t="shared" si="1265"/>
        <v>NFSE</v>
      </c>
      <c r="D2541" t="str">
        <f t="shared" si="1276"/>
        <v>2983</v>
      </c>
      <c r="E2541" t="str">
        <f t="shared" si="1267"/>
        <v>COM</v>
      </c>
      <c r="F2541" t="str">
        <f t="shared" si="1277"/>
        <v>FARMÁCIA INDIANA LJ 1 (10126)</v>
      </c>
      <c r="G2541" t="str">
        <f t="shared" si="1278"/>
        <v>Serv.Prest. 05/05/2025 a 11/05/2025 - RPS: 753 - NFSe: 2983</v>
      </c>
      <c r="H2541" t="str">
        <f t="shared" si="1270"/>
        <v>21/05/2025</v>
      </c>
      <c r="I2541" t="str">
        <f t="shared" si="1271"/>
        <v>12/05/2025</v>
      </c>
      <c r="J2541" t="str">
        <f t="shared" si="1272"/>
        <v>21/05/2025</v>
      </c>
      <c r="M2541">
        <v>303</v>
      </c>
      <c r="N2541" t="str">
        <f t="shared" si="1273"/>
        <v>RECEITAS COM ENTREGAS</v>
      </c>
      <c r="P2541">
        <v>187.43</v>
      </c>
      <c r="Q2541" t="str">
        <f>"FARMÁCIA INDIANA LJ 109 (10047)"</f>
        <v>FARMÁCIA INDIANA LJ 109 (10047)</v>
      </c>
      <c r="R2541" t="str">
        <f t="shared" si="1274"/>
        <v>RECEITAS COM ENTREGAS (303)</v>
      </c>
      <c r="S2541">
        <v>1555</v>
      </c>
      <c r="T2541">
        <v>1190</v>
      </c>
      <c r="U2541" t="s">
        <v>19</v>
      </c>
    </row>
    <row r="2542" spans="1:21">
      <c r="A2542" t="str">
        <f t="shared" si="1264"/>
        <v>21/05/2025</v>
      </c>
      <c r="B2542" t="str">
        <f t="shared" si="1275"/>
        <v>ENTRADA</v>
      </c>
      <c r="C2542" t="str">
        <f t="shared" si="1265"/>
        <v>NFSE</v>
      </c>
      <c r="D2542" t="str">
        <f t="shared" si="1276"/>
        <v>2983</v>
      </c>
      <c r="E2542" t="str">
        <f t="shared" si="1267"/>
        <v>COM</v>
      </c>
      <c r="F2542" t="str">
        <f t="shared" si="1277"/>
        <v>FARMÁCIA INDIANA LJ 1 (10126)</v>
      </c>
      <c r="G2542" t="str">
        <f t="shared" si="1278"/>
        <v>Serv.Prest. 05/05/2025 a 11/05/2025 - RPS: 753 - NFSe: 2983</v>
      </c>
      <c r="H2542" t="str">
        <f t="shared" si="1270"/>
        <v>21/05/2025</v>
      </c>
      <c r="I2542" t="str">
        <f t="shared" si="1271"/>
        <v>12/05/2025</v>
      </c>
      <c r="J2542" t="str">
        <f t="shared" si="1272"/>
        <v>21/05/2025</v>
      </c>
      <c r="M2542">
        <v>303</v>
      </c>
      <c r="N2542" t="str">
        <f t="shared" si="1273"/>
        <v>RECEITAS COM ENTREGAS</v>
      </c>
      <c r="P2542">
        <v>382.95</v>
      </c>
      <c r="Q2542" t="str">
        <f>"FARMÁCIA INDIANA LJ 110 (10048)"</f>
        <v>FARMÁCIA INDIANA LJ 110 (10048)</v>
      </c>
      <c r="R2542" t="str">
        <f t="shared" si="1274"/>
        <v>RECEITAS COM ENTREGAS (303)</v>
      </c>
      <c r="S2542">
        <v>1555</v>
      </c>
      <c r="T2542">
        <v>1190</v>
      </c>
      <c r="U2542" t="s">
        <v>19</v>
      </c>
    </row>
    <row r="2543" spans="1:21">
      <c r="A2543" t="str">
        <f t="shared" si="1264"/>
        <v>21/05/2025</v>
      </c>
      <c r="B2543" t="str">
        <f t="shared" si="1275"/>
        <v>ENTRADA</v>
      </c>
      <c r="C2543" t="str">
        <f t="shared" si="1265"/>
        <v>NFSE</v>
      </c>
      <c r="D2543" t="str">
        <f t="shared" si="1276"/>
        <v>2983</v>
      </c>
      <c r="E2543" t="str">
        <f t="shared" si="1267"/>
        <v>COM</v>
      </c>
      <c r="F2543" t="str">
        <f t="shared" si="1277"/>
        <v>FARMÁCIA INDIANA LJ 1 (10126)</v>
      </c>
      <c r="G2543" t="str">
        <f t="shared" si="1278"/>
        <v>Serv.Prest. 05/05/2025 a 11/05/2025 - RPS: 753 - NFSe: 2983</v>
      </c>
      <c r="H2543" t="str">
        <f t="shared" si="1270"/>
        <v>21/05/2025</v>
      </c>
      <c r="I2543" t="str">
        <f t="shared" si="1271"/>
        <v>12/05/2025</v>
      </c>
      <c r="J2543" t="str">
        <f t="shared" si="1272"/>
        <v>21/05/2025</v>
      </c>
      <c r="M2543">
        <v>303</v>
      </c>
      <c r="N2543" t="str">
        <f t="shared" si="1273"/>
        <v>RECEITAS COM ENTREGAS</v>
      </c>
      <c r="P2543">
        <v>64.72</v>
      </c>
      <c r="Q2543" t="str">
        <f>"FARMÁCIA INDIANA LJ 111 (10049)"</f>
        <v>FARMÁCIA INDIANA LJ 111 (10049)</v>
      </c>
      <c r="R2543" t="str">
        <f t="shared" si="1274"/>
        <v>RECEITAS COM ENTREGAS (303)</v>
      </c>
      <c r="S2543">
        <v>1555</v>
      </c>
      <c r="T2543">
        <v>1190</v>
      </c>
      <c r="U2543" t="s">
        <v>19</v>
      </c>
    </row>
    <row r="2544" spans="1:21">
      <c r="A2544" t="str">
        <f t="shared" si="1264"/>
        <v>21/05/2025</v>
      </c>
      <c r="B2544" t="str">
        <f t="shared" si="1275"/>
        <v>ENTRADA</v>
      </c>
      <c r="C2544" t="str">
        <f t="shared" si="1265"/>
        <v>NFSE</v>
      </c>
      <c r="D2544" t="str">
        <f t="shared" si="1276"/>
        <v>2983</v>
      </c>
      <c r="E2544" t="str">
        <f t="shared" si="1267"/>
        <v>COM</v>
      </c>
      <c r="F2544" t="str">
        <f t="shared" si="1277"/>
        <v>FARMÁCIA INDIANA LJ 1 (10126)</v>
      </c>
      <c r="G2544" t="str">
        <f t="shared" si="1278"/>
        <v>Serv.Prest. 05/05/2025 a 11/05/2025 - RPS: 753 - NFSe: 2983</v>
      </c>
      <c r="H2544" t="str">
        <f t="shared" si="1270"/>
        <v>21/05/2025</v>
      </c>
      <c r="I2544" t="str">
        <f t="shared" si="1271"/>
        <v>12/05/2025</v>
      </c>
      <c r="J2544" t="str">
        <f t="shared" si="1272"/>
        <v>21/05/2025</v>
      </c>
      <c r="M2544">
        <v>303</v>
      </c>
      <c r="N2544" t="str">
        <f t="shared" si="1273"/>
        <v>RECEITAS COM ENTREGAS</v>
      </c>
      <c r="P2544">
        <v>126.75</v>
      </c>
      <c r="Q2544" t="str">
        <f>"FARMÁCIA INDIANA LJ 112 (10050)"</f>
        <v>FARMÁCIA INDIANA LJ 112 (10050)</v>
      </c>
      <c r="R2544" t="str">
        <f t="shared" si="1274"/>
        <v>RECEITAS COM ENTREGAS (303)</v>
      </c>
      <c r="S2544">
        <v>1555</v>
      </c>
      <c r="T2544">
        <v>1190</v>
      </c>
      <c r="U2544" t="s">
        <v>19</v>
      </c>
    </row>
    <row r="2545" spans="1:21">
      <c r="A2545" t="str">
        <f t="shared" si="1264"/>
        <v>21/05/2025</v>
      </c>
      <c r="B2545" t="str">
        <f t="shared" si="1275"/>
        <v>ENTRADA</v>
      </c>
      <c r="C2545" t="str">
        <f t="shared" si="1265"/>
        <v>NFSE</v>
      </c>
      <c r="D2545" t="str">
        <f t="shared" si="1276"/>
        <v>2983</v>
      </c>
      <c r="E2545" t="str">
        <f t="shared" si="1267"/>
        <v>COM</v>
      </c>
      <c r="F2545" t="str">
        <f t="shared" si="1277"/>
        <v>FARMÁCIA INDIANA LJ 1 (10126)</v>
      </c>
      <c r="G2545" t="str">
        <f t="shared" si="1278"/>
        <v>Serv.Prest. 05/05/2025 a 11/05/2025 - RPS: 753 - NFSe: 2983</v>
      </c>
      <c r="H2545" t="str">
        <f t="shared" si="1270"/>
        <v>21/05/2025</v>
      </c>
      <c r="I2545" t="str">
        <f t="shared" si="1271"/>
        <v>12/05/2025</v>
      </c>
      <c r="J2545" t="str">
        <f t="shared" si="1272"/>
        <v>21/05/2025</v>
      </c>
      <c r="M2545">
        <v>303</v>
      </c>
      <c r="N2545" t="str">
        <f t="shared" si="1273"/>
        <v>RECEITAS COM ENTREGAS</v>
      </c>
      <c r="P2545">
        <v>126.75</v>
      </c>
      <c r="Q2545" t="str">
        <f>"FARMÁCIA INDIANA LJ 116 (10051)"</f>
        <v>FARMÁCIA INDIANA LJ 116 (10051)</v>
      </c>
      <c r="R2545" t="str">
        <f t="shared" si="1274"/>
        <v>RECEITAS COM ENTREGAS (303)</v>
      </c>
      <c r="S2545">
        <v>1555</v>
      </c>
      <c r="T2545">
        <v>1190</v>
      </c>
      <c r="U2545" t="s">
        <v>19</v>
      </c>
    </row>
    <row r="2546" spans="1:21">
      <c r="A2546" t="str">
        <f t="shared" si="1264"/>
        <v>21/05/2025</v>
      </c>
      <c r="B2546" t="str">
        <f t="shared" si="1275"/>
        <v>ENTRADA</v>
      </c>
      <c r="C2546" t="str">
        <f t="shared" si="1265"/>
        <v>NFSE</v>
      </c>
      <c r="D2546" t="str">
        <f t="shared" si="1276"/>
        <v>2983</v>
      </c>
      <c r="E2546" t="str">
        <f t="shared" si="1267"/>
        <v>COM</v>
      </c>
      <c r="F2546" t="str">
        <f t="shared" si="1277"/>
        <v>FARMÁCIA INDIANA LJ 1 (10126)</v>
      </c>
      <c r="G2546" t="str">
        <f t="shared" si="1278"/>
        <v>Serv.Prest. 05/05/2025 a 11/05/2025 - RPS: 753 - NFSe: 2983</v>
      </c>
      <c r="H2546" t="str">
        <f t="shared" si="1270"/>
        <v>21/05/2025</v>
      </c>
      <c r="I2546" t="str">
        <f t="shared" si="1271"/>
        <v>12/05/2025</v>
      </c>
      <c r="J2546" t="str">
        <f t="shared" si="1272"/>
        <v>21/05/2025</v>
      </c>
      <c r="M2546">
        <v>303</v>
      </c>
      <c r="N2546" t="str">
        <f t="shared" si="1273"/>
        <v>RECEITAS COM ENTREGAS</v>
      </c>
      <c r="P2546">
        <v>140.22999999999999</v>
      </c>
      <c r="Q2546" t="str">
        <f>"FARMÁCIA INDIANA LJ 118 (10052)"</f>
        <v>FARMÁCIA INDIANA LJ 118 (10052)</v>
      </c>
      <c r="R2546" t="str">
        <f t="shared" si="1274"/>
        <v>RECEITAS COM ENTREGAS (303)</v>
      </c>
      <c r="S2546">
        <v>1555</v>
      </c>
      <c r="T2546">
        <v>1190</v>
      </c>
      <c r="U2546" t="s">
        <v>19</v>
      </c>
    </row>
    <row r="2547" spans="1:21">
      <c r="A2547" t="str">
        <f t="shared" si="1264"/>
        <v>21/05/2025</v>
      </c>
      <c r="B2547" t="str">
        <f t="shared" si="1275"/>
        <v>ENTRADA</v>
      </c>
      <c r="C2547" t="str">
        <f t="shared" si="1265"/>
        <v>NFSE</v>
      </c>
      <c r="D2547" t="str">
        <f t="shared" si="1276"/>
        <v>2983</v>
      </c>
      <c r="E2547" t="str">
        <f t="shared" si="1267"/>
        <v>COM</v>
      </c>
      <c r="F2547" t="str">
        <f t="shared" si="1277"/>
        <v>FARMÁCIA INDIANA LJ 1 (10126)</v>
      </c>
      <c r="G2547" t="str">
        <f t="shared" si="1278"/>
        <v>Serv.Prest. 05/05/2025 a 11/05/2025 - RPS: 753 - NFSe: 2983</v>
      </c>
      <c r="H2547" t="str">
        <f t="shared" si="1270"/>
        <v>21/05/2025</v>
      </c>
      <c r="I2547" t="str">
        <f t="shared" si="1271"/>
        <v>12/05/2025</v>
      </c>
      <c r="J2547" t="str">
        <f t="shared" si="1272"/>
        <v>21/05/2025</v>
      </c>
      <c r="M2547">
        <v>303</v>
      </c>
      <c r="N2547" t="str">
        <f t="shared" si="1273"/>
        <v>RECEITAS COM ENTREGAS</v>
      </c>
      <c r="P2547">
        <v>126.75</v>
      </c>
      <c r="Q2547" t="str">
        <f>"FARMÁCIA INDIANA LJ 121 (10054)"</f>
        <v>FARMÁCIA INDIANA LJ 121 (10054)</v>
      </c>
      <c r="R2547" t="str">
        <f t="shared" si="1274"/>
        <v>RECEITAS COM ENTREGAS (303)</v>
      </c>
      <c r="S2547">
        <v>1555</v>
      </c>
      <c r="T2547">
        <v>1190</v>
      </c>
      <c r="U2547" t="s">
        <v>19</v>
      </c>
    </row>
    <row r="2548" spans="1:21">
      <c r="A2548" t="str">
        <f t="shared" ref="A2548:A2579" si="1279">("21/05/2025")</f>
        <v>21/05/2025</v>
      </c>
      <c r="B2548" t="str">
        <f t="shared" si="1275"/>
        <v>ENTRADA</v>
      </c>
      <c r="C2548" t="str">
        <f t="shared" ref="C2548:C2579" si="1280">"NFSE"</f>
        <v>NFSE</v>
      </c>
      <c r="D2548" t="str">
        <f t="shared" si="1276"/>
        <v>2983</v>
      </c>
      <c r="E2548" t="str">
        <f t="shared" ref="E2548:E2579" si="1281">"COM"</f>
        <v>COM</v>
      </c>
      <c r="F2548" t="str">
        <f t="shared" si="1277"/>
        <v>FARMÁCIA INDIANA LJ 1 (10126)</v>
      </c>
      <c r="G2548" t="str">
        <f t="shared" si="1278"/>
        <v>Serv.Prest. 05/05/2025 a 11/05/2025 - RPS: 753 - NFSe: 2983</v>
      </c>
      <c r="H2548" t="str">
        <f t="shared" ref="H2548:H2579" si="1282">("21/05/2025")</f>
        <v>21/05/2025</v>
      </c>
      <c r="I2548" t="str">
        <f t="shared" ref="I2548:I2582" si="1283">("12/05/2025")</f>
        <v>12/05/2025</v>
      </c>
      <c r="J2548" t="str">
        <f t="shared" ref="J2548:J2579" si="1284">("21/05/2025")</f>
        <v>21/05/2025</v>
      </c>
      <c r="M2548">
        <v>303</v>
      </c>
      <c r="N2548" t="str">
        <f t="shared" ref="N2548:N2579" si="1285">"RECEITAS COM ENTREGAS"</f>
        <v>RECEITAS COM ENTREGAS</v>
      </c>
      <c r="P2548">
        <v>126.75</v>
      </c>
      <c r="Q2548" t="str">
        <f>"FARMÁCIA INDIANA LJ 128 (10057)"</f>
        <v>FARMÁCIA INDIANA LJ 128 (10057)</v>
      </c>
      <c r="R2548" t="str">
        <f t="shared" ref="R2548:R2579" si="1286">"RECEITAS COM ENTREGAS (303)"</f>
        <v>RECEITAS COM ENTREGAS (303)</v>
      </c>
      <c r="S2548">
        <v>1555</v>
      </c>
      <c r="T2548">
        <v>1190</v>
      </c>
      <c r="U2548" t="s">
        <v>19</v>
      </c>
    </row>
    <row r="2549" spans="1:21">
      <c r="A2549" t="str">
        <f t="shared" si="1279"/>
        <v>21/05/2025</v>
      </c>
      <c r="B2549" t="str">
        <f t="shared" si="1275"/>
        <v>ENTRADA</v>
      </c>
      <c r="C2549" t="str">
        <f t="shared" si="1280"/>
        <v>NFSE</v>
      </c>
      <c r="D2549" t="str">
        <f t="shared" si="1276"/>
        <v>2983</v>
      </c>
      <c r="E2549" t="str">
        <f t="shared" si="1281"/>
        <v>COM</v>
      </c>
      <c r="F2549" t="str">
        <f t="shared" si="1277"/>
        <v>FARMÁCIA INDIANA LJ 1 (10126)</v>
      </c>
      <c r="G2549" t="str">
        <f t="shared" si="1278"/>
        <v>Serv.Prest. 05/05/2025 a 11/05/2025 - RPS: 753 - NFSe: 2983</v>
      </c>
      <c r="H2549" t="str">
        <f t="shared" si="1282"/>
        <v>21/05/2025</v>
      </c>
      <c r="I2549" t="str">
        <f t="shared" si="1283"/>
        <v>12/05/2025</v>
      </c>
      <c r="J2549" t="str">
        <f t="shared" si="1284"/>
        <v>21/05/2025</v>
      </c>
      <c r="M2549">
        <v>303</v>
      </c>
      <c r="N2549" t="str">
        <f t="shared" si="1285"/>
        <v>RECEITAS COM ENTREGAS</v>
      </c>
      <c r="P2549">
        <v>28.32</v>
      </c>
      <c r="Q2549" t="str">
        <f>"FARMÁCIA INDIANA LJ 140 (10064)"</f>
        <v>FARMÁCIA INDIANA LJ 140 (10064)</v>
      </c>
      <c r="R2549" t="str">
        <f t="shared" si="1286"/>
        <v>RECEITAS COM ENTREGAS (303)</v>
      </c>
      <c r="S2549">
        <v>1555</v>
      </c>
      <c r="T2549">
        <v>1190</v>
      </c>
      <c r="U2549" t="s">
        <v>19</v>
      </c>
    </row>
    <row r="2550" spans="1:21">
      <c r="A2550" t="str">
        <f t="shared" si="1279"/>
        <v>21/05/2025</v>
      </c>
      <c r="B2550" t="str">
        <f t="shared" si="1275"/>
        <v>ENTRADA</v>
      </c>
      <c r="C2550" t="str">
        <f t="shared" si="1280"/>
        <v>NFSE</v>
      </c>
      <c r="D2550" t="str">
        <f t="shared" si="1276"/>
        <v>2983</v>
      </c>
      <c r="E2550" t="str">
        <f t="shared" si="1281"/>
        <v>COM</v>
      </c>
      <c r="F2550" t="str">
        <f t="shared" si="1277"/>
        <v>FARMÁCIA INDIANA LJ 1 (10126)</v>
      </c>
      <c r="G2550" t="str">
        <f t="shared" si="1278"/>
        <v>Serv.Prest. 05/05/2025 a 11/05/2025 - RPS: 753 - NFSe: 2983</v>
      </c>
      <c r="H2550" t="str">
        <f t="shared" si="1282"/>
        <v>21/05/2025</v>
      </c>
      <c r="I2550" t="str">
        <f t="shared" si="1283"/>
        <v>12/05/2025</v>
      </c>
      <c r="J2550" t="str">
        <f t="shared" si="1284"/>
        <v>21/05/2025</v>
      </c>
      <c r="M2550">
        <v>303</v>
      </c>
      <c r="N2550" t="str">
        <f t="shared" si="1285"/>
        <v>RECEITAS COM ENTREGAS</v>
      </c>
      <c r="P2550">
        <v>20.23</v>
      </c>
      <c r="Q2550" t="str">
        <f>"FARMÁCIA INDIANA LJ 141 (10065)"</f>
        <v>FARMÁCIA INDIANA LJ 141 (10065)</v>
      </c>
      <c r="R2550" t="str">
        <f t="shared" si="1286"/>
        <v>RECEITAS COM ENTREGAS (303)</v>
      </c>
      <c r="S2550">
        <v>1555</v>
      </c>
      <c r="T2550">
        <v>1190</v>
      </c>
      <c r="U2550" t="s">
        <v>19</v>
      </c>
    </row>
    <row r="2551" spans="1:21">
      <c r="A2551" t="str">
        <f t="shared" si="1279"/>
        <v>21/05/2025</v>
      </c>
      <c r="B2551" t="str">
        <f t="shared" si="1275"/>
        <v>ENTRADA</v>
      </c>
      <c r="C2551" t="str">
        <f t="shared" si="1280"/>
        <v>NFSE</v>
      </c>
      <c r="D2551" t="str">
        <f t="shared" si="1276"/>
        <v>2983</v>
      </c>
      <c r="E2551" t="str">
        <f t="shared" si="1281"/>
        <v>COM</v>
      </c>
      <c r="F2551" t="str">
        <f t="shared" si="1277"/>
        <v>FARMÁCIA INDIANA LJ 1 (10126)</v>
      </c>
      <c r="G2551" t="str">
        <f t="shared" si="1278"/>
        <v>Serv.Prest. 05/05/2025 a 11/05/2025 - RPS: 753 - NFSe: 2983</v>
      </c>
      <c r="H2551" t="str">
        <f t="shared" si="1282"/>
        <v>21/05/2025</v>
      </c>
      <c r="I2551" t="str">
        <f t="shared" si="1283"/>
        <v>12/05/2025</v>
      </c>
      <c r="J2551" t="str">
        <f t="shared" si="1284"/>
        <v>21/05/2025</v>
      </c>
      <c r="M2551">
        <v>303</v>
      </c>
      <c r="N2551" t="str">
        <f t="shared" si="1285"/>
        <v>RECEITAS COM ENTREGAS</v>
      </c>
      <c r="P2551">
        <v>713.3</v>
      </c>
      <c r="Q2551" t="str">
        <f>"FARMÁCIA INDIANA LJ 142 (10066)"</f>
        <v>FARMÁCIA INDIANA LJ 142 (10066)</v>
      </c>
      <c r="R2551" t="str">
        <f t="shared" si="1286"/>
        <v>RECEITAS COM ENTREGAS (303)</v>
      </c>
      <c r="S2551">
        <v>1555</v>
      </c>
      <c r="T2551">
        <v>1190</v>
      </c>
      <c r="U2551" t="s">
        <v>19</v>
      </c>
    </row>
    <row r="2552" spans="1:21">
      <c r="A2552" t="str">
        <f t="shared" si="1279"/>
        <v>21/05/2025</v>
      </c>
      <c r="B2552" t="str">
        <f t="shared" si="1275"/>
        <v>ENTRADA</v>
      </c>
      <c r="C2552" t="str">
        <f t="shared" si="1280"/>
        <v>NFSE</v>
      </c>
      <c r="D2552" t="str">
        <f t="shared" si="1276"/>
        <v>2983</v>
      </c>
      <c r="E2552" t="str">
        <f t="shared" si="1281"/>
        <v>COM</v>
      </c>
      <c r="F2552" t="str">
        <f t="shared" si="1277"/>
        <v>FARMÁCIA INDIANA LJ 1 (10126)</v>
      </c>
      <c r="G2552" t="str">
        <f t="shared" si="1278"/>
        <v>Serv.Prest. 05/05/2025 a 11/05/2025 - RPS: 753 - NFSe: 2983</v>
      </c>
      <c r="H2552" t="str">
        <f t="shared" si="1282"/>
        <v>21/05/2025</v>
      </c>
      <c r="I2552" t="str">
        <f t="shared" si="1283"/>
        <v>12/05/2025</v>
      </c>
      <c r="J2552" t="str">
        <f t="shared" si="1284"/>
        <v>21/05/2025</v>
      </c>
      <c r="M2552">
        <v>303</v>
      </c>
      <c r="N2552" t="str">
        <f t="shared" si="1285"/>
        <v>RECEITAS COM ENTREGAS</v>
      </c>
      <c r="P2552">
        <v>66.069999999999993</v>
      </c>
      <c r="Q2552" t="str">
        <f>"FARMÁCIA INDIANA LJ 143 (10067)"</f>
        <v>FARMÁCIA INDIANA LJ 143 (10067)</v>
      </c>
      <c r="R2552" t="str">
        <f t="shared" si="1286"/>
        <v>RECEITAS COM ENTREGAS (303)</v>
      </c>
      <c r="S2552">
        <v>1555</v>
      </c>
      <c r="T2552">
        <v>1190</v>
      </c>
      <c r="U2552" t="s">
        <v>19</v>
      </c>
    </row>
    <row r="2553" spans="1:21">
      <c r="A2553" t="str">
        <f t="shared" si="1279"/>
        <v>21/05/2025</v>
      </c>
      <c r="B2553" t="str">
        <f t="shared" si="1275"/>
        <v>ENTRADA</v>
      </c>
      <c r="C2553" t="str">
        <f t="shared" si="1280"/>
        <v>NFSE</v>
      </c>
      <c r="D2553" t="str">
        <f t="shared" si="1276"/>
        <v>2983</v>
      </c>
      <c r="E2553" t="str">
        <f t="shared" si="1281"/>
        <v>COM</v>
      </c>
      <c r="F2553" t="str">
        <f t="shared" si="1277"/>
        <v>FARMÁCIA INDIANA LJ 1 (10126)</v>
      </c>
      <c r="G2553" t="str">
        <f t="shared" si="1278"/>
        <v>Serv.Prest. 05/05/2025 a 11/05/2025 - RPS: 753 - NFSe: 2983</v>
      </c>
      <c r="H2553" t="str">
        <f t="shared" si="1282"/>
        <v>21/05/2025</v>
      </c>
      <c r="I2553" t="str">
        <f t="shared" si="1283"/>
        <v>12/05/2025</v>
      </c>
      <c r="J2553" t="str">
        <f t="shared" si="1284"/>
        <v>21/05/2025</v>
      </c>
      <c r="M2553">
        <v>303</v>
      </c>
      <c r="N2553" t="str">
        <f t="shared" si="1285"/>
        <v>RECEITAS COM ENTREGAS</v>
      </c>
      <c r="P2553">
        <v>164.5</v>
      </c>
      <c r="Q2553" t="str">
        <f>"FARMÁCIA INDIANA LJ 152 (10069)"</f>
        <v>FARMÁCIA INDIANA LJ 152 (10069)</v>
      </c>
      <c r="R2553" t="str">
        <f t="shared" si="1286"/>
        <v>RECEITAS COM ENTREGAS (303)</v>
      </c>
      <c r="S2553">
        <v>1555</v>
      </c>
      <c r="T2553">
        <v>1190</v>
      </c>
      <c r="U2553" t="s">
        <v>19</v>
      </c>
    </row>
    <row r="2554" spans="1:21">
      <c r="A2554" t="str">
        <f t="shared" si="1279"/>
        <v>21/05/2025</v>
      </c>
      <c r="B2554" t="str">
        <f t="shared" si="1275"/>
        <v>ENTRADA</v>
      </c>
      <c r="C2554" t="str">
        <f t="shared" si="1280"/>
        <v>NFSE</v>
      </c>
      <c r="D2554" t="str">
        <f t="shared" si="1276"/>
        <v>2983</v>
      </c>
      <c r="E2554" t="str">
        <f t="shared" si="1281"/>
        <v>COM</v>
      </c>
      <c r="F2554" t="str">
        <f t="shared" si="1277"/>
        <v>FARMÁCIA INDIANA LJ 1 (10126)</v>
      </c>
      <c r="G2554" t="str">
        <f t="shared" si="1278"/>
        <v>Serv.Prest. 05/05/2025 a 11/05/2025 - RPS: 753 - NFSe: 2983</v>
      </c>
      <c r="H2554" t="str">
        <f t="shared" si="1282"/>
        <v>21/05/2025</v>
      </c>
      <c r="I2554" t="str">
        <f t="shared" si="1283"/>
        <v>12/05/2025</v>
      </c>
      <c r="J2554" t="str">
        <f t="shared" si="1284"/>
        <v>21/05/2025</v>
      </c>
      <c r="M2554">
        <v>303</v>
      </c>
      <c r="N2554" t="str">
        <f t="shared" si="1285"/>
        <v>RECEITAS COM ENTREGAS</v>
      </c>
      <c r="P2554">
        <v>39.1</v>
      </c>
      <c r="Q2554" t="str">
        <f>"FARMÁCIA INDIANA LJ 154 (10070)"</f>
        <v>FARMÁCIA INDIANA LJ 154 (10070)</v>
      </c>
      <c r="R2554" t="str">
        <f t="shared" si="1286"/>
        <v>RECEITAS COM ENTREGAS (303)</v>
      </c>
      <c r="S2554">
        <v>1555</v>
      </c>
      <c r="T2554">
        <v>1190</v>
      </c>
      <c r="U2554" t="s">
        <v>19</v>
      </c>
    </row>
    <row r="2555" spans="1:21">
      <c r="A2555" t="str">
        <f t="shared" si="1279"/>
        <v>21/05/2025</v>
      </c>
      <c r="B2555" t="str">
        <f t="shared" si="1275"/>
        <v>ENTRADA</v>
      </c>
      <c r="C2555" t="str">
        <f t="shared" si="1280"/>
        <v>NFSE</v>
      </c>
      <c r="D2555" t="str">
        <f t="shared" si="1276"/>
        <v>2983</v>
      </c>
      <c r="E2555" t="str">
        <f t="shared" si="1281"/>
        <v>COM</v>
      </c>
      <c r="F2555" t="str">
        <f t="shared" si="1277"/>
        <v>FARMÁCIA INDIANA LJ 1 (10126)</v>
      </c>
      <c r="G2555" t="str">
        <f t="shared" si="1278"/>
        <v>Serv.Prest. 05/05/2025 a 11/05/2025 - RPS: 753 - NFSe: 2983</v>
      </c>
      <c r="H2555" t="str">
        <f t="shared" si="1282"/>
        <v>21/05/2025</v>
      </c>
      <c r="I2555" t="str">
        <f t="shared" si="1283"/>
        <v>12/05/2025</v>
      </c>
      <c r="J2555" t="str">
        <f t="shared" si="1284"/>
        <v>21/05/2025</v>
      </c>
      <c r="M2555">
        <v>303</v>
      </c>
      <c r="N2555" t="str">
        <f t="shared" si="1285"/>
        <v>RECEITAS COM ENTREGAS</v>
      </c>
      <c r="P2555">
        <v>342.49</v>
      </c>
      <c r="Q2555" t="str">
        <f>"FARMÁCIA INDIANA LJ 171 (10074)"</f>
        <v>FARMÁCIA INDIANA LJ 171 (10074)</v>
      </c>
      <c r="R2555" t="str">
        <f t="shared" si="1286"/>
        <v>RECEITAS COM ENTREGAS (303)</v>
      </c>
      <c r="S2555">
        <v>1555</v>
      </c>
      <c r="T2555">
        <v>1190</v>
      </c>
      <c r="U2555" t="s">
        <v>19</v>
      </c>
    </row>
    <row r="2556" spans="1:21">
      <c r="A2556" t="str">
        <f t="shared" si="1279"/>
        <v>21/05/2025</v>
      </c>
      <c r="B2556" t="str">
        <f t="shared" si="1275"/>
        <v>ENTRADA</v>
      </c>
      <c r="C2556" t="str">
        <f t="shared" si="1280"/>
        <v>NFSE</v>
      </c>
      <c r="D2556" t="str">
        <f t="shared" si="1276"/>
        <v>2983</v>
      </c>
      <c r="E2556" t="str">
        <f t="shared" si="1281"/>
        <v>COM</v>
      </c>
      <c r="F2556" t="str">
        <f t="shared" si="1277"/>
        <v>FARMÁCIA INDIANA LJ 1 (10126)</v>
      </c>
      <c r="G2556" t="str">
        <f t="shared" si="1278"/>
        <v>Serv.Prest. 05/05/2025 a 11/05/2025 - RPS: 753 - NFSe: 2983</v>
      </c>
      <c r="H2556" t="str">
        <f t="shared" si="1282"/>
        <v>21/05/2025</v>
      </c>
      <c r="I2556" t="str">
        <f t="shared" si="1283"/>
        <v>12/05/2025</v>
      </c>
      <c r="J2556" t="str">
        <f t="shared" si="1284"/>
        <v>21/05/2025</v>
      </c>
      <c r="M2556">
        <v>303</v>
      </c>
      <c r="N2556" t="str">
        <f t="shared" si="1285"/>
        <v>RECEITAS COM ENTREGAS</v>
      </c>
      <c r="P2556">
        <v>130.79</v>
      </c>
      <c r="Q2556" t="str">
        <f>"FARMÁCIA INDIANA LJ 175 (10076)"</f>
        <v>FARMÁCIA INDIANA LJ 175 (10076)</v>
      </c>
      <c r="R2556" t="str">
        <f t="shared" si="1286"/>
        <v>RECEITAS COM ENTREGAS (303)</v>
      </c>
      <c r="S2556">
        <v>1555</v>
      </c>
      <c r="T2556">
        <v>1190</v>
      </c>
      <c r="U2556" t="s">
        <v>19</v>
      </c>
    </row>
    <row r="2557" spans="1:21">
      <c r="A2557" t="str">
        <f t="shared" si="1279"/>
        <v>21/05/2025</v>
      </c>
      <c r="B2557" t="str">
        <f t="shared" si="1275"/>
        <v>ENTRADA</v>
      </c>
      <c r="C2557" t="str">
        <f t="shared" si="1280"/>
        <v>NFSE</v>
      </c>
      <c r="D2557" t="str">
        <f t="shared" si="1276"/>
        <v>2983</v>
      </c>
      <c r="E2557" t="str">
        <f t="shared" si="1281"/>
        <v>COM</v>
      </c>
      <c r="F2557" t="str">
        <f t="shared" si="1277"/>
        <v>FARMÁCIA INDIANA LJ 1 (10126)</v>
      </c>
      <c r="G2557" t="str">
        <f t="shared" si="1278"/>
        <v>Serv.Prest. 05/05/2025 a 11/05/2025 - RPS: 753 - NFSe: 2983</v>
      </c>
      <c r="H2557" t="str">
        <f t="shared" si="1282"/>
        <v>21/05/2025</v>
      </c>
      <c r="I2557" t="str">
        <f t="shared" si="1283"/>
        <v>12/05/2025</v>
      </c>
      <c r="J2557" t="str">
        <f t="shared" si="1284"/>
        <v>21/05/2025</v>
      </c>
      <c r="M2557">
        <v>303</v>
      </c>
      <c r="N2557" t="str">
        <f t="shared" si="1285"/>
        <v>RECEITAS COM ENTREGAS</v>
      </c>
      <c r="P2557">
        <v>114.61</v>
      </c>
      <c r="Q2557" t="str">
        <f>"FARMÁCIA INDIANA LJ 178 (10077)"</f>
        <v>FARMÁCIA INDIANA LJ 178 (10077)</v>
      </c>
      <c r="R2557" t="str">
        <f t="shared" si="1286"/>
        <v>RECEITAS COM ENTREGAS (303)</v>
      </c>
      <c r="S2557">
        <v>1555</v>
      </c>
      <c r="T2557">
        <v>1190</v>
      </c>
      <c r="U2557" t="s">
        <v>19</v>
      </c>
    </row>
    <row r="2558" spans="1:21">
      <c r="A2558" t="str">
        <f t="shared" si="1279"/>
        <v>21/05/2025</v>
      </c>
      <c r="B2558" t="str">
        <f t="shared" si="1275"/>
        <v>ENTRADA</v>
      </c>
      <c r="C2558" t="str">
        <f t="shared" si="1280"/>
        <v>NFSE</v>
      </c>
      <c r="D2558" t="str">
        <f t="shared" si="1276"/>
        <v>2983</v>
      </c>
      <c r="E2558" t="str">
        <f t="shared" si="1281"/>
        <v>COM</v>
      </c>
      <c r="F2558" t="str">
        <f t="shared" si="1277"/>
        <v>FARMÁCIA INDIANA LJ 1 (10126)</v>
      </c>
      <c r="G2558" t="str">
        <f t="shared" si="1278"/>
        <v>Serv.Prest. 05/05/2025 a 11/05/2025 - RPS: 753 - NFSe: 2983</v>
      </c>
      <c r="H2558" t="str">
        <f t="shared" si="1282"/>
        <v>21/05/2025</v>
      </c>
      <c r="I2558" t="str">
        <f t="shared" si="1283"/>
        <v>12/05/2025</v>
      </c>
      <c r="J2558" t="str">
        <f t="shared" si="1284"/>
        <v>21/05/2025</v>
      </c>
      <c r="M2558">
        <v>303</v>
      </c>
      <c r="N2558" t="str">
        <f t="shared" si="1285"/>
        <v>RECEITAS COM ENTREGAS</v>
      </c>
      <c r="P2558">
        <v>79.56</v>
      </c>
      <c r="Q2558" t="str">
        <f>"FARMÁCIA INDIANA LJ 182 (10079)"</f>
        <v>FARMÁCIA INDIANA LJ 182 (10079)</v>
      </c>
      <c r="R2558" t="str">
        <f t="shared" si="1286"/>
        <v>RECEITAS COM ENTREGAS (303)</v>
      </c>
      <c r="S2558">
        <v>1555</v>
      </c>
      <c r="T2558">
        <v>1190</v>
      </c>
      <c r="U2558" t="s">
        <v>19</v>
      </c>
    </row>
    <row r="2559" spans="1:21">
      <c r="A2559" t="str">
        <f t="shared" si="1279"/>
        <v>21/05/2025</v>
      </c>
      <c r="B2559" t="str">
        <f t="shared" si="1275"/>
        <v>ENTRADA</v>
      </c>
      <c r="C2559" t="str">
        <f t="shared" si="1280"/>
        <v>NFSE</v>
      </c>
      <c r="D2559" t="str">
        <f t="shared" si="1276"/>
        <v>2983</v>
      </c>
      <c r="E2559" t="str">
        <f t="shared" si="1281"/>
        <v>COM</v>
      </c>
      <c r="F2559" t="str">
        <f t="shared" si="1277"/>
        <v>FARMÁCIA INDIANA LJ 1 (10126)</v>
      </c>
      <c r="G2559" t="str">
        <f t="shared" si="1278"/>
        <v>Serv.Prest. 05/05/2025 a 11/05/2025 - RPS: 753 - NFSe: 2983</v>
      </c>
      <c r="H2559" t="str">
        <f t="shared" si="1282"/>
        <v>21/05/2025</v>
      </c>
      <c r="I2559" t="str">
        <f t="shared" si="1283"/>
        <v>12/05/2025</v>
      </c>
      <c r="J2559" t="str">
        <f t="shared" si="1284"/>
        <v>21/05/2025</v>
      </c>
      <c r="M2559">
        <v>303</v>
      </c>
      <c r="N2559" t="str">
        <f t="shared" si="1285"/>
        <v>RECEITAS COM ENTREGAS</v>
      </c>
      <c r="P2559">
        <v>40.450000000000003</v>
      </c>
      <c r="Q2559" t="str">
        <f>"FARMÁCIA INDIANA LJ 184 (10080)"</f>
        <v>FARMÁCIA INDIANA LJ 184 (10080)</v>
      </c>
      <c r="R2559" t="str">
        <f t="shared" si="1286"/>
        <v>RECEITAS COM ENTREGAS (303)</v>
      </c>
      <c r="S2559">
        <v>1555</v>
      </c>
      <c r="T2559">
        <v>1190</v>
      </c>
      <c r="U2559" t="s">
        <v>19</v>
      </c>
    </row>
    <row r="2560" spans="1:21">
      <c r="A2560" t="str">
        <f t="shared" si="1279"/>
        <v>21/05/2025</v>
      </c>
      <c r="B2560" t="str">
        <f t="shared" si="1275"/>
        <v>ENTRADA</v>
      </c>
      <c r="C2560" t="str">
        <f t="shared" si="1280"/>
        <v>NFSE</v>
      </c>
      <c r="D2560" t="str">
        <f t="shared" si="1276"/>
        <v>2983</v>
      </c>
      <c r="E2560" t="str">
        <f t="shared" si="1281"/>
        <v>COM</v>
      </c>
      <c r="F2560" t="str">
        <f t="shared" si="1277"/>
        <v>FARMÁCIA INDIANA LJ 1 (10126)</v>
      </c>
      <c r="G2560" t="str">
        <f t="shared" si="1278"/>
        <v>Serv.Prest. 05/05/2025 a 11/05/2025 - RPS: 753 - NFSe: 2983</v>
      </c>
      <c r="H2560" t="str">
        <f t="shared" si="1282"/>
        <v>21/05/2025</v>
      </c>
      <c r="I2560" t="str">
        <f t="shared" si="1283"/>
        <v>12/05/2025</v>
      </c>
      <c r="J2560" t="str">
        <f t="shared" si="1284"/>
        <v>21/05/2025</v>
      </c>
      <c r="M2560">
        <v>303</v>
      </c>
      <c r="N2560" t="str">
        <f t="shared" si="1285"/>
        <v>RECEITAS COM ENTREGAS</v>
      </c>
      <c r="P2560">
        <v>79.56</v>
      </c>
      <c r="Q2560" t="str">
        <f>"FARMÁCIA INDIANA LJ 186 (10081)"</f>
        <v>FARMÁCIA INDIANA LJ 186 (10081)</v>
      </c>
      <c r="R2560" t="str">
        <f t="shared" si="1286"/>
        <v>RECEITAS COM ENTREGAS (303)</v>
      </c>
      <c r="S2560">
        <v>1555</v>
      </c>
      <c r="T2560">
        <v>1190</v>
      </c>
      <c r="U2560" t="s">
        <v>19</v>
      </c>
    </row>
    <row r="2561" spans="1:21">
      <c r="A2561" t="str">
        <f t="shared" si="1279"/>
        <v>21/05/2025</v>
      </c>
      <c r="B2561" t="str">
        <f t="shared" si="1275"/>
        <v>ENTRADA</v>
      </c>
      <c r="C2561" t="str">
        <f t="shared" si="1280"/>
        <v>NFSE</v>
      </c>
      <c r="D2561" t="str">
        <f t="shared" si="1276"/>
        <v>2983</v>
      </c>
      <c r="E2561" t="str">
        <f t="shared" si="1281"/>
        <v>COM</v>
      </c>
      <c r="F2561" t="str">
        <f t="shared" si="1277"/>
        <v>FARMÁCIA INDIANA LJ 1 (10126)</v>
      </c>
      <c r="G2561" t="str">
        <f t="shared" si="1278"/>
        <v>Serv.Prest. 05/05/2025 a 11/05/2025 - RPS: 753 - NFSe: 2983</v>
      </c>
      <c r="H2561" t="str">
        <f t="shared" si="1282"/>
        <v>21/05/2025</v>
      </c>
      <c r="I2561" t="str">
        <f t="shared" si="1283"/>
        <v>12/05/2025</v>
      </c>
      <c r="J2561" t="str">
        <f t="shared" si="1284"/>
        <v>21/05/2025</v>
      </c>
      <c r="M2561">
        <v>303</v>
      </c>
      <c r="N2561" t="str">
        <f t="shared" si="1285"/>
        <v>RECEITAS COM ENTREGAS</v>
      </c>
      <c r="P2561">
        <v>91.69</v>
      </c>
      <c r="Q2561" t="str">
        <f>"FARMÁCIA INDIANA LJ 192 (10082)"</f>
        <v>FARMÁCIA INDIANA LJ 192 (10082)</v>
      </c>
      <c r="R2561" t="str">
        <f t="shared" si="1286"/>
        <v>RECEITAS COM ENTREGAS (303)</v>
      </c>
      <c r="S2561">
        <v>1555</v>
      </c>
      <c r="T2561">
        <v>1190</v>
      </c>
      <c r="U2561" t="s">
        <v>19</v>
      </c>
    </row>
    <row r="2562" spans="1:21">
      <c r="A2562" t="str">
        <f t="shared" si="1279"/>
        <v>21/05/2025</v>
      </c>
      <c r="B2562" t="str">
        <f t="shared" si="1275"/>
        <v>ENTRADA</v>
      </c>
      <c r="C2562" t="str">
        <f t="shared" si="1280"/>
        <v>NFSE</v>
      </c>
      <c r="D2562" t="str">
        <f t="shared" si="1276"/>
        <v>2983</v>
      </c>
      <c r="E2562" t="str">
        <f t="shared" si="1281"/>
        <v>COM</v>
      </c>
      <c r="F2562" t="str">
        <f t="shared" si="1277"/>
        <v>FARMÁCIA INDIANA LJ 1 (10126)</v>
      </c>
      <c r="G2562" t="str">
        <f t="shared" si="1278"/>
        <v>Serv.Prest. 05/05/2025 a 11/05/2025 - RPS: 753 - NFSe: 2983</v>
      </c>
      <c r="H2562" t="str">
        <f t="shared" si="1282"/>
        <v>21/05/2025</v>
      </c>
      <c r="I2562" t="str">
        <f t="shared" si="1283"/>
        <v>12/05/2025</v>
      </c>
      <c r="J2562" t="str">
        <f t="shared" si="1284"/>
        <v>21/05/2025</v>
      </c>
      <c r="M2562">
        <v>303</v>
      </c>
      <c r="N2562" t="str">
        <f t="shared" si="1285"/>
        <v>RECEITAS COM ENTREGAS</v>
      </c>
      <c r="P2562">
        <v>40.450000000000003</v>
      </c>
      <c r="Q2562" t="str">
        <f>"FARMÁCIA INDIANA LJ 195 (10083)"</f>
        <v>FARMÁCIA INDIANA LJ 195 (10083)</v>
      </c>
      <c r="R2562" t="str">
        <f t="shared" si="1286"/>
        <v>RECEITAS COM ENTREGAS (303)</v>
      </c>
      <c r="S2562">
        <v>1555</v>
      </c>
      <c r="T2562">
        <v>1190</v>
      </c>
      <c r="U2562" t="s">
        <v>19</v>
      </c>
    </row>
    <row r="2563" spans="1:21">
      <c r="A2563" t="str">
        <f t="shared" si="1279"/>
        <v>21/05/2025</v>
      </c>
      <c r="B2563" t="str">
        <f t="shared" si="1275"/>
        <v>ENTRADA</v>
      </c>
      <c r="C2563" t="str">
        <f t="shared" si="1280"/>
        <v>NFSE</v>
      </c>
      <c r="D2563" t="str">
        <f t="shared" si="1276"/>
        <v>2983</v>
      </c>
      <c r="E2563" t="str">
        <f t="shared" si="1281"/>
        <v>COM</v>
      </c>
      <c r="F2563" t="str">
        <f t="shared" si="1277"/>
        <v>FARMÁCIA INDIANA LJ 1 (10126)</v>
      </c>
      <c r="G2563" t="str">
        <f t="shared" si="1278"/>
        <v>Serv.Prest. 05/05/2025 a 11/05/2025 - RPS: 753 - NFSe: 2983</v>
      </c>
      <c r="H2563" t="str">
        <f t="shared" si="1282"/>
        <v>21/05/2025</v>
      </c>
      <c r="I2563" t="str">
        <f t="shared" si="1283"/>
        <v>12/05/2025</v>
      </c>
      <c r="J2563" t="str">
        <f t="shared" si="1284"/>
        <v>21/05/2025</v>
      </c>
      <c r="M2563">
        <v>303</v>
      </c>
      <c r="N2563" t="str">
        <f t="shared" si="1285"/>
        <v>RECEITAS COM ENTREGAS</v>
      </c>
      <c r="P2563">
        <v>159.11000000000001</v>
      </c>
      <c r="Q2563" t="str">
        <f>"FARMÁCIA INDIANA LJ 202 (10085)"</f>
        <v>FARMÁCIA INDIANA LJ 202 (10085)</v>
      </c>
      <c r="R2563" t="str">
        <f t="shared" si="1286"/>
        <v>RECEITAS COM ENTREGAS (303)</v>
      </c>
      <c r="S2563">
        <v>1555</v>
      </c>
      <c r="T2563">
        <v>1190</v>
      </c>
      <c r="U2563" t="s">
        <v>19</v>
      </c>
    </row>
    <row r="2564" spans="1:21">
      <c r="A2564" t="str">
        <f t="shared" si="1279"/>
        <v>21/05/2025</v>
      </c>
      <c r="B2564" t="str">
        <f t="shared" si="1275"/>
        <v>ENTRADA</v>
      </c>
      <c r="C2564" t="str">
        <f t="shared" si="1280"/>
        <v>NFSE</v>
      </c>
      <c r="D2564" t="str">
        <f t="shared" si="1276"/>
        <v>2983</v>
      </c>
      <c r="E2564" t="str">
        <f t="shared" si="1281"/>
        <v>COM</v>
      </c>
      <c r="F2564" t="str">
        <f t="shared" si="1277"/>
        <v>FARMÁCIA INDIANA LJ 1 (10126)</v>
      </c>
      <c r="G2564" t="str">
        <f t="shared" si="1278"/>
        <v>Serv.Prest. 05/05/2025 a 11/05/2025 - RPS: 753 - NFSe: 2983</v>
      </c>
      <c r="H2564" t="str">
        <f t="shared" si="1282"/>
        <v>21/05/2025</v>
      </c>
      <c r="I2564" t="str">
        <f t="shared" si="1283"/>
        <v>12/05/2025</v>
      </c>
      <c r="J2564" t="str">
        <f t="shared" si="1284"/>
        <v>21/05/2025</v>
      </c>
      <c r="M2564">
        <v>303</v>
      </c>
      <c r="N2564" t="str">
        <f t="shared" si="1285"/>
        <v>RECEITAS COM ENTREGAS</v>
      </c>
      <c r="P2564">
        <v>106.52</v>
      </c>
      <c r="Q2564" t="str">
        <f>"FARMÁCIA INDIANA LJ 204 (10087)"</f>
        <v>FARMÁCIA INDIANA LJ 204 (10087)</v>
      </c>
      <c r="R2564" t="str">
        <f t="shared" si="1286"/>
        <v>RECEITAS COM ENTREGAS (303)</v>
      </c>
      <c r="S2564">
        <v>1555</v>
      </c>
      <c r="T2564">
        <v>1190</v>
      </c>
      <c r="U2564" t="s">
        <v>19</v>
      </c>
    </row>
    <row r="2565" spans="1:21">
      <c r="A2565" t="str">
        <f t="shared" si="1279"/>
        <v>21/05/2025</v>
      </c>
      <c r="B2565" t="str">
        <f t="shared" si="1275"/>
        <v>ENTRADA</v>
      </c>
      <c r="C2565" t="str">
        <f t="shared" si="1280"/>
        <v>NFSE</v>
      </c>
      <c r="D2565" t="str">
        <f t="shared" si="1276"/>
        <v>2983</v>
      </c>
      <c r="E2565" t="str">
        <f t="shared" si="1281"/>
        <v>COM</v>
      </c>
      <c r="F2565" t="str">
        <f t="shared" si="1277"/>
        <v>FARMÁCIA INDIANA LJ 1 (10126)</v>
      </c>
      <c r="G2565" t="str">
        <f t="shared" si="1278"/>
        <v>Serv.Prest. 05/05/2025 a 11/05/2025 - RPS: 753 - NFSe: 2983</v>
      </c>
      <c r="H2565" t="str">
        <f t="shared" si="1282"/>
        <v>21/05/2025</v>
      </c>
      <c r="I2565" t="str">
        <f t="shared" si="1283"/>
        <v>12/05/2025</v>
      </c>
      <c r="J2565" t="str">
        <f t="shared" si="1284"/>
        <v>21/05/2025</v>
      </c>
      <c r="M2565">
        <v>303</v>
      </c>
      <c r="N2565" t="str">
        <f t="shared" si="1285"/>
        <v>RECEITAS COM ENTREGAS</v>
      </c>
      <c r="P2565">
        <v>106.52</v>
      </c>
      <c r="Q2565" t="str">
        <f>"FARMÁCIA INDIANA LJ 207 (10088)"</f>
        <v>FARMÁCIA INDIANA LJ 207 (10088)</v>
      </c>
      <c r="R2565" t="str">
        <f t="shared" si="1286"/>
        <v>RECEITAS COM ENTREGAS (303)</v>
      </c>
      <c r="S2565">
        <v>1555</v>
      </c>
      <c r="T2565">
        <v>1190</v>
      </c>
      <c r="U2565" t="s">
        <v>19</v>
      </c>
    </row>
    <row r="2566" spans="1:21">
      <c r="A2566" t="str">
        <f t="shared" si="1279"/>
        <v>21/05/2025</v>
      </c>
      <c r="B2566" t="str">
        <f t="shared" si="1275"/>
        <v>ENTRADA</v>
      </c>
      <c r="C2566" t="str">
        <f t="shared" si="1280"/>
        <v>NFSE</v>
      </c>
      <c r="D2566" t="str">
        <f t="shared" si="1276"/>
        <v>2983</v>
      </c>
      <c r="E2566" t="str">
        <f t="shared" si="1281"/>
        <v>COM</v>
      </c>
      <c r="F2566" t="str">
        <f t="shared" si="1277"/>
        <v>FARMÁCIA INDIANA LJ 1 (10126)</v>
      </c>
      <c r="G2566" t="str">
        <f t="shared" si="1278"/>
        <v>Serv.Prest. 05/05/2025 a 11/05/2025 - RPS: 753 - NFSe: 2983</v>
      </c>
      <c r="H2566" t="str">
        <f t="shared" si="1282"/>
        <v>21/05/2025</v>
      </c>
      <c r="I2566" t="str">
        <f t="shared" si="1283"/>
        <v>12/05/2025</v>
      </c>
      <c r="J2566" t="str">
        <f t="shared" si="1284"/>
        <v>21/05/2025</v>
      </c>
      <c r="M2566">
        <v>303</v>
      </c>
      <c r="N2566" t="str">
        <f t="shared" si="1285"/>
        <v>RECEITAS COM ENTREGAS</v>
      </c>
      <c r="P2566">
        <v>125.4</v>
      </c>
      <c r="Q2566" t="str">
        <f>"FARMÁCIA INDIANA LJ 209 (10089)"</f>
        <v>FARMÁCIA INDIANA LJ 209 (10089)</v>
      </c>
      <c r="R2566" t="str">
        <f t="shared" si="1286"/>
        <v>RECEITAS COM ENTREGAS (303)</v>
      </c>
      <c r="S2566">
        <v>1555</v>
      </c>
      <c r="T2566">
        <v>1190</v>
      </c>
      <c r="U2566" t="s">
        <v>19</v>
      </c>
    </row>
    <row r="2567" spans="1:21">
      <c r="A2567" t="str">
        <f t="shared" si="1279"/>
        <v>21/05/2025</v>
      </c>
      <c r="B2567" t="str">
        <f t="shared" si="1275"/>
        <v>ENTRADA</v>
      </c>
      <c r="C2567" t="str">
        <f t="shared" si="1280"/>
        <v>NFSE</v>
      </c>
      <c r="D2567" t="str">
        <f t="shared" si="1276"/>
        <v>2983</v>
      </c>
      <c r="E2567" t="str">
        <f t="shared" si="1281"/>
        <v>COM</v>
      </c>
      <c r="F2567" t="str">
        <f t="shared" si="1277"/>
        <v>FARMÁCIA INDIANA LJ 1 (10126)</v>
      </c>
      <c r="G2567" t="str">
        <f t="shared" si="1278"/>
        <v>Serv.Prest. 05/05/2025 a 11/05/2025 - RPS: 753 - NFSe: 2983</v>
      </c>
      <c r="H2567" t="str">
        <f t="shared" si="1282"/>
        <v>21/05/2025</v>
      </c>
      <c r="I2567" t="str">
        <f t="shared" si="1283"/>
        <v>12/05/2025</v>
      </c>
      <c r="J2567" t="str">
        <f t="shared" si="1284"/>
        <v>21/05/2025</v>
      </c>
      <c r="M2567">
        <v>303</v>
      </c>
      <c r="N2567" t="str">
        <f t="shared" si="1285"/>
        <v>RECEITAS COM ENTREGAS</v>
      </c>
      <c r="P2567">
        <v>221.14</v>
      </c>
      <c r="Q2567" t="str">
        <f>"FARMÁCIA INDIANA LJ 219 (10091)"</f>
        <v>FARMÁCIA INDIANA LJ 219 (10091)</v>
      </c>
      <c r="R2567" t="str">
        <f t="shared" si="1286"/>
        <v>RECEITAS COM ENTREGAS (303)</v>
      </c>
      <c r="S2567">
        <v>1555</v>
      </c>
      <c r="T2567">
        <v>1190</v>
      </c>
      <c r="U2567" t="s">
        <v>19</v>
      </c>
    </row>
    <row r="2568" spans="1:21">
      <c r="A2568" t="str">
        <f t="shared" si="1279"/>
        <v>21/05/2025</v>
      </c>
      <c r="B2568" t="str">
        <f t="shared" si="1275"/>
        <v>ENTRADA</v>
      </c>
      <c r="C2568" t="str">
        <f t="shared" si="1280"/>
        <v>NFSE</v>
      </c>
      <c r="D2568" t="str">
        <f t="shared" si="1276"/>
        <v>2983</v>
      </c>
      <c r="E2568" t="str">
        <f t="shared" si="1281"/>
        <v>COM</v>
      </c>
      <c r="F2568" t="str">
        <f t="shared" si="1277"/>
        <v>FARMÁCIA INDIANA LJ 1 (10126)</v>
      </c>
      <c r="G2568" t="str">
        <f t="shared" si="1278"/>
        <v>Serv.Prest. 05/05/2025 a 11/05/2025 - RPS: 753 - NFSe: 2983</v>
      </c>
      <c r="H2568" t="str">
        <f t="shared" si="1282"/>
        <v>21/05/2025</v>
      </c>
      <c r="I2568" t="str">
        <f t="shared" si="1283"/>
        <v>12/05/2025</v>
      </c>
      <c r="J2568" t="str">
        <f t="shared" si="1284"/>
        <v>21/05/2025</v>
      </c>
      <c r="M2568">
        <v>303</v>
      </c>
      <c r="N2568" t="str">
        <f t="shared" si="1285"/>
        <v>RECEITAS COM ENTREGAS</v>
      </c>
      <c r="P2568">
        <v>276.42</v>
      </c>
      <c r="Q2568" t="str">
        <f>"FARMÁCIA INDIANA LJ 220 (10092)"</f>
        <v>FARMÁCIA INDIANA LJ 220 (10092)</v>
      </c>
      <c r="R2568" t="str">
        <f t="shared" si="1286"/>
        <v>RECEITAS COM ENTREGAS (303)</v>
      </c>
      <c r="S2568">
        <v>1555</v>
      </c>
      <c r="T2568">
        <v>1190</v>
      </c>
      <c r="U2568" t="s">
        <v>19</v>
      </c>
    </row>
    <row r="2569" spans="1:21">
      <c r="A2569" t="str">
        <f t="shared" si="1279"/>
        <v>21/05/2025</v>
      </c>
      <c r="B2569" t="str">
        <f t="shared" si="1275"/>
        <v>ENTRADA</v>
      </c>
      <c r="C2569" t="str">
        <f t="shared" si="1280"/>
        <v>NFSE</v>
      </c>
      <c r="D2569" t="str">
        <f t="shared" si="1276"/>
        <v>2983</v>
      </c>
      <c r="E2569" t="str">
        <f t="shared" si="1281"/>
        <v>COM</v>
      </c>
      <c r="F2569" t="str">
        <f t="shared" si="1277"/>
        <v>FARMÁCIA INDIANA LJ 1 (10126)</v>
      </c>
      <c r="G2569" t="str">
        <f t="shared" si="1278"/>
        <v>Serv.Prest. 05/05/2025 a 11/05/2025 - RPS: 753 - NFSe: 2983</v>
      </c>
      <c r="H2569" t="str">
        <f t="shared" si="1282"/>
        <v>21/05/2025</v>
      </c>
      <c r="I2569" t="str">
        <f t="shared" si="1283"/>
        <v>12/05/2025</v>
      </c>
      <c r="J2569" t="str">
        <f t="shared" si="1284"/>
        <v>21/05/2025</v>
      </c>
      <c r="M2569">
        <v>303</v>
      </c>
      <c r="N2569" t="str">
        <f t="shared" si="1285"/>
        <v>RECEITAS COM ENTREGAS</v>
      </c>
      <c r="P2569">
        <v>183.38</v>
      </c>
      <c r="Q2569" t="str">
        <f>"FARMÁCIA INDIANA LJ 185 (10141)"</f>
        <v>FARMÁCIA INDIANA LJ 185 (10141)</v>
      </c>
      <c r="R2569" t="str">
        <f t="shared" si="1286"/>
        <v>RECEITAS COM ENTREGAS (303)</v>
      </c>
      <c r="S2569">
        <v>1555</v>
      </c>
      <c r="T2569">
        <v>1190</v>
      </c>
      <c r="U2569" t="s">
        <v>19</v>
      </c>
    </row>
    <row r="2570" spans="1:21">
      <c r="A2570" t="str">
        <f t="shared" si="1279"/>
        <v>21/05/2025</v>
      </c>
      <c r="B2570" t="str">
        <f t="shared" si="1275"/>
        <v>ENTRADA</v>
      </c>
      <c r="C2570" t="str">
        <f t="shared" si="1280"/>
        <v>NFSE</v>
      </c>
      <c r="D2570" t="str">
        <f t="shared" si="1276"/>
        <v>2983</v>
      </c>
      <c r="E2570" t="str">
        <f t="shared" si="1281"/>
        <v>COM</v>
      </c>
      <c r="F2570" t="str">
        <f t="shared" si="1277"/>
        <v>FARMÁCIA INDIANA LJ 1 (10126)</v>
      </c>
      <c r="G2570" t="str">
        <f t="shared" si="1278"/>
        <v>Serv.Prest. 05/05/2025 a 11/05/2025 - RPS: 753 - NFSe: 2983</v>
      </c>
      <c r="H2570" t="str">
        <f t="shared" si="1282"/>
        <v>21/05/2025</v>
      </c>
      <c r="I2570" t="str">
        <f t="shared" si="1283"/>
        <v>12/05/2025</v>
      </c>
      <c r="J2570" t="str">
        <f t="shared" si="1284"/>
        <v>21/05/2025</v>
      </c>
      <c r="M2570">
        <v>303</v>
      </c>
      <c r="N2570" t="str">
        <f t="shared" si="1285"/>
        <v>RECEITAS COM ENTREGAS</v>
      </c>
      <c r="P2570">
        <v>616.22</v>
      </c>
      <c r="Q2570" t="str">
        <f>"FARMÁCIA INDIANA LJ 172 (10161)"</f>
        <v>FARMÁCIA INDIANA LJ 172 (10161)</v>
      </c>
      <c r="R2570" t="str">
        <f t="shared" si="1286"/>
        <v>RECEITAS COM ENTREGAS (303)</v>
      </c>
      <c r="S2570">
        <v>1555</v>
      </c>
      <c r="T2570">
        <v>1190</v>
      </c>
      <c r="U2570" t="s">
        <v>19</v>
      </c>
    </row>
    <row r="2571" spans="1:21">
      <c r="A2571" t="str">
        <f t="shared" si="1279"/>
        <v>21/05/2025</v>
      </c>
      <c r="B2571" t="str">
        <f t="shared" si="1275"/>
        <v>ENTRADA</v>
      </c>
      <c r="C2571" t="str">
        <f t="shared" si="1280"/>
        <v>NFSE</v>
      </c>
      <c r="D2571" t="str">
        <f t="shared" ref="D2571:D2582" si="1287">"2984"</f>
        <v>2984</v>
      </c>
      <c r="E2571" t="str">
        <f t="shared" si="1281"/>
        <v>COM</v>
      </c>
      <c r="F2571" t="str">
        <f t="shared" ref="F2571:F2582" si="1288">"FARMÁCIA INDIANA LJ 30 (10127)"</f>
        <v>FARMÁCIA INDIANA LJ 30 (10127)</v>
      </c>
      <c r="G2571" t="str">
        <f t="shared" ref="G2571:G2582" si="1289">"Serv.Prest. 05/05/2025 a 11/05/2025 - RPS: 754 - NFSe: 2984"</f>
        <v>Serv.Prest. 05/05/2025 a 11/05/2025 - RPS: 754 - NFSe: 2984</v>
      </c>
      <c r="H2571" t="str">
        <f t="shared" si="1282"/>
        <v>21/05/2025</v>
      </c>
      <c r="I2571" t="str">
        <f t="shared" si="1283"/>
        <v>12/05/2025</v>
      </c>
      <c r="J2571" t="str">
        <f t="shared" si="1284"/>
        <v>21/05/2025</v>
      </c>
      <c r="K2571">
        <v>2754.2</v>
      </c>
      <c r="L2571">
        <v>2754.2</v>
      </c>
      <c r="M2571">
        <v>303</v>
      </c>
      <c r="N2571" t="str">
        <f t="shared" si="1285"/>
        <v>RECEITAS COM ENTREGAS</v>
      </c>
      <c r="O2571">
        <v>2754.2</v>
      </c>
      <c r="R2571" t="str">
        <f t="shared" si="1286"/>
        <v>RECEITAS COM ENTREGAS (303)</v>
      </c>
      <c r="S2571">
        <v>1556</v>
      </c>
      <c r="T2571">
        <v>1191</v>
      </c>
      <c r="U2571" t="s">
        <v>19</v>
      </c>
    </row>
    <row r="2572" spans="1:21">
      <c r="A2572" t="str">
        <f t="shared" si="1279"/>
        <v>21/05/2025</v>
      </c>
      <c r="B2572" t="str">
        <f t="shared" si="1275"/>
        <v>ENTRADA</v>
      </c>
      <c r="C2572" t="str">
        <f t="shared" si="1280"/>
        <v>NFSE</v>
      </c>
      <c r="D2572" t="str">
        <f t="shared" si="1287"/>
        <v>2984</v>
      </c>
      <c r="E2572" t="str">
        <f t="shared" si="1281"/>
        <v>COM</v>
      </c>
      <c r="F2572" t="str">
        <f t="shared" si="1288"/>
        <v>FARMÁCIA INDIANA LJ 30 (10127)</v>
      </c>
      <c r="G2572" t="str">
        <f t="shared" si="1289"/>
        <v>Serv.Prest. 05/05/2025 a 11/05/2025 - RPS: 754 - NFSe: 2984</v>
      </c>
      <c r="H2572" t="str">
        <f t="shared" si="1282"/>
        <v>21/05/2025</v>
      </c>
      <c r="I2572" t="str">
        <f t="shared" si="1283"/>
        <v>12/05/2025</v>
      </c>
      <c r="J2572" t="str">
        <f t="shared" si="1284"/>
        <v>21/05/2025</v>
      </c>
      <c r="M2572">
        <v>303</v>
      </c>
      <c r="N2572" t="str">
        <f t="shared" si="1285"/>
        <v>RECEITAS COM ENTREGAS</v>
      </c>
      <c r="P2572">
        <v>320.32</v>
      </c>
      <c r="Q2572" t="str">
        <f>"FARMÁCIA INDIANA LJ 34 (10014)"</f>
        <v>FARMÁCIA INDIANA LJ 34 (10014)</v>
      </c>
      <c r="R2572" t="str">
        <f t="shared" si="1286"/>
        <v>RECEITAS COM ENTREGAS (303)</v>
      </c>
      <c r="S2572">
        <v>1556</v>
      </c>
      <c r="T2572">
        <v>1191</v>
      </c>
      <c r="U2572" t="s">
        <v>19</v>
      </c>
    </row>
    <row r="2573" spans="1:21">
      <c r="A2573" t="str">
        <f t="shared" si="1279"/>
        <v>21/05/2025</v>
      </c>
      <c r="B2573" t="str">
        <f t="shared" si="1275"/>
        <v>ENTRADA</v>
      </c>
      <c r="C2573" t="str">
        <f t="shared" si="1280"/>
        <v>NFSE</v>
      </c>
      <c r="D2573" t="str">
        <f t="shared" si="1287"/>
        <v>2984</v>
      </c>
      <c r="E2573" t="str">
        <f t="shared" si="1281"/>
        <v>COM</v>
      </c>
      <c r="F2573" t="str">
        <f t="shared" si="1288"/>
        <v>FARMÁCIA INDIANA LJ 30 (10127)</v>
      </c>
      <c r="G2573" t="str">
        <f t="shared" si="1289"/>
        <v>Serv.Prest. 05/05/2025 a 11/05/2025 - RPS: 754 - NFSe: 2984</v>
      </c>
      <c r="H2573" t="str">
        <f t="shared" si="1282"/>
        <v>21/05/2025</v>
      </c>
      <c r="I2573" t="str">
        <f t="shared" si="1283"/>
        <v>12/05/2025</v>
      </c>
      <c r="J2573" t="str">
        <f t="shared" si="1284"/>
        <v>21/05/2025</v>
      </c>
      <c r="M2573">
        <v>303</v>
      </c>
      <c r="N2573" t="str">
        <f t="shared" si="1285"/>
        <v>RECEITAS COM ENTREGAS</v>
      </c>
      <c r="P2573">
        <v>236.03</v>
      </c>
      <c r="Q2573" t="str">
        <f>"FARMÁCIA INDIANA LJ 35 (10015)"</f>
        <v>FARMÁCIA INDIANA LJ 35 (10015)</v>
      </c>
      <c r="R2573" t="str">
        <f t="shared" si="1286"/>
        <v>RECEITAS COM ENTREGAS (303)</v>
      </c>
      <c r="S2573">
        <v>1556</v>
      </c>
      <c r="T2573">
        <v>1191</v>
      </c>
      <c r="U2573" t="s">
        <v>19</v>
      </c>
    </row>
    <row r="2574" spans="1:21">
      <c r="A2574" t="str">
        <f t="shared" si="1279"/>
        <v>21/05/2025</v>
      </c>
      <c r="B2574" t="str">
        <f t="shared" si="1275"/>
        <v>ENTRADA</v>
      </c>
      <c r="C2574" t="str">
        <f t="shared" si="1280"/>
        <v>NFSE</v>
      </c>
      <c r="D2574" t="str">
        <f t="shared" si="1287"/>
        <v>2984</v>
      </c>
      <c r="E2574" t="str">
        <f t="shared" si="1281"/>
        <v>COM</v>
      </c>
      <c r="F2574" t="str">
        <f t="shared" si="1288"/>
        <v>FARMÁCIA INDIANA LJ 30 (10127)</v>
      </c>
      <c r="G2574" t="str">
        <f t="shared" si="1289"/>
        <v>Serv.Prest. 05/05/2025 a 11/05/2025 - RPS: 754 - NFSe: 2984</v>
      </c>
      <c r="H2574" t="str">
        <f t="shared" si="1282"/>
        <v>21/05/2025</v>
      </c>
      <c r="I2574" t="str">
        <f t="shared" si="1283"/>
        <v>12/05/2025</v>
      </c>
      <c r="J2574" t="str">
        <f t="shared" si="1284"/>
        <v>21/05/2025</v>
      </c>
      <c r="M2574">
        <v>303</v>
      </c>
      <c r="N2574" t="str">
        <f t="shared" si="1285"/>
        <v>RECEITAS COM ENTREGAS</v>
      </c>
      <c r="P2574">
        <v>258.62</v>
      </c>
      <c r="Q2574" t="str">
        <f>"FARMÁCIA INDIANA LJ 48 (10018)"</f>
        <v>FARMÁCIA INDIANA LJ 48 (10018)</v>
      </c>
      <c r="R2574" t="str">
        <f t="shared" si="1286"/>
        <v>RECEITAS COM ENTREGAS (303)</v>
      </c>
      <c r="S2574">
        <v>1556</v>
      </c>
      <c r="T2574">
        <v>1191</v>
      </c>
      <c r="U2574" t="s">
        <v>19</v>
      </c>
    </row>
    <row r="2575" spans="1:21">
      <c r="A2575" t="str">
        <f t="shared" si="1279"/>
        <v>21/05/2025</v>
      </c>
      <c r="B2575" t="str">
        <f t="shared" si="1275"/>
        <v>ENTRADA</v>
      </c>
      <c r="C2575" t="str">
        <f t="shared" si="1280"/>
        <v>NFSE</v>
      </c>
      <c r="D2575" t="str">
        <f t="shared" si="1287"/>
        <v>2984</v>
      </c>
      <c r="E2575" t="str">
        <f t="shared" si="1281"/>
        <v>COM</v>
      </c>
      <c r="F2575" t="str">
        <f t="shared" si="1288"/>
        <v>FARMÁCIA INDIANA LJ 30 (10127)</v>
      </c>
      <c r="G2575" t="str">
        <f t="shared" si="1289"/>
        <v>Serv.Prest. 05/05/2025 a 11/05/2025 - RPS: 754 - NFSe: 2984</v>
      </c>
      <c r="H2575" t="str">
        <f t="shared" si="1282"/>
        <v>21/05/2025</v>
      </c>
      <c r="I2575" t="str">
        <f t="shared" si="1283"/>
        <v>12/05/2025</v>
      </c>
      <c r="J2575" t="str">
        <f t="shared" si="1284"/>
        <v>21/05/2025</v>
      </c>
      <c r="M2575">
        <v>303</v>
      </c>
      <c r="N2575" t="str">
        <f t="shared" si="1285"/>
        <v>RECEITAS COM ENTREGAS</v>
      </c>
      <c r="P2575">
        <v>418.64</v>
      </c>
      <c r="Q2575" t="str">
        <f>"FARMÁCIA INDIANA LJ 65 (10030)"</f>
        <v>FARMÁCIA INDIANA LJ 65 (10030)</v>
      </c>
      <c r="R2575" t="str">
        <f t="shared" si="1286"/>
        <v>RECEITAS COM ENTREGAS (303)</v>
      </c>
      <c r="S2575">
        <v>1556</v>
      </c>
      <c r="T2575">
        <v>1191</v>
      </c>
      <c r="U2575" t="s">
        <v>19</v>
      </c>
    </row>
    <row r="2576" spans="1:21">
      <c r="A2576" t="str">
        <f t="shared" si="1279"/>
        <v>21/05/2025</v>
      </c>
      <c r="B2576" t="str">
        <f t="shared" si="1275"/>
        <v>ENTRADA</v>
      </c>
      <c r="C2576" t="str">
        <f t="shared" si="1280"/>
        <v>NFSE</v>
      </c>
      <c r="D2576" t="str">
        <f t="shared" si="1287"/>
        <v>2984</v>
      </c>
      <c r="E2576" t="str">
        <f t="shared" si="1281"/>
        <v>COM</v>
      </c>
      <c r="F2576" t="str">
        <f t="shared" si="1288"/>
        <v>FARMÁCIA INDIANA LJ 30 (10127)</v>
      </c>
      <c r="G2576" t="str">
        <f t="shared" si="1289"/>
        <v>Serv.Prest. 05/05/2025 a 11/05/2025 - RPS: 754 - NFSe: 2984</v>
      </c>
      <c r="H2576" t="str">
        <f t="shared" si="1282"/>
        <v>21/05/2025</v>
      </c>
      <c r="I2576" t="str">
        <f t="shared" si="1283"/>
        <v>12/05/2025</v>
      </c>
      <c r="J2576" t="str">
        <f t="shared" si="1284"/>
        <v>21/05/2025</v>
      </c>
      <c r="M2576">
        <v>303</v>
      </c>
      <c r="N2576" t="str">
        <f t="shared" si="1285"/>
        <v>RECEITAS COM ENTREGAS</v>
      </c>
      <c r="P2576">
        <v>137.16</v>
      </c>
      <c r="Q2576" t="str">
        <f>"FARMÁCIA INDIANA LJ 77 (10034)"</f>
        <v>FARMÁCIA INDIANA LJ 77 (10034)</v>
      </c>
      <c r="R2576" t="str">
        <f t="shared" si="1286"/>
        <v>RECEITAS COM ENTREGAS (303)</v>
      </c>
      <c r="S2576">
        <v>1556</v>
      </c>
      <c r="T2576">
        <v>1191</v>
      </c>
      <c r="U2576" t="s">
        <v>19</v>
      </c>
    </row>
    <row r="2577" spans="1:21">
      <c r="A2577" t="str">
        <f t="shared" si="1279"/>
        <v>21/05/2025</v>
      </c>
      <c r="B2577" t="str">
        <f t="shared" si="1275"/>
        <v>ENTRADA</v>
      </c>
      <c r="C2577" t="str">
        <f t="shared" si="1280"/>
        <v>NFSE</v>
      </c>
      <c r="D2577" t="str">
        <f t="shared" si="1287"/>
        <v>2984</v>
      </c>
      <c r="E2577" t="str">
        <f t="shared" si="1281"/>
        <v>COM</v>
      </c>
      <c r="F2577" t="str">
        <f t="shared" si="1288"/>
        <v>FARMÁCIA INDIANA LJ 30 (10127)</v>
      </c>
      <c r="G2577" t="str">
        <f t="shared" si="1289"/>
        <v>Serv.Prest. 05/05/2025 a 11/05/2025 - RPS: 754 - NFSe: 2984</v>
      </c>
      <c r="H2577" t="str">
        <f t="shared" si="1282"/>
        <v>21/05/2025</v>
      </c>
      <c r="I2577" t="str">
        <f t="shared" si="1283"/>
        <v>12/05/2025</v>
      </c>
      <c r="J2577" t="str">
        <f t="shared" si="1284"/>
        <v>21/05/2025</v>
      </c>
      <c r="M2577">
        <v>303</v>
      </c>
      <c r="N2577" t="str">
        <f t="shared" si="1285"/>
        <v>RECEITAS COM ENTREGAS</v>
      </c>
      <c r="P2577">
        <v>205.46</v>
      </c>
      <c r="Q2577" t="str">
        <f>"FARMÁCIA INDIANA LJ 91 (10037)"</f>
        <v>FARMÁCIA INDIANA LJ 91 (10037)</v>
      </c>
      <c r="R2577" t="str">
        <f t="shared" si="1286"/>
        <v>RECEITAS COM ENTREGAS (303)</v>
      </c>
      <c r="S2577">
        <v>1556</v>
      </c>
      <c r="T2577">
        <v>1191</v>
      </c>
      <c r="U2577" t="s">
        <v>19</v>
      </c>
    </row>
    <row r="2578" spans="1:21">
      <c r="A2578" t="str">
        <f t="shared" si="1279"/>
        <v>21/05/2025</v>
      </c>
      <c r="B2578" t="str">
        <f t="shared" si="1275"/>
        <v>ENTRADA</v>
      </c>
      <c r="C2578" t="str">
        <f t="shared" si="1280"/>
        <v>NFSE</v>
      </c>
      <c r="D2578" t="str">
        <f t="shared" si="1287"/>
        <v>2984</v>
      </c>
      <c r="E2578" t="str">
        <f t="shared" si="1281"/>
        <v>COM</v>
      </c>
      <c r="F2578" t="str">
        <f t="shared" si="1288"/>
        <v>FARMÁCIA INDIANA LJ 30 (10127)</v>
      </c>
      <c r="G2578" t="str">
        <f t="shared" si="1289"/>
        <v>Serv.Prest. 05/05/2025 a 11/05/2025 - RPS: 754 - NFSe: 2984</v>
      </c>
      <c r="H2578" t="str">
        <f t="shared" si="1282"/>
        <v>21/05/2025</v>
      </c>
      <c r="I2578" t="str">
        <f t="shared" si="1283"/>
        <v>12/05/2025</v>
      </c>
      <c r="J2578" t="str">
        <f t="shared" si="1284"/>
        <v>21/05/2025</v>
      </c>
      <c r="M2578">
        <v>303</v>
      </c>
      <c r="N2578" t="str">
        <f t="shared" si="1285"/>
        <v>RECEITAS COM ENTREGAS</v>
      </c>
      <c r="P2578">
        <v>343.17</v>
      </c>
      <c r="Q2578" t="str">
        <f>"FARMÁCIA INDIANA LJ 95 (10039)"</f>
        <v>FARMÁCIA INDIANA LJ 95 (10039)</v>
      </c>
      <c r="R2578" t="str">
        <f t="shared" si="1286"/>
        <v>RECEITAS COM ENTREGAS (303)</v>
      </c>
      <c r="S2578">
        <v>1556</v>
      </c>
      <c r="T2578">
        <v>1191</v>
      </c>
      <c r="U2578" t="s">
        <v>19</v>
      </c>
    </row>
    <row r="2579" spans="1:21">
      <c r="A2579" t="str">
        <f t="shared" si="1279"/>
        <v>21/05/2025</v>
      </c>
      <c r="B2579" t="str">
        <f t="shared" si="1275"/>
        <v>ENTRADA</v>
      </c>
      <c r="C2579" t="str">
        <f t="shared" si="1280"/>
        <v>NFSE</v>
      </c>
      <c r="D2579" t="str">
        <f t="shared" si="1287"/>
        <v>2984</v>
      </c>
      <c r="E2579" t="str">
        <f t="shared" si="1281"/>
        <v>COM</v>
      </c>
      <c r="F2579" t="str">
        <f t="shared" si="1288"/>
        <v>FARMÁCIA INDIANA LJ 30 (10127)</v>
      </c>
      <c r="G2579" t="str">
        <f t="shared" si="1289"/>
        <v>Serv.Prest. 05/05/2025 a 11/05/2025 - RPS: 754 - NFSe: 2984</v>
      </c>
      <c r="H2579" t="str">
        <f t="shared" si="1282"/>
        <v>21/05/2025</v>
      </c>
      <c r="I2579" t="str">
        <f t="shared" si="1283"/>
        <v>12/05/2025</v>
      </c>
      <c r="J2579" t="str">
        <f t="shared" si="1284"/>
        <v>21/05/2025</v>
      </c>
      <c r="M2579">
        <v>303</v>
      </c>
      <c r="N2579" t="str">
        <f t="shared" si="1285"/>
        <v>RECEITAS COM ENTREGAS</v>
      </c>
      <c r="P2579">
        <v>280.93</v>
      </c>
      <c r="Q2579" t="str">
        <f>"FARMÁCIA INDIANA LJ 145 (10068)"</f>
        <v>FARMÁCIA INDIANA LJ 145 (10068)</v>
      </c>
      <c r="R2579" t="str">
        <f t="shared" si="1286"/>
        <v>RECEITAS COM ENTREGAS (303)</v>
      </c>
      <c r="S2579">
        <v>1556</v>
      </c>
      <c r="T2579">
        <v>1191</v>
      </c>
      <c r="U2579" t="s">
        <v>19</v>
      </c>
    </row>
    <row r="2580" spans="1:21">
      <c r="A2580" t="str">
        <f t="shared" ref="A2580:A2593" si="1290">("21/05/2025")</f>
        <v>21/05/2025</v>
      </c>
      <c r="B2580" t="str">
        <f t="shared" si="1275"/>
        <v>ENTRADA</v>
      </c>
      <c r="C2580" t="str">
        <f t="shared" ref="C2580:C2590" si="1291">"NFSE"</f>
        <v>NFSE</v>
      </c>
      <c r="D2580" t="str">
        <f t="shared" si="1287"/>
        <v>2984</v>
      </c>
      <c r="E2580" t="str">
        <f t="shared" ref="E2580:E2590" si="1292">"COM"</f>
        <v>COM</v>
      </c>
      <c r="F2580" t="str">
        <f t="shared" si="1288"/>
        <v>FARMÁCIA INDIANA LJ 30 (10127)</v>
      </c>
      <c r="G2580" t="str">
        <f t="shared" si="1289"/>
        <v>Serv.Prest. 05/05/2025 a 11/05/2025 - RPS: 754 - NFSe: 2984</v>
      </c>
      <c r="H2580" t="str">
        <f t="shared" ref="H2580:H2616" si="1293">("21/05/2025")</f>
        <v>21/05/2025</v>
      </c>
      <c r="I2580" t="str">
        <f t="shared" si="1283"/>
        <v>12/05/2025</v>
      </c>
      <c r="J2580" t="str">
        <f t="shared" ref="J2580:J2593" si="1294">("21/05/2025")</f>
        <v>21/05/2025</v>
      </c>
      <c r="M2580">
        <v>303</v>
      </c>
      <c r="N2580" t="str">
        <f t="shared" ref="N2580:N2590" si="1295">"RECEITAS COM ENTREGAS"</f>
        <v>RECEITAS COM ENTREGAS</v>
      </c>
      <c r="P2580">
        <v>184.53</v>
      </c>
      <c r="Q2580" t="str">
        <f>"FARMÁCIA INDIANA LJ 169 (10073)"</f>
        <v>FARMÁCIA INDIANA LJ 169 (10073)</v>
      </c>
      <c r="R2580" t="str">
        <f t="shared" ref="R2580:R2590" si="1296">"RECEITAS COM ENTREGAS (303)"</f>
        <v>RECEITAS COM ENTREGAS (303)</v>
      </c>
      <c r="S2580">
        <v>1556</v>
      </c>
      <c r="T2580">
        <v>1191</v>
      </c>
      <c r="U2580" t="s">
        <v>19</v>
      </c>
    </row>
    <row r="2581" spans="1:21">
      <c r="A2581" t="str">
        <f t="shared" si="1290"/>
        <v>21/05/2025</v>
      </c>
      <c r="B2581" t="str">
        <f t="shared" ref="B2581:B2590" si="1297">"ENTRADA"</f>
        <v>ENTRADA</v>
      </c>
      <c r="C2581" t="str">
        <f t="shared" si="1291"/>
        <v>NFSE</v>
      </c>
      <c r="D2581" t="str">
        <f t="shared" si="1287"/>
        <v>2984</v>
      </c>
      <c r="E2581" t="str">
        <f t="shared" si="1292"/>
        <v>COM</v>
      </c>
      <c r="F2581" t="str">
        <f t="shared" si="1288"/>
        <v>FARMÁCIA INDIANA LJ 30 (10127)</v>
      </c>
      <c r="G2581" t="str">
        <f t="shared" si="1289"/>
        <v>Serv.Prest. 05/05/2025 a 11/05/2025 - RPS: 754 - NFSe: 2984</v>
      </c>
      <c r="H2581" t="str">
        <f t="shared" si="1293"/>
        <v>21/05/2025</v>
      </c>
      <c r="I2581" t="str">
        <f t="shared" si="1283"/>
        <v>12/05/2025</v>
      </c>
      <c r="J2581" t="str">
        <f t="shared" si="1294"/>
        <v>21/05/2025</v>
      </c>
      <c r="M2581">
        <v>303</v>
      </c>
      <c r="N2581" t="str">
        <f t="shared" si="1295"/>
        <v>RECEITAS COM ENTREGAS</v>
      </c>
      <c r="P2581">
        <v>209.32</v>
      </c>
      <c r="Q2581" t="str">
        <f>"FARMÁCIA INDIANA LJ 173 (10075)"</f>
        <v>FARMÁCIA INDIANA LJ 173 (10075)</v>
      </c>
      <c r="R2581" t="str">
        <f t="shared" si="1296"/>
        <v>RECEITAS COM ENTREGAS (303)</v>
      </c>
      <c r="S2581">
        <v>1556</v>
      </c>
      <c r="T2581">
        <v>1191</v>
      </c>
      <c r="U2581" t="s">
        <v>19</v>
      </c>
    </row>
    <row r="2582" spans="1:21">
      <c r="A2582" t="str">
        <f t="shared" si="1290"/>
        <v>21/05/2025</v>
      </c>
      <c r="B2582" t="str">
        <f t="shared" si="1297"/>
        <v>ENTRADA</v>
      </c>
      <c r="C2582" t="str">
        <f t="shared" si="1291"/>
        <v>NFSE</v>
      </c>
      <c r="D2582" t="str">
        <f t="shared" si="1287"/>
        <v>2984</v>
      </c>
      <c r="E2582" t="str">
        <f t="shared" si="1292"/>
        <v>COM</v>
      </c>
      <c r="F2582" t="str">
        <f t="shared" si="1288"/>
        <v>FARMÁCIA INDIANA LJ 30 (10127)</v>
      </c>
      <c r="G2582" t="str">
        <f t="shared" si="1289"/>
        <v>Serv.Prest. 05/05/2025 a 11/05/2025 - RPS: 754 - NFSe: 2984</v>
      </c>
      <c r="H2582" t="str">
        <f t="shared" si="1293"/>
        <v>21/05/2025</v>
      </c>
      <c r="I2582" t="str">
        <f t="shared" si="1283"/>
        <v>12/05/2025</v>
      </c>
      <c r="J2582" t="str">
        <f t="shared" si="1294"/>
        <v>21/05/2025</v>
      </c>
      <c r="M2582">
        <v>303</v>
      </c>
      <c r="N2582" t="str">
        <f t="shared" si="1295"/>
        <v>RECEITAS COM ENTREGAS</v>
      </c>
      <c r="P2582">
        <v>160.02000000000001</v>
      </c>
      <c r="Q2582" t="str">
        <f>"FARMÁCIA INDIANA LJ 200 (10155)"</f>
        <v>FARMÁCIA INDIANA LJ 200 (10155)</v>
      </c>
      <c r="R2582" t="str">
        <f t="shared" si="1296"/>
        <v>RECEITAS COM ENTREGAS (303)</v>
      </c>
      <c r="S2582">
        <v>1556</v>
      </c>
      <c r="T2582">
        <v>1191</v>
      </c>
      <c r="U2582" t="s">
        <v>19</v>
      </c>
    </row>
    <row r="2583" spans="1:21">
      <c r="A2583" t="str">
        <f t="shared" si="1290"/>
        <v>21/05/2025</v>
      </c>
      <c r="B2583" t="str">
        <f t="shared" si="1297"/>
        <v>ENTRADA</v>
      </c>
      <c r="C2583" t="str">
        <f t="shared" si="1291"/>
        <v>NFSE</v>
      </c>
      <c r="D2583" t="str">
        <f>"2997"</f>
        <v>2997</v>
      </c>
      <c r="E2583" t="str">
        <f t="shared" si="1292"/>
        <v>COM</v>
      </c>
      <c r="F2583" t="str">
        <f>"DROGARIA AGAPEAMA (10167)"</f>
        <v>DROGARIA AGAPEAMA (10167)</v>
      </c>
      <c r="G2583" t="str">
        <f>"Serv.Prest. 12/05/2025 a 18/05/2025 - RPS: 767 - NFSe: 2997"</f>
        <v>Serv.Prest. 12/05/2025 a 18/05/2025 - RPS: 767 - NFSe: 2997</v>
      </c>
      <c r="H2583" t="str">
        <f t="shared" si="1293"/>
        <v>21/05/2025</v>
      </c>
      <c r="I2583" t="str">
        <f t="shared" ref="I2583:I2590" si="1298">("19/05/2025")</f>
        <v>19/05/2025</v>
      </c>
      <c r="J2583" t="str">
        <f t="shared" si="1294"/>
        <v>21/05/2025</v>
      </c>
      <c r="K2583">
        <v>668.16</v>
      </c>
      <c r="L2583">
        <v>668.16</v>
      </c>
      <c r="M2583">
        <v>303</v>
      </c>
      <c r="N2583" t="str">
        <f t="shared" si="1295"/>
        <v>RECEITAS COM ENTREGAS</v>
      </c>
      <c r="O2583">
        <v>668.16</v>
      </c>
      <c r="R2583" t="str">
        <f t="shared" si="1296"/>
        <v>RECEITAS COM ENTREGAS (303)</v>
      </c>
      <c r="S2583">
        <v>1557</v>
      </c>
      <c r="T2583">
        <v>1204</v>
      </c>
      <c r="U2583" t="s">
        <v>19</v>
      </c>
    </row>
    <row r="2584" spans="1:21">
      <c r="A2584" t="str">
        <f t="shared" si="1290"/>
        <v>21/05/2025</v>
      </c>
      <c r="B2584" t="str">
        <f t="shared" si="1297"/>
        <v>ENTRADA</v>
      </c>
      <c r="C2584" t="str">
        <f t="shared" si="1291"/>
        <v>NFSE</v>
      </c>
      <c r="D2584" t="str">
        <f>"2997"</f>
        <v>2997</v>
      </c>
      <c r="E2584" t="str">
        <f t="shared" si="1292"/>
        <v>COM</v>
      </c>
      <c r="F2584" t="str">
        <f>"DROGARIA AGAPEAMA (10167)"</f>
        <v>DROGARIA AGAPEAMA (10167)</v>
      </c>
      <c r="G2584" t="str">
        <f>"Serv.Prest. 12/05/2025 a 18/05/2025 - RPS: 767 - NFSe: 2997"</f>
        <v>Serv.Prest. 12/05/2025 a 18/05/2025 - RPS: 767 - NFSe: 2997</v>
      </c>
      <c r="H2584" t="str">
        <f t="shared" si="1293"/>
        <v>21/05/2025</v>
      </c>
      <c r="I2584" t="str">
        <f t="shared" si="1298"/>
        <v>19/05/2025</v>
      </c>
      <c r="J2584" t="str">
        <f t="shared" si="1294"/>
        <v>21/05/2025</v>
      </c>
      <c r="M2584">
        <v>303</v>
      </c>
      <c r="N2584" t="str">
        <f t="shared" si="1295"/>
        <v>RECEITAS COM ENTREGAS</v>
      </c>
      <c r="P2584">
        <v>668.16</v>
      </c>
      <c r="Q2584" t="str">
        <f>"DROGARIA AGAPEAMA (10167)"</f>
        <v>DROGARIA AGAPEAMA (10167)</v>
      </c>
      <c r="R2584" t="str">
        <f t="shared" si="1296"/>
        <v>RECEITAS COM ENTREGAS (303)</v>
      </c>
      <c r="S2584">
        <v>1557</v>
      </c>
      <c r="T2584">
        <v>1204</v>
      </c>
      <c r="U2584" t="s">
        <v>19</v>
      </c>
    </row>
    <row r="2585" spans="1:21">
      <c r="A2585" t="str">
        <f t="shared" si="1290"/>
        <v>21/05/2025</v>
      </c>
      <c r="B2585" t="str">
        <f t="shared" si="1297"/>
        <v>ENTRADA</v>
      </c>
      <c r="C2585" t="str">
        <f t="shared" si="1291"/>
        <v>NFSE</v>
      </c>
      <c r="D2585" t="str">
        <f>"2999"</f>
        <v>2999</v>
      </c>
      <c r="E2585" t="str">
        <f t="shared" si="1292"/>
        <v>COM</v>
      </c>
      <c r="F2585" t="str">
        <f>"ENTREFARMA (10164)"</f>
        <v>ENTREFARMA (10164)</v>
      </c>
      <c r="G2585" t="str">
        <f>"Serv.Prest. 12/05/2025 a 18/05/2025 - RPS: 769 - NFSe: 2999"</f>
        <v>Serv.Prest. 12/05/2025 a 18/05/2025 - RPS: 769 - NFSe: 2999</v>
      </c>
      <c r="H2585" t="str">
        <f t="shared" si="1293"/>
        <v>21/05/2025</v>
      </c>
      <c r="I2585" t="str">
        <f t="shared" si="1298"/>
        <v>19/05/2025</v>
      </c>
      <c r="J2585" t="str">
        <f t="shared" si="1294"/>
        <v>21/05/2025</v>
      </c>
      <c r="K2585">
        <v>1117.92</v>
      </c>
      <c r="L2585">
        <v>1117.92</v>
      </c>
      <c r="M2585">
        <v>303</v>
      </c>
      <c r="N2585" t="str">
        <f t="shared" si="1295"/>
        <v>RECEITAS COM ENTREGAS</v>
      </c>
      <c r="O2585">
        <v>1117.92</v>
      </c>
      <c r="R2585" t="str">
        <f t="shared" si="1296"/>
        <v>RECEITAS COM ENTREGAS (303)</v>
      </c>
      <c r="S2585">
        <v>1558</v>
      </c>
      <c r="T2585">
        <v>1206</v>
      </c>
      <c r="U2585" t="s">
        <v>19</v>
      </c>
    </row>
    <row r="2586" spans="1:21">
      <c r="A2586" t="str">
        <f t="shared" si="1290"/>
        <v>21/05/2025</v>
      </c>
      <c r="B2586" t="str">
        <f t="shared" si="1297"/>
        <v>ENTRADA</v>
      </c>
      <c r="C2586" t="str">
        <f t="shared" si="1291"/>
        <v>NFSE</v>
      </c>
      <c r="D2586" t="str">
        <f>"2999"</f>
        <v>2999</v>
      </c>
      <c r="E2586" t="str">
        <f t="shared" si="1292"/>
        <v>COM</v>
      </c>
      <c r="F2586" t="str">
        <f>"ENTREFARMA (10164)"</f>
        <v>ENTREFARMA (10164)</v>
      </c>
      <c r="G2586" t="str">
        <f>"Serv.Prest. 12/05/2025 a 18/05/2025 - RPS: 769 - NFSe: 2999"</f>
        <v>Serv.Prest. 12/05/2025 a 18/05/2025 - RPS: 769 - NFSe: 2999</v>
      </c>
      <c r="H2586" t="str">
        <f t="shared" si="1293"/>
        <v>21/05/2025</v>
      </c>
      <c r="I2586" t="str">
        <f t="shared" si="1298"/>
        <v>19/05/2025</v>
      </c>
      <c r="J2586" t="str">
        <f t="shared" si="1294"/>
        <v>21/05/2025</v>
      </c>
      <c r="M2586">
        <v>303</v>
      </c>
      <c r="N2586" t="str">
        <f t="shared" si="1295"/>
        <v>RECEITAS COM ENTREGAS</v>
      </c>
      <c r="P2586">
        <v>1117.92</v>
      </c>
      <c r="Q2586" t="str">
        <f>"ENTREFARMA (10164)"</f>
        <v>ENTREFARMA (10164)</v>
      </c>
      <c r="R2586" t="str">
        <f t="shared" si="1296"/>
        <v>RECEITAS COM ENTREGAS (303)</v>
      </c>
      <c r="S2586">
        <v>1558</v>
      </c>
      <c r="T2586">
        <v>1206</v>
      </c>
      <c r="U2586" t="s">
        <v>19</v>
      </c>
    </row>
    <row r="2587" spans="1:21">
      <c r="A2587" t="str">
        <f t="shared" si="1290"/>
        <v>21/05/2025</v>
      </c>
      <c r="B2587" t="str">
        <f t="shared" si="1297"/>
        <v>ENTRADA</v>
      </c>
      <c r="C2587" t="str">
        <f t="shared" si="1291"/>
        <v>NFSE</v>
      </c>
      <c r="D2587" t="str">
        <f>"3001"</f>
        <v>3001</v>
      </c>
      <c r="E2587" t="str">
        <f t="shared" si="1292"/>
        <v>COM</v>
      </c>
      <c r="F2587" t="str">
        <f>"FRAN FARMA (10124)"</f>
        <v>FRAN FARMA (10124)</v>
      </c>
      <c r="G2587" t="str">
        <f>"Serv.Prest. 12/05/2025 a 18/05/2025 - RPS: 771 - NFSe: 3001"</f>
        <v>Serv.Prest. 12/05/2025 a 18/05/2025 - RPS: 771 - NFSe: 3001</v>
      </c>
      <c r="H2587" t="str">
        <f t="shared" si="1293"/>
        <v>21/05/2025</v>
      </c>
      <c r="I2587" t="str">
        <f t="shared" si="1298"/>
        <v>19/05/2025</v>
      </c>
      <c r="J2587" t="str">
        <f t="shared" si="1294"/>
        <v>21/05/2025</v>
      </c>
      <c r="K2587">
        <v>320</v>
      </c>
      <c r="L2587">
        <v>320</v>
      </c>
      <c r="M2587">
        <v>303</v>
      </c>
      <c r="N2587" t="str">
        <f t="shared" si="1295"/>
        <v>RECEITAS COM ENTREGAS</v>
      </c>
      <c r="O2587">
        <v>320</v>
      </c>
      <c r="R2587" t="str">
        <f t="shared" si="1296"/>
        <v>RECEITAS COM ENTREGAS (303)</v>
      </c>
      <c r="S2587">
        <v>1603</v>
      </c>
      <c r="T2587">
        <v>1208</v>
      </c>
      <c r="U2587" t="s">
        <v>19</v>
      </c>
    </row>
    <row r="2588" spans="1:21">
      <c r="A2588" t="str">
        <f t="shared" si="1290"/>
        <v>21/05/2025</v>
      </c>
      <c r="B2588" t="str">
        <f t="shared" si="1297"/>
        <v>ENTRADA</v>
      </c>
      <c r="C2588" t="str">
        <f t="shared" si="1291"/>
        <v>NFSE</v>
      </c>
      <c r="D2588" t="str">
        <f>"3001"</f>
        <v>3001</v>
      </c>
      <c r="E2588" t="str">
        <f t="shared" si="1292"/>
        <v>COM</v>
      </c>
      <c r="F2588" t="str">
        <f>"FRAN FARMA (10124)"</f>
        <v>FRAN FARMA (10124)</v>
      </c>
      <c r="G2588" t="str">
        <f>"Serv.Prest. 12/05/2025 a 18/05/2025 - RPS: 771 - NFSe: 3001"</f>
        <v>Serv.Prest. 12/05/2025 a 18/05/2025 - RPS: 771 - NFSe: 3001</v>
      </c>
      <c r="H2588" t="str">
        <f t="shared" si="1293"/>
        <v>21/05/2025</v>
      </c>
      <c r="I2588" t="str">
        <f t="shared" si="1298"/>
        <v>19/05/2025</v>
      </c>
      <c r="J2588" t="str">
        <f t="shared" si="1294"/>
        <v>21/05/2025</v>
      </c>
      <c r="M2588">
        <v>303</v>
      </c>
      <c r="N2588" t="str">
        <f t="shared" si="1295"/>
        <v>RECEITAS COM ENTREGAS</v>
      </c>
      <c r="P2588">
        <v>64</v>
      </c>
      <c r="Q2588" t="str">
        <f>"FRAN FARMA (10124)"</f>
        <v>FRAN FARMA (10124)</v>
      </c>
      <c r="R2588" t="str">
        <f t="shared" si="1296"/>
        <v>RECEITAS COM ENTREGAS (303)</v>
      </c>
      <c r="S2588">
        <v>1603</v>
      </c>
      <c r="T2588">
        <v>1208</v>
      </c>
      <c r="U2588" t="s">
        <v>19</v>
      </c>
    </row>
    <row r="2589" spans="1:21">
      <c r="A2589" t="str">
        <f t="shared" si="1290"/>
        <v>21/05/2025</v>
      </c>
      <c r="B2589" t="str">
        <f t="shared" si="1297"/>
        <v>ENTRADA</v>
      </c>
      <c r="C2589" t="str">
        <f t="shared" si="1291"/>
        <v>NFSE</v>
      </c>
      <c r="D2589" t="str">
        <f>"3001"</f>
        <v>3001</v>
      </c>
      <c r="E2589" t="str">
        <f t="shared" si="1292"/>
        <v>COM</v>
      </c>
      <c r="F2589" t="str">
        <f>"FRAN FARMA (10124)"</f>
        <v>FRAN FARMA (10124)</v>
      </c>
      <c r="G2589" t="str">
        <f>"Serv.Prest. 12/05/2025 a 18/05/2025 - RPS: 771 - NFSe: 3001"</f>
        <v>Serv.Prest. 12/05/2025 a 18/05/2025 - RPS: 771 - NFSe: 3001</v>
      </c>
      <c r="H2589" t="str">
        <f t="shared" si="1293"/>
        <v>21/05/2025</v>
      </c>
      <c r="I2589" t="str">
        <f t="shared" si="1298"/>
        <v>19/05/2025</v>
      </c>
      <c r="J2589" t="str">
        <f t="shared" si="1294"/>
        <v>21/05/2025</v>
      </c>
      <c r="M2589">
        <v>303</v>
      </c>
      <c r="N2589" t="str">
        <f t="shared" si="1295"/>
        <v>RECEITAS COM ENTREGAS</v>
      </c>
      <c r="P2589">
        <v>192</v>
      </c>
      <c r="Q2589" t="str">
        <f>"FRAN FARMA LJ 2 (10131)"</f>
        <v>FRAN FARMA LJ 2 (10131)</v>
      </c>
      <c r="R2589" t="str">
        <f t="shared" si="1296"/>
        <v>RECEITAS COM ENTREGAS (303)</v>
      </c>
      <c r="S2589">
        <v>1603</v>
      </c>
      <c r="T2589">
        <v>1208</v>
      </c>
      <c r="U2589" t="s">
        <v>19</v>
      </c>
    </row>
    <row r="2590" spans="1:21">
      <c r="A2590" t="str">
        <f t="shared" si="1290"/>
        <v>21/05/2025</v>
      </c>
      <c r="B2590" t="str">
        <f t="shared" si="1297"/>
        <v>ENTRADA</v>
      </c>
      <c r="C2590" t="str">
        <f t="shared" si="1291"/>
        <v>NFSE</v>
      </c>
      <c r="D2590" t="str">
        <f>"3001"</f>
        <v>3001</v>
      </c>
      <c r="E2590" t="str">
        <f t="shared" si="1292"/>
        <v>COM</v>
      </c>
      <c r="F2590" t="str">
        <f>"FRAN FARMA (10124)"</f>
        <v>FRAN FARMA (10124)</v>
      </c>
      <c r="G2590" t="str">
        <f>"Serv.Prest. 12/05/2025 a 18/05/2025 - RPS: 771 - NFSe: 3001"</f>
        <v>Serv.Prest. 12/05/2025 a 18/05/2025 - RPS: 771 - NFSe: 3001</v>
      </c>
      <c r="H2590" t="str">
        <f t="shared" si="1293"/>
        <v>21/05/2025</v>
      </c>
      <c r="I2590" t="str">
        <f t="shared" si="1298"/>
        <v>19/05/2025</v>
      </c>
      <c r="J2590" t="str">
        <f t="shared" si="1294"/>
        <v>21/05/2025</v>
      </c>
      <c r="M2590">
        <v>303</v>
      </c>
      <c r="N2590" t="str">
        <f t="shared" si="1295"/>
        <v>RECEITAS COM ENTREGAS</v>
      </c>
      <c r="P2590">
        <v>64</v>
      </c>
      <c r="Q2590" t="str">
        <f>"FRAN FARMA LJ 3 (10132)"</f>
        <v>FRAN FARMA LJ 3 (10132)</v>
      </c>
      <c r="R2590" t="str">
        <f t="shared" si="1296"/>
        <v>RECEITAS COM ENTREGAS (303)</v>
      </c>
      <c r="S2590">
        <v>1603</v>
      </c>
      <c r="T2590">
        <v>1208</v>
      </c>
      <c r="U2590" t="s">
        <v>19</v>
      </c>
    </row>
    <row r="2591" spans="1:21">
      <c r="A2591" t="str">
        <f t="shared" si="1290"/>
        <v>21/05/2025</v>
      </c>
      <c r="B2591" t="str">
        <f t="shared" ref="B2591:B2593" si="1299">"SAÍDA"</f>
        <v>SAÍDA</v>
      </c>
      <c r="C2591" t="str">
        <f>"JUROS"</f>
        <v>JUROS</v>
      </c>
      <c r="D2591" t="str">
        <f>""</f>
        <v/>
      </c>
      <c r="E2591" t="str">
        <f>"CXA"</f>
        <v>CXA</v>
      </c>
      <c r="F2591" t="str">
        <f>""</f>
        <v/>
      </c>
      <c r="G2591" t="str">
        <f>"TAXA BOLETO COMPENSADO"</f>
        <v>TAXA BOLETO COMPENSADO</v>
      </c>
      <c r="H2591" t="str">
        <f t="shared" si="1293"/>
        <v>21/05/2025</v>
      </c>
      <c r="I2591" t="str">
        <f>("21/05/2025")</f>
        <v>21/05/2025</v>
      </c>
      <c r="J2591" t="str">
        <f t="shared" si="1294"/>
        <v>21/05/2025</v>
      </c>
      <c r="K2591">
        <v>1.7</v>
      </c>
      <c r="L2591">
        <v>1.7</v>
      </c>
      <c r="M2591">
        <v>401</v>
      </c>
      <c r="N2591" t="str">
        <f>"IOF/JUROS/DESP.FINANCEIRA"</f>
        <v>IOF/JUROS/DESP.FINANCEIRA</v>
      </c>
      <c r="O2591">
        <v>1.7</v>
      </c>
      <c r="R2591" t="str">
        <f>"BANCO CORA (102)"</f>
        <v>BANCO CORA (102)</v>
      </c>
      <c r="S2591">
        <v>1682</v>
      </c>
      <c r="T2591">
        <v>0</v>
      </c>
      <c r="U2591" t="s">
        <v>20</v>
      </c>
    </row>
    <row r="2592" spans="1:21">
      <c r="A2592" t="str">
        <f t="shared" si="1290"/>
        <v>21/05/2025</v>
      </c>
      <c r="B2592" t="str">
        <f t="shared" si="1299"/>
        <v>SAÍDA</v>
      </c>
      <c r="C2592" t="str">
        <f>"JUROS"</f>
        <v>JUROS</v>
      </c>
      <c r="D2592" t="str">
        <f>""</f>
        <v/>
      </c>
      <c r="E2592" t="str">
        <f>"CXA"</f>
        <v>CXA</v>
      </c>
      <c r="F2592" t="str">
        <f>""</f>
        <v/>
      </c>
      <c r="G2592" t="str">
        <f>"TAXA BOLETO COMPENSADO"</f>
        <v>TAXA BOLETO COMPENSADO</v>
      </c>
      <c r="H2592" t="str">
        <f t="shared" si="1293"/>
        <v>21/05/2025</v>
      </c>
      <c r="I2592" t="str">
        <f>("21/05/2025")</f>
        <v>21/05/2025</v>
      </c>
      <c r="J2592" t="str">
        <f t="shared" si="1294"/>
        <v>21/05/2025</v>
      </c>
      <c r="K2592">
        <v>1.7</v>
      </c>
      <c r="L2592">
        <v>1.7</v>
      </c>
      <c r="M2592">
        <v>401</v>
      </c>
      <c r="N2592" t="str">
        <f>"IOF/JUROS/DESP.FINANCEIRA"</f>
        <v>IOF/JUROS/DESP.FINANCEIRA</v>
      </c>
      <c r="O2592">
        <v>1.7</v>
      </c>
      <c r="R2592" t="str">
        <f>"BANCO CORA (102)"</f>
        <v>BANCO CORA (102)</v>
      </c>
      <c r="S2592">
        <v>1683</v>
      </c>
      <c r="T2592">
        <v>0</v>
      </c>
      <c r="U2592" t="s">
        <v>20</v>
      </c>
    </row>
    <row r="2593" spans="1:21">
      <c r="A2593" t="str">
        <f t="shared" si="1290"/>
        <v>21/05/2025</v>
      </c>
      <c r="B2593" t="str">
        <f t="shared" si="1299"/>
        <v>SAÍDA</v>
      </c>
      <c r="C2593" t="str">
        <f>"JUROS"</f>
        <v>JUROS</v>
      </c>
      <c r="D2593" t="str">
        <f>""</f>
        <v/>
      </c>
      <c r="E2593" t="str">
        <f>"CXA"</f>
        <v>CXA</v>
      </c>
      <c r="F2593" t="str">
        <f>""</f>
        <v/>
      </c>
      <c r="G2593" t="str">
        <f>"TAXA BOLETO COMPENSADO"</f>
        <v>TAXA BOLETO COMPENSADO</v>
      </c>
      <c r="H2593" t="str">
        <f t="shared" si="1293"/>
        <v>21/05/2025</v>
      </c>
      <c r="I2593" t="str">
        <f>("21/05/2025")</f>
        <v>21/05/2025</v>
      </c>
      <c r="J2593" t="str">
        <f t="shared" si="1294"/>
        <v>21/05/2025</v>
      </c>
      <c r="K2593">
        <v>1.7</v>
      </c>
      <c r="L2593">
        <v>1.7</v>
      </c>
      <c r="M2593">
        <v>401</v>
      </c>
      <c r="N2593" t="str">
        <f>"IOF/JUROS/DESP.FINANCEIRA"</f>
        <v>IOF/JUROS/DESP.FINANCEIRA</v>
      </c>
      <c r="O2593">
        <v>1.7</v>
      </c>
      <c r="R2593" t="str">
        <f>"BANCO CORA (102)"</f>
        <v>BANCO CORA (102)</v>
      </c>
      <c r="S2593">
        <v>1684</v>
      </c>
      <c r="T2593">
        <v>0</v>
      </c>
      <c r="U2593" t="s">
        <v>20</v>
      </c>
    </row>
    <row r="2594" spans="1:21">
      <c r="A2594" t="str">
        <f t="shared" ref="A2594:A2635" si="1300">("22/05/2025")</f>
        <v>22/05/2025</v>
      </c>
      <c r="B2594" t="str">
        <f>"ENTRADA"</f>
        <v>ENTRADA</v>
      </c>
      <c r="C2594" t="str">
        <f t="shared" ref="C2594:C2620" si="1301">"NFSE"</f>
        <v>NFSE</v>
      </c>
      <c r="D2594" t="str">
        <f>"2991"</f>
        <v>2991</v>
      </c>
      <c r="E2594" t="str">
        <f t="shared" ref="E2594:E2622" si="1302">"COM"</f>
        <v>COM</v>
      </c>
      <c r="F2594" t="str">
        <f>"AC FARMA - CID.ALTA (10166)"</f>
        <v>AC FARMA - CID.ALTA (10166)</v>
      </c>
      <c r="G2594" t="str">
        <f>"Serv.Prest. 05/05/2025 a 11/05/2025 - RPS: 761 - NFSe: 2991"</f>
        <v>Serv.Prest. 05/05/2025 a 11/05/2025 - RPS: 761 - NFSe: 2991</v>
      </c>
      <c r="H2594" t="str">
        <f t="shared" si="1293"/>
        <v>21/05/2025</v>
      </c>
      <c r="I2594" t="str">
        <f>("15/05/2025")</f>
        <v>15/05/2025</v>
      </c>
      <c r="J2594" t="str">
        <f t="shared" ref="J2594:J2635" si="1303">("22/05/2025")</f>
        <v>22/05/2025</v>
      </c>
      <c r="K2594">
        <v>1062.0999999999999</v>
      </c>
      <c r="L2594">
        <v>1062.0999999999999</v>
      </c>
      <c r="M2594">
        <v>303</v>
      </c>
      <c r="N2594" t="str">
        <f t="shared" ref="N2594:N2620" si="1304">"RECEITAS COM ENTREGAS"</f>
        <v>RECEITAS COM ENTREGAS</v>
      </c>
      <c r="O2594">
        <v>1062.0999999999999</v>
      </c>
      <c r="R2594" t="str">
        <f t="shared" ref="R2594:R2620" si="1305">"RECEITAS COM ENTREGAS (303)"</f>
        <v>RECEITAS COM ENTREGAS (303)</v>
      </c>
      <c r="S2594">
        <v>1559</v>
      </c>
      <c r="T2594">
        <v>1198</v>
      </c>
      <c r="U2594" t="s">
        <v>19</v>
      </c>
    </row>
    <row r="2595" spans="1:21">
      <c r="A2595" t="str">
        <f t="shared" si="1300"/>
        <v>22/05/2025</v>
      </c>
      <c r="B2595" t="str">
        <f t="shared" ref="B2595:B2620" si="1306">"ENTRADA"</f>
        <v>ENTRADA</v>
      </c>
      <c r="C2595" t="str">
        <f t="shared" si="1301"/>
        <v>NFSE</v>
      </c>
      <c r="D2595" t="str">
        <f>"2991"</f>
        <v>2991</v>
      </c>
      <c r="E2595" t="str">
        <f t="shared" si="1302"/>
        <v>COM</v>
      </c>
      <c r="F2595" t="str">
        <f>"AC FARMA - CID.ALTA (10166)"</f>
        <v>AC FARMA - CID.ALTA (10166)</v>
      </c>
      <c r="G2595" t="str">
        <f>"Serv.Prest. 05/05/2025 a 11/05/2025 - RPS: 761 - NFSe: 2991"</f>
        <v>Serv.Prest. 05/05/2025 a 11/05/2025 - RPS: 761 - NFSe: 2991</v>
      </c>
      <c r="H2595" t="str">
        <f t="shared" si="1293"/>
        <v>21/05/2025</v>
      </c>
      <c r="I2595" t="str">
        <f>("15/05/2025")</f>
        <v>15/05/2025</v>
      </c>
      <c r="J2595" t="str">
        <f t="shared" si="1303"/>
        <v>22/05/2025</v>
      </c>
      <c r="M2595">
        <v>303</v>
      </c>
      <c r="N2595" t="str">
        <f t="shared" si="1304"/>
        <v>RECEITAS COM ENTREGAS</v>
      </c>
      <c r="P2595">
        <v>1062.0999999999999</v>
      </c>
      <c r="Q2595" t="str">
        <f>"AC FARMA - CID.ALTA (10166)"</f>
        <v>AC FARMA - CID.ALTA (10166)</v>
      </c>
      <c r="R2595" t="str">
        <f t="shared" si="1305"/>
        <v>RECEITAS COM ENTREGAS (303)</v>
      </c>
      <c r="S2595">
        <v>1559</v>
      </c>
      <c r="T2595">
        <v>1198</v>
      </c>
      <c r="U2595" t="s">
        <v>19</v>
      </c>
    </row>
    <row r="2596" spans="1:21">
      <c r="A2596" t="str">
        <f t="shared" si="1300"/>
        <v>22/05/2025</v>
      </c>
      <c r="B2596" t="str">
        <f t="shared" si="1306"/>
        <v>ENTRADA</v>
      </c>
      <c r="C2596" t="str">
        <f t="shared" si="1301"/>
        <v>NFSE</v>
      </c>
      <c r="D2596" t="str">
        <f>"2992"</f>
        <v>2992</v>
      </c>
      <c r="E2596" t="str">
        <f t="shared" si="1302"/>
        <v>COM</v>
      </c>
      <c r="F2596" t="str">
        <f>"AC FARMA - FLEMINFARMA (10160)"</f>
        <v>AC FARMA - FLEMINFARMA (10160)</v>
      </c>
      <c r="G2596" t="str">
        <f>"Serv.Prest. 05/05/2025 a 11/05/2025 - RPS: 762 - NFSe: 2992"</f>
        <v>Serv.Prest. 05/05/2025 a 11/05/2025 - RPS: 762 - NFSe: 2992</v>
      </c>
      <c r="H2596" t="str">
        <f t="shared" si="1293"/>
        <v>21/05/2025</v>
      </c>
      <c r="I2596" t="str">
        <f>("15/05/2025")</f>
        <v>15/05/2025</v>
      </c>
      <c r="J2596" t="str">
        <f t="shared" si="1303"/>
        <v>22/05/2025</v>
      </c>
      <c r="K2596">
        <v>250.56</v>
      </c>
      <c r="L2596">
        <v>250.56</v>
      </c>
      <c r="M2596">
        <v>303</v>
      </c>
      <c r="N2596" t="str">
        <f t="shared" si="1304"/>
        <v>RECEITAS COM ENTREGAS</v>
      </c>
      <c r="O2596">
        <v>250.56</v>
      </c>
      <c r="R2596" t="str">
        <f t="shared" si="1305"/>
        <v>RECEITAS COM ENTREGAS (303)</v>
      </c>
      <c r="S2596">
        <v>1560</v>
      </c>
      <c r="T2596">
        <v>1199</v>
      </c>
      <c r="U2596" t="s">
        <v>19</v>
      </c>
    </row>
    <row r="2597" spans="1:21">
      <c r="A2597" t="str">
        <f t="shared" si="1300"/>
        <v>22/05/2025</v>
      </c>
      <c r="B2597" t="str">
        <f t="shared" si="1306"/>
        <v>ENTRADA</v>
      </c>
      <c r="C2597" t="str">
        <f t="shared" si="1301"/>
        <v>NFSE</v>
      </c>
      <c r="D2597" t="str">
        <f>"2992"</f>
        <v>2992</v>
      </c>
      <c r="E2597" t="str">
        <f t="shared" si="1302"/>
        <v>COM</v>
      </c>
      <c r="F2597" t="str">
        <f>"AC FARMA - FLEMINFARMA (10160)"</f>
        <v>AC FARMA - FLEMINFARMA (10160)</v>
      </c>
      <c r="G2597" t="str">
        <f>"Serv.Prest. 05/05/2025 a 11/05/2025 - RPS: 762 - NFSe: 2992"</f>
        <v>Serv.Prest. 05/05/2025 a 11/05/2025 - RPS: 762 - NFSe: 2992</v>
      </c>
      <c r="H2597" t="str">
        <f t="shared" si="1293"/>
        <v>21/05/2025</v>
      </c>
      <c r="I2597" t="str">
        <f>("15/05/2025")</f>
        <v>15/05/2025</v>
      </c>
      <c r="J2597" t="str">
        <f t="shared" si="1303"/>
        <v>22/05/2025</v>
      </c>
      <c r="M2597">
        <v>303</v>
      </c>
      <c r="N2597" t="str">
        <f t="shared" si="1304"/>
        <v>RECEITAS COM ENTREGAS</v>
      </c>
      <c r="P2597">
        <v>245</v>
      </c>
      <c r="Q2597" t="str">
        <f>"FARMACIA E PERFUMARIA CIDADE ALTA LTDA (10159)"</f>
        <v>FARMACIA E PERFUMARIA CIDADE ALTA LTDA (10159)</v>
      </c>
      <c r="R2597" t="str">
        <f t="shared" si="1305"/>
        <v>RECEITAS COM ENTREGAS (303)</v>
      </c>
      <c r="S2597">
        <v>1560</v>
      </c>
      <c r="T2597">
        <v>1199</v>
      </c>
      <c r="U2597" t="s">
        <v>19</v>
      </c>
    </row>
    <row r="2598" spans="1:21">
      <c r="A2598" t="str">
        <f t="shared" si="1300"/>
        <v>22/05/2025</v>
      </c>
      <c r="B2598" t="str">
        <f t="shared" si="1306"/>
        <v>ENTRADA</v>
      </c>
      <c r="C2598" t="str">
        <f t="shared" si="1301"/>
        <v>NFSE</v>
      </c>
      <c r="D2598" t="str">
        <f>"2992"</f>
        <v>2992</v>
      </c>
      <c r="E2598" t="str">
        <f t="shared" si="1302"/>
        <v>COM</v>
      </c>
      <c r="F2598" t="str">
        <f>"AC FARMA - FLEMINFARMA (10160)"</f>
        <v>AC FARMA - FLEMINFARMA (10160)</v>
      </c>
      <c r="G2598" t="str">
        <f>"Serv.Prest. 05/05/2025 a 11/05/2025 - RPS: 762 - NFSe: 2992"</f>
        <v>Serv.Prest. 05/05/2025 a 11/05/2025 - RPS: 762 - NFSe: 2992</v>
      </c>
      <c r="H2598" t="str">
        <f t="shared" si="1293"/>
        <v>21/05/2025</v>
      </c>
      <c r="I2598" t="str">
        <f>("15/05/2025")</f>
        <v>15/05/2025</v>
      </c>
      <c r="J2598" t="str">
        <f t="shared" si="1303"/>
        <v>22/05/2025</v>
      </c>
      <c r="M2598">
        <v>303</v>
      </c>
      <c r="N2598" t="str">
        <f t="shared" si="1304"/>
        <v>RECEITAS COM ENTREGAS</v>
      </c>
      <c r="P2598">
        <v>5.56</v>
      </c>
      <c r="Q2598" t="str">
        <f>"AC FARMA - FLEMINFARMA (10160)"</f>
        <v>AC FARMA - FLEMINFARMA (10160)</v>
      </c>
      <c r="R2598" t="str">
        <f t="shared" si="1305"/>
        <v>RECEITAS COM ENTREGAS (303)</v>
      </c>
      <c r="S2598">
        <v>1560</v>
      </c>
      <c r="T2598">
        <v>1199</v>
      </c>
      <c r="U2598" t="s">
        <v>19</v>
      </c>
    </row>
    <row r="2599" spans="1:21">
      <c r="A2599" t="str">
        <f t="shared" si="1300"/>
        <v>22/05/2025</v>
      </c>
      <c r="B2599" t="str">
        <f t="shared" si="1306"/>
        <v>ENTRADA</v>
      </c>
      <c r="C2599" t="str">
        <f t="shared" si="1301"/>
        <v>NFSE</v>
      </c>
      <c r="D2599" t="str">
        <f>"2993"</f>
        <v>2993</v>
      </c>
      <c r="E2599" t="str">
        <f t="shared" si="1302"/>
        <v>COM</v>
      </c>
      <c r="F2599" t="str">
        <f>"BRASIL FARMA (10173)"</f>
        <v>BRASIL FARMA (10173)</v>
      </c>
      <c r="G2599" t="str">
        <f>"Serv.Prest. 12/05/2025 a 18/05/2025 - RPS: 763 - NFSe: 2993"</f>
        <v>Serv.Prest. 12/05/2025 a 18/05/2025 - RPS: 763 - NFSe: 2993</v>
      </c>
      <c r="H2599" t="str">
        <f t="shared" si="1293"/>
        <v>21/05/2025</v>
      </c>
      <c r="I2599" t="str">
        <f t="shared" ref="I2599:I2610" si="1307">("19/05/2025")</f>
        <v>19/05/2025</v>
      </c>
      <c r="J2599" t="str">
        <f t="shared" si="1303"/>
        <v>22/05/2025</v>
      </c>
      <c r="K2599">
        <v>320.95999999999998</v>
      </c>
      <c r="L2599">
        <v>320.95999999999998</v>
      </c>
      <c r="M2599">
        <v>303</v>
      </c>
      <c r="N2599" t="str">
        <f t="shared" si="1304"/>
        <v>RECEITAS COM ENTREGAS</v>
      </c>
      <c r="O2599">
        <v>320.95999999999998</v>
      </c>
      <c r="R2599" t="str">
        <f t="shared" si="1305"/>
        <v>RECEITAS COM ENTREGAS (303)</v>
      </c>
      <c r="S2599">
        <v>1561</v>
      </c>
      <c r="T2599">
        <v>1200</v>
      </c>
      <c r="U2599" t="s">
        <v>19</v>
      </c>
    </row>
    <row r="2600" spans="1:21">
      <c r="A2600" t="str">
        <f t="shared" si="1300"/>
        <v>22/05/2025</v>
      </c>
      <c r="B2600" t="str">
        <f t="shared" si="1306"/>
        <v>ENTRADA</v>
      </c>
      <c r="C2600" t="str">
        <f t="shared" si="1301"/>
        <v>NFSE</v>
      </c>
      <c r="D2600" t="str">
        <f>"2993"</f>
        <v>2993</v>
      </c>
      <c r="E2600" t="str">
        <f t="shared" si="1302"/>
        <v>COM</v>
      </c>
      <c r="F2600" t="str">
        <f>"BRASIL FARMA (10173)"</f>
        <v>BRASIL FARMA (10173)</v>
      </c>
      <c r="G2600" t="str">
        <f>"Serv.Prest. 12/05/2025 a 18/05/2025 - RPS: 763 - NFSe: 2993"</f>
        <v>Serv.Prest. 12/05/2025 a 18/05/2025 - RPS: 763 - NFSe: 2993</v>
      </c>
      <c r="H2600" t="str">
        <f t="shared" si="1293"/>
        <v>21/05/2025</v>
      </c>
      <c r="I2600" t="str">
        <f t="shared" si="1307"/>
        <v>19/05/2025</v>
      </c>
      <c r="J2600" t="str">
        <f t="shared" si="1303"/>
        <v>22/05/2025</v>
      </c>
      <c r="M2600">
        <v>303</v>
      </c>
      <c r="N2600" t="str">
        <f t="shared" si="1304"/>
        <v>RECEITAS COM ENTREGAS</v>
      </c>
      <c r="P2600">
        <v>320.95999999999998</v>
      </c>
      <c r="Q2600" t="str">
        <f>"BRASIL FARMA (10173)"</f>
        <v>BRASIL FARMA (10173)</v>
      </c>
      <c r="R2600" t="str">
        <f t="shared" si="1305"/>
        <v>RECEITAS COM ENTREGAS (303)</v>
      </c>
      <c r="S2600">
        <v>1561</v>
      </c>
      <c r="T2600">
        <v>1200</v>
      </c>
      <c r="U2600" t="s">
        <v>19</v>
      </c>
    </row>
    <row r="2601" spans="1:21">
      <c r="A2601" t="str">
        <f t="shared" si="1300"/>
        <v>22/05/2025</v>
      </c>
      <c r="B2601" t="str">
        <f t="shared" si="1306"/>
        <v>ENTRADA</v>
      </c>
      <c r="C2601" t="str">
        <f t="shared" si="1301"/>
        <v>NFSE</v>
      </c>
      <c r="D2601" t="str">
        <f>"2994"</f>
        <v>2994</v>
      </c>
      <c r="E2601" t="str">
        <f t="shared" si="1302"/>
        <v>COM</v>
      </c>
      <c r="F2601" t="str">
        <f>"DELTA LOJA 2 (10123)"</f>
        <v>DELTA LOJA 2 (10123)</v>
      </c>
      <c r="G2601" t="str">
        <f>"Serv.Prest. 12/05/2025 a 18/05/2025 - RPS: 764 - NFSe: 2994"</f>
        <v>Serv.Prest. 12/05/2025 a 18/05/2025 - RPS: 764 - NFSe: 2994</v>
      </c>
      <c r="H2601" t="str">
        <f t="shared" si="1293"/>
        <v>21/05/2025</v>
      </c>
      <c r="I2601" t="str">
        <f t="shared" si="1307"/>
        <v>19/05/2025</v>
      </c>
      <c r="J2601" t="str">
        <f t="shared" si="1303"/>
        <v>22/05/2025</v>
      </c>
      <c r="K2601">
        <v>480.48</v>
      </c>
      <c r="L2601">
        <v>480.48</v>
      </c>
      <c r="M2601">
        <v>303</v>
      </c>
      <c r="N2601" t="str">
        <f t="shared" si="1304"/>
        <v>RECEITAS COM ENTREGAS</v>
      </c>
      <c r="O2601">
        <v>480.48</v>
      </c>
      <c r="R2601" t="str">
        <f t="shared" si="1305"/>
        <v>RECEITAS COM ENTREGAS (303)</v>
      </c>
      <c r="S2601">
        <v>1562</v>
      </c>
      <c r="T2601">
        <v>1201</v>
      </c>
      <c r="U2601" t="s">
        <v>19</v>
      </c>
    </row>
    <row r="2602" spans="1:21">
      <c r="A2602" t="str">
        <f t="shared" si="1300"/>
        <v>22/05/2025</v>
      </c>
      <c r="B2602" t="str">
        <f t="shared" si="1306"/>
        <v>ENTRADA</v>
      </c>
      <c r="C2602" t="str">
        <f t="shared" si="1301"/>
        <v>NFSE</v>
      </c>
      <c r="D2602" t="str">
        <f>"2994"</f>
        <v>2994</v>
      </c>
      <c r="E2602" t="str">
        <f t="shared" si="1302"/>
        <v>COM</v>
      </c>
      <c r="F2602" t="str">
        <f>"DELTA LOJA 2 (10123)"</f>
        <v>DELTA LOJA 2 (10123)</v>
      </c>
      <c r="G2602" t="str">
        <f>"Serv.Prest. 12/05/2025 a 18/05/2025 - RPS: 764 - NFSe: 2994"</f>
        <v>Serv.Prest. 12/05/2025 a 18/05/2025 - RPS: 764 - NFSe: 2994</v>
      </c>
      <c r="H2602" t="str">
        <f t="shared" si="1293"/>
        <v>21/05/2025</v>
      </c>
      <c r="I2602" t="str">
        <f t="shared" si="1307"/>
        <v>19/05/2025</v>
      </c>
      <c r="J2602" t="str">
        <f t="shared" si="1303"/>
        <v>22/05/2025</v>
      </c>
      <c r="M2602">
        <v>303</v>
      </c>
      <c r="N2602" t="str">
        <f t="shared" si="1304"/>
        <v>RECEITAS COM ENTREGAS</v>
      </c>
      <c r="P2602">
        <v>480.48</v>
      </c>
      <c r="Q2602" t="str">
        <f>"DELTA LOJA 2 (10123)"</f>
        <v>DELTA LOJA 2 (10123)</v>
      </c>
      <c r="R2602" t="str">
        <f t="shared" si="1305"/>
        <v>RECEITAS COM ENTREGAS (303)</v>
      </c>
      <c r="S2602">
        <v>1562</v>
      </c>
      <c r="T2602">
        <v>1201</v>
      </c>
      <c r="U2602" t="s">
        <v>19</v>
      </c>
    </row>
    <row r="2603" spans="1:21">
      <c r="A2603" t="str">
        <f t="shared" si="1300"/>
        <v>22/05/2025</v>
      </c>
      <c r="B2603" t="str">
        <f t="shared" si="1306"/>
        <v>ENTRADA</v>
      </c>
      <c r="C2603" t="str">
        <f t="shared" si="1301"/>
        <v>NFSE</v>
      </c>
      <c r="D2603" t="str">
        <f>"2995"</f>
        <v>2995</v>
      </c>
      <c r="E2603" t="str">
        <f t="shared" si="1302"/>
        <v>COM</v>
      </c>
      <c r="F2603" t="str">
        <f>"DROGA ELIDA (10121)"</f>
        <v>DROGA ELIDA (10121)</v>
      </c>
      <c r="G2603" t="str">
        <f>"Serv.Prest. 12/05/2025 a 18/05/2025 - RPS: 765 - NFSe: 2995"</f>
        <v>Serv.Prest. 12/05/2025 a 18/05/2025 - RPS: 765 - NFSe: 2995</v>
      </c>
      <c r="H2603" t="str">
        <f t="shared" si="1293"/>
        <v>21/05/2025</v>
      </c>
      <c r="I2603" t="str">
        <f t="shared" si="1307"/>
        <v>19/05/2025</v>
      </c>
      <c r="J2603" t="str">
        <f t="shared" si="1303"/>
        <v>22/05/2025</v>
      </c>
      <c r="K2603">
        <v>350.4</v>
      </c>
      <c r="L2603">
        <v>350.4</v>
      </c>
      <c r="M2603">
        <v>303</v>
      </c>
      <c r="N2603" t="str">
        <f t="shared" si="1304"/>
        <v>RECEITAS COM ENTREGAS</v>
      </c>
      <c r="O2603">
        <v>350.4</v>
      </c>
      <c r="R2603" t="str">
        <f t="shared" si="1305"/>
        <v>RECEITAS COM ENTREGAS (303)</v>
      </c>
      <c r="S2603">
        <v>1563</v>
      </c>
      <c r="T2603">
        <v>1202</v>
      </c>
      <c r="U2603" t="s">
        <v>19</v>
      </c>
    </row>
    <row r="2604" spans="1:21">
      <c r="A2604" t="str">
        <f t="shared" si="1300"/>
        <v>22/05/2025</v>
      </c>
      <c r="B2604" t="str">
        <f t="shared" si="1306"/>
        <v>ENTRADA</v>
      </c>
      <c r="C2604" t="str">
        <f t="shared" si="1301"/>
        <v>NFSE</v>
      </c>
      <c r="D2604" t="str">
        <f>"2995"</f>
        <v>2995</v>
      </c>
      <c r="E2604" t="str">
        <f t="shared" si="1302"/>
        <v>COM</v>
      </c>
      <c r="F2604" t="str">
        <f>"DROGA ELIDA (10121)"</f>
        <v>DROGA ELIDA (10121)</v>
      </c>
      <c r="G2604" t="str">
        <f>"Serv.Prest. 12/05/2025 a 18/05/2025 - RPS: 765 - NFSe: 2995"</f>
        <v>Serv.Prest. 12/05/2025 a 18/05/2025 - RPS: 765 - NFSe: 2995</v>
      </c>
      <c r="H2604" t="str">
        <f t="shared" si="1293"/>
        <v>21/05/2025</v>
      </c>
      <c r="I2604" t="str">
        <f t="shared" si="1307"/>
        <v>19/05/2025</v>
      </c>
      <c r="J2604" t="str">
        <f t="shared" si="1303"/>
        <v>22/05/2025</v>
      </c>
      <c r="M2604">
        <v>303</v>
      </c>
      <c r="N2604" t="str">
        <f t="shared" si="1304"/>
        <v>RECEITAS COM ENTREGAS</v>
      </c>
      <c r="P2604">
        <v>350.4</v>
      </c>
      <c r="Q2604" t="str">
        <f>"DROGA ELIDA (10121)"</f>
        <v>DROGA ELIDA (10121)</v>
      </c>
      <c r="R2604" t="str">
        <f t="shared" si="1305"/>
        <v>RECEITAS COM ENTREGAS (303)</v>
      </c>
      <c r="S2604">
        <v>1563</v>
      </c>
      <c r="T2604">
        <v>1202</v>
      </c>
      <c r="U2604" t="s">
        <v>19</v>
      </c>
    </row>
    <row r="2605" spans="1:21">
      <c r="A2605" t="str">
        <f t="shared" si="1300"/>
        <v>22/05/2025</v>
      </c>
      <c r="B2605" t="str">
        <f t="shared" si="1306"/>
        <v>ENTRADA</v>
      </c>
      <c r="C2605" t="str">
        <f t="shared" si="1301"/>
        <v>NFSE</v>
      </c>
      <c r="D2605" t="str">
        <f>"2996"</f>
        <v>2996</v>
      </c>
      <c r="E2605" t="str">
        <f t="shared" si="1302"/>
        <v>COM</v>
      </c>
      <c r="F2605" t="str">
        <f>"DROGA MONICA LJ 3 (10152)"</f>
        <v>DROGA MONICA LJ 3 (10152)</v>
      </c>
      <c r="G2605" t="str">
        <f>"Serv.Prest. 12/05/2025 a 18/05/2025 - RPS: 766 - NFSe: 2996"</f>
        <v>Serv.Prest. 12/05/2025 a 18/05/2025 - RPS: 766 - NFSe: 2996</v>
      </c>
      <c r="H2605" t="str">
        <f t="shared" si="1293"/>
        <v>21/05/2025</v>
      </c>
      <c r="I2605" t="str">
        <f t="shared" si="1307"/>
        <v>19/05/2025</v>
      </c>
      <c r="J2605" t="str">
        <f t="shared" si="1303"/>
        <v>22/05/2025</v>
      </c>
      <c r="K2605">
        <v>206.4</v>
      </c>
      <c r="L2605">
        <v>206.4</v>
      </c>
      <c r="M2605">
        <v>303</v>
      </c>
      <c r="N2605" t="str">
        <f t="shared" si="1304"/>
        <v>RECEITAS COM ENTREGAS</v>
      </c>
      <c r="O2605">
        <v>206.4</v>
      </c>
      <c r="R2605" t="str">
        <f t="shared" si="1305"/>
        <v>RECEITAS COM ENTREGAS (303)</v>
      </c>
      <c r="S2605">
        <v>1564</v>
      </c>
      <c r="T2605">
        <v>1203</v>
      </c>
      <c r="U2605" t="s">
        <v>19</v>
      </c>
    </row>
    <row r="2606" spans="1:21">
      <c r="A2606" t="str">
        <f t="shared" si="1300"/>
        <v>22/05/2025</v>
      </c>
      <c r="B2606" t="str">
        <f t="shared" si="1306"/>
        <v>ENTRADA</v>
      </c>
      <c r="C2606" t="str">
        <f t="shared" si="1301"/>
        <v>NFSE</v>
      </c>
      <c r="D2606" t="str">
        <f>"2996"</f>
        <v>2996</v>
      </c>
      <c r="E2606" t="str">
        <f t="shared" si="1302"/>
        <v>COM</v>
      </c>
      <c r="F2606" t="str">
        <f>"DROGA MONICA LJ 3 (10152)"</f>
        <v>DROGA MONICA LJ 3 (10152)</v>
      </c>
      <c r="G2606" t="str">
        <f>"Serv.Prest. 12/05/2025 a 18/05/2025 - RPS: 766 - NFSe: 2996"</f>
        <v>Serv.Prest. 12/05/2025 a 18/05/2025 - RPS: 766 - NFSe: 2996</v>
      </c>
      <c r="H2606" t="str">
        <f t="shared" si="1293"/>
        <v>21/05/2025</v>
      </c>
      <c r="I2606" t="str">
        <f t="shared" si="1307"/>
        <v>19/05/2025</v>
      </c>
      <c r="J2606" t="str">
        <f t="shared" si="1303"/>
        <v>22/05/2025</v>
      </c>
      <c r="M2606">
        <v>303</v>
      </c>
      <c r="N2606" t="str">
        <f t="shared" si="1304"/>
        <v>RECEITAS COM ENTREGAS</v>
      </c>
      <c r="P2606">
        <v>206.4</v>
      </c>
      <c r="Q2606" t="str">
        <f>"DROGA MONICA LJ 3 (10152)"</f>
        <v>DROGA MONICA LJ 3 (10152)</v>
      </c>
      <c r="R2606" t="str">
        <f t="shared" si="1305"/>
        <v>RECEITAS COM ENTREGAS (303)</v>
      </c>
      <c r="S2606">
        <v>1564</v>
      </c>
      <c r="T2606">
        <v>1203</v>
      </c>
      <c r="U2606" t="s">
        <v>19</v>
      </c>
    </row>
    <row r="2607" spans="1:21">
      <c r="A2607" t="str">
        <f t="shared" si="1300"/>
        <v>22/05/2025</v>
      </c>
      <c r="B2607" t="str">
        <f t="shared" si="1306"/>
        <v>ENTRADA</v>
      </c>
      <c r="C2607" t="str">
        <f t="shared" si="1301"/>
        <v>NFSE</v>
      </c>
      <c r="D2607" t="str">
        <f>"3000"</f>
        <v>3000</v>
      </c>
      <c r="E2607" t="str">
        <f t="shared" si="1302"/>
        <v>COM</v>
      </c>
      <c r="F2607" t="str">
        <f>"ROSA MARIA LTDA (10165)"</f>
        <v>ROSA MARIA LTDA (10165)</v>
      </c>
      <c r="G2607" t="str">
        <f>"Serv.Prest. 12/05/2025 a 18/05/2025 - RPS: 770 - NFSe: 3000"</f>
        <v>Serv.Prest. 12/05/2025 a 18/05/2025 - RPS: 770 - NFSe: 3000</v>
      </c>
      <c r="H2607" t="str">
        <f t="shared" si="1293"/>
        <v>21/05/2025</v>
      </c>
      <c r="I2607" t="str">
        <f t="shared" si="1307"/>
        <v>19/05/2025</v>
      </c>
      <c r="J2607" t="str">
        <f t="shared" si="1303"/>
        <v>22/05/2025</v>
      </c>
      <c r="K2607">
        <v>329.12</v>
      </c>
      <c r="L2607">
        <v>329.12</v>
      </c>
      <c r="M2607">
        <v>303</v>
      </c>
      <c r="N2607" t="str">
        <f t="shared" si="1304"/>
        <v>RECEITAS COM ENTREGAS</v>
      </c>
      <c r="O2607">
        <v>329.12</v>
      </c>
      <c r="R2607" t="str">
        <f t="shared" si="1305"/>
        <v>RECEITAS COM ENTREGAS (303)</v>
      </c>
      <c r="S2607">
        <v>1565</v>
      </c>
      <c r="T2607">
        <v>1207</v>
      </c>
      <c r="U2607" t="s">
        <v>19</v>
      </c>
    </row>
    <row r="2608" spans="1:21">
      <c r="A2608" t="str">
        <f t="shared" si="1300"/>
        <v>22/05/2025</v>
      </c>
      <c r="B2608" t="str">
        <f t="shared" si="1306"/>
        <v>ENTRADA</v>
      </c>
      <c r="C2608" t="str">
        <f t="shared" si="1301"/>
        <v>NFSE</v>
      </c>
      <c r="D2608" t="str">
        <f>"3000"</f>
        <v>3000</v>
      </c>
      <c r="E2608" t="str">
        <f t="shared" si="1302"/>
        <v>COM</v>
      </c>
      <c r="F2608" t="str">
        <f>"ROSA MARIA LTDA (10165)"</f>
        <v>ROSA MARIA LTDA (10165)</v>
      </c>
      <c r="G2608" t="str">
        <f>"Serv.Prest. 12/05/2025 a 18/05/2025 - RPS: 770 - NFSe: 3000"</f>
        <v>Serv.Prest. 12/05/2025 a 18/05/2025 - RPS: 770 - NFSe: 3000</v>
      </c>
      <c r="H2608" t="str">
        <f t="shared" si="1293"/>
        <v>21/05/2025</v>
      </c>
      <c r="I2608" t="str">
        <f t="shared" si="1307"/>
        <v>19/05/2025</v>
      </c>
      <c r="J2608" t="str">
        <f t="shared" si="1303"/>
        <v>22/05/2025</v>
      </c>
      <c r="M2608">
        <v>303</v>
      </c>
      <c r="N2608" t="str">
        <f t="shared" si="1304"/>
        <v>RECEITAS COM ENTREGAS</v>
      </c>
      <c r="P2608">
        <v>329.12</v>
      </c>
      <c r="Q2608" t="str">
        <f>"ROSA MARIA LTDA (10170)"</f>
        <v>ROSA MARIA LTDA (10170)</v>
      </c>
      <c r="R2608" t="str">
        <f t="shared" si="1305"/>
        <v>RECEITAS COM ENTREGAS (303)</v>
      </c>
      <c r="S2608">
        <v>1565</v>
      </c>
      <c r="T2608">
        <v>1207</v>
      </c>
      <c r="U2608" t="s">
        <v>19</v>
      </c>
    </row>
    <row r="2609" spans="1:21">
      <c r="A2609" t="str">
        <f t="shared" si="1300"/>
        <v>22/05/2025</v>
      </c>
      <c r="B2609" t="str">
        <f t="shared" si="1306"/>
        <v>ENTRADA</v>
      </c>
      <c r="C2609" t="str">
        <f t="shared" si="1301"/>
        <v>NFSE</v>
      </c>
      <c r="D2609" t="str">
        <f>"3005"</f>
        <v>3005</v>
      </c>
      <c r="E2609" t="str">
        <f t="shared" si="1302"/>
        <v>COM</v>
      </c>
      <c r="F2609" t="str">
        <f>"JAL FARMACIA E DROGARIA LJ 1 (10137)"</f>
        <v>JAL FARMACIA E DROGARIA LJ 1 (10137)</v>
      </c>
      <c r="G2609" t="str">
        <f>"Serv.Prest. 12/05/2025 a 18/05/2025 - RPS: 775 - NFSe: 3005"</f>
        <v>Serv.Prest. 12/05/2025 a 18/05/2025 - RPS: 775 - NFSe: 3005</v>
      </c>
      <c r="H2609" t="str">
        <f t="shared" si="1293"/>
        <v>21/05/2025</v>
      </c>
      <c r="I2609" t="str">
        <f t="shared" si="1307"/>
        <v>19/05/2025</v>
      </c>
      <c r="J2609" t="str">
        <f t="shared" si="1303"/>
        <v>22/05/2025</v>
      </c>
      <c r="K2609">
        <v>384</v>
      </c>
      <c r="L2609">
        <v>384</v>
      </c>
      <c r="M2609">
        <v>303</v>
      </c>
      <c r="N2609" t="str">
        <f t="shared" si="1304"/>
        <v>RECEITAS COM ENTREGAS</v>
      </c>
      <c r="O2609">
        <v>384</v>
      </c>
      <c r="R2609" t="str">
        <f t="shared" si="1305"/>
        <v>RECEITAS COM ENTREGAS (303)</v>
      </c>
      <c r="S2609">
        <v>1566</v>
      </c>
      <c r="T2609">
        <v>1212</v>
      </c>
      <c r="U2609" t="s">
        <v>19</v>
      </c>
    </row>
    <row r="2610" spans="1:21">
      <c r="A2610" t="str">
        <f t="shared" si="1300"/>
        <v>22/05/2025</v>
      </c>
      <c r="B2610" t="str">
        <f t="shared" si="1306"/>
        <v>ENTRADA</v>
      </c>
      <c r="C2610" t="str">
        <f t="shared" si="1301"/>
        <v>NFSE</v>
      </c>
      <c r="D2610" t="str">
        <f>"3005"</f>
        <v>3005</v>
      </c>
      <c r="E2610" t="str">
        <f t="shared" si="1302"/>
        <v>COM</v>
      </c>
      <c r="F2610" t="str">
        <f>"JAL FARMACIA E DROGARIA LJ 1 (10137)"</f>
        <v>JAL FARMACIA E DROGARIA LJ 1 (10137)</v>
      </c>
      <c r="G2610" t="str">
        <f>"Serv.Prest. 12/05/2025 a 18/05/2025 - RPS: 775 - NFSe: 3005"</f>
        <v>Serv.Prest. 12/05/2025 a 18/05/2025 - RPS: 775 - NFSe: 3005</v>
      </c>
      <c r="H2610" t="str">
        <f t="shared" si="1293"/>
        <v>21/05/2025</v>
      </c>
      <c r="I2610" t="str">
        <f t="shared" si="1307"/>
        <v>19/05/2025</v>
      </c>
      <c r="J2610" t="str">
        <f t="shared" si="1303"/>
        <v>22/05/2025</v>
      </c>
      <c r="M2610">
        <v>303</v>
      </c>
      <c r="N2610" t="str">
        <f t="shared" si="1304"/>
        <v>RECEITAS COM ENTREGAS</v>
      </c>
      <c r="P2610">
        <v>384</v>
      </c>
      <c r="Q2610" t="str">
        <f>"JAL FARMACIA E DROGARIA LJ 1 (10137)"</f>
        <v>JAL FARMACIA E DROGARIA LJ 1 (10137)</v>
      </c>
      <c r="R2610" t="str">
        <f t="shared" si="1305"/>
        <v>RECEITAS COM ENTREGAS (303)</v>
      </c>
      <c r="S2610">
        <v>1566</v>
      </c>
      <c r="T2610">
        <v>1212</v>
      </c>
      <c r="U2610" t="s">
        <v>19</v>
      </c>
    </row>
    <row r="2611" spans="1:21">
      <c r="A2611" t="str">
        <f t="shared" si="1300"/>
        <v>22/05/2025</v>
      </c>
      <c r="B2611" t="str">
        <f t="shared" si="1306"/>
        <v>ENTRADA</v>
      </c>
      <c r="C2611" t="str">
        <f t="shared" si="1301"/>
        <v>NFSE</v>
      </c>
      <c r="D2611" t="str">
        <f>"3011"</f>
        <v>3011</v>
      </c>
      <c r="E2611" t="str">
        <f t="shared" si="1302"/>
        <v>COM</v>
      </c>
      <c r="F2611" t="str">
        <f>"DROGARIA MEDIC CENTER LTDA (10172)"</f>
        <v>DROGARIA MEDIC CENTER LTDA (10172)</v>
      </c>
      <c r="G2611" t="str">
        <f>"Serv.Prest. 12/05/2025 a 18/05/2025 - RPS: 781 - NFSe: 3011"</f>
        <v>Serv.Prest. 12/05/2025 a 18/05/2025 - RPS: 781 - NFSe: 3011</v>
      </c>
      <c r="H2611" t="str">
        <f t="shared" si="1293"/>
        <v>21/05/2025</v>
      </c>
      <c r="I2611" t="str">
        <f t="shared" ref="I2611:I2616" si="1308">("20/05/2025")</f>
        <v>20/05/2025</v>
      </c>
      <c r="J2611" t="str">
        <f t="shared" si="1303"/>
        <v>22/05/2025</v>
      </c>
      <c r="K2611">
        <v>319.68</v>
      </c>
      <c r="L2611">
        <v>319.68</v>
      </c>
      <c r="M2611">
        <v>303</v>
      </c>
      <c r="N2611" t="str">
        <f t="shared" si="1304"/>
        <v>RECEITAS COM ENTREGAS</v>
      </c>
      <c r="O2611">
        <v>319.68</v>
      </c>
      <c r="R2611" t="str">
        <f t="shared" si="1305"/>
        <v>RECEITAS COM ENTREGAS (303)</v>
      </c>
      <c r="S2611">
        <v>1567</v>
      </c>
      <c r="T2611">
        <v>1218</v>
      </c>
      <c r="U2611" t="s">
        <v>19</v>
      </c>
    </row>
    <row r="2612" spans="1:21">
      <c r="A2612" t="str">
        <f t="shared" si="1300"/>
        <v>22/05/2025</v>
      </c>
      <c r="B2612" t="str">
        <f t="shared" si="1306"/>
        <v>ENTRADA</v>
      </c>
      <c r="C2612" t="str">
        <f t="shared" si="1301"/>
        <v>NFSE</v>
      </c>
      <c r="D2612" t="str">
        <f>"3011"</f>
        <v>3011</v>
      </c>
      <c r="E2612" t="str">
        <f t="shared" si="1302"/>
        <v>COM</v>
      </c>
      <c r="F2612" t="str">
        <f>"DROGARIA MEDIC CENTER LTDA (10172)"</f>
        <v>DROGARIA MEDIC CENTER LTDA (10172)</v>
      </c>
      <c r="G2612" t="str">
        <f>"Serv.Prest. 12/05/2025 a 18/05/2025 - RPS: 781 - NFSe: 3011"</f>
        <v>Serv.Prest. 12/05/2025 a 18/05/2025 - RPS: 781 - NFSe: 3011</v>
      </c>
      <c r="H2612" t="str">
        <f t="shared" si="1293"/>
        <v>21/05/2025</v>
      </c>
      <c r="I2612" t="str">
        <f t="shared" si="1308"/>
        <v>20/05/2025</v>
      </c>
      <c r="J2612" t="str">
        <f t="shared" si="1303"/>
        <v>22/05/2025</v>
      </c>
      <c r="M2612">
        <v>303</v>
      </c>
      <c r="N2612" t="str">
        <f t="shared" si="1304"/>
        <v>RECEITAS COM ENTREGAS</v>
      </c>
      <c r="P2612">
        <v>319.68</v>
      </c>
      <c r="Q2612" t="str">
        <f>"DROGARIA MEDIC CENTER LTDA (10172)"</f>
        <v>DROGARIA MEDIC CENTER LTDA (10172)</v>
      </c>
      <c r="R2612" t="str">
        <f t="shared" si="1305"/>
        <v>RECEITAS COM ENTREGAS (303)</v>
      </c>
      <c r="S2612">
        <v>1567</v>
      </c>
      <c r="T2612">
        <v>1218</v>
      </c>
      <c r="U2612" t="s">
        <v>19</v>
      </c>
    </row>
    <row r="2613" spans="1:21">
      <c r="A2613" t="str">
        <f t="shared" si="1300"/>
        <v>22/05/2025</v>
      </c>
      <c r="B2613" t="str">
        <f t="shared" si="1306"/>
        <v>ENTRADA</v>
      </c>
      <c r="C2613" t="str">
        <f t="shared" si="1301"/>
        <v>NFSE</v>
      </c>
      <c r="D2613" t="str">
        <f>"3012"</f>
        <v>3012</v>
      </c>
      <c r="E2613" t="str">
        <f t="shared" si="1302"/>
        <v>COM</v>
      </c>
      <c r="F2613" t="str">
        <f>"DROGARIA MORENO LTDA (10171)"</f>
        <v>DROGARIA MORENO LTDA (10171)</v>
      </c>
      <c r="G2613" t="str">
        <f>"Serv.Prest. 12/05/2025 a 18/05/2025 - RPS: 782 - NFSe: 3012"</f>
        <v>Serv.Prest. 12/05/2025 a 18/05/2025 - RPS: 782 - NFSe: 3012</v>
      </c>
      <c r="H2613" t="str">
        <f t="shared" si="1293"/>
        <v>21/05/2025</v>
      </c>
      <c r="I2613" t="str">
        <f t="shared" si="1308"/>
        <v>20/05/2025</v>
      </c>
      <c r="J2613" t="str">
        <f t="shared" si="1303"/>
        <v>22/05/2025</v>
      </c>
      <c r="K2613">
        <v>449.55</v>
      </c>
      <c r="L2613">
        <v>449.55</v>
      </c>
      <c r="M2613">
        <v>303</v>
      </c>
      <c r="N2613" t="str">
        <f t="shared" si="1304"/>
        <v>RECEITAS COM ENTREGAS</v>
      </c>
      <c r="O2613">
        <v>449.55</v>
      </c>
      <c r="R2613" t="str">
        <f t="shared" si="1305"/>
        <v>RECEITAS COM ENTREGAS (303)</v>
      </c>
      <c r="S2613">
        <v>1568</v>
      </c>
      <c r="T2613">
        <v>1219</v>
      </c>
      <c r="U2613" t="s">
        <v>19</v>
      </c>
    </row>
    <row r="2614" spans="1:21">
      <c r="A2614" t="str">
        <f t="shared" si="1300"/>
        <v>22/05/2025</v>
      </c>
      <c r="B2614" t="str">
        <f t="shared" si="1306"/>
        <v>ENTRADA</v>
      </c>
      <c r="C2614" t="str">
        <f t="shared" si="1301"/>
        <v>NFSE</v>
      </c>
      <c r="D2614" t="str">
        <f>"3012"</f>
        <v>3012</v>
      </c>
      <c r="E2614" t="str">
        <f t="shared" si="1302"/>
        <v>COM</v>
      </c>
      <c r="F2614" t="str">
        <f>"DROGARIA MORENO LTDA (10171)"</f>
        <v>DROGARIA MORENO LTDA (10171)</v>
      </c>
      <c r="G2614" t="str">
        <f>"Serv.Prest. 12/05/2025 a 18/05/2025 - RPS: 782 - NFSe: 3012"</f>
        <v>Serv.Prest. 12/05/2025 a 18/05/2025 - RPS: 782 - NFSe: 3012</v>
      </c>
      <c r="H2614" t="str">
        <f t="shared" si="1293"/>
        <v>21/05/2025</v>
      </c>
      <c r="I2614" t="str">
        <f t="shared" si="1308"/>
        <v>20/05/2025</v>
      </c>
      <c r="J2614" t="str">
        <f t="shared" si="1303"/>
        <v>22/05/2025</v>
      </c>
      <c r="M2614">
        <v>303</v>
      </c>
      <c r="N2614" t="str">
        <f t="shared" si="1304"/>
        <v>RECEITAS COM ENTREGAS</v>
      </c>
      <c r="P2614">
        <v>449.55</v>
      </c>
      <c r="Q2614" t="str">
        <f>"DROGARIA MORENO LTDA (10171)"</f>
        <v>DROGARIA MORENO LTDA (10171)</v>
      </c>
      <c r="R2614" t="str">
        <f t="shared" si="1305"/>
        <v>RECEITAS COM ENTREGAS (303)</v>
      </c>
      <c r="S2614">
        <v>1568</v>
      </c>
      <c r="T2614">
        <v>1219</v>
      </c>
      <c r="U2614" t="s">
        <v>19</v>
      </c>
    </row>
    <row r="2615" spans="1:21">
      <c r="A2615" t="str">
        <f t="shared" si="1300"/>
        <v>22/05/2025</v>
      </c>
      <c r="B2615" t="str">
        <f t="shared" si="1306"/>
        <v>ENTRADA</v>
      </c>
      <c r="C2615" t="str">
        <f t="shared" si="1301"/>
        <v>NFSE</v>
      </c>
      <c r="D2615" t="str">
        <f>"3013"</f>
        <v>3013</v>
      </c>
      <c r="E2615" t="str">
        <f t="shared" si="1302"/>
        <v>COM</v>
      </c>
      <c r="F2615" t="str">
        <f>"FARMACIA ECONOMIZE (10103)"</f>
        <v>FARMACIA ECONOMIZE (10103)</v>
      </c>
      <c r="G2615" t="str">
        <f>"Serv.Prest. 12/05/2025 a 18/05/2025 - RPS: 783 - NFSe: 3013"</f>
        <v>Serv.Prest. 12/05/2025 a 18/05/2025 - RPS: 783 - NFSe: 3013</v>
      </c>
      <c r="H2615" t="str">
        <f t="shared" si="1293"/>
        <v>21/05/2025</v>
      </c>
      <c r="I2615" t="str">
        <f t="shared" si="1308"/>
        <v>20/05/2025</v>
      </c>
      <c r="J2615" t="str">
        <f t="shared" si="1303"/>
        <v>22/05/2025</v>
      </c>
      <c r="K2615">
        <v>26.32</v>
      </c>
      <c r="L2615">
        <v>26.32</v>
      </c>
      <c r="M2615">
        <v>303</v>
      </c>
      <c r="N2615" t="str">
        <f t="shared" si="1304"/>
        <v>RECEITAS COM ENTREGAS</v>
      </c>
      <c r="O2615">
        <v>26.32</v>
      </c>
      <c r="R2615" t="str">
        <f t="shared" si="1305"/>
        <v>RECEITAS COM ENTREGAS (303)</v>
      </c>
      <c r="S2615">
        <v>1569</v>
      </c>
      <c r="T2615">
        <v>1220</v>
      </c>
      <c r="U2615" t="s">
        <v>19</v>
      </c>
    </row>
    <row r="2616" spans="1:21">
      <c r="A2616" t="str">
        <f t="shared" si="1300"/>
        <v>22/05/2025</v>
      </c>
      <c r="B2616" t="str">
        <f t="shared" si="1306"/>
        <v>ENTRADA</v>
      </c>
      <c r="C2616" t="str">
        <f t="shared" si="1301"/>
        <v>NFSE</v>
      </c>
      <c r="D2616" t="str">
        <f>"3013"</f>
        <v>3013</v>
      </c>
      <c r="E2616" t="str">
        <f t="shared" si="1302"/>
        <v>COM</v>
      </c>
      <c r="F2616" t="str">
        <f>"FARMACIA ECONOMIZE (10103)"</f>
        <v>FARMACIA ECONOMIZE (10103)</v>
      </c>
      <c r="G2616" t="str">
        <f>"Serv.Prest. 12/05/2025 a 18/05/2025 - RPS: 783 - NFSe: 3013"</f>
        <v>Serv.Prest. 12/05/2025 a 18/05/2025 - RPS: 783 - NFSe: 3013</v>
      </c>
      <c r="H2616" t="str">
        <f t="shared" si="1293"/>
        <v>21/05/2025</v>
      </c>
      <c r="I2616" t="str">
        <f t="shared" si="1308"/>
        <v>20/05/2025</v>
      </c>
      <c r="J2616" t="str">
        <f t="shared" si="1303"/>
        <v>22/05/2025</v>
      </c>
      <c r="M2616">
        <v>303</v>
      </c>
      <c r="N2616" t="str">
        <f t="shared" si="1304"/>
        <v>RECEITAS COM ENTREGAS</v>
      </c>
      <c r="P2616">
        <v>26.32</v>
      </c>
      <c r="Q2616" t="str">
        <f>"FARMACIA ECONOMIZE (10103)"</f>
        <v>FARMACIA ECONOMIZE (10103)</v>
      </c>
      <c r="R2616" t="str">
        <f t="shared" si="1305"/>
        <v>RECEITAS COM ENTREGAS (303)</v>
      </c>
      <c r="S2616">
        <v>1569</v>
      </c>
      <c r="T2616">
        <v>1220</v>
      </c>
      <c r="U2616" t="s">
        <v>19</v>
      </c>
    </row>
    <row r="2617" spans="1:21">
      <c r="A2617" t="str">
        <f t="shared" si="1300"/>
        <v>22/05/2025</v>
      </c>
      <c r="B2617" t="str">
        <f t="shared" si="1306"/>
        <v>ENTRADA</v>
      </c>
      <c r="C2617" t="str">
        <f t="shared" si="1301"/>
        <v>NFSE</v>
      </c>
      <c r="D2617" t="str">
        <f>"3003"</f>
        <v>3003</v>
      </c>
      <c r="E2617" t="str">
        <f t="shared" si="1302"/>
        <v>COM</v>
      </c>
      <c r="F2617" t="str">
        <f>"DROGARIA POUPA MINAS (DOIS AMIGOS) 5 (10140)"</f>
        <v>DROGARIA POUPA MINAS (DOIS AMIGOS) 5 (10140)</v>
      </c>
      <c r="G2617" t="str">
        <f>"Serv.Prest. 12/05/2025 a 18/05/2025 - RPS: 773 - NFSe: 3003"</f>
        <v>Serv.Prest. 12/05/2025 a 18/05/2025 - RPS: 773 - NFSe: 3003</v>
      </c>
      <c r="H2617" t="str">
        <f>("22/05/2025")</f>
        <v>22/05/2025</v>
      </c>
      <c r="I2617" t="str">
        <f>("19/05/2025")</f>
        <v>19/05/2025</v>
      </c>
      <c r="J2617" t="str">
        <f t="shared" si="1303"/>
        <v>22/05/2025</v>
      </c>
      <c r="K2617">
        <v>836.2</v>
      </c>
      <c r="L2617">
        <v>836.2</v>
      </c>
      <c r="M2617">
        <v>303</v>
      </c>
      <c r="N2617" t="str">
        <f t="shared" si="1304"/>
        <v>RECEITAS COM ENTREGAS</v>
      </c>
      <c r="O2617">
        <v>836.2</v>
      </c>
      <c r="R2617" t="str">
        <f t="shared" si="1305"/>
        <v>RECEITAS COM ENTREGAS (303)</v>
      </c>
      <c r="S2617">
        <v>1570</v>
      </c>
      <c r="T2617">
        <v>1210</v>
      </c>
      <c r="U2617" t="s">
        <v>19</v>
      </c>
    </row>
    <row r="2618" spans="1:21">
      <c r="A2618" t="str">
        <f t="shared" si="1300"/>
        <v>22/05/2025</v>
      </c>
      <c r="B2618" t="str">
        <f t="shared" si="1306"/>
        <v>ENTRADA</v>
      </c>
      <c r="C2618" t="str">
        <f t="shared" si="1301"/>
        <v>NFSE</v>
      </c>
      <c r="D2618" t="str">
        <f>"3003"</f>
        <v>3003</v>
      </c>
      <c r="E2618" t="str">
        <f t="shared" si="1302"/>
        <v>COM</v>
      </c>
      <c r="F2618" t="str">
        <f>"DROGARIA POUPA MINAS (DOIS AMIGOS) 5 (10140)"</f>
        <v>DROGARIA POUPA MINAS (DOIS AMIGOS) 5 (10140)</v>
      </c>
      <c r="G2618" t="str">
        <f>"Serv.Prest. 12/05/2025 a 18/05/2025 - RPS: 773 - NFSe: 3003"</f>
        <v>Serv.Prest. 12/05/2025 a 18/05/2025 - RPS: 773 - NFSe: 3003</v>
      </c>
      <c r="H2618" t="str">
        <f>("22/05/2025")</f>
        <v>22/05/2025</v>
      </c>
      <c r="I2618" t="str">
        <f>("19/05/2025")</f>
        <v>19/05/2025</v>
      </c>
      <c r="J2618" t="str">
        <f t="shared" si="1303"/>
        <v>22/05/2025</v>
      </c>
      <c r="M2618">
        <v>303</v>
      </c>
      <c r="N2618" t="str">
        <f t="shared" si="1304"/>
        <v>RECEITAS COM ENTREGAS</v>
      </c>
      <c r="P2618">
        <v>836.2</v>
      </c>
      <c r="Q2618" t="str">
        <f>"DROGARIA POUPA MINAS (ULTRAMINAS) (10116)"</f>
        <v>DROGARIA POUPA MINAS (ULTRAMINAS) (10116)</v>
      </c>
      <c r="R2618" t="str">
        <f t="shared" si="1305"/>
        <v>RECEITAS COM ENTREGAS (303)</v>
      </c>
      <c r="S2618">
        <v>1570</v>
      </c>
      <c r="T2618">
        <v>1210</v>
      </c>
      <c r="U2618" t="s">
        <v>19</v>
      </c>
    </row>
    <row r="2619" spans="1:21">
      <c r="A2619" t="str">
        <f t="shared" si="1300"/>
        <v>22/05/2025</v>
      </c>
      <c r="B2619" t="str">
        <f t="shared" si="1306"/>
        <v>ENTRADA</v>
      </c>
      <c r="C2619" t="str">
        <f t="shared" si="1301"/>
        <v>NFSE</v>
      </c>
      <c r="D2619" t="str">
        <f>"3004"</f>
        <v>3004</v>
      </c>
      <c r="E2619" t="str">
        <f t="shared" si="1302"/>
        <v>COM</v>
      </c>
      <c r="F2619" t="str">
        <f>"JAL FARMACIA E DROGARIA LJ 2 (10138)"</f>
        <v>JAL FARMACIA E DROGARIA LJ 2 (10138)</v>
      </c>
      <c r="G2619" t="str">
        <f>"Serv.Prest. 12/05/2025 a 18/05/2025 - RPS: 774 - NFSe: 3004"</f>
        <v>Serv.Prest. 12/05/2025 a 18/05/2025 - RPS: 774 - NFSe: 3004</v>
      </c>
      <c r="H2619" t="str">
        <f>("21/05/2025")</f>
        <v>21/05/2025</v>
      </c>
      <c r="I2619" t="str">
        <f>("19/05/2025")</f>
        <v>19/05/2025</v>
      </c>
      <c r="J2619" t="str">
        <f t="shared" si="1303"/>
        <v>22/05/2025</v>
      </c>
      <c r="K2619">
        <v>320</v>
      </c>
      <c r="L2619">
        <v>320</v>
      </c>
      <c r="M2619">
        <v>303</v>
      </c>
      <c r="N2619" t="str">
        <f t="shared" si="1304"/>
        <v>RECEITAS COM ENTREGAS</v>
      </c>
      <c r="O2619">
        <v>320</v>
      </c>
      <c r="R2619" t="str">
        <f t="shared" si="1305"/>
        <v>RECEITAS COM ENTREGAS (303)</v>
      </c>
      <c r="S2619">
        <v>1604</v>
      </c>
      <c r="T2619">
        <v>1211</v>
      </c>
      <c r="U2619" t="s">
        <v>19</v>
      </c>
    </row>
    <row r="2620" spans="1:21">
      <c r="A2620" t="str">
        <f t="shared" si="1300"/>
        <v>22/05/2025</v>
      </c>
      <c r="B2620" t="str">
        <f t="shared" si="1306"/>
        <v>ENTRADA</v>
      </c>
      <c r="C2620" t="str">
        <f t="shared" si="1301"/>
        <v>NFSE</v>
      </c>
      <c r="D2620" t="str">
        <f>"3004"</f>
        <v>3004</v>
      </c>
      <c r="E2620" t="str">
        <f t="shared" si="1302"/>
        <v>COM</v>
      </c>
      <c r="F2620" t="str">
        <f>"JAL FARMACIA E DROGARIA LJ 2 (10138)"</f>
        <v>JAL FARMACIA E DROGARIA LJ 2 (10138)</v>
      </c>
      <c r="G2620" t="str">
        <f>"Serv.Prest. 12/05/2025 a 18/05/2025 - RPS: 774 - NFSe: 3004"</f>
        <v>Serv.Prest. 12/05/2025 a 18/05/2025 - RPS: 774 - NFSe: 3004</v>
      </c>
      <c r="H2620" t="str">
        <f>("21/05/2025")</f>
        <v>21/05/2025</v>
      </c>
      <c r="I2620" t="str">
        <f>("19/05/2025")</f>
        <v>19/05/2025</v>
      </c>
      <c r="J2620" t="str">
        <f t="shared" si="1303"/>
        <v>22/05/2025</v>
      </c>
      <c r="M2620">
        <v>303</v>
      </c>
      <c r="N2620" t="str">
        <f t="shared" si="1304"/>
        <v>RECEITAS COM ENTREGAS</v>
      </c>
      <c r="P2620">
        <v>320</v>
      </c>
      <c r="Q2620" t="str">
        <f>"JAL FARMACIA E DROGARIA LJ 2 (10138)"</f>
        <v>JAL FARMACIA E DROGARIA LJ 2 (10138)</v>
      </c>
      <c r="R2620" t="str">
        <f t="shared" si="1305"/>
        <v>RECEITAS COM ENTREGAS (303)</v>
      </c>
      <c r="S2620">
        <v>1604</v>
      </c>
      <c r="T2620">
        <v>1211</v>
      </c>
      <c r="U2620" t="s">
        <v>19</v>
      </c>
    </row>
    <row r="2621" spans="1:21">
      <c r="A2621" t="str">
        <f t="shared" si="1300"/>
        <v>22/05/2025</v>
      </c>
      <c r="B2621" t="str">
        <f t="shared" ref="B2621:B2635" si="1309">"SAÍDA"</f>
        <v>SAÍDA</v>
      </c>
      <c r="C2621" t="str">
        <f>"PIX"</f>
        <v>PIX</v>
      </c>
      <c r="D2621" t="str">
        <f>"2205255000"</f>
        <v>2205255000</v>
      </c>
      <c r="E2621" t="str">
        <f t="shared" si="1302"/>
        <v>COM</v>
      </c>
      <c r="F2621" t="str">
        <f>"MARCELO REZENDE ARANTES (20014)"</f>
        <v>MARCELO REZENDE ARANTES (20014)</v>
      </c>
      <c r="G2621" t="str">
        <f>"DISTRIBUICAO DE LUCROS"</f>
        <v>DISTRIBUICAO DE LUCROS</v>
      </c>
      <c r="H2621" t="str">
        <f t="shared" ref="H2621:H2637" si="1310">("22/05/2025")</f>
        <v>22/05/2025</v>
      </c>
      <c r="I2621" t="str">
        <f>("07/05/2025")</f>
        <v>07/05/2025</v>
      </c>
      <c r="J2621" t="str">
        <f t="shared" si="1303"/>
        <v>22/05/2025</v>
      </c>
      <c r="K2621">
        <v>5000</v>
      </c>
      <c r="L2621">
        <v>5000</v>
      </c>
      <c r="M2621">
        <v>125</v>
      </c>
      <c r="N2621" t="str">
        <f>"DISTRIBUIÇÃO DE LUCRO"</f>
        <v>DISTRIBUIÇÃO DE LUCRO</v>
      </c>
      <c r="O2621">
        <v>5000</v>
      </c>
      <c r="R2621" t="str">
        <f t="shared" ref="R2621:R2635" si="1311">"BANCO CORA (102)"</f>
        <v>BANCO CORA (102)</v>
      </c>
      <c r="S2621">
        <v>1618</v>
      </c>
      <c r="T2621">
        <v>1283</v>
      </c>
      <c r="U2621" t="s">
        <v>19</v>
      </c>
    </row>
    <row r="2622" spans="1:21">
      <c r="A2622" t="str">
        <f t="shared" si="1300"/>
        <v>22/05/2025</v>
      </c>
      <c r="B2622" t="str">
        <f t="shared" si="1309"/>
        <v>SAÍDA</v>
      </c>
      <c r="C2622" t="str">
        <f>"PIX"</f>
        <v>PIX</v>
      </c>
      <c r="D2622" t="str">
        <f>"2205255000"</f>
        <v>2205255000</v>
      </c>
      <c r="E2622" t="str">
        <f t="shared" si="1302"/>
        <v>COM</v>
      </c>
      <c r="F2622" t="str">
        <f>"MARCELO REZENDE ARANTES (20014)"</f>
        <v>MARCELO REZENDE ARANTES (20014)</v>
      </c>
      <c r="G2622" t="str">
        <f>"DISTRIBUICAO DE LUCROS"</f>
        <v>DISTRIBUICAO DE LUCROS</v>
      </c>
      <c r="H2622" t="str">
        <f t="shared" si="1310"/>
        <v>22/05/2025</v>
      </c>
      <c r="I2622" t="str">
        <f>("07/05/2025")</f>
        <v>07/05/2025</v>
      </c>
      <c r="J2622" t="str">
        <f t="shared" si="1303"/>
        <v>22/05/2025</v>
      </c>
      <c r="M2622">
        <v>125</v>
      </c>
      <c r="N2622" t="str">
        <f>"DISTRIBUIÇÃO DE LUCRO"</f>
        <v>DISTRIBUIÇÃO DE LUCRO</v>
      </c>
      <c r="P2622">
        <v>5000</v>
      </c>
      <c r="Q2622" t="str">
        <f>"MARCELO REZENDE ARANTES (20014)"</f>
        <v>MARCELO REZENDE ARANTES (20014)</v>
      </c>
      <c r="R2622" t="str">
        <f t="shared" si="1311"/>
        <v>BANCO CORA (102)</v>
      </c>
      <c r="S2622">
        <v>1618</v>
      </c>
      <c r="T2622">
        <v>1283</v>
      </c>
      <c r="U2622" t="s">
        <v>19</v>
      </c>
    </row>
    <row r="2623" spans="1:21">
      <c r="A2623" t="str">
        <f t="shared" si="1300"/>
        <v>22/05/2025</v>
      </c>
      <c r="B2623" t="str">
        <f t="shared" si="1309"/>
        <v>SAÍDA</v>
      </c>
      <c r="C2623" t="str">
        <f t="shared" ref="C2623:C2635" si="1312">"JUROS"</f>
        <v>JUROS</v>
      </c>
      <c r="D2623" t="str">
        <f>""</f>
        <v/>
      </c>
      <c r="E2623" t="str">
        <f t="shared" ref="E2623:E2635" si="1313">"CXA"</f>
        <v>CXA</v>
      </c>
      <c r="F2623" t="str">
        <f>""</f>
        <v/>
      </c>
      <c r="G2623" t="str">
        <f t="shared" ref="G2623:G2635" si="1314">"TAXA BOLETO COMPENSADO"</f>
        <v>TAXA BOLETO COMPENSADO</v>
      </c>
      <c r="H2623" t="str">
        <f t="shared" si="1310"/>
        <v>22/05/2025</v>
      </c>
      <c r="I2623" t="str">
        <f t="shared" ref="I2623:I2635" si="1315">("22/05/2025")</f>
        <v>22/05/2025</v>
      </c>
      <c r="J2623" t="str">
        <f t="shared" si="1303"/>
        <v>22/05/2025</v>
      </c>
      <c r="K2623">
        <v>1.7</v>
      </c>
      <c r="L2623">
        <v>1.7</v>
      </c>
      <c r="M2623">
        <v>401</v>
      </c>
      <c r="N2623" t="str">
        <f t="shared" ref="N2623:N2635" si="1316">"IOF/JUROS/DESP.FINANCEIRA"</f>
        <v>IOF/JUROS/DESP.FINANCEIRA</v>
      </c>
      <c r="O2623">
        <v>1.7</v>
      </c>
      <c r="R2623" t="str">
        <f t="shared" si="1311"/>
        <v>BANCO CORA (102)</v>
      </c>
      <c r="S2623">
        <v>1685</v>
      </c>
      <c r="T2623">
        <v>0</v>
      </c>
      <c r="U2623" t="s">
        <v>20</v>
      </c>
    </row>
    <row r="2624" spans="1:21">
      <c r="A2624" t="str">
        <f t="shared" si="1300"/>
        <v>22/05/2025</v>
      </c>
      <c r="B2624" t="str">
        <f t="shared" si="1309"/>
        <v>SAÍDA</v>
      </c>
      <c r="C2624" t="str">
        <f t="shared" si="1312"/>
        <v>JUROS</v>
      </c>
      <c r="D2624" t="str">
        <f>""</f>
        <v/>
      </c>
      <c r="E2624" t="str">
        <f t="shared" si="1313"/>
        <v>CXA</v>
      </c>
      <c r="F2624" t="str">
        <f>""</f>
        <v/>
      </c>
      <c r="G2624" t="str">
        <f t="shared" si="1314"/>
        <v>TAXA BOLETO COMPENSADO</v>
      </c>
      <c r="H2624" t="str">
        <f t="shared" si="1310"/>
        <v>22/05/2025</v>
      </c>
      <c r="I2624" t="str">
        <f t="shared" si="1315"/>
        <v>22/05/2025</v>
      </c>
      <c r="J2624" t="str">
        <f t="shared" si="1303"/>
        <v>22/05/2025</v>
      </c>
      <c r="K2624">
        <v>1.7</v>
      </c>
      <c r="L2624">
        <v>1.7</v>
      </c>
      <c r="M2624">
        <v>401</v>
      </c>
      <c r="N2624" t="str">
        <f t="shared" si="1316"/>
        <v>IOF/JUROS/DESP.FINANCEIRA</v>
      </c>
      <c r="O2624">
        <v>1.7</v>
      </c>
      <c r="R2624" t="str">
        <f t="shared" si="1311"/>
        <v>BANCO CORA (102)</v>
      </c>
      <c r="S2624">
        <v>1686</v>
      </c>
      <c r="T2624">
        <v>0</v>
      </c>
      <c r="U2624" t="s">
        <v>20</v>
      </c>
    </row>
    <row r="2625" spans="1:21">
      <c r="A2625" t="str">
        <f t="shared" si="1300"/>
        <v>22/05/2025</v>
      </c>
      <c r="B2625" t="str">
        <f t="shared" si="1309"/>
        <v>SAÍDA</v>
      </c>
      <c r="C2625" t="str">
        <f t="shared" si="1312"/>
        <v>JUROS</v>
      </c>
      <c r="D2625" t="str">
        <f>""</f>
        <v/>
      </c>
      <c r="E2625" t="str">
        <f t="shared" si="1313"/>
        <v>CXA</v>
      </c>
      <c r="F2625" t="str">
        <f>""</f>
        <v/>
      </c>
      <c r="G2625" t="str">
        <f t="shared" si="1314"/>
        <v>TAXA BOLETO COMPENSADO</v>
      </c>
      <c r="H2625" t="str">
        <f t="shared" si="1310"/>
        <v>22/05/2025</v>
      </c>
      <c r="I2625" t="str">
        <f t="shared" si="1315"/>
        <v>22/05/2025</v>
      </c>
      <c r="J2625" t="str">
        <f t="shared" si="1303"/>
        <v>22/05/2025</v>
      </c>
      <c r="K2625">
        <v>1.7</v>
      </c>
      <c r="L2625">
        <v>1.7</v>
      </c>
      <c r="M2625">
        <v>401</v>
      </c>
      <c r="N2625" t="str">
        <f t="shared" si="1316"/>
        <v>IOF/JUROS/DESP.FINANCEIRA</v>
      </c>
      <c r="O2625">
        <v>1.7</v>
      </c>
      <c r="R2625" t="str">
        <f t="shared" si="1311"/>
        <v>BANCO CORA (102)</v>
      </c>
      <c r="S2625">
        <v>1687</v>
      </c>
      <c r="T2625">
        <v>0</v>
      </c>
      <c r="U2625" t="s">
        <v>20</v>
      </c>
    </row>
    <row r="2626" spans="1:21">
      <c r="A2626" t="str">
        <f t="shared" si="1300"/>
        <v>22/05/2025</v>
      </c>
      <c r="B2626" t="str">
        <f t="shared" si="1309"/>
        <v>SAÍDA</v>
      </c>
      <c r="C2626" t="str">
        <f t="shared" si="1312"/>
        <v>JUROS</v>
      </c>
      <c r="D2626" t="str">
        <f>""</f>
        <v/>
      </c>
      <c r="E2626" t="str">
        <f t="shared" si="1313"/>
        <v>CXA</v>
      </c>
      <c r="F2626" t="str">
        <f>""</f>
        <v/>
      </c>
      <c r="G2626" t="str">
        <f t="shared" si="1314"/>
        <v>TAXA BOLETO COMPENSADO</v>
      </c>
      <c r="H2626" t="str">
        <f t="shared" si="1310"/>
        <v>22/05/2025</v>
      </c>
      <c r="I2626" t="str">
        <f t="shared" si="1315"/>
        <v>22/05/2025</v>
      </c>
      <c r="J2626" t="str">
        <f t="shared" si="1303"/>
        <v>22/05/2025</v>
      </c>
      <c r="K2626">
        <v>1.7</v>
      </c>
      <c r="L2626">
        <v>1.7</v>
      </c>
      <c r="M2626">
        <v>401</v>
      </c>
      <c r="N2626" t="str">
        <f t="shared" si="1316"/>
        <v>IOF/JUROS/DESP.FINANCEIRA</v>
      </c>
      <c r="O2626">
        <v>1.7</v>
      </c>
      <c r="R2626" t="str">
        <f t="shared" si="1311"/>
        <v>BANCO CORA (102)</v>
      </c>
      <c r="S2626">
        <v>1688</v>
      </c>
      <c r="T2626">
        <v>0</v>
      </c>
      <c r="U2626" t="s">
        <v>20</v>
      </c>
    </row>
    <row r="2627" spans="1:21">
      <c r="A2627" t="str">
        <f t="shared" si="1300"/>
        <v>22/05/2025</v>
      </c>
      <c r="B2627" t="str">
        <f t="shared" si="1309"/>
        <v>SAÍDA</v>
      </c>
      <c r="C2627" t="str">
        <f t="shared" si="1312"/>
        <v>JUROS</v>
      </c>
      <c r="D2627" t="str">
        <f>""</f>
        <v/>
      </c>
      <c r="E2627" t="str">
        <f t="shared" si="1313"/>
        <v>CXA</v>
      </c>
      <c r="F2627" t="str">
        <f>""</f>
        <v/>
      </c>
      <c r="G2627" t="str">
        <f t="shared" si="1314"/>
        <v>TAXA BOLETO COMPENSADO</v>
      </c>
      <c r="H2627" t="str">
        <f t="shared" si="1310"/>
        <v>22/05/2025</v>
      </c>
      <c r="I2627" t="str">
        <f t="shared" si="1315"/>
        <v>22/05/2025</v>
      </c>
      <c r="J2627" t="str">
        <f t="shared" si="1303"/>
        <v>22/05/2025</v>
      </c>
      <c r="K2627">
        <v>1.7</v>
      </c>
      <c r="L2627">
        <v>1.7</v>
      </c>
      <c r="M2627">
        <v>401</v>
      </c>
      <c r="N2627" t="str">
        <f t="shared" si="1316"/>
        <v>IOF/JUROS/DESP.FINANCEIRA</v>
      </c>
      <c r="O2627">
        <v>1.7</v>
      </c>
      <c r="R2627" t="str">
        <f t="shared" si="1311"/>
        <v>BANCO CORA (102)</v>
      </c>
      <c r="S2627">
        <v>1689</v>
      </c>
      <c r="T2627">
        <v>0</v>
      </c>
      <c r="U2627" t="s">
        <v>20</v>
      </c>
    </row>
    <row r="2628" spans="1:21">
      <c r="A2628" t="str">
        <f t="shared" si="1300"/>
        <v>22/05/2025</v>
      </c>
      <c r="B2628" t="str">
        <f t="shared" si="1309"/>
        <v>SAÍDA</v>
      </c>
      <c r="C2628" t="str">
        <f t="shared" si="1312"/>
        <v>JUROS</v>
      </c>
      <c r="D2628" t="str">
        <f>""</f>
        <v/>
      </c>
      <c r="E2628" t="str">
        <f t="shared" si="1313"/>
        <v>CXA</v>
      </c>
      <c r="F2628" t="str">
        <f>""</f>
        <v/>
      </c>
      <c r="G2628" t="str">
        <f t="shared" si="1314"/>
        <v>TAXA BOLETO COMPENSADO</v>
      </c>
      <c r="H2628" t="str">
        <f t="shared" si="1310"/>
        <v>22/05/2025</v>
      </c>
      <c r="I2628" t="str">
        <f t="shared" si="1315"/>
        <v>22/05/2025</v>
      </c>
      <c r="J2628" t="str">
        <f t="shared" si="1303"/>
        <v>22/05/2025</v>
      </c>
      <c r="K2628">
        <v>1.7</v>
      </c>
      <c r="L2628">
        <v>1.7</v>
      </c>
      <c r="M2628">
        <v>401</v>
      </c>
      <c r="N2628" t="str">
        <f t="shared" si="1316"/>
        <v>IOF/JUROS/DESP.FINANCEIRA</v>
      </c>
      <c r="O2628">
        <v>1.7</v>
      </c>
      <c r="R2628" t="str">
        <f t="shared" si="1311"/>
        <v>BANCO CORA (102)</v>
      </c>
      <c r="S2628">
        <v>1690</v>
      </c>
      <c r="T2628">
        <v>0</v>
      </c>
      <c r="U2628" t="s">
        <v>20</v>
      </c>
    </row>
    <row r="2629" spans="1:21">
      <c r="A2629" t="str">
        <f t="shared" si="1300"/>
        <v>22/05/2025</v>
      </c>
      <c r="B2629" t="str">
        <f t="shared" si="1309"/>
        <v>SAÍDA</v>
      </c>
      <c r="C2629" t="str">
        <f t="shared" si="1312"/>
        <v>JUROS</v>
      </c>
      <c r="D2629" t="str">
        <f>""</f>
        <v/>
      </c>
      <c r="E2629" t="str">
        <f t="shared" si="1313"/>
        <v>CXA</v>
      </c>
      <c r="F2629" t="str">
        <f>""</f>
        <v/>
      </c>
      <c r="G2629" t="str">
        <f t="shared" si="1314"/>
        <v>TAXA BOLETO COMPENSADO</v>
      </c>
      <c r="H2629" t="str">
        <f t="shared" si="1310"/>
        <v>22/05/2025</v>
      </c>
      <c r="I2629" t="str">
        <f t="shared" si="1315"/>
        <v>22/05/2025</v>
      </c>
      <c r="J2629" t="str">
        <f t="shared" si="1303"/>
        <v>22/05/2025</v>
      </c>
      <c r="K2629">
        <v>1.7</v>
      </c>
      <c r="L2629">
        <v>1.7</v>
      </c>
      <c r="M2629">
        <v>401</v>
      </c>
      <c r="N2629" t="str">
        <f t="shared" si="1316"/>
        <v>IOF/JUROS/DESP.FINANCEIRA</v>
      </c>
      <c r="O2629">
        <v>1.7</v>
      </c>
      <c r="R2629" t="str">
        <f t="shared" si="1311"/>
        <v>BANCO CORA (102)</v>
      </c>
      <c r="S2629">
        <v>1691</v>
      </c>
      <c r="T2629">
        <v>0</v>
      </c>
      <c r="U2629" t="s">
        <v>20</v>
      </c>
    </row>
    <row r="2630" spans="1:21">
      <c r="A2630" t="str">
        <f t="shared" si="1300"/>
        <v>22/05/2025</v>
      </c>
      <c r="B2630" t="str">
        <f t="shared" si="1309"/>
        <v>SAÍDA</v>
      </c>
      <c r="C2630" t="str">
        <f t="shared" si="1312"/>
        <v>JUROS</v>
      </c>
      <c r="D2630" t="str">
        <f>""</f>
        <v/>
      </c>
      <c r="E2630" t="str">
        <f t="shared" si="1313"/>
        <v>CXA</v>
      </c>
      <c r="F2630" t="str">
        <f>""</f>
        <v/>
      </c>
      <c r="G2630" t="str">
        <f t="shared" si="1314"/>
        <v>TAXA BOLETO COMPENSADO</v>
      </c>
      <c r="H2630" t="str">
        <f t="shared" si="1310"/>
        <v>22/05/2025</v>
      </c>
      <c r="I2630" t="str">
        <f t="shared" si="1315"/>
        <v>22/05/2025</v>
      </c>
      <c r="J2630" t="str">
        <f t="shared" si="1303"/>
        <v>22/05/2025</v>
      </c>
      <c r="K2630">
        <v>1.7</v>
      </c>
      <c r="L2630">
        <v>1.7</v>
      </c>
      <c r="M2630">
        <v>401</v>
      </c>
      <c r="N2630" t="str">
        <f t="shared" si="1316"/>
        <v>IOF/JUROS/DESP.FINANCEIRA</v>
      </c>
      <c r="O2630">
        <v>1.7</v>
      </c>
      <c r="R2630" t="str">
        <f t="shared" si="1311"/>
        <v>BANCO CORA (102)</v>
      </c>
      <c r="S2630">
        <v>1692</v>
      </c>
      <c r="T2630">
        <v>0</v>
      </c>
      <c r="U2630" t="s">
        <v>20</v>
      </c>
    </row>
    <row r="2631" spans="1:21">
      <c r="A2631" t="str">
        <f t="shared" si="1300"/>
        <v>22/05/2025</v>
      </c>
      <c r="B2631" t="str">
        <f t="shared" si="1309"/>
        <v>SAÍDA</v>
      </c>
      <c r="C2631" t="str">
        <f t="shared" si="1312"/>
        <v>JUROS</v>
      </c>
      <c r="D2631" t="str">
        <f>""</f>
        <v/>
      </c>
      <c r="E2631" t="str">
        <f t="shared" si="1313"/>
        <v>CXA</v>
      </c>
      <c r="F2631" t="str">
        <f>""</f>
        <v/>
      </c>
      <c r="G2631" t="str">
        <f t="shared" si="1314"/>
        <v>TAXA BOLETO COMPENSADO</v>
      </c>
      <c r="H2631" t="str">
        <f t="shared" si="1310"/>
        <v>22/05/2025</v>
      </c>
      <c r="I2631" t="str">
        <f t="shared" si="1315"/>
        <v>22/05/2025</v>
      </c>
      <c r="J2631" t="str">
        <f t="shared" si="1303"/>
        <v>22/05/2025</v>
      </c>
      <c r="K2631">
        <v>1.7</v>
      </c>
      <c r="L2631">
        <v>1.7</v>
      </c>
      <c r="M2631">
        <v>401</v>
      </c>
      <c r="N2631" t="str">
        <f t="shared" si="1316"/>
        <v>IOF/JUROS/DESP.FINANCEIRA</v>
      </c>
      <c r="O2631">
        <v>1.7</v>
      </c>
      <c r="R2631" t="str">
        <f t="shared" si="1311"/>
        <v>BANCO CORA (102)</v>
      </c>
      <c r="S2631">
        <v>1693</v>
      </c>
      <c r="T2631">
        <v>0</v>
      </c>
      <c r="U2631" t="s">
        <v>20</v>
      </c>
    </row>
    <row r="2632" spans="1:21">
      <c r="A2632" t="str">
        <f t="shared" si="1300"/>
        <v>22/05/2025</v>
      </c>
      <c r="B2632" t="str">
        <f t="shared" si="1309"/>
        <v>SAÍDA</v>
      </c>
      <c r="C2632" t="str">
        <f t="shared" si="1312"/>
        <v>JUROS</v>
      </c>
      <c r="D2632" t="str">
        <f>""</f>
        <v/>
      </c>
      <c r="E2632" t="str">
        <f t="shared" si="1313"/>
        <v>CXA</v>
      </c>
      <c r="F2632" t="str">
        <f>""</f>
        <v/>
      </c>
      <c r="G2632" t="str">
        <f t="shared" si="1314"/>
        <v>TAXA BOLETO COMPENSADO</v>
      </c>
      <c r="H2632" t="str">
        <f t="shared" si="1310"/>
        <v>22/05/2025</v>
      </c>
      <c r="I2632" t="str">
        <f t="shared" si="1315"/>
        <v>22/05/2025</v>
      </c>
      <c r="J2632" t="str">
        <f t="shared" si="1303"/>
        <v>22/05/2025</v>
      </c>
      <c r="K2632">
        <v>1.7</v>
      </c>
      <c r="L2632">
        <v>1.7</v>
      </c>
      <c r="M2632">
        <v>401</v>
      </c>
      <c r="N2632" t="str">
        <f t="shared" si="1316"/>
        <v>IOF/JUROS/DESP.FINANCEIRA</v>
      </c>
      <c r="O2632">
        <v>1.7</v>
      </c>
      <c r="R2632" t="str">
        <f t="shared" si="1311"/>
        <v>BANCO CORA (102)</v>
      </c>
      <c r="S2632">
        <v>1694</v>
      </c>
      <c r="T2632">
        <v>0</v>
      </c>
      <c r="U2632" t="s">
        <v>20</v>
      </c>
    </row>
    <row r="2633" spans="1:21">
      <c r="A2633" t="str">
        <f t="shared" si="1300"/>
        <v>22/05/2025</v>
      </c>
      <c r="B2633" t="str">
        <f t="shared" si="1309"/>
        <v>SAÍDA</v>
      </c>
      <c r="C2633" t="str">
        <f t="shared" si="1312"/>
        <v>JUROS</v>
      </c>
      <c r="D2633" t="str">
        <f>""</f>
        <v/>
      </c>
      <c r="E2633" t="str">
        <f t="shared" si="1313"/>
        <v>CXA</v>
      </c>
      <c r="F2633" t="str">
        <f>""</f>
        <v/>
      </c>
      <c r="G2633" t="str">
        <f t="shared" si="1314"/>
        <v>TAXA BOLETO COMPENSADO</v>
      </c>
      <c r="H2633" t="str">
        <f t="shared" si="1310"/>
        <v>22/05/2025</v>
      </c>
      <c r="I2633" t="str">
        <f t="shared" si="1315"/>
        <v>22/05/2025</v>
      </c>
      <c r="J2633" t="str">
        <f t="shared" si="1303"/>
        <v>22/05/2025</v>
      </c>
      <c r="K2633">
        <v>1.7</v>
      </c>
      <c r="L2633">
        <v>1.7</v>
      </c>
      <c r="M2633">
        <v>401</v>
      </c>
      <c r="N2633" t="str">
        <f t="shared" si="1316"/>
        <v>IOF/JUROS/DESP.FINANCEIRA</v>
      </c>
      <c r="O2633">
        <v>1.7</v>
      </c>
      <c r="R2633" t="str">
        <f t="shared" si="1311"/>
        <v>BANCO CORA (102)</v>
      </c>
      <c r="S2633">
        <v>1695</v>
      </c>
      <c r="T2633">
        <v>0</v>
      </c>
      <c r="U2633" t="s">
        <v>20</v>
      </c>
    </row>
    <row r="2634" spans="1:21">
      <c r="A2634" t="str">
        <f t="shared" si="1300"/>
        <v>22/05/2025</v>
      </c>
      <c r="B2634" t="str">
        <f t="shared" si="1309"/>
        <v>SAÍDA</v>
      </c>
      <c r="C2634" t="str">
        <f t="shared" si="1312"/>
        <v>JUROS</v>
      </c>
      <c r="D2634" t="str">
        <f>""</f>
        <v/>
      </c>
      <c r="E2634" t="str">
        <f t="shared" si="1313"/>
        <v>CXA</v>
      </c>
      <c r="F2634" t="str">
        <f>""</f>
        <v/>
      </c>
      <c r="G2634" t="str">
        <f t="shared" si="1314"/>
        <v>TAXA BOLETO COMPENSADO</v>
      </c>
      <c r="H2634" t="str">
        <f t="shared" si="1310"/>
        <v>22/05/2025</v>
      </c>
      <c r="I2634" t="str">
        <f t="shared" si="1315"/>
        <v>22/05/2025</v>
      </c>
      <c r="J2634" t="str">
        <f t="shared" si="1303"/>
        <v>22/05/2025</v>
      </c>
      <c r="K2634">
        <v>1.7</v>
      </c>
      <c r="L2634">
        <v>1.7</v>
      </c>
      <c r="M2634">
        <v>401</v>
      </c>
      <c r="N2634" t="str">
        <f t="shared" si="1316"/>
        <v>IOF/JUROS/DESP.FINANCEIRA</v>
      </c>
      <c r="O2634">
        <v>1.7</v>
      </c>
      <c r="R2634" t="str">
        <f t="shared" si="1311"/>
        <v>BANCO CORA (102)</v>
      </c>
      <c r="S2634">
        <v>1696</v>
      </c>
      <c r="T2634">
        <v>0</v>
      </c>
      <c r="U2634" t="s">
        <v>20</v>
      </c>
    </row>
    <row r="2635" spans="1:21">
      <c r="A2635" t="str">
        <f t="shared" si="1300"/>
        <v>22/05/2025</v>
      </c>
      <c r="B2635" t="str">
        <f t="shared" si="1309"/>
        <v>SAÍDA</v>
      </c>
      <c r="C2635" t="str">
        <f t="shared" si="1312"/>
        <v>JUROS</v>
      </c>
      <c r="D2635" t="str">
        <f>""</f>
        <v/>
      </c>
      <c r="E2635" t="str">
        <f t="shared" si="1313"/>
        <v>CXA</v>
      </c>
      <c r="F2635" t="str">
        <f>""</f>
        <v/>
      </c>
      <c r="G2635" t="str">
        <f t="shared" si="1314"/>
        <v>TAXA BOLETO COMPENSADO</v>
      </c>
      <c r="H2635" t="str">
        <f t="shared" si="1310"/>
        <v>22/05/2025</v>
      </c>
      <c r="I2635" t="str">
        <f t="shared" si="1315"/>
        <v>22/05/2025</v>
      </c>
      <c r="J2635" t="str">
        <f t="shared" si="1303"/>
        <v>22/05/2025</v>
      </c>
      <c r="K2635">
        <v>1.7</v>
      </c>
      <c r="L2635">
        <v>1.7</v>
      </c>
      <c r="M2635">
        <v>401</v>
      </c>
      <c r="N2635" t="str">
        <f t="shared" si="1316"/>
        <v>IOF/JUROS/DESP.FINANCEIRA</v>
      </c>
      <c r="O2635">
        <v>1.7</v>
      </c>
      <c r="R2635" t="str">
        <f t="shared" si="1311"/>
        <v>BANCO CORA (102)</v>
      </c>
      <c r="S2635">
        <v>1697</v>
      </c>
      <c r="T2635">
        <v>0</v>
      </c>
      <c r="U2635" t="s">
        <v>20</v>
      </c>
    </row>
    <row r="2636" spans="1:21">
      <c r="A2636" t="str">
        <f>("23/05/2025")</f>
        <v>23/05/2025</v>
      </c>
      <c r="B2636" t="str">
        <f>"ENTRADA"</f>
        <v>ENTRADA</v>
      </c>
      <c r="C2636" t="str">
        <f>"NFSE"</f>
        <v>NFSE</v>
      </c>
      <c r="D2636" t="str">
        <f>"3002"</f>
        <v>3002</v>
      </c>
      <c r="E2636" t="str">
        <f>"COM"</f>
        <v>COM</v>
      </c>
      <c r="F2636" t="str">
        <f>"DROGARIA POUPA MINAS (ULTRAMINAS) 3 (10129)"</f>
        <v>DROGARIA POUPA MINAS (ULTRAMINAS) 3 (10129)</v>
      </c>
      <c r="G2636" t="str">
        <f>"Serv.Prest. 12/05/2025 a 18/05/2025 - RPS: 772 - NFSe: 3002"</f>
        <v>Serv.Prest. 12/05/2025 a 18/05/2025 - RPS: 772 - NFSe: 3002</v>
      </c>
      <c r="H2636" t="str">
        <f t="shared" si="1310"/>
        <v>22/05/2025</v>
      </c>
      <c r="I2636" t="str">
        <f>("19/05/2025")</f>
        <v>19/05/2025</v>
      </c>
      <c r="J2636" t="str">
        <f>("23/05/2025")</f>
        <v>23/05/2025</v>
      </c>
      <c r="K2636">
        <v>274.56</v>
      </c>
      <c r="L2636">
        <v>274.56</v>
      </c>
      <c r="M2636">
        <v>303</v>
      </c>
      <c r="N2636" t="str">
        <f>"RECEITAS COM ENTREGAS"</f>
        <v>RECEITAS COM ENTREGAS</v>
      </c>
      <c r="O2636">
        <v>274.56</v>
      </c>
      <c r="R2636" t="str">
        <f>"RECEITAS COM ENTREGAS (303)"</f>
        <v>RECEITAS COM ENTREGAS (303)</v>
      </c>
      <c r="S2636">
        <v>1571</v>
      </c>
      <c r="T2636">
        <v>1209</v>
      </c>
      <c r="U2636" t="s">
        <v>19</v>
      </c>
    </row>
    <row r="2637" spans="1:21">
      <c r="A2637" t="str">
        <f>("23/05/2025")</f>
        <v>23/05/2025</v>
      </c>
      <c r="B2637" t="str">
        <f>"ENTRADA"</f>
        <v>ENTRADA</v>
      </c>
      <c r="C2637" t="str">
        <f>"NFSE"</f>
        <v>NFSE</v>
      </c>
      <c r="D2637" t="str">
        <f>"3002"</f>
        <v>3002</v>
      </c>
      <c r="E2637" t="str">
        <f>"COM"</f>
        <v>COM</v>
      </c>
      <c r="F2637" t="str">
        <f>"DROGARIA POUPA MINAS (ULTRAMINAS) 3 (10129)"</f>
        <v>DROGARIA POUPA MINAS (ULTRAMINAS) 3 (10129)</v>
      </c>
      <c r="G2637" t="str">
        <f>"Serv.Prest. 12/05/2025 a 18/05/2025 - RPS: 772 - NFSe: 3002"</f>
        <v>Serv.Prest. 12/05/2025 a 18/05/2025 - RPS: 772 - NFSe: 3002</v>
      </c>
      <c r="H2637" t="str">
        <f t="shared" si="1310"/>
        <v>22/05/2025</v>
      </c>
      <c r="I2637" t="str">
        <f>("19/05/2025")</f>
        <v>19/05/2025</v>
      </c>
      <c r="J2637" t="str">
        <f>("23/05/2025")</f>
        <v>23/05/2025</v>
      </c>
      <c r="M2637">
        <v>303</v>
      </c>
      <c r="N2637" t="str">
        <f>"RECEITAS COM ENTREGAS"</f>
        <v>RECEITAS COM ENTREGAS</v>
      </c>
      <c r="P2637">
        <v>274.56</v>
      </c>
      <c r="Q2637" t="str">
        <f>"DROGARIA POUPA MINAS (ULTRAMINAS) 3 (10129)"</f>
        <v>DROGARIA POUPA MINAS (ULTRAMINAS) 3 (10129)</v>
      </c>
      <c r="R2637" t="str">
        <f>"RECEITAS COM ENTREGAS (303)"</f>
        <v>RECEITAS COM ENTREGAS (303)</v>
      </c>
      <c r="S2637">
        <v>1571</v>
      </c>
      <c r="T2637">
        <v>1209</v>
      </c>
      <c r="U2637" t="s">
        <v>19</v>
      </c>
    </row>
    <row r="2638" spans="1:21">
      <c r="A2638" t="str">
        <f>("23/05/2025")</f>
        <v>23/05/2025</v>
      </c>
      <c r="B2638" t="str">
        <f>"SAÍDA"</f>
        <v>SAÍDA</v>
      </c>
      <c r="C2638" t="str">
        <f>"JUROS"</f>
        <v>JUROS</v>
      </c>
      <c r="D2638" t="str">
        <f>""</f>
        <v/>
      </c>
      <c r="E2638" t="str">
        <f>"CXA"</f>
        <v>CXA</v>
      </c>
      <c r="F2638" t="str">
        <f>""</f>
        <v/>
      </c>
      <c r="G2638" t="str">
        <f>"TAXA BOLETO COMPENSADO"</f>
        <v>TAXA BOLETO COMPENSADO</v>
      </c>
      <c r="H2638" t="str">
        <f>("23/05/2025")</f>
        <v>23/05/2025</v>
      </c>
      <c r="I2638" t="str">
        <f>("23/05/2025")</f>
        <v>23/05/2025</v>
      </c>
      <c r="J2638" t="str">
        <f>("23/05/2025")</f>
        <v>23/05/2025</v>
      </c>
      <c r="K2638">
        <v>1.7</v>
      </c>
      <c r="L2638">
        <v>1.7</v>
      </c>
      <c r="M2638">
        <v>401</v>
      </c>
      <c r="N2638" t="str">
        <f>"IOF/JUROS/DESP.FINANCEIRA"</f>
        <v>IOF/JUROS/DESP.FINANCEIRA</v>
      </c>
      <c r="O2638">
        <v>1.7</v>
      </c>
      <c r="R2638" t="str">
        <f>"BANCO CORA (102)"</f>
        <v>BANCO CORA (102)</v>
      </c>
      <c r="S2638">
        <v>1698</v>
      </c>
      <c r="T2638">
        <v>0</v>
      </c>
      <c r="U2638" t="s">
        <v>20</v>
      </c>
    </row>
    <row r="2639" spans="1:21">
      <c r="A2639" t="str">
        <f t="shared" ref="A2639:A2646" si="1317">("26/05/2025")</f>
        <v>26/05/2025</v>
      </c>
      <c r="B2639" t="str">
        <f>"ENTRADA"</f>
        <v>ENTRADA</v>
      </c>
      <c r="C2639" t="str">
        <f>"NFSE"</f>
        <v>NFSE</v>
      </c>
      <c r="D2639" t="str">
        <f>"2987"</f>
        <v>2987</v>
      </c>
      <c r="E2639" t="str">
        <f>"COM"</f>
        <v>COM</v>
      </c>
      <c r="F2639" t="str">
        <f>"PAGMENOS - LJ 608 (10135)"</f>
        <v>PAGMENOS - LJ 608 (10135)</v>
      </c>
      <c r="G2639" t="str">
        <f>"Serv.Prest. 05/05/2025 a 11/05/2025 - RPS: 757 - NFSe: 2987"</f>
        <v>Serv.Prest. 05/05/2025 a 11/05/2025 - RPS: 757 - NFSe: 2987</v>
      </c>
      <c r="H2639" t="str">
        <f>("23/05/2025")</f>
        <v>23/05/2025</v>
      </c>
      <c r="I2639" t="str">
        <f>("13/05/2025")</f>
        <v>13/05/2025</v>
      </c>
      <c r="J2639" t="str">
        <f t="shared" ref="J2639:J2646" si="1318">("26/05/2025")</f>
        <v>26/05/2025</v>
      </c>
      <c r="K2639">
        <v>280.20999999999998</v>
      </c>
      <c r="L2639">
        <v>280.20999999999998</v>
      </c>
      <c r="M2639">
        <v>303</v>
      </c>
      <c r="N2639" t="str">
        <f>"RECEITAS COM ENTREGAS"</f>
        <v>RECEITAS COM ENTREGAS</v>
      </c>
      <c r="O2639">
        <v>280.20999999999998</v>
      </c>
      <c r="R2639" t="str">
        <f>"RECEITAS COM ENTREGAS (303)"</f>
        <v>RECEITAS COM ENTREGAS (303)</v>
      </c>
      <c r="S2639">
        <v>1572</v>
      </c>
      <c r="T2639">
        <v>1194</v>
      </c>
      <c r="U2639" t="s">
        <v>19</v>
      </c>
    </row>
    <row r="2640" spans="1:21">
      <c r="A2640" t="str">
        <f t="shared" si="1317"/>
        <v>26/05/2025</v>
      </c>
      <c r="B2640" t="str">
        <f t="shared" ref="B2640:B2642" si="1319">"ENTRADA"</f>
        <v>ENTRADA</v>
      </c>
      <c r="C2640" t="str">
        <f>"NFSE"</f>
        <v>NFSE</v>
      </c>
      <c r="D2640" t="str">
        <f>"2987"</f>
        <v>2987</v>
      </c>
      <c r="E2640" t="str">
        <f>"COM"</f>
        <v>COM</v>
      </c>
      <c r="F2640" t="str">
        <f>"PAGMENOS - LJ 608 (10135)"</f>
        <v>PAGMENOS - LJ 608 (10135)</v>
      </c>
      <c r="G2640" t="str">
        <f>"Serv.Prest. 05/05/2025 a 11/05/2025 - RPS: 757 - NFSe: 2987"</f>
        <v>Serv.Prest. 05/05/2025 a 11/05/2025 - RPS: 757 - NFSe: 2987</v>
      </c>
      <c r="H2640" t="str">
        <f>("23/05/2025")</f>
        <v>23/05/2025</v>
      </c>
      <c r="I2640" t="str">
        <f>("13/05/2025")</f>
        <v>13/05/2025</v>
      </c>
      <c r="J2640" t="str">
        <f t="shared" si="1318"/>
        <v>26/05/2025</v>
      </c>
      <c r="M2640">
        <v>303</v>
      </c>
      <c r="N2640" t="str">
        <f>"RECEITAS COM ENTREGAS"</f>
        <v>RECEITAS COM ENTREGAS</v>
      </c>
      <c r="P2640">
        <v>280.20999999999998</v>
      </c>
      <c r="Q2640" t="str">
        <f>"PAGMENOS - LJ 608 (10135)"</f>
        <v>PAGMENOS - LJ 608 (10135)</v>
      </c>
      <c r="R2640" t="str">
        <f>"RECEITAS COM ENTREGAS (303)"</f>
        <v>RECEITAS COM ENTREGAS (303)</v>
      </c>
      <c r="S2640">
        <v>1572</v>
      </c>
      <c r="T2640">
        <v>1194</v>
      </c>
      <c r="U2640" t="s">
        <v>19</v>
      </c>
    </row>
    <row r="2641" spans="1:21">
      <c r="A2641" t="str">
        <f t="shared" si="1317"/>
        <v>26/05/2025</v>
      </c>
      <c r="B2641" t="str">
        <f t="shared" si="1319"/>
        <v>ENTRADA</v>
      </c>
      <c r="C2641" t="str">
        <f>"NFSE"</f>
        <v>NFSE</v>
      </c>
      <c r="D2641" t="str">
        <f>"2988"</f>
        <v>2988</v>
      </c>
      <c r="E2641" t="str">
        <f>"COM"</f>
        <v>COM</v>
      </c>
      <c r="F2641" t="str">
        <f>"PAGMENOS - LJ 657 (10136)"</f>
        <v>PAGMENOS - LJ 657 (10136)</v>
      </c>
      <c r="G2641" t="str">
        <f>"Serv.Prest. 05/05/2025 a 11/05/2025 - RPS: 758 - NFSe: 2988"</f>
        <v>Serv.Prest. 05/05/2025 a 11/05/2025 - RPS: 758 - NFSe: 2988</v>
      </c>
      <c r="H2641" t="str">
        <f>("23/05/2025")</f>
        <v>23/05/2025</v>
      </c>
      <c r="I2641" t="str">
        <f>("13/05/2025")</f>
        <v>13/05/2025</v>
      </c>
      <c r="J2641" t="str">
        <f t="shared" si="1318"/>
        <v>26/05/2025</v>
      </c>
      <c r="K2641">
        <v>596.6</v>
      </c>
      <c r="L2641">
        <v>596.6</v>
      </c>
      <c r="M2641">
        <v>303</v>
      </c>
      <c r="N2641" t="str">
        <f>"RECEITAS COM ENTREGAS"</f>
        <v>RECEITAS COM ENTREGAS</v>
      </c>
      <c r="O2641">
        <v>596.6</v>
      </c>
      <c r="R2641" t="str">
        <f>"RECEITAS COM ENTREGAS (303)"</f>
        <v>RECEITAS COM ENTREGAS (303)</v>
      </c>
      <c r="S2641">
        <v>1573</v>
      </c>
      <c r="T2641">
        <v>1195</v>
      </c>
      <c r="U2641" t="s">
        <v>19</v>
      </c>
    </row>
    <row r="2642" spans="1:21">
      <c r="A2642" t="str">
        <f t="shared" si="1317"/>
        <v>26/05/2025</v>
      </c>
      <c r="B2642" t="str">
        <f t="shared" si="1319"/>
        <v>ENTRADA</v>
      </c>
      <c r="C2642" t="str">
        <f>"NFSE"</f>
        <v>NFSE</v>
      </c>
      <c r="D2642" t="str">
        <f>"2988"</f>
        <v>2988</v>
      </c>
      <c r="E2642" t="str">
        <f>"COM"</f>
        <v>COM</v>
      </c>
      <c r="F2642" t="str">
        <f>"PAGMENOS - LJ 657 (10136)"</f>
        <v>PAGMENOS - LJ 657 (10136)</v>
      </c>
      <c r="G2642" t="str">
        <f>"Serv.Prest. 05/05/2025 a 11/05/2025 - RPS: 758 - NFSe: 2988"</f>
        <v>Serv.Prest. 05/05/2025 a 11/05/2025 - RPS: 758 - NFSe: 2988</v>
      </c>
      <c r="H2642" t="str">
        <f>("23/05/2025")</f>
        <v>23/05/2025</v>
      </c>
      <c r="I2642" t="str">
        <f>("13/05/2025")</f>
        <v>13/05/2025</v>
      </c>
      <c r="J2642" t="str">
        <f t="shared" si="1318"/>
        <v>26/05/2025</v>
      </c>
      <c r="M2642">
        <v>303</v>
      </c>
      <c r="N2642" t="str">
        <f>"RECEITAS COM ENTREGAS"</f>
        <v>RECEITAS COM ENTREGAS</v>
      </c>
      <c r="P2642">
        <v>596.6</v>
      </c>
      <c r="Q2642" t="str">
        <f>"PAGMENOS - LJ 657 (10136)"</f>
        <v>PAGMENOS - LJ 657 (10136)</v>
      </c>
      <c r="R2642" t="str">
        <f>"RECEITAS COM ENTREGAS (303)"</f>
        <v>RECEITAS COM ENTREGAS (303)</v>
      </c>
      <c r="S2642">
        <v>1573</v>
      </c>
      <c r="T2642">
        <v>1195</v>
      </c>
      <c r="U2642" t="s">
        <v>19</v>
      </c>
    </row>
    <row r="2643" spans="1:21">
      <c r="A2643" t="str">
        <f t="shared" si="1317"/>
        <v>26/05/2025</v>
      </c>
      <c r="B2643" t="str">
        <f t="shared" ref="B2643:B2648" si="1320">"SAÍDA"</f>
        <v>SAÍDA</v>
      </c>
      <c r="C2643" t="str">
        <f>"JUROS"</f>
        <v>JUROS</v>
      </c>
      <c r="D2643" t="str">
        <f>""</f>
        <v/>
      </c>
      <c r="E2643" t="str">
        <f>"CXA"</f>
        <v>CXA</v>
      </c>
      <c r="F2643" t="str">
        <f>""</f>
        <v/>
      </c>
      <c r="G2643" t="str">
        <f>"TAXA BOLETO COMPENSADO"</f>
        <v>TAXA BOLETO COMPENSADO</v>
      </c>
      <c r="H2643" t="str">
        <f>("26/05/2025")</f>
        <v>26/05/2025</v>
      </c>
      <c r="I2643" t="str">
        <f>("26/05/2025")</f>
        <v>26/05/2025</v>
      </c>
      <c r="J2643" t="str">
        <f t="shared" si="1318"/>
        <v>26/05/2025</v>
      </c>
      <c r="K2643">
        <v>1.7</v>
      </c>
      <c r="L2643">
        <v>1.7</v>
      </c>
      <c r="M2643">
        <v>401</v>
      </c>
      <c r="N2643" t="str">
        <f>"IOF/JUROS/DESP.FINANCEIRA"</f>
        <v>IOF/JUROS/DESP.FINANCEIRA</v>
      </c>
      <c r="O2643">
        <v>1.7</v>
      </c>
      <c r="R2643" t="str">
        <f t="shared" ref="R2643:R2648" si="1321">"BANCO CORA (102)"</f>
        <v>BANCO CORA (102)</v>
      </c>
      <c r="S2643">
        <v>1699</v>
      </c>
      <c r="T2643">
        <v>0</v>
      </c>
      <c r="U2643" t="s">
        <v>20</v>
      </c>
    </row>
    <row r="2644" spans="1:21">
      <c r="A2644" t="str">
        <f t="shared" si="1317"/>
        <v>26/05/2025</v>
      </c>
      <c r="B2644" t="str">
        <f t="shared" si="1320"/>
        <v>SAÍDA</v>
      </c>
      <c r="C2644" t="str">
        <f>"JUROS"</f>
        <v>JUROS</v>
      </c>
      <c r="D2644" t="str">
        <f>""</f>
        <v/>
      </c>
      <c r="E2644" t="str">
        <f>"CXA"</f>
        <v>CXA</v>
      </c>
      <c r="F2644" t="str">
        <f>""</f>
        <v/>
      </c>
      <c r="G2644" t="str">
        <f>"TAXA BOLETO COMPENSADO"</f>
        <v>TAXA BOLETO COMPENSADO</v>
      </c>
      <c r="H2644" t="str">
        <f>("26/05/2025")</f>
        <v>26/05/2025</v>
      </c>
      <c r="I2644" t="str">
        <f>("26/05/2025")</f>
        <v>26/05/2025</v>
      </c>
      <c r="J2644" t="str">
        <f t="shared" si="1318"/>
        <v>26/05/2025</v>
      </c>
      <c r="K2644">
        <v>1.7</v>
      </c>
      <c r="L2644">
        <v>1.7</v>
      </c>
      <c r="M2644">
        <v>401</v>
      </c>
      <c r="N2644" t="str">
        <f>"IOF/JUROS/DESP.FINANCEIRA"</f>
        <v>IOF/JUROS/DESP.FINANCEIRA</v>
      </c>
      <c r="O2644">
        <v>1.7</v>
      </c>
      <c r="R2644" t="str">
        <f t="shared" si="1321"/>
        <v>BANCO CORA (102)</v>
      </c>
      <c r="S2644">
        <v>1700</v>
      </c>
      <c r="T2644">
        <v>0</v>
      </c>
      <c r="U2644" t="s">
        <v>20</v>
      </c>
    </row>
    <row r="2645" spans="1:21">
      <c r="A2645" t="str">
        <f t="shared" si="1317"/>
        <v>26/05/2025</v>
      </c>
      <c r="B2645" t="str">
        <f t="shared" si="1320"/>
        <v>SAÍDA</v>
      </c>
      <c r="C2645" t="str">
        <f>"BOLETO"</f>
        <v>BOLETO</v>
      </c>
      <c r="D2645" t="str">
        <f>"706"</f>
        <v>706</v>
      </c>
      <c r="E2645" t="str">
        <f t="shared" ref="E2645:E2676" si="1322">"COM"</f>
        <v>COM</v>
      </c>
      <c r="F2645" t="str">
        <f>"DESENVOLVA CONSULTORIA E TREINAMENTO EMPRESARIAL LTDA (20083)"</f>
        <v>DESENVOLVA CONSULTORIA E TREINAMENTO EMPRESARIAL LTDA (20083)</v>
      </c>
      <c r="G2645" t="str">
        <f>"PARCERIA EVENTO DESENVOLVA"</f>
        <v>PARCERIA EVENTO DESENVOLVA</v>
      </c>
      <c r="H2645" t="str">
        <f>("26/05/2025")</f>
        <v>26/05/2025</v>
      </c>
      <c r="I2645" t="str">
        <f>("23/05/2025")</f>
        <v>23/05/2025</v>
      </c>
      <c r="J2645" t="str">
        <f t="shared" si="1318"/>
        <v>26/05/2025</v>
      </c>
      <c r="K2645">
        <v>2500</v>
      </c>
      <c r="L2645">
        <v>2500</v>
      </c>
      <c r="M2645">
        <v>127</v>
      </c>
      <c r="N2645" t="str">
        <f>"PUBLICIDADE E PROPAGANDAS"</f>
        <v>PUBLICIDADE E PROPAGANDAS</v>
      </c>
      <c r="O2645">
        <v>2500</v>
      </c>
      <c r="R2645" t="str">
        <f t="shared" si="1321"/>
        <v>BANCO CORA (102)</v>
      </c>
      <c r="S2645">
        <v>1727</v>
      </c>
      <c r="T2645">
        <v>1292</v>
      </c>
      <c r="U2645" t="s">
        <v>19</v>
      </c>
    </row>
    <row r="2646" spans="1:21">
      <c r="A2646" t="str">
        <f t="shared" si="1317"/>
        <v>26/05/2025</v>
      </c>
      <c r="B2646" t="str">
        <f t="shared" si="1320"/>
        <v>SAÍDA</v>
      </c>
      <c r="C2646" t="str">
        <f>"BOLETO"</f>
        <v>BOLETO</v>
      </c>
      <c r="D2646" t="str">
        <f>"706"</f>
        <v>706</v>
      </c>
      <c r="E2646" t="str">
        <f t="shared" si="1322"/>
        <v>COM</v>
      </c>
      <c r="F2646" t="str">
        <f>"DESENVOLVA CONSULTORIA E TREINAMENTO EMPRESARIAL LTDA (20083)"</f>
        <v>DESENVOLVA CONSULTORIA E TREINAMENTO EMPRESARIAL LTDA (20083)</v>
      </c>
      <c r="G2646" t="str">
        <f>"PARCERIA EVENTO DESENVOLVA"</f>
        <v>PARCERIA EVENTO DESENVOLVA</v>
      </c>
      <c r="H2646" t="str">
        <f>("26/05/2025")</f>
        <v>26/05/2025</v>
      </c>
      <c r="I2646" t="str">
        <f>("23/05/2025")</f>
        <v>23/05/2025</v>
      </c>
      <c r="J2646" t="str">
        <f t="shared" si="1318"/>
        <v>26/05/2025</v>
      </c>
      <c r="M2646">
        <v>127</v>
      </c>
      <c r="N2646" t="str">
        <f>"PUBLICIDADE E PROPAGANDAS"</f>
        <v>PUBLICIDADE E PROPAGANDAS</v>
      </c>
      <c r="P2646">
        <v>2500</v>
      </c>
      <c r="Q2646" t="str">
        <f>"DESENVOLVA CONSULTORIA E TREINAMENTO EMPRESARIAL LTDA (20083)"</f>
        <v>DESENVOLVA CONSULTORIA E TREINAMENTO EMPRESARIAL LTDA (20083)</v>
      </c>
      <c r="R2646" t="str">
        <f t="shared" si="1321"/>
        <v>BANCO CORA (102)</v>
      </c>
      <c r="S2646">
        <v>1727</v>
      </c>
      <c r="T2646">
        <v>1292</v>
      </c>
      <c r="U2646" t="s">
        <v>19</v>
      </c>
    </row>
    <row r="2647" spans="1:21">
      <c r="A2647" t="str">
        <f>("27/05/2025")</f>
        <v>27/05/2025</v>
      </c>
      <c r="B2647" t="str">
        <f t="shared" si="1320"/>
        <v>SAÍDA</v>
      </c>
      <c r="C2647" t="str">
        <f>"PIX"</f>
        <v>PIX</v>
      </c>
      <c r="D2647" t="str">
        <f>"65"</f>
        <v>65</v>
      </c>
      <c r="E2647" t="str">
        <f t="shared" si="1322"/>
        <v>COM</v>
      </c>
      <c r="F2647" t="str">
        <f>"IGOR PEREIRA DA SILVA (20086)"</f>
        <v>IGOR PEREIRA DA SILVA (20086)</v>
      </c>
      <c r="G2647" t="str">
        <f>"CONSULTORIA DESENVOLVIMENTO DE SOFTWARE"</f>
        <v>CONSULTORIA DESENVOLVIMENTO DE SOFTWARE</v>
      </c>
      <c r="H2647" t="str">
        <f t="shared" ref="H2647:J2648" si="1323">("27/05/2025")</f>
        <v>27/05/2025</v>
      </c>
      <c r="I2647" t="str">
        <f t="shared" si="1323"/>
        <v>27/05/2025</v>
      </c>
      <c r="J2647" t="str">
        <f t="shared" si="1323"/>
        <v>27/05/2025</v>
      </c>
      <c r="K2647">
        <v>2000</v>
      </c>
      <c r="L2647">
        <v>2000</v>
      </c>
      <c r="M2647">
        <v>111</v>
      </c>
      <c r="N2647" t="str">
        <f>"OUTRAS DESPESAS / TAXAS"</f>
        <v>OUTRAS DESPESAS / TAXAS</v>
      </c>
      <c r="O2647">
        <v>2000</v>
      </c>
      <c r="R2647" t="str">
        <f t="shared" si="1321"/>
        <v>BANCO CORA (102)</v>
      </c>
      <c r="S2647">
        <v>1627</v>
      </c>
      <c r="T2647">
        <v>1286</v>
      </c>
      <c r="U2647" t="s">
        <v>19</v>
      </c>
    </row>
    <row r="2648" spans="1:21">
      <c r="A2648" t="str">
        <f>("27/05/2025")</f>
        <v>27/05/2025</v>
      </c>
      <c r="B2648" t="str">
        <f t="shared" si="1320"/>
        <v>SAÍDA</v>
      </c>
      <c r="C2648" t="str">
        <f>"PIX"</f>
        <v>PIX</v>
      </c>
      <c r="D2648" t="str">
        <f>"65"</f>
        <v>65</v>
      </c>
      <c r="E2648" t="str">
        <f t="shared" si="1322"/>
        <v>COM</v>
      </c>
      <c r="F2648" t="str">
        <f>"IGOR PEREIRA DA SILVA (20086)"</f>
        <v>IGOR PEREIRA DA SILVA (20086)</v>
      </c>
      <c r="G2648" t="str">
        <f>"CONSULTORIA DESENVOLVIMENTO DE SOFTWARE"</f>
        <v>CONSULTORIA DESENVOLVIMENTO DE SOFTWARE</v>
      </c>
      <c r="H2648" t="str">
        <f t="shared" si="1323"/>
        <v>27/05/2025</v>
      </c>
      <c r="I2648" t="str">
        <f t="shared" si="1323"/>
        <v>27/05/2025</v>
      </c>
      <c r="J2648" t="str">
        <f t="shared" si="1323"/>
        <v>27/05/2025</v>
      </c>
      <c r="M2648">
        <v>111</v>
      </c>
      <c r="N2648" t="str">
        <f>"OUTRAS DESPESAS / TAXAS"</f>
        <v>OUTRAS DESPESAS / TAXAS</v>
      </c>
      <c r="P2648">
        <v>2000</v>
      </c>
      <c r="Q2648" t="str">
        <f>"IGOR PEREIRA DA SILVA (20086)"</f>
        <v>IGOR PEREIRA DA SILVA (20086)</v>
      </c>
      <c r="R2648" t="str">
        <f t="shared" si="1321"/>
        <v>BANCO CORA (102)</v>
      </c>
      <c r="S2648">
        <v>1627</v>
      </c>
      <c r="T2648">
        <v>1286</v>
      </c>
      <c r="U2648" t="s">
        <v>19</v>
      </c>
    </row>
    <row r="2649" spans="1:21">
      <c r="A2649" t="str">
        <f t="shared" ref="A2649:A2680" si="1324">("28/05/2025")</f>
        <v>28/05/2025</v>
      </c>
      <c r="B2649" t="str">
        <f>"ENTRADA"</f>
        <v>ENTRADA</v>
      </c>
      <c r="C2649" t="str">
        <f t="shared" ref="C2649:C2680" si="1325">"NFSE"</f>
        <v>NFSE</v>
      </c>
      <c r="D2649" t="str">
        <f t="shared" ref="D2649:D2657" si="1326">"3008"</f>
        <v>3008</v>
      </c>
      <c r="E2649" t="str">
        <f t="shared" si="1322"/>
        <v>COM</v>
      </c>
      <c r="F2649" t="str">
        <f t="shared" ref="F2649:F2657" si="1327">"FARMÁCIA INDIANA LJ 85 (10128)"</f>
        <v>FARMÁCIA INDIANA LJ 85 (10128)</v>
      </c>
      <c r="G2649" t="str">
        <f t="shared" ref="G2649:G2657" si="1328">"Serv.Prest. 12/05/2025 a 18/05/2025 - RPS: 778 - NFSe: 3008"</f>
        <v>Serv.Prest. 12/05/2025 a 18/05/2025 - RPS: 778 - NFSe: 3008</v>
      </c>
      <c r="H2649" t="str">
        <f t="shared" ref="H2649:H2680" si="1329">("28/05/2025")</f>
        <v>28/05/2025</v>
      </c>
      <c r="I2649" t="str">
        <f t="shared" ref="I2649:I2680" si="1330">("20/05/2025")</f>
        <v>20/05/2025</v>
      </c>
      <c r="J2649" t="str">
        <f t="shared" ref="J2649:J2680" si="1331">("28/05/2025")</f>
        <v>28/05/2025</v>
      </c>
      <c r="K2649">
        <v>1308.8800000000001</v>
      </c>
      <c r="L2649">
        <v>1308.8800000000001</v>
      </c>
      <c r="M2649">
        <v>303</v>
      </c>
      <c r="N2649" t="str">
        <f t="shared" ref="N2649:N2680" si="1332">"RECEITAS COM ENTREGAS"</f>
        <v>RECEITAS COM ENTREGAS</v>
      </c>
      <c r="O2649">
        <v>1308.8800000000001</v>
      </c>
      <c r="R2649" t="str">
        <f t="shared" ref="R2649:R2680" si="1333">"RECEITAS COM ENTREGAS (303)"</f>
        <v>RECEITAS COM ENTREGAS (303)</v>
      </c>
      <c r="S2649">
        <v>1574</v>
      </c>
      <c r="T2649">
        <v>1215</v>
      </c>
      <c r="U2649" t="s">
        <v>19</v>
      </c>
    </row>
    <row r="2650" spans="1:21">
      <c r="A2650" t="str">
        <f t="shared" si="1324"/>
        <v>28/05/2025</v>
      </c>
      <c r="B2650" t="str">
        <f t="shared" ref="B2650:B2713" si="1334">"ENTRADA"</f>
        <v>ENTRADA</v>
      </c>
      <c r="C2650" t="str">
        <f t="shared" si="1325"/>
        <v>NFSE</v>
      </c>
      <c r="D2650" t="str">
        <f t="shared" si="1326"/>
        <v>3008</v>
      </c>
      <c r="E2650" t="str">
        <f t="shared" si="1322"/>
        <v>COM</v>
      </c>
      <c r="F2650" t="str">
        <f t="shared" si="1327"/>
        <v>FARMÁCIA INDIANA LJ 85 (10128)</v>
      </c>
      <c r="G2650" t="str">
        <f t="shared" si="1328"/>
        <v>Serv.Prest. 12/05/2025 a 18/05/2025 - RPS: 778 - NFSe: 3008</v>
      </c>
      <c r="H2650" t="str">
        <f t="shared" si="1329"/>
        <v>28/05/2025</v>
      </c>
      <c r="I2650" t="str">
        <f t="shared" si="1330"/>
        <v>20/05/2025</v>
      </c>
      <c r="J2650" t="str">
        <f t="shared" si="1331"/>
        <v>28/05/2025</v>
      </c>
      <c r="M2650">
        <v>303</v>
      </c>
      <c r="N2650" t="str">
        <f t="shared" si="1332"/>
        <v>RECEITAS COM ENTREGAS</v>
      </c>
      <c r="P2650">
        <v>160.87</v>
      </c>
      <c r="Q2650" t="str">
        <f>"FARMÁCIA INDIANA LJ 119 (10053)"</f>
        <v>FARMÁCIA INDIANA LJ 119 (10053)</v>
      </c>
      <c r="R2650" t="str">
        <f t="shared" si="1333"/>
        <v>RECEITAS COM ENTREGAS (303)</v>
      </c>
      <c r="S2650">
        <v>1574</v>
      </c>
      <c r="T2650">
        <v>1215</v>
      </c>
      <c r="U2650" t="s">
        <v>19</v>
      </c>
    </row>
    <row r="2651" spans="1:21">
      <c r="A2651" t="str">
        <f t="shared" si="1324"/>
        <v>28/05/2025</v>
      </c>
      <c r="B2651" t="str">
        <f t="shared" si="1334"/>
        <v>ENTRADA</v>
      </c>
      <c r="C2651" t="str">
        <f t="shared" si="1325"/>
        <v>NFSE</v>
      </c>
      <c r="D2651" t="str">
        <f t="shared" si="1326"/>
        <v>3008</v>
      </c>
      <c r="E2651" t="str">
        <f t="shared" si="1322"/>
        <v>COM</v>
      </c>
      <c r="F2651" t="str">
        <f t="shared" si="1327"/>
        <v>FARMÁCIA INDIANA LJ 85 (10128)</v>
      </c>
      <c r="G2651" t="str">
        <f t="shared" si="1328"/>
        <v>Serv.Prest. 12/05/2025 a 18/05/2025 - RPS: 778 - NFSe: 3008</v>
      </c>
      <c r="H2651" t="str">
        <f t="shared" si="1329"/>
        <v>28/05/2025</v>
      </c>
      <c r="I2651" t="str">
        <f t="shared" si="1330"/>
        <v>20/05/2025</v>
      </c>
      <c r="J2651" t="str">
        <f t="shared" si="1331"/>
        <v>28/05/2025</v>
      </c>
      <c r="M2651">
        <v>303</v>
      </c>
      <c r="N2651" t="str">
        <f t="shared" si="1332"/>
        <v>RECEITAS COM ENTREGAS</v>
      </c>
      <c r="P2651">
        <v>296.85000000000002</v>
      </c>
      <c r="Q2651" t="str">
        <f>"FARMÁCIA INDIANA LJ 163 (10072)"</f>
        <v>FARMÁCIA INDIANA LJ 163 (10072)</v>
      </c>
      <c r="R2651" t="str">
        <f t="shared" si="1333"/>
        <v>RECEITAS COM ENTREGAS (303)</v>
      </c>
      <c r="S2651">
        <v>1574</v>
      </c>
      <c r="T2651">
        <v>1215</v>
      </c>
      <c r="U2651" t="s">
        <v>19</v>
      </c>
    </row>
    <row r="2652" spans="1:21">
      <c r="A2652" t="str">
        <f t="shared" si="1324"/>
        <v>28/05/2025</v>
      </c>
      <c r="B2652" t="str">
        <f t="shared" si="1334"/>
        <v>ENTRADA</v>
      </c>
      <c r="C2652" t="str">
        <f t="shared" si="1325"/>
        <v>NFSE</v>
      </c>
      <c r="D2652" t="str">
        <f t="shared" si="1326"/>
        <v>3008</v>
      </c>
      <c r="E2652" t="str">
        <f t="shared" si="1322"/>
        <v>COM</v>
      </c>
      <c r="F2652" t="str">
        <f t="shared" si="1327"/>
        <v>FARMÁCIA INDIANA LJ 85 (10128)</v>
      </c>
      <c r="G2652" t="str">
        <f t="shared" si="1328"/>
        <v>Serv.Prest. 12/05/2025 a 18/05/2025 - RPS: 778 - NFSe: 3008</v>
      </c>
      <c r="H2652" t="str">
        <f t="shared" si="1329"/>
        <v>28/05/2025</v>
      </c>
      <c r="I2652" t="str">
        <f t="shared" si="1330"/>
        <v>20/05/2025</v>
      </c>
      <c r="J2652" t="str">
        <f t="shared" si="1331"/>
        <v>28/05/2025</v>
      </c>
      <c r="M2652">
        <v>303</v>
      </c>
      <c r="N2652" t="str">
        <f t="shared" si="1332"/>
        <v>RECEITAS COM ENTREGAS</v>
      </c>
      <c r="P2652">
        <v>174.21</v>
      </c>
      <c r="Q2652" t="str">
        <f>"FARMÁCIA INDIANA LJ 181 (10078)"</f>
        <v>FARMÁCIA INDIANA LJ 181 (10078)</v>
      </c>
      <c r="R2652" t="str">
        <f t="shared" si="1333"/>
        <v>RECEITAS COM ENTREGAS (303)</v>
      </c>
      <c r="S2652">
        <v>1574</v>
      </c>
      <c r="T2652">
        <v>1215</v>
      </c>
      <c r="U2652" t="s">
        <v>19</v>
      </c>
    </row>
    <row r="2653" spans="1:21">
      <c r="A2653" t="str">
        <f t="shared" si="1324"/>
        <v>28/05/2025</v>
      </c>
      <c r="B2653" t="str">
        <f t="shared" si="1334"/>
        <v>ENTRADA</v>
      </c>
      <c r="C2653" t="str">
        <f t="shared" si="1325"/>
        <v>NFSE</v>
      </c>
      <c r="D2653" t="str">
        <f t="shared" si="1326"/>
        <v>3008</v>
      </c>
      <c r="E2653" t="str">
        <f t="shared" si="1322"/>
        <v>COM</v>
      </c>
      <c r="F2653" t="str">
        <f t="shared" si="1327"/>
        <v>FARMÁCIA INDIANA LJ 85 (10128)</v>
      </c>
      <c r="G2653" t="str">
        <f t="shared" si="1328"/>
        <v>Serv.Prest. 12/05/2025 a 18/05/2025 - RPS: 778 - NFSe: 3008</v>
      </c>
      <c r="H2653" t="str">
        <f t="shared" si="1329"/>
        <v>28/05/2025</v>
      </c>
      <c r="I2653" t="str">
        <f t="shared" si="1330"/>
        <v>20/05/2025</v>
      </c>
      <c r="J2653" t="str">
        <f t="shared" si="1331"/>
        <v>28/05/2025</v>
      </c>
      <c r="M2653">
        <v>303</v>
      </c>
      <c r="N2653" t="str">
        <f t="shared" si="1332"/>
        <v>RECEITAS COM ENTREGAS</v>
      </c>
      <c r="P2653">
        <v>161.65</v>
      </c>
      <c r="Q2653" t="str">
        <f>"FARMÁCIA INDIANA LJ 221 (10093)"</f>
        <v>FARMÁCIA INDIANA LJ 221 (10093)</v>
      </c>
      <c r="R2653" t="str">
        <f t="shared" si="1333"/>
        <v>RECEITAS COM ENTREGAS (303)</v>
      </c>
      <c r="S2653">
        <v>1574</v>
      </c>
      <c r="T2653">
        <v>1215</v>
      </c>
      <c r="U2653" t="s">
        <v>19</v>
      </c>
    </row>
    <row r="2654" spans="1:21">
      <c r="A2654" t="str">
        <f t="shared" si="1324"/>
        <v>28/05/2025</v>
      </c>
      <c r="B2654" t="str">
        <f t="shared" si="1334"/>
        <v>ENTRADA</v>
      </c>
      <c r="C2654" t="str">
        <f t="shared" si="1325"/>
        <v>NFSE</v>
      </c>
      <c r="D2654" t="str">
        <f t="shared" si="1326"/>
        <v>3008</v>
      </c>
      <c r="E2654" t="str">
        <f t="shared" si="1322"/>
        <v>COM</v>
      </c>
      <c r="F2654" t="str">
        <f t="shared" si="1327"/>
        <v>FARMÁCIA INDIANA LJ 85 (10128)</v>
      </c>
      <c r="G2654" t="str">
        <f t="shared" si="1328"/>
        <v>Serv.Prest. 12/05/2025 a 18/05/2025 - RPS: 778 - NFSe: 3008</v>
      </c>
      <c r="H2654" t="str">
        <f t="shared" si="1329"/>
        <v>28/05/2025</v>
      </c>
      <c r="I2654" t="str">
        <f t="shared" si="1330"/>
        <v>20/05/2025</v>
      </c>
      <c r="J2654" t="str">
        <f t="shared" si="1331"/>
        <v>28/05/2025</v>
      </c>
      <c r="M2654">
        <v>303</v>
      </c>
      <c r="N2654" t="str">
        <f t="shared" si="1332"/>
        <v>RECEITAS COM ENTREGAS</v>
      </c>
      <c r="P2654">
        <v>170.68</v>
      </c>
      <c r="Q2654" t="str">
        <f>"FARMÁCIA INDIANA LJ 243 (10142)"</f>
        <v>FARMÁCIA INDIANA LJ 243 (10142)</v>
      </c>
      <c r="R2654" t="str">
        <f t="shared" si="1333"/>
        <v>RECEITAS COM ENTREGAS (303)</v>
      </c>
      <c r="S2654">
        <v>1574</v>
      </c>
      <c r="T2654">
        <v>1215</v>
      </c>
      <c r="U2654" t="s">
        <v>19</v>
      </c>
    </row>
    <row r="2655" spans="1:21">
      <c r="A2655" t="str">
        <f t="shared" si="1324"/>
        <v>28/05/2025</v>
      </c>
      <c r="B2655" t="str">
        <f t="shared" si="1334"/>
        <v>ENTRADA</v>
      </c>
      <c r="C2655" t="str">
        <f t="shared" si="1325"/>
        <v>NFSE</v>
      </c>
      <c r="D2655" t="str">
        <f t="shared" si="1326"/>
        <v>3008</v>
      </c>
      <c r="E2655" t="str">
        <f t="shared" si="1322"/>
        <v>COM</v>
      </c>
      <c r="F2655" t="str">
        <f t="shared" si="1327"/>
        <v>FARMÁCIA INDIANA LJ 85 (10128)</v>
      </c>
      <c r="G2655" t="str">
        <f t="shared" si="1328"/>
        <v>Serv.Prest. 12/05/2025 a 18/05/2025 - RPS: 778 - NFSe: 3008</v>
      </c>
      <c r="H2655" t="str">
        <f t="shared" si="1329"/>
        <v>28/05/2025</v>
      </c>
      <c r="I2655" t="str">
        <f t="shared" si="1330"/>
        <v>20/05/2025</v>
      </c>
      <c r="J2655" t="str">
        <f t="shared" si="1331"/>
        <v>28/05/2025</v>
      </c>
      <c r="M2655">
        <v>303</v>
      </c>
      <c r="N2655" t="str">
        <f t="shared" si="1332"/>
        <v>RECEITAS COM ENTREGAS</v>
      </c>
      <c r="P2655">
        <v>86.12</v>
      </c>
      <c r="Q2655" t="str">
        <f>"FARMÁCIA INDIANA LJ 211 (10168)"</f>
        <v>FARMÁCIA INDIANA LJ 211 (10168)</v>
      </c>
      <c r="R2655" t="str">
        <f t="shared" si="1333"/>
        <v>RECEITAS COM ENTREGAS (303)</v>
      </c>
      <c r="S2655">
        <v>1574</v>
      </c>
      <c r="T2655">
        <v>1215</v>
      </c>
      <c r="U2655" t="s">
        <v>19</v>
      </c>
    </row>
    <row r="2656" spans="1:21">
      <c r="A2656" t="str">
        <f t="shared" si="1324"/>
        <v>28/05/2025</v>
      </c>
      <c r="B2656" t="str">
        <f t="shared" si="1334"/>
        <v>ENTRADA</v>
      </c>
      <c r="C2656" t="str">
        <f t="shared" si="1325"/>
        <v>NFSE</v>
      </c>
      <c r="D2656" t="str">
        <f t="shared" si="1326"/>
        <v>3008</v>
      </c>
      <c r="E2656" t="str">
        <f t="shared" si="1322"/>
        <v>COM</v>
      </c>
      <c r="F2656" t="str">
        <f t="shared" si="1327"/>
        <v>FARMÁCIA INDIANA LJ 85 (10128)</v>
      </c>
      <c r="G2656" t="str">
        <f t="shared" si="1328"/>
        <v>Serv.Prest. 12/05/2025 a 18/05/2025 - RPS: 778 - NFSe: 3008</v>
      </c>
      <c r="H2656" t="str">
        <f t="shared" si="1329"/>
        <v>28/05/2025</v>
      </c>
      <c r="I2656" t="str">
        <f t="shared" si="1330"/>
        <v>20/05/2025</v>
      </c>
      <c r="J2656" t="str">
        <f t="shared" si="1331"/>
        <v>28/05/2025</v>
      </c>
      <c r="M2656">
        <v>303</v>
      </c>
      <c r="N2656" t="str">
        <f t="shared" si="1332"/>
        <v>RECEITAS COM ENTREGAS</v>
      </c>
      <c r="P2656">
        <v>86.12</v>
      </c>
      <c r="Q2656" t="str">
        <f>"FARMÁCIA INDIANA LJ 236 (10169)"</f>
        <v>FARMÁCIA INDIANA LJ 236 (10169)</v>
      </c>
      <c r="R2656" t="str">
        <f t="shared" si="1333"/>
        <v>RECEITAS COM ENTREGAS (303)</v>
      </c>
      <c r="S2656">
        <v>1574</v>
      </c>
      <c r="T2656">
        <v>1215</v>
      </c>
      <c r="U2656" t="s">
        <v>19</v>
      </c>
    </row>
    <row r="2657" spans="1:21">
      <c r="A2657" t="str">
        <f t="shared" si="1324"/>
        <v>28/05/2025</v>
      </c>
      <c r="B2657" t="str">
        <f t="shared" si="1334"/>
        <v>ENTRADA</v>
      </c>
      <c r="C2657" t="str">
        <f t="shared" si="1325"/>
        <v>NFSE</v>
      </c>
      <c r="D2657" t="str">
        <f t="shared" si="1326"/>
        <v>3008</v>
      </c>
      <c r="E2657" t="str">
        <f t="shared" si="1322"/>
        <v>COM</v>
      </c>
      <c r="F2657" t="str">
        <f t="shared" si="1327"/>
        <v>FARMÁCIA INDIANA LJ 85 (10128)</v>
      </c>
      <c r="G2657" t="str">
        <f t="shared" si="1328"/>
        <v>Serv.Prest. 12/05/2025 a 18/05/2025 - RPS: 778 - NFSe: 3008</v>
      </c>
      <c r="H2657" t="str">
        <f t="shared" si="1329"/>
        <v>28/05/2025</v>
      </c>
      <c r="I2657" t="str">
        <f t="shared" si="1330"/>
        <v>20/05/2025</v>
      </c>
      <c r="J2657" t="str">
        <f t="shared" si="1331"/>
        <v>28/05/2025</v>
      </c>
      <c r="M2657">
        <v>303</v>
      </c>
      <c r="N2657" t="str">
        <f t="shared" si="1332"/>
        <v>RECEITAS COM ENTREGAS</v>
      </c>
      <c r="P2657">
        <v>172.38</v>
      </c>
      <c r="Q2657" t="str">
        <f>"FARMÁCIA INDIANA LJ 188 (10176)"</f>
        <v>FARMÁCIA INDIANA LJ 188 (10176)</v>
      </c>
      <c r="R2657" t="str">
        <f t="shared" si="1333"/>
        <v>RECEITAS COM ENTREGAS (303)</v>
      </c>
      <c r="S2657">
        <v>1574</v>
      </c>
      <c r="T2657">
        <v>1215</v>
      </c>
      <c r="U2657" t="s">
        <v>19</v>
      </c>
    </row>
    <row r="2658" spans="1:21">
      <c r="A2658" t="str">
        <f t="shared" si="1324"/>
        <v>28/05/2025</v>
      </c>
      <c r="B2658" t="str">
        <f t="shared" si="1334"/>
        <v>ENTRADA</v>
      </c>
      <c r="C2658" t="str">
        <f t="shared" si="1325"/>
        <v>NFSE</v>
      </c>
      <c r="D2658" t="str">
        <f t="shared" ref="D2658:D2669" si="1335">"3009"</f>
        <v>3009</v>
      </c>
      <c r="E2658" t="str">
        <f t="shared" si="1322"/>
        <v>COM</v>
      </c>
      <c r="F2658" t="str">
        <f t="shared" ref="F2658:F2669" si="1336">"FARMÁCIA INDIANA LJ 30 (10127)"</f>
        <v>FARMÁCIA INDIANA LJ 30 (10127)</v>
      </c>
      <c r="G2658" t="str">
        <f t="shared" ref="G2658:G2669" si="1337">"Serv.Prest. 12/05/2025 a 18/05/2025 - RPS: 779 - NFSe: 3009"</f>
        <v>Serv.Prest. 12/05/2025 a 18/05/2025 - RPS: 779 - NFSe: 3009</v>
      </c>
      <c r="H2658" t="str">
        <f t="shared" si="1329"/>
        <v>28/05/2025</v>
      </c>
      <c r="I2658" t="str">
        <f t="shared" si="1330"/>
        <v>20/05/2025</v>
      </c>
      <c r="J2658" t="str">
        <f t="shared" si="1331"/>
        <v>28/05/2025</v>
      </c>
      <c r="K2658">
        <v>2411.88</v>
      </c>
      <c r="L2658">
        <v>2411.88</v>
      </c>
      <c r="M2658">
        <v>303</v>
      </c>
      <c r="N2658" t="str">
        <f t="shared" si="1332"/>
        <v>RECEITAS COM ENTREGAS</v>
      </c>
      <c r="O2658">
        <v>2411.88</v>
      </c>
      <c r="R2658" t="str">
        <f t="shared" si="1333"/>
        <v>RECEITAS COM ENTREGAS (303)</v>
      </c>
      <c r="S2658">
        <v>1575</v>
      </c>
      <c r="T2658">
        <v>1216</v>
      </c>
      <c r="U2658" t="s">
        <v>19</v>
      </c>
    </row>
    <row r="2659" spans="1:21">
      <c r="A2659" t="str">
        <f t="shared" si="1324"/>
        <v>28/05/2025</v>
      </c>
      <c r="B2659" t="str">
        <f t="shared" si="1334"/>
        <v>ENTRADA</v>
      </c>
      <c r="C2659" t="str">
        <f t="shared" si="1325"/>
        <v>NFSE</v>
      </c>
      <c r="D2659" t="str">
        <f t="shared" si="1335"/>
        <v>3009</v>
      </c>
      <c r="E2659" t="str">
        <f t="shared" si="1322"/>
        <v>COM</v>
      </c>
      <c r="F2659" t="str">
        <f t="shared" si="1336"/>
        <v>FARMÁCIA INDIANA LJ 30 (10127)</v>
      </c>
      <c r="G2659" t="str">
        <f t="shared" si="1337"/>
        <v>Serv.Prest. 12/05/2025 a 18/05/2025 - RPS: 779 - NFSe: 3009</v>
      </c>
      <c r="H2659" t="str">
        <f t="shared" si="1329"/>
        <v>28/05/2025</v>
      </c>
      <c r="I2659" t="str">
        <f t="shared" si="1330"/>
        <v>20/05/2025</v>
      </c>
      <c r="J2659" t="str">
        <f t="shared" si="1331"/>
        <v>28/05/2025</v>
      </c>
      <c r="M2659">
        <v>303</v>
      </c>
      <c r="N2659" t="str">
        <f t="shared" si="1332"/>
        <v>RECEITAS COM ENTREGAS</v>
      </c>
      <c r="P2659">
        <v>300.05</v>
      </c>
      <c r="Q2659" t="str">
        <f>"FARMÁCIA INDIANA LJ 34 (10014)"</f>
        <v>FARMÁCIA INDIANA LJ 34 (10014)</v>
      </c>
      <c r="R2659" t="str">
        <f t="shared" si="1333"/>
        <v>RECEITAS COM ENTREGAS (303)</v>
      </c>
      <c r="S2659">
        <v>1575</v>
      </c>
      <c r="T2659">
        <v>1216</v>
      </c>
      <c r="U2659" t="s">
        <v>19</v>
      </c>
    </row>
    <row r="2660" spans="1:21">
      <c r="A2660" t="str">
        <f t="shared" si="1324"/>
        <v>28/05/2025</v>
      </c>
      <c r="B2660" t="str">
        <f t="shared" si="1334"/>
        <v>ENTRADA</v>
      </c>
      <c r="C2660" t="str">
        <f t="shared" si="1325"/>
        <v>NFSE</v>
      </c>
      <c r="D2660" t="str">
        <f t="shared" si="1335"/>
        <v>3009</v>
      </c>
      <c r="E2660" t="str">
        <f t="shared" si="1322"/>
        <v>COM</v>
      </c>
      <c r="F2660" t="str">
        <f t="shared" si="1336"/>
        <v>FARMÁCIA INDIANA LJ 30 (10127)</v>
      </c>
      <c r="G2660" t="str">
        <f t="shared" si="1337"/>
        <v>Serv.Prest. 12/05/2025 a 18/05/2025 - RPS: 779 - NFSe: 3009</v>
      </c>
      <c r="H2660" t="str">
        <f t="shared" si="1329"/>
        <v>28/05/2025</v>
      </c>
      <c r="I2660" t="str">
        <f t="shared" si="1330"/>
        <v>20/05/2025</v>
      </c>
      <c r="J2660" t="str">
        <f t="shared" si="1331"/>
        <v>28/05/2025</v>
      </c>
      <c r="M2660">
        <v>303</v>
      </c>
      <c r="N2660" t="str">
        <f t="shared" si="1332"/>
        <v>RECEITAS COM ENTREGAS</v>
      </c>
      <c r="P2660">
        <v>224.06</v>
      </c>
      <c r="Q2660" t="str">
        <f>"FARMÁCIA INDIANA LJ 35 (10015)"</f>
        <v>FARMÁCIA INDIANA LJ 35 (10015)</v>
      </c>
      <c r="R2660" t="str">
        <f t="shared" si="1333"/>
        <v>RECEITAS COM ENTREGAS (303)</v>
      </c>
      <c r="S2660">
        <v>1575</v>
      </c>
      <c r="T2660">
        <v>1216</v>
      </c>
      <c r="U2660" t="s">
        <v>19</v>
      </c>
    </row>
    <row r="2661" spans="1:21">
      <c r="A2661" t="str">
        <f t="shared" si="1324"/>
        <v>28/05/2025</v>
      </c>
      <c r="B2661" t="str">
        <f t="shared" si="1334"/>
        <v>ENTRADA</v>
      </c>
      <c r="C2661" t="str">
        <f t="shared" si="1325"/>
        <v>NFSE</v>
      </c>
      <c r="D2661" t="str">
        <f t="shared" si="1335"/>
        <v>3009</v>
      </c>
      <c r="E2661" t="str">
        <f t="shared" si="1322"/>
        <v>COM</v>
      </c>
      <c r="F2661" t="str">
        <f t="shared" si="1336"/>
        <v>FARMÁCIA INDIANA LJ 30 (10127)</v>
      </c>
      <c r="G2661" t="str">
        <f t="shared" si="1337"/>
        <v>Serv.Prest. 12/05/2025 a 18/05/2025 - RPS: 779 - NFSe: 3009</v>
      </c>
      <c r="H2661" t="str">
        <f t="shared" si="1329"/>
        <v>28/05/2025</v>
      </c>
      <c r="I2661" t="str">
        <f t="shared" si="1330"/>
        <v>20/05/2025</v>
      </c>
      <c r="J2661" t="str">
        <f t="shared" si="1331"/>
        <v>28/05/2025</v>
      </c>
      <c r="M2661">
        <v>303</v>
      </c>
      <c r="N2661" t="str">
        <f t="shared" si="1332"/>
        <v>RECEITAS COM ENTREGAS</v>
      </c>
      <c r="P2661">
        <v>150.02000000000001</v>
      </c>
      <c r="Q2661" t="str">
        <f>"FARMÁCIA INDIANA LJ 48 (10018)"</f>
        <v>FARMÁCIA INDIANA LJ 48 (10018)</v>
      </c>
      <c r="R2661" t="str">
        <f t="shared" si="1333"/>
        <v>RECEITAS COM ENTREGAS (303)</v>
      </c>
      <c r="S2661">
        <v>1575</v>
      </c>
      <c r="T2661">
        <v>1216</v>
      </c>
      <c r="U2661" t="s">
        <v>19</v>
      </c>
    </row>
    <row r="2662" spans="1:21">
      <c r="A2662" t="str">
        <f t="shared" si="1324"/>
        <v>28/05/2025</v>
      </c>
      <c r="B2662" t="str">
        <f t="shared" si="1334"/>
        <v>ENTRADA</v>
      </c>
      <c r="C2662" t="str">
        <f t="shared" si="1325"/>
        <v>NFSE</v>
      </c>
      <c r="D2662" t="str">
        <f t="shared" si="1335"/>
        <v>3009</v>
      </c>
      <c r="E2662" t="str">
        <f t="shared" si="1322"/>
        <v>COM</v>
      </c>
      <c r="F2662" t="str">
        <f t="shared" si="1336"/>
        <v>FARMÁCIA INDIANA LJ 30 (10127)</v>
      </c>
      <c r="G2662" t="str">
        <f t="shared" si="1337"/>
        <v>Serv.Prest. 12/05/2025 a 18/05/2025 - RPS: 779 - NFSe: 3009</v>
      </c>
      <c r="H2662" t="str">
        <f t="shared" si="1329"/>
        <v>28/05/2025</v>
      </c>
      <c r="I2662" t="str">
        <f t="shared" si="1330"/>
        <v>20/05/2025</v>
      </c>
      <c r="J2662" t="str">
        <f t="shared" si="1331"/>
        <v>28/05/2025</v>
      </c>
      <c r="M2662">
        <v>303</v>
      </c>
      <c r="N2662" t="str">
        <f t="shared" si="1332"/>
        <v>RECEITAS COM ENTREGAS</v>
      </c>
      <c r="P2662">
        <v>383.73</v>
      </c>
      <c r="Q2662" t="str">
        <f>"FARMÁCIA INDIANA LJ 65 (10030)"</f>
        <v>FARMÁCIA INDIANA LJ 65 (10030)</v>
      </c>
      <c r="R2662" t="str">
        <f t="shared" si="1333"/>
        <v>RECEITAS COM ENTREGAS (303)</v>
      </c>
      <c r="S2662">
        <v>1575</v>
      </c>
      <c r="T2662">
        <v>1216</v>
      </c>
      <c r="U2662" t="s">
        <v>19</v>
      </c>
    </row>
    <row r="2663" spans="1:21">
      <c r="A2663" t="str">
        <f t="shared" si="1324"/>
        <v>28/05/2025</v>
      </c>
      <c r="B2663" t="str">
        <f t="shared" si="1334"/>
        <v>ENTRADA</v>
      </c>
      <c r="C2663" t="str">
        <f t="shared" si="1325"/>
        <v>NFSE</v>
      </c>
      <c r="D2663" t="str">
        <f t="shared" si="1335"/>
        <v>3009</v>
      </c>
      <c r="E2663" t="str">
        <f t="shared" si="1322"/>
        <v>COM</v>
      </c>
      <c r="F2663" t="str">
        <f t="shared" si="1336"/>
        <v>FARMÁCIA INDIANA LJ 30 (10127)</v>
      </c>
      <c r="G2663" t="str">
        <f t="shared" si="1337"/>
        <v>Serv.Prest. 12/05/2025 a 18/05/2025 - RPS: 779 - NFSe: 3009</v>
      </c>
      <c r="H2663" t="str">
        <f t="shared" si="1329"/>
        <v>28/05/2025</v>
      </c>
      <c r="I2663" t="str">
        <f t="shared" si="1330"/>
        <v>20/05/2025</v>
      </c>
      <c r="J2663" t="str">
        <f t="shared" si="1331"/>
        <v>28/05/2025</v>
      </c>
      <c r="M2663">
        <v>303</v>
      </c>
      <c r="N2663" t="str">
        <f t="shared" si="1332"/>
        <v>RECEITAS COM ENTREGAS</v>
      </c>
      <c r="P2663">
        <v>128.55000000000001</v>
      </c>
      <c r="Q2663" t="str">
        <f>"FARMÁCIA INDIANA LJ 77 (10034)"</f>
        <v>FARMÁCIA INDIANA LJ 77 (10034)</v>
      </c>
      <c r="R2663" t="str">
        <f t="shared" si="1333"/>
        <v>RECEITAS COM ENTREGAS (303)</v>
      </c>
      <c r="S2663">
        <v>1575</v>
      </c>
      <c r="T2663">
        <v>1216</v>
      </c>
      <c r="U2663" t="s">
        <v>19</v>
      </c>
    </row>
    <row r="2664" spans="1:21">
      <c r="A2664" t="str">
        <f t="shared" si="1324"/>
        <v>28/05/2025</v>
      </c>
      <c r="B2664" t="str">
        <f t="shared" si="1334"/>
        <v>ENTRADA</v>
      </c>
      <c r="C2664" t="str">
        <f t="shared" si="1325"/>
        <v>NFSE</v>
      </c>
      <c r="D2664" t="str">
        <f t="shared" si="1335"/>
        <v>3009</v>
      </c>
      <c r="E2664" t="str">
        <f t="shared" si="1322"/>
        <v>COM</v>
      </c>
      <c r="F2664" t="str">
        <f t="shared" si="1336"/>
        <v>FARMÁCIA INDIANA LJ 30 (10127)</v>
      </c>
      <c r="G2664" t="str">
        <f t="shared" si="1337"/>
        <v>Serv.Prest. 12/05/2025 a 18/05/2025 - RPS: 779 - NFSe: 3009</v>
      </c>
      <c r="H2664" t="str">
        <f t="shared" si="1329"/>
        <v>28/05/2025</v>
      </c>
      <c r="I2664" t="str">
        <f t="shared" si="1330"/>
        <v>20/05/2025</v>
      </c>
      <c r="J2664" t="str">
        <f t="shared" si="1331"/>
        <v>28/05/2025</v>
      </c>
      <c r="M2664">
        <v>303</v>
      </c>
      <c r="N2664" t="str">
        <f t="shared" si="1332"/>
        <v>RECEITAS COM ENTREGAS</v>
      </c>
      <c r="P2664">
        <v>219.48</v>
      </c>
      <c r="Q2664" t="str">
        <f>"FARMÁCIA INDIANA LJ 91 (10037)"</f>
        <v>FARMÁCIA INDIANA LJ 91 (10037)</v>
      </c>
      <c r="R2664" t="str">
        <f t="shared" si="1333"/>
        <v>RECEITAS COM ENTREGAS (303)</v>
      </c>
      <c r="S2664">
        <v>1575</v>
      </c>
      <c r="T2664">
        <v>1216</v>
      </c>
      <c r="U2664" t="s">
        <v>19</v>
      </c>
    </row>
    <row r="2665" spans="1:21">
      <c r="A2665" t="str">
        <f t="shared" si="1324"/>
        <v>28/05/2025</v>
      </c>
      <c r="B2665" t="str">
        <f t="shared" si="1334"/>
        <v>ENTRADA</v>
      </c>
      <c r="C2665" t="str">
        <f t="shared" si="1325"/>
        <v>NFSE</v>
      </c>
      <c r="D2665" t="str">
        <f t="shared" si="1335"/>
        <v>3009</v>
      </c>
      <c r="E2665" t="str">
        <f t="shared" si="1322"/>
        <v>COM</v>
      </c>
      <c r="F2665" t="str">
        <f t="shared" si="1336"/>
        <v>FARMÁCIA INDIANA LJ 30 (10127)</v>
      </c>
      <c r="G2665" t="str">
        <f t="shared" si="1337"/>
        <v>Serv.Prest. 12/05/2025 a 18/05/2025 - RPS: 779 - NFSe: 3009</v>
      </c>
      <c r="H2665" t="str">
        <f t="shared" si="1329"/>
        <v>28/05/2025</v>
      </c>
      <c r="I2665" t="str">
        <f t="shared" si="1330"/>
        <v>20/05/2025</v>
      </c>
      <c r="J2665" t="str">
        <f t="shared" si="1331"/>
        <v>28/05/2025</v>
      </c>
      <c r="M2665">
        <v>303</v>
      </c>
      <c r="N2665" t="str">
        <f t="shared" si="1332"/>
        <v>RECEITAS COM ENTREGAS</v>
      </c>
      <c r="P2665">
        <v>275.44</v>
      </c>
      <c r="Q2665" t="str">
        <f>"FARMÁCIA INDIANA LJ 95 (10039)"</f>
        <v>FARMÁCIA INDIANA LJ 95 (10039)</v>
      </c>
      <c r="R2665" t="str">
        <f t="shared" si="1333"/>
        <v>RECEITAS COM ENTREGAS (303)</v>
      </c>
      <c r="S2665">
        <v>1575</v>
      </c>
      <c r="T2665">
        <v>1216</v>
      </c>
      <c r="U2665" t="s">
        <v>19</v>
      </c>
    </row>
    <row r="2666" spans="1:21">
      <c r="A2666" t="str">
        <f t="shared" si="1324"/>
        <v>28/05/2025</v>
      </c>
      <c r="B2666" t="str">
        <f t="shared" si="1334"/>
        <v>ENTRADA</v>
      </c>
      <c r="C2666" t="str">
        <f t="shared" si="1325"/>
        <v>NFSE</v>
      </c>
      <c r="D2666" t="str">
        <f t="shared" si="1335"/>
        <v>3009</v>
      </c>
      <c r="E2666" t="str">
        <f t="shared" si="1322"/>
        <v>COM</v>
      </c>
      <c r="F2666" t="str">
        <f t="shared" si="1336"/>
        <v>FARMÁCIA INDIANA LJ 30 (10127)</v>
      </c>
      <c r="G2666" t="str">
        <f t="shared" si="1337"/>
        <v>Serv.Prest. 12/05/2025 a 18/05/2025 - RPS: 779 - NFSe: 3009</v>
      </c>
      <c r="H2666" t="str">
        <f t="shared" si="1329"/>
        <v>28/05/2025</v>
      </c>
      <c r="I2666" t="str">
        <f t="shared" si="1330"/>
        <v>20/05/2025</v>
      </c>
      <c r="J2666" t="str">
        <f t="shared" si="1331"/>
        <v>28/05/2025</v>
      </c>
      <c r="M2666">
        <v>303</v>
      </c>
      <c r="N2666" t="str">
        <f t="shared" si="1332"/>
        <v>RECEITAS COM ENTREGAS</v>
      </c>
      <c r="P2666">
        <v>280.74</v>
      </c>
      <c r="Q2666" t="str">
        <f>"FARMÁCIA INDIANA LJ 145 (10068)"</f>
        <v>FARMÁCIA INDIANA LJ 145 (10068)</v>
      </c>
      <c r="R2666" t="str">
        <f t="shared" si="1333"/>
        <v>RECEITAS COM ENTREGAS (303)</v>
      </c>
      <c r="S2666">
        <v>1575</v>
      </c>
      <c r="T2666">
        <v>1216</v>
      </c>
      <c r="U2666" t="s">
        <v>19</v>
      </c>
    </row>
    <row r="2667" spans="1:21">
      <c r="A2667" t="str">
        <f t="shared" si="1324"/>
        <v>28/05/2025</v>
      </c>
      <c r="B2667" t="str">
        <f t="shared" si="1334"/>
        <v>ENTRADA</v>
      </c>
      <c r="C2667" t="str">
        <f t="shared" si="1325"/>
        <v>NFSE</v>
      </c>
      <c r="D2667" t="str">
        <f t="shared" si="1335"/>
        <v>3009</v>
      </c>
      <c r="E2667" t="str">
        <f t="shared" si="1322"/>
        <v>COM</v>
      </c>
      <c r="F2667" t="str">
        <f t="shared" si="1336"/>
        <v>FARMÁCIA INDIANA LJ 30 (10127)</v>
      </c>
      <c r="G2667" t="str">
        <f t="shared" si="1337"/>
        <v>Serv.Prest. 12/05/2025 a 18/05/2025 - RPS: 779 - NFSe: 3009</v>
      </c>
      <c r="H2667" t="str">
        <f t="shared" si="1329"/>
        <v>28/05/2025</v>
      </c>
      <c r="I2667" t="str">
        <f t="shared" si="1330"/>
        <v>20/05/2025</v>
      </c>
      <c r="J2667" t="str">
        <f t="shared" si="1331"/>
        <v>28/05/2025</v>
      </c>
      <c r="M2667">
        <v>303</v>
      </c>
      <c r="N2667" t="str">
        <f t="shared" si="1332"/>
        <v>RECEITAS COM ENTREGAS</v>
      </c>
      <c r="P2667">
        <v>107.57</v>
      </c>
      <c r="Q2667" t="str">
        <f>"FARMÁCIA INDIANA LJ 169 (10073)"</f>
        <v>FARMÁCIA INDIANA LJ 169 (10073)</v>
      </c>
      <c r="R2667" t="str">
        <f t="shared" si="1333"/>
        <v>RECEITAS COM ENTREGAS (303)</v>
      </c>
      <c r="S2667">
        <v>1575</v>
      </c>
      <c r="T2667">
        <v>1216</v>
      </c>
      <c r="U2667" t="s">
        <v>19</v>
      </c>
    </row>
    <row r="2668" spans="1:21">
      <c r="A2668" t="str">
        <f t="shared" si="1324"/>
        <v>28/05/2025</v>
      </c>
      <c r="B2668" t="str">
        <f t="shared" si="1334"/>
        <v>ENTRADA</v>
      </c>
      <c r="C2668" t="str">
        <f t="shared" si="1325"/>
        <v>NFSE</v>
      </c>
      <c r="D2668" t="str">
        <f t="shared" si="1335"/>
        <v>3009</v>
      </c>
      <c r="E2668" t="str">
        <f t="shared" si="1322"/>
        <v>COM</v>
      </c>
      <c r="F2668" t="str">
        <f t="shared" si="1336"/>
        <v>FARMÁCIA INDIANA LJ 30 (10127)</v>
      </c>
      <c r="G2668" t="str">
        <f t="shared" si="1337"/>
        <v>Serv.Prest. 12/05/2025 a 18/05/2025 - RPS: 779 - NFSe: 3009</v>
      </c>
      <c r="H2668" t="str">
        <f t="shared" si="1329"/>
        <v>28/05/2025</v>
      </c>
      <c r="I2668" t="str">
        <f t="shared" si="1330"/>
        <v>20/05/2025</v>
      </c>
      <c r="J2668" t="str">
        <f t="shared" si="1331"/>
        <v>28/05/2025</v>
      </c>
      <c r="M2668">
        <v>303</v>
      </c>
      <c r="N2668" t="str">
        <f t="shared" si="1332"/>
        <v>RECEITAS COM ENTREGAS</v>
      </c>
      <c r="P2668">
        <v>191.74</v>
      </c>
      <c r="Q2668" t="str">
        <f>"FARMÁCIA INDIANA LJ 173 (10075)"</f>
        <v>FARMÁCIA INDIANA LJ 173 (10075)</v>
      </c>
      <c r="R2668" t="str">
        <f t="shared" si="1333"/>
        <v>RECEITAS COM ENTREGAS (303)</v>
      </c>
      <c r="S2668">
        <v>1575</v>
      </c>
      <c r="T2668">
        <v>1216</v>
      </c>
      <c r="U2668" t="s">
        <v>19</v>
      </c>
    </row>
    <row r="2669" spans="1:21">
      <c r="A2669" t="str">
        <f t="shared" si="1324"/>
        <v>28/05/2025</v>
      </c>
      <c r="B2669" t="str">
        <f t="shared" si="1334"/>
        <v>ENTRADA</v>
      </c>
      <c r="C2669" t="str">
        <f t="shared" si="1325"/>
        <v>NFSE</v>
      </c>
      <c r="D2669" t="str">
        <f t="shared" si="1335"/>
        <v>3009</v>
      </c>
      <c r="E2669" t="str">
        <f t="shared" si="1322"/>
        <v>COM</v>
      </c>
      <c r="F2669" t="str">
        <f t="shared" si="1336"/>
        <v>FARMÁCIA INDIANA LJ 30 (10127)</v>
      </c>
      <c r="G2669" t="str">
        <f t="shared" si="1337"/>
        <v>Serv.Prest. 12/05/2025 a 18/05/2025 - RPS: 779 - NFSe: 3009</v>
      </c>
      <c r="H2669" t="str">
        <f t="shared" si="1329"/>
        <v>28/05/2025</v>
      </c>
      <c r="I2669" t="str">
        <f t="shared" si="1330"/>
        <v>20/05/2025</v>
      </c>
      <c r="J2669" t="str">
        <f t="shared" si="1331"/>
        <v>28/05/2025</v>
      </c>
      <c r="M2669">
        <v>303</v>
      </c>
      <c r="N2669" t="str">
        <f t="shared" si="1332"/>
        <v>RECEITAS COM ENTREGAS</v>
      </c>
      <c r="P2669">
        <v>150.5</v>
      </c>
      <c r="Q2669" t="str">
        <f>"FARMÁCIA INDIANA LJ 200 (10155)"</f>
        <v>FARMÁCIA INDIANA LJ 200 (10155)</v>
      </c>
      <c r="R2669" t="str">
        <f t="shared" si="1333"/>
        <v>RECEITAS COM ENTREGAS (303)</v>
      </c>
      <c r="S2669">
        <v>1575</v>
      </c>
      <c r="T2669">
        <v>1216</v>
      </c>
      <c r="U2669" t="s">
        <v>19</v>
      </c>
    </row>
    <row r="2670" spans="1:21">
      <c r="A2670" t="str">
        <f t="shared" si="1324"/>
        <v>28/05/2025</v>
      </c>
      <c r="B2670" t="str">
        <f t="shared" si="1334"/>
        <v>ENTRADA</v>
      </c>
      <c r="C2670" t="str">
        <f t="shared" si="1325"/>
        <v>NFSE</v>
      </c>
      <c r="D2670" t="str">
        <f t="shared" ref="D2670:D2715" si="1338">"3010"</f>
        <v>3010</v>
      </c>
      <c r="E2670" t="str">
        <f t="shared" si="1322"/>
        <v>COM</v>
      </c>
      <c r="F2670" t="str">
        <f t="shared" ref="F2670:F2715" si="1339">"FARMÁCIA INDIANA LJ 1 (10126)"</f>
        <v>FARMÁCIA INDIANA LJ 1 (10126)</v>
      </c>
      <c r="G2670" t="str">
        <f t="shared" ref="G2670:G2715" si="1340">"Serv.Prest. 12/05/2025 a 18/05/2025 - RPS: 780 - NFSe: 3010"</f>
        <v>Serv.Prest. 12/05/2025 a 18/05/2025 - RPS: 780 - NFSe: 3010</v>
      </c>
      <c r="H2670" t="str">
        <f t="shared" si="1329"/>
        <v>28/05/2025</v>
      </c>
      <c r="I2670" t="str">
        <f t="shared" si="1330"/>
        <v>20/05/2025</v>
      </c>
      <c r="J2670" t="str">
        <f t="shared" si="1331"/>
        <v>28/05/2025</v>
      </c>
      <c r="K2670">
        <v>13433.93</v>
      </c>
      <c r="L2670">
        <v>13433.93</v>
      </c>
      <c r="M2670">
        <v>303</v>
      </c>
      <c r="N2670" t="str">
        <f t="shared" si="1332"/>
        <v>RECEITAS COM ENTREGAS</v>
      </c>
      <c r="O2670">
        <v>13433.93</v>
      </c>
      <c r="R2670" t="str">
        <f t="shared" si="1333"/>
        <v>RECEITAS COM ENTREGAS (303)</v>
      </c>
      <c r="S2670">
        <v>1576</v>
      </c>
      <c r="T2670">
        <v>1217</v>
      </c>
      <c r="U2670" t="s">
        <v>19</v>
      </c>
    </row>
    <row r="2671" spans="1:21">
      <c r="A2671" t="str">
        <f t="shared" si="1324"/>
        <v>28/05/2025</v>
      </c>
      <c r="B2671" t="str">
        <f t="shared" si="1334"/>
        <v>ENTRADA</v>
      </c>
      <c r="C2671" t="str">
        <f t="shared" si="1325"/>
        <v>NFSE</v>
      </c>
      <c r="D2671" t="str">
        <f t="shared" si="1338"/>
        <v>3010</v>
      </c>
      <c r="E2671" t="str">
        <f t="shared" si="1322"/>
        <v>COM</v>
      </c>
      <c r="F2671" t="str">
        <f t="shared" si="1339"/>
        <v>FARMÁCIA INDIANA LJ 1 (10126)</v>
      </c>
      <c r="G2671" t="str">
        <f t="shared" si="1340"/>
        <v>Serv.Prest. 12/05/2025 a 18/05/2025 - RPS: 780 - NFSe: 3010</v>
      </c>
      <c r="H2671" t="str">
        <f t="shared" si="1329"/>
        <v>28/05/2025</v>
      </c>
      <c r="I2671" t="str">
        <f t="shared" si="1330"/>
        <v>20/05/2025</v>
      </c>
      <c r="J2671" t="str">
        <f t="shared" si="1331"/>
        <v>28/05/2025</v>
      </c>
      <c r="M2671">
        <v>303</v>
      </c>
      <c r="N2671" t="str">
        <f t="shared" si="1332"/>
        <v>RECEITAS COM ENTREGAS</v>
      </c>
      <c r="P2671">
        <v>1829.69</v>
      </c>
      <c r="Q2671" t="str">
        <f>"FARMÁCIA INDIANA LJ 06 (10006)"</f>
        <v>FARMÁCIA INDIANA LJ 06 (10006)</v>
      </c>
      <c r="R2671" t="str">
        <f t="shared" si="1333"/>
        <v>RECEITAS COM ENTREGAS (303)</v>
      </c>
      <c r="S2671">
        <v>1576</v>
      </c>
      <c r="T2671">
        <v>1217</v>
      </c>
      <c r="U2671" t="s">
        <v>19</v>
      </c>
    </row>
    <row r="2672" spans="1:21">
      <c r="A2672" t="str">
        <f t="shared" si="1324"/>
        <v>28/05/2025</v>
      </c>
      <c r="B2672" t="str">
        <f t="shared" si="1334"/>
        <v>ENTRADA</v>
      </c>
      <c r="C2672" t="str">
        <f t="shared" si="1325"/>
        <v>NFSE</v>
      </c>
      <c r="D2672" t="str">
        <f t="shared" si="1338"/>
        <v>3010</v>
      </c>
      <c r="E2672" t="str">
        <f t="shared" si="1322"/>
        <v>COM</v>
      </c>
      <c r="F2672" t="str">
        <f t="shared" si="1339"/>
        <v>FARMÁCIA INDIANA LJ 1 (10126)</v>
      </c>
      <c r="G2672" t="str">
        <f t="shared" si="1340"/>
        <v>Serv.Prest. 12/05/2025 a 18/05/2025 - RPS: 780 - NFSe: 3010</v>
      </c>
      <c r="H2672" t="str">
        <f t="shared" si="1329"/>
        <v>28/05/2025</v>
      </c>
      <c r="I2672" t="str">
        <f t="shared" si="1330"/>
        <v>20/05/2025</v>
      </c>
      <c r="J2672" t="str">
        <f t="shared" si="1331"/>
        <v>28/05/2025</v>
      </c>
      <c r="M2672">
        <v>303</v>
      </c>
      <c r="N2672" t="str">
        <f t="shared" si="1332"/>
        <v>RECEITAS COM ENTREGAS</v>
      </c>
      <c r="P2672">
        <v>1432.06</v>
      </c>
      <c r="Q2672" t="str">
        <f>"FARMÁCIA INDIANA LJ 07 (10007)"</f>
        <v>FARMÁCIA INDIANA LJ 07 (10007)</v>
      </c>
      <c r="R2672" t="str">
        <f t="shared" si="1333"/>
        <v>RECEITAS COM ENTREGAS (303)</v>
      </c>
      <c r="S2672">
        <v>1576</v>
      </c>
      <c r="T2672">
        <v>1217</v>
      </c>
      <c r="U2672" t="s">
        <v>19</v>
      </c>
    </row>
    <row r="2673" spans="1:21">
      <c r="A2673" t="str">
        <f t="shared" si="1324"/>
        <v>28/05/2025</v>
      </c>
      <c r="B2673" t="str">
        <f t="shared" si="1334"/>
        <v>ENTRADA</v>
      </c>
      <c r="C2673" t="str">
        <f t="shared" si="1325"/>
        <v>NFSE</v>
      </c>
      <c r="D2673" t="str">
        <f t="shared" si="1338"/>
        <v>3010</v>
      </c>
      <c r="E2673" t="str">
        <f t="shared" si="1322"/>
        <v>COM</v>
      </c>
      <c r="F2673" t="str">
        <f t="shared" si="1339"/>
        <v>FARMÁCIA INDIANA LJ 1 (10126)</v>
      </c>
      <c r="G2673" t="str">
        <f t="shared" si="1340"/>
        <v>Serv.Prest. 12/05/2025 a 18/05/2025 - RPS: 780 - NFSe: 3010</v>
      </c>
      <c r="H2673" t="str">
        <f t="shared" si="1329"/>
        <v>28/05/2025</v>
      </c>
      <c r="I2673" t="str">
        <f t="shared" si="1330"/>
        <v>20/05/2025</v>
      </c>
      <c r="J2673" t="str">
        <f t="shared" si="1331"/>
        <v>28/05/2025</v>
      </c>
      <c r="M2673">
        <v>303</v>
      </c>
      <c r="N2673" t="str">
        <f t="shared" si="1332"/>
        <v>RECEITAS COM ENTREGAS</v>
      </c>
      <c r="P2673">
        <v>982.02</v>
      </c>
      <c r="Q2673" t="str">
        <f>"FARMÁCIA INDIANA LJ 11 (10008)"</f>
        <v>FARMÁCIA INDIANA LJ 11 (10008)</v>
      </c>
      <c r="R2673" t="str">
        <f t="shared" si="1333"/>
        <v>RECEITAS COM ENTREGAS (303)</v>
      </c>
      <c r="S2673">
        <v>1576</v>
      </c>
      <c r="T2673">
        <v>1217</v>
      </c>
      <c r="U2673" t="s">
        <v>19</v>
      </c>
    </row>
    <row r="2674" spans="1:21">
      <c r="A2674" t="str">
        <f t="shared" si="1324"/>
        <v>28/05/2025</v>
      </c>
      <c r="B2674" t="str">
        <f t="shared" si="1334"/>
        <v>ENTRADA</v>
      </c>
      <c r="C2674" t="str">
        <f t="shared" si="1325"/>
        <v>NFSE</v>
      </c>
      <c r="D2674" t="str">
        <f t="shared" si="1338"/>
        <v>3010</v>
      </c>
      <c r="E2674" t="str">
        <f t="shared" si="1322"/>
        <v>COM</v>
      </c>
      <c r="F2674" t="str">
        <f t="shared" si="1339"/>
        <v>FARMÁCIA INDIANA LJ 1 (10126)</v>
      </c>
      <c r="G2674" t="str">
        <f t="shared" si="1340"/>
        <v>Serv.Prest. 12/05/2025 a 18/05/2025 - RPS: 780 - NFSe: 3010</v>
      </c>
      <c r="H2674" t="str">
        <f t="shared" si="1329"/>
        <v>28/05/2025</v>
      </c>
      <c r="I2674" t="str">
        <f t="shared" si="1330"/>
        <v>20/05/2025</v>
      </c>
      <c r="J2674" t="str">
        <f t="shared" si="1331"/>
        <v>28/05/2025</v>
      </c>
      <c r="M2674">
        <v>303</v>
      </c>
      <c r="N2674" t="str">
        <f t="shared" si="1332"/>
        <v>RECEITAS COM ENTREGAS</v>
      </c>
      <c r="P2674">
        <v>405.7</v>
      </c>
      <c r="Q2674" t="str">
        <f>"FARMÁCIA INDIANA LJ 14 (10009)"</f>
        <v>FARMÁCIA INDIANA LJ 14 (10009)</v>
      </c>
      <c r="R2674" t="str">
        <f t="shared" si="1333"/>
        <v>RECEITAS COM ENTREGAS (303)</v>
      </c>
      <c r="S2674">
        <v>1576</v>
      </c>
      <c r="T2674">
        <v>1217</v>
      </c>
      <c r="U2674" t="s">
        <v>19</v>
      </c>
    </row>
    <row r="2675" spans="1:21">
      <c r="A2675" t="str">
        <f t="shared" si="1324"/>
        <v>28/05/2025</v>
      </c>
      <c r="B2675" t="str">
        <f t="shared" si="1334"/>
        <v>ENTRADA</v>
      </c>
      <c r="C2675" t="str">
        <f t="shared" si="1325"/>
        <v>NFSE</v>
      </c>
      <c r="D2675" t="str">
        <f t="shared" si="1338"/>
        <v>3010</v>
      </c>
      <c r="E2675" t="str">
        <f t="shared" si="1322"/>
        <v>COM</v>
      </c>
      <c r="F2675" t="str">
        <f t="shared" si="1339"/>
        <v>FARMÁCIA INDIANA LJ 1 (10126)</v>
      </c>
      <c r="G2675" t="str">
        <f t="shared" si="1340"/>
        <v>Serv.Prest. 12/05/2025 a 18/05/2025 - RPS: 780 - NFSe: 3010</v>
      </c>
      <c r="H2675" t="str">
        <f t="shared" si="1329"/>
        <v>28/05/2025</v>
      </c>
      <c r="I2675" t="str">
        <f t="shared" si="1330"/>
        <v>20/05/2025</v>
      </c>
      <c r="J2675" t="str">
        <f t="shared" si="1331"/>
        <v>28/05/2025</v>
      </c>
      <c r="M2675">
        <v>303</v>
      </c>
      <c r="N2675" t="str">
        <f t="shared" si="1332"/>
        <v>RECEITAS COM ENTREGAS</v>
      </c>
      <c r="P2675">
        <v>448.69</v>
      </c>
      <c r="Q2675" t="str">
        <f>"FARMÁCIA INDIANA LJ 18 (10011)"</f>
        <v>FARMÁCIA INDIANA LJ 18 (10011)</v>
      </c>
      <c r="R2675" t="str">
        <f t="shared" si="1333"/>
        <v>RECEITAS COM ENTREGAS (303)</v>
      </c>
      <c r="S2675">
        <v>1576</v>
      </c>
      <c r="T2675">
        <v>1217</v>
      </c>
      <c r="U2675" t="s">
        <v>19</v>
      </c>
    </row>
    <row r="2676" spans="1:21">
      <c r="A2676" t="str">
        <f t="shared" si="1324"/>
        <v>28/05/2025</v>
      </c>
      <c r="B2676" t="str">
        <f t="shared" si="1334"/>
        <v>ENTRADA</v>
      </c>
      <c r="C2676" t="str">
        <f t="shared" si="1325"/>
        <v>NFSE</v>
      </c>
      <c r="D2676" t="str">
        <f t="shared" si="1338"/>
        <v>3010</v>
      </c>
      <c r="E2676" t="str">
        <f t="shared" si="1322"/>
        <v>COM</v>
      </c>
      <c r="F2676" t="str">
        <f t="shared" si="1339"/>
        <v>FARMÁCIA INDIANA LJ 1 (10126)</v>
      </c>
      <c r="G2676" t="str">
        <f t="shared" si="1340"/>
        <v>Serv.Prest. 12/05/2025 a 18/05/2025 - RPS: 780 - NFSe: 3010</v>
      </c>
      <c r="H2676" t="str">
        <f t="shared" si="1329"/>
        <v>28/05/2025</v>
      </c>
      <c r="I2676" t="str">
        <f t="shared" si="1330"/>
        <v>20/05/2025</v>
      </c>
      <c r="J2676" t="str">
        <f t="shared" si="1331"/>
        <v>28/05/2025</v>
      </c>
      <c r="M2676">
        <v>303</v>
      </c>
      <c r="N2676" t="str">
        <f t="shared" si="1332"/>
        <v>RECEITAS COM ENTREGAS</v>
      </c>
      <c r="P2676">
        <v>408.39</v>
      </c>
      <c r="Q2676" t="str">
        <f>"FARMÁCIA INDIANA LJ 19 (10012)"</f>
        <v>FARMÁCIA INDIANA LJ 19 (10012)</v>
      </c>
      <c r="R2676" t="str">
        <f t="shared" si="1333"/>
        <v>RECEITAS COM ENTREGAS (303)</v>
      </c>
      <c r="S2676">
        <v>1576</v>
      </c>
      <c r="T2676">
        <v>1217</v>
      </c>
      <c r="U2676" t="s">
        <v>19</v>
      </c>
    </row>
    <row r="2677" spans="1:21">
      <c r="A2677" t="str">
        <f t="shared" si="1324"/>
        <v>28/05/2025</v>
      </c>
      <c r="B2677" t="str">
        <f t="shared" si="1334"/>
        <v>ENTRADA</v>
      </c>
      <c r="C2677" t="str">
        <f t="shared" si="1325"/>
        <v>NFSE</v>
      </c>
      <c r="D2677" t="str">
        <f t="shared" si="1338"/>
        <v>3010</v>
      </c>
      <c r="E2677" t="str">
        <f t="shared" ref="E2677:E2708" si="1341">"COM"</f>
        <v>COM</v>
      </c>
      <c r="F2677" t="str">
        <f t="shared" si="1339"/>
        <v>FARMÁCIA INDIANA LJ 1 (10126)</v>
      </c>
      <c r="G2677" t="str">
        <f t="shared" si="1340"/>
        <v>Serv.Prest. 12/05/2025 a 18/05/2025 - RPS: 780 - NFSe: 3010</v>
      </c>
      <c r="H2677" t="str">
        <f t="shared" si="1329"/>
        <v>28/05/2025</v>
      </c>
      <c r="I2677" t="str">
        <f t="shared" si="1330"/>
        <v>20/05/2025</v>
      </c>
      <c r="J2677" t="str">
        <f t="shared" si="1331"/>
        <v>28/05/2025</v>
      </c>
      <c r="M2677">
        <v>303</v>
      </c>
      <c r="N2677" t="str">
        <f t="shared" si="1332"/>
        <v>RECEITAS COM ENTREGAS</v>
      </c>
      <c r="P2677">
        <v>548.1</v>
      </c>
      <c r="Q2677" t="str">
        <f>"FARMÁCIA INDIANA LJ 40 (10016)"</f>
        <v>FARMÁCIA INDIANA LJ 40 (10016)</v>
      </c>
      <c r="R2677" t="str">
        <f t="shared" si="1333"/>
        <v>RECEITAS COM ENTREGAS (303)</v>
      </c>
      <c r="S2677">
        <v>1576</v>
      </c>
      <c r="T2677">
        <v>1217</v>
      </c>
      <c r="U2677" t="s">
        <v>19</v>
      </c>
    </row>
    <row r="2678" spans="1:21">
      <c r="A2678" t="str">
        <f t="shared" si="1324"/>
        <v>28/05/2025</v>
      </c>
      <c r="B2678" t="str">
        <f t="shared" si="1334"/>
        <v>ENTRADA</v>
      </c>
      <c r="C2678" t="str">
        <f t="shared" si="1325"/>
        <v>NFSE</v>
      </c>
      <c r="D2678" t="str">
        <f t="shared" si="1338"/>
        <v>3010</v>
      </c>
      <c r="E2678" t="str">
        <f t="shared" si="1341"/>
        <v>COM</v>
      </c>
      <c r="F2678" t="str">
        <f t="shared" si="1339"/>
        <v>FARMÁCIA INDIANA LJ 1 (10126)</v>
      </c>
      <c r="G2678" t="str">
        <f t="shared" si="1340"/>
        <v>Serv.Prest. 12/05/2025 a 18/05/2025 - RPS: 780 - NFSe: 3010</v>
      </c>
      <c r="H2678" t="str">
        <f t="shared" si="1329"/>
        <v>28/05/2025</v>
      </c>
      <c r="I2678" t="str">
        <f t="shared" si="1330"/>
        <v>20/05/2025</v>
      </c>
      <c r="J2678" t="str">
        <f t="shared" si="1331"/>
        <v>28/05/2025</v>
      </c>
      <c r="M2678">
        <v>303</v>
      </c>
      <c r="N2678" t="str">
        <f t="shared" si="1332"/>
        <v>RECEITAS COM ENTREGAS</v>
      </c>
      <c r="P2678">
        <v>374.81</v>
      </c>
      <c r="Q2678" t="str">
        <f>"FARMÁCIA INDIANA LJ 59 (10026)"</f>
        <v>FARMÁCIA INDIANA LJ 59 (10026)</v>
      </c>
      <c r="R2678" t="str">
        <f t="shared" si="1333"/>
        <v>RECEITAS COM ENTREGAS (303)</v>
      </c>
      <c r="S2678">
        <v>1576</v>
      </c>
      <c r="T2678">
        <v>1217</v>
      </c>
      <c r="U2678" t="s">
        <v>19</v>
      </c>
    </row>
    <row r="2679" spans="1:21">
      <c r="A2679" t="str">
        <f t="shared" si="1324"/>
        <v>28/05/2025</v>
      </c>
      <c r="B2679" t="str">
        <f t="shared" si="1334"/>
        <v>ENTRADA</v>
      </c>
      <c r="C2679" t="str">
        <f t="shared" si="1325"/>
        <v>NFSE</v>
      </c>
      <c r="D2679" t="str">
        <f t="shared" si="1338"/>
        <v>3010</v>
      </c>
      <c r="E2679" t="str">
        <f t="shared" si="1341"/>
        <v>COM</v>
      </c>
      <c r="F2679" t="str">
        <f t="shared" si="1339"/>
        <v>FARMÁCIA INDIANA LJ 1 (10126)</v>
      </c>
      <c r="G2679" t="str">
        <f t="shared" si="1340"/>
        <v>Serv.Prest. 12/05/2025 a 18/05/2025 - RPS: 780 - NFSe: 3010</v>
      </c>
      <c r="H2679" t="str">
        <f t="shared" si="1329"/>
        <v>28/05/2025</v>
      </c>
      <c r="I2679" t="str">
        <f t="shared" si="1330"/>
        <v>20/05/2025</v>
      </c>
      <c r="J2679" t="str">
        <f t="shared" si="1331"/>
        <v>28/05/2025</v>
      </c>
      <c r="M2679">
        <v>303</v>
      </c>
      <c r="N2679" t="str">
        <f t="shared" si="1332"/>
        <v>RECEITAS COM ENTREGAS</v>
      </c>
      <c r="P2679">
        <v>440.63</v>
      </c>
      <c r="Q2679" t="str">
        <f>"FARMÁCIA INDIANA LJ 61 (10027)"</f>
        <v>FARMÁCIA INDIANA LJ 61 (10027)</v>
      </c>
      <c r="R2679" t="str">
        <f t="shared" si="1333"/>
        <v>RECEITAS COM ENTREGAS (303)</v>
      </c>
      <c r="S2679">
        <v>1576</v>
      </c>
      <c r="T2679">
        <v>1217</v>
      </c>
      <c r="U2679" t="s">
        <v>19</v>
      </c>
    </row>
    <row r="2680" spans="1:21">
      <c r="A2680" t="str">
        <f t="shared" si="1324"/>
        <v>28/05/2025</v>
      </c>
      <c r="B2680" t="str">
        <f t="shared" si="1334"/>
        <v>ENTRADA</v>
      </c>
      <c r="C2680" t="str">
        <f t="shared" si="1325"/>
        <v>NFSE</v>
      </c>
      <c r="D2680" t="str">
        <f t="shared" si="1338"/>
        <v>3010</v>
      </c>
      <c r="E2680" t="str">
        <f t="shared" si="1341"/>
        <v>COM</v>
      </c>
      <c r="F2680" t="str">
        <f t="shared" si="1339"/>
        <v>FARMÁCIA INDIANA LJ 1 (10126)</v>
      </c>
      <c r="G2680" t="str">
        <f t="shared" si="1340"/>
        <v>Serv.Prest. 12/05/2025 a 18/05/2025 - RPS: 780 - NFSe: 3010</v>
      </c>
      <c r="H2680" t="str">
        <f t="shared" si="1329"/>
        <v>28/05/2025</v>
      </c>
      <c r="I2680" t="str">
        <f t="shared" si="1330"/>
        <v>20/05/2025</v>
      </c>
      <c r="J2680" t="str">
        <f t="shared" si="1331"/>
        <v>28/05/2025</v>
      </c>
      <c r="M2680">
        <v>303</v>
      </c>
      <c r="N2680" t="str">
        <f t="shared" si="1332"/>
        <v>RECEITAS COM ENTREGAS</v>
      </c>
      <c r="P2680">
        <v>257.93</v>
      </c>
      <c r="Q2680" t="str">
        <f>"FARMÁCIA INDIANA LJ 62 (10028)"</f>
        <v>FARMÁCIA INDIANA LJ 62 (10028)</v>
      </c>
      <c r="R2680" t="str">
        <f t="shared" si="1333"/>
        <v>RECEITAS COM ENTREGAS (303)</v>
      </c>
      <c r="S2680">
        <v>1576</v>
      </c>
      <c r="T2680">
        <v>1217</v>
      </c>
      <c r="U2680" t="s">
        <v>19</v>
      </c>
    </row>
    <row r="2681" spans="1:21">
      <c r="A2681" t="str">
        <f t="shared" ref="A2681:A2712" si="1342">("28/05/2025")</f>
        <v>28/05/2025</v>
      </c>
      <c r="B2681" t="str">
        <f t="shared" si="1334"/>
        <v>ENTRADA</v>
      </c>
      <c r="C2681" t="str">
        <f t="shared" ref="C2681:C2712" si="1343">"NFSE"</f>
        <v>NFSE</v>
      </c>
      <c r="D2681" t="str">
        <f t="shared" si="1338"/>
        <v>3010</v>
      </c>
      <c r="E2681" t="str">
        <f t="shared" si="1341"/>
        <v>COM</v>
      </c>
      <c r="F2681" t="str">
        <f t="shared" si="1339"/>
        <v>FARMÁCIA INDIANA LJ 1 (10126)</v>
      </c>
      <c r="G2681" t="str">
        <f t="shared" si="1340"/>
        <v>Serv.Prest. 12/05/2025 a 18/05/2025 - RPS: 780 - NFSe: 3010</v>
      </c>
      <c r="H2681" t="str">
        <f t="shared" ref="H2681:H2712" si="1344">("28/05/2025")</f>
        <v>28/05/2025</v>
      </c>
      <c r="I2681" t="str">
        <f t="shared" ref="I2681:I2715" si="1345">("20/05/2025")</f>
        <v>20/05/2025</v>
      </c>
      <c r="J2681" t="str">
        <f t="shared" ref="J2681:J2712" si="1346">("28/05/2025")</f>
        <v>28/05/2025</v>
      </c>
      <c r="M2681">
        <v>303</v>
      </c>
      <c r="N2681" t="str">
        <f t="shared" ref="N2681:N2712" si="1347">"RECEITAS COM ENTREGAS"</f>
        <v>RECEITAS COM ENTREGAS</v>
      </c>
      <c r="P2681">
        <v>107.47</v>
      </c>
      <c r="Q2681" t="str">
        <f>"FARMÁCIA INDIANA LJ 64 (10029)"</f>
        <v>FARMÁCIA INDIANA LJ 64 (10029)</v>
      </c>
      <c r="R2681" t="str">
        <f t="shared" ref="R2681:R2712" si="1348">"RECEITAS COM ENTREGAS (303)"</f>
        <v>RECEITAS COM ENTREGAS (303)</v>
      </c>
      <c r="S2681">
        <v>1576</v>
      </c>
      <c r="T2681">
        <v>1217</v>
      </c>
      <c r="U2681" t="s">
        <v>19</v>
      </c>
    </row>
    <row r="2682" spans="1:21">
      <c r="A2682" t="str">
        <f t="shared" si="1342"/>
        <v>28/05/2025</v>
      </c>
      <c r="B2682" t="str">
        <f t="shared" si="1334"/>
        <v>ENTRADA</v>
      </c>
      <c r="C2682" t="str">
        <f t="shared" si="1343"/>
        <v>NFSE</v>
      </c>
      <c r="D2682" t="str">
        <f t="shared" si="1338"/>
        <v>3010</v>
      </c>
      <c r="E2682" t="str">
        <f t="shared" si="1341"/>
        <v>COM</v>
      </c>
      <c r="F2682" t="str">
        <f t="shared" si="1339"/>
        <v>FARMÁCIA INDIANA LJ 1 (10126)</v>
      </c>
      <c r="G2682" t="str">
        <f t="shared" si="1340"/>
        <v>Serv.Prest. 12/05/2025 a 18/05/2025 - RPS: 780 - NFSe: 3010</v>
      </c>
      <c r="H2682" t="str">
        <f t="shared" si="1344"/>
        <v>28/05/2025</v>
      </c>
      <c r="I2682" t="str">
        <f t="shared" si="1345"/>
        <v>20/05/2025</v>
      </c>
      <c r="J2682" t="str">
        <f t="shared" si="1346"/>
        <v>28/05/2025</v>
      </c>
      <c r="M2682">
        <v>303</v>
      </c>
      <c r="N2682" t="str">
        <f t="shared" si="1347"/>
        <v>RECEITAS COM ENTREGAS</v>
      </c>
      <c r="P2682">
        <v>65.83</v>
      </c>
      <c r="Q2682" t="str">
        <f>"FARMÁCIA INDIANA LJ 97 (10040)"</f>
        <v>FARMÁCIA INDIANA LJ 97 (10040)</v>
      </c>
      <c r="R2682" t="str">
        <f t="shared" si="1348"/>
        <v>RECEITAS COM ENTREGAS (303)</v>
      </c>
      <c r="S2682">
        <v>1576</v>
      </c>
      <c r="T2682">
        <v>1217</v>
      </c>
      <c r="U2682" t="s">
        <v>19</v>
      </c>
    </row>
    <row r="2683" spans="1:21">
      <c r="A2683" t="str">
        <f t="shared" si="1342"/>
        <v>28/05/2025</v>
      </c>
      <c r="B2683" t="str">
        <f t="shared" si="1334"/>
        <v>ENTRADA</v>
      </c>
      <c r="C2683" t="str">
        <f t="shared" si="1343"/>
        <v>NFSE</v>
      </c>
      <c r="D2683" t="str">
        <f t="shared" si="1338"/>
        <v>3010</v>
      </c>
      <c r="E2683" t="str">
        <f t="shared" si="1341"/>
        <v>COM</v>
      </c>
      <c r="F2683" t="str">
        <f t="shared" si="1339"/>
        <v>FARMÁCIA INDIANA LJ 1 (10126)</v>
      </c>
      <c r="G2683" t="str">
        <f t="shared" si="1340"/>
        <v>Serv.Prest. 12/05/2025 a 18/05/2025 - RPS: 780 - NFSe: 3010</v>
      </c>
      <c r="H2683" t="str">
        <f t="shared" si="1344"/>
        <v>28/05/2025</v>
      </c>
      <c r="I2683" t="str">
        <f t="shared" si="1345"/>
        <v>20/05/2025</v>
      </c>
      <c r="J2683" t="str">
        <f t="shared" si="1346"/>
        <v>28/05/2025</v>
      </c>
      <c r="M2683">
        <v>303</v>
      </c>
      <c r="N2683" t="str">
        <f t="shared" si="1347"/>
        <v>RECEITAS COM ENTREGAS</v>
      </c>
      <c r="P2683">
        <v>300.92</v>
      </c>
      <c r="Q2683" t="str">
        <f>"FARMÁCIA INDIANA LJ 100 (10042)"</f>
        <v>FARMÁCIA INDIANA LJ 100 (10042)</v>
      </c>
      <c r="R2683" t="str">
        <f t="shared" si="1348"/>
        <v>RECEITAS COM ENTREGAS (303)</v>
      </c>
      <c r="S2683">
        <v>1576</v>
      </c>
      <c r="T2683">
        <v>1217</v>
      </c>
      <c r="U2683" t="s">
        <v>19</v>
      </c>
    </row>
    <row r="2684" spans="1:21">
      <c r="A2684" t="str">
        <f t="shared" si="1342"/>
        <v>28/05/2025</v>
      </c>
      <c r="B2684" t="str">
        <f t="shared" si="1334"/>
        <v>ENTRADA</v>
      </c>
      <c r="C2684" t="str">
        <f t="shared" si="1343"/>
        <v>NFSE</v>
      </c>
      <c r="D2684" t="str">
        <f t="shared" si="1338"/>
        <v>3010</v>
      </c>
      <c r="E2684" t="str">
        <f t="shared" si="1341"/>
        <v>COM</v>
      </c>
      <c r="F2684" t="str">
        <f t="shared" si="1339"/>
        <v>FARMÁCIA INDIANA LJ 1 (10126)</v>
      </c>
      <c r="G2684" t="str">
        <f t="shared" si="1340"/>
        <v>Serv.Prest. 12/05/2025 a 18/05/2025 - RPS: 780 - NFSe: 3010</v>
      </c>
      <c r="H2684" t="str">
        <f t="shared" si="1344"/>
        <v>28/05/2025</v>
      </c>
      <c r="I2684" t="str">
        <f t="shared" si="1345"/>
        <v>20/05/2025</v>
      </c>
      <c r="J2684" t="str">
        <f t="shared" si="1346"/>
        <v>28/05/2025</v>
      </c>
      <c r="M2684">
        <v>303</v>
      </c>
      <c r="N2684" t="str">
        <f t="shared" si="1347"/>
        <v>RECEITAS COM ENTREGAS</v>
      </c>
      <c r="P2684">
        <v>592.44000000000005</v>
      </c>
      <c r="Q2684" t="str">
        <f>"FARMÁCIA INDIANA LJ 101 (10043)"</f>
        <v>FARMÁCIA INDIANA LJ 101 (10043)</v>
      </c>
      <c r="R2684" t="str">
        <f t="shared" si="1348"/>
        <v>RECEITAS COM ENTREGAS (303)</v>
      </c>
      <c r="S2684">
        <v>1576</v>
      </c>
      <c r="T2684">
        <v>1217</v>
      </c>
      <c r="U2684" t="s">
        <v>19</v>
      </c>
    </row>
    <row r="2685" spans="1:21">
      <c r="A2685" t="str">
        <f t="shared" si="1342"/>
        <v>28/05/2025</v>
      </c>
      <c r="B2685" t="str">
        <f t="shared" si="1334"/>
        <v>ENTRADA</v>
      </c>
      <c r="C2685" t="str">
        <f t="shared" si="1343"/>
        <v>NFSE</v>
      </c>
      <c r="D2685" t="str">
        <f t="shared" si="1338"/>
        <v>3010</v>
      </c>
      <c r="E2685" t="str">
        <f t="shared" si="1341"/>
        <v>COM</v>
      </c>
      <c r="F2685" t="str">
        <f t="shared" si="1339"/>
        <v>FARMÁCIA INDIANA LJ 1 (10126)</v>
      </c>
      <c r="G2685" t="str">
        <f t="shared" si="1340"/>
        <v>Serv.Prest. 12/05/2025 a 18/05/2025 - RPS: 780 - NFSe: 3010</v>
      </c>
      <c r="H2685" t="str">
        <f t="shared" si="1344"/>
        <v>28/05/2025</v>
      </c>
      <c r="I2685" t="str">
        <f t="shared" si="1345"/>
        <v>20/05/2025</v>
      </c>
      <c r="J2685" t="str">
        <f t="shared" si="1346"/>
        <v>28/05/2025</v>
      </c>
      <c r="M2685">
        <v>303</v>
      </c>
      <c r="N2685" t="str">
        <f t="shared" si="1347"/>
        <v>RECEITAS COM ENTREGAS</v>
      </c>
      <c r="P2685">
        <v>67.17</v>
      </c>
      <c r="Q2685" t="str">
        <f>"FARMÁCIA INDIANA LJ 103 (10044)"</f>
        <v>FARMÁCIA INDIANA LJ 103 (10044)</v>
      </c>
      <c r="R2685" t="str">
        <f t="shared" si="1348"/>
        <v>RECEITAS COM ENTREGAS (303)</v>
      </c>
      <c r="S2685">
        <v>1576</v>
      </c>
      <c r="T2685">
        <v>1217</v>
      </c>
      <c r="U2685" t="s">
        <v>19</v>
      </c>
    </row>
    <row r="2686" spans="1:21">
      <c r="A2686" t="str">
        <f t="shared" si="1342"/>
        <v>28/05/2025</v>
      </c>
      <c r="B2686" t="str">
        <f t="shared" si="1334"/>
        <v>ENTRADA</v>
      </c>
      <c r="C2686" t="str">
        <f t="shared" si="1343"/>
        <v>NFSE</v>
      </c>
      <c r="D2686" t="str">
        <f t="shared" si="1338"/>
        <v>3010</v>
      </c>
      <c r="E2686" t="str">
        <f t="shared" si="1341"/>
        <v>COM</v>
      </c>
      <c r="F2686" t="str">
        <f t="shared" si="1339"/>
        <v>FARMÁCIA INDIANA LJ 1 (10126)</v>
      </c>
      <c r="G2686" t="str">
        <f t="shared" si="1340"/>
        <v>Serv.Prest. 12/05/2025 a 18/05/2025 - RPS: 780 - NFSe: 3010</v>
      </c>
      <c r="H2686" t="str">
        <f t="shared" si="1344"/>
        <v>28/05/2025</v>
      </c>
      <c r="I2686" t="str">
        <f t="shared" si="1345"/>
        <v>20/05/2025</v>
      </c>
      <c r="J2686" t="str">
        <f t="shared" si="1346"/>
        <v>28/05/2025</v>
      </c>
      <c r="M2686">
        <v>303</v>
      </c>
      <c r="N2686" t="str">
        <f t="shared" si="1347"/>
        <v>RECEITAS COM ENTREGAS</v>
      </c>
      <c r="P2686">
        <v>151.80000000000001</v>
      </c>
      <c r="Q2686" t="str">
        <f>"FARMÁCIA INDIANA LJ 109 (10047)"</f>
        <v>FARMÁCIA INDIANA LJ 109 (10047)</v>
      </c>
      <c r="R2686" t="str">
        <f t="shared" si="1348"/>
        <v>RECEITAS COM ENTREGAS (303)</v>
      </c>
      <c r="S2686">
        <v>1576</v>
      </c>
      <c r="T2686">
        <v>1217</v>
      </c>
      <c r="U2686" t="s">
        <v>19</v>
      </c>
    </row>
    <row r="2687" spans="1:21">
      <c r="A2687" t="str">
        <f t="shared" si="1342"/>
        <v>28/05/2025</v>
      </c>
      <c r="B2687" t="str">
        <f t="shared" si="1334"/>
        <v>ENTRADA</v>
      </c>
      <c r="C2687" t="str">
        <f t="shared" si="1343"/>
        <v>NFSE</v>
      </c>
      <c r="D2687" t="str">
        <f t="shared" si="1338"/>
        <v>3010</v>
      </c>
      <c r="E2687" t="str">
        <f t="shared" si="1341"/>
        <v>COM</v>
      </c>
      <c r="F2687" t="str">
        <f t="shared" si="1339"/>
        <v>FARMÁCIA INDIANA LJ 1 (10126)</v>
      </c>
      <c r="G2687" t="str">
        <f t="shared" si="1340"/>
        <v>Serv.Prest. 12/05/2025 a 18/05/2025 - RPS: 780 - NFSe: 3010</v>
      </c>
      <c r="H2687" t="str">
        <f t="shared" si="1344"/>
        <v>28/05/2025</v>
      </c>
      <c r="I2687" t="str">
        <f t="shared" si="1345"/>
        <v>20/05/2025</v>
      </c>
      <c r="J2687" t="str">
        <f t="shared" si="1346"/>
        <v>28/05/2025</v>
      </c>
      <c r="M2687">
        <v>303</v>
      </c>
      <c r="N2687" t="str">
        <f t="shared" si="1347"/>
        <v>RECEITAS COM ENTREGAS</v>
      </c>
      <c r="P2687">
        <v>686.47</v>
      </c>
      <c r="Q2687" t="str">
        <f>"FARMÁCIA INDIANA LJ 110 (10048)"</f>
        <v>FARMÁCIA INDIANA LJ 110 (10048)</v>
      </c>
      <c r="R2687" t="str">
        <f t="shared" si="1348"/>
        <v>RECEITAS COM ENTREGAS (303)</v>
      </c>
      <c r="S2687">
        <v>1576</v>
      </c>
      <c r="T2687">
        <v>1217</v>
      </c>
      <c r="U2687" t="s">
        <v>19</v>
      </c>
    </row>
    <row r="2688" spans="1:21">
      <c r="A2688" t="str">
        <f t="shared" si="1342"/>
        <v>28/05/2025</v>
      </c>
      <c r="B2688" t="str">
        <f t="shared" si="1334"/>
        <v>ENTRADA</v>
      </c>
      <c r="C2688" t="str">
        <f t="shared" si="1343"/>
        <v>NFSE</v>
      </c>
      <c r="D2688" t="str">
        <f t="shared" si="1338"/>
        <v>3010</v>
      </c>
      <c r="E2688" t="str">
        <f t="shared" si="1341"/>
        <v>COM</v>
      </c>
      <c r="F2688" t="str">
        <f t="shared" si="1339"/>
        <v>FARMÁCIA INDIANA LJ 1 (10126)</v>
      </c>
      <c r="G2688" t="str">
        <f t="shared" si="1340"/>
        <v>Serv.Prest. 12/05/2025 a 18/05/2025 - RPS: 780 - NFSe: 3010</v>
      </c>
      <c r="H2688" t="str">
        <f t="shared" si="1344"/>
        <v>28/05/2025</v>
      </c>
      <c r="I2688" t="str">
        <f t="shared" si="1345"/>
        <v>20/05/2025</v>
      </c>
      <c r="J2688" t="str">
        <f t="shared" si="1346"/>
        <v>28/05/2025</v>
      </c>
      <c r="M2688">
        <v>303</v>
      </c>
      <c r="N2688" t="str">
        <f t="shared" si="1347"/>
        <v>RECEITAS COM ENTREGAS</v>
      </c>
      <c r="P2688">
        <v>64.48</v>
      </c>
      <c r="Q2688" t="str">
        <f>"FARMÁCIA INDIANA LJ 111 (10049)"</f>
        <v>FARMÁCIA INDIANA LJ 111 (10049)</v>
      </c>
      <c r="R2688" t="str">
        <f t="shared" si="1348"/>
        <v>RECEITAS COM ENTREGAS (303)</v>
      </c>
      <c r="S2688">
        <v>1576</v>
      </c>
      <c r="T2688">
        <v>1217</v>
      </c>
      <c r="U2688" t="s">
        <v>19</v>
      </c>
    </row>
    <row r="2689" spans="1:21">
      <c r="A2689" t="str">
        <f t="shared" si="1342"/>
        <v>28/05/2025</v>
      </c>
      <c r="B2689" t="str">
        <f t="shared" si="1334"/>
        <v>ENTRADA</v>
      </c>
      <c r="C2689" t="str">
        <f t="shared" si="1343"/>
        <v>NFSE</v>
      </c>
      <c r="D2689" t="str">
        <f t="shared" si="1338"/>
        <v>3010</v>
      </c>
      <c r="E2689" t="str">
        <f t="shared" si="1341"/>
        <v>COM</v>
      </c>
      <c r="F2689" t="str">
        <f t="shared" si="1339"/>
        <v>FARMÁCIA INDIANA LJ 1 (10126)</v>
      </c>
      <c r="G2689" t="str">
        <f t="shared" si="1340"/>
        <v>Serv.Prest. 12/05/2025 a 18/05/2025 - RPS: 780 - NFSe: 3010</v>
      </c>
      <c r="H2689" t="str">
        <f t="shared" si="1344"/>
        <v>28/05/2025</v>
      </c>
      <c r="I2689" t="str">
        <f t="shared" si="1345"/>
        <v>20/05/2025</v>
      </c>
      <c r="J2689" t="str">
        <f t="shared" si="1346"/>
        <v>28/05/2025</v>
      </c>
      <c r="M2689">
        <v>303</v>
      </c>
      <c r="N2689" t="str">
        <f t="shared" si="1347"/>
        <v>RECEITAS COM ENTREGAS</v>
      </c>
      <c r="P2689">
        <v>119.56</v>
      </c>
      <c r="Q2689" t="str">
        <f>"FARMÁCIA INDIANA LJ 112 (10050)"</f>
        <v>FARMÁCIA INDIANA LJ 112 (10050)</v>
      </c>
      <c r="R2689" t="str">
        <f t="shared" si="1348"/>
        <v>RECEITAS COM ENTREGAS (303)</v>
      </c>
      <c r="S2689">
        <v>1576</v>
      </c>
      <c r="T2689">
        <v>1217</v>
      </c>
      <c r="U2689" t="s">
        <v>19</v>
      </c>
    </row>
    <row r="2690" spans="1:21">
      <c r="A2690" t="str">
        <f t="shared" si="1342"/>
        <v>28/05/2025</v>
      </c>
      <c r="B2690" t="str">
        <f t="shared" si="1334"/>
        <v>ENTRADA</v>
      </c>
      <c r="C2690" t="str">
        <f t="shared" si="1343"/>
        <v>NFSE</v>
      </c>
      <c r="D2690" t="str">
        <f t="shared" si="1338"/>
        <v>3010</v>
      </c>
      <c r="E2690" t="str">
        <f t="shared" si="1341"/>
        <v>COM</v>
      </c>
      <c r="F2690" t="str">
        <f t="shared" si="1339"/>
        <v>FARMÁCIA INDIANA LJ 1 (10126)</v>
      </c>
      <c r="G2690" t="str">
        <f t="shared" si="1340"/>
        <v>Serv.Prest. 12/05/2025 a 18/05/2025 - RPS: 780 - NFSe: 3010</v>
      </c>
      <c r="H2690" t="str">
        <f t="shared" si="1344"/>
        <v>28/05/2025</v>
      </c>
      <c r="I2690" t="str">
        <f t="shared" si="1345"/>
        <v>20/05/2025</v>
      </c>
      <c r="J2690" t="str">
        <f t="shared" si="1346"/>
        <v>28/05/2025</v>
      </c>
      <c r="M2690">
        <v>303</v>
      </c>
      <c r="N2690" t="str">
        <f t="shared" si="1347"/>
        <v>RECEITAS COM ENTREGAS</v>
      </c>
      <c r="P2690">
        <v>119.56</v>
      </c>
      <c r="Q2690" t="str">
        <f>"FARMÁCIA INDIANA LJ 116 (10051)"</f>
        <v>FARMÁCIA INDIANA LJ 116 (10051)</v>
      </c>
      <c r="R2690" t="str">
        <f t="shared" si="1348"/>
        <v>RECEITAS COM ENTREGAS (303)</v>
      </c>
      <c r="S2690">
        <v>1576</v>
      </c>
      <c r="T2690">
        <v>1217</v>
      </c>
      <c r="U2690" t="s">
        <v>19</v>
      </c>
    </row>
    <row r="2691" spans="1:21">
      <c r="A2691" t="str">
        <f t="shared" si="1342"/>
        <v>28/05/2025</v>
      </c>
      <c r="B2691" t="str">
        <f t="shared" si="1334"/>
        <v>ENTRADA</v>
      </c>
      <c r="C2691" t="str">
        <f t="shared" si="1343"/>
        <v>NFSE</v>
      </c>
      <c r="D2691" t="str">
        <f t="shared" si="1338"/>
        <v>3010</v>
      </c>
      <c r="E2691" t="str">
        <f t="shared" si="1341"/>
        <v>COM</v>
      </c>
      <c r="F2691" t="str">
        <f t="shared" si="1339"/>
        <v>FARMÁCIA INDIANA LJ 1 (10126)</v>
      </c>
      <c r="G2691" t="str">
        <f t="shared" si="1340"/>
        <v>Serv.Prest. 12/05/2025 a 18/05/2025 - RPS: 780 - NFSe: 3010</v>
      </c>
      <c r="H2691" t="str">
        <f t="shared" si="1344"/>
        <v>28/05/2025</v>
      </c>
      <c r="I2691" t="str">
        <f t="shared" si="1345"/>
        <v>20/05/2025</v>
      </c>
      <c r="J2691" t="str">
        <f t="shared" si="1346"/>
        <v>28/05/2025</v>
      </c>
      <c r="M2691">
        <v>303</v>
      </c>
      <c r="N2691" t="str">
        <f t="shared" si="1347"/>
        <v>RECEITAS COM ENTREGAS</v>
      </c>
      <c r="P2691">
        <v>141.06</v>
      </c>
      <c r="Q2691" t="str">
        <f>"FARMÁCIA INDIANA LJ 118 (10052)"</f>
        <v>FARMÁCIA INDIANA LJ 118 (10052)</v>
      </c>
      <c r="R2691" t="str">
        <f t="shared" si="1348"/>
        <v>RECEITAS COM ENTREGAS (303)</v>
      </c>
      <c r="S2691">
        <v>1576</v>
      </c>
      <c r="T2691">
        <v>1217</v>
      </c>
      <c r="U2691" t="s">
        <v>19</v>
      </c>
    </row>
    <row r="2692" spans="1:21">
      <c r="A2692" t="str">
        <f t="shared" si="1342"/>
        <v>28/05/2025</v>
      </c>
      <c r="B2692" t="str">
        <f t="shared" si="1334"/>
        <v>ENTRADA</v>
      </c>
      <c r="C2692" t="str">
        <f t="shared" si="1343"/>
        <v>NFSE</v>
      </c>
      <c r="D2692" t="str">
        <f t="shared" si="1338"/>
        <v>3010</v>
      </c>
      <c r="E2692" t="str">
        <f t="shared" si="1341"/>
        <v>COM</v>
      </c>
      <c r="F2692" t="str">
        <f t="shared" si="1339"/>
        <v>FARMÁCIA INDIANA LJ 1 (10126)</v>
      </c>
      <c r="G2692" t="str">
        <f t="shared" si="1340"/>
        <v>Serv.Prest. 12/05/2025 a 18/05/2025 - RPS: 780 - NFSe: 3010</v>
      </c>
      <c r="H2692" t="str">
        <f t="shared" si="1344"/>
        <v>28/05/2025</v>
      </c>
      <c r="I2692" t="str">
        <f t="shared" si="1345"/>
        <v>20/05/2025</v>
      </c>
      <c r="J2692" t="str">
        <f t="shared" si="1346"/>
        <v>28/05/2025</v>
      </c>
      <c r="M2692">
        <v>303</v>
      </c>
      <c r="N2692" t="str">
        <f t="shared" si="1347"/>
        <v>RECEITAS COM ENTREGAS</v>
      </c>
      <c r="P2692">
        <v>119.56</v>
      </c>
      <c r="Q2692" t="str">
        <f>"FARMÁCIA INDIANA LJ 121 (10054)"</f>
        <v>FARMÁCIA INDIANA LJ 121 (10054)</v>
      </c>
      <c r="R2692" t="str">
        <f t="shared" si="1348"/>
        <v>RECEITAS COM ENTREGAS (303)</v>
      </c>
      <c r="S2692">
        <v>1576</v>
      </c>
      <c r="T2692">
        <v>1217</v>
      </c>
      <c r="U2692" t="s">
        <v>19</v>
      </c>
    </row>
    <row r="2693" spans="1:21">
      <c r="A2693" t="str">
        <f t="shared" si="1342"/>
        <v>28/05/2025</v>
      </c>
      <c r="B2693" t="str">
        <f t="shared" si="1334"/>
        <v>ENTRADA</v>
      </c>
      <c r="C2693" t="str">
        <f t="shared" si="1343"/>
        <v>NFSE</v>
      </c>
      <c r="D2693" t="str">
        <f t="shared" si="1338"/>
        <v>3010</v>
      </c>
      <c r="E2693" t="str">
        <f t="shared" si="1341"/>
        <v>COM</v>
      </c>
      <c r="F2693" t="str">
        <f t="shared" si="1339"/>
        <v>FARMÁCIA INDIANA LJ 1 (10126)</v>
      </c>
      <c r="G2693" t="str">
        <f t="shared" si="1340"/>
        <v>Serv.Prest. 12/05/2025 a 18/05/2025 - RPS: 780 - NFSe: 3010</v>
      </c>
      <c r="H2693" t="str">
        <f t="shared" si="1344"/>
        <v>28/05/2025</v>
      </c>
      <c r="I2693" t="str">
        <f t="shared" si="1345"/>
        <v>20/05/2025</v>
      </c>
      <c r="J2693" t="str">
        <f t="shared" si="1346"/>
        <v>28/05/2025</v>
      </c>
      <c r="M2693">
        <v>303</v>
      </c>
      <c r="N2693" t="str">
        <f t="shared" si="1347"/>
        <v>RECEITAS COM ENTREGAS</v>
      </c>
      <c r="P2693">
        <v>119.56</v>
      </c>
      <c r="Q2693" t="str">
        <f>"FARMÁCIA INDIANA LJ 128 (10057)"</f>
        <v>FARMÁCIA INDIANA LJ 128 (10057)</v>
      </c>
      <c r="R2693" t="str">
        <f t="shared" si="1348"/>
        <v>RECEITAS COM ENTREGAS (303)</v>
      </c>
      <c r="S2693">
        <v>1576</v>
      </c>
      <c r="T2693">
        <v>1217</v>
      </c>
      <c r="U2693" t="s">
        <v>19</v>
      </c>
    </row>
    <row r="2694" spans="1:21">
      <c r="A2694" t="str">
        <f t="shared" si="1342"/>
        <v>28/05/2025</v>
      </c>
      <c r="B2694" t="str">
        <f t="shared" si="1334"/>
        <v>ENTRADA</v>
      </c>
      <c r="C2694" t="str">
        <f t="shared" si="1343"/>
        <v>NFSE</v>
      </c>
      <c r="D2694" t="str">
        <f t="shared" si="1338"/>
        <v>3010</v>
      </c>
      <c r="E2694" t="str">
        <f t="shared" si="1341"/>
        <v>COM</v>
      </c>
      <c r="F2694" t="str">
        <f t="shared" si="1339"/>
        <v>FARMÁCIA INDIANA LJ 1 (10126)</v>
      </c>
      <c r="G2694" t="str">
        <f t="shared" si="1340"/>
        <v>Serv.Prest. 12/05/2025 a 18/05/2025 - RPS: 780 - NFSe: 3010</v>
      </c>
      <c r="H2694" t="str">
        <f t="shared" si="1344"/>
        <v>28/05/2025</v>
      </c>
      <c r="I2694" t="str">
        <f t="shared" si="1345"/>
        <v>20/05/2025</v>
      </c>
      <c r="J2694" t="str">
        <f t="shared" si="1346"/>
        <v>28/05/2025</v>
      </c>
      <c r="M2694">
        <v>303</v>
      </c>
      <c r="N2694" t="str">
        <f t="shared" si="1347"/>
        <v>RECEITAS COM ENTREGAS</v>
      </c>
      <c r="P2694">
        <v>26.87</v>
      </c>
      <c r="Q2694" t="str">
        <f>"FARMÁCIA INDIANA LJ 140 (10064)"</f>
        <v>FARMÁCIA INDIANA LJ 140 (10064)</v>
      </c>
      <c r="R2694" t="str">
        <f t="shared" si="1348"/>
        <v>RECEITAS COM ENTREGAS (303)</v>
      </c>
      <c r="S2694">
        <v>1576</v>
      </c>
      <c r="T2694">
        <v>1217</v>
      </c>
      <c r="U2694" t="s">
        <v>19</v>
      </c>
    </row>
    <row r="2695" spans="1:21">
      <c r="A2695" t="str">
        <f t="shared" si="1342"/>
        <v>28/05/2025</v>
      </c>
      <c r="B2695" t="str">
        <f t="shared" si="1334"/>
        <v>ENTRADA</v>
      </c>
      <c r="C2695" t="str">
        <f t="shared" si="1343"/>
        <v>NFSE</v>
      </c>
      <c r="D2695" t="str">
        <f t="shared" si="1338"/>
        <v>3010</v>
      </c>
      <c r="E2695" t="str">
        <f t="shared" si="1341"/>
        <v>COM</v>
      </c>
      <c r="F2695" t="str">
        <f t="shared" si="1339"/>
        <v>FARMÁCIA INDIANA LJ 1 (10126)</v>
      </c>
      <c r="G2695" t="str">
        <f t="shared" si="1340"/>
        <v>Serv.Prest. 12/05/2025 a 18/05/2025 - RPS: 780 - NFSe: 3010</v>
      </c>
      <c r="H2695" t="str">
        <f t="shared" si="1344"/>
        <v>28/05/2025</v>
      </c>
      <c r="I2695" t="str">
        <f t="shared" si="1345"/>
        <v>20/05/2025</v>
      </c>
      <c r="J2695" t="str">
        <f t="shared" si="1346"/>
        <v>28/05/2025</v>
      </c>
      <c r="M2695">
        <v>303</v>
      </c>
      <c r="N2695" t="str">
        <f t="shared" si="1347"/>
        <v>RECEITAS COM ENTREGAS</v>
      </c>
      <c r="P2695">
        <v>18.809999999999999</v>
      </c>
      <c r="Q2695" t="str">
        <f>"FARMÁCIA INDIANA LJ 141 (10065)"</f>
        <v>FARMÁCIA INDIANA LJ 141 (10065)</v>
      </c>
      <c r="R2695" t="str">
        <f t="shared" si="1348"/>
        <v>RECEITAS COM ENTREGAS (303)</v>
      </c>
      <c r="S2695">
        <v>1576</v>
      </c>
      <c r="T2695">
        <v>1217</v>
      </c>
      <c r="U2695" t="s">
        <v>19</v>
      </c>
    </row>
    <row r="2696" spans="1:21">
      <c r="A2696" t="str">
        <f t="shared" si="1342"/>
        <v>28/05/2025</v>
      </c>
      <c r="B2696" t="str">
        <f t="shared" si="1334"/>
        <v>ENTRADA</v>
      </c>
      <c r="C2696" t="str">
        <f t="shared" si="1343"/>
        <v>NFSE</v>
      </c>
      <c r="D2696" t="str">
        <f t="shared" si="1338"/>
        <v>3010</v>
      </c>
      <c r="E2696" t="str">
        <f t="shared" si="1341"/>
        <v>COM</v>
      </c>
      <c r="F2696" t="str">
        <f t="shared" si="1339"/>
        <v>FARMÁCIA INDIANA LJ 1 (10126)</v>
      </c>
      <c r="G2696" t="str">
        <f t="shared" si="1340"/>
        <v>Serv.Prest. 12/05/2025 a 18/05/2025 - RPS: 780 - NFSe: 3010</v>
      </c>
      <c r="H2696" t="str">
        <f t="shared" si="1344"/>
        <v>28/05/2025</v>
      </c>
      <c r="I2696" t="str">
        <f t="shared" si="1345"/>
        <v>20/05/2025</v>
      </c>
      <c r="J2696" t="str">
        <f t="shared" si="1346"/>
        <v>28/05/2025</v>
      </c>
      <c r="M2696">
        <v>303</v>
      </c>
      <c r="N2696" t="str">
        <f t="shared" si="1347"/>
        <v>RECEITAS COM ENTREGAS</v>
      </c>
      <c r="P2696">
        <v>802.01</v>
      </c>
      <c r="Q2696" t="str">
        <f>"FARMÁCIA INDIANA LJ 142 (10066)"</f>
        <v>FARMÁCIA INDIANA LJ 142 (10066)</v>
      </c>
      <c r="R2696" t="str">
        <f t="shared" si="1348"/>
        <v>RECEITAS COM ENTREGAS (303)</v>
      </c>
      <c r="S2696">
        <v>1576</v>
      </c>
      <c r="T2696">
        <v>1217</v>
      </c>
      <c r="U2696" t="s">
        <v>19</v>
      </c>
    </row>
    <row r="2697" spans="1:21">
      <c r="A2697" t="str">
        <f t="shared" si="1342"/>
        <v>28/05/2025</v>
      </c>
      <c r="B2697" t="str">
        <f t="shared" si="1334"/>
        <v>ENTRADA</v>
      </c>
      <c r="C2697" t="str">
        <f t="shared" si="1343"/>
        <v>NFSE</v>
      </c>
      <c r="D2697" t="str">
        <f t="shared" si="1338"/>
        <v>3010</v>
      </c>
      <c r="E2697" t="str">
        <f t="shared" si="1341"/>
        <v>COM</v>
      </c>
      <c r="F2697" t="str">
        <f t="shared" si="1339"/>
        <v>FARMÁCIA INDIANA LJ 1 (10126)</v>
      </c>
      <c r="G2697" t="str">
        <f t="shared" si="1340"/>
        <v>Serv.Prest. 12/05/2025 a 18/05/2025 - RPS: 780 - NFSe: 3010</v>
      </c>
      <c r="H2697" t="str">
        <f t="shared" si="1344"/>
        <v>28/05/2025</v>
      </c>
      <c r="I2697" t="str">
        <f t="shared" si="1345"/>
        <v>20/05/2025</v>
      </c>
      <c r="J2697" t="str">
        <f t="shared" si="1346"/>
        <v>28/05/2025</v>
      </c>
      <c r="M2697">
        <v>303</v>
      </c>
      <c r="N2697" t="str">
        <f t="shared" si="1347"/>
        <v>RECEITAS COM ENTREGAS</v>
      </c>
      <c r="P2697">
        <v>65.83</v>
      </c>
      <c r="Q2697" t="str">
        <f>"FARMÁCIA INDIANA LJ 143 (10067)"</f>
        <v>FARMÁCIA INDIANA LJ 143 (10067)</v>
      </c>
      <c r="R2697" t="str">
        <f t="shared" si="1348"/>
        <v>RECEITAS COM ENTREGAS (303)</v>
      </c>
      <c r="S2697">
        <v>1576</v>
      </c>
      <c r="T2697">
        <v>1217</v>
      </c>
      <c r="U2697" t="s">
        <v>19</v>
      </c>
    </row>
    <row r="2698" spans="1:21">
      <c r="A2698" t="str">
        <f t="shared" si="1342"/>
        <v>28/05/2025</v>
      </c>
      <c r="B2698" t="str">
        <f t="shared" si="1334"/>
        <v>ENTRADA</v>
      </c>
      <c r="C2698" t="str">
        <f t="shared" si="1343"/>
        <v>NFSE</v>
      </c>
      <c r="D2698" t="str">
        <f t="shared" si="1338"/>
        <v>3010</v>
      </c>
      <c r="E2698" t="str">
        <f t="shared" si="1341"/>
        <v>COM</v>
      </c>
      <c r="F2698" t="str">
        <f t="shared" si="1339"/>
        <v>FARMÁCIA INDIANA LJ 1 (10126)</v>
      </c>
      <c r="G2698" t="str">
        <f t="shared" si="1340"/>
        <v>Serv.Prest. 12/05/2025 a 18/05/2025 - RPS: 780 - NFSe: 3010</v>
      </c>
      <c r="H2698" t="str">
        <f t="shared" si="1344"/>
        <v>28/05/2025</v>
      </c>
      <c r="I2698" t="str">
        <f t="shared" si="1345"/>
        <v>20/05/2025</v>
      </c>
      <c r="J2698" t="str">
        <f t="shared" si="1346"/>
        <v>28/05/2025</v>
      </c>
      <c r="M2698">
        <v>303</v>
      </c>
      <c r="N2698" t="str">
        <f t="shared" si="1347"/>
        <v>RECEITAS COM ENTREGAS</v>
      </c>
      <c r="P2698">
        <v>177.33</v>
      </c>
      <c r="Q2698" t="str">
        <f>"FARMÁCIA INDIANA LJ 152 (10069)"</f>
        <v>FARMÁCIA INDIANA LJ 152 (10069)</v>
      </c>
      <c r="R2698" t="str">
        <f t="shared" si="1348"/>
        <v>RECEITAS COM ENTREGAS (303)</v>
      </c>
      <c r="S2698">
        <v>1576</v>
      </c>
      <c r="T2698">
        <v>1217</v>
      </c>
      <c r="U2698" t="s">
        <v>19</v>
      </c>
    </row>
    <row r="2699" spans="1:21">
      <c r="A2699" t="str">
        <f t="shared" si="1342"/>
        <v>28/05/2025</v>
      </c>
      <c r="B2699" t="str">
        <f t="shared" si="1334"/>
        <v>ENTRADA</v>
      </c>
      <c r="C2699" t="str">
        <f t="shared" si="1343"/>
        <v>NFSE</v>
      </c>
      <c r="D2699" t="str">
        <f t="shared" si="1338"/>
        <v>3010</v>
      </c>
      <c r="E2699" t="str">
        <f t="shared" si="1341"/>
        <v>COM</v>
      </c>
      <c r="F2699" t="str">
        <f t="shared" si="1339"/>
        <v>FARMÁCIA INDIANA LJ 1 (10126)</v>
      </c>
      <c r="G2699" t="str">
        <f t="shared" si="1340"/>
        <v>Serv.Prest. 12/05/2025 a 18/05/2025 - RPS: 780 - NFSe: 3010</v>
      </c>
      <c r="H2699" t="str">
        <f t="shared" si="1344"/>
        <v>28/05/2025</v>
      </c>
      <c r="I2699" t="str">
        <f t="shared" si="1345"/>
        <v>20/05/2025</v>
      </c>
      <c r="J2699" t="str">
        <f t="shared" si="1346"/>
        <v>28/05/2025</v>
      </c>
      <c r="M2699">
        <v>303</v>
      </c>
      <c r="N2699" t="str">
        <f t="shared" si="1347"/>
        <v>RECEITAS COM ENTREGAS</v>
      </c>
      <c r="P2699">
        <v>37.619999999999997</v>
      </c>
      <c r="Q2699" t="str">
        <f>"FARMÁCIA INDIANA LJ 154 (10070)"</f>
        <v>FARMÁCIA INDIANA LJ 154 (10070)</v>
      </c>
      <c r="R2699" t="str">
        <f t="shared" si="1348"/>
        <v>RECEITAS COM ENTREGAS (303)</v>
      </c>
      <c r="S2699">
        <v>1576</v>
      </c>
      <c r="T2699">
        <v>1217</v>
      </c>
      <c r="U2699" t="s">
        <v>19</v>
      </c>
    </row>
    <row r="2700" spans="1:21">
      <c r="A2700" t="str">
        <f t="shared" si="1342"/>
        <v>28/05/2025</v>
      </c>
      <c r="B2700" t="str">
        <f t="shared" si="1334"/>
        <v>ENTRADA</v>
      </c>
      <c r="C2700" t="str">
        <f t="shared" si="1343"/>
        <v>NFSE</v>
      </c>
      <c r="D2700" t="str">
        <f t="shared" si="1338"/>
        <v>3010</v>
      </c>
      <c r="E2700" t="str">
        <f t="shared" si="1341"/>
        <v>COM</v>
      </c>
      <c r="F2700" t="str">
        <f t="shared" si="1339"/>
        <v>FARMÁCIA INDIANA LJ 1 (10126)</v>
      </c>
      <c r="G2700" t="str">
        <f t="shared" si="1340"/>
        <v>Serv.Prest. 12/05/2025 a 18/05/2025 - RPS: 780 - NFSe: 3010</v>
      </c>
      <c r="H2700" t="str">
        <f t="shared" si="1344"/>
        <v>28/05/2025</v>
      </c>
      <c r="I2700" t="str">
        <f t="shared" si="1345"/>
        <v>20/05/2025</v>
      </c>
      <c r="J2700" t="str">
        <f t="shared" si="1346"/>
        <v>28/05/2025</v>
      </c>
      <c r="M2700">
        <v>303</v>
      </c>
      <c r="N2700" t="str">
        <f t="shared" si="1347"/>
        <v>RECEITAS COM ENTREGAS</v>
      </c>
      <c r="P2700">
        <v>321.07</v>
      </c>
      <c r="Q2700" t="str">
        <f>"FARMÁCIA INDIANA LJ 171 (10074)"</f>
        <v>FARMÁCIA INDIANA LJ 171 (10074)</v>
      </c>
      <c r="R2700" t="str">
        <f t="shared" si="1348"/>
        <v>RECEITAS COM ENTREGAS (303)</v>
      </c>
      <c r="S2700">
        <v>1576</v>
      </c>
      <c r="T2700">
        <v>1217</v>
      </c>
      <c r="U2700" t="s">
        <v>19</v>
      </c>
    </row>
    <row r="2701" spans="1:21">
      <c r="A2701" t="str">
        <f t="shared" si="1342"/>
        <v>28/05/2025</v>
      </c>
      <c r="B2701" t="str">
        <f t="shared" si="1334"/>
        <v>ENTRADA</v>
      </c>
      <c r="C2701" t="str">
        <f t="shared" si="1343"/>
        <v>NFSE</v>
      </c>
      <c r="D2701" t="str">
        <f t="shared" si="1338"/>
        <v>3010</v>
      </c>
      <c r="E2701" t="str">
        <f t="shared" si="1341"/>
        <v>COM</v>
      </c>
      <c r="F2701" t="str">
        <f t="shared" si="1339"/>
        <v>FARMÁCIA INDIANA LJ 1 (10126)</v>
      </c>
      <c r="G2701" t="str">
        <f t="shared" si="1340"/>
        <v>Serv.Prest. 12/05/2025 a 18/05/2025 - RPS: 780 - NFSe: 3010</v>
      </c>
      <c r="H2701" t="str">
        <f t="shared" si="1344"/>
        <v>28/05/2025</v>
      </c>
      <c r="I2701" t="str">
        <f t="shared" si="1345"/>
        <v>20/05/2025</v>
      </c>
      <c r="J2701" t="str">
        <f t="shared" si="1346"/>
        <v>28/05/2025</v>
      </c>
      <c r="M2701">
        <v>303</v>
      </c>
      <c r="N2701" t="str">
        <f t="shared" si="1347"/>
        <v>RECEITAS COM ENTREGAS</v>
      </c>
      <c r="P2701">
        <v>123.59</v>
      </c>
      <c r="Q2701" t="str">
        <f>"FARMÁCIA INDIANA LJ 175 (10076)"</f>
        <v>FARMÁCIA INDIANA LJ 175 (10076)</v>
      </c>
      <c r="R2701" t="str">
        <f t="shared" si="1348"/>
        <v>RECEITAS COM ENTREGAS (303)</v>
      </c>
      <c r="S2701">
        <v>1576</v>
      </c>
      <c r="T2701">
        <v>1217</v>
      </c>
      <c r="U2701" t="s">
        <v>19</v>
      </c>
    </row>
    <row r="2702" spans="1:21">
      <c r="A2702" t="str">
        <f t="shared" si="1342"/>
        <v>28/05/2025</v>
      </c>
      <c r="B2702" t="str">
        <f t="shared" si="1334"/>
        <v>ENTRADA</v>
      </c>
      <c r="C2702" t="str">
        <f t="shared" si="1343"/>
        <v>NFSE</v>
      </c>
      <c r="D2702" t="str">
        <f t="shared" si="1338"/>
        <v>3010</v>
      </c>
      <c r="E2702" t="str">
        <f t="shared" si="1341"/>
        <v>COM</v>
      </c>
      <c r="F2702" t="str">
        <f t="shared" si="1339"/>
        <v>FARMÁCIA INDIANA LJ 1 (10126)</v>
      </c>
      <c r="G2702" t="str">
        <f t="shared" si="1340"/>
        <v>Serv.Prest. 12/05/2025 a 18/05/2025 - RPS: 780 - NFSe: 3010</v>
      </c>
      <c r="H2702" t="str">
        <f t="shared" si="1344"/>
        <v>28/05/2025</v>
      </c>
      <c r="I2702" t="str">
        <f t="shared" si="1345"/>
        <v>20/05/2025</v>
      </c>
      <c r="J2702" t="str">
        <f t="shared" si="1346"/>
        <v>28/05/2025</v>
      </c>
      <c r="M2702">
        <v>303</v>
      </c>
      <c r="N2702" t="str">
        <f t="shared" si="1347"/>
        <v>RECEITAS COM ENTREGAS</v>
      </c>
      <c r="P2702">
        <v>110.16</v>
      </c>
      <c r="Q2702" t="str">
        <f>"FARMÁCIA INDIANA LJ 178 (10077)"</f>
        <v>FARMÁCIA INDIANA LJ 178 (10077)</v>
      </c>
      <c r="R2702" t="str">
        <f t="shared" si="1348"/>
        <v>RECEITAS COM ENTREGAS (303)</v>
      </c>
      <c r="S2702">
        <v>1576</v>
      </c>
      <c r="T2702">
        <v>1217</v>
      </c>
      <c r="U2702" t="s">
        <v>19</v>
      </c>
    </row>
    <row r="2703" spans="1:21">
      <c r="A2703" t="str">
        <f t="shared" si="1342"/>
        <v>28/05/2025</v>
      </c>
      <c r="B2703" t="str">
        <f t="shared" si="1334"/>
        <v>ENTRADA</v>
      </c>
      <c r="C2703" t="str">
        <f t="shared" si="1343"/>
        <v>NFSE</v>
      </c>
      <c r="D2703" t="str">
        <f t="shared" si="1338"/>
        <v>3010</v>
      </c>
      <c r="E2703" t="str">
        <f t="shared" si="1341"/>
        <v>COM</v>
      </c>
      <c r="F2703" t="str">
        <f t="shared" si="1339"/>
        <v>FARMÁCIA INDIANA LJ 1 (10126)</v>
      </c>
      <c r="G2703" t="str">
        <f t="shared" si="1340"/>
        <v>Serv.Prest. 12/05/2025 a 18/05/2025 - RPS: 780 - NFSe: 3010</v>
      </c>
      <c r="H2703" t="str">
        <f t="shared" si="1344"/>
        <v>28/05/2025</v>
      </c>
      <c r="I2703" t="str">
        <f t="shared" si="1345"/>
        <v>20/05/2025</v>
      </c>
      <c r="J2703" t="str">
        <f t="shared" si="1346"/>
        <v>28/05/2025</v>
      </c>
      <c r="M2703">
        <v>303</v>
      </c>
      <c r="N2703" t="str">
        <f t="shared" si="1347"/>
        <v>RECEITAS COM ENTREGAS</v>
      </c>
      <c r="P2703">
        <v>75.23</v>
      </c>
      <c r="Q2703" t="str">
        <f>"FARMÁCIA INDIANA LJ 182 (10079)"</f>
        <v>FARMÁCIA INDIANA LJ 182 (10079)</v>
      </c>
      <c r="R2703" t="str">
        <f t="shared" si="1348"/>
        <v>RECEITAS COM ENTREGAS (303)</v>
      </c>
      <c r="S2703">
        <v>1576</v>
      </c>
      <c r="T2703">
        <v>1217</v>
      </c>
      <c r="U2703" t="s">
        <v>19</v>
      </c>
    </row>
    <row r="2704" spans="1:21">
      <c r="A2704" t="str">
        <f t="shared" si="1342"/>
        <v>28/05/2025</v>
      </c>
      <c r="B2704" t="str">
        <f t="shared" si="1334"/>
        <v>ENTRADA</v>
      </c>
      <c r="C2704" t="str">
        <f t="shared" si="1343"/>
        <v>NFSE</v>
      </c>
      <c r="D2704" t="str">
        <f t="shared" si="1338"/>
        <v>3010</v>
      </c>
      <c r="E2704" t="str">
        <f t="shared" si="1341"/>
        <v>COM</v>
      </c>
      <c r="F2704" t="str">
        <f t="shared" si="1339"/>
        <v>FARMÁCIA INDIANA LJ 1 (10126)</v>
      </c>
      <c r="G2704" t="str">
        <f t="shared" si="1340"/>
        <v>Serv.Prest. 12/05/2025 a 18/05/2025 - RPS: 780 - NFSe: 3010</v>
      </c>
      <c r="H2704" t="str">
        <f t="shared" si="1344"/>
        <v>28/05/2025</v>
      </c>
      <c r="I2704" t="str">
        <f t="shared" si="1345"/>
        <v>20/05/2025</v>
      </c>
      <c r="J2704" t="str">
        <f t="shared" si="1346"/>
        <v>28/05/2025</v>
      </c>
      <c r="M2704">
        <v>303</v>
      </c>
      <c r="N2704" t="str">
        <f t="shared" si="1347"/>
        <v>RECEITAS COM ENTREGAS</v>
      </c>
      <c r="P2704">
        <v>40.299999999999997</v>
      </c>
      <c r="Q2704" t="str">
        <f>"FARMÁCIA INDIANA LJ 184 (10080)"</f>
        <v>FARMÁCIA INDIANA LJ 184 (10080)</v>
      </c>
      <c r="R2704" t="str">
        <f t="shared" si="1348"/>
        <v>RECEITAS COM ENTREGAS (303)</v>
      </c>
      <c r="S2704">
        <v>1576</v>
      </c>
      <c r="T2704">
        <v>1217</v>
      </c>
      <c r="U2704" t="s">
        <v>19</v>
      </c>
    </row>
    <row r="2705" spans="1:21">
      <c r="A2705" t="str">
        <f t="shared" si="1342"/>
        <v>28/05/2025</v>
      </c>
      <c r="B2705" t="str">
        <f t="shared" si="1334"/>
        <v>ENTRADA</v>
      </c>
      <c r="C2705" t="str">
        <f t="shared" si="1343"/>
        <v>NFSE</v>
      </c>
      <c r="D2705" t="str">
        <f t="shared" si="1338"/>
        <v>3010</v>
      </c>
      <c r="E2705" t="str">
        <f t="shared" si="1341"/>
        <v>COM</v>
      </c>
      <c r="F2705" t="str">
        <f t="shared" si="1339"/>
        <v>FARMÁCIA INDIANA LJ 1 (10126)</v>
      </c>
      <c r="G2705" t="str">
        <f t="shared" si="1340"/>
        <v>Serv.Prest. 12/05/2025 a 18/05/2025 - RPS: 780 - NFSe: 3010</v>
      </c>
      <c r="H2705" t="str">
        <f t="shared" si="1344"/>
        <v>28/05/2025</v>
      </c>
      <c r="I2705" t="str">
        <f t="shared" si="1345"/>
        <v>20/05/2025</v>
      </c>
      <c r="J2705" t="str">
        <f t="shared" si="1346"/>
        <v>28/05/2025</v>
      </c>
      <c r="M2705">
        <v>303</v>
      </c>
      <c r="N2705" t="str">
        <f t="shared" si="1347"/>
        <v>RECEITAS COM ENTREGAS</v>
      </c>
      <c r="P2705">
        <v>75.23</v>
      </c>
      <c r="Q2705" t="str">
        <f>"FARMÁCIA INDIANA LJ 186 (10081)"</f>
        <v>FARMÁCIA INDIANA LJ 186 (10081)</v>
      </c>
      <c r="R2705" t="str">
        <f t="shared" si="1348"/>
        <v>RECEITAS COM ENTREGAS (303)</v>
      </c>
      <c r="S2705">
        <v>1576</v>
      </c>
      <c r="T2705">
        <v>1217</v>
      </c>
      <c r="U2705" t="s">
        <v>19</v>
      </c>
    </row>
    <row r="2706" spans="1:21">
      <c r="A2706" t="str">
        <f t="shared" si="1342"/>
        <v>28/05/2025</v>
      </c>
      <c r="B2706" t="str">
        <f t="shared" si="1334"/>
        <v>ENTRADA</v>
      </c>
      <c r="C2706" t="str">
        <f t="shared" si="1343"/>
        <v>NFSE</v>
      </c>
      <c r="D2706" t="str">
        <f t="shared" si="1338"/>
        <v>3010</v>
      </c>
      <c r="E2706" t="str">
        <f t="shared" si="1341"/>
        <v>COM</v>
      </c>
      <c r="F2706" t="str">
        <f t="shared" si="1339"/>
        <v>FARMÁCIA INDIANA LJ 1 (10126)</v>
      </c>
      <c r="G2706" t="str">
        <f t="shared" si="1340"/>
        <v>Serv.Prest. 12/05/2025 a 18/05/2025 - RPS: 780 - NFSe: 3010</v>
      </c>
      <c r="H2706" t="str">
        <f t="shared" si="1344"/>
        <v>28/05/2025</v>
      </c>
      <c r="I2706" t="str">
        <f t="shared" si="1345"/>
        <v>20/05/2025</v>
      </c>
      <c r="J2706" t="str">
        <f t="shared" si="1346"/>
        <v>28/05/2025</v>
      </c>
      <c r="M2706">
        <v>303</v>
      </c>
      <c r="N2706" t="str">
        <f t="shared" si="1347"/>
        <v>RECEITAS COM ENTREGAS</v>
      </c>
      <c r="P2706">
        <v>38.96</v>
      </c>
      <c r="Q2706" t="str">
        <f>"FARMÁCIA INDIANA LJ 192 (10082)"</f>
        <v>FARMÁCIA INDIANA LJ 192 (10082)</v>
      </c>
      <c r="R2706" t="str">
        <f t="shared" si="1348"/>
        <v>RECEITAS COM ENTREGAS (303)</v>
      </c>
      <c r="S2706">
        <v>1576</v>
      </c>
      <c r="T2706">
        <v>1217</v>
      </c>
      <c r="U2706" t="s">
        <v>19</v>
      </c>
    </row>
    <row r="2707" spans="1:21">
      <c r="A2707" t="str">
        <f t="shared" si="1342"/>
        <v>28/05/2025</v>
      </c>
      <c r="B2707" t="str">
        <f t="shared" si="1334"/>
        <v>ENTRADA</v>
      </c>
      <c r="C2707" t="str">
        <f t="shared" si="1343"/>
        <v>NFSE</v>
      </c>
      <c r="D2707" t="str">
        <f t="shared" si="1338"/>
        <v>3010</v>
      </c>
      <c r="E2707" t="str">
        <f t="shared" si="1341"/>
        <v>COM</v>
      </c>
      <c r="F2707" t="str">
        <f t="shared" si="1339"/>
        <v>FARMÁCIA INDIANA LJ 1 (10126)</v>
      </c>
      <c r="G2707" t="str">
        <f t="shared" si="1340"/>
        <v>Serv.Prest. 12/05/2025 a 18/05/2025 - RPS: 780 - NFSe: 3010</v>
      </c>
      <c r="H2707" t="str">
        <f t="shared" si="1344"/>
        <v>28/05/2025</v>
      </c>
      <c r="I2707" t="str">
        <f t="shared" si="1345"/>
        <v>20/05/2025</v>
      </c>
      <c r="J2707" t="str">
        <f t="shared" si="1346"/>
        <v>28/05/2025</v>
      </c>
      <c r="M2707">
        <v>303</v>
      </c>
      <c r="N2707" t="str">
        <f t="shared" si="1347"/>
        <v>RECEITAS COM ENTREGAS</v>
      </c>
      <c r="P2707">
        <v>40.299999999999997</v>
      </c>
      <c r="Q2707" t="str">
        <f>"FARMÁCIA INDIANA LJ 195 (10083)"</f>
        <v>FARMÁCIA INDIANA LJ 195 (10083)</v>
      </c>
      <c r="R2707" t="str">
        <f t="shared" si="1348"/>
        <v>RECEITAS COM ENTREGAS (303)</v>
      </c>
      <c r="S2707">
        <v>1576</v>
      </c>
      <c r="T2707">
        <v>1217</v>
      </c>
      <c r="U2707" t="s">
        <v>19</v>
      </c>
    </row>
    <row r="2708" spans="1:21">
      <c r="A2708" t="str">
        <f t="shared" si="1342"/>
        <v>28/05/2025</v>
      </c>
      <c r="B2708" t="str">
        <f t="shared" si="1334"/>
        <v>ENTRADA</v>
      </c>
      <c r="C2708" t="str">
        <f t="shared" si="1343"/>
        <v>NFSE</v>
      </c>
      <c r="D2708" t="str">
        <f t="shared" si="1338"/>
        <v>3010</v>
      </c>
      <c r="E2708" t="str">
        <f t="shared" si="1341"/>
        <v>COM</v>
      </c>
      <c r="F2708" t="str">
        <f t="shared" si="1339"/>
        <v>FARMÁCIA INDIANA LJ 1 (10126)</v>
      </c>
      <c r="G2708" t="str">
        <f t="shared" si="1340"/>
        <v>Serv.Prest. 12/05/2025 a 18/05/2025 - RPS: 780 - NFSe: 3010</v>
      </c>
      <c r="H2708" t="str">
        <f t="shared" si="1344"/>
        <v>28/05/2025</v>
      </c>
      <c r="I2708" t="str">
        <f t="shared" si="1345"/>
        <v>20/05/2025</v>
      </c>
      <c r="J2708" t="str">
        <f t="shared" si="1346"/>
        <v>28/05/2025</v>
      </c>
      <c r="M2708">
        <v>303</v>
      </c>
      <c r="N2708" t="str">
        <f t="shared" si="1347"/>
        <v>RECEITAS COM ENTREGAS</v>
      </c>
      <c r="P2708">
        <v>149.12</v>
      </c>
      <c r="Q2708" t="str">
        <f>"FARMÁCIA INDIANA LJ 202 (10085)"</f>
        <v>FARMÁCIA INDIANA LJ 202 (10085)</v>
      </c>
      <c r="R2708" t="str">
        <f t="shared" si="1348"/>
        <v>RECEITAS COM ENTREGAS (303)</v>
      </c>
      <c r="S2708">
        <v>1576</v>
      </c>
      <c r="T2708">
        <v>1217</v>
      </c>
      <c r="U2708" t="s">
        <v>19</v>
      </c>
    </row>
    <row r="2709" spans="1:21">
      <c r="A2709" t="str">
        <f t="shared" si="1342"/>
        <v>28/05/2025</v>
      </c>
      <c r="B2709" t="str">
        <f t="shared" si="1334"/>
        <v>ENTRADA</v>
      </c>
      <c r="C2709" t="str">
        <f t="shared" si="1343"/>
        <v>NFSE</v>
      </c>
      <c r="D2709" t="str">
        <f t="shared" si="1338"/>
        <v>3010</v>
      </c>
      <c r="E2709" t="str">
        <f t="shared" ref="E2709:E2733" si="1349">"COM"</f>
        <v>COM</v>
      </c>
      <c r="F2709" t="str">
        <f t="shared" si="1339"/>
        <v>FARMÁCIA INDIANA LJ 1 (10126)</v>
      </c>
      <c r="G2709" t="str">
        <f t="shared" si="1340"/>
        <v>Serv.Prest. 12/05/2025 a 18/05/2025 - RPS: 780 - NFSe: 3010</v>
      </c>
      <c r="H2709" t="str">
        <f t="shared" si="1344"/>
        <v>28/05/2025</v>
      </c>
      <c r="I2709" t="str">
        <f t="shared" si="1345"/>
        <v>20/05/2025</v>
      </c>
      <c r="J2709" t="str">
        <f t="shared" si="1346"/>
        <v>28/05/2025</v>
      </c>
      <c r="M2709">
        <v>303</v>
      </c>
      <c r="N2709" t="str">
        <f t="shared" si="1347"/>
        <v>RECEITAS COM ENTREGAS</v>
      </c>
      <c r="P2709">
        <v>106.13</v>
      </c>
      <c r="Q2709" t="str">
        <f>"FARMÁCIA INDIANA LJ 204 (10087)"</f>
        <v>FARMÁCIA INDIANA LJ 204 (10087)</v>
      </c>
      <c r="R2709" t="str">
        <f t="shared" si="1348"/>
        <v>RECEITAS COM ENTREGAS (303)</v>
      </c>
      <c r="S2709">
        <v>1576</v>
      </c>
      <c r="T2709">
        <v>1217</v>
      </c>
      <c r="U2709" t="s">
        <v>19</v>
      </c>
    </row>
    <row r="2710" spans="1:21">
      <c r="A2710" t="str">
        <f t="shared" si="1342"/>
        <v>28/05/2025</v>
      </c>
      <c r="B2710" t="str">
        <f t="shared" si="1334"/>
        <v>ENTRADA</v>
      </c>
      <c r="C2710" t="str">
        <f t="shared" si="1343"/>
        <v>NFSE</v>
      </c>
      <c r="D2710" t="str">
        <f t="shared" si="1338"/>
        <v>3010</v>
      </c>
      <c r="E2710" t="str">
        <f t="shared" si="1349"/>
        <v>COM</v>
      </c>
      <c r="F2710" t="str">
        <f t="shared" si="1339"/>
        <v>FARMÁCIA INDIANA LJ 1 (10126)</v>
      </c>
      <c r="G2710" t="str">
        <f t="shared" si="1340"/>
        <v>Serv.Prest. 12/05/2025 a 18/05/2025 - RPS: 780 - NFSe: 3010</v>
      </c>
      <c r="H2710" t="str">
        <f t="shared" si="1344"/>
        <v>28/05/2025</v>
      </c>
      <c r="I2710" t="str">
        <f t="shared" si="1345"/>
        <v>20/05/2025</v>
      </c>
      <c r="J2710" t="str">
        <f t="shared" si="1346"/>
        <v>28/05/2025</v>
      </c>
      <c r="M2710">
        <v>303</v>
      </c>
      <c r="N2710" t="str">
        <f t="shared" si="1347"/>
        <v>RECEITAS COM ENTREGAS</v>
      </c>
      <c r="P2710">
        <v>106.13</v>
      </c>
      <c r="Q2710" t="str">
        <f>"FARMÁCIA INDIANA LJ 207 (10088)"</f>
        <v>FARMÁCIA INDIANA LJ 207 (10088)</v>
      </c>
      <c r="R2710" t="str">
        <f t="shared" si="1348"/>
        <v>RECEITAS COM ENTREGAS (303)</v>
      </c>
      <c r="S2710">
        <v>1576</v>
      </c>
      <c r="T2710">
        <v>1217</v>
      </c>
      <c r="U2710" t="s">
        <v>19</v>
      </c>
    </row>
    <row r="2711" spans="1:21">
      <c r="A2711" t="str">
        <f t="shared" si="1342"/>
        <v>28/05/2025</v>
      </c>
      <c r="B2711" t="str">
        <f t="shared" si="1334"/>
        <v>ENTRADA</v>
      </c>
      <c r="C2711" t="str">
        <f t="shared" si="1343"/>
        <v>NFSE</v>
      </c>
      <c r="D2711" t="str">
        <f t="shared" si="1338"/>
        <v>3010</v>
      </c>
      <c r="E2711" t="str">
        <f t="shared" si="1349"/>
        <v>COM</v>
      </c>
      <c r="F2711" t="str">
        <f t="shared" si="1339"/>
        <v>FARMÁCIA INDIANA LJ 1 (10126)</v>
      </c>
      <c r="G2711" t="str">
        <f t="shared" si="1340"/>
        <v>Serv.Prest. 12/05/2025 a 18/05/2025 - RPS: 780 - NFSe: 3010</v>
      </c>
      <c r="H2711" t="str">
        <f t="shared" si="1344"/>
        <v>28/05/2025</v>
      </c>
      <c r="I2711" t="str">
        <f t="shared" si="1345"/>
        <v>20/05/2025</v>
      </c>
      <c r="J2711" t="str">
        <f t="shared" si="1346"/>
        <v>28/05/2025</v>
      </c>
      <c r="M2711">
        <v>303</v>
      </c>
      <c r="N2711" t="str">
        <f t="shared" si="1347"/>
        <v>RECEITAS COM ENTREGAS</v>
      </c>
      <c r="P2711">
        <v>124.94</v>
      </c>
      <c r="Q2711" t="str">
        <f>"FARMÁCIA INDIANA LJ 209 (10089)"</f>
        <v>FARMÁCIA INDIANA LJ 209 (10089)</v>
      </c>
      <c r="R2711" t="str">
        <f t="shared" si="1348"/>
        <v>RECEITAS COM ENTREGAS (303)</v>
      </c>
      <c r="S2711">
        <v>1576</v>
      </c>
      <c r="T2711">
        <v>1217</v>
      </c>
      <c r="U2711" t="s">
        <v>19</v>
      </c>
    </row>
    <row r="2712" spans="1:21">
      <c r="A2712" t="str">
        <f t="shared" si="1342"/>
        <v>28/05/2025</v>
      </c>
      <c r="B2712" t="str">
        <f t="shared" si="1334"/>
        <v>ENTRADA</v>
      </c>
      <c r="C2712" t="str">
        <f t="shared" si="1343"/>
        <v>NFSE</v>
      </c>
      <c r="D2712" t="str">
        <f t="shared" si="1338"/>
        <v>3010</v>
      </c>
      <c r="E2712" t="str">
        <f t="shared" si="1349"/>
        <v>COM</v>
      </c>
      <c r="F2712" t="str">
        <f t="shared" si="1339"/>
        <v>FARMÁCIA INDIANA LJ 1 (10126)</v>
      </c>
      <c r="G2712" t="str">
        <f t="shared" si="1340"/>
        <v>Serv.Prest. 12/05/2025 a 18/05/2025 - RPS: 780 - NFSe: 3010</v>
      </c>
      <c r="H2712" t="str">
        <f t="shared" si="1344"/>
        <v>28/05/2025</v>
      </c>
      <c r="I2712" t="str">
        <f t="shared" si="1345"/>
        <v>20/05/2025</v>
      </c>
      <c r="J2712" t="str">
        <f t="shared" si="1346"/>
        <v>28/05/2025</v>
      </c>
      <c r="M2712">
        <v>303</v>
      </c>
      <c r="N2712" t="str">
        <f t="shared" si="1347"/>
        <v>RECEITAS COM ENTREGAS</v>
      </c>
      <c r="P2712">
        <v>208.23</v>
      </c>
      <c r="Q2712" t="str">
        <f>"FARMÁCIA INDIANA LJ 219 (10091)"</f>
        <v>FARMÁCIA INDIANA LJ 219 (10091)</v>
      </c>
      <c r="R2712" t="str">
        <f t="shared" si="1348"/>
        <v>RECEITAS COM ENTREGAS (303)</v>
      </c>
      <c r="S2712">
        <v>1576</v>
      </c>
      <c r="T2712">
        <v>1217</v>
      </c>
      <c r="U2712" t="s">
        <v>19</v>
      </c>
    </row>
    <row r="2713" spans="1:21">
      <c r="A2713" t="str">
        <f t="shared" ref="A2713:A2743" si="1350">("28/05/2025")</f>
        <v>28/05/2025</v>
      </c>
      <c r="B2713" t="str">
        <f t="shared" si="1334"/>
        <v>ENTRADA</v>
      </c>
      <c r="C2713" t="str">
        <f t="shared" ref="C2713:C2733" si="1351">"NFSE"</f>
        <v>NFSE</v>
      </c>
      <c r="D2713" t="str">
        <f t="shared" si="1338"/>
        <v>3010</v>
      </c>
      <c r="E2713" t="str">
        <f t="shared" si="1349"/>
        <v>COM</v>
      </c>
      <c r="F2713" t="str">
        <f t="shared" si="1339"/>
        <v>FARMÁCIA INDIANA LJ 1 (10126)</v>
      </c>
      <c r="G2713" t="str">
        <f t="shared" si="1340"/>
        <v>Serv.Prest. 12/05/2025 a 18/05/2025 - RPS: 780 - NFSe: 3010</v>
      </c>
      <c r="H2713" t="str">
        <f t="shared" ref="H2713:H2741" si="1352">("28/05/2025")</f>
        <v>28/05/2025</v>
      </c>
      <c r="I2713" t="str">
        <f t="shared" si="1345"/>
        <v>20/05/2025</v>
      </c>
      <c r="J2713" t="str">
        <f t="shared" ref="J2713:J2743" si="1353">("28/05/2025")</f>
        <v>28/05/2025</v>
      </c>
      <c r="M2713">
        <v>303</v>
      </c>
      <c r="N2713" t="str">
        <f t="shared" ref="N2713:N2733" si="1354">"RECEITAS COM ENTREGAS"</f>
        <v>RECEITAS COM ENTREGAS</v>
      </c>
      <c r="P2713">
        <v>205.54</v>
      </c>
      <c r="Q2713" t="str">
        <f>"FARMÁCIA INDIANA LJ 220 (10092)"</f>
        <v>FARMÁCIA INDIANA LJ 220 (10092)</v>
      </c>
      <c r="R2713" t="str">
        <f t="shared" ref="R2713:R2733" si="1355">"RECEITAS COM ENTREGAS (303)"</f>
        <v>RECEITAS COM ENTREGAS (303)</v>
      </c>
      <c r="S2713">
        <v>1576</v>
      </c>
      <c r="T2713">
        <v>1217</v>
      </c>
      <c r="U2713" t="s">
        <v>19</v>
      </c>
    </row>
    <row r="2714" spans="1:21">
      <c r="A2714" t="str">
        <f t="shared" si="1350"/>
        <v>28/05/2025</v>
      </c>
      <c r="B2714" t="str">
        <f t="shared" ref="B2714:B2733" si="1356">"ENTRADA"</f>
        <v>ENTRADA</v>
      </c>
      <c r="C2714" t="str">
        <f t="shared" si="1351"/>
        <v>NFSE</v>
      </c>
      <c r="D2714" t="str">
        <f t="shared" si="1338"/>
        <v>3010</v>
      </c>
      <c r="E2714" t="str">
        <f t="shared" si="1349"/>
        <v>COM</v>
      </c>
      <c r="F2714" t="str">
        <f t="shared" si="1339"/>
        <v>FARMÁCIA INDIANA LJ 1 (10126)</v>
      </c>
      <c r="G2714" t="str">
        <f t="shared" si="1340"/>
        <v>Serv.Prest. 12/05/2025 a 18/05/2025 - RPS: 780 - NFSe: 3010</v>
      </c>
      <c r="H2714" t="str">
        <f t="shared" si="1352"/>
        <v>28/05/2025</v>
      </c>
      <c r="I2714" t="str">
        <f t="shared" si="1345"/>
        <v>20/05/2025</v>
      </c>
      <c r="J2714" t="str">
        <f t="shared" si="1353"/>
        <v>28/05/2025</v>
      </c>
      <c r="M2714">
        <v>303</v>
      </c>
      <c r="N2714" t="str">
        <f t="shared" si="1354"/>
        <v>RECEITAS COM ENTREGAS</v>
      </c>
      <c r="P2714">
        <v>171.95</v>
      </c>
      <c r="Q2714" t="str">
        <f>"FARMÁCIA INDIANA LJ 185 (10141)"</f>
        <v>FARMÁCIA INDIANA LJ 185 (10141)</v>
      </c>
      <c r="R2714" t="str">
        <f t="shared" si="1355"/>
        <v>RECEITAS COM ENTREGAS (303)</v>
      </c>
      <c r="S2714">
        <v>1576</v>
      </c>
      <c r="T2714">
        <v>1217</v>
      </c>
      <c r="U2714" t="s">
        <v>19</v>
      </c>
    </row>
    <row r="2715" spans="1:21">
      <c r="A2715" t="str">
        <f t="shared" si="1350"/>
        <v>28/05/2025</v>
      </c>
      <c r="B2715" t="str">
        <f t="shared" si="1356"/>
        <v>ENTRADA</v>
      </c>
      <c r="C2715" t="str">
        <f t="shared" si="1351"/>
        <v>NFSE</v>
      </c>
      <c r="D2715" t="str">
        <f t="shared" si="1338"/>
        <v>3010</v>
      </c>
      <c r="E2715" t="str">
        <f t="shared" si="1349"/>
        <v>COM</v>
      </c>
      <c r="F2715" t="str">
        <f t="shared" si="1339"/>
        <v>FARMÁCIA INDIANA LJ 1 (10126)</v>
      </c>
      <c r="G2715" t="str">
        <f t="shared" si="1340"/>
        <v>Serv.Prest. 12/05/2025 a 18/05/2025 - RPS: 780 - NFSe: 3010</v>
      </c>
      <c r="H2715" t="str">
        <f t="shared" si="1352"/>
        <v>28/05/2025</v>
      </c>
      <c r="I2715" t="str">
        <f t="shared" si="1345"/>
        <v>20/05/2025</v>
      </c>
      <c r="J2715" t="str">
        <f t="shared" si="1353"/>
        <v>28/05/2025</v>
      </c>
      <c r="M2715">
        <v>303</v>
      </c>
      <c r="N2715" t="str">
        <f t="shared" si="1354"/>
        <v>RECEITAS COM ENTREGAS</v>
      </c>
      <c r="P2715">
        <v>624.67999999999995</v>
      </c>
      <c r="Q2715" t="str">
        <f>"FARMÁCIA INDIANA LJ 172 (10161)"</f>
        <v>FARMÁCIA INDIANA LJ 172 (10161)</v>
      </c>
      <c r="R2715" t="str">
        <f t="shared" si="1355"/>
        <v>RECEITAS COM ENTREGAS (303)</v>
      </c>
      <c r="S2715">
        <v>1576</v>
      </c>
      <c r="T2715">
        <v>1217</v>
      </c>
      <c r="U2715" t="s">
        <v>19</v>
      </c>
    </row>
    <row r="2716" spans="1:21">
      <c r="A2716" t="str">
        <f t="shared" si="1350"/>
        <v>28/05/2025</v>
      </c>
      <c r="B2716" t="str">
        <f t="shared" si="1356"/>
        <v>ENTRADA</v>
      </c>
      <c r="C2716" t="str">
        <f t="shared" si="1351"/>
        <v>NFSE</v>
      </c>
      <c r="D2716" t="str">
        <f>"3023"</f>
        <v>3023</v>
      </c>
      <c r="E2716" t="str">
        <f t="shared" si="1349"/>
        <v>COM</v>
      </c>
      <c r="F2716" t="str">
        <f>"DROGARIA AGAPEAMA (10167)"</f>
        <v>DROGARIA AGAPEAMA (10167)</v>
      </c>
      <c r="G2716" t="str">
        <f>"Serv.Prest. 19/05/2025 a 25/05/2025 - RPS: 793 - NFSe: 3023"</f>
        <v>Serv.Prest. 19/05/2025 a 25/05/2025 - RPS: 793 - NFSe: 3023</v>
      </c>
      <c r="H2716" t="str">
        <f t="shared" si="1352"/>
        <v>28/05/2025</v>
      </c>
      <c r="I2716" t="str">
        <f t="shared" ref="I2716:I2727" si="1357">("26/05/2025")</f>
        <v>26/05/2025</v>
      </c>
      <c r="J2716" t="str">
        <f t="shared" si="1353"/>
        <v>28/05/2025</v>
      </c>
      <c r="K2716">
        <v>614.4</v>
      </c>
      <c r="L2716">
        <v>614.4</v>
      </c>
      <c r="M2716">
        <v>303</v>
      </c>
      <c r="N2716" t="str">
        <f t="shared" si="1354"/>
        <v>RECEITAS COM ENTREGAS</v>
      </c>
      <c r="O2716">
        <v>614.4</v>
      </c>
      <c r="R2716" t="str">
        <f t="shared" si="1355"/>
        <v>RECEITAS COM ENTREGAS (303)</v>
      </c>
      <c r="S2716">
        <v>1577</v>
      </c>
      <c r="T2716">
        <v>1230</v>
      </c>
      <c r="U2716" t="s">
        <v>19</v>
      </c>
    </row>
    <row r="2717" spans="1:21">
      <c r="A2717" t="str">
        <f t="shared" si="1350"/>
        <v>28/05/2025</v>
      </c>
      <c r="B2717" t="str">
        <f t="shared" si="1356"/>
        <v>ENTRADA</v>
      </c>
      <c r="C2717" t="str">
        <f t="shared" si="1351"/>
        <v>NFSE</v>
      </c>
      <c r="D2717" t="str">
        <f>"3023"</f>
        <v>3023</v>
      </c>
      <c r="E2717" t="str">
        <f t="shared" si="1349"/>
        <v>COM</v>
      </c>
      <c r="F2717" t="str">
        <f>"DROGARIA AGAPEAMA (10167)"</f>
        <v>DROGARIA AGAPEAMA (10167)</v>
      </c>
      <c r="G2717" t="str">
        <f>"Serv.Prest. 19/05/2025 a 25/05/2025 - RPS: 793 - NFSe: 3023"</f>
        <v>Serv.Prest. 19/05/2025 a 25/05/2025 - RPS: 793 - NFSe: 3023</v>
      </c>
      <c r="H2717" t="str">
        <f t="shared" si="1352"/>
        <v>28/05/2025</v>
      </c>
      <c r="I2717" t="str">
        <f t="shared" si="1357"/>
        <v>26/05/2025</v>
      </c>
      <c r="J2717" t="str">
        <f t="shared" si="1353"/>
        <v>28/05/2025</v>
      </c>
      <c r="M2717">
        <v>303</v>
      </c>
      <c r="N2717" t="str">
        <f t="shared" si="1354"/>
        <v>RECEITAS COM ENTREGAS</v>
      </c>
      <c r="P2717">
        <v>614.4</v>
      </c>
      <c r="Q2717" t="str">
        <f>"DROGARIA AGAPEAMA (10167)"</f>
        <v>DROGARIA AGAPEAMA (10167)</v>
      </c>
      <c r="R2717" t="str">
        <f t="shared" si="1355"/>
        <v>RECEITAS COM ENTREGAS (303)</v>
      </c>
      <c r="S2717">
        <v>1577</v>
      </c>
      <c r="T2717">
        <v>1230</v>
      </c>
      <c r="U2717" t="s">
        <v>19</v>
      </c>
    </row>
    <row r="2718" spans="1:21">
      <c r="A2718" t="str">
        <f t="shared" si="1350"/>
        <v>28/05/2025</v>
      </c>
      <c r="B2718" t="str">
        <f t="shared" si="1356"/>
        <v>ENTRADA</v>
      </c>
      <c r="C2718" t="str">
        <f t="shared" si="1351"/>
        <v>NFSE</v>
      </c>
      <c r="D2718" t="str">
        <f>"3024"</f>
        <v>3024</v>
      </c>
      <c r="E2718" t="str">
        <f t="shared" si="1349"/>
        <v>COM</v>
      </c>
      <c r="F2718" t="str">
        <f>"DROGARIA MEDALHA (10163)"</f>
        <v>DROGARIA MEDALHA (10163)</v>
      </c>
      <c r="G2718" t="str">
        <f>"Serv.Prest. 19/05/2025 a 25/05/2025 - RPS: 794 - NFSe: 3024"</f>
        <v>Serv.Prest. 19/05/2025 a 25/05/2025 - RPS: 794 - NFSe: 3024</v>
      </c>
      <c r="H2718" t="str">
        <f t="shared" si="1352"/>
        <v>28/05/2025</v>
      </c>
      <c r="I2718" t="str">
        <f t="shared" si="1357"/>
        <v>26/05/2025</v>
      </c>
      <c r="J2718" t="str">
        <f t="shared" si="1353"/>
        <v>28/05/2025</v>
      </c>
      <c r="K2718">
        <v>160.43</v>
      </c>
      <c r="L2718">
        <v>160.43</v>
      </c>
      <c r="M2718">
        <v>303</v>
      </c>
      <c r="N2718" t="str">
        <f t="shared" si="1354"/>
        <v>RECEITAS COM ENTREGAS</v>
      </c>
      <c r="O2718">
        <v>160.43</v>
      </c>
      <c r="R2718" t="str">
        <f t="shared" si="1355"/>
        <v>RECEITAS COM ENTREGAS (303)</v>
      </c>
      <c r="S2718">
        <v>1578</v>
      </c>
      <c r="T2718">
        <v>1231</v>
      </c>
      <c r="U2718" t="s">
        <v>19</v>
      </c>
    </row>
    <row r="2719" spans="1:21">
      <c r="A2719" t="str">
        <f t="shared" si="1350"/>
        <v>28/05/2025</v>
      </c>
      <c r="B2719" t="str">
        <f t="shared" si="1356"/>
        <v>ENTRADA</v>
      </c>
      <c r="C2719" t="str">
        <f t="shared" si="1351"/>
        <v>NFSE</v>
      </c>
      <c r="D2719" t="str">
        <f>"3024"</f>
        <v>3024</v>
      </c>
      <c r="E2719" t="str">
        <f t="shared" si="1349"/>
        <v>COM</v>
      </c>
      <c r="F2719" t="str">
        <f>"DROGARIA MEDALHA (10163)"</f>
        <v>DROGARIA MEDALHA (10163)</v>
      </c>
      <c r="G2719" t="str">
        <f>"Serv.Prest. 19/05/2025 a 25/05/2025 - RPS: 794 - NFSe: 3024"</f>
        <v>Serv.Prest. 19/05/2025 a 25/05/2025 - RPS: 794 - NFSe: 3024</v>
      </c>
      <c r="H2719" t="str">
        <f t="shared" si="1352"/>
        <v>28/05/2025</v>
      </c>
      <c r="I2719" t="str">
        <f t="shared" si="1357"/>
        <v>26/05/2025</v>
      </c>
      <c r="J2719" t="str">
        <f t="shared" si="1353"/>
        <v>28/05/2025</v>
      </c>
      <c r="M2719">
        <v>303</v>
      </c>
      <c r="N2719" t="str">
        <f t="shared" si="1354"/>
        <v>RECEITAS COM ENTREGAS</v>
      </c>
      <c r="P2719">
        <v>160.43</v>
      </c>
      <c r="Q2719" t="str">
        <f>"DROGARIA MEDALHA (10163)"</f>
        <v>DROGARIA MEDALHA (10163)</v>
      </c>
      <c r="R2719" t="str">
        <f t="shared" si="1355"/>
        <v>RECEITAS COM ENTREGAS (303)</v>
      </c>
      <c r="S2719">
        <v>1578</v>
      </c>
      <c r="T2719">
        <v>1231</v>
      </c>
      <c r="U2719" t="s">
        <v>19</v>
      </c>
    </row>
    <row r="2720" spans="1:21">
      <c r="A2720" t="str">
        <f t="shared" si="1350"/>
        <v>28/05/2025</v>
      </c>
      <c r="B2720" t="str">
        <f t="shared" si="1356"/>
        <v>ENTRADA</v>
      </c>
      <c r="C2720" t="str">
        <f t="shared" si="1351"/>
        <v>NFSE</v>
      </c>
      <c r="D2720" t="str">
        <f>"3026"</f>
        <v>3026</v>
      </c>
      <c r="E2720" t="str">
        <f t="shared" si="1349"/>
        <v>COM</v>
      </c>
      <c r="F2720" t="str">
        <f>"ENTREFARMA (10164)"</f>
        <v>ENTREFARMA (10164)</v>
      </c>
      <c r="G2720" t="str">
        <f>"Serv.Prest. 19/05/2025 a 25/05/2025 - RPS: 796 - NFSe: 3026"</f>
        <v>Serv.Prest. 19/05/2025 a 25/05/2025 - RPS: 796 - NFSe: 3026</v>
      </c>
      <c r="H2720" t="str">
        <f t="shared" si="1352"/>
        <v>28/05/2025</v>
      </c>
      <c r="I2720" t="str">
        <f t="shared" si="1357"/>
        <v>26/05/2025</v>
      </c>
      <c r="J2720" t="str">
        <f t="shared" si="1353"/>
        <v>28/05/2025</v>
      </c>
      <c r="K2720">
        <v>1126.08</v>
      </c>
      <c r="L2720">
        <v>1126.08</v>
      </c>
      <c r="M2720">
        <v>303</v>
      </c>
      <c r="N2720" t="str">
        <f t="shared" si="1354"/>
        <v>RECEITAS COM ENTREGAS</v>
      </c>
      <c r="O2720">
        <v>1126.08</v>
      </c>
      <c r="R2720" t="str">
        <f t="shared" si="1355"/>
        <v>RECEITAS COM ENTREGAS (303)</v>
      </c>
      <c r="S2720">
        <v>1579</v>
      </c>
      <c r="T2720">
        <v>1233</v>
      </c>
      <c r="U2720" t="s">
        <v>19</v>
      </c>
    </row>
    <row r="2721" spans="1:21">
      <c r="A2721" t="str">
        <f t="shared" si="1350"/>
        <v>28/05/2025</v>
      </c>
      <c r="B2721" t="str">
        <f t="shared" si="1356"/>
        <v>ENTRADA</v>
      </c>
      <c r="C2721" t="str">
        <f t="shared" si="1351"/>
        <v>NFSE</v>
      </c>
      <c r="D2721" t="str">
        <f>"3026"</f>
        <v>3026</v>
      </c>
      <c r="E2721" t="str">
        <f t="shared" si="1349"/>
        <v>COM</v>
      </c>
      <c r="F2721" t="str">
        <f>"ENTREFARMA (10164)"</f>
        <v>ENTREFARMA (10164)</v>
      </c>
      <c r="G2721" t="str">
        <f>"Serv.Prest. 19/05/2025 a 25/05/2025 - RPS: 796 - NFSe: 3026"</f>
        <v>Serv.Prest. 19/05/2025 a 25/05/2025 - RPS: 796 - NFSe: 3026</v>
      </c>
      <c r="H2721" t="str">
        <f t="shared" si="1352"/>
        <v>28/05/2025</v>
      </c>
      <c r="I2721" t="str">
        <f t="shared" si="1357"/>
        <v>26/05/2025</v>
      </c>
      <c r="J2721" t="str">
        <f t="shared" si="1353"/>
        <v>28/05/2025</v>
      </c>
      <c r="M2721">
        <v>303</v>
      </c>
      <c r="N2721" t="str">
        <f t="shared" si="1354"/>
        <v>RECEITAS COM ENTREGAS</v>
      </c>
      <c r="P2721">
        <v>1126.08</v>
      </c>
      <c r="Q2721" t="str">
        <f>"ENTREFARMA (10164)"</f>
        <v>ENTREFARMA (10164)</v>
      </c>
      <c r="R2721" t="str">
        <f t="shared" si="1355"/>
        <v>RECEITAS COM ENTREGAS (303)</v>
      </c>
      <c r="S2721">
        <v>1579</v>
      </c>
      <c r="T2721">
        <v>1233</v>
      </c>
      <c r="U2721" t="s">
        <v>19</v>
      </c>
    </row>
    <row r="2722" spans="1:21">
      <c r="A2722" t="str">
        <f t="shared" si="1350"/>
        <v>28/05/2025</v>
      </c>
      <c r="B2722" t="str">
        <f t="shared" si="1356"/>
        <v>ENTRADA</v>
      </c>
      <c r="C2722" t="str">
        <f t="shared" si="1351"/>
        <v>NFSE</v>
      </c>
      <c r="D2722" t="str">
        <f>"3028"</f>
        <v>3028</v>
      </c>
      <c r="E2722" t="str">
        <f t="shared" si="1349"/>
        <v>COM</v>
      </c>
      <c r="F2722" t="str">
        <f>"ITANHANDU (10174)"</f>
        <v>ITANHANDU (10174)</v>
      </c>
      <c r="G2722" t="str">
        <f>"Serv.Prest. 19/05/2025 a 25/05/2025 - RPS: 798 - NFSe: 3028"</f>
        <v>Serv.Prest. 19/05/2025 a 25/05/2025 - RPS: 798 - NFSe: 3028</v>
      </c>
      <c r="H2722" t="str">
        <f t="shared" si="1352"/>
        <v>28/05/2025</v>
      </c>
      <c r="I2722" t="str">
        <f t="shared" si="1357"/>
        <v>26/05/2025</v>
      </c>
      <c r="J2722" t="str">
        <f t="shared" si="1353"/>
        <v>28/05/2025</v>
      </c>
      <c r="K2722">
        <v>100.22</v>
      </c>
      <c r="L2722">
        <v>100.22</v>
      </c>
      <c r="M2722">
        <v>303</v>
      </c>
      <c r="N2722" t="str">
        <f t="shared" si="1354"/>
        <v>RECEITAS COM ENTREGAS</v>
      </c>
      <c r="O2722">
        <v>100.22</v>
      </c>
      <c r="R2722" t="str">
        <f t="shared" si="1355"/>
        <v>RECEITAS COM ENTREGAS (303)</v>
      </c>
      <c r="S2722">
        <v>1580</v>
      </c>
      <c r="T2722">
        <v>1235</v>
      </c>
      <c r="U2722" t="s">
        <v>19</v>
      </c>
    </row>
    <row r="2723" spans="1:21">
      <c r="A2723" t="str">
        <f t="shared" si="1350"/>
        <v>28/05/2025</v>
      </c>
      <c r="B2723" t="str">
        <f t="shared" si="1356"/>
        <v>ENTRADA</v>
      </c>
      <c r="C2723" t="str">
        <f t="shared" si="1351"/>
        <v>NFSE</v>
      </c>
      <c r="D2723" t="str">
        <f>"3028"</f>
        <v>3028</v>
      </c>
      <c r="E2723" t="str">
        <f t="shared" si="1349"/>
        <v>COM</v>
      </c>
      <c r="F2723" t="str">
        <f>"ITANHANDU (10174)"</f>
        <v>ITANHANDU (10174)</v>
      </c>
      <c r="G2723" t="str">
        <f>"Serv.Prest. 19/05/2025 a 25/05/2025 - RPS: 798 - NFSe: 3028"</f>
        <v>Serv.Prest. 19/05/2025 a 25/05/2025 - RPS: 798 - NFSe: 3028</v>
      </c>
      <c r="H2723" t="str">
        <f t="shared" si="1352"/>
        <v>28/05/2025</v>
      </c>
      <c r="I2723" t="str">
        <f t="shared" si="1357"/>
        <v>26/05/2025</v>
      </c>
      <c r="J2723" t="str">
        <f t="shared" si="1353"/>
        <v>28/05/2025</v>
      </c>
      <c r="M2723">
        <v>303</v>
      </c>
      <c r="N2723" t="str">
        <f t="shared" si="1354"/>
        <v>RECEITAS COM ENTREGAS</v>
      </c>
      <c r="P2723">
        <v>100.22</v>
      </c>
      <c r="Q2723" t="str">
        <f>"ITANHANDU (10174)"</f>
        <v>ITANHANDU (10174)</v>
      </c>
      <c r="R2723" t="str">
        <f t="shared" si="1355"/>
        <v>RECEITAS COM ENTREGAS (303)</v>
      </c>
      <c r="S2723">
        <v>1580</v>
      </c>
      <c r="T2723">
        <v>1235</v>
      </c>
      <c r="U2723" t="s">
        <v>19</v>
      </c>
    </row>
    <row r="2724" spans="1:21">
      <c r="A2724" t="str">
        <f t="shared" si="1350"/>
        <v>28/05/2025</v>
      </c>
      <c r="B2724" t="str">
        <f t="shared" si="1356"/>
        <v>ENTRADA</v>
      </c>
      <c r="C2724" t="str">
        <f t="shared" si="1351"/>
        <v>NFSE</v>
      </c>
      <c r="D2724" t="str">
        <f>"3029"</f>
        <v>3029</v>
      </c>
      <c r="E2724" t="str">
        <f t="shared" si="1349"/>
        <v>COM</v>
      </c>
      <c r="F2724" t="str">
        <f>"PASSA QUATRO (10175)"</f>
        <v>PASSA QUATRO (10175)</v>
      </c>
      <c r="G2724" t="str">
        <f>"Serv.Prest. 19/05/2025 a 25/05/2025 - RPS: 799 - NFSe: 3029"</f>
        <v>Serv.Prest. 19/05/2025 a 25/05/2025 - RPS: 799 - NFSe: 3029</v>
      </c>
      <c r="H2724" t="str">
        <f t="shared" si="1352"/>
        <v>28/05/2025</v>
      </c>
      <c r="I2724" t="str">
        <f t="shared" si="1357"/>
        <v>26/05/2025</v>
      </c>
      <c r="J2724" t="str">
        <f t="shared" si="1353"/>
        <v>28/05/2025</v>
      </c>
      <c r="K2724">
        <v>47.33</v>
      </c>
      <c r="L2724">
        <v>47.33</v>
      </c>
      <c r="M2724">
        <v>303</v>
      </c>
      <c r="N2724" t="str">
        <f t="shared" si="1354"/>
        <v>RECEITAS COM ENTREGAS</v>
      </c>
      <c r="O2724">
        <v>47.33</v>
      </c>
      <c r="R2724" t="str">
        <f t="shared" si="1355"/>
        <v>RECEITAS COM ENTREGAS (303)</v>
      </c>
      <c r="S2724">
        <v>1581</v>
      </c>
      <c r="T2724">
        <v>1236</v>
      </c>
      <c r="U2724" t="s">
        <v>19</v>
      </c>
    </row>
    <row r="2725" spans="1:21">
      <c r="A2725" t="str">
        <f t="shared" si="1350"/>
        <v>28/05/2025</v>
      </c>
      <c r="B2725" t="str">
        <f t="shared" si="1356"/>
        <v>ENTRADA</v>
      </c>
      <c r="C2725" t="str">
        <f t="shared" si="1351"/>
        <v>NFSE</v>
      </c>
      <c r="D2725" t="str">
        <f>"3029"</f>
        <v>3029</v>
      </c>
      <c r="E2725" t="str">
        <f t="shared" si="1349"/>
        <v>COM</v>
      </c>
      <c r="F2725" t="str">
        <f>"PASSA QUATRO (10175)"</f>
        <v>PASSA QUATRO (10175)</v>
      </c>
      <c r="G2725" t="str">
        <f>"Serv.Prest. 19/05/2025 a 25/05/2025 - RPS: 799 - NFSe: 3029"</f>
        <v>Serv.Prest. 19/05/2025 a 25/05/2025 - RPS: 799 - NFSe: 3029</v>
      </c>
      <c r="H2725" t="str">
        <f t="shared" si="1352"/>
        <v>28/05/2025</v>
      </c>
      <c r="I2725" t="str">
        <f t="shared" si="1357"/>
        <v>26/05/2025</v>
      </c>
      <c r="J2725" t="str">
        <f t="shared" si="1353"/>
        <v>28/05/2025</v>
      </c>
      <c r="M2725">
        <v>303</v>
      </c>
      <c r="N2725" t="str">
        <f t="shared" si="1354"/>
        <v>RECEITAS COM ENTREGAS</v>
      </c>
      <c r="P2725">
        <v>47.33</v>
      </c>
      <c r="Q2725" t="str">
        <f>"PASSA QUATRO (10175)"</f>
        <v>PASSA QUATRO (10175)</v>
      </c>
      <c r="R2725" t="str">
        <f t="shared" si="1355"/>
        <v>RECEITAS COM ENTREGAS (303)</v>
      </c>
      <c r="S2725">
        <v>1581</v>
      </c>
      <c r="T2725">
        <v>1236</v>
      </c>
      <c r="U2725" t="s">
        <v>19</v>
      </c>
    </row>
    <row r="2726" spans="1:21">
      <c r="A2726" t="str">
        <f t="shared" si="1350"/>
        <v>28/05/2025</v>
      </c>
      <c r="B2726" t="str">
        <f t="shared" si="1356"/>
        <v>ENTRADA</v>
      </c>
      <c r="C2726" t="str">
        <f t="shared" si="1351"/>
        <v>NFSE</v>
      </c>
      <c r="D2726" t="str">
        <f>"3032"</f>
        <v>3032</v>
      </c>
      <c r="E2726" t="str">
        <f t="shared" si="1349"/>
        <v>COM</v>
      </c>
      <c r="F2726" t="str">
        <f>"JAL FARMACIA E DROGARIA LJ 2 (10138)"</f>
        <v>JAL FARMACIA E DROGARIA LJ 2 (10138)</v>
      </c>
      <c r="G2726" t="str">
        <f>"Serv.Prest. 19/05/2025 a 25/05/2025 - RPS: 802 - NFSe: 3032"</f>
        <v>Serv.Prest. 19/05/2025 a 25/05/2025 - RPS: 802 - NFSe: 3032</v>
      </c>
      <c r="H2726" t="str">
        <f t="shared" si="1352"/>
        <v>28/05/2025</v>
      </c>
      <c r="I2726" t="str">
        <f t="shared" si="1357"/>
        <v>26/05/2025</v>
      </c>
      <c r="J2726" t="str">
        <f t="shared" si="1353"/>
        <v>28/05/2025</v>
      </c>
      <c r="K2726">
        <v>294.39999999999998</v>
      </c>
      <c r="L2726">
        <v>294.39999999999998</v>
      </c>
      <c r="M2726">
        <v>303</v>
      </c>
      <c r="N2726" t="str">
        <f t="shared" si="1354"/>
        <v>RECEITAS COM ENTREGAS</v>
      </c>
      <c r="O2726">
        <v>294.39999999999998</v>
      </c>
      <c r="R2726" t="str">
        <f t="shared" si="1355"/>
        <v>RECEITAS COM ENTREGAS (303)</v>
      </c>
      <c r="S2726">
        <v>1582</v>
      </c>
      <c r="T2726">
        <v>1239</v>
      </c>
      <c r="U2726" t="s">
        <v>19</v>
      </c>
    </row>
    <row r="2727" spans="1:21">
      <c r="A2727" t="str">
        <f t="shared" si="1350"/>
        <v>28/05/2025</v>
      </c>
      <c r="B2727" t="str">
        <f t="shared" si="1356"/>
        <v>ENTRADA</v>
      </c>
      <c r="C2727" t="str">
        <f t="shared" si="1351"/>
        <v>NFSE</v>
      </c>
      <c r="D2727" t="str">
        <f>"3032"</f>
        <v>3032</v>
      </c>
      <c r="E2727" t="str">
        <f t="shared" si="1349"/>
        <v>COM</v>
      </c>
      <c r="F2727" t="str">
        <f>"JAL FARMACIA E DROGARIA LJ 2 (10138)"</f>
        <v>JAL FARMACIA E DROGARIA LJ 2 (10138)</v>
      </c>
      <c r="G2727" t="str">
        <f>"Serv.Prest. 19/05/2025 a 25/05/2025 - RPS: 802 - NFSe: 3032"</f>
        <v>Serv.Prest. 19/05/2025 a 25/05/2025 - RPS: 802 - NFSe: 3032</v>
      </c>
      <c r="H2727" t="str">
        <f t="shared" si="1352"/>
        <v>28/05/2025</v>
      </c>
      <c r="I2727" t="str">
        <f t="shared" si="1357"/>
        <v>26/05/2025</v>
      </c>
      <c r="J2727" t="str">
        <f t="shared" si="1353"/>
        <v>28/05/2025</v>
      </c>
      <c r="M2727">
        <v>303</v>
      </c>
      <c r="N2727" t="str">
        <f t="shared" si="1354"/>
        <v>RECEITAS COM ENTREGAS</v>
      </c>
      <c r="P2727">
        <v>294.39999999999998</v>
      </c>
      <c r="Q2727" t="str">
        <f>"JAL FARMACIA E DROGARIA LJ 2 (10138)"</f>
        <v>JAL FARMACIA E DROGARIA LJ 2 (10138)</v>
      </c>
      <c r="R2727" t="str">
        <f t="shared" si="1355"/>
        <v>RECEITAS COM ENTREGAS (303)</v>
      </c>
      <c r="S2727">
        <v>1582</v>
      </c>
      <c r="T2727">
        <v>1239</v>
      </c>
      <c r="U2727" t="s">
        <v>19</v>
      </c>
    </row>
    <row r="2728" spans="1:21">
      <c r="A2728" t="str">
        <f t="shared" si="1350"/>
        <v>28/05/2025</v>
      </c>
      <c r="B2728" t="str">
        <f t="shared" si="1356"/>
        <v>ENTRADA</v>
      </c>
      <c r="C2728" t="str">
        <f t="shared" si="1351"/>
        <v>NFSE</v>
      </c>
      <c r="D2728" t="str">
        <f>"3039"</f>
        <v>3039</v>
      </c>
      <c r="E2728" t="str">
        <f t="shared" si="1349"/>
        <v>COM</v>
      </c>
      <c r="F2728" t="str">
        <f>"ITUFARMA (10178)"</f>
        <v>ITUFARMA (10178)</v>
      </c>
      <c r="G2728" t="str">
        <f>"Serv.Prest. 19/05/2025 a 25/05/2025 - RPS: 809 - NFSe: 3039"</f>
        <v>Serv.Prest. 19/05/2025 a 25/05/2025 - RPS: 809 - NFSe: 3039</v>
      </c>
      <c r="H2728" t="str">
        <f t="shared" si="1352"/>
        <v>28/05/2025</v>
      </c>
      <c r="I2728" t="str">
        <f>("27/05/2025")</f>
        <v>27/05/2025</v>
      </c>
      <c r="J2728" t="str">
        <f t="shared" si="1353"/>
        <v>28/05/2025</v>
      </c>
      <c r="K2728">
        <v>301.44</v>
      </c>
      <c r="L2728">
        <v>301.44</v>
      </c>
      <c r="M2728">
        <v>303</v>
      </c>
      <c r="N2728" t="str">
        <f t="shared" si="1354"/>
        <v>RECEITAS COM ENTREGAS</v>
      </c>
      <c r="O2728">
        <v>301.44</v>
      </c>
      <c r="R2728" t="str">
        <f t="shared" si="1355"/>
        <v>RECEITAS COM ENTREGAS (303)</v>
      </c>
      <c r="S2728">
        <v>1583</v>
      </c>
      <c r="T2728">
        <v>1246</v>
      </c>
      <c r="U2728" t="s">
        <v>19</v>
      </c>
    </row>
    <row r="2729" spans="1:21">
      <c r="A2729" t="str">
        <f t="shared" si="1350"/>
        <v>28/05/2025</v>
      </c>
      <c r="B2729" t="str">
        <f t="shared" si="1356"/>
        <v>ENTRADA</v>
      </c>
      <c r="C2729" t="str">
        <f t="shared" si="1351"/>
        <v>NFSE</v>
      </c>
      <c r="D2729" t="str">
        <f>"3039"</f>
        <v>3039</v>
      </c>
      <c r="E2729" t="str">
        <f t="shared" si="1349"/>
        <v>COM</v>
      </c>
      <c r="F2729" t="str">
        <f>"ITUFARMA (10178)"</f>
        <v>ITUFARMA (10178)</v>
      </c>
      <c r="G2729" t="str">
        <f>"Serv.Prest. 19/05/2025 a 25/05/2025 - RPS: 809 - NFSe: 3039"</f>
        <v>Serv.Prest. 19/05/2025 a 25/05/2025 - RPS: 809 - NFSe: 3039</v>
      </c>
      <c r="H2729" t="str">
        <f t="shared" si="1352"/>
        <v>28/05/2025</v>
      </c>
      <c r="I2729" t="str">
        <f>("27/05/2025")</f>
        <v>27/05/2025</v>
      </c>
      <c r="J2729" t="str">
        <f t="shared" si="1353"/>
        <v>28/05/2025</v>
      </c>
      <c r="M2729">
        <v>303</v>
      </c>
      <c r="N2729" t="str">
        <f t="shared" si="1354"/>
        <v>RECEITAS COM ENTREGAS</v>
      </c>
      <c r="P2729">
        <v>301.44</v>
      </c>
      <c r="Q2729" t="str">
        <f>"ITUFARMA (10178)"</f>
        <v>ITUFARMA (10178)</v>
      </c>
      <c r="R2729" t="str">
        <f t="shared" si="1355"/>
        <v>RECEITAS COM ENTREGAS (303)</v>
      </c>
      <c r="S2729">
        <v>1583</v>
      </c>
      <c r="T2729">
        <v>1246</v>
      </c>
      <c r="U2729" t="s">
        <v>19</v>
      </c>
    </row>
    <row r="2730" spans="1:21">
      <c r="A2730" t="str">
        <f t="shared" si="1350"/>
        <v>28/05/2025</v>
      </c>
      <c r="B2730" t="str">
        <f t="shared" si="1356"/>
        <v>ENTRADA</v>
      </c>
      <c r="C2730" t="str">
        <f t="shared" si="1351"/>
        <v>NFSE</v>
      </c>
      <c r="D2730" t="str">
        <f>"3031"</f>
        <v>3031</v>
      </c>
      <c r="E2730" t="str">
        <f t="shared" si="1349"/>
        <v>COM</v>
      </c>
      <c r="F2730" t="str">
        <f>"FRAN FARMA (10124)"</f>
        <v>FRAN FARMA (10124)</v>
      </c>
      <c r="G2730" t="str">
        <f>"Serv.Prest. 19/05/2025 a 25/05/2025 - RPS: 801 - NFSe: 3031"</f>
        <v>Serv.Prest. 19/05/2025 a 25/05/2025 - RPS: 801 - NFSe: 3031</v>
      </c>
      <c r="H2730" t="str">
        <f t="shared" si="1352"/>
        <v>28/05/2025</v>
      </c>
      <c r="I2730" t="str">
        <f>("26/05/2025")</f>
        <v>26/05/2025</v>
      </c>
      <c r="J2730" t="str">
        <f t="shared" si="1353"/>
        <v>28/05/2025</v>
      </c>
      <c r="K2730">
        <v>320</v>
      </c>
      <c r="L2730">
        <v>320</v>
      </c>
      <c r="M2730">
        <v>303</v>
      </c>
      <c r="N2730" t="str">
        <f t="shared" si="1354"/>
        <v>RECEITAS COM ENTREGAS</v>
      </c>
      <c r="O2730">
        <v>320</v>
      </c>
      <c r="R2730" t="str">
        <f t="shared" si="1355"/>
        <v>RECEITAS COM ENTREGAS (303)</v>
      </c>
      <c r="S2730">
        <v>1602</v>
      </c>
      <c r="T2730">
        <v>1238</v>
      </c>
      <c r="U2730" t="s">
        <v>19</v>
      </c>
    </row>
    <row r="2731" spans="1:21">
      <c r="A2731" t="str">
        <f t="shared" si="1350"/>
        <v>28/05/2025</v>
      </c>
      <c r="B2731" t="str">
        <f t="shared" si="1356"/>
        <v>ENTRADA</v>
      </c>
      <c r="C2731" t="str">
        <f t="shared" si="1351"/>
        <v>NFSE</v>
      </c>
      <c r="D2731" t="str">
        <f>"3031"</f>
        <v>3031</v>
      </c>
      <c r="E2731" t="str">
        <f t="shared" si="1349"/>
        <v>COM</v>
      </c>
      <c r="F2731" t="str">
        <f>"FRAN FARMA (10124)"</f>
        <v>FRAN FARMA (10124)</v>
      </c>
      <c r="G2731" t="str">
        <f>"Serv.Prest. 19/05/2025 a 25/05/2025 - RPS: 801 - NFSe: 3031"</f>
        <v>Serv.Prest. 19/05/2025 a 25/05/2025 - RPS: 801 - NFSe: 3031</v>
      </c>
      <c r="H2731" t="str">
        <f t="shared" si="1352"/>
        <v>28/05/2025</v>
      </c>
      <c r="I2731" t="str">
        <f>("26/05/2025")</f>
        <v>26/05/2025</v>
      </c>
      <c r="J2731" t="str">
        <f t="shared" si="1353"/>
        <v>28/05/2025</v>
      </c>
      <c r="M2731">
        <v>303</v>
      </c>
      <c r="N2731" t="str">
        <f t="shared" si="1354"/>
        <v>RECEITAS COM ENTREGAS</v>
      </c>
      <c r="P2731">
        <v>64</v>
      </c>
      <c r="Q2731" t="str">
        <f>"FRAN FARMA (10124)"</f>
        <v>FRAN FARMA (10124)</v>
      </c>
      <c r="R2731" t="str">
        <f t="shared" si="1355"/>
        <v>RECEITAS COM ENTREGAS (303)</v>
      </c>
      <c r="S2731">
        <v>1602</v>
      </c>
      <c r="T2731">
        <v>1238</v>
      </c>
      <c r="U2731" t="s">
        <v>19</v>
      </c>
    </row>
    <row r="2732" spans="1:21">
      <c r="A2732" t="str">
        <f t="shared" si="1350"/>
        <v>28/05/2025</v>
      </c>
      <c r="B2732" t="str">
        <f t="shared" si="1356"/>
        <v>ENTRADA</v>
      </c>
      <c r="C2732" t="str">
        <f t="shared" si="1351"/>
        <v>NFSE</v>
      </c>
      <c r="D2732" t="str">
        <f>"3031"</f>
        <v>3031</v>
      </c>
      <c r="E2732" t="str">
        <f t="shared" si="1349"/>
        <v>COM</v>
      </c>
      <c r="F2732" t="str">
        <f>"FRAN FARMA (10124)"</f>
        <v>FRAN FARMA (10124)</v>
      </c>
      <c r="G2732" t="str">
        <f>"Serv.Prest. 19/05/2025 a 25/05/2025 - RPS: 801 - NFSe: 3031"</f>
        <v>Serv.Prest. 19/05/2025 a 25/05/2025 - RPS: 801 - NFSe: 3031</v>
      </c>
      <c r="H2732" t="str">
        <f t="shared" si="1352"/>
        <v>28/05/2025</v>
      </c>
      <c r="I2732" t="str">
        <f>("26/05/2025")</f>
        <v>26/05/2025</v>
      </c>
      <c r="J2732" t="str">
        <f t="shared" si="1353"/>
        <v>28/05/2025</v>
      </c>
      <c r="M2732">
        <v>303</v>
      </c>
      <c r="N2732" t="str">
        <f t="shared" si="1354"/>
        <v>RECEITAS COM ENTREGAS</v>
      </c>
      <c r="P2732">
        <v>192</v>
      </c>
      <c r="Q2732" t="str">
        <f>"FRAN FARMA LJ 2 (10131)"</f>
        <v>FRAN FARMA LJ 2 (10131)</v>
      </c>
      <c r="R2732" t="str">
        <f t="shared" si="1355"/>
        <v>RECEITAS COM ENTREGAS (303)</v>
      </c>
      <c r="S2732">
        <v>1602</v>
      </c>
      <c r="T2732">
        <v>1238</v>
      </c>
      <c r="U2732" t="s">
        <v>19</v>
      </c>
    </row>
    <row r="2733" spans="1:21">
      <c r="A2733" t="str">
        <f t="shared" si="1350"/>
        <v>28/05/2025</v>
      </c>
      <c r="B2733" t="str">
        <f t="shared" si="1356"/>
        <v>ENTRADA</v>
      </c>
      <c r="C2733" t="str">
        <f t="shared" si="1351"/>
        <v>NFSE</v>
      </c>
      <c r="D2733" t="str">
        <f>"3031"</f>
        <v>3031</v>
      </c>
      <c r="E2733" t="str">
        <f t="shared" si="1349"/>
        <v>COM</v>
      </c>
      <c r="F2733" t="str">
        <f>"FRAN FARMA (10124)"</f>
        <v>FRAN FARMA (10124)</v>
      </c>
      <c r="G2733" t="str">
        <f>"Serv.Prest. 19/05/2025 a 25/05/2025 - RPS: 801 - NFSe: 3031"</f>
        <v>Serv.Prest. 19/05/2025 a 25/05/2025 - RPS: 801 - NFSe: 3031</v>
      </c>
      <c r="H2733" t="str">
        <f t="shared" si="1352"/>
        <v>28/05/2025</v>
      </c>
      <c r="I2733" t="str">
        <f>("26/05/2025")</f>
        <v>26/05/2025</v>
      </c>
      <c r="J2733" t="str">
        <f t="shared" si="1353"/>
        <v>28/05/2025</v>
      </c>
      <c r="M2733">
        <v>303</v>
      </c>
      <c r="N2733" t="str">
        <f t="shared" si="1354"/>
        <v>RECEITAS COM ENTREGAS</v>
      </c>
      <c r="P2733">
        <v>64</v>
      </c>
      <c r="Q2733" t="str">
        <f>"FRAN FARMA LJ 3 (10132)"</f>
        <v>FRAN FARMA LJ 3 (10132)</v>
      </c>
      <c r="R2733" t="str">
        <f t="shared" si="1355"/>
        <v>RECEITAS COM ENTREGAS (303)</v>
      </c>
      <c r="S2733">
        <v>1602</v>
      </c>
      <c r="T2733">
        <v>1238</v>
      </c>
      <c r="U2733" t="s">
        <v>19</v>
      </c>
    </row>
    <row r="2734" spans="1:21">
      <c r="A2734" t="str">
        <f t="shared" si="1350"/>
        <v>28/05/2025</v>
      </c>
      <c r="B2734" t="str">
        <f t="shared" ref="B2734:B2743" si="1358">"SAÍDA"</f>
        <v>SAÍDA</v>
      </c>
      <c r="C2734" t="str">
        <f t="shared" ref="C2734:C2741" si="1359">"JUROS"</f>
        <v>JUROS</v>
      </c>
      <c r="D2734" t="str">
        <f>""</f>
        <v/>
      </c>
      <c r="E2734" t="str">
        <f t="shared" ref="E2734:E2741" si="1360">"CXA"</f>
        <v>CXA</v>
      </c>
      <c r="F2734" t="str">
        <f>""</f>
        <v/>
      </c>
      <c r="G2734" t="str">
        <f t="shared" ref="G2734:G2741" si="1361">"TAXA BOLETO COMPENSADO"</f>
        <v>TAXA BOLETO COMPENSADO</v>
      </c>
      <c r="H2734" t="str">
        <f t="shared" si="1352"/>
        <v>28/05/2025</v>
      </c>
      <c r="I2734" t="str">
        <f t="shared" ref="I2734:I2743" si="1362">("28/05/2025")</f>
        <v>28/05/2025</v>
      </c>
      <c r="J2734" t="str">
        <f t="shared" si="1353"/>
        <v>28/05/2025</v>
      </c>
      <c r="K2734">
        <v>1.7</v>
      </c>
      <c r="L2734">
        <v>1.7</v>
      </c>
      <c r="M2734">
        <v>401</v>
      </c>
      <c r="N2734" t="str">
        <f t="shared" ref="N2734:N2741" si="1363">"IOF/JUROS/DESP.FINANCEIRA"</f>
        <v>IOF/JUROS/DESP.FINANCEIRA</v>
      </c>
      <c r="O2734">
        <v>1.7</v>
      </c>
      <c r="R2734" t="str">
        <f t="shared" ref="R2734:R2743" si="1364">"BANCO CORA (102)"</f>
        <v>BANCO CORA (102)</v>
      </c>
      <c r="S2734">
        <v>1702</v>
      </c>
      <c r="T2734">
        <v>0</v>
      </c>
      <c r="U2734" t="s">
        <v>20</v>
      </c>
    </row>
    <row r="2735" spans="1:21">
      <c r="A2735" t="str">
        <f t="shared" si="1350"/>
        <v>28/05/2025</v>
      </c>
      <c r="B2735" t="str">
        <f t="shared" si="1358"/>
        <v>SAÍDA</v>
      </c>
      <c r="C2735" t="str">
        <f t="shared" si="1359"/>
        <v>JUROS</v>
      </c>
      <c r="D2735" t="str">
        <f>""</f>
        <v/>
      </c>
      <c r="E2735" t="str">
        <f t="shared" si="1360"/>
        <v>CXA</v>
      </c>
      <c r="F2735" t="str">
        <f>""</f>
        <v/>
      </c>
      <c r="G2735" t="str">
        <f t="shared" si="1361"/>
        <v>TAXA BOLETO COMPENSADO</v>
      </c>
      <c r="H2735" t="str">
        <f t="shared" si="1352"/>
        <v>28/05/2025</v>
      </c>
      <c r="I2735" t="str">
        <f t="shared" si="1362"/>
        <v>28/05/2025</v>
      </c>
      <c r="J2735" t="str">
        <f t="shared" si="1353"/>
        <v>28/05/2025</v>
      </c>
      <c r="K2735">
        <v>1.7</v>
      </c>
      <c r="L2735">
        <v>1.7</v>
      </c>
      <c r="M2735">
        <v>401</v>
      </c>
      <c r="N2735" t="str">
        <f t="shared" si="1363"/>
        <v>IOF/JUROS/DESP.FINANCEIRA</v>
      </c>
      <c r="O2735">
        <v>1.7</v>
      </c>
      <c r="R2735" t="str">
        <f t="shared" si="1364"/>
        <v>BANCO CORA (102)</v>
      </c>
      <c r="S2735">
        <v>1703</v>
      </c>
      <c r="T2735">
        <v>0</v>
      </c>
      <c r="U2735" t="s">
        <v>20</v>
      </c>
    </row>
    <row r="2736" spans="1:21">
      <c r="A2736" t="str">
        <f t="shared" si="1350"/>
        <v>28/05/2025</v>
      </c>
      <c r="B2736" t="str">
        <f t="shared" si="1358"/>
        <v>SAÍDA</v>
      </c>
      <c r="C2736" t="str">
        <f t="shared" si="1359"/>
        <v>JUROS</v>
      </c>
      <c r="D2736" t="str">
        <f>""</f>
        <v/>
      </c>
      <c r="E2736" t="str">
        <f t="shared" si="1360"/>
        <v>CXA</v>
      </c>
      <c r="F2736" t="str">
        <f>""</f>
        <v/>
      </c>
      <c r="G2736" t="str">
        <f t="shared" si="1361"/>
        <v>TAXA BOLETO COMPENSADO</v>
      </c>
      <c r="H2736" t="str">
        <f t="shared" si="1352"/>
        <v>28/05/2025</v>
      </c>
      <c r="I2736" t="str">
        <f t="shared" si="1362"/>
        <v>28/05/2025</v>
      </c>
      <c r="J2736" t="str">
        <f t="shared" si="1353"/>
        <v>28/05/2025</v>
      </c>
      <c r="K2736">
        <v>1.7</v>
      </c>
      <c r="L2736">
        <v>1.7</v>
      </c>
      <c r="M2736">
        <v>401</v>
      </c>
      <c r="N2736" t="str">
        <f t="shared" si="1363"/>
        <v>IOF/JUROS/DESP.FINANCEIRA</v>
      </c>
      <c r="O2736">
        <v>1.7</v>
      </c>
      <c r="R2736" t="str">
        <f t="shared" si="1364"/>
        <v>BANCO CORA (102)</v>
      </c>
      <c r="S2736">
        <v>1704</v>
      </c>
      <c r="T2736">
        <v>0</v>
      </c>
      <c r="U2736" t="s">
        <v>20</v>
      </c>
    </row>
    <row r="2737" spans="1:21">
      <c r="A2737" t="str">
        <f t="shared" si="1350"/>
        <v>28/05/2025</v>
      </c>
      <c r="B2737" t="str">
        <f t="shared" si="1358"/>
        <v>SAÍDA</v>
      </c>
      <c r="C2737" t="str">
        <f t="shared" si="1359"/>
        <v>JUROS</v>
      </c>
      <c r="D2737" t="str">
        <f>""</f>
        <v/>
      </c>
      <c r="E2737" t="str">
        <f t="shared" si="1360"/>
        <v>CXA</v>
      </c>
      <c r="F2737" t="str">
        <f>""</f>
        <v/>
      </c>
      <c r="G2737" t="str">
        <f t="shared" si="1361"/>
        <v>TAXA BOLETO COMPENSADO</v>
      </c>
      <c r="H2737" t="str">
        <f t="shared" si="1352"/>
        <v>28/05/2025</v>
      </c>
      <c r="I2737" t="str">
        <f t="shared" si="1362"/>
        <v>28/05/2025</v>
      </c>
      <c r="J2737" t="str">
        <f t="shared" si="1353"/>
        <v>28/05/2025</v>
      </c>
      <c r="K2737">
        <v>1.7</v>
      </c>
      <c r="L2737">
        <v>1.7</v>
      </c>
      <c r="M2737">
        <v>401</v>
      </c>
      <c r="N2737" t="str">
        <f t="shared" si="1363"/>
        <v>IOF/JUROS/DESP.FINANCEIRA</v>
      </c>
      <c r="O2737">
        <v>1.7</v>
      </c>
      <c r="R2737" t="str">
        <f t="shared" si="1364"/>
        <v>BANCO CORA (102)</v>
      </c>
      <c r="S2737">
        <v>1705</v>
      </c>
      <c r="T2737">
        <v>0</v>
      </c>
      <c r="U2737" t="s">
        <v>20</v>
      </c>
    </row>
    <row r="2738" spans="1:21">
      <c r="A2738" t="str">
        <f t="shared" si="1350"/>
        <v>28/05/2025</v>
      </c>
      <c r="B2738" t="str">
        <f t="shared" si="1358"/>
        <v>SAÍDA</v>
      </c>
      <c r="C2738" t="str">
        <f t="shared" si="1359"/>
        <v>JUROS</v>
      </c>
      <c r="D2738" t="str">
        <f>""</f>
        <v/>
      </c>
      <c r="E2738" t="str">
        <f t="shared" si="1360"/>
        <v>CXA</v>
      </c>
      <c r="F2738" t="str">
        <f>""</f>
        <v/>
      </c>
      <c r="G2738" t="str">
        <f t="shared" si="1361"/>
        <v>TAXA BOLETO COMPENSADO</v>
      </c>
      <c r="H2738" t="str">
        <f t="shared" si="1352"/>
        <v>28/05/2025</v>
      </c>
      <c r="I2738" t="str">
        <f t="shared" si="1362"/>
        <v>28/05/2025</v>
      </c>
      <c r="J2738" t="str">
        <f t="shared" si="1353"/>
        <v>28/05/2025</v>
      </c>
      <c r="K2738">
        <v>1.7</v>
      </c>
      <c r="L2738">
        <v>1.7</v>
      </c>
      <c r="M2738">
        <v>401</v>
      </c>
      <c r="N2738" t="str">
        <f t="shared" si="1363"/>
        <v>IOF/JUROS/DESP.FINANCEIRA</v>
      </c>
      <c r="O2738">
        <v>1.7</v>
      </c>
      <c r="R2738" t="str">
        <f t="shared" si="1364"/>
        <v>BANCO CORA (102)</v>
      </c>
      <c r="S2738">
        <v>1706</v>
      </c>
      <c r="T2738">
        <v>0</v>
      </c>
      <c r="U2738" t="s">
        <v>20</v>
      </c>
    </row>
    <row r="2739" spans="1:21">
      <c r="A2739" t="str">
        <f t="shared" si="1350"/>
        <v>28/05/2025</v>
      </c>
      <c r="B2739" t="str">
        <f t="shared" si="1358"/>
        <v>SAÍDA</v>
      </c>
      <c r="C2739" t="str">
        <f t="shared" si="1359"/>
        <v>JUROS</v>
      </c>
      <c r="D2739" t="str">
        <f>""</f>
        <v/>
      </c>
      <c r="E2739" t="str">
        <f t="shared" si="1360"/>
        <v>CXA</v>
      </c>
      <c r="F2739" t="str">
        <f>""</f>
        <v/>
      </c>
      <c r="G2739" t="str">
        <f t="shared" si="1361"/>
        <v>TAXA BOLETO COMPENSADO</v>
      </c>
      <c r="H2739" t="str">
        <f t="shared" si="1352"/>
        <v>28/05/2025</v>
      </c>
      <c r="I2739" t="str">
        <f t="shared" si="1362"/>
        <v>28/05/2025</v>
      </c>
      <c r="J2739" t="str">
        <f t="shared" si="1353"/>
        <v>28/05/2025</v>
      </c>
      <c r="K2739">
        <v>1.7</v>
      </c>
      <c r="L2739">
        <v>1.7</v>
      </c>
      <c r="M2739">
        <v>401</v>
      </c>
      <c r="N2739" t="str">
        <f t="shared" si="1363"/>
        <v>IOF/JUROS/DESP.FINANCEIRA</v>
      </c>
      <c r="O2739">
        <v>1.7</v>
      </c>
      <c r="R2739" t="str">
        <f t="shared" si="1364"/>
        <v>BANCO CORA (102)</v>
      </c>
      <c r="S2739">
        <v>1707</v>
      </c>
      <c r="T2739">
        <v>0</v>
      </c>
      <c r="U2739" t="s">
        <v>20</v>
      </c>
    </row>
    <row r="2740" spans="1:21">
      <c r="A2740" t="str">
        <f t="shared" si="1350"/>
        <v>28/05/2025</v>
      </c>
      <c r="B2740" t="str">
        <f t="shared" si="1358"/>
        <v>SAÍDA</v>
      </c>
      <c r="C2740" t="str">
        <f t="shared" si="1359"/>
        <v>JUROS</v>
      </c>
      <c r="D2740" t="str">
        <f>""</f>
        <v/>
      </c>
      <c r="E2740" t="str">
        <f t="shared" si="1360"/>
        <v>CXA</v>
      </c>
      <c r="F2740" t="str">
        <f>""</f>
        <v/>
      </c>
      <c r="G2740" t="str">
        <f t="shared" si="1361"/>
        <v>TAXA BOLETO COMPENSADO</v>
      </c>
      <c r="H2740" t="str">
        <f t="shared" si="1352"/>
        <v>28/05/2025</v>
      </c>
      <c r="I2740" t="str">
        <f t="shared" si="1362"/>
        <v>28/05/2025</v>
      </c>
      <c r="J2740" t="str">
        <f t="shared" si="1353"/>
        <v>28/05/2025</v>
      </c>
      <c r="K2740">
        <v>1.7</v>
      </c>
      <c r="L2740">
        <v>1.7</v>
      </c>
      <c r="M2740">
        <v>401</v>
      </c>
      <c r="N2740" t="str">
        <f t="shared" si="1363"/>
        <v>IOF/JUROS/DESP.FINANCEIRA</v>
      </c>
      <c r="O2740">
        <v>1.7</v>
      </c>
      <c r="R2740" t="str">
        <f t="shared" si="1364"/>
        <v>BANCO CORA (102)</v>
      </c>
      <c r="S2740">
        <v>1708</v>
      </c>
      <c r="T2740">
        <v>0</v>
      </c>
      <c r="U2740" t="s">
        <v>20</v>
      </c>
    </row>
    <row r="2741" spans="1:21">
      <c r="A2741" t="str">
        <f t="shared" si="1350"/>
        <v>28/05/2025</v>
      </c>
      <c r="B2741" t="str">
        <f t="shared" si="1358"/>
        <v>SAÍDA</v>
      </c>
      <c r="C2741" t="str">
        <f t="shared" si="1359"/>
        <v>JUROS</v>
      </c>
      <c r="D2741" t="str">
        <f>""</f>
        <v/>
      </c>
      <c r="E2741" t="str">
        <f t="shared" si="1360"/>
        <v>CXA</v>
      </c>
      <c r="F2741" t="str">
        <f>""</f>
        <v/>
      </c>
      <c r="G2741" t="str">
        <f t="shared" si="1361"/>
        <v>TAXA BOLETO COMPENSADO</v>
      </c>
      <c r="H2741" t="str">
        <f t="shared" si="1352"/>
        <v>28/05/2025</v>
      </c>
      <c r="I2741" t="str">
        <f t="shared" si="1362"/>
        <v>28/05/2025</v>
      </c>
      <c r="J2741" t="str">
        <f t="shared" si="1353"/>
        <v>28/05/2025</v>
      </c>
      <c r="K2741">
        <v>1.7</v>
      </c>
      <c r="L2741">
        <v>1.7</v>
      </c>
      <c r="M2741">
        <v>401</v>
      </c>
      <c r="N2741" t="str">
        <f t="shared" si="1363"/>
        <v>IOF/JUROS/DESP.FINANCEIRA</v>
      </c>
      <c r="O2741">
        <v>1.7</v>
      </c>
      <c r="R2741" t="str">
        <f t="shared" si="1364"/>
        <v>BANCO CORA (102)</v>
      </c>
      <c r="S2741">
        <v>1709</v>
      </c>
      <c r="T2741">
        <v>0</v>
      </c>
      <c r="U2741" t="s">
        <v>20</v>
      </c>
    </row>
    <row r="2742" spans="1:21">
      <c r="A2742" t="str">
        <f t="shared" si="1350"/>
        <v>28/05/2025</v>
      </c>
      <c r="B2742" t="str">
        <f t="shared" si="1358"/>
        <v>SAÍDA</v>
      </c>
      <c r="C2742" t="str">
        <f>"BOLETO"</f>
        <v>BOLETO</v>
      </c>
      <c r="D2742" t="str">
        <f>"346079202"</f>
        <v>346079202</v>
      </c>
      <c r="E2742" t="str">
        <f t="shared" ref="E2742:E2773" si="1365">"COM"</f>
        <v>COM</v>
      </c>
      <c r="F2742" t="str">
        <f>"SUL AMERICA COMPANHIA DE SEGURO SAUDE (20080)"</f>
        <v>SUL AMERICA COMPANHIA DE SEGURO SAUDE (20080)</v>
      </c>
      <c r="G2742" t="str">
        <f>"CONVENIO MEDICO SOCIOS E DEPENDENTES"</f>
        <v>CONVENIO MEDICO SOCIOS E DEPENDENTES</v>
      </c>
      <c r="H2742" t="str">
        <f>("02/06/2025")</f>
        <v>02/06/2025</v>
      </c>
      <c r="I2742" t="str">
        <f t="shared" si="1362"/>
        <v>28/05/2025</v>
      </c>
      <c r="J2742" t="str">
        <f t="shared" si="1353"/>
        <v>28/05/2025</v>
      </c>
      <c r="K2742">
        <v>3319.87</v>
      </c>
      <c r="L2742">
        <v>3319.87</v>
      </c>
      <c r="M2742">
        <v>192</v>
      </c>
      <c r="N2742" t="str">
        <f>"PLANOS E SEGUROS"</f>
        <v>PLANOS E SEGUROS</v>
      </c>
      <c r="O2742">
        <v>3319.87</v>
      </c>
      <c r="R2742" t="str">
        <f t="shared" si="1364"/>
        <v>BANCO CORA (102)</v>
      </c>
      <c r="S2742">
        <v>1732</v>
      </c>
      <c r="T2742">
        <v>1038</v>
      </c>
      <c r="U2742" t="s">
        <v>19</v>
      </c>
    </row>
    <row r="2743" spans="1:21">
      <c r="A2743" t="str">
        <f t="shared" si="1350"/>
        <v>28/05/2025</v>
      </c>
      <c r="B2743" t="str">
        <f t="shared" si="1358"/>
        <v>SAÍDA</v>
      </c>
      <c r="C2743" t="str">
        <f>"BOLETO"</f>
        <v>BOLETO</v>
      </c>
      <c r="D2743" t="str">
        <f>"346079202"</f>
        <v>346079202</v>
      </c>
      <c r="E2743" t="str">
        <f t="shared" si="1365"/>
        <v>COM</v>
      </c>
      <c r="F2743" t="str">
        <f>"SUL AMERICA COMPANHIA DE SEGURO SAUDE (20080)"</f>
        <v>SUL AMERICA COMPANHIA DE SEGURO SAUDE (20080)</v>
      </c>
      <c r="G2743" t="str">
        <f>"CONVENIO MEDICO SOCIOS E DEPENDENTES"</f>
        <v>CONVENIO MEDICO SOCIOS E DEPENDENTES</v>
      </c>
      <c r="H2743" t="str">
        <f>("02/06/2025")</f>
        <v>02/06/2025</v>
      </c>
      <c r="I2743" t="str">
        <f t="shared" si="1362"/>
        <v>28/05/2025</v>
      </c>
      <c r="J2743" t="str">
        <f t="shared" si="1353"/>
        <v>28/05/2025</v>
      </c>
      <c r="M2743">
        <v>192</v>
      </c>
      <c r="N2743" t="str">
        <f>"PLANOS E SEGUROS"</f>
        <v>PLANOS E SEGUROS</v>
      </c>
      <c r="P2743">
        <v>3319.87</v>
      </c>
      <c r="Q2743" t="str">
        <f>"SUL AMERICA COMPANHIA DE SEGURO SAUDE (20080)"</f>
        <v>SUL AMERICA COMPANHIA DE SEGURO SAUDE (20080)</v>
      </c>
      <c r="R2743" t="str">
        <f t="shared" si="1364"/>
        <v>BANCO CORA (102)</v>
      </c>
      <c r="S2743">
        <v>1732</v>
      </c>
      <c r="T2743">
        <v>1038</v>
      </c>
      <c r="U2743" t="s">
        <v>19</v>
      </c>
    </row>
    <row r="2744" spans="1:21">
      <c r="A2744" t="str">
        <f t="shared" ref="A2744:A2787" si="1366">("29/05/2025")</f>
        <v>29/05/2025</v>
      </c>
      <c r="B2744" t="str">
        <f>"ENTRADA"</f>
        <v>ENTRADA</v>
      </c>
      <c r="C2744" t="str">
        <f t="shared" ref="C2744:C2773" si="1367">"NFSE"</f>
        <v>NFSE</v>
      </c>
      <c r="D2744" t="str">
        <f>"3014"</f>
        <v>3014</v>
      </c>
      <c r="E2744" t="str">
        <f t="shared" si="1365"/>
        <v>COM</v>
      </c>
      <c r="F2744" t="str">
        <f>"AC FARMA - CID.ALTA (10166)"</f>
        <v>AC FARMA - CID.ALTA (10166)</v>
      </c>
      <c r="G2744" t="str">
        <f>"Serv.Prest. 12/05/2025 a 18/05/2025 - RPS: 784 - NFSe: 3014"</f>
        <v>Serv.Prest. 12/05/2025 a 18/05/2025 - RPS: 784 - NFSe: 3014</v>
      </c>
      <c r="H2744" t="str">
        <f t="shared" ref="H2744:H2771" si="1368">("28/05/2025")</f>
        <v>28/05/2025</v>
      </c>
      <c r="I2744" t="str">
        <f>("22/05/2025")</f>
        <v>22/05/2025</v>
      </c>
      <c r="J2744" t="str">
        <f t="shared" ref="J2744:J2787" si="1369">("29/05/2025")</f>
        <v>29/05/2025</v>
      </c>
      <c r="K2744">
        <v>1163.71</v>
      </c>
      <c r="L2744">
        <v>1163.71</v>
      </c>
      <c r="M2744">
        <v>303</v>
      </c>
      <c r="N2744" t="str">
        <f t="shared" ref="N2744:N2773" si="1370">"RECEITAS COM ENTREGAS"</f>
        <v>RECEITAS COM ENTREGAS</v>
      </c>
      <c r="O2744">
        <v>1163.71</v>
      </c>
      <c r="R2744" t="str">
        <f t="shared" ref="R2744:R2773" si="1371">"RECEITAS COM ENTREGAS (303)"</f>
        <v>RECEITAS COM ENTREGAS (303)</v>
      </c>
      <c r="S2744">
        <v>1584</v>
      </c>
      <c r="T2744">
        <v>1221</v>
      </c>
      <c r="U2744" t="s">
        <v>19</v>
      </c>
    </row>
    <row r="2745" spans="1:21">
      <c r="A2745" t="str">
        <f t="shared" si="1366"/>
        <v>29/05/2025</v>
      </c>
      <c r="B2745" t="str">
        <f t="shared" ref="B2745:B2773" si="1372">"ENTRADA"</f>
        <v>ENTRADA</v>
      </c>
      <c r="C2745" t="str">
        <f t="shared" si="1367"/>
        <v>NFSE</v>
      </c>
      <c r="D2745" t="str">
        <f>"3014"</f>
        <v>3014</v>
      </c>
      <c r="E2745" t="str">
        <f t="shared" si="1365"/>
        <v>COM</v>
      </c>
      <c r="F2745" t="str">
        <f>"AC FARMA - CID.ALTA (10166)"</f>
        <v>AC FARMA - CID.ALTA (10166)</v>
      </c>
      <c r="G2745" t="str">
        <f>"Serv.Prest. 12/05/2025 a 18/05/2025 - RPS: 784 - NFSe: 3014"</f>
        <v>Serv.Prest. 12/05/2025 a 18/05/2025 - RPS: 784 - NFSe: 3014</v>
      </c>
      <c r="H2745" t="str">
        <f t="shared" si="1368"/>
        <v>28/05/2025</v>
      </c>
      <c r="I2745" t="str">
        <f>("22/05/2025")</f>
        <v>22/05/2025</v>
      </c>
      <c r="J2745" t="str">
        <f t="shared" si="1369"/>
        <v>29/05/2025</v>
      </c>
      <c r="M2745">
        <v>303</v>
      </c>
      <c r="N2745" t="str">
        <f t="shared" si="1370"/>
        <v>RECEITAS COM ENTREGAS</v>
      </c>
      <c r="P2745">
        <v>1163.71</v>
      </c>
      <c r="Q2745" t="str">
        <f>"AC FARMA - CID.ALTA (10166)"</f>
        <v>AC FARMA - CID.ALTA (10166)</v>
      </c>
      <c r="R2745" t="str">
        <f t="shared" si="1371"/>
        <v>RECEITAS COM ENTREGAS (303)</v>
      </c>
      <c r="S2745">
        <v>1584</v>
      </c>
      <c r="T2745">
        <v>1221</v>
      </c>
      <c r="U2745" t="s">
        <v>19</v>
      </c>
    </row>
    <row r="2746" spans="1:21">
      <c r="A2746" t="str">
        <f t="shared" si="1366"/>
        <v>29/05/2025</v>
      </c>
      <c r="B2746" t="str">
        <f t="shared" si="1372"/>
        <v>ENTRADA</v>
      </c>
      <c r="C2746" t="str">
        <f t="shared" si="1367"/>
        <v>NFSE</v>
      </c>
      <c r="D2746" t="str">
        <f>"3015"</f>
        <v>3015</v>
      </c>
      <c r="E2746" t="str">
        <f t="shared" si="1365"/>
        <v>COM</v>
      </c>
      <c r="F2746" t="str">
        <f>"AC FARMA - FLEMINFARMA (10160)"</f>
        <v>AC FARMA - FLEMINFARMA (10160)</v>
      </c>
      <c r="G2746" t="str">
        <f>"Serv.Prest. 12/05/2025 a 18/05/2025 - RPS: 785 - NFSe: 3015"</f>
        <v>Serv.Prest. 12/05/2025 a 18/05/2025 - RPS: 785 - NFSe: 3015</v>
      </c>
      <c r="H2746" t="str">
        <f t="shared" si="1368"/>
        <v>28/05/2025</v>
      </c>
      <c r="I2746" t="str">
        <f>("22/05/2025")</f>
        <v>22/05/2025</v>
      </c>
      <c r="J2746" t="str">
        <f t="shared" si="1369"/>
        <v>29/05/2025</v>
      </c>
      <c r="K2746">
        <v>263.08999999999997</v>
      </c>
      <c r="L2746">
        <v>263.08999999999997</v>
      </c>
      <c r="M2746">
        <v>303</v>
      </c>
      <c r="N2746" t="str">
        <f t="shared" si="1370"/>
        <v>RECEITAS COM ENTREGAS</v>
      </c>
      <c r="O2746">
        <v>263.08999999999997</v>
      </c>
      <c r="R2746" t="str">
        <f t="shared" si="1371"/>
        <v>RECEITAS COM ENTREGAS (303)</v>
      </c>
      <c r="S2746">
        <v>1585</v>
      </c>
      <c r="T2746">
        <v>1222</v>
      </c>
      <c r="U2746" t="s">
        <v>19</v>
      </c>
    </row>
    <row r="2747" spans="1:21">
      <c r="A2747" t="str">
        <f t="shared" si="1366"/>
        <v>29/05/2025</v>
      </c>
      <c r="B2747" t="str">
        <f t="shared" si="1372"/>
        <v>ENTRADA</v>
      </c>
      <c r="C2747" t="str">
        <f t="shared" si="1367"/>
        <v>NFSE</v>
      </c>
      <c r="D2747" t="str">
        <f>"3015"</f>
        <v>3015</v>
      </c>
      <c r="E2747" t="str">
        <f t="shared" si="1365"/>
        <v>COM</v>
      </c>
      <c r="F2747" t="str">
        <f>"AC FARMA - FLEMINFARMA (10160)"</f>
        <v>AC FARMA - FLEMINFARMA (10160)</v>
      </c>
      <c r="G2747" t="str">
        <f>"Serv.Prest. 12/05/2025 a 18/05/2025 - RPS: 785 - NFSe: 3015"</f>
        <v>Serv.Prest. 12/05/2025 a 18/05/2025 - RPS: 785 - NFSe: 3015</v>
      </c>
      <c r="H2747" t="str">
        <f t="shared" si="1368"/>
        <v>28/05/2025</v>
      </c>
      <c r="I2747" t="str">
        <f>("22/05/2025")</f>
        <v>22/05/2025</v>
      </c>
      <c r="J2747" t="str">
        <f t="shared" si="1369"/>
        <v>29/05/2025</v>
      </c>
      <c r="M2747">
        <v>303</v>
      </c>
      <c r="N2747" t="str">
        <f t="shared" si="1370"/>
        <v>RECEITAS COM ENTREGAS</v>
      </c>
      <c r="P2747">
        <v>257.51</v>
      </c>
      <c r="Q2747" t="str">
        <f>"FARMACIA E PERFUMARIA CIDADE ALTA LTDA (10159)"</f>
        <v>FARMACIA E PERFUMARIA CIDADE ALTA LTDA (10159)</v>
      </c>
      <c r="R2747" t="str">
        <f t="shared" si="1371"/>
        <v>RECEITAS COM ENTREGAS (303)</v>
      </c>
      <c r="S2747">
        <v>1585</v>
      </c>
      <c r="T2747">
        <v>1222</v>
      </c>
      <c r="U2747" t="s">
        <v>19</v>
      </c>
    </row>
    <row r="2748" spans="1:21">
      <c r="A2748" t="str">
        <f t="shared" si="1366"/>
        <v>29/05/2025</v>
      </c>
      <c r="B2748" t="str">
        <f t="shared" si="1372"/>
        <v>ENTRADA</v>
      </c>
      <c r="C2748" t="str">
        <f t="shared" si="1367"/>
        <v>NFSE</v>
      </c>
      <c r="D2748" t="str">
        <f>"3015"</f>
        <v>3015</v>
      </c>
      <c r="E2748" t="str">
        <f t="shared" si="1365"/>
        <v>COM</v>
      </c>
      <c r="F2748" t="str">
        <f>"AC FARMA - FLEMINFARMA (10160)"</f>
        <v>AC FARMA - FLEMINFARMA (10160)</v>
      </c>
      <c r="G2748" t="str">
        <f>"Serv.Prest. 12/05/2025 a 18/05/2025 - RPS: 785 - NFSe: 3015"</f>
        <v>Serv.Prest. 12/05/2025 a 18/05/2025 - RPS: 785 - NFSe: 3015</v>
      </c>
      <c r="H2748" t="str">
        <f t="shared" si="1368"/>
        <v>28/05/2025</v>
      </c>
      <c r="I2748" t="str">
        <f>("22/05/2025")</f>
        <v>22/05/2025</v>
      </c>
      <c r="J2748" t="str">
        <f t="shared" si="1369"/>
        <v>29/05/2025</v>
      </c>
      <c r="M2748">
        <v>303</v>
      </c>
      <c r="N2748" t="str">
        <f t="shared" si="1370"/>
        <v>RECEITAS COM ENTREGAS</v>
      </c>
      <c r="P2748">
        <v>5.58</v>
      </c>
      <c r="Q2748" t="str">
        <f>"AC FARMA - FLEMINFARMA (10160)"</f>
        <v>AC FARMA - FLEMINFARMA (10160)</v>
      </c>
      <c r="R2748" t="str">
        <f t="shared" si="1371"/>
        <v>RECEITAS COM ENTREGAS (303)</v>
      </c>
      <c r="S2748">
        <v>1585</v>
      </c>
      <c r="T2748">
        <v>1222</v>
      </c>
      <c r="U2748" t="s">
        <v>19</v>
      </c>
    </row>
    <row r="2749" spans="1:21">
      <c r="A2749" t="str">
        <f t="shared" si="1366"/>
        <v>29/05/2025</v>
      </c>
      <c r="B2749" t="str">
        <f t="shared" si="1372"/>
        <v>ENTRADA</v>
      </c>
      <c r="C2749" t="str">
        <f t="shared" si="1367"/>
        <v>NFSE</v>
      </c>
      <c r="D2749" t="str">
        <f>"3019"</f>
        <v>3019</v>
      </c>
      <c r="E2749" t="str">
        <f t="shared" si="1365"/>
        <v>COM</v>
      </c>
      <c r="F2749" t="str">
        <f>"BRASIL FARMA (10173)"</f>
        <v>BRASIL FARMA (10173)</v>
      </c>
      <c r="G2749" t="str">
        <f>"Serv.Prest. 19/05/2025 a 25/05/2025 - RPS: 789 - NFSe: 3019"</f>
        <v>Serv.Prest. 19/05/2025 a 25/05/2025 - RPS: 789 - NFSe: 3019</v>
      </c>
      <c r="H2749" t="str">
        <f t="shared" si="1368"/>
        <v>28/05/2025</v>
      </c>
      <c r="I2749" t="str">
        <f t="shared" ref="I2749:I2765" si="1373">("26/05/2025")</f>
        <v>26/05/2025</v>
      </c>
      <c r="J2749" t="str">
        <f t="shared" si="1369"/>
        <v>29/05/2025</v>
      </c>
      <c r="K2749">
        <v>320.95999999999998</v>
      </c>
      <c r="L2749">
        <v>320.95999999999998</v>
      </c>
      <c r="M2749">
        <v>303</v>
      </c>
      <c r="N2749" t="str">
        <f t="shared" si="1370"/>
        <v>RECEITAS COM ENTREGAS</v>
      </c>
      <c r="O2749">
        <v>320.95999999999998</v>
      </c>
      <c r="R2749" t="str">
        <f t="shared" si="1371"/>
        <v>RECEITAS COM ENTREGAS (303)</v>
      </c>
      <c r="S2749">
        <v>1586</v>
      </c>
      <c r="T2749">
        <v>1226</v>
      </c>
      <c r="U2749" t="s">
        <v>19</v>
      </c>
    </row>
    <row r="2750" spans="1:21">
      <c r="A2750" t="str">
        <f t="shared" si="1366"/>
        <v>29/05/2025</v>
      </c>
      <c r="B2750" t="str">
        <f t="shared" si="1372"/>
        <v>ENTRADA</v>
      </c>
      <c r="C2750" t="str">
        <f t="shared" si="1367"/>
        <v>NFSE</v>
      </c>
      <c r="D2750" t="str">
        <f>"3019"</f>
        <v>3019</v>
      </c>
      <c r="E2750" t="str">
        <f t="shared" si="1365"/>
        <v>COM</v>
      </c>
      <c r="F2750" t="str">
        <f>"BRASIL FARMA (10173)"</f>
        <v>BRASIL FARMA (10173)</v>
      </c>
      <c r="G2750" t="str">
        <f>"Serv.Prest. 19/05/2025 a 25/05/2025 - RPS: 789 - NFSe: 3019"</f>
        <v>Serv.Prest. 19/05/2025 a 25/05/2025 - RPS: 789 - NFSe: 3019</v>
      </c>
      <c r="H2750" t="str">
        <f t="shared" si="1368"/>
        <v>28/05/2025</v>
      </c>
      <c r="I2750" t="str">
        <f t="shared" si="1373"/>
        <v>26/05/2025</v>
      </c>
      <c r="J2750" t="str">
        <f t="shared" si="1369"/>
        <v>29/05/2025</v>
      </c>
      <c r="M2750">
        <v>303</v>
      </c>
      <c r="N2750" t="str">
        <f t="shared" si="1370"/>
        <v>RECEITAS COM ENTREGAS</v>
      </c>
      <c r="P2750">
        <v>320.95999999999998</v>
      </c>
      <c r="Q2750" t="str">
        <f>"BRASIL FARMA (10173)"</f>
        <v>BRASIL FARMA (10173)</v>
      </c>
      <c r="R2750" t="str">
        <f t="shared" si="1371"/>
        <v>RECEITAS COM ENTREGAS (303)</v>
      </c>
      <c r="S2750">
        <v>1586</v>
      </c>
      <c r="T2750">
        <v>1226</v>
      </c>
      <c r="U2750" t="s">
        <v>19</v>
      </c>
    </row>
    <row r="2751" spans="1:21">
      <c r="A2751" t="str">
        <f t="shared" si="1366"/>
        <v>29/05/2025</v>
      </c>
      <c r="B2751" t="str">
        <f t="shared" si="1372"/>
        <v>ENTRADA</v>
      </c>
      <c r="C2751" t="str">
        <f t="shared" si="1367"/>
        <v>NFSE</v>
      </c>
      <c r="D2751" t="str">
        <f>"3020"</f>
        <v>3020</v>
      </c>
      <c r="E2751" t="str">
        <f t="shared" si="1365"/>
        <v>COM</v>
      </c>
      <c r="F2751" t="str">
        <f>"DELTA LOJA 2 (10123)"</f>
        <v>DELTA LOJA 2 (10123)</v>
      </c>
      <c r="G2751" t="str">
        <f>"Serv.Prest. 19/05/2025 a 25/05/2025 - RPS: 790 - NFSe: 3020"</f>
        <v>Serv.Prest. 19/05/2025 a 25/05/2025 - RPS: 790 - NFSe: 3020</v>
      </c>
      <c r="H2751" t="str">
        <f t="shared" si="1368"/>
        <v>28/05/2025</v>
      </c>
      <c r="I2751" t="str">
        <f t="shared" si="1373"/>
        <v>26/05/2025</v>
      </c>
      <c r="J2751" t="str">
        <f t="shared" si="1369"/>
        <v>29/05/2025</v>
      </c>
      <c r="K2751">
        <v>480.48</v>
      </c>
      <c r="L2751">
        <v>480.48</v>
      </c>
      <c r="M2751">
        <v>303</v>
      </c>
      <c r="N2751" t="str">
        <f t="shared" si="1370"/>
        <v>RECEITAS COM ENTREGAS</v>
      </c>
      <c r="O2751">
        <v>480.48</v>
      </c>
      <c r="R2751" t="str">
        <f t="shared" si="1371"/>
        <v>RECEITAS COM ENTREGAS (303)</v>
      </c>
      <c r="S2751">
        <v>1587</v>
      </c>
      <c r="T2751">
        <v>1227</v>
      </c>
      <c r="U2751" t="s">
        <v>19</v>
      </c>
    </row>
    <row r="2752" spans="1:21">
      <c r="A2752" t="str">
        <f t="shared" si="1366"/>
        <v>29/05/2025</v>
      </c>
      <c r="B2752" t="str">
        <f t="shared" si="1372"/>
        <v>ENTRADA</v>
      </c>
      <c r="C2752" t="str">
        <f t="shared" si="1367"/>
        <v>NFSE</v>
      </c>
      <c r="D2752" t="str">
        <f>"3020"</f>
        <v>3020</v>
      </c>
      <c r="E2752" t="str">
        <f t="shared" si="1365"/>
        <v>COM</v>
      </c>
      <c r="F2752" t="str">
        <f>"DELTA LOJA 2 (10123)"</f>
        <v>DELTA LOJA 2 (10123)</v>
      </c>
      <c r="G2752" t="str">
        <f>"Serv.Prest. 19/05/2025 a 25/05/2025 - RPS: 790 - NFSe: 3020"</f>
        <v>Serv.Prest. 19/05/2025 a 25/05/2025 - RPS: 790 - NFSe: 3020</v>
      </c>
      <c r="H2752" t="str">
        <f t="shared" si="1368"/>
        <v>28/05/2025</v>
      </c>
      <c r="I2752" t="str">
        <f t="shared" si="1373"/>
        <v>26/05/2025</v>
      </c>
      <c r="J2752" t="str">
        <f t="shared" si="1369"/>
        <v>29/05/2025</v>
      </c>
      <c r="M2752">
        <v>303</v>
      </c>
      <c r="N2752" t="str">
        <f t="shared" si="1370"/>
        <v>RECEITAS COM ENTREGAS</v>
      </c>
      <c r="P2752">
        <v>480.48</v>
      </c>
      <c r="Q2752" t="str">
        <f>"DELTA LOJA 2 (10123)"</f>
        <v>DELTA LOJA 2 (10123)</v>
      </c>
      <c r="R2752" t="str">
        <f t="shared" si="1371"/>
        <v>RECEITAS COM ENTREGAS (303)</v>
      </c>
      <c r="S2752">
        <v>1587</v>
      </c>
      <c r="T2752">
        <v>1227</v>
      </c>
      <c r="U2752" t="s">
        <v>19</v>
      </c>
    </row>
    <row r="2753" spans="1:21">
      <c r="A2753" t="str">
        <f t="shared" si="1366"/>
        <v>29/05/2025</v>
      </c>
      <c r="B2753" t="str">
        <f t="shared" si="1372"/>
        <v>ENTRADA</v>
      </c>
      <c r="C2753" t="str">
        <f t="shared" si="1367"/>
        <v>NFSE</v>
      </c>
      <c r="D2753" t="str">
        <f>"3021"</f>
        <v>3021</v>
      </c>
      <c r="E2753" t="str">
        <f t="shared" si="1365"/>
        <v>COM</v>
      </c>
      <c r="F2753" t="str">
        <f>"DROGA ELIDA (10121)"</f>
        <v>DROGA ELIDA (10121)</v>
      </c>
      <c r="G2753" t="str">
        <f>"Serv.Prest. 19/05/2025 a 25/05/2025 - RPS: 791 - NFSe: 3021"</f>
        <v>Serv.Prest. 19/05/2025 a 25/05/2025 - RPS: 791 - NFSe: 3021</v>
      </c>
      <c r="H2753" t="str">
        <f t="shared" si="1368"/>
        <v>28/05/2025</v>
      </c>
      <c r="I2753" t="str">
        <f t="shared" si="1373"/>
        <v>26/05/2025</v>
      </c>
      <c r="J2753" t="str">
        <f t="shared" si="1369"/>
        <v>29/05/2025</v>
      </c>
      <c r="K2753">
        <v>350.4</v>
      </c>
      <c r="L2753">
        <v>350.4</v>
      </c>
      <c r="M2753">
        <v>303</v>
      </c>
      <c r="N2753" t="str">
        <f t="shared" si="1370"/>
        <v>RECEITAS COM ENTREGAS</v>
      </c>
      <c r="O2753">
        <v>350.4</v>
      </c>
      <c r="R2753" t="str">
        <f t="shared" si="1371"/>
        <v>RECEITAS COM ENTREGAS (303)</v>
      </c>
      <c r="S2753">
        <v>1588</v>
      </c>
      <c r="T2753">
        <v>1228</v>
      </c>
      <c r="U2753" t="s">
        <v>19</v>
      </c>
    </row>
    <row r="2754" spans="1:21">
      <c r="A2754" t="str">
        <f t="shared" si="1366"/>
        <v>29/05/2025</v>
      </c>
      <c r="B2754" t="str">
        <f t="shared" si="1372"/>
        <v>ENTRADA</v>
      </c>
      <c r="C2754" t="str">
        <f t="shared" si="1367"/>
        <v>NFSE</v>
      </c>
      <c r="D2754" t="str">
        <f>"3021"</f>
        <v>3021</v>
      </c>
      <c r="E2754" t="str">
        <f t="shared" si="1365"/>
        <v>COM</v>
      </c>
      <c r="F2754" t="str">
        <f>"DROGA ELIDA (10121)"</f>
        <v>DROGA ELIDA (10121)</v>
      </c>
      <c r="G2754" t="str">
        <f>"Serv.Prest. 19/05/2025 a 25/05/2025 - RPS: 791 - NFSe: 3021"</f>
        <v>Serv.Prest. 19/05/2025 a 25/05/2025 - RPS: 791 - NFSe: 3021</v>
      </c>
      <c r="H2754" t="str">
        <f t="shared" si="1368"/>
        <v>28/05/2025</v>
      </c>
      <c r="I2754" t="str">
        <f t="shared" si="1373"/>
        <v>26/05/2025</v>
      </c>
      <c r="J2754" t="str">
        <f t="shared" si="1369"/>
        <v>29/05/2025</v>
      </c>
      <c r="M2754">
        <v>303</v>
      </c>
      <c r="N2754" t="str">
        <f t="shared" si="1370"/>
        <v>RECEITAS COM ENTREGAS</v>
      </c>
      <c r="P2754">
        <v>350.4</v>
      </c>
      <c r="Q2754" t="str">
        <f>"DROGA ELIDA (10121)"</f>
        <v>DROGA ELIDA (10121)</v>
      </c>
      <c r="R2754" t="str">
        <f t="shared" si="1371"/>
        <v>RECEITAS COM ENTREGAS (303)</v>
      </c>
      <c r="S2754">
        <v>1588</v>
      </c>
      <c r="T2754">
        <v>1228</v>
      </c>
      <c r="U2754" t="s">
        <v>19</v>
      </c>
    </row>
    <row r="2755" spans="1:21">
      <c r="A2755" t="str">
        <f t="shared" si="1366"/>
        <v>29/05/2025</v>
      </c>
      <c r="B2755" t="str">
        <f t="shared" si="1372"/>
        <v>ENTRADA</v>
      </c>
      <c r="C2755" t="str">
        <f t="shared" si="1367"/>
        <v>NFSE</v>
      </c>
      <c r="D2755" t="str">
        <f>"3022"</f>
        <v>3022</v>
      </c>
      <c r="E2755" t="str">
        <f t="shared" si="1365"/>
        <v>COM</v>
      </c>
      <c r="F2755" t="str">
        <f>"DROGA MONICA LJ 3 (10152)"</f>
        <v>DROGA MONICA LJ 3 (10152)</v>
      </c>
      <c r="G2755" t="str">
        <f>"Serv.Prest. 19/05/2025 a 25/05/2025 - RPS: 792 - NFSe: 3022"</f>
        <v>Serv.Prest. 19/05/2025 a 25/05/2025 - RPS: 792 - NFSe: 3022</v>
      </c>
      <c r="H2755" t="str">
        <f t="shared" si="1368"/>
        <v>28/05/2025</v>
      </c>
      <c r="I2755" t="str">
        <f t="shared" si="1373"/>
        <v>26/05/2025</v>
      </c>
      <c r="J2755" t="str">
        <f t="shared" si="1369"/>
        <v>29/05/2025</v>
      </c>
      <c r="K2755">
        <v>206.4</v>
      </c>
      <c r="L2755">
        <v>206.4</v>
      </c>
      <c r="M2755">
        <v>303</v>
      </c>
      <c r="N2755" t="str">
        <f t="shared" si="1370"/>
        <v>RECEITAS COM ENTREGAS</v>
      </c>
      <c r="O2755">
        <v>206.4</v>
      </c>
      <c r="R2755" t="str">
        <f t="shared" si="1371"/>
        <v>RECEITAS COM ENTREGAS (303)</v>
      </c>
      <c r="S2755">
        <v>1589</v>
      </c>
      <c r="T2755">
        <v>1229</v>
      </c>
      <c r="U2755" t="s">
        <v>19</v>
      </c>
    </row>
    <row r="2756" spans="1:21">
      <c r="A2756" t="str">
        <f t="shared" si="1366"/>
        <v>29/05/2025</v>
      </c>
      <c r="B2756" t="str">
        <f t="shared" si="1372"/>
        <v>ENTRADA</v>
      </c>
      <c r="C2756" t="str">
        <f t="shared" si="1367"/>
        <v>NFSE</v>
      </c>
      <c r="D2756" t="str">
        <f>"3022"</f>
        <v>3022</v>
      </c>
      <c r="E2756" t="str">
        <f t="shared" si="1365"/>
        <v>COM</v>
      </c>
      <c r="F2756" t="str">
        <f>"DROGA MONICA LJ 3 (10152)"</f>
        <v>DROGA MONICA LJ 3 (10152)</v>
      </c>
      <c r="G2756" t="str">
        <f>"Serv.Prest. 19/05/2025 a 25/05/2025 - RPS: 792 - NFSe: 3022"</f>
        <v>Serv.Prest. 19/05/2025 a 25/05/2025 - RPS: 792 - NFSe: 3022</v>
      </c>
      <c r="H2756" t="str">
        <f t="shared" si="1368"/>
        <v>28/05/2025</v>
      </c>
      <c r="I2756" t="str">
        <f t="shared" si="1373"/>
        <v>26/05/2025</v>
      </c>
      <c r="J2756" t="str">
        <f t="shared" si="1369"/>
        <v>29/05/2025</v>
      </c>
      <c r="M2756">
        <v>303</v>
      </c>
      <c r="N2756" t="str">
        <f t="shared" si="1370"/>
        <v>RECEITAS COM ENTREGAS</v>
      </c>
      <c r="P2756">
        <v>206.4</v>
      </c>
      <c r="Q2756" t="str">
        <f>"DROGA MONICA LJ 3 (10152)"</f>
        <v>DROGA MONICA LJ 3 (10152)</v>
      </c>
      <c r="R2756" t="str">
        <f t="shared" si="1371"/>
        <v>RECEITAS COM ENTREGAS (303)</v>
      </c>
      <c r="S2756">
        <v>1589</v>
      </c>
      <c r="T2756">
        <v>1229</v>
      </c>
      <c r="U2756" t="s">
        <v>19</v>
      </c>
    </row>
    <row r="2757" spans="1:21">
      <c r="A2757" t="str">
        <f t="shared" si="1366"/>
        <v>29/05/2025</v>
      </c>
      <c r="B2757" t="str">
        <f t="shared" si="1372"/>
        <v>ENTRADA</v>
      </c>
      <c r="C2757" t="str">
        <f t="shared" si="1367"/>
        <v>NFSE</v>
      </c>
      <c r="D2757" t="str">
        <f>"3027"</f>
        <v>3027</v>
      </c>
      <c r="E2757" t="str">
        <f t="shared" si="1365"/>
        <v>COM</v>
      </c>
      <c r="F2757" t="str">
        <f>"ROSA MARIA LTDA (10165)"</f>
        <v>ROSA MARIA LTDA (10165)</v>
      </c>
      <c r="G2757" t="str">
        <f>"Serv.Prest. 19/05/2025 a 25/05/2025 - RPS: 797 - NFSe: 3027"</f>
        <v>Serv.Prest. 19/05/2025 a 25/05/2025 - RPS: 797 - NFSe: 3027</v>
      </c>
      <c r="H2757" t="str">
        <f t="shared" si="1368"/>
        <v>28/05/2025</v>
      </c>
      <c r="I2757" t="str">
        <f t="shared" si="1373"/>
        <v>26/05/2025</v>
      </c>
      <c r="J2757" t="str">
        <f t="shared" si="1369"/>
        <v>29/05/2025</v>
      </c>
      <c r="K2757">
        <v>278.8</v>
      </c>
      <c r="L2757">
        <v>278.8</v>
      </c>
      <c r="M2757">
        <v>303</v>
      </c>
      <c r="N2757" t="str">
        <f t="shared" si="1370"/>
        <v>RECEITAS COM ENTREGAS</v>
      </c>
      <c r="O2757">
        <v>278.8</v>
      </c>
      <c r="R2757" t="str">
        <f t="shared" si="1371"/>
        <v>RECEITAS COM ENTREGAS (303)</v>
      </c>
      <c r="S2757">
        <v>1590</v>
      </c>
      <c r="T2757">
        <v>1234</v>
      </c>
      <c r="U2757" t="s">
        <v>19</v>
      </c>
    </row>
    <row r="2758" spans="1:21">
      <c r="A2758" t="str">
        <f t="shared" si="1366"/>
        <v>29/05/2025</v>
      </c>
      <c r="B2758" t="str">
        <f t="shared" si="1372"/>
        <v>ENTRADA</v>
      </c>
      <c r="C2758" t="str">
        <f t="shared" si="1367"/>
        <v>NFSE</v>
      </c>
      <c r="D2758" t="str">
        <f>"3027"</f>
        <v>3027</v>
      </c>
      <c r="E2758" t="str">
        <f t="shared" si="1365"/>
        <v>COM</v>
      </c>
      <c r="F2758" t="str">
        <f>"ROSA MARIA LTDA (10165)"</f>
        <v>ROSA MARIA LTDA (10165)</v>
      </c>
      <c r="G2758" t="str">
        <f>"Serv.Prest. 19/05/2025 a 25/05/2025 - RPS: 797 - NFSe: 3027"</f>
        <v>Serv.Prest. 19/05/2025 a 25/05/2025 - RPS: 797 - NFSe: 3027</v>
      </c>
      <c r="H2758" t="str">
        <f t="shared" si="1368"/>
        <v>28/05/2025</v>
      </c>
      <c r="I2758" t="str">
        <f t="shared" si="1373"/>
        <v>26/05/2025</v>
      </c>
      <c r="J2758" t="str">
        <f t="shared" si="1369"/>
        <v>29/05/2025</v>
      </c>
      <c r="M2758">
        <v>303</v>
      </c>
      <c r="N2758" t="str">
        <f t="shared" si="1370"/>
        <v>RECEITAS COM ENTREGAS</v>
      </c>
      <c r="P2758">
        <v>278.8</v>
      </c>
      <c r="Q2758" t="str">
        <f>"ROSA MARIA LTDA (10170)"</f>
        <v>ROSA MARIA LTDA (10170)</v>
      </c>
      <c r="R2758" t="str">
        <f t="shared" si="1371"/>
        <v>RECEITAS COM ENTREGAS (303)</v>
      </c>
      <c r="S2758">
        <v>1590</v>
      </c>
      <c r="T2758">
        <v>1234</v>
      </c>
      <c r="U2758" t="s">
        <v>19</v>
      </c>
    </row>
    <row r="2759" spans="1:21">
      <c r="A2759" t="str">
        <f t="shared" si="1366"/>
        <v>29/05/2025</v>
      </c>
      <c r="B2759" t="str">
        <f t="shared" si="1372"/>
        <v>ENTRADA</v>
      </c>
      <c r="C2759" t="str">
        <f t="shared" si="1367"/>
        <v>NFSE</v>
      </c>
      <c r="D2759" t="str">
        <f>"3033"</f>
        <v>3033</v>
      </c>
      <c r="E2759" t="str">
        <f t="shared" si="1365"/>
        <v>COM</v>
      </c>
      <c r="F2759" t="str">
        <f>"JAL FARMACIA E DROGARIA LJ 1 (10137)"</f>
        <v>JAL FARMACIA E DROGARIA LJ 1 (10137)</v>
      </c>
      <c r="G2759" t="str">
        <f>"Serv.Prest. 19/05/2025 a 25/05/2025 - RPS: 803 - NFSe: 3033"</f>
        <v>Serv.Prest. 19/05/2025 a 25/05/2025 - RPS: 803 - NFSe: 3033</v>
      </c>
      <c r="H2759" t="str">
        <f t="shared" si="1368"/>
        <v>28/05/2025</v>
      </c>
      <c r="I2759" t="str">
        <f t="shared" si="1373"/>
        <v>26/05/2025</v>
      </c>
      <c r="J2759" t="str">
        <f t="shared" si="1369"/>
        <v>29/05/2025</v>
      </c>
      <c r="K2759">
        <v>472</v>
      </c>
      <c r="L2759">
        <v>472</v>
      </c>
      <c r="M2759">
        <v>303</v>
      </c>
      <c r="N2759" t="str">
        <f t="shared" si="1370"/>
        <v>RECEITAS COM ENTREGAS</v>
      </c>
      <c r="O2759">
        <v>472</v>
      </c>
      <c r="R2759" t="str">
        <f t="shared" si="1371"/>
        <v>RECEITAS COM ENTREGAS (303)</v>
      </c>
      <c r="S2759">
        <v>1591</v>
      </c>
      <c r="T2759">
        <v>1240</v>
      </c>
      <c r="U2759" t="s">
        <v>19</v>
      </c>
    </row>
    <row r="2760" spans="1:21">
      <c r="A2760" t="str">
        <f t="shared" si="1366"/>
        <v>29/05/2025</v>
      </c>
      <c r="B2760" t="str">
        <f t="shared" si="1372"/>
        <v>ENTRADA</v>
      </c>
      <c r="C2760" t="str">
        <f t="shared" si="1367"/>
        <v>NFSE</v>
      </c>
      <c r="D2760" t="str">
        <f>"3033"</f>
        <v>3033</v>
      </c>
      <c r="E2760" t="str">
        <f t="shared" si="1365"/>
        <v>COM</v>
      </c>
      <c r="F2760" t="str">
        <f>"JAL FARMACIA E DROGARIA LJ 1 (10137)"</f>
        <v>JAL FARMACIA E DROGARIA LJ 1 (10137)</v>
      </c>
      <c r="G2760" t="str">
        <f>"Serv.Prest. 19/05/2025 a 25/05/2025 - RPS: 803 - NFSe: 3033"</f>
        <v>Serv.Prest. 19/05/2025 a 25/05/2025 - RPS: 803 - NFSe: 3033</v>
      </c>
      <c r="H2760" t="str">
        <f t="shared" si="1368"/>
        <v>28/05/2025</v>
      </c>
      <c r="I2760" t="str">
        <f t="shared" si="1373"/>
        <v>26/05/2025</v>
      </c>
      <c r="J2760" t="str">
        <f t="shared" si="1369"/>
        <v>29/05/2025</v>
      </c>
      <c r="M2760">
        <v>303</v>
      </c>
      <c r="N2760" t="str">
        <f t="shared" si="1370"/>
        <v>RECEITAS COM ENTREGAS</v>
      </c>
      <c r="P2760">
        <v>472</v>
      </c>
      <c r="Q2760" t="str">
        <f>"JAL FARMACIA E DROGARIA LJ 1 (10137)"</f>
        <v>JAL FARMACIA E DROGARIA LJ 1 (10137)</v>
      </c>
      <c r="R2760" t="str">
        <f t="shared" si="1371"/>
        <v>RECEITAS COM ENTREGAS (303)</v>
      </c>
      <c r="S2760">
        <v>1591</v>
      </c>
      <c r="T2760">
        <v>1240</v>
      </c>
      <c r="U2760" t="s">
        <v>19</v>
      </c>
    </row>
    <row r="2761" spans="1:21">
      <c r="A2761" t="str">
        <f t="shared" si="1366"/>
        <v>29/05/2025</v>
      </c>
      <c r="B2761" t="str">
        <f t="shared" si="1372"/>
        <v>ENTRADA</v>
      </c>
      <c r="C2761" t="str">
        <f t="shared" si="1367"/>
        <v>NFSE</v>
      </c>
      <c r="D2761" t="str">
        <f>"3034"</f>
        <v>3034</v>
      </c>
      <c r="E2761" t="str">
        <f t="shared" si="1365"/>
        <v>COM</v>
      </c>
      <c r="F2761" t="str">
        <f>"FARMACIA ECONOMIZE (10103)"</f>
        <v>FARMACIA ECONOMIZE (10103)</v>
      </c>
      <c r="G2761" t="str">
        <f>"Serv.Prest. 19/05/2025 a 25/05/2025 - RPS: 804 - NFSe: 3034"</f>
        <v>Serv.Prest. 19/05/2025 a 25/05/2025 - RPS: 804 - NFSe: 3034</v>
      </c>
      <c r="H2761" t="str">
        <f t="shared" si="1368"/>
        <v>28/05/2025</v>
      </c>
      <c r="I2761" t="str">
        <f t="shared" si="1373"/>
        <v>26/05/2025</v>
      </c>
      <c r="J2761" t="str">
        <f t="shared" si="1369"/>
        <v>29/05/2025</v>
      </c>
      <c r="K2761">
        <v>21.75</v>
      </c>
      <c r="L2761">
        <v>21.75</v>
      </c>
      <c r="M2761">
        <v>303</v>
      </c>
      <c r="N2761" t="str">
        <f t="shared" si="1370"/>
        <v>RECEITAS COM ENTREGAS</v>
      </c>
      <c r="O2761">
        <v>21.75</v>
      </c>
      <c r="R2761" t="str">
        <f t="shared" si="1371"/>
        <v>RECEITAS COM ENTREGAS (303)</v>
      </c>
      <c r="S2761">
        <v>1592</v>
      </c>
      <c r="T2761">
        <v>1241</v>
      </c>
      <c r="U2761" t="s">
        <v>19</v>
      </c>
    </row>
    <row r="2762" spans="1:21">
      <c r="A2762" t="str">
        <f t="shared" si="1366"/>
        <v>29/05/2025</v>
      </c>
      <c r="B2762" t="str">
        <f t="shared" si="1372"/>
        <v>ENTRADA</v>
      </c>
      <c r="C2762" t="str">
        <f t="shared" si="1367"/>
        <v>NFSE</v>
      </c>
      <c r="D2762" t="str">
        <f>"3034"</f>
        <v>3034</v>
      </c>
      <c r="E2762" t="str">
        <f t="shared" si="1365"/>
        <v>COM</v>
      </c>
      <c r="F2762" t="str">
        <f>"FARMACIA ECONOMIZE (10103)"</f>
        <v>FARMACIA ECONOMIZE (10103)</v>
      </c>
      <c r="G2762" t="str">
        <f>"Serv.Prest. 19/05/2025 a 25/05/2025 - RPS: 804 - NFSe: 3034"</f>
        <v>Serv.Prest. 19/05/2025 a 25/05/2025 - RPS: 804 - NFSe: 3034</v>
      </c>
      <c r="H2762" t="str">
        <f t="shared" si="1368"/>
        <v>28/05/2025</v>
      </c>
      <c r="I2762" t="str">
        <f t="shared" si="1373"/>
        <v>26/05/2025</v>
      </c>
      <c r="J2762" t="str">
        <f t="shared" si="1369"/>
        <v>29/05/2025</v>
      </c>
      <c r="M2762">
        <v>303</v>
      </c>
      <c r="N2762" t="str">
        <f t="shared" si="1370"/>
        <v>RECEITAS COM ENTREGAS</v>
      </c>
      <c r="P2762">
        <v>21.75</v>
      </c>
      <c r="Q2762" t="str">
        <f>"FARMACIA ECONOMIZE (10103)"</f>
        <v>FARMACIA ECONOMIZE (10103)</v>
      </c>
      <c r="R2762" t="str">
        <f t="shared" si="1371"/>
        <v>RECEITAS COM ENTREGAS (303)</v>
      </c>
      <c r="S2762">
        <v>1592</v>
      </c>
      <c r="T2762">
        <v>1241</v>
      </c>
      <c r="U2762" t="s">
        <v>19</v>
      </c>
    </row>
    <row r="2763" spans="1:21">
      <c r="A2763" t="str">
        <f t="shared" si="1366"/>
        <v>29/05/2025</v>
      </c>
      <c r="B2763" t="str">
        <f t="shared" si="1372"/>
        <v>ENTRADA</v>
      </c>
      <c r="C2763" t="str">
        <f t="shared" si="1367"/>
        <v>NFSE</v>
      </c>
      <c r="D2763" t="str">
        <f>"3035"</f>
        <v>3035</v>
      </c>
      <c r="E2763" t="str">
        <f t="shared" si="1365"/>
        <v>COM</v>
      </c>
      <c r="F2763" t="str">
        <f>"DROGARIA ANA VISCONDE DO RIO BRANCO (10180)"</f>
        <v>DROGARIA ANA VISCONDE DO RIO BRANCO (10180)</v>
      </c>
      <c r="G2763" t="str">
        <f>"Serv.Prest. 19/05/2025 a 25/05/2025 - RPS: 805 - NFSe: 3035"</f>
        <v>Serv.Prest. 19/05/2025 a 25/05/2025 - RPS: 805 - NFSe: 3035</v>
      </c>
      <c r="H2763" t="str">
        <f t="shared" si="1368"/>
        <v>28/05/2025</v>
      </c>
      <c r="I2763" t="str">
        <f t="shared" si="1373"/>
        <v>26/05/2025</v>
      </c>
      <c r="J2763" t="str">
        <f t="shared" si="1369"/>
        <v>29/05/2025</v>
      </c>
      <c r="K2763">
        <v>642.6</v>
      </c>
      <c r="L2763">
        <v>642.6</v>
      </c>
      <c r="M2763">
        <v>303</v>
      </c>
      <c r="N2763" t="str">
        <f t="shared" si="1370"/>
        <v>RECEITAS COM ENTREGAS</v>
      </c>
      <c r="O2763">
        <v>642.6</v>
      </c>
      <c r="R2763" t="str">
        <f t="shared" si="1371"/>
        <v>RECEITAS COM ENTREGAS (303)</v>
      </c>
      <c r="S2763">
        <v>1593</v>
      </c>
      <c r="T2763">
        <v>1242</v>
      </c>
      <c r="U2763" t="s">
        <v>19</v>
      </c>
    </row>
    <row r="2764" spans="1:21">
      <c r="A2764" t="str">
        <f t="shared" si="1366"/>
        <v>29/05/2025</v>
      </c>
      <c r="B2764" t="str">
        <f t="shared" si="1372"/>
        <v>ENTRADA</v>
      </c>
      <c r="C2764" t="str">
        <f t="shared" si="1367"/>
        <v>NFSE</v>
      </c>
      <c r="D2764" t="str">
        <f>"3035"</f>
        <v>3035</v>
      </c>
      <c r="E2764" t="str">
        <f t="shared" si="1365"/>
        <v>COM</v>
      </c>
      <c r="F2764" t="str">
        <f>"DROGARIA ANA VISCONDE DO RIO BRANCO (10180)"</f>
        <v>DROGARIA ANA VISCONDE DO RIO BRANCO (10180)</v>
      </c>
      <c r="G2764" t="str">
        <f>"Serv.Prest. 19/05/2025 a 25/05/2025 - RPS: 805 - NFSe: 3035"</f>
        <v>Serv.Prest. 19/05/2025 a 25/05/2025 - RPS: 805 - NFSe: 3035</v>
      </c>
      <c r="H2764" t="str">
        <f t="shared" si="1368"/>
        <v>28/05/2025</v>
      </c>
      <c r="I2764" t="str">
        <f t="shared" si="1373"/>
        <v>26/05/2025</v>
      </c>
      <c r="J2764" t="str">
        <f t="shared" si="1369"/>
        <v>29/05/2025</v>
      </c>
      <c r="M2764">
        <v>303</v>
      </c>
      <c r="N2764" t="str">
        <f t="shared" si="1370"/>
        <v>RECEITAS COM ENTREGAS</v>
      </c>
      <c r="P2764">
        <v>321.3</v>
      </c>
      <c r="Q2764" t="str">
        <f>"DROGARIA ANA VISCONDE DO RIO BRANCO (10180)"</f>
        <v>DROGARIA ANA VISCONDE DO RIO BRANCO (10180)</v>
      </c>
      <c r="R2764" t="str">
        <f t="shared" si="1371"/>
        <v>RECEITAS COM ENTREGAS (303)</v>
      </c>
      <c r="S2764">
        <v>1593</v>
      </c>
      <c r="T2764">
        <v>1242</v>
      </c>
      <c r="U2764" t="s">
        <v>19</v>
      </c>
    </row>
    <row r="2765" spans="1:21">
      <c r="A2765" t="str">
        <f t="shared" si="1366"/>
        <v>29/05/2025</v>
      </c>
      <c r="B2765" t="str">
        <f t="shared" si="1372"/>
        <v>ENTRADA</v>
      </c>
      <c r="C2765" t="str">
        <f t="shared" si="1367"/>
        <v>NFSE</v>
      </c>
      <c r="D2765" t="str">
        <f>"3035"</f>
        <v>3035</v>
      </c>
      <c r="E2765" t="str">
        <f t="shared" si="1365"/>
        <v>COM</v>
      </c>
      <c r="F2765" t="str">
        <f>"DROGARIA ANA VISCONDE DO RIO BRANCO (10180)"</f>
        <v>DROGARIA ANA VISCONDE DO RIO BRANCO (10180)</v>
      </c>
      <c r="G2765" t="str">
        <f>"Serv.Prest. 19/05/2025 a 25/05/2025 - RPS: 805 - NFSe: 3035"</f>
        <v>Serv.Prest. 19/05/2025 a 25/05/2025 - RPS: 805 - NFSe: 3035</v>
      </c>
      <c r="H2765" t="str">
        <f t="shared" si="1368"/>
        <v>28/05/2025</v>
      </c>
      <c r="I2765" t="str">
        <f t="shared" si="1373"/>
        <v>26/05/2025</v>
      </c>
      <c r="J2765" t="str">
        <f t="shared" si="1369"/>
        <v>29/05/2025</v>
      </c>
      <c r="M2765">
        <v>303</v>
      </c>
      <c r="N2765" t="str">
        <f t="shared" si="1370"/>
        <v>RECEITAS COM ENTREGAS</v>
      </c>
      <c r="P2765">
        <v>321.3</v>
      </c>
      <c r="Q2765" t="str">
        <f>"DROGARIA ANA VISCONDE DO RIO BRANCO (10182)"</f>
        <v>DROGARIA ANA VISCONDE DO RIO BRANCO (10182)</v>
      </c>
      <c r="R2765" t="str">
        <f t="shared" si="1371"/>
        <v>RECEITAS COM ENTREGAS (303)</v>
      </c>
      <c r="S2765">
        <v>1593</v>
      </c>
      <c r="T2765">
        <v>1242</v>
      </c>
      <c r="U2765" t="s">
        <v>19</v>
      </c>
    </row>
    <row r="2766" spans="1:21">
      <c r="A2766" t="str">
        <f t="shared" si="1366"/>
        <v>29/05/2025</v>
      </c>
      <c r="B2766" t="str">
        <f t="shared" si="1372"/>
        <v>ENTRADA</v>
      </c>
      <c r="C2766" t="str">
        <f t="shared" si="1367"/>
        <v>NFSE</v>
      </c>
      <c r="D2766" t="str">
        <f>"3038"</f>
        <v>3038</v>
      </c>
      <c r="E2766" t="str">
        <f t="shared" si="1365"/>
        <v>COM</v>
      </c>
      <c r="F2766" t="str">
        <f>"DROGARIA TOTAL JUNDIAI (10177)"</f>
        <v>DROGARIA TOTAL JUNDIAI (10177)</v>
      </c>
      <c r="G2766" t="str">
        <f>"Serv.Prest. 19/05/2025 a 25/05/2025 - RPS: 808 - NFSe: 3038"</f>
        <v>Serv.Prest. 19/05/2025 a 25/05/2025 - RPS: 808 - NFSe: 3038</v>
      </c>
      <c r="H2766" t="str">
        <f t="shared" si="1368"/>
        <v>28/05/2025</v>
      </c>
      <c r="I2766" t="str">
        <f t="shared" ref="I2766:I2771" si="1374">("27/05/2025")</f>
        <v>27/05/2025</v>
      </c>
      <c r="J2766" t="str">
        <f t="shared" si="1369"/>
        <v>29/05/2025</v>
      </c>
      <c r="K2766">
        <v>86.56</v>
      </c>
      <c r="L2766">
        <v>86.56</v>
      </c>
      <c r="M2766">
        <v>303</v>
      </c>
      <c r="N2766" t="str">
        <f t="shared" si="1370"/>
        <v>RECEITAS COM ENTREGAS</v>
      </c>
      <c r="O2766">
        <v>86.56</v>
      </c>
      <c r="R2766" t="str">
        <f t="shared" si="1371"/>
        <v>RECEITAS COM ENTREGAS (303)</v>
      </c>
      <c r="S2766">
        <v>1594</v>
      </c>
      <c r="T2766">
        <v>1245</v>
      </c>
      <c r="U2766" t="s">
        <v>19</v>
      </c>
    </row>
    <row r="2767" spans="1:21">
      <c r="A2767" t="str">
        <f t="shared" si="1366"/>
        <v>29/05/2025</v>
      </c>
      <c r="B2767" t="str">
        <f t="shared" si="1372"/>
        <v>ENTRADA</v>
      </c>
      <c r="C2767" t="str">
        <f t="shared" si="1367"/>
        <v>NFSE</v>
      </c>
      <c r="D2767" t="str">
        <f>"3038"</f>
        <v>3038</v>
      </c>
      <c r="E2767" t="str">
        <f t="shared" si="1365"/>
        <v>COM</v>
      </c>
      <c r="F2767" t="str">
        <f>"DROGARIA TOTAL JUNDIAI (10177)"</f>
        <v>DROGARIA TOTAL JUNDIAI (10177)</v>
      </c>
      <c r="G2767" t="str">
        <f>"Serv.Prest. 19/05/2025 a 25/05/2025 - RPS: 808 - NFSe: 3038"</f>
        <v>Serv.Prest. 19/05/2025 a 25/05/2025 - RPS: 808 - NFSe: 3038</v>
      </c>
      <c r="H2767" t="str">
        <f t="shared" si="1368"/>
        <v>28/05/2025</v>
      </c>
      <c r="I2767" t="str">
        <f t="shared" si="1374"/>
        <v>27/05/2025</v>
      </c>
      <c r="J2767" t="str">
        <f t="shared" si="1369"/>
        <v>29/05/2025</v>
      </c>
      <c r="M2767">
        <v>303</v>
      </c>
      <c r="N2767" t="str">
        <f t="shared" si="1370"/>
        <v>RECEITAS COM ENTREGAS</v>
      </c>
      <c r="P2767">
        <v>86.56</v>
      </c>
      <c r="Q2767" t="str">
        <f>"DROGARIA TOTAL JUNDIAI (10177)"</f>
        <v>DROGARIA TOTAL JUNDIAI (10177)</v>
      </c>
      <c r="R2767" t="str">
        <f t="shared" si="1371"/>
        <v>RECEITAS COM ENTREGAS (303)</v>
      </c>
      <c r="S2767">
        <v>1594</v>
      </c>
      <c r="T2767">
        <v>1245</v>
      </c>
      <c r="U2767" t="s">
        <v>19</v>
      </c>
    </row>
    <row r="2768" spans="1:21">
      <c r="A2768" t="str">
        <f t="shared" si="1366"/>
        <v>29/05/2025</v>
      </c>
      <c r="B2768" t="str">
        <f t="shared" si="1372"/>
        <v>ENTRADA</v>
      </c>
      <c r="C2768" t="str">
        <f t="shared" si="1367"/>
        <v>NFSE</v>
      </c>
      <c r="D2768" t="str">
        <f>"3040"</f>
        <v>3040</v>
      </c>
      <c r="E2768" t="str">
        <f t="shared" si="1365"/>
        <v>COM</v>
      </c>
      <c r="F2768" t="str">
        <f>"DROGARIA MEDIC CENTER LTDA (10172)"</f>
        <v>DROGARIA MEDIC CENTER LTDA (10172)</v>
      </c>
      <c r="G2768" t="str">
        <f>"Serv.Prest. 19/05/2025 a 25/05/2025 - RPS: 810 - NFSe: 3040"</f>
        <v>Serv.Prest. 19/05/2025 a 25/05/2025 - RPS: 810 - NFSe: 3040</v>
      </c>
      <c r="H2768" t="str">
        <f t="shared" si="1368"/>
        <v>28/05/2025</v>
      </c>
      <c r="I2768" t="str">
        <f t="shared" si="1374"/>
        <v>27/05/2025</v>
      </c>
      <c r="J2768" t="str">
        <f t="shared" si="1369"/>
        <v>29/05/2025</v>
      </c>
      <c r="K2768">
        <v>331.2</v>
      </c>
      <c r="L2768">
        <v>331.2</v>
      </c>
      <c r="M2768">
        <v>303</v>
      </c>
      <c r="N2768" t="str">
        <f t="shared" si="1370"/>
        <v>RECEITAS COM ENTREGAS</v>
      </c>
      <c r="O2768">
        <v>331.2</v>
      </c>
      <c r="R2768" t="str">
        <f t="shared" si="1371"/>
        <v>RECEITAS COM ENTREGAS (303)</v>
      </c>
      <c r="S2768">
        <v>1595</v>
      </c>
      <c r="T2768">
        <v>1247</v>
      </c>
      <c r="U2768" t="s">
        <v>19</v>
      </c>
    </row>
    <row r="2769" spans="1:21">
      <c r="A2769" t="str">
        <f t="shared" si="1366"/>
        <v>29/05/2025</v>
      </c>
      <c r="B2769" t="str">
        <f t="shared" si="1372"/>
        <v>ENTRADA</v>
      </c>
      <c r="C2769" t="str">
        <f t="shared" si="1367"/>
        <v>NFSE</v>
      </c>
      <c r="D2769" t="str">
        <f>"3040"</f>
        <v>3040</v>
      </c>
      <c r="E2769" t="str">
        <f t="shared" si="1365"/>
        <v>COM</v>
      </c>
      <c r="F2769" t="str">
        <f>"DROGARIA MEDIC CENTER LTDA (10172)"</f>
        <v>DROGARIA MEDIC CENTER LTDA (10172)</v>
      </c>
      <c r="G2769" t="str">
        <f>"Serv.Prest. 19/05/2025 a 25/05/2025 - RPS: 810 - NFSe: 3040"</f>
        <v>Serv.Prest. 19/05/2025 a 25/05/2025 - RPS: 810 - NFSe: 3040</v>
      </c>
      <c r="H2769" t="str">
        <f t="shared" si="1368"/>
        <v>28/05/2025</v>
      </c>
      <c r="I2769" t="str">
        <f t="shared" si="1374"/>
        <v>27/05/2025</v>
      </c>
      <c r="J2769" t="str">
        <f t="shared" si="1369"/>
        <v>29/05/2025</v>
      </c>
      <c r="M2769">
        <v>303</v>
      </c>
      <c r="N2769" t="str">
        <f t="shared" si="1370"/>
        <v>RECEITAS COM ENTREGAS</v>
      </c>
      <c r="P2769">
        <v>331.2</v>
      </c>
      <c r="Q2769" t="str">
        <f>"DROGARIA MEDIC CENTER LTDA (10172)"</f>
        <v>DROGARIA MEDIC CENTER LTDA (10172)</v>
      </c>
      <c r="R2769" t="str">
        <f t="shared" si="1371"/>
        <v>RECEITAS COM ENTREGAS (303)</v>
      </c>
      <c r="S2769">
        <v>1595</v>
      </c>
      <c r="T2769">
        <v>1247</v>
      </c>
      <c r="U2769" t="s">
        <v>19</v>
      </c>
    </row>
    <row r="2770" spans="1:21">
      <c r="A2770" t="str">
        <f t="shared" si="1366"/>
        <v>29/05/2025</v>
      </c>
      <c r="B2770" t="str">
        <f t="shared" si="1372"/>
        <v>ENTRADA</v>
      </c>
      <c r="C2770" t="str">
        <f t="shared" si="1367"/>
        <v>NFSE</v>
      </c>
      <c r="D2770" t="str">
        <f>"3041"</f>
        <v>3041</v>
      </c>
      <c r="E2770" t="str">
        <f t="shared" si="1365"/>
        <v>COM</v>
      </c>
      <c r="F2770" t="str">
        <f>"DROGARIA MORENO LTDA (10171)"</f>
        <v>DROGARIA MORENO LTDA (10171)</v>
      </c>
      <c r="G2770" t="str">
        <f>"Serv.Prest. 19/05/2025 a 25/05/2025 - RPS: 811 - NFSe: 3041"</f>
        <v>Serv.Prest. 19/05/2025 a 25/05/2025 - RPS: 811 - NFSe: 3041</v>
      </c>
      <c r="H2770" t="str">
        <f t="shared" si="1368"/>
        <v>28/05/2025</v>
      </c>
      <c r="I2770" t="str">
        <f t="shared" si="1374"/>
        <v>27/05/2025</v>
      </c>
      <c r="J2770" t="str">
        <f t="shared" si="1369"/>
        <v>29/05/2025</v>
      </c>
      <c r="K2770">
        <v>483.3</v>
      </c>
      <c r="L2770">
        <v>483.3</v>
      </c>
      <c r="M2770">
        <v>303</v>
      </c>
      <c r="N2770" t="str">
        <f t="shared" si="1370"/>
        <v>RECEITAS COM ENTREGAS</v>
      </c>
      <c r="O2770">
        <v>483.3</v>
      </c>
      <c r="R2770" t="str">
        <f t="shared" si="1371"/>
        <v>RECEITAS COM ENTREGAS (303)</v>
      </c>
      <c r="S2770">
        <v>1596</v>
      </c>
      <c r="T2770">
        <v>1248</v>
      </c>
      <c r="U2770" t="s">
        <v>19</v>
      </c>
    </row>
    <row r="2771" spans="1:21">
      <c r="A2771" t="str">
        <f t="shared" si="1366"/>
        <v>29/05/2025</v>
      </c>
      <c r="B2771" t="str">
        <f t="shared" si="1372"/>
        <v>ENTRADA</v>
      </c>
      <c r="C2771" t="str">
        <f t="shared" si="1367"/>
        <v>NFSE</v>
      </c>
      <c r="D2771" t="str">
        <f>"3041"</f>
        <v>3041</v>
      </c>
      <c r="E2771" t="str">
        <f t="shared" si="1365"/>
        <v>COM</v>
      </c>
      <c r="F2771" t="str">
        <f>"DROGARIA MORENO LTDA (10171)"</f>
        <v>DROGARIA MORENO LTDA (10171)</v>
      </c>
      <c r="G2771" t="str">
        <f>"Serv.Prest. 19/05/2025 a 25/05/2025 - RPS: 811 - NFSe: 3041"</f>
        <v>Serv.Prest. 19/05/2025 a 25/05/2025 - RPS: 811 - NFSe: 3041</v>
      </c>
      <c r="H2771" t="str">
        <f t="shared" si="1368"/>
        <v>28/05/2025</v>
      </c>
      <c r="I2771" t="str">
        <f t="shared" si="1374"/>
        <v>27/05/2025</v>
      </c>
      <c r="J2771" t="str">
        <f t="shared" si="1369"/>
        <v>29/05/2025</v>
      </c>
      <c r="M2771">
        <v>303</v>
      </c>
      <c r="N2771" t="str">
        <f t="shared" si="1370"/>
        <v>RECEITAS COM ENTREGAS</v>
      </c>
      <c r="P2771">
        <v>483.3</v>
      </c>
      <c r="Q2771" t="str">
        <f>"DROGARIA MORENO LTDA (10171)"</f>
        <v>DROGARIA MORENO LTDA (10171)</v>
      </c>
      <c r="R2771" t="str">
        <f t="shared" si="1371"/>
        <v>RECEITAS COM ENTREGAS (303)</v>
      </c>
      <c r="S2771">
        <v>1596</v>
      </c>
      <c r="T2771">
        <v>1248</v>
      </c>
      <c r="U2771" t="s">
        <v>19</v>
      </c>
    </row>
    <row r="2772" spans="1:21">
      <c r="A2772" t="str">
        <f t="shared" si="1366"/>
        <v>29/05/2025</v>
      </c>
      <c r="B2772" t="str">
        <f t="shared" si="1372"/>
        <v>ENTRADA</v>
      </c>
      <c r="C2772" t="str">
        <f t="shared" si="1367"/>
        <v>NFSE</v>
      </c>
      <c r="D2772" t="str">
        <f>"3030"</f>
        <v>3030</v>
      </c>
      <c r="E2772" t="str">
        <f t="shared" si="1365"/>
        <v>COM</v>
      </c>
      <c r="F2772" t="str">
        <f>"DROGARIA POUPA MINAS (DOIS AMIGOS) 5 (10140)"</f>
        <v>DROGARIA POUPA MINAS (DOIS AMIGOS) 5 (10140)</v>
      </c>
      <c r="G2772" t="str">
        <f>"Serv.Prest. 19/05/2025 a 25/05/2025 - RPS: 800 - NFSe: 3030"</f>
        <v>Serv.Prest. 19/05/2025 a 25/05/2025 - RPS: 800 - NFSe: 3030</v>
      </c>
      <c r="H2772" t="str">
        <f t="shared" ref="H2772:H2793" si="1375">("29/05/2025")</f>
        <v>29/05/2025</v>
      </c>
      <c r="I2772" t="str">
        <f>("26/05/2025")</f>
        <v>26/05/2025</v>
      </c>
      <c r="J2772" t="str">
        <f t="shared" si="1369"/>
        <v>29/05/2025</v>
      </c>
      <c r="K2772">
        <v>736.7</v>
      </c>
      <c r="L2772">
        <v>736.7</v>
      </c>
      <c r="M2772">
        <v>303</v>
      </c>
      <c r="N2772" t="str">
        <f t="shared" si="1370"/>
        <v>RECEITAS COM ENTREGAS</v>
      </c>
      <c r="O2772">
        <v>736.7</v>
      </c>
      <c r="R2772" t="str">
        <f t="shared" si="1371"/>
        <v>RECEITAS COM ENTREGAS (303)</v>
      </c>
      <c r="S2772">
        <v>1597</v>
      </c>
      <c r="T2772">
        <v>1237</v>
      </c>
      <c r="U2772" t="s">
        <v>19</v>
      </c>
    </row>
    <row r="2773" spans="1:21">
      <c r="A2773" t="str">
        <f t="shared" si="1366"/>
        <v>29/05/2025</v>
      </c>
      <c r="B2773" t="str">
        <f t="shared" si="1372"/>
        <v>ENTRADA</v>
      </c>
      <c r="C2773" t="str">
        <f t="shared" si="1367"/>
        <v>NFSE</v>
      </c>
      <c r="D2773" t="str">
        <f>"3030"</f>
        <v>3030</v>
      </c>
      <c r="E2773" t="str">
        <f t="shared" si="1365"/>
        <v>COM</v>
      </c>
      <c r="F2773" t="str">
        <f>"DROGARIA POUPA MINAS (DOIS AMIGOS) 5 (10140)"</f>
        <v>DROGARIA POUPA MINAS (DOIS AMIGOS) 5 (10140)</v>
      </c>
      <c r="G2773" t="str">
        <f>"Serv.Prest. 19/05/2025 a 25/05/2025 - RPS: 800 - NFSe: 3030"</f>
        <v>Serv.Prest. 19/05/2025 a 25/05/2025 - RPS: 800 - NFSe: 3030</v>
      </c>
      <c r="H2773" t="str">
        <f t="shared" si="1375"/>
        <v>29/05/2025</v>
      </c>
      <c r="I2773" t="str">
        <f>("26/05/2025")</f>
        <v>26/05/2025</v>
      </c>
      <c r="J2773" t="str">
        <f t="shared" si="1369"/>
        <v>29/05/2025</v>
      </c>
      <c r="M2773">
        <v>303</v>
      </c>
      <c r="N2773" t="str">
        <f t="shared" si="1370"/>
        <v>RECEITAS COM ENTREGAS</v>
      </c>
      <c r="P2773">
        <v>736.7</v>
      </c>
      <c r="Q2773" t="str">
        <f>"DROGARIA POUPA MINAS (ULTRAMINAS) 1 (10181)"</f>
        <v>DROGARIA POUPA MINAS (ULTRAMINAS) 1 (10181)</v>
      </c>
      <c r="R2773" t="str">
        <f t="shared" si="1371"/>
        <v>RECEITAS COM ENTREGAS (303)</v>
      </c>
      <c r="S2773">
        <v>1597</v>
      </c>
      <c r="T2773">
        <v>1237</v>
      </c>
      <c r="U2773" t="s">
        <v>19</v>
      </c>
    </row>
    <row r="2774" spans="1:21">
      <c r="A2774" t="str">
        <f t="shared" si="1366"/>
        <v>29/05/2025</v>
      </c>
      <c r="B2774" t="str">
        <f t="shared" ref="B2774:B2787" si="1376">"SAÍDA"</f>
        <v>SAÍDA</v>
      </c>
      <c r="C2774" t="str">
        <f t="shared" ref="C2774:C2787" si="1377">"JUROS"</f>
        <v>JUROS</v>
      </c>
      <c r="D2774" t="str">
        <f>""</f>
        <v/>
      </c>
      <c r="E2774" t="str">
        <f t="shared" ref="E2774:E2787" si="1378">"CXA"</f>
        <v>CXA</v>
      </c>
      <c r="F2774" t="str">
        <f>""</f>
        <v/>
      </c>
      <c r="G2774" t="str">
        <f t="shared" ref="G2774:G2787" si="1379">"TAXA BOLETO COMPENSADO"</f>
        <v>TAXA BOLETO COMPENSADO</v>
      </c>
      <c r="H2774" t="str">
        <f t="shared" si="1375"/>
        <v>29/05/2025</v>
      </c>
      <c r="I2774" t="str">
        <f t="shared" ref="I2774:I2787" si="1380">("29/05/2025")</f>
        <v>29/05/2025</v>
      </c>
      <c r="J2774" t="str">
        <f t="shared" si="1369"/>
        <v>29/05/2025</v>
      </c>
      <c r="K2774">
        <v>1.7</v>
      </c>
      <c r="L2774">
        <v>1.7</v>
      </c>
      <c r="M2774">
        <v>401</v>
      </c>
      <c r="N2774" t="str">
        <f t="shared" ref="N2774:N2787" si="1381">"IOF/JUROS/DESP.FINANCEIRA"</f>
        <v>IOF/JUROS/DESP.FINANCEIRA</v>
      </c>
      <c r="O2774">
        <v>1.7</v>
      </c>
      <c r="R2774" t="str">
        <f t="shared" ref="R2774:R2787" si="1382">"BANCO CORA (102)"</f>
        <v>BANCO CORA (102)</v>
      </c>
      <c r="S2774">
        <v>1710</v>
      </c>
      <c r="T2774">
        <v>0</v>
      </c>
      <c r="U2774" t="s">
        <v>20</v>
      </c>
    </row>
    <row r="2775" spans="1:21">
      <c r="A2775" t="str">
        <f t="shared" si="1366"/>
        <v>29/05/2025</v>
      </c>
      <c r="B2775" t="str">
        <f t="shared" si="1376"/>
        <v>SAÍDA</v>
      </c>
      <c r="C2775" t="str">
        <f t="shared" si="1377"/>
        <v>JUROS</v>
      </c>
      <c r="D2775" t="str">
        <f>""</f>
        <v/>
      </c>
      <c r="E2775" t="str">
        <f t="shared" si="1378"/>
        <v>CXA</v>
      </c>
      <c r="F2775" t="str">
        <f>""</f>
        <v/>
      </c>
      <c r="G2775" t="str">
        <f t="shared" si="1379"/>
        <v>TAXA BOLETO COMPENSADO</v>
      </c>
      <c r="H2775" t="str">
        <f t="shared" si="1375"/>
        <v>29/05/2025</v>
      </c>
      <c r="I2775" t="str">
        <f t="shared" si="1380"/>
        <v>29/05/2025</v>
      </c>
      <c r="J2775" t="str">
        <f t="shared" si="1369"/>
        <v>29/05/2025</v>
      </c>
      <c r="K2775">
        <v>1.7</v>
      </c>
      <c r="L2775">
        <v>1.7</v>
      </c>
      <c r="M2775">
        <v>401</v>
      </c>
      <c r="N2775" t="str">
        <f t="shared" si="1381"/>
        <v>IOF/JUROS/DESP.FINANCEIRA</v>
      </c>
      <c r="O2775">
        <v>1.7</v>
      </c>
      <c r="R2775" t="str">
        <f t="shared" si="1382"/>
        <v>BANCO CORA (102)</v>
      </c>
      <c r="S2775">
        <v>1711</v>
      </c>
      <c r="T2775">
        <v>0</v>
      </c>
      <c r="U2775" t="s">
        <v>20</v>
      </c>
    </row>
    <row r="2776" spans="1:21">
      <c r="A2776" t="str">
        <f t="shared" si="1366"/>
        <v>29/05/2025</v>
      </c>
      <c r="B2776" t="str">
        <f t="shared" si="1376"/>
        <v>SAÍDA</v>
      </c>
      <c r="C2776" t="str">
        <f t="shared" si="1377"/>
        <v>JUROS</v>
      </c>
      <c r="D2776" t="str">
        <f>""</f>
        <v/>
      </c>
      <c r="E2776" t="str">
        <f t="shared" si="1378"/>
        <v>CXA</v>
      </c>
      <c r="F2776" t="str">
        <f>""</f>
        <v/>
      </c>
      <c r="G2776" t="str">
        <f t="shared" si="1379"/>
        <v>TAXA BOLETO COMPENSADO</v>
      </c>
      <c r="H2776" t="str">
        <f t="shared" si="1375"/>
        <v>29/05/2025</v>
      </c>
      <c r="I2776" t="str">
        <f t="shared" si="1380"/>
        <v>29/05/2025</v>
      </c>
      <c r="J2776" t="str">
        <f t="shared" si="1369"/>
        <v>29/05/2025</v>
      </c>
      <c r="K2776">
        <v>1.7</v>
      </c>
      <c r="L2776">
        <v>1.7</v>
      </c>
      <c r="M2776">
        <v>401</v>
      </c>
      <c r="N2776" t="str">
        <f t="shared" si="1381"/>
        <v>IOF/JUROS/DESP.FINANCEIRA</v>
      </c>
      <c r="O2776">
        <v>1.7</v>
      </c>
      <c r="R2776" t="str">
        <f t="shared" si="1382"/>
        <v>BANCO CORA (102)</v>
      </c>
      <c r="S2776">
        <v>1712</v>
      </c>
      <c r="T2776">
        <v>0</v>
      </c>
      <c r="U2776" t="s">
        <v>20</v>
      </c>
    </row>
    <row r="2777" spans="1:21">
      <c r="A2777" t="str">
        <f t="shared" si="1366"/>
        <v>29/05/2025</v>
      </c>
      <c r="B2777" t="str">
        <f t="shared" si="1376"/>
        <v>SAÍDA</v>
      </c>
      <c r="C2777" t="str">
        <f t="shared" si="1377"/>
        <v>JUROS</v>
      </c>
      <c r="D2777" t="str">
        <f>""</f>
        <v/>
      </c>
      <c r="E2777" t="str">
        <f t="shared" si="1378"/>
        <v>CXA</v>
      </c>
      <c r="F2777" t="str">
        <f>""</f>
        <v/>
      </c>
      <c r="G2777" t="str">
        <f t="shared" si="1379"/>
        <v>TAXA BOLETO COMPENSADO</v>
      </c>
      <c r="H2777" t="str">
        <f t="shared" si="1375"/>
        <v>29/05/2025</v>
      </c>
      <c r="I2777" t="str">
        <f t="shared" si="1380"/>
        <v>29/05/2025</v>
      </c>
      <c r="J2777" t="str">
        <f t="shared" si="1369"/>
        <v>29/05/2025</v>
      </c>
      <c r="K2777">
        <v>1.7</v>
      </c>
      <c r="L2777">
        <v>1.7</v>
      </c>
      <c r="M2777">
        <v>401</v>
      </c>
      <c r="N2777" t="str">
        <f t="shared" si="1381"/>
        <v>IOF/JUROS/DESP.FINANCEIRA</v>
      </c>
      <c r="O2777">
        <v>1.7</v>
      </c>
      <c r="R2777" t="str">
        <f t="shared" si="1382"/>
        <v>BANCO CORA (102)</v>
      </c>
      <c r="S2777">
        <v>1713</v>
      </c>
      <c r="T2777">
        <v>0</v>
      </c>
      <c r="U2777" t="s">
        <v>20</v>
      </c>
    </row>
    <row r="2778" spans="1:21">
      <c r="A2778" t="str">
        <f t="shared" si="1366"/>
        <v>29/05/2025</v>
      </c>
      <c r="B2778" t="str">
        <f t="shared" si="1376"/>
        <v>SAÍDA</v>
      </c>
      <c r="C2778" t="str">
        <f t="shared" si="1377"/>
        <v>JUROS</v>
      </c>
      <c r="D2778" t="str">
        <f>""</f>
        <v/>
      </c>
      <c r="E2778" t="str">
        <f t="shared" si="1378"/>
        <v>CXA</v>
      </c>
      <c r="F2778" t="str">
        <f>""</f>
        <v/>
      </c>
      <c r="G2778" t="str">
        <f t="shared" si="1379"/>
        <v>TAXA BOLETO COMPENSADO</v>
      </c>
      <c r="H2778" t="str">
        <f t="shared" si="1375"/>
        <v>29/05/2025</v>
      </c>
      <c r="I2778" t="str">
        <f t="shared" si="1380"/>
        <v>29/05/2025</v>
      </c>
      <c r="J2778" t="str">
        <f t="shared" si="1369"/>
        <v>29/05/2025</v>
      </c>
      <c r="K2778">
        <v>1.7</v>
      </c>
      <c r="L2778">
        <v>1.7</v>
      </c>
      <c r="M2778">
        <v>401</v>
      </c>
      <c r="N2778" t="str">
        <f t="shared" si="1381"/>
        <v>IOF/JUROS/DESP.FINANCEIRA</v>
      </c>
      <c r="O2778">
        <v>1.7</v>
      </c>
      <c r="R2778" t="str">
        <f t="shared" si="1382"/>
        <v>BANCO CORA (102)</v>
      </c>
      <c r="S2778">
        <v>1714</v>
      </c>
      <c r="T2778">
        <v>0</v>
      </c>
      <c r="U2778" t="s">
        <v>20</v>
      </c>
    </row>
    <row r="2779" spans="1:21">
      <c r="A2779" t="str">
        <f t="shared" si="1366"/>
        <v>29/05/2025</v>
      </c>
      <c r="B2779" t="str">
        <f t="shared" si="1376"/>
        <v>SAÍDA</v>
      </c>
      <c r="C2779" t="str">
        <f t="shared" si="1377"/>
        <v>JUROS</v>
      </c>
      <c r="D2779" t="str">
        <f>""</f>
        <v/>
      </c>
      <c r="E2779" t="str">
        <f t="shared" si="1378"/>
        <v>CXA</v>
      </c>
      <c r="F2779" t="str">
        <f>""</f>
        <v/>
      </c>
      <c r="G2779" t="str">
        <f t="shared" si="1379"/>
        <v>TAXA BOLETO COMPENSADO</v>
      </c>
      <c r="H2779" t="str">
        <f t="shared" si="1375"/>
        <v>29/05/2025</v>
      </c>
      <c r="I2779" t="str">
        <f t="shared" si="1380"/>
        <v>29/05/2025</v>
      </c>
      <c r="J2779" t="str">
        <f t="shared" si="1369"/>
        <v>29/05/2025</v>
      </c>
      <c r="K2779">
        <v>1.7</v>
      </c>
      <c r="L2779">
        <v>1.7</v>
      </c>
      <c r="M2779">
        <v>401</v>
      </c>
      <c r="N2779" t="str">
        <f t="shared" si="1381"/>
        <v>IOF/JUROS/DESP.FINANCEIRA</v>
      </c>
      <c r="O2779">
        <v>1.7</v>
      </c>
      <c r="R2779" t="str">
        <f t="shared" si="1382"/>
        <v>BANCO CORA (102)</v>
      </c>
      <c r="S2779">
        <v>1715</v>
      </c>
      <c r="T2779">
        <v>0</v>
      </c>
      <c r="U2779" t="s">
        <v>20</v>
      </c>
    </row>
    <row r="2780" spans="1:21">
      <c r="A2780" t="str">
        <f t="shared" si="1366"/>
        <v>29/05/2025</v>
      </c>
      <c r="B2780" t="str">
        <f t="shared" si="1376"/>
        <v>SAÍDA</v>
      </c>
      <c r="C2780" t="str">
        <f t="shared" si="1377"/>
        <v>JUROS</v>
      </c>
      <c r="D2780" t="str">
        <f>""</f>
        <v/>
      </c>
      <c r="E2780" t="str">
        <f t="shared" si="1378"/>
        <v>CXA</v>
      </c>
      <c r="F2780" t="str">
        <f>""</f>
        <v/>
      </c>
      <c r="G2780" t="str">
        <f t="shared" si="1379"/>
        <v>TAXA BOLETO COMPENSADO</v>
      </c>
      <c r="H2780" t="str">
        <f t="shared" si="1375"/>
        <v>29/05/2025</v>
      </c>
      <c r="I2780" t="str">
        <f t="shared" si="1380"/>
        <v>29/05/2025</v>
      </c>
      <c r="J2780" t="str">
        <f t="shared" si="1369"/>
        <v>29/05/2025</v>
      </c>
      <c r="K2780">
        <v>1.7</v>
      </c>
      <c r="L2780">
        <v>1.7</v>
      </c>
      <c r="M2780">
        <v>401</v>
      </c>
      <c r="N2780" t="str">
        <f t="shared" si="1381"/>
        <v>IOF/JUROS/DESP.FINANCEIRA</v>
      </c>
      <c r="O2780">
        <v>1.7</v>
      </c>
      <c r="R2780" t="str">
        <f t="shared" si="1382"/>
        <v>BANCO CORA (102)</v>
      </c>
      <c r="S2780">
        <v>1716</v>
      </c>
      <c r="T2780">
        <v>0</v>
      </c>
      <c r="U2780" t="s">
        <v>20</v>
      </c>
    </row>
    <row r="2781" spans="1:21">
      <c r="A2781" t="str">
        <f t="shared" si="1366"/>
        <v>29/05/2025</v>
      </c>
      <c r="B2781" t="str">
        <f t="shared" si="1376"/>
        <v>SAÍDA</v>
      </c>
      <c r="C2781" t="str">
        <f t="shared" si="1377"/>
        <v>JUROS</v>
      </c>
      <c r="D2781" t="str">
        <f>""</f>
        <v/>
      </c>
      <c r="E2781" t="str">
        <f t="shared" si="1378"/>
        <v>CXA</v>
      </c>
      <c r="F2781" t="str">
        <f>""</f>
        <v/>
      </c>
      <c r="G2781" t="str">
        <f t="shared" si="1379"/>
        <v>TAXA BOLETO COMPENSADO</v>
      </c>
      <c r="H2781" t="str">
        <f t="shared" si="1375"/>
        <v>29/05/2025</v>
      </c>
      <c r="I2781" t="str">
        <f t="shared" si="1380"/>
        <v>29/05/2025</v>
      </c>
      <c r="J2781" t="str">
        <f t="shared" si="1369"/>
        <v>29/05/2025</v>
      </c>
      <c r="K2781">
        <v>1.7</v>
      </c>
      <c r="L2781">
        <v>1.7</v>
      </c>
      <c r="M2781">
        <v>401</v>
      </c>
      <c r="N2781" t="str">
        <f t="shared" si="1381"/>
        <v>IOF/JUROS/DESP.FINANCEIRA</v>
      </c>
      <c r="O2781">
        <v>1.7</v>
      </c>
      <c r="R2781" t="str">
        <f t="shared" si="1382"/>
        <v>BANCO CORA (102)</v>
      </c>
      <c r="S2781">
        <v>1717</v>
      </c>
      <c r="T2781">
        <v>0</v>
      </c>
      <c r="U2781" t="s">
        <v>20</v>
      </c>
    </row>
    <row r="2782" spans="1:21">
      <c r="A2782" t="str">
        <f t="shared" si="1366"/>
        <v>29/05/2025</v>
      </c>
      <c r="B2782" t="str">
        <f t="shared" si="1376"/>
        <v>SAÍDA</v>
      </c>
      <c r="C2782" t="str">
        <f t="shared" si="1377"/>
        <v>JUROS</v>
      </c>
      <c r="D2782" t="str">
        <f>""</f>
        <v/>
      </c>
      <c r="E2782" t="str">
        <f t="shared" si="1378"/>
        <v>CXA</v>
      </c>
      <c r="F2782" t="str">
        <f>""</f>
        <v/>
      </c>
      <c r="G2782" t="str">
        <f t="shared" si="1379"/>
        <v>TAXA BOLETO COMPENSADO</v>
      </c>
      <c r="H2782" t="str">
        <f t="shared" si="1375"/>
        <v>29/05/2025</v>
      </c>
      <c r="I2782" t="str">
        <f t="shared" si="1380"/>
        <v>29/05/2025</v>
      </c>
      <c r="J2782" t="str">
        <f t="shared" si="1369"/>
        <v>29/05/2025</v>
      </c>
      <c r="K2782">
        <v>1.7</v>
      </c>
      <c r="L2782">
        <v>1.7</v>
      </c>
      <c r="M2782">
        <v>401</v>
      </c>
      <c r="N2782" t="str">
        <f t="shared" si="1381"/>
        <v>IOF/JUROS/DESP.FINANCEIRA</v>
      </c>
      <c r="O2782">
        <v>1.7</v>
      </c>
      <c r="R2782" t="str">
        <f t="shared" si="1382"/>
        <v>BANCO CORA (102)</v>
      </c>
      <c r="S2782">
        <v>1718</v>
      </c>
      <c r="T2782">
        <v>0</v>
      </c>
      <c r="U2782" t="s">
        <v>20</v>
      </c>
    </row>
    <row r="2783" spans="1:21">
      <c r="A2783" t="str">
        <f t="shared" si="1366"/>
        <v>29/05/2025</v>
      </c>
      <c r="B2783" t="str">
        <f t="shared" si="1376"/>
        <v>SAÍDA</v>
      </c>
      <c r="C2783" t="str">
        <f t="shared" si="1377"/>
        <v>JUROS</v>
      </c>
      <c r="D2783" t="str">
        <f>""</f>
        <v/>
      </c>
      <c r="E2783" t="str">
        <f t="shared" si="1378"/>
        <v>CXA</v>
      </c>
      <c r="F2783" t="str">
        <f>""</f>
        <v/>
      </c>
      <c r="G2783" t="str">
        <f t="shared" si="1379"/>
        <v>TAXA BOLETO COMPENSADO</v>
      </c>
      <c r="H2783" t="str">
        <f t="shared" si="1375"/>
        <v>29/05/2025</v>
      </c>
      <c r="I2783" t="str">
        <f t="shared" si="1380"/>
        <v>29/05/2025</v>
      </c>
      <c r="J2783" t="str">
        <f t="shared" si="1369"/>
        <v>29/05/2025</v>
      </c>
      <c r="K2783">
        <v>1.7</v>
      </c>
      <c r="L2783">
        <v>1.7</v>
      </c>
      <c r="M2783">
        <v>401</v>
      </c>
      <c r="N2783" t="str">
        <f t="shared" si="1381"/>
        <v>IOF/JUROS/DESP.FINANCEIRA</v>
      </c>
      <c r="O2783">
        <v>1.7</v>
      </c>
      <c r="R2783" t="str">
        <f t="shared" si="1382"/>
        <v>BANCO CORA (102)</v>
      </c>
      <c r="S2783">
        <v>1719</v>
      </c>
      <c r="T2783">
        <v>0</v>
      </c>
      <c r="U2783" t="s">
        <v>20</v>
      </c>
    </row>
    <row r="2784" spans="1:21">
      <c r="A2784" t="str">
        <f t="shared" si="1366"/>
        <v>29/05/2025</v>
      </c>
      <c r="B2784" t="str">
        <f t="shared" si="1376"/>
        <v>SAÍDA</v>
      </c>
      <c r="C2784" t="str">
        <f t="shared" si="1377"/>
        <v>JUROS</v>
      </c>
      <c r="D2784" t="str">
        <f>""</f>
        <v/>
      </c>
      <c r="E2784" t="str">
        <f t="shared" si="1378"/>
        <v>CXA</v>
      </c>
      <c r="F2784" t="str">
        <f>""</f>
        <v/>
      </c>
      <c r="G2784" t="str">
        <f t="shared" si="1379"/>
        <v>TAXA BOLETO COMPENSADO</v>
      </c>
      <c r="H2784" t="str">
        <f t="shared" si="1375"/>
        <v>29/05/2025</v>
      </c>
      <c r="I2784" t="str">
        <f t="shared" si="1380"/>
        <v>29/05/2025</v>
      </c>
      <c r="J2784" t="str">
        <f t="shared" si="1369"/>
        <v>29/05/2025</v>
      </c>
      <c r="K2784">
        <v>1.7</v>
      </c>
      <c r="L2784">
        <v>1.7</v>
      </c>
      <c r="M2784">
        <v>401</v>
      </c>
      <c r="N2784" t="str">
        <f t="shared" si="1381"/>
        <v>IOF/JUROS/DESP.FINANCEIRA</v>
      </c>
      <c r="O2784">
        <v>1.7</v>
      </c>
      <c r="R2784" t="str">
        <f t="shared" si="1382"/>
        <v>BANCO CORA (102)</v>
      </c>
      <c r="S2784">
        <v>1720</v>
      </c>
      <c r="T2784">
        <v>0</v>
      </c>
      <c r="U2784" t="s">
        <v>20</v>
      </c>
    </row>
    <row r="2785" spans="1:21">
      <c r="A2785" t="str">
        <f t="shared" si="1366"/>
        <v>29/05/2025</v>
      </c>
      <c r="B2785" t="str">
        <f t="shared" si="1376"/>
        <v>SAÍDA</v>
      </c>
      <c r="C2785" t="str">
        <f t="shared" si="1377"/>
        <v>JUROS</v>
      </c>
      <c r="D2785" t="str">
        <f>""</f>
        <v/>
      </c>
      <c r="E2785" t="str">
        <f t="shared" si="1378"/>
        <v>CXA</v>
      </c>
      <c r="F2785" t="str">
        <f>""</f>
        <v/>
      </c>
      <c r="G2785" t="str">
        <f t="shared" si="1379"/>
        <v>TAXA BOLETO COMPENSADO</v>
      </c>
      <c r="H2785" t="str">
        <f t="shared" si="1375"/>
        <v>29/05/2025</v>
      </c>
      <c r="I2785" t="str">
        <f t="shared" si="1380"/>
        <v>29/05/2025</v>
      </c>
      <c r="J2785" t="str">
        <f t="shared" si="1369"/>
        <v>29/05/2025</v>
      </c>
      <c r="K2785">
        <v>1.7</v>
      </c>
      <c r="L2785">
        <v>1.7</v>
      </c>
      <c r="M2785">
        <v>401</v>
      </c>
      <c r="N2785" t="str">
        <f t="shared" si="1381"/>
        <v>IOF/JUROS/DESP.FINANCEIRA</v>
      </c>
      <c r="O2785">
        <v>1.7</v>
      </c>
      <c r="R2785" t="str">
        <f t="shared" si="1382"/>
        <v>BANCO CORA (102)</v>
      </c>
      <c r="S2785">
        <v>1721</v>
      </c>
      <c r="T2785">
        <v>0</v>
      </c>
      <c r="U2785" t="s">
        <v>20</v>
      </c>
    </row>
    <row r="2786" spans="1:21">
      <c r="A2786" t="str">
        <f t="shared" si="1366"/>
        <v>29/05/2025</v>
      </c>
      <c r="B2786" t="str">
        <f t="shared" si="1376"/>
        <v>SAÍDA</v>
      </c>
      <c r="C2786" t="str">
        <f t="shared" si="1377"/>
        <v>JUROS</v>
      </c>
      <c r="D2786" t="str">
        <f>""</f>
        <v/>
      </c>
      <c r="E2786" t="str">
        <f t="shared" si="1378"/>
        <v>CXA</v>
      </c>
      <c r="F2786" t="str">
        <f>""</f>
        <v/>
      </c>
      <c r="G2786" t="str">
        <f t="shared" si="1379"/>
        <v>TAXA BOLETO COMPENSADO</v>
      </c>
      <c r="H2786" t="str">
        <f t="shared" si="1375"/>
        <v>29/05/2025</v>
      </c>
      <c r="I2786" t="str">
        <f t="shared" si="1380"/>
        <v>29/05/2025</v>
      </c>
      <c r="J2786" t="str">
        <f t="shared" si="1369"/>
        <v>29/05/2025</v>
      </c>
      <c r="K2786">
        <v>1.7</v>
      </c>
      <c r="L2786">
        <v>1.7</v>
      </c>
      <c r="M2786">
        <v>401</v>
      </c>
      <c r="N2786" t="str">
        <f t="shared" si="1381"/>
        <v>IOF/JUROS/DESP.FINANCEIRA</v>
      </c>
      <c r="O2786">
        <v>1.7</v>
      </c>
      <c r="R2786" t="str">
        <f t="shared" si="1382"/>
        <v>BANCO CORA (102)</v>
      </c>
      <c r="S2786">
        <v>1722</v>
      </c>
      <c r="T2786">
        <v>0</v>
      </c>
      <c r="U2786" t="s">
        <v>20</v>
      </c>
    </row>
    <row r="2787" spans="1:21">
      <c r="A2787" t="str">
        <f t="shared" si="1366"/>
        <v>29/05/2025</v>
      </c>
      <c r="B2787" t="str">
        <f t="shared" si="1376"/>
        <v>SAÍDA</v>
      </c>
      <c r="C2787" t="str">
        <f t="shared" si="1377"/>
        <v>JUROS</v>
      </c>
      <c r="D2787" t="str">
        <f>""</f>
        <v/>
      </c>
      <c r="E2787" t="str">
        <f t="shared" si="1378"/>
        <v>CXA</v>
      </c>
      <c r="F2787" t="str">
        <f>""</f>
        <v/>
      </c>
      <c r="G2787" t="str">
        <f t="shared" si="1379"/>
        <v>TAXA BOLETO COMPENSADO</v>
      </c>
      <c r="H2787" t="str">
        <f t="shared" si="1375"/>
        <v>29/05/2025</v>
      </c>
      <c r="I2787" t="str">
        <f t="shared" si="1380"/>
        <v>29/05/2025</v>
      </c>
      <c r="J2787" t="str">
        <f t="shared" si="1369"/>
        <v>29/05/2025</v>
      </c>
      <c r="K2787">
        <v>1.7</v>
      </c>
      <c r="L2787">
        <v>1.7</v>
      </c>
      <c r="M2787">
        <v>401</v>
      </c>
      <c r="N2787" t="str">
        <f t="shared" si="1381"/>
        <v>IOF/JUROS/DESP.FINANCEIRA</v>
      </c>
      <c r="O2787">
        <v>1.7</v>
      </c>
      <c r="R2787" t="str">
        <f t="shared" si="1382"/>
        <v>BANCO CORA (102)</v>
      </c>
      <c r="S2787">
        <v>1723</v>
      </c>
      <c r="T2787">
        <v>0</v>
      </c>
      <c r="U2787" t="s">
        <v>20</v>
      </c>
    </row>
    <row r="2788" spans="1:21">
      <c r="A2788" t="str">
        <f t="shared" ref="A2788:A2798" si="1383">("30/05/2025")</f>
        <v>30/05/2025</v>
      </c>
      <c r="B2788" t="str">
        <f>"ENTRADA"</f>
        <v>ENTRADA</v>
      </c>
      <c r="C2788" t="str">
        <f t="shared" ref="C2788:C2793" si="1384">"NFSE"</f>
        <v>NFSE</v>
      </c>
      <c r="D2788" t="str">
        <f>"3006"</f>
        <v>3006</v>
      </c>
      <c r="E2788" t="str">
        <f t="shared" ref="E2788:E2793" si="1385">"COM"</f>
        <v>COM</v>
      </c>
      <c r="F2788" t="str">
        <f>"PAGMENOS - LJ 608 (10135)"</f>
        <v>PAGMENOS - LJ 608 (10135)</v>
      </c>
      <c r="G2788" t="str">
        <f>"Serv.Prest. 12/05/2025 a 18/05/2025 - RPS: 776 - NFSe: 3006"</f>
        <v>Serv.Prest. 12/05/2025 a 18/05/2025 - RPS: 776 - NFSe: 3006</v>
      </c>
      <c r="H2788" t="str">
        <f t="shared" si="1375"/>
        <v>29/05/2025</v>
      </c>
      <c r="I2788" t="str">
        <f>("19/05/2025")</f>
        <v>19/05/2025</v>
      </c>
      <c r="J2788" t="str">
        <f t="shared" ref="J2788:J2798" si="1386">("30/05/2025")</f>
        <v>30/05/2025</v>
      </c>
      <c r="K2788">
        <v>280.20999999999998</v>
      </c>
      <c r="L2788">
        <v>280.20999999999998</v>
      </c>
      <c r="M2788">
        <v>303</v>
      </c>
      <c r="N2788" t="str">
        <f t="shared" ref="N2788:N2793" si="1387">"RECEITAS COM ENTREGAS"</f>
        <v>RECEITAS COM ENTREGAS</v>
      </c>
      <c r="O2788">
        <v>280.20999999999998</v>
      </c>
      <c r="R2788" t="str">
        <f t="shared" ref="R2788:R2793" si="1388">"RECEITAS COM ENTREGAS (303)"</f>
        <v>RECEITAS COM ENTREGAS (303)</v>
      </c>
      <c r="S2788">
        <v>1598</v>
      </c>
      <c r="T2788">
        <v>1213</v>
      </c>
      <c r="U2788" t="s">
        <v>19</v>
      </c>
    </row>
    <row r="2789" spans="1:21">
      <c r="A2789" t="str">
        <f t="shared" si="1383"/>
        <v>30/05/2025</v>
      </c>
      <c r="B2789" t="str">
        <f t="shared" ref="B2789:B2793" si="1389">"ENTRADA"</f>
        <v>ENTRADA</v>
      </c>
      <c r="C2789" t="str">
        <f t="shared" si="1384"/>
        <v>NFSE</v>
      </c>
      <c r="D2789" t="str">
        <f>"3006"</f>
        <v>3006</v>
      </c>
      <c r="E2789" t="str">
        <f t="shared" si="1385"/>
        <v>COM</v>
      </c>
      <c r="F2789" t="str">
        <f>"PAGMENOS - LJ 608 (10135)"</f>
        <v>PAGMENOS - LJ 608 (10135)</v>
      </c>
      <c r="G2789" t="str">
        <f>"Serv.Prest. 12/05/2025 a 18/05/2025 - RPS: 776 - NFSe: 3006"</f>
        <v>Serv.Prest. 12/05/2025 a 18/05/2025 - RPS: 776 - NFSe: 3006</v>
      </c>
      <c r="H2789" t="str">
        <f t="shared" si="1375"/>
        <v>29/05/2025</v>
      </c>
      <c r="I2789" t="str">
        <f>("19/05/2025")</f>
        <v>19/05/2025</v>
      </c>
      <c r="J2789" t="str">
        <f t="shared" si="1386"/>
        <v>30/05/2025</v>
      </c>
      <c r="M2789">
        <v>303</v>
      </c>
      <c r="N2789" t="str">
        <f t="shared" si="1387"/>
        <v>RECEITAS COM ENTREGAS</v>
      </c>
      <c r="P2789">
        <v>280.20999999999998</v>
      </c>
      <c r="Q2789" t="str">
        <f>"PAGMENOS - LJ 608 (10135)"</f>
        <v>PAGMENOS - LJ 608 (10135)</v>
      </c>
      <c r="R2789" t="str">
        <f t="shared" si="1388"/>
        <v>RECEITAS COM ENTREGAS (303)</v>
      </c>
      <c r="S2789">
        <v>1598</v>
      </c>
      <c r="T2789">
        <v>1213</v>
      </c>
      <c r="U2789" t="s">
        <v>19</v>
      </c>
    </row>
    <row r="2790" spans="1:21">
      <c r="A2790" t="str">
        <f t="shared" si="1383"/>
        <v>30/05/2025</v>
      </c>
      <c r="B2790" t="str">
        <f t="shared" si="1389"/>
        <v>ENTRADA</v>
      </c>
      <c r="C2790" t="str">
        <f t="shared" si="1384"/>
        <v>NFSE</v>
      </c>
      <c r="D2790" t="str">
        <f>"3007"</f>
        <v>3007</v>
      </c>
      <c r="E2790" t="str">
        <f t="shared" si="1385"/>
        <v>COM</v>
      </c>
      <c r="F2790" t="str">
        <f>"PAGMENOS - LJ 657 (10136)"</f>
        <v>PAGMENOS - LJ 657 (10136)</v>
      </c>
      <c r="G2790" t="str">
        <f>"Serv.Prest. 12/05/2025 a 18/05/2025 - RPS: 777 - NFSe: 3007"</f>
        <v>Serv.Prest. 12/05/2025 a 18/05/2025 - RPS: 777 - NFSe: 3007</v>
      </c>
      <c r="H2790" t="str">
        <f t="shared" si="1375"/>
        <v>29/05/2025</v>
      </c>
      <c r="I2790" t="str">
        <f>("19/05/2025")</f>
        <v>19/05/2025</v>
      </c>
      <c r="J2790" t="str">
        <f t="shared" si="1386"/>
        <v>30/05/2025</v>
      </c>
      <c r="K2790">
        <v>596.6</v>
      </c>
      <c r="L2790">
        <v>596.6</v>
      </c>
      <c r="M2790">
        <v>303</v>
      </c>
      <c r="N2790" t="str">
        <f t="shared" si="1387"/>
        <v>RECEITAS COM ENTREGAS</v>
      </c>
      <c r="O2790">
        <v>596.6</v>
      </c>
      <c r="R2790" t="str">
        <f t="shared" si="1388"/>
        <v>RECEITAS COM ENTREGAS (303)</v>
      </c>
      <c r="S2790">
        <v>1599</v>
      </c>
      <c r="T2790">
        <v>1214</v>
      </c>
      <c r="U2790" t="s">
        <v>19</v>
      </c>
    </row>
    <row r="2791" spans="1:21">
      <c r="A2791" t="str">
        <f t="shared" si="1383"/>
        <v>30/05/2025</v>
      </c>
      <c r="B2791" t="str">
        <f t="shared" si="1389"/>
        <v>ENTRADA</v>
      </c>
      <c r="C2791" t="str">
        <f t="shared" si="1384"/>
        <v>NFSE</v>
      </c>
      <c r="D2791" t="str">
        <f>"3007"</f>
        <v>3007</v>
      </c>
      <c r="E2791" t="str">
        <f t="shared" si="1385"/>
        <v>COM</v>
      </c>
      <c r="F2791" t="str">
        <f>"PAGMENOS - LJ 657 (10136)"</f>
        <v>PAGMENOS - LJ 657 (10136)</v>
      </c>
      <c r="G2791" t="str">
        <f>"Serv.Prest. 12/05/2025 a 18/05/2025 - RPS: 777 - NFSe: 3007"</f>
        <v>Serv.Prest. 12/05/2025 a 18/05/2025 - RPS: 777 - NFSe: 3007</v>
      </c>
      <c r="H2791" t="str">
        <f t="shared" si="1375"/>
        <v>29/05/2025</v>
      </c>
      <c r="I2791" t="str">
        <f>("19/05/2025")</f>
        <v>19/05/2025</v>
      </c>
      <c r="J2791" t="str">
        <f t="shared" si="1386"/>
        <v>30/05/2025</v>
      </c>
      <c r="M2791">
        <v>303</v>
      </c>
      <c r="N2791" t="str">
        <f t="shared" si="1387"/>
        <v>RECEITAS COM ENTREGAS</v>
      </c>
      <c r="P2791">
        <v>596.6</v>
      </c>
      <c r="Q2791" t="str">
        <f>"PAGMENOS - LJ 657 (10136)"</f>
        <v>PAGMENOS - LJ 657 (10136)</v>
      </c>
      <c r="R2791" t="str">
        <f t="shared" si="1388"/>
        <v>RECEITAS COM ENTREGAS (303)</v>
      </c>
      <c r="S2791">
        <v>1599</v>
      </c>
      <c r="T2791">
        <v>1214</v>
      </c>
      <c r="U2791" t="s">
        <v>19</v>
      </c>
    </row>
    <row r="2792" spans="1:21">
      <c r="A2792" t="str">
        <f t="shared" si="1383"/>
        <v>30/05/2025</v>
      </c>
      <c r="B2792" t="str">
        <f t="shared" si="1389"/>
        <v>ENTRADA</v>
      </c>
      <c r="C2792" t="str">
        <f t="shared" si="1384"/>
        <v>NFSE</v>
      </c>
      <c r="D2792" t="str">
        <f>"3025"</f>
        <v>3025</v>
      </c>
      <c r="E2792" t="str">
        <f t="shared" si="1385"/>
        <v>COM</v>
      </c>
      <c r="F2792" t="str">
        <f>"DROGARIA POUPA MINAS (ULTRAMINAS) 3 (10129)"</f>
        <v>DROGARIA POUPA MINAS (ULTRAMINAS) 3 (10129)</v>
      </c>
      <c r="G2792" t="str">
        <f>"Serv.Prest. 19/05/2025 a 25/05/2025 - RPS: 795 - NFSe: 3025"</f>
        <v>Serv.Prest. 19/05/2025 a 25/05/2025 - RPS: 795 - NFSe: 3025</v>
      </c>
      <c r="H2792" t="str">
        <f t="shared" si="1375"/>
        <v>29/05/2025</v>
      </c>
      <c r="I2792" t="str">
        <f>("26/05/2025")</f>
        <v>26/05/2025</v>
      </c>
      <c r="J2792" t="str">
        <f t="shared" si="1386"/>
        <v>30/05/2025</v>
      </c>
      <c r="K2792">
        <v>274.56</v>
      </c>
      <c r="L2792">
        <v>274.56</v>
      </c>
      <c r="M2792">
        <v>303</v>
      </c>
      <c r="N2792" t="str">
        <f t="shared" si="1387"/>
        <v>RECEITAS COM ENTREGAS</v>
      </c>
      <c r="O2792">
        <v>274.56</v>
      </c>
      <c r="R2792" t="str">
        <f t="shared" si="1388"/>
        <v>RECEITAS COM ENTREGAS (303)</v>
      </c>
      <c r="S2792">
        <v>1600</v>
      </c>
      <c r="T2792">
        <v>1232</v>
      </c>
      <c r="U2792" t="s">
        <v>19</v>
      </c>
    </row>
    <row r="2793" spans="1:21">
      <c r="A2793" t="str">
        <f t="shared" si="1383"/>
        <v>30/05/2025</v>
      </c>
      <c r="B2793" t="str">
        <f t="shared" si="1389"/>
        <v>ENTRADA</v>
      </c>
      <c r="C2793" t="str">
        <f t="shared" si="1384"/>
        <v>NFSE</v>
      </c>
      <c r="D2793" t="str">
        <f>"3025"</f>
        <v>3025</v>
      </c>
      <c r="E2793" t="str">
        <f t="shared" si="1385"/>
        <v>COM</v>
      </c>
      <c r="F2793" t="str">
        <f>"DROGARIA POUPA MINAS (ULTRAMINAS) 3 (10129)"</f>
        <v>DROGARIA POUPA MINAS (ULTRAMINAS) 3 (10129)</v>
      </c>
      <c r="G2793" t="str">
        <f>"Serv.Prest. 19/05/2025 a 25/05/2025 - RPS: 795 - NFSe: 3025"</f>
        <v>Serv.Prest. 19/05/2025 a 25/05/2025 - RPS: 795 - NFSe: 3025</v>
      </c>
      <c r="H2793" t="str">
        <f t="shared" si="1375"/>
        <v>29/05/2025</v>
      </c>
      <c r="I2793" t="str">
        <f>("26/05/2025")</f>
        <v>26/05/2025</v>
      </c>
      <c r="J2793" t="str">
        <f t="shared" si="1386"/>
        <v>30/05/2025</v>
      </c>
      <c r="M2793">
        <v>303</v>
      </c>
      <c r="N2793" t="str">
        <f t="shared" si="1387"/>
        <v>RECEITAS COM ENTREGAS</v>
      </c>
      <c r="P2793">
        <v>274.56</v>
      </c>
      <c r="Q2793" t="str">
        <f>"DROGARIA POUPA MINAS (ULTRAMINAS) 3 (10129)"</f>
        <v>DROGARIA POUPA MINAS (ULTRAMINAS) 3 (10129)</v>
      </c>
      <c r="R2793" t="str">
        <f t="shared" si="1388"/>
        <v>RECEITAS COM ENTREGAS (303)</v>
      </c>
      <c r="S2793">
        <v>1600</v>
      </c>
      <c r="T2793">
        <v>1232</v>
      </c>
      <c r="U2793" t="s">
        <v>19</v>
      </c>
    </row>
    <row r="2794" spans="1:21">
      <c r="A2794" t="str">
        <f t="shared" si="1383"/>
        <v>30/05/2025</v>
      </c>
      <c r="B2794" t="str">
        <f>"ENTRADA"</f>
        <v>ENTRADA</v>
      </c>
      <c r="C2794" t="str">
        <f>"TRANSFERENCIA"</f>
        <v>TRANSFERENCIA</v>
      </c>
      <c r="D2794" t="str">
        <f>""</f>
        <v/>
      </c>
      <c r="E2794" t="str">
        <f>"TRF"</f>
        <v>TRF</v>
      </c>
      <c r="F2794" t="str">
        <f>""</f>
        <v/>
      </c>
      <c r="G2794" t="str">
        <f>"DEVOLUCAO EMPRESTIMO AJUDA DE CAIXA (120-&gt;102)"</f>
        <v>DEVOLUCAO EMPRESTIMO AJUDA DE CAIXA (120-&gt;102)</v>
      </c>
      <c r="H2794" t="str">
        <f t="shared" ref="H2794:I2798" si="1390">("30/05/2025")</f>
        <v>30/05/2025</v>
      </c>
      <c r="I2794" t="str">
        <f t="shared" si="1390"/>
        <v>30/05/2025</v>
      </c>
      <c r="J2794" t="str">
        <f t="shared" si="1386"/>
        <v>30/05/2025</v>
      </c>
      <c r="M2794">
        <v>102</v>
      </c>
      <c r="N2794" t="str">
        <f>"BANCO CORA"</f>
        <v>BANCO CORA</v>
      </c>
      <c r="O2794">
        <v>12333.5</v>
      </c>
      <c r="R2794" t="str">
        <f>"BANCO CORA (102)"</f>
        <v>BANCO CORA (102)</v>
      </c>
      <c r="S2794">
        <v>1608</v>
      </c>
      <c r="T2794">
        <v>0</v>
      </c>
      <c r="U2794" t="s">
        <v>19</v>
      </c>
    </row>
    <row r="2795" spans="1:21">
      <c r="A2795" t="str">
        <f t="shared" si="1383"/>
        <v>30/05/2025</v>
      </c>
      <c r="B2795" t="str">
        <f t="shared" ref="B2795:B2800" si="1391">"SAÍDA"</f>
        <v>SAÍDA</v>
      </c>
      <c r="C2795" t="str">
        <f>"TRANSFERENCIA"</f>
        <v>TRANSFERENCIA</v>
      </c>
      <c r="D2795" t="str">
        <f>""</f>
        <v/>
      </c>
      <c r="E2795" t="str">
        <f>"TRF"</f>
        <v>TRF</v>
      </c>
      <c r="F2795" t="str">
        <f>""</f>
        <v/>
      </c>
      <c r="G2795" t="str">
        <f>"DEVOLUCAO EMPRESTIMO AJUDA DE CAIXA (120-&gt;102)"</f>
        <v>DEVOLUCAO EMPRESTIMO AJUDA DE CAIXA (120-&gt;102)</v>
      </c>
      <c r="H2795" t="str">
        <f t="shared" si="1390"/>
        <v>30/05/2025</v>
      </c>
      <c r="I2795" t="str">
        <f t="shared" si="1390"/>
        <v>30/05/2025</v>
      </c>
      <c r="J2795" t="str">
        <f t="shared" si="1386"/>
        <v>30/05/2025</v>
      </c>
      <c r="M2795">
        <v>120</v>
      </c>
      <c r="N2795" t="str">
        <f>"CAIXA - COOPERATIVA"</f>
        <v>CAIXA - COOPERATIVA</v>
      </c>
      <c r="O2795">
        <v>12333.5</v>
      </c>
      <c r="R2795" t="str">
        <f>"CAIXA - COOPERATIVA (120)"</f>
        <v>CAIXA - COOPERATIVA (120)</v>
      </c>
      <c r="S2795">
        <v>1608</v>
      </c>
      <c r="T2795">
        <v>0</v>
      </c>
      <c r="U2795" t="s">
        <v>26</v>
      </c>
    </row>
    <row r="2796" spans="1:21">
      <c r="A2796" t="str">
        <f t="shared" si="1383"/>
        <v>30/05/2025</v>
      </c>
      <c r="B2796" t="str">
        <f t="shared" si="1391"/>
        <v>SAÍDA</v>
      </c>
      <c r="C2796" t="str">
        <f>"JUROS"</f>
        <v>JUROS</v>
      </c>
      <c r="D2796" t="str">
        <f>""</f>
        <v/>
      </c>
      <c r="E2796" t="str">
        <f>"CXA"</f>
        <v>CXA</v>
      </c>
      <c r="F2796" t="str">
        <f>""</f>
        <v/>
      </c>
      <c r="G2796" t="str">
        <f>"TAXA BOLETO COMPENSADO"</f>
        <v>TAXA BOLETO COMPENSADO</v>
      </c>
      <c r="H2796" t="str">
        <f t="shared" si="1390"/>
        <v>30/05/2025</v>
      </c>
      <c r="I2796" t="str">
        <f t="shared" si="1390"/>
        <v>30/05/2025</v>
      </c>
      <c r="J2796" t="str">
        <f t="shared" si="1386"/>
        <v>30/05/2025</v>
      </c>
      <c r="K2796">
        <v>1.7</v>
      </c>
      <c r="L2796">
        <v>1.7</v>
      </c>
      <c r="M2796">
        <v>401</v>
      </c>
      <c r="N2796" t="str">
        <f>"IOF/JUROS/DESP.FINANCEIRA"</f>
        <v>IOF/JUROS/DESP.FINANCEIRA</v>
      </c>
      <c r="O2796">
        <v>1.7</v>
      </c>
      <c r="R2796" t="str">
        <f>"BANCO CORA (102)"</f>
        <v>BANCO CORA (102)</v>
      </c>
      <c r="S2796">
        <v>1724</v>
      </c>
      <c r="T2796">
        <v>0</v>
      </c>
      <c r="U2796" t="s">
        <v>20</v>
      </c>
    </row>
    <row r="2797" spans="1:21">
      <c r="A2797" t="str">
        <f t="shared" si="1383"/>
        <v>30/05/2025</v>
      </c>
      <c r="B2797" t="str">
        <f t="shared" si="1391"/>
        <v>SAÍDA</v>
      </c>
      <c r="C2797" t="str">
        <f>"JUROS"</f>
        <v>JUROS</v>
      </c>
      <c r="D2797" t="str">
        <f>""</f>
        <v/>
      </c>
      <c r="E2797" t="str">
        <f>"CXA"</f>
        <v>CXA</v>
      </c>
      <c r="F2797" t="str">
        <f>""</f>
        <v/>
      </c>
      <c r="G2797" t="str">
        <f>"TAXA BOLETO COMPENSADO"</f>
        <v>TAXA BOLETO COMPENSADO</v>
      </c>
      <c r="H2797" t="str">
        <f t="shared" si="1390"/>
        <v>30/05/2025</v>
      </c>
      <c r="I2797" t="str">
        <f t="shared" si="1390"/>
        <v>30/05/2025</v>
      </c>
      <c r="J2797" t="str">
        <f t="shared" si="1386"/>
        <v>30/05/2025</v>
      </c>
      <c r="K2797">
        <v>1.7</v>
      </c>
      <c r="L2797">
        <v>1.7</v>
      </c>
      <c r="M2797">
        <v>401</v>
      </c>
      <c r="N2797" t="str">
        <f>"IOF/JUROS/DESP.FINANCEIRA"</f>
        <v>IOF/JUROS/DESP.FINANCEIRA</v>
      </c>
      <c r="O2797">
        <v>1.7</v>
      </c>
      <c r="R2797" t="str">
        <f>"BANCO CORA (102)"</f>
        <v>BANCO CORA (102)</v>
      </c>
      <c r="S2797">
        <v>1725</v>
      </c>
      <c r="T2797">
        <v>0</v>
      </c>
      <c r="U2797" t="s">
        <v>20</v>
      </c>
    </row>
    <row r="2798" spans="1:21">
      <c r="A2798" t="str">
        <f t="shared" si="1383"/>
        <v>30/05/2025</v>
      </c>
      <c r="B2798" t="str">
        <f t="shared" si="1391"/>
        <v>SAÍDA</v>
      </c>
      <c r="C2798" t="str">
        <f>"JUROS"</f>
        <v>JUROS</v>
      </c>
      <c r="D2798" t="str">
        <f>""</f>
        <v/>
      </c>
      <c r="E2798" t="str">
        <f>"CXA"</f>
        <v>CXA</v>
      </c>
      <c r="F2798" t="str">
        <f>""</f>
        <v/>
      </c>
      <c r="G2798" t="str">
        <f>"TAXA BOLETO COMPENSADO"</f>
        <v>TAXA BOLETO COMPENSADO</v>
      </c>
      <c r="H2798" t="str">
        <f t="shared" si="1390"/>
        <v>30/05/2025</v>
      </c>
      <c r="I2798" t="str">
        <f t="shared" si="1390"/>
        <v>30/05/2025</v>
      </c>
      <c r="J2798" t="str">
        <f t="shared" si="1386"/>
        <v>30/05/2025</v>
      </c>
      <c r="K2798">
        <v>1.7</v>
      </c>
      <c r="L2798">
        <v>1.7</v>
      </c>
      <c r="M2798">
        <v>401</v>
      </c>
      <c r="N2798" t="str">
        <f>"IOF/JUROS/DESP.FINANCEIRA"</f>
        <v>IOF/JUROS/DESP.FINANCEIRA</v>
      </c>
      <c r="O2798">
        <v>1.7</v>
      </c>
      <c r="R2798" t="str">
        <f>"BANCO CORA (102)"</f>
        <v>BANCO CORA (102)</v>
      </c>
      <c r="S2798">
        <v>1726</v>
      </c>
      <c r="T2798">
        <v>0</v>
      </c>
      <c r="U2798" t="s">
        <v>20</v>
      </c>
    </row>
    <row r="2799" spans="1:21">
      <c r="A2799" t="str">
        <f>("02/06/2025")</f>
        <v>02/06/2025</v>
      </c>
      <c r="B2799" t="str">
        <f t="shared" si="1391"/>
        <v>SAÍDA</v>
      </c>
      <c r="C2799" t="str">
        <f>"PIX"</f>
        <v>PIX</v>
      </c>
      <c r="D2799" t="str">
        <f>"56880984"</f>
        <v>56880984</v>
      </c>
      <c r="E2799" t="str">
        <f t="shared" ref="E2799:E2862" si="1392">"COM"</f>
        <v>COM</v>
      </c>
      <c r="F2799" t="str">
        <f>"EBAZAR.COM.BR. LTDA (20089)"</f>
        <v>EBAZAR.COM.BR. LTDA (20089)</v>
      </c>
      <c r="G2799" t="str">
        <f>"NOTEBOOK ACER A515-57-5429 - ESTAGIARIO"</f>
        <v>NOTEBOOK ACER A515-57-5429 - ESTAGIARIO</v>
      </c>
      <c r="H2799" t="str">
        <f t="shared" ref="H2799:J2800" si="1393">("02/06/2025")</f>
        <v>02/06/2025</v>
      </c>
      <c r="I2799" t="str">
        <f t="shared" si="1393"/>
        <v>02/06/2025</v>
      </c>
      <c r="J2799" t="str">
        <f t="shared" si="1393"/>
        <v>02/06/2025</v>
      </c>
      <c r="K2799">
        <v>4285</v>
      </c>
      <c r="L2799">
        <v>4285</v>
      </c>
      <c r="M2799">
        <v>130</v>
      </c>
      <c r="N2799" t="str">
        <f>"EQUIPAMENTOS DE INFORMATICA"</f>
        <v>EQUIPAMENTOS DE INFORMATICA</v>
      </c>
      <c r="O2799">
        <v>4285</v>
      </c>
      <c r="R2799" t="str">
        <f>"BANCO CORA (102)"</f>
        <v>BANCO CORA (102)</v>
      </c>
      <c r="S2799">
        <v>1766</v>
      </c>
      <c r="T2799">
        <v>1311</v>
      </c>
      <c r="U2799" t="s">
        <v>19</v>
      </c>
    </row>
    <row r="2800" spans="1:21">
      <c r="A2800" t="str">
        <f>("02/06/2025")</f>
        <v>02/06/2025</v>
      </c>
      <c r="B2800" t="str">
        <f t="shared" si="1391"/>
        <v>SAÍDA</v>
      </c>
      <c r="C2800" t="str">
        <f>"PIX"</f>
        <v>PIX</v>
      </c>
      <c r="D2800" t="str">
        <f>"56880984"</f>
        <v>56880984</v>
      </c>
      <c r="E2800" t="str">
        <f t="shared" si="1392"/>
        <v>COM</v>
      </c>
      <c r="F2800" t="str">
        <f>"EBAZAR.COM.BR. LTDA (20089)"</f>
        <v>EBAZAR.COM.BR. LTDA (20089)</v>
      </c>
      <c r="G2800" t="str">
        <f>"NOTEBOOK ACER A515-57-5429 - ESTAGIARIO"</f>
        <v>NOTEBOOK ACER A515-57-5429 - ESTAGIARIO</v>
      </c>
      <c r="H2800" t="str">
        <f t="shared" si="1393"/>
        <v>02/06/2025</v>
      </c>
      <c r="I2800" t="str">
        <f t="shared" si="1393"/>
        <v>02/06/2025</v>
      </c>
      <c r="J2800" t="str">
        <f t="shared" si="1393"/>
        <v>02/06/2025</v>
      </c>
      <c r="M2800">
        <v>130</v>
      </c>
      <c r="N2800" t="str">
        <f>"EQUIPAMENTOS DE INFORMATICA"</f>
        <v>EQUIPAMENTOS DE INFORMATICA</v>
      </c>
      <c r="P2800">
        <v>4285</v>
      </c>
      <c r="Q2800" t="str">
        <f>"EBAZAR.COM.BR. LTDA (20089)"</f>
        <v>EBAZAR.COM.BR. LTDA (20089)</v>
      </c>
      <c r="R2800" t="str">
        <f>"BANCO CORA (102)"</f>
        <v>BANCO CORA (102)</v>
      </c>
      <c r="S2800">
        <v>1766</v>
      </c>
      <c r="T2800">
        <v>1311</v>
      </c>
      <c r="U2800" t="s">
        <v>19</v>
      </c>
    </row>
    <row r="2801" spans="1:21">
      <c r="A2801" t="str">
        <f t="shared" ref="A2801:A2832" si="1394">("04/06/2025")</f>
        <v>04/06/2025</v>
      </c>
      <c r="B2801" t="str">
        <f>"ENTRADA"</f>
        <v>ENTRADA</v>
      </c>
      <c r="C2801" t="str">
        <f t="shared" ref="C2801:C2832" si="1395">"NFSE"</f>
        <v>NFSE</v>
      </c>
      <c r="D2801" t="str">
        <f t="shared" ref="D2801:D2809" si="1396">"3016"</f>
        <v>3016</v>
      </c>
      <c r="E2801" t="str">
        <f t="shared" si="1392"/>
        <v>COM</v>
      </c>
      <c r="F2801" t="str">
        <f t="shared" ref="F2801:F2809" si="1397">"FARMÁCIA INDIANA LJ 85 (10128)"</f>
        <v>FARMÁCIA INDIANA LJ 85 (10128)</v>
      </c>
      <c r="G2801" t="str">
        <f t="shared" ref="G2801:G2809" si="1398">"Serv.Prest. 19/05/2025 a 25/05/2025 - RPS: 786 - NFSe: 3016"</f>
        <v>Serv.Prest. 19/05/2025 a 25/05/2025 - RPS: 786 - NFSe: 3016</v>
      </c>
      <c r="H2801" t="str">
        <f t="shared" ref="H2801:H2832" si="1399">("04/06/2025")</f>
        <v>04/06/2025</v>
      </c>
      <c r="I2801" t="str">
        <f t="shared" ref="I2801:I2832" si="1400">("26/05/2025")</f>
        <v>26/05/2025</v>
      </c>
      <c r="J2801" t="str">
        <f t="shared" ref="J2801:J2832" si="1401">("04/06/2025")</f>
        <v>04/06/2025</v>
      </c>
      <c r="K2801">
        <v>1300.3499999999999</v>
      </c>
      <c r="L2801">
        <v>1300.3499999999999</v>
      </c>
      <c r="M2801">
        <v>303</v>
      </c>
      <c r="N2801" t="str">
        <f t="shared" ref="N2801:N2832" si="1402">"RECEITAS COM ENTREGAS"</f>
        <v>RECEITAS COM ENTREGAS</v>
      </c>
      <c r="O2801">
        <v>1300.3499999999999</v>
      </c>
      <c r="R2801" t="str">
        <f t="shared" ref="R2801:R2832" si="1403">"RECEITAS COM ENTREGAS (303)"</f>
        <v>RECEITAS COM ENTREGAS (303)</v>
      </c>
      <c r="S2801">
        <v>1735</v>
      </c>
      <c r="T2801">
        <v>1223</v>
      </c>
      <c r="U2801" t="s">
        <v>19</v>
      </c>
    </row>
    <row r="2802" spans="1:21">
      <c r="A2802" t="str">
        <f t="shared" si="1394"/>
        <v>04/06/2025</v>
      </c>
      <c r="B2802" t="str">
        <f t="shared" ref="B2802:B2865" si="1404">"ENTRADA"</f>
        <v>ENTRADA</v>
      </c>
      <c r="C2802" t="str">
        <f t="shared" si="1395"/>
        <v>NFSE</v>
      </c>
      <c r="D2802" t="str">
        <f t="shared" si="1396"/>
        <v>3016</v>
      </c>
      <c r="E2802" t="str">
        <f t="shared" si="1392"/>
        <v>COM</v>
      </c>
      <c r="F2802" t="str">
        <f t="shared" si="1397"/>
        <v>FARMÁCIA INDIANA LJ 85 (10128)</v>
      </c>
      <c r="G2802" t="str">
        <f t="shared" si="1398"/>
        <v>Serv.Prest. 19/05/2025 a 25/05/2025 - RPS: 786 - NFSe: 3016</v>
      </c>
      <c r="H2802" t="str">
        <f t="shared" si="1399"/>
        <v>04/06/2025</v>
      </c>
      <c r="I2802" t="str">
        <f t="shared" si="1400"/>
        <v>26/05/2025</v>
      </c>
      <c r="J2802" t="str">
        <f t="shared" si="1401"/>
        <v>04/06/2025</v>
      </c>
      <c r="M2802">
        <v>303</v>
      </c>
      <c r="N2802" t="str">
        <f t="shared" si="1402"/>
        <v>RECEITAS COM ENTREGAS</v>
      </c>
      <c r="P2802">
        <v>160.86000000000001</v>
      </c>
      <c r="Q2802" t="str">
        <f>"FARMÁCIA INDIANA LJ 119 (10053)"</f>
        <v>FARMÁCIA INDIANA LJ 119 (10053)</v>
      </c>
      <c r="R2802" t="str">
        <f t="shared" si="1403"/>
        <v>RECEITAS COM ENTREGAS (303)</v>
      </c>
      <c r="S2802">
        <v>1735</v>
      </c>
      <c r="T2802">
        <v>1223</v>
      </c>
      <c r="U2802" t="s">
        <v>19</v>
      </c>
    </row>
    <row r="2803" spans="1:21">
      <c r="A2803" t="str">
        <f t="shared" si="1394"/>
        <v>04/06/2025</v>
      </c>
      <c r="B2803" t="str">
        <f t="shared" si="1404"/>
        <v>ENTRADA</v>
      </c>
      <c r="C2803" t="str">
        <f t="shared" si="1395"/>
        <v>NFSE</v>
      </c>
      <c r="D2803" t="str">
        <f t="shared" si="1396"/>
        <v>3016</v>
      </c>
      <c r="E2803" t="str">
        <f t="shared" si="1392"/>
        <v>COM</v>
      </c>
      <c r="F2803" t="str">
        <f t="shared" si="1397"/>
        <v>FARMÁCIA INDIANA LJ 85 (10128)</v>
      </c>
      <c r="G2803" t="str">
        <f t="shared" si="1398"/>
        <v>Serv.Prest. 19/05/2025 a 25/05/2025 - RPS: 786 - NFSe: 3016</v>
      </c>
      <c r="H2803" t="str">
        <f t="shared" si="1399"/>
        <v>04/06/2025</v>
      </c>
      <c r="I2803" t="str">
        <f t="shared" si="1400"/>
        <v>26/05/2025</v>
      </c>
      <c r="J2803" t="str">
        <f t="shared" si="1401"/>
        <v>04/06/2025</v>
      </c>
      <c r="M2803">
        <v>303</v>
      </c>
      <c r="N2803" t="str">
        <f t="shared" si="1402"/>
        <v>RECEITAS COM ENTREGAS</v>
      </c>
      <c r="P2803">
        <v>196.74</v>
      </c>
      <c r="Q2803" t="str">
        <f>"FARMÁCIA INDIANA LJ 163 (10072)"</f>
        <v>FARMÁCIA INDIANA LJ 163 (10072)</v>
      </c>
      <c r="R2803" t="str">
        <f t="shared" si="1403"/>
        <v>RECEITAS COM ENTREGAS (303)</v>
      </c>
      <c r="S2803">
        <v>1735</v>
      </c>
      <c r="T2803">
        <v>1223</v>
      </c>
      <c r="U2803" t="s">
        <v>19</v>
      </c>
    </row>
    <row r="2804" spans="1:21">
      <c r="A2804" t="str">
        <f t="shared" si="1394"/>
        <v>04/06/2025</v>
      </c>
      <c r="B2804" t="str">
        <f t="shared" si="1404"/>
        <v>ENTRADA</v>
      </c>
      <c r="C2804" t="str">
        <f t="shared" si="1395"/>
        <v>NFSE</v>
      </c>
      <c r="D2804" t="str">
        <f t="shared" si="1396"/>
        <v>3016</v>
      </c>
      <c r="E2804" t="str">
        <f t="shared" si="1392"/>
        <v>COM</v>
      </c>
      <c r="F2804" t="str">
        <f t="shared" si="1397"/>
        <v>FARMÁCIA INDIANA LJ 85 (10128)</v>
      </c>
      <c r="G2804" t="str">
        <f t="shared" si="1398"/>
        <v>Serv.Prest. 19/05/2025 a 25/05/2025 - RPS: 786 - NFSe: 3016</v>
      </c>
      <c r="H2804" t="str">
        <f t="shared" si="1399"/>
        <v>04/06/2025</v>
      </c>
      <c r="I2804" t="str">
        <f t="shared" si="1400"/>
        <v>26/05/2025</v>
      </c>
      <c r="J2804" t="str">
        <f t="shared" si="1401"/>
        <v>04/06/2025</v>
      </c>
      <c r="M2804">
        <v>303</v>
      </c>
      <c r="N2804" t="str">
        <f t="shared" si="1402"/>
        <v>RECEITAS COM ENTREGAS</v>
      </c>
      <c r="P2804">
        <v>217.42</v>
      </c>
      <c r="Q2804" t="str">
        <f>"FARMÁCIA INDIANA LJ 181 (10078)"</f>
        <v>FARMÁCIA INDIANA LJ 181 (10078)</v>
      </c>
      <c r="R2804" t="str">
        <f t="shared" si="1403"/>
        <v>RECEITAS COM ENTREGAS (303)</v>
      </c>
      <c r="S2804">
        <v>1735</v>
      </c>
      <c r="T2804">
        <v>1223</v>
      </c>
      <c r="U2804" t="s">
        <v>19</v>
      </c>
    </row>
    <row r="2805" spans="1:21">
      <c r="A2805" t="str">
        <f t="shared" si="1394"/>
        <v>04/06/2025</v>
      </c>
      <c r="B2805" t="str">
        <f t="shared" si="1404"/>
        <v>ENTRADA</v>
      </c>
      <c r="C2805" t="str">
        <f t="shared" si="1395"/>
        <v>NFSE</v>
      </c>
      <c r="D2805" t="str">
        <f t="shared" si="1396"/>
        <v>3016</v>
      </c>
      <c r="E2805" t="str">
        <f t="shared" si="1392"/>
        <v>COM</v>
      </c>
      <c r="F2805" t="str">
        <f t="shared" si="1397"/>
        <v>FARMÁCIA INDIANA LJ 85 (10128)</v>
      </c>
      <c r="G2805" t="str">
        <f t="shared" si="1398"/>
        <v>Serv.Prest. 19/05/2025 a 25/05/2025 - RPS: 786 - NFSe: 3016</v>
      </c>
      <c r="H2805" t="str">
        <f t="shared" si="1399"/>
        <v>04/06/2025</v>
      </c>
      <c r="I2805" t="str">
        <f t="shared" si="1400"/>
        <v>26/05/2025</v>
      </c>
      <c r="J2805" t="str">
        <f t="shared" si="1401"/>
        <v>04/06/2025</v>
      </c>
      <c r="M2805">
        <v>303</v>
      </c>
      <c r="N2805" t="str">
        <f t="shared" si="1402"/>
        <v>RECEITAS COM ENTREGAS</v>
      </c>
      <c r="P2805">
        <v>161.76</v>
      </c>
      <c r="Q2805" t="str">
        <f>"FARMÁCIA INDIANA LJ 221 (10093)"</f>
        <v>FARMÁCIA INDIANA LJ 221 (10093)</v>
      </c>
      <c r="R2805" t="str">
        <f t="shared" si="1403"/>
        <v>RECEITAS COM ENTREGAS (303)</v>
      </c>
      <c r="S2805">
        <v>1735</v>
      </c>
      <c r="T2805">
        <v>1223</v>
      </c>
      <c r="U2805" t="s">
        <v>19</v>
      </c>
    </row>
    <row r="2806" spans="1:21">
      <c r="A2806" t="str">
        <f t="shared" si="1394"/>
        <v>04/06/2025</v>
      </c>
      <c r="B2806" t="str">
        <f t="shared" si="1404"/>
        <v>ENTRADA</v>
      </c>
      <c r="C2806" t="str">
        <f t="shared" si="1395"/>
        <v>NFSE</v>
      </c>
      <c r="D2806" t="str">
        <f t="shared" si="1396"/>
        <v>3016</v>
      </c>
      <c r="E2806" t="str">
        <f t="shared" si="1392"/>
        <v>COM</v>
      </c>
      <c r="F2806" t="str">
        <f t="shared" si="1397"/>
        <v>FARMÁCIA INDIANA LJ 85 (10128)</v>
      </c>
      <c r="G2806" t="str">
        <f t="shared" si="1398"/>
        <v>Serv.Prest. 19/05/2025 a 25/05/2025 - RPS: 786 - NFSe: 3016</v>
      </c>
      <c r="H2806" t="str">
        <f t="shared" si="1399"/>
        <v>04/06/2025</v>
      </c>
      <c r="I2806" t="str">
        <f t="shared" si="1400"/>
        <v>26/05/2025</v>
      </c>
      <c r="J2806" t="str">
        <f t="shared" si="1401"/>
        <v>04/06/2025</v>
      </c>
      <c r="M2806">
        <v>303</v>
      </c>
      <c r="N2806" t="str">
        <f t="shared" si="1402"/>
        <v>RECEITAS COM ENTREGAS</v>
      </c>
      <c r="P2806">
        <v>218.98</v>
      </c>
      <c r="Q2806" t="str">
        <f>"FARMÁCIA INDIANA LJ 243 (10142)"</f>
        <v>FARMÁCIA INDIANA LJ 243 (10142)</v>
      </c>
      <c r="R2806" t="str">
        <f t="shared" si="1403"/>
        <v>RECEITAS COM ENTREGAS (303)</v>
      </c>
      <c r="S2806">
        <v>1735</v>
      </c>
      <c r="T2806">
        <v>1223</v>
      </c>
      <c r="U2806" t="s">
        <v>19</v>
      </c>
    </row>
    <row r="2807" spans="1:21">
      <c r="A2807" t="str">
        <f t="shared" si="1394"/>
        <v>04/06/2025</v>
      </c>
      <c r="B2807" t="str">
        <f t="shared" si="1404"/>
        <v>ENTRADA</v>
      </c>
      <c r="C2807" t="str">
        <f t="shared" si="1395"/>
        <v>NFSE</v>
      </c>
      <c r="D2807" t="str">
        <f t="shared" si="1396"/>
        <v>3016</v>
      </c>
      <c r="E2807" t="str">
        <f t="shared" si="1392"/>
        <v>COM</v>
      </c>
      <c r="F2807" t="str">
        <f t="shared" si="1397"/>
        <v>FARMÁCIA INDIANA LJ 85 (10128)</v>
      </c>
      <c r="G2807" t="str">
        <f t="shared" si="1398"/>
        <v>Serv.Prest. 19/05/2025 a 25/05/2025 - RPS: 786 - NFSe: 3016</v>
      </c>
      <c r="H2807" t="str">
        <f t="shared" si="1399"/>
        <v>04/06/2025</v>
      </c>
      <c r="I2807" t="str">
        <f t="shared" si="1400"/>
        <v>26/05/2025</v>
      </c>
      <c r="J2807" t="str">
        <f t="shared" si="1401"/>
        <v>04/06/2025</v>
      </c>
      <c r="M2807">
        <v>303</v>
      </c>
      <c r="N2807" t="str">
        <f t="shared" si="1402"/>
        <v>RECEITAS COM ENTREGAS</v>
      </c>
      <c r="P2807">
        <v>86.08</v>
      </c>
      <c r="Q2807" t="str">
        <f>"FARMÁCIA INDIANA LJ 211 (10168)"</f>
        <v>FARMÁCIA INDIANA LJ 211 (10168)</v>
      </c>
      <c r="R2807" t="str">
        <f t="shared" si="1403"/>
        <v>RECEITAS COM ENTREGAS (303)</v>
      </c>
      <c r="S2807">
        <v>1735</v>
      </c>
      <c r="T2807">
        <v>1223</v>
      </c>
      <c r="U2807" t="s">
        <v>19</v>
      </c>
    </row>
    <row r="2808" spans="1:21">
      <c r="A2808" t="str">
        <f t="shared" si="1394"/>
        <v>04/06/2025</v>
      </c>
      <c r="B2808" t="str">
        <f t="shared" si="1404"/>
        <v>ENTRADA</v>
      </c>
      <c r="C2808" t="str">
        <f t="shared" si="1395"/>
        <v>NFSE</v>
      </c>
      <c r="D2808" t="str">
        <f t="shared" si="1396"/>
        <v>3016</v>
      </c>
      <c r="E2808" t="str">
        <f t="shared" si="1392"/>
        <v>COM</v>
      </c>
      <c r="F2808" t="str">
        <f t="shared" si="1397"/>
        <v>FARMÁCIA INDIANA LJ 85 (10128)</v>
      </c>
      <c r="G2808" t="str">
        <f t="shared" si="1398"/>
        <v>Serv.Prest. 19/05/2025 a 25/05/2025 - RPS: 786 - NFSe: 3016</v>
      </c>
      <c r="H2808" t="str">
        <f t="shared" si="1399"/>
        <v>04/06/2025</v>
      </c>
      <c r="I2808" t="str">
        <f t="shared" si="1400"/>
        <v>26/05/2025</v>
      </c>
      <c r="J2808" t="str">
        <f t="shared" si="1401"/>
        <v>04/06/2025</v>
      </c>
      <c r="M2808">
        <v>303</v>
      </c>
      <c r="N2808" t="str">
        <f t="shared" si="1402"/>
        <v>RECEITAS COM ENTREGAS</v>
      </c>
      <c r="P2808">
        <v>86.08</v>
      </c>
      <c r="Q2808" t="str">
        <f>"FARMÁCIA INDIANA LJ 236 (10169)"</f>
        <v>FARMÁCIA INDIANA LJ 236 (10169)</v>
      </c>
      <c r="R2808" t="str">
        <f t="shared" si="1403"/>
        <v>RECEITAS COM ENTREGAS (303)</v>
      </c>
      <c r="S2808">
        <v>1735</v>
      </c>
      <c r="T2808">
        <v>1223</v>
      </c>
      <c r="U2808" t="s">
        <v>19</v>
      </c>
    </row>
    <row r="2809" spans="1:21">
      <c r="A2809" t="str">
        <f t="shared" si="1394"/>
        <v>04/06/2025</v>
      </c>
      <c r="B2809" t="str">
        <f t="shared" si="1404"/>
        <v>ENTRADA</v>
      </c>
      <c r="C2809" t="str">
        <f t="shared" si="1395"/>
        <v>NFSE</v>
      </c>
      <c r="D2809" t="str">
        <f t="shared" si="1396"/>
        <v>3016</v>
      </c>
      <c r="E2809" t="str">
        <f t="shared" si="1392"/>
        <v>COM</v>
      </c>
      <c r="F2809" t="str">
        <f t="shared" si="1397"/>
        <v>FARMÁCIA INDIANA LJ 85 (10128)</v>
      </c>
      <c r="G2809" t="str">
        <f t="shared" si="1398"/>
        <v>Serv.Prest. 19/05/2025 a 25/05/2025 - RPS: 786 - NFSe: 3016</v>
      </c>
      <c r="H2809" t="str">
        <f t="shared" si="1399"/>
        <v>04/06/2025</v>
      </c>
      <c r="I2809" t="str">
        <f t="shared" si="1400"/>
        <v>26/05/2025</v>
      </c>
      <c r="J2809" t="str">
        <f t="shared" si="1401"/>
        <v>04/06/2025</v>
      </c>
      <c r="M2809">
        <v>303</v>
      </c>
      <c r="N2809" t="str">
        <f t="shared" si="1402"/>
        <v>RECEITAS COM ENTREGAS</v>
      </c>
      <c r="P2809">
        <v>172.43</v>
      </c>
      <c r="Q2809" t="str">
        <f>"FARMÁCIA INDIANA LJ 188 (10176)"</f>
        <v>FARMÁCIA INDIANA LJ 188 (10176)</v>
      </c>
      <c r="R2809" t="str">
        <f t="shared" si="1403"/>
        <v>RECEITAS COM ENTREGAS (303)</v>
      </c>
      <c r="S2809">
        <v>1735</v>
      </c>
      <c r="T2809">
        <v>1223</v>
      </c>
      <c r="U2809" t="s">
        <v>19</v>
      </c>
    </row>
    <row r="2810" spans="1:21">
      <c r="A2810" t="str">
        <f t="shared" si="1394"/>
        <v>04/06/2025</v>
      </c>
      <c r="B2810" t="str">
        <f t="shared" si="1404"/>
        <v>ENTRADA</v>
      </c>
      <c r="C2810" t="str">
        <f t="shared" si="1395"/>
        <v>NFSE</v>
      </c>
      <c r="D2810" t="str">
        <f t="shared" ref="D2810:D2821" si="1405">"3017"</f>
        <v>3017</v>
      </c>
      <c r="E2810" t="str">
        <f t="shared" si="1392"/>
        <v>COM</v>
      </c>
      <c r="F2810" t="str">
        <f t="shared" ref="F2810:F2821" si="1406">"FARMÁCIA INDIANA LJ 30 (10127)"</f>
        <v>FARMÁCIA INDIANA LJ 30 (10127)</v>
      </c>
      <c r="G2810" t="str">
        <f t="shared" ref="G2810:G2821" si="1407">"Serv.Prest. 19/05/2025 a 25/05/2025 - RPS: 787 - NFSe: 3017"</f>
        <v>Serv.Prest. 19/05/2025 a 25/05/2025 - RPS: 787 - NFSe: 3017</v>
      </c>
      <c r="H2810" t="str">
        <f t="shared" si="1399"/>
        <v>04/06/2025</v>
      </c>
      <c r="I2810" t="str">
        <f t="shared" si="1400"/>
        <v>26/05/2025</v>
      </c>
      <c r="J2810" t="str">
        <f t="shared" si="1401"/>
        <v>04/06/2025</v>
      </c>
      <c r="K2810">
        <v>2552.0100000000002</v>
      </c>
      <c r="L2810">
        <v>2552.0100000000002</v>
      </c>
      <c r="M2810">
        <v>303</v>
      </c>
      <c r="N2810" t="str">
        <f t="shared" si="1402"/>
        <v>RECEITAS COM ENTREGAS</v>
      </c>
      <c r="O2810">
        <v>2552.0100000000002</v>
      </c>
      <c r="R2810" t="str">
        <f t="shared" si="1403"/>
        <v>RECEITAS COM ENTREGAS (303)</v>
      </c>
      <c r="S2810">
        <v>1736</v>
      </c>
      <c r="T2810">
        <v>1224</v>
      </c>
      <c r="U2810" t="s">
        <v>19</v>
      </c>
    </row>
    <row r="2811" spans="1:21">
      <c r="A2811" t="str">
        <f t="shared" si="1394"/>
        <v>04/06/2025</v>
      </c>
      <c r="B2811" t="str">
        <f t="shared" si="1404"/>
        <v>ENTRADA</v>
      </c>
      <c r="C2811" t="str">
        <f t="shared" si="1395"/>
        <v>NFSE</v>
      </c>
      <c r="D2811" t="str">
        <f t="shared" si="1405"/>
        <v>3017</v>
      </c>
      <c r="E2811" t="str">
        <f t="shared" si="1392"/>
        <v>COM</v>
      </c>
      <c r="F2811" t="str">
        <f t="shared" si="1406"/>
        <v>FARMÁCIA INDIANA LJ 30 (10127)</v>
      </c>
      <c r="G2811" t="str">
        <f t="shared" si="1407"/>
        <v>Serv.Prest. 19/05/2025 a 25/05/2025 - RPS: 787 - NFSe: 3017</v>
      </c>
      <c r="H2811" t="str">
        <f t="shared" si="1399"/>
        <v>04/06/2025</v>
      </c>
      <c r="I2811" t="str">
        <f t="shared" si="1400"/>
        <v>26/05/2025</v>
      </c>
      <c r="J2811" t="str">
        <f t="shared" si="1401"/>
        <v>04/06/2025</v>
      </c>
      <c r="M2811">
        <v>303</v>
      </c>
      <c r="N2811" t="str">
        <f t="shared" si="1402"/>
        <v>RECEITAS COM ENTREGAS</v>
      </c>
      <c r="P2811">
        <v>306.75</v>
      </c>
      <c r="Q2811" t="str">
        <f>"FARMÁCIA INDIANA LJ 34 (10014)"</f>
        <v>FARMÁCIA INDIANA LJ 34 (10014)</v>
      </c>
      <c r="R2811" t="str">
        <f t="shared" si="1403"/>
        <v>RECEITAS COM ENTREGAS (303)</v>
      </c>
      <c r="S2811">
        <v>1736</v>
      </c>
      <c r="T2811">
        <v>1224</v>
      </c>
      <c r="U2811" t="s">
        <v>19</v>
      </c>
    </row>
    <row r="2812" spans="1:21">
      <c r="A2812" t="str">
        <f t="shared" si="1394"/>
        <v>04/06/2025</v>
      </c>
      <c r="B2812" t="str">
        <f t="shared" si="1404"/>
        <v>ENTRADA</v>
      </c>
      <c r="C2812" t="str">
        <f t="shared" si="1395"/>
        <v>NFSE</v>
      </c>
      <c r="D2812" t="str">
        <f t="shared" si="1405"/>
        <v>3017</v>
      </c>
      <c r="E2812" t="str">
        <f t="shared" si="1392"/>
        <v>COM</v>
      </c>
      <c r="F2812" t="str">
        <f t="shared" si="1406"/>
        <v>FARMÁCIA INDIANA LJ 30 (10127)</v>
      </c>
      <c r="G2812" t="str">
        <f t="shared" si="1407"/>
        <v>Serv.Prest. 19/05/2025 a 25/05/2025 - RPS: 787 - NFSe: 3017</v>
      </c>
      <c r="H2812" t="str">
        <f t="shared" si="1399"/>
        <v>04/06/2025</v>
      </c>
      <c r="I2812" t="str">
        <f t="shared" si="1400"/>
        <v>26/05/2025</v>
      </c>
      <c r="J2812" t="str">
        <f t="shared" si="1401"/>
        <v>04/06/2025</v>
      </c>
      <c r="M2812">
        <v>303</v>
      </c>
      <c r="N2812" t="str">
        <f t="shared" si="1402"/>
        <v>RECEITAS COM ENTREGAS</v>
      </c>
      <c r="P2812">
        <v>224.07</v>
      </c>
      <c r="Q2812" t="str">
        <f>"FARMÁCIA INDIANA LJ 35 (10015)"</f>
        <v>FARMÁCIA INDIANA LJ 35 (10015)</v>
      </c>
      <c r="R2812" t="str">
        <f t="shared" si="1403"/>
        <v>RECEITAS COM ENTREGAS (303)</v>
      </c>
      <c r="S2812">
        <v>1736</v>
      </c>
      <c r="T2812">
        <v>1224</v>
      </c>
      <c r="U2812" t="s">
        <v>19</v>
      </c>
    </row>
    <row r="2813" spans="1:21">
      <c r="A2813" t="str">
        <f t="shared" si="1394"/>
        <v>04/06/2025</v>
      </c>
      <c r="B2813" t="str">
        <f t="shared" si="1404"/>
        <v>ENTRADA</v>
      </c>
      <c r="C2813" t="str">
        <f t="shared" si="1395"/>
        <v>NFSE</v>
      </c>
      <c r="D2813" t="str">
        <f t="shared" si="1405"/>
        <v>3017</v>
      </c>
      <c r="E2813" t="str">
        <f t="shared" si="1392"/>
        <v>COM</v>
      </c>
      <c r="F2813" t="str">
        <f t="shared" si="1406"/>
        <v>FARMÁCIA INDIANA LJ 30 (10127)</v>
      </c>
      <c r="G2813" t="str">
        <f t="shared" si="1407"/>
        <v>Serv.Prest. 19/05/2025 a 25/05/2025 - RPS: 787 - NFSe: 3017</v>
      </c>
      <c r="H2813" t="str">
        <f t="shared" si="1399"/>
        <v>04/06/2025</v>
      </c>
      <c r="I2813" t="str">
        <f t="shared" si="1400"/>
        <v>26/05/2025</v>
      </c>
      <c r="J2813" t="str">
        <f t="shared" si="1401"/>
        <v>04/06/2025</v>
      </c>
      <c r="M2813">
        <v>303</v>
      </c>
      <c r="N2813" t="str">
        <f t="shared" si="1402"/>
        <v>RECEITAS COM ENTREGAS</v>
      </c>
      <c r="P2813">
        <v>202.63</v>
      </c>
      <c r="Q2813" t="str">
        <f>"FARMÁCIA INDIANA LJ 48 (10018)"</f>
        <v>FARMÁCIA INDIANA LJ 48 (10018)</v>
      </c>
      <c r="R2813" t="str">
        <f t="shared" si="1403"/>
        <v>RECEITAS COM ENTREGAS (303)</v>
      </c>
      <c r="S2813">
        <v>1736</v>
      </c>
      <c r="T2813">
        <v>1224</v>
      </c>
      <c r="U2813" t="s">
        <v>19</v>
      </c>
    </row>
    <row r="2814" spans="1:21">
      <c r="A2814" t="str">
        <f t="shared" si="1394"/>
        <v>04/06/2025</v>
      </c>
      <c r="B2814" t="str">
        <f t="shared" si="1404"/>
        <v>ENTRADA</v>
      </c>
      <c r="C2814" t="str">
        <f t="shared" si="1395"/>
        <v>NFSE</v>
      </c>
      <c r="D2814" t="str">
        <f t="shared" si="1405"/>
        <v>3017</v>
      </c>
      <c r="E2814" t="str">
        <f t="shared" si="1392"/>
        <v>COM</v>
      </c>
      <c r="F2814" t="str">
        <f t="shared" si="1406"/>
        <v>FARMÁCIA INDIANA LJ 30 (10127)</v>
      </c>
      <c r="G2814" t="str">
        <f t="shared" si="1407"/>
        <v>Serv.Prest. 19/05/2025 a 25/05/2025 - RPS: 787 - NFSe: 3017</v>
      </c>
      <c r="H2814" t="str">
        <f t="shared" si="1399"/>
        <v>04/06/2025</v>
      </c>
      <c r="I2814" t="str">
        <f t="shared" si="1400"/>
        <v>26/05/2025</v>
      </c>
      <c r="J2814" t="str">
        <f t="shared" si="1401"/>
        <v>04/06/2025</v>
      </c>
      <c r="M2814">
        <v>303</v>
      </c>
      <c r="N2814" t="str">
        <f t="shared" si="1402"/>
        <v>RECEITAS COM ENTREGAS</v>
      </c>
      <c r="P2814">
        <v>383.57</v>
      </c>
      <c r="Q2814" t="str">
        <f>"FARMÁCIA INDIANA LJ 65 (10030)"</f>
        <v>FARMÁCIA INDIANA LJ 65 (10030)</v>
      </c>
      <c r="R2814" t="str">
        <f t="shared" si="1403"/>
        <v>RECEITAS COM ENTREGAS (303)</v>
      </c>
      <c r="S2814">
        <v>1736</v>
      </c>
      <c r="T2814">
        <v>1224</v>
      </c>
      <c r="U2814" t="s">
        <v>19</v>
      </c>
    </row>
    <row r="2815" spans="1:21">
      <c r="A2815" t="str">
        <f t="shared" si="1394"/>
        <v>04/06/2025</v>
      </c>
      <c r="B2815" t="str">
        <f t="shared" si="1404"/>
        <v>ENTRADA</v>
      </c>
      <c r="C2815" t="str">
        <f t="shared" si="1395"/>
        <v>NFSE</v>
      </c>
      <c r="D2815" t="str">
        <f t="shared" si="1405"/>
        <v>3017</v>
      </c>
      <c r="E2815" t="str">
        <f t="shared" si="1392"/>
        <v>COM</v>
      </c>
      <c r="F2815" t="str">
        <f t="shared" si="1406"/>
        <v>FARMÁCIA INDIANA LJ 30 (10127)</v>
      </c>
      <c r="G2815" t="str">
        <f t="shared" si="1407"/>
        <v>Serv.Prest. 19/05/2025 a 25/05/2025 - RPS: 787 - NFSe: 3017</v>
      </c>
      <c r="H2815" t="str">
        <f t="shared" si="1399"/>
        <v>04/06/2025</v>
      </c>
      <c r="I2815" t="str">
        <f t="shared" si="1400"/>
        <v>26/05/2025</v>
      </c>
      <c r="J2815" t="str">
        <f t="shared" si="1401"/>
        <v>04/06/2025</v>
      </c>
      <c r="M2815">
        <v>303</v>
      </c>
      <c r="N2815" t="str">
        <f t="shared" si="1402"/>
        <v>RECEITAS COM ENTREGAS</v>
      </c>
      <c r="P2815">
        <v>128.62</v>
      </c>
      <c r="Q2815" t="str">
        <f>"FARMÁCIA INDIANA LJ 77 (10034)"</f>
        <v>FARMÁCIA INDIANA LJ 77 (10034)</v>
      </c>
      <c r="R2815" t="str">
        <f t="shared" si="1403"/>
        <v>RECEITAS COM ENTREGAS (303)</v>
      </c>
      <c r="S2815">
        <v>1736</v>
      </c>
      <c r="T2815">
        <v>1224</v>
      </c>
      <c r="U2815" t="s">
        <v>19</v>
      </c>
    </row>
    <row r="2816" spans="1:21">
      <c r="A2816" t="str">
        <f t="shared" si="1394"/>
        <v>04/06/2025</v>
      </c>
      <c r="B2816" t="str">
        <f t="shared" si="1404"/>
        <v>ENTRADA</v>
      </c>
      <c r="C2816" t="str">
        <f t="shared" si="1395"/>
        <v>NFSE</v>
      </c>
      <c r="D2816" t="str">
        <f t="shared" si="1405"/>
        <v>3017</v>
      </c>
      <c r="E2816" t="str">
        <f t="shared" si="1392"/>
        <v>COM</v>
      </c>
      <c r="F2816" t="str">
        <f t="shared" si="1406"/>
        <v>FARMÁCIA INDIANA LJ 30 (10127)</v>
      </c>
      <c r="G2816" t="str">
        <f t="shared" si="1407"/>
        <v>Serv.Prest. 19/05/2025 a 25/05/2025 - RPS: 787 - NFSe: 3017</v>
      </c>
      <c r="H2816" t="str">
        <f t="shared" si="1399"/>
        <v>04/06/2025</v>
      </c>
      <c r="I2816" t="str">
        <f t="shared" si="1400"/>
        <v>26/05/2025</v>
      </c>
      <c r="J2816" t="str">
        <f t="shared" si="1401"/>
        <v>04/06/2025</v>
      </c>
      <c r="M2816">
        <v>303</v>
      </c>
      <c r="N2816" t="str">
        <f t="shared" si="1402"/>
        <v>RECEITAS COM ENTREGAS</v>
      </c>
      <c r="P2816">
        <v>240.4</v>
      </c>
      <c r="Q2816" t="str">
        <f>"FARMÁCIA INDIANA LJ 91 (10037)"</f>
        <v>FARMÁCIA INDIANA LJ 91 (10037)</v>
      </c>
      <c r="R2816" t="str">
        <f t="shared" si="1403"/>
        <v>RECEITAS COM ENTREGAS (303)</v>
      </c>
      <c r="S2816">
        <v>1736</v>
      </c>
      <c r="T2816">
        <v>1224</v>
      </c>
      <c r="U2816" t="s">
        <v>19</v>
      </c>
    </row>
    <row r="2817" spans="1:21">
      <c r="A2817" t="str">
        <f t="shared" si="1394"/>
        <v>04/06/2025</v>
      </c>
      <c r="B2817" t="str">
        <f t="shared" si="1404"/>
        <v>ENTRADA</v>
      </c>
      <c r="C2817" t="str">
        <f t="shared" si="1395"/>
        <v>NFSE</v>
      </c>
      <c r="D2817" t="str">
        <f t="shared" si="1405"/>
        <v>3017</v>
      </c>
      <c r="E2817" t="str">
        <f t="shared" si="1392"/>
        <v>COM</v>
      </c>
      <c r="F2817" t="str">
        <f t="shared" si="1406"/>
        <v>FARMÁCIA INDIANA LJ 30 (10127)</v>
      </c>
      <c r="G2817" t="str">
        <f t="shared" si="1407"/>
        <v>Serv.Prest. 19/05/2025 a 25/05/2025 - RPS: 787 - NFSe: 3017</v>
      </c>
      <c r="H2817" t="str">
        <f t="shared" si="1399"/>
        <v>04/06/2025</v>
      </c>
      <c r="I2817" t="str">
        <f t="shared" si="1400"/>
        <v>26/05/2025</v>
      </c>
      <c r="J2817" t="str">
        <f t="shared" si="1401"/>
        <v>04/06/2025</v>
      </c>
      <c r="M2817">
        <v>303</v>
      </c>
      <c r="N2817" t="str">
        <f t="shared" si="1402"/>
        <v>RECEITAS COM ENTREGAS</v>
      </c>
      <c r="P2817">
        <v>286.33999999999997</v>
      </c>
      <c r="Q2817" t="str">
        <f>"FARMÁCIA INDIANA LJ 95 (10039)"</f>
        <v>FARMÁCIA INDIANA LJ 95 (10039)</v>
      </c>
      <c r="R2817" t="str">
        <f t="shared" si="1403"/>
        <v>RECEITAS COM ENTREGAS (303)</v>
      </c>
      <c r="S2817">
        <v>1736</v>
      </c>
      <c r="T2817">
        <v>1224</v>
      </c>
      <c r="U2817" t="s">
        <v>19</v>
      </c>
    </row>
    <row r="2818" spans="1:21">
      <c r="A2818" t="str">
        <f t="shared" si="1394"/>
        <v>04/06/2025</v>
      </c>
      <c r="B2818" t="str">
        <f t="shared" si="1404"/>
        <v>ENTRADA</v>
      </c>
      <c r="C2818" t="str">
        <f t="shared" si="1395"/>
        <v>NFSE</v>
      </c>
      <c r="D2818" t="str">
        <f t="shared" si="1405"/>
        <v>3017</v>
      </c>
      <c r="E2818" t="str">
        <f t="shared" si="1392"/>
        <v>COM</v>
      </c>
      <c r="F2818" t="str">
        <f t="shared" si="1406"/>
        <v>FARMÁCIA INDIANA LJ 30 (10127)</v>
      </c>
      <c r="G2818" t="str">
        <f t="shared" si="1407"/>
        <v>Serv.Prest. 19/05/2025 a 25/05/2025 - RPS: 787 - NFSe: 3017</v>
      </c>
      <c r="H2818" t="str">
        <f t="shared" si="1399"/>
        <v>04/06/2025</v>
      </c>
      <c r="I2818" t="str">
        <f t="shared" si="1400"/>
        <v>26/05/2025</v>
      </c>
      <c r="J2818" t="str">
        <f t="shared" si="1401"/>
        <v>04/06/2025</v>
      </c>
      <c r="M2818">
        <v>303</v>
      </c>
      <c r="N2818" t="str">
        <f t="shared" si="1402"/>
        <v>RECEITAS COM ENTREGAS</v>
      </c>
      <c r="P2818">
        <v>280.72000000000003</v>
      </c>
      <c r="Q2818" t="str">
        <f>"FARMÁCIA INDIANA LJ 145 (10068)"</f>
        <v>FARMÁCIA INDIANA LJ 145 (10068)</v>
      </c>
      <c r="R2818" t="str">
        <f t="shared" si="1403"/>
        <v>RECEITAS COM ENTREGAS (303)</v>
      </c>
      <c r="S2818">
        <v>1736</v>
      </c>
      <c r="T2818">
        <v>1224</v>
      </c>
      <c r="U2818" t="s">
        <v>19</v>
      </c>
    </row>
    <row r="2819" spans="1:21">
      <c r="A2819" t="str">
        <f t="shared" si="1394"/>
        <v>04/06/2025</v>
      </c>
      <c r="B2819" t="str">
        <f t="shared" si="1404"/>
        <v>ENTRADA</v>
      </c>
      <c r="C2819" t="str">
        <f t="shared" si="1395"/>
        <v>NFSE</v>
      </c>
      <c r="D2819" t="str">
        <f t="shared" si="1405"/>
        <v>3017</v>
      </c>
      <c r="E2819" t="str">
        <f t="shared" si="1392"/>
        <v>COM</v>
      </c>
      <c r="F2819" t="str">
        <f t="shared" si="1406"/>
        <v>FARMÁCIA INDIANA LJ 30 (10127)</v>
      </c>
      <c r="G2819" t="str">
        <f t="shared" si="1407"/>
        <v>Serv.Prest. 19/05/2025 a 25/05/2025 - RPS: 787 - NFSe: 3017</v>
      </c>
      <c r="H2819" t="str">
        <f t="shared" si="1399"/>
        <v>04/06/2025</v>
      </c>
      <c r="I2819" t="str">
        <f t="shared" si="1400"/>
        <v>26/05/2025</v>
      </c>
      <c r="J2819" t="str">
        <f t="shared" si="1401"/>
        <v>04/06/2025</v>
      </c>
      <c r="M2819">
        <v>303</v>
      </c>
      <c r="N2819" t="str">
        <f t="shared" si="1402"/>
        <v>RECEITAS COM ENTREGAS</v>
      </c>
      <c r="P2819">
        <v>156.69</v>
      </c>
      <c r="Q2819" t="str">
        <f>"FARMÁCIA INDIANA LJ 169 (10073)"</f>
        <v>FARMÁCIA INDIANA LJ 169 (10073)</v>
      </c>
      <c r="R2819" t="str">
        <f t="shared" si="1403"/>
        <v>RECEITAS COM ENTREGAS (303)</v>
      </c>
      <c r="S2819">
        <v>1736</v>
      </c>
      <c r="T2819">
        <v>1224</v>
      </c>
      <c r="U2819" t="s">
        <v>19</v>
      </c>
    </row>
    <row r="2820" spans="1:21">
      <c r="A2820" t="str">
        <f t="shared" si="1394"/>
        <v>04/06/2025</v>
      </c>
      <c r="B2820" t="str">
        <f t="shared" si="1404"/>
        <v>ENTRADA</v>
      </c>
      <c r="C2820" t="str">
        <f t="shared" si="1395"/>
        <v>NFSE</v>
      </c>
      <c r="D2820" t="str">
        <f t="shared" si="1405"/>
        <v>3017</v>
      </c>
      <c r="E2820" t="str">
        <f t="shared" si="1392"/>
        <v>COM</v>
      </c>
      <c r="F2820" t="str">
        <f t="shared" si="1406"/>
        <v>FARMÁCIA INDIANA LJ 30 (10127)</v>
      </c>
      <c r="G2820" t="str">
        <f t="shared" si="1407"/>
        <v>Serv.Prest. 19/05/2025 a 25/05/2025 - RPS: 787 - NFSe: 3017</v>
      </c>
      <c r="H2820" t="str">
        <f t="shared" si="1399"/>
        <v>04/06/2025</v>
      </c>
      <c r="I2820" t="str">
        <f t="shared" si="1400"/>
        <v>26/05/2025</v>
      </c>
      <c r="J2820" t="str">
        <f t="shared" si="1401"/>
        <v>04/06/2025</v>
      </c>
      <c r="M2820">
        <v>303</v>
      </c>
      <c r="N2820" t="str">
        <f t="shared" si="1402"/>
        <v>RECEITAS COM ENTREGAS</v>
      </c>
      <c r="P2820">
        <v>191.91</v>
      </c>
      <c r="Q2820" t="str">
        <f>"FARMÁCIA INDIANA LJ 173 (10075)"</f>
        <v>FARMÁCIA INDIANA LJ 173 (10075)</v>
      </c>
      <c r="R2820" t="str">
        <f t="shared" si="1403"/>
        <v>RECEITAS COM ENTREGAS (303)</v>
      </c>
      <c r="S2820">
        <v>1736</v>
      </c>
      <c r="T2820">
        <v>1224</v>
      </c>
      <c r="U2820" t="s">
        <v>19</v>
      </c>
    </row>
    <row r="2821" spans="1:21">
      <c r="A2821" t="str">
        <f t="shared" si="1394"/>
        <v>04/06/2025</v>
      </c>
      <c r="B2821" t="str">
        <f t="shared" si="1404"/>
        <v>ENTRADA</v>
      </c>
      <c r="C2821" t="str">
        <f t="shared" si="1395"/>
        <v>NFSE</v>
      </c>
      <c r="D2821" t="str">
        <f t="shared" si="1405"/>
        <v>3017</v>
      </c>
      <c r="E2821" t="str">
        <f t="shared" si="1392"/>
        <v>COM</v>
      </c>
      <c r="F2821" t="str">
        <f t="shared" si="1406"/>
        <v>FARMÁCIA INDIANA LJ 30 (10127)</v>
      </c>
      <c r="G2821" t="str">
        <f t="shared" si="1407"/>
        <v>Serv.Prest. 19/05/2025 a 25/05/2025 - RPS: 787 - NFSe: 3017</v>
      </c>
      <c r="H2821" t="str">
        <f t="shared" si="1399"/>
        <v>04/06/2025</v>
      </c>
      <c r="I2821" t="str">
        <f t="shared" si="1400"/>
        <v>26/05/2025</v>
      </c>
      <c r="J2821" t="str">
        <f t="shared" si="1401"/>
        <v>04/06/2025</v>
      </c>
      <c r="M2821">
        <v>303</v>
      </c>
      <c r="N2821" t="str">
        <f t="shared" si="1402"/>
        <v>RECEITAS COM ENTREGAS</v>
      </c>
      <c r="P2821">
        <v>150.31</v>
      </c>
      <c r="Q2821" t="str">
        <f>"FARMÁCIA INDIANA LJ 200 (10155)"</f>
        <v>FARMÁCIA INDIANA LJ 200 (10155)</v>
      </c>
      <c r="R2821" t="str">
        <f t="shared" si="1403"/>
        <v>RECEITAS COM ENTREGAS (303)</v>
      </c>
      <c r="S2821">
        <v>1736</v>
      </c>
      <c r="T2821">
        <v>1224</v>
      </c>
      <c r="U2821" t="s">
        <v>19</v>
      </c>
    </row>
    <row r="2822" spans="1:21">
      <c r="A2822" t="str">
        <f t="shared" si="1394"/>
        <v>04/06/2025</v>
      </c>
      <c r="B2822" t="str">
        <f t="shared" si="1404"/>
        <v>ENTRADA</v>
      </c>
      <c r="C2822" t="str">
        <f t="shared" si="1395"/>
        <v>NFSE</v>
      </c>
      <c r="D2822" t="str">
        <f t="shared" ref="D2822:D2867" si="1408">"3018"</f>
        <v>3018</v>
      </c>
      <c r="E2822" t="str">
        <f t="shared" si="1392"/>
        <v>COM</v>
      </c>
      <c r="F2822" t="str">
        <f t="shared" ref="F2822:F2867" si="1409">"FARMÁCIA INDIANA LJ 1 (10126)"</f>
        <v>FARMÁCIA INDIANA LJ 1 (10126)</v>
      </c>
      <c r="G2822" t="str">
        <f t="shared" ref="G2822:G2867" si="1410">"Serv.Prest. 19/05/2025 a 25/05/2025 - RPS: 788 - NFSe: 3018"</f>
        <v>Serv.Prest. 19/05/2025 a 25/05/2025 - RPS: 788 - NFSe: 3018</v>
      </c>
      <c r="H2822" t="str">
        <f t="shared" si="1399"/>
        <v>04/06/2025</v>
      </c>
      <c r="I2822" t="str">
        <f t="shared" si="1400"/>
        <v>26/05/2025</v>
      </c>
      <c r="J2822" t="str">
        <f t="shared" si="1401"/>
        <v>04/06/2025</v>
      </c>
      <c r="K2822">
        <v>13194.36</v>
      </c>
      <c r="L2822">
        <v>13194.36</v>
      </c>
      <c r="M2822">
        <v>303</v>
      </c>
      <c r="N2822" t="str">
        <f t="shared" si="1402"/>
        <v>RECEITAS COM ENTREGAS</v>
      </c>
      <c r="O2822">
        <v>13194.36</v>
      </c>
      <c r="R2822" t="str">
        <f t="shared" si="1403"/>
        <v>RECEITAS COM ENTREGAS (303)</v>
      </c>
      <c r="S2822">
        <v>1737</v>
      </c>
      <c r="T2822">
        <v>1225</v>
      </c>
      <c r="U2822" t="s">
        <v>19</v>
      </c>
    </row>
    <row r="2823" spans="1:21">
      <c r="A2823" t="str">
        <f t="shared" si="1394"/>
        <v>04/06/2025</v>
      </c>
      <c r="B2823" t="str">
        <f t="shared" si="1404"/>
        <v>ENTRADA</v>
      </c>
      <c r="C2823" t="str">
        <f t="shared" si="1395"/>
        <v>NFSE</v>
      </c>
      <c r="D2823" t="str">
        <f t="shared" si="1408"/>
        <v>3018</v>
      </c>
      <c r="E2823" t="str">
        <f t="shared" si="1392"/>
        <v>COM</v>
      </c>
      <c r="F2823" t="str">
        <f t="shared" si="1409"/>
        <v>FARMÁCIA INDIANA LJ 1 (10126)</v>
      </c>
      <c r="G2823" t="str">
        <f t="shared" si="1410"/>
        <v>Serv.Prest. 19/05/2025 a 25/05/2025 - RPS: 788 - NFSe: 3018</v>
      </c>
      <c r="H2823" t="str">
        <f t="shared" si="1399"/>
        <v>04/06/2025</v>
      </c>
      <c r="I2823" t="str">
        <f t="shared" si="1400"/>
        <v>26/05/2025</v>
      </c>
      <c r="J2823" t="str">
        <f t="shared" si="1401"/>
        <v>04/06/2025</v>
      </c>
      <c r="M2823">
        <v>303</v>
      </c>
      <c r="N2823" t="str">
        <f t="shared" si="1402"/>
        <v>RECEITAS COM ENTREGAS</v>
      </c>
      <c r="P2823">
        <v>1886.82</v>
      </c>
      <c r="Q2823" t="str">
        <f>"FARMÁCIA INDIANA LJ 06 (10006)"</f>
        <v>FARMÁCIA INDIANA LJ 06 (10006)</v>
      </c>
      <c r="R2823" t="str">
        <f t="shared" si="1403"/>
        <v>RECEITAS COM ENTREGAS (303)</v>
      </c>
      <c r="S2823">
        <v>1737</v>
      </c>
      <c r="T2823">
        <v>1225</v>
      </c>
      <c r="U2823" t="s">
        <v>19</v>
      </c>
    </row>
    <row r="2824" spans="1:21">
      <c r="A2824" t="str">
        <f t="shared" si="1394"/>
        <v>04/06/2025</v>
      </c>
      <c r="B2824" t="str">
        <f t="shared" si="1404"/>
        <v>ENTRADA</v>
      </c>
      <c r="C2824" t="str">
        <f t="shared" si="1395"/>
        <v>NFSE</v>
      </c>
      <c r="D2824" t="str">
        <f t="shared" si="1408"/>
        <v>3018</v>
      </c>
      <c r="E2824" t="str">
        <f t="shared" si="1392"/>
        <v>COM</v>
      </c>
      <c r="F2824" t="str">
        <f t="shared" si="1409"/>
        <v>FARMÁCIA INDIANA LJ 1 (10126)</v>
      </c>
      <c r="G2824" t="str">
        <f t="shared" si="1410"/>
        <v>Serv.Prest. 19/05/2025 a 25/05/2025 - RPS: 788 - NFSe: 3018</v>
      </c>
      <c r="H2824" t="str">
        <f t="shared" si="1399"/>
        <v>04/06/2025</v>
      </c>
      <c r="I2824" t="str">
        <f t="shared" si="1400"/>
        <v>26/05/2025</v>
      </c>
      <c r="J2824" t="str">
        <f t="shared" si="1401"/>
        <v>04/06/2025</v>
      </c>
      <c r="M2824">
        <v>303</v>
      </c>
      <c r="N2824" t="str">
        <f t="shared" si="1402"/>
        <v>RECEITAS COM ENTREGAS</v>
      </c>
      <c r="P2824">
        <v>1423.67</v>
      </c>
      <c r="Q2824" t="str">
        <f>"FARMÁCIA INDIANA LJ 07 (10007)"</f>
        <v>FARMÁCIA INDIANA LJ 07 (10007)</v>
      </c>
      <c r="R2824" t="str">
        <f t="shared" si="1403"/>
        <v>RECEITAS COM ENTREGAS (303)</v>
      </c>
      <c r="S2824">
        <v>1737</v>
      </c>
      <c r="T2824">
        <v>1225</v>
      </c>
      <c r="U2824" t="s">
        <v>19</v>
      </c>
    </row>
    <row r="2825" spans="1:21">
      <c r="A2825" t="str">
        <f t="shared" si="1394"/>
        <v>04/06/2025</v>
      </c>
      <c r="B2825" t="str">
        <f t="shared" si="1404"/>
        <v>ENTRADA</v>
      </c>
      <c r="C2825" t="str">
        <f t="shared" si="1395"/>
        <v>NFSE</v>
      </c>
      <c r="D2825" t="str">
        <f t="shared" si="1408"/>
        <v>3018</v>
      </c>
      <c r="E2825" t="str">
        <f t="shared" si="1392"/>
        <v>COM</v>
      </c>
      <c r="F2825" t="str">
        <f t="shared" si="1409"/>
        <v>FARMÁCIA INDIANA LJ 1 (10126)</v>
      </c>
      <c r="G2825" t="str">
        <f t="shared" si="1410"/>
        <v>Serv.Prest. 19/05/2025 a 25/05/2025 - RPS: 788 - NFSe: 3018</v>
      </c>
      <c r="H2825" t="str">
        <f t="shared" si="1399"/>
        <v>04/06/2025</v>
      </c>
      <c r="I2825" t="str">
        <f t="shared" si="1400"/>
        <v>26/05/2025</v>
      </c>
      <c r="J2825" t="str">
        <f t="shared" si="1401"/>
        <v>04/06/2025</v>
      </c>
      <c r="M2825">
        <v>303</v>
      </c>
      <c r="N2825" t="str">
        <f t="shared" si="1402"/>
        <v>RECEITAS COM ENTREGAS</v>
      </c>
      <c r="P2825">
        <v>918.33</v>
      </c>
      <c r="Q2825" t="str">
        <f>"FARMÁCIA INDIANA LJ 11 (10008)"</f>
        <v>FARMÁCIA INDIANA LJ 11 (10008)</v>
      </c>
      <c r="R2825" t="str">
        <f t="shared" si="1403"/>
        <v>RECEITAS COM ENTREGAS (303)</v>
      </c>
      <c r="S2825">
        <v>1737</v>
      </c>
      <c r="T2825">
        <v>1225</v>
      </c>
      <c r="U2825" t="s">
        <v>19</v>
      </c>
    </row>
    <row r="2826" spans="1:21">
      <c r="A2826" t="str">
        <f t="shared" si="1394"/>
        <v>04/06/2025</v>
      </c>
      <c r="B2826" t="str">
        <f t="shared" si="1404"/>
        <v>ENTRADA</v>
      </c>
      <c r="C2826" t="str">
        <f t="shared" si="1395"/>
        <v>NFSE</v>
      </c>
      <c r="D2826" t="str">
        <f t="shared" si="1408"/>
        <v>3018</v>
      </c>
      <c r="E2826" t="str">
        <f t="shared" si="1392"/>
        <v>COM</v>
      </c>
      <c r="F2826" t="str">
        <f t="shared" si="1409"/>
        <v>FARMÁCIA INDIANA LJ 1 (10126)</v>
      </c>
      <c r="G2826" t="str">
        <f t="shared" si="1410"/>
        <v>Serv.Prest. 19/05/2025 a 25/05/2025 - RPS: 788 - NFSe: 3018</v>
      </c>
      <c r="H2826" t="str">
        <f t="shared" si="1399"/>
        <v>04/06/2025</v>
      </c>
      <c r="I2826" t="str">
        <f t="shared" si="1400"/>
        <v>26/05/2025</v>
      </c>
      <c r="J2826" t="str">
        <f t="shared" si="1401"/>
        <v>04/06/2025</v>
      </c>
      <c r="M2826">
        <v>303</v>
      </c>
      <c r="N2826" t="str">
        <f t="shared" si="1402"/>
        <v>RECEITAS COM ENTREGAS</v>
      </c>
      <c r="P2826">
        <v>389.23</v>
      </c>
      <c r="Q2826" t="str">
        <f>"FARMÁCIA INDIANA LJ 14 (10009)"</f>
        <v>FARMÁCIA INDIANA LJ 14 (10009)</v>
      </c>
      <c r="R2826" t="str">
        <f t="shared" si="1403"/>
        <v>RECEITAS COM ENTREGAS (303)</v>
      </c>
      <c r="S2826">
        <v>1737</v>
      </c>
      <c r="T2826">
        <v>1225</v>
      </c>
      <c r="U2826" t="s">
        <v>19</v>
      </c>
    </row>
    <row r="2827" spans="1:21">
      <c r="A2827" t="str">
        <f t="shared" si="1394"/>
        <v>04/06/2025</v>
      </c>
      <c r="B2827" t="str">
        <f t="shared" si="1404"/>
        <v>ENTRADA</v>
      </c>
      <c r="C2827" t="str">
        <f t="shared" si="1395"/>
        <v>NFSE</v>
      </c>
      <c r="D2827" t="str">
        <f t="shared" si="1408"/>
        <v>3018</v>
      </c>
      <c r="E2827" t="str">
        <f t="shared" si="1392"/>
        <v>COM</v>
      </c>
      <c r="F2827" t="str">
        <f t="shared" si="1409"/>
        <v>FARMÁCIA INDIANA LJ 1 (10126)</v>
      </c>
      <c r="G2827" t="str">
        <f t="shared" si="1410"/>
        <v>Serv.Prest. 19/05/2025 a 25/05/2025 - RPS: 788 - NFSe: 3018</v>
      </c>
      <c r="H2827" t="str">
        <f t="shared" si="1399"/>
        <v>04/06/2025</v>
      </c>
      <c r="I2827" t="str">
        <f t="shared" si="1400"/>
        <v>26/05/2025</v>
      </c>
      <c r="J2827" t="str">
        <f t="shared" si="1401"/>
        <v>04/06/2025</v>
      </c>
      <c r="M2827">
        <v>303</v>
      </c>
      <c r="N2827" t="str">
        <f t="shared" si="1402"/>
        <v>RECEITAS COM ENTREGAS</v>
      </c>
      <c r="P2827">
        <v>381.32</v>
      </c>
      <c r="Q2827" t="str">
        <f>"FARMÁCIA INDIANA LJ 18 (10011)"</f>
        <v>FARMÁCIA INDIANA LJ 18 (10011)</v>
      </c>
      <c r="R2827" t="str">
        <f t="shared" si="1403"/>
        <v>RECEITAS COM ENTREGAS (303)</v>
      </c>
      <c r="S2827">
        <v>1737</v>
      </c>
      <c r="T2827">
        <v>1225</v>
      </c>
      <c r="U2827" t="s">
        <v>19</v>
      </c>
    </row>
    <row r="2828" spans="1:21">
      <c r="A2828" t="str">
        <f t="shared" si="1394"/>
        <v>04/06/2025</v>
      </c>
      <c r="B2828" t="str">
        <f t="shared" si="1404"/>
        <v>ENTRADA</v>
      </c>
      <c r="C2828" t="str">
        <f t="shared" si="1395"/>
        <v>NFSE</v>
      </c>
      <c r="D2828" t="str">
        <f t="shared" si="1408"/>
        <v>3018</v>
      </c>
      <c r="E2828" t="str">
        <f t="shared" si="1392"/>
        <v>COM</v>
      </c>
      <c r="F2828" t="str">
        <f t="shared" si="1409"/>
        <v>FARMÁCIA INDIANA LJ 1 (10126)</v>
      </c>
      <c r="G2828" t="str">
        <f t="shared" si="1410"/>
        <v>Serv.Prest. 19/05/2025 a 25/05/2025 - RPS: 788 - NFSe: 3018</v>
      </c>
      <c r="H2828" t="str">
        <f t="shared" si="1399"/>
        <v>04/06/2025</v>
      </c>
      <c r="I2828" t="str">
        <f t="shared" si="1400"/>
        <v>26/05/2025</v>
      </c>
      <c r="J2828" t="str">
        <f t="shared" si="1401"/>
        <v>04/06/2025</v>
      </c>
      <c r="M2828">
        <v>303</v>
      </c>
      <c r="N2828" t="str">
        <f t="shared" si="1402"/>
        <v>RECEITAS COM ENTREGAS</v>
      </c>
      <c r="P2828">
        <v>407.71</v>
      </c>
      <c r="Q2828" t="str">
        <f>"FARMÁCIA INDIANA LJ 19 (10012)"</f>
        <v>FARMÁCIA INDIANA LJ 19 (10012)</v>
      </c>
      <c r="R2828" t="str">
        <f t="shared" si="1403"/>
        <v>RECEITAS COM ENTREGAS (303)</v>
      </c>
      <c r="S2828">
        <v>1737</v>
      </c>
      <c r="T2828">
        <v>1225</v>
      </c>
      <c r="U2828" t="s">
        <v>19</v>
      </c>
    </row>
    <row r="2829" spans="1:21">
      <c r="A2829" t="str">
        <f t="shared" si="1394"/>
        <v>04/06/2025</v>
      </c>
      <c r="B2829" t="str">
        <f t="shared" si="1404"/>
        <v>ENTRADA</v>
      </c>
      <c r="C2829" t="str">
        <f t="shared" si="1395"/>
        <v>NFSE</v>
      </c>
      <c r="D2829" t="str">
        <f t="shared" si="1408"/>
        <v>3018</v>
      </c>
      <c r="E2829" t="str">
        <f t="shared" si="1392"/>
        <v>COM</v>
      </c>
      <c r="F2829" t="str">
        <f t="shared" si="1409"/>
        <v>FARMÁCIA INDIANA LJ 1 (10126)</v>
      </c>
      <c r="G2829" t="str">
        <f t="shared" si="1410"/>
        <v>Serv.Prest. 19/05/2025 a 25/05/2025 - RPS: 788 - NFSe: 3018</v>
      </c>
      <c r="H2829" t="str">
        <f t="shared" si="1399"/>
        <v>04/06/2025</v>
      </c>
      <c r="I2829" t="str">
        <f t="shared" si="1400"/>
        <v>26/05/2025</v>
      </c>
      <c r="J2829" t="str">
        <f t="shared" si="1401"/>
        <v>04/06/2025</v>
      </c>
      <c r="M2829">
        <v>303</v>
      </c>
      <c r="N2829" t="str">
        <f t="shared" si="1402"/>
        <v>RECEITAS COM ENTREGAS</v>
      </c>
      <c r="P2829">
        <v>543.61</v>
      </c>
      <c r="Q2829" t="str">
        <f>"FARMÁCIA INDIANA LJ 40 (10016)"</f>
        <v>FARMÁCIA INDIANA LJ 40 (10016)</v>
      </c>
      <c r="R2829" t="str">
        <f t="shared" si="1403"/>
        <v>RECEITAS COM ENTREGAS (303)</v>
      </c>
      <c r="S2829">
        <v>1737</v>
      </c>
      <c r="T2829">
        <v>1225</v>
      </c>
      <c r="U2829" t="s">
        <v>19</v>
      </c>
    </row>
    <row r="2830" spans="1:21">
      <c r="A2830" t="str">
        <f t="shared" si="1394"/>
        <v>04/06/2025</v>
      </c>
      <c r="B2830" t="str">
        <f t="shared" si="1404"/>
        <v>ENTRADA</v>
      </c>
      <c r="C2830" t="str">
        <f t="shared" si="1395"/>
        <v>NFSE</v>
      </c>
      <c r="D2830" t="str">
        <f t="shared" si="1408"/>
        <v>3018</v>
      </c>
      <c r="E2830" t="str">
        <f t="shared" si="1392"/>
        <v>COM</v>
      </c>
      <c r="F2830" t="str">
        <f t="shared" si="1409"/>
        <v>FARMÁCIA INDIANA LJ 1 (10126)</v>
      </c>
      <c r="G2830" t="str">
        <f t="shared" si="1410"/>
        <v>Serv.Prest. 19/05/2025 a 25/05/2025 - RPS: 788 - NFSe: 3018</v>
      </c>
      <c r="H2830" t="str">
        <f t="shared" si="1399"/>
        <v>04/06/2025</v>
      </c>
      <c r="I2830" t="str">
        <f t="shared" si="1400"/>
        <v>26/05/2025</v>
      </c>
      <c r="J2830" t="str">
        <f t="shared" si="1401"/>
        <v>04/06/2025</v>
      </c>
      <c r="M2830">
        <v>303</v>
      </c>
      <c r="N2830" t="str">
        <f t="shared" si="1402"/>
        <v>RECEITAS COM ENTREGAS</v>
      </c>
      <c r="P2830">
        <v>368.12</v>
      </c>
      <c r="Q2830" t="str">
        <f>"FARMÁCIA INDIANA LJ 59 (10026)"</f>
        <v>FARMÁCIA INDIANA LJ 59 (10026)</v>
      </c>
      <c r="R2830" t="str">
        <f t="shared" si="1403"/>
        <v>RECEITAS COM ENTREGAS (303)</v>
      </c>
      <c r="S2830">
        <v>1737</v>
      </c>
      <c r="T2830">
        <v>1225</v>
      </c>
      <c r="U2830" t="s">
        <v>19</v>
      </c>
    </row>
    <row r="2831" spans="1:21">
      <c r="A2831" t="str">
        <f t="shared" si="1394"/>
        <v>04/06/2025</v>
      </c>
      <c r="B2831" t="str">
        <f t="shared" si="1404"/>
        <v>ENTRADA</v>
      </c>
      <c r="C2831" t="str">
        <f t="shared" si="1395"/>
        <v>NFSE</v>
      </c>
      <c r="D2831" t="str">
        <f t="shared" si="1408"/>
        <v>3018</v>
      </c>
      <c r="E2831" t="str">
        <f t="shared" si="1392"/>
        <v>COM</v>
      </c>
      <c r="F2831" t="str">
        <f t="shared" si="1409"/>
        <v>FARMÁCIA INDIANA LJ 1 (10126)</v>
      </c>
      <c r="G2831" t="str">
        <f t="shared" si="1410"/>
        <v>Serv.Prest. 19/05/2025 a 25/05/2025 - RPS: 788 - NFSe: 3018</v>
      </c>
      <c r="H2831" t="str">
        <f t="shared" si="1399"/>
        <v>04/06/2025</v>
      </c>
      <c r="I2831" t="str">
        <f t="shared" si="1400"/>
        <v>26/05/2025</v>
      </c>
      <c r="J2831" t="str">
        <f t="shared" si="1401"/>
        <v>04/06/2025</v>
      </c>
      <c r="M2831">
        <v>303</v>
      </c>
      <c r="N2831" t="str">
        <f t="shared" si="1402"/>
        <v>RECEITAS COM ENTREGAS</v>
      </c>
      <c r="P2831">
        <v>430.14</v>
      </c>
      <c r="Q2831" t="str">
        <f>"FARMÁCIA INDIANA LJ 61 (10027)"</f>
        <v>FARMÁCIA INDIANA LJ 61 (10027)</v>
      </c>
      <c r="R2831" t="str">
        <f t="shared" si="1403"/>
        <v>RECEITAS COM ENTREGAS (303)</v>
      </c>
      <c r="S2831">
        <v>1737</v>
      </c>
      <c r="T2831">
        <v>1225</v>
      </c>
      <c r="U2831" t="s">
        <v>19</v>
      </c>
    </row>
    <row r="2832" spans="1:21">
      <c r="A2832" t="str">
        <f t="shared" si="1394"/>
        <v>04/06/2025</v>
      </c>
      <c r="B2832" t="str">
        <f t="shared" si="1404"/>
        <v>ENTRADA</v>
      </c>
      <c r="C2832" t="str">
        <f t="shared" si="1395"/>
        <v>NFSE</v>
      </c>
      <c r="D2832" t="str">
        <f t="shared" si="1408"/>
        <v>3018</v>
      </c>
      <c r="E2832" t="str">
        <f t="shared" si="1392"/>
        <v>COM</v>
      </c>
      <c r="F2832" t="str">
        <f t="shared" si="1409"/>
        <v>FARMÁCIA INDIANA LJ 1 (10126)</v>
      </c>
      <c r="G2832" t="str">
        <f t="shared" si="1410"/>
        <v>Serv.Prest. 19/05/2025 a 25/05/2025 - RPS: 788 - NFSe: 3018</v>
      </c>
      <c r="H2832" t="str">
        <f t="shared" si="1399"/>
        <v>04/06/2025</v>
      </c>
      <c r="I2832" t="str">
        <f t="shared" si="1400"/>
        <v>26/05/2025</v>
      </c>
      <c r="J2832" t="str">
        <f t="shared" si="1401"/>
        <v>04/06/2025</v>
      </c>
      <c r="M2832">
        <v>303</v>
      </c>
      <c r="N2832" t="str">
        <f t="shared" si="1402"/>
        <v>RECEITAS COM ENTREGAS</v>
      </c>
      <c r="P2832">
        <v>258.61</v>
      </c>
      <c r="Q2832" t="str">
        <f>"FARMÁCIA INDIANA LJ 62 (10028)"</f>
        <v>FARMÁCIA INDIANA LJ 62 (10028)</v>
      </c>
      <c r="R2832" t="str">
        <f t="shared" si="1403"/>
        <v>RECEITAS COM ENTREGAS (303)</v>
      </c>
      <c r="S2832">
        <v>1737</v>
      </c>
      <c r="T2832">
        <v>1225</v>
      </c>
      <c r="U2832" t="s">
        <v>19</v>
      </c>
    </row>
    <row r="2833" spans="1:21">
      <c r="A2833" t="str">
        <f t="shared" ref="A2833:A2864" si="1411">("04/06/2025")</f>
        <v>04/06/2025</v>
      </c>
      <c r="B2833" t="str">
        <f t="shared" si="1404"/>
        <v>ENTRADA</v>
      </c>
      <c r="C2833" t="str">
        <f t="shared" ref="C2833:C2864" si="1412">"NFSE"</f>
        <v>NFSE</v>
      </c>
      <c r="D2833" t="str">
        <f t="shared" si="1408"/>
        <v>3018</v>
      </c>
      <c r="E2833" t="str">
        <f t="shared" si="1392"/>
        <v>COM</v>
      </c>
      <c r="F2833" t="str">
        <f t="shared" si="1409"/>
        <v>FARMÁCIA INDIANA LJ 1 (10126)</v>
      </c>
      <c r="G2833" t="str">
        <f t="shared" si="1410"/>
        <v>Serv.Prest. 19/05/2025 a 25/05/2025 - RPS: 788 - NFSe: 3018</v>
      </c>
      <c r="H2833" t="str">
        <f t="shared" ref="H2833:H2864" si="1413">("04/06/2025")</f>
        <v>04/06/2025</v>
      </c>
      <c r="I2833" t="str">
        <f t="shared" ref="I2833:I2867" si="1414">("26/05/2025")</f>
        <v>26/05/2025</v>
      </c>
      <c r="J2833" t="str">
        <f t="shared" ref="J2833:J2864" si="1415">("04/06/2025")</f>
        <v>04/06/2025</v>
      </c>
      <c r="M2833">
        <v>303</v>
      </c>
      <c r="N2833" t="str">
        <f t="shared" ref="N2833:N2864" si="1416">"RECEITAS COM ENTREGAS"</f>
        <v>RECEITAS COM ENTREGAS</v>
      </c>
      <c r="P2833">
        <v>106.87</v>
      </c>
      <c r="Q2833" t="str">
        <f>"FARMÁCIA INDIANA LJ 64 (10029)"</f>
        <v>FARMÁCIA INDIANA LJ 64 (10029)</v>
      </c>
      <c r="R2833" t="str">
        <f t="shared" ref="R2833:R2864" si="1417">"RECEITAS COM ENTREGAS (303)"</f>
        <v>RECEITAS COM ENTREGAS (303)</v>
      </c>
      <c r="S2833">
        <v>1737</v>
      </c>
      <c r="T2833">
        <v>1225</v>
      </c>
      <c r="U2833" t="s">
        <v>19</v>
      </c>
    </row>
    <row r="2834" spans="1:21">
      <c r="A2834" t="str">
        <f t="shared" si="1411"/>
        <v>04/06/2025</v>
      </c>
      <c r="B2834" t="str">
        <f t="shared" si="1404"/>
        <v>ENTRADA</v>
      </c>
      <c r="C2834" t="str">
        <f t="shared" si="1412"/>
        <v>NFSE</v>
      </c>
      <c r="D2834" t="str">
        <f t="shared" si="1408"/>
        <v>3018</v>
      </c>
      <c r="E2834" t="str">
        <f t="shared" si="1392"/>
        <v>COM</v>
      </c>
      <c r="F2834" t="str">
        <f t="shared" si="1409"/>
        <v>FARMÁCIA INDIANA LJ 1 (10126)</v>
      </c>
      <c r="G2834" t="str">
        <f t="shared" si="1410"/>
        <v>Serv.Prest. 19/05/2025 a 25/05/2025 - RPS: 788 - NFSe: 3018</v>
      </c>
      <c r="H2834" t="str">
        <f t="shared" si="1413"/>
        <v>04/06/2025</v>
      </c>
      <c r="I2834" t="str">
        <f t="shared" si="1414"/>
        <v>26/05/2025</v>
      </c>
      <c r="J2834" t="str">
        <f t="shared" si="1415"/>
        <v>04/06/2025</v>
      </c>
      <c r="M2834">
        <v>303</v>
      </c>
      <c r="N2834" t="str">
        <f t="shared" si="1416"/>
        <v>RECEITAS COM ENTREGAS</v>
      </c>
      <c r="P2834">
        <v>65.97</v>
      </c>
      <c r="Q2834" t="str">
        <f>"FARMÁCIA INDIANA LJ 97 (10040)"</f>
        <v>FARMÁCIA INDIANA LJ 97 (10040)</v>
      </c>
      <c r="R2834" t="str">
        <f t="shared" si="1417"/>
        <v>RECEITAS COM ENTREGAS (303)</v>
      </c>
      <c r="S2834">
        <v>1737</v>
      </c>
      <c r="T2834">
        <v>1225</v>
      </c>
      <c r="U2834" t="s">
        <v>19</v>
      </c>
    </row>
    <row r="2835" spans="1:21">
      <c r="A2835" t="str">
        <f t="shared" si="1411"/>
        <v>04/06/2025</v>
      </c>
      <c r="B2835" t="str">
        <f t="shared" si="1404"/>
        <v>ENTRADA</v>
      </c>
      <c r="C2835" t="str">
        <f t="shared" si="1412"/>
        <v>NFSE</v>
      </c>
      <c r="D2835" t="str">
        <f t="shared" si="1408"/>
        <v>3018</v>
      </c>
      <c r="E2835" t="str">
        <f t="shared" si="1392"/>
        <v>COM</v>
      </c>
      <c r="F2835" t="str">
        <f t="shared" si="1409"/>
        <v>FARMÁCIA INDIANA LJ 1 (10126)</v>
      </c>
      <c r="G2835" t="str">
        <f t="shared" si="1410"/>
        <v>Serv.Prest. 19/05/2025 a 25/05/2025 - RPS: 788 - NFSe: 3018</v>
      </c>
      <c r="H2835" t="str">
        <f t="shared" si="1413"/>
        <v>04/06/2025</v>
      </c>
      <c r="I2835" t="str">
        <f t="shared" si="1414"/>
        <v>26/05/2025</v>
      </c>
      <c r="J2835" t="str">
        <f t="shared" si="1415"/>
        <v>04/06/2025</v>
      </c>
      <c r="M2835">
        <v>303</v>
      </c>
      <c r="N2835" t="str">
        <f t="shared" si="1416"/>
        <v>RECEITAS COM ENTREGAS</v>
      </c>
      <c r="P2835">
        <v>300.83</v>
      </c>
      <c r="Q2835" t="str">
        <f>"FARMÁCIA INDIANA LJ 100 (10042)"</f>
        <v>FARMÁCIA INDIANA LJ 100 (10042)</v>
      </c>
      <c r="R2835" t="str">
        <f t="shared" si="1417"/>
        <v>RECEITAS COM ENTREGAS (303)</v>
      </c>
      <c r="S2835">
        <v>1737</v>
      </c>
      <c r="T2835">
        <v>1225</v>
      </c>
      <c r="U2835" t="s">
        <v>19</v>
      </c>
    </row>
    <row r="2836" spans="1:21">
      <c r="A2836" t="str">
        <f t="shared" si="1411"/>
        <v>04/06/2025</v>
      </c>
      <c r="B2836" t="str">
        <f t="shared" si="1404"/>
        <v>ENTRADA</v>
      </c>
      <c r="C2836" t="str">
        <f t="shared" si="1412"/>
        <v>NFSE</v>
      </c>
      <c r="D2836" t="str">
        <f t="shared" si="1408"/>
        <v>3018</v>
      </c>
      <c r="E2836" t="str">
        <f t="shared" si="1392"/>
        <v>COM</v>
      </c>
      <c r="F2836" t="str">
        <f t="shared" si="1409"/>
        <v>FARMÁCIA INDIANA LJ 1 (10126)</v>
      </c>
      <c r="G2836" t="str">
        <f t="shared" si="1410"/>
        <v>Serv.Prest. 19/05/2025 a 25/05/2025 - RPS: 788 - NFSe: 3018</v>
      </c>
      <c r="H2836" t="str">
        <f t="shared" si="1413"/>
        <v>04/06/2025</v>
      </c>
      <c r="I2836" t="str">
        <f t="shared" si="1414"/>
        <v>26/05/2025</v>
      </c>
      <c r="J2836" t="str">
        <f t="shared" si="1415"/>
        <v>04/06/2025</v>
      </c>
      <c r="M2836">
        <v>303</v>
      </c>
      <c r="N2836" t="str">
        <f t="shared" si="1416"/>
        <v>RECEITAS COM ENTREGAS</v>
      </c>
      <c r="P2836">
        <v>599.02</v>
      </c>
      <c r="Q2836" t="str">
        <f>"FARMÁCIA INDIANA LJ 101 (10043)"</f>
        <v>FARMÁCIA INDIANA LJ 101 (10043)</v>
      </c>
      <c r="R2836" t="str">
        <f t="shared" si="1417"/>
        <v>RECEITAS COM ENTREGAS (303)</v>
      </c>
      <c r="S2836">
        <v>1737</v>
      </c>
      <c r="T2836">
        <v>1225</v>
      </c>
      <c r="U2836" t="s">
        <v>19</v>
      </c>
    </row>
    <row r="2837" spans="1:21">
      <c r="A2837" t="str">
        <f t="shared" si="1411"/>
        <v>04/06/2025</v>
      </c>
      <c r="B2837" t="str">
        <f t="shared" si="1404"/>
        <v>ENTRADA</v>
      </c>
      <c r="C2837" t="str">
        <f t="shared" si="1412"/>
        <v>NFSE</v>
      </c>
      <c r="D2837" t="str">
        <f t="shared" si="1408"/>
        <v>3018</v>
      </c>
      <c r="E2837" t="str">
        <f t="shared" si="1392"/>
        <v>COM</v>
      </c>
      <c r="F2837" t="str">
        <f t="shared" si="1409"/>
        <v>FARMÁCIA INDIANA LJ 1 (10126)</v>
      </c>
      <c r="G2837" t="str">
        <f t="shared" si="1410"/>
        <v>Serv.Prest. 19/05/2025 a 25/05/2025 - RPS: 788 - NFSe: 3018</v>
      </c>
      <c r="H2837" t="str">
        <f t="shared" si="1413"/>
        <v>04/06/2025</v>
      </c>
      <c r="I2837" t="str">
        <f t="shared" si="1414"/>
        <v>26/05/2025</v>
      </c>
      <c r="J2837" t="str">
        <f t="shared" si="1415"/>
        <v>04/06/2025</v>
      </c>
      <c r="M2837">
        <v>303</v>
      </c>
      <c r="N2837" t="str">
        <f t="shared" si="1416"/>
        <v>RECEITAS COM ENTREGAS</v>
      </c>
      <c r="P2837">
        <v>67.290000000000006</v>
      </c>
      <c r="Q2837" t="str">
        <f>"FARMÁCIA INDIANA LJ 103 (10044)"</f>
        <v>FARMÁCIA INDIANA LJ 103 (10044)</v>
      </c>
      <c r="R2837" t="str">
        <f t="shared" si="1417"/>
        <v>RECEITAS COM ENTREGAS (303)</v>
      </c>
      <c r="S2837">
        <v>1737</v>
      </c>
      <c r="T2837">
        <v>1225</v>
      </c>
      <c r="U2837" t="s">
        <v>19</v>
      </c>
    </row>
    <row r="2838" spans="1:21">
      <c r="A2838" t="str">
        <f t="shared" si="1411"/>
        <v>04/06/2025</v>
      </c>
      <c r="B2838" t="str">
        <f t="shared" si="1404"/>
        <v>ENTRADA</v>
      </c>
      <c r="C2838" t="str">
        <f t="shared" si="1412"/>
        <v>NFSE</v>
      </c>
      <c r="D2838" t="str">
        <f t="shared" si="1408"/>
        <v>3018</v>
      </c>
      <c r="E2838" t="str">
        <f t="shared" si="1392"/>
        <v>COM</v>
      </c>
      <c r="F2838" t="str">
        <f t="shared" si="1409"/>
        <v>FARMÁCIA INDIANA LJ 1 (10126)</v>
      </c>
      <c r="G2838" t="str">
        <f t="shared" si="1410"/>
        <v>Serv.Prest. 19/05/2025 a 25/05/2025 - RPS: 788 - NFSe: 3018</v>
      </c>
      <c r="H2838" t="str">
        <f t="shared" si="1413"/>
        <v>04/06/2025</v>
      </c>
      <c r="I2838" t="str">
        <f t="shared" si="1414"/>
        <v>26/05/2025</v>
      </c>
      <c r="J2838" t="str">
        <f t="shared" si="1415"/>
        <v>04/06/2025</v>
      </c>
      <c r="M2838">
        <v>303</v>
      </c>
      <c r="N2838" t="str">
        <f t="shared" si="1416"/>
        <v>RECEITAS COM ENTREGAS</v>
      </c>
      <c r="P2838">
        <v>166.25</v>
      </c>
      <c r="Q2838" t="str">
        <f>"FARMÁCIA INDIANA LJ 109 (10047)"</f>
        <v>FARMÁCIA INDIANA LJ 109 (10047)</v>
      </c>
      <c r="R2838" t="str">
        <f t="shared" si="1417"/>
        <v>RECEITAS COM ENTREGAS (303)</v>
      </c>
      <c r="S2838">
        <v>1737</v>
      </c>
      <c r="T2838">
        <v>1225</v>
      </c>
      <c r="U2838" t="s">
        <v>19</v>
      </c>
    </row>
    <row r="2839" spans="1:21">
      <c r="A2839" t="str">
        <f t="shared" si="1411"/>
        <v>04/06/2025</v>
      </c>
      <c r="B2839" t="str">
        <f t="shared" si="1404"/>
        <v>ENTRADA</v>
      </c>
      <c r="C2839" t="str">
        <f t="shared" si="1412"/>
        <v>NFSE</v>
      </c>
      <c r="D2839" t="str">
        <f t="shared" si="1408"/>
        <v>3018</v>
      </c>
      <c r="E2839" t="str">
        <f t="shared" si="1392"/>
        <v>COM</v>
      </c>
      <c r="F2839" t="str">
        <f t="shared" si="1409"/>
        <v>FARMÁCIA INDIANA LJ 1 (10126)</v>
      </c>
      <c r="G2839" t="str">
        <f t="shared" si="1410"/>
        <v>Serv.Prest. 19/05/2025 a 25/05/2025 - RPS: 788 - NFSe: 3018</v>
      </c>
      <c r="H2839" t="str">
        <f t="shared" si="1413"/>
        <v>04/06/2025</v>
      </c>
      <c r="I2839" t="str">
        <f t="shared" si="1414"/>
        <v>26/05/2025</v>
      </c>
      <c r="J2839" t="str">
        <f t="shared" si="1415"/>
        <v>04/06/2025</v>
      </c>
      <c r="M2839">
        <v>303</v>
      </c>
      <c r="N2839" t="str">
        <f t="shared" si="1416"/>
        <v>RECEITAS COM ENTREGAS</v>
      </c>
      <c r="P2839">
        <v>537.01</v>
      </c>
      <c r="Q2839" t="str">
        <f>"FARMÁCIA INDIANA LJ 110 (10048)"</f>
        <v>FARMÁCIA INDIANA LJ 110 (10048)</v>
      </c>
      <c r="R2839" t="str">
        <f t="shared" si="1417"/>
        <v>RECEITAS COM ENTREGAS (303)</v>
      </c>
      <c r="S2839">
        <v>1737</v>
      </c>
      <c r="T2839">
        <v>1225</v>
      </c>
      <c r="U2839" t="s">
        <v>19</v>
      </c>
    </row>
    <row r="2840" spans="1:21">
      <c r="A2840" t="str">
        <f t="shared" si="1411"/>
        <v>04/06/2025</v>
      </c>
      <c r="B2840" t="str">
        <f t="shared" si="1404"/>
        <v>ENTRADA</v>
      </c>
      <c r="C2840" t="str">
        <f t="shared" si="1412"/>
        <v>NFSE</v>
      </c>
      <c r="D2840" t="str">
        <f t="shared" si="1408"/>
        <v>3018</v>
      </c>
      <c r="E2840" t="str">
        <f t="shared" si="1392"/>
        <v>COM</v>
      </c>
      <c r="F2840" t="str">
        <f t="shared" si="1409"/>
        <v>FARMÁCIA INDIANA LJ 1 (10126)</v>
      </c>
      <c r="G2840" t="str">
        <f t="shared" si="1410"/>
        <v>Serv.Prest. 19/05/2025 a 25/05/2025 - RPS: 788 - NFSe: 3018</v>
      </c>
      <c r="H2840" t="str">
        <f t="shared" si="1413"/>
        <v>04/06/2025</v>
      </c>
      <c r="I2840" t="str">
        <f t="shared" si="1414"/>
        <v>26/05/2025</v>
      </c>
      <c r="J2840" t="str">
        <f t="shared" si="1415"/>
        <v>04/06/2025</v>
      </c>
      <c r="M2840">
        <v>303</v>
      </c>
      <c r="N2840" t="str">
        <f t="shared" si="1416"/>
        <v>RECEITAS COM ENTREGAS</v>
      </c>
      <c r="P2840">
        <v>64.650000000000006</v>
      </c>
      <c r="Q2840" t="str">
        <f>"FARMÁCIA INDIANA LJ 111 (10049)"</f>
        <v>FARMÁCIA INDIANA LJ 111 (10049)</v>
      </c>
      <c r="R2840" t="str">
        <f t="shared" si="1417"/>
        <v>RECEITAS COM ENTREGAS (303)</v>
      </c>
      <c r="S2840">
        <v>1737</v>
      </c>
      <c r="T2840">
        <v>1225</v>
      </c>
      <c r="U2840" t="s">
        <v>19</v>
      </c>
    </row>
    <row r="2841" spans="1:21">
      <c r="A2841" t="str">
        <f t="shared" si="1411"/>
        <v>04/06/2025</v>
      </c>
      <c r="B2841" t="str">
        <f t="shared" si="1404"/>
        <v>ENTRADA</v>
      </c>
      <c r="C2841" t="str">
        <f t="shared" si="1412"/>
        <v>NFSE</v>
      </c>
      <c r="D2841" t="str">
        <f t="shared" si="1408"/>
        <v>3018</v>
      </c>
      <c r="E2841" t="str">
        <f t="shared" si="1392"/>
        <v>COM</v>
      </c>
      <c r="F2841" t="str">
        <f t="shared" si="1409"/>
        <v>FARMÁCIA INDIANA LJ 1 (10126)</v>
      </c>
      <c r="G2841" t="str">
        <f t="shared" si="1410"/>
        <v>Serv.Prest. 19/05/2025 a 25/05/2025 - RPS: 788 - NFSe: 3018</v>
      </c>
      <c r="H2841" t="str">
        <f t="shared" si="1413"/>
        <v>04/06/2025</v>
      </c>
      <c r="I2841" t="str">
        <f t="shared" si="1414"/>
        <v>26/05/2025</v>
      </c>
      <c r="J2841" t="str">
        <f t="shared" si="1415"/>
        <v>04/06/2025</v>
      </c>
      <c r="M2841">
        <v>303</v>
      </c>
      <c r="N2841" t="str">
        <f t="shared" si="1416"/>
        <v>RECEITAS COM ENTREGAS</v>
      </c>
      <c r="P2841">
        <v>118.75</v>
      </c>
      <c r="Q2841" t="str">
        <f>"FARMÁCIA INDIANA LJ 112 (10050)"</f>
        <v>FARMÁCIA INDIANA LJ 112 (10050)</v>
      </c>
      <c r="R2841" t="str">
        <f t="shared" si="1417"/>
        <v>RECEITAS COM ENTREGAS (303)</v>
      </c>
      <c r="S2841">
        <v>1737</v>
      </c>
      <c r="T2841">
        <v>1225</v>
      </c>
      <c r="U2841" t="s">
        <v>19</v>
      </c>
    </row>
    <row r="2842" spans="1:21">
      <c r="A2842" t="str">
        <f t="shared" si="1411"/>
        <v>04/06/2025</v>
      </c>
      <c r="B2842" t="str">
        <f t="shared" si="1404"/>
        <v>ENTRADA</v>
      </c>
      <c r="C2842" t="str">
        <f t="shared" si="1412"/>
        <v>NFSE</v>
      </c>
      <c r="D2842" t="str">
        <f t="shared" si="1408"/>
        <v>3018</v>
      </c>
      <c r="E2842" t="str">
        <f t="shared" si="1392"/>
        <v>COM</v>
      </c>
      <c r="F2842" t="str">
        <f t="shared" si="1409"/>
        <v>FARMÁCIA INDIANA LJ 1 (10126)</v>
      </c>
      <c r="G2842" t="str">
        <f t="shared" si="1410"/>
        <v>Serv.Prest. 19/05/2025 a 25/05/2025 - RPS: 788 - NFSe: 3018</v>
      </c>
      <c r="H2842" t="str">
        <f t="shared" si="1413"/>
        <v>04/06/2025</v>
      </c>
      <c r="I2842" t="str">
        <f t="shared" si="1414"/>
        <v>26/05/2025</v>
      </c>
      <c r="J2842" t="str">
        <f t="shared" si="1415"/>
        <v>04/06/2025</v>
      </c>
      <c r="M2842">
        <v>303</v>
      </c>
      <c r="N2842" t="str">
        <f t="shared" si="1416"/>
        <v>RECEITAS COM ENTREGAS</v>
      </c>
      <c r="P2842">
        <v>118.75</v>
      </c>
      <c r="Q2842" t="str">
        <f>"FARMÁCIA INDIANA LJ 116 (10051)"</f>
        <v>FARMÁCIA INDIANA LJ 116 (10051)</v>
      </c>
      <c r="R2842" t="str">
        <f t="shared" si="1417"/>
        <v>RECEITAS COM ENTREGAS (303)</v>
      </c>
      <c r="S2842">
        <v>1737</v>
      </c>
      <c r="T2842">
        <v>1225</v>
      </c>
      <c r="U2842" t="s">
        <v>19</v>
      </c>
    </row>
    <row r="2843" spans="1:21">
      <c r="A2843" t="str">
        <f t="shared" si="1411"/>
        <v>04/06/2025</v>
      </c>
      <c r="B2843" t="str">
        <f t="shared" si="1404"/>
        <v>ENTRADA</v>
      </c>
      <c r="C2843" t="str">
        <f t="shared" si="1412"/>
        <v>NFSE</v>
      </c>
      <c r="D2843" t="str">
        <f t="shared" si="1408"/>
        <v>3018</v>
      </c>
      <c r="E2843" t="str">
        <f t="shared" si="1392"/>
        <v>COM</v>
      </c>
      <c r="F2843" t="str">
        <f t="shared" si="1409"/>
        <v>FARMÁCIA INDIANA LJ 1 (10126)</v>
      </c>
      <c r="G2843" t="str">
        <f t="shared" si="1410"/>
        <v>Serv.Prest. 19/05/2025 a 25/05/2025 - RPS: 788 - NFSe: 3018</v>
      </c>
      <c r="H2843" t="str">
        <f t="shared" si="1413"/>
        <v>04/06/2025</v>
      </c>
      <c r="I2843" t="str">
        <f t="shared" si="1414"/>
        <v>26/05/2025</v>
      </c>
      <c r="J2843" t="str">
        <f t="shared" si="1415"/>
        <v>04/06/2025</v>
      </c>
      <c r="M2843">
        <v>303</v>
      </c>
      <c r="N2843" t="str">
        <f t="shared" si="1416"/>
        <v>RECEITAS COM ENTREGAS</v>
      </c>
      <c r="P2843">
        <v>116.11</v>
      </c>
      <c r="Q2843" t="str">
        <f>"FARMÁCIA INDIANA LJ 118 (10052)"</f>
        <v>FARMÁCIA INDIANA LJ 118 (10052)</v>
      </c>
      <c r="R2843" t="str">
        <f t="shared" si="1417"/>
        <v>RECEITAS COM ENTREGAS (303)</v>
      </c>
      <c r="S2843">
        <v>1737</v>
      </c>
      <c r="T2843">
        <v>1225</v>
      </c>
      <c r="U2843" t="s">
        <v>19</v>
      </c>
    </row>
    <row r="2844" spans="1:21">
      <c r="A2844" t="str">
        <f t="shared" si="1411"/>
        <v>04/06/2025</v>
      </c>
      <c r="B2844" t="str">
        <f t="shared" si="1404"/>
        <v>ENTRADA</v>
      </c>
      <c r="C2844" t="str">
        <f t="shared" si="1412"/>
        <v>NFSE</v>
      </c>
      <c r="D2844" t="str">
        <f t="shared" si="1408"/>
        <v>3018</v>
      </c>
      <c r="E2844" t="str">
        <f t="shared" si="1392"/>
        <v>COM</v>
      </c>
      <c r="F2844" t="str">
        <f t="shared" si="1409"/>
        <v>FARMÁCIA INDIANA LJ 1 (10126)</v>
      </c>
      <c r="G2844" t="str">
        <f t="shared" si="1410"/>
        <v>Serv.Prest. 19/05/2025 a 25/05/2025 - RPS: 788 - NFSe: 3018</v>
      </c>
      <c r="H2844" t="str">
        <f t="shared" si="1413"/>
        <v>04/06/2025</v>
      </c>
      <c r="I2844" t="str">
        <f t="shared" si="1414"/>
        <v>26/05/2025</v>
      </c>
      <c r="J2844" t="str">
        <f t="shared" si="1415"/>
        <v>04/06/2025</v>
      </c>
      <c r="M2844">
        <v>303</v>
      </c>
      <c r="N2844" t="str">
        <f t="shared" si="1416"/>
        <v>RECEITAS COM ENTREGAS</v>
      </c>
      <c r="P2844">
        <v>118.75</v>
      </c>
      <c r="Q2844" t="str">
        <f>"FARMÁCIA INDIANA LJ 121 (10054)"</f>
        <v>FARMÁCIA INDIANA LJ 121 (10054)</v>
      </c>
      <c r="R2844" t="str">
        <f t="shared" si="1417"/>
        <v>RECEITAS COM ENTREGAS (303)</v>
      </c>
      <c r="S2844">
        <v>1737</v>
      </c>
      <c r="T2844">
        <v>1225</v>
      </c>
      <c r="U2844" t="s">
        <v>19</v>
      </c>
    </row>
    <row r="2845" spans="1:21">
      <c r="A2845" t="str">
        <f t="shared" si="1411"/>
        <v>04/06/2025</v>
      </c>
      <c r="B2845" t="str">
        <f t="shared" si="1404"/>
        <v>ENTRADA</v>
      </c>
      <c r="C2845" t="str">
        <f t="shared" si="1412"/>
        <v>NFSE</v>
      </c>
      <c r="D2845" t="str">
        <f t="shared" si="1408"/>
        <v>3018</v>
      </c>
      <c r="E2845" t="str">
        <f t="shared" si="1392"/>
        <v>COM</v>
      </c>
      <c r="F2845" t="str">
        <f t="shared" si="1409"/>
        <v>FARMÁCIA INDIANA LJ 1 (10126)</v>
      </c>
      <c r="G2845" t="str">
        <f t="shared" si="1410"/>
        <v>Serv.Prest. 19/05/2025 a 25/05/2025 - RPS: 788 - NFSe: 3018</v>
      </c>
      <c r="H2845" t="str">
        <f t="shared" si="1413"/>
        <v>04/06/2025</v>
      </c>
      <c r="I2845" t="str">
        <f t="shared" si="1414"/>
        <v>26/05/2025</v>
      </c>
      <c r="J2845" t="str">
        <f t="shared" si="1415"/>
        <v>04/06/2025</v>
      </c>
      <c r="M2845">
        <v>303</v>
      </c>
      <c r="N2845" t="str">
        <f t="shared" si="1416"/>
        <v>RECEITAS COM ENTREGAS</v>
      </c>
      <c r="P2845">
        <v>118.75</v>
      </c>
      <c r="Q2845" t="str">
        <f>"FARMÁCIA INDIANA LJ 128 (10057)"</f>
        <v>FARMÁCIA INDIANA LJ 128 (10057)</v>
      </c>
      <c r="R2845" t="str">
        <f t="shared" si="1417"/>
        <v>RECEITAS COM ENTREGAS (303)</v>
      </c>
      <c r="S2845">
        <v>1737</v>
      </c>
      <c r="T2845">
        <v>1225</v>
      </c>
      <c r="U2845" t="s">
        <v>19</v>
      </c>
    </row>
    <row r="2846" spans="1:21">
      <c r="A2846" t="str">
        <f t="shared" si="1411"/>
        <v>04/06/2025</v>
      </c>
      <c r="B2846" t="str">
        <f t="shared" si="1404"/>
        <v>ENTRADA</v>
      </c>
      <c r="C2846" t="str">
        <f t="shared" si="1412"/>
        <v>NFSE</v>
      </c>
      <c r="D2846" t="str">
        <f t="shared" si="1408"/>
        <v>3018</v>
      </c>
      <c r="E2846" t="str">
        <f t="shared" si="1392"/>
        <v>COM</v>
      </c>
      <c r="F2846" t="str">
        <f t="shared" si="1409"/>
        <v>FARMÁCIA INDIANA LJ 1 (10126)</v>
      </c>
      <c r="G2846" t="str">
        <f t="shared" si="1410"/>
        <v>Serv.Prest. 19/05/2025 a 25/05/2025 - RPS: 788 - NFSe: 3018</v>
      </c>
      <c r="H2846" t="str">
        <f t="shared" si="1413"/>
        <v>04/06/2025</v>
      </c>
      <c r="I2846" t="str">
        <f t="shared" si="1414"/>
        <v>26/05/2025</v>
      </c>
      <c r="J2846" t="str">
        <f t="shared" si="1415"/>
        <v>04/06/2025</v>
      </c>
      <c r="M2846">
        <v>303</v>
      </c>
      <c r="N2846" t="str">
        <f t="shared" si="1416"/>
        <v>RECEITAS COM ENTREGAS</v>
      </c>
      <c r="P2846">
        <v>26.39</v>
      </c>
      <c r="Q2846" t="str">
        <f>"FARMÁCIA INDIANA LJ 140 (10064)"</f>
        <v>FARMÁCIA INDIANA LJ 140 (10064)</v>
      </c>
      <c r="R2846" t="str">
        <f t="shared" si="1417"/>
        <v>RECEITAS COM ENTREGAS (303)</v>
      </c>
      <c r="S2846">
        <v>1737</v>
      </c>
      <c r="T2846">
        <v>1225</v>
      </c>
      <c r="U2846" t="s">
        <v>19</v>
      </c>
    </row>
    <row r="2847" spans="1:21">
      <c r="A2847" t="str">
        <f t="shared" si="1411"/>
        <v>04/06/2025</v>
      </c>
      <c r="B2847" t="str">
        <f t="shared" si="1404"/>
        <v>ENTRADA</v>
      </c>
      <c r="C2847" t="str">
        <f t="shared" si="1412"/>
        <v>NFSE</v>
      </c>
      <c r="D2847" t="str">
        <f t="shared" si="1408"/>
        <v>3018</v>
      </c>
      <c r="E2847" t="str">
        <f t="shared" si="1392"/>
        <v>COM</v>
      </c>
      <c r="F2847" t="str">
        <f t="shared" si="1409"/>
        <v>FARMÁCIA INDIANA LJ 1 (10126)</v>
      </c>
      <c r="G2847" t="str">
        <f t="shared" si="1410"/>
        <v>Serv.Prest. 19/05/2025 a 25/05/2025 - RPS: 788 - NFSe: 3018</v>
      </c>
      <c r="H2847" t="str">
        <f t="shared" si="1413"/>
        <v>04/06/2025</v>
      </c>
      <c r="I2847" t="str">
        <f t="shared" si="1414"/>
        <v>26/05/2025</v>
      </c>
      <c r="J2847" t="str">
        <f t="shared" si="1415"/>
        <v>04/06/2025</v>
      </c>
      <c r="M2847">
        <v>303</v>
      </c>
      <c r="N2847" t="str">
        <f t="shared" si="1416"/>
        <v>RECEITAS COM ENTREGAS</v>
      </c>
      <c r="P2847">
        <v>19.79</v>
      </c>
      <c r="Q2847" t="str">
        <f>"FARMÁCIA INDIANA LJ 141 (10065)"</f>
        <v>FARMÁCIA INDIANA LJ 141 (10065)</v>
      </c>
      <c r="R2847" t="str">
        <f t="shared" si="1417"/>
        <v>RECEITAS COM ENTREGAS (303)</v>
      </c>
      <c r="S2847">
        <v>1737</v>
      </c>
      <c r="T2847">
        <v>1225</v>
      </c>
      <c r="U2847" t="s">
        <v>19</v>
      </c>
    </row>
    <row r="2848" spans="1:21">
      <c r="A2848" t="str">
        <f t="shared" si="1411"/>
        <v>04/06/2025</v>
      </c>
      <c r="B2848" t="str">
        <f t="shared" si="1404"/>
        <v>ENTRADA</v>
      </c>
      <c r="C2848" t="str">
        <f t="shared" si="1412"/>
        <v>NFSE</v>
      </c>
      <c r="D2848" t="str">
        <f t="shared" si="1408"/>
        <v>3018</v>
      </c>
      <c r="E2848" t="str">
        <f t="shared" si="1392"/>
        <v>COM</v>
      </c>
      <c r="F2848" t="str">
        <f t="shared" si="1409"/>
        <v>FARMÁCIA INDIANA LJ 1 (10126)</v>
      </c>
      <c r="G2848" t="str">
        <f t="shared" si="1410"/>
        <v>Serv.Prest. 19/05/2025 a 25/05/2025 - RPS: 788 - NFSe: 3018</v>
      </c>
      <c r="H2848" t="str">
        <f t="shared" si="1413"/>
        <v>04/06/2025</v>
      </c>
      <c r="I2848" t="str">
        <f t="shared" si="1414"/>
        <v>26/05/2025</v>
      </c>
      <c r="J2848" t="str">
        <f t="shared" si="1415"/>
        <v>04/06/2025</v>
      </c>
      <c r="M2848">
        <v>303</v>
      </c>
      <c r="N2848" t="str">
        <f t="shared" si="1416"/>
        <v>RECEITAS COM ENTREGAS</v>
      </c>
      <c r="P2848">
        <v>783.74</v>
      </c>
      <c r="Q2848" t="str">
        <f>"FARMÁCIA INDIANA LJ 142 (10066)"</f>
        <v>FARMÁCIA INDIANA LJ 142 (10066)</v>
      </c>
      <c r="R2848" t="str">
        <f t="shared" si="1417"/>
        <v>RECEITAS COM ENTREGAS (303)</v>
      </c>
      <c r="S2848">
        <v>1737</v>
      </c>
      <c r="T2848">
        <v>1225</v>
      </c>
      <c r="U2848" t="s">
        <v>19</v>
      </c>
    </row>
    <row r="2849" spans="1:21">
      <c r="A2849" t="str">
        <f t="shared" si="1411"/>
        <v>04/06/2025</v>
      </c>
      <c r="B2849" t="str">
        <f t="shared" si="1404"/>
        <v>ENTRADA</v>
      </c>
      <c r="C2849" t="str">
        <f t="shared" si="1412"/>
        <v>NFSE</v>
      </c>
      <c r="D2849" t="str">
        <f t="shared" si="1408"/>
        <v>3018</v>
      </c>
      <c r="E2849" t="str">
        <f t="shared" si="1392"/>
        <v>COM</v>
      </c>
      <c r="F2849" t="str">
        <f t="shared" si="1409"/>
        <v>FARMÁCIA INDIANA LJ 1 (10126)</v>
      </c>
      <c r="G2849" t="str">
        <f t="shared" si="1410"/>
        <v>Serv.Prest. 19/05/2025 a 25/05/2025 - RPS: 788 - NFSe: 3018</v>
      </c>
      <c r="H2849" t="str">
        <f t="shared" si="1413"/>
        <v>04/06/2025</v>
      </c>
      <c r="I2849" t="str">
        <f t="shared" si="1414"/>
        <v>26/05/2025</v>
      </c>
      <c r="J2849" t="str">
        <f t="shared" si="1415"/>
        <v>04/06/2025</v>
      </c>
      <c r="M2849">
        <v>303</v>
      </c>
      <c r="N2849" t="str">
        <f t="shared" si="1416"/>
        <v>RECEITAS COM ENTREGAS</v>
      </c>
      <c r="P2849">
        <v>65.97</v>
      </c>
      <c r="Q2849" t="str">
        <f>"FARMÁCIA INDIANA LJ 143 (10067)"</f>
        <v>FARMÁCIA INDIANA LJ 143 (10067)</v>
      </c>
      <c r="R2849" t="str">
        <f t="shared" si="1417"/>
        <v>RECEITAS COM ENTREGAS (303)</v>
      </c>
      <c r="S2849">
        <v>1737</v>
      </c>
      <c r="T2849">
        <v>1225</v>
      </c>
      <c r="U2849" t="s">
        <v>19</v>
      </c>
    </row>
    <row r="2850" spans="1:21">
      <c r="A2850" t="str">
        <f t="shared" si="1411"/>
        <v>04/06/2025</v>
      </c>
      <c r="B2850" t="str">
        <f t="shared" si="1404"/>
        <v>ENTRADA</v>
      </c>
      <c r="C2850" t="str">
        <f t="shared" si="1412"/>
        <v>NFSE</v>
      </c>
      <c r="D2850" t="str">
        <f t="shared" si="1408"/>
        <v>3018</v>
      </c>
      <c r="E2850" t="str">
        <f t="shared" si="1392"/>
        <v>COM</v>
      </c>
      <c r="F2850" t="str">
        <f t="shared" si="1409"/>
        <v>FARMÁCIA INDIANA LJ 1 (10126)</v>
      </c>
      <c r="G2850" t="str">
        <f t="shared" si="1410"/>
        <v>Serv.Prest. 19/05/2025 a 25/05/2025 - RPS: 788 - NFSe: 3018</v>
      </c>
      <c r="H2850" t="str">
        <f t="shared" si="1413"/>
        <v>04/06/2025</v>
      </c>
      <c r="I2850" t="str">
        <f t="shared" si="1414"/>
        <v>26/05/2025</v>
      </c>
      <c r="J2850" t="str">
        <f t="shared" si="1415"/>
        <v>04/06/2025</v>
      </c>
      <c r="M2850">
        <v>303</v>
      </c>
      <c r="N2850" t="str">
        <f t="shared" si="1416"/>
        <v>RECEITAS COM ENTREGAS</v>
      </c>
      <c r="P2850">
        <v>167.57</v>
      </c>
      <c r="Q2850" t="str">
        <f>"FARMÁCIA INDIANA LJ 152 (10069)"</f>
        <v>FARMÁCIA INDIANA LJ 152 (10069)</v>
      </c>
      <c r="R2850" t="str">
        <f t="shared" si="1417"/>
        <v>RECEITAS COM ENTREGAS (303)</v>
      </c>
      <c r="S2850">
        <v>1737</v>
      </c>
      <c r="T2850">
        <v>1225</v>
      </c>
      <c r="U2850" t="s">
        <v>19</v>
      </c>
    </row>
    <row r="2851" spans="1:21">
      <c r="A2851" t="str">
        <f t="shared" si="1411"/>
        <v>04/06/2025</v>
      </c>
      <c r="B2851" t="str">
        <f t="shared" si="1404"/>
        <v>ENTRADA</v>
      </c>
      <c r="C2851" t="str">
        <f t="shared" si="1412"/>
        <v>NFSE</v>
      </c>
      <c r="D2851" t="str">
        <f t="shared" si="1408"/>
        <v>3018</v>
      </c>
      <c r="E2851" t="str">
        <f t="shared" si="1392"/>
        <v>COM</v>
      </c>
      <c r="F2851" t="str">
        <f t="shared" si="1409"/>
        <v>FARMÁCIA INDIANA LJ 1 (10126)</v>
      </c>
      <c r="G2851" t="str">
        <f t="shared" si="1410"/>
        <v>Serv.Prest. 19/05/2025 a 25/05/2025 - RPS: 788 - NFSe: 3018</v>
      </c>
      <c r="H2851" t="str">
        <f t="shared" si="1413"/>
        <v>04/06/2025</v>
      </c>
      <c r="I2851" t="str">
        <f t="shared" si="1414"/>
        <v>26/05/2025</v>
      </c>
      <c r="J2851" t="str">
        <f t="shared" si="1415"/>
        <v>04/06/2025</v>
      </c>
      <c r="M2851">
        <v>303</v>
      </c>
      <c r="N2851" t="str">
        <f t="shared" si="1416"/>
        <v>RECEITAS COM ENTREGAS</v>
      </c>
      <c r="P2851">
        <v>36.94</v>
      </c>
      <c r="Q2851" t="str">
        <f>"FARMÁCIA INDIANA LJ 154 (10070)"</f>
        <v>FARMÁCIA INDIANA LJ 154 (10070)</v>
      </c>
      <c r="R2851" t="str">
        <f t="shared" si="1417"/>
        <v>RECEITAS COM ENTREGAS (303)</v>
      </c>
      <c r="S2851">
        <v>1737</v>
      </c>
      <c r="T2851">
        <v>1225</v>
      </c>
      <c r="U2851" t="s">
        <v>19</v>
      </c>
    </row>
    <row r="2852" spans="1:21">
      <c r="A2852" t="str">
        <f t="shared" si="1411"/>
        <v>04/06/2025</v>
      </c>
      <c r="B2852" t="str">
        <f t="shared" si="1404"/>
        <v>ENTRADA</v>
      </c>
      <c r="C2852" t="str">
        <f t="shared" si="1412"/>
        <v>NFSE</v>
      </c>
      <c r="D2852" t="str">
        <f t="shared" si="1408"/>
        <v>3018</v>
      </c>
      <c r="E2852" t="str">
        <f t="shared" si="1392"/>
        <v>COM</v>
      </c>
      <c r="F2852" t="str">
        <f t="shared" si="1409"/>
        <v>FARMÁCIA INDIANA LJ 1 (10126)</v>
      </c>
      <c r="G2852" t="str">
        <f t="shared" si="1410"/>
        <v>Serv.Prest. 19/05/2025 a 25/05/2025 - RPS: 788 - NFSe: 3018</v>
      </c>
      <c r="H2852" t="str">
        <f t="shared" si="1413"/>
        <v>04/06/2025</v>
      </c>
      <c r="I2852" t="str">
        <f t="shared" si="1414"/>
        <v>26/05/2025</v>
      </c>
      <c r="J2852" t="str">
        <f t="shared" si="1415"/>
        <v>04/06/2025</v>
      </c>
      <c r="M2852">
        <v>303</v>
      </c>
      <c r="N2852" t="str">
        <f t="shared" si="1416"/>
        <v>RECEITAS COM ENTREGAS</v>
      </c>
      <c r="P2852">
        <v>321.94</v>
      </c>
      <c r="Q2852" t="str">
        <f>"FARMÁCIA INDIANA LJ 171 (10074)"</f>
        <v>FARMÁCIA INDIANA LJ 171 (10074)</v>
      </c>
      <c r="R2852" t="str">
        <f t="shared" si="1417"/>
        <v>RECEITAS COM ENTREGAS (303)</v>
      </c>
      <c r="S2852">
        <v>1737</v>
      </c>
      <c r="T2852">
        <v>1225</v>
      </c>
      <c r="U2852" t="s">
        <v>19</v>
      </c>
    </row>
    <row r="2853" spans="1:21">
      <c r="A2853" t="str">
        <f t="shared" si="1411"/>
        <v>04/06/2025</v>
      </c>
      <c r="B2853" t="str">
        <f t="shared" si="1404"/>
        <v>ENTRADA</v>
      </c>
      <c r="C2853" t="str">
        <f t="shared" si="1412"/>
        <v>NFSE</v>
      </c>
      <c r="D2853" t="str">
        <f t="shared" si="1408"/>
        <v>3018</v>
      </c>
      <c r="E2853" t="str">
        <f t="shared" si="1392"/>
        <v>COM</v>
      </c>
      <c r="F2853" t="str">
        <f t="shared" si="1409"/>
        <v>FARMÁCIA INDIANA LJ 1 (10126)</v>
      </c>
      <c r="G2853" t="str">
        <f t="shared" si="1410"/>
        <v>Serv.Prest. 19/05/2025 a 25/05/2025 - RPS: 788 - NFSe: 3018</v>
      </c>
      <c r="H2853" t="str">
        <f t="shared" si="1413"/>
        <v>04/06/2025</v>
      </c>
      <c r="I2853" t="str">
        <f t="shared" si="1414"/>
        <v>26/05/2025</v>
      </c>
      <c r="J2853" t="str">
        <f t="shared" si="1415"/>
        <v>04/06/2025</v>
      </c>
      <c r="M2853">
        <v>303</v>
      </c>
      <c r="N2853" t="str">
        <f t="shared" si="1416"/>
        <v>RECEITAS COM ENTREGAS</v>
      </c>
      <c r="P2853">
        <v>122.71</v>
      </c>
      <c r="Q2853" t="str">
        <f>"FARMÁCIA INDIANA LJ 175 (10076)"</f>
        <v>FARMÁCIA INDIANA LJ 175 (10076)</v>
      </c>
      <c r="R2853" t="str">
        <f t="shared" si="1417"/>
        <v>RECEITAS COM ENTREGAS (303)</v>
      </c>
      <c r="S2853">
        <v>1737</v>
      </c>
      <c r="T2853">
        <v>1225</v>
      </c>
      <c r="U2853" t="s">
        <v>19</v>
      </c>
    </row>
    <row r="2854" spans="1:21">
      <c r="A2854" t="str">
        <f t="shared" si="1411"/>
        <v>04/06/2025</v>
      </c>
      <c r="B2854" t="str">
        <f t="shared" si="1404"/>
        <v>ENTRADA</v>
      </c>
      <c r="C2854" t="str">
        <f t="shared" si="1412"/>
        <v>NFSE</v>
      </c>
      <c r="D2854" t="str">
        <f t="shared" si="1408"/>
        <v>3018</v>
      </c>
      <c r="E2854" t="str">
        <f t="shared" si="1392"/>
        <v>COM</v>
      </c>
      <c r="F2854" t="str">
        <f t="shared" si="1409"/>
        <v>FARMÁCIA INDIANA LJ 1 (10126)</v>
      </c>
      <c r="G2854" t="str">
        <f t="shared" si="1410"/>
        <v>Serv.Prest. 19/05/2025 a 25/05/2025 - RPS: 788 - NFSe: 3018</v>
      </c>
      <c r="H2854" t="str">
        <f t="shared" si="1413"/>
        <v>04/06/2025</v>
      </c>
      <c r="I2854" t="str">
        <f t="shared" si="1414"/>
        <v>26/05/2025</v>
      </c>
      <c r="J2854" t="str">
        <f t="shared" si="1415"/>
        <v>04/06/2025</v>
      </c>
      <c r="M2854">
        <v>303</v>
      </c>
      <c r="N2854" t="str">
        <f t="shared" si="1416"/>
        <v>RECEITAS COM ENTREGAS</v>
      </c>
      <c r="P2854">
        <v>110.83</v>
      </c>
      <c r="Q2854" t="str">
        <f>"FARMÁCIA INDIANA LJ 178 (10077)"</f>
        <v>FARMÁCIA INDIANA LJ 178 (10077)</v>
      </c>
      <c r="R2854" t="str">
        <f t="shared" si="1417"/>
        <v>RECEITAS COM ENTREGAS (303)</v>
      </c>
      <c r="S2854">
        <v>1737</v>
      </c>
      <c r="T2854">
        <v>1225</v>
      </c>
      <c r="U2854" t="s">
        <v>19</v>
      </c>
    </row>
    <row r="2855" spans="1:21">
      <c r="A2855" t="str">
        <f t="shared" si="1411"/>
        <v>04/06/2025</v>
      </c>
      <c r="B2855" t="str">
        <f t="shared" si="1404"/>
        <v>ENTRADA</v>
      </c>
      <c r="C2855" t="str">
        <f t="shared" si="1412"/>
        <v>NFSE</v>
      </c>
      <c r="D2855" t="str">
        <f t="shared" si="1408"/>
        <v>3018</v>
      </c>
      <c r="E2855" t="str">
        <f t="shared" si="1392"/>
        <v>COM</v>
      </c>
      <c r="F2855" t="str">
        <f t="shared" si="1409"/>
        <v>FARMÁCIA INDIANA LJ 1 (10126)</v>
      </c>
      <c r="G2855" t="str">
        <f t="shared" si="1410"/>
        <v>Serv.Prest. 19/05/2025 a 25/05/2025 - RPS: 788 - NFSe: 3018</v>
      </c>
      <c r="H2855" t="str">
        <f t="shared" si="1413"/>
        <v>04/06/2025</v>
      </c>
      <c r="I2855" t="str">
        <f t="shared" si="1414"/>
        <v>26/05/2025</v>
      </c>
      <c r="J2855" t="str">
        <f t="shared" si="1415"/>
        <v>04/06/2025</v>
      </c>
      <c r="M2855">
        <v>303</v>
      </c>
      <c r="N2855" t="str">
        <f t="shared" si="1416"/>
        <v>RECEITAS COM ENTREGAS</v>
      </c>
      <c r="P2855">
        <v>75.209999999999994</v>
      </c>
      <c r="Q2855" t="str">
        <f>"FARMÁCIA INDIANA LJ 182 (10079)"</f>
        <v>FARMÁCIA INDIANA LJ 182 (10079)</v>
      </c>
      <c r="R2855" t="str">
        <f t="shared" si="1417"/>
        <v>RECEITAS COM ENTREGAS (303)</v>
      </c>
      <c r="S2855">
        <v>1737</v>
      </c>
      <c r="T2855">
        <v>1225</v>
      </c>
      <c r="U2855" t="s">
        <v>19</v>
      </c>
    </row>
    <row r="2856" spans="1:21">
      <c r="A2856" t="str">
        <f t="shared" si="1411"/>
        <v>04/06/2025</v>
      </c>
      <c r="B2856" t="str">
        <f t="shared" si="1404"/>
        <v>ENTRADA</v>
      </c>
      <c r="C2856" t="str">
        <f t="shared" si="1412"/>
        <v>NFSE</v>
      </c>
      <c r="D2856" t="str">
        <f t="shared" si="1408"/>
        <v>3018</v>
      </c>
      <c r="E2856" t="str">
        <f t="shared" si="1392"/>
        <v>COM</v>
      </c>
      <c r="F2856" t="str">
        <f t="shared" si="1409"/>
        <v>FARMÁCIA INDIANA LJ 1 (10126)</v>
      </c>
      <c r="G2856" t="str">
        <f t="shared" si="1410"/>
        <v>Serv.Prest. 19/05/2025 a 25/05/2025 - RPS: 788 - NFSe: 3018</v>
      </c>
      <c r="H2856" t="str">
        <f t="shared" si="1413"/>
        <v>04/06/2025</v>
      </c>
      <c r="I2856" t="str">
        <f t="shared" si="1414"/>
        <v>26/05/2025</v>
      </c>
      <c r="J2856" t="str">
        <f t="shared" si="1415"/>
        <v>04/06/2025</v>
      </c>
      <c r="M2856">
        <v>303</v>
      </c>
      <c r="N2856" t="str">
        <f t="shared" si="1416"/>
        <v>RECEITAS COM ENTREGAS</v>
      </c>
      <c r="P2856">
        <v>39.58</v>
      </c>
      <c r="Q2856" t="str">
        <f>"FARMÁCIA INDIANA LJ 184 (10080)"</f>
        <v>FARMÁCIA INDIANA LJ 184 (10080)</v>
      </c>
      <c r="R2856" t="str">
        <f t="shared" si="1417"/>
        <v>RECEITAS COM ENTREGAS (303)</v>
      </c>
      <c r="S2856">
        <v>1737</v>
      </c>
      <c r="T2856">
        <v>1225</v>
      </c>
      <c r="U2856" t="s">
        <v>19</v>
      </c>
    </row>
    <row r="2857" spans="1:21">
      <c r="A2857" t="str">
        <f t="shared" si="1411"/>
        <v>04/06/2025</v>
      </c>
      <c r="B2857" t="str">
        <f t="shared" si="1404"/>
        <v>ENTRADA</v>
      </c>
      <c r="C2857" t="str">
        <f t="shared" si="1412"/>
        <v>NFSE</v>
      </c>
      <c r="D2857" t="str">
        <f t="shared" si="1408"/>
        <v>3018</v>
      </c>
      <c r="E2857" t="str">
        <f t="shared" si="1392"/>
        <v>COM</v>
      </c>
      <c r="F2857" t="str">
        <f t="shared" si="1409"/>
        <v>FARMÁCIA INDIANA LJ 1 (10126)</v>
      </c>
      <c r="G2857" t="str">
        <f t="shared" si="1410"/>
        <v>Serv.Prest. 19/05/2025 a 25/05/2025 - RPS: 788 - NFSe: 3018</v>
      </c>
      <c r="H2857" t="str">
        <f t="shared" si="1413"/>
        <v>04/06/2025</v>
      </c>
      <c r="I2857" t="str">
        <f t="shared" si="1414"/>
        <v>26/05/2025</v>
      </c>
      <c r="J2857" t="str">
        <f t="shared" si="1415"/>
        <v>04/06/2025</v>
      </c>
      <c r="M2857">
        <v>303</v>
      </c>
      <c r="N2857" t="str">
        <f t="shared" si="1416"/>
        <v>RECEITAS COM ENTREGAS</v>
      </c>
      <c r="P2857">
        <v>75.209999999999994</v>
      </c>
      <c r="Q2857" t="str">
        <f>"FARMÁCIA INDIANA LJ 186 (10081)"</f>
        <v>FARMÁCIA INDIANA LJ 186 (10081)</v>
      </c>
      <c r="R2857" t="str">
        <f t="shared" si="1417"/>
        <v>RECEITAS COM ENTREGAS (303)</v>
      </c>
      <c r="S2857">
        <v>1737</v>
      </c>
      <c r="T2857">
        <v>1225</v>
      </c>
      <c r="U2857" t="s">
        <v>19</v>
      </c>
    </row>
    <row r="2858" spans="1:21">
      <c r="A2858" t="str">
        <f t="shared" si="1411"/>
        <v>04/06/2025</v>
      </c>
      <c r="B2858" t="str">
        <f t="shared" si="1404"/>
        <v>ENTRADA</v>
      </c>
      <c r="C2858" t="str">
        <f t="shared" si="1412"/>
        <v>NFSE</v>
      </c>
      <c r="D2858" t="str">
        <f t="shared" si="1408"/>
        <v>3018</v>
      </c>
      <c r="E2858" t="str">
        <f t="shared" si="1392"/>
        <v>COM</v>
      </c>
      <c r="F2858" t="str">
        <f t="shared" si="1409"/>
        <v>FARMÁCIA INDIANA LJ 1 (10126)</v>
      </c>
      <c r="G2858" t="str">
        <f t="shared" si="1410"/>
        <v>Serv.Prest. 19/05/2025 a 25/05/2025 - RPS: 788 - NFSe: 3018</v>
      </c>
      <c r="H2858" t="str">
        <f t="shared" si="1413"/>
        <v>04/06/2025</v>
      </c>
      <c r="I2858" t="str">
        <f t="shared" si="1414"/>
        <v>26/05/2025</v>
      </c>
      <c r="J2858" t="str">
        <f t="shared" si="1415"/>
        <v>04/06/2025</v>
      </c>
      <c r="M2858">
        <v>303</v>
      </c>
      <c r="N2858" t="str">
        <f t="shared" si="1416"/>
        <v>RECEITAS COM ENTREGAS</v>
      </c>
      <c r="P2858">
        <v>65.97</v>
      </c>
      <c r="Q2858" t="str">
        <f>"FARMÁCIA INDIANA LJ 192 (10082)"</f>
        <v>FARMÁCIA INDIANA LJ 192 (10082)</v>
      </c>
      <c r="R2858" t="str">
        <f t="shared" si="1417"/>
        <v>RECEITAS COM ENTREGAS (303)</v>
      </c>
      <c r="S2858">
        <v>1737</v>
      </c>
      <c r="T2858">
        <v>1225</v>
      </c>
      <c r="U2858" t="s">
        <v>19</v>
      </c>
    </row>
    <row r="2859" spans="1:21">
      <c r="A2859" t="str">
        <f t="shared" si="1411"/>
        <v>04/06/2025</v>
      </c>
      <c r="B2859" t="str">
        <f t="shared" si="1404"/>
        <v>ENTRADA</v>
      </c>
      <c r="C2859" t="str">
        <f t="shared" si="1412"/>
        <v>NFSE</v>
      </c>
      <c r="D2859" t="str">
        <f t="shared" si="1408"/>
        <v>3018</v>
      </c>
      <c r="E2859" t="str">
        <f t="shared" si="1392"/>
        <v>COM</v>
      </c>
      <c r="F2859" t="str">
        <f t="shared" si="1409"/>
        <v>FARMÁCIA INDIANA LJ 1 (10126)</v>
      </c>
      <c r="G2859" t="str">
        <f t="shared" si="1410"/>
        <v>Serv.Prest. 19/05/2025 a 25/05/2025 - RPS: 788 - NFSe: 3018</v>
      </c>
      <c r="H2859" t="str">
        <f t="shared" si="1413"/>
        <v>04/06/2025</v>
      </c>
      <c r="I2859" t="str">
        <f t="shared" si="1414"/>
        <v>26/05/2025</v>
      </c>
      <c r="J2859" t="str">
        <f t="shared" si="1415"/>
        <v>04/06/2025</v>
      </c>
      <c r="M2859">
        <v>303</v>
      </c>
      <c r="N2859" t="str">
        <f t="shared" si="1416"/>
        <v>RECEITAS COM ENTREGAS</v>
      </c>
      <c r="P2859">
        <v>39.58</v>
      </c>
      <c r="Q2859" t="str">
        <f>"FARMÁCIA INDIANA LJ 195 (10083)"</f>
        <v>FARMÁCIA INDIANA LJ 195 (10083)</v>
      </c>
      <c r="R2859" t="str">
        <f t="shared" si="1417"/>
        <v>RECEITAS COM ENTREGAS (303)</v>
      </c>
      <c r="S2859">
        <v>1737</v>
      </c>
      <c r="T2859">
        <v>1225</v>
      </c>
      <c r="U2859" t="s">
        <v>19</v>
      </c>
    </row>
    <row r="2860" spans="1:21">
      <c r="A2860" t="str">
        <f t="shared" si="1411"/>
        <v>04/06/2025</v>
      </c>
      <c r="B2860" t="str">
        <f t="shared" si="1404"/>
        <v>ENTRADA</v>
      </c>
      <c r="C2860" t="str">
        <f t="shared" si="1412"/>
        <v>NFSE</v>
      </c>
      <c r="D2860" t="str">
        <f t="shared" si="1408"/>
        <v>3018</v>
      </c>
      <c r="E2860" t="str">
        <f t="shared" si="1392"/>
        <v>COM</v>
      </c>
      <c r="F2860" t="str">
        <f t="shared" si="1409"/>
        <v>FARMÁCIA INDIANA LJ 1 (10126)</v>
      </c>
      <c r="G2860" t="str">
        <f t="shared" si="1410"/>
        <v>Serv.Prest. 19/05/2025 a 25/05/2025 - RPS: 788 - NFSe: 3018</v>
      </c>
      <c r="H2860" t="str">
        <f t="shared" si="1413"/>
        <v>04/06/2025</v>
      </c>
      <c r="I2860" t="str">
        <f t="shared" si="1414"/>
        <v>26/05/2025</v>
      </c>
      <c r="J2860" t="str">
        <f t="shared" si="1415"/>
        <v>04/06/2025</v>
      </c>
      <c r="M2860">
        <v>303</v>
      </c>
      <c r="N2860" t="str">
        <f t="shared" si="1416"/>
        <v>RECEITAS COM ENTREGAS</v>
      </c>
      <c r="P2860">
        <v>149.1</v>
      </c>
      <c r="Q2860" t="str">
        <f>"FARMÁCIA INDIANA LJ 202 (10085)"</f>
        <v>FARMÁCIA INDIANA LJ 202 (10085)</v>
      </c>
      <c r="R2860" t="str">
        <f t="shared" si="1417"/>
        <v>RECEITAS COM ENTREGAS (303)</v>
      </c>
      <c r="S2860">
        <v>1737</v>
      </c>
      <c r="T2860">
        <v>1225</v>
      </c>
      <c r="U2860" t="s">
        <v>19</v>
      </c>
    </row>
    <row r="2861" spans="1:21">
      <c r="A2861" t="str">
        <f t="shared" si="1411"/>
        <v>04/06/2025</v>
      </c>
      <c r="B2861" t="str">
        <f t="shared" si="1404"/>
        <v>ENTRADA</v>
      </c>
      <c r="C2861" t="str">
        <f t="shared" si="1412"/>
        <v>NFSE</v>
      </c>
      <c r="D2861" t="str">
        <f t="shared" si="1408"/>
        <v>3018</v>
      </c>
      <c r="E2861" t="str">
        <f t="shared" si="1392"/>
        <v>COM</v>
      </c>
      <c r="F2861" t="str">
        <f t="shared" si="1409"/>
        <v>FARMÁCIA INDIANA LJ 1 (10126)</v>
      </c>
      <c r="G2861" t="str">
        <f t="shared" si="1410"/>
        <v>Serv.Prest. 19/05/2025 a 25/05/2025 - RPS: 788 - NFSe: 3018</v>
      </c>
      <c r="H2861" t="str">
        <f t="shared" si="1413"/>
        <v>04/06/2025</v>
      </c>
      <c r="I2861" t="str">
        <f t="shared" si="1414"/>
        <v>26/05/2025</v>
      </c>
      <c r="J2861" t="str">
        <f t="shared" si="1415"/>
        <v>04/06/2025</v>
      </c>
      <c r="M2861">
        <v>303</v>
      </c>
      <c r="N2861" t="str">
        <f t="shared" si="1416"/>
        <v>RECEITAS COM ENTREGAS</v>
      </c>
      <c r="P2861">
        <v>106.87</v>
      </c>
      <c r="Q2861" t="str">
        <f>"FARMÁCIA INDIANA LJ 204 (10087)"</f>
        <v>FARMÁCIA INDIANA LJ 204 (10087)</v>
      </c>
      <c r="R2861" t="str">
        <f t="shared" si="1417"/>
        <v>RECEITAS COM ENTREGAS (303)</v>
      </c>
      <c r="S2861">
        <v>1737</v>
      </c>
      <c r="T2861">
        <v>1225</v>
      </c>
      <c r="U2861" t="s">
        <v>19</v>
      </c>
    </row>
    <row r="2862" spans="1:21">
      <c r="A2862" t="str">
        <f t="shared" si="1411"/>
        <v>04/06/2025</v>
      </c>
      <c r="B2862" t="str">
        <f t="shared" si="1404"/>
        <v>ENTRADA</v>
      </c>
      <c r="C2862" t="str">
        <f t="shared" si="1412"/>
        <v>NFSE</v>
      </c>
      <c r="D2862" t="str">
        <f t="shared" si="1408"/>
        <v>3018</v>
      </c>
      <c r="E2862" t="str">
        <f t="shared" si="1392"/>
        <v>COM</v>
      </c>
      <c r="F2862" t="str">
        <f t="shared" si="1409"/>
        <v>FARMÁCIA INDIANA LJ 1 (10126)</v>
      </c>
      <c r="G2862" t="str">
        <f t="shared" si="1410"/>
        <v>Serv.Prest. 19/05/2025 a 25/05/2025 - RPS: 788 - NFSe: 3018</v>
      </c>
      <c r="H2862" t="str">
        <f t="shared" si="1413"/>
        <v>04/06/2025</v>
      </c>
      <c r="I2862" t="str">
        <f t="shared" si="1414"/>
        <v>26/05/2025</v>
      </c>
      <c r="J2862" t="str">
        <f t="shared" si="1415"/>
        <v>04/06/2025</v>
      </c>
      <c r="M2862">
        <v>303</v>
      </c>
      <c r="N2862" t="str">
        <f t="shared" si="1416"/>
        <v>RECEITAS COM ENTREGAS</v>
      </c>
      <c r="P2862">
        <v>106.87</v>
      </c>
      <c r="Q2862" t="str">
        <f>"FARMÁCIA INDIANA LJ 207 (10088)"</f>
        <v>FARMÁCIA INDIANA LJ 207 (10088)</v>
      </c>
      <c r="R2862" t="str">
        <f t="shared" si="1417"/>
        <v>RECEITAS COM ENTREGAS (303)</v>
      </c>
      <c r="S2862">
        <v>1737</v>
      </c>
      <c r="T2862">
        <v>1225</v>
      </c>
      <c r="U2862" t="s">
        <v>19</v>
      </c>
    </row>
    <row r="2863" spans="1:21">
      <c r="A2863" t="str">
        <f t="shared" si="1411"/>
        <v>04/06/2025</v>
      </c>
      <c r="B2863" t="str">
        <f t="shared" si="1404"/>
        <v>ENTRADA</v>
      </c>
      <c r="C2863" t="str">
        <f t="shared" si="1412"/>
        <v>NFSE</v>
      </c>
      <c r="D2863" t="str">
        <f t="shared" si="1408"/>
        <v>3018</v>
      </c>
      <c r="E2863" t="str">
        <f t="shared" ref="E2863:E2926" si="1418">"COM"</f>
        <v>COM</v>
      </c>
      <c r="F2863" t="str">
        <f t="shared" si="1409"/>
        <v>FARMÁCIA INDIANA LJ 1 (10126)</v>
      </c>
      <c r="G2863" t="str">
        <f t="shared" si="1410"/>
        <v>Serv.Prest. 19/05/2025 a 25/05/2025 - RPS: 788 - NFSe: 3018</v>
      </c>
      <c r="H2863" t="str">
        <f t="shared" si="1413"/>
        <v>04/06/2025</v>
      </c>
      <c r="I2863" t="str">
        <f t="shared" si="1414"/>
        <v>26/05/2025</v>
      </c>
      <c r="J2863" t="str">
        <f t="shared" si="1415"/>
        <v>04/06/2025</v>
      </c>
      <c r="M2863">
        <v>303</v>
      </c>
      <c r="N2863" t="str">
        <f t="shared" si="1416"/>
        <v>RECEITAS COM ENTREGAS</v>
      </c>
      <c r="P2863">
        <v>125.35</v>
      </c>
      <c r="Q2863" t="str">
        <f>"FARMÁCIA INDIANA LJ 209 (10089)"</f>
        <v>FARMÁCIA INDIANA LJ 209 (10089)</v>
      </c>
      <c r="R2863" t="str">
        <f t="shared" si="1417"/>
        <v>RECEITAS COM ENTREGAS (303)</v>
      </c>
      <c r="S2863">
        <v>1737</v>
      </c>
      <c r="T2863">
        <v>1225</v>
      </c>
      <c r="U2863" t="s">
        <v>19</v>
      </c>
    </row>
    <row r="2864" spans="1:21">
      <c r="A2864" t="str">
        <f t="shared" si="1411"/>
        <v>04/06/2025</v>
      </c>
      <c r="B2864" t="str">
        <f t="shared" si="1404"/>
        <v>ENTRADA</v>
      </c>
      <c r="C2864" t="str">
        <f t="shared" si="1412"/>
        <v>NFSE</v>
      </c>
      <c r="D2864" t="str">
        <f t="shared" si="1408"/>
        <v>3018</v>
      </c>
      <c r="E2864" t="str">
        <f t="shared" si="1418"/>
        <v>COM</v>
      </c>
      <c r="F2864" t="str">
        <f t="shared" si="1409"/>
        <v>FARMÁCIA INDIANA LJ 1 (10126)</v>
      </c>
      <c r="G2864" t="str">
        <f t="shared" si="1410"/>
        <v>Serv.Prest. 19/05/2025 a 25/05/2025 - RPS: 788 - NFSe: 3018</v>
      </c>
      <c r="H2864" t="str">
        <f t="shared" si="1413"/>
        <v>04/06/2025</v>
      </c>
      <c r="I2864" t="str">
        <f t="shared" si="1414"/>
        <v>26/05/2025</v>
      </c>
      <c r="J2864" t="str">
        <f t="shared" si="1415"/>
        <v>04/06/2025</v>
      </c>
      <c r="M2864">
        <v>303</v>
      </c>
      <c r="N2864" t="str">
        <f t="shared" si="1416"/>
        <v>RECEITAS COM ENTREGAS</v>
      </c>
      <c r="P2864">
        <v>207.15</v>
      </c>
      <c r="Q2864" t="str">
        <f>"FARMÁCIA INDIANA LJ 219 (10091)"</f>
        <v>FARMÁCIA INDIANA LJ 219 (10091)</v>
      </c>
      <c r="R2864" t="str">
        <f t="shared" si="1417"/>
        <v>RECEITAS COM ENTREGAS (303)</v>
      </c>
      <c r="S2864">
        <v>1737</v>
      </c>
      <c r="T2864">
        <v>1225</v>
      </c>
      <c r="U2864" t="s">
        <v>19</v>
      </c>
    </row>
    <row r="2865" spans="1:21">
      <c r="A2865" t="str">
        <f t="shared" ref="A2865:A2896" si="1419">("04/06/2025")</f>
        <v>04/06/2025</v>
      </c>
      <c r="B2865" t="str">
        <f t="shared" si="1404"/>
        <v>ENTRADA</v>
      </c>
      <c r="C2865" t="str">
        <f t="shared" ref="C2865:C2897" si="1420">"NFSE"</f>
        <v>NFSE</v>
      </c>
      <c r="D2865" t="str">
        <f t="shared" si="1408"/>
        <v>3018</v>
      </c>
      <c r="E2865" t="str">
        <f t="shared" si="1418"/>
        <v>COM</v>
      </c>
      <c r="F2865" t="str">
        <f t="shared" si="1409"/>
        <v>FARMÁCIA INDIANA LJ 1 (10126)</v>
      </c>
      <c r="G2865" t="str">
        <f t="shared" si="1410"/>
        <v>Serv.Prest. 19/05/2025 a 25/05/2025 - RPS: 788 - NFSe: 3018</v>
      </c>
      <c r="H2865" t="str">
        <f t="shared" ref="H2865:H2896" si="1421">("04/06/2025")</f>
        <v>04/06/2025</v>
      </c>
      <c r="I2865" t="str">
        <f t="shared" si="1414"/>
        <v>26/05/2025</v>
      </c>
      <c r="J2865" t="str">
        <f t="shared" ref="J2865:J2896" si="1422">("04/06/2025")</f>
        <v>04/06/2025</v>
      </c>
      <c r="M2865">
        <v>303</v>
      </c>
      <c r="N2865" t="str">
        <f t="shared" ref="N2865:N2897" si="1423">"RECEITAS COM ENTREGAS"</f>
        <v>RECEITAS COM ENTREGAS</v>
      </c>
      <c r="P2865">
        <v>199.23</v>
      </c>
      <c r="Q2865" t="str">
        <f>"FARMÁCIA INDIANA LJ 220 (10092)"</f>
        <v>FARMÁCIA INDIANA LJ 220 (10092)</v>
      </c>
      <c r="R2865" t="str">
        <f t="shared" ref="R2865:R2897" si="1424">"RECEITAS COM ENTREGAS (303)"</f>
        <v>RECEITAS COM ENTREGAS (303)</v>
      </c>
      <c r="S2865">
        <v>1737</v>
      </c>
      <c r="T2865">
        <v>1225</v>
      </c>
      <c r="U2865" t="s">
        <v>19</v>
      </c>
    </row>
    <row r="2866" spans="1:21">
      <c r="A2866" t="str">
        <f t="shared" si="1419"/>
        <v>04/06/2025</v>
      </c>
      <c r="B2866" t="str">
        <f t="shared" ref="B2866:B2897" si="1425">"ENTRADA"</f>
        <v>ENTRADA</v>
      </c>
      <c r="C2866" t="str">
        <f t="shared" si="1420"/>
        <v>NFSE</v>
      </c>
      <c r="D2866" t="str">
        <f t="shared" si="1408"/>
        <v>3018</v>
      </c>
      <c r="E2866" t="str">
        <f t="shared" si="1418"/>
        <v>COM</v>
      </c>
      <c r="F2866" t="str">
        <f t="shared" si="1409"/>
        <v>FARMÁCIA INDIANA LJ 1 (10126)</v>
      </c>
      <c r="G2866" t="str">
        <f t="shared" si="1410"/>
        <v>Serv.Prest. 19/05/2025 a 25/05/2025 - RPS: 788 - NFSe: 3018</v>
      </c>
      <c r="H2866" t="str">
        <f t="shared" si="1421"/>
        <v>04/06/2025</v>
      </c>
      <c r="I2866" t="str">
        <f t="shared" si="1414"/>
        <v>26/05/2025</v>
      </c>
      <c r="J2866" t="str">
        <f t="shared" si="1422"/>
        <v>04/06/2025</v>
      </c>
      <c r="M2866">
        <v>303</v>
      </c>
      <c r="N2866" t="str">
        <f t="shared" si="1423"/>
        <v>RECEITAS COM ENTREGAS</v>
      </c>
      <c r="P2866">
        <v>171.53</v>
      </c>
      <c r="Q2866" t="str">
        <f>"FARMÁCIA INDIANA LJ 185 (10141)"</f>
        <v>FARMÁCIA INDIANA LJ 185 (10141)</v>
      </c>
      <c r="R2866" t="str">
        <f t="shared" si="1424"/>
        <v>RECEITAS COM ENTREGAS (303)</v>
      </c>
      <c r="S2866">
        <v>1737</v>
      </c>
      <c r="T2866">
        <v>1225</v>
      </c>
      <c r="U2866" t="s">
        <v>19</v>
      </c>
    </row>
    <row r="2867" spans="1:21">
      <c r="A2867" t="str">
        <f t="shared" si="1419"/>
        <v>04/06/2025</v>
      </c>
      <c r="B2867" t="str">
        <f t="shared" si="1425"/>
        <v>ENTRADA</v>
      </c>
      <c r="C2867" t="str">
        <f t="shared" si="1420"/>
        <v>NFSE</v>
      </c>
      <c r="D2867" t="str">
        <f t="shared" si="1408"/>
        <v>3018</v>
      </c>
      <c r="E2867" t="str">
        <f t="shared" si="1418"/>
        <v>COM</v>
      </c>
      <c r="F2867" t="str">
        <f t="shared" si="1409"/>
        <v>FARMÁCIA INDIANA LJ 1 (10126)</v>
      </c>
      <c r="G2867" t="str">
        <f t="shared" si="1410"/>
        <v>Serv.Prest. 19/05/2025 a 25/05/2025 - RPS: 788 - NFSe: 3018</v>
      </c>
      <c r="H2867" t="str">
        <f t="shared" si="1421"/>
        <v>04/06/2025</v>
      </c>
      <c r="I2867" t="str">
        <f t="shared" si="1414"/>
        <v>26/05/2025</v>
      </c>
      <c r="J2867" t="str">
        <f t="shared" si="1422"/>
        <v>04/06/2025</v>
      </c>
      <c r="M2867">
        <v>303</v>
      </c>
      <c r="N2867" t="str">
        <f t="shared" si="1423"/>
        <v>RECEITAS COM ENTREGAS</v>
      </c>
      <c r="P2867">
        <v>670.27</v>
      </c>
      <c r="Q2867" t="str">
        <f>"FARMÁCIA INDIANA LJ 172 (10161)"</f>
        <v>FARMÁCIA INDIANA LJ 172 (10161)</v>
      </c>
      <c r="R2867" t="str">
        <f t="shared" si="1424"/>
        <v>RECEITAS COM ENTREGAS (303)</v>
      </c>
      <c r="S2867">
        <v>1737</v>
      </c>
      <c r="T2867">
        <v>1225</v>
      </c>
      <c r="U2867" t="s">
        <v>19</v>
      </c>
    </row>
    <row r="2868" spans="1:21">
      <c r="A2868" t="str">
        <f t="shared" si="1419"/>
        <v>04/06/2025</v>
      </c>
      <c r="B2868" t="str">
        <f t="shared" si="1425"/>
        <v>ENTRADA</v>
      </c>
      <c r="C2868" t="str">
        <f t="shared" si="1420"/>
        <v>NFSE</v>
      </c>
      <c r="D2868" t="str">
        <f>"3044"</f>
        <v>3044</v>
      </c>
      <c r="E2868" t="str">
        <f t="shared" si="1418"/>
        <v>COM</v>
      </c>
      <c r="F2868" t="str">
        <f>"BRASIL FARMA (10173)"</f>
        <v>BRASIL FARMA (10173)</v>
      </c>
      <c r="G2868" t="str">
        <f>"Serv.Prest. 26/05/2025 a 01/06/2025 - RPS: 814 - NFSe: 3044"</f>
        <v>Serv.Prest. 26/05/2025 a 01/06/2025 - RPS: 814 - NFSe: 3044</v>
      </c>
      <c r="H2868" t="str">
        <f t="shared" si="1421"/>
        <v>04/06/2025</v>
      </c>
      <c r="I2868" t="str">
        <f t="shared" ref="I2868:I2895" si="1426">("02/06/2025")</f>
        <v>02/06/2025</v>
      </c>
      <c r="J2868" t="str">
        <f t="shared" si="1422"/>
        <v>04/06/2025</v>
      </c>
      <c r="K2868">
        <v>320.95999999999998</v>
      </c>
      <c r="L2868">
        <v>320.95999999999998</v>
      </c>
      <c r="M2868">
        <v>303</v>
      </c>
      <c r="N2868" t="str">
        <f t="shared" si="1423"/>
        <v>RECEITAS COM ENTREGAS</v>
      </c>
      <c r="O2868">
        <v>320.95999999999998</v>
      </c>
      <c r="R2868" t="str">
        <f t="shared" si="1424"/>
        <v>RECEITAS COM ENTREGAS (303)</v>
      </c>
      <c r="S2868">
        <v>1738</v>
      </c>
      <c r="T2868">
        <v>1251</v>
      </c>
      <c r="U2868" t="s">
        <v>19</v>
      </c>
    </row>
    <row r="2869" spans="1:21">
      <c r="A2869" t="str">
        <f t="shared" si="1419"/>
        <v>04/06/2025</v>
      </c>
      <c r="B2869" t="str">
        <f t="shared" si="1425"/>
        <v>ENTRADA</v>
      </c>
      <c r="C2869" t="str">
        <f t="shared" si="1420"/>
        <v>NFSE</v>
      </c>
      <c r="D2869" t="str">
        <f>"3044"</f>
        <v>3044</v>
      </c>
      <c r="E2869" t="str">
        <f t="shared" si="1418"/>
        <v>COM</v>
      </c>
      <c r="F2869" t="str">
        <f>"BRASIL FARMA (10173)"</f>
        <v>BRASIL FARMA (10173)</v>
      </c>
      <c r="G2869" t="str">
        <f>"Serv.Prest. 26/05/2025 a 01/06/2025 - RPS: 814 - NFSe: 3044"</f>
        <v>Serv.Prest. 26/05/2025 a 01/06/2025 - RPS: 814 - NFSe: 3044</v>
      </c>
      <c r="H2869" t="str">
        <f t="shared" si="1421"/>
        <v>04/06/2025</v>
      </c>
      <c r="I2869" t="str">
        <f t="shared" si="1426"/>
        <v>02/06/2025</v>
      </c>
      <c r="J2869" t="str">
        <f t="shared" si="1422"/>
        <v>04/06/2025</v>
      </c>
      <c r="M2869">
        <v>303</v>
      </c>
      <c r="N2869" t="str">
        <f t="shared" si="1423"/>
        <v>RECEITAS COM ENTREGAS</v>
      </c>
      <c r="P2869">
        <v>320.95999999999998</v>
      </c>
      <c r="Q2869" t="str">
        <f>"BRASIL FARMA (10173)"</f>
        <v>BRASIL FARMA (10173)</v>
      </c>
      <c r="R2869" t="str">
        <f t="shared" si="1424"/>
        <v>RECEITAS COM ENTREGAS (303)</v>
      </c>
      <c r="S2869">
        <v>1738</v>
      </c>
      <c r="T2869">
        <v>1251</v>
      </c>
      <c r="U2869" t="s">
        <v>19</v>
      </c>
    </row>
    <row r="2870" spans="1:21">
      <c r="A2870" t="str">
        <f t="shared" si="1419"/>
        <v>04/06/2025</v>
      </c>
      <c r="B2870" t="str">
        <f t="shared" si="1425"/>
        <v>ENTRADA</v>
      </c>
      <c r="C2870" t="str">
        <f t="shared" si="1420"/>
        <v>NFSE</v>
      </c>
      <c r="D2870" t="str">
        <f>"3047"</f>
        <v>3047</v>
      </c>
      <c r="E2870" t="str">
        <f t="shared" si="1418"/>
        <v>COM</v>
      </c>
      <c r="F2870" t="str">
        <f>"DROGARIA AGAPEAMA (10167)"</f>
        <v>DROGARIA AGAPEAMA (10167)</v>
      </c>
      <c r="G2870" t="str">
        <f>"Serv.Prest. 26/05/2025 a 01/06/2025 - RPS: 817 - NFSe: 3047"</f>
        <v>Serv.Prest. 26/05/2025 a 01/06/2025 - RPS: 817 - NFSe: 3047</v>
      </c>
      <c r="H2870" t="str">
        <f t="shared" si="1421"/>
        <v>04/06/2025</v>
      </c>
      <c r="I2870" t="str">
        <f t="shared" si="1426"/>
        <v>02/06/2025</v>
      </c>
      <c r="J2870" t="str">
        <f t="shared" si="1422"/>
        <v>04/06/2025</v>
      </c>
      <c r="K2870">
        <v>677.12</v>
      </c>
      <c r="L2870">
        <v>677.12</v>
      </c>
      <c r="M2870">
        <v>303</v>
      </c>
      <c r="N2870" t="str">
        <f t="shared" si="1423"/>
        <v>RECEITAS COM ENTREGAS</v>
      </c>
      <c r="O2870">
        <v>677.12</v>
      </c>
      <c r="R2870" t="str">
        <f t="shared" si="1424"/>
        <v>RECEITAS COM ENTREGAS (303)</v>
      </c>
      <c r="S2870">
        <v>1739</v>
      </c>
      <c r="T2870">
        <v>1254</v>
      </c>
      <c r="U2870" t="s">
        <v>19</v>
      </c>
    </row>
    <row r="2871" spans="1:21">
      <c r="A2871" t="str">
        <f t="shared" si="1419"/>
        <v>04/06/2025</v>
      </c>
      <c r="B2871" t="str">
        <f t="shared" si="1425"/>
        <v>ENTRADA</v>
      </c>
      <c r="C2871" t="str">
        <f t="shared" si="1420"/>
        <v>NFSE</v>
      </c>
      <c r="D2871" t="str">
        <f>"3047"</f>
        <v>3047</v>
      </c>
      <c r="E2871" t="str">
        <f t="shared" si="1418"/>
        <v>COM</v>
      </c>
      <c r="F2871" t="str">
        <f>"DROGARIA AGAPEAMA (10167)"</f>
        <v>DROGARIA AGAPEAMA (10167)</v>
      </c>
      <c r="G2871" t="str">
        <f>"Serv.Prest. 26/05/2025 a 01/06/2025 - RPS: 817 - NFSe: 3047"</f>
        <v>Serv.Prest. 26/05/2025 a 01/06/2025 - RPS: 817 - NFSe: 3047</v>
      </c>
      <c r="H2871" t="str">
        <f t="shared" si="1421"/>
        <v>04/06/2025</v>
      </c>
      <c r="I2871" t="str">
        <f t="shared" si="1426"/>
        <v>02/06/2025</v>
      </c>
      <c r="J2871" t="str">
        <f t="shared" si="1422"/>
        <v>04/06/2025</v>
      </c>
      <c r="M2871">
        <v>303</v>
      </c>
      <c r="N2871" t="str">
        <f t="shared" si="1423"/>
        <v>RECEITAS COM ENTREGAS</v>
      </c>
      <c r="P2871">
        <v>677.12</v>
      </c>
      <c r="Q2871" t="str">
        <f>"DROGARIA AGAPEAMA (10167)"</f>
        <v>DROGARIA AGAPEAMA (10167)</v>
      </c>
      <c r="R2871" t="str">
        <f t="shared" si="1424"/>
        <v>RECEITAS COM ENTREGAS (303)</v>
      </c>
      <c r="S2871">
        <v>1739</v>
      </c>
      <c r="T2871">
        <v>1254</v>
      </c>
      <c r="U2871" t="s">
        <v>19</v>
      </c>
    </row>
    <row r="2872" spans="1:21">
      <c r="A2872" t="str">
        <f t="shared" si="1419"/>
        <v>04/06/2025</v>
      </c>
      <c r="B2872" t="str">
        <f t="shared" si="1425"/>
        <v>ENTRADA</v>
      </c>
      <c r="C2872" t="str">
        <f t="shared" si="1420"/>
        <v>NFSE</v>
      </c>
      <c r="D2872" t="str">
        <f>"3048"</f>
        <v>3048</v>
      </c>
      <c r="E2872" t="str">
        <f t="shared" si="1418"/>
        <v>COM</v>
      </c>
      <c r="F2872" t="str">
        <f>"DROGARIA MEDALHA (10163)"</f>
        <v>DROGARIA MEDALHA (10163)</v>
      </c>
      <c r="G2872" t="str">
        <f>"Serv.Prest. 26/05/2025 a 01/06/2025 - RPS: 818 - NFSe: 3048"</f>
        <v>Serv.Prest. 26/05/2025 a 01/06/2025 - RPS: 818 - NFSe: 3048</v>
      </c>
      <c r="H2872" t="str">
        <f t="shared" si="1421"/>
        <v>04/06/2025</v>
      </c>
      <c r="I2872" t="str">
        <f t="shared" si="1426"/>
        <v>02/06/2025</v>
      </c>
      <c r="J2872" t="str">
        <f t="shared" si="1422"/>
        <v>04/06/2025</v>
      </c>
      <c r="K2872">
        <v>208.42</v>
      </c>
      <c r="L2872">
        <v>208.42</v>
      </c>
      <c r="M2872">
        <v>303</v>
      </c>
      <c r="N2872" t="str">
        <f t="shared" si="1423"/>
        <v>RECEITAS COM ENTREGAS</v>
      </c>
      <c r="O2872">
        <v>208.42</v>
      </c>
      <c r="R2872" t="str">
        <f t="shared" si="1424"/>
        <v>RECEITAS COM ENTREGAS (303)</v>
      </c>
      <c r="S2872">
        <v>1740</v>
      </c>
      <c r="T2872">
        <v>1255</v>
      </c>
      <c r="U2872" t="s">
        <v>19</v>
      </c>
    </row>
    <row r="2873" spans="1:21">
      <c r="A2873" t="str">
        <f t="shared" si="1419"/>
        <v>04/06/2025</v>
      </c>
      <c r="B2873" t="str">
        <f t="shared" si="1425"/>
        <v>ENTRADA</v>
      </c>
      <c r="C2873" t="str">
        <f t="shared" si="1420"/>
        <v>NFSE</v>
      </c>
      <c r="D2873" t="str">
        <f>"3048"</f>
        <v>3048</v>
      </c>
      <c r="E2873" t="str">
        <f t="shared" si="1418"/>
        <v>COM</v>
      </c>
      <c r="F2873" t="str">
        <f>"DROGARIA MEDALHA (10163)"</f>
        <v>DROGARIA MEDALHA (10163)</v>
      </c>
      <c r="G2873" t="str">
        <f>"Serv.Prest. 26/05/2025 a 01/06/2025 - RPS: 818 - NFSe: 3048"</f>
        <v>Serv.Prest. 26/05/2025 a 01/06/2025 - RPS: 818 - NFSe: 3048</v>
      </c>
      <c r="H2873" t="str">
        <f t="shared" si="1421"/>
        <v>04/06/2025</v>
      </c>
      <c r="I2873" t="str">
        <f t="shared" si="1426"/>
        <v>02/06/2025</v>
      </c>
      <c r="J2873" t="str">
        <f t="shared" si="1422"/>
        <v>04/06/2025</v>
      </c>
      <c r="M2873">
        <v>303</v>
      </c>
      <c r="N2873" t="str">
        <f t="shared" si="1423"/>
        <v>RECEITAS COM ENTREGAS</v>
      </c>
      <c r="P2873">
        <v>208.42</v>
      </c>
      <c r="Q2873" t="str">
        <f>"DROGARIA MEDALHA (10163)"</f>
        <v>DROGARIA MEDALHA (10163)</v>
      </c>
      <c r="R2873" t="str">
        <f t="shared" si="1424"/>
        <v>RECEITAS COM ENTREGAS (303)</v>
      </c>
      <c r="S2873">
        <v>1740</v>
      </c>
      <c r="T2873">
        <v>1255</v>
      </c>
      <c r="U2873" t="s">
        <v>19</v>
      </c>
    </row>
    <row r="2874" spans="1:21">
      <c r="A2874" t="str">
        <f t="shared" si="1419"/>
        <v>04/06/2025</v>
      </c>
      <c r="B2874" t="str">
        <f t="shared" si="1425"/>
        <v>ENTRADA</v>
      </c>
      <c r="C2874" t="str">
        <f t="shared" si="1420"/>
        <v>NFSE</v>
      </c>
      <c r="D2874" t="str">
        <f>"3049"</f>
        <v>3049</v>
      </c>
      <c r="E2874" t="str">
        <f t="shared" si="1418"/>
        <v>COM</v>
      </c>
      <c r="F2874" t="str">
        <f>"ROSA MARIA LTDA (10165)"</f>
        <v>ROSA MARIA LTDA (10165)</v>
      </c>
      <c r="G2874" t="str">
        <f>"Serv.Prest. 26/05/2025 a 01/06/2025 - RPS: 819 - NFSe: 3049"</f>
        <v>Serv.Prest. 26/05/2025 a 01/06/2025 - RPS: 819 - NFSe: 3049</v>
      </c>
      <c r="H2874" t="str">
        <f t="shared" si="1421"/>
        <v>04/06/2025</v>
      </c>
      <c r="I2874" t="str">
        <f t="shared" si="1426"/>
        <v>02/06/2025</v>
      </c>
      <c r="J2874" t="str">
        <f t="shared" si="1422"/>
        <v>04/06/2025</v>
      </c>
      <c r="K2874">
        <v>238</v>
      </c>
      <c r="L2874">
        <v>238</v>
      </c>
      <c r="M2874">
        <v>303</v>
      </c>
      <c r="N2874" t="str">
        <f t="shared" si="1423"/>
        <v>RECEITAS COM ENTREGAS</v>
      </c>
      <c r="O2874">
        <v>238</v>
      </c>
      <c r="R2874" t="str">
        <f t="shared" si="1424"/>
        <v>RECEITAS COM ENTREGAS (303)</v>
      </c>
      <c r="S2874">
        <v>1741</v>
      </c>
      <c r="T2874">
        <v>1256</v>
      </c>
      <c r="U2874" t="s">
        <v>19</v>
      </c>
    </row>
    <row r="2875" spans="1:21">
      <c r="A2875" t="str">
        <f t="shared" si="1419"/>
        <v>04/06/2025</v>
      </c>
      <c r="B2875" t="str">
        <f t="shared" si="1425"/>
        <v>ENTRADA</v>
      </c>
      <c r="C2875" t="str">
        <f t="shared" si="1420"/>
        <v>NFSE</v>
      </c>
      <c r="D2875" t="str">
        <f>"3049"</f>
        <v>3049</v>
      </c>
      <c r="E2875" t="str">
        <f t="shared" si="1418"/>
        <v>COM</v>
      </c>
      <c r="F2875" t="str">
        <f>"ROSA MARIA LTDA (10165)"</f>
        <v>ROSA MARIA LTDA (10165)</v>
      </c>
      <c r="G2875" t="str">
        <f>"Serv.Prest. 26/05/2025 a 01/06/2025 - RPS: 819 - NFSe: 3049"</f>
        <v>Serv.Prest. 26/05/2025 a 01/06/2025 - RPS: 819 - NFSe: 3049</v>
      </c>
      <c r="H2875" t="str">
        <f t="shared" si="1421"/>
        <v>04/06/2025</v>
      </c>
      <c r="I2875" t="str">
        <f t="shared" si="1426"/>
        <v>02/06/2025</v>
      </c>
      <c r="J2875" t="str">
        <f t="shared" si="1422"/>
        <v>04/06/2025</v>
      </c>
      <c r="M2875">
        <v>303</v>
      </c>
      <c r="N2875" t="str">
        <f t="shared" si="1423"/>
        <v>RECEITAS COM ENTREGAS</v>
      </c>
      <c r="P2875">
        <v>238</v>
      </c>
      <c r="Q2875" t="str">
        <f>"ROSA MARIA LTDA (10170)"</f>
        <v>ROSA MARIA LTDA (10170)</v>
      </c>
      <c r="R2875" t="str">
        <f t="shared" si="1424"/>
        <v>RECEITAS COM ENTREGAS (303)</v>
      </c>
      <c r="S2875">
        <v>1741</v>
      </c>
      <c r="T2875">
        <v>1256</v>
      </c>
      <c r="U2875" t="s">
        <v>19</v>
      </c>
    </row>
    <row r="2876" spans="1:21">
      <c r="A2876" t="str">
        <f t="shared" si="1419"/>
        <v>04/06/2025</v>
      </c>
      <c r="B2876" t="str">
        <f t="shared" si="1425"/>
        <v>ENTRADA</v>
      </c>
      <c r="C2876" t="str">
        <f t="shared" si="1420"/>
        <v>NFSE</v>
      </c>
      <c r="D2876" t="str">
        <f>"3050"</f>
        <v>3050</v>
      </c>
      <c r="E2876" t="str">
        <f t="shared" si="1418"/>
        <v>COM</v>
      </c>
      <c r="F2876" t="str">
        <f>"ENTREFARMA (10164)"</f>
        <v>ENTREFARMA (10164)</v>
      </c>
      <c r="G2876" t="str">
        <f>"Serv.Prest. 26/05/2025 a 01/06/2025 - RPS: 820 - NFSe: 3050"</f>
        <v>Serv.Prest. 26/05/2025 a 01/06/2025 - RPS: 820 - NFSe: 3050</v>
      </c>
      <c r="H2876" t="str">
        <f t="shared" si="1421"/>
        <v>04/06/2025</v>
      </c>
      <c r="I2876" t="str">
        <f t="shared" si="1426"/>
        <v>02/06/2025</v>
      </c>
      <c r="J2876" t="str">
        <f t="shared" si="1422"/>
        <v>04/06/2025</v>
      </c>
      <c r="K2876">
        <v>1049.92</v>
      </c>
      <c r="L2876">
        <v>1049.92</v>
      </c>
      <c r="M2876">
        <v>303</v>
      </c>
      <c r="N2876" t="str">
        <f t="shared" si="1423"/>
        <v>RECEITAS COM ENTREGAS</v>
      </c>
      <c r="O2876">
        <v>1049.92</v>
      </c>
      <c r="R2876" t="str">
        <f t="shared" si="1424"/>
        <v>RECEITAS COM ENTREGAS (303)</v>
      </c>
      <c r="S2876">
        <v>1742</v>
      </c>
      <c r="T2876">
        <v>1257</v>
      </c>
      <c r="U2876" t="s">
        <v>19</v>
      </c>
    </row>
    <row r="2877" spans="1:21">
      <c r="A2877" t="str">
        <f t="shared" si="1419"/>
        <v>04/06/2025</v>
      </c>
      <c r="B2877" t="str">
        <f t="shared" si="1425"/>
        <v>ENTRADA</v>
      </c>
      <c r="C2877" t="str">
        <f t="shared" si="1420"/>
        <v>NFSE</v>
      </c>
      <c r="D2877" t="str">
        <f>"3050"</f>
        <v>3050</v>
      </c>
      <c r="E2877" t="str">
        <f t="shared" si="1418"/>
        <v>COM</v>
      </c>
      <c r="F2877" t="str">
        <f>"ENTREFARMA (10164)"</f>
        <v>ENTREFARMA (10164)</v>
      </c>
      <c r="G2877" t="str">
        <f>"Serv.Prest. 26/05/2025 a 01/06/2025 - RPS: 820 - NFSe: 3050"</f>
        <v>Serv.Prest. 26/05/2025 a 01/06/2025 - RPS: 820 - NFSe: 3050</v>
      </c>
      <c r="H2877" t="str">
        <f t="shared" si="1421"/>
        <v>04/06/2025</v>
      </c>
      <c r="I2877" t="str">
        <f t="shared" si="1426"/>
        <v>02/06/2025</v>
      </c>
      <c r="J2877" t="str">
        <f t="shared" si="1422"/>
        <v>04/06/2025</v>
      </c>
      <c r="M2877">
        <v>303</v>
      </c>
      <c r="N2877" t="str">
        <f t="shared" si="1423"/>
        <v>RECEITAS COM ENTREGAS</v>
      </c>
      <c r="P2877">
        <v>1049.92</v>
      </c>
      <c r="Q2877" t="str">
        <f>"ENTREFARMA (10164)"</f>
        <v>ENTREFARMA (10164)</v>
      </c>
      <c r="R2877" t="str">
        <f t="shared" si="1424"/>
        <v>RECEITAS COM ENTREGAS (303)</v>
      </c>
      <c r="S2877">
        <v>1742</v>
      </c>
      <c r="T2877">
        <v>1257</v>
      </c>
      <c r="U2877" t="s">
        <v>19</v>
      </c>
    </row>
    <row r="2878" spans="1:21">
      <c r="A2878" t="str">
        <f t="shared" si="1419"/>
        <v>04/06/2025</v>
      </c>
      <c r="B2878" t="str">
        <f t="shared" si="1425"/>
        <v>ENTRADA</v>
      </c>
      <c r="C2878" t="str">
        <f t="shared" si="1420"/>
        <v>NFSE</v>
      </c>
      <c r="D2878" t="str">
        <f>"3051"</f>
        <v>3051</v>
      </c>
      <c r="E2878" t="str">
        <f t="shared" si="1418"/>
        <v>COM</v>
      </c>
      <c r="F2878" t="str">
        <f>"ITUFARMA (10178)"</f>
        <v>ITUFARMA (10178)</v>
      </c>
      <c r="G2878" t="str">
        <f>"Serv.Prest. 26/05/2025 a 01/06/2025 - RPS: 821 - NFSe: 3051"</f>
        <v>Serv.Prest. 26/05/2025 a 01/06/2025 - RPS: 821 - NFSe: 3051</v>
      </c>
      <c r="H2878" t="str">
        <f t="shared" si="1421"/>
        <v>04/06/2025</v>
      </c>
      <c r="I2878" t="str">
        <f t="shared" si="1426"/>
        <v>02/06/2025</v>
      </c>
      <c r="J2878" t="str">
        <f t="shared" si="1422"/>
        <v>04/06/2025</v>
      </c>
      <c r="K2878">
        <v>389.75</v>
      </c>
      <c r="L2878">
        <v>389.75</v>
      </c>
      <c r="M2878">
        <v>303</v>
      </c>
      <c r="N2878" t="str">
        <f t="shared" si="1423"/>
        <v>RECEITAS COM ENTREGAS</v>
      </c>
      <c r="O2878">
        <v>389.75</v>
      </c>
      <c r="R2878" t="str">
        <f t="shared" si="1424"/>
        <v>RECEITAS COM ENTREGAS (303)</v>
      </c>
      <c r="S2878">
        <v>1743</v>
      </c>
      <c r="T2878">
        <v>1258</v>
      </c>
      <c r="U2878" t="s">
        <v>19</v>
      </c>
    </row>
    <row r="2879" spans="1:21">
      <c r="A2879" t="str">
        <f t="shared" si="1419"/>
        <v>04/06/2025</v>
      </c>
      <c r="B2879" t="str">
        <f t="shared" si="1425"/>
        <v>ENTRADA</v>
      </c>
      <c r="C2879" t="str">
        <f t="shared" si="1420"/>
        <v>NFSE</v>
      </c>
      <c r="D2879" t="str">
        <f>"3051"</f>
        <v>3051</v>
      </c>
      <c r="E2879" t="str">
        <f t="shared" si="1418"/>
        <v>COM</v>
      </c>
      <c r="F2879" t="str">
        <f>"ITUFARMA (10178)"</f>
        <v>ITUFARMA (10178)</v>
      </c>
      <c r="G2879" t="str">
        <f>"Serv.Prest. 26/05/2025 a 01/06/2025 - RPS: 821 - NFSe: 3051"</f>
        <v>Serv.Prest. 26/05/2025 a 01/06/2025 - RPS: 821 - NFSe: 3051</v>
      </c>
      <c r="H2879" t="str">
        <f t="shared" si="1421"/>
        <v>04/06/2025</v>
      </c>
      <c r="I2879" t="str">
        <f t="shared" si="1426"/>
        <v>02/06/2025</v>
      </c>
      <c r="J2879" t="str">
        <f t="shared" si="1422"/>
        <v>04/06/2025</v>
      </c>
      <c r="M2879">
        <v>303</v>
      </c>
      <c r="N2879" t="str">
        <f t="shared" si="1423"/>
        <v>RECEITAS COM ENTREGAS</v>
      </c>
      <c r="P2879">
        <v>389.75</v>
      </c>
      <c r="Q2879" t="str">
        <f>"ITUFARMA (10178)"</f>
        <v>ITUFARMA (10178)</v>
      </c>
      <c r="R2879" t="str">
        <f t="shared" si="1424"/>
        <v>RECEITAS COM ENTREGAS (303)</v>
      </c>
      <c r="S2879">
        <v>1743</v>
      </c>
      <c r="T2879">
        <v>1258</v>
      </c>
      <c r="U2879" t="s">
        <v>19</v>
      </c>
    </row>
    <row r="2880" spans="1:21">
      <c r="A2880" t="str">
        <f t="shared" si="1419"/>
        <v>04/06/2025</v>
      </c>
      <c r="B2880" t="str">
        <f t="shared" si="1425"/>
        <v>ENTRADA</v>
      </c>
      <c r="C2880" t="str">
        <f t="shared" si="1420"/>
        <v>NFSE</v>
      </c>
      <c r="D2880" t="str">
        <f>"3053"</f>
        <v>3053</v>
      </c>
      <c r="E2880" t="str">
        <f t="shared" si="1418"/>
        <v>COM</v>
      </c>
      <c r="F2880" t="str">
        <f>"DROGARIA ANA VISCONDE DO RIO BRANCO (10180)"</f>
        <v>DROGARIA ANA VISCONDE DO RIO BRANCO (10180)</v>
      </c>
      <c r="G2880" t="str">
        <f>"Serv.Prest. 26/05/2025 a 01/06/2025 - RPS: 822 - NFSe: 3053"</f>
        <v>Serv.Prest. 26/05/2025 a 01/06/2025 - RPS: 822 - NFSe: 3053</v>
      </c>
      <c r="H2880" t="str">
        <f t="shared" si="1421"/>
        <v>04/06/2025</v>
      </c>
      <c r="I2880" t="str">
        <f t="shared" si="1426"/>
        <v>02/06/2025</v>
      </c>
      <c r="J2880" t="str">
        <f t="shared" si="1422"/>
        <v>04/06/2025</v>
      </c>
      <c r="K2880">
        <v>749.25</v>
      </c>
      <c r="L2880">
        <v>749.25</v>
      </c>
      <c r="M2880">
        <v>303</v>
      </c>
      <c r="N2880" t="str">
        <f t="shared" si="1423"/>
        <v>RECEITAS COM ENTREGAS</v>
      </c>
      <c r="O2880">
        <v>749.25</v>
      </c>
      <c r="R2880" t="str">
        <f t="shared" si="1424"/>
        <v>RECEITAS COM ENTREGAS (303)</v>
      </c>
      <c r="S2880">
        <v>1744</v>
      </c>
      <c r="T2880">
        <v>1259</v>
      </c>
      <c r="U2880" t="s">
        <v>19</v>
      </c>
    </row>
    <row r="2881" spans="1:21">
      <c r="A2881" t="str">
        <f t="shared" si="1419"/>
        <v>04/06/2025</v>
      </c>
      <c r="B2881" t="str">
        <f t="shared" si="1425"/>
        <v>ENTRADA</v>
      </c>
      <c r="C2881" t="str">
        <f t="shared" si="1420"/>
        <v>NFSE</v>
      </c>
      <c r="D2881" t="str">
        <f>"3053"</f>
        <v>3053</v>
      </c>
      <c r="E2881" t="str">
        <f t="shared" si="1418"/>
        <v>COM</v>
      </c>
      <c r="F2881" t="str">
        <f>"DROGARIA ANA VISCONDE DO RIO BRANCO (10180)"</f>
        <v>DROGARIA ANA VISCONDE DO RIO BRANCO (10180)</v>
      </c>
      <c r="G2881" t="str">
        <f>"Serv.Prest. 26/05/2025 a 01/06/2025 - RPS: 822 - NFSe: 3053"</f>
        <v>Serv.Prest. 26/05/2025 a 01/06/2025 - RPS: 822 - NFSe: 3053</v>
      </c>
      <c r="H2881" t="str">
        <f t="shared" si="1421"/>
        <v>04/06/2025</v>
      </c>
      <c r="I2881" t="str">
        <f t="shared" si="1426"/>
        <v>02/06/2025</v>
      </c>
      <c r="J2881" t="str">
        <f t="shared" si="1422"/>
        <v>04/06/2025</v>
      </c>
      <c r="M2881">
        <v>303</v>
      </c>
      <c r="N2881" t="str">
        <f t="shared" si="1423"/>
        <v>RECEITAS COM ENTREGAS</v>
      </c>
      <c r="P2881">
        <v>749.25</v>
      </c>
      <c r="Q2881" t="str">
        <f>"DROGARIA ANA VISCONDE DO RIO BRANCO (10182)"</f>
        <v>DROGARIA ANA VISCONDE DO RIO BRANCO (10182)</v>
      </c>
      <c r="R2881" t="str">
        <f t="shared" si="1424"/>
        <v>RECEITAS COM ENTREGAS (303)</v>
      </c>
      <c r="S2881">
        <v>1744</v>
      </c>
      <c r="T2881">
        <v>1259</v>
      </c>
      <c r="U2881" t="s">
        <v>19</v>
      </c>
    </row>
    <row r="2882" spans="1:21">
      <c r="A2882" t="str">
        <f t="shared" si="1419"/>
        <v>04/06/2025</v>
      </c>
      <c r="B2882" t="str">
        <f t="shared" si="1425"/>
        <v>ENTRADA</v>
      </c>
      <c r="C2882" t="str">
        <f t="shared" si="1420"/>
        <v>NFSE</v>
      </c>
      <c r="D2882" t="str">
        <f>"3055"</f>
        <v>3055</v>
      </c>
      <c r="E2882" t="str">
        <f t="shared" si="1418"/>
        <v>COM</v>
      </c>
      <c r="F2882" t="str">
        <f>"DROGARIA TOTAL JUNDIAI (10177)"</f>
        <v>DROGARIA TOTAL JUNDIAI (10177)</v>
      </c>
      <c r="G2882" t="str">
        <f>"Serv.Prest. 26/05/2025 a 01/06/2025 - RPS: 824 - NFSe: 3055"</f>
        <v>Serv.Prest. 26/05/2025 a 01/06/2025 - RPS: 824 - NFSe: 3055</v>
      </c>
      <c r="H2882" t="str">
        <f t="shared" si="1421"/>
        <v>04/06/2025</v>
      </c>
      <c r="I2882" t="str">
        <f t="shared" si="1426"/>
        <v>02/06/2025</v>
      </c>
      <c r="J2882" t="str">
        <f t="shared" si="1422"/>
        <v>04/06/2025</v>
      </c>
      <c r="K2882">
        <v>72.489999999999995</v>
      </c>
      <c r="L2882">
        <v>72.489999999999995</v>
      </c>
      <c r="M2882">
        <v>303</v>
      </c>
      <c r="N2882" t="str">
        <f t="shared" si="1423"/>
        <v>RECEITAS COM ENTREGAS</v>
      </c>
      <c r="O2882">
        <v>72.489999999999995</v>
      </c>
      <c r="R2882" t="str">
        <f t="shared" si="1424"/>
        <v>RECEITAS COM ENTREGAS (303)</v>
      </c>
      <c r="S2882">
        <v>1745</v>
      </c>
      <c r="T2882">
        <v>1261</v>
      </c>
      <c r="U2882" t="s">
        <v>19</v>
      </c>
    </row>
    <row r="2883" spans="1:21">
      <c r="A2883" t="str">
        <f t="shared" si="1419"/>
        <v>04/06/2025</v>
      </c>
      <c r="B2883" t="str">
        <f t="shared" si="1425"/>
        <v>ENTRADA</v>
      </c>
      <c r="C2883" t="str">
        <f t="shared" si="1420"/>
        <v>NFSE</v>
      </c>
      <c r="D2883" t="str">
        <f>"3055"</f>
        <v>3055</v>
      </c>
      <c r="E2883" t="str">
        <f t="shared" si="1418"/>
        <v>COM</v>
      </c>
      <c r="F2883" t="str">
        <f>"DROGARIA TOTAL JUNDIAI (10177)"</f>
        <v>DROGARIA TOTAL JUNDIAI (10177)</v>
      </c>
      <c r="G2883" t="str">
        <f>"Serv.Prest. 26/05/2025 a 01/06/2025 - RPS: 824 - NFSe: 3055"</f>
        <v>Serv.Prest. 26/05/2025 a 01/06/2025 - RPS: 824 - NFSe: 3055</v>
      </c>
      <c r="H2883" t="str">
        <f t="shared" si="1421"/>
        <v>04/06/2025</v>
      </c>
      <c r="I2883" t="str">
        <f t="shared" si="1426"/>
        <v>02/06/2025</v>
      </c>
      <c r="J2883" t="str">
        <f t="shared" si="1422"/>
        <v>04/06/2025</v>
      </c>
      <c r="M2883">
        <v>303</v>
      </c>
      <c r="N2883" t="str">
        <f t="shared" si="1423"/>
        <v>RECEITAS COM ENTREGAS</v>
      </c>
      <c r="P2883">
        <v>72.489999999999995</v>
      </c>
      <c r="Q2883" t="str">
        <f>"DROGARIA TOTAL JUNDIAI (10177)"</f>
        <v>DROGARIA TOTAL JUNDIAI (10177)</v>
      </c>
      <c r="R2883" t="str">
        <f t="shared" si="1424"/>
        <v>RECEITAS COM ENTREGAS (303)</v>
      </c>
      <c r="S2883">
        <v>1745</v>
      </c>
      <c r="T2883">
        <v>1261</v>
      </c>
      <c r="U2883" t="s">
        <v>19</v>
      </c>
    </row>
    <row r="2884" spans="1:21">
      <c r="A2884" t="str">
        <f t="shared" si="1419"/>
        <v>04/06/2025</v>
      </c>
      <c r="B2884" t="str">
        <f t="shared" si="1425"/>
        <v>ENTRADA</v>
      </c>
      <c r="C2884" t="str">
        <f t="shared" si="1420"/>
        <v>NFSE</v>
      </c>
      <c r="D2884" t="str">
        <f>"3057"</f>
        <v>3057</v>
      </c>
      <c r="E2884" t="str">
        <f t="shared" si="1418"/>
        <v>COM</v>
      </c>
      <c r="F2884" t="str">
        <f>"FRAN FARMA (10124)"</f>
        <v>FRAN FARMA (10124)</v>
      </c>
      <c r="G2884" t="str">
        <f>"Serv.Prest. 26/05/2025 a 01/06/2025 - RPS: 826 - NFSe: 3057"</f>
        <v>Serv.Prest. 26/05/2025 a 01/06/2025 - RPS: 826 - NFSe: 3057</v>
      </c>
      <c r="H2884" t="str">
        <f t="shared" si="1421"/>
        <v>04/06/2025</v>
      </c>
      <c r="I2884" t="str">
        <f t="shared" si="1426"/>
        <v>02/06/2025</v>
      </c>
      <c r="J2884" t="str">
        <f t="shared" si="1422"/>
        <v>04/06/2025</v>
      </c>
      <c r="K2884">
        <v>320</v>
      </c>
      <c r="L2884">
        <v>320</v>
      </c>
      <c r="M2884">
        <v>303</v>
      </c>
      <c r="N2884" t="str">
        <f t="shared" si="1423"/>
        <v>RECEITAS COM ENTREGAS</v>
      </c>
      <c r="O2884">
        <v>320</v>
      </c>
      <c r="R2884" t="str">
        <f t="shared" si="1424"/>
        <v>RECEITAS COM ENTREGAS (303)</v>
      </c>
      <c r="S2884">
        <v>1746</v>
      </c>
      <c r="T2884">
        <v>1263</v>
      </c>
      <c r="U2884" t="s">
        <v>19</v>
      </c>
    </row>
    <row r="2885" spans="1:21">
      <c r="A2885" t="str">
        <f t="shared" si="1419"/>
        <v>04/06/2025</v>
      </c>
      <c r="B2885" t="str">
        <f t="shared" si="1425"/>
        <v>ENTRADA</v>
      </c>
      <c r="C2885" t="str">
        <f t="shared" si="1420"/>
        <v>NFSE</v>
      </c>
      <c r="D2885" t="str">
        <f>"3057"</f>
        <v>3057</v>
      </c>
      <c r="E2885" t="str">
        <f t="shared" si="1418"/>
        <v>COM</v>
      </c>
      <c r="F2885" t="str">
        <f>"FRAN FARMA (10124)"</f>
        <v>FRAN FARMA (10124)</v>
      </c>
      <c r="G2885" t="str">
        <f>"Serv.Prest. 26/05/2025 a 01/06/2025 - RPS: 826 - NFSe: 3057"</f>
        <v>Serv.Prest. 26/05/2025 a 01/06/2025 - RPS: 826 - NFSe: 3057</v>
      </c>
      <c r="H2885" t="str">
        <f t="shared" si="1421"/>
        <v>04/06/2025</v>
      </c>
      <c r="I2885" t="str">
        <f t="shared" si="1426"/>
        <v>02/06/2025</v>
      </c>
      <c r="J2885" t="str">
        <f t="shared" si="1422"/>
        <v>04/06/2025</v>
      </c>
      <c r="M2885">
        <v>303</v>
      </c>
      <c r="N2885" t="str">
        <f t="shared" si="1423"/>
        <v>RECEITAS COM ENTREGAS</v>
      </c>
      <c r="P2885">
        <v>64</v>
      </c>
      <c r="Q2885" t="str">
        <f>"FRAN FARMA (10124)"</f>
        <v>FRAN FARMA (10124)</v>
      </c>
      <c r="R2885" t="str">
        <f t="shared" si="1424"/>
        <v>RECEITAS COM ENTREGAS (303)</v>
      </c>
      <c r="S2885">
        <v>1746</v>
      </c>
      <c r="T2885">
        <v>1263</v>
      </c>
      <c r="U2885" t="s">
        <v>19</v>
      </c>
    </row>
    <row r="2886" spans="1:21">
      <c r="A2886" t="str">
        <f t="shared" si="1419"/>
        <v>04/06/2025</v>
      </c>
      <c r="B2886" t="str">
        <f t="shared" si="1425"/>
        <v>ENTRADA</v>
      </c>
      <c r="C2886" t="str">
        <f t="shared" si="1420"/>
        <v>NFSE</v>
      </c>
      <c r="D2886" t="str">
        <f>"3057"</f>
        <v>3057</v>
      </c>
      <c r="E2886" t="str">
        <f t="shared" si="1418"/>
        <v>COM</v>
      </c>
      <c r="F2886" t="str">
        <f>"FRAN FARMA (10124)"</f>
        <v>FRAN FARMA (10124)</v>
      </c>
      <c r="G2886" t="str">
        <f>"Serv.Prest. 26/05/2025 a 01/06/2025 - RPS: 826 - NFSe: 3057"</f>
        <v>Serv.Prest. 26/05/2025 a 01/06/2025 - RPS: 826 - NFSe: 3057</v>
      </c>
      <c r="H2886" t="str">
        <f t="shared" si="1421"/>
        <v>04/06/2025</v>
      </c>
      <c r="I2886" t="str">
        <f t="shared" si="1426"/>
        <v>02/06/2025</v>
      </c>
      <c r="J2886" t="str">
        <f t="shared" si="1422"/>
        <v>04/06/2025</v>
      </c>
      <c r="M2886">
        <v>303</v>
      </c>
      <c r="N2886" t="str">
        <f t="shared" si="1423"/>
        <v>RECEITAS COM ENTREGAS</v>
      </c>
      <c r="P2886">
        <v>192</v>
      </c>
      <c r="Q2886" t="str">
        <f>"FRAN FARMA LJ 2 (10131)"</f>
        <v>FRAN FARMA LJ 2 (10131)</v>
      </c>
      <c r="R2886" t="str">
        <f t="shared" si="1424"/>
        <v>RECEITAS COM ENTREGAS (303)</v>
      </c>
      <c r="S2886">
        <v>1746</v>
      </c>
      <c r="T2886">
        <v>1263</v>
      </c>
      <c r="U2886" t="s">
        <v>19</v>
      </c>
    </row>
    <row r="2887" spans="1:21">
      <c r="A2887" t="str">
        <f t="shared" si="1419"/>
        <v>04/06/2025</v>
      </c>
      <c r="B2887" t="str">
        <f t="shared" si="1425"/>
        <v>ENTRADA</v>
      </c>
      <c r="C2887" t="str">
        <f t="shared" si="1420"/>
        <v>NFSE</v>
      </c>
      <c r="D2887" t="str">
        <f>"3057"</f>
        <v>3057</v>
      </c>
      <c r="E2887" t="str">
        <f t="shared" si="1418"/>
        <v>COM</v>
      </c>
      <c r="F2887" t="str">
        <f>"FRAN FARMA (10124)"</f>
        <v>FRAN FARMA (10124)</v>
      </c>
      <c r="G2887" t="str">
        <f>"Serv.Prest. 26/05/2025 a 01/06/2025 - RPS: 826 - NFSe: 3057"</f>
        <v>Serv.Prest. 26/05/2025 a 01/06/2025 - RPS: 826 - NFSe: 3057</v>
      </c>
      <c r="H2887" t="str">
        <f t="shared" si="1421"/>
        <v>04/06/2025</v>
      </c>
      <c r="I2887" t="str">
        <f t="shared" si="1426"/>
        <v>02/06/2025</v>
      </c>
      <c r="J2887" t="str">
        <f t="shared" si="1422"/>
        <v>04/06/2025</v>
      </c>
      <c r="M2887">
        <v>303</v>
      </c>
      <c r="N2887" t="str">
        <f t="shared" si="1423"/>
        <v>RECEITAS COM ENTREGAS</v>
      </c>
      <c r="P2887">
        <v>64</v>
      </c>
      <c r="Q2887" t="str">
        <f>"FRAN FARMA LJ 3 (10132)"</f>
        <v>FRAN FARMA LJ 3 (10132)</v>
      </c>
      <c r="R2887" t="str">
        <f t="shared" si="1424"/>
        <v>RECEITAS COM ENTREGAS (303)</v>
      </c>
      <c r="S2887">
        <v>1746</v>
      </c>
      <c r="T2887">
        <v>1263</v>
      </c>
      <c r="U2887" t="s">
        <v>19</v>
      </c>
    </row>
    <row r="2888" spans="1:21">
      <c r="A2888" t="str">
        <f t="shared" si="1419"/>
        <v>04/06/2025</v>
      </c>
      <c r="B2888" t="str">
        <f t="shared" si="1425"/>
        <v>ENTRADA</v>
      </c>
      <c r="C2888" t="str">
        <f t="shared" si="1420"/>
        <v>NFSE</v>
      </c>
      <c r="D2888" t="str">
        <f>"3058"</f>
        <v>3058</v>
      </c>
      <c r="E2888" t="str">
        <f t="shared" si="1418"/>
        <v>COM</v>
      </c>
      <c r="F2888" t="str">
        <f>"ITANHANDU (10174)"</f>
        <v>ITANHANDU (10174)</v>
      </c>
      <c r="G2888" t="str">
        <f>"Serv.Prest. 26/05/2025 a 01/06/2025 - RPS: 827 - NFSe: 3058"</f>
        <v>Serv.Prest. 26/05/2025 a 01/06/2025 - RPS: 827 - NFSe: 3058</v>
      </c>
      <c r="H2888" t="str">
        <f t="shared" si="1421"/>
        <v>04/06/2025</v>
      </c>
      <c r="I2888" t="str">
        <f t="shared" si="1426"/>
        <v>02/06/2025</v>
      </c>
      <c r="J2888" t="str">
        <f t="shared" si="1422"/>
        <v>04/06/2025</v>
      </c>
      <c r="K2888">
        <v>141.06</v>
      </c>
      <c r="L2888">
        <v>141.06</v>
      </c>
      <c r="M2888">
        <v>303</v>
      </c>
      <c r="N2888" t="str">
        <f t="shared" si="1423"/>
        <v>RECEITAS COM ENTREGAS</v>
      </c>
      <c r="O2888">
        <v>141.06</v>
      </c>
      <c r="R2888" t="str">
        <f t="shared" si="1424"/>
        <v>RECEITAS COM ENTREGAS (303)</v>
      </c>
      <c r="S2888">
        <v>1747</v>
      </c>
      <c r="T2888">
        <v>1264</v>
      </c>
      <c r="U2888" t="s">
        <v>19</v>
      </c>
    </row>
    <row r="2889" spans="1:21">
      <c r="A2889" t="str">
        <f t="shared" si="1419"/>
        <v>04/06/2025</v>
      </c>
      <c r="B2889" t="str">
        <f t="shared" si="1425"/>
        <v>ENTRADA</v>
      </c>
      <c r="C2889" t="str">
        <f t="shared" si="1420"/>
        <v>NFSE</v>
      </c>
      <c r="D2889" t="str">
        <f>"3058"</f>
        <v>3058</v>
      </c>
      <c r="E2889" t="str">
        <f t="shared" si="1418"/>
        <v>COM</v>
      </c>
      <c r="F2889" t="str">
        <f>"ITANHANDU (10174)"</f>
        <v>ITANHANDU (10174)</v>
      </c>
      <c r="G2889" t="str">
        <f>"Serv.Prest. 26/05/2025 a 01/06/2025 - RPS: 827 - NFSe: 3058"</f>
        <v>Serv.Prest. 26/05/2025 a 01/06/2025 - RPS: 827 - NFSe: 3058</v>
      </c>
      <c r="H2889" t="str">
        <f t="shared" si="1421"/>
        <v>04/06/2025</v>
      </c>
      <c r="I2889" t="str">
        <f t="shared" si="1426"/>
        <v>02/06/2025</v>
      </c>
      <c r="J2889" t="str">
        <f t="shared" si="1422"/>
        <v>04/06/2025</v>
      </c>
      <c r="M2889">
        <v>303</v>
      </c>
      <c r="N2889" t="str">
        <f t="shared" si="1423"/>
        <v>RECEITAS COM ENTREGAS</v>
      </c>
      <c r="P2889">
        <v>141.06</v>
      </c>
      <c r="Q2889" t="str">
        <f>"ITANHANDU (10174)"</f>
        <v>ITANHANDU (10174)</v>
      </c>
      <c r="R2889" t="str">
        <f t="shared" si="1424"/>
        <v>RECEITAS COM ENTREGAS (303)</v>
      </c>
      <c r="S2889">
        <v>1747</v>
      </c>
      <c r="T2889">
        <v>1264</v>
      </c>
      <c r="U2889" t="s">
        <v>19</v>
      </c>
    </row>
    <row r="2890" spans="1:21">
      <c r="A2890" t="str">
        <f t="shared" si="1419"/>
        <v>04/06/2025</v>
      </c>
      <c r="B2890" t="str">
        <f t="shared" si="1425"/>
        <v>ENTRADA</v>
      </c>
      <c r="C2890" t="str">
        <f t="shared" si="1420"/>
        <v>NFSE</v>
      </c>
      <c r="D2890" t="str">
        <f>"3059"</f>
        <v>3059</v>
      </c>
      <c r="E2890" t="str">
        <f t="shared" si="1418"/>
        <v>COM</v>
      </c>
      <c r="F2890" t="str">
        <f>"PASSA QUATRO (10175)"</f>
        <v>PASSA QUATRO (10175)</v>
      </c>
      <c r="G2890" t="str">
        <f>"Serv.Prest. 26/05/2025 a 01/06/2025 - RPS: 828 - NFSe: 3059"</f>
        <v>Serv.Prest. 26/05/2025 a 01/06/2025 - RPS: 828 - NFSe: 3059</v>
      </c>
      <c r="H2890" t="str">
        <f t="shared" si="1421"/>
        <v>04/06/2025</v>
      </c>
      <c r="I2890" t="str">
        <f t="shared" si="1426"/>
        <v>02/06/2025</v>
      </c>
      <c r="J2890" t="str">
        <f t="shared" si="1422"/>
        <v>04/06/2025</v>
      </c>
      <c r="K2890">
        <v>99.3</v>
      </c>
      <c r="L2890">
        <v>99.3</v>
      </c>
      <c r="M2890">
        <v>303</v>
      </c>
      <c r="N2890" t="str">
        <f t="shared" si="1423"/>
        <v>RECEITAS COM ENTREGAS</v>
      </c>
      <c r="O2890">
        <v>99.3</v>
      </c>
      <c r="R2890" t="str">
        <f t="shared" si="1424"/>
        <v>RECEITAS COM ENTREGAS (303)</v>
      </c>
      <c r="S2890">
        <v>1748</v>
      </c>
      <c r="T2890">
        <v>1265</v>
      </c>
      <c r="U2890" t="s">
        <v>19</v>
      </c>
    </row>
    <row r="2891" spans="1:21">
      <c r="A2891" t="str">
        <f t="shared" si="1419"/>
        <v>04/06/2025</v>
      </c>
      <c r="B2891" t="str">
        <f t="shared" si="1425"/>
        <v>ENTRADA</v>
      </c>
      <c r="C2891" t="str">
        <f t="shared" si="1420"/>
        <v>NFSE</v>
      </c>
      <c r="D2891" t="str">
        <f>"3059"</f>
        <v>3059</v>
      </c>
      <c r="E2891" t="str">
        <f t="shared" si="1418"/>
        <v>COM</v>
      </c>
      <c r="F2891" t="str">
        <f>"PASSA QUATRO (10175)"</f>
        <v>PASSA QUATRO (10175)</v>
      </c>
      <c r="G2891" t="str">
        <f>"Serv.Prest. 26/05/2025 a 01/06/2025 - RPS: 828 - NFSe: 3059"</f>
        <v>Serv.Prest. 26/05/2025 a 01/06/2025 - RPS: 828 - NFSe: 3059</v>
      </c>
      <c r="H2891" t="str">
        <f t="shared" si="1421"/>
        <v>04/06/2025</v>
      </c>
      <c r="I2891" t="str">
        <f t="shared" si="1426"/>
        <v>02/06/2025</v>
      </c>
      <c r="J2891" t="str">
        <f t="shared" si="1422"/>
        <v>04/06/2025</v>
      </c>
      <c r="M2891">
        <v>303</v>
      </c>
      <c r="N2891" t="str">
        <f t="shared" si="1423"/>
        <v>RECEITAS COM ENTREGAS</v>
      </c>
      <c r="P2891">
        <v>99.3</v>
      </c>
      <c r="Q2891" t="str">
        <f>"PASSA QUATRO (10175)"</f>
        <v>PASSA QUATRO (10175)</v>
      </c>
      <c r="R2891" t="str">
        <f t="shared" si="1424"/>
        <v>RECEITAS COM ENTREGAS (303)</v>
      </c>
      <c r="S2891">
        <v>1748</v>
      </c>
      <c r="T2891">
        <v>1265</v>
      </c>
      <c r="U2891" t="s">
        <v>19</v>
      </c>
    </row>
    <row r="2892" spans="1:21">
      <c r="A2892" t="str">
        <f t="shared" si="1419"/>
        <v>04/06/2025</v>
      </c>
      <c r="B2892" t="str">
        <f t="shared" si="1425"/>
        <v>ENTRADA</v>
      </c>
      <c r="C2892" t="str">
        <f t="shared" si="1420"/>
        <v>NFSE</v>
      </c>
      <c r="D2892" t="str">
        <f>"3060"</f>
        <v>3060</v>
      </c>
      <c r="E2892" t="str">
        <f t="shared" si="1418"/>
        <v>COM</v>
      </c>
      <c r="F2892" t="str">
        <f>"JAL FARMACIA E DROGARIA LJ 2 (10138)"</f>
        <v>JAL FARMACIA E DROGARIA LJ 2 (10138)</v>
      </c>
      <c r="G2892" t="str">
        <f>"Serv.Prest. 26/05/2025 a 01/06/2025 - RPS: 829 - NFSe: 3060"</f>
        <v>Serv.Prest. 26/05/2025 a 01/06/2025 - RPS: 829 - NFSe: 3060</v>
      </c>
      <c r="H2892" t="str">
        <f t="shared" si="1421"/>
        <v>04/06/2025</v>
      </c>
      <c r="I2892" t="str">
        <f t="shared" si="1426"/>
        <v>02/06/2025</v>
      </c>
      <c r="J2892" t="str">
        <f t="shared" si="1422"/>
        <v>04/06/2025</v>
      </c>
      <c r="K2892">
        <v>272</v>
      </c>
      <c r="L2892">
        <v>272</v>
      </c>
      <c r="M2892">
        <v>303</v>
      </c>
      <c r="N2892" t="str">
        <f t="shared" si="1423"/>
        <v>RECEITAS COM ENTREGAS</v>
      </c>
      <c r="O2892">
        <v>272</v>
      </c>
      <c r="R2892" t="str">
        <f t="shared" si="1424"/>
        <v>RECEITAS COM ENTREGAS (303)</v>
      </c>
      <c r="S2892">
        <v>1749</v>
      </c>
      <c r="T2892">
        <v>1266</v>
      </c>
      <c r="U2892" t="s">
        <v>19</v>
      </c>
    </row>
    <row r="2893" spans="1:21">
      <c r="A2893" t="str">
        <f t="shared" si="1419"/>
        <v>04/06/2025</v>
      </c>
      <c r="B2893" t="str">
        <f t="shared" si="1425"/>
        <v>ENTRADA</v>
      </c>
      <c r="C2893" t="str">
        <f t="shared" si="1420"/>
        <v>NFSE</v>
      </c>
      <c r="D2893" t="str">
        <f>"3060"</f>
        <v>3060</v>
      </c>
      <c r="E2893" t="str">
        <f t="shared" si="1418"/>
        <v>COM</v>
      </c>
      <c r="F2893" t="str">
        <f>"JAL FARMACIA E DROGARIA LJ 2 (10138)"</f>
        <v>JAL FARMACIA E DROGARIA LJ 2 (10138)</v>
      </c>
      <c r="G2893" t="str">
        <f>"Serv.Prest. 26/05/2025 a 01/06/2025 - RPS: 829 - NFSe: 3060"</f>
        <v>Serv.Prest. 26/05/2025 a 01/06/2025 - RPS: 829 - NFSe: 3060</v>
      </c>
      <c r="H2893" t="str">
        <f t="shared" si="1421"/>
        <v>04/06/2025</v>
      </c>
      <c r="I2893" t="str">
        <f t="shared" si="1426"/>
        <v>02/06/2025</v>
      </c>
      <c r="J2893" t="str">
        <f t="shared" si="1422"/>
        <v>04/06/2025</v>
      </c>
      <c r="M2893">
        <v>303</v>
      </c>
      <c r="N2893" t="str">
        <f t="shared" si="1423"/>
        <v>RECEITAS COM ENTREGAS</v>
      </c>
      <c r="P2893">
        <v>272</v>
      </c>
      <c r="Q2893" t="str">
        <f>"JAL FARMACIA E DROGARIA LJ 2 (10138)"</f>
        <v>JAL FARMACIA E DROGARIA LJ 2 (10138)</v>
      </c>
      <c r="R2893" t="str">
        <f t="shared" si="1424"/>
        <v>RECEITAS COM ENTREGAS (303)</v>
      </c>
      <c r="S2893">
        <v>1749</v>
      </c>
      <c r="T2893">
        <v>1266</v>
      </c>
      <c r="U2893" t="s">
        <v>19</v>
      </c>
    </row>
    <row r="2894" spans="1:21">
      <c r="A2894" t="str">
        <f t="shared" si="1419"/>
        <v>04/06/2025</v>
      </c>
      <c r="B2894" t="str">
        <f t="shared" si="1425"/>
        <v>ENTRADA</v>
      </c>
      <c r="C2894" t="str">
        <f t="shared" si="1420"/>
        <v>NFSE</v>
      </c>
      <c r="D2894" t="str">
        <f>"3061"</f>
        <v>3061</v>
      </c>
      <c r="E2894" t="str">
        <f t="shared" si="1418"/>
        <v>COM</v>
      </c>
      <c r="F2894" t="str">
        <f>"JAL FARMACIA E DROGARIA LJ 1 (10137)"</f>
        <v>JAL FARMACIA E DROGARIA LJ 1 (10137)</v>
      </c>
      <c r="G2894" t="str">
        <f>"Serv.Prest. 26/05/2025 a 01/06/2025 - RPS: 830 - NFSe: 3061"</f>
        <v>Serv.Prest. 26/05/2025 a 01/06/2025 - RPS: 830 - NFSe: 3061</v>
      </c>
      <c r="H2894" t="str">
        <f t="shared" si="1421"/>
        <v>04/06/2025</v>
      </c>
      <c r="I2894" t="str">
        <f t="shared" si="1426"/>
        <v>02/06/2025</v>
      </c>
      <c r="J2894" t="str">
        <f t="shared" si="1422"/>
        <v>04/06/2025</v>
      </c>
      <c r="K2894">
        <v>420.8</v>
      </c>
      <c r="L2894">
        <v>420.8</v>
      </c>
      <c r="M2894">
        <v>303</v>
      </c>
      <c r="N2894" t="str">
        <f t="shared" si="1423"/>
        <v>RECEITAS COM ENTREGAS</v>
      </c>
      <c r="O2894">
        <v>420.8</v>
      </c>
      <c r="R2894" t="str">
        <f t="shared" si="1424"/>
        <v>RECEITAS COM ENTREGAS (303)</v>
      </c>
      <c r="S2894">
        <v>1750</v>
      </c>
      <c r="T2894">
        <v>1267</v>
      </c>
      <c r="U2894" t="s">
        <v>19</v>
      </c>
    </row>
    <row r="2895" spans="1:21">
      <c r="A2895" t="str">
        <f t="shared" si="1419"/>
        <v>04/06/2025</v>
      </c>
      <c r="B2895" t="str">
        <f t="shared" si="1425"/>
        <v>ENTRADA</v>
      </c>
      <c r="C2895" t="str">
        <f t="shared" si="1420"/>
        <v>NFSE</v>
      </c>
      <c r="D2895" t="str">
        <f>"3061"</f>
        <v>3061</v>
      </c>
      <c r="E2895" t="str">
        <f t="shared" si="1418"/>
        <v>COM</v>
      </c>
      <c r="F2895" t="str">
        <f>"JAL FARMACIA E DROGARIA LJ 1 (10137)"</f>
        <v>JAL FARMACIA E DROGARIA LJ 1 (10137)</v>
      </c>
      <c r="G2895" t="str">
        <f>"Serv.Prest. 26/05/2025 a 01/06/2025 - RPS: 830 - NFSe: 3061"</f>
        <v>Serv.Prest. 26/05/2025 a 01/06/2025 - RPS: 830 - NFSe: 3061</v>
      </c>
      <c r="H2895" t="str">
        <f t="shared" si="1421"/>
        <v>04/06/2025</v>
      </c>
      <c r="I2895" t="str">
        <f t="shared" si="1426"/>
        <v>02/06/2025</v>
      </c>
      <c r="J2895" t="str">
        <f t="shared" si="1422"/>
        <v>04/06/2025</v>
      </c>
      <c r="M2895">
        <v>303</v>
      </c>
      <c r="N2895" t="str">
        <f t="shared" si="1423"/>
        <v>RECEITAS COM ENTREGAS</v>
      </c>
      <c r="P2895">
        <v>420.8</v>
      </c>
      <c r="Q2895" t="str">
        <f>"JAL FARMACIA E DROGARIA LJ 1 (10137)"</f>
        <v>JAL FARMACIA E DROGARIA LJ 1 (10137)</v>
      </c>
      <c r="R2895" t="str">
        <f t="shared" si="1424"/>
        <v>RECEITAS COM ENTREGAS (303)</v>
      </c>
      <c r="S2895">
        <v>1750</v>
      </c>
      <c r="T2895">
        <v>1267</v>
      </c>
      <c r="U2895" t="s">
        <v>19</v>
      </c>
    </row>
    <row r="2896" spans="1:21">
      <c r="A2896" t="str">
        <f t="shared" si="1419"/>
        <v>04/06/2025</v>
      </c>
      <c r="B2896" t="str">
        <f t="shared" si="1425"/>
        <v>ENTRADA</v>
      </c>
      <c r="C2896" t="str">
        <f t="shared" si="1420"/>
        <v>NFSE</v>
      </c>
      <c r="D2896" t="str">
        <f>"3069"</f>
        <v>3069</v>
      </c>
      <c r="E2896" t="str">
        <f t="shared" si="1418"/>
        <v>COM</v>
      </c>
      <c r="F2896" t="str">
        <f>"DROGARIA MORENO LTDA (10171)"</f>
        <v>DROGARIA MORENO LTDA (10171)</v>
      </c>
      <c r="G2896" t="str">
        <f>"Serv.Prest. 26/05/2025 a 01/06/2025 - RPS: 838 - NFSe: 3069"</f>
        <v>Serv.Prest. 26/05/2025 a 01/06/2025 - RPS: 838 - NFSe: 3069</v>
      </c>
      <c r="H2896" t="str">
        <f t="shared" si="1421"/>
        <v>04/06/2025</v>
      </c>
      <c r="I2896" t="str">
        <f>("03/06/2025")</f>
        <v>03/06/2025</v>
      </c>
      <c r="J2896" t="str">
        <f t="shared" si="1422"/>
        <v>04/06/2025</v>
      </c>
      <c r="K2896">
        <v>323.10000000000002</v>
      </c>
      <c r="L2896">
        <v>323.10000000000002</v>
      </c>
      <c r="M2896">
        <v>303</v>
      </c>
      <c r="N2896" t="str">
        <f t="shared" si="1423"/>
        <v>RECEITAS COM ENTREGAS</v>
      </c>
      <c r="O2896">
        <v>323.10000000000002</v>
      </c>
      <c r="R2896" t="str">
        <f t="shared" si="1424"/>
        <v>RECEITAS COM ENTREGAS (303)</v>
      </c>
      <c r="S2896">
        <v>1751</v>
      </c>
      <c r="T2896">
        <v>1284</v>
      </c>
      <c r="U2896" t="s">
        <v>19</v>
      </c>
    </row>
    <row r="2897" spans="1:21">
      <c r="A2897" t="str">
        <f t="shared" ref="A2897:A2911" si="1427">("04/06/2025")</f>
        <v>04/06/2025</v>
      </c>
      <c r="B2897" t="str">
        <f t="shared" si="1425"/>
        <v>ENTRADA</v>
      </c>
      <c r="C2897" t="str">
        <f t="shared" si="1420"/>
        <v>NFSE</v>
      </c>
      <c r="D2897" t="str">
        <f>"3069"</f>
        <v>3069</v>
      </c>
      <c r="E2897" t="str">
        <f t="shared" si="1418"/>
        <v>COM</v>
      </c>
      <c r="F2897" t="str">
        <f>"DROGARIA MORENO LTDA (10171)"</f>
        <v>DROGARIA MORENO LTDA (10171)</v>
      </c>
      <c r="G2897" t="str">
        <f>"Serv.Prest. 26/05/2025 a 01/06/2025 - RPS: 838 - NFSe: 3069"</f>
        <v>Serv.Prest. 26/05/2025 a 01/06/2025 - RPS: 838 - NFSe: 3069</v>
      </c>
      <c r="H2897" t="str">
        <f t="shared" ref="H2897:H2911" si="1428">("04/06/2025")</f>
        <v>04/06/2025</v>
      </c>
      <c r="I2897" t="str">
        <f>("03/06/2025")</f>
        <v>03/06/2025</v>
      </c>
      <c r="J2897" t="str">
        <f t="shared" ref="J2897:J2911" si="1429">("04/06/2025")</f>
        <v>04/06/2025</v>
      </c>
      <c r="M2897">
        <v>303</v>
      </c>
      <c r="N2897" t="str">
        <f t="shared" si="1423"/>
        <v>RECEITAS COM ENTREGAS</v>
      </c>
      <c r="P2897">
        <v>323.10000000000002</v>
      </c>
      <c r="Q2897" t="str">
        <f>"DROGARIA MORENO LTDA (10171)"</f>
        <v>DROGARIA MORENO LTDA (10171)</v>
      </c>
      <c r="R2897" t="str">
        <f t="shared" si="1424"/>
        <v>RECEITAS COM ENTREGAS (303)</v>
      </c>
      <c r="S2897">
        <v>1751</v>
      </c>
      <c r="T2897">
        <v>1284</v>
      </c>
      <c r="U2897" t="s">
        <v>19</v>
      </c>
    </row>
    <row r="2898" spans="1:21">
      <c r="A2898" t="str">
        <f t="shared" si="1427"/>
        <v>04/06/2025</v>
      </c>
      <c r="B2898" t="str">
        <f t="shared" ref="B2898:B2913" si="1430">"SAÍDA"</f>
        <v>SAÍDA</v>
      </c>
      <c r="C2898" t="str">
        <f t="shared" ref="C2898:C2911" si="1431">"BOLETO"</f>
        <v>BOLETO</v>
      </c>
      <c r="D2898" t="str">
        <f t="shared" ref="D2898:D2911" si="1432">"04062517"</f>
        <v>04062517</v>
      </c>
      <c r="E2898" t="str">
        <f t="shared" si="1418"/>
        <v>COM</v>
      </c>
      <c r="F2898" t="str">
        <f t="shared" ref="F2898:F2911" si="1433">"CORA SOCIEDADE DE CREDITO, FINANCIAMENTO E INVESTIMENTO (20035)"</f>
        <v>CORA SOCIEDADE DE CREDITO, FINANCIAMENTO E INVESTIMENTO (20035)</v>
      </c>
      <c r="G2898" t="str">
        <f t="shared" ref="G2898:G2911" si="1434">"TAXA BOLETO COMPENSADO"</f>
        <v>TAXA BOLETO COMPENSADO</v>
      </c>
      <c r="H2898" t="str">
        <f t="shared" si="1428"/>
        <v>04/06/2025</v>
      </c>
      <c r="I2898" t="str">
        <f t="shared" ref="I2898:I2911" si="1435">("04/06/2025")</f>
        <v>04/06/2025</v>
      </c>
      <c r="J2898" t="str">
        <f t="shared" si="1429"/>
        <v>04/06/2025</v>
      </c>
      <c r="K2898">
        <v>1.7</v>
      </c>
      <c r="L2898">
        <v>1.7</v>
      </c>
      <c r="M2898">
        <v>401</v>
      </c>
      <c r="N2898" t="str">
        <f t="shared" ref="N2898:N2911" si="1436">"IOF/JUROS/DESP.FINANCEIRA"</f>
        <v>IOF/JUROS/DESP.FINANCEIRA</v>
      </c>
      <c r="O2898">
        <v>1.7</v>
      </c>
      <c r="R2898" t="str">
        <f t="shared" ref="R2898:R2911" si="1437">"BANCO CORA (102)"</f>
        <v>BANCO CORA (102)</v>
      </c>
      <c r="S2898">
        <v>1752</v>
      </c>
      <c r="T2898">
        <v>1297</v>
      </c>
      <c r="U2898" t="s">
        <v>19</v>
      </c>
    </row>
    <row r="2899" spans="1:21">
      <c r="A2899" t="str">
        <f t="shared" si="1427"/>
        <v>04/06/2025</v>
      </c>
      <c r="B2899" t="str">
        <f t="shared" si="1430"/>
        <v>SAÍDA</v>
      </c>
      <c r="C2899" t="str">
        <f t="shared" si="1431"/>
        <v>BOLETO</v>
      </c>
      <c r="D2899" t="str">
        <f t="shared" si="1432"/>
        <v>04062517</v>
      </c>
      <c r="E2899" t="str">
        <f t="shared" si="1418"/>
        <v>COM</v>
      </c>
      <c r="F2899" t="str">
        <f t="shared" si="1433"/>
        <v>CORA SOCIEDADE DE CREDITO, FINANCIAMENTO E INVESTIMENTO (20035)</v>
      </c>
      <c r="G2899" t="str">
        <f t="shared" si="1434"/>
        <v>TAXA BOLETO COMPENSADO</v>
      </c>
      <c r="H2899" t="str">
        <f t="shared" si="1428"/>
        <v>04/06/2025</v>
      </c>
      <c r="I2899" t="str">
        <f t="shared" si="1435"/>
        <v>04/06/2025</v>
      </c>
      <c r="J2899" t="str">
        <f t="shared" si="1429"/>
        <v>04/06/2025</v>
      </c>
      <c r="K2899">
        <v>1.7</v>
      </c>
      <c r="L2899">
        <v>1.7</v>
      </c>
      <c r="M2899">
        <v>401</v>
      </c>
      <c r="N2899" t="str">
        <f t="shared" si="1436"/>
        <v>IOF/JUROS/DESP.FINANCEIRA</v>
      </c>
      <c r="O2899">
        <v>1.7</v>
      </c>
      <c r="R2899" t="str">
        <f t="shared" si="1437"/>
        <v>BANCO CORA (102)</v>
      </c>
      <c r="S2899">
        <v>1753</v>
      </c>
      <c r="T2899">
        <v>1298</v>
      </c>
      <c r="U2899" t="s">
        <v>19</v>
      </c>
    </row>
    <row r="2900" spans="1:21">
      <c r="A2900" t="str">
        <f t="shared" si="1427"/>
        <v>04/06/2025</v>
      </c>
      <c r="B2900" t="str">
        <f t="shared" si="1430"/>
        <v>SAÍDA</v>
      </c>
      <c r="C2900" t="str">
        <f t="shared" si="1431"/>
        <v>BOLETO</v>
      </c>
      <c r="D2900" t="str">
        <f t="shared" si="1432"/>
        <v>04062517</v>
      </c>
      <c r="E2900" t="str">
        <f t="shared" si="1418"/>
        <v>COM</v>
      </c>
      <c r="F2900" t="str">
        <f t="shared" si="1433"/>
        <v>CORA SOCIEDADE DE CREDITO, FINANCIAMENTO E INVESTIMENTO (20035)</v>
      </c>
      <c r="G2900" t="str">
        <f t="shared" si="1434"/>
        <v>TAXA BOLETO COMPENSADO</v>
      </c>
      <c r="H2900" t="str">
        <f t="shared" si="1428"/>
        <v>04/06/2025</v>
      </c>
      <c r="I2900" t="str">
        <f t="shared" si="1435"/>
        <v>04/06/2025</v>
      </c>
      <c r="J2900" t="str">
        <f t="shared" si="1429"/>
        <v>04/06/2025</v>
      </c>
      <c r="K2900">
        <v>1.7</v>
      </c>
      <c r="L2900">
        <v>1.7</v>
      </c>
      <c r="M2900">
        <v>401</v>
      </c>
      <c r="N2900" t="str">
        <f t="shared" si="1436"/>
        <v>IOF/JUROS/DESP.FINANCEIRA</v>
      </c>
      <c r="O2900">
        <v>1.7</v>
      </c>
      <c r="R2900" t="str">
        <f t="shared" si="1437"/>
        <v>BANCO CORA (102)</v>
      </c>
      <c r="S2900">
        <v>1754</v>
      </c>
      <c r="T2900">
        <v>1299</v>
      </c>
      <c r="U2900" t="s">
        <v>19</v>
      </c>
    </row>
    <row r="2901" spans="1:21">
      <c r="A2901" t="str">
        <f t="shared" si="1427"/>
        <v>04/06/2025</v>
      </c>
      <c r="B2901" t="str">
        <f t="shared" si="1430"/>
        <v>SAÍDA</v>
      </c>
      <c r="C2901" t="str">
        <f t="shared" si="1431"/>
        <v>BOLETO</v>
      </c>
      <c r="D2901" t="str">
        <f t="shared" si="1432"/>
        <v>04062517</v>
      </c>
      <c r="E2901" t="str">
        <f t="shared" si="1418"/>
        <v>COM</v>
      </c>
      <c r="F2901" t="str">
        <f t="shared" si="1433"/>
        <v>CORA SOCIEDADE DE CREDITO, FINANCIAMENTO E INVESTIMENTO (20035)</v>
      </c>
      <c r="G2901" t="str">
        <f t="shared" si="1434"/>
        <v>TAXA BOLETO COMPENSADO</v>
      </c>
      <c r="H2901" t="str">
        <f t="shared" si="1428"/>
        <v>04/06/2025</v>
      </c>
      <c r="I2901" t="str">
        <f t="shared" si="1435"/>
        <v>04/06/2025</v>
      </c>
      <c r="J2901" t="str">
        <f t="shared" si="1429"/>
        <v>04/06/2025</v>
      </c>
      <c r="K2901">
        <v>1.7</v>
      </c>
      <c r="L2901">
        <v>1.7</v>
      </c>
      <c r="M2901">
        <v>401</v>
      </c>
      <c r="N2901" t="str">
        <f t="shared" si="1436"/>
        <v>IOF/JUROS/DESP.FINANCEIRA</v>
      </c>
      <c r="O2901">
        <v>1.7</v>
      </c>
      <c r="R2901" t="str">
        <f t="shared" si="1437"/>
        <v>BANCO CORA (102)</v>
      </c>
      <c r="S2901">
        <v>1755</v>
      </c>
      <c r="T2901">
        <v>1300</v>
      </c>
      <c r="U2901" t="s">
        <v>19</v>
      </c>
    </row>
    <row r="2902" spans="1:21">
      <c r="A2902" t="str">
        <f t="shared" si="1427"/>
        <v>04/06/2025</v>
      </c>
      <c r="B2902" t="str">
        <f t="shared" si="1430"/>
        <v>SAÍDA</v>
      </c>
      <c r="C2902" t="str">
        <f t="shared" si="1431"/>
        <v>BOLETO</v>
      </c>
      <c r="D2902" t="str">
        <f t="shared" si="1432"/>
        <v>04062517</v>
      </c>
      <c r="E2902" t="str">
        <f t="shared" si="1418"/>
        <v>COM</v>
      </c>
      <c r="F2902" t="str">
        <f t="shared" si="1433"/>
        <v>CORA SOCIEDADE DE CREDITO, FINANCIAMENTO E INVESTIMENTO (20035)</v>
      </c>
      <c r="G2902" t="str">
        <f t="shared" si="1434"/>
        <v>TAXA BOLETO COMPENSADO</v>
      </c>
      <c r="H2902" t="str">
        <f t="shared" si="1428"/>
        <v>04/06/2025</v>
      </c>
      <c r="I2902" t="str">
        <f t="shared" si="1435"/>
        <v>04/06/2025</v>
      </c>
      <c r="J2902" t="str">
        <f t="shared" si="1429"/>
        <v>04/06/2025</v>
      </c>
      <c r="K2902">
        <v>1.7</v>
      </c>
      <c r="L2902">
        <v>1.7</v>
      </c>
      <c r="M2902">
        <v>401</v>
      </c>
      <c r="N2902" t="str">
        <f t="shared" si="1436"/>
        <v>IOF/JUROS/DESP.FINANCEIRA</v>
      </c>
      <c r="O2902">
        <v>1.7</v>
      </c>
      <c r="R2902" t="str">
        <f t="shared" si="1437"/>
        <v>BANCO CORA (102)</v>
      </c>
      <c r="S2902">
        <v>1756</v>
      </c>
      <c r="T2902">
        <v>1301</v>
      </c>
      <c r="U2902" t="s">
        <v>19</v>
      </c>
    </row>
    <row r="2903" spans="1:21">
      <c r="A2903" t="str">
        <f t="shared" si="1427"/>
        <v>04/06/2025</v>
      </c>
      <c r="B2903" t="str">
        <f t="shared" si="1430"/>
        <v>SAÍDA</v>
      </c>
      <c r="C2903" t="str">
        <f t="shared" si="1431"/>
        <v>BOLETO</v>
      </c>
      <c r="D2903" t="str">
        <f t="shared" si="1432"/>
        <v>04062517</v>
      </c>
      <c r="E2903" t="str">
        <f t="shared" si="1418"/>
        <v>COM</v>
      </c>
      <c r="F2903" t="str">
        <f t="shared" si="1433"/>
        <v>CORA SOCIEDADE DE CREDITO, FINANCIAMENTO E INVESTIMENTO (20035)</v>
      </c>
      <c r="G2903" t="str">
        <f t="shared" si="1434"/>
        <v>TAXA BOLETO COMPENSADO</v>
      </c>
      <c r="H2903" t="str">
        <f t="shared" si="1428"/>
        <v>04/06/2025</v>
      </c>
      <c r="I2903" t="str">
        <f t="shared" si="1435"/>
        <v>04/06/2025</v>
      </c>
      <c r="J2903" t="str">
        <f t="shared" si="1429"/>
        <v>04/06/2025</v>
      </c>
      <c r="K2903">
        <v>1.7</v>
      </c>
      <c r="L2903">
        <v>1.7</v>
      </c>
      <c r="M2903">
        <v>401</v>
      </c>
      <c r="N2903" t="str">
        <f t="shared" si="1436"/>
        <v>IOF/JUROS/DESP.FINANCEIRA</v>
      </c>
      <c r="O2903">
        <v>1.7</v>
      </c>
      <c r="R2903" t="str">
        <f t="shared" si="1437"/>
        <v>BANCO CORA (102)</v>
      </c>
      <c r="S2903">
        <v>1757</v>
      </c>
      <c r="T2903">
        <v>1302</v>
      </c>
      <c r="U2903" t="s">
        <v>19</v>
      </c>
    </row>
    <row r="2904" spans="1:21">
      <c r="A2904" t="str">
        <f t="shared" si="1427"/>
        <v>04/06/2025</v>
      </c>
      <c r="B2904" t="str">
        <f t="shared" si="1430"/>
        <v>SAÍDA</v>
      </c>
      <c r="C2904" t="str">
        <f t="shared" si="1431"/>
        <v>BOLETO</v>
      </c>
      <c r="D2904" t="str">
        <f t="shared" si="1432"/>
        <v>04062517</v>
      </c>
      <c r="E2904" t="str">
        <f t="shared" si="1418"/>
        <v>COM</v>
      </c>
      <c r="F2904" t="str">
        <f t="shared" si="1433"/>
        <v>CORA SOCIEDADE DE CREDITO, FINANCIAMENTO E INVESTIMENTO (20035)</v>
      </c>
      <c r="G2904" t="str">
        <f t="shared" si="1434"/>
        <v>TAXA BOLETO COMPENSADO</v>
      </c>
      <c r="H2904" t="str">
        <f t="shared" si="1428"/>
        <v>04/06/2025</v>
      </c>
      <c r="I2904" t="str">
        <f t="shared" si="1435"/>
        <v>04/06/2025</v>
      </c>
      <c r="J2904" t="str">
        <f t="shared" si="1429"/>
        <v>04/06/2025</v>
      </c>
      <c r="K2904">
        <v>1.7</v>
      </c>
      <c r="L2904">
        <v>1.7</v>
      </c>
      <c r="M2904">
        <v>401</v>
      </c>
      <c r="N2904" t="str">
        <f t="shared" si="1436"/>
        <v>IOF/JUROS/DESP.FINANCEIRA</v>
      </c>
      <c r="O2904">
        <v>1.7</v>
      </c>
      <c r="R2904" t="str">
        <f t="shared" si="1437"/>
        <v>BANCO CORA (102)</v>
      </c>
      <c r="S2904">
        <v>1758</v>
      </c>
      <c r="T2904">
        <v>1303</v>
      </c>
      <c r="U2904" t="s">
        <v>19</v>
      </c>
    </row>
    <row r="2905" spans="1:21">
      <c r="A2905" t="str">
        <f t="shared" si="1427"/>
        <v>04/06/2025</v>
      </c>
      <c r="B2905" t="str">
        <f t="shared" si="1430"/>
        <v>SAÍDA</v>
      </c>
      <c r="C2905" t="str">
        <f t="shared" si="1431"/>
        <v>BOLETO</v>
      </c>
      <c r="D2905" t="str">
        <f t="shared" si="1432"/>
        <v>04062517</v>
      </c>
      <c r="E2905" t="str">
        <f t="shared" si="1418"/>
        <v>COM</v>
      </c>
      <c r="F2905" t="str">
        <f t="shared" si="1433"/>
        <v>CORA SOCIEDADE DE CREDITO, FINANCIAMENTO E INVESTIMENTO (20035)</v>
      </c>
      <c r="G2905" t="str">
        <f t="shared" si="1434"/>
        <v>TAXA BOLETO COMPENSADO</v>
      </c>
      <c r="H2905" t="str">
        <f t="shared" si="1428"/>
        <v>04/06/2025</v>
      </c>
      <c r="I2905" t="str">
        <f t="shared" si="1435"/>
        <v>04/06/2025</v>
      </c>
      <c r="J2905" t="str">
        <f t="shared" si="1429"/>
        <v>04/06/2025</v>
      </c>
      <c r="K2905">
        <v>1.7</v>
      </c>
      <c r="L2905">
        <v>1.7</v>
      </c>
      <c r="M2905">
        <v>401</v>
      </c>
      <c r="N2905" t="str">
        <f t="shared" si="1436"/>
        <v>IOF/JUROS/DESP.FINANCEIRA</v>
      </c>
      <c r="O2905">
        <v>1.7</v>
      </c>
      <c r="R2905" t="str">
        <f t="shared" si="1437"/>
        <v>BANCO CORA (102)</v>
      </c>
      <c r="S2905">
        <v>1759</v>
      </c>
      <c r="T2905">
        <v>1304</v>
      </c>
      <c r="U2905" t="s">
        <v>19</v>
      </c>
    </row>
    <row r="2906" spans="1:21">
      <c r="A2906" t="str">
        <f t="shared" si="1427"/>
        <v>04/06/2025</v>
      </c>
      <c r="B2906" t="str">
        <f t="shared" si="1430"/>
        <v>SAÍDA</v>
      </c>
      <c r="C2906" t="str">
        <f t="shared" si="1431"/>
        <v>BOLETO</v>
      </c>
      <c r="D2906" t="str">
        <f t="shared" si="1432"/>
        <v>04062517</v>
      </c>
      <c r="E2906" t="str">
        <f t="shared" si="1418"/>
        <v>COM</v>
      </c>
      <c r="F2906" t="str">
        <f t="shared" si="1433"/>
        <v>CORA SOCIEDADE DE CREDITO, FINANCIAMENTO E INVESTIMENTO (20035)</v>
      </c>
      <c r="G2906" t="str">
        <f t="shared" si="1434"/>
        <v>TAXA BOLETO COMPENSADO</v>
      </c>
      <c r="H2906" t="str">
        <f t="shared" si="1428"/>
        <v>04/06/2025</v>
      </c>
      <c r="I2906" t="str">
        <f t="shared" si="1435"/>
        <v>04/06/2025</v>
      </c>
      <c r="J2906" t="str">
        <f t="shared" si="1429"/>
        <v>04/06/2025</v>
      </c>
      <c r="K2906">
        <v>1.7</v>
      </c>
      <c r="L2906">
        <v>1.7</v>
      </c>
      <c r="M2906">
        <v>401</v>
      </c>
      <c r="N2906" t="str">
        <f t="shared" si="1436"/>
        <v>IOF/JUROS/DESP.FINANCEIRA</v>
      </c>
      <c r="O2906">
        <v>1.7</v>
      </c>
      <c r="R2906" t="str">
        <f t="shared" si="1437"/>
        <v>BANCO CORA (102)</v>
      </c>
      <c r="S2906">
        <v>1760</v>
      </c>
      <c r="T2906">
        <v>1305</v>
      </c>
      <c r="U2906" t="s">
        <v>19</v>
      </c>
    </row>
    <row r="2907" spans="1:21">
      <c r="A2907" t="str">
        <f t="shared" si="1427"/>
        <v>04/06/2025</v>
      </c>
      <c r="B2907" t="str">
        <f t="shared" si="1430"/>
        <v>SAÍDA</v>
      </c>
      <c r="C2907" t="str">
        <f t="shared" si="1431"/>
        <v>BOLETO</v>
      </c>
      <c r="D2907" t="str">
        <f t="shared" si="1432"/>
        <v>04062517</v>
      </c>
      <c r="E2907" t="str">
        <f t="shared" si="1418"/>
        <v>COM</v>
      </c>
      <c r="F2907" t="str">
        <f t="shared" si="1433"/>
        <v>CORA SOCIEDADE DE CREDITO, FINANCIAMENTO E INVESTIMENTO (20035)</v>
      </c>
      <c r="G2907" t="str">
        <f t="shared" si="1434"/>
        <v>TAXA BOLETO COMPENSADO</v>
      </c>
      <c r="H2907" t="str">
        <f t="shared" si="1428"/>
        <v>04/06/2025</v>
      </c>
      <c r="I2907" t="str">
        <f t="shared" si="1435"/>
        <v>04/06/2025</v>
      </c>
      <c r="J2907" t="str">
        <f t="shared" si="1429"/>
        <v>04/06/2025</v>
      </c>
      <c r="K2907">
        <v>1.7</v>
      </c>
      <c r="L2907">
        <v>1.7</v>
      </c>
      <c r="M2907">
        <v>401</v>
      </c>
      <c r="N2907" t="str">
        <f t="shared" si="1436"/>
        <v>IOF/JUROS/DESP.FINANCEIRA</v>
      </c>
      <c r="O2907">
        <v>1.7</v>
      </c>
      <c r="R2907" t="str">
        <f t="shared" si="1437"/>
        <v>BANCO CORA (102)</v>
      </c>
      <c r="S2907">
        <v>1761</v>
      </c>
      <c r="T2907">
        <v>1306</v>
      </c>
      <c r="U2907" t="s">
        <v>19</v>
      </c>
    </row>
    <row r="2908" spans="1:21">
      <c r="A2908" t="str">
        <f t="shared" si="1427"/>
        <v>04/06/2025</v>
      </c>
      <c r="B2908" t="str">
        <f t="shared" si="1430"/>
        <v>SAÍDA</v>
      </c>
      <c r="C2908" t="str">
        <f t="shared" si="1431"/>
        <v>BOLETO</v>
      </c>
      <c r="D2908" t="str">
        <f t="shared" si="1432"/>
        <v>04062517</v>
      </c>
      <c r="E2908" t="str">
        <f t="shared" si="1418"/>
        <v>COM</v>
      </c>
      <c r="F2908" t="str">
        <f t="shared" si="1433"/>
        <v>CORA SOCIEDADE DE CREDITO, FINANCIAMENTO E INVESTIMENTO (20035)</v>
      </c>
      <c r="G2908" t="str">
        <f t="shared" si="1434"/>
        <v>TAXA BOLETO COMPENSADO</v>
      </c>
      <c r="H2908" t="str">
        <f t="shared" si="1428"/>
        <v>04/06/2025</v>
      </c>
      <c r="I2908" t="str">
        <f t="shared" si="1435"/>
        <v>04/06/2025</v>
      </c>
      <c r="J2908" t="str">
        <f t="shared" si="1429"/>
        <v>04/06/2025</v>
      </c>
      <c r="K2908">
        <v>1.7</v>
      </c>
      <c r="L2908">
        <v>1.7</v>
      </c>
      <c r="M2908">
        <v>401</v>
      </c>
      <c r="N2908" t="str">
        <f t="shared" si="1436"/>
        <v>IOF/JUROS/DESP.FINANCEIRA</v>
      </c>
      <c r="O2908">
        <v>1.7</v>
      </c>
      <c r="R2908" t="str">
        <f t="shared" si="1437"/>
        <v>BANCO CORA (102)</v>
      </c>
      <c r="S2908">
        <v>1762</v>
      </c>
      <c r="T2908">
        <v>1307</v>
      </c>
      <c r="U2908" t="s">
        <v>19</v>
      </c>
    </row>
    <row r="2909" spans="1:21">
      <c r="A2909" t="str">
        <f t="shared" si="1427"/>
        <v>04/06/2025</v>
      </c>
      <c r="B2909" t="str">
        <f t="shared" si="1430"/>
        <v>SAÍDA</v>
      </c>
      <c r="C2909" t="str">
        <f t="shared" si="1431"/>
        <v>BOLETO</v>
      </c>
      <c r="D2909" t="str">
        <f t="shared" si="1432"/>
        <v>04062517</v>
      </c>
      <c r="E2909" t="str">
        <f t="shared" si="1418"/>
        <v>COM</v>
      </c>
      <c r="F2909" t="str">
        <f t="shared" si="1433"/>
        <v>CORA SOCIEDADE DE CREDITO, FINANCIAMENTO E INVESTIMENTO (20035)</v>
      </c>
      <c r="G2909" t="str">
        <f t="shared" si="1434"/>
        <v>TAXA BOLETO COMPENSADO</v>
      </c>
      <c r="H2909" t="str">
        <f t="shared" si="1428"/>
        <v>04/06/2025</v>
      </c>
      <c r="I2909" t="str">
        <f t="shared" si="1435"/>
        <v>04/06/2025</v>
      </c>
      <c r="J2909" t="str">
        <f t="shared" si="1429"/>
        <v>04/06/2025</v>
      </c>
      <c r="K2909">
        <v>1.7</v>
      </c>
      <c r="L2909">
        <v>1.7</v>
      </c>
      <c r="M2909">
        <v>401</v>
      </c>
      <c r="N2909" t="str">
        <f t="shared" si="1436"/>
        <v>IOF/JUROS/DESP.FINANCEIRA</v>
      </c>
      <c r="O2909">
        <v>1.7</v>
      </c>
      <c r="R2909" t="str">
        <f t="shared" si="1437"/>
        <v>BANCO CORA (102)</v>
      </c>
      <c r="S2909">
        <v>1763</v>
      </c>
      <c r="T2909">
        <v>1308</v>
      </c>
      <c r="U2909" t="s">
        <v>19</v>
      </c>
    </row>
    <row r="2910" spans="1:21">
      <c r="A2910" t="str">
        <f t="shared" si="1427"/>
        <v>04/06/2025</v>
      </c>
      <c r="B2910" t="str">
        <f t="shared" si="1430"/>
        <v>SAÍDA</v>
      </c>
      <c r="C2910" t="str">
        <f t="shared" si="1431"/>
        <v>BOLETO</v>
      </c>
      <c r="D2910" t="str">
        <f t="shared" si="1432"/>
        <v>04062517</v>
      </c>
      <c r="E2910" t="str">
        <f t="shared" si="1418"/>
        <v>COM</v>
      </c>
      <c r="F2910" t="str">
        <f t="shared" si="1433"/>
        <v>CORA SOCIEDADE DE CREDITO, FINANCIAMENTO E INVESTIMENTO (20035)</v>
      </c>
      <c r="G2910" t="str">
        <f t="shared" si="1434"/>
        <v>TAXA BOLETO COMPENSADO</v>
      </c>
      <c r="H2910" t="str">
        <f t="shared" si="1428"/>
        <v>04/06/2025</v>
      </c>
      <c r="I2910" t="str">
        <f t="shared" si="1435"/>
        <v>04/06/2025</v>
      </c>
      <c r="J2910" t="str">
        <f t="shared" si="1429"/>
        <v>04/06/2025</v>
      </c>
      <c r="K2910">
        <v>1.7</v>
      </c>
      <c r="L2910">
        <v>1.7</v>
      </c>
      <c r="M2910">
        <v>401</v>
      </c>
      <c r="N2910" t="str">
        <f t="shared" si="1436"/>
        <v>IOF/JUROS/DESP.FINANCEIRA</v>
      </c>
      <c r="O2910">
        <v>1.7</v>
      </c>
      <c r="R2910" t="str">
        <f t="shared" si="1437"/>
        <v>BANCO CORA (102)</v>
      </c>
      <c r="S2910">
        <v>1764</v>
      </c>
      <c r="T2910">
        <v>1309</v>
      </c>
      <c r="U2910" t="s">
        <v>19</v>
      </c>
    </row>
    <row r="2911" spans="1:21">
      <c r="A2911" t="str">
        <f t="shared" si="1427"/>
        <v>04/06/2025</v>
      </c>
      <c r="B2911" t="str">
        <f t="shared" si="1430"/>
        <v>SAÍDA</v>
      </c>
      <c r="C2911" t="str">
        <f t="shared" si="1431"/>
        <v>BOLETO</v>
      </c>
      <c r="D2911" t="str">
        <f t="shared" si="1432"/>
        <v>04062517</v>
      </c>
      <c r="E2911" t="str">
        <f t="shared" si="1418"/>
        <v>COM</v>
      </c>
      <c r="F2911" t="str">
        <f t="shared" si="1433"/>
        <v>CORA SOCIEDADE DE CREDITO, FINANCIAMENTO E INVESTIMENTO (20035)</v>
      </c>
      <c r="G2911" t="str">
        <f t="shared" si="1434"/>
        <v>TAXA BOLETO COMPENSADO</v>
      </c>
      <c r="H2911" t="str">
        <f t="shared" si="1428"/>
        <v>04/06/2025</v>
      </c>
      <c r="I2911" t="str">
        <f t="shared" si="1435"/>
        <v>04/06/2025</v>
      </c>
      <c r="J2911" t="str">
        <f t="shared" si="1429"/>
        <v>04/06/2025</v>
      </c>
      <c r="K2911">
        <v>1.7</v>
      </c>
      <c r="L2911">
        <v>1.7</v>
      </c>
      <c r="M2911">
        <v>401</v>
      </c>
      <c r="N2911" t="str">
        <f t="shared" si="1436"/>
        <v>IOF/JUROS/DESP.FINANCEIRA</v>
      </c>
      <c r="O2911">
        <v>1.7</v>
      </c>
      <c r="R2911" t="str">
        <f t="shared" si="1437"/>
        <v>BANCO CORA (102)</v>
      </c>
      <c r="S2911">
        <v>1765</v>
      </c>
      <c r="T2911">
        <v>1310</v>
      </c>
      <c r="U2911" t="s">
        <v>19</v>
      </c>
    </row>
    <row r="2912" spans="1:21">
      <c r="A2912" t="str">
        <f t="shared" ref="A2912:A2949" si="1438">("05/06/2025")</f>
        <v>05/06/2025</v>
      </c>
      <c r="B2912" t="str">
        <f t="shared" si="1430"/>
        <v>SAÍDA</v>
      </c>
      <c r="C2912" t="str">
        <f>"PIX"</f>
        <v>PIX</v>
      </c>
      <c r="D2912" t="str">
        <f>"0724"</f>
        <v>0724</v>
      </c>
      <c r="E2912" t="str">
        <f t="shared" si="1418"/>
        <v>COM</v>
      </c>
      <c r="F2912" t="str">
        <f>"MARCELO REZENDE ARANTES (20014)"</f>
        <v>MARCELO REZENDE ARANTES (20014)</v>
      </c>
      <c r="G2912" t="str">
        <f>"REF. PRO-LABORE MES 07/2024"</f>
        <v>REF. PRO-LABORE MES 07/2024</v>
      </c>
      <c r="H2912" t="str">
        <f>("05/06/2025")</f>
        <v>05/06/2025</v>
      </c>
      <c r="I2912" t="str">
        <f>("01/01/2025")</f>
        <v>01/01/2025</v>
      </c>
      <c r="J2912" t="str">
        <f t="shared" ref="J2912:J2949" si="1439">("05/06/2025")</f>
        <v>05/06/2025</v>
      </c>
      <c r="K2912">
        <v>492.13</v>
      </c>
      <c r="L2912">
        <v>492.13</v>
      </c>
      <c r="M2912">
        <v>108</v>
      </c>
      <c r="N2912" t="str">
        <f>"PRO LABORE - MARCELO"</f>
        <v>PRO LABORE - MARCELO</v>
      </c>
      <c r="O2912">
        <v>492.13</v>
      </c>
      <c r="R2912" t="str">
        <f>"CAIXA MOVIMENTAÇÃO OPERACIONAL (132)"</f>
        <v>CAIXA MOVIMENTAÇÃO OPERACIONAL (132)</v>
      </c>
      <c r="S2912">
        <v>1733</v>
      </c>
      <c r="T2912">
        <v>1296</v>
      </c>
      <c r="U2912" t="s">
        <v>25</v>
      </c>
    </row>
    <row r="2913" spans="1:21">
      <c r="A2913" t="str">
        <f t="shared" si="1438"/>
        <v>05/06/2025</v>
      </c>
      <c r="B2913" t="str">
        <f t="shared" si="1430"/>
        <v>SAÍDA</v>
      </c>
      <c r="C2913" t="str">
        <f>"PIX"</f>
        <v>PIX</v>
      </c>
      <c r="D2913" t="str">
        <f>"0724"</f>
        <v>0724</v>
      </c>
      <c r="E2913" t="str">
        <f t="shared" si="1418"/>
        <v>COM</v>
      </c>
      <c r="F2913" t="str">
        <f>"MARCELO REZENDE ARANTES (20014)"</f>
        <v>MARCELO REZENDE ARANTES (20014)</v>
      </c>
      <c r="G2913" t="str">
        <f>"REF. PRO-LABORE MES 07/2024"</f>
        <v>REF. PRO-LABORE MES 07/2024</v>
      </c>
      <c r="H2913" t="str">
        <f>("05/06/2025")</f>
        <v>05/06/2025</v>
      </c>
      <c r="I2913" t="str">
        <f>("01/01/2025")</f>
        <v>01/01/2025</v>
      </c>
      <c r="J2913" t="str">
        <f t="shared" si="1439"/>
        <v>05/06/2025</v>
      </c>
      <c r="M2913">
        <v>108</v>
      </c>
      <c r="N2913" t="str">
        <f>"PRO LABORE - MARCELO"</f>
        <v>PRO LABORE - MARCELO</v>
      </c>
      <c r="P2913">
        <v>492.13</v>
      </c>
      <c r="Q2913" t="str">
        <f>"MARCELO REZENDE ARANTES (20014)"</f>
        <v>MARCELO REZENDE ARANTES (20014)</v>
      </c>
      <c r="R2913" t="str">
        <f>"CAIXA MOVIMENTAÇÃO OPERACIONAL (132)"</f>
        <v>CAIXA MOVIMENTAÇÃO OPERACIONAL (132)</v>
      </c>
      <c r="S2913">
        <v>1733</v>
      </c>
      <c r="T2913">
        <v>1296</v>
      </c>
      <c r="U2913" t="s">
        <v>25</v>
      </c>
    </row>
    <row r="2914" spans="1:21">
      <c r="A2914" t="str">
        <f t="shared" si="1438"/>
        <v>05/06/2025</v>
      </c>
      <c r="B2914" t="str">
        <f>"ENTRADA"</f>
        <v>ENTRADA</v>
      </c>
      <c r="C2914" t="str">
        <f>"DINHEIRO"</f>
        <v>DINHEIRO</v>
      </c>
      <c r="D2914" t="str">
        <f>"04042549213"</f>
        <v>04042549213</v>
      </c>
      <c r="E2914" t="str">
        <f t="shared" si="1418"/>
        <v>COM</v>
      </c>
      <c r="F2914" t="str">
        <f>"MARCELO REZENDE ARANTES (20014)"</f>
        <v>MARCELO REZENDE ARANTES (20014)</v>
      </c>
      <c r="G2914" t="str">
        <f>"DESCONTO CONVENIO MEDICO DEPENDENTE"</f>
        <v>DESCONTO CONVENIO MEDICO DEPENDENTE</v>
      </c>
      <c r="H2914" t="str">
        <f>("04/06/2025")</f>
        <v>04/06/2025</v>
      </c>
      <c r="I2914" t="str">
        <f>("04/04/2025")</f>
        <v>04/04/2025</v>
      </c>
      <c r="J2914" t="str">
        <f t="shared" si="1439"/>
        <v>05/06/2025</v>
      </c>
      <c r="K2914">
        <v>492.13</v>
      </c>
      <c r="L2914">
        <v>492.13</v>
      </c>
      <c r="M2914">
        <v>119</v>
      </c>
      <c r="N2914" t="str">
        <f>"RECEITAS COM REEMBOLSOS"</f>
        <v>RECEITAS COM REEMBOLSOS</v>
      </c>
      <c r="O2914">
        <v>492.13</v>
      </c>
      <c r="R2914" t="str">
        <f>"RECEITAS COM REEMBOLSOS (119)"</f>
        <v>RECEITAS COM REEMBOLSOS (119)</v>
      </c>
      <c r="S2914">
        <v>1734</v>
      </c>
      <c r="T2914">
        <v>1042</v>
      </c>
      <c r="U2914" t="s">
        <v>25</v>
      </c>
    </row>
    <row r="2915" spans="1:21">
      <c r="A2915" t="str">
        <f t="shared" si="1438"/>
        <v>05/06/2025</v>
      </c>
      <c r="B2915" t="str">
        <f t="shared" ref="B2915:B2932" si="1440">"SAÍDA"</f>
        <v>SAÍDA</v>
      </c>
      <c r="C2915" t="str">
        <f>"DINHEIRO"</f>
        <v>DINHEIRO</v>
      </c>
      <c r="D2915" t="str">
        <f>"04042549213"</f>
        <v>04042549213</v>
      </c>
      <c r="E2915" t="str">
        <f t="shared" si="1418"/>
        <v>COM</v>
      </c>
      <c r="F2915" t="str">
        <f>"MARCELO REZENDE ARANTES (20014)"</f>
        <v>MARCELO REZENDE ARANTES (20014)</v>
      </c>
      <c r="G2915" t="str">
        <f>"DESCONTO CONVENIO MEDICO DEPENDENTE"</f>
        <v>DESCONTO CONVENIO MEDICO DEPENDENTE</v>
      </c>
      <c r="H2915" t="str">
        <f>("04/06/2025")</f>
        <v>04/06/2025</v>
      </c>
      <c r="I2915" t="str">
        <f>("04/04/2025")</f>
        <v>04/04/2025</v>
      </c>
      <c r="J2915" t="str">
        <f t="shared" si="1439"/>
        <v>05/06/2025</v>
      </c>
      <c r="M2915">
        <v>119</v>
      </c>
      <c r="N2915" t="str">
        <f>"RECEITAS COM REEMBOLSOS"</f>
        <v>RECEITAS COM REEMBOLSOS</v>
      </c>
      <c r="P2915">
        <v>492.13</v>
      </c>
      <c r="Q2915" t="str">
        <f>"MARCELO REZENDE ARANTES (20014)"</f>
        <v>MARCELO REZENDE ARANTES (20014)</v>
      </c>
      <c r="R2915" t="str">
        <f>"RECEITAS COM REEMBOLSOS (119)"</f>
        <v>RECEITAS COM REEMBOLSOS (119)</v>
      </c>
      <c r="S2915">
        <v>1734</v>
      </c>
      <c r="T2915">
        <v>1042</v>
      </c>
      <c r="U2915" t="s">
        <v>25</v>
      </c>
    </row>
    <row r="2916" spans="1:21">
      <c r="A2916" t="str">
        <f t="shared" si="1438"/>
        <v>05/06/2025</v>
      </c>
      <c r="B2916" t="str">
        <f t="shared" si="1440"/>
        <v>SAÍDA</v>
      </c>
      <c r="C2916" t="str">
        <f t="shared" ref="C2916:C2921" si="1441">"PIX"</f>
        <v>PIX</v>
      </c>
      <c r="D2916" t="str">
        <f>"07"</f>
        <v>07</v>
      </c>
      <c r="E2916" t="str">
        <f t="shared" si="1418"/>
        <v>COM</v>
      </c>
      <c r="F2916" t="str">
        <f>"LILIANE DE FATIMA REZENDE JUSTINO (20013)"</f>
        <v>LILIANE DE FATIMA REZENDE JUSTINO (20013)</v>
      </c>
      <c r="G2916" t="str">
        <f>"REF. PRO-LABORE MES 07/2024"</f>
        <v>REF. PRO-LABORE MES 07/2024</v>
      </c>
      <c r="H2916" t="str">
        <f t="shared" ref="H2916:H2932" si="1442">("05/06/2025")</f>
        <v>05/06/2025</v>
      </c>
      <c r="I2916" t="str">
        <f t="shared" ref="I2916:I2921" si="1443">("01/01/2025")</f>
        <v>01/01/2025</v>
      </c>
      <c r="J2916" t="str">
        <f t="shared" si="1439"/>
        <v>05/06/2025</v>
      </c>
      <c r="K2916">
        <v>23333.33</v>
      </c>
      <c r="L2916">
        <v>23333.33</v>
      </c>
      <c r="M2916">
        <v>124</v>
      </c>
      <c r="N2916" t="str">
        <f>"PRO LABORE - LILIANE"</f>
        <v>PRO LABORE - LILIANE</v>
      </c>
      <c r="O2916">
        <v>23333.33</v>
      </c>
      <c r="R2916" t="str">
        <f t="shared" ref="R2916:R2932" si="1444">"BANCO CORA (102)"</f>
        <v>BANCO CORA (102)</v>
      </c>
      <c r="S2916">
        <v>1768</v>
      </c>
      <c r="T2916">
        <v>568</v>
      </c>
      <c r="U2916" t="s">
        <v>19</v>
      </c>
    </row>
    <row r="2917" spans="1:21">
      <c r="A2917" t="str">
        <f t="shared" si="1438"/>
        <v>05/06/2025</v>
      </c>
      <c r="B2917" t="str">
        <f t="shared" si="1440"/>
        <v>SAÍDA</v>
      </c>
      <c r="C2917" t="str">
        <f t="shared" si="1441"/>
        <v>PIX</v>
      </c>
      <c r="D2917" t="str">
        <f>"07"</f>
        <v>07</v>
      </c>
      <c r="E2917" t="str">
        <f t="shared" si="1418"/>
        <v>COM</v>
      </c>
      <c r="F2917" t="str">
        <f>"LILIANE DE FATIMA REZENDE JUSTINO (20013)"</f>
        <v>LILIANE DE FATIMA REZENDE JUSTINO (20013)</v>
      </c>
      <c r="G2917" t="str">
        <f>"REF. PRO-LABORE MES 07/2024"</f>
        <v>REF. PRO-LABORE MES 07/2024</v>
      </c>
      <c r="H2917" t="str">
        <f t="shared" si="1442"/>
        <v>05/06/2025</v>
      </c>
      <c r="I2917" t="str">
        <f t="shared" si="1443"/>
        <v>01/01/2025</v>
      </c>
      <c r="J2917" t="str">
        <f t="shared" si="1439"/>
        <v>05/06/2025</v>
      </c>
      <c r="M2917">
        <v>124</v>
      </c>
      <c r="N2917" t="str">
        <f>"PRO LABORE - LILIANE"</f>
        <v>PRO LABORE - LILIANE</v>
      </c>
      <c r="P2917">
        <v>23333.33</v>
      </c>
      <c r="Q2917" t="str">
        <f>"LILIANE DE FATIMA REZENDE JUSTINO (20013)"</f>
        <v>LILIANE DE FATIMA REZENDE JUSTINO (20013)</v>
      </c>
      <c r="R2917" t="str">
        <f t="shared" si="1444"/>
        <v>BANCO CORA (102)</v>
      </c>
      <c r="S2917">
        <v>1768</v>
      </c>
      <c r="T2917">
        <v>568</v>
      </c>
      <c r="U2917" t="s">
        <v>19</v>
      </c>
    </row>
    <row r="2918" spans="1:21">
      <c r="A2918" t="str">
        <f t="shared" si="1438"/>
        <v>05/06/2025</v>
      </c>
      <c r="B2918" t="str">
        <f t="shared" si="1440"/>
        <v>SAÍDA</v>
      </c>
      <c r="C2918" t="str">
        <f t="shared" si="1441"/>
        <v>PIX</v>
      </c>
      <c r="D2918" t="str">
        <f>"01"</f>
        <v>01</v>
      </c>
      <c r="E2918" t="str">
        <f t="shared" si="1418"/>
        <v>COM</v>
      </c>
      <c r="F2918" t="str">
        <f>"LILIANE DE FATIMA REZENDE JUSTINO (20013)"</f>
        <v>LILIANE DE FATIMA REZENDE JUSTINO (20013)</v>
      </c>
      <c r="G2918" t="str">
        <f>"REF. PREST. SERVICO LILIANE"</f>
        <v>REF. PREST. SERVICO LILIANE</v>
      </c>
      <c r="H2918" t="str">
        <f t="shared" si="1442"/>
        <v>05/06/2025</v>
      </c>
      <c r="I2918" t="str">
        <f t="shared" si="1443"/>
        <v>01/01/2025</v>
      </c>
      <c r="J2918" t="str">
        <f t="shared" si="1439"/>
        <v>05/06/2025</v>
      </c>
      <c r="K2918">
        <v>1500</v>
      </c>
      <c r="L2918">
        <v>1500</v>
      </c>
      <c r="M2918">
        <v>103</v>
      </c>
      <c r="N2918" t="str">
        <f>"PAGAMENTO DE FUNCIONÁRIOS"</f>
        <v>PAGAMENTO DE FUNCIONÁRIOS</v>
      </c>
      <c r="O2918">
        <v>1500</v>
      </c>
      <c r="R2918" t="str">
        <f t="shared" si="1444"/>
        <v>BANCO CORA (102)</v>
      </c>
      <c r="S2918">
        <v>1769</v>
      </c>
      <c r="T2918">
        <v>580</v>
      </c>
      <c r="U2918" t="s">
        <v>19</v>
      </c>
    </row>
    <row r="2919" spans="1:21">
      <c r="A2919" t="str">
        <f t="shared" si="1438"/>
        <v>05/06/2025</v>
      </c>
      <c r="B2919" t="str">
        <f t="shared" si="1440"/>
        <v>SAÍDA</v>
      </c>
      <c r="C2919" t="str">
        <f t="shared" si="1441"/>
        <v>PIX</v>
      </c>
      <c r="D2919" t="str">
        <f>"01"</f>
        <v>01</v>
      </c>
      <c r="E2919" t="str">
        <f t="shared" si="1418"/>
        <v>COM</v>
      </c>
      <c r="F2919" t="str">
        <f>"LILIANE DE FATIMA REZENDE JUSTINO (20013)"</f>
        <v>LILIANE DE FATIMA REZENDE JUSTINO (20013)</v>
      </c>
      <c r="G2919" t="str">
        <f>"REF. PREST. SERVICO LILIANE"</f>
        <v>REF. PREST. SERVICO LILIANE</v>
      </c>
      <c r="H2919" t="str">
        <f t="shared" si="1442"/>
        <v>05/06/2025</v>
      </c>
      <c r="I2919" t="str">
        <f t="shared" si="1443"/>
        <v>01/01/2025</v>
      </c>
      <c r="J2919" t="str">
        <f t="shared" si="1439"/>
        <v>05/06/2025</v>
      </c>
      <c r="M2919">
        <v>103</v>
      </c>
      <c r="N2919" t="str">
        <f>"PAGAMENTO DE FUNCIONÁRIOS"</f>
        <v>PAGAMENTO DE FUNCIONÁRIOS</v>
      </c>
      <c r="P2919">
        <v>1500</v>
      </c>
      <c r="Q2919" t="str">
        <f>"LILIANE DE FATIMA REZENDE JUSTINO (20013)"</f>
        <v>LILIANE DE FATIMA REZENDE JUSTINO (20013)</v>
      </c>
      <c r="R2919" t="str">
        <f t="shared" si="1444"/>
        <v>BANCO CORA (102)</v>
      </c>
      <c r="S2919">
        <v>1769</v>
      </c>
      <c r="T2919">
        <v>580</v>
      </c>
      <c r="U2919" t="s">
        <v>19</v>
      </c>
    </row>
    <row r="2920" spans="1:21">
      <c r="A2920" t="str">
        <f t="shared" si="1438"/>
        <v>05/06/2025</v>
      </c>
      <c r="B2920" t="str">
        <f t="shared" si="1440"/>
        <v>SAÍDA</v>
      </c>
      <c r="C2920" t="str">
        <f t="shared" si="1441"/>
        <v>PIX</v>
      </c>
      <c r="D2920" t="str">
        <f>"0724"</f>
        <v>0724</v>
      </c>
      <c r="E2920" t="str">
        <f t="shared" si="1418"/>
        <v>COM</v>
      </c>
      <c r="F2920" t="str">
        <f>"MARCELO REZENDE ARANTES (20014)"</f>
        <v>MARCELO REZENDE ARANTES (20014)</v>
      </c>
      <c r="G2920" t="str">
        <f>"REF. PRO-LABORE MES 07/2024"</f>
        <v>REF. PRO-LABORE MES 07/2024</v>
      </c>
      <c r="H2920" t="str">
        <f t="shared" si="1442"/>
        <v>05/06/2025</v>
      </c>
      <c r="I2920" t="str">
        <f t="shared" si="1443"/>
        <v>01/01/2025</v>
      </c>
      <c r="J2920" t="str">
        <f t="shared" si="1439"/>
        <v>05/06/2025</v>
      </c>
      <c r="K2920">
        <v>9507.8700000000008</v>
      </c>
      <c r="L2920">
        <v>9507.8700000000008</v>
      </c>
      <c r="M2920">
        <v>108</v>
      </c>
      <c r="N2920" t="str">
        <f>"PRO LABORE - MARCELO"</f>
        <v>PRO LABORE - MARCELO</v>
      </c>
      <c r="O2920">
        <v>9507.8700000000008</v>
      </c>
      <c r="R2920" t="str">
        <f t="shared" si="1444"/>
        <v>BANCO CORA (102)</v>
      </c>
      <c r="S2920">
        <v>1770</v>
      </c>
      <c r="T2920">
        <v>592</v>
      </c>
      <c r="U2920" t="s">
        <v>19</v>
      </c>
    </row>
    <row r="2921" spans="1:21">
      <c r="A2921" t="str">
        <f t="shared" si="1438"/>
        <v>05/06/2025</v>
      </c>
      <c r="B2921" t="str">
        <f t="shared" si="1440"/>
        <v>SAÍDA</v>
      </c>
      <c r="C2921" t="str">
        <f t="shared" si="1441"/>
        <v>PIX</v>
      </c>
      <c r="D2921" t="str">
        <f>"0724"</f>
        <v>0724</v>
      </c>
      <c r="E2921" t="str">
        <f t="shared" si="1418"/>
        <v>COM</v>
      </c>
      <c r="F2921" t="str">
        <f>"MARCELO REZENDE ARANTES (20014)"</f>
        <v>MARCELO REZENDE ARANTES (20014)</v>
      </c>
      <c r="G2921" t="str">
        <f>"REF. PRO-LABORE MES 07/2024"</f>
        <v>REF. PRO-LABORE MES 07/2024</v>
      </c>
      <c r="H2921" t="str">
        <f t="shared" si="1442"/>
        <v>05/06/2025</v>
      </c>
      <c r="I2921" t="str">
        <f t="shared" si="1443"/>
        <v>01/01/2025</v>
      </c>
      <c r="J2921" t="str">
        <f t="shared" si="1439"/>
        <v>05/06/2025</v>
      </c>
      <c r="M2921">
        <v>108</v>
      </c>
      <c r="N2921" t="str">
        <f>"PRO LABORE - MARCELO"</f>
        <v>PRO LABORE - MARCELO</v>
      </c>
      <c r="P2921">
        <v>9507.8700000000008</v>
      </c>
      <c r="Q2921" t="str">
        <f>"MARCELO REZENDE ARANTES (20014)"</f>
        <v>MARCELO REZENDE ARANTES (20014)</v>
      </c>
      <c r="R2921" t="str">
        <f t="shared" si="1444"/>
        <v>BANCO CORA (102)</v>
      </c>
      <c r="S2921">
        <v>1770</v>
      </c>
      <c r="T2921">
        <v>592</v>
      </c>
      <c r="U2921" t="s">
        <v>19</v>
      </c>
    </row>
    <row r="2922" spans="1:21">
      <c r="A2922" t="str">
        <f t="shared" si="1438"/>
        <v>05/06/2025</v>
      </c>
      <c r="B2922" t="str">
        <f t="shared" si="1440"/>
        <v>SAÍDA</v>
      </c>
      <c r="C2922" t="str">
        <f>"BOLETO"</f>
        <v>BOLETO</v>
      </c>
      <c r="D2922" t="str">
        <f>"341338992"</f>
        <v>341338992</v>
      </c>
      <c r="E2922" t="str">
        <f t="shared" si="1418"/>
        <v>COM</v>
      </c>
      <c r="F2922" t="str">
        <f>"SUL AMERICA COMPANHIA DE SEGURO SAUDE (20080)"</f>
        <v>SUL AMERICA COMPANHIA DE SEGURO SAUDE (20080)</v>
      </c>
      <c r="G2922" t="str">
        <f>"CONVENIO MEDICO SOCIOS E DEPENDENTES"</f>
        <v>CONVENIO MEDICO SOCIOS E DEPENDENTES</v>
      </c>
      <c r="H2922" t="str">
        <f t="shared" si="1442"/>
        <v>05/06/2025</v>
      </c>
      <c r="I2922" t="str">
        <f>("31/03/2025")</f>
        <v>31/03/2025</v>
      </c>
      <c r="J2922" t="str">
        <f t="shared" si="1439"/>
        <v>05/06/2025</v>
      </c>
      <c r="K2922">
        <v>3319.86</v>
      </c>
      <c r="L2922">
        <v>3499.13</v>
      </c>
      <c r="M2922">
        <v>192</v>
      </c>
      <c r="N2922" t="str">
        <f>"PLANOS E SEGUROS"</f>
        <v>PLANOS E SEGUROS</v>
      </c>
      <c r="O2922">
        <v>3499.13</v>
      </c>
      <c r="R2922" t="str">
        <f t="shared" si="1444"/>
        <v>BANCO CORA (102)</v>
      </c>
      <c r="S2922">
        <v>1771</v>
      </c>
      <c r="T2922">
        <v>1037</v>
      </c>
      <c r="U2922" t="s">
        <v>19</v>
      </c>
    </row>
    <row r="2923" spans="1:21">
      <c r="A2923" t="str">
        <f t="shared" si="1438"/>
        <v>05/06/2025</v>
      </c>
      <c r="B2923" t="str">
        <f t="shared" si="1440"/>
        <v>SAÍDA</v>
      </c>
      <c r="C2923" t="str">
        <f>"BOLETO"</f>
        <v>BOLETO</v>
      </c>
      <c r="D2923" t="str">
        <f>"341338992"</f>
        <v>341338992</v>
      </c>
      <c r="E2923" t="str">
        <f t="shared" si="1418"/>
        <v>COM</v>
      </c>
      <c r="F2923" t="str">
        <f>"SUL AMERICA COMPANHIA DE SEGURO SAUDE (20080)"</f>
        <v>SUL AMERICA COMPANHIA DE SEGURO SAUDE (20080)</v>
      </c>
      <c r="G2923" t="str">
        <f>"CONVENIO MEDICO SOCIOS E DEPENDENTES"</f>
        <v>CONVENIO MEDICO SOCIOS E DEPENDENTES</v>
      </c>
      <c r="H2923" t="str">
        <f t="shared" si="1442"/>
        <v>05/06/2025</v>
      </c>
      <c r="I2923" t="str">
        <f>("31/03/2025")</f>
        <v>31/03/2025</v>
      </c>
      <c r="J2923" t="str">
        <f t="shared" si="1439"/>
        <v>05/06/2025</v>
      </c>
      <c r="M2923">
        <v>192</v>
      </c>
      <c r="N2923" t="str">
        <f>"PLANOS E SEGUROS"</f>
        <v>PLANOS E SEGUROS</v>
      </c>
      <c r="P2923">
        <v>3499.13</v>
      </c>
      <c r="Q2923" t="str">
        <f>"SUL AMERICA COMPANHIA DE SEGURO SAUDE (20080)"</f>
        <v>SUL AMERICA COMPANHIA DE SEGURO SAUDE (20080)</v>
      </c>
      <c r="R2923" t="str">
        <f t="shared" si="1444"/>
        <v>BANCO CORA (102)</v>
      </c>
      <c r="S2923">
        <v>1771</v>
      </c>
      <c r="T2923">
        <v>1037</v>
      </c>
      <c r="U2923" t="s">
        <v>19</v>
      </c>
    </row>
    <row r="2924" spans="1:21">
      <c r="A2924" t="str">
        <f t="shared" si="1438"/>
        <v>05/06/2025</v>
      </c>
      <c r="B2924" t="str">
        <f t="shared" si="1440"/>
        <v>SAÍDA</v>
      </c>
      <c r="C2924" t="str">
        <f t="shared" ref="C2924:C2931" si="1445">"CONHECIMENTO"</f>
        <v>CONHECIMENTO</v>
      </c>
      <c r="D2924" t="str">
        <f t="shared" ref="D2924:D2931" si="1446">"050625170"</f>
        <v>050625170</v>
      </c>
      <c r="E2924" t="str">
        <f t="shared" si="1418"/>
        <v>COM</v>
      </c>
      <c r="F2924" t="str">
        <f t="shared" ref="F2924:F2931" si="1447">"CORA SOCIEDADE DE CREDITO, FINANCIAMENTO E INVESTIMENTO (20035)"</f>
        <v>CORA SOCIEDADE DE CREDITO, FINANCIAMENTO E INVESTIMENTO (20035)</v>
      </c>
      <c r="G2924" t="str">
        <f t="shared" ref="G2924:G2931" si="1448">"TAXA BOLETO COMPENSADO"</f>
        <v>TAXA BOLETO COMPENSADO</v>
      </c>
      <c r="H2924" t="str">
        <f t="shared" si="1442"/>
        <v>05/06/2025</v>
      </c>
      <c r="I2924" t="str">
        <f t="shared" ref="I2924:I2932" si="1449">("05/06/2025")</f>
        <v>05/06/2025</v>
      </c>
      <c r="J2924" t="str">
        <f t="shared" si="1439"/>
        <v>05/06/2025</v>
      </c>
      <c r="K2924">
        <v>1.7</v>
      </c>
      <c r="L2924">
        <v>1.7</v>
      </c>
      <c r="M2924">
        <v>401</v>
      </c>
      <c r="N2924" t="str">
        <f t="shared" ref="N2924:N2931" si="1450">"IOF/JUROS/DESP.FINANCEIRA"</f>
        <v>IOF/JUROS/DESP.FINANCEIRA</v>
      </c>
      <c r="O2924">
        <v>1.7</v>
      </c>
      <c r="R2924" t="str">
        <f t="shared" si="1444"/>
        <v>BANCO CORA (102)</v>
      </c>
      <c r="S2924">
        <v>1772</v>
      </c>
      <c r="T2924">
        <v>1318</v>
      </c>
      <c r="U2924" t="s">
        <v>19</v>
      </c>
    </row>
    <row r="2925" spans="1:21">
      <c r="A2925" t="str">
        <f t="shared" si="1438"/>
        <v>05/06/2025</v>
      </c>
      <c r="B2925" t="str">
        <f t="shared" si="1440"/>
        <v>SAÍDA</v>
      </c>
      <c r="C2925" t="str">
        <f t="shared" si="1445"/>
        <v>CONHECIMENTO</v>
      </c>
      <c r="D2925" t="str">
        <f t="shared" si="1446"/>
        <v>050625170</v>
      </c>
      <c r="E2925" t="str">
        <f t="shared" si="1418"/>
        <v>COM</v>
      </c>
      <c r="F2925" t="str">
        <f t="shared" si="1447"/>
        <v>CORA SOCIEDADE DE CREDITO, FINANCIAMENTO E INVESTIMENTO (20035)</v>
      </c>
      <c r="G2925" t="str">
        <f t="shared" si="1448"/>
        <v>TAXA BOLETO COMPENSADO</v>
      </c>
      <c r="H2925" t="str">
        <f t="shared" si="1442"/>
        <v>05/06/2025</v>
      </c>
      <c r="I2925" t="str">
        <f t="shared" si="1449"/>
        <v>05/06/2025</v>
      </c>
      <c r="J2925" t="str">
        <f t="shared" si="1439"/>
        <v>05/06/2025</v>
      </c>
      <c r="K2925">
        <v>1.7</v>
      </c>
      <c r="L2925">
        <v>1.7</v>
      </c>
      <c r="M2925">
        <v>401</v>
      </c>
      <c r="N2925" t="str">
        <f t="shared" si="1450"/>
        <v>IOF/JUROS/DESP.FINANCEIRA</v>
      </c>
      <c r="O2925">
        <v>1.7</v>
      </c>
      <c r="R2925" t="str">
        <f t="shared" si="1444"/>
        <v>BANCO CORA (102)</v>
      </c>
      <c r="S2925">
        <v>1773</v>
      </c>
      <c r="T2925">
        <v>1319</v>
      </c>
      <c r="U2925" t="s">
        <v>19</v>
      </c>
    </row>
    <row r="2926" spans="1:21">
      <c r="A2926" t="str">
        <f t="shared" si="1438"/>
        <v>05/06/2025</v>
      </c>
      <c r="B2926" t="str">
        <f t="shared" si="1440"/>
        <v>SAÍDA</v>
      </c>
      <c r="C2926" t="str">
        <f t="shared" si="1445"/>
        <v>CONHECIMENTO</v>
      </c>
      <c r="D2926" t="str">
        <f t="shared" si="1446"/>
        <v>050625170</v>
      </c>
      <c r="E2926" t="str">
        <f t="shared" si="1418"/>
        <v>COM</v>
      </c>
      <c r="F2926" t="str">
        <f t="shared" si="1447"/>
        <v>CORA SOCIEDADE DE CREDITO, FINANCIAMENTO E INVESTIMENTO (20035)</v>
      </c>
      <c r="G2926" t="str">
        <f t="shared" si="1448"/>
        <v>TAXA BOLETO COMPENSADO</v>
      </c>
      <c r="H2926" t="str">
        <f t="shared" si="1442"/>
        <v>05/06/2025</v>
      </c>
      <c r="I2926" t="str">
        <f t="shared" si="1449"/>
        <v>05/06/2025</v>
      </c>
      <c r="J2926" t="str">
        <f t="shared" si="1439"/>
        <v>05/06/2025</v>
      </c>
      <c r="K2926">
        <v>1.7</v>
      </c>
      <c r="L2926">
        <v>1.7</v>
      </c>
      <c r="M2926">
        <v>401</v>
      </c>
      <c r="N2926" t="str">
        <f t="shared" si="1450"/>
        <v>IOF/JUROS/DESP.FINANCEIRA</v>
      </c>
      <c r="O2926">
        <v>1.7</v>
      </c>
      <c r="R2926" t="str">
        <f t="shared" si="1444"/>
        <v>BANCO CORA (102)</v>
      </c>
      <c r="S2926">
        <v>1774</v>
      </c>
      <c r="T2926">
        <v>1320</v>
      </c>
      <c r="U2926" t="s">
        <v>19</v>
      </c>
    </row>
    <row r="2927" spans="1:21">
      <c r="A2927" t="str">
        <f t="shared" si="1438"/>
        <v>05/06/2025</v>
      </c>
      <c r="B2927" t="str">
        <f t="shared" si="1440"/>
        <v>SAÍDA</v>
      </c>
      <c r="C2927" t="str">
        <f t="shared" si="1445"/>
        <v>CONHECIMENTO</v>
      </c>
      <c r="D2927" t="str">
        <f t="shared" si="1446"/>
        <v>050625170</v>
      </c>
      <c r="E2927" t="str">
        <f t="shared" ref="E2927:E2990" si="1451">"COM"</f>
        <v>COM</v>
      </c>
      <c r="F2927" t="str">
        <f t="shared" si="1447"/>
        <v>CORA SOCIEDADE DE CREDITO, FINANCIAMENTO E INVESTIMENTO (20035)</v>
      </c>
      <c r="G2927" t="str">
        <f t="shared" si="1448"/>
        <v>TAXA BOLETO COMPENSADO</v>
      </c>
      <c r="H2927" t="str">
        <f t="shared" si="1442"/>
        <v>05/06/2025</v>
      </c>
      <c r="I2927" t="str">
        <f t="shared" si="1449"/>
        <v>05/06/2025</v>
      </c>
      <c r="J2927" t="str">
        <f t="shared" si="1439"/>
        <v>05/06/2025</v>
      </c>
      <c r="K2927">
        <v>1.7</v>
      </c>
      <c r="L2927">
        <v>1.7</v>
      </c>
      <c r="M2927">
        <v>401</v>
      </c>
      <c r="N2927" t="str">
        <f t="shared" si="1450"/>
        <v>IOF/JUROS/DESP.FINANCEIRA</v>
      </c>
      <c r="O2927">
        <v>1.7</v>
      </c>
      <c r="R2927" t="str">
        <f t="shared" si="1444"/>
        <v>BANCO CORA (102)</v>
      </c>
      <c r="S2927">
        <v>1775</v>
      </c>
      <c r="T2927">
        <v>1321</v>
      </c>
      <c r="U2927" t="s">
        <v>19</v>
      </c>
    </row>
    <row r="2928" spans="1:21">
      <c r="A2928" t="str">
        <f t="shared" si="1438"/>
        <v>05/06/2025</v>
      </c>
      <c r="B2928" t="str">
        <f t="shared" si="1440"/>
        <v>SAÍDA</v>
      </c>
      <c r="C2928" t="str">
        <f t="shared" si="1445"/>
        <v>CONHECIMENTO</v>
      </c>
      <c r="D2928" t="str">
        <f t="shared" si="1446"/>
        <v>050625170</v>
      </c>
      <c r="E2928" t="str">
        <f t="shared" si="1451"/>
        <v>COM</v>
      </c>
      <c r="F2928" t="str">
        <f t="shared" si="1447"/>
        <v>CORA SOCIEDADE DE CREDITO, FINANCIAMENTO E INVESTIMENTO (20035)</v>
      </c>
      <c r="G2928" t="str">
        <f t="shared" si="1448"/>
        <v>TAXA BOLETO COMPENSADO</v>
      </c>
      <c r="H2928" t="str">
        <f t="shared" si="1442"/>
        <v>05/06/2025</v>
      </c>
      <c r="I2928" t="str">
        <f t="shared" si="1449"/>
        <v>05/06/2025</v>
      </c>
      <c r="J2928" t="str">
        <f t="shared" si="1439"/>
        <v>05/06/2025</v>
      </c>
      <c r="K2928">
        <v>1.7</v>
      </c>
      <c r="L2928">
        <v>1.7</v>
      </c>
      <c r="M2928">
        <v>401</v>
      </c>
      <c r="N2928" t="str">
        <f t="shared" si="1450"/>
        <v>IOF/JUROS/DESP.FINANCEIRA</v>
      </c>
      <c r="O2928">
        <v>1.7</v>
      </c>
      <c r="R2928" t="str">
        <f t="shared" si="1444"/>
        <v>BANCO CORA (102)</v>
      </c>
      <c r="S2928">
        <v>1776</v>
      </c>
      <c r="T2928">
        <v>1322</v>
      </c>
      <c r="U2928" t="s">
        <v>19</v>
      </c>
    </row>
    <row r="2929" spans="1:21">
      <c r="A2929" t="str">
        <f t="shared" si="1438"/>
        <v>05/06/2025</v>
      </c>
      <c r="B2929" t="str">
        <f t="shared" si="1440"/>
        <v>SAÍDA</v>
      </c>
      <c r="C2929" t="str">
        <f t="shared" si="1445"/>
        <v>CONHECIMENTO</v>
      </c>
      <c r="D2929" t="str">
        <f t="shared" si="1446"/>
        <v>050625170</v>
      </c>
      <c r="E2929" t="str">
        <f t="shared" si="1451"/>
        <v>COM</v>
      </c>
      <c r="F2929" t="str">
        <f t="shared" si="1447"/>
        <v>CORA SOCIEDADE DE CREDITO, FINANCIAMENTO E INVESTIMENTO (20035)</v>
      </c>
      <c r="G2929" t="str">
        <f t="shared" si="1448"/>
        <v>TAXA BOLETO COMPENSADO</v>
      </c>
      <c r="H2929" t="str">
        <f t="shared" si="1442"/>
        <v>05/06/2025</v>
      </c>
      <c r="I2929" t="str">
        <f t="shared" si="1449"/>
        <v>05/06/2025</v>
      </c>
      <c r="J2929" t="str">
        <f t="shared" si="1439"/>
        <v>05/06/2025</v>
      </c>
      <c r="K2929">
        <v>1.7</v>
      </c>
      <c r="L2929">
        <v>1.7</v>
      </c>
      <c r="M2929">
        <v>401</v>
      </c>
      <c r="N2929" t="str">
        <f t="shared" si="1450"/>
        <v>IOF/JUROS/DESP.FINANCEIRA</v>
      </c>
      <c r="O2929">
        <v>1.7</v>
      </c>
      <c r="R2929" t="str">
        <f t="shared" si="1444"/>
        <v>BANCO CORA (102)</v>
      </c>
      <c r="S2929">
        <v>1777</v>
      </c>
      <c r="T2929">
        <v>1323</v>
      </c>
      <c r="U2929" t="s">
        <v>19</v>
      </c>
    </row>
    <row r="2930" spans="1:21">
      <c r="A2930" t="str">
        <f t="shared" si="1438"/>
        <v>05/06/2025</v>
      </c>
      <c r="B2930" t="str">
        <f t="shared" si="1440"/>
        <v>SAÍDA</v>
      </c>
      <c r="C2930" t="str">
        <f t="shared" si="1445"/>
        <v>CONHECIMENTO</v>
      </c>
      <c r="D2930" t="str">
        <f t="shared" si="1446"/>
        <v>050625170</v>
      </c>
      <c r="E2930" t="str">
        <f t="shared" si="1451"/>
        <v>COM</v>
      </c>
      <c r="F2930" t="str">
        <f t="shared" si="1447"/>
        <v>CORA SOCIEDADE DE CREDITO, FINANCIAMENTO E INVESTIMENTO (20035)</v>
      </c>
      <c r="G2930" t="str">
        <f t="shared" si="1448"/>
        <v>TAXA BOLETO COMPENSADO</v>
      </c>
      <c r="H2930" t="str">
        <f t="shared" si="1442"/>
        <v>05/06/2025</v>
      </c>
      <c r="I2930" t="str">
        <f t="shared" si="1449"/>
        <v>05/06/2025</v>
      </c>
      <c r="J2930" t="str">
        <f t="shared" si="1439"/>
        <v>05/06/2025</v>
      </c>
      <c r="K2930">
        <v>1.7</v>
      </c>
      <c r="L2930">
        <v>1.7</v>
      </c>
      <c r="M2930">
        <v>401</v>
      </c>
      <c r="N2930" t="str">
        <f t="shared" si="1450"/>
        <v>IOF/JUROS/DESP.FINANCEIRA</v>
      </c>
      <c r="O2930">
        <v>1.7</v>
      </c>
      <c r="R2930" t="str">
        <f t="shared" si="1444"/>
        <v>BANCO CORA (102)</v>
      </c>
      <c r="S2930">
        <v>1778</v>
      </c>
      <c r="T2930">
        <v>1324</v>
      </c>
      <c r="U2930" t="s">
        <v>19</v>
      </c>
    </row>
    <row r="2931" spans="1:21">
      <c r="A2931" t="str">
        <f t="shared" si="1438"/>
        <v>05/06/2025</v>
      </c>
      <c r="B2931" t="str">
        <f t="shared" si="1440"/>
        <v>SAÍDA</v>
      </c>
      <c r="C2931" t="str">
        <f t="shared" si="1445"/>
        <v>CONHECIMENTO</v>
      </c>
      <c r="D2931" t="str">
        <f t="shared" si="1446"/>
        <v>050625170</v>
      </c>
      <c r="E2931" t="str">
        <f t="shared" si="1451"/>
        <v>COM</v>
      </c>
      <c r="F2931" t="str">
        <f t="shared" si="1447"/>
        <v>CORA SOCIEDADE DE CREDITO, FINANCIAMENTO E INVESTIMENTO (20035)</v>
      </c>
      <c r="G2931" t="str">
        <f t="shared" si="1448"/>
        <v>TAXA BOLETO COMPENSADO</v>
      </c>
      <c r="H2931" t="str">
        <f t="shared" si="1442"/>
        <v>05/06/2025</v>
      </c>
      <c r="I2931" t="str">
        <f t="shared" si="1449"/>
        <v>05/06/2025</v>
      </c>
      <c r="J2931" t="str">
        <f t="shared" si="1439"/>
        <v>05/06/2025</v>
      </c>
      <c r="K2931">
        <v>1.7</v>
      </c>
      <c r="L2931">
        <v>1.7</v>
      </c>
      <c r="M2931">
        <v>401</v>
      </c>
      <c r="N2931" t="str">
        <f t="shared" si="1450"/>
        <v>IOF/JUROS/DESP.FINANCEIRA</v>
      </c>
      <c r="O2931">
        <v>1.7</v>
      </c>
      <c r="R2931" t="str">
        <f t="shared" si="1444"/>
        <v>BANCO CORA (102)</v>
      </c>
      <c r="S2931">
        <v>1779</v>
      </c>
      <c r="T2931">
        <v>1325</v>
      </c>
      <c r="U2931" t="s">
        <v>19</v>
      </c>
    </row>
    <row r="2932" spans="1:21">
      <c r="A2932" t="str">
        <f t="shared" si="1438"/>
        <v>05/06/2025</v>
      </c>
      <c r="B2932" t="str">
        <f t="shared" si="1440"/>
        <v>SAÍDA</v>
      </c>
      <c r="C2932" t="str">
        <f>"PIX"</f>
        <v>PIX</v>
      </c>
      <c r="D2932" t="str">
        <f>"0506255000"</f>
        <v>0506255000</v>
      </c>
      <c r="E2932" t="str">
        <f t="shared" si="1451"/>
        <v>COM</v>
      </c>
      <c r="F2932" t="str">
        <f>"MARCELO REZENDE ARANTES (20014)"</f>
        <v>MARCELO REZENDE ARANTES (20014)</v>
      </c>
      <c r="G2932" t="str">
        <f>"DISTRIBUICAO DE LUCROS"</f>
        <v>DISTRIBUICAO DE LUCROS</v>
      </c>
      <c r="H2932" t="str">
        <f t="shared" si="1442"/>
        <v>05/06/2025</v>
      </c>
      <c r="I2932" t="str">
        <f t="shared" si="1449"/>
        <v>05/06/2025</v>
      </c>
      <c r="J2932" t="str">
        <f t="shared" si="1439"/>
        <v>05/06/2025</v>
      </c>
      <c r="K2932">
        <v>5000</v>
      </c>
      <c r="L2932">
        <v>5000</v>
      </c>
      <c r="M2932">
        <v>125</v>
      </c>
      <c r="N2932" t="str">
        <f>"DISTRIBUIÇÃO DE LUCRO"</f>
        <v>DISTRIBUIÇÃO DE LUCRO</v>
      </c>
      <c r="O2932">
        <v>5000</v>
      </c>
      <c r="R2932" t="str">
        <f t="shared" si="1444"/>
        <v>BANCO CORA (102)</v>
      </c>
      <c r="S2932">
        <v>1780</v>
      </c>
      <c r="T2932">
        <v>1328</v>
      </c>
      <c r="U2932" t="s">
        <v>19</v>
      </c>
    </row>
    <row r="2933" spans="1:21">
      <c r="A2933" t="str">
        <f t="shared" si="1438"/>
        <v>05/06/2025</v>
      </c>
      <c r="B2933" t="str">
        <f>"ENTRADA"</f>
        <v>ENTRADA</v>
      </c>
      <c r="C2933" t="str">
        <f t="shared" ref="C2933:C2949" si="1452">"NFSE"</f>
        <v>NFSE</v>
      </c>
      <c r="D2933" t="str">
        <f>"3042"</f>
        <v>3042</v>
      </c>
      <c r="E2933" t="str">
        <f t="shared" si="1451"/>
        <v>COM</v>
      </c>
      <c r="F2933" t="str">
        <f>"AC FARMA - CID.ALTA (10166)"</f>
        <v>AC FARMA - CID.ALTA (10166)</v>
      </c>
      <c r="G2933" t="str">
        <f>"Serv.Prest. 19/05/2025 a 25/05/2025 - RPS: 812 - NFSe: 3042"</f>
        <v>Serv.Prest. 19/05/2025 a 25/05/2025 - RPS: 812 - NFSe: 3042</v>
      </c>
      <c r="H2933" t="str">
        <f t="shared" ref="H2933:H2945" si="1453">("04/06/2025")</f>
        <v>04/06/2025</v>
      </c>
      <c r="I2933" t="str">
        <f>("29/05/2025")</f>
        <v>29/05/2025</v>
      </c>
      <c r="J2933" t="str">
        <f t="shared" si="1439"/>
        <v>05/06/2025</v>
      </c>
      <c r="K2933">
        <v>1229.1400000000001</v>
      </c>
      <c r="L2933">
        <v>1229.1400000000001</v>
      </c>
      <c r="M2933">
        <v>303</v>
      </c>
      <c r="N2933" t="str">
        <f t="shared" ref="N2933:N2949" si="1454">"RECEITAS COM ENTREGAS"</f>
        <v>RECEITAS COM ENTREGAS</v>
      </c>
      <c r="O2933">
        <v>1229.1400000000001</v>
      </c>
      <c r="R2933" t="str">
        <f t="shared" ref="R2933:R2949" si="1455">"RECEITAS COM ENTREGAS (303)"</f>
        <v>RECEITAS COM ENTREGAS (303)</v>
      </c>
      <c r="S2933">
        <v>1784</v>
      </c>
      <c r="T2933">
        <v>1249</v>
      </c>
      <c r="U2933" t="s">
        <v>19</v>
      </c>
    </row>
    <row r="2934" spans="1:21">
      <c r="A2934" t="str">
        <f t="shared" si="1438"/>
        <v>05/06/2025</v>
      </c>
      <c r="B2934" t="str">
        <f t="shared" ref="B2934:B2949" si="1456">"ENTRADA"</f>
        <v>ENTRADA</v>
      </c>
      <c r="C2934" t="str">
        <f t="shared" si="1452"/>
        <v>NFSE</v>
      </c>
      <c r="D2934" t="str">
        <f>"3042"</f>
        <v>3042</v>
      </c>
      <c r="E2934" t="str">
        <f t="shared" si="1451"/>
        <v>COM</v>
      </c>
      <c r="F2934" t="str">
        <f>"AC FARMA - CID.ALTA (10166)"</f>
        <v>AC FARMA - CID.ALTA (10166)</v>
      </c>
      <c r="G2934" t="str">
        <f>"Serv.Prest. 19/05/2025 a 25/05/2025 - RPS: 812 - NFSe: 3042"</f>
        <v>Serv.Prest. 19/05/2025 a 25/05/2025 - RPS: 812 - NFSe: 3042</v>
      </c>
      <c r="H2934" t="str">
        <f t="shared" si="1453"/>
        <v>04/06/2025</v>
      </c>
      <c r="I2934" t="str">
        <f>("29/05/2025")</f>
        <v>29/05/2025</v>
      </c>
      <c r="J2934" t="str">
        <f t="shared" si="1439"/>
        <v>05/06/2025</v>
      </c>
      <c r="M2934">
        <v>303</v>
      </c>
      <c r="N2934" t="str">
        <f t="shared" si="1454"/>
        <v>RECEITAS COM ENTREGAS</v>
      </c>
      <c r="P2934">
        <v>1229.1400000000001</v>
      </c>
      <c r="Q2934" t="str">
        <f>"AC FARMA - CID.ALTA (10166)"</f>
        <v>AC FARMA - CID.ALTA (10166)</v>
      </c>
      <c r="R2934" t="str">
        <f t="shared" si="1455"/>
        <v>RECEITAS COM ENTREGAS (303)</v>
      </c>
      <c r="S2934">
        <v>1784</v>
      </c>
      <c r="T2934">
        <v>1249</v>
      </c>
      <c r="U2934" t="s">
        <v>19</v>
      </c>
    </row>
    <row r="2935" spans="1:21">
      <c r="A2935" t="str">
        <f t="shared" si="1438"/>
        <v>05/06/2025</v>
      </c>
      <c r="B2935" t="str">
        <f t="shared" si="1456"/>
        <v>ENTRADA</v>
      </c>
      <c r="C2935" t="str">
        <f t="shared" si="1452"/>
        <v>NFSE</v>
      </c>
      <c r="D2935" t="str">
        <f>"3043"</f>
        <v>3043</v>
      </c>
      <c r="E2935" t="str">
        <f t="shared" si="1451"/>
        <v>COM</v>
      </c>
      <c r="F2935" t="str">
        <f>"AC FARMA - FLEMINFARMA (10160)"</f>
        <v>AC FARMA - FLEMINFARMA (10160)</v>
      </c>
      <c r="G2935" t="str">
        <f>"Serv.Prest. 19/05/2025 a 25/05/2025 - RPS: 813 - NFSe: 3043"</f>
        <v>Serv.Prest. 19/05/2025 a 25/05/2025 - RPS: 813 - NFSe: 3043</v>
      </c>
      <c r="H2935" t="str">
        <f t="shared" si="1453"/>
        <v>04/06/2025</v>
      </c>
      <c r="I2935" t="str">
        <f>("29/05/2025")</f>
        <v>29/05/2025</v>
      </c>
      <c r="J2935" t="str">
        <f t="shared" si="1439"/>
        <v>05/06/2025</v>
      </c>
      <c r="K2935">
        <v>307.63</v>
      </c>
      <c r="L2935">
        <v>307.63</v>
      </c>
      <c r="M2935">
        <v>303</v>
      </c>
      <c r="N2935" t="str">
        <f t="shared" si="1454"/>
        <v>RECEITAS COM ENTREGAS</v>
      </c>
      <c r="O2935">
        <v>307.63</v>
      </c>
      <c r="R2935" t="str">
        <f t="shared" si="1455"/>
        <v>RECEITAS COM ENTREGAS (303)</v>
      </c>
      <c r="S2935">
        <v>1785</v>
      </c>
      <c r="T2935">
        <v>1250</v>
      </c>
      <c r="U2935" t="s">
        <v>19</v>
      </c>
    </row>
    <row r="2936" spans="1:21">
      <c r="A2936" t="str">
        <f t="shared" si="1438"/>
        <v>05/06/2025</v>
      </c>
      <c r="B2936" t="str">
        <f t="shared" si="1456"/>
        <v>ENTRADA</v>
      </c>
      <c r="C2936" t="str">
        <f t="shared" si="1452"/>
        <v>NFSE</v>
      </c>
      <c r="D2936" t="str">
        <f>"3043"</f>
        <v>3043</v>
      </c>
      <c r="E2936" t="str">
        <f t="shared" si="1451"/>
        <v>COM</v>
      </c>
      <c r="F2936" t="str">
        <f>"AC FARMA - FLEMINFARMA (10160)"</f>
        <v>AC FARMA - FLEMINFARMA (10160)</v>
      </c>
      <c r="G2936" t="str">
        <f>"Serv.Prest. 19/05/2025 a 25/05/2025 - RPS: 813 - NFSe: 3043"</f>
        <v>Serv.Prest. 19/05/2025 a 25/05/2025 - RPS: 813 - NFSe: 3043</v>
      </c>
      <c r="H2936" t="str">
        <f t="shared" si="1453"/>
        <v>04/06/2025</v>
      </c>
      <c r="I2936" t="str">
        <f>("29/05/2025")</f>
        <v>29/05/2025</v>
      </c>
      <c r="J2936" t="str">
        <f t="shared" si="1439"/>
        <v>05/06/2025</v>
      </c>
      <c r="M2936">
        <v>303</v>
      </c>
      <c r="N2936" t="str">
        <f t="shared" si="1454"/>
        <v>RECEITAS COM ENTREGAS</v>
      </c>
      <c r="P2936">
        <v>292.31</v>
      </c>
      <c r="Q2936" t="str">
        <f>"FARMACIA E PERFUMARIA CIDADE ALTA LTDA (10159)"</f>
        <v>FARMACIA E PERFUMARIA CIDADE ALTA LTDA (10159)</v>
      </c>
      <c r="R2936" t="str">
        <f t="shared" si="1455"/>
        <v>RECEITAS COM ENTREGAS (303)</v>
      </c>
      <c r="S2936">
        <v>1785</v>
      </c>
      <c r="T2936">
        <v>1250</v>
      </c>
      <c r="U2936" t="s">
        <v>19</v>
      </c>
    </row>
    <row r="2937" spans="1:21">
      <c r="A2937" t="str">
        <f t="shared" si="1438"/>
        <v>05/06/2025</v>
      </c>
      <c r="B2937" t="str">
        <f t="shared" si="1456"/>
        <v>ENTRADA</v>
      </c>
      <c r="C2937" t="str">
        <f t="shared" si="1452"/>
        <v>NFSE</v>
      </c>
      <c r="D2937" t="str">
        <f>"3043"</f>
        <v>3043</v>
      </c>
      <c r="E2937" t="str">
        <f t="shared" si="1451"/>
        <v>COM</v>
      </c>
      <c r="F2937" t="str">
        <f>"AC FARMA - FLEMINFARMA (10160)"</f>
        <v>AC FARMA - FLEMINFARMA (10160)</v>
      </c>
      <c r="G2937" t="str">
        <f>"Serv.Prest. 19/05/2025 a 25/05/2025 - RPS: 813 - NFSe: 3043"</f>
        <v>Serv.Prest. 19/05/2025 a 25/05/2025 - RPS: 813 - NFSe: 3043</v>
      </c>
      <c r="H2937" t="str">
        <f t="shared" si="1453"/>
        <v>04/06/2025</v>
      </c>
      <c r="I2937" t="str">
        <f>("29/05/2025")</f>
        <v>29/05/2025</v>
      </c>
      <c r="J2937" t="str">
        <f t="shared" si="1439"/>
        <v>05/06/2025</v>
      </c>
      <c r="M2937">
        <v>303</v>
      </c>
      <c r="N2937" t="str">
        <f t="shared" si="1454"/>
        <v>RECEITAS COM ENTREGAS</v>
      </c>
      <c r="P2937">
        <v>15.32</v>
      </c>
      <c r="Q2937" t="str">
        <f>"AC FARMA - FLEMINFARMA (10160)"</f>
        <v>AC FARMA - FLEMINFARMA (10160)</v>
      </c>
      <c r="R2937" t="str">
        <f t="shared" si="1455"/>
        <v>RECEITAS COM ENTREGAS (303)</v>
      </c>
      <c r="S2937">
        <v>1785</v>
      </c>
      <c r="T2937">
        <v>1250</v>
      </c>
      <c r="U2937" t="s">
        <v>19</v>
      </c>
    </row>
    <row r="2938" spans="1:21">
      <c r="A2938" t="str">
        <f t="shared" si="1438"/>
        <v>05/06/2025</v>
      </c>
      <c r="B2938" t="str">
        <f t="shared" si="1456"/>
        <v>ENTRADA</v>
      </c>
      <c r="C2938" t="str">
        <f t="shared" si="1452"/>
        <v>NFSE</v>
      </c>
      <c r="D2938" t="str">
        <f>"3045"</f>
        <v>3045</v>
      </c>
      <c r="E2938" t="str">
        <f t="shared" si="1451"/>
        <v>COM</v>
      </c>
      <c r="F2938" t="str">
        <f>"DELTA LOJA 2 (10123)"</f>
        <v>DELTA LOJA 2 (10123)</v>
      </c>
      <c r="G2938" t="str">
        <f>"Serv.Prest. 26/05/2025 a 01/06/2025 - RPS: 815 - NFSe: 3045"</f>
        <v>Serv.Prest. 26/05/2025 a 01/06/2025 - RPS: 815 - NFSe: 3045</v>
      </c>
      <c r="H2938" t="str">
        <f t="shared" si="1453"/>
        <v>04/06/2025</v>
      </c>
      <c r="I2938" t="str">
        <f t="shared" ref="I2938:I2943" si="1457">("02/06/2025")</f>
        <v>02/06/2025</v>
      </c>
      <c r="J2938" t="str">
        <f t="shared" si="1439"/>
        <v>05/06/2025</v>
      </c>
      <c r="K2938">
        <v>480.48</v>
      </c>
      <c r="L2938">
        <v>480.48</v>
      </c>
      <c r="M2938">
        <v>303</v>
      </c>
      <c r="N2938" t="str">
        <f t="shared" si="1454"/>
        <v>RECEITAS COM ENTREGAS</v>
      </c>
      <c r="O2938">
        <v>480.48</v>
      </c>
      <c r="R2938" t="str">
        <f t="shared" si="1455"/>
        <v>RECEITAS COM ENTREGAS (303)</v>
      </c>
      <c r="S2938">
        <v>1786</v>
      </c>
      <c r="T2938">
        <v>1252</v>
      </c>
      <c r="U2938" t="s">
        <v>19</v>
      </c>
    </row>
    <row r="2939" spans="1:21">
      <c r="A2939" t="str">
        <f t="shared" si="1438"/>
        <v>05/06/2025</v>
      </c>
      <c r="B2939" t="str">
        <f t="shared" si="1456"/>
        <v>ENTRADA</v>
      </c>
      <c r="C2939" t="str">
        <f t="shared" si="1452"/>
        <v>NFSE</v>
      </c>
      <c r="D2939" t="str">
        <f>"3045"</f>
        <v>3045</v>
      </c>
      <c r="E2939" t="str">
        <f t="shared" si="1451"/>
        <v>COM</v>
      </c>
      <c r="F2939" t="str">
        <f>"DELTA LOJA 2 (10123)"</f>
        <v>DELTA LOJA 2 (10123)</v>
      </c>
      <c r="G2939" t="str">
        <f>"Serv.Prest. 26/05/2025 a 01/06/2025 - RPS: 815 - NFSe: 3045"</f>
        <v>Serv.Prest. 26/05/2025 a 01/06/2025 - RPS: 815 - NFSe: 3045</v>
      </c>
      <c r="H2939" t="str">
        <f t="shared" si="1453"/>
        <v>04/06/2025</v>
      </c>
      <c r="I2939" t="str">
        <f t="shared" si="1457"/>
        <v>02/06/2025</v>
      </c>
      <c r="J2939" t="str">
        <f t="shared" si="1439"/>
        <v>05/06/2025</v>
      </c>
      <c r="M2939">
        <v>303</v>
      </c>
      <c r="N2939" t="str">
        <f t="shared" si="1454"/>
        <v>RECEITAS COM ENTREGAS</v>
      </c>
      <c r="P2939">
        <v>480.48</v>
      </c>
      <c r="Q2939" t="str">
        <f>"DELTA LOJA 2 (10123)"</f>
        <v>DELTA LOJA 2 (10123)</v>
      </c>
      <c r="R2939" t="str">
        <f t="shared" si="1455"/>
        <v>RECEITAS COM ENTREGAS (303)</v>
      </c>
      <c r="S2939">
        <v>1786</v>
      </c>
      <c r="T2939">
        <v>1252</v>
      </c>
      <c r="U2939" t="s">
        <v>19</v>
      </c>
    </row>
    <row r="2940" spans="1:21">
      <c r="A2940" t="str">
        <f t="shared" si="1438"/>
        <v>05/06/2025</v>
      </c>
      <c r="B2940" t="str">
        <f t="shared" si="1456"/>
        <v>ENTRADA</v>
      </c>
      <c r="C2940" t="str">
        <f t="shared" si="1452"/>
        <v>NFSE</v>
      </c>
      <c r="D2940" t="str">
        <f>"3046"</f>
        <v>3046</v>
      </c>
      <c r="E2940" t="str">
        <f t="shared" si="1451"/>
        <v>COM</v>
      </c>
      <c r="F2940" t="str">
        <f>"DROGA ELIDA (10121)"</f>
        <v>DROGA ELIDA (10121)</v>
      </c>
      <c r="G2940" t="str">
        <f>"Serv.Prest. 26/05/2025 a 01/06/2025 - RPS: 816 - NFSe: 3046"</f>
        <v>Serv.Prest. 26/05/2025 a 01/06/2025 - RPS: 816 - NFSe: 3046</v>
      </c>
      <c r="H2940" t="str">
        <f t="shared" si="1453"/>
        <v>04/06/2025</v>
      </c>
      <c r="I2940" t="str">
        <f t="shared" si="1457"/>
        <v>02/06/2025</v>
      </c>
      <c r="J2940" t="str">
        <f t="shared" si="1439"/>
        <v>05/06/2025</v>
      </c>
      <c r="K2940">
        <v>350.4</v>
      </c>
      <c r="L2940">
        <v>350.4</v>
      </c>
      <c r="M2940">
        <v>303</v>
      </c>
      <c r="N2940" t="str">
        <f t="shared" si="1454"/>
        <v>RECEITAS COM ENTREGAS</v>
      </c>
      <c r="O2940">
        <v>350.4</v>
      </c>
      <c r="R2940" t="str">
        <f t="shared" si="1455"/>
        <v>RECEITAS COM ENTREGAS (303)</v>
      </c>
      <c r="S2940">
        <v>1787</v>
      </c>
      <c r="T2940">
        <v>1253</v>
      </c>
      <c r="U2940" t="s">
        <v>19</v>
      </c>
    </row>
    <row r="2941" spans="1:21">
      <c r="A2941" t="str">
        <f t="shared" si="1438"/>
        <v>05/06/2025</v>
      </c>
      <c r="B2941" t="str">
        <f t="shared" si="1456"/>
        <v>ENTRADA</v>
      </c>
      <c r="C2941" t="str">
        <f t="shared" si="1452"/>
        <v>NFSE</v>
      </c>
      <c r="D2941" t="str">
        <f>"3046"</f>
        <v>3046</v>
      </c>
      <c r="E2941" t="str">
        <f t="shared" si="1451"/>
        <v>COM</v>
      </c>
      <c r="F2941" t="str">
        <f>"DROGA ELIDA (10121)"</f>
        <v>DROGA ELIDA (10121)</v>
      </c>
      <c r="G2941" t="str">
        <f>"Serv.Prest. 26/05/2025 a 01/06/2025 - RPS: 816 - NFSe: 3046"</f>
        <v>Serv.Prest. 26/05/2025 a 01/06/2025 - RPS: 816 - NFSe: 3046</v>
      </c>
      <c r="H2941" t="str">
        <f t="shared" si="1453"/>
        <v>04/06/2025</v>
      </c>
      <c r="I2941" t="str">
        <f t="shared" si="1457"/>
        <v>02/06/2025</v>
      </c>
      <c r="J2941" t="str">
        <f t="shared" si="1439"/>
        <v>05/06/2025</v>
      </c>
      <c r="M2941">
        <v>303</v>
      </c>
      <c r="N2941" t="str">
        <f t="shared" si="1454"/>
        <v>RECEITAS COM ENTREGAS</v>
      </c>
      <c r="P2941">
        <v>350.4</v>
      </c>
      <c r="Q2941" t="str">
        <f>"DROGA ELIDA (10121)"</f>
        <v>DROGA ELIDA (10121)</v>
      </c>
      <c r="R2941" t="str">
        <f t="shared" si="1455"/>
        <v>RECEITAS COM ENTREGAS (303)</v>
      </c>
      <c r="S2941">
        <v>1787</v>
      </c>
      <c r="T2941">
        <v>1253</v>
      </c>
      <c r="U2941" t="s">
        <v>19</v>
      </c>
    </row>
    <row r="2942" spans="1:21">
      <c r="A2942" t="str">
        <f t="shared" si="1438"/>
        <v>05/06/2025</v>
      </c>
      <c r="B2942" t="str">
        <f t="shared" si="1456"/>
        <v>ENTRADA</v>
      </c>
      <c r="C2942" t="str">
        <f t="shared" si="1452"/>
        <v>NFSE</v>
      </c>
      <c r="D2942" t="str">
        <f>"3056"</f>
        <v>3056</v>
      </c>
      <c r="E2942" t="str">
        <f t="shared" si="1451"/>
        <v>COM</v>
      </c>
      <c r="F2942" t="str">
        <f>"FARMACIA ECONOMIZE (10103)"</f>
        <v>FARMACIA ECONOMIZE (10103)</v>
      </c>
      <c r="G2942" t="str">
        <f>"Serv.Prest. 26/05/2025 a 01/06/2025 - RPS: 825 - NFSe: 3056"</f>
        <v>Serv.Prest. 26/05/2025 a 01/06/2025 - RPS: 825 - NFSe: 3056</v>
      </c>
      <c r="H2942" t="str">
        <f t="shared" si="1453"/>
        <v>04/06/2025</v>
      </c>
      <c r="I2942" t="str">
        <f t="shared" si="1457"/>
        <v>02/06/2025</v>
      </c>
      <c r="J2942" t="str">
        <f t="shared" si="1439"/>
        <v>05/06/2025</v>
      </c>
      <c r="K2942">
        <v>25.95</v>
      </c>
      <c r="L2942">
        <v>25.95</v>
      </c>
      <c r="M2942">
        <v>303</v>
      </c>
      <c r="N2942" t="str">
        <f t="shared" si="1454"/>
        <v>RECEITAS COM ENTREGAS</v>
      </c>
      <c r="O2942">
        <v>25.95</v>
      </c>
      <c r="R2942" t="str">
        <f t="shared" si="1455"/>
        <v>RECEITAS COM ENTREGAS (303)</v>
      </c>
      <c r="S2942">
        <v>1788</v>
      </c>
      <c r="T2942">
        <v>1262</v>
      </c>
      <c r="U2942" t="s">
        <v>19</v>
      </c>
    </row>
    <row r="2943" spans="1:21">
      <c r="A2943" t="str">
        <f t="shared" si="1438"/>
        <v>05/06/2025</v>
      </c>
      <c r="B2943" t="str">
        <f t="shared" si="1456"/>
        <v>ENTRADA</v>
      </c>
      <c r="C2943" t="str">
        <f t="shared" si="1452"/>
        <v>NFSE</v>
      </c>
      <c r="D2943" t="str">
        <f>"3056"</f>
        <v>3056</v>
      </c>
      <c r="E2943" t="str">
        <f t="shared" si="1451"/>
        <v>COM</v>
      </c>
      <c r="F2943" t="str">
        <f>"FARMACIA ECONOMIZE (10103)"</f>
        <v>FARMACIA ECONOMIZE (10103)</v>
      </c>
      <c r="G2943" t="str">
        <f>"Serv.Prest. 26/05/2025 a 01/06/2025 - RPS: 825 - NFSe: 3056"</f>
        <v>Serv.Prest. 26/05/2025 a 01/06/2025 - RPS: 825 - NFSe: 3056</v>
      </c>
      <c r="H2943" t="str">
        <f t="shared" si="1453"/>
        <v>04/06/2025</v>
      </c>
      <c r="I2943" t="str">
        <f t="shared" si="1457"/>
        <v>02/06/2025</v>
      </c>
      <c r="J2943" t="str">
        <f t="shared" si="1439"/>
        <v>05/06/2025</v>
      </c>
      <c r="M2943">
        <v>303</v>
      </c>
      <c r="N2943" t="str">
        <f t="shared" si="1454"/>
        <v>RECEITAS COM ENTREGAS</v>
      </c>
      <c r="P2943">
        <v>25.95</v>
      </c>
      <c r="Q2943" t="str">
        <f>"FARMACIA ECONOMIZE (10103)"</f>
        <v>FARMACIA ECONOMIZE (10103)</v>
      </c>
      <c r="R2943" t="str">
        <f t="shared" si="1455"/>
        <v>RECEITAS COM ENTREGAS (303)</v>
      </c>
      <c r="S2943">
        <v>1788</v>
      </c>
      <c r="T2943">
        <v>1262</v>
      </c>
      <c r="U2943" t="s">
        <v>19</v>
      </c>
    </row>
    <row r="2944" spans="1:21">
      <c r="A2944" t="str">
        <f t="shared" si="1438"/>
        <v>05/06/2025</v>
      </c>
      <c r="B2944" t="str">
        <f t="shared" si="1456"/>
        <v>ENTRADA</v>
      </c>
      <c r="C2944" t="str">
        <f t="shared" si="1452"/>
        <v>NFSE</v>
      </c>
      <c r="D2944" t="str">
        <f>"3070"</f>
        <v>3070</v>
      </c>
      <c r="E2944" t="str">
        <f t="shared" si="1451"/>
        <v>COM</v>
      </c>
      <c r="F2944" t="str">
        <f>"DROGARIA MEDIC CENTER LTDA (10172)"</f>
        <v>DROGARIA MEDIC CENTER LTDA (10172)</v>
      </c>
      <c r="G2944" t="str">
        <f>"Serv.Prest. 26/05/2025 a 01/06/2025 - RPS: 839 - NFSe: 3070"</f>
        <v>Serv.Prest. 26/05/2025 a 01/06/2025 - RPS: 839 - NFSe: 3070</v>
      </c>
      <c r="H2944" t="str">
        <f t="shared" si="1453"/>
        <v>04/06/2025</v>
      </c>
      <c r="I2944" t="str">
        <f>("03/06/2025")</f>
        <v>03/06/2025</v>
      </c>
      <c r="J2944" t="str">
        <f t="shared" si="1439"/>
        <v>05/06/2025</v>
      </c>
      <c r="K2944">
        <v>199.8</v>
      </c>
      <c r="L2944">
        <v>199.8</v>
      </c>
      <c r="M2944">
        <v>303</v>
      </c>
      <c r="N2944" t="str">
        <f t="shared" si="1454"/>
        <v>RECEITAS COM ENTREGAS</v>
      </c>
      <c r="O2944">
        <v>199.8</v>
      </c>
      <c r="R2944" t="str">
        <f t="shared" si="1455"/>
        <v>RECEITAS COM ENTREGAS (303)</v>
      </c>
      <c r="S2944">
        <v>1789</v>
      </c>
      <c r="T2944">
        <v>1287</v>
      </c>
      <c r="U2944" t="s">
        <v>19</v>
      </c>
    </row>
    <row r="2945" spans="1:21">
      <c r="A2945" t="str">
        <f t="shared" si="1438"/>
        <v>05/06/2025</v>
      </c>
      <c r="B2945" t="str">
        <f t="shared" si="1456"/>
        <v>ENTRADA</v>
      </c>
      <c r="C2945" t="str">
        <f t="shared" si="1452"/>
        <v>NFSE</v>
      </c>
      <c r="D2945" t="str">
        <f>"3070"</f>
        <v>3070</v>
      </c>
      <c r="E2945" t="str">
        <f t="shared" si="1451"/>
        <v>COM</v>
      </c>
      <c r="F2945" t="str">
        <f>"DROGARIA MEDIC CENTER LTDA (10172)"</f>
        <v>DROGARIA MEDIC CENTER LTDA (10172)</v>
      </c>
      <c r="G2945" t="str">
        <f>"Serv.Prest. 26/05/2025 a 01/06/2025 - RPS: 839 - NFSe: 3070"</f>
        <v>Serv.Prest. 26/05/2025 a 01/06/2025 - RPS: 839 - NFSe: 3070</v>
      </c>
      <c r="H2945" t="str">
        <f t="shared" si="1453"/>
        <v>04/06/2025</v>
      </c>
      <c r="I2945" t="str">
        <f>("03/06/2025")</f>
        <v>03/06/2025</v>
      </c>
      <c r="J2945" t="str">
        <f t="shared" si="1439"/>
        <v>05/06/2025</v>
      </c>
      <c r="M2945">
        <v>303</v>
      </c>
      <c r="N2945" t="str">
        <f t="shared" si="1454"/>
        <v>RECEITAS COM ENTREGAS</v>
      </c>
      <c r="P2945">
        <v>199.8</v>
      </c>
      <c r="Q2945" t="str">
        <f>"DROGARIA MEDIC CENTER LTDA (10172)"</f>
        <v>DROGARIA MEDIC CENTER LTDA (10172)</v>
      </c>
      <c r="R2945" t="str">
        <f t="shared" si="1455"/>
        <v>RECEITAS COM ENTREGAS (303)</v>
      </c>
      <c r="S2945">
        <v>1789</v>
      </c>
      <c r="T2945">
        <v>1287</v>
      </c>
      <c r="U2945" t="s">
        <v>19</v>
      </c>
    </row>
    <row r="2946" spans="1:21">
      <c r="A2946" t="str">
        <f t="shared" si="1438"/>
        <v>05/06/2025</v>
      </c>
      <c r="B2946" t="str">
        <f t="shared" si="1456"/>
        <v>ENTRADA</v>
      </c>
      <c r="C2946" t="str">
        <f t="shared" si="1452"/>
        <v>NFSE</v>
      </c>
      <c r="D2946" t="str">
        <f>"2597"</f>
        <v>2597</v>
      </c>
      <c r="E2946" t="str">
        <f t="shared" si="1451"/>
        <v>COM</v>
      </c>
      <c r="F2946" t="str">
        <f>"DROGARIA POUPA MINAS (ULTRAMINAS) 3 (10129)"</f>
        <v>DROGARIA POUPA MINAS (ULTRAMINAS) 3 (10129)</v>
      </c>
      <c r="G2946" t="str">
        <f>"Serv.Prest. 23/12/2024 a 29/12/2024 - RPS: 372 - NFSe: 2597"</f>
        <v>Serv.Prest. 23/12/2024 a 29/12/2024 - RPS: 372 - NFSe: 2597</v>
      </c>
      <c r="H2946" t="str">
        <f>("05/06/2025")</f>
        <v>05/06/2025</v>
      </c>
      <c r="I2946" t="str">
        <f>("30/12/2024")</f>
        <v>30/12/2024</v>
      </c>
      <c r="J2946" t="str">
        <f t="shared" si="1439"/>
        <v>05/06/2025</v>
      </c>
      <c r="K2946">
        <v>274.56</v>
      </c>
      <c r="L2946">
        <v>274.56</v>
      </c>
      <c r="M2946">
        <v>303</v>
      </c>
      <c r="N2946" t="str">
        <f t="shared" si="1454"/>
        <v>RECEITAS COM ENTREGAS</v>
      </c>
      <c r="O2946">
        <v>274.56</v>
      </c>
      <c r="R2946" t="str">
        <f t="shared" si="1455"/>
        <v>RECEITAS COM ENTREGAS (303)</v>
      </c>
      <c r="S2946">
        <v>1790</v>
      </c>
      <c r="T2946">
        <v>682</v>
      </c>
      <c r="U2946" t="s">
        <v>19</v>
      </c>
    </row>
    <row r="2947" spans="1:21">
      <c r="A2947" t="str">
        <f t="shared" si="1438"/>
        <v>05/06/2025</v>
      </c>
      <c r="B2947" t="str">
        <f t="shared" si="1456"/>
        <v>ENTRADA</v>
      </c>
      <c r="C2947" t="str">
        <f t="shared" si="1452"/>
        <v>NFSE</v>
      </c>
      <c r="D2947" t="str">
        <f>"2597"</f>
        <v>2597</v>
      </c>
      <c r="E2947" t="str">
        <f t="shared" si="1451"/>
        <v>COM</v>
      </c>
      <c r="F2947" t="str">
        <f>"DROGARIA POUPA MINAS (ULTRAMINAS) 3 (10129)"</f>
        <v>DROGARIA POUPA MINAS (ULTRAMINAS) 3 (10129)</v>
      </c>
      <c r="G2947" t="str">
        <f>"Serv.Prest. 23/12/2024 a 29/12/2024 - RPS: 372 - NFSe: 2597"</f>
        <v>Serv.Prest. 23/12/2024 a 29/12/2024 - RPS: 372 - NFSe: 2597</v>
      </c>
      <c r="H2947" t="str">
        <f>("05/06/2025")</f>
        <v>05/06/2025</v>
      </c>
      <c r="I2947" t="str">
        <f>("30/12/2024")</f>
        <v>30/12/2024</v>
      </c>
      <c r="J2947" t="str">
        <f t="shared" si="1439"/>
        <v>05/06/2025</v>
      </c>
      <c r="M2947">
        <v>303</v>
      </c>
      <c r="N2947" t="str">
        <f t="shared" si="1454"/>
        <v>RECEITAS COM ENTREGAS</v>
      </c>
      <c r="P2947">
        <v>274.56</v>
      </c>
      <c r="Q2947" t="str">
        <f>"DROGARIA POUPA MINAS (ULTRAMINAS) 3 (10129)"</f>
        <v>DROGARIA POUPA MINAS (ULTRAMINAS) 3 (10129)</v>
      </c>
      <c r="R2947" t="str">
        <f t="shared" si="1455"/>
        <v>RECEITAS COM ENTREGAS (303)</v>
      </c>
      <c r="S2947">
        <v>1790</v>
      </c>
      <c r="T2947">
        <v>682</v>
      </c>
      <c r="U2947" t="s">
        <v>19</v>
      </c>
    </row>
    <row r="2948" spans="1:21">
      <c r="A2948" t="str">
        <f t="shared" si="1438"/>
        <v>05/06/2025</v>
      </c>
      <c r="B2948" t="str">
        <f t="shared" si="1456"/>
        <v>ENTRADA</v>
      </c>
      <c r="C2948" t="str">
        <f t="shared" si="1452"/>
        <v>NFSE</v>
      </c>
      <c r="D2948" t="str">
        <f>"3054"</f>
        <v>3054</v>
      </c>
      <c r="E2948" t="str">
        <f t="shared" si="1451"/>
        <v>COM</v>
      </c>
      <c r="F2948" t="str">
        <f>"DROGARIA POUPA MINAS (ULTRAMINAS) 3 (10129)"</f>
        <v>DROGARIA POUPA MINAS (ULTRAMINAS) 3 (10129)</v>
      </c>
      <c r="G2948" t="str">
        <f>"Serv.Prest. 26/05/2025 a 01/06/2025 - RPS: 823 - NFSe: 3054"</f>
        <v>Serv.Prest. 26/05/2025 a 01/06/2025 - RPS: 823 - NFSe: 3054</v>
      </c>
      <c r="H2948" t="str">
        <f>("05/06/2025")</f>
        <v>05/06/2025</v>
      </c>
      <c r="I2948" t="str">
        <f>("02/06/2025")</f>
        <v>02/06/2025</v>
      </c>
      <c r="J2948" t="str">
        <f t="shared" si="1439"/>
        <v>05/06/2025</v>
      </c>
      <c r="K2948">
        <v>274.56</v>
      </c>
      <c r="L2948">
        <v>274.56</v>
      </c>
      <c r="M2948">
        <v>303</v>
      </c>
      <c r="N2948" t="str">
        <f t="shared" si="1454"/>
        <v>RECEITAS COM ENTREGAS</v>
      </c>
      <c r="O2948">
        <v>274.56</v>
      </c>
      <c r="R2948" t="str">
        <f t="shared" si="1455"/>
        <v>RECEITAS COM ENTREGAS (303)</v>
      </c>
      <c r="S2948">
        <v>1791</v>
      </c>
      <c r="T2948">
        <v>1260</v>
      </c>
      <c r="U2948" t="s">
        <v>19</v>
      </c>
    </row>
    <row r="2949" spans="1:21">
      <c r="A2949" t="str">
        <f t="shared" si="1438"/>
        <v>05/06/2025</v>
      </c>
      <c r="B2949" t="str">
        <f t="shared" si="1456"/>
        <v>ENTRADA</v>
      </c>
      <c r="C2949" t="str">
        <f t="shared" si="1452"/>
        <v>NFSE</v>
      </c>
      <c r="D2949" t="str">
        <f>"3054"</f>
        <v>3054</v>
      </c>
      <c r="E2949" t="str">
        <f t="shared" si="1451"/>
        <v>COM</v>
      </c>
      <c r="F2949" t="str">
        <f>"DROGARIA POUPA MINAS (ULTRAMINAS) 3 (10129)"</f>
        <v>DROGARIA POUPA MINAS (ULTRAMINAS) 3 (10129)</v>
      </c>
      <c r="G2949" t="str">
        <f>"Serv.Prest. 26/05/2025 a 01/06/2025 - RPS: 823 - NFSe: 3054"</f>
        <v>Serv.Prest. 26/05/2025 a 01/06/2025 - RPS: 823 - NFSe: 3054</v>
      </c>
      <c r="H2949" t="str">
        <f>("05/06/2025")</f>
        <v>05/06/2025</v>
      </c>
      <c r="I2949" t="str">
        <f>("02/06/2025")</f>
        <v>02/06/2025</v>
      </c>
      <c r="J2949" t="str">
        <f t="shared" si="1439"/>
        <v>05/06/2025</v>
      </c>
      <c r="M2949">
        <v>303</v>
      </c>
      <c r="N2949" t="str">
        <f t="shared" si="1454"/>
        <v>RECEITAS COM ENTREGAS</v>
      </c>
      <c r="P2949">
        <v>274.56</v>
      </c>
      <c r="Q2949" t="str">
        <f>"DROGARIA POUPA MINAS (ULTRAMINAS) 3 (10129)"</f>
        <v>DROGARIA POUPA MINAS (ULTRAMINAS) 3 (10129)</v>
      </c>
      <c r="R2949" t="str">
        <f t="shared" si="1455"/>
        <v>RECEITAS COM ENTREGAS (303)</v>
      </c>
      <c r="S2949">
        <v>1791</v>
      </c>
      <c r="T2949">
        <v>1260</v>
      </c>
      <c r="U2949" t="s">
        <v>19</v>
      </c>
    </row>
    <row r="2950" spans="1:21">
      <c r="A2950" t="str">
        <f t="shared" ref="A2950:A2958" si="1458">("06/06/2025")</f>
        <v>06/06/2025</v>
      </c>
      <c r="B2950" t="str">
        <f>"SAÍDA"</f>
        <v>SAÍDA</v>
      </c>
      <c r="C2950" t="str">
        <f>"BOLETO"</f>
        <v>BOLETO</v>
      </c>
      <c r="D2950" t="str">
        <f>"01"</f>
        <v>01</v>
      </c>
      <c r="E2950" t="str">
        <f t="shared" si="1451"/>
        <v>COM</v>
      </c>
      <c r="F2950" t="str">
        <f>"BANCO DO BRASIL (20001)"</f>
        <v>BANCO DO BRASIL (20001)</v>
      </c>
      <c r="G2950" t="str">
        <f>"EMPRESTIMO FUI TECNOLOGIA"</f>
        <v>EMPRESTIMO FUI TECNOLOGIA</v>
      </c>
      <c r="H2950" t="str">
        <f>("06/06/2025")</f>
        <v>06/06/2025</v>
      </c>
      <c r="I2950" t="str">
        <f>("23/07/2024")</f>
        <v>23/07/2024</v>
      </c>
      <c r="J2950" t="str">
        <f t="shared" ref="J2950:J2958" si="1459">("06/06/2025")</f>
        <v>06/06/2025</v>
      </c>
      <c r="K2950">
        <v>508.77</v>
      </c>
      <c r="L2950">
        <v>508.77</v>
      </c>
      <c r="M2950">
        <v>114</v>
      </c>
      <c r="N2950" t="str">
        <f>"EMPRESTIMOS"</f>
        <v>EMPRESTIMOS</v>
      </c>
      <c r="O2950">
        <v>508.77</v>
      </c>
      <c r="R2950" t="str">
        <f>"BANCO CORA (102)"</f>
        <v>BANCO CORA (102)</v>
      </c>
      <c r="S2950">
        <v>1781</v>
      </c>
      <c r="T2950">
        <v>75</v>
      </c>
      <c r="U2950" t="s">
        <v>19</v>
      </c>
    </row>
    <row r="2951" spans="1:21">
      <c r="A2951" t="str">
        <f t="shared" si="1458"/>
        <v>06/06/2025</v>
      </c>
      <c r="B2951" t="str">
        <f>"SAÍDA"</f>
        <v>SAÍDA</v>
      </c>
      <c r="C2951" t="str">
        <f>"BOLETO"</f>
        <v>BOLETO</v>
      </c>
      <c r="D2951" t="str">
        <f>"01"</f>
        <v>01</v>
      </c>
      <c r="E2951" t="str">
        <f t="shared" si="1451"/>
        <v>COM</v>
      </c>
      <c r="F2951" t="str">
        <f>"BANCO DO BRASIL (20001)"</f>
        <v>BANCO DO BRASIL (20001)</v>
      </c>
      <c r="G2951" t="str">
        <f>"EMPRESTIMO FUI TECNOLOGIA"</f>
        <v>EMPRESTIMO FUI TECNOLOGIA</v>
      </c>
      <c r="H2951" t="str">
        <f>("06/06/2025")</f>
        <v>06/06/2025</v>
      </c>
      <c r="I2951" t="str">
        <f>("23/07/2024")</f>
        <v>23/07/2024</v>
      </c>
      <c r="J2951" t="str">
        <f t="shared" si="1459"/>
        <v>06/06/2025</v>
      </c>
      <c r="M2951">
        <v>114</v>
      </c>
      <c r="N2951" t="str">
        <f>"EMPRESTIMOS"</f>
        <v>EMPRESTIMOS</v>
      </c>
      <c r="P2951">
        <v>508.77</v>
      </c>
      <c r="Q2951" t="str">
        <f>"BANCO DO BRASIL (20001)"</f>
        <v>BANCO DO BRASIL (20001)</v>
      </c>
      <c r="R2951" t="str">
        <f>"BANCO CORA (102)"</f>
        <v>BANCO CORA (102)</v>
      </c>
      <c r="S2951">
        <v>1781</v>
      </c>
      <c r="T2951">
        <v>75</v>
      </c>
      <c r="U2951" t="s">
        <v>19</v>
      </c>
    </row>
    <row r="2952" spans="1:21">
      <c r="A2952" t="str">
        <f t="shared" si="1458"/>
        <v>06/06/2025</v>
      </c>
      <c r="B2952" t="str">
        <f>"SAÍDA"</f>
        <v>SAÍDA</v>
      </c>
      <c r="C2952" t="str">
        <f>"CONHECIMENTO"</f>
        <v>CONHECIMENTO</v>
      </c>
      <c r="D2952" t="str">
        <f>"060625170"</f>
        <v>060625170</v>
      </c>
      <c r="E2952" t="str">
        <f t="shared" si="1451"/>
        <v>COM</v>
      </c>
      <c r="F2952" t="str">
        <f>"CORA SOCIEDADE DE CREDITO, FINANCIAMENTO E INVESTIMENTO (20035)"</f>
        <v>CORA SOCIEDADE DE CREDITO, FINANCIAMENTO E INVESTIMENTO (20035)</v>
      </c>
      <c r="G2952" t="str">
        <f>"TAXA BOLETO COMPENSADO"</f>
        <v>TAXA BOLETO COMPENSADO</v>
      </c>
      <c r="H2952" t="str">
        <f>("06/06/2025")</f>
        <v>06/06/2025</v>
      </c>
      <c r="I2952" t="str">
        <f>("06/06/2025")</f>
        <v>06/06/2025</v>
      </c>
      <c r="J2952" t="str">
        <f t="shared" si="1459"/>
        <v>06/06/2025</v>
      </c>
      <c r="K2952">
        <v>1.7</v>
      </c>
      <c r="L2952">
        <v>1.7</v>
      </c>
      <c r="M2952">
        <v>401</v>
      </c>
      <c r="N2952" t="str">
        <f>"IOF/JUROS/DESP.FINANCEIRA"</f>
        <v>IOF/JUROS/DESP.FINANCEIRA</v>
      </c>
      <c r="O2952">
        <v>1.7</v>
      </c>
      <c r="R2952" t="str">
        <f>"BANCO CORA (102)"</f>
        <v>BANCO CORA (102)</v>
      </c>
      <c r="S2952">
        <v>1782</v>
      </c>
      <c r="T2952">
        <v>1326</v>
      </c>
      <c r="U2952" t="s">
        <v>19</v>
      </c>
    </row>
    <row r="2953" spans="1:21">
      <c r="A2953" t="str">
        <f t="shared" si="1458"/>
        <v>06/06/2025</v>
      </c>
      <c r="B2953" t="str">
        <f>"SAÍDA"</f>
        <v>SAÍDA</v>
      </c>
      <c r="C2953" t="str">
        <f>"CONHECIMENTO"</f>
        <v>CONHECIMENTO</v>
      </c>
      <c r="D2953" t="str">
        <f>"060625170"</f>
        <v>060625170</v>
      </c>
      <c r="E2953" t="str">
        <f t="shared" si="1451"/>
        <v>COM</v>
      </c>
      <c r="F2953" t="str">
        <f>"CORA SOCIEDADE DE CREDITO, FINANCIAMENTO E INVESTIMENTO (20035)"</f>
        <v>CORA SOCIEDADE DE CREDITO, FINANCIAMENTO E INVESTIMENTO (20035)</v>
      </c>
      <c r="G2953" t="str">
        <f>"TAXA BOLETO COMPENSADO"</f>
        <v>TAXA BOLETO COMPENSADO</v>
      </c>
      <c r="H2953" t="str">
        <f>("06/06/2025")</f>
        <v>06/06/2025</v>
      </c>
      <c r="I2953" t="str">
        <f>("06/06/2025")</f>
        <v>06/06/2025</v>
      </c>
      <c r="J2953" t="str">
        <f t="shared" si="1459"/>
        <v>06/06/2025</v>
      </c>
      <c r="K2953">
        <v>1.7</v>
      </c>
      <c r="L2953">
        <v>1.7</v>
      </c>
      <c r="M2953">
        <v>401</v>
      </c>
      <c r="N2953" t="str">
        <f>"IOF/JUROS/DESP.FINANCEIRA"</f>
        <v>IOF/JUROS/DESP.FINANCEIRA</v>
      </c>
      <c r="O2953">
        <v>1.7</v>
      </c>
      <c r="R2953" t="str">
        <f>"BANCO CORA (102)"</f>
        <v>BANCO CORA (102)</v>
      </c>
      <c r="S2953">
        <v>1783</v>
      </c>
      <c r="T2953">
        <v>1327</v>
      </c>
      <c r="U2953" t="s">
        <v>19</v>
      </c>
    </row>
    <row r="2954" spans="1:21">
      <c r="A2954" t="str">
        <f t="shared" si="1458"/>
        <v>06/06/2025</v>
      </c>
      <c r="B2954" t="str">
        <f>"ENTRADA"</f>
        <v>ENTRADA</v>
      </c>
      <c r="C2954" t="str">
        <f t="shared" ref="C2954:C2962" si="1460">"NFSE"</f>
        <v>NFSE</v>
      </c>
      <c r="D2954" t="str">
        <f>"3062"</f>
        <v>3062</v>
      </c>
      <c r="E2954" t="str">
        <f t="shared" si="1451"/>
        <v>COM</v>
      </c>
      <c r="F2954" t="str">
        <f>"DROGARIA POUPA MINAS (DOIS AMIGOS) 5 (10140)"</f>
        <v>DROGARIA POUPA MINAS (DOIS AMIGOS) 5 (10140)</v>
      </c>
      <c r="G2954" t="str">
        <f>"Serv.Prest. 26/05/2025 a 01/06/2025 - RPS: 831 - NFSe: 3062"</f>
        <v>Serv.Prest. 26/05/2025 a 01/06/2025 - RPS: 831 - NFSe: 3062</v>
      </c>
      <c r="H2954" t="str">
        <f>("05/06/2025")</f>
        <v>05/06/2025</v>
      </c>
      <c r="I2954" t="str">
        <f>("02/06/2025")</f>
        <v>02/06/2025</v>
      </c>
      <c r="J2954" t="str">
        <f t="shared" si="1459"/>
        <v>06/06/2025</v>
      </c>
      <c r="K2954">
        <v>684.68</v>
      </c>
      <c r="L2954">
        <v>684.68</v>
      </c>
      <c r="M2954">
        <v>303</v>
      </c>
      <c r="N2954" t="str">
        <f t="shared" ref="N2954:N2962" si="1461">"RECEITAS COM ENTREGAS"</f>
        <v>RECEITAS COM ENTREGAS</v>
      </c>
      <c r="O2954">
        <v>684.68</v>
      </c>
      <c r="R2954" t="str">
        <f t="shared" ref="R2954:R2962" si="1462">"RECEITAS COM ENTREGAS (303)"</f>
        <v>RECEITAS COM ENTREGAS (303)</v>
      </c>
      <c r="S2954">
        <v>1792</v>
      </c>
      <c r="T2954">
        <v>1268</v>
      </c>
      <c r="U2954" t="s">
        <v>19</v>
      </c>
    </row>
    <row r="2955" spans="1:21">
      <c r="A2955" t="str">
        <f t="shared" si="1458"/>
        <v>06/06/2025</v>
      </c>
      <c r="B2955" t="str">
        <f t="shared" ref="B2955:B2962" si="1463">"ENTRADA"</f>
        <v>ENTRADA</v>
      </c>
      <c r="C2955" t="str">
        <f t="shared" si="1460"/>
        <v>NFSE</v>
      </c>
      <c r="D2955" t="str">
        <f>"3062"</f>
        <v>3062</v>
      </c>
      <c r="E2955" t="str">
        <f t="shared" si="1451"/>
        <v>COM</v>
      </c>
      <c r="F2955" t="str">
        <f>"DROGARIA POUPA MINAS (DOIS AMIGOS) 5 (10140)"</f>
        <v>DROGARIA POUPA MINAS (DOIS AMIGOS) 5 (10140)</v>
      </c>
      <c r="G2955" t="str">
        <f>"Serv.Prest. 26/05/2025 a 01/06/2025 - RPS: 831 - NFSe: 3062"</f>
        <v>Serv.Prest. 26/05/2025 a 01/06/2025 - RPS: 831 - NFSe: 3062</v>
      </c>
      <c r="H2955" t="str">
        <f>("05/06/2025")</f>
        <v>05/06/2025</v>
      </c>
      <c r="I2955" t="str">
        <f>("02/06/2025")</f>
        <v>02/06/2025</v>
      </c>
      <c r="J2955" t="str">
        <f t="shared" si="1459"/>
        <v>06/06/2025</v>
      </c>
      <c r="M2955">
        <v>303</v>
      </c>
      <c r="N2955" t="str">
        <f t="shared" si="1461"/>
        <v>RECEITAS COM ENTREGAS</v>
      </c>
      <c r="P2955">
        <v>29.85</v>
      </c>
      <c r="Q2955" t="str">
        <f>"DROGARIA POUPA MINAS (ULTRAMINAS) (10116)"</f>
        <v>DROGARIA POUPA MINAS (ULTRAMINAS) (10116)</v>
      </c>
      <c r="R2955" t="str">
        <f t="shared" si="1462"/>
        <v>RECEITAS COM ENTREGAS (303)</v>
      </c>
      <c r="S2955">
        <v>1792</v>
      </c>
      <c r="T2955">
        <v>1268</v>
      </c>
      <c r="U2955" t="s">
        <v>19</v>
      </c>
    </row>
    <row r="2956" spans="1:21">
      <c r="A2956" t="str">
        <f t="shared" si="1458"/>
        <v>06/06/2025</v>
      </c>
      <c r="B2956" t="str">
        <f t="shared" si="1463"/>
        <v>ENTRADA</v>
      </c>
      <c r="C2956" t="str">
        <f t="shared" si="1460"/>
        <v>NFSE</v>
      </c>
      <c r="D2956" t="str">
        <f>"3062"</f>
        <v>3062</v>
      </c>
      <c r="E2956" t="str">
        <f t="shared" si="1451"/>
        <v>COM</v>
      </c>
      <c r="F2956" t="str">
        <f>"DROGARIA POUPA MINAS (DOIS AMIGOS) 5 (10140)"</f>
        <v>DROGARIA POUPA MINAS (DOIS AMIGOS) 5 (10140)</v>
      </c>
      <c r="G2956" t="str">
        <f>"Serv.Prest. 26/05/2025 a 01/06/2025 - RPS: 831 - NFSe: 3062"</f>
        <v>Serv.Prest. 26/05/2025 a 01/06/2025 - RPS: 831 - NFSe: 3062</v>
      </c>
      <c r="H2956" t="str">
        <f>("05/06/2025")</f>
        <v>05/06/2025</v>
      </c>
      <c r="I2956" t="str">
        <f>("02/06/2025")</f>
        <v>02/06/2025</v>
      </c>
      <c r="J2956" t="str">
        <f t="shared" si="1459"/>
        <v>06/06/2025</v>
      </c>
      <c r="M2956">
        <v>303</v>
      </c>
      <c r="N2956" t="str">
        <f t="shared" si="1461"/>
        <v>RECEITAS COM ENTREGAS</v>
      </c>
      <c r="P2956">
        <v>654.83000000000004</v>
      </c>
      <c r="Q2956" t="str">
        <f>"DROGARIA POUPA MINAS (ULTRAMINAS) 1 (10181)"</f>
        <v>DROGARIA POUPA MINAS (ULTRAMINAS) 1 (10181)</v>
      </c>
      <c r="R2956" t="str">
        <f t="shared" si="1462"/>
        <v>RECEITAS COM ENTREGAS (303)</v>
      </c>
      <c r="S2956">
        <v>1792</v>
      </c>
      <c r="T2956">
        <v>1268</v>
      </c>
      <c r="U2956" t="s">
        <v>19</v>
      </c>
    </row>
    <row r="2957" spans="1:21">
      <c r="A2957" t="str">
        <f t="shared" si="1458"/>
        <v>06/06/2025</v>
      </c>
      <c r="B2957" t="str">
        <f t="shared" si="1463"/>
        <v>ENTRADA</v>
      </c>
      <c r="C2957" t="str">
        <f t="shared" si="1460"/>
        <v>NFSE</v>
      </c>
      <c r="D2957" t="str">
        <f>"3063"</f>
        <v>3063</v>
      </c>
      <c r="E2957" t="str">
        <f t="shared" si="1451"/>
        <v>COM</v>
      </c>
      <c r="F2957" t="str">
        <f>"DROGARIA POUPA MINAS (DOIS AMIGOS) 5 (10140)"</f>
        <v>DROGARIA POUPA MINAS (DOIS AMIGOS) 5 (10140)</v>
      </c>
      <c r="G2957" t="str">
        <f>"Serv.Prest. 01/05/2025 a 31/05/2025 - RPS: 832 - NFSe: 3063"</f>
        <v>Serv.Prest. 01/05/2025 a 31/05/2025 - RPS: 832 - NFSe: 3063</v>
      </c>
      <c r="H2957" t="str">
        <f>("05/06/2025")</f>
        <v>05/06/2025</v>
      </c>
      <c r="I2957" t="str">
        <f>("02/06/2025")</f>
        <v>02/06/2025</v>
      </c>
      <c r="J2957" t="str">
        <f t="shared" si="1459"/>
        <v>06/06/2025</v>
      </c>
      <c r="K2957">
        <v>514.85</v>
      </c>
      <c r="L2957">
        <v>514.85</v>
      </c>
      <c r="M2957">
        <v>303</v>
      </c>
      <c r="N2957" t="str">
        <f t="shared" si="1461"/>
        <v>RECEITAS COM ENTREGAS</v>
      </c>
      <c r="O2957">
        <v>514.85</v>
      </c>
      <c r="R2957" t="str">
        <f t="shared" si="1462"/>
        <v>RECEITAS COM ENTREGAS (303)</v>
      </c>
      <c r="S2957">
        <v>1793</v>
      </c>
      <c r="T2957">
        <v>1269</v>
      </c>
      <c r="U2957" t="s">
        <v>19</v>
      </c>
    </row>
    <row r="2958" spans="1:21">
      <c r="A2958" t="str">
        <f t="shared" si="1458"/>
        <v>06/06/2025</v>
      </c>
      <c r="B2958" t="str">
        <f t="shared" si="1463"/>
        <v>ENTRADA</v>
      </c>
      <c r="C2958" t="str">
        <f t="shared" si="1460"/>
        <v>NFSE</v>
      </c>
      <c r="D2958" t="str">
        <f>"3063"</f>
        <v>3063</v>
      </c>
      <c r="E2958" t="str">
        <f t="shared" si="1451"/>
        <v>COM</v>
      </c>
      <c r="F2958" t="str">
        <f>"DROGARIA POUPA MINAS (DOIS AMIGOS) 5 (10140)"</f>
        <v>DROGARIA POUPA MINAS (DOIS AMIGOS) 5 (10140)</v>
      </c>
      <c r="G2958" t="str">
        <f>"Serv.Prest. 01/05/2025 a 31/05/2025 - RPS: 832 - NFSe: 3063"</f>
        <v>Serv.Prest. 01/05/2025 a 31/05/2025 - RPS: 832 - NFSe: 3063</v>
      </c>
      <c r="H2958" t="str">
        <f>("05/06/2025")</f>
        <v>05/06/2025</v>
      </c>
      <c r="I2958" t="str">
        <f>("02/06/2025")</f>
        <v>02/06/2025</v>
      </c>
      <c r="J2958" t="str">
        <f t="shared" si="1459"/>
        <v>06/06/2025</v>
      </c>
      <c r="M2958">
        <v>303</v>
      </c>
      <c r="N2958" t="str">
        <f t="shared" si="1461"/>
        <v>RECEITAS COM ENTREGAS</v>
      </c>
      <c r="P2958">
        <v>514.85</v>
      </c>
      <c r="Q2958" t="str">
        <f>"DROGARIA POUPA MINAS (ULTRAMINAS) 1 (10181)"</f>
        <v>DROGARIA POUPA MINAS (ULTRAMINAS) 1 (10181)</v>
      </c>
      <c r="R2958" t="str">
        <f t="shared" si="1462"/>
        <v>RECEITAS COM ENTREGAS (303)</v>
      </c>
      <c r="S2958">
        <v>1793</v>
      </c>
      <c r="T2958">
        <v>1269</v>
      </c>
      <c r="U2958" t="s">
        <v>19</v>
      </c>
    </row>
    <row r="2959" spans="1:21">
      <c r="A2959" t="str">
        <f t="shared" ref="A2959:A2970" si="1464">("09/06/2025")</f>
        <v>09/06/2025</v>
      </c>
      <c r="B2959" t="str">
        <f t="shared" si="1463"/>
        <v>ENTRADA</v>
      </c>
      <c r="C2959" t="str">
        <f t="shared" si="1460"/>
        <v>NFSE</v>
      </c>
      <c r="D2959" t="str">
        <f>"3036"</f>
        <v>3036</v>
      </c>
      <c r="E2959" t="str">
        <f t="shared" si="1451"/>
        <v>COM</v>
      </c>
      <c r="F2959" t="str">
        <f>"PAGMENOS - LJ 608 (10135)"</f>
        <v>PAGMENOS - LJ 608 (10135)</v>
      </c>
      <c r="G2959" t="str">
        <f>"Serv.Prest. 19/05/2025 a 25/05/2025 - RPS: 806 - NFSe: 3036"</f>
        <v>Serv.Prest. 19/05/2025 a 25/05/2025 - RPS: 806 - NFSe: 3036</v>
      </c>
      <c r="H2959" t="str">
        <f>("06/06/2025")</f>
        <v>06/06/2025</v>
      </c>
      <c r="I2959" t="str">
        <f>("27/05/2025")</f>
        <v>27/05/2025</v>
      </c>
      <c r="J2959" t="str">
        <f t="shared" ref="J2959:J2970" si="1465">("09/06/2025")</f>
        <v>09/06/2025</v>
      </c>
      <c r="K2959">
        <v>280.20999999999998</v>
      </c>
      <c r="L2959">
        <v>280.20999999999998</v>
      </c>
      <c r="M2959">
        <v>303</v>
      </c>
      <c r="N2959" t="str">
        <f t="shared" si="1461"/>
        <v>RECEITAS COM ENTREGAS</v>
      </c>
      <c r="O2959">
        <v>280.20999999999998</v>
      </c>
      <c r="R2959" t="str">
        <f t="shared" si="1462"/>
        <v>RECEITAS COM ENTREGAS (303)</v>
      </c>
      <c r="S2959">
        <v>1794</v>
      </c>
      <c r="T2959">
        <v>1243</v>
      </c>
      <c r="U2959" t="s">
        <v>19</v>
      </c>
    </row>
    <row r="2960" spans="1:21">
      <c r="A2960" t="str">
        <f t="shared" si="1464"/>
        <v>09/06/2025</v>
      </c>
      <c r="B2960" t="str">
        <f t="shared" si="1463"/>
        <v>ENTRADA</v>
      </c>
      <c r="C2960" t="str">
        <f t="shared" si="1460"/>
        <v>NFSE</v>
      </c>
      <c r="D2960" t="str">
        <f>"3036"</f>
        <v>3036</v>
      </c>
      <c r="E2960" t="str">
        <f t="shared" si="1451"/>
        <v>COM</v>
      </c>
      <c r="F2960" t="str">
        <f>"PAGMENOS - LJ 608 (10135)"</f>
        <v>PAGMENOS - LJ 608 (10135)</v>
      </c>
      <c r="G2960" t="str">
        <f>"Serv.Prest. 19/05/2025 a 25/05/2025 - RPS: 806 - NFSe: 3036"</f>
        <v>Serv.Prest. 19/05/2025 a 25/05/2025 - RPS: 806 - NFSe: 3036</v>
      </c>
      <c r="H2960" t="str">
        <f>("06/06/2025")</f>
        <v>06/06/2025</v>
      </c>
      <c r="I2960" t="str">
        <f>("27/05/2025")</f>
        <v>27/05/2025</v>
      </c>
      <c r="J2960" t="str">
        <f t="shared" si="1465"/>
        <v>09/06/2025</v>
      </c>
      <c r="M2960">
        <v>303</v>
      </c>
      <c r="N2960" t="str">
        <f t="shared" si="1461"/>
        <v>RECEITAS COM ENTREGAS</v>
      </c>
      <c r="P2960">
        <v>280.20999999999998</v>
      </c>
      <c r="Q2960" t="str">
        <f>"PAGMENOS - LJ 608 (10135)"</f>
        <v>PAGMENOS - LJ 608 (10135)</v>
      </c>
      <c r="R2960" t="str">
        <f t="shared" si="1462"/>
        <v>RECEITAS COM ENTREGAS (303)</v>
      </c>
      <c r="S2960">
        <v>1794</v>
      </c>
      <c r="T2960">
        <v>1243</v>
      </c>
      <c r="U2960" t="s">
        <v>19</v>
      </c>
    </row>
    <row r="2961" spans="1:21">
      <c r="A2961" t="str">
        <f t="shared" si="1464"/>
        <v>09/06/2025</v>
      </c>
      <c r="B2961" t="str">
        <f t="shared" si="1463"/>
        <v>ENTRADA</v>
      </c>
      <c r="C2961" t="str">
        <f t="shared" si="1460"/>
        <v>NFSE</v>
      </c>
      <c r="D2961" t="str">
        <f>"3037"</f>
        <v>3037</v>
      </c>
      <c r="E2961" t="str">
        <f t="shared" si="1451"/>
        <v>COM</v>
      </c>
      <c r="F2961" t="str">
        <f>"PAGMENOS - LJ 657 (10136)"</f>
        <v>PAGMENOS - LJ 657 (10136)</v>
      </c>
      <c r="G2961" t="str">
        <f>"Serv.Prest. 19/05/2025 a 25/05/2025 - RPS: 807 - NFSe: 3037"</f>
        <v>Serv.Prest. 19/05/2025 a 25/05/2025 - RPS: 807 - NFSe: 3037</v>
      </c>
      <c r="H2961" t="str">
        <f>("06/06/2025")</f>
        <v>06/06/2025</v>
      </c>
      <c r="I2961" t="str">
        <f>("27/05/2025")</f>
        <v>27/05/2025</v>
      </c>
      <c r="J2961" t="str">
        <f t="shared" si="1465"/>
        <v>09/06/2025</v>
      </c>
      <c r="K2961">
        <v>596.6</v>
      </c>
      <c r="L2961">
        <v>596.6</v>
      </c>
      <c r="M2961">
        <v>303</v>
      </c>
      <c r="N2961" t="str">
        <f t="shared" si="1461"/>
        <v>RECEITAS COM ENTREGAS</v>
      </c>
      <c r="O2961">
        <v>596.6</v>
      </c>
      <c r="R2961" t="str">
        <f t="shared" si="1462"/>
        <v>RECEITAS COM ENTREGAS (303)</v>
      </c>
      <c r="S2961">
        <v>1795</v>
      </c>
      <c r="T2961">
        <v>1244</v>
      </c>
      <c r="U2961" t="s">
        <v>19</v>
      </c>
    </row>
    <row r="2962" spans="1:21">
      <c r="A2962" t="str">
        <f t="shared" si="1464"/>
        <v>09/06/2025</v>
      </c>
      <c r="B2962" t="str">
        <f t="shared" si="1463"/>
        <v>ENTRADA</v>
      </c>
      <c r="C2962" t="str">
        <f t="shared" si="1460"/>
        <v>NFSE</v>
      </c>
      <c r="D2962" t="str">
        <f>"3037"</f>
        <v>3037</v>
      </c>
      <c r="E2962" t="str">
        <f t="shared" si="1451"/>
        <v>COM</v>
      </c>
      <c r="F2962" t="str">
        <f>"PAGMENOS - LJ 657 (10136)"</f>
        <v>PAGMENOS - LJ 657 (10136)</v>
      </c>
      <c r="G2962" t="str">
        <f>"Serv.Prest. 19/05/2025 a 25/05/2025 - RPS: 807 - NFSe: 3037"</f>
        <v>Serv.Prest. 19/05/2025 a 25/05/2025 - RPS: 807 - NFSe: 3037</v>
      </c>
      <c r="H2962" t="str">
        <f>("06/06/2025")</f>
        <v>06/06/2025</v>
      </c>
      <c r="I2962" t="str">
        <f>("27/05/2025")</f>
        <v>27/05/2025</v>
      </c>
      <c r="J2962" t="str">
        <f t="shared" si="1465"/>
        <v>09/06/2025</v>
      </c>
      <c r="M2962">
        <v>303</v>
      </c>
      <c r="N2962" t="str">
        <f t="shared" si="1461"/>
        <v>RECEITAS COM ENTREGAS</v>
      </c>
      <c r="P2962">
        <v>596.6</v>
      </c>
      <c r="Q2962" t="str">
        <f>"PAGMENOS - LJ 657 (10136)"</f>
        <v>PAGMENOS - LJ 657 (10136)</v>
      </c>
      <c r="R2962" t="str">
        <f t="shared" si="1462"/>
        <v>RECEITAS COM ENTREGAS (303)</v>
      </c>
      <c r="S2962">
        <v>1795</v>
      </c>
      <c r="T2962">
        <v>1244</v>
      </c>
      <c r="U2962" t="s">
        <v>19</v>
      </c>
    </row>
    <row r="2963" spans="1:21">
      <c r="A2963" t="str">
        <f t="shared" si="1464"/>
        <v>09/06/2025</v>
      </c>
      <c r="B2963" t="str">
        <f t="shared" ref="B2963:B2973" si="1466">"SAÍDA"</f>
        <v>SAÍDA</v>
      </c>
      <c r="C2963" t="str">
        <f>"BOLETO"</f>
        <v>BOLETO</v>
      </c>
      <c r="D2963" t="str">
        <f>"0901"</f>
        <v>0901</v>
      </c>
      <c r="E2963" t="str">
        <f t="shared" si="1451"/>
        <v>COM</v>
      </c>
      <c r="F2963" t="str">
        <f>"CORA SOCIEDADE DE CREDITO, FINANCIAMENTO E INVESTIMENTO (20035)"</f>
        <v>CORA SOCIEDADE DE CREDITO, FINANCIAMENTO E INVESTIMENTO (20035)</v>
      </c>
      <c r="G2963" t="str">
        <f>"DESPESAS COM TARIFAS BANCARIAS"</f>
        <v>DESPESAS COM TARIFAS BANCARIAS</v>
      </c>
      <c r="H2963" t="str">
        <f t="shared" ref="H2963:H2970" si="1467">("09/06/2025")</f>
        <v>09/06/2025</v>
      </c>
      <c r="I2963" t="str">
        <f>("01/01/2025")</f>
        <v>01/01/2025</v>
      </c>
      <c r="J2963" t="str">
        <f t="shared" si="1465"/>
        <v>09/06/2025</v>
      </c>
      <c r="K2963">
        <v>44.9</v>
      </c>
      <c r="L2963">
        <v>44.9</v>
      </c>
      <c r="M2963">
        <v>401</v>
      </c>
      <c r="N2963" t="str">
        <f>"IOF/JUROS/DESP.FINANCEIRA"</f>
        <v>IOF/JUROS/DESP.FINANCEIRA</v>
      </c>
      <c r="O2963">
        <v>44.9</v>
      </c>
      <c r="R2963" t="str">
        <f t="shared" ref="R2963:R2973" si="1468">"BANCO CORA (102)"</f>
        <v>BANCO CORA (102)</v>
      </c>
      <c r="S2963">
        <v>1796</v>
      </c>
      <c r="T2963">
        <v>748</v>
      </c>
      <c r="U2963" t="s">
        <v>19</v>
      </c>
    </row>
    <row r="2964" spans="1:21">
      <c r="A2964" t="str">
        <f t="shared" si="1464"/>
        <v>09/06/2025</v>
      </c>
      <c r="B2964" t="str">
        <f t="shared" si="1466"/>
        <v>SAÍDA</v>
      </c>
      <c r="C2964" t="str">
        <f>"BOLETO"</f>
        <v>BOLETO</v>
      </c>
      <c r="D2964" t="str">
        <f>"0901"</f>
        <v>0901</v>
      </c>
      <c r="E2964" t="str">
        <f t="shared" si="1451"/>
        <v>COM</v>
      </c>
      <c r="F2964" t="str">
        <f>"CORA SOCIEDADE DE CREDITO, FINANCIAMENTO E INVESTIMENTO (20035)"</f>
        <v>CORA SOCIEDADE DE CREDITO, FINANCIAMENTO E INVESTIMENTO (20035)</v>
      </c>
      <c r="G2964" t="str">
        <f>"DESPESAS COM TARIFAS BANCARIAS"</f>
        <v>DESPESAS COM TARIFAS BANCARIAS</v>
      </c>
      <c r="H2964" t="str">
        <f t="shared" si="1467"/>
        <v>09/06/2025</v>
      </c>
      <c r="I2964" t="str">
        <f>("01/01/2025")</f>
        <v>01/01/2025</v>
      </c>
      <c r="J2964" t="str">
        <f t="shared" si="1465"/>
        <v>09/06/2025</v>
      </c>
      <c r="M2964">
        <v>401</v>
      </c>
      <c r="N2964" t="str">
        <f>"IOF/JUROS/DESP.FINANCEIRA"</f>
        <v>IOF/JUROS/DESP.FINANCEIRA</v>
      </c>
      <c r="P2964">
        <v>44.9</v>
      </c>
      <c r="Q2964" t="str">
        <f>"CORA SOCIEDADE DE CREDITO, FINANCIAMENTO E INVESTIMENTO (20035)"</f>
        <v>CORA SOCIEDADE DE CREDITO, FINANCIAMENTO E INVESTIMENTO (20035)</v>
      </c>
      <c r="R2964" t="str">
        <f t="shared" si="1468"/>
        <v>BANCO CORA (102)</v>
      </c>
      <c r="S2964">
        <v>1796</v>
      </c>
      <c r="T2964">
        <v>748</v>
      </c>
      <c r="U2964" t="s">
        <v>19</v>
      </c>
    </row>
    <row r="2965" spans="1:21">
      <c r="A2965" t="str">
        <f t="shared" si="1464"/>
        <v>09/06/2025</v>
      </c>
      <c r="B2965" t="str">
        <f t="shared" si="1466"/>
        <v>SAÍDA</v>
      </c>
      <c r="C2965" t="str">
        <f>"PIX"</f>
        <v>PIX</v>
      </c>
      <c r="D2965" t="str">
        <f>"0906251000"</f>
        <v>0906251000</v>
      </c>
      <c r="E2965" t="str">
        <f t="shared" si="1451"/>
        <v>COM</v>
      </c>
      <c r="F2965" t="str">
        <f>"CONTA SIMPLES SOLUCOES DE PAGAMENTOS LTDA (20019)"</f>
        <v>CONTA SIMPLES SOLUCOES DE PAGAMENTOS LTDA (20019)</v>
      </c>
      <c r="G2965" t="str">
        <f>"MARKETING REDES SOCIAIS - PIX- CHAVE ALEATORIA: 1d5b84cc-db31-469d-b8ee-076ced54c3e9"</f>
        <v>MARKETING REDES SOCIAIS - PIX- CHAVE ALEATORIA: 1d5b84cc-db31-469d-b8ee-076ced54c3e9</v>
      </c>
      <c r="H2965" t="str">
        <f t="shared" si="1467"/>
        <v>09/06/2025</v>
      </c>
      <c r="I2965" t="str">
        <f t="shared" ref="I2965:I2970" si="1469">("09/06/2025")</f>
        <v>09/06/2025</v>
      </c>
      <c r="J2965" t="str">
        <f t="shared" si="1465"/>
        <v>09/06/2025</v>
      </c>
      <c r="K2965">
        <v>1000</v>
      </c>
      <c r="L2965">
        <v>1000</v>
      </c>
      <c r="M2965">
        <v>127</v>
      </c>
      <c r="N2965" t="str">
        <f>"PUBLICIDADE E PROPAGANDAS"</f>
        <v>PUBLICIDADE E PROPAGANDAS</v>
      </c>
      <c r="O2965">
        <v>1000</v>
      </c>
      <c r="R2965" t="str">
        <f t="shared" si="1468"/>
        <v>BANCO CORA (102)</v>
      </c>
      <c r="S2965">
        <v>1799</v>
      </c>
      <c r="T2965">
        <v>1316</v>
      </c>
      <c r="U2965" t="s">
        <v>19</v>
      </c>
    </row>
    <row r="2966" spans="1:21">
      <c r="A2966" t="str">
        <f t="shared" si="1464"/>
        <v>09/06/2025</v>
      </c>
      <c r="B2966" t="str">
        <f t="shared" si="1466"/>
        <v>SAÍDA</v>
      </c>
      <c r="C2966" t="str">
        <f>"PIX"</f>
        <v>PIX</v>
      </c>
      <c r="D2966" t="str">
        <f>"0906251000"</f>
        <v>0906251000</v>
      </c>
      <c r="E2966" t="str">
        <f t="shared" si="1451"/>
        <v>COM</v>
      </c>
      <c r="F2966" t="str">
        <f>"CONTA SIMPLES SOLUCOES DE PAGAMENTOS LTDA (20019)"</f>
        <v>CONTA SIMPLES SOLUCOES DE PAGAMENTOS LTDA (20019)</v>
      </c>
      <c r="G2966" t="str">
        <f>"MARKETING REDES SOCIAIS - PIX- CHAVE ALEATORIA: 1d5b84cc-db31-469d-b8ee-076ced54c3e9"</f>
        <v>MARKETING REDES SOCIAIS - PIX- CHAVE ALEATORIA: 1d5b84cc-db31-469d-b8ee-076ced54c3e9</v>
      </c>
      <c r="H2966" t="str">
        <f t="shared" si="1467"/>
        <v>09/06/2025</v>
      </c>
      <c r="I2966" t="str">
        <f t="shared" si="1469"/>
        <v>09/06/2025</v>
      </c>
      <c r="J2966" t="str">
        <f t="shared" si="1465"/>
        <v>09/06/2025</v>
      </c>
      <c r="M2966">
        <v>127</v>
      </c>
      <c r="N2966" t="str">
        <f>"PUBLICIDADE E PROPAGANDAS"</f>
        <v>PUBLICIDADE E PROPAGANDAS</v>
      </c>
      <c r="P2966">
        <v>1000</v>
      </c>
      <c r="Q2966" t="str">
        <f>"CONTA SIMPLES SOLUCOES DE PAGAMENTOS LTDA (20019)"</f>
        <v>CONTA SIMPLES SOLUCOES DE PAGAMENTOS LTDA (20019)</v>
      </c>
      <c r="R2966" t="str">
        <f t="shared" si="1468"/>
        <v>BANCO CORA (102)</v>
      </c>
      <c r="S2966">
        <v>1799</v>
      </c>
      <c r="T2966">
        <v>1316</v>
      </c>
      <c r="U2966" t="s">
        <v>19</v>
      </c>
    </row>
    <row r="2967" spans="1:21">
      <c r="A2967" t="str">
        <f t="shared" si="1464"/>
        <v>09/06/2025</v>
      </c>
      <c r="B2967" t="str">
        <f t="shared" si="1466"/>
        <v>SAÍDA</v>
      </c>
      <c r="C2967" t="str">
        <f t="shared" ref="C2967:C2973" si="1470">"CONHECIMENTO"</f>
        <v>CONHECIMENTO</v>
      </c>
      <c r="D2967" t="str">
        <f>"090625170"</f>
        <v>090625170</v>
      </c>
      <c r="E2967" t="str">
        <f t="shared" si="1451"/>
        <v>COM</v>
      </c>
      <c r="F2967" t="str">
        <f t="shared" ref="F2967:F2973" si="1471">"CORA SOCIEDADE DE CREDITO, FINANCIAMENTO E INVESTIMENTO (20035)"</f>
        <v>CORA SOCIEDADE DE CREDITO, FINANCIAMENTO E INVESTIMENTO (20035)</v>
      </c>
      <c r="G2967" t="str">
        <f t="shared" ref="G2967:G2973" si="1472">"TAXA BOLETO COMPENSADO"</f>
        <v>TAXA BOLETO COMPENSADO</v>
      </c>
      <c r="H2967" t="str">
        <f t="shared" si="1467"/>
        <v>09/06/2025</v>
      </c>
      <c r="I2967" t="str">
        <f t="shared" si="1469"/>
        <v>09/06/2025</v>
      </c>
      <c r="J2967" t="str">
        <f t="shared" si="1465"/>
        <v>09/06/2025</v>
      </c>
      <c r="K2967">
        <v>1.7</v>
      </c>
      <c r="L2967">
        <v>1.7</v>
      </c>
      <c r="M2967">
        <v>401</v>
      </c>
      <c r="N2967" t="str">
        <f t="shared" ref="N2967:N2973" si="1473">"IOF/JUROS/DESP.FINANCEIRA"</f>
        <v>IOF/JUROS/DESP.FINANCEIRA</v>
      </c>
      <c r="O2967">
        <v>1.7</v>
      </c>
      <c r="R2967" t="str">
        <f t="shared" si="1468"/>
        <v>BANCO CORA (102)</v>
      </c>
      <c r="S2967">
        <v>1800</v>
      </c>
      <c r="T2967">
        <v>1339</v>
      </c>
      <c r="U2967" t="s">
        <v>19</v>
      </c>
    </row>
    <row r="2968" spans="1:21">
      <c r="A2968" t="str">
        <f t="shared" si="1464"/>
        <v>09/06/2025</v>
      </c>
      <c r="B2968" t="str">
        <f t="shared" si="1466"/>
        <v>SAÍDA</v>
      </c>
      <c r="C2968" t="str">
        <f t="shared" si="1470"/>
        <v>CONHECIMENTO</v>
      </c>
      <c r="D2968" t="str">
        <f>"090625170"</f>
        <v>090625170</v>
      </c>
      <c r="E2968" t="str">
        <f t="shared" si="1451"/>
        <v>COM</v>
      </c>
      <c r="F2968" t="str">
        <f t="shared" si="1471"/>
        <v>CORA SOCIEDADE DE CREDITO, FINANCIAMENTO E INVESTIMENTO (20035)</v>
      </c>
      <c r="G2968" t="str">
        <f t="shared" si="1472"/>
        <v>TAXA BOLETO COMPENSADO</v>
      </c>
      <c r="H2968" t="str">
        <f t="shared" si="1467"/>
        <v>09/06/2025</v>
      </c>
      <c r="I2968" t="str">
        <f t="shared" si="1469"/>
        <v>09/06/2025</v>
      </c>
      <c r="J2968" t="str">
        <f t="shared" si="1465"/>
        <v>09/06/2025</v>
      </c>
      <c r="M2968">
        <v>401</v>
      </c>
      <c r="N2968" t="str">
        <f t="shared" si="1473"/>
        <v>IOF/JUROS/DESP.FINANCEIRA</v>
      </c>
      <c r="P2968">
        <v>1.7</v>
      </c>
      <c r="Q2968" t="str">
        <f>"CORA SOCIEDADE DE CREDITO, FINANCIAMENTO E INVESTIMENTO (20035)"</f>
        <v>CORA SOCIEDADE DE CREDITO, FINANCIAMENTO E INVESTIMENTO (20035)</v>
      </c>
      <c r="R2968" t="str">
        <f t="shared" si="1468"/>
        <v>BANCO CORA (102)</v>
      </c>
      <c r="S2968">
        <v>1800</v>
      </c>
      <c r="T2968">
        <v>1339</v>
      </c>
      <c r="U2968" t="s">
        <v>19</v>
      </c>
    </row>
    <row r="2969" spans="1:21">
      <c r="A2969" t="str">
        <f t="shared" si="1464"/>
        <v>09/06/2025</v>
      </c>
      <c r="B2969" t="str">
        <f t="shared" si="1466"/>
        <v>SAÍDA</v>
      </c>
      <c r="C2969" t="str">
        <f t="shared" si="1470"/>
        <v>CONHECIMENTO</v>
      </c>
      <c r="D2969" t="str">
        <f>"090625170"</f>
        <v>090625170</v>
      </c>
      <c r="E2969" t="str">
        <f t="shared" si="1451"/>
        <v>COM</v>
      </c>
      <c r="F2969" t="str">
        <f t="shared" si="1471"/>
        <v>CORA SOCIEDADE DE CREDITO, FINANCIAMENTO E INVESTIMENTO (20035)</v>
      </c>
      <c r="G2969" t="str">
        <f t="shared" si="1472"/>
        <v>TAXA BOLETO COMPENSADO</v>
      </c>
      <c r="H2969" t="str">
        <f t="shared" si="1467"/>
        <v>09/06/2025</v>
      </c>
      <c r="I2969" t="str">
        <f t="shared" si="1469"/>
        <v>09/06/2025</v>
      </c>
      <c r="J2969" t="str">
        <f t="shared" si="1465"/>
        <v>09/06/2025</v>
      </c>
      <c r="K2969">
        <v>1.7</v>
      </c>
      <c r="L2969">
        <v>1.7</v>
      </c>
      <c r="M2969">
        <v>401</v>
      </c>
      <c r="N2969" t="str">
        <f t="shared" si="1473"/>
        <v>IOF/JUROS/DESP.FINANCEIRA</v>
      </c>
      <c r="O2969">
        <v>1.7</v>
      </c>
      <c r="R2969" t="str">
        <f t="shared" si="1468"/>
        <v>BANCO CORA (102)</v>
      </c>
      <c r="S2969">
        <v>1801</v>
      </c>
      <c r="T2969">
        <v>1340</v>
      </c>
      <c r="U2969" t="s">
        <v>19</v>
      </c>
    </row>
    <row r="2970" spans="1:21">
      <c r="A2970" t="str">
        <f t="shared" si="1464"/>
        <v>09/06/2025</v>
      </c>
      <c r="B2970" t="str">
        <f t="shared" si="1466"/>
        <v>SAÍDA</v>
      </c>
      <c r="C2970" t="str">
        <f t="shared" si="1470"/>
        <v>CONHECIMENTO</v>
      </c>
      <c r="D2970" t="str">
        <f>"090625170"</f>
        <v>090625170</v>
      </c>
      <c r="E2970" t="str">
        <f t="shared" si="1451"/>
        <v>COM</v>
      </c>
      <c r="F2970" t="str">
        <f t="shared" si="1471"/>
        <v>CORA SOCIEDADE DE CREDITO, FINANCIAMENTO E INVESTIMENTO (20035)</v>
      </c>
      <c r="G2970" t="str">
        <f t="shared" si="1472"/>
        <v>TAXA BOLETO COMPENSADO</v>
      </c>
      <c r="H2970" t="str">
        <f t="shared" si="1467"/>
        <v>09/06/2025</v>
      </c>
      <c r="I2970" t="str">
        <f t="shared" si="1469"/>
        <v>09/06/2025</v>
      </c>
      <c r="J2970" t="str">
        <f t="shared" si="1465"/>
        <v>09/06/2025</v>
      </c>
      <c r="M2970">
        <v>401</v>
      </c>
      <c r="N2970" t="str">
        <f t="shared" si="1473"/>
        <v>IOF/JUROS/DESP.FINANCEIRA</v>
      </c>
      <c r="P2970">
        <v>1.7</v>
      </c>
      <c r="Q2970" t="str">
        <f>"CORA SOCIEDADE DE CREDITO, FINANCIAMENTO E INVESTIMENTO (20035)"</f>
        <v>CORA SOCIEDADE DE CREDITO, FINANCIAMENTO E INVESTIMENTO (20035)</v>
      </c>
      <c r="R2970" t="str">
        <f t="shared" si="1468"/>
        <v>BANCO CORA (102)</v>
      </c>
      <c r="S2970">
        <v>1801</v>
      </c>
      <c r="T2970">
        <v>1340</v>
      </c>
      <c r="U2970" t="s">
        <v>19</v>
      </c>
    </row>
    <row r="2971" spans="1:21">
      <c r="A2971" t="str">
        <f t="shared" ref="A2971:A2979" si="1474">("10/06/2025")</f>
        <v>10/06/2025</v>
      </c>
      <c r="B2971" t="str">
        <f t="shared" si="1466"/>
        <v>SAÍDA</v>
      </c>
      <c r="C2971" t="str">
        <f t="shared" si="1470"/>
        <v>CONHECIMENTO</v>
      </c>
      <c r="D2971" t="str">
        <f>"100625170"</f>
        <v>100625170</v>
      </c>
      <c r="E2971" t="str">
        <f t="shared" si="1451"/>
        <v>COM</v>
      </c>
      <c r="F2971" t="str">
        <f t="shared" si="1471"/>
        <v>CORA SOCIEDADE DE CREDITO, FINANCIAMENTO E INVESTIMENTO (20035)</v>
      </c>
      <c r="G2971" t="str">
        <f t="shared" si="1472"/>
        <v>TAXA BOLETO COMPENSADO</v>
      </c>
      <c r="H2971" t="str">
        <f t="shared" ref="H2971:J2973" si="1475">("10/06/2025")</f>
        <v>10/06/2025</v>
      </c>
      <c r="I2971" t="str">
        <f t="shared" si="1475"/>
        <v>10/06/2025</v>
      </c>
      <c r="J2971" t="str">
        <f t="shared" si="1475"/>
        <v>10/06/2025</v>
      </c>
      <c r="K2971">
        <v>1.7</v>
      </c>
      <c r="L2971">
        <v>1.7</v>
      </c>
      <c r="M2971">
        <v>401</v>
      </c>
      <c r="N2971" t="str">
        <f t="shared" si="1473"/>
        <v>IOF/JUROS/DESP.FINANCEIRA</v>
      </c>
      <c r="O2971">
        <v>1.7</v>
      </c>
      <c r="R2971" t="str">
        <f t="shared" si="1468"/>
        <v>BANCO CORA (102)</v>
      </c>
      <c r="S2971">
        <v>1802</v>
      </c>
      <c r="T2971">
        <v>1384</v>
      </c>
      <c r="U2971" t="s">
        <v>19</v>
      </c>
    </row>
    <row r="2972" spans="1:21">
      <c r="A2972" t="str">
        <f t="shared" si="1474"/>
        <v>10/06/2025</v>
      </c>
      <c r="B2972" t="str">
        <f t="shared" si="1466"/>
        <v>SAÍDA</v>
      </c>
      <c r="C2972" t="str">
        <f t="shared" si="1470"/>
        <v>CONHECIMENTO</v>
      </c>
      <c r="D2972" t="str">
        <f>"100625170"</f>
        <v>100625170</v>
      </c>
      <c r="E2972" t="str">
        <f t="shared" si="1451"/>
        <v>COM</v>
      </c>
      <c r="F2972" t="str">
        <f t="shared" si="1471"/>
        <v>CORA SOCIEDADE DE CREDITO, FINANCIAMENTO E INVESTIMENTO (20035)</v>
      </c>
      <c r="G2972" t="str">
        <f t="shared" si="1472"/>
        <v>TAXA BOLETO COMPENSADO</v>
      </c>
      <c r="H2972" t="str">
        <f t="shared" si="1475"/>
        <v>10/06/2025</v>
      </c>
      <c r="I2972" t="str">
        <f t="shared" si="1475"/>
        <v>10/06/2025</v>
      </c>
      <c r="J2972" t="str">
        <f t="shared" si="1475"/>
        <v>10/06/2025</v>
      </c>
      <c r="K2972">
        <v>1.7</v>
      </c>
      <c r="L2972">
        <v>1.7</v>
      </c>
      <c r="M2972">
        <v>401</v>
      </c>
      <c r="N2972" t="str">
        <f t="shared" si="1473"/>
        <v>IOF/JUROS/DESP.FINANCEIRA</v>
      </c>
      <c r="O2972">
        <v>1.7</v>
      </c>
      <c r="R2972" t="str">
        <f t="shared" si="1468"/>
        <v>BANCO CORA (102)</v>
      </c>
      <c r="S2972">
        <v>1803</v>
      </c>
      <c r="T2972">
        <v>1385</v>
      </c>
      <c r="U2972" t="s">
        <v>19</v>
      </c>
    </row>
    <row r="2973" spans="1:21">
      <c r="A2973" t="str">
        <f t="shared" si="1474"/>
        <v>10/06/2025</v>
      </c>
      <c r="B2973" t="str">
        <f t="shared" si="1466"/>
        <v>SAÍDA</v>
      </c>
      <c r="C2973" t="str">
        <f t="shared" si="1470"/>
        <v>CONHECIMENTO</v>
      </c>
      <c r="D2973" t="str">
        <f>"100625170"</f>
        <v>100625170</v>
      </c>
      <c r="E2973" t="str">
        <f t="shared" si="1451"/>
        <v>COM</v>
      </c>
      <c r="F2973" t="str">
        <f t="shared" si="1471"/>
        <v>CORA SOCIEDADE DE CREDITO, FINANCIAMENTO E INVESTIMENTO (20035)</v>
      </c>
      <c r="G2973" t="str">
        <f t="shared" si="1472"/>
        <v>TAXA BOLETO COMPENSADO</v>
      </c>
      <c r="H2973" t="str">
        <f t="shared" si="1475"/>
        <v>10/06/2025</v>
      </c>
      <c r="I2973" t="str">
        <f t="shared" si="1475"/>
        <v>10/06/2025</v>
      </c>
      <c r="J2973" t="str">
        <f t="shared" si="1475"/>
        <v>10/06/2025</v>
      </c>
      <c r="K2973">
        <v>1.7</v>
      </c>
      <c r="L2973">
        <v>1.7</v>
      </c>
      <c r="M2973">
        <v>401</v>
      </c>
      <c r="N2973" t="str">
        <f t="shared" si="1473"/>
        <v>IOF/JUROS/DESP.FINANCEIRA</v>
      </c>
      <c r="O2973">
        <v>1.7</v>
      </c>
      <c r="R2973" t="str">
        <f t="shared" si="1468"/>
        <v>BANCO CORA (102)</v>
      </c>
      <c r="S2973">
        <v>1804</v>
      </c>
      <c r="T2973">
        <v>1386</v>
      </c>
      <c r="U2973" t="s">
        <v>19</v>
      </c>
    </row>
    <row r="2974" spans="1:21">
      <c r="A2974" t="str">
        <f t="shared" si="1474"/>
        <v>10/06/2025</v>
      </c>
      <c r="B2974" t="str">
        <f>"ENTRADA"</f>
        <v>ENTRADA</v>
      </c>
      <c r="C2974" t="str">
        <f t="shared" ref="C2974:C2979" si="1476">"NFSE"</f>
        <v>NFSE</v>
      </c>
      <c r="D2974" t="str">
        <f>"2910"</f>
        <v>2910</v>
      </c>
      <c r="E2974" t="str">
        <f t="shared" si="1451"/>
        <v>COM</v>
      </c>
      <c r="F2974" t="str">
        <f>"DROGARIA MEDALHA (10163)"</f>
        <v>DROGARIA MEDALHA (10163)</v>
      </c>
      <c r="G2974" t="str">
        <f>"Serv.Prest. 14/04/2025 a 20/04/2025 - RPS: 681 - NFSe: 2910"</f>
        <v>Serv.Prest. 14/04/2025 a 20/04/2025 - RPS: 681 - NFSe: 2910</v>
      </c>
      <c r="H2974" t="str">
        <f>("09/06/2025")</f>
        <v>09/06/2025</v>
      </c>
      <c r="I2974" t="str">
        <f>("22/04/2025")</f>
        <v>22/04/2025</v>
      </c>
      <c r="J2974" t="str">
        <f t="shared" ref="J2974:J2979" si="1477">("10/06/2025")</f>
        <v>10/06/2025</v>
      </c>
      <c r="K2974">
        <v>187.85</v>
      </c>
      <c r="L2974">
        <v>187.85</v>
      </c>
      <c r="M2974">
        <v>303</v>
      </c>
      <c r="N2974" t="str">
        <f t="shared" ref="N2974:N2979" si="1478">"RECEITAS COM ENTREGAS"</f>
        <v>RECEITAS COM ENTREGAS</v>
      </c>
      <c r="O2974">
        <v>187.85</v>
      </c>
      <c r="R2974" t="str">
        <f t="shared" ref="R2974:R2979" si="1479">"RECEITAS COM ENTREGAS (303)"</f>
        <v>RECEITAS COM ENTREGAS (303)</v>
      </c>
      <c r="S2974">
        <v>1833</v>
      </c>
      <c r="T2974">
        <v>1102</v>
      </c>
      <c r="U2974" t="s">
        <v>19</v>
      </c>
    </row>
    <row r="2975" spans="1:21">
      <c r="A2975" t="str">
        <f t="shared" si="1474"/>
        <v>10/06/2025</v>
      </c>
      <c r="B2975" t="str">
        <f t="shared" ref="B2975:B2979" si="1480">"ENTRADA"</f>
        <v>ENTRADA</v>
      </c>
      <c r="C2975" t="str">
        <f t="shared" si="1476"/>
        <v>NFSE</v>
      </c>
      <c r="D2975" t="str">
        <f>"2910"</f>
        <v>2910</v>
      </c>
      <c r="E2975" t="str">
        <f t="shared" si="1451"/>
        <v>COM</v>
      </c>
      <c r="F2975" t="str">
        <f>"DROGARIA MEDALHA (10163)"</f>
        <v>DROGARIA MEDALHA (10163)</v>
      </c>
      <c r="G2975" t="str">
        <f>"Serv.Prest. 14/04/2025 a 20/04/2025 - RPS: 681 - NFSe: 2910"</f>
        <v>Serv.Prest. 14/04/2025 a 20/04/2025 - RPS: 681 - NFSe: 2910</v>
      </c>
      <c r="H2975" t="str">
        <f>("09/06/2025")</f>
        <v>09/06/2025</v>
      </c>
      <c r="I2975" t="str">
        <f>("22/04/2025")</f>
        <v>22/04/2025</v>
      </c>
      <c r="J2975" t="str">
        <f t="shared" si="1477"/>
        <v>10/06/2025</v>
      </c>
      <c r="M2975">
        <v>303</v>
      </c>
      <c r="N2975" t="str">
        <f t="shared" si="1478"/>
        <v>RECEITAS COM ENTREGAS</v>
      </c>
      <c r="P2975">
        <v>187.85</v>
      </c>
      <c r="Q2975" t="str">
        <f>"DROGARIA MEDALHA (10163)"</f>
        <v>DROGARIA MEDALHA (10163)</v>
      </c>
      <c r="R2975" t="str">
        <f t="shared" si="1479"/>
        <v>RECEITAS COM ENTREGAS (303)</v>
      </c>
      <c r="S2975">
        <v>1833</v>
      </c>
      <c r="T2975">
        <v>1102</v>
      </c>
      <c r="U2975" t="s">
        <v>19</v>
      </c>
    </row>
    <row r="2976" spans="1:21">
      <c r="A2976" t="str">
        <f t="shared" si="1474"/>
        <v>10/06/2025</v>
      </c>
      <c r="B2976" t="str">
        <f t="shared" si="1480"/>
        <v>ENTRADA</v>
      </c>
      <c r="C2976" t="str">
        <f t="shared" si="1476"/>
        <v>NFSE</v>
      </c>
      <c r="D2976" t="str">
        <f>"2981"</f>
        <v>2981</v>
      </c>
      <c r="E2976" t="str">
        <f t="shared" si="1451"/>
        <v>COM</v>
      </c>
      <c r="F2976" t="str">
        <f>"DROGARIA POUPA MINAS (DOIS AMIGOS) 5 (10140)"</f>
        <v>DROGARIA POUPA MINAS (DOIS AMIGOS) 5 (10140)</v>
      </c>
      <c r="G2976" t="str">
        <f>"Serv.Prest. 05/05/2025 a 11/05/2025 - RPS: 751 - NFSe: 2981"</f>
        <v>Serv.Prest. 05/05/2025 a 11/05/2025 - RPS: 751 - NFSe: 2981</v>
      </c>
      <c r="H2976" t="str">
        <f>("10/06/2025")</f>
        <v>10/06/2025</v>
      </c>
      <c r="I2976" t="str">
        <f>("12/05/2025")</f>
        <v>12/05/2025</v>
      </c>
      <c r="J2976" t="str">
        <f t="shared" si="1477"/>
        <v>10/06/2025</v>
      </c>
      <c r="K2976">
        <v>846.9</v>
      </c>
      <c r="L2976">
        <v>846.9</v>
      </c>
      <c r="M2976">
        <v>303</v>
      </c>
      <c r="N2976" t="str">
        <f t="shared" si="1478"/>
        <v>RECEITAS COM ENTREGAS</v>
      </c>
      <c r="O2976">
        <v>846.9</v>
      </c>
      <c r="R2976" t="str">
        <f t="shared" si="1479"/>
        <v>RECEITAS COM ENTREGAS (303)</v>
      </c>
      <c r="S2976">
        <v>1834</v>
      </c>
      <c r="T2976">
        <v>1188</v>
      </c>
      <c r="U2976" t="s">
        <v>19</v>
      </c>
    </row>
    <row r="2977" spans="1:21">
      <c r="A2977" t="str">
        <f t="shared" si="1474"/>
        <v>10/06/2025</v>
      </c>
      <c r="B2977" t="str">
        <f t="shared" si="1480"/>
        <v>ENTRADA</v>
      </c>
      <c r="C2977" t="str">
        <f t="shared" si="1476"/>
        <v>NFSE</v>
      </c>
      <c r="D2977" t="str">
        <f>"2981"</f>
        <v>2981</v>
      </c>
      <c r="E2977" t="str">
        <f t="shared" si="1451"/>
        <v>COM</v>
      </c>
      <c r="F2977" t="str">
        <f>"DROGARIA POUPA MINAS (DOIS AMIGOS) 5 (10140)"</f>
        <v>DROGARIA POUPA MINAS (DOIS AMIGOS) 5 (10140)</v>
      </c>
      <c r="G2977" t="str">
        <f>"Serv.Prest. 05/05/2025 a 11/05/2025 - RPS: 751 - NFSe: 2981"</f>
        <v>Serv.Prest. 05/05/2025 a 11/05/2025 - RPS: 751 - NFSe: 2981</v>
      </c>
      <c r="H2977" t="str">
        <f>("10/06/2025")</f>
        <v>10/06/2025</v>
      </c>
      <c r="I2977" t="str">
        <f>("12/05/2025")</f>
        <v>12/05/2025</v>
      </c>
      <c r="J2977" t="str">
        <f t="shared" si="1477"/>
        <v>10/06/2025</v>
      </c>
      <c r="M2977">
        <v>303</v>
      </c>
      <c r="N2977" t="str">
        <f t="shared" si="1478"/>
        <v>RECEITAS COM ENTREGAS</v>
      </c>
      <c r="P2977">
        <v>846.9</v>
      </c>
      <c r="Q2977" t="str">
        <f>"DROGARIA POUPA MINAS (ULTRAMINAS) (10116)"</f>
        <v>DROGARIA POUPA MINAS (ULTRAMINAS) (10116)</v>
      </c>
      <c r="R2977" t="str">
        <f t="shared" si="1479"/>
        <v>RECEITAS COM ENTREGAS (303)</v>
      </c>
      <c r="S2977">
        <v>1834</v>
      </c>
      <c r="T2977">
        <v>1188</v>
      </c>
      <c r="U2977" t="s">
        <v>19</v>
      </c>
    </row>
    <row r="2978" spans="1:21">
      <c r="A2978" t="str">
        <f t="shared" si="1474"/>
        <v>10/06/2025</v>
      </c>
      <c r="B2978" t="str">
        <f t="shared" si="1480"/>
        <v>ENTRADA</v>
      </c>
      <c r="C2978" t="str">
        <f t="shared" si="1476"/>
        <v>NFSE</v>
      </c>
      <c r="D2978" t="str">
        <f>"3081"</f>
        <v>3081</v>
      </c>
      <c r="E2978" t="str">
        <f t="shared" si="1451"/>
        <v>COM</v>
      </c>
      <c r="F2978" t="str">
        <f>"DROGARIA TOTAL JUNDIAI (10177)"</f>
        <v>DROGARIA TOTAL JUNDIAI (10177)</v>
      </c>
      <c r="G2978" t="str">
        <f>"Serv.Prest. 02/06/2025 a 08/06/2025 - RPS: 850 - NFSe: 3081"</f>
        <v>Serv.Prest. 02/06/2025 a 08/06/2025 - RPS: 850 - NFSe: 3081</v>
      </c>
      <c r="H2978" t="str">
        <f>("11/06/2025")</f>
        <v>11/06/2025</v>
      </c>
      <c r="I2978" t="str">
        <f>("09/06/2025")</f>
        <v>09/06/2025</v>
      </c>
      <c r="J2978" t="str">
        <f t="shared" si="1477"/>
        <v>10/06/2025</v>
      </c>
      <c r="K2978">
        <v>72.489999999999995</v>
      </c>
      <c r="L2978">
        <v>72.489999999999995</v>
      </c>
      <c r="M2978">
        <v>303</v>
      </c>
      <c r="N2978" t="str">
        <f t="shared" si="1478"/>
        <v>RECEITAS COM ENTREGAS</v>
      </c>
      <c r="O2978">
        <v>72.489999999999995</v>
      </c>
      <c r="R2978" t="str">
        <f t="shared" si="1479"/>
        <v>RECEITAS COM ENTREGAS (303)</v>
      </c>
      <c r="S2978">
        <v>1835</v>
      </c>
      <c r="T2978">
        <v>1334</v>
      </c>
      <c r="U2978" t="s">
        <v>19</v>
      </c>
    </row>
    <row r="2979" spans="1:21">
      <c r="A2979" t="str">
        <f t="shared" si="1474"/>
        <v>10/06/2025</v>
      </c>
      <c r="B2979" t="str">
        <f t="shared" si="1480"/>
        <v>ENTRADA</v>
      </c>
      <c r="C2979" t="str">
        <f t="shared" si="1476"/>
        <v>NFSE</v>
      </c>
      <c r="D2979" t="str">
        <f>"3081"</f>
        <v>3081</v>
      </c>
      <c r="E2979" t="str">
        <f t="shared" si="1451"/>
        <v>COM</v>
      </c>
      <c r="F2979" t="str">
        <f>"DROGARIA TOTAL JUNDIAI (10177)"</f>
        <v>DROGARIA TOTAL JUNDIAI (10177)</v>
      </c>
      <c r="G2979" t="str">
        <f>"Serv.Prest. 02/06/2025 a 08/06/2025 - RPS: 850 - NFSe: 3081"</f>
        <v>Serv.Prest. 02/06/2025 a 08/06/2025 - RPS: 850 - NFSe: 3081</v>
      </c>
      <c r="H2979" t="str">
        <f>("11/06/2025")</f>
        <v>11/06/2025</v>
      </c>
      <c r="I2979" t="str">
        <f>("09/06/2025")</f>
        <v>09/06/2025</v>
      </c>
      <c r="J2979" t="str">
        <f t="shared" si="1477"/>
        <v>10/06/2025</v>
      </c>
      <c r="M2979">
        <v>303</v>
      </c>
      <c r="N2979" t="str">
        <f t="shared" si="1478"/>
        <v>RECEITAS COM ENTREGAS</v>
      </c>
      <c r="P2979">
        <v>72.489999999999995</v>
      </c>
      <c r="Q2979" t="str">
        <f>"DROGARIA TOTAL JUNDIAI (10177)"</f>
        <v>DROGARIA TOTAL JUNDIAI (10177)</v>
      </c>
      <c r="R2979" t="str">
        <f t="shared" si="1479"/>
        <v>RECEITAS COM ENTREGAS (303)</v>
      </c>
      <c r="S2979">
        <v>1835</v>
      </c>
      <c r="T2979">
        <v>1334</v>
      </c>
      <c r="U2979" t="s">
        <v>19</v>
      </c>
    </row>
    <row r="2980" spans="1:21">
      <c r="A2980" t="str">
        <f t="shared" ref="A2980:A3011" si="1481">("11/06/2025")</f>
        <v>11/06/2025</v>
      </c>
      <c r="B2980" t="str">
        <f t="shared" ref="B2980:B2984" si="1482">"SAÍDA"</f>
        <v>SAÍDA</v>
      </c>
      <c r="C2980" t="str">
        <f>"CONHECIMENTO"</f>
        <v>CONHECIMENTO</v>
      </c>
      <c r="D2980" t="str">
        <f>"110625170"</f>
        <v>110625170</v>
      </c>
      <c r="E2980" t="str">
        <f t="shared" si="1451"/>
        <v>COM</v>
      </c>
      <c r="F2980" t="str">
        <f>"CORA SOCIEDADE DE CREDITO, FINANCIAMENTO E INVESTIMENTO (20035)"</f>
        <v>CORA SOCIEDADE DE CREDITO, FINANCIAMENTO E INVESTIMENTO (20035)</v>
      </c>
      <c r="G2980" t="str">
        <f>"TAXA BOLETO COMPENSADO"</f>
        <v>TAXA BOLETO COMPENSADO</v>
      </c>
      <c r="H2980" t="str">
        <f>("10/06/2025")</f>
        <v>10/06/2025</v>
      </c>
      <c r="I2980" t="str">
        <f t="shared" ref="I2980:J2984" si="1483">("11/06/2025")</f>
        <v>11/06/2025</v>
      </c>
      <c r="J2980" t="str">
        <f t="shared" si="1483"/>
        <v>11/06/2025</v>
      </c>
      <c r="K2980">
        <v>1.7</v>
      </c>
      <c r="L2980">
        <v>1.7</v>
      </c>
      <c r="M2980">
        <v>401</v>
      </c>
      <c r="N2980" t="str">
        <f>"IOF/JUROS/DESP.FINANCEIRA"</f>
        <v>IOF/JUROS/DESP.FINANCEIRA</v>
      </c>
      <c r="O2980">
        <v>1.7</v>
      </c>
      <c r="R2980" t="str">
        <f>"BANCO CORA (102)"</f>
        <v>BANCO CORA (102)</v>
      </c>
      <c r="S2980">
        <v>1805</v>
      </c>
      <c r="T2980">
        <v>1388</v>
      </c>
      <c r="U2980" t="s">
        <v>19</v>
      </c>
    </row>
    <row r="2981" spans="1:21">
      <c r="A2981" t="str">
        <f t="shared" si="1481"/>
        <v>11/06/2025</v>
      </c>
      <c r="B2981" t="str">
        <f t="shared" si="1482"/>
        <v>SAÍDA</v>
      </c>
      <c r="C2981" t="str">
        <f>"CONHECIMENTO"</f>
        <v>CONHECIMENTO</v>
      </c>
      <c r="D2981" t="str">
        <f>"110625170"</f>
        <v>110625170</v>
      </c>
      <c r="E2981" t="str">
        <f t="shared" si="1451"/>
        <v>COM</v>
      </c>
      <c r="F2981" t="str">
        <f>"CORA SOCIEDADE DE CREDITO, FINANCIAMENTO E INVESTIMENTO (20035)"</f>
        <v>CORA SOCIEDADE DE CREDITO, FINANCIAMENTO E INVESTIMENTO (20035)</v>
      </c>
      <c r="G2981" t="str">
        <f>"TAXA BOLETO COMPENSADO"</f>
        <v>TAXA BOLETO COMPENSADO</v>
      </c>
      <c r="H2981" t="str">
        <f>("10/06/2025")</f>
        <v>10/06/2025</v>
      </c>
      <c r="I2981" t="str">
        <f t="shared" si="1483"/>
        <v>11/06/2025</v>
      </c>
      <c r="J2981" t="str">
        <f t="shared" si="1483"/>
        <v>11/06/2025</v>
      </c>
      <c r="K2981">
        <v>1.7</v>
      </c>
      <c r="L2981">
        <v>1.7</v>
      </c>
      <c r="M2981">
        <v>401</v>
      </c>
      <c r="N2981" t="str">
        <f>"IOF/JUROS/DESP.FINANCEIRA"</f>
        <v>IOF/JUROS/DESP.FINANCEIRA</v>
      </c>
      <c r="O2981">
        <v>1.7</v>
      </c>
      <c r="R2981" t="str">
        <f>"BANCO CORA (102)"</f>
        <v>BANCO CORA (102)</v>
      </c>
      <c r="S2981">
        <v>1806</v>
      </c>
      <c r="T2981">
        <v>1389</v>
      </c>
      <c r="U2981" t="s">
        <v>19</v>
      </c>
    </row>
    <row r="2982" spans="1:21">
      <c r="A2982" t="str">
        <f t="shared" si="1481"/>
        <v>11/06/2025</v>
      </c>
      <c r="B2982" t="str">
        <f t="shared" si="1482"/>
        <v>SAÍDA</v>
      </c>
      <c r="C2982" t="str">
        <f>"CONHECIMENTO"</f>
        <v>CONHECIMENTO</v>
      </c>
      <c r="D2982" t="str">
        <f>"110625170"</f>
        <v>110625170</v>
      </c>
      <c r="E2982" t="str">
        <f t="shared" si="1451"/>
        <v>COM</v>
      </c>
      <c r="F2982" t="str">
        <f>"CORA SOCIEDADE DE CREDITO, FINANCIAMENTO E INVESTIMENTO (20035)"</f>
        <v>CORA SOCIEDADE DE CREDITO, FINANCIAMENTO E INVESTIMENTO (20035)</v>
      </c>
      <c r="G2982" t="str">
        <f>"TAXA BOLETO COMPENSADO"</f>
        <v>TAXA BOLETO COMPENSADO</v>
      </c>
      <c r="H2982" t="str">
        <f>("10/06/2025")</f>
        <v>10/06/2025</v>
      </c>
      <c r="I2982" t="str">
        <f t="shared" si="1483"/>
        <v>11/06/2025</v>
      </c>
      <c r="J2982" t="str">
        <f t="shared" si="1483"/>
        <v>11/06/2025</v>
      </c>
      <c r="K2982">
        <v>1.7</v>
      </c>
      <c r="L2982">
        <v>1.7</v>
      </c>
      <c r="M2982">
        <v>401</v>
      </c>
      <c r="N2982" t="str">
        <f>"IOF/JUROS/DESP.FINANCEIRA"</f>
        <v>IOF/JUROS/DESP.FINANCEIRA</v>
      </c>
      <c r="O2982">
        <v>1.7</v>
      </c>
      <c r="R2982" t="str">
        <f>"BANCO CORA (102)"</f>
        <v>BANCO CORA (102)</v>
      </c>
      <c r="S2982">
        <v>1807</v>
      </c>
      <c r="T2982">
        <v>1390</v>
      </c>
      <c r="U2982" t="s">
        <v>19</v>
      </c>
    </row>
    <row r="2983" spans="1:21">
      <c r="A2983" t="str">
        <f t="shared" si="1481"/>
        <v>11/06/2025</v>
      </c>
      <c r="B2983" t="str">
        <f t="shared" si="1482"/>
        <v>SAÍDA</v>
      </c>
      <c r="C2983" t="str">
        <f>"CONHECIMENTO"</f>
        <v>CONHECIMENTO</v>
      </c>
      <c r="D2983" t="str">
        <f>"110625170"</f>
        <v>110625170</v>
      </c>
      <c r="E2983" t="str">
        <f t="shared" si="1451"/>
        <v>COM</v>
      </c>
      <c r="F2983" t="str">
        <f>"CORA SOCIEDADE DE CREDITO, FINANCIAMENTO E INVESTIMENTO (20035)"</f>
        <v>CORA SOCIEDADE DE CREDITO, FINANCIAMENTO E INVESTIMENTO (20035)</v>
      </c>
      <c r="G2983" t="str">
        <f>"TAXA BOLETO COMPENSADO"</f>
        <v>TAXA BOLETO COMPENSADO</v>
      </c>
      <c r="H2983" t="str">
        <f>("10/06/2025")</f>
        <v>10/06/2025</v>
      </c>
      <c r="I2983" t="str">
        <f t="shared" si="1483"/>
        <v>11/06/2025</v>
      </c>
      <c r="J2983" t="str">
        <f t="shared" si="1483"/>
        <v>11/06/2025</v>
      </c>
      <c r="K2983">
        <v>1.7</v>
      </c>
      <c r="L2983">
        <v>1.7</v>
      </c>
      <c r="M2983">
        <v>401</v>
      </c>
      <c r="N2983" t="str">
        <f>"IOF/JUROS/DESP.FINANCEIRA"</f>
        <v>IOF/JUROS/DESP.FINANCEIRA</v>
      </c>
      <c r="O2983">
        <v>1.7</v>
      </c>
      <c r="R2983" t="str">
        <f>"BANCO CORA (102)"</f>
        <v>BANCO CORA (102)</v>
      </c>
      <c r="S2983">
        <v>1808</v>
      </c>
      <c r="T2983">
        <v>1391</v>
      </c>
      <c r="U2983" t="s">
        <v>19</v>
      </c>
    </row>
    <row r="2984" spans="1:21">
      <c r="A2984" t="str">
        <f t="shared" si="1481"/>
        <v>11/06/2025</v>
      </c>
      <c r="B2984" t="str">
        <f t="shared" si="1482"/>
        <v>SAÍDA</v>
      </c>
      <c r="C2984" t="str">
        <f>"CONHECIMENTO"</f>
        <v>CONHECIMENTO</v>
      </c>
      <c r="D2984" t="str">
        <f>"110625170"</f>
        <v>110625170</v>
      </c>
      <c r="E2984" t="str">
        <f t="shared" si="1451"/>
        <v>COM</v>
      </c>
      <c r="F2984" t="str">
        <f>"CORA SOCIEDADE DE CREDITO, FINANCIAMENTO E INVESTIMENTO (20035)"</f>
        <v>CORA SOCIEDADE DE CREDITO, FINANCIAMENTO E INVESTIMENTO (20035)</v>
      </c>
      <c r="G2984" t="str">
        <f>"TAXA BOLETO COMPENSADO"</f>
        <v>TAXA BOLETO COMPENSADO</v>
      </c>
      <c r="H2984" t="str">
        <f t="shared" ref="H2984:H3015" si="1484">("11/06/2025")</f>
        <v>11/06/2025</v>
      </c>
      <c r="I2984" t="str">
        <f t="shared" si="1483"/>
        <v>11/06/2025</v>
      </c>
      <c r="J2984" t="str">
        <f t="shared" si="1483"/>
        <v>11/06/2025</v>
      </c>
      <c r="K2984">
        <v>1.7</v>
      </c>
      <c r="L2984">
        <v>1.7</v>
      </c>
      <c r="M2984">
        <v>401</v>
      </c>
      <c r="N2984" t="str">
        <f>"IOF/JUROS/DESP.FINANCEIRA"</f>
        <v>IOF/JUROS/DESP.FINANCEIRA</v>
      </c>
      <c r="O2984">
        <v>1.7</v>
      </c>
      <c r="R2984" t="str">
        <f>"BANCO CORA (102)"</f>
        <v>BANCO CORA (102)</v>
      </c>
      <c r="S2984">
        <v>1809</v>
      </c>
      <c r="T2984">
        <v>1387</v>
      </c>
      <c r="U2984" t="s">
        <v>19</v>
      </c>
    </row>
    <row r="2985" spans="1:21">
      <c r="A2985" t="str">
        <f t="shared" si="1481"/>
        <v>11/06/2025</v>
      </c>
      <c r="B2985" t="str">
        <f>"ENTRADA"</f>
        <v>ENTRADA</v>
      </c>
      <c r="C2985" t="str">
        <f t="shared" ref="C2985:C3016" si="1485">"NFSE"</f>
        <v>NFSE</v>
      </c>
      <c r="D2985" t="str">
        <f t="shared" ref="D2985:D2996" si="1486">"3066"</f>
        <v>3066</v>
      </c>
      <c r="E2985" t="str">
        <f t="shared" si="1451"/>
        <v>COM</v>
      </c>
      <c r="F2985" t="str">
        <f t="shared" ref="F2985:F2996" si="1487">"FARMÁCIA INDIANA LJ 30 (10127)"</f>
        <v>FARMÁCIA INDIANA LJ 30 (10127)</v>
      </c>
      <c r="G2985" t="str">
        <f t="shared" ref="G2985:G2996" si="1488">"Serv.Prest. 26/05/2025 a 01/06/2025 - RPS: 835 - NFSe: 3066"</f>
        <v>Serv.Prest. 26/05/2025 a 01/06/2025 - RPS: 835 - NFSe: 3066</v>
      </c>
      <c r="H2985" t="str">
        <f t="shared" si="1484"/>
        <v>11/06/2025</v>
      </c>
      <c r="I2985" t="str">
        <f t="shared" ref="I2985:I3016" si="1489">("03/06/2025")</f>
        <v>03/06/2025</v>
      </c>
      <c r="J2985" t="str">
        <f t="shared" ref="J2985:J3016" si="1490">("11/06/2025")</f>
        <v>11/06/2025</v>
      </c>
      <c r="K2985">
        <v>2888.07</v>
      </c>
      <c r="L2985">
        <v>2888.07</v>
      </c>
      <c r="M2985">
        <v>303</v>
      </c>
      <c r="N2985" t="str">
        <f t="shared" ref="N2985:N3016" si="1491">"RECEITAS COM ENTREGAS"</f>
        <v>RECEITAS COM ENTREGAS</v>
      </c>
      <c r="O2985">
        <v>2888.07</v>
      </c>
      <c r="R2985" t="str">
        <f t="shared" ref="R2985:R3016" si="1492">"RECEITAS COM ENTREGAS (303)"</f>
        <v>RECEITAS COM ENTREGAS (303)</v>
      </c>
      <c r="S2985">
        <v>1836</v>
      </c>
      <c r="T2985">
        <v>1272</v>
      </c>
      <c r="U2985" t="s">
        <v>19</v>
      </c>
    </row>
    <row r="2986" spans="1:21">
      <c r="A2986" t="str">
        <f t="shared" si="1481"/>
        <v>11/06/2025</v>
      </c>
      <c r="B2986" t="str">
        <f t="shared" ref="B2986:B3049" si="1493">"ENTRADA"</f>
        <v>ENTRADA</v>
      </c>
      <c r="C2986" t="str">
        <f t="shared" si="1485"/>
        <v>NFSE</v>
      </c>
      <c r="D2986" t="str">
        <f t="shared" si="1486"/>
        <v>3066</v>
      </c>
      <c r="E2986" t="str">
        <f t="shared" si="1451"/>
        <v>COM</v>
      </c>
      <c r="F2986" t="str">
        <f t="shared" si="1487"/>
        <v>FARMÁCIA INDIANA LJ 30 (10127)</v>
      </c>
      <c r="G2986" t="str">
        <f t="shared" si="1488"/>
        <v>Serv.Prest. 26/05/2025 a 01/06/2025 - RPS: 835 - NFSe: 3066</v>
      </c>
      <c r="H2986" t="str">
        <f t="shared" si="1484"/>
        <v>11/06/2025</v>
      </c>
      <c r="I2986" t="str">
        <f t="shared" si="1489"/>
        <v>03/06/2025</v>
      </c>
      <c r="J2986" t="str">
        <f t="shared" si="1490"/>
        <v>11/06/2025</v>
      </c>
      <c r="M2986">
        <v>303</v>
      </c>
      <c r="N2986" t="str">
        <f t="shared" si="1491"/>
        <v>RECEITAS COM ENTREGAS</v>
      </c>
      <c r="P2986">
        <v>350.89</v>
      </c>
      <c r="Q2986" t="str">
        <f>"FARMÁCIA INDIANA LJ 34 (10014)"</f>
        <v>FARMÁCIA INDIANA LJ 34 (10014)</v>
      </c>
      <c r="R2986" t="str">
        <f t="shared" si="1492"/>
        <v>RECEITAS COM ENTREGAS (303)</v>
      </c>
      <c r="S2986">
        <v>1836</v>
      </c>
      <c r="T2986">
        <v>1272</v>
      </c>
      <c r="U2986" t="s">
        <v>19</v>
      </c>
    </row>
    <row r="2987" spans="1:21">
      <c r="A2987" t="str">
        <f t="shared" si="1481"/>
        <v>11/06/2025</v>
      </c>
      <c r="B2987" t="str">
        <f t="shared" si="1493"/>
        <v>ENTRADA</v>
      </c>
      <c r="C2987" t="str">
        <f t="shared" si="1485"/>
        <v>NFSE</v>
      </c>
      <c r="D2987" t="str">
        <f t="shared" si="1486"/>
        <v>3066</v>
      </c>
      <c r="E2987" t="str">
        <f t="shared" si="1451"/>
        <v>COM</v>
      </c>
      <c r="F2987" t="str">
        <f t="shared" si="1487"/>
        <v>FARMÁCIA INDIANA LJ 30 (10127)</v>
      </c>
      <c r="G2987" t="str">
        <f t="shared" si="1488"/>
        <v>Serv.Prest. 26/05/2025 a 01/06/2025 - RPS: 835 - NFSe: 3066</v>
      </c>
      <c r="H2987" t="str">
        <f t="shared" si="1484"/>
        <v>11/06/2025</v>
      </c>
      <c r="I2987" t="str">
        <f t="shared" si="1489"/>
        <v>03/06/2025</v>
      </c>
      <c r="J2987" t="str">
        <f t="shared" si="1490"/>
        <v>11/06/2025</v>
      </c>
      <c r="M2987">
        <v>303</v>
      </c>
      <c r="N2987" t="str">
        <f t="shared" si="1491"/>
        <v>RECEITAS COM ENTREGAS</v>
      </c>
      <c r="P2987">
        <v>224.11</v>
      </c>
      <c r="Q2987" t="str">
        <f>"FARMÁCIA INDIANA LJ 35 (10015)"</f>
        <v>FARMÁCIA INDIANA LJ 35 (10015)</v>
      </c>
      <c r="R2987" t="str">
        <f t="shared" si="1492"/>
        <v>RECEITAS COM ENTREGAS (303)</v>
      </c>
      <c r="S2987">
        <v>1836</v>
      </c>
      <c r="T2987">
        <v>1272</v>
      </c>
      <c r="U2987" t="s">
        <v>19</v>
      </c>
    </row>
    <row r="2988" spans="1:21">
      <c r="A2988" t="str">
        <f t="shared" si="1481"/>
        <v>11/06/2025</v>
      </c>
      <c r="B2988" t="str">
        <f t="shared" si="1493"/>
        <v>ENTRADA</v>
      </c>
      <c r="C2988" t="str">
        <f t="shared" si="1485"/>
        <v>NFSE</v>
      </c>
      <c r="D2988" t="str">
        <f t="shared" si="1486"/>
        <v>3066</v>
      </c>
      <c r="E2988" t="str">
        <f t="shared" si="1451"/>
        <v>COM</v>
      </c>
      <c r="F2988" t="str">
        <f t="shared" si="1487"/>
        <v>FARMÁCIA INDIANA LJ 30 (10127)</v>
      </c>
      <c r="G2988" t="str">
        <f t="shared" si="1488"/>
        <v>Serv.Prest. 26/05/2025 a 01/06/2025 - RPS: 835 - NFSe: 3066</v>
      </c>
      <c r="H2988" t="str">
        <f t="shared" si="1484"/>
        <v>11/06/2025</v>
      </c>
      <c r="I2988" t="str">
        <f t="shared" si="1489"/>
        <v>03/06/2025</v>
      </c>
      <c r="J2988" t="str">
        <f t="shared" si="1490"/>
        <v>11/06/2025</v>
      </c>
      <c r="M2988">
        <v>303</v>
      </c>
      <c r="N2988" t="str">
        <f t="shared" si="1491"/>
        <v>RECEITAS COM ENTREGAS</v>
      </c>
      <c r="P2988">
        <v>233.07</v>
      </c>
      <c r="Q2988" t="str">
        <f>"FARMÁCIA INDIANA LJ 48 (10018)"</f>
        <v>FARMÁCIA INDIANA LJ 48 (10018)</v>
      </c>
      <c r="R2988" t="str">
        <f t="shared" si="1492"/>
        <v>RECEITAS COM ENTREGAS (303)</v>
      </c>
      <c r="S2988">
        <v>1836</v>
      </c>
      <c r="T2988">
        <v>1272</v>
      </c>
      <c r="U2988" t="s">
        <v>19</v>
      </c>
    </row>
    <row r="2989" spans="1:21">
      <c r="A2989" t="str">
        <f t="shared" si="1481"/>
        <v>11/06/2025</v>
      </c>
      <c r="B2989" t="str">
        <f t="shared" si="1493"/>
        <v>ENTRADA</v>
      </c>
      <c r="C2989" t="str">
        <f t="shared" si="1485"/>
        <v>NFSE</v>
      </c>
      <c r="D2989" t="str">
        <f t="shared" si="1486"/>
        <v>3066</v>
      </c>
      <c r="E2989" t="str">
        <f t="shared" si="1451"/>
        <v>COM</v>
      </c>
      <c r="F2989" t="str">
        <f t="shared" si="1487"/>
        <v>FARMÁCIA INDIANA LJ 30 (10127)</v>
      </c>
      <c r="G2989" t="str">
        <f t="shared" si="1488"/>
        <v>Serv.Prest. 26/05/2025 a 01/06/2025 - RPS: 835 - NFSe: 3066</v>
      </c>
      <c r="H2989" t="str">
        <f t="shared" si="1484"/>
        <v>11/06/2025</v>
      </c>
      <c r="I2989" t="str">
        <f t="shared" si="1489"/>
        <v>03/06/2025</v>
      </c>
      <c r="J2989" t="str">
        <f t="shared" si="1490"/>
        <v>11/06/2025</v>
      </c>
      <c r="M2989">
        <v>303</v>
      </c>
      <c r="N2989" t="str">
        <f t="shared" si="1491"/>
        <v>RECEITAS COM ENTREGAS</v>
      </c>
      <c r="P2989">
        <v>383.54</v>
      </c>
      <c r="Q2989" t="str">
        <f>"FARMÁCIA INDIANA LJ 65 (10030)"</f>
        <v>FARMÁCIA INDIANA LJ 65 (10030)</v>
      </c>
      <c r="R2989" t="str">
        <f t="shared" si="1492"/>
        <v>RECEITAS COM ENTREGAS (303)</v>
      </c>
      <c r="S2989">
        <v>1836</v>
      </c>
      <c r="T2989">
        <v>1272</v>
      </c>
      <c r="U2989" t="s">
        <v>19</v>
      </c>
    </row>
    <row r="2990" spans="1:21">
      <c r="A2990" t="str">
        <f t="shared" si="1481"/>
        <v>11/06/2025</v>
      </c>
      <c r="B2990" t="str">
        <f t="shared" si="1493"/>
        <v>ENTRADA</v>
      </c>
      <c r="C2990" t="str">
        <f t="shared" si="1485"/>
        <v>NFSE</v>
      </c>
      <c r="D2990" t="str">
        <f t="shared" si="1486"/>
        <v>3066</v>
      </c>
      <c r="E2990" t="str">
        <f t="shared" si="1451"/>
        <v>COM</v>
      </c>
      <c r="F2990" t="str">
        <f t="shared" si="1487"/>
        <v>FARMÁCIA INDIANA LJ 30 (10127)</v>
      </c>
      <c r="G2990" t="str">
        <f t="shared" si="1488"/>
        <v>Serv.Prest. 26/05/2025 a 01/06/2025 - RPS: 835 - NFSe: 3066</v>
      </c>
      <c r="H2990" t="str">
        <f t="shared" si="1484"/>
        <v>11/06/2025</v>
      </c>
      <c r="I2990" t="str">
        <f t="shared" si="1489"/>
        <v>03/06/2025</v>
      </c>
      <c r="J2990" t="str">
        <f t="shared" si="1490"/>
        <v>11/06/2025</v>
      </c>
      <c r="M2990">
        <v>303</v>
      </c>
      <c r="N2990" t="str">
        <f t="shared" si="1491"/>
        <v>RECEITAS COM ENTREGAS</v>
      </c>
      <c r="P2990">
        <v>153.07</v>
      </c>
      <c r="Q2990" t="str">
        <f>"FARMÁCIA INDIANA LJ 77 (10034)"</f>
        <v>FARMÁCIA INDIANA LJ 77 (10034)</v>
      </c>
      <c r="R2990" t="str">
        <f t="shared" si="1492"/>
        <v>RECEITAS COM ENTREGAS (303)</v>
      </c>
      <c r="S2990">
        <v>1836</v>
      </c>
      <c r="T2990">
        <v>1272</v>
      </c>
      <c r="U2990" t="s">
        <v>19</v>
      </c>
    </row>
    <row r="2991" spans="1:21">
      <c r="A2991" t="str">
        <f t="shared" si="1481"/>
        <v>11/06/2025</v>
      </c>
      <c r="B2991" t="str">
        <f t="shared" si="1493"/>
        <v>ENTRADA</v>
      </c>
      <c r="C2991" t="str">
        <f t="shared" si="1485"/>
        <v>NFSE</v>
      </c>
      <c r="D2991" t="str">
        <f t="shared" si="1486"/>
        <v>3066</v>
      </c>
      <c r="E2991" t="str">
        <f t="shared" ref="E2991:E3054" si="1494">"COM"</f>
        <v>COM</v>
      </c>
      <c r="F2991" t="str">
        <f t="shared" si="1487"/>
        <v>FARMÁCIA INDIANA LJ 30 (10127)</v>
      </c>
      <c r="G2991" t="str">
        <f t="shared" si="1488"/>
        <v>Serv.Prest. 26/05/2025 a 01/06/2025 - RPS: 835 - NFSe: 3066</v>
      </c>
      <c r="H2991" t="str">
        <f t="shared" si="1484"/>
        <v>11/06/2025</v>
      </c>
      <c r="I2991" t="str">
        <f t="shared" si="1489"/>
        <v>03/06/2025</v>
      </c>
      <c r="J2991" t="str">
        <f t="shared" si="1490"/>
        <v>11/06/2025</v>
      </c>
      <c r="M2991">
        <v>303</v>
      </c>
      <c r="N2991" t="str">
        <f t="shared" si="1491"/>
        <v>RECEITAS COM ENTREGAS</v>
      </c>
      <c r="P2991">
        <v>257.89999999999998</v>
      </c>
      <c r="Q2991" t="str">
        <f>"FARMÁCIA INDIANA LJ 91 (10037)"</f>
        <v>FARMÁCIA INDIANA LJ 91 (10037)</v>
      </c>
      <c r="R2991" t="str">
        <f t="shared" si="1492"/>
        <v>RECEITAS COM ENTREGAS (303)</v>
      </c>
      <c r="S2991">
        <v>1836</v>
      </c>
      <c r="T2991">
        <v>1272</v>
      </c>
      <c r="U2991" t="s">
        <v>19</v>
      </c>
    </row>
    <row r="2992" spans="1:21">
      <c r="A2992" t="str">
        <f t="shared" si="1481"/>
        <v>11/06/2025</v>
      </c>
      <c r="B2992" t="str">
        <f t="shared" si="1493"/>
        <v>ENTRADA</v>
      </c>
      <c r="C2992" t="str">
        <f t="shared" si="1485"/>
        <v>NFSE</v>
      </c>
      <c r="D2992" t="str">
        <f t="shared" si="1486"/>
        <v>3066</v>
      </c>
      <c r="E2992" t="str">
        <f t="shared" si="1494"/>
        <v>COM</v>
      </c>
      <c r="F2992" t="str">
        <f t="shared" si="1487"/>
        <v>FARMÁCIA INDIANA LJ 30 (10127)</v>
      </c>
      <c r="G2992" t="str">
        <f t="shared" si="1488"/>
        <v>Serv.Prest. 26/05/2025 a 01/06/2025 - RPS: 835 - NFSe: 3066</v>
      </c>
      <c r="H2992" t="str">
        <f t="shared" si="1484"/>
        <v>11/06/2025</v>
      </c>
      <c r="I2992" t="str">
        <f t="shared" si="1489"/>
        <v>03/06/2025</v>
      </c>
      <c r="J2992" t="str">
        <f t="shared" si="1490"/>
        <v>11/06/2025</v>
      </c>
      <c r="M2992">
        <v>303</v>
      </c>
      <c r="N2992" t="str">
        <f t="shared" si="1491"/>
        <v>RECEITAS COM ENTREGAS</v>
      </c>
      <c r="P2992">
        <v>404.91</v>
      </c>
      <c r="Q2992" t="str">
        <f>"FARMÁCIA INDIANA LJ 95 (10039)"</f>
        <v>FARMÁCIA INDIANA LJ 95 (10039)</v>
      </c>
      <c r="R2992" t="str">
        <f t="shared" si="1492"/>
        <v>RECEITAS COM ENTREGAS (303)</v>
      </c>
      <c r="S2992">
        <v>1836</v>
      </c>
      <c r="T2992">
        <v>1272</v>
      </c>
      <c r="U2992" t="s">
        <v>19</v>
      </c>
    </row>
    <row r="2993" spans="1:21">
      <c r="A2993" t="str">
        <f t="shared" si="1481"/>
        <v>11/06/2025</v>
      </c>
      <c r="B2993" t="str">
        <f t="shared" si="1493"/>
        <v>ENTRADA</v>
      </c>
      <c r="C2993" t="str">
        <f t="shared" si="1485"/>
        <v>NFSE</v>
      </c>
      <c r="D2993" t="str">
        <f t="shared" si="1486"/>
        <v>3066</v>
      </c>
      <c r="E2993" t="str">
        <f t="shared" si="1494"/>
        <v>COM</v>
      </c>
      <c r="F2993" t="str">
        <f t="shared" si="1487"/>
        <v>FARMÁCIA INDIANA LJ 30 (10127)</v>
      </c>
      <c r="G2993" t="str">
        <f t="shared" si="1488"/>
        <v>Serv.Prest. 26/05/2025 a 01/06/2025 - RPS: 835 - NFSe: 3066</v>
      </c>
      <c r="H2993" t="str">
        <f t="shared" si="1484"/>
        <v>11/06/2025</v>
      </c>
      <c r="I2993" t="str">
        <f t="shared" si="1489"/>
        <v>03/06/2025</v>
      </c>
      <c r="J2993" t="str">
        <f t="shared" si="1490"/>
        <v>11/06/2025</v>
      </c>
      <c r="M2993">
        <v>303</v>
      </c>
      <c r="N2993" t="str">
        <f t="shared" si="1491"/>
        <v>RECEITAS COM ENTREGAS</v>
      </c>
      <c r="P2993">
        <v>280.72000000000003</v>
      </c>
      <c r="Q2993" t="str">
        <f>"FARMÁCIA INDIANA LJ 145 (10068)"</f>
        <v>FARMÁCIA INDIANA LJ 145 (10068)</v>
      </c>
      <c r="R2993" t="str">
        <f t="shared" si="1492"/>
        <v>RECEITAS COM ENTREGAS (303)</v>
      </c>
      <c r="S2993">
        <v>1836</v>
      </c>
      <c r="T2993">
        <v>1272</v>
      </c>
      <c r="U2993" t="s">
        <v>19</v>
      </c>
    </row>
    <row r="2994" spans="1:21">
      <c r="A2994" t="str">
        <f t="shared" si="1481"/>
        <v>11/06/2025</v>
      </c>
      <c r="B2994" t="str">
        <f t="shared" si="1493"/>
        <v>ENTRADA</v>
      </c>
      <c r="C2994" t="str">
        <f t="shared" si="1485"/>
        <v>NFSE</v>
      </c>
      <c r="D2994" t="str">
        <f t="shared" si="1486"/>
        <v>3066</v>
      </c>
      <c r="E2994" t="str">
        <f t="shared" si="1494"/>
        <v>COM</v>
      </c>
      <c r="F2994" t="str">
        <f t="shared" si="1487"/>
        <v>FARMÁCIA INDIANA LJ 30 (10127)</v>
      </c>
      <c r="G2994" t="str">
        <f t="shared" si="1488"/>
        <v>Serv.Prest. 26/05/2025 a 01/06/2025 - RPS: 835 - NFSe: 3066</v>
      </c>
      <c r="H2994" t="str">
        <f t="shared" si="1484"/>
        <v>11/06/2025</v>
      </c>
      <c r="I2994" t="str">
        <f t="shared" si="1489"/>
        <v>03/06/2025</v>
      </c>
      <c r="J2994" t="str">
        <f t="shared" si="1490"/>
        <v>11/06/2025</v>
      </c>
      <c r="M2994">
        <v>303</v>
      </c>
      <c r="N2994" t="str">
        <f t="shared" si="1491"/>
        <v>RECEITAS COM ENTREGAS</v>
      </c>
      <c r="P2994">
        <v>257.62</v>
      </c>
      <c r="Q2994" t="str">
        <f>"FARMÁCIA INDIANA LJ 169 (10073)"</f>
        <v>FARMÁCIA INDIANA LJ 169 (10073)</v>
      </c>
      <c r="R2994" t="str">
        <f t="shared" si="1492"/>
        <v>RECEITAS COM ENTREGAS (303)</v>
      </c>
      <c r="S2994">
        <v>1836</v>
      </c>
      <c r="T2994">
        <v>1272</v>
      </c>
      <c r="U2994" t="s">
        <v>19</v>
      </c>
    </row>
    <row r="2995" spans="1:21">
      <c r="A2995" t="str">
        <f t="shared" si="1481"/>
        <v>11/06/2025</v>
      </c>
      <c r="B2995" t="str">
        <f t="shared" si="1493"/>
        <v>ENTRADA</v>
      </c>
      <c r="C2995" t="str">
        <f t="shared" si="1485"/>
        <v>NFSE</v>
      </c>
      <c r="D2995" t="str">
        <f t="shared" si="1486"/>
        <v>3066</v>
      </c>
      <c r="E2995" t="str">
        <f t="shared" si="1494"/>
        <v>COM</v>
      </c>
      <c r="F2995" t="str">
        <f t="shared" si="1487"/>
        <v>FARMÁCIA INDIANA LJ 30 (10127)</v>
      </c>
      <c r="G2995" t="str">
        <f t="shared" si="1488"/>
        <v>Serv.Prest. 26/05/2025 a 01/06/2025 - RPS: 835 - NFSe: 3066</v>
      </c>
      <c r="H2995" t="str">
        <f t="shared" si="1484"/>
        <v>11/06/2025</v>
      </c>
      <c r="I2995" t="str">
        <f t="shared" si="1489"/>
        <v>03/06/2025</v>
      </c>
      <c r="J2995" t="str">
        <f t="shared" si="1490"/>
        <v>11/06/2025</v>
      </c>
      <c r="M2995">
        <v>303</v>
      </c>
      <c r="N2995" t="str">
        <f t="shared" si="1491"/>
        <v>RECEITAS COM ENTREGAS</v>
      </c>
      <c r="P2995">
        <v>191.77</v>
      </c>
      <c r="Q2995" t="str">
        <f>"FARMÁCIA INDIANA LJ 173 (10075)"</f>
        <v>FARMÁCIA INDIANA LJ 173 (10075)</v>
      </c>
      <c r="R2995" t="str">
        <f t="shared" si="1492"/>
        <v>RECEITAS COM ENTREGAS (303)</v>
      </c>
      <c r="S2995">
        <v>1836</v>
      </c>
      <c r="T2995">
        <v>1272</v>
      </c>
      <c r="U2995" t="s">
        <v>19</v>
      </c>
    </row>
    <row r="2996" spans="1:21">
      <c r="A2996" t="str">
        <f t="shared" si="1481"/>
        <v>11/06/2025</v>
      </c>
      <c r="B2996" t="str">
        <f t="shared" si="1493"/>
        <v>ENTRADA</v>
      </c>
      <c r="C2996" t="str">
        <f t="shared" si="1485"/>
        <v>NFSE</v>
      </c>
      <c r="D2996" t="str">
        <f t="shared" si="1486"/>
        <v>3066</v>
      </c>
      <c r="E2996" t="str">
        <f t="shared" si="1494"/>
        <v>COM</v>
      </c>
      <c r="F2996" t="str">
        <f t="shared" si="1487"/>
        <v>FARMÁCIA INDIANA LJ 30 (10127)</v>
      </c>
      <c r="G2996" t="str">
        <f t="shared" si="1488"/>
        <v>Serv.Prest. 26/05/2025 a 01/06/2025 - RPS: 835 - NFSe: 3066</v>
      </c>
      <c r="H2996" t="str">
        <f t="shared" si="1484"/>
        <v>11/06/2025</v>
      </c>
      <c r="I2996" t="str">
        <f t="shared" si="1489"/>
        <v>03/06/2025</v>
      </c>
      <c r="J2996" t="str">
        <f t="shared" si="1490"/>
        <v>11/06/2025</v>
      </c>
      <c r="M2996">
        <v>303</v>
      </c>
      <c r="N2996" t="str">
        <f t="shared" si="1491"/>
        <v>RECEITAS COM ENTREGAS</v>
      </c>
      <c r="P2996">
        <v>150.47</v>
      </c>
      <c r="Q2996" t="str">
        <f>"FARMÁCIA INDIANA LJ 200 (10155)"</f>
        <v>FARMÁCIA INDIANA LJ 200 (10155)</v>
      </c>
      <c r="R2996" t="str">
        <f t="shared" si="1492"/>
        <v>RECEITAS COM ENTREGAS (303)</v>
      </c>
      <c r="S2996">
        <v>1836</v>
      </c>
      <c r="T2996">
        <v>1272</v>
      </c>
      <c r="U2996" t="s">
        <v>19</v>
      </c>
    </row>
    <row r="2997" spans="1:21">
      <c r="A2997" t="str">
        <f t="shared" si="1481"/>
        <v>11/06/2025</v>
      </c>
      <c r="B2997" t="str">
        <f t="shared" si="1493"/>
        <v>ENTRADA</v>
      </c>
      <c r="C2997" t="str">
        <f t="shared" si="1485"/>
        <v>NFSE</v>
      </c>
      <c r="D2997" t="str">
        <f t="shared" ref="D2997:D3042" si="1495">"3067"</f>
        <v>3067</v>
      </c>
      <c r="E2997" t="str">
        <f t="shared" si="1494"/>
        <v>COM</v>
      </c>
      <c r="F2997" t="str">
        <f t="shared" ref="F2997:F3042" si="1496">"FARMÁCIA INDIANA LJ 1 (10126)"</f>
        <v>FARMÁCIA INDIANA LJ 1 (10126)</v>
      </c>
      <c r="G2997" t="str">
        <f t="shared" ref="G2997:G3042" si="1497">"Serv.Prest. 26/05/2025 a 01/06/2025 - RPS: 836 - NFSe: 3067"</f>
        <v>Serv.Prest. 26/05/2025 a 01/06/2025 - RPS: 836 - NFSe: 3067</v>
      </c>
      <c r="H2997" t="str">
        <f t="shared" si="1484"/>
        <v>11/06/2025</v>
      </c>
      <c r="I2997" t="str">
        <f t="shared" si="1489"/>
        <v>03/06/2025</v>
      </c>
      <c r="J2997" t="str">
        <f t="shared" si="1490"/>
        <v>11/06/2025</v>
      </c>
      <c r="K2997">
        <v>13623.42</v>
      </c>
      <c r="L2997">
        <v>13623.42</v>
      </c>
      <c r="M2997">
        <v>303</v>
      </c>
      <c r="N2997" t="str">
        <f t="shared" si="1491"/>
        <v>RECEITAS COM ENTREGAS</v>
      </c>
      <c r="O2997">
        <v>13623.42</v>
      </c>
      <c r="R2997" t="str">
        <f t="shared" si="1492"/>
        <v>RECEITAS COM ENTREGAS (303)</v>
      </c>
      <c r="S2997">
        <v>1837</v>
      </c>
      <c r="T2997">
        <v>1273</v>
      </c>
      <c r="U2997" t="s">
        <v>19</v>
      </c>
    </row>
    <row r="2998" spans="1:21">
      <c r="A2998" t="str">
        <f t="shared" si="1481"/>
        <v>11/06/2025</v>
      </c>
      <c r="B2998" t="str">
        <f t="shared" si="1493"/>
        <v>ENTRADA</v>
      </c>
      <c r="C2998" t="str">
        <f t="shared" si="1485"/>
        <v>NFSE</v>
      </c>
      <c r="D2998" t="str">
        <f t="shared" si="1495"/>
        <v>3067</v>
      </c>
      <c r="E2998" t="str">
        <f t="shared" si="1494"/>
        <v>COM</v>
      </c>
      <c r="F2998" t="str">
        <f t="shared" si="1496"/>
        <v>FARMÁCIA INDIANA LJ 1 (10126)</v>
      </c>
      <c r="G2998" t="str">
        <f t="shared" si="1497"/>
        <v>Serv.Prest. 26/05/2025 a 01/06/2025 - RPS: 836 - NFSe: 3067</v>
      </c>
      <c r="H2998" t="str">
        <f t="shared" si="1484"/>
        <v>11/06/2025</v>
      </c>
      <c r="I2998" t="str">
        <f t="shared" si="1489"/>
        <v>03/06/2025</v>
      </c>
      <c r="J2998" t="str">
        <f t="shared" si="1490"/>
        <v>11/06/2025</v>
      </c>
      <c r="M2998">
        <v>303</v>
      </c>
      <c r="N2998" t="str">
        <f t="shared" si="1491"/>
        <v>RECEITAS COM ENTREGAS</v>
      </c>
      <c r="P2998">
        <v>1836.45</v>
      </c>
      <c r="Q2998" t="str">
        <f>"FARMÁCIA INDIANA LJ 06 (10006)"</f>
        <v>FARMÁCIA INDIANA LJ 06 (10006)</v>
      </c>
      <c r="R2998" t="str">
        <f t="shared" si="1492"/>
        <v>RECEITAS COM ENTREGAS (303)</v>
      </c>
      <c r="S2998">
        <v>1837</v>
      </c>
      <c r="T2998">
        <v>1273</v>
      </c>
      <c r="U2998" t="s">
        <v>19</v>
      </c>
    </row>
    <row r="2999" spans="1:21">
      <c r="A2999" t="str">
        <f t="shared" si="1481"/>
        <v>11/06/2025</v>
      </c>
      <c r="B2999" t="str">
        <f t="shared" si="1493"/>
        <v>ENTRADA</v>
      </c>
      <c r="C2999" t="str">
        <f t="shared" si="1485"/>
        <v>NFSE</v>
      </c>
      <c r="D2999" t="str">
        <f t="shared" si="1495"/>
        <v>3067</v>
      </c>
      <c r="E2999" t="str">
        <f t="shared" si="1494"/>
        <v>COM</v>
      </c>
      <c r="F2999" t="str">
        <f t="shared" si="1496"/>
        <v>FARMÁCIA INDIANA LJ 1 (10126)</v>
      </c>
      <c r="G2999" t="str">
        <f t="shared" si="1497"/>
        <v>Serv.Prest. 26/05/2025 a 01/06/2025 - RPS: 836 - NFSe: 3067</v>
      </c>
      <c r="H2999" t="str">
        <f t="shared" si="1484"/>
        <v>11/06/2025</v>
      </c>
      <c r="I2999" t="str">
        <f t="shared" si="1489"/>
        <v>03/06/2025</v>
      </c>
      <c r="J2999" t="str">
        <f t="shared" si="1490"/>
        <v>11/06/2025</v>
      </c>
      <c r="M2999">
        <v>303</v>
      </c>
      <c r="N2999" t="str">
        <f t="shared" si="1491"/>
        <v>RECEITAS COM ENTREGAS</v>
      </c>
      <c r="P2999">
        <v>1502.66</v>
      </c>
      <c r="Q2999" t="str">
        <f>"FARMÁCIA INDIANA LJ 07 (10007)"</f>
        <v>FARMÁCIA INDIANA LJ 07 (10007)</v>
      </c>
      <c r="R2999" t="str">
        <f t="shared" si="1492"/>
        <v>RECEITAS COM ENTREGAS (303)</v>
      </c>
      <c r="S2999">
        <v>1837</v>
      </c>
      <c r="T2999">
        <v>1273</v>
      </c>
      <c r="U2999" t="s">
        <v>19</v>
      </c>
    </row>
    <row r="3000" spans="1:21">
      <c r="A3000" t="str">
        <f t="shared" si="1481"/>
        <v>11/06/2025</v>
      </c>
      <c r="B3000" t="str">
        <f t="shared" si="1493"/>
        <v>ENTRADA</v>
      </c>
      <c r="C3000" t="str">
        <f t="shared" si="1485"/>
        <v>NFSE</v>
      </c>
      <c r="D3000" t="str">
        <f t="shared" si="1495"/>
        <v>3067</v>
      </c>
      <c r="E3000" t="str">
        <f t="shared" si="1494"/>
        <v>COM</v>
      </c>
      <c r="F3000" t="str">
        <f t="shared" si="1496"/>
        <v>FARMÁCIA INDIANA LJ 1 (10126)</v>
      </c>
      <c r="G3000" t="str">
        <f t="shared" si="1497"/>
        <v>Serv.Prest. 26/05/2025 a 01/06/2025 - RPS: 836 - NFSe: 3067</v>
      </c>
      <c r="H3000" t="str">
        <f t="shared" si="1484"/>
        <v>11/06/2025</v>
      </c>
      <c r="I3000" t="str">
        <f t="shared" si="1489"/>
        <v>03/06/2025</v>
      </c>
      <c r="J3000" t="str">
        <f t="shared" si="1490"/>
        <v>11/06/2025</v>
      </c>
      <c r="M3000">
        <v>303</v>
      </c>
      <c r="N3000" t="str">
        <f t="shared" si="1491"/>
        <v>RECEITAS COM ENTREGAS</v>
      </c>
      <c r="P3000">
        <v>1028.57</v>
      </c>
      <c r="Q3000" t="str">
        <f>"FARMÁCIA INDIANA LJ 11 (10008)"</f>
        <v>FARMÁCIA INDIANA LJ 11 (10008)</v>
      </c>
      <c r="R3000" t="str">
        <f t="shared" si="1492"/>
        <v>RECEITAS COM ENTREGAS (303)</v>
      </c>
      <c r="S3000">
        <v>1837</v>
      </c>
      <c r="T3000">
        <v>1273</v>
      </c>
      <c r="U3000" t="s">
        <v>19</v>
      </c>
    </row>
    <row r="3001" spans="1:21">
      <c r="A3001" t="str">
        <f t="shared" si="1481"/>
        <v>11/06/2025</v>
      </c>
      <c r="B3001" t="str">
        <f t="shared" si="1493"/>
        <v>ENTRADA</v>
      </c>
      <c r="C3001" t="str">
        <f t="shared" si="1485"/>
        <v>NFSE</v>
      </c>
      <c r="D3001" t="str">
        <f t="shared" si="1495"/>
        <v>3067</v>
      </c>
      <c r="E3001" t="str">
        <f t="shared" si="1494"/>
        <v>COM</v>
      </c>
      <c r="F3001" t="str">
        <f t="shared" si="1496"/>
        <v>FARMÁCIA INDIANA LJ 1 (10126)</v>
      </c>
      <c r="G3001" t="str">
        <f t="shared" si="1497"/>
        <v>Serv.Prest. 26/05/2025 a 01/06/2025 - RPS: 836 - NFSe: 3067</v>
      </c>
      <c r="H3001" t="str">
        <f t="shared" si="1484"/>
        <v>11/06/2025</v>
      </c>
      <c r="I3001" t="str">
        <f t="shared" si="1489"/>
        <v>03/06/2025</v>
      </c>
      <c r="J3001" t="str">
        <f t="shared" si="1490"/>
        <v>11/06/2025</v>
      </c>
      <c r="M3001">
        <v>303</v>
      </c>
      <c r="N3001" t="str">
        <f t="shared" si="1491"/>
        <v>RECEITAS COM ENTREGAS</v>
      </c>
      <c r="P3001">
        <v>395.08</v>
      </c>
      <c r="Q3001" t="str">
        <f>"FARMÁCIA INDIANA LJ 14 (10009)"</f>
        <v>FARMÁCIA INDIANA LJ 14 (10009)</v>
      </c>
      <c r="R3001" t="str">
        <f t="shared" si="1492"/>
        <v>RECEITAS COM ENTREGAS (303)</v>
      </c>
      <c r="S3001">
        <v>1837</v>
      </c>
      <c r="T3001">
        <v>1273</v>
      </c>
      <c r="U3001" t="s">
        <v>19</v>
      </c>
    </row>
    <row r="3002" spans="1:21">
      <c r="A3002" t="str">
        <f t="shared" si="1481"/>
        <v>11/06/2025</v>
      </c>
      <c r="B3002" t="str">
        <f t="shared" si="1493"/>
        <v>ENTRADA</v>
      </c>
      <c r="C3002" t="str">
        <f t="shared" si="1485"/>
        <v>NFSE</v>
      </c>
      <c r="D3002" t="str">
        <f t="shared" si="1495"/>
        <v>3067</v>
      </c>
      <c r="E3002" t="str">
        <f t="shared" si="1494"/>
        <v>COM</v>
      </c>
      <c r="F3002" t="str">
        <f t="shared" si="1496"/>
        <v>FARMÁCIA INDIANA LJ 1 (10126)</v>
      </c>
      <c r="G3002" t="str">
        <f t="shared" si="1497"/>
        <v>Serv.Prest. 26/05/2025 a 01/06/2025 - RPS: 836 - NFSe: 3067</v>
      </c>
      <c r="H3002" t="str">
        <f t="shared" si="1484"/>
        <v>11/06/2025</v>
      </c>
      <c r="I3002" t="str">
        <f t="shared" si="1489"/>
        <v>03/06/2025</v>
      </c>
      <c r="J3002" t="str">
        <f t="shared" si="1490"/>
        <v>11/06/2025</v>
      </c>
      <c r="M3002">
        <v>303</v>
      </c>
      <c r="N3002" t="str">
        <f t="shared" si="1491"/>
        <v>RECEITAS COM ENTREGAS</v>
      </c>
      <c r="P3002">
        <v>412.79</v>
      </c>
      <c r="Q3002" t="str">
        <f>"FARMÁCIA INDIANA LJ 18 (10011)"</f>
        <v>FARMÁCIA INDIANA LJ 18 (10011)</v>
      </c>
      <c r="R3002" t="str">
        <f t="shared" si="1492"/>
        <v>RECEITAS COM ENTREGAS (303)</v>
      </c>
      <c r="S3002">
        <v>1837</v>
      </c>
      <c r="T3002">
        <v>1273</v>
      </c>
      <c r="U3002" t="s">
        <v>19</v>
      </c>
    </row>
    <row r="3003" spans="1:21">
      <c r="A3003" t="str">
        <f t="shared" si="1481"/>
        <v>11/06/2025</v>
      </c>
      <c r="B3003" t="str">
        <f t="shared" si="1493"/>
        <v>ENTRADA</v>
      </c>
      <c r="C3003" t="str">
        <f t="shared" si="1485"/>
        <v>NFSE</v>
      </c>
      <c r="D3003" t="str">
        <f t="shared" si="1495"/>
        <v>3067</v>
      </c>
      <c r="E3003" t="str">
        <f t="shared" si="1494"/>
        <v>COM</v>
      </c>
      <c r="F3003" t="str">
        <f t="shared" si="1496"/>
        <v>FARMÁCIA INDIANA LJ 1 (10126)</v>
      </c>
      <c r="G3003" t="str">
        <f t="shared" si="1497"/>
        <v>Serv.Prest. 26/05/2025 a 01/06/2025 - RPS: 836 - NFSe: 3067</v>
      </c>
      <c r="H3003" t="str">
        <f t="shared" si="1484"/>
        <v>11/06/2025</v>
      </c>
      <c r="I3003" t="str">
        <f t="shared" si="1489"/>
        <v>03/06/2025</v>
      </c>
      <c r="J3003" t="str">
        <f t="shared" si="1490"/>
        <v>11/06/2025</v>
      </c>
      <c r="M3003">
        <v>303</v>
      </c>
      <c r="N3003" t="str">
        <f t="shared" si="1491"/>
        <v>RECEITAS COM ENTREGAS</v>
      </c>
      <c r="P3003">
        <v>411.43</v>
      </c>
      <c r="Q3003" t="str">
        <f>"FARMÁCIA INDIANA LJ 19 (10012)"</f>
        <v>FARMÁCIA INDIANA LJ 19 (10012)</v>
      </c>
      <c r="R3003" t="str">
        <f t="shared" si="1492"/>
        <v>RECEITAS COM ENTREGAS (303)</v>
      </c>
      <c r="S3003">
        <v>1837</v>
      </c>
      <c r="T3003">
        <v>1273</v>
      </c>
      <c r="U3003" t="s">
        <v>19</v>
      </c>
    </row>
    <row r="3004" spans="1:21">
      <c r="A3004" t="str">
        <f t="shared" si="1481"/>
        <v>11/06/2025</v>
      </c>
      <c r="B3004" t="str">
        <f t="shared" si="1493"/>
        <v>ENTRADA</v>
      </c>
      <c r="C3004" t="str">
        <f t="shared" si="1485"/>
        <v>NFSE</v>
      </c>
      <c r="D3004" t="str">
        <f t="shared" si="1495"/>
        <v>3067</v>
      </c>
      <c r="E3004" t="str">
        <f t="shared" si="1494"/>
        <v>COM</v>
      </c>
      <c r="F3004" t="str">
        <f t="shared" si="1496"/>
        <v>FARMÁCIA INDIANA LJ 1 (10126)</v>
      </c>
      <c r="G3004" t="str">
        <f t="shared" si="1497"/>
        <v>Serv.Prest. 26/05/2025 a 01/06/2025 - RPS: 836 - NFSe: 3067</v>
      </c>
      <c r="H3004" t="str">
        <f t="shared" si="1484"/>
        <v>11/06/2025</v>
      </c>
      <c r="I3004" t="str">
        <f t="shared" si="1489"/>
        <v>03/06/2025</v>
      </c>
      <c r="J3004" t="str">
        <f t="shared" si="1490"/>
        <v>11/06/2025</v>
      </c>
      <c r="M3004">
        <v>303</v>
      </c>
      <c r="N3004" t="str">
        <f t="shared" si="1491"/>
        <v>RECEITAS COM ENTREGAS</v>
      </c>
      <c r="P3004">
        <v>565.37</v>
      </c>
      <c r="Q3004" t="str">
        <f>"FARMÁCIA INDIANA LJ 40 (10016)"</f>
        <v>FARMÁCIA INDIANA LJ 40 (10016)</v>
      </c>
      <c r="R3004" t="str">
        <f t="shared" si="1492"/>
        <v>RECEITAS COM ENTREGAS (303)</v>
      </c>
      <c r="S3004">
        <v>1837</v>
      </c>
      <c r="T3004">
        <v>1273</v>
      </c>
      <c r="U3004" t="s">
        <v>19</v>
      </c>
    </row>
    <row r="3005" spans="1:21">
      <c r="A3005" t="str">
        <f t="shared" si="1481"/>
        <v>11/06/2025</v>
      </c>
      <c r="B3005" t="str">
        <f t="shared" si="1493"/>
        <v>ENTRADA</v>
      </c>
      <c r="C3005" t="str">
        <f t="shared" si="1485"/>
        <v>NFSE</v>
      </c>
      <c r="D3005" t="str">
        <f t="shared" si="1495"/>
        <v>3067</v>
      </c>
      <c r="E3005" t="str">
        <f t="shared" si="1494"/>
        <v>COM</v>
      </c>
      <c r="F3005" t="str">
        <f t="shared" si="1496"/>
        <v>FARMÁCIA INDIANA LJ 1 (10126)</v>
      </c>
      <c r="G3005" t="str">
        <f t="shared" si="1497"/>
        <v>Serv.Prest. 26/05/2025 a 01/06/2025 - RPS: 836 - NFSe: 3067</v>
      </c>
      <c r="H3005" t="str">
        <f t="shared" si="1484"/>
        <v>11/06/2025</v>
      </c>
      <c r="I3005" t="str">
        <f t="shared" si="1489"/>
        <v>03/06/2025</v>
      </c>
      <c r="J3005" t="str">
        <f t="shared" si="1490"/>
        <v>11/06/2025</v>
      </c>
      <c r="M3005">
        <v>303</v>
      </c>
      <c r="N3005" t="str">
        <f t="shared" si="1491"/>
        <v>RECEITAS COM ENTREGAS</v>
      </c>
      <c r="P3005">
        <v>376.01</v>
      </c>
      <c r="Q3005" t="str">
        <f>"FARMÁCIA INDIANA LJ 59 (10026)"</f>
        <v>FARMÁCIA INDIANA LJ 59 (10026)</v>
      </c>
      <c r="R3005" t="str">
        <f t="shared" si="1492"/>
        <v>RECEITAS COM ENTREGAS (303)</v>
      </c>
      <c r="S3005">
        <v>1837</v>
      </c>
      <c r="T3005">
        <v>1273</v>
      </c>
      <c r="U3005" t="s">
        <v>19</v>
      </c>
    </row>
    <row r="3006" spans="1:21">
      <c r="A3006" t="str">
        <f t="shared" si="1481"/>
        <v>11/06/2025</v>
      </c>
      <c r="B3006" t="str">
        <f t="shared" si="1493"/>
        <v>ENTRADA</v>
      </c>
      <c r="C3006" t="str">
        <f t="shared" si="1485"/>
        <v>NFSE</v>
      </c>
      <c r="D3006" t="str">
        <f t="shared" si="1495"/>
        <v>3067</v>
      </c>
      <c r="E3006" t="str">
        <f t="shared" si="1494"/>
        <v>COM</v>
      </c>
      <c r="F3006" t="str">
        <f t="shared" si="1496"/>
        <v>FARMÁCIA INDIANA LJ 1 (10126)</v>
      </c>
      <c r="G3006" t="str">
        <f t="shared" si="1497"/>
        <v>Serv.Prest. 26/05/2025 a 01/06/2025 - RPS: 836 - NFSe: 3067</v>
      </c>
      <c r="H3006" t="str">
        <f t="shared" si="1484"/>
        <v>11/06/2025</v>
      </c>
      <c r="I3006" t="str">
        <f t="shared" si="1489"/>
        <v>03/06/2025</v>
      </c>
      <c r="J3006" t="str">
        <f t="shared" si="1490"/>
        <v>11/06/2025</v>
      </c>
      <c r="M3006">
        <v>303</v>
      </c>
      <c r="N3006" t="str">
        <f t="shared" si="1491"/>
        <v>RECEITAS COM ENTREGAS</v>
      </c>
      <c r="P3006">
        <v>480.91</v>
      </c>
      <c r="Q3006" t="str">
        <f>"FARMÁCIA INDIANA LJ 61 (10027)"</f>
        <v>FARMÁCIA INDIANA LJ 61 (10027)</v>
      </c>
      <c r="R3006" t="str">
        <f t="shared" si="1492"/>
        <v>RECEITAS COM ENTREGAS (303)</v>
      </c>
      <c r="S3006">
        <v>1837</v>
      </c>
      <c r="T3006">
        <v>1273</v>
      </c>
      <c r="U3006" t="s">
        <v>19</v>
      </c>
    </row>
    <row r="3007" spans="1:21">
      <c r="A3007" t="str">
        <f t="shared" si="1481"/>
        <v>11/06/2025</v>
      </c>
      <c r="B3007" t="str">
        <f t="shared" si="1493"/>
        <v>ENTRADA</v>
      </c>
      <c r="C3007" t="str">
        <f t="shared" si="1485"/>
        <v>NFSE</v>
      </c>
      <c r="D3007" t="str">
        <f t="shared" si="1495"/>
        <v>3067</v>
      </c>
      <c r="E3007" t="str">
        <f t="shared" si="1494"/>
        <v>COM</v>
      </c>
      <c r="F3007" t="str">
        <f t="shared" si="1496"/>
        <v>FARMÁCIA INDIANA LJ 1 (10126)</v>
      </c>
      <c r="G3007" t="str">
        <f t="shared" si="1497"/>
        <v>Serv.Prest. 26/05/2025 a 01/06/2025 - RPS: 836 - NFSe: 3067</v>
      </c>
      <c r="H3007" t="str">
        <f t="shared" si="1484"/>
        <v>11/06/2025</v>
      </c>
      <c r="I3007" t="str">
        <f t="shared" si="1489"/>
        <v>03/06/2025</v>
      </c>
      <c r="J3007" t="str">
        <f t="shared" si="1490"/>
        <v>11/06/2025</v>
      </c>
      <c r="M3007">
        <v>303</v>
      </c>
      <c r="N3007" t="str">
        <f t="shared" si="1491"/>
        <v>RECEITAS COM ENTREGAS</v>
      </c>
      <c r="P3007">
        <v>257.48</v>
      </c>
      <c r="Q3007" t="str">
        <f>"FARMÁCIA INDIANA LJ 62 (10028)"</f>
        <v>FARMÁCIA INDIANA LJ 62 (10028)</v>
      </c>
      <c r="R3007" t="str">
        <f t="shared" si="1492"/>
        <v>RECEITAS COM ENTREGAS (303)</v>
      </c>
      <c r="S3007">
        <v>1837</v>
      </c>
      <c r="T3007">
        <v>1273</v>
      </c>
      <c r="U3007" t="s">
        <v>19</v>
      </c>
    </row>
    <row r="3008" spans="1:21">
      <c r="A3008" t="str">
        <f t="shared" si="1481"/>
        <v>11/06/2025</v>
      </c>
      <c r="B3008" t="str">
        <f t="shared" si="1493"/>
        <v>ENTRADA</v>
      </c>
      <c r="C3008" t="str">
        <f t="shared" si="1485"/>
        <v>NFSE</v>
      </c>
      <c r="D3008" t="str">
        <f t="shared" si="1495"/>
        <v>3067</v>
      </c>
      <c r="E3008" t="str">
        <f t="shared" si="1494"/>
        <v>COM</v>
      </c>
      <c r="F3008" t="str">
        <f t="shared" si="1496"/>
        <v>FARMÁCIA INDIANA LJ 1 (10126)</v>
      </c>
      <c r="G3008" t="str">
        <f t="shared" si="1497"/>
        <v>Serv.Prest. 26/05/2025 a 01/06/2025 - RPS: 836 - NFSe: 3067</v>
      </c>
      <c r="H3008" t="str">
        <f t="shared" si="1484"/>
        <v>11/06/2025</v>
      </c>
      <c r="I3008" t="str">
        <f t="shared" si="1489"/>
        <v>03/06/2025</v>
      </c>
      <c r="J3008" t="str">
        <f t="shared" si="1490"/>
        <v>11/06/2025</v>
      </c>
      <c r="M3008">
        <v>303</v>
      </c>
      <c r="N3008" t="str">
        <f t="shared" si="1491"/>
        <v>RECEITAS COM ENTREGAS</v>
      </c>
      <c r="P3008">
        <v>107.63</v>
      </c>
      <c r="Q3008" t="str">
        <f>"FARMÁCIA INDIANA LJ 64 (10029)"</f>
        <v>FARMÁCIA INDIANA LJ 64 (10029)</v>
      </c>
      <c r="R3008" t="str">
        <f t="shared" si="1492"/>
        <v>RECEITAS COM ENTREGAS (303)</v>
      </c>
      <c r="S3008">
        <v>1837</v>
      </c>
      <c r="T3008">
        <v>1273</v>
      </c>
      <c r="U3008" t="s">
        <v>19</v>
      </c>
    </row>
    <row r="3009" spans="1:21">
      <c r="A3009" t="str">
        <f t="shared" si="1481"/>
        <v>11/06/2025</v>
      </c>
      <c r="B3009" t="str">
        <f t="shared" si="1493"/>
        <v>ENTRADA</v>
      </c>
      <c r="C3009" t="str">
        <f t="shared" si="1485"/>
        <v>NFSE</v>
      </c>
      <c r="D3009" t="str">
        <f t="shared" si="1495"/>
        <v>3067</v>
      </c>
      <c r="E3009" t="str">
        <f t="shared" si="1494"/>
        <v>COM</v>
      </c>
      <c r="F3009" t="str">
        <f t="shared" si="1496"/>
        <v>FARMÁCIA INDIANA LJ 1 (10126)</v>
      </c>
      <c r="G3009" t="str">
        <f t="shared" si="1497"/>
        <v>Serv.Prest. 26/05/2025 a 01/06/2025 - RPS: 836 - NFSe: 3067</v>
      </c>
      <c r="H3009" t="str">
        <f t="shared" si="1484"/>
        <v>11/06/2025</v>
      </c>
      <c r="I3009" t="str">
        <f t="shared" si="1489"/>
        <v>03/06/2025</v>
      </c>
      <c r="J3009" t="str">
        <f t="shared" si="1490"/>
        <v>11/06/2025</v>
      </c>
      <c r="M3009">
        <v>303</v>
      </c>
      <c r="N3009" t="str">
        <f t="shared" si="1491"/>
        <v>RECEITAS COM ENTREGAS</v>
      </c>
      <c r="P3009">
        <v>65.39</v>
      </c>
      <c r="Q3009" t="str">
        <f>"FARMÁCIA INDIANA LJ 97 (10040)"</f>
        <v>FARMÁCIA INDIANA LJ 97 (10040)</v>
      </c>
      <c r="R3009" t="str">
        <f t="shared" si="1492"/>
        <v>RECEITAS COM ENTREGAS (303)</v>
      </c>
      <c r="S3009">
        <v>1837</v>
      </c>
      <c r="T3009">
        <v>1273</v>
      </c>
      <c r="U3009" t="s">
        <v>19</v>
      </c>
    </row>
    <row r="3010" spans="1:21">
      <c r="A3010" t="str">
        <f t="shared" si="1481"/>
        <v>11/06/2025</v>
      </c>
      <c r="B3010" t="str">
        <f t="shared" si="1493"/>
        <v>ENTRADA</v>
      </c>
      <c r="C3010" t="str">
        <f t="shared" si="1485"/>
        <v>NFSE</v>
      </c>
      <c r="D3010" t="str">
        <f t="shared" si="1495"/>
        <v>3067</v>
      </c>
      <c r="E3010" t="str">
        <f t="shared" si="1494"/>
        <v>COM</v>
      </c>
      <c r="F3010" t="str">
        <f t="shared" si="1496"/>
        <v>FARMÁCIA INDIANA LJ 1 (10126)</v>
      </c>
      <c r="G3010" t="str">
        <f t="shared" si="1497"/>
        <v>Serv.Prest. 26/05/2025 a 01/06/2025 - RPS: 836 - NFSe: 3067</v>
      </c>
      <c r="H3010" t="str">
        <f t="shared" si="1484"/>
        <v>11/06/2025</v>
      </c>
      <c r="I3010" t="str">
        <f t="shared" si="1489"/>
        <v>03/06/2025</v>
      </c>
      <c r="J3010" t="str">
        <f t="shared" si="1490"/>
        <v>11/06/2025</v>
      </c>
      <c r="M3010">
        <v>303</v>
      </c>
      <c r="N3010" t="str">
        <f t="shared" si="1491"/>
        <v>RECEITAS COM ENTREGAS</v>
      </c>
      <c r="P3010">
        <v>299.72000000000003</v>
      </c>
      <c r="Q3010" t="str">
        <f>"FARMÁCIA INDIANA LJ 100 (10042)"</f>
        <v>FARMÁCIA INDIANA LJ 100 (10042)</v>
      </c>
      <c r="R3010" t="str">
        <f t="shared" si="1492"/>
        <v>RECEITAS COM ENTREGAS (303)</v>
      </c>
      <c r="S3010">
        <v>1837</v>
      </c>
      <c r="T3010">
        <v>1273</v>
      </c>
      <c r="U3010" t="s">
        <v>19</v>
      </c>
    </row>
    <row r="3011" spans="1:21">
      <c r="A3011" t="str">
        <f t="shared" si="1481"/>
        <v>11/06/2025</v>
      </c>
      <c r="B3011" t="str">
        <f t="shared" si="1493"/>
        <v>ENTRADA</v>
      </c>
      <c r="C3011" t="str">
        <f t="shared" si="1485"/>
        <v>NFSE</v>
      </c>
      <c r="D3011" t="str">
        <f t="shared" si="1495"/>
        <v>3067</v>
      </c>
      <c r="E3011" t="str">
        <f t="shared" si="1494"/>
        <v>COM</v>
      </c>
      <c r="F3011" t="str">
        <f t="shared" si="1496"/>
        <v>FARMÁCIA INDIANA LJ 1 (10126)</v>
      </c>
      <c r="G3011" t="str">
        <f t="shared" si="1497"/>
        <v>Serv.Prest. 26/05/2025 a 01/06/2025 - RPS: 836 - NFSe: 3067</v>
      </c>
      <c r="H3011" t="str">
        <f t="shared" si="1484"/>
        <v>11/06/2025</v>
      </c>
      <c r="I3011" t="str">
        <f t="shared" si="1489"/>
        <v>03/06/2025</v>
      </c>
      <c r="J3011" t="str">
        <f t="shared" si="1490"/>
        <v>11/06/2025</v>
      </c>
      <c r="M3011">
        <v>303</v>
      </c>
      <c r="N3011" t="str">
        <f t="shared" si="1491"/>
        <v>RECEITAS COM ENTREGAS</v>
      </c>
      <c r="P3011">
        <v>781.98</v>
      </c>
      <c r="Q3011" t="str">
        <f>"FARMÁCIA INDIANA LJ 101 (10043)"</f>
        <v>FARMÁCIA INDIANA LJ 101 (10043)</v>
      </c>
      <c r="R3011" t="str">
        <f t="shared" si="1492"/>
        <v>RECEITAS COM ENTREGAS (303)</v>
      </c>
      <c r="S3011">
        <v>1837</v>
      </c>
      <c r="T3011">
        <v>1273</v>
      </c>
      <c r="U3011" t="s">
        <v>19</v>
      </c>
    </row>
    <row r="3012" spans="1:21">
      <c r="A3012" t="str">
        <f t="shared" ref="A3012:A3043" si="1498">("11/06/2025")</f>
        <v>11/06/2025</v>
      </c>
      <c r="B3012" t="str">
        <f t="shared" si="1493"/>
        <v>ENTRADA</v>
      </c>
      <c r="C3012" t="str">
        <f t="shared" si="1485"/>
        <v>NFSE</v>
      </c>
      <c r="D3012" t="str">
        <f t="shared" si="1495"/>
        <v>3067</v>
      </c>
      <c r="E3012" t="str">
        <f t="shared" si="1494"/>
        <v>COM</v>
      </c>
      <c r="F3012" t="str">
        <f t="shared" si="1496"/>
        <v>FARMÁCIA INDIANA LJ 1 (10126)</v>
      </c>
      <c r="G3012" t="str">
        <f t="shared" si="1497"/>
        <v>Serv.Prest. 26/05/2025 a 01/06/2025 - RPS: 836 - NFSe: 3067</v>
      </c>
      <c r="H3012" t="str">
        <f t="shared" si="1484"/>
        <v>11/06/2025</v>
      </c>
      <c r="I3012" t="str">
        <f t="shared" si="1489"/>
        <v>03/06/2025</v>
      </c>
      <c r="J3012" t="str">
        <f t="shared" si="1490"/>
        <v>11/06/2025</v>
      </c>
      <c r="M3012">
        <v>303</v>
      </c>
      <c r="N3012" t="str">
        <f t="shared" si="1491"/>
        <v>RECEITAS COM ENTREGAS</v>
      </c>
      <c r="P3012">
        <v>100.81</v>
      </c>
      <c r="Q3012" t="str">
        <f>"FARMÁCIA INDIANA LJ 103 (10044)"</f>
        <v>FARMÁCIA INDIANA LJ 103 (10044)</v>
      </c>
      <c r="R3012" t="str">
        <f t="shared" si="1492"/>
        <v>RECEITAS COM ENTREGAS (303)</v>
      </c>
      <c r="S3012">
        <v>1837</v>
      </c>
      <c r="T3012">
        <v>1273</v>
      </c>
      <c r="U3012" t="s">
        <v>19</v>
      </c>
    </row>
    <row r="3013" spans="1:21">
      <c r="A3013" t="str">
        <f t="shared" si="1498"/>
        <v>11/06/2025</v>
      </c>
      <c r="B3013" t="str">
        <f t="shared" si="1493"/>
        <v>ENTRADA</v>
      </c>
      <c r="C3013" t="str">
        <f t="shared" si="1485"/>
        <v>NFSE</v>
      </c>
      <c r="D3013" t="str">
        <f t="shared" si="1495"/>
        <v>3067</v>
      </c>
      <c r="E3013" t="str">
        <f t="shared" si="1494"/>
        <v>COM</v>
      </c>
      <c r="F3013" t="str">
        <f t="shared" si="1496"/>
        <v>FARMÁCIA INDIANA LJ 1 (10126)</v>
      </c>
      <c r="G3013" t="str">
        <f t="shared" si="1497"/>
        <v>Serv.Prest. 26/05/2025 a 01/06/2025 - RPS: 836 - NFSe: 3067</v>
      </c>
      <c r="H3013" t="str">
        <f t="shared" si="1484"/>
        <v>11/06/2025</v>
      </c>
      <c r="I3013" t="str">
        <f t="shared" si="1489"/>
        <v>03/06/2025</v>
      </c>
      <c r="J3013" t="str">
        <f t="shared" si="1490"/>
        <v>11/06/2025</v>
      </c>
      <c r="M3013">
        <v>303</v>
      </c>
      <c r="N3013" t="str">
        <f t="shared" si="1491"/>
        <v>RECEITAS COM ENTREGAS</v>
      </c>
      <c r="P3013">
        <v>186.64</v>
      </c>
      <c r="Q3013" t="str">
        <f>"FARMÁCIA INDIANA LJ 109 (10047)"</f>
        <v>FARMÁCIA INDIANA LJ 109 (10047)</v>
      </c>
      <c r="R3013" t="str">
        <f t="shared" si="1492"/>
        <v>RECEITAS COM ENTREGAS (303)</v>
      </c>
      <c r="S3013">
        <v>1837</v>
      </c>
      <c r="T3013">
        <v>1273</v>
      </c>
      <c r="U3013" t="s">
        <v>19</v>
      </c>
    </row>
    <row r="3014" spans="1:21">
      <c r="A3014" t="str">
        <f t="shared" si="1498"/>
        <v>11/06/2025</v>
      </c>
      <c r="B3014" t="str">
        <f t="shared" si="1493"/>
        <v>ENTRADA</v>
      </c>
      <c r="C3014" t="str">
        <f t="shared" si="1485"/>
        <v>NFSE</v>
      </c>
      <c r="D3014" t="str">
        <f t="shared" si="1495"/>
        <v>3067</v>
      </c>
      <c r="E3014" t="str">
        <f t="shared" si="1494"/>
        <v>COM</v>
      </c>
      <c r="F3014" t="str">
        <f t="shared" si="1496"/>
        <v>FARMÁCIA INDIANA LJ 1 (10126)</v>
      </c>
      <c r="G3014" t="str">
        <f t="shared" si="1497"/>
        <v>Serv.Prest. 26/05/2025 a 01/06/2025 - RPS: 836 - NFSe: 3067</v>
      </c>
      <c r="H3014" t="str">
        <f t="shared" si="1484"/>
        <v>11/06/2025</v>
      </c>
      <c r="I3014" t="str">
        <f t="shared" si="1489"/>
        <v>03/06/2025</v>
      </c>
      <c r="J3014" t="str">
        <f t="shared" si="1490"/>
        <v>11/06/2025</v>
      </c>
      <c r="M3014">
        <v>303</v>
      </c>
      <c r="N3014" t="str">
        <f t="shared" si="1491"/>
        <v>RECEITAS COM ENTREGAS</v>
      </c>
      <c r="P3014">
        <v>400.53</v>
      </c>
      <c r="Q3014" t="str">
        <f>"FARMÁCIA INDIANA LJ 110 (10048)"</f>
        <v>FARMÁCIA INDIANA LJ 110 (10048)</v>
      </c>
      <c r="R3014" t="str">
        <f t="shared" si="1492"/>
        <v>RECEITAS COM ENTREGAS (303)</v>
      </c>
      <c r="S3014">
        <v>1837</v>
      </c>
      <c r="T3014">
        <v>1273</v>
      </c>
      <c r="U3014" t="s">
        <v>19</v>
      </c>
    </row>
    <row r="3015" spans="1:21">
      <c r="A3015" t="str">
        <f t="shared" si="1498"/>
        <v>11/06/2025</v>
      </c>
      <c r="B3015" t="str">
        <f t="shared" si="1493"/>
        <v>ENTRADA</v>
      </c>
      <c r="C3015" t="str">
        <f t="shared" si="1485"/>
        <v>NFSE</v>
      </c>
      <c r="D3015" t="str">
        <f t="shared" si="1495"/>
        <v>3067</v>
      </c>
      <c r="E3015" t="str">
        <f t="shared" si="1494"/>
        <v>COM</v>
      </c>
      <c r="F3015" t="str">
        <f t="shared" si="1496"/>
        <v>FARMÁCIA INDIANA LJ 1 (10126)</v>
      </c>
      <c r="G3015" t="str">
        <f t="shared" si="1497"/>
        <v>Serv.Prest. 26/05/2025 a 01/06/2025 - RPS: 836 - NFSe: 3067</v>
      </c>
      <c r="H3015" t="str">
        <f t="shared" si="1484"/>
        <v>11/06/2025</v>
      </c>
      <c r="I3015" t="str">
        <f t="shared" si="1489"/>
        <v>03/06/2025</v>
      </c>
      <c r="J3015" t="str">
        <f t="shared" si="1490"/>
        <v>11/06/2025</v>
      </c>
      <c r="M3015">
        <v>303</v>
      </c>
      <c r="N3015" t="str">
        <f t="shared" si="1491"/>
        <v>RECEITAS COM ENTREGAS</v>
      </c>
      <c r="P3015">
        <v>64.03</v>
      </c>
      <c r="Q3015" t="str">
        <f>"FARMÁCIA INDIANA LJ 111 (10049)"</f>
        <v>FARMÁCIA INDIANA LJ 111 (10049)</v>
      </c>
      <c r="R3015" t="str">
        <f t="shared" si="1492"/>
        <v>RECEITAS COM ENTREGAS (303)</v>
      </c>
      <c r="S3015">
        <v>1837</v>
      </c>
      <c r="T3015">
        <v>1273</v>
      </c>
      <c r="U3015" t="s">
        <v>19</v>
      </c>
    </row>
    <row r="3016" spans="1:21">
      <c r="A3016" t="str">
        <f t="shared" si="1498"/>
        <v>11/06/2025</v>
      </c>
      <c r="B3016" t="str">
        <f t="shared" si="1493"/>
        <v>ENTRADA</v>
      </c>
      <c r="C3016" t="str">
        <f t="shared" si="1485"/>
        <v>NFSE</v>
      </c>
      <c r="D3016" t="str">
        <f t="shared" si="1495"/>
        <v>3067</v>
      </c>
      <c r="E3016" t="str">
        <f t="shared" si="1494"/>
        <v>COM</v>
      </c>
      <c r="F3016" t="str">
        <f t="shared" si="1496"/>
        <v>FARMÁCIA INDIANA LJ 1 (10126)</v>
      </c>
      <c r="G3016" t="str">
        <f t="shared" si="1497"/>
        <v>Serv.Prest. 26/05/2025 a 01/06/2025 - RPS: 836 - NFSe: 3067</v>
      </c>
      <c r="H3016" t="str">
        <f t="shared" ref="H3016:H3047" si="1499">("11/06/2025")</f>
        <v>11/06/2025</v>
      </c>
      <c r="I3016" t="str">
        <f t="shared" si="1489"/>
        <v>03/06/2025</v>
      </c>
      <c r="J3016" t="str">
        <f t="shared" si="1490"/>
        <v>11/06/2025</v>
      </c>
      <c r="M3016">
        <v>303</v>
      </c>
      <c r="N3016" t="str">
        <f t="shared" si="1491"/>
        <v>RECEITAS COM ENTREGAS</v>
      </c>
      <c r="P3016">
        <v>118.52</v>
      </c>
      <c r="Q3016" t="str">
        <f>"FARMÁCIA INDIANA LJ 112 (10050)"</f>
        <v>FARMÁCIA INDIANA LJ 112 (10050)</v>
      </c>
      <c r="R3016" t="str">
        <f t="shared" si="1492"/>
        <v>RECEITAS COM ENTREGAS (303)</v>
      </c>
      <c r="S3016">
        <v>1837</v>
      </c>
      <c r="T3016">
        <v>1273</v>
      </c>
      <c r="U3016" t="s">
        <v>19</v>
      </c>
    </row>
    <row r="3017" spans="1:21">
      <c r="A3017" t="str">
        <f t="shared" si="1498"/>
        <v>11/06/2025</v>
      </c>
      <c r="B3017" t="str">
        <f t="shared" si="1493"/>
        <v>ENTRADA</v>
      </c>
      <c r="C3017" t="str">
        <f t="shared" ref="C3017:C3048" si="1500">"NFSE"</f>
        <v>NFSE</v>
      </c>
      <c r="D3017" t="str">
        <f t="shared" si="1495"/>
        <v>3067</v>
      </c>
      <c r="E3017" t="str">
        <f t="shared" si="1494"/>
        <v>COM</v>
      </c>
      <c r="F3017" t="str">
        <f t="shared" si="1496"/>
        <v>FARMÁCIA INDIANA LJ 1 (10126)</v>
      </c>
      <c r="G3017" t="str">
        <f t="shared" si="1497"/>
        <v>Serv.Prest. 26/05/2025 a 01/06/2025 - RPS: 836 - NFSe: 3067</v>
      </c>
      <c r="H3017" t="str">
        <f t="shared" si="1499"/>
        <v>11/06/2025</v>
      </c>
      <c r="I3017" t="str">
        <f t="shared" ref="I3017:I3051" si="1501">("03/06/2025")</f>
        <v>03/06/2025</v>
      </c>
      <c r="J3017" t="str">
        <f t="shared" ref="J3017:J3048" si="1502">("11/06/2025")</f>
        <v>11/06/2025</v>
      </c>
      <c r="M3017">
        <v>303</v>
      </c>
      <c r="N3017" t="str">
        <f t="shared" ref="N3017:N3048" si="1503">"RECEITAS COM ENTREGAS"</f>
        <v>RECEITAS COM ENTREGAS</v>
      </c>
      <c r="P3017">
        <v>118.52</v>
      </c>
      <c r="Q3017" t="str">
        <f>"FARMÁCIA INDIANA LJ 116 (10051)"</f>
        <v>FARMÁCIA INDIANA LJ 116 (10051)</v>
      </c>
      <c r="R3017" t="str">
        <f t="shared" ref="R3017:R3048" si="1504">"RECEITAS COM ENTREGAS (303)"</f>
        <v>RECEITAS COM ENTREGAS (303)</v>
      </c>
      <c r="S3017">
        <v>1837</v>
      </c>
      <c r="T3017">
        <v>1273</v>
      </c>
      <c r="U3017" t="s">
        <v>19</v>
      </c>
    </row>
    <row r="3018" spans="1:21">
      <c r="A3018" t="str">
        <f t="shared" si="1498"/>
        <v>11/06/2025</v>
      </c>
      <c r="B3018" t="str">
        <f t="shared" si="1493"/>
        <v>ENTRADA</v>
      </c>
      <c r="C3018" t="str">
        <f t="shared" si="1500"/>
        <v>NFSE</v>
      </c>
      <c r="D3018" t="str">
        <f t="shared" si="1495"/>
        <v>3067</v>
      </c>
      <c r="E3018" t="str">
        <f t="shared" si="1494"/>
        <v>COM</v>
      </c>
      <c r="F3018" t="str">
        <f t="shared" si="1496"/>
        <v>FARMÁCIA INDIANA LJ 1 (10126)</v>
      </c>
      <c r="G3018" t="str">
        <f t="shared" si="1497"/>
        <v>Serv.Prest. 26/05/2025 a 01/06/2025 - RPS: 836 - NFSe: 3067</v>
      </c>
      <c r="H3018" t="str">
        <f t="shared" si="1499"/>
        <v>11/06/2025</v>
      </c>
      <c r="I3018" t="str">
        <f t="shared" si="1501"/>
        <v>03/06/2025</v>
      </c>
      <c r="J3018" t="str">
        <f t="shared" si="1502"/>
        <v>11/06/2025</v>
      </c>
      <c r="M3018">
        <v>303</v>
      </c>
      <c r="N3018" t="str">
        <f t="shared" si="1503"/>
        <v>RECEITAS COM ENTREGAS</v>
      </c>
      <c r="P3018">
        <v>121.25</v>
      </c>
      <c r="Q3018" t="str">
        <f>"FARMÁCIA INDIANA LJ 118 (10052)"</f>
        <v>FARMÁCIA INDIANA LJ 118 (10052)</v>
      </c>
      <c r="R3018" t="str">
        <f t="shared" si="1504"/>
        <v>RECEITAS COM ENTREGAS (303)</v>
      </c>
      <c r="S3018">
        <v>1837</v>
      </c>
      <c r="T3018">
        <v>1273</v>
      </c>
      <c r="U3018" t="s">
        <v>19</v>
      </c>
    </row>
    <row r="3019" spans="1:21">
      <c r="A3019" t="str">
        <f t="shared" si="1498"/>
        <v>11/06/2025</v>
      </c>
      <c r="B3019" t="str">
        <f t="shared" si="1493"/>
        <v>ENTRADA</v>
      </c>
      <c r="C3019" t="str">
        <f t="shared" si="1500"/>
        <v>NFSE</v>
      </c>
      <c r="D3019" t="str">
        <f t="shared" si="1495"/>
        <v>3067</v>
      </c>
      <c r="E3019" t="str">
        <f t="shared" si="1494"/>
        <v>COM</v>
      </c>
      <c r="F3019" t="str">
        <f t="shared" si="1496"/>
        <v>FARMÁCIA INDIANA LJ 1 (10126)</v>
      </c>
      <c r="G3019" t="str">
        <f t="shared" si="1497"/>
        <v>Serv.Prest. 26/05/2025 a 01/06/2025 - RPS: 836 - NFSe: 3067</v>
      </c>
      <c r="H3019" t="str">
        <f t="shared" si="1499"/>
        <v>11/06/2025</v>
      </c>
      <c r="I3019" t="str">
        <f t="shared" si="1501"/>
        <v>03/06/2025</v>
      </c>
      <c r="J3019" t="str">
        <f t="shared" si="1502"/>
        <v>11/06/2025</v>
      </c>
      <c r="M3019">
        <v>303</v>
      </c>
      <c r="N3019" t="str">
        <f t="shared" si="1503"/>
        <v>RECEITAS COM ENTREGAS</v>
      </c>
      <c r="P3019">
        <v>118.52</v>
      </c>
      <c r="Q3019" t="str">
        <f>"FARMÁCIA INDIANA LJ 121 (10054)"</f>
        <v>FARMÁCIA INDIANA LJ 121 (10054)</v>
      </c>
      <c r="R3019" t="str">
        <f t="shared" si="1504"/>
        <v>RECEITAS COM ENTREGAS (303)</v>
      </c>
      <c r="S3019">
        <v>1837</v>
      </c>
      <c r="T3019">
        <v>1273</v>
      </c>
      <c r="U3019" t="s">
        <v>19</v>
      </c>
    </row>
    <row r="3020" spans="1:21">
      <c r="A3020" t="str">
        <f t="shared" si="1498"/>
        <v>11/06/2025</v>
      </c>
      <c r="B3020" t="str">
        <f t="shared" si="1493"/>
        <v>ENTRADA</v>
      </c>
      <c r="C3020" t="str">
        <f t="shared" si="1500"/>
        <v>NFSE</v>
      </c>
      <c r="D3020" t="str">
        <f t="shared" si="1495"/>
        <v>3067</v>
      </c>
      <c r="E3020" t="str">
        <f t="shared" si="1494"/>
        <v>COM</v>
      </c>
      <c r="F3020" t="str">
        <f t="shared" si="1496"/>
        <v>FARMÁCIA INDIANA LJ 1 (10126)</v>
      </c>
      <c r="G3020" t="str">
        <f t="shared" si="1497"/>
        <v>Serv.Prest. 26/05/2025 a 01/06/2025 - RPS: 836 - NFSe: 3067</v>
      </c>
      <c r="H3020" t="str">
        <f t="shared" si="1499"/>
        <v>11/06/2025</v>
      </c>
      <c r="I3020" t="str">
        <f t="shared" si="1501"/>
        <v>03/06/2025</v>
      </c>
      <c r="J3020" t="str">
        <f t="shared" si="1502"/>
        <v>11/06/2025</v>
      </c>
      <c r="M3020">
        <v>303</v>
      </c>
      <c r="N3020" t="str">
        <f t="shared" si="1503"/>
        <v>RECEITAS COM ENTREGAS</v>
      </c>
      <c r="P3020">
        <v>118.52</v>
      </c>
      <c r="Q3020" t="str">
        <f>"FARMÁCIA INDIANA LJ 128 (10057)"</f>
        <v>FARMÁCIA INDIANA LJ 128 (10057)</v>
      </c>
      <c r="R3020" t="str">
        <f t="shared" si="1504"/>
        <v>RECEITAS COM ENTREGAS (303)</v>
      </c>
      <c r="S3020">
        <v>1837</v>
      </c>
      <c r="T3020">
        <v>1273</v>
      </c>
      <c r="U3020" t="s">
        <v>19</v>
      </c>
    </row>
    <row r="3021" spans="1:21">
      <c r="A3021" t="str">
        <f t="shared" si="1498"/>
        <v>11/06/2025</v>
      </c>
      <c r="B3021" t="str">
        <f t="shared" si="1493"/>
        <v>ENTRADA</v>
      </c>
      <c r="C3021" t="str">
        <f t="shared" si="1500"/>
        <v>NFSE</v>
      </c>
      <c r="D3021" t="str">
        <f t="shared" si="1495"/>
        <v>3067</v>
      </c>
      <c r="E3021" t="str">
        <f t="shared" si="1494"/>
        <v>COM</v>
      </c>
      <c r="F3021" t="str">
        <f t="shared" si="1496"/>
        <v>FARMÁCIA INDIANA LJ 1 (10126)</v>
      </c>
      <c r="G3021" t="str">
        <f t="shared" si="1497"/>
        <v>Serv.Prest. 26/05/2025 a 01/06/2025 - RPS: 836 - NFSe: 3067</v>
      </c>
      <c r="H3021" t="str">
        <f t="shared" si="1499"/>
        <v>11/06/2025</v>
      </c>
      <c r="I3021" t="str">
        <f t="shared" si="1501"/>
        <v>03/06/2025</v>
      </c>
      <c r="J3021" t="str">
        <f t="shared" si="1502"/>
        <v>11/06/2025</v>
      </c>
      <c r="M3021">
        <v>303</v>
      </c>
      <c r="N3021" t="str">
        <f t="shared" si="1503"/>
        <v>RECEITAS COM ENTREGAS</v>
      </c>
      <c r="P3021">
        <v>36.78</v>
      </c>
      <c r="Q3021" t="str">
        <f>"FARMÁCIA INDIANA LJ 140 (10064)"</f>
        <v>FARMÁCIA INDIANA LJ 140 (10064)</v>
      </c>
      <c r="R3021" t="str">
        <f t="shared" si="1504"/>
        <v>RECEITAS COM ENTREGAS (303)</v>
      </c>
      <c r="S3021">
        <v>1837</v>
      </c>
      <c r="T3021">
        <v>1273</v>
      </c>
      <c r="U3021" t="s">
        <v>19</v>
      </c>
    </row>
    <row r="3022" spans="1:21">
      <c r="A3022" t="str">
        <f t="shared" si="1498"/>
        <v>11/06/2025</v>
      </c>
      <c r="B3022" t="str">
        <f t="shared" si="1493"/>
        <v>ENTRADA</v>
      </c>
      <c r="C3022" t="str">
        <f t="shared" si="1500"/>
        <v>NFSE</v>
      </c>
      <c r="D3022" t="str">
        <f t="shared" si="1495"/>
        <v>3067</v>
      </c>
      <c r="E3022" t="str">
        <f t="shared" si="1494"/>
        <v>COM</v>
      </c>
      <c r="F3022" t="str">
        <f t="shared" si="1496"/>
        <v>FARMÁCIA INDIANA LJ 1 (10126)</v>
      </c>
      <c r="G3022" t="str">
        <f t="shared" si="1497"/>
        <v>Serv.Prest. 26/05/2025 a 01/06/2025 - RPS: 836 - NFSe: 3067</v>
      </c>
      <c r="H3022" t="str">
        <f t="shared" si="1499"/>
        <v>11/06/2025</v>
      </c>
      <c r="I3022" t="str">
        <f t="shared" si="1501"/>
        <v>03/06/2025</v>
      </c>
      <c r="J3022" t="str">
        <f t="shared" si="1502"/>
        <v>11/06/2025</v>
      </c>
      <c r="M3022">
        <v>303</v>
      </c>
      <c r="N3022" t="str">
        <f t="shared" si="1503"/>
        <v>RECEITAS COM ENTREGAS</v>
      </c>
      <c r="P3022">
        <v>28.61</v>
      </c>
      <c r="Q3022" t="str">
        <f>"FARMÁCIA INDIANA LJ 141 (10065)"</f>
        <v>FARMÁCIA INDIANA LJ 141 (10065)</v>
      </c>
      <c r="R3022" t="str">
        <f t="shared" si="1504"/>
        <v>RECEITAS COM ENTREGAS (303)</v>
      </c>
      <c r="S3022">
        <v>1837</v>
      </c>
      <c r="T3022">
        <v>1273</v>
      </c>
      <c r="U3022" t="s">
        <v>19</v>
      </c>
    </row>
    <row r="3023" spans="1:21">
      <c r="A3023" t="str">
        <f t="shared" si="1498"/>
        <v>11/06/2025</v>
      </c>
      <c r="B3023" t="str">
        <f t="shared" si="1493"/>
        <v>ENTRADA</v>
      </c>
      <c r="C3023" t="str">
        <f t="shared" si="1500"/>
        <v>NFSE</v>
      </c>
      <c r="D3023" t="str">
        <f t="shared" si="1495"/>
        <v>3067</v>
      </c>
      <c r="E3023" t="str">
        <f t="shared" si="1494"/>
        <v>COM</v>
      </c>
      <c r="F3023" t="str">
        <f t="shared" si="1496"/>
        <v>FARMÁCIA INDIANA LJ 1 (10126)</v>
      </c>
      <c r="G3023" t="str">
        <f t="shared" si="1497"/>
        <v>Serv.Prest. 26/05/2025 a 01/06/2025 - RPS: 836 - NFSe: 3067</v>
      </c>
      <c r="H3023" t="str">
        <f t="shared" si="1499"/>
        <v>11/06/2025</v>
      </c>
      <c r="I3023" t="str">
        <f t="shared" si="1501"/>
        <v>03/06/2025</v>
      </c>
      <c r="J3023" t="str">
        <f t="shared" si="1502"/>
        <v>11/06/2025</v>
      </c>
      <c r="M3023">
        <v>303</v>
      </c>
      <c r="N3023" t="str">
        <f t="shared" si="1503"/>
        <v>RECEITAS COM ENTREGAS</v>
      </c>
      <c r="P3023">
        <v>746.56</v>
      </c>
      <c r="Q3023" t="str">
        <f>"FARMÁCIA INDIANA LJ 142 (10066)"</f>
        <v>FARMÁCIA INDIANA LJ 142 (10066)</v>
      </c>
      <c r="R3023" t="str">
        <f t="shared" si="1504"/>
        <v>RECEITAS COM ENTREGAS (303)</v>
      </c>
      <c r="S3023">
        <v>1837</v>
      </c>
      <c r="T3023">
        <v>1273</v>
      </c>
      <c r="U3023" t="s">
        <v>19</v>
      </c>
    </row>
    <row r="3024" spans="1:21">
      <c r="A3024" t="str">
        <f t="shared" si="1498"/>
        <v>11/06/2025</v>
      </c>
      <c r="B3024" t="str">
        <f t="shared" si="1493"/>
        <v>ENTRADA</v>
      </c>
      <c r="C3024" t="str">
        <f t="shared" si="1500"/>
        <v>NFSE</v>
      </c>
      <c r="D3024" t="str">
        <f t="shared" si="1495"/>
        <v>3067</v>
      </c>
      <c r="E3024" t="str">
        <f t="shared" si="1494"/>
        <v>COM</v>
      </c>
      <c r="F3024" t="str">
        <f t="shared" si="1496"/>
        <v>FARMÁCIA INDIANA LJ 1 (10126)</v>
      </c>
      <c r="G3024" t="str">
        <f t="shared" si="1497"/>
        <v>Serv.Prest. 26/05/2025 a 01/06/2025 - RPS: 836 - NFSe: 3067</v>
      </c>
      <c r="H3024" t="str">
        <f t="shared" si="1499"/>
        <v>11/06/2025</v>
      </c>
      <c r="I3024" t="str">
        <f t="shared" si="1501"/>
        <v>03/06/2025</v>
      </c>
      <c r="J3024" t="str">
        <f t="shared" si="1502"/>
        <v>11/06/2025</v>
      </c>
      <c r="M3024">
        <v>303</v>
      </c>
      <c r="N3024" t="str">
        <f t="shared" si="1503"/>
        <v>RECEITAS COM ENTREGAS</v>
      </c>
      <c r="P3024">
        <v>65.39</v>
      </c>
      <c r="Q3024" t="str">
        <f>"FARMÁCIA INDIANA LJ 143 (10067)"</f>
        <v>FARMÁCIA INDIANA LJ 143 (10067)</v>
      </c>
      <c r="R3024" t="str">
        <f t="shared" si="1504"/>
        <v>RECEITAS COM ENTREGAS (303)</v>
      </c>
      <c r="S3024">
        <v>1837</v>
      </c>
      <c r="T3024">
        <v>1273</v>
      </c>
      <c r="U3024" t="s">
        <v>19</v>
      </c>
    </row>
    <row r="3025" spans="1:21">
      <c r="A3025" t="str">
        <f t="shared" si="1498"/>
        <v>11/06/2025</v>
      </c>
      <c r="B3025" t="str">
        <f t="shared" si="1493"/>
        <v>ENTRADA</v>
      </c>
      <c r="C3025" t="str">
        <f t="shared" si="1500"/>
        <v>NFSE</v>
      </c>
      <c r="D3025" t="str">
        <f t="shared" si="1495"/>
        <v>3067</v>
      </c>
      <c r="E3025" t="str">
        <f t="shared" si="1494"/>
        <v>COM</v>
      </c>
      <c r="F3025" t="str">
        <f t="shared" si="1496"/>
        <v>FARMÁCIA INDIANA LJ 1 (10126)</v>
      </c>
      <c r="G3025" t="str">
        <f t="shared" si="1497"/>
        <v>Serv.Prest. 26/05/2025 a 01/06/2025 - RPS: 836 - NFSe: 3067</v>
      </c>
      <c r="H3025" t="str">
        <f t="shared" si="1499"/>
        <v>11/06/2025</v>
      </c>
      <c r="I3025" t="str">
        <f t="shared" si="1501"/>
        <v>03/06/2025</v>
      </c>
      <c r="J3025" t="str">
        <f t="shared" si="1502"/>
        <v>11/06/2025</v>
      </c>
      <c r="M3025">
        <v>303</v>
      </c>
      <c r="N3025" t="str">
        <f t="shared" si="1503"/>
        <v>RECEITAS COM ENTREGAS</v>
      </c>
      <c r="P3025">
        <v>166.21</v>
      </c>
      <c r="Q3025" t="str">
        <f>"FARMÁCIA INDIANA LJ 152 (10069)"</f>
        <v>FARMÁCIA INDIANA LJ 152 (10069)</v>
      </c>
      <c r="R3025" t="str">
        <f t="shared" si="1504"/>
        <v>RECEITAS COM ENTREGAS (303)</v>
      </c>
      <c r="S3025">
        <v>1837</v>
      </c>
      <c r="T3025">
        <v>1273</v>
      </c>
      <c r="U3025" t="s">
        <v>19</v>
      </c>
    </row>
    <row r="3026" spans="1:21">
      <c r="A3026" t="str">
        <f t="shared" si="1498"/>
        <v>11/06/2025</v>
      </c>
      <c r="B3026" t="str">
        <f t="shared" si="1493"/>
        <v>ENTRADA</v>
      </c>
      <c r="C3026" t="str">
        <f t="shared" si="1500"/>
        <v>NFSE</v>
      </c>
      <c r="D3026" t="str">
        <f t="shared" si="1495"/>
        <v>3067</v>
      </c>
      <c r="E3026" t="str">
        <f t="shared" si="1494"/>
        <v>COM</v>
      </c>
      <c r="F3026" t="str">
        <f t="shared" si="1496"/>
        <v>FARMÁCIA INDIANA LJ 1 (10126)</v>
      </c>
      <c r="G3026" t="str">
        <f t="shared" si="1497"/>
        <v>Serv.Prest. 26/05/2025 a 01/06/2025 - RPS: 836 - NFSe: 3067</v>
      </c>
      <c r="H3026" t="str">
        <f t="shared" si="1499"/>
        <v>11/06/2025</v>
      </c>
      <c r="I3026" t="str">
        <f t="shared" si="1501"/>
        <v>03/06/2025</v>
      </c>
      <c r="J3026" t="str">
        <f t="shared" si="1502"/>
        <v>11/06/2025</v>
      </c>
      <c r="M3026">
        <v>303</v>
      </c>
      <c r="N3026" t="str">
        <f t="shared" si="1503"/>
        <v>RECEITAS COM ENTREGAS</v>
      </c>
      <c r="P3026">
        <v>36.78</v>
      </c>
      <c r="Q3026" t="str">
        <f>"FARMÁCIA INDIANA LJ 154 (10070)"</f>
        <v>FARMÁCIA INDIANA LJ 154 (10070)</v>
      </c>
      <c r="R3026" t="str">
        <f t="shared" si="1504"/>
        <v>RECEITAS COM ENTREGAS (303)</v>
      </c>
      <c r="S3026">
        <v>1837</v>
      </c>
      <c r="T3026">
        <v>1273</v>
      </c>
      <c r="U3026" t="s">
        <v>19</v>
      </c>
    </row>
    <row r="3027" spans="1:21">
      <c r="A3027" t="str">
        <f t="shared" si="1498"/>
        <v>11/06/2025</v>
      </c>
      <c r="B3027" t="str">
        <f t="shared" si="1493"/>
        <v>ENTRADA</v>
      </c>
      <c r="C3027" t="str">
        <f t="shared" si="1500"/>
        <v>NFSE</v>
      </c>
      <c r="D3027" t="str">
        <f t="shared" si="1495"/>
        <v>3067</v>
      </c>
      <c r="E3027" t="str">
        <f t="shared" si="1494"/>
        <v>COM</v>
      </c>
      <c r="F3027" t="str">
        <f t="shared" si="1496"/>
        <v>FARMÁCIA INDIANA LJ 1 (10126)</v>
      </c>
      <c r="G3027" t="str">
        <f t="shared" si="1497"/>
        <v>Serv.Prest. 26/05/2025 a 01/06/2025 - RPS: 836 - NFSe: 3067</v>
      </c>
      <c r="H3027" t="str">
        <f t="shared" si="1499"/>
        <v>11/06/2025</v>
      </c>
      <c r="I3027" t="str">
        <f t="shared" si="1501"/>
        <v>03/06/2025</v>
      </c>
      <c r="J3027" t="str">
        <f t="shared" si="1502"/>
        <v>11/06/2025</v>
      </c>
      <c r="M3027">
        <v>303</v>
      </c>
      <c r="N3027" t="str">
        <f t="shared" si="1503"/>
        <v>RECEITAS COM ENTREGAS</v>
      </c>
      <c r="P3027">
        <v>321.51</v>
      </c>
      <c r="Q3027" t="str">
        <f>"FARMÁCIA INDIANA LJ 171 (10074)"</f>
        <v>FARMÁCIA INDIANA LJ 171 (10074)</v>
      </c>
      <c r="R3027" t="str">
        <f t="shared" si="1504"/>
        <v>RECEITAS COM ENTREGAS (303)</v>
      </c>
      <c r="S3027">
        <v>1837</v>
      </c>
      <c r="T3027">
        <v>1273</v>
      </c>
      <c r="U3027" t="s">
        <v>19</v>
      </c>
    </row>
    <row r="3028" spans="1:21">
      <c r="A3028" t="str">
        <f t="shared" si="1498"/>
        <v>11/06/2025</v>
      </c>
      <c r="B3028" t="str">
        <f t="shared" si="1493"/>
        <v>ENTRADA</v>
      </c>
      <c r="C3028" t="str">
        <f t="shared" si="1500"/>
        <v>NFSE</v>
      </c>
      <c r="D3028" t="str">
        <f t="shared" si="1495"/>
        <v>3067</v>
      </c>
      <c r="E3028" t="str">
        <f t="shared" si="1494"/>
        <v>COM</v>
      </c>
      <c r="F3028" t="str">
        <f t="shared" si="1496"/>
        <v>FARMÁCIA INDIANA LJ 1 (10126)</v>
      </c>
      <c r="G3028" t="str">
        <f t="shared" si="1497"/>
        <v>Serv.Prest. 26/05/2025 a 01/06/2025 - RPS: 836 - NFSe: 3067</v>
      </c>
      <c r="H3028" t="str">
        <f t="shared" si="1499"/>
        <v>11/06/2025</v>
      </c>
      <c r="I3028" t="str">
        <f t="shared" si="1501"/>
        <v>03/06/2025</v>
      </c>
      <c r="J3028" t="str">
        <f t="shared" si="1502"/>
        <v>11/06/2025</v>
      </c>
      <c r="M3028">
        <v>303</v>
      </c>
      <c r="N3028" t="str">
        <f t="shared" si="1503"/>
        <v>RECEITAS COM ENTREGAS</v>
      </c>
      <c r="P3028">
        <v>123.97</v>
      </c>
      <c r="Q3028" t="str">
        <f>"FARMÁCIA INDIANA LJ 175 (10076)"</f>
        <v>FARMÁCIA INDIANA LJ 175 (10076)</v>
      </c>
      <c r="R3028" t="str">
        <f t="shared" si="1504"/>
        <v>RECEITAS COM ENTREGAS (303)</v>
      </c>
      <c r="S3028">
        <v>1837</v>
      </c>
      <c r="T3028">
        <v>1273</v>
      </c>
      <c r="U3028" t="s">
        <v>19</v>
      </c>
    </row>
    <row r="3029" spans="1:21">
      <c r="A3029" t="str">
        <f t="shared" si="1498"/>
        <v>11/06/2025</v>
      </c>
      <c r="B3029" t="str">
        <f t="shared" si="1493"/>
        <v>ENTRADA</v>
      </c>
      <c r="C3029" t="str">
        <f t="shared" si="1500"/>
        <v>NFSE</v>
      </c>
      <c r="D3029" t="str">
        <f t="shared" si="1495"/>
        <v>3067</v>
      </c>
      <c r="E3029" t="str">
        <f t="shared" si="1494"/>
        <v>COM</v>
      </c>
      <c r="F3029" t="str">
        <f t="shared" si="1496"/>
        <v>FARMÁCIA INDIANA LJ 1 (10126)</v>
      </c>
      <c r="G3029" t="str">
        <f t="shared" si="1497"/>
        <v>Serv.Prest. 26/05/2025 a 01/06/2025 - RPS: 836 - NFSe: 3067</v>
      </c>
      <c r="H3029" t="str">
        <f t="shared" si="1499"/>
        <v>11/06/2025</v>
      </c>
      <c r="I3029" t="str">
        <f t="shared" si="1501"/>
        <v>03/06/2025</v>
      </c>
      <c r="J3029" t="str">
        <f t="shared" si="1502"/>
        <v>11/06/2025</v>
      </c>
      <c r="M3029">
        <v>303</v>
      </c>
      <c r="N3029" t="str">
        <f t="shared" si="1503"/>
        <v>RECEITAS COM ENTREGAS</v>
      </c>
      <c r="P3029">
        <v>110.35</v>
      </c>
      <c r="Q3029" t="str">
        <f>"FARMÁCIA INDIANA LJ 178 (10077)"</f>
        <v>FARMÁCIA INDIANA LJ 178 (10077)</v>
      </c>
      <c r="R3029" t="str">
        <f t="shared" si="1504"/>
        <v>RECEITAS COM ENTREGAS (303)</v>
      </c>
      <c r="S3029">
        <v>1837</v>
      </c>
      <c r="T3029">
        <v>1273</v>
      </c>
      <c r="U3029" t="s">
        <v>19</v>
      </c>
    </row>
    <row r="3030" spans="1:21">
      <c r="A3030" t="str">
        <f t="shared" si="1498"/>
        <v>11/06/2025</v>
      </c>
      <c r="B3030" t="str">
        <f t="shared" si="1493"/>
        <v>ENTRADA</v>
      </c>
      <c r="C3030" t="str">
        <f t="shared" si="1500"/>
        <v>NFSE</v>
      </c>
      <c r="D3030" t="str">
        <f t="shared" si="1495"/>
        <v>3067</v>
      </c>
      <c r="E3030" t="str">
        <f t="shared" si="1494"/>
        <v>COM</v>
      </c>
      <c r="F3030" t="str">
        <f t="shared" si="1496"/>
        <v>FARMÁCIA INDIANA LJ 1 (10126)</v>
      </c>
      <c r="G3030" t="str">
        <f t="shared" si="1497"/>
        <v>Serv.Prest. 26/05/2025 a 01/06/2025 - RPS: 836 - NFSe: 3067</v>
      </c>
      <c r="H3030" t="str">
        <f t="shared" si="1499"/>
        <v>11/06/2025</v>
      </c>
      <c r="I3030" t="str">
        <f t="shared" si="1501"/>
        <v>03/06/2025</v>
      </c>
      <c r="J3030" t="str">
        <f t="shared" si="1502"/>
        <v>11/06/2025</v>
      </c>
      <c r="M3030">
        <v>303</v>
      </c>
      <c r="N3030" t="str">
        <f t="shared" si="1503"/>
        <v>RECEITAS COM ENTREGAS</v>
      </c>
      <c r="P3030">
        <v>74.930000000000007</v>
      </c>
      <c r="Q3030" t="str">
        <f>"FARMÁCIA INDIANA LJ 182 (10079)"</f>
        <v>FARMÁCIA INDIANA LJ 182 (10079)</v>
      </c>
      <c r="R3030" t="str">
        <f t="shared" si="1504"/>
        <v>RECEITAS COM ENTREGAS (303)</v>
      </c>
      <c r="S3030">
        <v>1837</v>
      </c>
      <c r="T3030">
        <v>1273</v>
      </c>
      <c r="U3030" t="s">
        <v>19</v>
      </c>
    </row>
    <row r="3031" spans="1:21">
      <c r="A3031" t="str">
        <f t="shared" si="1498"/>
        <v>11/06/2025</v>
      </c>
      <c r="B3031" t="str">
        <f t="shared" si="1493"/>
        <v>ENTRADA</v>
      </c>
      <c r="C3031" t="str">
        <f t="shared" si="1500"/>
        <v>NFSE</v>
      </c>
      <c r="D3031" t="str">
        <f t="shared" si="1495"/>
        <v>3067</v>
      </c>
      <c r="E3031" t="str">
        <f t="shared" si="1494"/>
        <v>COM</v>
      </c>
      <c r="F3031" t="str">
        <f t="shared" si="1496"/>
        <v>FARMÁCIA INDIANA LJ 1 (10126)</v>
      </c>
      <c r="G3031" t="str">
        <f t="shared" si="1497"/>
        <v>Serv.Prest. 26/05/2025 a 01/06/2025 - RPS: 836 - NFSe: 3067</v>
      </c>
      <c r="H3031" t="str">
        <f t="shared" si="1499"/>
        <v>11/06/2025</v>
      </c>
      <c r="I3031" t="str">
        <f t="shared" si="1501"/>
        <v>03/06/2025</v>
      </c>
      <c r="J3031" t="str">
        <f t="shared" si="1502"/>
        <v>11/06/2025</v>
      </c>
      <c r="M3031">
        <v>303</v>
      </c>
      <c r="N3031" t="str">
        <f t="shared" si="1503"/>
        <v>RECEITAS COM ENTREGAS</v>
      </c>
      <c r="P3031">
        <v>39.51</v>
      </c>
      <c r="Q3031" t="str">
        <f>"FARMÁCIA INDIANA LJ 184 (10080)"</f>
        <v>FARMÁCIA INDIANA LJ 184 (10080)</v>
      </c>
      <c r="R3031" t="str">
        <f t="shared" si="1504"/>
        <v>RECEITAS COM ENTREGAS (303)</v>
      </c>
      <c r="S3031">
        <v>1837</v>
      </c>
      <c r="T3031">
        <v>1273</v>
      </c>
      <c r="U3031" t="s">
        <v>19</v>
      </c>
    </row>
    <row r="3032" spans="1:21">
      <c r="A3032" t="str">
        <f t="shared" si="1498"/>
        <v>11/06/2025</v>
      </c>
      <c r="B3032" t="str">
        <f t="shared" si="1493"/>
        <v>ENTRADA</v>
      </c>
      <c r="C3032" t="str">
        <f t="shared" si="1500"/>
        <v>NFSE</v>
      </c>
      <c r="D3032" t="str">
        <f t="shared" si="1495"/>
        <v>3067</v>
      </c>
      <c r="E3032" t="str">
        <f t="shared" si="1494"/>
        <v>COM</v>
      </c>
      <c r="F3032" t="str">
        <f t="shared" si="1496"/>
        <v>FARMÁCIA INDIANA LJ 1 (10126)</v>
      </c>
      <c r="G3032" t="str">
        <f t="shared" si="1497"/>
        <v>Serv.Prest. 26/05/2025 a 01/06/2025 - RPS: 836 - NFSe: 3067</v>
      </c>
      <c r="H3032" t="str">
        <f t="shared" si="1499"/>
        <v>11/06/2025</v>
      </c>
      <c r="I3032" t="str">
        <f t="shared" si="1501"/>
        <v>03/06/2025</v>
      </c>
      <c r="J3032" t="str">
        <f t="shared" si="1502"/>
        <v>11/06/2025</v>
      </c>
      <c r="M3032">
        <v>303</v>
      </c>
      <c r="N3032" t="str">
        <f t="shared" si="1503"/>
        <v>RECEITAS COM ENTREGAS</v>
      </c>
      <c r="P3032">
        <v>74.930000000000007</v>
      </c>
      <c r="Q3032" t="str">
        <f>"FARMÁCIA INDIANA LJ 186 (10081)"</f>
        <v>FARMÁCIA INDIANA LJ 186 (10081)</v>
      </c>
      <c r="R3032" t="str">
        <f t="shared" si="1504"/>
        <v>RECEITAS COM ENTREGAS (303)</v>
      </c>
      <c r="S3032">
        <v>1837</v>
      </c>
      <c r="T3032">
        <v>1273</v>
      </c>
      <c r="U3032" t="s">
        <v>19</v>
      </c>
    </row>
    <row r="3033" spans="1:21">
      <c r="A3033" t="str">
        <f t="shared" si="1498"/>
        <v>11/06/2025</v>
      </c>
      <c r="B3033" t="str">
        <f t="shared" si="1493"/>
        <v>ENTRADA</v>
      </c>
      <c r="C3033" t="str">
        <f t="shared" si="1500"/>
        <v>NFSE</v>
      </c>
      <c r="D3033" t="str">
        <f t="shared" si="1495"/>
        <v>3067</v>
      </c>
      <c r="E3033" t="str">
        <f t="shared" si="1494"/>
        <v>COM</v>
      </c>
      <c r="F3033" t="str">
        <f t="shared" si="1496"/>
        <v>FARMÁCIA INDIANA LJ 1 (10126)</v>
      </c>
      <c r="G3033" t="str">
        <f t="shared" si="1497"/>
        <v>Serv.Prest. 26/05/2025 a 01/06/2025 - RPS: 836 - NFSe: 3067</v>
      </c>
      <c r="H3033" t="str">
        <f t="shared" si="1499"/>
        <v>11/06/2025</v>
      </c>
      <c r="I3033" t="str">
        <f t="shared" si="1501"/>
        <v>03/06/2025</v>
      </c>
      <c r="J3033" t="str">
        <f t="shared" si="1502"/>
        <v>11/06/2025</v>
      </c>
      <c r="M3033">
        <v>303</v>
      </c>
      <c r="N3033" t="str">
        <f t="shared" si="1503"/>
        <v>RECEITAS COM ENTREGAS</v>
      </c>
      <c r="P3033">
        <v>128.06</v>
      </c>
      <c r="Q3033" t="str">
        <f>"FARMÁCIA INDIANA LJ 192 (10082)"</f>
        <v>FARMÁCIA INDIANA LJ 192 (10082)</v>
      </c>
      <c r="R3033" t="str">
        <f t="shared" si="1504"/>
        <v>RECEITAS COM ENTREGAS (303)</v>
      </c>
      <c r="S3033">
        <v>1837</v>
      </c>
      <c r="T3033">
        <v>1273</v>
      </c>
      <c r="U3033" t="s">
        <v>19</v>
      </c>
    </row>
    <row r="3034" spans="1:21">
      <c r="A3034" t="str">
        <f t="shared" si="1498"/>
        <v>11/06/2025</v>
      </c>
      <c r="B3034" t="str">
        <f t="shared" si="1493"/>
        <v>ENTRADA</v>
      </c>
      <c r="C3034" t="str">
        <f t="shared" si="1500"/>
        <v>NFSE</v>
      </c>
      <c r="D3034" t="str">
        <f t="shared" si="1495"/>
        <v>3067</v>
      </c>
      <c r="E3034" t="str">
        <f t="shared" si="1494"/>
        <v>COM</v>
      </c>
      <c r="F3034" t="str">
        <f t="shared" si="1496"/>
        <v>FARMÁCIA INDIANA LJ 1 (10126)</v>
      </c>
      <c r="G3034" t="str">
        <f t="shared" si="1497"/>
        <v>Serv.Prest. 26/05/2025 a 01/06/2025 - RPS: 836 - NFSe: 3067</v>
      </c>
      <c r="H3034" t="str">
        <f t="shared" si="1499"/>
        <v>11/06/2025</v>
      </c>
      <c r="I3034" t="str">
        <f t="shared" si="1501"/>
        <v>03/06/2025</v>
      </c>
      <c r="J3034" t="str">
        <f t="shared" si="1502"/>
        <v>11/06/2025</v>
      </c>
      <c r="M3034">
        <v>303</v>
      </c>
      <c r="N3034" t="str">
        <f t="shared" si="1503"/>
        <v>RECEITAS COM ENTREGAS</v>
      </c>
      <c r="P3034">
        <v>39.51</v>
      </c>
      <c r="Q3034" t="str">
        <f>"FARMÁCIA INDIANA LJ 195 (10083)"</f>
        <v>FARMÁCIA INDIANA LJ 195 (10083)</v>
      </c>
      <c r="R3034" t="str">
        <f t="shared" si="1504"/>
        <v>RECEITAS COM ENTREGAS (303)</v>
      </c>
      <c r="S3034">
        <v>1837</v>
      </c>
      <c r="T3034">
        <v>1273</v>
      </c>
      <c r="U3034" t="s">
        <v>19</v>
      </c>
    </row>
    <row r="3035" spans="1:21">
      <c r="A3035" t="str">
        <f t="shared" si="1498"/>
        <v>11/06/2025</v>
      </c>
      <c r="B3035" t="str">
        <f t="shared" si="1493"/>
        <v>ENTRADA</v>
      </c>
      <c r="C3035" t="str">
        <f t="shared" si="1500"/>
        <v>NFSE</v>
      </c>
      <c r="D3035" t="str">
        <f t="shared" si="1495"/>
        <v>3067</v>
      </c>
      <c r="E3035" t="str">
        <f t="shared" si="1494"/>
        <v>COM</v>
      </c>
      <c r="F3035" t="str">
        <f t="shared" si="1496"/>
        <v>FARMÁCIA INDIANA LJ 1 (10126)</v>
      </c>
      <c r="G3035" t="str">
        <f t="shared" si="1497"/>
        <v>Serv.Prest. 26/05/2025 a 01/06/2025 - RPS: 836 - NFSe: 3067</v>
      </c>
      <c r="H3035" t="str">
        <f t="shared" si="1499"/>
        <v>11/06/2025</v>
      </c>
      <c r="I3035" t="str">
        <f t="shared" si="1501"/>
        <v>03/06/2025</v>
      </c>
      <c r="J3035" t="str">
        <f t="shared" si="1502"/>
        <v>11/06/2025</v>
      </c>
      <c r="M3035">
        <v>303</v>
      </c>
      <c r="N3035" t="str">
        <f t="shared" si="1503"/>
        <v>RECEITAS COM ENTREGAS</v>
      </c>
      <c r="P3035">
        <v>149.86000000000001</v>
      </c>
      <c r="Q3035" t="str">
        <f>"FARMÁCIA INDIANA LJ 202 (10085)"</f>
        <v>FARMÁCIA INDIANA LJ 202 (10085)</v>
      </c>
      <c r="R3035" t="str">
        <f t="shared" si="1504"/>
        <v>RECEITAS COM ENTREGAS (303)</v>
      </c>
      <c r="S3035">
        <v>1837</v>
      </c>
      <c r="T3035">
        <v>1273</v>
      </c>
      <c r="U3035" t="s">
        <v>19</v>
      </c>
    </row>
    <row r="3036" spans="1:21">
      <c r="A3036" t="str">
        <f t="shared" si="1498"/>
        <v>11/06/2025</v>
      </c>
      <c r="B3036" t="str">
        <f t="shared" si="1493"/>
        <v>ENTRADA</v>
      </c>
      <c r="C3036" t="str">
        <f t="shared" si="1500"/>
        <v>NFSE</v>
      </c>
      <c r="D3036" t="str">
        <f t="shared" si="1495"/>
        <v>3067</v>
      </c>
      <c r="E3036" t="str">
        <f t="shared" si="1494"/>
        <v>COM</v>
      </c>
      <c r="F3036" t="str">
        <f t="shared" si="1496"/>
        <v>FARMÁCIA INDIANA LJ 1 (10126)</v>
      </c>
      <c r="G3036" t="str">
        <f t="shared" si="1497"/>
        <v>Serv.Prest. 26/05/2025 a 01/06/2025 - RPS: 836 - NFSe: 3067</v>
      </c>
      <c r="H3036" t="str">
        <f t="shared" si="1499"/>
        <v>11/06/2025</v>
      </c>
      <c r="I3036" t="str">
        <f t="shared" si="1501"/>
        <v>03/06/2025</v>
      </c>
      <c r="J3036" t="str">
        <f t="shared" si="1502"/>
        <v>11/06/2025</v>
      </c>
      <c r="M3036">
        <v>303</v>
      </c>
      <c r="N3036" t="str">
        <f t="shared" si="1503"/>
        <v>RECEITAS COM ENTREGAS</v>
      </c>
      <c r="P3036">
        <v>106.26</v>
      </c>
      <c r="Q3036" t="str">
        <f>"FARMÁCIA INDIANA LJ 204 (10087)"</f>
        <v>FARMÁCIA INDIANA LJ 204 (10087)</v>
      </c>
      <c r="R3036" t="str">
        <f t="shared" si="1504"/>
        <v>RECEITAS COM ENTREGAS (303)</v>
      </c>
      <c r="S3036">
        <v>1837</v>
      </c>
      <c r="T3036">
        <v>1273</v>
      </c>
      <c r="U3036" t="s">
        <v>19</v>
      </c>
    </row>
    <row r="3037" spans="1:21">
      <c r="A3037" t="str">
        <f t="shared" si="1498"/>
        <v>11/06/2025</v>
      </c>
      <c r="B3037" t="str">
        <f t="shared" si="1493"/>
        <v>ENTRADA</v>
      </c>
      <c r="C3037" t="str">
        <f t="shared" si="1500"/>
        <v>NFSE</v>
      </c>
      <c r="D3037" t="str">
        <f t="shared" si="1495"/>
        <v>3067</v>
      </c>
      <c r="E3037" t="str">
        <f t="shared" si="1494"/>
        <v>COM</v>
      </c>
      <c r="F3037" t="str">
        <f t="shared" si="1496"/>
        <v>FARMÁCIA INDIANA LJ 1 (10126)</v>
      </c>
      <c r="G3037" t="str">
        <f t="shared" si="1497"/>
        <v>Serv.Prest. 26/05/2025 a 01/06/2025 - RPS: 836 - NFSe: 3067</v>
      </c>
      <c r="H3037" t="str">
        <f t="shared" si="1499"/>
        <v>11/06/2025</v>
      </c>
      <c r="I3037" t="str">
        <f t="shared" si="1501"/>
        <v>03/06/2025</v>
      </c>
      <c r="J3037" t="str">
        <f t="shared" si="1502"/>
        <v>11/06/2025</v>
      </c>
      <c r="M3037">
        <v>303</v>
      </c>
      <c r="N3037" t="str">
        <f t="shared" si="1503"/>
        <v>RECEITAS COM ENTREGAS</v>
      </c>
      <c r="P3037">
        <v>106.26</v>
      </c>
      <c r="Q3037" t="str">
        <f>"FARMÁCIA INDIANA LJ 207 (10088)"</f>
        <v>FARMÁCIA INDIANA LJ 207 (10088)</v>
      </c>
      <c r="R3037" t="str">
        <f t="shared" si="1504"/>
        <v>RECEITAS COM ENTREGAS (303)</v>
      </c>
      <c r="S3037">
        <v>1837</v>
      </c>
      <c r="T3037">
        <v>1273</v>
      </c>
      <c r="U3037" t="s">
        <v>19</v>
      </c>
    </row>
    <row r="3038" spans="1:21">
      <c r="A3038" t="str">
        <f t="shared" si="1498"/>
        <v>11/06/2025</v>
      </c>
      <c r="B3038" t="str">
        <f t="shared" si="1493"/>
        <v>ENTRADA</v>
      </c>
      <c r="C3038" t="str">
        <f t="shared" si="1500"/>
        <v>NFSE</v>
      </c>
      <c r="D3038" t="str">
        <f t="shared" si="1495"/>
        <v>3067</v>
      </c>
      <c r="E3038" t="str">
        <f t="shared" si="1494"/>
        <v>COM</v>
      </c>
      <c r="F3038" t="str">
        <f t="shared" si="1496"/>
        <v>FARMÁCIA INDIANA LJ 1 (10126)</v>
      </c>
      <c r="G3038" t="str">
        <f t="shared" si="1497"/>
        <v>Serv.Prest. 26/05/2025 a 01/06/2025 - RPS: 836 - NFSe: 3067</v>
      </c>
      <c r="H3038" t="str">
        <f t="shared" si="1499"/>
        <v>11/06/2025</v>
      </c>
      <c r="I3038" t="str">
        <f t="shared" si="1501"/>
        <v>03/06/2025</v>
      </c>
      <c r="J3038" t="str">
        <f t="shared" si="1502"/>
        <v>11/06/2025</v>
      </c>
      <c r="M3038">
        <v>303</v>
      </c>
      <c r="N3038" t="str">
        <f t="shared" si="1503"/>
        <v>RECEITAS COM ENTREGAS</v>
      </c>
      <c r="P3038">
        <v>125.34</v>
      </c>
      <c r="Q3038" t="str">
        <f>"FARMÁCIA INDIANA LJ 209 (10089)"</f>
        <v>FARMÁCIA INDIANA LJ 209 (10089)</v>
      </c>
      <c r="R3038" t="str">
        <f t="shared" si="1504"/>
        <v>RECEITAS COM ENTREGAS (303)</v>
      </c>
      <c r="S3038">
        <v>1837</v>
      </c>
      <c r="T3038">
        <v>1273</v>
      </c>
      <c r="U3038" t="s">
        <v>19</v>
      </c>
    </row>
    <row r="3039" spans="1:21">
      <c r="A3039" t="str">
        <f t="shared" si="1498"/>
        <v>11/06/2025</v>
      </c>
      <c r="B3039" t="str">
        <f t="shared" si="1493"/>
        <v>ENTRADA</v>
      </c>
      <c r="C3039" t="str">
        <f t="shared" si="1500"/>
        <v>NFSE</v>
      </c>
      <c r="D3039" t="str">
        <f t="shared" si="1495"/>
        <v>3067</v>
      </c>
      <c r="E3039" t="str">
        <f t="shared" si="1494"/>
        <v>COM</v>
      </c>
      <c r="F3039" t="str">
        <f t="shared" si="1496"/>
        <v>FARMÁCIA INDIANA LJ 1 (10126)</v>
      </c>
      <c r="G3039" t="str">
        <f t="shared" si="1497"/>
        <v>Serv.Prest. 26/05/2025 a 01/06/2025 - RPS: 836 - NFSe: 3067</v>
      </c>
      <c r="H3039" t="str">
        <f t="shared" si="1499"/>
        <v>11/06/2025</v>
      </c>
      <c r="I3039" t="str">
        <f t="shared" si="1501"/>
        <v>03/06/2025</v>
      </c>
      <c r="J3039" t="str">
        <f t="shared" si="1502"/>
        <v>11/06/2025</v>
      </c>
      <c r="M3039">
        <v>303</v>
      </c>
      <c r="N3039" t="str">
        <f t="shared" si="1503"/>
        <v>RECEITAS COM ENTREGAS</v>
      </c>
      <c r="P3039">
        <v>164.84</v>
      </c>
      <c r="Q3039" t="str">
        <f>"FARMÁCIA INDIANA LJ 219 (10091)"</f>
        <v>FARMÁCIA INDIANA LJ 219 (10091)</v>
      </c>
      <c r="R3039" t="str">
        <f t="shared" si="1504"/>
        <v>RECEITAS COM ENTREGAS (303)</v>
      </c>
      <c r="S3039">
        <v>1837</v>
      </c>
      <c r="T3039">
        <v>1273</v>
      </c>
      <c r="U3039" t="s">
        <v>19</v>
      </c>
    </row>
    <row r="3040" spans="1:21">
      <c r="A3040" t="str">
        <f t="shared" si="1498"/>
        <v>11/06/2025</v>
      </c>
      <c r="B3040" t="str">
        <f t="shared" si="1493"/>
        <v>ENTRADA</v>
      </c>
      <c r="C3040" t="str">
        <f t="shared" si="1500"/>
        <v>NFSE</v>
      </c>
      <c r="D3040" t="str">
        <f t="shared" si="1495"/>
        <v>3067</v>
      </c>
      <c r="E3040" t="str">
        <f t="shared" si="1494"/>
        <v>COM</v>
      </c>
      <c r="F3040" t="str">
        <f t="shared" si="1496"/>
        <v>FARMÁCIA INDIANA LJ 1 (10126)</v>
      </c>
      <c r="G3040" t="str">
        <f t="shared" si="1497"/>
        <v>Serv.Prest. 26/05/2025 a 01/06/2025 - RPS: 836 - NFSe: 3067</v>
      </c>
      <c r="H3040" t="str">
        <f t="shared" si="1499"/>
        <v>11/06/2025</v>
      </c>
      <c r="I3040" t="str">
        <f t="shared" si="1501"/>
        <v>03/06/2025</v>
      </c>
      <c r="J3040" t="str">
        <f t="shared" si="1502"/>
        <v>11/06/2025</v>
      </c>
      <c r="M3040">
        <v>303</v>
      </c>
      <c r="N3040" t="str">
        <f t="shared" si="1503"/>
        <v>RECEITAS COM ENTREGAS</v>
      </c>
      <c r="P3040">
        <v>219.34</v>
      </c>
      <c r="Q3040" t="str">
        <f>"FARMÁCIA INDIANA LJ 220 (10092)"</f>
        <v>FARMÁCIA INDIANA LJ 220 (10092)</v>
      </c>
      <c r="R3040" t="str">
        <f t="shared" si="1504"/>
        <v>RECEITAS COM ENTREGAS (303)</v>
      </c>
      <c r="S3040">
        <v>1837</v>
      </c>
      <c r="T3040">
        <v>1273</v>
      </c>
      <c r="U3040" t="s">
        <v>19</v>
      </c>
    </row>
    <row r="3041" spans="1:21">
      <c r="A3041" t="str">
        <f t="shared" si="1498"/>
        <v>11/06/2025</v>
      </c>
      <c r="B3041" t="str">
        <f t="shared" si="1493"/>
        <v>ENTRADA</v>
      </c>
      <c r="C3041" t="str">
        <f t="shared" si="1500"/>
        <v>NFSE</v>
      </c>
      <c r="D3041" t="str">
        <f t="shared" si="1495"/>
        <v>3067</v>
      </c>
      <c r="E3041" t="str">
        <f t="shared" si="1494"/>
        <v>COM</v>
      </c>
      <c r="F3041" t="str">
        <f t="shared" si="1496"/>
        <v>FARMÁCIA INDIANA LJ 1 (10126)</v>
      </c>
      <c r="G3041" t="str">
        <f t="shared" si="1497"/>
        <v>Serv.Prest. 26/05/2025 a 01/06/2025 - RPS: 836 - NFSe: 3067</v>
      </c>
      <c r="H3041" t="str">
        <f t="shared" si="1499"/>
        <v>11/06/2025</v>
      </c>
      <c r="I3041" t="str">
        <f t="shared" si="1501"/>
        <v>03/06/2025</v>
      </c>
      <c r="J3041" t="str">
        <f t="shared" si="1502"/>
        <v>11/06/2025</v>
      </c>
      <c r="M3041">
        <v>303</v>
      </c>
      <c r="N3041" t="str">
        <f t="shared" si="1503"/>
        <v>RECEITAS COM ENTREGAS</v>
      </c>
      <c r="P3041">
        <v>171.66</v>
      </c>
      <c r="Q3041" t="str">
        <f>"FARMÁCIA INDIANA LJ 185 (10141)"</f>
        <v>FARMÁCIA INDIANA LJ 185 (10141)</v>
      </c>
      <c r="R3041" t="str">
        <f t="shared" si="1504"/>
        <v>RECEITAS COM ENTREGAS (303)</v>
      </c>
      <c r="S3041">
        <v>1837</v>
      </c>
      <c r="T3041">
        <v>1273</v>
      </c>
      <c r="U3041" t="s">
        <v>19</v>
      </c>
    </row>
    <row r="3042" spans="1:21">
      <c r="A3042" t="str">
        <f t="shared" si="1498"/>
        <v>11/06/2025</v>
      </c>
      <c r="B3042" t="str">
        <f t="shared" si="1493"/>
        <v>ENTRADA</v>
      </c>
      <c r="C3042" t="str">
        <f t="shared" si="1500"/>
        <v>NFSE</v>
      </c>
      <c r="D3042" t="str">
        <f t="shared" si="1495"/>
        <v>3067</v>
      </c>
      <c r="E3042" t="str">
        <f t="shared" si="1494"/>
        <v>COM</v>
      </c>
      <c r="F3042" t="str">
        <f t="shared" si="1496"/>
        <v>FARMÁCIA INDIANA LJ 1 (10126)</v>
      </c>
      <c r="G3042" t="str">
        <f t="shared" si="1497"/>
        <v>Serv.Prest. 26/05/2025 a 01/06/2025 - RPS: 836 - NFSe: 3067</v>
      </c>
      <c r="H3042" t="str">
        <f t="shared" si="1499"/>
        <v>11/06/2025</v>
      </c>
      <c r="I3042" t="str">
        <f t="shared" si="1501"/>
        <v>03/06/2025</v>
      </c>
      <c r="J3042" t="str">
        <f t="shared" si="1502"/>
        <v>11/06/2025</v>
      </c>
      <c r="M3042">
        <v>303</v>
      </c>
      <c r="N3042" t="str">
        <f t="shared" si="1503"/>
        <v>RECEITAS COM ENTREGAS</v>
      </c>
      <c r="P3042">
        <v>717.95</v>
      </c>
      <c r="Q3042" t="str">
        <f>"FARMÁCIA INDIANA LJ 172 (10161)"</f>
        <v>FARMÁCIA INDIANA LJ 172 (10161)</v>
      </c>
      <c r="R3042" t="str">
        <f t="shared" si="1504"/>
        <v>RECEITAS COM ENTREGAS (303)</v>
      </c>
      <c r="S3042">
        <v>1837</v>
      </c>
      <c r="T3042">
        <v>1273</v>
      </c>
      <c r="U3042" t="s">
        <v>19</v>
      </c>
    </row>
    <row r="3043" spans="1:21">
      <c r="A3043" t="str">
        <f t="shared" si="1498"/>
        <v>11/06/2025</v>
      </c>
      <c r="B3043" t="str">
        <f t="shared" si="1493"/>
        <v>ENTRADA</v>
      </c>
      <c r="C3043" t="str">
        <f t="shared" si="1500"/>
        <v>NFSE</v>
      </c>
      <c r="D3043" t="str">
        <f t="shared" ref="D3043:D3051" si="1505">"3068"</f>
        <v>3068</v>
      </c>
      <c r="E3043" t="str">
        <f t="shared" si="1494"/>
        <v>COM</v>
      </c>
      <c r="F3043" t="str">
        <f t="shared" ref="F3043:F3051" si="1506">"FARMÁCIA INDIANA LJ 85 (10128)"</f>
        <v>FARMÁCIA INDIANA LJ 85 (10128)</v>
      </c>
      <c r="G3043" t="str">
        <f t="shared" ref="G3043:G3051" si="1507">"Serv.Prest. 26/05/2025 a 01/06/2025 - RPS: 837 - NFSe: 3068"</f>
        <v>Serv.Prest. 26/05/2025 a 01/06/2025 - RPS: 837 - NFSe: 3068</v>
      </c>
      <c r="H3043" t="str">
        <f t="shared" si="1499"/>
        <v>11/06/2025</v>
      </c>
      <c r="I3043" t="str">
        <f t="shared" si="1501"/>
        <v>03/06/2025</v>
      </c>
      <c r="J3043" t="str">
        <f t="shared" si="1502"/>
        <v>11/06/2025</v>
      </c>
      <c r="K3043">
        <v>1444.91</v>
      </c>
      <c r="L3043">
        <v>1444.91</v>
      </c>
      <c r="M3043">
        <v>303</v>
      </c>
      <c r="N3043" t="str">
        <f t="shared" si="1503"/>
        <v>RECEITAS COM ENTREGAS</v>
      </c>
      <c r="O3043">
        <v>1444.91</v>
      </c>
      <c r="R3043" t="str">
        <f t="shared" si="1504"/>
        <v>RECEITAS COM ENTREGAS (303)</v>
      </c>
      <c r="S3043">
        <v>1838</v>
      </c>
      <c r="T3043">
        <v>1274</v>
      </c>
      <c r="U3043" t="s">
        <v>19</v>
      </c>
    </row>
    <row r="3044" spans="1:21">
      <c r="A3044" t="str">
        <f t="shared" ref="A3044:A3067" si="1508">("11/06/2025")</f>
        <v>11/06/2025</v>
      </c>
      <c r="B3044" t="str">
        <f t="shared" si="1493"/>
        <v>ENTRADA</v>
      </c>
      <c r="C3044" t="str">
        <f t="shared" si="1500"/>
        <v>NFSE</v>
      </c>
      <c r="D3044" t="str">
        <f t="shared" si="1505"/>
        <v>3068</v>
      </c>
      <c r="E3044" t="str">
        <f t="shared" si="1494"/>
        <v>COM</v>
      </c>
      <c r="F3044" t="str">
        <f t="shared" si="1506"/>
        <v>FARMÁCIA INDIANA LJ 85 (10128)</v>
      </c>
      <c r="G3044" t="str">
        <f t="shared" si="1507"/>
        <v>Serv.Prest. 26/05/2025 a 01/06/2025 - RPS: 837 - NFSe: 3068</v>
      </c>
      <c r="H3044" t="str">
        <f t="shared" si="1499"/>
        <v>11/06/2025</v>
      </c>
      <c r="I3044" t="str">
        <f t="shared" si="1501"/>
        <v>03/06/2025</v>
      </c>
      <c r="J3044" t="str">
        <f t="shared" si="1502"/>
        <v>11/06/2025</v>
      </c>
      <c r="M3044">
        <v>303</v>
      </c>
      <c r="N3044" t="str">
        <f t="shared" si="1503"/>
        <v>RECEITAS COM ENTREGAS</v>
      </c>
      <c r="P3044">
        <v>216.59</v>
      </c>
      <c r="Q3044" t="str">
        <f>"FARMÁCIA INDIANA LJ 119 (10053)"</f>
        <v>FARMÁCIA INDIANA LJ 119 (10053)</v>
      </c>
      <c r="R3044" t="str">
        <f t="shared" si="1504"/>
        <v>RECEITAS COM ENTREGAS (303)</v>
      </c>
      <c r="S3044">
        <v>1838</v>
      </c>
      <c r="T3044">
        <v>1274</v>
      </c>
      <c r="U3044" t="s">
        <v>19</v>
      </c>
    </row>
    <row r="3045" spans="1:21">
      <c r="A3045" t="str">
        <f t="shared" si="1508"/>
        <v>11/06/2025</v>
      </c>
      <c r="B3045" t="str">
        <f t="shared" si="1493"/>
        <v>ENTRADA</v>
      </c>
      <c r="C3045" t="str">
        <f t="shared" si="1500"/>
        <v>NFSE</v>
      </c>
      <c r="D3045" t="str">
        <f t="shared" si="1505"/>
        <v>3068</v>
      </c>
      <c r="E3045" t="str">
        <f t="shared" si="1494"/>
        <v>COM</v>
      </c>
      <c r="F3045" t="str">
        <f t="shared" si="1506"/>
        <v>FARMÁCIA INDIANA LJ 85 (10128)</v>
      </c>
      <c r="G3045" t="str">
        <f t="shared" si="1507"/>
        <v>Serv.Prest. 26/05/2025 a 01/06/2025 - RPS: 837 - NFSe: 3068</v>
      </c>
      <c r="H3045" t="str">
        <f t="shared" si="1499"/>
        <v>11/06/2025</v>
      </c>
      <c r="I3045" t="str">
        <f t="shared" si="1501"/>
        <v>03/06/2025</v>
      </c>
      <c r="J3045" t="str">
        <f t="shared" si="1502"/>
        <v>11/06/2025</v>
      </c>
      <c r="M3045">
        <v>303</v>
      </c>
      <c r="N3045" t="str">
        <f t="shared" si="1503"/>
        <v>RECEITAS COM ENTREGAS</v>
      </c>
      <c r="P3045">
        <v>334.35</v>
      </c>
      <c r="Q3045" t="str">
        <f>"FARMÁCIA INDIANA LJ 163 (10072)"</f>
        <v>FARMÁCIA INDIANA LJ 163 (10072)</v>
      </c>
      <c r="R3045" t="str">
        <f t="shared" si="1504"/>
        <v>RECEITAS COM ENTREGAS (303)</v>
      </c>
      <c r="S3045">
        <v>1838</v>
      </c>
      <c r="T3045">
        <v>1274</v>
      </c>
      <c r="U3045" t="s">
        <v>19</v>
      </c>
    </row>
    <row r="3046" spans="1:21">
      <c r="A3046" t="str">
        <f t="shared" si="1508"/>
        <v>11/06/2025</v>
      </c>
      <c r="B3046" t="str">
        <f t="shared" si="1493"/>
        <v>ENTRADA</v>
      </c>
      <c r="C3046" t="str">
        <f t="shared" si="1500"/>
        <v>NFSE</v>
      </c>
      <c r="D3046" t="str">
        <f t="shared" si="1505"/>
        <v>3068</v>
      </c>
      <c r="E3046" t="str">
        <f t="shared" si="1494"/>
        <v>COM</v>
      </c>
      <c r="F3046" t="str">
        <f t="shared" si="1506"/>
        <v>FARMÁCIA INDIANA LJ 85 (10128)</v>
      </c>
      <c r="G3046" t="str">
        <f t="shared" si="1507"/>
        <v>Serv.Prest. 26/05/2025 a 01/06/2025 - RPS: 837 - NFSe: 3068</v>
      </c>
      <c r="H3046" t="str">
        <f t="shared" si="1499"/>
        <v>11/06/2025</v>
      </c>
      <c r="I3046" t="str">
        <f t="shared" si="1501"/>
        <v>03/06/2025</v>
      </c>
      <c r="J3046" t="str">
        <f t="shared" si="1502"/>
        <v>11/06/2025</v>
      </c>
      <c r="M3046">
        <v>303</v>
      </c>
      <c r="N3046" t="str">
        <f t="shared" si="1503"/>
        <v>RECEITAS COM ENTREGAS</v>
      </c>
      <c r="P3046">
        <v>201.56</v>
      </c>
      <c r="Q3046" t="str">
        <f>"FARMÁCIA INDIANA LJ 181 (10078)"</f>
        <v>FARMÁCIA INDIANA LJ 181 (10078)</v>
      </c>
      <c r="R3046" t="str">
        <f t="shared" si="1504"/>
        <v>RECEITAS COM ENTREGAS (303)</v>
      </c>
      <c r="S3046">
        <v>1838</v>
      </c>
      <c r="T3046">
        <v>1274</v>
      </c>
      <c r="U3046" t="s">
        <v>19</v>
      </c>
    </row>
    <row r="3047" spans="1:21">
      <c r="A3047" t="str">
        <f t="shared" si="1508"/>
        <v>11/06/2025</v>
      </c>
      <c r="B3047" t="str">
        <f t="shared" si="1493"/>
        <v>ENTRADA</v>
      </c>
      <c r="C3047" t="str">
        <f t="shared" si="1500"/>
        <v>NFSE</v>
      </c>
      <c r="D3047" t="str">
        <f t="shared" si="1505"/>
        <v>3068</v>
      </c>
      <c r="E3047" t="str">
        <f t="shared" si="1494"/>
        <v>COM</v>
      </c>
      <c r="F3047" t="str">
        <f t="shared" si="1506"/>
        <v>FARMÁCIA INDIANA LJ 85 (10128)</v>
      </c>
      <c r="G3047" t="str">
        <f t="shared" si="1507"/>
        <v>Serv.Prest. 26/05/2025 a 01/06/2025 - RPS: 837 - NFSe: 3068</v>
      </c>
      <c r="H3047" t="str">
        <f t="shared" si="1499"/>
        <v>11/06/2025</v>
      </c>
      <c r="I3047" t="str">
        <f t="shared" si="1501"/>
        <v>03/06/2025</v>
      </c>
      <c r="J3047" t="str">
        <f t="shared" si="1502"/>
        <v>11/06/2025</v>
      </c>
      <c r="M3047">
        <v>303</v>
      </c>
      <c r="N3047" t="str">
        <f t="shared" si="1503"/>
        <v>RECEITAS COM ENTREGAS</v>
      </c>
      <c r="P3047">
        <v>161.69</v>
      </c>
      <c r="Q3047" t="str">
        <f>"FARMÁCIA INDIANA LJ 221 (10093)"</f>
        <v>FARMÁCIA INDIANA LJ 221 (10093)</v>
      </c>
      <c r="R3047" t="str">
        <f t="shared" si="1504"/>
        <v>RECEITAS COM ENTREGAS (303)</v>
      </c>
      <c r="S3047">
        <v>1838</v>
      </c>
      <c r="T3047">
        <v>1274</v>
      </c>
      <c r="U3047" t="s">
        <v>19</v>
      </c>
    </row>
    <row r="3048" spans="1:21">
      <c r="A3048" t="str">
        <f t="shared" si="1508"/>
        <v>11/06/2025</v>
      </c>
      <c r="B3048" t="str">
        <f t="shared" si="1493"/>
        <v>ENTRADA</v>
      </c>
      <c r="C3048" t="str">
        <f t="shared" si="1500"/>
        <v>NFSE</v>
      </c>
      <c r="D3048" t="str">
        <f t="shared" si="1505"/>
        <v>3068</v>
      </c>
      <c r="E3048" t="str">
        <f t="shared" si="1494"/>
        <v>COM</v>
      </c>
      <c r="F3048" t="str">
        <f t="shared" si="1506"/>
        <v>FARMÁCIA INDIANA LJ 85 (10128)</v>
      </c>
      <c r="G3048" t="str">
        <f t="shared" si="1507"/>
        <v>Serv.Prest. 26/05/2025 a 01/06/2025 - RPS: 837 - NFSe: 3068</v>
      </c>
      <c r="H3048" t="str">
        <f t="shared" ref="H3048:H3063" si="1509">("11/06/2025")</f>
        <v>11/06/2025</v>
      </c>
      <c r="I3048" t="str">
        <f t="shared" si="1501"/>
        <v>03/06/2025</v>
      </c>
      <c r="J3048" t="str">
        <f t="shared" si="1502"/>
        <v>11/06/2025</v>
      </c>
      <c r="M3048">
        <v>303</v>
      </c>
      <c r="N3048" t="str">
        <f t="shared" si="1503"/>
        <v>RECEITAS COM ENTREGAS</v>
      </c>
      <c r="P3048">
        <v>186.1</v>
      </c>
      <c r="Q3048" t="str">
        <f>"FARMÁCIA INDIANA LJ 243 (10142)"</f>
        <v>FARMÁCIA INDIANA LJ 243 (10142)</v>
      </c>
      <c r="R3048" t="str">
        <f t="shared" si="1504"/>
        <v>RECEITAS COM ENTREGAS (303)</v>
      </c>
      <c r="S3048">
        <v>1838</v>
      </c>
      <c r="T3048">
        <v>1274</v>
      </c>
      <c r="U3048" t="s">
        <v>19</v>
      </c>
    </row>
    <row r="3049" spans="1:21">
      <c r="A3049" t="str">
        <f t="shared" si="1508"/>
        <v>11/06/2025</v>
      </c>
      <c r="B3049" t="str">
        <f t="shared" si="1493"/>
        <v>ENTRADA</v>
      </c>
      <c r="C3049" t="str">
        <f t="shared" ref="C3049:C3063" si="1510">"NFSE"</f>
        <v>NFSE</v>
      </c>
      <c r="D3049" t="str">
        <f t="shared" si="1505"/>
        <v>3068</v>
      </c>
      <c r="E3049" t="str">
        <f t="shared" si="1494"/>
        <v>COM</v>
      </c>
      <c r="F3049" t="str">
        <f t="shared" si="1506"/>
        <v>FARMÁCIA INDIANA LJ 85 (10128)</v>
      </c>
      <c r="G3049" t="str">
        <f t="shared" si="1507"/>
        <v>Serv.Prest. 26/05/2025 a 01/06/2025 - RPS: 837 - NFSe: 3068</v>
      </c>
      <c r="H3049" t="str">
        <f t="shared" si="1509"/>
        <v>11/06/2025</v>
      </c>
      <c r="I3049" t="str">
        <f t="shared" si="1501"/>
        <v>03/06/2025</v>
      </c>
      <c r="J3049" t="str">
        <f t="shared" ref="J3049:J3067" si="1511">("11/06/2025")</f>
        <v>11/06/2025</v>
      </c>
      <c r="M3049">
        <v>303</v>
      </c>
      <c r="N3049" t="str">
        <f t="shared" ref="N3049:N3063" si="1512">"RECEITAS COM ENTREGAS"</f>
        <v>RECEITAS COM ENTREGAS</v>
      </c>
      <c r="P3049">
        <v>86.12</v>
      </c>
      <c r="Q3049" t="str">
        <f>"FARMÁCIA INDIANA LJ 211 (10168)"</f>
        <v>FARMÁCIA INDIANA LJ 211 (10168)</v>
      </c>
      <c r="R3049" t="str">
        <f t="shared" ref="R3049:R3063" si="1513">"RECEITAS COM ENTREGAS (303)"</f>
        <v>RECEITAS COM ENTREGAS (303)</v>
      </c>
      <c r="S3049">
        <v>1838</v>
      </c>
      <c r="T3049">
        <v>1274</v>
      </c>
      <c r="U3049" t="s">
        <v>19</v>
      </c>
    </row>
    <row r="3050" spans="1:21">
      <c r="A3050" t="str">
        <f t="shared" si="1508"/>
        <v>11/06/2025</v>
      </c>
      <c r="B3050" t="str">
        <f t="shared" ref="B3050:B3063" si="1514">"ENTRADA"</f>
        <v>ENTRADA</v>
      </c>
      <c r="C3050" t="str">
        <f t="shared" si="1510"/>
        <v>NFSE</v>
      </c>
      <c r="D3050" t="str">
        <f t="shared" si="1505"/>
        <v>3068</v>
      </c>
      <c r="E3050" t="str">
        <f t="shared" si="1494"/>
        <v>COM</v>
      </c>
      <c r="F3050" t="str">
        <f t="shared" si="1506"/>
        <v>FARMÁCIA INDIANA LJ 85 (10128)</v>
      </c>
      <c r="G3050" t="str">
        <f t="shared" si="1507"/>
        <v>Serv.Prest. 26/05/2025 a 01/06/2025 - RPS: 837 - NFSe: 3068</v>
      </c>
      <c r="H3050" t="str">
        <f t="shared" si="1509"/>
        <v>11/06/2025</v>
      </c>
      <c r="I3050" t="str">
        <f t="shared" si="1501"/>
        <v>03/06/2025</v>
      </c>
      <c r="J3050" t="str">
        <f t="shared" si="1511"/>
        <v>11/06/2025</v>
      </c>
      <c r="M3050">
        <v>303</v>
      </c>
      <c r="N3050" t="str">
        <f t="shared" si="1512"/>
        <v>RECEITAS COM ENTREGAS</v>
      </c>
      <c r="P3050">
        <v>86.12</v>
      </c>
      <c r="Q3050" t="str">
        <f>"FARMÁCIA INDIANA LJ 236 (10169)"</f>
        <v>FARMÁCIA INDIANA LJ 236 (10169)</v>
      </c>
      <c r="R3050" t="str">
        <f t="shared" si="1513"/>
        <v>RECEITAS COM ENTREGAS (303)</v>
      </c>
      <c r="S3050">
        <v>1838</v>
      </c>
      <c r="T3050">
        <v>1274</v>
      </c>
      <c r="U3050" t="s">
        <v>19</v>
      </c>
    </row>
    <row r="3051" spans="1:21">
      <c r="A3051" t="str">
        <f t="shared" si="1508"/>
        <v>11/06/2025</v>
      </c>
      <c r="B3051" t="str">
        <f t="shared" si="1514"/>
        <v>ENTRADA</v>
      </c>
      <c r="C3051" t="str">
        <f t="shared" si="1510"/>
        <v>NFSE</v>
      </c>
      <c r="D3051" t="str">
        <f t="shared" si="1505"/>
        <v>3068</v>
      </c>
      <c r="E3051" t="str">
        <f t="shared" si="1494"/>
        <v>COM</v>
      </c>
      <c r="F3051" t="str">
        <f t="shared" si="1506"/>
        <v>FARMÁCIA INDIANA LJ 85 (10128)</v>
      </c>
      <c r="G3051" t="str">
        <f t="shared" si="1507"/>
        <v>Serv.Prest. 26/05/2025 a 01/06/2025 - RPS: 837 - NFSe: 3068</v>
      </c>
      <c r="H3051" t="str">
        <f t="shared" si="1509"/>
        <v>11/06/2025</v>
      </c>
      <c r="I3051" t="str">
        <f t="shared" si="1501"/>
        <v>03/06/2025</v>
      </c>
      <c r="J3051" t="str">
        <f t="shared" si="1511"/>
        <v>11/06/2025</v>
      </c>
      <c r="M3051">
        <v>303</v>
      </c>
      <c r="N3051" t="str">
        <f t="shared" si="1512"/>
        <v>RECEITAS COM ENTREGAS</v>
      </c>
      <c r="P3051">
        <v>172.38</v>
      </c>
      <c r="Q3051" t="str">
        <f>"FARMÁCIA INDIANA LJ 188 (10176)"</f>
        <v>FARMÁCIA INDIANA LJ 188 (10176)</v>
      </c>
      <c r="R3051" t="str">
        <f t="shared" si="1513"/>
        <v>RECEITAS COM ENTREGAS (303)</v>
      </c>
      <c r="S3051">
        <v>1838</v>
      </c>
      <c r="T3051">
        <v>1274</v>
      </c>
      <c r="U3051" t="s">
        <v>19</v>
      </c>
    </row>
    <row r="3052" spans="1:21">
      <c r="A3052" t="str">
        <f t="shared" si="1508"/>
        <v>11/06/2025</v>
      </c>
      <c r="B3052" t="str">
        <f t="shared" si="1514"/>
        <v>ENTRADA</v>
      </c>
      <c r="C3052" t="str">
        <f t="shared" si="1510"/>
        <v>NFSE</v>
      </c>
      <c r="D3052" t="str">
        <f>"3078"</f>
        <v>3078</v>
      </c>
      <c r="E3052" t="str">
        <f t="shared" si="1494"/>
        <v>COM</v>
      </c>
      <c r="F3052" t="str">
        <f>"DELTA LOJA 2 (10123)"</f>
        <v>DELTA LOJA 2 (10123)</v>
      </c>
      <c r="G3052" t="str">
        <f>"Serv.Prest. 02/06/2025 a 08/06/2025 - RPS: 847 - NFSe: 3078"</f>
        <v>Serv.Prest. 02/06/2025 a 08/06/2025 - RPS: 847 - NFSe: 3078</v>
      </c>
      <c r="H3052" t="str">
        <f t="shared" si="1509"/>
        <v>11/06/2025</v>
      </c>
      <c r="I3052" t="str">
        <f t="shared" ref="I3052:I3059" si="1515">("09/06/2025")</f>
        <v>09/06/2025</v>
      </c>
      <c r="J3052" t="str">
        <f t="shared" si="1511"/>
        <v>11/06/2025</v>
      </c>
      <c r="K3052">
        <v>480.48</v>
      </c>
      <c r="L3052">
        <v>480.48</v>
      </c>
      <c r="M3052">
        <v>303</v>
      </c>
      <c r="N3052" t="str">
        <f t="shared" si="1512"/>
        <v>RECEITAS COM ENTREGAS</v>
      </c>
      <c r="O3052">
        <v>480.48</v>
      </c>
      <c r="R3052" t="str">
        <f t="shared" si="1513"/>
        <v>RECEITAS COM ENTREGAS (303)</v>
      </c>
      <c r="S3052">
        <v>1839</v>
      </c>
      <c r="T3052">
        <v>1331</v>
      </c>
      <c r="U3052" t="s">
        <v>19</v>
      </c>
    </row>
    <row r="3053" spans="1:21">
      <c r="A3053" t="str">
        <f t="shared" si="1508"/>
        <v>11/06/2025</v>
      </c>
      <c r="B3053" t="str">
        <f t="shared" si="1514"/>
        <v>ENTRADA</v>
      </c>
      <c r="C3053" t="str">
        <f t="shared" si="1510"/>
        <v>NFSE</v>
      </c>
      <c r="D3053" t="str">
        <f>"3078"</f>
        <v>3078</v>
      </c>
      <c r="E3053" t="str">
        <f t="shared" si="1494"/>
        <v>COM</v>
      </c>
      <c r="F3053" t="str">
        <f>"DELTA LOJA 2 (10123)"</f>
        <v>DELTA LOJA 2 (10123)</v>
      </c>
      <c r="G3053" t="str">
        <f>"Serv.Prest. 02/06/2025 a 08/06/2025 - RPS: 847 - NFSe: 3078"</f>
        <v>Serv.Prest. 02/06/2025 a 08/06/2025 - RPS: 847 - NFSe: 3078</v>
      </c>
      <c r="H3053" t="str">
        <f t="shared" si="1509"/>
        <v>11/06/2025</v>
      </c>
      <c r="I3053" t="str">
        <f t="shared" si="1515"/>
        <v>09/06/2025</v>
      </c>
      <c r="J3053" t="str">
        <f t="shared" si="1511"/>
        <v>11/06/2025</v>
      </c>
      <c r="M3053">
        <v>303</v>
      </c>
      <c r="N3053" t="str">
        <f t="shared" si="1512"/>
        <v>RECEITAS COM ENTREGAS</v>
      </c>
      <c r="P3053">
        <v>480.48</v>
      </c>
      <c r="Q3053" t="str">
        <f>"DELTA LOJA 2 (10123)"</f>
        <v>DELTA LOJA 2 (10123)</v>
      </c>
      <c r="R3053" t="str">
        <f t="shared" si="1513"/>
        <v>RECEITAS COM ENTREGAS (303)</v>
      </c>
      <c r="S3053">
        <v>1839</v>
      </c>
      <c r="T3053">
        <v>1331</v>
      </c>
      <c r="U3053" t="s">
        <v>19</v>
      </c>
    </row>
    <row r="3054" spans="1:21">
      <c r="A3054" t="str">
        <f t="shared" si="1508"/>
        <v>11/06/2025</v>
      </c>
      <c r="B3054" t="str">
        <f t="shared" si="1514"/>
        <v>ENTRADA</v>
      </c>
      <c r="C3054" t="str">
        <f t="shared" si="1510"/>
        <v>NFSE</v>
      </c>
      <c r="D3054" t="str">
        <f>"3080"</f>
        <v>3080</v>
      </c>
      <c r="E3054" t="str">
        <f t="shared" si="1494"/>
        <v>COM</v>
      </c>
      <c r="F3054" t="str">
        <f>"DROGARIA AGAPEAMA (10167)"</f>
        <v>DROGARIA AGAPEAMA (10167)</v>
      </c>
      <c r="G3054" t="str">
        <f>"Serv.Prest. 02/06/2025 a 08/06/2025 - RPS: 849 - NFSe: 3080"</f>
        <v>Serv.Prest. 02/06/2025 a 08/06/2025 - RPS: 849 - NFSe: 3080</v>
      </c>
      <c r="H3054" t="str">
        <f t="shared" si="1509"/>
        <v>11/06/2025</v>
      </c>
      <c r="I3054" t="str">
        <f t="shared" si="1515"/>
        <v>09/06/2025</v>
      </c>
      <c r="J3054" t="str">
        <f t="shared" si="1511"/>
        <v>11/06/2025</v>
      </c>
      <c r="K3054">
        <v>606.72</v>
      </c>
      <c r="L3054">
        <v>606.72</v>
      </c>
      <c r="M3054">
        <v>303</v>
      </c>
      <c r="N3054" t="str">
        <f t="shared" si="1512"/>
        <v>RECEITAS COM ENTREGAS</v>
      </c>
      <c r="O3054">
        <v>606.72</v>
      </c>
      <c r="R3054" t="str">
        <f t="shared" si="1513"/>
        <v>RECEITAS COM ENTREGAS (303)</v>
      </c>
      <c r="S3054">
        <v>1840</v>
      </c>
      <c r="T3054">
        <v>1333</v>
      </c>
      <c r="U3054" t="s">
        <v>19</v>
      </c>
    </row>
    <row r="3055" spans="1:21">
      <c r="A3055" t="str">
        <f t="shared" si="1508"/>
        <v>11/06/2025</v>
      </c>
      <c r="B3055" t="str">
        <f t="shared" si="1514"/>
        <v>ENTRADA</v>
      </c>
      <c r="C3055" t="str">
        <f t="shared" si="1510"/>
        <v>NFSE</v>
      </c>
      <c r="D3055" t="str">
        <f>"3080"</f>
        <v>3080</v>
      </c>
      <c r="E3055" t="str">
        <f t="shared" ref="E3055:E3118" si="1516">"COM"</f>
        <v>COM</v>
      </c>
      <c r="F3055" t="str">
        <f>"DROGARIA AGAPEAMA (10167)"</f>
        <v>DROGARIA AGAPEAMA (10167)</v>
      </c>
      <c r="G3055" t="str">
        <f>"Serv.Prest. 02/06/2025 a 08/06/2025 - RPS: 849 - NFSe: 3080"</f>
        <v>Serv.Prest. 02/06/2025 a 08/06/2025 - RPS: 849 - NFSe: 3080</v>
      </c>
      <c r="H3055" t="str">
        <f t="shared" si="1509"/>
        <v>11/06/2025</v>
      </c>
      <c r="I3055" t="str">
        <f t="shared" si="1515"/>
        <v>09/06/2025</v>
      </c>
      <c r="J3055" t="str">
        <f t="shared" si="1511"/>
        <v>11/06/2025</v>
      </c>
      <c r="M3055">
        <v>303</v>
      </c>
      <c r="N3055" t="str">
        <f t="shared" si="1512"/>
        <v>RECEITAS COM ENTREGAS</v>
      </c>
      <c r="P3055">
        <v>606.72</v>
      </c>
      <c r="Q3055" t="str">
        <f>"DROGARIA AGAPEAMA (10167)"</f>
        <v>DROGARIA AGAPEAMA (10167)</v>
      </c>
      <c r="R3055" t="str">
        <f t="shared" si="1513"/>
        <v>RECEITAS COM ENTREGAS (303)</v>
      </c>
      <c r="S3055">
        <v>1840</v>
      </c>
      <c r="T3055">
        <v>1333</v>
      </c>
      <c r="U3055" t="s">
        <v>19</v>
      </c>
    </row>
    <row r="3056" spans="1:21">
      <c r="A3056" t="str">
        <f t="shared" si="1508"/>
        <v>11/06/2025</v>
      </c>
      <c r="B3056" t="str">
        <f t="shared" si="1514"/>
        <v>ENTRADA</v>
      </c>
      <c r="C3056" t="str">
        <f t="shared" si="1510"/>
        <v>NFSE</v>
      </c>
      <c r="D3056" t="str">
        <f>"3084"</f>
        <v>3084</v>
      </c>
      <c r="E3056" t="str">
        <f t="shared" si="1516"/>
        <v>COM</v>
      </c>
      <c r="F3056" t="str">
        <f>"FRAN FARMA (10124)"</f>
        <v>FRAN FARMA (10124)</v>
      </c>
      <c r="G3056" t="str">
        <f>"Serv.Prest. 02/06/2025 a 08/06/2025 - RPS: 853 - NFSe: 3084"</f>
        <v>Serv.Prest. 02/06/2025 a 08/06/2025 - RPS: 853 - NFSe: 3084</v>
      </c>
      <c r="H3056" t="str">
        <f t="shared" si="1509"/>
        <v>11/06/2025</v>
      </c>
      <c r="I3056" t="str">
        <f t="shared" si="1515"/>
        <v>09/06/2025</v>
      </c>
      <c r="J3056" t="str">
        <f t="shared" si="1511"/>
        <v>11/06/2025</v>
      </c>
      <c r="K3056">
        <v>320</v>
      </c>
      <c r="L3056">
        <v>320</v>
      </c>
      <c r="M3056">
        <v>303</v>
      </c>
      <c r="N3056" t="str">
        <f t="shared" si="1512"/>
        <v>RECEITAS COM ENTREGAS</v>
      </c>
      <c r="O3056">
        <v>320</v>
      </c>
      <c r="R3056" t="str">
        <f t="shared" si="1513"/>
        <v>RECEITAS COM ENTREGAS (303)</v>
      </c>
      <c r="S3056">
        <v>1841</v>
      </c>
      <c r="T3056">
        <v>1337</v>
      </c>
      <c r="U3056" t="s">
        <v>19</v>
      </c>
    </row>
    <row r="3057" spans="1:21">
      <c r="A3057" t="str">
        <f t="shared" si="1508"/>
        <v>11/06/2025</v>
      </c>
      <c r="B3057" t="str">
        <f t="shared" si="1514"/>
        <v>ENTRADA</v>
      </c>
      <c r="C3057" t="str">
        <f t="shared" si="1510"/>
        <v>NFSE</v>
      </c>
      <c r="D3057" t="str">
        <f>"3084"</f>
        <v>3084</v>
      </c>
      <c r="E3057" t="str">
        <f t="shared" si="1516"/>
        <v>COM</v>
      </c>
      <c r="F3057" t="str">
        <f>"FRAN FARMA (10124)"</f>
        <v>FRAN FARMA (10124)</v>
      </c>
      <c r="G3057" t="str">
        <f>"Serv.Prest. 02/06/2025 a 08/06/2025 - RPS: 853 - NFSe: 3084"</f>
        <v>Serv.Prest. 02/06/2025 a 08/06/2025 - RPS: 853 - NFSe: 3084</v>
      </c>
      <c r="H3057" t="str">
        <f t="shared" si="1509"/>
        <v>11/06/2025</v>
      </c>
      <c r="I3057" t="str">
        <f t="shared" si="1515"/>
        <v>09/06/2025</v>
      </c>
      <c r="J3057" t="str">
        <f t="shared" si="1511"/>
        <v>11/06/2025</v>
      </c>
      <c r="M3057">
        <v>303</v>
      </c>
      <c r="N3057" t="str">
        <f t="shared" si="1512"/>
        <v>RECEITAS COM ENTREGAS</v>
      </c>
      <c r="P3057">
        <v>64</v>
      </c>
      <c r="Q3057" t="str">
        <f>"FRAN FARMA (10124)"</f>
        <v>FRAN FARMA (10124)</v>
      </c>
      <c r="R3057" t="str">
        <f t="shared" si="1513"/>
        <v>RECEITAS COM ENTREGAS (303)</v>
      </c>
      <c r="S3057">
        <v>1841</v>
      </c>
      <c r="T3057">
        <v>1337</v>
      </c>
      <c r="U3057" t="s">
        <v>19</v>
      </c>
    </row>
    <row r="3058" spans="1:21">
      <c r="A3058" t="str">
        <f t="shared" si="1508"/>
        <v>11/06/2025</v>
      </c>
      <c r="B3058" t="str">
        <f t="shared" si="1514"/>
        <v>ENTRADA</v>
      </c>
      <c r="C3058" t="str">
        <f t="shared" si="1510"/>
        <v>NFSE</v>
      </c>
      <c r="D3058" t="str">
        <f>"3084"</f>
        <v>3084</v>
      </c>
      <c r="E3058" t="str">
        <f t="shared" si="1516"/>
        <v>COM</v>
      </c>
      <c r="F3058" t="str">
        <f>"FRAN FARMA (10124)"</f>
        <v>FRAN FARMA (10124)</v>
      </c>
      <c r="G3058" t="str">
        <f>"Serv.Prest. 02/06/2025 a 08/06/2025 - RPS: 853 - NFSe: 3084"</f>
        <v>Serv.Prest. 02/06/2025 a 08/06/2025 - RPS: 853 - NFSe: 3084</v>
      </c>
      <c r="H3058" t="str">
        <f t="shared" si="1509"/>
        <v>11/06/2025</v>
      </c>
      <c r="I3058" t="str">
        <f t="shared" si="1515"/>
        <v>09/06/2025</v>
      </c>
      <c r="J3058" t="str">
        <f t="shared" si="1511"/>
        <v>11/06/2025</v>
      </c>
      <c r="M3058">
        <v>303</v>
      </c>
      <c r="N3058" t="str">
        <f t="shared" si="1512"/>
        <v>RECEITAS COM ENTREGAS</v>
      </c>
      <c r="P3058">
        <v>192</v>
      </c>
      <c r="Q3058" t="str">
        <f>"FRAN FARMA LJ 2 (10131)"</f>
        <v>FRAN FARMA LJ 2 (10131)</v>
      </c>
      <c r="R3058" t="str">
        <f t="shared" si="1513"/>
        <v>RECEITAS COM ENTREGAS (303)</v>
      </c>
      <c r="S3058">
        <v>1841</v>
      </c>
      <c r="T3058">
        <v>1337</v>
      </c>
      <c r="U3058" t="s">
        <v>19</v>
      </c>
    </row>
    <row r="3059" spans="1:21">
      <c r="A3059" t="str">
        <f t="shared" si="1508"/>
        <v>11/06/2025</v>
      </c>
      <c r="B3059" t="str">
        <f t="shared" si="1514"/>
        <v>ENTRADA</v>
      </c>
      <c r="C3059" t="str">
        <f t="shared" si="1510"/>
        <v>NFSE</v>
      </c>
      <c r="D3059" t="str">
        <f>"3084"</f>
        <v>3084</v>
      </c>
      <c r="E3059" t="str">
        <f t="shared" si="1516"/>
        <v>COM</v>
      </c>
      <c r="F3059" t="str">
        <f>"FRAN FARMA (10124)"</f>
        <v>FRAN FARMA (10124)</v>
      </c>
      <c r="G3059" t="str">
        <f>"Serv.Prest. 02/06/2025 a 08/06/2025 - RPS: 853 - NFSe: 3084"</f>
        <v>Serv.Prest. 02/06/2025 a 08/06/2025 - RPS: 853 - NFSe: 3084</v>
      </c>
      <c r="H3059" t="str">
        <f t="shared" si="1509"/>
        <v>11/06/2025</v>
      </c>
      <c r="I3059" t="str">
        <f t="shared" si="1515"/>
        <v>09/06/2025</v>
      </c>
      <c r="J3059" t="str">
        <f t="shared" si="1511"/>
        <v>11/06/2025</v>
      </c>
      <c r="M3059">
        <v>303</v>
      </c>
      <c r="N3059" t="str">
        <f t="shared" si="1512"/>
        <v>RECEITAS COM ENTREGAS</v>
      </c>
      <c r="P3059">
        <v>64</v>
      </c>
      <c r="Q3059" t="str">
        <f>"FRAN FARMA LJ 3 (10132)"</f>
        <v>FRAN FARMA LJ 3 (10132)</v>
      </c>
      <c r="R3059" t="str">
        <f t="shared" si="1513"/>
        <v>RECEITAS COM ENTREGAS (303)</v>
      </c>
      <c r="S3059">
        <v>1841</v>
      </c>
      <c r="T3059">
        <v>1337</v>
      </c>
      <c r="U3059" t="s">
        <v>19</v>
      </c>
    </row>
    <row r="3060" spans="1:21">
      <c r="A3060" t="str">
        <f t="shared" si="1508"/>
        <v>11/06/2025</v>
      </c>
      <c r="B3060" t="str">
        <f t="shared" si="1514"/>
        <v>ENTRADA</v>
      </c>
      <c r="C3060" t="str">
        <f t="shared" si="1510"/>
        <v>NFSE</v>
      </c>
      <c r="D3060" t="str">
        <f>"3094"</f>
        <v>3094</v>
      </c>
      <c r="E3060" t="str">
        <f t="shared" si="1516"/>
        <v>COM</v>
      </c>
      <c r="F3060" t="str">
        <f>"DROGARIA MORENO LTDA (10171)"</f>
        <v>DROGARIA MORENO LTDA (10171)</v>
      </c>
      <c r="G3060" t="str">
        <f>"Serv.Prest. 02/06/2025 a 08/06/2025 - RPS: 863 - NFSe: 3094"</f>
        <v>Serv.Prest. 02/06/2025 a 08/06/2025 - RPS: 863 - NFSe: 3094</v>
      </c>
      <c r="H3060" t="str">
        <f t="shared" si="1509"/>
        <v>11/06/2025</v>
      </c>
      <c r="I3060" t="str">
        <f>("10/06/2025")</f>
        <v>10/06/2025</v>
      </c>
      <c r="J3060" t="str">
        <f t="shared" si="1511"/>
        <v>11/06/2025</v>
      </c>
      <c r="K3060">
        <v>376.2</v>
      </c>
      <c r="L3060">
        <v>376.2</v>
      </c>
      <c r="M3060">
        <v>303</v>
      </c>
      <c r="N3060" t="str">
        <f t="shared" si="1512"/>
        <v>RECEITAS COM ENTREGAS</v>
      </c>
      <c r="O3060">
        <v>376.2</v>
      </c>
      <c r="R3060" t="str">
        <f t="shared" si="1513"/>
        <v>RECEITAS COM ENTREGAS (303)</v>
      </c>
      <c r="S3060">
        <v>1842</v>
      </c>
      <c r="T3060">
        <v>1349</v>
      </c>
      <c r="U3060" t="s">
        <v>19</v>
      </c>
    </row>
    <row r="3061" spans="1:21">
      <c r="A3061" t="str">
        <f t="shared" si="1508"/>
        <v>11/06/2025</v>
      </c>
      <c r="B3061" t="str">
        <f t="shared" si="1514"/>
        <v>ENTRADA</v>
      </c>
      <c r="C3061" t="str">
        <f t="shared" si="1510"/>
        <v>NFSE</v>
      </c>
      <c r="D3061" t="str">
        <f>"3094"</f>
        <v>3094</v>
      </c>
      <c r="E3061" t="str">
        <f t="shared" si="1516"/>
        <v>COM</v>
      </c>
      <c r="F3061" t="str">
        <f>"DROGARIA MORENO LTDA (10171)"</f>
        <v>DROGARIA MORENO LTDA (10171)</v>
      </c>
      <c r="G3061" t="str">
        <f>"Serv.Prest. 02/06/2025 a 08/06/2025 - RPS: 863 - NFSe: 3094"</f>
        <v>Serv.Prest. 02/06/2025 a 08/06/2025 - RPS: 863 - NFSe: 3094</v>
      </c>
      <c r="H3061" t="str">
        <f t="shared" si="1509"/>
        <v>11/06/2025</v>
      </c>
      <c r="I3061" t="str">
        <f>("10/06/2025")</f>
        <v>10/06/2025</v>
      </c>
      <c r="J3061" t="str">
        <f t="shared" si="1511"/>
        <v>11/06/2025</v>
      </c>
      <c r="M3061">
        <v>303</v>
      </c>
      <c r="N3061" t="str">
        <f t="shared" si="1512"/>
        <v>RECEITAS COM ENTREGAS</v>
      </c>
      <c r="P3061">
        <v>376.2</v>
      </c>
      <c r="Q3061" t="str">
        <f>"DROGARIA MORENO LTDA (10171)"</f>
        <v>DROGARIA MORENO LTDA (10171)</v>
      </c>
      <c r="R3061" t="str">
        <f t="shared" si="1513"/>
        <v>RECEITAS COM ENTREGAS (303)</v>
      </c>
      <c r="S3061">
        <v>1842</v>
      </c>
      <c r="T3061">
        <v>1349</v>
      </c>
      <c r="U3061" t="s">
        <v>19</v>
      </c>
    </row>
    <row r="3062" spans="1:21">
      <c r="A3062" t="str">
        <f t="shared" si="1508"/>
        <v>11/06/2025</v>
      </c>
      <c r="B3062" t="str">
        <f t="shared" si="1514"/>
        <v>ENTRADA</v>
      </c>
      <c r="C3062" t="str">
        <f t="shared" si="1510"/>
        <v>NFSE</v>
      </c>
      <c r="D3062" t="str">
        <f>"3095"</f>
        <v>3095</v>
      </c>
      <c r="E3062" t="str">
        <f t="shared" si="1516"/>
        <v>COM</v>
      </c>
      <c r="F3062" t="str">
        <f>"DROGARIA MEDIC CENTER LTDA (10172)"</f>
        <v>DROGARIA MEDIC CENTER LTDA (10172)</v>
      </c>
      <c r="G3062" t="str">
        <f>"Serv.Prest. 02/06/2025 a 08/06/2025 - RPS: 864 - NFSe: 3095"</f>
        <v>Serv.Prest. 02/06/2025 a 08/06/2025 - RPS: 864 - NFSe: 3095</v>
      </c>
      <c r="H3062" t="str">
        <f t="shared" si="1509"/>
        <v>11/06/2025</v>
      </c>
      <c r="I3062" t="str">
        <f>("10/06/2025")</f>
        <v>10/06/2025</v>
      </c>
      <c r="J3062" t="str">
        <f t="shared" si="1511"/>
        <v>11/06/2025</v>
      </c>
      <c r="K3062">
        <v>131.4</v>
      </c>
      <c r="L3062">
        <v>131.4</v>
      </c>
      <c r="M3062">
        <v>303</v>
      </c>
      <c r="N3062" t="str">
        <f t="shared" si="1512"/>
        <v>RECEITAS COM ENTREGAS</v>
      </c>
      <c r="O3062">
        <v>131.4</v>
      </c>
      <c r="R3062" t="str">
        <f t="shared" si="1513"/>
        <v>RECEITAS COM ENTREGAS (303)</v>
      </c>
      <c r="S3062">
        <v>1843</v>
      </c>
      <c r="T3062">
        <v>1350</v>
      </c>
      <c r="U3062" t="s">
        <v>19</v>
      </c>
    </row>
    <row r="3063" spans="1:21">
      <c r="A3063" t="str">
        <f t="shared" si="1508"/>
        <v>11/06/2025</v>
      </c>
      <c r="B3063" t="str">
        <f t="shared" si="1514"/>
        <v>ENTRADA</v>
      </c>
      <c r="C3063" t="str">
        <f t="shared" si="1510"/>
        <v>NFSE</v>
      </c>
      <c r="D3063" t="str">
        <f>"3095"</f>
        <v>3095</v>
      </c>
      <c r="E3063" t="str">
        <f t="shared" si="1516"/>
        <v>COM</v>
      </c>
      <c r="F3063" t="str">
        <f>"DROGARIA MEDIC CENTER LTDA (10172)"</f>
        <v>DROGARIA MEDIC CENTER LTDA (10172)</v>
      </c>
      <c r="G3063" t="str">
        <f>"Serv.Prest. 02/06/2025 a 08/06/2025 - RPS: 864 - NFSe: 3095"</f>
        <v>Serv.Prest. 02/06/2025 a 08/06/2025 - RPS: 864 - NFSe: 3095</v>
      </c>
      <c r="H3063" t="str">
        <f t="shared" si="1509"/>
        <v>11/06/2025</v>
      </c>
      <c r="I3063" t="str">
        <f>("10/06/2025")</f>
        <v>10/06/2025</v>
      </c>
      <c r="J3063" t="str">
        <f t="shared" si="1511"/>
        <v>11/06/2025</v>
      </c>
      <c r="M3063">
        <v>303</v>
      </c>
      <c r="N3063" t="str">
        <f t="shared" si="1512"/>
        <v>RECEITAS COM ENTREGAS</v>
      </c>
      <c r="P3063">
        <v>131.4</v>
      </c>
      <c r="Q3063" t="str">
        <f>"DROGARIA MEDIC CENTER LTDA (10172)"</f>
        <v>DROGARIA MEDIC CENTER LTDA (10172)</v>
      </c>
      <c r="R3063" t="str">
        <f t="shared" si="1513"/>
        <v>RECEITAS COM ENTREGAS (303)</v>
      </c>
      <c r="S3063">
        <v>1843</v>
      </c>
      <c r="T3063">
        <v>1350</v>
      </c>
      <c r="U3063" t="s">
        <v>19</v>
      </c>
    </row>
    <row r="3064" spans="1:21">
      <c r="A3064" t="str">
        <f t="shared" si="1508"/>
        <v>11/06/2025</v>
      </c>
      <c r="B3064" t="str">
        <f t="shared" ref="B3064:B3103" si="1517">"SAÍDA"</f>
        <v>SAÍDA</v>
      </c>
      <c r="C3064" t="str">
        <f>"BOLETO"</f>
        <v>BOLETO</v>
      </c>
      <c r="D3064" t="str">
        <f>"757011"</f>
        <v>757011</v>
      </c>
      <c r="E3064" t="str">
        <f t="shared" si="1516"/>
        <v>COM</v>
      </c>
      <c r="F3064" t="str">
        <f>"UNIODONTO REGIONAL COOPERATIVA ODONTOLOGICA LTDA. (20024)"</f>
        <v>UNIODONTO REGIONAL COOPERATIVA ODONTOLOGICA LTDA. (20024)</v>
      </c>
      <c r="G3064" t="str">
        <f>"PLANO ODONTOLOGICO 05/2025"</f>
        <v>PLANO ODONTOLOGICO 05/2025</v>
      </c>
      <c r="H3064" t="str">
        <f>("10/06/2025")</f>
        <v>10/06/2025</v>
      </c>
      <c r="I3064" t="str">
        <f>("16/05/2025")</f>
        <v>16/05/2025</v>
      </c>
      <c r="J3064" t="str">
        <f t="shared" si="1511"/>
        <v>11/06/2025</v>
      </c>
      <c r="K3064">
        <v>1680</v>
      </c>
      <c r="L3064">
        <v>1714.15</v>
      </c>
      <c r="M3064">
        <v>192</v>
      </c>
      <c r="N3064" t="str">
        <f>"PLANOS E SEGUROS"</f>
        <v>PLANOS E SEGUROS</v>
      </c>
      <c r="O3064">
        <v>1714.15</v>
      </c>
      <c r="R3064" t="str">
        <f t="shared" ref="R3064:R3103" si="1518">"BANCO CORA (102)"</f>
        <v>BANCO CORA (102)</v>
      </c>
      <c r="S3064">
        <v>1970</v>
      </c>
      <c r="T3064">
        <v>840</v>
      </c>
      <c r="U3064" t="s">
        <v>19</v>
      </c>
    </row>
    <row r="3065" spans="1:21">
      <c r="A3065" t="str">
        <f t="shared" si="1508"/>
        <v>11/06/2025</v>
      </c>
      <c r="B3065" t="str">
        <f t="shared" si="1517"/>
        <v>SAÍDA</v>
      </c>
      <c r="C3065" t="str">
        <f>"BOLETO"</f>
        <v>BOLETO</v>
      </c>
      <c r="D3065" t="str">
        <f>"757011"</f>
        <v>757011</v>
      </c>
      <c r="E3065" t="str">
        <f t="shared" si="1516"/>
        <v>COM</v>
      </c>
      <c r="F3065" t="str">
        <f>"UNIODONTO REGIONAL COOPERATIVA ODONTOLOGICA LTDA. (20024)"</f>
        <v>UNIODONTO REGIONAL COOPERATIVA ODONTOLOGICA LTDA. (20024)</v>
      </c>
      <c r="G3065" t="str">
        <f>"PLANO ODONTOLOGICO 05/2025"</f>
        <v>PLANO ODONTOLOGICO 05/2025</v>
      </c>
      <c r="H3065" t="str">
        <f>("10/06/2025")</f>
        <v>10/06/2025</v>
      </c>
      <c r="I3065" t="str">
        <f>("16/05/2025")</f>
        <v>16/05/2025</v>
      </c>
      <c r="J3065" t="str">
        <f t="shared" si="1511"/>
        <v>11/06/2025</v>
      </c>
      <c r="M3065">
        <v>192</v>
      </c>
      <c r="N3065" t="str">
        <f>"PLANOS E SEGUROS"</f>
        <v>PLANOS E SEGUROS</v>
      </c>
      <c r="P3065">
        <v>1714.15</v>
      </c>
      <c r="Q3065" t="str">
        <f>"UNIODONTO REGIONAL COOPERATIVA ODONTOLOGICA LTDA. (20024)"</f>
        <v>UNIODONTO REGIONAL COOPERATIVA ODONTOLOGICA LTDA. (20024)</v>
      </c>
      <c r="R3065" t="str">
        <f t="shared" si="1518"/>
        <v>BANCO CORA (102)</v>
      </c>
      <c r="S3065">
        <v>1970</v>
      </c>
      <c r="T3065">
        <v>840</v>
      </c>
      <c r="U3065" t="s">
        <v>19</v>
      </c>
    </row>
    <row r="3066" spans="1:21">
      <c r="A3066" t="str">
        <f t="shared" si="1508"/>
        <v>11/06/2025</v>
      </c>
      <c r="B3066" t="str">
        <f t="shared" si="1517"/>
        <v>SAÍDA</v>
      </c>
      <c r="C3066" t="str">
        <f t="shared" ref="C3066:C3073" si="1519">"PIX"</f>
        <v>PIX</v>
      </c>
      <c r="D3066" t="str">
        <f>"29257"</f>
        <v>29257</v>
      </c>
      <c r="E3066" t="str">
        <f t="shared" si="1516"/>
        <v>COM</v>
      </c>
      <c r="F3066" t="str">
        <f>"MANIA EM PRESENTES LTDA (20097)"</f>
        <v>MANIA EM PRESENTES LTDA (20097)</v>
      </c>
      <c r="G3066" t="str">
        <f>"COMPRA MICROFONE LAPELA"</f>
        <v>COMPRA MICROFONE LAPELA</v>
      </c>
      <c r="H3066" t="str">
        <f>("12/06/2025")</f>
        <v>12/06/2025</v>
      </c>
      <c r="I3066" t="str">
        <f>("12/06/2025")</f>
        <v>12/06/2025</v>
      </c>
      <c r="J3066" t="str">
        <f t="shared" si="1511"/>
        <v>11/06/2025</v>
      </c>
      <c r="K3066">
        <v>1081.55</v>
      </c>
      <c r="L3066">
        <v>1081.55</v>
      </c>
      <c r="M3066">
        <v>130</v>
      </c>
      <c r="N3066" t="str">
        <f>"EQUIPAMENTOS DE INFORMATICA"</f>
        <v>EQUIPAMENTOS DE INFORMATICA</v>
      </c>
      <c r="O3066">
        <v>1081.55</v>
      </c>
      <c r="R3066" t="str">
        <f t="shared" si="1518"/>
        <v>BANCO CORA (102)</v>
      </c>
      <c r="S3066">
        <v>1971</v>
      </c>
      <c r="T3066">
        <v>1550</v>
      </c>
      <c r="U3066" t="s">
        <v>19</v>
      </c>
    </row>
    <row r="3067" spans="1:21">
      <c r="A3067" t="str">
        <f t="shared" si="1508"/>
        <v>11/06/2025</v>
      </c>
      <c r="B3067" t="str">
        <f t="shared" si="1517"/>
        <v>SAÍDA</v>
      </c>
      <c r="C3067" t="str">
        <f t="shared" si="1519"/>
        <v>PIX</v>
      </c>
      <c r="D3067" t="str">
        <f>"29257"</f>
        <v>29257</v>
      </c>
      <c r="E3067" t="str">
        <f t="shared" si="1516"/>
        <v>COM</v>
      </c>
      <c r="F3067" t="str">
        <f>"MANIA EM PRESENTES LTDA (20097)"</f>
        <v>MANIA EM PRESENTES LTDA (20097)</v>
      </c>
      <c r="G3067" t="str">
        <f>"COMPRA MICROFONE LAPELA"</f>
        <v>COMPRA MICROFONE LAPELA</v>
      </c>
      <c r="H3067" t="str">
        <f>("12/06/2025")</f>
        <v>12/06/2025</v>
      </c>
      <c r="I3067" t="str">
        <f>("12/06/2025")</f>
        <v>12/06/2025</v>
      </c>
      <c r="J3067" t="str">
        <f t="shared" si="1511"/>
        <v>11/06/2025</v>
      </c>
      <c r="M3067">
        <v>130</v>
      </c>
      <c r="N3067" t="str">
        <f>"EQUIPAMENTOS DE INFORMATICA"</f>
        <v>EQUIPAMENTOS DE INFORMATICA</v>
      </c>
      <c r="P3067">
        <v>1081.55</v>
      </c>
      <c r="Q3067" t="str">
        <f>"MANIA EM PRESENTES LTDA (20097)"</f>
        <v>MANIA EM PRESENTES LTDA (20097)</v>
      </c>
      <c r="R3067" t="str">
        <f t="shared" si="1518"/>
        <v>BANCO CORA (102)</v>
      </c>
      <c r="S3067">
        <v>1971</v>
      </c>
      <c r="T3067">
        <v>1550</v>
      </c>
      <c r="U3067" t="s">
        <v>19</v>
      </c>
    </row>
    <row r="3068" spans="1:21">
      <c r="A3068" t="str">
        <f t="shared" ref="A3068:A3099" si="1520">("12/06/2025")</f>
        <v>12/06/2025</v>
      </c>
      <c r="B3068" t="str">
        <f t="shared" si="1517"/>
        <v>SAÍDA</v>
      </c>
      <c r="C3068" t="str">
        <f t="shared" si="1519"/>
        <v>PIX</v>
      </c>
      <c r="D3068" t="str">
        <f>"751540"</f>
        <v>751540</v>
      </c>
      <c r="E3068" t="str">
        <f t="shared" si="1516"/>
        <v>COM</v>
      </c>
      <c r="F3068" t="str">
        <f>"MONGERAL AEGON SEGUROS E PREVIDENCIA SA (20063)"</f>
        <v>MONGERAL AEGON SEGUROS E PREVIDENCIA SA (20063)</v>
      </c>
      <c r="G3068" t="str">
        <f>"SEGURO DE VIDA SOCIOS"</f>
        <v>SEGURO DE VIDA SOCIOS</v>
      </c>
      <c r="H3068" t="str">
        <f t="shared" ref="H3068:H3103" si="1521">("12/06/2025")</f>
        <v>12/06/2025</v>
      </c>
      <c r="I3068" t="str">
        <f>("05/02/2025")</f>
        <v>05/02/2025</v>
      </c>
      <c r="J3068" t="str">
        <f t="shared" ref="J3068:J3099" si="1522">("12/06/2025")</f>
        <v>12/06/2025</v>
      </c>
      <c r="K3068">
        <v>228.37</v>
      </c>
      <c r="L3068">
        <v>228.37</v>
      </c>
      <c r="M3068">
        <v>192</v>
      </c>
      <c r="N3068" t="str">
        <f>"PLANOS E SEGUROS"</f>
        <v>PLANOS E SEGUROS</v>
      </c>
      <c r="O3068">
        <v>228.37</v>
      </c>
      <c r="R3068" t="str">
        <f t="shared" si="1518"/>
        <v>BANCO CORA (102)</v>
      </c>
      <c r="S3068">
        <v>1811</v>
      </c>
      <c r="T3068">
        <v>829</v>
      </c>
      <c r="U3068" t="s">
        <v>19</v>
      </c>
    </row>
    <row r="3069" spans="1:21">
      <c r="A3069" t="str">
        <f t="shared" si="1520"/>
        <v>12/06/2025</v>
      </c>
      <c r="B3069" t="str">
        <f t="shared" si="1517"/>
        <v>SAÍDA</v>
      </c>
      <c r="C3069" t="str">
        <f t="shared" si="1519"/>
        <v>PIX</v>
      </c>
      <c r="D3069" t="str">
        <f>"751540"</f>
        <v>751540</v>
      </c>
      <c r="E3069" t="str">
        <f t="shared" si="1516"/>
        <v>COM</v>
      </c>
      <c r="F3069" t="str">
        <f>"MONGERAL AEGON SEGUROS E PREVIDENCIA SA (20063)"</f>
        <v>MONGERAL AEGON SEGUROS E PREVIDENCIA SA (20063)</v>
      </c>
      <c r="G3069" t="str">
        <f>"SEGURO DE VIDA SOCIOS"</f>
        <v>SEGURO DE VIDA SOCIOS</v>
      </c>
      <c r="H3069" t="str">
        <f t="shared" si="1521"/>
        <v>12/06/2025</v>
      </c>
      <c r="I3069" t="str">
        <f>("05/02/2025")</f>
        <v>05/02/2025</v>
      </c>
      <c r="J3069" t="str">
        <f t="shared" si="1522"/>
        <v>12/06/2025</v>
      </c>
      <c r="M3069">
        <v>192</v>
      </c>
      <c r="N3069" t="str">
        <f>"PLANOS E SEGUROS"</f>
        <v>PLANOS E SEGUROS</v>
      </c>
      <c r="P3069">
        <v>228.37</v>
      </c>
      <c r="Q3069" t="str">
        <f>"MONGERAL AEGON SEGUROS E PREVIDENCIA SA (20063)"</f>
        <v>MONGERAL AEGON SEGUROS E PREVIDENCIA SA (20063)</v>
      </c>
      <c r="R3069" t="str">
        <f t="shared" si="1518"/>
        <v>BANCO CORA (102)</v>
      </c>
      <c r="S3069">
        <v>1811</v>
      </c>
      <c r="T3069">
        <v>829</v>
      </c>
      <c r="U3069" t="s">
        <v>19</v>
      </c>
    </row>
    <row r="3070" spans="1:21">
      <c r="A3070" t="str">
        <f t="shared" si="1520"/>
        <v>12/06/2025</v>
      </c>
      <c r="B3070" t="str">
        <f t="shared" si="1517"/>
        <v>SAÍDA</v>
      </c>
      <c r="C3070" t="str">
        <f t="shared" si="1519"/>
        <v>PIX</v>
      </c>
      <c r="D3070" t="str">
        <f>"12062523333"</f>
        <v>12062523333</v>
      </c>
      <c r="E3070" t="str">
        <f t="shared" si="1516"/>
        <v>COM</v>
      </c>
      <c r="F3070" t="str">
        <f>"LILIANE DE FATIMA REZENDE JUSTINO (20013)"</f>
        <v>LILIANE DE FATIMA REZENDE JUSTINO (20013)</v>
      </c>
      <c r="G3070" t="str">
        <f>"DISTRIBUICAO DE LUCROS"</f>
        <v>DISTRIBUICAO DE LUCROS</v>
      </c>
      <c r="H3070" t="str">
        <f t="shared" si="1521"/>
        <v>12/06/2025</v>
      </c>
      <c r="I3070" t="str">
        <f t="shared" ref="I3070:I3103" si="1523">("12/06/2025")</f>
        <v>12/06/2025</v>
      </c>
      <c r="J3070" t="str">
        <f t="shared" si="1522"/>
        <v>12/06/2025</v>
      </c>
      <c r="K3070">
        <v>23333</v>
      </c>
      <c r="L3070">
        <v>23333</v>
      </c>
      <c r="M3070">
        <v>125</v>
      </c>
      <c r="N3070" t="str">
        <f>"DISTRIBUIÇÃO DE LUCRO"</f>
        <v>DISTRIBUIÇÃO DE LUCRO</v>
      </c>
      <c r="O3070">
        <v>23333</v>
      </c>
      <c r="R3070" t="str">
        <f t="shared" si="1518"/>
        <v>BANCO CORA (102)</v>
      </c>
      <c r="S3070">
        <v>1812</v>
      </c>
      <c r="T3070">
        <v>1367</v>
      </c>
      <c r="U3070" t="s">
        <v>19</v>
      </c>
    </row>
    <row r="3071" spans="1:21">
      <c r="A3071" t="str">
        <f t="shared" si="1520"/>
        <v>12/06/2025</v>
      </c>
      <c r="B3071" t="str">
        <f t="shared" si="1517"/>
        <v>SAÍDA</v>
      </c>
      <c r="C3071" t="str">
        <f t="shared" si="1519"/>
        <v>PIX</v>
      </c>
      <c r="D3071" t="str">
        <f>"12062523333"</f>
        <v>12062523333</v>
      </c>
      <c r="E3071" t="str">
        <f t="shared" si="1516"/>
        <v>COM</v>
      </c>
      <c r="F3071" t="str">
        <f>"LILIANE DE FATIMA REZENDE JUSTINO (20013)"</f>
        <v>LILIANE DE FATIMA REZENDE JUSTINO (20013)</v>
      </c>
      <c r="G3071" t="str">
        <f>"DISTRIBUICAO DE LUCROS"</f>
        <v>DISTRIBUICAO DE LUCROS</v>
      </c>
      <c r="H3071" t="str">
        <f t="shared" si="1521"/>
        <v>12/06/2025</v>
      </c>
      <c r="I3071" t="str">
        <f t="shared" si="1523"/>
        <v>12/06/2025</v>
      </c>
      <c r="J3071" t="str">
        <f t="shared" si="1522"/>
        <v>12/06/2025</v>
      </c>
      <c r="M3071">
        <v>125</v>
      </c>
      <c r="N3071" t="str">
        <f>"DISTRIBUIÇÃO DE LUCRO"</f>
        <v>DISTRIBUIÇÃO DE LUCRO</v>
      </c>
      <c r="P3071">
        <v>23333</v>
      </c>
      <c r="Q3071" t="str">
        <f>"LILIANE DE FATIMA REZENDE JUSTINO (20013)"</f>
        <v>LILIANE DE FATIMA REZENDE JUSTINO (20013)</v>
      </c>
      <c r="R3071" t="str">
        <f t="shared" si="1518"/>
        <v>BANCO CORA (102)</v>
      </c>
      <c r="S3071">
        <v>1812</v>
      </c>
      <c r="T3071">
        <v>1367</v>
      </c>
      <c r="U3071" t="s">
        <v>19</v>
      </c>
    </row>
    <row r="3072" spans="1:21">
      <c r="A3072" t="str">
        <f t="shared" si="1520"/>
        <v>12/06/2025</v>
      </c>
      <c r="B3072" t="str">
        <f t="shared" si="1517"/>
        <v>SAÍDA</v>
      </c>
      <c r="C3072" t="str">
        <f t="shared" si="1519"/>
        <v>PIX</v>
      </c>
      <c r="D3072" t="str">
        <f>"120625"</f>
        <v>120625</v>
      </c>
      <c r="E3072" t="str">
        <f t="shared" si="1516"/>
        <v>COM</v>
      </c>
      <c r="F3072" t="str">
        <f>"MARCELO REZENDE ARANTES (20014)"</f>
        <v>MARCELO REZENDE ARANTES (20014)</v>
      </c>
      <c r="G3072" t="str">
        <f>"DISTRIBUICAO DE LUCROS"</f>
        <v>DISTRIBUICAO DE LUCROS</v>
      </c>
      <c r="H3072" t="str">
        <f t="shared" si="1521"/>
        <v>12/06/2025</v>
      </c>
      <c r="I3072" t="str">
        <f t="shared" si="1523"/>
        <v>12/06/2025</v>
      </c>
      <c r="J3072" t="str">
        <f t="shared" si="1522"/>
        <v>12/06/2025</v>
      </c>
      <c r="K3072">
        <v>5000</v>
      </c>
      <c r="L3072">
        <v>5000</v>
      </c>
      <c r="M3072">
        <v>125</v>
      </c>
      <c r="N3072" t="str">
        <f>"DISTRIBUIÇÃO DE LUCRO"</f>
        <v>DISTRIBUIÇÃO DE LUCRO</v>
      </c>
      <c r="O3072">
        <v>5000</v>
      </c>
      <c r="R3072" t="str">
        <f t="shared" si="1518"/>
        <v>BANCO CORA (102)</v>
      </c>
      <c r="S3072">
        <v>1813</v>
      </c>
      <c r="T3072">
        <v>1368</v>
      </c>
      <c r="U3072" t="s">
        <v>19</v>
      </c>
    </row>
    <row r="3073" spans="1:21">
      <c r="A3073" t="str">
        <f t="shared" si="1520"/>
        <v>12/06/2025</v>
      </c>
      <c r="B3073" t="str">
        <f t="shared" si="1517"/>
        <v>SAÍDA</v>
      </c>
      <c r="C3073" t="str">
        <f t="shared" si="1519"/>
        <v>PIX</v>
      </c>
      <c r="D3073" t="str">
        <f>"120625"</f>
        <v>120625</v>
      </c>
      <c r="E3073" t="str">
        <f t="shared" si="1516"/>
        <v>COM</v>
      </c>
      <c r="F3073" t="str">
        <f>"MARCELO REZENDE ARANTES (20014)"</f>
        <v>MARCELO REZENDE ARANTES (20014)</v>
      </c>
      <c r="G3073" t="str">
        <f>"DISTRIBUICAO DE LUCROS"</f>
        <v>DISTRIBUICAO DE LUCROS</v>
      </c>
      <c r="H3073" t="str">
        <f t="shared" si="1521"/>
        <v>12/06/2025</v>
      </c>
      <c r="I3073" t="str">
        <f t="shared" si="1523"/>
        <v>12/06/2025</v>
      </c>
      <c r="J3073" t="str">
        <f t="shared" si="1522"/>
        <v>12/06/2025</v>
      </c>
      <c r="M3073">
        <v>125</v>
      </c>
      <c r="N3073" t="str">
        <f>"DISTRIBUIÇÃO DE LUCRO"</f>
        <v>DISTRIBUIÇÃO DE LUCRO</v>
      </c>
      <c r="P3073">
        <v>5000</v>
      </c>
      <c r="Q3073" t="str">
        <f>"MARCELO REZENDE ARANTES (20014)"</f>
        <v>MARCELO REZENDE ARANTES (20014)</v>
      </c>
      <c r="R3073" t="str">
        <f t="shared" si="1518"/>
        <v>BANCO CORA (102)</v>
      </c>
      <c r="S3073">
        <v>1813</v>
      </c>
      <c r="T3073">
        <v>1368</v>
      </c>
      <c r="U3073" t="s">
        <v>19</v>
      </c>
    </row>
    <row r="3074" spans="1:21">
      <c r="A3074" t="str">
        <f t="shared" si="1520"/>
        <v>12/06/2025</v>
      </c>
      <c r="B3074" t="str">
        <f t="shared" si="1517"/>
        <v>SAÍDA</v>
      </c>
      <c r="C3074" t="str">
        <f t="shared" ref="C3074:C3103" si="1524">"CONHECIMENTO"</f>
        <v>CONHECIMENTO</v>
      </c>
      <c r="D3074" t="str">
        <f t="shared" ref="D3074:D3103" si="1525">"120625170"</f>
        <v>120625170</v>
      </c>
      <c r="E3074" t="str">
        <f t="shared" si="1516"/>
        <v>COM</v>
      </c>
      <c r="F3074" t="str">
        <f t="shared" ref="F3074:F3103" si="1526">"CORA SOCIEDADE DE CREDITO, FINANCIAMENTO E INVESTIMENTO (20035)"</f>
        <v>CORA SOCIEDADE DE CREDITO, FINANCIAMENTO E INVESTIMENTO (20035)</v>
      </c>
      <c r="G3074" t="str">
        <f t="shared" ref="G3074:G3103" si="1527">"TAXA BOLETO COMPENSADO"</f>
        <v>TAXA BOLETO COMPENSADO</v>
      </c>
      <c r="H3074" t="str">
        <f t="shared" si="1521"/>
        <v>12/06/2025</v>
      </c>
      <c r="I3074" t="str">
        <f t="shared" si="1523"/>
        <v>12/06/2025</v>
      </c>
      <c r="J3074" t="str">
        <f t="shared" si="1522"/>
        <v>12/06/2025</v>
      </c>
      <c r="K3074">
        <v>1.7</v>
      </c>
      <c r="L3074">
        <v>1.7</v>
      </c>
      <c r="M3074">
        <v>401</v>
      </c>
      <c r="N3074" t="str">
        <f t="shared" ref="N3074:N3103" si="1528">"IOF/JUROS/DESP.FINANCEIRA"</f>
        <v>IOF/JUROS/DESP.FINANCEIRA</v>
      </c>
      <c r="O3074">
        <v>1.7</v>
      </c>
      <c r="R3074" t="str">
        <f t="shared" si="1518"/>
        <v>BANCO CORA (102)</v>
      </c>
      <c r="S3074">
        <v>1814</v>
      </c>
      <c r="T3074">
        <v>1369</v>
      </c>
      <c r="U3074" t="s">
        <v>19</v>
      </c>
    </row>
    <row r="3075" spans="1:21">
      <c r="A3075" t="str">
        <f t="shared" si="1520"/>
        <v>12/06/2025</v>
      </c>
      <c r="B3075" t="str">
        <f t="shared" si="1517"/>
        <v>SAÍDA</v>
      </c>
      <c r="C3075" t="str">
        <f t="shared" si="1524"/>
        <v>CONHECIMENTO</v>
      </c>
      <c r="D3075" t="str">
        <f t="shared" si="1525"/>
        <v>120625170</v>
      </c>
      <c r="E3075" t="str">
        <f t="shared" si="1516"/>
        <v>COM</v>
      </c>
      <c r="F3075" t="str">
        <f t="shared" si="1526"/>
        <v>CORA SOCIEDADE DE CREDITO, FINANCIAMENTO E INVESTIMENTO (20035)</v>
      </c>
      <c r="G3075" t="str">
        <f t="shared" si="1527"/>
        <v>TAXA BOLETO COMPENSADO</v>
      </c>
      <c r="H3075" t="str">
        <f t="shared" si="1521"/>
        <v>12/06/2025</v>
      </c>
      <c r="I3075" t="str">
        <f t="shared" si="1523"/>
        <v>12/06/2025</v>
      </c>
      <c r="J3075" t="str">
        <f t="shared" si="1522"/>
        <v>12/06/2025</v>
      </c>
      <c r="M3075">
        <v>401</v>
      </c>
      <c r="N3075" t="str">
        <f t="shared" si="1528"/>
        <v>IOF/JUROS/DESP.FINANCEIRA</v>
      </c>
      <c r="P3075">
        <v>1.7</v>
      </c>
      <c r="Q3075" t="str">
        <f>"CORA SOCIEDADE DE CREDITO, FINANCIAMENTO E INVESTIMENTO (20035)"</f>
        <v>CORA SOCIEDADE DE CREDITO, FINANCIAMENTO E INVESTIMENTO (20035)</v>
      </c>
      <c r="R3075" t="str">
        <f t="shared" si="1518"/>
        <v>BANCO CORA (102)</v>
      </c>
      <c r="S3075">
        <v>1814</v>
      </c>
      <c r="T3075">
        <v>1369</v>
      </c>
      <c r="U3075" t="s">
        <v>19</v>
      </c>
    </row>
    <row r="3076" spans="1:21">
      <c r="A3076" t="str">
        <f t="shared" si="1520"/>
        <v>12/06/2025</v>
      </c>
      <c r="B3076" t="str">
        <f t="shared" si="1517"/>
        <v>SAÍDA</v>
      </c>
      <c r="C3076" t="str">
        <f t="shared" si="1524"/>
        <v>CONHECIMENTO</v>
      </c>
      <c r="D3076" t="str">
        <f t="shared" si="1525"/>
        <v>120625170</v>
      </c>
      <c r="E3076" t="str">
        <f t="shared" si="1516"/>
        <v>COM</v>
      </c>
      <c r="F3076" t="str">
        <f t="shared" si="1526"/>
        <v>CORA SOCIEDADE DE CREDITO, FINANCIAMENTO E INVESTIMENTO (20035)</v>
      </c>
      <c r="G3076" t="str">
        <f t="shared" si="1527"/>
        <v>TAXA BOLETO COMPENSADO</v>
      </c>
      <c r="H3076" t="str">
        <f t="shared" si="1521"/>
        <v>12/06/2025</v>
      </c>
      <c r="I3076" t="str">
        <f t="shared" si="1523"/>
        <v>12/06/2025</v>
      </c>
      <c r="J3076" t="str">
        <f t="shared" si="1522"/>
        <v>12/06/2025</v>
      </c>
      <c r="K3076">
        <v>1.7</v>
      </c>
      <c r="L3076">
        <v>1.7</v>
      </c>
      <c r="M3076">
        <v>401</v>
      </c>
      <c r="N3076" t="str">
        <f t="shared" si="1528"/>
        <v>IOF/JUROS/DESP.FINANCEIRA</v>
      </c>
      <c r="O3076">
        <v>1.7</v>
      </c>
      <c r="R3076" t="str">
        <f t="shared" si="1518"/>
        <v>BANCO CORA (102)</v>
      </c>
      <c r="S3076">
        <v>1815</v>
      </c>
      <c r="T3076">
        <v>1370</v>
      </c>
      <c r="U3076" t="s">
        <v>19</v>
      </c>
    </row>
    <row r="3077" spans="1:21">
      <c r="A3077" t="str">
        <f t="shared" si="1520"/>
        <v>12/06/2025</v>
      </c>
      <c r="B3077" t="str">
        <f t="shared" si="1517"/>
        <v>SAÍDA</v>
      </c>
      <c r="C3077" t="str">
        <f t="shared" si="1524"/>
        <v>CONHECIMENTO</v>
      </c>
      <c r="D3077" t="str">
        <f t="shared" si="1525"/>
        <v>120625170</v>
      </c>
      <c r="E3077" t="str">
        <f t="shared" si="1516"/>
        <v>COM</v>
      </c>
      <c r="F3077" t="str">
        <f t="shared" si="1526"/>
        <v>CORA SOCIEDADE DE CREDITO, FINANCIAMENTO E INVESTIMENTO (20035)</v>
      </c>
      <c r="G3077" t="str">
        <f t="shared" si="1527"/>
        <v>TAXA BOLETO COMPENSADO</v>
      </c>
      <c r="H3077" t="str">
        <f t="shared" si="1521"/>
        <v>12/06/2025</v>
      </c>
      <c r="I3077" t="str">
        <f t="shared" si="1523"/>
        <v>12/06/2025</v>
      </c>
      <c r="J3077" t="str">
        <f t="shared" si="1522"/>
        <v>12/06/2025</v>
      </c>
      <c r="M3077">
        <v>401</v>
      </c>
      <c r="N3077" t="str">
        <f t="shared" si="1528"/>
        <v>IOF/JUROS/DESP.FINANCEIRA</v>
      </c>
      <c r="P3077">
        <v>1.7</v>
      </c>
      <c r="Q3077" t="str">
        <f>"CORA SOCIEDADE DE CREDITO, FINANCIAMENTO E INVESTIMENTO (20035)"</f>
        <v>CORA SOCIEDADE DE CREDITO, FINANCIAMENTO E INVESTIMENTO (20035)</v>
      </c>
      <c r="R3077" t="str">
        <f t="shared" si="1518"/>
        <v>BANCO CORA (102)</v>
      </c>
      <c r="S3077">
        <v>1815</v>
      </c>
      <c r="T3077">
        <v>1370</v>
      </c>
      <c r="U3077" t="s">
        <v>19</v>
      </c>
    </row>
    <row r="3078" spans="1:21">
      <c r="A3078" t="str">
        <f t="shared" si="1520"/>
        <v>12/06/2025</v>
      </c>
      <c r="B3078" t="str">
        <f t="shared" si="1517"/>
        <v>SAÍDA</v>
      </c>
      <c r="C3078" t="str">
        <f t="shared" si="1524"/>
        <v>CONHECIMENTO</v>
      </c>
      <c r="D3078" t="str">
        <f t="shared" si="1525"/>
        <v>120625170</v>
      </c>
      <c r="E3078" t="str">
        <f t="shared" si="1516"/>
        <v>COM</v>
      </c>
      <c r="F3078" t="str">
        <f t="shared" si="1526"/>
        <v>CORA SOCIEDADE DE CREDITO, FINANCIAMENTO E INVESTIMENTO (20035)</v>
      </c>
      <c r="G3078" t="str">
        <f t="shared" si="1527"/>
        <v>TAXA BOLETO COMPENSADO</v>
      </c>
      <c r="H3078" t="str">
        <f t="shared" si="1521"/>
        <v>12/06/2025</v>
      </c>
      <c r="I3078" t="str">
        <f t="shared" si="1523"/>
        <v>12/06/2025</v>
      </c>
      <c r="J3078" t="str">
        <f t="shared" si="1522"/>
        <v>12/06/2025</v>
      </c>
      <c r="K3078">
        <v>1.7</v>
      </c>
      <c r="L3078">
        <v>1.7</v>
      </c>
      <c r="M3078">
        <v>401</v>
      </c>
      <c r="N3078" t="str">
        <f t="shared" si="1528"/>
        <v>IOF/JUROS/DESP.FINANCEIRA</v>
      </c>
      <c r="O3078">
        <v>1.7</v>
      </c>
      <c r="R3078" t="str">
        <f t="shared" si="1518"/>
        <v>BANCO CORA (102)</v>
      </c>
      <c r="S3078">
        <v>1816</v>
      </c>
      <c r="T3078">
        <v>1371</v>
      </c>
      <c r="U3078" t="s">
        <v>19</v>
      </c>
    </row>
    <row r="3079" spans="1:21">
      <c r="A3079" t="str">
        <f t="shared" si="1520"/>
        <v>12/06/2025</v>
      </c>
      <c r="B3079" t="str">
        <f t="shared" si="1517"/>
        <v>SAÍDA</v>
      </c>
      <c r="C3079" t="str">
        <f t="shared" si="1524"/>
        <v>CONHECIMENTO</v>
      </c>
      <c r="D3079" t="str">
        <f t="shared" si="1525"/>
        <v>120625170</v>
      </c>
      <c r="E3079" t="str">
        <f t="shared" si="1516"/>
        <v>COM</v>
      </c>
      <c r="F3079" t="str">
        <f t="shared" si="1526"/>
        <v>CORA SOCIEDADE DE CREDITO, FINANCIAMENTO E INVESTIMENTO (20035)</v>
      </c>
      <c r="G3079" t="str">
        <f t="shared" si="1527"/>
        <v>TAXA BOLETO COMPENSADO</v>
      </c>
      <c r="H3079" t="str">
        <f t="shared" si="1521"/>
        <v>12/06/2025</v>
      </c>
      <c r="I3079" t="str">
        <f t="shared" si="1523"/>
        <v>12/06/2025</v>
      </c>
      <c r="J3079" t="str">
        <f t="shared" si="1522"/>
        <v>12/06/2025</v>
      </c>
      <c r="M3079">
        <v>401</v>
      </c>
      <c r="N3079" t="str">
        <f t="shared" si="1528"/>
        <v>IOF/JUROS/DESP.FINANCEIRA</v>
      </c>
      <c r="P3079">
        <v>1.7</v>
      </c>
      <c r="Q3079" t="str">
        <f>"CORA SOCIEDADE DE CREDITO, FINANCIAMENTO E INVESTIMENTO (20035)"</f>
        <v>CORA SOCIEDADE DE CREDITO, FINANCIAMENTO E INVESTIMENTO (20035)</v>
      </c>
      <c r="R3079" t="str">
        <f t="shared" si="1518"/>
        <v>BANCO CORA (102)</v>
      </c>
      <c r="S3079">
        <v>1816</v>
      </c>
      <c r="T3079">
        <v>1371</v>
      </c>
      <c r="U3079" t="s">
        <v>19</v>
      </c>
    </row>
    <row r="3080" spans="1:21">
      <c r="A3080" t="str">
        <f t="shared" si="1520"/>
        <v>12/06/2025</v>
      </c>
      <c r="B3080" t="str">
        <f t="shared" si="1517"/>
        <v>SAÍDA</v>
      </c>
      <c r="C3080" t="str">
        <f t="shared" si="1524"/>
        <v>CONHECIMENTO</v>
      </c>
      <c r="D3080" t="str">
        <f t="shared" si="1525"/>
        <v>120625170</v>
      </c>
      <c r="E3080" t="str">
        <f t="shared" si="1516"/>
        <v>COM</v>
      </c>
      <c r="F3080" t="str">
        <f t="shared" si="1526"/>
        <v>CORA SOCIEDADE DE CREDITO, FINANCIAMENTO E INVESTIMENTO (20035)</v>
      </c>
      <c r="G3080" t="str">
        <f t="shared" si="1527"/>
        <v>TAXA BOLETO COMPENSADO</v>
      </c>
      <c r="H3080" t="str">
        <f t="shared" si="1521"/>
        <v>12/06/2025</v>
      </c>
      <c r="I3080" t="str">
        <f t="shared" si="1523"/>
        <v>12/06/2025</v>
      </c>
      <c r="J3080" t="str">
        <f t="shared" si="1522"/>
        <v>12/06/2025</v>
      </c>
      <c r="K3080">
        <v>1.7</v>
      </c>
      <c r="L3080">
        <v>1.7</v>
      </c>
      <c r="M3080">
        <v>401</v>
      </c>
      <c r="N3080" t="str">
        <f t="shared" si="1528"/>
        <v>IOF/JUROS/DESP.FINANCEIRA</v>
      </c>
      <c r="O3080">
        <v>1.7</v>
      </c>
      <c r="R3080" t="str">
        <f t="shared" si="1518"/>
        <v>BANCO CORA (102)</v>
      </c>
      <c r="S3080">
        <v>1817</v>
      </c>
      <c r="T3080">
        <v>1372</v>
      </c>
      <c r="U3080" t="s">
        <v>19</v>
      </c>
    </row>
    <row r="3081" spans="1:21">
      <c r="A3081" t="str">
        <f t="shared" si="1520"/>
        <v>12/06/2025</v>
      </c>
      <c r="B3081" t="str">
        <f t="shared" si="1517"/>
        <v>SAÍDA</v>
      </c>
      <c r="C3081" t="str">
        <f t="shared" si="1524"/>
        <v>CONHECIMENTO</v>
      </c>
      <c r="D3081" t="str">
        <f t="shared" si="1525"/>
        <v>120625170</v>
      </c>
      <c r="E3081" t="str">
        <f t="shared" si="1516"/>
        <v>COM</v>
      </c>
      <c r="F3081" t="str">
        <f t="shared" si="1526"/>
        <v>CORA SOCIEDADE DE CREDITO, FINANCIAMENTO E INVESTIMENTO (20035)</v>
      </c>
      <c r="G3081" t="str">
        <f t="shared" si="1527"/>
        <v>TAXA BOLETO COMPENSADO</v>
      </c>
      <c r="H3081" t="str">
        <f t="shared" si="1521"/>
        <v>12/06/2025</v>
      </c>
      <c r="I3081" t="str">
        <f t="shared" si="1523"/>
        <v>12/06/2025</v>
      </c>
      <c r="J3081" t="str">
        <f t="shared" si="1522"/>
        <v>12/06/2025</v>
      </c>
      <c r="M3081">
        <v>401</v>
      </c>
      <c r="N3081" t="str">
        <f t="shared" si="1528"/>
        <v>IOF/JUROS/DESP.FINANCEIRA</v>
      </c>
      <c r="P3081">
        <v>1.7</v>
      </c>
      <c r="Q3081" t="str">
        <f>"CORA SOCIEDADE DE CREDITO, FINANCIAMENTO E INVESTIMENTO (20035)"</f>
        <v>CORA SOCIEDADE DE CREDITO, FINANCIAMENTO E INVESTIMENTO (20035)</v>
      </c>
      <c r="R3081" t="str">
        <f t="shared" si="1518"/>
        <v>BANCO CORA (102)</v>
      </c>
      <c r="S3081">
        <v>1817</v>
      </c>
      <c r="T3081">
        <v>1372</v>
      </c>
      <c r="U3081" t="s">
        <v>19</v>
      </c>
    </row>
    <row r="3082" spans="1:21">
      <c r="A3082" t="str">
        <f t="shared" si="1520"/>
        <v>12/06/2025</v>
      </c>
      <c r="B3082" t="str">
        <f t="shared" si="1517"/>
        <v>SAÍDA</v>
      </c>
      <c r="C3082" t="str">
        <f t="shared" si="1524"/>
        <v>CONHECIMENTO</v>
      </c>
      <c r="D3082" t="str">
        <f t="shared" si="1525"/>
        <v>120625170</v>
      </c>
      <c r="E3082" t="str">
        <f t="shared" si="1516"/>
        <v>COM</v>
      </c>
      <c r="F3082" t="str">
        <f t="shared" si="1526"/>
        <v>CORA SOCIEDADE DE CREDITO, FINANCIAMENTO E INVESTIMENTO (20035)</v>
      </c>
      <c r="G3082" t="str">
        <f t="shared" si="1527"/>
        <v>TAXA BOLETO COMPENSADO</v>
      </c>
      <c r="H3082" t="str">
        <f t="shared" si="1521"/>
        <v>12/06/2025</v>
      </c>
      <c r="I3082" t="str">
        <f t="shared" si="1523"/>
        <v>12/06/2025</v>
      </c>
      <c r="J3082" t="str">
        <f t="shared" si="1522"/>
        <v>12/06/2025</v>
      </c>
      <c r="K3082">
        <v>1.7</v>
      </c>
      <c r="L3082">
        <v>1.7</v>
      </c>
      <c r="M3082">
        <v>401</v>
      </c>
      <c r="N3082" t="str">
        <f t="shared" si="1528"/>
        <v>IOF/JUROS/DESP.FINANCEIRA</v>
      </c>
      <c r="O3082">
        <v>1.7</v>
      </c>
      <c r="R3082" t="str">
        <f t="shared" si="1518"/>
        <v>BANCO CORA (102)</v>
      </c>
      <c r="S3082">
        <v>1818</v>
      </c>
      <c r="T3082">
        <v>1373</v>
      </c>
      <c r="U3082" t="s">
        <v>19</v>
      </c>
    </row>
    <row r="3083" spans="1:21">
      <c r="A3083" t="str">
        <f t="shared" si="1520"/>
        <v>12/06/2025</v>
      </c>
      <c r="B3083" t="str">
        <f t="shared" si="1517"/>
        <v>SAÍDA</v>
      </c>
      <c r="C3083" t="str">
        <f t="shared" si="1524"/>
        <v>CONHECIMENTO</v>
      </c>
      <c r="D3083" t="str">
        <f t="shared" si="1525"/>
        <v>120625170</v>
      </c>
      <c r="E3083" t="str">
        <f t="shared" si="1516"/>
        <v>COM</v>
      </c>
      <c r="F3083" t="str">
        <f t="shared" si="1526"/>
        <v>CORA SOCIEDADE DE CREDITO, FINANCIAMENTO E INVESTIMENTO (20035)</v>
      </c>
      <c r="G3083" t="str">
        <f t="shared" si="1527"/>
        <v>TAXA BOLETO COMPENSADO</v>
      </c>
      <c r="H3083" t="str">
        <f t="shared" si="1521"/>
        <v>12/06/2025</v>
      </c>
      <c r="I3083" t="str">
        <f t="shared" si="1523"/>
        <v>12/06/2025</v>
      </c>
      <c r="J3083" t="str">
        <f t="shared" si="1522"/>
        <v>12/06/2025</v>
      </c>
      <c r="M3083">
        <v>401</v>
      </c>
      <c r="N3083" t="str">
        <f t="shared" si="1528"/>
        <v>IOF/JUROS/DESP.FINANCEIRA</v>
      </c>
      <c r="P3083">
        <v>1.7</v>
      </c>
      <c r="Q3083" t="str">
        <f>"CORA SOCIEDADE DE CREDITO, FINANCIAMENTO E INVESTIMENTO (20035)"</f>
        <v>CORA SOCIEDADE DE CREDITO, FINANCIAMENTO E INVESTIMENTO (20035)</v>
      </c>
      <c r="R3083" t="str">
        <f t="shared" si="1518"/>
        <v>BANCO CORA (102)</v>
      </c>
      <c r="S3083">
        <v>1818</v>
      </c>
      <c r="T3083">
        <v>1373</v>
      </c>
      <c r="U3083" t="s">
        <v>19</v>
      </c>
    </row>
    <row r="3084" spans="1:21">
      <c r="A3084" t="str">
        <f t="shared" si="1520"/>
        <v>12/06/2025</v>
      </c>
      <c r="B3084" t="str">
        <f t="shared" si="1517"/>
        <v>SAÍDA</v>
      </c>
      <c r="C3084" t="str">
        <f t="shared" si="1524"/>
        <v>CONHECIMENTO</v>
      </c>
      <c r="D3084" t="str">
        <f t="shared" si="1525"/>
        <v>120625170</v>
      </c>
      <c r="E3084" t="str">
        <f t="shared" si="1516"/>
        <v>COM</v>
      </c>
      <c r="F3084" t="str">
        <f t="shared" si="1526"/>
        <v>CORA SOCIEDADE DE CREDITO, FINANCIAMENTO E INVESTIMENTO (20035)</v>
      </c>
      <c r="G3084" t="str">
        <f t="shared" si="1527"/>
        <v>TAXA BOLETO COMPENSADO</v>
      </c>
      <c r="H3084" t="str">
        <f t="shared" si="1521"/>
        <v>12/06/2025</v>
      </c>
      <c r="I3084" t="str">
        <f t="shared" si="1523"/>
        <v>12/06/2025</v>
      </c>
      <c r="J3084" t="str">
        <f t="shared" si="1522"/>
        <v>12/06/2025</v>
      </c>
      <c r="K3084">
        <v>1.7</v>
      </c>
      <c r="L3084">
        <v>1.7</v>
      </c>
      <c r="M3084">
        <v>401</v>
      </c>
      <c r="N3084" t="str">
        <f t="shared" si="1528"/>
        <v>IOF/JUROS/DESP.FINANCEIRA</v>
      </c>
      <c r="O3084">
        <v>1.7</v>
      </c>
      <c r="R3084" t="str">
        <f t="shared" si="1518"/>
        <v>BANCO CORA (102)</v>
      </c>
      <c r="S3084">
        <v>1819</v>
      </c>
      <c r="T3084">
        <v>1374</v>
      </c>
      <c r="U3084" t="s">
        <v>19</v>
      </c>
    </row>
    <row r="3085" spans="1:21">
      <c r="A3085" t="str">
        <f t="shared" si="1520"/>
        <v>12/06/2025</v>
      </c>
      <c r="B3085" t="str">
        <f t="shared" si="1517"/>
        <v>SAÍDA</v>
      </c>
      <c r="C3085" t="str">
        <f t="shared" si="1524"/>
        <v>CONHECIMENTO</v>
      </c>
      <c r="D3085" t="str">
        <f t="shared" si="1525"/>
        <v>120625170</v>
      </c>
      <c r="E3085" t="str">
        <f t="shared" si="1516"/>
        <v>COM</v>
      </c>
      <c r="F3085" t="str">
        <f t="shared" si="1526"/>
        <v>CORA SOCIEDADE DE CREDITO, FINANCIAMENTO E INVESTIMENTO (20035)</v>
      </c>
      <c r="G3085" t="str">
        <f t="shared" si="1527"/>
        <v>TAXA BOLETO COMPENSADO</v>
      </c>
      <c r="H3085" t="str">
        <f t="shared" si="1521"/>
        <v>12/06/2025</v>
      </c>
      <c r="I3085" t="str">
        <f t="shared" si="1523"/>
        <v>12/06/2025</v>
      </c>
      <c r="J3085" t="str">
        <f t="shared" si="1522"/>
        <v>12/06/2025</v>
      </c>
      <c r="M3085">
        <v>401</v>
      </c>
      <c r="N3085" t="str">
        <f t="shared" si="1528"/>
        <v>IOF/JUROS/DESP.FINANCEIRA</v>
      </c>
      <c r="P3085">
        <v>1.7</v>
      </c>
      <c r="Q3085" t="str">
        <f>"CORA SOCIEDADE DE CREDITO, FINANCIAMENTO E INVESTIMENTO (20035)"</f>
        <v>CORA SOCIEDADE DE CREDITO, FINANCIAMENTO E INVESTIMENTO (20035)</v>
      </c>
      <c r="R3085" t="str">
        <f t="shared" si="1518"/>
        <v>BANCO CORA (102)</v>
      </c>
      <c r="S3085">
        <v>1819</v>
      </c>
      <c r="T3085">
        <v>1374</v>
      </c>
      <c r="U3085" t="s">
        <v>19</v>
      </c>
    </row>
    <row r="3086" spans="1:21">
      <c r="A3086" t="str">
        <f t="shared" si="1520"/>
        <v>12/06/2025</v>
      </c>
      <c r="B3086" t="str">
        <f t="shared" si="1517"/>
        <v>SAÍDA</v>
      </c>
      <c r="C3086" t="str">
        <f t="shared" si="1524"/>
        <v>CONHECIMENTO</v>
      </c>
      <c r="D3086" t="str">
        <f t="shared" si="1525"/>
        <v>120625170</v>
      </c>
      <c r="E3086" t="str">
        <f t="shared" si="1516"/>
        <v>COM</v>
      </c>
      <c r="F3086" t="str">
        <f t="shared" si="1526"/>
        <v>CORA SOCIEDADE DE CREDITO, FINANCIAMENTO E INVESTIMENTO (20035)</v>
      </c>
      <c r="G3086" t="str">
        <f t="shared" si="1527"/>
        <v>TAXA BOLETO COMPENSADO</v>
      </c>
      <c r="H3086" t="str">
        <f t="shared" si="1521"/>
        <v>12/06/2025</v>
      </c>
      <c r="I3086" t="str">
        <f t="shared" si="1523"/>
        <v>12/06/2025</v>
      </c>
      <c r="J3086" t="str">
        <f t="shared" si="1522"/>
        <v>12/06/2025</v>
      </c>
      <c r="K3086">
        <v>1.7</v>
      </c>
      <c r="L3086">
        <v>1.7</v>
      </c>
      <c r="M3086">
        <v>401</v>
      </c>
      <c r="N3086" t="str">
        <f t="shared" si="1528"/>
        <v>IOF/JUROS/DESP.FINANCEIRA</v>
      </c>
      <c r="O3086">
        <v>1.7</v>
      </c>
      <c r="R3086" t="str">
        <f t="shared" si="1518"/>
        <v>BANCO CORA (102)</v>
      </c>
      <c r="S3086">
        <v>1820</v>
      </c>
      <c r="T3086">
        <v>1375</v>
      </c>
      <c r="U3086" t="s">
        <v>19</v>
      </c>
    </row>
    <row r="3087" spans="1:21">
      <c r="A3087" t="str">
        <f t="shared" si="1520"/>
        <v>12/06/2025</v>
      </c>
      <c r="B3087" t="str">
        <f t="shared" si="1517"/>
        <v>SAÍDA</v>
      </c>
      <c r="C3087" t="str">
        <f t="shared" si="1524"/>
        <v>CONHECIMENTO</v>
      </c>
      <c r="D3087" t="str">
        <f t="shared" si="1525"/>
        <v>120625170</v>
      </c>
      <c r="E3087" t="str">
        <f t="shared" si="1516"/>
        <v>COM</v>
      </c>
      <c r="F3087" t="str">
        <f t="shared" si="1526"/>
        <v>CORA SOCIEDADE DE CREDITO, FINANCIAMENTO E INVESTIMENTO (20035)</v>
      </c>
      <c r="G3087" t="str">
        <f t="shared" si="1527"/>
        <v>TAXA BOLETO COMPENSADO</v>
      </c>
      <c r="H3087" t="str">
        <f t="shared" si="1521"/>
        <v>12/06/2025</v>
      </c>
      <c r="I3087" t="str">
        <f t="shared" si="1523"/>
        <v>12/06/2025</v>
      </c>
      <c r="J3087" t="str">
        <f t="shared" si="1522"/>
        <v>12/06/2025</v>
      </c>
      <c r="M3087">
        <v>401</v>
      </c>
      <c r="N3087" t="str">
        <f t="shared" si="1528"/>
        <v>IOF/JUROS/DESP.FINANCEIRA</v>
      </c>
      <c r="P3087">
        <v>1.7</v>
      </c>
      <c r="Q3087" t="str">
        <f>"CORA SOCIEDADE DE CREDITO, FINANCIAMENTO E INVESTIMENTO (20035)"</f>
        <v>CORA SOCIEDADE DE CREDITO, FINANCIAMENTO E INVESTIMENTO (20035)</v>
      </c>
      <c r="R3087" t="str">
        <f t="shared" si="1518"/>
        <v>BANCO CORA (102)</v>
      </c>
      <c r="S3087">
        <v>1820</v>
      </c>
      <c r="T3087">
        <v>1375</v>
      </c>
      <c r="U3087" t="s">
        <v>19</v>
      </c>
    </row>
    <row r="3088" spans="1:21">
      <c r="A3088" t="str">
        <f t="shared" si="1520"/>
        <v>12/06/2025</v>
      </c>
      <c r="B3088" t="str">
        <f t="shared" si="1517"/>
        <v>SAÍDA</v>
      </c>
      <c r="C3088" t="str">
        <f t="shared" si="1524"/>
        <v>CONHECIMENTO</v>
      </c>
      <c r="D3088" t="str">
        <f t="shared" si="1525"/>
        <v>120625170</v>
      </c>
      <c r="E3088" t="str">
        <f t="shared" si="1516"/>
        <v>COM</v>
      </c>
      <c r="F3088" t="str">
        <f t="shared" si="1526"/>
        <v>CORA SOCIEDADE DE CREDITO, FINANCIAMENTO E INVESTIMENTO (20035)</v>
      </c>
      <c r="G3088" t="str">
        <f t="shared" si="1527"/>
        <v>TAXA BOLETO COMPENSADO</v>
      </c>
      <c r="H3088" t="str">
        <f t="shared" si="1521"/>
        <v>12/06/2025</v>
      </c>
      <c r="I3088" t="str">
        <f t="shared" si="1523"/>
        <v>12/06/2025</v>
      </c>
      <c r="J3088" t="str">
        <f t="shared" si="1522"/>
        <v>12/06/2025</v>
      </c>
      <c r="K3088">
        <v>1.7</v>
      </c>
      <c r="L3088">
        <v>1.7</v>
      </c>
      <c r="M3088">
        <v>401</v>
      </c>
      <c r="N3088" t="str">
        <f t="shared" si="1528"/>
        <v>IOF/JUROS/DESP.FINANCEIRA</v>
      </c>
      <c r="O3088">
        <v>1.7</v>
      </c>
      <c r="R3088" t="str">
        <f t="shared" si="1518"/>
        <v>BANCO CORA (102)</v>
      </c>
      <c r="S3088">
        <v>1821</v>
      </c>
      <c r="T3088">
        <v>1376</v>
      </c>
      <c r="U3088" t="s">
        <v>19</v>
      </c>
    </row>
    <row r="3089" spans="1:21">
      <c r="A3089" t="str">
        <f t="shared" si="1520"/>
        <v>12/06/2025</v>
      </c>
      <c r="B3089" t="str">
        <f t="shared" si="1517"/>
        <v>SAÍDA</v>
      </c>
      <c r="C3089" t="str">
        <f t="shared" si="1524"/>
        <v>CONHECIMENTO</v>
      </c>
      <c r="D3089" t="str">
        <f t="shared" si="1525"/>
        <v>120625170</v>
      </c>
      <c r="E3089" t="str">
        <f t="shared" si="1516"/>
        <v>COM</v>
      </c>
      <c r="F3089" t="str">
        <f t="shared" si="1526"/>
        <v>CORA SOCIEDADE DE CREDITO, FINANCIAMENTO E INVESTIMENTO (20035)</v>
      </c>
      <c r="G3089" t="str">
        <f t="shared" si="1527"/>
        <v>TAXA BOLETO COMPENSADO</v>
      </c>
      <c r="H3089" t="str">
        <f t="shared" si="1521"/>
        <v>12/06/2025</v>
      </c>
      <c r="I3089" t="str">
        <f t="shared" si="1523"/>
        <v>12/06/2025</v>
      </c>
      <c r="J3089" t="str">
        <f t="shared" si="1522"/>
        <v>12/06/2025</v>
      </c>
      <c r="M3089">
        <v>401</v>
      </c>
      <c r="N3089" t="str">
        <f t="shared" si="1528"/>
        <v>IOF/JUROS/DESP.FINANCEIRA</v>
      </c>
      <c r="P3089">
        <v>1.7</v>
      </c>
      <c r="Q3089" t="str">
        <f>"CORA SOCIEDADE DE CREDITO, FINANCIAMENTO E INVESTIMENTO (20035)"</f>
        <v>CORA SOCIEDADE DE CREDITO, FINANCIAMENTO E INVESTIMENTO (20035)</v>
      </c>
      <c r="R3089" t="str">
        <f t="shared" si="1518"/>
        <v>BANCO CORA (102)</v>
      </c>
      <c r="S3089">
        <v>1821</v>
      </c>
      <c r="T3089">
        <v>1376</v>
      </c>
      <c r="U3089" t="s">
        <v>19</v>
      </c>
    </row>
    <row r="3090" spans="1:21">
      <c r="A3090" t="str">
        <f t="shared" si="1520"/>
        <v>12/06/2025</v>
      </c>
      <c r="B3090" t="str">
        <f t="shared" si="1517"/>
        <v>SAÍDA</v>
      </c>
      <c r="C3090" t="str">
        <f t="shared" si="1524"/>
        <v>CONHECIMENTO</v>
      </c>
      <c r="D3090" t="str">
        <f t="shared" si="1525"/>
        <v>120625170</v>
      </c>
      <c r="E3090" t="str">
        <f t="shared" si="1516"/>
        <v>COM</v>
      </c>
      <c r="F3090" t="str">
        <f t="shared" si="1526"/>
        <v>CORA SOCIEDADE DE CREDITO, FINANCIAMENTO E INVESTIMENTO (20035)</v>
      </c>
      <c r="G3090" t="str">
        <f t="shared" si="1527"/>
        <v>TAXA BOLETO COMPENSADO</v>
      </c>
      <c r="H3090" t="str">
        <f t="shared" si="1521"/>
        <v>12/06/2025</v>
      </c>
      <c r="I3090" t="str">
        <f t="shared" si="1523"/>
        <v>12/06/2025</v>
      </c>
      <c r="J3090" t="str">
        <f t="shared" si="1522"/>
        <v>12/06/2025</v>
      </c>
      <c r="K3090">
        <v>1.7</v>
      </c>
      <c r="L3090">
        <v>1.7</v>
      </c>
      <c r="M3090">
        <v>401</v>
      </c>
      <c r="N3090" t="str">
        <f t="shared" si="1528"/>
        <v>IOF/JUROS/DESP.FINANCEIRA</v>
      </c>
      <c r="O3090">
        <v>1.7</v>
      </c>
      <c r="R3090" t="str">
        <f t="shared" si="1518"/>
        <v>BANCO CORA (102)</v>
      </c>
      <c r="S3090">
        <v>1822</v>
      </c>
      <c r="T3090">
        <v>1377</v>
      </c>
      <c r="U3090" t="s">
        <v>19</v>
      </c>
    </row>
    <row r="3091" spans="1:21">
      <c r="A3091" t="str">
        <f t="shared" si="1520"/>
        <v>12/06/2025</v>
      </c>
      <c r="B3091" t="str">
        <f t="shared" si="1517"/>
        <v>SAÍDA</v>
      </c>
      <c r="C3091" t="str">
        <f t="shared" si="1524"/>
        <v>CONHECIMENTO</v>
      </c>
      <c r="D3091" t="str">
        <f t="shared" si="1525"/>
        <v>120625170</v>
      </c>
      <c r="E3091" t="str">
        <f t="shared" si="1516"/>
        <v>COM</v>
      </c>
      <c r="F3091" t="str">
        <f t="shared" si="1526"/>
        <v>CORA SOCIEDADE DE CREDITO, FINANCIAMENTO E INVESTIMENTO (20035)</v>
      </c>
      <c r="G3091" t="str">
        <f t="shared" si="1527"/>
        <v>TAXA BOLETO COMPENSADO</v>
      </c>
      <c r="H3091" t="str">
        <f t="shared" si="1521"/>
        <v>12/06/2025</v>
      </c>
      <c r="I3091" t="str">
        <f t="shared" si="1523"/>
        <v>12/06/2025</v>
      </c>
      <c r="J3091" t="str">
        <f t="shared" si="1522"/>
        <v>12/06/2025</v>
      </c>
      <c r="M3091">
        <v>401</v>
      </c>
      <c r="N3091" t="str">
        <f t="shared" si="1528"/>
        <v>IOF/JUROS/DESP.FINANCEIRA</v>
      </c>
      <c r="P3091">
        <v>1.7</v>
      </c>
      <c r="Q3091" t="str">
        <f>"CORA SOCIEDADE DE CREDITO, FINANCIAMENTO E INVESTIMENTO (20035)"</f>
        <v>CORA SOCIEDADE DE CREDITO, FINANCIAMENTO E INVESTIMENTO (20035)</v>
      </c>
      <c r="R3091" t="str">
        <f t="shared" si="1518"/>
        <v>BANCO CORA (102)</v>
      </c>
      <c r="S3091">
        <v>1822</v>
      </c>
      <c r="T3091">
        <v>1377</v>
      </c>
      <c r="U3091" t="s">
        <v>19</v>
      </c>
    </row>
    <row r="3092" spans="1:21">
      <c r="A3092" t="str">
        <f t="shared" si="1520"/>
        <v>12/06/2025</v>
      </c>
      <c r="B3092" t="str">
        <f t="shared" si="1517"/>
        <v>SAÍDA</v>
      </c>
      <c r="C3092" t="str">
        <f t="shared" si="1524"/>
        <v>CONHECIMENTO</v>
      </c>
      <c r="D3092" t="str">
        <f t="shared" si="1525"/>
        <v>120625170</v>
      </c>
      <c r="E3092" t="str">
        <f t="shared" si="1516"/>
        <v>COM</v>
      </c>
      <c r="F3092" t="str">
        <f t="shared" si="1526"/>
        <v>CORA SOCIEDADE DE CREDITO, FINANCIAMENTO E INVESTIMENTO (20035)</v>
      </c>
      <c r="G3092" t="str">
        <f t="shared" si="1527"/>
        <v>TAXA BOLETO COMPENSADO</v>
      </c>
      <c r="H3092" t="str">
        <f t="shared" si="1521"/>
        <v>12/06/2025</v>
      </c>
      <c r="I3092" t="str">
        <f t="shared" si="1523"/>
        <v>12/06/2025</v>
      </c>
      <c r="J3092" t="str">
        <f t="shared" si="1522"/>
        <v>12/06/2025</v>
      </c>
      <c r="K3092">
        <v>1.7</v>
      </c>
      <c r="L3092">
        <v>1.7</v>
      </c>
      <c r="M3092">
        <v>401</v>
      </c>
      <c r="N3092" t="str">
        <f t="shared" si="1528"/>
        <v>IOF/JUROS/DESP.FINANCEIRA</v>
      </c>
      <c r="O3092">
        <v>1.7</v>
      </c>
      <c r="R3092" t="str">
        <f t="shared" si="1518"/>
        <v>BANCO CORA (102)</v>
      </c>
      <c r="S3092">
        <v>1823</v>
      </c>
      <c r="T3092">
        <v>1378</v>
      </c>
      <c r="U3092" t="s">
        <v>19</v>
      </c>
    </row>
    <row r="3093" spans="1:21">
      <c r="A3093" t="str">
        <f t="shared" si="1520"/>
        <v>12/06/2025</v>
      </c>
      <c r="B3093" t="str">
        <f t="shared" si="1517"/>
        <v>SAÍDA</v>
      </c>
      <c r="C3093" t="str">
        <f t="shared" si="1524"/>
        <v>CONHECIMENTO</v>
      </c>
      <c r="D3093" t="str">
        <f t="shared" si="1525"/>
        <v>120625170</v>
      </c>
      <c r="E3093" t="str">
        <f t="shared" si="1516"/>
        <v>COM</v>
      </c>
      <c r="F3093" t="str">
        <f t="shared" si="1526"/>
        <v>CORA SOCIEDADE DE CREDITO, FINANCIAMENTO E INVESTIMENTO (20035)</v>
      </c>
      <c r="G3093" t="str">
        <f t="shared" si="1527"/>
        <v>TAXA BOLETO COMPENSADO</v>
      </c>
      <c r="H3093" t="str">
        <f t="shared" si="1521"/>
        <v>12/06/2025</v>
      </c>
      <c r="I3093" t="str">
        <f t="shared" si="1523"/>
        <v>12/06/2025</v>
      </c>
      <c r="J3093" t="str">
        <f t="shared" si="1522"/>
        <v>12/06/2025</v>
      </c>
      <c r="M3093">
        <v>401</v>
      </c>
      <c r="N3093" t="str">
        <f t="shared" si="1528"/>
        <v>IOF/JUROS/DESP.FINANCEIRA</v>
      </c>
      <c r="P3093">
        <v>1.7</v>
      </c>
      <c r="Q3093" t="str">
        <f>"CORA SOCIEDADE DE CREDITO, FINANCIAMENTO E INVESTIMENTO (20035)"</f>
        <v>CORA SOCIEDADE DE CREDITO, FINANCIAMENTO E INVESTIMENTO (20035)</v>
      </c>
      <c r="R3093" t="str">
        <f t="shared" si="1518"/>
        <v>BANCO CORA (102)</v>
      </c>
      <c r="S3093">
        <v>1823</v>
      </c>
      <c r="T3093">
        <v>1378</v>
      </c>
      <c r="U3093" t="s">
        <v>19</v>
      </c>
    </row>
    <row r="3094" spans="1:21">
      <c r="A3094" t="str">
        <f t="shared" si="1520"/>
        <v>12/06/2025</v>
      </c>
      <c r="B3094" t="str">
        <f t="shared" si="1517"/>
        <v>SAÍDA</v>
      </c>
      <c r="C3094" t="str">
        <f t="shared" si="1524"/>
        <v>CONHECIMENTO</v>
      </c>
      <c r="D3094" t="str">
        <f t="shared" si="1525"/>
        <v>120625170</v>
      </c>
      <c r="E3094" t="str">
        <f t="shared" si="1516"/>
        <v>COM</v>
      </c>
      <c r="F3094" t="str">
        <f t="shared" si="1526"/>
        <v>CORA SOCIEDADE DE CREDITO, FINANCIAMENTO E INVESTIMENTO (20035)</v>
      </c>
      <c r="G3094" t="str">
        <f t="shared" si="1527"/>
        <v>TAXA BOLETO COMPENSADO</v>
      </c>
      <c r="H3094" t="str">
        <f t="shared" si="1521"/>
        <v>12/06/2025</v>
      </c>
      <c r="I3094" t="str">
        <f t="shared" si="1523"/>
        <v>12/06/2025</v>
      </c>
      <c r="J3094" t="str">
        <f t="shared" si="1522"/>
        <v>12/06/2025</v>
      </c>
      <c r="K3094">
        <v>1.7</v>
      </c>
      <c r="L3094">
        <v>1.7</v>
      </c>
      <c r="M3094">
        <v>401</v>
      </c>
      <c r="N3094" t="str">
        <f t="shared" si="1528"/>
        <v>IOF/JUROS/DESP.FINANCEIRA</v>
      </c>
      <c r="O3094">
        <v>1.7</v>
      </c>
      <c r="R3094" t="str">
        <f t="shared" si="1518"/>
        <v>BANCO CORA (102)</v>
      </c>
      <c r="S3094">
        <v>1824</v>
      </c>
      <c r="T3094">
        <v>1379</v>
      </c>
      <c r="U3094" t="s">
        <v>19</v>
      </c>
    </row>
    <row r="3095" spans="1:21">
      <c r="A3095" t="str">
        <f t="shared" si="1520"/>
        <v>12/06/2025</v>
      </c>
      <c r="B3095" t="str">
        <f t="shared" si="1517"/>
        <v>SAÍDA</v>
      </c>
      <c r="C3095" t="str">
        <f t="shared" si="1524"/>
        <v>CONHECIMENTO</v>
      </c>
      <c r="D3095" t="str">
        <f t="shared" si="1525"/>
        <v>120625170</v>
      </c>
      <c r="E3095" t="str">
        <f t="shared" si="1516"/>
        <v>COM</v>
      </c>
      <c r="F3095" t="str">
        <f t="shared" si="1526"/>
        <v>CORA SOCIEDADE DE CREDITO, FINANCIAMENTO E INVESTIMENTO (20035)</v>
      </c>
      <c r="G3095" t="str">
        <f t="shared" si="1527"/>
        <v>TAXA BOLETO COMPENSADO</v>
      </c>
      <c r="H3095" t="str">
        <f t="shared" si="1521"/>
        <v>12/06/2025</v>
      </c>
      <c r="I3095" t="str">
        <f t="shared" si="1523"/>
        <v>12/06/2025</v>
      </c>
      <c r="J3095" t="str">
        <f t="shared" si="1522"/>
        <v>12/06/2025</v>
      </c>
      <c r="M3095">
        <v>401</v>
      </c>
      <c r="N3095" t="str">
        <f t="shared" si="1528"/>
        <v>IOF/JUROS/DESP.FINANCEIRA</v>
      </c>
      <c r="P3095">
        <v>1.7</v>
      </c>
      <c r="Q3095" t="str">
        <f>"CORA SOCIEDADE DE CREDITO, FINANCIAMENTO E INVESTIMENTO (20035)"</f>
        <v>CORA SOCIEDADE DE CREDITO, FINANCIAMENTO E INVESTIMENTO (20035)</v>
      </c>
      <c r="R3095" t="str">
        <f t="shared" si="1518"/>
        <v>BANCO CORA (102)</v>
      </c>
      <c r="S3095">
        <v>1824</v>
      </c>
      <c r="T3095">
        <v>1379</v>
      </c>
      <c r="U3095" t="s">
        <v>19</v>
      </c>
    </row>
    <row r="3096" spans="1:21">
      <c r="A3096" t="str">
        <f t="shared" si="1520"/>
        <v>12/06/2025</v>
      </c>
      <c r="B3096" t="str">
        <f t="shared" si="1517"/>
        <v>SAÍDA</v>
      </c>
      <c r="C3096" t="str">
        <f t="shared" si="1524"/>
        <v>CONHECIMENTO</v>
      </c>
      <c r="D3096" t="str">
        <f t="shared" si="1525"/>
        <v>120625170</v>
      </c>
      <c r="E3096" t="str">
        <f t="shared" si="1516"/>
        <v>COM</v>
      </c>
      <c r="F3096" t="str">
        <f t="shared" si="1526"/>
        <v>CORA SOCIEDADE DE CREDITO, FINANCIAMENTO E INVESTIMENTO (20035)</v>
      </c>
      <c r="G3096" t="str">
        <f t="shared" si="1527"/>
        <v>TAXA BOLETO COMPENSADO</v>
      </c>
      <c r="H3096" t="str">
        <f t="shared" si="1521"/>
        <v>12/06/2025</v>
      </c>
      <c r="I3096" t="str">
        <f t="shared" si="1523"/>
        <v>12/06/2025</v>
      </c>
      <c r="J3096" t="str">
        <f t="shared" si="1522"/>
        <v>12/06/2025</v>
      </c>
      <c r="K3096">
        <v>1.7</v>
      </c>
      <c r="L3096">
        <v>1.7</v>
      </c>
      <c r="M3096">
        <v>401</v>
      </c>
      <c r="N3096" t="str">
        <f t="shared" si="1528"/>
        <v>IOF/JUROS/DESP.FINANCEIRA</v>
      </c>
      <c r="O3096">
        <v>1.7</v>
      </c>
      <c r="R3096" t="str">
        <f t="shared" si="1518"/>
        <v>BANCO CORA (102)</v>
      </c>
      <c r="S3096">
        <v>1825</v>
      </c>
      <c r="T3096">
        <v>1380</v>
      </c>
      <c r="U3096" t="s">
        <v>19</v>
      </c>
    </row>
    <row r="3097" spans="1:21">
      <c r="A3097" t="str">
        <f t="shared" si="1520"/>
        <v>12/06/2025</v>
      </c>
      <c r="B3097" t="str">
        <f t="shared" si="1517"/>
        <v>SAÍDA</v>
      </c>
      <c r="C3097" t="str">
        <f t="shared" si="1524"/>
        <v>CONHECIMENTO</v>
      </c>
      <c r="D3097" t="str">
        <f t="shared" si="1525"/>
        <v>120625170</v>
      </c>
      <c r="E3097" t="str">
        <f t="shared" si="1516"/>
        <v>COM</v>
      </c>
      <c r="F3097" t="str">
        <f t="shared" si="1526"/>
        <v>CORA SOCIEDADE DE CREDITO, FINANCIAMENTO E INVESTIMENTO (20035)</v>
      </c>
      <c r="G3097" t="str">
        <f t="shared" si="1527"/>
        <v>TAXA BOLETO COMPENSADO</v>
      </c>
      <c r="H3097" t="str">
        <f t="shared" si="1521"/>
        <v>12/06/2025</v>
      </c>
      <c r="I3097" t="str">
        <f t="shared" si="1523"/>
        <v>12/06/2025</v>
      </c>
      <c r="J3097" t="str">
        <f t="shared" si="1522"/>
        <v>12/06/2025</v>
      </c>
      <c r="M3097">
        <v>401</v>
      </c>
      <c r="N3097" t="str">
        <f t="shared" si="1528"/>
        <v>IOF/JUROS/DESP.FINANCEIRA</v>
      </c>
      <c r="P3097">
        <v>1.7</v>
      </c>
      <c r="Q3097" t="str">
        <f>"CORA SOCIEDADE DE CREDITO, FINANCIAMENTO E INVESTIMENTO (20035)"</f>
        <v>CORA SOCIEDADE DE CREDITO, FINANCIAMENTO E INVESTIMENTO (20035)</v>
      </c>
      <c r="R3097" t="str">
        <f t="shared" si="1518"/>
        <v>BANCO CORA (102)</v>
      </c>
      <c r="S3097">
        <v>1825</v>
      </c>
      <c r="T3097">
        <v>1380</v>
      </c>
      <c r="U3097" t="s">
        <v>19</v>
      </c>
    </row>
    <row r="3098" spans="1:21">
      <c r="A3098" t="str">
        <f t="shared" si="1520"/>
        <v>12/06/2025</v>
      </c>
      <c r="B3098" t="str">
        <f t="shared" si="1517"/>
        <v>SAÍDA</v>
      </c>
      <c r="C3098" t="str">
        <f t="shared" si="1524"/>
        <v>CONHECIMENTO</v>
      </c>
      <c r="D3098" t="str">
        <f t="shared" si="1525"/>
        <v>120625170</v>
      </c>
      <c r="E3098" t="str">
        <f t="shared" si="1516"/>
        <v>COM</v>
      </c>
      <c r="F3098" t="str">
        <f t="shared" si="1526"/>
        <v>CORA SOCIEDADE DE CREDITO, FINANCIAMENTO E INVESTIMENTO (20035)</v>
      </c>
      <c r="G3098" t="str">
        <f t="shared" si="1527"/>
        <v>TAXA BOLETO COMPENSADO</v>
      </c>
      <c r="H3098" t="str">
        <f t="shared" si="1521"/>
        <v>12/06/2025</v>
      </c>
      <c r="I3098" t="str">
        <f t="shared" si="1523"/>
        <v>12/06/2025</v>
      </c>
      <c r="J3098" t="str">
        <f t="shared" si="1522"/>
        <v>12/06/2025</v>
      </c>
      <c r="K3098">
        <v>1.7</v>
      </c>
      <c r="L3098">
        <v>1.7</v>
      </c>
      <c r="M3098">
        <v>401</v>
      </c>
      <c r="N3098" t="str">
        <f t="shared" si="1528"/>
        <v>IOF/JUROS/DESP.FINANCEIRA</v>
      </c>
      <c r="O3098">
        <v>1.7</v>
      </c>
      <c r="R3098" t="str">
        <f t="shared" si="1518"/>
        <v>BANCO CORA (102)</v>
      </c>
      <c r="S3098">
        <v>1826</v>
      </c>
      <c r="T3098">
        <v>1381</v>
      </c>
      <c r="U3098" t="s">
        <v>19</v>
      </c>
    </row>
    <row r="3099" spans="1:21">
      <c r="A3099" t="str">
        <f t="shared" si="1520"/>
        <v>12/06/2025</v>
      </c>
      <c r="B3099" t="str">
        <f t="shared" si="1517"/>
        <v>SAÍDA</v>
      </c>
      <c r="C3099" t="str">
        <f t="shared" si="1524"/>
        <v>CONHECIMENTO</v>
      </c>
      <c r="D3099" t="str">
        <f t="shared" si="1525"/>
        <v>120625170</v>
      </c>
      <c r="E3099" t="str">
        <f t="shared" si="1516"/>
        <v>COM</v>
      </c>
      <c r="F3099" t="str">
        <f t="shared" si="1526"/>
        <v>CORA SOCIEDADE DE CREDITO, FINANCIAMENTO E INVESTIMENTO (20035)</v>
      </c>
      <c r="G3099" t="str">
        <f t="shared" si="1527"/>
        <v>TAXA BOLETO COMPENSADO</v>
      </c>
      <c r="H3099" t="str">
        <f t="shared" si="1521"/>
        <v>12/06/2025</v>
      </c>
      <c r="I3099" t="str">
        <f t="shared" si="1523"/>
        <v>12/06/2025</v>
      </c>
      <c r="J3099" t="str">
        <f t="shared" si="1522"/>
        <v>12/06/2025</v>
      </c>
      <c r="M3099">
        <v>401</v>
      </c>
      <c r="N3099" t="str">
        <f t="shared" si="1528"/>
        <v>IOF/JUROS/DESP.FINANCEIRA</v>
      </c>
      <c r="P3099">
        <v>1.7</v>
      </c>
      <c r="Q3099" t="str">
        <f>"CORA SOCIEDADE DE CREDITO, FINANCIAMENTO E INVESTIMENTO (20035)"</f>
        <v>CORA SOCIEDADE DE CREDITO, FINANCIAMENTO E INVESTIMENTO (20035)</v>
      </c>
      <c r="R3099" t="str">
        <f t="shared" si="1518"/>
        <v>BANCO CORA (102)</v>
      </c>
      <c r="S3099">
        <v>1826</v>
      </c>
      <c r="T3099">
        <v>1381</v>
      </c>
      <c r="U3099" t="s">
        <v>19</v>
      </c>
    </row>
    <row r="3100" spans="1:21">
      <c r="A3100" t="str">
        <f t="shared" ref="A3100:A3134" si="1529">("12/06/2025")</f>
        <v>12/06/2025</v>
      </c>
      <c r="B3100" t="str">
        <f t="shared" si="1517"/>
        <v>SAÍDA</v>
      </c>
      <c r="C3100" t="str">
        <f t="shared" si="1524"/>
        <v>CONHECIMENTO</v>
      </c>
      <c r="D3100" t="str">
        <f t="shared" si="1525"/>
        <v>120625170</v>
      </c>
      <c r="E3100" t="str">
        <f t="shared" si="1516"/>
        <v>COM</v>
      </c>
      <c r="F3100" t="str">
        <f t="shared" si="1526"/>
        <v>CORA SOCIEDADE DE CREDITO, FINANCIAMENTO E INVESTIMENTO (20035)</v>
      </c>
      <c r="G3100" t="str">
        <f t="shared" si="1527"/>
        <v>TAXA BOLETO COMPENSADO</v>
      </c>
      <c r="H3100" t="str">
        <f t="shared" si="1521"/>
        <v>12/06/2025</v>
      </c>
      <c r="I3100" t="str">
        <f t="shared" si="1523"/>
        <v>12/06/2025</v>
      </c>
      <c r="J3100" t="str">
        <f t="shared" ref="J3100:J3134" si="1530">("12/06/2025")</f>
        <v>12/06/2025</v>
      </c>
      <c r="K3100">
        <v>1.7</v>
      </c>
      <c r="L3100">
        <v>1.7</v>
      </c>
      <c r="M3100">
        <v>401</v>
      </c>
      <c r="N3100" t="str">
        <f t="shared" si="1528"/>
        <v>IOF/JUROS/DESP.FINANCEIRA</v>
      </c>
      <c r="O3100">
        <v>1.7</v>
      </c>
      <c r="R3100" t="str">
        <f t="shared" si="1518"/>
        <v>BANCO CORA (102)</v>
      </c>
      <c r="S3100">
        <v>1827</v>
      </c>
      <c r="T3100">
        <v>1382</v>
      </c>
      <c r="U3100" t="s">
        <v>19</v>
      </c>
    </row>
    <row r="3101" spans="1:21">
      <c r="A3101" t="str">
        <f t="shared" si="1529"/>
        <v>12/06/2025</v>
      </c>
      <c r="B3101" t="str">
        <f t="shared" si="1517"/>
        <v>SAÍDA</v>
      </c>
      <c r="C3101" t="str">
        <f t="shared" si="1524"/>
        <v>CONHECIMENTO</v>
      </c>
      <c r="D3101" t="str">
        <f t="shared" si="1525"/>
        <v>120625170</v>
      </c>
      <c r="E3101" t="str">
        <f t="shared" si="1516"/>
        <v>COM</v>
      </c>
      <c r="F3101" t="str">
        <f t="shared" si="1526"/>
        <v>CORA SOCIEDADE DE CREDITO, FINANCIAMENTO E INVESTIMENTO (20035)</v>
      </c>
      <c r="G3101" t="str">
        <f t="shared" si="1527"/>
        <v>TAXA BOLETO COMPENSADO</v>
      </c>
      <c r="H3101" t="str">
        <f t="shared" si="1521"/>
        <v>12/06/2025</v>
      </c>
      <c r="I3101" t="str">
        <f t="shared" si="1523"/>
        <v>12/06/2025</v>
      </c>
      <c r="J3101" t="str">
        <f t="shared" si="1530"/>
        <v>12/06/2025</v>
      </c>
      <c r="M3101">
        <v>401</v>
      </c>
      <c r="N3101" t="str">
        <f t="shared" si="1528"/>
        <v>IOF/JUROS/DESP.FINANCEIRA</v>
      </c>
      <c r="P3101">
        <v>1.7</v>
      </c>
      <c r="Q3101" t="str">
        <f>"CORA SOCIEDADE DE CREDITO, FINANCIAMENTO E INVESTIMENTO (20035)"</f>
        <v>CORA SOCIEDADE DE CREDITO, FINANCIAMENTO E INVESTIMENTO (20035)</v>
      </c>
      <c r="R3101" t="str">
        <f t="shared" si="1518"/>
        <v>BANCO CORA (102)</v>
      </c>
      <c r="S3101">
        <v>1827</v>
      </c>
      <c r="T3101">
        <v>1382</v>
      </c>
      <c r="U3101" t="s">
        <v>19</v>
      </c>
    </row>
    <row r="3102" spans="1:21">
      <c r="A3102" t="str">
        <f t="shared" si="1529"/>
        <v>12/06/2025</v>
      </c>
      <c r="B3102" t="str">
        <f t="shared" si="1517"/>
        <v>SAÍDA</v>
      </c>
      <c r="C3102" t="str">
        <f t="shared" si="1524"/>
        <v>CONHECIMENTO</v>
      </c>
      <c r="D3102" t="str">
        <f t="shared" si="1525"/>
        <v>120625170</v>
      </c>
      <c r="E3102" t="str">
        <f t="shared" si="1516"/>
        <v>COM</v>
      </c>
      <c r="F3102" t="str">
        <f t="shared" si="1526"/>
        <v>CORA SOCIEDADE DE CREDITO, FINANCIAMENTO E INVESTIMENTO (20035)</v>
      </c>
      <c r="G3102" t="str">
        <f t="shared" si="1527"/>
        <v>TAXA BOLETO COMPENSADO</v>
      </c>
      <c r="H3102" t="str">
        <f t="shared" si="1521"/>
        <v>12/06/2025</v>
      </c>
      <c r="I3102" t="str">
        <f t="shared" si="1523"/>
        <v>12/06/2025</v>
      </c>
      <c r="J3102" t="str">
        <f t="shared" si="1530"/>
        <v>12/06/2025</v>
      </c>
      <c r="K3102">
        <v>1.7</v>
      </c>
      <c r="L3102">
        <v>1.7</v>
      </c>
      <c r="M3102">
        <v>401</v>
      </c>
      <c r="N3102" t="str">
        <f t="shared" si="1528"/>
        <v>IOF/JUROS/DESP.FINANCEIRA</v>
      </c>
      <c r="O3102">
        <v>1.7</v>
      </c>
      <c r="R3102" t="str">
        <f t="shared" si="1518"/>
        <v>BANCO CORA (102)</v>
      </c>
      <c r="S3102">
        <v>1828</v>
      </c>
      <c r="T3102">
        <v>1383</v>
      </c>
      <c r="U3102" t="s">
        <v>19</v>
      </c>
    </row>
    <row r="3103" spans="1:21">
      <c r="A3103" t="str">
        <f t="shared" si="1529"/>
        <v>12/06/2025</v>
      </c>
      <c r="B3103" t="str">
        <f t="shared" si="1517"/>
        <v>SAÍDA</v>
      </c>
      <c r="C3103" t="str">
        <f t="shared" si="1524"/>
        <v>CONHECIMENTO</v>
      </c>
      <c r="D3103" t="str">
        <f t="shared" si="1525"/>
        <v>120625170</v>
      </c>
      <c r="E3103" t="str">
        <f t="shared" si="1516"/>
        <v>COM</v>
      </c>
      <c r="F3103" t="str">
        <f t="shared" si="1526"/>
        <v>CORA SOCIEDADE DE CREDITO, FINANCIAMENTO E INVESTIMENTO (20035)</v>
      </c>
      <c r="G3103" t="str">
        <f t="shared" si="1527"/>
        <v>TAXA BOLETO COMPENSADO</v>
      </c>
      <c r="H3103" t="str">
        <f t="shared" si="1521"/>
        <v>12/06/2025</v>
      </c>
      <c r="I3103" t="str">
        <f t="shared" si="1523"/>
        <v>12/06/2025</v>
      </c>
      <c r="J3103" t="str">
        <f t="shared" si="1530"/>
        <v>12/06/2025</v>
      </c>
      <c r="M3103">
        <v>401</v>
      </c>
      <c r="N3103" t="str">
        <f t="shared" si="1528"/>
        <v>IOF/JUROS/DESP.FINANCEIRA</v>
      </c>
      <c r="P3103">
        <v>1.7</v>
      </c>
      <c r="Q3103" t="str">
        <f>"CORA SOCIEDADE DE CREDITO, FINANCIAMENTO E INVESTIMENTO (20035)"</f>
        <v>CORA SOCIEDADE DE CREDITO, FINANCIAMENTO E INVESTIMENTO (20035)</v>
      </c>
      <c r="R3103" t="str">
        <f t="shared" si="1518"/>
        <v>BANCO CORA (102)</v>
      </c>
      <c r="S3103">
        <v>1828</v>
      </c>
      <c r="T3103">
        <v>1383</v>
      </c>
      <c r="U3103" t="s">
        <v>19</v>
      </c>
    </row>
    <row r="3104" spans="1:21">
      <c r="A3104" t="str">
        <f t="shared" si="1529"/>
        <v>12/06/2025</v>
      </c>
      <c r="B3104" t="str">
        <f>"ENTRADA"</f>
        <v>ENTRADA</v>
      </c>
      <c r="C3104" t="str">
        <f t="shared" ref="C3104:C3134" si="1531">"NFSE"</f>
        <v>NFSE</v>
      </c>
      <c r="D3104" t="str">
        <f>"3071"</f>
        <v>3071</v>
      </c>
      <c r="E3104" t="str">
        <f t="shared" si="1516"/>
        <v>COM</v>
      </c>
      <c r="F3104" t="str">
        <f>"AC FARMA - CID.ALTA (10166)"</f>
        <v>AC FARMA - CID.ALTA (10166)</v>
      </c>
      <c r="G3104" t="str">
        <f>"Serv.Prest. 26/05/2025 a 01/06/2025 - RPS: 840 - NFSe: 3071"</f>
        <v>Serv.Prest. 26/05/2025 a 01/06/2025 - RPS: 840 - NFSe: 3071</v>
      </c>
      <c r="H3104" t="str">
        <f t="shared" ref="H3104:H3134" si="1532">("11/06/2025")</f>
        <v>11/06/2025</v>
      </c>
      <c r="I3104" t="str">
        <f>("06/06/2025")</f>
        <v>06/06/2025</v>
      </c>
      <c r="J3104" t="str">
        <f t="shared" si="1530"/>
        <v>12/06/2025</v>
      </c>
      <c r="K3104">
        <v>1169.28</v>
      </c>
      <c r="L3104">
        <v>1169.28</v>
      </c>
      <c r="M3104">
        <v>303</v>
      </c>
      <c r="N3104" t="str">
        <f t="shared" ref="N3104:N3134" si="1533">"RECEITAS COM ENTREGAS"</f>
        <v>RECEITAS COM ENTREGAS</v>
      </c>
      <c r="O3104">
        <v>1169.28</v>
      </c>
      <c r="R3104" t="str">
        <f t="shared" ref="R3104:R3134" si="1534">"RECEITAS COM ENTREGAS (303)"</f>
        <v>RECEITAS COM ENTREGAS (303)</v>
      </c>
      <c r="S3104">
        <v>1844</v>
      </c>
      <c r="T3104">
        <v>1312</v>
      </c>
      <c r="U3104" t="s">
        <v>19</v>
      </c>
    </row>
    <row r="3105" spans="1:21">
      <c r="A3105" t="str">
        <f t="shared" si="1529"/>
        <v>12/06/2025</v>
      </c>
      <c r="B3105" t="str">
        <f t="shared" ref="B3105:B3134" si="1535">"ENTRADA"</f>
        <v>ENTRADA</v>
      </c>
      <c r="C3105" t="str">
        <f t="shared" si="1531"/>
        <v>NFSE</v>
      </c>
      <c r="D3105" t="str">
        <f>"3071"</f>
        <v>3071</v>
      </c>
      <c r="E3105" t="str">
        <f t="shared" si="1516"/>
        <v>COM</v>
      </c>
      <c r="F3105" t="str">
        <f>"AC FARMA - CID.ALTA (10166)"</f>
        <v>AC FARMA - CID.ALTA (10166)</v>
      </c>
      <c r="G3105" t="str">
        <f>"Serv.Prest. 26/05/2025 a 01/06/2025 - RPS: 840 - NFSe: 3071"</f>
        <v>Serv.Prest. 26/05/2025 a 01/06/2025 - RPS: 840 - NFSe: 3071</v>
      </c>
      <c r="H3105" t="str">
        <f t="shared" si="1532"/>
        <v>11/06/2025</v>
      </c>
      <c r="I3105" t="str">
        <f>("06/06/2025")</f>
        <v>06/06/2025</v>
      </c>
      <c r="J3105" t="str">
        <f t="shared" si="1530"/>
        <v>12/06/2025</v>
      </c>
      <c r="M3105">
        <v>303</v>
      </c>
      <c r="N3105" t="str">
        <f t="shared" si="1533"/>
        <v>RECEITAS COM ENTREGAS</v>
      </c>
      <c r="P3105">
        <v>1169.28</v>
      </c>
      <c r="Q3105" t="str">
        <f>"AC FARMA - CID.ALTA (10166)"</f>
        <v>AC FARMA - CID.ALTA (10166)</v>
      </c>
      <c r="R3105" t="str">
        <f t="shared" si="1534"/>
        <v>RECEITAS COM ENTREGAS (303)</v>
      </c>
      <c r="S3105">
        <v>1844</v>
      </c>
      <c r="T3105">
        <v>1312</v>
      </c>
      <c r="U3105" t="s">
        <v>19</v>
      </c>
    </row>
    <row r="3106" spans="1:21">
      <c r="A3106" t="str">
        <f t="shared" si="1529"/>
        <v>12/06/2025</v>
      </c>
      <c r="B3106" t="str">
        <f t="shared" si="1535"/>
        <v>ENTRADA</v>
      </c>
      <c r="C3106" t="str">
        <f t="shared" si="1531"/>
        <v>NFSE</v>
      </c>
      <c r="D3106" t="str">
        <f>"3072"</f>
        <v>3072</v>
      </c>
      <c r="E3106" t="str">
        <f t="shared" si="1516"/>
        <v>COM</v>
      </c>
      <c r="F3106" t="str">
        <f>"AC FARMA - FLEMINFARMA (10160)"</f>
        <v>AC FARMA - FLEMINFARMA (10160)</v>
      </c>
      <c r="G3106" t="str">
        <f>"Serv.Prest. 26/05/2025 a 01/06/2025 - RPS: 841 - NFSe: 3072"</f>
        <v>Serv.Prest. 26/05/2025 a 01/06/2025 - RPS: 841 - NFSe: 3072</v>
      </c>
      <c r="H3106" t="str">
        <f t="shared" si="1532"/>
        <v>11/06/2025</v>
      </c>
      <c r="I3106" t="str">
        <f>("06/06/2025")</f>
        <v>06/06/2025</v>
      </c>
      <c r="J3106" t="str">
        <f t="shared" si="1530"/>
        <v>12/06/2025</v>
      </c>
      <c r="K3106">
        <v>267.26</v>
      </c>
      <c r="L3106">
        <v>267.26</v>
      </c>
      <c r="M3106">
        <v>303</v>
      </c>
      <c r="N3106" t="str">
        <f t="shared" si="1533"/>
        <v>RECEITAS COM ENTREGAS</v>
      </c>
      <c r="O3106">
        <v>267.26</v>
      </c>
      <c r="R3106" t="str">
        <f t="shared" si="1534"/>
        <v>RECEITAS COM ENTREGAS (303)</v>
      </c>
      <c r="S3106">
        <v>1845</v>
      </c>
      <c r="T3106">
        <v>1313</v>
      </c>
      <c r="U3106" t="s">
        <v>19</v>
      </c>
    </row>
    <row r="3107" spans="1:21">
      <c r="A3107" t="str">
        <f t="shared" si="1529"/>
        <v>12/06/2025</v>
      </c>
      <c r="B3107" t="str">
        <f t="shared" si="1535"/>
        <v>ENTRADA</v>
      </c>
      <c r="C3107" t="str">
        <f t="shared" si="1531"/>
        <v>NFSE</v>
      </c>
      <c r="D3107" t="str">
        <f>"3072"</f>
        <v>3072</v>
      </c>
      <c r="E3107" t="str">
        <f t="shared" si="1516"/>
        <v>COM</v>
      </c>
      <c r="F3107" t="str">
        <f>"AC FARMA - FLEMINFARMA (10160)"</f>
        <v>AC FARMA - FLEMINFARMA (10160)</v>
      </c>
      <c r="G3107" t="str">
        <f>"Serv.Prest. 26/05/2025 a 01/06/2025 - RPS: 841 - NFSe: 3072"</f>
        <v>Serv.Prest. 26/05/2025 a 01/06/2025 - RPS: 841 - NFSe: 3072</v>
      </c>
      <c r="H3107" t="str">
        <f t="shared" si="1532"/>
        <v>11/06/2025</v>
      </c>
      <c r="I3107" t="str">
        <f>("06/06/2025")</f>
        <v>06/06/2025</v>
      </c>
      <c r="J3107" t="str">
        <f t="shared" si="1530"/>
        <v>12/06/2025</v>
      </c>
      <c r="M3107">
        <v>303</v>
      </c>
      <c r="N3107" t="str">
        <f t="shared" si="1533"/>
        <v>RECEITAS COM ENTREGAS</v>
      </c>
      <c r="P3107">
        <v>265.87</v>
      </c>
      <c r="Q3107" t="str">
        <f>"FARMACIA E PERFUMARIA CIDADE ALTA LTDA (10159)"</f>
        <v>FARMACIA E PERFUMARIA CIDADE ALTA LTDA (10159)</v>
      </c>
      <c r="R3107" t="str">
        <f t="shared" si="1534"/>
        <v>RECEITAS COM ENTREGAS (303)</v>
      </c>
      <c r="S3107">
        <v>1845</v>
      </c>
      <c r="T3107">
        <v>1313</v>
      </c>
      <c r="U3107" t="s">
        <v>19</v>
      </c>
    </row>
    <row r="3108" spans="1:21">
      <c r="A3108" t="str">
        <f t="shared" si="1529"/>
        <v>12/06/2025</v>
      </c>
      <c r="B3108" t="str">
        <f t="shared" si="1535"/>
        <v>ENTRADA</v>
      </c>
      <c r="C3108" t="str">
        <f t="shared" si="1531"/>
        <v>NFSE</v>
      </c>
      <c r="D3108" t="str">
        <f>"3072"</f>
        <v>3072</v>
      </c>
      <c r="E3108" t="str">
        <f t="shared" si="1516"/>
        <v>COM</v>
      </c>
      <c r="F3108" t="str">
        <f>"AC FARMA - FLEMINFARMA (10160)"</f>
        <v>AC FARMA - FLEMINFARMA (10160)</v>
      </c>
      <c r="G3108" t="str">
        <f>"Serv.Prest. 26/05/2025 a 01/06/2025 - RPS: 841 - NFSe: 3072"</f>
        <v>Serv.Prest. 26/05/2025 a 01/06/2025 - RPS: 841 - NFSe: 3072</v>
      </c>
      <c r="H3108" t="str">
        <f t="shared" si="1532"/>
        <v>11/06/2025</v>
      </c>
      <c r="I3108" t="str">
        <f>("06/06/2025")</f>
        <v>06/06/2025</v>
      </c>
      <c r="J3108" t="str">
        <f t="shared" si="1530"/>
        <v>12/06/2025</v>
      </c>
      <c r="M3108">
        <v>303</v>
      </c>
      <c r="N3108" t="str">
        <f t="shared" si="1533"/>
        <v>RECEITAS COM ENTREGAS</v>
      </c>
      <c r="P3108">
        <v>1.39</v>
      </c>
      <c r="Q3108" t="str">
        <f>"AC FARMA - FLEMINFARMA (10160)"</f>
        <v>AC FARMA - FLEMINFARMA (10160)</v>
      </c>
      <c r="R3108" t="str">
        <f t="shared" si="1534"/>
        <v>RECEITAS COM ENTREGAS (303)</v>
      </c>
      <c r="S3108">
        <v>1845</v>
      </c>
      <c r="T3108">
        <v>1313</v>
      </c>
      <c r="U3108" t="s">
        <v>19</v>
      </c>
    </row>
    <row r="3109" spans="1:21">
      <c r="A3109" t="str">
        <f t="shared" si="1529"/>
        <v>12/06/2025</v>
      </c>
      <c r="B3109" t="str">
        <f t="shared" si="1535"/>
        <v>ENTRADA</v>
      </c>
      <c r="C3109" t="str">
        <f t="shared" si="1531"/>
        <v>NFSE</v>
      </c>
      <c r="D3109" t="str">
        <f>"3074"</f>
        <v>3074</v>
      </c>
      <c r="E3109" t="str">
        <f t="shared" si="1516"/>
        <v>COM</v>
      </c>
      <c r="F3109" t="str">
        <f>"ITUFARMA (10178)"</f>
        <v>ITUFARMA (10178)</v>
      </c>
      <c r="G3109" t="str">
        <f>"Serv.Prest. 02/06/2025 a 08/06/2025 - RPS: 843 - NFSe: 3074"</f>
        <v>Serv.Prest. 02/06/2025 a 08/06/2025 - RPS: 843 - NFSe: 3074</v>
      </c>
      <c r="H3109" t="str">
        <f t="shared" si="1532"/>
        <v>11/06/2025</v>
      </c>
      <c r="I3109" t="str">
        <f t="shared" ref="I3109:I3120" si="1536">("09/06/2025")</f>
        <v>09/06/2025</v>
      </c>
      <c r="J3109" t="str">
        <f t="shared" si="1530"/>
        <v>12/06/2025</v>
      </c>
      <c r="K3109">
        <v>450.98</v>
      </c>
      <c r="L3109">
        <v>450.98</v>
      </c>
      <c r="M3109">
        <v>303</v>
      </c>
      <c r="N3109" t="str">
        <f t="shared" si="1533"/>
        <v>RECEITAS COM ENTREGAS</v>
      </c>
      <c r="O3109">
        <v>450.98</v>
      </c>
      <c r="R3109" t="str">
        <f t="shared" si="1534"/>
        <v>RECEITAS COM ENTREGAS (303)</v>
      </c>
      <c r="S3109">
        <v>1846</v>
      </c>
      <c r="T3109">
        <v>1315</v>
      </c>
      <c r="U3109" t="s">
        <v>19</v>
      </c>
    </row>
    <row r="3110" spans="1:21">
      <c r="A3110" t="str">
        <f t="shared" si="1529"/>
        <v>12/06/2025</v>
      </c>
      <c r="B3110" t="str">
        <f t="shared" si="1535"/>
        <v>ENTRADA</v>
      </c>
      <c r="C3110" t="str">
        <f t="shared" si="1531"/>
        <v>NFSE</v>
      </c>
      <c r="D3110" t="str">
        <f>"3074"</f>
        <v>3074</v>
      </c>
      <c r="E3110" t="str">
        <f t="shared" si="1516"/>
        <v>COM</v>
      </c>
      <c r="F3110" t="str">
        <f>"ITUFARMA (10178)"</f>
        <v>ITUFARMA (10178)</v>
      </c>
      <c r="G3110" t="str">
        <f>"Serv.Prest. 02/06/2025 a 08/06/2025 - RPS: 843 - NFSe: 3074"</f>
        <v>Serv.Prest. 02/06/2025 a 08/06/2025 - RPS: 843 - NFSe: 3074</v>
      </c>
      <c r="H3110" t="str">
        <f t="shared" si="1532"/>
        <v>11/06/2025</v>
      </c>
      <c r="I3110" t="str">
        <f t="shared" si="1536"/>
        <v>09/06/2025</v>
      </c>
      <c r="J3110" t="str">
        <f t="shared" si="1530"/>
        <v>12/06/2025</v>
      </c>
      <c r="M3110">
        <v>303</v>
      </c>
      <c r="N3110" t="str">
        <f t="shared" si="1533"/>
        <v>RECEITAS COM ENTREGAS</v>
      </c>
      <c r="P3110">
        <v>450.98</v>
      </c>
      <c r="Q3110" t="str">
        <f>"ITUFARMA (10178)"</f>
        <v>ITUFARMA (10178)</v>
      </c>
      <c r="R3110" t="str">
        <f t="shared" si="1534"/>
        <v>RECEITAS COM ENTREGAS (303)</v>
      </c>
      <c r="S3110">
        <v>1846</v>
      </c>
      <c r="T3110">
        <v>1315</v>
      </c>
      <c r="U3110" t="s">
        <v>19</v>
      </c>
    </row>
    <row r="3111" spans="1:21">
      <c r="A3111" t="str">
        <f t="shared" si="1529"/>
        <v>12/06/2025</v>
      </c>
      <c r="B3111" t="str">
        <f t="shared" si="1535"/>
        <v>ENTRADA</v>
      </c>
      <c r="C3111" t="str">
        <f t="shared" si="1531"/>
        <v>NFSE</v>
      </c>
      <c r="D3111" t="str">
        <f>"3077"</f>
        <v>3077</v>
      </c>
      <c r="E3111" t="str">
        <f t="shared" si="1516"/>
        <v>COM</v>
      </c>
      <c r="F3111" t="str">
        <f>"BRASIL FARMA (10173)"</f>
        <v>BRASIL FARMA (10173)</v>
      </c>
      <c r="G3111" t="str">
        <f>"Serv.Prest. 02/06/2025 a 08/06/2025 - RPS: 846 - NFSe: 3077"</f>
        <v>Serv.Prest. 02/06/2025 a 08/06/2025 - RPS: 846 - NFSe: 3077</v>
      </c>
      <c r="H3111" t="str">
        <f t="shared" si="1532"/>
        <v>11/06/2025</v>
      </c>
      <c r="I3111" t="str">
        <f t="shared" si="1536"/>
        <v>09/06/2025</v>
      </c>
      <c r="J3111" t="str">
        <f t="shared" si="1530"/>
        <v>12/06/2025</v>
      </c>
      <c r="K3111">
        <v>320.95999999999998</v>
      </c>
      <c r="L3111">
        <v>320.95999999999998</v>
      </c>
      <c r="M3111">
        <v>303</v>
      </c>
      <c r="N3111" t="str">
        <f t="shared" si="1533"/>
        <v>RECEITAS COM ENTREGAS</v>
      </c>
      <c r="O3111">
        <v>320.95999999999998</v>
      </c>
      <c r="R3111" t="str">
        <f t="shared" si="1534"/>
        <v>RECEITAS COM ENTREGAS (303)</v>
      </c>
      <c r="S3111">
        <v>1847</v>
      </c>
      <c r="T3111">
        <v>1330</v>
      </c>
      <c r="U3111" t="s">
        <v>19</v>
      </c>
    </row>
    <row r="3112" spans="1:21">
      <c r="A3112" t="str">
        <f t="shared" si="1529"/>
        <v>12/06/2025</v>
      </c>
      <c r="B3112" t="str">
        <f t="shared" si="1535"/>
        <v>ENTRADA</v>
      </c>
      <c r="C3112" t="str">
        <f t="shared" si="1531"/>
        <v>NFSE</v>
      </c>
      <c r="D3112" t="str">
        <f>"3077"</f>
        <v>3077</v>
      </c>
      <c r="E3112" t="str">
        <f t="shared" si="1516"/>
        <v>COM</v>
      </c>
      <c r="F3112" t="str">
        <f>"BRASIL FARMA (10173)"</f>
        <v>BRASIL FARMA (10173)</v>
      </c>
      <c r="G3112" t="str">
        <f>"Serv.Prest. 02/06/2025 a 08/06/2025 - RPS: 846 - NFSe: 3077"</f>
        <v>Serv.Prest. 02/06/2025 a 08/06/2025 - RPS: 846 - NFSe: 3077</v>
      </c>
      <c r="H3112" t="str">
        <f t="shared" si="1532"/>
        <v>11/06/2025</v>
      </c>
      <c r="I3112" t="str">
        <f t="shared" si="1536"/>
        <v>09/06/2025</v>
      </c>
      <c r="J3112" t="str">
        <f t="shared" si="1530"/>
        <v>12/06/2025</v>
      </c>
      <c r="M3112">
        <v>303</v>
      </c>
      <c r="N3112" t="str">
        <f t="shared" si="1533"/>
        <v>RECEITAS COM ENTREGAS</v>
      </c>
      <c r="P3112">
        <v>320.95999999999998</v>
      </c>
      <c r="Q3112" t="str">
        <f>"BRASIL FARMA (10173)"</f>
        <v>BRASIL FARMA (10173)</v>
      </c>
      <c r="R3112" t="str">
        <f t="shared" si="1534"/>
        <v>RECEITAS COM ENTREGAS (303)</v>
      </c>
      <c r="S3112">
        <v>1847</v>
      </c>
      <c r="T3112">
        <v>1330</v>
      </c>
      <c r="U3112" t="s">
        <v>19</v>
      </c>
    </row>
    <row r="3113" spans="1:21">
      <c r="A3113" t="str">
        <f t="shared" si="1529"/>
        <v>12/06/2025</v>
      </c>
      <c r="B3113" t="str">
        <f t="shared" si="1535"/>
        <v>ENTRADA</v>
      </c>
      <c r="C3113" t="str">
        <f t="shared" si="1531"/>
        <v>NFSE</v>
      </c>
      <c r="D3113" t="str">
        <f>"3079"</f>
        <v>3079</v>
      </c>
      <c r="E3113" t="str">
        <f t="shared" si="1516"/>
        <v>COM</v>
      </c>
      <c r="F3113" t="str">
        <f>"DROGA ELIDA (10121)"</f>
        <v>DROGA ELIDA (10121)</v>
      </c>
      <c r="G3113" t="str">
        <f>"Serv.Prest. 02/06/2025 a 08/06/2025 - RPS: 848 - NFSe: 3079"</f>
        <v>Serv.Prest. 02/06/2025 a 08/06/2025 - RPS: 848 - NFSe: 3079</v>
      </c>
      <c r="H3113" t="str">
        <f t="shared" si="1532"/>
        <v>11/06/2025</v>
      </c>
      <c r="I3113" t="str">
        <f t="shared" si="1536"/>
        <v>09/06/2025</v>
      </c>
      <c r="J3113" t="str">
        <f t="shared" si="1530"/>
        <v>12/06/2025</v>
      </c>
      <c r="K3113">
        <v>350.4</v>
      </c>
      <c r="L3113">
        <v>350.4</v>
      </c>
      <c r="M3113">
        <v>303</v>
      </c>
      <c r="N3113" t="str">
        <f t="shared" si="1533"/>
        <v>RECEITAS COM ENTREGAS</v>
      </c>
      <c r="O3113">
        <v>350.4</v>
      </c>
      <c r="R3113" t="str">
        <f t="shared" si="1534"/>
        <v>RECEITAS COM ENTREGAS (303)</v>
      </c>
      <c r="S3113">
        <v>1848</v>
      </c>
      <c r="T3113">
        <v>1332</v>
      </c>
      <c r="U3113" t="s">
        <v>19</v>
      </c>
    </row>
    <row r="3114" spans="1:21">
      <c r="A3114" t="str">
        <f t="shared" si="1529"/>
        <v>12/06/2025</v>
      </c>
      <c r="B3114" t="str">
        <f t="shared" si="1535"/>
        <v>ENTRADA</v>
      </c>
      <c r="C3114" t="str">
        <f t="shared" si="1531"/>
        <v>NFSE</v>
      </c>
      <c r="D3114" t="str">
        <f>"3079"</f>
        <v>3079</v>
      </c>
      <c r="E3114" t="str">
        <f t="shared" si="1516"/>
        <v>COM</v>
      </c>
      <c r="F3114" t="str">
        <f>"DROGA ELIDA (10121)"</f>
        <v>DROGA ELIDA (10121)</v>
      </c>
      <c r="G3114" t="str">
        <f>"Serv.Prest. 02/06/2025 a 08/06/2025 - RPS: 848 - NFSe: 3079"</f>
        <v>Serv.Prest. 02/06/2025 a 08/06/2025 - RPS: 848 - NFSe: 3079</v>
      </c>
      <c r="H3114" t="str">
        <f t="shared" si="1532"/>
        <v>11/06/2025</v>
      </c>
      <c r="I3114" t="str">
        <f t="shared" si="1536"/>
        <v>09/06/2025</v>
      </c>
      <c r="J3114" t="str">
        <f t="shared" si="1530"/>
        <v>12/06/2025</v>
      </c>
      <c r="M3114">
        <v>303</v>
      </c>
      <c r="N3114" t="str">
        <f t="shared" si="1533"/>
        <v>RECEITAS COM ENTREGAS</v>
      </c>
      <c r="P3114">
        <v>350.4</v>
      </c>
      <c r="Q3114" t="str">
        <f>"DROGA ELIDA (10121)"</f>
        <v>DROGA ELIDA (10121)</v>
      </c>
      <c r="R3114" t="str">
        <f t="shared" si="1534"/>
        <v>RECEITAS COM ENTREGAS (303)</v>
      </c>
      <c r="S3114">
        <v>1848</v>
      </c>
      <c r="T3114">
        <v>1332</v>
      </c>
      <c r="U3114" t="s">
        <v>19</v>
      </c>
    </row>
    <row r="3115" spans="1:21">
      <c r="A3115" t="str">
        <f t="shared" si="1529"/>
        <v>12/06/2025</v>
      </c>
      <c r="B3115" t="str">
        <f t="shared" si="1535"/>
        <v>ENTRADA</v>
      </c>
      <c r="C3115" t="str">
        <f t="shared" si="1531"/>
        <v>NFSE</v>
      </c>
      <c r="D3115" t="str">
        <f>"3082"</f>
        <v>3082</v>
      </c>
      <c r="E3115" t="str">
        <f t="shared" si="1516"/>
        <v>COM</v>
      </c>
      <c r="F3115" t="str">
        <f>"ENTREFARMA (10164)"</f>
        <v>ENTREFARMA (10164)</v>
      </c>
      <c r="G3115" t="str">
        <f>"Serv.Prest. 02/06/2025 a 08/06/2025 - RPS: 851 - NFSe: 3082"</f>
        <v>Serv.Prest. 02/06/2025 a 08/06/2025 - RPS: 851 - NFSe: 3082</v>
      </c>
      <c r="H3115" t="str">
        <f t="shared" si="1532"/>
        <v>11/06/2025</v>
      </c>
      <c r="I3115" t="str">
        <f t="shared" si="1536"/>
        <v>09/06/2025</v>
      </c>
      <c r="J3115" t="str">
        <f t="shared" si="1530"/>
        <v>12/06/2025</v>
      </c>
      <c r="K3115">
        <v>1124.72</v>
      </c>
      <c r="L3115">
        <v>1124.72</v>
      </c>
      <c r="M3115">
        <v>303</v>
      </c>
      <c r="N3115" t="str">
        <f t="shared" si="1533"/>
        <v>RECEITAS COM ENTREGAS</v>
      </c>
      <c r="O3115">
        <v>1124.72</v>
      </c>
      <c r="R3115" t="str">
        <f t="shared" si="1534"/>
        <v>RECEITAS COM ENTREGAS (303)</v>
      </c>
      <c r="S3115">
        <v>1849</v>
      </c>
      <c r="T3115">
        <v>1335</v>
      </c>
      <c r="U3115" t="s">
        <v>19</v>
      </c>
    </row>
    <row r="3116" spans="1:21">
      <c r="A3116" t="str">
        <f t="shared" si="1529"/>
        <v>12/06/2025</v>
      </c>
      <c r="B3116" t="str">
        <f t="shared" si="1535"/>
        <v>ENTRADA</v>
      </c>
      <c r="C3116" t="str">
        <f t="shared" si="1531"/>
        <v>NFSE</v>
      </c>
      <c r="D3116" t="str">
        <f>"3082"</f>
        <v>3082</v>
      </c>
      <c r="E3116" t="str">
        <f t="shared" si="1516"/>
        <v>COM</v>
      </c>
      <c r="F3116" t="str">
        <f>"ENTREFARMA (10164)"</f>
        <v>ENTREFARMA (10164)</v>
      </c>
      <c r="G3116" t="str">
        <f>"Serv.Prest. 02/06/2025 a 08/06/2025 - RPS: 851 - NFSe: 3082"</f>
        <v>Serv.Prest. 02/06/2025 a 08/06/2025 - RPS: 851 - NFSe: 3082</v>
      </c>
      <c r="H3116" t="str">
        <f t="shared" si="1532"/>
        <v>11/06/2025</v>
      </c>
      <c r="I3116" t="str">
        <f t="shared" si="1536"/>
        <v>09/06/2025</v>
      </c>
      <c r="J3116" t="str">
        <f t="shared" si="1530"/>
        <v>12/06/2025</v>
      </c>
      <c r="M3116">
        <v>303</v>
      </c>
      <c r="N3116" t="str">
        <f t="shared" si="1533"/>
        <v>RECEITAS COM ENTREGAS</v>
      </c>
      <c r="P3116">
        <v>1124.72</v>
      </c>
      <c r="Q3116" t="str">
        <f>"ENTREFARMA (10164)"</f>
        <v>ENTREFARMA (10164)</v>
      </c>
      <c r="R3116" t="str">
        <f t="shared" si="1534"/>
        <v>RECEITAS COM ENTREGAS (303)</v>
      </c>
      <c r="S3116">
        <v>1849</v>
      </c>
      <c r="T3116">
        <v>1335</v>
      </c>
      <c r="U3116" t="s">
        <v>19</v>
      </c>
    </row>
    <row r="3117" spans="1:21">
      <c r="A3117" t="str">
        <f t="shared" si="1529"/>
        <v>12/06/2025</v>
      </c>
      <c r="B3117" t="str">
        <f t="shared" si="1535"/>
        <v>ENTRADA</v>
      </c>
      <c r="C3117" t="str">
        <f t="shared" si="1531"/>
        <v>NFSE</v>
      </c>
      <c r="D3117" t="str">
        <f>"3083"</f>
        <v>3083</v>
      </c>
      <c r="E3117" t="str">
        <f t="shared" si="1516"/>
        <v>COM</v>
      </c>
      <c r="F3117" t="str">
        <f>"ROSA MARIA LTDA (10165)"</f>
        <v>ROSA MARIA LTDA (10165)</v>
      </c>
      <c r="G3117" t="str">
        <f>"Serv.Prest. 02/06/2025 a 08/06/2025 - RPS: 852 - NFSe: 3083"</f>
        <v>Serv.Prest. 02/06/2025 a 08/06/2025 - RPS: 852 - NFSe: 3083</v>
      </c>
      <c r="H3117" t="str">
        <f t="shared" si="1532"/>
        <v>11/06/2025</v>
      </c>
      <c r="I3117" t="str">
        <f t="shared" si="1536"/>
        <v>09/06/2025</v>
      </c>
      <c r="J3117" t="str">
        <f t="shared" si="1530"/>
        <v>12/06/2025</v>
      </c>
      <c r="K3117">
        <v>216.24</v>
      </c>
      <c r="L3117">
        <v>216.24</v>
      </c>
      <c r="M3117">
        <v>303</v>
      </c>
      <c r="N3117" t="str">
        <f t="shared" si="1533"/>
        <v>RECEITAS COM ENTREGAS</v>
      </c>
      <c r="O3117">
        <v>216.24</v>
      </c>
      <c r="R3117" t="str">
        <f t="shared" si="1534"/>
        <v>RECEITAS COM ENTREGAS (303)</v>
      </c>
      <c r="S3117">
        <v>1850</v>
      </c>
      <c r="T3117">
        <v>1336</v>
      </c>
      <c r="U3117" t="s">
        <v>19</v>
      </c>
    </row>
    <row r="3118" spans="1:21">
      <c r="A3118" t="str">
        <f t="shared" si="1529"/>
        <v>12/06/2025</v>
      </c>
      <c r="B3118" t="str">
        <f t="shared" si="1535"/>
        <v>ENTRADA</v>
      </c>
      <c r="C3118" t="str">
        <f t="shared" si="1531"/>
        <v>NFSE</v>
      </c>
      <c r="D3118" t="str">
        <f>"3083"</f>
        <v>3083</v>
      </c>
      <c r="E3118" t="str">
        <f t="shared" si="1516"/>
        <v>COM</v>
      </c>
      <c r="F3118" t="str">
        <f>"ROSA MARIA LTDA (10165)"</f>
        <v>ROSA MARIA LTDA (10165)</v>
      </c>
      <c r="G3118" t="str">
        <f>"Serv.Prest. 02/06/2025 a 08/06/2025 - RPS: 852 - NFSe: 3083"</f>
        <v>Serv.Prest. 02/06/2025 a 08/06/2025 - RPS: 852 - NFSe: 3083</v>
      </c>
      <c r="H3118" t="str">
        <f t="shared" si="1532"/>
        <v>11/06/2025</v>
      </c>
      <c r="I3118" t="str">
        <f t="shared" si="1536"/>
        <v>09/06/2025</v>
      </c>
      <c r="J3118" t="str">
        <f t="shared" si="1530"/>
        <v>12/06/2025</v>
      </c>
      <c r="M3118">
        <v>303</v>
      </c>
      <c r="N3118" t="str">
        <f t="shared" si="1533"/>
        <v>RECEITAS COM ENTREGAS</v>
      </c>
      <c r="P3118">
        <v>216.24</v>
      </c>
      <c r="Q3118" t="str">
        <f>"ROSA MARIA LTDA (10170)"</f>
        <v>ROSA MARIA LTDA (10170)</v>
      </c>
      <c r="R3118" t="str">
        <f t="shared" si="1534"/>
        <v>RECEITAS COM ENTREGAS (303)</v>
      </c>
      <c r="S3118">
        <v>1850</v>
      </c>
      <c r="T3118">
        <v>1336</v>
      </c>
      <c r="U3118" t="s">
        <v>19</v>
      </c>
    </row>
    <row r="3119" spans="1:21">
      <c r="A3119" t="str">
        <f t="shared" si="1529"/>
        <v>12/06/2025</v>
      </c>
      <c r="B3119" t="str">
        <f t="shared" si="1535"/>
        <v>ENTRADA</v>
      </c>
      <c r="C3119" t="str">
        <f t="shared" si="1531"/>
        <v>NFSE</v>
      </c>
      <c r="D3119" t="str">
        <f>"3085"</f>
        <v>3085</v>
      </c>
      <c r="E3119" t="str">
        <f t="shared" ref="E3119:E3182" si="1537">"COM"</f>
        <v>COM</v>
      </c>
      <c r="F3119" t="str">
        <f>"FARMACIA ECONOMIZE (10103)"</f>
        <v>FARMACIA ECONOMIZE (10103)</v>
      </c>
      <c r="G3119" t="str">
        <f>"Serv.Prest. 02/06/2025 a 08/06/2025 - RPS: 854 - NFSe: 3085"</f>
        <v>Serv.Prest. 02/06/2025 a 08/06/2025 - RPS: 854 - NFSe: 3085</v>
      </c>
      <c r="H3119" t="str">
        <f t="shared" si="1532"/>
        <v>11/06/2025</v>
      </c>
      <c r="I3119" t="str">
        <f t="shared" si="1536"/>
        <v>09/06/2025</v>
      </c>
      <c r="J3119" t="str">
        <f t="shared" si="1530"/>
        <v>12/06/2025</v>
      </c>
      <c r="K3119">
        <v>27.68</v>
      </c>
      <c r="L3119">
        <v>27.68</v>
      </c>
      <c r="M3119">
        <v>303</v>
      </c>
      <c r="N3119" t="str">
        <f t="shared" si="1533"/>
        <v>RECEITAS COM ENTREGAS</v>
      </c>
      <c r="O3119">
        <v>27.68</v>
      </c>
      <c r="R3119" t="str">
        <f t="shared" si="1534"/>
        <v>RECEITAS COM ENTREGAS (303)</v>
      </c>
      <c r="S3119">
        <v>1851</v>
      </c>
      <c r="T3119">
        <v>1338</v>
      </c>
      <c r="U3119" t="s">
        <v>19</v>
      </c>
    </row>
    <row r="3120" spans="1:21">
      <c r="A3120" t="str">
        <f t="shared" si="1529"/>
        <v>12/06/2025</v>
      </c>
      <c r="B3120" t="str">
        <f t="shared" si="1535"/>
        <v>ENTRADA</v>
      </c>
      <c r="C3120" t="str">
        <f t="shared" si="1531"/>
        <v>NFSE</v>
      </c>
      <c r="D3120" t="str">
        <f>"3085"</f>
        <v>3085</v>
      </c>
      <c r="E3120" t="str">
        <f t="shared" si="1537"/>
        <v>COM</v>
      </c>
      <c r="F3120" t="str">
        <f>"FARMACIA ECONOMIZE (10103)"</f>
        <v>FARMACIA ECONOMIZE (10103)</v>
      </c>
      <c r="G3120" t="str">
        <f>"Serv.Prest. 02/06/2025 a 08/06/2025 - RPS: 854 - NFSe: 3085"</f>
        <v>Serv.Prest. 02/06/2025 a 08/06/2025 - RPS: 854 - NFSe: 3085</v>
      </c>
      <c r="H3120" t="str">
        <f t="shared" si="1532"/>
        <v>11/06/2025</v>
      </c>
      <c r="I3120" t="str">
        <f t="shared" si="1536"/>
        <v>09/06/2025</v>
      </c>
      <c r="J3120" t="str">
        <f t="shared" si="1530"/>
        <v>12/06/2025</v>
      </c>
      <c r="M3120">
        <v>303</v>
      </c>
      <c r="N3120" t="str">
        <f t="shared" si="1533"/>
        <v>RECEITAS COM ENTREGAS</v>
      </c>
      <c r="P3120">
        <v>27.68</v>
      </c>
      <c r="Q3120" t="str">
        <f>"FARMACIA ECONOMIZE (10103)"</f>
        <v>FARMACIA ECONOMIZE (10103)</v>
      </c>
      <c r="R3120" t="str">
        <f t="shared" si="1534"/>
        <v>RECEITAS COM ENTREGAS (303)</v>
      </c>
      <c r="S3120">
        <v>1851</v>
      </c>
      <c r="T3120">
        <v>1338</v>
      </c>
      <c r="U3120" t="s">
        <v>19</v>
      </c>
    </row>
    <row r="3121" spans="1:21">
      <c r="A3121" t="str">
        <f t="shared" si="1529"/>
        <v>12/06/2025</v>
      </c>
      <c r="B3121" t="str">
        <f t="shared" si="1535"/>
        <v>ENTRADA</v>
      </c>
      <c r="C3121" t="str">
        <f t="shared" si="1531"/>
        <v>NFSE</v>
      </c>
      <c r="D3121" t="str">
        <f>"3087"</f>
        <v>3087</v>
      </c>
      <c r="E3121" t="str">
        <f t="shared" si="1537"/>
        <v>COM</v>
      </c>
      <c r="F3121" t="str">
        <f>"DROGARIA MEDALHA (10163)"</f>
        <v>DROGARIA MEDALHA (10163)</v>
      </c>
      <c r="G3121" t="str">
        <f>"Serv.Prest. 02/06/2025 a 08/06/2025 - RPS: 856 - NFSe: 3087"</f>
        <v>Serv.Prest. 02/06/2025 a 08/06/2025 - RPS: 856 - NFSe: 3087</v>
      </c>
      <c r="H3121" t="str">
        <f t="shared" si="1532"/>
        <v>11/06/2025</v>
      </c>
      <c r="I3121" t="str">
        <f t="shared" ref="I3121:I3134" si="1538">("10/06/2025")</f>
        <v>10/06/2025</v>
      </c>
      <c r="J3121" t="str">
        <f t="shared" si="1530"/>
        <v>12/06/2025</v>
      </c>
      <c r="K3121">
        <v>176.88</v>
      </c>
      <c r="L3121">
        <v>176.88</v>
      </c>
      <c r="M3121">
        <v>303</v>
      </c>
      <c r="N3121" t="str">
        <f t="shared" si="1533"/>
        <v>RECEITAS COM ENTREGAS</v>
      </c>
      <c r="O3121">
        <v>176.88</v>
      </c>
      <c r="R3121" t="str">
        <f t="shared" si="1534"/>
        <v>RECEITAS COM ENTREGAS (303)</v>
      </c>
      <c r="S3121">
        <v>1852</v>
      </c>
      <c r="T3121">
        <v>1342</v>
      </c>
      <c r="U3121" t="s">
        <v>19</v>
      </c>
    </row>
    <row r="3122" spans="1:21">
      <c r="A3122" t="str">
        <f t="shared" si="1529"/>
        <v>12/06/2025</v>
      </c>
      <c r="B3122" t="str">
        <f t="shared" si="1535"/>
        <v>ENTRADA</v>
      </c>
      <c r="C3122" t="str">
        <f t="shared" si="1531"/>
        <v>NFSE</v>
      </c>
      <c r="D3122" t="str">
        <f>"3087"</f>
        <v>3087</v>
      </c>
      <c r="E3122" t="str">
        <f t="shared" si="1537"/>
        <v>COM</v>
      </c>
      <c r="F3122" t="str">
        <f>"DROGARIA MEDALHA (10163)"</f>
        <v>DROGARIA MEDALHA (10163)</v>
      </c>
      <c r="G3122" t="str">
        <f>"Serv.Prest. 02/06/2025 a 08/06/2025 - RPS: 856 - NFSe: 3087"</f>
        <v>Serv.Prest. 02/06/2025 a 08/06/2025 - RPS: 856 - NFSe: 3087</v>
      </c>
      <c r="H3122" t="str">
        <f t="shared" si="1532"/>
        <v>11/06/2025</v>
      </c>
      <c r="I3122" t="str">
        <f t="shared" si="1538"/>
        <v>10/06/2025</v>
      </c>
      <c r="J3122" t="str">
        <f t="shared" si="1530"/>
        <v>12/06/2025</v>
      </c>
      <c r="M3122">
        <v>303</v>
      </c>
      <c r="N3122" t="str">
        <f t="shared" si="1533"/>
        <v>RECEITAS COM ENTREGAS</v>
      </c>
      <c r="P3122">
        <v>176.88</v>
      </c>
      <c r="Q3122" t="str">
        <f>"DROGARIA MEDALHA (10163)"</f>
        <v>DROGARIA MEDALHA (10163)</v>
      </c>
      <c r="R3122" t="str">
        <f t="shared" si="1534"/>
        <v>RECEITAS COM ENTREGAS (303)</v>
      </c>
      <c r="S3122">
        <v>1852</v>
      </c>
      <c r="T3122">
        <v>1342</v>
      </c>
      <c r="U3122" t="s">
        <v>19</v>
      </c>
    </row>
    <row r="3123" spans="1:21">
      <c r="A3123" t="str">
        <f t="shared" si="1529"/>
        <v>12/06/2025</v>
      </c>
      <c r="B3123" t="str">
        <f t="shared" si="1535"/>
        <v>ENTRADA</v>
      </c>
      <c r="C3123" t="str">
        <f t="shared" si="1531"/>
        <v>NFSE</v>
      </c>
      <c r="D3123" t="str">
        <f>"3088"</f>
        <v>3088</v>
      </c>
      <c r="E3123" t="str">
        <f t="shared" si="1537"/>
        <v>COM</v>
      </c>
      <c r="F3123" t="str">
        <f>"DROGARIA ANA VISCONDE DO RIO BRANCO (10180)"</f>
        <v>DROGARIA ANA VISCONDE DO RIO BRANCO (10180)</v>
      </c>
      <c r="G3123" t="str">
        <f>"Serv.Prest. 02/06/2025 a 08/06/2025 - RPS: 857 - NFSe: 3088"</f>
        <v>Serv.Prest. 02/06/2025 a 08/06/2025 - RPS: 857 - NFSe: 3088</v>
      </c>
      <c r="H3123" t="str">
        <f t="shared" si="1532"/>
        <v>11/06/2025</v>
      </c>
      <c r="I3123" t="str">
        <f t="shared" si="1538"/>
        <v>10/06/2025</v>
      </c>
      <c r="J3123" t="str">
        <f t="shared" si="1530"/>
        <v>12/06/2025</v>
      </c>
      <c r="K3123">
        <v>749.25</v>
      </c>
      <c r="L3123">
        <v>749.25</v>
      </c>
      <c r="M3123">
        <v>303</v>
      </c>
      <c r="N3123" t="str">
        <f t="shared" si="1533"/>
        <v>RECEITAS COM ENTREGAS</v>
      </c>
      <c r="O3123">
        <v>749.25</v>
      </c>
      <c r="R3123" t="str">
        <f t="shared" si="1534"/>
        <v>RECEITAS COM ENTREGAS (303)</v>
      </c>
      <c r="S3123">
        <v>1853</v>
      </c>
      <c r="T3123">
        <v>1343</v>
      </c>
      <c r="U3123" t="s">
        <v>19</v>
      </c>
    </row>
    <row r="3124" spans="1:21">
      <c r="A3124" t="str">
        <f t="shared" si="1529"/>
        <v>12/06/2025</v>
      </c>
      <c r="B3124" t="str">
        <f t="shared" si="1535"/>
        <v>ENTRADA</v>
      </c>
      <c r="C3124" t="str">
        <f t="shared" si="1531"/>
        <v>NFSE</v>
      </c>
      <c r="D3124" t="str">
        <f>"3088"</f>
        <v>3088</v>
      </c>
      <c r="E3124" t="str">
        <f t="shared" si="1537"/>
        <v>COM</v>
      </c>
      <c r="F3124" t="str">
        <f>"DROGARIA ANA VISCONDE DO RIO BRANCO (10180)"</f>
        <v>DROGARIA ANA VISCONDE DO RIO BRANCO (10180)</v>
      </c>
      <c r="G3124" t="str">
        <f>"Serv.Prest. 02/06/2025 a 08/06/2025 - RPS: 857 - NFSe: 3088"</f>
        <v>Serv.Prest. 02/06/2025 a 08/06/2025 - RPS: 857 - NFSe: 3088</v>
      </c>
      <c r="H3124" t="str">
        <f t="shared" si="1532"/>
        <v>11/06/2025</v>
      </c>
      <c r="I3124" t="str">
        <f t="shared" si="1538"/>
        <v>10/06/2025</v>
      </c>
      <c r="J3124" t="str">
        <f t="shared" si="1530"/>
        <v>12/06/2025</v>
      </c>
      <c r="M3124">
        <v>303</v>
      </c>
      <c r="N3124" t="str">
        <f t="shared" si="1533"/>
        <v>RECEITAS COM ENTREGAS</v>
      </c>
      <c r="P3124">
        <v>749.25</v>
      </c>
      <c r="Q3124" t="str">
        <f>"DROGARIA ANA VISCONDE DO RIO BRANCO (10182)"</f>
        <v>DROGARIA ANA VISCONDE DO RIO BRANCO (10182)</v>
      </c>
      <c r="R3124" t="str">
        <f t="shared" si="1534"/>
        <v>RECEITAS COM ENTREGAS (303)</v>
      </c>
      <c r="S3124">
        <v>1853</v>
      </c>
      <c r="T3124">
        <v>1343</v>
      </c>
      <c r="U3124" t="s">
        <v>19</v>
      </c>
    </row>
    <row r="3125" spans="1:21">
      <c r="A3125" t="str">
        <f t="shared" si="1529"/>
        <v>12/06/2025</v>
      </c>
      <c r="B3125" t="str">
        <f t="shared" si="1535"/>
        <v>ENTRADA</v>
      </c>
      <c r="C3125" t="str">
        <f t="shared" si="1531"/>
        <v>NFSE</v>
      </c>
      <c r="D3125" t="str">
        <f>"3093"</f>
        <v>3093</v>
      </c>
      <c r="E3125" t="str">
        <f t="shared" si="1537"/>
        <v>COM</v>
      </c>
      <c r="F3125" t="str">
        <f>"DROGA MONICA LJ 3 (10152)"</f>
        <v>DROGA MONICA LJ 3 (10152)</v>
      </c>
      <c r="G3125" t="str">
        <f>"Serv.Prest. 02/06/2025 a 08/06/2025 - RPS: 862 - NFSe: 3093"</f>
        <v>Serv.Prest. 02/06/2025 a 08/06/2025 - RPS: 862 - NFSe: 3093</v>
      </c>
      <c r="H3125" t="str">
        <f t="shared" si="1532"/>
        <v>11/06/2025</v>
      </c>
      <c r="I3125" t="str">
        <f t="shared" si="1538"/>
        <v>10/06/2025</v>
      </c>
      <c r="J3125" t="str">
        <f t="shared" si="1530"/>
        <v>12/06/2025</v>
      </c>
      <c r="K3125">
        <v>206.4</v>
      </c>
      <c r="L3125">
        <v>206.4</v>
      </c>
      <c r="M3125">
        <v>303</v>
      </c>
      <c r="N3125" t="str">
        <f t="shared" si="1533"/>
        <v>RECEITAS COM ENTREGAS</v>
      </c>
      <c r="O3125">
        <v>206.4</v>
      </c>
      <c r="R3125" t="str">
        <f t="shared" si="1534"/>
        <v>RECEITAS COM ENTREGAS (303)</v>
      </c>
      <c r="S3125">
        <v>1854</v>
      </c>
      <c r="T3125">
        <v>1348</v>
      </c>
      <c r="U3125" t="s">
        <v>19</v>
      </c>
    </row>
    <row r="3126" spans="1:21">
      <c r="A3126" t="str">
        <f t="shared" si="1529"/>
        <v>12/06/2025</v>
      </c>
      <c r="B3126" t="str">
        <f t="shared" si="1535"/>
        <v>ENTRADA</v>
      </c>
      <c r="C3126" t="str">
        <f t="shared" si="1531"/>
        <v>NFSE</v>
      </c>
      <c r="D3126" t="str">
        <f>"3093"</f>
        <v>3093</v>
      </c>
      <c r="E3126" t="str">
        <f t="shared" si="1537"/>
        <v>COM</v>
      </c>
      <c r="F3126" t="str">
        <f>"DROGA MONICA LJ 3 (10152)"</f>
        <v>DROGA MONICA LJ 3 (10152)</v>
      </c>
      <c r="G3126" t="str">
        <f>"Serv.Prest. 02/06/2025 a 08/06/2025 - RPS: 862 - NFSe: 3093"</f>
        <v>Serv.Prest. 02/06/2025 a 08/06/2025 - RPS: 862 - NFSe: 3093</v>
      </c>
      <c r="H3126" t="str">
        <f t="shared" si="1532"/>
        <v>11/06/2025</v>
      </c>
      <c r="I3126" t="str">
        <f t="shared" si="1538"/>
        <v>10/06/2025</v>
      </c>
      <c r="J3126" t="str">
        <f t="shared" si="1530"/>
        <v>12/06/2025</v>
      </c>
      <c r="M3126">
        <v>303</v>
      </c>
      <c r="N3126" t="str">
        <f t="shared" si="1533"/>
        <v>RECEITAS COM ENTREGAS</v>
      </c>
      <c r="P3126">
        <v>206.4</v>
      </c>
      <c r="Q3126" t="str">
        <f>"DROGA MONICA LJ 3 (10152)"</f>
        <v>DROGA MONICA LJ 3 (10152)</v>
      </c>
      <c r="R3126" t="str">
        <f t="shared" si="1534"/>
        <v>RECEITAS COM ENTREGAS (303)</v>
      </c>
      <c r="S3126">
        <v>1854</v>
      </c>
      <c r="T3126">
        <v>1348</v>
      </c>
      <c r="U3126" t="s">
        <v>19</v>
      </c>
    </row>
    <row r="3127" spans="1:21">
      <c r="A3127" t="str">
        <f t="shared" si="1529"/>
        <v>12/06/2025</v>
      </c>
      <c r="B3127" t="str">
        <f t="shared" si="1535"/>
        <v>ENTRADA</v>
      </c>
      <c r="C3127" t="str">
        <f t="shared" si="1531"/>
        <v>NFSE</v>
      </c>
      <c r="D3127" t="str">
        <f>"3096"</f>
        <v>3096</v>
      </c>
      <c r="E3127" t="str">
        <f t="shared" si="1537"/>
        <v>COM</v>
      </c>
      <c r="F3127" t="str">
        <f>"JAL FARMACIA E DROGARIA LJ 2 (10138)"</f>
        <v>JAL FARMACIA E DROGARIA LJ 2 (10138)</v>
      </c>
      <c r="G3127" t="str">
        <f>"Serv.Prest. 02/06/2025 a 08/06/2025 - RPS: 865 - NFSe: 3096"</f>
        <v>Serv.Prest. 02/06/2025 a 08/06/2025 - RPS: 865 - NFSe: 3096</v>
      </c>
      <c r="H3127" t="str">
        <f t="shared" si="1532"/>
        <v>11/06/2025</v>
      </c>
      <c r="I3127" t="str">
        <f t="shared" si="1538"/>
        <v>10/06/2025</v>
      </c>
      <c r="J3127" t="str">
        <f t="shared" si="1530"/>
        <v>12/06/2025</v>
      </c>
      <c r="K3127">
        <v>331.2</v>
      </c>
      <c r="L3127">
        <v>331.2</v>
      </c>
      <c r="M3127">
        <v>303</v>
      </c>
      <c r="N3127" t="str">
        <f t="shared" si="1533"/>
        <v>RECEITAS COM ENTREGAS</v>
      </c>
      <c r="O3127">
        <v>331.2</v>
      </c>
      <c r="R3127" t="str">
        <f t="shared" si="1534"/>
        <v>RECEITAS COM ENTREGAS (303)</v>
      </c>
      <c r="S3127">
        <v>1855</v>
      </c>
      <c r="T3127">
        <v>1351</v>
      </c>
      <c r="U3127" t="s">
        <v>19</v>
      </c>
    </row>
    <row r="3128" spans="1:21">
      <c r="A3128" t="str">
        <f t="shared" si="1529"/>
        <v>12/06/2025</v>
      </c>
      <c r="B3128" t="str">
        <f t="shared" si="1535"/>
        <v>ENTRADA</v>
      </c>
      <c r="C3128" t="str">
        <f t="shared" si="1531"/>
        <v>NFSE</v>
      </c>
      <c r="D3128" t="str">
        <f>"3096"</f>
        <v>3096</v>
      </c>
      <c r="E3128" t="str">
        <f t="shared" si="1537"/>
        <v>COM</v>
      </c>
      <c r="F3128" t="str">
        <f>"JAL FARMACIA E DROGARIA LJ 2 (10138)"</f>
        <v>JAL FARMACIA E DROGARIA LJ 2 (10138)</v>
      </c>
      <c r="G3128" t="str">
        <f>"Serv.Prest. 02/06/2025 a 08/06/2025 - RPS: 865 - NFSe: 3096"</f>
        <v>Serv.Prest. 02/06/2025 a 08/06/2025 - RPS: 865 - NFSe: 3096</v>
      </c>
      <c r="H3128" t="str">
        <f t="shared" si="1532"/>
        <v>11/06/2025</v>
      </c>
      <c r="I3128" t="str">
        <f t="shared" si="1538"/>
        <v>10/06/2025</v>
      </c>
      <c r="J3128" t="str">
        <f t="shared" si="1530"/>
        <v>12/06/2025</v>
      </c>
      <c r="M3128">
        <v>303</v>
      </c>
      <c r="N3128" t="str">
        <f t="shared" si="1533"/>
        <v>RECEITAS COM ENTREGAS</v>
      </c>
      <c r="P3128">
        <v>331.2</v>
      </c>
      <c r="Q3128" t="str">
        <f>"JAL FARMACIA E DROGARIA LJ 2 (10138)"</f>
        <v>JAL FARMACIA E DROGARIA LJ 2 (10138)</v>
      </c>
      <c r="R3128" t="str">
        <f t="shared" si="1534"/>
        <v>RECEITAS COM ENTREGAS (303)</v>
      </c>
      <c r="S3128">
        <v>1855</v>
      </c>
      <c r="T3128">
        <v>1351</v>
      </c>
      <c r="U3128" t="s">
        <v>19</v>
      </c>
    </row>
    <row r="3129" spans="1:21">
      <c r="A3129" t="str">
        <f t="shared" si="1529"/>
        <v>12/06/2025</v>
      </c>
      <c r="B3129" t="str">
        <f t="shared" si="1535"/>
        <v>ENTRADA</v>
      </c>
      <c r="C3129" t="str">
        <f t="shared" si="1531"/>
        <v>NFSE</v>
      </c>
      <c r="D3129" t="str">
        <f>"3097"</f>
        <v>3097</v>
      </c>
      <c r="E3129" t="str">
        <f t="shared" si="1537"/>
        <v>COM</v>
      </c>
      <c r="F3129" t="str">
        <f>"JAL FARMACIA E DROGARIA LJ 1 (10137)"</f>
        <v>JAL FARMACIA E DROGARIA LJ 1 (10137)</v>
      </c>
      <c r="G3129" t="str">
        <f>"Serv.Prest. 02/06/2025 a 08/06/2025 - RPS: 866 - NFSe: 3097"</f>
        <v>Serv.Prest. 02/06/2025 a 08/06/2025 - RPS: 866 - NFSe: 3097</v>
      </c>
      <c r="H3129" t="str">
        <f t="shared" si="1532"/>
        <v>11/06/2025</v>
      </c>
      <c r="I3129" t="str">
        <f t="shared" si="1538"/>
        <v>10/06/2025</v>
      </c>
      <c r="J3129" t="str">
        <f t="shared" si="1530"/>
        <v>12/06/2025</v>
      </c>
      <c r="K3129">
        <v>484.8</v>
      </c>
      <c r="L3129">
        <v>484.8</v>
      </c>
      <c r="M3129">
        <v>303</v>
      </c>
      <c r="N3129" t="str">
        <f t="shared" si="1533"/>
        <v>RECEITAS COM ENTREGAS</v>
      </c>
      <c r="O3129">
        <v>484.8</v>
      </c>
      <c r="R3129" t="str">
        <f t="shared" si="1534"/>
        <v>RECEITAS COM ENTREGAS (303)</v>
      </c>
      <c r="S3129">
        <v>1856</v>
      </c>
      <c r="T3129">
        <v>1352</v>
      </c>
      <c r="U3129" t="s">
        <v>19</v>
      </c>
    </row>
    <row r="3130" spans="1:21">
      <c r="A3130" t="str">
        <f t="shared" si="1529"/>
        <v>12/06/2025</v>
      </c>
      <c r="B3130" t="str">
        <f t="shared" si="1535"/>
        <v>ENTRADA</v>
      </c>
      <c r="C3130" t="str">
        <f t="shared" si="1531"/>
        <v>NFSE</v>
      </c>
      <c r="D3130" t="str">
        <f>"3097"</f>
        <v>3097</v>
      </c>
      <c r="E3130" t="str">
        <f t="shared" si="1537"/>
        <v>COM</v>
      </c>
      <c r="F3130" t="str">
        <f>"JAL FARMACIA E DROGARIA LJ 1 (10137)"</f>
        <v>JAL FARMACIA E DROGARIA LJ 1 (10137)</v>
      </c>
      <c r="G3130" t="str">
        <f>"Serv.Prest. 02/06/2025 a 08/06/2025 - RPS: 866 - NFSe: 3097"</f>
        <v>Serv.Prest. 02/06/2025 a 08/06/2025 - RPS: 866 - NFSe: 3097</v>
      </c>
      <c r="H3130" t="str">
        <f t="shared" si="1532"/>
        <v>11/06/2025</v>
      </c>
      <c r="I3130" t="str">
        <f t="shared" si="1538"/>
        <v>10/06/2025</v>
      </c>
      <c r="J3130" t="str">
        <f t="shared" si="1530"/>
        <v>12/06/2025</v>
      </c>
      <c r="M3130">
        <v>303</v>
      </c>
      <c r="N3130" t="str">
        <f t="shared" si="1533"/>
        <v>RECEITAS COM ENTREGAS</v>
      </c>
      <c r="P3130">
        <v>484.8</v>
      </c>
      <c r="Q3130" t="str">
        <f>"JAL FARMACIA E DROGARIA LJ 1 (10137)"</f>
        <v>JAL FARMACIA E DROGARIA LJ 1 (10137)</v>
      </c>
      <c r="R3130" t="str">
        <f t="shared" si="1534"/>
        <v>RECEITAS COM ENTREGAS (303)</v>
      </c>
      <c r="S3130">
        <v>1856</v>
      </c>
      <c r="T3130">
        <v>1352</v>
      </c>
      <c r="U3130" t="s">
        <v>19</v>
      </c>
    </row>
    <row r="3131" spans="1:21">
      <c r="A3131" t="str">
        <f t="shared" si="1529"/>
        <v>12/06/2025</v>
      </c>
      <c r="B3131" t="str">
        <f t="shared" si="1535"/>
        <v>ENTRADA</v>
      </c>
      <c r="C3131" t="str">
        <f t="shared" si="1531"/>
        <v>NFSE</v>
      </c>
      <c r="D3131" t="str">
        <f>"3098"</f>
        <v>3098</v>
      </c>
      <c r="E3131" t="str">
        <f t="shared" si="1537"/>
        <v>COM</v>
      </c>
      <c r="F3131" t="str">
        <f>"ITANHANDU (10174)"</f>
        <v>ITANHANDU (10174)</v>
      </c>
      <c r="G3131" t="str">
        <f>"Serv.Prest. 02/06/2025 a 08/06/2025 - RPS: 867 - NFSe: 3098"</f>
        <v>Serv.Prest. 02/06/2025 a 08/06/2025 - RPS: 867 - NFSe: 3098</v>
      </c>
      <c r="H3131" t="str">
        <f t="shared" si="1532"/>
        <v>11/06/2025</v>
      </c>
      <c r="I3131" t="str">
        <f t="shared" si="1538"/>
        <v>10/06/2025</v>
      </c>
      <c r="J3131" t="str">
        <f t="shared" si="1530"/>
        <v>12/06/2025</v>
      </c>
      <c r="K3131">
        <v>165.18</v>
      </c>
      <c r="L3131">
        <v>165.18</v>
      </c>
      <c r="M3131">
        <v>303</v>
      </c>
      <c r="N3131" t="str">
        <f t="shared" si="1533"/>
        <v>RECEITAS COM ENTREGAS</v>
      </c>
      <c r="O3131">
        <v>165.18</v>
      </c>
      <c r="R3131" t="str">
        <f t="shared" si="1534"/>
        <v>RECEITAS COM ENTREGAS (303)</v>
      </c>
      <c r="S3131">
        <v>1857</v>
      </c>
      <c r="T3131">
        <v>1353</v>
      </c>
      <c r="U3131" t="s">
        <v>19</v>
      </c>
    </row>
    <row r="3132" spans="1:21">
      <c r="A3132" t="str">
        <f t="shared" si="1529"/>
        <v>12/06/2025</v>
      </c>
      <c r="B3132" t="str">
        <f t="shared" si="1535"/>
        <v>ENTRADA</v>
      </c>
      <c r="C3132" t="str">
        <f t="shared" si="1531"/>
        <v>NFSE</v>
      </c>
      <c r="D3132" t="str">
        <f>"3098"</f>
        <v>3098</v>
      </c>
      <c r="E3132" t="str">
        <f t="shared" si="1537"/>
        <v>COM</v>
      </c>
      <c r="F3132" t="str">
        <f>"ITANHANDU (10174)"</f>
        <v>ITANHANDU (10174)</v>
      </c>
      <c r="G3132" t="str">
        <f>"Serv.Prest. 02/06/2025 a 08/06/2025 - RPS: 867 - NFSe: 3098"</f>
        <v>Serv.Prest. 02/06/2025 a 08/06/2025 - RPS: 867 - NFSe: 3098</v>
      </c>
      <c r="H3132" t="str">
        <f t="shared" si="1532"/>
        <v>11/06/2025</v>
      </c>
      <c r="I3132" t="str">
        <f t="shared" si="1538"/>
        <v>10/06/2025</v>
      </c>
      <c r="J3132" t="str">
        <f t="shared" si="1530"/>
        <v>12/06/2025</v>
      </c>
      <c r="M3132">
        <v>303</v>
      </c>
      <c r="N3132" t="str">
        <f t="shared" si="1533"/>
        <v>RECEITAS COM ENTREGAS</v>
      </c>
      <c r="P3132">
        <v>165.18</v>
      </c>
      <c r="Q3132" t="str">
        <f>"ITANHANDU (10174)"</f>
        <v>ITANHANDU (10174)</v>
      </c>
      <c r="R3132" t="str">
        <f t="shared" si="1534"/>
        <v>RECEITAS COM ENTREGAS (303)</v>
      </c>
      <c r="S3132">
        <v>1857</v>
      </c>
      <c r="T3132">
        <v>1353</v>
      </c>
      <c r="U3132" t="s">
        <v>19</v>
      </c>
    </row>
    <row r="3133" spans="1:21">
      <c r="A3133" t="str">
        <f t="shared" si="1529"/>
        <v>12/06/2025</v>
      </c>
      <c r="B3133" t="str">
        <f t="shared" si="1535"/>
        <v>ENTRADA</v>
      </c>
      <c r="C3133" t="str">
        <f t="shared" si="1531"/>
        <v>NFSE</v>
      </c>
      <c r="D3133" t="str">
        <f>"3099"</f>
        <v>3099</v>
      </c>
      <c r="E3133" t="str">
        <f t="shared" si="1537"/>
        <v>COM</v>
      </c>
      <c r="F3133" t="str">
        <f>"PASSA QUATRO (10175)"</f>
        <v>PASSA QUATRO (10175)</v>
      </c>
      <c r="G3133" t="str">
        <f>"Serv.Prest. 02/06/2025 a 08/06/2025 - RPS: 868 - NFSe: 3099"</f>
        <v>Serv.Prest. 02/06/2025 a 08/06/2025 - RPS: 868 - NFSe: 3099</v>
      </c>
      <c r="H3133" t="str">
        <f t="shared" si="1532"/>
        <v>11/06/2025</v>
      </c>
      <c r="I3133" t="str">
        <f t="shared" si="1538"/>
        <v>10/06/2025</v>
      </c>
      <c r="J3133" t="str">
        <f t="shared" si="1530"/>
        <v>12/06/2025</v>
      </c>
      <c r="K3133">
        <v>90.02</v>
      </c>
      <c r="L3133">
        <v>90.02</v>
      </c>
      <c r="M3133">
        <v>303</v>
      </c>
      <c r="N3133" t="str">
        <f t="shared" si="1533"/>
        <v>RECEITAS COM ENTREGAS</v>
      </c>
      <c r="O3133">
        <v>90.02</v>
      </c>
      <c r="R3133" t="str">
        <f t="shared" si="1534"/>
        <v>RECEITAS COM ENTREGAS (303)</v>
      </c>
      <c r="S3133">
        <v>1858</v>
      </c>
      <c r="T3133">
        <v>1354</v>
      </c>
      <c r="U3133" t="s">
        <v>19</v>
      </c>
    </row>
    <row r="3134" spans="1:21">
      <c r="A3134" t="str">
        <f t="shared" si="1529"/>
        <v>12/06/2025</v>
      </c>
      <c r="B3134" t="str">
        <f t="shared" si="1535"/>
        <v>ENTRADA</v>
      </c>
      <c r="C3134" t="str">
        <f t="shared" si="1531"/>
        <v>NFSE</v>
      </c>
      <c r="D3134" t="str">
        <f>"3099"</f>
        <v>3099</v>
      </c>
      <c r="E3134" t="str">
        <f t="shared" si="1537"/>
        <v>COM</v>
      </c>
      <c r="F3134" t="str">
        <f>"PASSA QUATRO (10175)"</f>
        <v>PASSA QUATRO (10175)</v>
      </c>
      <c r="G3134" t="str">
        <f>"Serv.Prest. 02/06/2025 a 08/06/2025 - RPS: 868 - NFSe: 3099"</f>
        <v>Serv.Prest. 02/06/2025 a 08/06/2025 - RPS: 868 - NFSe: 3099</v>
      </c>
      <c r="H3134" t="str">
        <f t="shared" si="1532"/>
        <v>11/06/2025</v>
      </c>
      <c r="I3134" t="str">
        <f t="shared" si="1538"/>
        <v>10/06/2025</v>
      </c>
      <c r="J3134" t="str">
        <f t="shared" si="1530"/>
        <v>12/06/2025</v>
      </c>
      <c r="M3134">
        <v>303</v>
      </c>
      <c r="N3134" t="str">
        <f t="shared" si="1533"/>
        <v>RECEITAS COM ENTREGAS</v>
      </c>
      <c r="P3134">
        <v>90.02</v>
      </c>
      <c r="Q3134" t="str">
        <f>"PASSA QUATRO (10175)"</f>
        <v>PASSA QUATRO (10175)</v>
      </c>
      <c r="R3134" t="str">
        <f t="shared" si="1534"/>
        <v>RECEITAS COM ENTREGAS (303)</v>
      </c>
      <c r="S3134">
        <v>1858</v>
      </c>
      <c r="T3134">
        <v>1354</v>
      </c>
      <c r="U3134" t="s">
        <v>19</v>
      </c>
    </row>
    <row r="3135" spans="1:21">
      <c r="A3135" t="str">
        <f t="shared" ref="A3135:A3146" si="1539">("13/06/2025")</f>
        <v>13/06/2025</v>
      </c>
      <c r="B3135" t="str">
        <f>"SAÍDA"</f>
        <v>SAÍDA</v>
      </c>
      <c r="C3135" t="str">
        <f>"CONHECIMENTO"</f>
        <v>CONHECIMENTO</v>
      </c>
      <c r="D3135" t="str">
        <f>"130625170"</f>
        <v>130625170</v>
      </c>
      <c r="E3135" t="str">
        <f t="shared" si="1537"/>
        <v>COM</v>
      </c>
      <c r="F3135" t="str">
        <f>"CORA SOCIEDADE DE CREDITO, FINANCIAMENTO E INVESTIMENTO (20035)"</f>
        <v>CORA SOCIEDADE DE CREDITO, FINANCIAMENTO E INVESTIMENTO (20035)</v>
      </c>
      <c r="G3135" t="str">
        <f>"TAXA BOLETO COMPENSADO"</f>
        <v>TAXA BOLETO COMPENSADO</v>
      </c>
      <c r="H3135" t="str">
        <f t="shared" ref="H3135:J3138" si="1540">("13/06/2025")</f>
        <v>13/06/2025</v>
      </c>
      <c r="I3135" t="str">
        <f t="shared" si="1540"/>
        <v>13/06/2025</v>
      </c>
      <c r="J3135" t="str">
        <f t="shared" si="1540"/>
        <v>13/06/2025</v>
      </c>
      <c r="K3135">
        <v>1.7</v>
      </c>
      <c r="L3135">
        <v>1.7</v>
      </c>
      <c r="M3135">
        <v>401</v>
      </c>
      <c r="N3135" t="str">
        <f>"IOF/JUROS/DESP.FINANCEIRA"</f>
        <v>IOF/JUROS/DESP.FINANCEIRA</v>
      </c>
      <c r="O3135">
        <v>1.7</v>
      </c>
      <c r="R3135" t="str">
        <f>"BANCO CORA (102)"</f>
        <v>BANCO CORA (102)</v>
      </c>
      <c r="S3135">
        <v>1829</v>
      </c>
      <c r="T3135">
        <v>1392</v>
      </c>
      <c r="U3135" t="s">
        <v>19</v>
      </c>
    </row>
    <row r="3136" spans="1:21">
      <c r="A3136" t="str">
        <f t="shared" si="1539"/>
        <v>13/06/2025</v>
      </c>
      <c r="B3136" t="str">
        <f>"SAÍDA"</f>
        <v>SAÍDA</v>
      </c>
      <c r="C3136" t="str">
        <f>"CONHECIMENTO"</f>
        <v>CONHECIMENTO</v>
      </c>
      <c r="D3136" t="str">
        <f>"130625170"</f>
        <v>130625170</v>
      </c>
      <c r="E3136" t="str">
        <f t="shared" si="1537"/>
        <v>COM</v>
      </c>
      <c r="F3136" t="str">
        <f>"CORA SOCIEDADE DE CREDITO, FINANCIAMENTO E INVESTIMENTO (20035)"</f>
        <v>CORA SOCIEDADE DE CREDITO, FINANCIAMENTO E INVESTIMENTO (20035)</v>
      </c>
      <c r="G3136" t="str">
        <f>"TAXA BOLETO COMPENSADO"</f>
        <v>TAXA BOLETO COMPENSADO</v>
      </c>
      <c r="H3136" t="str">
        <f t="shared" si="1540"/>
        <v>13/06/2025</v>
      </c>
      <c r="I3136" t="str">
        <f t="shared" si="1540"/>
        <v>13/06/2025</v>
      </c>
      <c r="J3136" t="str">
        <f t="shared" si="1540"/>
        <v>13/06/2025</v>
      </c>
      <c r="K3136">
        <v>1.7</v>
      </c>
      <c r="L3136">
        <v>1.7</v>
      </c>
      <c r="M3136">
        <v>401</v>
      </c>
      <c r="N3136" t="str">
        <f>"IOF/JUROS/DESP.FINANCEIRA"</f>
        <v>IOF/JUROS/DESP.FINANCEIRA</v>
      </c>
      <c r="O3136">
        <v>1.7</v>
      </c>
      <c r="R3136" t="str">
        <f>"BANCO CORA (102)"</f>
        <v>BANCO CORA (102)</v>
      </c>
      <c r="S3136">
        <v>1830</v>
      </c>
      <c r="T3136">
        <v>1393</v>
      </c>
      <c r="U3136" t="s">
        <v>19</v>
      </c>
    </row>
    <row r="3137" spans="1:21">
      <c r="A3137" t="str">
        <f t="shared" si="1539"/>
        <v>13/06/2025</v>
      </c>
      <c r="B3137" t="str">
        <f>"SAÍDA"</f>
        <v>SAÍDA</v>
      </c>
      <c r="C3137" t="str">
        <f>"CONHECIMENTO"</f>
        <v>CONHECIMENTO</v>
      </c>
      <c r="D3137" t="str">
        <f>"130625170"</f>
        <v>130625170</v>
      </c>
      <c r="E3137" t="str">
        <f t="shared" si="1537"/>
        <v>COM</v>
      </c>
      <c r="F3137" t="str">
        <f>"CORA SOCIEDADE DE CREDITO, FINANCIAMENTO E INVESTIMENTO (20035)"</f>
        <v>CORA SOCIEDADE DE CREDITO, FINANCIAMENTO E INVESTIMENTO (20035)</v>
      </c>
      <c r="G3137" t="str">
        <f>"TAXA BOLETO COMPENSADO"</f>
        <v>TAXA BOLETO COMPENSADO</v>
      </c>
      <c r="H3137" t="str">
        <f t="shared" si="1540"/>
        <v>13/06/2025</v>
      </c>
      <c r="I3137" t="str">
        <f t="shared" si="1540"/>
        <v>13/06/2025</v>
      </c>
      <c r="J3137" t="str">
        <f t="shared" si="1540"/>
        <v>13/06/2025</v>
      </c>
      <c r="K3137">
        <v>1.7</v>
      </c>
      <c r="L3137">
        <v>1.7</v>
      </c>
      <c r="M3137">
        <v>401</v>
      </c>
      <c r="N3137" t="str">
        <f>"IOF/JUROS/DESP.FINANCEIRA"</f>
        <v>IOF/JUROS/DESP.FINANCEIRA</v>
      </c>
      <c r="O3137">
        <v>1.7</v>
      </c>
      <c r="R3137" t="str">
        <f>"BANCO CORA (102)"</f>
        <v>BANCO CORA (102)</v>
      </c>
      <c r="S3137">
        <v>1831</v>
      </c>
      <c r="T3137">
        <v>1394</v>
      </c>
      <c r="U3137" t="s">
        <v>19</v>
      </c>
    </row>
    <row r="3138" spans="1:21">
      <c r="A3138" t="str">
        <f t="shared" si="1539"/>
        <v>13/06/2025</v>
      </c>
      <c r="B3138" t="str">
        <f>"SAÍDA"</f>
        <v>SAÍDA</v>
      </c>
      <c r="C3138" t="str">
        <f>"CONHECIMENTO"</f>
        <v>CONHECIMENTO</v>
      </c>
      <c r="D3138" t="str">
        <f>"130625170"</f>
        <v>130625170</v>
      </c>
      <c r="E3138" t="str">
        <f t="shared" si="1537"/>
        <v>COM</v>
      </c>
      <c r="F3138" t="str">
        <f>"CORA SOCIEDADE DE CREDITO, FINANCIAMENTO E INVESTIMENTO (20035)"</f>
        <v>CORA SOCIEDADE DE CREDITO, FINANCIAMENTO E INVESTIMENTO (20035)</v>
      </c>
      <c r="G3138" t="str">
        <f>"TAXA BOLETO COMPENSADO"</f>
        <v>TAXA BOLETO COMPENSADO</v>
      </c>
      <c r="H3138" t="str">
        <f t="shared" si="1540"/>
        <v>13/06/2025</v>
      </c>
      <c r="I3138" t="str">
        <f t="shared" si="1540"/>
        <v>13/06/2025</v>
      </c>
      <c r="J3138" t="str">
        <f t="shared" si="1540"/>
        <v>13/06/2025</v>
      </c>
      <c r="K3138">
        <v>1.7</v>
      </c>
      <c r="L3138">
        <v>1.7</v>
      </c>
      <c r="M3138">
        <v>401</v>
      </c>
      <c r="N3138" t="str">
        <f>"IOF/JUROS/DESP.FINANCEIRA"</f>
        <v>IOF/JUROS/DESP.FINANCEIRA</v>
      </c>
      <c r="O3138">
        <v>1.7</v>
      </c>
      <c r="R3138" t="str">
        <f>"BANCO CORA (102)"</f>
        <v>BANCO CORA (102)</v>
      </c>
      <c r="S3138">
        <v>1832</v>
      </c>
      <c r="T3138">
        <v>1395</v>
      </c>
      <c r="U3138" t="s">
        <v>19</v>
      </c>
    </row>
    <row r="3139" spans="1:21">
      <c r="A3139" t="str">
        <f t="shared" si="1539"/>
        <v>13/06/2025</v>
      </c>
      <c r="B3139" t="str">
        <f>"ENTRADA"</f>
        <v>ENTRADA</v>
      </c>
      <c r="C3139" t="str">
        <f t="shared" ref="C3139:C3146" si="1541">"NFSE"</f>
        <v>NFSE</v>
      </c>
      <c r="D3139" t="str">
        <f>"3064"</f>
        <v>3064</v>
      </c>
      <c r="E3139" t="str">
        <f t="shared" si="1537"/>
        <v>COM</v>
      </c>
      <c r="F3139" t="str">
        <f>"PAGMENOS - LJ 608 (10135)"</f>
        <v>PAGMENOS - LJ 608 (10135)</v>
      </c>
      <c r="G3139" t="str">
        <f>"Serv.Prest. 26/05/2025 a 01/06/2025 - RPS: 833 - NFSe: 3064"</f>
        <v>Serv.Prest. 26/05/2025 a 01/06/2025 - RPS: 833 - NFSe: 3064</v>
      </c>
      <c r="H3139" t="str">
        <f t="shared" ref="H3139:H3146" si="1542">("12/06/2025")</f>
        <v>12/06/2025</v>
      </c>
      <c r="I3139" t="str">
        <f>("02/06/2025")</f>
        <v>02/06/2025</v>
      </c>
      <c r="J3139" t="str">
        <f t="shared" ref="J3139:J3146" si="1543">("13/06/2025")</f>
        <v>13/06/2025</v>
      </c>
      <c r="K3139">
        <v>280.20999999999998</v>
      </c>
      <c r="L3139">
        <v>280.20999999999998</v>
      </c>
      <c r="M3139">
        <v>303</v>
      </c>
      <c r="N3139" t="str">
        <f t="shared" ref="N3139:N3146" si="1544">"RECEITAS COM ENTREGAS"</f>
        <v>RECEITAS COM ENTREGAS</v>
      </c>
      <c r="O3139">
        <v>280.20999999999998</v>
      </c>
      <c r="R3139" t="str">
        <f t="shared" ref="R3139:R3146" si="1545">"RECEITAS COM ENTREGAS (303)"</f>
        <v>RECEITAS COM ENTREGAS (303)</v>
      </c>
      <c r="S3139">
        <v>1859</v>
      </c>
      <c r="T3139">
        <v>1270</v>
      </c>
      <c r="U3139" t="s">
        <v>19</v>
      </c>
    </row>
    <row r="3140" spans="1:21">
      <c r="A3140" t="str">
        <f t="shared" si="1539"/>
        <v>13/06/2025</v>
      </c>
      <c r="B3140" t="str">
        <f t="shared" ref="B3140:B3146" si="1546">"ENTRADA"</f>
        <v>ENTRADA</v>
      </c>
      <c r="C3140" t="str">
        <f t="shared" si="1541"/>
        <v>NFSE</v>
      </c>
      <c r="D3140" t="str">
        <f>"3064"</f>
        <v>3064</v>
      </c>
      <c r="E3140" t="str">
        <f t="shared" si="1537"/>
        <v>COM</v>
      </c>
      <c r="F3140" t="str">
        <f>"PAGMENOS - LJ 608 (10135)"</f>
        <v>PAGMENOS - LJ 608 (10135)</v>
      </c>
      <c r="G3140" t="str">
        <f>"Serv.Prest. 26/05/2025 a 01/06/2025 - RPS: 833 - NFSe: 3064"</f>
        <v>Serv.Prest. 26/05/2025 a 01/06/2025 - RPS: 833 - NFSe: 3064</v>
      </c>
      <c r="H3140" t="str">
        <f t="shared" si="1542"/>
        <v>12/06/2025</v>
      </c>
      <c r="I3140" t="str">
        <f>("02/06/2025")</f>
        <v>02/06/2025</v>
      </c>
      <c r="J3140" t="str">
        <f t="shared" si="1543"/>
        <v>13/06/2025</v>
      </c>
      <c r="M3140">
        <v>303</v>
      </c>
      <c r="N3140" t="str">
        <f t="shared" si="1544"/>
        <v>RECEITAS COM ENTREGAS</v>
      </c>
      <c r="P3140">
        <v>280.20999999999998</v>
      </c>
      <c r="Q3140" t="str">
        <f>"PAGMENOS - LJ 608 (10135)"</f>
        <v>PAGMENOS - LJ 608 (10135)</v>
      </c>
      <c r="R3140" t="str">
        <f t="shared" si="1545"/>
        <v>RECEITAS COM ENTREGAS (303)</v>
      </c>
      <c r="S3140">
        <v>1859</v>
      </c>
      <c r="T3140">
        <v>1270</v>
      </c>
      <c r="U3140" t="s">
        <v>19</v>
      </c>
    </row>
    <row r="3141" spans="1:21">
      <c r="A3141" t="str">
        <f t="shared" si="1539"/>
        <v>13/06/2025</v>
      </c>
      <c r="B3141" t="str">
        <f t="shared" si="1546"/>
        <v>ENTRADA</v>
      </c>
      <c r="C3141" t="str">
        <f t="shared" si="1541"/>
        <v>NFSE</v>
      </c>
      <c r="D3141" t="str">
        <f>"3065"</f>
        <v>3065</v>
      </c>
      <c r="E3141" t="str">
        <f t="shared" si="1537"/>
        <v>COM</v>
      </c>
      <c r="F3141" t="str">
        <f>"PAGMENOS - LJ 657 (10136)"</f>
        <v>PAGMENOS - LJ 657 (10136)</v>
      </c>
      <c r="G3141" t="str">
        <f>"Serv.Prest. 26/05/2025 a 01/06/2025 - RPS: 834 - NFSe: 3065"</f>
        <v>Serv.Prest. 26/05/2025 a 01/06/2025 - RPS: 834 - NFSe: 3065</v>
      </c>
      <c r="H3141" t="str">
        <f t="shared" si="1542"/>
        <v>12/06/2025</v>
      </c>
      <c r="I3141" t="str">
        <f>("02/06/2025")</f>
        <v>02/06/2025</v>
      </c>
      <c r="J3141" t="str">
        <f t="shared" si="1543"/>
        <v>13/06/2025</v>
      </c>
      <c r="K3141">
        <v>596.6</v>
      </c>
      <c r="L3141">
        <v>596.6</v>
      </c>
      <c r="M3141">
        <v>303</v>
      </c>
      <c r="N3141" t="str">
        <f t="shared" si="1544"/>
        <v>RECEITAS COM ENTREGAS</v>
      </c>
      <c r="O3141">
        <v>596.6</v>
      </c>
      <c r="R3141" t="str">
        <f t="shared" si="1545"/>
        <v>RECEITAS COM ENTREGAS (303)</v>
      </c>
      <c r="S3141">
        <v>1860</v>
      </c>
      <c r="T3141">
        <v>1271</v>
      </c>
      <c r="U3141" t="s">
        <v>19</v>
      </c>
    </row>
    <row r="3142" spans="1:21">
      <c r="A3142" t="str">
        <f t="shared" si="1539"/>
        <v>13/06/2025</v>
      </c>
      <c r="B3142" t="str">
        <f t="shared" si="1546"/>
        <v>ENTRADA</v>
      </c>
      <c r="C3142" t="str">
        <f t="shared" si="1541"/>
        <v>NFSE</v>
      </c>
      <c r="D3142" t="str">
        <f>"3065"</f>
        <v>3065</v>
      </c>
      <c r="E3142" t="str">
        <f t="shared" si="1537"/>
        <v>COM</v>
      </c>
      <c r="F3142" t="str">
        <f>"PAGMENOS - LJ 657 (10136)"</f>
        <v>PAGMENOS - LJ 657 (10136)</v>
      </c>
      <c r="G3142" t="str">
        <f>"Serv.Prest. 26/05/2025 a 01/06/2025 - RPS: 834 - NFSe: 3065"</f>
        <v>Serv.Prest. 26/05/2025 a 01/06/2025 - RPS: 834 - NFSe: 3065</v>
      </c>
      <c r="H3142" t="str">
        <f t="shared" si="1542"/>
        <v>12/06/2025</v>
      </c>
      <c r="I3142" t="str">
        <f>("02/06/2025")</f>
        <v>02/06/2025</v>
      </c>
      <c r="J3142" t="str">
        <f t="shared" si="1543"/>
        <v>13/06/2025</v>
      </c>
      <c r="M3142">
        <v>303</v>
      </c>
      <c r="N3142" t="str">
        <f t="shared" si="1544"/>
        <v>RECEITAS COM ENTREGAS</v>
      </c>
      <c r="P3142">
        <v>596.6</v>
      </c>
      <c r="Q3142" t="str">
        <f>"PAGMENOS - LJ 657 (10136)"</f>
        <v>PAGMENOS - LJ 657 (10136)</v>
      </c>
      <c r="R3142" t="str">
        <f t="shared" si="1545"/>
        <v>RECEITAS COM ENTREGAS (303)</v>
      </c>
      <c r="S3142">
        <v>1860</v>
      </c>
      <c r="T3142">
        <v>1271</v>
      </c>
      <c r="U3142" t="s">
        <v>19</v>
      </c>
    </row>
    <row r="3143" spans="1:21">
      <c r="A3143" t="str">
        <f t="shared" si="1539"/>
        <v>13/06/2025</v>
      </c>
      <c r="B3143" t="str">
        <f t="shared" si="1546"/>
        <v>ENTRADA</v>
      </c>
      <c r="C3143" t="str">
        <f t="shared" si="1541"/>
        <v>NFSE</v>
      </c>
      <c r="D3143" t="str">
        <f>"3089"</f>
        <v>3089</v>
      </c>
      <c r="E3143" t="str">
        <f t="shared" si="1537"/>
        <v>COM</v>
      </c>
      <c r="F3143" t="str">
        <f>"DROGARIA POUPA MINAS (DOIS AMIGOS) 5 (10140)"</f>
        <v>DROGARIA POUPA MINAS (DOIS AMIGOS) 5 (10140)</v>
      </c>
      <c r="G3143" t="str">
        <f>"Serv.Prest. 02/06/2025 a 08/06/2025 - RPS: 858 - NFSe: 3089"</f>
        <v>Serv.Prest. 02/06/2025 a 08/06/2025 - RPS: 858 - NFSe: 3089</v>
      </c>
      <c r="H3143" t="str">
        <f t="shared" si="1542"/>
        <v>12/06/2025</v>
      </c>
      <c r="I3143" t="str">
        <f>("10/06/2025")</f>
        <v>10/06/2025</v>
      </c>
      <c r="J3143" t="str">
        <f t="shared" si="1543"/>
        <v>13/06/2025</v>
      </c>
      <c r="K3143">
        <v>680.85</v>
      </c>
      <c r="L3143">
        <v>680.85</v>
      </c>
      <c r="M3143">
        <v>303</v>
      </c>
      <c r="N3143" t="str">
        <f t="shared" si="1544"/>
        <v>RECEITAS COM ENTREGAS</v>
      </c>
      <c r="O3143">
        <v>680.85</v>
      </c>
      <c r="R3143" t="str">
        <f t="shared" si="1545"/>
        <v>RECEITAS COM ENTREGAS (303)</v>
      </c>
      <c r="S3143">
        <v>1861</v>
      </c>
      <c r="T3143">
        <v>1344</v>
      </c>
      <c r="U3143" t="s">
        <v>19</v>
      </c>
    </row>
    <row r="3144" spans="1:21">
      <c r="A3144" t="str">
        <f t="shared" si="1539"/>
        <v>13/06/2025</v>
      </c>
      <c r="B3144" t="str">
        <f t="shared" si="1546"/>
        <v>ENTRADA</v>
      </c>
      <c r="C3144" t="str">
        <f t="shared" si="1541"/>
        <v>NFSE</v>
      </c>
      <c r="D3144" t="str">
        <f>"3089"</f>
        <v>3089</v>
      </c>
      <c r="E3144" t="str">
        <f t="shared" si="1537"/>
        <v>COM</v>
      </c>
      <c r="F3144" t="str">
        <f>"DROGARIA POUPA MINAS (DOIS AMIGOS) 5 (10140)"</f>
        <v>DROGARIA POUPA MINAS (DOIS AMIGOS) 5 (10140)</v>
      </c>
      <c r="G3144" t="str">
        <f>"Serv.Prest. 02/06/2025 a 08/06/2025 - RPS: 858 - NFSe: 3089"</f>
        <v>Serv.Prest. 02/06/2025 a 08/06/2025 - RPS: 858 - NFSe: 3089</v>
      </c>
      <c r="H3144" t="str">
        <f t="shared" si="1542"/>
        <v>12/06/2025</v>
      </c>
      <c r="I3144" t="str">
        <f>("10/06/2025")</f>
        <v>10/06/2025</v>
      </c>
      <c r="J3144" t="str">
        <f t="shared" si="1543"/>
        <v>13/06/2025</v>
      </c>
      <c r="M3144">
        <v>303</v>
      </c>
      <c r="N3144" t="str">
        <f t="shared" si="1544"/>
        <v>RECEITAS COM ENTREGAS</v>
      </c>
      <c r="P3144">
        <v>680.85</v>
      </c>
      <c r="Q3144" t="str">
        <f>"DROGARIA POUPA MINAS (ULTRAMINAS) 1 (10181)"</f>
        <v>DROGARIA POUPA MINAS (ULTRAMINAS) 1 (10181)</v>
      </c>
      <c r="R3144" t="str">
        <f t="shared" si="1545"/>
        <v>RECEITAS COM ENTREGAS (303)</v>
      </c>
      <c r="S3144">
        <v>1861</v>
      </c>
      <c r="T3144">
        <v>1344</v>
      </c>
      <c r="U3144" t="s">
        <v>19</v>
      </c>
    </row>
    <row r="3145" spans="1:21">
      <c r="A3145" t="str">
        <f t="shared" si="1539"/>
        <v>13/06/2025</v>
      </c>
      <c r="B3145" t="str">
        <f t="shared" si="1546"/>
        <v>ENTRADA</v>
      </c>
      <c r="C3145" t="str">
        <f t="shared" si="1541"/>
        <v>NFSE</v>
      </c>
      <c r="D3145" t="str">
        <f>"3090"</f>
        <v>3090</v>
      </c>
      <c r="E3145" t="str">
        <f t="shared" si="1537"/>
        <v>COM</v>
      </c>
      <c r="F3145" t="str">
        <f>"DROGARIA POUPA MINAS (ULTRAMINAS) 3 (10129)"</f>
        <v>DROGARIA POUPA MINAS (ULTRAMINAS) 3 (10129)</v>
      </c>
      <c r="G3145" t="str">
        <f>"Serv.Prest. 02/06/2025 a 08/06/2025 - RPS: 859 - NFSe: 3090"</f>
        <v>Serv.Prest. 02/06/2025 a 08/06/2025 - RPS: 859 - NFSe: 3090</v>
      </c>
      <c r="H3145" t="str">
        <f t="shared" si="1542"/>
        <v>12/06/2025</v>
      </c>
      <c r="I3145" t="str">
        <f>("10/06/2025")</f>
        <v>10/06/2025</v>
      </c>
      <c r="J3145" t="str">
        <f t="shared" si="1543"/>
        <v>13/06/2025</v>
      </c>
      <c r="K3145">
        <v>274.56</v>
      </c>
      <c r="L3145">
        <v>274.56</v>
      </c>
      <c r="M3145">
        <v>303</v>
      </c>
      <c r="N3145" t="str">
        <f t="shared" si="1544"/>
        <v>RECEITAS COM ENTREGAS</v>
      </c>
      <c r="O3145">
        <v>274.56</v>
      </c>
      <c r="R3145" t="str">
        <f t="shared" si="1545"/>
        <v>RECEITAS COM ENTREGAS (303)</v>
      </c>
      <c r="S3145">
        <v>1862</v>
      </c>
      <c r="T3145">
        <v>1345</v>
      </c>
      <c r="U3145" t="s">
        <v>19</v>
      </c>
    </row>
    <row r="3146" spans="1:21">
      <c r="A3146" t="str">
        <f t="shared" si="1539"/>
        <v>13/06/2025</v>
      </c>
      <c r="B3146" t="str">
        <f t="shared" si="1546"/>
        <v>ENTRADA</v>
      </c>
      <c r="C3146" t="str">
        <f t="shared" si="1541"/>
        <v>NFSE</v>
      </c>
      <c r="D3146" t="str">
        <f>"3090"</f>
        <v>3090</v>
      </c>
      <c r="E3146" t="str">
        <f t="shared" si="1537"/>
        <v>COM</v>
      </c>
      <c r="F3146" t="str">
        <f>"DROGARIA POUPA MINAS (ULTRAMINAS) 3 (10129)"</f>
        <v>DROGARIA POUPA MINAS (ULTRAMINAS) 3 (10129)</v>
      </c>
      <c r="G3146" t="str">
        <f>"Serv.Prest. 02/06/2025 a 08/06/2025 - RPS: 859 - NFSe: 3090"</f>
        <v>Serv.Prest. 02/06/2025 a 08/06/2025 - RPS: 859 - NFSe: 3090</v>
      </c>
      <c r="H3146" t="str">
        <f t="shared" si="1542"/>
        <v>12/06/2025</v>
      </c>
      <c r="I3146" t="str">
        <f>("10/06/2025")</f>
        <v>10/06/2025</v>
      </c>
      <c r="J3146" t="str">
        <f t="shared" si="1543"/>
        <v>13/06/2025</v>
      </c>
      <c r="M3146">
        <v>303</v>
      </c>
      <c r="N3146" t="str">
        <f t="shared" si="1544"/>
        <v>RECEITAS COM ENTREGAS</v>
      </c>
      <c r="P3146">
        <v>274.56</v>
      </c>
      <c r="Q3146" t="str">
        <f>"DROGARIA POUPA MINAS (ULTRAMINAS) 3 (10129)"</f>
        <v>DROGARIA POUPA MINAS (ULTRAMINAS) 3 (10129)</v>
      </c>
      <c r="R3146" t="str">
        <f t="shared" si="1545"/>
        <v>RECEITAS COM ENTREGAS (303)</v>
      </c>
      <c r="S3146">
        <v>1862</v>
      </c>
      <c r="T3146">
        <v>1345</v>
      </c>
      <c r="U3146" t="s">
        <v>19</v>
      </c>
    </row>
    <row r="3147" spans="1:21">
      <c r="A3147" t="str">
        <f>("17/06/2025")</f>
        <v>17/06/2025</v>
      </c>
      <c r="B3147" t="str">
        <f>"SAÍDA"</f>
        <v>SAÍDA</v>
      </c>
      <c r="C3147" t="str">
        <f>"PIX"</f>
        <v>PIX</v>
      </c>
      <c r="D3147" t="str">
        <f>"8596"</f>
        <v>8596</v>
      </c>
      <c r="E3147" t="str">
        <f t="shared" si="1537"/>
        <v>COM</v>
      </c>
      <c r="F3147" t="str">
        <f>"CHE CHE PRESENTES LTDA (20098)"</f>
        <v>CHE CHE PRESENTES LTDA (20098)</v>
      </c>
      <c r="G3147" t="str">
        <f>"COMPRA MICROFONE LAPELA"</f>
        <v>COMPRA MICROFONE LAPELA</v>
      </c>
      <c r="H3147" t="str">
        <f>("20/06/2025")</f>
        <v>20/06/2025</v>
      </c>
      <c r="I3147" t="str">
        <f>("20/06/2025")</f>
        <v>20/06/2025</v>
      </c>
      <c r="J3147" t="str">
        <f>("17/06/2025")</f>
        <v>17/06/2025</v>
      </c>
      <c r="K3147">
        <v>1063.3</v>
      </c>
      <c r="L3147">
        <v>1063.3</v>
      </c>
      <c r="M3147">
        <v>127</v>
      </c>
      <c r="N3147" t="str">
        <f>"PUBLICIDADE E PROPAGANDAS"</f>
        <v>PUBLICIDADE E PROPAGANDAS</v>
      </c>
      <c r="O3147">
        <v>1063.3</v>
      </c>
      <c r="R3147" t="str">
        <f>"BANCO CORA (102)"</f>
        <v>BANCO CORA (102)</v>
      </c>
      <c r="S3147">
        <v>1972</v>
      </c>
      <c r="T3147">
        <v>1551</v>
      </c>
      <c r="U3147" t="s">
        <v>19</v>
      </c>
    </row>
    <row r="3148" spans="1:21">
      <c r="A3148" t="str">
        <f>("17/06/2025")</f>
        <v>17/06/2025</v>
      </c>
      <c r="B3148" t="str">
        <f>"SAÍDA"</f>
        <v>SAÍDA</v>
      </c>
      <c r="C3148" t="str">
        <f>"PIX"</f>
        <v>PIX</v>
      </c>
      <c r="D3148" t="str">
        <f>"8596"</f>
        <v>8596</v>
      </c>
      <c r="E3148" t="str">
        <f t="shared" si="1537"/>
        <v>COM</v>
      </c>
      <c r="F3148" t="str">
        <f>"CHE CHE PRESENTES LTDA (20098)"</f>
        <v>CHE CHE PRESENTES LTDA (20098)</v>
      </c>
      <c r="G3148" t="str">
        <f>"COMPRA MICROFONE LAPELA"</f>
        <v>COMPRA MICROFONE LAPELA</v>
      </c>
      <c r="H3148" t="str">
        <f>("20/06/2025")</f>
        <v>20/06/2025</v>
      </c>
      <c r="I3148" t="str">
        <f>("20/06/2025")</f>
        <v>20/06/2025</v>
      </c>
      <c r="J3148" t="str">
        <f>("17/06/2025")</f>
        <v>17/06/2025</v>
      </c>
      <c r="M3148">
        <v>127</v>
      </c>
      <c r="N3148" t="str">
        <f>"PUBLICIDADE E PROPAGANDAS"</f>
        <v>PUBLICIDADE E PROPAGANDAS</v>
      </c>
      <c r="P3148">
        <v>1063.3</v>
      </c>
      <c r="Q3148" t="str">
        <f>"CHE CHE PRESENTES LTDA (20098)"</f>
        <v>CHE CHE PRESENTES LTDA (20098)</v>
      </c>
      <c r="R3148" t="str">
        <f>"BANCO CORA (102)"</f>
        <v>BANCO CORA (102)</v>
      </c>
      <c r="S3148">
        <v>1972</v>
      </c>
      <c r="T3148">
        <v>1551</v>
      </c>
      <c r="U3148" t="s">
        <v>19</v>
      </c>
    </row>
    <row r="3149" spans="1:21">
      <c r="A3149" t="str">
        <f>("17/06/2025")</f>
        <v>17/06/2025</v>
      </c>
      <c r="B3149" t="str">
        <f>"ENTRADA"</f>
        <v>ENTRADA</v>
      </c>
      <c r="C3149" t="str">
        <f>"PIX"</f>
        <v>PIX</v>
      </c>
      <c r="D3149" t="str">
        <f>"1606251000"</f>
        <v>1606251000</v>
      </c>
      <c r="E3149" t="str">
        <f t="shared" si="1537"/>
        <v>COM</v>
      </c>
      <c r="F3149" t="str">
        <f>"GRUPO RINAX LTDA (10177)"</f>
        <v>GRUPO RINAX LTDA (10177)</v>
      </c>
      <c r="G3149" t="str">
        <f>"RECEBIMENTO SETUP"</f>
        <v>RECEBIMENTO SETUP</v>
      </c>
      <c r="H3149" t="str">
        <f>("16/06/2025")</f>
        <v>16/06/2025</v>
      </c>
      <c r="I3149" t="str">
        <f>("16/06/2025")</f>
        <v>16/06/2025</v>
      </c>
      <c r="J3149" t="str">
        <f>("17/06/2025")</f>
        <v>17/06/2025</v>
      </c>
      <c r="K3149">
        <v>1000</v>
      </c>
      <c r="L3149">
        <v>1000</v>
      </c>
      <c r="M3149">
        <v>117</v>
      </c>
      <c r="N3149" t="str">
        <f>"RECEITAS COM SETUP"</f>
        <v>RECEITAS COM SETUP</v>
      </c>
      <c r="O3149">
        <v>1000</v>
      </c>
      <c r="R3149" t="str">
        <f>"RECEITAS COM SETUP (117)"</f>
        <v>RECEITAS COM SETUP (117)</v>
      </c>
      <c r="S3149">
        <v>2051</v>
      </c>
      <c r="T3149">
        <v>1641</v>
      </c>
      <c r="U3149" t="s">
        <v>19</v>
      </c>
    </row>
    <row r="3150" spans="1:21">
      <c r="A3150" t="str">
        <f>("17/06/2025")</f>
        <v>17/06/2025</v>
      </c>
      <c r="B3150" t="str">
        <f>"ENTRADA"</f>
        <v>ENTRADA</v>
      </c>
      <c r="C3150" t="str">
        <f>"PIX"</f>
        <v>PIX</v>
      </c>
      <c r="D3150" t="str">
        <f>"1606251000"</f>
        <v>1606251000</v>
      </c>
      <c r="E3150" t="str">
        <f t="shared" si="1537"/>
        <v>COM</v>
      </c>
      <c r="F3150" t="str">
        <f>"GRUPO RINAX LTDA (10177)"</f>
        <v>GRUPO RINAX LTDA (10177)</v>
      </c>
      <c r="G3150" t="str">
        <f>"RECEBIMENTO SETUP"</f>
        <v>RECEBIMENTO SETUP</v>
      </c>
      <c r="H3150" t="str">
        <f>("16/06/2025")</f>
        <v>16/06/2025</v>
      </c>
      <c r="I3150" t="str">
        <f>("16/06/2025")</f>
        <v>16/06/2025</v>
      </c>
      <c r="J3150" t="str">
        <f>("17/06/2025")</f>
        <v>17/06/2025</v>
      </c>
      <c r="M3150">
        <v>117</v>
      </c>
      <c r="N3150" t="str">
        <f>"RECEITAS COM SETUP"</f>
        <v>RECEITAS COM SETUP</v>
      </c>
      <c r="P3150">
        <v>1000</v>
      </c>
      <c r="Q3150" t="str">
        <f>"GRUPO RINAX LTDA (10177)"</f>
        <v>GRUPO RINAX LTDA (10177)</v>
      </c>
      <c r="R3150" t="str">
        <f>"RECEITAS COM SETUP (117)"</f>
        <v>RECEITAS COM SETUP (117)</v>
      </c>
      <c r="S3150">
        <v>2051</v>
      </c>
      <c r="T3150">
        <v>1641</v>
      </c>
      <c r="U3150" t="s">
        <v>19</v>
      </c>
    </row>
    <row r="3151" spans="1:21">
      <c r="A3151" t="str">
        <f t="shared" ref="A3151:A3182" si="1547">("18/06/2025")</f>
        <v>18/06/2025</v>
      </c>
      <c r="B3151" t="str">
        <f>"ENTRADA"</f>
        <v>ENTRADA</v>
      </c>
      <c r="C3151" t="str">
        <f t="shared" ref="C3151:C3182" si="1548">"NFSE"</f>
        <v>NFSE</v>
      </c>
      <c r="D3151" t="str">
        <f t="shared" ref="D3151:D3159" si="1549">"3075"</f>
        <v>3075</v>
      </c>
      <c r="E3151" t="str">
        <f t="shared" si="1537"/>
        <v>COM</v>
      </c>
      <c r="F3151" t="str">
        <f t="shared" ref="F3151:F3159" si="1550">"FARMÁCIA INDIANA LJ 85 (10128)"</f>
        <v>FARMÁCIA INDIANA LJ 85 (10128)</v>
      </c>
      <c r="G3151" t="str">
        <f t="shared" ref="G3151:G3159" si="1551">"Serv.Prest. 02/06/2025 a 08/06/2025 - RPS: 844 - NFSe: 3075"</f>
        <v>Serv.Prest. 02/06/2025 a 08/06/2025 - RPS: 844 - NFSe: 3075</v>
      </c>
      <c r="H3151" t="str">
        <f t="shared" ref="H3151:H3182" si="1552">("18/06/2025")</f>
        <v>18/06/2025</v>
      </c>
      <c r="I3151" t="str">
        <f t="shared" ref="I3151:I3171" si="1553">("09/06/2025")</f>
        <v>09/06/2025</v>
      </c>
      <c r="J3151" t="str">
        <f t="shared" ref="J3151:J3182" si="1554">("18/06/2025")</f>
        <v>18/06/2025</v>
      </c>
      <c r="K3151">
        <v>1405.84</v>
      </c>
      <c r="L3151">
        <v>1405.84</v>
      </c>
      <c r="M3151">
        <v>303</v>
      </c>
      <c r="N3151" t="str">
        <f t="shared" ref="N3151:N3182" si="1555">"RECEITAS COM ENTREGAS"</f>
        <v>RECEITAS COM ENTREGAS</v>
      </c>
      <c r="O3151">
        <v>1405.84</v>
      </c>
      <c r="R3151" t="str">
        <f t="shared" ref="R3151:R3182" si="1556">"RECEITAS COM ENTREGAS (303)"</f>
        <v>RECEITAS COM ENTREGAS (303)</v>
      </c>
      <c r="S3151">
        <v>1863</v>
      </c>
      <c r="T3151">
        <v>1317</v>
      </c>
      <c r="U3151" t="s">
        <v>19</v>
      </c>
    </row>
    <row r="3152" spans="1:21">
      <c r="A3152" t="str">
        <f t="shared" si="1547"/>
        <v>18/06/2025</v>
      </c>
      <c r="B3152" t="str">
        <f t="shared" ref="B3152:B3215" si="1557">"ENTRADA"</f>
        <v>ENTRADA</v>
      </c>
      <c r="C3152" t="str">
        <f t="shared" si="1548"/>
        <v>NFSE</v>
      </c>
      <c r="D3152" t="str">
        <f t="shared" si="1549"/>
        <v>3075</v>
      </c>
      <c r="E3152" t="str">
        <f t="shared" si="1537"/>
        <v>COM</v>
      </c>
      <c r="F3152" t="str">
        <f t="shared" si="1550"/>
        <v>FARMÁCIA INDIANA LJ 85 (10128)</v>
      </c>
      <c r="G3152" t="str">
        <f t="shared" si="1551"/>
        <v>Serv.Prest. 02/06/2025 a 08/06/2025 - RPS: 844 - NFSe: 3075</v>
      </c>
      <c r="H3152" t="str">
        <f t="shared" si="1552"/>
        <v>18/06/2025</v>
      </c>
      <c r="I3152" t="str">
        <f t="shared" si="1553"/>
        <v>09/06/2025</v>
      </c>
      <c r="J3152" t="str">
        <f t="shared" si="1554"/>
        <v>18/06/2025</v>
      </c>
      <c r="M3152">
        <v>303</v>
      </c>
      <c r="N3152" t="str">
        <f t="shared" si="1555"/>
        <v>RECEITAS COM ENTREGAS</v>
      </c>
      <c r="P3152">
        <v>286.38</v>
      </c>
      <c r="Q3152" t="str">
        <f>"FARMÁCIA INDIANA LJ 119 (10053)"</f>
        <v>FARMÁCIA INDIANA LJ 119 (10053)</v>
      </c>
      <c r="R3152" t="str">
        <f t="shared" si="1556"/>
        <v>RECEITAS COM ENTREGAS (303)</v>
      </c>
      <c r="S3152">
        <v>1863</v>
      </c>
      <c r="T3152">
        <v>1317</v>
      </c>
      <c r="U3152" t="s">
        <v>19</v>
      </c>
    </row>
    <row r="3153" spans="1:21">
      <c r="A3153" t="str">
        <f t="shared" si="1547"/>
        <v>18/06/2025</v>
      </c>
      <c r="B3153" t="str">
        <f t="shared" si="1557"/>
        <v>ENTRADA</v>
      </c>
      <c r="C3153" t="str">
        <f t="shared" si="1548"/>
        <v>NFSE</v>
      </c>
      <c r="D3153" t="str">
        <f t="shared" si="1549"/>
        <v>3075</v>
      </c>
      <c r="E3153" t="str">
        <f t="shared" si="1537"/>
        <v>COM</v>
      </c>
      <c r="F3153" t="str">
        <f t="shared" si="1550"/>
        <v>FARMÁCIA INDIANA LJ 85 (10128)</v>
      </c>
      <c r="G3153" t="str">
        <f t="shared" si="1551"/>
        <v>Serv.Prest. 02/06/2025 a 08/06/2025 - RPS: 844 - NFSe: 3075</v>
      </c>
      <c r="H3153" t="str">
        <f t="shared" si="1552"/>
        <v>18/06/2025</v>
      </c>
      <c r="I3153" t="str">
        <f t="shared" si="1553"/>
        <v>09/06/2025</v>
      </c>
      <c r="J3153" t="str">
        <f t="shared" si="1554"/>
        <v>18/06/2025</v>
      </c>
      <c r="M3153">
        <v>303</v>
      </c>
      <c r="N3153" t="str">
        <f t="shared" si="1555"/>
        <v>RECEITAS COM ENTREGAS</v>
      </c>
      <c r="P3153">
        <v>280.04000000000002</v>
      </c>
      <c r="Q3153" t="str">
        <f>"FARMÁCIA INDIANA LJ 163 (10072)"</f>
        <v>FARMÁCIA INDIANA LJ 163 (10072)</v>
      </c>
      <c r="R3153" t="str">
        <f t="shared" si="1556"/>
        <v>RECEITAS COM ENTREGAS (303)</v>
      </c>
      <c r="S3153">
        <v>1863</v>
      </c>
      <c r="T3153">
        <v>1317</v>
      </c>
      <c r="U3153" t="s">
        <v>19</v>
      </c>
    </row>
    <row r="3154" spans="1:21">
      <c r="A3154" t="str">
        <f t="shared" si="1547"/>
        <v>18/06/2025</v>
      </c>
      <c r="B3154" t="str">
        <f t="shared" si="1557"/>
        <v>ENTRADA</v>
      </c>
      <c r="C3154" t="str">
        <f t="shared" si="1548"/>
        <v>NFSE</v>
      </c>
      <c r="D3154" t="str">
        <f t="shared" si="1549"/>
        <v>3075</v>
      </c>
      <c r="E3154" t="str">
        <f t="shared" si="1537"/>
        <v>COM</v>
      </c>
      <c r="F3154" t="str">
        <f t="shared" si="1550"/>
        <v>FARMÁCIA INDIANA LJ 85 (10128)</v>
      </c>
      <c r="G3154" t="str">
        <f t="shared" si="1551"/>
        <v>Serv.Prest. 02/06/2025 a 08/06/2025 - RPS: 844 - NFSe: 3075</v>
      </c>
      <c r="H3154" t="str">
        <f t="shared" si="1552"/>
        <v>18/06/2025</v>
      </c>
      <c r="I3154" t="str">
        <f t="shared" si="1553"/>
        <v>09/06/2025</v>
      </c>
      <c r="J3154" t="str">
        <f t="shared" si="1554"/>
        <v>18/06/2025</v>
      </c>
      <c r="M3154">
        <v>303</v>
      </c>
      <c r="N3154" t="str">
        <f t="shared" si="1555"/>
        <v>RECEITAS COM ENTREGAS</v>
      </c>
      <c r="P3154">
        <v>151.97</v>
      </c>
      <c r="Q3154" t="str">
        <f>"FARMÁCIA INDIANA LJ 181 (10078)"</f>
        <v>FARMÁCIA INDIANA LJ 181 (10078)</v>
      </c>
      <c r="R3154" t="str">
        <f t="shared" si="1556"/>
        <v>RECEITAS COM ENTREGAS (303)</v>
      </c>
      <c r="S3154">
        <v>1863</v>
      </c>
      <c r="T3154">
        <v>1317</v>
      </c>
      <c r="U3154" t="s">
        <v>19</v>
      </c>
    </row>
    <row r="3155" spans="1:21">
      <c r="A3155" t="str">
        <f t="shared" si="1547"/>
        <v>18/06/2025</v>
      </c>
      <c r="B3155" t="str">
        <f t="shared" si="1557"/>
        <v>ENTRADA</v>
      </c>
      <c r="C3155" t="str">
        <f t="shared" si="1548"/>
        <v>NFSE</v>
      </c>
      <c r="D3155" t="str">
        <f t="shared" si="1549"/>
        <v>3075</v>
      </c>
      <c r="E3155" t="str">
        <f t="shared" si="1537"/>
        <v>COM</v>
      </c>
      <c r="F3155" t="str">
        <f t="shared" si="1550"/>
        <v>FARMÁCIA INDIANA LJ 85 (10128)</v>
      </c>
      <c r="G3155" t="str">
        <f t="shared" si="1551"/>
        <v>Serv.Prest. 02/06/2025 a 08/06/2025 - RPS: 844 - NFSe: 3075</v>
      </c>
      <c r="H3155" t="str">
        <f t="shared" si="1552"/>
        <v>18/06/2025</v>
      </c>
      <c r="I3155" t="str">
        <f t="shared" si="1553"/>
        <v>09/06/2025</v>
      </c>
      <c r="J3155" t="str">
        <f t="shared" si="1554"/>
        <v>18/06/2025</v>
      </c>
      <c r="M3155">
        <v>303</v>
      </c>
      <c r="N3155" t="str">
        <f t="shared" si="1555"/>
        <v>RECEITAS COM ENTREGAS</v>
      </c>
      <c r="P3155">
        <v>161.66999999999999</v>
      </c>
      <c r="Q3155" t="str">
        <f>"FARMÁCIA INDIANA LJ 221 (10093)"</f>
        <v>FARMÁCIA INDIANA LJ 221 (10093)</v>
      </c>
      <c r="R3155" t="str">
        <f t="shared" si="1556"/>
        <v>RECEITAS COM ENTREGAS (303)</v>
      </c>
      <c r="S3155">
        <v>1863</v>
      </c>
      <c r="T3155">
        <v>1317</v>
      </c>
      <c r="U3155" t="s">
        <v>19</v>
      </c>
    </row>
    <row r="3156" spans="1:21">
      <c r="A3156" t="str">
        <f t="shared" si="1547"/>
        <v>18/06/2025</v>
      </c>
      <c r="B3156" t="str">
        <f t="shared" si="1557"/>
        <v>ENTRADA</v>
      </c>
      <c r="C3156" t="str">
        <f t="shared" si="1548"/>
        <v>NFSE</v>
      </c>
      <c r="D3156" t="str">
        <f t="shared" si="1549"/>
        <v>3075</v>
      </c>
      <c r="E3156" t="str">
        <f t="shared" si="1537"/>
        <v>COM</v>
      </c>
      <c r="F3156" t="str">
        <f t="shared" si="1550"/>
        <v>FARMÁCIA INDIANA LJ 85 (10128)</v>
      </c>
      <c r="G3156" t="str">
        <f t="shared" si="1551"/>
        <v>Serv.Prest. 02/06/2025 a 08/06/2025 - RPS: 844 - NFSe: 3075</v>
      </c>
      <c r="H3156" t="str">
        <f t="shared" si="1552"/>
        <v>18/06/2025</v>
      </c>
      <c r="I3156" t="str">
        <f t="shared" si="1553"/>
        <v>09/06/2025</v>
      </c>
      <c r="J3156" t="str">
        <f t="shared" si="1554"/>
        <v>18/06/2025</v>
      </c>
      <c r="M3156">
        <v>303</v>
      </c>
      <c r="N3156" t="str">
        <f t="shared" si="1555"/>
        <v>RECEITAS COM ENTREGAS</v>
      </c>
      <c r="P3156">
        <v>181.35</v>
      </c>
      <c r="Q3156" t="str">
        <f>"FARMÁCIA INDIANA LJ 243 (10142)"</f>
        <v>FARMÁCIA INDIANA LJ 243 (10142)</v>
      </c>
      <c r="R3156" t="str">
        <f t="shared" si="1556"/>
        <v>RECEITAS COM ENTREGAS (303)</v>
      </c>
      <c r="S3156">
        <v>1863</v>
      </c>
      <c r="T3156">
        <v>1317</v>
      </c>
      <c r="U3156" t="s">
        <v>19</v>
      </c>
    </row>
    <row r="3157" spans="1:21">
      <c r="A3157" t="str">
        <f t="shared" si="1547"/>
        <v>18/06/2025</v>
      </c>
      <c r="B3157" t="str">
        <f t="shared" si="1557"/>
        <v>ENTRADA</v>
      </c>
      <c r="C3157" t="str">
        <f t="shared" si="1548"/>
        <v>NFSE</v>
      </c>
      <c r="D3157" t="str">
        <f t="shared" si="1549"/>
        <v>3075</v>
      </c>
      <c r="E3157" t="str">
        <f t="shared" si="1537"/>
        <v>COM</v>
      </c>
      <c r="F3157" t="str">
        <f t="shared" si="1550"/>
        <v>FARMÁCIA INDIANA LJ 85 (10128)</v>
      </c>
      <c r="G3157" t="str">
        <f t="shared" si="1551"/>
        <v>Serv.Prest. 02/06/2025 a 08/06/2025 - RPS: 844 - NFSe: 3075</v>
      </c>
      <c r="H3157" t="str">
        <f t="shared" si="1552"/>
        <v>18/06/2025</v>
      </c>
      <c r="I3157" t="str">
        <f t="shared" si="1553"/>
        <v>09/06/2025</v>
      </c>
      <c r="J3157" t="str">
        <f t="shared" si="1554"/>
        <v>18/06/2025</v>
      </c>
      <c r="M3157">
        <v>303</v>
      </c>
      <c r="N3157" t="str">
        <f t="shared" si="1555"/>
        <v>RECEITAS COM ENTREGAS</v>
      </c>
      <c r="P3157">
        <v>86.18</v>
      </c>
      <c r="Q3157" t="str">
        <f>"FARMÁCIA INDIANA LJ 211 (10168)"</f>
        <v>FARMÁCIA INDIANA LJ 211 (10168)</v>
      </c>
      <c r="R3157" t="str">
        <f t="shared" si="1556"/>
        <v>RECEITAS COM ENTREGAS (303)</v>
      </c>
      <c r="S3157">
        <v>1863</v>
      </c>
      <c r="T3157">
        <v>1317</v>
      </c>
      <c r="U3157" t="s">
        <v>19</v>
      </c>
    </row>
    <row r="3158" spans="1:21">
      <c r="A3158" t="str">
        <f t="shared" si="1547"/>
        <v>18/06/2025</v>
      </c>
      <c r="B3158" t="str">
        <f t="shared" si="1557"/>
        <v>ENTRADA</v>
      </c>
      <c r="C3158" t="str">
        <f t="shared" si="1548"/>
        <v>NFSE</v>
      </c>
      <c r="D3158" t="str">
        <f t="shared" si="1549"/>
        <v>3075</v>
      </c>
      <c r="E3158" t="str">
        <f t="shared" si="1537"/>
        <v>COM</v>
      </c>
      <c r="F3158" t="str">
        <f t="shared" si="1550"/>
        <v>FARMÁCIA INDIANA LJ 85 (10128)</v>
      </c>
      <c r="G3158" t="str">
        <f t="shared" si="1551"/>
        <v>Serv.Prest. 02/06/2025 a 08/06/2025 - RPS: 844 - NFSe: 3075</v>
      </c>
      <c r="H3158" t="str">
        <f t="shared" si="1552"/>
        <v>18/06/2025</v>
      </c>
      <c r="I3158" t="str">
        <f t="shared" si="1553"/>
        <v>09/06/2025</v>
      </c>
      <c r="J3158" t="str">
        <f t="shared" si="1554"/>
        <v>18/06/2025</v>
      </c>
      <c r="M3158">
        <v>303</v>
      </c>
      <c r="N3158" t="str">
        <f t="shared" si="1555"/>
        <v>RECEITAS COM ENTREGAS</v>
      </c>
      <c r="P3158">
        <v>86.18</v>
      </c>
      <c r="Q3158" t="str">
        <f>"FARMÁCIA INDIANA LJ 236 (10169)"</f>
        <v>FARMÁCIA INDIANA LJ 236 (10169)</v>
      </c>
      <c r="R3158" t="str">
        <f t="shared" si="1556"/>
        <v>RECEITAS COM ENTREGAS (303)</v>
      </c>
      <c r="S3158">
        <v>1863</v>
      </c>
      <c r="T3158">
        <v>1317</v>
      </c>
      <c r="U3158" t="s">
        <v>19</v>
      </c>
    </row>
    <row r="3159" spans="1:21">
      <c r="A3159" t="str">
        <f t="shared" si="1547"/>
        <v>18/06/2025</v>
      </c>
      <c r="B3159" t="str">
        <f t="shared" si="1557"/>
        <v>ENTRADA</v>
      </c>
      <c r="C3159" t="str">
        <f t="shared" si="1548"/>
        <v>NFSE</v>
      </c>
      <c r="D3159" t="str">
        <f t="shared" si="1549"/>
        <v>3075</v>
      </c>
      <c r="E3159" t="str">
        <f t="shared" si="1537"/>
        <v>COM</v>
      </c>
      <c r="F3159" t="str">
        <f t="shared" si="1550"/>
        <v>FARMÁCIA INDIANA LJ 85 (10128)</v>
      </c>
      <c r="G3159" t="str">
        <f t="shared" si="1551"/>
        <v>Serv.Prest. 02/06/2025 a 08/06/2025 - RPS: 844 - NFSe: 3075</v>
      </c>
      <c r="H3159" t="str">
        <f t="shared" si="1552"/>
        <v>18/06/2025</v>
      </c>
      <c r="I3159" t="str">
        <f t="shared" si="1553"/>
        <v>09/06/2025</v>
      </c>
      <c r="J3159" t="str">
        <f t="shared" si="1554"/>
        <v>18/06/2025</v>
      </c>
      <c r="M3159">
        <v>303</v>
      </c>
      <c r="N3159" t="str">
        <f t="shared" si="1555"/>
        <v>RECEITAS COM ENTREGAS</v>
      </c>
      <c r="P3159">
        <v>172.07</v>
      </c>
      <c r="Q3159" t="str">
        <f>"FARMÁCIA INDIANA LJ 188 (10176)"</f>
        <v>FARMÁCIA INDIANA LJ 188 (10176)</v>
      </c>
      <c r="R3159" t="str">
        <f t="shared" si="1556"/>
        <v>RECEITAS COM ENTREGAS (303)</v>
      </c>
      <c r="S3159">
        <v>1863</v>
      </c>
      <c r="T3159">
        <v>1317</v>
      </c>
      <c r="U3159" t="s">
        <v>19</v>
      </c>
    </row>
    <row r="3160" spans="1:21">
      <c r="A3160" t="str">
        <f t="shared" si="1547"/>
        <v>18/06/2025</v>
      </c>
      <c r="B3160" t="str">
        <f t="shared" si="1557"/>
        <v>ENTRADA</v>
      </c>
      <c r="C3160" t="str">
        <f t="shared" si="1548"/>
        <v>NFSE</v>
      </c>
      <c r="D3160" t="str">
        <f t="shared" ref="D3160:D3171" si="1558">"3076"</f>
        <v>3076</v>
      </c>
      <c r="E3160" t="str">
        <f t="shared" si="1537"/>
        <v>COM</v>
      </c>
      <c r="F3160" t="str">
        <f t="shared" ref="F3160:F3171" si="1559">"FARMÁCIA INDIANA LJ 30 (10127)"</f>
        <v>FARMÁCIA INDIANA LJ 30 (10127)</v>
      </c>
      <c r="G3160" t="str">
        <f t="shared" ref="G3160:G3171" si="1560">"Serv.Prest. 02/06/2025 a 08/06/2025 - RPS: 845 - NFSe: 3076"</f>
        <v>Serv.Prest. 02/06/2025 a 08/06/2025 - RPS: 845 - NFSe: 3076</v>
      </c>
      <c r="H3160" t="str">
        <f t="shared" si="1552"/>
        <v>18/06/2025</v>
      </c>
      <c r="I3160" t="str">
        <f t="shared" si="1553"/>
        <v>09/06/2025</v>
      </c>
      <c r="J3160" t="str">
        <f t="shared" si="1554"/>
        <v>18/06/2025</v>
      </c>
      <c r="K3160">
        <v>2724.06</v>
      </c>
      <c r="L3160">
        <v>2724.06</v>
      </c>
      <c r="M3160">
        <v>303</v>
      </c>
      <c r="N3160" t="str">
        <f t="shared" si="1555"/>
        <v>RECEITAS COM ENTREGAS</v>
      </c>
      <c r="O3160">
        <v>2724.06</v>
      </c>
      <c r="R3160" t="str">
        <f t="shared" si="1556"/>
        <v>RECEITAS COM ENTREGAS (303)</v>
      </c>
      <c r="S3160">
        <v>1864</v>
      </c>
      <c r="T3160">
        <v>1329</v>
      </c>
      <c r="U3160" t="s">
        <v>19</v>
      </c>
    </row>
    <row r="3161" spans="1:21">
      <c r="A3161" t="str">
        <f t="shared" si="1547"/>
        <v>18/06/2025</v>
      </c>
      <c r="B3161" t="str">
        <f t="shared" si="1557"/>
        <v>ENTRADA</v>
      </c>
      <c r="C3161" t="str">
        <f t="shared" si="1548"/>
        <v>NFSE</v>
      </c>
      <c r="D3161" t="str">
        <f t="shared" si="1558"/>
        <v>3076</v>
      </c>
      <c r="E3161" t="str">
        <f t="shared" si="1537"/>
        <v>COM</v>
      </c>
      <c r="F3161" t="str">
        <f t="shared" si="1559"/>
        <v>FARMÁCIA INDIANA LJ 30 (10127)</v>
      </c>
      <c r="G3161" t="str">
        <f t="shared" si="1560"/>
        <v>Serv.Prest. 02/06/2025 a 08/06/2025 - RPS: 845 - NFSe: 3076</v>
      </c>
      <c r="H3161" t="str">
        <f t="shared" si="1552"/>
        <v>18/06/2025</v>
      </c>
      <c r="I3161" t="str">
        <f t="shared" si="1553"/>
        <v>09/06/2025</v>
      </c>
      <c r="J3161" t="str">
        <f t="shared" si="1554"/>
        <v>18/06/2025</v>
      </c>
      <c r="M3161">
        <v>303</v>
      </c>
      <c r="N3161" t="str">
        <f t="shared" si="1555"/>
        <v>RECEITAS COM ENTREGAS</v>
      </c>
      <c r="P3161">
        <v>340.79</v>
      </c>
      <c r="Q3161" t="str">
        <f>"FARMÁCIA INDIANA LJ 34 (10014)"</f>
        <v>FARMÁCIA INDIANA LJ 34 (10014)</v>
      </c>
      <c r="R3161" t="str">
        <f t="shared" si="1556"/>
        <v>RECEITAS COM ENTREGAS (303)</v>
      </c>
      <c r="S3161">
        <v>1864</v>
      </c>
      <c r="T3161">
        <v>1329</v>
      </c>
      <c r="U3161" t="s">
        <v>19</v>
      </c>
    </row>
    <row r="3162" spans="1:21">
      <c r="A3162" t="str">
        <f t="shared" si="1547"/>
        <v>18/06/2025</v>
      </c>
      <c r="B3162" t="str">
        <f t="shared" si="1557"/>
        <v>ENTRADA</v>
      </c>
      <c r="C3162" t="str">
        <f t="shared" si="1548"/>
        <v>NFSE</v>
      </c>
      <c r="D3162" t="str">
        <f t="shared" si="1558"/>
        <v>3076</v>
      </c>
      <c r="E3162" t="str">
        <f t="shared" si="1537"/>
        <v>COM</v>
      </c>
      <c r="F3162" t="str">
        <f t="shared" si="1559"/>
        <v>FARMÁCIA INDIANA LJ 30 (10127)</v>
      </c>
      <c r="G3162" t="str">
        <f t="shared" si="1560"/>
        <v>Serv.Prest. 02/06/2025 a 08/06/2025 - RPS: 845 - NFSe: 3076</v>
      </c>
      <c r="H3162" t="str">
        <f t="shared" si="1552"/>
        <v>18/06/2025</v>
      </c>
      <c r="I3162" t="str">
        <f t="shared" si="1553"/>
        <v>09/06/2025</v>
      </c>
      <c r="J3162" t="str">
        <f t="shared" si="1554"/>
        <v>18/06/2025</v>
      </c>
      <c r="M3162">
        <v>303</v>
      </c>
      <c r="N3162" t="str">
        <f t="shared" si="1555"/>
        <v>RECEITAS COM ENTREGAS</v>
      </c>
      <c r="P3162">
        <v>224.19</v>
      </c>
      <c r="Q3162" t="str">
        <f>"FARMÁCIA INDIANA LJ 35 (10015)"</f>
        <v>FARMÁCIA INDIANA LJ 35 (10015)</v>
      </c>
      <c r="R3162" t="str">
        <f t="shared" si="1556"/>
        <v>RECEITAS COM ENTREGAS (303)</v>
      </c>
      <c r="S3162">
        <v>1864</v>
      </c>
      <c r="T3162">
        <v>1329</v>
      </c>
      <c r="U3162" t="s">
        <v>19</v>
      </c>
    </row>
    <row r="3163" spans="1:21">
      <c r="A3163" t="str">
        <f t="shared" si="1547"/>
        <v>18/06/2025</v>
      </c>
      <c r="B3163" t="str">
        <f t="shared" si="1557"/>
        <v>ENTRADA</v>
      </c>
      <c r="C3163" t="str">
        <f t="shared" si="1548"/>
        <v>NFSE</v>
      </c>
      <c r="D3163" t="str">
        <f t="shared" si="1558"/>
        <v>3076</v>
      </c>
      <c r="E3163" t="str">
        <f t="shared" si="1537"/>
        <v>COM</v>
      </c>
      <c r="F3163" t="str">
        <f t="shared" si="1559"/>
        <v>FARMÁCIA INDIANA LJ 30 (10127)</v>
      </c>
      <c r="G3163" t="str">
        <f t="shared" si="1560"/>
        <v>Serv.Prest. 02/06/2025 a 08/06/2025 - RPS: 845 - NFSe: 3076</v>
      </c>
      <c r="H3163" t="str">
        <f t="shared" si="1552"/>
        <v>18/06/2025</v>
      </c>
      <c r="I3163" t="str">
        <f t="shared" si="1553"/>
        <v>09/06/2025</v>
      </c>
      <c r="J3163" t="str">
        <f t="shared" si="1554"/>
        <v>18/06/2025</v>
      </c>
      <c r="M3163">
        <v>303</v>
      </c>
      <c r="N3163" t="str">
        <f t="shared" si="1555"/>
        <v>RECEITAS COM ENTREGAS</v>
      </c>
      <c r="P3163">
        <v>326.07</v>
      </c>
      <c r="Q3163" t="str">
        <f>"FARMÁCIA INDIANA LJ 48 (10018)"</f>
        <v>FARMÁCIA INDIANA LJ 48 (10018)</v>
      </c>
      <c r="R3163" t="str">
        <f t="shared" si="1556"/>
        <v>RECEITAS COM ENTREGAS (303)</v>
      </c>
      <c r="S3163">
        <v>1864</v>
      </c>
      <c r="T3163">
        <v>1329</v>
      </c>
      <c r="U3163" t="s">
        <v>19</v>
      </c>
    </row>
    <row r="3164" spans="1:21">
      <c r="A3164" t="str">
        <f t="shared" si="1547"/>
        <v>18/06/2025</v>
      </c>
      <c r="B3164" t="str">
        <f t="shared" si="1557"/>
        <v>ENTRADA</v>
      </c>
      <c r="C3164" t="str">
        <f t="shared" si="1548"/>
        <v>NFSE</v>
      </c>
      <c r="D3164" t="str">
        <f t="shared" si="1558"/>
        <v>3076</v>
      </c>
      <c r="E3164" t="str">
        <f t="shared" si="1537"/>
        <v>COM</v>
      </c>
      <c r="F3164" t="str">
        <f t="shared" si="1559"/>
        <v>FARMÁCIA INDIANA LJ 30 (10127)</v>
      </c>
      <c r="G3164" t="str">
        <f t="shared" si="1560"/>
        <v>Serv.Prest. 02/06/2025 a 08/06/2025 - RPS: 845 - NFSe: 3076</v>
      </c>
      <c r="H3164" t="str">
        <f t="shared" si="1552"/>
        <v>18/06/2025</v>
      </c>
      <c r="I3164" t="str">
        <f t="shared" si="1553"/>
        <v>09/06/2025</v>
      </c>
      <c r="J3164" t="str">
        <f t="shared" si="1554"/>
        <v>18/06/2025</v>
      </c>
      <c r="M3164">
        <v>303</v>
      </c>
      <c r="N3164" t="str">
        <f t="shared" si="1555"/>
        <v>RECEITAS COM ENTREGAS</v>
      </c>
      <c r="P3164">
        <v>383.55</v>
      </c>
      <c r="Q3164" t="str">
        <f>"FARMÁCIA INDIANA LJ 65 (10030)"</f>
        <v>FARMÁCIA INDIANA LJ 65 (10030)</v>
      </c>
      <c r="R3164" t="str">
        <f t="shared" si="1556"/>
        <v>RECEITAS COM ENTREGAS (303)</v>
      </c>
      <c r="S3164">
        <v>1864</v>
      </c>
      <c r="T3164">
        <v>1329</v>
      </c>
      <c r="U3164" t="s">
        <v>19</v>
      </c>
    </row>
    <row r="3165" spans="1:21">
      <c r="A3165" t="str">
        <f t="shared" si="1547"/>
        <v>18/06/2025</v>
      </c>
      <c r="B3165" t="str">
        <f t="shared" si="1557"/>
        <v>ENTRADA</v>
      </c>
      <c r="C3165" t="str">
        <f t="shared" si="1548"/>
        <v>NFSE</v>
      </c>
      <c r="D3165" t="str">
        <f t="shared" si="1558"/>
        <v>3076</v>
      </c>
      <c r="E3165" t="str">
        <f t="shared" si="1537"/>
        <v>COM</v>
      </c>
      <c r="F3165" t="str">
        <f t="shared" si="1559"/>
        <v>FARMÁCIA INDIANA LJ 30 (10127)</v>
      </c>
      <c r="G3165" t="str">
        <f t="shared" si="1560"/>
        <v>Serv.Prest. 02/06/2025 a 08/06/2025 - RPS: 845 - NFSe: 3076</v>
      </c>
      <c r="H3165" t="str">
        <f t="shared" si="1552"/>
        <v>18/06/2025</v>
      </c>
      <c r="I3165" t="str">
        <f t="shared" si="1553"/>
        <v>09/06/2025</v>
      </c>
      <c r="J3165" t="str">
        <f t="shared" si="1554"/>
        <v>18/06/2025</v>
      </c>
      <c r="M3165">
        <v>303</v>
      </c>
      <c r="N3165" t="str">
        <f t="shared" si="1555"/>
        <v>RECEITAS COM ENTREGAS</v>
      </c>
      <c r="P3165">
        <v>153.09</v>
      </c>
      <c r="Q3165" t="str">
        <f>"FARMÁCIA INDIANA LJ 77 (10034)"</f>
        <v>FARMÁCIA INDIANA LJ 77 (10034)</v>
      </c>
      <c r="R3165" t="str">
        <f t="shared" si="1556"/>
        <v>RECEITAS COM ENTREGAS (303)</v>
      </c>
      <c r="S3165">
        <v>1864</v>
      </c>
      <c r="T3165">
        <v>1329</v>
      </c>
      <c r="U3165" t="s">
        <v>19</v>
      </c>
    </row>
    <row r="3166" spans="1:21">
      <c r="A3166" t="str">
        <f t="shared" si="1547"/>
        <v>18/06/2025</v>
      </c>
      <c r="B3166" t="str">
        <f t="shared" si="1557"/>
        <v>ENTRADA</v>
      </c>
      <c r="C3166" t="str">
        <f t="shared" si="1548"/>
        <v>NFSE</v>
      </c>
      <c r="D3166" t="str">
        <f t="shared" si="1558"/>
        <v>3076</v>
      </c>
      <c r="E3166" t="str">
        <f t="shared" si="1537"/>
        <v>COM</v>
      </c>
      <c r="F3166" t="str">
        <f t="shared" si="1559"/>
        <v>FARMÁCIA INDIANA LJ 30 (10127)</v>
      </c>
      <c r="G3166" t="str">
        <f t="shared" si="1560"/>
        <v>Serv.Prest. 02/06/2025 a 08/06/2025 - RPS: 845 - NFSe: 3076</v>
      </c>
      <c r="H3166" t="str">
        <f t="shared" si="1552"/>
        <v>18/06/2025</v>
      </c>
      <c r="I3166" t="str">
        <f t="shared" si="1553"/>
        <v>09/06/2025</v>
      </c>
      <c r="J3166" t="str">
        <f t="shared" si="1554"/>
        <v>18/06/2025</v>
      </c>
      <c r="M3166">
        <v>303</v>
      </c>
      <c r="N3166" t="str">
        <f t="shared" si="1555"/>
        <v>RECEITAS COM ENTREGAS</v>
      </c>
      <c r="P3166">
        <v>254.15</v>
      </c>
      <c r="Q3166" t="str">
        <f>"FARMÁCIA INDIANA LJ 91 (10037)"</f>
        <v>FARMÁCIA INDIANA LJ 91 (10037)</v>
      </c>
      <c r="R3166" t="str">
        <f t="shared" si="1556"/>
        <v>RECEITAS COM ENTREGAS (303)</v>
      </c>
      <c r="S3166">
        <v>1864</v>
      </c>
      <c r="T3166">
        <v>1329</v>
      </c>
      <c r="U3166" t="s">
        <v>19</v>
      </c>
    </row>
    <row r="3167" spans="1:21">
      <c r="A3167" t="str">
        <f t="shared" si="1547"/>
        <v>18/06/2025</v>
      </c>
      <c r="B3167" t="str">
        <f t="shared" si="1557"/>
        <v>ENTRADA</v>
      </c>
      <c r="C3167" t="str">
        <f t="shared" si="1548"/>
        <v>NFSE</v>
      </c>
      <c r="D3167" t="str">
        <f t="shared" si="1558"/>
        <v>3076</v>
      </c>
      <c r="E3167" t="str">
        <f t="shared" si="1537"/>
        <v>COM</v>
      </c>
      <c r="F3167" t="str">
        <f t="shared" si="1559"/>
        <v>FARMÁCIA INDIANA LJ 30 (10127)</v>
      </c>
      <c r="G3167" t="str">
        <f t="shared" si="1560"/>
        <v>Serv.Prest. 02/06/2025 a 08/06/2025 - RPS: 845 - NFSe: 3076</v>
      </c>
      <c r="H3167" t="str">
        <f t="shared" si="1552"/>
        <v>18/06/2025</v>
      </c>
      <c r="I3167" t="str">
        <f t="shared" si="1553"/>
        <v>09/06/2025</v>
      </c>
      <c r="J3167" t="str">
        <f t="shared" si="1554"/>
        <v>18/06/2025</v>
      </c>
      <c r="M3167">
        <v>303</v>
      </c>
      <c r="N3167" t="str">
        <f t="shared" si="1555"/>
        <v>RECEITAS COM ENTREGAS</v>
      </c>
      <c r="P3167">
        <v>315.72000000000003</v>
      </c>
      <c r="Q3167" t="str">
        <f>"FARMÁCIA INDIANA LJ 95 (10039)"</f>
        <v>FARMÁCIA INDIANA LJ 95 (10039)</v>
      </c>
      <c r="R3167" t="str">
        <f t="shared" si="1556"/>
        <v>RECEITAS COM ENTREGAS (303)</v>
      </c>
      <c r="S3167">
        <v>1864</v>
      </c>
      <c r="T3167">
        <v>1329</v>
      </c>
      <c r="U3167" t="s">
        <v>19</v>
      </c>
    </row>
    <row r="3168" spans="1:21">
      <c r="A3168" t="str">
        <f t="shared" si="1547"/>
        <v>18/06/2025</v>
      </c>
      <c r="B3168" t="str">
        <f t="shared" si="1557"/>
        <v>ENTRADA</v>
      </c>
      <c r="C3168" t="str">
        <f t="shared" si="1548"/>
        <v>NFSE</v>
      </c>
      <c r="D3168" t="str">
        <f t="shared" si="1558"/>
        <v>3076</v>
      </c>
      <c r="E3168" t="str">
        <f t="shared" si="1537"/>
        <v>COM</v>
      </c>
      <c r="F3168" t="str">
        <f t="shared" si="1559"/>
        <v>FARMÁCIA INDIANA LJ 30 (10127)</v>
      </c>
      <c r="G3168" t="str">
        <f t="shared" si="1560"/>
        <v>Serv.Prest. 02/06/2025 a 08/06/2025 - RPS: 845 - NFSe: 3076</v>
      </c>
      <c r="H3168" t="str">
        <f t="shared" si="1552"/>
        <v>18/06/2025</v>
      </c>
      <c r="I3168" t="str">
        <f t="shared" si="1553"/>
        <v>09/06/2025</v>
      </c>
      <c r="J3168" t="str">
        <f t="shared" si="1554"/>
        <v>18/06/2025</v>
      </c>
      <c r="M3168">
        <v>303</v>
      </c>
      <c r="N3168" t="str">
        <f t="shared" si="1555"/>
        <v>RECEITAS COM ENTREGAS</v>
      </c>
      <c r="P3168">
        <v>280.85000000000002</v>
      </c>
      <c r="Q3168" t="str">
        <f>"FARMÁCIA INDIANA LJ 145 (10068)"</f>
        <v>FARMÁCIA INDIANA LJ 145 (10068)</v>
      </c>
      <c r="R3168" t="str">
        <f t="shared" si="1556"/>
        <v>RECEITAS COM ENTREGAS (303)</v>
      </c>
      <c r="S3168">
        <v>1864</v>
      </c>
      <c r="T3168">
        <v>1329</v>
      </c>
      <c r="U3168" t="s">
        <v>19</v>
      </c>
    </row>
    <row r="3169" spans="1:21">
      <c r="A3169" t="str">
        <f t="shared" si="1547"/>
        <v>18/06/2025</v>
      </c>
      <c r="B3169" t="str">
        <f t="shared" si="1557"/>
        <v>ENTRADA</v>
      </c>
      <c r="C3169" t="str">
        <f t="shared" si="1548"/>
        <v>NFSE</v>
      </c>
      <c r="D3169" t="str">
        <f t="shared" si="1558"/>
        <v>3076</v>
      </c>
      <c r="E3169" t="str">
        <f t="shared" si="1537"/>
        <v>COM</v>
      </c>
      <c r="F3169" t="str">
        <f t="shared" si="1559"/>
        <v>FARMÁCIA INDIANA LJ 30 (10127)</v>
      </c>
      <c r="G3169" t="str">
        <f t="shared" si="1560"/>
        <v>Serv.Prest. 02/06/2025 a 08/06/2025 - RPS: 845 - NFSe: 3076</v>
      </c>
      <c r="H3169" t="str">
        <f t="shared" si="1552"/>
        <v>18/06/2025</v>
      </c>
      <c r="I3169" t="str">
        <f t="shared" si="1553"/>
        <v>09/06/2025</v>
      </c>
      <c r="J3169" t="str">
        <f t="shared" si="1554"/>
        <v>18/06/2025</v>
      </c>
      <c r="M3169">
        <v>303</v>
      </c>
      <c r="N3169" t="str">
        <f t="shared" si="1555"/>
        <v>RECEITAS COM ENTREGAS</v>
      </c>
      <c r="P3169">
        <v>104.06</v>
      </c>
      <c r="Q3169" t="str">
        <f>"FARMÁCIA INDIANA LJ 169 (10073)"</f>
        <v>FARMÁCIA INDIANA LJ 169 (10073)</v>
      </c>
      <c r="R3169" t="str">
        <f t="shared" si="1556"/>
        <v>RECEITAS COM ENTREGAS (303)</v>
      </c>
      <c r="S3169">
        <v>1864</v>
      </c>
      <c r="T3169">
        <v>1329</v>
      </c>
      <c r="U3169" t="s">
        <v>19</v>
      </c>
    </row>
    <row r="3170" spans="1:21">
      <c r="A3170" t="str">
        <f t="shared" si="1547"/>
        <v>18/06/2025</v>
      </c>
      <c r="B3170" t="str">
        <f t="shared" si="1557"/>
        <v>ENTRADA</v>
      </c>
      <c r="C3170" t="str">
        <f t="shared" si="1548"/>
        <v>NFSE</v>
      </c>
      <c r="D3170" t="str">
        <f t="shared" si="1558"/>
        <v>3076</v>
      </c>
      <c r="E3170" t="str">
        <f t="shared" si="1537"/>
        <v>COM</v>
      </c>
      <c r="F3170" t="str">
        <f t="shared" si="1559"/>
        <v>FARMÁCIA INDIANA LJ 30 (10127)</v>
      </c>
      <c r="G3170" t="str">
        <f t="shared" si="1560"/>
        <v>Serv.Prest. 02/06/2025 a 08/06/2025 - RPS: 845 - NFSe: 3076</v>
      </c>
      <c r="H3170" t="str">
        <f t="shared" si="1552"/>
        <v>18/06/2025</v>
      </c>
      <c r="I3170" t="str">
        <f t="shared" si="1553"/>
        <v>09/06/2025</v>
      </c>
      <c r="J3170" t="str">
        <f t="shared" si="1554"/>
        <v>18/06/2025</v>
      </c>
      <c r="M3170">
        <v>303</v>
      </c>
      <c r="N3170" t="str">
        <f t="shared" si="1555"/>
        <v>RECEITAS COM ENTREGAS</v>
      </c>
      <c r="P3170">
        <v>191.77</v>
      </c>
      <c r="Q3170" t="str">
        <f>"FARMÁCIA INDIANA LJ 173 (10075)"</f>
        <v>FARMÁCIA INDIANA LJ 173 (10075)</v>
      </c>
      <c r="R3170" t="str">
        <f t="shared" si="1556"/>
        <v>RECEITAS COM ENTREGAS (303)</v>
      </c>
      <c r="S3170">
        <v>1864</v>
      </c>
      <c r="T3170">
        <v>1329</v>
      </c>
      <c r="U3170" t="s">
        <v>19</v>
      </c>
    </row>
    <row r="3171" spans="1:21">
      <c r="A3171" t="str">
        <f t="shared" si="1547"/>
        <v>18/06/2025</v>
      </c>
      <c r="B3171" t="str">
        <f t="shared" si="1557"/>
        <v>ENTRADA</v>
      </c>
      <c r="C3171" t="str">
        <f t="shared" si="1548"/>
        <v>NFSE</v>
      </c>
      <c r="D3171" t="str">
        <f t="shared" si="1558"/>
        <v>3076</v>
      </c>
      <c r="E3171" t="str">
        <f t="shared" si="1537"/>
        <v>COM</v>
      </c>
      <c r="F3171" t="str">
        <f t="shared" si="1559"/>
        <v>FARMÁCIA INDIANA LJ 30 (10127)</v>
      </c>
      <c r="G3171" t="str">
        <f t="shared" si="1560"/>
        <v>Serv.Prest. 02/06/2025 a 08/06/2025 - RPS: 845 - NFSe: 3076</v>
      </c>
      <c r="H3171" t="str">
        <f t="shared" si="1552"/>
        <v>18/06/2025</v>
      </c>
      <c r="I3171" t="str">
        <f t="shared" si="1553"/>
        <v>09/06/2025</v>
      </c>
      <c r="J3171" t="str">
        <f t="shared" si="1554"/>
        <v>18/06/2025</v>
      </c>
      <c r="M3171">
        <v>303</v>
      </c>
      <c r="N3171" t="str">
        <f t="shared" si="1555"/>
        <v>RECEITAS COM ENTREGAS</v>
      </c>
      <c r="P3171">
        <v>149.82</v>
      </c>
      <c r="Q3171" t="str">
        <f>"FARMÁCIA INDIANA LJ 200 (10155)"</f>
        <v>FARMÁCIA INDIANA LJ 200 (10155)</v>
      </c>
      <c r="R3171" t="str">
        <f t="shared" si="1556"/>
        <v>RECEITAS COM ENTREGAS (303)</v>
      </c>
      <c r="S3171">
        <v>1864</v>
      </c>
      <c r="T3171">
        <v>1329</v>
      </c>
      <c r="U3171" t="s">
        <v>19</v>
      </c>
    </row>
    <row r="3172" spans="1:21">
      <c r="A3172" t="str">
        <f t="shared" si="1547"/>
        <v>18/06/2025</v>
      </c>
      <c r="B3172" t="str">
        <f t="shared" si="1557"/>
        <v>ENTRADA</v>
      </c>
      <c r="C3172" t="str">
        <f t="shared" si="1548"/>
        <v>NFSE</v>
      </c>
      <c r="D3172" t="str">
        <f t="shared" ref="D3172:D3216" si="1561">"3086"</f>
        <v>3086</v>
      </c>
      <c r="E3172" t="str">
        <f t="shared" si="1537"/>
        <v>COM</v>
      </c>
      <c r="F3172" t="str">
        <f t="shared" ref="F3172:F3216" si="1562">"FARMÁCIA INDIANA LJ 1 (10126)"</f>
        <v>FARMÁCIA INDIANA LJ 1 (10126)</v>
      </c>
      <c r="G3172" t="str">
        <f t="shared" ref="G3172:G3216" si="1563">"Serv.Prest. 02/06/2025 a 08/06/2025 - RPS: 855 - NFSe: 3086"</f>
        <v>Serv.Prest. 02/06/2025 a 08/06/2025 - RPS: 855 - NFSe: 3086</v>
      </c>
      <c r="H3172" t="str">
        <f t="shared" si="1552"/>
        <v>18/06/2025</v>
      </c>
      <c r="I3172" t="str">
        <f t="shared" ref="I3172:I3216" si="1564">("10/06/2025")</f>
        <v>10/06/2025</v>
      </c>
      <c r="J3172" t="str">
        <f t="shared" si="1554"/>
        <v>18/06/2025</v>
      </c>
      <c r="K3172">
        <v>13606.95</v>
      </c>
      <c r="L3172">
        <v>13606.95</v>
      </c>
      <c r="M3172">
        <v>303</v>
      </c>
      <c r="N3172" t="str">
        <f t="shared" si="1555"/>
        <v>RECEITAS COM ENTREGAS</v>
      </c>
      <c r="O3172">
        <v>13606.95</v>
      </c>
      <c r="R3172" t="str">
        <f t="shared" si="1556"/>
        <v>RECEITAS COM ENTREGAS (303)</v>
      </c>
      <c r="S3172">
        <v>1865</v>
      </c>
      <c r="T3172">
        <v>1341</v>
      </c>
      <c r="U3172" t="s">
        <v>19</v>
      </c>
    </row>
    <row r="3173" spans="1:21">
      <c r="A3173" t="str">
        <f t="shared" si="1547"/>
        <v>18/06/2025</v>
      </c>
      <c r="B3173" t="str">
        <f t="shared" si="1557"/>
        <v>ENTRADA</v>
      </c>
      <c r="C3173" t="str">
        <f t="shared" si="1548"/>
        <v>NFSE</v>
      </c>
      <c r="D3173" t="str">
        <f t="shared" si="1561"/>
        <v>3086</v>
      </c>
      <c r="E3173" t="str">
        <f t="shared" si="1537"/>
        <v>COM</v>
      </c>
      <c r="F3173" t="str">
        <f t="shared" si="1562"/>
        <v>FARMÁCIA INDIANA LJ 1 (10126)</v>
      </c>
      <c r="G3173" t="str">
        <f t="shared" si="1563"/>
        <v>Serv.Prest. 02/06/2025 a 08/06/2025 - RPS: 855 - NFSe: 3086</v>
      </c>
      <c r="H3173" t="str">
        <f t="shared" si="1552"/>
        <v>18/06/2025</v>
      </c>
      <c r="I3173" t="str">
        <f t="shared" si="1564"/>
        <v>10/06/2025</v>
      </c>
      <c r="J3173" t="str">
        <f t="shared" si="1554"/>
        <v>18/06/2025</v>
      </c>
      <c r="M3173">
        <v>303</v>
      </c>
      <c r="N3173" t="str">
        <f t="shared" si="1555"/>
        <v>RECEITAS COM ENTREGAS</v>
      </c>
      <c r="P3173">
        <v>1857.35</v>
      </c>
      <c r="Q3173" t="str">
        <f>"FARMÁCIA INDIANA LJ 06 (10006)"</f>
        <v>FARMÁCIA INDIANA LJ 06 (10006)</v>
      </c>
      <c r="R3173" t="str">
        <f t="shared" si="1556"/>
        <v>RECEITAS COM ENTREGAS (303)</v>
      </c>
      <c r="S3173">
        <v>1865</v>
      </c>
      <c r="T3173">
        <v>1341</v>
      </c>
      <c r="U3173" t="s">
        <v>19</v>
      </c>
    </row>
    <row r="3174" spans="1:21">
      <c r="A3174" t="str">
        <f t="shared" si="1547"/>
        <v>18/06/2025</v>
      </c>
      <c r="B3174" t="str">
        <f t="shared" si="1557"/>
        <v>ENTRADA</v>
      </c>
      <c r="C3174" t="str">
        <f t="shared" si="1548"/>
        <v>NFSE</v>
      </c>
      <c r="D3174" t="str">
        <f t="shared" si="1561"/>
        <v>3086</v>
      </c>
      <c r="E3174" t="str">
        <f t="shared" si="1537"/>
        <v>COM</v>
      </c>
      <c r="F3174" t="str">
        <f t="shared" si="1562"/>
        <v>FARMÁCIA INDIANA LJ 1 (10126)</v>
      </c>
      <c r="G3174" t="str">
        <f t="shared" si="1563"/>
        <v>Serv.Prest. 02/06/2025 a 08/06/2025 - RPS: 855 - NFSe: 3086</v>
      </c>
      <c r="H3174" t="str">
        <f t="shared" si="1552"/>
        <v>18/06/2025</v>
      </c>
      <c r="I3174" t="str">
        <f t="shared" si="1564"/>
        <v>10/06/2025</v>
      </c>
      <c r="J3174" t="str">
        <f t="shared" si="1554"/>
        <v>18/06/2025</v>
      </c>
      <c r="M3174">
        <v>303</v>
      </c>
      <c r="N3174" t="str">
        <f t="shared" si="1555"/>
        <v>RECEITAS COM ENTREGAS</v>
      </c>
      <c r="P3174">
        <v>1597.46</v>
      </c>
      <c r="Q3174" t="str">
        <f>"FARMÁCIA INDIANA LJ 07 (10007)"</f>
        <v>FARMÁCIA INDIANA LJ 07 (10007)</v>
      </c>
      <c r="R3174" t="str">
        <f t="shared" si="1556"/>
        <v>RECEITAS COM ENTREGAS (303)</v>
      </c>
      <c r="S3174">
        <v>1865</v>
      </c>
      <c r="T3174">
        <v>1341</v>
      </c>
      <c r="U3174" t="s">
        <v>19</v>
      </c>
    </row>
    <row r="3175" spans="1:21">
      <c r="A3175" t="str">
        <f t="shared" si="1547"/>
        <v>18/06/2025</v>
      </c>
      <c r="B3175" t="str">
        <f t="shared" si="1557"/>
        <v>ENTRADA</v>
      </c>
      <c r="C3175" t="str">
        <f t="shared" si="1548"/>
        <v>NFSE</v>
      </c>
      <c r="D3175" t="str">
        <f t="shared" si="1561"/>
        <v>3086</v>
      </c>
      <c r="E3175" t="str">
        <f t="shared" si="1537"/>
        <v>COM</v>
      </c>
      <c r="F3175" t="str">
        <f t="shared" si="1562"/>
        <v>FARMÁCIA INDIANA LJ 1 (10126)</v>
      </c>
      <c r="G3175" t="str">
        <f t="shared" si="1563"/>
        <v>Serv.Prest. 02/06/2025 a 08/06/2025 - RPS: 855 - NFSe: 3086</v>
      </c>
      <c r="H3175" t="str">
        <f t="shared" si="1552"/>
        <v>18/06/2025</v>
      </c>
      <c r="I3175" t="str">
        <f t="shared" si="1564"/>
        <v>10/06/2025</v>
      </c>
      <c r="J3175" t="str">
        <f t="shared" si="1554"/>
        <v>18/06/2025</v>
      </c>
      <c r="M3175">
        <v>303</v>
      </c>
      <c r="N3175" t="str">
        <f t="shared" si="1555"/>
        <v>RECEITAS COM ENTREGAS</v>
      </c>
      <c r="P3175">
        <v>1049.0999999999999</v>
      </c>
      <c r="Q3175" t="str">
        <f>"FARMÁCIA INDIANA LJ 11 (10008)"</f>
        <v>FARMÁCIA INDIANA LJ 11 (10008)</v>
      </c>
      <c r="R3175" t="str">
        <f t="shared" si="1556"/>
        <v>RECEITAS COM ENTREGAS (303)</v>
      </c>
      <c r="S3175">
        <v>1865</v>
      </c>
      <c r="T3175">
        <v>1341</v>
      </c>
      <c r="U3175" t="s">
        <v>19</v>
      </c>
    </row>
    <row r="3176" spans="1:21">
      <c r="A3176" t="str">
        <f t="shared" si="1547"/>
        <v>18/06/2025</v>
      </c>
      <c r="B3176" t="str">
        <f t="shared" si="1557"/>
        <v>ENTRADA</v>
      </c>
      <c r="C3176" t="str">
        <f t="shared" si="1548"/>
        <v>NFSE</v>
      </c>
      <c r="D3176" t="str">
        <f t="shared" si="1561"/>
        <v>3086</v>
      </c>
      <c r="E3176" t="str">
        <f t="shared" si="1537"/>
        <v>COM</v>
      </c>
      <c r="F3176" t="str">
        <f t="shared" si="1562"/>
        <v>FARMÁCIA INDIANA LJ 1 (10126)</v>
      </c>
      <c r="G3176" t="str">
        <f t="shared" si="1563"/>
        <v>Serv.Prest. 02/06/2025 a 08/06/2025 - RPS: 855 - NFSe: 3086</v>
      </c>
      <c r="H3176" t="str">
        <f t="shared" si="1552"/>
        <v>18/06/2025</v>
      </c>
      <c r="I3176" t="str">
        <f t="shared" si="1564"/>
        <v>10/06/2025</v>
      </c>
      <c r="J3176" t="str">
        <f t="shared" si="1554"/>
        <v>18/06/2025</v>
      </c>
      <c r="M3176">
        <v>303</v>
      </c>
      <c r="N3176" t="str">
        <f t="shared" si="1555"/>
        <v>RECEITAS COM ENTREGAS</v>
      </c>
      <c r="P3176">
        <v>382.36</v>
      </c>
      <c r="Q3176" t="str">
        <f>"FARMÁCIA INDIANA LJ 14 (10009)"</f>
        <v>FARMÁCIA INDIANA LJ 14 (10009)</v>
      </c>
      <c r="R3176" t="str">
        <f t="shared" si="1556"/>
        <v>RECEITAS COM ENTREGAS (303)</v>
      </c>
      <c r="S3176">
        <v>1865</v>
      </c>
      <c r="T3176">
        <v>1341</v>
      </c>
      <c r="U3176" t="s">
        <v>19</v>
      </c>
    </row>
    <row r="3177" spans="1:21">
      <c r="A3177" t="str">
        <f t="shared" si="1547"/>
        <v>18/06/2025</v>
      </c>
      <c r="B3177" t="str">
        <f t="shared" si="1557"/>
        <v>ENTRADA</v>
      </c>
      <c r="C3177" t="str">
        <f t="shared" si="1548"/>
        <v>NFSE</v>
      </c>
      <c r="D3177" t="str">
        <f t="shared" si="1561"/>
        <v>3086</v>
      </c>
      <c r="E3177" t="str">
        <f t="shared" si="1537"/>
        <v>COM</v>
      </c>
      <c r="F3177" t="str">
        <f t="shared" si="1562"/>
        <v>FARMÁCIA INDIANA LJ 1 (10126)</v>
      </c>
      <c r="G3177" t="str">
        <f t="shared" si="1563"/>
        <v>Serv.Prest. 02/06/2025 a 08/06/2025 - RPS: 855 - NFSe: 3086</v>
      </c>
      <c r="H3177" t="str">
        <f t="shared" si="1552"/>
        <v>18/06/2025</v>
      </c>
      <c r="I3177" t="str">
        <f t="shared" si="1564"/>
        <v>10/06/2025</v>
      </c>
      <c r="J3177" t="str">
        <f t="shared" si="1554"/>
        <v>18/06/2025</v>
      </c>
      <c r="M3177">
        <v>303</v>
      </c>
      <c r="N3177" t="str">
        <f t="shared" si="1555"/>
        <v>RECEITAS COM ENTREGAS</v>
      </c>
      <c r="P3177">
        <v>382.36</v>
      </c>
      <c r="Q3177" t="str">
        <f>"FARMÁCIA INDIANA LJ 18 (10011)"</f>
        <v>FARMÁCIA INDIANA LJ 18 (10011)</v>
      </c>
      <c r="R3177" t="str">
        <f t="shared" si="1556"/>
        <v>RECEITAS COM ENTREGAS (303)</v>
      </c>
      <c r="S3177">
        <v>1865</v>
      </c>
      <c r="T3177">
        <v>1341</v>
      </c>
      <c r="U3177" t="s">
        <v>19</v>
      </c>
    </row>
    <row r="3178" spans="1:21">
      <c r="A3178" t="str">
        <f t="shared" si="1547"/>
        <v>18/06/2025</v>
      </c>
      <c r="B3178" t="str">
        <f t="shared" si="1557"/>
        <v>ENTRADA</v>
      </c>
      <c r="C3178" t="str">
        <f t="shared" si="1548"/>
        <v>NFSE</v>
      </c>
      <c r="D3178" t="str">
        <f t="shared" si="1561"/>
        <v>3086</v>
      </c>
      <c r="E3178" t="str">
        <f t="shared" si="1537"/>
        <v>COM</v>
      </c>
      <c r="F3178" t="str">
        <f t="shared" si="1562"/>
        <v>FARMÁCIA INDIANA LJ 1 (10126)</v>
      </c>
      <c r="G3178" t="str">
        <f t="shared" si="1563"/>
        <v>Serv.Prest. 02/06/2025 a 08/06/2025 - RPS: 855 - NFSe: 3086</v>
      </c>
      <c r="H3178" t="str">
        <f t="shared" si="1552"/>
        <v>18/06/2025</v>
      </c>
      <c r="I3178" t="str">
        <f t="shared" si="1564"/>
        <v>10/06/2025</v>
      </c>
      <c r="J3178" t="str">
        <f t="shared" si="1554"/>
        <v>18/06/2025</v>
      </c>
      <c r="M3178">
        <v>303</v>
      </c>
      <c r="N3178" t="str">
        <f t="shared" si="1555"/>
        <v>RECEITAS COM ENTREGAS</v>
      </c>
      <c r="P3178">
        <v>371.47</v>
      </c>
      <c r="Q3178" t="str">
        <f>"FARMÁCIA INDIANA LJ 19 (10012)"</f>
        <v>FARMÁCIA INDIANA LJ 19 (10012)</v>
      </c>
      <c r="R3178" t="str">
        <f t="shared" si="1556"/>
        <v>RECEITAS COM ENTREGAS (303)</v>
      </c>
      <c r="S3178">
        <v>1865</v>
      </c>
      <c r="T3178">
        <v>1341</v>
      </c>
      <c r="U3178" t="s">
        <v>19</v>
      </c>
    </row>
    <row r="3179" spans="1:21">
      <c r="A3179" t="str">
        <f t="shared" si="1547"/>
        <v>18/06/2025</v>
      </c>
      <c r="B3179" t="str">
        <f t="shared" si="1557"/>
        <v>ENTRADA</v>
      </c>
      <c r="C3179" t="str">
        <f t="shared" si="1548"/>
        <v>NFSE</v>
      </c>
      <c r="D3179" t="str">
        <f t="shared" si="1561"/>
        <v>3086</v>
      </c>
      <c r="E3179" t="str">
        <f t="shared" si="1537"/>
        <v>COM</v>
      </c>
      <c r="F3179" t="str">
        <f t="shared" si="1562"/>
        <v>FARMÁCIA INDIANA LJ 1 (10126)</v>
      </c>
      <c r="G3179" t="str">
        <f t="shared" si="1563"/>
        <v>Serv.Prest. 02/06/2025 a 08/06/2025 - RPS: 855 - NFSe: 3086</v>
      </c>
      <c r="H3179" t="str">
        <f t="shared" si="1552"/>
        <v>18/06/2025</v>
      </c>
      <c r="I3179" t="str">
        <f t="shared" si="1564"/>
        <v>10/06/2025</v>
      </c>
      <c r="J3179" t="str">
        <f t="shared" si="1554"/>
        <v>18/06/2025</v>
      </c>
      <c r="M3179">
        <v>303</v>
      </c>
      <c r="N3179" t="str">
        <f t="shared" si="1555"/>
        <v>RECEITAS COM ENTREGAS</v>
      </c>
      <c r="P3179">
        <v>602.79</v>
      </c>
      <c r="Q3179" t="str">
        <f>"FARMÁCIA INDIANA LJ 40 (10016)"</f>
        <v>FARMÁCIA INDIANA LJ 40 (10016)</v>
      </c>
      <c r="R3179" t="str">
        <f t="shared" si="1556"/>
        <v>RECEITAS COM ENTREGAS (303)</v>
      </c>
      <c r="S3179">
        <v>1865</v>
      </c>
      <c r="T3179">
        <v>1341</v>
      </c>
      <c r="U3179" t="s">
        <v>19</v>
      </c>
    </row>
    <row r="3180" spans="1:21">
      <c r="A3180" t="str">
        <f t="shared" si="1547"/>
        <v>18/06/2025</v>
      </c>
      <c r="B3180" t="str">
        <f t="shared" si="1557"/>
        <v>ENTRADA</v>
      </c>
      <c r="C3180" t="str">
        <f t="shared" si="1548"/>
        <v>NFSE</v>
      </c>
      <c r="D3180" t="str">
        <f t="shared" si="1561"/>
        <v>3086</v>
      </c>
      <c r="E3180" t="str">
        <f t="shared" si="1537"/>
        <v>COM</v>
      </c>
      <c r="F3180" t="str">
        <f t="shared" si="1562"/>
        <v>FARMÁCIA INDIANA LJ 1 (10126)</v>
      </c>
      <c r="G3180" t="str">
        <f t="shared" si="1563"/>
        <v>Serv.Prest. 02/06/2025 a 08/06/2025 - RPS: 855 - NFSe: 3086</v>
      </c>
      <c r="H3180" t="str">
        <f t="shared" si="1552"/>
        <v>18/06/2025</v>
      </c>
      <c r="I3180" t="str">
        <f t="shared" si="1564"/>
        <v>10/06/2025</v>
      </c>
      <c r="J3180" t="str">
        <f t="shared" si="1554"/>
        <v>18/06/2025</v>
      </c>
      <c r="M3180">
        <v>303</v>
      </c>
      <c r="N3180" t="str">
        <f t="shared" si="1555"/>
        <v>RECEITAS COM ENTREGAS</v>
      </c>
      <c r="P3180">
        <v>352.42</v>
      </c>
      <c r="Q3180" t="str">
        <f>"FARMÁCIA INDIANA LJ 59 (10026)"</f>
        <v>FARMÁCIA INDIANA LJ 59 (10026)</v>
      </c>
      <c r="R3180" t="str">
        <f t="shared" si="1556"/>
        <v>RECEITAS COM ENTREGAS (303)</v>
      </c>
      <c r="S3180">
        <v>1865</v>
      </c>
      <c r="T3180">
        <v>1341</v>
      </c>
      <c r="U3180" t="s">
        <v>19</v>
      </c>
    </row>
    <row r="3181" spans="1:21">
      <c r="A3181" t="str">
        <f t="shared" si="1547"/>
        <v>18/06/2025</v>
      </c>
      <c r="B3181" t="str">
        <f t="shared" si="1557"/>
        <v>ENTRADA</v>
      </c>
      <c r="C3181" t="str">
        <f t="shared" si="1548"/>
        <v>NFSE</v>
      </c>
      <c r="D3181" t="str">
        <f t="shared" si="1561"/>
        <v>3086</v>
      </c>
      <c r="E3181" t="str">
        <f t="shared" si="1537"/>
        <v>COM</v>
      </c>
      <c r="F3181" t="str">
        <f t="shared" si="1562"/>
        <v>FARMÁCIA INDIANA LJ 1 (10126)</v>
      </c>
      <c r="G3181" t="str">
        <f t="shared" si="1563"/>
        <v>Serv.Prest. 02/06/2025 a 08/06/2025 - RPS: 855 - NFSe: 3086</v>
      </c>
      <c r="H3181" t="str">
        <f t="shared" si="1552"/>
        <v>18/06/2025</v>
      </c>
      <c r="I3181" t="str">
        <f t="shared" si="1564"/>
        <v>10/06/2025</v>
      </c>
      <c r="J3181" t="str">
        <f t="shared" si="1554"/>
        <v>18/06/2025</v>
      </c>
      <c r="M3181">
        <v>303</v>
      </c>
      <c r="N3181" t="str">
        <f t="shared" si="1555"/>
        <v>RECEITAS COM ENTREGAS</v>
      </c>
      <c r="P3181">
        <v>446.31</v>
      </c>
      <c r="Q3181" t="str">
        <f>"FARMÁCIA INDIANA LJ 61 (10027)"</f>
        <v>FARMÁCIA INDIANA LJ 61 (10027)</v>
      </c>
      <c r="R3181" t="str">
        <f t="shared" si="1556"/>
        <v>RECEITAS COM ENTREGAS (303)</v>
      </c>
      <c r="S3181">
        <v>1865</v>
      </c>
      <c r="T3181">
        <v>1341</v>
      </c>
      <c r="U3181" t="s">
        <v>19</v>
      </c>
    </row>
    <row r="3182" spans="1:21">
      <c r="A3182" t="str">
        <f t="shared" si="1547"/>
        <v>18/06/2025</v>
      </c>
      <c r="B3182" t="str">
        <f t="shared" si="1557"/>
        <v>ENTRADA</v>
      </c>
      <c r="C3182" t="str">
        <f t="shared" si="1548"/>
        <v>NFSE</v>
      </c>
      <c r="D3182" t="str">
        <f t="shared" si="1561"/>
        <v>3086</v>
      </c>
      <c r="E3182" t="str">
        <f t="shared" si="1537"/>
        <v>COM</v>
      </c>
      <c r="F3182" t="str">
        <f t="shared" si="1562"/>
        <v>FARMÁCIA INDIANA LJ 1 (10126)</v>
      </c>
      <c r="G3182" t="str">
        <f t="shared" si="1563"/>
        <v>Serv.Prest. 02/06/2025 a 08/06/2025 - RPS: 855 - NFSe: 3086</v>
      </c>
      <c r="H3182" t="str">
        <f t="shared" si="1552"/>
        <v>18/06/2025</v>
      </c>
      <c r="I3182" t="str">
        <f t="shared" si="1564"/>
        <v>10/06/2025</v>
      </c>
      <c r="J3182" t="str">
        <f t="shared" si="1554"/>
        <v>18/06/2025</v>
      </c>
      <c r="M3182">
        <v>303</v>
      </c>
      <c r="N3182" t="str">
        <f t="shared" si="1555"/>
        <v>RECEITAS COM ENTREGAS</v>
      </c>
      <c r="P3182">
        <v>288.47000000000003</v>
      </c>
      <c r="Q3182" t="str">
        <f>"FARMÁCIA INDIANA LJ 62 (10028)"</f>
        <v>FARMÁCIA INDIANA LJ 62 (10028)</v>
      </c>
      <c r="R3182" t="str">
        <f t="shared" si="1556"/>
        <v>RECEITAS COM ENTREGAS (303)</v>
      </c>
      <c r="S3182">
        <v>1865</v>
      </c>
      <c r="T3182">
        <v>1341</v>
      </c>
      <c r="U3182" t="s">
        <v>19</v>
      </c>
    </row>
    <row r="3183" spans="1:21">
      <c r="A3183" t="str">
        <f t="shared" ref="A3183:A3214" si="1565">("18/06/2025")</f>
        <v>18/06/2025</v>
      </c>
      <c r="B3183" t="str">
        <f t="shared" si="1557"/>
        <v>ENTRADA</v>
      </c>
      <c r="C3183" t="str">
        <f t="shared" ref="C3183:C3214" si="1566">"NFSE"</f>
        <v>NFSE</v>
      </c>
      <c r="D3183" t="str">
        <f t="shared" si="1561"/>
        <v>3086</v>
      </c>
      <c r="E3183" t="str">
        <f t="shared" ref="E3183:E3246" si="1567">"COM"</f>
        <v>COM</v>
      </c>
      <c r="F3183" t="str">
        <f t="shared" si="1562"/>
        <v>FARMÁCIA INDIANA LJ 1 (10126)</v>
      </c>
      <c r="G3183" t="str">
        <f t="shared" si="1563"/>
        <v>Serv.Prest. 02/06/2025 a 08/06/2025 - RPS: 855 - NFSe: 3086</v>
      </c>
      <c r="H3183" t="str">
        <f t="shared" ref="H3183:H3214" si="1568">("18/06/2025")</f>
        <v>18/06/2025</v>
      </c>
      <c r="I3183" t="str">
        <f t="shared" si="1564"/>
        <v>10/06/2025</v>
      </c>
      <c r="J3183" t="str">
        <f t="shared" ref="J3183:J3214" si="1569">("18/06/2025")</f>
        <v>18/06/2025</v>
      </c>
      <c r="M3183">
        <v>303</v>
      </c>
      <c r="N3183" t="str">
        <f t="shared" ref="N3183:N3214" si="1570">"RECEITAS COM ENTREGAS"</f>
        <v>RECEITAS COM ENTREGAS</v>
      </c>
      <c r="P3183">
        <v>107.49</v>
      </c>
      <c r="Q3183" t="str">
        <f>"FARMÁCIA INDIANA LJ 64 (10029)"</f>
        <v>FARMÁCIA INDIANA LJ 64 (10029)</v>
      </c>
      <c r="R3183" t="str">
        <f t="shared" ref="R3183:R3214" si="1571">"RECEITAS COM ENTREGAS (303)"</f>
        <v>RECEITAS COM ENTREGAS (303)</v>
      </c>
      <c r="S3183">
        <v>1865</v>
      </c>
      <c r="T3183">
        <v>1341</v>
      </c>
      <c r="U3183" t="s">
        <v>19</v>
      </c>
    </row>
    <row r="3184" spans="1:21">
      <c r="A3184" t="str">
        <f t="shared" si="1565"/>
        <v>18/06/2025</v>
      </c>
      <c r="B3184" t="str">
        <f t="shared" si="1557"/>
        <v>ENTRADA</v>
      </c>
      <c r="C3184" t="str">
        <f t="shared" si="1566"/>
        <v>NFSE</v>
      </c>
      <c r="D3184" t="str">
        <f t="shared" si="1561"/>
        <v>3086</v>
      </c>
      <c r="E3184" t="str">
        <f t="shared" si="1567"/>
        <v>COM</v>
      </c>
      <c r="F3184" t="str">
        <f t="shared" si="1562"/>
        <v>FARMÁCIA INDIANA LJ 1 (10126)</v>
      </c>
      <c r="G3184" t="str">
        <f t="shared" si="1563"/>
        <v>Serv.Prest. 02/06/2025 a 08/06/2025 - RPS: 855 - NFSe: 3086</v>
      </c>
      <c r="H3184" t="str">
        <f t="shared" si="1568"/>
        <v>18/06/2025</v>
      </c>
      <c r="I3184" t="str">
        <f t="shared" si="1564"/>
        <v>10/06/2025</v>
      </c>
      <c r="J3184" t="str">
        <f t="shared" si="1569"/>
        <v>18/06/2025</v>
      </c>
      <c r="M3184">
        <v>303</v>
      </c>
      <c r="N3184" t="str">
        <f t="shared" si="1570"/>
        <v>RECEITAS COM ENTREGAS</v>
      </c>
      <c r="P3184">
        <v>65.31</v>
      </c>
      <c r="Q3184" t="str">
        <f>"FARMÁCIA INDIANA LJ 97 (10040)"</f>
        <v>FARMÁCIA INDIANA LJ 97 (10040)</v>
      </c>
      <c r="R3184" t="str">
        <f t="shared" si="1571"/>
        <v>RECEITAS COM ENTREGAS (303)</v>
      </c>
      <c r="S3184">
        <v>1865</v>
      </c>
      <c r="T3184">
        <v>1341</v>
      </c>
      <c r="U3184" t="s">
        <v>19</v>
      </c>
    </row>
    <row r="3185" spans="1:21">
      <c r="A3185" t="str">
        <f t="shared" si="1565"/>
        <v>18/06/2025</v>
      </c>
      <c r="B3185" t="str">
        <f t="shared" si="1557"/>
        <v>ENTRADA</v>
      </c>
      <c r="C3185" t="str">
        <f t="shared" si="1566"/>
        <v>NFSE</v>
      </c>
      <c r="D3185" t="str">
        <f t="shared" si="1561"/>
        <v>3086</v>
      </c>
      <c r="E3185" t="str">
        <f t="shared" si="1567"/>
        <v>COM</v>
      </c>
      <c r="F3185" t="str">
        <f t="shared" si="1562"/>
        <v>FARMÁCIA INDIANA LJ 1 (10126)</v>
      </c>
      <c r="G3185" t="str">
        <f t="shared" si="1563"/>
        <v>Serv.Prest. 02/06/2025 a 08/06/2025 - RPS: 855 - NFSe: 3086</v>
      </c>
      <c r="H3185" t="str">
        <f t="shared" si="1568"/>
        <v>18/06/2025</v>
      </c>
      <c r="I3185" t="str">
        <f t="shared" si="1564"/>
        <v>10/06/2025</v>
      </c>
      <c r="J3185" t="str">
        <f t="shared" si="1569"/>
        <v>18/06/2025</v>
      </c>
      <c r="M3185">
        <v>303</v>
      </c>
      <c r="N3185" t="str">
        <f t="shared" si="1570"/>
        <v>RECEITAS COM ENTREGAS</v>
      </c>
      <c r="P3185">
        <v>300.70999999999998</v>
      </c>
      <c r="Q3185" t="str">
        <f>"FARMÁCIA INDIANA LJ 100 (10042)"</f>
        <v>FARMÁCIA INDIANA LJ 100 (10042)</v>
      </c>
      <c r="R3185" t="str">
        <f t="shared" si="1571"/>
        <v>RECEITAS COM ENTREGAS (303)</v>
      </c>
      <c r="S3185">
        <v>1865</v>
      </c>
      <c r="T3185">
        <v>1341</v>
      </c>
      <c r="U3185" t="s">
        <v>19</v>
      </c>
    </row>
    <row r="3186" spans="1:21">
      <c r="A3186" t="str">
        <f t="shared" si="1565"/>
        <v>18/06/2025</v>
      </c>
      <c r="B3186" t="str">
        <f t="shared" si="1557"/>
        <v>ENTRADA</v>
      </c>
      <c r="C3186" t="str">
        <f t="shared" si="1566"/>
        <v>NFSE</v>
      </c>
      <c r="D3186" t="str">
        <f t="shared" si="1561"/>
        <v>3086</v>
      </c>
      <c r="E3186" t="str">
        <f t="shared" si="1567"/>
        <v>COM</v>
      </c>
      <c r="F3186" t="str">
        <f t="shared" si="1562"/>
        <v>FARMÁCIA INDIANA LJ 1 (10126)</v>
      </c>
      <c r="G3186" t="str">
        <f t="shared" si="1563"/>
        <v>Serv.Prest. 02/06/2025 a 08/06/2025 - RPS: 855 - NFSe: 3086</v>
      </c>
      <c r="H3186" t="str">
        <f t="shared" si="1568"/>
        <v>18/06/2025</v>
      </c>
      <c r="I3186" t="str">
        <f t="shared" si="1564"/>
        <v>10/06/2025</v>
      </c>
      <c r="J3186" t="str">
        <f t="shared" si="1569"/>
        <v>18/06/2025</v>
      </c>
      <c r="M3186">
        <v>303</v>
      </c>
      <c r="N3186" t="str">
        <f t="shared" si="1570"/>
        <v>RECEITAS COM ENTREGAS</v>
      </c>
      <c r="P3186">
        <v>570.13</v>
      </c>
      <c r="Q3186" t="str">
        <f>"FARMÁCIA INDIANA LJ 101 (10043)"</f>
        <v>FARMÁCIA INDIANA LJ 101 (10043)</v>
      </c>
      <c r="R3186" t="str">
        <f t="shared" si="1571"/>
        <v>RECEITAS COM ENTREGAS (303)</v>
      </c>
      <c r="S3186">
        <v>1865</v>
      </c>
      <c r="T3186">
        <v>1341</v>
      </c>
      <c r="U3186" t="s">
        <v>19</v>
      </c>
    </row>
    <row r="3187" spans="1:21">
      <c r="A3187" t="str">
        <f t="shared" si="1565"/>
        <v>18/06/2025</v>
      </c>
      <c r="B3187" t="str">
        <f t="shared" si="1557"/>
        <v>ENTRADA</v>
      </c>
      <c r="C3187" t="str">
        <f t="shared" si="1566"/>
        <v>NFSE</v>
      </c>
      <c r="D3187" t="str">
        <f t="shared" si="1561"/>
        <v>3086</v>
      </c>
      <c r="E3187" t="str">
        <f t="shared" si="1567"/>
        <v>COM</v>
      </c>
      <c r="F3187" t="str">
        <f t="shared" si="1562"/>
        <v>FARMÁCIA INDIANA LJ 1 (10126)</v>
      </c>
      <c r="G3187" t="str">
        <f t="shared" si="1563"/>
        <v>Serv.Prest. 02/06/2025 a 08/06/2025 - RPS: 855 - NFSe: 3086</v>
      </c>
      <c r="H3187" t="str">
        <f t="shared" si="1568"/>
        <v>18/06/2025</v>
      </c>
      <c r="I3187" t="str">
        <f t="shared" si="1564"/>
        <v>10/06/2025</v>
      </c>
      <c r="J3187" t="str">
        <f t="shared" si="1569"/>
        <v>18/06/2025</v>
      </c>
      <c r="M3187">
        <v>303</v>
      </c>
      <c r="N3187" t="str">
        <f t="shared" si="1570"/>
        <v>RECEITAS COM ENTREGAS</v>
      </c>
      <c r="P3187">
        <v>92.53</v>
      </c>
      <c r="Q3187" t="str">
        <f>"FARMÁCIA INDIANA LJ 103 (10044)"</f>
        <v>FARMÁCIA INDIANA LJ 103 (10044)</v>
      </c>
      <c r="R3187" t="str">
        <f t="shared" si="1571"/>
        <v>RECEITAS COM ENTREGAS (303)</v>
      </c>
      <c r="S3187">
        <v>1865</v>
      </c>
      <c r="T3187">
        <v>1341</v>
      </c>
      <c r="U3187" t="s">
        <v>19</v>
      </c>
    </row>
    <row r="3188" spans="1:21">
      <c r="A3188" t="str">
        <f t="shared" si="1565"/>
        <v>18/06/2025</v>
      </c>
      <c r="B3188" t="str">
        <f t="shared" si="1557"/>
        <v>ENTRADA</v>
      </c>
      <c r="C3188" t="str">
        <f t="shared" si="1566"/>
        <v>NFSE</v>
      </c>
      <c r="D3188" t="str">
        <f t="shared" si="1561"/>
        <v>3086</v>
      </c>
      <c r="E3188" t="str">
        <f t="shared" si="1567"/>
        <v>COM</v>
      </c>
      <c r="F3188" t="str">
        <f t="shared" si="1562"/>
        <v>FARMÁCIA INDIANA LJ 1 (10126)</v>
      </c>
      <c r="G3188" t="str">
        <f t="shared" si="1563"/>
        <v>Serv.Prest. 02/06/2025 a 08/06/2025 - RPS: 855 - NFSe: 3086</v>
      </c>
      <c r="H3188" t="str">
        <f t="shared" si="1568"/>
        <v>18/06/2025</v>
      </c>
      <c r="I3188" t="str">
        <f t="shared" si="1564"/>
        <v>10/06/2025</v>
      </c>
      <c r="J3188" t="str">
        <f t="shared" si="1569"/>
        <v>18/06/2025</v>
      </c>
      <c r="M3188">
        <v>303</v>
      </c>
      <c r="N3188" t="str">
        <f t="shared" si="1570"/>
        <v>RECEITAS COM ENTREGAS</v>
      </c>
      <c r="P3188">
        <v>180.97</v>
      </c>
      <c r="Q3188" t="str">
        <f>"FARMÁCIA INDIANA LJ 109 (10047)"</f>
        <v>FARMÁCIA INDIANA LJ 109 (10047)</v>
      </c>
      <c r="R3188" t="str">
        <f t="shared" si="1571"/>
        <v>RECEITAS COM ENTREGAS (303)</v>
      </c>
      <c r="S3188">
        <v>1865</v>
      </c>
      <c r="T3188">
        <v>1341</v>
      </c>
      <c r="U3188" t="s">
        <v>19</v>
      </c>
    </row>
    <row r="3189" spans="1:21">
      <c r="A3189" t="str">
        <f t="shared" si="1565"/>
        <v>18/06/2025</v>
      </c>
      <c r="B3189" t="str">
        <f t="shared" si="1557"/>
        <v>ENTRADA</v>
      </c>
      <c r="C3189" t="str">
        <f t="shared" si="1566"/>
        <v>NFSE</v>
      </c>
      <c r="D3189" t="str">
        <f t="shared" si="1561"/>
        <v>3086</v>
      </c>
      <c r="E3189" t="str">
        <f t="shared" si="1567"/>
        <v>COM</v>
      </c>
      <c r="F3189" t="str">
        <f t="shared" si="1562"/>
        <v>FARMÁCIA INDIANA LJ 1 (10126)</v>
      </c>
      <c r="G3189" t="str">
        <f t="shared" si="1563"/>
        <v>Serv.Prest. 02/06/2025 a 08/06/2025 - RPS: 855 - NFSe: 3086</v>
      </c>
      <c r="H3189" t="str">
        <f t="shared" si="1568"/>
        <v>18/06/2025</v>
      </c>
      <c r="I3189" t="str">
        <f t="shared" si="1564"/>
        <v>10/06/2025</v>
      </c>
      <c r="J3189" t="str">
        <f t="shared" si="1569"/>
        <v>18/06/2025</v>
      </c>
      <c r="M3189">
        <v>303</v>
      </c>
      <c r="N3189" t="str">
        <f t="shared" si="1570"/>
        <v>RECEITAS COM ENTREGAS</v>
      </c>
      <c r="P3189">
        <v>729.33</v>
      </c>
      <c r="Q3189" t="str">
        <f>"FARMÁCIA INDIANA LJ 110 (10048)"</f>
        <v>FARMÁCIA INDIANA LJ 110 (10048)</v>
      </c>
      <c r="R3189" t="str">
        <f t="shared" si="1571"/>
        <v>RECEITAS COM ENTREGAS (303)</v>
      </c>
      <c r="S3189">
        <v>1865</v>
      </c>
      <c r="T3189">
        <v>1341</v>
      </c>
      <c r="U3189" t="s">
        <v>19</v>
      </c>
    </row>
    <row r="3190" spans="1:21">
      <c r="A3190" t="str">
        <f t="shared" si="1565"/>
        <v>18/06/2025</v>
      </c>
      <c r="B3190" t="str">
        <f t="shared" si="1557"/>
        <v>ENTRADA</v>
      </c>
      <c r="C3190" t="str">
        <f t="shared" si="1566"/>
        <v>NFSE</v>
      </c>
      <c r="D3190" t="str">
        <f t="shared" si="1561"/>
        <v>3086</v>
      </c>
      <c r="E3190" t="str">
        <f t="shared" si="1567"/>
        <v>COM</v>
      </c>
      <c r="F3190" t="str">
        <f t="shared" si="1562"/>
        <v>FARMÁCIA INDIANA LJ 1 (10126)</v>
      </c>
      <c r="G3190" t="str">
        <f t="shared" si="1563"/>
        <v>Serv.Prest. 02/06/2025 a 08/06/2025 - RPS: 855 - NFSe: 3086</v>
      </c>
      <c r="H3190" t="str">
        <f t="shared" si="1568"/>
        <v>18/06/2025</v>
      </c>
      <c r="I3190" t="str">
        <f t="shared" si="1564"/>
        <v>10/06/2025</v>
      </c>
      <c r="J3190" t="str">
        <f t="shared" si="1569"/>
        <v>18/06/2025</v>
      </c>
      <c r="M3190">
        <v>303</v>
      </c>
      <c r="N3190" t="str">
        <f t="shared" si="1570"/>
        <v>RECEITAS COM ENTREGAS</v>
      </c>
      <c r="P3190">
        <v>63.95</v>
      </c>
      <c r="Q3190" t="str">
        <f>"FARMÁCIA INDIANA LJ 111 (10049)"</f>
        <v>FARMÁCIA INDIANA LJ 111 (10049)</v>
      </c>
      <c r="R3190" t="str">
        <f t="shared" si="1571"/>
        <v>RECEITAS COM ENTREGAS (303)</v>
      </c>
      <c r="S3190">
        <v>1865</v>
      </c>
      <c r="T3190">
        <v>1341</v>
      </c>
      <c r="U3190" t="s">
        <v>19</v>
      </c>
    </row>
    <row r="3191" spans="1:21">
      <c r="A3191" t="str">
        <f t="shared" si="1565"/>
        <v>18/06/2025</v>
      </c>
      <c r="B3191" t="str">
        <f t="shared" si="1557"/>
        <v>ENTRADA</v>
      </c>
      <c r="C3191" t="str">
        <f t="shared" si="1566"/>
        <v>NFSE</v>
      </c>
      <c r="D3191" t="str">
        <f t="shared" si="1561"/>
        <v>3086</v>
      </c>
      <c r="E3191" t="str">
        <f t="shared" si="1567"/>
        <v>COM</v>
      </c>
      <c r="F3191" t="str">
        <f t="shared" si="1562"/>
        <v>FARMÁCIA INDIANA LJ 1 (10126)</v>
      </c>
      <c r="G3191" t="str">
        <f t="shared" si="1563"/>
        <v>Serv.Prest. 02/06/2025 a 08/06/2025 - RPS: 855 - NFSe: 3086</v>
      </c>
      <c r="H3191" t="str">
        <f t="shared" si="1568"/>
        <v>18/06/2025</v>
      </c>
      <c r="I3191" t="str">
        <f t="shared" si="1564"/>
        <v>10/06/2025</v>
      </c>
      <c r="J3191" t="str">
        <f t="shared" si="1569"/>
        <v>18/06/2025</v>
      </c>
      <c r="M3191">
        <v>303</v>
      </c>
      <c r="N3191" t="str">
        <f t="shared" si="1570"/>
        <v>RECEITAS COM ENTREGAS</v>
      </c>
      <c r="P3191">
        <v>119.74</v>
      </c>
      <c r="Q3191" t="str">
        <f>"FARMÁCIA INDIANA LJ 112 (10050)"</f>
        <v>FARMÁCIA INDIANA LJ 112 (10050)</v>
      </c>
      <c r="R3191" t="str">
        <f t="shared" si="1571"/>
        <v>RECEITAS COM ENTREGAS (303)</v>
      </c>
      <c r="S3191">
        <v>1865</v>
      </c>
      <c r="T3191">
        <v>1341</v>
      </c>
      <c r="U3191" t="s">
        <v>19</v>
      </c>
    </row>
    <row r="3192" spans="1:21">
      <c r="A3192" t="str">
        <f t="shared" si="1565"/>
        <v>18/06/2025</v>
      </c>
      <c r="B3192" t="str">
        <f t="shared" si="1557"/>
        <v>ENTRADA</v>
      </c>
      <c r="C3192" t="str">
        <f t="shared" si="1566"/>
        <v>NFSE</v>
      </c>
      <c r="D3192" t="str">
        <f t="shared" si="1561"/>
        <v>3086</v>
      </c>
      <c r="E3192" t="str">
        <f t="shared" si="1567"/>
        <v>COM</v>
      </c>
      <c r="F3192" t="str">
        <f t="shared" si="1562"/>
        <v>FARMÁCIA INDIANA LJ 1 (10126)</v>
      </c>
      <c r="G3192" t="str">
        <f t="shared" si="1563"/>
        <v>Serv.Prest. 02/06/2025 a 08/06/2025 - RPS: 855 - NFSe: 3086</v>
      </c>
      <c r="H3192" t="str">
        <f t="shared" si="1568"/>
        <v>18/06/2025</v>
      </c>
      <c r="I3192" t="str">
        <f t="shared" si="1564"/>
        <v>10/06/2025</v>
      </c>
      <c r="J3192" t="str">
        <f t="shared" si="1569"/>
        <v>18/06/2025</v>
      </c>
      <c r="M3192">
        <v>303</v>
      </c>
      <c r="N3192" t="str">
        <f t="shared" si="1570"/>
        <v>RECEITAS COM ENTREGAS</v>
      </c>
      <c r="P3192">
        <v>119.74</v>
      </c>
      <c r="Q3192" t="str">
        <f>"FARMÁCIA INDIANA LJ 116 (10051)"</f>
        <v>FARMÁCIA INDIANA LJ 116 (10051)</v>
      </c>
      <c r="R3192" t="str">
        <f t="shared" si="1571"/>
        <v>RECEITAS COM ENTREGAS (303)</v>
      </c>
      <c r="S3192">
        <v>1865</v>
      </c>
      <c r="T3192">
        <v>1341</v>
      </c>
      <c r="U3192" t="s">
        <v>19</v>
      </c>
    </row>
    <row r="3193" spans="1:21">
      <c r="A3193" t="str">
        <f t="shared" si="1565"/>
        <v>18/06/2025</v>
      </c>
      <c r="B3193" t="str">
        <f t="shared" si="1557"/>
        <v>ENTRADA</v>
      </c>
      <c r="C3193" t="str">
        <f t="shared" si="1566"/>
        <v>NFSE</v>
      </c>
      <c r="D3193" t="str">
        <f t="shared" si="1561"/>
        <v>3086</v>
      </c>
      <c r="E3193" t="str">
        <f t="shared" si="1567"/>
        <v>COM</v>
      </c>
      <c r="F3193" t="str">
        <f t="shared" si="1562"/>
        <v>FARMÁCIA INDIANA LJ 1 (10126)</v>
      </c>
      <c r="G3193" t="str">
        <f t="shared" si="1563"/>
        <v>Serv.Prest. 02/06/2025 a 08/06/2025 - RPS: 855 - NFSe: 3086</v>
      </c>
      <c r="H3193" t="str">
        <f t="shared" si="1568"/>
        <v>18/06/2025</v>
      </c>
      <c r="I3193" t="str">
        <f t="shared" si="1564"/>
        <v>10/06/2025</v>
      </c>
      <c r="J3193" t="str">
        <f t="shared" si="1569"/>
        <v>18/06/2025</v>
      </c>
      <c r="M3193">
        <v>303</v>
      </c>
      <c r="N3193" t="str">
        <f t="shared" si="1570"/>
        <v>RECEITAS COM ENTREGAS</v>
      </c>
      <c r="P3193">
        <v>95.25</v>
      </c>
      <c r="Q3193" t="str">
        <f>"FARMÁCIA INDIANA LJ 118 (10052)"</f>
        <v>FARMÁCIA INDIANA LJ 118 (10052)</v>
      </c>
      <c r="R3193" t="str">
        <f t="shared" si="1571"/>
        <v>RECEITAS COM ENTREGAS (303)</v>
      </c>
      <c r="S3193">
        <v>1865</v>
      </c>
      <c r="T3193">
        <v>1341</v>
      </c>
      <c r="U3193" t="s">
        <v>19</v>
      </c>
    </row>
    <row r="3194" spans="1:21">
      <c r="A3194" t="str">
        <f t="shared" si="1565"/>
        <v>18/06/2025</v>
      </c>
      <c r="B3194" t="str">
        <f t="shared" si="1557"/>
        <v>ENTRADA</v>
      </c>
      <c r="C3194" t="str">
        <f t="shared" si="1566"/>
        <v>NFSE</v>
      </c>
      <c r="D3194" t="str">
        <f t="shared" si="1561"/>
        <v>3086</v>
      </c>
      <c r="E3194" t="str">
        <f t="shared" si="1567"/>
        <v>COM</v>
      </c>
      <c r="F3194" t="str">
        <f t="shared" si="1562"/>
        <v>FARMÁCIA INDIANA LJ 1 (10126)</v>
      </c>
      <c r="G3194" t="str">
        <f t="shared" si="1563"/>
        <v>Serv.Prest. 02/06/2025 a 08/06/2025 - RPS: 855 - NFSe: 3086</v>
      </c>
      <c r="H3194" t="str">
        <f t="shared" si="1568"/>
        <v>18/06/2025</v>
      </c>
      <c r="I3194" t="str">
        <f t="shared" si="1564"/>
        <v>10/06/2025</v>
      </c>
      <c r="J3194" t="str">
        <f t="shared" si="1569"/>
        <v>18/06/2025</v>
      </c>
      <c r="M3194">
        <v>303</v>
      </c>
      <c r="N3194" t="str">
        <f t="shared" si="1570"/>
        <v>RECEITAS COM ENTREGAS</v>
      </c>
      <c r="P3194">
        <v>119.74</v>
      </c>
      <c r="Q3194" t="str">
        <f>"FARMÁCIA INDIANA LJ 121 (10054)"</f>
        <v>FARMÁCIA INDIANA LJ 121 (10054)</v>
      </c>
      <c r="R3194" t="str">
        <f t="shared" si="1571"/>
        <v>RECEITAS COM ENTREGAS (303)</v>
      </c>
      <c r="S3194">
        <v>1865</v>
      </c>
      <c r="T3194">
        <v>1341</v>
      </c>
      <c r="U3194" t="s">
        <v>19</v>
      </c>
    </row>
    <row r="3195" spans="1:21">
      <c r="A3195" t="str">
        <f t="shared" si="1565"/>
        <v>18/06/2025</v>
      </c>
      <c r="B3195" t="str">
        <f t="shared" si="1557"/>
        <v>ENTRADA</v>
      </c>
      <c r="C3195" t="str">
        <f t="shared" si="1566"/>
        <v>NFSE</v>
      </c>
      <c r="D3195" t="str">
        <f t="shared" si="1561"/>
        <v>3086</v>
      </c>
      <c r="E3195" t="str">
        <f t="shared" si="1567"/>
        <v>COM</v>
      </c>
      <c r="F3195" t="str">
        <f t="shared" si="1562"/>
        <v>FARMÁCIA INDIANA LJ 1 (10126)</v>
      </c>
      <c r="G3195" t="str">
        <f t="shared" si="1563"/>
        <v>Serv.Prest. 02/06/2025 a 08/06/2025 - RPS: 855 - NFSe: 3086</v>
      </c>
      <c r="H3195" t="str">
        <f t="shared" si="1568"/>
        <v>18/06/2025</v>
      </c>
      <c r="I3195" t="str">
        <f t="shared" si="1564"/>
        <v>10/06/2025</v>
      </c>
      <c r="J3195" t="str">
        <f t="shared" si="1569"/>
        <v>18/06/2025</v>
      </c>
      <c r="M3195">
        <v>303</v>
      </c>
      <c r="N3195" t="str">
        <f t="shared" si="1570"/>
        <v>RECEITAS COM ENTREGAS</v>
      </c>
      <c r="P3195">
        <v>119.74</v>
      </c>
      <c r="Q3195" t="str">
        <f>"FARMÁCIA INDIANA LJ 128 (10057)"</f>
        <v>FARMÁCIA INDIANA LJ 128 (10057)</v>
      </c>
      <c r="R3195" t="str">
        <f t="shared" si="1571"/>
        <v>RECEITAS COM ENTREGAS (303)</v>
      </c>
      <c r="S3195">
        <v>1865</v>
      </c>
      <c r="T3195">
        <v>1341</v>
      </c>
      <c r="U3195" t="s">
        <v>19</v>
      </c>
    </row>
    <row r="3196" spans="1:21">
      <c r="A3196" t="str">
        <f t="shared" si="1565"/>
        <v>18/06/2025</v>
      </c>
      <c r="B3196" t="str">
        <f t="shared" si="1557"/>
        <v>ENTRADA</v>
      </c>
      <c r="C3196" t="str">
        <f t="shared" si="1566"/>
        <v>NFSE</v>
      </c>
      <c r="D3196" t="str">
        <f t="shared" si="1561"/>
        <v>3086</v>
      </c>
      <c r="E3196" t="str">
        <f t="shared" si="1567"/>
        <v>COM</v>
      </c>
      <c r="F3196" t="str">
        <f t="shared" si="1562"/>
        <v>FARMÁCIA INDIANA LJ 1 (10126)</v>
      </c>
      <c r="G3196" t="str">
        <f t="shared" si="1563"/>
        <v>Serv.Prest. 02/06/2025 a 08/06/2025 - RPS: 855 - NFSe: 3086</v>
      </c>
      <c r="H3196" t="str">
        <f t="shared" si="1568"/>
        <v>18/06/2025</v>
      </c>
      <c r="I3196" t="str">
        <f t="shared" si="1564"/>
        <v>10/06/2025</v>
      </c>
      <c r="J3196" t="str">
        <f t="shared" si="1569"/>
        <v>18/06/2025</v>
      </c>
      <c r="M3196">
        <v>303</v>
      </c>
      <c r="N3196" t="str">
        <f t="shared" si="1570"/>
        <v>RECEITAS COM ENTREGAS</v>
      </c>
      <c r="P3196">
        <v>27.21</v>
      </c>
      <c r="Q3196" t="str">
        <f>"FARMÁCIA INDIANA LJ 140 (10064)"</f>
        <v>FARMÁCIA INDIANA LJ 140 (10064)</v>
      </c>
      <c r="R3196" t="str">
        <f t="shared" si="1571"/>
        <v>RECEITAS COM ENTREGAS (303)</v>
      </c>
      <c r="S3196">
        <v>1865</v>
      </c>
      <c r="T3196">
        <v>1341</v>
      </c>
      <c r="U3196" t="s">
        <v>19</v>
      </c>
    </row>
    <row r="3197" spans="1:21">
      <c r="A3197" t="str">
        <f t="shared" si="1565"/>
        <v>18/06/2025</v>
      </c>
      <c r="B3197" t="str">
        <f t="shared" si="1557"/>
        <v>ENTRADA</v>
      </c>
      <c r="C3197" t="str">
        <f t="shared" si="1566"/>
        <v>NFSE</v>
      </c>
      <c r="D3197" t="str">
        <f t="shared" si="1561"/>
        <v>3086</v>
      </c>
      <c r="E3197" t="str">
        <f t="shared" si="1567"/>
        <v>COM</v>
      </c>
      <c r="F3197" t="str">
        <f t="shared" si="1562"/>
        <v>FARMÁCIA INDIANA LJ 1 (10126)</v>
      </c>
      <c r="G3197" t="str">
        <f t="shared" si="1563"/>
        <v>Serv.Prest. 02/06/2025 a 08/06/2025 - RPS: 855 - NFSe: 3086</v>
      </c>
      <c r="H3197" t="str">
        <f t="shared" si="1568"/>
        <v>18/06/2025</v>
      </c>
      <c r="I3197" t="str">
        <f t="shared" si="1564"/>
        <v>10/06/2025</v>
      </c>
      <c r="J3197" t="str">
        <f t="shared" si="1569"/>
        <v>18/06/2025</v>
      </c>
      <c r="M3197">
        <v>303</v>
      </c>
      <c r="N3197" t="str">
        <f t="shared" si="1570"/>
        <v>RECEITAS COM ENTREGAS</v>
      </c>
      <c r="P3197">
        <v>29.94</v>
      </c>
      <c r="Q3197" t="str">
        <f>"FARMÁCIA INDIANA LJ 141 (10065)"</f>
        <v>FARMÁCIA INDIANA LJ 141 (10065)</v>
      </c>
      <c r="R3197" t="str">
        <f t="shared" si="1571"/>
        <v>RECEITAS COM ENTREGAS (303)</v>
      </c>
      <c r="S3197">
        <v>1865</v>
      </c>
      <c r="T3197">
        <v>1341</v>
      </c>
      <c r="U3197" t="s">
        <v>19</v>
      </c>
    </row>
    <row r="3198" spans="1:21">
      <c r="A3198" t="str">
        <f t="shared" si="1565"/>
        <v>18/06/2025</v>
      </c>
      <c r="B3198" t="str">
        <f t="shared" si="1557"/>
        <v>ENTRADA</v>
      </c>
      <c r="C3198" t="str">
        <f t="shared" si="1566"/>
        <v>NFSE</v>
      </c>
      <c r="D3198" t="str">
        <f t="shared" si="1561"/>
        <v>3086</v>
      </c>
      <c r="E3198" t="str">
        <f t="shared" si="1567"/>
        <v>COM</v>
      </c>
      <c r="F3198" t="str">
        <f t="shared" si="1562"/>
        <v>FARMÁCIA INDIANA LJ 1 (10126)</v>
      </c>
      <c r="G3198" t="str">
        <f t="shared" si="1563"/>
        <v>Serv.Prest. 02/06/2025 a 08/06/2025 - RPS: 855 - NFSe: 3086</v>
      </c>
      <c r="H3198" t="str">
        <f t="shared" si="1568"/>
        <v>18/06/2025</v>
      </c>
      <c r="I3198" t="str">
        <f t="shared" si="1564"/>
        <v>10/06/2025</v>
      </c>
      <c r="J3198" t="str">
        <f t="shared" si="1569"/>
        <v>18/06/2025</v>
      </c>
      <c r="M3198">
        <v>303</v>
      </c>
      <c r="N3198" t="str">
        <f t="shared" si="1570"/>
        <v>RECEITAS COM ENTREGAS</v>
      </c>
      <c r="P3198">
        <v>774.24</v>
      </c>
      <c r="Q3198" t="str">
        <f>"FARMÁCIA INDIANA LJ 142 (10066)"</f>
        <v>FARMÁCIA INDIANA LJ 142 (10066)</v>
      </c>
      <c r="R3198" t="str">
        <f t="shared" si="1571"/>
        <v>RECEITAS COM ENTREGAS (303)</v>
      </c>
      <c r="S3198">
        <v>1865</v>
      </c>
      <c r="T3198">
        <v>1341</v>
      </c>
      <c r="U3198" t="s">
        <v>19</v>
      </c>
    </row>
    <row r="3199" spans="1:21">
      <c r="A3199" t="str">
        <f t="shared" si="1565"/>
        <v>18/06/2025</v>
      </c>
      <c r="B3199" t="str">
        <f t="shared" si="1557"/>
        <v>ENTRADA</v>
      </c>
      <c r="C3199" t="str">
        <f t="shared" si="1566"/>
        <v>NFSE</v>
      </c>
      <c r="D3199" t="str">
        <f t="shared" si="1561"/>
        <v>3086</v>
      </c>
      <c r="E3199" t="str">
        <f t="shared" si="1567"/>
        <v>COM</v>
      </c>
      <c r="F3199" t="str">
        <f t="shared" si="1562"/>
        <v>FARMÁCIA INDIANA LJ 1 (10126)</v>
      </c>
      <c r="G3199" t="str">
        <f t="shared" si="1563"/>
        <v>Serv.Prest. 02/06/2025 a 08/06/2025 - RPS: 855 - NFSe: 3086</v>
      </c>
      <c r="H3199" t="str">
        <f t="shared" si="1568"/>
        <v>18/06/2025</v>
      </c>
      <c r="I3199" t="str">
        <f t="shared" si="1564"/>
        <v>10/06/2025</v>
      </c>
      <c r="J3199" t="str">
        <f t="shared" si="1569"/>
        <v>18/06/2025</v>
      </c>
      <c r="M3199">
        <v>303</v>
      </c>
      <c r="N3199" t="str">
        <f t="shared" si="1570"/>
        <v>RECEITAS COM ENTREGAS</v>
      </c>
      <c r="P3199">
        <v>65.31</v>
      </c>
      <c r="Q3199" t="str">
        <f>"FARMÁCIA INDIANA LJ 143 (10067)"</f>
        <v>FARMÁCIA INDIANA LJ 143 (10067)</v>
      </c>
      <c r="R3199" t="str">
        <f t="shared" si="1571"/>
        <v>RECEITAS COM ENTREGAS (303)</v>
      </c>
      <c r="S3199">
        <v>1865</v>
      </c>
      <c r="T3199">
        <v>1341</v>
      </c>
      <c r="U3199" t="s">
        <v>19</v>
      </c>
    </row>
    <row r="3200" spans="1:21">
      <c r="A3200" t="str">
        <f t="shared" si="1565"/>
        <v>18/06/2025</v>
      </c>
      <c r="B3200" t="str">
        <f t="shared" si="1557"/>
        <v>ENTRADA</v>
      </c>
      <c r="C3200" t="str">
        <f t="shared" si="1566"/>
        <v>NFSE</v>
      </c>
      <c r="D3200" t="str">
        <f t="shared" si="1561"/>
        <v>3086</v>
      </c>
      <c r="E3200" t="str">
        <f t="shared" si="1567"/>
        <v>COM</v>
      </c>
      <c r="F3200" t="str">
        <f t="shared" si="1562"/>
        <v>FARMÁCIA INDIANA LJ 1 (10126)</v>
      </c>
      <c r="G3200" t="str">
        <f t="shared" si="1563"/>
        <v>Serv.Prest. 02/06/2025 a 08/06/2025 - RPS: 855 - NFSe: 3086</v>
      </c>
      <c r="H3200" t="str">
        <f t="shared" si="1568"/>
        <v>18/06/2025</v>
      </c>
      <c r="I3200" t="str">
        <f t="shared" si="1564"/>
        <v>10/06/2025</v>
      </c>
      <c r="J3200" t="str">
        <f t="shared" si="1569"/>
        <v>18/06/2025</v>
      </c>
      <c r="M3200">
        <v>303</v>
      </c>
      <c r="N3200" t="str">
        <f t="shared" si="1570"/>
        <v>RECEITAS COM ENTREGAS</v>
      </c>
      <c r="P3200">
        <v>172.81</v>
      </c>
      <c r="Q3200" t="str">
        <f>"FARMÁCIA INDIANA LJ 152 (10069)"</f>
        <v>FARMÁCIA INDIANA LJ 152 (10069)</v>
      </c>
      <c r="R3200" t="str">
        <f t="shared" si="1571"/>
        <v>RECEITAS COM ENTREGAS (303)</v>
      </c>
      <c r="S3200">
        <v>1865</v>
      </c>
      <c r="T3200">
        <v>1341</v>
      </c>
      <c r="U3200" t="s">
        <v>19</v>
      </c>
    </row>
    <row r="3201" spans="1:21">
      <c r="A3201" t="str">
        <f t="shared" si="1565"/>
        <v>18/06/2025</v>
      </c>
      <c r="B3201" t="str">
        <f t="shared" si="1557"/>
        <v>ENTRADA</v>
      </c>
      <c r="C3201" t="str">
        <f t="shared" si="1566"/>
        <v>NFSE</v>
      </c>
      <c r="D3201" t="str">
        <f t="shared" si="1561"/>
        <v>3086</v>
      </c>
      <c r="E3201" t="str">
        <f t="shared" si="1567"/>
        <v>COM</v>
      </c>
      <c r="F3201" t="str">
        <f t="shared" si="1562"/>
        <v>FARMÁCIA INDIANA LJ 1 (10126)</v>
      </c>
      <c r="G3201" t="str">
        <f t="shared" si="1563"/>
        <v>Serv.Prest. 02/06/2025 a 08/06/2025 - RPS: 855 - NFSe: 3086</v>
      </c>
      <c r="H3201" t="str">
        <f t="shared" si="1568"/>
        <v>18/06/2025</v>
      </c>
      <c r="I3201" t="str">
        <f t="shared" si="1564"/>
        <v>10/06/2025</v>
      </c>
      <c r="J3201" t="str">
        <f t="shared" si="1569"/>
        <v>18/06/2025</v>
      </c>
      <c r="M3201">
        <v>303</v>
      </c>
      <c r="N3201" t="str">
        <f t="shared" si="1570"/>
        <v>RECEITAS COM ENTREGAS</v>
      </c>
      <c r="P3201">
        <v>36.74</v>
      </c>
      <c r="Q3201" t="str">
        <f>"FARMÁCIA INDIANA LJ 154 (10070)"</f>
        <v>FARMÁCIA INDIANA LJ 154 (10070)</v>
      </c>
      <c r="R3201" t="str">
        <f t="shared" si="1571"/>
        <v>RECEITAS COM ENTREGAS (303)</v>
      </c>
      <c r="S3201">
        <v>1865</v>
      </c>
      <c r="T3201">
        <v>1341</v>
      </c>
      <c r="U3201" t="s">
        <v>19</v>
      </c>
    </row>
    <row r="3202" spans="1:21">
      <c r="A3202" t="str">
        <f t="shared" si="1565"/>
        <v>18/06/2025</v>
      </c>
      <c r="B3202" t="str">
        <f t="shared" si="1557"/>
        <v>ENTRADA</v>
      </c>
      <c r="C3202" t="str">
        <f t="shared" si="1566"/>
        <v>NFSE</v>
      </c>
      <c r="D3202" t="str">
        <f t="shared" si="1561"/>
        <v>3086</v>
      </c>
      <c r="E3202" t="str">
        <f t="shared" si="1567"/>
        <v>COM</v>
      </c>
      <c r="F3202" t="str">
        <f t="shared" si="1562"/>
        <v>FARMÁCIA INDIANA LJ 1 (10126)</v>
      </c>
      <c r="G3202" t="str">
        <f t="shared" si="1563"/>
        <v>Serv.Prest. 02/06/2025 a 08/06/2025 - RPS: 855 - NFSe: 3086</v>
      </c>
      <c r="H3202" t="str">
        <f t="shared" si="1568"/>
        <v>18/06/2025</v>
      </c>
      <c r="I3202" t="str">
        <f t="shared" si="1564"/>
        <v>10/06/2025</v>
      </c>
      <c r="J3202" t="str">
        <f t="shared" si="1569"/>
        <v>18/06/2025</v>
      </c>
      <c r="M3202">
        <v>303</v>
      </c>
      <c r="N3202" t="str">
        <f t="shared" si="1570"/>
        <v>RECEITAS COM ENTREGAS</v>
      </c>
      <c r="P3202">
        <v>321.12</v>
      </c>
      <c r="Q3202" t="str">
        <f>"FARMÁCIA INDIANA LJ 171 (10074)"</f>
        <v>FARMÁCIA INDIANA LJ 171 (10074)</v>
      </c>
      <c r="R3202" t="str">
        <f t="shared" si="1571"/>
        <v>RECEITAS COM ENTREGAS (303)</v>
      </c>
      <c r="S3202">
        <v>1865</v>
      </c>
      <c r="T3202">
        <v>1341</v>
      </c>
      <c r="U3202" t="s">
        <v>19</v>
      </c>
    </row>
    <row r="3203" spans="1:21">
      <c r="A3203" t="str">
        <f t="shared" si="1565"/>
        <v>18/06/2025</v>
      </c>
      <c r="B3203" t="str">
        <f t="shared" si="1557"/>
        <v>ENTRADA</v>
      </c>
      <c r="C3203" t="str">
        <f t="shared" si="1566"/>
        <v>NFSE</v>
      </c>
      <c r="D3203" t="str">
        <f t="shared" si="1561"/>
        <v>3086</v>
      </c>
      <c r="E3203" t="str">
        <f t="shared" si="1567"/>
        <v>COM</v>
      </c>
      <c r="F3203" t="str">
        <f t="shared" si="1562"/>
        <v>FARMÁCIA INDIANA LJ 1 (10126)</v>
      </c>
      <c r="G3203" t="str">
        <f t="shared" si="1563"/>
        <v>Serv.Prest. 02/06/2025 a 08/06/2025 - RPS: 855 - NFSe: 3086</v>
      </c>
      <c r="H3203" t="str">
        <f t="shared" si="1568"/>
        <v>18/06/2025</v>
      </c>
      <c r="I3203" t="str">
        <f t="shared" si="1564"/>
        <v>10/06/2025</v>
      </c>
      <c r="J3203" t="str">
        <f t="shared" si="1569"/>
        <v>18/06/2025</v>
      </c>
      <c r="M3203">
        <v>303</v>
      </c>
      <c r="N3203" t="str">
        <f t="shared" si="1570"/>
        <v>RECEITAS COM ENTREGAS</v>
      </c>
      <c r="P3203">
        <v>123.82</v>
      </c>
      <c r="Q3203" t="str">
        <f>"FARMÁCIA INDIANA LJ 175 (10076)"</f>
        <v>FARMÁCIA INDIANA LJ 175 (10076)</v>
      </c>
      <c r="R3203" t="str">
        <f t="shared" si="1571"/>
        <v>RECEITAS COM ENTREGAS (303)</v>
      </c>
      <c r="S3203">
        <v>1865</v>
      </c>
      <c r="T3203">
        <v>1341</v>
      </c>
      <c r="U3203" t="s">
        <v>19</v>
      </c>
    </row>
    <row r="3204" spans="1:21">
      <c r="A3204" t="str">
        <f t="shared" si="1565"/>
        <v>18/06/2025</v>
      </c>
      <c r="B3204" t="str">
        <f t="shared" si="1557"/>
        <v>ENTRADA</v>
      </c>
      <c r="C3204" t="str">
        <f t="shared" si="1566"/>
        <v>NFSE</v>
      </c>
      <c r="D3204" t="str">
        <f t="shared" si="1561"/>
        <v>3086</v>
      </c>
      <c r="E3204" t="str">
        <f t="shared" si="1567"/>
        <v>COM</v>
      </c>
      <c r="F3204" t="str">
        <f t="shared" si="1562"/>
        <v>FARMÁCIA INDIANA LJ 1 (10126)</v>
      </c>
      <c r="G3204" t="str">
        <f t="shared" si="1563"/>
        <v>Serv.Prest. 02/06/2025 a 08/06/2025 - RPS: 855 - NFSe: 3086</v>
      </c>
      <c r="H3204" t="str">
        <f t="shared" si="1568"/>
        <v>18/06/2025</v>
      </c>
      <c r="I3204" t="str">
        <f t="shared" si="1564"/>
        <v>10/06/2025</v>
      </c>
      <c r="J3204" t="str">
        <f t="shared" si="1569"/>
        <v>18/06/2025</v>
      </c>
      <c r="M3204">
        <v>303</v>
      </c>
      <c r="N3204" t="str">
        <f t="shared" si="1570"/>
        <v>RECEITAS COM ENTREGAS</v>
      </c>
      <c r="P3204">
        <v>130.63</v>
      </c>
      <c r="Q3204" t="str">
        <f>"FARMÁCIA INDIANA LJ 178 (10077)"</f>
        <v>FARMÁCIA INDIANA LJ 178 (10077)</v>
      </c>
      <c r="R3204" t="str">
        <f t="shared" si="1571"/>
        <v>RECEITAS COM ENTREGAS (303)</v>
      </c>
      <c r="S3204">
        <v>1865</v>
      </c>
      <c r="T3204">
        <v>1341</v>
      </c>
      <c r="U3204" t="s">
        <v>19</v>
      </c>
    </row>
    <row r="3205" spans="1:21">
      <c r="A3205" t="str">
        <f t="shared" si="1565"/>
        <v>18/06/2025</v>
      </c>
      <c r="B3205" t="str">
        <f t="shared" si="1557"/>
        <v>ENTRADA</v>
      </c>
      <c r="C3205" t="str">
        <f t="shared" si="1566"/>
        <v>NFSE</v>
      </c>
      <c r="D3205" t="str">
        <f t="shared" si="1561"/>
        <v>3086</v>
      </c>
      <c r="E3205" t="str">
        <f t="shared" si="1567"/>
        <v>COM</v>
      </c>
      <c r="F3205" t="str">
        <f t="shared" si="1562"/>
        <v>FARMÁCIA INDIANA LJ 1 (10126)</v>
      </c>
      <c r="G3205" t="str">
        <f t="shared" si="1563"/>
        <v>Serv.Prest. 02/06/2025 a 08/06/2025 - RPS: 855 - NFSe: 3086</v>
      </c>
      <c r="H3205" t="str">
        <f t="shared" si="1568"/>
        <v>18/06/2025</v>
      </c>
      <c r="I3205" t="str">
        <f t="shared" si="1564"/>
        <v>10/06/2025</v>
      </c>
      <c r="J3205" t="str">
        <f t="shared" si="1569"/>
        <v>18/06/2025</v>
      </c>
      <c r="M3205">
        <v>303</v>
      </c>
      <c r="N3205" t="str">
        <f t="shared" si="1570"/>
        <v>RECEITAS COM ENTREGAS</v>
      </c>
      <c r="P3205">
        <v>74.84</v>
      </c>
      <c r="Q3205" t="str">
        <f>"FARMÁCIA INDIANA LJ 182 (10079)"</f>
        <v>FARMÁCIA INDIANA LJ 182 (10079)</v>
      </c>
      <c r="R3205" t="str">
        <f t="shared" si="1571"/>
        <v>RECEITAS COM ENTREGAS (303)</v>
      </c>
      <c r="S3205">
        <v>1865</v>
      </c>
      <c r="T3205">
        <v>1341</v>
      </c>
      <c r="U3205" t="s">
        <v>19</v>
      </c>
    </row>
    <row r="3206" spans="1:21">
      <c r="A3206" t="str">
        <f t="shared" si="1565"/>
        <v>18/06/2025</v>
      </c>
      <c r="B3206" t="str">
        <f t="shared" si="1557"/>
        <v>ENTRADA</v>
      </c>
      <c r="C3206" t="str">
        <f t="shared" si="1566"/>
        <v>NFSE</v>
      </c>
      <c r="D3206" t="str">
        <f t="shared" si="1561"/>
        <v>3086</v>
      </c>
      <c r="E3206" t="str">
        <f t="shared" si="1567"/>
        <v>COM</v>
      </c>
      <c r="F3206" t="str">
        <f t="shared" si="1562"/>
        <v>FARMÁCIA INDIANA LJ 1 (10126)</v>
      </c>
      <c r="G3206" t="str">
        <f t="shared" si="1563"/>
        <v>Serv.Prest. 02/06/2025 a 08/06/2025 - RPS: 855 - NFSe: 3086</v>
      </c>
      <c r="H3206" t="str">
        <f t="shared" si="1568"/>
        <v>18/06/2025</v>
      </c>
      <c r="I3206" t="str">
        <f t="shared" si="1564"/>
        <v>10/06/2025</v>
      </c>
      <c r="J3206" t="str">
        <f t="shared" si="1569"/>
        <v>18/06/2025</v>
      </c>
      <c r="M3206">
        <v>303</v>
      </c>
      <c r="N3206" t="str">
        <f t="shared" si="1570"/>
        <v>RECEITAS COM ENTREGAS</v>
      </c>
      <c r="P3206">
        <v>39.46</v>
      </c>
      <c r="Q3206" t="str">
        <f>"FARMÁCIA INDIANA LJ 184 (10080)"</f>
        <v>FARMÁCIA INDIANA LJ 184 (10080)</v>
      </c>
      <c r="R3206" t="str">
        <f t="shared" si="1571"/>
        <v>RECEITAS COM ENTREGAS (303)</v>
      </c>
      <c r="S3206">
        <v>1865</v>
      </c>
      <c r="T3206">
        <v>1341</v>
      </c>
      <c r="U3206" t="s">
        <v>19</v>
      </c>
    </row>
    <row r="3207" spans="1:21">
      <c r="A3207" t="str">
        <f t="shared" si="1565"/>
        <v>18/06/2025</v>
      </c>
      <c r="B3207" t="str">
        <f t="shared" si="1557"/>
        <v>ENTRADA</v>
      </c>
      <c r="C3207" t="str">
        <f t="shared" si="1566"/>
        <v>NFSE</v>
      </c>
      <c r="D3207" t="str">
        <f t="shared" si="1561"/>
        <v>3086</v>
      </c>
      <c r="E3207" t="str">
        <f t="shared" si="1567"/>
        <v>COM</v>
      </c>
      <c r="F3207" t="str">
        <f t="shared" si="1562"/>
        <v>FARMÁCIA INDIANA LJ 1 (10126)</v>
      </c>
      <c r="G3207" t="str">
        <f t="shared" si="1563"/>
        <v>Serv.Prest. 02/06/2025 a 08/06/2025 - RPS: 855 - NFSe: 3086</v>
      </c>
      <c r="H3207" t="str">
        <f t="shared" si="1568"/>
        <v>18/06/2025</v>
      </c>
      <c r="I3207" t="str">
        <f t="shared" si="1564"/>
        <v>10/06/2025</v>
      </c>
      <c r="J3207" t="str">
        <f t="shared" si="1569"/>
        <v>18/06/2025</v>
      </c>
      <c r="M3207">
        <v>303</v>
      </c>
      <c r="N3207" t="str">
        <f t="shared" si="1570"/>
        <v>RECEITAS COM ENTREGAS</v>
      </c>
      <c r="P3207">
        <v>74.84</v>
      </c>
      <c r="Q3207" t="str">
        <f>"FARMÁCIA INDIANA LJ 186 (10081)"</f>
        <v>FARMÁCIA INDIANA LJ 186 (10081)</v>
      </c>
      <c r="R3207" t="str">
        <f t="shared" si="1571"/>
        <v>RECEITAS COM ENTREGAS (303)</v>
      </c>
      <c r="S3207">
        <v>1865</v>
      </c>
      <c r="T3207">
        <v>1341</v>
      </c>
      <c r="U3207" t="s">
        <v>19</v>
      </c>
    </row>
    <row r="3208" spans="1:21">
      <c r="A3208" t="str">
        <f t="shared" si="1565"/>
        <v>18/06/2025</v>
      </c>
      <c r="B3208" t="str">
        <f t="shared" si="1557"/>
        <v>ENTRADA</v>
      </c>
      <c r="C3208" t="str">
        <f t="shared" si="1566"/>
        <v>NFSE</v>
      </c>
      <c r="D3208" t="str">
        <f t="shared" si="1561"/>
        <v>3086</v>
      </c>
      <c r="E3208" t="str">
        <f t="shared" si="1567"/>
        <v>COM</v>
      </c>
      <c r="F3208" t="str">
        <f t="shared" si="1562"/>
        <v>FARMÁCIA INDIANA LJ 1 (10126)</v>
      </c>
      <c r="G3208" t="str">
        <f t="shared" si="1563"/>
        <v>Serv.Prest. 02/06/2025 a 08/06/2025 - RPS: 855 - NFSe: 3086</v>
      </c>
      <c r="H3208" t="str">
        <f t="shared" si="1568"/>
        <v>18/06/2025</v>
      </c>
      <c r="I3208" t="str">
        <f t="shared" si="1564"/>
        <v>10/06/2025</v>
      </c>
      <c r="J3208" t="str">
        <f t="shared" si="1569"/>
        <v>18/06/2025</v>
      </c>
      <c r="M3208">
        <v>303</v>
      </c>
      <c r="N3208" t="str">
        <f t="shared" si="1570"/>
        <v>RECEITAS COM ENTREGAS</v>
      </c>
      <c r="P3208">
        <v>96.61</v>
      </c>
      <c r="Q3208" t="str">
        <f>"FARMÁCIA INDIANA LJ 192 (10082)"</f>
        <v>FARMÁCIA INDIANA LJ 192 (10082)</v>
      </c>
      <c r="R3208" t="str">
        <f t="shared" si="1571"/>
        <v>RECEITAS COM ENTREGAS (303)</v>
      </c>
      <c r="S3208">
        <v>1865</v>
      </c>
      <c r="T3208">
        <v>1341</v>
      </c>
      <c r="U3208" t="s">
        <v>19</v>
      </c>
    </row>
    <row r="3209" spans="1:21">
      <c r="A3209" t="str">
        <f t="shared" si="1565"/>
        <v>18/06/2025</v>
      </c>
      <c r="B3209" t="str">
        <f t="shared" si="1557"/>
        <v>ENTRADA</v>
      </c>
      <c r="C3209" t="str">
        <f t="shared" si="1566"/>
        <v>NFSE</v>
      </c>
      <c r="D3209" t="str">
        <f t="shared" si="1561"/>
        <v>3086</v>
      </c>
      <c r="E3209" t="str">
        <f t="shared" si="1567"/>
        <v>COM</v>
      </c>
      <c r="F3209" t="str">
        <f t="shared" si="1562"/>
        <v>FARMÁCIA INDIANA LJ 1 (10126)</v>
      </c>
      <c r="G3209" t="str">
        <f t="shared" si="1563"/>
        <v>Serv.Prest. 02/06/2025 a 08/06/2025 - RPS: 855 - NFSe: 3086</v>
      </c>
      <c r="H3209" t="str">
        <f t="shared" si="1568"/>
        <v>18/06/2025</v>
      </c>
      <c r="I3209" t="str">
        <f t="shared" si="1564"/>
        <v>10/06/2025</v>
      </c>
      <c r="J3209" t="str">
        <f t="shared" si="1569"/>
        <v>18/06/2025</v>
      </c>
      <c r="M3209">
        <v>303</v>
      </c>
      <c r="N3209" t="str">
        <f t="shared" si="1570"/>
        <v>RECEITAS COM ENTREGAS</v>
      </c>
      <c r="P3209">
        <v>39.46</v>
      </c>
      <c r="Q3209" t="str">
        <f>"FARMÁCIA INDIANA LJ 195 (10083)"</f>
        <v>FARMÁCIA INDIANA LJ 195 (10083)</v>
      </c>
      <c r="R3209" t="str">
        <f t="shared" si="1571"/>
        <v>RECEITAS COM ENTREGAS (303)</v>
      </c>
      <c r="S3209">
        <v>1865</v>
      </c>
      <c r="T3209">
        <v>1341</v>
      </c>
      <c r="U3209" t="s">
        <v>19</v>
      </c>
    </row>
    <row r="3210" spans="1:21">
      <c r="A3210" t="str">
        <f t="shared" si="1565"/>
        <v>18/06/2025</v>
      </c>
      <c r="B3210" t="str">
        <f t="shared" si="1557"/>
        <v>ENTRADA</v>
      </c>
      <c r="C3210" t="str">
        <f t="shared" si="1566"/>
        <v>NFSE</v>
      </c>
      <c r="D3210" t="str">
        <f t="shared" si="1561"/>
        <v>3086</v>
      </c>
      <c r="E3210" t="str">
        <f t="shared" si="1567"/>
        <v>COM</v>
      </c>
      <c r="F3210" t="str">
        <f t="shared" si="1562"/>
        <v>FARMÁCIA INDIANA LJ 1 (10126)</v>
      </c>
      <c r="G3210" t="str">
        <f t="shared" si="1563"/>
        <v>Serv.Prest. 02/06/2025 a 08/06/2025 - RPS: 855 - NFSe: 3086</v>
      </c>
      <c r="H3210" t="str">
        <f t="shared" si="1568"/>
        <v>18/06/2025</v>
      </c>
      <c r="I3210" t="str">
        <f t="shared" si="1564"/>
        <v>10/06/2025</v>
      </c>
      <c r="J3210" t="str">
        <f t="shared" si="1569"/>
        <v>18/06/2025</v>
      </c>
      <c r="M3210">
        <v>303</v>
      </c>
      <c r="N3210" t="str">
        <f t="shared" si="1570"/>
        <v>RECEITAS COM ENTREGAS</v>
      </c>
      <c r="P3210">
        <v>149.68</v>
      </c>
      <c r="Q3210" t="str">
        <f>"FARMÁCIA INDIANA LJ 202 (10085)"</f>
        <v>FARMÁCIA INDIANA LJ 202 (10085)</v>
      </c>
      <c r="R3210" t="str">
        <f t="shared" si="1571"/>
        <v>RECEITAS COM ENTREGAS (303)</v>
      </c>
      <c r="S3210">
        <v>1865</v>
      </c>
      <c r="T3210">
        <v>1341</v>
      </c>
      <c r="U3210" t="s">
        <v>19</v>
      </c>
    </row>
    <row r="3211" spans="1:21">
      <c r="A3211" t="str">
        <f t="shared" si="1565"/>
        <v>18/06/2025</v>
      </c>
      <c r="B3211" t="str">
        <f t="shared" si="1557"/>
        <v>ENTRADA</v>
      </c>
      <c r="C3211" t="str">
        <f t="shared" si="1566"/>
        <v>NFSE</v>
      </c>
      <c r="D3211" t="str">
        <f t="shared" si="1561"/>
        <v>3086</v>
      </c>
      <c r="E3211" t="str">
        <f t="shared" si="1567"/>
        <v>COM</v>
      </c>
      <c r="F3211" t="str">
        <f t="shared" si="1562"/>
        <v>FARMÁCIA INDIANA LJ 1 (10126)</v>
      </c>
      <c r="G3211" t="str">
        <f t="shared" si="1563"/>
        <v>Serv.Prest. 02/06/2025 a 08/06/2025 - RPS: 855 - NFSe: 3086</v>
      </c>
      <c r="H3211" t="str">
        <f t="shared" si="1568"/>
        <v>18/06/2025</v>
      </c>
      <c r="I3211" t="str">
        <f t="shared" si="1564"/>
        <v>10/06/2025</v>
      </c>
      <c r="J3211" t="str">
        <f t="shared" si="1569"/>
        <v>18/06/2025</v>
      </c>
      <c r="M3211">
        <v>303</v>
      </c>
      <c r="N3211" t="str">
        <f t="shared" si="1570"/>
        <v>RECEITAS COM ENTREGAS</v>
      </c>
      <c r="P3211">
        <v>106.13</v>
      </c>
      <c r="Q3211" t="str">
        <f>"FARMÁCIA INDIANA LJ 204 (10087)"</f>
        <v>FARMÁCIA INDIANA LJ 204 (10087)</v>
      </c>
      <c r="R3211" t="str">
        <f t="shared" si="1571"/>
        <v>RECEITAS COM ENTREGAS (303)</v>
      </c>
      <c r="S3211">
        <v>1865</v>
      </c>
      <c r="T3211">
        <v>1341</v>
      </c>
      <c r="U3211" t="s">
        <v>19</v>
      </c>
    </row>
    <row r="3212" spans="1:21">
      <c r="A3212" t="str">
        <f t="shared" si="1565"/>
        <v>18/06/2025</v>
      </c>
      <c r="B3212" t="str">
        <f t="shared" si="1557"/>
        <v>ENTRADA</v>
      </c>
      <c r="C3212" t="str">
        <f t="shared" si="1566"/>
        <v>NFSE</v>
      </c>
      <c r="D3212" t="str">
        <f t="shared" si="1561"/>
        <v>3086</v>
      </c>
      <c r="E3212" t="str">
        <f t="shared" si="1567"/>
        <v>COM</v>
      </c>
      <c r="F3212" t="str">
        <f t="shared" si="1562"/>
        <v>FARMÁCIA INDIANA LJ 1 (10126)</v>
      </c>
      <c r="G3212" t="str">
        <f t="shared" si="1563"/>
        <v>Serv.Prest. 02/06/2025 a 08/06/2025 - RPS: 855 - NFSe: 3086</v>
      </c>
      <c r="H3212" t="str">
        <f t="shared" si="1568"/>
        <v>18/06/2025</v>
      </c>
      <c r="I3212" t="str">
        <f t="shared" si="1564"/>
        <v>10/06/2025</v>
      </c>
      <c r="J3212" t="str">
        <f t="shared" si="1569"/>
        <v>18/06/2025</v>
      </c>
      <c r="M3212">
        <v>303</v>
      </c>
      <c r="N3212" t="str">
        <f t="shared" si="1570"/>
        <v>RECEITAS COM ENTREGAS</v>
      </c>
      <c r="P3212">
        <v>106.13</v>
      </c>
      <c r="Q3212" t="str">
        <f>"FARMÁCIA INDIANA LJ 207 (10088)"</f>
        <v>FARMÁCIA INDIANA LJ 207 (10088)</v>
      </c>
      <c r="R3212" t="str">
        <f t="shared" si="1571"/>
        <v>RECEITAS COM ENTREGAS (303)</v>
      </c>
      <c r="S3212">
        <v>1865</v>
      </c>
      <c r="T3212">
        <v>1341</v>
      </c>
      <c r="U3212" t="s">
        <v>19</v>
      </c>
    </row>
    <row r="3213" spans="1:21">
      <c r="A3213" t="str">
        <f t="shared" si="1565"/>
        <v>18/06/2025</v>
      </c>
      <c r="B3213" t="str">
        <f t="shared" si="1557"/>
        <v>ENTRADA</v>
      </c>
      <c r="C3213" t="str">
        <f t="shared" si="1566"/>
        <v>NFSE</v>
      </c>
      <c r="D3213" t="str">
        <f t="shared" si="1561"/>
        <v>3086</v>
      </c>
      <c r="E3213" t="str">
        <f t="shared" si="1567"/>
        <v>COM</v>
      </c>
      <c r="F3213" t="str">
        <f t="shared" si="1562"/>
        <v>FARMÁCIA INDIANA LJ 1 (10126)</v>
      </c>
      <c r="G3213" t="str">
        <f t="shared" si="1563"/>
        <v>Serv.Prest. 02/06/2025 a 08/06/2025 - RPS: 855 - NFSe: 3086</v>
      </c>
      <c r="H3213" t="str">
        <f t="shared" si="1568"/>
        <v>18/06/2025</v>
      </c>
      <c r="I3213" t="str">
        <f t="shared" si="1564"/>
        <v>10/06/2025</v>
      </c>
      <c r="J3213" t="str">
        <f t="shared" si="1569"/>
        <v>18/06/2025</v>
      </c>
      <c r="M3213">
        <v>303</v>
      </c>
      <c r="N3213" t="str">
        <f t="shared" si="1570"/>
        <v>RECEITAS COM ENTREGAS</v>
      </c>
      <c r="P3213">
        <v>125.18</v>
      </c>
      <c r="Q3213" t="str">
        <f>"FARMÁCIA INDIANA LJ 209 (10089)"</f>
        <v>FARMÁCIA INDIANA LJ 209 (10089)</v>
      </c>
      <c r="R3213" t="str">
        <f t="shared" si="1571"/>
        <v>RECEITAS COM ENTREGAS (303)</v>
      </c>
      <c r="S3213">
        <v>1865</v>
      </c>
      <c r="T3213">
        <v>1341</v>
      </c>
      <c r="U3213" t="s">
        <v>19</v>
      </c>
    </row>
    <row r="3214" spans="1:21">
      <c r="A3214" t="str">
        <f t="shared" si="1565"/>
        <v>18/06/2025</v>
      </c>
      <c r="B3214" t="str">
        <f t="shared" si="1557"/>
        <v>ENTRADA</v>
      </c>
      <c r="C3214" t="str">
        <f t="shared" si="1566"/>
        <v>NFSE</v>
      </c>
      <c r="D3214" t="str">
        <f t="shared" si="1561"/>
        <v>3086</v>
      </c>
      <c r="E3214" t="str">
        <f t="shared" si="1567"/>
        <v>COM</v>
      </c>
      <c r="F3214" t="str">
        <f t="shared" si="1562"/>
        <v>FARMÁCIA INDIANA LJ 1 (10126)</v>
      </c>
      <c r="G3214" t="str">
        <f t="shared" si="1563"/>
        <v>Serv.Prest. 02/06/2025 a 08/06/2025 - RPS: 855 - NFSe: 3086</v>
      </c>
      <c r="H3214" t="str">
        <f t="shared" si="1568"/>
        <v>18/06/2025</v>
      </c>
      <c r="I3214" t="str">
        <f t="shared" si="1564"/>
        <v>10/06/2025</v>
      </c>
      <c r="J3214" t="str">
        <f t="shared" si="1569"/>
        <v>18/06/2025</v>
      </c>
      <c r="M3214">
        <v>303</v>
      </c>
      <c r="N3214" t="str">
        <f t="shared" si="1570"/>
        <v>RECEITAS COM ENTREGAS</v>
      </c>
      <c r="P3214">
        <v>174.17</v>
      </c>
      <c r="Q3214" t="str">
        <f>"FARMÁCIA INDIANA LJ 219 (10091)"</f>
        <v>FARMÁCIA INDIANA LJ 219 (10091)</v>
      </c>
      <c r="R3214" t="str">
        <f t="shared" si="1571"/>
        <v>RECEITAS COM ENTREGAS (303)</v>
      </c>
      <c r="S3214">
        <v>1865</v>
      </c>
      <c r="T3214">
        <v>1341</v>
      </c>
      <c r="U3214" t="s">
        <v>19</v>
      </c>
    </row>
    <row r="3215" spans="1:21">
      <c r="A3215" t="str">
        <f t="shared" ref="A3215:A3246" si="1572">("18/06/2025")</f>
        <v>18/06/2025</v>
      </c>
      <c r="B3215" t="str">
        <f t="shared" si="1557"/>
        <v>ENTRADA</v>
      </c>
      <c r="C3215" t="str">
        <f t="shared" ref="C3215:C3238" si="1573">"NFSE"</f>
        <v>NFSE</v>
      </c>
      <c r="D3215" t="str">
        <f t="shared" si="1561"/>
        <v>3086</v>
      </c>
      <c r="E3215" t="str">
        <f t="shared" si="1567"/>
        <v>COM</v>
      </c>
      <c r="F3215" t="str">
        <f t="shared" si="1562"/>
        <v>FARMÁCIA INDIANA LJ 1 (10126)</v>
      </c>
      <c r="G3215" t="str">
        <f t="shared" si="1563"/>
        <v>Serv.Prest. 02/06/2025 a 08/06/2025 - RPS: 855 - NFSe: 3086</v>
      </c>
      <c r="H3215" t="str">
        <f t="shared" ref="H3215:H3238" si="1574">("18/06/2025")</f>
        <v>18/06/2025</v>
      </c>
      <c r="I3215" t="str">
        <f t="shared" si="1564"/>
        <v>10/06/2025</v>
      </c>
      <c r="J3215" t="str">
        <f t="shared" ref="J3215:J3246" si="1575">("18/06/2025")</f>
        <v>18/06/2025</v>
      </c>
      <c r="M3215">
        <v>303</v>
      </c>
      <c r="N3215" t="str">
        <f t="shared" ref="N3215:N3238" si="1576">"RECEITAS COM ENTREGAS"</f>
        <v>RECEITAS COM ENTREGAS</v>
      </c>
      <c r="P3215">
        <v>212.27</v>
      </c>
      <c r="Q3215" t="str">
        <f>"FARMÁCIA INDIANA LJ 220 (10092)"</f>
        <v>FARMÁCIA INDIANA LJ 220 (10092)</v>
      </c>
      <c r="R3215" t="str">
        <f t="shared" ref="R3215:R3238" si="1577">"RECEITAS COM ENTREGAS (303)"</f>
        <v>RECEITAS COM ENTREGAS (303)</v>
      </c>
      <c r="S3215">
        <v>1865</v>
      </c>
      <c r="T3215">
        <v>1341</v>
      </c>
      <c r="U3215" t="s">
        <v>19</v>
      </c>
    </row>
    <row r="3216" spans="1:21">
      <c r="A3216" t="str">
        <f t="shared" si="1572"/>
        <v>18/06/2025</v>
      </c>
      <c r="B3216" t="str">
        <f t="shared" ref="B3216:B3238" si="1578">"ENTRADA"</f>
        <v>ENTRADA</v>
      </c>
      <c r="C3216" t="str">
        <f t="shared" si="1573"/>
        <v>NFSE</v>
      </c>
      <c r="D3216" t="str">
        <f t="shared" si="1561"/>
        <v>3086</v>
      </c>
      <c r="E3216" t="str">
        <f t="shared" si="1567"/>
        <v>COM</v>
      </c>
      <c r="F3216" t="str">
        <f t="shared" si="1562"/>
        <v>FARMÁCIA INDIANA LJ 1 (10126)</v>
      </c>
      <c r="G3216" t="str">
        <f t="shared" si="1563"/>
        <v>Serv.Prest. 02/06/2025 a 08/06/2025 - RPS: 855 - NFSe: 3086</v>
      </c>
      <c r="H3216" t="str">
        <f t="shared" si="1574"/>
        <v>18/06/2025</v>
      </c>
      <c r="I3216" t="str">
        <f t="shared" si="1564"/>
        <v>10/06/2025</v>
      </c>
      <c r="J3216" t="str">
        <f t="shared" si="1575"/>
        <v>18/06/2025</v>
      </c>
      <c r="M3216">
        <v>303</v>
      </c>
      <c r="N3216" t="str">
        <f t="shared" si="1576"/>
        <v>RECEITAS COM ENTREGAS</v>
      </c>
      <c r="P3216">
        <v>711.64</v>
      </c>
      <c r="Q3216" t="str">
        <f>"FARMÁCIA INDIANA LJ 172 (10161)"</f>
        <v>FARMÁCIA INDIANA LJ 172 (10161)</v>
      </c>
      <c r="R3216" t="str">
        <f t="shared" si="1577"/>
        <v>RECEITAS COM ENTREGAS (303)</v>
      </c>
      <c r="S3216">
        <v>1865</v>
      </c>
      <c r="T3216">
        <v>1341</v>
      </c>
      <c r="U3216" t="s">
        <v>19</v>
      </c>
    </row>
    <row r="3217" spans="1:21">
      <c r="A3217" t="str">
        <f t="shared" si="1572"/>
        <v>18/06/2025</v>
      </c>
      <c r="B3217" t="str">
        <f t="shared" si="1578"/>
        <v>ENTRADA</v>
      </c>
      <c r="C3217" t="str">
        <f t="shared" si="1573"/>
        <v>NFSE</v>
      </c>
      <c r="D3217" t="str">
        <f>"3103"</f>
        <v>3103</v>
      </c>
      <c r="E3217" t="str">
        <f t="shared" si="1567"/>
        <v>COM</v>
      </c>
      <c r="F3217" t="str">
        <f>"DROGARIA AGAPEAMA (10167)"</f>
        <v>DROGARIA AGAPEAMA (10167)</v>
      </c>
      <c r="G3217" t="str">
        <f>"Serv.Prest. 09/06/2025 a 15/06/2025 - RPS: 872 - NFSe: 3103"</f>
        <v>Serv.Prest. 09/06/2025 a 15/06/2025 - RPS: 872 - NFSe: 3103</v>
      </c>
      <c r="H3217" t="str">
        <f t="shared" si="1574"/>
        <v>18/06/2025</v>
      </c>
      <c r="I3217" t="str">
        <f t="shared" ref="I3217:I3234" si="1579">("16/06/2025")</f>
        <v>16/06/2025</v>
      </c>
      <c r="J3217" t="str">
        <f t="shared" si="1575"/>
        <v>18/06/2025</v>
      </c>
      <c r="K3217">
        <v>618.24</v>
      </c>
      <c r="L3217">
        <v>618.24</v>
      </c>
      <c r="M3217">
        <v>303</v>
      </c>
      <c r="N3217" t="str">
        <f t="shared" si="1576"/>
        <v>RECEITAS COM ENTREGAS</v>
      </c>
      <c r="O3217">
        <v>618.24</v>
      </c>
      <c r="R3217" t="str">
        <f t="shared" si="1577"/>
        <v>RECEITAS COM ENTREGAS (303)</v>
      </c>
      <c r="S3217">
        <v>1866</v>
      </c>
      <c r="T3217">
        <v>1358</v>
      </c>
      <c r="U3217" t="s">
        <v>19</v>
      </c>
    </row>
    <row r="3218" spans="1:21">
      <c r="A3218" t="str">
        <f t="shared" si="1572"/>
        <v>18/06/2025</v>
      </c>
      <c r="B3218" t="str">
        <f t="shared" si="1578"/>
        <v>ENTRADA</v>
      </c>
      <c r="C3218" t="str">
        <f t="shared" si="1573"/>
        <v>NFSE</v>
      </c>
      <c r="D3218" t="str">
        <f>"3103"</f>
        <v>3103</v>
      </c>
      <c r="E3218" t="str">
        <f t="shared" si="1567"/>
        <v>COM</v>
      </c>
      <c r="F3218" t="str">
        <f>"DROGARIA AGAPEAMA (10167)"</f>
        <v>DROGARIA AGAPEAMA (10167)</v>
      </c>
      <c r="G3218" t="str">
        <f>"Serv.Prest. 09/06/2025 a 15/06/2025 - RPS: 872 - NFSe: 3103"</f>
        <v>Serv.Prest. 09/06/2025 a 15/06/2025 - RPS: 872 - NFSe: 3103</v>
      </c>
      <c r="H3218" t="str">
        <f t="shared" si="1574"/>
        <v>18/06/2025</v>
      </c>
      <c r="I3218" t="str">
        <f t="shared" si="1579"/>
        <v>16/06/2025</v>
      </c>
      <c r="J3218" t="str">
        <f t="shared" si="1575"/>
        <v>18/06/2025</v>
      </c>
      <c r="M3218">
        <v>303</v>
      </c>
      <c r="N3218" t="str">
        <f t="shared" si="1576"/>
        <v>RECEITAS COM ENTREGAS</v>
      </c>
      <c r="P3218">
        <v>618.24</v>
      </c>
      <c r="Q3218" t="str">
        <f>"DROGARIA AGAPEAMA (10167)"</f>
        <v>DROGARIA AGAPEAMA (10167)</v>
      </c>
      <c r="R3218" t="str">
        <f t="shared" si="1577"/>
        <v>RECEITAS COM ENTREGAS (303)</v>
      </c>
      <c r="S3218">
        <v>1866</v>
      </c>
      <c r="T3218">
        <v>1358</v>
      </c>
      <c r="U3218" t="s">
        <v>19</v>
      </c>
    </row>
    <row r="3219" spans="1:21">
      <c r="A3219" t="str">
        <f t="shared" si="1572"/>
        <v>18/06/2025</v>
      </c>
      <c r="B3219" t="str">
        <f t="shared" si="1578"/>
        <v>ENTRADA</v>
      </c>
      <c r="C3219" t="str">
        <f t="shared" si="1573"/>
        <v>NFSE</v>
      </c>
      <c r="D3219" t="str">
        <f>"3104"</f>
        <v>3104</v>
      </c>
      <c r="E3219" t="str">
        <f t="shared" si="1567"/>
        <v>COM</v>
      </c>
      <c r="F3219" t="str">
        <f>"ENTREFARMA (10164)"</f>
        <v>ENTREFARMA (10164)</v>
      </c>
      <c r="G3219" t="str">
        <f>"Serv.Prest. 09/06/2025 a 15/06/2025 - RPS: 873 - NFSe: 3104"</f>
        <v>Serv.Prest. 09/06/2025 a 15/06/2025 - RPS: 873 - NFSe: 3104</v>
      </c>
      <c r="H3219" t="str">
        <f t="shared" si="1574"/>
        <v>18/06/2025</v>
      </c>
      <c r="I3219" t="str">
        <f t="shared" si="1579"/>
        <v>16/06/2025</v>
      </c>
      <c r="J3219" t="str">
        <f t="shared" si="1575"/>
        <v>18/06/2025</v>
      </c>
      <c r="K3219">
        <v>990.08</v>
      </c>
      <c r="L3219">
        <v>990.08</v>
      </c>
      <c r="M3219">
        <v>303</v>
      </c>
      <c r="N3219" t="str">
        <f t="shared" si="1576"/>
        <v>RECEITAS COM ENTREGAS</v>
      </c>
      <c r="O3219">
        <v>990.08</v>
      </c>
      <c r="R3219" t="str">
        <f t="shared" si="1577"/>
        <v>RECEITAS COM ENTREGAS (303)</v>
      </c>
      <c r="S3219">
        <v>1867</v>
      </c>
      <c r="T3219">
        <v>1359</v>
      </c>
      <c r="U3219" t="s">
        <v>19</v>
      </c>
    </row>
    <row r="3220" spans="1:21">
      <c r="A3220" t="str">
        <f t="shared" si="1572"/>
        <v>18/06/2025</v>
      </c>
      <c r="B3220" t="str">
        <f t="shared" si="1578"/>
        <v>ENTRADA</v>
      </c>
      <c r="C3220" t="str">
        <f t="shared" si="1573"/>
        <v>NFSE</v>
      </c>
      <c r="D3220" t="str">
        <f>"3104"</f>
        <v>3104</v>
      </c>
      <c r="E3220" t="str">
        <f t="shared" si="1567"/>
        <v>COM</v>
      </c>
      <c r="F3220" t="str">
        <f>"ENTREFARMA (10164)"</f>
        <v>ENTREFARMA (10164)</v>
      </c>
      <c r="G3220" t="str">
        <f>"Serv.Prest. 09/06/2025 a 15/06/2025 - RPS: 873 - NFSe: 3104"</f>
        <v>Serv.Prest. 09/06/2025 a 15/06/2025 - RPS: 873 - NFSe: 3104</v>
      </c>
      <c r="H3220" t="str">
        <f t="shared" si="1574"/>
        <v>18/06/2025</v>
      </c>
      <c r="I3220" t="str">
        <f t="shared" si="1579"/>
        <v>16/06/2025</v>
      </c>
      <c r="J3220" t="str">
        <f t="shared" si="1575"/>
        <v>18/06/2025</v>
      </c>
      <c r="M3220">
        <v>303</v>
      </c>
      <c r="N3220" t="str">
        <f t="shared" si="1576"/>
        <v>RECEITAS COM ENTREGAS</v>
      </c>
      <c r="P3220">
        <v>990.08</v>
      </c>
      <c r="Q3220" t="str">
        <f>"ENTREFARMA (10164)"</f>
        <v>ENTREFARMA (10164)</v>
      </c>
      <c r="R3220" t="str">
        <f t="shared" si="1577"/>
        <v>RECEITAS COM ENTREGAS (303)</v>
      </c>
      <c r="S3220">
        <v>1867</v>
      </c>
      <c r="T3220">
        <v>1359</v>
      </c>
      <c r="U3220" t="s">
        <v>19</v>
      </c>
    </row>
    <row r="3221" spans="1:21">
      <c r="A3221" t="str">
        <f t="shared" si="1572"/>
        <v>18/06/2025</v>
      </c>
      <c r="B3221" t="str">
        <f t="shared" si="1578"/>
        <v>ENTRADA</v>
      </c>
      <c r="C3221" t="str">
        <f t="shared" si="1573"/>
        <v>NFSE</v>
      </c>
      <c r="D3221" t="str">
        <f>"3105"</f>
        <v>3105</v>
      </c>
      <c r="E3221" t="str">
        <f t="shared" si="1567"/>
        <v>COM</v>
      </c>
      <c r="F3221" t="str">
        <f>"ROSA MARIA LTDA (10165)"</f>
        <v>ROSA MARIA LTDA (10165)</v>
      </c>
      <c r="G3221" t="str">
        <f>"Serv.Prest. 09/06/2025 a 15/06/2025 - RPS: 874 - NFSe: 3105"</f>
        <v>Serv.Prest. 09/06/2025 a 15/06/2025 - RPS: 874 - NFSe: 3105</v>
      </c>
      <c r="H3221" t="str">
        <f t="shared" si="1574"/>
        <v>18/06/2025</v>
      </c>
      <c r="I3221" t="str">
        <f t="shared" si="1579"/>
        <v>16/06/2025</v>
      </c>
      <c r="J3221" t="str">
        <f t="shared" si="1575"/>
        <v>18/06/2025</v>
      </c>
      <c r="K3221">
        <v>349.52</v>
      </c>
      <c r="L3221">
        <v>349.52</v>
      </c>
      <c r="M3221">
        <v>303</v>
      </c>
      <c r="N3221" t="str">
        <f t="shared" si="1576"/>
        <v>RECEITAS COM ENTREGAS</v>
      </c>
      <c r="O3221">
        <v>349.52</v>
      </c>
      <c r="R3221" t="str">
        <f t="shared" si="1577"/>
        <v>RECEITAS COM ENTREGAS (303)</v>
      </c>
      <c r="S3221">
        <v>1868</v>
      </c>
      <c r="T3221">
        <v>1360</v>
      </c>
      <c r="U3221" t="s">
        <v>19</v>
      </c>
    </row>
    <row r="3222" spans="1:21">
      <c r="A3222" t="str">
        <f t="shared" si="1572"/>
        <v>18/06/2025</v>
      </c>
      <c r="B3222" t="str">
        <f t="shared" si="1578"/>
        <v>ENTRADA</v>
      </c>
      <c r="C3222" t="str">
        <f t="shared" si="1573"/>
        <v>NFSE</v>
      </c>
      <c r="D3222" t="str">
        <f>"3105"</f>
        <v>3105</v>
      </c>
      <c r="E3222" t="str">
        <f t="shared" si="1567"/>
        <v>COM</v>
      </c>
      <c r="F3222" t="str">
        <f>"ROSA MARIA LTDA (10165)"</f>
        <v>ROSA MARIA LTDA (10165)</v>
      </c>
      <c r="G3222" t="str">
        <f>"Serv.Prest. 09/06/2025 a 15/06/2025 - RPS: 874 - NFSe: 3105"</f>
        <v>Serv.Prest. 09/06/2025 a 15/06/2025 - RPS: 874 - NFSe: 3105</v>
      </c>
      <c r="H3222" t="str">
        <f t="shared" si="1574"/>
        <v>18/06/2025</v>
      </c>
      <c r="I3222" t="str">
        <f t="shared" si="1579"/>
        <v>16/06/2025</v>
      </c>
      <c r="J3222" t="str">
        <f t="shared" si="1575"/>
        <v>18/06/2025</v>
      </c>
      <c r="M3222">
        <v>303</v>
      </c>
      <c r="N3222" t="str">
        <f t="shared" si="1576"/>
        <v>RECEITAS COM ENTREGAS</v>
      </c>
      <c r="P3222">
        <v>349.52</v>
      </c>
      <c r="Q3222" t="str">
        <f>"ROSA MARIA LTDA (10170)"</f>
        <v>ROSA MARIA LTDA (10170)</v>
      </c>
      <c r="R3222" t="str">
        <f t="shared" si="1577"/>
        <v>RECEITAS COM ENTREGAS (303)</v>
      </c>
      <c r="S3222">
        <v>1868</v>
      </c>
      <c r="T3222">
        <v>1360</v>
      </c>
      <c r="U3222" t="s">
        <v>19</v>
      </c>
    </row>
    <row r="3223" spans="1:21">
      <c r="A3223" t="str">
        <f t="shared" si="1572"/>
        <v>18/06/2025</v>
      </c>
      <c r="B3223" t="str">
        <f t="shared" si="1578"/>
        <v>ENTRADA</v>
      </c>
      <c r="C3223" t="str">
        <f t="shared" si="1573"/>
        <v>NFSE</v>
      </c>
      <c r="D3223" t="str">
        <f>"3106"</f>
        <v>3106</v>
      </c>
      <c r="E3223" t="str">
        <f t="shared" si="1567"/>
        <v>COM</v>
      </c>
      <c r="F3223" t="str">
        <f>"ITUFARMA (10178)"</f>
        <v>ITUFARMA (10178)</v>
      </c>
      <c r="G3223" t="str">
        <f>"Serv.Prest. 09/06/2025 a 15/06/2025 - RPS: 875 - NFSe: 3106"</f>
        <v>Serv.Prest. 09/06/2025 a 15/06/2025 - RPS: 875 - NFSe: 3106</v>
      </c>
      <c r="H3223" t="str">
        <f t="shared" si="1574"/>
        <v>18/06/2025</v>
      </c>
      <c r="I3223" t="str">
        <f t="shared" si="1579"/>
        <v>16/06/2025</v>
      </c>
      <c r="J3223" t="str">
        <f t="shared" si="1575"/>
        <v>18/06/2025</v>
      </c>
      <c r="K3223">
        <v>326.17</v>
      </c>
      <c r="L3223">
        <v>326.17</v>
      </c>
      <c r="M3223">
        <v>303</v>
      </c>
      <c r="N3223" t="str">
        <f t="shared" si="1576"/>
        <v>RECEITAS COM ENTREGAS</v>
      </c>
      <c r="O3223">
        <v>326.17</v>
      </c>
      <c r="R3223" t="str">
        <f t="shared" si="1577"/>
        <v>RECEITAS COM ENTREGAS (303)</v>
      </c>
      <c r="S3223">
        <v>1869</v>
      </c>
      <c r="T3223">
        <v>1361</v>
      </c>
      <c r="U3223" t="s">
        <v>19</v>
      </c>
    </row>
    <row r="3224" spans="1:21">
      <c r="A3224" t="str">
        <f t="shared" si="1572"/>
        <v>18/06/2025</v>
      </c>
      <c r="B3224" t="str">
        <f t="shared" si="1578"/>
        <v>ENTRADA</v>
      </c>
      <c r="C3224" t="str">
        <f t="shared" si="1573"/>
        <v>NFSE</v>
      </c>
      <c r="D3224" t="str">
        <f>"3106"</f>
        <v>3106</v>
      </c>
      <c r="E3224" t="str">
        <f t="shared" si="1567"/>
        <v>COM</v>
      </c>
      <c r="F3224" t="str">
        <f>"ITUFARMA (10178)"</f>
        <v>ITUFARMA (10178)</v>
      </c>
      <c r="G3224" t="str">
        <f>"Serv.Prest. 09/06/2025 a 15/06/2025 - RPS: 875 - NFSe: 3106"</f>
        <v>Serv.Prest. 09/06/2025 a 15/06/2025 - RPS: 875 - NFSe: 3106</v>
      </c>
      <c r="H3224" t="str">
        <f t="shared" si="1574"/>
        <v>18/06/2025</v>
      </c>
      <c r="I3224" t="str">
        <f t="shared" si="1579"/>
        <v>16/06/2025</v>
      </c>
      <c r="J3224" t="str">
        <f t="shared" si="1575"/>
        <v>18/06/2025</v>
      </c>
      <c r="M3224">
        <v>303</v>
      </c>
      <c r="N3224" t="str">
        <f t="shared" si="1576"/>
        <v>RECEITAS COM ENTREGAS</v>
      </c>
      <c r="P3224">
        <v>326.17</v>
      </c>
      <c r="Q3224" t="str">
        <f>"ITUFARMA (10178)"</f>
        <v>ITUFARMA (10178)</v>
      </c>
      <c r="R3224" t="str">
        <f t="shared" si="1577"/>
        <v>RECEITAS COM ENTREGAS (303)</v>
      </c>
      <c r="S3224">
        <v>1869</v>
      </c>
      <c r="T3224">
        <v>1361</v>
      </c>
      <c r="U3224" t="s">
        <v>19</v>
      </c>
    </row>
    <row r="3225" spans="1:21">
      <c r="A3225" t="str">
        <f t="shared" si="1572"/>
        <v>18/06/2025</v>
      </c>
      <c r="B3225" t="str">
        <f t="shared" si="1578"/>
        <v>ENTRADA</v>
      </c>
      <c r="C3225" t="str">
        <f t="shared" si="1573"/>
        <v>NFSE</v>
      </c>
      <c r="D3225" t="str">
        <f>"3109"</f>
        <v>3109</v>
      </c>
      <c r="E3225" t="str">
        <f t="shared" si="1567"/>
        <v>COM</v>
      </c>
      <c r="F3225" t="str">
        <f>"DROGARIA MEDALHA (10163)"</f>
        <v>DROGARIA MEDALHA (10163)</v>
      </c>
      <c r="G3225" t="str">
        <f>"Serv.Prest. 09/06/2025 a 15/06/2025 - RPS: 878 - NFSe: 3109"</f>
        <v>Serv.Prest. 09/06/2025 a 15/06/2025 - RPS: 878 - NFSe: 3109</v>
      </c>
      <c r="H3225" t="str">
        <f t="shared" si="1574"/>
        <v>18/06/2025</v>
      </c>
      <c r="I3225" t="str">
        <f t="shared" si="1579"/>
        <v>16/06/2025</v>
      </c>
      <c r="J3225" t="str">
        <f t="shared" si="1575"/>
        <v>18/06/2025</v>
      </c>
      <c r="K3225">
        <v>252.3</v>
      </c>
      <c r="L3225">
        <v>252.3</v>
      </c>
      <c r="M3225">
        <v>303</v>
      </c>
      <c r="N3225" t="str">
        <f t="shared" si="1576"/>
        <v>RECEITAS COM ENTREGAS</v>
      </c>
      <c r="O3225">
        <v>252.3</v>
      </c>
      <c r="R3225" t="str">
        <f t="shared" si="1577"/>
        <v>RECEITAS COM ENTREGAS (303)</v>
      </c>
      <c r="S3225">
        <v>1870</v>
      </c>
      <c r="T3225">
        <v>1364</v>
      </c>
      <c r="U3225" t="s">
        <v>19</v>
      </c>
    </row>
    <row r="3226" spans="1:21">
      <c r="A3226" t="str">
        <f t="shared" si="1572"/>
        <v>18/06/2025</v>
      </c>
      <c r="B3226" t="str">
        <f t="shared" si="1578"/>
        <v>ENTRADA</v>
      </c>
      <c r="C3226" t="str">
        <f t="shared" si="1573"/>
        <v>NFSE</v>
      </c>
      <c r="D3226" t="str">
        <f>"3109"</f>
        <v>3109</v>
      </c>
      <c r="E3226" t="str">
        <f t="shared" si="1567"/>
        <v>COM</v>
      </c>
      <c r="F3226" t="str">
        <f>"DROGARIA MEDALHA (10163)"</f>
        <v>DROGARIA MEDALHA (10163)</v>
      </c>
      <c r="G3226" t="str">
        <f>"Serv.Prest. 09/06/2025 a 15/06/2025 - RPS: 878 - NFSe: 3109"</f>
        <v>Serv.Prest. 09/06/2025 a 15/06/2025 - RPS: 878 - NFSe: 3109</v>
      </c>
      <c r="H3226" t="str">
        <f t="shared" si="1574"/>
        <v>18/06/2025</v>
      </c>
      <c r="I3226" t="str">
        <f t="shared" si="1579"/>
        <v>16/06/2025</v>
      </c>
      <c r="J3226" t="str">
        <f t="shared" si="1575"/>
        <v>18/06/2025</v>
      </c>
      <c r="M3226">
        <v>303</v>
      </c>
      <c r="N3226" t="str">
        <f t="shared" si="1576"/>
        <v>RECEITAS COM ENTREGAS</v>
      </c>
      <c r="P3226">
        <v>252.3</v>
      </c>
      <c r="Q3226" t="str">
        <f>"DROGARIA MEDALHA (10163)"</f>
        <v>DROGARIA MEDALHA (10163)</v>
      </c>
      <c r="R3226" t="str">
        <f t="shared" si="1577"/>
        <v>RECEITAS COM ENTREGAS (303)</v>
      </c>
      <c r="S3226">
        <v>1870</v>
      </c>
      <c r="T3226">
        <v>1364</v>
      </c>
      <c r="U3226" t="s">
        <v>19</v>
      </c>
    </row>
    <row r="3227" spans="1:21">
      <c r="A3227" t="str">
        <f t="shared" si="1572"/>
        <v>18/06/2025</v>
      </c>
      <c r="B3227" t="str">
        <f t="shared" si="1578"/>
        <v>ENTRADA</v>
      </c>
      <c r="C3227" t="str">
        <f t="shared" si="1573"/>
        <v>NFSE</v>
      </c>
      <c r="D3227" t="str">
        <f>"3114"</f>
        <v>3114</v>
      </c>
      <c r="E3227" t="str">
        <f t="shared" si="1567"/>
        <v>COM</v>
      </c>
      <c r="F3227" t="str">
        <f>"DROGARIA MORENO LTDA (10171)"</f>
        <v>DROGARIA MORENO LTDA (10171)</v>
      </c>
      <c r="G3227" t="str">
        <f>"Serv.Prest. 09/06/2025 a 15/06/2025 - RPS: 883 - NFSe: 3114"</f>
        <v>Serv.Prest. 09/06/2025 a 15/06/2025 - RPS: 883 - NFSe: 3114</v>
      </c>
      <c r="H3227" t="str">
        <f t="shared" si="1574"/>
        <v>18/06/2025</v>
      </c>
      <c r="I3227" t="str">
        <f t="shared" si="1579"/>
        <v>16/06/2025</v>
      </c>
      <c r="J3227" t="str">
        <f t="shared" si="1575"/>
        <v>18/06/2025</v>
      </c>
      <c r="K3227">
        <v>356.4</v>
      </c>
      <c r="L3227">
        <v>356.4</v>
      </c>
      <c r="M3227">
        <v>303</v>
      </c>
      <c r="N3227" t="str">
        <f t="shared" si="1576"/>
        <v>RECEITAS COM ENTREGAS</v>
      </c>
      <c r="O3227">
        <v>356.4</v>
      </c>
      <c r="R3227" t="str">
        <f t="shared" si="1577"/>
        <v>RECEITAS COM ENTREGAS (303)</v>
      </c>
      <c r="S3227">
        <v>1871</v>
      </c>
      <c r="T3227">
        <v>1398</v>
      </c>
      <c r="U3227" t="s">
        <v>19</v>
      </c>
    </row>
    <row r="3228" spans="1:21">
      <c r="A3228" t="str">
        <f t="shared" si="1572"/>
        <v>18/06/2025</v>
      </c>
      <c r="B3228" t="str">
        <f t="shared" si="1578"/>
        <v>ENTRADA</v>
      </c>
      <c r="C3228" t="str">
        <f t="shared" si="1573"/>
        <v>NFSE</v>
      </c>
      <c r="D3228" t="str">
        <f>"3114"</f>
        <v>3114</v>
      </c>
      <c r="E3228" t="str">
        <f t="shared" si="1567"/>
        <v>COM</v>
      </c>
      <c r="F3228" t="str">
        <f>"DROGARIA MORENO LTDA (10171)"</f>
        <v>DROGARIA MORENO LTDA (10171)</v>
      </c>
      <c r="G3228" t="str">
        <f>"Serv.Prest. 09/06/2025 a 15/06/2025 - RPS: 883 - NFSe: 3114"</f>
        <v>Serv.Prest. 09/06/2025 a 15/06/2025 - RPS: 883 - NFSe: 3114</v>
      </c>
      <c r="H3228" t="str">
        <f t="shared" si="1574"/>
        <v>18/06/2025</v>
      </c>
      <c r="I3228" t="str">
        <f t="shared" si="1579"/>
        <v>16/06/2025</v>
      </c>
      <c r="J3228" t="str">
        <f t="shared" si="1575"/>
        <v>18/06/2025</v>
      </c>
      <c r="M3228">
        <v>303</v>
      </c>
      <c r="N3228" t="str">
        <f t="shared" si="1576"/>
        <v>RECEITAS COM ENTREGAS</v>
      </c>
      <c r="P3228">
        <v>356.4</v>
      </c>
      <c r="Q3228" t="str">
        <f>"DROGARIA MORENO LTDA (10171)"</f>
        <v>DROGARIA MORENO LTDA (10171)</v>
      </c>
      <c r="R3228" t="str">
        <f t="shared" si="1577"/>
        <v>RECEITAS COM ENTREGAS (303)</v>
      </c>
      <c r="S3228">
        <v>1871</v>
      </c>
      <c r="T3228">
        <v>1398</v>
      </c>
      <c r="U3228" t="s">
        <v>19</v>
      </c>
    </row>
    <row r="3229" spans="1:21">
      <c r="A3229" t="str">
        <f t="shared" si="1572"/>
        <v>18/06/2025</v>
      </c>
      <c r="B3229" t="str">
        <f t="shared" si="1578"/>
        <v>ENTRADA</v>
      </c>
      <c r="C3229" t="str">
        <f t="shared" si="1573"/>
        <v>NFSE</v>
      </c>
      <c r="D3229" t="str">
        <f>"3115"</f>
        <v>3115</v>
      </c>
      <c r="E3229" t="str">
        <f t="shared" si="1567"/>
        <v>COM</v>
      </c>
      <c r="F3229" t="str">
        <f>"DROGARIA MEDIC CENTER LTDA (10172)"</f>
        <v>DROGARIA MEDIC CENTER LTDA (10172)</v>
      </c>
      <c r="G3229" t="str">
        <f>"Serv.Prest. 09/06/2025 a 15/06/2025 - RPS: 884 - NFSe: 3115"</f>
        <v>Serv.Prest. 09/06/2025 a 15/06/2025 - RPS: 884 - NFSe: 3115</v>
      </c>
      <c r="H3229" t="str">
        <f t="shared" si="1574"/>
        <v>18/06/2025</v>
      </c>
      <c r="I3229" t="str">
        <f t="shared" si="1579"/>
        <v>16/06/2025</v>
      </c>
      <c r="J3229" t="str">
        <f t="shared" si="1575"/>
        <v>18/06/2025</v>
      </c>
      <c r="K3229">
        <v>151.19999999999999</v>
      </c>
      <c r="L3229">
        <v>151.19999999999999</v>
      </c>
      <c r="M3229">
        <v>303</v>
      </c>
      <c r="N3229" t="str">
        <f t="shared" si="1576"/>
        <v>RECEITAS COM ENTREGAS</v>
      </c>
      <c r="O3229">
        <v>151.19999999999999</v>
      </c>
      <c r="R3229" t="str">
        <f t="shared" si="1577"/>
        <v>RECEITAS COM ENTREGAS (303)</v>
      </c>
      <c r="S3229">
        <v>1872</v>
      </c>
      <c r="T3229">
        <v>1399</v>
      </c>
      <c r="U3229" t="s">
        <v>19</v>
      </c>
    </row>
    <row r="3230" spans="1:21">
      <c r="A3230" t="str">
        <f t="shared" si="1572"/>
        <v>18/06/2025</v>
      </c>
      <c r="B3230" t="str">
        <f t="shared" si="1578"/>
        <v>ENTRADA</v>
      </c>
      <c r="C3230" t="str">
        <f t="shared" si="1573"/>
        <v>NFSE</v>
      </c>
      <c r="D3230" t="str">
        <f>"3115"</f>
        <v>3115</v>
      </c>
      <c r="E3230" t="str">
        <f t="shared" si="1567"/>
        <v>COM</v>
      </c>
      <c r="F3230" t="str">
        <f>"DROGARIA MEDIC CENTER LTDA (10172)"</f>
        <v>DROGARIA MEDIC CENTER LTDA (10172)</v>
      </c>
      <c r="G3230" t="str">
        <f>"Serv.Prest. 09/06/2025 a 15/06/2025 - RPS: 884 - NFSe: 3115"</f>
        <v>Serv.Prest. 09/06/2025 a 15/06/2025 - RPS: 884 - NFSe: 3115</v>
      </c>
      <c r="H3230" t="str">
        <f t="shared" si="1574"/>
        <v>18/06/2025</v>
      </c>
      <c r="I3230" t="str">
        <f t="shared" si="1579"/>
        <v>16/06/2025</v>
      </c>
      <c r="J3230" t="str">
        <f t="shared" si="1575"/>
        <v>18/06/2025</v>
      </c>
      <c r="M3230">
        <v>303</v>
      </c>
      <c r="N3230" t="str">
        <f t="shared" si="1576"/>
        <v>RECEITAS COM ENTREGAS</v>
      </c>
      <c r="P3230">
        <v>151.19999999999999</v>
      </c>
      <c r="Q3230" t="str">
        <f>"DROGARIA MEDIC CENTER LTDA (10172)"</f>
        <v>DROGARIA MEDIC CENTER LTDA (10172)</v>
      </c>
      <c r="R3230" t="str">
        <f t="shared" si="1577"/>
        <v>RECEITAS COM ENTREGAS (303)</v>
      </c>
      <c r="S3230">
        <v>1872</v>
      </c>
      <c r="T3230">
        <v>1399</v>
      </c>
      <c r="U3230" t="s">
        <v>19</v>
      </c>
    </row>
    <row r="3231" spans="1:21">
      <c r="A3231" t="str">
        <f t="shared" si="1572"/>
        <v>18/06/2025</v>
      </c>
      <c r="B3231" t="str">
        <f t="shared" si="1578"/>
        <v>ENTRADA</v>
      </c>
      <c r="C3231" t="str">
        <f t="shared" si="1573"/>
        <v>NFSE</v>
      </c>
      <c r="D3231" t="str">
        <f>"3116"</f>
        <v>3116</v>
      </c>
      <c r="E3231" t="str">
        <f t="shared" si="1567"/>
        <v>COM</v>
      </c>
      <c r="F3231" t="str">
        <f>"FRAN FARMA (10124)"</f>
        <v>FRAN FARMA (10124)</v>
      </c>
      <c r="G3231" t="str">
        <f>"Serv.Prest. 09/06/2025 a 15/06/2025 - RPS: 885 - NFSe: 3116"</f>
        <v>Serv.Prest. 09/06/2025 a 15/06/2025 - RPS: 885 - NFSe: 3116</v>
      </c>
      <c r="H3231" t="str">
        <f t="shared" si="1574"/>
        <v>18/06/2025</v>
      </c>
      <c r="I3231" t="str">
        <f t="shared" si="1579"/>
        <v>16/06/2025</v>
      </c>
      <c r="J3231" t="str">
        <f t="shared" si="1575"/>
        <v>18/06/2025</v>
      </c>
      <c r="K3231">
        <v>273.92</v>
      </c>
      <c r="L3231">
        <v>273.92</v>
      </c>
      <c r="M3231">
        <v>303</v>
      </c>
      <c r="N3231" t="str">
        <f t="shared" si="1576"/>
        <v>RECEITAS COM ENTREGAS</v>
      </c>
      <c r="O3231">
        <v>273.92</v>
      </c>
      <c r="R3231" t="str">
        <f t="shared" si="1577"/>
        <v>RECEITAS COM ENTREGAS (303)</v>
      </c>
      <c r="S3231">
        <v>1873</v>
      </c>
      <c r="T3231">
        <v>1400</v>
      </c>
      <c r="U3231" t="s">
        <v>19</v>
      </c>
    </row>
    <row r="3232" spans="1:21">
      <c r="A3232" t="str">
        <f t="shared" si="1572"/>
        <v>18/06/2025</v>
      </c>
      <c r="B3232" t="str">
        <f t="shared" si="1578"/>
        <v>ENTRADA</v>
      </c>
      <c r="C3232" t="str">
        <f t="shared" si="1573"/>
        <v>NFSE</v>
      </c>
      <c r="D3232" t="str">
        <f>"3116"</f>
        <v>3116</v>
      </c>
      <c r="E3232" t="str">
        <f t="shared" si="1567"/>
        <v>COM</v>
      </c>
      <c r="F3232" t="str">
        <f>"FRAN FARMA (10124)"</f>
        <v>FRAN FARMA (10124)</v>
      </c>
      <c r="G3232" t="str">
        <f>"Serv.Prest. 09/06/2025 a 15/06/2025 - RPS: 885 - NFSe: 3116"</f>
        <v>Serv.Prest. 09/06/2025 a 15/06/2025 - RPS: 885 - NFSe: 3116</v>
      </c>
      <c r="H3232" t="str">
        <f t="shared" si="1574"/>
        <v>18/06/2025</v>
      </c>
      <c r="I3232" t="str">
        <f t="shared" si="1579"/>
        <v>16/06/2025</v>
      </c>
      <c r="J3232" t="str">
        <f t="shared" si="1575"/>
        <v>18/06/2025</v>
      </c>
      <c r="M3232">
        <v>303</v>
      </c>
      <c r="N3232" t="str">
        <f t="shared" si="1576"/>
        <v>RECEITAS COM ENTREGAS</v>
      </c>
      <c r="P3232">
        <v>63.98</v>
      </c>
      <c r="Q3232" t="str">
        <f>"FRAN FARMA (10124)"</f>
        <v>FRAN FARMA (10124)</v>
      </c>
      <c r="R3232" t="str">
        <f t="shared" si="1577"/>
        <v>RECEITAS COM ENTREGAS (303)</v>
      </c>
      <c r="S3232">
        <v>1873</v>
      </c>
      <c r="T3232">
        <v>1400</v>
      </c>
      <c r="U3232" t="s">
        <v>19</v>
      </c>
    </row>
    <row r="3233" spans="1:21">
      <c r="A3233" t="str">
        <f t="shared" si="1572"/>
        <v>18/06/2025</v>
      </c>
      <c r="B3233" t="str">
        <f t="shared" si="1578"/>
        <v>ENTRADA</v>
      </c>
      <c r="C3233" t="str">
        <f t="shared" si="1573"/>
        <v>NFSE</v>
      </c>
      <c r="D3233" t="str">
        <f>"3116"</f>
        <v>3116</v>
      </c>
      <c r="E3233" t="str">
        <f t="shared" si="1567"/>
        <v>COM</v>
      </c>
      <c r="F3233" t="str">
        <f>"FRAN FARMA (10124)"</f>
        <v>FRAN FARMA (10124)</v>
      </c>
      <c r="G3233" t="str">
        <f>"Serv.Prest. 09/06/2025 a 15/06/2025 - RPS: 885 - NFSe: 3116"</f>
        <v>Serv.Prest. 09/06/2025 a 15/06/2025 - RPS: 885 - NFSe: 3116</v>
      </c>
      <c r="H3233" t="str">
        <f t="shared" si="1574"/>
        <v>18/06/2025</v>
      </c>
      <c r="I3233" t="str">
        <f t="shared" si="1579"/>
        <v>16/06/2025</v>
      </c>
      <c r="J3233" t="str">
        <f t="shared" si="1575"/>
        <v>18/06/2025</v>
      </c>
      <c r="M3233">
        <v>303</v>
      </c>
      <c r="N3233" t="str">
        <f t="shared" si="1576"/>
        <v>RECEITAS COM ENTREGAS</v>
      </c>
      <c r="P3233">
        <v>145.91999999999999</v>
      </c>
      <c r="Q3233" t="str">
        <f>"FRAN FARMA LJ 2 (10131)"</f>
        <v>FRAN FARMA LJ 2 (10131)</v>
      </c>
      <c r="R3233" t="str">
        <f t="shared" si="1577"/>
        <v>RECEITAS COM ENTREGAS (303)</v>
      </c>
      <c r="S3233">
        <v>1873</v>
      </c>
      <c r="T3233">
        <v>1400</v>
      </c>
      <c r="U3233" t="s">
        <v>19</v>
      </c>
    </row>
    <row r="3234" spans="1:21">
      <c r="A3234" t="str">
        <f t="shared" si="1572"/>
        <v>18/06/2025</v>
      </c>
      <c r="B3234" t="str">
        <f t="shared" si="1578"/>
        <v>ENTRADA</v>
      </c>
      <c r="C3234" t="str">
        <f t="shared" si="1573"/>
        <v>NFSE</v>
      </c>
      <c r="D3234" t="str">
        <f>"3116"</f>
        <v>3116</v>
      </c>
      <c r="E3234" t="str">
        <f t="shared" si="1567"/>
        <v>COM</v>
      </c>
      <c r="F3234" t="str">
        <f>"FRAN FARMA (10124)"</f>
        <v>FRAN FARMA (10124)</v>
      </c>
      <c r="G3234" t="str">
        <f>"Serv.Prest. 09/06/2025 a 15/06/2025 - RPS: 885 - NFSe: 3116"</f>
        <v>Serv.Prest. 09/06/2025 a 15/06/2025 - RPS: 885 - NFSe: 3116</v>
      </c>
      <c r="H3234" t="str">
        <f t="shared" si="1574"/>
        <v>18/06/2025</v>
      </c>
      <c r="I3234" t="str">
        <f t="shared" si="1579"/>
        <v>16/06/2025</v>
      </c>
      <c r="J3234" t="str">
        <f t="shared" si="1575"/>
        <v>18/06/2025</v>
      </c>
      <c r="M3234">
        <v>303</v>
      </c>
      <c r="N3234" t="str">
        <f t="shared" si="1576"/>
        <v>RECEITAS COM ENTREGAS</v>
      </c>
      <c r="P3234">
        <v>64.02</v>
      </c>
      <c r="Q3234" t="str">
        <f>"FRAN FARMA LJ 3 (10132)"</f>
        <v>FRAN FARMA LJ 3 (10132)</v>
      </c>
      <c r="R3234" t="str">
        <f t="shared" si="1577"/>
        <v>RECEITAS COM ENTREGAS (303)</v>
      </c>
      <c r="S3234">
        <v>1873</v>
      </c>
      <c r="T3234">
        <v>1400</v>
      </c>
      <c r="U3234" t="s">
        <v>19</v>
      </c>
    </row>
    <row r="3235" spans="1:21">
      <c r="A3235" t="str">
        <f t="shared" si="1572"/>
        <v>18/06/2025</v>
      </c>
      <c r="B3235" t="str">
        <f t="shared" si="1578"/>
        <v>ENTRADA</v>
      </c>
      <c r="C3235" t="str">
        <f t="shared" si="1573"/>
        <v>NFSE</v>
      </c>
      <c r="D3235" t="str">
        <f>"3117"</f>
        <v>3117</v>
      </c>
      <c r="E3235" t="str">
        <f t="shared" si="1567"/>
        <v>COM</v>
      </c>
      <c r="F3235" t="str">
        <f>"DROGARIA ANA VISCONDE DO RIO BRANCO (10180)"</f>
        <v>DROGARIA ANA VISCONDE DO RIO BRANCO (10180)</v>
      </c>
      <c r="G3235" t="str">
        <f>"Serv.Prest. 09/06/2025 a 15/06/2025 - RPS: 886 - NFSe: 3117"</f>
        <v>Serv.Prest. 09/06/2025 a 15/06/2025 - RPS: 886 - NFSe: 3117</v>
      </c>
      <c r="H3235" t="str">
        <f t="shared" si="1574"/>
        <v>18/06/2025</v>
      </c>
      <c r="I3235" t="str">
        <f>("17/06/2025")</f>
        <v>17/06/2025</v>
      </c>
      <c r="J3235" t="str">
        <f t="shared" si="1575"/>
        <v>18/06/2025</v>
      </c>
      <c r="K3235">
        <v>789.75</v>
      </c>
      <c r="L3235">
        <v>789.75</v>
      </c>
      <c r="M3235">
        <v>303</v>
      </c>
      <c r="N3235" t="str">
        <f t="shared" si="1576"/>
        <v>RECEITAS COM ENTREGAS</v>
      </c>
      <c r="O3235">
        <v>789.75</v>
      </c>
      <c r="R3235" t="str">
        <f t="shared" si="1577"/>
        <v>RECEITAS COM ENTREGAS (303)</v>
      </c>
      <c r="S3235">
        <v>1874</v>
      </c>
      <c r="T3235">
        <v>1401</v>
      </c>
      <c r="U3235" t="s">
        <v>19</v>
      </c>
    </row>
    <row r="3236" spans="1:21">
      <c r="A3236" t="str">
        <f t="shared" si="1572"/>
        <v>18/06/2025</v>
      </c>
      <c r="B3236" t="str">
        <f t="shared" si="1578"/>
        <v>ENTRADA</v>
      </c>
      <c r="C3236" t="str">
        <f t="shared" si="1573"/>
        <v>NFSE</v>
      </c>
      <c r="D3236" t="str">
        <f>"3117"</f>
        <v>3117</v>
      </c>
      <c r="E3236" t="str">
        <f t="shared" si="1567"/>
        <v>COM</v>
      </c>
      <c r="F3236" t="str">
        <f>"DROGARIA ANA VISCONDE DO RIO BRANCO (10180)"</f>
        <v>DROGARIA ANA VISCONDE DO RIO BRANCO (10180)</v>
      </c>
      <c r="G3236" t="str">
        <f>"Serv.Prest. 09/06/2025 a 15/06/2025 - RPS: 886 - NFSe: 3117"</f>
        <v>Serv.Prest. 09/06/2025 a 15/06/2025 - RPS: 886 - NFSe: 3117</v>
      </c>
      <c r="H3236" t="str">
        <f t="shared" si="1574"/>
        <v>18/06/2025</v>
      </c>
      <c r="I3236" t="str">
        <f>("17/06/2025")</f>
        <v>17/06/2025</v>
      </c>
      <c r="J3236" t="str">
        <f t="shared" si="1575"/>
        <v>18/06/2025</v>
      </c>
      <c r="M3236">
        <v>303</v>
      </c>
      <c r="N3236" t="str">
        <f t="shared" si="1576"/>
        <v>RECEITAS COM ENTREGAS</v>
      </c>
      <c r="P3236">
        <v>789.75</v>
      </c>
      <c r="Q3236" t="str">
        <f>"DROGARIA ANA VISCONDE DO RIO BRANCO (10182)"</f>
        <v>DROGARIA ANA VISCONDE DO RIO BRANCO (10182)</v>
      </c>
      <c r="R3236" t="str">
        <f t="shared" si="1577"/>
        <v>RECEITAS COM ENTREGAS (303)</v>
      </c>
      <c r="S3236">
        <v>1874</v>
      </c>
      <c r="T3236">
        <v>1401</v>
      </c>
      <c r="U3236" t="s">
        <v>19</v>
      </c>
    </row>
    <row r="3237" spans="1:21">
      <c r="A3237" t="str">
        <f t="shared" si="1572"/>
        <v>18/06/2025</v>
      </c>
      <c r="B3237" t="str">
        <f t="shared" si="1578"/>
        <v>ENTRADA</v>
      </c>
      <c r="C3237" t="str">
        <f t="shared" si="1573"/>
        <v>NFSE</v>
      </c>
      <c r="D3237" t="str">
        <f>"3118"</f>
        <v>3118</v>
      </c>
      <c r="E3237" t="str">
        <f t="shared" si="1567"/>
        <v>COM</v>
      </c>
      <c r="F3237" t="str">
        <f>"JAL FARMACIA E DROGARIA LJ 2 (10138)"</f>
        <v>JAL FARMACIA E DROGARIA LJ 2 (10138)</v>
      </c>
      <c r="G3237" t="str">
        <f>"Serv.Prest. 09/06/2025 a 15/06/2025 - RPS: 887 - NFSe: 3118"</f>
        <v>Serv.Prest. 09/06/2025 a 15/06/2025 - RPS: 887 - NFSe: 3118</v>
      </c>
      <c r="H3237" t="str">
        <f t="shared" si="1574"/>
        <v>18/06/2025</v>
      </c>
      <c r="I3237" t="str">
        <f>("17/06/2025")</f>
        <v>17/06/2025</v>
      </c>
      <c r="J3237" t="str">
        <f t="shared" si="1575"/>
        <v>18/06/2025</v>
      </c>
      <c r="K3237">
        <v>299.2</v>
      </c>
      <c r="L3237">
        <v>299.2</v>
      </c>
      <c r="M3237">
        <v>303</v>
      </c>
      <c r="N3237" t="str">
        <f t="shared" si="1576"/>
        <v>RECEITAS COM ENTREGAS</v>
      </c>
      <c r="O3237">
        <v>299.2</v>
      </c>
      <c r="R3237" t="str">
        <f t="shared" si="1577"/>
        <v>RECEITAS COM ENTREGAS (303)</v>
      </c>
      <c r="S3237">
        <v>1875</v>
      </c>
      <c r="T3237">
        <v>1402</v>
      </c>
      <c r="U3237" t="s">
        <v>19</v>
      </c>
    </row>
    <row r="3238" spans="1:21">
      <c r="A3238" t="str">
        <f t="shared" si="1572"/>
        <v>18/06/2025</v>
      </c>
      <c r="B3238" t="str">
        <f t="shared" si="1578"/>
        <v>ENTRADA</v>
      </c>
      <c r="C3238" t="str">
        <f t="shared" si="1573"/>
        <v>NFSE</v>
      </c>
      <c r="D3238" t="str">
        <f>"3118"</f>
        <v>3118</v>
      </c>
      <c r="E3238" t="str">
        <f t="shared" si="1567"/>
        <v>COM</v>
      </c>
      <c r="F3238" t="str">
        <f>"JAL FARMACIA E DROGARIA LJ 2 (10138)"</f>
        <v>JAL FARMACIA E DROGARIA LJ 2 (10138)</v>
      </c>
      <c r="G3238" t="str">
        <f>"Serv.Prest. 09/06/2025 a 15/06/2025 - RPS: 887 - NFSe: 3118"</f>
        <v>Serv.Prest. 09/06/2025 a 15/06/2025 - RPS: 887 - NFSe: 3118</v>
      </c>
      <c r="H3238" t="str">
        <f t="shared" si="1574"/>
        <v>18/06/2025</v>
      </c>
      <c r="I3238" t="str">
        <f>("17/06/2025")</f>
        <v>17/06/2025</v>
      </c>
      <c r="J3238" t="str">
        <f t="shared" si="1575"/>
        <v>18/06/2025</v>
      </c>
      <c r="M3238">
        <v>303</v>
      </c>
      <c r="N3238" t="str">
        <f t="shared" si="1576"/>
        <v>RECEITAS COM ENTREGAS</v>
      </c>
      <c r="P3238">
        <v>299.2</v>
      </c>
      <c r="Q3238" t="str">
        <f>"JAL FARMACIA E DROGARIA LJ 2 (10138)"</f>
        <v>JAL FARMACIA E DROGARIA LJ 2 (10138)</v>
      </c>
      <c r="R3238" t="str">
        <f t="shared" si="1577"/>
        <v>RECEITAS COM ENTREGAS (303)</v>
      </c>
      <c r="S3238">
        <v>1875</v>
      </c>
      <c r="T3238">
        <v>1402</v>
      </c>
      <c r="U3238" t="s">
        <v>19</v>
      </c>
    </row>
    <row r="3239" spans="1:21">
      <c r="A3239" t="str">
        <f t="shared" si="1572"/>
        <v>18/06/2025</v>
      </c>
      <c r="B3239" t="str">
        <f t="shared" ref="B3239:B3264" si="1580">"SAÍDA"</f>
        <v>SAÍDA</v>
      </c>
      <c r="C3239" t="str">
        <f>"PIX"</f>
        <v>PIX</v>
      </c>
      <c r="D3239" t="str">
        <f>"771280"</f>
        <v>771280</v>
      </c>
      <c r="E3239" t="str">
        <f t="shared" si="1567"/>
        <v>COM</v>
      </c>
      <c r="F3239" t="str">
        <f>"AGP TECNOLOGIA EM INFORMATICA DO BRASIL LTDA. (20094)"</f>
        <v>AGP TECNOLOGIA EM INFORMATICA DO BRASIL LTDA. (20094)</v>
      </c>
      <c r="G3239" t="str">
        <f>"COMPRA NOTEBOOKS - KABUM"</f>
        <v>COMPRA NOTEBOOKS - KABUM</v>
      </c>
      <c r="H3239" t="str">
        <f>("20/06/2025")</f>
        <v>20/06/2025</v>
      </c>
      <c r="I3239" t="str">
        <f>("20/06/2025")</f>
        <v>20/06/2025</v>
      </c>
      <c r="J3239" t="str">
        <f t="shared" si="1575"/>
        <v>18/06/2025</v>
      </c>
      <c r="K3239">
        <v>11518.2</v>
      </c>
      <c r="L3239">
        <v>11518.2</v>
      </c>
      <c r="M3239">
        <v>130</v>
      </c>
      <c r="N3239" t="str">
        <f>"EQUIPAMENTOS DE INFORMATICA"</f>
        <v>EQUIPAMENTOS DE INFORMATICA</v>
      </c>
      <c r="O3239">
        <v>11518.2</v>
      </c>
      <c r="R3239" t="str">
        <f t="shared" ref="R3239:R3264" si="1581">"BANCO CORA (102)"</f>
        <v>BANCO CORA (102)</v>
      </c>
      <c r="S3239">
        <v>1907</v>
      </c>
      <c r="T3239">
        <v>1443</v>
      </c>
      <c r="U3239" t="s">
        <v>19</v>
      </c>
    </row>
    <row r="3240" spans="1:21">
      <c r="A3240" t="str">
        <f t="shared" si="1572"/>
        <v>18/06/2025</v>
      </c>
      <c r="B3240" t="str">
        <f t="shared" si="1580"/>
        <v>SAÍDA</v>
      </c>
      <c r="C3240" t="str">
        <f>"PIX"</f>
        <v>PIX</v>
      </c>
      <c r="D3240" t="str">
        <f>"771280"</f>
        <v>771280</v>
      </c>
      <c r="E3240" t="str">
        <f t="shared" si="1567"/>
        <v>COM</v>
      </c>
      <c r="F3240" t="str">
        <f>"AGP TECNOLOGIA EM INFORMATICA DO BRASIL LTDA. (20094)"</f>
        <v>AGP TECNOLOGIA EM INFORMATICA DO BRASIL LTDA. (20094)</v>
      </c>
      <c r="G3240" t="str">
        <f>"COMPRA NOTEBOOKS - KABUM"</f>
        <v>COMPRA NOTEBOOKS - KABUM</v>
      </c>
      <c r="H3240" t="str">
        <f>("20/06/2025")</f>
        <v>20/06/2025</v>
      </c>
      <c r="I3240" t="str">
        <f>("20/06/2025")</f>
        <v>20/06/2025</v>
      </c>
      <c r="J3240" t="str">
        <f t="shared" si="1575"/>
        <v>18/06/2025</v>
      </c>
      <c r="M3240">
        <v>130</v>
      </c>
      <c r="N3240" t="str">
        <f>"EQUIPAMENTOS DE INFORMATICA"</f>
        <v>EQUIPAMENTOS DE INFORMATICA</v>
      </c>
      <c r="P3240">
        <v>11518.2</v>
      </c>
      <c r="Q3240" t="str">
        <f>"AGP TECNOLOGIA EM INFORMATICA DO BRASIL LTDA. (20094)"</f>
        <v>AGP TECNOLOGIA EM INFORMATICA DO BRASIL LTDA. (20094)</v>
      </c>
      <c r="R3240" t="str">
        <f t="shared" si="1581"/>
        <v>BANCO CORA (102)</v>
      </c>
      <c r="S3240">
        <v>1907</v>
      </c>
      <c r="T3240">
        <v>1443</v>
      </c>
      <c r="U3240" t="s">
        <v>19</v>
      </c>
    </row>
    <row r="3241" spans="1:21">
      <c r="A3241" t="str">
        <f t="shared" si="1572"/>
        <v>18/06/2025</v>
      </c>
      <c r="B3241" t="str">
        <f t="shared" si="1580"/>
        <v>SAÍDA</v>
      </c>
      <c r="C3241" t="str">
        <f t="shared" ref="C3241:C3260" si="1582">"CONHECIMENTO"</f>
        <v>CONHECIMENTO</v>
      </c>
      <c r="D3241" t="str">
        <f t="shared" ref="D3241:D3260" si="1583">"180625170"</f>
        <v>180625170</v>
      </c>
      <c r="E3241" t="str">
        <f t="shared" si="1567"/>
        <v>COM</v>
      </c>
      <c r="F3241" t="str">
        <f t="shared" ref="F3241:F3260" si="1584">"CORA SOCIEDADE DE CREDITO, FINANCIAMENTO E INVESTIMENTO (20035)"</f>
        <v>CORA SOCIEDADE DE CREDITO, FINANCIAMENTO E INVESTIMENTO (20035)</v>
      </c>
      <c r="G3241" t="str">
        <f t="shared" ref="G3241:G3260" si="1585">"TAXA BOLETO COMPENSADO"</f>
        <v>TAXA BOLETO COMPENSADO</v>
      </c>
      <c r="H3241" t="str">
        <f t="shared" ref="H3241:I3264" si="1586">("18/06/2025")</f>
        <v>18/06/2025</v>
      </c>
      <c r="I3241" t="str">
        <f t="shared" si="1586"/>
        <v>18/06/2025</v>
      </c>
      <c r="J3241" t="str">
        <f t="shared" si="1575"/>
        <v>18/06/2025</v>
      </c>
      <c r="K3241">
        <v>1.7</v>
      </c>
      <c r="L3241">
        <v>1.7</v>
      </c>
      <c r="M3241">
        <v>401</v>
      </c>
      <c r="N3241" t="str">
        <f t="shared" ref="N3241:N3260" si="1587">"IOF/JUROS/DESP.FINANCEIRA"</f>
        <v>IOF/JUROS/DESP.FINANCEIRA</v>
      </c>
      <c r="O3241">
        <v>1.7</v>
      </c>
      <c r="R3241" t="str">
        <f t="shared" si="1581"/>
        <v>BANCO CORA (102)</v>
      </c>
      <c r="S3241">
        <v>1908</v>
      </c>
      <c r="T3241">
        <v>1444</v>
      </c>
      <c r="U3241" t="s">
        <v>19</v>
      </c>
    </row>
    <row r="3242" spans="1:21">
      <c r="A3242" t="str">
        <f t="shared" si="1572"/>
        <v>18/06/2025</v>
      </c>
      <c r="B3242" t="str">
        <f t="shared" si="1580"/>
        <v>SAÍDA</v>
      </c>
      <c r="C3242" t="str">
        <f t="shared" si="1582"/>
        <v>CONHECIMENTO</v>
      </c>
      <c r="D3242" t="str">
        <f t="shared" si="1583"/>
        <v>180625170</v>
      </c>
      <c r="E3242" t="str">
        <f t="shared" si="1567"/>
        <v>COM</v>
      </c>
      <c r="F3242" t="str">
        <f t="shared" si="1584"/>
        <v>CORA SOCIEDADE DE CREDITO, FINANCIAMENTO E INVESTIMENTO (20035)</v>
      </c>
      <c r="G3242" t="str">
        <f t="shared" si="1585"/>
        <v>TAXA BOLETO COMPENSADO</v>
      </c>
      <c r="H3242" t="str">
        <f t="shared" si="1586"/>
        <v>18/06/2025</v>
      </c>
      <c r="I3242" t="str">
        <f t="shared" si="1586"/>
        <v>18/06/2025</v>
      </c>
      <c r="J3242" t="str">
        <f t="shared" si="1575"/>
        <v>18/06/2025</v>
      </c>
      <c r="M3242">
        <v>401</v>
      </c>
      <c r="N3242" t="str">
        <f t="shared" si="1587"/>
        <v>IOF/JUROS/DESP.FINANCEIRA</v>
      </c>
      <c r="P3242">
        <v>1.7</v>
      </c>
      <c r="Q3242" t="str">
        <f>"CORA SOCIEDADE DE CREDITO, FINANCIAMENTO E INVESTIMENTO (20035)"</f>
        <v>CORA SOCIEDADE DE CREDITO, FINANCIAMENTO E INVESTIMENTO (20035)</v>
      </c>
      <c r="R3242" t="str">
        <f t="shared" si="1581"/>
        <v>BANCO CORA (102)</v>
      </c>
      <c r="S3242">
        <v>1908</v>
      </c>
      <c r="T3242">
        <v>1444</v>
      </c>
      <c r="U3242" t="s">
        <v>19</v>
      </c>
    </row>
    <row r="3243" spans="1:21">
      <c r="A3243" t="str">
        <f t="shared" si="1572"/>
        <v>18/06/2025</v>
      </c>
      <c r="B3243" t="str">
        <f t="shared" si="1580"/>
        <v>SAÍDA</v>
      </c>
      <c r="C3243" t="str">
        <f t="shared" si="1582"/>
        <v>CONHECIMENTO</v>
      </c>
      <c r="D3243" t="str">
        <f t="shared" si="1583"/>
        <v>180625170</v>
      </c>
      <c r="E3243" t="str">
        <f t="shared" si="1567"/>
        <v>COM</v>
      </c>
      <c r="F3243" t="str">
        <f t="shared" si="1584"/>
        <v>CORA SOCIEDADE DE CREDITO, FINANCIAMENTO E INVESTIMENTO (20035)</v>
      </c>
      <c r="G3243" t="str">
        <f t="shared" si="1585"/>
        <v>TAXA BOLETO COMPENSADO</v>
      </c>
      <c r="H3243" t="str">
        <f t="shared" si="1586"/>
        <v>18/06/2025</v>
      </c>
      <c r="I3243" t="str">
        <f t="shared" si="1586"/>
        <v>18/06/2025</v>
      </c>
      <c r="J3243" t="str">
        <f t="shared" si="1575"/>
        <v>18/06/2025</v>
      </c>
      <c r="K3243">
        <v>1.7</v>
      </c>
      <c r="L3243">
        <v>1.7</v>
      </c>
      <c r="M3243">
        <v>401</v>
      </c>
      <c r="N3243" t="str">
        <f t="shared" si="1587"/>
        <v>IOF/JUROS/DESP.FINANCEIRA</v>
      </c>
      <c r="O3243">
        <v>1.7</v>
      </c>
      <c r="R3243" t="str">
        <f t="shared" si="1581"/>
        <v>BANCO CORA (102)</v>
      </c>
      <c r="S3243">
        <v>1909</v>
      </c>
      <c r="T3243">
        <v>1445</v>
      </c>
      <c r="U3243" t="s">
        <v>19</v>
      </c>
    </row>
    <row r="3244" spans="1:21">
      <c r="A3244" t="str">
        <f t="shared" si="1572"/>
        <v>18/06/2025</v>
      </c>
      <c r="B3244" t="str">
        <f t="shared" si="1580"/>
        <v>SAÍDA</v>
      </c>
      <c r="C3244" t="str">
        <f t="shared" si="1582"/>
        <v>CONHECIMENTO</v>
      </c>
      <c r="D3244" t="str">
        <f t="shared" si="1583"/>
        <v>180625170</v>
      </c>
      <c r="E3244" t="str">
        <f t="shared" si="1567"/>
        <v>COM</v>
      </c>
      <c r="F3244" t="str">
        <f t="shared" si="1584"/>
        <v>CORA SOCIEDADE DE CREDITO, FINANCIAMENTO E INVESTIMENTO (20035)</v>
      </c>
      <c r="G3244" t="str">
        <f t="shared" si="1585"/>
        <v>TAXA BOLETO COMPENSADO</v>
      </c>
      <c r="H3244" t="str">
        <f t="shared" si="1586"/>
        <v>18/06/2025</v>
      </c>
      <c r="I3244" t="str">
        <f t="shared" si="1586"/>
        <v>18/06/2025</v>
      </c>
      <c r="J3244" t="str">
        <f t="shared" si="1575"/>
        <v>18/06/2025</v>
      </c>
      <c r="M3244">
        <v>401</v>
      </c>
      <c r="N3244" t="str">
        <f t="shared" si="1587"/>
        <v>IOF/JUROS/DESP.FINANCEIRA</v>
      </c>
      <c r="P3244">
        <v>1.7</v>
      </c>
      <c r="Q3244" t="str">
        <f>"CORA SOCIEDADE DE CREDITO, FINANCIAMENTO E INVESTIMENTO (20035)"</f>
        <v>CORA SOCIEDADE DE CREDITO, FINANCIAMENTO E INVESTIMENTO (20035)</v>
      </c>
      <c r="R3244" t="str">
        <f t="shared" si="1581"/>
        <v>BANCO CORA (102)</v>
      </c>
      <c r="S3244">
        <v>1909</v>
      </c>
      <c r="T3244">
        <v>1445</v>
      </c>
      <c r="U3244" t="s">
        <v>19</v>
      </c>
    </row>
    <row r="3245" spans="1:21">
      <c r="A3245" t="str">
        <f t="shared" si="1572"/>
        <v>18/06/2025</v>
      </c>
      <c r="B3245" t="str">
        <f t="shared" si="1580"/>
        <v>SAÍDA</v>
      </c>
      <c r="C3245" t="str">
        <f t="shared" si="1582"/>
        <v>CONHECIMENTO</v>
      </c>
      <c r="D3245" t="str">
        <f t="shared" si="1583"/>
        <v>180625170</v>
      </c>
      <c r="E3245" t="str">
        <f t="shared" si="1567"/>
        <v>COM</v>
      </c>
      <c r="F3245" t="str">
        <f t="shared" si="1584"/>
        <v>CORA SOCIEDADE DE CREDITO, FINANCIAMENTO E INVESTIMENTO (20035)</v>
      </c>
      <c r="G3245" t="str">
        <f t="shared" si="1585"/>
        <v>TAXA BOLETO COMPENSADO</v>
      </c>
      <c r="H3245" t="str">
        <f t="shared" si="1586"/>
        <v>18/06/2025</v>
      </c>
      <c r="I3245" t="str">
        <f t="shared" si="1586"/>
        <v>18/06/2025</v>
      </c>
      <c r="J3245" t="str">
        <f t="shared" si="1575"/>
        <v>18/06/2025</v>
      </c>
      <c r="K3245">
        <v>1.7</v>
      </c>
      <c r="L3245">
        <v>1.7</v>
      </c>
      <c r="M3245">
        <v>401</v>
      </c>
      <c r="N3245" t="str">
        <f t="shared" si="1587"/>
        <v>IOF/JUROS/DESP.FINANCEIRA</v>
      </c>
      <c r="O3245">
        <v>1.7</v>
      </c>
      <c r="R3245" t="str">
        <f t="shared" si="1581"/>
        <v>BANCO CORA (102)</v>
      </c>
      <c r="S3245">
        <v>1910</v>
      </c>
      <c r="T3245">
        <v>1446</v>
      </c>
      <c r="U3245" t="s">
        <v>19</v>
      </c>
    </row>
    <row r="3246" spans="1:21">
      <c r="A3246" t="str">
        <f t="shared" si="1572"/>
        <v>18/06/2025</v>
      </c>
      <c r="B3246" t="str">
        <f t="shared" si="1580"/>
        <v>SAÍDA</v>
      </c>
      <c r="C3246" t="str">
        <f t="shared" si="1582"/>
        <v>CONHECIMENTO</v>
      </c>
      <c r="D3246" t="str">
        <f t="shared" si="1583"/>
        <v>180625170</v>
      </c>
      <c r="E3246" t="str">
        <f t="shared" si="1567"/>
        <v>COM</v>
      </c>
      <c r="F3246" t="str">
        <f t="shared" si="1584"/>
        <v>CORA SOCIEDADE DE CREDITO, FINANCIAMENTO E INVESTIMENTO (20035)</v>
      </c>
      <c r="G3246" t="str">
        <f t="shared" si="1585"/>
        <v>TAXA BOLETO COMPENSADO</v>
      </c>
      <c r="H3246" t="str">
        <f t="shared" si="1586"/>
        <v>18/06/2025</v>
      </c>
      <c r="I3246" t="str">
        <f t="shared" si="1586"/>
        <v>18/06/2025</v>
      </c>
      <c r="J3246" t="str">
        <f t="shared" si="1575"/>
        <v>18/06/2025</v>
      </c>
      <c r="M3246">
        <v>401</v>
      </c>
      <c r="N3246" t="str">
        <f t="shared" si="1587"/>
        <v>IOF/JUROS/DESP.FINANCEIRA</v>
      </c>
      <c r="P3246">
        <v>1.7</v>
      </c>
      <c r="Q3246" t="str">
        <f>"CORA SOCIEDADE DE CREDITO, FINANCIAMENTO E INVESTIMENTO (20035)"</f>
        <v>CORA SOCIEDADE DE CREDITO, FINANCIAMENTO E INVESTIMENTO (20035)</v>
      </c>
      <c r="R3246" t="str">
        <f t="shared" si="1581"/>
        <v>BANCO CORA (102)</v>
      </c>
      <c r="S3246">
        <v>1910</v>
      </c>
      <c r="T3246">
        <v>1446</v>
      </c>
      <c r="U3246" t="s">
        <v>19</v>
      </c>
    </row>
    <row r="3247" spans="1:21">
      <c r="A3247" t="str">
        <f t="shared" ref="A3247:A3264" si="1588">("18/06/2025")</f>
        <v>18/06/2025</v>
      </c>
      <c r="B3247" t="str">
        <f t="shared" si="1580"/>
        <v>SAÍDA</v>
      </c>
      <c r="C3247" t="str">
        <f t="shared" si="1582"/>
        <v>CONHECIMENTO</v>
      </c>
      <c r="D3247" t="str">
        <f t="shared" si="1583"/>
        <v>180625170</v>
      </c>
      <c r="E3247" t="str">
        <f t="shared" ref="E3247:E3310" si="1589">"COM"</f>
        <v>COM</v>
      </c>
      <c r="F3247" t="str">
        <f t="shared" si="1584"/>
        <v>CORA SOCIEDADE DE CREDITO, FINANCIAMENTO E INVESTIMENTO (20035)</v>
      </c>
      <c r="G3247" t="str">
        <f t="shared" si="1585"/>
        <v>TAXA BOLETO COMPENSADO</v>
      </c>
      <c r="H3247" t="str">
        <f t="shared" si="1586"/>
        <v>18/06/2025</v>
      </c>
      <c r="I3247" t="str">
        <f t="shared" si="1586"/>
        <v>18/06/2025</v>
      </c>
      <c r="J3247" t="str">
        <f t="shared" ref="J3247:J3264" si="1590">("18/06/2025")</f>
        <v>18/06/2025</v>
      </c>
      <c r="K3247">
        <v>1.7</v>
      </c>
      <c r="L3247">
        <v>1.7</v>
      </c>
      <c r="M3247">
        <v>401</v>
      </c>
      <c r="N3247" t="str">
        <f t="shared" si="1587"/>
        <v>IOF/JUROS/DESP.FINANCEIRA</v>
      </c>
      <c r="O3247">
        <v>1.7</v>
      </c>
      <c r="R3247" t="str">
        <f t="shared" si="1581"/>
        <v>BANCO CORA (102)</v>
      </c>
      <c r="S3247">
        <v>1911</v>
      </c>
      <c r="T3247">
        <v>1447</v>
      </c>
      <c r="U3247" t="s">
        <v>19</v>
      </c>
    </row>
    <row r="3248" spans="1:21">
      <c r="A3248" t="str">
        <f t="shared" si="1588"/>
        <v>18/06/2025</v>
      </c>
      <c r="B3248" t="str">
        <f t="shared" si="1580"/>
        <v>SAÍDA</v>
      </c>
      <c r="C3248" t="str">
        <f t="shared" si="1582"/>
        <v>CONHECIMENTO</v>
      </c>
      <c r="D3248" t="str">
        <f t="shared" si="1583"/>
        <v>180625170</v>
      </c>
      <c r="E3248" t="str">
        <f t="shared" si="1589"/>
        <v>COM</v>
      </c>
      <c r="F3248" t="str">
        <f t="shared" si="1584"/>
        <v>CORA SOCIEDADE DE CREDITO, FINANCIAMENTO E INVESTIMENTO (20035)</v>
      </c>
      <c r="G3248" t="str">
        <f t="shared" si="1585"/>
        <v>TAXA BOLETO COMPENSADO</v>
      </c>
      <c r="H3248" t="str">
        <f t="shared" si="1586"/>
        <v>18/06/2025</v>
      </c>
      <c r="I3248" t="str">
        <f t="shared" si="1586"/>
        <v>18/06/2025</v>
      </c>
      <c r="J3248" t="str">
        <f t="shared" si="1590"/>
        <v>18/06/2025</v>
      </c>
      <c r="M3248">
        <v>401</v>
      </c>
      <c r="N3248" t="str">
        <f t="shared" si="1587"/>
        <v>IOF/JUROS/DESP.FINANCEIRA</v>
      </c>
      <c r="P3248">
        <v>1.7</v>
      </c>
      <c r="Q3248" t="str">
        <f>"CORA SOCIEDADE DE CREDITO, FINANCIAMENTO E INVESTIMENTO (20035)"</f>
        <v>CORA SOCIEDADE DE CREDITO, FINANCIAMENTO E INVESTIMENTO (20035)</v>
      </c>
      <c r="R3248" t="str">
        <f t="shared" si="1581"/>
        <v>BANCO CORA (102)</v>
      </c>
      <c r="S3248">
        <v>1911</v>
      </c>
      <c r="T3248">
        <v>1447</v>
      </c>
      <c r="U3248" t="s">
        <v>19</v>
      </c>
    </row>
    <row r="3249" spans="1:21">
      <c r="A3249" t="str">
        <f t="shared" si="1588"/>
        <v>18/06/2025</v>
      </c>
      <c r="B3249" t="str">
        <f t="shared" si="1580"/>
        <v>SAÍDA</v>
      </c>
      <c r="C3249" t="str">
        <f t="shared" si="1582"/>
        <v>CONHECIMENTO</v>
      </c>
      <c r="D3249" t="str">
        <f t="shared" si="1583"/>
        <v>180625170</v>
      </c>
      <c r="E3249" t="str">
        <f t="shared" si="1589"/>
        <v>COM</v>
      </c>
      <c r="F3249" t="str">
        <f t="shared" si="1584"/>
        <v>CORA SOCIEDADE DE CREDITO, FINANCIAMENTO E INVESTIMENTO (20035)</v>
      </c>
      <c r="G3249" t="str">
        <f t="shared" si="1585"/>
        <v>TAXA BOLETO COMPENSADO</v>
      </c>
      <c r="H3249" t="str">
        <f t="shared" si="1586"/>
        <v>18/06/2025</v>
      </c>
      <c r="I3249" t="str">
        <f t="shared" si="1586"/>
        <v>18/06/2025</v>
      </c>
      <c r="J3249" t="str">
        <f t="shared" si="1590"/>
        <v>18/06/2025</v>
      </c>
      <c r="K3249">
        <v>1.7</v>
      </c>
      <c r="L3249">
        <v>1.7</v>
      </c>
      <c r="M3249">
        <v>401</v>
      </c>
      <c r="N3249" t="str">
        <f t="shared" si="1587"/>
        <v>IOF/JUROS/DESP.FINANCEIRA</v>
      </c>
      <c r="O3249">
        <v>1.7</v>
      </c>
      <c r="R3249" t="str">
        <f t="shared" si="1581"/>
        <v>BANCO CORA (102)</v>
      </c>
      <c r="S3249">
        <v>1912</v>
      </c>
      <c r="T3249">
        <v>1448</v>
      </c>
      <c r="U3249" t="s">
        <v>19</v>
      </c>
    </row>
    <row r="3250" spans="1:21">
      <c r="A3250" t="str">
        <f t="shared" si="1588"/>
        <v>18/06/2025</v>
      </c>
      <c r="B3250" t="str">
        <f t="shared" si="1580"/>
        <v>SAÍDA</v>
      </c>
      <c r="C3250" t="str">
        <f t="shared" si="1582"/>
        <v>CONHECIMENTO</v>
      </c>
      <c r="D3250" t="str">
        <f t="shared" si="1583"/>
        <v>180625170</v>
      </c>
      <c r="E3250" t="str">
        <f t="shared" si="1589"/>
        <v>COM</v>
      </c>
      <c r="F3250" t="str">
        <f t="shared" si="1584"/>
        <v>CORA SOCIEDADE DE CREDITO, FINANCIAMENTO E INVESTIMENTO (20035)</v>
      </c>
      <c r="G3250" t="str">
        <f t="shared" si="1585"/>
        <v>TAXA BOLETO COMPENSADO</v>
      </c>
      <c r="H3250" t="str">
        <f t="shared" si="1586"/>
        <v>18/06/2025</v>
      </c>
      <c r="I3250" t="str">
        <f t="shared" si="1586"/>
        <v>18/06/2025</v>
      </c>
      <c r="J3250" t="str">
        <f t="shared" si="1590"/>
        <v>18/06/2025</v>
      </c>
      <c r="M3250">
        <v>401</v>
      </c>
      <c r="N3250" t="str">
        <f t="shared" si="1587"/>
        <v>IOF/JUROS/DESP.FINANCEIRA</v>
      </c>
      <c r="P3250">
        <v>1.7</v>
      </c>
      <c r="Q3250" t="str">
        <f>"CORA SOCIEDADE DE CREDITO, FINANCIAMENTO E INVESTIMENTO (20035)"</f>
        <v>CORA SOCIEDADE DE CREDITO, FINANCIAMENTO E INVESTIMENTO (20035)</v>
      </c>
      <c r="R3250" t="str">
        <f t="shared" si="1581"/>
        <v>BANCO CORA (102)</v>
      </c>
      <c r="S3250">
        <v>1912</v>
      </c>
      <c r="T3250">
        <v>1448</v>
      </c>
      <c r="U3250" t="s">
        <v>19</v>
      </c>
    </row>
    <row r="3251" spans="1:21">
      <c r="A3251" t="str">
        <f t="shared" si="1588"/>
        <v>18/06/2025</v>
      </c>
      <c r="B3251" t="str">
        <f t="shared" si="1580"/>
        <v>SAÍDA</v>
      </c>
      <c r="C3251" t="str">
        <f t="shared" si="1582"/>
        <v>CONHECIMENTO</v>
      </c>
      <c r="D3251" t="str">
        <f t="shared" si="1583"/>
        <v>180625170</v>
      </c>
      <c r="E3251" t="str">
        <f t="shared" si="1589"/>
        <v>COM</v>
      </c>
      <c r="F3251" t="str">
        <f t="shared" si="1584"/>
        <v>CORA SOCIEDADE DE CREDITO, FINANCIAMENTO E INVESTIMENTO (20035)</v>
      </c>
      <c r="G3251" t="str">
        <f t="shared" si="1585"/>
        <v>TAXA BOLETO COMPENSADO</v>
      </c>
      <c r="H3251" t="str">
        <f t="shared" si="1586"/>
        <v>18/06/2025</v>
      </c>
      <c r="I3251" t="str">
        <f t="shared" si="1586"/>
        <v>18/06/2025</v>
      </c>
      <c r="J3251" t="str">
        <f t="shared" si="1590"/>
        <v>18/06/2025</v>
      </c>
      <c r="K3251">
        <v>1.7</v>
      </c>
      <c r="L3251">
        <v>1.7</v>
      </c>
      <c r="M3251">
        <v>401</v>
      </c>
      <c r="N3251" t="str">
        <f t="shared" si="1587"/>
        <v>IOF/JUROS/DESP.FINANCEIRA</v>
      </c>
      <c r="O3251">
        <v>1.7</v>
      </c>
      <c r="R3251" t="str">
        <f t="shared" si="1581"/>
        <v>BANCO CORA (102)</v>
      </c>
      <c r="S3251">
        <v>1913</v>
      </c>
      <c r="T3251">
        <v>1449</v>
      </c>
      <c r="U3251" t="s">
        <v>19</v>
      </c>
    </row>
    <row r="3252" spans="1:21">
      <c r="A3252" t="str">
        <f t="shared" si="1588"/>
        <v>18/06/2025</v>
      </c>
      <c r="B3252" t="str">
        <f t="shared" si="1580"/>
        <v>SAÍDA</v>
      </c>
      <c r="C3252" t="str">
        <f t="shared" si="1582"/>
        <v>CONHECIMENTO</v>
      </c>
      <c r="D3252" t="str">
        <f t="shared" si="1583"/>
        <v>180625170</v>
      </c>
      <c r="E3252" t="str">
        <f t="shared" si="1589"/>
        <v>COM</v>
      </c>
      <c r="F3252" t="str">
        <f t="shared" si="1584"/>
        <v>CORA SOCIEDADE DE CREDITO, FINANCIAMENTO E INVESTIMENTO (20035)</v>
      </c>
      <c r="G3252" t="str">
        <f t="shared" si="1585"/>
        <v>TAXA BOLETO COMPENSADO</v>
      </c>
      <c r="H3252" t="str">
        <f t="shared" si="1586"/>
        <v>18/06/2025</v>
      </c>
      <c r="I3252" t="str">
        <f t="shared" si="1586"/>
        <v>18/06/2025</v>
      </c>
      <c r="J3252" t="str">
        <f t="shared" si="1590"/>
        <v>18/06/2025</v>
      </c>
      <c r="M3252">
        <v>401</v>
      </c>
      <c r="N3252" t="str">
        <f t="shared" si="1587"/>
        <v>IOF/JUROS/DESP.FINANCEIRA</v>
      </c>
      <c r="P3252">
        <v>1.7</v>
      </c>
      <c r="Q3252" t="str">
        <f>"CORA SOCIEDADE DE CREDITO, FINANCIAMENTO E INVESTIMENTO (20035)"</f>
        <v>CORA SOCIEDADE DE CREDITO, FINANCIAMENTO E INVESTIMENTO (20035)</v>
      </c>
      <c r="R3252" t="str">
        <f t="shared" si="1581"/>
        <v>BANCO CORA (102)</v>
      </c>
      <c r="S3252">
        <v>1913</v>
      </c>
      <c r="T3252">
        <v>1449</v>
      </c>
      <c r="U3252" t="s">
        <v>19</v>
      </c>
    </row>
    <row r="3253" spans="1:21">
      <c r="A3253" t="str">
        <f t="shared" si="1588"/>
        <v>18/06/2025</v>
      </c>
      <c r="B3253" t="str">
        <f t="shared" si="1580"/>
        <v>SAÍDA</v>
      </c>
      <c r="C3253" t="str">
        <f t="shared" si="1582"/>
        <v>CONHECIMENTO</v>
      </c>
      <c r="D3253" t="str">
        <f t="shared" si="1583"/>
        <v>180625170</v>
      </c>
      <c r="E3253" t="str">
        <f t="shared" si="1589"/>
        <v>COM</v>
      </c>
      <c r="F3253" t="str">
        <f t="shared" si="1584"/>
        <v>CORA SOCIEDADE DE CREDITO, FINANCIAMENTO E INVESTIMENTO (20035)</v>
      </c>
      <c r="G3253" t="str">
        <f t="shared" si="1585"/>
        <v>TAXA BOLETO COMPENSADO</v>
      </c>
      <c r="H3253" t="str">
        <f t="shared" si="1586"/>
        <v>18/06/2025</v>
      </c>
      <c r="I3253" t="str">
        <f t="shared" si="1586"/>
        <v>18/06/2025</v>
      </c>
      <c r="J3253" t="str">
        <f t="shared" si="1590"/>
        <v>18/06/2025</v>
      </c>
      <c r="K3253">
        <v>1.7</v>
      </c>
      <c r="L3253">
        <v>1.7</v>
      </c>
      <c r="M3253">
        <v>401</v>
      </c>
      <c r="N3253" t="str">
        <f t="shared" si="1587"/>
        <v>IOF/JUROS/DESP.FINANCEIRA</v>
      </c>
      <c r="O3253">
        <v>1.7</v>
      </c>
      <c r="R3253" t="str">
        <f t="shared" si="1581"/>
        <v>BANCO CORA (102)</v>
      </c>
      <c r="S3253">
        <v>1914</v>
      </c>
      <c r="T3253">
        <v>1450</v>
      </c>
      <c r="U3253" t="s">
        <v>19</v>
      </c>
    </row>
    <row r="3254" spans="1:21">
      <c r="A3254" t="str">
        <f t="shared" si="1588"/>
        <v>18/06/2025</v>
      </c>
      <c r="B3254" t="str">
        <f t="shared" si="1580"/>
        <v>SAÍDA</v>
      </c>
      <c r="C3254" t="str">
        <f t="shared" si="1582"/>
        <v>CONHECIMENTO</v>
      </c>
      <c r="D3254" t="str">
        <f t="shared" si="1583"/>
        <v>180625170</v>
      </c>
      <c r="E3254" t="str">
        <f t="shared" si="1589"/>
        <v>COM</v>
      </c>
      <c r="F3254" t="str">
        <f t="shared" si="1584"/>
        <v>CORA SOCIEDADE DE CREDITO, FINANCIAMENTO E INVESTIMENTO (20035)</v>
      </c>
      <c r="G3254" t="str">
        <f t="shared" si="1585"/>
        <v>TAXA BOLETO COMPENSADO</v>
      </c>
      <c r="H3254" t="str">
        <f t="shared" si="1586"/>
        <v>18/06/2025</v>
      </c>
      <c r="I3254" t="str">
        <f t="shared" si="1586"/>
        <v>18/06/2025</v>
      </c>
      <c r="J3254" t="str">
        <f t="shared" si="1590"/>
        <v>18/06/2025</v>
      </c>
      <c r="M3254">
        <v>401</v>
      </c>
      <c r="N3254" t="str">
        <f t="shared" si="1587"/>
        <v>IOF/JUROS/DESP.FINANCEIRA</v>
      </c>
      <c r="P3254">
        <v>1.7</v>
      </c>
      <c r="Q3254" t="str">
        <f>"CORA SOCIEDADE DE CREDITO, FINANCIAMENTO E INVESTIMENTO (20035)"</f>
        <v>CORA SOCIEDADE DE CREDITO, FINANCIAMENTO E INVESTIMENTO (20035)</v>
      </c>
      <c r="R3254" t="str">
        <f t="shared" si="1581"/>
        <v>BANCO CORA (102)</v>
      </c>
      <c r="S3254">
        <v>1914</v>
      </c>
      <c r="T3254">
        <v>1450</v>
      </c>
      <c r="U3254" t="s">
        <v>19</v>
      </c>
    </row>
    <row r="3255" spans="1:21">
      <c r="A3255" t="str">
        <f t="shared" si="1588"/>
        <v>18/06/2025</v>
      </c>
      <c r="B3255" t="str">
        <f t="shared" si="1580"/>
        <v>SAÍDA</v>
      </c>
      <c r="C3255" t="str">
        <f t="shared" si="1582"/>
        <v>CONHECIMENTO</v>
      </c>
      <c r="D3255" t="str">
        <f t="shared" si="1583"/>
        <v>180625170</v>
      </c>
      <c r="E3255" t="str">
        <f t="shared" si="1589"/>
        <v>COM</v>
      </c>
      <c r="F3255" t="str">
        <f t="shared" si="1584"/>
        <v>CORA SOCIEDADE DE CREDITO, FINANCIAMENTO E INVESTIMENTO (20035)</v>
      </c>
      <c r="G3255" t="str">
        <f t="shared" si="1585"/>
        <v>TAXA BOLETO COMPENSADO</v>
      </c>
      <c r="H3255" t="str">
        <f t="shared" si="1586"/>
        <v>18/06/2025</v>
      </c>
      <c r="I3255" t="str">
        <f t="shared" si="1586"/>
        <v>18/06/2025</v>
      </c>
      <c r="J3255" t="str">
        <f t="shared" si="1590"/>
        <v>18/06/2025</v>
      </c>
      <c r="K3255">
        <v>1.7</v>
      </c>
      <c r="L3255">
        <v>1.7</v>
      </c>
      <c r="M3255">
        <v>401</v>
      </c>
      <c r="N3255" t="str">
        <f t="shared" si="1587"/>
        <v>IOF/JUROS/DESP.FINANCEIRA</v>
      </c>
      <c r="O3255">
        <v>1.7</v>
      </c>
      <c r="R3255" t="str">
        <f t="shared" si="1581"/>
        <v>BANCO CORA (102)</v>
      </c>
      <c r="S3255">
        <v>1915</v>
      </c>
      <c r="T3255">
        <v>1451</v>
      </c>
      <c r="U3255" t="s">
        <v>19</v>
      </c>
    </row>
    <row r="3256" spans="1:21">
      <c r="A3256" t="str">
        <f t="shared" si="1588"/>
        <v>18/06/2025</v>
      </c>
      <c r="B3256" t="str">
        <f t="shared" si="1580"/>
        <v>SAÍDA</v>
      </c>
      <c r="C3256" t="str">
        <f t="shared" si="1582"/>
        <v>CONHECIMENTO</v>
      </c>
      <c r="D3256" t="str">
        <f t="shared" si="1583"/>
        <v>180625170</v>
      </c>
      <c r="E3256" t="str">
        <f t="shared" si="1589"/>
        <v>COM</v>
      </c>
      <c r="F3256" t="str">
        <f t="shared" si="1584"/>
        <v>CORA SOCIEDADE DE CREDITO, FINANCIAMENTO E INVESTIMENTO (20035)</v>
      </c>
      <c r="G3256" t="str">
        <f t="shared" si="1585"/>
        <v>TAXA BOLETO COMPENSADO</v>
      </c>
      <c r="H3256" t="str">
        <f t="shared" si="1586"/>
        <v>18/06/2025</v>
      </c>
      <c r="I3256" t="str">
        <f t="shared" si="1586"/>
        <v>18/06/2025</v>
      </c>
      <c r="J3256" t="str">
        <f t="shared" si="1590"/>
        <v>18/06/2025</v>
      </c>
      <c r="M3256">
        <v>401</v>
      </c>
      <c r="N3256" t="str">
        <f t="shared" si="1587"/>
        <v>IOF/JUROS/DESP.FINANCEIRA</v>
      </c>
      <c r="P3256">
        <v>1.7</v>
      </c>
      <c r="Q3256" t="str">
        <f>"CORA SOCIEDADE DE CREDITO, FINANCIAMENTO E INVESTIMENTO (20035)"</f>
        <v>CORA SOCIEDADE DE CREDITO, FINANCIAMENTO E INVESTIMENTO (20035)</v>
      </c>
      <c r="R3256" t="str">
        <f t="shared" si="1581"/>
        <v>BANCO CORA (102)</v>
      </c>
      <c r="S3256">
        <v>1915</v>
      </c>
      <c r="T3256">
        <v>1451</v>
      </c>
      <c r="U3256" t="s">
        <v>19</v>
      </c>
    </row>
    <row r="3257" spans="1:21">
      <c r="A3257" t="str">
        <f t="shared" si="1588"/>
        <v>18/06/2025</v>
      </c>
      <c r="B3257" t="str">
        <f t="shared" si="1580"/>
        <v>SAÍDA</v>
      </c>
      <c r="C3257" t="str">
        <f t="shared" si="1582"/>
        <v>CONHECIMENTO</v>
      </c>
      <c r="D3257" t="str">
        <f t="shared" si="1583"/>
        <v>180625170</v>
      </c>
      <c r="E3257" t="str">
        <f t="shared" si="1589"/>
        <v>COM</v>
      </c>
      <c r="F3257" t="str">
        <f t="shared" si="1584"/>
        <v>CORA SOCIEDADE DE CREDITO, FINANCIAMENTO E INVESTIMENTO (20035)</v>
      </c>
      <c r="G3257" t="str">
        <f t="shared" si="1585"/>
        <v>TAXA BOLETO COMPENSADO</v>
      </c>
      <c r="H3257" t="str">
        <f t="shared" si="1586"/>
        <v>18/06/2025</v>
      </c>
      <c r="I3257" t="str">
        <f t="shared" si="1586"/>
        <v>18/06/2025</v>
      </c>
      <c r="J3257" t="str">
        <f t="shared" si="1590"/>
        <v>18/06/2025</v>
      </c>
      <c r="K3257">
        <v>1.7</v>
      </c>
      <c r="L3257">
        <v>1.7</v>
      </c>
      <c r="M3257">
        <v>401</v>
      </c>
      <c r="N3257" t="str">
        <f t="shared" si="1587"/>
        <v>IOF/JUROS/DESP.FINANCEIRA</v>
      </c>
      <c r="O3257">
        <v>1.7</v>
      </c>
      <c r="R3257" t="str">
        <f t="shared" si="1581"/>
        <v>BANCO CORA (102)</v>
      </c>
      <c r="S3257">
        <v>1916</v>
      </c>
      <c r="T3257">
        <v>1452</v>
      </c>
      <c r="U3257" t="s">
        <v>19</v>
      </c>
    </row>
    <row r="3258" spans="1:21">
      <c r="A3258" t="str">
        <f t="shared" si="1588"/>
        <v>18/06/2025</v>
      </c>
      <c r="B3258" t="str">
        <f t="shared" si="1580"/>
        <v>SAÍDA</v>
      </c>
      <c r="C3258" t="str">
        <f t="shared" si="1582"/>
        <v>CONHECIMENTO</v>
      </c>
      <c r="D3258" t="str">
        <f t="shared" si="1583"/>
        <v>180625170</v>
      </c>
      <c r="E3258" t="str">
        <f t="shared" si="1589"/>
        <v>COM</v>
      </c>
      <c r="F3258" t="str">
        <f t="shared" si="1584"/>
        <v>CORA SOCIEDADE DE CREDITO, FINANCIAMENTO E INVESTIMENTO (20035)</v>
      </c>
      <c r="G3258" t="str">
        <f t="shared" si="1585"/>
        <v>TAXA BOLETO COMPENSADO</v>
      </c>
      <c r="H3258" t="str">
        <f t="shared" si="1586"/>
        <v>18/06/2025</v>
      </c>
      <c r="I3258" t="str">
        <f t="shared" si="1586"/>
        <v>18/06/2025</v>
      </c>
      <c r="J3258" t="str">
        <f t="shared" si="1590"/>
        <v>18/06/2025</v>
      </c>
      <c r="M3258">
        <v>401</v>
      </c>
      <c r="N3258" t="str">
        <f t="shared" si="1587"/>
        <v>IOF/JUROS/DESP.FINANCEIRA</v>
      </c>
      <c r="P3258">
        <v>1.7</v>
      </c>
      <c r="Q3258" t="str">
        <f>"CORA SOCIEDADE DE CREDITO, FINANCIAMENTO E INVESTIMENTO (20035)"</f>
        <v>CORA SOCIEDADE DE CREDITO, FINANCIAMENTO E INVESTIMENTO (20035)</v>
      </c>
      <c r="R3258" t="str">
        <f t="shared" si="1581"/>
        <v>BANCO CORA (102)</v>
      </c>
      <c r="S3258">
        <v>1916</v>
      </c>
      <c r="T3258">
        <v>1452</v>
      </c>
      <c r="U3258" t="s">
        <v>19</v>
      </c>
    </row>
    <row r="3259" spans="1:21">
      <c r="A3259" t="str">
        <f t="shared" si="1588"/>
        <v>18/06/2025</v>
      </c>
      <c r="B3259" t="str">
        <f t="shared" si="1580"/>
        <v>SAÍDA</v>
      </c>
      <c r="C3259" t="str">
        <f t="shared" si="1582"/>
        <v>CONHECIMENTO</v>
      </c>
      <c r="D3259" t="str">
        <f t="shared" si="1583"/>
        <v>180625170</v>
      </c>
      <c r="E3259" t="str">
        <f t="shared" si="1589"/>
        <v>COM</v>
      </c>
      <c r="F3259" t="str">
        <f t="shared" si="1584"/>
        <v>CORA SOCIEDADE DE CREDITO, FINANCIAMENTO E INVESTIMENTO (20035)</v>
      </c>
      <c r="G3259" t="str">
        <f t="shared" si="1585"/>
        <v>TAXA BOLETO COMPENSADO</v>
      </c>
      <c r="H3259" t="str">
        <f t="shared" si="1586"/>
        <v>18/06/2025</v>
      </c>
      <c r="I3259" t="str">
        <f t="shared" si="1586"/>
        <v>18/06/2025</v>
      </c>
      <c r="J3259" t="str">
        <f t="shared" si="1590"/>
        <v>18/06/2025</v>
      </c>
      <c r="K3259">
        <v>1.7</v>
      </c>
      <c r="L3259">
        <v>1.7</v>
      </c>
      <c r="M3259">
        <v>401</v>
      </c>
      <c r="N3259" t="str">
        <f t="shared" si="1587"/>
        <v>IOF/JUROS/DESP.FINANCEIRA</v>
      </c>
      <c r="O3259">
        <v>1.7</v>
      </c>
      <c r="R3259" t="str">
        <f t="shared" si="1581"/>
        <v>BANCO CORA (102)</v>
      </c>
      <c r="S3259">
        <v>1917</v>
      </c>
      <c r="T3259">
        <v>1453</v>
      </c>
      <c r="U3259" t="s">
        <v>19</v>
      </c>
    </row>
    <row r="3260" spans="1:21">
      <c r="A3260" t="str">
        <f t="shared" si="1588"/>
        <v>18/06/2025</v>
      </c>
      <c r="B3260" t="str">
        <f t="shared" si="1580"/>
        <v>SAÍDA</v>
      </c>
      <c r="C3260" t="str">
        <f t="shared" si="1582"/>
        <v>CONHECIMENTO</v>
      </c>
      <c r="D3260" t="str">
        <f t="shared" si="1583"/>
        <v>180625170</v>
      </c>
      <c r="E3260" t="str">
        <f t="shared" si="1589"/>
        <v>COM</v>
      </c>
      <c r="F3260" t="str">
        <f t="shared" si="1584"/>
        <v>CORA SOCIEDADE DE CREDITO, FINANCIAMENTO E INVESTIMENTO (20035)</v>
      </c>
      <c r="G3260" t="str">
        <f t="shared" si="1585"/>
        <v>TAXA BOLETO COMPENSADO</v>
      </c>
      <c r="H3260" t="str">
        <f t="shared" si="1586"/>
        <v>18/06/2025</v>
      </c>
      <c r="I3260" t="str">
        <f t="shared" si="1586"/>
        <v>18/06/2025</v>
      </c>
      <c r="J3260" t="str">
        <f t="shared" si="1590"/>
        <v>18/06/2025</v>
      </c>
      <c r="M3260">
        <v>401</v>
      </c>
      <c r="N3260" t="str">
        <f t="shared" si="1587"/>
        <v>IOF/JUROS/DESP.FINANCEIRA</v>
      </c>
      <c r="P3260">
        <v>1.7</v>
      </c>
      <c r="Q3260" t="str">
        <f>"CORA SOCIEDADE DE CREDITO, FINANCIAMENTO E INVESTIMENTO (20035)"</f>
        <v>CORA SOCIEDADE DE CREDITO, FINANCIAMENTO E INVESTIMENTO (20035)</v>
      </c>
      <c r="R3260" t="str">
        <f t="shared" si="1581"/>
        <v>BANCO CORA (102)</v>
      </c>
      <c r="S3260">
        <v>1917</v>
      </c>
      <c r="T3260">
        <v>1453</v>
      </c>
      <c r="U3260" t="s">
        <v>19</v>
      </c>
    </row>
    <row r="3261" spans="1:21">
      <c r="A3261" t="str">
        <f t="shared" si="1588"/>
        <v>18/06/2025</v>
      </c>
      <c r="B3261" t="str">
        <f t="shared" si="1580"/>
        <v>SAÍDA</v>
      </c>
      <c r="C3261" t="str">
        <f>"PIX"</f>
        <v>PIX</v>
      </c>
      <c r="D3261" t="str">
        <f>"1806253000"</f>
        <v>1806253000</v>
      </c>
      <c r="E3261" t="str">
        <f t="shared" si="1589"/>
        <v>COM</v>
      </c>
      <c r="F3261" t="str">
        <f>"MARCELO REZENDE ARANTES (20014)"</f>
        <v>MARCELO REZENDE ARANTES (20014)</v>
      </c>
      <c r="G3261" t="str">
        <f>"DISTRIBUICAO DE LUCROS"</f>
        <v>DISTRIBUICAO DE LUCROS</v>
      </c>
      <c r="H3261" t="str">
        <f t="shared" si="1586"/>
        <v>18/06/2025</v>
      </c>
      <c r="I3261" t="str">
        <f t="shared" si="1586"/>
        <v>18/06/2025</v>
      </c>
      <c r="J3261" t="str">
        <f t="shared" si="1590"/>
        <v>18/06/2025</v>
      </c>
      <c r="K3261">
        <v>3000</v>
      </c>
      <c r="L3261">
        <v>3000</v>
      </c>
      <c r="M3261">
        <v>125</v>
      </c>
      <c r="N3261" t="str">
        <f>"DISTRIBUIÇÃO DE LUCRO"</f>
        <v>DISTRIBUIÇÃO DE LUCRO</v>
      </c>
      <c r="O3261">
        <v>3000</v>
      </c>
      <c r="R3261" t="str">
        <f t="shared" si="1581"/>
        <v>BANCO CORA (102)</v>
      </c>
      <c r="S3261">
        <v>1973</v>
      </c>
      <c r="T3261">
        <v>1552</v>
      </c>
      <c r="U3261" t="s">
        <v>19</v>
      </c>
    </row>
    <row r="3262" spans="1:21">
      <c r="A3262" t="str">
        <f t="shared" si="1588"/>
        <v>18/06/2025</v>
      </c>
      <c r="B3262" t="str">
        <f t="shared" si="1580"/>
        <v>SAÍDA</v>
      </c>
      <c r="C3262" t="str">
        <f>"PIX"</f>
        <v>PIX</v>
      </c>
      <c r="D3262" t="str">
        <f>"1806253000"</f>
        <v>1806253000</v>
      </c>
      <c r="E3262" t="str">
        <f t="shared" si="1589"/>
        <v>COM</v>
      </c>
      <c r="F3262" t="str">
        <f>"MARCELO REZENDE ARANTES (20014)"</f>
        <v>MARCELO REZENDE ARANTES (20014)</v>
      </c>
      <c r="G3262" t="str">
        <f>"DISTRIBUICAO DE LUCROS"</f>
        <v>DISTRIBUICAO DE LUCROS</v>
      </c>
      <c r="H3262" t="str">
        <f t="shared" si="1586"/>
        <v>18/06/2025</v>
      </c>
      <c r="I3262" t="str">
        <f t="shared" si="1586"/>
        <v>18/06/2025</v>
      </c>
      <c r="J3262" t="str">
        <f t="shared" si="1590"/>
        <v>18/06/2025</v>
      </c>
      <c r="M3262">
        <v>125</v>
      </c>
      <c r="N3262" t="str">
        <f>"DISTRIBUIÇÃO DE LUCRO"</f>
        <v>DISTRIBUIÇÃO DE LUCRO</v>
      </c>
      <c r="P3262">
        <v>3000</v>
      </c>
      <c r="Q3262" t="str">
        <f>"MARCELO REZENDE ARANTES (20014)"</f>
        <v>MARCELO REZENDE ARANTES (20014)</v>
      </c>
      <c r="R3262" t="str">
        <f t="shared" si="1581"/>
        <v>BANCO CORA (102)</v>
      </c>
      <c r="S3262">
        <v>1973</v>
      </c>
      <c r="T3262">
        <v>1552</v>
      </c>
      <c r="U3262" t="s">
        <v>19</v>
      </c>
    </row>
    <row r="3263" spans="1:21">
      <c r="A3263" t="str">
        <f t="shared" si="1588"/>
        <v>18/06/2025</v>
      </c>
      <c r="B3263" t="str">
        <f t="shared" si="1580"/>
        <v>SAÍDA</v>
      </c>
      <c r="C3263" t="str">
        <f>"PIX"</f>
        <v>PIX</v>
      </c>
      <c r="D3263" t="str">
        <f>"1806251000"</f>
        <v>1806251000</v>
      </c>
      <c r="E3263" t="str">
        <f t="shared" si="1589"/>
        <v>COM</v>
      </c>
      <c r="F3263" t="str">
        <f>"CONTA SIMPLES SOLUCOES DE PAGAMENTOS LTDA (20019)"</f>
        <v>CONTA SIMPLES SOLUCOES DE PAGAMENTOS LTDA (20019)</v>
      </c>
      <c r="G3263" t="str">
        <f>"MARKETING REDES SOCIAIS - PIX- CHAVE ALEATORIA"</f>
        <v>MARKETING REDES SOCIAIS - PIX- CHAVE ALEATORIA</v>
      </c>
      <c r="H3263" t="str">
        <f t="shared" si="1586"/>
        <v>18/06/2025</v>
      </c>
      <c r="I3263" t="str">
        <f t="shared" si="1586"/>
        <v>18/06/2025</v>
      </c>
      <c r="J3263" t="str">
        <f t="shared" si="1590"/>
        <v>18/06/2025</v>
      </c>
      <c r="K3263">
        <v>1000</v>
      </c>
      <c r="L3263">
        <v>1000</v>
      </c>
      <c r="M3263">
        <v>127</v>
      </c>
      <c r="N3263" t="str">
        <f>"PUBLICIDADE E PROPAGANDAS"</f>
        <v>PUBLICIDADE E PROPAGANDAS</v>
      </c>
      <c r="O3263">
        <v>1000</v>
      </c>
      <c r="R3263" t="str">
        <f t="shared" si="1581"/>
        <v>BANCO CORA (102)</v>
      </c>
      <c r="S3263">
        <v>2050</v>
      </c>
      <c r="T3263">
        <v>1640</v>
      </c>
      <c r="U3263" t="s">
        <v>19</v>
      </c>
    </row>
    <row r="3264" spans="1:21">
      <c r="A3264" t="str">
        <f t="shared" si="1588"/>
        <v>18/06/2025</v>
      </c>
      <c r="B3264" t="str">
        <f t="shared" si="1580"/>
        <v>SAÍDA</v>
      </c>
      <c r="C3264" t="str">
        <f>"PIX"</f>
        <v>PIX</v>
      </c>
      <c r="D3264" t="str">
        <f>"1806251000"</f>
        <v>1806251000</v>
      </c>
      <c r="E3264" t="str">
        <f t="shared" si="1589"/>
        <v>COM</v>
      </c>
      <c r="F3264" t="str">
        <f>"CONTA SIMPLES SOLUCOES DE PAGAMENTOS LTDA (20019)"</f>
        <v>CONTA SIMPLES SOLUCOES DE PAGAMENTOS LTDA (20019)</v>
      </c>
      <c r="G3264" t="str">
        <f>"MARKETING REDES SOCIAIS - PIX- CHAVE ALEATORIA"</f>
        <v>MARKETING REDES SOCIAIS - PIX- CHAVE ALEATORIA</v>
      </c>
      <c r="H3264" t="str">
        <f t="shared" si="1586"/>
        <v>18/06/2025</v>
      </c>
      <c r="I3264" t="str">
        <f t="shared" si="1586"/>
        <v>18/06/2025</v>
      </c>
      <c r="J3264" t="str">
        <f t="shared" si="1590"/>
        <v>18/06/2025</v>
      </c>
      <c r="M3264">
        <v>127</v>
      </c>
      <c r="N3264" t="str">
        <f>"PUBLICIDADE E PROPAGANDAS"</f>
        <v>PUBLICIDADE E PROPAGANDAS</v>
      </c>
      <c r="P3264">
        <v>1000</v>
      </c>
      <c r="Q3264" t="str">
        <f>"CONTA SIMPLES SOLUCOES DE PAGAMENTOS LTDA (20019)"</f>
        <v>CONTA SIMPLES SOLUCOES DE PAGAMENTOS LTDA (20019)</v>
      </c>
      <c r="R3264" t="str">
        <f t="shared" si="1581"/>
        <v>BANCO CORA (102)</v>
      </c>
      <c r="S3264">
        <v>2050</v>
      </c>
      <c r="T3264">
        <v>1640</v>
      </c>
      <c r="U3264" t="s">
        <v>19</v>
      </c>
    </row>
    <row r="3265" spans="1:21">
      <c r="A3265" t="str">
        <f t="shared" ref="A3265:A3296" si="1591">("20/06/2025")</f>
        <v>20/06/2025</v>
      </c>
      <c r="B3265" t="str">
        <f>"ENTRADA"</f>
        <v>ENTRADA</v>
      </c>
      <c r="C3265" t="str">
        <f t="shared" ref="C3265:C3291" si="1592">"NFSE"</f>
        <v>NFSE</v>
      </c>
      <c r="D3265" t="str">
        <f>"3100"</f>
        <v>3100</v>
      </c>
      <c r="E3265" t="str">
        <f t="shared" si="1589"/>
        <v>COM</v>
      </c>
      <c r="F3265" t="str">
        <f>"AC FARMA - CID.ALTA (10166)"</f>
        <v>AC FARMA - CID.ALTA (10166)</v>
      </c>
      <c r="G3265" t="str">
        <f>"Serv.Prest. 02/06/2025 a 08/06/2025 - RPS: 869 - NFSe: 3100"</f>
        <v>Serv.Prest. 02/06/2025 a 08/06/2025 - RPS: 869 - NFSe: 3100</v>
      </c>
      <c r="H3265" t="str">
        <f t="shared" ref="H3265:H3283" si="1593">("18/06/2025")</f>
        <v>18/06/2025</v>
      </c>
      <c r="I3265" t="str">
        <f>("12/06/2025")</f>
        <v>12/06/2025</v>
      </c>
      <c r="J3265" t="str">
        <f t="shared" ref="J3265:J3296" si="1594">("20/06/2025")</f>
        <v>20/06/2025</v>
      </c>
      <c r="K3265">
        <v>1101.07</v>
      </c>
      <c r="L3265">
        <v>1101.07</v>
      </c>
      <c r="M3265">
        <v>303</v>
      </c>
      <c r="N3265" t="str">
        <f t="shared" ref="N3265:N3291" si="1595">"RECEITAS COM ENTREGAS"</f>
        <v>RECEITAS COM ENTREGAS</v>
      </c>
      <c r="O3265">
        <v>1101.07</v>
      </c>
      <c r="R3265" t="str">
        <f t="shared" ref="R3265:R3291" si="1596">"RECEITAS COM ENTREGAS (303)"</f>
        <v>RECEITAS COM ENTREGAS (303)</v>
      </c>
      <c r="S3265">
        <v>1876</v>
      </c>
      <c r="T3265">
        <v>1355</v>
      </c>
      <c r="U3265" t="s">
        <v>19</v>
      </c>
    </row>
    <row r="3266" spans="1:21">
      <c r="A3266" t="str">
        <f t="shared" si="1591"/>
        <v>20/06/2025</v>
      </c>
      <c r="B3266" t="str">
        <f t="shared" ref="B3266:B3291" si="1597">"ENTRADA"</f>
        <v>ENTRADA</v>
      </c>
      <c r="C3266" t="str">
        <f t="shared" si="1592"/>
        <v>NFSE</v>
      </c>
      <c r="D3266" t="str">
        <f>"3100"</f>
        <v>3100</v>
      </c>
      <c r="E3266" t="str">
        <f t="shared" si="1589"/>
        <v>COM</v>
      </c>
      <c r="F3266" t="str">
        <f>"AC FARMA - CID.ALTA (10166)"</f>
        <v>AC FARMA - CID.ALTA (10166)</v>
      </c>
      <c r="G3266" t="str">
        <f>"Serv.Prest. 02/06/2025 a 08/06/2025 - RPS: 869 - NFSe: 3100"</f>
        <v>Serv.Prest. 02/06/2025 a 08/06/2025 - RPS: 869 - NFSe: 3100</v>
      </c>
      <c r="H3266" t="str">
        <f t="shared" si="1593"/>
        <v>18/06/2025</v>
      </c>
      <c r="I3266" t="str">
        <f>("12/06/2025")</f>
        <v>12/06/2025</v>
      </c>
      <c r="J3266" t="str">
        <f t="shared" si="1594"/>
        <v>20/06/2025</v>
      </c>
      <c r="M3266">
        <v>303</v>
      </c>
      <c r="N3266" t="str">
        <f t="shared" si="1595"/>
        <v>RECEITAS COM ENTREGAS</v>
      </c>
      <c r="P3266">
        <v>1101.07</v>
      </c>
      <c r="Q3266" t="str">
        <f>"AC FARMA - CID.ALTA (10166)"</f>
        <v>AC FARMA - CID.ALTA (10166)</v>
      </c>
      <c r="R3266" t="str">
        <f t="shared" si="1596"/>
        <v>RECEITAS COM ENTREGAS (303)</v>
      </c>
      <c r="S3266">
        <v>1876</v>
      </c>
      <c r="T3266">
        <v>1355</v>
      </c>
      <c r="U3266" t="s">
        <v>19</v>
      </c>
    </row>
    <row r="3267" spans="1:21">
      <c r="A3267" t="str">
        <f t="shared" si="1591"/>
        <v>20/06/2025</v>
      </c>
      <c r="B3267" t="str">
        <f t="shared" si="1597"/>
        <v>ENTRADA</v>
      </c>
      <c r="C3267" t="str">
        <f t="shared" si="1592"/>
        <v>NFSE</v>
      </c>
      <c r="D3267" t="str">
        <f>"3101"</f>
        <v>3101</v>
      </c>
      <c r="E3267" t="str">
        <f t="shared" si="1589"/>
        <v>COM</v>
      </c>
      <c r="F3267" t="str">
        <f>"AC FARMA - FLEMINFARMA (10160)"</f>
        <v>AC FARMA - FLEMINFARMA (10160)</v>
      </c>
      <c r="G3267" t="str">
        <f>"Serv.Prest. 02/06/2025 a 08/06/2025 - RPS: 870 - NFSe: 3101"</f>
        <v>Serv.Prest. 02/06/2025 a 08/06/2025 - RPS: 870 - NFSe: 3101</v>
      </c>
      <c r="H3267" t="str">
        <f t="shared" si="1593"/>
        <v>18/06/2025</v>
      </c>
      <c r="I3267" t="str">
        <f>("12/06/2025")</f>
        <v>12/06/2025</v>
      </c>
      <c r="J3267" t="str">
        <f t="shared" si="1594"/>
        <v>20/06/2025</v>
      </c>
      <c r="K3267">
        <v>233.86</v>
      </c>
      <c r="L3267">
        <v>233.86</v>
      </c>
      <c r="M3267">
        <v>303</v>
      </c>
      <c r="N3267" t="str">
        <f t="shared" si="1595"/>
        <v>RECEITAS COM ENTREGAS</v>
      </c>
      <c r="O3267">
        <v>233.86</v>
      </c>
      <c r="R3267" t="str">
        <f t="shared" si="1596"/>
        <v>RECEITAS COM ENTREGAS (303)</v>
      </c>
      <c r="S3267">
        <v>1877</v>
      </c>
      <c r="T3267">
        <v>1356</v>
      </c>
      <c r="U3267" t="s">
        <v>19</v>
      </c>
    </row>
    <row r="3268" spans="1:21">
      <c r="A3268" t="str">
        <f t="shared" si="1591"/>
        <v>20/06/2025</v>
      </c>
      <c r="B3268" t="str">
        <f t="shared" si="1597"/>
        <v>ENTRADA</v>
      </c>
      <c r="C3268" t="str">
        <f t="shared" si="1592"/>
        <v>NFSE</v>
      </c>
      <c r="D3268" t="str">
        <f>"3101"</f>
        <v>3101</v>
      </c>
      <c r="E3268" t="str">
        <f t="shared" si="1589"/>
        <v>COM</v>
      </c>
      <c r="F3268" t="str">
        <f>"AC FARMA - FLEMINFARMA (10160)"</f>
        <v>AC FARMA - FLEMINFARMA (10160)</v>
      </c>
      <c r="G3268" t="str">
        <f>"Serv.Prest. 02/06/2025 a 08/06/2025 - RPS: 870 - NFSe: 3101"</f>
        <v>Serv.Prest. 02/06/2025 a 08/06/2025 - RPS: 870 - NFSe: 3101</v>
      </c>
      <c r="H3268" t="str">
        <f t="shared" si="1593"/>
        <v>18/06/2025</v>
      </c>
      <c r="I3268" t="str">
        <f>("12/06/2025")</f>
        <v>12/06/2025</v>
      </c>
      <c r="J3268" t="str">
        <f t="shared" si="1594"/>
        <v>20/06/2025</v>
      </c>
      <c r="M3268">
        <v>303</v>
      </c>
      <c r="N3268" t="str">
        <f t="shared" si="1595"/>
        <v>RECEITAS COM ENTREGAS</v>
      </c>
      <c r="P3268">
        <v>229.67</v>
      </c>
      <c r="Q3268" t="str">
        <f>"FARMACIA E PERFUMARIA CIDADE ALTA LTDA (10159)"</f>
        <v>FARMACIA E PERFUMARIA CIDADE ALTA LTDA (10159)</v>
      </c>
      <c r="R3268" t="str">
        <f t="shared" si="1596"/>
        <v>RECEITAS COM ENTREGAS (303)</v>
      </c>
      <c r="S3268">
        <v>1877</v>
      </c>
      <c r="T3268">
        <v>1356</v>
      </c>
      <c r="U3268" t="s">
        <v>19</v>
      </c>
    </row>
    <row r="3269" spans="1:21">
      <c r="A3269" t="str">
        <f t="shared" si="1591"/>
        <v>20/06/2025</v>
      </c>
      <c r="B3269" t="str">
        <f t="shared" si="1597"/>
        <v>ENTRADA</v>
      </c>
      <c r="C3269" t="str">
        <f t="shared" si="1592"/>
        <v>NFSE</v>
      </c>
      <c r="D3269" t="str">
        <f>"3101"</f>
        <v>3101</v>
      </c>
      <c r="E3269" t="str">
        <f t="shared" si="1589"/>
        <v>COM</v>
      </c>
      <c r="F3269" t="str">
        <f>"AC FARMA - FLEMINFARMA (10160)"</f>
        <v>AC FARMA - FLEMINFARMA (10160)</v>
      </c>
      <c r="G3269" t="str">
        <f>"Serv.Prest. 02/06/2025 a 08/06/2025 - RPS: 870 - NFSe: 3101"</f>
        <v>Serv.Prest. 02/06/2025 a 08/06/2025 - RPS: 870 - NFSe: 3101</v>
      </c>
      <c r="H3269" t="str">
        <f t="shared" si="1593"/>
        <v>18/06/2025</v>
      </c>
      <c r="I3269" t="str">
        <f>("12/06/2025")</f>
        <v>12/06/2025</v>
      </c>
      <c r="J3269" t="str">
        <f t="shared" si="1594"/>
        <v>20/06/2025</v>
      </c>
      <c r="M3269">
        <v>303</v>
      </c>
      <c r="N3269" t="str">
        <f t="shared" si="1595"/>
        <v>RECEITAS COM ENTREGAS</v>
      </c>
      <c r="P3269">
        <v>4.1900000000000004</v>
      </c>
      <c r="Q3269" t="str">
        <f>"AC FARMA - FLEMINFARMA (10160)"</f>
        <v>AC FARMA - FLEMINFARMA (10160)</v>
      </c>
      <c r="R3269" t="str">
        <f t="shared" si="1596"/>
        <v>RECEITAS COM ENTREGAS (303)</v>
      </c>
      <c r="S3269">
        <v>1877</v>
      </c>
      <c r="T3269">
        <v>1356</v>
      </c>
      <c r="U3269" t="s">
        <v>19</v>
      </c>
    </row>
    <row r="3270" spans="1:21">
      <c r="A3270" t="str">
        <f t="shared" si="1591"/>
        <v>20/06/2025</v>
      </c>
      <c r="B3270" t="str">
        <f t="shared" si="1597"/>
        <v>ENTRADA</v>
      </c>
      <c r="C3270" t="str">
        <f t="shared" si="1592"/>
        <v>NFSE</v>
      </c>
      <c r="D3270" t="str">
        <f>"3102"</f>
        <v>3102</v>
      </c>
      <c r="E3270" t="str">
        <f t="shared" si="1589"/>
        <v>COM</v>
      </c>
      <c r="F3270" t="str">
        <f>"BRASIL FARMA (10173)"</f>
        <v>BRASIL FARMA (10173)</v>
      </c>
      <c r="G3270" t="str">
        <f>"Serv.Prest. 09/06/2025 a 15/06/2025 - RPS: 871 - NFSe: 3102"</f>
        <v>Serv.Prest. 09/06/2025 a 15/06/2025 - RPS: 871 - NFSe: 3102</v>
      </c>
      <c r="H3270" t="str">
        <f t="shared" si="1593"/>
        <v>18/06/2025</v>
      </c>
      <c r="I3270" t="str">
        <f t="shared" ref="I3270:I3279" si="1598">("16/06/2025")</f>
        <v>16/06/2025</v>
      </c>
      <c r="J3270" t="str">
        <f t="shared" si="1594"/>
        <v>20/06/2025</v>
      </c>
      <c r="K3270">
        <v>320.95999999999998</v>
      </c>
      <c r="L3270">
        <v>320.95999999999998</v>
      </c>
      <c r="M3270">
        <v>303</v>
      </c>
      <c r="N3270" t="str">
        <f t="shared" si="1595"/>
        <v>RECEITAS COM ENTREGAS</v>
      </c>
      <c r="O3270">
        <v>320.95999999999998</v>
      </c>
      <c r="R3270" t="str">
        <f t="shared" si="1596"/>
        <v>RECEITAS COM ENTREGAS (303)</v>
      </c>
      <c r="S3270">
        <v>1878</v>
      </c>
      <c r="T3270">
        <v>1357</v>
      </c>
      <c r="U3270" t="s">
        <v>19</v>
      </c>
    </row>
    <row r="3271" spans="1:21">
      <c r="A3271" t="str">
        <f t="shared" si="1591"/>
        <v>20/06/2025</v>
      </c>
      <c r="B3271" t="str">
        <f t="shared" si="1597"/>
        <v>ENTRADA</v>
      </c>
      <c r="C3271" t="str">
        <f t="shared" si="1592"/>
        <v>NFSE</v>
      </c>
      <c r="D3271" t="str">
        <f>"3102"</f>
        <v>3102</v>
      </c>
      <c r="E3271" t="str">
        <f t="shared" si="1589"/>
        <v>COM</v>
      </c>
      <c r="F3271" t="str">
        <f>"BRASIL FARMA (10173)"</f>
        <v>BRASIL FARMA (10173)</v>
      </c>
      <c r="G3271" t="str">
        <f>"Serv.Prest. 09/06/2025 a 15/06/2025 - RPS: 871 - NFSe: 3102"</f>
        <v>Serv.Prest. 09/06/2025 a 15/06/2025 - RPS: 871 - NFSe: 3102</v>
      </c>
      <c r="H3271" t="str">
        <f t="shared" si="1593"/>
        <v>18/06/2025</v>
      </c>
      <c r="I3271" t="str">
        <f t="shared" si="1598"/>
        <v>16/06/2025</v>
      </c>
      <c r="J3271" t="str">
        <f t="shared" si="1594"/>
        <v>20/06/2025</v>
      </c>
      <c r="M3271">
        <v>303</v>
      </c>
      <c r="N3271" t="str">
        <f t="shared" si="1595"/>
        <v>RECEITAS COM ENTREGAS</v>
      </c>
      <c r="P3271">
        <v>320.95999999999998</v>
      </c>
      <c r="Q3271" t="str">
        <f>"BRASIL FARMA (10173)"</f>
        <v>BRASIL FARMA (10173)</v>
      </c>
      <c r="R3271" t="str">
        <f t="shared" si="1596"/>
        <v>RECEITAS COM ENTREGAS (303)</v>
      </c>
      <c r="S3271">
        <v>1878</v>
      </c>
      <c r="T3271">
        <v>1357</v>
      </c>
      <c r="U3271" t="s">
        <v>19</v>
      </c>
    </row>
    <row r="3272" spans="1:21">
      <c r="A3272" t="str">
        <f t="shared" si="1591"/>
        <v>20/06/2025</v>
      </c>
      <c r="B3272" t="str">
        <f t="shared" si="1597"/>
        <v>ENTRADA</v>
      </c>
      <c r="C3272" t="str">
        <f t="shared" si="1592"/>
        <v>NFSE</v>
      </c>
      <c r="D3272" t="str">
        <f>"3107"</f>
        <v>3107</v>
      </c>
      <c r="E3272" t="str">
        <f t="shared" si="1589"/>
        <v>COM</v>
      </c>
      <c r="F3272" t="str">
        <f>"DELTA LOJA 2 (10123)"</f>
        <v>DELTA LOJA 2 (10123)</v>
      </c>
      <c r="G3272" t="str">
        <f>"Serv.Prest. 09/06/2025 a 15/06/2025 - RPS: 876 - NFSe: 3107"</f>
        <v>Serv.Prest. 09/06/2025 a 15/06/2025 - RPS: 876 - NFSe: 3107</v>
      </c>
      <c r="H3272" t="str">
        <f t="shared" si="1593"/>
        <v>18/06/2025</v>
      </c>
      <c r="I3272" t="str">
        <f t="shared" si="1598"/>
        <v>16/06/2025</v>
      </c>
      <c r="J3272" t="str">
        <f t="shared" si="1594"/>
        <v>20/06/2025</v>
      </c>
      <c r="K3272">
        <v>480.48</v>
      </c>
      <c r="L3272">
        <v>480.48</v>
      </c>
      <c r="M3272">
        <v>303</v>
      </c>
      <c r="N3272" t="str">
        <f t="shared" si="1595"/>
        <v>RECEITAS COM ENTREGAS</v>
      </c>
      <c r="O3272">
        <v>480.48</v>
      </c>
      <c r="R3272" t="str">
        <f t="shared" si="1596"/>
        <v>RECEITAS COM ENTREGAS (303)</v>
      </c>
      <c r="S3272">
        <v>1879</v>
      </c>
      <c r="T3272">
        <v>1362</v>
      </c>
      <c r="U3272" t="s">
        <v>19</v>
      </c>
    </row>
    <row r="3273" spans="1:21">
      <c r="A3273" t="str">
        <f t="shared" si="1591"/>
        <v>20/06/2025</v>
      </c>
      <c r="B3273" t="str">
        <f t="shared" si="1597"/>
        <v>ENTRADA</v>
      </c>
      <c r="C3273" t="str">
        <f t="shared" si="1592"/>
        <v>NFSE</v>
      </c>
      <c r="D3273" t="str">
        <f>"3107"</f>
        <v>3107</v>
      </c>
      <c r="E3273" t="str">
        <f t="shared" si="1589"/>
        <v>COM</v>
      </c>
      <c r="F3273" t="str">
        <f>"DELTA LOJA 2 (10123)"</f>
        <v>DELTA LOJA 2 (10123)</v>
      </c>
      <c r="G3273" t="str">
        <f>"Serv.Prest. 09/06/2025 a 15/06/2025 - RPS: 876 - NFSe: 3107"</f>
        <v>Serv.Prest. 09/06/2025 a 15/06/2025 - RPS: 876 - NFSe: 3107</v>
      </c>
      <c r="H3273" t="str">
        <f t="shared" si="1593"/>
        <v>18/06/2025</v>
      </c>
      <c r="I3273" t="str">
        <f t="shared" si="1598"/>
        <v>16/06/2025</v>
      </c>
      <c r="J3273" t="str">
        <f t="shared" si="1594"/>
        <v>20/06/2025</v>
      </c>
      <c r="M3273">
        <v>303</v>
      </c>
      <c r="N3273" t="str">
        <f t="shared" si="1595"/>
        <v>RECEITAS COM ENTREGAS</v>
      </c>
      <c r="P3273">
        <v>480.48</v>
      </c>
      <c r="Q3273" t="str">
        <f>"DELTA LOJA 2 (10123)"</f>
        <v>DELTA LOJA 2 (10123)</v>
      </c>
      <c r="R3273" t="str">
        <f t="shared" si="1596"/>
        <v>RECEITAS COM ENTREGAS (303)</v>
      </c>
      <c r="S3273">
        <v>1879</v>
      </c>
      <c r="T3273">
        <v>1362</v>
      </c>
      <c r="U3273" t="s">
        <v>19</v>
      </c>
    </row>
    <row r="3274" spans="1:21">
      <c r="A3274" t="str">
        <f t="shared" si="1591"/>
        <v>20/06/2025</v>
      </c>
      <c r="B3274" t="str">
        <f t="shared" si="1597"/>
        <v>ENTRADA</v>
      </c>
      <c r="C3274" t="str">
        <f t="shared" si="1592"/>
        <v>NFSE</v>
      </c>
      <c r="D3274" t="str">
        <f>"3108"</f>
        <v>3108</v>
      </c>
      <c r="E3274" t="str">
        <f t="shared" si="1589"/>
        <v>COM</v>
      </c>
      <c r="F3274" t="str">
        <f>"DROGA ELIDA (10121)"</f>
        <v>DROGA ELIDA (10121)</v>
      </c>
      <c r="G3274" t="str">
        <f>"Serv.Prest. 09/06/2025 a 15/06/2025 - RPS: 877 - NFSe: 3108"</f>
        <v>Serv.Prest. 09/06/2025 a 15/06/2025 - RPS: 877 - NFSe: 3108</v>
      </c>
      <c r="H3274" t="str">
        <f t="shared" si="1593"/>
        <v>18/06/2025</v>
      </c>
      <c r="I3274" t="str">
        <f t="shared" si="1598"/>
        <v>16/06/2025</v>
      </c>
      <c r="J3274" t="str">
        <f t="shared" si="1594"/>
        <v>20/06/2025</v>
      </c>
      <c r="K3274">
        <v>350.4</v>
      </c>
      <c r="L3274">
        <v>350.4</v>
      </c>
      <c r="M3274">
        <v>303</v>
      </c>
      <c r="N3274" t="str">
        <f t="shared" si="1595"/>
        <v>RECEITAS COM ENTREGAS</v>
      </c>
      <c r="O3274">
        <v>350.4</v>
      </c>
      <c r="R3274" t="str">
        <f t="shared" si="1596"/>
        <v>RECEITAS COM ENTREGAS (303)</v>
      </c>
      <c r="S3274">
        <v>1880</v>
      </c>
      <c r="T3274">
        <v>1363</v>
      </c>
      <c r="U3274" t="s">
        <v>19</v>
      </c>
    </row>
    <row r="3275" spans="1:21">
      <c r="A3275" t="str">
        <f t="shared" si="1591"/>
        <v>20/06/2025</v>
      </c>
      <c r="B3275" t="str">
        <f t="shared" si="1597"/>
        <v>ENTRADA</v>
      </c>
      <c r="C3275" t="str">
        <f t="shared" si="1592"/>
        <v>NFSE</v>
      </c>
      <c r="D3275" t="str">
        <f>"3108"</f>
        <v>3108</v>
      </c>
      <c r="E3275" t="str">
        <f t="shared" si="1589"/>
        <v>COM</v>
      </c>
      <c r="F3275" t="str">
        <f>"DROGA ELIDA (10121)"</f>
        <v>DROGA ELIDA (10121)</v>
      </c>
      <c r="G3275" t="str">
        <f>"Serv.Prest. 09/06/2025 a 15/06/2025 - RPS: 877 - NFSe: 3108"</f>
        <v>Serv.Prest. 09/06/2025 a 15/06/2025 - RPS: 877 - NFSe: 3108</v>
      </c>
      <c r="H3275" t="str">
        <f t="shared" si="1593"/>
        <v>18/06/2025</v>
      </c>
      <c r="I3275" t="str">
        <f t="shared" si="1598"/>
        <v>16/06/2025</v>
      </c>
      <c r="J3275" t="str">
        <f t="shared" si="1594"/>
        <v>20/06/2025</v>
      </c>
      <c r="M3275">
        <v>303</v>
      </c>
      <c r="N3275" t="str">
        <f t="shared" si="1595"/>
        <v>RECEITAS COM ENTREGAS</v>
      </c>
      <c r="P3275">
        <v>350.4</v>
      </c>
      <c r="Q3275" t="str">
        <f>"DROGA ELIDA (10121)"</f>
        <v>DROGA ELIDA (10121)</v>
      </c>
      <c r="R3275" t="str">
        <f t="shared" si="1596"/>
        <v>RECEITAS COM ENTREGAS (303)</v>
      </c>
      <c r="S3275">
        <v>1880</v>
      </c>
      <c r="T3275">
        <v>1363</v>
      </c>
      <c r="U3275" t="s">
        <v>19</v>
      </c>
    </row>
    <row r="3276" spans="1:21">
      <c r="A3276" t="str">
        <f t="shared" si="1591"/>
        <v>20/06/2025</v>
      </c>
      <c r="B3276" t="str">
        <f t="shared" si="1597"/>
        <v>ENTRADA</v>
      </c>
      <c r="C3276" t="str">
        <f t="shared" si="1592"/>
        <v>NFSE</v>
      </c>
      <c r="D3276" t="str">
        <f>"3110"</f>
        <v>3110</v>
      </c>
      <c r="E3276" t="str">
        <f t="shared" si="1589"/>
        <v>COM</v>
      </c>
      <c r="F3276" t="str">
        <f>"DROGARIA TOTAL JUNDIAI (10177)"</f>
        <v>DROGARIA TOTAL JUNDIAI (10177)</v>
      </c>
      <c r="G3276" t="str">
        <f>"Serv.Prest. 09/06/2025 a 15/06/2025 - RPS: 879 - NFSe: 3110"</f>
        <v>Serv.Prest. 09/06/2025 a 15/06/2025 - RPS: 879 - NFSe: 3110</v>
      </c>
      <c r="H3276" t="str">
        <f t="shared" si="1593"/>
        <v>18/06/2025</v>
      </c>
      <c r="I3276" t="str">
        <f t="shared" si="1598"/>
        <v>16/06/2025</v>
      </c>
      <c r="J3276" t="str">
        <f t="shared" si="1594"/>
        <v>20/06/2025</v>
      </c>
      <c r="K3276">
        <v>72.489999999999995</v>
      </c>
      <c r="L3276">
        <v>72.489999999999995</v>
      </c>
      <c r="M3276">
        <v>303</v>
      </c>
      <c r="N3276" t="str">
        <f t="shared" si="1595"/>
        <v>RECEITAS COM ENTREGAS</v>
      </c>
      <c r="O3276">
        <v>72.489999999999995</v>
      </c>
      <c r="R3276" t="str">
        <f t="shared" si="1596"/>
        <v>RECEITAS COM ENTREGAS (303)</v>
      </c>
      <c r="S3276">
        <v>1881</v>
      </c>
      <c r="T3276">
        <v>1365</v>
      </c>
      <c r="U3276" t="s">
        <v>19</v>
      </c>
    </row>
    <row r="3277" spans="1:21">
      <c r="A3277" t="str">
        <f t="shared" si="1591"/>
        <v>20/06/2025</v>
      </c>
      <c r="B3277" t="str">
        <f t="shared" si="1597"/>
        <v>ENTRADA</v>
      </c>
      <c r="C3277" t="str">
        <f t="shared" si="1592"/>
        <v>NFSE</v>
      </c>
      <c r="D3277" t="str">
        <f>"3110"</f>
        <v>3110</v>
      </c>
      <c r="E3277" t="str">
        <f t="shared" si="1589"/>
        <v>COM</v>
      </c>
      <c r="F3277" t="str">
        <f>"DROGARIA TOTAL JUNDIAI (10177)"</f>
        <v>DROGARIA TOTAL JUNDIAI (10177)</v>
      </c>
      <c r="G3277" t="str">
        <f>"Serv.Prest. 09/06/2025 a 15/06/2025 - RPS: 879 - NFSe: 3110"</f>
        <v>Serv.Prest. 09/06/2025 a 15/06/2025 - RPS: 879 - NFSe: 3110</v>
      </c>
      <c r="H3277" t="str">
        <f t="shared" si="1593"/>
        <v>18/06/2025</v>
      </c>
      <c r="I3277" t="str">
        <f t="shared" si="1598"/>
        <v>16/06/2025</v>
      </c>
      <c r="J3277" t="str">
        <f t="shared" si="1594"/>
        <v>20/06/2025</v>
      </c>
      <c r="M3277">
        <v>303</v>
      </c>
      <c r="N3277" t="str">
        <f t="shared" si="1595"/>
        <v>RECEITAS COM ENTREGAS</v>
      </c>
      <c r="P3277">
        <v>72.489999999999995</v>
      </c>
      <c r="Q3277" t="str">
        <f>"DROGARIA TOTAL JUNDIAI (10177)"</f>
        <v>DROGARIA TOTAL JUNDIAI (10177)</v>
      </c>
      <c r="R3277" t="str">
        <f t="shared" si="1596"/>
        <v>RECEITAS COM ENTREGAS (303)</v>
      </c>
      <c r="S3277">
        <v>1881</v>
      </c>
      <c r="T3277">
        <v>1365</v>
      </c>
      <c r="U3277" t="s">
        <v>19</v>
      </c>
    </row>
    <row r="3278" spans="1:21">
      <c r="A3278" t="str">
        <f t="shared" si="1591"/>
        <v>20/06/2025</v>
      </c>
      <c r="B3278" t="str">
        <f t="shared" si="1597"/>
        <v>ENTRADA</v>
      </c>
      <c r="C3278" t="str">
        <f t="shared" si="1592"/>
        <v>NFSE</v>
      </c>
      <c r="D3278" t="str">
        <f>"3111"</f>
        <v>3111</v>
      </c>
      <c r="E3278" t="str">
        <f t="shared" si="1589"/>
        <v>COM</v>
      </c>
      <c r="F3278" t="str">
        <f>"FARMACIA ECONOMIZE (10103)"</f>
        <v>FARMACIA ECONOMIZE (10103)</v>
      </c>
      <c r="G3278" t="str">
        <f>"Serv.Prest. 09/06/2025 a 15/06/2025 - RPS: 880 - NFSe: 3111"</f>
        <v>Serv.Prest. 09/06/2025 a 15/06/2025 - RPS: 880 - NFSe: 3111</v>
      </c>
      <c r="H3278" t="str">
        <f t="shared" si="1593"/>
        <v>18/06/2025</v>
      </c>
      <c r="I3278" t="str">
        <f t="shared" si="1598"/>
        <v>16/06/2025</v>
      </c>
      <c r="J3278" t="str">
        <f t="shared" si="1594"/>
        <v>20/06/2025</v>
      </c>
      <c r="K3278">
        <v>24.75</v>
      </c>
      <c r="L3278">
        <v>24.75</v>
      </c>
      <c r="M3278">
        <v>303</v>
      </c>
      <c r="N3278" t="str">
        <f t="shared" si="1595"/>
        <v>RECEITAS COM ENTREGAS</v>
      </c>
      <c r="O3278">
        <v>24.75</v>
      </c>
      <c r="R3278" t="str">
        <f t="shared" si="1596"/>
        <v>RECEITAS COM ENTREGAS (303)</v>
      </c>
      <c r="S3278">
        <v>1882</v>
      </c>
      <c r="T3278">
        <v>1366</v>
      </c>
      <c r="U3278" t="s">
        <v>19</v>
      </c>
    </row>
    <row r="3279" spans="1:21">
      <c r="A3279" t="str">
        <f t="shared" si="1591"/>
        <v>20/06/2025</v>
      </c>
      <c r="B3279" t="str">
        <f t="shared" si="1597"/>
        <v>ENTRADA</v>
      </c>
      <c r="C3279" t="str">
        <f t="shared" si="1592"/>
        <v>NFSE</v>
      </c>
      <c r="D3279" t="str">
        <f>"3111"</f>
        <v>3111</v>
      </c>
      <c r="E3279" t="str">
        <f t="shared" si="1589"/>
        <v>COM</v>
      </c>
      <c r="F3279" t="str">
        <f>"FARMACIA ECONOMIZE (10103)"</f>
        <v>FARMACIA ECONOMIZE (10103)</v>
      </c>
      <c r="G3279" t="str">
        <f>"Serv.Prest. 09/06/2025 a 15/06/2025 - RPS: 880 - NFSe: 3111"</f>
        <v>Serv.Prest. 09/06/2025 a 15/06/2025 - RPS: 880 - NFSe: 3111</v>
      </c>
      <c r="H3279" t="str">
        <f t="shared" si="1593"/>
        <v>18/06/2025</v>
      </c>
      <c r="I3279" t="str">
        <f t="shared" si="1598"/>
        <v>16/06/2025</v>
      </c>
      <c r="J3279" t="str">
        <f t="shared" si="1594"/>
        <v>20/06/2025</v>
      </c>
      <c r="M3279">
        <v>303</v>
      </c>
      <c r="N3279" t="str">
        <f t="shared" si="1595"/>
        <v>RECEITAS COM ENTREGAS</v>
      </c>
      <c r="P3279">
        <v>24.75</v>
      </c>
      <c r="Q3279" t="str">
        <f>"FARMACIA ECONOMIZE (10103)"</f>
        <v>FARMACIA ECONOMIZE (10103)</v>
      </c>
      <c r="R3279" t="str">
        <f t="shared" si="1596"/>
        <v>RECEITAS COM ENTREGAS (303)</v>
      </c>
      <c r="S3279">
        <v>1882</v>
      </c>
      <c r="T3279">
        <v>1366</v>
      </c>
      <c r="U3279" t="s">
        <v>19</v>
      </c>
    </row>
    <row r="3280" spans="1:21">
      <c r="A3280" t="str">
        <f t="shared" si="1591"/>
        <v>20/06/2025</v>
      </c>
      <c r="B3280" t="str">
        <f t="shared" si="1597"/>
        <v>ENTRADA</v>
      </c>
      <c r="C3280" t="str">
        <f t="shared" si="1592"/>
        <v>NFSE</v>
      </c>
      <c r="D3280" t="str">
        <f>"3119"</f>
        <v>3119</v>
      </c>
      <c r="E3280" t="str">
        <f t="shared" si="1589"/>
        <v>COM</v>
      </c>
      <c r="F3280" t="str">
        <f>"JAL FARMACIA E DROGARIA LJ 1 (10137)"</f>
        <v>JAL FARMACIA E DROGARIA LJ 1 (10137)</v>
      </c>
      <c r="G3280" t="str">
        <f>"Serv.Prest. 09/06/2025 a 15/06/2025 - RPS: 888 - NFSe: 3119"</f>
        <v>Serv.Prest. 09/06/2025 a 15/06/2025 - RPS: 888 - NFSe: 3119</v>
      </c>
      <c r="H3280" t="str">
        <f t="shared" si="1593"/>
        <v>18/06/2025</v>
      </c>
      <c r="I3280" t="str">
        <f t="shared" ref="I3280:I3287" si="1599">("17/06/2025")</f>
        <v>17/06/2025</v>
      </c>
      <c r="J3280" t="str">
        <f t="shared" si="1594"/>
        <v>20/06/2025</v>
      </c>
      <c r="K3280">
        <v>460.8</v>
      </c>
      <c r="L3280">
        <v>460.8</v>
      </c>
      <c r="M3280">
        <v>303</v>
      </c>
      <c r="N3280" t="str">
        <f t="shared" si="1595"/>
        <v>RECEITAS COM ENTREGAS</v>
      </c>
      <c r="O3280">
        <v>460.8</v>
      </c>
      <c r="R3280" t="str">
        <f t="shared" si="1596"/>
        <v>RECEITAS COM ENTREGAS (303)</v>
      </c>
      <c r="S3280">
        <v>1883</v>
      </c>
      <c r="T3280">
        <v>1403</v>
      </c>
      <c r="U3280" t="s">
        <v>19</v>
      </c>
    </row>
    <row r="3281" spans="1:21">
      <c r="A3281" t="str">
        <f t="shared" si="1591"/>
        <v>20/06/2025</v>
      </c>
      <c r="B3281" t="str">
        <f t="shared" si="1597"/>
        <v>ENTRADA</v>
      </c>
      <c r="C3281" t="str">
        <f t="shared" si="1592"/>
        <v>NFSE</v>
      </c>
      <c r="D3281" t="str">
        <f>"3119"</f>
        <v>3119</v>
      </c>
      <c r="E3281" t="str">
        <f t="shared" si="1589"/>
        <v>COM</v>
      </c>
      <c r="F3281" t="str">
        <f>"JAL FARMACIA E DROGARIA LJ 1 (10137)"</f>
        <v>JAL FARMACIA E DROGARIA LJ 1 (10137)</v>
      </c>
      <c r="G3281" t="str">
        <f>"Serv.Prest. 09/06/2025 a 15/06/2025 - RPS: 888 - NFSe: 3119"</f>
        <v>Serv.Prest. 09/06/2025 a 15/06/2025 - RPS: 888 - NFSe: 3119</v>
      </c>
      <c r="H3281" t="str">
        <f t="shared" si="1593"/>
        <v>18/06/2025</v>
      </c>
      <c r="I3281" t="str">
        <f t="shared" si="1599"/>
        <v>17/06/2025</v>
      </c>
      <c r="J3281" t="str">
        <f t="shared" si="1594"/>
        <v>20/06/2025</v>
      </c>
      <c r="M3281">
        <v>303</v>
      </c>
      <c r="N3281" t="str">
        <f t="shared" si="1595"/>
        <v>RECEITAS COM ENTREGAS</v>
      </c>
      <c r="P3281">
        <v>460.8</v>
      </c>
      <c r="Q3281" t="str">
        <f>"JAL FARMACIA E DROGARIA LJ 1 (10137)"</f>
        <v>JAL FARMACIA E DROGARIA LJ 1 (10137)</v>
      </c>
      <c r="R3281" t="str">
        <f t="shared" si="1596"/>
        <v>RECEITAS COM ENTREGAS (303)</v>
      </c>
      <c r="S3281">
        <v>1883</v>
      </c>
      <c r="T3281">
        <v>1403</v>
      </c>
      <c r="U3281" t="s">
        <v>19</v>
      </c>
    </row>
    <row r="3282" spans="1:21">
      <c r="A3282" t="str">
        <f t="shared" si="1591"/>
        <v>20/06/2025</v>
      </c>
      <c r="B3282" t="str">
        <f t="shared" si="1597"/>
        <v>ENTRADA</v>
      </c>
      <c r="C3282" t="str">
        <f t="shared" si="1592"/>
        <v>NFSE</v>
      </c>
      <c r="D3282" t="str">
        <f>"3122"</f>
        <v>3122</v>
      </c>
      <c r="E3282" t="str">
        <f t="shared" si="1589"/>
        <v>COM</v>
      </c>
      <c r="F3282" t="str">
        <f>"DROGA MONICA LJ 3 (10152)"</f>
        <v>DROGA MONICA LJ 3 (10152)</v>
      </c>
      <c r="G3282" t="str">
        <f>"Serv.Prest. 09/06/2025 a 15/06/2025 - RPS: 891 - NFSe: 3122"</f>
        <v>Serv.Prest. 09/06/2025 a 15/06/2025 - RPS: 891 - NFSe: 3122</v>
      </c>
      <c r="H3282" t="str">
        <f t="shared" si="1593"/>
        <v>18/06/2025</v>
      </c>
      <c r="I3282" t="str">
        <f t="shared" si="1599"/>
        <v>17/06/2025</v>
      </c>
      <c r="J3282" t="str">
        <f t="shared" si="1594"/>
        <v>20/06/2025</v>
      </c>
      <c r="K3282">
        <v>206.4</v>
      </c>
      <c r="L3282">
        <v>206.4</v>
      </c>
      <c r="M3282">
        <v>303</v>
      </c>
      <c r="N3282" t="str">
        <f t="shared" si="1595"/>
        <v>RECEITAS COM ENTREGAS</v>
      </c>
      <c r="O3282">
        <v>206.4</v>
      </c>
      <c r="R3282" t="str">
        <f t="shared" si="1596"/>
        <v>RECEITAS COM ENTREGAS (303)</v>
      </c>
      <c r="S3282">
        <v>1884</v>
      </c>
      <c r="T3282">
        <v>1406</v>
      </c>
      <c r="U3282" t="s">
        <v>19</v>
      </c>
    </row>
    <row r="3283" spans="1:21">
      <c r="A3283" t="str">
        <f t="shared" si="1591"/>
        <v>20/06/2025</v>
      </c>
      <c r="B3283" t="str">
        <f t="shared" si="1597"/>
        <v>ENTRADA</v>
      </c>
      <c r="C3283" t="str">
        <f t="shared" si="1592"/>
        <v>NFSE</v>
      </c>
      <c r="D3283" t="str">
        <f>"3122"</f>
        <v>3122</v>
      </c>
      <c r="E3283" t="str">
        <f t="shared" si="1589"/>
        <v>COM</v>
      </c>
      <c r="F3283" t="str">
        <f>"DROGA MONICA LJ 3 (10152)"</f>
        <v>DROGA MONICA LJ 3 (10152)</v>
      </c>
      <c r="G3283" t="str">
        <f>"Serv.Prest. 09/06/2025 a 15/06/2025 - RPS: 891 - NFSe: 3122"</f>
        <v>Serv.Prest. 09/06/2025 a 15/06/2025 - RPS: 891 - NFSe: 3122</v>
      </c>
      <c r="H3283" t="str">
        <f t="shared" si="1593"/>
        <v>18/06/2025</v>
      </c>
      <c r="I3283" t="str">
        <f t="shared" si="1599"/>
        <v>17/06/2025</v>
      </c>
      <c r="J3283" t="str">
        <f t="shared" si="1594"/>
        <v>20/06/2025</v>
      </c>
      <c r="M3283">
        <v>303</v>
      </c>
      <c r="N3283" t="str">
        <f t="shared" si="1595"/>
        <v>RECEITAS COM ENTREGAS</v>
      </c>
      <c r="P3283">
        <v>206.4</v>
      </c>
      <c r="Q3283" t="str">
        <f>"DROGA MONICA LJ 3 (10152)"</f>
        <v>DROGA MONICA LJ 3 (10152)</v>
      </c>
      <c r="R3283" t="str">
        <f t="shared" si="1596"/>
        <v>RECEITAS COM ENTREGAS (303)</v>
      </c>
      <c r="S3283">
        <v>1884</v>
      </c>
      <c r="T3283">
        <v>1406</v>
      </c>
      <c r="U3283" t="s">
        <v>19</v>
      </c>
    </row>
    <row r="3284" spans="1:21">
      <c r="A3284" t="str">
        <f t="shared" si="1591"/>
        <v>20/06/2025</v>
      </c>
      <c r="B3284" t="str">
        <f t="shared" si="1597"/>
        <v>ENTRADA</v>
      </c>
      <c r="C3284" t="str">
        <f t="shared" si="1592"/>
        <v>NFSE</v>
      </c>
      <c r="D3284" t="str">
        <f>"3126"</f>
        <v>3126</v>
      </c>
      <c r="E3284" t="str">
        <f t="shared" si="1589"/>
        <v>COM</v>
      </c>
      <c r="F3284" t="str">
        <f>"DROGARIA POUPA MINAS (ULTRAMINAS) 3 (10129)"</f>
        <v>DROGARIA POUPA MINAS (ULTRAMINAS) 3 (10129)</v>
      </c>
      <c r="G3284" t="str">
        <f>"Serv.Prest. 09/06/2025 a 15/06/2025 - RPS: 895 - NFSe: 3126"</f>
        <v>Serv.Prest. 09/06/2025 a 15/06/2025 - RPS: 895 - NFSe: 3126</v>
      </c>
      <c r="H3284" t="str">
        <f>("19/06/2025")</f>
        <v>19/06/2025</v>
      </c>
      <c r="I3284" t="str">
        <f t="shared" si="1599"/>
        <v>17/06/2025</v>
      </c>
      <c r="J3284" t="str">
        <f t="shared" si="1594"/>
        <v>20/06/2025</v>
      </c>
      <c r="K3284">
        <v>274.56</v>
      </c>
      <c r="L3284">
        <v>274.56</v>
      </c>
      <c r="M3284">
        <v>303</v>
      </c>
      <c r="N3284" t="str">
        <f t="shared" si="1595"/>
        <v>RECEITAS COM ENTREGAS</v>
      </c>
      <c r="O3284">
        <v>274.56</v>
      </c>
      <c r="R3284" t="str">
        <f t="shared" si="1596"/>
        <v>RECEITAS COM ENTREGAS (303)</v>
      </c>
      <c r="S3284">
        <v>1885</v>
      </c>
      <c r="T3284">
        <v>1410</v>
      </c>
      <c r="U3284" t="s">
        <v>19</v>
      </c>
    </row>
    <row r="3285" spans="1:21">
      <c r="A3285" t="str">
        <f t="shared" si="1591"/>
        <v>20/06/2025</v>
      </c>
      <c r="B3285" t="str">
        <f t="shared" si="1597"/>
        <v>ENTRADA</v>
      </c>
      <c r="C3285" t="str">
        <f t="shared" si="1592"/>
        <v>NFSE</v>
      </c>
      <c r="D3285" t="str">
        <f>"3126"</f>
        <v>3126</v>
      </c>
      <c r="E3285" t="str">
        <f t="shared" si="1589"/>
        <v>COM</v>
      </c>
      <c r="F3285" t="str">
        <f>"DROGARIA POUPA MINAS (ULTRAMINAS) 3 (10129)"</f>
        <v>DROGARIA POUPA MINAS (ULTRAMINAS) 3 (10129)</v>
      </c>
      <c r="G3285" t="str">
        <f>"Serv.Prest. 09/06/2025 a 15/06/2025 - RPS: 895 - NFSe: 3126"</f>
        <v>Serv.Prest. 09/06/2025 a 15/06/2025 - RPS: 895 - NFSe: 3126</v>
      </c>
      <c r="H3285" t="str">
        <f>("19/06/2025")</f>
        <v>19/06/2025</v>
      </c>
      <c r="I3285" t="str">
        <f t="shared" si="1599"/>
        <v>17/06/2025</v>
      </c>
      <c r="J3285" t="str">
        <f t="shared" si="1594"/>
        <v>20/06/2025</v>
      </c>
      <c r="M3285">
        <v>303</v>
      </c>
      <c r="N3285" t="str">
        <f t="shared" si="1595"/>
        <v>RECEITAS COM ENTREGAS</v>
      </c>
      <c r="P3285">
        <v>274.56</v>
      </c>
      <c r="Q3285" t="str">
        <f>"DROGARIA POUPA MINAS (ULTRAMINAS) 3 (10129)"</f>
        <v>DROGARIA POUPA MINAS (ULTRAMINAS) 3 (10129)</v>
      </c>
      <c r="R3285" t="str">
        <f t="shared" si="1596"/>
        <v>RECEITAS COM ENTREGAS (303)</v>
      </c>
      <c r="S3285">
        <v>1885</v>
      </c>
      <c r="T3285">
        <v>1410</v>
      </c>
      <c r="U3285" t="s">
        <v>19</v>
      </c>
    </row>
    <row r="3286" spans="1:21">
      <c r="A3286" t="str">
        <f t="shared" si="1591"/>
        <v>20/06/2025</v>
      </c>
      <c r="B3286" t="str">
        <f t="shared" si="1597"/>
        <v>ENTRADA</v>
      </c>
      <c r="C3286" t="str">
        <f t="shared" si="1592"/>
        <v>NFSE</v>
      </c>
      <c r="D3286" t="str">
        <f>"3127"</f>
        <v>3127</v>
      </c>
      <c r="E3286" t="str">
        <f t="shared" si="1589"/>
        <v>COM</v>
      </c>
      <c r="F3286" t="str">
        <f>"DROGARIA POUPA MINAS (DOIS AMIGOS) 5 (10140)"</f>
        <v>DROGARIA POUPA MINAS (DOIS AMIGOS) 5 (10140)</v>
      </c>
      <c r="G3286" t="str">
        <f>"Serv.Prest. 09/06/2025 a 15/06/2025 - RPS: 896 - NFSe: 3127"</f>
        <v>Serv.Prest. 09/06/2025 a 15/06/2025 - RPS: 896 - NFSe: 3127</v>
      </c>
      <c r="H3286" t="str">
        <f>("19/06/2025")</f>
        <v>19/06/2025</v>
      </c>
      <c r="I3286" t="str">
        <f t="shared" si="1599"/>
        <v>17/06/2025</v>
      </c>
      <c r="J3286" t="str">
        <f t="shared" si="1594"/>
        <v>20/06/2025</v>
      </c>
      <c r="K3286">
        <v>687.74</v>
      </c>
      <c r="L3286">
        <v>687.74</v>
      </c>
      <c r="M3286">
        <v>303</v>
      </c>
      <c r="N3286" t="str">
        <f t="shared" si="1595"/>
        <v>RECEITAS COM ENTREGAS</v>
      </c>
      <c r="O3286">
        <v>687.74</v>
      </c>
      <c r="R3286" t="str">
        <f t="shared" si="1596"/>
        <v>RECEITAS COM ENTREGAS (303)</v>
      </c>
      <c r="S3286">
        <v>1886</v>
      </c>
      <c r="T3286">
        <v>1411</v>
      </c>
      <c r="U3286" t="s">
        <v>19</v>
      </c>
    </row>
    <row r="3287" spans="1:21">
      <c r="A3287" t="str">
        <f t="shared" si="1591"/>
        <v>20/06/2025</v>
      </c>
      <c r="B3287" t="str">
        <f t="shared" si="1597"/>
        <v>ENTRADA</v>
      </c>
      <c r="C3287" t="str">
        <f t="shared" si="1592"/>
        <v>NFSE</v>
      </c>
      <c r="D3287" t="str">
        <f>"3127"</f>
        <v>3127</v>
      </c>
      <c r="E3287" t="str">
        <f t="shared" si="1589"/>
        <v>COM</v>
      </c>
      <c r="F3287" t="str">
        <f>"DROGARIA POUPA MINAS (DOIS AMIGOS) 5 (10140)"</f>
        <v>DROGARIA POUPA MINAS (DOIS AMIGOS) 5 (10140)</v>
      </c>
      <c r="G3287" t="str">
        <f>"Serv.Prest. 09/06/2025 a 15/06/2025 - RPS: 896 - NFSe: 3127"</f>
        <v>Serv.Prest. 09/06/2025 a 15/06/2025 - RPS: 896 - NFSe: 3127</v>
      </c>
      <c r="H3287" t="str">
        <f>("19/06/2025")</f>
        <v>19/06/2025</v>
      </c>
      <c r="I3287" t="str">
        <f t="shared" si="1599"/>
        <v>17/06/2025</v>
      </c>
      <c r="J3287" t="str">
        <f t="shared" si="1594"/>
        <v>20/06/2025</v>
      </c>
      <c r="M3287">
        <v>303</v>
      </c>
      <c r="N3287" t="str">
        <f t="shared" si="1595"/>
        <v>RECEITAS COM ENTREGAS</v>
      </c>
      <c r="P3287">
        <v>687.74</v>
      </c>
      <c r="Q3287" t="str">
        <f>"DROGARIA POUPA MINAS (ULTRAMINAS) 1 (10181)"</f>
        <v>DROGARIA POUPA MINAS (ULTRAMINAS) 1 (10181)</v>
      </c>
      <c r="R3287" t="str">
        <f t="shared" si="1596"/>
        <v>RECEITAS COM ENTREGAS (303)</v>
      </c>
      <c r="S3287">
        <v>1886</v>
      </c>
      <c r="T3287">
        <v>1411</v>
      </c>
      <c r="U3287" t="s">
        <v>19</v>
      </c>
    </row>
    <row r="3288" spans="1:21">
      <c r="A3288" t="str">
        <f t="shared" si="1591"/>
        <v>20/06/2025</v>
      </c>
      <c r="B3288" t="str">
        <f t="shared" si="1597"/>
        <v>ENTRADA</v>
      </c>
      <c r="C3288" t="str">
        <f t="shared" si="1592"/>
        <v>NFSE</v>
      </c>
      <c r="D3288" t="str">
        <f>"3129"</f>
        <v>3129</v>
      </c>
      <c r="E3288" t="str">
        <f t="shared" si="1589"/>
        <v>COM</v>
      </c>
      <c r="F3288" t="str">
        <f>"ITANHANDU (10174)"</f>
        <v>ITANHANDU (10174)</v>
      </c>
      <c r="G3288" t="str">
        <f>"Serv.Prest. 09/06/2025 a 15/06/2025 - RPS: 898 - NFSe: 3129"</f>
        <v>Serv.Prest. 09/06/2025 a 15/06/2025 - RPS: 898 - NFSe: 3129</v>
      </c>
      <c r="H3288" t="str">
        <f t="shared" ref="H3288:H3326" si="1600">("20/06/2025")</f>
        <v>20/06/2025</v>
      </c>
      <c r="I3288" t="str">
        <f>("18/06/2025")</f>
        <v>18/06/2025</v>
      </c>
      <c r="J3288" t="str">
        <f t="shared" si="1594"/>
        <v>20/06/2025</v>
      </c>
      <c r="K3288">
        <v>122.67</v>
      </c>
      <c r="L3288">
        <v>122.67</v>
      </c>
      <c r="M3288">
        <v>303</v>
      </c>
      <c r="N3288" t="str">
        <f t="shared" si="1595"/>
        <v>RECEITAS COM ENTREGAS</v>
      </c>
      <c r="O3288">
        <v>122.67</v>
      </c>
      <c r="R3288" t="str">
        <f t="shared" si="1596"/>
        <v>RECEITAS COM ENTREGAS (303)</v>
      </c>
      <c r="S3288">
        <v>1889</v>
      </c>
      <c r="T3288">
        <v>1413</v>
      </c>
      <c r="U3288" t="s">
        <v>19</v>
      </c>
    </row>
    <row r="3289" spans="1:21">
      <c r="A3289" t="str">
        <f t="shared" si="1591"/>
        <v>20/06/2025</v>
      </c>
      <c r="B3289" t="str">
        <f t="shared" si="1597"/>
        <v>ENTRADA</v>
      </c>
      <c r="C3289" t="str">
        <f t="shared" si="1592"/>
        <v>NFSE</v>
      </c>
      <c r="D3289" t="str">
        <f>"3129"</f>
        <v>3129</v>
      </c>
      <c r="E3289" t="str">
        <f t="shared" si="1589"/>
        <v>COM</v>
      </c>
      <c r="F3289" t="str">
        <f>"ITANHANDU (10174)"</f>
        <v>ITANHANDU (10174)</v>
      </c>
      <c r="G3289" t="str">
        <f>"Serv.Prest. 09/06/2025 a 15/06/2025 - RPS: 898 - NFSe: 3129"</f>
        <v>Serv.Prest. 09/06/2025 a 15/06/2025 - RPS: 898 - NFSe: 3129</v>
      </c>
      <c r="H3289" t="str">
        <f t="shared" si="1600"/>
        <v>20/06/2025</v>
      </c>
      <c r="I3289" t="str">
        <f>("18/06/2025")</f>
        <v>18/06/2025</v>
      </c>
      <c r="J3289" t="str">
        <f t="shared" si="1594"/>
        <v>20/06/2025</v>
      </c>
      <c r="M3289">
        <v>303</v>
      </c>
      <c r="N3289" t="str">
        <f t="shared" si="1595"/>
        <v>RECEITAS COM ENTREGAS</v>
      </c>
      <c r="P3289">
        <v>122.67</v>
      </c>
      <c r="Q3289" t="str">
        <f>"ITANHANDU (10174)"</f>
        <v>ITANHANDU (10174)</v>
      </c>
      <c r="R3289" t="str">
        <f t="shared" si="1596"/>
        <v>RECEITAS COM ENTREGAS (303)</v>
      </c>
      <c r="S3289">
        <v>1889</v>
      </c>
      <c r="T3289">
        <v>1413</v>
      </c>
      <c r="U3289" t="s">
        <v>19</v>
      </c>
    </row>
    <row r="3290" spans="1:21">
      <c r="A3290" t="str">
        <f t="shared" si="1591"/>
        <v>20/06/2025</v>
      </c>
      <c r="B3290" t="str">
        <f t="shared" si="1597"/>
        <v>ENTRADA</v>
      </c>
      <c r="C3290" t="str">
        <f t="shared" si="1592"/>
        <v>NFSE</v>
      </c>
      <c r="D3290" t="str">
        <f>"3128"</f>
        <v>3128</v>
      </c>
      <c r="E3290" t="str">
        <f t="shared" si="1589"/>
        <v>COM</v>
      </c>
      <c r="F3290" t="str">
        <f>"PASSA QUATRO (10175)"</f>
        <v>PASSA QUATRO (10175)</v>
      </c>
      <c r="G3290" t="str">
        <f>"Serv.Prest. 09/06/2025 a 15/06/2025 - RPS: 897 - NFSe: 3128"</f>
        <v>Serv.Prest. 09/06/2025 a 15/06/2025 - RPS: 897 - NFSe: 3128</v>
      </c>
      <c r="H3290" t="str">
        <f t="shared" si="1600"/>
        <v>20/06/2025</v>
      </c>
      <c r="I3290" t="str">
        <f>("18/06/2025")</f>
        <v>18/06/2025</v>
      </c>
      <c r="J3290" t="str">
        <f t="shared" si="1594"/>
        <v>20/06/2025</v>
      </c>
      <c r="K3290">
        <v>115.07</v>
      </c>
      <c r="L3290">
        <v>115.07</v>
      </c>
      <c r="M3290">
        <v>303</v>
      </c>
      <c r="N3290" t="str">
        <f t="shared" si="1595"/>
        <v>RECEITAS COM ENTREGAS</v>
      </c>
      <c r="O3290">
        <v>115.07</v>
      </c>
      <c r="R3290" t="str">
        <f t="shared" si="1596"/>
        <v>RECEITAS COM ENTREGAS (303)</v>
      </c>
      <c r="S3290">
        <v>1890</v>
      </c>
      <c r="T3290">
        <v>1412</v>
      </c>
      <c r="U3290" t="s">
        <v>19</v>
      </c>
    </row>
    <row r="3291" spans="1:21">
      <c r="A3291" t="str">
        <f t="shared" si="1591"/>
        <v>20/06/2025</v>
      </c>
      <c r="B3291" t="str">
        <f t="shared" si="1597"/>
        <v>ENTRADA</v>
      </c>
      <c r="C3291" t="str">
        <f t="shared" si="1592"/>
        <v>NFSE</v>
      </c>
      <c r="D3291" t="str">
        <f>"3128"</f>
        <v>3128</v>
      </c>
      <c r="E3291" t="str">
        <f t="shared" si="1589"/>
        <v>COM</v>
      </c>
      <c r="F3291" t="str">
        <f>"PASSA QUATRO (10175)"</f>
        <v>PASSA QUATRO (10175)</v>
      </c>
      <c r="G3291" t="str">
        <f>"Serv.Prest. 09/06/2025 a 15/06/2025 - RPS: 897 - NFSe: 3128"</f>
        <v>Serv.Prest. 09/06/2025 a 15/06/2025 - RPS: 897 - NFSe: 3128</v>
      </c>
      <c r="H3291" t="str">
        <f t="shared" si="1600"/>
        <v>20/06/2025</v>
      </c>
      <c r="I3291" t="str">
        <f>("18/06/2025")</f>
        <v>18/06/2025</v>
      </c>
      <c r="J3291" t="str">
        <f t="shared" si="1594"/>
        <v>20/06/2025</v>
      </c>
      <c r="M3291">
        <v>303</v>
      </c>
      <c r="N3291" t="str">
        <f t="shared" si="1595"/>
        <v>RECEITAS COM ENTREGAS</v>
      </c>
      <c r="P3291">
        <v>115.07</v>
      </c>
      <c r="Q3291" t="str">
        <f>"PASSA QUATRO (10175)"</f>
        <v>PASSA QUATRO (10175)</v>
      </c>
      <c r="R3291" t="str">
        <f t="shared" si="1596"/>
        <v>RECEITAS COM ENTREGAS (303)</v>
      </c>
      <c r="S3291">
        <v>1890</v>
      </c>
      <c r="T3291">
        <v>1412</v>
      </c>
      <c r="U3291" t="s">
        <v>19</v>
      </c>
    </row>
    <row r="3292" spans="1:21">
      <c r="A3292" t="str">
        <f t="shared" si="1591"/>
        <v>20/06/2025</v>
      </c>
      <c r="B3292" t="str">
        <f t="shared" ref="B3292:B3322" si="1601">"SAÍDA"</f>
        <v>SAÍDA</v>
      </c>
      <c r="C3292" t="str">
        <f>"BOLETO"</f>
        <v>BOLETO</v>
      </c>
      <c r="D3292" t="str">
        <f>"071625141408800"</f>
        <v>071625141408800</v>
      </c>
      <c r="E3292" t="str">
        <f t="shared" si="1589"/>
        <v>COM</v>
      </c>
      <c r="F3292" t="str">
        <f>"MINISTERIO DA FAZENDA (20009)"</f>
        <v>MINISTERIO DA FAZENDA (20009)</v>
      </c>
      <c r="G3292" t="str">
        <f>"INSS SOBRE PROLABORE"</f>
        <v>INSS SOBRE PROLABORE</v>
      </c>
      <c r="H3292" t="str">
        <f t="shared" si="1600"/>
        <v>20/06/2025</v>
      </c>
      <c r="I3292" t="str">
        <f>("21/05/2025")</f>
        <v>21/05/2025</v>
      </c>
      <c r="J3292" t="str">
        <f t="shared" si="1594"/>
        <v>20/06/2025</v>
      </c>
      <c r="K3292">
        <v>333.96</v>
      </c>
      <c r="L3292">
        <v>333.96</v>
      </c>
      <c r="M3292">
        <v>112</v>
      </c>
      <c r="N3292" t="str">
        <f>"INSS - PRO-LABORE"</f>
        <v>INSS - PRO-LABORE</v>
      </c>
      <c r="O3292">
        <v>333.96</v>
      </c>
      <c r="R3292" t="str">
        <f t="shared" ref="R3292:R3322" si="1602">"BANCO CORA (102)"</f>
        <v>BANCO CORA (102)</v>
      </c>
      <c r="S3292">
        <v>1903</v>
      </c>
      <c r="T3292">
        <v>717</v>
      </c>
      <c r="U3292" t="s">
        <v>19</v>
      </c>
    </row>
    <row r="3293" spans="1:21">
      <c r="A3293" t="str">
        <f t="shared" si="1591"/>
        <v>20/06/2025</v>
      </c>
      <c r="B3293" t="str">
        <f t="shared" si="1601"/>
        <v>SAÍDA</v>
      </c>
      <c r="C3293" t="str">
        <f>"BOLETO"</f>
        <v>BOLETO</v>
      </c>
      <c r="D3293" t="str">
        <f>"072025161257175"</f>
        <v>072025161257175</v>
      </c>
      <c r="E3293" t="str">
        <f t="shared" si="1589"/>
        <v>COM</v>
      </c>
      <c r="F3293" t="str">
        <f>"MINISTERIO DA FAZENDA (20009)"</f>
        <v>MINISTERIO DA FAZENDA (20009)</v>
      </c>
      <c r="G3293" t="str">
        <f>"SIMPLES NACIONAL MES 05/2025"</f>
        <v>SIMPLES NACIONAL MES 05/2025</v>
      </c>
      <c r="H3293" t="str">
        <f t="shared" si="1600"/>
        <v>20/06/2025</v>
      </c>
      <c r="I3293" t="str">
        <f>("10/06/2025")</f>
        <v>10/06/2025</v>
      </c>
      <c r="J3293" t="str">
        <f t="shared" si="1594"/>
        <v>20/06/2025</v>
      </c>
      <c r="K3293">
        <v>14499.7</v>
      </c>
      <c r="L3293">
        <v>14499.7</v>
      </c>
      <c r="M3293">
        <v>144</v>
      </c>
      <c r="N3293" t="str">
        <f>"SIMPLES NACIONAL (DASN)"</f>
        <v>SIMPLES NACIONAL (DASN)</v>
      </c>
      <c r="O3293">
        <v>14499.7</v>
      </c>
      <c r="R3293" t="str">
        <f t="shared" si="1602"/>
        <v>BANCO CORA (102)</v>
      </c>
      <c r="S3293">
        <v>1904</v>
      </c>
      <c r="T3293">
        <v>895</v>
      </c>
      <c r="U3293" t="s">
        <v>19</v>
      </c>
    </row>
    <row r="3294" spans="1:21">
      <c r="A3294" t="str">
        <f t="shared" si="1591"/>
        <v>20/06/2025</v>
      </c>
      <c r="B3294" t="str">
        <f t="shared" si="1601"/>
        <v>SAÍDA</v>
      </c>
      <c r="C3294" t="str">
        <f>"BOLETO"</f>
        <v>BOLETO</v>
      </c>
      <c r="D3294" t="str">
        <f>"2423"</f>
        <v>2423</v>
      </c>
      <c r="E3294" t="str">
        <f t="shared" si="1589"/>
        <v>COM</v>
      </c>
      <c r="F3294" t="str">
        <f>"INFINITY BRASIL LTDA (20020)"</f>
        <v>INFINITY BRASIL LTDA (20020)</v>
      </c>
      <c r="G3294" t="str">
        <f>"SERVIDOR FLUX FARMA PERÍODO JUNHO/2025"</f>
        <v>SERVIDOR FLUX FARMA PERÍODO JUNHO/2025</v>
      </c>
      <c r="H3294" t="str">
        <f t="shared" si="1600"/>
        <v>20/06/2025</v>
      </c>
      <c r="I3294" t="str">
        <f>("01/06/2025")</f>
        <v>01/06/2025</v>
      </c>
      <c r="J3294" t="str">
        <f t="shared" si="1594"/>
        <v>20/06/2025</v>
      </c>
      <c r="K3294">
        <v>579.36</v>
      </c>
      <c r="L3294">
        <v>579.36</v>
      </c>
      <c r="M3294">
        <v>104</v>
      </c>
      <c r="N3294" t="str">
        <f>"SOFTWARE / LICENÇAS"</f>
        <v>SOFTWARE / LICENÇAS</v>
      </c>
      <c r="O3294">
        <v>579.36</v>
      </c>
      <c r="R3294" t="str">
        <f t="shared" si="1602"/>
        <v>BANCO CORA (102)</v>
      </c>
      <c r="S3294">
        <v>1905</v>
      </c>
      <c r="T3294">
        <v>907</v>
      </c>
      <c r="U3294" t="s">
        <v>19</v>
      </c>
    </row>
    <row r="3295" spans="1:21">
      <c r="A3295" t="str">
        <f t="shared" si="1591"/>
        <v>20/06/2025</v>
      </c>
      <c r="B3295" t="str">
        <f t="shared" si="1601"/>
        <v>SAÍDA</v>
      </c>
      <c r="C3295" t="str">
        <f>"BOLETO"</f>
        <v>BOLETO</v>
      </c>
      <c r="D3295" t="str">
        <f>"706"</f>
        <v>706</v>
      </c>
      <c r="E3295" t="str">
        <f t="shared" si="1589"/>
        <v>COM</v>
      </c>
      <c r="F3295" t="str">
        <f>"DESENVOLVA CONSULTORIA E TREINAMENTO EMPRESARIAL LTDA (20083)"</f>
        <v>DESENVOLVA CONSULTORIA E TREINAMENTO EMPRESARIAL LTDA (20083)</v>
      </c>
      <c r="G3295" t="str">
        <f>"PARCERIA EVENTO DESENVOLVA"</f>
        <v>PARCERIA EVENTO DESENVOLVA</v>
      </c>
      <c r="H3295" t="str">
        <f t="shared" si="1600"/>
        <v>20/06/2025</v>
      </c>
      <c r="I3295" t="str">
        <f>("23/05/2025")</f>
        <v>23/05/2025</v>
      </c>
      <c r="J3295" t="str">
        <f t="shared" si="1594"/>
        <v>20/06/2025</v>
      </c>
      <c r="K3295">
        <v>2500</v>
      </c>
      <c r="L3295">
        <v>2500</v>
      </c>
      <c r="M3295">
        <v>127</v>
      </c>
      <c r="N3295" t="str">
        <f>"PUBLICIDADE E PROPAGANDAS"</f>
        <v>PUBLICIDADE E PROPAGANDAS</v>
      </c>
      <c r="O3295">
        <v>2500</v>
      </c>
      <c r="R3295" t="str">
        <f t="shared" si="1602"/>
        <v>BANCO CORA (102)</v>
      </c>
      <c r="S3295">
        <v>1906</v>
      </c>
      <c r="T3295">
        <v>1293</v>
      </c>
      <c r="U3295" t="s">
        <v>19</v>
      </c>
    </row>
    <row r="3296" spans="1:21">
      <c r="A3296" t="str">
        <f t="shared" si="1591"/>
        <v>20/06/2025</v>
      </c>
      <c r="B3296" t="str">
        <f t="shared" si="1601"/>
        <v>SAÍDA</v>
      </c>
      <c r="C3296" t="str">
        <f>"BOLETO"</f>
        <v>BOLETO</v>
      </c>
      <c r="D3296" t="str">
        <f>"706"</f>
        <v>706</v>
      </c>
      <c r="E3296" t="str">
        <f t="shared" si="1589"/>
        <v>COM</v>
      </c>
      <c r="F3296" t="str">
        <f>"DESENVOLVA CONSULTORIA E TREINAMENTO EMPRESARIAL LTDA (20083)"</f>
        <v>DESENVOLVA CONSULTORIA E TREINAMENTO EMPRESARIAL LTDA (20083)</v>
      </c>
      <c r="G3296" t="str">
        <f>"PARCERIA EVENTO DESENVOLVA"</f>
        <v>PARCERIA EVENTO DESENVOLVA</v>
      </c>
      <c r="H3296" t="str">
        <f t="shared" si="1600"/>
        <v>20/06/2025</v>
      </c>
      <c r="I3296" t="str">
        <f>("23/05/2025")</f>
        <v>23/05/2025</v>
      </c>
      <c r="J3296" t="str">
        <f t="shared" si="1594"/>
        <v>20/06/2025</v>
      </c>
      <c r="M3296">
        <v>127</v>
      </c>
      <c r="N3296" t="str">
        <f>"PUBLICIDADE E PROPAGANDAS"</f>
        <v>PUBLICIDADE E PROPAGANDAS</v>
      </c>
      <c r="P3296">
        <v>2500</v>
      </c>
      <c r="Q3296" t="str">
        <f>"DESENVOLVA CONSULTORIA E TREINAMENTO EMPRESARIAL LTDA (20083)"</f>
        <v>DESENVOLVA CONSULTORIA E TREINAMENTO EMPRESARIAL LTDA (20083)</v>
      </c>
      <c r="R3296" t="str">
        <f t="shared" si="1602"/>
        <v>BANCO CORA (102)</v>
      </c>
      <c r="S3296">
        <v>1906</v>
      </c>
      <c r="T3296">
        <v>1293</v>
      </c>
      <c r="U3296" t="s">
        <v>19</v>
      </c>
    </row>
    <row r="3297" spans="1:21">
      <c r="A3297" t="str">
        <f t="shared" ref="A3297:A3322" si="1603">("20/06/2025")</f>
        <v>20/06/2025</v>
      </c>
      <c r="B3297" t="str">
        <f t="shared" si="1601"/>
        <v>SAÍDA</v>
      </c>
      <c r="C3297" t="str">
        <f t="shared" ref="C3297:C3322" si="1604">"CONHECIMENTO"</f>
        <v>CONHECIMENTO</v>
      </c>
      <c r="D3297" t="str">
        <f t="shared" ref="D3297:D3322" si="1605">"200625170"</f>
        <v>200625170</v>
      </c>
      <c r="E3297" t="str">
        <f t="shared" si="1589"/>
        <v>COM</v>
      </c>
      <c r="F3297" t="str">
        <f t="shared" ref="F3297:F3322" si="1606">"CORA SOCIEDADE DE CREDITO, FINANCIAMENTO E INVESTIMENTO (20035)"</f>
        <v>CORA SOCIEDADE DE CREDITO, FINANCIAMENTO E INVESTIMENTO (20035)</v>
      </c>
      <c r="G3297" t="str">
        <f t="shared" ref="G3297:G3322" si="1607">"TAXA BOLETO COMPENSADO"</f>
        <v>TAXA BOLETO COMPENSADO</v>
      </c>
      <c r="H3297" t="str">
        <f t="shared" si="1600"/>
        <v>20/06/2025</v>
      </c>
      <c r="I3297" t="str">
        <f t="shared" ref="I3297:I3322" si="1608">("20/06/2025")</f>
        <v>20/06/2025</v>
      </c>
      <c r="J3297" t="str">
        <f t="shared" ref="J3297:J3322" si="1609">("20/06/2025")</f>
        <v>20/06/2025</v>
      </c>
      <c r="K3297">
        <v>1.7</v>
      </c>
      <c r="L3297">
        <v>1.7</v>
      </c>
      <c r="M3297">
        <v>401</v>
      </c>
      <c r="N3297" t="str">
        <f t="shared" ref="N3297:N3322" si="1610">"IOF/JUROS/DESP.FINANCEIRA"</f>
        <v>IOF/JUROS/DESP.FINANCEIRA</v>
      </c>
      <c r="O3297">
        <v>1.7</v>
      </c>
      <c r="R3297" t="str">
        <f t="shared" si="1602"/>
        <v>BANCO CORA (102)</v>
      </c>
      <c r="S3297">
        <v>1918</v>
      </c>
      <c r="T3297">
        <v>1454</v>
      </c>
      <c r="U3297" t="s">
        <v>19</v>
      </c>
    </row>
    <row r="3298" spans="1:21">
      <c r="A3298" t="str">
        <f t="shared" si="1603"/>
        <v>20/06/2025</v>
      </c>
      <c r="B3298" t="str">
        <f t="shared" si="1601"/>
        <v>SAÍDA</v>
      </c>
      <c r="C3298" t="str">
        <f t="shared" si="1604"/>
        <v>CONHECIMENTO</v>
      </c>
      <c r="D3298" t="str">
        <f t="shared" si="1605"/>
        <v>200625170</v>
      </c>
      <c r="E3298" t="str">
        <f t="shared" si="1589"/>
        <v>COM</v>
      </c>
      <c r="F3298" t="str">
        <f t="shared" si="1606"/>
        <v>CORA SOCIEDADE DE CREDITO, FINANCIAMENTO E INVESTIMENTO (20035)</v>
      </c>
      <c r="G3298" t="str">
        <f t="shared" si="1607"/>
        <v>TAXA BOLETO COMPENSADO</v>
      </c>
      <c r="H3298" t="str">
        <f t="shared" si="1600"/>
        <v>20/06/2025</v>
      </c>
      <c r="I3298" t="str">
        <f t="shared" si="1608"/>
        <v>20/06/2025</v>
      </c>
      <c r="J3298" t="str">
        <f t="shared" si="1609"/>
        <v>20/06/2025</v>
      </c>
      <c r="M3298">
        <v>401</v>
      </c>
      <c r="N3298" t="str">
        <f t="shared" si="1610"/>
        <v>IOF/JUROS/DESP.FINANCEIRA</v>
      </c>
      <c r="P3298">
        <v>1.7</v>
      </c>
      <c r="Q3298" t="str">
        <f>"CORA SOCIEDADE DE CREDITO, FINANCIAMENTO E INVESTIMENTO (20035)"</f>
        <v>CORA SOCIEDADE DE CREDITO, FINANCIAMENTO E INVESTIMENTO (20035)</v>
      </c>
      <c r="R3298" t="str">
        <f t="shared" si="1602"/>
        <v>BANCO CORA (102)</v>
      </c>
      <c r="S3298">
        <v>1918</v>
      </c>
      <c r="T3298">
        <v>1454</v>
      </c>
      <c r="U3298" t="s">
        <v>19</v>
      </c>
    </row>
    <row r="3299" spans="1:21">
      <c r="A3299" t="str">
        <f t="shared" si="1603"/>
        <v>20/06/2025</v>
      </c>
      <c r="B3299" t="str">
        <f t="shared" si="1601"/>
        <v>SAÍDA</v>
      </c>
      <c r="C3299" t="str">
        <f t="shared" si="1604"/>
        <v>CONHECIMENTO</v>
      </c>
      <c r="D3299" t="str">
        <f t="shared" si="1605"/>
        <v>200625170</v>
      </c>
      <c r="E3299" t="str">
        <f t="shared" si="1589"/>
        <v>COM</v>
      </c>
      <c r="F3299" t="str">
        <f t="shared" si="1606"/>
        <v>CORA SOCIEDADE DE CREDITO, FINANCIAMENTO E INVESTIMENTO (20035)</v>
      </c>
      <c r="G3299" t="str">
        <f t="shared" si="1607"/>
        <v>TAXA BOLETO COMPENSADO</v>
      </c>
      <c r="H3299" t="str">
        <f t="shared" si="1600"/>
        <v>20/06/2025</v>
      </c>
      <c r="I3299" t="str">
        <f t="shared" si="1608"/>
        <v>20/06/2025</v>
      </c>
      <c r="J3299" t="str">
        <f t="shared" si="1609"/>
        <v>20/06/2025</v>
      </c>
      <c r="K3299">
        <v>1.7</v>
      </c>
      <c r="L3299">
        <v>1.7</v>
      </c>
      <c r="M3299">
        <v>401</v>
      </c>
      <c r="N3299" t="str">
        <f t="shared" si="1610"/>
        <v>IOF/JUROS/DESP.FINANCEIRA</v>
      </c>
      <c r="O3299">
        <v>1.7</v>
      </c>
      <c r="R3299" t="str">
        <f t="shared" si="1602"/>
        <v>BANCO CORA (102)</v>
      </c>
      <c r="S3299">
        <v>1919</v>
      </c>
      <c r="T3299">
        <v>1455</v>
      </c>
      <c r="U3299" t="s">
        <v>19</v>
      </c>
    </row>
    <row r="3300" spans="1:21">
      <c r="A3300" t="str">
        <f t="shared" si="1603"/>
        <v>20/06/2025</v>
      </c>
      <c r="B3300" t="str">
        <f t="shared" si="1601"/>
        <v>SAÍDA</v>
      </c>
      <c r="C3300" t="str">
        <f t="shared" si="1604"/>
        <v>CONHECIMENTO</v>
      </c>
      <c r="D3300" t="str">
        <f t="shared" si="1605"/>
        <v>200625170</v>
      </c>
      <c r="E3300" t="str">
        <f t="shared" si="1589"/>
        <v>COM</v>
      </c>
      <c r="F3300" t="str">
        <f t="shared" si="1606"/>
        <v>CORA SOCIEDADE DE CREDITO, FINANCIAMENTO E INVESTIMENTO (20035)</v>
      </c>
      <c r="G3300" t="str">
        <f t="shared" si="1607"/>
        <v>TAXA BOLETO COMPENSADO</v>
      </c>
      <c r="H3300" t="str">
        <f t="shared" si="1600"/>
        <v>20/06/2025</v>
      </c>
      <c r="I3300" t="str">
        <f t="shared" si="1608"/>
        <v>20/06/2025</v>
      </c>
      <c r="J3300" t="str">
        <f t="shared" si="1609"/>
        <v>20/06/2025</v>
      </c>
      <c r="M3300">
        <v>401</v>
      </c>
      <c r="N3300" t="str">
        <f t="shared" si="1610"/>
        <v>IOF/JUROS/DESP.FINANCEIRA</v>
      </c>
      <c r="P3300">
        <v>1.7</v>
      </c>
      <c r="Q3300" t="str">
        <f>"CORA SOCIEDADE DE CREDITO, FINANCIAMENTO E INVESTIMENTO (20035)"</f>
        <v>CORA SOCIEDADE DE CREDITO, FINANCIAMENTO E INVESTIMENTO (20035)</v>
      </c>
      <c r="R3300" t="str">
        <f t="shared" si="1602"/>
        <v>BANCO CORA (102)</v>
      </c>
      <c r="S3300">
        <v>1919</v>
      </c>
      <c r="T3300">
        <v>1455</v>
      </c>
      <c r="U3300" t="s">
        <v>19</v>
      </c>
    </row>
    <row r="3301" spans="1:21">
      <c r="A3301" t="str">
        <f t="shared" si="1603"/>
        <v>20/06/2025</v>
      </c>
      <c r="B3301" t="str">
        <f t="shared" si="1601"/>
        <v>SAÍDA</v>
      </c>
      <c r="C3301" t="str">
        <f t="shared" si="1604"/>
        <v>CONHECIMENTO</v>
      </c>
      <c r="D3301" t="str">
        <f t="shared" si="1605"/>
        <v>200625170</v>
      </c>
      <c r="E3301" t="str">
        <f t="shared" si="1589"/>
        <v>COM</v>
      </c>
      <c r="F3301" t="str">
        <f t="shared" si="1606"/>
        <v>CORA SOCIEDADE DE CREDITO, FINANCIAMENTO E INVESTIMENTO (20035)</v>
      </c>
      <c r="G3301" t="str">
        <f t="shared" si="1607"/>
        <v>TAXA BOLETO COMPENSADO</v>
      </c>
      <c r="H3301" t="str">
        <f t="shared" si="1600"/>
        <v>20/06/2025</v>
      </c>
      <c r="I3301" t="str">
        <f t="shared" si="1608"/>
        <v>20/06/2025</v>
      </c>
      <c r="J3301" t="str">
        <f t="shared" si="1609"/>
        <v>20/06/2025</v>
      </c>
      <c r="K3301">
        <v>1.7</v>
      </c>
      <c r="L3301">
        <v>1.7</v>
      </c>
      <c r="M3301">
        <v>401</v>
      </c>
      <c r="N3301" t="str">
        <f t="shared" si="1610"/>
        <v>IOF/JUROS/DESP.FINANCEIRA</v>
      </c>
      <c r="O3301">
        <v>1.7</v>
      </c>
      <c r="R3301" t="str">
        <f t="shared" si="1602"/>
        <v>BANCO CORA (102)</v>
      </c>
      <c r="S3301">
        <v>1920</v>
      </c>
      <c r="T3301">
        <v>1456</v>
      </c>
      <c r="U3301" t="s">
        <v>19</v>
      </c>
    </row>
    <row r="3302" spans="1:21">
      <c r="A3302" t="str">
        <f t="shared" si="1603"/>
        <v>20/06/2025</v>
      </c>
      <c r="B3302" t="str">
        <f t="shared" si="1601"/>
        <v>SAÍDA</v>
      </c>
      <c r="C3302" t="str">
        <f t="shared" si="1604"/>
        <v>CONHECIMENTO</v>
      </c>
      <c r="D3302" t="str">
        <f t="shared" si="1605"/>
        <v>200625170</v>
      </c>
      <c r="E3302" t="str">
        <f t="shared" si="1589"/>
        <v>COM</v>
      </c>
      <c r="F3302" t="str">
        <f t="shared" si="1606"/>
        <v>CORA SOCIEDADE DE CREDITO, FINANCIAMENTO E INVESTIMENTO (20035)</v>
      </c>
      <c r="G3302" t="str">
        <f t="shared" si="1607"/>
        <v>TAXA BOLETO COMPENSADO</v>
      </c>
      <c r="H3302" t="str">
        <f t="shared" si="1600"/>
        <v>20/06/2025</v>
      </c>
      <c r="I3302" t="str">
        <f t="shared" si="1608"/>
        <v>20/06/2025</v>
      </c>
      <c r="J3302" t="str">
        <f t="shared" si="1609"/>
        <v>20/06/2025</v>
      </c>
      <c r="M3302">
        <v>401</v>
      </c>
      <c r="N3302" t="str">
        <f t="shared" si="1610"/>
        <v>IOF/JUROS/DESP.FINANCEIRA</v>
      </c>
      <c r="P3302">
        <v>1.7</v>
      </c>
      <c r="Q3302" t="str">
        <f>"CORA SOCIEDADE DE CREDITO, FINANCIAMENTO E INVESTIMENTO (20035)"</f>
        <v>CORA SOCIEDADE DE CREDITO, FINANCIAMENTO E INVESTIMENTO (20035)</v>
      </c>
      <c r="R3302" t="str">
        <f t="shared" si="1602"/>
        <v>BANCO CORA (102)</v>
      </c>
      <c r="S3302">
        <v>1920</v>
      </c>
      <c r="T3302">
        <v>1456</v>
      </c>
      <c r="U3302" t="s">
        <v>19</v>
      </c>
    </row>
    <row r="3303" spans="1:21">
      <c r="A3303" t="str">
        <f t="shared" si="1603"/>
        <v>20/06/2025</v>
      </c>
      <c r="B3303" t="str">
        <f t="shared" si="1601"/>
        <v>SAÍDA</v>
      </c>
      <c r="C3303" t="str">
        <f t="shared" si="1604"/>
        <v>CONHECIMENTO</v>
      </c>
      <c r="D3303" t="str">
        <f t="shared" si="1605"/>
        <v>200625170</v>
      </c>
      <c r="E3303" t="str">
        <f t="shared" si="1589"/>
        <v>COM</v>
      </c>
      <c r="F3303" t="str">
        <f t="shared" si="1606"/>
        <v>CORA SOCIEDADE DE CREDITO, FINANCIAMENTO E INVESTIMENTO (20035)</v>
      </c>
      <c r="G3303" t="str">
        <f t="shared" si="1607"/>
        <v>TAXA BOLETO COMPENSADO</v>
      </c>
      <c r="H3303" t="str">
        <f t="shared" si="1600"/>
        <v>20/06/2025</v>
      </c>
      <c r="I3303" t="str">
        <f t="shared" si="1608"/>
        <v>20/06/2025</v>
      </c>
      <c r="J3303" t="str">
        <f t="shared" si="1609"/>
        <v>20/06/2025</v>
      </c>
      <c r="K3303">
        <v>1.7</v>
      </c>
      <c r="L3303">
        <v>1.7</v>
      </c>
      <c r="M3303">
        <v>401</v>
      </c>
      <c r="N3303" t="str">
        <f t="shared" si="1610"/>
        <v>IOF/JUROS/DESP.FINANCEIRA</v>
      </c>
      <c r="O3303">
        <v>1.7</v>
      </c>
      <c r="R3303" t="str">
        <f t="shared" si="1602"/>
        <v>BANCO CORA (102)</v>
      </c>
      <c r="S3303">
        <v>1921</v>
      </c>
      <c r="T3303">
        <v>1457</v>
      </c>
      <c r="U3303" t="s">
        <v>19</v>
      </c>
    </row>
    <row r="3304" spans="1:21">
      <c r="A3304" t="str">
        <f t="shared" si="1603"/>
        <v>20/06/2025</v>
      </c>
      <c r="B3304" t="str">
        <f t="shared" si="1601"/>
        <v>SAÍDA</v>
      </c>
      <c r="C3304" t="str">
        <f t="shared" si="1604"/>
        <v>CONHECIMENTO</v>
      </c>
      <c r="D3304" t="str">
        <f t="shared" si="1605"/>
        <v>200625170</v>
      </c>
      <c r="E3304" t="str">
        <f t="shared" si="1589"/>
        <v>COM</v>
      </c>
      <c r="F3304" t="str">
        <f t="shared" si="1606"/>
        <v>CORA SOCIEDADE DE CREDITO, FINANCIAMENTO E INVESTIMENTO (20035)</v>
      </c>
      <c r="G3304" t="str">
        <f t="shared" si="1607"/>
        <v>TAXA BOLETO COMPENSADO</v>
      </c>
      <c r="H3304" t="str">
        <f t="shared" si="1600"/>
        <v>20/06/2025</v>
      </c>
      <c r="I3304" t="str">
        <f t="shared" si="1608"/>
        <v>20/06/2025</v>
      </c>
      <c r="J3304" t="str">
        <f t="shared" si="1609"/>
        <v>20/06/2025</v>
      </c>
      <c r="M3304">
        <v>401</v>
      </c>
      <c r="N3304" t="str">
        <f t="shared" si="1610"/>
        <v>IOF/JUROS/DESP.FINANCEIRA</v>
      </c>
      <c r="P3304">
        <v>1.7</v>
      </c>
      <c r="Q3304" t="str">
        <f>"CORA SOCIEDADE DE CREDITO, FINANCIAMENTO E INVESTIMENTO (20035)"</f>
        <v>CORA SOCIEDADE DE CREDITO, FINANCIAMENTO E INVESTIMENTO (20035)</v>
      </c>
      <c r="R3304" t="str">
        <f t="shared" si="1602"/>
        <v>BANCO CORA (102)</v>
      </c>
      <c r="S3304">
        <v>1921</v>
      </c>
      <c r="T3304">
        <v>1457</v>
      </c>
      <c r="U3304" t="s">
        <v>19</v>
      </c>
    </row>
    <row r="3305" spans="1:21">
      <c r="A3305" t="str">
        <f t="shared" si="1603"/>
        <v>20/06/2025</v>
      </c>
      <c r="B3305" t="str">
        <f t="shared" si="1601"/>
        <v>SAÍDA</v>
      </c>
      <c r="C3305" t="str">
        <f t="shared" si="1604"/>
        <v>CONHECIMENTO</v>
      </c>
      <c r="D3305" t="str">
        <f t="shared" si="1605"/>
        <v>200625170</v>
      </c>
      <c r="E3305" t="str">
        <f t="shared" si="1589"/>
        <v>COM</v>
      </c>
      <c r="F3305" t="str">
        <f t="shared" si="1606"/>
        <v>CORA SOCIEDADE DE CREDITO, FINANCIAMENTO E INVESTIMENTO (20035)</v>
      </c>
      <c r="G3305" t="str">
        <f t="shared" si="1607"/>
        <v>TAXA BOLETO COMPENSADO</v>
      </c>
      <c r="H3305" t="str">
        <f t="shared" si="1600"/>
        <v>20/06/2025</v>
      </c>
      <c r="I3305" t="str">
        <f t="shared" si="1608"/>
        <v>20/06/2025</v>
      </c>
      <c r="J3305" t="str">
        <f t="shared" si="1609"/>
        <v>20/06/2025</v>
      </c>
      <c r="K3305">
        <v>1.7</v>
      </c>
      <c r="L3305">
        <v>1.7</v>
      </c>
      <c r="M3305">
        <v>401</v>
      </c>
      <c r="N3305" t="str">
        <f t="shared" si="1610"/>
        <v>IOF/JUROS/DESP.FINANCEIRA</v>
      </c>
      <c r="O3305">
        <v>1.7</v>
      </c>
      <c r="R3305" t="str">
        <f t="shared" si="1602"/>
        <v>BANCO CORA (102)</v>
      </c>
      <c r="S3305">
        <v>1922</v>
      </c>
      <c r="T3305">
        <v>1458</v>
      </c>
      <c r="U3305" t="s">
        <v>19</v>
      </c>
    </row>
    <row r="3306" spans="1:21">
      <c r="A3306" t="str">
        <f t="shared" si="1603"/>
        <v>20/06/2025</v>
      </c>
      <c r="B3306" t="str">
        <f t="shared" si="1601"/>
        <v>SAÍDA</v>
      </c>
      <c r="C3306" t="str">
        <f t="shared" si="1604"/>
        <v>CONHECIMENTO</v>
      </c>
      <c r="D3306" t="str">
        <f t="shared" si="1605"/>
        <v>200625170</v>
      </c>
      <c r="E3306" t="str">
        <f t="shared" si="1589"/>
        <v>COM</v>
      </c>
      <c r="F3306" t="str">
        <f t="shared" si="1606"/>
        <v>CORA SOCIEDADE DE CREDITO, FINANCIAMENTO E INVESTIMENTO (20035)</v>
      </c>
      <c r="G3306" t="str">
        <f t="shared" si="1607"/>
        <v>TAXA BOLETO COMPENSADO</v>
      </c>
      <c r="H3306" t="str">
        <f t="shared" si="1600"/>
        <v>20/06/2025</v>
      </c>
      <c r="I3306" t="str">
        <f t="shared" si="1608"/>
        <v>20/06/2025</v>
      </c>
      <c r="J3306" t="str">
        <f t="shared" si="1609"/>
        <v>20/06/2025</v>
      </c>
      <c r="M3306">
        <v>401</v>
      </c>
      <c r="N3306" t="str">
        <f t="shared" si="1610"/>
        <v>IOF/JUROS/DESP.FINANCEIRA</v>
      </c>
      <c r="P3306">
        <v>1.7</v>
      </c>
      <c r="Q3306" t="str">
        <f>"CORA SOCIEDADE DE CREDITO, FINANCIAMENTO E INVESTIMENTO (20035)"</f>
        <v>CORA SOCIEDADE DE CREDITO, FINANCIAMENTO E INVESTIMENTO (20035)</v>
      </c>
      <c r="R3306" t="str">
        <f t="shared" si="1602"/>
        <v>BANCO CORA (102)</v>
      </c>
      <c r="S3306">
        <v>1922</v>
      </c>
      <c r="T3306">
        <v>1458</v>
      </c>
      <c r="U3306" t="s">
        <v>19</v>
      </c>
    </row>
    <row r="3307" spans="1:21">
      <c r="A3307" t="str">
        <f t="shared" si="1603"/>
        <v>20/06/2025</v>
      </c>
      <c r="B3307" t="str">
        <f t="shared" si="1601"/>
        <v>SAÍDA</v>
      </c>
      <c r="C3307" t="str">
        <f t="shared" si="1604"/>
        <v>CONHECIMENTO</v>
      </c>
      <c r="D3307" t="str">
        <f t="shared" si="1605"/>
        <v>200625170</v>
      </c>
      <c r="E3307" t="str">
        <f t="shared" si="1589"/>
        <v>COM</v>
      </c>
      <c r="F3307" t="str">
        <f t="shared" si="1606"/>
        <v>CORA SOCIEDADE DE CREDITO, FINANCIAMENTO E INVESTIMENTO (20035)</v>
      </c>
      <c r="G3307" t="str">
        <f t="shared" si="1607"/>
        <v>TAXA BOLETO COMPENSADO</v>
      </c>
      <c r="H3307" t="str">
        <f t="shared" si="1600"/>
        <v>20/06/2025</v>
      </c>
      <c r="I3307" t="str">
        <f t="shared" si="1608"/>
        <v>20/06/2025</v>
      </c>
      <c r="J3307" t="str">
        <f t="shared" si="1609"/>
        <v>20/06/2025</v>
      </c>
      <c r="K3307">
        <v>1.7</v>
      </c>
      <c r="L3307">
        <v>1.7</v>
      </c>
      <c r="M3307">
        <v>401</v>
      </c>
      <c r="N3307" t="str">
        <f t="shared" si="1610"/>
        <v>IOF/JUROS/DESP.FINANCEIRA</v>
      </c>
      <c r="O3307">
        <v>1.7</v>
      </c>
      <c r="R3307" t="str">
        <f t="shared" si="1602"/>
        <v>BANCO CORA (102)</v>
      </c>
      <c r="S3307">
        <v>1923</v>
      </c>
      <c r="T3307">
        <v>1459</v>
      </c>
      <c r="U3307" t="s">
        <v>19</v>
      </c>
    </row>
    <row r="3308" spans="1:21">
      <c r="A3308" t="str">
        <f t="shared" si="1603"/>
        <v>20/06/2025</v>
      </c>
      <c r="B3308" t="str">
        <f t="shared" si="1601"/>
        <v>SAÍDA</v>
      </c>
      <c r="C3308" t="str">
        <f t="shared" si="1604"/>
        <v>CONHECIMENTO</v>
      </c>
      <c r="D3308" t="str">
        <f t="shared" si="1605"/>
        <v>200625170</v>
      </c>
      <c r="E3308" t="str">
        <f t="shared" si="1589"/>
        <v>COM</v>
      </c>
      <c r="F3308" t="str">
        <f t="shared" si="1606"/>
        <v>CORA SOCIEDADE DE CREDITO, FINANCIAMENTO E INVESTIMENTO (20035)</v>
      </c>
      <c r="G3308" t="str">
        <f t="shared" si="1607"/>
        <v>TAXA BOLETO COMPENSADO</v>
      </c>
      <c r="H3308" t="str">
        <f t="shared" si="1600"/>
        <v>20/06/2025</v>
      </c>
      <c r="I3308" t="str">
        <f t="shared" si="1608"/>
        <v>20/06/2025</v>
      </c>
      <c r="J3308" t="str">
        <f t="shared" si="1609"/>
        <v>20/06/2025</v>
      </c>
      <c r="M3308">
        <v>401</v>
      </c>
      <c r="N3308" t="str">
        <f t="shared" si="1610"/>
        <v>IOF/JUROS/DESP.FINANCEIRA</v>
      </c>
      <c r="P3308">
        <v>1.7</v>
      </c>
      <c r="Q3308" t="str">
        <f>"CORA SOCIEDADE DE CREDITO, FINANCIAMENTO E INVESTIMENTO (20035)"</f>
        <v>CORA SOCIEDADE DE CREDITO, FINANCIAMENTO E INVESTIMENTO (20035)</v>
      </c>
      <c r="R3308" t="str">
        <f t="shared" si="1602"/>
        <v>BANCO CORA (102)</v>
      </c>
      <c r="S3308">
        <v>1923</v>
      </c>
      <c r="T3308">
        <v>1459</v>
      </c>
      <c r="U3308" t="s">
        <v>19</v>
      </c>
    </row>
    <row r="3309" spans="1:21">
      <c r="A3309" t="str">
        <f t="shared" si="1603"/>
        <v>20/06/2025</v>
      </c>
      <c r="B3309" t="str">
        <f t="shared" si="1601"/>
        <v>SAÍDA</v>
      </c>
      <c r="C3309" t="str">
        <f t="shared" si="1604"/>
        <v>CONHECIMENTO</v>
      </c>
      <c r="D3309" t="str">
        <f t="shared" si="1605"/>
        <v>200625170</v>
      </c>
      <c r="E3309" t="str">
        <f t="shared" si="1589"/>
        <v>COM</v>
      </c>
      <c r="F3309" t="str">
        <f t="shared" si="1606"/>
        <v>CORA SOCIEDADE DE CREDITO, FINANCIAMENTO E INVESTIMENTO (20035)</v>
      </c>
      <c r="G3309" t="str">
        <f t="shared" si="1607"/>
        <v>TAXA BOLETO COMPENSADO</v>
      </c>
      <c r="H3309" t="str">
        <f t="shared" si="1600"/>
        <v>20/06/2025</v>
      </c>
      <c r="I3309" t="str">
        <f t="shared" si="1608"/>
        <v>20/06/2025</v>
      </c>
      <c r="J3309" t="str">
        <f t="shared" si="1609"/>
        <v>20/06/2025</v>
      </c>
      <c r="K3309">
        <v>1.7</v>
      </c>
      <c r="L3309">
        <v>1.7</v>
      </c>
      <c r="M3309">
        <v>401</v>
      </c>
      <c r="N3309" t="str">
        <f t="shared" si="1610"/>
        <v>IOF/JUROS/DESP.FINANCEIRA</v>
      </c>
      <c r="O3309">
        <v>1.7</v>
      </c>
      <c r="R3309" t="str">
        <f t="shared" si="1602"/>
        <v>BANCO CORA (102)</v>
      </c>
      <c r="S3309">
        <v>1924</v>
      </c>
      <c r="T3309">
        <v>1460</v>
      </c>
      <c r="U3309" t="s">
        <v>19</v>
      </c>
    </row>
    <row r="3310" spans="1:21">
      <c r="A3310" t="str">
        <f t="shared" si="1603"/>
        <v>20/06/2025</v>
      </c>
      <c r="B3310" t="str">
        <f t="shared" si="1601"/>
        <v>SAÍDA</v>
      </c>
      <c r="C3310" t="str">
        <f t="shared" si="1604"/>
        <v>CONHECIMENTO</v>
      </c>
      <c r="D3310" t="str">
        <f t="shared" si="1605"/>
        <v>200625170</v>
      </c>
      <c r="E3310" t="str">
        <f t="shared" si="1589"/>
        <v>COM</v>
      </c>
      <c r="F3310" t="str">
        <f t="shared" si="1606"/>
        <v>CORA SOCIEDADE DE CREDITO, FINANCIAMENTO E INVESTIMENTO (20035)</v>
      </c>
      <c r="G3310" t="str">
        <f t="shared" si="1607"/>
        <v>TAXA BOLETO COMPENSADO</v>
      </c>
      <c r="H3310" t="str">
        <f t="shared" si="1600"/>
        <v>20/06/2025</v>
      </c>
      <c r="I3310" t="str">
        <f t="shared" si="1608"/>
        <v>20/06/2025</v>
      </c>
      <c r="J3310" t="str">
        <f t="shared" si="1609"/>
        <v>20/06/2025</v>
      </c>
      <c r="M3310">
        <v>401</v>
      </c>
      <c r="N3310" t="str">
        <f t="shared" si="1610"/>
        <v>IOF/JUROS/DESP.FINANCEIRA</v>
      </c>
      <c r="P3310">
        <v>1.7</v>
      </c>
      <c r="Q3310" t="str">
        <f>"CORA SOCIEDADE DE CREDITO, FINANCIAMENTO E INVESTIMENTO (20035)"</f>
        <v>CORA SOCIEDADE DE CREDITO, FINANCIAMENTO E INVESTIMENTO (20035)</v>
      </c>
      <c r="R3310" t="str">
        <f t="shared" si="1602"/>
        <v>BANCO CORA (102)</v>
      </c>
      <c r="S3310">
        <v>1924</v>
      </c>
      <c r="T3310">
        <v>1460</v>
      </c>
      <c r="U3310" t="s">
        <v>19</v>
      </c>
    </row>
    <row r="3311" spans="1:21">
      <c r="A3311" t="str">
        <f t="shared" si="1603"/>
        <v>20/06/2025</v>
      </c>
      <c r="B3311" t="str">
        <f t="shared" si="1601"/>
        <v>SAÍDA</v>
      </c>
      <c r="C3311" t="str">
        <f t="shared" si="1604"/>
        <v>CONHECIMENTO</v>
      </c>
      <c r="D3311" t="str">
        <f t="shared" si="1605"/>
        <v>200625170</v>
      </c>
      <c r="E3311" t="str">
        <f t="shared" ref="E3311:E3374" si="1611">"COM"</f>
        <v>COM</v>
      </c>
      <c r="F3311" t="str">
        <f t="shared" si="1606"/>
        <v>CORA SOCIEDADE DE CREDITO, FINANCIAMENTO E INVESTIMENTO (20035)</v>
      </c>
      <c r="G3311" t="str">
        <f t="shared" si="1607"/>
        <v>TAXA BOLETO COMPENSADO</v>
      </c>
      <c r="H3311" t="str">
        <f t="shared" si="1600"/>
        <v>20/06/2025</v>
      </c>
      <c r="I3311" t="str">
        <f t="shared" si="1608"/>
        <v>20/06/2025</v>
      </c>
      <c r="J3311" t="str">
        <f t="shared" si="1609"/>
        <v>20/06/2025</v>
      </c>
      <c r="K3311">
        <v>1.7</v>
      </c>
      <c r="L3311">
        <v>1.7</v>
      </c>
      <c r="M3311">
        <v>401</v>
      </c>
      <c r="N3311" t="str">
        <f t="shared" si="1610"/>
        <v>IOF/JUROS/DESP.FINANCEIRA</v>
      </c>
      <c r="O3311">
        <v>1.7</v>
      </c>
      <c r="R3311" t="str">
        <f t="shared" si="1602"/>
        <v>BANCO CORA (102)</v>
      </c>
      <c r="S3311">
        <v>1925</v>
      </c>
      <c r="T3311">
        <v>1461</v>
      </c>
      <c r="U3311" t="s">
        <v>19</v>
      </c>
    </row>
    <row r="3312" spans="1:21">
      <c r="A3312" t="str">
        <f t="shared" si="1603"/>
        <v>20/06/2025</v>
      </c>
      <c r="B3312" t="str">
        <f t="shared" si="1601"/>
        <v>SAÍDA</v>
      </c>
      <c r="C3312" t="str">
        <f t="shared" si="1604"/>
        <v>CONHECIMENTO</v>
      </c>
      <c r="D3312" t="str">
        <f t="shared" si="1605"/>
        <v>200625170</v>
      </c>
      <c r="E3312" t="str">
        <f t="shared" si="1611"/>
        <v>COM</v>
      </c>
      <c r="F3312" t="str">
        <f t="shared" si="1606"/>
        <v>CORA SOCIEDADE DE CREDITO, FINANCIAMENTO E INVESTIMENTO (20035)</v>
      </c>
      <c r="G3312" t="str">
        <f t="shared" si="1607"/>
        <v>TAXA BOLETO COMPENSADO</v>
      </c>
      <c r="H3312" t="str">
        <f t="shared" si="1600"/>
        <v>20/06/2025</v>
      </c>
      <c r="I3312" t="str">
        <f t="shared" si="1608"/>
        <v>20/06/2025</v>
      </c>
      <c r="J3312" t="str">
        <f t="shared" si="1609"/>
        <v>20/06/2025</v>
      </c>
      <c r="M3312">
        <v>401</v>
      </c>
      <c r="N3312" t="str">
        <f t="shared" si="1610"/>
        <v>IOF/JUROS/DESP.FINANCEIRA</v>
      </c>
      <c r="P3312">
        <v>1.7</v>
      </c>
      <c r="Q3312" t="str">
        <f>"CORA SOCIEDADE DE CREDITO, FINANCIAMENTO E INVESTIMENTO (20035)"</f>
        <v>CORA SOCIEDADE DE CREDITO, FINANCIAMENTO E INVESTIMENTO (20035)</v>
      </c>
      <c r="R3312" t="str">
        <f t="shared" si="1602"/>
        <v>BANCO CORA (102)</v>
      </c>
      <c r="S3312">
        <v>1925</v>
      </c>
      <c r="T3312">
        <v>1461</v>
      </c>
      <c r="U3312" t="s">
        <v>19</v>
      </c>
    </row>
    <row r="3313" spans="1:21">
      <c r="A3313" t="str">
        <f t="shared" si="1603"/>
        <v>20/06/2025</v>
      </c>
      <c r="B3313" t="str">
        <f t="shared" si="1601"/>
        <v>SAÍDA</v>
      </c>
      <c r="C3313" t="str">
        <f t="shared" si="1604"/>
        <v>CONHECIMENTO</v>
      </c>
      <c r="D3313" t="str">
        <f t="shared" si="1605"/>
        <v>200625170</v>
      </c>
      <c r="E3313" t="str">
        <f t="shared" si="1611"/>
        <v>COM</v>
      </c>
      <c r="F3313" t="str">
        <f t="shared" si="1606"/>
        <v>CORA SOCIEDADE DE CREDITO, FINANCIAMENTO E INVESTIMENTO (20035)</v>
      </c>
      <c r="G3313" t="str">
        <f t="shared" si="1607"/>
        <v>TAXA BOLETO COMPENSADO</v>
      </c>
      <c r="H3313" t="str">
        <f t="shared" si="1600"/>
        <v>20/06/2025</v>
      </c>
      <c r="I3313" t="str">
        <f t="shared" si="1608"/>
        <v>20/06/2025</v>
      </c>
      <c r="J3313" t="str">
        <f t="shared" si="1609"/>
        <v>20/06/2025</v>
      </c>
      <c r="K3313">
        <v>1.7</v>
      </c>
      <c r="L3313">
        <v>1.7</v>
      </c>
      <c r="M3313">
        <v>401</v>
      </c>
      <c r="N3313" t="str">
        <f t="shared" si="1610"/>
        <v>IOF/JUROS/DESP.FINANCEIRA</v>
      </c>
      <c r="O3313">
        <v>1.7</v>
      </c>
      <c r="R3313" t="str">
        <f t="shared" si="1602"/>
        <v>BANCO CORA (102)</v>
      </c>
      <c r="S3313">
        <v>1926</v>
      </c>
      <c r="T3313">
        <v>1462</v>
      </c>
      <c r="U3313" t="s">
        <v>19</v>
      </c>
    </row>
    <row r="3314" spans="1:21">
      <c r="A3314" t="str">
        <f t="shared" si="1603"/>
        <v>20/06/2025</v>
      </c>
      <c r="B3314" t="str">
        <f t="shared" si="1601"/>
        <v>SAÍDA</v>
      </c>
      <c r="C3314" t="str">
        <f t="shared" si="1604"/>
        <v>CONHECIMENTO</v>
      </c>
      <c r="D3314" t="str">
        <f t="shared" si="1605"/>
        <v>200625170</v>
      </c>
      <c r="E3314" t="str">
        <f t="shared" si="1611"/>
        <v>COM</v>
      </c>
      <c r="F3314" t="str">
        <f t="shared" si="1606"/>
        <v>CORA SOCIEDADE DE CREDITO, FINANCIAMENTO E INVESTIMENTO (20035)</v>
      </c>
      <c r="G3314" t="str">
        <f t="shared" si="1607"/>
        <v>TAXA BOLETO COMPENSADO</v>
      </c>
      <c r="H3314" t="str">
        <f t="shared" si="1600"/>
        <v>20/06/2025</v>
      </c>
      <c r="I3314" t="str">
        <f t="shared" si="1608"/>
        <v>20/06/2025</v>
      </c>
      <c r="J3314" t="str">
        <f t="shared" si="1609"/>
        <v>20/06/2025</v>
      </c>
      <c r="M3314">
        <v>401</v>
      </c>
      <c r="N3314" t="str">
        <f t="shared" si="1610"/>
        <v>IOF/JUROS/DESP.FINANCEIRA</v>
      </c>
      <c r="P3314">
        <v>1.7</v>
      </c>
      <c r="Q3314" t="str">
        <f>"CORA SOCIEDADE DE CREDITO, FINANCIAMENTO E INVESTIMENTO (20035)"</f>
        <v>CORA SOCIEDADE DE CREDITO, FINANCIAMENTO E INVESTIMENTO (20035)</v>
      </c>
      <c r="R3314" t="str">
        <f t="shared" si="1602"/>
        <v>BANCO CORA (102)</v>
      </c>
      <c r="S3314">
        <v>1926</v>
      </c>
      <c r="T3314">
        <v>1462</v>
      </c>
      <c r="U3314" t="s">
        <v>19</v>
      </c>
    </row>
    <row r="3315" spans="1:21">
      <c r="A3315" t="str">
        <f t="shared" si="1603"/>
        <v>20/06/2025</v>
      </c>
      <c r="B3315" t="str">
        <f t="shared" si="1601"/>
        <v>SAÍDA</v>
      </c>
      <c r="C3315" t="str">
        <f t="shared" si="1604"/>
        <v>CONHECIMENTO</v>
      </c>
      <c r="D3315" t="str">
        <f t="shared" si="1605"/>
        <v>200625170</v>
      </c>
      <c r="E3315" t="str">
        <f t="shared" si="1611"/>
        <v>COM</v>
      </c>
      <c r="F3315" t="str">
        <f t="shared" si="1606"/>
        <v>CORA SOCIEDADE DE CREDITO, FINANCIAMENTO E INVESTIMENTO (20035)</v>
      </c>
      <c r="G3315" t="str">
        <f t="shared" si="1607"/>
        <v>TAXA BOLETO COMPENSADO</v>
      </c>
      <c r="H3315" t="str">
        <f t="shared" si="1600"/>
        <v>20/06/2025</v>
      </c>
      <c r="I3315" t="str">
        <f t="shared" si="1608"/>
        <v>20/06/2025</v>
      </c>
      <c r="J3315" t="str">
        <f t="shared" si="1609"/>
        <v>20/06/2025</v>
      </c>
      <c r="K3315">
        <v>1.7</v>
      </c>
      <c r="L3315">
        <v>1.7</v>
      </c>
      <c r="M3315">
        <v>401</v>
      </c>
      <c r="N3315" t="str">
        <f t="shared" si="1610"/>
        <v>IOF/JUROS/DESP.FINANCEIRA</v>
      </c>
      <c r="O3315">
        <v>1.7</v>
      </c>
      <c r="R3315" t="str">
        <f t="shared" si="1602"/>
        <v>BANCO CORA (102)</v>
      </c>
      <c r="S3315">
        <v>1927</v>
      </c>
      <c r="T3315">
        <v>1463</v>
      </c>
      <c r="U3315" t="s">
        <v>19</v>
      </c>
    </row>
    <row r="3316" spans="1:21">
      <c r="A3316" t="str">
        <f t="shared" si="1603"/>
        <v>20/06/2025</v>
      </c>
      <c r="B3316" t="str">
        <f t="shared" si="1601"/>
        <v>SAÍDA</v>
      </c>
      <c r="C3316" t="str">
        <f t="shared" si="1604"/>
        <v>CONHECIMENTO</v>
      </c>
      <c r="D3316" t="str">
        <f t="shared" si="1605"/>
        <v>200625170</v>
      </c>
      <c r="E3316" t="str">
        <f t="shared" si="1611"/>
        <v>COM</v>
      </c>
      <c r="F3316" t="str">
        <f t="shared" si="1606"/>
        <v>CORA SOCIEDADE DE CREDITO, FINANCIAMENTO E INVESTIMENTO (20035)</v>
      </c>
      <c r="G3316" t="str">
        <f t="shared" si="1607"/>
        <v>TAXA BOLETO COMPENSADO</v>
      </c>
      <c r="H3316" t="str">
        <f t="shared" si="1600"/>
        <v>20/06/2025</v>
      </c>
      <c r="I3316" t="str">
        <f t="shared" si="1608"/>
        <v>20/06/2025</v>
      </c>
      <c r="J3316" t="str">
        <f t="shared" si="1609"/>
        <v>20/06/2025</v>
      </c>
      <c r="M3316">
        <v>401</v>
      </c>
      <c r="N3316" t="str">
        <f t="shared" si="1610"/>
        <v>IOF/JUROS/DESP.FINANCEIRA</v>
      </c>
      <c r="P3316">
        <v>1.7</v>
      </c>
      <c r="Q3316" t="str">
        <f>"CORA SOCIEDADE DE CREDITO, FINANCIAMENTO E INVESTIMENTO (20035)"</f>
        <v>CORA SOCIEDADE DE CREDITO, FINANCIAMENTO E INVESTIMENTO (20035)</v>
      </c>
      <c r="R3316" t="str">
        <f t="shared" si="1602"/>
        <v>BANCO CORA (102)</v>
      </c>
      <c r="S3316">
        <v>1927</v>
      </c>
      <c r="T3316">
        <v>1463</v>
      </c>
      <c r="U3316" t="s">
        <v>19</v>
      </c>
    </row>
    <row r="3317" spans="1:21">
      <c r="A3317" t="str">
        <f t="shared" si="1603"/>
        <v>20/06/2025</v>
      </c>
      <c r="B3317" t="str">
        <f t="shared" si="1601"/>
        <v>SAÍDA</v>
      </c>
      <c r="C3317" t="str">
        <f t="shared" si="1604"/>
        <v>CONHECIMENTO</v>
      </c>
      <c r="D3317" t="str">
        <f t="shared" si="1605"/>
        <v>200625170</v>
      </c>
      <c r="E3317" t="str">
        <f t="shared" si="1611"/>
        <v>COM</v>
      </c>
      <c r="F3317" t="str">
        <f t="shared" si="1606"/>
        <v>CORA SOCIEDADE DE CREDITO, FINANCIAMENTO E INVESTIMENTO (20035)</v>
      </c>
      <c r="G3317" t="str">
        <f t="shared" si="1607"/>
        <v>TAXA BOLETO COMPENSADO</v>
      </c>
      <c r="H3317" t="str">
        <f t="shared" si="1600"/>
        <v>20/06/2025</v>
      </c>
      <c r="I3317" t="str">
        <f t="shared" si="1608"/>
        <v>20/06/2025</v>
      </c>
      <c r="J3317" t="str">
        <f t="shared" si="1609"/>
        <v>20/06/2025</v>
      </c>
      <c r="K3317">
        <v>1.7</v>
      </c>
      <c r="L3317">
        <v>1.7</v>
      </c>
      <c r="M3317">
        <v>401</v>
      </c>
      <c r="N3317" t="str">
        <f t="shared" si="1610"/>
        <v>IOF/JUROS/DESP.FINANCEIRA</v>
      </c>
      <c r="O3317">
        <v>1.7</v>
      </c>
      <c r="R3317" t="str">
        <f t="shared" si="1602"/>
        <v>BANCO CORA (102)</v>
      </c>
      <c r="S3317">
        <v>1928</v>
      </c>
      <c r="T3317">
        <v>1464</v>
      </c>
      <c r="U3317" t="s">
        <v>19</v>
      </c>
    </row>
    <row r="3318" spans="1:21">
      <c r="A3318" t="str">
        <f t="shared" si="1603"/>
        <v>20/06/2025</v>
      </c>
      <c r="B3318" t="str">
        <f t="shared" si="1601"/>
        <v>SAÍDA</v>
      </c>
      <c r="C3318" t="str">
        <f t="shared" si="1604"/>
        <v>CONHECIMENTO</v>
      </c>
      <c r="D3318" t="str">
        <f t="shared" si="1605"/>
        <v>200625170</v>
      </c>
      <c r="E3318" t="str">
        <f t="shared" si="1611"/>
        <v>COM</v>
      </c>
      <c r="F3318" t="str">
        <f t="shared" si="1606"/>
        <v>CORA SOCIEDADE DE CREDITO, FINANCIAMENTO E INVESTIMENTO (20035)</v>
      </c>
      <c r="G3318" t="str">
        <f t="shared" si="1607"/>
        <v>TAXA BOLETO COMPENSADO</v>
      </c>
      <c r="H3318" t="str">
        <f t="shared" si="1600"/>
        <v>20/06/2025</v>
      </c>
      <c r="I3318" t="str">
        <f t="shared" si="1608"/>
        <v>20/06/2025</v>
      </c>
      <c r="J3318" t="str">
        <f t="shared" si="1609"/>
        <v>20/06/2025</v>
      </c>
      <c r="M3318">
        <v>401</v>
      </c>
      <c r="N3318" t="str">
        <f t="shared" si="1610"/>
        <v>IOF/JUROS/DESP.FINANCEIRA</v>
      </c>
      <c r="P3318">
        <v>1.7</v>
      </c>
      <c r="Q3318" t="str">
        <f>"CORA SOCIEDADE DE CREDITO, FINANCIAMENTO E INVESTIMENTO (20035)"</f>
        <v>CORA SOCIEDADE DE CREDITO, FINANCIAMENTO E INVESTIMENTO (20035)</v>
      </c>
      <c r="R3318" t="str">
        <f t="shared" si="1602"/>
        <v>BANCO CORA (102)</v>
      </c>
      <c r="S3318">
        <v>1928</v>
      </c>
      <c r="T3318">
        <v>1464</v>
      </c>
      <c r="U3318" t="s">
        <v>19</v>
      </c>
    </row>
    <row r="3319" spans="1:21">
      <c r="A3319" t="str">
        <f t="shared" si="1603"/>
        <v>20/06/2025</v>
      </c>
      <c r="B3319" t="str">
        <f t="shared" si="1601"/>
        <v>SAÍDA</v>
      </c>
      <c r="C3319" t="str">
        <f t="shared" si="1604"/>
        <v>CONHECIMENTO</v>
      </c>
      <c r="D3319" t="str">
        <f t="shared" si="1605"/>
        <v>200625170</v>
      </c>
      <c r="E3319" t="str">
        <f t="shared" si="1611"/>
        <v>COM</v>
      </c>
      <c r="F3319" t="str">
        <f t="shared" si="1606"/>
        <v>CORA SOCIEDADE DE CREDITO, FINANCIAMENTO E INVESTIMENTO (20035)</v>
      </c>
      <c r="G3319" t="str">
        <f t="shared" si="1607"/>
        <v>TAXA BOLETO COMPENSADO</v>
      </c>
      <c r="H3319" t="str">
        <f t="shared" si="1600"/>
        <v>20/06/2025</v>
      </c>
      <c r="I3319" t="str">
        <f t="shared" si="1608"/>
        <v>20/06/2025</v>
      </c>
      <c r="J3319" t="str">
        <f t="shared" si="1609"/>
        <v>20/06/2025</v>
      </c>
      <c r="K3319">
        <v>1.7</v>
      </c>
      <c r="L3319">
        <v>1.7</v>
      </c>
      <c r="M3319">
        <v>401</v>
      </c>
      <c r="N3319" t="str">
        <f t="shared" si="1610"/>
        <v>IOF/JUROS/DESP.FINANCEIRA</v>
      </c>
      <c r="O3319">
        <v>1.7</v>
      </c>
      <c r="R3319" t="str">
        <f t="shared" si="1602"/>
        <v>BANCO CORA (102)</v>
      </c>
      <c r="S3319">
        <v>1929</v>
      </c>
      <c r="T3319">
        <v>1465</v>
      </c>
      <c r="U3319" t="s">
        <v>19</v>
      </c>
    </row>
    <row r="3320" spans="1:21">
      <c r="A3320" t="str">
        <f t="shared" si="1603"/>
        <v>20/06/2025</v>
      </c>
      <c r="B3320" t="str">
        <f t="shared" si="1601"/>
        <v>SAÍDA</v>
      </c>
      <c r="C3320" t="str">
        <f t="shared" si="1604"/>
        <v>CONHECIMENTO</v>
      </c>
      <c r="D3320" t="str">
        <f t="shared" si="1605"/>
        <v>200625170</v>
      </c>
      <c r="E3320" t="str">
        <f t="shared" si="1611"/>
        <v>COM</v>
      </c>
      <c r="F3320" t="str">
        <f t="shared" si="1606"/>
        <v>CORA SOCIEDADE DE CREDITO, FINANCIAMENTO E INVESTIMENTO (20035)</v>
      </c>
      <c r="G3320" t="str">
        <f t="shared" si="1607"/>
        <v>TAXA BOLETO COMPENSADO</v>
      </c>
      <c r="H3320" t="str">
        <f t="shared" si="1600"/>
        <v>20/06/2025</v>
      </c>
      <c r="I3320" t="str">
        <f t="shared" si="1608"/>
        <v>20/06/2025</v>
      </c>
      <c r="J3320" t="str">
        <f t="shared" si="1609"/>
        <v>20/06/2025</v>
      </c>
      <c r="M3320">
        <v>401</v>
      </c>
      <c r="N3320" t="str">
        <f t="shared" si="1610"/>
        <v>IOF/JUROS/DESP.FINANCEIRA</v>
      </c>
      <c r="P3320">
        <v>1.7</v>
      </c>
      <c r="Q3320" t="str">
        <f>"CORA SOCIEDADE DE CREDITO, FINANCIAMENTO E INVESTIMENTO (20035)"</f>
        <v>CORA SOCIEDADE DE CREDITO, FINANCIAMENTO E INVESTIMENTO (20035)</v>
      </c>
      <c r="R3320" t="str">
        <f t="shared" si="1602"/>
        <v>BANCO CORA (102)</v>
      </c>
      <c r="S3320">
        <v>1929</v>
      </c>
      <c r="T3320">
        <v>1465</v>
      </c>
      <c r="U3320" t="s">
        <v>19</v>
      </c>
    </row>
    <row r="3321" spans="1:21">
      <c r="A3321" t="str">
        <f t="shared" si="1603"/>
        <v>20/06/2025</v>
      </c>
      <c r="B3321" t="str">
        <f t="shared" si="1601"/>
        <v>SAÍDA</v>
      </c>
      <c r="C3321" t="str">
        <f t="shared" si="1604"/>
        <v>CONHECIMENTO</v>
      </c>
      <c r="D3321" t="str">
        <f t="shared" si="1605"/>
        <v>200625170</v>
      </c>
      <c r="E3321" t="str">
        <f t="shared" si="1611"/>
        <v>COM</v>
      </c>
      <c r="F3321" t="str">
        <f t="shared" si="1606"/>
        <v>CORA SOCIEDADE DE CREDITO, FINANCIAMENTO E INVESTIMENTO (20035)</v>
      </c>
      <c r="G3321" t="str">
        <f t="shared" si="1607"/>
        <v>TAXA BOLETO COMPENSADO</v>
      </c>
      <c r="H3321" t="str">
        <f t="shared" si="1600"/>
        <v>20/06/2025</v>
      </c>
      <c r="I3321" t="str">
        <f t="shared" si="1608"/>
        <v>20/06/2025</v>
      </c>
      <c r="J3321" t="str">
        <f t="shared" si="1609"/>
        <v>20/06/2025</v>
      </c>
      <c r="K3321">
        <v>1.7</v>
      </c>
      <c r="L3321">
        <v>1.7</v>
      </c>
      <c r="M3321">
        <v>401</v>
      </c>
      <c r="N3321" t="str">
        <f t="shared" si="1610"/>
        <v>IOF/JUROS/DESP.FINANCEIRA</v>
      </c>
      <c r="O3321">
        <v>1.7</v>
      </c>
      <c r="R3321" t="str">
        <f t="shared" si="1602"/>
        <v>BANCO CORA (102)</v>
      </c>
      <c r="S3321">
        <v>1930</v>
      </c>
      <c r="T3321">
        <v>1466</v>
      </c>
      <c r="U3321" t="s">
        <v>19</v>
      </c>
    </row>
    <row r="3322" spans="1:21">
      <c r="A3322" t="str">
        <f t="shared" si="1603"/>
        <v>20/06/2025</v>
      </c>
      <c r="B3322" t="str">
        <f t="shared" si="1601"/>
        <v>SAÍDA</v>
      </c>
      <c r="C3322" t="str">
        <f t="shared" si="1604"/>
        <v>CONHECIMENTO</v>
      </c>
      <c r="D3322" t="str">
        <f t="shared" si="1605"/>
        <v>200625170</v>
      </c>
      <c r="E3322" t="str">
        <f t="shared" si="1611"/>
        <v>COM</v>
      </c>
      <c r="F3322" t="str">
        <f t="shared" si="1606"/>
        <v>CORA SOCIEDADE DE CREDITO, FINANCIAMENTO E INVESTIMENTO (20035)</v>
      </c>
      <c r="G3322" t="str">
        <f t="shared" si="1607"/>
        <v>TAXA BOLETO COMPENSADO</v>
      </c>
      <c r="H3322" t="str">
        <f t="shared" si="1600"/>
        <v>20/06/2025</v>
      </c>
      <c r="I3322" t="str">
        <f t="shared" si="1608"/>
        <v>20/06/2025</v>
      </c>
      <c r="J3322" t="str">
        <f t="shared" si="1609"/>
        <v>20/06/2025</v>
      </c>
      <c r="M3322">
        <v>401</v>
      </c>
      <c r="N3322" t="str">
        <f t="shared" si="1610"/>
        <v>IOF/JUROS/DESP.FINANCEIRA</v>
      </c>
      <c r="P3322">
        <v>1.7</v>
      </c>
      <c r="Q3322" t="str">
        <f>"CORA SOCIEDADE DE CREDITO, FINANCIAMENTO E INVESTIMENTO (20035)"</f>
        <v>CORA SOCIEDADE DE CREDITO, FINANCIAMENTO E INVESTIMENTO (20035)</v>
      </c>
      <c r="R3322" t="str">
        <f t="shared" si="1602"/>
        <v>BANCO CORA (102)</v>
      </c>
      <c r="S3322">
        <v>1930</v>
      </c>
      <c r="T3322">
        <v>1466</v>
      </c>
      <c r="U3322" t="s">
        <v>19</v>
      </c>
    </row>
    <row r="3323" spans="1:21">
      <c r="A3323" t="str">
        <f>("24/06/2025")</f>
        <v>24/06/2025</v>
      </c>
      <c r="B3323" t="str">
        <f>"ENTRADA"</f>
        <v>ENTRADA</v>
      </c>
      <c r="C3323" t="str">
        <f t="shared" ref="C3323:C3354" si="1612">"NFSE"</f>
        <v>NFSE</v>
      </c>
      <c r="D3323" t="str">
        <f>"3091"</f>
        <v>3091</v>
      </c>
      <c r="E3323" t="str">
        <f t="shared" si="1611"/>
        <v>COM</v>
      </c>
      <c r="F3323" t="str">
        <f>"PAGMENOS - LJ 657 (10136)"</f>
        <v>PAGMENOS - LJ 657 (10136)</v>
      </c>
      <c r="G3323" t="str">
        <f>"Serv.Prest. 02/06/2025 a 08/06/2025 - RPS: 860 - NFSe: 3091"</f>
        <v>Serv.Prest. 02/06/2025 a 08/06/2025 - RPS: 860 - NFSe: 3091</v>
      </c>
      <c r="H3323" t="str">
        <f t="shared" si="1600"/>
        <v>20/06/2025</v>
      </c>
      <c r="I3323" t="str">
        <f>("10/06/2025")</f>
        <v>10/06/2025</v>
      </c>
      <c r="J3323" t="str">
        <f>("24/06/2025")</f>
        <v>24/06/2025</v>
      </c>
      <c r="K3323">
        <v>596.6</v>
      </c>
      <c r="L3323">
        <v>596.6</v>
      </c>
      <c r="M3323">
        <v>303</v>
      </c>
      <c r="N3323" t="str">
        <f t="shared" ref="N3323:N3354" si="1613">"RECEITAS COM ENTREGAS"</f>
        <v>RECEITAS COM ENTREGAS</v>
      </c>
      <c r="O3323">
        <v>596.6</v>
      </c>
      <c r="R3323" t="str">
        <f t="shared" ref="R3323:R3354" si="1614">"RECEITAS COM ENTREGAS (303)"</f>
        <v>RECEITAS COM ENTREGAS (303)</v>
      </c>
      <c r="S3323">
        <v>1974</v>
      </c>
      <c r="T3323">
        <v>1346</v>
      </c>
      <c r="U3323" t="s">
        <v>19</v>
      </c>
    </row>
    <row r="3324" spans="1:21">
      <c r="A3324" t="str">
        <f>("24/06/2025")</f>
        <v>24/06/2025</v>
      </c>
      <c r="B3324" t="str">
        <f t="shared" ref="B3324:B3387" si="1615">"ENTRADA"</f>
        <v>ENTRADA</v>
      </c>
      <c r="C3324" t="str">
        <f t="shared" si="1612"/>
        <v>NFSE</v>
      </c>
      <c r="D3324" t="str">
        <f>"3091"</f>
        <v>3091</v>
      </c>
      <c r="E3324" t="str">
        <f t="shared" si="1611"/>
        <v>COM</v>
      </c>
      <c r="F3324" t="str">
        <f>"PAGMENOS - LJ 657 (10136)"</f>
        <v>PAGMENOS - LJ 657 (10136)</v>
      </c>
      <c r="G3324" t="str">
        <f>"Serv.Prest. 02/06/2025 a 08/06/2025 - RPS: 860 - NFSe: 3091"</f>
        <v>Serv.Prest. 02/06/2025 a 08/06/2025 - RPS: 860 - NFSe: 3091</v>
      </c>
      <c r="H3324" t="str">
        <f t="shared" si="1600"/>
        <v>20/06/2025</v>
      </c>
      <c r="I3324" t="str">
        <f>("10/06/2025")</f>
        <v>10/06/2025</v>
      </c>
      <c r="J3324" t="str">
        <f>("24/06/2025")</f>
        <v>24/06/2025</v>
      </c>
      <c r="M3324">
        <v>303</v>
      </c>
      <c r="N3324" t="str">
        <f t="shared" si="1613"/>
        <v>RECEITAS COM ENTREGAS</v>
      </c>
      <c r="P3324">
        <v>596.6</v>
      </c>
      <c r="Q3324" t="str">
        <f>"PAGMENOS - LJ 657 (10136)"</f>
        <v>PAGMENOS - LJ 657 (10136)</v>
      </c>
      <c r="R3324" t="str">
        <f t="shared" si="1614"/>
        <v>RECEITAS COM ENTREGAS (303)</v>
      </c>
      <c r="S3324">
        <v>1974</v>
      </c>
      <c r="T3324">
        <v>1346</v>
      </c>
      <c r="U3324" t="s">
        <v>19</v>
      </c>
    </row>
    <row r="3325" spans="1:21">
      <c r="A3325" t="str">
        <f>("24/06/2025")</f>
        <v>24/06/2025</v>
      </c>
      <c r="B3325" t="str">
        <f t="shared" si="1615"/>
        <v>ENTRADA</v>
      </c>
      <c r="C3325" t="str">
        <f t="shared" si="1612"/>
        <v>NFSE</v>
      </c>
      <c r="D3325" t="str">
        <f>"3092"</f>
        <v>3092</v>
      </c>
      <c r="E3325" t="str">
        <f t="shared" si="1611"/>
        <v>COM</v>
      </c>
      <c r="F3325" t="str">
        <f>"PAGMENOS - LJ 608 (10135)"</f>
        <v>PAGMENOS - LJ 608 (10135)</v>
      </c>
      <c r="G3325" t="str">
        <f>"Serv.Prest. 02/06/2025 a 08/06/2025 - RPS: 861 - NFSe: 3092"</f>
        <v>Serv.Prest. 02/06/2025 a 08/06/2025 - RPS: 861 - NFSe: 3092</v>
      </c>
      <c r="H3325" t="str">
        <f t="shared" si="1600"/>
        <v>20/06/2025</v>
      </c>
      <c r="I3325" t="str">
        <f>("10/06/2025")</f>
        <v>10/06/2025</v>
      </c>
      <c r="J3325" t="str">
        <f>("24/06/2025")</f>
        <v>24/06/2025</v>
      </c>
      <c r="K3325">
        <v>280.20999999999998</v>
      </c>
      <c r="L3325">
        <v>280.20999999999998</v>
      </c>
      <c r="M3325">
        <v>303</v>
      </c>
      <c r="N3325" t="str">
        <f t="shared" si="1613"/>
        <v>RECEITAS COM ENTREGAS</v>
      </c>
      <c r="O3325">
        <v>280.20999999999998</v>
      </c>
      <c r="R3325" t="str">
        <f t="shared" si="1614"/>
        <v>RECEITAS COM ENTREGAS (303)</v>
      </c>
      <c r="S3325">
        <v>1975</v>
      </c>
      <c r="T3325">
        <v>1347</v>
      </c>
      <c r="U3325" t="s">
        <v>19</v>
      </c>
    </row>
    <row r="3326" spans="1:21">
      <c r="A3326" t="str">
        <f>("24/06/2025")</f>
        <v>24/06/2025</v>
      </c>
      <c r="B3326" t="str">
        <f t="shared" si="1615"/>
        <v>ENTRADA</v>
      </c>
      <c r="C3326" t="str">
        <f t="shared" si="1612"/>
        <v>NFSE</v>
      </c>
      <c r="D3326" t="str">
        <f>"3092"</f>
        <v>3092</v>
      </c>
      <c r="E3326" t="str">
        <f t="shared" si="1611"/>
        <v>COM</v>
      </c>
      <c r="F3326" t="str">
        <f>"PAGMENOS - LJ 608 (10135)"</f>
        <v>PAGMENOS - LJ 608 (10135)</v>
      </c>
      <c r="G3326" t="str">
        <f>"Serv.Prest. 02/06/2025 a 08/06/2025 - RPS: 861 - NFSe: 3092"</f>
        <v>Serv.Prest. 02/06/2025 a 08/06/2025 - RPS: 861 - NFSe: 3092</v>
      </c>
      <c r="H3326" t="str">
        <f t="shared" si="1600"/>
        <v>20/06/2025</v>
      </c>
      <c r="I3326" t="str">
        <f>("10/06/2025")</f>
        <v>10/06/2025</v>
      </c>
      <c r="J3326" t="str">
        <f>("24/06/2025")</f>
        <v>24/06/2025</v>
      </c>
      <c r="M3326">
        <v>303</v>
      </c>
      <c r="N3326" t="str">
        <f t="shared" si="1613"/>
        <v>RECEITAS COM ENTREGAS</v>
      </c>
      <c r="P3326">
        <v>280.20999999999998</v>
      </c>
      <c r="Q3326" t="str">
        <f>"PAGMENOS - LJ 608 (10135)"</f>
        <v>PAGMENOS - LJ 608 (10135)</v>
      </c>
      <c r="R3326" t="str">
        <f t="shared" si="1614"/>
        <v>RECEITAS COM ENTREGAS (303)</v>
      </c>
      <c r="S3326">
        <v>1975</v>
      </c>
      <c r="T3326">
        <v>1347</v>
      </c>
      <c r="U3326" t="s">
        <v>19</v>
      </c>
    </row>
    <row r="3327" spans="1:21">
      <c r="A3327" t="str">
        <f t="shared" ref="A3327:A3358" si="1616">("25/06/2025")</f>
        <v>25/06/2025</v>
      </c>
      <c r="B3327" t="str">
        <f t="shared" si="1615"/>
        <v>ENTRADA</v>
      </c>
      <c r="C3327" t="str">
        <f t="shared" si="1612"/>
        <v>NFSE</v>
      </c>
      <c r="D3327" t="str">
        <f t="shared" ref="D3327:D3335" si="1617">"3112"</f>
        <v>3112</v>
      </c>
      <c r="E3327" t="str">
        <f t="shared" si="1611"/>
        <v>COM</v>
      </c>
      <c r="F3327" t="str">
        <f t="shared" ref="F3327:F3335" si="1618">"FARMÁCIA INDIANA LJ 85 (10128)"</f>
        <v>FARMÁCIA INDIANA LJ 85 (10128)</v>
      </c>
      <c r="G3327" t="str">
        <f t="shared" ref="G3327:G3335" si="1619">"Serv.Prest. 09/06/2025 a 15/06/2025 - RPS: 881 - NFSe: 3112"</f>
        <v>Serv.Prest. 09/06/2025 a 15/06/2025 - RPS: 881 - NFSe: 3112</v>
      </c>
      <c r="H3327" t="str">
        <f t="shared" ref="H3327:H3358" si="1620">("25/06/2025")</f>
        <v>25/06/2025</v>
      </c>
      <c r="I3327" t="str">
        <f t="shared" ref="I3327:I3347" si="1621">("16/06/2025")</f>
        <v>16/06/2025</v>
      </c>
      <c r="J3327" t="str">
        <f t="shared" ref="J3327:J3358" si="1622">("25/06/2025")</f>
        <v>25/06/2025</v>
      </c>
      <c r="K3327">
        <v>1244.2</v>
      </c>
      <c r="L3327">
        <v>1244.2</v>
      </c>
      <c r="M3327">
        <v>303</v>
      </c>
      <c r="N3327" t="str">
        <f t="shared" si="1613"/>
        <v>RECEITAS COM ENTREGAS</v>
      </c>
      <c r="O3327">
        <v>1244.2</v>
      </c>
      <c r="R3327" t="str">
        <f t="shared" si="1614"/>
        <v>RECEITAS COM ENTREGAS (303)</v>
      </c>
      <c r="S3327">
        <v>1891</v>
      </c>
      <c r="T3327">
        <v>1396</v>
      </c>
      <c r="U3327" t="s">
        <v>19</v>
      </c>
    </row>
    <row r="3328" spans="1:21">
      <c r="A3328" t="str">
        <f t="shared" si="1616"/>
        <v>25/06/2025</v>
      </c>
      <c r="B3328" t="str">
        <f t="shared" si="1615"/>
        <v>ENTRADA</v>
      </c>
      <c r="C3328" t="str">
        <f t="shared" si="1612"/>
        <v>NFSE</v>
      </c>
      <c r="D3328" t="str">
        <f t="shared" si="1617"/>
        <v>3112</v>
      </c>
      <c r="E3328" t="str">
        <f t="shared" si="1611"/>
        <v>COM</v>
      </c>
      <c r="F3328" t="str">
        <f t="shared" si="1618"/>
        <v>FARMÁCIA INDIANA LJ 85 (10128)</v>
      </c>
      <c r="G3328" t="str">
        <f t="shared" si="1619"/>
        <v>Serv.Prest. 09/06/2025 a 15/06/2025 - RPS: 881 - NFSe: 3112</v>
      </c>
      <c r="H3328" t="str">
        <f t="shared" si="1620"/>
        <v>25/06/2025</v>
      </c>
      <c r="I3328" t="str">
        <f t="shared" si="1621"/>
        <v>16/06/2025</v>
      </c>
      <c r="J3328" t="str">
        <f t="shared" si="1622"/>
        <v>25/06/2025</v>
      </c>
      <c r="M3328">
        <v>303</v>
      </c>
      <c r="N3328" t="str">
        <f t="shared" si="1613"/>
        <v>RECEITAS COM ENTREGAS</v>
      </c>
      <c r="P3328">
        <v>160.87</v>
      </c>
      <c r="Q3328" t="str">
        <f>"FARMÁCIA INDIANA LJ 119 (10053)"</f>
        <v>FARMÁCIA INDIANA LJ 119 (10053)</v>
      </c>
      <c r="R3328" t="str">
        <f t="shared" si="1614"/>
        <v>RECEITAS COM ENTREGAS (303)</v>
      </c>
      <c r="S3328">
        <v>1891</v>
      </c>
      <c r="T3328">
        <v>1396</v>
      </c>
      <c r="U3328" t="s">
        <v>19</v>
      </c>
    </row>
    <row r="3329" spans="1:21">
      <c r="A3329" t="str">
        <f t="shared" si="1616"/>
        <v>25/06/2025</v>
      </c>
      <c r="B3329" t="str">
        <f t="shared" si="1615"/>
        <v>ENTRADA</v>
      </c>
      <c r="C3329" t="str">
        <f t="shared" si="1612"/>
        <v>NFSE</v>
      </c>
      <c r="D3329" t="str">
        <f t="shared" si="1617"/>
        <v>3112</v>
      </c>
      <c r="E3329" t="str">
        <f t="shared" si="1611"/>
        <v>COM</v>
      </c>
      <c r="F3329" t="str">
        <f t="shared" si="1618"/>
        <v>FARMÁCIA INDIANA LJ 85 (10128)</v>
      </c>
      <c r="G3329" t="str">
        <f t="shared" si="1619"/>
        <v>Serv.Prest. 09/06/2025 a 15/06/2025 - RPS: 881 - NFSe: 3112</v>
      </c>
      <c r="H3329" t="str">
        <f t="shared" si="1620"/>
        <v>25/06/2025</v>
      </c>
      <c r="I3329" t="str">
        <f t="shared" si="1621"/>
        <v>16/06/2025</v>
      </c>
      <c r="J3329" t="str">
        <f t="shared" si="1622"/>
        <v>25/06/2025</v>
      </c>
      <c r="M3329">
        <v>303</v>
      </c>
      <c r="N3329" t="str">
        <f t="shared" si="1613"/>
        <v>RECEITAS COM ENTREGAS</v>
      </c>
      <c r="P3329">
        <v>213.63</v>
      </c>
      <c r="Q3329" t="str">
        <f>"FARMÁCIA INDIANA LJ 163 (10072)"</f>
        <v>FARMÁCIA INDIANA LJ 163 (10072)</v>
      </c>
      <c r="R3329" t="str">
        <f t="shared" si="1614"/>
        <v>RECEITAS COM ENTREGAS (303)</v>
      </c>
      <c r="S3329">
        <v>1891</v>
      </c>
      <c r="T3329">
        <v>1396</v>
      </c>
      <c r="U3329" t="s">
        <v>19</v>
      </c>
    </row>
    <row r="3330" spans="1:21">
      <c r="A3330" t="str">
        <f t="shared" si="1616"/>
        <v>25/06/2025</v>
      </c>
      <c r="B3330" t="str">
        <f t="shared" si="1615"/>
        <v>ENTRADA</v>
      </c>
      <c r="C3330" t="str">
        <f t="shared" si="1612"/>
        <v>NFSE</v>
      </c>
      <c r="D3330" t="str">
        <f t="shared" si="1617"/>
        <v>3112</v>
      </c>
      <c r="E3330" t="str">
        <f t="shared" si="1611"/>
        <v>COM</v>
      </c>
      <c r="F3330" t="str">
        <f t="shared" si="1618"/>
        <v>FARMÁCIA INDIANA LJ 85 (10128)</v>
      </c>
      <c r="G3330" t="str">
        <f t="shared" si="1619"/>
        <v>Serv.Prest. 09/06/2025 a 15/06/2025 - RPS: 881 - NFSe: 3112</v>
      </c>
      <c r="H3330" t="str">
        <f t="shared" si="1620"/>
        <v>25/06/2025</v>
      </c>
      <c r="I3330" t="str">
        <f t="shared" si="1621"/>
        <v>16/06/2025</v>
      </c>
      <c r="J3330" t="str">
        <f t="shared" si="1622"/>
        <v>25/06/2025</v>
      </c>
      <c r="M3330">
        <v>303</v>
      </c>
      <c r="N3330" t="str">
        <f t="shared" si="1613"/>
        <v>RECEITAS COM ENTREGAS</v>
      </c>
      <c r="P3330">
        <v>182.15</v>
      </c>
      <c r="Q3330" t="str">
        <f>"FARMÁCIA INDIANA LJ 181 (10078)"</f>
        <v>FARMÁCIA INDIANA LJ 181 (10078)</v>
      </c>
      <c r="R3330" t="str">
        <f t="shared" si="1614"/>
        <v>RECEITAS COM ENTREGAS (303)</v>
      </c>
      <c r="S3330">
        <v>1891</v>
      </c>
      <c r="T3330">
        <v>1396</v>
      </c>
      <c r="U3330" t="s">
        <v>19</v>
      </c>
    </row>
    <row r="3331" spans="1:21">
      <c r="A3331" t="str">
        <f t="shared" si="1616"/>
        <v>25/06/2025</v>
      </c>
      <c r="B3331" t="str">
        <f t="shared" si="1615"/>
        <v>ENTRADA</v>
      </c>
      <c r="C3331" t="str">
        <f t="shared" si="1612"/>
        <v>NFSE</v>
      </c>
      <c r="D3331" t="str">
        <f t="shared" si="1617"/>
        <v>3112</v>
      </c>
      <c r="E3331" t="str">
        <f t="shared" si="1611"/>
        <v>COM</v>
      </c>
      <c r="F3331" t="str">
        <f t="shared" si="1618"/>
        <v>FARMÁCIA INDIANA LJ 85 (10128)</v>
      </c>
      <c r="G3331" t="str">
        <f t="shared" si="1619"/>
        <v>Serv.Prest. 09/06/2025 a 15/06/2025 - RPS: 881 - NFSe: 3112</v>
      </c>
      <c r="H3331" t="str">
        <f t="shared" si="1620"/>
        <v>25/06/2025</v>
      </c>
      <c r="I3331" t="str">
        <f t="shared" si="1621"/>
        <v>16/06/2025</v>
      </c>
      <c r="J3331" t="str">
        <f t="shared" si="1622"/>
        <v>25/06/2025</v>
      </c>
      <c r="M3331">
        <v>303</v>
      </c>
      <c r="N3331" t="str">
        <f t="shared" si="1613"/>
        <v>RECEITAS COM ENTREGAS</v>
      </c>
      <c r="P3331">
        <v>161.75</v>
      </c>
      <c r="Q3331" t="str">
        <f>"FARMÁCIA INDIANA LJ 221 (10093)"</f>
        <v>FARMÁCIA INDIANA LJ 221 (10093)</v>
      </c>
      <c r="R3331" t="str">
        <f t="shared" si="1614"/>
        <v>RECEITAS COM ENTREGAS (303)</v>
      </c>
      <c r="S3331">
        <v>1891</v>
      </c>
      <c r="T3331">
        <v>1396</v>
      </c>
      <c r="U3331" t="s">
        <v>19</v>
      </c>
    </row>
    <row r="3332" spans="1:21">
      <c r="A3332" t="str">
        <f t="shared" si="1616"/>
        <v>25/06/2025</v>
      </c>
      <c r="B3332" t="str">
        <f t="shared" si="1615"/>
        <v>ENTRADA</v>
      </c>
      <c r="C3332" t="str">
        <f t="shared" si="1612"/>
        <v>NFSE</v>
      </c>
      <c r="D3332" t="str">
        <f t="shared" si="1617"/>
        <v>3112</v>
      </c>
      <c r="E3332" t="str">
        <f t="shared" si="1611"/>
        <v>COM</v>
      </c>
      <c r="F3332" t="str">
        <f t="shared" si="1618"/>
        <v>FARMÁCIA INDIANA LJ 85 (10128)</v>
      </c>
      <c r="G3332" t="str">
        <f t="shared" si="1619"/>
        <v>Serv.Prest. 09/06/2025 a 15/06/2025 - RPS: 881 - NFSe: 3112</v>
      </c>
      <c r="H3332" t="str">
        <f t="shared" si="1620"/>
        <v>25/06/2025</v>
      </c>
      <c r="I3332" t="str">
        <f t="shared" si="1621"/>
        <v>16/06/2025</v>
      </c>
      <c r="J3332" t="str">
        <f t="shared" si="1622"/>
        <v>25/06/2025</v>
      </c>
      <c r="M3332">
        <v>303</v>
      </c>
      <c r="N3332" t="str">
        <f t="shared" si="1613"/>
        <v>RECEITAS COM ENTREGAS</v>
      </c>
      <c r="P3332">
        <v>181.28</v>
      </c>
      <c r="Q3332" t="str">
        <f>"FARMÁCIA INDIANA LJ 243 (10142)"</f>
        <v>FARMÁCIA INDIANA LJ 243 (10142)</v>
      </c>
      <c r="R3332" t="str">
        <f t="shared" si="1614"/>
        <v>RECEITAS COM ENTREGAS (303)</v>
      </c>
      <c r="S3332">
        <v>1891</v>
      </c>
      <c r="T3332">
        <v>1396</v>
      </c>
      <c r="U3332" t="s">
        <v>19</v>
      </c>
    </row>
    <row r="3333" spans="1:21">
      <c r="A3333" t="str">
        <f t="shared" si="1616"/>
        <v>25/06/2025</v>
      </c>
      <c r="B3333" t="str">
        <f t="shared" si="1615"/>
        <v>ENTRADA</v>
      </c>
      <c r="C3333" t="str">
        <f t="shared" si="1612"/>
        <v>NFSE</v>
      </c>
      <c r="D3333" t="str">
        <f t="shared" si="1617"/>
        <v>3112</v>
      </c>
      <c r="E3333" t="str">
        <f t="shared" si="1611"/>
        <v>COM</v>
      </c>
      <c r="F3333" t="str">
        <f t="shared" si="1618"/>
        <v>FARMÁCIA INDIANA LJ 85 (10128)</v>
      </c>
      <c r="G3333" t="str">
        <f t="shared" si="1619"/>
        <v>Serv.Prest. 09/06/2025 a 15/06/2025 - RPS: 881 - NFSe: 3112</v>
      </c>
      <c r="H3333" t="str">
        <f t="shared" si="1620"/>
        <v>25/06/2025</v>
      </c>
      <c r="I3333" t="str">
        <f t="shared" si="1621"/>
        <v>16/06/2025</v>
      </c>
      <c r="J3333" t="str">
        <f t="shared" si="1622"/>
        <v>25/06/2025</v>
      </c>
      <c r="M3333">
        <v>303</v>
      </c>
      <c r="N3333" t="str">
        <f t="shared" si="1613"/>
        <v>RECEITAS COM ENTREGAS</v>
      </c>
      <c r="P3333">
        <v>86.1</v>
      </c>
      <c r="Q3333" t="str">
        <f>"FARMÁCIA INDIANA LJ 211 (10168)"</f>
        <v>FARMÁCIA INDIANA LJ 211 (10168)</v>
      </c>
      <c r="R3333" t="str">
        <f t="shared" si="1614"/>
        <v>RECEITAS COM ENTREGAS (303)</v>
      </c>
      <c r="S3333">
        <v>1891</v>
      </c>
      <c r="T3333">
        <v>1396</v>
      </c>
      <c r="U3333" t="s">
        <v>19</v>
      </c>
    </row>
    <row r="3334" spans="1:21">
      <c r="A3334" t="str">
        <f t="shared" si="1616"/>
        <v>25/06/2025</v>
      </c>
      <c r="B3334" t="str">
        <f t="shared" si="1615"/>
        <v>ENTRADA</v>
      </c>
      <c r="C3334" t="str">
        <f t="shared" si="1612"/>
        <v>NFSE</v>
      </c>
      <c r="D3334" t="str">
        <f t="shared" si="1617"/>
        <v>3112</v>
      </c>
      <c r="E3334" t="str">
        <f t="shared" si="1611"/>
        <v>COM</v>
      </c>
      <c r="F3334" t="str">
        <f t="shared" si="1618"/>
        <v>FARMÁCIA INDIANA LJ 85 (10128)</v>
      </c>
      <c r="G3334" t="str">
        <f t="shared" si="1619"/>
        <v>Serv.Prest. 09/06/2025 a 15/06/2025 - RPS: 881 - NFSe: 3112</v>
      </c>
      <c r="H3334" t="str">
        <f t="shared" si="1620"/>
        <v>25/06/2025</v>
      </c>
      <c r="I3334" t="str">
        <f t="shared" si="1621"/>
        <v>16/06/2025</v>
      </c>
      <c r="J3334" t="str">
        <f t="shared" si="1622"/>
        <v>25/06/2025</v>
      </c>
      <c r="M3334">
        <v>303</v>
      </c>
      <c r="N3334" t="str">
        <f t="shared" si="1613"/>
        <v>RECEITAS COM ENTREGAS</v>
      </c>
      <c r="P3334">
        <v>86.1</v>
      </c>
      <c r="Q3334" t="str">
        <f>"FARMÁCIA INDIANA LJ 236 (10169)"</f>
        <v>FARMÁCIA INDIANA LJ 236 (10169)</v>
      </c>
      <c r="R3334" t="str">
        <f t="shared" si="1614"/>
        <v>RECEITAS COM ENTREGAS (303)</v>
      </c>
      <c r="S3334">
        <v>1891</v>
      </c>
      <c r="T3334">
        <v>1396</v>
      </c>
      <c r="U3334" t="s">
        <v>19</v>
      </c>
    </row>
    <row r="3335" spans="1:21">
      <c r="A3335" t="str">
        <f t="shared" si="1616"/>
        <v>25/06/2025</v>
      </c>
      <c r="B3335" t="str">
        <f t="shared" si="1615"/>
        <v>ENTRADA</v>
      </c>
      <c r="C3335" t="str">
        <f t="shared" si="1612"/>
        <v>NFSE</v>
      </c>
      <c r="D3335" t="str">
        <f t="shared" si="1617"/>
        <v>3112</v>
      </c>
      <c r="E3335" t="str">
        <f t="shared" si="1611"/>
        <v>COM</v>
      </c>
      <c r="F3335" t="str">
        <f t="shared" si="1618"/>
        <v>FARMÁCIA INDIANA LJ 85 (10128)</v>
      </c>
      <c r="G3335" t="str">
        <f t="shared" si="1619"/>
        <v>Serv.Prest. 09/06/2025 a 15/06/2025 - RPS: 881 - NFSe: 3112</v>
      </c>
      <c r="H3335" t="str">
        <f t="shared" si="1620"/>
        <v>25/06/2025</v>
      </c>
      <c r="I3335" t="str">
        <f t="shared" si="1621"/>
        <v>16/06/2025</v>
      </c>
      <c r="J3335" t="str">
        <f t="shared" si="1622"/>
        <v>25/06/2025</v>
      </c>
      <c r="M3335">
        <v>303</v>
      </c>
      <c r="N3335" t="str">
        <f t="shared" si="1613"/>
        <v>RECEITAS COM ENTREGAS</v>
      </c>
      <c r="P3335">
        <v>172.32</v>
      </c>
      <c r="Q3335" t="str">
        <f>"FARMÁCIA INDIANA LJ 188 (10176)"</f>
        <v>FARMÁCIA INDIANA LJ 188 (10176)</v>
      </c>
      <c r="R3335" t="str">
        <f t="shared" si="1614"/>
        <v>RECEITAS COM ENTREGAS (303)</v>
      </c>
      <c r="S3335">
        <v>1891</v>
      </c>
      <c r="T3335">
        <v>1396</v>
      </c>
      <c r="U3335" t="s">
        <v>19</v>
      </c>
    </row>
    <row r="3336" spans="1:21">
      <c r="A3336" t="str">
        <f t="shared" si="1616"/>
        <v>25/06/2025</v>
      </c>
      <c r="B3336" t="str">
        <f t="shared" si="1615"/>
        <v>ENTRADA</v>
      </c>
      <c r="C3336" t="str">
        <f t="shared" si="1612"/>
        <v>NFSE</v>
      </c>
      <c r="D3336" t="str">
        <f t="shared" ref="D3336:D3347" si="1623">"3113"</f>
        <v>3113</v>
      </c>
      <c r="E3336" t="str">
        <f t="shared" si="1611"/>
        <v>COM</v>
      </c>
      <c r="F3336" t="str">
        <f t="shared" ref="F3336:F3347" si="1624">"FARMÁCIA INDIANA LJ 30 (10127)"</f>
        <v>FARMÁCIA INDIANA LJ 30 (10127)</v>
      </c>
      <c r="G3336" t="str">
        <f t="shared" ref="G3336:G3347" si="1625">"Serv.Prest. 09/06/2025 a 15/06/2025 - RPS: 882 - NFSe: 3113"</f>
        <v>Serv.Prest. 09/06/2025 a 15/06/2025 - RPS: 882 - NFSe: 3113</v>
      </c>
      <c r="H3336" t="str">
        <f t="shared" si="1620"/>
        <v>25/06/2025</v>
      </c>
      <c r="I3336" t="str">
        <f t="shared" si="1621"/>
        <v>16/06/2025</v>
      </c>
      <c r="J3336" t="str">
        <f t="shared" si="1622"/>
        <v>25/06/2025</v>
      </c>
      <c r="K3336">
        <v>2785.6</v>
      </c>
      <c r="L3336">
        <v>2785.6</v>
      </c>
      <c r="M3336">
        <v>303</v>
      </c>
      <c r="N3336" t="str">
        <f t="shared" si="1613"/>
        <v>RECEITAS COM ENTREGAS</v>
      </c>
      <c r="O3336">
        <v>2785.6</v>
      </c>
      <c r="R3336" t="str">
        <f t="shared" si="1614"/>
        <v>RECEITAS COM ENTREGAS (303)</v>
      </c>
      <c r="S3336">
        <v>1892</v>
      </c>
      <c r="T3336">
        <v>1397</v>
      </c>
      <c r="U3336" t="s">
        <v>19</v>
      </c>
    </row>
    <row r="3337" spans="1:21">
      <c r="A3337" t="str">
        <f t="shared" si="1616"/>
        <v>25/06/2025</v>
      </c>
      <c r="B3337" t="str">
        <f t="shared" si="1615"/>
        <v>ENTRADA</v>
      </c>
      <c r="C3337" t="str">
        <f t="shared" si="1612"/>
        <v>NFSE</v>
      </c>
      <c r="D3337" t="str">
        <f t="shared" si="1623"/>
        <v>3113</v>
      </c>
      <c r="E3337" t="str">
        <f t="shared" si="1611"/>
        <v>COM</v>
      </c>
      <c r="F3337" t="str">
        <f t="shared" si="1624"/>
        <v>FARMÁCIA INDIANA LJ 30 (10127)</v>
      </c>
      <c r="G3337" t="str">
        <f t="shared" si="1625"/>
        <v>Serv.Prest. 09/06/2025 a 15/06/2025 - RPS: 882 - NFSe: 3113</v>
      </c>
      <c r="H3337" t="str">
        <f t="shared" si="1620"/>
        <v>25/06/2025</v>
      </c>
      <c r="I3337" t="str">
        <f t="shared" si="1621"/>
        <v>16/06/2025</v>
      </c>
      <c r="J3337" t="str">
        <f t="shared" si="1622"/>
        <v>25/06/2025</v>
      </c>
      <c r="M3337">
        <v>303</v>
      </c>
      <c r="N3337" t="str">
        <f t="shared" si="1613"/>
        <v>RECEITAS COM ENTREGAS</v>
      </c>
      <c r="P3337">
        <v>293.88</v>
      </c>
      <c r="Q3337" t="str">
        <f>"FARMÁCIA INDIANA LJ 34 (10014)"</f>
        <v>FARMÁCIA INDIANA LJ 34 (10014)</v>
      </c>
      <c r="R3337" t="str">
        <f t="shared" si="1614"/>
        <v>RECEITAS COM ENTREGAS (303)</v>
      </c>
      <c r="S3337">
        <v>1892</v>
      </c>
      <c r="T3337">
        <v>1397</v>
      </c>
      <c r="U3337" t="s">
        <v>19</v>
      </c>
    </row>
    <row r="3338" spans="1:21">
      <c r="A3338" t="str">
        <f t="shared" si="1616"/>
        <v>25/06/2025</v>
      </c>
      <c r="B3338" t="str">
        <f t="shared" si="1615"/>
        <v>ENTRADA</v>
      </c>
      <c r="C3338" t="str">
        <f t="shared" si="1612"/>
        <v>NFSE</v>
      </c>
      <c r="D3338" t="str">
        <f t="shared" si="1623"/>
        <v>3113</v>
      </c>
      <c r="E3338" t="str">
        <f t="shared" si="1611"/>
        <v>COM</v>
      </c>
      <c r="F3338" t="str">
        <f t="shared" si="1624"/>
        <v>FARMÁCIA INDIANA LJ 30 (10127)</v>
      </c>
      <c r="G3338" t="str">
        <f t="shared" si="1625"/>
        <v>Serv.Prest. 09/06/2025 a 15/06/2025 - RPS: 882 - NFSe: 3113</v>
      </c>
      <c r="H3338" t="str">
        <f t="shared" si="1620"/>
        <v>25/06/2025</v>
      </c>
      <c r="I3338" t="str">
        <f t="shared" si="1621"/>
        <v>16/06/2025</v>
      </c>
      <c r="J3338" t="str">
        <f t="shared" si="1622"/>
        <v>25/06/2025</v>
      </c>
      <c r="M3338">
        <v>303</v>
      </c>
      <c r="N3338" t="str">
        <f t="shared" si="1613"/>
        <v>RECEITAS COM ENTREGAS</v>
      </c>
      <c r="P3338">
        <v>223.96</v>
      </c>
      <c r="Q3338" t="str">
        <f>"FARMÁCIA INDIANA LJ 35 (10015)"</f>
        <v>FARMÁCIA INDIANA LJ 35 (10015)</v>
      </c>
      <c r="R3338" t="str">
        <f t="shared" si="1614"/>
        <v>RECEITAS COM ENTREGAS (303)</v>
      </c>
      <c r="S3338">
        <v>1892</v>
      </c>
      <c r="T3338">
        <v>1397</v>
      </c>
      <c r="U3338" t="s">
        <v>19</v>
      </c>
    </row>
    <row r="3339" spans="1:21">
      <c r="A3339" t="str">
        <f t="shared" si="1616"/>
        <v>25/06/2025</v>
      </c>
      <c r="B3339" t="str">
        <f t="shared" si="1615"/>
        <v>ENTRADA</v>
      </c>
      <c r="C3339" t="str">
        <f t="shared" si="1612"/>
        <v>NFSE</v>
      </c>
      <c r="D3339" t="str">
        <f t="shared" si="1623"/>
        <v>3113</v>
      </c>
      <c r="E3339" t="str">
        <f t="shared" si="1611"/>
        <v>COM</v>
      </c>
      <c r="F3339" t="str">
        <f t="shared" si="1624"/>
        <v>FARMÁCIA INDIANA LJ 30 (10127)</v>
      </c>
      <c r="G3339" t="str">
        <f t="shared" si="1625"/>
        <v>Serv.Prest. 09/06/2025 a 15/06/2025 - RPS: 882 - NFSe: 3113</v>
      </c>
      <c r="H3339" t="str">
        <f t="shared" si="1620"/>
        <v>25/06/2025</v>
      </c>
      <c r="I3339" t="str">
        <f t="shared" si="1621"/>
        <v>16/06/2025</v>
      </c>
      <c r="J3339" t="str">
        <f t="shared" si="1622"/>
        <v>25/06/2025</v>
      </c>
      <c r="M3339">
        <v>303</v>
      </c>
      <c r="N3339" t="str">
        <f t="shared" si="1613"/>
        <v>RECEITAS COM ENTREGAS</v>
      </c>
      <c r="P3339">
        <v>415.05</v>
      </c>
      <c r="Q3339" t="str">
        <f>"FARMÁCIA INDIANA LJ 48 (10018)"</f>
        <v>FARMÁCIA INDIANA LJ 48 (10018)</v>
      </c>
      <c r="R3339" t="str">
        <f t="shared" si="1614"/>
        <v>RECEITAS COM ENTREGAS (303)</v>
      </c>
      <c r="S3339">
        <v>1892</v>
      </c>
      <c r="T3339">
        <v>1397</v>
      </c>
      <c r="U3339" t="s">
        <v>19</v>
      </c>
    </row>
    <row r="3340" spans="1:21">
      <c r="A3340" t="str">
        <f t="shared" si="1616"/>
        <v>25/06/2025</v>
      </c>
      <c r="B3340" t="str">
        <f t="shared" si="1615"/>
        <v>ENTRADA</v>
      </c>
      <c r="C3340" t="str">
        <f t="shared" si="1612"/>
        <v>NFSE</v>
      </c>
      <c r="D3340" t="str">
        <f t="shared" si="1623"/>
        <v>3113</v>
      </c>
      <c r="E3340" t="str">
        <f t="shared" si="1611"/>
        <v>COM</v>
      </c>
      <c r="F3340" t="str">
        <f t="shared" si="1624"/>
        <v>FARMÁCIA INDIANA LJ 30 (10127)</v>
      </c>
      <c r="G3340" t="str">
        <f t="shared" si="1625"/>
        <v>Serv.Prest. 09/06/2025 a 15/06/2025 - RPS: 882 - NFSe: 3113</v>
      </c>
      <c r="H3340" t="str">
        <f t="shared" si="1620"/>
        <v>25/06/2025</v>
      </c>
      <c r="I3340" t="str">
        <f t="shared" si="1621"/>
        <v>16/06/2025</v>
      </c>
      <c r="J3340" t="str">
        <f t="shared" si="1622"/>
        <v>25/06/2025</v>
      </c>
      <c r="M3340">
        <v>303</v>
      </c>
      <c r="N3340" t="str">
        <f t="shared" si="1613"/>
        <v>RECEITAS COM ENTREGAS</v>
      </c>
      <c r="P3340">
        <v>383.58</v>
      </c>
      <c r="Q3340" t="str">
        <f>"FARMÁCIA INDIANA LJ 65 (10030)"</f>
        <v>FARMÁCIA INDIANA LJ 65 (10030)</v>
      </c>
      <c r="R3340" t="str">
        <f t="shared" si="1614"/>
        <v>RECEITAS COM ENTREGAS (303)</v>
      </c>
      <c r="S3340">
        <v>1892</v>
      </c>
      <c r="T3340">
        <v>1397</v>
      </c>
      <c r="U3340" t="s">
        <v>19</v>
      </c>
    </row>
    <row r="3341" spans="1:21">
      <c r="A3341" t="str">
        <f t="shared" si="1616"/>
        <v>25/06/2025</v>
      </c>
      <c r="B3341" t="str">
        <f t="shared" si="1615"/>
        <v>ENTRADA</v>
      </c>
      <c r="C3341" t="str">
        <f t="shared" si="1612"/>
        <v>NFSE</v>
      </c>
      <c r="D3341" t="str">
        <f t="shared" si="1623"/>
        <v>3113</v>
      </c>
      <c r="E3341" t="str">
        <f t="shared" si="1611"/>
        <v>COM</v>
      </c>
      <c r="F3341" t="str">
        <f t="shared" si="1624"/>
        <v>FARMÁCIA INDIANA LJ 30 (10127)</v>
      </c>
      <c r="G3341" t="str">
        <f t="shared" si="1625"/>
        <v>Serv.Prest. 09/06/2025 a 15/06/2025 - RPS: 882 - NFSe: 3113</v>
      </c>
      <c r="H3341" t="str">
        <f t="shared" si="1620"/>
        <v>25/06/2025</v>
      </c>
      <c r="I3341" t="str">
        <f t="shared" si="1621"/>
        <v>16/06/2025</v>
      </c>
      <c r="J3341" t="str">
        <f t="shared" si="1622"/>
        <v>25/06/2025</v>
      </c>
      <c r="M3341">
        <v>303</v>
      </c>
      <c r="N3341" t="str">
        <f t="shared" si="1613"/>
        <v>RECEITAS COM ENTREGAS</v>
      </c>
      <c r="P3341">
        <v>128.41999999999999</v>
      </c>
      <c r="Q3341" t="str">
        <f>"FARMÁCIA INDIANA LJ 77 (10034)"</f>
        <v>FARMÁCIA INDIANA LJ 77 (10034)</v>
      </c>
      <c r="R3341" t="str">
        <f t="shared" si="1614"/>
        <v>RECEITAS COM ENTREGAS (303)</v>
      </c>
      <c r="S3341">
        <v>1892</v>
      </c>
      <c r="T3341">
        <v>1397</v>
      </c>
      <c r="U3341" t="s">
        <v>19</v>
      </c>
    </row>
    <row r="3342" spans="1:21">
      <c r="A3342" t="str">
        <f t="shared" si="1616"/>
        <v>25/06/2025</v>
      </c>
      <c r="B3342" t="str">
        <f t="shared" si="1615"/>
        <v>ENTRADA</v>
      </c>
      <c r="C3342" t="str">
        <f t="shared" si="1612"/>
        <v>NFSE</v>
      </c>
      <c r="D3342" t="str">
        <f t="shared" si="1623"/>
        <v>3113</v>
      </c>
      <c r="E3342" t="str">
        <f t="shared" si="1611"/>
        <v>COM</v>
      </c>
      <c r="F3342" t="str">
        <f t="shared" si="1624"/>
        <v>FARMÁCIA INDIANA LJ 30 (10127)</v>
      </c>
      <c r="G3342" t="str">
        <f t="shared" si="1625"/>
        <v>Serv.Prest. 09/06/2025 a 15/06/2025 - RPS: 882 - NFSe: 3113</v>
      </c>
      <c r="H3342" t="str">
        <f t="shared" si="1620"/>
        <v>25/06/2025</v>
      </c>
      <c r="I3342" t="str">
        <f t="shared" si="1621"/>
        <v>16/06/2025</v>
      </c>
      <c r="J3342" t="str">
        <f t="shared" si="1622"/>
        <v>25/06/2025</v>
      </c>
      <c r="M3342">
        <v>303</v>
      </c>
      <c r="N3342" t="str">
        <f t="shared" si="1613"/>
        <v>RECEITAS COM ENTREGAS</v>
      </c>
      <c r="P3342">
        <v>244.85</v>
      </c>
      <c r="Q3342" t="str">
        <f>"FARMÁCIA INDIANA LJ 91 (10037)"</f>
        <v>FARMÁCIA INDIANA LJ 91 (10037)</v>
      </c>
      <c r="R3342" t="str">
        <f t="shared" si="1614"/>
        <v>RECEITAS COM ENTREGAS (303)</v>
      </c>
      <c r="S3342">
        <v>1892</v>
      </c>
      <c r="T3342">
        <v>1397</v>
      </c>
      <c r="U3342" t="s">
        <v>19</v>
      </c>
    </row>
    <row r="3343" spans="1:21">
      <c r="A3343" t="str">
        <f t="shared" si="1616"/>
        <v>25/06/2025</v>
      </c>
      <c r="B3343" t="str">
        <f t="shared" si="1615"/>
        <v>ENTRADA</v>
      </c>
      <c r="C3343" t="str">
        <f t="shared" si="1612"/>
        <v>NFSE</v>
      </c>
      <c r="D3343" t="str">
        <f t="shared" si="1623"/>
        <v>3113</v>
      </c>
      <c r="E3343" t="str">
        <f t="shared" si="1611"/>
        <v>COM</v>
      </c>
      <c r="F3343" t="str">
        <f t="shared" si="1624"/>
        <v>FARMÁCIA INDIANA LJ 30 (10127)</v>
      </c>
      <c r="G3343" t="str">
        <f t="shared" si="1625"/>
        <v>Serv.Prest. 09/06/2025 a 15/06/2025 - RPS: 882 - NFSe: 3113</v>
      </c>
      <c r="H3343" t="str">
        <f t="shared" si="1620"/>
        <v>25/06/2025</v>
      </c>
      <c r="I3343" t="str">
        <f t="shared" si="1621"/>
        <v>16/06/2025</v>
      </c>
      <c r="J3343" t="str">
        <f t="shared" si="1622"/>
        <v>25/06/2025</v>
      </c>
      <c r="M3343">
        <v>303</v>
      </c>
      <c r="N3343" t="str">
        <f t="shared" si="1613"/>
        <v>RECEITAS COM ENTREGAS</v>
      </c>
      <c r="P3343">
        <v>325.08</v>
      </c>
      <c r="Q3343" t="str">
        <f>"FARMÁCIA INDIANA LJ 95 (10039)"</f>
        <v>FARMÁCIA INDIANA LJ 95 (10039)</v>
      </c>
      <c r="R3343" t="str">
        <f t="shared" si="1614"/>
        <v>RECEITAS COM ENTREGAS (303)</v>
      </c>
      <c r="S3343">
        <v>1892</v>
      </c>
      <c r="T3343">
        <v>1397</v>
      </c>
      <c r="U3343" t="s">
        <v>19</v>
      </c>
    </row>
    <row r="3344" spans="1:21">
      <c r="A3344" t="str">
        <f t="shared" si="1616"/>
        <v>25/06/2025</v>
      </c>
      <c r="B3344" t="str">
        <f t="shared" si="1615"/>
        <v>ENTRADA</v>
      </c>
      <c r="C3344" t="str">
        <f t="shared" si="1612"/>
        <v>NFSE</v>
      </c>
      <c r="D3344" t="str">
        <f t="shared" si="1623"/>
        <v>3113</v>
      </c>
      <c r="E3344" t="str">
        <f t="shared" si="1611"/>
        <v>COM</v>
      </c>
      <c r="F3344" t="str">
        <f t="shared" si="1624"/>
        <v>FARMÁCIA INDIANA LJ 30 (10127)</v>
      </c>
      <c r="G3344" t="str">
        <f t="shared" si="1625"/>
        <v>Serv.Prest. 09/06/2025 a 15/06/2025 - RPS: 882 - NFSe: 3113</v>
      </c>
      <c r="H3344" t="str">
        <f t="shared" si="1620"/>
        <v>25/06/2025</v>
      </c>
      <c r="I3344" t="str">
        <f t="shared" si="1621"/>
        <v>16/06/2025</v>
      </c>
      <c r="J3344" t="str">
        <f t="shared" si="1622"/>
        <v>25/06/2025</v>
      </c>
      <c r="M3344">
        <v>303</v>
      </c>
      <c r="N3344" t="str">
        <f t="shared" si="1613"/>
        <v>RECEITAS COM ENTREGAS</v>
      </c>
      <c r="P3344">
        <v>280.79000000000002</v>
      </c>
      <c r="Q3344" t="str">
        <f>"FARMÁCIA INDIANA LJ 145 (10068)"</f>
        <v>FARMÁCIA INDIANA LJ 145 (10068)</v>
      </c>
      <c r="R3344" t="str">
        <f t="shared" si="1614"/>
        <v>RECEITAS COM ENTREGAS (303)</v>
      </c>
      <c r="S3344">
        <v>1892</v>
      </c>
      <c r="T3344">
        <v>1397</v>
      </c>
      <c r="U3344" t="s">
        <v>19</v>
      </c>
    </row>
    <row r="3345" spans="1:21">
      <c r="A3345" t="str">
        <f t="shared" si="1616"/>
        <v>25/06/2025</v>
      </c>
      <c r="B3345" t="str">
        <f t="shared" si="1615"/>
        <v>ENTRADA</v>
      </c>
      <c r="C3345" t="str">
        <f t="shared" si="1612"/>
        <v>NFSE</v>
      </c>
      <c r="D3345" t="str">
        <f t="shared" si="1623"/>
        <v>3113</v>
      </c>
      <c r="E3345" t="str">
        <f t="shared" si="1611"/>
        <v>COM</v>
      </c>
      <c r="F3345" t="str">
        <f t="shared" si="1624"/>
        <v>FARMÁCIA INDIANA LJ 30 (10127)</v>
      </c>
      <c r="G3345" t="str">
        <f t="shared" si="1625"/>
        <v>Serv.Prest. 09/06/2025 a 15/06/2025 - RPS: 882 - NFSe: 3113</v>
      </c>
      <c r="H3345" t="str">
        <f t="shared" si="1620"/>
        <v>25/06/2025</v>
      </c>
      <c r="I3345" t="str">
        <f t="shared" si="1621"/>
        <v>16/06/2025</v>
      </c>
      <c r="J3345" t="str">
        <f t="shared" si="1622"/>
        <v>25/06/2025</v>
      </c>
      <c r="M3345">
        <v>303</v>
      </c>
      <c r="N3345" t="str">
        <f t="shared" si="1613"/>
        <v>RECEITAS COM ENTREGAS</v>
      </c>
      <c r="P3345">
        <v>147.63999999999999</v>
      </c>
      <c r="Q3345" t="str">
        <f>"FARMÁCIA INDIANA LJ 169 (10073)"</f>
        <v>FARMÁCIA INDIANA LJ 169 (10073)</v>
      </c>
      <c r="R3345" t="str">
        <f t="shared" si="1614"/>
        <v>RECEITAS COM ENTREGAS (303)</v>
      </c>
      <c r="S3345">
        <v>1892</v>
      </c>
      <c r="T3345">
        <v>1397</v>
      </c>
      <c r="U3345" t="s">
        <v>19</v>
      </c>
    </row>
    <row r="3346" spans="1:21">
      <c r="A3346" t="str">
        <f t="shared" si="1616"/>
        <v>25/06/2025</v>
      </c>
      <c r="B3346" t="str">
        <f t="shared" si="1615"/>
        <v>ENTRADA</v>
      </c>
      <c r="C3346" t="str">
        <f t="shared" si="1612"/>
        <v>NFSE</v>
      </c>
      <c r="D3346" t="str">
        <f t="shared" si="1623"/>
        <v>3113</v>
      </c>
      <c r="E3346" t="str">
        <f t="shared" si="1611"/>
        <v>COM</v>
      </c>
      <c r="F3346" t="str">
        <f t="shared" si="1624"/>
        <v>FARMÁCIA INDIANA LJ 30 (10127)</v>
      </c>
      <c r="G3346" t="str">
        <f t="shared" si="1625"/>
        <v>Serv.Prest. 09/06/2025 a 15/06/2025 - RPS: 882 - NFSe: 3113</v>
      </c>
      <c r="H3346" t="str">
        <f t="shared" si="1620"/>
        <v>25/06/2025</v>
      </c>
      <c r="I3346" t="str">
        <f t="shared" si="1621"/>
        <v>16/06/2025</v>
      </c>
      <c r="J3346" t="str">
        <f t="shared" si="1622"/>
        <v>25/06/2025</v>
      </c>
      <c r="M3346">
        <v>303</v>
      </c>
      <c r="N3346" t="str">
        <f t="shared" si="1613"/>
        <v>RECEITAS COM ENTREGAS</v>
      </c>
      <c r="P3346">
        <v>191.93</v>
      </c>
      <c r="Q3346" t="str">
        <f>"FARMÁCIA INDIANA LJ 173 (10075)"</f>
        <v>FARMÁCIA INDIANA LJ 173 (10075)</v>
      </c>
      <c r="R3346" t="str">
        <f t="shared" si="1614"/>
        <v>RECEITAS COM ENTREGAS (303)</v>
      </c>
      <c r="S3346">
        <v>1892</v>
      </c>
      <c r="T3346">
        <v>1397</v>
      </c>
      <c r="U3346" t="s">
        <v>19</v>
      </c>
    </row>
    <row r="3347" spans="1:21">
      <c r="A3347" t="str">
        <f t="shared" si="1616"/>
        <v>25/06/2025</v>
      </c>
      <c r="B3347" t="str">
        <f t="shared" si="1615"/>
        <v>ENTRADA</v>
      </c>
      <c r="C3347" t="str">
        <f t="shared" si="1612"/>
        <v>NFSE</v>
      </c>
      <c r="D3347" t="str">
        <f t="shared" si="1623"/>
        <v>3113</v>
      </c>
      <c r="E3347" t="str">
        <f t="shared" si="1611"/>
        <v>COM</v>
      </c>
      <c r="F3347" t="str">
        <f t="shared" si="1624"/>
        <v>FARMÁCIA INDIANA LJ 30 (10127)</v>
      </c>
      <c r="G3347" t="str">
        <f t="shared" si="1625"/>
        <v>Serv.Prest. 09/06/2025 a 15/06/2025 - RPS: 882 - NFSe: 3113</v>
      </c>
      <c r="H3347" t="str">
        <f t="shared" si="1620"/>
        <v>25/06/2025</v>
      </c>
      <c r="I3347" t="str">
        <f t="shared" si="1621"/>
        <v>16/06/2025</v>
      </c>
      <c r="J3347" t="str">
        <f t="shared" si="1622"/>
        <v>25/06/2025</v>
      </c>
      <c r="M3347">
        <v>303</v>
      </c>
      <c r="N3347" t="str">
        <f t="shared" si="1613"/>
        <v>RECEITAS COM ENTREGAS</v>
      </c>
      <c r="P3347">
        <v>150.41999999999999</v>
      </c>
      <c r="Q3347" t="str">
        <f>"FARMÁCIA INDIANA LJ 200 (10155)"</f>
        <v>FARMÁCIA INDIANA LJ 200 (10155)</v>
      </c>
      <c r="R3347" t="str">
        <f t="shared" si="1614"/>
        <v>RECEITAS COM ENTREGAS (303)</v>
      </c>
      <c r="S3347">
        <v>1892</v>
      </c>
      <c r="T3347">
        <v>1397</v>
      </c>
      <c r="U3347" t="s">
        <v>19</v>
      </c>
    </row>
    <row r="3348" spans="1:21">
      <c r="A3348" t="str">
        <f t="shared" si="1616"/>
        <v>25/06/2025</v>
      </c>
      <c r="B3348" t="str">
        <f t="shared" si="1615"/>
        <v>ENTRADA</v>
      </c>
      <c r="C3348" t="str">
        <f t="shared" si="1612"/>
        <v>NFSE</v>
      </c>
      <c r="D3348" t="str">
        <f t="shared" ref="D3348:D3393" si="1626">"3123"</f>
        <v>3123</v>
      </c>
      <c r="E3348" t="str">
        <f t="shared" si="1611"/>
        <v>COM</v>
      </c>
      <c r="F3348" t="str">
        <f t="shared" ref="F3348:F3393" si="1627">"FARMÁCIA INDIANA LJ 1 (10126)"</f>
        <v>FARMÁCIA INDIANA LJ 1 (10126)</v>
      </c>
      <c r="G3348" t="str">
        <f t="shared" ref="G3348:G3393" si="1628">"Serv.Prest. 09/06/2025 a 15/06/2025 - RPS: 892 - NFSe: 3123"</f>
        <v>Serv.Prest. 09/06/2025 a 15/06/2025 - RPS: 892 - NFSe: 3123</v>
      </c>
      <c r="H3348" t="str">
        <f t="shared" si="1620"/>
        <v>25/06/2025</v>
      </c>
      <c r="I3348" t="str">
        <f t="shared" ref="I3348:I3393" si="1629">("17/06/2025")</f>
        <v>17/06/2025</v>
      </c>
      <c r="J3348" t="str">
        <f t="shared" si="1622"/>
        <v>25/06/2025</v>
      </c>
      <c r="K3348">
        <v>13749.66</v>
      </c>
      <c r="L3348">
        <v>13749.66</v>
      </c>
      <c r="M3348">
        <v>303</v>
      </c>
      <c r="N3348" t="str">
        <f t="shared" si="1613"/>
        <v>RECEITAS COM ENTREGAS</v>
      </c>
      <c r="O3348">
        <v>13749.66</v>
      </c>
      <c r="R3348" t="str">
        <f t="shared" si="1614"/>
        <v>RECEITAS COM ENTREGAS (303)</v>
      </c>
      <c r="S3348">
        <v>1893</v>
      </c>
      <c r="T3348">
        <v>1407</v>
      </c>
      <c r="U3348" t="s">
        <v>19</v>
      </c>
    </row>
    <row r="3349" spans="1:21">
      <c r="A3349" t="str">
        <f t="shared" si="1616"/>
        <v>25/06/2025</v>
      </c>
      <c r="B3349" t="str">
        <f t="shared" si="1615"/>
        <v>ENTRADA</v>
      </c>
      <c r="C3349" t="str">
        <f t="shared" si="1612"/>
        <v>NFSE</v>
      </c>
      <c r="D3349" t="str">
        <f t="shared" si="1626"/>
        <v>3123</v>
      </c>
      <c r="E3349" t="str">
        <f t="shared" si="1611"/>
        <v>COM</v>
      </c>
      <c r="F3349" t="str">
        <f t="shared" si="1627"/>
        <v>FARMÁCIA INDIANA LJ 1 (10126)</v>
      </c>
      <c r="G3349" t="str">
        <f t="shared" si="1628"/>
        <v>Serv.Prest. 09/06/2025 a 15/06/2025 - RPS: 892 - NFSe: 3123</v>
      </c>
      <c r="H3349" t="str">
        <f t="shared" si="1620"/>
        <v>25/06/2025</v>
      </c>
      <c r="I3349" t="str">
        <f t="shared" si="1629"/>
        <v>17/06/2025</v>
      </c>
      <c r="J3349" t="str">
        <f t="shared" si="1622"/>
        <v>25/06/2025</v>
      </c>
      <c r="M3349">
        <v>303</v>
      </c>
      <c r="N3349" t="str">
        <f t="shared" si="1613"/>
        <v>RECEITAS COM ENTREGAS</v>
      </c>
      <c r="P3349">
        <v>1801.22</v>
      </c>
      <c r="Q3349" t="str">
        <f>"FARMÁCIA INDIANA LJ 06 (10006)"</f>
        <v>FARMÁCIA INDIANA LJ 06 (10006)</v>
      </c>
      <c r="R3349" t="str">
        <f t="shared" si="1614"/>
        <v>RECEITAS COM ENTREGAS (303)</v>
      </c>
      <c r="S3349">
        <v>1893</v>
      </c>
      <c r="T3349">
        <v>1407</v>
      </c>
      <c r="U3349" t="s">
        <v>19</v>
      </c>
    </row>
    <row r="3350" spans="1:21">
      <c r="A3350" t="str">
        <f t="shared" si="1616"/>
        <v>25/06/2025</v>
      </c>
      <c r="B3350" t="str">
        <f t="shared" si="1615"/>
        <v>ENTRADA</v>
      </c>
      <c r="C3350" t="str">
        <f t="shared" si="1612"/>
        <v>NFSE</v>
      </c>
      <c r="D3350" t="str">
        <f t="shared" si="1626"/>
        <v>3123</v>
      </c>
      <c r="E3350" t="str">
        <f t="shared" si="1611"/>
        <v>COM</v>
      </c>
      <c r="F3350" t="str">
        <f t="shared" si="1627"/>
        <v>FARMÁCIA INDIANA LJ 1 (10126)</v>
      </c>
      <c r="G3350" t="str">
        <f t="shared" si="1628"/>
        <v>Serv.Prest. 09/06/2025 a 15/06/2025 - RPS: 892 - NFSe: 3123</v>
      </c>
      <c r="H3350" t="str">
        <f t="shared" si="1620"/>
        <v>25/06/2025</v>
      </c>
      <c r="I3350" t="str">
        <f t="shared" si="1629"/>
        <v>17/06/2025</v>
      </c>
      <c r="J3350" t="str">
        <f t="shared" si="1622"/>
        <v>25/06/2025</v>
      </c>
      <c r="M3350">
        <v>303</v>
      </c>
      <c r="N3350" t="str">
        <f t="shared" si="1613"/>
        <v>RECEITAS COM ENTREGAS</v>
      </c>
      <c r="P3350">
        <v>1636.21</v>
      </c>
      <c r="Q3350" t="str">
        <f>"FARMÁCIA INDIANA LJ 07 (10007)"</f>
        <v>FARMÁCIA INDIANA LJ 07 (10007)</v>
      </c>
      <c r="R3350" t="str">
        <f t="shared" si="1614"/>
        <v>RECEITAS COM ENTREGAS (303)</v>
      </c>
      <c r="S3350">
        <v>1893</v>
      </c>
      <c r="T3350">
        <v>1407</v>
      </c>
      <c r="U3350" t="s">
        <v>19</v>
      </c>
    </row>
    <row r="3351" spans="1:21">
      <c r="A3351" t="str">
        <f t="shared" si="1616"/>
        <v>25/06/2025</v>
      </c>
      <c r="B3351" t="str">
        <f t="shared" si="1615"/>
        <v>ENTRADA</v>
      </c>
      <c r="C3351" t="str">
        <f t="shared" si="1612"/>
        <v>NFSE</v>
      </c>
      <c r="D3351" t="str">
        <f t="shared" si="1626"/>
        <v>3123</v>
      </c>
      <c r="E3351" t="str">
        <f t="shared" si="1611"/>
        <v>COM</v>
      </c>
      <c r="F3351" t="str">
        <f t="shared" si="1627"/>
        <v>FARMÁCIA INDIANA LJ 1 (10126)</v>
      </c>
      <c r="G3351" t="str">
        <f t="shared" si="1628"/>
        <v>Serv.Prest. 09/06/2025 a 15/06/2025 - RPS: 892 - NFSe: 3123</v>
      </c>
      <c r="H3351" t="str">
        <f t="shared" si="1620"/>
        <v>25/06/2025</v>
      </c>
      <c r="I3351" t="str">
        <f t="shared" si="1629"/>
        <v>17/06/2025</v>
      </c>
      <c r="J3351" t="str">
        <f t="shared" si="1622"/>
        <v>25/06/2025</v>
      </c>
      <c r="M3351">
        <v>303</v>
      </c>
      <c r="N3351" t="str">
        <f t="shared" si="1613"/>
        <v>RECEITAS COM ENTREGAS</v>
      </c>
      <c r="P3351">
        <v>1120.5999999999999</v>
      </c>
      <c r="Q3351" t="str">
        <f>"FARMÁCIA INDIANA LJ 11 (10008)"</f>
        <v>FARMÁCIA INDIANA LJ 11 (10008)</v>
      </c>
      <c r="R3351" t="str">
        <f t="shared" si="1614"/>
        <v>RECEITAS COM ENTREGAS (303)</v>
      </c>
      <c r="S3351">
        <v>1893</v>
      </c>
      <c r="T3351">
        <v>1407</v>
      </c>
      <c r="U3351" t="s">
        <v>19</v>
      </c>
    </row>
    <row r="3352" spans="1:21">
      <c r="A3352" t="str">
        <f t="shared" si="1616"/>
        <v>25/06/2025</v>
      </c>
      <c r="B3352" t="str">
        <f t="shared" si="1615"/>
        <v>ENTRADA</v>
      </c>
      <c r="C3352" t="str">
        <f t="shared" si="1612"/>
        <v>NFSE</v>
      </c>
      <c r="D3352" t="str">
        <f t="shared" si="1626"/>
        <v>3123</v>
      </c>
      <c r="E3352" t="str">
        <f t="shared" si="1611"/>
        <v>COM</v>
      </c>
      <c r="F3352" t="str">
        <f t="shared" si="1627"/>
        <v>FARMÁCIA INDIANA LJ 1 (10126)</v>
      </c>
      <c r="G3352" t="str">
        <f t="shared" si="1628"/>
        <v>Serv.Prest. 09/06/2025 a 15/06/2025 - RPS: 892 - NFSe: 3123</v>
      </c>
      <c r="H3352" t="str">
        <f t="shared" si="1620"/>
        <v>25/06/2025</v>
      </c>
      <c r="I3352" t="str">
        <f t="shared" si="1629"/>
        <v>17/06/2025</v>
      </c>
      <c r="J3352" t="str">
        <f t="shared" si="1622"/>
        <v>25/06/2025</v>
      </c>
      <c r="M3352">
        <v>303</v>
      </c>
      <c r="N3352" t="str">
        <f t="shared" si="1613"/>
        <v>RECEITAS COM ENTREGAS</v>
      </c>
      <c r="P3352">
        <v>415.24</v>
      </c>
      <c r="Q3352" t="str">
        <f>"FARMÁCIA INDIANA LJ 14 (10009)"</f>
        <v>FARMÁCIA INDIANA LJ 14 (10009)</v>
      </c>
      <c r="R3352" t="str">
        <f t="shared" si="1614"/>
        <v>RECEITAS COM ENTREGAS (303)</v>
      </c>
      <c r="S3352">
        <v>1893</v>
      </c>
      <c r="T3352">
        <v>1407</v>
      </c>
      <c r="U3352" t="s">
        <v>19</v>
      </c>
    </row>
    <row r="3353" spans="1:21">
      <c r="A3353" t="str">
        <f t="shared" si="1616"/>
        <v>25/06/2025</v>
      </c>
      <c r="B3353" t="str">
        <f t="shared" si="1615"/>
        <v>ENTRADA</v>
      </c>
      <c r="C3353" t="str">
        <f t="shared" si="1612"/>
        <v>NFSE</v>
      </c>
      <c r="D3353" t="str">
        <f t="shared" si="1626"/>
        <v>3123</v>
      </c>
      <c r="E3353" t="str">
        <f t="shared" si="1611"/>
        <v>COM</v>
      </c>
      <c r="F3353" t="str">
        <f t="shared" si="1627"/>
        <v>FARMÁCIA INDIANA LJ 1 (10126)</v>
      </c>
      <c r="G3353" t="str">
        <f t="shared" si="1628"/>
        <v>Serv.Prest. 09/06/2025 a 15/06/2025 - RPS: 892 - NFSe: 3123</v>
      </c>
      <c r="H3353" t="str">
        <f t="shared" si="1620"/>
        <v>25/06/2025</v>
      </c>
      <c r="I3353" t="str">
        <f t="shared" si="1629"/>
        <v>17/06/2025</v>
      </c>
      <c r="J3353" t="str">
        <f t="shared" si="1622"/>
        <v>25/06/2025</v>
      </c>
      <c r="M3353">
        <v>303</v>
      </c>
      <c r="N3353" t="str">
        <f t="shared" si="1613"/>
        <v>RECEITAS COM ENTREGAS</v>
      </c>
      <c r="P3353">
        <v>380.87</v>
      </c>
      <c r="Q3353" t="str">
        <f>"FARMÁCIA INDIANA LJ 18 (10011)"</f>
        <v>FARMÁCIA INDIANA LJ 18 (10011)</v>
      </c>
      <c r="R3353" t="str">
        <f t="shared" si="1614"/>
        <v>RECEITAS COM ENTREGAS (303)</v>
      </c>
      <c r="S3353">
        <v>1893</v>
      </c>
      <c r="T3353">
        <v>1407</v>
      </c>
      <c r="U3353" t="s">
        <v>19</v>
      </c>
    </row>
    <row r="3354" spans="1:21">
      <c r="A3354" t="str">
        <f t="shared" si="1616"/>
        <v>25/06/2025</v>
      </c>
      <c r="B3354" t="str">
        <f t="shared" si="1615"/>
        <v>ENTRADA</v>
      </c>
      <c r="C3354" t="str">
        <f t="shared" si="1612"/>
        <v>NFSE</v>
      </c>
      <c r="D3354" t="str">
        <f t="shared" si="1626"/>
        <v>3123</v>
      </c>
      <c r="E3354" t="str">
        <f t="shared" si="1611"/>
        <v>COM</v>
      </c>
      <c r="F3354" t="str">
        <f t="shared" si="1627"/>
        <v>FARMÁCIA INDIANA LJ 1 (10126)</v>
      </c>
      <c r="G3354" t="str">
        <f t="shared" si="1628"/>
        <v>Serv.Prest. 09/06/2025 a 15/06/2025 - RPS: 892 - NFSe: 3123</v>
      </c>
      <c r="H3354" t="str">
        <f t="shared" si="1620"/>
        <v>25/06/2025</v>
      </c>
      <c r="I3354" t="str">
        <f t="shared" si="1629"/>
        <v>17/06/2025</v>
      </c>
      <c r="J3354" t="str">
        <f t="shared" si="1622"/>
        <v>25/06/2025</v>
      </c>
      <c r="M3354">
        <v>303</v>
      </c>
      <c r="N3354" t="str">
        <f t="shared" si="1613"/>
        <v>RECEITAS COM ENTREGAS</v>
      </c>
      <c r="P3354">
        <v>383.62</v>
      </c>
      <c r="Q3354" t="str">
        <f>"FARMÁCIA INDIANA LJ 19 (10012)"</f>
        <v>FARMÁCIA INDIANA LJ 19 (10012)</v>
      </c>
      <c r="R3354" t="str">
        <f t="shared" si="1614"/>
        <v>RECEITAS COM ENTREGAS (303)</v>
      </c>
      <c r="S3354">
        <v>1893</v>
      </c>
      <c r="T3354">
        <v>1407</v>
      </c>
      <c r="U3354" t="s">
        <v>19</v>
      </c>
    </row>
    <row r="3355" spans="1:21">
      <c r="A3355" t="str">
        <f t="shared" si="1616"/>
        <v>25/06/2025</v>
      </c>
      <c r="B3355" t="str">
        <f t="shared" si="1615"/>
        <v>ENTRADA</v>
      </c>
      <c r="C3355" t="str">
        <f t="shared" ref="C3355:C3386" si="1630">"NFSE"</f>
        <v>NFSE</v>
      </c>
      <c r="D3355" t="str">
        <f t="shared" si="1626"/>
        <v>3123</v>
      </c>
      <c r="E3355" t="str">
        <f t="shared" si="1611"/>
        <v>COM</v>
      </c>
      <c r="F3355" t="str">
        <f t="shared" si="1627"/>
        <v>FARMÁCIA INDIANA LJ 1 (10126)</v>
      </c>
      <c r="G3355" t="str">
        <f t="shared" si="1628"/>
        <v>Serv.Prest. 09/06/2025 a 15/06/2025 - RPS: 892 - NFSe: 3123</v>
      </c>
      <c r="H3355" t="str">
        <f t="shared" si="1620"/>
        <v>25/06/2025</v>
      </c>
      <c r="I3355" t="str">
        <f t="shared" si="1629"/>
        <v>17/06/2025</v>
      </c>
      <c r="J3355" t="str">
        <f t="shared" si="1622"/>
        <v>25/06/2025</v>
      </c>
      <c r="M3355">
        <v>303</v>
      </c>
      <c r="N3355" t="str">
        <f t="shared" ref="N3355:N3386" si="1631">"RECEITAS COM ENTREGAS"</f>
        <v>RECEITAS COM ENTREGAS</v>
      </c>
      <c r="P3355">
        <v>580.24</v>
      </c>
      <c r="Q3355" t="str">
        <f>"FARMÁCIA INDIANA LJ 40 (10016)"</f>
        <v>FARMÁCIA INDIANA LJ 40 (10016)</v>
      </c>
      <c r="R3355" t="str">
        <f t="shared" ref="R3355:R3386" si="1632">"RECEITAS COM ENTREGAS (303)"</f>
        <v>RECEITAS COM ENTREGAS (303)</v>
      </c>
      <c r="S3355">
        <v>1893</v>
      </c>
      <c r="T3355">
        <v>1407</v>
      </c>
      <c r="U3355" t="s">
        <v>19</v>
      </c>
    </row>
    <row r="3356" spans="1:21">
      <c r="A3356" t="str">
        <f t="shared" si="1616"/>
        <v>25/06/2025</v>
      </c>
      <c r="B3356" t="str">
        <f t="shared" si="1615"/>
        <v>ENTRADA</v>
      </c>
      <c r="C3356" t="str">
        <f t="shared" si="1630"/>
        <v>NFSE</v>
      </c>
      <c r="D3356" t="str">
        <f t="shared" si="1626"/>
        <v>3123</v>
      </c>
      <c r="E3356" t="str">
        <f t="shared" si="1611"/>
        <v>COM</v>
      </c>
      <c r="F3356" t="str">
        <f t="shared" si="1627"/>
        <v>FARMÁCIA INDIANA LJ 1 (10126)</v>
      </c>
      <c r="G3356" t="str">
        <f t="shared" si="1628"/>
        <v>Serv.Prest. 09/06/2025 a 15/06/2025 - RPS: 892 - NFSe: 3123</v>
      </c>
      <c r="H3356" t="str">
        <f t="shared" si="1620"/>
        <v>25/06/2025</v>
      </c>
      <c r="I3356" t="str">
        <f t="shared" si="1629"/>
        <v>17/06/2025</v>
      </c>
      <c r="J3356" t="str">
        <f t="shared" si="1622"/>
        <v>25/06/2025</v>
      </c>
      <c r="M3356">
        <v>303</v>
      </c>
      <c r="N3356" t="str">
        <f t="shared" si="1631"/>
        <v>RECEITAS COM ENTREGAS</v>
      </c>
      <c r="P3356">
        <v>295.62</v>
      </c>
      <c r="Q3356" t="str">
        <f>"FARMÁCIA INDIANA LJ 59 (10026)"</f>
        <v>FARMÁCIA INDIANA LJ 59 (10026)</v>
      </c>
      <c r="R3356" t="str">
        <f t="shared" si="1632"/>
        <v>RECEITAS COM ENTREGAS (303)</v>
      </c>
      <c r="S3356">
        <v>1893</v>
      </c>
      <c r="T3356">
        <v>1407</v>
      </c>
      <c r="U3356" t="s">
        <v>19</v>
      </c>
    </row>
    <row r="3357" spans="1:21">
      <c r="A3357" t="str">
        <f t="shared" si="1616"/>
        <v>25/06/2025</v>
      </c>
      <c r="B3357" t="str">
        <f t="shared" si="1615"/>
        <v>ENTRADA</v>
      </c>
      <c r="C3357" t="str">
        <f t="shared" si="1630"/>
        <v>NFSE</v>
      </c>
      <c r="D3357" t="str">
        <f t="shared" si="1626"/>
        <v>3123</v>
      </c>
      <c r="E3357" t="str">
        <f t="shared" si="1611"/>
        <v>COM</v>
      </c>
      <c r="F3357" t="str">
        <f t="shared" si="1627"/>
        <v>FARMÁCIA INDIANA LJ 1 (10126)</v>
      </c>
      <c r="G3357" t="str">
        <f t="shared" si="1628"/>
        <v>Serv.Prest. 09/06/2025 a 15/06/2025 - RPS: 892 - NFSe: 3123</v>
      </c>
      <c r="H3357" t="str">
        <f t="shared" si="1620"/>
        <v>25/06/2025</v>
      </c>
      <c r="I3357" t="str">
        <f t="shared" si="1629"/>
        <v>17/06/2025</v>
      </c>
      <c r="J3357" t="str">
        <f t="shared" si="1622"/>
        <v>25/06/2025</v>
      </c>
      <c r="M3357">
        <v>303</v>
      </c>
      <c r="N3357" t="str">
        <f t="shared" si="1631"/>
        <v>RECEITAS COM ENTREGAS</v>
      </c>
      <c r="P3357">
        <v>477.11</v>
      </c>
      <c r="Q3357" t="str">
        <f>"FARMÁCIA INDIANA LJ 61 (10027)"</f>
        <v>FARMÁCIA INDIANA LJ 61 (10027)</v>
      </c>
      <c r="R3357" t="str">
        <f t="shared" si="1632"/>
        <v>RECEITAS COM ENTREGAS (303)</v>
      </c>
      <c r="S3357">
        <v>1893</v>
      </c>
      <c r="T3357">
        <v>1407</v>
      </c>
      <c r="U3357" t="s">
        <v>19</v>
      </c>
    </row>
    <row r="3358" spans="1:21">
      <c r="A3358" t="str">
        <f t="shared" si="1616"/>
        <v>25/06/2025</v>
      </c>
      <c r="B3358" t="str">
        <f t="shared" si="1615"/>
        <v>ENTRADA</v>
      </c>
      <c r="C3358" t="str">
        <f t="shared" si="1630"/>
        <v>NFSE</v>
      </c>
      <c r="D3358" t="str">
        <f t="shared" si="1626"/>
        <v>3123</v>
      </c>
      <c r="E3358" t="str">
        <f t="shared" si="1611"/>
        <v>COM</v>
      </c>
      <c r="F3358" t="str">
        <f t="shared" si="1627"/>
        <v>FARMÁCIA INDIANA LJ 1 (10126)</v>
      </c>
      <c r="G3358" t="str">
        <f t="shared" si="1628"/>
        <v>Serv.Prest. 09/06/2025 a 15/06/2025 - RPS: 892 - NFSe: 3123</v>
      </c>
      <c r="H3358" t="str">
        <f t="shared" si="1620"/>
        <v>25/06/2025</v>
      </c>
      <c r="I3358" t="str">
        <f t="shared" si="1629"/>
        <v>17/06/2025</v>
      </c>
      <c r="J3358" t="str">
        <f t="shared" si="1622"/>
        <v>25/06/2025</v>
      </c>
      <c r="M3358">
        <v>303</v>
      </c>
      <c r="N3358" t="str">
        <f t="shared" si="1631"/>
        <v>RECEITAS COM ENTREGAS</v>
      </c>
      <c r="P3358">
        <v>329.99</v>
      </c>
      <c r="Q3358" t="str">
        <f>"FARMÁCIA INDIANA LJ 62 (10028)"</f>
        <v>FARMÁCIA INDIANA LJ 62 (10028)</v>
      </c>
      <c r="R3358" t="str">
        <f t="shared" si="1632"/>
        <v>RECEITAS COM ENTREGAS (303)</v>
      </c>
      <c r="S3358">
        <v>1893</v>
      </c>
      <c r="T3358">
        <v>1407</v>
      </c>
      <c r="U3358" t="s">
        <v>19</v>
      </c>
    </row>
    <row r="3359" spans="1:21">
      <c r="A3359" t="str">
        <f t="shared" ref="A3359:A3390" si="1633">("25/06/2025")</f>
        <v>25/06/2025</v>
      </c>
      <c r="B3359" t="str">
        <f t="shared" si="1615"/>
        <v>ENTRADA</v>
      </c>
      <c r="C3359" t="str">
        <f t="shared" si="1630"/>
        <v>NFSE</v>
      </c>
      <c r="D3359" t="str">
        <f t="shared" si="1626"/>
        <v>3123</v>
      </c>
      <c r="E3359" t="str">
        <f t="shared" si="1611"/>
        <v>COM</v>
      </c>
      <c r="F3359" t="str">
        <f t="shared" si="1627"/>
        <v>FARMÁCIA INDIANA LJ 1 (10126)</v>
      </c>
      <c r="G3359" t="str">
        <f t="shared" si="1628"/>
        <v>Serv.Prest. 09/06/2025 a 15/06/2025 - RPS: 892 - NFSe: 3123</v>
      </c>
      <c r="H3359" t="str">
        <f t="shared" ref="H3359:H3390" si="1634">("25/06/2025")</f>
        <v>25/06/2025</v>
      </c>
      <c r="I3359" t="str">
        <f t="shared" si="1629"/>
        <v>17/06/2025</v>
      </c>
      <c r="J3359" t="str">
        <f t="shared" ref="J3359:J3390" si="1635">("25/06/2025")</f>
        <v>25/06/2025</v>
      </c>
      <c r="M3359">
        <v>303</v>
      </c>
      <c r="N3359" t="str">
        <f t="shared" si="1631"/>
        <v>RECEITAS COM ENTREGAS</v>
      </c>
      <c r="P3359">
        <v>107.25</v>
      </c>
      <c r="Q3359" t="str">
        <f>"FARMÁCIA INDIANA LJ 64 (10029)"</f>
        <v>FARMÁCIA INDIANA LJ 64 (10029)</v>
      </c>
      <c r="R3359" t="str">
        <f t="shared" si="1632"/>
        <v>RECEITAS COM ENTREGAS (303)</v>
      </c>
      <c r="S3359">
        <v>1893</v>
      </c>
      <c r="T3359">
        <v>1407</v>
      </c>
      <c r="U3359" t="s">
        <v>19</v>
      </c>
    </row>
    <row r="3360" spans="1:21">
      <c r="A3360" t="str">
        <f t="shared" si="1633"/>
        <v>25/06/2025</v>
      </c>
      <c r="B3360" t="str">
        <f t="shared" si="1615"/>
        <v>ENTRADA</v>
      </c>
      <c r="C3360" t="str">
        <f t="shared" si="1630"/>
        <v>NFSE</v>
      </c>
      <c r="D3360" t="str">
        <f t="shared" si="1626"/>
        <v>3123</v>
      </c>
      <c r="E3360" t="str">
        <f t="shared" si="1611"/>
        <v>COM</v>
      </c>
      <c r="F3360" t="str">
        <f t="shared" si="1627"/>
        <v>FARMÁCIA INDIANA LJ 1 (10126)</v>
      </c>
      <c r="G3360" t="str">
        <f t="shared" si="1628"/>
        <v>Serv.Prest. 09/06/2025 a 15/06/2025 - RPS: 892 - NFSe: 3123</v>
      </c>
      <c r="H3360" t="str">
        <f t="shared" si="1634"/>
        <v>25/06/2025</v>
      </c>
      <c r="I3360" t="str">
        <f t="shared" si="1629"/>
        <v>17/06/2025</v>
      </c>
      <c r="J3360" t="str">
        <f t="shared" si="1635"/>
        <v>25/06/2025</v>
      </c>
      <c r="M3360">
        <v>303</v>
      </c>
      <c r="N3360" t="str">
        <f t="shared" si="1631"/>
        <v>RECEITAS COM ENTREGAS</v>
      </c>
      <c r="P3360">
        <v>66</v>
      </c>
      <c r="Q3360" t="str">
        <f>"FARMÁCIA INDIANA LJ 97 (10040)"</f>
        <v>FARMÁCIA INDIANA LJ 97 (10040)</v>
      </c>
      <c r="R3360" t="str">
        <f t="shared" si="1632"/>
        <v>RECEITAS COM ENTREGAS (303)</v>
      </c>
      <c r="S3360">
        <v>1893</v>
      </c>
      <c r="T3360">
        <v>1407</v>
      </c>
      <c r="U3360" t="s">
        <v>19</v>
      </c>
    </row>
    <row r="3361" spans="1:21">
      <c r="A3361" t="str">
        <f t="shared" si="1633"/>
        <v>25/06/2025</v>
      </c>
      <c r="B3361" t="str">
        <f t="shared" si="1615"/>
        <v>ENTRADA</v>
      </c>
      <c r="C3361" t="str">
        <f t="shared" si="1630"/>
        <v>NFSE</v>
      </c>
      <c r="D3361" t="str">
        <f t="shared" si="1626"/>
        <v>3123</v>
      </c>
      <c r="E3361" t="str">
        <f t="shared" si="1611"/>
        <v>COM</v>
      </c>
      <c r="F3361" t="str">
        <f t="shared" si="1627"/>
        <v>FARMÁCIA INDIANA LJ 1 (10126)</v>
      </c>
      <c r="G3361" t="str">
        <f t="shared" si="1628"/>
        <v>Serv.Prest. 09/06/2025 a 15/06/2025 - RPS: 892 - NFSe: 3123</v>
      </c>
      <c r="H3361" t="str">
        <f t="shared" si="1634"/>
        <v>25/06/2025</v>
      </c>
      <c r="I3361" t="str">
        <f t="shared" si="1629"/>
        <v>17/06/2025</v>
      </c>
      <c r="J3361" t="str">
        <f t="shared" si="1635"/>
        <v>25/06/2025</v>
      </c>
      <c r="M3361">
        <v>303</v>
      </c>
      <c r="N3361" t="str">
        <f t="shared" si="1631"/>
        <v>RECEITAS COM ENTREGAS</v>
      </c>
      <c r="P3361">
        <v>299.74</v>
      </c>
      <c r="Q3361" t="str">
        <f>"FARMÁCIA INDIANA LJ 100 (10042)"</f>
        <v>FARMÁCIA INDIANA LJ 100 (10042)</v>
      </c>
      <c r="R3361" t="str">
        <f t="shared" si="1632"/>
        <v>RECEITAS COM ENTREGAS (303)</v>
      </c>
      <c r="S3361">
        <v>1893</v>
      </c>
      <c r="T3361">
        <v>1407</v>
      </c>
      <c r="U3361" t="s">
        <v>19</v>
      </c>
    </row>
    <row r="3362" spans="1:21">
      <c r="A3362" t="str">
        <f t="shared" si="1633"/>
        <v>25/06/2025</v>
      </c>
      <c r="B3362" t="str">
        <f t="shared" si="1615"/>
        <v>ENTRADA</v>
      </c>
      <c r="C3362" t="str">
        <f t="shared" si="1630"/>
        <v>NFSE</v>
      </c>
      <c r="D3362" t="str">
        <f t="shared" si="1626"/>
        <v>3123</v>
      </c>
      <c r="E3362" t="str">
        <f t="shared" si="1611"/>
        <v>COM</v>
      </c>
      <c r="F3362" t="str">
        <f t="shared" si="1627"/>
        <v>FARMÁCIA INDIANA LJ 1 (10126)</v>
      </c>
      <c r="G3362" t="str">
        <f t="shared" si="1628"/>
        <v>Serv.Prest. 09/06/2025 a 15/06/2025 - RPS: 892 - NFSe: 3123</v>
      </c>
      <c r="H3362" t="str">
        <f t="shared" si="1634"/>
        <v>25/06/2025</v>
      </c>
      <c r="I3362" t="str">
        <f t="shared" si="1629"/>
        <v>17/06/2025</v>
      </c>
      <c r="J3362" t="str">
        <f t="shared" si="1635"/>
        <v>25/06/2025</v>
      </c>
      <c r="M3362">
        <v>303</v>
      </c>
      <c r="N3362" t="str">
        <f t="shared" si="1631"/>
        <v>RECEITAS COM ENTREGAS</v>
      </c>
      <c r="P3362">
        <v>618.73</v>
      </c>
      <c r="Q3362" t="str">
        <f>"FARMÁCIA INDIANA LJ 101 (10043)"</f>
        <v>FARMÁCIA INDIANA LJ 101 (10043)</v>
      </c>
      <c r="R3362" t="str">
        <f t="shared" si="1632"/>
        <v>RECEITAS COM ENTREGAS (303)</v>
      </c>
      <c r="S3362">
        <v>1893</v>
      </c>
      <c r="T3362">
        <v>1407</v>
      </c>
      <c r="U3362" t="s">
        <v>19</v>
      </c>
    </row>
    <row r="3363" spans="1:21">
      <c r="A3363" t="str">
        <f t="shared" si="1633"/>
        <v>25/06/2025</v>
      </c>
      <c r="B3363" t="str">
        <f t="shared" si="1615"/>
        <v>ENTRADA</v>
      </c>
      <c r="C3363" t="str">
        <f t="shared" si="1630"/>
        <v>NFSE</v>
      </c>
      <c r="D3363" t="str">
        <f t="shared" si="1626"/>
        <v>3123</v>
      </c>
      <c r="E3363" t="str">
        <f t="shared" si="1611"/>
        <v>COM</v>
      </c>
      <c r="F3363" t="str">
        <f t="shared" si="1627"/>
        <v>FARMÁCIA INDIANA LJ 1 (10126)</v>
      </c>
      <c r="G3363" t="str">
        <f t="shared" si="1628"/>
        <v>Serv.Prest. 09/06/2025 a 15/06/2025 - RPS: 892 - NFSe: 3123</v>
      </c>
      <c r="H3363" t="str">
        <f t="shared" si="1634"/>
        <v>25/06/2025</v>
      </c>
      <c r="I3363" t="str">
        <f t="shared" si="1629"/>
        <v>17/06/2025</v>
      </c>
      <c r="J3363" t="str">
        <f t="shared" si="1635"/>
        <v>25/06/2025</v>
      </c>
      <c r="M3363">
        <v>303</v>
      </c>
      <c r="N3363" t="str">
        <f t="shared" si="1631"/>
        <v>RECEITAS COM ENTREGAS</v>
      </c>
      <c r="P3363">
        <v>67.37</v>
      </c>
      <c r="Q3363" t="str">
        <f>"FARMÁCIA INDIANA LJ 103 (10044)"</f>
        <v>FARMÁCIA INDIANA LJ 103 (10044)</v>
      </c>
      <c r="R3363" t="str">
        <f t="shared" si="1632"/>
        <v>RECEITAS COM ENTREGAS (303)</v>
      </c>
      <c r="S3363">
        <v>1893</v>
      </c>
      <c r="T3363">
        <v>1407</v>
      </c>
      <c r="U3363" t="s">
        <v>19</v>
      </c>
    </row>
    <row r="3364" spans="1:21">
      <c r="A3364" t="str">
        <f t="shared" si="1633"/>
        <v>25/06/2025</v>
      </c>
      <c r="B3364" t="str">
        <f t="shared" si="1615"/>
        <v>ENTRADA</v>
      </c>
      <c r="C3364" t="str">
        <f t="shared" si="1630"/>
        <v>NFSE</v>
      </c>
      <c r="D3364" t="str">
        <f t="shared" si="1626"/>
        <v>3123</v>
      </c>
      <c r="E3364" t="str">
        <f t="shared" si="1611"/>
        <v>COM</v>
      </c>
      <c r="F3364" t="str">
        <f t="shared" si="1627"/>
        <v>FARMÁCIA INDIANA LJ 1 (10126)</v>
      </c>
      <c r="G3364" t="str">
        <f t="shared" si="1628"/>
        <v>Serv.Prest. 09/06/2025 a 15/06/2025 - RPS: 892 - NFSe: 3123</v>
      </c>
      <c r="H3364" t="str">
        <f t="shared" si="1634"/>
        <v>25/06/2025</v>
      </c>
      <c r="I3364" t="str">
        <f t="shared" si="1629"/>
        <v>17/06/2025</v>
      </c>
      <c r="J3364" t="str">
        <f t="shared" si="1635"/>
        <v>25/06/2025</v>
      </c>
      <c r="M3364">
        <v>303</v>
      </c>
      <c r="N3364" t="str">
        <f t="shared" si="1631"/>
        <v>RECEITAS COM ENTREGAS</v>
      </c>
      <c r="P3364">
        <v>169.12</v>
      </c>
      <c r="Q3364" t="str">
        <f>"FARMÁCIA INDIANA LJ 109 (10047)"</f>
        <v>FARMÁCIA INDIANA LJ 109 (10047)</v>
      </c>
      <c r="R3364" t="str">
        <f t="shared" si="1632"/>
        <v>RECEITAS COM ENTREGAS (303)</v>
      </c>
      <c r="S3364">
        <v>1893</v>
      </c>
      <c r="T3364">
        <v>1407</v>
      </c>
      <c r="U3364" t="s">
        <v>19</v>
      </c>
    </row>
    <row r="3365" spans="1:21">
      <c r="A3365" t="str">
        <f t="shared" si="1633"/>
        <v>25/06/2025</v>
      </c>
      <c r="B3365" t="str">
        <f t="shared" si="1615"/>
        <v>ENTRADA</v>
      </c>
      <c r="C3365" t="str">
        <f t="shared" si="1630"/>
        <v>NFSE</v>
      </c>
      <c r="D3365" t="str">
        <f t="shared" si="1626"/>
        <v>3123</v>
      </c>
      <c r="E3365" t="str">
        <f t="shared" si="1611"/>
        <v>COM</v>
      </c>
      <c r="F3365" t="str">
        <f t="shared" si="1627"/>
        <v>FARMÁCIA INDIANA LJ 1 (10126)</v>
      </c>
      <c r="G3365" t="str">
        <f t="shared" si="1628"/>
        <v>Serv.Prest. 09/06/2025 a 15/06/2025 - RPS: 892 - NFSe: 3123</v>
      </c>
      <c r="H3365" t="str">
        <f t="shared" si="1634"/>
        <v>25/06/2025</v>
      </c>
      <c r="I3365" t="str">
        <f t="shared" si="1629"/>
        <v>17/06/2025</v>
      </c>
      <c r="J3365" t="str">
        <f t="shared" si="1635"/>
        <v>25/06/2025</v>
      </c>
      <c r="M3365">
        <v>303</v>
      </c>
      <c r="N3365" t="str">
        <f t="shared" si="1631"/>
        <v>RECEITAS COM ENTREGAS</v>
      </c>
      <c r="P3365">
        <v>538.99</v>
      </c>
      <c r="Q3365" t="str">
        <f>"FARMÁCIA INDIANA LJ 110 (10048)"</f>
        <v>FARMÁCIA INDIANA LJ 110 (10048)</v>
      </c>
      <c r="R3365" t="str">
        <f t="shared" si="1632"/>
        <v>RECEITAS COM ENTREGAS (303)</v>
      </c>
      <c r="S3365">
        <v>1893</v>
      </c>
      <c r="T3365">
        <v>1407</v>
      </c>
      <c r="U3365" t="s">
        <v>19</v>
      </c>
    </row>
    <row r="3366" spans="1:21">
      <c r="A3366" t="str">
        <f t="shared" si="1633"/>
        <v>25/06/2025</v>
      </c>
      <c r="B3366" t="str">
        <f t="shared" si="1615"/>
        <v>ENTRADA</v>
      </c>
      <c r="C3366" t="str">
        <f t="shared" si="1630"/>
        <v>NFSE</v>
      </c>
      <c r="D3366" t="str">
        <f t="shared" si="1626"/>
        <v>3123</v>
      </c>
      <c r="E3366" t="str">
        <f t="shared" si="1611"/>
        <v>COM</v>
      </c>
      <c r="F3366" t="str">
        <f t="shared" si="1627"/>
        <v>FARMÁCIA INDIANA LJ 1 (10126)</v>
      </c>
      <c r="G3366" t="str">
        <f t="shared" si="1628"/>
        <v>Serv.Prest. 09/06/2025 a 15/06/2025 - RPS: 892 - NFSe: 3123</v>
      </c>
      <c r="H3366" t="str">
        <f t="shared" si="1634"/>
        <v>25/06/2025</v>
      </c>
      <c r="I3366" t="str">
        <f t="shared" si="1629"/>
        <v>17/06/2025</v>
      </c>
      <c r="J3366" t="str">
        <f t="shared" si="1635"/>
        <v>25/06/2025</v>
      </c>
      <c r="M3366">
        <v>303</v>
      </c>
      <c r="N3366" t="str">
        <f t="shared" si="1631"/>
        <v>RECEITAS COM ENTREGAS</v>
      </c>
      <c r="P3366">
        <v>64.62</v>
      </c>
      <c r="Q3366" t="str">
        <f>"FARMÁCIA INDIANA LJ 111 (10049)"</f>
        <v>FARMÁCIA INDIANA LJ 111 (10049)</v>
      </c>
      <c r="R3366" t="str">
        <f t="shared" si="1632"/>
        <v>RECEITAS COM ENTREGAS (303)</v>
      </c>
      <c r="S3366">
        <v>1893</v>
      </c>
      <c r="T3366">
        <v>1407</v>
      </c>
      <c r="U3366" t="s">
        <v>19</v>
      </c>
    </row>
    <row r="3367" spans="1:21">
      <c r="A3367" t="str">
        <f t="shared" si="1633"/>
        <v>25/06/2025</v>
      </c>
      <c r="B3367" t="str">
        <f t="shared" si="1615"/>
        <v>ENTRADA</v>
      </c>
      <c r="C3367" t="str">
        <f t="shared" si="1630"/>
        <v>NFSE</v>
      </c>
      <c r="D3367" t="str">
        <f t="shared" si="1626"/>
        <v>3123</v>
      </c>
      <c r="E3367" t="str">
        <f t="shared" si="1611"/>
        <v>COM</v>
      </c>
      <c r="F3367" t="str">
        <f t="shared" si="1627"/>
        <v>FARMÁCIA INDIANA LJ 1 (10126)</v>
      </c>
      <c r="G3367" t="str">
        <f t="shared" si="1628"/>
        <v>Serv.Prest. 09/06/2025 a 15/06/2025 - RPS: 892 - NFSe: 3123</v>
      </c>
      <c r="H3367" t="str">
        <f t="shared" si="1634"/>
        <v>25/06/2025</v>
      </c>
      <c r="I3367" t="str">
        <f t="shared" si="1629"/>
        <v>17/06/2025</v>
      </c>
      <c r="J3367" t="str">
        <f t="shared" si="1635"/>
        <v>25/06/2025</v>
      </c>
      <c r="M3367">
        <v>303</v>
      </c>
      <c r="N3367" t="str">
        <f t="shared" si="1631"/>
        <v>RECEITAS COM ENTREGAS</v>
      </c>
      <c r="P3367">
        <v>119.62</v>
      </c>
      <c r="Q3367" t="str">
        <f>"FARMÁCIA INDIANA LJ 112 (10050)"</f>
        <v>FARMÁCIA INDIANA LJ 112 (10050)</v>
      </c>
      <c r="R3367" t="str">
        <f t="shared" si="1632"/>
        <v>RECEITAS COM ENTREGAS (303)</v>
      </c>
      <c r="S3367">
        <v>1893</v>
      </c>
      <c r="T3367">
        <v>1407</v>
      </c>
      <c r="U3367" t="s">
        <v>19</v>
      </c>
    </row>
    <row r="3368" spans="1:21">
      <c r="A3368" t="str">
        <f t="shared" si="1633"/>
        <v>25/06/2025</v>
      </c>
      <c r="B3368" t="str">
        <f t="shared" si="1615"/>
        <v>ENTRADA</v>
      </c>
      <c r="C3368" t="str">
        <f t="shared" si="1630"/>
        <v>NFSE</v>
      </c>
      <c r="D3368" t="str">
        <f t="shared" si="1626"/>
        <v>3123</v>
      </c>
      <c r="E3368" t="str">
        <f t="shared" si="1611"/>
        <v>COM</v>
      </c>
      <c r="F3368" t="str">
        <f t="shared" si="1627"/>
        <v>FARMÁCIA INDIANA LJ 1 (10126)</v>
      </c>
      <c r="G3368" t="str">
        <f t="shared" si="1628"/>
        <v>Serv.Prest. 09/06/2025 a 15/06/2025 - RPS: 892 - NFSe: 3123</v>
      </c>
      <c r="H3368" t="str">
        <f t="shared" si="1634"/>
        <v>25/06/2025</v>
      </c>
      <c r="I3368" t="str">
        <f t="shared" si="1629"/>
        <v>17/06/2025</v>
      </c>
      <c r="J3368" t="str">
        <f t="shared" si="1635"/>
        <v>25/06/2025</v>
      </c>
      <c r="M3368">
        <v>303</v>
      </c>
      <c r="N3368" t="str">
        <f t="shared" si="1631"/>
        <v>RECEITAS COM ENTREGAS</v>
      </c>
      <c r="P3368">
        <v>119.62</v>
      </c>
      <c r="Q3368" t="str">
        <f>"FARMÁCIA INDIANA LJ 116 (10051)"</f>
        <v>FARMÁCIA INDIANA LJ 116 (10051)</v>
      </c>
      <c r="R3368" t="str">
        <f t="shared" si="1632"/>
        <v>RECEITAS COM ENTREGAS (303)</v>
      </c>
      <c r="S3368">
        <v>1893</v>
      </c>
      <c r="T3368">
        <v>1407</v>
      </c>
      <c r="U3368" t="s">
        <v>19</v>
      </c>
    </row>
    <row r="3369" spans="1:21">
      <c r="A3369" t="str">
        <f t="shared" si="1633"/>
        <v>25/06/2025</v>
      </c>
      <c r="B3369" t="str">
        <f t="shared" si="1615"/>
        <v>ENTRADA</v>
      </c>
      <c r="C3369" t="str">
        <f t="shared" si="1630"/>
        <v>NFSE</v>
      </c>
      <c r="D3369" t="str">
        <f t="shared" si="1626"/>
        <v>3123</v>
      </c>
      <c r="E3369" t="str">
        <f t="shared" si="1611"/>
        <v>COM</v>
      </c>
      <c r="F3369" t="str">
        <f t="shared" si="1627"/>
        <v>FARMÁCIA INDIANA LJ 1 (10126)</v>
      </c>
      <c r="G3369" t="str">
        <f t="shared" si="1628"/>
        <v>Serv.Prest. 09/06/2025 a 15/06/2025 - RPS: 892 - NFSe: 3123</v>
      </c>
      <c r="H3369" t="str">
        <f t="shared" si="1634"/>
        <v>25/06/2025</v>
      </c>
      <c r="I3369" t="str">
        <f t="shared" si="1629"/>
        <v>17/06/2025</v>
      </c>
      <c r="J3369" t="str">
        <f t="shared" si="1635"/>
        <v>25/06/2025</v>
      </c>
      <c r="M3369">
        <v>303</v>
      </c>
      <c r="N3369" t="str">
        <f t="shared" si="1631"/>
        <v>RECEITAS COM ENTREGAS</v>
      </c>
      <c r="P3369">
        <v>147.12</v>
      </c>
      <c r="Q3369" t="str">
        <f>"FARMÁCIA INDIANA LJ 118 (10052)"</f>
        <v>FARMÁCIA INDIANA LJ 118 (10052)</v>
      </c>
      <c r="R3369" t="str">
        <f t="shared" si="1632"/>
        <v>RECEITAS COM ENTREGAS (303)</v>
      </c>
      <c r="S3369">
        <v>1893</v>
      </c>
      <c r="T3369">
        <v>1407</v>
      </c>
      <c r="U3369" t="s">
        <v>19</v>
      </c>
    </row>
    <row r="3370" spans="1:21">
      <c r="A3370" t="str">
        <f t="shared" si="1633"/>
        <v>25/06/2025</v>
      </c>
      <c r="B3370" t="str">
        <f t="shared" si="1615"/>
        <v>ENTRADA</v>
      </c>
      <c r="C3370" t="str">
        <f t="shared" si="1630"/>
        <v>NFSE</v>
      </c>
      <c r="D3370" t="str">
        <f t="shared" si="1626"/>
        <v>3123</v>
      </c>
      <c r="E3370" t="str">
        <f t="shared" si="1611"/>
        <v>COM</v>
      </c>
      <c r="F3370" t="str">
        <f t="shared" si="1627"/>
        <v>FARMÁCIA INDIANA LJ 1 (10126)</v>
      </c>
      <c r="G3370" t="str">
        <f t="shared" si="1628"/>
        <v>Serv.Prest. 09/06/2025 a 15/06/2025 - RPS: 892 - NFSe: 3123</v>
      </c>
      <c r="H3370" t="str">
        <f t="shared" si="1634"/>
        <v>25/06/2025</v>
      </c>
      <c r="I3370" t="str">
        <f t="shared" si="1629"/>
        <v>17/06/2025</v>
      </c>
      <c r="J3370" t="str">
        <f t="shared" si="1635"/>
        <v>25/06/2025</v>
      </c>
      <c r="M3370">
        <v>303</v>
      </c>
      <c r="N3370" t="str">
        <f t="shared" si="1631"/>
        <v>RECEITAS COM ENTREGAS</v>
      </c>
      <c r="P3370">
        <v>119.62</v>
      </c>
      <c r="Q3370" t="str">
        <f>"FARMÁCIA INDIANA LJ 121 (10054)"</f>
        <v>FARMÁCIA INDIANA LJ 121 (10054)</v>
      </c>
      <c r="R3370" t="str">
        <f t="shared" si="1632"/>
        <v>RECEITAS COM ENTREGAS (303)</v>
      </c>
      <c r="S3370">
        <v>1893</v>
      </c>
      <c r="T3370">
        <v>1407</v>
      </c>
      <c r="U3370" t="s">
        <v>19</v>
      </c>
    </row>
    <row r="3371" spans="1:21">
      <c r="A3371" t="str">
        <f t="shared" si="1633"/>
        <v>25/06/2025</v>
      </c>
      <c r="B3371" t="str">
        <f t="shared" si="1615"/>
        <v>ENTRADA</v>
      </c>
      <c r="C3371" t="str">
        <f t="shared" si="1630"/>
        <v>NFSE</v>
      </c>
      <c r="D3371" t="str">
        <f t="shared" si="1626"/>
        <v>3123</v>
      </c>
      <c r="E3371" t="str">
        <f t="shared" si="1611"/>
        <v>COM</v>
      </c>
      <c r="F3371" t="str">
        <f t="shared" si="1627"/>
        <v>FARMÁCIA INDIANA LJ 1 (10126)</v>
      </c>
      <c r="G3371" t="str">
        <f t="shared" si="1628"/>
        <v>Serv.Prest. 09/06/2025 a 15/06/2025 - RPS: 892 - NFSe: 3123</v>
      </c>
      <c r="H3371" t="str">
        <f t="shared" si="1634"/>
        <v>25/06/2025</v>
      </c>
      <c r="I3371" t="str">
        <f t="shared" si="1629"/>
        <v>17/06/2025</v>
      </c>
      <c r="J3371" t="str">
        <f t="shared" si="1635"/>
        <v>25/06/2025</v>
      </c>
      <c r="M3371">
        <v>303</v>
      </c>
      <c r="N3371" t="str">
        <f t="shared" si="1631"/>
        <v>RECEITAS COM ENTREGAS</v>
      </c>
      <c r="P3371">
        <v>119.62</v>
      </c>
      <c r="Q3371" t="str">
        <f>"FARMÁCIA INDIANA LJ 128 (10057)"</f>
        <v>FARMÁCIA INDIANA LJ 128 (10057)</v>
      </c>
      <c r="R3371" t="str">
        <f t="shared" si="1632"/>
        <v>RECEITAS COM ENTREGAS (303)</v>
      </c>
      <c r="S3371">
        <v>1893</v>
      </c>
      <c r="T3371">
        <v>1407</v>
      </c>
      <c r="U3371" t="s">
        <v>19</v>
      </c>
    </row>
    <row r="3372" spans="1:21">
      <c r="A3372" t="str">
        <f t="shared" si="1633"/>
        <v>25/06/2025</v>
      </c>
      <c r="B3372" t="str">
        <f t="shared" si="1615"/>
        <v>ENTRADA</v>
      </c>
      <c r="C3372" t="str">
        <f t="shared" si="1630"/>
        <v>NFSE</v>
      </c>
      <c r="D3372" t="str">
        <f t="shared" si="1626"/>
        <v>3123</v>
      </c>
      <c r="E3372" t="str">
        <f t="shared" si="1611"/>
        <v>COM</v>
      </c>
      <c r="F3372" t="str">
        <f t="shared" si="1627"/>
        <v>FARMÁCIA INDIANA LJ 1 (10126)</v>
      </c>
      <c r="G3372" t="str">
        <f t="shared" si="1628"/>
        <v>Serv.Prest. 09/06/2025 a 15/06/2025 - RPS: 892 - NFSe: 3123</v>
      </c>
      <c r="H3372" t="str">
        <f t="shared" si="1634"/>
        <v>25/06/2025</v>
      </c>
      <c r="I3372" t="str">
        <f t="shared" si="1629"/>
        <v>17/06/2025</v>
      </c>
      <c r="J3372" t="str">
        <f t="shared" si="1635"/>
        <v>25/06/2025</v>
      </c>
      <c r="M3372">
        <v>303</v>
      </c>
      <c r="N3372" t="str">
        <f t="shared" si="1631"/>
        <v>RECEITAS COM ENTREGAS</v>
      </c>
      <c r="P3372">
        <v>66</v>
      </c>
      <c r="Q3372" t="str">
        <f>"FARMÁCIA INDIANA LJ 140 (10064)"</f>
        <v>FARMÁCIA INDIANA LJ 140 (10064)</v>
      </c>
      <c r="R3372" t="str">
        <f t="shared" si="1632"/>
        <v>RECEITAS COM ENTREGAS (303)</v>
      </c>
      <c r="S3372">
        <v>1893</v>
      </c>
      <c r="T3372">
        <v>1407</v>
      </c>
      <c r="U3372" t="s">
        <v>19</v>
      </c>
    </row>
    <row r="3373" spans="1:21">
      <c r="A3373" t="str">
        <f t="shared" si="1633"/>
        <v>25/06/2025</v>
      </c>
      <c r="B3373" t="str">
        <f t="shared" si="1615"/>
        <v>ENTRADA</v>
      </c>
      <c r="C3373" t="str">
        <f t="shared" si="1630"/>
        <v>NFSE</v>
      </c>
      <c r="D3373" t="str">
        <f t="shared" si="1626"/>
        <v>3123</v>
      </c>
      <c r="E3373" t="str">
        <f t="shared" si="1611"/>
        <v>COM</v>
      </c>
      <c r="F3373" t="str">
        <f t="shared" si="1627"/>
        <v>FARMÁCIA INDIANA LJ 1 (10126)</v>
      </c>
      <c r="G3373" t="str">
        <f t="shared" si="1628"/>
        <v>Serv.Prest. 09/06/2025 a 15/06/2025 - RPS: 892 - NFSe: 3123</v>
      </c>
      <c r="H3373" t="str">
        <f t="shared" si="1634"/>
        <v>25/06/2025</v>
      </c>
      <c r="I3373" t="str">
        <f t="shared" si="1629"/>
        <v>17/06/2025</v>
      </c>
      <c r="J3373" t="str">
        <f t="shared" si="1635"/>
        <v>25/06/2025</v>
      </c>
      <c r="M3373">
        <v>303</v>
      </c>
      <c r="N3373" t="str">
        <f t="shared" si="1631"/>
        <v>RECEITAS COM ENTREGAS</v>
      </c>
      <c r="P3373">
        <v>20.62</v>
      </c>
      <c r="Q3373" t="str">
        <f>"FARMÁCIA INDIANA LJ 141 (10065)"</f>
        <v>FARMÁCIA INDIANA LJ 141 (10065)</v>
      </c>
      <c r="R3373" t="str">
        <f t="shared" si="1632"/>
        <v>RECEITAS COM ENTREGAS (303)</v>
      </c>
      <c r="S3373">
        <v>1893</v>
      </c>
      <c r="T3373">
        <v>1407</v>
      </c>
      <c r="U3373" t="s">
        <v>19</v>
      </c>
    </row>
    <row r="3374" spans="1:21">
      <c r="A3374" t="str">
        <f t="shared" si="1633"/>
        <v>25/06/2025</v>
      </c>
      <c r="B3374" t="str">
        <f t="shared" si="1615"/>
        <v>ENTRADA</v>
      </c>
      <c r="C3374" t="str">
        <f t="shared" si="1630"/>
        <v>NFSE</v>
      </c>
      <c r="D3374" t="str">
        <f t="shared" si="1626"/>
        <v>3123</v>
      </c>
      <c r="E3374" t="str">
        <f t="shared" si="1611"/>
        <v>COM</v>
      </c>
      <c r="F3374" t="str">
        <f t="shared" si="1627"/>
        <v>FARMÁCIA INDIANA LJ 1 (10126)</v>
      </c>
      <c r="G3374" t="str">
        <f t="shared" si="1628"/>
        <v>Serv.Prest. 09/06/2025 a 15/06/2025 - RPS: 892 - NFSe: 3123</v>
      </c>
      <c r="H3374" t="str">
        <f t="shared" si="1634"/>
        <v>25/06/2025</v>
      </c>
      <c r="I3374" t="str">
        <f t="shared" si="1629"/>
        <v>17/06/2025</v>
      </c>
      <c r="J3374" t="str">
        <f t="shared" si="1635"/>
        <v>25/06/2025</v>
      </c>
      <c r="M3374">
        <v>303</v>
      </c>
      <c r="N3374" t="str">
        <f t="shared" si="1631"/>
        <v>RECEITAS COM ENTREGAS</v>
      </c>
      <c r="P3374">
        <v>753.48</v>
      </c>
      <c r="Q3374" t="str">
        <f>"FARMÁCIA INDIANA LJ 142 (10066)"</f>
        <v>FARMÁCIA INDIANA LJ 142 (10066)</v>
      </c>
      <c r="R3374" t="str">
        <f t="shared" si="1632"/>
        <v>RECEITAS COM ENTREGAS (303)</v>
      </c>
      <c r="S3374">
        <v>1893</v>
      </c>
      <c r="T3374">
        <v>1407</v>
      </c>
      <c r="U3374" t="s">
        <v>19</v>
      </c>
    </row>
    <row r="3375" spans="1:21">
      <c r="A3375" t="str">
        <f t="shared" si="1633"/>
        <v>25/06/2025</v>
      </c>
      <c r="B3375" t="str">
        <f t="shared" si="1615"/>
        <v>ENTRADA</v>
      </c>
      <c r="C3375" t="str">
        <f t="shared" si="1630"/>
        <v>NFSE</v>
      </c>
      <c r="D3375" t="str">
        <f t="shared" si="1626"/>
        <v>3123</v>
      </c>
      <c r="E3375" t="str">
        <f t="shared" ref="E3375:E3438" si="1636">"COM"</f>
        <v>COM</v>
      </c>
      <c r="F3375" t="str">
        <f t="shared" si="1627"/>
        <v>FARMÁCIA INDIANA LJ 1 (10126)</v>
      </c>
      <c r="G3375" t="str">
        <f t="shared" si="1628"/>
        <v>Serv.Prest. 09/06/2025 a 15/06/2025 - RPS: 892 - NFSe: 3123</v>
      </c>
      <c r="H3375" t="str">
        <f t="shared" si="1634"/>
        <v>25/06/2025</v>
      </c>
      <c r="I3375" t="str">
        <f t="shared" si="1629"/>
        <v>17/06/2025</v>
      </c>
      <c r="J3375" t="str">
        <f t="shared" si="1635"/>
        <v>25/06/2025</v>
      </c>
      <c r="M3375">
        <v>303</v>
      </c>
      <c r="N3375" t="str">
        <f t="shared" si="1631"/>
        <v>RECEITAS COM ENTREGAS</v>
      </c>
      <c r="P3375">
        <v>66</v>
      </c>
      <c r="Q3375" t="str">
        <f>"FARMÁCIA INDIANA LJ 143 (10067)"</f>
        <v>FARMÁCIA INDIANA LJ 143 (10067)</v>
      </c>
      <c r="R3375" t="str">
        <f t="shared" si="1632"/>
        <v>RECEITAS COM ENTREGAS (303)</v>
      </c>
      <c r="S3375">
        <v>1893</v>
      </c>
      <c r="T3375">
        <v>1407</v>
      </c>
      <c r="U3375" t="s">
        <v>19</v>
      </c>
    </row>
    <row r="3376" spans="1:21">
      <c r="A3376" t="str">
        <f t="shared" si="1633"/>
        <v>25/06/2025</v>
      </c>
      <c r="B3376" t="str">
        <f t="shared" si="1615"/>
        <v>ENTRADA</v>
      </c>
      <c r="C3376" t="str">
        <f t="shared" si="1630"/>
        <v>NFSE</v>
      </c>
      <c r="D3376" t="str">
        <f t="shared" si="1626"/>
        <v>3123</v>
      </c>
      <c r="E3376" t="str">
        <f t="shared" si="1636"/>
        <v>COM</v>
      </c>
      <c r="F3376" t="str">
        <f t="shared" si="1627"/>
        <v>FARMÁCIA INDIANA LJ 1 (10126)</v>
      </c>
      <c r="G3376" t="str">
        <f t="shared" si="1628"/>
        <v>Serv.Prest. 09/06/2025 a 15/06/2025 - RPS: 892 - NFSe: 3123</v>
      </c>
      <c r="H3376" t="str">
        <f t="shared" si="1634"/>
        <v>25/06/2025</v>
      </c>
      <c r="I3376" t="str">
        <f t="shared" si="1629"/>
        <v>17/06/2025</v>
      </c>
      <c r="J3376" t="str">
        <f t="shared" si="1635"/>
        <v>25/06/2025</v>
      </c>
      <c r="M3376">
        <v>303</v>
      </c>
      <c r="N3376" t="str">
        <f t="shared" si="1631"/>
        <v>RECEITAS COM ENTREGAS</v>
      </c>
      <c r="P3376">
        <v>169.12</v>
      </c>
      <c r="Q3376" t="str">
        <f>"FARMÁCIA INDIANA LJ 152 (10069)"</f>
        <v>FARMÁCIA INDIANA LJ 152 (10069)</v>
      </c>
      <c r="R3376" t="str">
        <f t="shared" si="1632"/>
        <v>RECEITAS COM ENTREGAS (303)</v>
      </c>
      <c r="S3376">
        <v>1893</v>
      </c>
      <c r="T3376">
        <v>1407</v>
      </c>
      <c r="U3376" t="s">
        <v>19</v>
      </c>
    </row>
    <row r="3377" spans="1:21">
      <c r="A3377" t="str">
        <f t="shared" si="1633"/>
        <v>25/06/2025</v>
      </c>
      <c r="B3377" t="str">
        <f t="shared" si="1615"/>
        <v>ENTRADA</v>
      </c>
      <c r="C3377" t="str">
        <f t="shared" si="1630"/>
        <v>NFSE</v>
      </c>
      <c r="D3377" t="str">
        <f t="shared" si="1626"/>
        <v>3123</v>
      </c>
      <c r="E3377" t="str">
        <f t="shared" si="1636"/>
        <v>COM</v>
      </c>
      <c r="F3377" t="str">
        <f t="shared" si="1627"/>
        <v>FARMÁCIA INDIANA LJ 1 (10126)</v>
      </c>
      <c r="G3377" t="str">
        <f t="shared" si="1628"/>
        <v>Serv.Prest. 09/06/2025 a 15/06/2025 - RPS: 892 - NFSe: 3123</v>
      </c>
      <c r="H3377" t="str">
        <f t="shared" si="1634"/>
        <v>25/06/2025</v>
      </c>
      <c r="I3377" t="str">
        <f t="shared" si="1629"/>
        <v>17/06/2025</v>
      </c>
      <c r="J3377" t="str">
        <f t="shared" si="1635"/>
        <v>25/06/2025</v>
      </c>
      <c r="M3377">
        <v>303</v>
      </c>
      <c r="N3377" t="str">
        <f t="shared" si="1631"/>
        <v>RECEITAS COM ENTREGAS</v>
      </c>
      <c r="P3377">
        <v>37.119999999999997</v>
      </c>
      <c r="Q3377" t="str">
        <f>"FARMÁCIA INDIANA LJ 154 (10070)"</f>
        <v>FARMÁCIA INDIANA LJ 154 (10070)</v>
      </c>
      <c r="R3377" t="str">
        <f t="shared" si="1632"/>
        <v>RECEITAS COM ENTREGAS (303)</v>
      </c>
      <c r="S3377">
        <v>1893</v>
      </c>
      <c r="T3377">
        <v>1407</v>
      </c>
      <c r="U3377" t="s">
        <v>19</v>
      </c>
    </row>
    <row r="3378" spans="1:21">
      <c r="A3378" t="str">
        <f t="shared" si="1633"/>
        <v>25/06/2025</v>
      </c>
      <c r="B3378" t="str">
        <f t="shared" si="1615"/>
        <v>ENTRADA</v>
      </c>
      <c r="C3378" t="str">
        <f t="shared" si="1630"/>
        <v>NFSE</v>
      </c>
      <c r="D3378" t="str">
        <f t="shared" si="1626"/>
        <v>3123</v>
      </c>
      <c r="E3378" t="str">
        <f t="shared" si="1636"/>
        <v>COM</v>
      </c>
      <c r="F3378" t="str">
        <f t="shared" si="1627"/>
        <v>FARMÁCIA INDIANA LJ 1 (10126)</v>
      </c>
      <c r="G3378" t="str">
        <f t="shared" si="1628"/>
        <v>Serv.Prest. 09/06/2025 a 15/06/2025 - RPS: 892 - NFSe: 3123</v>
      </c>
      <c r="H3378" t="str">
        <f t="shared" si="1634"/>
        <v>25/06/2025</v>
      </c>
      <c r="I3378" t="str">
        <f t="shared" si="1629"/>
        <v>17/06/2025</v>
      </c>
      <c r="J3378" t="str">
        <f t="shared" si="1635"/>
        <v>25/06/2025</v>
      </c>
      <c r="M3378">
        <v>303</v>
      </c>
      <c r="N3378" t="str">
        <f t="shared" si="1631"/>
        <v>RECEITAS COM ENTREGAS</v>
      </c>
      <c r="P3378">
        <v>321.74</v>
      </c>
      <c r="Q3378" t="str">
        <f>"FARMÁCIA INDIANA LJ 171 (10074)"</f>
        <v>FARMÁCIA INDIANA LJ 171 (10074)</v>
      </c>
      <c r="R3378" t="str">
        <f t="shared" si="1632"/>
        <v>RECEITAS COM ENTREGAS (303)</v>
      </c>
      <c r="S3378">
        <v>1893</v>
      </c>
      <c r="T3378">
        <v>1407</v>
      </c>
      <c r="U3378" t="s">
        <v>19</v>
      </c>
    </row>
    <row r="3379" spans="1:21">
      <c r="A3379" t="str">
        <f t="shared" si="1633"/>
        <v>25/06/2025</v>
      </c>
      <c r="B3379" t="str">
        <f t="shared" si="1615"/>
        <v>ENTRADA</v>
      </c>
      <c r="C3379" t="str">
        <f t="shared" si="1630"/>
        <v>NFSE</v>
      </c>
      <c r="D3379" t="str">
        <f t="shared" si="1626"/>
        <v>3123</v>
      </c>
      <c r="E3379" t="str">
        <f t="shared" si="1636"/>
        <v>COM</v>
      </c>
      <c r="F3379" t="str">
        <f t="shared" si="1627"/>
        <v>FARMÁCIA INDIANA LJ 1 (10126)</v>
      </c>
      <c r="G3379" t="str">
        <f t="shared" si="1628"/>
        <v>Serv.Prest. 09/06/2025 a 15/06/2025 - RPS: 892 - NFSe: 3123</v>
      </c>
      <c r="H3379" t="str">
        <f t="shared" si="1634"/>
        <v>25/06/2025</v>
      </c>
      <c r="I3379" t="str">
        <f t="shared" si="1629"/>
        <v>17/06/2025</v>
      </c>
      <c r="J3379" t="str">
        <f t="shared" si="1635"/>
        <v>25/06/2025</v>
      </c>
      <c r="M3379">
        <v>303</v>
      </c>
      <c r="N3379" t="str">
        <f t="shared" si="1631"/>
        <v>RECEITAS COM ENTREGAS</v>
      </c>
      <c r="P3379">
        <v>123.75</v>
      </c>
      <c r="Q3379" t="str">
        <f>"FARMÁCIA INDIANA LJ 175 (10076)"</f>
        <v>FARMÁCIA INDIANA LJ 175 (10076)</v>
      </c>
      <c r="R3379" t="str">
        <f t="shared" si="1632"/>
        <v>RECEITAS COM ENTREGAS (303)</v>
      </c>
      <c r="S3379">
        <v>1893</v>
      </c>
      <c r="T3379">
        <v>1407</v>
      </c>
      <c r="U3379" t="s">
        <v>19</v>
      </c>
    </row>
    <row r="3380" spans="1:21">
      <c r="A3380" t="str">
        <f t="shared" si="1633"/>
        <v>25/06/2025</v>
      </c>
      <c r="B3380" t="str">
        <f t="shared" si="1615"/>
        <v>ENTRADA</v>
      </c>
      <c r="C3380" t="str">
        <f t="shared" si="1630"/>
        <v>NFSE</v>
      </c>
      <c r="D3380" t="str">
        <f t="shared" si="1626"/>
        <v>3123</v>
      </c>
      <c r="E3380" t="str">
        <f t="shared" si="1636"/>
        <v>COM</v>
      </c>
      <c r="F3380" t="str">
        <f t="shared" si="1627"/>
        <v>FARMÁCIA INDIANA LJ 1 (10126)</v>
      </c>
      <c r="G3380" t="str">
        <f t="shared" si="1628"/>
        <v>Serv.Prest. 09/06/2025 a 15/06/2025 - RPS: 892 - NFSe: 3123</v>
      </c>
      <c r="H3380" t="str">
        <f t="shared" si="1634"/>
        <v>25/06/2025</v>
      </c>
      <c r="I3380" t="str">
        <f t="shared" si="1629"/>
        <v>17/06/2025</v>
      </c>
      <c r="J3380" t="str">
        <f t="shared" si="1635"/>
        <v>25/06/2025</v>
      </c>
      <c r="M3380">
        <v>303</v>
      </c>
      <c r="N3380" t="str">
        <f t="shared" si="1631"/>
        <v>RECEITAS COM ENTREGAS</v>
      </c>
      <c r="P3380">
        <v>110</v>
      </c>
      <c r="Q3380" t="str">
        <f>"FARMÁCIA INDIANA LJ 178 (10077)"</f>
        <v>FARMÁCIA INDIANA LJ 178 (10077)</v>
      </c>
      <c r="R3380" t="str">
        <f t="shared" si="1632"/>
        <v>RECEITAS COM ENTREGAS (303)</v>
      </c>
      <c r="S3380">
        <v>1893</v>
      </c>
      <c r="T3380">
        <v>1407</v>
      </c>
      <c r="U3380" t="s">
        <v>19</v>
      </c>
    </row>
    <row r="3381" spans="1:21">
      <c r="A3381" t="str">
        <f t="shared" si="1633"/>
        <v>25/06/2025</v>
      </c>
      <c r="B3381" t="str">
        <f t="shared" si="1615"/>
        <v>ENTRADA</v>
      </c>
      <c r="C3381" t="str">
        <f t="shared" si="1630"/>
        <v>NFSE</v>
      </c>
      <c r="D3381" t="str">
        <f t="shared" si="1626"/>
        <v>3123</v>
      </c>
      <c r="E3381" t="str">
        <f t="shared" si="1636"/>
        <v>COM</v>
      </c>
      <c r="F3381" t="str">
        <f t="shared" si="1627"/>
        <v>FARMÁCIA INDIANA LJ 1 (10126)</v>
      </c>
      <c r="G3381" t="str">
        <f t="shared" si="1628"/>
        <v>Serv.Prest. 09/06/2025 a 15/06/2025 - RPS: 892 - NFSe: 3123</v>
      </c>
      <c r="H3381" t="str">
        <f t="shared" si="1634"/>
        <v>25/06/2025</v>
      </c>
      <c r="I3381" t="str">
        <f t="shared" si="1629"/>
        <v>17/06/2025</v>
      </c>
      <c r="J3381" t="str">
        <f t="shared" si="1635"/>
        <v>25/06/2025</v>
      </c>
      <c r="M3381">
        <v>303</v>
      </c>
      <c r="N3381" t="str">
        <f t="shared" si="1631"/>
        <v>RECEITAS COM ENTREGAS</v>
      </c>
      <c r="P3381">
        <v>75.62</v>
      </c>
      <c r="Q3381" t="str">
        <f>"FARMÁCIA INDIANA LJ 182 (10079)"</f>
        <v>FARMÁCIA INDIANA LJ 182 (10079)</v>
      </c>
      <c r="R3381" t="str">
        <f t="shared" si="1632"/>
        <v>RECEITAS COM ENTREGAS (303)</v>
      </c>
      <c r="S3381">
        <v>1893</v>
      </c>
      <c r="T3381">
        <v>1407</v>
      </c>
      <c r="U3381" t="s">
        <v>19</v>
      </c>
    </row>
    <row r="3382" spans="1:21">
      <c r="A3382" t="str">
        <f t="shared" si="1633"/>
        <v>25/06/2025</v>
      </c>
      <c r="B3382" t="str">
        <f t="shared" si="1615"/>
        <v>ENTRADA</v>
      </c>
      <c r="C3382" t="str">
        <f t="shared" si="1630"/>
        <v>NFSE</v>
      </c>
      <c r="D3382" t="str">
        <f t="shared" si="1626"/>
        <v>3123</v>
      </c>
      <c r="E3382" t="str">
        <f t="shared" si="1636"/>
        <v>COM</v>
      </c>
      <c r="F3382" t="str">
        <f t="shared" si="1627"/>
        <v>FARMÁCIA INDIANA LJ 1 (10126)</v>
      </c>
      <c r="G3382" t="str">
        <f t="shared" si="1628"/>
        <v>Serv.Prest. 09/06/2025 a 15/06/2025 - RPS: 892 - NFSe: 3123</v>
      </c>
      <c r="H3382" t="str">
        <f t="shared" si="1634"/>
        <v>25/06/2025</v>
      </c>
      <c r="I3382" t="str">
        <f t="shared" si="1629"/>
        <v>17/06/2025</v>
      </c>
      <c r="J3382" t="str">
        <f t="shared" si="1635"/>
        <v>25/06/2025</v>
      </c>
      <c r="M3382">
        <v>303</v>
      </c>
      <c r="N3382" t="str">
        <f t="shared" si="1631"/>
        <v>RECEITAS COM ENTREGAS</v>
      </c>
      <c r="P3382">
        <v>39.869999999999997</v>
      </c>
      <c r="Q3382" t="str">
        <f>"FARMÁCIA INDIANA LJ 184 (10080)"</f>
        <v>FARMÁCIA INDIANA LJ 184 (10080)</v>
      </c>
      <c r="R3382" t="str">
        <f t="shared" si="1632"/>
        <v>RECEITAS COM ENTREGAS (303)</v>
      </c>
      <c r="S3382">
        <v>1893</v>
      </c>
      <c r="T3382">
        <v>1407</v>
      </c>
      <c r="U3382" t="s">
        <v>19</v>
      </c>
    </row>
    <row r="3383" spans="1:21">
      <c r="A3383" t="str">
        <f t="shared" si="1633"/>
        <v>25/06/2025</v>
      </c>
      <c r="B3383" t="str">
        <f t="shared" si="1615"/>
        <v>ENTRADA</v>
      </c>
      <c r="C3383" t="str">
        <f t="shared" si="1630"/>
        <v>NFSE</v>
      </c>
      <c r="D3383" t="str">
        <f t="shared" si="1626"/>
        <v>3123</v>
      </c>
      <c r="E3383" t="str">
        <f t="shared" si="1636"/>
        <v>COM</v>
      </c>
      <c r="F3383" t="str">
        <f t="shared" si="1627"/>
        <v>FARMÁCIA INDIANA LJ 1 (10126)</v>
      </c>
      <c r="G3383" t="str">
        <f t="shared" si="1628"/>
        <v>Serv.Prest. 09/06/2025 a 15/06/2025 - RPS: 892 - NFSe: 3123</v>
      </c>
      <c r="H3383" t="str">
        <f t="shared" si="1634"/>
        <v>25/06/2025</v>
      </c>
      <c r="I3383" t="str">
        <f t="shared" si="1629"/>
        <v>17/06/2025</v>
      </c>
      <c r="J3383" t="str">
        <f t="shared" si="1635"/>
        <v>25/06/2025</v>
      </c>
      <c r="M3383">
        <v>303</v>
      </c>
      <c r="N3383" t="str">
        <f t="shared" si="1631"/>
        <v>RECEITAS COM ENTREGAS</v>
      </c>
      <c r="P3383">
        <v>75.62</v>
      </c>
      <c r="Q3383" t="str">
        <f>"FARMÁCIA INDIANA LJ 186 (10081)"</f>
        <v>FARMÁCIA INDIANA LJ 186 (10081)</v>
      </c>
      <c r="R3383" t="str">
        <f t="shared" si="1632"/>
        <v>RECEITAS COM ENTREGAS (303)</v>
      </c>
      <c r="S3383">
        <v>1893</v>
      </c>
      <c r="T3383">
        <v>1407</v>
      </c>
      <c r="U3383" t="s">
        <v>19</v>
      </c>
    </row>
    <row r="3384" spans="1:21">
      <c r="A3384" t="str">
        <f t="shared" si="1633"/>
        <v>25/06/2025</v>
      </c>
      <c r="B3384" t="str">
        <f t="shared" si="1615"/>
        <v>ENTRADA</v>
      </c>
      <c r="C3384" t="str">
        <f t="shared" si="1630"/>
        <v>NFSE</v>
      </c>
      <c r="D3384" t="str">
        <f t="shared" si="1626"/>
        <v>3123</v>
      </c>
      <c r="E3384" t="str">
        <f t="shared" si="1636"/>
        <v>COM</v>
      </c>
      <c r="F3384" t="str">
        <f t="shared" si="1627"/>
        <v>FARMÁCIA INDIANA LJ 1 (10126)</v>
      </c>
      <c r="G3384" t="str">
        <f t="shared" si="1628"/>
        <v>Serv.Prest. 09/06/2025 a 15/06/2025 - RPS: 892 - NFSe: 3123</v>
      </c>
      <c r="H3384" t="str">
        <f t="shared" si="1634"/>
        <v>25/06/2025</v>
      </c>
      <c r="I3384" t="str">
        <f t="shared" si="1629"/>
        <v>17/06/2025</v>
      </c>
      <c r="J3384" t="str">
        <f t="shared" si="1635"/>
        <v>25/06/2025</v>
      </c>
      <c r="M3384">
        <v>303</v>
      </c>
      <c r="N3384" t="str">
        <f t="shared" si="1631"/>
        <v>RECEITAS COM ENTREGAS</v>
      </c>
      <c r="P3384">
        <v>116.87</v>
      </c>
      <c r="Q3384" t="str">
        <f>"FARMÁCIA INDIANA LJ 192 (10082)"</f>
        <v>FARMÁCIA INDIANA LJ 192 (10082)</v>
      </c>
      <c r="R3384" t="str">
        <f t="shared" si="1632"/>
        <v>RECEITAS COM ENTREGAS (303)</v>
      </c>
      <c r="S3384">
        <v>1893</v>
      </c>
      <c r="T3384">
        <v>1407</v>
      </c>
      <c r="U3384" t="s">
        <v>19</v>
      </c>
    </row>
    <row r="3385" spans="1:21">
      <c r="A3385" t="str">
        <f t="shared" si="1633"/>
        <v>25/06/2025</v>
      </c>
      <c r="B3385" t="str">
        <f t="shared" si="1615"/>
        <v>ENTRADA</v>
      </c>
      <c r="C3385" t="str">
        <f t="shared" si="1630"/>
        <v>NFSE</v>
      </c>
      <c r="D3385" t="str">
        <f t="shared" si="1626"/>
        <v>3123</v>
      </c>
      <c r="E3385" t="str">
        <f t="shared" si="1636"/>
        <v>COM</v>
      </c>
      <c r="F3385" t="str">
        <f t="shared" si="1627"/>
        <v>FARMÁCIA INDIANA LJ 1 (10126)</v>
      </c>
      <c r="G3385" t="str">
        <f t="shared" si="1628"/>
        <v>Serv.Prest. 09/06/2025 a 15/06/2025 - RPS: 892 - NFSe: 3123</v>
      </c>
      <c r="H3385" t="str">
        <f t="shared" si="1634"/>
        <v>25/06/2025</v>
      </c>
      <c r="I3385" t="str">
        <f t="shared" si="1629"/>
        <v>17/06/2025</v>
      </c>
      <c r="J3385" t="str">
        <f t="shared" si="1635"/>
        <v>25/06/2025</v>
      </c>
      <c r="M3385">
        <v>303</v>
      </c>
      <c r="N3385" t="str">
        <f t="shared" si="1631"/>
        <v>RECEITAS COM ENTREGAS</v>
      </c>
      <c r="P3385">
        <v>39.869999999999997</v>
      </c>
      <c r="Q3385" t="str">
        <f>"FARMÁCIA INDIANA LJ 195 (10083)"</f>
        <v>FARMÁCIA INDIANA LJ 195 (10083)</v>
      </c>
      <c r="R3385" t="str">
        <f t="shared" si="1632"/>
        <v>RECEITAS COM ENTREGAS (303)</v>
      </c>
      <c r="S3385">
        <v>1893</v>
      </c>
      <c r="T3385">
        <v>1407</v>
      </c>
      <c r="U3385" t="s">
        <v>19</v>
      </c>
    </row>
    <row r="3386" spans="1:21">
      <c r="A3386" t="str">
        <f t="shared" si="1633"/>
        <v>25/06/2025</v>
      </c>
      <c r="B3386" t="str">
        <f t="shared" si="1615"/>
        <v>ENTRADA</v>
      </c>
      <c r="C3386" t="str">
        <f t="shared" si="1630"/>
        <v>NFSE</v>
      </c>
      <c r="D3386" t="str">
        <f t="shared" si="1626"/>
        <v>3123</v>
      </c>
      <c r="E3386" t="str">
        <f t="shared" si="1636"/>
        <v>COM</v>
      </c>
      <c r="F3386" t="str">
        <f t="shared" si="1627"/>
        <v>FARMÁCIA INDIANA LJ 1 (10126)</v>
      </c>
      <c r="G3386" t="str">
        <f t="shared" si="1628"/>
        <v>Serv.Prest. 09/06/2025 a 15/06/2025 - RPS: 892 - NFSe: 3123</v>
      </c>
      <c r="H3386" t="str">
        <f t="shared" si="1634"/>
        <v>25/06/2025</v>
      </c>
      <c r="I3386" t="str">
        <f t="shared" si="1629"/>
        <v>17/06/2025</v>
      </c>
      <c r="J3386" t="str">
        <f t="shared" si="1635"/>
        <v>25/06/2025</v>
      </c>
      <c r="M3386">
        <v>303</v>
      </c>
      <c r="N3386" t="str">
        <f t="shared" si="1631"/>
        <v>RECEITAS COM ENTREGAS</v>
      </c>
      <c r="P3386">
        <v>149.87</v>
      </c>
      <c r="Q3386" t="str">
        <f>"FARMÁCIA INDIANA LJ 202 (10085)"</f>
        <v>FARMÁCIA INDIANA LJ 202 (10085)</v>
      </c>
      <c r="R3386" t="str">
        <f t="shared" si="1632"/>
        <v>RECEITAS COM ENTREGAS (303)</v>
      </c>
      <c r="S3386">
        <v>1893</v>
      </c>
      <c r="T3386">
        <v>1407</v>
      </c>
      <c r="U3386" t="s">
        <v>19</v>
      </c>
    </row>
    <row r="3387" spans="1:21">
      <c r="A3387" t="str">
        <f t="shared" si="1633"/>
        <v>25/06/2025</v>
      </c>
      <c r="B3387" t="str">
        <f t="shared" si="1615"/>
        <v>ENTRADA</v>
      </c>
      <c r="C3387" t="str">
        <f t="shared" ref="C3387:C3411" si="1637">"NFSE"</f>
        <v>NFSE</v>
      </c>
      <c r="D3387" t="str">
        <f t="shared" si="1626"/>
        <v>3123</v>
      </c>
      <c r="E3387" t="str">
        <f t="shared" si="1636"/>
        <v>COM</v>
      </c>
      <c r="F3387" t="str">
        <f t="shared" si="1627"/>
        <v>FARMÁCIA INDIANA LJ 1 (10126)</v>
      </c>
      <c r="G3387" t="str">
        <f t="shared" si="1628"/>
        <v>Serv.Prest. 09/06/2025 a 15/06/2025 - RPS: 892 - NFSe: 3123</v>
      </c>
      <c r="H3387" t="str">
        <f t="shared" si="1634"/>
        <v>25/06/2025</v>
      </c>
      <c r="I3387" t="str">
        <f t="shared" si="1629"/>
        <v>17/06/2025</v>
      </c>
      <c r="J3387" t="str">
        <f t="shared" si="1635"/>
        <v>25/06/2025</v>
      </c>
      <c r="M3387">
        <v>303</v>
      </c>
      <c r="N3387" t="str">
        <f t="shared" ref="N3387:N3411" si="1638">"RECEITAS COM ENTREGAS"</f>
        <v>RECEITAS COM ENTREGAS</v>
      </c>
      <c r="P3387">
        <v>107.25</v>
      </c>
      <c r="Q3387" t="str">
        <f>"FARMÁCIA INDIANA LJ 204 (10087)"</f>
        <v>FARMÁCIA INDIANA LJ 204 (10087)</v>
      </c>
      <c r="R3387" t="str">
        <f t="shared" ref="R3387:R3411" si="1639">"RECEITAS COM ENTREGAS (303)"</f>
        <v>RECEITAS COM ENTREGAS (303)</v>
      </c>
      <c r="S3387">
        <v>1893</v>
      </c>
      <c r="T3387">
        <v>1407</v>
      </c>
      <c r="U3387" t="s">
        <v>19</v>
      </c>
    </row>
    <row r="3388" spans="1:21">
      <c r="A3388" t="str">
        <f t="shared" si="1633"/>
        <v>25/06/2025</v>
      </c>
      <c r="B3388" t="str">
        <f t="shared" ref="B3388:B3411" si="1640">"ENTRADA"</f>
        <v>ENTRADA</v>
      </c>
      <c r="C3388" t="str">
        <f t="shared" si="1637"/>
        <v>NFSE</v>
      </c>
      <c r="D3388" t="str">
        <f t="shared" si="1626"/>
        <v>3123</v>
      </c>
      <c r="E3388" t="str">
        <f t="shared" si="1636"/>
        <v>COM</v>
      </c>
      <c r="F3388" t="str">
        <f t="shared" si="1627"/>
        <v>FARMÁCIA INDIANA LJ 1 (10126)</v>
      </c>
      <c r="G3388" t="str">
        <f t="shared" si="1628"/>
        <v>Serv.Prest. 09/06/2025 a 15/06/2025 - RPS: 892 - NFSe: 3123</v>
      </c>
      <c r="H3388" t="str">
        <f t="shared" si="1634"/>
        <v>25/06/2025</v>
      </c>
      <c r="I3388" t="str">
        <f t="shared" si="1629"/>
        <v>17/06/2025</v>
      </c>
      <c r="J3388" t="str">
        <f t="shared" si="1635"/>
        <v>25/06/2025</v>
      </c>
      <c r="M3388">
        <v>303</v>
      </c>
      <c r="N3388" t="str">
        <f t="shared" si="1638"/>
        <v>RECEITAS COM ENTREGAS</v>
      </c>
      <c r="P3388">
        <v>107.25</v>
      </c>
      <c r="Q3388" t="str">
        <f>"FARMÁCIA INDIANA LJ 207 (10088)"</f>
        <v>FARMÁCIA INDIANA LJ 207 (10088)</v>
      </c>
      <c r="R3388" t="str">
        <f t="shared" si="1639"/>
        <v>RECEITAS COM ENTREGAS (303)</v>
      </c>
      <c r="S3388">
        <v>1893</v>
      </c>
      <c r="T3388">
        <v>1407</v>
      </c>
      <c r="U3388" t="s">
        <v>19</v>
      </c>
    </row>
    <row r="3389" spans="1:21">
      <c r="A3389" t="str">
        <f t="shared" si="1633"/>
        <v>25/06/2025</v>
      </c>
      <c r="B3389" t="str">
        <f t="shared" si="1640"/>
        <v>ENTRADA</v>
      </c>
      <c r="C3389" t="str">
        <f t="shared" si="1637"/>
        <v>NFSE</v>
      </c>
      <c r="D3389" t="str">
        <f t="shared" si="1626"/>
        <v>3123</v>
      </c>
      <c r="E3389" t="str">
        <f t="shared" si="1636"/>
        <v>COM</v>
      </c>
      <c r="F3389" t="str">
        <f t="shared" si="1627"/>
        <v>FARMÁCIA INDIANA LJ 1 (10126)</v>
      </c>
      <c r="G3389" t="str">
        <f t="shared" si="1628"/>
        <v>Serv.Prest. 09/06/2025 a 15/06/2025 - RPS: 892 - NFSe: 3123</v>
      </c>
      <c r="H3389" t="str">
        <f t="shared" si="1634"/>
        <v>25/06/2025</v>
      </c>
      <c r="I3389" t="str">
        <f t="shared" si="1629"/>
        <v>17/06/2025</v>
      </c>
      <c r="J3389" t="str">
        <f t="shared" si="1635"/>
        <v>25/06/2025</v>
      </c>
      <c r="M3389">
        <v>303</v>
      </c>
      <c r="N3389" t="str">
        <f t="shared" si="1638"/>
        <v>RECEITAS COM ENTREGAS</v>
      </c>
      <c r="P3389">
        <v>125.12</v>
      </c>
      <c r="Q3389" t="str">
        <f>"FARMÁCIA INDIANA LJ 209 (10089)"</f>
        <v>FARMÁCIA INDIANA LJ 209 (10089)</v>
      </c>
      <c r="R3389" t="str">
        <f t="shared" si="1639"/>
        <v>RECEITAS COM ENTREGAS (303)</v>
      </c>
      <c r="S3389">
        <v>1893</v>
      </c>
      <c r="T3389">
        <v>1407</v>
      </c>
      <c r="U3389" t="s">
        <v>19</v>
      </c>
    </row>
    <row r="3390" spans="1:21">
      <c r="A3390" t="str">
        <f t="shared" si="1633"/>
        <v>25/06/2025</v>
      </c>
      <c r="B3390" t="str">
        <f t="shared" si="1640"/>
        <v>ENTRADA</v>
      </c>
      <c r="C3390" t="str">
        <f t="shared" si="1637"/>
        <v>NFSE</v>
      </c>
      <c r="D3390" t="str">
        <f t="shared" si="1626"/>
        <v>3123</v>
      </c>
      <c r="E3390" t="str">
        <f t="shared" si="1636"/>
        <v>COM</v>
      </c>
      <c r="F3390" t="str">
        <f t="shared" si="1627"/>
        <v>FARMÁCIA INDIANA LJ 1 (10126)</v>
      </c>
      <c r="G3390" t="str">
        <f t="shared" si="1628"/>
        <v>Serv.Prest. 09/06/2025 a 15/06/2025 - RPS: 892 - NFSe: 3123</v>
      </c>
      <c r="H3390" t="str">
        <f t="shared" si="1634"/>
        <v>25/06/2025</v>
      </c>
      <c r="I3390" t="str">
        <f t="shared" si="1629"/>
        <v>17/06/2025</v>
      </c>
      <c r="J3390" t="str">
        <f t="shared" si="1635"/>
        <v>25/06/2025</v>
      </c>
      <c r="M3390">
        <v>303</v>
      </c>
      <c r="N3390" t="str">
        <f t="shared" si="1638"/>
        <v>RECEITAS COM ENTREGAS</v>
      </c>
      <c r="P3390">
        <v>149.87</v>
      </c>
      <c r="Q3390" t="str">
        <f>"FARMÁCIA INDIANA LJ 219 (10091)"</f>
        <v>FARMÁCIA INDIANA LJ 219 (10091)</v>
      </c>
      <c r="R3390" t="str">
        <f t="shared" si="1639"/>
        <v>RECEITAS COM ENTREGAS (303)</v>
      </c>
      <c r="S3390">
        <v>1893</v>
      </c>
      <c r="T3390">
        <v>1407</v>
      </c>
      <c r="U3390" t="s">
        <v>19</v>
      </c>
    </row>
    <row r="3391" spans="1:21">
      <c r="A3391" t="str">
        <f t="shared" ref="A3391:A3422" si="1641">("25/06/2025")</f>
        <v>25/06/2025</v>
      </c>
      <c r="B3391" t="str">
        <f t="shared" si="1640"/>
        <v>ENTRADA</v>
      </c>
      <c r="C3391" t="str">
        <f t="shared" si="1637"/>
        <v>NFSE</v>
      </c>
      <c r="D3391" t="str">
        <f t="shared" si="1626"/>
        <v>3123</v>
      </c>
      <c r="E3391" t="str">
        <f t="shared" si="1636"/>
        <v>COM</v>
      </c>
      <c r="F3391" t="str">
        <f t="shared" si="1627"/>
        <v>FARMÁCIA INDIANA LJ 1 (10126)</v>
      </c>
      <c r="G3391" t="str">
        <f t="shared" si="1628"/>
        <v>Serv.Prest. 09/06/2025 a 15/06/2025 - RPS: 892 - NFSe: 3123</v>
      </c>
      <c r="H3391" t="str">
        <f t="shared" ref="H3391:H3422" si="1642">("25/06/2025")</f>
        <v>25/06/2025</v>
      </c>
      <c r="I3391" t="str">
        <f t="shared" si="1629"/>
        <v>17/06/2025</v>
      </c>
      <c r="J3391" t="str">
        <f t="shared" ref="J3391:J3422" si="1643">("25/06/2025")</f>
        <v>25/06/2025</v>
      </c>
      <c r="M3391">
        <v>303</v>
      </c>
      <c r="N3391" t="str">
        <f t="shared" si="1638"/>
        <v>RECEITAS COM ENTREGAS</v>
      </c>
      <c r="P3391">
        <v>200.75</v>
      </c>
      <c r="Q3391" t="str">
        <f>"FARMÁCIA INDIANA LJ 220 (10092)"</f>
        <v>FARMÁCIA INDIANA LJ 220 (10092)</v>
      </c>
      <c r="R3391" t="str">
        <f t="shared" si="1639"/>
        <v>RECEITAS COM ENTREGAS (303)</v>
      </c>
      <c r="S3391">
        <v>1893</v>
      </c>
      <c r="T3391">
        <v>1407</v>
      </c>
      <c r="U3391" t="s">
        <v>19</v>
      </c>
    </row>
    <row r="3392" spans="1:21">
      <c r="A3392" t="str">
        <f t="shared" si="1641"/>
        <v>25/06/2025</v>
      </c>
      <c r="B3392" t="str">
        <f t="shared" si="1640"/>
        <v>ENTRADA</v>
      </c>
      <c r="C3392" t="str">
        <f t="shared" si="1637"/>
        <v>NFSE</v>
      </c>
      <c r="D3392" t="str">
        <f t="shared" si="1626"/>
        <v>3123</v>
      </c>
      <c r="E3392" t="str">
        <f t="shared" si="1636"/>
        <v>COM</v>
      </c>
      <c r="F3392" t="str">
        <f t="shared" si="1627"/>
        <v>FARMÁCIA INDIANA LJ 1 (10126)</v>
      </c>
      <c r="G3392" t="str">
        <f t="shared" si="1628"/>
        <v>Serv.Prest. 09/06/2025 a 15/06/2025 - RPS: 892 - NFSe: 3123</v>
      </c>
      <c r="H3392" t="str">
        <f t="shared" si="1642"/>
        <v>25/06/2025</v>
      </c>
      <c r="I3392" t="str">
        <f t="shared" si="1629"/>
        <v>17/06/2025</v>
      </c>
      <c r="J3392" t="str">
        <f t="shared" si="1643"/>
        <v>25/06/2025</v>
      </c>
      <c r="M3392">
        <v>303</v>
      </c>
      <c r="N3392" t="str">
        <f t="shared" si="1638"/>
        <v>RECEITAS COM ENTREGAS</v>
      </c>
      <c r="P3392">
        <v>171.87</v>
      </c>
      <c r="Q3392" t="str">
        <f>"FARMÁCIA INDIANA LJ 185 (10141)"</f>
        <v>FARMÁCIA INDIANA LJ 185 (10141)</v>
      </c>
      <c r="R3392" t="str">
        <f t="shared" si="1639"/>
        <v>RECEITAS COM ENTREGAS (303)</v>
      </c>
      <c r="S3392">
        <v>1893</v>
      </c>
      <c r="T3392">
        <v>1407</v>
      </c>
      <c r="U3392" t="s">
        <v>19</v>
      </c>
    </row>
    <row r="3393" spans="1:21">
      <c r="A3393" t="str">
        <f t="shared" si="1641"/>
        <v>25/06/2025</v>
      </c>
      <c r="B3393" t="str">
        <f t="shared" si="1640"/>
        <v>ENTRADA</v>
      </c>
      <c r="C3393" t="str">
        <f t="shared" si="1637"/>
        <v>NFSE</v>
      </c>
      <c r="D3393" t="str">
        <f t="shared" si="1626"/>
        <v>3123</v>
      </c>
      <c r="E3393" t="str">
        <f t="shared" si="1636"/>
        <v>COM</v>
      </c>
      <c r="F3393" t="str">
        <f t="shared" si="1627"/>
        <v>FARMÁCIA INDIANA LJ 1 (10126)</v>
      </c>
      <c r="G3393" t="str">
        <f t="shared" si="1628"/>
        <v>Serv.Prest. 09/06/2025 a 15/06/2025 - RPS: 892 - NFSe: 3123</v>
      </c>
      <c r="H3393" t="str">
        <f t="shared" si="1642"/>
        <v>25/06/2025</v>
      </c>
      <c r="I3393" t="str">
        <f t="shared" si="1629"/>
        <v>17/06/2025</v>
      </c>
      <c r="J3393" t="str">
        <f t="shared" si="1643"/>
        <v>25/06/2025</v>
      </c>
      <c r="M3393">
        <v>303</v>
      </c>
      <c r="N3393" t="str">
        <f t="shared" si="1638"/>
        <v>RECEITAS COM ENTREGAS</v>
      </c>
      <c r="P3393">
        <v>743.86</v>
      </c>
      <c r="Q3393" t="str">
        <f>"FARMÁCIA INDIANA LJ 172 (10161)"</f>
        <v>FARMÁCIA INDIANA LJ 172 (10161)</v>
      </c>
      <c r="R3393" t="str">
        <f t="shared" si="1639"/>
        <v>RECEITAS COM ENTREGAS (303)</v>
      </c>
      <c r="S3393">
        <v>1893</v>
      </c>
      <c r="T3393">
        <v>1407</v>
      </c>
      <c r="U3393" t="s">
        <v>19</v>
      </c>
    </row>
    <row r="3394" spans="1:21">
      <c r="A3394" t="str">
        <f t="shared" si="1641"/>
        <v>25/06/2025</v>
      </c>
      <c r="B3394" t="str">
        <f t="shared" si="1640"/>
        <v>ENTRADA</v>
      </c>
      <c r="C3394" t="str">
        <f t="shared" si="1637"/>
        <v>NFSE</v>
      </c>
      <c r="D3394" t="str">
        <f>"3133"</f>
        <v>3133</v>
      </c>
      <c r="E3394" t="str">
        <f t="shared" si="1636"/>
        <v>COM</v>
      </c>
      <c r="F3394" t="str">
        <f>"ITUFARMA (10178)"</f>
        <v>ITUFARMA (10178)</v>
      </c>
      <c r="G3394" t="str">
        <f>"Serv.Prest. 16/06/2025 a 22/06/2025 - RPS: 902 - NFSe: 3133"</f>
        <v>Serv.Prest. 16/06/2025 a 22/06/2025 - RPS: 902 - NFSe: 3133</v>
      </c>
      <c r="H3394" t="str">
        <f t="shared" si="1642"/>
        <v>25/06/2025</v>
      </c>
      <c r="I3394" t="str">
        <f t="shared" ref="I3394:I3405" si="1644">("23/06/2025")</f>
        <v>23/06/2025</v>
      </c>
      <c r="J3394" t="str">
        <f t="shared" si="1643"/>
        <v>25/06/2025</v>
      </c>
      <c r="K3394">
        <v>416.83</v>
      </c>
      <c r="L3394">
        <v>416.83</v>
      </c>
      <c r="M3394">
        <v>303</v>
      </c>
      <c r="N3394" t="str">
        <f t="shared" si="1638"/>
        <v>RECEITAS COM ENTREGAS</v>
      </c>
      <c r="O3394">
        <v>416.83</v>
      </c>
      <c r="R3394" t="str">
        <f t="shared" si="1639"/>
        <v>RECEITAS COM ENTREGAS (303)</v>
      </c>
      <c r="S3394">
        <v>1894</v>
      </c>
      <c r="T3394">
        <v>1417</v>
      </c>
      <c r="U3394" t="s">
        <v>19</v>
      </c>
    </row>
    <row r="3395" spans="1:21">
      <c r="A3395" t="str">
        <f t="shared" si="1641"/>
        <v>25/06/2025</v>
      </c>
      <c r="B3395" t="str">
        <f t="shared" si="1640"/>
        <v>ENTRADA</v>
      </c>
      <c r="C3395" t="str">
        <f t="shared" si="1637"/>
        <v>NFSE</v>
      </c>
      <c r="D3395" t="str">
        <f>"3133"</f>
        <v>3133</v>
      </c>
      <c r="E3395" t="str">
        <f t="shared" si="1636"/>
        <v>COM</v>
      </c>
      <c r="F3395" t="str">
        <f>"ITUFARMA (10178)"</f>
        <v>ITUFARMA (10178)</v>
      </c>
      <c r="G3395" t="str">
        <f>"Serv.Prest. 16/06/2025 a 22/06/2025 - RPS: 902 - NFSe: 3133"</f>
        <v>Serv.Prest. 16/06/2025 a 22/06/2025 - RPS: 902 - NFSe: 3133</v>
      </c>
      <c r="H3395" t="str">
        <f t="shared" si="1642"/>
        <v>25/06/2025</v>
      </c>
      <c r="I3395" t="str">
        <f t="shared" si="1644"/>
        <v>23/06/2025</v>
      </c>
      <c r="J3395" t="str">
        <f t="shared" si="1643"/>
        <v>25/06/2025</v>
      </c>
      <c r="M3395">
        <v>303</v>
      </c>
      <c r="N3395" t="str">
        <f t="shared" si="1638"/>
        <v>RECEITAS COM ENTREGAS</v>
      </c>
      <c r="P3395">
        <v>416.83</v>
      </c>
      <c r="Q3395" t="str">
        <f>"ITUFARMA (10178)"</f>
        <v>ITUFARMA (10178)</v>
      </c>
      <c r="R3395" t="str">
        <f t="shared" si="1639"/>
        <v>RECEITAS COM ENTREGAS (303)</v>
      </c>
      <c r="S3395">
        <v>1894</v>
      </c>
      <c r="T3395">
        <v>1417</v>
      </c>
      <c r="U3395" t="s">
        <v>19</v>
      </c>
    </row>
    <row r="3396" spans="1:21">
      <c r="A3396" t="str">
        <f t="shared" si="1641"/>
        <v>25/06/2025</v>
      </c>
      <c r="B3396" t="str">
        <f t="shared" si="1640"/>
        <v>ENTRADA</v>
      </c>
      <c r="C3396" t="str">
        <f t="shared" si="1637"/>
        <v>NFSE</v>
      </c>
      <c r="D3396" t="str">
        <f>"3135"</f>
        <v>3135</v>
      </c>
      <c r="E3396" t="str">
        <f t="shared" si="1636"/>
        <v>COM</v>
      </c>
      <c r="F3396" t="str">
        <f>"DELTA LOJA 2 (10123)"</f>
        <v>DELTA LOJA 2 (10123)</v>
      </c>
      <c r="G3396" t="str">
        <f>"Serv.Prest. 16/06/2025 a 22/06/2025 - RPS: 904 - NFSe: 3135"</f>
        <v>Serv.Prest. 16/06/2025 a 22/06/2025 - RPS: 904 - NFSe: 3135</v>
      </c>
      <c r="H3396" t="str">
        <f t="shared" si="1642"/>
        <v>25/06/2025</v>
      </c>
      <c r="I3396" t="str">
        <f t="shared" si="1644"/>
        <v>23/06/2025</v>
      </c>
      <c r="J3396" t="str">
        <f t="shared" si="1643"/>
        <v>25/06/2025</v>
      </c>
      <c r="K3396">
        <v>480.48</v>
      </c>
      <c r="L3396">
        <v>480.48</v>
      </c>
      <c r="M3396">
        <v>303</v>
      </c>
      <c r="N3396" t="str">
        <f t="shared" si="1638"/>
        <v>RECEITAS COM ENTREGAS</v>
      </c>
      <c r="O3396">
        <v>480.48</v>
      </c>
      <c r="R3396" t="str">
        <f t="shared" si="1639"/>
        <v>RECEITAS COM ENTREGAS (303)</v>
      </c>
      <c r="S3396">
        <v>1895</v>
      </c>
      <c r="T3396">
        <v>1419</v>
      </c>
      <c r="U3396" t="s">
        <v>19</v>
      </c>
    </row>
    <row r="3397" spans="1:21">
      <c r="A3397" t="str">
        <f t="shared" si="1641"/>
        <v>25/06/2025</v>
      </c>
      <c r="B3397" t="str">
        <f t="shared" si="1640"/>
        <v>ENTRADA</v>
      </c>
      <c r="C3397" t="str">
        <f t="shared" si="1637"/>
        <v>NFSE</v>
      </c>
      <c r="D3397" t="str">
        <f>"3135"</f>
        <v>3135</v>
      </c>
      <c r="E3397" t="str">
        <f t="shared" si="1636"/>
        <v>COM</v>
      </c>
      <c r="F3397" t="str">
        <f>"DELTA LOJA 2 (10123)"</f>
        <v>DELTA LOJA 2 (10123)</v>
      </c>
      <c r="G3397" t="str">
        <f>"Serv.Prest. 16/06/2025 a 22/06/2025 - RPS: 904 - NFSe: 3135"</f>
        <v>Serv.Prest. 16/06/2025 a 22/06/2025 - RPS: 904 - NFSe: 3135</v>
      </c>
      <c r="H3397" t="str">
        <f t="shared" si="1642"/>
        <v>25/06/2025</v>
      </c>
      <c r="I3397" t="str">
        <f t="shared" si="1644"/>
        <v>23/06/2025</v>
      </c>
      <c r="J3397" t="str">
        <f t="shared" si="1643"/>
        <v>25/06/2025</v>
      </c>
      <c r="M3397">
        <v>303</v>
      </c>
      <c r="N3397" t="str">
        <f t="shared" si="1638"/>
        <v>RECEITAS COM ENTREGAS</v>
      </c>
      <c r="P3397">
        <v>480.48</v>
      </c>
      <c r="Q3397" t="str">
        <f>"DELTA LOJA 2 (10123)"</f>
        <v>DELTA LOJA 2 (10123)</v>
      </c>
      <c r="R3397" t="str">
        <f t="shared" si="1639"/>
        <v>RECEITAS COM ENTREGAS (303)</v>
      </c>
      <c r="S3397">
        <v>1895</v>
      </c>
      <c r="T3397">
        <v>1419</v>
      </c>
      <c r="U3397" t="s">
        <v>19</v>
      </c>
    </row>
    <row r="3398" spans="1:21">
      <c r="A3398" t="str">
        <f t="shared" si="1641"/>
        <v>25/06/2025</v>
      </c>
      <c r="B3398" t="str">
        <f t="shared" si="1640"/>
        <v>ENTRADA</v>
      </c>
      <c r="C3398" t="str">
        <f t="shared" si="1637"/>
        <v>NFSE</v>
      </c>
      <c r="D3398" t="str">
        <f>"3136"</f>
        <v>3136</v>
      </c>
      <c r="E3398" t="str">
        <f t="shared" si="1636"/>
        <v>COM</v>
      </c>
      <c r="F3398" t="str">
        <f>"DROGARIA AGAPEAMA (10167)"</f>
        <v>DROGARIA AGAPEAMA (10167)</v>
      </c>
      <c r="G3398" t="str">
        <f>"Serv.Prest. 16/06/2025 a 22/06/2025 - RPS: 905 - NFSe: 3136"</f>
        <v>Serv.Prest. 16/06/2025 a 22/06/2025 - RPS: 905 - NFSe: 3136</v>
      </c>
      <c r="H3398" t="str">
        <f t="shared" si="1642"/>
        <v>25/06/2025</v>
      </c>
      <c r="I3398" t="str">
        <f t="shared" si="1644"/>
        <v>23/06/2025</v>
      </c>
      <c r="J3398" t="str">
        <f t="shared" si="1643"/>
        <v>25/06/2025</v>
      </c>
      <c r="K3398">
        <v>656.64</v>
      </c>
      <c r="L3398">
        <v>656.64</v>
      </c>
      <c r="M3398">
        <v>303</v>
      </c>
      <c r="N3398" t="str">
        <f t="shared" si="1638"/>
        <v>RECEITAS COM ENTREGAS</v>
      </c>
      <c r="O3398">
        <v>656.64</v>
      </c>
      <c r="R3398" t="str">
        <f t="shared" si="1639"/>
        <v>RECEITAS COM ENTREGAS (303)</v>
      </c>
      <c r="S3398">
        <v>1896</v>
      </c>
      <c r="T3398">
        <v>1420</v>
      </c>
      <c r="U3398" t="s">
        <v>19</v>
      </c>
    </row>
    <row r="3399" spans="1:21">
      <c r="A3399" t="str">
        <f t="shared" si="1641"/>
        <v>25/06/2025</v>
      </c>
      <c r="B3399" t="str">
        <f t="shared" si="1640"/>
        <v>ENTRADA</v>
      </c>
      <c r="C3399" t="str">
        <f t="shared" si="1637"/>
        <v>NFSE</v>
      </c>
      <c r="D3399" t="str">
        <f>"3136"</f>
        <v>3136</v>
      </c>
      <c r="E3399" t="str">
        <f t="shared" si="1636"/>
        <v>COM</v>
      </c>
      <c r="F3399" t="str">
        <f>"DROGARIA AGAPEAMA (10167)"</f>
        <v>DROGARIA AGAPEAMA (10167)</v>
      </c>
      <c r="G3399" t="str">
        <f>"Serv.Prest. 16/06/2025 a 22/06/2025 - RPS: 905 - NFSe: 3136"</f>
        <v>Serv.Prest. 16/06/2025 a 22/06/2025 - RPS: 905 - NFSe: 3136</v>
      </c>
      <c r="H3399" t="str">
        <f t="shared" si="1642"/>
        <v>25/06/2025</v>
      </c>
      <c r="I3399" t="str">
        <f t="shared" si="1644"/>
        <v>23/06/2025</v>
      </c>
      <c r="J3399" t="str">
        <f t="shared" si="1643"/>
        <v>25/06/2025</v>
      </c>
      <c r="M3399">
        <v>303</v>
      </c>
      <c r="N3399" t="str">
        <f t="shared" si="1638"/>
        <v>RECEITAS COM ENTREGAS</v>
      </c>
      <c r="P3399">
        <v>656.64</v>
      </c>
      <c r="Q3399" t="str">
        <f>"DROGARIA AGAPEAMA (10167)"</f>
        <v>DROGARIA AGAPEAMA (10167)</v>
      </c>
      <c r="R3399" t="str">
        <f t="shared" si="1639"/>
        <v>RECEITAS COM ENTREGAS (303)</v>
      </c>
      <c r="S3399">
        <v>1896</v>
      </c>
      <c r="T3399">
        <v>1420</v>
      </c>
      <c r="U3399" t="s">
        <v>19</v>
      </c>
    </row>
    <row r="3400" spans="1:21">
      <c r="A3400" t="str">
        <f t="shared" si="1641"/>
        <v>25/06/2025</v>
      </c>
      <c r="B3400" t="str">
        <f t="shared" si="1640"/>
        <v>ENTRADA</v>
      </c>
      <c r="C3400" t="str">
        <f t="shared" si="1637"/>
        <v>NFSE</v>
      </c>
      <c r="D3400" t="str">
        <f>"3137"</f>
        <v>3137</v>
      </c>
      <c r="E3400" t="str">
        <f t="shared" si="1636"/>
        <v>COM</v>
      </c>
      <c r="F3400" t="str">
        <f>"DROGARIA MEDALHA (10163)"</f>
        <v>DROGARIA MEDALHA (10163)</v>
      </c>
      <c r="G3400" t="str">
        <f>"Serv.Prest. 16/06/2025 a 22/06/2025 - RPS: 906 - NFSe: 3137"</f>
        <v>Serv.Prest. 16/06/2025 a 22/06/2025 - RPS: 906 - NFSe: 3137</v>
      </c>
      <c r="H3400" t="str">
        <f t="shared" si="1642"/>
        <v>25/06/2025</v>
      </c>
      <c r="I3400" t="str">
        <f t="shared" si="1644"/>
        <v>23/06/2025</v>
      </c>
      <c r="J3400" t="str">
        <f t="shared" si="1643"/>
        <v>25/06/2025</v>
      </c>
      <c r="K3400">
        <v>160.43</v>
      </c>
      <c r="L3400">
        <v>160.43</v>
      </c>
      <c r="M3400">
        <v>303</v>
      </c>
      <c r="N3400" t="str">
        <f t="shared" si="1638"/>
        <v>RECEITAS COM ENTREGAS</v>
      </c>
      <c r="O3400">
        <v>160.43</v>
      </c>
      <c r="R3400" t="str">
        <f t="shared" si="1639"/>
        <v>RECEITAS COM ENTREGAS (303)</v>
      </c>
      <c r="S3400">
        <v>1897</v>
      </c>
      <c r="T3400">
        <v>1421</v>
      </c>
      <c r="U3400" t="s">
        <v>19</v>
      </c>
    </row>
    <row r="3401" spans="1:21">
      <c r="A3401" t="str">
        <f t="shared" si="1641"/>
        <v>25/06/2025</v>
      </c>
      <c r="B3401" t="str">
        <f t="shared" si="1640"/>
        <v>ENTRADA</v>
      </c>
      <c r="C3401" t="str">
        <f t="shared" si="1637"/>
        <v>NFSE</v>
      </c>
      <c r="D3401" t="str">
        <f>"3137"</f>
        <v>3137</v>
      </c>
      <c r="E3401" t="str">
        <f t="shared" si="1636"/>
        <v>COM</v>
      </c>
      <c r="F3401" t="str">
        <f>"DROGARIA MEDALHA (10163)"</f>
        <v>DROGARIA MEDALHA (10163)</v>
      </c>
      <c r="G3401" t="str">
        <f>"Serv.Prest. 16/06/2025 a 22/06/2025 - RPS: 906 - NFSe: 3137"</f>
        <v>Serv.Prest. 16/06/2025 a 22/06/2025 - RPS: 906 - NFSe: 3137</v>
      </c>
      <c r="H3401" t="str">
        <f t="shared" si="1642"/>
        <v>25/06/2025</v>
      </c>
      <c r="I3401" t="str">
        <f t="shared" si="1644"/>
        <v>23/06/2025</v>
      </c>
      <c r="J3401" t="str">
        <f t="shared" si="1643"/>
        <v>25/06/2025</v>
      </c>
      <c r="M3401">
        <v>303</v>
      </c>
      <c r="N3401" t="str">
        <f t="shared" si="1638"/>
        <v>RECEITAS COM ENTREGAS</v>
      </c>
      <c r="P3401">
        <v>160.43</v>
      </c>
      <c r="Q3401" t="str">
        <f>"DROGARIA MEDALHA (10163)"</f>
        <v>DROGARIA MEDALHA (10163)</v>
      </c>
      <c r="R3401" t="str">
        <f t="shared" si="1639"/>
        <v>RECEITAS COM ENTREGAS (303)</v>
      </c>
      <c r="S3401">
        <v>1897</v>
      </c>
      <c r="T3401">
        <v>1421</v>
      </c>
      <c r="U3401" t="s">
        <v>19</v>
      </c>
    </row>
    <row r="3402" spans="1:21">
      <c r="A3402" t="str">
        <f t="shared" si="1641"/>
        <v>25/06/2025</v>
      </c>
      <c r="B3402" t="str">
        <f t="shared" si="1640"/>
        <v>ENTRADA</v>
      </c>
      <c r="C3402" t="str">
        <f t="shared" si="1637"/>
        <v>NFSE</v>
      </c>
      <c r="D3402" t="str">
        <f>"3139"</f>
        <v>3139</v>
      </c>
      <c r="E3402" t="str">
        <f t="shared" si="1636"/>
        <v>COM</v>
      </c>
      <c r="F3402" t="str">
        <f>"ENTREFARMA (10164)"</f>
        <v>ENTREFARMA (10164)</v>
      </c>
      <c r="G3402" t="str">
        <f>"Serv.Prest. 16/06/2025 a 22/06/2025 - RPS: 908 - NFSe: 3139"</f>
        <v>Serv.Prest. 16/06/2025 a 22/06/2025 - RPS: 908 - NFSe: 3139</v>
      </c>
      <c r="H3402" t="str">
        <f t="shared" si="1642"/>
        <v>25/06/2025</v>
      </c>
      <c r="I3402" t="str">
        <f t="shared" si="1644"/>
        <v>23/06/2025</v>
      </c>
      <c r="J3402" t="str">
        <f t="shared" si="1643"/>
        <v>25/06/2025</v>
      </c>
      <c r="K3402">
        <v>875.84</v>
      </c>
      <c r="L3402">
        <v>875.84</v>
      </c>
      <c r="M3402">
        <v>303</v>
      </c>
      <c r="N3402" t="str">
        <f t="shared" si="1638"/>
        <v>RECEITAS COM ENTREGAS</v>
      </c>
      <c r="O3402">
        <v>875.84</v>
      </c>
      <c r="R3402" t="str">
        <f t="shared" si="1639"/>
        <v>RECEITAS COM ENTREGAS (303)</v>
      </c>
      <c r="S3402">
        <v>1898</v>
      </c>
      <c r="T3402">
        <v>1423</v>
      </c>
      <c r="U3402" t="s">
        <v>19</v>
      </c>
    </row>
    <row r="3403" spans="1:21">
      <c r="A3403" t="str">
        <f t="shared" si="1641"/>
        <v>25/06/2025</v>
      </c>
      <c r="B3403" t="str">
        <f t="shared" si="1640"/>
        <v>ENTRADA</v>
      </c>
      <c r="C3403" t="str">
        <f t="shared" si="1637"/>
        <v>NFSE</v>
      </c>
      <c r="D3403" t="str">
        <f>"3139"</f>
        <v>3139</v>
      </c>
      <c r="E3403" t="str">
        <f t="shared" si="1636"/>
        <v>COM</v>
      </c>
      <c r="F3403" t="str">
        <f>"ENTREFARMA (10164)"</f>
        <v>ENTREFARMA (10164)</v>
      </c>
      <c r="G3403" t="str">
        <f>"Serv.Prest. 16/06/2025 a 22/06/2025 - RPS: 908 - NFSe: 3139"</f>
        <v>Serv.Prest. 16/06/2025 a 22/06/2025 - RPS: 908 - NFSe: 3139</v>
      </c>
      <c r="H3403" t="str">
        <f t="shared" si="1642"/>
        <v>25/06/2025</v>
      </c>
      <c r="I3403" t="str">
        <f t="shared" si="1644"/>
        <v>23/06/2025</v>
      </c>
      <c r="J3403" t="str">
        <f t="shared" si="1643"/>
        <v>25/06/2025</v>
      </c>
      <c r="M3403">
        <v>303</v>
      </c>
      <c r="N3403" t="str">
        <f t="shared" si="1638"/>
        <v>RECEITAS COM ENTREGAS</v>
      </c>
      <c r="P3403">
        <v>875.84</v>
      </c>
      <c r="Q3403" t="str">
        <f>"ENTREFARMA (10164)"</f>
        <v>ENTREFARMA (10164)</v>
      </c>
      <c r="R3403" t="str">
        <f t="shared" si="1639"/>
        <v>RECEITAS COM ENTREGAS (303)</v>
      </c>
      <c r="S3403">
        <v>1898</v>
      </c>
      <c r="T3403">
        <v>1423</v>
      </c>
      <c r="U3403" t="s">
        <v>19</v>
      </c>
    </row>
    <row r="3404" spans="1:21">
      <c r="A3404" t="str">
        <f t="shared" si="1641"/>
        <v>25/06/2025</v>
      </c>
      <c r="B3404" t="str">
        <f t="shared" si="1640"/>
        <v>ENTRADA</v>
      </c>
      <c r="C3404" t="str">
        <f t="shared" si="1637"/>
        <v>NFSE</v>
      </c>
      <c r="D3404" t="str">
        <f>"3140"</f>
        <v>3140</v>
      </c>
      <c r="E3404" t="str">
        <f t="shared" si="1636"/>
        <v>COM</v>
      </c>
      <c r="F3404" t="str">
        <f>"ROSA MARIA LTDA (10165)"</f>
        <v>ROSA MARIA LTDA (10165)</v>
      </c>
      <c r="G3404" t="str">
        <f>"Serv.Prest. 16/06/2025 a 22/06/2025 - RPS: 909 - NFSe: 3140"</f>
        <v>Serv.Prest. 16/06/2025 a 22/06/2025 - RPS: 909 - NFSe: 3140</v>
      </c>
      <c r="H3404" t="str">
        <f t="shared" si="1642"/>
        <v>25/06/2025</v>
      </c>
      <c r="I3404" t="str">
        <f t="shared" si="1644"/>
        <v>23/06/2025</v>
      </c>
      <c r="J3404" t="str">
        <f t="shared" si="1643"/>
        <v>25/06/2025</v>
      </c>
      <c r="K3404">
        <v>345.44</v>
      </c>
      <c r="L3404">
        <v>345.44</v>
      </c>
      <c r="M3404">
        <v>303</v>
      </c>
      <c r="N3404" t="str">
        <f t="shared" si="1638"/>
        <v>RECEITAS COM ENTREGAS</v>
      </c>
      <c r="O3404">
        <v>345.44</v>
      </c>
      <c r="R3404" t="str">
        <f t="shared" si="1639"/>
        <v>RECEITAS COM ENTREGAS (303)</v>
      </c>
      <c r="S3404">
        <v>1899</v>
      </c>
      <c r="T3404">
        <v>1424</v>
      </c>
      <c r="U3404" t="s">
        <v>19</v>
      </c>
    </row>
    <row r="3405" spans="1:21">
      <c r="A3405" t="str">
        <f t="shared" si="1641"/>
        <v>25/06/2025</v>
      </c>
      <c r="B3405" t="str">
        <f t="shared" si="1640"/>
        <v>ENTRADA</v>
      </c>
      <c r="C3405" t="str">
        <f t="shared" si="1637"/>
        <v>NFSE</v>
      </c>
      <c r="D3405" t="str">
        <f>"3140"</f>
        <v>3140</v>
      </c>
      <c r="E3405" t="str">
        <f t="shared" si="1636"/>
        <v>COM</v>
      </c>
      <c r="F3405" t="str">
        <f>"ROSA MARIA LTDA (10165)"</f>
        <v>ROSA MARIA LTDA (10165)</v>
      </c>
      <c r="G3405" t="str">
        <f>"Serv.Prest. 16/06/2025 a 22/06/2025 - RPS: 909 - NFSe: 3140"</f>
        <v>Serv.Prest. 16/06/2025 a 22/06/2025 - RPS: 909 - NFSe: 3140</v>
      </c>
      <c r="H3405" t="str">
        <f t="shared" si="1642"/>
        <v>25/06/2025</v>
      </c>
      <c r="I3405" t="str">
        <f t="shared" si="1644"/>
        <v>23/06/2025</v>
      </c>
      <c r="J3405" t="str">
        <f t="shared" si="1643"/>
        <v>25/06/2025</v>
      </c>
      <c r="M3405">
        <v>303</v>
      </c>
      <c r="N3405" t="str">
        <f t="shared" si="1638"/>
        <v>RECEITAS COM ENTREGAS</v>
      </c>
      <c r="P3405">
        <v>345.44</v>
      </c>
      <c r="Q3405" t="str">
        <f>"ROSA MARIA LTDA (10170)"</f>
        <v>ROSA MARIA LTDA (10170)</v>
      </c>
      <c r="R3405" t="str">
        <f t="shared" si="1639"/>
        <v>RECEITAS COM ENTREGAS (303)</v>
      </c>
      <c r="S3405">
        <v>1899</v>
      </c>
      <c r="T3405">
        <v>1424</v>
      </c>
      <c r="U3405" t="s">
        <v>19</v>
      </c>
    </row>
    <row r="3406" spans="1:21">
      <c r="A3406" t="str">
        <f t="shared" si="1641"/>
        <v>25/06/2025</v>
      </c>
      <c r="B3406" t="str">
        <f t="shared" si="1640"/>
        <v>ENTRADA</v>
      </c>
      <c r="C3406" t="str">
        <f t="shared" si="1637"/>
        <v>NFSE</v>
      </c>
      <c r="D3406" t="str">
        <f>"3147"</f>
        <v>3147</v>
      </c>
      <c r="E3406" t="str">
        <f t="shared" si="1636"/>
        <v>COM</v>
      </c>
      <c r="F3406" t="str">
        <f>"DROGARIA TOTAL JUNDIAI (10177)"</f>
        <v>DROGARIA TOTAL JUNDIAI (10177)</v>
      </c>
      <c r="G3406" t="str">
        <f>"Serv.Prest. 16/06/2025 a 22/06/2025 - RPS: 916 - NFSe: 3147"</f>
        <v>Serv.Prest. 16/06/2025 a 22/06/2025 - RPS: 916 - NFSe: 3147</v>
      </c>
      <c r="H3406" t="str">
        <f t="shared" si="1642"/>
        <v>25/06/2025</v>
      </c>
      <c r="I3406" t="str">
        <f t="shared" ref="I3406:I3411" si="1645">("24/06/2025")</f>
        <v>24/06/2025</v>
      </c>
      <c r="J3406" t="str">
        <f t="shared" si="1643"/>
        <v>25/06/2025</v>
      </c>
      <c r="K3406">
        <v>72.489999999999995</v>
      </c>
      <c r="L3406">
        <v>72.489999999999995</v>
      </c>
      <c r="M3406">
        <v>303</v>
      </c>
      <c r="N3406" t="str">
        <f t="shared" si="1638"/>
        <v>RECEITAS COM ENTREGAS</v>
      </c>
      <c r="O3406">
        <v>72.489999999999995</v>
      </c>
      <c r="R3406" t="str">
        <f t="shared" si="1639"/>
        <v>RECEITAS COM ENTREGAS (303)</v>
      </c>
      <c r="S3406">
        <v>1900</v>
      </c>
      <c r="T3406">
        <v>1431</v>
      </c>
      <c r="U3406" t="s">
        <v>19</v>
      </c>
    </row>
    <row r="3407" spans="1:21">
      <c r="A3407" t="str">
        <f t="shared" si="1641"/>
        <v>25/06/2025</v>
      </c>
      <c r="B3407" t="str">
        <f t="shared" si="1640"/>
        <v>ENTRADA</v>
      </c>
      <c r="C3407" t="str">
        <f t="shared" si="1637"/>
        <v>NFSE</v>
      </c>
      <c r="D3407" t="str">
        <f>"3147"</f>
        <v>3147</v>
      </c>
      <c r="E3407" t="str">
        <f t="shared" si="1636"/>
        <v>COM</v>
      </c>
      <c r="F3407" t="str">
        <f>"DROGARIA TOTAL JUNDIAI (10177)"</f>
        <v>DROGARIA TOTAL JUNDIAI (10177)</v>
      </c>
      <c r="G3407" t="str">
        <f>"Serv.Prest. 16/06/2025 a 22/06/2025 - RPS: 916 - NFSe: 3147"</f>
        <v>Serv.Prest. 16/06/2025 a 22/06/2025 - RPS: 916 - NFSe: 3147</v>
      </c>
      <c r="H3407" t="str">
        <f t="shared" si="1642"/>
        <v>25/06/2025</v>
      </c>
      <c r="I3407" t="str">
        <f t="shared" si="1645"/>
        <v>24/06/2025</v>
      </c>
      <c r="J3407" t="str">
        <f t="shared" si="1643"/>
        <v>25/06/2025</v>
      </c>
      <c r="M3407">
        <v>303</v>
      </c>
      <c r="N3407" t="str">
        <f t="shared" si="1638"/>
        <v>RECEITAS COM ENTREGAS</v>
      </c>
      <c r="P3407">
        <v>72.489999999999995</v>
      </c>
      <c r="Q3407" t="str">
        <f>"DROGARIA TOTAL JUNDIAI (10177)"</f>
        <v>DROGARIA TOTAL JUNDIAI (10177)</v>
      </c>
      <c r="R3407" t="str">
        <f t="shared" si="1639"/>
        <v>RECEITAS COM ENTREGAS (303)</v>
      </c>
      <c r="S3407">
        <v>1900</v>
      </c>
      <c r="T3407">
        <v>1431</v>
      </c>
      <c r="U3407" t="s">
        <v>19</v>
      </c>
    </row>
    <row r="3408" spans="1:21">
      <c r="A3408" t="str">
        <f t="shared" si="1641"/>
        <v>25/06/2025</v>
      </c>
      <c r="B3408" t="str">
        <f t="shared" si="1640"/>
        <v>ENTRADA</v>
      </c>
      <c r="C3408" t="str">
        <f t="shared" si="1637"/>
        <v>NFSE</v>
      </c>
      <c r="D3408" t="str">
        <f>"3156"</f>
        <v>3156</v>
      </c>
      <c r="E3408" t="str">
        <f t="shared" si="1636"/>
        <v>COM</v>
      </c>
      <c r="F3408" t="str">
        <f>"PASSA QUATRO (10175)"</f>
        <v>PASSA QUATRO (10175)</v>
      </c>
      <c r="G3408" t="str">
        <f>"Serv.Prest. 16/06/2025 a 22/06/2025 - RPS: 925 - NFSe: 3156"</f>
        <v>Serv.Prest. 16/06/2025 a 22/06/2025 - RPS: 925 - NFSe: 3156</v>
      </c>
      <c r="H3408" t="str">
        <f t="shared" si="1642"/>
        <v>25/06/2025</v>
      </c>
      <c r="I3408" t="str">
        <f t="shared" si="1645"/>
        <v>24/06/2025</v>
      </c>
      <c r="J3408" t="str">
        <f t="shared" si="1643"/>
        <v>25/06/2025</v>
      </c>
      <c r="K3408">
        <v>126.21</v>
      </c>
      <c r="L3408">
        <v>126.21</v>
      </c>
      <c r="M3408">
        <v>303</v>
      </c>
      <c r="N3408" t="str">
        <f t="shared" si="1638"/>
        <v>RECEITAS COM ENTREGAS</v>
      </c>
      <c r="O3408">
        <v>126.21</v>
      </c>
      <c r="R3408" t="str">
        <f t="shared" si="1639"/>
        <v>RECEITAS COM ENTREGAS (303)</v>
      </c>
      <c r="S3408">
        <v>1901</v>
      </c>
      <c r="T3408">
        <v>1440</v>
      </c>
      <c r="U3408" t="s">
        <v>19</v>
      </c>
    </row>
    <row r="3409" spans="1:21">
      <c r="A3409" t="str">
        <f t="shared" si="1641"/>
        <v>25/06/2025</v>
      </c>
      <c r="B3409" t="str">
        <f t="shared" si="1640"/>
        <v>ENTRADA</v>
      </c>
      <c r="C3409" t="str">
        <f t="shared" si="1637"/>
        <v>NFSE</v>
      </c>
      <c r="D3409" t="str">
        <f>"3156"</f>
        <v>3156</v>
      </c>
      <c r="E3409" t="str">
        <f t="shared" si="1636"/>
        <v>COM</v>
      </c>
      <c r="F3409" t="str">
        <f>"PASSA QUATRO (10175)"</f>
        <v>PASSA QUATRO (10175)</v>
      </c>
      <c r="G3409" t="str">
        <f>"Serv.Prest. 16/06/2025 a 22/06/2025 - RPS: 925 - NFSe: 3156"</f>
        <v>Serv.Prest. 16/06/2025 a 22/06/2025 - RPS: 925 - NFSe: 3156</v>
      </c>
      <c r="H3409" t="str">
        <f t="shared" si="1642"/>
        <v>25/06/2025</v>
      </c>
      <c r="I3409" t="str">
        <f t="shared" si="1645"/>
        <v>24/06/2025</v>
      </c>
      <c r="J3409" t="str">
        <f t="shared" si="1643"/>
        <v>25/06/2025</v>
      </c>
      <c r="M3409">
        <v>303</v>
      </c>
      <c r="N3409" t="str">
        <f t="shared" si="1638"/>
        <v>RECEITAS COM ENTREGAS</v>
      </c>
      <c r="P3409">
        <v>126.21</v>
      </c>
      <c r="Q3409" t="str">
        <f>"PASSA QUATRO (10175)"</f>
        <v>PASSA QUATRO (10175)</v>
      </c>
      <c r="R3409" t="str">
        <f t="shared" si="1639"/>
        <v>RECEITAS COM ENTREGAS (303)</v>
      </c>
      <c r="S3409">
        <v>1901</v>
      </c>
      <c r="T3409">
        <v>1440</v>
      </c>
      <c r="U3409" t="s">
        <v>19</v>
      </c>
    </row>
    <row r="3410" spans="1:21">
      <c r="A3410" t="str">
        <f t="shared" si="1641"/>
        <v>25/06/2025</v>
      </c>
      <c r="B3410" t="str">
        <f t="shared" si="1640"/>
        <v>ENTRADA</v>
      </c>
      <c r="C3410" t="str">
        <f t="shared" si="1637"/>
        <v>NFSE</v>
      </c>
      <c r="D3410" t="str">
        <f>"3158"</f>
        <v>3158</v>
      </c>
      <c r="E3410" t="str">
        <f t="shared" si="1636"/>
        <v>COM</v>
      </c>
      <c r="F3410" t="str">
        <f>"JAL FARMACIA E DROGARIA LJ 2 (10138)"</f>
        <v>JAL FARMACIA E DROGARIA LJ 2 (10138)</v>
      </c>
      <c r="G3410" t="str">
        <f>"Serv.Prest. 16/06/2025 a 22/06/2025 - RPS: 927 - NFSe: 3158"</f>
        <v>Serv.Prest. 16/06/2025 a 22/06/2025 - RPS: 927 - NFSe: 3158</v>
      </c>
      <c r="H3410" t="str">
        <f t="shared" si="1642"/>
        <v>25/06/2025</v>
      </c>
      <c r="I3410" t="str">
        <f t="shared" si="1645"/>
        <v>24/06/2025</v>
      </c>
      <c r="J3410" t="str">
        <f t="shared" si="1643"/>
        <v>25/06/2025</v>
      </c>
      <c r="K3410">
        <v>260.8</v>
      </c>
      <c r="L3410">
        <v>260.8</v>
      </c>
      <c r="M3410">
        <v>303</v>
      </c>
      <c r="N3410" t="str">
        <f t="shared" si="1638"/>
        <v>RECEITAS COM ENTREGAS</v>
      </c>
      <c r="O3410">
        <v>260.8</v>
      </c>
      <c r="R3410" t="str">
        <f t="shared" si="1639"/>
        <v>RECEITAS COM ENTREGAS (303)</v>
      </c>
      <c r="S3410">
        <v>1902</v>
      </c>
      <c r="T3410">
        <v>1442</v>
      </c>
      <c r="U3410" t="s">
        <v>19</v>
      </c>
    </row>
    <row r="3411" spans="1:21">
      <c r="A3411" t="str">
        <f t="shared" si="1641"/>
        <v>25/06/2025</v>
      </c>
      <c r="B3411" t="str">
        <f t="shared" si="1640"/>
        <v>ENTRADA</v>
      </c>
      <c r="C3411" t="str">
        <f t="shared" si="1637"/>
        <v>NFSE</v>
      </c>
      <c r="D3411" t="str">
        <f>"3158"</f>
        <v>3158</v>
      </c>
      <c r="E3411" t="str">
        <f t="shared" si="1636"/>
        <v>COM</v>
      </c>
      <c r="F3411" t="str">
        <f>"JAL FARMACIA E DROGARIA LJ 2 (10138)"</f>
        <v>JAL FARMACIA E DROGARIA LJ 2 (10138)</v>
      </c>
      <c r="G3411" t="str">
        <f>"Serv.Prest. 16/06/2025 a 22/06/2025 - RPS: 927 - NFSe: 3158"</f>
        <v>Serv.Prest. 16/06/2025 a 22/06/2025 - RPS: 927 - NFSe: 3158</v>
      </c>
      <c r="H3411" t="str">
        <f t="shared" si="1642"/>
        <v>25/06/2025</v>
      </c>
      <c r="I3411" t="str">
        <f t="shared" si="1645"/>
        <v>24/06/2025</v>
      </c>
      <c r="J3411" t="str">
        <f t="shared" si="1643"/>
        <v>25/06/2025</v>
      </c>
      <c r="M3411">
        <v>303</v>
      </c>
      <c r="N3411" t="str">
        <f t="shared" si="1638"/>
        <v>RECEITAS COM ENTREGAS</v>
      </c>
      <c r="P3411">
        <v>260.8</v>
      </c>
      <c r="Q3411" t="str">
        <f>"JAL FARMACIA E DROGARIA LJ 2 (10138)"</f>
        <v>JAL FARMACIA E DROGARIA LJ 2 (10138)</v>
      </c>
      <c r="R3411" t="str">
        <f t="shared" si="1639"/>
        <v>RECEITAS COM ENTREGAS (303)</v>
      </c>
      <c r="S3411">
        <v>1902</v>
      </c>
      <c r="T3411">
        <v>1442</v>
      </c>
      <c r="U3411" t="s">
        <v>19</v>
      </c>
    </row>
    <row r="3412" spans="1:21">
      <c r="A3412" t="str">
        <f t="shared" si="1641"/>
        <v>25/06/2025</v>
      </c>
      <c r="B3412" t="str">
        <f t="shared" ref="B3412:B3429" si="1646">"SAÍDA"</f>
        <v>SAÍDA</v>
      </c>
      <c r="C3412" t="str">
        <f t="shared" ref="C3412:C3429" si="1647">"CONHECIMENTO"</f>
        <v>CONHECIMENTO</v>
      </c>
      <c r="D3412" t="str">
        <f t="shared" ref="D3412:D3429" si="1648">"250625170"</f>
        <v>250625170</v>
      </c>
      <c r="E3412" t="str">
        <f t="shared" si="1636"/>
        <v>COM</v>
      </c>
      <c r="F3412" t="str">
        <f t="shared" ref="F3412:F3429" si="1649">"CORA SOCIEDADE DE CREDITO, FINANCIAMENTO E INVESTIMENTO (20035)"</f>
        <v>CORA SOCIEDADE DE CREDITO, FINANCIAMENTO E INVESTIMENTO (20035)</v>
      </c>
      <c r="G3412" t="str">
        <f t="shared" ref="G3412:G3429" si="1650">"TAXA BOLETO COMPENSADO"</f>
        <v>TAXA BOLETO COMPENSADO</v>
      </c>
      <c r="H3412" t="str">
        <f t="shared" si="1642"/>
        <v>25/06/2025</v>
      </c>
      <c r="I3412" t="str">
        <f t="shared" ref="I3412:I3431" si="1651">("25/06/2025")</f>
        <v>25/06/2025</v>
      </c>
      <c r="J3412" t="str">
        <f t="shared" si="1643"/>
        <v>25/06/2025</v>
      </c>
      <c r="K3412">
        <v>1.7</v>
      </c>
      <c r="L3412">
        <v>1.7</v>
      </c>
      <c r="M3412">
        <v>401</v>
      </c>
      <c r="N3412" t="str">
        <f t="shared" ref="N3412:N3429" si="1652">"IOF/JUROS/DESP.FINANCEIRA"</f>
        <v>IOF/JUROS/DESP.FINANCEIRA</v>
      </c>
      <c r="O3412">
        <v>1.7</v>
      </c>
      <c r="R3412" t="str">
        <f t="shared" ref="R3412:R3429" si="1653">"BANCO CORA (102)"</f>
        <v>BANCO CORA (102)</v>
      </c>
      <c r="S3412">
        <v>1931</v>
      </c>
      <c r="T3412">
        <v>1467</v>
      </c>
      <c r="U3412" t="s">
        <v>19</v>
      </c>
    </row>
    <row r="3413" spans="1:21">
      <c r="A3413" t="str">
        <f t="shared" si="1641"/>
        <v>25/06/2025</v>
      </c>
      <c r="B3413" t="str">
        <f t="shared" si="1646"/>
        <v>SAÍDA</v>
      </c>
      <c r="C3413" t="str">
        <f t="shared" si="1647"/>
        <v>CONHECIMENTO</v>
      </c>
      <c r="D3413" t="str">
        <f t="shared" si="1648"/>
        <v>250625170</v>
      </c>
      <c r="E3413" t="str">
        <f t="shared" si="1636"/>
        <v>COM</v>
      </c>
      <c r="F3413" t="str">
        <f t="shared" si="1649"/>
        <v>CORA SOCIEDADE DE CREDITO, FINANCIAMENTO E INVESTIMENTO (20035)</v>
      </c>
      <c r="G3413" t="str">
        <f t="shared" si="1650"/>
        <v>TAXA BOLETO COMPENSADO</v>
      </c>
      <c r="H3413" t="str">
        <f t="shared" si="1642"/>
        <v>25/06/2025</v>
      </c>
      <c r="I3413" t="str">
        <f t="shared" si="1651"/>
        <v>25/06/2025</v>
      </c>
      <c r="J3413" t="str">
        <f t="shared" si="1643"/>
        <v>25/06/2025</v>
      </c>
      <c r="M3413">
        <v>401</v>
      </c>
      <c r="N3413" t="str">
        <f t="shared" si="1652"/>
        <v>IOF/JUROS/DESP.FINANCEIRA</v>
      </c>
      <c r="P3413">
        <v>1.7</v>
      </c>
      <c r="Q3413" t="str">
        <f>"CORA SOCIEDADE DE CREDITO, FINANCIAMENTO E INVESTIMENTO (20035)"</f>
        <v>CORA SOCIEDADE DE CREDITO, FINANCIAMENTO E INVESTIMENTO (20035)</v>
      </c>
      <c r="R3413" t="str">
        <f t="shared" si="1653"/>
        <v>BANCO CORA (102)</v>
      </c>
      <c r="S3413">
        <v>1931</v>
      </c>
      <c r="T3413">
        <v>1467</v>
      </c>
      <c r="U3413" t="s">
        <v>19</v>
      </c>
    </row>
    <row r="3414" spans="1:21">
      <c r="A3414" t="str">
        <f t="shared" si="1641"/>
        <v>25/06/2025</v>
      </c>
      <c r="B3414" t="str">
        <f t="shared" si="1646"/>
        <v>SAÍDA</v>
      </c>
      <c r="C3414" t="str">
        <f t="shared" si="1647"/>
        <v>CONHECIMENTO</v>
      </c>
      <c r="D3414" t="str">
        <f t="shared" si="1648"/>
        <v>250625170</v>
      </c>
      <c r="E3414" t="str">
        <f t="shared" si="1636"/>
        <v>COM</v>
      </c>
      <c r="F3414" t="str">
        <f t="shared" si="1649"/>
        <v>CORA SOCIEDADE DE CREDITO, FINANCIAMENTO E INVESTIMENTO (20035)</v>
      </c>
      <c r="G3414" t="str">
        <f t="shared" si="1650"/>
        <v>TAXA BOLETO COMPENSADO</v>
      </c>
      <c r="H3414" t="str">
        <f t="shared" si="1642"/>
        <v>25/06/2025</v>
      </c>
      <c r="I3414" t="str">
        <f t="shared" si="1651"/>
        <v>25/06/2025</v>
      </c>
      <c r="J3414" t="str">
        <f t="shared" si="1643"/>
        <v>25/06/2025</v>
      </c>
      <c r="K3414">
        <v>1.7</v>
      </c>
      <c r="L3414">
        <v>1.7</v>
      </c>
      <c r="M3414">
        <v>401</v>
      </c>
      <c r="N3414" t="str">
        <f t="shared" si="1652"/>
        <v>IOF/JUROS/DESP.FINANCEIRA</v>
      </c>
      <c r="O3414">
        <v>1.7</v>
      </c>
      <c r="R3414" t="str">
        <f t="shared" si="1653"/>
        <v>BANCO CORA (102)</v>
      </c>
      <c r="S3414">
        <v>1932</v>
      </c>
      <c r="T3414">
        <v>1468</v>
      </c>
      <c r="U3414" t="s">
        <v>19</v>
      </c>
    </row>
    <row r="3415" spans="1:21">
      <c r="A3415" t="str">
        <f t="shared" si="1641"/>
        <v>25/06/2025</v>
      </c>
      <c r="B3415" t="str">
        <f t="shared" si="1646"/>
        <v>SAÍDA</v>
      </c>
      <c r="C3415" t="str">
        <f t="shared" si="1647"/>
        <v>CONHECIMENTO</v>
      </c>
      <c r="D3415" t="str">
        <f t="shared" si="1648"/>
        <v>250625170</v>
      </c>
      <c r="E3415" t="str">
        <f t="shared" si="1636"/>
        <v>COM</v>
      </c>
      <c r="F3415" t="str">
        <f t="shared" si="1649"/>
        <v>CORA SOCIEDADE DE CREDITO, FINANCIAMENTO E INVESTIMENTO (20035)</v>
      </c>
      <c r="G3415" t="str">
        <f t="shared" si="1650"/>
        <v>TAXA BOLETO COMPENSADO</v>
      </c>
      <c r="H3415" t="str">
        <f t="shared" si="1642"/>
        <v>25/06/2025</v>
      </c>
      <c r="I3415" t="str">
        <f t="shared" si="1651"/>
        <v>25/06/2025</v>
      </c>
      <c r="J3415" t="str">
        <f t="shared" si="1643"/>
        <v>25/06/2025</v>
      </c>
      <c r="M3415">
        <v>401</v>
      </c>
      <c r="N3415" t="str">
        <f t="shared" si="1652"/>
        <v>IOF/JUROS/DESP.FINANCEIRA</v>
      </c>
      <c r="P3415">
        <v>1.7</v>
      </c>
      <c r="Q3415" t="str">
        <f>"CORA SOCIEDADE DE CREDITO, FINANCIAMENTO E INVESTIMENTO (20035)"</f>
        <v>CORA SOCIEDADE DE CREDITO, FINANCIAMENTO E INVESTIMENTO (20035)</v>
      </c>
      <c r="R3415" t="str">
        <f t="shared" si="1653"/>
        <v>BANCO CORA (102)</v>
      </c>
      <c r="S3415">
        <v>1932</v>
      </c>
      <c r="T3415">
        <v>1468</v>
      </c>
      <c r="U3415" t="s">
        <v>19</v>
      </c>
    </row>
    <row r="3416" spans="1:21">
      <c r="A3416" t="str">
        <f t="shared" si="1641"/>
        <v>25/06/2025</v>
      </c>
      <c r="B3416" t="str">
        <f t="shared" si="1646"/>
        <v>SAÍDA</v>
      </c>
      <c r="C3416" t="str">
        <f t="shared" si="1647"/>
        <v>CONHECIMENTO</v>
      </c>
      <c r="D3416" t="str">
        <f t="shared" si="1648"/>
        <v>250625170</v>
      </c>
      <c r="E3416" t="str">
        <f t="shared" si="1636"/>
        <v>COM</v>
      </c>
      <c r="F3416" t="str">
        <f t="shared" si="1649"/>
        <v>CORA SOCIEDADE DE CREDITO, FINANCIAMENTO E INVESTIMENTO (20035)</v>
      </c>
      <c r="G3416" t="str">
        <f t="shared" si="1650"/>
        <v>TAXA BOLETO COMPENSADO</v>
      </c>
      <c r="H3416" t="str">
        <f t="shared" si="1642"/>
        <v>25/06/2025</v>
      </c>
      <c r="I3416" t="str">
        <f t="shared" si="1651"/>
        <v>25/06/2025</v>
      </c>
      <c r="J3416" t="str">
        <f t="shared" si="1643"/>
        <v>25/06/2025</v>
      </c>
      <c r="K3416">
        <v>1.7</v>
      </c>
      <c r="L3416">
        <v>1.7</v>
      </c>
      <c r="M3416">
        <v>401</v>
      </c>
      <c r="N3416" t="str">
        <f t="shared" si="1652"/>
        <v>IOF/JUROS/DESP.FINANCEIRA</v>
      </c>
      <c r="O3416">
        <v>1.7</v>
      </c>
      <c r="R3416" t="str">
        <f t="shared" si="1653"/>
        <v>BANCO CORA (102)</v>
      </c>
      <c r="S3416">
        <v>1933</v>
      </c>
      <c r="T3416">
        <v>1469</v>
      </c>
      <c r="U3416" t="s">
        <v>19</v>
      </c>
    </row>
    <row r="3417" spans="1:21">
      <c r="A3417" t="str">
        <f t="shared" si="1641"/>
        <v>25/06/2025</v>
      </c>
      <c r="B3417" t="str">
        <f t="shared" si="1646"/>
        <v>SAÍDA</v>
      </c>
      <c r="C3417" t="str">
        <f t="shared" si="1647"/>
        <v>CONHECIMENTO</v>
      </c>
      <c r="D3417" t="str">
        <f t="shared" si="1648"/>
        <v>250625170</v>
      </c>
      <c r="E3417" t="str">
        <f t="shared" si="1636"/>
        <v>COM</v>
      </c>
      <c r="F3417" t="str">
        <f t="shared" si="1649"/>
        <v>CORA SOCIEDADE DE CREDITO, FINANCIAMENTO E INVESTIMENTO (20035)</v>
      </c>
      <c r="G3417" t="str">
        <f t="shared" si="1650"/>
        <v>TAXA BOLETO COMPENSADO</v>
      </c>
      <c r="H3417" t="str">
        <f t="shared" si="1642"/>
        <v>25/06/2025</v>
      </c>
      <c r="I3417" t="str">
        <f t="shared" si="1651"/>
        <v>25/06/2025</v>
      </c>
      <c r="J3417" t="str">
        <f t="shared" si="1643"/>
        <v>25/06/2025</v>
      </c>
      <c r="M3417">
        <v>401</v>
      </c>
      <c r="N3417" t="str">
        <f t="shared" si="1652"/>
        <v>IOF/JUROS/DESP.FINANCEIRA</v>
      </c>
      <c r="P3417">
        <v>1.7</v>
      </c>
      <c r="Q3417" t="str">
        <f>"CORA SOCIEDADE DE CREDITO, FINANCIAMENTO E INVESTIMENTO (20035)"</f>
        <v>CORA SOCIEDADE DE CREDITO, FINANCIAMENTO E INVESTIMENTO (20035)</v>
      </c>
      <c r="R3417" t="str">
        <f t="shared" si="1653"/>
        <v>BANCO CORA (102)</v>
      </c>
      <c r="S3417">
        <v>1933</v>
      </c>
      <c r="T3417">
        <v>1469</v>
      </c>
      <c r="U3417" t="s">
        <v>19</v>
      </c>
    </row>
    <row r="3418" spans="1:21">
      <c r="A3418" t="str">
        <f t="shared" si="1641"/>
        <v>25/06/2025</v>
      </c>
      <c r="B3418" t="str">
        <f t="shared" si="1646"/>
        <v>SAÍDA</v>
      </c>
      <c r="C3418" t="str">
        <f t="shared" si="1647"/>
        <v>CONHECIMENTO</v>
      </c>
      <c r="D3418" t="str">
        <f t="shared" si="1648"/>
        <v>250625170</v>
      </c>
      <c r="E3418" t="str">
        <f t="shared" si="1636"/>
        <v>COM</v>
      </c>
      <c r="F3418" t="str">
        <f t="shared" si="1649"/>
        <v>CORA SOCIEDADE DE CREDITO, FINANCIAMENTO E INVESTIMENTO (20035)</v>
      </c>
      <c r="G3418" t="str">
        <f t="shared" si="1650"/>
        <v>TAXA BOLETO COMPENSADO</v>
      </c>
      <c r="H3418" t="str">
        <f t="shared" si="1642"/>
        <v>25/06/2025</v>
      </c>
      <c r="I3418" t="str">
        <f t="shared" si="1651"/>
        <v>25/06/2025</v>
      </c>
      <c r="J3418" t="str">
        <f t="shared" si="1643"/>
        <v>25/06/2025</v>
      </c>
      <c r="K3418">
        <v>1.7</v>
      </c>
      <c r="L3418">
        <v>1.7</v>
      </c>
      <c r="M3418">
        <v>401</v>
      </c>
      <c r="N3418" t="str">
        <f t="shared" si="1652"/>
        <v>IOF/JUROS/DESP.FINANCEIRA</v>
      </c>
      <c r="O3418">
        <v>1.7</v>
      </c>
      <c r="R3418" t="str">
        <f t="shared" si="1653"/>
        <v>BANCO CORA (102)</v>
      </c>
      <c r="S3418">
        <v>1934</v>
      </c>
      <c r="T3418">
        <v>1470</v>
      </c>
      <c r="U3418" t="s">
        <v>19</v>
      </c>
    </row>
    <row r="3419" spans="1:21">
      <c r="A3419" t="str">
        <f t="shared" si="1641"/>
        <v>25/06/2025</v>
      </c>
      <c r="B3419" t="str">
        <f t="shared" si="1646"/>
        <v>SAÍDA</v>
      </c>
      <c r="C3419" t="str">
        <f t="shared" si="1647"/>
        <v>CONHECIMENTO</v>
      </c>
      <c r="D3419" t="str">
        <f t="shared" si="1648"/>
        <v>250625170</v>
      </c>
      <c r="E3419" t="str">
        <f t="shared" si="1636"/>
        <v>COM</v>
      </c>
      <c r="F3419" t="str">
        <f t="shared" si="1649"/>
        <v>CORA SOCIEDADE DE CREDITO, FINANCIAMENTO E INVESTIMENTO (20035)</v>
      </c>
      <c r="G3419" t="str">
        <f t="shared" si="1650"/>
        <v>TAXA BOLETO COMPENSADO</v>
      </c>
      <c r="H3419" t="str">
        <f t="shared" si="1642"/>
        <v>25/06/2025</v>
      </c>
      <c r="I3419" t="str">
        <f t="shared" si="1651"/>
        <v>25/06/2025</v>
      </c>
      <c r="J3419" t="str">
        <f t="shared" si="1643"/>
        <v>25/06/2025</v>
      </c>
      <c r="M3419">
        <v>401</v>
      </c>
      <c r="N3419" t="str">
        <f t="shared" si="1652"/>
        <v>IOF/JUROS/DESP.FINANCEIRA</v>
      </c>
      <c r="P3419">
        <v>1.7</v>
      </c>
      <c r="Q3419" t="str">
        <f>"CORA SOCIEDADE DE CREDITO, FINANCIAMENTO E INVESTIMENTO (20035)"</f>
        <v>CORA SOCIEDADE DE CREDITO, FINANCIAMENTO E INVESTIMENTO (20035)</v>
      </c>
      <c r="R3419" t="str">
        <f t="shared" si="1653"/>
        <v>BANCO CORA (102)</v>
      </c>
      <c r="S3419">
        <v>1934</v>
      </c>
      <c r="T3419">
        <v>1470</v>
      </c>
      <c r="U3419" t="s">
        <v>19</v>
      </c>
    </row>
    <row r="3420" spans="1:21">
      <c r="A3420" t="str">
        <f t="shared" si="1641"/>
        <v>25/06/2025</v>
      </c>
      <c r="B3420" t="str">
        <f t="shared" si="1646"/>
        <v>SAÍDA</v>
      </c>
      <c r="C3420" t="str">
        <f t="shared" si="1647"/>
        <v>CONHECIMENTO</v>
      </c>
      <c r="D3420" t="str">
        <f t="shared" si="1648"/>
        <v>250625170</v>
      </c>
      <c r="E3420" t="str">
        <f t="shared" si="1636"/>
        <v>COM</v>
      </c>
      <c r="F3420" t="str">
        <f t="shared" si="1649"/>
        <v>CORA SOCIEDADE DE CREDITO, FINANCIAMENTO E INVESTIMENTO (20035)</v>
      </c>
      <c r="G3420" t="str">
        <f t="shared" si="1650"/>
        <v>TAXA BOLETO COMPENSADO</v>
      </c>
      <c r="H3420" t="str">
        <f t="shared" si="1642"/>
        <v>25/06/2025</v>
      </c>
      <c r="I3420" t="str">
        <f t="shared" si="1651"/>
        <v>25/06/2025</v>
      </c>
      <c r="J3420" t="str">
        <f t="shared" si="1643"/>
        <v>25/06/2025</v>
      </c>
      <c r="K3420">
        <v>1.7</v>
      </c>
      <c r="L3420">
        <v>1.7</v>
      </c>
      <c r="M3420">
        <v>401</v>
      </c>
      <c r="N3420" t="str">
        <f t="shared" si="1652"/>
        <v>IOF/JUROS/DESP.FINANCEIRA</v>
      </c>
      <c r="O3420">
        <v>1.7</v>
      </c>
      <c r="R3420" t="str">
        <f t="shared" si="1653"/>
        <v>BANCO CORA (102)</v>
      </c>
      <c r="S3420">
        <v>1935</v>
      </c>
      <c r="T3420">
        <v>1471</v>
      </c>
      <c r="U3420" t="s">
        <v>19</v>
      </c>
    </row>
    <row r="3421" spans="1:21">
      <c r="A3421" t="str">
        <f t="shared" si="1641"/>
        <v>25/06/2025</v>
      </c>
      <c r="B3421" t="str">
        <f t="shared" si="1646"/>
        <v>SAÍDA</v>
      </c>
      <c r="C3421" t="str">
        <f t="shared" si="1647"/>
        <v>CONHECIMENTO</v>
      </c>
      <c r="D3421" t="str">
        <f t="shared" si="1648"/>
        <v>250625170</v>
      </c>
      <c r="E3421" t="str">
        <f t="shared" si="1636"/>
        <v>COM</v>
      </c>
      <c r="F3421" t="str">
        <f t="shared" si="1649"/>
        <v>CORA SOCIEDADE DE CREDITO, FINANCIAMENTO E INVESTIMENTO (20035)</v>
      </c>
      <c r="G3421" t="str">
        <f t="shared" si="1650"/>
        <v>TAXA BOLETO COMPENSADO</v>
      </c>
      <c r="H3421" t="str">
        <f t="shared" si="1642"/>
        <v>25/06/2025</v>
      </c>
      <c r="I3421" t="str">
        <f t="shared" si="1651"/>
        <v>25/06/2025</v>
      </c>
      <c r="J3421" t="str">
        <f t="shared" si="1643"/>
        <v>25/06/2025</v>
      </c>
      <c r="M3421">
        <v>401</v>
      </c>
      <c r="N3421" t="str">
        <f t="shared" si="1652"/>
        <v>IOF/JUROS/DESP.FINANCEIRA</v>
      </c>
      <c r="P3421">
        <v>1.7</v>
      </c>
      <c r="Q3421" t="str">
        <f>"CORA SOCIEDADE DE CREDITO, FINANCIAMENTO E INVESTIMENTO (20035)"</f>
        <v>CORA SOCIEDADE DE CREDITO, FINANCIAMENTO E INVESTIMENTO (20035)</v>
      </c>
      <c r="R3421" t="str">
        <f t="shared" si="1653"/>
        <v>BANCO CORA (102)</v>
      </c>
      <c r="S3421">
        <v>1935</v>
      </c>
      <c r="T3421">
        <v>1471</v>
      </c>
      <c r="U3421" t="s">
        <v>19</v>
      </c>
    </row>
    <row r="3422" spans="1:21">
      <c r="A3422" t="str">
        <f t="shared" si="1641"/>
        <v>25/06/2025</v>
      </c>
      <c r="B3422" t="str">
        <f t="shared" si="1646"/>
        <v>SAÍDA</v>
      </c>
      <c r="C3422" t="str">
        <f t="shared" si="1647"/>
        <v>CONHECIMENTO</v>
      </c>
      <c r="D3422" t="str">
        <f t="shared" si="1648"/>
        <v>250625170</v>
      </c>
      <c r="E3422" t="str">
        <f t="shared" si="1636"/>
        <v>COM</v>
      </c>
      <c r="F3422" t="str">
        <f t="shared" si="1649"/>
        <v>CORA SOCIEDADE DE CREDITO, FINANCIAMENTO E INVESTIMENTO (20035)</v>
      </c>
      <c r="G3422" t="str">
        <f t="shared" si="1650"/>
        <v>TAXA BOLETO COMPENSADO</v>
      </c>
      <c r="H3422" t="str">
        <f t="shared" si="1642"/>
        <v>25/06/2025</v>
      </c>
      <c r="I3422" t="str">
        <f t="shared" si="1651"/>
        <v>25/06/2025</v>
      </c>
      <c r="J3422" t="str">
        <f t="shared" si="1643"/>
        <v>25/06/2025</v>
      </c>
      <c r="K3422">
        <v>1.7</v>
      </c>
      <c r="L3422">
        <v>1.7</v>
      </c>
      <c r="M3422">
        <v>401</v>
      </c>
      <c r="N3422" t="str">
        <f t="shared" si="1652"/>
        <v>IOF/JUROS/DESP.FINANCEIRA</v>
      </c>
      <c r="O3422">
        <v>1.7</v>
      </c>
      <c r="R3422" t="str">
        <f t="shared" si="1653"/>
        <v>BANCO CORA (102)</v>
      </c>
      <c r="S3422">
        <v>1936</v>
      </c>
      <c r="T3422">
        <v>1472</v>
      </c>
      <c r="U3422" t="s">
        <v>19</v>
      </c>
    </row>
    <row r="3423" spans="1:21">
      <c r="A3423" t="str">
        <f t="shared" ref="A3423:A3431" si="1654">("25/06/2025")</f>
        <v>25/06/2025</v>
      </c>
      <c r="B3423" t="str">
        <f t="shared" si="1646"/>
        <v>SAÍDA</v>
      </c>
      <c r="C3423" t="str">
        <f t="shared" si="1647"/>
        <v>CONHECIMENTO</v>
      </c>
      <c r="D3423" t="str">
        <f t="shared" si="1648"/>
        <v>250625170</v>
      </c>
      <c r="E3423" t="str">
        <f t="shared" si="1636"/>
        <v>COM</v>
      </c>
      <c r="F3423" t="str">
        <f t="shared" si="1649"/>
        <v>CORA SOCIEDADE DE CREDITO, FINANCIAMENTO E INVESTIMENTO (20035)</v>
      </c>
      <c r="G3423" t="str">
        <f t="shared" si="1650"/>
        <v>TAXA BOLETO COMPENSADO</v>
      </c>
      <c r="H3423" t="str">
        <f t="shared" ref="H3423:H3431" si="1655">("25/06/2025")</f>
        <v>25/06/2025</v>
      </c>
      <c r="I3423" t="str">
        <f t="shared" si="1651"/>
        <v>25/06/2025</v>
      </c>
      <c r="J3423" t="str">
        <f t="shared" ref="J3423:J3431" si="1656">("25/06/2025")</f>
        <v>25/06/2025</v>
      </c>
      <c r="M3423">
        <v>401</v>
      </c>
      <c r="N3423" t="str">
        <f t="shared" si="1652"/>
        <v>IOF/JUROS/DESP.FINANCEIRA</v>
      </c>
      <c r="P3423">
        <v>1.7</v>
      </c>
      <c r="Q3423" t="str">
        <f>"CORA SOCIEDADE DE CREDITO, FINANCIAMENTO E INVESTIMENTO (20035)"</f>
        <v>CORA SOCIEDADE DE CREDITO, FINANCIAMENTO E INVESTIMENTO (20035)</v>
      </c>
      <c r="R3423" t="str">
        <f t="shared" si="1653"/>
        <v>BANCO CORA (102)</v>
      </c>
      <c r="S3423">
        <v>1936</v>
      </c>
      <c r="T3423">
        <v>1472</v>
      </c>
      <c r="U3423" t="s">
        <v>19</v>
      </c>
    </row>
    <row r="3424" spans="1:21">
      <c r="A3424" t="str">
        <f t="shared" si="1654"/>
        <v>25/06/2025</v>
      </c>
      <c r="B3424" t="str">
        <f t="shared" si="1646"/>
        <v>SAÍDA</v>
      </c>
      <c r="C3424" t="str">
        <f t="shared" si="1647"/>
        <v>CONHECIMENTO</v>
      </c>
      <c r="D3424" t="str">
        <f t="shared" si="1648"/>
        <v>250625170</v>
      </c>
      <c r="E3424" t="str">
        <f t="shared" si="1636"/>
        <v>COM</v>
      </c>
      <c r="F3424" t="str">
        <f t="shared" si="1649"/>
        <v>CORA SOCIEDADE DE CREDITO, FINANCIAMENTO E INVESTIMENTO (20035)</v>
      </c>
      <c r="G3424" t="str">
        <f t="shared" si="1650"/>
        <v>TAXA BOLETO COMPENSADO</v>
      </c>
      <c r="H3424" t="str">
        <f t="shared" si="1655"/>
        <v>25/06/2025</v>
      </c>
      <c r="I3424" t="str">
        <f t="shared" si="1651"/>
        <v>25/06/2025</v>
      </c>
      <c r="J3424" t="str">
        <f t="shared" si="1656"/>
        <v>25/06/2025</v>
      </c>
      <c r="K3424">
        <v>1.7</v>
      </c>
      <c r="L3424">
        <v>1.7</v>
      </c>
      <c r="M3424">
        <v>401</v>
      </c>
      <c r="N3424" t="str">
        <f t="shared" si="1652"/>
        <v>IOF/JUROS/DESP.FINANCEIRA</v>
      </c>
      <c r="O3424">
        <v>1.7</v>
      </c>
      <c r="R3424" t="str">
        <f t="shared" si="1653"/>
        <v>BANCO CORA (102)</v>
      </c>
      <c r="S3424">
        <v>1937</v>
      </c>
      <c r="T3424">
        <v>1473</v>
      </c>
      <c r="U3424" t="s">
        <v>19</v>
      </c>
    </row>
    <row r="3425" spans="1:21">
      <c r="A3425" t="str">
        <f t="shared" si="1654"/>
        <v>25/06/2025</v>
      </c>
      <c r="B3425" t="str">
        <f t="shared" si="1646"/>
        <v>SAÍDA</v>
      </c>
      <c r="C3425" t="str">
        <f t="shared" si="1647"/>
        <v>CONHECIMENTO</v>
      </c>
      <c r="D3425" t="str">
        <f t="shared" si="1648"/>
        <v>250625170</v>
      </c>
      <c r="E3425" t="str">
        <f t="shared" si="1636"/>
        <v>COM</v>
      </c>
      <c r="F3425" t="str">
        <f t="shared" si="1649"/>
        <v>CORA SOCIEDADE DE CREDITO, FINANCIAMENTO E INVESTIMENTO (20035)</v>
      </c>
      <c r="G3425" t="str">
        <f t="shared" si="1650"/>
        <v>TAXA BOLETO COMPENSADO</v>
      </c>
      <c r="H3425" t="str">
        <f t="shared" si="1655"/>
        <v>25/06/2025</v>
      </c>
      <c r="I3425" t="str">
        <f t="shared" si="1651"/>
        <v>25/06/2025</v>
      </c>
      <c r="J3425" t="str">
        <f t="shared" si="1656"/>
        <v>25/06/2025</v>
      </c>
      <c r="M3425">
        <v>401</v>
      </c>
      <c r="N3425" t="str">
        <f t="shared" si="1652"/>
        <v>IOF/JUROS/DESP.FINANCEIRA</v>
      </c>
      <c r="P3425">
        <v>1.7</v>
      </c>
      <c r="Q3425" t="str">
        <f>"CORA SOCIEDADE DE CREDITO, FINANCIAMENTO E INVESTIMENTO (20035)"</f>
        <v>CORA SOCIEDADE DE CREDITO, FINANCIAMENTO E INVESTIMENTO (20035)</v>
      </c>
      <c r="R3425" t="str">
        <f t="shared" si="1653"/>
        <v>BANCO CORA (102)</v>
      </c>
      <c r="S3425">
        <v>1937</v>
      </c>
      <c r="T3425">
        <v>1473</v>
      </c>
      <c r="U3425" t="s">
        <v>19</v>
      </c>
    </row>
    <row r="3426" spans="1:21">
      <c r="A3426" t="str">
        <f t="shared" si="1654"/>
        <v>25/06/2025</v>
      </c>
      <c r="B3426" t="str">
        <f t="shared" si="1646"/>
        <v>SAÍDA</v>
      </c>
      <c r="C3426" t="str">
        <f t="shared" si="1647"/>
        <v>CONHECIMENTO</v>
      </c>
      <c r="D3426" t="str">
        <f t="shared" si="1648"/>
        <v>250625170</v>
      </c>
      <c r="E3426" t="str">
        <f t="shared" si="1636"/>
        <v>COM</v>
      </c>
      <c r="F3426" t="str">
        <f t="shared" si="1649"/>
        <v>CORA SOCIEDADE DE CREDITO, FINANCIAMENTO E INVESTIMENTO (20035)</v>
      </c>
      <c r="G3426" t="str">
        <f t="shared" si="1650"/>
        <v>TAXA BOLETO COMPENSADO</v>
      </c>
      <c r="H3426" t="str">
        <f t="shared" si="1655"/>
        <v>25/06/2025</v>
      </c>
      <c r="I3426" t="str">
        <f t="shared" si="1651"/>
        <v>25/06/2025</v>
      </c>
      <c r="J3426" t="str">
        <f t="shared" si="1656"/>
        <v>25/06/2025</v>
      </c>
      <c r="K3426">
        <v>1.7</v>
      </c>
      <c r="L3426">
        <v>1.7</v>
      </c>
      <c r="M3426">
        <v>401</v>
      </c>
      <c r="N3426" t="str">
        <f t="shared" si="1652"/>
        <v>IOF/JUROS/DESP.FINANCEIRA</v>
      </c>
      <c r="O3426">
        <v>1.7</v>
      </c>
      <c r="R3426" t="str">
        <f t="shared" si="1653"/>
        <v>BANCO CORA (102)</v>
      </c>
      <c r="S3426">
        <v>1938</v>
      </c>
      <c r="T3426">
        <v>1474</v>
      </c>
      <c r="U3426" t="s">
        <v>19</v>
      </c>
    </row>
    <row r="3427" spans="1:21">
      <c r="A3427" t="str">
        <f t="shared" si="1654"/>
        <v>25/06/2025</v>
      </c>
      <c r="B3427" t="str">
        <f t="shared" si="1646"/>
        <v>SAÍDA</v>
      </c>
      <c r="C3427" t="str">
        <f t="shared" si="1647"/>
        <v>CONHECIMENTO</v>
      </c>
      <c r="D3427" t="str">
        <f t="shared" si="1648"/>
        <v>250625170</v>
      </c>
      <c r="E3427" t="str">
        <f t="shared" si="1636"/>
        <v>COM</v>
      </c>
      <c r="F3427" t="str">
        <f t="shared" si="1649"/>
        <v>CORA SOCIEDADE DE CREDITO, FINANCIAMENTO E INVESTIMENTO (20035)</v>
      </c>
      <c r="G3427" t="str">
        <f t="shared" si="1650"/>
        <v>TAXA BOLETO COMPENSADO</v>
      </c>
      <c r="H3427" t="str">
        <f t="shared" si="1655"/>
        <v>25/06/2025</v>
      </c>
      <c r="I3427" t="str">
        <f t="shared" si="1651"/>
        <v>25/06/2025</v>
      </c>
      <c r="J3427" t="str">
        <f t="shared" si="1656"/>
        <v>25/06/2025</v>
      </c>
      <c r="M3427">
        <v>401</v>
      </c>
      <c r="N3427" t="str">
        <f t="shared" si="1652"/>
        <v>IOF/JUROS/DESP.FINANCEIRA</v>
      </c>
      <c r="P3427">
        <v>1.7</v>
      </c>
      <c r="Q3427" t="str">
        <f>"CORA SOCIEDADE DE CREDITO, FINANCIAMENTO E INVESTIMENTO (20035)"</f>
        <v>CORA SOCIEDADE DE CREDITO, FINANCIAMENTO E INVESTIMENTO (20035)</v>
      </c>
      <c r="R3427" t="str">
        <f t="shared" si="1653"/>
        <v>BANCO CORA (102)</v>
      </c>
      <c r="S3427">
        <v>1938</v>
      </c>
      <c r="T3427">
        <v>1474</v>
      </c>
      <c r="U3427" t="s">
        <v>19</v>
      </c>
    </row>
    <row r="3428" spans="1:21">
      <c r="A3428" t="str">
        <f t="shared" si="1654"/>
        <v>25/06/2025</v>
      </c>
      <c r="B3428" t="str">
        <f t="shared" si="1646"/>
        <v>SAÍDA</v>
      </c>
      <c r="C3428" t="str">
        <f t="shared" si="1647"/>
        <v>CONHECIMENTO</v>
      </c>
      <c r="D3428" t="str">
        <f t="shared" si="1648"/>
        <v>250625170</v>
      </c>
      <c r="E3428" t="str">
        <f t="shared" si="1636"/>
        <v>COM</v>
      </c>
      <c r="F3428" t="str">
        <f t="shared" si="1649"/>
        <v>CORA SOCIEDADE DE CREDITO, FINANCIAMENTO E INVESTIMENTO (20035)</v>
      </c>
      <c r="G3428" t="str">
        <f t="shared" si="1650"/>
        <v>TAXA BOLETO COMPENSADO</v>
      </c>
      <c r="H3428" t="str">
        <f t="shared" si="1655"/>
        <v>25/06/2025</v>
      </c>
      <c r="I3428" t="str">
        <f t="shared" si="1651"/>
        <v>25/06/2025</v>
      </c>
      <c r="J3428" t="str">
        <f t="shared" si="1656"/>
        <v>25/06/2025</v>
      </c>
      <c r="K3428">
        <v>1.7</v>
      </c>
      <c r="L3428">
        <v>1.7</v>
      </c>
      <c r="M3428">
        <v>401</v>
      </c>
      <c r="N3428" t="str">
        <f t="shared" si="1652"/>
        <v>IOF/JUROS/DESP.FINANCEIRA</v>
      </c>
      <c r="O3428">
        <v>1.7</v>
      </c>
      <c r="R3428" t="str">
        <f t="shared" si="1653"/>
        <v>BANCO CORA (102)</v>
      </c>
      <c r="S3428">
        <v>1939</v>
      </c>
      <c r="T3428">
        <v>1475</v>
      </c>
      <c r="U3428" t="s">
        <v>19</v>
      </c>
    </row>
    <row r="3429" spans="1:21">
      <c r="A3429" t="str">
        <f t="shared" si="1654"/>
        <v>25/06/2025</v>
      </c>
      <c r="B3429" t="str">
        <f t="shared" si="1646"/>
        <v>SAÍDA</v>
      </c>
      <c r="C3429" t="str">
        <f t="shared" si="1647"/>
        <v>CONHECIMENTO</v>
      </c>
      <c r="D3429" t="str">
        <f t="shared" si="1648"/>
        <v>250625170</v>
      </c>
      <c r="E3429" t="str">
        <f t="shared" si="1636"/>
        <v>COM</v>
      </c>
      <c r="F3429" t="str">
        <f t="shared" si="1649"/>
        <v>CORA SOCIEDADE DE CREDITO, FINANCIAMENTO E INVESTIMENTO (20035)</v>
      </c>
      <c r="G3429" t="str">
        <f t="shared" si="1650"/>
        <v>TAXA BOLETO COMPENSADO</v>
      </c>
      <c r="H3429" t="str">
        <f t="shared" si="1655"/>
        <v>25/06/2025</v>
      </c>
      <c r="I3429" t="str">
        <f t="shared" si="1651"/>
        <v>25/06/2025</v>
      </c>
      <c r="J3429" t="str">
        <f t="shared" si="1656"/>
        <v>25/06/2025</v>
      </c>
      <c r="M3429">
        <v>401</v>
      </c>
      <c r="N3429" t="str">
        <f t="shared" si="1652"/>
        <v>IOF/JUROS/DESP.FINANCEIRA</v>
      </c>
      <c r="P3429">
        <v>1.7</v>
      </c>
      <c r="Q3429" t="str">
        <f>"CORA SOCIEDADE DE CREDITO, FINANCIAMENTO E INVESTIMENTO (20035)"</f>
        <v>CORA SOCIEDADE DE CREDITO, FINANCIAMENTO E INVESTIMENTO (20035)</v>
      </c>
      <c r="R3429" t="str">
        <f t="shared" si="1653"/>
        <v>BANCO CORA (102)</v>
      </c>
      <c r="S3429">
        <v>1939</v>
      </c>
      <c r="T3429">
        <v>1475</v>
      </c>
      <c r="U3429" t="s">
        <v>19</v>
      </c>
    </row>
    <row r="3430" spans="1:21">
      <c r="A3430" t="str">
        <f t="shared" si="1654"/>
        <v>25/06/2025</v>
      </c>
      <c r="B3430" t="str">
        <f>"ENTRADA"</f>
        <v>ENTRADA</v>
      </c>
      <c r="C3430" t="str">
        <f>"PIX"</f>
        <v>PIX</v>
      </c>
      <c r="D3430" t="str">
        <f>"29257"</f>
        <v>29257</v>
      </c>
      <c r="E3430" t="str">
        <f t="shared" si="1636"/>
        <v>COM</v>
      </c>
      <c r="F3430" t="str">
        <f>"MANIA EM PRESENTES LTDA (20097)"</f>
        <v>MANIA EM PRESENTES LTDA (20097)</v>
      </c>
      <c r="G3430" t="str">
        <f>"ESTORNO COMPRA MICROFONE LAPELA"</f>
        <v>ESTORNO COMPRA MICROFONE LAPELA</v>
      </c>
      <c r="H3430" t="str">
        <f t="shared" si="1655"/>
        <v>25/06/2025</v>
      </c>
      <c r="I3430" t="str">
        <f t="shared" si="1651"/>
        <v>25/06/2025</v>
      </c>
      <c r="J3430" t="str">
        <f t="shared" si="1656"/>
        <v>25/06/2025</v>
      </c>
      <c r="K3430">
        <v>1081.55</v>
      </c>
      <c r="L3430">
        <v>1081.55</v>
      </c>
      <c r="M3430">
        <v>119</v>
      </c>
      <c r="N3430" t="str">
        <f>"RECEITAS COM REEMBOLSOS"</f>
        <v>RECEITAS COM REEMBOLSOS</v>
      </c>
      <c r="O3430">
        <v>1081.55</v>
      </c>
      <c r="R3430" t="str">
        <f>"RECEITAS COM REEMBOLSOS (119)"</f>
        <v>RECEITAS COM REEMBOLSOS (119)</v>
      </c>
      <c r="S3430">
        <v>1978</v>
      </c>
      <c r="T3430">
        <v>1553</v>
      </c>
      <c r="U3430" t="s">
        <v>19</v>
      </c>
    </row>
    <row r="3431" spans="1:21">
      <c r="A3431" t="str">
        <f t="shared" si="1654"/>
        <v>25/06/2025</v>
      </c>
      <c r="B3431" t="str">
        <f t="shared" ref="B3431:B3446" si="1657">"SAÍDA"</f>
        <v>SAÍDA</v>
      </c>
      <c r="C3431" t="str">
        <f>"PIX"</f>
        <v>PIX</v>
      </c>
      <c r="D3431" t="str">
        <f>"29257"</f>
        <v>29257</v>
      </c>
      <c r="E3431" t="str">
        <f t="shared" si="1636"/>
        <v>COM</v>
      </c>
      <c r="F3431" t="str">
        <f>"MANIA EM PRESENTES LTDA (20097)"</f>
        <v>MANIA EM PRESENTES LTDA (20097)</v>
      </c>
      <c r="G3431" t="str">
        <f>"ESTORNO COMPRA MICROFONE LAPELA"</f>
        <v>ESTORNO COMPRA MICROFONE LAPELA</v>
      </c>
      <c r="H3431" t="str">
        <f t="shared" si="1655"/>
        <v>25/06/2025</v>
      </c>
      <c r="I3431" t="str">
        <f t="shared" si="1651"/>
        <v>25/06/2025</v>
      </c>
      <c r="J3431" t="str">
        <f t="shared" si="1656"/>
        <v>25/06/2025</v>
      </c>
      <c r="M3431">
        <v>119</v>
      </c>
      <c r="N3431" t="str">
        <f>"RECEITAS COM REEMBOLSOS"</f>
        <v>RECEITAS COM REEMBOLSOS</v>
      </c>
      <c r="P3431">
        <v>1081.55</v>
      </c>
      <c r="Q3431" t="str">
        <f>"MANIA EM PRESENTES LTDA (20097)"</f>
        <v>MANIA EM PRESENTES LTDA (20097)</v>
      </c>
      <c r="R3431" t="str">
        <f>"RECEITAS COM REEMBOLSOS (119)"</f>
        <v>RECEITAS COM REEMBOLSOS (119)</v>
      </c>
      <c r="S3431">
        <v>1978</v>
      </c>
      <c r="T3431">
        <v>1553</v>
      </c>
      <c r="U3431" t="s">
        <v>19</v>
      </c>
    </row>
    <row r="3432" spans="1:21">
      <c r="A3432" t="str">
        <f t="shared" ref="A3432:A3479" si="1658">("26/06/2025")</f>
        <v>26/06/2025</v>
      </c>
      <c r="B3432" t="str">
        <f t="shared" si="1657"/>
        <v>SAÍDA</v>
      </c>
      <c r="C3432" t="str">
        <f t="shared" ref="C3432:C3446" si="1659">"CONHECIMENTO"</f>
        <v>CONHECIMENTO</v>
      </c>
      <c r="D3432" t="str">
        <f t="shared" ref="D3432:D3446" si="1660">"260625170"</f>
        <v>260625170</v>
      </c>
      <c r="E3432" t="str">
        <f t="shared" si="1636"/>
        <v>COM</v>
      </c>
      <c r="F3432" t="str">
        <f t="shared" ref="F3432:F3446" si="1661">"CORA SOCIEDADE DE CREDITO, FINANCIAMENTO E INVESTIMENTO (20035)"</f>
        <v>CORA SOCIEDADE DE CREDITO, FINANCIAMENTO E INVESTIMENTO (20035)</v>
      </c>
      <c r="G3432" t="str">
        <f t="shared" ref="G3432:G3446" si="1662">"TAXA BOLETO COMPENSADO"</f>
        <v>TAXA BOLETO COMPENSADO</v>
      </c>
      <c r="H3432" t="str">
        <f t="shared" ref="H3432:J3446" si="1663">("26/06/2025")</f>
        <v>26/06/2025</v>
      </c>
      <c r="I3432" t="str">
        <f t="shared" si="1663"/>
        <v>26/06/2025</v>
      </c>
      <c r="J3432" t="str">
        <f t="shared" si="1663"/>
        <v>26/06/2025</v>
      </c>
      <c r="K3432">
        <v>1.7</v>
      </c>
      <c r="L3432">
        <v>1.7</v>
      </c>
      <c r="M3432">
        <v>401</v>
      </c>
      <c r="N3432" t="str">
        <f t="shared" ref="N3432:N3446" si="1664">"IOF/JUROS/DESP.FINANCEIRA"</f>
        <v>IOF/JUROS/DESP.FINANCEIRA</v>
      </c>
      <c r="O3432">
        <v>1.7</v>
      </c>
      <c r="R3432" t="str">
        <f t="shared" ref="R3432:R3446" si="1665">"BANCO CORA (102)"</f>
        <v>BANCO CORA (102)</v>
      </c>
      <c r="S3432">
        <v>1940</v>
      </c>
      <c r="T3432">
        <v>1476</v>
      </c>
      <c r="U3432" t="s">
        <v>19</v>
      </c>
    </row>
    <row r="3433" spans="1:21">
      <c r="A3433" t="str">
        <f t="shared" si="1658"/>
        <v>26/06/2025</v>
      </c>
      <c r="B3433" t="str">
        <f t="shared" si="1657"/>
        <v>SAÍDA</v>
      </c>
      <c r="C3433" t="str">
        <f t="shared" si="1659"/>
        <v>CONHECIMENTO</v>
      </c>
      <c r="D3433" t="str">
        <f t="shared" si="1660"/>
        <v>260625170</v>
      </c>
      <c r="E3433" t="str">
        <f t="shared" si="1636"/>
        <v>COM</v>
      </c>
      <c r="F3433" t="str">
        <f t="shared" si="1661"/>
        <v>CORA SOCIEDADE DE CREDITO, FINANCIAMENTO E INVESTIMENTO (20035)</v>
      </c>
      <c r="G3433" t="str">
        <f t="shared" si="1662"/>
        <v>TAXA BOLETO COMPENSADO</v>
      </c>
      <c r="H3433" t="str">
        <f t="shared" si="1663"/>
        <v>26/06/2025</v>
      </c>
      <c r="I3433" t="str">
        <f t="shared" si="1663"/>
        <v>26/06/2025</v>
      </c>
      <c r="J3433" t="str">
        <f t="shared" si="1663"/>
        <v>26/06/2025</v>
      </c>
      <c r="K3433">
        <v>1.7</v>
      </c>
      <c r="L3433">
        <v>1.7</v>
      </c>
      <c r="M3433">
        <v>401</v>
      </c>
      <c r="N3433" t="str">
        <f t="shared" si="1664"/>
        <v>IOF/JUROS/DESP.FINANCEIRA</v>
      </c>
      <c r="O3433">
        <v>1.7</v>
      </c>
      <c r="R3433" t="str">
        <f t="shared" si="1665"/>
        <v>BANCO CORA (102)</v>
      </c>
      <c r="S3433">
        <v>1941</v>
      </c>
      <c r="T3433">
        <v>1477</v>
      </c>
      <c r="U3433" t="s">
        <v>19</v>
      </c>
    </row>
    <row r="3434" spans="1:21">
      <c r="A3434" t="str">
        <f t="shared" si="1658"/>
        <v>26/06/2025</v>
      </c>
      <c r="B3434" t="str">
        <f t="shared" si="1657"/>
        <v>SAÍDA</v>
      </c>
      <c r="C3434" t="str">
        <f t="shared" si="1659"/>
        <v>CONHECIMENTO</v>
      </c>
      <c r="D3434" t="str">
        <f t="shared" si="1660"/>
        <v>260625170</v>
      </c>
      <c r="E3434" t="str">
        <f t="shared" si="1636"/>
        <v>COM</v>
      </c>
      <c r="F3434" t="str">
        <f t="shared" si="1661"/>
        <v>CORA SOCIEDADE DE CREDITO, FINANCIAMENTO E INVESTIMENTO (20035)</v>
      </c>
      <c r="G3434" t="str">
        <f t="shared" si="1662"/>
        <v>TAXA BOLETO COMPENSADO</v>
      </c>
      <c r="H3434" t="str">
        <f t="shared" si="1663"/>
        <v>26/06/2025</v>
      </c>
      <c r="I3434" t="str">
        <f t="shared" si="1663"/>
        <v>26/06/2025</v>
      </c>
      <c r="J3434" t="str">
        <f t="shared" si="1663"/>
        <v>26/06/2025</v>
      </c>
      <c r="K3434">
        <v>1.7</v>
      </c>
      <c r="L3434">
        <v>1.7</v>
      </c>
      <c r="M3434">
        <v>401</v>
      </c>
      <c r="N3434" t="str">
        <f t="shared" si="1664"/>
        <v>IOF/JUROS/DESP.FINANCEIRA</v>
      </c>
      <c r="O3434">
        <v>1.7</v>
      </c>
      <c r="R3434" t="str">
        <f t="shared" si="1665"/>
        <v>BANCO CORA (102)</v>
      </c>
      <c r="S3434">
        <v>1942</v>
      </c>
      <c r="T3434">
        <v>1478</v>
      </c>
      <c r="U3434" t="s">
        <v>19</v>
      </c>
    </row>
    <row r="3435" spans="1:21">
      <c r="A3435" t="str">
        <f t="shared" si="1658"/>
        <v>26/06/2025</v>
      </c>
      <c r="B3435" t="str">
        <f t="shared" si="1657"/>
        <v>SAÍDA</v>
      </c>
      <c r="C3435" t="str">
        <f t="shared" si="1659"/>
        <v>CONHECIMENTO</v>
      </c>
      <c r="D3435" t="str">
        <f t="shared" si="1660"/>
        <v>260625170</v>
      </c>
      <c r="E3435" t="str">
        <f t="shared" si="1636"/>
        <v>COM</v>
      </c>
      <c r="F3435" t="str">
        <f t="shared" si="1661"/>
        <v>CORA SOCIEDADE DE CREDITO, FINANCIAMENTO E INVESTIMENTO (20035)</v>
      </c>
      <c r="G3435" t="str">
        <f t="shared" si="1662"/>
        <v>TAXA BOLETO COMPENSADO</v>
      </c>
      <c r="H3435" t="str">
        <f t="shared" si="1663"/>
        <v>26/06/2025</v>
      </c>
      <c r="I3435" t="str">
        <f t="shared" si="1663"/>
        <v>26/06/2025</v>
      </c>
      <c r="J3435" t="str">
        <f t="shared" si="1663"/>
        <v>26/06/2025</v>
      </c>
      <c r="K3435">
        <v>1.7</v>
      </c>
      <c r="L3435">
        <v>1.7</v>
      </c>
      <c r="M3435">
        <v>401</v>
      </c>
      <c r="N3435" t="str">
        <f t="shared" si="1664"/>
        <v>IOF/JUROS/DESP.FINANCEIRA</v>
      </c>
      <c r="O3435">
        <v>1.7</v>
      </c>
      <c r="R3435" t="str">
        <f t="shared" si="1665"/>
        <v>BANCO CORA (102)</v>
      </c>
      <c r="S3435">
        <v>1943</v>
      </c>
      <c r="T3435">
        <v>1479</v>
      </c>
      <c r="U3435" t="s">
        <v>19</v>
      </c>
    </row>
    <row r="3436" spans="1:21">
      <c r="A3436" t="str">
        <f t="shared" si="1658"/>
        <v>26/06/2025</v>
      </c>
      <c r="B3436" t="str">
        <f t="shared" si="1657"/>
        <v>SAÍDA</v>
      </c>
      <c r="C3436" t="str">
        <f t="shared" si="1659"/>
        <v>CONHECIMENTO</v>
      </c>
      <c r="D3436" t="str">
        <f t="shared" si="1660"/>
        <v>260625170</v>
      </c>
      <c r="E3436" t="str">
        <f t="shared" si="1636"/>
        <v>COM</v>
      </c>
      <c r="F3436" t="str">
        <f t="shared" si="1661"/>
        <v>CORA SOCIEDADE DE CREDITO, FINANCIAMENTO E INVESTIMENTO (20035)</v>
      </c>
      <c r="G3436" t="str">
        <f t="shared" si="1662"/>
        <v>TAXA BOLETO COMPENSADO</v>
      </c>
      <c r="H3436" t="str">
        <f t="shared" si="1663"/>
        <v>26/06/2025</v>
      </c>
      <c r="I3436" t="str">
        <f t="shared" si="1663"/>
        <v>26/06/2025</v>
      </c>
      <c r="J3436" t="str">
        <f t="shared" si="1663"/>
        <v>26/06/2025</v>
      </c>
      <c r="K3436">
        <v>1.7</v>
      </c>
      <c r="L3436">
        <v>1.7</v>
      </c>
      <c r="M3436">
        <v>401</v>
      </c>
      <c r="N3436" t="str">
        <f t="shared" si="1664"/>
        <v>IOF/JUROS/DESP.FINANCEIRA</v>
      </c>
      <c r="O3436">
        <v>1.7</v>
      </c>
      <c r="R3436" t="str">
        <f t="shared" si="1665"/>
        <v>BANCO CORA (102)</v>
      </c>
      <c r="S3436">
        <v>1944</v>
      </c>
      <c r="T3436">
        <v>1480</v>
      </c>
      <c r="U3436" t="s">
        <v>19</v>
      </c>
    </row>
    <row r="3437" spans="1:21">
      <c r="A3437" t="str">
        <f t="shared" si="1658"/>
        <v>26/06/2025</v>
      </c>
      <c r="B3437" t="str">
        <f t="shared" si="1657"/>
        <v>SAÍDA</v>
      </c>
      <c r="C3437" t="str">
        <f t="shared" si="1659"/>
        <v>CONHECIMENTO</v>
      </c>
      <c r="D3437" t="str">
        <f t="shared" si="1660"/>
        <v>260625170</v>
      </c>
      <c r="E3437" t="str">
        <f t="shared" si="1636"/>
        <v>COM</v>
      </c>
      <c r="F3437" t="str">
        <f t="shared" si="1661"/>
        <v>CORA SOCIEDADE DE CREDITO, FINANCIAMENTO E INVESTIMENTO (20035)</v>
      </c>
      <c r="G3437" t="str">
        <f t="shared" si="1662"/>
        <v>TAXA BOLETO COMPENSADO</v>
      </c>
      <c r="H3437" t="str">
        <f t="shared" si="1663"/>
        <v>26/06/2025</v>
      </c>
      <c r="I3437" t="str">
        <f t="shared" si="1663"/>
        <v>26/06/2025</v>
      </c>
      <c r="J3437" t="str">
        <f t="shared" si="1663"/>
        <v>26/06/2025</v>
      </c>
      <c r="K3437">
        <v>1.7</v>
      </c>
      <c r="L3437">
        <v>1.7</v>
      </c>
      <c r="M3437">
        <v>401</v>
      </c>
      <c r="N3437" t="str">
        <f t="shared" si="1664"/>
        <v>IOF/JUROS/DESP.FINANCEIRA</v>
      </c>
      <c r="O3437">
        <v>1.7</v>
      </c>
      <c r="R3437" t="str">
        <f t="shared" si="1665"/>
        <v>BANCO CORA (102)</v>
      </c>
      <c r="S3437">
        <v>1945</v>
      </c>
      <c r="T3437">
        <v>1481</v>
      </c>
      <c r="U3437" t="s">
        <v>19</v>
      </c>
    </row>
    <row r="3438" spans="1:21">
      <c r="A3438" t="str">
        <f t="shared" si="1658"/>
        <v>26/06/2025</v>
      </c>
      <c r="B3438" t="str">
        <f t="shared" si="1657"/>
        <v>SAÍDA</v>
      </c>
      <c r="C3438" t="str">
        <f t="shared" si="1659"/>
        <v>CONHECIMENTO</v>
      </c>
      <c r="D3438" t="str">
        <f t="shared" si="1660"/>
        <v>260625170</v>
      </c>
      <c r="E3438" t="str">
        <f t="shared" si="1636"/>
        <v>COM</v>
      </c>
      <c r="F3438" t="str">
        <f t="shared" si="1661"/>
        <v>CORA SOCIEDADE DE CREDITO, FINANCIAMENTO E INVESTIMENTO (20035)</v>
      </c>
      <c r="G3438" t="str">
        <f t="shared" si="1662"/>
        <v>TAXA BOLETO COMPENSADO</v>
      </c>
      <c r="H3438" t="str">
        <f t="shared" si="1663"/>
        <v>26/06/2025</v>
      </c>
      <c r="I3438" t="str">
        <f t="shared" si="1663"/>
        <v>26/06/2025</v>
      </c>
      <c r="J3438" t="str">
        <f t="shared" si="1663"/>
        <v>26/06/2025</v>
      </c>
      <c r="K3438">
        <v>1.7</v>
      </c>
      <c r="L3438">
        <v>1.7</v>
      </c>
      <c r="M3438">
        <v>401</v>
      </c>
      <c r="N3438" t="str">
        <f t="shared" si="1664"/>
        <v>IOF/JUROS/DESP.FINANCEIRA</v>
      </c>
      <c r="O3438">
        <v>1.7</v>
      </c>
      <c r="R3438" t="str">
        <f t="shared" si="1665"/>
        <v>BANCO CORA (102)</v>
      </c>
      <c r="S3438">
        <v>1946</v>
      </c>
      <c r="T3438">
        <v>1482</v>
      </c>
      <c r="U3438" t="s">
        <v>19</v>
      </c>
    </row>
    <row r="3439" spans="1:21">
      <c r="A3439" t="str">
        <f t="shared" si="1658"/>
        <v>26/06/2025</v>
      </c>
      <c r="B3439" t="str">
        <f t="shared" si="1657"/>
        <v>SAÍDA</v>
      </c>
      <c r="C3439" t="str">
        <f t="shared" si="1659"/>
        <v>CONHECIMENTO</v>
      </c>
      <c r="D3439" t="str">
        <f t="shared" si="1660"/>
        <v>260625170</v>
      </c>
      <c r="E3439" t="str">
        <f t="shared" ref="E3439:E3502" si="1666">"COM"</f>
        <v>COM</v>
      </c>
      <c r="F3439" t="str">
        <f t="shared" si="1661"/>
        <v>CORA SOCIEDADE DE CREDITO, FINANCIAMENTO E INVESTIMENTO (20035)</v>
      </c>
      <c r="G3439" t="str">
        <f t="shared" si="1662"/>
        <v>TAXA BOLETO COMPENSADO</v>
      </c>
      <c r="H3439" t="str">
        <f t="shared" si="1663"/>
        <v>26/06/2025</v>
      </c>
      <c r="I3439" t="str">
        <f t="shared" si="1663"/>
        <v>26/06/2025</v>
      </c>
      <c r="J3439" t="str">
        <f t="shared" si="1663"/>
        <v>26/06/2025</v>
      </c>
      <c r="K3439">
        <v>1.7</v>
      </c>
      <c r="L3439">
        <v>1.7</v>
      </c>
      <c r="M3439">
        <v>401</v>
      </c>
      <c r="N3439" t="str">
        <f t="shared" si="1664"/>
        <v>IOF/JUROS/DESP.FINANCEIRA</v>
      </c>
      <c r="O3439">
        <v>1.7</v>
      </c>
      <c r="R3439" t="str">
        <f t="shared" si="1665"/>
        <v>BANCO CORA (102)</v>
      </c>
      <c r="S3439">
        <v>1947</v>
      </c>
      <c r="T3439">
        <v>1483</v>
      </c>
      <c r="U3439" t="s">
        <v>19</v>
      </c>
    </row>
    <row r="3440" spans="1:21">
      <c r="A3440" t="str">
        <f t="shared" si="1658"/>
        <v>26/06/2025</v>
      </c>
      <c r="B3440" t="str">
        <f t="shared" si="1657"/>
        <v>SAÍDA</v>
      </c>
      <c r="C3440" t="str">
        <f t="shared" si="1659"/>
        <v>CONHECIMENTO</v>
      </c>
      <c r="D3440" t="str">
        <f t="shared" si="1660"/>
        <v>260625170</v>
      </c>
      <c r="E3440" t="str">
        <f t="shared" si="1666"/>
        <v>COM</v>
      </c>
      <c r="F3440" t="str">
        <f t="shared" si="1661"/>
        <v>CORA SOCIEDADE DE CREDITO, FINANCIAMENTO E INVESTIMENTO (20035)</v>
      </c>
      <c r="G3440" t="str">
        <f t="shared" si="1662"/>
        <v>TAXA BOLETO COMPENSADO</v>
      </c>
      <c r="H3440" t="str">
        <f t="shared" si="1663"/>
        <v>26/06/2025</v>
      </c>
      <c r="I3440" t="str">
        <f t="shared" si="1663"/>
        <v>26/06/2025</v>
      </c>
      <c r="J3440" t="str">
        <f t="shared" si="1663"/>
        <v>26/06/2025</v>
      </c>
      <c r="K3440">
        <v>1.7</v>
      </c>
      <c r="L3440">
        <v>1.7</v>
      </c>
      <c r="M3440">
        <v>401</v>
      </c>
      <c r="N3440" t="str">
        <f t="shared" si="1664"/>
        <v>IOF/JUROS/DESP.FINANCEIRA</v>
      </c>
      <c r="O3440">
        <v>1.7</v>
      </c>
      <c r="R3440" t="str">
        <f t="shared" si="1665"/>
        <v>BANCO CORA (102)</v>
      </c>
      <c r="S3440">
        <v>1948</v>
      </c>
      <c r="T3440">
        <v>1484</v>
      </c>
      <c r="U3440" t="s">
        <v>19</v>
      </c>
    </row>
    <row r="3441" spans="1:21">
      <c r="A3441" t="str">
        <f t="shared" si="1658"/>
        <v>26/06/2025</v>
      </c>
      <c r="B3441" t="str">
        <f t="shared" si="1657"/>
        <v>SAÍDA</v>
      </c>
      <c r="C3441" t="str">
        <f t="shared" si="1659"/>
        <v>CONHECIMENTO</v>
      </c>
      <c r="D3441" t="str">
        <f t="shared" si="1660"/>
        <v>260625170</v>
      </c>
      <c r="E3441" t="str">
        <f t="shared" si="1666"/>
        <v>COM</v>
      </c>
      <c r="F3441" t="str">
        <f t="shared" si="1661"/>
        <v>CORA SOCIEDADE DE CREDITO, FINANCIAMENTO E INVESTIMENTO (20035)</v>
      </c>
      <c r="G3441" t="str">
        <f t="shared" si="1662"/>
        <v>TAXA BOLETO COMPENSADO</v>
      </c>
      <c r="H3441" t="str">
        <f t="shared" si="1663"/>
        <v>26/06/2025</v>
      </c>
      <c r="I3441" t="str">
        <f t="shared" si="1663"/>
        <v>26/06/2025</v>
      </c>
      <c r="J3441" t="str">
        <f t="shared" si="1663"/>
        <v>26/06/2025</v>
      </c>
      <c r="K3441">
        <v>1.7</v>
      </c>
      <c r="L3441">
        <v>1.7</v>
      </c>
      <c r="M3441">
        <v>401</v>
      </c>
      <c r="N3441" t="str">
        <f t="shared" si="1664"/>
        <v>IOF/JUROS/DESP.FINANCEIRA</v>
      </c>
      <c r="O3441">
        <v>1.7</v>
      </c>
      <c r="R3441" t="str">
        <f t="shared" si="1665"/>
        <v>BANCO CORA (102)</v>
      </c>
      <c r="S3441">
        <v>1949</v>
      </c>
      <c r="T3441">
        <v>1485</v>
      </c>
      <c r="U3441" t="s">
        <v>19</v>
      </c>
    </row>
    <row r="3442" spans="1:21">
      <c r="A3442" t="str">
        <f t="shared" si="1658"/>
        <v>26/06/2025</v>
      </c>
      <c r="B3442" t="str">
        <f t="shared" si="1657"/>
        <v>SAÍDA</v>
      </c>
      <c r="C3442" t="str">
        <f t="shared" si="1659"/>
        <v>CONHECIMENTO</v>
      </c>
      <c r="D3442" t="str">
        <f t="shared" si="1660"/>
        <v>260625170</v>
      </c>
      <c r="E3442" t="str">
        <f t="shared" si="1666"/>
        <v>COM</v>
      </c>
      <c r="F3442" t="str">
        <f t="shared" si="1661"/>
        <v>CORA SOCIEDADE DE CREDITO, FINANCIAMENTO E INVESTIMENTO (20035)</v>
      </c>
      <c r="G3442" t="str">
        <f t="shared" si="1662"/>
        <v>TAXA BOLETO COMPENSADO</v>
      </c>
      <c r="H3442" t="str">
        <f t="shared" si="1663"/>
        <v>26/06/2025</v>
      </c>
      <c r="I3442" t="str">
        <f t="shared" si="1663"/>
        <v>26/06/2025</v>
      </c>
      <c r="J3442" t="str">
        <f t="shared" si="1663"/>
        <v>26/06/2025</v>
      </c>
      <c r="K3442">
        <v>1.7</v>
      </c>
      <c r="L3442">
        <v>1.7</v>
      </c>
      <c r="M3442">
        <v>401</v>
      </c>
      <c r="N3442" t="str">
        <f t="shared" si="1664"/>
        <v>IOF/JUROS/DESP.FINANCEIRA</v>
      </c>
      <c r="O3442">
        <v>1.7</v>
      </c>
      <c r="R3442" t="str">
        <f t="shared" si="1665"/>
        <v>BANCO CORA (102)</v>
      </c>
      <c r="S3442">
        <v>1950</v>
      </c>
      <c r="T3442">
        <v>1486</v>
      </c>
      <c r="U3442" t="s">
        <v>19</v>
      </c>
    </row>
    <row r="3443" spans="1:21">
      <c r="A3443" t="str">
        <f t="shared" si="1658"/>
        <v>26/06/2025</v>
      </c>
      <c r="B3443" t="str">
        <f t="shared" si="1657"/>
        <v>SAÍDA</v>
      </c>
      <c r="C3443" t="str">
        <f t="shared" si="1659"/>
        <v>CONHECIMENTO</v>
      </c>
      <c r="D3443" t="str">
        <f t="shared" si="1660"/>
        <v>260625170</v>
      </c>
      <c r="E3443" t="str">
        <f t="shared" si="1666"/>
        <v>COM</v>
      </c>
      <c r="F3443" t="str">
        <f t="shared" si="1661"/>
        <v>CORA SOCIEDADE DE CREDITO, FINANCIAMENTO E INVESTIMENTO (20035)</v>
      </c>
      <c r="G3443" t="str">
        <f t="shared" si="1662"/>
        <v>TAXA BOLETO COMPENSADO</v>
      </c>
      <c r="H3443" t="str">
        <f t="shared" si="1663"/>
        <v>26/06/2025</v>
      </c>
      <c r="I3443" t="str">
        <f t="shared" si="1663"/>
        <v>26/06/2025</v>
      </c>
      <c r="J3443" t="str">
        <f t="shared" si="1663"/>
        <v>26/06/2025</v>
      </c>
      <c r="K3443">
        <v>1.7</v>
      </c>
      <c r="L3443">
        <v>1.7</v>
      </c>
      <c r="M3443">
        <v>401</v>
      </c>
      <c r="N3443" t="str">
        <f t="shared" si="1664"/>
        <v>IOF/JUROS/DESP.FINANCEIRA</v>
      </c>
      <c r="O3443">
        <v>1.7</v>
      </c>
      <c r="R3443" t="str">
        <f t="shared" si="1665"/>
        <v>BANCO CORA (102)</v>
      </c>
      <c r="S3443">
        <v>1951</v>
      </c>
      <c r="T3443">
        <v>1487</v>
      </c>
      <c r="U3443" t="s">
        <v>19</v>
      </c>
    </row>
    <row r="3444" spans="1:21">
      <c r="A3444" t="str">
        <f t="shared" si="1658"/>
        <v>26/06/2025</v>
      </c>
      <c r="B3444" t="str">
        <f t="shared" si="1657"/>
        <v>SAÍDA</v>
      </c>
      <c r="C3444" t="str">
        <f t="shared" si="1659"/>
        <v>CONHECIMENTO</v>
      </c>
      <c r="D3444" t="str">
        <f t="shared" si="1660"/>
        <v>260625170</v>
      </c>
      <c r="E3444" t="str">
        <f t="shared" si="1666"/>
        <v>COM</v>
      </c>
      <c r="F3444" t="str">
        <f t="shared" si="1661"/>
        <v>CORA SOCIEDADE DE CREDITO, FINANCIAMENTO E INVESTIMENTO (20035)</v>
      </c>
      <c r="G3444" t="str">
        <f t="shared" si="1662"/>
        <v>TAXA BOLETO COMPENSADO</v>
      </c>
      <c r="H3444" t="str">
        <f t="shared" si="1663"/>
        <v>26/06/2025</v>
      </c>
      <c r="I3444" t="str">
        <f t="shared" si="1663"/>
        <v>26/06/2025</v>
      </c>
      <c r="J3444" t="str">
        <f t="shared" si="1663"/>
        <v>26/06/2025</v>
      </c>
      <c r="K3444">
        <v>1.7</v>
      </c>
      <c r="L3444">
        <v>1.7</v>
      </c>
      <c r="M3444">
        <v>401</v>
      </c>
      <c r="N3444" t="str">
        <f t="shared" si="1664"/>
        <v>IOF/JUROS/DESP.FINANCEIRA</v>
      </c>
      <c r="O3444">
        <v>1.7</v>
      </c>
      <c r="R3444" t="str">
        <f t="shared" si="1665"/>
        <v>BANCO CORA (102)</v>
      </c>
      <c r="S3444">
        <v>1952</v>
      </c>
      <c r="T3444">
        <v>1488</v>
      </c>
      <c r="U3444" t="s">
        <v>19</v>
      </c>
    </row>
    <row r="3445" spans="1:21">
      <c r="A3445" t="str">
        <f t="shared" si="1658"/>
        <v>26/06/2025</v>
      </c>
      <c r="B3445" t="str">
        <f t="shared" si="1657"/>
        <v>SAÍDA</v>
      </c>
      <c r="C3445" t="str">
        <f t="shared" si="1659"/>
        <v>CONHECIMENTO</v>
      </c>
      <c r="D3445" t="str">
        <f t="shared" si="1660"/>
        <v>260625170</v>
      </c>
      <c r="E3445" t="str">
        <f t="shared" si="1666"/>
        <v>COM</v>
      </c>
      <c r="F3445" t="str">
        <f t="shared" si="1661"/>
        <v>CORA SOCIEDADE DE CREDITO, FINANCIAMENTO E INVESTIMENTO (20035)</v>
      </c>
      <c r="G3445" t="str">
        <f t="shared" si="1662"/>
        <v>TAXA BOLETO COMPENSADO</v>
      </c>
      <c r="H3445" t="str">
        <f t="shared" si="1663"/>
        <v>26/06/2025</v>
      </c>
      <c r="I3445" t="str">
        <f t="shared" si="1663"/>
        <v>26/06/2025</v>
      </c>
      <c r="J3445" t="str">
        <f t="shared" si="1663"/>
        <v>26/06/2025</v>
      </c>
      <c r="K3445">
        <v>1.7</v>
      </c>
      <c r="L3445">
        <v>1.7</v>
      </c>
      <c r="M3445">
        <v>401</v>
      </c>
      <c r="N3445" t="str">
        <f t="shared" si="1664"/>
        <v>IOF/JUROS/DESP.FINANCEIRA</v>
      </c>
      <c r="O3445">
        <v>1.7</v>
      </c>
      <c r="R3445" t="str">
        <f t="shared" si="1665"/>
        <v>BANCO CORA (102)</v>
      </c>
      <c r="S3445">
        <v>1953</v>
      </c>
      <c r="T3445">
        <v>1489</v>
      </c>
      <c r="U3445" t="s">
        <v>19</v>
      </c>
    </row>
    <row r="3446" spans="1:21">
      <c r="A3446" t="str">
        <f t="shared" si="1658"/>
        <v>26/06/2025</v>
      </c>
      <c r="B3446" t="str">
        <f t="shared" si="1657"/>
        <v>SAÍDA</v>
      </c>
      <c r="C3446" t="str">
        <f t="shared" si="1659"/>
        <v>CONHECIMENTO</v>
      </c>
      <c r="D3446" t="str">
        <f t="shared" si="1660"/>
        <v>260625170</v>
      </c>
      <c r="E3446" t="str">
        <f t="shared" si="1666"/>
        <v>COM</v>
      </c>
      <c r="F3446" t="str">
        <f t="shared" si="1661"/>
        <v>CORA SOCIEDADE DE CREDITO, FINANCIAMENTO E INVESTIMENTO (20035)</v>
      </c>
      <c r="G3446" t="str">
        <f t="shared" si="1662"/>
        <v>TAXA BOLETO COMPENSADO</v>
      </c>
      <c r="H3446" t="str">
        <f t="shared" si="1663"/>
        <v>26/06/2025</v>
      </c>
      <c r="I3446" t="str">
        <f t="shared" si="1663"/>
        <v>26/06/2025</v>
      </c>
      <c r="J3446" t="str">
        <f t="shared" si="1663"/>
        <v>26/06/2025</v>
      </c>
      <c r="K3446">
        <v>1.7</v>
      </c>
      <c r="L3446">
        <v>1.7</v>
      </c>
      <c r="M3446">
        <v>401</v>
      </c>
      <c r="N3446" t="str">
        <f t="shared" si="1664"/>
        <v>IOF/JUROS/DESP.FINANCEIRA</v>
      </c>
      <c r="O3446">
        <v>1.7</v>
      </c>
      <c r="R3446" t="str">
        <f t="shared" si="1665"/>
        <v>BANCO CORA (102)</v>
      </c>
      <c r="S3446">
        <v>1954</v>
      </c>
      <c r="T3446">
        <v>1490</v>
      </c>
      <c r="U3446" t="s">
        <v>19</v>
      </c>
    </row>
    <row r="3447" spans="1:21">
      <c r="A3447" t="str">
        <f t="shared" si="1658"/>
        <v>26/06/2025</v>
      </c>
      <c r="B3447" t="str">
        <f>"ENTRADA"</f>
        <v>ENTRADA</v>
      </c>
      <c r="C3447" t="str">
        <f t="shared" ref="C3447:C3483" si="1667">"NFSE"</f>
        <v>NFSE</v>
      </c>
      <c r="D3447" t="str">
        <f>"3130"</f>
        <v>3130</v>
      </c>
      <c r="E3447" t="str">
        <f t="shared" si="1666"/>
        <v>COM</v>
      </c>
      <c r="F3447" t="str">
        <f>"AC FARMA - CID.ALTA (10166)"</f>
        <v>AC FARMA - CID.ALTA (10166)</v>
      </c>
      <c r="G3447" t="str">
        <f>"Serv.Prest. 09/06/2025 a 15/06/2025 - RPS: 899 - NFSe: 3130"</f>
        <v>Serv.Prest. 09/06/2025 a 15/06/2025 - RPS: 899 - NFSe: 3130</v>
      </c>
      <c r="H3447" t="str">
        <f t="shared" ref="H3447:H3473" si="1668">("25/06/2025")</f>
        <v>25/06/2025</v>
      </c>
      <c r="I3447" t="str">
        <f t="shared" ref="I3447:I3453" si="1669">("20/06/2025")</f>
        <v>20/06/2025</v>
      </c>
      <c r="J3447" t="str">
        <f t="shared" ref="J3447:J3479" si="1670">("26/06/2025")</f>
        <v>26/06/2025</v>
      </c>
      <c r="K3447">
        <v>1085.76</v>
      </c>
      <c r="L3447">
        <v>1085.76</v>
      </c>
      <c r="M3447">
        <v>303</v>
      </c>
      <c r="N3447" t="str">
        <f t="shared" ref="N3447:N3483" si="1671">"RECEITAS COM ENTREGAS"</f>
        <v>RECEITAS COM ENTREGAS</v>
      </c>
      <c r="O3447">
        <v>1085.76</v>
      </c>
      <c r="R3447" t="str">
        <f t="shared" ref="R3447:R3483" si="1672">"RECEITAS COM ENTREGAS (303)"</f>
        <v>RECEITAS COM ENTREGAS (303)</v>
      </c>
      <c r="S3447">
        <v>1955</v>
      </c>
      <c r="T3447">
        <v>1414</v>
      </c>
      <c r="U3447" t="s">
        <v>19</v>
      </c>
    </row>
    <row r="3448" spans="1:21">
      <c r="A3448" t="str">
        <f t="shared" si="1658"/>
        <v>26/06/2025</v>
      </c>
      <c r="B3448" t="str">
        <f t="shared" ref="B3448:B3483" si="1673">"ENTRADA"</f>
        <v>ENTRADA</v>
      </c>
      <c r="C3448" t="str">
        <f t="shared" si="1667"/>
        <v>NFSE</v>
      </c>
      <c r="D3448" t="str">
        <f>"3130"</f>
        <v>3130</v>
      </c>
      <c r="E3448" t="str">
        <f t="shared" si="1666"/>
        <v>COM</v>
      </c>
      <c r="F3448" t="str">
        <f>"AC FARMA - CID.ALTA (10166)"</f>
        <v>AC FARMA - CID.ALTA (10166)</v>
      </c>
      <c r="G3448" t="str">
        <f>"Serv.Prest. 09/06/2025 a 15/06/2025 - RPS: 899 - NFSe: 3130"</f>
        <v>Serv.Prest. 09/06/2025 a 15/06/2025 - RPS: 899 - NFSe: 3130</v>
      </c>
      <c r="H3448" t="str">
        <f t="shared" si="1668"/>
        <v>25/06/2025</v>
      </c>
      <c r="I3448" t="str">
        <f t="shared" si="1669"/>
        <v>20/06/2025</v>
      </c>
      <c r="J3448" t="str">
        <f t="shared" si="1670"/>
        <v>26/06/2025</v>
      </c>
      <c r="M3448">
        <v>303</v>
      </c>
      <c r="N3448" t="str">
        <f t="shared" si="1671"/>
        <v>RECEITAS COM ENTREGAS</v>
      </c>
      <c r="P3448">
        <v>1085.76</v>
      </c>
      <c r="Q3448" t="str">
        <f>"AC FARMA - CID.ALTA (10166)"</f>
        <v>AC FARMA - CID.ALTA (10166)</v>
      </c>
      <c r="R3448" t="str">
        <f t="shared" si="1672"/>
        <v>RECEITAS COM ENTREGAS (303)</v>
      </c>
      <c r="S3448">
        <v>1955</v>
      </c>
      <c r="T3448">
        <v>1414</v>
      </c>
      <c r="U3448" t="s">
        <v>19</v>
      </c>
    </row>
    <row r="3449" spans="1:21">
      <c r="A3449" t="str">
        <f t="shared" si="1658"/>
        <v>26/06/2025</v>
      </c>
      <c r="B3449" t="str">
        <f t="shared" si="1673"/>
        <v>ENTRADA</v>
      </c>
      <c r="C3449" t="str">
        <f t="shared" si="1667"/>
        <v>NFSE</v>
      </c>
      <c r="D3449" t="str">
        <f>"3131"</f>
        <v>3131</v>
      </c>
      <c r="E3449" t="str">
        <f t="shared" si="1666"/>
        <v>COM</v>
      </c>
      <c r="F3449" t="str">
        <f>"AC FARMA - FLEMINFARMA (10160)"</f>
        <v>AC FARMA - FLEMINFARMA (10160)</v>
      </c>
      <c r="G3449" t="str">
        <f>"Serv.Prest. 09/06/2025 a 15/06/2025 - RPS: 900 - NFSe: 3131"</f>
        <v>Serv.Prest. 09/06/2025 a 15/06/2025 - RPS: 900 - NFSe: 3131</v>
      </c>
      <c r="H3449" t="str">
        <f t="shared" si="1668"/>
        <v>25/06/2025</v>
      </c>
      <c r="I3449" t="str">
        <f t="shared" si="1669"/>
        <v>20/06/2025</v>
      </c>
      <c r="J3449" t="str">
        <f t="shared" si="1670"/>
        <v>26/06/2025</v>
      </c>
      <c r="K3449">
        <v>197.66</v>
      </c>
      <c r="L3449">
        <v>197.66</v>
      </c>
      <c r="M3449">
        <v>303</v>
      </c>
      <c r="N3449" t="str">
        <f t="shared" si="1671"/>
        <v>RECEITAS COM ENTREGAS</v>
      </c>
      <c r="O3449">
        <v>197.66</v>
      </c>
      <c r="R3449" t="str">
        <f t="shared" si="1672"/>
        <v>RECEITAS COM ENTREGAS (303)</v>
      </c>
      <c r="S3449">
        <v>1956</v>
      </c>
      <c r="T3449">
        <v>1415</v>
      </c>
      <c r="U3449" t="s">
        <v>19</v>
      </c>
    </row>
    <row r="3450" spans="1:21">
      <c r="A3450" t="str">
        <f t="shared" si="1658"/>
        <v>26/06/2025</v>
      </c>
      <c r="B3450" t="str">
        <f t="shared" si="1673"/>
        <v>ENTRADA</v>
      </c>
      <c r="C3450" t="str">
        <f t="shared" si="1667"/>
        <v>NFSE</v>
      </c>
      <c r="D3450" t="str">
        <f>"3131"</f>
        <v>3131</v>
      </c>
      <c r="E3450" t="str">
        <f t="shared" si="1666"/>
        <v>COM</v>
      </c>
      <c r="F3450" t="str">
        <f>"AC FARMA - FLEMINFARMA (10160)"</f>
        <v>AC FARMA - FLEMINFARMA (10160)</v>
      </c>
      <c r="G3450" t="str">
        <f>"Serv.Prest. 09/06/2025 a 15/06/2025 - RPS: 900 - NFSe: 3131"</f>
        <v>Serv.Prest. 09/06/2025 a 15/06/2025 - RPS: 900 - NFSe: 3131</v>
      </c>
      <c r="H3450" t="str">
        <f t="shared" si="1668"/>
        <v>25/06/2025</v>
      </c>
      <c r="I3450" t="str">
        <f t="shared" si="1669"/>
        <v>20/06/2025</v>
      </c>
      <c r="J3450" t="str">
        <f t="shared" si="1670"/>
        <v>26/06/2025</v>
      </c>
      <c r="M3450">
        <v>303</v>
      </c>
      <c r="N3450" t="str">
        <f t="shared" si="1671"/>
        <v>RECEITAS COM ENTREGAS</v>
      </c>
      <c r="P3450">
        <v>194.87</v>
      </c>
      <c r="Q3450" t="str">
        <f>"FARMACIA E PERFUMARIA CIDADE ALTA LTDA (10159)"</f>
        <v>FARMACIA E PERFUMARIA CIDADE ALTA LTDA (10159)</v>
      </c>
      <c r="R3450" t="str">
        <f t="shared" si="1672"/>
        <v>RECEITAS COM ENTREGAS (303)</v>
      </c>
      <c r="S3450">
        <v>1956</v>
      </c>
      <c r="T3450">
        <v>1415</v>
      </c>
      <c r="U3450" t="s">
        <v>19</v>
      </c>
    </row>
    <row r="3451" spans="1:21">
      <c r="A3451" t="str">
        <f t="shared" si="1658"/>
        <v>26/06/2025</v>
      </c>
      <c r="B3451" t="str">
        <f t="shared" si="1673"/>
        <v>ENTRADA</v>
      </c>
      <c r="C3451" t="str">
        <f t="shared" si="1667"/>
        <v>NFSE</v>
      </c>
      <c r="D3451" t="str">
        <f>"3131"</f>
        <v>3131</v>
      </c>
      <c r="E3451" t="str">
        <f t="shared" si="1666"/>
        <v>COM</v>
      </c>
      <c r="F3451" t="str">
        <f>"AC FARMA - FLEMINFARMA (10160)"</f>
        <v>AC FARMA - FLEMINFARMA (10160)</v>
      </c>
      <c r="G3451" t="str">
        <f>"Serv.Prest. 09/06/2025 a 15/06/2025 - RPS: 900 - NFSe: 3131"</f>
        <v>Serv.Prest. 09/06/2025 a 15/06/2025 - RPS: 900 - NFSe: 3131</v>
      </c>
      <c r="H3451" t="str">
        <f t="shared" si="1668"/>
        <v>25/06/2025</v>
      </c>
      <c r="I3451" t="str">
        <f t="shared" si="1669"/>
        <v>20/06/2025</v>
      </c>
      <c r="J3451" t="str">
        <f t="shared" si="1670"/>
        <v>26/06/2025</v>
      </c>
      <c r="M3451">
        <v>303</v>
      </c>
      <c r="N3451" t="str">
        <f t="shared" si="1671"/>
        <v>RECEITAS COM ENTREGAS</v>
      </c>
      <c r="P3451">
        <v>2.79</v>
      </c>
      <c r="Q3451" t="str">
        <f>"AC FARMA - FLEMINFARMA (10160)"</f>
        <v>AC FARMA - FLEMINFARMA (10160)</v>
      </c>
      <c r="R3451" t="str">
        <f t="shared" si="1672"/>
        <v>RECEITAS COM ENTREGAS (303)</v>
      </c>
      <c r="S3451">
        <v>1956</v>
      </c>
      <c r="T3451">
        <v>1415</v>
      </c>
      <c r="U3451" t="s">
        <v>19</v>
      </c>
    </row>
    <row r="3452" spans="1:21">
      <c r="A3452" t="str">
        <f t="shared" si="1658"/>
        <v>26/06/2025</v>
      </c>
      <c r="B3452" t="str">
        <f t="shared" si="1673"/>
        <v>ENTRADA</v>
      </c>
      <c r="C3452" t="str">
        <f t="shared" si="1667"/>
        <v>NFSE</v>
      </c>
      <c r="D3452" t="str">
        <f>"3132"</f>
        <v>3132</v>
      </c>
      <c r="E3452" t="str">
        <f t="shared" si="1666"/>
        <v>COM</v>
      </c>
      <c r="F3452" t="str">
        <f>"AC FARMA - FLEMINFARMA 5 (10183)"</f>
        <v>AC FARMA - FLEMINFARMA 5 (10183)</v>
      </c>
      <c r="G3452" t="str">
        <f>"Serv.Prest. 09/06/2025 a 15/06/2025 - RPS: 901 - NFSe: 3132"</f>
        <v>Serv.Prest. 09/06/2025 a 15/06/2025 - RPS: 901 - NFSe: 3132</v>
      </c>
      <c r="H3452" t="str">
        <f t="shared" si="1668"/>
        <v>25/06/2025</v>
      </c>
      <c r="I3452" t="str">
        <f t="shared" si="1669"/>
        <v>20/06/2025</v>
      </c>
      <c r="J3452" t="str">
        <f t="shared" si="1670"/>
        <v>26/06/2025</v>
      </c>
      <c r="K3452">
        <v>23.66</v>
      </c>
      <c r="L3452">
        <v>23.66</v>
      </c>
      <c r="M3452">
        <v>303</v>
      </c>
      <c r="N3452" t="str">
        <f t="shared" si="1671"/>
        <v>RECEITAS COM ENTREGAS</v>
      </c>
      <c r="O3452">
        <v>23.66</v>
      </c>
      <c r="R3452" t="str">
        <f t="shared" si="1672"/>
        <v>RECEITAS COM ENTREGAS (303)</v>
      </c>
      <c r="S3452">
        <v>1957</v>
      </c>
      <c r="T3452">
        <v>1416</v>
      </c>
      <c r="U3452" t="s">
        <v>19</v>
      </c>
    </row>
    <row r="3453" spans="1:21">
      <c r="A3453" t="str">
        <f t="shared" si="1658"/>
        <v>26/06/2025</v>
      </c>
      <c r="B3453" t="str">
        <f t="shared" si="1673"/>
        <v>ENTRADA</v>
      </c>
      <c r="C3453" t="str">
        <f t="shared" si="1667"/>
        <v>NFSE</v>
      </c>
      <c r="D3453" t="str">
        <f>"3132"</f>
        <v>3132</v>
      </c>
      <c r="E3453" t="str">
        <f t="shared" si="1666"/>
        <v>COM</v>
      </c>
      <c r="F3453" t="str">
        <f>"AC FARMA - FLEMINFARMA 5 (10183)"</f>
        <v>AC FARMA - FLEMINFARMA 5 (10183)</v>
      </c>
      <c r="G3453" t="str">
        <f>"Serv.Prest. 09/06/2025 a 15/06/2025 - RPS: 901 - NFSe: 3132"</f>
        <v>Serv.Prest. 09/06/2025 a 15/06/2025 - RPS: 901 - NFSe: 3132</v>
      </c>
      <c r="H3453" t="str">
        <f t="shared" si="1668"/>
        <v>25/06/2025</v>
      </c>
      <c r="I3453" t="str">
        <f t="shared" si="1669"/>
        <v>20/06/2025</v>
      </c>
      <c r="J3453" t="str">
        <f t="shared" si="1670"/>
        <v>26/06/2025</v>
      </c>
      <c r="M3453">
        <v>303</v>
      </c>
      <c r="N3453" t="str">
        <f t="shared" si="1671"/>
        <v>RECEITAS COM ENTREGAS</v>
      </c>
      <c r="P3453">
        <v>23.66</v>
      </c>
      <c r="Q3453" t="str">
        <f>"AC FARMA - FLEMINFARMA 5 (10183)"</f>
        <v>AC FARMA - FLEMINFARMA 5 (10183)</v>
      </c>
      <c r="R3453" t="str">
        <f t="shared" si="1672"/>
        <v>RECEITAS COM ENTREGAS (303)</v>
      </c>
      <c r="S3453">
        <v>1957</v>
      </c>
      <c r="T3453">
        <v>1416</v>
      </c>
      <c r="U3453" t="s">
        <v>19</v>
      </c>
    </row>
    <row r="3454" spans="1:21">
      <c r="A3454" t="str">
        <f t="shared" si="1658"/>
        <v>26/06/2025</v>
      </c>
      <c r="B3454" t="str">
        <f t="shared" si="1673"/>
        <v>ENTRADA</v>
      </c>
      <c r="C3454" t="str">
        <f t="shared" si="1667"/>
        <v>NFSE</v>
      </c>
      <c r="D3454" t="str">
        <f>"3134"</f>
        <v>3134</v>
      </c>
      <c r="E3454" t="str">
        <f t="shared" si="1666"/>
        <v>COM</v>
      </c>
      <c r="F3454" t="str">
        <f>"BRASIL FARMA (10173)"</f>
        <v>BRASIL FARMA (10173)</v>
      </c>
      <c r="G3454" t="str">
        <f>"Serv.Prest. 16/06/2025 a 22/06/2025 - RPS: 903 - NFSe: 3134"</f>
        <v>Serv.Prest. 16/06/2025 a 22/06/2025 - RPS: 903 - NFSe: 3134</v>
      </c>
      <c r="H3454" t="str">
        <f t="shared" si="1668"/>
        <v>25/06/2025</v>
      </c>
      <c r="I3454" t="str">
        <f t="shared" ref="I3454:I3461" si="1674">("23/06/2025")</f>
        <v>23/06/2025</v>
      </c>
      <c r="J3454" t="str">
        <f t="shared" si="1670"/>
        <v>26/06/2025</v>
      </c>
      <c r="K3454">
        <v>320.95999999999998</v>
      </c>
      <c r="L3454">
        <v>320.95999999999998</v>
      </c>
      <c r="M3454">
        <v>303</v>
      </c>
      <c r="N3454" t="str">
        <f t="shared" si="1671"/>
        <v>RECEITAS COM ENTREGAS</v>
      </c>
      <c r="O3454">
        <v>320.95999999999998</v>
      </c>
      <c r="R3454" t="str">
        <f t="shared" si="1672"/>
        <v>RECEITAS COM ENTREGAS (303)</v>
      </c>
      <c r="S3454">
        <v>1958</v>
      </c>
      <c r="T3454">
        <v>1418</v>
      </c>
      <c r="U3454" t="s">
        <v>19</v>
      </c>
    </row>
    <row r="3455" spans="1:21">
      <c r="A3455" t="str">
        <f t="shared" si="1658"/>
        <v>26/06/2025</v>
      </c>
      <c r="B3455" t="str">
        <f t="shared" si="1673"/>
        <v>ENTRADA</v>
      </c>
      <c r="C3455" t="str">
        <f t="shared" si="1667"/>
        <v>NFSE</v>
      </c>
      <c r="D3455" t="str">
        <f>"3134"</f>
        <v>3134</v>
      </c>
      <c r="E3455" t="str">
        <f t="shared" si="1666"/>
        <v>COM</v>
      </c>
      <c r="F3455" t="str">
        <f>"BRASIL FARMA (10173)"</f>
        <v>BRASIL FARMA (10173)</v>
      </c>
      <c r="G3455" t="str">
        <f>"Serv.Prest. 16/06/2025 a 22/06/2025 - RPS: 903 - NFSe: 3134"</f>
        <v>Serv.Prest. 16/06/2025 a 22/06/2025 - RPS: 903 - NFSe: 3134</v>
      </c>
      <c r="H3455" t="str">
        <f t="shared" si="1668"/>
        <v>25/06/2025</v>
      </c>
      <c r="I3455" t="str">
        <f t="shared" si="1674"/>
        <v>23/06/2025</v>
      </c>
      <c r="J3455" t="str">
        <f t="shared" si="1670"/>
        <v>26/06/2025</v>
      </c>
      <c r="M3455">
        <v>303</v>
      </c>
      <c r="N3455" t="str">
        <f t="shared" si="1671"/>
        <v>RECEITAS COM ENTREGAS</v>
      </c>
      <c r="P3455">
        <v>320.95999999999998</v>
      </c>
      <c r="Q3455" t="str">
        <f>"BRASIL FARMA (10173)"</f>
        <v>BRASIL FARMA (10173)</v>
      </c>
      <c r="R3455" t="str">
        <f t="shared" si="1672"/>
        <v>RECEITAS COM ENTREGAS (303)</v>
      </c>
      <c r="S3455">
        <v>1958</v>
      </c>
      <c r="T3455">
        <v>1418</v>
      </c>
      <c r="U3455" t="s">
        <v>19</v>
      </c>
    </row>
    <row r="3456" spans="1:21">
      <c r="A3456" t="str">
        <f t="shared" si="1658"/>
        <v>26/06/2025</v>
      </c>
      <c r="B3456" t="str">
        <f t="shared" si="1673"/>
        <v>ENTRADA</v>
      </c>
      <c r="C3456" t="str">
        <f t="shared" si="1667"/>
        <v>NFSE</v>
      </c>
      <c r="D3456" t="str">
        <f>"3138"</f>
        <v>3138</v>
      </c>
      <c r="E3456" t="str">
        <f t="shared" si="1666"/>
        <v>COM</v>
      </c>
      <c r="F3456" t="str">
        <f>"DROGA ELIDA (10121)"</f>
        <v>DROGA ELIDA (10121)</v>
      </c>
      <c r="G3456" t="str">
        <f>"Serv.Prest. 16/06/2025 a 22/06/2025 - RPS: 907 - NFSe: 3138"</f>
        <v>Serv.Prest. 16/06/2025 a 22/06/2025 - RPS: 907 - NFSe: 3138</v>
      </c>
      <c r="H3456" t="str">
        <f t="shared" si="1668"/>
        <v>25/06/2025</v>
      </c>
      <c r="I3456" t="str">
        <f t="shared" si="1674"/>
        <v>23/06/2025</v>
      </c>
      <c r="J3456" t="str">
        <f t="shared" si="1670"/>
        <v>26/06/2025</v>
      </c>
      <c r="K3456">
        <v>350.4</v>
      </c>
      <c r="L3456">
        <v>350.4</v>
      </c>
      <c r="M3456">
        <v>303</v>
      </c>
      <c r="N3456" t="str">
        <f t="shared" si="1671"/>
        <v>RECEITAS COM ENTREGAS</v>
      </c>
      <c r="O3456">
        <v>350.4</v>
      </c>
      <c r="R3456" t="str">
        <f t="shared" si="1672"/>
        <v>RECEITAS COM ENTREGAS (303)</v>
      </c>
      <c r="S3456">
        <v>1959</v>
      </c>
      <c r="T3456">
        <v>1422</v>
      </c>
      <c r="U3456" t="s">
        <v>19</v>
      </c>
    </row>
    <row r="3457" spans="1:21">
      <c r="A3457" t="str">
        <f t="shared" si="1658"/>
        <v>26/06/2025</v>
      </c>
      <c r="B3457" t="str">
        <f t="shared" si="1673"/>
        <v>ENTRADA</v>
      </c>
      <c r="C3457" t="str">
        <f t="shared" si="1667"/>
        <v>NFSE</v>
      </c>
      <c r="D3457" t="str">
        <f>"3138"</f>
        <v>3138</v>
      </c>
      <c r="E3457" t="str">
        <f t="shared" si="1666"/>
        <v>COM</v>
      </c>
      <c r="F3457" t="str">
        <f>"DROGA ELIDA (10121)"</f>
        <v>DROGA ELIDA (10121)</v>
      </c>
      <c r="G3457" t="str">
        <f>"Serv.Prest. 16/06/2025 a 22/06/2025 - RPS: 907 - NFSe: 3138"</f>
        <v>Serv.Prest. 16/06/2025 a 22/06/2025 - RPS: 907 - NFSe: 3138</v>
      </c>
      <c r="H3457" t="str">
        <f t="shared" si="1668"/>
        <v>25/06/2025</v>
      </c>
      <c r="I3457" t="str">
        <f t="shared" si="1674"/>
        <v>23/06/2025</v>
      </c>
      <c r="J3457" t="str">
        <f t="shared" si="1670"/>
        <v>26/06/2025</v>
      </c>
      <c r="M3457">
        <v>303</v>
      </c>
      <c r="N3457" t="str">
        <f t="shared" si="1671"/>
        <v>RECEITAS COM ENTREGAS</v>
      </c>
      <c r="P3457">
        <v>350.4</v>
      </c>
      <c r="Q3457" t="str">
        <f>"DROGA ELIDA (10121)"</f>
        <v>DROGA ELIDA (10121)</v>
      </c>
      <c r="R3457" t="str">
        <f t="shared" si="1672"/>
        <v>RECEITAS COM ENTREGAS (303)</v>
      </c>
      <c r="S3457">
        <v>1959</v>
      </c>
      <c r="T3457">
        <v>1422</v>
      </c>
      <c r="U3457" t="s">
        <v>19</v>
      </c>
    </row>
    <row r="3458" spans="1:21">
      <c r="A3458" t="str">
        <f t="shared" si="1658"/>
        <v>26/06/2025</v>
      </c>
      <c r="B3458" t="str">
        <f t="shared" si="1673"/>
        <v>ENTRADA</v>
      </c>
      <c r="C3458" t="str">
        <f t="shared" si="1667"/>
        <v>NFSE</v>
      </c>
      <c r="D3458" t="str">
        <f>"3141"</f>
        <v>3141</v>
      </c>
      <c r="E3458" t="str">
        <f t="shared" si="1666"/>
        <v>COM</v>
      </c>
      <c r="F3458" t="str">
        <f>"FRAN FARMA (10124)"</f>
        <v>FRAN FARMA (10124)</v>
      </c>
      <c r="G3458" t="str">
        <f>"Serv.Prest. 16/06/2025 a 22/06/2025 - RPS: 910 - NFSe: 3141"</f>
        <v>Serv.Prest. 16/06/2025 a 22/06/2025 - RPS: 910 - NFSe: 3141</v>
      </c>
      <c r="H3458" t="str">
        <f t="shared" si="1668"/>
        <v>25/06/2025</v>
      </c>
      <c r="I3458" t="str">
        <f t="shared" si="1674"/>
        <v>23/06/2025</v>
      </c>
      <c r="J3458" t="str">
        <f t="shared" si="1670"/>
        <v>26/06/2025</v>
      </c>
      <c r="K3458">
        <v>320</v>
      </c>
      <c r="L3458">
        <v>320</v>
      </c>
      <c r="M3458">
        <v>303</v>
      </c>
      <c r="N3458" t="str">
        <f t="shared" si="1671"/>
        <v>RECEITAS COM ENTREGAS</v>
      </c>
      <c r="O3458">
        <v>320</v>
      </c>
      <c r="R3458" t="str">
        <f t="shared" si="1672"/>
        <v>RECEITAS COM ENTREGAS (303)</v>
      </c>
      <c r="S3458">
        <v>1960</v>
      </c>
      <c r="T3458">
        <v>1425</v>
      </c>
      <c r="U3458" t="s">
        <v>19</v>
      </c>
    </row>
    <row r="3459" spans="1:21">
      <c r="A3459" t="str">
        <f t="shared" si="1658"/>
        <v>26/06/2025</v>
      </c>
      <c r="B3459" t="str">
        <f t="shared" si="1673"/>
        <v>ENTRADA</v>
      </c>
      <c r="C3459" t="str">
        <f t="shared" si="1667"/>
        <v>NFSE</v>
      </c>
      <c r="D3459" t="str">
        <f>"3141"</f>
        <v>3141</v>
      </c>
      <c r="E3459" t="str">
        <f t="shared" si="1666"/>
        <v>COM</v>
      </c>
      <c r="F3459" t="str">
        <f>"FRAN FARMA (10124)"</f>
        <v>FRAN FARMA (10124)</v>
      </c>
      <c r="G3459" t="str">
        <f>"Serv.Prest. 16/06/2025 a 22/06/2025 - RPS: 910 - NFSe: 3141"</f>
        <v>Serv.Prest. 16/06/2025 a 22/06/2025 - RPS: 910 - NFSe: 3141</v>
      </c>
      <c r="H3459" t="str">
        <f t="shared" si="1668"/>
        <v>25/06/2025</v>
      </c>
      <c r="I3459" t="str">
        <f t="shared" si="1674"/>
        <v>23/06/2025</v>
      </c>
      <c r="J3459" t="str">
        <f t="shared" si="1670"/>
        <v>26/06/2025</v>
      </c>
      <c r="M3459">
        <v>303</v>
      </c>
      <c r="N3459" t="str">
        <f t="shared" si="1671"/>
        <v>RECEITAS COM ENTREGAS</v>
      </c>
      <c r="P3459">
        <v>64</v>
      </c>
      <c r="Q3459" t="str">
        <f>"FRAN FARMA (10124)"</f>
        <v>FRAN FARMA (10124)</v>
      </c>
      <c r="R3459" t="str">
        <f t="shared" si="1672"/>
        <v>RECEITAS COM ENTREGAS (303)</v>
      </c>
      <c r="S3459">
        <v>1960</v>
      </c>
      <c r="T3459">
        <v>1425</v>
      </c>
      <c r="U3459" t="s">
        <v>19</v>
      </c>
    </row>
    <row r="3460" spans="1:21">
      <c r="A3460" t="str">
        <f t="shared" si="1658"/>
        <v>26/06/2025</v>
      </c>
      <c r="B3460" t="str">
        <f t="shared" si="1673"/>
        <v>ENTRADA</v>
      </c>
      <c r="C3460" t="str">
        <f t="shared" si="1667"/>
        <v>NFSE</v>
      </c>
      <c r="D3460" t="str">
        <f>"3141"</f>
        <v>3141</v>
      </c>
      <c r="E3460" t="str">
        <f t="shared" si="1666"/>
        <v>COM</v>
      </c>
      <c r="F3460" t="str">
        <f>"FRAN FARMA (10124)"</f>
        <v>FRAN FARMA (10124)</v>
      </c>
      <c r="G3460" t="str">
        <f>"Serv.Prest. 16/06/2025 a 22/06/2025 - RPS: 910 - NFSe: 3141"</f>
        <v>Serv.Prest. 16/06/2025 a 22/06/2025 - RPS: 910 - NFSe: 3141</v>
      </c>
      <c r="H3460" t="str">
        <f t="shared" si="1668"/>
        <v>25/06/2025</v>
      </c>
      <c r="I3460" t="str">
        <f t="shared" si="1674"/>
        <v>23/06/2025</v>
      </c>
      <c r="J3460" t="str">
        <f t="shared" si="1670"/>
        <v>26/06/2025</v>
      </c>
      <c r="M3460">
        <v>303</v>
      </c>
      <c r="N3460" t="str">
        <f t="shared" si="1671"/>
        <v>RECEITAS COM ENTREGAS</v>
      </c>
      <c r="P3460">
        <v>192</v>
      </c>
      <c r="Q3460" t="str">
        <f>"FRAN FARMA LJ 2 (10131)"</f>
        <v>FRAN FARMA LJ 2 (10131)</v>
      </c>
      <c r="R3460" t="str">
        <f t="shared" si="1672"/>
        <v>RECEITAS COM ENTREGAS (303)</v>
      </c>
      <c r="S3460">
        <v>1960</v>
      </c>
      <c r="T3460">
        <v>1425</v>
      </c>
      <c r="U3460" t="s">
        <v>19</v>
      </c>
    </row>
    <row r="3461" spans="1:21">
      <c r="A3461" t="str">
        <f t="shared" si="1658"/>
        <v>26/06/2025</v>
      </c>
      <c r="B3461" t="str">
        <f t="shared" si="1673"/>
        <v>ENTRADA</v>
      </c>
      <c r="C3461" t="str">
        <f t="shared" si="1667"/>
        <v>NFSE</v>
      </c>
      <c r="D3461" t="str">
        <f>"3141"</f>
        <v>3141</v>
      </c>
      <c r="E3461" t="str">
        <f t="shared" si="1666"/>
        <v>COM</v>
      </c>
      <c r="F3461" t="str">
        <f>"FRAN FARMA (10124)"</f>
        <v>FRAN FARMA (10124)</v>
      </c>
      <c r="G3461" t="str">
        <f>"Serv.Prest. 16/06/2025 a 22/06/2025 - RPS: 910 - NFSe: 3141"</f>
        <v>Serv.Prest. 16/06/2025 a 22/06/2025 - RPS: 910 - NFSe: 3141</v>
      </c>
      <c r="H3461" t="str">
        <f t="shared" si="1668"/>
        <v>25/06/2025</v>
      </c>
      <c r="I3461" t="str">
        <f t="shared" si="1674"/>
        <v>23/06/2025</v>
      </c>
      <c r="J3461" t="str">
        <f t="shared" si="1670"/>
        <v>26/06/2025</v>
      </c>
      <c r="M3461">
        <v>303</v>
      </c>
      <c r="N3461" t="str">
        <f t="shared" si="1671"/>
        <v>RECEITAS COM ENTREGAS</v>
      </c>
      <c r="P3461">
        <v>64</v>
      </c>
      <c r="Q3461" t="str">
        <f>"FRAN FARMA LJ 3 (10132)"</f>
        <v>FRAN FARMA LJ 3 (10132)</v>
      </c>
      <c r="R3461" t="str">
        <f t="shared" si="1672"/>
        <v>RECEITAS COM ENTREGAS (303)</v>
      </c>
      <c r="S3461">
        <v>1960</v>
      </c>
      <c r="T3461">
        <v>1425</v>
      </c>
      <c r="U3461" t="s">
        <v>19</v>
      </c>
    </row>
    <row r="3462" spans="1:21">
      <c r="A3462" t="str">
        <f t="shared" si="1658"/>
        <v>26/06/2025</v>
      </c>
      <c r="B3462" t="str">
        <f t="shared" si="1673"/>
        <v>ENTRADA</v>
      </c>
      <c r="C3462" t="str">
        <f t="shared" si="1667"/>
        <v>NFSE</v>
      </c>
      <c r="D3462" t="str">
        <f>"3145"</f>
        <v>3145</v>
      </c>
      <c r="E3462" t="str">
        <f t="shared" si="1666"/>
        <v>COM</v>
      </c>
      <c r="F3462" t="str">
        <f>"DROGARIA MEDIC CENTER LTDA (10172)"</f>
        <v>DROGARIA MEDIC CENTER LTDA (10172)</v>
      </c>
      <c r="G3462" t="str">
        <f>"Serv.Prest. 16/06/2025 a 22/06/2025 - RPS: 914 - NFSe: 3145"</f>
        <v>Serv.Prest. 16/06/2025 a 22/06/2025 - RPS: 914 - NFSe: 3145</v>
      </c>
      <c r="H3462" t="str">
        <f t="shared" si="1668"/>
        <v>25/06/2025</v>
      </c>
      <c r="I3462" t="str">
        <f t="shared" ref="I3462:I3479" si="1675">("24/06/2025")</f>
        <v>24/06/2025</v>
      </c>
      <c r="J3462" t="str">
        <f t="shared" si="1670"/>
        <v>26/06/2025</v>
      </c>
      <c r="K3462">
        <v>131.4</v>
      </c>
      <c r="L3462">
        <v>131.4</v>
      </c>
      <c r="M3462">
        <v>303</v>
      </c>
      <c r="N3462" t="str">
        <f t="shared" si="1671"/>
        <v>RECEITAS COM ENTREGAS</v>
      </c>
      <c r="O3462">
        <v>131.4</v>
      </c>
      <c r="R3462" t="str">
        <f t="shared" si="1672"/>
        <v>RECEITAS COM ENTREGAS (303)</v>
      </c>
      <c r="S3462">
        <v>1961</v>
      </c>
      <c r="T3462">
        <v>1429</v>
      </c>
      <c r="U3462" t="s">
        <v>19</v>
      </c>
    </row>
    <row r="3463" spans="1:21">
      <c r="A3463" t="str">
        <f t="shared" si="1658"/>
        <v>26/06/2025</v>
      </c>
      <c r="B3463" t="str">
        <f t="shared" si="1673"/>
        <v>ENTRADA</v>
      </c>
      <c r="C3463" t="str">
        <f t="shared" si="1667"/>
        <v>NFSE</v>
      </c>
      <c r="D3463" t="str">
        <f>"3145"</f>
        <v>3145</v>
      </c>
      <c r="E3463" t="str">
        <f t="shared" si="1666"/>
        <v>COM</v>
      </c>
      <c r="F3463" t="str">
        <f>"DROGARIA MEDIC CENTER LTDA (10172)"</f>
        <v>DROGARIA MEDIC CENTER LTDA (10172)</v>
      </c>
      <c r="G3463" t="str">
        <f>"Serv.Prest. 16/06/2025 a 22/06/2025 - RPS: 914 - NFSe: 3145"</f>
        <v>Serv.Prest. 16/06/2025 a 22/06/2025 - RPS: 914 - NFSe: 3145</v>
      </c>
      <c r="H3463" t="str">
        <f t="shared" si="1668"/>
        <v>25/06/2025</v>
      </c>
      <c r="I3463" t="str">
        <f t="shared" si="1675"/>
        <v>24/06/2025</v>
      </c>
      <c r="J3463" t="str">
        <f t="shared" si="1670"/>
        <v>26/06/2025</v>
      </c>
      <c r="M3463">
        <v>303</v>
      </c>
      <c r="N3463" t="str">
        <f t="shared" si="1671"/>
        <v>RECEITAS COM ENTREGAS</v>
      </c>
      <c r="P3463">
        <v>131.4</v>
      </c>
      <c r="Q3463" t="str">
        <f>"DROGARIA MEDIC CENTER LTDA (10172)"</f>
        <v>DROGARIA MEDIC CENTER LTDA (10172)</v>
      </c>
      <c r="R3463" t="str">
        <f t="shared" si="1672"/>
        <v>RECEITAS COM ENTREGAS (303)</v>
      </c>
      <c r="S3463">
        <v>1961</v>
      </c>
      <c r="T3463">
        <v>1429</v>
      </c>
      <c r="U3463" t="s">
        <v>19</v>
      </c>
    </row>
    <row r="3464" spans="1:21">
      <c r="A3464" t="str">
        <f t="shared" si="1658"/>
        <v>26/06/2025</v>
      </c>
      <c r="B3464" t="str">
        <f t="shared" si="1673"/>
        <v>ENTRADA</v>
      </c>
      <c r="C3464" t="str">
        <f t="shared" si="1667"/>
        <v>NFSE</v>
      </c>
      <c r="D3464" t="str">
        <f>"3146"</f>
        <v>3146</v>
      </c>
      <c r="E3464" t="str">
        <f t="shared" si="1666"/>
        <v>COM</v>
      </c>
      <c r="F3464" t="str">
        <f>"DROGARIA MORENO LTDA (10171)"</f>
        <v>DROGARIA MORENO LTDA (10171)</v>
      </c>
      <c r="G3464" t="str">
        <f>"Serv.Prest. 16/06/2025 a 22/06/2025 - RPS: 915 - NFSe: 3146"</f>
        <v>Serv.Prest. 16/06/2025 a 22/06/2025 - RPS: 915 - NFSe: 3146</v>
      </c>
      <c r="H3464" t="str">
        <f t="shared" si="1668"/>
        <v>25/06/2025</v>
      </c>
      <c r="I3464" t="str">
        <f t="shared" si="1675"/>
        <v>24/06/2025</v>
      </c>
      <c r="J3464" t="str">
        <f t="shared" si="1670"/>
        <v>26/06/2025</v>
      </c>
      <c r="K3464">
        <v>385.2</v>
      </c>
      <c r="L3464">
        <v>385.2</v>
      </c>
      <c r="M3464">
        <v>303</v>
      </c>
      <c r="N3464" t="str">
        <f t="shared" si="1671"/>
        <v>RECEITAS COM ENTREGAS</v>
      </c>
      <c r="O3464">
        <v>385.2</v>
      </c>
      <c r="R3464" t="str">
        <f t="shared" si="1672"/>
        <v>RECEITAS COM ENTREGAS (303)</v>
      </c>
      <c r="S3464">
        <v>1962</v>
      </c>
      <c r="T3464">
        <v>1430</v>
      </c>
      <c r="U3464" t="s">
        <v>19</v>
      </c>
    </row>
    <row r="3465" spans="1:21">
      <c r="A3465" t="str">
        <f t="shared" si="1658"/>
        <v>26/06/2025</v>
      </c>
      <c r="B3465" t="str">
        <f t="shared" si="1673"/>
        <v>ENTRADA</v>
      </c>
      <c r="C3465" t="str">
        <f t="shared" si="1667"/>
        <v>NFSE</v>
      </c>
      <c r="D3465" t="str">
        <f>"3146"</f>
        <v>3146</v>
      </c>
      <c r="E3465" t="str">
        <f t="shared" si="1666"/>
        <v>COM</v>
      </c>
      <c r="F3465" t="str">
        <f>"DROGARIA MORENO LTDA (10171)"</f>
        <v>DROGARIA MORENO LTDA (10171)</v>
      </c>
      <c r="G3465" t="str">
        <f>"Serv.Prest. 16/06/2025 a 22/06/2025 - RPS: 915 - NFSe: 3146"</f>
        <v>Serv.Prest. 16/06/2025 a 22/06/2025 - RPS: 915 - NFSe: 3146</v>
      </c>
      <c r="H3465" t="str">
        <f t="shared" si="1668"/>
        <v>25/06/2025</v>
      </c>
      <c r="I3465" t="str">
        <f t="shared" si="1675"/>
        <v>24/06/2025</v>
      </c>
      <c r="J3465" t="str">
        <f t="shared" si="1670"/>
        <v>26/06/2025</v>
      </c>
      <c r="M3465">
        <v>303</v>
      </c>
      <c r="N3465" t="str">
        <f t="shared" si="1671"/>
        <v>RECEITAS COM ENTREGAS</v>
      </c>
      <c r="P3465">
        <v>385.2</v>
      </c>
      <c r="Q3465" t="str">
        <f>"DROGARIA MORENO LTDA (10171)"</f>
        <v>DROGARIA MORENO LTDA (10171)</v>
      </c>
      <c r="R3465" t="str">
        <f t="shared" si="1672"/>
        <v>RECEITAS COM ENTREGAS (303)</v>
      </c>
      <c r="S3465">
        <v>1962</v>
      </c>
      <c r="T3465">
        <v>1430</v>
      </c>
      <c r="U3465" t="s">
        <v>19</v>
      </c>
    </row>
    <row r="3466" spans="1:21">
      <c r="A3466" t="str">
        <f t="shared" si="1658"/>
        <v>26/06/2025</v>
      </c>
      <c r="B3466" t="str">
        <f t="shared" si="1673"/>
        <v>ENTRADA</v>
      </c>
      <c r="C3466" t="str">
        <f t="shared" si="1667"/>
        <v>NFSE</v>
      </c>
      <c r="D3466" t="str">
        <f>"3149"</f>
        <v>3149</v>
      </c>
      <c r="E3466" t="str">
        <f t="shared" si="1666"/>
        <v>COM</v>
      </c>
      <c r="F3466" t="str">
        <f>"FARMACIA ECONOMIZE (10103)"</f>
        <v>FARMACIA ECONOMIZE (10103)</v>
      </c>
      <c r="G3466" t="str">
        <f>"Serv.Prest. 16/06/2025 a 22/06/2025 - RPS: 918 - NFSe: 3149"</f>
        <v>Serv.Prest. 16/06/2025 a 22/06/2025 - RPS: 918 - NFSe: 3149</v>
      </c>
      <c r="H3466" t="str">
        <f t="shared" si="1668"/>
        <v>25/06/2025</v>
      </c>
      <c r="I3466" t="str">
        <f t="shared" si="1675"/>
        <v>24/06/2025</v>
      </c>
      <c r="J3466" t="str">
        <f t="shared" si="1670"/>
        <v>26/06/2025</v>
      </c>
      <c r="K3466">
        <v>23.62</v>
      </c>
      <c r="L3466">
        <v>23.62</v>
      </c>
      <c r="M3466">
        <v>303</v>
      </c>
      <c r="N3466" t="str">
        <f t="shared" si="1671"/>
        <v>RECEITAS COM ENTREGAS</v>
      </c>
      <c r="O3466">
        <v>23.62</v>
      </c>
      <c r="R3466" t="str">
        <f t="shared" si="1672"/>
        <v>RECEITAS COM ENTREGAS (303)</v>
      </c>
      <c r="S3466">
        <v>1963</v>
      </c>
      <c r="T3466">
        <v>1433</v>
      </c>
      <c r="U3466" t="s">
        <v>19</v>
      </c>
    </row>
    <row r="3467" spans="1:21">
      <c r="A3467" t="str">
        <f t="shared" si="1658"/>
        <v>26/06/2025</v>
      </c>
      <c r="B3467" t="str">
        <f t="shared" si="1673"/>
        <v>ENTRADA</v>
      </c>
      <c r="C3467" t="str">
        <f t="shared" si="1667"/>
        <v>NFSE</v>
      </c>
      <c r="D3467" t="str">
        <f>"3149"</f>
        <v>3149</v>
      </c>
      <c r="E3467" t="str">
        <f t="shared" si="1666"/>
        <v>COM</v>
      </c>
      <c r="F3467" t="str">
        <f>"FARMACIA ECONOMIZE (10103)"</f>
        <v>FARMACIA ECONOMIZE (10103)</v>
      </c>
      <c r="G3467" t="str">
        <f>"Serv.Prest. 16/06/2025 a 22/06/2025 - RPS: 918 - NFSe: 3149"</f>
        <v>Serv.Prest. 16/06/2025 a 22/06/2025 - RPS: 918 - NFSe: 3149</v>
      </c>
      <c r="H3467" t="str">
        <f t="shared" si="1668"/>
        <v>25/06/2025</v>
      </c>
      <c r="I3467" t="str">
        <f t="shared" si="1675"/>
        <v>24/06/2025</v>
      </c>
      <c r="J3467" t="str">
        <f t="shared" si="1670"/>
        <v>26/06/2025</v>
      </c>
      <c r="M3467">
        <v>303</v>
      </c>
      <c r="N3467" t="str">
        <f t="shared" si="1671"/>
        <v>RECEITAS COM ENTREGAS</v>
      </c>
      <c r="P3467">
        <v>23.62</v>
      </c>
      <c r="Q3467" t="str">
        <f>"FARMACIA ECONOMIZE (10103)"</f>
        <v>FARMACIA ECONOMIZE (10103)</v>
      </c>
      <c r="R3467" t="str">
        <f t="shared" si="1672"/>
        <v>RECEITAS COM ENTREGAS (303)</v>
      </c>
      <c r="S3467">
        <v>1963</v>
      </c>
      <c r="T3467">
        <v>1433</v>
      </c>
      <c r="U3467" t="s">
        <v>19</v>
      </c>
    </row>
    <row r="3468" spans="1:21">
      <c r="A3468" t="str">
        <f t="shared" si="1658"/>
        <v>26/06/2025</v>
      </c>
      <c r="B3468" t="str">
        <f t="shared" si="1673"/>
        <v>ENTRADA</v>
      </c>
      <c r="C3468" t="str">
        <f t="shared" si="1667"/>
        <v>NFSE</v>
      </c>
      <c r="D3468" t="str">
        <f>"3151"</f>
        <v>3151</v>
      </c>
      <c r="E3468" t="str">
        <f t="shared" si="1666"/>
        <v>COM</v>
      </c>
      <c r="F3468" t="str">
        <f>"DROGARIA ANA VISCONDE DO RIO BRANCO (10180)"</f>
        <v>DROGARIA ANA VISCONDE DO RIO BRANCO (10180)</v>
      </c>
      <c r="G3468" t="str">
        <f>"Serv.Prest. 16/06/2025 a 22/06/2025 - RPS: 920 - NFSe: 3151"</f>
        <v>Serv.Prest. 16/06/2025 a 22/06/2025 - RPS: 920 - NFSe: 3151</v>
      </c>
      <c r="H3468" t="str">
        <f t="shared" si="1668"/>
        <v>25/06/2025</v>
      </c>
      <c r="I3468" t="str">
        <f t="shared" si="1675"/>
        <v>24/06/2025</v>
      </c>
      <c r="J3468" t="str">
        <f t="shared" si="1670"/>
        <v>26/06/2025</v>
      </c>
      <c r="K3468">
        <v>943.65</v>
      </c>
      <c r="L3468">
        <v>943.65</v>
      </c>
      <c r="M3468">
        <v>303</v>
      </c>
      <c r="N3468" t="str">
        <f t="shared" si="1671"/>
        <v>RECEITAS COM ENTREGAS</v>
      </c>
      <c r="O3468">
        <v>943.65</v>
      </c>
      <c r="R3468" t="str">
        <f t="shared" si="1672"/>
        <v>RECEITAS COM ENTREGAS (303)</v>
      </c>
      <c r="S3468">
        <v>1964</v>
      </c>
      <c r="T3468">
        <v>1435</v>
      </c>
      <c r="U3468" t="s">
        <v>19</v>
      </c>
    </row>
    <row r="3469" spans="1:21">
      <c r="A3469" t="str">
        <f t="shared" si="1658"/>
        <v>26/06/2025</v>
      </c>
      <c r="B3469" t="str">
        <f t="shared" si="1673"/>
        <v>ENTRADA</v>
      </c>
      <c r="C3469" t="str">
        <f t="shared" si="1667"/>
        <v>NFSE</v>
      </c>
      <c r="D3469" t="str">
        <f>"3151"</f>
        <v>3151</v>
      </c>
      <c r="E3469" t="str">
        <f t="shared" si="1666"/>
        <v>COM</v>
      </c>
      <c r="F3469" t="str">
        <f>"DROGARIA ANA VISCONDE DO RIO BRANCO (10180)"</f>
        <v>DROGARIA ANA VISCONDE DO RIO BRANCO (10180)</v>
      </c>
      <c r="G3469" t="str">
        <f>"Serv.Prest. 16/06/2025 a 22/06/2025 - RPS: 920 - NFSe: 3151"</f>
        <v>Serv.Prest. 16/06/2025 a 22/06/2025 - RPS: 920 - NFSe: 3151</v>
      </c>
      <c r="H3469" t="str">
        <f t="shared" si="1668"/>
        <v>25/06/2025</v>
      </c>
      <c r="I3469" t="str">
        <f t="shared" si="1675"/>
        <v>24/06/2025</v>
      </c>
      <c r="J3469" t="str">
        <f t="shared" si="1670"/>
        <v>26/06/2025</v>
      </c>
      <c r="M3469">
        <v>303</v>
      </c>
      <c r="N3469" t="str">
        <f t="shared" si="1671"/>
        <v>RECEITAS COM ENTREGAS</v>
      </c>
      <c r="P3469">
        <v>943.65</v>
      </c>
      <c r="Q3469" t="str">
        <f>"DROGARIA ANA VISCONDE DO RIO BRANCO (10182)"</f>
        <v>DROGARIA ANA VISCONDE DO RIO BRANCO (10182)</v>
      </c>
      <c r="R3469" t="str">
        <f t="shared" si="1672"/>
        <v>RECEITAS COM ENTREGAS (303)</v>
      </c>
      <c r="S3469">
        <v>1964</v>
      </c>
      <c r="T3469">
        <v>1435</v>
      </c>
      <c r="U3469" t="s">
        <v>19</v>
      </c>
    </row>
    <row r="3470" spans="1:21">
      <c r="A3470" t="str">
        <f t="shared" si="1658"/>
        <v>26/06/2025</v>
      </c>
      <c r="B3470" t="str">
        <f t="shared" si="1673"/>
        <v>ENTRADA</v>
      </c>
      <c r="C3470" t="str">
        <f t="shared" si="1667"/>
        <v>NFSE</v>
      </c>
      <c r="D3470" t="str">
        <f>"3154"</f>
        <v>3154</v>
      </c>
      <c r="E3470" t="str">
        <f t="shared" si="1666"/>
        <v>COM</v>
      </c>
      <c r="F3470" t="str">
        <f>"DROGA MONICA LJ 3 (10152)"</f>
        <v>DROGA MONICA LJ 3 (10152)</v>
      </c>
      <c r="G3470" t="str">
        <f>"Serv.Prest. 16/06/2025 a 22/06/2025 - RPS: 923 - NFSe: 3154"</f>
        <v>Serv.Prest. 16/06/2025 a 22/06/2025 - RPS: 923 - NFSe: 3154</v>
      </c>
      <c r="H3470" t="str">
        <f t="shared" si="1668"/>
        <v>25/06/2025</v>
      </c>
      <c r="I3470" t="str">
        <f t="shared" si="1675"/>
        <v>24/06/2025</v>
      </c>
      <c r="J3470" t="str">
        <f t="shared" si="1670"/>
        <v>26/06/2025</v>
      </c>
      <c r="K3470">
        <v>206.4</v>
      </c>
      <c r="L3470">
        <v>206.4</v>
      </c>
      <c r="M3470">
        <v>303</v>
      </c>
      <c r="N3470" t="str">
        <f t="shared" si="1671"/>
        <v>RECEITAS COM ENTREGAS</v>
      </c>
      <c r="O3470">
        <v>206.4</v>
      </c>
      <c r="R3470" t="str">
        <f t="shared" si="1672"/>
        <v>RECEITAS COM ENTREGAS (303)</v>
      </c>
      <c r="S3470">
        <v>1965</v>
      </c>
      <c r="T3470">
        <v>1438</v>
      </c>
      <c r="U3470" t="s">
        <v>19</v>
      </c>
    </row>
    <row r="3471" spans="1:21">
      <c r="A3471" t="str">
        <f t="shared" si="1658"/>
        <v>26/06/2025</v>
      </c>
      <c r="B3471" t="str">
        <f t="shared" si="1673"/>
        <v>ENTRADA</v>
      </c>
      <c r="C3471" t="str">
        <f t="shared" si="1667"/>
        <v>NFSE</v>
      </c>
      <c r="D3471" t="str">
        <f>"3154"</f>
        <v>3154</v>
      </c>
      <c r="E3471" t="str">
        <f t="shared" si="1666"/>
        <v>COM</v>
      </c>
      <c r="F3471" t="str">
        <f>"DROGA MONICA LJ 3 (10152)"</f>
        <v>DROGA MONICA LJ 3 (10152)</v>
      </c>
      <c r="G3471" t="str">
        <f>"Serv.Prest. 16/06/2025 a 22/06/2025 - RPS: 923 - NFSe: 3154"</f>
        <v>Serv.Prest. 16/06/2025 a 22/06/2025 - RPS: 923 - NFSe: 3154</v>
      </c>
      <c r="H3471" t="str">
        <f t="shared" si="1668"/>
        <v>25/06/2025</v>
      </c>
      <c r="I3471" t="str">
        <f t="shared" si="1675"/>
        <v>24/06/2025</v>
      </c>
      <c r="J3471" t="str">
        <f t="shared" si="1670"/>
        <v>26/06/2025</v>
      </c>
      <c r="M3471">
        <v>303</v>
      </c>
      <c r="N3471" t="str">
        <f t="shared" si="1671"/>
        <v>RECEITAS COM ENTREGAS</v>
      </c>
      <c r="P3471">
        <v>206.4</v>
      </c>
      <c r="Q3471" t="str">
        <f>"DROGA MONICA LJ 3 (10152)"</f>
        <v>DROGA MONICA LJ 3 (10152)</v>
      </c>
      <c r="R3471" t="str">
        <f t="shared" si="1672"/>
        <v>RECEITAS COM ENTREGAS (303)</v>
      </c>
      <c r="S3471">
        <v>1965</v>
      </c>
      <c r="T3471">
        <v>1438</v>
      </c>
      <c r="U3471" t="s">
        <v>19</v>
      </c>
    </row>
    <row r="3472" spans="1:21">
      <c r="A3472" t="str">
        <f t="shared" si="1658"/>
        <v>26/06/2025</v>
      </c>
      <c r="B3472" t="str">
        <f t="shared" si="1673"/>
        <v>ENTRADA</v>
      </c>
      <c r="C3472" t="str">
        <f t="shared" si="1667"/>
        <v>NFSE</v>
      </c>
      <c r="D3472" t="str">
        <f>"3157"</f>
        <v>3157</v>
      </c>
      <c r="E3472" t="str">
        <f t="shared" si="1666"/>
        <v>COM</v>
      </c>
      <c r="F3472" t="str">
        <f>"JAL FARMACIA E DROGARIA LJ 1 (10137)"</f>
        <v>JAL FARMACIA E DROGARIA LJ 1 (10137)</v>
      </c>
      <c r="G3472" t="str">
        <f>"Serv.Prest. 16/06/2025 a 22/06/2025 - RPS: 926 - NFSe: 3157"</f>
        <v>Serv.Prest. 16/06/2025 a 22/06/2025 - RPS: 926 - NFSe: 3157</v>
      </c>
      <c r="H3472" t="str">
        <f t="shared" si="1668"/>
        <v>25/06/2025</v>
      </c>
      <c r="I3472" t="str">
        <f t="shared" si="1675"/>
        <v>24/06/2025</v>
      </c>
      <c r="J3472" t="str">
        <f t="shared" si="1670"/>
        <v>26/06/2025</v>
      </c>
      <c r="K3472">
        <v>454.4</v>
      </c>
      <c r="L3472">
        <v>454.4</v>
      </c>
      <c r="M3472">
        <v>303</v>
      </c>
      <c r="N3472" t="str">
        <f t="shared" si="1671"/>
        <v>RECEITAS COM ENTREGAS</v>
      </c>
      <c r="O3472">
        <v>454.4</v>
      </c>
      <c r="R3472" t="str">
        <f t="shared" si="1672"/>
        <v>RECEITAS COM ENTREGAS (303)</v>
      </c>
      <c r="S3472">
        <v>1966</v>
      </c>
      <c r="T3472">
        <v>1441</v>
      </c>
      <c r="U3472" t="s">
        <v>19</v>
      </c>
    </row>
    <row r="3473" spans="1:21">
      <c r="A3473" t="str">
        <f t="shared" si="1658"/>
        <v>26/06/2025</v>
      </c>
      <c r="B3473" t="str">
        <f t="shared" si="1673"/>
        <v>ENTRADA</v>
      </c>
      <c r="C3473" t="str">
        <f t="shared" si="1667"/>
        <v>NFSE</v>
      </c>
      <c r="D3473" t="str">
        <f>"3157"</f>
        <v>3157</v>
      </c>
      <c r="E3473" t="str">
        <f t="shared" si="1666"/>
        <v>COM</v>
      </c>
      <c r="F3473" t="str">
        <f>"JAL FARMACIA E DROGARIA LJ 1 (10137)"</f>
        <v>JAL FARMACIA E DROGARIA LJ 1 (10137)</v>
      </c>
      <c r="G3473" t="str">
        <f>"Serv.Prest. 16/06/2025 a 22/06/2025 - RPS: 926 - NFSe: 3157"</f>
        <v>Serv.Prest. 16/06/2025 a 22/06/2025 - RPS: 926 - NFSe: 3157</v>
      </c>
      <c r="H3473" t="str">
        <f t="shared" si="1668"/>
        <v>25/06/2025</v>
      </c>
      <c r="I3473" t="str">
        <f t="shared" si="1675"/>
        <v>24/06/2025</v>
      </c>
      <c r="J3473" t="str">
        <f t="shared" si="1670"/>
        <v>26/06/2025</v>
      </c>
      <c r="M3473">
        <v>303</v>
      </c>
      <c r="N3473" t="str">
        <f t="shared" si="1671"/>
        <v>RECEITAS COM ENTREGAS</v>
      </c>
      <c r="P3473">
        <v>454.4</v>
      </c>
      <c r="Q3473" t="str">
        <f>"JAL FARMACIA E DROGARIA LJ 1 (10137)"</f>
        <v>JAL FARMACIA E DROGARIA LJ 1 (10137)</v>
      </c>
      <c r="R3473" t="str">
        <f t="shared" si="1672"/>
        <v>RECEITAS COM ENTREGAS (303)</v>
      </c>
      <c r="S3473">
        <v>1966</v>
      </c>
      <c r="T3473">
        <v>1441</v>
      </c>
      <c r="U3473" t="s">
        <v>19</v>
      </c>
    </row>
    <row r="3474" spans="1:21">
      <c r="A3474" t="str">
        <f t="shared" si="1658"/>
        <v>26/06/2025</v>
      </c>
      <c r="B3474" t="str">
        <f t="shared" si="1673"/>
        <v>ENTRADA</v>
      </c>
      <c r="C3474" t="str">
        <f t="shared" si="1667"/>
        <v>NFSE</v>
      </c>
      <c r="D3474" t="str">
        <f>"3148"</f>
        <v>3148</v>
      </c>
      <c r="E3474" t="str">
        <f t="shared" si="1666"/>
        <v>COM</v>
      </c>
      <c r="F3474" t="str">
        <f>"DROGARIA POUPA MINAS (ULTRAMINAS) 3 (10129)"</f>
        <v>DROGARIA POUPA MINAS (ULTRAMINAS) 3 (10129)</v>
      </c>
      <c r="G3474" t="str">
        <f>"Serv.Prest. 16/06/2025 a 22/06/2025 - RPS: 917 - NFSe: 3148"</f>
        <v>Serv.Prest. 16/06/2025 a 22/06/2025 - RPS: 917 - NFSe: 3148</v>
      </c>
      <c r="H3474" t="str">
        <f t="shared" ref="H3474:H3483" si="1676">("26/06/2025")</f>
        <v>26/06/2025</v>
      </c>
      <c r="I3474" t="str">
        <f t="shared" si="1675"/>
        <v>24/06/2025</v>
      </c>
      <c r="J3474" t="str">
        <f t="shared" si="1670"/>
        <v>26/06/2025</v>
      </c>
      <c r="K3474">
        <v>274.56</v>
      </c>
      <c r="L3474">
        <v>274.56</v>
      </c>
      <c r="M3474">
        <v>303</v>
      </c>
      <c r="N3474" t="str">
        <f t="shared" si="1671"/>
        <v>RECEITAS COM ENTREGAS</v>
      </c>
      <c r="O3474">
        <v>274.56</v>
      </c>
      <c r="R3474" t="str">
        <f t="shared" si="1672"/>
        <v>RECEITAS COM ENTREGAS (303)</v>
      </c>
      <c r="S3474">
        <v>1967</v>
      </c>
      <c r="T3474">
        <v>1432</v>
      </c>
      <c r="U3474" t="s">
        <v>19</v>
      </c>
    </row>
    <row r="3475" spans="1:21">
      <c r="A3475" t="str">
        <f t="shared" si="1658"/>
        <v>26/06/2025</v>
      </c>
      <c r="B3475" t="str">
        <f t="shared" si="1673"/>
        <v>ENTRADA</v>
      </c>
      <c r="C3475" t="str">
        <f t="shared" si="1667"/>
        <v>NFSE</v>
      </c>
      <c r="D3475" t="str">
        <f>"3148"</f>
        <v>3148</v>
      </c>
      <c r="E3475" t="str">
        <f t="shared" si="1666"/>
        <v>COM</v>
      </c>
      <c r="F3475" t="str">
        <f>"DROGARIA POUPA MINAS (ULTRAMINAS) 3 (10129)"</f>
        <v>DROGARIA POUPA MINAS (ULTRAMINAS) 3 (10129)</v>
      </c>
      <c r="G3475" t="str">
        <f>"Serv.Prest. 16/06/2025 a 22/06/2025 - RPS: 917 - NFSe: 3148"</f>
        <v>Serv.Prest. 16/06/2025 a 22/06/2025 - RPS: 917 - NFSe: 3148</v>
      </c>
      <c r="H3475" t="str">
        <f t="shared" si="1676"/>
        <v>26/06/2025</v>
      </c>
      <c r="I3475" t="str">
        <f t="shared" si="1675"/>
        <v>24/06/2025</v>
      </c>
      <c r="J3475" t="str">
        <f t="shared" si="1670"/>
        <v>26/06/2025</v>
      </c>
      <c r="M3475">
        <v>303</v>
      </c>
      <c r="N3475" t="str">
        <f t="shared" si="1671"/>
        <v>RECEITAS COM ENTREGAS</v>
      </c>
      <c r="P3475">
        <v>274.56</v>
      </c>
      <c r="Q3475" t="str">
        <f>"DROGARIA POUPA MINAS (ULTRAMINAS) 3 (10129)"</f>
        <v>DROGARIA POUPA MINAS (ULTRAMINAS) 3 (10129)</v>
      </c>
      <c r="R3475" t="str">
        <f t="shared" si="1672"/>
        <v>RECEITAS COM ENTREGAS (303)</v>
      </c>
      <c r="S3475">
        <v>1967</v>
      </c>
      <c r="T3475">
        <v>1432</v>
      </c>
      <c r="U3475" t="s">
        <v>19</v>
      </c>
    </row>
    <row r="3476" spans="1:21">
      <c r="A3476" t="str">
        <f t="shared" si="1658"/>
        <v>26/06/2025</v>
      </c>
      <c r="B3476" t="str">
        <f t="shared" si="1673"/>
        <v>ENTRADA</v>
      </c>
      <c r="C3476" t="str">
        <f t="shared" si="1667"/>
        <v>NFSE</v>
      </c>
      <c r="D3476" t="str">
        <f>"3150"</f>
        <v>3150</v>
      </c>
      <c r="E3476" t="str">
        <f t="shared" si="1666"/>
        <v>COM</v>
      </c>
      <c r="F3476" t="str">
        <f>"DROGARIA POUPA MINAS (DOIS AMIGOS) 5 (10140)"</f>
        <v>DROGARIA POUPA MINAS (DOIS AMIGOS) 5 (10140)</v>
      </c>
      <c r="G3476" t="str">
        <f>"Serv.Prest. 16/06/2025 a 22/06/2025 - RPS: 919 - NFSe: 3150"</f>
        <v>Serv.Prest. 16/06/2025 a 22/06/2025 - RPS: 919 - NFSe: 3150</v>
      </c>
      <c r="H3476" t="str">
        <f t="shared" si="1676"/>
        <v>26/06/2025</v>
      </c>
      <c r="I3476" t="str">
        <f t="shared" si="1675"/>
        <v>24/06/2025</v>
      </c>
      <c r="J3476" t="str">
        <f t="shared" si="1670"/>
        <v>26/06/2025</v>
      </c>
      <c r="K3476">
        <v>653.30999999999995</v>
      </c>
      <c r="L3476">
        <v>653.30999999999995</v>
      </c>
      <c r="M3476">
        <v>303</v>
      </c>
      <c r="N3476" t="str">
        <f t="shared" si="1671"/>
        <v>RECEITAS COM ENTREGAS</v>
      </c>
      <c r="O3476">
        <v>653.30999999999995</v>
      </c>
      <c r="R3476" t="str">
        <f t="shared" si="1672"/>
        <v>RECEITAS COM ENTREGAS (303)</v>
      </c>
      <c r="S3476">
        <v>1968</v>
      </c>
      <c r="T3476">
        <v>1434</v>
      </c>
      <c r="U3476" t="s">
        <v>19</v>
      </c>
    </row>
    <row r="3477" spans="1:21">
      <c r="A3477" t="str">
        <f t="shared" si="1658"/>
        <v>26/06/2025</v>
      </c>
      <c r="B3477" t="str">
        <f t="shared" si="1673"/>
        <v>ENTRADA</v>
      </c>
      <c r="C3477" t="str">
        <f t="shared" si="1667"/>
        <v>NFSE</v>
      </c>
      <c r="D3477" t="str">
        <f>"3150"</f>
        <v>3150</v>
      </c>
      <c r="E3477" t="str">
        <f t="shared" si="1666"/>
        <v>COM</v>
      </c>
      <c r="F3477" t="str">
        <f>"DROGARIA POUPA MINAS (DOIS AMIGOS) 5 (10140)"</f>
        <v>DROGARIA POUPA MINAS (DOIS AMIGOS) 5 (10140)</v>
      </c>
      <c r="G3477" t="str">
        <f>"Serv.Prest. 16/06/2025 a 22/06/2025 - RPS: 919 - NFSe: 3150"</f>
        <v>Serv.Prest. 16/06/2025 a 22/06/2025 - RPS: 919 - NFSe: 3150</v>
      </c>
      <c r="H3477" t="str">
        <f t="shared" si="1676"/>
        <v>26/06/2025</v>
      </c>
      <c r="I3477" t="str">
        <f t="shared" si="1675"/>
        <v>24/06/2025</v>
      </c>
      <c r="J3477" t="str">
        <f t="shared" si="1670"/>
        <v>26/06/2025</v>
      </c>
      <c r="M3477">
        <v>303</v>
      </c>
      <c r="N3477" t="str">
        <f t="shared" si="1671"/>
        <v>RECEITAS COM ENTREGAS</v>
      </c>
      <c r="P3477">
        <v>653.30999999999995</v>
      </c>
      <c r="Q3477" t="str">
        <f>"DROGARIA POUPA MINAS (ULTRAMINAS) 1 (10181)"</f>
        <v>DROGARIA POUPA MINAS (ULTRAMINAS) 1 (10181)</v>
      </c>
      <c r="R3477" t="str">
        <f t="shared" si="1672"/>
        <v>RECEITAS COM ENTREGAS (303)</v>
      </c>
      <c r="S3477">
        <v>1968</v>
      </c>
      <c r="T3477">
        <v>1434</v>
      </c>
      <c r="U3477" t="s">
        <v>19</v>
      </c>
    </row>
    <row r="3478" spans="1:21">
      <c r="A3478" t="str">
        <f t="shared" si="1658"/>
        <v>26/06/2025</v>
      </c>
      <c r="B3478" t="str">
        <f t="shared" si="1673"/>
        <v>ENTRADA</v>
      </c>
      <c r="C3478" t="str">
        <f t="shared" si="1667"/>
        <v>NFSE</v>
      </c>
      <c r="D3478" t="str">
        <f>"3155"</f>
        <v>3155</v>
      </c>
      <c r="E3478" t="str">
        <f t="shared" si="1666"/>
        <v>COM</v>
      </c>
      <c r="F3478" t="str">
        <f>"ITANHANDU (10174)"</f>
        <v>ITANHANDU (10174)</v>
      </c>
      <c r="G3478" t="str">
        <f>"Serv.Prest. 16/06/2025 a 22/06/2025 - RPS: 924 - NFSe: 3155"</f>
        <v>Serv.Prest. 16/06/2025 a 22/06/2025 - RPS: 924 - NFSe: 3155</v>
      </c>
      <c r="H3478" t="str">
        <f t="shared" si="1676"/>
        <v>26/06/2025</v>
      </c>
      <c r="I3478" t="str">
        <f t="shared" si="1675"/>
        <v>24/06/2025</v>
      </c>
      <c r="J3478" t="str">
        <f t="shared" si="1670"/>
        <v>26/06/2025</v>
      </c>
      <c r="K3478">
        <v>87.87</v>
      </c>
      <c r="L3478">
        <v>87.87</v>
      </c>
      <c r="M3478">
        <v>303</v>
      </c>
      <c r="N3478" t="str">
        <f t="shared" si="1671"/>
        <v>RECEITAS COM ENTREGAS</v>
      </c>
      <c r="O3478">
        <v>87.87</v>
      </c>
      <c r="R3478" t="str">
        <f t="shared" si="1672"/>
        <v>RECEITAS COM ENTREGAS (303)</v>
      </c>
      <c r="S3478">
        <v>1969</v>
      </c>
      <c r="T3478">
        <v>1439</v>
      </c>
      <c r="U3478" t="s">
        <v>19</v>
      </c>
    </row>
    <row r="3479" spans="1:21">
      <c r="A3479" t="str">
        <f t="shared" si="1658"/>
        <v>26/06/2025</v>
      </c>
      <c r="B3479" t="str">
        <f t="shared" si="1673"/>
        <v>ENTRADA</v>
      </c>
      <c r="C3479" t="str">
        <f t="shared" si="1667"/>
        <v>NFSE</v>
      </c>
      <c r="D3479" t="str">
        <f>"3155"</f>
        <v>3155</v>
      </c>
      <c r="E3479" t="str">
        <f t="shared" si="1666"/>
        <v>COM</v>
      </c>
      <c r="F3479" t="str">
        <f>"ITANHANDU (10174)"</f>
        <v>ITANHANDU (10174)</v>
      </c>
      <c r="G3479" t="str">
        <f>"Serv.Prest. 16/06/2025 a 22/06/2025 - RPS: 924 - NFSe: 3155"</f>
        <v>Serv.Prest. 16/06/2025 a 22/06/2025 - RPS: 924 - NFSe: 3155</v>
      </c>
      <c r="H3479" t="str">
        <f t="shared" si="1676"/>
        <v>26/06/2025</v>
      </c>
      <c r="I3479" t="str">
        <f t="shared" si="1675"/>
        <v>24/06/2025</v>
      </c>
      <c r="J3479" t="str">
        <f t="shared" si="1670"/>
        <v>26/06/2025</v>
      </c>
      <c r="M3479">
        <v>303</v>
      </c>
      <c r="N3479" t="str">
        <f t="shared" si="1671"/>
        <v>RECEITAS COM ENTREGAS</v>
      </c>
      <c r="P3479">
        <v>87.87</v>
      </c>
      <c r="Q3479" t="str">
        <f>"ITANHANDU (10174)"</f>
        <v>ITANHANDU (10174)</v>
      </c>
      <c r="R3479" t="str">
        <f t="shared" si="1672"/>
        <v>RECEITAS COM ENTREGAS (303)</v>
      </c>
      <c r="S3479">
        <v>1969</v>
      </c>
      <c r="T3479">
        <v>1439</v>
      </c>
      <c r="U3479" t="s">
        <v>19</v>
      </c>
    </row>
    <row r="3480" spans="1:21">
      <c r="A3480" t="str">
        <f t="shared" ref="A3480:A3487" si="1677">("27/06/2025")</f>
        <v>27/06/2025</v>
      </c>
      <c r="B3480" t="str">
        <f t="shared" si="1673"/>
        <v>ENTRADA</v>
      </c>
      <c r="C3480" t="str">
        <f t="shared" si="1667"/>
        <v>NFSE</v>
      </c>
      <c r="D3480" t="str">
        <f>"3124"</f>
        <v>3124</v>
      </c>
      <c r="E3480" t="str">
        <f t="shared" si="1666"/>
        <v>COM</v>
      </c>
      <c r="F3480" t="str">
        <f>"PAGMENOS - LJ 608 (10135)"</f>
        <v>PAGMENOS - LJ 608 (10135)</v>
      </c>
      <c r="G3480" t="str">
        <f>"Serv.Prest. 09/06/2025 a 15/06/2025 - RPS: 893 - NFSe: 3124"</f>
        <v>Serv.Prest. 09/06/2025 a 15/06/2025 - RPS: 893 - NFSe: 3124</v>
      </c>
      <c r="H3480" t="str">
        <f t="shared" si="1676"/>
        <v>26/06/2025</v>
      </c>
      <c r="I3480" t="str">
        <f>("17/06/2025")</f>
        <v>17/06/2025</v>
      </c>
      <c r="J3480" t="str">
        <f t="shared" ref="J3480:J3487" si="1678">("27/06/2025")</f>
        <v>27/06/2025</v>
      </c>
      <c r="K3480">
        <v>280.20999999999998</v>
      </c>
      <c r="L3480">
        <v>280.20999999999998</v>
      </c>
      <c r="M3480">
        <v>303</v>
      </c>
      <c r="N3480" t="str">
        <f t="shared" si="1671"/>
        <v>RECEITAS COM ENTREGAS</v>
      </c>
      <c r="O3480">
        <v>280.20999999999998</v>
      </c>
      <c r="R3480" t="str">
        <f t="shared" si="1672"/>
        <v>RECEITAS COM ENTREGAS (303)</v>
      </c>
      <c r="S3480">
        <v>1976</v>
      </c>
      <c r="T3480">
        <v>1408</v>
      </c>
      <c r="U3480" t="s">
        <v>19</v>
      </c>
    </row>
    <row r="3481" spans="1:21">
      <c r="A3481" t="str">
        <f t="shared" si="1677"/>
        <v>27/06/2025</v>
      </c>
      <c r="B3481" t="str">
        <f t="shared" si="1673"/>
        <v>ENTRADA</v>
      </c>
      <c r="C3481" t="str">
        <f t="shared" si="1667"/>
        <v>NFSE</v>
      </c>
      <c r="D3481" t="str">
        <f>"3124"</f>
        <v>3124</v>
      </c>
      <c r="E3481" t="str">
        <f t="shared" si="1666"/>
        <v>COM</v>
      </c>
      <c r="F3481" t="str">
        <f>"PAGMENOS - LJ 608 (10135)"</f>
        <v>PAGMENOS - LJ 608 (10135)</v>
      </c>
      <c r="G3481" t="str">
        <f>"Serv.Prest. 09/06/2025 a 15/06/2025 - RPS: 893 - NFSe: 3124"</f>
        <v>Serv.Prest. 09/06/2025 a 15/06/2025 - RPS: 893 - NFSe: 3124</v>
      </c>
      <c r="H3481" t="str">
        <f t="shared" si="1676"/>
        <v>26/06/2025</v>
      </c>
      <c r="I3481" t="str">
        <f>("17/06/2025")</f>
        <v>17/06/2025</v>
      </c>
      <c r="J3481" t="str">
        <f t="shared" si="1678"/>
        <v>27/06/2025</v>
      </c>
      <c r="M3481">
        <v>303</v>
      </c>
      <c r="N3481" t="str">
        <f t="shared" si="1671"/>
        <v>RECEITAS COM ENTREGAS</v>
      </c>
      <c r="P3481">
        <v>280.20999999999998</v>
      </c>
      <c r="Q3481" t="str">
        <f>"PAGMENOS - LJ 608 (10135)"</f>
        <v>PAGMENOS - LJ 608 (10135)</v>
      </c>
      <c r="R3481" t="str">
        <f t="shared" si="1672"/>
        <v>RECEITAS COM ENTREGAS (303)</v>
      </c>
      <c r="S3481">
        <v>1976</v>
      </c>
      <c r="T3481">
        <v>1408</v>
      </c>
      <c r="U3481" t="s">
        <v>19</v>
      </c>
    </row>
    <row r="3482" spans="1:21">
      <c r="A3482" t="str">
        <f t="shared" si="1677"/>
        <v>27/06/2025</v>
      </c>
      <c r="B3482" t="str">
        <f t="shared" si="1673"/>
        <v>ENTRADA</v>
      </c>
      <c r="C3482" t="str">
        <f t="shared" si="1667"/>
        <v>NFSE</v>
      </c>
      <c r="D3482" t="str">
        <f>"3125"</f>
        <v>3125</v>
      </c>
      <c r="E3482" t="str">
        <f t="shared" si="1666"/>
        <v>COM</v>
      </c>
      <c r="F3482" t="str">
        <f>"PAGMENOS - LJ 657 (10136)"</f>
        <v>PAGMENOS - LJ 657 (10136)</v>
      </c>
      <c r="G3482" t="str">
        <f>"Serv.Prest. 09/06/2025 a 15/06/2025 - RPS: 894 - NFSe: 3125"</f>
        <v>Serv.Prest. 09/06/2025 a 15/06/2025 - RPS: 894 - NFSe: 3125</v>
      </c>
      <c r="H3482" t="str">
        <f t="shared" si="1676"/>
        <v>26/06/2025</v>
      </c>
      <c r="I3482" t="str">
        <f>("17/06/2025")</f>
        <v>17/06/2025</v>
      </c>
      <c r="J3482" t="str">
        <f t="shared" si="1678"/>
        <v>27/06/2025</v>
      </c>
      <c r="K3482">
        <v>596.6</v>
      </c>
      <c r="L3482">
        <v>596.6</v>
      </c>
      <c r="M3482">
        <v>303</v>
      </c>
      <c r="N3482" t="str">
        <f t="shared" si="1671"/>
        <v>RECEITAS COM ENTREGAS</v>
      </c>
      <c r="O3482">
        <v>596.6</v>
      </c>
      <c r="R3482" t="str">
        <f t="shared" si="1672"/>
        <v>RECEITAS COM ENTREGAS (303)</v>
      </c>
      <c r="S3482">
        <v>1977</v>
      </c>
      <c r="T3482">
        <v>1409</v>
      </c>
      <c r="U3482" t="s">
        <v>19</v>
      </c>
    </row>
    <row r="3483" spans="1:21">
      <c r="A3483" t="str">
        <f t="shared" si="1677"/>
        <v>27/06/2025</v>
      </c>
      <c r="B3483" t="str">
        <f t="shared" si="1673"/>
        <v>ENTRADA</v>
      </c>
      <c r="C3483" t="str">
        <f t="shared" si="1667"/>
        <v>NFSE</v>
      </c>
      <c r="D3483" t="str">
        <f>"3125"</f>
        <v>3125</v>
      </c>
      <c r="E3483" t="str">
        <f t="shared" si="1666"/>
        <v>COM</v>
      </c>
      <c r="F3483" t="str">
        <f>"PAGMENOS - LJ 657 (10136)"</f>
        <v>PAGMENOS - LJ 657 (10136)</v>
      </c>
      <c r="G3483" t="str">
        <f>"Serv.Prest. 09/06/2025 a 15/06/2025 - RPS: 894 - NFSe: 3125"</f>
        <v>Serv.Prest. 09/06/2025 a 15/06/2025 - RPS: 894 - NFSe: 3125</v>
      </c>
      <c r="H3483" t="str">
        <f t="shared" si="1676"/>
        <v>26/06/2025</v>
      </c>
      <c r="I3483" t="str">
        <f>("17/06/2025")</f>
        <v>17/06/2025</v>
      </c>
      <c r="J3483" t="str">
        <f t="shared" si="1678"/>
        <v>27/06/2025</v>
      </c>
      <c r="M3483">
        <v>303</v>
      </c>
      <c r="N3483" t="str">
        <f t="shared" si="1671"/>
        <v>RECEITAS COM ENTREGAS</v>
      </c>
      <c r="P3483">
        <v>596.6</v>
      </c>
      <c r="Q3483" t="str">
        <f>"PAGMENOS - LJ 657 (10136)"</f>
        <v>PAGMENOS - LJ 657 (10136)</v>
      </c>
      <c r="R3483" t="str">
        <f t="shared" si="1672"/>
        <v>RECEITAS COM ENTREGAS (303)</v>
      </c>
      <c r="S3483">
        <v>1977</v>
      </c>
      <c r="T3483">
        <v>1409</v>
      </c>
      <c r="U3483" t="s">
        <v>19</v>
      </c>
    </row>
    <row r="3484" spans="1:21">
      <c r="A3484" t="str">
        <f t="shared" si="1677"/>
        <v>27/06/2025</v>
      </c>
      <c r="B3484" t="str">
        <f t="shared" ref="B3484:B3491" si="1679">"SAÍDA"</f>
        <v>SAÍDA</v>
      </c>
      <c r="C3484" t="str">
        <f>"CONHECIMENTO"</f>
        <v>CONHECIMENTO</v>
      </c>
      <c r="D3484" t="str">
        <f>"270625170"</f>
        <v>270625170</v>
      </c>
      <c r="E3484" t="str">
        <f t="shared" si="1666"/>
        <v>COM</v>
      </c>
      <c r="F3484" t="str">
        <f>"CORA SOCIEDADE DE CREDITO, FINANCIAMENTO E INVESTIMENTO (20035)"</f>
        <v>CORA SOCIEDADE DE CREDITO, FINANCIAMENTO E INVESTIMENTO (20035)</v>
      </c>
      <c r="G3484" t="str">
        <f>"TAXA BOLETO COMPENSADO"</f>
        <v>TAXA BOLETO COMPENSADO</v>
      </c>
      <c r="H3484" t="str">
        <f t="shared" ref="H3484:I3487" si="1680">("27/06/2025")</f>
        <v>27/06/2025</v>
      </c>
      <c r="I3484" t="str">
        <f t="shared" si="1680"/>
        <v>27/06/2025</v>
      </c>
      <c r="J3484" t="str">
        <f t="shared" si="1678"/>
        <v>27/06/2025</v>
      </c>
      <c r="K3484">
        <v>1.7</v>
      </c>
      <c r="L3484">
        <v>1.7</v>
      </c>
      <c r="M3484">
        <v>401</v>
      </c>
      <c r="N3484" t="str">
        <f>"IOF/JUROS/DESP.FINANCEIRA"</f>
        <v>IOF/JUROS/DESP.FINANCEIRA</v>
      </c>
      <c r="O3484">
        <v>1.7</v>
      </c>
      <c r="R3484" t="str">
        <f t="shared" ref="R3484:R3491" si="1681">"BANCO CORA (102)"</f>
        <v>BANCO CORA (102)</v>
      </c>
      <c r="S3484">
        <v>1979</v>
      </c>
      <c r="T3484">
        <v>1554</v>
      </c>
      <c r="U3484" t="s">
        <v>19</v>
      </c>
    </row>
    <row r="3485" spans="1:21">
      <c r="A3485" t="str">
        <f t="shared" si="1677"/>
        <v>27/06/2025</v>
      </c>
      <c r="B3485" t="str">
        <f t="shared" si="1679"/>
        <v>SAÍDA</v>
      </c>
      <c r="C3485" t="str">
        <f>"CONHECIMENTO"</f>
        <v>CONHECIMENTO</v>
      </c>
      <c r="D3485" t="str">
        <f>"270625170"</f>
        <v>270625170</v>
      </c>
      <c r="E3485" t="str">
        <f t="shared" si="1666"/>
        <v>COM</v>
      </c>
      <c r="F3485" t="str">
        <f>"CORA SOCIEDADE DE CREDITO, FINANCIAMENTO E INVESTIMENTO (20035)"</f>
        <v>CORA SOCIEDADE DE CREDITO, FINANCIAMENTO E INVESTIMENTO (20035)</v>
      </c>
      <c r="G3485" t="str">
        <f>"TAXA BOLETO COMPENSADO"</f>
        <v>TAXA BOLETO COMPENSADO</v>
      </c>
      <c r="H3485" t="str">
        <f t="shared" si="1680"/>
        <v>27/06/2025</v>
      </c>
      <c r="I3485" t="str">
        <f t="shared" si="1680"/>
        <v>27/06/2025</v>
      </c>
      <c r="J3485" t="str">
        <f t="shared" si="1678"/>
        <v>27/06/2025</v>
      </c>
      <c r="M3485">
        <v>401</v>
      </c>
      <c r="N3485" t="str">
        <f>"IOF/JUROS/DESP.FINANCEIRA"</f>
        <v>IOF/JUROS/DESP.FINANCEIRA</v>
      </c>
      <c r="P3485">
        <v>1.7</v>
      </c>
      <c r="Q3485" t="str">
        <f>"CORA SOCIEDADE DE CREDITO, FINANCIAMENTO E INVESTIMENTO (20035)"</f>
        <v>CORA SOCIEDADE DE CREDITO, FINANCIAMENTO E INVESTIMENTO (20035)</v>
      </c>
      <c r="R3485" t="str">
        <f t="shared" si="1681"/>
        <v>BANCO CORA (102)</v>
      </c>
      <c r="S3485">
        <v>1979</v>
      </c>
      <c r="T3485">
        <v>1554</v>
      </c>
      <c r="U3485" t="s">
        <v>19</v>
      </c>
    </row>
    <row r="3486" spans="1:21">
      <c r="A3486" t="str">
        <f t="shared" si="1677"/>
        <v>27/06/2025</v>
      </c>
      <c r="B3486" t="str">
        <f t="shared" si="1679"/>
        <v>SAÍDA</v>
      </c>
      <c r="C3486" t="str">
        <f>"CONHECIMENTO"</f>
        <v>CONHECIMENTO</v>
      </c>
      <c r="D3486" t="str">
        <f>"270625170"</f>
        <v>270625170</v>
      </c>
      <c r="E3486" t="str">
        <f t="shared" si="1666"/>
        <v>COM</v>
      </c>
      <c r="F3486" t="str">
        <f>"CORA SOCIEDADE DE CREDITO, FINANCIAMENTO E INVESTIMENTO (20035)"</f>
        <v>CORA SOCIEDADE DE CREDITO, FINANCIAMENTO E INVESTIMENTO (20035)</v>
      </c>
      <c r="G3486" t="str">
        <f>"TAXA BOLETO COMPENSADO"</f>
        <v>TAXA BOLETO COMPENSADO</v>
      </c>
      <c r="H3486" t="str">
        <f t="shared" si="1680"/>
        <v>27/06/2025</v>
      </c>
      <c r="I3486" t="str">
        <f t="shared" si="1680"/>
        <v>27/06/2025</v>
      </c>
      <c r="J3486" t="str">
        <f t="shared" si="1678"/>
        <v>27/06/2025</v>
      </c>
      <c r="K3486">
        <v>1.7</v>
      </c>
      <c r="L3486">
        <v>1.7</v>
      </c>
      <c r="M3486">
        <v>401</v>
      </c>
      <c r="N3486" t="str">
        <f>"IOF/JUROS/DESP.FINANCEIRA"</f>
        <v>IOF/JUROS/DESP.FINANCEIRA</v>
      </c>
      <c r="O3486">
        <v>1.7</v>
      </c>
      <c r="R3486" t="str">
        <f t="shared" si="1681"/>
        <v>BANCO CORA (102)</v>
      </c>
      <c r="S3486">
        <v>1980</v>
      </c>
      <c r="T3486">
        <v>1555</v>
      </c>
      <c r="U3486" t="s">
        <v>19</v>
      </c>
    </row>
    <row r="3487" spans="1:21">
      <c r="A3487" t="str">
        <f t="shared" si="1677"/>
        <v>27/06/2025</v>
      </c>
      <c r="B3487" t="str">
        <f t="shared" si="1679"/>
        <v>SAÍDA</v>
      </c>
      <c r="C3487" t="str">
        <f>"CONHECIMENTO"</f>
        <v>CONHECIMENTO</v>
      </c>
      <c r="D3487" t="str">
        <f>"270625170"</f>
        <v>270625170</v>
      </c>
      <c r="E3487" t="str">
        <f t="shared" si="1666"/>
        <v>COM</v>
      </c>
      <c r="F3487" t="str">
        <f>"CORA SOCIEDADE DE CREDITO, FINANCIAMENTO E INVESTIMENTO (20035)"</f>
        <v>CORA SOCIEDADE DE CREDITO, FINANCIAMENTO E INVESTIMENTO (20035)</v>
      </c>
      <c r="G3487" t="str">
        <f>"TAXA BOLETO COMPENSADO"</f>
        <v>TAXA BOLETO COMPENSADO</v>
      </c>
      <c r="H3487" t="str">
        <f t="shared" si="1680"/>
        <v>27/06/2025</v>
      </c>
      <c r="I3487" t="str">
        <f t="shared" si="1680"/>
        <v>27/06/2025</v>
      </c>
      <c r="J3487" t="str">
        <f t="shared" si="1678"/>
        <v>27/06/2025</v>
      </c>
      <c r="M3487">
        <v>401</v>
      </c>
      <c r="N3487" t="str">
        <f>"IOF/JUROS/DESP.FINANCEIRA"</f>
        <v>IOF/JUROS/DESP.FINANCEIRA</v>
      </c>
      <c r="P3487">
        <v>1.7</v>
      </c>
      <c r="Q3487" t="str">
        <f>"CORA SOCIEDADE DE CREDITO, FINANCIAMENTO E INVESTIMENTO (20035)"</f>
        <v>CORA SOCIEDADE DE CREDITO, FINANCIAMENTO E INVESTIMENTO (20035)</v>
      </c>
      <c r="R3487" t="str">
        <f t="shared" si="1681"/>
        <v>BANCO CORA (102)</v>
      </c>
      <c r="S3487">
        <v>1980</v>
      </c>
      <c r="T3487">
        <v>1555</v>
      </c>
      <c r="U3487" t="s">
        <v>19</v>
      </c>
    </row>
    <row r="3488" spans="1:21">
      <c r="A3488" t="str">
        <f>("01/07/2025")</f>
        <v>01/07/2025</v>
      </c>
      <c r="B3488" t="str">
        <f t="shared" si="1679"/>
        <v>SAÍDA</v>
      </c>
      <c r="C3488" t="str">
        <f>"PIX"</f>
        <v>PIX</v>
      </c>
      <c r="D3488" t="str">
        <f>"0107251000"</f>
        <v>0107251000</v>
      </c>
      <c r="E3488" t="str">
        <f t="shared" si="1666"/>
        <v>COM</v>
      </c>
      <c r="F3488" t="str">
        <f>"CONTA SIMPLES SOLUCOES DE PAGAMENTOS LTDA (20019)"</f>
        <v>CONTA SIMPLES SOLUCOES DE PAGAMENTOS LTDA (20019)</v>
      </c>
      <c r="G3488" t="str">
        <f>"MARKETING REDES SOCIAIS - PIX- CHAVE ALEATORIA: 1d5b84cc-db31-469d-b8ee-076ced54c3e9"</f>
        <v>MARKETING REDES SOCIAIS - PIX- CHAVE ALEATORIA: 1d5b84cc-db31-469d-b8ee-076ced54c3e9</v>
      </c>
      <c r="H3488" t="str">
        <f t="shared" ref="H3488:J3491" si="1682">("01/07/2025")</f>
        <v>01/07/2025</v>
      </c>
      <c r="I3488" t="str">
        <f t="shared" si="1682"/>
        <v>01/07/2025</v>
      </c>
      <c r="J3488" t="str">
        <f t="shared" si="1682"/>
        <v>01/07/2025</v>
      </c>
      <c r="K3488">
        <v>1000</v>
      </c>
      <c r="L3488">
        <v>1000</v>
      </c>
      <c r="M3488">
        <v>127</v>
      </c>
      <c r="N3488" t="str">
        <f>"PUBLICIDADE E PROPAGANDAS"</f>
        <v>PUBLICIDADE E PROPAGANDAS</v>
      </c>
      <c r="O3488">
        <v>1000</v>
      </c>
      <c r="R3488" t="str">
        <f t="shared" si="1681"/>
        <v>BANCO CORA (102)</v>
      </c>
      <c r="S3488">
        <v>2036</v>
      </c>
      <c r="T3488">
        <v>1586</v>
      </c>
      <c r="U3488" t="s">
        <v>19</v>
      </c>
    </row>
    <row r="3489" spans="1:21">
      <c r="A3489" t="str">
        <f>("01/07/2025")</f>
        <v>01/07/2025</v>
      </c>
      <c r="B3489" t="str">
        <f t="shared" si="1679"/>
        <v>SAÍDA</v>
      </c>
      <c r="C3489" t="str">
        <f>"PIX"</f>
        <v>PIX</v>
      </c>
      <c r="D3489" t="str">
        <f>"0107251000"</f>
        <v>0107251000</v>
      </c>
      <c r="E3489" t="str">
        <f t="shared" si="1666"/>
        <v>COM</v>
      </c>
      <c r="F3489" t="str">
        <f>"CONTA SIMPLES SOLUCOES DE PAGAMENTOS LTDA (20019)"</f>
        <v>CONTA SIMPLES SOLUCOES DE PAGAMENTOS LTDA (20019)</v>
      </c>
      <c r="G3489" t="str">
        <f>"MARKETING REDES SOCIAIS - PIX- CHAVE ALEATORIA: 1d5b84cc-db31-469d-b8ee-076ced54c3e9"</f>
        <v>MARKETING REDES SOCIAIS - PIX- CHAVE ALEATORIA: 1d5b84cc-db31-469d-b8ee-076ced54c3e9</v>
      </c>
      <c r="H3489" t="str">
        <f t="shared" si="1682"/>
        <v>01/07/2025</v>
      </c>
      <c r="I3489" t="str">
        <f t="shared" si="1682"/>
        <v>01/07/2025</v>
      </c>
      <c r="J3489" t="str">
        <f t="shared" si="1682"/>
        <v>01/07/2025</v>
      </c>
      <c r="M3489">
        <v>127</v>
      </c>
      <c r="N3489" t="str">
        <f>"PUBLICIDADE E PROPAGANDAS"</f>
        <v>PUBLICIDADE E PROPAGANDAS</v>
      </c>
      <c r="P3489">
        <v>1000</v>
      </c>
      <c r="Q3489" t="str">
        <f>"CONTA SIMPLES SOLUCOES DE PAGAMENTOS LTDA (20019)"</f>
        <v>CONTA SIMPLES SOLUCOES DE PAGAMENTOS LTDA (20019)</v>
      </c>
      <c r="R3489" t="str">
        <f t="shared" si="1681"/>
        <v>BANCO CORA (102)</v>
      </c>
      <c r="S3489">
        <v>2036</v>
      </c>
      <c r="T3489">
        <v>1586</v>
      </c>
      <c r="U3489" t="s">
        <v>19</v>
      </c>
    </row>
    <row r="3490" spans="1:21">
      <c r="A3490" t="str">
        <f>("01/07/2025")</f>
        <v>01/07/2025</v>
      </c>
      <c r="B3490" t="str">
        <f t="shared" si="1679"/>
        <v>SAÍDA</v>
      </c>
      <c r="C3490" t="str">
        <f>"PIX"</f>
        <v>PIX</v>
      </c>
      <c r="D3490" t="str">
        <f>"0107251250"</f>
        <v>0107251250</v>
      </c>
      <c r="E3490" t="str">
        <f t="shared" si="1666"/>
        <v>COM</v>
      </c>
      <c r="F3490" t="str">
        <f>"YURI RODRIGUES OLIVEIRA (20064)"</f>
        <v>YURI RODRIGUES OLIVEIRA (20064)</v>
      </c>
      <c r="G3490" t="str">
        <f>"COMISSAO VENDA SETUP"</f>
        <v>COMISSAO VENDA SETUP</v>
      </c>
      <c r="H3490" t="str">
        <f t="shared" si="1682"/>
        <v>01/07/2025</v>
      </c>
      <c r="I3490" t="str">
        <f t="shared" si="1682"/>
        <v>01/07/2025</v>
      </c>
      <c r="J3490" t="str">
        <f t="shared" si="1682"/>
        <v>01/07/2025</v>
      </c>
      <c r="K3490">
        <v>1250</v>
      </c>
      <c r="L3490">
        <v>1250</v>
      </c>
      <c r="M3490">
        <v>126</v>
      </c>
      <c r="N3490" t="str">
        <f>"COMISSÕES DE REPRESENTANTES"</f>
        <v>COMISSÕES DE REPRESENTANTES</v>
      </c>
      <c r="O3490">
        <v>1250</v>
      </c>
      <c r="R3490" t="str">
        <f t="shared" si="1681"/>
        <v>BANCO CORA (102)</v>
      </c>
      <c r="S3490">
        <v>2041</v>
      </c>
      <c r="T3490">
        <v>1590</v>
      </c>
      <c r="U3490" t="s">
        <v>19</v>
      </c>
    </row>
    <row r="3491" spans="1:21">
      <c r="A3491" t="str">
        <f>("01/07/2025")</f>
        <v>01/07/2025</v>
      </c>
      <c r="B3491" t="str">
        <f t="shared" si="1679"/>
        <v>SAÍDA</v>
      </c>
      <c r="C3491" t="str">
        <f>"PIX"</f>
        <v>PIX</v>
      </c>
      <c r="D3491" t="str">
        <f>"0107251250"</f>
        <v>0107251250</v>
      </c>
      <c r="E3491" t="str">
        <f t="shared" si="1666"/>
        <v>COM</v>
      </c>
      <c r="F3491" t="str">
        <f>"YURI RODRIGUES OLIVEIRA (20064)"</f>
        <v>YURI RODRIGUES OLIVEIRA (20064)</v>
      </c>
      <c r="G3491" t="str">
        <f>"COMISSAO VENDA SETUP"</f>
        <v>COMISSAO VENDA SETUP</v>
      </c>
      <c r="H3491" t="str">
        <f t="shared" si="1682"/>
        <v>01/07/2025</v>
      </c>
      <c r="I3491" t="str">
        <f t="shared" si="1682"/>
        <v>01/07/2025</v>
      </c>
      <c r="J3491" t="str">
        <f t="shared" si="1682"/>
        <v>01/07/2025</v>
      </c>
      <c r="M3491">
        <v>126</v>
      </c>
      <c r="N3491" t="str">
        <f>"COMISSÕES DE REPRESENTANTES"</f>
        <v>COMISSÕES DE REPRESENTANTES</v>
      </c>
      <c r="P3491">
        <v>1250</v>
      </c>
      <c r="Q3491" t="str">
        <f>"YURI RODRIGUES OLIVEIRA (20064)"</f>
        <v>YURI RODRIGUES OLIVEIRA (20064)</v>
      </c>
      <c r="R3491" t="str">
        <f t="shared" si="1681"/>
        <v>BANCO CORA (102)</v>
      </c>
      <c r="S3491">
        <v>2041</v>
      </c>
      <c r="T3491">
        <v>1590</v>
      </c>
      <c r="U3491" t="s">
        <v>19</v>
      </c>
    </row>
    <row r="3492" spans="1:21">
      <c r="A3492" t="str">
        <f t="shared" ref="A3492:A3523" si="1683">("02/07/2025")</f>
        <v>02/07/2025</v>
      </c>
      <c r="B3492" t="str">
        <f>"ENTRADA"</f>
        <v>ENTRADA</v>
      </c>
      <c r="C3492" t="str">
        <f t="shared" ref="C3492:C3523" si="1684">"NFSE"</f>
        <v>NFSE</v>
      </c>
      <c r="D3492" t="str">
        <f t="shared" ref="D3492:D3537" si="1685">"3142"</f>
        <v>3142</v>
      </c>
      <c r="E3492" t="str">
        <f t="shared" si="1666"/>
        <v>COM</v>
      </c>
      <c r="F3492" t="str">
        <f t="shared" ref="F3492:F3537" si="1686">"FARMÁCIA INDIANA LJ 1 (10126)"</f>
        <v>FARMÁCIA INDIANA LJ 1 (10126)</v>
      </c>
      <c r="G3492" t="str">
        <f t="shared" ref="G3492:G3537" si="1687">"Serv.Prest. 16/06/2025 a 22/06/2025 - RPS: 911 - NFSe: 3142"</f>
        <v>Serv.Prest. 16/06/2025 a 22/06/2025 - RPS: 911 - NFSe: 3142</v>
      </c>
      <c r="H3492" t="str">
        <f t="shared" ref="H3492:H3523" si="1688">("02/07/2025")</f>
        <v>02/07/2025</v>
      </c>
      <c r="I3492" t="str">
        <f t="shared" ref="I3492:I3523" si="1689">("23/06/2025")</f>
        <v>23/06/2025</v>
      </c>
      <c r="J3492" t="str">
        <f t="shared" ref="J3492:J3523" si="1690">("02/07/2025")</f>
        <v>02/07/2025</v>
      </c>
      <c r="K3492">
        <v>13172.07</v>
      </c>
      <c r="L3492">
        <v>13172.07</v>
      </c>
      <c r="M3492">
        <v>303</v>
      </c>
      <c r="N3492" t="str">
        <f t="shared" ref="N3492:N3523" si="1691">"RECEITAS COM ENTREGAS"</f>
        <v>RECEITAS COM ENTREGAS</v>
      </c>
      <c r="O3492">
        <v>13172.07</v>
      </c>
      <c r="R3492" t="str">
        <f t="shared" ref="R3492:R3523" si="1692">"RECEITAS COM ENTREGAS (303)"</f>
        <v>RECEITAS COM ENTREGAS (303)</v>
      </c>
      <c r="S3492">
        <v>1981</v>
      </c>
      <c r="T3492">
        <v>1426</v>
      </c>
      <c r="U3492" t="s">
        <v>19</v>
      </c>
    </row>
    <row r="3493" spans="1:21">
      <c r="A3493" t="str">
        <f t="shared" si="1683"/>
        <v>02/07/2025</v>
      </c>
      <c r="B3493" t="str">
        <f t="shared" ref="B3493:B3556" si="1693">"ENTRADA"</f>
        <v>ENTRADA</v>
      </c>
      <c r="C3493" t="str">
        <f t="shared" si="1684"/>
        <v>NFSE</v>
      </c>
      <c r="D3493" t="str">
        <f t="shared" si="1685"/>
        <v>3142</v>
      </c>
      <c r="E3493" t="str">
        <f t="shared" si="1666"/>
        <v>COM</v>
      </c>
      <c r="F3493" t="str">
        <f t="shared" si="1686"/>
        <v>FARMÁCIA INDIANA LJ 1 (10126)</v>
      </c>
      <c r="G3493" t="str">
        <f t="shared" si="1687"/>
        <v>Serv.Prest. 16/06/2025 a 22/06/2025 - RPS: 911 - NFSe: 3142</v>
      </c>
      <c r="H3493" t="str">
        <f t="shared" si="1688"/>
        <v>02/07/2025</v>
      </c>
      <c r="I3493" t="str">
        <f t="shared" si="1689"/>
        <v>23/06/2025</v>
      </c>
      <c r="J3493" t="str">
        <f t="shared" si="1690"/>
        <v>02/07/2025</v>
      </c>
      <c r="M3493">
        <v>303</v>
      </c>
      <c r="N3493" t="str">
        <f t="shared" si="1691"/>
        <v>RECEITAS COM ENTREGAS</v>
      </c>
      <c r="P3493">
        <v>1819.1</v>
      </c>
      <c r="Q3493" t="str">
        <f>"FARMÁCIA INDIANA LJ 06 (10006)"</f>
        <v>FARMÁCIA INDIANA LJ 06 (10006)</v>
      </c>
      <c r="R3493" t="str">
        <f t="shared" si="1692"/>
        <v>RECEITAS COM ENTREGAS (303)</v>
      </c>
      <c r="S3493">
        <v>1981</v>
      </c>
      <c r="T3493">
        <v>1426</v>
      </c>
      <c r="U3493" t="s">
        <v>19</v>
      </c>
    </row>
    <row r="3494" spans="1:21">
      <c r="A3494" t="str">
        <f t="shared" si="1683"/>
        <v>02/07/2025</v>
      </c>
      <c r="B3494" t="str">
        <f t="shared" si="1693"/>
        <v>ENTRADA</v>
      </c>
      <c r="C3494" t="str">
        <f t="shared" si="1684"/>
        <v>NFSE</v>
      </c>
      <c r="D3494" t="str">
        <f t="shared" si="1685"/>
        <v>3142</v>
      </c>
      <c r="E3494" t="str">
        <f t="shared" si="1666"/>
        <v>COM</v>
      </c>
      <c r="F3494" t="str">
        <f t="shared" si="1686"/>
        <v>FARMÁCIA INDIANA LJ 1 (10126)</v>
      </c>
      <c r="G3494" t="str">
        <f t="shared" si="1687"/>
        <v>Serv.Prest. 16/06/2025 a 22/06/2025 - RPS: 911 - NFSe: 3142</v>
      </c>
      <c r="H3494" t="str">
        <f t="shared" si="1688"/>
        <v>02/07/2025</v>
      </c>
      <c r="I3494" t="str">
        <f t="shared" si="1689"/>
        <v>23/06/2025</v>
      </c>
      <c r="J3494" t="str">
        <f t="shared" si="1690"/>
        <v>02/07/2025</v>
      </c>
      <c r="M3494">
        <v>303</v>
      </c>
      <c r="N3494" t="str">
        <f t="shared" si="1691"/>
        <v>RECEITAS COM ENTREGAS</v>
      </c>
      <c r="P3494">
        <v>1463.42</v>
      </c>
      <c r="Q3494" t="str">
        <f>"FARMÁCIA INDIANA LJ 07 (10007)"</f>
        <v>FARMÁCIA INDIANA LJ 07 (10007)</v>
      </c>
      <c r="R3494" t="str">
        <f t="shared" si="1692"/>
        <v>RECEITAS COM ENTREGAS (303)</v>
      </c>
      <c r="S3494">
        <v>1981</v>
      </c>
      <c r="T3494">
        <v>1426</v>
      </c>
      <c r="U3494" t="s">
        <v>19</v>
      </c>
    </row>
    <row r="3495" spans="1:21">
      <c r="A3495" t="str">
        <f t="shared" si="1683"/>
        <v>02/07/2025</v>
      </c>
      <c r="B3495" t="str">
        <f t="shared" si="1693"/>
        <v>ENTRADA</v>
      </c>
      <c r="C3495" t="str">
        <f t="shared" si="1684"/>
        <v>NFSE</v>
      </c>
      <c r="D3495" t="str">
        <f t="shared" si="1685"/>
        <v>3142</v>
      </c>
      <c r="E3495" t="str">
        <f t="shared" si="1666"/>
        <v>COM</v>
      </c>
      <c r="F3495" t="str">
        <f t="shared" si="1686"/>
        <v>FARMÁCIA INDIANA LJ 1 (10126)</v>
      </c>
      <c r="G3495" t="str">
        <f t="shared" si="1687"/>
        <v>Serv.Prest. 16/06/2025 a 22/06/2025 - RPS: 911 - NFSe: 3142</v>
      </c>
      <c r="H3495" t="str">
        <f t="shared" si="1688"/>
        <v>02/07/2025</v>
      </c>
      <c r="I3495" t="str">
        <f t="shared" si="1689"/>
        <v>23/06/2025</v>
      </c>
      <c r="J3495" t="str">
        <f t="shared" si="1690"/>
        <v>02/07/2025</v>
      </c>
      <c r="M3495">
        <v>303</v>
      </c>
      <c r="N3495" t="str">
        <f t="shared" si="1691"/>
        <v>RECEITAS COM ENTREGAS</v>
      </c>
      <c r="P3495">
        <v>929.95</v>
      </c>
      <c r="Q3495" t="str">
        <f>"FARMÁCIA INDIANA LJ 11 (10008)"</f>
        <v>FARMÁCIA INDIANA LJ 11 (10008)</v>
      </c>
      <c r="R3495" t="str">
        <f t="shared" si="1692"/>
        <v>RECEITAS COM ENTREGAS (303)</v>
      </c>
      <c r="S3495">
        <v>1981</v>
      </c>
      <c r="T3495">
        <v>1426</v>
      </c>
      <c r="U3495" t="s">
        <v>19</v>
      </c>
    </row>
    <row r="3496" spans="1:21">
      <c r="A3496" t="str">
        <f t="shared" si="1683"/>
        <v>02/07/2025</v>
      </c>
      <c r="B3496" t="str">
        <f t="shared" si="1693"/>
        <v>ENTRADA</v>
      </c>
      <c r="C3496" t="str">
        <f t="shared" si="1684"/>
        <v>NFSE</v>
      </c>
      <c r="D3496" t="str">
        <f t="shared" si="1685"/>
        <v>3142</v>
      </c>
      <c r="E3496" t="str">
        <f t="shared" si="1666"/>
        <v>COM</v>
      </c>
      <c r="F3496" t="str">
        <f t="shared" si="1686"/>
        <v>FARMÁCIA INDIANA LJ 1 (10126)</v>
      </c>
      <c r="G3496" t="str">
        <f t="shared" si="1687"/>
        <v>Serv.Prest. 16/06/2025 a 22/06/2025 - RPS: 911 - NFSe: 3142</v>
      </c>
      <c r="H3496" t="str">
        <f t="shared" si="1688"/>
        <v>02/07/2025</v>
      </c>
      <c r="I3496" t="str">
        <f t="shared" si="1689"/>
        <v>23/06/2025</v>
      </c>
      <c r="J3496" t="str">
        <f t="shared" si="1690"/>
        <v>02/07/2025</v>
      </c>
      <c r="M3496">
        <v>303</v>
      </c>
      <c r="N3496" t="str">
        <f t="shared" si="1691"/>
        <v>RECEITAS COM ENTREGAS</v>
      </c>
      <c r="P3496">
        <v>380.67</v>
      </c>
      <c r="Q3496" t="str">
        <f>"FARMÁCIA INDIANA LJ 14 (10009)"</f>
        <v>FARMÁCIA INDIANA LJ 14 (10009)</v>
      </c>
      <c r="R3496" t="str">
        <f t="shared" si="1692"/>
        <v>RECEITAS COM ENTREGAS (303)</v>
      </c>
      <c r="S3496">
        <v>1981</v>
      </c>
      <c r="T3496">
        <v>1426</v>
      </c>
      <c r="U3496" t="s">
        <v>19</v>
      </c>
    </row>
    <row r="3497" spans="1:21">
      <c r="A3497" t="str">
        <f t="shared" si="1683"/>
        <v>02/07/2025</v>
      </c>
      <c r="B3497" t="str">
        <f t="shared" si="1693"/>
        <v>ENTRADA</v>
      </c>
      <c r="C3497" t="str">
        <f t="shared" si="1684"/>
        <v>NFSE</v>
      </c>
      <c r="D3497" t="str">
        <f t="shared" si="1685"/>
        <v>3142</v>
      </c>
      <c r="E3497" t="str">
        <f t="shared" si="1666"/>
        <v>COM</v>
      </c>
      <c r="F3497" t="str">
        <f t="shared" si="1686"/>
        <v>FARMÁCIA INDIANA LJ 1 (10126)</v>
      </c>
      <c r="G3497" t="str">
        <f t="shared" si="1687"/>
        <v>Serv.Prest. 16/06/2025 a 22/06/2025 - RPS: 911 - NFSe: 3142</v>
      </c>
      <c r="H3497" t="str">
        <f t="shared" si="1688"/>
        <v>02/07/2025</v>
      </c>
      <c r="I3497" t="str">
        <f t="shared" si="1689"/>
        <v>23/06/2025</v>
      </c>
      <c r="J3497" t="str">
        <f t="shared" si="1690"/>
        <v>02/07/2025</v>
      </c>
      <c r="M3497">
        <v>303</v>
      </c>
      <c r="N3497" t="str">
        <f t="shared" si="1691"/>
        <v>RECEITAS COM ENTREGAS</v>
      </c>
      <c r="P3497">
        <v>362.23</v>
      </c>
      <c r="Q3497" t="str">
        <f>"FARMÁCIA INDIANA LJ 18 (10011)"</f>
        <v>FARMÁCIA INDIANA LJ 18 (10011)</v>
      </c>
      <c r="R3497" t="str">
        <f t="shared" si="1692"/>
        <v>RECEITAS COM ENTREGAS (303)</v>
      </c>
      <c r="S3497">
        <v>1981</v>
      </c>
      <c r="T3497">
        <v>1426</v>
      </c>
      <c r="U3497" t="s">
        <v>19</v>
      </c>
    </row>
    <row r="3498" spans="1:21">
      <c r="A3498" t="str">
        <f t="shared" si="1683"/>
        <v>02/07/2025</v>
      </c>
      <c r="B3498" t="str">
        <f t="shared" si="1693"/>
        <v>ENTRADA</v>
      </c>
      <c r="C3498" t="str">
        <f t="shared" si="1684"/>
        <v>NFSE</v>
      </c>
      <c r="D3498" t="str">
        <f t="shared" si="1685"/>
        <v>3142</v>
      </c>
      <c r="E3498" t="str">
        <f t="shared" si="1666"/>
        <v>COM</v>
      </c>
      <c r="F3498" t="str">
        <f t="shared" si="1686"/>
        <v>FARMÁCIA INDIANA LJ 1 (10126)</v>
      </c>
      <c r="G3498" t="str">
        <f t="shared" si="1687"/>
        <v>Serv.Prest. 16/06/2025 a 22/06/2025 - RPS: 911 - NFSe: 3142</v>
      </c>
      <c r="H3498" t="str">
        <f t="shared" si="1688"/>
        <v>02/07/2025</v>
      </c>
      <c r="I3498" t="str">
        <f t="shared" si="1689"/>
        <v>23/06/2025</v>
      </c>
      <c r="J3498" t="str">
        <f t="shared" si="1690"/>
        <v>02/07/2025</v>
      </c>
      <c r="M3498">
        <v>303</v>
      </c>
      <c r="N3498" t="str">
        <f t="shared" si="1691"/>
        <v>RECEITAS COM ENTREGAS</v>
      </c>
      <c r="P3498">
        <v>389.89</v>
      </c>
      <c r="Q3498" t="str">
        <f>"FARMÁCIA INDIANA LJ 19 (10012)"</f>
        <v>FARMÁCIA INDIANA LJ 19 (10012)</v>
      </c>
      <c r="R3498" t="str">
        <f t="shared" si="1692"/>
        <v>RECEITAS COM ENTREGAS (303)</v>
      </c>
      <c r="S3498">
        <v>1981</v>
      </c>
      <c r="T3498">
        <v>1426</v>
      </c>
      <c r="U3498" t="s">
        <v>19</v>
      </c>
    </row>
    <row r="3499" spans="1:21">
      <c r="A3499" t="str">
        <f t="shared" si="1683"/>
        <v>02/07/2025</v>
      </c>
      <c r="B3499" t="str">
        <f t="shared" si="1693"/>
        <v>ENTRADA</v>
      </c>
      <c r="C3499" t="str">
        <f t="shared" si="1684"/>
        <v>NFSE</v>
      </c>
      <c r="D3499" t="str">
        <f t="shared" si="1685"/>
        <v>3142</v>
      </c>
      <c r="E3499" t="str">
        <f t="shared" si="1666"/>
        <v>COM</v>
      </c>
      <c r="F3499" t="str">
        <f t="shared" si="1686"/>
        <v>FARMÁCIA INDIANA LJ 1 (10126)</v>
      </c>
      <c r="G3499" t="str">
        <f t="shared" si="1687"/>
        <v>Serv.Prest. 16/06/2025 a 22/06/2025 - RPS: 911 - NFSe: 3142</v>
      </c>
      <c r="H3499" t="str">
        <f t="shared" si="1688"/>
        <v>02/07/2025</v>
      </c>
      <c r="I3499" t="str">
        <f t="shared" si="1689"/>
        <v>23/06/2025</v>
      </c>
      <c r="J3499" t="str">
        <f t="shared" si="1690"/>
        <v>02/07/2025</v>
      </c>
      <c r="M3499">
        <v>303</v>
      </c>
      <c r="N3499" t="str">
        <f t="shared" si="1691"/>
        <v>RECEITAS COM ENTREGAS</v>
      </c>
      <c r="P3499">
        <v>528.20000000000005</v>
      </c>
      <c r="Q3499" t="str">
        <f>"FARMÁCIA INDIANA LJ 40 (10016)"</f>
        <v>FARMÁCIA INDIANA LJ 40 (10016)</v>
      </c>
      <c r="R3499" t="str">
        <f t="shared" si="1692"/>
        <v>RECEITAS COM ENTREGAS (303)</v>
      </c>
      <c r="S3499">
        <v>1981</v>
      </c>
      <c r="T3499">
        <v>1426</v>
      </c>
      <c r="U3499" t="s">
        <v>19</v>
      </c>
    </row>
    <row r="3500" spans="1:21">
      <c r="A3500" t="str">
        <f t="shared" si="1683"/>
        <v>02/07/2025</v>
      </c>
      <c r="B3500" t="str">
        <f t="shared" si="1693"/>
        <v>ENTRADA</v>
      </c>
      <c r="C3500" t="str">
        <f t="shared" si="1684"/>
        <v>NFSE</v>
      </c>
      <c r="D3500" t="str">
        <f t="shared" si="1685"/>
        <v>3142</v>
      </c>
      <c r="E3500" t="str">
        <f t="shared" si="1666"/>
        <v>COM</v>
      </c>
      <c r="F3500" t="str">
        <f t="shared" si="1686"/>
        <v>FARMÁCIA INDIANA LJ 1 (10126)</v>
      </c>
      <c r="G3500" t="str">
        <f t="shared" si="1687"/>
        <v>Serv.Prest. 16/06/2025 a 22/06/2025 - RPS: 911 - NFSe: 3142</v>
      </c>
      <c r="H3500" t="str">
        <f t="shared" si="1688"/>
        <v>02/07/2025</v>
      </c>
      <c r="I3500" t="str">
        <f t="shared" si="1689"/>
        <v>23/06/2025</v>
      </c>
      <c r="J3500" t="str">
        <f t="shared" si="1690"/>
        <v>02/07/2025</v>
      </c>
      <c r="M3500">
        <v>303</v>
      </c>
      <c r="N3500" t="str">
        <f t="shared" si="1691"/>
        <v>RECEITAS COM ENTREGAS</v>
      </c>
      <c r="P3500">
        <v>378.04</v>
      </c>
      <c r="Q3500" t="str">
        <f>"FARMÁCIA INDIANA LJ 59 (10026)"</f>
        <v>FARMÁCIA INDIANA LJ 59 (10026)</v>
      </c>
      <c r="R3500" t="str">
        <f t="shared" si="1692"/>
        <v>RECEITAS COM ENTREGAS (303)</v>
      </c>
      <c r="S3500">
        <v>1981</v>
      </c>
      <c r="T3500">
        <v>1426</v>
      </c>
      <c r="U3500" t="s">
        <v>19</v>
      </c>
    </row>
    <row r="3501" spans="1:21">
      <c r="A3501" t="str">
        <f t="shared" si="1683"/>
        <v>02/07/2025</v>
      </c>
      <c r="B3501" t="str">
        <f t="shared" si="1693"/>
        <v>ENTRADA</v>
      </c>
      <c r="C3501" t="str">
        <f t="shared" si="1684"/>
        <v>NFSE</v>
      </c>
      <c r="D3501" t="str">
        <f t="shared" si="1685"/>
        <v>3142</v>
      </c>
      <c r="E3501" t="str">
        <f t="shared" si="1666"/>
        <v>COM</v>
      </c>
      <c r="F3501" t="str">
        <f t="shared" si="1686"/>
        <v>FARMÁCIA INDIANA LJ 1 (10126)</v>
      </c>
      <c r="G3501" t="str">
        <f t="shared" si="1687"/>
        <v>Serv.Prest. 16/06/2025 a 22/06/2025 - RPS: 911 - NFSe: 3142</v>
      </c>
      <c r="H3501" t="str">
        <f t="shared" si="1688"/>
        <v>02/07/2025</v>
      </c>
      <c r="I3501" t="str">
        <f t="shared" si="1689"/>
        <v>23/06/2025</v>
      </c>
      <c r="J3501" t="str">
        <f t="shared" si="1690"/>
        <v>02/07/2025</v>
      </c>
      <c r="M3501">
        <v>303</v>
      </c>
      <c r="N3501" t="str">
        <f t="shared" si="1691"/>
        <v>RECEITAS COM ENTREGAS</v>
      </c>
      <c r="P3501">
        <v>480.78</v>
      </c>
      <c r="Q3501" t="str">
        <f>"FARMÁCIA INDIANA LJ 61 (10027)"</f>
        <v>FARMÁCIA INDIANA LJ 61 (10027)</v>
      </c>
      <c r="R3501" t="str">
        <f t="shared" si="1692"/>
        <v>RECEITAS COM ENTREGAS (303)</v>
      </c>
      <c r="S3501">
        <v>1981</v>
      </c>
      <c r="T3501">
        <v>1426</v>
      </c>
      <c r="U3501" t="s">
        <v>19</v>
      </c>
    </row>
    <row r="3502" spans="1:21">
      <c r="A3502" t="str">
        <f t="shared" si="1683"/>
        <v>02/07/2025</v>
      </c>
      <c r="B3502" t="str">
        <f t="shared" si="1693"/>
        <v>ENTRADA</v>
      </c>
      <c r="C3502" t="str">
        <f t="shared" si="1684"/>
        <v>NFSE</v>
      </c>
      <c r="D3502" t="str">
        <f t="shared" si="1685"/>
        <v>3142</v>
      </c>
      <c r="E3502" t="str">
        <f t="shared" si="1666"/>
        <v>COM</v>
      </c>
      <c r="F3502" t="str">
        <f t="shared" si="1686"/>
        <v>FARMÁCIA INDIANA LJ 1 (10126)</v>
      </c>
      <c r="G3502" t="str">
        <f t="shared" si="1687"/>
        <v>Serv.Prest. 16/06/2025 a 22/06/2025 - RPS: 911 - NFSe: 3142</v>
      </c>
      <c r="H3502" t="str">
        <f t="shared" si="1688"/>
        <v>02/07/2025</v>
      </c>
      <c r="I3502" t="str">
        <f t="shared" si="1689"/>
        <v>23/06/2025</v>
      </c>
      <c r="J3502" t="str">
        <f t="shared" si="1690"/>
        <v>02/07/2025</v>
      </c>
      <c r="M3502">
        <v>303</v>
      </c>
      <c r="N3502" t="str">
        <f t="shared" si="1691"/>
        <v>RECEITAS COM ENTREGAS</v>
      </c>
      <c r="P3502">
        <v>258.17</v>
      </c>
      <c r="Q3502" t="str">
        <f>"FARMÁCIA INDIANA LJ 62 (10028)"</f>
        <v>FARMÁCIA INDIANA LJ 62 (10028)</v>
      </c>
      <c r="R3502" t="str">
        <f t="shared" si="1692"/>
        <v>RECEITAS COM ENTREGAS (303)</v>
      </c>
      <c r="S3502">
        <v>1981</v>
      </c>
      <c r="T3502">
        <v>1426</v>
      </c>
      <c r="U3502" t="s">
        <v>19</v>
      </c>
    </row>
    <row r="3503" spans="1:21">
      <c r="A3503" t="str">
        <f t="shared" si="1683"/>
        <v>02/07/2025</v>
      </c>
      <c r="B3503" t="str">
        <f t="shared" si="1693"/>
        <v>ENTRADA</v>
      </c>
      <c r="C3503" t="str">
        <f t="shared" si="1684"/>
        <v>NFSE</v>
      </c>
      <c r="D3503" t="str">
        <f t="shared" si="1685"/>
        <v>3142</v>
      </c>
      <c r="E3503" t="str">
        <f t="shared" ref="E3503:E3566" si="1694">"COM"</f>
        <v>COM</v>
      </c>
      <c r="F3503" t="str">
        <f t="shared" si="1686"/>
        <v>FARMÁCIA INDIANA LJ 1 (10126)</v>
      </c>
      <c r="G3503" t="str">
        <f t="shared" si="1687"/>
        <v>Serv.Prest. 16/06/2025 a 22/06/2025 - RPS: 911 - NFSe: 3142</v>
      </c>
      <c r="H3503" t="str">
        <f t="shared" si="1688"/>
        <v>02/07/2025</v>
      </c>
      <c r="I3503" t="str">
        <f t="shared" si="1689"/>
        <v>23/06/2025</v>
      </c>
      <c r="J3503" t="str">
        <f t="shared" si="1690"/>
        <v>02/07/2025</v>
      </c>
      <c r="M3503">
        <v>303</v>
      </c>
      <c r="N3503" t="str">
        <f t="shared" si="1691"/>
        <v>RECEITAS COM ENTREGAS</v>
      </c>
      <c r="P3503">
        <v>106.69</v>
      </c>
      <c r="Q3503" t="str">
        <f>"FARMÁCIA INDIANA LJ 64 (10029)"</f>
        <v>FARMÁCIA INDIANA LJ 64 (10029)</v>
      </c>
      <c r="R3503" t="str">
        <f t="shared" si="1692"/>
        <v>RECEITAS COM ENTREGAS (303)</v>
      </c>
      <c r="S3503">
        <v>1981</v>
      </c>
      <c r="T3503">
        <v>1426</v>
      </c>
      <c r="U3503" t="s">
        <v>19</v>
      </c>
    </row>
    <row r="3504" spans="1:21">
      <c r="A3504" t="str">
        <f t="shared" si="1683"/>
        <v>02/07/2025</v>
      </c>
      <c r="B3504" t="str">
        <f t="shared" si="1693"/>
        <v>ENTRADA</v>
      </c>
      <c r="C3504" t="str">
        <f t="shared" si="1684"/>
        <v>NFSE</v>
      </c>
      <c r="D3504" t="str">
        <f t="shared" si="1685"/>
        <v>3142</v>
      </c>
      <c r="E3504" t="str">
        <f t="shared" si="1694"/>
        <v>COM</v>
      </c>
      <c r="F3504" t="str">
        <f t="shared" si="1686"/>
        <v>FARMÁCIA INDIANA LJ 1 (10126)</v>
      </c>
      <c r="G3504" t="str">
        <f t="shared" si="1687"/>
        <v>Serv.Prest. 16/06/2025 a 22/06/2025 - RPS: 911 - NFSe: 3142</v>
      </c>
      <c r="H3504" t="str">
        <f t="shared" si="1688"/>
        <v>02/07/2025</v>
      </c>
      <c r="I3504" t="str">
        <f t="shared" si="1689"/>
        <v>23/06/2025</v>
      </c>
      <c r="J3504" t="str">
        <f t="shared" si="1690"/>
        <v>02/07/2025</v>
      </c>
      <c r="M3504">
        <v>303</v>
      </c>
      <c r="N3504" t="str">
        <f t="shared" si="1691"/>
        <v>RECEITAS COM ENTREGAS</v>
      </c>
      <c r="P3504">
        <v>65.86</v>
      </c>
      <c r="Q3504" t="str">
        <f>"FARMÁCIA INDIANA LJ 97 (10040)"</f>
        <v>FARMÁCIA INDIANA LJ 97 (10040)</v>
      </c>
      <c r="R3504" t="str">
        <f t="shared" si="1692"/>
        <v>RECEITAS COM ENTREGAS (303)</v>
      </c>
      <c r="S3504">
        <v>1981</v>
      </c>
      <c r="T3504">
        <v>1426</v>
      </c>
      <c r="U3504" t="s">
        <v>19</v>
      </c>
    </row>
    <row r="3505" spans="1:21">
      <c r="A3505" t="str">
        <f t="shared" si="1683"/>
        <v>02/07/2025</v>
      </c>
      <c r="B3505" t="str">
        <f t="shared" si="1693"/>
        <v>ENTRADA</v>
      </c>
      <c r="C3505" t="str">
        <f t="shared" si="1684"/>
        <v>NFSE</v>
      </c>
      <c r="D3505" t="str">
        <f t="shared" si="1685"/>
        <v>3142</v>
      </c>
      <c r="E3505" t="str">
        <f t="shared" si="1694"/>
        <v>COM</v>
      </c>
      <c r="F3505" t="str">
        <f t="shared" si="1686"/>
        <v>FARMÁCIA INDIANA LJ 1 (10126)</v>
      </c>
      <c r="G3505" t="str">
        <f t="shared" si="1687"/>
        <v>Serv.Prest. 16/06/2025 a 22/06/2025 - RPS: 911 - NFSe: 3142</v>
      </c>
      <c r="H3505" t="str">
        <f t="shared" si="1688"/>
        <v>02/07/2025</v>
      </c>
      <c r="I3505" t="str">
        <f t="shared" si="1689"/>
        <v>23/06/2025</v>
      </c>
      <c r="J3505" t="str">
        <f t="shared" si="1690"/>
        <v>02/07/2025</v>
      </c>
      <c r="M3505">
        <v>303</v>
      </c>
      <c r="N3505" t="str">
        <f t="shared" si="1691"/>
        <v>RECEITAS COM ENTREGAS</v>
      </c>
      <c r="P3505">
        <v>300.32</v>
      </c>
      <c r="Q3505" t="str">
        <f>"FARMÁCIA INDIANA LJ 100 (10042)"</f>
        <v>FARMÁCIA INDIANA LJ 100 (10042)</v>
      </c>
      <c r="R3505" t="str">
        <f t="shared" si="1692"/>
        <v>RECEITAS COM ENTREGAS (303)</v>
      </c>
      <c r="S3505">
        <v>1981</v>
      </c>
      <c r="T3505">
        <v>1426</v>
      </c>
      <c r="U3505" t="s">
        <v>19</v>
      </c>
    </row>
    <row r="3506" spans="1:21">
      <c r="A3506" t="str">
        <f t="shared" si="1683"/>
        <v>02/07/2025</v>
      </c>
      <c r="B3506" t="str">
        <f t="shared" si="1693"/>
        <v>ENTRADA</v>
      </c>
      <c r="C3506" t="str">
        <f t="shared" si="1684"/>
        <v>NFSE</v>
      </c>
      <c r="D3506" t="str">
        <f t="shared" si="1685"/>
        <v>3142</v>
      </c>
      <c r="E3506" t="str">
        <f t="shared" si="1694"/>
        <v>COM</v>
      </c>
      <c r="F3506" t="str">
        <f t="shared" si="1686"/>
        <v>FARMÁCIA INDIANA LJ 1 (10126)</v>
      </c>
      <c r="G3506" t="str">
        <f t="shared" si="1687"/>
        <v>Serv.Prest. 16/06/2025 a 22/06/2025 - RPS: 911 - NFSe: 3142</v>
      </c>
      <c r="H3506" t="str">
        <f t="shared" si="1688"/>
        <v>02/07/2025</v>
      </c>
      <c r="I3506" t="str">
        <f t="shared" si="1689"/>
        <v>23/06/2025</v>
      </c>
      <c r="J3506" t="str">
        <f t="shared" si="1690"/>
        <v>02/07/2025</v>
      </c>
      <c r="M3506">
        <v>303</v>
      </c>
      <c r="N3506" t="str">
        <f t="shared" si="1691"/>
        <v>RECEITAS COM ENTREGAS</v>
      </c>
      <c r="P3506">
        <v>624.36</v>
      </c>
      <c r="Q3506" t="str">
        <f>"FARMÁCIA INDIANA LJ 101 (10043)"</f>
        <v>FARMÁCIA INDIANA LJ 101 (10043)</v>
      </c>
      <c r="R3506" t="str">
        <f t="shared" si="1692"/>
        <v>RECEITAS COM ENTREGAS (303)</v>
      </c>
      <c r="S3506">
        <v>1981</v>
      </c>
      <c r="T3506">
        <v>1426</v>
      </c>
      <c r="U3506" t="s">
        <v>19</v>
      </c>
    </row>
    <row r="3507" spans="1:21">
      <c r="A3507" t="str">
        <f t="shared" si="1683"/>
        <v>02/07/2025</v>
      </c>
      <c r="B3507" t="str">
        <f t="shared" si="1693"/>
        <v>ENTRADA</v>
      </c>
      <c r="C3507" t="str">
        <f t="shared" si="1684"/>
        <v>NFSE</v>
      </c>
      <c r="D3507" t="str">
        <f t="shared" si="1685"/>
        <v>3142</v>
      </c>
      <c r="E3507" t="str">
        <f t="shared" si="1694"/>
        <v>COM</v>
      </c>
      <c r="F3507" t="str">
        <f t="shared" si="1686"/>
        <v>FARMÁCIA INDIANA LJ 1 (10126)</v>
      </c>
      <c r="G3507" t="str">
        <f t="shared" si="1687"/>
        <v>Serv.Prest. 16/06/2025 a 22/06/2025 - RPS: 911 - NFSe: 3142</v>
      </c>
      <c r="H3507" t="str">
        <f t="shared" si="1688"/>
        <v>02/07/2025</v>
      </c>
      <c r="I3507" t="str">
        <f t="shared" si="1689"/>
        <v>23/06/2025</v>
      </c>
      <c r="J3507" t="str">
        <f t="shared" si="1690"/>
        <v>02/07/2025</v>
      </c>
      <c r="M3507">
        <v>303</v>
      </c>
      <c r="N3507" t="str">
        <f t="shared" si="1691"/>
        <v>RECEITAS COM ENTREGAS</v>
      </c>
      <c r="P3507">
        <v>81.67</v>
      </c>
      <c r="Q3507" t="str">
        <f>"FARMÁCIA INDIANA LJ 103 (10044)"</f>
        <v>FARMÁCIA INDIANA LJ 103 (10044)</v>
      </c>
      <c r="R3507" t="str">
        <f t="shared" si="1692"/>
        <v>RECEITAS COM ENTREGAS (303)</v>
      </c>
      <c r="S3507">
        <v>1981</v>
      </c>
      <c r="T3507">
        <v>1426</v>
      </c>
      <c r="U3507" t="s">
        <v>19</v>
      </c>
    </row>
    <row r="3508" spans="1:21">
      <c r="A3508" t="str">
        <f t="shared" si="1683"/>
        <v>02/07/2025</v>
      </c>
      <c r="B3508" t="str">
        <f t="shared" si="1693"/>
        <v>ENTRADA</v>
      </c>
      <c r="C3508" t="str">
        <f t="shared" si="1684"/>
        <v>NFSE</v>
      </c>
      <c r="D3508" t="str">
        <f t="shared" si="1685"/>
        <v>3142</v>
      </c>
      <c r="E3508" t="str">
        <f t="shared" si="1694"/>
        <v>COM</v>
      </c>
      <c r="F3508" t="str">
        <f t="shared" si="1686"/>
        <v>FARMÁCIA INDIANA LJ 1 (10126)</v>
      </c>
      <c r="G3508" t="str">
        <f t="shared" si="1687"/>
        <v>Serv.Prest. 16/06/2025 a 22/06/2025 - RPS: 911 - NFSe: 3142</v>
      </c>
      <c r="H3508" t="str">
        <f t="shared" si="1688"/>
        <v>02/07/2025</v>
      </c>
      <c r="I3508" t="str">
        <f t="shared" si="1689"/>
        <v>23/06/2025</v>
      </c>
      <c r="J3508" t="str">
        <f t="shared" si="1690"/>
        <v>02/07/2025</v>
      </c>
      <c r="M3508">
        <v>303</v>
      </c>
      <c r="N3508" t="str">
        <f t="shared" si="1691"/>
        <v>RECEITAS COM ENTREGAS</v>
      </c>
      <c r="P3508">
        <v>151.47999999999999</v>
      </c>
      <c r="Q3508" t="str">
        <f>"FARMÁCIA INDIANA LJ 109 (10047)"</f>
        <v>FARMÁCIA INDIANA LJ 109 (10047)</v>
      </c>
      <c r="R3508" t="str">
        <f t="shared" si="1692"/>
        <v>RECEITAS COM ENTREGAS (303)</v>
      </c>
      <c r="S3508">
        <v>1981</v>
      </c>
      <c r="T3508">
        <v>1426</v>
      </c>
      <c r="U3508" t="s">
        <v>19</v>
      </c>
    </row>
    <row r="3509" spans="1:21">
      <c r="A3509" t="str">
        <f t="shared" si="1683"/>
        <v>02/07/2025</v>
      </c>
      <c r="B3509" t="str">
        <f t="shared" si="1693"/>
        <v>ENTRADA</v>
      </c>
      <c r="C3509" t="str">
        <f t="shared" si="1684"/>
        <v>NFSE</v>
      </c>
      <c r="D3509" t="str">
        <f t="shared" si="1685"/>
        <v>3142</v>
      </c>
      <c r="E3509" t="str">
        <f t="shared" si="1694"/>
        <v>COM</v>
      </c>
      <c r="F3509" t="str">
        <f t="shared" si="1686"/>
        <v>FARMÁCIA INDIANA LJ 1 (10126)</v>
      </c>
      <c r="G3509" t="str">
        <f t="shared" si="1687"/>
        <v>Serv.Prest. 16/06/2025 a 22/06/2025 - RPS: 911 - NFSe: 3142</v>
      </c>
      <c r="H3509" t="str">
        <f t="shared" si="1688"/>
        <v>02/07/2025</v>
      </c>
      <c r="I3509" t="str">
        <f t="shared" si="1689"/>
        <v>23/06/2025</v>
      </c>
      <c r="J3509" t="str">
        <f t="shared" si="1690"/>
        <v>02/07/2025</v>
      </c>
      <c r="M3509">
        <v>303</v>
      </c>
      <c r="N3509" t="str">
        <f t="shared" si="1691"/>
        <v>RECEITAS COM ENTREGAS</v>
      </c>
      <c r="P3509">
        <v>509.76</v>
      </c>
      <c r="Q3509" t="str">
        <f>"FARMÁCIA INDIANA LJ 110 (10048)"</f>
        <v>FARMÁCIA INDIANA LJ 110 (10048)</v>
      </c>
      <c r="R3509" t="str">
        <f t="shared" si="1692"/>
        <v>RECEITAS COM ENTREGAS (303)</v>
      </c>
      <c r="S3509">
        <v>1981</v>
      </c>
      <c r="T3509">
        <v>1426</v>
      </c>
      <c r="U3509" t="s">
        <v>19</v>
      </c>
    </row>
    <row r="3510" spans="1:21">
      <c r="A3510" t="str">
        <f t="shared" si="1683"/>
        <v>02/07/2025</v>
      </c>
      <c r="B3510" t="str">
        <f t="shared" si="1693"/>
        <v>ENTRADA</v>
      </c>
      <c r="C3510" t="str">
        <f t="shared" si="1684"/>
        <v>NFSE</v>
      </c>
      <c r="D3510" t="str">
        <f t="shared" si="1685"/>
        <v>3142</v>
      </c>
      <c r="E3510" t="str">
        <f t="shared" si="1694"/>
        <v>COM</v>
      </c>
      <c r="F3510" t="str">
        <f t="shared" si="1686"/>
        <v>FARMÁCIA INDIANA LJ 1 (10126)</v>
      </c>
      <c r="G3510" t="str">
        <f t="shared" si="1687"/>
        <v>Serv.Prest. 16/06/2025 a 22/06/2025 - RPS: 911 - NFSe: 3142</v>
      </c>
      <c r="H3510" t="str">
        <f t="shared" si="1688"/>
        <v>02/07/2025</v>
      </c>
      <c r="I3510" t="str">
        <f t="shared" si="1689"/>
        <v>23/06/2025</v>
      </c>
      <c r="J3510" t="str">
        <f t="shared" si="1690"/>
        <v>02/07/2025</v>
      </c>
      <c r="M3510">
        <v>303</v>
      </c>
      <c r="N3510" t="str">
        <f t="shared" si="1691"/>
        <v>RECEITAS COM ENTREGAS</v>
      </c>
      <c r="P3510">
        <v>64.540000000000006</v>
      </c>
      <c r="Q3510" t="str">
        <f>"FARMÁCIA INDIANA LJ 111 (10049)"</f>
        <v>FARMÁCIA INDIANA LJ 111 (10049)</v>
      </c>
      <c r="R3510" t="str">
        <f t="shared" si="1692"/>
        <v>RECEITAS COM ENTREGAS (303)</v>
      </c>
      <c r="S3510">
        <v>1981</v>
      </c>
      <c r="T3510">
        <v>1426</v>
      </c>
      <c r="U3510" t="s">
        <v>19</v>
      </c>
    </row>
    <row r="3511" spans="1:21">
      <c r="A3511" t="str">
        <f t="shared" si="1683"/>
        <v>02/07/2025</v>
      </c>
      <c r="B3511" t="str">
        <f t="shared" si="1693"/>
        <v>ENTRADA</v>
      </c>
      <c r="C3511" t="str">
        <f t="shared" si="1684"/>
        <v>NFSE</v>
      </c>
      <c r="D3511" t="str">
        <f t="shared" si="1685"/>
        <v>3142</v>
      </c>
      <c r="E3511" t="str">
        <f t="shared" si="1694"/>
        <v>COM</v>
      </c>
      <c r="F3511" t="str">
        <f t="shared" si="1686"/>
        <v>FARMÁCIA INDIANA LJ 1 (10126)</v>
      </c>
      <c r="G3511" t="str">
        <f t="shared" si="1687"/>
        <v>Serv.Prest. 16/06/2025 a 22/06/2025 - RPS: 911 - NFSe: 3142</v>
      </c>
      <c r="H3511" t="str">
        <f t="shared" si="1688"/>
        <v>02/07/2025</v>
      </c>
      <c r="I3511" t="str">
        <f t="shared" si="1689"/>
        <v>23/06/2025</v>
      </c>
      <c r="J3511" t="str">
        <f t="shared" si="1690"/>
        <v>02/07/2025</v>
      </c>
      <c r="M3511">
        <v>303</v>
      </c>
      <c r="N3511" t="str">
        <f t="shared" si="1691"/>
        <v>RECEITAS COM ENTREGAS</v>
      </c>
      <c r="P3511">
        <v>150.16</v>
      </c>
      <c r="Q3511" t="str">
        <f>"FARMÁCIA INDIANA LJ 112 (10050)"</f>
        <v>FARMÁCIA INDIANA LJ 112 (10050)</v>
      </c>
      <c r="R3511" t="str">
        <f t="shared" si="1692"/>
        <v>RECEITAS COM ENTREGAS (303)</v>
      </c>
      <c r="S3511">
        <v>1981</v>
      </c>
      <c r="T3511">
        <v>1426</v>
      </c>
      <c r="U3511" t="s">
        <v>19</v>
      </c>
    </row>
    <row r="3512" spans="1:21">
      <c r="A3512" t="str">
        <f t="shared" si="1683"/>
        <v>02/07/2025</v>
      </c>
      <c r="B3512" t="str">
        <f t="shared" si="1693"/>
        <v>ENTRADA</v>
      </c>
      <c r="C3512" t="str">
        <f t="shared" si="1684"/>
        <v>NFSE</v>
      </c>
      <c r="D3512" t="str">
        <f t="shared" si="1685"/>
        <v>3142</v>
      </c>
      <c r="E3512" t="str">
        <f t="shared" si="1694"/>
        <v>COM</v>
      </c>
      <c r="F3512" t="str">
        <f t="shared" si="1686"/>
        <v>FARMÁCIA INDIANA LJ 1 (10126)</v>
      </c>
      <c r="G3512" t="str">
        <f t="shared" si="1687"/>
        <v>Serv.Prest. 16/06/2025 a 22/06/2025 - RPS: 911 - NFSe: 3142</v>
      </c>
      <c r="H3512" t="str">
        <f t="shared" si="1688"/>
        <v>02/07/2025</v>
      </c>
      <c r="I3512" t="str">
        <f t="shared" si="1689"/>
        <v>23/06/2025</v>
      </c>
      <c r="J3512" t="str">
        <f t="shared" si="1690"/>
        <v>02/07/2025</v>
      </c>
      <c r="M3512">
        <v>303</v>
      </c>
      <c r="N3512" t="str">
        <f t="shared" si="1691"/>
        <v>RECEITAS COM ENTREGAS</v>
      </c>
      <c r="P3512">
        <v>150.16</v>
      </c>
      <c r="Q3512" t="str">
        <f>"FARMÁCIA INDIANA LJ 116 (10051)"</f>
        <v>FARMÁCIA INDIANA LJ 116 (10051)</v>
      </c>
      <c r="R3512" t="str">
        <f t="shared" si="1692"/>
        <v>RECEITAS COM ENTREGAS (303)</v>
      </c>
      <c r="S3512">
        <v>1981</v>
      </c>
      <c r="T3512">
        <v>1426</v>
      </c>
      <c r="U3512" t="s">
        <v>19</v>
      </c>
    </row>
    <row r="3513" spans="1:21">
      <c r="A3513" t="str">
        <f t="shared" si="1683"/>
        <v>02/07/2025</v>
      </c>
      <c r="B3513" t="str">
        <f t="shared" si="1693"/>
        <v>ENTRADA</v>
      </c>
      <c r="C3513" t="str">
        <f t="shared" si="1684"/>
        <v>NFSE</v>
      </c>
      <c r="D3513" t="str">
        <f t="shared" si="1685"/>
        <v>3142</v>
      </c>
      <c r="E3513" t="str">
        <f t="shared" si="1694"/>
        <v>COM</v>
      </c>
      <c r="F3513" t="str">
        <f t="shared" si="1686"/>
        <v>FARMÁCIA INDIANA LJ 1 (10126)</v>
      </c>
      <c r="G3513" t="str">
        <f t="shared" si="1687"/>
        <v>Serv.Prest. 16/06/2025 a 22/06/2025 - RPS: 911 - NFSe: 3142</v>
      </c>
      <c r="H3513" t="str">
        <f t="shared" si="1688"/>
        <v>02/07/2025</v>
      </c>
      <c r="I3513" t="str">
        <f t="shared" si="1689"/>
        <v>23/06/2025</v>
      </c>
      <c r="J3513" t="str">
        <f t="shared" si="1690"/>
        <v>02/07/2025</v>
      </c>
      <c r="M3513">
        <v>303</v>
      </c>
      <c r="N3513" t="str">
        <f t="shared" si="1691"/>
        <v>RECEITAS COM ENTREGAS</v>
      </c>
      <c r="P3513">
        <v>89.57</v>
      </c>
      <c r="Q3513" t="str">
        <f>"FARMÁCIA INDIANA LJ 118 (10052)"</f>
        <v>FARMÁCIA INDIANA LJ 118 (10052)</v>
      </c>
      <c r="R3513" t="str">
        <f t="shared" si="1692"/>
        <v>RECEITAS COM ENTREGAS (303)</v>
      </c>
      <c r="S3513">
        <v>1981</v>
      </c>
      <c r="T3513">
        <v>1426</v>
      </c>
      <c r="U3513" t="s">
        <v>19</v>
      </c>
    </row>
    <row r="3514" spans="1:21">
      <c r="A3514" t="str">
        <f t="shared" si="1683"/>
        <v>02/07/2025</v>
      </c>
      <c r="B3514" t="str">
        <f t="shared" si="1693"/>
        <v>ENTRADA</v>
      </c>
      <c r="C3514" t="str">
        <f t="shared" si="1684"/>
        <v>NFSE</v>
      </c>
      <c r="D3514" t="str">
        <f t="shared" si="1685"/>
        <v>3142</v>
      </c>
      <c r="E3514" t="str">
        <f t="shared" si="1694"/>
        <v>COM</v>
      </c>
      <c r="F3514" t="str">
        <f t="shared" si="1686"/>
        <v>FARMÁCIA INDIANA LJ 1 (10126)</v>
      </c>
      <c r="G3514" t="str">
        <f t="shared" si="1687"/>
        <v>Serv.Prest. 16/06/2025 a 22/06/2025 - RPS: 911 - NFSe: 3142</v>
      </c>
      <c r="H3514" t="str">
        <f t="shared" si="1688"/>
        <v>02/07/2025</v>
      </c>
      <c r="I3514" t="str">
        <f t="shared" si="1689"/>
        <v>23/06/2025</v>
      </c>
      <c r="J3514" t="str">
        <f t="shared" si="1690"/>
        <v>02/07/2025</v>
      </c>
      <c r="M3514">
        <v>303</v>
      </c>
      <c r="N3514" t="str">
        <f t="shared" si="1691"/>
        <v>RECEITAS COM ENTREGAS</v>
      </c>
      <c r="P3514">
        <v>150.16</v>
      </c>
      <c r="Q3514" t="str">
        <f>"FARMÁCIA INDIANA LJ 121 (10054)"</f>
        <v>FARMÁCIA INDIANA LJ 121 (10054)</v>
      </c>
      <c r="R3514" t="str">
        <f t="shared" si="1692"/>
        <v>RECEITAS COM ENTREGAS (303)</v>
      </c>
      <c r="S3514">
        <v>1981</v>
      </c>
      <c r="T3514">
        <v>1426</v>
      </c>
      <c r="U3514" t="s">
        <v>19</v>
      </c>
    </row>
    <row r="3515" spans="1:21">
      <c r="A3515" t="str">
        <f t="shared" si="1683"/>
        <v>02/07/2025</v>
      </c>
      <c r="B3515" t="str">
        <f t="shared" si="1693"/>
        <v>ENTRADA</v>
      </c>
      <c r="C3515" t="str">
        <f t="shared" si="1684"/>
        <v>NFSE</v>
      </c>
      <c r="D3515" t="str">
        <f t="shared" si="1685"/>
        <v>3142</v>
      </c>
      <c r="E3515" t="str">
        <f t="shared" si="1694"/>
        <v>COM</v>
      </c>
      <c r="F3515" t="str">
        <f t="shared" si="1686"/>
        <v>FARMÁCIA INDIANA LJ 1 (10126)</v>
      </c>
      <c r="G3515" t="str">
        <f t="shared" si="1687"/>
        <v>Serv.Prest. 16/06/2025 a 22/06/2025 - RPS: 911 - NFSe: 3142</v>
      </c>
      <c r="H3515" t="str">
        <f t="shared" si="1688"/>
        <v>02/07/2025</v>
      </c>
      <c r="I3515" t="str">
        <f t="shared" si="1689"/>
        <v>23/06/2025</v>
      </c>
      <c r="J3515" t="str">
        <f t="shared" si="1690"/>
        <v>02/07/2025</v>
      </c>
      <c r="M3515">
        <v>303</v>
      </c>
      <c r="N3515" t="str">
        <f t="shared" si="1691"/>
        <v>RECEITAS COM ENTREGAS</v>
      </c>
      <c r="P3515">
        <v>150.16</v>
      </c>
      <c r="Q3515" t="str">
        <f>"FARMÁCIA INDIANA LJ 128 (10057)"</f>
        <v>FARMÁCIA INDIANA LJ 128 (10057)</v>
      </c>
      <c r="R3515" t="str">
        <f t="shared" si="1692"/>
        <v>RECEITAS COM ENTREGAS (303)</v>
      </c>
      <c r="S3515">
        <v>1981</v>
      </c>
      <c r="T3515">
        <v>1426</v>
      </c>
      <c r="U3515" t="s">
        <v>19</v>
      </c>
    </row>
    <row r="3516" spans="1:21">
      <c r="A3516" t="str">
        <f t="shared" si="1683"/>
        <v>02/07/2025</v>
      </c>
      <c r="B3516" t="str">
        <f t="shared" si="1693"/>
        <v>ENTRADA</v>
      </c>
      <c r="C3516" t="str">
        <f t="shared" si="1684"/>
        <v>NFSE</v>
      </c>
      <c r="D3516" t="str">
        <f t="shared" si="1685"/>
        <v>3142</v>
      </c>
      <c r="E3516" t="str">
        <f t="shared" si="1694"/>
        <v>COM</v>
      </c>
      <c r="F3516" t="str">
        <f t="shared" si="1686"/>
        <v>FARMÁCIA INDIANA LJ 1 (10126)</v>
      </c>
      <c r="G3516" t="str">
        <f t="shared" si="1687"/>
        <v>Serv.Prest. 16/06/2025 a 22/06/2025 - RPS: 911 - NFSe: 3142</v>
      </c>
      <c r="H3516" t="str">
        <f t="shared" si="1688"/>
        <v>02/07/2025</v>
      </c>
      <c r="I3516" t="str">
        <f t="shared" si="1689"/>
        <v>23/06/2025</v>
      </c>
      <c r="J3516" t="str">
        <f t="shared" si="1690"/>
        <v>02/07/2025</v>
      </c>
      <c r="M3516">
        <v>303</v>
      </c>
      <c r="N3516" t="str">
        <f t="shared" si="1691"/>
        <v>RECEITAS COM ENTREGAS</v>
      </c>
      <c r="P3516">
        <v>59.27</v>
      </c>
      <c r="Q3516" t="str">
        <f>"FARMÁCIA INDIANA LJ 140 (10064)"</f>
        <v>FARMÁCIA INDIANA LJ 140 (10064)</v>
      </c>
      <c r="R3516" t="str">
        <f t="shared" si="1692"/>
        <v>RECEITAS COM ENTREGAS (303)</v>
      </c>
      <c r="S3516">
        <v>1981</v>
      </c>
      <c r="T3516">
        <v>1426</v>
      </c>
      <c r="U3516" t="s">
        <v>19</v>
      </c>
    </row>
    <row r="3517" spans="1:21">
      <c r="A3517" t="str">
        <f t="shared" si="1683"/>
        <v>02/07/2025</v>
      </c>
      <c r="B3517" t="str">
        <f t="shared" si="1693"/>
        <v>ENTRADA</v>
      </c>
      <c r="C3517" t="str">
        <f t="shared" si="1684"/>
        <v>NFSE</v>
      </c>
      <c r="D3517" t="str">
        <f t="shared" si="1685"/>
        <v>3142</v>
      </c>
      <c r="E3517" t="str">
        <f t="shared" si="1694"/>
        <v>COM</v>
      </c>
      <c r="F3517" t="str">
        <f t="shared" si="1686"/>
        <v>FARMÁCIA INDIANA LJ 1 (10126)</v>
      </c>
      <c r="G3517" t="str">
        <f t="shared" si="1687"/>
        <v>Serv.Prest. 16/06/2025 a 22/06/2025 - RPS: 911 - NFSe: 3142</v>
      </c>
      <c r="H3517" t="str">
        <f t="shared" si="1688"/>
        <v>02/07/2025</v>
      </c>
      <c r="I3517" t="str">
        <f t="shared" si="1689"/>
        <v>23/06/2025</v>
      </c>
      <c r="J3517" t="str">
        <f t="shared" si="1690"/>
        <v>02/07/2025</v>
      </c>
      <c r="M3517">
        <v>303</v>
      </c>
      <c r="N3517" t="str">
        <f t="shared" si="1691"/>
        <v>RECEITAS COM ENTREGAS</v>
      </c>
      <c r="P3517">
        <v>22.39</v>
      </c>
      <c r="Q3517" t="str">
        <f>"FARMÁCIA INDIANA LJ 141 (10065)"</f>
        <v>FARMÁCIA INDIANA LJ 141 (10065)</v>
      </c>
      <c r="R3517" t="str">
        <f t="shared" si="1692"/>
        <v>RECEITAS COM ENTREGAS (303)</v>
      </c>
      <c r="S3517">
        <v>1981</v>
      </c>
      <c r="T3517">
        <v>1426</v>
      </c>
      <c r="U3517" t="s">
        <v>19</v>
      </c>
    </row>
    <row r="3518" spans="1:21">
      <c r="A3518" t="str">
        <f t="shared" si="1683"/>
        <v>02/07/2025</v>
      </c>
      <c r="B3518" t="str">
        <f t="shared" si="1693"/>
        <v>ENTRADA</v>
      </c>
      <c r="C3518" t="str">
        <f t="shared" si="1684"/>
        <v>NFSE</v>
      </c>
      <c r="D3518" t="str">
        <f t="shared" si="1685"/>
        <v>3142</v>
      </c>
      <c r="E3518" t="str">
        <f t="shared" si="1694"/>
        <v>COM</v>
      </c>
      <c r="F3518" t="str">
        <f t="shared" si="1686"/>
        <v>FARMÁCIA INDIANA LJ 1 (10126)</v>
      </c>
      <c r="G3518" t="str">
        <f t="shared" si="1687"/>
        <v>Serv.Prest. 16/06/2025 a 22/06/2025 - RPS: 911 - NFSe: 3142</v>
      </c>
      <c r="H3518" t="str">
        <f t="shared" si="1688"/>
        <v>02/07/2025</v>
      </c>
      <c r="I3518" t="str">
        <f t="shared" si="1689"/>
        <v>23/06/2025</v>
      </c>
      <c r="J3518" t="str">
        <f t="shared" si="1690"/>
        <v>02/07/2025</v>
      </c>
      <c r="M3518">
        <v>303</v>
      </c>
      <c r="N3518" t="str">
        <f t="shared" si="1691"/>
        <v>RECEITAS COM ENTREGAS</v>
      </c>
      <c r="P3518">
        <v>669.14</v>
      </c>
      <c r="Q3518" t="str">
        <f>"FARMÁCIA INDIANA LJ 142 (10066)"</f>
        <v>FARMÁCIA INDIANA LJ 142 (10066)</v>
      </c>
      <c r="R3518" t="str">
        <f t="shared" si="1692"/>
        <v>RECEITAS COM ENTREGAS (303)</v>
      </c>
      <c r="S3518">
        <v>1981</v>
      </c>
      <c r="T3518">
        <v>1426</v>
      </c>
      <c r="U3518" t="s">
        <v>19</v>
      </c>
    </row>
    <row r="3519" spans="1:21">
      <c r="A3519" t="str">
        <f t="shared" si="1683"/>
        <v>02/07/2025</v>
      </c>
      <c r="B3519" t="str">
        <f t="shared" si="1693"/>
        <v>ENTRADA</v>
      </c>
      <c r="C3519" t="str">
        <f t="shared" si="1684"/>
        <v>NFSE</v>
      </c>
      <c r="D3519" t="str">
        <f t="shared" si="1685"/>
        <v>3142</v>
      </c>
      <c r="E3519" t="str">
        <f t="shared" si="1694"/>
        <v>COM</v>
      </c>
      <c r="F3519" t="str">
        <f t="shared" si="1686"/>
        <v>FARMÁCIA INDIANA LJ 1 (10126)</v>
      </c>
      <c r="G3519" t="str">
        <f t="shared" si="1687"/>
        <v>Serv.Prest. 16/06/2025 a 22/06/2025 - RPS: 911 - NFSe: 3142</v>
      </c>
      <c r="H3519" t="str">
        <f t="shared" si="1688"/>
        <v>02/07/2025</v>
      </c>
      <c r="I3519" t="str">
        <f t="shared" si="1689"/>
        <v>23/06/2025</v>
      </c>
      <c r="J3519" t="str">
        <f t="shared" si="1690"/>
        <v>02/07/2025</v>
      </c>
      <c r="M3519">
        <v>303</v>
      </c>
      <c r="N3519" t="str">
        <f t="shared" si="1691"/>
        <v>RECEITAS COM ENTREGAS</v>
      </c>
      <c r="P3519">
        <v>65.86</v>
      </c>
      <c r="Q3519" t="str">
        <f>"FARMÁCIA INDIANA LJ 143 (10067)"</f>
        <v>FARMÁCIA INDIANA LJ 143 (10067)</v>
      </c>
      <c r="R3519" t="str">
        <f t="shared" si="1692"/>
        <v>RECEITAS COM ENTREGAS (303)</v>
      </c>
      <c r="S3519">
        <v>1981</v>
      </c>
      <c r="T3519">
        <v>1426</v>
      </c>
      <c r="U3519" t="s">
        <v>19</v>
      </c>
    </row>
    <row r="3520" spans="1:21">
      <c r="A3520" t="str">
        <f t="shared" si="1683"/>
        <v>02/07/2025</v>
      </c>
      <c r="B3520" t="str">
        <f t="shared" si="1693"/>
        <v>ENTRADA</v>
      </c>
      <c r="C3520" t="str">
        <f t="shared" si="1684"/>
        <v>NFSE</v>
      </c>
      <c r="D3520" t="str">
        <f t="shared" si="1685"/>
        <v>3142</v>
      </c>
      <c r="E3520" t="str">
        <f t="shared" si="1694"/>
        <v>COM</v>
      </c>
      <c r="F3520" t="str">
        <f t="shared" si="1686"/>
        <v>FARMÁCIA INDIANA LJ 1 (10126)</v>
      </c>
      <c r="G3520" t="str">
        <f t="shared" si="1687"/>
        <v>Serv.Prest. 16/06/2025 a 22/06/2025 - RPS: 911 - NFSe: 3142</v>
      </c>
      <c r="H3520" t="str">
        <f t="shared" si="1688"/>
        <v>02/07/2025</v>
      </c>
      <c r="I3520" t="str">
        <f t="shared" si="1689"/>
        <v>23/06/2025</v>
      </c>
      <c r="J3520" t="str">
        <f t="shared" si="1690"/>
        <v>02/07/2025</v>
      </c>
      <c r="M3520">
        <v>303</v>
      </c>
      <c r="N3520" t="str">
        <f t="shared" si="1691"/>
        <v>RECEITAS COM ENTREGAS</v>
      </c>
      <c r="P3520">
        <v>165.97</v>
      </c>
      <c r="Q3520" t="str">
        <f>"FARMÁCIA INDIANA LJ 152 (10069)"</f>
        <v>FARMÁCIA INDIANA LJ 152 (10069)</v>
      </c>
      <c r="R3520" t="str">
        <f t="shared" si="1692"/>
        <v>RECEITAS COM ENTREGAS (303)</v>
      </c>
      <c r="S3520">
        <v>1981</v>
      </c>
      <c r="T3520">
        <v>1426</v>
      </c>
      <c r="U3520" t="s">
        <v>19</v>
      </c>
    </row>
    <row r="3521" spans="1:21">
      <c r="A3521" t="str">
        <f t="shared" si="1683"/>
        <v>02/07/2025</v>
      </c>
      <c r="B3521" t="str">
        <f t="shared" si="1693"/>
        <v>ENTRADA</v>
      </c>
      <c r="C3521" t="str">
        <f t="shared" si="1684"/>
        <v>NFSE</v>
      </c>
      <c r="D3521" t="str">
        <f t="shared" si="1685"/>
        <v>3142</v>
      </c>
      <c r="E3521" t="str">
        <f t="shared" si="1694"/>
        <v>COM</v>
      </c>
      <c r="F3521" t="str">
        <f t="shared" si="1686"/>
        <v>FARMÁCIA INDIANA LJ 1 (10126)</v>
      </c>
      <c r="G3521" t="str">
        <f t="shared" si="1687"/>
        <v>Serv.Prest. 16/06/2025 a 22/06/2025 - RPS: 911 - NFSe: 3142</v>
      </c>
      <c r="H3521" t="str">
        <f t="shared" si="1688"/>
        <v>02/07/2025</v>
      </c>
      <c r="I3521" t="str">
        <f t="shared" si="1689"/>
        <v>23/06/2025</v>
      </c>
      <c r="J3521" t="str">
        <f t="shared" si="1690"/>
        <v>02/07/2025</v>
      </c>
      <c r="M3521">
        <v>303</v>
      </c>
      <c r="N3521" t="str">
        <f t="shared" si="1691"/>
        <v>RECEITAS COM ENTREGAS</v>
      </c>
      <c r="P3521">
        <v>36.880000000000003</v>
      </c>
      <c r="Q3521" t="str">
        <f>"FARMÁCIA INDIANA LJ 154 (10070)"</f>
        <v>FARMÁCIA INDIANA LJ 154 (10070)</v>
      </c>
      <c r="R3521" t="str">
        <f t="shared" si="1692"/>
        <v>RECEITAS COM ENTREGAS (303)</v>
      </c>
      <c r="S3521">
        <v>1981</v>
      </c>
      <c r="T3521">
        <v>1426</v>
      </c>
      <c r="U3521" t="s">
        <v>19</v>
      </c>
    </row>
    <row r="3522" spans="1:21">
      <c r="A3522" t="str">
        <f t="shared" si="1683"/>
        <v>02/07/2025</v>
      </c>
      <c r="B3522" t="str">
        <f t="shared" si="1693"/>
        <v>ENTRADA</v>
      </c>
      <c r="C3522" t="str">
        <f t="shared" si="1684"/>
        <v>NFSE</v>
      </c>
      <c r="D3522" t="str">
        <f t="shared" si="1685"/>
        <v>3142</v>
      </c>
      <c r="E3522" t="str">
        <f t="shared" si="1694"/>
        <v>COM</v>
      </c>
      <c r="F3522" t="str">
        <f t="shared" si="1686"/>
        <v>FARMÁCIA INDIANA LJ 1 (10126)</v>
      </c>
      <c r="G3522" t="str">
        <f t="shared" si="1687"/>
        <v>Serv.Prest. 16/06/2025 a 22/06/2025 - RPS: 911 - NFSe: 3142</v>
      </c>
      <c r="H3522" t="str">
        <f t="shared" si="1688"/>
        <v>02/07/2025</v>
      </c>
      <c r="I3522" t="str">
        <f t="shared" si="1689"/>
        <v>23/06/2025</v>
      </c>
      <c r="J3522" t="str">
        <f t="shared" si="1690"/>
        <v>02/07/2025</v>
      </c>
      <c r="M3522">
        <v>303</v>
      </c>
      <c r="N3522" t="str">
        <f t="shared" si="1691"/>
        <v>RECEITAS COM ENTREGAS</v>
      </c>
      <c r="P3522">
        <v>351.69</v>
      </c>
      <c r="Q3522" t="str">
        <f>"FARMÁCIA INDIANA LJ 171 (10074)"</f>
        <v>FARMÁCIA INDIANA LJ 171 (10074)</v>
      </c>
      <c r="R3522" t="str">
        <f t="shared" si="1692"/>
        <v>RECEITAS COM ENTREGAS (303)</v>
      </c>
      <c r="S3522">
        <v>1981</v>
      </c>
      <c r="T3522">
        <v>1426</v>
      </c>
      <c r="U3522" t="s">
        <v>19</v>
      </c>
    </row>
    <row r="3523" spans="1:21">
      <c r="A3523" t="str">
        <f t="shared" si="1683"/>
        <v>02/07/2025</v>
      </c>
      <c r="B3523" t="str">
        <f t="shared" si="1693"/>
        <v>ENTRADA</v>
      </c>
      <c r="C3523" t="str">
        <f t="shared" si="1684"/>
        <v>NFSE</v>
      </c>
      <c r="D3523" t="str">
        <f t="shared" si="1685"/>
        <v>3142</v>
      </c>
      <c r="E3523" t="str">
        <f t="shared" si="1694"/>
        <v>COM</v>
      </c>
      <c r="F3523" t="str">
        <f t="shared" si="1686"/>
        <v>FARMÁCIA INDIANA LJ 1 (10126)</v>
      </c>
      <c r="G3523" t="str">
        <f t="shared" si="1687"/>
        <v>Serv.Prest. 16/06/2025 a 22/06/2025 - RPS: 911 - NFSe: 3142</v>
      </c>
      <c r="H3523" t="str">
        <f t="shared" si="1688"/>
        <v>02/07/2025</v>
      </c>
      <c r="I3523" t="str">
        <f t="shared" si="1689"/>
        <v>23/06/2025</v>
      </c>
      <c r="J3523" t="str">
        <f t="shared" si="1690"/>
        <v>02/07/2025</v>
      </c>
      <c r="M3523">
        <v>303</v>
      </c>
      <c r="N3523" t="str">
        <f t="shared" si="1691"/>
        <v>RECEITAS COM ENTREGAS</v>
      </c>
      <c r="P3523">
        <v>123.82</v>
      </c>
      <c r="Q3523" t="str">
        <f>"FARMÁCIA INDIANA LJ 175 (10076)"</f>
        <v>FARMÁCIA INDIANA LJ 175 (10076)</v>
      </c>
      <c r="R3523" t="str">
        <f t="shared" si="1692"/>
        <v>RECEITAS COM ENTREGAS (303)</v>
      </c>
      <c r="S3523">
        <v>1981</v>
      </c>
      <c r="T3523">
        <v>1426</v>
      </c>
      <c r="U3523" t="s">
        <v>19</v>
      </c>
    </row>
    <row r="3524" spans="1:21">
      <c r="A3524" t="str">
        <f t="shared" ref="A3524:A3555" si="1695">("02/07/2025")</f>
        <v>02/07/2025</v>
      </c>
      <c r="B3524" t="str">
        <f t="shared" si="1693"/>
        <v>ENTRADA</v>
      </c>
      <c r="C3524" t="str">
        <f t="shared" ref="C3524:C3555" si="1696">"NFSE"</f>
        <v>NFSE</v>
      </c>
      <c r="D3524" t="str">
        <f t="shared" si="1685"/>
        <v>3142</v>
      </c>
      <c r="E3524" t="str">
        <f t="shared" si="1694"/>
        <v>COM</v>
      </c>
      <c r="F3524" t="str">
        <f t="shared" si="1686"/>
        <v>FARMÁCIA INDIANA LJ 1 (10126)</v>
      </c>
      <c r="G3524" t="str">
        <f t="shared" si="1687"/>
        <v>Serv.Prest. 16/06/2025 a 22/06/2025 - RPS: 911 - NFSe: 3142</v>
      </c>
      <c r="H3524" t="str">
        <f t="shared" ref="H3524:H3555" si="1697">("02/07/2025")</f>
        <v>02/07/2025</v>
      </c>
      <c r="I3524" t="str">
        <f t="shared" ref="I3524:I3558" si="1698">("23/06/2025")</f>
        <v>23/06/2025</v>
      </c>
      <c r="J3524" t="str">
        <f t="shared" ref="J3524:J3555" si="1699">("02/07/2025")</f>
        <v>02/07/2025</v>
      </c>
      <c r="M3524">
        <v>303</v>
      </c>
      <c r="N3524" t="str">
        <f t="shared" ref="N3524:N3555" si="1700">"RECEITAS COM ENTREGAS"</f>
        <v>RECEITAS COM ENTREGAS</v>
      </c>
      <c r="P3524">
        <v>150.16</v>
      </c>
      <c r="Q3524" t="str">
        <f>"FARMÁCIA INDIANA LJ 178 (10077)"</f>
        <v>FARMÁCIA INDIANA LJ 178 (10077)</v>
      </c>
      <c r="R3524" t="str">
        <f t="shared" ref="R3524:R3555" si="1701">"RECEITAS COM ENTREGAS (303)"</f>
        <v>RECEITAS COM ENTREGAS (303)</v>
      </c>
      <c r="S3524">
        <v>1981</v>
      </c>
      <c r="T3524">
        <v>1426</v>
      </c>
      <c r="U3524" t="s">
        <v>19</v>
      </c>
    </row>
    <row r="3525" spans="1:21">
      <c r="A3525" t="str">
        <f t="shared" si="1695"/>
        <v>02/07/2025</v>
      </c>
      <c r="B3525" t="str">
        <f t="shared" si="1693"/>
        <v>ENTRADA</v>
      </c>
      <c r="C3525" t="str">
        <f t="shared" si="1696"/>
        <v>NFSE</v>
      </c>
      <c r="D3525" t="str">
        <f t="shared" si="1685"/>
        <v>3142</v>
      </c>
      <c r="E3525" t="str">
        <f t="shared" si="1694"/>
        <v>COM</v>
      </c>
      <c r="F3525" t="str">
        <f t="shared" si="1686"/>
        <v>FARMÁCIA INDIANA LJ 1 (10126)</v>
      </c>
      <c r="G3525" t="str">
        <f t="shared" si="1687"/>
        <v>Serv.Prest. 16/06/2025 a 22/06/2025 - RPS: 911 - NFSe: 3142</v>
      </c>
      <c r="H3525" t="str">
        <f t="shared" si="1697"/>
        <v>02/07/2025</v>
      </c>
      <c r="I3525" t="str">
        <f t="shared" si="1698"/>
        <v>23/06/2025</v>
      </c>
      <c r="J3525" t="str">
        <f t="shared" si="1699"/>
        <v>02/07/2025</v>
      </c>
      <c r="M3525">
        <v>303</v>
      </c>
      <c r="N3525" t="str">
        <f t="shared" si="1700"/>
        <v>RECEITAS COM ENTREGAS</v>
      </c>
      <c r="P3525">
        <v>75.08</v>
      </c>
      <c r="Q3525" t="str">
        <f>"FARMÁCIA INDIANA LJ 182 (10079)"</f>
        <v>FARMÁCIA INDIANA LJ 182 (10079)</v>
      </c>
      <c r="R3525" t="str">
        <f t="shared" si="1701"/>
        <v>RECEITAS COM ENTREGAS (303)</v>
      </c>
      <c r="S3525">
        <v>1981</v>
      </c>
      <c r="T3525">
        <v>1426</v>
      </c>
      <c r="U3525" t="s">
        <v>19</v>
      </c>
    </row>
    <row r="3526" spans="1:21">
      <c r="A3526" t="str">
        <f t="shared" si="1695"/>
        <v>02/07/2025</v>
      </c>
      <c r="B3526" t="str">
        <f t="shared" si="1693"/>
        <v>ENTRADA</v>
      </c>
      <c r="C3526" t="str">
        <f t="shared" si="1696"/>
        <v>NFSE</v>
      </c>
      <c r="D3526" t="str">
        <f t="shared" si="1685"/>
        <v>3142</v>
      </c>
      <c r="E3526" t="str">
        <f t="shared" si="1694"/>
        <v>COM</v>
      </c>
      <c r="F3526" t="str">
        <f t="shared" si="1686"/>
        <v>FARMÁCIA INDIANA LJ 1 (10126)</v>
      </c>
      <c r="G3526" t="str">
        <f t="shared" si="1687"/>
        <v>Serv.Prest. 16/06/2025 a 22/06/2025 - RPS: 911 - NFSe: 3142</v>
      </c>
      <c r="H3526" t="str">
        <f t="shared" si="1697"/>
        <v>02/07/2025</v>
      </c>
      <c r="I3526" t="str">
        <f t="shared" si="1698"/>
        <v>23/06/2025</v>
      </c>
      <c r="J3526" t="str">
        <f t="shared" si="1699"/>
        <v>02/07/2025</v>
      </c>
      <c r="M3526">
        <v>303</v>
      </c>
      <c r="N3526" t="str">
        <f t="shared" si="1700"/>
        <v>RECEITAS COM ENTREGAS</v>
      </c>
      <c r="P3526">
        <v>39.520000000000003</v>
      </c>
      <c r="Q3526" t="str">
        <f>"FARMÁCIA INDIANA LJ 184 (10080)"</f>
        <v>FARMÁCIA INDIANA LJ 184 (10080)</v>
      </c>
      <c r="R3526" t="str">
        <f t="shared" si="1701"/>
        <v>RECEITAS COM ENTREGAS (303)</v>
      </c>
      <c r="S3526">
        <v>1981</v>
      </c>
      <c r="T3526">
        <v>1426</v>
      </c>
      <c r="U3526" t="s">
        <v>19</v>
      </c>
    </row>
    <row r="3527" spans="1:21">
      <c r="A3527" t="str">
        <f t="shared" si="1695"/>
        <v>02/07/2025</v>
      </c>
      <c r="B3527" t="str">
        <f t="shared" si="1693"/>
        <v>ENTRADA</v>
      </c>
      <c r="C3527" t="str">
        <f t="shared" si="1696"/>
        <v>NFSE</v>
      </c>
      <c r="D3527" t="str">
        <f t="shared" si="1685"/>
        <v>3142</v>
      </c>
      <c r="E3527" t="str">
        <f t="shared" si="1694"/>
        <v>COM</v>
      </c>
      <c r="F3527" t="str">
        <f t="shared" si="1686"/>
        <v>FARMÁCIA INDIANA LJ 1 (10126)</v>
      </c>
      <c r="G3527" t="str">
        <f t="shared" si="1687"/>
        <v>Serv.Prest. 16/06/2025 a 22/06/2025 - RPS: 911 - NFSe: 3142</v>
      </c>
      <c r="H3527" t="str">
        <f t="shared" si="1697"/>
        <v>02/07/2025</v>
      </c>
      <c r="I3527" t="str">
        <f t="shared" si="1698"/>
        <v>23/06/2025</v>
      </c>
      <c r="J3527" t="str">
        <f t="shared" si="1699"/>
        <v>02/07/2025</v>
      </c>
      <c r="M3527">
        <v>303</v>
      </c>
      <c r="N3527" t="str">
        <f t="shared" si="1700"/>
        <v>RECEITAS COM ENTREGAS</v>
      </c>
      <c r="P3527">
        <v>75.08</v>
      </c>
      <c r="Q3527" t="str">
        <f>"FARMÁCIA INDIANA LJ 186 (10081)"</f>
        <v>FARMÁCIA INDIANA LJ 186 (10081)</v>
      </c>
      <c r="R3527" t="str">
        <f t="shared" si="1701"/>
        <v>RECEITAS COM ENTREGAS (303)</v>
      </c>
      <c r="S3527">
        <v>1981</v>
      </c>
      <c r="T3527">
        <v>1426</v>
      </c>
      <c r="U3527" t="s">
        <v>19</v>
      </c>
    </row>
    <row r="3528" spans="1:21">
      <c r="A3528" t="str">
        <f t="shared" si="1695"/>
        <v>02/07/2025</v>
      </c>
      <c r="B3528" t="str">
        <f t="shared" si="1693"/>
        <v>ENTRADA</v>
      </c>
      <c r="C3528" t="str">
        <f t="shared" si="1696"/>
        <v>NFSE</v>
      </c>
      <c r="D3528" t="str">
        <f t="shared" si="1685"/>
        <v>3142</v>
      </c>
      <c r="E3528" t="str">
        <f t="shared" si="1694"/>
        <v>COM</v>
      </c>
      <c r="F3528" t="str">
        <f t="shared" si="1686"/>
        <v>FARMÁCIA INDIANA LJ 1 (10126)</v>
      </c>
      <c r="G3528" t="str">
        <f t="shared" si="1687"/>
        <v>Serv.Prest. 16/06/2025 a 22/06/2025 - RPS: 911 - NFSe: 3142</v>
      </c>
      <c r="H3528" t="str">
        <f t="shared" si="1697"/>
        <v>02/07/2025</v>
      </c>
      <c r="I3528" t="str">
        <f t="shared" si="1698"/>
        <v>23/06/2025</v>
      </c>
      <c r="J3528" t="str">
        <f t="shared" si="1699"/>
        <v>02/07/2025</v>
      </c>
      <c r="M3528">
        <v>303</v>
      </c>
      <c r="N3528" t="str">
        <f t="shared" si="1700"/>
        <v>RECEITAS COM ENTREGAS</v>
      </c>
      <c r="P3528">
        <v>92.2</v>
      </c>
      <c r="Q3528" t="str">
        <f>"FARMÁCIA INDIANA LJ 192 (10082)"</f>
        <v>FARMÁCIA INDIANA LJ 192 (10082)</v>
      </c>
      <c r="R3528" t="str">
        <f t="shared" si="1701"/>
        <v>RECEITAS COM ENTREGAS (303)</v>
      </c>
      <c r="S3528">
        <v>1981</v>
      </c>
      <c r="T3528">
        <v>1426</v>
      </c>
      <c r="U3528" t="s">
        <v>19</v>
      </c>
    </row>
    <row r="3529" spans="1:21">
      <c r="A3529" t="str">
        <f t="shared" si="1695"/>
        <v>02/07/2025</v>
      </c>
      <c r="B3529" t="str">
        <f t="shared" si="1693"/>
        <v>ENTRADA</v>
      </c>
      <c r="C3529" t="str">
        <f t="shared" si="1696"/>
        <v>NFSE</v>
      </c>
      <c r="D3529" t="str">
        <f t="shared" si="1685"/>
        <v>3142</v>
      </c>
      <c r="E3529" t="str">
        <f t="shared" si="1694"/>
        <v>COM</v>
      </c>
      <c r="F3529" t="str">
        <f t="shared" si="1686"/>
        <v>FARMÁCIA INDIANA LJ 1 (10126)</v>
      </c>
      <c r="G3529" t="str">
        <f t="shared" si="1687"/>
        <v>Serv.Prest. 16/06/2025 a 22/06/2025 - RPS: 911 - NFSe: 3142</v>
      </c>
      <c r="H3529" t="str">
        <f t="shared" si="1697"/>
        <v>02/07/2025</v>
      </c>
      <c r="I3529" t="str">
        <f t="shared" si="1698"/>
        <v>23/06/2025</v>
      </c>
      <c r="J3529" t="str">
        <f t="shared" si="1699"/>
        <v>02/07/2025</v>
      </c>
      <c r="M3529">
        <v>303</v>
      </c>
      <c r="N3529" t="str">
        <f t="shared" si="1700"/>
        <v>RECEITAS COM ENTREGAS</v>
      </c>
      <c r="P3529">
        <v>39.520000000000003</v>
      </c>
      <c r="Q3529" t="str">
        <f>"FARMÁCIA INDIANA LJ 195 (10083)"</f>
        <v>FARMÁCIA INDIANA LJ 195 (10083)</v>
      </c>
      <c r="R3529" t="str">
        <f t="shared" si="1701"/>
        <v>RECEITAS COM ENTREGAS (303)</v>
      </c>
      <c r="S3529">
        <v>1981</v>
      </c>
      <c r="T3529">
        <v>1426</v>
      </c>
      <c r="U3529" t="s">
        <v>19</v>
      </c>
    </row>
    <row r="3530" spans="1:21">
      <c r="A3530" t="str">
        <f t="shared" si="1695"/>
        <v>02/07/2025</v>
      </c>
      <c r="B3530" t="str">
        <f t="shared" si="1693"/>
        <v>ENTRADA</v>
      </c>
      <c r="C3530" t="str">
        <f t="shared" si="1696"/>
        <v>NFSE</v>
      </c>
      <c r="D3530" t="str">
        <f t="shared" si="1685"/>
        <v>3142</v>
      </c>
      <c r="E3530" t="str">
        <f t="shared" si="1694"/>
        <v>COM</v>
      </c>
      <c r="F3530" t="str">
        <f t="shared" si="1686"/>
        <v>FARMÁCIA INDIANA LJ 1 (10126)</v>
      </c>
      <c r="G3530" t="str">
        <f t="shared" si="1687"/>
        <v>Serv.Prest. 16/06/2025 a 22/06/2025 - RPS: 911 - NFSe: 3142</v>
      </c>
      <c r="H3530" t="str">
        <f t="shared" si="1697"/>
        <v>02/07/2025</v>
      </c>
      <c r="I3530" t="str">
        <f t="shared" si="1698"/>
        <v>23/06/2025</v>
      </c>
      <c r="J3530" t="str">
        <f t="shared" si="1699"/>
        <v>02/07/2025</v>
      </c>
      <c r="M3530">
        <v>303</v>
      </c>
      <c r="N3530" t="str">
        <f t="shared" si="1700"/>
        <v>RECEITAS COM ENTREGAS</v>
      </c>
      <c r="P3530">
        <v>150.16</v>
      </c>
      <c r="Q3530" t="str">
        <f>"FARMÁCIA INDIANA LJ 202 (10085)"</f>
        <v>FARMÁCIA INDIANA LJ 202 (10085)</v>
      </c>
      <c r="R3530" t="str">
        <f t="shared" si="1701"/>
        <v>RECEITAS COM ENTREGAS (303)</v>
      </c>
      <c r="S3530">
        <v>1981</v>
      </c>
      <c r="T3530">
        <v>1426</v>
      </c>
      <c r="U3530" t="s">
        <v>19</v>
      </c>
    </row>
    <row r="3531" spans="1:21">
      <c r="A3531" t="str">
        <f t="shared" si="1695"/>
        <v>02/07/2025</v>
      </c>
      <c r="B3531" t="str">
        <f t="shared" si="1693"/>
        <v>ENTRADA</v>
      </c>
      <c r="C3531" t="str">
        <f t="shared" si="1696"/>
        <v>NFSE</v>
      </c>
      <c r="D3531" t="str">
        <f t="shared" si="1685"/>
        <v>3142</v>
      </c>
      <c r="E3531" t="str">
        <f t="shared" si="1694"/>
        <v>COM</v>
      </c>
      <c r="F3531" t="str">
        <f t="shared" si="1686"/>
        <v>FARMÁCIA INDIANA LJ 1 (10126)</v>
      </c>
      <c r="G3531" t="str">
        <f t="shared" si="1687"/>
        <v>Serv.Prest. 16/06/2025 a 22/06/2025 - RPS: 911 - NFSe: 3142</v>
      </c>
      <c r="H3531" t="str">
        <f t="shared" si="1697"/>
        <v>02/07/2025</v>
      </c>
      <c r="I3531" t="str">
        <f t="shared" si="1698"/>
        <v>23/06/2025</v>
      </c>
      <c r="J3531" t="str">
        <f t="shared" si="1699"/>
        <v>02/07/2025</v>
      </c>
      <c r="M3531">
        <v>303</v>
      </c>
      <c r="N3531" t="str">
        <f t="shared" si="1700"/>
        <v>RECEITAS COM ENTREGAS</v>
      </c>
      <c r="P3531">
        <v>106.69</v>
      </c>
      <c r="Q3531" t="str">
        <f>"FARMÁCIA INDIANA LJ 204 (10087)"</f>
        <v>FARMÁCIA INDIANA LJ 204 (10087)</v>
      </c>
      <c r="R3531" t="str">
        <f t="shared" si="1701"/>
        <v>RECEITAS COM ENTREGAS (303)</v>
      </c>
      <c r="S3531">
        <v>1981</v>
      </c>
      <c r="T3531">
        <v>1426</v>
      </c>
      <c r="U3531" t="s">
        <v>19</v>
      </c>
    </row>
    <row r="3532" spans="1:21">
      <c r="A3532" t="str">
        <f t="shared" si="1695"/>
        <v>02/07/2025</v>
      </c>
      <c r="B3532" t="str">
        <f t="shared" si="1693"/>
        <v>ENTRADA</v>
      </c>
      <c r="C3532" t="str">
        <f t="shared" si="1696"/>
        <v>NFSE</v>
      </c>
      <c r="D3532" t="str">
        <f t="shared" si="1685"/>
        <v>3142</v>
      </c>
      <c r="E3532" t="str">
        <f t="shared" si="1694"/>
        <v>COM</v>
      </c>
      <c r="F3532" t="str">
        <f t="shared" si="1686"/>
        <v>FARMÁCIA INDIANA LJ 1 (10126)</v>
      </c>
      <c r="G3532" t="str">
        <f t="shared" si="1687"/>
        <v>Serv.Prest. 16/06/2025 a 22/06/2025 - RPS: 911 - NFSe: 3142</v>
      </c>
      <c r="H3532" t="str">
        <f t="shared" si="1697"/>
        <v>02/07/2025</v>
      </c>
      <c r="I3532" t="str">
        <f t="shared" si="1698"/>
        <v>23/06/2025</v>
      </c>
      <c r="J3532" t="str">
        <f t="shared" si="1699"/>
        <v>02/07/2025</v>
      </c>
      <c r="M3532">
        <v>303</v>
      </c>
      <c r="N3532" t="str">
        <f t="shared" si="1700"/>
        <v>RECEITAS COM ENTREGAS</v>
      </c>
      <c r="P3532">
        <v>106.69</v>
      </c>
      <c r="Q3532" t="str">
        <f>"FARMÁCIA INDIANA LJ 207 (10088)"</f>
        <v>FARMÁCIA INDIANA LJ 207 (10088)</v>
      </c>
      <c r="R3532" t="str">
        <f t="shared" si="1701"/>
        <v>RECEITAS COM ENTREGAS (303)</v>
      </c>
      <c r="S3532">
        <v>1981</v>
      </c>
      <c r="T3532">
        <v>1426</v>
      </c>
      <c r="U3532" t="s">
        <v>19</v>
      </c>
    </row>
    <row r="3533" spans="1:21">
      <c r="A3533" t="str">
        <f t="shared" si="1695"/>
        <v>02/07/2025</v>
      </c>
      <c r="B3533" t="str">
        <f t="shared" si="1693"/>
        <v>ENTRADA</v>
      </c>
      <c r="C3533" t="str">
        <f t="shared" si="1696"/>
        <v>NFSE</v>
      </c>
      <c r="D3533" t="str">
        <f t="shared" si="1685"/>
        <v>3142</v>
      </c>
      <c r="E3533" t="str">
        <f t="shared" si="1694"/>
        <v>COM</v>
      </c>
      <c r="F3533" t="str">
        <f t="shared" si="1686"/>
        <v>FARMÁCIA INDIANA LJ 1 (10126)</v>
      </c>
      <c r="G3533" t="str">
        <f t="shared" si="1687"/>
        <v>Serv.Prest. 16/06/2025 a 22/06/2025 - RPS: 911 - NFSe: 3142</v>
      </c>
      <c r="H3533" t="str">
        <f t="shared" si="1697"/>
        <v>02/07/2025</v>
      </c>
      <c r="I3533" t="str">
        <f t="shared" si="1698"/>
        <v>23/06/2025</v>
      </c>
      <c r="J3533" t="str">
        <f t="shared" si="1699"/>
        <v>02/07/2025</v>
      </c>
      <c r="M3533">
        <v>303</v>
      </c>
      <c r="N3533" t="str">
        <f t="shared" si="1700"/>
        <v>RECEITAS COM ENTREGAS</v>
      </c>
      <c r="P3533">
        <v>125.13</v>
      </c>
      <c r="Q3533" t="str">
        <f>"FARMÁCIA INDIANA LJ 209 (10089)"</f>
        <v>FARMÁCIA INDIANA LJ 209 (10089)</v>
      </c>
      <c r="R3533" t="str">
        <f t="shared" si="1701"/>
        <v>RECEITAS COM ENTREGAS (303)</v>
      </c>
      <c r="S3533">
        <v>1981</v>
      </c>
      <c r="T3533">
        <v>1426</v>
      </c>
      <c r="U3533" t="s">
        <v>19</v>
      </c>
    </row>
    <row r="3534" spans="1:21">
      <c r="A3534" t="str">
        <f t="shared" si="1695"/>
        <v>02/07/2025</v>
      </c>
      <c r="B3534" t="str">
        <f t="shared" si="1693"/>
        <v>ENTRADA</v>
      </c>
      <c r="C3534" t="str">
        <f t="shared" si="1696"/>
        <v>NFSE</v>
      </c>
      <c r="D3534" t="str">
        <f t="shared" si="1685"/>
        <v>3142</v>
      </c>
      <c r="E3534" t="str">
        <f t="shared" si="1694"/>
        <v>COM</v>
      </c>
      <c r="F3534" t="str">
        <f t="shared" si="1686"/>
        <v>FARMÁCIA INDIANA LJ 1 (10126)</v>
      </c>
      <c r="G3534" t="str">
        <f t="shared" si="1687"/>
        <v>Serv.Prest. 16/06/2025 a 22/06/2025 - RPS: 911 - NFSe: 3142</v>
      </c>
      <c r="H3534" t="str">
        <f t="shared" si="1697"/>
        <v>02/07/2025</v>
      </c>
      <c r="I3534" t="str">
        <f t="shared" si="1698"/>
        <v>23/06/2025</v>
      </c>
      <c r="J3534" t="str">
        <f t="shared" si="1699"/>
        <v>02/07/2025</v>
      </c>
      <c r="M3534">
        <v>303</v>
      </c>
      <c r="N3534" t="str">
        <f t="shared" si="1700"/>
        <v>RECEITAS COM ENTREGAS</v>
      </c>
      <c r="P3534">
        <v>173.87</v>
      </c>
      <c r="Q3534" t="str">
        <f>"FARMÁCIA INDIANA LJ 219 (10091)"</f>
        <v>FARMÁCIA INDIANA LJ 219 (10091)</v>
      </c>
      <c r="R3534" t="str">
        <f t="shared" si="1701"/>
        <v>RECEITAS COM ENTREGAS (303)</v>
      </c>
      <c r="S3534">
        <v>1981</v>
      </c>
      <c r="T3534">
        <v>1426</v>
      </c>
      <c r="U3534" t="s">
        <v>19</v>
      </c>
    </row>
    <row r="3535" spans="1:21">
      <c r="A3535" t="str">
        <f t="shared" si="1695"/>
        <v>02/07/2025</v>
      </c>
      <c r="B3535" t="str">
        <f t="shared" si="1693"/>
        <v>ENTRADA</v>
      </c>
      <c r="C3535" t="str">
        <f t="shared" si="1696"/>
        <v>NFSE</v>
      </c>
      <c r="D3535" t="str">
        <f t="shared" si="1685"/>
        <v>3142</v>
      </c>
      <c r="E3535" t="str">
        <f t="shared" si="1694"/>
        <v>COM</v>
      </c>
      <c r="F3535" t="str">
        <f t="shared" si="1686"/>
        <v>FARMÁCIA INDIANA LJ 1 (10126)</v>
      </c>
      <c r="G3535" t="str">
        <f t="shared" si="1687"/>
        <v>Serv.Prest. 16/06/2025 a 22/06/2025 - RPS: 911 - NFSe: 3142</v>
      </c>
      <c r="H3535" t="str">
        <f t="shared" si="1697"/>
        <v>02/07/2025</v>
      </c>
      <c r="I3535" t="str">
        <f t="shared" si="1698"/>
        <v>23/06/2025</v>
      </c>
      <c r="J3535" t="str">
        <f t="shared" si="1699"/>
        <v>02/07/2025</v>
      </c>
      <c r="M3535">
        <v>303</v>
      </c>
      <c r="N3535" t="str">
        <f t="shared" si="1700"/>
        <v>RECEITAS COM ENTREGAS</v>
      </c>
      <c r="P3535">
        <v>204.17</v>
      </c>
      <c r="Q3535" t="str">
        <f>"FARMÁCIA INDIANA LJ 220 (10092)"</f>
        <v>FARMÁCIA INDIANA LJ 220 (10092)</v>
      </c>
      <c r="R3535" t="str">
        <f t="shared" si="1701"/>
        <v>RECEITAS COM ENTREGAS (303)</v>
      </c>
      <c r="S3535">
        <v>1981</v>
      </c>
      <c r="T3535">
        <v>1426</v>
      </c>
      <c r="U3535" t="s">
        <v>19</v>
      </c>
    </row>
    <row r="3536" spans="1:21">
      <c r="A3536" t="str">
        <f t="shared" si="1695"/>
        <v>02/07/2025</v>
      </c>
      <c r="B3536" t="str">
        <f t="shared" si="1693"/>
        <v>ENTRADA</v>
      </c>
      <c r="C3536" t="str">
        <f t="shared" si="1696"/>
        <v>NFSE</v>
      </c>
      <c r="D3536" t="str">
        <f t="shared" si="1685"/>
        <v>3142</v>
      </c>
      <c r="E3536" t="str">
        <f t="shared" si="1694"/>
        <v>COM</v>
      </c>
      <c r="F3536" t="str">
        <f t="shared" si="1686"/>
        <v>FARMÁCIA INDIANA LJ 1 (10126)</v>
      </c>
      <c r="G3536" t="str">
        <f t="shared" si="1687"/>
        <v>Serv.Prest. 16/06/2025 a 22/06/2025 - RPS: 911 - NFSe: 3142</v>
      </c>
      <c r="H3536" t="str">
        <f t="shared" si="1697"/>
        <v>02/07/2025</v>
      </c>
      <c r="I3536" t="str">
        <f t="shared" si="1698"/>
        <v>23/06/2025</v>
      </c>
      <c r="J3536" t="str">
        <f t="shared" si="1699"/>
        <v>02/07/2025</v>
      </c>
      <c r="M3536">
        <v>303</v>
      </c>
      <c r="N3536" t="str">
        <f t="shared" si="1700"/>
        <v>RECEITAS COM ENTREGAS</v>
      </c>
      <c r="P3536">
        <v>172.55</v>
      </c>
      <c r="Q3536" t="str">
        <f>"FARMÁCIA INDIANA LJ 185 (10141)"</f>
        <v>FARMÁCIA INDIANA LJ 185 (10141)</v>
      </c>
      <c r="R3536" t="str">
        <f t="shared" si="1701"/>
        <v>RECEITAS COM ENTREGAS (303)</v>
      </c>
      <c r="S3536">
        <v>1981</v>
      </c>
      <c r="T3536">
        <v>1426</v>
      </c>
      <c r="U3536" t="s">
        <v>19</v>
      </c>
    </row>
    <row r="3537" spans="1:21">
      <c r="A3537" t="str">
        <f t="shared" si="1695"/>
        <v>02/07/2025</v>
      </c>
      <c r="B3537" t="str">
        <f t="shared" si="1693"/>
        <v>ENTRADA</v>
      </c>
      <c r="C3537" t="str">
        <f t="shared" si="1696"/>
        <v>NFSE</v>
      </c>
      <c r="D3537" t="str">
        <f t="shared" si="1685"/>
        <v>3142</v>
      </c>
      <c r="E3537" t="str">
        <f t="shared" si="1694"/>
        <v>COM</v>
      </c>
      <c r="F3537" t="str">
        <f t="shared" si="1686"/>
        <v>FARMÁCIA INDIANA LJ 1 (10126)</v>
      </c>
      <c r="G3537" t="str">
        <f t="shared" si="1687"/>
        <v>Serv.Prest. 16/06/2025 a 22/06/2025 - RPS: 911 - NFSe: 3142</v>
      </c>
      <c r="H3537" t="str">
        <f t="shared" si="1697"/>
        <v>02/07/2025</v>
      </c>
      <c r="I3537" t="str">
        <f t="shared" si="1698"/>
        <v>23/06/2025</v>
      </c>
      <c r="J3537" t="str">
        <f t="shared" si="1699"/>
        <v>02/07/2025</v>
      </c>
      <c r="M3537">
        <v>303</v>
      </c>
      <c r="N3537" t="str">
        <f t="shared" si="1700"/>
        <v>RECEITAS COM ENTREGAS</v>
      </c>
      <c r="P3537">
        <v>580.89</v>
      </c>
      <c r="Q3537" t="str">
        <f>"FARMÁCIA INDIANA LJ 172 (10161)"</f>
        <v>FARMÁCIA INDIANA LJ 172 (10161)</v>
      </c>
      <c r="R3537" t="str">
        <f t="shared" si="1701"/>
        <v>RECEITAS COM ENTREGAS (303)</v>
      </c>
      <c r="S3537">
        <v>1981</v>
      </c>
      <c r="T3537">
        <v>1426</v>
      </c>
      <c r="U3537" t="s">
        <v>19</v>
      </c>
    </row>
    <row r="3538" spans="1:21">
      <c r="A3538" t="str">
        <f t="shared" si="1695"/>
        <v>02/07/2025</v>
      </c>
      <c r="B3538" t="str">
        <f t="shared" si="1693"/>
        <v>ENTRADA</v>
      </c>
      <c r="C3538" t="str">
        <f t="shared" si="1696"/>
        <v>NFSE</v>
      </c>
      <c r="D3538" t="str">
        <f t="shared" ref="D3538:D3549" si="1702">"3143"</f>
        <v>3143</v>
      </c>
      <c r="E3538" t="str">
        <f t="shared" si="1694"/>
        <v>COM</v>
      </c>
      <c r="F3538" t="str">
        <f t="shared" ref="F3538:F3549" si="1703">"FARMÁCIA INDIANA LJ 30 (10127)"</f>
        <v>FARMÁCIA INDIANA LJ 30 (10127)</v>
      </c>
      <c r="G3538" t="str">
        <f t="shared" ref="G3538:G3549" si="1704">"Serv.Prest. 16/06/2025 a 22/06/2025 - RPS: 912 - NFSe: 3143"</f>
        <v>Serv.Prest. 16/06/2025 a 22/06/2025 - RPS: 912 - NFSe: 3143</v>
      </c>
      <c r="H3538" t="str">
        <f t="shared" si="1697"/>
        <v>02/07/2025</v>
      </c>
      <c r="I3538" t="str">
        <f t="shared" si="1698"/>
        <v>23/06/2025</v>
      </c>
      <c r="J3538" t="str">
        <f t="shared" si="1699"/>
        <v>02/07/2025</v>
      </c>
      <c r="K3538">
        <v>2717.83</v>
      </c>
      <c r="L3538">
        <v>2717.83</v>
      </c>
      <c r="M3538">
        <v>303</v>
      </c>
      <c r="N3538" t="str">
        <f t="shared" si="1700"/>
        <v>RECEITAS COM ENTREGAS</v>
      </c>
      <c r="O3538">
        <v>2717.83</v>
      </c>
      <c r="R3538" t="str">
        <f t="shared" si="1701"/>
        <v>RECEITAS COM ENTREGAS (303)</v>
      </c>
      <c r="S3538">
        <v>1982</v>
      </c>
      <c r="T3538">
        <v>1427</v>
      </c>
      <c r="U3538" t="s">
        <v>19</v>
      </c>
    </row>
    <row r="3539" spans="1:21">
      <c r="A3539" t="str">
        <f t="shared" si="1695"/>
        <v>02/07/2025</v>
      </c>
      <c r="B3539" t="str">
        <f t="shared" si="1693"/>
        <v>ENTRADA</v>
      </c>
      <c r="C3539" t="str">
        <f t="shared" si="1696"/>
        <v>NFSE</v>
      </c>
      <c r="D3539" t="str">
        <f t="shared" si="1702"/>
        <v>3143</v>
      </c>
      <c r="E3539" t="str">
        <f t="shared" si="1694"/>
        <v>COM</v>
      </c>
      <c r="F3539" t="str">
        <f t="shared" si="1703"/>
        <v>FARMÁCIA INDIANA LJ 30 (10127)</v>
      </c>
      <c r="G3539" t="str">
        <f t="shared" si="1704"/>
        <v>Serv.Prest. 16/06/2025 a 22/06/2025 - RPS: 912 - NFSe: 3143</v>
      </c>
      <c r="H3539" t="str">
        <f t="shared" si="1697"/>
        <v>02/07/2025</v>
      </c>
      <c r="I3539" t="str">
        <f t="shared" si="1698"/>
        <v>23/06/2025</v>
      </c>
      <c r="J3539" t="str">
        <f t="shared" si="1699"/>
        <v>02/07/2025</v>
      </c>
      <c r="M3539">
        <v>303</v>
      </c>
      <c r="N3539" t="str">
        <f t="shared" si="1700"/>
        <v>RECEITAS COM ENTREGAS</v>
      </c>
      <c r="P3539">
        <v>315.83</v>
      </c>
      <c r="Q3539" t="str">
        <f>"FARMÁCIA INDIANA LJ 34 (10014)"</f>
        <v>FARMÁCIA INDIANA LJ 34 (10014)</v>
      </c>
      <c r="R3539" t="str">
        <f t="shared" si="1701"/>
        <v>RECEITAS COM ENTREGAS (303)</v>
      </c>
      <c r="S3539">
        <v>1982</v>
      </c>
      <c r="T3539">
        <v>1427</v>
      </c>
      <c r="U3539" t="s">
        <v>19</v>
      </c>
    </row>
    <row r="3540" spans="1:21">
      <c r="A3540" t="str">
        <f t="shared" si="1695"/>
        <v>02/07/2025</v>
      </c>
      <c r="B3540" t="str">
        <f t="shared" si="1693"/>
        <v>ENTRADA</v>
      </c>
      <c r="C3540" t="str">
        <f t="shared" si="1696"/>
        <v>NFSE</v>
      </c>
      <c r="D3540" t="str">
        <f t="shared" si="1702"/>
        <v>3143</v>
      </c>
      <c r="E3540" t="str">
        <f t="shared" si="1694"/>
        <v>COM</v>
      </c>
      <c r="F3540" t="str">
        <f t="shared" si="1703"/>
        <v>FARMÁCIA INDIANA LJ 30 (10127)</v>
      </c>
      <c r="G3540" t="str">
        <f t="shared" si="1704"/>
        <v>Serv.Prest. 16/06/2025 a 22/06/2025 - RPS: 912 - NFSe: 3143</v>
      </c>
      <c r="H3540" t="str">
        <f t="shared" si="1697"/>
        <v>02/07/2025</v>
      </c>
      <c r="I3540" t="str">
        <f t="shared" si="1698"/>
        <v>23/06/2025</v>
      </c>
      <c r="J3540" t="str">
        <f t="shared" si="1699"/>
        <v>02/07/2025</v>
      </c>
      <c r="M3540">
        <v>303</v>
      </c>
      <c r="N3540" t="str">
        <f t="shared" si="1700"/>
        <v>RECEITAS COM ENTREGAS</v>
      </c>
      <c r="P3540">
        <v>223.95</v>
      </c>
      <c r="Q3540" t="str">
        <f>"FARMÁCIA INDIANA LJ 35 (10015)"</f>
        <v>FARMÁCIA INDIANA LJ 35 (10015)</v>
      </c>
      <c r="R3540" t="str">
        <f t="shared" si="1701"/>
        <v>RECEITAS COM ENTREGAS (303)</v>
      </c>
      <c r="S3540">
        <v>1982</v>
      </c>
      <c r="T3540">
        <v>1427</v>
      </c>
      <c r="U3540" t="s">
        <v>19</v>
      </c>
    </row>
    <row r="3541" spans="1:21">
      <c r="A3541" t="str">
        <f t="shared" si="1695"/>
        <v>02/07/2025</v>
      </c>
      <c r="B3541" t="str">
        <f t="shared" si="1693"/>
        <v>ENTRADA</v>
      </c>
      <c r="C3541" t="str">
        <f t="shared" si="1696"/>
        <v>NFSE</v>
      </c>
      <c r="D3541" t="str">
        <f t="shared" si="1702"/>
        <v>3143</v>
      </c>
      <c r="E3541" t="str">
        <f t="shared" si="1694"/>
        <v>COM</v>
      </c>
      <c r="F3541" t="str">
        <f t="shared" si="1703"/>
        <v>FARMÁCIA INDIANA LJ 30 (10127)</v>
      </c>
      <c r="G3541" t="str">
        <f t="shared" si="1704"/>
        <v>Serv.Prest. 16/06/2025 a 22/06/2025 - RPS: 912 - NFSe: 3143</v>
      </c>
      <c r="H3541" t="str">
        <f t="shared" si="1697"/>
        <v>02/07/2025</v>
      </c>
      <c r="I3541" t="str">
        <f t="shared" si="1698"/>
        <v>23/06/2025</v>
      </c>
      <c r="J3541" t="str">
        <f t="shared" si="1699"/>
        <v>02/07/2025</v>
      </c>
      <c r="M3541">
        <v>303</v>
      </c>
      <c r="N3541" t="str">
        <f t="shared" si="1700"/>
        <v>RECEITAS COM ENTREGAS</v>
      </c>
      <c r="P3541">
        <v>264.44</v>
      </c>
      <c r="Q3541" t="str">
        <f>"FARMÁCIA INDIANA LJ 48 (10018)"</f>
        <v>FARMÁCIA INDIANA LJ 48 (10018)</v>
      </c>
      <c r="R3541" t="str">
        <f t="shared" si="1701"/>
        <v>RECEITAS COM ENTREGAS (303)</v>
      </c>
      <c r="S3541">
        <v>1982</v>
      </c>
      <c r="T3541">
        <v>1427</v>
      </c>
      <c r="U3541" t="s">
        <v>19</v>
      </c>
    </row>
    <row r="3542" spans="1:21">
      <c r="A3542" t="str">
        <f t="shared" si="1695"/>
        <v>02/07/2025</v>
      </c>
      <c r="B3542" t="str">
        <f t="shared" si="1693"/>
        <v>ENTRADA</v>
      </c>
      <c r="C3542" t="str">
        <f t="shared" si="1696"/>
        <v>NFSE</v>
      </c>
      <c r="D3542" t="str">
        <f t="shared" si="1702"/>
        <v>3143</v>
      </c>
      <c r="E3542" t="str">
        <f t="shared" si="1694"/>
        <v>COM</v>
      </c>
      <c r="F3542" t="str">
        <f t="shared" si="1703"/>
        <v>FARMÁCIA INDIANA LJ 30 (10127)</v>
      </c>
      <c r="G3542" t="str">
        <f t="shared" si="1704"/>
        <v>Serv.Prest. 16/06/2025 a 22/06/2025 - RPS: 912 - NFSe: 3143</v>
      </c>
      <c r="H3542" t="str">
        <f t="shared" si="1697"/>
        <v>02/07/2025</v>
      </c>
      <c r="I3542" t="str">
        <f t="shared" si="1698"/>
        <v>23/06/2025</v>
      </c>
      <c r="J3542" t="str">
        <f t="shared" si="1699"/>
        <v>02/07/2025</v>
      </c>
      <c r="M3542">
        <v>303</v>
      </c>
      <c r="N3542" t="str">
        <f t="shared" si="1700"/>
        <v>RECEITAS COM ENTREGAS</v>
      </c>
      <c r="P3542">
        <v>383.76</v>
      </c>
      <c r="Q3542" t="str">
        <f>"FARMÁCIA INDIANA LJ 65 (10030)"</f>
        <v>FARMÁCIA INDIANA LJ 65 (10030)</v>
      </c>
      <c r="R3542" t="str">
        <f t="shared" si="1701"/>
        <v>RECEITAS COM ENTREGAS (303)</v>
      </c>
      <c r="S3542">
        <v>1982</v>
      </c>
      <c r="T3542">
        <v>1427</v>
      </c>
      <c r="U3542" t="s">
        <v>19</v>
      </c>
    </row>
    <row r="3543" spans="1:21">
      <c r="A3543" t="str">
        <f t="shared" si="1695"/>
        <v>02/07/2025</v>
      </c>
      <c r="B3543" t="str">
        <f t="shared" si="1693"/>
        <v>ENTRADA</v>
      </c>
      <c r="C3543" t="str">
        <f t="shared" si="1696"/>
        <v>NFSE</v>
      </c>
      <c r="D3543" t="str">
        <f t="shared" si="1702"/>
        <v>3143</v>
      </c>
      <c r="E3543" t="str">
        <f t="shared" si="1694"/>
        <v>COM</v>
      </c>
      <c r="F3543" t="str">
        <f t="shared" si="1703"/>
        <v>FARMÁCIA INDIANA LJ 30 (10127)</v>
      </c>
      <c r="G3543" t="str">
        <f t="shared" si="1704"/>
        <v>Serv.Prest. 16/06/2025 a 22/06/2025 - RPS: 912 - NFSe: 3143</v>
      </c>
      <c r="H3543" t="str">
        <f t="shared" si="1697"/>
        <v>02/07/2025</v>
      </c>
      <c r="I3543" t="str">
        <f t="shared" si="1698"/>
        <v>23/06/2025</v>
      </c>
      <c r="J3543" t="str">
        <f t="shared" si="1699"/>
        <v>02/07/2025</v>
      </c>
      <c r="M3543">
        <v>303</v>
      </c>
      <c r="N3543" t="str">
        <f t="shared" si="1700"/>
        <v>RECEITAS COM ENTREGAS</v>
      </c>
      <c r="P3543">
        <v>128.55000000000001</v>
      </c>
      <c r="Q3543" t="str">
        <f>"FARMÁCIA INDIANA LJ 77 (10034)"</f>
        <v>FARMÁCIA INDIANA LJ 77 (10034)</v>
      </c>
      <c r="R3543" t="str">
        <f t="shared" si="1701"/>
        <v>RECEITAS COM ENTREGAS (303)</v>
      </c>
      <c r="S3543">
        <v>1982</v>
      </c>
      <c r="T3543">
        <v>1427</v>
      </c>
      <c r="U3543" t="s">
        <v>19</v>
      </c>
    </row>
    <row r="3544" spans="1:21">
      <c r="A3544" t="str">
        <f t="shared" si="1695"/>
        <v>02/07/2025</v>
      </c>
      <c r="B3544" t="str">
        <f t="shared" si="1693"/>
        <v>ENTRADA</v>
      </c>
      <c r="C3544" t="str">
        <f t="shared" si="1696"/>
        <v>NFSE</v>
      </c>
      <c r="D3544" t="str">
        <f t="shared" si="1702"/>
        <v>3143</v>
      </c>
      <c r="E3544" t="str">
        <f t="shared" si="1694"/>
        <v>COM</v>
      </c>
      <c r="F3544" t="str">
        <f t="shared" si="1703"/>
        <v>FARMÁCIA INDIANA LJ 30 (10127)</v>
      </c>
      <c r="G3544" t="str">
        <f t="shared" si="1704"/>
        <v>Serv.Prest. 16/06/2025 a 22/06/2025 - RPS: 912 - NFSe: 3143</v>
      </c>
      <c r="H3544" t="str">
        <f t="shared" si="1697"/>
        <v>02/07/2025</v>
      </c>
      <c r="I3544" t="str">
        <f t="shared" si="1698"/>
        <v>23/06/2025</v>
      </c>
      <c r="J3544" t="str">
        <f t="shared" si="1699"/>
        <v>02/07/2025</v>
      </c>
      <c r="M3544">
        <v>303</v>
      </c>
      <c r="N3544" t="str">
        <f t="shared" si="1700"/>
        <v>RECEITAS COM ENTREGAS</v>
      </c>
      <c r="P3544">
        <v>291.89</v>
      </c>
      <c r="Q3544" t="str">
        <f>"FARMÁCIA INDIANA LJ 91 (10037)"</f>
        <v>FARMÁCIA INDIANA LJ 91 (10037)</v>
      </c>
      <c r="R3544" t="str">
        <f t="shared" si="1701"/>
        <v>RECEITAS COM ENTREGAS (303)</v>
      </c>
      <c r="S3544">
        <v>1982</v>
      </c>
      <c r="T3544">
        <v>1427</v>
      </c>
      <c r="U3544" t="s">
        <v>19</v>
      </c>
    </row>
    <row r="3545" spans="1:21">
      <c r="A3545" t="str">
        <f t="shared" si="1695"/>
        <v>02/07/2025</v>
      </c>
      <c r="B3545" t="str">
        <f t="shared" si="1693"/>
        <v>ENTRADA</v>
      </c>
      <c r="C3545" t="str">
        <f t="shared" si="1696"/>
        <v>NFSE</v>
      </c>
      <c r="D3545" t="str">
        <f t="shared" si="1702"/>
        <v>3143</v>
      </c>
      <c r="E3545" t="str">
        <f t="shared" si="1694"/>
        <v>COM</v>
      </c>
      <c r="F3545" t="str">
        <f t="shared" si="1703"/>
        <v>FARMÁCIA INDIANA LJ 30 (10127)</v>
      </c>
      <c r="G3545" t="str">
        <f t="shared" si="1704"/>
        <v>Serv.Prest. 16/06/2025 a 22/06/2025 - RPS: 912 - NFSe: 3143</v>
      </c>
      <c r="H3545" t="str">
        <f t="shared" si="1697"/>
        <v>02/07/2025</v>
      </c>
      <c r="I3545" t="str">
        <f t="shared" si="1698"/>
        <v>23/06/2025</v>
      </c>
      <c r="J3545" t="str">
        <f t="shared" si="1699"/>
        <v>02/07/2025</v>
      </c>
      <c r="M3545">
        <v>303</v>
      </c>
      <c r="N3545" t="str">
        <f t="shared" si="1700"/>
        <v>RECEITAS COM ENTREGAS</v>
      </c>
      <c r="P3545">
        <v>341.9</v>
      </c>
      <c r="Q3545" t="str">
        <f>"FARMÁCIA INDIANA LJ 95 (10039)"</f>
        <v>FARMÁCIA INDIANA LJ 95 (10039)</v>
      </c>
      <c r="R3545" t="str">
        <f t="shared" si="1701"/>
        <v>RECEITAS COM ENTREGAS (303)</v>
      </c>
      <c r="S3545">
        <v>1982</v>
      </c>
      <c r="T3545">
        <v>1427</v>
      </c>
      <c r="U3545" t="s">
        <v>19</v>
      </c>
    </row>
    <row r="3546" spans="1:21">
      <c r="A3546" t="str">
        <f t="shared" si="1695"/>
        <v>02/07/2025</v>
      </c>
      <c r="B3546" t="str">
        <f t="shared" si="1693"/>
        <v>ENTRADA</v>
      </c>
      <c r="C3546" t="str">
        <f t="shared" si="1696"/>
        <v>NFSE</v>
      </c>
      <c r="D3546" t="str">
        <f t="shared" si="1702"/>
        <v>3143</v>
      </c>
      <c r="E3546" t="str">
        <f t="shared" si="1694"/>
        <v>COM</v>
      </c>
      <c r="F3546" t="str">
        <f t="shared" si="1703"/>
        <v>FARMÁCIA INDIANA LJ 30 (10127)</v>
      </c>
      <c r="G3546" t="str">
        <f t="shared" si="1704"/>
        <v>Serv.Prest. 16/06/2025 a 22/06/2025 - RPS: 912 - NFSe: 3143</v>
      </c>
      <c r="H3546" t="str">
        <f t="shared" si="1697"/>
        <v>02/07/2025</v>
      </c>
      <c r="I3546" t="str">
        <f t="shared" si="1698"/>
        <v>23/06/2025</v>
      </c>
      <c r="J3546" t="str">
        <f t="shared" si="1699"/>
        <v>02/07/2025</v>
      </c>
      <c r="M3546">
        <v>303</v>
      </c>
      <c r="N3546" t="str">
        <f t="shared" si="1700"/>
        <v>RECEITAS COM ENTREGAS</v>
      </c>
      <c r="P3546">
        <v>280.75</v>
      </c>
      <c r="Q3546" t="str">
        <f>"FARMÁCIA INDIANA LJ 145 (10068)"</f>
        <v>FARMÁCIA INDIANA LJ 145 (10068)</v>
      </c>
      <c r="R3546" t="str">
        <f t="shared" si="1701"/>
        <v>RECEITAS COM ENTREGAS (303)</v>
      </c>
      <c r="S3546">
        <v>1982</v>
      </c>
      <c r="T3546">
        <v>1427</v>
      </c>
      <c r="U3546" t="s">
        <v>19</v>
      </c>
    </row>
    <row r="3547" spans="1:21">
      <c r="A3547" t="str">
        <f t="shared" si="1695"/>
        <v>02/07/2025</v>
      </c>
      <c r="B3547" t="str">
        <f t="shared" si="1693"/>
        <v>ENTRADA</v>
      </c>
      <c r="C3547" t="str">
        <f t="shared" si="1696"/>
        <v>NFSE</v>
      </c>
      <c r="D3547" t="str">
        <f t="shared" si="1702"/>
        <v>3143</v>
      </c>
      <c r="E3547" t="str">
        <f t="shared" si="1694"/>
        <v>COM</v>
      </c>
      <c r="F3547" t="str">
        <f t="shared" si="1703"/>
        <v>FARMÁCIA INDIANA LJ 30 (10127)</v>
      </c>
      <c r="G3547" t="str">
        <f t="shared" si="1704"/>
        <v>Serv.Prest. 16/06/2025 a 22/06/2025 - RPS: 912 - NFSe: 3143</v>
      </c>
      <c r="H3547" t="str">
        <f t="shared" si="1697"/>
        <v>02/07/2025</v>
      </c>
      <c r="I3547" t="str">
        <f t="shared" si="1698"/>
        <v>23/06/2025</v>
      </c>
      <c r="J3547" t="str">
        <f t="shared" si="1699"/>
        <v>02/07/2025</v>
      </c>
      <c r="M3547">
        <v>303</v>
      </c>
      <c r="N3547" t="str">
        <f t="shared" si="1700"/>
        <v>RECEITAS COM ENTREGAS</v>
      </c>
      <c r="P3547">
        <v>144.86000000000001</v>
      </c>
      <c r="Q3547" t="str">
        <f>"FARMÁCIA INDIANA LJ 169 (10073)"</f>
        <v>FARMÁCIA INDIANA LJ 169 (10073)</v>
      </c>
      <c r="R3547" t="str">
        <f t="shared" si="1701"/>
        <v>RECEITAS COM ENTREGAS (303)</v>
      </c>
      <c r="S3547">
        <v>1982</v>
      </c>
      <c r="T3547">
        <v>1427</v>
      </c>
      <c r="U3547" t="s">
        <v>19</v>
      </c>
    </row>
    <row r="3548" spans="1:21">
      <c r="A3548" t="str">
        <f t="shared" si="1695"/>
        <v>02/07/2025</v>
      </c>
      <c r="B3548" t="str">
        <f t="shared" si="1693"/>
        <v>ENTRADA</v>
      </c>
      <c r="C3548" t="str">
        <f t="shared" si="1696"/>
        <v>NFSE</v>
      </c>
      <c r="D3548" t="str">
        <f t="shared" si="1702"/>
        <v>3143</v>
      </c>
      <c r="E3548" t="str">
        <f t="shared" si="1694"/>
        <v>COM</v>
      </c>
      <c r="F3548" t="str">
        <f t="shared" si="1703"/>
        <v>FARMÁCIA INDIANA LJ 30 (10127)</v>
      </c>
      <c r="G3548" t="str">
        <f t="shared" si="1704"/>
        <v>Serv.Prest. 16/06/2025 a 22/06/2025 - RPS: 912 - NFSe: 3143</v>
      </c>
      <c r="H3548" t="str">
        <f t="shared" si="1697"/>
        <v>02/07/2025</v>
      </c>
      <c r="I3548" t="str">
        <f t="shared" si="1698"/>
        <v>23/06/2025</v>
      </c>
      <c r="J3548" t="str">
        <f t="shared" si="1699"/>
        <v>02/07/2025</v>
      </c>
      <c r="M3548">
        <v>303</v>
      </c>
      <c r="N3548" t="str">
        <f t="shared" si="1700"/>
        <v>RECEITAS COM ENTREGAS</v>
      </c>
      <c r="P3548">
        <v>191.88</v>
      </c>
      <c r="Q3548" t="str">
        <f>"FARMÁCIA INDIANA LJ 173 (10075)"</f>
        <v>FARMÁCIA INDIANA LJ 173 (10075)</v>
      </c>
      <c r="R3548" t="str">
        <f t="shared" si="1701"/>
        <v>RECEITAS COM ENTREGAS (303)</v>
      </c>
      <c r="S3548">
        <v>1982</v>
      </c>
      <c r="T3548">
        <v>1427</v>
      </c>
      <c r="U3548" t="s">
        <v>19</v>
      </c>
    </row>
    <row r="3549" spans="1:21">
      <c r="A3549" t="str">
        <f t="shared" si="1695"/>
        <v>02/07/2025</v>
      </c>
      <c r="B3549" t="str">
        <f t="shared" si="1693"/>
        <v>ENTRADA</v>
      </c>
      <c r="C3549" t="str">
        <f t="shared" si="1696"/>
        <v>NFSE</v>
      </c>
      <c r="D3549" t="str">
        <f t="shared" si="1702"/>
        <v>3143</v>
      </c>
      <c r="E3549" t="str">
        <f t="shared" si="1694"/>
        <v>COM</v>
      </c>
      <c r="F3549" t="str">
        <f t="shared" si="1703"/>
        <v>FARMÁCIA INDIANA LJ 30 (10127)</v>
      </c>
      <c r="G3549" t="str">
        <f t="shared" si="1704"/>
        <v>Serv.Prest. 16/06/2025 a 22/06/2025 - RPS: 912 - NFSe: 3143</v>
      </c>
      <c r="H3549" t="str">
        <f t="shared" si="1697"/>
        <v>02/07/2025</v>
      </c>
      <c r="I3549" t="str">
        <f t="shared" si="1698"/>
        <v>23/06/2025</v>
      </c>
      <c r="J3549" t="str">
        <f t="shared" si="1699"/>
        <v>02/07/2025</v>
      </c>
      <c r="M3549">
        <v>303</v>
      </c>
      <c r="N3549" t="str">
        <f t="shared" si="1700"/>
        <v>RECEITAS COM ENTREGAS</v>
      </c>
      <c r="P3549">
        <v>150.02000000000001</v>
      </c>
      <c r="Q3549" t="str">
        <f>"FARMÁCIA INDIANA LJ 200 (10155)"</f>
        <v>FARMÁCIA INDIANA LJ 200 (10155)</v>
      </c>
      <c r="R3549" t="str">
        <f t="shared" si="1701"/>
        <v>RECEITAS COM ENTREGAS (303)</v>
      </c>
      <c r="S3549">
        <v>1982</v>
      </c>
      <c r="T3549">
        <v>1427</v>
      </c>
      <c r="U3549" t="s">
        <v>19</v>
      </c>
    </row>
    <row r="3550" spans="1:21">
      <c r="A3550" t="str">
        <f t="shared" si="1695"/>
        <v>02/07/2025</v>
      </c>
      <c r="B3550" t="str">
        <f t="shared" si="1693"/>
        <v>ENTRADA</v>
      </c>
      <c r="C3550" t="str">
        <f t="shared" si="1696"/>
        <v>NFSE</v>
      </c>
      <c r="D3550" t="str">
        <f t="shared" ref="D3550:D3558" si="1705">"3144"</f>
        <v>3144</v>
      </c>
      <c r="E3550" t="str">
        <f t="shared" si="1694"/>
        <v>COM</v>
      </c>
      <c r="F3550" t="str">
        <f t="shared" ref="F3550:F3558" si="1706">"FARMÁCIA INDIANA LJ 85 (10128)"</f>
        <v>FARMÁCIA INDIANA LJ 85 (10128)</v>
      </c>
      <c r="G3550" t="str">
        <f t="shared" ref="G3550:G3558" si="1707">"Serv.Prest. 16/06/2025 a 22/06/2025 - RPS: 913 - NFSe: 3144"</f>
        <v>Serv.Prest. 16/06/2025 a 22/06/2025 - RPS: 913 - NFSe: 3144</v>
      </c>
      <c r="H3550" t="str">
        <f t="shared" si="1697"/>
        <v>02/07/2025</v>
      </c>
      <c r="I3550" t="str">
        <f t="shared" si="1698"/>
        <v>23/06/2025</v>
      </c>
      <c r="J3550" t="str">
        <f t="shared" si="1699"/>
        <v>02/07/2025</v>
      </c>
      <c r="K3550">
        <v>1270.57</v>
      </c>
      <c r="L3550">
        <v>1270.57</v>
      </c>
      <c r="M3550">
        <v>303</v>
      </c>
      <c r="N3550" t="str">
        <f t="shared" si="1700"/>
        <v>RECEITAS COM ENTREGAS</v>
      </c>
      <c r="O3550">
        <v>1270.57</v>
      </c>
      <c r="R3550" t="str">
        <f t="shared" si="1701"/>
        <v>RECEITAS COM ENTREGAS (303)</v>
      </c>
      <c r="S3550">
        <v>1983</v>
      </c>
      <c r="T3550">
        <v>1428</v>
      </c>
      <c r="U3550" t="s">
        <v>19</v>
      </c>
    </row>
    <row r="3551" spans="1:21">
      <c r="A3551" t="str">
        <f t="shared" si="1695"/>
        <v>02/07/2025</v>
      </c>
      <c r="B3551" t="str">
        <f t="shared" si="1693"/>
        <v>ENTRADA</v>
      </c>
      <c r="C3551" t="str">
        <f t="shared" si="1696"/>
        <v>NFSE</v>
      </c>
      <c r="D3551" t="str">
        <f t="shared" si="1705"/>
        <v>3144</v>
      </c>
      <c r="E3551" t="str">
        <f t="shared" si="1694"/>
        <v>COM</v>
      </c>
      <c r="F3551" t="str">
        <f t="shared" si="1706"/>
        <v>FARMÁCIA INDIANA LJ 85 (10128)</v>
      </c>
      <c r="G3551" t="str">
        <f t="shared" si="1707"/>
        <v>Serv.Prest. 16/06/2025 a 22/06/2025 - RPS: 913 - NFSe: 3144</v>
      </c>
      <c r="H3551" t="str">
        <f t="shared" si="1697"/>
        <v>02/07/2025</v>
      </c>
      <c r="I3551" t="str">
        <f t="shared" si="1698"/>
        <v>23/06/2025</v>
      </c>
      <c r="J3551" t="str">
        <f t="shared" si="1699"/>
        <v>02/07/2025</v>
      </c>
      <c r="M3551">
        <v>303</v>
      </c>
      <c r="N3551" t="str">
        <f t="shared" si="1700"/>
        <v>RECEITAS COM ENTREGAS</v>
      </c>
      <c r="P3551">
        <v>160.87</v>
      </c>
      <c r="Q3551" t="str">
        <f>"FARMÁCIA INDIANA LJ 119 (10053)"</f>
        <v>FARMÁCIA INDIANA LJ 119 (10053)</v>
      </c>
      <c r="R3551" t="str">
        <f t="shared" si="1701"/>
        <v>RECEITAS COM ENTREGAS (303)</v>
      </c>
      <c r="S3551">
        <v>1983</v>
      </c>
      <c r="T3551">
        <v>1428</v>
      </c>
      <c r="U3551" t="s">
        <v>19</v>
      </c>
    </row>
    <row r="3552" spans="1:21">
      <c r="A3552" t="str">
        <f t="shared" si="1695"/>
        <v>02/07/2025</v>
      </c>
      <c r="B3552" t="str">
        <f t="shared" si="1693"/>
        <v>ENTRADA</v>
      </c>
      <c r="C3552" t="str">
        <f t="shared" si="1696"/>
        <v>NFSE</v>
      </c>
      <c r="D3552" t="str">
        <f t="shared" si="1705"/>
        <v>3144</v>
      </c>
      <c r="E3552" t="str">
        <f t="shared" si="1694"/>
        <v>COM</v>
      </c>
      <c r="F3552" t="str">
        <f t="shared" si="1706"/>
        <v>FARMÁCIA INDIANA LJ 85 (10128)</v>
      </c>
      <c r="G3552" t="str">
        <f t="shared" si="1707"/>
        <v>Serv.Prest. 16/06/2025 a 22/06/2025 - RPS: 913 - NFSe: 3144</v>
      </c>
      <c r="H3552" t="str">
        <f t="shared" si="1697"/>
        <v>02/07/2025</v>
      </c>
      <c r="I3552" t="str">
        <f t="shared" si="1698"/>
        <v>23/06/2025</v>
      </c>
      <c r="J3552" t="str">
        <f t="shared" si="1699"/>
        <v>02/07/2025</v>
      </c>
      <c r="M3552">
        <v>303</v>
      </c>
      <c r="N3552" t="str">
        <f t="shared" si="1700"/>
        <v>RECEITAS COM ENTREGAS</v>
      </c>
      <c r="P3552">
        <v>227.94</v>
      </c>
      <c r="Q3552" t="str">
        <f>"FARMÁCIA INDIANA LJ 163 (10072)"</f>
        <v>FARMÁCIA INDIANA LJ 163 (10072)</v>
      </c>
      <c r="R3552" t="str">
        <f t="shared" si="1701"/>
        <v>RECEITAS COM ENTREGAS (303)</v>
      </c>
      <c r="S3552">
        <v>1983</v>
      </c>
      <c r="T3552">
        <v>1428</v>
      </c>
      <c r="U3552" t="s">
        <v>19</v>
      </c>
    </row>
    <row r="3553" spans="1:21">
      <c r="A3553" t="str">
        <f t="shared" si="1695"/>
        <v>02/07/2025</v>
      </c>
      <c r="B3553" t="str">
        <f t="shared" si="1693"/>
        <v>ENTRADA</v>
      </c>
      <c r="C3553" t="str">
        <f t="shared" si="1696"/>
        <v>NFSE</v>
      </c>
      <c r="D3553" t="str">
        <f t="shared" si="1705"/>
        <v>3144</v>
      </c>
      <c r="E3553" t="str">
        <f t="shared" si="1694"/>
        <v>COM</v>
      </c>
      <c r="F3553" t="str">
        <f t="shared" si="1706"/>
        <v>FARMÁCIA INDIANA LJ 85 (10128)</v>
      </c>
      <c r="G3553" t="str">
        <f t="shared" si="1707"/>
        <v>Serv.Prest. 16/06/2025 a 22/06/2025 - RPS: 913 - NFSe: 3144</v>
      </c>
      <c r="H3553" t="str">
        <f t="shared" si="1697"/>
        <v>02/07/2025</v>
      </c>
      <c r="I3553" t="str">
        <f t="shared" si="1698"/>
        <v>23/06/2025</v>
      </c>
      <c r="J3553" t="str">
        <f t="shared" si="1699"/>
        <v>02/07/2025</v>
      </c>
      <c r="M3553">
        <v>303</v>
      </c>
      <c r="N3553" t="str">
        <f t="shared" si="1700"/>
        <v>RECEITAS COM ENTREGAS</v>
      </c>
      <c r="P3553">
        <v>193</v>
      </c>
      <c r="Q3553" t="str">
        <f>"FARMÁCIA INDIANA LJ 181 (10078)"</f>
        <v>FARMÁCIA INDIANA LJ 181 (10078)</v>
      </c>
      <c r="R3553" t="str">
        <f t="shared" si="1701"/>
        <v>RECEITAS COM ENTREGAS (303)</v>
      </c>
      <c r="S3553">
        <v>1983</v>
      </c>
      <c r="T3553">
        <v>1428</v>
      </c>
      <c r="U3553" t="s">
        <v>19</v>
      </c>
    </row>
    <row r="3554" spans="1:21">
      <c r="A3554" t="str">
        <f t="shared" si="1695"/>
        <v>02/07/2025</v>
      </c>
      <c r="B3554" t="str">
        <f t="shared" si="1693"/>
        <v>ENTRADA</v>
      </c>
      <c r="C3554" t="str">
        <f t="shared" si="1696"/>
        <v>NFSE</v>
      </c>
      <c r="D3554" t="str">
        <f t="shared" si="1705"/>
        <v>3144</v>
      </c>
      <c r="E3554" t="str">
        <f t="shared" si="1694"/>
        <v>COM</v>
      </c>
      <c r="F3554" t="str">
        <f t="shared" si="1706"/>
        <v>FARMÁCIA INDIANA LJ 85 (10128)</v>
      </c>
      <c r="G3554" t="str">
        <f t="shared" si="1707"/>
        <v>Serv.Prest. 16/06/2025 a 22/06/2025 - RPS: 913 - NFSe: 3144</v>
      </c>
      <c r="H3554" t="str">
        <f t="shared" si="1697"/>
        <v>02/07/2025</v>
      </c>
      <c r="I3554" t="str">
        <f t="shared" si="1698"/>
        <v>23/06/2025</v>
      </c>
      <c r="J3554" t="str">
        <f t="shared" si="1699"/>
        <v>02/07/2025</v>
      </c>
      <c r="M3554">
        <v>303</v>
      </c>
      <c r="N3554" t="str">
        <f t="shared" si="1700"/>
        <v>RECEITAS COM ENTREGAS</v>
      </c>
      <c r="P3554">
        <v>161.74</v>
      </c>
      <c r="Q3554" t="str">
        <f>"FARMÁCIA INDIANA LJ 221 (10093)"</f>
        <v>FARMÁCIA INDIANA LJ 221 (10093)</v>
      </c>
      <c r="R3554" t="str">
        <f t="shared" si="1701"/>
        <v>RECEITAS COM ENTREGAS (303)</v>
      </c>
      <c r="S3554">
        <v>1983</v>
      </c>
      <c r="T3554">
        <v>1428</v>
      </c>
      <c r="U3554" t="s">
        <v>19</v>
      </c>
    </row>
    <row r="3555" spans="1:21">
      <c r="A3555" t="str">
        <f t="shared" si="1695"/>
        <v>02/07/2025</v>
      </c>
      <c r="B3555" t="str">
        <f t="shared" si="1693"/>
        <v>ENTRADA</v>
      </c>
      <c r="C3555" t="str">
        <f t="shared" si="1696"/>
        <v>NFSE</v>
      </c>
      <c r="D3555" t="str">
        <f t="shared" si="1705"/>
        <v>3144</v>
      </c>
      <c r="E3555" t="str">
        <f t="shared" si="1694"/>
        <v>COM</v>
      </c>
      <c r="F3555" t="str">
        <f t="shared" si="1706"/>
        <v>FARMÁCIA INDIANA LJ 85 (10128)</v>
      </c>
      <c r="G3555" t="str">
        <f t="shared" si="1707"/>
        <v>Serv.Prest. 16/06/2025 a 22/06/2025 - RPS: 913 - NFSe: 3144</v>
      </c>
      <c r="H3555" t="str">
        <f t="shared" si="1697"/>
        <v>02/07/2025</v>
      </c>
      <c r="I3555" t="str">
        <f t="shared" si="1698"/>
        <v>23/06/2025</v>
      </c>
      <c r="J3555" t="str">
        <f t="shared" si="1699"/>
        <v>02/07/2025</v>
      </c>
      <c r="M3555">
        <v>303</v>
      </c>
      <c r="N3555" t="str">
        <f t="shared" si="1700"/>
        <v>RECEITAS COM ENTREGAS</v>
      </c>
      <c r="P3555">
        <v>182.45</v>
      </c>
      <c r="Q3555" t="str">
        <f>"FARMÁCIA INDIANA LJ 243 (10142)"</f>
        <v>FARMÁCIA INDIANA LJ 243 (10142)</v>
      </c>
      <c r="R3555" t="str">
        <f t="shared" si="1701"/>
        <v>RECEITAS COM ENTREGAS (303)</v>
      </c>
      <c r="S3555">
        <v>1983</v>
      </c>
      <c r="T3555">
        <v>1428</v>
      </c>
      <c r="U3555" t="s">
        <v>19</v>
      </c>
    </row>
    <row r="3556" spans="1:21">
      <c r="A3556" t="str">
        <f t="shared" ref="A3556:A3587" si="1708">("02/07/2025")</f>
        <v>02/07/2025</v>
      </c>
      <c r="B3556" t="str">
        <f t="shared" si="1693"/>
        <v>ENTRADA</v>
      </c>
      <c r="C3556" t="str">
        <f t="shared" ref="C3556:C3578" si="1709">"NFSE"</f>
        <v>NFSE</v>
      </c>
      <c r="D3556" t="str">
        <f t="shared" si="1705"/>
        <v>3144</v>
      </c>
      <c r="E3556" t="str">
        <f t="shared" si="1694"/>
        <v>COM</v>
      </c>
      <c r="F3556" t="str">
        <f t="shared" si="1706"/>
        <v>FARMÁCIA INDIANA LJ 85 (10128)</v>
      </c>
      <c r="G3556" t="str">
        <f t="shared" si="1707"/>
        <v>Serv.Prest. 16/06/2025 a 22/06/2025 - RPS: 913 - NFSe: 3144</v>
      </c>
      <c r="H3556" t="str">
        <f t="shared" ref="H3556:H3587" si="1710">("02/07/2025")</f>
        <v>02/07/2025</v>
      </c>
      <c r="I3556" t="str">
        <f t="shared" si="1698"/>
        <v>23/06/2025</v>
      </c>
      <c r="J3556" t="str">
        <f t="shared" ref="J3556:J3587" si="1711">("02/07/2025")</f>
        <v>02/07/2025</v>
      </c>
      <c r="M3556">
        <v>303</v>
      </c>
      <c r="N3556" t="str">
        <f t="shared" ref="N3556:N3578" si="1712">"RECEITAS COM ENTREGAS"</f>
        <v>RECEITAS COM ENTREGAS</v>
      </c>
      <c r="P3556">
        <v>86.14</v>
      </c>
      <c r="Q3556" t="str">
        <f>"FARMÁCIA INDIANA LJ 211 (10168)"</f>
        <v>FARMÁCIA INDIANA LJ 211 (10168)</v>
      </c>
      <c r="R3556" t="str">
        <f t="shared" ref="R3556:R3578" si="1713">"RECEITAS COM ENTREGAS (303)"</f>
        <v>RECEITAS COM ENTREGAS (303)</v>
      </c>
      <c r="S3556">
        <v>1983</v>
      </c>
      <c r="T3556">
        <v>1428</v>
      </c>
      <c r="U3556" t="s">
        <v>19</v>
      </c>
    </row>
    <row r="3557" spans="1:21">
      <c r="A3557" t="str">
        <f t="shared" si="1708"/>
        <v>02/07/2025</v>
      </c>
      <c r="B3557" t="str">
        <f t="shared" ref="B3557:B3578" si="1714">"ENTRADA"</f>
        <v>ENTRADA</v>
      </c>
      <c r="C3557" t="str">
        <f t="shared" si="1709"/>
        <v>NFSE</v>
      </c>
      <c r="D3557" t="str">
        <f t="shared" si="1705"/>
        <v>3144</v>
      </c>
      <c r="E3557" t="str">
        <f t="shared" si="1694"/>
        <v>COM</v>
      </c>
      <c r="F3557" t="str">
        <f t="shared" si="1706"/>
        <v>FARMÁCIA INDIANA LJ 85 (10128)</v>
      </c>
      <c r="G3557" t="str">
        <f t="shared" si="1707"/>
        <v>Serv.Prest. 16/06/2025 a 22/06/2025 - RPS: 913 - NFSe: 3144</v>
      </c>
      <c r="H3557" t="str">
        <f t="shared" si="1710"/>
        <v>02/07/2025</v>
      </c>
      <c r="I3557" t="str">
        <f t="shared" si="1698"/>
        <v>23/06/2025</v>
      </c>
      <c r="J3557" t="str">
        <f t="shared" si="1711"/>
        <v>02/07/2025</v>
      </c>
      <c r="M3557">
        <v>303</v>
      </c>
      <c r="N3557" t="str">
        <f t="shared" si="1712"/>
        <v>RECEITAS COM ENTREGAS</v>
      </c>
      <c r="P3557">
        <v>86.14</v>
      </c>
      <c r="Q3557" t="str">
        <f>"FARMÁCIA INDIANA LJ 236 (10169)"</f>
        <v>FARMÁCIA INDIANA LJ 236 (10169)</v>
      </c>
      <c r="R3557" t="str">
        <f t="shared" si="1713"/>
        <v>RECEITAS COM ENTREGAS (303)</v>
      </c>
      <c r="S3557">
        <v>1983</v>
      </c>
      <c r="T3557">
        <v>1428</v>
      </c>
      <c r="U3557" t="s">
        <v>19</v>
      </c>
    </row>
    <row r="3558" spans="1:21">
      <c r="A3558" t="str">
        <f t="shared" si="1708"/>
        <v>02/07/2025</v>
      </c>
      <c r="B3558" t="str">
        <f t="shared" si="1714"/>
        <v>ENTRADA</v>
      </c>
      <c r="C3558" t="str">
        <f t="shared" si="1709"/>
        <v>NFSE</v>
      </c>
      <c r="D3558" t="str">
        <f t="shared" si="1705"/>
        <v>3144</v>
      </c>
      <c r="E3558" t="str">
        <f t="shared" si="1694"/>
        <v>COM</v>
      </c>
      <c r="F3558" t="str">
        <f t="shared" si="1706"/>
        <v>FARMÁCIA INDIANA LJ 85 (10128)</v>
      </c>
      <c r="G3558" t="str">
        <f t="shared" si="1707"/>
        <v>Serv.Prest. 16/06/2025 a 22/06/2025 - RPS: 913 - NFSe: 3144</v>
      </c>
      <c r="H3558" t="str">
        <f t="shared" si="1710"/>
        <v>02/07/2025</v>
      </c>
      <c r="I3558" t="str">
        <f t="shared" si="1698"/>
        <v>23/06/2025</v>
      </c>
      <c r="J3558" t="str">
        <f t="shared" si="1711"/>
        <v>02/07/2025</v>
      </c>
      <c r="M3558">
        <v>303</v>
      </c>
      <c r="N3558" t="str">
        <f t="shared" si="1712"/>
        <v>RECEITAS COM ENTREGAS</v>
      </c>
      <c r="P3558">
        <v>172.29</v>
      </c>
      <c r="Q3558" t="str">
        <f>"FARMÁCIA INDIANA LJ 188 (10176)"</f>
        <v>FARMÁCIA INDIANA LJ 188 (10176)</v>
      </c>
      <c r="R3558" t="str">
        <f t="shared" si="1713"/>
        <v>RECEITAS COM ENTREGAS (303)</v>
      </c>
      <c r="S3558">
        <v>1983</v>
      </c>
      <c r="T3558">
        <v>1428</v>
      </c>
      <c r="U3558" t="s">
        <v>19</v>
      </c>
    </row>
    <row r="3559" spans="1:21">
      <c r="A3559" t="str">
        <f t="shared" si="1708"/>
        <v>02/07/2025</v>
      </c>
      <c r="B3559" t="str">
        <f t="shared" si="1714"/>
        <v>ENTRADA</v>
      </c>
      <c r="C3559" t="str">
        <f t="shared" si="1709"/>
        <v>NFSE</v>
      </c>
      <c r="D3559" t="str">
        <f>"3159"</f>
        <v>3159</v>
      </c>
      <c r="E3559" t="str">
        <f t="shared" si="1694"/>
        <v>COM</v>
      </c>
      <c r="F3559" t="str">
        <f>"ITUFARMA (10178)"</f>
        <v>ITUFARMA (10178)</v>
      </c>
      <c r="G3559" t="str">
        <f>"Serv.Prest. 23/06/2025 a 29/06/2025 - RPS: 928 - NFSe: 3159"</f>
        <v>Serv.Prest. 23/06/2025 a 29/06/2025 - RPS: 928 - NFSe: 3159</v>
      </c>
      <c r="H3559" t="str">
        <f t="shared" si="1710"/>
        <v>02/07/2025</v>
      </c>
      <c r="I3559" t="str">
        <f t="shared" ref="I3559:I3574" si="1715">("30/06/2025")</f>
        <v>30/06/2025</v>
      </c>
      <c r="J3559" t="str">
        <f t="shared" si="1711"/>
        <v>02/07/2025</v>
      </c>
      <c r="K3559">
        <v>216.66</v>
      </c>
      <c r="L3559">
        <v>216.66</v>
      </c>
      <c r="M3559">
        <v>303</v>
      </c>
      <c r="N3559" t="str">
        <f t="shared" si="1712"/>
        <v>RECEITAS COM ENTREGAS</v>
      </c>
      <c r="O3559">
        <v>216.66</v>
      </c>
      <c r="R3559" t="str">
        <f t="shared" si="1713"/>
        <v>RECEITAS COM ENTREGAS (303)</v>
      </c>
      <c r="S3559">
        <v>1984</v>
      </c>
      <c r="T3559">
        <v>1491</v>
      </c>
      <c r="U3559" t="s">
        <v>19</v>
      </c>
    </row>
    <row r="3560" spans="1:21">
      <c r="A3560" t="str">
        <f t="shared" si="1708"/>
        <v>02/07/2025</v>
      </c>
      <c r="B3560" t="str">
        <f t="shared" si="1714"/>
        <v>ENTRADA</v>
      </c>
      <c r="C3560" t="str">
        <f t="shared" si="1709"/>
        <v>NFSE</v>
      </c>
      <c r="D3560" t="str">
        <f>"3159"</f>
        <v>3159</v>
      </c>
      <c r="E3560" t="str">
        <f t="shared" si="1694"/>
        <v>COM</v>
      </c>
      <c r="F3560" t="str">
        <f>"ITUFARMA (10178)"</f>
        <v>ITUFARMA (10178)</v>
      </c>
      <c r="G3560" t="str">
        <f>"Serv.Prest. 23/06/2025 a 29/06/2025 - RPS: 928 - NFSe: 3159"</f>
        <v>Serv.Prest. 23/06/2025 a 29/06/2025 - RPS: 928 - NFSe: 3159</v>
      </c>
      <c r="H3560" t="str">
        <f t="shared" si="1710"/>
        <v>02/07/2025</v>
      </c>
      <c r="I3560" t="str">
        <f t="shared" si="1715"/>
        <v>30/06/2025</v>
      </c>
      <c r="J3560" t="str">
        <f t="shared" si="1711"/>
        <v>02/07/2025</v>
      </c>
      <c r="M3560">
        <v>303</v>
      </c>
      <c r="N3560" t="str">
        <f t="shared" si="1712"/>
        <v>RECEITAS COM ENTREGAS</v>
      </c>
      <c r="P3560">
        <v>216.66</v>
      </c>
      <c r="Q3560" t="str">
        <f>"ITUFARMA (10178)"</f>
        <v>ITUFARMA (10178)</v>
      </c>
      <c r="R3560" t="str">
        <f t="shared" si="1713"/>
        <v>RECEITAS COM ENTREGAS (303)</v>
      </c>
      <c r="S3560">
        <v>1984</v>
      </c>
      <c r="T3560">
        <v>1491</v>
      </c>
      <c r="U3560" t="s">
        <v>19</v>
      </c>
    </row>
    <row r="3561" spans="1:21">
      <c r="A3561" t="str">
        <f t="shared" si="1708"/>
        <v>02/07/2025</v>
      </c>
      <c r="B3561" t="str">
        <f t="shared" si="1714"/>
        <v>ENTRADA</v>
      </c>
      <c r="C3561" t="str">
        <f t="shared" si="1709"/>
        <v>NFSE</v>
      </c>
      <c r="D3561" t="str">
        <f>"3161"</f>
        <v>3161</v>
      </c>
      <c r="E3561" t="str">
        <f t="shared" si="1694"/>
        <v>COM</v>
      </c>
      <c r="F3561" t="str">
        <f>"DELTA LOJA 2 (10123)"</f>
        <v>DELTA LOJA 2 (10123)</v>
      </c>
      <c r="G3561" t="str">
        <f>"Serv.Prest. 23/06/2025 a 29/06/2025 - RPS: 930 - NFSe: 3161"</f>
        <v>Serv.Prest. 23/06/2025 a 29/06/2025 - RPS: 930 - NFSe: 3161</v>
      </c>
      <c r="H3561" t="str">
        <f t="shared" si="1710"/>
        <v>02/07/2025</v>
      </c>
      <c r="I3561" t="str">
        <f t="shared" si="1715"/>
        <v>30/06/2025</v>
      </c>
      <c r="J3561" t="str">
        <f t="shared" si="1711"/>
        <v>02/07/2025</v>
      </c>
      <c r="K3561">
        <v>480.48</v>
      </c>
      <c r="L3561">
        <v>480.48</v>
      </c>
      <c r="M3561">
        <v>303</v>
      </c>
      <c r="N3561" t="str">
        <f t="shared" si="1712"/>
        <v>RECEITAS COM ENTREGAS</v>
      </c>
      <c r="O3561">
        <v>480.48</v>
      </c>
      <c r="R3561" t="str">
        <f t="shared" si="1713"/>
        <v>RECEITAS COM ENTREGAS (303)</v>
      </c>
      <c r="S3561">
        <v>1985</v>
      </c>
      <c r="T3561">
        <v>1493</v>
      </c>
      <c r="U3561" t="s">
        <v>19</v>
      </c>
    </row>
    <row r="3562" spans="1:21">
      <c r="A3562" t="str">
        <f t="shared" si="1708"/>
        <v>02/07/2025</v>
      </c>
      <c r="B3562" t="str">
        <f t="shared" si="1714"/>
        <v>ENTRADA</v>
      </c>
      <c r="C3562" t="str">
        <f t="shared" si="1709"/>
        <v>NFSE</v>
      </c>
      <c r="D3562" t="str">
        <f>"3161"</f>
        <v>3161</v>
      </c>
      <c r="E3562" t="str">
        <f t="shared" si="1694"/>
        <v>COM</v>
      </c>
      <c r="F3562" t="str">
        <f>"DELTA LOJA 2 (10123)"</f>
        <v>DELTA LOJA 2 (10123)</v>
      </c>
      <c r="G3562" t="str">
        <f>"Serv.Prest. 23/06/2025 a 29/06/2025 - RPS: 930 - NFSe: 3161"</f>
        <v>Serv.Prest. 23/06/2025 a 29/06/2025 - RPS: 930 - NFSe: 3161</v>
      </c>
      <c r="H3562" t="str">
        <f t="shared" si="1710"/>
        <v>02/07/2025</v>
      </c>
      <c r="I3562" t="str">
        <f t="shared" si="1715"/>
        <v>30/06/2025</v>
      </c>
      <c r="J3562" t="str">
        <f t="shared" si="1711"/>
        <v>02/07/2025</v>
      </c>
      <c r="M3562">
        <v>303</v>
      </c>
      <c r="N3562" t="str">
        <f t="shared" si="1712"/>
        <v>RECEITAS COM ENTREGAS</v>
      </c>
      <c r="P3562">
        <v>480.48</v>
      </c>
      <c r="Q3562" t="str">
        <f>"DELTA LOJA 2 (10123)"</f>
        <v>DELTA LOJA 2 (10123)</v>
      </c>
      <c r="R3562" t="str">
        <f t="shared" si="1713"/>
        <v>RECEITAS COM ENTREGAS (303)</v>
      </c>
      <c r="S3562">
        <v>1985</v>
      </c>
      <c r="T3562">
        <v>1493</v>
      </c>
      <c r="U3562" t="s">
        <v>19</v>
      </c>
    </row>
    <row r="3563" spans="1:21">
      <c r="A3563" t="str">
        <f t="shared" si="1708"/>
        <v>02/07/2025</v>
      </c>
      <c r="B3563" t="str">
        <f t="shared" si="1714"/>
        <v>ENTRADA</v>
      </c>
      <c r="C3563" t="str">
        <f t="shared" si="1709"/>
        <v>NFSE</v>
      </c>
      <c r="D3563" t="str">
        <f>"3163"</f>
        <v>3163</v>
      </c>
      <c r="E3563" t="str">
        <f t="shared" si="1694"/>
        <v>COM</v>
      </c>
      <c r="F3563" t="str">
        <f>"DROGARIA MEDALHA (10163)"</f>
        <v>DROGARIA MEDALHA (10163)</v>
      </c>
      <c r="G3563" t="str">
        <f>"Serv.Prest. 23/06/2025 a 29/06/2025 - RPS: 932 - NFSe: 3163"</f>
        <v>Serv.Prest. 23/06/2025 a 29/06/2025 - RPS: 932 - NFSe: 3163</v>
      </c>
      <c r="H3563" t="str">
        <f t="shared" si="1710"/>
        <v>02/07/2025</v>
      </c>
      <c r="I3563" t="str">
        <f t="shared" si="1715"/>
        <v>30/06/2025</v>
      </c>
      <c r="J3563" t="str">
        <f t="shared" si="1711"/>
        <v>02/07/2025</v>
      </c>
      <c r="K3563">
        <v>20.02</v>
      </c>
      <c r="L3563">
        <v>20.02</v>
      </c>
      <c r="M3563">
        <v>303</v>
      </c>
      <c r="N3563" t="str">
        <f t="shared" si="1712"/>
        <v>RECEITAS COM ENTREGAS</v>
      </c>
      <c r="O3563">
        <v>20.02</v>
      </c>
      <c r="R3563" t="str">
        <f t="shared" si="1713"/>
        <v>RECEITAS COM ENTREGAS (303)</v>
      </c>
      <c r="S3563">
        <v>1986</v>
      </c>
      <c r="T3563">
        <v>1495</v>
      </c>
      <c r="U3563" t="s">
        <v>19</v>
      </c>
    </row>
    <row r="3564" spans="1:21">
      <c r="A3564" t="str">
        <f t="shared" si="1708"/>
        <v>02/07/2025</v>
      </c>
      <c r="B3564" t="str">
        <f t="shared" si="1714"/>
        <v>ENTRADA</v>
      </c>
      <c r="C3564" t="str">
        <f t="shared" si="1709"/>
        <v>NFSE</v>
      </c>
      <c r="D3564" t="str">
        <f>"3163"</f>
        <v>3163</v>
      </c>
      <c r="E3564" t="str">
        <f t="shared" si="1694"/>
        <v>COM</v>
      </c>
      <c r="F3564" t="str">
        <f>"DROGARIA MEDALHA (10163)"</f>
        <v>DROGARIA MEDALHA (10163)</v>
      </c>
      <c r="G3564" t="str">
        <f>"Serv.Prest. 23/06/2025 a 29/06/2025 - RPS: 932 - NFSe: 3163"</f>
        <v>Serv.Prest. 23/06/2025 a 29/06/2025 - RPS: 932 - NFSe: 3163</v>
      </c>
      <c r="H3564" t="str">
        <f t="shared" si="1710"/>
        <v>02/07/2025</v>
      </c>
      <c r="I3564" t="str">
        <f t="shared" si="1715"/>
        <v>30/06/2025</v>
      </c>
      <c r="J3564" t="str">
        <f t="shared" si="1711"/>
        <v>02/07/2025</v>
      </c>
      <c r="M3564">
        <v>303</v>
      </c>
      <c r="N3564" t="str">
        <f t="shared" si="1712"/>
        <v>RECEITAS COM ENTREGAS</v>
      </c>
      <c r="P3564">
        <v>20.02</v>
      </c>
      <c r="Q3564" t="str">
        <f>"DROGARIA MEDALHA (10163)"</f>
        <v>DROGARIA MEDALHA (10163)</v>
      </c>
      <c r="R3564" t="str">
        <f t="shared" si="1713"/>
        <v>RECEITAS COM ENTREGAS (303)</v>
      </c>
      <c r="S3564">
        <v>1986</v>
      </c>
      <c r="T3564">
        <v>1495</v>
      </c>
      <c r="U3564" t="s">
        <v>19</v>
      </c>
    </row>
    <row r="3565" spans="1:21">
      <c r="A3565" t="str">
        <f t="shared" si="1708"/>
        <v>02/07/2025</v>
      </c>
      <c r="B3565" t="str">
        <f t="shared" si="1714"/>
        <v>ENTRADA</v>
      </c>
      <c r="C3565" t="str">
        <f t="shared" si="1709"/>
        <v>NFSE</v>
      </c>
      <c r="D3565" t="str">
        <f>"3165"</f>
        <v>3165</v>
      </c>
      <c r="E3565" t="str">
        <f t="shared" si="1694"/>
        <v>COM</v>
      </c>
      <c r="F3565" t="str">
        <f>"ROSA MARIA LTDA (10165)"</f>
        <v>ROSA MARIA LTDA (10165)</v>
      </c>
      <c r="G3565" t="str">
        <f>"Serv.Prest. 23/06/2025 a 29/06/2025 - RPS: 934 - NFSe: 3165"</f>
        <v>Serv.Prest. 23/06/2025 a 29/06/2025 - RPS: 934 - NFSe: 3165</v>
      </c>
      <c r="H3565" t="str">
        <f t="shared" si="1710"/>
        <v>02/07/2025</v>
      </c>
      <c r="I3565" t="str">
        <f t="shared" si="1715"/>
        <v>30/06/2025</v>
      </c>
      <c r="J3565" t="str">
        <f t="shared" si="1711"/>
        <v>02/07/2025</v>
      </c>
      <c r="K3565">
        <v>327.76</v>
      </c>
      <c r="L3565">
        <v>327.76</v>
      </c>
      <c r="M3565">
        <v>303</v>
      </c>
      <c r="N3565" t="str">
        <f t="shared" si="1712"/>
        <v>RECEITAS COM ENTREGAS</v>
      </c>
      <c r="O3565">
        <v>327.76</v>
      </c>
      <c r="R3565" t="str">
        <f t="shared" si="1713"/>
        <v>RECEITAS COM ENTREGAS (303)</v>
      </c>
      <c r="S3565">
        <v>1987</v>
      </c>
      <c r="T3565">
        <v>1497</v>
      </c>
      <c r="U3565" t="s">
        <v>19</v>
      </c>
    </row>
    <row r="3566" spans="1:21">
      <c r="A3566" t="str">
        <f t="shared" si="1708"/>
        <v>02/07/2025</v>
      </c>
      <c r="B3566" t="str">
        <f t="shared" si="1714"/>
        <v>ENTRADA</v>
      </c>
      <c r="C3566" t="str">
        <f t="shared" si="1709"/>
        <v>NFSE</v>
      </c>
      <c r="D3566" t="str">
        <f>"3165"</f>
        <v>3165</v>
      </c>
      <c r="E3566" t="str">
        <f t="shared" si="1694"/>
        <v>COM</v>
      </c>
      <c r="F3566" t="str">
        <f>"ROSA MARIA LTDA (10165)"</f>
        <v>ROSA MARIA LTDA (10165)</v>
      </c>
      <c r="G3566" t="str">
        <f>"Serv.Prest. 23/06/2025 a 29/06/2025 - RPS: 934 - NFSe: 3165"</f>
        <v>Serv.Prest. 23/06/2025 a 29/06/2025 - RPS: 934 - NFSe: 3165</v>
      </c>
      <c r="H3566" t="str">
        <f t="shared" si="1710"/>
        <v>02/07/2025</v>
      </c>
      <c r="I3566" t="str">
        <f t="shared" si="1715"/>
        <v>30/06/2025</v>
      </c>
      <c r="J3566" t="str">
        <f t="shared" si="1711"/>
        <v>02/07/2025</v>
      </c>
      <c r="M3566">
        <v>303</v>
      </c>
      <c r="N3566" t="str">
        <f t="shared" si="1712"/>
        <v>RECEITAS COM ENTREGAS</v>
      </c>
      <c r="P3566">
        <v>327.76</v>
      </c>
      <c r="Q3566" t="str">
        <f>"ROSA MARIA LTDA (10170)"</f>
        <v>ROSA MARIA LTDA (10170)</v>
      </c>
      <c r="R3566" t="str">
        <f t="shared" si="1713"/>
        <v>RECEITAS COM ENTREGAS (303)</v>
      </c>
      <c r="S3566">
        <v>1987</v>
      </c>
      <c r="T3566">
        <v>1497</v>
      </c>
      <c r="U3566" t="s">
        <v>19</v>
      </c>
    </row>
    <row r="3567" spans="1:21">
      <c r="A3567" t="str">
        <f t="shared" si="1708"/>
        <v>02/07/2025</v>
      </c>
      <c r="B3567" t="str">
        <f t="shared" si="1714"/>
        <v>ENTRADA</v>
      </c>
      <c r="C3567" t="str">
        <f t="shared" si="1709"/>
        <v>NFSE</v>
      </c>
      <c r="D3567" t="str">
        <f>"3171"</f>
        <v>3171</v>
      </c>
      <c r="E3567" t="str">
        <f t="shared" ref="E3567:E3630" si="1716">"COM"</f>
        <v>COM</v>
      </c>
      <c r="F3567" t="str">
        <f>"DROGARIA MEDIC CENTER LTDA (10172)"</f>
        <v>DROGARIA MEDIC CENTER LTDA (10172)</v>
      </c>
      <c r="G3567" t="str">
        <f>"Serv.Prest. 23/06/2025 a 29/06/2025 - RPS: 940 - NFSe: 3171"</f>
        <v>Serv.Prest. 23/06/2025 a 29/06/2025 - RPS: 940 - NFSe: 3171</v>
      </c>
      <c r="H3567" t="str">
        <f t="shared" si="1710"/>
        <v>02/07/2025</v>
      </c>
      <c r="I3567" t="str">
        <f t="shared" si="1715"/>
        <v>30/06/2025</v>
      </c>
      <c r="J3567" t="str">
        <f t="shared" si="1711"/>
        <v>02/07/2025</v>
      </c>
      <c r="K3567">
        <v>166.5</v>
      </c>
      <c r="L3567">
        <v>166.5</v>
      </c>
      <c r="M3567">
        <v>303</v>
      </c>
      <c r="N3567" t="str">
        <f t="shared" si="1712"/>
        <v>RECEITAS COM ENTREGAS</v>
      </c>
      <c r="O3567">
        <v>166.5</v>
      </c>
      <c r="R3567" t="str">
        <f t="shared" si="1713"/>
        <v>RECEITAS COM ENTREGAS (303)</v>
      </c>
      <c r="S3567">
        <v>1988</v>
      </c>
      <c r="T3567">
        <v>1503</v>
      </c>
      <c r="U3567" t="s">
        <v>19</v>
      </c>
    </row>
    <row r="3568" spans="1:21">
      <c r="A3568" t="str">
        <f t="shared" si="1708"/>
        <v>02/07/2025</v>
      </c>
      <c r="B3568" t="str">
        <f t="shared" si="1714"/>
        <v>ENTRADA</v>
      </c>
      <c r="C3568" t="str">
        <f t="shared" si="1709"/>
        <v>NFSE</v>
      </c>
      <c r="D3568" t="str">
        <f>"3171"</f>
        <v>3171</v>
      </c>
      <c r="E3568" t="str">
        <f t="shared" si="1716"/>
        <v>COM</v>
      </c>
      <c r="F3568" t="str">
        <f>"DROGARIA MEDIC CENTER LTDA (10172)"</f>
        <v>DROGARIA MEDIC CENTER LTDA (10172)</v>
      </c>
      <c r="G3568" t="str">
        <f>"Serv.Prest. 23/06/2025 a 29/06/2025 - RPS: 940 - NFSe: 3171"</f>
        <v>Serv.Prest. 23/06/2025 a 29/06/2025 - RPS: 940 - NFSe: 3171</v>
      </c>
      <c r="H3568" t="str">
        <f t="shared" si="1710"/>
        <v>02/07/2025</v>
      </c>
      <c r="I3568" t="str">
        <f t="shared" si="1715"/>
        <v>30/06/2025</v>
      </c>
      <c r="J3568" t="str">
        <f t="shared" si="1711"/>
        <v>02/07/2025</v>
      </c>
      <c r="M3568">
        <v>303</v>
      </c>
      <c r="N3568" t="str">
        <f t="shared" si="1712"/>
        <v>RECEITAS COM ENTREGAS</v>
      </c>
      <c r="P3568">
        <v>166.5</v>
      </c>
      <c r="Q3568" t="str">
        <f>"DROGARIA MEDIC CENTER LTDA (10172)"</f>
        <v>DROGARIA MEDIC CENTER LTDA (10172)</v>
      </c>
      <c r="R3568" t="str">
        <f t="shared" si="1713"/>
        <v>RECEITAS COM ENTREGAS (303)</v>
      </c>
      <c r="S3568">
        <v>1988</v>
      </c>
      <c r="T3568">
        <v>1503</v>
      </c>
      <c r="U3568" t="s">
        <v>19</v>
      </c>
    </row>
    <row r="3569" spans="1:21">
      <c r="A3569" t="str">
        <f t="shared" si="1708"/>
        <v>02/07/2025</v>
      </c>
      <c r="B3569" t="str">
        <f t="shared" si="1714"/>
        <v>ENTRADA</v>
      </c>
      <c r="C3569" t="str">
        <f t="shared" si="1709"/>
        <v>NFSE</v>
      </c>
      <c r="D3569" t="str">
        <f>"3172"</f>
        <v>3172</v>
      </c>
      <c r="E3569" t="str">
        <f t="shared" si="1716"/>
        <v>COM</v>
      </c>
      <c r="F3569" t="str">
        <f>"DROGARIA MORENO LTDA (10171)"</f>
        <v>DROGARIA MORENO LTDA (10171)</v>
      </c>
      <c r="G3569" t="str">
        <f>"Serv.Prest. 23/06/2025 a 29/06/2025 - RPS: 941 - NFSe: 3172"</f>
        <v>Serv.Prest. 23/06/2025 a 29/06/2025 - RPS: 941 - NFSe: 3172</v>
      </c>
      <c r="H3569" t="str">
        <f t="shared" si="1710"/>
        <v>02/07/2025</v>
      </c>
      <c r="I3569" t="str">
        <f t="shared" si="1715"/>
        <v>30/06/2025</v>
      </c>
      <c r="J3569" t="str">
        <f t="shared" si="1711"/>
        <v>02/07/2025</v>
      </c>
      <c r="K3569">
        <v>366.3</v>
      </c>
      <c r="L3569">
        <v>366.3</v>
      </c>
      <c r="M3569">
        <v>303</v>
      </c>
      <c r="N3569" t="str">
        <f t="shared" si="1712"/>
        <v>RECEITAS COM ENTREGAS</v>
      </c>
      <c r="O3569">
        <v>366.3</v>
      </c>
      <c r="R3569" t="str">
        <f t="shared" si="1713"/>
        <v>RECEITAS COM ENTREGAS (303)</v>
      </c>
      <c r="S3569">
        <v>1989</v>
      </c>
      <c r="T3569">
        <v>1504</v>
      </c>
      <c r="U3569" t="s">
        <v>19</v>
      </c>
    </row>
    <row r="3570" spans="1:21">
      <c r="A3570" t="str">
        <f t="shared" si="1708"/>
        <v>02/07/2025</v>
      </c>
      <c r="B3570" t="str">
        <f t="shared" si="1714"/>
        <v>ENTRADA</v>
      </c>
      <c r="C3570" t="str">
        <f t="shared" si="1709"/>
        <v>NFSE</v>
      </c>
      <c r="D3570" t="str">
        <f>"3172"</f>
        <v>3172</v>
      </c>
      <c r="E3570" t="str">
        <f t="shared" si="1716"/>
        <v>COM</v>
      </c>
      <c r="F3570" t="str">
        <f>"DROGARIA MORENO LTDA (10171)"</f>
        <v>DROGARIA MORENO LTDA (10171)</v>
      </c>
      <c r="G3570" t="str">
        <f>"Serv.Prest. 23/06/2025 a 29/06/2025 - RPS: 941 - NFSe: 3172"</f>
        <v>Serv.Prest. 23/06/2025 a 29/06/2025 - RPS: 941 - NFSe: 3172</v>
      </c>
      <c r="H3570" t="str">
        <f t="shared" si="1710"/>
        <v>02/07/2025</v>
      </c>
      <c r="I3570" t="str">
        <f t="shared" si="1715"/>
        <v>30/06/2025</v>
      </c>
      <c r="J3570" t="str">
        <f t="shared" si="1711"/>
        <v>02/07/2025</v>
      </c>
      <c r="M3570">
        <v>303</v>
      </c>
      <c r="N3570" t="str">
        <f t="shared" si="1712"/>
        <v>RECEITAS COM ENTREGAS</v>
      </c>
      <c r="P3570">
        <v>366.3</v>
      </c>
      <c r="Q3570" t="str">
        <f>"DROGARIA MORENO LTDA (10171)"</f>
        <v>DROGARIA MORENO LTDA (10171)</v>
      </c>
      <c r="R3570" t="str">
        <f t="shared" si="1713"/>
        <v>RECEITAS COM ENTREGAS (303)</v>
      </c>
      <c r="S3570">
        <v>1989</v>
      </c>
      <c r="T3570">
        <v>1504</v>
      </c>
      <c r="U3570" t="s">
        <v>19</v>
      </c>
    </row>
    <row r="3571" spans="1:21">
      <c r="A3571" t="str">
        <f t="shared" si="1708"/>
        <v>02/07/2025</v>
      </c>
      <c r="B3571" t="str">
        <f t="shared" si="1714"/>
        <v>ENTRADA</v>
      </c>
      <c r="C3571" t="str">
        <f t="shared" si="1709"/>
        <v>NFSE</v>
      </c>
      <c r="D3571" t="str">
        <f>"3173"</f>
        <v>3173</v>
      </c>
      <c r="E3571" t="str">
        <f t="shared" si="1716"/>
        <v>COM</v>
      </c>
      <c r="F3571" t="str">
        <f>"DROGARIA ANA VISCONDE DO RIO BRANCO (10180)"</f>
        <v>DROGARIA ANA VISCONDE DO RIO BRANCO (10180)</v>
      </c>
      <c r="G3571" t="str">
        <f>"Serv.Prest. 23/06/2025 a 29/06/2025 - RPS: 942 - NFSe: 3173"</f>
        <v>Serv.Prest. 23/06/2025 a 29/06/2025 - RPS: 942 - NFSe: 3173</v>
      </c>
      <c r="H3571" t="str">
        <f t="shared" si="1710"/>
        <v>02/07/2025</v>
      </c>
      <c r="I3571" t="str">
        <f t="shared" si="1715"/>
        <v>30/06/2025</v>
      </c>
      <c r="J3571" t="str">
        <f t="shared" si="1711"/>
        <v>02/07/2025</v>
      </c>
      <c r="K3571">
        <v>792.45</v>
      </c>
      <c r="L3571">
        <v>792.45</v>
      </c>
      <c r="M3571">
        <v>303</v>
      </c>
      <c r="N3571" t="str">
        <f t="shared" si="1712"/>
        <v>RECEITAS COM ENTREGAS</v>
      </c>
      <c r="O3571">
        <v>792.45</v>
      </c>
      <c r="R3571" t="str">
        <f t="shared" si="1713"/>
        <v>RECEITAS COM ENTREGAS (303)</v>
      </c>
      <c r="S3571">
        <v>1990</v>
      </c>
      <c r="T3571">
        <v>1505</v>
      </c>
      <c r="U3571" t="s">
        <v>19</v>
      </c>
    </row>
    <row r="3572" spans="1:21">
      <c r="A3572" t="str">
        <f t="shared" si="1708"/>
        <v>02/07/2025</v>
      </c>
      <c r="B3572" t="str">
        <f t="shared" si="1714"/>
        <v>ENTRADA</v>
      </c>
      <c r="C3572" t="str">
        <f t="shared" si="1709"/>
        <v>NFSE</v>
      </c>
      <c r="D3572" t="str">
        <f>"3173"</f>
        <v>3173</v>
      </c>
      <c r="E3572" t="str">
        <f t="shared" si="1716"/>
        <v>COM</v>
      </c>
      <c r="F3572" t="str">
        <f>"DROGARIA ANA VISCONDE DO RIO BRANCO (10180)"</f>
        <v>DROGARIA ANA VISCONDE DO RIO BRANCO (10180)</v>
      </c>
      <c r="G3572" t="str">
        <f>"Serv.Prest. 23/06/2025 a 29/06/2025 - RPS: 942 - NFSe: 3173"</f>
        <v>Serv.Prest. 23/06/2025 a 29/06/2025 - RPS: 942 - NFSe: 3173</v>
      </c>
      <c r="H3572" t="str">
        <f t="shared" si="1710"/>
        <v>02/07/2025</v>
      </c>
      <c r="I3572" t="str">
        <f t="shared" si="1715"/>
        <v>30/06/2025</v>
      </c>
      <c r="J3572" t="str">
        <f t="shared" si="1711"/>
        <v>02/07/2025</v>
      </c>
      <c r="M3572">
        <v>303</v>
      </c>
      <c r="N3572" t="str">
        <f t="shared" si="1712"/>
        <v>RECEITAS COM ENTREGAS</v>
      </c>
      <c r="P3572">
        <v>792.45</v>
      </c>
      <c r="Q3572" t="str">
        <f>"DROGARIA ANA VISCONDE DO RIO BRANCO (10182)"</f>
        <v>DROGARIA ANA VISCONDE DO RIO BRANCO (10182)</v>
      </c>
      <c r="R3572" t="str">
        <f t="shared" si="1713"/>
        <v>RECEITAS COM ENTREGAS (303)</v>
      </c>
      <c r="S3572">
        <v>1990</v>
      </c>
      <c r="T3572">
        <v>1505</v>
      </c>
      <c r="U3572" t="s">
        <v>19</v>
      </c>
    </row>
    <row r="3573" spans="1:21">
      <c r="A3573" t="str">
        <f t="shared" si="1708"/>
        <v>02/07/2025</v>
      </c>
      <c r="B3573" t="str">
        <f t="shared" si="1714"/>
        <v>ENTRADA</v>
      </c>
      <c r="C3573" t="str">
        <f t="shared" si="1709"/>
        <v>NFSE</v>
      </c>
      <c r="D3573" t="str">
        <f>"3176"</f>
        <v>3176</v>
      </c>
      <c r="E3573" t="str">
        <f t="shared" si="1716"/>
        <v>COM</v>
      </c>
      <c r="F3573" t="str">
        <f>"DROGARIA AGAPEAMA (10167)"</f>
        <v>DROGARIA AGAPEAMA (10167)</v>
      </c>
      <c r="G3573" t="str">
        <f>"Serv.Prest. 23/06/2025 a 29/06/2025 - RPS: 945 - NFSe: 3176"</f>
        <v>Serv.Prest. 23/06/2025 a 29/06/2025 - RPS: 945 - NFSe: 3176</v>
      </c>
      <c r="H3573" t="str">
        <f t="shared" si="1710"/>
        <v>02/07/2025</v>
      </c>
      <c r="I3573" t="str">
        <f t="shared" si="1715"/>
        <v>30/06/2025</v>
      </c>
      <c r="J3573" t="str">
        <f t="shared" si="1711"/>
        <v>02/07/2025</v>
      </c>
      <c r="K3573">
        <v>724.48</v>
      </c>
      <c r="L3573">
        <v>724.48</v>
      </c>
      <c r="M3573">
        <v>303</v>
      </c>
      <c r="N3573" t="str">
        <f t="shared" si="1712"/>
        <v>RECEITAS COM ENTREGAS</v>
      </c>
      <c r="O3573">
        <v>724.48</v>
      </c>
      <c r="R3573" t="str">
        <f t="shared" si="1713"/>
        <v>RECEITAS COM ENTREGAS (303)</v>
      </c>
      <c r="S3573">
        <v>1991</v>
      </c>
      <c r="T3573">
        <v>1508</v>
      </c>
      <c r="U3573" t="s">
        <v>19</v>
      </c>
    </row>
    <row r="3574" spans="1:21">
      <c r="A3574" t="str">
        <f t="shared" si="1708"/>
        <v>02/07/2025</v>
      </c>
      <c r="B3574" t="str">
        <f t="shared" si="1714"/>
        <v>ENTRADA</v>
      </c>
      <c r="C3574" t="str">
        <f t="shared" si="1709"/>
        <v>NFSE</v>
      </c>
      <c r="D3574" t="str">
        <f>"3176"</f>
        <v>3176</v>
      </c>
      <c r="E3574" t="str">
        <f t="shared" si="1716"/>
        <v>COM</v>
      </c>
      <c r="F3574" t="str">
        <f>"DROGARIA AGAPEAMA (10167)"</f>
        <v>DROGARIA AGAPEAMA (10167)</v>
      </c>
      <c r="G3574" t="str">
        <f>"Serv.Prest. 23/06/2025 a 29/06/2025 - RPS: 945 - NFSe: 3176"</f>
        <v>Serv.Prest. 23/06/2025 a 29/06/2025 - RPS: 945 - NFSe: 3176</v>
      </c>
      <c r="H3574" t="str">
        <f t="shared" si="1710"/>
        <v>02/07/2025</v>
      </c>
      <c r="I3574" t="str">
        <f t="shared" si="1715"/>
        <v>30/06/2025</v>
      </c>
      <c r="J3574" t="str">
        <f t="shared" si="1711"/>
        <v>02/07/2025</v>
      </c>
      <c r="M3574">
        <v>303</v>
      </c>
      <c r="N3574" t="str">
        <f t="shared" si="1712"/>
        <v>RECEITAS COM ENTREGAS</v>
      </c>
      <c r="P3574">
        <v>724.48</v>
      </c>
      <c r="Q3574" t="str">
        <f>"DROGARIA AGAPEAMA (10167)"</f>
        <v>DROGARIA AGAPEAMA (10167)</v>
      </c>
      <c r="R3574" t="str">
        <f t="shared" si="1713"/>
        <v>RECEITAS COM ENTREGAS (303)</v>
      </c>
      <c r="S3574">
        <v>1991</v>
      </c>
      <c r="T3574">
        <v>1508</v>
      </c>
      <c r="U3574" t="s">
        <v>19</v>
      </c>
    </row>
    <row r="3575" spans="1:21">
      <c r="A3575" t="str">
        <f t="shared" si="1708"/>
        <v>02/07/2025</v>
      </c>
      <c r="B3575" t="str">
        <f t="shared" si="1714"/>
        <v>ENTRADA</v>
      </c>
      <c r="C3575" t="str">
        <f t="shared" si="1709"/>
        <v>NFSE</v>
      </c>
      <c r="D3575" t="str">
        <f>"3188"</f>
        <v>3188</v>
      </c>
      <c r="E3575" t="str">
        <f t="shared" si="1716"/>
        <v>COM</v>
      </c>
      <c r="F3575" t="str">
        <f>"JAL FARMACIA E DROGARIA LJ 2 (10138)"</f>
        <v>JAL FARMACIA E DROGARIA LJ 2 (10138)</v>
      </c>
      <c r="G3575" t="str">
        <f>"Serv.Prest. 23/06/2025 a 29/06/2025 - RPS: 956 - NFSe: 3188"</f>
        <v>Serv.Prest. 23/06/2025 a 29/06/2025 - RPS: 956 - NFSe: 3188</v>
      </c>
      <c r="H3575" t="str">
        <f t="shared" si="1710"/>
        <v>02/07/2025</v>
      </c>
      <c r="I3575" t="str">
        <f>("01/07/2025")</f>
        <v>01/07/2025</v>
      </c>
      <c r="J3575" t="str">
        <f t="shared" si="1711"/>
        <v>02/07/2025</v>
      </c>
      <c r="K3575">
        <v>294.39999999999998</v>
      </c>
      <c r="L3575">
        <v>294.39999999999998</v>
      </c>
      <c r="M3575">
        <v>303</v>
      </c>
      <c r="N3575" t="str">
        <f t="shared" si="1712"/>
        <v>RECEITAS COM ENTREGAS</v>
      </c>
      <c r="O3575">
        <v>294.39999999999998</v>
      </c>
      <c r="R3575" t="str">
        <f t="shared" si="1713"/>
        <v>RECEITAS COM ENTREGAS (303)</v>
      </c>
      <c r="S3575">
        <v>1992</v>
      </c>
      <c r="T3575">
        <v>1519</v>
      </c>
      <c r="U3575" t="s">
        <v>19</v>
      </c>
    </row>
    <row r="3576" spans="1:21">
      <c r="A3576" t="str">
        <f t="shared" si="1708"/>
        <v>02/07/2025</v>
      </c>
      <c r="B3576" t="str">
        <f t="shared" si="1714"/>
        <v>ENTRADA</v>
      </c>
      <c r="C3576" t="str">
        <f t="shared" si="1709"/>
        <v>NFSE</v>
      </c>
      <c r="D3576" t="str">
        <f>"3188"</f>
        <v>3188</v>
      </c>
      <c r="E3576" t="str">
        <f t="shared" si="1716"/>
        <v>COM</v>
      </c>
      <c r="F3576" t="str">
        <f>"JAL FARMACIA E DROGARIA LJ 2 (10138)"</f>
        <v>JAL FARMACIA E DROGARIA LJ 2 (10138)</v>
      </c>
      <c r="G3576" t="str">
        <f>"Serv.Prest. 23/06/2025 a 29/06/2025 - RPS: 956 - NFSe: 3188"</f>
        <v>Serv.Prest. 23/06/2025 a 29/06/2025 - RPS: 956 - NFSe: 3188</v>
      </c>
      <c r="H3576" t="str">
        <f t="shared" si="1710"/>
        <v>02/07/2025</v>
      </c>
      <c r="I3576" t="str">
        <f>("01/07/2025")</f>
        <v>01/07/2025</v>
      </c>
      <c r="J3576" t="str">
        <f t="shared" si="1711"/>
        <v>02/07/2025</v>
      </c>
      <c r="M3576">
        <v>303</v>
      </c>
      <c r="N3576" t="str">
        <f t="shared" si="1712"/>
        <v>RECEITAS COM ENTREGAS</v>
      </c>
      <c r="P3576">
        <v>294.39999999999998</v>
      </c>
      <c r="Q3576" t="str">
        <f>"JAL FARMACIA E DROGARIA LJ 2 (10138)"</f>
        <v>JAL FARMACIA E DROGARIA LJ 2 (10138)</v>
      </c>
      <c r="R3576" t="str">
        <f t="shared" si="1713"/>
        <v>RECEITAS COM ENTREGAS (303)</v>
      </c>
      <c r="S3576">
        <v>1992</v>
      </c>
      <c r="T3576">
        <v>1519</v>
      </c>
      <c r="U3576" t="s">
        <v>19</v>
      </c>
    </row>
    <row r="3577" spans="1:21">
      <c r="A3577" t="str">
        <f t="shared" si="1708"/>
        <v>02/07/2025</v>
      </c>
      <c r="B3577" t="str">
        <f t="shared" si="1714"/>
        <v>ENTRADA</v>
      </c>
      <c r="C3577" t="str">
        <f t="shared" si="1709"/>
        <v>NFSE</v>
      </c>
      <c r="D3577" t="str">
        <f>"3189"</f>
        <v>3189</v>
      </c>
      <c r="E3577" t="str">
        <f t="shared" si="1716"/>
        <v>COM</v>
      </c>
      <c r="F3577" t="str">
        <f>"JAL FARMACIA E DROGARIA LJ 1 (10137)"</f>
        <v>JAL FARMACIA E DROGARIA LJ 1 (10137)</v>
      </c>
      <c r="G3577" t="str">
        <f>"Serv.Prest. 23/06/2025 a 29/06/2025 - RPS: 957 - NFSe: 3189"</f>
        <v>Serv.Prest. 23/06/2025 a 29/06/2025 - RPS: 957 - NFSe: 3189</v>
      </c>
      <c r="H3577" t="str">
        <f t="shared" si="1710"/>
        <v>02/07/2025</v>
      </c>
      <c r="I3577" t="str">
        <f>("01/07/2025")</f>
        <v>01/07/2025</v>
      </c>
      <c r="J3577" t="str">
        <f t="shared" si="1711"/>
        <v>02/07/2025</v>
      </c>
      <c r="K3577">
        <v>492.8</v>
      </c>
      <c r="L3577">
        <v>492.8</v>
      </c>
      <c r="M3577">
        <v>303</v>
      </c>
      <c r="N3577" t="str">
        <f t="shared" si="1712"/>
        <v>RECEITAS COM ENTREGAS</v>
      </c>
      <c r="O3577">
        <v>492.8</v>
      </c>
      <c r="R3577" t="str">
        <f t="shared" si="1713"/>
        <v>RECEITAS COM ENTREGAS (303)</v>
      </c>
      <c r="S3577">
        <v>1993</v>
      </c>
      <c r="T3577">
        <v>1520</v>
      </c>
      <c r="U3577" t="s">
        <v>19</v>
      </c>
    </row>
    <row r="3578" spans="1:21">
      <c r="A3578" t="str">
        <f t="shared" si="1708"/>
        <v>02/07/2025</v>
      </c>
      <c r="B3578" t="str">
        <f t="shared" si="1714"/>
        <v>ENTRADA</v>
      </c>
      <c r="C3578" t="str">
        <f t="shared" si="1709"/>
        <v>NFSE</v>
      </c>
      <c r="D3578" t="str">
        <f>"3189"</f>
        <v>3189</v>
      </c>
      <c r="E3578" t="str">
        <f t="shared" si="1716"/>
        <v>COM</v>
      </c>
      <c r="F3578" t="str">
        <f>"JAL FARMACIA E DROGARIA LJ 1 (10137)"</f>
        <v>JAL FARMACIA E DROGARIA LJ 1 (10137)</v>
      </c>
      <c r="G3578" t="str">
        <f>"Serv.Prest. 23/06/2025 a 29/06/2025 - RPS: 957 - NFSe: 3189"</f>
        <v>Serv.Prest. 23/06/2025 a 29/06/2025 - RPS: 957 - NFSe: 3189</v>
      </c>
      <c r="H3578" t="str">
        <f t="shared" si="1710"/>
        <v>02/07/2025</v>
      </c>
      <c r="I3578" t="str">
        <f>("01/07/2025")</f>
        <v>01/07/2025</v>
      </c>
      <c r="J3578" t="str">
        <f t="shared" si="1711"/>
        <v>02/07/2025</v>
      </c>
      <c r="M3578">
        <v>303</v>
      </c>
      <c r="N3578" t="str">
        <f t="shared" si="1712"/>
        <v>RECEITAS COM ENTREGAS</v>
      </c>
      <c r="P3578">
        <v>492.8</v>
      </c>
      <c r="Q3578" t="str">
        <f>"JAL FARMACIA E DROGARIA LJ 1 (10137)"</f>
        <v>JAL FARMACIA E DROGARIA LJ 1 (10137)</v>
      </c>
      <c r="R3578" t="str">
        <f t="shared" si="1713"/>
        <v>RECEITAS COM ENTREGAS (303)</v>
      </c>
      <c r="S3578">
        <v>1993</v>
      </c>
      <c r="T3578">
        <v>1520</v>
      </c>
      <c r="U3578" t="s">
        <v>19</v>
      </c>
    </row>
    <row r="3579" spans="1:21">
      <c r="A3579" t="str">
        <f t="shared" si="1708"/>
        <v>02/07/2025</v>
      </c>
      <c r="B3579" t="str">
        <f>"ENTRADA"</f>
        <v>ENTRADA</v>
      </c>
      <c r="C3579" t="str">
        <f>"BOLETO"</f>
        <v>BOLETO</v>
      </c>
      <c r="D3579" t="str">
        <f>"0207251000"</f>
        <v>0207251000</v>
      </c>
      <c r="E3579" t="str">
        <f t="shared" si="1716"/>
        <v>COM</v>
      </c>
      <c r="F3579" t="str">
        <f>"REDEFARMA (10185)"</f>
        <v>REDEFARMA (10185)</v>
      </c>
      <c r="G3579" t="str">
        <f>"RECEBIMENTO SETUP"</f>
        <v>RECEBIMENTO SETUP</v>
      </c>
      <c r="H3579" t="str">
        <f t="shared" si="1710"/>
        <v>02/07/2025</v>
      </c>
      <c r="I3579" t="str">
        <f t="shared" ref="I3579:I3602" si="1717">("02/07/2025")</f>
        <v>02/07/2025</v>
      </c>
      <c r="J3579" t="str">
        <f t="shared" si="1711"/>
        <v>02/07/2025</v>
      </c>
      <c r="K3579">
        <v>1000</v>
      </c>
      <c r="L3579">
        <v>1000</v>
      </c>
      <c r="M3579">
        <v>117</v>
      </c>
      <c r="N3579" t="str">
        <f>"RECEITAS COM SETUP"</f>
        <v>RECEITAS COM SETUP</v>
      </c>
      <c r="O3579">
        <v>1000</v>
      </c>
      <c r="R3579" t="str">
        <f>"RECEITAS COM SETUP (117)"</f>
        <v>RECEITAS COM SETUP (117)</v>
      </c>
      <c r="S3579">
        <v>2117</v>
      </c>
      <c r="T3579">
        <v>1656</v>
      </c>
      <c r="U3579" t="s">
        <v>19</v>
      </c>
    </row>
    <row r="3580" spans="1:21">
      <c r="A3580" t="str">
        <f t="shared" si="1708"/>
        <v>02/07/2025</v>
      </c>
      <c r="B3580" t="str">
        <f t="shared" ref="B3580:B3602" si="1718">"SAÍDA"</f>
        <v>SAÍDA</v>
      </c>
      <c r="C3580" t="str">
        <f>"BOLETO"</f>
        <v>BOLETO</v>
      </c>
      <c r="D3580" t="str">
        <f>"0207251000"</f>
        <v>0207251000</v>
      </c>
      <c r="E3580" t="str">
        <f t="shared" si="1716"/>
        <v>COM</v>
      </c>
      <c r="F3580" t="str">
        <f>"REDEFARMA (10185)"</f>
        <v>REDEFARMA (10185)</v>
      </c>
      <c r="G3580" t="str">
        <f>"RECEBIMENTO SETUP"</f>
        <v>RECEBIMENTO SETUP</v>
      </c>
      <c r="H3580" t="str">
        <f t="shared" si="1710"/>
        <v>02/07/2025</v>
      </c>
      <c r="I3580" t="str">
        <f t="shared" si="1717"/>
        <v>02/07/2025</v>
      </c>
      <c r="J3580" t="str">
        <f t="shared" si="1711"/>
        <v>02/07/2025</v>
      </c>
      <c r="M3580">
        <v>117</v>
      </c>
      <c r="N3580" t="str">
        <f>"RECEITAS COM SETUP"</f>
        <v>RECEITAS COM SETUP</v>
      </c>
      <c r="P3580">
        <v>1000</v>
      </c>
      <c r="Q3580" t="str">
        <f>"REDEFARMA (10185)"</f>
        <v>REDEFARMA (10185)</v>
      </c>
      <c r="R3580" t="str">
        <f>"RECEITAS COM SETUP (117)"</f>
        <v>RECEITAS COM SETUP (117)</v>
      </c>
      <c r="S3580">
        <v>2117</v>
      </c>
      <c r="T3580">
        <v>1656</v>
      </c>
      <c r="U3580" t="s">
        <v>19</v>
      </c>
    </row>
    <row r="3581" spans="1:21">
      <c r="A3581" t="str">
        <f t="shared" si="1708"/>
        <v>02/07/2025</v>
      </c>
      <c r="B3581" t="str">
        <f t="shared" si="1718"/>
        <v>SAÍDA</v>
      </c>
      <c r="C3581" t="str">
        <f t="shared" ref="C3581:C3600" si="1719">"CONHECIMENTO"</f>
        <v>CONHECIMENTO</v>
      </c>
      <c r="D3581" t="str">
        <f t="shared" ref="D3581:D3600" si="1720">"020725170"</f>
        <v>020725170</v>
      </c>
      <c r="E3581" t="str">
        <f t="shared" si="1716"/>
        <v>COM</v>
      </c>
      <c r="F3581" t="str">
        <f t="shared" ref="F3581:F3600" si="1721">"CORA SOCIEDADE DE CREDITO, FINANCIAMENTO E INVESTIMENTO (20035)"</f>
        <v>CORA SOCIEDADE DE CREDITO, FINANCIAMENTO E INVESTIMENTO (20035)</v>
      </c>
      <c r="G3581" t="str">
        <f t="shared" ref="G3581:G3600" si="1722">"TAXA BOLETO COMPENSADO"</f>
        <v>TAXA BOLETO COMPENSADO</v>
      </c>
      <c r="H3581" t="str">
        <f t="shared" si="1710"/>
        <v>02/07/2025</v>
      </c>
      <c r="I3581" t="str">
        <f t="shared" si="1717"/>
        <v>02/07/2025</v>
      </c>
      <c r="J3581" t="str">
        <f t="shared" si="1711"/>
        <v>02/07/2025</v>
      </c>
      <c r="K3581">
        <v>1.7</v>
      </c>
      <c r="L3581">
        <v>1.7</v>
      </c>
      <c r="M3581">
        <v>401</v>
      </c>
      <c r="N3581" t="str">
        <f t="shared" ref="N3581:N3600" si="1723">"IOF/JUROS/DESP.FINANCEIRA"</f>
        <v>IOF/JUROS/DESP.FINANCEIRA</v>
      </c>
      <c r="O3581">
        <v>1.7</v>
      </c>
      <c r="R3581" t="str">
        <f t="shared" ref="R3581:R3602" si="1724">"BANCO CORA (102)"</f>
        <v>BANCO CORA (102)</v>
      </c>
      <c r="S3581">
        <v>2123</v>
      </c>
      <c r="T3581">
        <v>1593</v>
      </c>
      <c r="U3581" t="s">
        <v>19</v>
      </c>
    </row>
    <row r="3582" spans="1:21">
      <c r="A3582" t="str">
        <f t="shared" si="1708"/>
        <v>02/07/2025</v>
      </c>
      <c r="B3582" t="str">
        <f t="shared" si="1718"/>
        <v>SAÍDA</v>
      </c>
      <c r="C3582" t="str">
        <f t="shared" si="1719"/>
        <v>CONHECIMENTO</v>
      </c>
      <c r="D3582" t="str">
        <f t="shared" si="1720"/>
        <v>020725170</v>
      </c>
      <c r="E3582" t="str">
        <f t="shared" si="1716"/>
        <v>COM</v>
      </c>
      <c r="F3582" t="str">
        <f t="shared" si="1721"/>
        <v>CORA SOCIEDADE DE CREDITO, FINANCIAMENTO E INVESTIMENTO (20035)</v>
      </c>
      <c r="G3582" t="str">
        <f t="shared" si="1722"/>
        <v>TAXA BOLETO COMPENSADO</v>
      </c>
      <c r="H3582" t="str">
        <f t="shared" si="1710"/>
        <v>02/07/2025</v>
      </c>
      <c r="I3582" t="str">
        <f t="shared" si="1717"/>
        <v>02/07/2025</v>
      </c>
      <c r="J3582" t="str">
        <f t="shared" si="1711"/>
        <v>02/07/2025</v>
      </c>
      <c r="M3582">
        <v>401</v>
      </c>
      <c r="N3582" t="str">
        <f t="shared" si="1723"/>
        <v>IOF/JUROS/DESP.FINANCEIRA</v>
      </c>
      <c r="P3582">
        <v>1.7</v>
      </c>
      <c r="Q3582" t="str">
        <f>"CORA SOCIEDADE DE CREDITO, FINANCIAMENTO E INVESTIMENTO (20035)"</f>
        <v>CORA SOCIEDADE DE CREDITO, FINANCIAMENTO E INVESTIMENTO (20035)</v>
      </c>
      <c r="R3582" t="str">
        <f t="shared" si="1724"/>
        <v>BANCO CORA (102)</v>
      </c>
      <c r="S3582">
        <v>2123</v>
      </c>
      <c r="T3582">
        <v>1593</v>
      </c>
      <c r="U3582" t="s">
        <v>19</v>
      </c>
    </row>
    <row r="3583" spans="1:21">
      <c r="A3583" t="str">
        <f t="shared" si="1708"/>
        <v>02/07/2025</v>
      </c>
      <c r="B3583" t="str">
        <f t="shared" si="1718"/>
        <v>SAÍDA</v>
      </c>
      <c r="C3583" t="str">
        <f t="shared" si="1719"/>
        <v>CONHECIMENTO</v>
      </c>
      <c r="D3583" t="str">
        <f t="shared" si="1720"/>
        <v>020725170</v>
      </c>
      <c r="E3583" t="str">
        <f t="shared" si="1716"/>
        <v>COM</v>
      </c>
      <c r="F3583" t="str">
        <f t="shared" si="1721"/>
        <v>CORA SOCIEDADE DE CREDITO, FINANCIAMENTO E INVESTIMENTO (20035)</v>
      </c>
      <c r="G3583" t="str">
        <f t="shared" si="1722"/>
        <v>TAXA BOLETO COMPENSADO</v>
      </c>
      <c r="H3583" t="str">
        <f t="shared" si="1710"/>
        <v>02/07/2025</v>
      </c>
      <c r="I3583" t="str">
        <f t="shared" si="1717"/>
        <v>02/07/2025</v>
      </c>
      <c r="J3583" t="str">
        <f t="shared" si="1711"/>
        <v>02/07/2025</v>
      </c>
      <c r="K3583">
        <v>1.7</v>
      </c>
      <c r="L3583">
        <v>1.7</v>
      </c>
      <c r="M3583">
        <v>401</v>
      </c>
      <c r="N3583" t="str">
        <f t="shared" si="1723"/>
        <v>IOF/JUROS/DESP.FINANCEIRA</v>
      </c>
      <c r="O3583">
        <v>1.7</v>
      </c>
      <c r="R3583" t="str">
        <f t="shared" si="1724"/>
        <v>BANCO CORA (102)</v>
      </c>
      <c r="S3583">
        <v>2124</v>
      </c>
      <c r="T3583">
        <v>1658</v>
      </c>
      <c r="U3583" t="s">
        <v>19</v>
      </c>
    </row>
    <row r="3584" spans="1:21">
      <c r="A3584" t="str">
        <f t="shared" si="1708"/>
        <v>02/07/2025</v>
      </c>
      <c r="B3584" t="str">
        <f t="shared" si="1718"/>
        <v>SAÍDA</v>
      </c>
      <c r="C3584" t="str">
        <f t="shared" si="1719"/>
        <v>CONHECIMENTO</v>
      </c>
      <c r="D3584" t="str">
        <f t="shared" si="1720"/>
        <v>020725170</v>
      </c>
      <c r="E3584" t="str">
        <f t="shared" si="1716"/>
        <v>COM</v>
      </c>
      <c r="F3584" t="str">
        <f t="shared" si="1721"/>
        <v>CORA SOCIEDADE DE CREDITO, FINANCIAMENTO E INVESTIMENTO (20035)</v>
      </c>
      <c r="G3584" t="str">
        <f t="shared" si="1722"/>
        <v>TAXA BOLETO COMPENSADO</v>
      </c>
      <c r="H3584" t="str">
        <f t="shared" si="1710"/>
        <v>02/07/2025</v>
      </c>
      <c r="I3584" t="str">
        <f t="shared" si="1717"/>
        <v>02/07/2025</v>
      </c>
      <c r="J3584" t="str">
        <f t="shared" si="1711"/>
        <v>02/07/2025</v>
      </c>
      <c r="M3584">
        <v>401</v>
      </c>
      <c r="N3584" t="str">
        <f t="shared" si="1723"/>
        <v>IOF/JUROS/DESP.FINANCEIRA</v>
      </c>
      <c r="P3584">
        <v>1.7</v>
      </c>
      <c r="Q3584" t="str">
        <f>"CORA SOCIEDADE DE CREDITO, FINANCIAMENTO E INVESTIMENTO (20035)"</f>
        <v>CORA SOCIEDADE DE CREDITO, FINANCIAMENTO E INVESTIMENTO (20035)</v>
      </c>
      <c r="R3584" t="str">
        <f t="shared" si="1724"/>
        <v>BANCO CORA (102)</v>
      </c>
      <c r="S3584">
        <v>2124</v>
      </c>
      <c r="T3584">
        <v>1658</v>
      </c>
      <c r="U3584" t="s">
        <v>19</v>
      </c>
    </row>
    <row r="3585" spans="1:21">
      <c r="A3585" t="str">
        <f t="shared" si="1708"/>
        <v>02/07/2025</v>
      </c>
      <c r="B3585" t="str">
        <f t="shared" si="1718"/>
        <v>SAÍDA</v>
      </c>
      <c r="C3585" t="str">
        <f t="shared" si="1719"/>
        <v>CONHECIMENTO</v>
      </c>
      <c r="D3585" t="str">
        <f t="shared" si="1720"/>
        <v>020725170</v>
      </c>
      <c r="E3585" t="str">
        <f t="shared" si="1716"/>
        <v>COM</v>
      </c>
      <c r="F3585" t="str">
        <f t="shared" si="1721"/>
        <v>CORA SOCIEDADE DE CREDITO, FINANCIAMENTO E INVESTIMENTO (20035)</v>
      </c>
      <c r="G3585" t="str">
        <f t="shared" si="1722"/>
        <v>TAXA BOLETO COMPENSADO</v>
      </c>
      <c r="H3585" t="str">
        <f t="shared" si="1710"/>
        <v>02/07/2025</v>
      </c>
      <c r="I3585" t="str">
        <f t="shared" si="1717"/>
        <v>02/07/2025</v>
      </c>
      <c r="J3585" t="str">
        <f t="shared" si="1711"/>
        <v>02/07/2025</v>
      </c>
      <c r="K3585">
        <v>1.7</v>
      </c>
      <c r="L3585">
        <v>1.7</v>
      </c>
      <c r="M3585">
        <v>401</v>
      </c>
      <c r="N3585" t="str">
        <f t="shared" si="1723"/>
        <v>IOF/JUROS/DESP.FINANCEIRA</v>
      </c>
      <c r="O3585">
        <v>1.7</v>
      </c>
      <c r="R3585" t="str">
        <f t="shared" si="1724"/>
        <v>BANCO CORA (102)</v>
      </c>
      <c r="S3585">
        <v>2125</v>
      </c>
      <c r="T3585">
        <v>1642</v>
      </c>
      <c r="U3585" t="s">
        <v>19</v>
      </c>
    </row>
    <row r="3586" spans="1:21">
      <c r="A3586" t="str">
        <f t="shared" si="1708"/>
        <v>02/07/2025</v>
      </c>
      <c r="B3586" t="str">
        <f t="shared" si="1718"/>
        <v>SAÍDA</v>
      </c>
      <c r="C3586" t="str">
        <f t="shared" si="1719"/>
        <v>CONHECIMENTO</v>
      </c>
      <c r="D3586" t="str">
        <f t="shared" si="1720"/>
        <v>020725170</v>
      </c>
      <c r="E3586" t="str">
        <f t="shared" si="1716"/>
        <v>COM</v>
      </c>
      <c r="F3586" t="str">
        <f t="shared" si="1721"/>
        <v>CORA SOCIEDADE DE CREDITO, FINANCIAMENTO E INVESTIMENTO (20035)</v>
      </c>
      <c r="G3586" t="str">
        <f t="shared" si="1722"/>
        <v>TAXA BOLETO COMPENSADO</v>
      </c>
      <c r="H3586" t="str">
        <f t="shared" si="1710"/>
        <v>02/07/2025</v>
      </c>
      <c r="I3586" t="str">
        <f t="shared" si="1717"/>
        <v>02/07/2025</v>
      </c>
      <c r="J3586" t="str">
        <f t="shared" si="1711"/>
        <v>02/07/2025</v>
      </c>
      <c r="M3586">
        <v>401</v>
      </c>
      <c r="N3586" t="str">
        <f t="shared" si="1723"/>
        <v>IOF/JUROS/DESP.FINANCEIRA</v>
      </c>
      <c r="P3586">
        <v>1.7</v>
      </c>
      <c r="Q3586" t="str">
        <f>"CORA SOCIEDADE DE CREDITO, FINANCIAMENTO E INVESTIMENTO (20035)"</f>
        <v>CORA SOCIEDADE DE CREDITO, FINANCIAMENTO E INVESTIMENTO (20035)</v>
      </c>
      <c r="R3586" t="str">
        <f t="shared" si="1724"/>
        <v>BANCO CORA (102)</v>
      </c>
      <c r="S3586">
        <v>2125</v>
      </c>
      <c r="T3586">
        <v>1642</v>
      </c>
      <c r="U3586" t="s">
        <v>19</v>
      </c>
    </row>
    <row r="3587" spans="1:21">
      <c r="A3587" t="str">
        <f t="shared" si="1708"/>
        <v>02/07/2025</v>
      </c>
      <c r="B3587" t="str">
        <f t="shared" si="1718"/>
        <v>SAÍDA</v>
      </c>
      <c r="C3587" t="str">
        <f t="shared" si="1719"/>
        <v>CONHECIMENTO</v>
      </c>
      <c r="D3587" t="str">
        <f t="shared" si="1720"/>
        <v>020725170</v>
      </c>
      <c r="E3587" t="str">
        <f t="shared" si="1716"/>
        <v>COM</v>
      </c>
      <c r="F3587" t="str">
        <f t="shared" si="1721"/>
        <v>CORA SOCIEDADE DE CREDITO, FINANCIAMENTO E INVESTIMENTO (20035)</v>
      </c>
      <c r="G3587" t="str">
        <f t="shared" si="1722"/>
        <v>TAXA BOLETO COMPENSADO</v>
      </c>
      <c r="H3587" t="str">
        <f t="shared" si="1710"/>
        <v>02/07/2025</v>
      </c>
      <c r="I3587" t="str">
        <f t="shared" si="1717"/>
        <v>02/07/2025</v>
      </c>
      <c r="J3587" t="str">
        <f t="shared" si="1711"/>
        <v>02/07/2025</v>
      </c>
      <c r="K3587">
        <v>1.7</v>
      </c>
      <c r="L3587">
        <v>1.7</v>
      </c>
      <c r="M3587">
        <v>401</v>
      </c>
      <c r="N3587" t="str">
        <f t="shared" si="1723"/>
        <v>IOF/JUROS/DESP.FINANCEIRA</v>
      </c>
      <c r="O3587">
        <v>1.7</v>
      </c>
      <c r="R3587" t="str">
        <f t="shared" si="1724"/>
        <v>BANCO CORA (102)</v>
      </c>
      <c r="S3587">
        <v>2126</v>
      </c>
      <c r="T3587">
        <v>1643</v>
      </c>
      <c r="U3587" t="s">
        <v>19</v>
      </c>
    </row>
    <row r="3588" spans="1:21">
      <c r="A3588" t="str">
        <f t="shared" ref="A3588:A3602" si="1725">("02/07/2025")</f>
        <v>02/07/2025</v>
      </c>
      <c r="B3588" t="str">
        <f t="shared" si="1718"/>
        <v>SAÍDA</v>
      </c>
      <c r="C3588" t="str">
        <f t="shared" si="1719"/>
        <v>CONHECIMENTO</v>
      </c>
      <c r="D3588" t="str">
        <f t="shared" si="1720"/>
        <v>020725170</v>
      </c>
      <c r="E3588" t="str">
        <f t="shared" si="1716"/>
        <v>COM</v>
      </c>
      <c r="F3588" t="str">
        <f t="shared" si="1721"/>
        <v>CORA SOCIEDADE DE CREDITO, FINANCIAMENTO E INVESTIMENTO (20035)</v>
      </c>
      <c r="G3588" t="str">
        <f t="shared" si="1722"/>
        <v>TAXA BOLETO COMPENSADO</v>
      </c>
      <c r="H3588" t="str">
        <f t="shared" ref="H3588:H3619" si="1726">("02/07/2025")</f>
        <v>02/07/2025</v>
      </c>
      <c r="I3588" t="str">
        <f t="shared" si="1717"/>
        <v>02/07/2025</v>
      </c>
      <c r="J3588" t="str">
        <f t="shared" ref="J3588:J3602" si="1727">("02/07/2025")</f>
        <v>02/07/2025</v>
      </c>
      <c r="M3588">
        <v>401</v>
      </c>
      <c r="N3588" t="str">
        <f t="shared" si="1723"/>
        <v>IOF/JUROS/DESP.FINANCEIRA</v>
      </c>
      <c r="P3588">
        <v>1.7</v>
      </c>
      <c r="Q3588" t="str">
        <f>"CORA SOCIEDADE DE CREDITO, FINANCIAMENTO E INVESTIMENTO (20035)"</f>
        <v>CORA SOCIEDADE DE CREDITO, FINANCIAMENTO E INVESTIMENTO (20035)</v>
      </c>
      <c r="R3588" t="str">
        <f t="shared" si="1724"/>
        <v>BANCO CORA (102)</v>
      </c>
      <c r="S3588">
        <v>2126</v>
      </c>
      <c r="T3588">
        <v>1643</v>
      </c>
      <c r="U3588" t="s">
        <v>19</v>
      </c>
    </row>
    <row r="3589" spans="1:21">
      <c r="A3589" t="str">
        <f t="shared" si="1725"/>
        <v>02/07/2025</v>
      </c>
      <c r="B3589" t="str">
        <f t="shared" si="1718"/>
        <v>SAÍDA</v>
      </c>
      <c r="C3589" t="str">
        <f t="shared" si="1719"/>
        <v>CONHECIMENTO</v>
      </c>
      <c r="D3589" t="str">
        <f t="shared" si="1720"/>
        <v>020725170</v>
      </c>
      <c r="E3589" t="str">
        <f t="shared" si="1716"/>
        <v>COM</v>
      </c>
      <c r="F3589" t="str">
        <f t="shared" si="1721"/>
        <v>CORA SOCIEDADE DE CREDITO, FINANCIAMENTO E INVESTIMENTO (20035)</v>
      </c>
      <c r="G3589" t="str">
        <f t="shared" si="1722"/>
        <v>TAXA BOLETO COMPENSADO</v>
      </c>
      <c r="H3589" t="str">
        <f t="shared" si="1726"/>
        <v>02/07/2025</v>
      </c>
      <c r="I3589" t="str">
        <f t="shared" si="1717"/>
        <v>02/07/2025</v>
      </c>
      <c r="J3589" t="str">
        <f t="shared" si="1727"/>
        <v>02/07/2025</v>
      </c>
      <c r="K3589">
        <v>1.7</v>
      </c>
      <c r="L3589">
        <v>1.7</v>
      </c>
      <c r="M3589">
        <v>401</v>
      </c>
      <c r="N3589" t="str">
        <f t="shared" si="1723"/>
        <v>IOF/JUROS/DESP.FINANCEIRA</v>
      </c>
      <c r="O3589">
        <v>1.7</v>
      </c>
      <c r="R3589" t="str">
        <f t="shared" si="1724"/>
        <v>BANCO CORA (102)</v>
      </c>
      <c r="S3589">
        <v>2127</v>
      </c>
      <c r="T3589">
        <v>1644</v>
      </c>
      <c r="U3589" t="s">
        <v>19</v>
      </c>
    </row>
    <row r="3590" spans="1:21">
      <c r="A3590" t="str">
        <f t="shared" si="1725"/>
        <v>02/07/2025</v>
      </c>
      <c r="B3590" t="str">
        <f t="shared" si="1718"/>
        <v>SAÍDA</v>
      </c>
      <c r="C3590" t="str">
        <f t="shared" si="1719"/>
        <v>CONHECIMENTO</v>
      </c>
      <c r="D3590" t="str">
        <f t="shared" si="1720"/>
        <v>020725170</v>
      </c>
      <c r="E3590" t="str">
        <f t="shared" si="1716"/>
        <v>COM</v>
      </c>
      <c r="F3590" t="str">
        <f t="shared" si="1721"/>
        <v>CORA SOCIEDADE DE CREDITO, FINANCIAMENTO E INVESTIMENTO (20035)</v>
      </c>
      <c r="G3590" t="str">
        <f t="shared" si="1722"/>
        <v>TAXA BOLETO COMPENSADO</v>
      </c>
      <c r="H3590" t="str">
        <f t="shared" si="1726"/>
        <v>02/07/2025</v>
      </c>
      <c r="I3590" t="str">
        <f t="shared" si="1717"/>
        <v>02/07/2025</v>
      </c>
      <c r="J3590" t="str">
        <f t="shared" si="1727"/>
        <v>02/07/2025</v>
      </c>
      <c r="M3590">
        <v>401</v>
      </c>
      <c r="N3590" t="str">
        <f t="shared" si="1723"/>
        <v>IOF/JUROS/DESP.FINANCEIRA</v>
      </c>
      <c r="P3590">
        <v>1.7</v>
      </c>
      <c r="Q3590" t="str">
        <f>"CORA SOCIEDADE DE CREDITO, FINANCIAMENTO E INVESTIMENTO (20035)"</f>
        <v>CORA SOCIEDADE DE CREDITO, FINANCIAMENTO E INVESTIMENTO (20035)</v>
      </c>
      <c r="R3590" t="str">
        <f t="shared" si="1724"/>
        <v>BANCO CORA (102)</v>
      </c>
      <c r="S3590">
        <v>2127</v>
      </c>
      <c r="T3590">
        <v>1644</v>
      </c>
      <c r="U3590" t="s">
        <v>19</v>
      </c>
    </row>
    <row r="3591" spans="1:21">
      <c r="A3591" t="str">
        <f t="shared" si="1725"/>
        <v>02/07/2025</v>
      </c>
      <c r="B3591" t="str">
        <f t="shared" si="1718"/>
        <v>SAÍDA</v>
      </c>
      <c r="C3591" t="str">
        <f t="shared" si="1719"/>
        <v>CONHECIMENTO</v>
      </c>
      <c r="D3591" t="str">
        <f t="shared" si="1720"/>
        <v>020725170</v>
      </c>
      <c r="E3591" t="str">
        <f t="shared" si="1716"/>
        <v>COM</v>
      </c>
      <c r="F3591" t="str">
        <f t="shared" si="1721"/>
        <v>CORA SOCIEDADE DE CREDITO, FINANCIAMENTO E INVESTIMENTO (20035)</v>
      </c>
      <c r="G3591" t="str">
        <f t="shared" si="1722"/>
        <v>TAXA BOLETO COMPENSADO</v>
      </c>
      <c r="H3591" t="str">
        <f t="shared" si="1726"/>
        <v>02/07/2025</v>
      </c>
      <c r="I3591" t="str">
        <f t="shared" si="1717"/>
        <v>02/07/2025</v>
      </c>
      <c r="J3591" t="str">
        <f t="shared" si="1727"/>
        <v>02/07/2025</v>
      </c>
      <c r="K3591">
        <v>1.7</v>
      </c>
      <c r="L3591">
        <v>1.7</v>
      </c>
      <c r="M3591">
        <v>401</v>
      </c>
      <c r="N3591" t="str">
        <f t="shared" si="1723"/>
        <v>IOF/JUROS/DESP.FINANCEIRA</v>
      </c>
      <c r="O3591">
        <v>1.7</v>
      </c>
      <c r="R3591" t="str">
        <f t="shared" si="1724"/>
        <v>BANCO CORA (102)</v>
      </c>
      <c r="S3591">
        <v>2128</v>
      </c>
      <c r="T3591">
        <v>1645</v>
      </c>
      <c r="U3591" t="s">
        <v>19</v>
      </c>
    </row>
    <row r="3592" spans="1:21">
      <c r="A3592" t="str">
        <f t="shared" si="1725"/>
        <v>02/07/2025</v>
      </c>
      <c r="B3592" t="str">
        <f t="shared" si="1718"/>
        <v>SAÍDA</v>
      </c>
      <c r="C3592" t="str">
        <f t="shared" si="1719"/>
        <v>CONHECIMENTO</v>
      </c>
      <c r="D3592" t="str">
        <f t="shared" si="1720"/>
        <v>020725170</v>
      </c>
      <c r="E3592" t="str">
        <f t="shared" si="1716"/>
        <v>COM</v>
      </c>
      <c r="F3592" t="str">
        <f t="shared" si="1721"/>
        <v>CORA SOCIEDADE DE CREDITO, FINANCIAMENTO E INVESTIMENTO (20035)</v>
      </c>
      <c r="G3592" t="str">
        <f t="shared" si="1722"/>
        <v>TAXA BOLETO COMPENSADO</v>
      </c>
      <c r="H3592" t="str">
        <f t="shared" si="1726"/>
        <v>02/07/2025</v>
      </c>
      <c r="I3592" t="str">
        <f t="shared" si="1717"/>
        <v>02/07/2025</v>
      </c>
      <c r="J3592" t="str">
        <f t="shared" si="1727"/>
        <v>02/07/2025</v>
      </c>
      <c r="M3592">
        <v>401</v>
      </c>
      <c r="N3592" t="str">
        <f t="shared" si="1723"/>
        <v>IOF/JUROS/DESP.FINANCEIRA</v>
      </c>
      <c r="P3592">
        <v>1.7</v>
      </c>
      <c r="Q3592" t="str">
        <f>"CORA SOCIEDADE DE CREDITO, FINANCIAMENTO E INVESTIMENTO (20035)"</f>
        <v>CORA SOCIEDADE DE CREDITO, FINANCIAMENTO E INVESTIMENTO (20035)</v>
      </c>
      <c r="R3592" t="str">
        <f t="shared" si="1724"/>
        <v>BANCO CORA (102)</v>
      </c>
      <c r="S3592">
        <v>2128</v>
      </c>
      <c r="T3592">
        <v>1645</v>
      </c>
      <c r="U3592" t="s">
        <v>19</v>
      </c>
    </row>
    <row r="3593" spans="1:21">
      <c r="A3593" t="str">
        <f t="shared" si="1725"/>
        <v>02/07/2025</v>
      </c>
      <c r="B3593" t="str">
        <f t="shared" si="1718"/>
        <v>SAÍDA</v>
      </c>
      <c r="C3593" t="str">
        <f t="shared" si="1719"/>
        <v>CONHECIMENTO</v>
      </c>
      <c r="D3593" t="str">
        <f t="shared" si="1720"/>
        <v>020725170</v>
      </c>
      <c r="E3593" t="str">
        <f t="shared" si="1716"/>
        <v>COM</v>
      </c>
      <c r="F3593" t="str">
        <f t="shared" si="1721"/>
        <v>CORA SOCIEDADE DE CREDITO, FINANCIAMENTO E INVESTIMENTO (20035)</v>
      </c>
      <c r="G3593" t="str">
        <f t="shared" si="1722"/>
        <v>TAXA BOLETO COMPENSADO</v>
      </c>
      <c r="H3593" t="str">
        <f t="shared" si="1726"/>
        <v>02/07/2025</v>
      </c>
      <c r="I3593" t="str">
        <f t="shared" si="1717"/>
        <v>02/07/2025</v>
      </c>
      <c r="J3593" t="str">
        <f t="shared" si="1727"/>
        <v>02/07/2025</v>
      </c>
      <c r="K3593">
        <v>1.7</v>
      </c>
      <c r="L3593">
        <v>1.7</v>
      </c>
      <c r="M3593">
        <v>401</v>
      </c>
      <c r="N3593" t="str">
        <f t="shared" si="1723"/>
        <v>IOF/JUROS/DESP.FINANCEIRA</v>
      </c>
      <c r="O3593">
        <v>1.7</v>
      </c>
      <c r="R3593" t="str">
        <f t="shared" si="1724"/>
        <v>BANCO CORA (102)</v>
      </c>
      <c r="S3593">
        <v>2129</v>
      </c>
      <c r="T3593">
        <v>1646</v>
      </c>
      <c r="U3593" t="s">
        <v>19</v>
      </c>
    </row>
    <row r="3594" spans="1:21">
      <c r="A3594" t="str">
        <f t="shared" si="1725"/>
        <v>02/07/2025</v>
      </c>
      <c r="B3594" t="str">
        <f t="shared" si="1718"/>
        <v>SAÍDA</v>
      </c>
      <c r="C3594" t="str">
        <f t="shared" si="1719"/>
        <v>CONHECIMENTO</v>
      </c>
      <c r="D3594" t="str">
        <f t="shared" si="1720"/>
        <v>020725170</v>
      </c>
      <c r="E3594" t="str">
        <f t="shared" si="1716"/>
        <v>COM</v>
      </c>
      <c r="F3594" t="str">
        <f t="shared" si="1721"/>
        <v>CORA SOCIEDADE DE CREDITO, FINANCIAMENTO E INVESTIMENTO (20035)</v>
      </c>
      <c r="G3594" t="str">
        <f t="shared" si="1722"/>
        <v>TAXA BOLETO COMPENSADO</v>
      </c>
      <c r="H3594" t="str">
        <f t="shared" si="1726"/>
        <v>02/07/2025</v>
      </c>
      <c r="I3594" t="str">
        <f t="shared" si="1717"/>
        <v>02/07/2025</v>
      </c>
      <c r="J3594" t="str">
        <f t="shared" si="1727"/>
        <v>02/07/2025</v>
      </c>
      <c r="M3594">
        <v>401</v>
      </c>
      <c r="N3594" t="str">
        <f t="shared" si="1723"/>
        <v>IOF/JUROS/DESP.FINANCEIRA</v>
      </c>
      <c r="P3594">
        <v>1.7</v>
      </c>
      <c r="Q3594" t="str">
        <f>"CORA SOCIEDADE DE CREDITO, FINANCIAMENTO E INVESTIMENTO (20035)"</f>
        <v>CORA SOCIEDADE DE CREDITO, FINANCIAMENTO E INVESTIMENTO (20035)</v>
      </c>
      <c r="R3594" t="str">
        <f t="shared" si="1724"/>
        <v>BANCO CORA (102)</v>
      </c>
      <c r="S3594">
        <v>2129</v>
      </c>
      <c r="T3594">
        <v>1646</v>
      </c>
      <c r="U3594" t="s">
        <v>19</v>
      </c>
    </row>
    <row r="3595" spans="1:21">
      <c r="A3595" t="str">
        <f t="shared" si="1725"/>
        <v>02/07/2025</v>
      </c>
      <c r="B3595" t="str">
        <f t="shared" si="1718"/>
        <v>SAÍDA</v>
      </c>
      <c r="C3595" t="str">
        <f t="shared" si="1719"/>
        <v>CONHECIMENTO</v>
      </c>
      <c r="D3595" t="str">
        <f t="shared" si="1720"/>
        <v>020725170</v>
      </c>
      <c r="E3595" t="str">
        <f t="shared" si="1716"/>
        <v>COM</v>
      </c>
      <c r="F3595" t="str">
        <f t="shared" si="1721"/>
        <v>CORA SOCIEDADE DE CREDITO, FINANCIAMENTO E INVESTIMENTO (20035)</v>
      </c>
      <c r="G3595" t="str">
        <f t="shared" si="1722"/>
        <v>TAXA BOLETO COMPENSADO</v>
      </c>
      <c r="H3595" t="str">
        <f t="shared" si="1726"/>
        <v>02/07/2025</v>
      </c>
      <c r="I3595" t="str">
        <f t="shared" si="1717"/>
        <v>02/07/2025</v>
      </c>
      <c r="J3595" t="str">
        <f t="shared" si="1727"/>
        <v>02/07/2025</v>
      </c>
      <c r="K3595">
        <v>1.7</v>
      </c>
      <c r="L3595">
        <v>1.7</v>
      </c>
      <c r="M3595">
        <v>401</v>
      </c>
      <c r="N3595" t="str">
        <f t="shared" si="1723"/>
        <v>IOF/JUROS/DESP.FINANCEIRA</v>
      </c>
      <c r="O3595">
        <v>1.7</v>
      </c>
      <c r="R3595" t="str">
        <f t="shared" si="1724"/>
        <v>BANCO CORA (102)</v>
      </c>
      <c r="S3595">
        <v>2130</v>
      </c>
      <c r="T3595">
        <v>1647</v>
      </c>
      <c r="U3595" t="s">
        <v>19</v>
      </c>
    </row>
    <row r="3596" spans="1:21">
      <c r="A3596" t="str">
        <f t="shared" si="1725"/>
        <v>02/07/2025</v>
      </c>
      <c r="B3596" t="str">
        <f t="shared" si="1718"/>
        <v>SAÍDA</v>
      </c>
      <c r="C3596" t="str">
        <f t="shared" si="1719"/>
        <v>CONHECIMENTO</v>
      </c>
      <c r="D3596" t="str">
        <f t="shared" si="1720"/>
        <v>020725170</v>
      </c>
      <c r="E3596" t="str">
        <f t="shared" si="1716"/>
        <v>COM</v>
      </c>
      <c r="F3596" t="str">
        <f t="shared" si="1721"/>
        <v>CORA SOCIEDADE DE CREDITO, FINANCIAMENTO E INVESTIMENTO (20035)</v>
      </c>
      <c r="G3596" t="str">
        <f t="shared" si="1722"/>
        <v>TAXA BOLETO COMPENSADO</v>
      </c>
      <c r="H3596" t="str">
        <f t="shared" si="1726"/>
        <v>02/07/2025</v>
      </c>
      <c r="I3596" t="str">
        <f t="shared" si="1717"/>
        <v>02/07/2025</v>
      </c>
      <c r="J3596" t="str">
        <f t="shared" si="1727"/>
        <v>02/07/2025</v>
      </c>
      <c r="M3596">
        <v>401</v>
      </c>
      <c r="N3596" t="str">
        <f t="shared" si="1723"/>
        <v>IOF/JUROS/DESP.FINANCEIRA</v>
      </c>
      <c r="P3596">
        <v>1.7</v>
      </c>
      <c r="Q3596" t="str">
        <f>"CORA SOCIEDADE DE CREDITO, FINANCIAMENTO E INVESTIMENTO (20035)"</f>
        <v>CORA SOCIEDADE DE CREDITO, FINANCIAMENTO E INVESTIMENTO (20035)</v>
      </c>
      <c r="R3596" t="str">
        <f t="shared" si="1724"/>
        <v>BANCO CORA (102)</v>
      </c>
      <c r="S3596">
        <v>2130</v>
      </c>
      <c r="T3596">
        <v>1647</v>
      </c>
      <c r="U3596" t="s">
        <v>19</v>
      </c>
    </row>
    <row r="3597" spans="1:21">
      <c r="A3597" t="str">
        <f t="shared" si="1725"/>
        <v>02/07/2025</v>
      </c>
      <c r="B3597" t="str">
        <f t="shared" si="1718"/>
        <v>SAÍDA</v>
      </c>
      <c r="C3597" t="str">
        <f t="shared" si="1719"/>
        <v>CONHECIMENTO</v>
      </c>
      <c r="D3597" t="str">
        <f t="shared" si="1720"/>
        <v>020725170</v>
      </c>
      <c r="E3597" t="str">
        <f t="shared" si="1716"/>
        <v>COM</v>
      </c>
      <c r="F3597" t="str">
        <f t="shared" si="1721"/>
        <v>CORA SOCIEDADE DE CREDITO, FINANCIAMENTO E INVESTIMENTO (20035)</v>
      </c>
      <c r="G3597" t="str">
        <f t="shared" si="1722"/>
        <v>TAXA BOLETO COMPENSADO</v>
      </c>
      <c r="H3597" t="str">
        <f t="shared" si="1726"/>
        <v>02/07/2025</v>
      </c>
      <c r="I3597" t="str">
        <f t="shared" si="1717"/>
        <v>02/07/2025</v>
      </c>
      <c r="J3597" t="str">
        <f t="shared" si="1727"/>
        <v>02/07/2025</v>
      </c>
      <c r="K3597">
        <v>1.7</v>
      </c>
      <c r="L3597">
        <v>1.7</v>
      </c>
      <c r="M3597">
        <v>401</v>
      </c>
      <c r="N3597" t="str">
        <f t="shared" si="1723"/>
        <v>IOF/JUROS/DESP.FINANCEIRA</v>
      </c>
      <c r="O3597">
        <v>1.7</v>
      </c>
      <c r="R3597" t="str">
        <f t="shared" si="1724"/>
        <v>BANCO CORA (102)</v>
      </c>
      <c r="S3597">
        <v>2131</v>
      </c>
      <c r="T3597">
        <v>1648</v>
      </c>
      <c r="U3597" t="s">
        <v>19</v>
      </c>
    </row>
    <row r="3598" spans="1:21">
      <c r="A3598" t="str">
        <f t="shared" si="1725"/>
        <v>02/07/2025</v>
      </c>
      <c r="B3598" t="str">
        <f t="shared" si="1718"/>
        <v>SAÍDA</v>
      </c>
      <c r="C3598" t="str">
        <f t="shared" si="1719"/>
        <v>CONHECIMENTO</v>
      </c>
      <c r="D3598" t="str">
        <f t="shared" si="1720"/>
        <v>020725170</v>
      </c>
      <c r="E3598" t="str">
        <f t="shared" si="1716"/>
        <v>COM</v>
      </c>
      <c r="F3598" t="str">
        <f t="shared" si="1721"/>
        <v>CORA SOCIEDADE DE CREDITO, FINANCIAMENTO E INVESTIMENTO (20035)</v>
      </c>
      <c r="G3598" t="str">
        <f t="shared" si="1722"/>
        <v>TAXA BOLETO COMPENSADO</v>
      </c>
      <c r="H3598" t="str">
        <f t="shared" si="1726"/>
        <v>02/07/2025</v>
      </c>
      <c r="I3598" t="str">
        <f t="shared" si="1717"/>
        <v>02/07/2025</v>
      </c>
      <c r="J3598" t="str">
        <f t="shared" si="1727"/>
        <v>02/07/2025</v>
      </c>
      <c r="M3598">
        <v>401</v>
      </c>
      <c r="N3598" t="str">
        <f t="shared" si="1723"/>
        <v>IOF/JUROS/DESP.FINANCEIRA</v>
      </c>
      <c r="P3598">
        <v>1.7</v>
      </c>
      <c r="Q3598" t="str">
        <f>"CORA SOCIEDADE DE CREDITO, FINANCIAMENTO E INVESTIMENTO (20035)"</f>
        <v>CORA SOCIEDADE DE CREDITO, FINANCIAMENTO E INVESTIMENTO (20035)</v>
      </c>
      <c r="R3598" t="str">
        <f t="shared" si="1724"/>
        <v>BANCO CORA (102)</v>
      </c>
      <c r="S3598">
        <v>2131</v>
      </c>
      <c r="T3598">
        <v>1648</v>
      </c>
      <c r="U3598" t="s">
        <v>19</v>
      </c>
    </row>
    <row r="3599" spans="1:21">
      <c r="A3599" t="str">
        <f t="shared" si="1725"/>
        <v>02/07/2025</v>
      </c>
      <c r="B3599" t="str">
        <f t="shared" si="1718"/>
        <v>SAÍDA</v>
      </c>
      <c r="C3599" t="str">
        <f t="shared" si="1719"/>
        <v>CONHECIMENTO</v>
      </c>
      <c r="D3599" t="str">
        <f t="shared" si="1720"/>
        <v>020725170</v>
      </c>
      <c r="E3599" t="str">
        <f t="shared" si="1716"/>
        <v>COM</v>
      </c>
      <c r="F3599" t="str">
        <f t="shared" si="1721"/>
        <v>CORA SOCIEDADE DE CREDITO, FINANCIAMENTO E INVESTIMENTO (20035)</v>
      </c>
      <c r="G3599" t="str">
        <f t="shared" si="1722"/>
        <v>TAXA BOLETO COMPENSADO</v>
      </c>
      <c r="H3599" t="str">
        <f t="shared" si="1726"/>
        <v>02/07/2025</v>
      </c>
      <c r="I3599" t="str">
        <f t="shared" si="1717"/>
        <v>02/07/2025</v>
      </c>
      <c r="J3599" t="str">
        <f t="shared" si="1727"/>
        <v>02/07/2025</v>
      </c>
      <c r="K3599">
        <v>1.7</v>
      </c>
      <c r="L3599">
        <v>1.7</v>
      </c>
      <c r="M3599">
        <v>401</v>
      </c>
      <c r="N3599" t="str">
        <f t="shared" si="1723"/>
        <v>IOF/JUROS/DESP.FINANCEIRA</v>
      </c>
      <c r="O3599">
        <v>1.7</v>
      </c>
      <c r="R3599" t="str">
        <f t="shared" si="1724"/>
        <v>BANCO CORA (102)</v>
      </c>
      <c r="S3599">
        <v>2132</v>
      </c>
      <c r="T3599">
        <v>1649</v>
      </c>
      <c r="U3599" t="s">
        <v>19</v>
      </c>
    </row>
    <row r="3600" spans="1:21">
      <c r="A3600" t="str">
        <f t="shared" si="1725"/>
        <v>02/07/2025</v>
      </c>
      <c r="B3600" t="str">
        <f t="shared" si="1718"/>
        <v>SAÍDA</v>
      </c>
      <c r="C3600" t="str">
        <f t="shared" si="1719"/>
        <v>CONHECIMENTO</v>
      </c>
      <c r="D3600" t="str">
        <f t="shared" si="1720"/>
        <v>020725170</v>
      </c>
      <c r="E3600" t="str">
        <f t="shared" si="1716"/>
        <v>COM</v>
      </c>
      <c r="F3600" t="str">
        <f t="shared" si="1721"/>
        <v>CORA SOCIEDADE DE CREDITO, FINANCIAMENTO E INVESTIMENTO (20035)</v>
      </c>
      <c r="G3600" t="str">
        <f t="shared" si="1722"/>
        <v>TAXA BOLETO COMPENSADO</v>
      </c>
      <c r="H3600" t="str">
        <f t="shared" si="1726"/>
        <v>02/07/2025</v>
      </c>
      <c r="I3600" t="str">
        <f t="shared" si="1717"/>
        <v>02/07/2025</v>
      </c>
      <c r="J3600" t="str">
        <f t="shared" si="1727"/>
        <v>02/07/2025</v>
      </c>
      <c r="M3600">
        <v>401</v>
      </c>
      <c r="N3600" t="str">
        <f t="shared" si="1723"/>
        <v>IOF/JUROS/DESP.FINANCEIRA</v>
      </c>
      <c r="P3600">
        <v>1.7</v>
      </c>
      <c r="Q3600" t="str">
        <f>"CORA SOCIEDADE DE CREDITO, FINANCIAMENTO E INVESTIMENTO (20035)"</f>
        <v>CORA SOCIEDADE DE CREDITO, FINANCIAMENTO E INVESTIMENTO (20035)</v>
      </c>
      <c r="R3600" t="str">
        <f t="shared" si="1724"/>
        <v>BANCO CORA (102)</v>
      </c>
      <c r="S3600">
        <v>2132</v>
      </c>
      <c r="T3600">
        <v>1649</v>
      </c>
      <c r="U3600" t="s">
        <v>19</v>
      </c>
    </row>
    <row r="3601" spans="1:21">
      <c r="A3601" t="str">
        <f t="shared" si="1725"/>
        <v>02/07/2025</v>
      </c>
      <c r="B3601" t="str">
        <f t="shared" si="1718"/>
        <v>SAÍDA</v>
      </c>
      <c r="C3601" t="str">
        <f>"PIX"</f>
        <v>PIX</v>
      </c>
      <c r="D3601" t="str">
        <f>"0207251000"</f>
        <v>0207251000</v>
      </c>
      <c r="E3601" t="str">
        <f t="shared" si="1716"/>
        <v>COM</v>
      </c>
      <c r="F3601" t="str">
        <f>"LILIANE DE FATIMA REZENDE JUSTINO (20013)"</f>
        <v>LILIANE DE FATIMA REZENDE JUSTINO (20013)</v>
      </c>
      <c r="G3601" t="str">
        <f>"DESPESAS VIAGENS FORTALEZA/SAO PAULO"</f>
        <v>DESPESAS VIAGENS FORTALEZA/SAO PAULO</v>
      </c>
      <c r="H3601" t="str">
        <f t="shared" si="1726"/>
        <v>02/07/2025</v>
      </c>
      <c r="I3601" t="str">
        <f t="shared" si="1717"/>
        <v>02/07/2025</v>
      </c>
      <c r="J3601" t="str">
        <f t="shared" si="1727"/>
        <v>02/07/2025</v>
      </c>
      <c r="K3601">
        <v>1000</v>
      </c>
      <c r="L3601">
        <v>1000</v>
      </c>
      <c r="M3601">
        <v>128</v>
      </c>
      <c r="N3601" t="str">
        <f>"DESPESAS COM VIAGENS"</f>
        <v>DESPESAS COM VIAGENS</v>
      </c>
      <c r="O3601">
        <v>1000</v>
      </c>
      <c r="R3601" t="str">
        <f t="shared" si="1724"/>
        <v>BANCO CORA (102)</v>
      </c>
      <c r="S3601">
        <v>2429</v>
      </c>
      <c r="T3601">
        <v>1965</v>
      </c>
      <c r="U3601" t="s">
        <v>19</v>
      </c>
    </row>
    <row r="3602" spans="1:21">
      <c r="A3602" t="str">
        <f t="shared" si="1725"/>
        <v>02/07/2025</v>
      </c>
      <c r="B3602" t="str">
        <f t="shared" si="1718"/>
        <v>SAÍDA</v>
      </c>
      <c r="C3602" t="str">
        <f>"PIX"</f>
        <v>PIX</v>
      </c>
      <c r="D3602" t="str">
        <f>"0207251000"</f>
        <v>0207251000</v>
      </c>
      <c r="E3602" t="str">
        <f t="shared" si="1716"/>
        <v>COM</v>
      </c>
      <c r="F3602" t="str">
        <f>"LILIANE DE FATIMA REZENDE JUSTINO (20013)"</f>
        <v>LILIANE DE FATIMA REZENDE JUSTINO (20013)</v>
      </c>
      <c r="G3602" t="str">
        <f>"DESPESAS VIAGENS FORTALEZA/SAO PAULO"</f>
        <v>DESPESAS VIAGENS FORTALEZA/SAO PAULO</v>
      </c>
      <c r="H3602" t="str">
        <f t="shared" si="1726"/>
        <v>02/07/2025</v>
      </c>
      <c r="I3602" t="str">
        <f t="shared" si="1717"/>
        <v>02/07/2025</v>
      </c>
      <c r="J3602" t="str">
        <f t="shared" si="1727"/>
        <v>02/07/2025</v>
      </c>
      <c r="M3602">
        <v>128</v>
      </c>
      <c r="N3602" t="str">
        <f>"DESPESAS COM VIAGENS"</f>
        <v>DESPESAS COM VIAGENS</v>
      </c>
      <c r="P3602">
        <v>1000</v>
      </c>
      <c r="Q3602" t="str">
        <f>"LILIANE DE FATIMA REZENDE JUSTINO (20013)"</f>
        <v>LILIANE DE FATIMA REZENDE JUSTINO (20013)</v>
      </c>
      <c r="R3602" t="str">
        <f t="shared" si="1724"/>
        <v>BANCO CORA (102)</v>
      </c>
      <c r="S3602">
        <v>2429</v>
      </c>
      <c r="T3602">
        <v>1965</v>
      </c>
      <c r="U3602" t="s">
        <v>19</v>
      </c>
    </row>
    <row r="3603" spans="1:21">
      <c r="A3603" t="str">
        <f t="shared" ref="A3603:A3646" si="1728">("03/07/2025")</f>
        <v>03/07/2025</v>
      </c>
      <c r="B3603" t="str">
        <f>"ENTRADA"</f>
        <v>ENTRADA</v>
      </c>
      <c r="C3603" t="str">
        <f t="shared" ref="C3603:C3631" si="1729">"NFSE"</f>
        <v>NFSE</v>
      </c>
      <c r="D3603" t="str">
        <f>"3160"</f>
        <v>3160</v>
      </c>
      <c r="E3603" t="str">
        <f t="shared" si="1716"/>
        <v>COM</v>
      </c>
      <c r="F3603" t="str">
        <f>"BRASIL FARMA (10173)"</f>
        <v>BRASIL FARMA (10173)</v>
      </c>
      <c r="G3603" t="str">
        <f>"Serv.Prest. 23/06/2025 a 29/06/2025 - RPS: 929 - NFSe: 3160"</f>
        <v>Serv.Prest. 23/06/2025 a 29/06/2025 - RPS: 929 - NFSe: 3160</v>
      </c>
      <c r="H3603" t="str">
        <f t="shared" si="1726"/>
        <v>02/07/2025</v>
      </c>
      <c r="I3603" t="str">
        <f t="shared" ref="I3603:I3627" si="1730">("30/06/2025")</f>
        <v>30/06/2025</v>
      </c>
      <c r="J3603" t="str">
        <f t="shared" ref="J3603:J3646" si="1731">("03/07/2025")</f>
        <v>03/07/2025</v>
      </c>
      <c r="K3603">
        <v>320.95999999999998</v>
      </c>
      <c r="L3603">
        <v>320.95999999999998</v>
      </c>
      <c r="M3603">
        <v>303</v>
      </c>
      <c r="N3603" t="str">
        <f t="shared" ref="N3603:N3631" si="1732">"RECEITAS COM ENTREGAS"</f>
        <v>RECEITAS COM ENTREGAS</v>
      </c>
      <c r="O3603">
        <v>320.95999999999998</v>
      </c>
      <c r="R3603" t="str">
        <f t="shared" ref="R3603:R3631" si="1733">"RECEITAS COM ENTREGAS (303)"</f>
        <v>RECEITAS COM ENTREGAS (303)</v>
      </c>
      <c r="S3603">
        <v>1994</v>
      </c>
      <c r="T3603">
        <v>1492</v>
      </c>
      <c r="U3603" t="s">
        <v>19</v>
      </c>
    </row>
    <row r="3604" spans="1:21">
      <c r="A3604" t="str">
        <f t="shared" si="1728"/>
        <v>03/07/2025</v>
      </c>
      <c r="B3604" t="str">
        <f t="shared" ref="B3604:B3631" si="1734">"ENTRADA"</f>
        <v>ENTRADA</v>
      </c>
      <c r="C3604" t="str">
        <f t="shared" si="1729"/>
        <v>NFSE</v>
      </c>
      <c r="D3604" t="str">
        <f>"3160"</f>
        <v>3160</v>
      </c>
      <c r="E3604" t="str">
        <f t="shared" si="1716"/>
        <v>COM</v>
      </c>
      <c r="F3604" t="str">
        <f>"BRASIL FARMA (10173)"</f>
        <v>BRASIL FARMA (10173)</v>
      </c>
      <c r="G3604" t="str">
        <f>"Serv.Prest. 23/06/2025 a 29/06/2025 - RPS: 929 - NFSe: 3160"</f>
        <v>Serv.Prest. 23/06/2025 a 29/06/2025 - RPS: 929 - NFSe: 3160</v>
      </c>
      <c r="H3604" t="str">
        <f t="shared" si="1726"/>
        <v>02/07/2025</v>
      </c>
      <c r="I3604" t="str">
        <f t="shared" si="1730"/>
        <v>30/06/2025</v>
      </c>
      <c r="J3604" t="str">
        <f t="shared" si="1731"/>
        <v>03/07/2025</v>
      </c>
      <c r="M3604">
        <v>303</v>
      </c>
      <c r="N3604" t="str">
        <f t="shared" si="1732"/>
        <v>RECEITAS COM ENTREGAS</v>
      </c>
      <c r="P3604">
        <v>320.95999999999998</v>
      </c>
      <c r="Q3604" t="str">
        <f>"BRASIL FARMA (10173)"</f>
        <v>BRASIL FARMA (10173)</v>
      </c>
      <c r="R3604" t="str">
        <f t="shared" si="1733"/>
        <v>RECEITAS COM ENTREGAS (303)</v>
      </c>
      <c r="S3604">
        <v>1994</v>
      </c>
      <c r="T3604">
        <v>1492</v>
      </c>
      <c r="U3604" t="s">
        <v>19</v>
      </c>
    </row>
    <row r="3605" spans="1:21">
      <c r="A3605" t="str">
        <f t="shared" si="1728"/>
        <v>03/07/2025</v>
      </c>
      <c r="B3605" t="str">
        <f t="shared" si="1734"/>
        <v>ENTRADA</v>
      </c>
      <c r="C3605" t="str">
        <f t="shared" si="1729"/>
        <v>NFSE</v>
      </c>
      <c r="D3605" t="str">
        <f>"3162"</f>
        <v>3162</v>
      </c>
      <c r="E3605" t="str">
        <f t="shared" si="1716"/>
        <v>COM</v>
      </c>
      <c r="F3605" t="str">
        <f>"DROGA ELIDA (10121)"</f>
        <v>DROGA ELIDA (10121)</v>
      </c>
      <c r="G3605" t="str">
        <f>"Serv.Prest. 23/06/2025 a 29/06/2025 - RPS: 931 - NFSe: 3162"</f>
        <v>Serv.Prest. 23/06/2025 a 29/06/2025 - RPS: 931 - NFSe: 3162</v>
      </c>
      <c r="H3605" t="str">
        <f t="shared" si="1726"/>
        <v>02/07/2025</v>
      </c>
      <c r="I3605" t="str">
        <f t="shared" si="1730"/>
        <v>30/06/2025</v>
      </c>
      <c r="J3605" t="str">
        <f t="shared" si="1731"/>
        <v>03/07/2025</v>
      </c>
      <c r="K3605">
        <v>350.4</v>
      </c>
      <c r="L3605">
        <v>350.4</v>
      </c>
      <c r="M3605">
        <v>303</v>
      </c>
      <c r="N3605" t="str">
        <f t="shared" si="1732"/>
        <v>RECEITAS COM ENTREGAS</v>
      </c>
      <c r="O3605">
        <v>350.4</v>
      </c>
      <c r="R3605" t="str">
        <f t="shared" si="1733"/>
        <v>RECEITAS COM ENTREGAS (303)</v>
      </c>
      <c r="S3605">
        <v>1995</v>
      </c>
      <c r="T3605">
        <v>1494</v>
      </c>
      <c r="U3605" t="s">
        <v>19</v>
      </c>
    </row>
    <row r="3606" spans="1:21">
      <c r="A3606" t="str">
        <f t="shared" si="1728"/>
        <v>03/07/2025</v>
      </c>
      <c r="B3606" t="str">
        <f t="shared" si="1734"/>
        <v>ENTRADA</v>
      </c>
      <c r="C3606" t="str">
        <f t="shared" si="1729"/>
        <v>NFSE</v>
      </c>
      <c r="D3606" t="str">
        <f>"3162"</f>
        <v>3162</v>
      </c>
      <c r="E3606" t="str">
        <f t="shared" si="1716"/>
        <v>COM</v>
      </c>
      <c r="F3606" t="str">
        <f>"DROGA ELIDA (10121)"</f>
        <v>DROGA ELIDA (10121)</v>
      </c>
      <c r="G3606" t="str">
        <f>"Serv.Prest. 23/06/2025 a 29/06/2025 - RPS: 931 - NFSe: 3162"</f>
        <v>Serv.Prest. 23/06/2025 a 29/06/2025 - RPS: 931 - NFSe: 3162</v>
      </c>
      <c r="H3606" t="str">
        <f t="shared" si="1726"/>
        <v>02/07/2025</v>
      </c>
      <c r="I3606" t="str">
        <f t="shared" si="1730"/>
        <v>30/06/2025</v>
      </c>
      <c r="J3606" t="str">
        <f t="shared" si="1731"/>
        <v>03/07/2025</v>
      </c>
      <c r="M3606">
        <v>303</v>
      </c>
      <c r="N3606" t="str">
        <f t="shared" si="1732"/>
        <v>RECEITAS COM ENTREGAS</v>
      </c>
      <c r="P3606">
        <v>350.4</v>
      </c>
      <c r="Q3606" t="str">
        <f>"DROGA ELIDA (10121)"</f>
        <v>DROGA ELIDA (10121)</v>
      </c>
      <c r="R3606" t="str">
        <f t="shared" si="1733"/>
        <v>RECEITAS COM ENTREGAS (303)</v>
      </c>
      <c r="S3606">
        <v>1995</v>
      </c>
      <c r="T3606">
        <v>1494</v>
      </c>
      <c r="U3606" t="s">
        <v>19</v>
      </c>
    </row>
    <row r="3607" spans="1:21">
      <c r="A3607" t="str">
        <f t="shared" si="1728"/>
        <v>03/07/2025</v>
      </c>
      <c r="B3607" t="str">
        <f t="shared" si="1734"/>
        <v>ENTRADA</v>
      </c>
      <c r="C3607" t="str">
        <f t="shared" si="1729"/>
        <v>NFSE</v>
      </c>
      <c r="D3607" t="str">
        <f>"3164"</f>
        <v>3164</v>
      </c>
      <c r="E3607" t="str">
        <f t="shared" si="1716"/>
        <v>COM</v>
      </c>
      <c r="F3607" t="str">
        <f>"ENTREFARMA (10164)"</f>
        <v>ENTREFARMA (10164)</v>
      </c>
      <c r="G3607" t="str">
        <f>"Serv.Prest. 23/06/2025 a 29/06/2025 - RPS: 933 - NFSe: 3164"</f>
        <v>Serv.Prest. 23/06/2025 a 29/06/2025 - RPS: 933 - NFSe: 3164</v>
      </c>
      <c r="H3607" t="str">
        <f t="shared" si="1726"/>
        <v>02/07/2025</v>
      </c>
      <c r="I3607" t="str">
        <f t="shared" si="1730"/>
        <v>30/06/2025</v>
      </c>
      <c r="J3607" t="str">
        <f t="shared" si="1731"/>
        <v>03/07/2025</v>
      </c>
      <c r="K3607">
        <v>701.76</v>
      </c>
      <c r="L3607">
        <v>701.76</v>
      </c>
      <c r="M3607">
        <v>303</v>
      </c>
      <c r="N3607" t="str">
        <f t="shared" si="1732"/>
        <v>RECEITAS COM ENTREGAS</v>
      </c>
      <c r="O3607">
        <v>701.76</v>
      </c>
      <c r="R3607" t="str">
        <f t="shared" si="1733"/>
        <v>RECEITAS COM ENTREGAS (303)</v>
      </c>
      <c r="S3607">
        <v>1996</v>
      </c>
      <c r="T3607">
        <v>1496</v>
      </c>
      <c r="U3607" t="s">
        <v>19</v>
      </c>
    </row>
    <row r="3608" spans="1:21">
      <c r="A3608" t="str">
        <f t="shared" si="1728"/>
        <v>03/07/2025</v>
      </c>
      <c r="B3608" t="str">
        <f t="shared" si="1734"/>
        <v>ENTRADA</v>
      </c>
      <c r="C3608" t="str">
        <f t="shared" si="1729"/>
        <v>NFSE</v>
      </c>
      <c r="D3608" t="str">
        <f>"3164"</f>
        <v>3164</v>
      </c>
      <c r="E3608" t="str">
        <f t="shared" si="1716"/>
        <v>COM</v>
      </c>
      <c r="F3608" t="str">
        <f>"ENTREFARMA (10164)"</f>
        <v>ENTREFARMA (10164)</v>
      </c>
      <c r="G3608" t="str">
        <f>"Serv.Prest. 23/06/2025 a 29/06/2025 - RPS: 933 - NFSe: 3164"</f>
        <v>Serv.Prest. 23/06/2025 a 29/06/2025 - RPS: 933 - NFSe: 3164</v>
      </c>
      <c r="H3608" t="str">
        <f t="shared" si="1726"/>
        <v>02/07/2025</v>
      </c>
      <c r="I3608" t="str">
        <f t="shared" si="1730"/>
        <v>30/06/2025</v>
      </c>
      <c r="J3608" t="str">
        <f t="shared" si="1731"/>
        <v>03/07/2025</v>
      </c>
      <c r="M3608">
        <v>303</v>
      </c>
      <c r="N3608" t="str">
        <f t="shared" si="1732"/>
        <v>RECEITAS COM ENTREGAS</v>
      </c>
      <c r="P3608">
        <v>701.76</v>
      </c>
      <c r="Q3608" t="str">
        <f>"ENTREFARMA (10164)"</f>
        <v>ENTREFARMA (10164)</v>
      </c>
      <c r="R3608" t="str">
        <f t="shared" si="1733"/>
        <v>RECEITAS COM ENTREGAS (303)</v>
      </c>
      <c r="S3608">
        <v>1996</v>
      </c>
      <c r="T3608">
        <v>1496</v>
      </c>
      <c r="U3608" t="s">
        <v>19</v>
      </c>
    </row>
    <row r="3609" spans="1:21">
      <c r="A3609" t="str">
        <f t="shared" si="1728"/>
        <v>03/07/2025</v>
      </c>
      <c r="B3609" t="str">
        <f t="shared" si="1734"/>
        <v>ENTRADA</v>
      </c>
      <c r="C3609" t="str">
        <f t="shared" si="1729"/>
        <v>NFSE</v>
      </c>
      <c r="D3609" t="str">
        <f>"3166"</f>
        <v>3166</v>
      </c>
      <c r="E3609" t="str">
        <f t="shared" si="1716"/>
        <v>COM</v>
      </c>
      <c r="F3609" t="str">
        <f>"FRAN FARMA (10124)"</f>
        <v>FRAN FARMA (10124)</v>
      </c>
      <c r="G3609" t="str">
        <f>"Serv.Prest. 23/06/2025 a 29/06/2025 - RPS: 935 - NFSe: 3166"</f>
        <v>Serv.Prest. 23/06/2025 a 29/06/2025 - RPS: 935 - NFSe: 3166</v>
      </c>
      <c r="H3609" t="str">
        <f t="shared" si="1726"/>
        <v>02/07/2025</v>
      </c>
      <c r="I3609" t="str">
        <f t="shared" si="1730"/>
        <v>30/06/2025</v>
      </c>
      <c r="J3609" t="str">
        <f t="shared" si="1731"/>
        <v>03/07/2025</v>
      </c>
      <c r="K3609">
        <v>320</v>
      </c>
      <c r="L3609">
        <v>320</v>
      </c>
      <c r="M3609">
        <v>303</v>
      </c>
      <c r="N3609" t="str">
        <f t="shared" si="1732"/>
        <v>RECEITAS COM ENTREGAS</v>
      </c>
      <c r="O3609">
        <v>320</v>
      </c>
      <c r="R3609" t="str">
        <f t="shared" si="1733"/>
        <v>RECEITAS COM ENTREGAS (303)</v>
      </c>
      <c r="S3609">
        <v>1997</v>
      </c>
      <c r="T3609">
        <v>1498</v>
      </c>
      <c r="U3609" t="s">
        <v>19</v>
      </c>
    </row>
    <row r="3610" spans="1:21">
      <c r="A3610" t="str">
        <f t="shared" si="1728"/>
        <v>03/07/2025</v>
      </c>
      <c r="B3610" t="str">
        <f t="shared" si="1734"/>
        <v>ENTRADA</v>
      </c>
      <c r="C3610" t="str">
        <f t="shared" si="1729"/>
        <v>NFSE</v>
      </c>
      <c r="D3610" t="str">
        <f>"3166"</f>
        <v>3166</v>
      </c>
      <c r="E3610" t="str">
        <f t="shared" si="1716"/>
        <v>COM</v>
      </c>
      <c r="F3610" t="str">
        <f>"FRAN FARMA (10124)"</f>
        <v>FRAN FARMA (10124)</v>
      </c>
      <c r="G3610" t="str">
        <f>"Serv.Prest. 23/06/2025 a 29/06/2025 - RPS: 935 - NFSe: 3166"</f>
        <v>Serv.Prest. 23/06/2025 a 29/06/2025 - RPS: 935 - NFSe: 3166</v>
      </c>
      <c r="H3610" t="str">
        <f t="shared" si="1726"/>
        <v>02/07/2025</v>
      </c>
      <c r="I3610" t="str">
        <f t="shared" si="1730"/>
        <v>30/06/2025</v>
      </c>
      <c r="J3610" t="str">
        <f t="shared" si="1731"/>
        <v>03/07/2025</v>
      </c>
      <c r="M3610">
        <v>303</v>
      </c>
      <c r="N3610" t="str">
        <f t="shared" si="1732"/>
        <v>RECEITAS COM ENTREGAS</v>
      </c>
      <c r="P3610">
        <v>64</v>
      </c>
      <c r="Q3610" t="str">
        <f>"FRAN FARMA (10124)"</f>
        <v>FRAN FARMA (10124)</v>
      </c>
      <c r="R3610" t="str">
        <f t="shared" si="1733"/>
        <v>RECEITAS COM ENTREGAS (303)</v>
      </c>
      <c r="S3610">
        <v>1997</v>
      </c>
      <c r="T3610">
        <v>1498</v>
      </c>
      <c r="U3610" t="s">
        <v>19</v>
      </c>
    </row>
    <row r="3611" spans="1:21">
      <c r="A3611" t="str">
        <f t="shared" si="1728"/>
        <v>03/07/2025</v>
      </c>
      <c r="B3611" t="str">
        <f t="shared" si="1734"/>
        <v>ENTRADA</v>
      </c>
      <c r="C3611" t="str">
        <f t="shared" si="1729"/>
        <v>NFSE</v>
      </c>
      <c r="D3611" t="str">
        <f>"3166"</f>
        <v>3166</v>
      </c>
      <c r="E3611" t="str">
        <f t="shared" si="1716"/>
        <v>COM</v>
      </c>
      <c r="F3611" t="str">
        <f>"FRAN FARMA (10124)"</f>
        <v>FRAN FARMA (10124)</v>
      </c>
      <c r="G3611" t="str">
        <f>"Serv.Prest. 23/06/2025 a 29/06/2025 - RPS: 935 - NFSe: 3166"</f>
        <v>Serv.Prest. 23/06/2025 a 29/06/2025 - RPS: 935 - NFSe: 3166</v>
      </c>
      <c r="H3611" t="str">
        <f t="shared" si="1726"/>
        <v>02/07/2025</v>
      </c>
      <c r="I3611" t="str">
        <f t="shared" si="1730"/>
        <v>30/06/2025</v>
      </c>
      <c r="J3611" t="str">
        <f t="shared" si="1731"/>
        <v>03/07/2025</v>
      </c>
      <c r="M3611">
        <v>303</v>
      </c>
      <c r="N3611" t="str">
        <f t="shared" si="1732"/>
        <v>RECEITAS COM ENTREGAS</v>
      </c>
      <c r="P3611">
        <v>192</v>
      </c>
      <c r="Q3611" t="str">
        <f>"FRAN FARMA LJ 2 (10131)"</f>
        <v>FRAN FARMA LJ 2 (10131)</v>
      </c>
      <c r="R3611" t="str">
        <f t="shared" si="1733"/>
        <v>RECEITAS COM ENTREGAS (303)</v>
      </c>
      <c r="S3611">
        <v>1997</v>
      </c>
      <c r="T3611">
        <v>1498</v>
      </c>
      <c r="U3611" t="s">
        <v>19</v>
      </c>
    </row>
    <row r="3612" spans="1:21">
      <c r="A3612" t="str">
        <f t="shared" si="1728"/>
        <v>03/07/2025</v>
      </c>
      <c r="B3612" t="str">
        <f t="shared" si="1734"/>
        <v>ENTRADA</v>
      </c>
      <c r="C3612" t="str">
        <f t="shared" si="1729"/>
        <v>NFSE</v>
      </c>
      <c r="D3612" t="str">
        <f>"3166"</f>
        <v>3166</v>
      </c>
      <c r="E3612" t="str">
        <f t="shared" si="1716"/>
        <v>COM</v>
      </c>
      <c r="F3612" t="str">
        <f>"FRAN FARMA (10124)"</f>
        <v>FRAN FARMA (10124)</v>
      </c>
      <c r="G3612" t="str">
        <f>"Serv.Prest. 23/06/2025 a 29/06/2025 - RPS: 935 - NFSe: 3166"</f>
        <v>Serv.Prest. 23/06/2025 a 29/06/2025 - RPS: 935 - NFSe: 3166</v>
      </c>
      <c r="H3612" t="str">
        <f t="shared" si="1726"/>
        <v>02/07/2025</v>
      </c>
      <c r="I3612" t="str">
        <f t="shared" si="1730"/>
        <v>30/06/2025</v>
      </c>
      <c r="J3612" t="str">
        <f t="shared" si="1731"/>
        <v>03/07/2025</v>
      </c>
      <c r="M3612">
        <v>303</v>
      </c>
      <c r="N3612" t="str">
        <f t="shared" si="1732"/>
        <v>RECEITAS COM ENTREGAS</v>
      </c>
      <c r="P3612">
        <v>64</v>
      </c>
      <c r="Q3612" t="str">
        <f>"FRAN FARMA LJ 3 (10132)"</f>
        <v>FRAN FARMA LJ 3 (10132)</v>
      </c>
      <c r="R3612" t="str">
        <f t="shared" si="1733"/>
        <v>RECEITAS COM ENTREGAS (303)</v>
      </c>
      <c r="S3612">
        <v>1997</v>
      </c>
      <c r="T3612">
        <v>1498</v>
      </c>
      <c r="U3612" t="s">
        <v>19</v>
      </c>
    </row>
    <row r="3613" spans="1:21">
      <c r="A3613" t="str">
        <f t="shared" si="1728"/>
        <v>03/07/2025</v>
      </c>
      <c r="B3613" t="str">
        <f t="shared" si="1734"/>
        <v>ENTRADA</v>
      </c>
      <c r="C3613" t="str">
        <f t="shared" si="1729"/>
        <v>NFSE</v>
      </c>
      <c r="D3613" t="str">
        <f>"3167"</f>
        <v>3167</v>
      </c>
      <c r="E3613" t="str">
        <f t="shared" si="1716"/>
        <v>COM</v>
      </c>
      <c r="F3613" t="str">
        <f>"DROGARIA TOTAL JUNDIAI (10177)"</f>
        <v>DROGARIA TOTAL JUNDIAI (10177)</v>
      </c>
      <c r="G3613" t="str">
        <f>"Serv.Prest. 23/06/2025 a 29/06/2025 - RPS: 936 - NFSe: 3167"</f>
        <v>Serv.Prest. 23/06/2025 a 29/06/2025 - RPS: 936 - NFSe: 3167</v>
      </c>
      <c r="H3613" t="str">
        <f t="shared" si="1726"/>
        <v>02/07/2025</v>
      </c>
      <c r="I3613" t="str">
        <f t="shared" si="1730"/>
        <v>30/06/2025</v>
      </c>
      <c r="J3613" t="str">
        <f t="shared" si="1731"/>
        <v>03/07/2025</v>
      </c>
      <c r="K3613">
        <v>50.13</v>
      </c>
      <c r="L3613">
        <v>50.13</v>
      </c>
      <c r="M3613">
        <v>303</v>
      </c>
      <c r="N3613" t="str">
        <f t="shared" si="1732"/>
        <v>RECEITAS COM ENTREGAS</v>
      </c>
      <c r="O3613">
        <v>50.13</v>
      </c>
      <c r="R3613" t="str">
        <f t="shared" si="1733"/>
        <v>RECEITAS COM ENTREGAS (303)</v>
      </c>
      <c r="S3613">
        <v>1998</v>
      </c>
      <c r="T3613">
        <v>1499</v>
      </c>
      <c r="U3613" t="s">
        <v>19</v>
      </c>
    </row>
    <row r="3614" spans="1:21">
      <c r="A3614" t="str">
        <f t="shared" si="1728"/>
        <v>03/07/2025</v>
      </c>
      <c r="B3614" t="str">
        <f t="shared" si="1734"/>
        <v>ENTRADA</v>
      </c>
      <c r="C3614" t="str">
        <f t="shared" si="1729"/>
        <v>NFSE</v>
      </c>
      <c r="D3614" t="str">
        <f>"3167"</f>
        <v>3167</v>
      </c>
      <c r="E3614" t="str">
        <f t="shared" si="1716"/>
        <v>COM</v>
      </c>
      <c r="F3614" t="str">
        <f>"DROGARIA TOTAL JUNDIAI (10177)"</f>
        <v>DROGARIA TOTAL JUNDIAI (10177)</v>
      </c>
      <c r="G3614" t="str">
        <f>"Serv.Prest. 23/06/2025 a 29/06/2025 - RPS: 936 - NFSe: 3167"</f>
        <v>Serv.Prest. 23/06/2025 a 29/06/2025 - RPS: 936 - NFSe: 3167</v>
      </c>
      <c r="H3614" t="str">
        <f t="shared" si="1726"/>
        <v>02/07/2025</v>
      </c>
      <c r="I3614" t="str">
        <f t="shared" si="1730"/>
        <v>30/06/2025</v>
      </c>
      <c r="J3614" t="str">
        <f t="shared" si="1731"/>
        <v>03/07/2025</v>
      </c>
      <c r="M3614">
        <v>303</v>
      </c>
      <c r="N3614" t="str">
        <f t="shared" si="1732"/>
        <v>RECEITAS COM ENTREGAS</v>
      </c>
      <c r="P3614">
        <v>50.13</v>
      </c>
      <c r="Q3614" t="str">
        <f>"DROGARIA TOTAL JUNDIAI (10177)"</f>
        <v>DROGARIA TOTAL JUNDIAI (10177)</v>
      </c>
      <c r="R3614" t="str">
        <f t="shared" si="1733"/>
        <v>RECEITAS COM ENTREGAS (303)</v>
      </c>
      <c r="S3614">
        <v>1998</v>
      </c>
      <c r="T3614">
        <v>1499</v>
      </c>
      <c r="U3614" t="s">
        <v>19</v>
      </c>
    </row>
    <row r="3615" spans="1:21">
      <c r="A3615" t="str">
        <f t="shared" si="1728"/>
        <v>03/07/2025</v>
      </c>
      <c r="B3615" t="str">
        <f t="shared" si="1734"/>
        <v>ENTRADA</v>
      </c>
      <c r="C3615" t="str">
        <f t="shared" si="1729"/>
        <v>NFSE</v>
      </c>
      <c r="D3615" t="str">
        <f>"3168"</f>
        <v>3168</v>
      </c>
      <c r="E3615" t="str">
        <f t="shared" si="1716"/>
        <v>COM</v>
      </c>
      <c r="F3615" t="str">
        <f>"DROGA MONICA LJ 3 (10152)"</f>
        <v>DROGA MONICA LJ 3 (10152)</v>
      </c>
      <c r="G3615" t="str">
        <f>"Serv.Prest. 23/06/2025 a 29/06/2025 - RPS: 937 - NFSe: 3168"</f>
        <v>Serv.Prest. 23/06/2025 a 29/06/2025 - RPS: 937 - NFSe: 3168</v>
      </c>
      <c r="H3615" t="str">
        <f t="shared" si="1726"/>
        <v>02/07/2025</v>
      </c>
      <c r="I3615" t="str">
        <f t="shared" si="1730"/>
        <v>30/06/2025</v>
      </c>
      <c r="J3615" t="str">
        <f t="shared" si="1731"/>
        <v>03/07/2025</v>
      </c>
      <c r="K3615">
        <v>206.4</v>
      </c>
      <c r="L3615">
        <v>206.4</v>
      </c>
      <c r="M3615">
        <v>303</v>
      </c>
      <c r="N3615" t="str">
        <f t="shared" si="1732"/>
        <v>RECEITAS COM ENTREGAS</v>
      </c>
      <c r="O3615">
        <v>206.4</v>
      </c>
      <c r="R3615" t="str">
        <f t="shared" si="1733"/>
        <v>RECEITAS COM ENTREGAS (303)</v>
      </c>
      <c r="S3615">
        <v>1999</v>
      </c>
      <c r="T3615">
        <v>1500</v>
      </c>
      <c r="U3615" t="s">
        <v>19</v>
      </c>
    </row>
    <row r="3616" spans="1:21">
      <c r="A3616" t="str">
        <f t="shared" si="1728"/>
        <v>03/07/2025</v>
      </c>
      <c r="B3616" t="str">
        <f t="shared" si="1734"/>
        <v>ENTRADA</v>
      </c>
      <c r="C3616" t="str">
        <f t="shared" si="1729"/>
        <v>NFSE</v>
      </c>
      <c r="D3616" t="str">
        <f>"3168"</f>
        <v>3168</v>
      </c>
      <c r="E3616" t="str">
        <f t="shared" si="1716"/>
        <v>COM</v>
      </c>
      <c r="F3616" t="str">
        <f>"DROGA MONICA LJ 3 (10152)"</f>
        <v>DROGA MONICA LJ 3 (10152)</v>
      </c>
      <c r="G3616" t="str">
        <f>"Serv.Prest. 23/06/2025 a 29/06/2025 - RPS: 937 - NFSe: 3168"</f>
        <v>Serv.Prest. 23/06/2025 a 29/06/2025 - RPS: 937 - NFSe: 3168</v>
      </c>
      <c r="H3616" t="str">
        <f t="shared" si="1726"/>
        <v>02/07/2025</v>
      </c>
      <c r="I3616" t="str">
        <f t="shared" si="1730"/>
        <v>30/06/2025</v>
      </c>
      <c r="J3616" t="str">
        <f t="shared" si="1731"/>
        <v>03/07/2025</v>
      </c>
      <c r="M3616">
        <v>303</v>
      </c>
      <c r="N3616" t="str">
        <f t="shared" si="1732"/>
        <v>RECEITAS COM ENTREGAS</v>
      </c>
      <c r="P3616">
        <v>206.4</v>
      </c>
      <c r="Q3616" t="str">
        <f>"DROGA MONICA LJ 3 (10152)"</f>
        <v>DROGA MONICA LJ 3 (10152)</v>
      </c>
      <c r="R3616" t="str">
        <f t="shared" si="1733"/>
        <v>RECEITAS COM ENTREGAS (303)</v>
      </c>
      <c r="S3616">
        <v>1999</v>
      </c>
      <c r="T3616">
        <v>1500</v>
      </c>
      <c r="U3616" t="s">
        <v>19</v>
      </c>
    </row>
    <row r="3617" spans="1:21">
      <c r="A3617" t="str">
        <f t="shared" si="1728"/>
        <v>03/07/2025</v>
      </c>
      <c r="B3617" t="str">
        <f t="shared" si="1734"/>
        <v>ENTRADA</v>
      </c>
      <c r="C3617" t="str">
        <f t="shared" si="1729"/>
        <v>NFSE</v>
      </c>
      <c r="D3617" t="str">
        <f>"3174"</f>
        <v>3174</v>
      </c>
      <c r="E3617" t="str">
        <f t="shared" si="1716"/>
        <v>COM</v>
      </c>
      <c r="F3617" t="str">
        <f>"FARMACIA ECONOMIZE (10103)"</f>
        <v>FARMACIA ECONOMIZE (10103)</v>
      </c>
      <c r="G3617" t="str">
        <f>"Serv.Prest. 23/06/2025 a 29/06/2025 - RPS: 943 - NFSe: 3174"</f>
        <v>Serv.Prest. 23/06/2025 a 29/06/2025 - RPS: 943 - NFSe: 3174</v>
      </c>
      <c r="H3617" t="str">
        <f t="shared" si="1726"/>
        <v>02/07/2025</v>
      </c>
      <c r="I3617" t="str">
        <f t="shared" si="1730"/>
        <v>30/06/2025</v>
      </c>
      <c r="J3617" t="str">
        <f t="shared" si="1731"/>
        <v>03/07/2025</v>
      </c>
      <c r="K3617">
        <v>23.32</v>
      </c>
      <c r="L3617">
        <v>23.32</v>
      </c>
      <c r="M3617">
        <v>303</v>
      </c>
      <c r="N3617" t="str">
        <f t="shared" si="1732"/>
        <v>RECEITAS COM ENTREGAS</v>
      </c>
      <c r="O3617">
        <v>23.32</v>
      </c>
      <c r="R3617" t="str">
        <f t="shared" si="1733"/>
        <v>RECEITAS COM ENTREGAS (303)</v>
      </c>
      <c r="S3617">
        <v>2000</v>
      </c>
      <c r="T3617">
        <v>1506</v>
      </c>
      <c r="U3617" t="s">
        <v>19</v>
      </c>
    </row>
    <row r="3618" spans="1:21">
      <c r="A3618" t="str">
        <f t="shared" si="1728"/>
        <v>03/07/2025</v>
      </c>
      <c r="B3618" t="str">
        <f t="shared" si="1734"/>
        <v>ENTRADA</v>
      </c>
      <c r="C3618" t="str">
        <f t="shared" si="1729"/>
        <v>NFSE</v>
      </c>
      <c r="D3618" t="str">
        <f>"3174"</f>
        <v>3174</v>
      </c>
      <c r="E3618" t="str">
        <f t="shared" si="1716"/>
        <v>COM</v>
      </c>
      <c r="F3618" t="str">
        <f>"FARMACIA ECONOMIZE (10103)"</f>
        <v>FARMACIA ECONOMIZE (10103)</v>
      </c>
      <c r="G3618" t="str">
        <f>"Serv.Prest. 23/06/2025 a 29/06/2025 - RPS: 943 - NFSe: 3174"</f>
        <v>Serv.Prest. 23/06/2025 a 29/06/2025 - RPS: 943 - NFSe: 3174</v>
      </c>
      <c r="H3618" t="str">
        <f t="shared" si="1726"/>
        <v>02/07/2025</v>
      </c>
      <c r="I3618" t="str">
        <f t="shared" si="1730"/>
        <v>30/06/2025</v>
      </c>
      <c r="J3618" t="str">
        <f t="shared" si="1731"/>
        <v>03/07/2025</v>
      </c>
      <c r="M3618">
        <v>303</v>
      </c>
      <c r="N3618" t="str">
        <f t="shared" si="1732"/>
        <v>RECEITAS COM ENTREGAS</v>
      </c>
      <c r="P3618">
        <v>23.32</v>
      </c>
      <c r="Q3618" t="str">
        <f>"FARMACIA ECONOMIZE (10103)"</f>
        <v>FARMACIA ECONOMIZE (10103)</v>
      </c>
      <c r="R3618" t="str">
        <f t="shared" si="1733"/>
        <v>RECEITAS COM ENTREGAS (303)</v>
      </c>
      <c r="S3618">
        <v>2000</v>
      </c>
      <c r="T3618">
        <v>1506</v>
      </c>
      <c r="U3618" t="s">
        <v>19</v>
      </c>
    </row>
    <row r="3619" spans="1:21">
      <c r="A3619" t="str">
        <f t="shared" si="1728"/>
        <v>03/07/2025</v>
      </c>
      <c r="B3619" t="str">
        <f t="shared" si="1734"/>
        <v>ENTRADA</v>
      </c>
      <c r="C3619" t="str">
        <f t="shared" si="1729"/>
        <v>NFSE</v>
      </c>
      <c r="D3619" t="str">
        <f>"3177"</f>
        <v>3177</v>
      </c>
      <c r="E3619" t="str">
        <f t="shared" si="1716"/>
        <v>COM</v>
      </c>
      <c r="F3619" t="str">
        <f>"AC FARMA - CID.ALTA (10166)"</f>
        <v>AC FARMA - CID.ALTA (10166)</v>
      </c>
      <c r="G3619" t="str">
        <f>"Serv.Prest. 16/06/2025 a 22/06/2025 - RPS: 946 - NFSe: 3177"</f>
        <v>Serv.Prest. 16/06/2025 a 22/06/2025 - RPS: 946 - NFSe: 3177</v>
      </c>
      <c r="H3619" t="str">
        <f t="shared" si="1726"/>
        <v>02/07/2025</v>
      </c>
      <c r="I3619" t="str">
        <f t="shared" si="1730"/>
        <v>30/06/2025</v>
      </c>
      <c r="J3619" t="str">
        <f t="shared" si="1731"/>
        <v>03/07/2025</v>
      </c>
      <c r="K3619">
        <v>1025.9000000000001</v>
      </c>
      <c r="L3619">
        <v>1025.9000000000001</v>
      </c>
      <c r="M3619">
        <v>303</v>
      </c>
      <c r="N3619" t="str">
        <f t="shared" si="1732"/>
        <v>RECEITAS COM ENTREGAS</v>
      </c>
      <c r="O3619">
        <v>1025.9000000000001</v>
      </c>
      <c r="R3619" t="str">
        <f t="shared" si="1733"/>
        <v>RECEITAS COM ENTREGAS (303)</v>
      </c>
      <c r="S3619">
        <v>2001</v>
      </c>
      <c r="T3619">
        <v>1509</v>
      </c>
      <c r="U3619" t="s">
        <v>19</v>
      </c>
    </row>
    <row r="3620" spans="1:21">
      <c r="A3620" t="str">
        <f t="shared" si="1728"/>
        <v>03/07/2025</v>
      </c>
      <c r="B3620" t="str">
        <f t="shared" si="1734"/>
        <v>ENTRADA</v>
      </c>
      <c r="C3620" t="str">
        <f t="shared" si="1729"/>
        <v>NFSE</v>
      </c>
      <c r="D3620" t="str">
        <f>"3177"</f>
        <v>3177</v>
      </c>
      <c r="E3620" t="str">
        <f t="shared" si="1716"/>
        <v>COM</v>
      </c>
      <c r="F3620" t="str">
        <f>"AC FARMA - CID.ALTA (10166)"</f>
        <v>AC FARMA - CID.ALTA (10166)</v>
      </c>
      <c r="G3620" t="str">
        <f>"Serv.Prest. 16/06/2025 a 22/06/2025 - RPS: 946 - NFSe: 3177"</f>
        <v>Serv.Prest. 16/06/2025 a 22/06/2025 - RPS: 946 - NFSe: 3177</v>
      </c>
      <c r="H3620" t="str">
        <f t="shared" ref="H3620:H3625" si="1735">("02/07/2025")</f>
        <v>02/07/2025</v>
      </c>
      <c r="I3620" t="str">
        <f t="shared" si="1730"/>
        <v>30/06/2025</v>
      </c>
      <c r="J3620" t="str">
        <f t="shared" si="1731"/>
        <v>03/07/2025</v>
      </c>
      <c r="M3620">
        <v>303</v>
      </c>
      <c r="N3620" t="str">
        <f t="shared" si="1732"/>
        <v>RECEITAS COM ENTREGAS</v>
      </c>
      <c r="P3620">
        <v>1025.9000000000001</v>
      </c>
      <c r="Q3620" t="str">
        <f>"AC FARMA - CID.ALTA (10166)"</f>
        <v>AC FARMA - CID.ALTA (10166)</v>
      </c>
      <c r="R3620" t="str">
        <f t="shared" si="1733"/>
        <v>RECEITAS COM ENTREGAS (303)</v>
      </c>
      <c r="S3620">
        <v>2001</v>
      </c>
      <c r="T3620">
        <v>1509</v>
      </c>
      <c r="U3620" t="s">
        <v>19</v>
      </c>
    </row>
    <row r="3621" spans="1:21">
      <c r="A3621" t="str">
        <f t="shared" si="1728"/>
        <v>03/07/2025</v>
      </c>
      <c r="B3621" t="str">
        <f t="shared" si="1734"/>
        <v>ENTRADA</v>
      </c>
      <c r="C3621" t="str">
        <f t="shared" si="1729"/>
        <v>NFSE</v>
      </c>
      <c r="D3621" t="str">
        <f>"3178"</f>
        <v>3178</v>
      </c>
      <c r="E3621" t="str">
        <f t="shared" si="1716"/>
        <v>COM</v>
      </c>
      <c r="F3621" t="str">
        <f>"AC FARMA - FLEMINFARMA (10160)"</f>
        <v>AC FARMA - FLEMINFARMA (10160)</v>
      </c>
      <c r="G3621" t="str">
        <f>"Serv.Prest. 16/06/2025 a 22/06/2025 - RPS: 947 - NFSe: 3178"</f>
        <v>Serv.Prest. 16/06/2025 a 22/06/2025 - RPS: 947 - NFSe: 3178</v>
      </c>
      <c r="H3621" t="str">
        <f t="shared" si="1735"/>
        <v>02/07/2025</v>
      </c>
      <c r="I3621" t="str">
        <f t="shared" si="1730"/>
        <v>30/06/2025</v>
      </c>
      <c r="J3621" t="str">
        <f t="shared" si="1731"/>
        <v>03/07/2025</v>
      </c>
      <c r="K3621">
        <v>186.53</v>
      </c>
      <c r="L3621">
        <v>186.53</v>
      </c>
      <c r="M3621">
        <v>303</v>
      </c>
      <c r="N3621" t="str">
        <f t="shared" si="1732"/>
        <v>RECEITAS COM ENTREGAS</v>
      </c>
      <c r="O3621">
        <v>186.53</v>
      </c>
      <c r="R3621" t="str">
        <f t="shared" si="1733"/>
        <v>RECEITAS COM ENTREGAS (303)</v>
      </c>
      <c r="S3621">
        <v>2002</v>
      </c>
      <c r="T3621">
        <v>1510</v>
      </c>
      <c r="U3621" t="s">
        <v>19</v>
      </c>
    </row>
    <row r="3622" spans="1:21">
      <c r="A3622" t="str">
        <f t="shared" si="1728"/>
        <v>03/07/2025</v>
      </c>
      <c r="B3622" t="str">
        <f t="shared" si="1734"/>
        <v>ENTRADA</v>
      </c>
      <c r="C3622" t="str">
        <f t="shared" si="1729"/>
        <v>NFSE</v>
      </c>
      <c r="D3622" t="str">
        <f>"3178"</f>
        <v>3178</v>
      </c>
      <c r="E3622" t="str">
        <f t="shared" si="1716"/>
        <v>COM</v>
      </c>
      <c r="F3622" t="str">
        <f>"AC FARMA - FLEMINFARMA (10160)"</f>
        <v>AC FARMA - FLEMINFARMA (10160)</v>
      </c>
      <c r="G3622" t="str">
        <f>"Serv.Prest. 16/06/2025 a 22/06/2025 - RPS: 947 - NFSe: 3178"</f>
        <v>Serv.Prest. 16/06/2025 a 22/06/2025 - RPS: 947 - NFSe: 3178</v>
      </c>
      <c r="H3622" t="str">
        <f t="shared" si="1735"/>
        <v>02/07/2025</v>
      </c>
      <c r="I3622" t="str">
        <f t="shared" si="1730"/>
        <v>30/06/2025</v>
      </c>
      <c r="J3622" t="str">
        <f t="shared" si="1731"/>
        <v>03/07/2025</v>
      </c>
      <c r="M3622">
        <v>303</v>
      </c>
      <c r="N3622" t="str">
        <f t="shared" si="1732"/>
        <v>RECEITAS COM ENTREGAS</v>
      </c>
      <c r="P3622">
        <v>185.13</v>
      </c>
      <c r="Q3622" t="str">
        <f>"FARMACIA E PERFUMARIA CIDADE ALTA LTDA (10159)"</f>
        <v>FARMACIA E PERFUMARIA CIDADE ALTA LTDA (10159)</v>
      </c>
      <c r="R3622" t="str">
        <f t="shared" si="1733"/>
        <v>RECEITAS COM ENTREGAS (303)</v>
      </c>
      <c r="S3622">
        <v>2002</v>
      </c>
      <c r="T3622">
        <v>1510</v>
      </c>
      <c r="U3622" t="s">
        <v>19</v>
      </c>
    </row>
    <row r="3623" spans="1:21">
      <c r="A3623" t="str">
        <f t="shared" si="1728"/>
        <v>03/07/2025</v>
      </c>
      <c r="B3623" t="str">
        <f t="shared" si="1734"/>
        <v>ENTRADA</v>
      </c>
      <c r="C3623" t="str">
        <f t="shared" si="1729"/>
        <v>NFSE</v>
      </c>
      <c r="D3623" t="str">
        <f>"3178"</f>
        <v>3178</v>
      </c>
      <c r="E3623" t="str">
        <f t="shared" si="1716"/>
        <v>COM</v>
      </c>
      <c r="F3623" t="str">
        <f>"AC FARMA - FLEMINFARMA (10160)"</f>
        <v>AC FARMA - FLEMINFARMA (10160)</v>
      </c>
      <c r="G3623" t="str">
        <f>"Serv.Prest. 16/06/2025 a 22/06/2025 - RPS: 947 - NFSe: 3178"</f>
        <v>Serv.Prest. 16/06/2025 a 22/06/2025 - RPS: 947 - NFSe: 3178</v>
      </c>
      <c r="H3623" t="str">
        <f t="shared" si="1735"/>
        <v>02/07/2025</v>
      </c>
      <c r="I3623" t="str">
        <f t="shared" si="1730"/>
        <v>30/06/2025</v>
      </c>
      <c r="J3623" t="str">
        <f t="shared" si="1731"/>
        <v>03/07/2025</v>
      </c>
      <c r="M3623">
        <v>303</v>
      </c>
      <c r="N3623" t="str">
        <f t="shared" si="1732"/>
        <v>RECEITAS COM ENTREGAS</v>
      </c>
      <c r="P3623">
        <v>1.4</v>
      </c>
      <c r="Q3623" t="str">
        <f>"AC FARMA - FLEMINFARMA (10160)"</f>
        <v>AC FARMA - FLEMINFARMA (10160)</v>
      </c>
      <c r="R3623" t="str">
        <f t="shared" si="1733"/>
        <v>RECEITAS COM ENTREGAS (303)</v>
      </c>
      <c r="S3623">
        <v>2002</v>
      </c>
      <c r="T3623">
        <v>1510</v>
      </c>
      <c r="U3623" t="s">
        <v>19</v>
      </c>
    </row>
    <row r="3624" spans="1:21">
      <c r="A3624" t="str">
        <f t="shared" si="1728"/>
        <v>03/07/2025</v>
      </c>
      <c r="B3624" t="str">
        <f t="shared" si="1734"/>
        <v>ENTRADA</v>
      </c>
      <c r="C3624" t="str">
        <f t="shared" si="1729"/>
        <v>NFSE</v>
      </c>
      <c r="D3624" t="str">
        <f>"3179"</f>
        <v>3179</v>
      </c>
      <c r="E3624" t="str">
        <f t="shared" si="1716"/>
        <v>COM</v>
      </c>
      <c r="F3624" t="str">
        <f>"AC FARMA - FLEMINFARMA 5 (10183)"</f>
        <v>AC FARMA - FLEMINFARMA 5 (10183)</v>
      </c>
      <c r="G3624" t="str">
        <f>"Serv.Prest. 16/06/2025 a 22/06/2025 - RPS: 948 - NFSe: 3179"</f>
        <v>Serv.Prest. 16/06/2025 a 22/06/2025 - RPS: 948 - NFSe: 3179</v>
      </c>
      <c r="H3624" t="str">
        <f t="shared" si="1735"/>
        <v>02/07/2025</v>
      </c>
      <c r="I3624" t="str">
        <f t="shared" si="1730"/>
        <v>30/06/2025</v>
      </c>
      <c r="J3624" t="str">
        <f t="shared" si="1731"/>
        <v>03/07/2025</v>
      </c>
      <c r="K3624">
        <v>72.38</v>
      </c>
      <c r="L3624">
        <v>72.38</v>
      </c>
      <c r="M3624">
        <v>303</v>
      </c>
      <c r="N3624" t="str">
        <f t="shared" si="1732"/>
        <v>RECEITAS COM ENTREGAS</v>
      </c>
      <c r="O3624">
        <v>72.38</v>
      </c>
      <c r="R3624" t="str">
        <f t="shared" si="1733"/>
        <v>RECEITAS COM ENTREGAS (303)</v>
      </c>
      <c r="S3624">
        <v>2003</v>
      </c>
      <c r="T3624">
        <v>1511</v>
      </c>
      <c r="U3624" t="s">
        <v>19</v>
      </c>
    </row>
    <row r="3625" spans="1:21">
      <c r="A3625" t="str">
        <f t="shared" si="1728"/>
        <v>03/07/2025</v>
      </c>
      <c r="B3625" t="str">
        <f t="shared" si="1734"/>
        <v>ENTRADA</v>
      </c>
      <c r="C3625" t="str">
        <f t="shared" si="1729"/>
        <v>NFSE</v>
      </c>
      <c r="D3625" t="str">
        <f>"3179"</f>
        <v>3179</v>
      </c>
      <c r="E3625" t="str">
        <f t="shared" si="1716"/>
        <v>COM</v>
      </c>
      <c r="F3625" t="str">
        <f>"AC FARMA - FLEMINFARMA 5 (10183)"</f>
        <v>AC FARMA - FLEMINFARMA 5 (10183)</v>
      </c>
      <c r="G3625" t="str">
        <f>"Serv.Prest. 16/06/2025 a 22/06/2025 - RPS: 948 - NFSe: 3179"</f>
        <v>Serv.Prest. 16/06/2025 a 22/06/2025 - RPS: 948 - NFSe: 3179</v>
      </c>
      <c r="H3625" t="str">
        <f t="shared" si="1735"/>
        <v>02/07/2025</v>
      </c>
      <c r="I3625" t="str">
        <f t="shared" si="1730"/>
        <v>30/06/2025</v>
      </c>
      <c r="J3625" t="str">
        <f t="shared" si="1731"/>
        <v>03/07/2025</v>
      </c>
      <c r="M3625">
        <v>303</v>
      </c>
      <c r="N3625" t="str">
        <f t="shared" si="1732"/>
        <v>RECEITAS COM ENTREGAS</v>
      </c>
      <c r="P3625">
        <v>72.38</v>
      </c>
      <c r="Q3625" t="str">
        <f>"AC FARMA - FLEMINFARMA 5 (10183)"</f>
        <v>AC FARMA - FLEMINFARMA 5 (10183)</v>
      </c>
      <c r="R3625" t="str">
        <f t="shared" si="1733"/>
        <v>RECEITAS COM ENTREGAS (303)</v>
      </c>
      <c r="S3625">
        <v>2003</v>
      </c>
      <c r="T3625">
        <v>1511</v>
      </c>
      <c r="U3625" t="s">
        <v>19</v>
      </c>
    </row>
    <row r="3626" spans="1:21">
      <c r="A3626" t="str">
        <f t="shared" si="1728"/>
        <v>03/07/2025</v>
      </c>
      <c r="B3626" t="str">
        <f t="shared" si="1734"/>
        <v>ENTRADA</v>
      </c>
      <c r="C3626" t="str">
        <f t="shared" si="1729"/>
        <v>NFSE</v>
      </c>
      <c r="D3626" t="str">
        <f>"3175"</f>
        <v>3175</v>
      </c>
      <c r="E3626" t="str">
        <f t="shared" si="1716"/>
        <v>COM</v>
      </c>
      <c r="F3626" t="str">
        <f>"DROGARIA POUPA MINAS (ULTRAMINAS) 3 (10129)"</f>
        <v>DROGARIA POUPA MINAS (ULTRAMINAS) 3 (10129)</v>
      </c>
      <c r="G3626" t="str">
        <f>"Serv.Prest. 23/06/2025 a 29/06/2025 - RPS: 944 - NFSe: 3175"</f>
        <v>Serv.Prest. 23/06/2025 a 29/06/2025 - RPS: 944 - NFSe: 3175</v>
      </c>
      <c r="H3626" t="str">
        <f t="shared" ref="H3626:H3648" si="1736">("03/07/2025")</f>
        <v>03/07/2025</v>
      </c>
      <c r="I3626" t="str">
        <f t="shared" si="1730"/>
        <v>30/06/2025</v>
      </c>
      <c r="J3626" t="str">
        <f t="shared" si="1731"/>
        <v>03/07/2025</v>
      </c>
      <c r="K3626">
        <v>274.56</v>
      </c>
      <c r="L3626">
        <v>274.56</v>
      </c>
      <c r="M3626">
        <v>303</v>
      </c>
      <c r="N3626" t="str">
        <f t="shared" si="1732"/>
        <v>RECEITAS COM ENTREGAS</v>
      </c>
      <c r="O3626">
        <v>274.56</v>
      </c>
      <c r="R3626" t="str">
        <f t="shared" si="1733"/>
        <v>RECEITAS COM ENTREGAS (303)</v>
      </c>
      <c r="S3626">
        <v>2004</v>
      </c>
      <c r="T3626">
        <v>1507</v>
      </c>
      <c r="U3626" t="s">
        <v>19</v>
      </c>
    </row>
    <row r="3627" spans="1:21">
      <c r="A3627" t="str">
        <f t="shared" si="1728"/>
        <v>03/07/2025</v>
      </c>
      <c r="B3627" t="str">
        <f t="shared" si="1734"/>
        <v>ENTRADA</v>
      </c>
      <c r="C3627" t="str">
        <f t="shared" si="1729"/>
        <v>NFSE</v>
      </c>
      <c r="D3627" t="str">
        <f>"3175"</f>
        <v>3175</v>
      </c>
      <c r="E3627" t="str">
        <f t="shared" si="1716"/>
        <v>COM</v>
      </c>
      <c r="F3627" t="str">
        <f>"DROGARIA POUPA MINAS (ULTRAMINAS) 3 (10129)"</f>
        <v>DROGARIA POUPA MINAS (ULTRAMINAS) 3 (10129)</v>
      </c>
      <c r="G3627" t="str">
        <f>"Serv.Prest. 23/06/2025 a 29/06/2025 - RPS: 944 - NFSe: 3175"</f>
        <v>Serv.Prest. 23/06/2025 a 29/06/2025 - RPS: 944 - NFSe: 3175</v>
      </c>
      <c r="H3627" t="str">
        <f t="shared" si="1736"/>
        <v>03/07/2025</v>
      </c>
      <c r="I3627" t="str">
        <f t="shared" si="1730"/>
        <v>30/06/2025</v>
      </c>
      <c r="J3627" t="str">
        <f t="shared" si="1731"/>
        <v>03/07/2025</v>
      </c>
      <c r="M3627">
        <v>303</v>
      </c>
      <c r="N3627" t="str">
        <f t="shared" si="1732"/>
        <v>RECEITAS COM ENTREGAS</v>
      </c>
      <c r="P3627">
        <v>274.56</v>
      </c>
      <c r="Q3627" t="str">
        <f>"DROGARIA POUPA MINAS (ULTRAMINAS) 3 (10129)"</f>
        <v>DROGARIA POUPA MINAS (ULTRAMINAS) 3 (10129)</v>
      </c>
      <c r="R3627" t="str">
        <f t="shared" si="1733"/>
        <v>RECEITAS COM ENTREGAS (303)</v>
      </c>
      <c r="S3627">
        <v>2004</v>
      </c>
      <c r="T3627">
        <v>1507</v>
      </c>
      <c r="U3627" t="s">
        <v>19</v>
      </c>
    </row>
    <row r="3628" spans="1:21">
      <c r="A3628" t="str">
        <f t="shared" si="1728"/>
        <v>03/07/2025</v>
      </c>
      <c r="B3628" t="str">
        <f t="shared" si="1734"/>
        <v>ENTRADA</v>
      </c>
      <c r="C3628" t="str">
        <f t="shared" si="1729"/>
        <v>NFSE</v>
      </c>
      <c r="D3628" t="str">
        <f>"3187"</f>
        <v>3187</v>
      </c>
      <c r="E3628" t="str">
        <f t="shared" si="1716"/>
        <v>COM</v>
      </c>
      <c r="F3628" t="str">
        <f>"DROGARIA POUPA MINAS (DOIS AMIGOS) 5 (10140)"</f>
        <v>DROGARIA POUPA MINAS (DOIS AMIGOS) 5 (10140)</v>
      </c>
      <c r="G3628" t="str">
        <f>"Serv.Prest. 23/06/2025 a 29/06/2025 - RPS: 955 - NFSe: 3187"</f>
        <v>Serv.Prest. 23/06/2025 a 29/06/2025 - RPS: 955 - NFSe: 3187</v>
      </c>
      <c r="H3628" t="str">
        <f t="shared" si="1736"/>
        <v>03/07/2025</v>
      </c>
      <c r="I3628" t="str">
        <f t="shared" ref="I3628:I3633" si="1737">("01/07/2025")</f>
        <v>01/07/2025</v>
      </c>
      <c r="J3628" t="str">
        <f t="shared" si="1731"/>
        <v>03/07/2025</v>
      </c>
      <c r="K3628">
        <v>678.55</v>
      </c>
      <c r="L3628">
        <v>678.55</v>
      </c>
      <c r="M3628">
        <v>303</v>
      </c>
      <c r="N3628" t="str">
        <f t="shared" si="1732"/>
        <v>RECEITAS COM ENTREGAS</v>
      </c>
      <c r="O3628">
        <v>678.55</v>
      </c>
      <c r="R3628" t="str">
        <f t="shared" si="1733"/>
        <v>RECEITAS COM ENTREGAS (303)</v>
      </c>
      <c r="S3628">
        <v>2005</v>
      </c>
      <c r="T3628">
        <v>1518</v>
      </c>
      <c r="U3628" t="s">
        <v>19</v>
      </c>
    </row>
    <row r="3629" spans="1:21">
      <c r="A3629" t="str">
        <f t="shared" si="1728"/>
        <v>03/07/2025</v>
      </c>
      <c r="B3629" t="str">
        <f t="shared" si="1734"/>
        <v>ENTRADA</v>
      </c>
      <c r="C3629" t="str">
        <f t="shared" si="1729"/>
        <v>NFSE</v>
      </c>
      <c r="D3629" t="str">
        <f>"3187"</f>
        <v>3187</v>
      </c>
      <c r="E3629" t="str">
        <f t="shared" si="1716"/>
        <v>COM</v>
      </c>
      <c r="F3629" t="str">
        <f>"DROGARIA POUPA MINAS (DOIS AMIGOS) 5 (10140)"</f>
        <v>DROGARIA POUPA MINAS (DOIS AMIGOS) 5 (10140)</v>
      </c>
      <c r="G3629" t="str">
        <f>"Serv.Prest. 23/06/2025 a 29/06/2025 - RPS: 955 - NFSe: 3187"</f>
        <v>Serv.Prest. 23/06/2025 a 29/06/2025 - RPS: 955 - NFSe: 3187</v>
      </c>
      <c r="H3629" t="str">
        <f t="shared" si="1736"/>
        <v>03/07/2025</v>
      </c>
      <c r="I3629" t="str">
        <f t="shared" si="1737"/>
        <v>01/07/2025</v>
      </c>
      <c r="J3629" t="str">
        <f t="shared" si="1731"/>
        <v>03/07/2025</v>
      </c>
      <c r="M3629">
        <v>303</v>
      </c>
      <c r="N3629" t="str">
        <f t="shared" si="1732"/>
        <v>RECEITAS COM ENTREGAS</v>
      </c>
      <c r="P3629">
        <v>678.55</v>
      </c>
      <c r="Q3629" t="str">
        <f>"DROGARIA POUPA MINAS (ULTRAMINAS) 1 (10181)"</f>
        <v>DROGARIA POUPA MINAS (ULTRAMINAS) 1 (10181)</v>
      </c>
      <c r="R3629" t="str">
        <f t="shared" si="1733"/>
        <v>RECEITAS COM ENTREGAS (303)</v>
      </c>
      <c r="S3629">
        <v>2005</v>
      </c>
      <c r="T3629">
        <v>1518</v>
      </c>
      <c r="U3629" t="s">
        <v>19</v>
      </c>
    </row>
    <row r="3630" spans="1:21">
      <c r="A3630" t="str">
        <f t="shared" si="1728"/>
        <v>03/07/2025</v>
      </c>
      <c r="B3630" t="str">
        <f t="shared" si="1734"/>
        <v>ENTRADA</v>
      </c>
      <c r="C3630" t="str">
        <f t="shared" si="1729"/>
        <v>NFSE</v>
      </c>
      <c r="D3630" t="str">
        <f>"3193"</f>
        <v>3193</v>
      </c>
      <c r="E3630" t="str">
        <f t="shared" si="1716"/>
        <v>COM</v>
      </c>
      <c r="F3630" t="str">
        <f>"DROGARIA POUPA MINAS (DOIS AMIGOS) 5 (10140)"</f>
        <v>DROGARIA POUPA MINAS (DOIS AMIGOS) 5 (10140)</v>
      </c>
      <c r="G3630" t="str">
        <f>"Serv.Prest. 01/06/2025 a 30/06/2025 - RPS: 961 - NFSe: 3193"</f>
        <v>Serv.Prest. 01/06/2025 a 30/06/2025 - RPS: 961 - NFSe: 3193</v>
      </c>
      <c r="H3630" t="str">
        <f t="shared" si="1736"/>
        <v>03/07/2025</v>
      </c>
      <c r="I3630" t="str">
        <f t="shared" si="1737"/>
        <v>01/07/2025</v>
      </c>
      <c r="J3630" t="str">
        <f t="shared" si="1731"/>
        <v>03/07/2025</v>
      </c>
      <c r="K3630">
        <v>564.57000000000005</v>
      </c>
      <c r="L3630">
        <v>564.57000000000005</v>
      </c>
      <c r="M3630">
        <v>303</v>
      </c>
      <c r="N3630" t="str">
        <f t="shared" si="1732"/>
        <v>RECEITAS COM ENTREGAS</v>
      </c>
      <c r="O3630">
        <v>564.57000000000005</v>
      </c>
      <c r="R3630" t="str">
        <f t="shared" si="1733"/>
        <v>RECEITAS COM ENTREGAS (303)</v>
      </c>
      <c r="S3630">
        <v>2006</v>
      </c>
      <c r="T3630">
        <v>1524</v>
      </c>
      <c r="U3630" t="s">
        <v>19</v>
      </c>
    </row>
    <row r="3631" spans="1:21">
      <c r="A3631" t="str">
        <f t="shared" si="1728"/>
        <v>03/07/2025</v>
      </c>
      <c r="B3631" t="str">
        <f t="shared" si="1734"/>
        <v>ENTRADA</v>
      </c>
      <c r="C3631" t="str">
        <f t="shared" si="1729"/>
        <v>NFSE</v>
      </c>
      <c r="D3631" t="str">
        <f>"3193"</f>
        <v>3193</v>
      </c>
      <c r="E3631" t="str">
        <f t="shared" ref="E3631:E3694" si="1738">"COM"</f>
        <v>COM</v>
      </c>
      <c r="F3631" t="str">
        <f>"DROGARIA POUPA MINAS (DOIS AMIGOS) 5 (10140)"</f>
        <v>DROGARIA POUPA MINAS (DOIS AMIGOS) 5 (10140)</v>
      </c>
      <c r="G3631" t="str">
        <f>"Serv.Prest. 01/06/2025 a 30/06/2025 - RPS: 961 - NFSe: 3193"</f>
        <v>Serv.Prest. 01/06/2025 a 30/06/2025 - RPS: 961 - NFSe: 3193</v>
      </c>
      <c r="H3631" t="str">
        <f t="shared" si="1736"/>
        <v>03/07/2025</v>
      </c>
      <c r="I3631" t="str">
        <f t="shared" si="1737"/>
        <v>01/07/2025</v>
      </c>
      <c r="J3631" t="str">
        <f t="shared" si="1731"/>
        <v>03/07/2025</v>
      </c>
      <c r="M3631">
        <v>303</v>
      </c>
      <c r="N3631" t="str">
        <f t="shared" si="1732"/>
        <v>RECEITAS COM ENTREGAS</v>
      </c>
      <c r="P3631">
        <v>564.57000000000005</v>
      </c>
      <c r="Q3631" t="str">
        <f>"DROGARIA POUPA MINAS (ULTRAMINAS) 1 (10181)"</f>
        <v>DROGARIA POUPA MINAS (ULTRAMINAS) 1 (10181)</v>
      </c>
      <c r="R3631" t="str">
        <f t="shared" si="1733"/>
        <v>RECEITAS COM ENTREGAS (303)</v>
      </c>
      <c r="S3631">
        <v>2006</v>
      </c>
      <c r="T3631">
        <v>1524</v>
      </c>
      <c r="U3631" t="s">
        <v>19</v>
      </c>
    </row>
    <row r="3632" spans="1:21">
      <c r="A3632" t="str">
        <f t="shared" si="1728"/>
        <v>03/07/2025</v>
      </c>
      <c r="B3632" t="str">
        <f t="shared" ref="B3632:B3646" si="1739">"SAÍDA"</f>
        <v>SAÍDA</v>
      </c>
      <c r="C3632" t="str">
        <f>"PIX"</f>
        <v>PIX</v>
      </c>
      <c r="D3632" t="str">
        <f>"0307251250"</f>
        <v>0307251250</v>
      </c>
      <c r="E3632" t="str">
        <f t="shared" si="1738"/>
        <v>COM</v>
      </c>
      <c r="F3632" t="str">
        <f>"YURI RODRIGUES OLIVEIRA (20064)"</f>
        <v>YURI RODRIGUES OLIVEIRA (20064)</v>
      </c>
      <c r="G3632" t="str">
        <f>"COMISSAO VENDA SETUP"</f>
        <v>COMISSAO VENDA SETUP</v>
      </c>
      <c r="H3632" t="str">
        <f t="shared" si="1736"/>
        <v>03/07/2025</v>
      </c>
      <c r="I3632" t="str">
        <f t="shared" si="1737"/>
        <v>01/07/2025</v>
      </c>
      <c r="J3632" t="str">
        <f t="shared" si="1731"/>
        <v>03/07/2025</v>
      </c>
      <c r="K3632">
        <v>1250</v>
      </c>
      <c r="L3632">
        <v>1250</v>
      </c>
      <c r="M3632">
        <v>126</v>
      </c>
      <c r="N3632" t="str">
        <f>"COMISSÕES DE REPRESENTANTES"</f>
        <v>COMISSÕES DE REPRESENTANTES</v>
      </c>
      <c r="O3632">
        <v>1250</v>
      </c>
      <c r="R3632" t="str">
        <f t="shared" ref="R3632:R3646" si="1740">"BANCO CORA (102)"</f>
        <v>BANCO CORA (102)</v>
      </c>
      <c r="S3632">
        <v>2042</v>
      </c>
      <c r="T3632">
        <v>1591</v>
      </c>
      <c r="U3632" t="s">
        <v>19</v>
      </c>
    </row>
    <row r="3633" spans="1:21">
      <c r="A3633" t="str">
        <f t="shared" si="1728"/>
        <v>03/07/2025</v>
      </c>
      <c r="B3633" t="str">
        <f t="shared" si="1739"/>
        <v>SAÍDA</v>
      </c>
      <c r="C3633" t="str">
        <f>"PIX"</f>
        <v>PIX</v>
      </c>
      <c r="D3633" t="str">
        <f>"0307251250"</f>
        <v>0307251250</v>
      </c>
      <c r="E3633" t="str">
        <f t="shared" si="1738"/>
        <v>COM</v>
      </c>
      <c r="F3633" t="str">
        <f>"YURI RODRIGUES OLIVEIRA (20064)"</f>
        <v>YURI RODRIGUES OLIVEIRA (20064)</v>
      </c>
      <c r="G3633" t="str">
        <f>"COMISSAO VENDA SETUP"</f>
        <v>COMISSAO VENDA SETUP</v>
      </c>
      <c r="H3633" t="str">
        <f t="shared" si="1736"/>
        <v>03/07/2025</v>
      </c>
      <c r="I3633" t="str">
        <f t="shared" si="1737"/>
        <v>01/07/2025</v>
      </c>
      <c r="J3633" t="str">
        <f t="shared" si="1731"/>
        <v>03/07/2025</v>
      </c>
      <c r="M3633">
        <v>126</v>
      </c>
      <c r="N3633" t="str">
        <f>"COMISSÕES DE REPRESENTANTES"</f>
        <v>COMISSÕES DE REPRESENTANTES</v>
      </c>
      <c r="P3633">
        <v>1250</v>
      </c>
      <c r="Q3633" t="str">
        <f>"YURI RODRIGUES OLIVEIRA (20064)"</f>
        <v>YURI RODRIGUES OLIVEIRA (20064)</v>
      </c>
      <c r="R3633" t="str">
        <f t="shared" si="1740"/>
        <v>BANCO CORA (102)</v>
      </c>
      <c r="S3633">
        <v>2042</v>
      </c>
      <c r="T3633">
        <v>1591</v>
      </c>
      <c r="U3633" t="s">
        <v>19</v>
      </c>
    </row>
    <row r="3634" spans="1:21">
      <c r="A3634" t="str">
        <f t="shared" si="1728"/>
        <v>03/07/2025</v>
      </c>
      <c r="B3634" t="str">
        <f t="shared" si="1739"/>
        <v>SAÍDA</v>
      </c>
      <c r="C3634" t="str">
        <f t="shared" ref="C3634:C3646" si="1741">"CONHECIMENTO"</f>
        <v>CONHECIMENTO</v>
      </c>
      <c r="D3634" t="str">
        <f t="shared" ref="D3634:D3646" si="1742">"030725170"</f>
        <v>030725170</v>
      </c>
      <c r="E3634" t="str">
        <f t="shared" si="1738"/>
        <v>COM</v>
      </c>
      <c r="F3634" t="str">
        <f t="shared" ref="F3634:F3646" si="1743">"CORA SOCIEDADE DE CREDITO, FINANCIAMENTO E INVESTIMENTO (20035)"</f>
        <v>CORA SOCIEDADE DE CREDITO, FINANCIAMENTO E INVESTIMENTO (20035)</v>
      </c>
      <c r="G3634" t="str">
        <f t="shared" ref="G3634:G3646" si="1744">"TAX BOLETO COMPENSADO"</f>
        <v>TAX BOLETO COMPENSADO</v>
      </c>
      <c r="H3634" t="str">
        <f t="shared" si="1736"/>
        <v>03/07/2025</v>
      </c>
      <c r="I3634" t="str">
        <f t="shared" ref="I3634:I3646" si="1745">("03/07/2025")</f>
        <v>03/07/2025</v>
      </c>
      <c r="J3634" t="str">
        <f t="shared" si="1731"/>
        <v>03/07/2025</v>
      </c>
      <c r="K3634">
        <v>1.7</v>
      </c>
      <c r="L3634">
        <v>1.7</v>
      </c>
      <c r="M3634">
        <v>401</v>
      </c>
      <c r="N3634" t="str">
        <f t="shared" ref="N3634:N3646" si="1746">"IOF/JUROS/DESP.FINANCEIRA"</f>
        <v>IOF/JUROS/DESP.FINANCEIRA</v>
      </c>
      <c r="O3634">
        <v>1.7</v>
      </c>
      <c r="R3634" t="str">
        <f t="shared" si="1740"/>
        <v>BANCO CORA (102)</v>
      </c>
      <c r="S3634">
        <v>2052</v>
      </c>
      <c r="T3634">
        <v>1603</v>
      </c>
      <c r="U3634" t="s">
        <v>19</v>
      </c>
    </row>
    <row r="3635" spans="1:21">
      <c r="A3635" t="str">
        <f t="shared" si="1728"/>
        <v>03/07/2025</v>
      </c>
      <c r="B3635" t="str">
        <f t="shared" si="1739"/>
        <v>SAÍDA</v>
      </c>
      <c r="C3635" t="str">
        <f t="shared" si="1741"/>
        <v>CONHECIMENTO</v>
      </c>
      <c r="D3635" t="str">
        <f t="shared" si="1742"/>
        <v>030725170</v>
      </c>
      <c r="E3635" t="str">
        <f t="shared" si="1738"/>
        <v>COM</v>
      </c>
      <c r="F3635" t="str">
        <f t="shared" si="1743"/>
        <v>CORA SOCIEDADE DE CREDITO, FINANCIAMENTO E INVESTIMENTO (20035)</v>
      </c>
      <c r="G3635" t="str">
        <f t="shared" si="1744"/>
        <v>TAX BOLETO COMPENSADO</v>
      </c>
      <c r="H3635" t="str">
        <f t="shared" si="1736"/>
        <v>03/07/2025</v>
      </c>
      <c r="I3635" t="str">
        <f t="shared" si="1745"/>
        <v>03/07/2025</v>
      </c>
      <c r="J3635" t="str">
        <f t="shared" si="1731"/>
        <v>03/07/2025</v>
      </c>
      <c r="K3635">
        <v>1.7</v>
      </c>
      <c r="L3635">
        <v>1.7</v>
      </c>
      <c r="M3635">
        <v>401</v>
      </c>
      <c r="N3635" t="str">
        <f t="shared" si="1746"/>
        <v>IOF/JUROS/DESP.FINANCEIRA</v>
      </c>
      <c r="O3635">
        <v>1.7</v>
      </c>
      <c r="R3635" t="str">
        <f t="shared" si="1740"/>
        <v>BANCO CORA (102)</v>
      </c>
      <c r="S3635">
        <v>2053</v>
      </c>
      <c r="T3635">
        <v>1604</v>
      </c>
      <c r="U3635" t="s">
        <v>19</v>
      </c>
    </row>
    <row r="3636" spans="1:21">
      <c r="A3636" t="str">
        <f t="shared" si="1728"/>
        <v>03/07/2025</v>
      </c>
      <c r="B3636" t="str">
        <f t="shared" si="1739"/>
        <v>SAÍDA</v>
      </c>
      <c r="C3636" t="str">
        <f t="shared" si="1741"/>
        <v>CONHECIMENTO</v>
      </c>
      <c r="D3636" t="str">
        <f t="shared" si="1742"/>
        <v>030725170</v>
      </c>
      <c r="E3636" t="str">
        <f t="shared" si="1738"/>
        <v>COM</v>
      </c>
      <c r="F3636" t="str">
        <f t="shared" si="1743"/>
        <v>CORA SOCIEDADE DE CREDITO, FINANCIAMENTO E INVESTIMENTO (20035)</v>
      </c>
      <c r="G3636" t="str">
        <f t="shared" si="1744"/>
        <v>TAX BOLETO COMPENSADO</v>
      </c>
      <c r="H3636" t="str">
        <f t="shared" si="1736"/>
        <v>03/07/2025</v>
      </c>
      <c r="I3636" t="str">
        <f t="shared" si="1745"/>
        <v>03/07/2025</v>
      </c>
      <c r="J3636" t="str">
        <f t="shared" si="1731"/>
        <v>03/07/2025</v>
      </c>
      <c r="K3636">
        <v>1.7</v>
      </c>
      <c r="L3636">
        <v>1.7</v>
      </c>
      <c r="M3636">
        <v>401</v>
      </c>
      <c r="N3636" t="str">
        <f t="shared" si="1746"/>
        <v>IOF/JUROS/DESP.FINANCEIRA</v>
      </c>
      <c r="O3636">
        <v>1.7</v>
      </c>
      <c r="R3636" t="str">
        <f t="shared" si="1740"/>
        <v>BANCO CORA (102)</v>
      </c>
      <c r="S3636">
        <v>2054</v>
      </c>
      <c r="T3636">
        <v>1605</v>
      </c>
      <c r="U3636" t="s">
        <v>19</v>
      </c>
    </row>
    <row r="3637" spans="1:21">
      <c r="A3637" t="str">
        <f t="shared" si="1728"/>
        <v>03/07/2025</v>
      </c>
      <c r="B3637" t="str">
        <f t="shared" si="1739"/>
        <v>SAÍDA</v>
      </c>
      <c r="C3637" t="str">
        <f t="shared" si="1741"/>
        <v>CONHECIMENTO</v>
      </c>
      <c r="D3637" t="str">
        <f t="shared" si="1742"/>
        <v>030725170</v>
      </c>
      <c r="E3637" t="str">
        <f t="shared" si="1738"/>
        <v>COM</v>
      </c>
      <c r="F3637" t="str">
        <f t="shared" si="1743"/>
        <v>CORA SOCIEDADE DE CREDITO, FINANCIAMENTO E INVESTIMENTO (20035)</v>
      </c>
      <c r="G3637" t="str">
        <f t="shared" si="1744"/>
        <v>TAX BOLETO COMPENSADO</v>
      </c>
      <c r="H3637" t="str">
        <f t="shared" si="1736"/>
        <v>03/07/2025</v>
      </c>
      <c r="I3637" t="str">
        <f t="shared" si="1745"/>
        <v>03/07/2025</v>
      </c>
      <c r="J3637" t="str">
        <f t="shared" si="1731"/>
        <v>03/07/2025</v>
      </c>
      <c r="K3637">
        <v>1.7</v>
      </c>
      <c r="L3637">
        <v>1.7</v>
      </c>
      <c r="M3637">
        <v>401</v>
      </c>
      <c r="N3637" t="str">
        <f t="shared" si="1746"/>
        <v>IOF/JUROS/DESP.FINANCEIRA</v>
      </c>
      <c r="O3637">
        <v>1.7</v>
      </c>
      <c r="R3637" t="str">
        <f t="shared" si="1740"/>
        <v>BANCO CORA (102)</v>
      </c>
      <c r="S3637">
        <v>2055</v>
      </c>
      <c r="T3637">
        <v>1606</v>
      </c>
      <c r="U3637" t="s">
        <v>19</v>
      </c>
    </row>
    <row r="3638" spans="1:21">
      <c r="A3638" t="str">
        <f t="shared" si="1728"/>
        <v>03/07/2025</v>
      </c>
      <c r="B3638" t="str">
        <f t="shared" si="1739"/>
        <v>SAÍDA</v>
      </c>
      <c r="C3638" t="str">
        <f t="shared" si="1741"/>
        <v>CONHECIMENTO</v>
      </c>
      <c r="D3638" t="str">
        <f t="shared" si="1742"/>
        <v>030725170</v>
      </c>
      <c r="E3638" t="str">
        <f t="shared" si="1738"/>
        <v>COM</v>
      </c>
      <c r="F3638" t="str">
        <f t="shared" si="1743"/>
        <v>CORA SOCIEDADE DE CREDITO, FINANCIAMENTO E INVESTIMENTO (20035)</v>
      </c>
      <c r="G3638" t="str">
        <f t="shared" si="1744"/>
        <v>TAX BOLETO COMPENSADO</v>
      </c>
      <c r="H3638" t="str">
        <f t="shared" si="1736"/>
        <v>03/07/2025</v>
      </c>
      <c r="I3638" t="str">
        <f t="shared" si="1745"/>
        <v>03/07/2025</v>
      </c>
      <c r="J3638" t="str">
        <f t="shared" si="1731"/>
        <v>03/07/2025</v>
      </c>
      <c r="K3638">
        <v>1.7</v>
      </c>
      <c r="L3638">
        <v>1.7</v>
      </c>
      <c r="M3638">
        <v>401</v>
      </c>
      <c r="N3638" t="str">
        <f t="shared" si="1746"/>
        <v>IOF/JUROS/DESP.FINANCEIRA</v>
      </c>
      <c r="O3638">
        <v>1.7</v>
      </c>
      <c r="R3638" t="str">
        <f t="shared" si="1740"/>
        <v>BANCO CORA (102)</v>
      </c>
      <c r="S3638">
        <v>2056</v>
      </c>
      <c r="T3638">
        <v>1607</v>
      </c>
      <c r="U3638" t="s">
        <v>19</v>
      </c>
    </row>
    <row r="3639" spans="1:21">
      <c r="A3639" t="str">
        <f t="shared" si="1728"/>
        <v>03/07/2025</v>
      </c>
      <c r="B3639" t="str">
        <f t="shared" si="1739"/>
        <v>SAÍDA</v>
      </c>
      <c r="C3639" t="str">
        <f t="shared" si="1741"/>
        <v>CONHECIMENTO</v>
      </c>
      <c r="D3639" t="str">
        <f t="shared" si="1742"/>
        <v>030725170</v>
      </c>
      <c r="E3639" t="str">
        <f t="shared" si="1738"/>
        <v>COM</v>
      </c>
      <c r="F3639" t="str">
        <f t="shared" si="1743"/>
        <v>CORA SOCIEDADE DE CREDITO, FINANCIAMENTO E INVESTIMENTO (20035)</v>
      </c>
      <c r="G3639" t="str">
        <f t="shared" si="1744"/>
        <v>TAX BOLETO COMPENSADO</v>
      </c>
      <c r="H3639" t="str">
        <f t="shared" si="1736"/>
        <v>03/07/2025</v>
      </c>
      <c r="I3639" t="str">
        <f t="shared" si="1745"/>
        <v>03/07/2025</v>
      </c>
      <c r="J3639" t="str">
        <f t="shared" si="1731"/>
        <v>03/07/2025</v>
      </c>
      <c r="K3639">
        <v>1.7</v>
      </c>
      <c r="L3639">
        <v>1.7</v>
      </c>
      <c r="M3639">
        <v>401</v>
      </c>
      <c r="N3639" t="str">
        <f t="shared" si="1746"/>
        <v>IOF/JUROS/DESP.FINANCEIRA</v>
      </c>
      <c r="O3639">
        <v>1.7</v>
      </c>
      <c r="R3639" t="str">
        <f t="shared" si="1740"/>
        <v>BANCO CORA (102)</v>
      </c>
      <c r="S3639">
        <v>2057</v>
      </c>
      <c r="T3639">
        <v>1608</v>
      </c>
      <c r="U3639" t="s">
        <v>19</v>
      </c>
    </row>
    <row r="3640" spans="1:21">
      <c r="A3640" t="str">
        <f t="shared" si="1728"/>
        <v>03/07/2025</v>
      </c>
      <c r="B3640" t="str">
        <f t="shared" si="1739"/>
        <v>SAÍDA</v>
      </c>
      <c r="C3640" t="str">
        <f t="shared" si="1741"/>
        <v>CONHECIMENTO</v>
      </c>
      <c r="D3640" t="str">
        <f t="shared" si="1742"/>
        <v>030725170</v>
      </c>
      <c r="E3640" t="str">
        <f t="shared" si="1738"/>
        <v>COM</v>
      </c>
      <c r="F3640" t="str">
        <f t="shared" si="1743"/>
        <v>CORA SOCIEDADE DE CREDITO, FINANCIAMENTO E INVESTIMENTO (20035)</v>
      </c>
      <c r="G3640" t="str">
        <f t="shared" si="1744"/>
        <v>TAX BOLETO COMPENSADO</v>
      </c>
      <c r="H3640" t="str">
        <f t="shared" si="1736"/>
        <v>03/07/2025</v>
      </c>
      <c r="I3640" t="str">
        <f t="shared" si="1745"/>
        <v>03/07/2025</v>
      </c>
      <c r="J3640" t="str">
        <f t="shared" si="1731"/>
        <v>03/07/2025</v>
      </c>
      <c r="K3640">
        <v>1.7</v>
      </c>
      <c r="L3640">
        <v>1.7</v>
      </c>
      <c r="M3640">
        <v>401</v>
      </c>
      <c r="N3640" t="str">
        <f t="shared" si="1746"/>
        <v>IOF/JUROS/DESP.FINANCEIRA</v>
      </c>
      <c r="O3640">
        <v>1.7</v>
      </c>
      <c r="R3640" t="str">
        <f t="shared" si="1740"/>
        <v>BANCO CORA (102)</v>
      </c>
      <c r="S3640">
        <v>2058</v>
      </c>
      <c r="T3640">
        <v>1609</v>
      </c>
      <c r="U3640" t="s">
        <v>19</v>
      </c>
    </row>
    <row r="3641" spans="1:21">
      <c r="A3641" t="str">
        <f t="shared" si="1728"/>
        <v>03/07/2025</v>
      </c>
      <c r="B3641" t="str">
        <f t="shared" si="1739"/>
        <v>SAÍDA</v>
      </c>
      <c r="C3641" t="str">
        <f t="shared" si="1741"/>
        <v>CONHECIMENTO</v>
      </c>
      <c r="D3641" t="str">
        <f t="shared" si="1742"/>
        <v>030725170</v>
      </c>
      <c r="E3641" t="str">
        <f t="shared" si="1738"/>
        <v>COM</v>
      </c>
      <c r="F3641" t="str">
        <f t="shared" si="1743"/>
        <v>CORA SOCIEDADE DE CREDITO, FINANCIAMENTO E INVESTIMENTO (20035)</v>
      </c>
      <c r="G3641" t="str">
        <f t="shared" si="1744"/>
        <v>TAX BOLETO COMPENSADO</v>
      </c>
      <c r="H3641" t="str">
        <f t="shared" si="1736"/>
        <v>03/07/2025</v>
      </c>
      <c r="I3641" t="str">
        <f t="shared" si="1745"/>
        <v>03/07/2025</v>
      </c>
      <c r="J3641" t="str">
        <f t="shared" si="1731"/>
        <v>03/07/2025</v>
      </c>
      <c r="K3641">
        <v>1.7</v>
      </c>
      <c r="L3641">
        <v>1.7</v>
      </c>
      <c r="M3641">
        <v>401</v>
      </c>
      <c r="N3641" t="str">
        <f t="shared" si="1746"/>
        <v>IOF/JUROS/DESP.FINANCEIRA</v>
      </c>
      <c r="O3641">
        <v>1.7</v>
      </c>
      <c r="R3641" t="str">
        <f t="shared" si="1740"/>
        <v>BANCO CORA (102)</v>
      </c>
      <c r="S3641">
        <v>2059</v>
      </c>
      <c r="T3641">
        <v>1610</v>
      </c>
      <c r="U3641" t="s">
        <v>19</v>
      </c>
    </row>
    <row r="3642" spans="1:21">
      <c r="A3642" t="str">
        <f t="shared" si="1728"/>
        <v>03/07/2025</v>
      </c>
      <c r="B3642" t="str">
        <f t="shared" si="1739"/>
        <v>SAÍDA</v>
      </c>
      <c r="C3642" t="str">
        <f t="shared" si="1741"/>
        <v>CONHECIMENTO</v>
      </c>
      <c r="D3642" t="str">
        <f t="shared" si="1742"/>
        <v>030725170</v>
      </c>
      <c r="E3642" t="str">
        <f t="shared" si="1738"/>
        <v>COM</v>
      </c>
      <c r="F3642" t="str">
        <f t="shared" si="1743"/>
        <v>CORA SOCIEDADE DE CREDITO, FINANCIAMENTO E INVESTIMENTO (20035)</v>
      </c>
      <c r="G3642" t="str">
        <f t="shared" si="1744"/>
        <v>TAX BOLETO COMPENSADO</v>
      </c>
      <c r="H3642" t="str">
        <f t="shared" si="1736"/>
        <v>03/07/2025</v>
      </c>
      <c r="I3642" t="str">
        <f t="shared" si="1745"/>
        <v>03/07/2025</v>
      </c>
      <c r="J3642" t="str">
        <f t="shared" si="1731"/>
        <v>03/07/2025</v>
      </c>
      <c r="K3642">
        <v>1.7</v>
      </c>
      <c r="L3642">
        <v>1.7</v>
      </c>
      <c r="M3642">
        <v>401</v>
      </c>
      <c r="N3642" t="str">
        <f t="shared" si="1746"/>
        <v>IOF/JUROS/DESP.FINANCEIRA</v>
      </c>
      <c r="O3642">
        <v>1.7</v>
      </c>
      <c r="R3642" t="str">
        <f t="shared" si="1740"/>
        <v>BANCO CORA (102)</v>
      </c>
      <c r="S3642">
        <v>2060</v>
      </c>
      <c r="T3642">
        <v>1611</v>
      </c>
      <c r="U3642" t="s">
        <v>19</v>
      </c>
    </row>
    <row r="3643" spans="1:21">
      <c r="A3643" t="str">
        <f t="shared" si="1728"/>
        <v>03/07/2025</v>
      </c>
      <c r="B3643" t="str">
        <f t="shared" si="1739"/>
        <v>SAÍDA</v>
      </c>
      <c r="C3643" t="str">
        <f t="shared" si="1741"/>
        <v>CONHECIMENTO</v>
      </c>
      <c r="D3643" t="str">
        <f t="shared" si="1742"/>
        <v>030725170</v>
      </c>
      <c r="E3643" t="str">
        <f t="shared" si="1738"/>
        <v>COM</v>
      </c>
      <c r="F3643" t="str">
        <f t="shared" si="1743"/>
        <v>CORA SOCIEDADE DE CREDITO, FINANCIAMENTO E INVESTIMENTO (20035)</v>
      </c>
      <c r="G3643" t="str">
        <f t="shared" si="1744"/>
        <v>TAX BOLETO COMPENSADO</v>
      </c>
      <c r="H3643" t="str">
        <f t="shared" si="1736"/>
        <v>03/07/2025</v>
      </c>
      <c r="I3643" t="str">
        <f t="shared" si="1745"/>
        <v>03/07/2025</v>
      </c>
      <c r="J3643" t="str">
        <f t="shared" si="1731"/>
        <v>03/07/2025</v>
      </c>
      <c r="K3643">
        <v>1.7</v>
      </c>
      <c r="L3643">
        <v>1.7</v>
      </c>
      <c r="M3643">
        <v>401</v>
      </c>
      <c r="N3643" t="str">
        <f t="shared" si="1746"/>
        <v>IOF/JUROS/DESP.FINANCEIRA</v>
      </c>
      <c r="O3643">
        <v>1.7</v>
      </c>
      <c r="R3643" t="str">
        <f t="shared" si="1740"/>
        <v>BANCO CORA (102)</v>
      </c>
      <c r="S3643">
        <v>2061</v>
      </c>
      <c r="T3643">
        <v>1612</v>
      </c>
      <c r="U3643" t="s">
        <v>19</v>
      </c>
    </row>
    <row r="3644" spans="1:21">
      <c r="A3644" t="str">
        <f t="shared" si="1728"/>
        <v>03/07/2025</v>
      </c>
      <c r="B3644" t="str">
        <f t="shared" si="1739"/>
        <v>SAÍDA</v>
      </c>
      <c r="C3644" t="str">
        <f t="shared" si="1741"/>
        <v>CONHECIMENTO</v>
      </c>
      <c r="D3644" t="str">
        <f t="shared" si="1742"/>
        <v>030725170</v>
      </c>
      <c r="E3644" t="str">
        <f t="shared" si="1738"/>
        <v>COM</v>
      </c>
      <c r="F3644" t="str">
        <f t="shared" si="1743"/>
        <v>CORA SOCIEDADE DE CREDITO, FINANCIAMENTO E INVESTIMENTO (20035)</v>
      </c>
      <c r="G3644" t="str">
        <f t="shared" si="1744"/>
        <v>TAX BOLETO COMPENSADO</v>
      </c>
      <c r="H3644" t="str">
        <f t="shared" si="1736"/>
        <v>03/07/2025</v>
      </c>
      <c r="I3644" t="str">
        <f t="shared" si="1745"/>
        <v>03/07/2025</v>
      </c>
      <c r="J3644" t="str">
        <f t="shared" si="1731"/>
        <v>03/07/2025</v>
      </c>
      <c r="K3644">
        <v>1.7</v>
      </c>
      <c r="L3644">
        <v>1.7</v>
      </c>
      <c r="M3644">
        <v>401</v>
      </c>
      <c r="N3644" t="str">
        <f t="shared" si="1746"/>
        <v>IOF/JUROS/DESP.FINANCEIRA</v>
      </c>
      <c r="O3644">
        <v>1.7</v>
      </c>
      <c r="R3644" t="str">
        <f t="shared" si="1740"/>
        <v>BANCO CORA (102)</v>
      </c>
      <c r="S3644">
        <v>2062</v>
      </c>
      <c r="T3644">
        <v>1613</v>
      </c>
      <c r="U3644" t="s">
        <v>19</v>
      </c>
    </row>
    <row r="3645" spans="1:21">
      <c r="A3645" t="str">
        <f t="shared" si="1728"/>
        <v>03/07/2025</v>
      </c>
      <c r="B3645" t="str">
        <f t="shared" si="1739"/>
        <v>SAÍDA</v>
      </c>
      <c r="C3645" t="str">
        <f t="shared" si="1741"/>
        <v>CONHECIMENTO</v>
      </c>
      <c r="D3645" t="str">
        <f t="shared" si="1742"/>
        <v>030725170</v>
      </c>
      <c r="E3645" t="str">
        <f t="shared" si="1738"/>
        <v>COM</v>
      </c>
      <c r="F3645" t="str">
        <f t="shared" si="1743"/>
        <v>CORA SOCIEDADE DE CREDITO, FINANCIAMENTO E INVESTIMENTO (20035)</v>
      </c>
      <c r="G3645" t="str">
        <f t="shared" si="1744"/>
        <v>TAX BOLETO COMPENSADO</v>
      </c>
      <c r="H3645" t="str">
        <f t="shared" si="1736"/>
        <v>03/07/2025</v>
      </c>
      <c r="I3645" t="str">
        <f t="shared" si="1745"/>
        <v>03/07/2025</v>
      </c>
      <c r="J3645" t="str">
        <f t="shared" si="1731"/>
        <v>03/07/2025</v>
      </c>
      <c r="K3645">
        <v>1.7</v>
      </c>
      <c r="L3645">
        <v>1.7</v>
      </c>
      <c r="M3645">
        <v>401</v>
      </c>
      <c r="N3645" t="str">
        <f t="shared" si="1746"/>
        <v>IOF/JUROS/DESP.FINANCEIRA</v>
      </c>
      <c r="O3645">
        <v>1.7</v>
      </c>
      <c r="R3645" t="str">
        <f t="shared" si="1740"/>
        <v>BANCO CORA (102)</v>
      </c>
      <c r="S3645">
        <v>2063</v>
      </c>
      <c r="T3645">
        <v>1614</v>
      </c>
      <c r="U3645" t="s">
        <v>19</v>
      </c>
    </row>
    <row r="3646" spans="1:21">
      <c r="A3646" t="str">
        <f t="shared" si="1728"/>
        <v>03/07/2025</v>
      </c>
      <c r="B3646" t="str">
        <f t="shared" si="1739"/>
        <v>SAÍDA</v>
      </c>
      <c r="C3646" t="str">
        <f t="shared" si="1741"/>
        <v>CONHECIMENTO</v>
      </c>
      <c r="D3646" t="str">
        <f t="shared" si="1742"/>
        <v>030725170</v>
      </c>
      <c r="E3646" t="str">
        <f t="shared" si="1738"/>
        <v>COM</v>
      </c>
      <c r="F3646" t="str">
        <f t="shared" si="1743"/>
        <v>CORA SOCIEDADE DE CREDITO, FINANCIAMENTO E INVESTIMENTO (20035)</v>
      </c>
      <c r="G3646" t="str">
        <f t="shared" si="1744"/>
        <v>TAX BOLETO COMPENSADO</v>
      </c>
      <c r="H3646" t="str">
        <f t="shared" si="1736"/>
        <v>03/07/2025</v>
      </c>
      <c r="I3646" t="str">
        <f t="shared" si="1745"/>
        <v>03/07/2025</v>
      </c>
      <c r="J3646" t="str">
        <f t="shared" si="1731"/>
        <v>03/07/2025</v>
      </c>
      <c r="K3646">
        <v>1.7</v>
      </c>
      <c r="L3646">
        <v>1.7</v>
      </c>
      <c r="M3646">
        <v>401</v>
      </c>
      <c r="N3646" t="str">
        <f t="shared" si="1746"/>
        <v>IOF/JUROS/DESP.FINANCEIRA</v>
      </c>
      <c r="O3646">
        <v>1.7</v>
      </c>
      <c r="R3646" t="str">
        <f t="shared" si="1740"/>
        <v>BANCO CORA (102)</v>
      </c>
      <c r="S3646">
        <v>2064</v>
      </c>
      <c r="T3646">
        <v>1615</v>
      </c>
      <c r="U3646" t="s">
        <v>19</v>
      </c>
    </row>
    <row r="3647" spans="1:21">
      <c r="A3647" t="str">
        <f t="shared" ref="A3647:A3655" si="1747">("04/07/2025")</f>
        <v>04/07/2025</v>
      </c>
      <c r="B3647" t="str">
        <f>"ENTRADA"</f>
        <v>ENTRADA</v>
      </c>
      <c r="C3647" t="str">
        <f>"NFSE"</f>
        <v>NFSE</v>
      </c>
      <c r="D3647" t="str">
        <f>"3191"</f>
        <v>3191</v>
      </c>
      <c r="E3647" t="str">
        <f t="shared" si="1738"/>
        <v>COM</v>
      </c>
      <c r="F3647" t="str">
        <f>"PASSA QUATRO (10175)"</f>
        <v>PASSA QUATRO (10175)</v>
      </c>
      <c r="G3647" t="str">
        <f>"Serv.Prest. 23/06/2025 a 29/06/2025 - RPS: 959 - NFSe: 3191"</f>
        <v>Serv.Prest. 23/06/2025 a 29/06/2025 - RPS: 959 - NFSe: 3191</v>
      </c>
      <c r="H3647" t="str">
        <f t="shared" si="1736"/>
        <v>03/07/2025</v>
      </c>
      <c r="I3647" t="str">
        <f>("01/07/2025")</f>
        <v>01/07/2025</v>
      </c>
      <c r="J3647" t="str">
        <f t="shared" ref="J3647:J3655" si="1748">("04/07/2025")</f>
        <v>04/07/2025</v>
      </c>
      <c r="K3647">
        <v>45.47</v>
      </c>
      <c r="L3647">
        <v>45.47</v>
      </c>
      <c r="M3647">
        <v>303</v>
      </c>
      <c r="N3647" t="str">
        <f>"RECEITAS COM ENTREGAS"</f>
        <v>RECEITAS COM ENTREGAS</v>
      </c>
      <c r="O3647">
        <v>45.47</v>
      </c>
      <c r="R3647" t="str">
        <f>"RECEITAS COM ENTREGAS (303)"</f>
        <v>RECEITAS COM ENTREGAS (303)</v>
      </c>
      <c r="S3647">
        <v>2007</v>
      </c>
      <c r="T3647">
        <v>1522</v>
      </c>
      <c r="U3647" t="s">
        <v>19</v>
      </c>
    </row>
    <row r="3648" spans="1:21">
      <c r="A3648" t="str">
        <f t="shared" si="1747"/>
        <v>04/07/2025</v>
      </c>
      <c r="B3648" t="str">
        <f>"ENTRADA"</f>
        <v>ENTRADA</v>
      </c>
      <c r="C3648" t="str">
        <f>"NFSE"</f>
        <v>NFSE</v>
      </c>
      <c r="D3648" t="str">
        <f>"3191"</f>
        <v>3191</v>
      </c>
      <c r="E3648" t="str">
        <f t="shared" si="1738"/>
        <v>COM</v>
      </c>
      <c r="F3648" t="str">
        <f>"PASSA QUATRO (10175)"</f>
        <v>PASSA QUATRO (10175)</v>
      </c>
      <c r="G3648" t="str">
        <f>"Serv.Prest. 23/06/2025 a 29/06/2025 - RPS: 959 - NFSe: 3191"</f>
        <v>Serv.Prest. 23/06/2025 a 29/06/2025 - RPS: 959 - NFSe: 3191</v>
      </c>
      <c r="H3648" t="str">
        <f t="shared" si="1736"/>
        <v>03/07/2025</v>
      </c>
      <c r="I3648" t="str">
        <f>("01/07/2025")</f>
        <v>01/07/2025</v>
      </c>
      <c r="J3648" t="str">
        <f t="shared" si="1748"/>
        <v>04/07/2025</v>
      </c>
      <c r="M3648">
        <v>303</v>
      </c>
      <c r="N3648" t="str">
        <f>"RECEITAS COM ENTREGAS"</f>
        <v>RECEITAS COM ENTREGAS</v>
      </c>
      <c r="P3648">
        <v>45.47</v>
      </c>
      <c r="Q3648" t="str">
        <f>"PASSA QUATRO (10175)"</f>
        <v>PASSA QUATRO (10175)</v>
      </c>
      <c r="R3648" t="str">
        <f>"RECEITAS COM ENTREGAS (303)"</f>
        <v>RECEITAS COM ENTREGAS (303)</v>
      </c>
      <c r="S3648">
        <v>2007</v>
      </c>
      <c r="T3648">
        <v>1522</v>
      </c>
      <c r="U3648" t="s">
        <v>19</v>
      </c>
    </row>
    <row r="3649" spans="1:21">
      <c r="A3649" t="str">
        <f t="shared" si="1747"/>
        <v>04/07/2025</v>
      </c>
      <c r="B3649" t="str">
        <f t="shared" ref="B3649:B3655" si="1749">"SAÍDA"</f>
        <v>SAÍDA</v>
      </c>
      <c r="C3649" t="str">
        <f t="shared" ref="C3649:C3654" si="1750">"PIX"</f>
        <v>PIX</v>
      </c>
      <c r="D3649" t="str">
        <f t="shared" ref="D3649:D3654" si="1751">"2025"</f>
        <v>2025</v>
      </c>
      <c r="E3649" t="str">
        <f t="shared" si="1738"/>
        <v>COM</v>
      </c>
      <c r="F3649" t="str">
        <f>"LILIANE DE FATIMA REZENDE JUSTINO (20013)"</f>
        <v>LILIANE DE FATIMA REZENDE JUSTINO (20013)</v>
      </c>
      <c r="G3649" t="str">
        <f>"REF. PRO-LABORE MES 06/2025"</f>
        <v>REF. PRO-LABORE MES 06/2025</v>
      </c>
      <c r="H3649" t="str">
        <f t="shared" ref="H3649:H3655" si="1752">("04/07/2025")</f>
        <v>04/07/2025</v>
      </c>
      <c r="I3649" t="str">
        <f>("01/01/2025")</f>
        <v>01/01/2025</v>
      </c>
      <c r="J3649" t="str">
        <f t="shared" si="1748"/>
        <v>04/07/2025</v>
      </c>
      <c r="K3649">
        <v>23333.33</v>
      </c>
      <c r="L3649">
        <v>23333.33</v>
      </c>
      <c r="M3649">
        <v>124</v>
      </c>
      <c r="N3649" t="str">
        <f>"PRO LABORE - LILIANE"</f>
        <v>PRO LABORE - LILIANE</v>
      </c>
      <c r="O3649">
        <v>23333.33</v>
      </c>
      <c r="R3649" t="str">
        <f t="shared" ref="R3649:R3655" si="1753">"BANCO CORA (102)"</f>
        <v>BANCO CORA (102)</v>
      </c>
      <c r="S3649">
        <v>2038</v>
      </c>
      <c r="T3649">
        <v>569</v>
      </c>
      <c r="U3649" t="s">
        <v>19</v>
      </c>
    </row>
    <row r="3650" spans="1:21">
      <c r="A3650" t="str">
        <f t="shared" si="1747"/>
        <v>04/07/2025</v>
      </c>
      <c r="B3650" t="str">
        <f t="shared" si="1749"/>
        <v>SAÍDA</v>
      </c>
      <c r="C3650" t="str">
        <f t="shared" si="1750"/>
        <v>PIX</v>
      </c>
      <c r="D3650" t="str">
        <f t="shared" si="1751"/>
        <v>2025</v>
      </c>
      <c r="E3650" t="str">
        <f t="shared" si="1738"/>
        <v>COM</v>
      </c>
      <c r="F3650" t="str">
        <f>"LILIANE DE FATIMA REZENDE JUSTINO (20013)"</f>
        <v>LILIANE DE FATIMA REZENDE JUSTINO (20013)</v>
      </c>
      <c r="G3650" t="str">
        <f>"REF. PRO-LABORE MES 06/2025"</f>
        <v>REF. PRO-LABORE MES 06/2025</v>
      </c>
      <c r="H3650" t="str">
        <f t="shared" si="1752"/>
        <v>04/07/2025</v>
      </c>
      <c r="I3650" t="str">
        <f>("01/01/2025")</f>
        <v>01/01/2025</v>
      </c>
      <c r="J3650" t="str">
        <f t="shared" si="1748"/>
        <v>04/07/2025</v>
      </c>
      <c r="M3650">
        <v>124</v>
      </c>
      <c r="N3650" t="str">
        <f>"PRO LABORE - LILIANE"</f>
        <v>PRO LABORE - LILIANE</v>
      </c>
      <c r="P3650">
        <v>23333.33</v>
      </c>
      <c r="Q3650" t="str">
        <f>"LILIANE DE FATIMA REZENDE JUSTINO (20013)"</f>
        <v>LILIANE DE FATIMA REZENDE JUSTINO (20013)</v>
      </c>
      <c r="R3650" t="str">
        <f t="shared" si="1753"/>
        <v>BANCO CORA (102)</v>
      </c>
      <c r="S3650">
        <v>2038</v>
      </c>
      <c r="T3650">
        <v>569</v>
      </c>
      <c r="U3650" t="s">
        <v>19</v>
      </c>
    </row>
    <row r="3651" spans="1:21">
      <c r="A3651" t="str">
        <f t="shared" si="1747"/>
        <v>04/07/2025</v>
      </c>
      <c r="B3651" t="str">
        <f t="shared" si="1749"/>
        <v>SAÍDA</v>
      </c>
      <c r="C3651" t="str">
        <f t="shared" si="1750"/>
        <v>PIX</v>
      </c>
      <c r="D3651" t="str">
        <f t="shared" si="1751"/>
        <v>2025</v>
      </c>
      <c r="E3651" t="str">
        <f t="shared" si="1738"/>
        <v>COM</v>
      </c>
      <c r="F3651" t="str">
        <f>"LILIANE DE FATIMA REZENDE JUSTINO (20013)"</f>
        <v>LILIANE DE FATIMA REZENDE JUSTINO (20013)</v>
      </c>
      <c r="G3651" t="str">
        <f>"REF. PREST. SERVICO LILIANE 06/2025"</f>
        <v>REF. PREST. SERVICO LILIANE 06/2025</v>
      </c>
      <c r="H3651" t="str">
        <f t="shared" si="1752"/>
        <v>04/07/2025</v>
      </c>
      <c r="I3651" t="str">
        <f>("01/01/2025")</f>
        <v>01/01/2025</v>
      </c>
      <c r="J3651" t="str">
        <f t="shared" si="1748"/>
        <v>04/07/2025</v>
      </c>
      <c r="K3651">
        <v>1500</v>
      </c>
      <c r="L3651">
        <v>1500</v>
      </c>
      <c r="M3651">
        <v>103</v>
      </c>
      <c r="N3651" t="str">
        <f>"PAGAMENTO DE FUNCIONÁRIOS"</f>
        <v>PAGAMENTO DE FUNCIONÁRIOS</v>
      </c>
      <c r="O3651">
        <v>1500</v>
      </c>
      <c r="R3651" t="str">
        <f t="shared" si="1753"/>
        <v>BANCO CORA (102)</v>
      </c>
      <c r="S3651">
        <v>2039</v>
      </c>
      <c r="T3651">
        <v>581</v>
      </c>
      <c r="U3651" t="s">
        <v>19</v>
      </c>
    </row>
    <row r="3652" spans="1:21">
      <c r="A3652" t="str">
        <f t="shared" si="1747"/>
        <v>04/07/2025</v>
      </c>
      <c r="B3652" t="str">
        <f t="shared" si="1749"/>
        <v>SAÍDA</v>
      </c>
      <c r="C3652" t="str">
        <f t="shared" si="1750"/>
        <v>PIX</v>
      </c>
      <c r="D3652" t="str">
        <f t="shared" si="1751"/>
        <v>2025</v>
      </c>
      <c r="E3652" t="str">
        <f t="shared" si="1738"/>
        <v>COM</v>
      </c>
      <c r="F3652" t="str">
        <f>"LILIANE DE FATIMA REZENDE JUSTINO (20013)"</f>
        <v>LILIANE DE FATIMA REZENDE JUSTINO (20013)</v>
      </c>
      <c r="G3652" t="str">
        <f>"REF. PREST. SERVICO LILIANE 06/2025"</f>
        <v>REF. PREST. SERVICO LILIANE 06/2025</v>
      </c>
      <c r="H3652" t="str">
        <f t="shared" si="1752"/>
        <v>04/07/2025</v>
      </c>
      <c r="I3652" t="str">
        <f>("01/01/2025")</f>
        <v>01/01/2025</v>
      </c>
      <c r="J3652" t="str">
        <f t="shared" si="1748"/>
        <v>04/07/2025</v>
      </c>
      <c r="M3652">
        <v>103</v>
      </c>
      <c r="N3652" t="str">
        <f>"PAGAMENTO DE FUNCIONÁRIOS"</f>
        <v>PAGAMENTO DE FUNCIONÁRIOS</v>
      </c>
      <c r="P3652">
        <v>1500</v>
      </c>
      <c r="Q3652" t="str">
        <f>"LILIANE DE FATIMA REZENDE JUSTINO (20013)"</f>
        <v>LILIANE DE FATIMA REZENDE JUSTINO (20013)</v>
      </c>
      <c r="R3652" t="str">
        <f t="shared" si="1753"/>
        <v>BANCO CORA (102)</v>
      </c>
      <c r="S3652">
        <v>2039</v>
      </c>
      <c r="T3652">
        <v>581</v>
      </c>
      <c r="U3652" t="s">
        <v>19</v>
      </c>
    </row>
    <row r="3653" spans="1:21">
      <c r="A3653" t="str">
        <f t="shared" si="1747"/>
        <v>04/07/2025</v>
      </c>
      <c r="B3653" t="str">
        <f t="shared" si="1749"/>
        <v>SAÍDA</v>
      </c>
      <c r="C3653" t="str">
        <f t="shared" si="1750"/>
        <v>PIX</v>
      </c>
      <c r="D3653" t="str">
        <f t="shared" si="1751"/>
        <v>2025</v>
      </c>
      <c r="E3653" t="str">
        <f t="shared" si="1738"/>
        <v>COM</v>
      </c>
      <c r="F3653" t="str">
        <f>"MARCELO REZENDE ARANTES (20014)"</f>
        <v>MARCELO REZENDE ARANTES (20014)</v>
      </c>
      <c r="G3653" t="str">
        <f>"REF. PRO-LABORE MES 06/2025"</f>
        <v>REF. PRO-LABORE MES 06/2025</v>
      </c>
      <c r="H3653" t="str">
        <f t="shared" si="1752"/>
        <v>04/07/2025</v>
      </c>
      <c r="I3653" t="str">
        <f>("01/07/2025")</f>
        <v>01/07/2025</v>
      </c>
      <c r="J3653" t="str">
        <f t="shared" si="1748"/>
        <v>04/07/2025</v>
      </c>
      <c r="K3653">
        <v>10000</v>
      </c>
      <c r="L3653">
        <v>10000</v>
      </c>
      <c r="M3653">
        <v>108</v>
      </c>
      <c r="N3653" t="str">
        <f>"PRO LABORE - MARCELO"</f>
        <v>PRO LABORE - MARCELO</v>
      </c>
      <c r="O3653">
        <v>10000</v>
      </c>
      <c r="R3653" t="str">
        <f t="shared" si="1753"/>
        <v>BANCO CORA (102)</v>
      </c>
      <c r="S3653">
        <v>2040</v>
      </c>
      <c r="T3653">
        <v>593</v>
      </c>
      <c r="U3653" t="s">
        <v>19</v>
      </c>
    </row>
    <row r="3654" spans="1:21">
      <c r="A3654" t="str">
        <f t="shared" si="1747"/>
        <v>04/07/2025</v>
      </c>
      <c r="B3654" t="str">
        <f t="shared" si="1749"/>
        <v>SAÍDA</v>
      </c>
      <c r="C3654" t="str">
        <f t="shared" si="1750"/>
        <v>PIX</v>
      </c>
      <c r="D3654" t="str">
        <f t="shared" si="1751"/>
        <v>2025</v>
      </c>
      <c r="E3654" t="str">
        <f t="shared" si="1738"/>
        <v>COM</v>
      </c>
      <c r="F3654" t="str">
        <f>"MARCELO REZENDE ARANTES (20014)"</f>
        <v>MARCELO REZENDE ARANTES (20014)</v>
      </c>
      <c r="G3654" t="str">
        <f>"REF. PRO-LABORE MES 06/2025"</f>
        <v>REF. PRO-LABORE MES 06/2025</v>
      </c>
      <c r="H3654" t="str">
        <f t="shared" si="1752"/>
        <v>04/07/2025</v>
      </c>
      <c r="I3654" t="str">
        <f>("01/07/2025")</f>
        <v>01/07/2025</v>
      </c>
      <c r="J3654" t="str">
        <f t="shared" si="1748"/>
        <v>04/07/2025</v>
      </c>
      <c r="M3654">
        <v>108</v>
      </c>
      <c r="N3654" t="str">
        <f>"PRO LABORE - MARCELO"</f>
        <v>PRO LABORE - MARCELO</v>
      </c>
      <c r="P3654">
        <v>10000</v>
      </c>
      <c r="Q3654" t="str">
        <f>"MARCELO REZENDE ARANTES (20014)"</f>
        <v>MARCELO REZENDE ARANTES (20014)</v>
      </c>
      <c r="R3654" t="str">
        <f t="shared" si="1753"/>
        <v>BANCO CORA (102)</v>
      </c>
      <c r="S3654">
        <v>2040</v>
      </c>
      <c r="T3654">
        <v>593</v>
      </c>
      <c r="U3654" t="s">
        <v>19</v>
      </c>
    </row>
    <row r="3655" spans="1:21">
      <c r="A3655" t="str">
        <f t="shared" si="1747"/>
        <v>04/07/2025</v>
      </c>
      <c r="B3655" t="str">
        <f t="shared" si="1749"/>
        <v>SAÍDA</v>
      </c>
      <c r="C3655" t="str">
        <f>"CONHECIMENTO"</f>
        <v>CONHECIMENTO</v>
      </c>
      <c r="D3655" t="str">
        <f>"040725170"</f>
        <v>040725170</v>
      </c>
      <c r="E3655" t="str">
        <f t="shared" si="1738"/>
        <v>COM</v>
      </c>
      <c r="F3655" t="str">
        <f>"CORA SOCIEDADE DE CREDITO, FINANCIAMENTO E INVESTIMENTO (20035)"</f>
        <v>CORA SOCIEDADE DE CREDITO, FINANCIAMENTO E INVESTIMENTO (20035)</v>
      </c>
      <c r="G3655" t="str">
        <f>"TAXA BOLETO COMPENSADO"</f>
        <v>TAXA BOLETO COMPENSADO</v>
      </c>
      <c r="H3655" t="str">
        <f t="shared" si="1752"/>
        <v>04/07/2025</v>
      </c>
      <c r="I3655" t="str">
        <f>("04/07/2025")</f>
        <v>04/07/2025</v>
      </c>
      <c r="J3655" t="str">
        <f t="shared" si="1748"/>
        <v>04/07/2025</v>
      </c>
      <c r="K3655">
        <v>1.7</v>
      </c>
      <c r="L3655">
        <v>1.7</v>
      </c>
      <c r="M3655">
        <v>401</v>
      </c>
      <c r="N3655" t="str">
        <f>"IOF/JUROS/DESP.FINANCEIRA"</f>
        <v>IOF/JUROS/DESP.FINANCEIRA</v>
      </c>
      <c r="O3655">
        <v>1.7</v>
      </c>
      <c r="R3655" t="str">
        <f t="shared" si="1753"/>
        <v>BANCO CORA (102)</v>
      </c>
      <c r="S3655">
        <v>2133</v>
      </c>
      <c r="T3655">
        <v>1660</v>
      </c>
      <c r="U3655" t="s">
        <v>19</v>
      </c>
    </row>
    <row r="3656" spans="1:21">
      <c r="A3656" t="str">
        <f t="shared" ref="A3656:A3661" si="1754">("07/07/2025")</f>
        <v>07/07/2025</v>
      </c>
      <c r="B3656" t="str">
        <f>"ENTRADA"</f>
        <v>ENTRADA</v>
      </c>
      <c r="C3656" t="str">
        <f>"NFSE"</f>
        <v>NFSE</v>
      </c>
      <c r="D3656" t="str">
        <f>"3152"</f>
        <v>3152</v>
      </c>
      <c r="E3656" t="str">
        <f t="shared" si="1738"/>
        <v>COM</v>
      </c>
      <c r="F3656" t="str">
        <f>"PAGMENOS - LJ 608 (10135)"</f>
        <v>PAGMENOS - LJ 608 (10135)</v>
      </c>
      <c r="G3656" t="str">
        <f>"Serv.Prest. 16/06/2025 a 22/06/2025 - RPS: 921 - NFSe: 3152"</f>
        <v>Serv.Prest. 16/06/2025 a 22/06/2025 - RPS: 921 - NFSe: 3152</v>
      </c>
      <c r="H3656" t="str">
        <f>("03/07/2025")</f>
        <v>03/07/2025</v>
      </c>
      <c r="I3656" t="str">
        <f>("24/06/2025")</f>
        <v>24/06/2025</v>
      </c>
      <c r="J3656" t="str">
        <f t="shared" ref="J3656:J3661" si="1755">("07/07/2025")</f>
        <v>07/07/2025</v>
      </c>
      <c r="K3656">
        <v>280.20999999999998</v>
      </c>
      <c r="L3656">
        <v>280.20999999999998</v>
      </c>
      <c r="M3656">
        <v>303</v>
      </c>
      <c r="N3656" t="str">
        <f>"RECEITAS COM ENTREGAS"</f>
        <v>RECEITAS COM ENTREGAS</v>
      </c>
      <c r="O3656">
        <v>280.20999999999998</v>
      </c>
      <c r="R3656" t="str">
        <f>"RECEITAS COM ENTREGAS (303)"</f>
        <v>RECEITAS COM ENTREGAS (303)</v>
      </c>
      <c r="S3656">
        <v>2008</v>
      </c>
      <c r="T3656">
        <v>1436</v>
      </c>
      <c r="U3656" t="s">
        <v>19</v>
      </c>
    </row>
    <row r="3657" spans="1:21">
      <c r="A3657" t="str">
        <f t="shared" si="1754"/>
        <v>07/07/2025</v>
      </c>
      <c r="B3657" t="str">
        <f t="shared" ref="B3657:B3659" si="1756">"ENTRADA"</f>
        <v>ENTRADA</v>
      </c>
      <c r="C3657" t="str">
        <f>"NFSE"</f>
        <v>NFSE</v>
      </c>
      <c r="D3657" t="str">
        <f>"3152"</f>
        <v>3152</v>
      </c>
      <c r="E3657" t="str">
        <f t="shared" si="1738"/>
        <v>COM</v>
      </c>
      <c r="F3657" t="str">
        <f>"PAGMENOS - LJ 608 (10135)"</f>
        <v>PAGMENOS - LJ 608 (10135)</v>
      </c>
      <c r="G3657" t="str">
        <f>"Serv.Prest. 16/06/2025 a 22/06/2025 - RPS: 921 - NFSe: 3152"</f>
        <v>Serv.Prest. 16/06/2025 a 22/06/2025 - RPS: 921 - NFSe: 3152</v>
      </c>
      <c r="H3657" t="str">
        <f>("03/07/2025")</f>
        <v>03/07/2025</v>
      </c>
      <c r="I3657" t="str">
        <f>("24/06/2025")</f>
        <v>24/06/2025</v>
      </c>
      <c r="J3657" t="str">
        <f t="shared" si="1755"/>
        <v>07/07/2025</v>
      </c>
      <c r="M3657">
        <v>303</v>
      </c>
      <c r="N3657" t="str">
        <f>"RECEITAS COM ENTREGAS"</f>
        <v>RECEITAS COM ENTREGAS</v>
      </c>
      <c r="P3657">
        <v>280.20999999999998</v>
      </c>
      <c r="Q3657" t="str">
        <f>"PAGMENOS - LJ 608 (10135)"</f>
        <v>PAGMENOS - LJ 608 (10135)</v>
      </c>
      <c r="R3657" t="str">
        <f>"RECEITAS COM ENTREGAS (303)"</f>
        <v>RECEITAS COM ENTREGAS (303)</v>
      </c>
      <c r="S3657">
        <v>2008</v>
      </c>
      <c r="T3657">
        <v>1436</v>
      </c>
      <c r="U3657" t="s">
        <v>19</v>
      </c>
    </row>
    <row r="3658" spans="1:21">
      <c r="A3658" t="str">
        <f t="shared" si="1754"/>
        <v>07/07/2025</v>
      </c>
      <c r="B3658" t="str">
        <f t="shared" si="1756"/>
        <v>ENTRADA</v>
      </c>
      <c r="C3658" t="str">
        <f>"NFSE"</f>
        <v>NFSE</v>
      </c>
      <c r="D3658" t="str">
        <f>"3153"</f>
        <v>3153</v>
      </c>
      <c r="E3658" t="str">
        <f t="shared" si="1738"/>
        <v>COM</v>
      </c>
      <c r="F3658" t="str">
        <f>"PAGMENOS - LJ 657 (10136)"</f>
        <v>PAGMENOS - LJ 657 (10136)</v>
      </c>
      <c r="G3658" t="str">
        <f>"Serv.Prest. 16/06/2025 a 22/06/2025 - RPS: 922 - NFSe: 3153"</f>
        <v>Serv.Prest. 16/06/2025 a 22/06/2025 - RPS: 922 - NFSe: 3153</v>
      </c>
      <c r="H3658" t="str">
        <f>("03/07/2025")</f>
        <v>03/07/2025</v>
      </c>
      <c r="I3658" t="str">
        <f>("24/06/2025")</f>
        <v>24/06/2025</v>
      </c>
      <c r="J3658" t="str">
        <f t="shared" si="1755"/>
        <v>07/07/2025</v>
      </c>
      <c r="K3658">
        <v>596.6</v>
      </c>
      <c r="L3658">
        <v>596.6</v>
      </c>
      <c r="M3658">
        <v>303</v>
      </c>
      <c r="N3658" t="str">
        <f>"RECEITAS COM ENTREGAS"</f>
        <v>RECEITAS COM ENTREGAS</v>
      </c>
      <c r="O3658">
        <v>596.6</v>
      </c>
      <c r="R3658" t="str">
        <f>"RECEITAS COM ENTREGAS (303)"</f>
        <v>RECEITAS COM ENTREGAS (303)</v>
      </c>
      <c r="S3658">
        <v>2009</v>
      </c>
      <c r="T3658">
        <v>1437</v>
      </c>
      <c r="U3658" t="s">
        <v>19</v>
      </c>
    </row>
    <row r="3659" spans="1:21">
      <c r="A3659" t="str">
        <f t="shared" si="1754"/>
        <v>07/07/2025</v>
      </c>
      <c r="B3659" t="str">
        <f t="shared" si="1756"/>
        <v>ENTRADA</v>
      </c>
      <c r="C3659" t="str">
        <f>"NFSE"</f>
        <v>NFSE</v>
      </c>
      <c r="D3659" t="str">
        <f>"3153"</f>
        <v>3153</v>
      </c>
      <c r="E3659" t="str">
        <f t="shared" si="1738"/>
        <v>COM</v>
      </c>
      <c r="F3659" t="str">
        <f>"PAGMENOS - LJ 657 (10136)"</f>
        <v>PAGMENOS - LJ 657 (10136)</v>
      </c>
      <c r="G3659" t="str">
        <f>"Serv.Prest. 16/06/2025 a 22/06/2025 - RPS: 922 - NFSe: 3153"</f>
        <v>Serv.Prest. 16/06/2025 a 22/06/2025 - RPS: 922 - NFSe: 3153</v>
      </c>
      <c r="H3659" t="str">
        <f>("03/07/2025")</f>
        <v>03/07/2025</v>
      </c>
      <c r="I3659" t="str">
        <f>("24/06/2025")</f>
        <v>24/06/2025</v>
      </c>
      <c r="J3659" t="str">
        <f t="shared" si="1755"/>
        <v>07/07/2025</v>
      </c>
      <c r="M3659">
        <v>303</v>
      </c>
      <c r="N3659" t="str">
        <f>"RECEITAS COM ENTREGAS"</f>
        <v>RECEITAS COM ENTREGAS</v>
      </c>
      <c r="P3659">
        <v>596.6</v>
      </c>
      <c r="Q3659" t="str">
        <f>"PAGMENOS - LJ 657 (10136)"</f>
        <v>PAGMENOS - LJ 657 (10136)</v>
      </c>
      <c r="R3659" t="str">
        <f>"RECEITAS COM ENTREGAS (303)"</f>
        <v>RECEITAS COM ENTREGAS (303)</v>
      </c>
      <c r="S3659">
        <v>2009</v>
      </c>
      <c r="T3659">
        <v>1437</v>
      </c>
      <c r="U3659" t="s">
        <v>19</v>
      </c>
    </row>
    <row r="3660" spans="1:21">
      <c r="A3660" t="str">
        <f t="shared" si="1754"/>
        <v>07/07/2025</v>
      </c>
      <c r="B3660" t="str">
        <f t="shared" ref="B3660:B3665" si="1757">"SAÍDA"</f>
        <v>SAÍDA</v>
      </c>
      <c r="C3660" t="str">
        <f>"BOLETO"</f>
        <v>BOLETO</v>
      </c>
      <c r="D3660" t="str">
        <f>"005800426197"</f>
        <v>005800426197</v>
      </c>
      <c r="E3660" t="str">
        <f t="shared" si="1738"/>
        <v>COM</v>
      </c>
      <c r="F3660" t="str">
        <f>"SUL AMERICA COMPANHIA DE SEGURO SAUDE (20080)"</f>
        <v>SUL AMERICA COMPANHIA DE SEGURO SAUDE (20080)</v>
      </c>
      <c r="G3660" t="str">
        <f>"CONVENIO MEDICO SOCIOS E DEPENDENTES"</f>
        <v>CONVENIO MEDICO SOCIOS E DEPENDENTES</v>
      </c>
      <c r="H3660" t="str">
        <f>("07/07/2025")</f>
        <v>07/07/2025</v>
      </c>
      <c r="I3660" t="str">
        <f>("31/03/2025")</f>
        <v>31/03/2025</v>
      </c>
      <c r="J3660" t="str">
        <f t="shared" si="1755"/>
        <v>07/07/2025</v>
      </c>
      <c r="K3660">
        <v>3406.19</v>
      </c>
      <c r="L3660">
        <v>3406.19</v>
      </c>
      <c r="M3660">
        <v>192</v>
      </c>
      <c r="N3660" t="str">
        <f>"PLANOS E SEGUROS"</f>
        <v>PLANOS E SEGUROS</v>
      </c>
      <c r="O3660">
        <v>3406.19</v>
      </c>
      <c r="R3660" t="str">
        <f t="shared" ref="R3660:R3665" si="1758">"BANCO CORA (102)"</f>
        <v>BANCO CORA (102)</v>
      </c>
      <c r="S3660">
        <v>2044</v>
      </c>
      <c r="T3660">
        <v>1039</v>
      </c>
      <c r="U3660" t="s">
        <v>19</v>
      </c>
    </row>
    <row r="3661" spans="1:21">
      <c r="A3661" t="str">
        <f t="shared" si="1754"/>
        <v>07/07/2025</v>
      </c>
      <c r="B3661" t="str">
        <f t="shared" si="1757"/>
        <v>SAÍDA</v>
      </c>
      <c r="C3661" t="str">
        <f>"BOLETO"</f>
        <v>BOLETO</v>
      </c>
      <c r="D3661" t="str">
        <f>"005800426197"</f>
        <v>005800426197</v>
      </c>
      <c r="E3661" t="str">
        <f t="shared" si="1738"/>
        <v>COM</v>
      </c>
      <c r="F3661" t="str">
        <f>"SUL AMERICA COMPANHIA DE SEGURO SAUDE (20080)"</f>
        <v>SUL AMERICA COMPANHIA DE SEGURO SAUDE (20080)</v>
      </c>
      <c r="G3661" t="str">
        <f>"CONVENIO MEDICO SOCIOS E DEPENDENTES"</f>
        <v>CONVENIO MEDICO SOCIOS E DEPENDENTES</v>
      </c>
      <c r="H3661" t="str">
        <f>("07/07/2025")</f>
        <v>07/07/2025</v>
      </c>
      <c r="I3661" t="str">
        <f>("31/03/2025")</f>
        <v>31/03/2025</v>
      </c>
      <c r="J3661" t="str">
        <f t="shared" si="1755"/>
        <v>07/07/2025</v>
      </c>
      <c r="M3661">
        <v>192</v>
      </c>
      <c r="N3661" t="str">
        <f>"PLANOS E SEGUROS"</f>
        <v>PLANOS E SEGUROS</v>
      </c>
      <c r="P3661">
        <v>3406.19</v>
      </c>
      <c r="Q3661" t="str">
        <f>"SUL AMERICA COMPANHIA DE SEGURO SAUDE (20080)"</f>
        <v>SUL AMERICA COMPANHIA DE SEGURO SAUDE (20080)</v>
      </c>
      <c r="R3661" t="str">
        <f t="shared" si="1758"/>
        <v>BANCO CORA (102)</v>
      </c>
      <c r="S3661">
        <v>2044</v>
      </c>
      <c r="T3661">
        <v>1039</v>
      </c>
      <c r="U3661" t="s">
        <v>19</v>
      </c>
    </row>
    <row r="3662" spans="1:21">
      <c r="A3662" t="str">
        <f>("08/07/2025")</f>
        <v>08/07/2025</v>
      </c>
      <c r="B3662" t="str">
        <f t="shared" si="1757"/>
        <v>SAÍDA</v>
      </c>
      <c r="C3662" t="str">
        <f>"PIX"</f>
        <v>PIX</v>
      </c>
      <c r="D3662" t="str">
        <f>"0807255000"</f>
        <v>0807255000</v>
      </c>
      <c r="E3662" t="str">
        <f t="shared" si="1738"/>
        <v>COM</v>
      </c>
      <c r="F3662" t="str">
        <f>"MARCELO REZENDE ARANTES (20014)"</f>
        <v>MARCELO REZENDE ARANTES (20014)</v>
      </c>
      <c r="G3662" t="str">
        <f>"DISTRIBUICAO DE LUCROS"</f>
        <v>DISTRIBUICAO DE LUCROS</v>
      </c>
      <c r="H3662" t="str">
        <f t="shared" ref="H3662:J3663" si="1759">("08/07/2025")</f>
        <v>08/07/2025</v>
      </c>
      <c r="I3662" t="str">
        <f t="shared" si="1759"/>
        <v>08/07/2025</v>
      </c>
      <c r="J3662" t="str">
        <f t="shared" si="1759"/>
        <v>08/07/2025</v>
      </c>
      <c r="K3662">
        <v>5000</v>
      </c>
      <c r="L3662">
        <v>5000</v>
      </c>
      <c r="M3662">
        <v>125</v>
      </c>
      <c r="N3662" t="str">
        <f>"DISTRIBUIÇÃO DE LUCRO"</f>
        <v>DISTRIBUIÇÃO DE LUCRO</v>
      </c>
      <c r="O3662">
        <v>5000</v>
      </c>
      <c r="R3662" t="str">
        <f t="shared" si="1758"/>
        <v>BANCO CORA (102)</v>
      </c>
      <c r="S3662">
        <v>2043</v>
      </c>
      <c r="T3662">
        <v>1592</v>
      </c>
      <c r="U3662" t="s">
        <v>19</v>
      </c>
    </row>
    <row r="3663" spans="1:21">
      <c r="A3663" t="str">
        <f>("08/07/2025")</f>
        <v>08/07/2025</v>
      </c>
      <c r="B3663" t="str">
        <f t="shared" si="1757"/>
        <v>SAÍDA</v>
      </c>
      <c r="C3663" t="str">
        <f>"PIX"</f>
        <v>PIX</v>
      </c>
      <c r="D3663" t="str">
        <f>"0807255000"</f>
        <v>0807255000</v>
      </c>
      <c r="E3663" t="str">
        <f t="shared" si="1738"/>
        <v>COM</v>
      </c>
      <c r="F3663" t="str">
        <f>"MARCELO REZENDE ARANTES (20014)"</f>
        <v>MARCELO REZENDE ARANTES (20014)</v>
      </c>
      <c r="G3663" t="str">
        <f>"DISTRIBUICAO DE LUCROS"</f>
        <v>DISTRIBUICAO DE LUCROS</v>
      </c>
      <c r="H3663" t="str">
        <f t="shared" si="1759"/>
        <v>08/07/2025</v>
      </c>
      <c r="I3663" t="str">
        <f t="shared" si="1759"/>
        <v>08/07/2025</v>
      </c>
      <c r="J3663" t="str">
        <f t="shared" si="1759"/>
        <v>08/07/2025</v>
      </c>
      <c r="M3663">
        <v>125</v>
      </c>
      <c r="N3663" t="str">
        <f>"DISTRIBUIÇÃO DE LUCRO"</f>
        <v>DISTRIBUIÇÃO DE LUCRO</v>
      </c>
      <c r="P3663">
        <v>5000</v>
      </c>
      <c r="Q3663" t="str">
        <f>"MARCELO REZENDE ARANTES (20014)"</f>
        <v>MARCELO REZENDE ARANTES (20014)</v>
      </c>
      <c r="R3663" t="str">
        <f t="shared" si="1758"/>
        <v>BANCO CORA (102)</v>
      </c>
      <c r="S3663">
        <v>2043</v>
      </c>
      <c r="T3663">
        <v>1592</v>
      </c>
      <c r="U3663" t="s">
        <v>19</v>
      </c>
    </row>
    <row r="3664" spans="1:21">
      <c r="A3664" t="str">
        <f>("08/07/2025")</f>
        <v>08/07/2025</v>
      </c>
      <c r="B3664" t="str">
        <f t="shared" si="1757"/>
        <v>SAÍDA</v>
      </c>
      <c r="C3664" t="str">
        <f>"BOLETO"</f>
        <v>BOLETO</v>
      </c>
      <c r="D3664" t="str">
        <f>"01"</f>
        <v>01</v>
      </c>
      <c r="E3664" t="str">
        <f t="shared" si="1738"/>
        <v>COM</v>
      </c>
      <c r="F3664" t="str">
        <f>"BANCO DO BRASIL (20001)"</f>
        <v>BANCO DO BRASIL (20001)</v>
      </c>
      <c r="G3664" t="str">
        <f>"EMPRESTIMO FUI TECNOLOGIA"</f>
        <v>EMPRESTIMO FUI TECNOLOGIA</v>
      </c>
      <c r="H3664" t="str">
        <f>("08/07/2025")</f>
        <v>08/07/2025</v>
      </c>
      <c r="I3664" t="str">
        <f>("23/07/2024")</f>
        <v>23/07/2024</v>
      </c>
      <c r="J3664" t="str">
        <f>("08/07/2025")</f>
        <v>08/07/2025</v>
      </c>
      <c r="K3664">
        <v>511.31</v>
      </c>
      <c r="L3664">
        <v>511.31</v>
      </c>
      <c r="M3664">
        <v>114</v>
      </c>
      <c r="N3664" t="str">
        <f>"EMPRESTIMOS"</f>
        <v>EMPRESTIMOS</v>
      </c>
      <c r="O3664">
        <v>511.31</v>
      </c>
      <c r="R3664" t="str">
        <f t="shared" si="1758"/>
        <v>BANCO CORA (102)</v>
      </c>
      <c r="S3664">
        <v>2045</v>
      </c>
      <c r="T3664">
        <v>76</v>
      </c>
      <c r="U3664" t="s">
        <v>19</v>
      </c>
    </row>
    <row r="3665" spans="1:21">
      <c r="A3665" t="str">
        <f>("08/07/2025")</f>
        <v>08/07/2025</v>
      </c>
      <c r="B3665" t="str">
        <f t="shared" si="1757"/>
        <v>SAÍDA</v>
      </c>
      <c r="C3665" t="str">
        <f>"BOLETO"</f>
        <v>BOLETO</v>
      </c>
      <c r="D3665" t="str">
        <f>"01"</f>
        <v>01</v>
      </c>
      <c r="E3665" t="str">
        <f t="shared" si="1738"/>
        <v>COM</v>
      </c>
      <c r="F3665" t="str">
        <f>"BANCO DO BRASIL (20001)"</f>
        <v>BANCO DO BRASIL (20001)</v>
      </c>
      <c r="G3665" t="str">
        <f>"EMPRESTIMO FUI TECNOLOGIA"</f>
        <v>EMPRESTIMO FUI TECNOLOGIA</v>
      </c>
      <c r="H3665" t="str">
        <f>("08/07/2025")</f>
        <v>08/07/2025</v>
      </c>
      <c r="I3665" t="str">
        <f>("23/07/2024")</f>
        <v>23/07/2024</v>
      </c>
      <c r="J3665" t="str">
        <f>("08/07/2025")</f>
        <v>08/07/2025</v>
      </c>
      <c r="M3665">
        <v>114</v>
      </c>
      <c r="N3665" t="str">
        <f>"EMPRESTIMOS"</f>
        <v>EMPRESTIMOS</v>
      </c>
      <c r="P3665">
        <v>511.31</v>
      </c>
      <c r="Q3665" t="str">
        <f>"BANCO DO BRASIL (20001)"</f>
        <v>BANCO DO BRASIL (20001)</v>
      </c>
      <c r="R3665" t="str">
        <f t="shared" si="1758"/>
        <v>BANCO CORA (102)</v>
      </c>
      <c r="S3665">
        <v>2045</v>
      </c>
      <c r="T3665">
        <v>76</v>
      </c>
      <c r="U3665" t="s">
        <v>19</v>
      </c>
    </row>
    <row r="3666" spans="1:21">
      <c r="A3666" t="str">
        <f t="shared" ref="A3666:A3697" si="1760">("09/07/2025")</f>
        <v>09/07/2025</v>
      </c>
      <c r="B3666" t="str">
        <f>"ENTRADA"</f>
        <v>ENTRADA</v>
      </c>
      <c r="C3666" t="str">
        <f t="shared" ref="C3666:C3697" si="1761">"NFSE"</f>
        <v>NFSE</v>
      </c>
      <c r="D3666" t="str">
        <f t="shared" ref="D3666:D3677" si="1762">"3183"</f>
        <v>3183</v>
      </c>
      <c r="E3666" t="str">
        <f t="shared" si="1738"/>
        <v>COM</v>
      </c>
      <c r="F3666" t="str">
        <f t="shared" ref="F3666:F3677" si="1763">"FARMÁCIA INDIANA LJ 30 (10127)"</f>
        <v>FARMÁCIA INDIANA LJ 30 (10127)</v>
      </c>
      <c r="G3666" t="str">
        <f t="shared" ref="G3666:G3677" si="1764">"Serv.Prest. 23/06/2025 a 29/06/2025 - RPS: 952 - NFSe: 3183"</f>
        <v>Serv.Prest. 23/06/2025 a 29/06/2025 - RPS: 952 - NFSe: 3183</v>
      </c>
      <c r="H3666" t="str">
        <f t="shared" ref="H3666:H3697" si="1765">("09/07/2025")</f>
        <v>09/07/2025</v>
      </c>
      <c r="I3666" t="str">
        <f t="shared" ref="I3666:I3697" si="1766">("01/07/2025")</f>
        <v>01/07/2025</v>
      </c>
      <c r="J3666" t="str">
        <f t="shared" ref="J3666:J3697" si="1767">("09/07/2025")</f>
        <v>09/07/2025</v>
      </c>
      <c r="K3666">
        <v>2732.21</v>
      </c>
      <c r="L3666">
        <v>2732.21</v>
      </c>
      <c r="M3666">
        <v>303</v>
      </c>
      <c r="N3666" t="str">
        <f t="shared" ref="N3666:N3697" si="1768">"RECEITAS COM ENTREGAS"</f>
        <v>RECEITAS COM ENTREGAS</v>
      </c>
      <c r="O3666">
        <v>2732.21</v>
      </c>
      <c r="R3666" t="str">
        <f t="shared" ref="R3666:R3697" si="1769">"RECEITAS COM ENTREGAS (303)"</f>
        <v>RECEITAS COM ENTREGAS (303)</v>
      </c>
      <c r="S3666">
        <v>2010</v>
      </c>
      <c r="T3666">
        <v>1515</v>
      </c>
      <c r="U3666" t="s">
        <v>19</v>
      </c>
    </row>
    <row r="3667" spans="1:21">
      <c r="A3667" t="str">
        <f t="shared" si="1760"/>
        <v>09/07/2025</v>
      </c>
      <c r="B3667" t="str">
        <f t="shared" ref="B3667:B3730" si="1770">"ENTRADA"</f>
        <v>ENTRADA</v>
      </c>
      <c r="C3667" t="str">
        <f t="shared" si="1761"/>
        <v>NFSE</v>
      </c>
      <c r="D3667" t="str">
        <f t="shared" si="1762"/>
        <v>3183</v>
      </c>
      <c r="E3667" t="str">
        <f t="shared" si="1738"/>
        <v>COM</v>
      </c>
      <c r="F3667" t="str">
        <f t="shared" si="1763"/>
        <v>FARMÁCIA INDIANA LJ 30 (10127)</v>
      </c>
      <c r="G3667" t="str">
        <f t="shared" si="1764"/>
        <v>Serv.Prest. 23/06/2025 a 29/06/2025 - RPS: 952 - NFSe: 3183</v>
      </c>
      <c r="H3667" t="str">
        <f t="shared" si="1765"/>
        <v>09/07/2025</v>
      </c>
      <c r="I3667" t="str">
        <f t="shared" si="1766"/>
        <v>01/07/2025</v>
      </c>
      <c r="J3667" t="str">
        <f t="shared" si="1767"/>
        <v>09/07/2025</v>
      </c>
      <c r="M3667">
        <v>303</v>
      </c>
      <c r="N3667" t="str">
        <f t="shared" si="1768"/>
        <v>RECEITAS COM ENTREGAS</v>
      </c>
      <c r="P3667">
        <v>303.29000000000002</v>
      </c>
      <c r="Q3667" t="str">
        <f>"FARMÁCIA INDIANA LJ 34 (10014)"</f>
        <v>FARMÁCIA INDIANA LJ 34 (10014)</v>
      </c>
      <c r="R3667" t="str">
        <f t="shared" si="1769"/>
        <v>RECEITAS COM ENTREGAS (303)</v>
      </c>
      <c r="S3667">
        <v>2010</v>
      </c>
      <c r="T3667">
        <v>1515</v>
      </c>
      <c r="U3667" t="s">
        <v>19</v>
      </c>
    </row>
    <row r="3668" spans="1:21">
      <c r="A3668" t="str">
        <f t="shared" si="1760"/>
        <v>09/07/2025</v>
      </c>
      <c r="B3668" t="str">
        <f t="shared" si="1770"/>
        <v>ENTRADA</v>
      </c>
      <c r="C3668" t="str">
        <f t="shared" si="1761"/>
        <v>NFSE</v>
      </c>
      <c r="D3668" t="str">
        <f t="shared" si="1762"/>
        <v>3183</v>
      </c>
      <c r="E3668" t="str">
        <f t="shared" si="1738"/>
        <v>COM</v>
      </c>
      <c r="F3668" t="str">
        <f t="shared" si="1763"/>
        <v>FARMÁCIA INDIANA LJ 30 (10127)</v>
      </c>
      <c r="G3668" t="str">
        <f t="shared" si="1764"/>
        <v>Serv.Prest. 23/06/2025 a 29/06/2025 - RPS: 952 - NFSe: 3183</v>
      </c>
      <c r="H3668" t="str">
        <f t="shared" si="1765"/>
        <v>09/07/2025</v>
      </c>
      <c r="I3668" t="str">
        <f t="shared" si="1766"/>
        <v>01/07/2025</v>
      </c>
      <c r="J3668" t="str">
        <f t="shared" si="1767"/>
        <v>09/07/2025</v>
      </c>
      <c r="M3668">
        <v>303</v>
      </c>
      <c r="N3668" t="str">
        <f t="shared" si="1768"/>
        <v>RECEITAS COM ENTREGAS</v>
      </c>
      <c r="P3668">
        <v>224.04</v>
      </c>
      <c r="Q3668" t="str">
        <f>"FARMÁCIA INDIANA LJ 35 (10015)"</f>
        <v>FARMÁCIA INDIANA LJ 35 (10015)</v>
      </c>
      <c r="R3668" t="str">
        <f t="shared" si="1769"/>
        <v>RECEITAS COM ENTREGAS (303)</v>
      </c>
      <c r="S3668">
        <v>2010</v>
      </c>
      <c r="T3668">
        <v>1515</v>
      </c>
      <c r="U3668" t="s">
        <v>19</v>
      </c>
    </row>
    <row r="3669" spans="1:21">
      <c r="A3669" t="str">
        <f t="shared" si="1760"/>
        <v>09/07/2025</v>
      </c>
      <c r="B3669" t="str">
        <f t="shared" si="1770"/>
        <v>ENTRADA</v>
      </c>
      <c r="C3669" t="str">
        <f t="shared" si="1761"/>
        <v>NFSE</v>
      </c>
      <c r="D3669" t="str">
        <f t="shared" si="1762"/>
        <v>3183</v>
      </c>
      <c r="E3669" t="str">
        <f t="shared" si="1738"/>
        <v>COM</v>
      </c>
      <c r="F3669" t="str">
        <f t="shared" si="1763"/>
        <v>FARMÁCIA INDIANA LJ 30 (10127)</v>
      </c>
      <c r="G3669" t="str">
        <f t="shared" si="1764"/>
        <v>Serv.Prest. 23/06/2025 a 29/06/2025 - RPS: 952 - NFSe: 3183</v>
      </c>
      <c r="H3669" t="str">
        <f t="shared" si="1765"/>
        <v>09/07/2025</v>
      </c>
      <c r="I3669" t="str">
        <f t="shared" si="1766"/>
        <v>01/07/2025</v>
      </c>
      <c r="J3669" t="str">
        <f t="shared" si="1767"/>
        <v>09/07/2025</v>
      </c>
      <c r="M3669">
        <v>303</v>
      </c>
      <c r="N3669" t="str">
        <f t="shared" si="1768"/>
        <v>RECEITAS COM ENTREGAS</v>
      </c>
      <c r="P3669">
        <v>290.98</v>
      </c>
      <c r="Q3669" t="str">
        <f>"FARMÁCIA INDIANA LJ 48 (10018)"</f>
        <v>FARMÁCIA INDIANA LJ 48 (10018)</v>
      </c>
      <c r="R3669" t="str">
        <f t="shared" si="1769"/>
        <v>RECEITAS COM ENTREGAS (303)</v>
      </c>
      <c r="S3669">
        <v>2010</v>
      </c>
      <c r="T3669">
        <v>1515</v>
      </c>
      <c r="U3669" t="s">
        <v>19</v>
      </c>
    </row>
    <row r="3670" spans="1:21">
      <c r="A3670" t="str">
        <f t="shared" si="1760"/>
        <v>09/07/2025</v>
      </c>
      <c r="B3670" t="str">
        <f t="shared" si="1770"/>
        <v>ENTRADA</v>
      </c>
      <c r="C3670" t="str">
        <f t="shared" si="1761"/>
        <v>NFSE</v>
      </c>
      <c r="D3670" t="str">
        <f t="shared" si="1762"/>
        <v>3183</v>
      </c>
      <c r="E3670" t="str">
        <f t="shared" si="1738"/>
        <v>COM</v>
      </c>
      <c r="F3670" t="str">
        <f t="shared" si="1763"/>
        <v>FARMÁCIA INDIANA LJ 30 (10127)</v>
      </c>
      <c r="G3670" t="str">
        <f t="shared" si="1764"/>
        <v>Serv.Prest. 23/06/2025 a 29/06/2025 - RPS: 952 - NFSe: 3183</v>
      </c>
      <c r="H3670" t="str">
        <f t="shared" si="1765"/>
        <v>09/07/2025</v>
      </c>
      <c r="I3670" t="str">
        <f t="shared" si="1766"/>
        <v>01/07/2025</v>
      </c>
      <c r="J3670" t="str">
        <f t="shared" si="1767"/>
        <v>09/07/2025</v>
      </c>
      <c r="M3670">
        <v>303</v>
      </c>
      <c r="N3670" t="str">
        <f t="shared" si="1768"/>
        <v>RECEITAS COM ENTREGAS</v>
      </c>
      <c r="P3670">
        <v>383.6</v>
      </c>
      <c r="Q3670" t="str">
        <f>"FARMÁCIA INDIANA LJ 65 (10030)"</f>
        <v>FARMÁCIA INDIANA LJ 65 (10030)</v>
      </c>
      <c r="R3670" t="str">
        <f t="shared" si="1769"/>
        <v>RECEITAS COM ENTREGAS (303)</v>
      </c>
      <c r="S3670">
        <v>2010</v>
      </c>
      <c r="T3670">
        <v>1515</v>
      </c>
      <c r="U3670" t="s">
        <v>19</v>
      </c>
    </row>
    <row r="3671" spans="1:21">
      <c r="A3671" t="str">
        <f t="shared" si="1760"/>
        <v>09/07/2025</v>
      </c>
      <c r="B3671" t="str">
        <f t="shared" si="1770"/>
        <v>ENTRADA</v>
      </c>
      <c r="C3671" t="str">
        <f t="shared" si="1761"/>
        <v>NFSE</v>
      </c>
      <c r="D3671" t="str">
        <f t="shared" si="1762"/>
        <v>3183</v>
      </c>
      <c r="E3671" t="str">
        <f t="shared" si="1738"/>
        <v>COM</v>
      </c>
      <c r="F3671" t="str">
        <f t="shared" si="1763"/>
        <v>FARMÁCIA INDIANA LJ 30 (10127)</v>
      </c>
      <c r="G3671" t="str">
        <f t="shared" si="1764"/>
        <v>Serv.Prest. 23/06/2025 a 29/06/2025 - RPS: 952 - NFSe: 3183</v>
      </c>
      <c r="H3671" t="str">
        <f t="shared" si="1765"/>
        <v>09/07/2025</v>
      </c>
      <c r="I3671" t="str">
        <f t="shared" si="1766"/>
        <v>01/07/2025</v>
      </c>
      <c r="J3671" t="str">
        <f t="shared" si="1767"/>
        <v>09/07/2025</v>
      </c>
      <c r="M3671">
        <v>303</v>
      </c>
      <c r="N3671" t="str">
        <f t="shared" si="1768"/>
        <v>RECEITAS COM ENTREGAS</v>
      </c>
      <c r="P3671">
        <v>128.41</v>
      </c>
      <c r="Q3671" t="str">
        <f>"FARMÁCIA INDIANA LJ 77 (10034)"</f>
        <v>FARMÁCIA INDIANA LJ 77 (10034)</v>
      </c>
      <c r="R3671" t="str">
        <f t="shared" si="1769"/>
        <v>RECEITAS COM ENTREGAS (303)</v>
      </c>
      <c r="S3671">
        <v>2010</v>
      </c>
      <c r="T3671">
        <v>1515</v>
      </c>
      <c r="U3671" t="s">
        <v>19</v>
      </c>
    </row>
    <row r="3672" spans="1:21">
      <c r="A3672" t="str">
        <f t="shared" si="1760"/>
        <v>09/07/2025</v>
      </c>
      <c r="B3672" t="str">
        <f t="shared" si="1770"/>
        <v>ENTRADA</v>
      </c>
      <c r="C3672" t="str">
        <f t="shared" si="1761"/>
        <v>NFSE</v>
      </c>
      <c r="D3672" t="str">
        <f t="shared" si="1762"/>
        <v>3183</v>
      </c>
      <c r="E3672" t="str">
        <f t="shared" si="1738"/>
        <v>COM</v>
      </c>
      <c r="F3672" t="str">
        <f t="shared" si="1763"/>
        <v>FARMÁCIA INDIANA LJ 30 (10127)</v>
      </c>
      <c r="G3672" t="str">
        <f t="shared" si="1764"/>
        <v>Serv.Prest. 23/06/2025 a 29/06/2025 - RPS: 952 - NFSe: 3183</v>
      </c>
      <c r="H3672" t="str">
        <f t="shared" si="1765"/>
        <v>09/07/2025</v>
      </c>
      <c r="I3672" t="str">
        <f t="shared" si="1766"/>
        <v>01/07/2025</v>
      </c>
      <c r="J3672" t="str">
        <f t="shared" si="1767"/>
        <v>09/07/2025</v>
      </c>
      <c r="M3672">
        <v>303</v>
      </c>
      <c r="N3672" t="str">
        <f t="shared" si="1768"/>
        <v>RECEITAS COM ENTREGAS</v>
      </c>
      <c r="P3672">
        <v>242.07</v>
      </c>
      <c r="Q3672" t="str">
        <f>"FARMÁCIA INDIANA LJ 91 (10037)"</f>
        <v>FARMÁCIA INDIANA LJ 91 (10037)</v>
      </c>
      <c r="R3672" t="str">
        <f t="shared" si="1769"/>
        <v>RECEITAS COM ENTREGAS (303)</v>
      </c>
      <c r="S3672">
        <v>2010</v>
      </c>
      <c r="T3672">
        <v>1515</v>
      </c>
      <c r="U3672" t="s">
        <v>19</v>
      </c>
    </row>
    <row r="3673" spans="1:21">
      <c r="A3673" t="str">
        <f t="shared" si="1760"/>
        <v>09/07/2025</v>
      </c>
      <c r="B3673" t="str">
        <f t="shared" si="1770"/>
        <v>ENTRADA</v>
      </c>
      <c r="C3673" t="str">
        <f t="shared" si="1761"/>
        <v>NFSE</v>
      </c>
      <c r="D3673" t="str">
        <f t="shared" si="1762"/>
        <v>3183</v>
      </c>
      <c r="E3673" t="str">
        <f t="shared" si="1738"/>
        <v>COM</v>
      </c>
      <c r="F3673" t="str">
        <f t="shared" si="1763"/>
        <v>FARMÁCIA INDIANA LJ 30 (10127)</v>
      </c>
      <c r="G3673" t="str">
        <f t="shared" si="1764"/>
        <v>Serv.Prest. 23/06/2025 a 29/06/2025 - RPS: 952 - NFSe: 3183</v>
      </c>
      <c r="H3673" t="str">
        <f t="shared" si="1765"/>
        <v>09/07/2025</v>
      </c>
      <c r="I3673" t="str">
        <f t="shared" si="1766"/>
        <v>01/07/2025</v>
      </c>
      <c r="J3673" t="str">
        <f t="shared" si="1767"/>
        <v>09/07/2025</v>
      </c>
      <c r="M3673">
        <v>303</v>
      </c>
      <c r="N3673" t="str">
        <f t="shared" si="1768"/>
        <v>RECEITAS COM ENTREGAS</v>
      </c>
      <c r="P3673">
        <v>330.87</v>
      </c>
      <c r="Q3673" t="str">
        <f>"FARMÁCIA INDIANA LJ 95 (10039)"</f>
        <v>FARMÁCIA INDIANA LJ 95 (10039)</v>
      </c>
      <c r="R3673" t="str">
        <f t="shared" si="1769"/>
        <v>RECEITAS COM ENTREGAS (303)</v>
      </c>
      <c r="S3673">
        <v>2010</v>
      </c>
      <c r="T3673">
        <v>1515</v>
      </c>
      <c r="U3673" t="s">
        <v>19</v>
      </c>
    </row>
    <row r="3674" spans="1:21">
      <c r="A3674" t="str">
        <f t="shared" si="1760"/>
        <v>09/07/2025</v>
      </c>
      <c r="B3674" t="str">
        <f t="shared" si="1770"/>
        <v>ENTRADA</v>
      </c>
      <c r="C3674" t="str">
        <f t="shared" si="1761"/>
        <v>NFSE</v>
      </c>
      <c r="D3674" t="str">
        <f t="shared" si="1762"/>
        <v>3183</v>
      </c>
      <c r="E3674" t="str">
        <f t="shared" si="1738"/>
        <v>COM</v>
      </c>
      <c r="F3674" t="str">
        <f t="shared" si="1763"/>
        <v>FARMÁCIA INDIANA LJ 30 (10127)</v>
      </c>
      <c r="G3674" t="str">
        <f t="shared" si="1764"/>
        <v>Serv.Prest. 23/06/2025 a 29/06/2025 - RPS: 952 - NFSe: 3183</v>
      </c>
      <c r="H3674" t="str">
        <f t="shared" si="1765"/>
        <v>09/07/2025</v>
      </c>
      <c r="I3674" t="str">
        <f t="shared" si="1766"/>
        <v>01/07/2025</v>
      </c>
      <c r="J3674" t="str">
        <f t="shared" si="1767"/>
        <v>09/07/2025</v>
      </c>
      <c r="M3674">
        <v>303</v>
      </c>
      <c r="N3674" t="str">
        <f t="shared" si="1768"/>
        <v>RECEITAS COM ENTREGAS</v>
      </c>
      <c r="P3674">
        <v>280.87</v>
      </c>
      <c r="Q3674" t="str">
        <f>"FARMÁCIA INDIANA LJ 145 (10068)"</f>
        <v>FARMÁCIA INDIANA LJ 145 (10068)</v>
      </c>
      <c r="R3674" t="str">
        <f t="shared" si="1769"/>
        <v>RECEITAS COM ENTREGAS (303)</v>
      </c>
      <c r="S3674">
        <v>2010</v>
      </c>
      <c r="T3674">
        <v>1515</v>
      </c>
      <c r="U3674" t="s">
        <v>19</v>
      </c>
    </row>
    <row r="3675" spans="1:21">
      <c r="A3675" t="str">
        <f t="shared" si="1760"/>
        <v>09/07/2025</v>
      </c>
      <c r="B3675" t="str">
        <f t="shared" si="1770"/>
        <v>ENTRADA</v>
      </c>
      <c r="C3675" t="str">
        <f t="shared" si="1761"/>
        <v>NFSE</v>
      </c>
      <c r="D3675" t="str">
        <f t="shared" si="1762"/>
        <v>3183</v>
      </c>
      <c r="E3675" t="str">
        <f t="shared" si="1738"/>
        <v>COM</v>
      </c>
      <c r="F3675" t="str">
        <f t="shared" si="1763"/>
        <v>FARMÁCIA INDIANA LJ 30 (10127)</v>
      </c>
      <c r="G3675" t="str">
        <f t="shared" si="1764"/>
        <v>Serv.Prest. 23/06/2025 a 29/06/2025 - RPS: 952 - NFSe: 3183</v>
      </c>
      <c r="H3675" t="str">
        <f t="shared" si="1765"/>
        <v>09/07/2025</v>
      </c>
      <c r="I3675" t="str">
        <f t="shared" si="1766"/>
        <v>01/07/2025</v>
      </c>
      <c r="J3675" t="str">
        <f t="shared" si="1767"/>
        <v>09/07/2025</v>
      </c>
      <c r="M3675">
        <v>303</v>
      </c>
      <c r="N3675" t="str">
        <f t="shared" si="1768"/>
        <v>RECEITAS COM ENTREGAS</v>
      </c>
      <c r="P3675">
        <v>184.15</v>
      </c>
      <c r="Q3675" t="str">
        <f>"FARMÁCIA INDIANA LJ 169 (10073)"</f>
        <v>FARMÁCIA INDIANA LJ 169 (10073)</v>
      </c>
      <c r="R3675" t="str">
        <f t="shared" si="1769"/>
        <v>RECEITAS COM ENTREGAS (303)</v>
      </c>
      <c r="S3675">
        <v>2010</v>
      </c>
      <c r="T3675">
        <v>1515</v>
      </c>
      <c r="U3675" t="s">
        <v>19</v>
      </c>
    </row>
    <row r="3676" spans="1:21">
      <c r="A3676" t="str">
        <f t="shared" si="1760"/>
        <v>09/07/2025</v>
      </c>
      <c r="B3676" t="str">
        <f t="shared" si="1770"/>
        <v>ENTRADA</v>
      </c>
      <c r="C3676" t="str">
        <f t="shared" si="1761"/>
        <v>NFSE</v>
      </c>
      <c r="D3676" t="str">
        <f t="shared" si="1762"/>
        <v>3183</v>
      </c>
      <c r="E3676" t="str">
        <f t="shared" si="1738"/>
        <v>COM</v>
      </c>
      <c r="F3676" t="str">
        <f t="shared" si="1763"/>
        <v>FARMÁCIA INDIANA LJ 30 (10127)</v>
      </c>
      <c r="G3676" t="str">
        <f t="shared" si="1764"/>
        <v>Serv.Prest. 23/06/2025 a 29/06/2025 - RPS: 952 - NFSe: 3183</v>
      </c>
      <c r="H3676" t="str">
        <f t="shared" si="1765"/>
        <v>09/07/2025</v>
      </c>
      <c r="I3676" t="str">
        <f t="shared" si="1766"/>
        <v>01/07/2025</v>
      </c>
      <c r="J3676" t="str">
        <f t="shared" si="1767"/>
        <v>09/07/2025</v>
      </c>
      <c r="M3676">
        <v>303</v>
      </c>
      <c r="N3676" t="str">
        <f t="shared" si="1768"/>
        <v>RECEITAS COM ENTREGAS</v>
      </c>
      <c r="P3676">
        <v>191.8</v>
      </c>
      <c r="Q3676" t="str">
        <f>"FARMÁCIA INDIANA LJ 173 (10075)"</f>
        <v>FARMÁCIA INDIANA LJ 173 (10075)</v>
      </c>
      <c r="R3676" t="str">
        <f t="shared" si="1769"/>
        <v>RECEITAS COM ENTREGAS (303)</v>
      </c>
      <c r="S3676">
        <v>2010</v>
      </c>
      <c r="T3676">
        <v>1515</v>
      </c>
      <c r="U3676" t="s">
        <v>19</v>
      </c>
    </row>
    <row r="3677" spans="1:21">
      <c r="A3677" t="str">
        <f t="shared" si="1760"/>
        <v>09/07/2025</v>
      </c>
      <c r="B3677" t="str">
        <f t="shared" si="1770"/>
        <v>ENTRADA</v>
      </c>
      <c r="C3677" t="str">
        <f t="shared" si="1761"/>
        <v>NFSE</v>
      </c>
      <c r="D3677" t="str">
        <f t="shared" si="1762"/>
        <v>3183</v>
      </c>
      <c r="E3677" t="str">
        <f t="shared" si="1738"/>
        <v>COM</v>
      </c>
      <c r="F3677" t="str">
        <f t="shared" si="1763"/>
        <v>FARMÁCIA INDIANA LJ 30 (10127)</v>
      </c>
      <c r="G3677" t="str">
        <f t="shared" si="1764"/>
        <v>Serv.Prest. 23/06/2025 a 29/06/2025 - RPS: 952 - NFSe: 3183</v>
      </c>
      <c r="H3677" t="str">
        <f t="shared" si="1765"/>
        <v>09/07/2025</v>
      </c>
      <c r="I3677" t="str">
        <f t="shared" si="1766"/>
        <v>01/07/2025</v>
      </c>
      <c r="J3677" t="str">
        <f t="shared" si="1767"/>
        <v>09/07/2025</v>
      </c>
      <c r="M3677">
        <v>303</v>
      </c>
      <c r="N3677" t="str">
        <f t="shared" si="1768"/>
        <v>RECEITAS COM ENTREGAS</v>
      </c>
      <c r="P3677">
        <v>172.13</v>
      </c>
      <c r="Q3677" t="str">
        <f>"FARMÁCIA INDIANA LJ 200 (10155)"</f>
        <v>FARMÁCIA INDIANA LJ 200 (10155)</v>
      </c>
      <c r="R3677" t="str">
        <f t="shared" si="1769"/>
        <v>RECEITAS COM ENTREGAS (303)</v>
      </c>
      <c r="S3677">
        <v>2010</v>
      </c>
      <c r="T3677">
        <v>1515</v>
      </c>
      <c r="U3677" t="s">
        <v>19</v>
      </c>
    </row>
    <row r="3678" spans="1:21">
      <c r="A3678" t="str">
        <f t="shared" si="1760"/>
        <v>09/07/2025</v>
      </c>
      <c r="B3678" t="str">
        <f t="shared" si="1770"/>
        <v>ENTRADA</v>
      </c>
      <c r="C3678" t="str">
        <f t="shared" si="1761"/>
        <v>NFSE</v>
      </c>
      <c r="D3678" t="str">
        <f t="shared" ref="D3678:D3686" si="1771">"3184"</f>
        <v>3184</v>
      </c>
      <c r="E3678" t="str">
        <f t="shared" si="1738"/>
        <v>COM</v>
      </c>
      <c r="F3678" t="str">
        <f t="shared" ref="F3678:F3686" si="1772">"FARMÁCIA INDIANA LJ 85 (10128)"</f>
        <v>FARMÁCIA INDIANA LJ 85 (10128)</v>
      </c>
      <c r="G3678" t="str">
        <f t="shared" ref="G3678:G3686" si="1773">"Serv.Prest. 23/06/2025 a 29/06/2025 - RPS: 953 - NFSe: 3184"</f>
        <v>Serv.Prest. 23/06/2025 a 29/06/2025 - RPS: 953 - NFSe: 3184</v>
      </c>
      <c r="H3678" t="str">
        <f t="shared" si="1765"/>
        <v>09/07/2025</v>
      </c>
      <c r="I3678" t="str">
        <f t="shared" si="1766"/>
        <v>01/07/2025</v>
      </c>
      <c r="J3678" t="str">
        <f t="shared" si="1767"/>
        <v>09/07/2025</v>
      </c>
      <c r="K3678">
        <v>1284.97</v>
      </c>
      <c r="L3678">
        <v>1284.97</v>
      </c>
      <c r="M3678">
        <v>303</v>
      </c>
      <c r="N3678" t="str">
        <f t="shared" si="1768"/>
        <v>RECEITAS COM ENTREGAS</v>
      </c>
      <c r="O3678">
        <v>1284.97</v>
      </c>
      <c r="R3678" t="str">
        <f t="shared" si="1769"/>
        <v>RECEITAS COM ENTREGAS (303)</v>
      </c>
      <c r="S3678">
        <v>2011</v>
      </c>
      <c r="T3678">
        <v>1516</v>
      </c>
      <c r="U3678" t="s">
        <v>19</v>
      </c>
    </row>
    <row r="3679" spans="1:21">
      <c r="A3679" t="str">
        <f t="shared" si="1760"/>
        <v>09/07/2025</v>
      </c>
      <c r="B3679" t="str">
        <f t="shared" si="1770"/>
        <v>ENTRADA</v>
      </c>
      <c r="C3679" t="str">
        <f t="shared" si="1761"/>
        <v>NFSE</v>
      </c>
      <c r="D3679" t="str">
        <f t="shared" si="1771"/>
        <v>3184</v>
      </c>
      <c r="E3679" t="str">
        <f t="shared" si="1738"/>
        <v>COM</v>
      </c>
      <c r="F3679" t="str">
        <f t="shared" si="1772"/>
        <v>FARMÁCIA INDIANA LJ 85 (10128)</v>
      </c>
      <c r="G3679" t="str">
        <f t="shared" si="1773"/>
        <v>Serv.Prest. 23/06/2025 a 29/06/2025 - RPS: 953 - NFSe: 3184</v>
      </c>
      <c r="H3679" t="str">
        <f t="shared" si="1765"/>
        <v>09/07/2025</v>
      </c>
      <c r="I3679" t="str">
        <f t="shared" si="1766"/>
        <v>01/07/2025</v>
      </c>
      <c r="J3679" t="str">
        <f t="shared" si="1767"/>
        <v>09/07/2025</v>
      </c>
      <c r="M3679">
        <v>303</v>
      </c>
      <c r="N3679" t="str">
        <f t="shared" si="1768"/>
        <v>RECEITAS COM ENTREGAS</v>
      </c>
      <c r="P3679">
        <v>160.88999999999999</v>
      </c>
      <c r="Q3679" t="str">
        <f>"FARMÁCIA INDIANA LJ 119 (10053)"</f>
        <v>FARMÁCIA INDIANA LJ 119 (10053)</v>
      </c>
      <c r="R3679" t="str">
        <f t="shared" si="1769"/>
        <v>RECEITAS COM ENTREGAS (303)</v>
      </c>
      <c r="S3679">
        <v>2011</v>
      </c>
      <c r="T3679">
        <v>1516</v>
      </c>
      <c r="U3679" t="s">
        <v>19</v>
      </c>
    </row>
    <row r="3680" spans="1:21">
      <c r="A3680" t="str">
        <f t="shared" si="1760"/>
        <v>09/07/2025</v>
      </c>
      <c r="B3680" t="str">
        <f t="shared" si="1770"/>
        <v>ENTRADA</v>
      </c>
      <c r="C3680" t="str">
        <f t="shared" si="1761"/>
        <v>NFSE</v>
      </c>
      <c r="D3680" t="str">
        <f t="shared" si="1771"/>
        <v>3184</v>
      </c>
      <c r="E3680" t="str">
        <f t="shared" si="1738"/>
        <v>COM</v>
      </c>
      <c r="F3680" t="str">
        <f t="shared" si="1772"/>
        <v>FARMÁCIA INDIANA LJ 85 (10128)</v>
      </c>
      <c r="G3680" t="str">
        <f t="shared" si="1773"/>
        <v>Serv.Prest. 23/06/2025 a 29/06/2025 - RPS: 953 - NFSe: 3184</v>
      </c>
      <c r="H3680" t="str">
        <f t="shared" si="1765"/>
        <v>09/07/2025</v>
      </c>
      <c r="I3680" t="str">
        <f t="shared" si="1766"/>
        <v>01/07/2025</v>
      </c>
      <c r="J3680" t="str">
        <f t="shared" si="1767"/>
        <v>09/07/2025</v>
      </c>
      <c r="M3680">
        <v>303</v>
      </c>
      <c r="N3680" t="str">
        <f t="shared" si="1768"/>
        <v>RECEITAS COM ENTREGAS</v>
      </c>
      <c r="P3680">
        <v>191.97</v>
      </c>
      <c r="Q3680" t="str">
        <f>"FARMÁCIA INDIANA LJ 163 (10072)"</f>
        <v>FARMÁCIA INDIANA LJ 163 (10072)</v>
      </c>
      <c r="R3680" t="str">
        <f t="shared" si="1769"/>
        <v>RECEITAS COM ENTREGAS (303)</v>
      </c>
      <c r="S3680">
        <v>2011</v>
      </c>
      <c r="T3680">
        <v>1516</v>
      </c>
      <c r="U3680" t="s">
        <v>19</v>
      </c>
    </row>
    <row r="3681" spans="1:21">
      <c r="A3681" t="str">
        <f t="shared" si="1760"/>
        <v>09/07/2025</v>
      </c>
      <c r="B3681" t="str">
        <f t="shared" si="1770"/>
        <v>ENTRADA</v>
      </c>
      <c r="C3681" t="str">
        <f t="shared" si="1761"/>
        <v>NFSE</v>
      </c>
      <c r="D3681" t="str">
        <f t="shared" si="1771"/>
        <v>3184</v>
      </c>
      <c r="E3681" t="str">
        <f t="shared" si="1738"/>
        <v>COM</v>
      </c>
      <c r="F3681" t="str">
        <f t="shared" si="1772"/>
        <v>FARMÁCIA INDIANA LJ 85 (10128)</v>
      </c>
      <c r="G3681" t="str">
        <f t="shared" si="1773"/>
        <v>Serv.Prest. 23/06/2025 a 29/06/2025 - RPS: 953 - NFSe: 3184</v>
      </c>
      <c r="H3681" t="str">
        <f t="shared" si="1765"/>
        <v>09/07/2025</v>
      </c>
      <c r="I3681" t="str">
        <f t="shared" si="1766"/>
        <v>01/07/2025</v>
      </c>
      <c r="J3681" t="str">
        <f t="shared" si="1767"/>
        <v>09/07/2025</v>
      </c>
      <c r="M3681">
        <v>303</v>
      </c>
      <c r="N3681" t="str">
        <f t="shared" si="1768"/>
        <v>RECEITAS COM ENTREGAS</v>
      </c>
      <c r="P3681">
        <v>243.37</v>
      </c>
      <c r="Q3681" t="str">
        <f>"FARMÁCIA INDIANA LJ 181 (10078)"</f>
        <v>FARMÁCIA INDIANA LJ 181 (10078)</v>
      </c>
      <c r="R3681" t="str">
        <f t="shared" si="1769"/>
        <v>RECEITAS COM ENTREGAS (303)</v>
      </c>
      <c r="S3681">
        <v>2011</v>
      </c>
      <c r="T3681">
        <v>1516</v>
      </c>
      <c r="U3681" t="s">
        <v>19</v>
      </c>
    </row>
    <row r="3682" spans="1:21">
      <c r="A3682" t="str">
        <f t="shared" si="1760"/>
        <v>09/07/2025</v>
      </c>
      <c r="B3682" t="str">
        <f t="shared" si="1770"/>
        <v>ENTRADA</v>
      </c>
      <c r="C3682" t="str">
        <f t="shared" si="1761"/>
        <v>NFSE</v>
      </c>
      <c r="D3682" t="str">
        <f t="shared" si="1771"/>
        <v>3184</v>
      </c>
      <c r="E3682" t="str">
        <f t="shared" si="1738"/>
        <v>COM</v>
      </c>
      <c r="F3682" t="str">
        <f t="shared" si="1772"/>
        <v>FARMÁCIA INDIANA LJ 85 (10128)</v>
      </c>
      <c r="G3682" t="str">
        <f t="shared" si="1773"/>
        <v>Serv.Prest. 23/06/2025 a 29/06/2025 - RPS: 953 - NFSe: 3184</v>
      </c>
      <c r="H3682" t="str">
        <f t="shared" si="1765"/>
        <v>09/07/2025</v>
      </c>
      <c r="I3682" t="str">
        <f t="shared" si="1766"/>
        <v>01/07/2025</v>
      </c>
      <c r="J3682" t="str">
        <f t="shared" si="1767"/>
        <v>09/07/2025</v>
      </c>
      <c r="M3682">
        <v>303</v>
      </c>
      <c r="N3682" t="str">
        <f t="shared" si="1768"/>
        <v>RECEITAS COM ENTREGAS</v>
      </c>
      <c r="P3682">
        <v>161.65</v>
      </c>
      <c r="Q3682" t="str">
        <f>"FARMÁCIA INDIANA LJ 221 (10093)"</f>
        <v>FARMÁCIA INDIANA LJ 221 (10093)</v>
      </c>
      <c r="R3682" t="str">
        <f t="shared" si="1769"/>
        <v>RECEITAS COM ENTREGAS (303)</v>
      </c>
      <c r="S3682">
        <v>2011</v>
      </c>
      <c r="T3682">
        <v>1516</v>
      </c>
      <c r="U3682" t="s">
        <v>19</v>
      </c>
    </row>
    <row r="3683" spans="1:21">
      <c r="A3683" t="str">
        <f t="shared" si="1760"/>
        <v>09/07/2025</v>
      </c>
      <c r="B3683" t="str">
        <f t="shared" si="1770"/>
        <v>ENTRADA</v>
      </c>
      <c r="C3683" t="str">
        <f t="shared" si="1761"/>
        <v>NFSE</v>
      </c>
      <c r="D3683" t="str">
        <f t="shared" si="1771"/>
        <v>3184</v>
      </c>
      <c r="E3683" t="str">
        <f t="shared" si="1738"/>
        <v>COM</v>
      </c>
      <c r="F3683" t="str">
        <f t="shared" si="1772"/>
        <v>FARMÁCIA INDIANA LJ 85 (10128)</v>
      </c>
      <c r="G3683" t="str">
        <f t="shared" si="1773"/>
        <v>Serv.Prest. 23/06/2025 a 29/06/2025 - RPS: 953 - NFSe: 3184</v>
      </c>
      <c r="H3683" t="str">
        <f t="shared" si="1765"/>
        <v>09/07/2025</v>
      </c>
      <c r="I3683" t="str">
        <f t="shared" si="1766"/>
        <v>01/07/2025</v>
      </c>
      <c r="J3683" t="str">
        <f t="shared" si="1767"/>
        <v>09/07/2025</v>
      </c>
      <c r="M3683">
        <v>303</v>
      </c>
      <c r="N3683" t="str">
        <f t="shared" si="1768"/>
        <v>RECEITAS COM ENTREGAS</v>
      </c>
      <c r="P3683">
        <v>182.47</v>
      </c>
      <c r="Q3683" t="str">
        <f>"FARMÁCIA INDIANA LJ 243 (10142)"</f>
        <v>FARMÁCIA INDIANA LJ 243 (10142)</v>
      </c>
      <c r="R3683" t="str">
        <f t="shared" si="1769"/>
        <v>RECEITAS COM ENTREGAS (303)</v>
      </c>
      <c r="S3683">
        <v>2011</v>
      </c>
      <c r="T3683">
        <v>1516</v>
      </c>
      <c r="U3683" t="s">
        <v>19</v>
      </c>
    </row>
    <row r="3684" spans="1:21">
      <c r="A3684" t="str">
        <f t="shared" si="1760"/>
        <v>09/07/2025</v>
      </c>
      <c r="B3684" t="str">
        <f t="shared" si="1770"/>
        <v>ENTRADA</v>
      </c>
      <c r="C3684" t="str">
        <f t="shared" si="1761"/>
        <v>NFSE</v>
      </c>
      <c r="D3684" t="str">
        <f t="shared" si="1771"/>
        <v>3184</v>
      </c>
      <c r="E3684" t="str">
        <f t="shared" si="1738"/>
        <v>COM</v>
      </c>
      <c r="F3684" t="str">
        <f t="shared" si="1772"/>
        <v>FARMÁCIA INDIANA LJ 85 (10128)</v>
      </c>
      <c r="G3684" t="str">
        <f t="shared" si="1773"/>
        <v>Serv.Prest. 23/06/2025 a 29/06/2025 - RPS: 953 - NFSe: 3184</v>
      </c>
      <c r="H3684" t="str">
        <f t="shared" si="1765"/>
        <v>09/07/2025</v>
      </c>
      <c r="I3684" t="str">
        <f t="shared" si="1766"/>
        <v>01/07/2025</v>
      </c>
      <c r="J3684" t="str">
        <f t="shared" si="1767"/>
        <v>09/07/2025</v>
      </c>
      <c r="M3684">
        <v>303</v>
      </c>
      <c r="N3684" t="str">
        <f t="shared" si="1768"/>
        <v>RECEITAS COM ENTREGAS</v>
      </c>
      <c r="P3684">
        <v>86.09</v>
      </c>
      <c r="Q3684" t="str">
        <f>"FARMÁCIA INDIANA LJ 211 (10168)"</f>
        <v>FARMÁCIA INDIANA LJ 211 (10168)</v>
      </c>
      <c r="R3684" t="str">
        <f t="shared" si="1769"/>
        <v>RECEITAS COM ENTREGAS (303)</v>
      </c>
      <c r="S3684">
        <v>2011</v>
      </c>
      <c r="T3684">
        <v>1516</v>
      </c>
      <c r="U3684" t="s">
        <v>19</v>
      </c>
    </row>
    <row r="3685" spans="1:21">
      <c r="A3685" t="str">
        <f t="shared" si="1760"/>
        <v>09/07/2025</v>
      </c>
      <c r="B3685" t="str">
        <f t="shared" si="1770"/>
        <v>ENTRADA</v>
      </c>
      <c r="C3685" t="str">
        <f t="shared" si="1761"/>
        <v>NFSE</v>
      </c>
      <c r="D3685" t="str">
        <f t="shared" si="1771"/>
        <v>3184</v>
      </c>
      <c r="E3685" t="str">
        <f t="shared" si="1738"/>
        <v>COM</v>
      </c>
      <c r="F3685" t="str">
        <f t="shared" si="1772"/>
        <v>FARMÁCIA INDIANA LJ 85 (10128)</v>
      </c>
      <c r="G3685" t="str">
        <f t="shared" si="1773"/>
        <v>Serv.Prest. 23/06/2025 a 29/06/2025 - RPS: 953 - NFSe: 3184</v>
      </c>
      <c r="H3685" t="str">
        <f t="shared" si="1765"/>
        <v>09/07/2025</v>
      </c>
      <c r="I3685" t="str">
        <f t="shared" si="1766"/>
        <v>01/07/2025</v>
      </c>
      <c r="J3685" t="str">
        <f t="shared" si="1767"/>
        <v>09/07/2025</v>
      </c>
      <c r="M3685">
        <v>303</v>
      </c>
      <c r="N3685" t="str">
        <f t="shared" si="1768"/>
        <v>RECEITAS COM ENTREGAS</v>
      </c>
      <c r="P3685">
        <v>86.09</v>
      </c>
      <c r="Q3685" t="str">
        <f>"FARMÁCIA INDIANA LJ 236 (10169)"</f>
        <v>FARMÁCIA INDIANA LJ 236 (10169)</v>
      </c>
      <c r="R3685" t="str">
        <f t="shared" si="1769"/>
        <v>RECEITAS COM ENTREGAS (303)</v>
      </c>
      <c r="S3685">
        <v>2011</v>
      </c>
      <c r="T3685">
        <v>1516</v>
      </c>
      <c r="U3685" t="s">
        <v>19</v>
      </c>
    </row>
    <row r="3686" spans="1:21">
      <c r="A3686" t="str">
        <f t="shared" si="1760"/>
        <v>09/07/2025</v>
      </c>
      <c r="B3686" t="str">
        <f t="shared" si="1770"/>
        <v>ENTRADA</v>
      </c>
      <c r="C3686" t="str">
        <f t="shared" si="1761"/>
        <v>NFSE</v>
      </c>
      <c r="D3686" t="str">
        <f t="shared" si="1771"/>
        <v>3184</v>
      </c>
      <c r="E3686" t="str">
        <f t="shared" si="1738"/>
        <v>COM</v>
      </c>
      <c r="F3686" t="str">
        <f t="shared" si="1772"/>
        <v>FARMÁCIA INDIANA LJ 85 (10128)</v>
      </c>
      <c r="G3686" t="str">
        <f t="shared" si="1773"/>
        <v>Serv.Prest. 23/06/2025 a 29/06/2025 - RPS: 953 - NFSe: 3184</v>
      </c>
      <c r="H3686" t="str">
        <f t="shared" si="1765"/>
        <v>09/07/2025</v>
      </c>
      <c r="I3686" t="str">
        <f t="shared" si="1766"/>
        <v>01/07/2025</v>
      </c>
      <c r="J3686" t="str">
        <f t="shared" si="1767"/>
        <v>09/07/2025</v>
      </c>
      <c r="M3686">
        <v>303</v>
      </c>
      <c r="N3686" t="str">
        <f t="shared" si="1768"/>
        <v>RECEITAS COM ENTREGAS</v>
      </c>
      <c r="P3686">
        <v>172.44</v>
      </c>
      <c r="Q3686" t="str">
        <f>"FARMÁCIA INDIANA LJ 188 (10176)"</f>
        <v>FARMÁCIA INDIANA LJ 188 (10176)</v>
      </c>
      <c r="R3686" t="str">
        <f t="shared" si="1769"/>
        <v>RECEITAS COM ENTREGAS (303)</v>
      </c>
      <c r="S3686">
        <v>2011</v>
      </c>
      <c r="T3686">
        <v>1516</v>
      </c>
      <c r="U3686" t="s">
        <v>19</v>
      </c>
    </row>
    <row r="3687" spans="1:21">
      <c r="A3687" t="str">
        <f t="shared" si="1760"/>
        <v>09/07/2025</v>
      </c>
      <c r="B3687" t="str">
        <f t="shared" si="1770"/>
        <v>ENTRADA</v>
      </c>
      <c r="C3687" t="str">
        <f t="shared" si="1761"/>
        <v>NFSE</v>
      </c>
      <c r="D3687" t="str">
        <f t="shared" ref="D3687:D3732" si="1774">"3186"</f>
        <v>3186</v>
      </c>
      <c r="E3687" t="str">
        <f t="shared" si="1738"/>
        <v>COM</v>
      </c>
      <c r="F3687" t="str">
        <f t="shared" ref="F3687:F3732" si="1775">"FARMÁCIA INDIANA LJ 1 (10126)"</f>
        <v>FARMÁCIA INDIANA LJ 1 (10126)</v>
      </c>
      <c r="G3687" t="str">
        <f t="shared" ref="G3687:G3732" si="1776">"Serv.Prest. 23/06/2025 a 29/06/2025 - RPS: 954 - NFSe: 3186"</f>
        <v>Serv.Prest. 23/06/2025 a 29/06/2025 - RPS: 954 - NFSe: 3186</v>
      </c>
      <c r="H3687" t="str">
        <f t="shared" si="1765"/>
        <v>09/07/2025</v>
      </c>
      <c r="I3687" t="str">
        <f t="shared" si="1766"/>
        <v>01/07/2025</v>
      </c>
      <c r="J3687" t="str">
        <f t="shared" si="1767"/>
        <v>09/07/2025</v>
      </c>
      <c r="K3687">
        <v>13357.8</v>
      </c>
      <c r="L3687">
        <v>13357.8</v>
      </c>
      <c r="M3687">
        <v>303</v>
      </c>
      <c r="N3687" t="str">
        <f t="shared" si="1768"/>
        <v>RECEITAS COM ENTREGAS</v>
      </c>
      <c r="O3687">
        <v>13357.8</v>
      </c>
      <c r="R3687" t="str">
        <f t="shared" si="1769"/>
        <v>RECEITAS COM ENTREGAS (303)</v>
      </c>
      <c r="S3687">
        <v>2012</v>
      </c>
      <c r="T3687">
        <v>1517</v>
      </c>
      <c r="U3687" t="s">
        <v>19</v>
      </c>
    </row>
    <row r="3688" spans="1:21">
      <c r="A3688" t="str">
        <f t="shared" si="1760"/>
        <v>09/07/2025</v>
      </c>
      <c r="B3688" t="str">
        <f t="shared" si="1770"/>
        <v>ENTRADA</v>
      </c>
      <c r="C3688" t="str">
        <f t="shared" si="1761"/>
        <v>NFSE</v>
      </c>
      <c r="D3688" t="str">
        <f t="shared" si="1774"/>
        <v>3186</v>
      </c>
      <c r="E3688" t="str">
        <f t="shared" si="1738"/>
        <v>COM</v>
      </c>
      <c r="F3688" t="str">
        <f t="shared" si="1775"/>
        <v>FARMÁCIA INDIANA LJ 1 (10126)</v>
      </c>
      <c r="G3688" t="str">
        <f t="shared" si="1776"/>
        <v>Serv.Prest. 23/06/2025 a 29/06/2025 - RPS: 954 - NFSe: 3186</v>
      </c>
      <c r="H3688" t="str">
        <f t="shared" si="1765"/>
        <v>09/07/2025</v>
      </c>
      <c r="I3688" t="str">
        <f t="shared" si="1766"/>
        <v>01/07/2025</v>
      </c>
      <c r="J3688" t="str">
        <f t="shared" si="1767"/>
        <v>09/07/2025</v>
      </c>
      <c r="M3688">
        <v>303</v>
      </c>
      <c r="N3688" t="str">
        <f t="shared" si="1768"/>
        <v>RECEITAS COM ENTREGAS</v>
      </c>
      <c r="P3688">
        <v>1860.76</v>
      </c>
      <c r="Q3688" t="str">
        <f>"FARMÁCIA INDIANA LJ 06 (10006)"</f>
        <v>FARMÁCIA INDIANA LJ 06 (10006)</v>
      </c>
      <c r="R3688" t="str">
        <f t="shared" si="1769"/>
        <v>RECEITAS COM ENTREGAS (303)</v>
      </c>
      <c r="S3688">
        <v>2012</v>
      </c>
      <c r="T3688">
        <v>1517</v>
      </c>
      <c r="U3688" t="s">
        <v>19</v>
      </c>
    </row>
    <row r="3689" spans="1:21">
      <c r="A3689" t="str">
        <f t="shared" si="1760"/>
        <v>09/07/2025</v>
      </c>
      <c r="B3689" t="str">
        <f t="shared" si="1770"/>
        <v>ENTRADA</v>
      </c>
      <c r="C3689" t="str">
        <f t="shared" si="1761"/>
        <v>NFSE</v>
      </c>
      <c r="D3689" t="str">
        <f t="shared" si="1774"/>
        <v>3186</v>
      </c>
      <c r="E3689" t="str">
        <f t="shared" si="1738"/>
        <v>COM</v>
      </c>
      <c r="F3689" t="str">
        <f t="shared" si="1775"/>
        <v>FARMÁCIA INDIANA LJ 1 (10126)</v>
      </c>
      <c r="G3689" t="str">
        <f t="shared" si="1776"/>
        <v>Serv.Prest. 23/06/2025 a 29/06/2025 - RPS: 954 - NFSe: 3186</v>
      </c>
      <c r="H3689" t="str">
        <f t="shared" si="1765"/>
        <v>09/07/2025</v>
      </c>
      <c r="I3689" t="str">
        <f t="shared" si="1766"/>
        <v>01/07/2025</v>
      </c>
      <c r="J3689" t="str">
        <f t="shared" si="1767"/>
        <v>09/07/2025</v>
      </c>
      <c r="M3689">
        <v>303</v>
      </c>
      <c r="N3689" t="str">
        <f t="shared" si="1768"/>
        <v>RECEITAS COM ENTREGAS</v>
      </c>
      <c r="P3689">
        <v>1473.37</v>
      </c>
      <c r="Q3689" t="str">
        <f>"FARMÁCIA INDIANA LJ 07 (10007)"</f>
        <v>FARMÁCIA INDIANA LJ 07 (10007)</v>
      </c>
      <c r="R3689" t="str">
        <f t="shared" si="1769"/>
        <v>RECEITAS COM ENTREGAS (303)</v>
      </c>
      <c r="S3689">
        <v>2012</v>
      </c>
      <c r="T3689">
        <v>1517</v>
      </c>
      <c r="U3689" t="s">
        <v>19</v>
      </c>
    </row>
    <row r="3690" spans="1:21">
      <c r="A3690" t="str">
        <f t="shared" si="1760"/>
        <v>09/07/2025</v>
      </c>
      <c r="B3690" t="str">
        <f t="shared" si="1770"/>
        <v>ENTRADA</v>
      </c>
      <c r="C3690" t="str">
        <f t="shared" si="1761"/>
        <v>NFSE</v>
      </c>
      <c r="D3690" t="str">
        <f t="shared" si="1774"/>
        <v>3186</v>
      </c>
      <c r="E3690" t="str">
        <f t="shared" si="1738"/>
        <v>COM</v>
      </c>
      <c r="F3690" t="str">
        <f t="shared" si="1775"/>
        <v>FARMÁCIA INDIANA LJ 1 (10126)</v>
      </c>
      <c r="G3690" t="str">
        <f t="shared" si="1776"/>
        <v>Serv.Prest. 23/06/2025 a 29/06/2025 - RPS: 954 - NFSe: 3186</v>
      </c>
      <c r="H3690" t="str">
        <f t="shared" si="1765"/>
        <v>09/07/2025</v>
      </c>
      <c r="I3690" t="str">
        <f t="shared" si="1766"/>
        <v>01/07/2025</v>
      </c>
      <c r="J3690" t="str">
        <f t="shared" si="1767"/>
        <v>09/07/2025</v>
      </c>
      <c r="M3690">
        <v>303</v>
      </c>
      <c r="N3690" t="str">
        <f t="shared" si="1768"/>
        <v>RECEITAS COM ENTREGAS</v>
      </c>
      <c r="P3690">
        <v>1063.28</v>
      </c>
      <c r="Q3690" t="str">
        <f>"FARMÁCIA INDIANA LJ 11 (10008)"</f>
        <v>FARMÁCIA INDIANA LJ 11 (10008)</v>
      </c>
      <c r="R3690" t="str">
        <f t="shared" si="1769"/>
        <v>RECEITAS COM ENTREGAS (303)</v>
      </c>
      <c r="S3690">
        <v>2012</v>
      </c>
      <c r="T3690">
        <v>1517</v>
      </c>
      <c r="U3690" t="s">
        <v>19</v>
      </c>
    </row>
    <row r="3691" spans="1:21">
      <c r="A3691" t="str">
        <f t="shared" si="1760"/>
        <v>09/07/2025</v>
      </c>
      <c r="B3691" t="str">
        <f t="shared" si="1770"/>
        <v>ENTRADA</v>
      </c>
      <c r="C3691" t="str">
        <f t="shared" si="1761"/>
        <v>NFSE</v>
      </c>
      <c r="D3691" t="str">
        <f t="shared" si="1774"/>
        <v>3186</v>
      </c>
      <c r="E3691" t="str">
        <f t="shared" si="1738"/>
        <v>COM</v>
      </c>
      <c r="F3691" t="str">
        <f t="shared" si="1775"/>
        <v>FARMÁCIA INDIANA LJ 1 (10126)</v>
      </c>
      <c r="G3691" t="str">
        <f t="shared" si="1776"/>
        <v>Serv.Prest. 23/06/2025 a 29/06/2025 - RPS: 954 - NFSe: 3186</v>
      </c>
      <c r="H3691" t="str">
        <f t="shared" si="1765"/>
        <v>09/07/2025</v>
      </c>
      <c r="I3691" t="str">
        <f t="shared" si="1766"/>
        <v>01/07/2025</v>
      </c>
      <c r="J3691" t="str">
        <f t="shared" si="1767"/>
        <v>09/07/2025</v>
      </c>
      <c r="M3691">
        <v>303</v>
      </c>
      <c r="N3691" t="str">
        <f t="shared" si="1768"/>
        <v>RECEITAS COM ENTREGAS</v>
      </c>
      <c r="P3691">
        <v>392.72</v>
      </c>
      <c r="Q3691" t="str">
        <f>"FARMÁCIA INDIANA LJ 14 (10009)"</f>
        <v>FARMÁCIA INDIANA LJ 14 (10009)</v>
      </c>
      <c r="R3691" t="str">
        <f t="shared" si="1769"/>
        <v>RECEITAS COM ENTREGAS (303)</v>
      </c>
      <c r="S3691">
        <v>2012</v>
      </c>
      <c r="T3691">
        <v>1517</v>
      </c>
      <c r="U3691" t="s">
        <v>19</v>
      </c>
    </row>
    <row r="3692" spans="1:21">
      <c r="A3692" t="str">
        <f t="shared" si="1760"/>
        <v>09/07/2025</v>
      </c>
      <c r="B3692" t="str">
        <f t="shared" si="1770"/>
        <v>ENTRADA</v>
      </c>
      <c r="C3692" t="str">
        <f t="shared" si="1761"/>
        <v>NFSE</v>
      </c>
      <c r="D3692" t="str">
        <f t="shared" si="1774"/>
        <v>3186</v>
      </c>
      <c r="E3692" t="str">
        <f t="shared" si="1738"/>
        <v>COM</v>
      </c>
      <c r="F3692" t="str">
        <f t="shared" si="1775"/>
        <v>FARMÁCIA INDIANA LJ 1 (10126)</v>
      </c>
      <c r="G3692" t="str">
        <f t="shared" si="1776"/>
        <v>Serv.Prest. 23/06/2025 a 29/06/2025 - RPS: 954 - NFSe: 3186</v>
      </c>
      <c r="H3692" t="str">
        <f t="shared" si="1765"/>
        <v>09/07/2025</v>
      </c>
      <c r="I3692" t="str">
        <f t="shared" si="1766"/>
        <v>01/07/2025</v>
      </c>
      <c r="J3692" t="str">
        <f t="shared" si="1767"/>
        <v>09/07/2025</v>
      </c>
      <c r="M3692">
        <v>303</v>
      </c>
      <c r="N3692" t="str">
        <f t="shared" si="1768"/>
        <v>RECEITAS COM ENTREGAS</v>
      </c>
      <c r="P3692">
        <v>375.35</v>
      </c>
      <c r="Q3692" t="str">
        <f>"FARMÁCIA INDIANA LJ 18 (10011)"</f>
        <v>FARMÁCIA INDIANA LJ 18 (10011)</v>
      </c>
      <c r="R3692" t="str">
        <f t="shared" si="1769"/>
        <v>RECEITAS COM ENTREGAS (303)</v>
      </c>
      <c r="S3692">
        <v>2012</v>
      </c>
      <c r="T3692">
        <v>1517</v>
      </c>
      <c r="U3692" t="s">
        <v>19</v>
      </c>
    </row>
    <row r="3693" spans="1:21">
      <c r="A3693" t="str">
        <f t="shared" si="1760"/>
        <v>09/07/2025</v>
      </c>
      <c r="B3693" t="str">
        <f t="shared" si="1770"/>
        <v>ENTRADA</v>
      </c>
      <c r="C3693" t="str">
        <f t="shared" si="1761"/>
        <v>NFSE</v>
      </c>
      <c r="D3693" t="str">
        <f t="shared" si="1774"/>
        <v>3186</v>
      </c>
      <c r="E3693" t="str">
        <f t="shared" si="1738"/>
        <v>COM</v>
      </c>
      <c r="F3693" t="str">
        <f t="shared" si="1775"/>
        <v>FARMÁCIA INDIANA LJ 1 (10126)</v>
      </c>
      <c r="G3693" t="str">
        <f t="shared" si="1776"/>
        <v>Serv.Prest. 23/06/2025 a 29/06/2025 - RPS: 954 - NFSe: 3186</v>
      </c>
      <c r="H3693" t="str">
        <f t="shared" si="1765"/>
        <v>09/07/2025</v>
      </c>
      <c r="I3693" t="str">
        <f t="shared" si="1766"/>
        <v>01/07/2025</v>
      </c>
      <c r="J3693" t="str">
        <f t="shared" si="1767"/>
        <v>09/07/2025</v>
      </c>
      <c r="M3693">
        <v>303</v>
      </c>
      <c r="N3693" t="str">
        <f t="shared" si="1768"/>
        <v>RECEITAS COM ENTREGAS</v>
      </c>
      <c r="P3693">
        <v>379.36</v>
      </c>
      <c r="Q3693" t="str">
        <f>"FARMÁCIA INDIANA LJ 19 (10012)"</f>
        <v>FARMÁCIA INDIANA LJ 19 (10012)</v>
      </c>
      <c r="R3693" t="str">
        <f t="shared" si="1769"/>
        <v>RECEITAS COM ENTREGAS (303)</v>
      </c>
      <c r="S3693">
        <v>2012</v>
      </c>
      <c r="T3693">
        <v>1517</v>
      </c>
      <c r="U3693" t="s">
        <v>19</v>
      </c>
    </row>
    <row r="3694" spans="1:21">
      <c r="A3694" t="str">
        <f t="shared" si="1760"/>
        <v>09/07/2025</v>
      </c>
      <c r="B3694" t="str">
        <f t="shared" si="1770"/>
        <v>ENTRADA</v>
      </c>
      <c r="C3694" t="str">
        <f t="shared" si="1761"/>
        <v>NFSE</v>
      </c>
      <c r="D3694" t="str">
        <f t="shared" si="1774"/>
        <v>3186</v>
      </c>
      <c r="E3694" t="str">
        <f t="shared" si="1738"/>
        <v>COM</v>
      </c>
      <c r="F3694" t="str">
        <f t="shared" si="1775"/>
        <v>FARMÁCIA INDIANA LJ 1 (10126)</v>
      </c>
      <c r="G3694" t="str">
        <f t="shared" si="1776"/>
        <v>Serv.Prest. 23/06/2025 a 29/06/2025 - RPS: 954 - NFSe: 3186</v>
      </c>
      <c r="H3694" t="str">
        <f t="shared" si="1765"/>
        <v>09/07/2025</v>
      </c>
      <c r="I3694" t="str">
        <f t="shared" si="1766"/>
        <v>01/07/2025</v>
      </c>
      <c r="J3694" t="str">
        <f t="shared" si="1767"/>
        <v>09/07/2025</v>
      </c>
      <c r="M3694">
        <v>303</v>
      </c>
      <c r="N3694" t="str">
        <f t="shared" si="1768"/>
        <v>RECEITAS COM ENTREGAS</v>
      </c>
      <c r="P3694">
        <v>661.21</v>
      </c>
      <c r="Q3694" t="str">
        <f>"FARMÁCIA INDIANA LJ 40 (10016)"</f>
        <v>FARMÁCIA INDIANA LJ 40 (10016)</v>
      </c>
      <c r="R3694" t="str">
        <f t="shared" si="1769"/>
        <v>RECEITAS COM ENTREGAS (303)</v>
      </c>
      <c r="S3694">
        <v>2012</v>
      </c>
      <c r="T3694">
        <v>1517</v>
      </c>
      <c r="U3694" t="s">
        <v>19</v>
      </c>
    </row>
    <row r="3695" spans="1:21">
      <c r="A3695" t="str">
        <f t="shared" si="1760"/>
        <v>09/07/2025</v>
      </c>
      <c r="B3695" t="str">
        <f t="shared" si="1770"/>
        <v>ENTRADA</v>
      </c>
      <c r="C3695" t="str">
        <f t="shared" si="1761"/>
        <v>NFSE</v>
      </c>
      <c r="D3695" t="str">
        <f t="shared" si="1774"/>
        <v>3186</v>
      </c>
      <c r="E3695" t="str">
        <f t="shared" ref="E3695:E3758" si="1777">"COM"</f>
        <v>COM</v>
      </c>
      <c r="F3695" t="str">
        <f t="shared" si="1775"/>
        <v>FARMÁCIA INDIANA LJ 1 (10126)</v>
      </c>
      <c r="G3695" t="str">
        <f t="shared" si="1776"/>
        <v>Serv.Prest. 23/06/2025 a 29/06/2025 - RPS: 954 - NFSe: 3186</v>
      </c>
      <c r="H3695" t="str">
        <f t="shared" si="1765"/>
        <v>09/07/2025</v>
      </c>
      <c r="I3695" t="str">
        <f t="shared" si="1766"/>
        <v>01/07/2025</v>
      </c>
      <c r="J3695" t="str">
        <f t="shared" si="1767"/>
        <v>09/07/2025</v>
      </c>
      <c r="M3695">
        <v>303</v>
      </c>
      <c r="N3695" t="str">
        <f t="shared" si="1768"/>
        <v>RECEITAS COM ENTREGAS</v>
      </c>
      <c r="P3695">
        <v>362</v>
      </c>
      <c r="Q3695" t="str">
        <f>"FARMÁCIA INDIANA LJ 59 (10026)"</f>
        <v>FARMÁCIA INDIANA LJ 59 (10026)</v>
      </c>
      <c r="R3695" t="str">
        <f t="shared" si="1769"/>
        <v>RECEITAS COM ENTREGAS (303)</v>
      </c>
      <c r="S3695">
        <v>2012</v>
      </c>
      <c r="T3695">
        <v>1517</v>
      </c>
      <c r="U3695" t="s">
        <v>19</v>
      </c>
    </row>
    <row r="3696" spans="1:21">
      <c r="A3696" t="str">
        <f t="shared" si="1760"/>
        <v>09/07/2025</v>
      </c>
      <c r="B3696" t="str">
        <f t="shared" si="1770"/>
        <v>ENTRADA</v>
      </c>
      <c r="C3696" t="str">
        <f t="shared" si="1761"/>
        <v>NFSE</v>
      </c>
      <c r="D3696" t="str">
        <f t="shared" si="1774"/>
        <v>3186</v>
      </c>
      <c r="E3696" t="str">
        <f t="shared" si="1777"/>
        <v>COM</v>
      </c>
      <c r="F3696" t="str">
        <f t="shared" si="1775"/>
        <v>FARMÁCIA INDIANA LJ 1 (10126)</v>
      </c>
      <c r="G3696" t="str">
        <f t="shared" si="1776"/>
        <v>Serv.Prest. 23/06/2025 a 29/06/2025 - RPS: 954 - NFSe: 3186</v>
      </c>
      <c r="H3696" t="str">
        <f t="shared" si="1765"/>
        <v>09/07/2025</v>
      </c>
      <c r="I3696" t="str">
        <f t="shared" si="1766"/>
        <v>01/07/2025</v>
      </c>
      <c r="J3696" t="str">
        <f t="shared" si="1767"/>
        <v>09/07/2025</v>
      </c>
      <c r="M3696">
        <v>303</v>
      </c>
      <c r="N3696" t="str">
        <f t="shared" si="1768"/>
        <v>RECEITAS COM ENTREGAS</v>
      </c>
      <c r="P3696">
        <v>507.6</v>
      </c>
      <c r="Q3696" t="str">
        <f>"FARMÁCIA INDIANA LJ 61 (10027)"</f>
        <v>FARMÁCIA INDIANA LJ 61 (10027)</v>
      </c>
      <c r="R3696" t="str">
        <f t="shared" si="1769"/>
        <v>RECEITAS COM ENTREGAS (303)</v>
      </c>
      <c r="S3696">
        <v>2012</v>
      </c>
      <c r="T3696">
        <v>1517</v>
      </c>
      <c r="U3696" t="s">
        <v>19</v>
      </c>
    </row>
    <row r="3697" spans="1:21">
      <c r="A3697" t="str">
        <f t="shared" si="1760"/>
        <v>09/07/2025</v>
      </c>
      <c r="B3697" t="str">
        <f t="shared" si="1770"/>
        <v>ENTRADA</v>
      </c>
      <c r="C3697" t="str">
        <f t="shared" si="1761"/>
        <v>NFSE</v>
      </c>
      <c r="D3697" t="str">
        <f t="shared" si="1774"/>
        <v>3186</v>
      </c>
      <c r="E3697" t="str">
        <f t="shared" si="1777"/>
        <v>COM</v>
      </c>
      <c r="F3697" t="str">
        <f t="shared" si="1775"/>
        <v>FARMÁCIA INDIANA LJ 1 (10126)</v>
      </c>
      <c r="G3697" t="str">
        <f t="shared" si="1776"/>
        <v>Serv.Prest. 23/06/2025 a 29/06/2025 - RPS: 954 - NFSe: 3186</v>
      </c>
      <c r="H3697" t="str">
        <f t="shared" si="1765"/>
        <v>09/07/2025</v>
      </c>
      <c r="I3697" t="str">
        <f t="shared" si="1766"/>
        <v>01/07/2025</v>
      </c>
      <c r="J3697" t="str">
        <f t="shared" si="1767"/>
        <v>09/07/2025</v>
      </c>
      <c r="M3697">
        <v>303</v>
      </c>
      <c r="N3697" t="str">
        <f t="shared" si="1768"/>
        <v>RECEITAS COM ENTREGAS</v>
      </c>
      <c r="P3697">
        <v>327.27</v>
      </c>
      <c r="Q3697" t="str">
        <f>"FARMÁCIA INDIANA LJ 62 (10028)"</f>
        <v>FARMÁCIA INDIANA LJ 62 (10028)</v>
      </c>
      <c r="R3697" t="str">
        <f t="shared" si="1769"/>
        <v>RECEITAS COM ENTREGAS (303)</v>
      </c>
      <c r="S3697">
        <v>2012</v>
      </c>
      <c r="T3697">
        <v>1517</v>
      </c>
      <c r="U3697" t="s">
        <v>19</v>
      </c>
    </row>
    <row r="3698" spans="1:21">
      <c r="A3698" t="str">
        <f t="shared" ref="A3698:A3729" si="1778">("09/07/2025")</f>
        <v>09/07/2025</v>
      </c>
      <c r="B3698" t="str">
        <f t="shared" si="1770"/>
        <v>ENTRADA</v>
      </c>
      <c r="C3698" t="str">
        <f t="shared" ref="C3698:C3729" si="1779">"NFSE"</f>
        <v>NFSE</v>
      </c>
      <c r="D3698" t="str">
        <f t="shared" si="1774"/>
        <v>3186</v>
      </c>
      <c r="E3698" t="str">
        <f t="shared" si="1777"/>
        <v>COM</v>
      </c>
      <c r="F3698" t="str">
        <f t="shared" si="1775"/>
        <v>FARMÁCIA INDIANA LJ 1 (10126)</v>
      </c>
      <c r="G3698" t="str">
        <f t="shared" si="1776"/>
        <v>Serv.Prest. 23/06/2025 a 29/06/2025 - RPS: 954 - NFSe: 3186</v>
      </c>
      <c r="H3698" t="str">
        <f t="shared" ref="H3698:H3729" si="1780">("09/07/2025")</f>
        <v>09/07/2025</v>
      </c>
      <c r="I3698" t="str">
        <f t="shared" ref="I3698:I3732" si="1781">("01/07/2025")</f>
        <v>01/07/2025</v>
      </c>
      <c r="J3698" t="str">
        <f t="shared" ref="J3698:J3729" si="1782">("09/07/2025")</f>
        <v>09/07/2025</v>
      </c>
      <c r="M3698">
        <v>303</v>
      </c>
      <c r="N3698" t="str">
        <f t="shared" ref="N3698:N3729" si="1783">"RECEITAS COM ENTREGAS"</f>
        <v>RECEITAS COM ENTREGAS</v>
      </c>
      <c r="P3698">
        <v>106.86</v>
      </c>
      <c r="Q3698" t="str">
        <f>"FARMÁCIA INDIANA LJ 64 (10029)"</f>
        <v>FARMÁCIA INDIANA LJ 64 (10029)</v>
      </c>
      <c r="R3698" t="str">
        <f t="shared" ref="R3698:R3729" si="1784">"RECEITAS COM ENTREGAS (303)"</f>
        <v>RECEITAS COM ENTREGAS (303)</v>
      </c>
      <c r="S3698">
        <v>2012</v>
      </c>
      <c r="T3698">
        <v>1517</v>
      </c>
      <c r="U3698" t="s">
        <v>19</v>
      </c>
    </row>
    <row r="3699" spans="1:21">
      <c r="A3699" t="str">
        <f t="shared" si="1778"/>
        <v>09/07/2025</v>
      </c>
      <c r="B3699" t="str">
        <f t="shared" si="1770"/>
        <v>ENTRADA</v>
      </c>
      <c r="C3699" t="str">
        <f t="shared" si="1779"/>
        <v>NFSE</v>
      </c>
      <c r="D3699" t="str">
        <f t="shared" si="1774"/>
        <v>3186</v>
      </c>
      <c r="E3699" t="str">
        <f t="shared" si="1777"/>
        <v>COM</v>
      </c>
      <c r="F3699" t="str">
        <f t="shared" si="1775"/>
        <v>FARMÁCIA INDIANA LJ 1 (10126)</v>
      </c>
      <c r="G3699" t="str">
        <f t="shared" si="1776"/>
        <v>Serv.Prest. 23/06/2025 a 29/06/2025 - RPS: 954 - NFSe: 3186</v>
      </c>
      <c r="H3699" t="str">
        <f t="shared" si="1780"/>
        <v>09/07/2025</v>
      </c>
      <c r="I3699" t="str">
        <f t="shared" si="1781"/>
        <v>01/07/2025</v>
      </c>
      <c r="J3699" t="str">
        <f t="shared" si="1782"/>
        <v>09/07/2025</v>
      </c>
      <c r="M3699">
        <v>303</v>
      </c>
      <c r="N3699" t="str">
        <f t="shared" si="1783"/>
        <v>RECEITAS COM ENTREGAS</v>
      </c>
      <c r="P3699">
        <v>65.45</v>
      </c>
      <c r="Q3699" t="str">
        <f>"FARMÁCIA INDIANA LJ 97 (10040)"</f>
        <v>FARMÁCIA INDIANA LJ 97 (10040)</v>
      </c>
      <c r="R3699" t="str">
        <f t="shared" si="1784"/>
        <v>RECEITAS COM ENTREGAS (303)</v>
      </c>
      <c r="S3699">
        <v>2012</v>
      </c>
      <c r="T3699">
        <v>1517</v>
      </c>
      <c r="U3699" t="s">
        <v>19</v>
      </c>
    </row>
    <row r="3700" spans="1:21">
      <c r="A3700" t="str">
        <f t="shared" si="1778"/>
        <v>09/07/2025</v>
      </c>
      <c r="B3700" t="str">
        <f t="shared" si="1770"/>
        <v>ENTRADA</v>
      </c>
      <c r="C3700" t="str">
        <f t="shared" si="1779"/>
        <v>NFSE</v>
      </c>
      <c r="D3700" t="str">
        <f t="shared" si="1774"/>
        <v>3186</v>
      </c>
      <c r="E3700" t="str">
        <f t="shared" si="1777"/>
        <v>COM</v>
      </c>
      <c r="F3700" t="str">
        <f t="shared" si="1775"/>
        <v>FARMÁCIA INDIANA LJ 1 (10126)</v>
      </c>
      <c r="G3700" t="str">
        <f t="shared" si="1776"/>
        <v>Serv.Prest. 23/06/2025 a 29/06/2025 - RPS: 954 - NFSe: 3186</v>
      </c>
      <c r="H3700" t="str">
        <f t="shared" si="1780"/>
        <v>09/07/2025</v>
      </c>
      <c r="I3700" t="str">
        <f t="shared" si="1781"/>
        <v>01/07/2025</v>
      </c>
      <c r="J3700" t="str">
        <f t="shared" si="1782"/>
        <v>09/07/2025</v>
      </c>
      <c r="M3700">
        <v>303</v>
      </c>
      <c r="N3700" t="str">
        <f t="shared" si="1783"/>
        <v>RECEITAS COM ENTREGAS</v>
      </c>
      <c r="P3700">
        <v>300.55</v>
      </c>
      <c r="Q3700" t="str">
        <f>"FARMÁCIA INDIANA LJ 100 (10042)"</f>
        <v>FARMÁCIA INDIANA LJ 100 (10042)</v>
      </c>
      <c r="R3700" t="str">
        <f t="shared" si="1784"/>
        <v>RECEITAS COM ENTREGAS (303)</v>
      </c>
      <c r="S3700">
        <v>2012</v>
      </c>
      <c r="T3700">
        <v>1517</v>
      </c>
      <c r="U3700" t="s">
        <v>19</v>
      </c>
    </row>
    <row r="3701" spans="1:21">
      <c r="A3701" t="str">
        <f t="shared" si="1778"/>
        <v>09/07/2025</v>
      </c>
      <c r="B3701" t="str">
        <f t="shared" si="1770"/>
        <v>ENTRADA</v>
      </c>
      <c r="C3701" t="str">
        <f t="shared" si="1779"/>
        <v>NFSE</v>
      </c>
      <c r="D3701" t="str">
        <f t="shared" si="1774"/>
        <v>3186</v>
      </c>
      <c r="E3701" t="str">
        <f t="shared" si="1777"/>
        <v>COM</v>
      </c>
      <c r="F3701" t="str">
        <f t="shared" si="1775"/>
        <v>FARMÁCIA INDIANA LJ 1 (10126)</v>
      </c>
      <c r="G3701" t="str">
        <f t="shared" si="1776"/>
        <v>Serv.Prest. 23/06/2025 a 29/06/2025 - RPS: 954 - NFSe: 3186</v>
      </c>
      <c r="H3701" t="str">
        <f t="shared" si="1780"/>
        <v>09/07/2025</v>
      </c>
      <c r="I3701" t="str">
        <f t="shared" si="1781"/>
        <v>01/07/2025</v>
      </c>
      <c r="J3701" t="str">
        <f t="shared" si="1782"/>
        <v>09/07/2025</v>
      </c>
      <c r="M3701">
        <v>303</v>
      </c>
      <c r="N3701" t="str">
        <f t="shared" si="1783"/>
        <v>RECEITAS COM ENTREGAS</v>
      </c>
      <c r="P3701">
        <v>430.12</v>
      </c>
      <c r="Q3701" t="str">
        <f>"FARMÁCIA INDIANA LJ 101 (10043)"</f>
        <v>FARMÁCIA INDIANA LJ 101 (10043)</v>
      </c>
      <c r="R3701" t="str">
        <f t="shared" si="1784"/>
        <v>RECEITAS COM ENTREGAS (303)</v>
      </c>
      <c r="S3701">
        <v>2012</v>
      </c>
      <c r="T3701">
        <v>1517</v>
      </c>
      <c r="U3701" t="s">
        <v>19</v>
      </c>
    </row>
    <row r="3702" spans="1:21">
      <c r="A3702" t="str">
        <f t="shared" si="1778"/>
        <v>09/07/2025</v>
      </c>
      <c r="B3702" t="str">
        <f t="shared" si="1770"/>
        <v>ENTRADA</v>
      </c>
      <c r="C3702" t="str">
        <f t="shared" si="1779"/>
        <v>NFSE</v>
      </c>
      <c r="D3702" t="str">
        <f t="shared" si="1774"/>
        <v>3186</v>
      </c>
      <c r="E3702" t="str">
        <f t="shared" si="1777"/>
        <v>COM</v>
      </c>
      <c r="F3702" t="str">
        <f t="shared" si="1775"/>
        <v>FARMÁCIA INDIANA LJ 1 (10126)</v>
      </c>
      <c r="G3702" t="str">
        <f t="shared" si="1776"/>
        <v>Serv.Prest. 23/06/2025 a 29/06/2025 - RPS: 954 - NFSe: 3186</v>
      </c>
      <c r="H3702" t="str">
        <f t="shared" si="1780"/>
        <v>09/07/2025</v>
      </c>
      <c r="I3702" t="str">
        <f t="shared" si="1781"/>
        <v>01/07/2025</v>
      </c>
      <c r="J3702" t="str">
        <f t="shared" si="1782"/>
        <v>09/07/2025</v>
      </c>
      <c r="M3702">
        <v>303</v>
      </c>
      <c r="N3702" t="str">
        <f t="shared" si="1783"/>
        <v>RECEITAS COM ENTREGAS</v>
      </c>
      <c r="P3702">
        <v>68.12</v>
      </c>
      <c r="Q3702" t="str">
        <f>"FARMÁCIA INDIANA LJ 103 (10044)"</f>
        <v>FARMÁCIA INDIANA LJ 103 (10044)</v>
      </c>
      <c r="R3702" t="str">
        <f t="shared" si="1784"/>
        <v>RECEITAS COM ENTREGAS (303)</v>
      </c>
      <c r="S3702">
        <v>2012</v>
      </c>
      <c r="T3702">
        <v>1517</v>
      </c>
      <c r="U3702" t="s">
        <v>19</v>
      </c>
    </row>
    <row r="3703" spans="1:21">
      <c r="A3703" t="str">
        <f t="shared" si="1778"/>
        <v>09/07/2025</v>
      </c>
      <c r="B3703" t="str">
        <f t="shared" si="1770"/>
        <v>ENTRADA</v>
      </c>
      <c r="C3703" t="str">
        <f t="shared" si="1779"/>
        <v>NFSE</v>
      </c>
      <c r="D3703" t="str">
        <f t="shared" si="1774"/>
        <v>3186</v>
      </c>
      <c r="E3703" t="str">
        <f t="shared" si="1777"/>
        <v>COM</v>
      </c>
      <c r="F3703" t="str">
        <f t="shared" si="1775"/>
        <v>FARMÁCIA INDIANA LJ 1 (10126)</v>
      </c>
      <c r="G3703" t="str">
        <f t="shared" si="1776"/>
        <v>Serv.Prest. 23/06/2025 a 29/06/2025 - RPS: 954 - NFSe: 3186</v>
      </c>
      <c r="H3703" t="str">
        <f t="shared" si="1780"/>
        <v>09/07/2025</v>
      </c>
      <c r="I3703" t="str">
        <f t="shared" si="1781"/>
        <v>01/07/2025</v>
      </c>
      <c r="J3703" t="str">
        <f t="shared" si="1782"/>
        <v>09/07/2025</v>
      </c>
      <c r="M3703">
        <v>303</v>
      </c>
      <c r="N3703" t="str">
        <f t="shared" si="1783"/>
        <v>RECEITAS COM ENTREGAS</v>
      </c>
      <c r="P3703">
        <v>162.97</v>
      </c>
      <c r="Q3703" t="str">
        <f>"FARMÁCIA INDIANA LJ 109 (10047)"</f>
        <v>FARMÁCIA INDIANA LJ 109 (10047)</v>
      </c>
      <c r="R3703" t="str">
        <f t="shared" si="1784"/>
        <v>RECEITAS COM ENTREGAS (303)</v>
      </c>
      <c r="S3703">
        <v>2012</v>
      </c>
      <c r="T3703">
        <v>1517</v>
      </c>
      <c r="U3703" t="s">
        <v>19</v>
      </c>
    </row>
    <row r="3704" spans="1:21">
      <c r="A3704" t="str">
        <f t="shared" si="1778"/>
        <v>09/07/2025</v>
      </c>
      <c r="B3704" t="str">
        <f t="shared" si="1770"/>
        <v>ENTRADA</v>
      </c>
      <c r="C3704" t="str">
        <f t="shared" si="1779"/>
        <v>NFSE</v>
      </c>
      <c r="D3704" t="str">
        <f t="shared" si="1774"/>
        <v>3186</v>
      </c>
      <c r="E3704" t="str">
        <f t="shared" si="1777"/>
        <v>COM</v>
      </c>
      <c r="F3704" t="str">
        <f t="shared" si="1775"/>
        <v>FARMÁCIA INDIANA LJ 1 (10126)</v>
      </c>
      <c r="G3704" t="str">
        <f t="shared" si="1776"/>
        <v>Serv.Prest. 23/06/2025 a 29/06/2025 - RPS: 954 - NFSe: 3186</v>
      </c>
      <c r="H3704" t="str">
        <f t="shared" si="1780"/>
        <v>09/07/2025</v>
      </c>
      <c r="I3704" t="str">
        <f t="shared" si="1781"/>
        <v>01/07/2025</v>
      </c>
      <c r="J3704" t="str">
        <f t="shared" si="1782"/>
        <v>09/07/2025</v>
      </c>
      <c r="M3704">
        <v>303</v>
      </c>
      <c r="N3704" t="str">
        <f t="shared" si="1783"/>
        <v>RECEITAS COM ENTREGAS</v>
      </c>
      <c r="P3704">
        <v>502.25</v>
      </c>
      <c r="Q3704" t="str">
        <f>"FARMÁCIA INDIANA LJ 110 (10048)"</f>
        <v>FARMÁCIA INDIANA LJ 110 (10048)</v>
      </c>
      <c r="R3704" t="str">
        <f t="shared" si="1784"/>
        <v>RECEITAS COM ENTREGAS (303)</v>
      </c>
      <c r="S3704">
        <v>2012</v>
      </c>
      <c r="T3704">
        <v>1517</v>
      </c>
      <c r="U3704" t="s">
        <v>19</v>
      </c>
    </row>
    <row r="3705" spans="1:21">
      <c r="A3705" t="str">
        <f t="shared" si="1778"/>
        <v>09/07/2025</v>
      </c>
      <c r="B3705" t="str">
        <f t="shared" si="1770"/>
        <v>ENTRADA</v>
      </c>
      <c r="C3705" t="str">
        <f t="shared" si="1779"/>
        <v>NFSE</v>
      </c>
      <c r="D3705" t="str">
        <f t="shared" si="1774"/>
        <v>3186</v>
      </c>
      <c r="E3705" t="str">
        <f t="shared" si="1777"/>
        <v>COM</v>
      </c>
      <c r="F3705" t="str">
        <f t="shared" si="1775"/>
        <v>FARMÁCIA INDIANA LJ 1 (10126)</v>
      </c>
      <c r="G3705" t="str">
        <f t="shared" si="1776"/>
        <v>Serv.Prest. 23/06/2025 a 29/06/2025 - RPS: 954 - NFSe: 3186</v>
      </c>
      <c r="H3705" t="str">
        <f t="shared" si="1780"/>
        <v>09/07/2025</v>
      </c>
      <c r="I3705" t="str">
        <f t="shared" si="1781"/>
        <v>01/07/2025</v>
      </c>
      <c r="J3705" t="str">
        <f t="shared" si="1782"/>
        <v>09/07/2025</v>
      </c>
      <c r="M3705">
        <v>303</v>
      </c>
      <c r="N3705" t="str">
        <f t="shared" si="1783"/>
        <v>RECEITAS COM ENTREGAS</v>
      </c>
      <c r="P3705">
        <v>64.12</v>
      </c>
      <c r="Q3705" t="str">
        <f>"FARMÁCIA INDIANA LJ 111 (10049)"</f>
        <v>FARMÁCIA INDIANA LJ 111 (10049)</v>
      </c>
      <c r="R3705" t="str">
        <f t="shared" si="1784"/>
        <v>RECEITAS COM ENTREGAS (303)</v>
      </c>
      <c r="S3705">
        <v>2012</v>
      </c>
      <c r="T3705">
        <v>1517</v>
      </c>
      <c r="U3705" t="s">
        <v>19</v>
      </c>
    </row>
    <row r="3706" spans="1:21">
      <c r="A3706" t="str">
        <f t="shared" si="1778"/>
        <v>09/07/2025</v>
      </c>
      <c r="B3706" t="str">
        <f t="shared" si="1770"/>
        <v>ENTRADA</v>
      </c>
      <c r="C3706" t="str">
        <f t="shared" si="1779"/>
        <v>NFSE</v>
      </c>
      <c r="D3706" t="str">
        <f t="shared" si="1774"/>
        <v>3186</v>
      </c>
      <c r="E3706" t="str">
        <f t="shared" si="1777"/>
        <v>COM</v>
      </c>
      <c r="F3706" t="str">
        <f t="shared" si="1775"/>
        <v>FARMÁCIA INDIANA LJ 1 (10126)</v>
      </c>
      <c r="G3706" t="str">
        <f t="shared" si="1776"/>
        <v>Serv.Prest. 23/06/2025 a 29/06/2025 - RPS: 954 - NFSe: 3186</v>
      </c>
      <c r="H3706" t="str">
        <f t="shared" si="1780"/>
        <v>09/07/2025</v>
      </c>
      <c r="I3706" t="str">
        <f t="shared" si="1781"/>
        <v>01/07/2025</v>
      </c>
      <c r="J3706" t="str">
        <f t="shared" si="1782"/>
        <v>09/07/2025</v>
      </c>
      <c r="M3706">
        <v>303</v>
      </c>
      <c r="N3706" t="str">
        <f t="shared" si="1783"/>
        <v>RECEITAS COM ENTREGAS</v>
      </c>
      <c r="P3706">
        <v>149.61000000000001</v>
      </c>
      <c r="Q3706" t="str">
        <f>"FARMÁCIA INDIANA LJ 112 (10050)"</f>
        <v>FARMÁCIA INDIANA LJ 112 (10050)</v>
      </c>
      <c r="R3706" t="str">
        <f t="shared" si="1784"/>
        <v>RECEITAS COM ENTREGAS (303)</v>
      </c>
      <c r="S3706">
        <v>2012</v>
      </c>
      <c r="T3706">
        <v>1517</v>
      </c>
      <c r="U3706" t="s">
        <v>19</v>
      </c>
    </row>
    <row r="3707" spans="1:21">
      <c r="A3707" t="str">
        <f t="shared" si="1778"/>
        <v>09/07/2025</v>
      </c>
      <c r="B3707" t="str">
        <f t="shared" si="1770"/>
        <v>ENTRADA</v>
      </c>
      <c r="C3707" t="str">
        <f t="shared" si="1779"/>
        <v>NFSE</v>
      </c>
      <c r="D3707" t="str">
        <f t="shared" si="1774"/>
        <v>3186</v>
      </c>
      <c r="E3707" t="str">
        <f t="shared" si="1777"/>
        <v>COM</v>
      </c>
      <c r="F3707" t="str">
        <f t="shared" si="1775"/>
        <v>FARMÁCIA INDIANA LJ 1 (10126)</v>
      </c>
      <c r="G3707" t="str">
        <f t="shared" si="1776"/>
        <v>Serv.Prest. 23/06/2025 a 29/06/2025 - RPS: 954 - NFSe: 3186</v>
      </c>
      <c r="H3707" t="str">
        <f t="shared" si="1780"/>
        <v>09/07/2025</v>
      </c>
      <c r="I3707" t="str">
        <f t="shared" si="1781"/>
        <v>01/07/2025</v>
      </c>
      <c r="J3707" t="str">
        <f t="shared" si="1782"/>
        <v>09/07/2025</v>
      </c>
      <c r="M3707">
        <v>303</v>
      </c>
      <c r="N3707" t="str">
        <f t="shared" si="1783"/>
        <v>RECEITAS COM ENTREGAS</v>
      </c>
      <c r="P3707">
        <v>149.61000000000001</v>
      </c>
      <c r="Q3707" t="str">
        <f>"FARMÁCIA INDIANA LJ 116 (10051)"</f>
        <v>FARMÁCIA INDIANA LJ 116 (10051)</v>
      </c>
      <c r="R3707" t="str">
        <f t="shared" si="1784"/>
        <v>RECEITAS COM ENTREGAS (303)</v>
      </c>
      <c r="S3707">
        <v>2012</v>
      </c>
      <c r="T3707">
        <v>1517</v>
      </c>
      <c r="U3707" t="s">
        <v>19</v>
      </c>
    </row>
    <row r="3708" spans="1:21">
      <c r="A3708" t="str">
        <f t="shared" si="1778"/>
        <v>09/07/2025</v>
      </c>
      <c r="B3708" t="str">
        <f t="shared" si="1770"/>
        <v>ENTRADA</v>
      </c>
      <c r="C3708" t="str">
        <f t="shared" si="1779"/>
        <v>NFSE</v>
      </c>
      <c r="D3708" t="str">
        <f t="shared" si="1774"/>
        <v>3186</v>
      </c>
      <c r="E3708" t="str">
        <f t="shared" si="1777"/>
        <v>COM</v>
      </c>
      <c r="F3708" t="str">
        <f t="shared" si="1775"/>
        <v>FARMÁCIA INDIANA LJ 1 (10126)</v>
      </c>
      <c r="G3708" t="str">
        <f t="shared" si="1776"/>
        <v>Serv.Prest. 23/06/2025 a 29/06/2025 - RPS: 954 - NFSe: 3186</v>
      </c>
      <c r="H3708" t="str">
        <f t="shared" si="1780"/>
        <v>09/07/2025</v>
      </c>
      <c r="I3708" t="str">
        <f t="shared" si="1781"/>
        <v>01/07/2025</v>
      </c>
      <c r="J3708" t="str">
        <f t="shared" si="1782"/>
        <v>09/07/2025</v>
      </c>
      <c r="M3708">
        <v>303</v>
      </c>
      <c r="N3708" t="str">
        <f t="shared" si="1783"/>
        <v>RECEITAS COM ENTREGAS</v>
      </c>
      <c r="P3708">
        <v>89.5</v>
      </c>
      <c r="Q3708" t="str">
        <f>"FARMÁCIA INDIANA LJ 118 (10052)"</f>
        <v>FARMÁCIA INDIANA LJ 118 (10052)</v>
      </c>
      <c r="R3708" t="str">
        <f t="shared" si="1784"/>
        <v>RECEITAS COM ENTREGAS (303)</v>
      </c>
      <c r="S3708">
        <v>2012</v>
      </c>
      <c r="T3708">
        <v>1517</v>
      </c>
      <c r="U3708" t="s">
        <v>19</v>
      </c>
    </row>
    <row r="3709" spans="1:21">
      <c r="A3709" t="str">
        <f t="shared" si="1778"/>
        <v>09/07/2025</v>
      </c>
      <c r="B3709" t="str">
        <f t="shared" si="1770"/>
        <v>ENTRADA</v>
      </c>
      <c r="C3709" t="str">
        <f t="shared" si="1779"/>
        <v>NFSE</v>
      </c>
      <c r="D3709" t="str">
        <f t="shared" si="1774"/>
        <v>3186</v>
      </c>
      <c r="E3709" t="str">
        <f t="shared" si="1777"/>
        <v>COM</v>
      </c>
      <c r="F3709" t="str">
        <f t="shared" si="1775"/>
        <v>FARMÁCIA INDIANA LJ 1 (10126)</v>
      </c>
      <c r="G3709" t="str">
        <f t="shared" si="1776"/>
        <v>Serv.Prest. 23/06/2025 a 29/06/2025 - RPS: 954 - NFSe: 3186</v>
      </c>
      <c r="H3709" t="str">
        <f t="shared" si="1780"/>
        <v>09/07/2025</v>
      </c>
      <c r="I3709" t="str">
        <f t="shared" si="1781"/>
        <v>01/07/2025</v>
      </c>
      <c r="J3709" t="str">
        <f t="shared" si="1782"/>
        <v>09/07/2025</v>
      </c>
      <c r="M3709">
        <v>303</v>
      </c>
      <c r="N3709" t="str">
        <f t="shared" si="1783"/>
        <v>RECEITAS COM ENTREGAS</v>
      </c>
      <c r="P3709">
        <v>149.61000000000001</v>
      </c>
      <c r="Q3709" t="str">
        <f>"FARMÁCIA INDIANA LJ 121 (10054)"</f>
        <v>FARMÁCIA INDIANA LJ 121 (10054)</v>
      </c>
      <c r="R3709" t="str">
        <f t="shared" si="1784"/>
        <v>RECEITAS COM ENTREGAS (303)</v>
      </c>
      <c r="S3709">
        <v>2012</v>
      </c>
      <c r="T3709">
        <v>1517</v>
      </c>
      <c r="U3709" t="s">
        <v>19</v>
      </c>
    </row>
    <row r="3710" spans="1:21">
      <c r="A3710" t="str">
        <f t="shared" si="1778"/>
        <v>09/07/2025</v>
      </c>
      <c r="B3710" t="str">
        <f t="shared" si="1770"/>
        <v>ENTRADA</v>
      </c>
      <c r="C3710" t="str">
        <f t="shared" si="1779"/>
        <v>NFSE</v>
      </c>
      <c r="D3710" t="str">
        <f t="shared" si="1774"/>
        <v>3186</v>
      </c>
      <c r="E3710" t="str">
        <f t="shared" si="1777"/>
        <v>COM</v>
      </c>
      <c r="F3710" t="str">
        <f t="shared" si="1775"/>
        <v>FARMÁCIA INDIANA LJ 1 (10126)</v>
      </c>
      <c r="G3710" t="str">
        <f t="shared" si="1776"/>
        <v>Serv.Prest. 23/06/2025 a 29/06/2025 - RPS: 954 - NFSe: 3186</v>
      </c>
      <c r="H3710" t="str">
        <f t="shared" si="1780"/>
        <v>09/07/2025</v>
      </c>
      <c r="I3710" t="str">
        <f t="shared" si="1781"/>
        <v>01/07/2025</v>
      </c>
      <c r="J3710" t="str">
        <f t="shared" si="1782"/>
        <v>09/07/2025</v>
      </c>
      <c r="M3710">
        <v>303</v>
      </c>
      <c r="N3710" t="str">
        <f t="shared" si="1783"/>
        <v>RECEITAS COM ENTREGAS</v>
      </c>
      <c r="P3710">
        <v>149.61000000000001</v>
      </c>
      <c r="Q3710" t="str">
        <f>"FARMÁCIA INDIANA LJ 128 (10057)"</f>
        <v>FARMÁCIA INDIANA LJ 128 (10057)</v>
      </c>
      <c r="R3710" t="str">
        <f t="shared" si="1784"/>
        <v>RECEITAS COM ENTREGAS (303)</v>
      </c>
      <c r="S3710">
        <v>2012</v>
      </c>
      <c r="T3710">
        <v>1517</v>
      </c>
      <c r="U3710" t="s">
        <v>19</v>
      </c>
    </row>
    <row r="3711" spans="1:21">
      <c r="A3711" t="str">
        <f t="shared" si="1778"/>
        <v>09/07/2025</v>
      </c>
      <c r="B3711" t="str">
        <f t="shared" si="1770"/>
        <v>ENTRADA</v>
      </c>
      <c r="C3711" t="str">
        <f t="shared" si="1779"/>
        <v>NFSE</v>
      </c>
      <c r="D3711" t="str">
        <f t="shared" si="1774"/>
        <v>3186</v>
      </c>
      <c r="E3711" t="str">
        <f t="shared" si="1777"/>
        <v>COM</v>
      </c>
      <c r="F3711" t="str">
        <f t="shared" si="1775"/>
        <v>FARMÁCIA INDIANA LJ 1 (10126)</v>
      </c>
      <c r="G3711" t="str">
        <f t="shared" si="1776"/>
        <v>Serv.Prest. 23/06/2025 a 29/06/2025 - RPS: 954 - NFSe: 3186</v>
      </c>
      <c r="H3711" t="str">
        <f t="shared" si="1780"/>
        <v>09/07/2025</v>
      </c>
      <c r="I3711" t="str">
        <f t="shared" si="1781"/>
        <v>01/07/2025</v>
      </c>
      <c r="J3711" t="str">
        <f t="shared" si="1782"/>
        <v>09/07/2025</v>
      </c>
      <c r="M3711">
        <v>303</v>
      </c>
      <c r="N3711" t="str">
        <f t="shared" si="1783"/>
        <v>RECEITAS COM ENTREGAS</v>
      </c>
      <c r="P3711">
        <v>60.11</v>
      </c>
      <c r="Q3711" t="str">
        <f>"FARMÁCIA INDIANA LJ 140 (10064)"</f>
        <v>FARMÁCIA INDIANA LJ 140 (10064)</v>
      </c>
      <c r="R3711" t="str">
        <f t="shared" si="1784"/>
        <v>RECEITAS COM ENTREGAS (303)</v>
      </c>
      <c r="S3711">
        <v>2012</v>
      </c>
      <c r="T3711">
        <v>1517</v>
      </c>
      <c r="U3711" t="s">
        <v>19</v>
      </c>
    </row>
    <row r="3712" spans="1:21">
      <c r="A3712" t="str">
        <f t="shared" si="1778"/>
        <v>09/07/2025</v>
      </c>
      <c r="B3712" t="str">
        <f t="shared" si="1770"/>
        <v>ENTRADA</v>
      </c>
      <c r="C3712" t="str">
        <f t="shared" si="1779"/>
        <v>NFSE</v>
      </c>
      <c r="D3712" t="str">
        <f t="shared" si="1774"/>
        <v>3186</v>
      </c>
      <c r="E3712" t="str">
        <f t="shared" si="1777"/>
        <v>COM</v>
      </c>
      <c r="F3712" t="str">
        <f t="shared" si="1775"/>
        <v>FARMÁCIA INDIANA LJ 1 (10126)</v>
      </c>
      <c r="G3712" t="str">
        <f t="shared" si="1776"/>
        <v>Serv.Prest. 23/06/2025 a 29/06/2025 - RPS: 954 - NFSe: 3186</v>
      </c>
      <c r="H3712" t="str">
        <f t="shared" si="1780"/>
        <v>09/07/2025</v>
      </c>
      <c r="I3712" t="str">
        <f t="shared" si="1781"/>
        <v>01/07/2025</v>
      </c>
      <c r="J3712" t="str">
        <f t="shared" si="1782"/>
        <v>09/07/2025</v>
      </c>
      <c r="M3712">
        <v>303</v>
      </c>
      <c r="N3712" t="str">
        <f t="shared" si="1783"/>
        <v>RECEITAS COM ENTREGAS</v>
      </c>
      <c r="P3712">
        <v>18.7</v>
      </c>
      <c r="Q3712" t="str">
        <f>"FARMÁCIA INDIANA LJ 141 (10065)"</f>
        <v>FARMÁCIA INDIANA LJ 141 (10065)</v>
      </c>
      <c r="R3712" t="str">
        <f t="shared" si="1784"/>
        <v>RECEITAS COM ENTREGAS (303)</v>
      </c>
      <c r="S3712">
        <v>2012</v>
      </c>
      <c r="T3712">
        <v>1517</v>
      </c>
      <c r="U3712" t="s">
        <v>19</v>
      </c>
    </row>
    <row r="3713" spans="1:21">
      <c r="A3713" t="str">
        <f t="shared" si="1778"/>
        <v>09/07/2025</v>
      </c>
      <c r="B3713" t="str">
        <f t="shared" si="1770"/>
        <v>ENTRADA</v>
      </c>
      <c r="C3713" t="str">
        <f t="shared" si="1779"/>
        <v>NFSE</v>
      </c>
      <c r="D3713" t="str">
        <f t="shared" si="1774"/>
        <v>3186</v>
      </c>
      <c r="E3713" t="str">
        <f t="shared" si="1777"/>
        <v>COM</v>
      </c>
      <c r="F3713" t="str">
        <f t="shared" si="1775"/>
        <v>FARMÁCIA INDIANA LJ 1 (10126)</v>
      </c>
      <c r="G3713" t="str">
        <f t="shared" si="1776"/>
        <v>Serv.Prest. 23/06/2025 a 29/06/2025 - RPS: 954 - NFSe: 3186</v>
      </c>
      <c r="H3713" t="str">
        <f t="shared" si="1780"/>
        <v>09/07/2025</v>
      </c>
      <c r="I3713" t="str">
        <f t="shared" si="1781"/>
        <v>01/07/2025</v>
      </c>
      <c r="J3713" t="str">
        <f t="shared" si="1782"/>
        <v>09/07/2025</v>
      </c>
      <c r="M3713">
        <v>303</v>
      </c>
      <c r="N3713" t="str">
        <f t="shared" si="1783"/>
        <v>RECEITAS COM ENTREGAS</v>
      </c>
      <c r="P3713">
        <v>677.24</v>
      </c>
      <c r="Q3713" t="str">
        <f>"FARMÁCIA INDIANA LJ 142 (10066)"</f>
        <v>FARMÁCIA INDIANA LJ 142 (10066)</v>
      </c>
      <c r="R3713" t="str">
        <f t="shared" si="1784"/>
        <v>RECEITAS COM ENTREGAS (303)</v>
      </c>
      <c r="S3713">
        <v>2012</v>
      </c>
      <c r="T3713">
        <v>1517</v>
      </c>
      <c r="U3713" t="s">
        <v>19</v>
      </c>
    </row>
    <row r="3714" spans="1:21">
      <c r="A3714" t="str">
        <f t="shared" si="1778"/>
        <v>09/07/2025</v>
      </c>
      <c r="B3714" t="str">
        <f t="shared" si="1770"/>
        <v>ENTRADA</v>
      </c>
      <c r="C3714" t="str">
        <f t="shared" si="1779"/>
        <v>NFSE</v>
      </c>
      <c r="D3714" t="str">
        <f t="shared" si="1774"/>
        <v>3186</v>
      </c>
      <c r="E3714" t="str">
        <f t="shared" si="1777"/>
        <v>COM</v>
      </c>
      <c r="F3714" t="str">
        <f t="shared" si="1775"/>
        <v>FARMÁCIA INDIANA LJ 1 (10126)</v>
      </c>
      <c r="G3714" t="str">
        <f t="shared" si="1776"/>
        <v>Serv.Prest. 23/06/2025 a 29/06/2025 - RPS: 954 - NFSe: 3186</v>
      </c>
      <c r="H3714" t="str">
        <f t="shared" si="1780"/>
        <v>09/07/2025</v>
      </c>
      <c r="I3714" t="str">
        <f t="shared" si="1781"/>
        <v>01/07/2025</v>
      </c>
      <c r="J3714" t="str">
        <f t="shared" si="1782"/>
        <v>09/07/2025</v>
      </c>
      <c r="M3714">
        <v>303</v>
      </c>
      <c r="N3714" t="str">
        <f t="shared" si="1783"/>
        <v>RECEITAS COM ENTREGAS</v>
      </c>
      <c r="P3714">
        <v>65.45</v>
      </c>
      <c r="Q3714" t="str">
        <f>"FARMÁCIA INDIANA LJ 143 (10067)"</f>
        <v>FARMÁCIA INDIANA LJ 143 (10067)</v>
      </c>
      <c r="R3714" t="str">
        <f t="shared" si="1784"/>
        <v>RECEITAS COM ENTREGAS (303)</v>
      </c>
      <c r="S3714">
        <v>2012</v>
      </c>
      <c r="T3714">
        <v>1517</v>
      </c>
      <c r="U3714" t="s">
        <v>19</v>
      </c>
    </row>
    <row r="3715" spans="1:21">
      <c r="A3715" t="str">
        <f t="shared" si="1778"/>
        <v>09/07/2025</v>
      </c>
      <c r="B3715" t="str">
        <f t="shared" si="1770"/>
        <v>ENTRADA</v>
      </c>
      <c r="C3715" t="str">
        <f t="shared" si="1779"/>
        <v>NFSE</v>
      </c>
      <c r="D3715" t="str">
        <f t="shared" si="1774"/>
        <v>3186</v>
      </c>
      <c r="E3715" t="str">
        <f t="shared" si="1777"/>
        <v>COM</v>
      </c>
      <c r="F3715" t="str">
        <f t="shared" si="1775"/>
        <v>FARMÁCIA INDIANA LJ 1 (10126)</v>
      </c>
      <c r="G3715" t="str">
        <f t="shared" si="1776"/>
        <v>Serv.Prest. 23/06/2025 a 29/06/2025 - RPS: 954 - NFSe: 3186</v>
      </c>
      <c r="H3715" t="str">
        <f t="shared" si="1780"/>
        <v>09/07/2025</v>
      </c>
      <c r="I3715" t="str">
        <f t="shared" si="1781"/>
        <v>01/07/2025</v>
      </c>
      <c r="J3715" t="str">
        <f t="shared" si="1782"/>
        <v>09/07/2025</v>
      </c>
      <c r="M3715">
        <v>303</v>
      </c>
      <c r="N3715" t="str">
        <f t="shared" si="1783"/>
        <v>RECEITAS COM ENTREGAS</v>
      </c>
      <c r="P3715">
        <v>166.97</v>
      </c>
      <c r="Q3715" t="str">
        <f>"FARMÁCIA INDIANA LJ 152 (10069)"</f>
        <v>FARMÁCIA INDIANA LJ 152 (10069)</v>
      </c>
      <c r="R3715" t="str">
        <f t="shared" si="1784"/>
        <v>RECEITAS COM ENTREGAS (303)</v>
      </c>
      <c r="S3715">
        <v>2012</v>
      </c>
      <c r="T3715">
        <v>1517</v>
      </c>
      <c r="U3715" t="s">
        <v>19</v>
      </c>
    </row>
    <row r="3716" spans="1:21">
      <c r="A3716" t="str">
        <f t="shared" si="1778"/>
        <v>09/07/2025</v>
      </c>
      <c r="B3716" t="str">
        <f t="shared" si="1770"/>
        <v>ENTRADA</v>
      </c>
      <c r="C3716" t="str">
        <f t="shared" si="1779"/>
        <v>NFSE</v>
      </c>
      <c r="D3716" t="str">
        <f t="shared" si="1774"/>
        <v>3186</v>
      </c>
      <c r="E3716" t="str">
        <f t="shared" si="1777"/>
        <v>COM</v>
      </c>
      <c r="F3716" t="str">
        <f t="shared" si="1775"/>
        <v>FARMÁCIA INDIANA LJ 1 (10126)</v>
      </c>
      <c r="G3716" t="str">
        <f t="shared" si="1776"/>
        <v>Serv.Prest. 23/06/2025 a 29/06/2025 - RPS: 954 - NFSe: 3186</v>
      </c>
      <c r="H3716" t="str">
        <f t="shared" si="1780"/>
        <v>09/07/2025</v>
      </c>
      <c r="I3716" t="str">
        <f t="shared" si="1781"/>
        <v>01/07/2025</v>
      </c>
      <c r="J3716" t="str">
        <f t="shared" si="1782"/>
        <v>09/07/2025</v>
      </c>
      <c r="M3716">
        <v>303</v>
      </c>
      <c r="N3716" t="str">
        <f t="shared" si="1783"/>
        <v>RECEITAS COM ENTREGAS</v>
      </c>
      <c r="P3716">
        <v>37.4</v>
      </c>
      <c r="Q3716" t="str">
        <f>"FARMÁCIA INDIANA LJ 154 (10070)"</f>
        <v>FARMÁCIA INDIANA LJ 154 (10070)</v>
      </c>
      <c r="R3716" t="str">
        <f t="shared" si="1784"/>
        <v>RECEITAS COM ENTREGAS (303)</v>
      </c>
      <c r="S3716">
        <v>2012</v>
      </c>
      <c r="T3716">
        <v>1517</v>
      </c>
      <c r="U3716" t="s">
        <v>19</v>
      </c>
    </row>
    <row r="3717" spans="1:21">
      <c r="A3717" t="str">
        <f t="shared" si="1778"/>
        <v>09/07/2025</v>
      </c>
      <c r="B3717" t="str">
        <f t="shared" si="1770"/>
        <v>ENTRADA</v>
      </c>
      <c r="C3717" t="str">
        <f t="shared" si="1779"/>
        <v>NFSE</v>
      </c>
      <c r="D3717" t="str">
        <f t="shared" si="1774"/>
        <v>3186</v>
      </c>
      <c r="E3717" t="str">
        <f t="shared" si="1777"/>
        <v>COM</v>
      </c>
      <c r="F3717" t="str">
        <f t="shared" si="1775"/>
        <v>FARMÁCIA INDIANA LJ 1 (10126)</v>
      </c>
      <c r="G3717" t="str">
        <f t="shared" si="1776"/>
        <v>Serv.Prest. 23/06/2025 a 29/06/2025 - RPS: 954 - NFSe: 3186</v>
      </c>
      <c r="H3717" t="str">
        <f t="shared" si="1780"/>
        <v>09/07/2025</v>
      </c>
      <c r="I3717" t="str">
        <f t="shared" si="1781"/>
        <v>01/07/2025</v>
      </c>
      <c r="J3717" t="str">
        <f t="shared" si="1782"/>
        <v>09/07/2025</v>
      </c>
      <c r="M3717">
        <v>303</v>
      </c>
      <c r="N3717" t="str">
        <f t="shared" si="1783"/>
        <v>RECEITAS COM ENTREGAS</v>
      </c>
      <c r="P3717">
        <v>321.92</v>
      </c>
      <c r="Q3717" t="str">
        <f>"FARMÁCIA INDIANA LJ 171 (10074)"</f>
        <v>FARMÁCIA INDIANA LJ 171 (10074)</v>
      </c>
      <c r="R3717" t="str">
        <f t="shared" si="1784"/>
        <v>RECEITAS COM ENTREGAS (303)</v>
      </c>
      <c r="S3717">
        <v>2012</v>
      </c>
      <c r="T3717">
        <v>1517</v>
      </c>
      <c r="U3717" t="s">
        <v>19</v>
      </c>
    </row>
    <row r="3718" spans="1:21">
      <c r="A3718" t="str">
        <f t="shared" si="1778"/>
        <v>09/07/2025</v>
      </c>
      <c r="B3718" t="str">
        <f t="shared" si="1770"/>
        <v>ENTRADA</v>
      </c>
      <c r="C3718" t="str">
        <f t="shared" si="1779"/>
        <v>NFSE</v>
      </c>
      <c r="D3718" t="str">
        <f t="shared" si="1774"/>
        <v>3186</v>
      </c>
      <c r="E3718" t="str">
        <f t="shared" si="1777"/>
        <v>COM</v>
      </c>
      <c r="F3718" t="str">
        <f t="shared" si="1775"/>
        <v>FARMÁCIA INDIANA LJ 1 (10126)</v>
      </c>
      <c r="G3718" t="str">
        <f t="shared" si="1776"/>
        <v>Serv.Prest. 23/06/2025 a 29/06/2025 - RPS: 954 - NFSe: 3186</v>
      </c>
      <c r="H3718" t="str">
        <f t="shared" si="1780"/>
        <v>09/07/2025</v>
      </c>
      <c r="I3718" t="str">
        <f t="shared" si="1781"/>
        <v>01/07/2025</v>
      </c>
      <c r="J3718" t="str">
        <f t="shared" si="1782"/>
        <v>09/07/2025</v>
      </c>
      <c r="M3718">
        <v>303</v>
      </c>
      <c r="N3718" t="str">
        <f t="shared" si="1783"/>
        <v>RECEITAS COM ENTREGAS</v>
      </c>
      <c r="P3718">
        <v>122.89</v>
      </c>
      <c r="Q3718" t="str">
        <f>"FARMÁCIA INDIANA LJ 175 (10076)"</f>
        <v>FARMÁCIA INDIANA LJ 175 (10076)</v>
      </c>
      <c r="R3718" t="str">
        <f t="shared" si="1784"/>
        <v>RECEITAS COM ENTREGAS (303)</v>
      </c>
      <c r="S3718">
        <v>2012</v>
      </c>
      <c r="T3718">
        <v>1517</v>
      </c>
      <c r="U3718" t="s">
        <v>19</v>
      </c>
    </row>
    <row r="3719" spans="1:21">
      <c r="A3719" t="str">
        <f t="shared" si="1778"/>
        <v>09/07/2025</v>
      </c>
      <c r="B3719" t="str">
        <f t="shared" si="1770"/>
        <v>ENTRADA</v>
      </c>
      <c r="C3719" t="str">
        <f t="shared" si="1779"/>
        <v>NFSE</v>
      </c>
      <c r="D3719" t="str">
        <f t="shared" si="1774"/>
        <v>3186</v>
      </c>
      <c r="E3719" t="str">
        <f t="shared" si="1777"/>
        <v>COM</v>
      </c>
      <c r="F3719" t="str">
        <f t="shared" si="1775"/>
        <v>FARMÁCIA INDIANA LJ 1 (10126)</v>
      </c>
      <c r="G3719" t="str">
        <f t="shared" si="1776"/>
        <v>Serv.Prest. 23/06/2025 a 29/06/2025 - RPS: 954 - NFSe: 3186</v>
      </c>
      <c r="H3719" t="str">
        <f t="shared" si="1780"/>
        <v>09/07/2025</v>
      </c>
      <c r="I3719" t="str">
        <f t="shared" si="1781"/>
        <v>01/07/2025</v>
      </c>
      <c r="J3719" t="str">
        <f t="shared" si="1782"/>
        <v>09/07/2025</v>
      </c>
      <c r="M3719">
        <v>303</v>
      </c>
      <c r="N3719" t="str">
        <f t="shared" si="1783"/>
        <v>RECEITAS COM ENTREGAS</v>
      </c>
      <c r="P3719">
        <v>110.87</v>
      </c>
      <c r="Q3719" t="str">
        <f>"FARMÁCIA INDIANA LJ 178 (10077)"</f>
        <v>FARMÁCIA INDIANA LJ 178 (10077)</v>
      </c>
      <c r="R3719" t="str">
        <f t="shared" si="1784"/>
        <v>RECEITAS COM ENTREGAS (303)</v>
      </c>
      <c r="S3719">
        <v>2012</v>
      </c>
      <c r="T3719">
        <v>1517</v>
      </c>
      <c r="U3719" t="s">
        <v>19</v>
      </c>
    </row>
    <row r="3720" spans="1:21">
      <c r="A3720" t="str">
        <f t="shared" si="1778"/>
        <v>09/07/2025</v>
      </c>
      <c r="B3720" t="str">
        <f t="shared" si="1770"/>
        <v>ENTRADA</v>
      </c>
      <c r="C3720" t="str">
        <f t="shared" si="1779"/>
        <v>NFSE</v>
      </c>
      <c r="D3720" t="str">
        <f t="shared" si="1774"/>
        <v>3186</v>
      </c>
      <c r="E3720" t="str">
        <f t="shared" si="1777"/>
        <v>COM</v>
      </c>
      <c r="F3720" t="str">
        <f t="shared" si="1775"/>
        <v>FARMÁCIA INDIANA LJ 1 (10126)</v>
      </c>
      <c r="G3720" t="str">
        <f t="shared" si="1776"/>
        <v>Serv.Prest. 23/06/2025 a 29/06/2025 - RPS: 954 - NFSe: 3186</v>
      </c>
      <c r="H3720" t="str">
        <f t="shared" si="1780"/>
        <v>09/07/2025</v>
      </c>
      <c r="I3720" t="str">
        <f t="shared" si="1781"/>
        <v>01/07/2025</v>
      </c>
      <c r="J3720" t="str">
        <f t="shared" si="1782"/>
        <v>09/07/2025</v>
      </c>
      <c r="M3720">
        <v>303</v>
      </c>
      <c r="N3720" t="str">
        <f t="shared" si="1783"/>
        <v>RECEITAS COM ENTREGAS</v>
      </c>
      <c r="P3720">
        <v>74.8</v>
      </c>
      <c r="Q3720" t="str">
        <f>"FARMÁCIA INDIANA LJ 182 (10079)"</f>
        <v>FARMÁCIA INDIANA LJ 182 (10079)</v>
      </c>
      <c r="R3720" t="str">
        <f t="shared" si="1784"/>
        <v>RECEITAS COM ENTREGAS (303)</v>
      </c>
      <c r="S3720">
        <v>2012</v>
      </c>
      <c r="T3720">
        <v>1517</v>
      </c>
      <c r="U3720" t="s">
        <v>19</v>
      </c>
    </row>
    <row r="3721" spans="1:21">
      <c r="A3721" t="str">
        <f t="shared" si="1778"/>
        <v>09/07/2025</v>
      </c>
      <c r="B3721" t="str">
        <f t="shared" si="1770"/>
        <v>ENTRADA</v>
      </c>
      <c r="C3721" t="str">
        <f t="shared" si="1779"/>
        <v>NFSE</v>
      </c>
      <c r="D3721" t="str">
        <f t="shared" si="1774"/>
        <v>3186</v>
      </c>
      <c r="E3721" t="str">
        <f t="shared" si="1777"/>
        <v>COM</v>
      </c>
      <c r="F3721" t="str">
        <f t="shared" si="1775"/>
        <v>FARMÁCIA INDIANA LJ 1 (10126)</v>
      </c>
      <c r="G3721" t="str">
        <f t="shared" si="1776"/>
        <v>Serv.Prest. 23/06/2025 a 29/06/2025 - RPS: 954 - NFSe: 3186</v>
      </c>
      <c r="H3721" t="str">
        <f t="shared" si="1780"/>
        <v>09/07/2025</v>
      </c>
      <c r="I3721" t="str">
        <f t="shared" si="1781"/>
        <v>01/07/2025</v>
      </c>
      <c r="J3721" t="str">
        <f t="shared" si="1782"/>
        <v>09/07/2025</v>
      </c>
      <c r="M3721">
        <v>303</v>
      </c>
      <c r="N3721" t="str">
        <f t="shared" si="1783"/>
        <v>RECEITAS COM ENTREGAS</v>
      </c>
      <c r="P3721">
        <v>40.07</v>
      </c>
      <c r="Q3721" t="str">
        <f>"FARMÁCIA INDIANA LJ 184 (10080)"</f>
        <v>FARMÁCIA INDIANA LJ 184 (10080)</v>
      </c>
      <c r="R3721" t="str">
        <f t="shared" si="1784"/>
        <v>RECEITAS COM ENTREGAS (303)</v>
      </c>
      <c r="S3721">
        <v>2012</v>
      </c>
      <c r="T3721">
        <v>1517</v>
      </c>
      <c r="U3721" t="s">
        <v>19</v>
      </c>
    </row>
    <row r="3722" spans="1:21">
      <c r="A3722" t="str">
        <f t="shared" si="1778"/>
        <v>09/07/2025</v>
      </c>
      <c r="B3722" t="str">
        <f t="shared" si="1770"/>
        <v>ENTRADA</v>
      </c>
      <c r="C3722" t="str">
        <f t="shared" si="1779"/>
        <v>NFSE</v>
      </c>
      <c r="D3722" t="str">
        <f t="shared" si="1774"/>
        <v>3186</v>
      </c>
      <c r="E3722" t="str">
        <f t="shared" si="1777"/>
        <v>COM</v>
      </c>
      <c r="F3722" t="str">
        <f t="shared" si="1775"/>
        <v>FARMÁCIA INDIANA LJ 1 (10126)</v>
      </c>
      <c r="G3722" t="str">
        <f t="shared" si="1776"/>
        <v>Serv.Prest. 23/06/2025 a 29/06/2025 - RPS: 954 - NFSe: 3186</v>
      </c>
      <c r="H3722" t="str">
        <f t="shared" si="1780"/>
        <v>09/07/2025</v>
      </c>
      <c r="I3722" t="str">
        <f t="shared" si="1781"/>
        <v>01/07/2025</v>
      </c>
      <c r="J3722" t="str">
        <f t="shared" si="1782"/>
        <v>09/07/2025</v>
      </c>
      <c r="M3722">
        <v>303</v>
      </c>
      <c r="N3722" t="str">
        <f t="shared" si="1783"/>
        <v>RECEITAS COM ENTREGAS</v>
      </c>
      <c r="P3722">
        <v>74.8</v>
      </c>
      <c r="Q3722" t="str">
        <f>"FARMÁCIA INDIANA LJ 186 (10081)"</f>
        <v>FARMÁCIA INDIANA LJ 186 (10081)</v>
      </c>
      <c r="R3722" t="str">
        <f t="shared" si="1784"/>
        <v>RECEITAS COM ENTREGAS (303)</v>
      </c>
      <c r="S3722">
        <v>2012</v>
      </c>
      <c r="T3722">
        <v>1517</v>
      </c>
      <c r="U3722" t="s">
        <v>19</v>
      </c>
    </row>
    <row r="3723" spans="1:21">
      <c r="A3723" t="str">
        <f t="shared" si="1778"/>
        <v>09/07/2025</v>
      </c>
      <c r="B3723" t="str">
        <f t="shared" si="1770"/>
        <v>ENTRADA</v>
      </c>
      <c r="C3723" t="str">
        <f t="shared" si="1779"/>
        <v>NFSE</v>
      </c>
      <c r="D3723" t="str">
        <f t="shared" si="1774"/>
        <v>3186</v>
      </c>
      <c r="E3723" t="str">
        <f t="shared" si="1777"/>
        <v>COM</v>
      </c>
      <c r="F3723" t="str">
        <f t="shared" si="1775"/>
        <v>FARMÁCIA INDIANA LJ 1 (10126)</v>
      </c>
      <c r="G3723" t="str">
        <f t="shared" si="1776"/>
        <v>Serv.Prest. 23/06/2025 a 29/06/2025 - RPS: 954 - NFSe: 3186</v>
      </c>
      <c r="H3723" t="str">
        <f t="shared" si="1780"/>
        <v>09/07/2025</v>
      </c>
      <c r="I3723" t="str">
        <f t="shared" si="1781"/>
        <v>01/07/2025</v>
      </c>
      <c r="J3723" t="str">
        <f t="shared" si="1782"/>
        <v>09/07/2025</v>
      </c>
      <c r="M3723">
        <v>303</v>
      </c>
      <c r="N3723" t="str">
        <f t="shared" si="1783"/>
        <v>RECEITAS COM ENTREGAS</v>
      </c>
      <c r="P3723">
        <v>92.17</v>
      </c>
      <c r="Q3723" t="str">
        <f>"FARMÁCIA INDIANA LJ 192 (10082)"</f>
        <v>FARMÁCIA INDIANA LJ 192 (10082)</v>
      </c>
      <c r="R3723" t="str">
        <f t="shared" si="1784"/>
        <v>RECEITAS COM ENTREGAS (303)</v>
      </c>
      <c r="S3723">
        <v>2012</v>
      </c>
      <c r="T3723">
        <v>1517</v>
      </c>
      <c r="U3723" t="s">
        <v>19</v>
      </c>
    </row>
    <row r="3724" spans="1:21">
      <c r="A3724" t="str">
        <f t="shared" si="1778"/>
        <v>09/07/2025</v>
      </c>
      <c r="B3724" t="str">
        <f t="shared" si="1770"/>
        <v>ENTRADA</v>
      </c>
      <c r="C3724" t="str">
        <f t="shared" si="1779"/>
        <v>NFSE</v>
      </c>
      <c r="D3724" t="str">
        <f t="shared" si="1774"/>
        <v>3186</v>
      </c>
      <c r="E3724" t="str">
        <f t="shared" si="1777"/>
        <v>COM</v>
      </c>
      <c r="F3724" t="str">
        <f t="shared" si="1775"/>
        <v>FARMÁCIA INDIANA LJ 1 (10126)</v>
      </c>
      <c r="G3724" t="str">
        <f t="shared" si="1776"/>
        <v>Serv.Prest. 23/06/2025 a 29/06/2025 - RPS: 954 - NFSe: 3186</v>
      </c>
      <c r="H3724" t="str">
        <f t="shared" si="1780"/>
        <v>09/07/2025</v>
      </c>
      <c r="I3724" t="str">
        <f t="shared" si="1781"/>
        <v>01/07/2025</v>
      </c>
      <c r="J3724" t="str">
        <f t="shared" si="1782"/>
        <v>09/07/2025</v>
      </c>
      <c r="M3724">
        <v>303</v>
      </c>
      <c r="N3724" t="str">
        <f t="shared" si="1783"/>
        <v>RECEITAS COM ENTREGAS</v>
      </c>
      <c r="P3724">
        <v>40.07</v>
      </c>
      <c r="Q3724" t="str">
        <f>"FARMÁCIA INDIANA LJ 195 (10083)"</f>
        <v>FARMÁCIA INDIANA LJ 195 (10083)</v>
      </c>
      <c r="R3724" t="str">
        <f t="shared" si="1784"/>
        <v>RECEITAS COM ENTREGAS (303)</v>
      </c>
      <c r="S3724">
        <v>2012</v>
      </c>
      <c r="T3724">
        <v>1517</v>
      </c>
      <c r="U3724" t="s">
        <v>19</v>
      </c>
    </row>
    <row r="3725" spans="1:21">
      <c r="A3725" t="str">
        <f t="shared" si="1778"/>
        <v>09/07/2025</v>
      </c>
      <c r="B3725" t="str">
        <f t="shared" si="1770"/>
        <v>ENTRADA</v>
      </c>
      <c r="C3725" t="str">
        <f t="shared" si="1779"/>
        <v>NFSE</v>
      </c>
      <c r="D3725" t="str">
        <f t="shared" si="1774"/>
        <v>3186</v>
      </c>
      <c r="E3725" t="str">
        <f t="shared" si="1777"/>
        <v>COM</v>
      </c>
      <c r="F3725" t="str">
        <f t="shared" si="1775"/>
        <v>FARMÁCIA INDIANA LJ 1 (10126)</v>
      </c>
      <c r="G3725" t="str">
        <f t="shared" si="1776"/>
        <v>Serv.Prest. 23/06/2025 a 29/06/2025 - RPS: 954 - NFSe: 3186</v>
      </c>
      <c r="H3725" t="str">
        <f t="shared" si="1780"/>
        <v>09/07/2025</v>
      </c>
      <c r="I3725" t="str">
        <f t="shared" si="1781"/>
        <v>01/07/2025</v>
      </c>
      <c r="J3725" t="str">
        <f t="shared" si="1782"/>
        <v>09/07/2025</v>
      </c>
      <c r="M3725">
        <v>303</v>
      </c>
      <c r="N3725" t="str">
        <f t="shared" si="1783"/>
        <v>RECEITAS COM ENTREGAS</v>
      </c>
      <c r="P3725">
        <v>149.61000000000001</v>
      </c>
      <c r="Q3725" t="str">
        <f>"FARMÁCIA INDIANA LJ 202 (10085)"</f>
        <v>FARMÁCIA INDIANA LJ 202 (10085)</v>
      </c>
      <c r="R3725" t="str">
        <f t="shared" si="1784"/>
        <v>RECEITAS COM ENTREGAS (303)</v>
      </c>
      <c r="S3725">
        <v>2012</v>
      </c>
      <c r="T3725">
        <v>1517</v>
      </c>
      <c r="U3725" t="s">
        <v>19</v>
      </c>
    </row>
    <row r="3726" spans="1:21">
      <c r="A3726" t="str">
        <f t="shared" si="1778"/>
        <v>09/07/2025</v>
      </c>
      <c r="B3726" t="str">
        <f t="shared" si="1770"/>
        <v>ENTRADA</v>
      </c>
      <c r="C3726" t="str">
        <f t="shared" si="1779"/>
        <v>NFSE</v>
      </c>
      <c r="D3726" t="str">
        <f t="shared" si="1774"/>
        <v>3186</v>
      </c>
      <c r="E3726" t="str">
        <f t="shared" si="1777"/>
        <v>COM</v>
      </c>
      <c r="F3726" t="str">
        <f t="shared" si="1775"/>
        <v>FARMÁCIA INDIANA LJ 1 (10126)</v>
      </c>
      <c r="G3726" t="str">
        <f t="shared" si="1776"/>
        <v>Serv.Prest. 23/06/2025 a 29/06/2025 - RPS: 954 - NFSe: 3186</v>
      </c>
      <c r="H3726" t="str">
        <f t="shared" si="1780"/>
        <v>09/07/2025</v>
      </c>
      <c r="I3726" t="str">
        <f t="shared" si="1781"/>
        <v>01/07/2025</v>
      </c>
      <c r="J3726" t="str">
        <f t="shared" si="1782"/>
        <v>09/07/2025</v>
      </c>
      <c r="M3726">
        <v>303</v>
      </c>
      <c r="N3726" t="str">
        <f t="shared" si="1783"/>
        <v>RECEITAS COM ENTREGAS</v>
      </c>
      <c r="P3726">
        <v>106.86</v>
      </c>
      <c r="Q3726" t="str">
        <f>"FARMÁCIA INDIANA LJ 204 (10087)"</f>
        <v>FARMÁCIA INDIANA LJ 204 (10087)</v>
      </c>
      <c r="R3726" t="str">
        <f t="shared" si="1784"/>
        <v>RECEITAS COM ENTREGAS (303)</v>
      </c>
      <c r="S3726">
        <v>2012</v>
      </c>
      <c r="T3726">
        <v>1517</v>
      </c>
      <c r="U3726" t="s">
        <v>19</v>
      </c>
    </row>
    <row r="3727" spans="1:21">
      <c r="A3727" t="str">
        <f t="shared" si="1778"/>
        <v>09/07/2025</v>
      </c>
      <c r="B3727" t="str">
        <f t="shared" si="1770"/>
        <v>ENTRADA</v>
      </c>
      <c r="C3727" t="str">
        <f t="shared" si="1779"/>
        <v>NFSE</v>
      </c>
      <c r="D3727" t="str">
        <f t="shared" si="1774"/>
        <v>3186</v>
      </c>
      <c r="E3727" t="str">
        <f t="shared" si="1777"/>
        <v>COM</v>
      </c>
      <c r="F3727" t="str">
        <f t="shared" si="1775"/>
        <v>FARMÁCIA INDIANA LJ 1 (10126)</v>
      </c>
      <c r="G3727" t="str">
        <f t="shared" si="1776"/>
        <v>Serv.Prest. 23/06/2025 a 29/06/2025 - RPS: 954 - NFSe: 3186</v>
      </c>
      <c r="H3727" t="str">
        <f t="shared" si="1780"/>
        <v>09/07/2025</v>
      </c>
      <c r="I3727" t="str">
        <f t="shared" si="1781"/>
        <v>01/07/2025</v>
      </c>
      <c r="J3727" t="str">
        <f t="shared" si="1782"/>
        <v>09/07/2025</v>
      </c>
      <c r="M3727">
        <v>303</v>
      </c>
      <c r="N3727" t="str">
        <f t="shared" si="1783"/>
        <v>RECEITAS COM ENTREGAS</v>
      </c>
      <c r="P3727">
        <v>106.86</v>
      </c>
      <c r="Q3727" t="str">
        <f>"FARMÁCIA INDIANA LJ 207 (10088)"</f>
        <v>FARMÁCIA INDIANA LJ 207 (10088)</v>
      </c>
      <c r="R3727" t="str">
        <f t="shared" si="1784"/>
        <v>RECEITAS COM ENTREGAS (303)</v>
      </c>
      <c r="S3727">
        <v>2012</v>
      </c>
      <c r="T3727">
        <v>1517</v>
      </c>
      <c r="U3727" t="s">
        <v>19</v>
      </c>
    </row>
    <row r="3728" spans="1:21">
      <c r="A3728" t="str">
        <f t="shared" si="1778"/>
        <v>09/07/2025</v>
      </c>
      <c r="B3728" t="str">
        <f t="shared" si="1770"/>
        <v>ENTRADA</v>
      </c>
      <c r="C3728" t="str">
        <f t="shared" si="1779"/>
        <v>NFSE</v>
      </c>
      <c r="D3728" t="str">
        <f t="shared" si="1774"/>
        <v>3186</v>
      </c>
      <c r="E3728" t="str">
        <f t="shared" si="1777"/>
        <v>COM</v>
      </c>
      <c r="F3728" t="str">
        <f t="shared" si="1775"/>
        <v>FARMÁCIA INDIANA LJ 1 (10126)</v>
      </c>
      <c r="G3728" t="str">
        <f t="shared" si="1776"/>
        <v>Serv.Prest. 23/06/2025 a 29/06/2025 - RPS: 954 - NFSe: 3186</v>
      </c>
      <c r="H3728" t="str">
        <f t="shared" si="1780"/>
        <v>09/07/2025</v>
      </c>
      <c r="I3728" t="str">
        <f t="shared" si="1781"/>
        <v>01/07/2025</v>
      </c>
      <c r="J3728" t="str">
        <f t="shared" si="1782"/>
        <v>09/07/2025</v>
      </c>
      <c r="M3728">
        <v>303</v>
      </c>
      <c r="N3728" t="str">
        <f t="shared" si="1783"/>
        <v>RECEITAS COM ENTREGAS</v>
      </c>
      <c r="P3728">
        <v>125.56</v>
      </c>
      <c r="Q3728" t="str">
        <f>"FARMÁCIA INDIANA LJ 209 (10089)"</f>
        <v>FARMÁCIA INDIANA LJ 209 (10089)</v>
      </c>
      <c r="R3728" t="str">
        <f t="shared" si="1784"/>
        <v>RECEITAS COM ENTREGAS (303)</v>
      </c>
      <c r="S3728">
        <v>2012</v>
      </c>
      <c r="T3728">
        <v>1517</v>
      </c>
      <c r="U3728" t="s">
        <v>19</v>
      </c>
    </row>
    <row r="3729" spans="1:21">
      <c r="A3729" t="str">
        <f t="shared" si="1778"/>
        <v>09/07/2025</v>
      </c>
      <c r="B3729" t="str">
        <f t="shared" si="1770"/>
        <v>ENTRADA</v>
      </c>
      <c r="C3729" t="str">
        <f t="shared" si="1779"/>
        <v>NFSE</v>
      </c>
      <c r="D3729" t="str">
        <f t="shared" si="1774"/>
        <v>3186</v>
      </c>
      <c r="E3729" t="str">
        <f t="shared" si="1777"/>
        <v>COM</v>
      </c>
      <c r="F3729" t="str">
        <f t="shared" si="1775"/>
        <v>FARMÁCIA INDIANA LJ 1 (10126)</v>
      </c>
      <c r="G3729" t="str">
        <f t="shared" si="1776"/>
        <v>Serv.Prest. 23/06/2025 a 29/06/2025 - RPS: 954 - NFSe: 3186</v>
      </c>
      <c r="H3729" t="str">
        <f t="shared" si="1780"/>
        <v>09/07/2025</v>
      </c>
      <c r="I3729" t="str">
        <f t="shared" si="1781"/>
        <v>01/07/2025</v>
      </c>
      <c r="J3729" t="str">
        <f t="shared" si="1782"/>
        <v>09/07/2025</v>
      </c>
      <c r="M3729">
        <v>303</v>
      </c>
      <c r="N3729" t="str">
        <f t="shared" si="1783"/>
        <v>RECEITAS COM ENTREGAS</v>
      </c>
      <c r="P3729">
        <v>191.02</v>
      </c>
      <c r="Q3729" t="str">
        <f>"FARMÁCIA INDIANA LJ 219 (10091)"</f>
        <v>FARMÁCIA INDIANA LJ 219 (10091)</v>
      </c>
      <c r="R3729" t="str">
        <f t="shared" si="1784"/>
        <v>RECEITAS COM ENTREGAS (303)</v>
      </c>
      <c r="S3729">
        <v>2012</v>
      </c>
      <c r="T3729">
        <v>1517</v>
      </c>
      <c r="U3729" t="s">
        <v>19</v>
      </c>
    </row>
    <row r="3730" spans="1:21">
      <c r="A3730" t="str">
        <f t="shared" ref="A3730:A3752" si="1785">("09/07/2025")</f>
        <v>09/07/2025</v>
      </c>
      <c r="B3730" t="str">
        <f t="shared" si="1770"/>
        <v>ENTRADA</v>
      </c>
      <c r="C3730" t="str">
        <f t="shared" ref="C3730:C3744" si="1786">"NFSE"</f>
        <v>NFSE</v>
      </c>
      <c r="D3730" t="str">
        <f t="shared" si="1774"/>
        <v>3186</v>
      </c>
      <c r="E3730" t="str">
        <f t="shared" si="1777"/>
        <v>COM</v>
      </c>
      <c r="F3730" t="str">
        <f t="shared" si="1775"/>
        <v>FARMÁCIA INDIANA LJ 1 (10126)</v>
      </c>
      <c r="G3730" t="str">
        <f t="shared" si="1776"/>
        <v>Serv.Prest. 23/06/2025 a 29/06/2025 - RPS: 954 - NFSe: 3186</v>
      </c>
      <c r="H3730" t="str">
        <f t="shared" ref="H3730:H3761" si="1787">("09/07/2025")</f>
        <v>09/07/2025</v>
      </c>
      <c r="I3730" t="str">
        <f t="shared" si="1781"/>
        <v>01/07/2025</v>
      </c>
      <c r="J3730" t="str">
        <f t="shared" ref="J3730:J3752" si="1788">("09/07/2025")</f>
        <v>09/07/2025</v>
      </c>
      <c r="M3730">
        <v>303</v>
      </c>
      <c r="N3730" t="str">
        <f t="shared" ref="N3730:N3744" si="1789">"RECEITAS COM ENTREGAS"</f>
        <v>RECEITAS COM ENTREGAS</v>
      </c>
      <c r="P3730">
        <v>176.32</v>
      </c>
      <c r="Q3730" t="str">
        <f>"FARMÁCIA INDIANA LJ 220 (10092)"</f>
        <v>FARMÁCIA INDIANA LJ 220 (10092)</v>
      </c>
      <c r="R3730" t="str">
        <f t="shared" ref="R3730:R3744" si="1790">"RECEITAS COM ENTREGAS (303)"</f>
        <v>RECEITAS COM ENTREGAS (303)</v>
      </c>
      <c r="S3730">
        <v>2012</v>
      </c>
      <c r="T3730">
        <v>1517</v>
      </c>
      <c r="U3730" t="s">
        <v>19</v>
      </c>
    </row>
    <row r="3731" spans="1:21">
      <c r="A3731" t="str">
        <f t="shared" si="1785"/>
        <v>09/07/2025</v>
      </c>
      <c r="B3731" t="str">
        <f t="shared" ref="B3731:B3744" si="1791">"ENTRADA"</f>
        <v>ENTRADA</v>
      </c>
      <c r="C3731" t="str">
        <f t="shared" si="1786"/>
        <v>NFSE</v>
      </c>
      <c r="D3731" t="str">
        <f t="shared" si="1774"/>
        <v>3186</v>
      </c>
      <c r="E3731" t="str">
        <f t="shared" si="1777"/>
        <v>COM</v>
      </c>
      <c r="F3731" t="str">
        <f t="shared" si="1775"/>
        <v>FARMÁCIA INDIANA LJ 1 (10126)</v>
      </c>
      <c r="G3731" t="str">
        <f t="shared" si="1776"/>
        <v>Serv.Prest. 23/06/2025 a 29/06/2025 - RPS: 954 - NFSe: 3186</v>
      </c>
      <c r="H3731" t="str">
        <f t="shared" si="1787"/>
        <v>09/07/2025</v>
      </c>
      <c r="I3731" t="str">
        <f t="shared" si="1781"/>
        <v>01/07/2025</v>
      </c>
      <c r="J3731" t="str">
        <f t="shared" si="1788"/>
        <v>09/07/2025</v>
      </c>
      <c r="M3731">
        <v>303</v>
      </c>
      <c r="N3731" t="str">
        <f t="shared" si="1789"/>
        <v>RECEITAS COM ENTREGAS</v>
      </c>
      <c r="P3731">
        <v>193.69</v>
      </c>
      <c r="Q3731" t="str">
        <f>"FARMÁCIA INDIANA LJ 185 (10141)"</f>
        <v>FARMÁCIA INDIANA LJ 185 (10141)</v>
      </c>
      <c r="R3731" t="str">
        <f t="shared" si="1790"/>
        <v>RECEITAS COM ENTREGAS (303)</v>
      </c>
      <c r="S3731">
        <v>2012</v>
      </c>
      <c r="T3731">
        <v>1517</v>
      </c>
      <c r="U3731" t="s">
        <v>19</v>
      </c>
    </row>
    <row r="3732" spans="1:21">
      <c r="A3732" t="str">
        <f t="shared" si="1785"/>
        <v>09/07/2025</v>
      </c>
      <c r="B3732" t="str">
        <f t="shared" si="1791"/>
        <v>ENTRADA</v>
      </c>
      <c r="C3732" t="str">
        <f t="shared" si="1786"/>
        <v>NFSE</v>
      </c>
      <c r="D3732" t="str">
        <f t="shared" si="1774"/>
        <v>3186</v>
      </c>
      <c r="E3732" t="str">
        <f t="shared" si="1777"/>
        <v>COM</v>
      </c>
      <c r="F3732" t="str">
        <f t="shared" si="1775"/>
        <v>FARMÁCIA INDIANA LJ 1 (10126)</v>
      </c>
      <c r="G3732" t="str">
        <f t="shared" si="1776"/>
        <v>Serv.Prest. 23/06/2025 a 29/06/2025 - RPS: 954 - NFSe: 3186</v>
      </c>
      <c r="H3732" t="str">
        <f t="shared" si="1787"/>
        <v>09/07/2025</v>
      </c>
      <c r="I3732" t="str">
        <f t="shared" si="1781"/>
        <v>01/07/2025</v>
      </c>
      <c r="J3732" t="str">
        <f t="shared" si="1788"/>
        <v>09/07/2025</v>
      </c>
      <c r="M3732">
        <v>303</v>
      </c>
      <c r="N3732" t="str">
        <f t="shared" si="1789"/>
        <v>RECEITAS COM ENTREGAS</v>
      </c>
      <c r="P3732">
        <v>613.12</v>
      </c>
      <c r="Q3732" t="str">
        <f>"FARMÁCIA INDIANA LJ 172 (10161)"</f>
        <v>FARMÁCIA INDIANA LJ 172 (10161)</v>
      </c>
      <c r="R3732" t="str">
        <f t="shared" si="1790"/>
        <v>RECEITAS COM ENTREGAS (303)</v>
      </c>
      <c r="S3732">
        <v>2012</v>
      </c>
      <c r="T3732">
        <v>1517</v>
      </c>
      <c r="U3732" t="s">
        <v>19</v>
      </c>
    </row>
    <row r="3733" spans="1:21">
      <c r="A3733" t="str">
        <f t="shared" si="1785"/>
        <v>09/07/2025</v>
      </c>
      <c r="B3733" t="str">
        <f t="shared" si="1791"/>
        <v>ENTRADA</v>
      </c>
      <c r="C3733" t="str">
        <f t="shared" si="1786"/>
        <v>NFSE</v>
      </c>
      <c r="D3733" t="str">
        <f>"3196"</f>
        <v>3196</v>
      </c>
      <c r="E3733" t="str">
        <f t="shared" si="1777"/>
        <v>COM</v>
      </c>
      <c r="F3733" t="str">
        <f>"ENTREFARMA (10164)"</f>
        <v>ENTREFARMA (10164)</v>
      </c>
      <c r="G3733" t="str">
        <f>"Serv.Prest. 30/06/2025 a 06/07/2025 - RPS: 963 - NFSe: 3196"</f>
        <v>Serv.Prest. 30/06/2025 a 06/07/2025 - RPS: 963 - NFSe: 3196</v>
      </c>
      <c r="H3733" t="str">
        <f t="shared" si="1787"/>
        <v>09/07/2025</v>
      </c>
      <c r="I3733" t="str">
        <f t="shared" ref="I3733:I3742" si="1792">("07/07/2025")</f>
        <v>07/07/2025</v>
      </c>
      <c r="J3733" t="str">
        <f t="shared" si="1788"/>
        <v>09/07/2025</v>
      </c>
      <c r="K3733">
        <v>764.32</v>
      </c>
      <c r="L3733">
        <v>764.32</v>
      </c>
      <c r="M3733">
        <v>303</v>
      </c>
      <c r="N3733" t="str">
        <f t="shared" si="1789"/>
        <v>RECEITAS COM ENTREGAS</v>
      </c>
      <c r="O3733">
        <v>764.32</v>
      </c>
      <c r="R3733" t="str">
        <f t="shared" si="1790"/>
        <v>RECEITAS COM ENTREGAS (303)</v>
      </c>
      <c r="S3733">
        <v>2013</v>
      </c>
      <c r="T3733">
        <v>1527</v>
      </c>
      <c r="U3733" t="s">
        <v>19</v>
      </c>
    </row>
    <row r="3734" spans="1:21">
      <c r="A3734" t="str">
        <f t="shared" si="1785"/>
        <v>09/07/2025</v>
      </c>
      <c r="B3734" t="str">
        <f t="shared" si="1791"/>
        <v>ENTRADA</v>
      </c>
      <c r="C3734" t="str">
        <f t="shared" si="1786"/>
        <v>NFSE</v>
      </c>
      <c r="D3734" t="str">
        <f>"3196"</f>
        <v>3196</v>
      </c>
      <c r="E3734" t="str">
        <f t="shared" si="1777"/>
        <v>COM</v>
      </c>
      <c r="F3734" t="str">
        <f>"ENTREFARMA (10164)"</f>
        <v>ENTREFARMA (10164)</v>
      </c>
      <c r="G3734" t="str">
        <f>"Serv.Prest. 30/06/2025 a 06/07/2025 - RPS: 963 - NFSe: 3196"</f>
        <v>Serv.Prest. 30/06/2025 a 06/07/2025 - RPS: 963 - NFSe: 3196</v>
      </c>
      <c r="H3734" t="str">
        <f t="shared" si="1787"/>
        <v>09/07/2025</v>
      </c>
      <c r="I3734" t="str">
        <f t="shared" si="1792"/>
        <v>07/07/2025</v>
      </c>
      <c r="J3734" t="str">
        <f t="shared" si="1788"/>
        <v>09/07/2025</v>
      </c>
      <c r="M3734">
        <v>303</v>
      </c>
      <c r="N3734" t="str">
        <f t="shared" si="1789"/>
        <v>RECEITAS COM ENTREGAS</v>
      </c>
      <c r="P3734">
        <v>764.32</v>
      </c>
      <c r="Q3734" t="str">
        <f>"ENTREFARMA (10164)"</f>
        <v>ENTREFARMA (10164)</v>
      </c>
      <c r="R3734" t="str">
        <f t="shared" si="1790"/>
        <v>RECEITAS COM ENTREGAS (303)</v>
      </c>
      <c r="S3734">
        <v>2013</v>
      </c>
      <c r="T3734">
        <v>1527</v>
      </c>
      <c r="U3734" t="s">
        <v>19</v>
      </c>
    </row>
    <row r="3735" spans="1:21">
      <c r="A3735" t="str">
        <f t="shared" si="1785"/>
        <v>09/07/2025</v>
      </c>
      <c r="B3735" t="str">
        <f t="shared" si="1791"/>
        <v>ENTRADA</v>
      </c>
      <c r="C3735" t="str">
        <f t="shared" si="1786"/>
        <v>NFSE</v>
      </c>
      <c r="D3735" t="str">
        <f>"3199"</f>
        <v>3199</v>
      </c>
      <c r="E3735" t="str">
        <f t="shared" si="1777"/>
        <v>COM</v>
      </c>
      <c r="F3735" t="str">
        <f>"DELTA LOJA 2 (10123)"</f>
        <v>DELTA LOJA 2 (10123)</v>
      </c>
      <c r="G3735" t="str">
        <f>"Serv.Prest. 30/06/2025 a 06/07/2025 - RPS: 966 - NFSe: 3199"</f>
        <v>Serv.Prest. 30/06/2025 a 06/07/2025 - RPS: 966 - NFSe: 3199</v>
      </c>
      <c r="H3735" t="str">
        <f t="shared" si="1787"/>
        <v>09/07/2025</v>
      </c>
      <c r="I3735" t="str">
        <f t="shared" si="1792"/>
        <v>07/07/2025</v>
      </c>
      <c r="J3735" t="str">
        <f t="shared" si="1788"/>
        <v>09/07/2025</v>
      </c>
      <c r="K3735">
        <v>480.48</v>
      </c>
      <c r="L3735">
        <v>480.48</v>
      </c>
      <c r="M3735">
        <v>303</v>
      </c>
      <c r="N3735" t="str">
        <f t="shared" si="1789"/>
        <v>RECEITAS COM ENTREGAS</v>
      </c>
      <c r="O3735">
        <v>480.48</v>
      </c>
      <c r="R3735" t="str">
        <f t="shared" si="1790"/>
        <v>RECEITAS COM ENTREGAS (303)</v>
      </c>
      <c r="S3735">
        <v>2014</v>
      </c>
      <c r="T3735">
        <v>1530</v>
      </c>
      <c r="U3735" t="s">
        <v>19</v>
      </c>
    </row>
    <row r="3736" spans="1:21">
      <c r="A3736" t="str">
        <f t="shared" si="1785"/>
        <v>09/07/2025</v>
      </c>
      <c r="B3736" t="str">
        <f t="shared" si="1791"/>
        <v>ENTRADA</v>
      </c>
      <c r="C3736" t="str">
        <f t="shared" si="1786"/>
        <v>NFSE</v>
      </c>
      <c r="D3736" t="str">
        <f>"3199"</f>
        <v>3199</v>
      </c>
      <c r="E3736" t="str">
        <f t="shared" si="1777"/>
        <v>COM</v>
      </c>
      <c r="F3736" t="str">
        <f>"DELTA LOJA 2 (10123)"</f>
        <v>DELTA LOJA 2 (10123)</v>
      </c>
      <c r="G3736" t="str">
        <f>"Serv.Prest. 30/06/2025 a 06/07/2025 - RPS: 966 - NFSe: 3199"</f>
        <v>Serv.Prest. 30/06/2025 a 06/07/2025 - RPS: 966 - NFSe: 3199</v>
      </c>
      <c r="H3736" t="str">
        <f t="shared" si="1787"/>
        <v>09/07/2025</v>
      </c>
      <c r="I3736" t="str">
        <f t="shared" si="1792"/>
        <v>07/07/2025</v>
      </c>
      <c r="J3736" t="str">
        <f t="shared" si="1788"/>
        <v>09/07/2025</v>
      </c>
      <c r="M3736">
        <v>303</v>
      </c>
      <c r="N3736" t="str">
        <f t="shared" si="1789"/>
        <v>RECEITAS COM ENTREGAS</v>
      </c>
      <c r="P3736">
        <v>480.48</v>
      </c>
      <c r="Q3736" t="str">
        <f>"DELTA LOJA 2 (10123)"</f>
        <v>DELTA LOJA 2 (10123)</v>
      </c>
      <c r="R3736" t="str">
        <f t="shared" si="1790"/>
        <v>RECEITAS COM ENTREGAS (303)</v>
      </c>
      <c r="S3736">
        <v>2014</v>
      </c>
      <c r="T3736">
        <v>1530</v>
      </c>
      <c r="U3736" t="s">
        <v>19</v>
      </c>
    </row>
    <row r="3737" spans="1:21">
      <c r="A3737" t="str">
        <f t="shared" si="1785"/>
        <v>09/07/2025</v>
      </c>
      <c r="B3737" t="str">
        <f t="shared" si="1791"/>
        <v>ENTRADA</v>
      </c>
      <c r="C3737" t="str">
        <f t="shared" si="1786"/>
        <v>NFSE</v>
      </c>
      <c r="D3737" t="str">
        <f>"3206"</f>
        <v>3206</v>
      </c>
      <c r="E3737" t="str">
        <f t="shared" si="1777"/>
        <v>COM</v>
      </c>
      <c r="F3737" t="str">
        <f>"DROGARIA ANA VISCONDE DO RIO BRANCO (10180)"</f>
        <v>DROGARIA ANA VISCONDE DO RIO BRANCO (10180)</v>
      </c>
      <c r="G3737" t="str">
        <f>"Serv.Prest. 30/06/2025 a 06/07/2025 - RPS: 973 - NFSe: 3206"</f>
        <v>Serv.Prest. 30/06/2025 a 06/07/2025 - RPS: 973 - NFSe: 3206</v>
      </c>
      <c r="H3737" t="str">
        <f t="shared" si="1787"/>
        <v>09/07/2025</v>
      </c>
      <c r="I3737" t="str">
        <f t="shared" si="1792"/>
        <v>07/07/2025</v>
      </c>
      <c r="J3737" t="str">
        <f t="shared" si="1788"/>
        <v>09/07/2025</v>
      </c>
      <c r="K3737">
        <v>943.65</v>
      </c>
      <c r="L3737">
        <v>943.65</v>
      </c>
      <c r="M3737">
        <v>303</v>
      </c>
      <c r="N3737" t="str">
        <f t="shared" si="1789"/>
        <v>RECEITAS COM ENTREGAS</v>
      </c>
      <c r="O3737">
        <v>943.65</v>
      </c>
      <c r="R3737" t="str">
        <f t="shared" si="1790"/>
        <v>RECEITAS COM ENTREGAS (303)</v>
      </c>
      <c r="S3737">
        <v>2015</v>
      </c>
      <c r="T3737">
        <v>1537</v>
      </c>
      <c r="U3737" t="s">
        <v>19</v>
      </c>
    </row>
    <row r="3738" spans="1:21">
      <c r="A3738" t="str">
        <f t="shared" si="1785"/>
        <v>09/07/2025</v>
      </c>
      <c r="B3738" t="str">
        <f t="shared" si="1791"/>
        <v>ENTRADA</v>
      </c>
      <c r="C3738" t="str">
        <f t="shared" si="1786"/>
        <v>NFSE</v>
      </c>
      <c r="D3738" t="str">
        <f>"3206"</f>
        <v>3206</v>
      </c>
      <c r="E3738" t="str">
        <f t="shared" si="1777"/>
        <v>COM</v>
      </c>
      <c r="F3738" t="str">
        <f>"DROGARIA ANA VISCONDE DO RIO BRANCO (10180)"</f>
        <v>DROGARIA ANA VISCONDE DO RIO BRANCO (10180)</v>
      </c>
      <c r="G3738" t="str">
        <f>"Serv.Prest. 30/06/2025 a 06/07/2025 - RPS: 973 - NFSe: 3206"</f>
        <v>Serv.Prest. 30/06/2025 a 06/07/2025 - RPS: 973 - NFSe: 3206</v>
      </c>
      <c r="H3738" t="str">
        <f t="shared" si="1787"/>
        <v>09/07/2025</v>
      </c>
      <c r="I3738" t="str">
        <f t="shared" si="1792"/>
        <v>07/07/2025</v>
      </c>
      <c r="J3738" t="str">
        <f t="shared" si="1788"/>
        <v>09/07/2025</v>
      </c>
      <c r="M3738">
        <v>303</v>
      </c>
      <c r="N3738" t="str">
        <f t="shared" si="1789"/>
        <v>RECEITAS COM ENTREGAS</v>
      </c>
      <c r="P3738">
        <v>943.65</v>
      </c>
      <c r="Q3738" t="str">
        <f>"DROGARIA ANA VISCONDE DO RIO BRANCO (10182)"</f>
        <v>DROGARIA ANA VISCONDE DO RIO BRANCO (10182)</v>
      </c>
      <c r="R3738" t="str">
        <f t="shared" si="1790"/>
        <v>RECEITAS COM ENTREGAS (303)</v>
      </c>
      <c r="S3738">
        <v>2015</v>
      </c>
      <c r="T3738">
        <v>1537</v>
      </c>
      <c r="U3738" t="s">
        <v>19</v>
      </c>
    </row>
    <row r="3739" spans="1:21">
      <c r="A3739" t="str">
        <f t="shared" si="1785"/>
        <v>09/07/2025</v>
      </c>
      <c r="B3739" t="str">
        <f t="shared" si="1791"/>
        <v>ENTRADA</v>
      </c>
      <c r="C3739" t="str">
        <f t="shared" si="1786"/>
        <v>NFSE</v>
      </c>
      <c r="D3739" t="str">
        <f>"3207"</f>
        <v>3207</v>
      </c>
      <c r="E3739" t="str">
        <f t="shared" si="1777"/>
        <v>COM</v>
      </c>
      <c r="F3739" t="str">
        <f>"DROGARIA MEDIC CENTER LTDA (10172)"</f>
        <v>DROGARIA MEDIC CENTER LTDA (10172)</v>
      </c>
      <c r="G3739" t="str">
        <f>"Serv.Prest. 30/06/2025 a 06/07/2025 - RPS: 974 - NFSe: 3207"</f>
        <v>Serv.Prest. 30/06/2025 a 06/07/2025 - RPS: 974 - NFSe: 3207</v>
      </c>
      <c r="H3739" t="str">
        <f t="shared" si="1787"/>
        <v>09/07/2025</v>
      </c>
      <c r="I3739" t="str">
        <f t="shared" si="1792"/>
        <v>07/07/2025</v>
      </c>
      <c r="J3739" t="str">
        <f t="shared" si="1788"/>
        <v>09/07/2025</v>
      </c>
      <c r="K3739">
        <v>156.6</v>
      </c>
      <c r="L3739">
        <v>156.6</v>
      </c>
      <c r="M3739">
        <v>303</v>
      </c>
      <c r="N3739" t="str">
        <f t="shared" si="1789"/>
        <v>RECEITAS COM ENTREGAS</v>
      </c>
      <c r="O3739">
        <v>156.6</v>
      </c>
      <c r="R3739" t="str">
        <f t="shared" si="1790"/>
        <v>RECEITAS COM ENTREGAS (303)</v>
      </c>
      <c r="S3739">
        <v>2016</v>
      </c>
      <c r="T3739">
        <v>1538</v>
      </c>
      <c r="U3739" t="s">
        <v>19</v>
      </c>
    </row>
    <row r="3740" spans="1:21">
      <c r="A3740" t="str">
        <f t="shared" si="1785"/>
        <v>09/07/2025</v>
      </c>
      <c r="B3740" t="str">
        <f t="shared" si="1791"/>
        <v>ENTRADA</v>
      </c>
      <c r="C3740" t="str">
        <f t="shared" si="1786"/>
        <v>NFSE</v>
      </c>
      <c r="D3740" t="str">
        <f>"3207"</f>
        <v>3207</v>
      </c>
      <c r="E3740" t="str">
        <f t="shared" si="1777"/>
        <v>COM</v>
      </c>
      <c r="F3740" t="str">
        <f>"DROGARIA MEDIC CENTER LTDA (10172)"</f>
        <v>DROGARIA MEDIC CENTER LTDA (10172)</v>
      </c>
      <c r="G3740" t="str">
        <f>"Serv.Prest. 30/06/2025 a 06/07/2025 - RPS: 974 - NFSe: 3207"</f>
        <v>Serv.Prest. 30/06/2025 a 06/07/2025 - RPS: 974 - NFSe: 3207</v>
      </c>
      <c r="H3740" t="str">
        <f t="shared" si="1787"/>
        <v>09/07/2025</v>
      </c>
      <c r="I3740" t="str">
        <f t="shared" si="1792"/>
        <v>07/07/2025</v>
      </c>
      <c r="J3740" t="str">
        <f t="shared" si="1788"/>
        <v>09/07/2025</v>
      </c>
      <c r="M3740">
        <v>303</v>
      </c>
      <c r="N3740" t="str">
        <f t="shared" si="1789"/>
        <v>RECEITAS COM ENTREGAS</v>
      </c>
      <c r="P3740">
        <v>156.6</v>
      </c>
      <c r="Q3740" t="str">
        <f>"DROGARIA MEDIC CENTER LTDA (10172)"</f>
        <v>DROGARIA MEDIC CENTER LTDA (10172)</v>
      </c>
      <c r="R3740" t="str">
        <f t="shared" si="1790"/>
        <v>RECEITAS COM ENTREGAS (303)</v>
      </c>
      <c r="S3740">
        <v>2016</v>
      </c>
      <c r="T3740">
        <v>1538</v>
      </c>
      <c r="U3740" t="s">
        <v>19</v>
      </c>
    </row>
    <row r="3741" spans="1:21">
      <c r="A3741" t="str">
        <f t="shared" si="1785"/>
        <v>09/07/2025</v>
      </c>
      <c r="B3741" t="str">
        <f t="shared" si="1791"/>
        <v>ENTRADA</v>
      </c>
      <c r="C3741" t="str">
        <f t="shared" si="1786"/>
        <v>NFSE</v>
      </c>
      <c r="D3741" t="str">
        <f>"3208"</f>
        <v>3208</v>
      </c>
      <c r="E3741" t="str">
        <f t="shared" si="1777"/>
        <v>COM</v>
      </c>
      <c r="F3741" t="str">
        <f>"DROGARIA MORENO LTDA (10171)"</f>
        <v>DROGARIA MORENO LTDA (10171)</v>
      </c>
      <c r="G3741" t="str">
        <f>"Serv.Prest. 30/06/2025 a 06/07/2025 - RPS: 975 - NFSe: 3208"</f>
        <v>Serv.Prest. 30/06/2025 a 06/07/2025 - RPS: 975 - NFSe: 3208</v>
      </c>
      <c r="H3741" t="str">
        <f t="shared" si="1787"/>
        <v>09/07/2025</v>
      </c>
      <c r="I3741" t="str">
        <f t="shared" si="1792"/>
        <v>07/07/2025</v>
      </c>
      <c r="J3741" t="str">
        <f t="shared" si="1788"/>
        <v>09/07/2025</v>
      </c>
      <c r="K3741">
        <v>382.5</v>
      </c>
      <c r="L3741">
        <v>382.5</v>
      </c>
      <c r="M3741">
        <v>303</v>
      </c>
      <c r="N3741" t="str">
        <f t="shared" si="1789"/>
        <v>RECEITAS COM ENTREGAS</v>
      </c>
      <c r="O3741">
        <v>382.5</v>
      </c>
      <c r="R3741" t="str">
        <f t="shared" si="1790"/>
        <v>RECEITAS COM ENTREGAS (303)</v>
      </c>
      <c r="S3741">
        <v>2017</v>
      </c>
      <c r="T3741">
        <v>1539</v>
      </c>
      <c r="U3741" t="s">
        <v>19</v>
      </c>
    </row>
    <row r="3742" spans="1:21">
      <c r="A3742" t="str">
        <f t="shared" si="1785"/>
        <v>09/07/2025</v>
      </c>
      <c r="B3742" t="str">
        <f t="shared" si="1791"/>
        <v>ENTRADA</v>
      </c>
      <c r="C3742" t="str">
        <f t="shared" si="1786"/>
        <v>NFSE</v>
      </c>
      <c r="D3742" t="str">
        <f>"3208"</f>
        <v>3208</v>
      </c>
      <c r="E3742" t="str">
        <f t="shared" si="1777"/>
        <v>COM</v>
      </c>
      <c r="F3742" t="str">
        <f>"DROGARIA MORENO LTDA (10171)"</f>
        <v>DROGARIA MORENO LTDA (10171)</v>
      </c>
      <c r="G3742" t="str">
        <f>"Serv.Prest. 30/06/2025 a 06/07/2025 - RPS: 975 - NFSe: 3208"</f>
        <v>Serv.Prest. 30/06/2025 a 06/07/2025 - RPS: 975 - NFSe: 3208</v>
      </c>
      <c r="H3742" t="str">
        <f t="shared" si="1787"/>
        <v>09/07/2025</v>
      </c>
      <c r="I3742" t="str">
        <f t="shared" si="1792"/>
        <v>07/07/2025</v>
      </c>
      <c r="J3742" t="str">
        <f t="shared" si="1788"/>
        <v>09/07/2025</v>
      </c>
      <c r="M3742">
        <v>303</v>
      </c>
      <c r="N3742" t="str">
        <f t="shared" si="1789"/>
        <v>RECEITAS COM ENTREGAS</v>
      </c>
      <c r="P3742">
        <v>382.5</v>
      </c>
      <c r="Q3742" t="str">
        <f>"DROGARIA MORENO LTDA (10171)"</f>
        <v>DROGARIA MORENO LTDA (10171)</v>
      </c>
      <c r="R3742" t="str">
        <f t="shared" si="1790"/>
        <v>RECEITAS COM ENTREGAS (303)</v>
      </c>
      <c r="S3742">
        <v>2017</v>
      </c>
      <c r="T3742">
        <v>1539</v>
      </c>
      <c r="U3742" t="s">
        <v>19</v>
      </c>
    </row>
    <row r="3743" spans="1:21">
      <c r="A3743" t="str">
        <f t="shared" si="1785"/>
        <v>09/07/2025</v>
      </c>
      <c r="B3743" t="str">
        <f t="shared" si="1791"/>
        <v>ENTRADA</v>
      </c>
      <c r="C3743" t="str">
        <f t="shared" si="1786"/>
        <v>NFSE</v>
      </c>
      <c r="D3743" t="str">
        <f>"3214"</f>
        <v>3214</v>
      </c>
      <c r="E3743" t="str">
        <f t="shared" si="1777"/>
        <v>COM</v>
      </c>
      <c r="F3743" t="str">
        <f>"JAL FARMACIA E DROGARIA LJ 2 (10138)"</f>
        <v>JAL FARMACIA E DROGARIA LJ 2 (10138)</v>
      </c>
      <c r="G3743" t="str">
        <f>"Serv.Prest. 30/06/2025 a 06/07/2025 - RPS: 981 - NFSe: 3214"</f>
        <v>Serv.Prest. 30/06/2025 a 06/07/2025 - RPS: 981 - NFSe: 3214</v>
      </c>
      <c r="H3743" t="str">
        <f t="shared" si="1787"/>
        <v>09/07/2025</v>
      </c>
      <c r="I3743" t="str">
        <f>("08/07/2025")</f>
        <v>08/07/2025</v>
      </c>
      <c r="J3743" t="str">
        <f t="shared" si="1788"/>
        <v>09/07/2025</v>
      </c>
      <c r="K3743">
        <v>316.8</v>
      </c>
      <c r="L3743">
        <v>316.8</v>
      </c>
      <c r="M3743">
        <v>303</v>
      </c>
      <c r="N3743" t="str">
        <f t="shared" si="1789"/>
        <v>RECEITAS COM ENTREGAS</v>
      </c>
      <c r="O3743">
        <v>316.8</v>
      </c>
      <c r="R3743" t="str">
        <f t="shared" si="1790"/>
        <v>RECEITAS COM ENTREGAS (303)</v>
      </c>
      <c r="S3743">
        <v>2018</v>
      </c>
      <c r="T3743">
        <v>1545</v>
      </c>
      <c r="U3743" t="s">
        <v>19</v>
      </c>
    </row>
    <row r="3744" spans="1:21">
      <c r="A3744" t="str">
        <f t="shared" si="1785"/>
        <v>09/07/2025</v>
      </c>
      <c r="B3744" t="str">
        <f t="shared" si="1791"/>
        <v>ENTRADA</v>
      </c>
      <c r="C3744" t="str">
        <f t="shared" si="1786"/>
        <v>NFSE</v>
      </c>
      <c r="D3744" t="str">
        <f>"3214"</f>
        <v>3214</v>
      </c>
      <c r="E3744" t="str">
        <f t="shared" si="1777"/>
        <v>COM</v>
      </c>
      <c r="F3744" t="str">
        <f>"JAL FARMACIA E DROGARIA LJ 2 (10138)"</f>
        <v>JAL FARMACIA E DROGARIA LJ 2 (10138)</v>
      </c>
      <c r="G3744" t="str">
        <f>"Serv.Prest. 30/06/2025 a 06/07/2025 - RPS: 981 - NFSe: 3214"</f>
        <v>Serv.Prest. 30/06/2025 a 06/07/2025 - RPS: 981 - NFSe: 3214</v>
      </c>
      <c r="H3744" t="str">
        <f t="shared" si="1787"/>
        <v>09/07/2025</v>
      </c>
      <c r="I3744" t="str">
        <f>("08/07/2025")</f>
        <v>08/07/2025</v>
      </c>
      <c r="J3744" t="str">
        <f t="shared" si="1788"/>
        <v>09/07/2025</v>
      </c>
      <c r="M3744">
        <v>303</v>
      </c>
      <c r="N3744" t="str">
        <f t="shared" si="1789"/>
        <v>RECEITAS COM ENTREGAS</v>
      </c>
      <c r="P3744">
        <v>316.8</v>
      </c>
      <c r="Q3744" t="str">
        <f>"JAL FARMACIA E DROGARIA LJ 2 (10138)"</f>
        <v>JAL FARMACIA E DROGARIA LJ 2 (10138)</v>
      </c>
      <c r="R3744" t="str">
        <f t="shared" si="1790"/>
        <v>RECEITAS COM ENTREGAS (303)</v>
      </c>
      <c r="S3744">
        <v>2018</v>
      </c>
      <c r="T3744">
        <v>1545</v>
      </c>
      <c r="U3744" t="s">
        <v>19</v>
      </c>
    </row>
    <row r="3745" spans="1:21">
      <c r="A3745" t="str">
        <f t="shared" si="1785"/>
        <v>09/07/2025</v>
      </c>
      <c r="B3745" t="str">
        <f t="shared" ref="B3745:B3752" si="1793">"SAÍDA"</f>
        <v>SAÍDA</v>
      </c>
      <c r="C3745" t="str">
        <f>"BOLETO"</f>
        <v>BOLETO</v>
      </c>
      <c r="D3745" t="str">
        <f>"0901"</f>
        <v>0901</v>
      </c>
      <c r="E3745" t="str">
        <f t="shared" si="1777"/>
        <v>COM</v>
      </c>
      <c r="F3745" t="str">
        <f t="shared" ref="F3745:F3752" si="1794">"CORA SOCIEDADE DE CREDITO, FINANCIAMENTO E INVESTIMENTO (20035)"</f>
        <v>CORA SOCIEDADE DE CREDITO, FINANCIAMENTO E INVESTIMENTO (20035)</v>
      </c>
      <c r="G3745" t="str">
        <f>"DESPESAS COM TARIFAS BANCARIAS"</f>
        <v>DESPESAS COM TARIFAS BANCARIAS</v>
      </c>
      <c r="H3745" t="str">
        <f t="shared" si="1787"/>
        <v>09/07/2025</v>
      </c>
      <c r="I3745" t="str">
        <f>("01/01/2025")</f>
        <v>01/01/2025</v>
      </c>
      <c r="J3745" t="str">
        <f t="shared" si="1788"/>
        <v>09/07/2025</v>
      </c>
      <c r="K3745">
        <v>44.9</v>
      </c>
      <c r="L3745">
        <v>44.9</v>
      </c>
      <c r="M3745">
        <v>401</v>
      </c>
      <c r="N3745" t="str">
        <f t="shared" ref="N3745:N3752" si="1795">"IOF/JUROS/DESP.FINANCEIRA"</f>
        <v>IOF/JUROS/DESP.FINANCEIRA</v>
      </c>
      <c r="O3745">
        <v>44.9</v>
      </c>
      <c r="R3745" t="str">
        <f t="shared" ref="R3745:R3752" si="1796">"BANCO CORA (102)"</f>
        <v>BANCO CORA (102)</v>
      </c>
      <c r="S3745">
        <v>2046</v>
      </c>
      <c r="T3745">
        <v>749</v>
      </c>
      <c r="U3745" t="s">
        <v>19</v>
      </c>
    </row>
    <row r="3746" spans="1:21">
      <c r="A3746" t="str">
        <f t="shared" si="1785"/>
        <v>09/07/2025</v>
      </c>
      <c r="B3746" t="str">
        <f t="shared" si="1793"/>
        <v>SAÍDA</v>
      </c>
      <c r="C3746" t="str">
        <f>"BOLETO"</f>
        <v>BOLETO</v>
      </c>
      <c r="D3746" t="str">
        <f>"0901"</f>
        <v>0901</v>
      </c>
      <c r="E3746" t="str">
        <f t="shared" si="1777"/>
        <v>COM</v>
      </c>
      <c r="F3746" t="str">
        <f t="shared" si="1794"/>
        <v>CORA SOCIEDADE DE CREDITO, FINANCIAMENTO E INVESTIMENTO (20035)</v>
      </c>
      <c r="G3746" t="str">
        <f>"DESPESAS COM TARIFAS BANCARIAS"</f>
        <v>DESPESAS COM TARIFAS BANCARIAS</v>
      </c>
      <c r="H3746" t="str">
        <f t="shared" si="1787"/>
        <v>09/07/2025</v>
      </c>
      <c r="I3746" t="str">
        <f>("01/01/2025")</f>
        <v>01/01/2025</v>
      </c>
      <c r="J3746" t="str">
        <f t="shared" si="1788"/>
        <v>09/07/2025</v>
      </c>
      <c r="M3746">
        <v>401</v>
      </c>
      <c r="N3746" t="str">
        <f t="shared" si="1795"/>
        <v>IOF/JUROS/DESP.FINANCEIRA</v>
      </c>
      <c r="P3746">
        <v>44.9</v>
      </c>
      <c r="Q3746" t="str">
        <f>"CORA SOCIEDADE DE CREDITO, FINANCIAMENTO E INVESTIMENTO (20035)"</f>
        <v>CORA SOCIEDADE DE CREDITO, FINANCIAMENTO E INVESTIMENTO (20035)</v>
      </c>
      <c r="R3746" t="str">
        <f t="shared" si="1796"/>
        <v>BANCO CORA (102)</v>
      </c>
      <c r="S3746">
        <v>2046</v>
      </c>
      <c r="T3746">
        <v>749</v>
      </c>
      <c r="U3746" t="s">
        <v>19</v>
      </c>
    </row>
    <row r="3747" spans="1:21">
      <c r="A3747" t="str">
        <f t="shared" si="1785"/>
        <v>09/07/2025</v>
      </c>
      <c r="B3747" t="str">
        <f t="shared" si="1793"/>
        <v>SAÍDA</v>
      </c>
      <c r="C3747" t="str">
        <f t="shared" ref="C3747:C3752" si="1797">"CONHECIMENTO"</f>
        <v>CONHECIMENTO</v>
      </c>
      <c r="D3747" t="str">
        <f t="shared" ref="D3747:D3752" si="1798">"090725170"</f>
        <v>090725170</v>
      </c>
      <c r="E3747" t="str">
        <f t="shared" si="1777"/>
        <v>COM</v>
      </c>
      <c r="F3747" t="str">
        <f t="shared" si="1794"/>
        <v>CORA SOCIEDADE DE CREDITO, FINANCIAMENTO E INVESTIMENTO (20035)</v>
      </c>
      <c r="G3747" t="str">
        <f t="shared" ref="G3747:G3752" si="1799">"TAXA BOLETO COMPENSADO"</f>
        <v>TAXA BOLETO COMPENSADO</v>
      </c>
      <c r="H3747" t="str">
        <f t="shared" si="1787"/>
        <v>09/07/2025</v>
      </c>
      <c r="I3747" t="str">
        <f t="shared" ref="I3747:I3752" si="1800">("09/07/2025")</f>
        <v>09/07/2025</v>
      </c>
      <c r="J3747" t="str">
        <f t="shared" si="1788"/>
        <v>09/07/2025</v>
      </c>
      <c r="K3747">
        <v>1.7</v>
      </c>
      <c r="L3747">
        <v>1.7</v>
      </c>
      <c r="M3747">
        <v>401</v>
      </c>
      <c r="N3747" t="str">
        <f t="shared" si="1795"/>
        <v>IOF/JUROS/DESP.FINANCEIRA</v>
      </c>
      <c r="O3747">
        <v>1.7</v>
      </c>
      <c r="R3747" t="str">
        <f t="shared" si="1796"/>
        <v>BANCO CORA (102)</v>
      </c>
      <c r="S3747">
        <v>2134</v>
      </c>
      <c r="T3747">
        <v>1661</v>
      </c>
      <c r="U3747" t="s">
        <v>19</v>
      </c>
    </row>
    <row r="3748" spans="1:21">
      <c r="A3748" t="str">
        <f t="shared" si="1785"/>
        <v>09/07/2025</v>
      </c>
      <c r="B3748" t="str">
        <f t="shared" si="1793"/>
        <v>SAÍDA</v>
      </c>
      <c r="C3748" t="str">
        <f t="shared" si="1797"/>
        <v>CONHECIMENTO</v>
      </c>
      <c r="D3748" t="str">
        <f t="shared" si="1798"/>
        <v>090725170</v>
      </c>
      <c r="E3748" t="str">
        <f t="shared" si="1777"/>
        <v>COM</v>
      </c>
      <c r="F3748" t="str">
        <f t="shared" si="1794"/>
        <v>CORA SOCIEDADE DE CREDITO, FINANCIAMENTO E INVESTIMENTO (20035)</v>
      </c>
      <c r="G3748" t="str">
        <f t="shared" si="1799"/>
        <v>TAXA BOLETO COMPENSADO</v>
      </c>
      <c r="H3748" t="str">
        <f t="shared" si="1787"/>
        <v>09/07/2025</v>
      </c>
      <c r="I3748" t="str">
        <f t="shared" si="1800"/>
        <v>09/07/2025</v>
      </c>
      <c r="J3748" t="str">
        <f t="shared" si="1788"/>
        <v>09/07/2025</v>
      </c>
      <c r="K3748">
        <v>1.7</v>
      </c>
      <c r="L3748">
        <v>1.7</v>
      </c>
      <c r="M3748">
        <v>401</v>
      </c>
      <c r="N3748" t="str">
        <f t="shared" si="1795"/>
        <v>IOF/JUROS/DESP.FINANCEIRA</v>
      </c>
      <c r="O3748">
        <v>1.7</v>
      </c>
      <c r="R3748" t="str">
        <f t="shared" si="1796"/>
        <v>BANCO CORA (102)</v>
      </c>
      <c r="S3748">
        <v>2135</v>
      </c>
      <c r="T3748">
        <v>1662</v>
      </c>
      <c r="U3748" t="s">
        <v>19</v>
      </c>
    </row>
    <row r="3749" spans="1:21">
      <c r="A3749" t="str">
        <f t="shared" si="1785"/>
        <v>09/07/2025</v>
      </c>
      <c r="B3749" t="str">
        <f t="shared" si="1793"/>
        <v>SAÍDA</v>
      </c>
      <c r="C3749" t="str">
        <f t="shared" si="1797"/>
        <v>CONHECIMENTO</v>
      </c>
      <c r="D3749" t="str">
        <f t="shared" si="1798"/>
        <v>090725170</v>
      </c>
      <c r="E3749" t="str">
        <f t="shared" si="1777"/>
        <v>COM</v>
      </c>
      <c r="F3749" t="str">
        <f t="shared" si="1794"/>
        <v>CORA SOCIEDADE DE CREDITO, FINANCIAMENTO E INVESTIMENTO (20035)</v>
      </c>
      <c r="G3749" t="str">
        <f t="shared" si="1799"/>
        <v>TAXA BOLETO COMPENSADO</v>
      </c>
      <c r="H3749" t="str">
        <f t="shared" si="1787"/>
        <v>09/07/2025</v>
      </c>
      <c r="I3749" t="str">
        <f t="shared" si="1800"/>
        <v>09/07/2025</v>
      </c>
      <c r="J3749" t="str">
        <f t="shared" si="1788"/>
        <v>09/07/2025</v>
      </c>
      <c r="K3749">
        <v>1.7</v>
      </c>
      <c r="L3749">
        <v>1.7</v>
      </c>
      <c r="M3749">
        <v>401</v>
      </c>
      <c r="N3749" t="str">
        <f t="shared" si="1795"/>
        <v>IOF/JUROS/DESP.FINANCEIRA</v>
      </c>
      <c r="O3749">
        <v>1.7</v>
      </c>
      <c r="R3749" t="str">
        <f t="shared" si="1796"/>
        <v>BANCO CORA (102)</v>
      </c>
      <c r="S3749">
        <v>2136</v>
      </c>
      <c r="T3749">
        <v>1663</v>
      </c>
      <c r="U3749" t="s">
        <v>19</v>
      </c>
    </row>
    <row r="3750" spans="1:21">
      <c r="A3750" t="str">
        <f t="shared" si="1785"/>
        <v>09/07/2025</v>
      </c>
      <c r="B3750" t="str">
        <f t="shared" si="1793"/>
        <v>SAÍDA</v>
      </c>
      <c r="C3750" t="str">
        <f t="shared" si="1797"/>
        <v>CONHECIMENTO</v>
      </c>
      <c r="D3750" t="str">
        <f t="shared" si="1798"/>
        <v>090725170</v>
      </c>
      <c r="E3750" t="str">
        <f t="shared" si="1777"/>
        <v>COM</v>
      </c>
      <c r="F3750" t="str">
        <f t="shared" si="1794"/>
        <v>CORA SOCIEDADE DE CREDITO, FINANCIAMENTO E INVESTIMENTO (20035)</v>
      </c>
      <c r="G3750" t="str">
        <f t="shared" si="1799"/>
        <v>TAXA BOLETO COMPENSADO</v>
      </c>
      <c r="H3750" t="str">
        <f t="shared" si="1787"/>
        <v>09/07/2025</v>
      </c>
      <c r="I3750" t="str">
        <f t="shared" si="1800"/>
        <v>09/07/2025</v>
      </c>
      <c r="J3750" t="str">
        <f t="shared" si="1788"/>
        <v>09/07/2025</v>
      </c>
      <c r="K3750">
        <v>1.7</v>
      </c>
      <c r="L3750">
        <v>1.7</v>
      </c>
      <c r="M3750">
        <v>401</v>
      </c>
      <c r="N3750" t="str">
        <f t="shared" si="1795"/>
        <v>IOF/JUROS/DESP.FINANCEIRA</v>
      </c>
      <c r="O3750">
        <v>1.7</v>
      </c>
      <c r="R3750" t="str">
        <f t="shared" si="1796"/>
        <v>BANCO CORA (102)</v>
      </c>
      <c r="S3750">
        <v>2137</v>
      </c>
      <c r="T3750">
        <v>1664</v>
      </c>
      <c r="U3750" t="s">
        <v>19</v>
      </c>
    </row>
    <row r="3751" spans="1:21">
      <c r="A3751" t="str">
        <f t="shared" si="1785"/>
        <v>09/07/2025</v>
      </c>
      <c r="B3751" t="str">
        <f t="shared" si="1793"/>
        <v>SAÍDA</v>
      </c>
      <c r="C3751" t="str">
        <f t="shared" si="1797"/>
        <v>CONHECIMENTO</v>
      </c>
      <c r="D3751" t="str">
        <f t="shared" si="1798"/>
        <v>090725170</v>
      </c>
      <c r="E3751" t="str">
        <f t="shared" si="1777"/>
        <v>COM</v>
      </c>
      <c r="F3751" t="str">
        <f t="shared" si="1794"/>
        <v>CORA SOCIEDADE DE CREDITO, FINANCIAMENTO E INVESTIMENTO (20035)</v>
      </c>
      <c r="G3751" t="str">
        <f t="shared" si="1799"/>
        <v>TAXA BOLETO COMPENSADO</v>
      </c>
      <c r="H3751" t="str">
        <f t="shared" si="1787"/>
        <v>09/07/2025</v>
      </c>
      <c r="I3751" t="str">
        <f t="shared" si="1800"/>
        <v>09/07/2025</v>
      </c>
      <c r="J3751" t="str">
        <f t="shared" si="1788"/>
        <v>09/07/2025</v>
      </c>
      <c r="K3751">
        <v>1.7</v>
      </c>
      <c r="L3751">
        <v>1.7</v>
      </c>
      <c r="M3751">
        <v>401</v>
      </c>
      <c r="N3751" t="str">
        <f t="shared" si="1795"/>
        <v>IOF/JUROS/DESP.FINANCEIRA</v>
      </c>
      <c r="O3751">
        <v>1.7</v>
      </c>
      <c r="R3751" t="str">
        <f t="shared" si="1796"/>
        <v>BANCO CORA (102)</v>
      </c>
      <c r="S3751">
        <v>2138</v>
      </c>
      <c r="T3751">
        <v>1665</v>
      </c>
      <c r="U3751" t="s">
        <v>19</v>
      </c>
    </row>
    <row r="3752" spans="1:21">
      <c r="A3752" t="str">
        <f t="shared" si="1785"/>
        <v>09/07/2025</v>
      </c>
      <c r="B3752" t="str">
        <f t="shared" si="1793"/>
        <v>SAÍDA</v>
      </c>
      <c r="C3752" t="str">
        <f t="shared" si="1797"/>
        <v>CONHECIMENTO</v>
      </c>
      <c r="D3752" t="str">
        <f t="shared" si="1798"/>
        <v>090725170</v>
      </c>
      <c r="E3752" t="str">
        <f t="shared" si="1777"/>
        <v>COM</v>
      </c>
      <c r="F3752" t="str">
        <f t="shared" si="1794"/>
        <v>CORA SOCIEDADE DE CREDITO, FINANCIAMENTO E INVESTIMENTO (20035)</v>
      </c>
      <c r="G3752" t="str">
        <f t="shared" si="1799"/>
        <v>TAXA BOLETO COMPENSADO</v>
      </c>
      <c r="H3752" t="str">
        <f t="shared" si="1787"/>
        <v>09/07/2025</v>
      </c>
      <c r="I3752" t="str">
        <f t="shared" si="1800"/>
        <v>09/07/2025</v>
      </c>
      <c r="J3752" t="str">
        <f t="shared" si="1788"/>
        <v>09/07/2025</v>
      </c>
      <c r="K3752">
        <v>1.7</v>
      </c>
      <c r="L3752">
        <v>1.7</v>
      </c>
      <c r="M3752">
        <v>401</v>
      </c>
      <c r="N3752" t="str">
        <f t="shared" si="1795"/>
        <v>IOF/JUROS/DESP.FINANCEIRA</v>
      </c>
      <c r="O3752">
        <v>1.7</v>
      </c>
      <c r="R3752" t="str">
        <f t="shared" si="1796"/>
        <v>BANCO CORA (102)</v>
      </c>
      <c r="S3752">
        <v>2139</v>
      </c>
      <c r="T3752">
        <v>1666</v>
      </c>
      <c r="U3752" t="s">
        <v>19</v>
      </c>
    </row>
    <row r="3753" spans="1:21">
      <c r="A3753" t="str">
        <f t="shared" ref="A3753:A3795" si="1801">("10/07/2025")</f>
        <v>10/07/2025</v>
      </c>
      <c r="B3753" t="str">
        <f>"ENTRADA"</f>
        <v>ENTRADA</v>
      </c>
      <c r="C3753" t="str">
        <f t="shared" ref="C3753:C3781" si="1802">"NFSE"</f>
        <v>NFSE</v>
      </c>
      <c r="D3753" t="str">
        <f>"3180"</f>
        <v>3180</v>
      </c>
      <c r="E3753" t="str">
        <f t="shared" si="1777"/>
        <v>COM</v>
      </c>
      <c r="F3753" t="str">
        <f>"AC FARMA - CID.ALTA (10166)"</f>
        <v>AC FARMA - CID.ALTA (10166)</v>
      </c>
      <c r="G3753" t="str">
        <f>"Serv.Prest. 23/06/2025 a 29/06/2025 - RPS: 949 - NFSe: 3180"</f>
        <v>Serv.Prest. 23/06/2025 a 29/06/2025 - RPS: 949 - NFSe: 3180</v>
      </c>
      <c r="H3753" t="str">
        <f t="shared" si="1787"/>
        <v>09/07/2025</v>
      </c>
      <c r="I3753" t="str">
        <f t="shared" ref="I3753:I3759" si="1803">("30/06/2025")</f>
        <v>30/06/2025</v>
      </c>
      <c r="J3753" t="str">
        <f t="shared" ref="J3753:J3795" si="1804">("10/07/2025")</f>
        <v>10/07/2025</v>
      </c>
      <c r="K3753">
        <v>985.54</v>
      </c>
      <c r="L3753">
        <v>985.54</v>
      </c>
      <c r="M3753">
        <v>303</v>
      </c>
      <c r="N3753" t="str">
        <f t="shared" ref="N3753:N3781" si="1805">"RECEITAS COM ENTREGAS"</f>
        <v>RECEITAS COM ENTREGAS</v>
      </c>
      <c r="O3753">
        <v>985.54</v>
      </c>
      <c r="R3753" t="str">
        <f t="shared" ref="R3753:R3781" si="1806">"RECEITAS COM ENTREGAS (303)"</f>
        <v>RECEITAS COM ENTREGAS (303)</v>
      </c>
      <c r="S3753">
        <v>2019</v>
      </c>
      <c r="T3753">
        <v>1512</v>
      </c>
      <c r="U3753" t="s">
        <v>19</v>
      </c>
    </row>
    <row r="3754" spans="1:21">
      <c r="A3754" t="str">
        <f t="shared" si="1801"/>
        <v>10/07/2025</v>
      </c>
      <c r="B3754" t="str">
        <f t="shared" ref="B3754:B3781" si="1807">"ENTRADA"</f>
        <v>ENTRADA</v>
      </c>
      <c r="C3754" t="str">
        <f t="shared" si="1802"/>
        <v>NFSE</v>
      </c>
      <c r="D3754" t="str">
        <f>"3180"</f>
        <v>3180</v>
      </c>
      <c r="E3754" t="str">
        <f t="shared" si="1777"/>
        <v>COM</v>
      </c>
      <c r="F3754" t="str">
        <f>"AC FARMA - CID.ALTA (10166)"</f>
        <v>AC FARMA - CID.ALTA (10166)</v>
      </c>
      <c r="G3754" t="str">
        <f>"Serv.Prest. 23/06/2025 a 29/06/2025 - RPS: 949 - NFSe: 3180"</f>
        <v>Serv.Prest. 23/06/2025 a 29/06/2025 - RPS: 949 - NFSe: 3180</v>
      </c>
      <c r="H3754" t="str">
        <f t="shared" si="1787"/>
        <v>09/07/2025</v>
      </c>
      <c r="I3754" t="str">
        <f t="shared" si="1803"/>
        <v>30/06/2025</v>
      </c>
      <c r="J3754" t="str">
        <f t="shared" si="1804"/>
        <v>10/07/2025</v>
      </c>
      <c r="M3754">
        <v>303</v>
      </c>
      <c r="N3754" t="str">
        <f t="shared" si="1805"/>
        <v>RECEITAS COM ENTREGAS</v>
      </c>
      <c r="P3754">
        <v>985.54</v>
      </c>
      <c r="Q3754" t="str">
        <f>"AC FARMA - CID.ALTA (10166)"</f>
        <v>AC FARMA - CID.ALTA (10166)</v>
      </c>
      <c r="R3754" t="str">
        <f t="shared" si="1806"/>
        <v>RECEITAS COM ENTREGAS (303)</v>
      </c>
      <c r="S3754">
        <v>2019</v>
      </c>
      <c r="T3754">
        <v>1512</v>
      </c>
      <c r="U3754" t="s">
        <v>19</v>
      </c>
    </row>
    <row r="3755" spans="1:21">
      <c r="A3755" t="str">
        <f t="shared" si="1801"/>
        <v>10/07/2025</v>
      </c>
      <c r="B3755" t="str">
        <f t="shared" si="1807"/>
        <v>ENTRADA</v>
      </c>
      <c r="C3755" t="str">
        <f t="shared" si="1802"/>
        <v>NFSE</v>
      </c>
      <c r="D3755" t="str">
        <f>"3181"</f>
        <v>3181</v>
      </c>
      <c r="E3755" t="str">
        <f t="shared" si="1777"/>
        <v>COM</v>
      </c>
      <c r="F3755" t="str">
        <f>"AC FARMA - FLEMINFARMA (10160)"</f>
        <v>AC FARMA - FLEMINFARMA (10160)</v>
      </c>
      <c r="G3755" t="str">
        <f>"Serv.Prest. 23/06/2025 a 29/06/2025 - RPS: 950 - NFSe: 3181"</f>
        <v>Serv.Prest. 23/06/2025 a 29/06/2025 - RPS: 950 - NFSe: 3181</v>
      </c>
      <c r="H3755" t="str">
        <f t="shared" si="1787"/>
        <v>09/07/2025</v>
      </c>
      <c r="I3755" t="str">
        <f t="shared" si="1803"/>
        <v>30/06/2025</v>
      </c>
      <c r="J3755" t="str">
        <f t="shared" si="1804"/>
        <v>10/07/2025</v>
      </c>
      <c r="K3755">
        <v>256.13</v>
      </c>
      <c r="L3755">
        <v>256.13</v>
      </c>
      <c r="M3755">
        <v>303</v>
      </c>
      <c r="N3755" t="str">
        <f t="shared" si="1805"/>
        <v>RECEITAS COM ENTREGAS</v>
      </c>
      <c r="O3755">
        <v>256.13</v>
      </c>
      <c r="R3755" t="str">
        <f t="shared" si="1806"/>
        <v>RECEITAS COM ENTREGAS (303)</v>
      </c>
      <c r="S3755">
        <v>2020</v>
      </c>
      <c r="T3755">
        <v>1513</v>
      </c>
      <c r="U3755" t="s">
        <v>19</v>
      </c>
    </row>
    <row r="3756" spans="1:21">
      <c r="A3756" t="str">
        <f t="shared" si="1801"/>
        <v>10/07/2025</v>
      </c>
      <c r="B3756" t="str">
        <f t="shared" si="1807"/>
        <v>ENTRADA</v>
      </c>
      <c r="C3756" t="str">
        <f t="shared" si="1802"/>
        <v>NFSE</v>
      </c>
      <c r="D3756" t="str">
        <f>"3181"</f>
        <v>3181</v>
      </c>
      <c r="E3756" t="str">
        <f t="shared" si="1777"/>
        <v>COM</v>
      </c>
      <c r="F3756" t="str">
        <f>"AC FARMA - FLEMINFARMA (10160)"</f>
        <v>AC FARMA - FLEMINFARMA (10160)</v>
      </c>
      <c r="G3756" t="str">
        <f>"Serv.Prest. 23/06/2025 a 29/06/2025 - RPS: 950 - NFSe: 3181"</f>
        <v>Serv.Prest. 23/06/2025 a 29/06/2025 - RPS: 950 - NFSe: 3181</v>
      </c>
      <c r="H3756" t="str">
        <f t="shared" si="1787"/>
        <v>09/07/2025</v>
      </c>
      <c r="I3756" t="str">
        <f t="shared" si="1803"/>
        <v>30/06/2025</v>
      </c>
      <c r="J3756" t="str">
        <f t="shared" si="1804"/>
        <v>10/07/2025</v>
      </c>
      <c r="M3756">
        <v>303</v>
      </c>
      <c r="N3756" t="str">
        <f t="shared" si="1805"/>
        <v>RECEITAS COM ENTREGAS</v>
      </c>
      <c r="P3756">
        <v>254.75</v>
      </c>
      <c r="Q3756" t="str">
        <f>"FARMACIA E PERFUMARIA CIDADE ALTA LTDA (10159)"</f>
        <v>FARMACIA E PERFUMARIA CIDADE ALTA LTDA (10159)</v>
      </c>
      <c r="R3756" t="str">
        <f t="shared" si="1806"/>
        <v>RECEITAS COM ENTREGAS (303)</v>
      </c>
      <c r="S3756">
        <v>2020</v>
      </c>
      <c r="T3756">
        <v>1513</v>
      </c>
      <c r="U3756" t="s">
        <v>19</v>
      </c>
    </row>
    <row r="3757" spans="1:21">
      <c r="A3757" t="str">
        <f t="shared" si="1801"/>
        <v>10/07/2025</v>
      </c>
      <c r="B3757" t="str">
        <f t="shared" si="1807"/>
        <v>ENTRADA</v>
      </c>
      <c r="C3757" t="str">
        <f t="shared" si="1802"/>
        <v>NFSE</v>
      </c>
      <c r="D3757" t="str">
        <f>"3181"</f>
        <v>3181</v>
      </c>
      <c r="E3757" t="str">
        <f t="shared" si="1777"/>
        <v>COM</v>
      </c>
      <c r="F3757" t="str">
        <f>"AC FARMA - FLEMINFARMA (10160)"</f>
        <v>AC FARMA - FLEMINFARMA (10160)</v>
      </c>
      <c r="G3757" t="str">
        <f>"Serv.Prest. 23/06/2025 a 29/06/2025 - RPS: 950 - NFSe: 3181"</f>
        <v>Serv.Prest. 23/06/2025 a 29/06/2025 - RPS: 950 - NFSe: 3181</v>
      </c>
      <c r="H3757" t="str">
        <f t="shared" si="1787"/>
        <v>09/07/2025</v>
      </c>
      <c r="I3757" t="str">
        <f t="shared" si="1803"/>
        <v>30/06/2025</v>
      </c>
      <c r="J3757" t="str">
        <f t="shared" si="1804"/>
        <v>10/07/2025</v>
      </c>
      <c r="M3757">
        <v>303</v>
      </c>
      <c r="N3757" t="str">
        <f t="shared" si="1805"/>
        <v>RECEITAS COM ENTREGAS</v>
      </c>
      <c r="P3757">
        <v>1.38</v>
      </c>
      <c r="Q3757" t="str">
        <f>"AC FARMA - FLEMINFARMA (10160)"</f>
        <v>AC FARMA - FLEMINFARMA (10160)</v>
      </c>
      <c r="R3757" t="str">
        <f t="shared" si="1806"/>
        <v>RECEITAS COM ENTREGAS (303)</v>
      </c>
      <c r="S3757">
        <v>2020</v>
      </c>
      <c r="T3757">
        <v>1513</v>
      </c>
      <c r="U3757" t="s">
        <v>19</v>
      </c>
    </row>
    <row r="3758" spans="1:21">
      <c r="A3758" t="str">
        <f t="shared" si="1801"/>
        <v>10/07/2025</v>
      </c>
      <c r="B3758" t="str">
        <f t="shared" si="1807"/>
        <v>ENTRADA</v>
      </c>
      <c r="C3758" t="str">
        <f t="shared" si="1802"/>
        <v>NFSE</v>
      </c>
      <c r="D3758" t="str">
        <f>"3182"</f>
        <v>3182</v>
      </c>
      <c r="E3758" t="str">
        <f t="shared" si="1777"/>
        <v>COM</v>
      </c>
      <c r="F3758" t="str">
        <f>"AC FARMA - FLEMINFARMA 5 (10183)"</f>
        <v>AC FARMA - FLEMINFARMA 5 (10183)</v>
      </c>
      <c r="G3758" t="str">
        <f>"Serv.Prest. 23/06/2025 a 29/06/2025 - RPS: 951 - NFSe: 3182"</f>
        <v>Serv.Prest. 23/06/2025 a 29/06/2025 - RPS: 951 - NFSe: 3182</v>
      </c>
      <c r="H3758" t="str">
        <f t="shared" si="1787"/>
        <v>09/07/2025</v>
      </c>
      <c r="I3758" t="str">
        <f t="shared" si="1803"/>
        <v>30/06/2025</v>
      </c>
      <c r="J3758" t="str">
        <f t="shared" si="1804"/>
        <v>10/07/2025</v>
      </c>
      <c r="K3758">
        <v>123.89</v>
      </c>
      <c r="L3758">
        <v>123.89</v>
      </c>
      <c r="M3758">
        <v>303</v>
      </c>
      <c r="N3758" t="str">
        <f t="shared" si="1805"/>
        <v>RECEITAS COM ENTREGAS</v>
      </c>
      <c r="O3758">
        <v>123.89</v>
      </c>
      <c r="R3758" t="str">
        <f t="shared" si="1806"/>
        <v>RECEITAS COM ENTREGAS (303)</v>
      </c>
      <c r="S3758">
        <v>2021</v>
      </c>
      <c r="T3758">
        <v>1514</v>
      </c>
      <c r="U3758" t="s">
        <v>19</v>
      </c>
    </row>
    <row r="3759" spans="1:21">
      <c r="A3759" t="str">
        <f t="shared" si="1801"/>
        <v>10/07/2025</v>
      </c>
      <c r="B3759" t="str">
        <f t="shared" si="1807"/>
        <v>ENTRADA</v>
      </c>
      <c r="C3759" t="str">
        <f t="shared" si="1802"/>
        <v>NFSE</v>
      </c>
      <c r="D3759" t="str">
        <f>"3182"</f>
        <v>3182</v>
      </c>
      <c r="E3759" t="str">
        <f t="shared" ref="E3759:E3822" si="1808">"COM"</f>
        <v>COM</v>
      </c>
      <c r="F3759" t="str">
        <f>"AC FARMA - FLEMINFARMA 5 (10183)"</f>
        <v>AC FARMA - FLEMINFARMA 5 (10183)</v>
      </c>
      <c r="G3759" t="str">
        <f>"Serv.Prest. 23/06/2025 a 29/06/2025 - RPS: 951 - NFSe: 3182"</f>
        <v>Serv.Prest. 23/06/2025 a 29/06/2025 - RPS: 951 - NFSe: 3182</v>
      </c>
      <c r="H3759" t="str">
        <f t="shared" si="1787"/>
        <v>09/07/2025</v>
      </c>
      <c r="I3759" t="str">
        <f t="shared" si="1803"/>
        <v>30/06/2025</v>
      </c>
      <c r="J3759" t="str">
        <f t="shared" si="1804"/>
        <v>10/07/2025</v>
      </c>
      <c r="M3759">
        <v>303</v>
      </c>
      <c r="N3759" t="str">
        <f t="shared" si="1805"/>
        <v>RECEITAS COM ENTREGAS</v>
      </c>
      <c r="P3759">
        <v>123.89</v>
      </c>
      <c r="Q3759" t="str">
        <f>"AC FARMA - FLEMINFARMA 5 (10183)"</f>
        <v>AC FARMA - FLEMINFARMA 5 (10183)</v>
      </c>
      <c r="R3759" t="str">
        <f t="shared" si="1806"/>
        <v>RECEITAS COM ENTREGAS (303)</v>
      </c>
      <c r="S3759">
        <v>2021</v>
      </c>
      <c r="T3759">
        <v>1514</v>
      </c>
      <c r="U3759" t="s">
        <v>19</v>
      </c>
    </row>
    <row r="3760" spans="1:21">
      <c r="A3760" t="str">
        <f t="shared" si="1801"/>
        <v>10/07/2025</v>
      </c>
      <c r="B3760" t="str">
        <f t="shared" si="1807"/>
        <v>ENTRADA</v>
      </c>
      <c r="C3760" t="str">
        <f t="shared" si="1802"/>
        <v>NFSE</v>
      </c>
      <c r="D3760" t="str">
        <f>"3197"</f>
        <v>3197</v>
      </c>
      <c r="E3760" t="str">
        <f t="shared" si="1808"/>
        <v>COM</v>
      </c>
      <c r="F3760" t="str">
        <f>"ROSA MARIA LTDA (10165)"</f>
        <v>ROSA MARIA LTDA (10165)</v>
      </c>
      <c r="G3760" t="str">
        <f>"Serv.Prest. 30/06/2025 a 06/07/2025 - RPS: 964 - NFSe: 3197"</f>
        <v>Serv.Prest. 30/06/2025 a 06/07/2025 - RPS: 964 - NFSe: 3197</v>
      </c>
      <c r="H3760" t="str">
        <f t="shared" si="1787"/>
        <v>09/07/2025</v>
      </c>
      <c r="I3760" t="str">
        <f t="shared" ref="I3760:I3771" si="1809">("07/07/2025")</f>
        <v>07/07/2025</v>
      </c>
      <c r="J3760" t="str">
        <f t="shared" si="1804"/>
        <v>10/07/2025</v>
      </c>
      <c r="K3760">
        <v>250.24</v>
      </c>
      <c r="L3760">
        <v>250.24</v>
      </c>
      <c r="M3760">
        <v>303</v>
      </c>
      <c r="N3760" t="str">
        <f t="shared" si="1805"/>
        <v>RECEITAS COM ENTREGAS</v>
      </c>
      <c r="O3760">
        <v>250.24</v>
      </c>
      <c r="R3760" t="str">
        <f t="shared" si="1806"/>
        <v>RECEITAS COM ENTREGAS (303)</v>
      </c>
      <c r="S3760">
        <v>2022</v>
      </c>
      <c r="T3760">
        <v>1528</v>
      </c>
      <c r="U3760" t="s">
        <v>19</v>
      </c>
    </row>
    <row r="3761" spans="1:21">
      <c r="A3761" t="str">
        <f t="shared" si="1801"/>
        <v>10/07/2025</v>
      </c>
      <c r="B3761" t="str">
        <f t="shared" si="1807"/>
        <v>ENTRADA</v>
      </c>
      <c r="C3761" t="str">
        <f t="shared" si="1802"/>
        <v>NFSE</v>
      </c>
      <c r="D3761" t="str">
        <f>"3197"</f>
        <v>3197</v>
      </c>
      <c r="E3761" t="str">
        <f t="shared" si="1808"/>
        <v>COM</v>
      </c>
      <c r="F3761" t="str">
        <f>"ROSA MARIA LTDA (10165)"</f>
        <v>ROSA MARIA LTDA (10165)</v>
      </c>
      <c r="G3761" t="str">
        <f>"Serv.Prest. 30/06/2025 a 06/07/2025 - RPS: 964 - NFSe: 3197"</f>
        <v>Serv.Prest. 30/06/2025 a 06/07/2025 - RPS: 964 - NFSe: 3197</v>
      </c>
      <c r="H3761" t="str">
        <f t="shared" si="1787"/>
        <v>09/07/2025</v>
      </c>
      <c r="I3761" t="str">
        <f t="shared" si="1809"/>
        <v>07/07/2025</v>
      </c>
      <c r="J3761" t="str">
        <f t="shared" si="1804"/>
        <v>10/07/2025</v>
      </c>
      <c r="M3761">
        <v>303</v>
      </c>
      <c r="N3761" t="str">
        <f t="shared" si="1805"/>
        <v>RECEITAS COM ENTREGAS</v>
      </c>
      <c r="P3761">
        <v>250.24</v>
      </c>
      <c r="Q3761" t="str">
        <f>"ROSA MARIA LTDA (10170)"</f>
        <v>ROSA MARIA LTDA (10170)</v>
      </c>
      <c r="R3761" t="str">
        <f t="shared" si="1806"/>
        <v>RECEITAS COM ENTREGAS (303)</v>
      </c>
      <c r="S3761">
        <v>2022</v>
      </c>
      <c r="T3761">
        <v>1528</v>
      </c>
      <c r="U3761" t="s">
        <v>19</v>
      </c>
    </row>
    <row r="3762" spans="1:21">
      <c r="A3762" t="str">
        <f t="shared" si="1801"/>
        <v>10/07/2025</v>
      </c>
      <c r="B3762" t="str">
        <f t="shared" si="1807"/>
        <v>ENTRADA</v>
      </c>
      <c r="C3762" t="str">
        <f t="shared" si="1802"/>
        <v>NFSE</v>
      </c>
      <c r="D3762" t="str">
        <f>"3198"</f>
        <v>3198</v>
      </c>
      <c r="E3762" t="str">
        <f t="shared" si="1808"/>
        <v>COM</v>
      </c>
      <c r="F3762" t="str">
        <f>"FRAN FARMA (10124)"</f>
        <v>FRAN FARMA (10124)</v>
      </c>
      <c r="G3762" t="str">
        <f>"Serv.Prest. 30/06/2025 a 06/07/2025 - RPS: 965 - NFSe: 3198"</f>
        <v>Serv.Prest. 30/06/2025 a 06/07/2025 - RPS: 965 - NFSe: 3198</v>
      </c>
      <c r="H3762" t="str">
        <f t="shared" ref="H3762:H3773" si="1810">("09/07/2025")</f>
        <v>09/07/2025</v>
      </c>
      <c r="I3762" t="str">
        <f t="shared" si="1809"/>
        <v>07/07/2025</v>
      </c>
      <c r="J3762" t="str">
        <f t="shared" si="1804"/>
        <v>10/07/2025</v>
      </c>
      <c r="K3762">
        <v>320</v>
      </c>
      <c r="L3762">
        <v>320</v>
      </c>
      <c r="M3762">
        <v>303</v>
      </c>
      <c r="N3762" t="str">
        <f t="shared" si="1805"/>
        <v>RECEITAS COM ENTREGAS</v>
      </c>
      <c r="O3762">
        <v>320</v>
      </c>
      <c r="R3762" t="str">
        <f t="shared" si="1806"/>
        <v>RECEITAS COM ENTREGAS (303)</v>
      </c>
      <c r="S3762">
        <v>2023</v>
      </c>
      <c r="T3762">
        <v>1529</v>
      </c>
      <c r="U3762" t="s">
        <v>19</v>
      </c>
    </row>
    <row r="3763" spans="1:21">
      <c r="A3763" t="str">
        <f t="shared" si="1801"/>
        <v>10/07/2025</v>
      </c>
      <c r="B3763" t="str">
        <f t="shared" si="1807"/>
        <v>ENTRADA</v>
      </c>
      <c r="C3763" t="str">
        <f t="shared" si="1802"/>
        <v>NFSE</v>
      </c>
      <c r="D3763" t="str">
        <f>"3198"</f>
        <v>3198</v>
      </c>
      <c r="E3763" t="str">
        <f t="shared" si="1808"/>
        <v>COM</v>
      </c>
      <c r="F3763" t="str">
        <f>"FRAN FARMA (10124)"</f>
        <v>FRAN FARMA (10124)</v>
      </c>
      <c r="G3763" t="str">
        <f>"Serv.Prest. 30/06/2025 a 06/07/2025 - RPS: 965 - NFSe: 3198"</f>
        <v>Serv.Prest. 30/06/2025 a 06/07/2025 - RPS: 965 - NFSe: 3198</v>
      </c>
      <c r="H3763" t="str">
        <f t="shared" si="1810"/>
        <v>09/07/2025</v>
      </c>
      <c r="I3763" t="str">
        <f t="shared" si="1809"/>
        <v>07/07/2025</v>
      </c>
      <c r="J3763" t="str">
        <f t="shared" si="1804"/>
        <v>10/07/2025</v>
      </c>
      <c r="M3763">
        <v>303</v>
      </c>
      <c r="N3763" t="str">
        <f t="shared" si="1805"/>
        <v>RECEITAS COM ENTREGAS</v>
      </c>
      <c r="P3763">
        <v>64</v>
      </c>
      <c r="Q3763" t="str">
        <f>"FRAN FARMA (10124)"</f>
        <v>FRAN FARMA (10124)</v>
      </c>
      <c r="R3763" t="str">
        <f t="shared" si="1806"/>
        <v>RECEITAS COM ENTREGAS (303)</v>
      </c>
      <c r="S3763">
        <v>2023</v>
      </c>
      <c r="T3763">
        <v>1529</v>
      </c>
      <c r="U3763" t="s">
        <v>19</v>
      </c>
    </row>
    <row r="3764" spans="1:21">
      <c r="A3764" t="str">
        <f t="shared" si="1801"/>
        <v>10/07/2025</v>
      </c>
      <c r="B3764" t="str">
        <f t="shared" si="1807"/>
        <v>ENTRADA</v>
      </c>
      <c r="C3764" t="str">
        <f t="shared" si="1802"/>
        <v>NFSE</v>
      </c>
      <c r="D3764" t="str">
        <f>"3198"</f>
        <v>3198</v>
      </c>
      <c r="E3764" t="str">
        <f t="shared" si="1808"/>
        <v>COM</v>
      </c>
      <c r="F3764" t="str">
        <f>"FRAN FARMA (10124)"</f>
        <v>FRAN FARMA (10124)</v>
      </c>
      <c r="G3764" t="str">
        <f>"Serv.Prest. 30/06/2025 a 06/07/2025 - RPS: 965 - NFSe: 3198"</f>
        <v>Serv.Prest. 30/06/2025 a 06/07/2025 - RPS: 965 - NFSe: 3198</v>
      </c>
      <c r="H3764" t="str">
        <f t="shared" si="1810"/>
        <v>09/07/2025</v>
      </c>
      <c r="I3764" t="str">
        <f t="shared" si="1809"/>
        <v>07/07/2025</v>
      </c>
      <c r="J3764" t="str">
        <f t="shared" si="1804"/>
        <v>10/07/2025</v>
      </c>
      <c r="M3764">
        <v>303</v>
      </c>
      <c r="N3764" t="str">
        <f t="shared" si="1805"/>
        <v>RECEITAS COM ENTREGAS</v>
      </c>
      <c r="P3764">
        <v>192</v>
      </c>
      <c r="Q3764" t="str">
        <f>"FRAN FARMA LJ 2 (10131)"</f>
        <v>FRAN FARMA LJ 2 (10131)</v>
      </c>
      <c r="R3764" t="str">
        <f t="shared" si="1806"/>
        <v>RECEITAS COM ENTREGAS (303)</v>
      </c>
      <c r="S3764">
        <v>2023</v>
      </c>
      <c r="T3764">
        <v>1529</v>
      </c>
      <c r="U3764" t="s">
        <v>19</v>
      </c>
    </row>
    <row r="3765" spans="1:21">
      <c r="A3765" t="str">
        <f t="shared" si="1801"/>
        <v>10/07/2025</v>
      </c>
      <c r="B3765" t="str">
        <f t="shared" si="1807"/>
        <v>ENTRADA</v>
      </c>
      <c r="C3765" t="str">
        <f t="shared" si="1802"/>
        <v>NFSE</v>
      </c>
      <c r="D3765" t="str">
        <f>"3198"</f>
        <v>3198</v>
      </c>
      <c r="E3765" t="str">
        <f t="shared" si="1808"/>
        <v>COM</v>
      </c>
      <c r="F3765" t="str">
        <f>"FRAN FARMA (10124)"</f>
        <v>FRAN FARMA (10124)</v>
      </c>
      <c r="G3765" t="str">
        <f>"Serv.Prest. 30/06/2025 a 06/07/2025 - RPS: 965 - NFSe: 3198"</f>
        <v>Serv.Prest. 30/06/2025 a 06/07/2025 - RPS: 965 - NFSe: 3198</v>
      </c>
      <c r="H3765" t="str">
        <f t="shared" si="1810"/>
        <v>09/07/2025</v>
      </c>
      <c r="I3765" t="str">
        <f t="shared" si="1809"/>
        <v>07/07/2025</v>
      </c>
      <c r="J3765" t="str">
        <f t="shared" si="1804"/>
        <v>10/07/2025</v>
      </c>
      <c r="M3765">
        <v>303</v>
      </c>
      <c r="N3765" t="str">
        <f t="shared" si="1805"/>
        <v>RECEITAS COM ENTREGAS</v>
      </c>
      <c r="P3765">
        <v>64</v>
      </c>
      <c r="Q3765" t="str">
        <f>"FRAN FARMA LJ 3 (10132)"</f>
        <v>FRAN FARMA LJ 3 (10132)</v>
      </c>
      <c r="R3765" t="str">
        <f t="shared" si="1806"/>
        <v>RECEITAS COM ENTREGAS (303)</v>
      </c>
      <c r="S3765">
        <v>2023</v>
      </c>
      <c r="T3765">
        <v>1529</v>
      </c>
      <c r="U3765" t="s">
        <v>19</v>
      </c>
    </row>
    <row r="3766" spans="1:21">
      <c r="A3766" t="str">
        <f t="shared" si="1801"/>
        <v>10/07/2025</v>
      </c>
      <c r="B3766" t="str">
        <f t="shared" si="1807"/>
        <v>ENTRADA</v>
      </c>
      <c r="C3766" t="str">
        <f t="shared" si="1802"/>
        <v>NFSE</v>
      </c>
      <c r="D3766" t="str">
        <f>"3200"</f>
        <v>3200</v>
      </c>
      <c r="E3766" t="str">
        <f t="shared" si="1808"/>
        <v>COM</v>
      </c>
      <c r="F3766" t="str">
        <f>"FARMACIA ECONOMIZE (10103)"</f>
        <v>FARMACIA ECONOMIZE (10103)</v>
      </c>
      <c r="G3766" t="str">
        <f>"Serv.Prest. 30/06/2025 a 06/07/2025 - RPS: 967 - NFSe: 3200"</f>
        <v>Serv.Prest. 30/06/2025 a 06/07/2025 - RPS: 967 - NFSe: 3200</v>
      </c>
      <c r="H3766" t="str">
        <f t="shared" si="1810"/>
        <v>09/07/2025</v>
      </c>
      <c r="I3766" t="str">
        <f t="shared" si="1809"/>
        <v>07/07/2025</v>
      </c>
      <c r="J3766" t="str">
        <f t="shared" si="1804"/>
        <v>10/07/2025</v>
      </c>
      <c r="K3766">
        <v>24.82</v>
      </c>
      <c r="L3766">
        <v>24.82</v>
      </c>
      <c r="M3766">
        <v>303</v>
      </c>
      <c r="N3766" t="str">
        <f t="shared" si="1805"/>
        <v>RECEITAS COM ENTREGAS</v>
      </c>
      <c r="O3766">
        <v>24.82</v>
      </c>
      <c r="R3766" t="str">
        <f t="shared" si="1806"/>
        <v>RECEITAS COM ENTREGAS (303)</v>
      </c>
      <c r="S3766">
        <v>2024</v>
      </c>
      <c r="T3766">
        <v>1531</v>
      </c>
      <c r="U3766" t="s">
        <v>19</v>
      </c>
    </row>
    <row r="3767" spans="1:21">
      <c r="A3767" t="str">
        <f t="shared" si="1801"/>
        <v>10/07/2025</v>
      </c>
      <c r="B3767" t="str">
        <f t="shared" si="1807"/>
        <v>ENTRADA</v>
      </c>
      <c r="C3767" t="str">
        <f t="shared" si="1802"/>
        <v>NFSE</v>
      </c>
      <c r="D3767" t="str">
        <f>"3200"</f>
        <v>3200</v>
      </c>
      <c r="E3767" t="str">
        <f t="shared" si="1808"/>
        <v>COM</v>
      </c>
      <c r="F3767" t="str">
        <f>"FARMACIA ECONOMIZE (10103)"</f>
        <v>FARMACIA ECONOMIZE (10103)</v>
      </c>
      <c r="G3767" t="str">
        <f>"Serv.Prest. 30/06/2025 a 06/07/2025 - RPS: 967 - NFSe: 3200"</f>
        <v>Serv.Prest. 30/06/2025 a 06/07/2025 - RPS: 967 - NFSe: 3200</v>
      </c>
      <c r="H3767" t="str">
        <f t="shared" si="1810"/>
        <v>09/07/2025</v>
      </c>
      <c r="I3767" t="str">
        <f t="shared" si="1809"/>
        <v>07/07/2025</v>
      </c>
      <c r="J3767" t="str">
        <f t="shared" si="1804"/>
        <v>10/07/2025</v>
      </c>
      <c r="M3767">
        <v>303</v>
      </c>
      <c r="N3767" t="str">
        <f t="shared" si="1805"/>
        <v>RECEITAS COM ENTREGAS</v>
      </c>
      <c r="P3767">
        <v>24.82</v>
      </c>
      <c r="Q3767" t="str">
        <f>"FARMACIA ECONOMIZE (10103)"</f>
        <v>FARMACIA ECONOMIZE (10103)</v>
      </c>
      <c r="R3767" t="str">
        <f t="shared" si="1806"/>
        <v>RECEITAS COM ENTREGAS (303)</v>
      </c>
      <c r="S3767">
        <v>2024</v>
      </c>
      <c r="T3767">
        <v>1531</v>
      </c>
      <c r="U3767" t="s">
        <v>19</v>
      </c>
    </row>
    <row r="3768" spans="1:21">
      <c r="A3768" t="str">
        <f t="shared" si="1801"/>
        <v>10/07/2025</v>
      </c>
      <c r="B3768" t="str">
        <f t="shared" si="1807"/>
        <v>ENTRADA</v>
      </c>
      <c r="C3768" t="str">
        <f t="shared" si="1802"/>
        <v>NFSE</v>
      </c>
      <c r="D3768" t="str">
        <f>"3209"</f>
        <v>3209</v>
      </c>
      <c r="E3768" t="str">
        <f t="shared" si="1808"/>
        <v>COM</v>
      </c>
      <c r="F3768" t="str">
        <f>"DROGARIA TOTAL JUNDIAI (10177)"</f>
        <v>DROGARIA TOTAL JUNDIAI (10177)</v>
      </c>
      <c r="G3768" t="str">
        <f>"Serv.Prest. 30/06/2025 a 06/07/2025 - RPS: 976 - NFSe: 3209"</f>
        <v>Serv.Prest. 30/06/2025 a 06/07/2025 - RPS: 976 - NFSe: 3209</v>
      </c>
      <c r="H3768" t="str">
        <f t="shared" si="1810"/>
        <v>09/07/2025</v>
      </c>
      <c r="I3768" t="str">
        <f t="shared" si="1809"/>
        <v>07/07/2025</v>
      </c>
      <c r="J3768" t="str">
        <f t="shared" si="1804"/>
        <v>10/07/2025</v>
      </c>
      <c r="K3768">
        <v>50.13</v>
      </c>
      <c r="L3768">
        <v>50.13</v>
      </c>
      <c r="M3768">
        <v>303</v>
      </c>
      <c r="N3768" t="str">
        <f t="shared" si="1805"/>
        <v>RECEITAS COM ENTREGAS</v>
      </c>
      <c r="O3768">
        <v>50.13</v>
      </c>
      <c r="R3768" t="str">
        <f t="shared" si="1806"/>
        <v>RECEITAS COM ENTREGAS (303)</v>
      </c>
      <c r="S3768">
        <v>2025</v>
      </c>
      <c r="T3768">
        <v>1540</v>
      </c>
      <c r="U3768" t="s">
        <v>19</v>
      </c>
    </row>
    <row r="3769" spans="1:21">
      <c r="A3769" t="str">
        <f t="shared" si="1801"/>
        <v>10/07/2025</v>
      </c>
      <c r="B3769" t="str">
        <f t="shared" si="1807"/>
        <v>ENTRADA</v>
      </c>
      <c r="C3769" t="str">
        <f t="shared" si="1802"/>
        <v>NFSE</v>
      </c>
      <c r="D3769" t="str">
        <f>"3209"</f>
        <v>3209</v>
      </c>
      <c r="E3769" t="str">
        <f t="shared" si="1808"/>
        <v>COM</v>
      </c>
      <c r="F3769" t="str">
        <f>"DROGARIA TOTAL JUNDIAI (10177)"</f>
        <v>DROGARIA TOTAL JUNDIAI (10177)</v>
      </c>
      <c r="G3769" t="str">
        <f>"Serv.Prest. 30/06/2025 a 06/07/2025 - RPS: 976 - NFSe: 3209"</f>
        <v>Serv.Prest. 30/06/2025 a 06/07/2025 - RPS: 976 - NFSe: 3209</v>
      </c>
      <c r="H3769" t="str">
        <f t="shared" si="1810"/>
        <v>09/07/2025</v>
      </c>
      <c r="I3769" t="str">
        <f t="shared" si="1809"/>
        <v>07/07/2025</v>
      </c>
      <c r="J3769" t="str">
        <f t="shared" si="1804"/>
        <v>10/07/2025</v>
      </c>
      <c r="M3769">
        <v>303</v>
      </c>
      <c r="N3769" t="str">
        <f t="shared" si="1805"/>
        <v>RECEITAS COM ENTREGAS</v>
      </c>
      <c r="P3769">
        <v>50.13</v>
      </c>
      <c r="Q3769" t="str">
        <f>"DROGARIA TOTAL JUNDIAI (10177)"</f>
        <v>DROGARIA TOTAL JUNDIAI (10177)</v>
      </c>
      <c r="R3769" t="str">
        <f t="shared" si="1806"/>
        <v>RECEITAS COM ENTREGAS (303)</v>
      </c>
      <c r="S3769">
        <v>2025</v>
      </c>
      <c r="T3769">
        <v>1540</v>
      </c>
      <c r="U3769" t="s">
        <v>19</v>
      </c>
    </row>
    <row r="3770" spans="1:21">
      <c r="A3770" t="str">
        <f t="shared" si="1801"/>
        <v>10/07/2025</v>
      </c>
      <c r="B3770" t="str">
        <f t="shared" si="1807"/>
        <v>ENTRADA</v>
      </c>
      <c r="C3770" t="str">
        <f t="shared" si="1802"/>
        <v>NFSE</v>
      </c>
      <c r="D3770" t="str">
        <f>"3212"</f>
        <v>3212</v>
      </c>
      <c r="E3770" t="str">
        <f t="shared" si="1808"/>
        <v>COM</v>
      </c>
      <c r="F3770" t="str">
        <f>"DROGA MONICA LJ 3 (10152)"</f>
        <v>DROGA MONICA LJ 3 (10152)</v>
      </c>
      <c r="G3770" t="str">
        <f>"Serv.Prest. 30/06/2025 a 06/07/2025 - RPS: 979 - NFSe: 3212"</f>
        <v>Serv.Prest. 30/06/2025 a 06/07/2025 - RPS: 979 - NFSe: 3212</v>
      </c>
      <c r="H3770" t="str">
        <f t="shared" si="1810"/>
        <v>09/07/2025</v>
      </c>
      <c r="I3770" t="str">
        <f t="shared" si="1809"/>
        <v>07/07/2025</v>
      </c>
      <c r="J3770" t="str">
        <f t="shared" si="1804"/>
        <v>10/07/2025</v>
      </c>
      <c r="K3770">
        <v>206.4</v>
      </c>
      <c r="L3770">
        <v>206.4</v>
      </c>
      <c r="M3770">
        <v>303</v>
      </c>
      <c r="N3770" t="str">
        <f t="shared" si="1805"/>
        <v>RECEITAS COM ENTREGAS</v>
      </c>
      <c r="O3770">
        <v>206.4</v>
      </c>
      <c r="R3770" t="str">
        <f t="shared" si="1806"/>
        <v>RECEITAS COM ENTREGAS (303)</v>
      </c>
      <c r="S3770">
        <v>2026</v>
      </c>
      <c r="T3770">
        <v>1543</v>
      </c>
      <c r="U3770" t="s">
        <v>19</v>
      </c>
    </row>
    <row r="3771" spans="1:21">
      <c r="A3771" t="str">
        <f t="shared" si="1801"/>
        <v>10/07/2025</v>
      </c>
      <c r="B3771" t="str">
        <f t="shared" si="1807"/>
        <v>ENTRADA</v>
      </c>
      <c r="C3771" t="str">
        <f t="shared" si="1802"/>
        <v>NFSE</v>
      </c>
      <c r="D3771" t="str">
        <f>"3212"</f>
        <v>3212</v>
      </c>
      <c r="E3771" t="str">
        <f t="shared" si="1808"/>
        <v>COM</v>
      </c>
      <c r="F3771" t="str">
        <f>"DROGA MONICA LJ 3 (10152)"</f>
        <v>DROGA MONICA LJ 3 (10152)</v>
      </c>
      <c r="G3771" t="str">
        <f>"Serv.Prest. 30/06/2025 a 06/07/2025 - RPS: 979 - NFSe: 3212"</f>
        <v>Serv.Prest. 30/06/2025 a 06/07/2025 - RPS: 979 - NFSe: 3212</v>
      </c>
      <c r="H3771" t="str">
        <f t="shared" si="1810"/>
        <v>09/07/2025</v>
      </c>
      <c r="I3771" t="str">
        <f t="shared" si="1809"/>
        <v>07/07/2025</v>
      </c>
      <c r="J3771" t="str">
        <f t="shared" si="1804"/>
        <v>10/07/2025</v>
      </c>
      <c r="M3771">
        <v>303</v>
      </c>
      <c r="N3771" t="str">
        <f t="shared" si="1805"/>
        <v>RECEITAS COM ENTREGAS</v>
      </c>
      <c r="P3771">
        <v>206.4</v>
      </c>
      <c r="Q3771" t="str">
        <f>"DROGA MONICA LJ 3 (10152)"</f>
        <v>DROGA MONICA LJ 3 (10152)</v>
      </c>
      <c r="R3771" t="str">
        <f t="shared" si="1806"/>
        <v>RECEITAS COM ENTREGAS (303)</v>
      </c>
      <c r="S3771">
        <v>2026</v>
      </c>
      <c r="T3771">
        <v>1543</v>
      </c>
      <c r="U3771" t="s">
        <v>19</v>
      </c>
    </row>
    <row r="3772" spans="1:21">
      <c r="A3772" t="str">
        <f t="shared" si="1801"/>
        <v>10/07/2025</v>
      </c>
      <c r="B3772" t="str">
        <f t="shared" si="1807"/>
        <v>ENTRADA</v>
      </c>
      <c r="C3772" t="str">
        <f t="shared" si="1802"/>
        <v>NFSE</v>
      </c>
      <c r="D3772" t="str">
        <f>"3215"</f>
        <v>3215</v>
      </c>
      <c r="E3772" t="str">
        <f t="shared" si="1808"/>
        <v>COM</v>
      </c>
      <c r="F3772" t="str">
        <f>"JAL FARMACIA E DROGARIA LJ 1 (10137)"</f>
        <v>JAL FARMACIA E DROGARIA LJ 1 (10137)</v>
      </c>
      <c r="G3772" t="str">
        <f>"Serv.Prest. 30/06/2025 a 06/07/2025 - RPS: 982 - NFSe: 3215"</f>
        <v>Serv.Prest. 30/06/2025 a 06/07/2025 - RPS: 982 - NFSe: 3215</v>
      </c>
      <c r="H3772" t="str">
        <f t="shared" si="1810"/>
        <v>09/07/2025</v>
      </c>
      <c r="I3772" t="str">
        <f>("08/07/2025")</f>
        <v>08/07/2025</v>
      </c>
      <c r="J3772" t="str">
        <f t="shared" si="1804"/>
        <v>10/07/2025</v>
      </c>
      <c r="K3772">
        <v>492.8</v>
      </c>
      <c r="L3772">
        <v>492.8</v>
      </c>
      <c r="M3772">
        <v>303</v>
      </c>
      <c r="N3772" t="str">
        <f t="shared" si="1805"/>
        <v>RECEITAS COM ENTREGAS</v>
      </c>
      <c r="O3772">
        <v>492.8</v>
      </c>
      <c r="R3772" t="str">
        <f t="shared" si="1806"/>
        <v>RECEITAS COM ENTREGAS (303)</v>
      </c>
      <c r="S3772">
        <v>2027</v>
      </c>
      <c r="T3772">
        <v>1546</v>
      </c>
      <c r="U3772" t="s">
        <v>19</v>
      </c>
    </row>
    <row r="3773" spans="1:21">
      <c r="A3773" t="str">
        <f t="shared" si="1801"/>
        <v>10/07/2025</v>
      </c>
      <c r="B3773" t="str">
        <f t="shared" si="1807"/>
        <v>ENTRADA</v>
      </c>
      <c r="C3773" t="str">
        <f t="shared" si="1802"/>
        <v>NFSE</v>
      </c>
      <c r="D3773" t="str">
        <f>"3215"</f>
        <v>3215</v>
      </c>
      <c r="E3773" t="str">
        <f t="shared" si="1808"/>
        <v>COM</v>
      </c>
      <c r="F3773" t="str">
        <f>"JAL FARMACIA E DROGARIA LJ 1 (10137)"</f>
        <v>JAL FARMACIA E DROGARIA LJ 1 (10137)</v>
      </c>
      <c r="G3773" t="str">
        <f>"Serv.Prest. 30/06/2025 a 06/07/2025 - RPS: 982 - NFSe: 3215"</f>
        <v>Serv.Prest. 30/06/2025 a 06/07/2025 - RPS: 982 - NFSe: 3215</v>
      </c>
      <c r="H3773" t="str">
        <f t="shared" si="1810"/>
        <v>09/07/2025</v>
      </c>
      <c r="I3773" t="str">
        <f>("08/07/2025")</f>
        <v>08/07/2025</v>
      </c>
      <c r="J3773" t="str">
        <f t="shared" si="1804"/>
        <v>10/07/2025</v>
      </c>
      <c r="M3773">
        <v>303</v>
      </c>
      <c r="N3773" t="str">
        <f t="shared" si="1805"/>
        <v>RECEITAS COM ENTREGAS</v>
      </c>
      <c r="P3773">
        <v>492.8</v>
      </c>
      <c r="Q3773" t="str">
        <f>"JAL FARMACIA E DROGARIA LJ 1 (10137)"</f>
        <v>JAL FARMACIA E DROGARIA LJ 1 (10137)</v>
      </c>
      <c r="R3773" t="str">
        <f t="shared" si="1806"/>
        <v>RECEITAS COM ENTREGAS (303)</v>
      </c>
      <c r="S3773">
        <v>2027</v>
      </c>
      <c r="T3773">
        <v>1546</v>
      </c>
      <c r="U3773" t="s">
        <v>19</v>
      </c>
    </row>
    <row r="3774" spans="1:21">
      <c r="A3774" t="str">
        <f t="shared" si="1801"/>
        <v>10/07/2025</v>
      </c>
      <c r="B3774" t="str">
        <f t="shared" si="1807"/>
        <v>ENTRADA</v>
      </c>
      <c r="C3774" t="str">
        <f t="shared" si="1802"/>
        <v>NFSE</v>
      </c>
      <c r="D3774" t="str">
        <f>"3210"</f>
        <v>3210</v>
      </c>
      <c r="E3774" t="str">
        <f t="shared" si="1808"/>
        <v>COM</v>
      </c>
      <c r="F3774" t="str">
        <f>"DROGARIA POUPA MINAS (DOIS AMIGOS) 5 (10140)"</f>
        <v>DROGARIA POUPA MINAS (DOIS AMIGOS) 5 (10140)</v>
      </c>
      <c r="G3774" t="str">
        <f>"Serv.Prest. 30/06/2025 a 06/07/2025 - RPS: 977 - NFSe: 3210"</f>
        <v>Serv.Prest. 30/06/2025 a 06/07/2025 - RPS: 977 - NFSe: 3210</v>
      </c>
      <c r="H3774" t="str">
        <f t="shared" ref="H3774:H3795" si="1811">("10/07/2025")</f>
        <v>10/07/2025</v>
      </c>
      <c r="I3774" t="str">
        <f>("07/07/2025")</f>
        <v>07/07/2025</v>
      </c>
      <c r="J3774" t="str">
        <f t="shared" si="1804"/>
        <v>10/07/2025</v>
      </c>
      <c r="K3774">
        <v>748.93</v>
      </c>
      <c r="L3774">
        <v>748.93</v>
      </c>
      <c r="M3774">
        <v>303</v>
      </c>
      <c r="N3774" t="str">
        <f t="shared" si="1805"/>
        <v>RECEITAS COM ENTREGAS</v>
      </c>
      <c r="O3774">
        <v>748.93</v>
      </c>
      <c r="R3774" t="str">
        <f t="shared" si="1806"/>
        <v>RECEITAS COM ENTREGAS (303)</v>
      </c>
      <c r="S3774">
        <v>2028</v>
      </c>
      <c r="T3774">
        <v>1541</v>
      </c>
      <c r="U3774" t="s">
        <v>19</v>
      </c>
    </row>
    <row r="3775" spans="1:21">
      <c r="A3775" t="str">
        <f t="shared" si="1801"/>
        <v>10/07/2025</v>
      </c>
      <c r="B3775" t="str">
        <f t="shared" si="1807"/>
        <v>ENTRADA</v>
      </c>
      <c r="C3775" t="str">
        <f t="shared" si="1802"/>
        <v>NFSE</v>
      </c>
      <c r="D3775" t="str">
        <f>"3210"</f>
        <v>3210</v>
      </c>
      <c r="E3775" t="str">
        <f t="shared" si="1808"/>
        <v>COM</v>
      </c>
      <c r="F3775" t="str">
        <f>"DROGARIA POUPA MINAS (DOIS AMIGOS) 5 (10140)"</f>
        <v>DROGARIA POUPA MINAS (DOIS AMIGOS) 5 (10140)</v>
      </c>
      <c r="G3775" t="str">
        <f>"Serv.Prest. 30/06/2025 a 06/07/2025 - RPS: 977 - NFSe: 3210"</f>
        <v>Serv.Prest. 30/06/2025 a 06/07/2025 - RPS: 977 - NFSe: 3210</v>
      </c>
      <c r="H3775" t="str">
        <f t="shared" si="1811"/>
        <v>10/07/2025</v>
      </c>
      <c r="I3775" t="str">
        <f>("07/07/2025")</f>
        <v>07/07/2025</v>
      </c>
      <c r="J3775" t="str">
        <f t="shared" si="1804"/>
        <v>10/07/2025</v>
      </c>
      <c r="M3775">
        <v>303</v>
      </c>
      <c r="N3775" t="str">
        <f t="shared" si="1805"/>
        <v>RECEITAS COM ENTREGAS</v>
      </c>
      <c r="P3775">
        <v>748.93</v>
      </c>
      <c r="Q3775" t="str">
        <f>"DROGARIA POUPA MINAS (ULTRAMINAS) 1 (10181)"</f>
        <v>DROGARIA POUPA MINAS (ULTRAMINAS) 1 (10181)</v>
      </c>
      <c r="R3775" t="str">
        <f t="shared" si="1806"/>
        <v>RECEITAS COM ENTREGAS (303)</v>
      </c>
      <c r="S3775">
        <v>2028</v>
      </c>
      <c r="T3775">
        <v>1541</v>
      </c>
      <c r="U3775" t="s">
        <v>19</v>
      </c>
    </row>
    <row r="3776" spans="1:21">
      <c r="A3776" t="str">
        <f t="shared" si="1801"/>
        <v>10/07/2025</v>
      </c>
      <c r="B3776" t="str">
        <f t="shared" si="1807"/>
        <v>ENTRADA</v>
      </c>
      <c r="C3776" t="str">
        <f t="shared" si="1802"/>
        <v>NFSE</v>
      </c>
      <c r="D3776" t="str">
        <f>"3213"</f>
        <v>3213</v>
      </c>
      <c r="E3776" t="str">
        <f t="shared" si="1808"/>
        <v>COM</v>
      </c>
      <c r="F3776" t="str">
        <f>"DROGARIA POUPA MINAS (ULTRAMINAS) 3 (10129)"</f>
        <v>DROGARIA POUPA MINAS (ULTRAMINAS) 3 (10129)</v>
      </c>
      <c r="G3776" t="str">
        <f>"Serv.Prest. 30/06/2025 a 06/07/2025 - RPS: 980 - NFSe: 3213"</f>
        <v>Serv.Prest. 30/06/2025 a 06/07/2025 - RPS: 980 - NFSe: 3213</v>
      </c>
      <c r="H3776" t="str">
        <f t="shared" si="1811"/>
        <v>10/07/2025</v>
      </c>
      <c r="I3776" t="str">
        <f>("08/07/2025")</f>
        <v>08/07/2025</v>
      </c>
      <c r="J3776" t="str">
        <f t="shared" si="1804"/>
        <v>10/07/2025</v>
      </c>
      <c r="K3776">
        <v>274.56</v>
      </c>
      <c r="L3776">
        <v>274.56</v>
      </c>
      <c r="M3776">
        <v>303</v>
      </c>
      <c r="N3776" t="str">
        <f t="shared" si="1805"/>
        <v>RECEITAS COM ENTREGAS</v>
      </c>
      <c r="O3776">
        <v>274.56</v>
      </c>
      <c r="R3776" t="str">
        <f t="shared" si="1806"/>
        <v>RECEITAS COM ENTREGAS (303)</v>
      </c>
      <c r="S3776">
        <v>2029</v>
      </c>
      <c r="T3776">
        <v>1544</v>
      </c>
      <c r="U3776" t="s">
        <v>19</v>
      </c>
    </row>
    <row r="3777" spans="1:21">
      <c r="A3777" t="str">
        <f t="shared" si="1801"/>
        <v>10/07/2025</v>
      </c>
      <c r="B3777" t="str">
        <f t="shared" si="1807"/>
        <v>ENTRADA</v>
      </c>
      <c r="C3777" t="str">
        <f t="shared" si="1802"/>
        <v>NFSE</v>
      </c>
      <c r="D3777" t="str">
        <f>"3213"</f>
        <v>3213</v>
      </c>
      <c r="E3777" t="str">
        <f t="shared" si="1808"/>
        <v>COM</v>
      </c>
      <c r="F3777" t="str">
        <f>"DROGARIA POUPA MINAS (ULTRAMINAS) 3 (10129)"</f>
        <v>DROGARIA POUPA MINAS (ULTRAMINAS) 3 (10129)</v>
      </c>
      <c r="G3777" t="str">
        <f>"Serv.Prest. 30/06/2025 a 06/07/2025 - RPS: 980 - NFSe: 3213"</f>
        <v>Serv.Prest. 30/06/2025 a 06/07/2025 - RPS: 980 - NFSe: 3213</v>
      </c>
      <c r="H3777" t="str">
        <f t="shared" si="1811"/>
        <v>10/07/2025</v>
      </c>
      <c r="I3777" t="str">
        <f>("08/07/2025")</f>
        <v>08/07/2025</v>
      </c>
      <c r="J3777" t="str">
        <f t="shared" si="1804"/>
        <v>10/07/2025</v>
      </c>
      <c r="M3777">
        <v>303</v>
      </c>
      <c r="N3777" t="str">
        <f t="shared" si="1805"/>
        <v>RECEITAS COM ENTREGAS</v>
      </c>
      <c r="P3777">
        <v>274.56</v>
      </c>
      <c r="Q3777" t="str">
        <f>"DROGARIA POUPA MINAS (ULTRAMINAS) 3 (10129)"</f>
        <v>DROGARIA POUPA MINAS (ULTRAMINAS) 3 (10129)</v>
      </c>
      <c r="R3777" t="str">
        <f t="shared" si="1806"/>
        <v>RECEITAS COM ENTREGAS (303)</v>
      </c>
      <c r="S3777">
        <v>2029</v>
      </c>
      <c r="T3777">
        <v>1544</v>
      </c>
      <c r="U3777" t="s">
        <v>19</v>
      </c>
    </row>
    <row r="3778" spans="1:21">
      <c r="A3778" t="str">
        <f t="shared" si="1801"/>
        <v>10/07/2025</v>
      </c>
      <c r="B3778" t="str">
        <f t="shared" si="1807"/>
        <v>ENTRADA</v>
      </c>
      <c r="C3778" t="str">
        <f t="shared" si="1802"/>
        <v>NFSE</v>
      </c>
      <c r="D3778" t="str">
        <f>"3219"</f>
        <v>3219</v>
      </c>
      <c r="E3778" t="str">
        <f t="shared" si="1808"/>
        <v>COM</v>
      </c>
      <c r="F3778" t="str">
        <f>"PASSA QUATRO (10175)"</f>
        <v>PASSA QUATRO (10175)</v>
      </c>
      <c r="G3778" t="str">
        <f>"Serv.Prest. 23/06/2025 a 30/06/2025 - RPS: 986 - NFSe: 3219"</f>
        <v>Serv.Prest. 23/06/2025 a 30/06/2025 - RPS: 986 - NFSe: 3219</v>
      </c>
      <c r="H3778" t="str">
        <f t="shared" si="1811"/>
        <v>10/07/2025</v>
      </c>
      <c r="I3778" t="str">
        <f>("09/07/2025")</f>
        <v>09/07/2025</v>
      </c>
      <c r="J3778" t="str">
        <f t="shared" si="1804"/>
        <v>10/07/2025</v>
      </c>
      <c r="K3778">
        <v>20</v>
      </c>
      <c r="L3778">
        <v>20</v>
      </c>
      <c r="M3778">
        <v>303</v>
      </c>
      <c r="N3778" t="str">
        <f t="shared" si="1805"/>
        <v>RECEITAS COM ENTREGAS</v>
      </c>
      <c r="O3778">
        <v>20</v>
      </c>
      <c r="R3778" t="str">
        <f t="shared" si="1806"/>
        <v>RECEITAS COM ENTREGAS (303)</v>
      </c>
      <c r="S3778">
        <v>2030</v>
      </c>
      <c r="T3778">
        <v>1556</v>
      </c>
      <c r="U3778" t="s">
        <v>19</v>
      </c>
    </row>
    <row r="3779" spans="1:21">
      <c r="A3779" t="str">
        <f t="shared" si="1801"/>
        <v>10/07/2025</v>
      </c>
      <c r="B3779" t="str">
        <f t="shared" si="1807"/>
        <v>ENTRADA</v>
      </c>
      <c r="C3779" t="str">
        <f t="shared" si="1802"/>
        <v>NFSE</v>
      </c>
      <c r="D3779" t="str">
        <f>"3219"</f>
        <v>3219</v>
      </c>
      <c r="E3779" t="str">
        <f t="shared" si="1808"/>
        <v>COM</v>
      </c>
      <c r="F3779" t="str">
        <f>"PASSA QUATRO (10175)"</f>
        <v>PASSA QUATRO (10175)</v>
      </c>
      <c r="G3779" t="str">
        <f>"Serv.Prest. 23/06/2025 a 30/06/2025 - RPS: 986 - NFSe: 3219"</f>
        <v>Serv.Prest. 23/06/2025 a 30/06/2025 - RPS: 986 - NFSe: 3219</v>
      </c>
      <c r="H3779" t="str">
        <f t="shared" si="1811"/>
        <v>10/07/2025</v>
      </c>
      <c r="I3779" t="str">
        <f>("09/07/2025")</f>
        <v>09/07/2025</v>
      </c>
      <c r="J3779" t="str">
        <f t="shared" si="1804"/>
        <v>10/07/2025</v>
      </c>
      <c r="M3779">
        <v>303</v>
      </c>
      <c r="N3779" t="str">
        <f t="shared" si="1805"/>
        <v>RECEITAS COM ENTREGAS</v>
      </c>
      <c r="P3779">
        <v>20</v>
      </c>
      <c r="Q3779" t="str">
        <f>"PASSA QUATRO (10175)"</f>
        <v>PASSA QUATRO (10175)</v>
      </c>
      <c r="R3779" t="str">
        <f t="shared" si="1806"/>
        <v>RECEITAS COM ENTREGAS (303)</v>
      </c>
      <c r="S3779">
        <v>2030</v>
      </c>
      <c r="T3779">
        <v>1556</v>
      </c>
      <c r="U3779" t="s">
        <v>19</v>
      </c>
    </row>
    <row r="3780" spans="1:21">
      <c r="A3780" t="str">
        <f t="shared" si="1801"/>
        <v>10/07/2025</v>
      </c>
      <c r="B3780" t="str">
        <f t="shared" si="1807"/>
        <v>ENTRADA</v>
      </c>
      <c r="C3780" t="str">
        <f t="shared" si="1802"/>
        <v>NFSE</v>
      </c>
      <c r="D3780" t="str">
        <f>"3220"</f>
        <v>3220</v>
      </c>
      <c r="E3780" t="str">
        <f t="shared" si="1808"/>
        <v>COM</v>
      </c>
      <c r="F3780" t="str">
        <f>"ITANHANDU (10174)"</f>
        <v>ITANHANDU (10174)</v>
      </c>
      <c r="G3780" t="str">
        <f>"Serv.Prest. 23/06/2025 a 30/06/2025 - RPS: 987 - NFSe: 3220"</f>
        <v>Serv.Prest. 23/06/2025 a 30/06/2025 - RPS: 987 - NFSe: 3220</v>
      </c>
      <c r="H3780" t="str">
        <f t="shared" si="1811"/>
        <v>10/07/2025</v>
      </c>
      <c r="I3780" t="str">
        <f>("09/07/2025")</f>
        <v>09/07/2025</v>
      </c>
      <c r="J3780" t="str">
        <f t="shared" si="1804"/>
        <v>10/07/2025</v>
      </c>
      <c r="K3780">
        <v>20</v>
      </c>
      <c r="L3780">
        <v>20</v>
      </c>
      <c r="M3780">
        <v>303</v>
      </c>
      <c r="N3780" t="str">
        <f t="shared" si="1805"/>
        <v>RECEITAS COM ENTREGAS</v>
      </c>
      <c r="O3780">
        <v>20</v>
      </c>
      <c r="R3780" t="str">
        <f t="shared" si="1806"/>
        <v>RECEITAS COM ENTREGAS (303)</v>
      </c>
      <c r="S3780">
        <v>2031</v>
      </c>
      <c r="T3780">
        <v>1557</v>
      </c>
      <c r="U3780" t="s">
        <v>19</v>
      </c>
    </row>
    <row r="3781" spans="1:21">
      <c r="A3781" t="str">
        <f t="shared" si="1801"/>
        <v>10/07/2025</v>
      </c>
      <c r="B3781" t="str">
        <f t="shared" si="1807"/>
        <v>ENTRADA</v>
      </c>
      <c r="C3781" t="str">
        <f t="shared" si="1802"/>
        <v>NFSE</v>
      </c>
      <c r="D3781" t="str">
        <f>"3220"</f>
        <v>3220</v>
      </c>
      <c r="E3781" t="str">
        <f t="shared" si="1808"/>
        <v>COM</v>
      </c>
      <c r="F3781" t="str">
        <f>"ITANHANDU (10174)"</f>
        <v>ITANHANDU (10174)</v>
      </c>
      <c r="G3781" t="str">
        <f>"Serv.Prest. 23/06/2025 a 30/06/2025 - RPS: 987 - NFSe: 3220"</f>
        <v>Serv.Prest. 23/06/2025 a 30/06/2025 - RPS: 987 - NFSe: 3220</v>
      </c>
      <c r="H3781" t="str">
        <f t="shared" si="1811"/>
        <v>10/07/2025</v>
      </c>
      <c r="I3781" t="str">
        <f>("09/07/2025")</f>
        <v>09/07/2025</v>
      </c>
      <c r="J3781" t="str">
        <f t="shared" si="1804"/>
        <v>10/07/2025</v>
      </c>
      <c r="M3781">
        <v>303</v>
      </c>
      <c r="N3781" t="str">
        <f t="shared" si="1805"/>
        <v>RECEITAS COM ENTREGAS</v>
      </c>
      <c r="P3781">
        <v>20</v>
      </c>
      <c r="Q3781" t="str">
        <f>"ITANHANDU (10174)"</f>
        <v>ITANHANDU (10174)</v>
      </c>
      <c r="R3781" t="str">
        <f t="shared" si="1806"/>
        <v>RECEITAS COM ENTREGAS (303)</v>
      </c>
      <c r="S3781">
        <v>2031</v>
      </c>
      <c r="T3781">
        <v>1557</v>
      </c>
      <c r="U3781" t="s">
        <v>19</v>
      </c>
    </row>
    <row r="3782" spans="1:21">
      <c r="A3782" t="str">
        <f t="shared" si="1801"/>
        <v>10/07/2025</v>
      </c>
      <c r="B3782" t="str">
        <f t="shared" ref="B3782:B3795" si="1812">"SAÍDA"</f>
        <v>SAÍDA</v>
      </c>
      <c r="C3782" t="str">
        <f>"BOLETO"</f>
        <v>BOLETO</v>
      </c>
      <c r="D3782" t="str">
        <f>"767045"</f>
        <v>767045</v>
      </c>
      <c r="E3782" t="str">
        <f t="shared" si="1808"/>
        <v>COM</v>
      </c>
      <c r="F3782" t="str">
        <f>"UNIODONTO REGIONAL COOPERATIVA ODONTOLOGICA LTDA. (20024)"</f>
        <v>UNIODONTO REGIONAL COOPERATIVA ODONTOLOGICA LTDA. (20024)</v>
      </c>
      <c r="G3782" t="str">
        <f>"PLANO ODONTOLOGICO 06/2025"</f>
        <v>PLANO ODONTOLOGICO 06/2025</v>
      </c>
      <c r="H3782" t="str">
        <f t="shared" si="1811"/>
        <v>10/07/2025</v>
      </c>
      <c r="I3782" t="str">
        <f>("17/06/2025")</f>
        <v>17/06/2025</v>
      </c>
      <c r="J3782" t="str">
        <f t="shared" si="1804"/>
        <v>10/07/2025</v>
      </c>
      <c r="K3782">
        <v>1344</v>
      </c>
      <c r="L3782">
        <v>1344</v>
      </c>
      <c r="M3782">
        <v>192</v>
      </c>
      <c r="N3782" t="str">
        <f>"PLANOS E SEGUROS"</f>
        <v>PLANOS E SEGUROS</v>
      </c>
      <c r="O3782">
        <v>1344</v>
      </c>
      <c r="R3782" t="str">
        <f t="shared" ref="R3782:R3795" si="1813">"BANCO CORA (102)"</f>
        <v>BANCO CORA (102)</v>
      </c>
      <c r="S3782">
        <v>2047</v>
      </c>
      <c r="T3782">
        <v>841</v>
      </c>
      <c r="U3782" t="s">
        <v>19</v>
      </c>
    </row>
    <row r="3783" spans="1:21">
      <c r="A3783" t="str">
        <f t="shared" si="1801"/>
        <v>10/07/2025</v>
      </c>
      <c r="B3783" t="str">
        <f t="shared" si="1812"/>
        <v>SAÍDA</v>
      </c>
      <c r="C3783" t="str">
        <f t="shared" ref="C3783:C3795" si="1814">"CONHECIMENTO"</f>
        <v>CONHECIMENTO</v>
      </c>
      <c r="D3783" t="str">
        <f t="shared" ref="D3783:D3795" si="1815">"100725170"</f>
        <v>100725170</v>
      </c>
      <c r="E3783" t="str">
        <f t="shared" si="1808"/>
        <v>COM</v>
      </c>
      <c r="F3783" t="str">
        <f t="shared" ref="F3783:F3795" si="1816">"CORA SOCIEDADE DE CREDITO, FINANCIAMENTO E INVESTIMENTO (20035)"</f>
        <v>CORA SOCIEDADE DE CREDITO, FINANCIAMENTO E INVESTIMENTO (20035)</v>
      </c>
      <c r="G3783" t="str">
        <f t="shared" ref="G3783:G3795" si="1817">"TAXA BOLETO COMPENSADO"</f>
        <v>TAXA BOLETO COMPENSADO</v>
      </c>
      <c r="H3783" t="str">
        <f t="shared" si="1811"/>
        <v>10/07/2025</v>
      </c>
      <c r="I3783" t="str">
        <f t="shared" ref="I3783:I3795" si="1818">("10/07/2025")</f>
        <v>10/07/2025</v>
      </c>
      <c r="J3783" t="str">
        <f t="shared" si="1804"/>
        <v>10/07/2025</v>
      </c>
      <c r="K3783">
        <v>1.7</v>
      </c>
      <c r="L3783">
        <v>1.7</v>
      </c>
      <c r="M3783">
        <v>401</v>
      </c>
      <c r="N3783" t="str">
        <f t="shared" ref="N3783:N3795" si="1819">"IOF/JUROS/DESP.FINANCEIRA"</f>
        <v>IOF/JUROS/DESP.FINANCEIRA</v>
      </c>
      <c r="O3783">
        <v>1.7</v>
      </c>
      <c r="R3783" t="str">
        <f t="shared" si="1813"/>
        <v>BANCO CORA (102)</v>
      </c>
      <c r="S3783">
        <v>2140</v>
      </c>
      <c r="T3783">
        <v>1667</v>
      </c>
      <c r="U3783" t="s">
        <v>19</v>
      </c>
    </row>
    <row r="3784" spans="1:21">
      <c r="A3784" t="str">
        <f t="shared" si="1801"/>
        <v>10/07/2025</v>
      </c>
      <c r="B3784" t="str">
        <f t="shared" si="1812"/>
        <v>SAÍDA</v>
      </c>
      <c r="C3784" t="str">
        <f t="shared" si="1814"/>
        <v>CONHECIMENTO</v>
      </c>
      <c r="D3784" t="str">
        <f t="shared" si="1815"/>
        <v>100725170</v>
      </c>
      <c r="E3784" t="str">
        <f t="shared" si="1808"/>
        <v>COM</v>
      </c>
      <c r="F3784" t="str">
        <f t="shared" si="1816"/>
        <v>CORA SOCIEDADE DE CREDITO, FINANCIAMENTO E INVESTIMENTO (20035)</v>
      </c>
      <c r="G3784" t="str">
        <f t="shared" si="1817"/>
        <v>TAXA BOLETO COMPENSADO</v>
      </c>
      <c r="H3784" t="str">
        <f t="shared" si="1811"/>
        <v>10/07/2025</v>
      </c>
      <c r="I3784" t="str">
        <f t="shared" si="1818"/>
        <v>10/07/2025</v>
      </c>
      <c r="J3784" t="str">
        <f t="shared" si="1804"/>
        <v>10/07/2025</v>
      </c>
      <c r="K3784">
        <v>1.7</v>
      </c>
      <c r="L3784">
        <v>1.7</v>
      </c>
      <c r="M3784">
        <v>401</v>
      </c>
      <c r="N3784" t="str">
        <f t="shared" si="1819"/>
        <v>IOF/JUROS/DESP.FINANCEIRA</v>
      </c>
      <c r="O3784">
        <v>1.7</v>
      </c>
      <c r="R3784" t="str">
        <f t="shared" si="1813"/>
        <v>BANCO CORA (102)</v>
      </c>
      <c r="S3784">
        <v>2141</v>
      </c>
      <c r="T3784">
        <v>1668</v>
      </c>
      <c r="U3784" t="s">
        <v>19</v>
      </c>
    </row>
    <row r="3785" spans="1:21">
      <c r="A3785" t="str">
        <f t="shared" si="1801"/>
        <v>10/07/2025</v>
      </c>
      <c r="B3785" t="str">
        <f t="shared" si="1812"/>
        <v>SAÍDA</v>
      </c>
      <c r="C3785" t="str">
        <f t="shared" si="1814"/>
        <v>CONHECIMENTO</v>
      </c>
      <c r="D3785" t="str">
        <f t="shared" si="1815"/>
        <v>100725170</v>
      </c>
      <c r="E3785" t="str">
        <f t="shared" si="1808"/>
        <v>COM</v>
      </c>
      <c r="F3785" t="str">
        <f t="shared" si="1816"/>
        <v>CORA SOCIEDADE DE CREDITO, FINANCIAMENTO E INVESTIMENTO (20035)</v>
      </c>
      <c r="G3785" t="str">
        <f t="shared" si="1817"/>
        <v>TAXA BOLETO COMPENSADO</v>
      </c>
      <c r="H3785" t="str">
        <f t="shared" si="1811"/>
        <v>10/07/2025</v>
      </c>
      <c r="I3785" t="str">
        <f t="shared" si="1818"/>
        <v>10/07/2025</v>
      </c>
      <c r="J3785" t="str">
        <f t="shared" si="1804"/>
        <v>10/07/2025</v>
      </c>
      <c r="K3785">
        <v>1.7</v>
      </c>
      <c r="L3785">
        <v>1.7</v>
      </c>
      <c r="M3785">
        <v>401</v>
      </c>
      <c r="N3785" t="str">
        <f t="shared" si="1819"/>
        <v>IOF/JUROS/DESP.FINANCEIRA</v>
      </c>
      <c r="O3785">
        <v>1.7</v>
      </c>
      <c r="R3785" t="str">
        <f t="shared" si="1813"/>
        <v>BANCO CORA (102)</v>
      </c>
      <c r="S3785">
        <v>2142</v>
      </c>
      <c r="T3785">
        <v>1669</v>
      </c>
      <c r="U3785" t="s">
        <v>19</v>
      </c>
    </row>
    <row r="3786" spans="1:21">
      <c r="A3786" t="str">
        <f t="shared" si="1801"/>
        <v>10/07/2025</v>
      </c>
      <c r="B3786" t="str">
        <f t="shared" si="1812"/>
        <v>SAÍDA</v>
      </c>
      <c r="C3786" t="str">
        <f t="shared" si="1814"/>
        <v>CONHECIMENTO</v>
      </c>
      <c r="D3786" t="str">
        <f t="shared" si="1815"/>
        <v>100725170</v>
      </c>
      <c r="E3786" t="str">
        <f t="shared" si="1808"/>
        <v>COM</v>
      </c>
      <c r="F3786" t="str">
        <f t="shared" si="1816"/>
        <v>CORA SOCIEDADE DE CREDITO, FINANCIAMENTO E INVESTIMENTO (20035)</v>
      </c>
      <c r="G3786" t="str">
        <f t="shared" si="1817"/>
        <v>TAXA BOLETO COMPENSADO</v>
      </c>
      <c r="H3786" t="str">
        <f t="shared" si="1811"/>
        <v>10/07/2025</v>
      </c>
      <c r="I3786" t="str">
        <f t="shared" si="1818"/>
        <v>10/07/2025</v>
      </c>
      <c r="J3786" t="str">
        <f t="shared" si="1804"/>
        <v>10/07/2025</v>
      </c>
      <c r="K3786">
        <v>1.7</v>
      </c>
      <c r="L3786">
        <v>1.7</v>
      </c>
      <c r="M3786">
        <v>401</v>
      </c>
      <c r="N3786" t="str">
        <f t="shared" si="1819"/>
        <v>IOF/JUROS/DESP.FINANCEIRA</v>
      </c>
      <c r="O3786">
        <v>1.7</v>
      </c>
      <c r="R3786" t="str">
        <f t="shared" si="1813"/>
        <v>BANCO CORA (102)</v>
      </c>
      <c r="S3786">
        <v>2143</v>
      </c>
      <c r="T3786">
        <v>1670</v>
      </c>
      <c r="U3786" t="s">
        <v>19</v>
      </c>
    </row>
    <row r="3787" spans="1:21">
      <c r="A3787" t="str">
        <f t="shared" si="1801"/>
        <v>10/07/2025</v>
      </c>
      <c r="B3787" t="str">
        <f t="shared" si="1812"/>
        <v>SAÍDA</v>
      </c>
      <c r="C3787" t="str">
        <f t="shared" si="1814"/>
        <v>CONHECIMENTO</v>
      </c>
      <c r="D3787" t="str">
        <f t="shared" si="1815"/>
        <v>100725170</v>
      </c>
      <c r="E3787" t="str">
        <f t="shared" si="1808"/>
        <v>COM</v>
      </c>
      <c r="F3787" t="str">
        <f t="shared" si="1816"/>
        <v>CORA SOCIEDADE DE CREDITO, FINANCIAMENTO E INVESTIMENTO (20035)</v>
      </c>
      <c r="G3787" t="str">
        <f t="shared" si="1817"/>
        <v>TAXA BOLETO COMPENSADO</v>
      </c>
      <c r="H3787" t="str">
        <f t="shared" si="1811"/>
        <v>10/07/2025</v>
      </c>
      <c r="I3787" t="str">
        <f t="shared" si="1818"/>
        <v>10/07/2025</v>
      </c>
      <c r="J3787" t="str">
        <f t="shared" si="1804"/>
        <v>10/07/2025</v>
      </c>
      <c r="K3787">
        <v>1.7</v>
      </c>
      <c r="L3787">
        <v>1.7</v>
      </c>
      <c r="M3787">
        <v>401</v>
      </c>
      <c r="N3787" t="str">
        <f t="shared" si="1819"/>
        <v>IOF/JUROS/DESP.FINANCEIRA</v>
      </c>
      <c r="O3787">
        <v>1.7</v>
      </c>
      <c r="R3787" t="str">
        <f t="shared" si="1813"/>
        <v>BANCO CORA (102)</v>
      </c>
      <c r="S3787">
        <v>2144</v>
      </c>
      <c r="T3787">
        <v>1671</v>
      </c>
      <c r="U3787" t="s">
        <v>19</v>
      </c>
    </row>
    <row r="3788" spans="1:21">
      <c r="A3788" t="str">
        <f t="shared" si="1801"/>
        <v>10/07/2025</v>
      </c>
      <c r="B3788" t="str">
        <f t="shared" si="1812"/>
        <v>SAÍDA</v>
      </c>
      <c r="C3788" t="str">
        <f t="shared" si="1814"/>
        <v>CONHECIMENTO</v>
      </c>
      <c r="D3788" t="str">
        <f t="shared" si="1815"/>
        <v>100725170</v>
      </c>
      <c r="E3788" t="str">
        <f t="shared" si="1808"/>
        <v>COM</v>
      </c>
      <c r="F3788" t="str">
        <f t="shared" si="1816"/>
        <v>CORA SOCIEDADE DE CREDITO, FINANCIAMENTO E INVESTIMENTO (20035)</v>
      </c>
      <c r="G3788" t="str">
        <f t="shared" si="1817"/>
        <v>TAXA BOLETO COMPENSADO</v>
      </c>
      <c r="H3788" t="str">
        <f t="shared" si="1811"/>
        <v>10/07/2025</v>
      </c>
      <c r="I3788" t="str">
        <f t="shared" si="1818"/>
        <v>10/07/2025</v>
      </c>
      <c r="J3788" t="str">
        <f t="shared" si="1804"/>
        <v>10/07/2025</v>
      </c>
      <c r="K3788">
        <v>1.7</v>
      </c>
      <c r="L3788">
        <v>1.7</v>
      </c>
      <c r="M3788">
        <v>401</v>
      </c>
      <c r="N3788" t="str">
        <f t="shared" si="1819"/>
        <v>IOF/JUROS/DESP.FINANCEIRA</v>
      </c>
      <c r="O3788">
        <v>1.7</v>
      </c>
      <c r="R3788" t="str">
        <f t="shared" si="1813"/>
        <v>BANCO CORA (102)</v>
      </c>
      <c r="S3788">
        <v>2145</v>
      </c>
      <c r="T3788">
        <v>1672</v>
      </c>
      <c r="U3788" t="s">
        <v>19</v>
      </c>
    </row>
    <row r="3789" spans="1:21">
      <c r="A3789" t="str">
        <f t="shared" si="1801"/>
        <v>10/07/2025</v>
      </c>
      <c r="B3789" t="str">
        <f t="shared" si="1812"/>
        <v>SAÍDA</v>
      </c>
      <c r="C3789" t="str">
        <f t="shared" si="1814"/>
        <v>CONHECIMENTO</v>
      </c>
      <c r="D3789" t="str">
        <f t="shared" si="1815"/>
        <v>100725170</v>
      </c>
      <c r="E3789" t="str">
        <f t="shared" si="1808"/>
        <v>COM</v>
      </c>
      <c r="F3789" t="str">
        <f t="shared" si="1816"/>
        <v>CORA SOCIEDADE DE CREDITO, FINANCIAMENTO E INVESTIMENTO (20035)</v>
      </c>
      <c r="G3789" t="str">
        <f t="shared" si="1817"/>
        <v>TAXA BOLETO COMPENSADO</v>
      </c>
      <c r="H3789" t="str">
        <f t="shared" si="1811"/>
        <v>10/07/2025</v>
      </c>
      <c r="I3789" t="str">
        <f t="shared" si="1818"/>
        <v>10/07/2025</v>
      </c>
      <c r="J3789" t="str">
        <f t="shared" si="1804"/>
        <v>10/07/2025</v>
      </c>
      <c r="K3789">
        <v>1.7</v>
      </c>
      <c r="L3789">
        <v>1.7</v>
      </c>
      <c r="M3789">
        <v>401</v>
      </c>
      <c r="N3789" t="str">
        <f t="shared" si="1819"/>
        <v>IOF/JUROS/DESP.FINANCEIRA</v>
      </c>
      <c r="O3789">
        <v>1.7</v>
      </c>
      <c r="R3789" t="str">
        <f t="shared" si="1813"/>
        <v>BANCO CORA (102)</v>
      </c>
      <c r="S3789">
        <v>2146</v>
      </c>
      <c r="T3789">
        <v>1673</v>
      </c>
      <c r="U3789" t="s">
        <v>19</v>
      </c>
    </row>
    <row r="3790" spans="1:21">
      <c r="A3790" t="str">
        <f t="shared" si="1801"/>
        <v>10/07/2025</v>
      </c>
      <c r="B3790" t="str">
        <f t="shared" si="1812"/>
        <v>SAÍDA</v>
      </c>
      <c r="C3790" t="str">
        <f t="shared" si="1814"/>
        <v>CONHECIMENTO</v>
      </c>
      <c r="D3790" t="str">
        <f t="shared" si="1815"/>
        <v>100725170</v>
      </c>
      <c r="E3790" t="str">
        <f t="shared" si="1808"/>
        <v>COM</v>
      </c>
      <c r="F3790" t="str">
        <f t="shared" si="1816"/>
        <v>CORA SOCIEDADE DE CREDITO, FINANCIAMENTO E INVESTIMENTO (20035)</v>
      </c>
      <c r="G3790" t="str">
        <f t="shared" si="1817"/>
        <v>TAXA BOLETO COMPENSADO</v>
      </c>
      <c r="H3790" t="str">
        <f t="shared" si="1811"/>
        <v>10/07/2025</v>
      </c>
      <c r="I3790" t="str">
        <f t="shared" si="1818"/>
        <v>10/07/2025</v>
      </c>
      <c r="J3790" t="str">
        <f t="shared" si="1804"/>
        <v>10/07/2025</v>
      </c>
      <c r="K3790">
        <v>1.7</v>
      </c>
      <c r="L3790">
        <v>1.7</v>
      </c>
      <c r="M3790">
        <v>401</v>
      </c>
      <c r="N3790" t="str">
        <f t="shared" si="1819"/>
        <v>IOF/JUROS/DESP.FINANCEIRA</v>
      </c>
      <c r="O3790">
        <v>1.7</v>
      </c>
      <c r="R3790" t="str">
        <f t="shared" si="1813"/>
        <v>BANCO CORA (102)</v>
      </c>
      <c r="S3790">
        <v>2147</v>
      </c>
      <c r="T3790">
        <v>1674</v>
      </c>
      <c r="U3790" t="s">
        <v>19</v>
      </c>
    </row>
    <row r="3791" spans="1:21">
      <c r="A3791" t="str">
        <f t="shared" si="1801"/>
        <v>10/07/2025</v>
      </c>
      <c r="B3791" t="str">
        <f t="shared" si="1812"/>
        <v>SAÍDA</v>
      </c>
      <c r="C3791" t="str">
        <f t="shared" si="1814"/>
        <v>CONHECIMENTO</v>
      </c>
      <c r="D3791" t="str">
        <f t="shared" si="1815"/>
        <v>100725170</v>
      </c>
      <c r="E3791" t="str">
        <f t="shared" si="1808"/>
        <v>COM</v>
      </c>
      <c r="F3791" t="str">
        <f t="shared" si="1816"/>
        <v>CORA SOCIEDADE DE CREDITO, FINANCIAMENTO E INVESTIMENTO (20035)</v>
      </c>
      <c r="G3791" t="str">
        <f t="shared" si="1817"/>
        <v>TAXA BOLETO COMPENSADO</v>
      </c>
      <c r="H3791" t="str">
        <f t="shared" si="1811"/>
        <v>10/07/2025</v>
      </c>
      <c r="I3791" t="str">
        <f t="shared" si="1818"/>
        <v>10/07/2025</v>
      </c>
      <c r="J3791" t="str">
        <f t="shared" si="1804"/>
        <v>10/07/2025</v>
      </c>
      <c r="K3791">
        <v>1.7</v>
      </c>
      <c r="L3791">
        <v>1.7</v>
      </c>
      <c r="M3791">
        <v>401</v>
      </c>
      <c r="N3791" t="str">
        <f t="shared" si="1819"/>
        <v>IOF/JUROS/DESP.FINANCEIRA</v>
      </c>
      <c r="O3791">
        <v>1.7</v>
      </c>
      <c r="R3791" t="str">
        <f t="shared" si="1813"/>
        <v>BANCO CORA (102)</v>
      </c>
      <c r="S3791">
        <v>2148</v>
      </c>
      <c r="T3791">
        <v>1675</v>
      </c>
      <c r="U3791" t="s">
        <v>19</v>
      </c>
    </row>
    <row r="3792" spans="1:21">
      <c r="A3792" t="str">
        <f t="shared" si="1801"/>
        <v>10/07/2025</v>
      </c>
      <c r="B3792" t="str">
        <f t="shared" si="1812"/>
        <v>SAÍDA</v>
      </c>
      <c r="C3792" t="str">
        <f t="shared" si="1814"/>
        <v>CONHECIMENTO</v>
      </c>
      <c r="D3792" t="str">
        <f t="shared" si="1815"/>
        <v>100725170</v>
      </c>
      <c r="E3792" t="str">
        <f t="shared" si="1808"/>
        <v>COM</v>
      </c>
      <c r="F3792" t="str">
        <f t="shared" si="1816"/>
        <v>CORA SOCIEDADE DE CREDITO, FINANCIAMENTO E INVESTIMENTO (20035)</v>
      </c>
      <c r="G3792" t="str">
        <f t="shared" si="1817"/>
        <v>TAXA BOLETO COMPENSADO</v>
      </c>
      <c r="H3792" t="str">
        <f t="shared" si="1811"/>
        <v>10/07/2025</v>
      </c>
      <c r="I3792" t="str">
        <f t="shared" si="1818"/>
        <v>10/07/2025</v>
      </c>
      <c r="J3792" t="str">
        <f t="shared" si="1804"/>
        <v>10/07/2025</v>
      </c>
      <c r="K3792">
        <v>1.7</v>
      </c>
      <c r="L3792">
        <v>1.7</v>
      </c>
      <c r="M3792">
        <v>401</v>
      </c>
      <c r="N3792" t="str">
        <f t="shared" si="1819"/>
        <v>IOF/JUROS/DESP.FINANCEIRA</v>
      </c>
      <c r="O3792">
        <v>1.7</v>
      </c>
      <c r="R3792" t="str">
        <f t="shared" si="1813"/>
        <v>BANCO CORA (102)</v>
      </c>
      <c r="S3792">
        <v>2149</v>
      </c>
      <c r="T3792">
        <v>1676</v>
      </c>
      <c r="U3792" t="s">
        <v>19</v>
      </c>
    </row>
    <row r="3793" spans="1:21">
      <c r="A3793" t="str">
        <f t="shared" si="1801"/>
        <v>10/07/2025</v>
      </c>
      <c r="B3793" t="str">
        <f t="shared" si="1812"/>
        <v>SAÍDA</v>
      </c>
      <c r="C3793" t="str">
        <f t="shared" si="1814"/>
        <v>CONHECIMENTO</v>
      </c>
      <c r="D3793" t="str">
        <f t="shared" si="1815"/>
        <v>100725170</v>
      </c>
      <c r="E3793" t="str">
        <f t="shared" si="1808"/>
        <v>COM</v>
      </c>
      <c r="F3793" t="str">
        <f t="shared" si="1816"/>
        <v>CORA SOCIEDADE DE CREDITO, FINANCIAMENTO E INVESTIMENTO (20035)</v>
      </c>
      <c r="G3793" t="str">
        <f t="shared" si="1817"/>
        <v>TAXA BOLETO COMPENSADO</v>
      </c>
      <c r="H3793" t="str">
        <f t="shared" si="1811"/>
        <v>10/07/2025</v>
      </c>
      <c r="I3793" t="str">
        <f t="shared" si="1818"/>
        <v>10/07/2025</v>
      </c>
      <c r="J3793" t="str">
        <f t="shared" si="1804"/>
        <v>10/07/2025</v>
      </c>
      <c r="K3793">
        <v>1.7</v>
      </c>
      <c r="L3793">
        <v>1.7</v>
      </c>
      <c r="M3793">
        <v>401</v>
      </c>
      <c r="N3793" t="str">
        <f t="shared" si="1819"/>
        <v>IOF/JUROS/DESP.FINANCEIRA</v>
      </c>
      <c r="O3793">
        <v>1.7</v>
      </c>
      <c r="R3793" t="str">
        <f t="shared" si="1813"/>
        <v>BANCO CORA (102)</v>
      </c>
      <c r="S3793">
        <v>2150</v>
      </c>
      <c r="T3793">
        <v>1677</v>
      </c>
      <c r="U3793" t="s">
        <v>19</v>
      </c>
    </row>
    <row r="3794" spans="1:21">
      <c r="A3794" t="str">
        <f t="shared" si="1801"/>
        <v>10/07/2025</v>
      </c>
      <c r="B3794" t="str">
        <f t="shared" si="1812"/>
        <v>SAÍDA</v>
      </c>
      <c r="C3794" t="str">
        <f t="shared" si="1814"/>
        <v>CONHECIMENTO</v>
      </c>
      <c r="D3794" t="str">
        <f t="shared" si="1815"/>
        <v>100725170</v>
      </c>
      <c r="E3794" t="str">
        <f t="shared" si="1808"/>
        <v>COM</v>
      </c>
      <c r="F3794" t="str">
        <f t="shared" si="1816"/>
        <v>CORA SOCIEDADE DE CREDITO, FINANCIAMENTO E INVESTIMENTO (20035)</v>
      </c>
      <c r="G3794" t="str">
        <f t="shared" si="1817"/>
        <v>TAXA BOLETO COMPENSADO</v>
      </c>
      <c r="H3794" t="str">
        <f t="shared" si="1811"/>
        <v>10/07/2025</v>
      </c>
      <c r="I3794" t="str">
        <f t="shared" si="1818"/>
        <v>10/07/2025</v>
      </c>
      <c r="J3794" t="str">
        <f t="shared" si="1804"/>
        <v>10/07/2025</v>
      </c>
      <c r="K3794">
        <v>1.7</v>
      </c>
      <c r="L3794">
        <v>1.7</v>
      </c>
      <c r="M3794">
        <v>401</v>
      </c>
      <c r="N3794" t="str">
        <f t="shared" si="1819"/>
        <v>IOF/JUROS/DESP.FINANCEIRA</v>
      </c>
      <c r="O3794">
        <v>1.7</v>
      </c>
      <c r="R3794" t="str">
        <f t="shared" si="1813"/>
        <v>BANCO CORA (102)</v>
      </c>
      <c r="S3794">
        <v>2151</v>
      </c>
      <c r="T3794">
        <v>1678</v>
      </c>
      <c r="U3794" t="s">
        <v>19</v>
      </c>
    </row>
    <row r="3795" spans="1:21">
      <c r="A3795" t="str">
        <f t="shared" si="1801"/>
        <v>10/07/2025</v>
      </c>
      <c r="B3795" t="str">
        <f t="shared" si="1812"/>
        <v>SAÍDA</v>
      </c>
      <c r="C3795" t="str">
        <f t="shared" si="1814"/>
        <v>CONHECIMENTO</v>
      </c>
      <c r="D3795" t="str">
        <f t="shared" si="1815"/>
        <v>100725170</v>
      </c>
      <c r="E3795" t="str">
        <f t="shared" si="1808"/>
        <v>COM</v>
      </c>
      <c r="F3795" t="str">
        <f t="shared" si="1816"/>
        <v>CORA SOCIEDADE DE CREDITO, FINANCIAMENTO E INVESTIMENTO (20035)</v>
      </c>
      <c r="G3795" t="str">
        <f t="shared" si="1817"/>
        <v>TAXA BOLETO COMPENSADO</v>
      </c>
      <c r="H3795" t="str">
        <f t="shared" si="1811"/>
        <v>10/07/2025</v>
      </c>
      <c r="I3795" t="str">
        <f t="shared" si="1818"/>
        <v>10/07/2025</v>
      </c>
      <c r="J3795" t="str">
        <f t="shared" si="1804"/>
        <v>10/07/2025</v>
      </c>
      <c r="K3795">
        <v>1.7</v>
      </c>
      <c r="L3795">
        <v>1.7</v>
      </c>
      <c r="M3795">
        <v>401</v>
      </c>
      <c r="N3795" t="str">
        <f t="shared" si="1819"/>
        <v>IOF/JUROS/DESP.FINANCEIRA</v>
      </c>
      <c r="O3795">
        <v>1.7</v>
      </c>
      <c r="R3795" t="str">
        <f t="shared" si="1813"/>
        <v>BANCO CORA (102)</v>
      </c>
      <c r="S3795">
        <v>2152</v>
      </c>
      <c r="T3795">
        <v>1679</v>
      </c>
      <c r="U3795" t="s">
        <v>19</v>
      </c>
    </row>
    <row r="3796" spans="1:21">
      <c r="A3796" t="str">
        <f t="shared" ref="A3796:A3814" si="1820">("11/07/2025")</f>
        <v>11/07/2025</v>
      </c>
      <c r="B3796" t="str">
        <f>"ENTRADA"</f>
        <v>ENTRADA</v>
      </c>
      <c r="C3796" t="str">
        <f t="shared" ref="C3796:C3803" si="1821">"NFSE"</f>
        <v>NFSE</v>
      </c>
      <c r="D3796" t="str">
        <f>"3205"</f>
        <v>3205</v>
      </c>
      <c r="E3796" t="str">
        <f t="shared" si="1808"/>
        <v>COM</v>
      </c>
      <c r="F3796" t="str">
        <f>"DROGA ELIDA (10121)"</f>
        <v>DROGA ELIDA (10121)</v>
      </c>
      <c r="G3796" t="str">
        <f>"Serv.Prest. 30/06/2025 a 06/07/2025 - RPS: 972 - NFSe: 3205"</f>
        <v>Serv.Prest. 30/06/2025 a 06/07/2025 - RPS: 972 - NFSe: 3205</v>
      </c>
      <c r="H3796" t="str">
        <f>("09/07/2025")</f>
        <v>09/07/2025</v>
      </c>
      <c r="I3796" t="str">
        <f>("07/07/2025")</f>
        <v>07/07/2025</v>
      </c>
      <c r="J3796" t="str">
        <f t="shared" ref="J3796:J3814" si="1822">("11/07/2025")</f>
        <v>11/07/2025</v>
      </c>
      <c r="K3796">
        <v>350.4</v>
      </c>
      <c r="L3796">
        <v>350.4</v>
      </c>
      <c r="M3796">
        <v>303</v>
      </c>
      <c r="N3796" t="str">
        <f t="shared" ref="N3796:N3803" si="1823">"RECEITAS COM ENTREGAS"</f>
        <v>RECEITAS COM ENTREGAS</v>
      </c>
      <c r="O3796">
        <v>350.4</v>
      </c>
      <c r="R3796" t="str">
        <f t="shared" ref="R3796:R3803" si="1824">"RECEITAS COM ENTREGAS (303)"</f>
        <v>RECEITAS COM ENTREGAS (303)</v>
      </c>
      <c r="S3796">
        <v>2032</v>
      </c>
      <c r="T3796">
        <v>1536</v>
      </c>
      <c r="U3796" t="s">
        <v>19</v>
      </c>
    </row>
    <row r="3797" spans="1:21">
      <c r="A3797" t="str">
        <f t="shared" si="1820"/>
        <v>11/07/2025</v>
      </c>
      <c r="B3797" t="str">
        <f t="shared" ref="B3797:B3803" si="1825">"ENTRADA"</f>
        <v>ENTRADA</v>
      </c>
      <c r="C3797" t="str">
        <f t="shared" si="1821"/>
        <v>NFSE</v>
      </c>
      <c r="D3797" t="str">
        <f>"3205"</f>
        <v>3205</v>
      </c>
      <c r="E3797" t="str">
        <f t="shared" si="1808"/>
        <v>COM</v>
      </c>
      <c r="F3797" t="str">
        <f>"DROGA ELIDA (10121)"</f>
        <v>DROGA ELIDA (10121)</v>
      </c>
      <c r="G3797" t="str">
        <f>"Serv.Prest. 30/06/2025 a 06/07/2025 - RPS: 972 - NFSe: 3205"</f>
        <v>Serv.Prest. 30/06/2025 a 06/07/2025 - RPS: 972 - NFSe: 3205</v>
      </c>
      <c r="H3797" t="str">
        <f>("09/07/2025")</f>
        <v>09/07/2025</v>
      </c>
      <c r="I3797" t="str">
        <f>("07/07/2025")</f>
        <v>07/07/2025</v>
      </c>
      <c r="J3797" t="str">
        <f t="shared" si="1822"/>
        <v>11/07/2025</v>
      </c>
      <c r="M3797">
        <v>303</v>
      </c>
      <c r="N3797" t="str">
        <f t="shared" si="1823"/>
        <v>RECEITAS COM ENTREGAS</v>
      </c>
      <c r="P3797">
        <v>350.4</v>
      </c>
      <c r="Q3797" t="str">
        <f>"DROGA ELIDA (10121)"</f>
        <v>DROGA ELIDA (10121)</v>
      </c>
      <c r="R3797" t="str">
        <f t="shared" si="1824"/>
        <v>RECEITAS COM ENTREGAS (303)</v>
      </c>
      <c r="S3797">
        <v>2032</v>
      </c>
      <c r="T3797">
        <v>1536</v>
      </c>
      <c r="U3797" t="s">
        <v>19</v>
      </c>
    </row>
    <row r="3798" spans="1:21">
      <c r="A3798" t="str">
        <f t="shared" si="1820"/>
        <v>11/07/2025</v>
      </c>
      <c r="B3798" t="str">
        <f t="shared" si="1825"/>
        <v>ENTRADA</v>
      </c>
      <c r="C3798" t="str">
        <f t="shared" si="1821"/>
        <v>NFSE</v>
      </c>
      <c r="D3798" t="str">
        <f>"3169"</f>
        <v>3169</v>
      </c>
      <c r="E3798" t="str">
        <f t="shared" si="1808"/>
        <v>COM</v>
      </c>
      <c r="F3798" t="str">
        <f>"PAGMENOS - LJ 608 (10135)"</f>
        <v>PAGMENOS - LJ 608 (10135)</v>
      </c>
      <c r="G3798" t="str">
        <f>"Serv.Prest. 23/06/2025 a 29/06/2025 - RPS: 938 - NFSe: 3169"</f>
        <v>Serv.Prest. 23/06/2025 a 29/06/2025 - RPS: 938 - NFSe: 3169</v>
      </c>
      <c r="H3798" t="str">
        <f t="shared" ref="H3798:H3803" si="1826">("10/07/2025")</f>
        <v>10/07/2025</v>
      </c>
      <c r="I3798" t="str">
        <f>("30/06/2025")</f>
        <v>30/06/2025</v>
      </c>
      <c r="J3798" t="str">
        <f t="shared" si="1822"/>
        <v>11/07/2025</v>
      </c>
      <c r="K3798">
        <v>280.20999999999998</v>
      </c>
      <c r="L3798">
        <v>280.20999999999998</v>
      </c>
      <c r="M3798">
        <v>303</v>
      </c>
      <c r="N3798" t="str">
        <f t="shared" si="1823"/>
        <v>RECEITAS COM ENTREGAS</v>
      </c>
      <c r="O3798">
        <v>280.20999999999998</v>
      </c>
      <c r="R3798" t="str">
        <f t="shared" si="1824"/>
        <v>RECEITAS COM ENTREGAS (303)</v>
      </c>
      <c r="S3798">
        <v>2033</v>
      </c>
      <c r="T3798">
        <v>1501</v>
      </c>
      <c r="U3798" t="s">
        <v>19</v>
      </c>
    </row>
    <row r="3799" spans="1:21">
      <c r="A3799" t="str">
        <f t="shared" si="1820"/>
        <v>11/07/2025</v>
      </c>
      <c r="B3799" t="str">
        <f t="shared" si="1825"/>
        <v>ENTRADA</v>
      </c>
      <c r="C3799" t="str">
        <f t="shared" si="1821"/>
        <v>NFSE</v>
      </c>
      <c r="D3799" t="str">
        <f>"3169"</f>
        <v>3169</v>
      </c>
      <c r="E3799" t="str">
        <f t="shared" si="1808"/>
        <v>COM</v>
      </c>
      <c r="F3799" t="str">
        <f>"PAGMENOS - LJ 608 (10135)"</f>
        <v>PAGMENOS - LJ 608 (10135)</v>
      </c>
      <c r="G3799" t="str">
        <f>"Serv.Prest. 23/06/2025 a 29/06/2025 - RPS: 938 - NFSe: 3169"</f>
        <v>Serv.Prest. 23/06/2025 a 29/06/2025 - RPS: 938 - NFSe: 3169</v>
      </c>
      <c r="H3799" t="str">
        <f t="shared" si="1826"/>
        <v>10/07/2025</v>
      </c>
      <c r="I3799" t="str">
        <f>("30/06/2025")</f>
        <v>30/06/2025</v>
      </c>
      <c r="J3799" t="str">
        <f t="shared" si="1822"/>
        <v>11/07/2025</v>
      </c>
      <c r="M3799">
        <v>303</v>
      </c>
      <c r="N3799" t="str">
        <f t="shared" si="1823"/>
        <v>RECEITAS COM ENTREGAS</v>
      </c>
      <c r="P3799">
        <v>280.20999999999998</v>
      </c>
      <c r="Q3799" t="str">
        <f>"PAGMENOS - LJ 608 (10135)"</f>
        <v>PAGMENOS - LJ 608 (10135)</v>
      </c>
      <c r="R3799" t="str">
        <f t="shared" si="1824"/>
        <v>RECEITAS COM ENTREGAS (303)</v>
      </c>
      <c r="S3799">
        <v>2033</v>
      </c>
      <c r="T3799">
        <v>1501</v>
      </c>
      <c r="U3799" t="s">
        <v>19</v>
      </c>
    </row>
    <row r="3800" spans="1:21">
      <c r="A3800" t="str">
        <f t="shared" si="1820"/>
        <v>11/07/2025</v>
      </c>
      <c r="B3800" t="str">
        <f t="shared" si="1825"/>
        <v>ENTRADA</v>
      </c>
      <c r="C3800" t="str">
        <f t="shared" si="1821"/>
        <v>NFSE</v>
      </c>
      <c r="D3800" t="str">
        <f>"3170"</f>
        <v>3170</v>
      </c>
      <c r="E3800" t="str">
        <f t="shared" si="1808"/>
        <v>COM</v>
      </c>
      <c r="F3800" t="str">
        <f>"PAGMENOS - LJ 657 (10136)"</f>
        <v>PAGMENOS - LJ 657 (10136)</v>
      </c>
      <c r="G3800" t="str">
        <f>"Serv.Prest. 23/06/2025 a 29/06/2025 - RPS: 939 - NFSe: 3170"</f>
        <v>Serv.Prest. 23/06/2025 a 29/06/2025 - RPS: 939 - NFSe: 3170</v>
      </c>
      <c r="H3800" t="str">
        <f t="shared" si="1826"/>
        <v>10/07/2025</v>
      </c>
      <c r="I3800" t="str">
        <f>("30/06/2025")</f>
        <v>30/06/2025</v>
      </c>
      <c r="J3800" t="str">
        <f t="shared" si="1822"/>
        <v>11/07/2025</v>
      </c>
      <c r="K3800">
        <v>596.6</v>
      </c>
      <c r="L3800">
        <v>596.6</v>
      </c>
      <c r="M3800">
        <v>303</v>
      </c>
      <c r="N3800" t="str">
        <f t="shared" si="1823"/>
        <v>RECEITAS COM ENTREGAS</v>
      </c>
      <c r="O3800">
        <v>596.6</v>
      </c>
      <c r="R3800" t="str">
        <f t="shared" si="1824"/>
        <v>RECEITAS COM ENTREGAS (303)</v>
      </c>
      <c r="S3800">
        <v>2034</v>
      </c>
      <c r="T3800">
        <v>1502</v>
      </c>
      <c r="U3800" t="s">
        <v>19</v>
      </c>
    </row>
    <row r="3801" spans="1:21">
      <c r="A3801" t="str">
        <f t="shared" si="1820"/>
        <v>11/07/2025</v>
      </c>
      <c r="B3801" t="str">
        <f t="shared" si="1825"/>
        <v>ENTRADA</v>
      </c>
      <c r="C3801" t="str">
        <f t="shared" si="1821"/>
        <v>NFSE</v>
      </c>
      <c r="D3801" t="str">
        <f>"3170"</f>
        <v>3170</v>
      </c>
      <c r="E3801" t="str">
        <f t="shared" si="1808"/>
        <v>COM</v>
      </c>
      <c r="F3801" t="str">
        <f>"PAGMENOS - LJ 657 (10136)"</f>
        <v>PAGMENOS - LJ 657 (10136)</v>
      </c>
      <c r="G3801" t="str">
        <f>"Serv.Prest. 23/06/2025 a 29/06/2025 - RPS: 939 - NFSe: 3170"</f>
        <v>Serv.Prest. 23/06/2025 a 29/06/2025 - RPS: 939 - NFSe: 3170</v>
      </c>
      <c r="H3801" t="str">
        <f t="shared" si="1826"/>
        <v>10/07/2025</v>
      </c>
      <c r="I3801" t="str">
        <f>("30/06/2025")</f>
        <v>30/06/2025</v>
      </c>
      <c r="J3801" t="str">
        <f t="shared" si="1822"/>
        <v>11/07/2025</v>
      </c>
      <c r="M3801">
        <v>303</v>
      </c>
      <c r="N3801" t="str">
        <f t="shared" si="1823"/>
        <v>RECEITAS COM ENTREGAS</v>
      </c>
      <c r="P3801">
        <v>596.6</v>
      </c>
      <c r="Q3801" t="str">
        <f>"PAGMENOS - LJ 657 (10136)"</f>
        <v>PAGMENOS - LJ 657 (10136)</v>
      </c>
      <c r="R3801" t="str">
        <f t="shared" si="1824"/>
        <v>RECEITAS COM ENTREGAS (303)</v>
      </c>
      <c r="S3801">
        <v>2034</v>
      </c>
      <c r="T3801">
        <v>1502</v>
      </c>
      <c r="U3801" t="s">
        <v>19</v>
      </c>
    </row>
    <row r="3802" spans="1:21">
      <c r="A3802" t="str">
        <f t="shared" si="1820"/>
        <v>11/07/2025</v>
      </c>
      <c r="B3802" t="str">
        <f t="shared" si="1825"/>
        <v>ENTRADA</v>
      </c>
      <c r="C3802" t="str">
        <f t="shared" si="1821"/>
        <v>NFSE</v>
      </c>
      <c r="D3802" t="str">
        <f>"3211"</f>
        <v>3211</v>
      </c>
      <c r="E3802" t="str">
        <f t="shared" si="1808"/>
        <v>COM</v>
      </c>
      <c r="F3802" t="str">
        <f>"ITUFARMA (10178)"</f>
        <v>ITUFARMA (10178)</v>
      </c>
      <c r="G3802" t="str">
        <f>"Serv.Prest. 30/06/2025 a 06/07/2025 - RPS: 978 - NFSe: 3211"</f>
        <v>Serv.Prest. 30/06/2025 a 06/07/2025 - RPS: 978 - NFSe: 3211</v>
      </c>
      <c r="H3802" t="str">
        <f t="shared" si="1826"/>
        <v>10/07/2025</v>
      </c>
      <c r="I3802" t="str">
        <f>("07/07/2025")</f>
        <v>07/07/2025</v>
      </c>
      <c r="J3802" t="str">
        <f t="shared" si="1822"/>
        <v>11/07/2025</v>
      </c>
      <c r="K3802">
        <v>242.56</v>
      </c>
      <c r="L3802">
        <v>242.56</v>
      </c>
      <c r="M3802">
        <v>303</v>
      </c>
      <c r="N3802" t="str">
        <f t="shared" si="1823"/>
        <v>RECEITAS COM ENTREGAS</v>
      </c>
      <c r="O3802">
        <v>242.56</v>
      </c>
      <c r="R3802" t="str">
        <f t="shared" si="1824"/>
        <v>RECEITAS COM ENTREGAS (303)</v>
      </c>
      <c r="S3802">
        <v>2035</v>
      </c>
      <c r="T3802">
        <v>1542</v>
      </c>
      <c r="U3802" t="s">
        <v>19</v>
      </c>
    </row>
    <row r="3803" spans="1:21">
      <c r="A3803" t="str">
        <f t="shared" si="1820"/>
        <v>11/07/2025</v>
      </c>
      <c r="B3803" t="str">
        <f t="shared" si="1825"/>
        <v>ENTRADA</v>
      </c>
      <c r="C3803" t="str">
        <f t="shared" si="1821"/>
        <v>NFSE</v>
      </c>
      <c r="D3803" t="str">
        <f>"3211"</f>
        <v>3211</v>
      </c>
      <c r="E3803" t="str">
        <f t="shared" si="1808"/>
        <v>COM</v>
      </c>
      <c r="F3803" t="str">
        <f>"ITUFARMA (10178)"</f>
        <v>ITUFARMA (10178)</v>
      </c>
      <c r="G3803" t="str">
        <f>"Serv.Prest. 30/06/2025 a 06/07/2025 - RPS: 978 - NFSe: 3211"</f>
        <v>Serv.Prest. 30/06/2025 a 06/07/2025 - RPS: 978 - NFSe: 3211</v>
      </c>
      <c r="H3803" t="str">
        <f t="shared" si="1826"/>
        <v>10/07/2025</v>
      </c>
      <c r="I3803" t="str">
        <f>("07/07/2025")</f>
        <v>07/07/2025</v>
      </c>
      <c r="J3803" t="str">
        <f t="shared" si="1822"/>
        <v>11/07/2025</v>
      </c>
      <c r="M3803">
        <v>303</v>
      </c>
      <c r="N3803" t="str">
        <f t="shared" si="1823"/>
        <v>RECEITAS COM ENTREGAS</v>
      </c>
      <c r="P3803">
        <v>242.56</v>
      </c>
      <c r="Q3803" t="str">
        <f>"ITUFARMA (10178)"</f>
        <v>ITUFARMA (10178)</v>
      </c>
      <c r="R3803" t="str">
        <f t="shared" si="1824"/>
        <v>RECEITAS COM ENTREGAS (303)</v>
      </c>
      <c r="S3803">
        <v>2035</v>
      </c>
      <c r="T3803">
        <v>1542</v>
      </c>
      <c r="U3803" t="s">
        <v>19</v>
      </c>
    </row>
    <row r="3804" spans="1:21">
      <c r="A3804" t="str">
        <f t="shared" si="1820"/>
        <v>11/07/2025</v>
      </c>
      <c r="B3804" t="str">
        <f>"SAÍDA"</f>
        <v>SAÍDA</v>
      </c>
      <c r="C3804" t="str">
        <f>"PIX"</f>
        <v>PIX</v>
      </c>
      <c r="D3804" t="str">
        <f>"1107"</f>
        <v>1107</v>
      </c>
      <c r="E3804" t="str">
        <f t="shared" si="1808"/>
        <v>COM</v>
      </c>
      <c r="F3804" t="str">
        <f>"GABRIEL C SEREIA DROGARIA (10178)"</f>
        <v>GABRIEL C SEREIA DROGARIA (10178)</v>
      </c>
      <c r="G3804" t="str">
        <f>"DEVOLUÇÃO SETUP E DE ENTREGAS EXCEDENTES - PIX CNPJ 26.526.097/0001-64"</f>
        <v>DEVOLUÇÃO SETUP E DE ENTREGAS EXCEDENTES - PIX CNPJ 26.526.097/0001-64</v>
      </c>
      <c r="H3804" t="str">
        <f>("11/07/2025")</f>
        <v>11/07/2025</v>
      </c>
      <c r="I3804" t="str">
        <f>("06/07/2025")</f>
        <v>06/07/2025</v>
      </c>
      <c r="J3804" t="str">
        <f t="shared" si="1822"/>
        <v>11/07/2025</v>
      </c>
      <c r="K3804">
        <v>1463.15</v>
      </c>
      <c r="L3804">
        <v>1463.15</v>
      </c>
      <c r="M3804">
        <v>122</v>
      </c>
      <c r="N3804" t="str">
        <f>"DESPESAS COM REEMBOLSOS"</f>
        <v>DESPESAS COM REEMBOLSOS</v>
      </c>
      <c r="O3804">
        <v>1463.15</v>
      </c>
      <c r="R3804" t="str">
        <f>"BANCO CORA (102)"</f>
        <v>BANCO CORA (102)</v>
      </c>
      <c r="S3804">
        <v>2048</v>
      </c>
      <c r="T3804">
        <v>1561</v>
      </c>
      <c r="U3804" t="s">
        <v>19</v>
      </c>
    </row>
    <row r="3805" spans="1:21">
      <c r="A3805" t="str">
        <f t="shared" si="1820"/>
        <v>11/07/2025</v>
      </c>
      <c r="B3805" t="str">
        <f>"ENTRADA"</f>
        <v>ENTRADA</v>
      </c>
      <c r="C3805" t="str">
        <f>"NFSE"</f>
        <v>NFSE</v>
      </c>
      <c r="D3805" t="str">
        <f>"3201"</f>
        <v>3201</v>
      </c>
      <c r="E3805" t="str">
        <f t="shared" si="1808"/>
        <v>COM</v>
      </c>
      <c r="F3805" t="str">
        <f>"DROGARIA AGAPEAMA (10167)"</f>
        <v>DROGARIA AGAPEAMA (10167)</v>
      </c>
      <c r="G3805" t="str">
        <f>"Serv.Prest. 30/06/2025 a 06/07/2025 - RPS: 968 - NFSe: 3201"</f>
        <v>Serv.Prest. 30/06/2025 a 06/07/2025 - RPS: 968 - NFSe: 3201</v>
      </c>
      <c r="H3805" t="str">
        <f>("09/07/2025")</f>
        <v>09/07/2025</v>
      </c>
      <c r="I3805" t="str">
        <f>("07/07/2025")</f>
        <v>07/07/2025</v>
      </c>
      <c r="J3805" t="str">
        <f t="shared" si="1822"/>
        <v>11/07/2025</v>
      </c>
      <c r="K3805">
        <v>605.44000000000005</v>
      </c>
      <c r="L3805">
        <v>617.94000000000005</v>
      </c>
      <c r="M3805">
        <v>303</v>
      </c>
      <c r="N3805" t="str">
        <f>"RECEITAS COM ENTREGAS"</f>
        <v>RECEITAS COM ENTREGAS</v>
      </c>
      <c r="O3805">
        <v>617.94000000000005</v>
      </c>
      <c r="R3805" t="str">
        <f>"RECEITAS COM ENTREGAS (303)"</f>
        <v>RECEITAS COM ENTREGAS (303)</v>
      </c>
      <c r="S3805">
        <v>2118</v>
      </c>
      <c r="T3805">
        <v>1532</v>
      </c>
      <c r="U3805" t="s">
        <v>19</v>
      </c>
    </row>
    <row r="3806" spans="1:21">
      <c r="A3806" t="str">
        <f t="shared" si="1820"/>
        <v>11/07/2025</v>
      </c>
      <c r="B3806" t="str">
        <f t="shared" ref="B3806:B3808" si="1827">"ENTRADA"</f>
        <v>ENTRADA</v>
      </c>
      <c r="C3806" t="str">
        <f>"NFSE"</f>
        <v>NFSE</v>
      </c>
      <c r="D3806" t="str">
        <f>"3201"</f>
        <v>3201</v>
      </c>
      <c r="E3806" t="str">
        <f t="shared" si="1808"/>
        <v>COM</v>
      </c>
      <c r="F3806" t="str">
        <f>"DROGARIA AGAPEAMA (10167)"</f>
        <v>DROGARIA AGAPEAMA (10167)</v>
      </c>
      <c r="G3806" t="str">
        <f>"Serv.Prest. 30/06/2025 a 06/07/2025 - RPS: 968 - NFSe: 3201"</f>
        <v>Serv.Prest. 30/06/2025 a 06/07/2025 - RPS: 968 - NFSe: 3201</v>
      </c>
      <c r="H3806" t="str">
        <f>("09/07/2025")</f>
        <v>09/07/2025</v>
      </c>
      <c r="I3806" t="str">
        <f>("07/07/2025")</f>
        <v>07/07/2025</v>
      </c>
      <c r="J3806" t="str">
        <f t="shared" si="1822"/>
        <v>11/07/2025</v>
      </c>
      <c r="M3806">
        <v>303</v>
      </c>
      <c r="N3806" t="str">
        <f>"RECEITAS COM ENTREGAS"</f>
        <v>RECEITAS COM ENTREGAS</v>
      </c>
      <c r="P3806">
        <v>617.94000000000005</v>
      </c>
      <c r="Q3806" t="str">
        <f>"DROGARIA AGAPEAMA (10167)"</f>
        <v>DROGARIA AGAPEAMA (10167)</v>
      </c>
      <c r="R3806" t="str">
        <f>"RECEITAS COM ENTREGAS (303)"</f>
        <v>RECEITAS COM ENTREGAS (303)</v>
      </c>
      <c r="S3806">
        <v>2118</v>
      </c>
      <c r="T3806">
        <v>1532</v>
      </c>
      <c r="U3806" t="s">
        <v>19</v>
      </c>
    </row>
    <row r="3807" spans="1:21">
      <c r="A3807" t="str">
        <f t="shared" si="1820"/>
        <v>11/07/2025</v>
      </c>
      <c r="B3807" t="str">
        <f t="shared" si="1827"/>
        <v>ENTRADA</v>
      </c>
      <c r="C3807" t="str">
        <f>"NFSE"</f>
        <v>NFSE</v>
      </c>
      <c r="D3807" t="str">
        <f>"3195"</f>
        <v>3195</v>
      </c>
      <c r="E3807" t="str">
        <f t="shared" si="1808"/>
        <v>COM</v>
      </c>
      <c r="F3807" t="str">
        <f>"BRASIL FARMA (10173)"</f>
        <v>BRASIL FARMA (10173)</v>
      </c>
      <c r="G3807" t="str">
        <f>"Serv.Prest. 30/06/2025 a 06/07/2025 - RPS: 962 - NFSe: 3195"</f>
        <v>Serv.Prest. 30/06/2025 a 06/07/2025 - RPS: 962 - NFSe: 3195</v>
      </c>
      <c r="H3807" t="str">
        <f>("09/07/2025")</f>
        <v>09/07/2025</v>
      </c>
      <c r="I3807" t="str">
        <f>("07/07/2025")</f>
        <v>07/07/2025</v>
      </c>
      <c r="J3807" t="str">
        <f t="shared" si="1822"/>
        <v>11/07/2025</v>
      </c>
      <c r="K3807">
        <v>320.95999999999998</v>
      </c>
      <c r="L3807">
        <v>327.47000000000003</v>
      </c>
      <c r="M3807">
        <v>303</v>
      </c>
      <c r="N3807" t="str">
        <f>"RECEITAS COM ENTREGAS"</f>
        <v>RECEITAS COM ENTREGAS</v>
      </c>
      <c r="O3807">
        <v>327.47000000000003</v>
      </c>
      <c r="R3807" t="str">
        <f>"RECEITAS COM ENTREGAS (303)"</f>
        <v>RECEITAS COM ENTREGAS (303)</v>
      </c>
      <c r="S3807">
        <v>2119</v>
      </c>
      <c r="T3807">
        <v>1526</v>
      </c>
      <c r="U3807" t="s">
        <v>19</v>
      </c>
    </row>
    <row r="3808" spans="1:21">
      <c r="A3808" t="str">
        <f t="shared" si="1820"/>
        <v>11/07/2025</v>
      </c>
      <c r="B3808" t="str">
        <f t="shared" si="1827"/>
        <v>ENTRADA</v>
      </c>
      <c r="C3808" t="str">
        <f>"NFSE"</f>
        <v>NFSE</v>
      </c>
      <c r="D3808" t="str">
        <f>"3195"</f>
        <v>3195</v>
      </c>
      <c r="E3808" t="str">
        <f t="shared" si="1808"/>
        <v>COM</v>
      </c>
      <c r="F3808" t="str">
        <f>"BRASIL FARMA (10173)"</f>
        <v>BRASIL FARMA (10173)</v>
      </c>
      <c r="G3808" t="str">
        <f>"Serv.Prest. 30/06/2025 a 06/07/2025 - RPS: 962 - NFSe: 3195"</f>
        <v>Serv.Prest. 30/06/2025 a 06/07/2025 - RPS: 962 - NFSe: 3195</v>
      </c>
      <c r="H3808" t="str">
        <f>("09/07/2025")</f>
        <v>09/07/2025</v>
      </c>
      <c r="I3808" t="str">
        <f>("07/07/2025")</f>
        <v>07/07/2025</v>
      </c>
      <c r="J3808" t="str">
        <f t="shared" si="1822"/>
        <v>11/07/2025</v>
      </c>
      <c r="M3808">
        <v>303</v>
      </c>
      <c r="N3808" t="str">
        <f>"RECEITAS COM ENTREGAS"</f>
        <v>RECEITAS COM ENTREGAS</v>
      </c>
      <c r="P3808">
        <v>327.47000000000003</v>
      </c>
      <c r="Q3808" t="str">
        <f>"BRASIL FARMA (10173)"</f>
        <v>BRASIL FARMA (10173)</v>
      </c>
      <c r="R3808" t="str">
        <f>"RECEITAS COM ENTREGAS (303)"</f>
        <v>RECEITAS COM ENTREGAS (303)</v>
      </c>
      <c r="S3808">
        <v>2119</v>
      </c>
      <c r="T3808">
        <v>1526</v>
      </c>
      <c r="U3808" t="s">
        <v>19</v>
      </c>
    </row>
    <row r="3809" spans="1:21">
      <c r="A3809" t="str">
        <f t="shared" si="1820"/>
        <v>11/07/2025</v>
      </c>
      <c r="B3809" t="str">
        <f t="shared" ref="B3809:B3818" si="1828">"SAÍDA"</f>
        <v>SAÍDA</v>
      </c>
      <c r="C3809" t="str">
        <f t="shared" ref="C3809:C3814" si="1829">"CONHECIMENTO"</f>
        <v>CONHECIMENTO</v>
      </c>
      <c r="D3809" t="str">
        <f t="shared" ref="D3809:D3814" si="1830">"110725170"</f>
        <v>110725170</v>
      </c>
      <c r="E3809" t="str">
        <f t="shared" si="1808"/>
        <v>COM</v>
      </c>
      <c r="F3809" t="str">
        <f t="shared" ref="F3809:F3814" si="1831">"CORA SOCIEDADE DE CREDITO, FINANCIAMENTO E INVESTIMENTO (20035)"</f>
        <v>CORA SOCIEDADE DE CREDITO, FINANCIAMENTO E INVESTIMENTO (20035)</v>
      </c>
      <c r="G3809" t="str">
        <f t="shared" ref="G3809:G3814" si="1832">"TAXA BOLETO COMPENSADO"</f>
        <v>TAXA BOLETO COMPENSADO</v>
      </c>
      <c r="H3809" t="str">
        <f t="shared" ref="H3809:I3814" si="1833">("11/07/2025")</f>
        <v>11/07/2025</v>
      </c>
      <c r="I3809" t="str">
        <f t="shared" si="1833"/>
        <v>11/07/2025</v>
      </c>
      <c r="J3809" t="str">
        <f t="shared" si="1822"/>
        <v>11/07/2025</v>
      </c>
      <c r="K3809">
        <v>1.7</v>
      </c>
      <c r="L3809">
        <v>1.7</v>
      </c>
      <c r="M3809">
        <v>401</v>
      </c>
      <c r="N3809" t="str">
        <f t="shared" ref="N3809:N3814" si="1834">"IOF/JUROS/DESP.FINANCEIRA"</f>
        <v>IOF/JUROS/DESP.FINANCEIRA</v>
      </c>
      <c r="O3809">
        <v>1.7</v>
      </c>
      <c r="R3809" t="str">
        <f t="shared" ref="R3809:R3818" si="1835">"BANCO CORA (102)"</f>
        <v>BANCO CORA (102)</v>
      </c>
      <c r="S3809">
        <v>2153</v>
      </c>
      <c r="T3809">
        <v>1680</v>
      </c>
      <c r="U3809" t="s">
        <v>19</v>
      </c>
    </row>
    <row r="3810" spans="1:21">
      <c r="A3810" t="str">
        <f t="shared" si="1820"/>
        <v>11/07/2025</v>
      </c>
      <c r="B3810" t="str">
        <f t="shared" si="1828"/>
        <v>SAÍDA</v>
      </c>
      <c r="C3810" t="str">
        <f t="shared" si="1829"/>
        <v>CONHECIMENTO</v>
      </c>
      <c r="D3810" t="str">
        <f t="shared" si="1830"/>
        <v>110725170</v>
      </c>
      <c r="E3810" t="str">
        <f t="shared" si="1808"/>
        <v>COM</v>
      </c>
      <c r="F3810" t="str">
        <f t="shared" si="1831"/>
        <v>CORA SOCIEDADE DE CREDITO, FINANCIAMENTO E INVESTIMENTO (20035)</v>
      </c>
      <c r="G3810" t="str">
        <f t="shared" si="1832"/>
        <v>TAXA BOLETO COMPENSADO</v>
      </c>
      <c r="H3810" t="str">
        <f t="shared" si="1833"/>
        <v>11/07/2025</v>
      </c>
      <c r="I3810" t="str">
        <f t="shared" si="1833"/>
        <v>11/07/2025</v>
      </c>
      <c r="J3810" t="str">
        <f t="shared" si="1822"/>
        <v>11/07/2025</v>
      </c>
      <c r="K3810">
        <v>1.7</v>
      </c>
      <c r="L3810">
        <v>1.7</v>
      </c>
      <c r="M3810">
        <v>401</v>
      </c>
      <c r="N3810" t="str">
        <f t="shared" si="1834"/>
        <v>IOF/JUROS/DESP.FINANCEIRA</v>
      </c>
      <c r="O3810">
        <v>1.7</v>
      </c>
      <c r="R3810" t="str">
        <f t="shared" si="1835"/>
        <v>BANCO CORA (102)</v>
      </c>
      <c r="S3810">
        <v>2154</v>
      </c>
      <c r="T3810">
        <v>1681</v>
      </c>
      <c r="U3810" t="s">
        <v>19</v>
      </c>
    </row>
    <row r="3811" spans="1:21">
      <c r="A3811" t="str">
        <f t="shared" si="1820"/>
        <v>11/07/2025</v>
      </c>
      <c r="B3811" t="str">
        <f t="shared" si="1828"/>
        <v>SAÍDA</v>
      </c>
      <c r="C3811" t="str">
        <f t="shared" si="1829"/>
        <v>CONHECIMENTO</v>
      </c>
      <c r="D3811" t="str">
        <f t="shared" si="1830"/>
        <v>110725170</v>
      </c>
      <c r="E3811" t="str">
        <f t="shared" si="1808"/>
        <v>COM</v>
      </c>
      <c r="F3811" t="str">
        <f t="shared" si="1831"/>
        <v>CORA SOCIEDADE DE CREDITO, FINANCIAMENTO E INVESTIMENTO (20035)</v>
      </c>
      <c r="G3811" t="str">
        <f t="shared" si="1832"/>
        <v>TAXA BOLETO COMPENSADO</v>
      </c>
      <c r="H3811" t="str">
        <f t="shared" si="1833"/>
        <v>11/07/2025</v>
      </c>
      <c r="I3811" t="str">
        <f t="shared" si="1833"/>
        <v>11/07/2025</v>
      </c>
      <c r="J3811" t="str">
        <f t="shared" si="1822"/>
        <v>11/07/2025</v>
      </c>
      <c r="K3811">
        <v>1.7</v>
      </c>
      <c r="L3811">
        <v>1.7</v>
      </c>
      <c r="M3811">
        <v>401</v>
      </c>
      <c r="N3811" t="str">
        <f t="shared" si="1834"/>
        <v>IOF/JUROS/DESP.FINANCEIRA</v>
      </c>
      <c r="O3811">
        <v>1.7</v>
      </c>
      <c r="R3811" t="str">
        <f t="shared" si="1835"/>
        <v>BANCO CORA (102)</v>
      </c>
      <c r="S3811">
        <v>2155</v>
      </c>
      <c r="T3811">
        <v>1682</v>
      </c>
      <c r="U3811" t="s">
        <v>19</v>
      </c>
    </row>
    <row r="3812" spans="1:21">
      <c r="A3812" t="str">
        <f t="shared" si="1820"/>
        <v>11/07/2025</v>
      </c>
      <c r="B3812" t="str">
        <f t="shared" si="1828"/>
        <v>SAÍDA</v>
      </c>
      <c r="C3812" t="str">
        <f t="shared" si="1829"/>
        <v>CONHECIMENTO</v>
      </c>
      <c r="D3812" t="str">
        <f t="shared" si="1830"/>
        <v>110725170</v>
      </c>
      <c r="E3812" t="str">
        <f t="shared" si="1808"/>
        <v>COM</v>
      </c>
      <c r="F3812" t="str">
        <f t="shared" si="1831"/>
        <v>CORA SOCIEDADE DE CREDITO, FINANCIAMENTO E INVESTIMENTO (20035)</v>
      </c>
      <c r="G3812" t="str">
        <f t="shared" si="1832"/>
        <v>TAXA BOLETO COMPENSADO</v>
      </c>
      <c r="H3812" t="str">
        <f t="shared" si="1833"/>
        <v>11/07/2025</v>
      </c>
      <c r="I3812" t="str">
        <f t="shared" si="1833"/>
        <v>11/07/2025</v>
      </c>
      <c r="J3812" t="str">
        <f t="shared" si="1822"/>
        <v>11/07/2025</v>
      </c>
      <c r="K3812">
        <v>1.7</v>
      </c>
      <c r="L3812">
        <v>1.7</v>
      </c>
      <c r="M3812">
        <v>401</v>
      </c>
      <c r="N3812" t="str">
        <f t="shared" si="1834"/>
        <v>IOF/JUROS/DESP.FINANCEIRA</v>
      </c>
      <c r="O3812">
        <v>1.7</v>
      </c>
      <c r="R3812" t="str">
        <f t="shared" si="1835"/>
        <v>BANCO CORA (102)</v>
      </c>
      <c r="S3812">
        <v>2156</v>
      </c>
      <c r="T3812">
        <v>1683</v>
      </c>
      <c r="U3812" t="s">
        <v>19</v>
      </c>
    </row>
    <row r="3813" spans="1:21">
      <c r="A3813" t="str">
        <f t="shared" si="1820"/>
        <v>11/07/2025</v>
      </c>
      <c r="B3813" t="str">
        <f t="shared" si="1828"/>
        <v>SAÍDA</v>
      </c>
      <c r="C3813" t="str">
        <f t="shared" si="1829"/>
        <v>CONHECIMENTO</v>
      </c>
      <c r="D3813" t="str">
        <f t="shared" si="1830"/>
        <v>110725170</v>
      </c>
      <c r="E3813" t="str">
        <f t="shared" si="1808"/>
        <v>COM</v>
      </c>
      <c r="F3813" t="str">
        <f t="shared" si="1831"/>
        <v>CORA SOCIEDADE DE CREDITO, FINANCIAMENTO E INVESTIMENTO (20035)</v>
      </c>
      <c r="G3813" t="str">
        <f t="shared" si="1832"/>
        <v>TAXA BOLETO COMPENSADO</v>
      </c>
      <c r="H3813" t="str">
        <f t="shared" si="1833"/>
        <v>11/07/2025</v>
      </c>
      <c r="I3813" t="str">
        <f t="shared" si="1833"/>
        <v>11/07/2025</v>
      </c>
      <c r="J3813" t="str">
        <f t="shared" si="1822"/>
        <v>11/07/2025</v>
      </c>
      <c r="K3813">
        <v>1.7</v>
      </c>
      <c r="L3813">
        <v>1.7</v>
      </c>
      <c r="M3813">
        <v>401</v>
      </c>
      <c r="N3813" t="str">
        <f t="shared" si="1834"/>
        <v>IOF/JUROS/DESP.FINANCEIRA</v>
      </c>
      <c r="O3813">
        <v>1.7</v>
      </c>
      <c r="R3813" t="str">
        <f t="shared" si="1835"/>
        <v>BANCO CORA (102)</v>
      </c>
      <c r="S3813">
        <v>2157</v>
      </c>
      <c r="T3813">
        <v>1684</v>
      </c>
      <c r="U3813" t="s">
        <v>19</v>
      </c>
    </row>
    <row r="3814" spans="1:21">
      <c r="A3814" t="str">
        <f t="shared" si="1820"/>
        <v>11/07/2025</v>
      </c>
      <c r="B3814" t="str">
        <f t="shared" si="1828"/>
        <v>SAÍDA</v>
      </c>
      <c r="C3814" t="str">
        <f t="shared" si="1829"/>
        <v>CONHECIMENTO</v>
      </c>
      <c r="D3814" t="str">
        <f t="shared" si="1830"/>
        <v>110725170</v>
      </c>
      <c r="E3814" t="str">
        <f t="shared" si="1808"/>
        <v>COM</v>
      </c>
      <c r="F3814" t="str">
        <f t="shared" si="1831"/>
        <v>CORA SOCIEDADE DE CREDITO, FINANCIAMENTO E INVESTIMENTO (20035)</v>
      </c>
      <c r="G3814" t="str">
        <f t="shared" si="1832"/>
        <v>TAXA BOLETO COMPENSADO</v>
      </c>
      <c r="H3814" t="str">
        <f t="shared" si="1833"/>
        <v>11/07/2025</v>
      </c>
      <c r="I3814" t="str">
        <f t="shared" si="1833"/>
        <v>11/07/2025</v>
      </c>
      <c r="J3814" t="str">
        <f t="shared" si="1822"/>
        <v>11/07/2025</v>
      </c>
      <c r="K3814">
        <v>1.7</v>
      </c>
      <c r="L3814">
        <v>1.7</v>
      </c>
      <c r="M3814">
        <v>401</v>
      </c>
      <c r="N3814" t="str">
        <f t="shared" si="1834"/>
        <v>IOF/JUROS/DESP.FINANCEIRA</v>
      </c>
      <c r="O3814">
        <v>1.7</v>
      </c>
      <c r="R3814" t="str">
        <f t="shared" si="1835"/>
        <v>BANCO CORA (102)</v>
      </c>
      <c r="S3814">
        <v>2158</v>
      </c>
      <c r="T3814">
        <v>1685</v>
      </c>
      <c r="U3814" t="s">
        <v>19</v>
      </c>
    </row>
    <row r="3815" spans="1:21">
      <c r="A3815" t="str">
        <f>("15/07/2025")</f>
        <v>15/07/2025</v>
      </c>
      <c r="B3815" t="str">
        <f t="shared" si="1828"/>
        <v>SAÍDA</v>
      </c>
      <c r="C3815" t="str">
        <f>"PIX"</f>
        <v>PIX</v>
      </c>
      <c r="D3815" t="str">
        <f>"1507251000"</f>
        <v>1507251000</v>
      </c>
      <c r="E3815" t="str">
        <f t="shared" si="1808"/>
        <v>COM</v>
      </c>
      <c r="F3815" t="str">
        <f>"CONTA SIMPLES SOLUCOES DE PAGAMENTOS LTDA (20019)"</f>
        <v>CONTA SIMPLES SOLUCOES DE PAGAMENTOS LTDA (20019)</v>
      </c>
      <c r="G3815" t="str">
        <f>"MARKETING REDES SOCIAIS - PIX- CHAVE ALEATORIA: 1d5b84cc-db31-469d-b8ee-076ced54c3e9"</f>
        <v>MARKETING REDES SOCIAIS - PIX- CHAVE ALEATORIA: 1d5b84cc-db31-469d-b8ee-076ced54c3e9</v>
      </c>
      <c r="H3815" t="str">
        <f t="shared" ref="H3815:J3816" si="1836">("15/07/2025")</f>
        <v>15/07/2025</v>
      </c>
      <c r="I3815" t="str">
        <f t="shared" si="1836"/>
        <v>15/07/2025</v>
      </c>
      <c r="J3815" t="str">
        <f t="shared" si="1836"/>
        <v>15/07/2025</v>
      </c>
      <c r="K3815">
        <v>1000</v>
      </c>
      <c r="L3815">
        <v>1000</v>
      </c>
      <c r="M3815">
        <v>127</v>
      </c>
      <c r="N3815" t="str">
        <f>"PUBLICIDADE E PROPAGANDAS"</f>
        <v>PUBLICIDADE E PROPAGANDAS</v>
      </c>
      <c r="O3815">
        <v>1000</v>
      </c>
      <c r="R3815" t="str">
        <f t="shared" si="1835"/>
        <v>BANCO CORA (102)</v>
      </c>
      <c r="S3815">
        <v>2037</v>
      </c>
      <c r="T3815">
        <v>1587</v>
      </c>
      <c r="U3815" t="s">
        <v>19</v>
      </c>
    </row>
    <row r="3816" spans="1:21">
      <c r="A3816" t="str">
        <f>("15/07/2025")</f>
        <v>15/07/2025</v>
      </c>
      <c r="B3816" t="str">
        <f t="shared" si="1828"/>
        <v>SAÍDA</v>
      </c>
      <c r="C3816" t="str">
        <f>"PIX"</f>
        <v>PIX</v>
      </c>
      <c r="D3816" t="str">
        <f>"1507251000"</f>
        <v>1507251000</v>
      </c>
      <c r="E3816" t="str">
        <f t="shared" si="1808"/>
        <v>COM</v>
      </c>
      <c r="F3816" t="str">
        <f>"CONTA SIMPLES SOLUCOES DE PAGAMENTOS LTDA (20019)"</f>
        <v>CONTA SIMPLES SOLUCOES DE PAGAMENTOS LTDA (20019)</v>
      </c>
      <c r="G3816" t="str">
        <f>"MARKETING REDES SOCIAIS - PIX- CHAVE ALEATORIA: 1d5b84cc-db31-469d-b8ee-076ced54c3e9"</f>
        <v>MARKETING REDES SOCIAIS - PIX- CHAVE ALEATORIA: 1d5b84cc-db31-469d-b8ee-076ced54c3e9</v>
      </c>
      <c r="H3816" t="str">
        <f t="shared" si="1836"/>
        <v>15/07/2025</v>
      </c>
      <c r="I3816" t="str">
        <f t="shared" si="1836"/>
        <v>15/07/2025</v>
      </c>
      <c r="J3816" t="str">
        <f t="shared" si="1836"/>
        <v>15/07/2025</v>
      </c>
      <c r="M3816">
        <v>127</v>
      </c>
      <c r="N3816" t="str">
        <f>"PUBLICIDADE E PROPAGANDAS"</f>
        <v>PUBLICIDADE E PROPAGANDAS</v>
      </c>
      <c r="P3816">
        <v>1000</v>
      </c>
      <c r="Q3816" t="str">
        <f>"CONTA SIMPLES SOLUCOES DE PAGAMENTOS LTDA (20019)"</f>
        <v>CONTA SIMPLES SOLUCOES DE PAGAMENTOS LTDA (20019)</v>
      </c>
      <c r="R3816" t="str">
        <f t="shared" si="1835"/>
        <v>BANCO CORA (102)</v>
      </c>
      <c r="S3816">
        <v>2037</v>
      </c>
      <c r="T3816">
        <v>1587</v>
      </c>
      <c r="U3816" t="s">
        <v>19</v>
      </c>
    </row>
    <row r="3817" spans="1:21">
      <c r="A3817" t="str">
        <f>("15/07/2025")</f>
        <v>15/07/2025</v>
      </c>
      <c r="B3817" t="str">
        <f t="shared" si="1828"/>
        <v>SAÍDA</v>
      </c>
      <c r="C3817" t="str">
        <f>"PIX"</f>
        <v>PIX</v>
      </c>
      <c r="D3817" t="str">
        <f>"751540"</f>
        <v>751540</v>
      </c>
      <c r="E3817" t="str">
        <f t="shared" si="1808"/>
        <v>COM</v>
      </c>
      <c r="F3817" t="str">
        <f>"MONGERAL AEGON SEGUROS E PREVIDENCIA SA (20063)"</f>
        <v>MONGERAL AEGON SEGUROS E PREVIDENCIA SA (20063)</v>
      </c>
      <c r="G3817" t="str">
        <f>"SEGURO DE VIDA SOCIOS"</f>
        <v>SEGURO DE VIDA SOCIOS</v>
      </c>
      <c r="H3817" t="str">
        <f>("12/07/2025")</f>
        <v>12/07/2025</v>
      </c>
      <c r="I3817" t="str">
        <f>("05/02/2025")</f>
        <v>05/02/2025</v>
      </c>
      <c r="J3817" t="str">
        <f>("15/07/2025")</f>
        <v>15/07/2025</v>
      </c>
      <c r="K3817">
        <v>228.37</v>
      </c>
      <c r="L3817">
        <v>228.37</v>
      </c>
      <c r="M3817">
        <v>192</v>
      </c>
      <c r="N3817" t="str">
        <f>"PLANOS E SEGUROS"</f>
        <v>PLANOS E SEGUROS</v>
      </c>
      <c r="O3817">
        <v>228.37</v>
      </c>
      <c r="R3817" t="str">
        <f t="shared" si="1835"/>
        <v>BANCO CORA (102)</v>
      </c>
      <c r="S3817">
        <v>2049</v>
      </c>
      <c r="T3817">
        <v>830</v>
      </c>
      <c r="U3817" t="s">
        <v>19</v>
      </c>
    </row>
    <row r="3818" spans="1:21">
      <c r="A3818" t="str">
        <f>("15/07/2025")</f>
        <v>15/07/2025</v>
      </c>
      <c r="B3818" t="str">
        <f t="shared" si="1828"/>
        <v>SAÍDA</v>
      </c>
      <c r="C3818" t="str">
        <f>"PIX"</f>
        <v>PIX</v>
      </c>
      <c r="D3818" t="str">
        <f>"751540"</f>
        <v>751540</v>
      </c>
      <c r="E3818" t="str">
        <f t="shared" si="1808"/>
        <v>COM</v>
      </c>
      <c r="F3818" t="str">
        <f>"MONGERAL AEGON SEGUROS E PREVIDENCIA SA (20063)"</f>
        <v>MONGERAL AEGON SEGUROS E PREVIDENCIA SA (20063)</v>
      </c>
      <c r="G3818" t="str">
        <f>"SEGURO DE VIDA SOCIOS"</f>
        <v>SEGURO DE VIDA SOCIOS</v>
      </c>
      <c r="H3818" t="str">
        <f>("12/07/2025")</f>
        <v>12/07/2025</v>
      </c>
      <c r="I3818" t="str">
        <f>("05/02/2025")</f>
        <v>05/02/2025</v>
      </c>
      <c r="J3818" t="str">
        <f>("15/07/2025")</f>
        <v>15/07/2025</v>
      </c>
      <c r="M3818">
        <v>192</v>
      </c>
      <c r="N3818" t="str">
        <f>"PLANOS E SEGUROS"</f>
        <v>PLANOS E SEGUROS</v>
      </c>
      <c r="P3818">
        <v>228.37</v>
      </c>
      <c r="Q3818" t="str">
        <f>"MONGERAL AEGON SEGUROS E PREVIDENCIA SA (20063)"</f>
        <v>MONGERAL AEGON SEGUROS E PREVIDENCIA SA (20063)</v>
      </c>
      <c r="R3818" t="str">
        <f t="shared" si="1835"/>
        <v>BANCO CORA (102)</v>
      </c>
      <c r="S3818">
        <v>2049</v>
      </c>
      <c r="T3818">
        <v>830</v>
      </c>
      <c r="U3818" t="s">
        <v>19</v>
      </c>
    </row>
    <row r="3819" spans="1:21">
      <c r="A3819" t="str">
        <f t="shared" ref="A3819:A3850" si="1837">("16/07/2025")</f>
        <v>16/07/2025</v>
      </c>
      <c r="B3819" t="str">
        <f>"ENTRADA"</f>
        <v>ENTRADA</v>
      </c>
      <c r="C3819" t="str">
        <f t="shared" ref="C3819:C3850" si="1838">"NFSE"</f>
        <v>NFSE</v>
      </c>
      <c r="D3819" t="str">
        <f t="shared" ref="D3819:D3864" si="1839">"3216"</f>
        <v>3216</v>
      </c>
      <c r="E3819" t="str">
        <f t="shared" si="1808"/>
        <v>COM</v>
      </c>
      <c r="F3819" t="str">
        <f t="shared" ref="F3819:F3864" si="1840">"FARMÁCIA INDIANA LJ 1 (10126)"</f>
        <v>FARMÁCIA INDIANA LJ 1 (10126)</v>
      </c>
      <c r="G3819" t="str">
        <f t="shared" ref="G3819:G3864" si="1841">"Serv.Prest. 30/06/2025 a 06/07/2025 - RPS: 983 - NFSe: 3216"</f>
        <v>Serv.Prest. 30/06/2025 a 06/07/2025 - RPS: 983 - NFSe: 3216</v>
      </c>
      <c r="H3819" t="str">
        <f t="shared" ref="H3819:H3850" si="1842">("16/07/2025")</f>
        <v>16/07/2025</v>
      </c>
      <c r="I3819" t="str">
        <f t="shared" ref="I3819:I3850" si="1843">("08/07/2025")</f>
        <v>08/07/2025</v>
      </c>
      <c r="J3819" t="str">
        <f t="shared" ref="J3819:J3850" si="1844">("16/07/2025")</f>
        <v>16/07/2025</v>
      </c>
      <c r="K3819">
        <v>13231.08</v>
      </c>
      <c r="L3819">
        <v>13231.08</v>
      </c>
      <c r="M3819">
        <v>303</v>
      </c>
      <c r="N3819" t="str">
        <f t="shared" ref="N3819:N3850" si="1845">"RECEITAS COM ENTREGAS"</f>
        <v>RECEITAS COM ENTREGAS</v>
      </c>
      <c r="O3819">
        <v>13231.08</v>
      </c>
      <c r="R3819" t="str">
        <f t="shared" ref="R3819:R3850" si="1846">"RECEITAS COM ENTREGAS (303)"</f>
        <v>RECEITAS COM ENTREGAS (303)</v>
      </c>
      <c r="S3819">
        <v>2067</v>
      </c>
      <c r="T3819">
        <v>1547</v>
      </c>
      <c r="U3819" t="s">
        <v>19</v>
      </c>
    </row>
    <row r="3820" spans="1:21">
      <c r="A3820" t="str">
        <f t="shared" si="1837"/>
        <v>16/07/2025</v>
      </c>
      <c r="B3820" t="str">
        <f t="shared" ref="B3820:B3883" si="1847">"ENTRADA"</f>
        <v>ENTRADA</v>
      </c>
      <c r="C3820" t="str">
        <f t="shared" si="1838"/>
        <v>NFSE</v>
      </c>
      <c r="D3820" t="str">
        <f t="shared" si="1839"/>
        <v>3216</v>
      </c>
      <c r="E3820" t="str">
        <f t="shared" si="1808"/>
        <v>COM</v>
      </c>
      <c r="F3820" t="str">
        <f t="shared" si="1840"/>
        <v>FARMÁCIA INDIANA LJ 1 (10126)</v>
      </c>
      <c r="G3820" t="str">
        <f t="shared" si="1841"/>
        <v>Serv.Prest. 30/06/2025 a 06/07/2025 - RPS: 983 - NFSe: 3216</v>
      </c>
      <c r="H3820" t="str">
        <f t="shared" si="1842"/>
        <v>16/07/2025</v>
      </c>
      <c r="I3820" t="str">
        <f t="shared" si="1843"/>
        <v>08/07/2025</v>
      </c>
      <c r="J3820" t="str">
        <f t="shared" si="1844"/>
        <v>16/07/2025</v>
      </c>
      <c r="M3820">
        <v>303</v>
      </c>
      <c r="N3820" t="str">
        <f t="shared" si="1845"/>
        <v>RECEITAS COM ENTREGAS</v>
      </c>
      <c r="P3820">
        <v>1749.12</v>
      </c>
      <c r="Q3820" t="str">
        <f>"FARMÁCIA INDIANA LJ 06 (10006)"</f>
        <v>FARMÁCIA INDIANA LJ 06 (10006)</v>
      </c>
      <c r="R3820" t="str">
        <f t="shared" si="1846"/>
        <v>RECEITAS COM ENTREGAS (303)</v>
      </c>
      <c r="S3820">
        <v>2067</v>
      </c>
      <c r="T3820">
        <v>1547</v>
      </c>
      <c r="U3820" t="s">
        <v>19</v>
      </c>
    </row>
    <row r="3821" spans="1:21">
      <c r="A3821" t="str">
        <f t="shared" si="1837"/>
        <v>16/07/2025</v>
      </c>
      <c r="B3821" t="str">
        <f t="shared" si="1847"/>
        <v>ENTRADA</v>
      </c>
      <c r="C3821" t="str">
        <f t="shared" si="1838"/>
        <v>NFSE</v>
      </c>
      <c r="D3821" t="str">
        <f t="shared" si="1839"/>
        <v>3216</v>
      </c>
      <c r="E3821" t="str">
        <f t="shared" si="1808"/>
        <v>COM</v>
      </c>
      <c r="F3821" t="str">
        <f t="shared" si="1840"/>
        <v>FARMÁCIA INDIANA LJ 1 (10126)</v>
      </c>
      <c r="G3821" t="str">
        <f t="shared" si="1841"/>
        <v>Serv.Prest. 30/06/2025 a 06/07/2025 - RPS: 983 - NFSe: 3216</v>
      </c>
      <c r="H3821" t="str">
        <f t="shared" si="1842"/>
        <v>16/07/2025</v>
      </c>
      <c r="I3821" t="str">
        <f t="shared" si="1843"/>
        <v>08/07/2025</v>
      </c>
      <c r="J3821" t="str">
        <f t="shared" si="1844"/>
        <v>16/07/2025</v>
      </c>
      <c r="M3821">
        <v>303</v>
      </c>
      <c r="N3821" t="str">
        <f t="shared" si="1845"/>
        <v>RECEITAS COM ENTREGAS</v>
      </c>
      <c r="P3821">
        <v>1358.83</v>
      </c>
      <c r="Q3821" t="str">
        <f>"FARMÁCIA INDIANA LJ 07 (10007)"</f>
        <v>FARMÁCIA INDIANA LJ 07 (10007)</v>
      </c>
      <c r="R3821" t="str">
        <f t="shared" si="1846"/>
        <v>RECEITAS COM ENTREGAS (303)</v>
      </c>
      <c r="S3821">
        <v>2067</v>
      </c>
      <c r="T3821">
        <v>1547</v>
      </c>
      <c r="U3821" t="s">
        <v>19</v>
      </c>
    </row>
    <row r="3822" spans="1:21">
      <c r="A3822" t="str">
        <f t="shared" si="1837"/>
        <v>16/07/2025</v>
      </c>
      <c r="B3822" t="str">
        <f t="shared" si="1847"/>
        <v>ENTRADA</v>
      </c>
      <c r="C3822" t="str">
        <f t="shared" si="1838"/>
        <v>NFSE</v>
      </c>
      <c r="D3822" t="str">
        <f t="shared" si="1839"/>
        <v>3216</v>
      </c>
      <c r="E3822" t="str">
        <f t="shared" si="1808"/>
        <v>COM</v>
      </c>
      <c r="F3822" t="str">
        <f t="shared" si="1840"/>
        <v>FARMÁCIA INDIANA LJ 1 (10126)</v>
      </c>
      <c r="G3822" t="str">
        <f t="shared" si="1841"/>
        <v>Serv.Prest. 30/06/2025 a 06/07/2025 - RPS: 983 - NFSe: 3216</v>
      </c>
      <c r="H3822" t="str">
        <f t="shared" si="1842"/>
        <v>16/07/2025</v>
      </c>
      <c r="I3822" t="str">
        <f t="shared" si="1843"/>
        <v>08/07/2025</v>
      </c>
      <c r="J3822" t="str">
        <f t="shared" si="1844"/>
        <v>16/07/2025</v>
      </c>
      <c r="M3822">
        <v>303</v>
      </c>
      <c r="N3822" t="str">
        <f t="shared" si="1845"/>
        <v>RECEITAS COM ENTREGAS</v>
      </c>
      <c r="P3822">
        <v>994.98</v>
      </c>
      <c r="Q3822" t="str">
        <f>"FARMÁCIA INDIANA LJ 11 (10008)"</f>
        <v>FARMÁCIA INDIANA LJ 11 (10008)</v>
      </c>
      <c r="R3822" t="str">
        <f t="shared" si="1846"/>
        <v>RECEITAS COM ENTREGAS (303)</v>
      </c>
      <c r="S3822">
        <v>2067</v>
      </c>
      <c r="T3822">
        <v>1547</v>
      </c>
      <c r="U3822" t="s">
        <v>19</v>
      </c>
    </row>
    <row r="3823" spans="1:21">
      <c r="A3823" t="str">
        <f t="shared" si="1837"/>
        <v>16/07/2025</v>
      </c>
      <c r="B3823" t="str">
        <f t="shared" si="1847"/>
        <v>ENTRADA</v>
      </c>
      <c r="C3823" t="str">
        <f t="shared" si="1838"/>
        <v>NFSE</v>
      </c>
      <c r="D3823" t="str">
        <f t="shared" si="1839"/>
        <v>3216</v>
      </c>
      <c r="E3823" t="str">
        <f t="shared" ref="E3823:E3886" si="1848">"COM"</f>
        <v>COM</v>
      </c>
      <c r="F3823" t="str">
        <f t="shared" si="1840"/>
        <v>FARMÁCIA INDIANA LJ 1 (10126)</v>
      </c>
      <c r="G3823" t="str">
        <f t="shared" si="1841"/>
        <v>Serv.Prest. 30/06/2025 a 06/07/2025 - RPS: 983 - NFSe: 3216</v>
      </c>
      <c r="H3823" t="str">
        <f t="shared" si="1842"/>
        <v>16/07/2025</v>
      </c>
      <c r="I3823" t="str">
        <f t="shared" si="1843"/>
        <v>08/07/2025</v>
      </c>
      <c r="J3823" t="str">
        <f t="shared" si="1844"/>
        <v>16/07/2025</v>
      </c>
      <c r="M3823">
        <v>303</v>
      </c>
      <c r="N3823" t="str">
        <f t="shared" si="1845"/>
        <v>RECEITAS COM ENTREGAS</v>
      </c>
      <c r="P3823">
        <v>377.09</v>
      </c>
      <c r="Q3823" t="str">
        <f>"FARMÁCIA INDIANA LJ 14 (10009)"</f>
        <v>FARMÁCIA INDIANA LJ 14 (10009)</v>
      </c>
      <c r="R3823" t="str">
        <f t="shared" si="1846"/>
        <v>RECEITAS COM ENTREGAS (303)</v>
      </c>
      <c r="S3823">
        <v>2067</v>
      </c>
      <c r="T3823">
        <v>1547</v>
      </c>
      <c r="U3823" t="s">
        <v>19</v>
      </c>
    </row>
    <row r="3824" spans="1:21">
      <c r="A3824" t="str">
        <f t="shared" si="1837"/>
        <v>16/07/2025</v>
      </c>
      <c r="B3824" t="str">
        <f t="shared" si="1847"/>
        <v>ENTRADA</v>
      </c>
      <c r="C3824" t="str">
        <f t="shared" si="1838"/>
        <v>NFSE</v>
      </c>
      <c r="D3824" t="str">
        <f t="shared" si="1839"/>
        <v>3216</v>
      </c>
      <c r="E3824" t="str">
        <f t="shared" si="1848"/>
        <v>COM</v>
      </c>
      <c r="F3824" t="str">
        <f t="shared" si="1840"/>
        <v>FARMÁCIA INDIANA LJ 1 (10126)</v>
      </c>
      <c r="G3824" t="str">
        <f t="shared" si="1841"/>
        <v>Serv.Prest. 30/06/2025 a 06/07/2025 - RPS: 983 - NFSe: 3216</v>
      </c>
      <c r="H3824" t="str">
        <f t="shared" si="1842"/>
        <v>16/07/2025</v>
      </c>
      <c r="I3824" t="str">
        <f t="shared" si="1843"/>
        <v>08/07/2025</v>
      </c>
      <c r="J3824" t="str">
        <f t="shared" si="1844"/>
        <v>16/07/2025</v>
      </c>
      <c r="M3824">
        <v>303</v>
      </c>
      <c r="N3824" t="str">
        <f t="shared" si="1845"/>
        <v>RECEITAS COM ENTREGAS</v>
      </c>
      <c r="P3824">
        <v>377.09</v>
      </c>
      <c r="Q3824" t="str">
        <f>"FARMÁCIA INDIANA LJ 18 (10011)"</f>
        <v>FARMÁCIA INDIANA LJ 18 (10011)</v>
      </c>
      <c r="R3824" t="str">
        <f t="shared" si="1846"/>
        <v>RECEITAS COM ENTREGAS (303)</v>
      </c>
      <c r="S3824">
        <v>2067</v>
      </c>
      <c r="T3824">
        <v>1547</v>
      </c>
      <c r="U3824" t="s">
        <v>19</v>
      </c>
    </row>
    <row r="3825" spans="1:21">
      <c r="A3825" t="str">
        <f t="shared" si="1837"/>
        <v>16/07/2025</v>
      </c>
      <c r="B3825" t="str">
        <f t="shared" si="1847"/>
        <v>ENTRADA</v>
      </c>
      <c r="C3825" t="str">
        <f t="shared" si="1838"/>
        <v>NFSE</v>
      </c>
      <c r="D3825" t="str">
        <f t="shared" si="1839"/>
        <v>3216</v>
      </c>
      <c r="E3825" t="str">
        <f t="shared" si="1848"/>
        <v>COM</v>
      </c>
      <c r="F3825" t="str">
        <f t="shared" si="1840"/>
        <v>FARMÁCIA INDIANA LJ 1 (10126)</v>
      </c>
      <c r="G3825" t="str">
        <f t="shared" si="1841"/>
        <v>Serv.Prest. 30/06/2025 a 06/07/2025 - RPS: 983 - NFSe: 3216</v>
      </c>
      <c r="H3825" t="str">
        <f t="shared" si="1842"/>
        <v>16/07/2025</v>
      </c>
      <c r="I3825" t="str">
        <f t="shared" si="1843"/>
        <v>08/07/2025</v>
      </c>
      <c r="J3825" t="str">
        <f t="shared" si="1844"/>
        <v>16/07/2025</v>
      </c>
      <c r="M3825">
        <v>303</v>
      </c>
      <c r="N3825" t="str">
        <f t="shared" si="1845"/>
        <v>RECEITAS COM ENTREGAS</v>
      </c>
      <c r="P3825">
        <v>359.89</v>
      </c>
      <c r="Q3825" t="str">
        <f>"FARMÁCIA INDIANA LJ 19 (10012)"</f>
        <v>FARMÁCIA INDIANA LJ 19 (10012)</v>
      </c>
      <c r="R3825" t="str">
        <f t="shared" si="1846"/>
        <v>RECEITAS COM ENTREGAS (303)</v>
      </c>
      <c r="S3825">
        <v>2067</v>
      </c>
      <c r="T3825">
        <v>1547</v>
      </c>
      <c r="U3825" t="s">
        <v>19</v>
      </c>
    </row>
    <row r="3826" spans="1:21">
      <c r="A3826" t="str">
        <f t="shared" si="1837"/>
        <v>16/07/2025</v>
      </c>
      <c r="B3826" t="str">
        <f t="shared" si="1847"/>
        <v>ENTRADA</v>
      </c>
      <c r="C3826" t="str">
        <f t="shared" si="1838"/>
        <v>NFSE</v>
      </c>
      <c r="D3826" t="str">
        <f t="shared" si="1839"/>
        <v>3216</v>
      </c>
      <c r="E3826" t="str">
        <f t="shared" si="1848"/>
        <v>COM</v>
      </c>
      <c r="F3826" t="str">
        <f t="shared" si="1840"/>
        <v>FARMÁCIA INDIANA LJ 1 (10126)</v>
      </c>
      <c r="G3826" t="str">
        <f t="shared" si="1841"/>
        <v>Serv.Prest. 30/06/2025 a 06/07/2025 - RPS: 983 - NFSe: 3216</v>
      </c>
      <c r="H3826" t="str">
        <f t="shared" si="1842"/>
        <v>16/07/2025</v>
      </c>
      <c r="I3826" t="str">
        <f t="shared" si="1843"/>
        <v>08/07/2025</v>
      </c>
      <c r="J3826" t="str">
        <f t="shared" si="1844"/>
        <v>16/07/2025</v>
      </c>
      <c r="M3826">
        <v>303</v>
      </c>
      <c r="N3826" t="str">
        <f t="shared" si="1845"/>
        <v>RECEITAS COM ENTREGAS</v>
      </c>
      <c r="P3826">
        <v>584.80999999999995</v>
      </c>
      <c r="Q3826" t="str">
        <f>"FARMÁCIA INDIANA LJ 40 (10016)"</f>
        <v>FARMÁCIA INDIANA LJ 40 (10016)</v>
      </c>
      <c r="R3826" t="str">
        <f t="shared" si="1846"/>
        <v>RECEITAS COM ENTREGAS (303)</v>
      </c>
      <c r="S3826">
        <v>2067</v>
      </c>
      <c r="T3826">
        <v>1547</v>
      </c>
      <c r="U3826" t="s">
        <v>19</v>
      </c>
    </row>
    <row r="3827" spans="1:21">
      <c r="A3827" t="str">
        <f t="shared" si="1837"/>
        <v>16/07/2025</v>
      </c>
      <c r="B3827" t="str">
        <f t="shared" si="1847"/>
        <v>ENTRADA</v>
      </c>
      <c r="C3827" t="str">
        <f t="shared" si="1838"/>
        <v>NFSE</v>
      </c>
      <c r="D3827" t="str">
        <f t="shared" si="1839"/>
        <v>3216</v>
      </c>
      <c r="E3827" t="str">
        <f t="shared" si="1848"/>
        <v>COM</v>
      </c>
      <c r="F3827" t="str">
        <f t="shared" si="1840"/>
        <v>FARMÁCIA INDIANA LJ 1 (10126)</v>
      </c>
      <c r="G3827" t="str">
        <f t="shared" si="1841"/>
        <v>Serv.Prest. 30/06/2025 a 06/07/2025 - RPS: 983 - NFSe: 3216</v>
      </c>
      <c r="H3827" t="str">
        <f t="shared" si="1842"/>
        <v>16/07/2025</v>
      </c>
      <c r="I3827" t="str">
        <f t="shared" si="1843"/>
        <v>08/07/2025</v>
      </c>
      <c r="J3827" t="str">
        <f t="shared" si="1844"/>
        <v>16/07/2025</v>
      </c>
      <c r="M3827">
        <v>303</v>
      </c>
      <c r="N3827" t="str">
        <f t="shared" si="1845"/>
        <v>RECEITAS COM ENTREGAS</v>
      </c>
      <c r="P3827">
        <v>350.62</v>
      </c>
      <c r="Q3827" t="str">
        <f>"FARMÁCIA INDIANA LJ 59 (10026)"</f>
        <v>FARMÁCIA INDIANA LJ 59 (10026)</v>
      </c>
      <c r="R3827" t="str">
        <f t="shared" si="1846"/>
        <v>RECEITAS COM ENTREGAS (303)</v>
      </c>
      <c r="S3827">
        <v>2067</v>
      </c>
      <c r="T3827">
        <v>1547</v>
      </c>
      <c r="U3827" t="s">
        <v>19</v>
      </c>
    </row>
    <row r="3828" spans="1:21">
      <c r="A3828" t="str">
        <f t="shared" si="1837"/>
        <v>16/07/2025</v>
      </c>
      <c r="B3828" t="str">
        <f t="shared" si="1847"/>
        <v>ENTRADA</v>
      </c>
      <c r="C3828" t="str">
        <f t="shared" si="1838"/>
        <v>NFSE</v>
      </c>
      <c r="D3828" t="str">
        <f t="shared" si="1839"/>
        <v>3216</v>
      </c>
      <c r="E3828" t="str">
        <f t="shared" si="1848"/>
        <v>COM</v>
      </c>
      <c r="F3828" t="str">
        <f t="shared" si="1840"/>
        <v>FARMÁCIA INDIANA LJ 1 (10126)</v>
      </c>
      <c r="G3828" t="str">
        <f t="shared" si="1841"/>
        <v>Serv.Prest. 30/06/2025 a 06/07/2025 - RPS: 983 - NFSe: 3216</v>
      </c>
      <c r="H3828" t="str">
        <f t="shared" si="1842"/>
        <v>16/07/2025</v>
      </c>
      <c r="I3828" t="str">
        <f t="shared" si="1843"/>
        <v>08/07/2025</v>
      </c>
      <c r="J3828" t="str">
        <f t="shared" si="1844"/>
        <v>16/07/2025</v>
      </c>
      <c r="M3828">
        <v>303</v>
      </c>
      <c r="N3828" t="str">
        <f t="shared" si="1845"/>
        <v>RECEITAS COM ENTREGAS</v>
      </c>
      <c r="P3828">
        <v>477.64</v>
      </c>
      <c r="Q3828" t="str">
        <f>"FARMÁCIA INDIANA LJ 61 (10027)"</f>
        <v>FARMÁCIA INDIANA LJ 61 (10027)</v>
      </c>
      <c r="R3828" t="str">
        <f t="shared" si="1846"/>
        <v>RECEITAS COM ENTREGAS (303)</v>
      </c>
      <c r="S3828">
        <v>2067</v>
      </c>
      <c r="T3828">
        <v>1547</v>
      </c>
      <c r="U3828" t="s">
        <v>19</v>
      </c>
    </row>
    <row r="3829" spans="1:21">
      <c r="A3829" t="str">
        <f t="shared" si="1837"/>
        <v>16/07/2025</v>
      </c>
      <c r="B3829" t="str">
        <f t="shared" si="1847"/>
        <v>ENTRADA</v>
      </c>
      <c r="C3829" t="str">
        <f t="shared" si="1838"/>
        <v>NFSE</v>
      </c>
      <c r="D3829" t="str">
        <f t="shared" si="1839"/>
        <v>3216</v>
      </c>
      <c r="E3829" t="str">
        <f t="shared" si="1848"/>
        <v>COM</v>
      </c>
      <c r="F3829" t="str">
        <f t="shared" si="1840"/>
        <v>FARMÁCIA INDIANA LJ 1 (10126)</v>
      </c>
      <c r="G3829" t="str">
        <f t="shared" si="1841"/>
        <v>Serv.Prest. 30/06/2025 a 06/07/2025 - RPS: 983 - NFSe: 3216</v>
      </c>
      <c r="H3829" t="str">
        <f t="shared" si="1842"/>
        <v>16/07/2025</v>
      </c>
      <c r="I3829" t="str">
        <f t="shared" si="1843"/>
        <v>08/07/2025</v>
      </c>
      <c r="J3829" t="str">
        <f t="shared" si="1844"/>
        <v>16/07/2025</v>
      </c>
      <c r="M3829">
        <v>303</v>
      </c>
      <c r="N3829" t="str">
        <f t="shared" si="1845"/>
        <v>RECEITAS COM ENTREGAS</v>
      </c>
      <c r="P3829">
        <v>283.14999999999998</v>
      </c>
      <c r="Q3829" t="str">
        <f>"FARMÁCIA INDIANA LJ 62 (10028)"</f>
        <v>FARMÁCIA INDIANA LJ 62 (10028)</v>
      </c>
      <c r="R3829" t="str">
        <f t="shared" si="1846"/>
        <v>RECEITAS COM ENTREGAS (303)</v>
      </c>
      <c r="S3829">
        <v>2067</v>
      </c>
      <c r="T3829">
        <v>1547</v>
      </c>
      <c r="U3829" t="s">
        <v>19</v>
      </c>
    </row>
    <row r="3830" spans="1:21">
      <c r="A3830" t="str">
        <f t="shared" si="1837"/>
        <v>16/07/2025</v>
      </c>
      <c r="B3830" t="str">
        <f t="shared" si="1847"/>
        <v>ENTRADA</v>
      </c>
      <c r="C3830" t="str">
        <f t="shared" si="1838"/>
        <v>NFSE</v>
      </c>
      <c r="D3830" t="str">
        <f t="shared" si="1839"/>
        <v>3216</v>
      </c>
      <c r="E3830" t="str">
        <f t="shared" si="1848"/>
        <v>COM</v>
      </c>
      <c r="F3830" t="str">
        <f t="shared" si="1840"/>
        <v>FARMÁCIA INDIANA LJ 1 (10126)</v>
      </c>
      <c r="G3830" t="str">
        <f t="shared" si="1841"/>
        <v>Serv.Prest. 30/06/2025 a 06/07/2025 - RPS: 983 - NFSe: 3216</v>
      </c>
      <c r="H3830" t="str">
        <f t="shared" si="1842"/>
        <v>16/07/2025</v>
      </c>
      <c r="I3830" t="str">
        <f t="shared" si="1843"/>
        <v>08/07/2025</v>
      </c>
      <c r="J3830" t="str">
        <f t="shared" si="1844"/>
        <v>16/07/2025</v>
      </c>
      <c r="M3830">
        <v>303</v>
      </c>
      <c r="N3830" t="str">
        <f t="shared" si="1845"/>
        <v>RECEITAS COM ENTREGAS</v>
      </c>
      <c r="P3830">
        <v>107.17</v>
      </c>
      <c r="Q3830" t="str">
        <f>"FARMÁCIA INDIANA LJ 64 (10029)"</f>
        <v>FARMÁCIA INDIANA LJ 64 (10029)</v>
      </c>
      <c r="R3830" t="str">
        <f t="shared" si="1846"/>
        <v>RECEITAS COM ENTREGAS (303)</v>
      </c>
      <c r="S3830">
        <v>2067</v>
      </c>
      <c r="T3830">
        <v>1547</v>
      </c>
      <c r="U3830" t="s">
        <v>19</v>
      </c>
    </row>
    <row r="3831" spans="1:21">
      <c r="A3831" t="str">
        <f t="shared" si="1837"/>
        <v>16/07/2025</v>
      </c>
      <c r="B3831" t="str">
        <f t="shared" si="1847"/>
        <v>ENTRADA</v>
      </c>
      <c r="C3831" t="str">
        <f t="shared" si="1838"/>
        <v>NFSE</v>
      </c>
      <c r="D3831" t="str">
        <f t="shared" si="1839"/>
        <v>3216</v>
      </c>
      <c r="E3831" t="str">
        <f t="shared" si="1848"/>
        <v>COM</v>
      </c>
      <c r="F3831" t="str">
        <f t="shared" si="1840"/>
        <v>FARMÁCIA INDIANA LJ 1 (10126)</v>
      </c>
      <c r="G3831" t="str">
        <f t="shared" si="1841"/>
        <v>Serv.Prest. 30/06/2025 a 06/07/2025 - RPS: 983 - NFSe: 3216</v>
      </c>
      <c r="H3831" t="str">
        <f t="shared" si="1842"/>
        <v>16/07/2025</v>
      </c>
      <c r="I3831" t="str">
        <f t="shared" si="1843"/>
        <v>08/07/2025</v>
      </c>
      <c r="J3831" t="str">
        <f t="shared" si="1844"/>
        <v>16/07/2025</v>
      </c>
      <c r="M3831">
        <v>303</v>
      </c>
      <c r="N3831" t="str">
        <f t="shared" si="1845"/>
        <v>RECEITAS COM ENTREGAS</v>
      </c>
      <c r="P3831">
        <v>66.16</v>
      </c>
      <c r="Q3831" t="str">
        <f>"FARMÁCIA INDIANA LJ 97 (10040)"</f>
        <v>FARMÁCIA INDIANA LJ 97 (10040)</v>
      </c>
      <c r="R3831" t="str">
        <f t="shared" si="1846"/>
        <v>RECEITAS COM ENTREGAS (303)</v>
      </c>
      <c r="S3831">
        <v>2067</v>
      </c>
      <c r="T3831">
        <v>1547</v>
      </c>
      <c r="U3831" t="s">
        <v>19</v>
      </c>
    </row>
    <row r="3832" spans="1:21">
      <c r="A3832" t="str">
        <f t="shared" si="1837"/>
        <v>16/07/2025</v>
      </c>
      <c r="B3832" t="str">
        <f t="shared" si="1847"/>
        <v>ENTRADA</v>
      </c>
      <c r="C3832" t="str">
        <f t="shared" si="1838"/>
        <v>NFSE</v>
      </c>
      <c r="D3832" t="str">
        <f t="shared" si="1839"/>
        <v>3216</v>
      </c>
      <c r="E3832" t="str">
        <f t="shared" si="1848"/>
        <v>COM</v>
      </c>
      <c r="F3832" t="str">
        <f t="shared" si="1840"/>
        <v>FARMÁCIA INDIANA LJ 1 (10126)</v>
      </c>
      <c r="G3832" t="str">
        <f t="shared" si="1841"/>
        <v>Serv.Prest. 30/06/2025 a 06/07/2025 - RPS: 983 - NFSe: 3216</v>
      </c>
      <c r="H3832" t="str">
        <f t="shared" si="1842"/>
        <v>16/07/2025</v>
      </c>
      <c r="I3832" t="str">
        <f t="shared" si="1843"/>
        <v>08/07/2025</v>
      </c>
      <c r="J3832" t="str">
        <f t="shared" si="1844"/>
        <v>16/07/2025</v>
      </c>
      <c r="M3832">
        <v>303</v>
      </c>
      <c r="N3832" t="str">
        <f t="shared" si="1845"/>
        <v>RECEITAS COM ENTREGAS</v>
      </c>
      <c r="P3832">
        <v>300.35000000000002</v>
      </c>
      <c r="Q3832" t="str">
        <f>"FARMÁCIA INDIANA LJ 100 (10042)"</f>
        <v>FARMÁCIA INDIANA LJ 100 (10042)</v>
      </c>
      <c r="R3832" t="str">
        <f t="shared" si="1846"/>
        <v>RECEITAS COM ENTREGAS (303)</v>
      </c>
      <c r="S3832">
        <v>2067</v>
      </c>
      <c r="T3832">
        <v>1547</v>
      </c>
      <c r="U3832" t="s">
        <v>19</v>
      </c>
    </row>
    <row r="3833" spans="1:21">
      <c r="A3833" t="str">
        <f t="shared" si="1837"/>
        <v>16/07/2025</v>
      </c>
      <c r="B3833" t="str">
        <f t="shared" si="1847"/>
        <v>ENTRADA</v>
      </c>
      <c r="C3833" t="str">
        <f t="shared" si="1838"/>
        <v>NFSE</v>
      </c>
      <c r="D3833" t="str">
        <f t="shared" si="1839"/>
        <v>3216</v>
      </c>
      <c r="E3833" t="str">
        <f t="shared" si="1848"/>
        <v>COM</v>
      </c>
      <c r="F3833" t="str">
        <f t="shared" si="1840"/>
        <v>FARMÁCIA INDIANA LJ 1 (10126)</v>
      </c>
      <c r="G3833" t="str">
        <f t="shared" si="1841"/>
        <v>Serv.Prest. 30/06/2025 a 06/07/2025 - RPS: 983 - NFSe: 3216</v>
      </c>
      <c r="H3833" t="str">
        <f t="shared" si="1842"/>
        <v>16/07/2025</v>
      </c>
      <c r="I3833" t="str">
        <f t="shared" si="1843"/>
        <v>08/07/2025</v>
      </c>
      <c r="J3833" t="str">
        <f t="shared" si="1844"/>
        <v>16/07/2025</v>
      </c>
      <c r="M3833">
        <v>303</v>
      </c>
      <c r="N3833" t="str">
        <f t="shared" si="1845"/>
        <v>RECEITAS COM ENTREGAS</v>
      </c>
      <c r="P3833">
        <v>763.43</v>
      </c>
      <c r="Q3833" t="str">
        <f>"FARMÁCIA INDIANA LJ 101 (10043)"</f>
        <v>FARMÁCIA INDIANA LJ 101 (10043)</v>
      </c>
      <c r="R3833" t="str">
        <f t="shared" si="1846"/>
        <v>RECEITAS COM ENTREGAS (303)</v>
      </c>
      <c r="S3833">
        <v>2067</v>
      </c>
      <c r="T3833">
        <v>1547</v>
      </c>
      <c r="U3833" t="s">
        <v>19</v>
      </c>
    </row>
    <row r="3834" spans="1:21">
      <c r="A3834" t="str">
        <f t="shared" si="1837"/>
        <v>16/07/2025</v>
      </c>
      <c r="B3834" t="str">
        <f t="shared" si="1847"/>
        <v>ENTRADA</v>
      </c>
      <c r="C3834" t="str">
        <f t="shared" si="1838"/>
        <v>NFSE</v>
      </c>
      <c r="D3834" t="str">
        <f t="shared" si="1839"/>
        <v>3216</v>
      </c>
      <c r="E3834" t="str">
        <f t="shared" si="1848"/>
        <v>COM</v>
      </c>
      <c r="F3834" t="str">
        <f t="shared" si="1840"/>
        <v>FARMÁCIA INDIANA LJ 1 (10126)</v>
      </c>
      <c r="G3834" t="str">
        <f t="shared" si="1841"/>
        <v>Serv.Prest. 30/06/2025 a 06/07/2025 - RPS: 983 - NFSe: 3216</v>
      </c>
      <c r="H3834" t="str">
        <f t="shared" si="1842"/>
        <v>16/07/2025</v>
      </c>
      <c r="I3834" t="str">
        <f t="shared" si="1843"/>
        <v>08/07/2025</v>
      </c>
      <c r="J3834" t="str">
        <f t="shared" si="1844"/>
        <v>16/07/2025</v>
      </c>
      <c r="M3834">
        <v>303</v>
      </c>
      <c r="N3834" t="str">
        <f t="shared" si="1845"/>
        <v>RECEITAS COM ENTREGAS</v>
      </c>
      <c r="P3834">
        <v>75.42</v>
      </c>
      <c r="Q3834" t="str">
        <f>"FARMÁCIA INDIANA LJ 103 (10044)"</f>
        <v>FARMÁCIA INDIANA LJ 103 (10044)</v>
      </c>
      <c r="R3834" t="str">
        <f t="shared" si="1846"/>
        <v>RECEITAS COM ENTREGAS (303)</v>
      </c>
      <c r="S3834">
        <v>2067</v>
      </c>
      <c r="T3834">
        <v>1547</v>
      </c>
      <c r="U3834" t="s">
        <v>19</v>
      </c>
    </row>
    <row r="3835" spans="1:21">
      <c r="A3835" t="str">
        <f t="shared" si="1837"/>
        <v>16/07/2025</v>
      </c>
      <c r="B3835" t="str">
        <f t="shared" si="1847"/>
        <v>ENTRADA</v>
      </c>
      <c r="C3835" t="str">
        <f t="shared" si="1838"/>
        <v>NFSE</v>
      </c>
      <c r="D3835" t="str">
        <f t="shared" si="1839"/>
        <v>3216</v>
      </c>
      <c r="E3835" t="str">
        <f t="shared" si="1848"/>
        <v>COM</v>
      </c>
      <c r="F3835" t="str">
        <f t="shared" si="1840"/>
        <v>FARMÁCIA INDIANA LJ 1 (10126)</v>
      </c>
      <c r="G3835" t="str">
        <f t="shared" si="1841"/>
        <v>Serv.Prest. 30/06/2025 a 06/07/2025 - RPS: 983 - NFSe: 3216</v>
      </c>
      <c r="H3835" t="str">
        <f t="shared" si="1842"/>
        <v>16/07/2025</v>
      </c>
      <c r="I3835" t="str">
        <f t="shared" si="1843"/>
        <v>08/07/2025</v>
      </c>
      <c r="J3835" t="str">
        <f t="shared" si="1844"/>
        <v>16/07/2025</v>
      </c>
      <c r="M3835">
        <v>303</v>
      </c>
      <c r="N3835" t="str">
        <f t="shared" si="1845"/>
        <v>RECEITAS COM ENTREGAS</v>
      </c>
      <c r="P3835">
        <v>203.76</v>
      </c>
      <c r="Q3835" t="str">
        <f>"FARMÁCIA INDIANA LJ 109 (10047)"</f>
        <v>FARMÁCIA INDIANA LJ 109 (10047)</v>
      </c>
      <c r="R3835" t="str">
        <f t="shared" si="1846"/>
        <v>RECEITAS COM ENTREGAS (303)</v>
      </c>
      <c r="S3835">
        <v>2067</v>
      </c>
      <c r="T3835">
        <v>1547</v>
      </c>
      <c r="U3835" t="s">
        <v>19</v>
      </c>
    </row>
    <row r="3836" spans="1:21">
      <c r="A3836" t="str">
        <f t="shared" si="1837"/>
        <v>16/07/2025</v>
      </c>
      <c r="B3836" t="str">
        <f t="shared" si="1847"/>
        <v>ENTRADA</v>
      </c>
      <c r="C3836" t="str">
        <f t="shared" si="1838"/>
        <v>NFSE</v>
      </c>
      <c r="D3836" t="str">
        <f t="shared" si="1839"/>
        <v>3216</v>
      </c>
      <c r="E3836" t="str">
        <f t="shared" si="1848"/>
        <v>COM</v>
      </c>
      <c r="F3836" t="str">
        <f t="shared" si="1840"/>
        <v>FARMÁCIA INDIANA LJ 1 (10126)</v>
      </c>
      <c r="G3836" t="str">
        <f t="shared" si="1841"/>
        <v>Serv.Prest. 30/06/2025 a 06/07/2025 - RPS: 983 - NFSe: 3216</v>
      </c>
      <c r="H3836" t="str">
        <f t="shared" si="1842"/>
        <v>16/07/2025</v>
      </c>
      <c r="I3836" t="str">
        <f t="shared" si="1843"/>
        <v>08/07/2025</v>
      </c>
      <c r="J3836" t="str">
        <f t="shared" si="1844"/>
        <v>16/07/2025</v>
      </c>
      <c r="M3836">
        <v>303</v>
      </c>
      <c r="N3836" t="str">
        <f t="shared" si="1845"/>
        <v>RECEITAS COM ENTREGAS</v>
      </c>
      <c r="P3836">
        <v>501.46</v>
      </c>
      <c r="Q3836" t="str">
        <f>"FARMÁCIA INDIANA LJ 110 (10048)"</f>
        <v>FARMÁCIA INDIANA LJ 110 (10048)</v>
      </c>
      <c r="R3836" t="str">
        <f t="shared" si="1846"/>
        <v>RECEITAS COM ENTREGAS (303)</v>
      </c>
      <c r="S3836">
        <v>2067</v>
      </c>
      <c r="T3836">
        <v>1547</v>
      </c>
      <c r="U3836" t="s">
        <v>19</v>
      </c>
    </row>
    <row r="3837" spans="1:21">
      <c r="A3837" t="str">
        <f t="shared" si="1837"/>
        <v>16/07/2025</v>
      </c>
      <c r="B3837" t="str">
        <f t="shared" si="1847"/>
        <v>ENTRADA</v>
      </c>
      <c r="C3837" t="str">
        <f t="shared" si="1838"/>
        <v>NFSE</v>
      </c>
      <c r="D3837" t="str">
        <f t="shared" si="1839"/>
        <v>3216</v>
      </c>
      <c r="E3837" t="str">
        <f t="shared" si="1848"/>
        <v>COM</v>
      </c>
      <c r="F3837" t="str">
        <f t="shared" si="1840"/>
        <v>FARMÁCIA INDIANA LJ 1 (10126)</v>
      </c>
      <c r="G3837" t="str">
        <f t="shared" si="1841"/>
        <v>Serv.Prest. 30/06/2025 a 06/07/2025 - RPS: 983 - NFSe: 3216</v>
      </c>
      <c r="H3837" t="str">
        <f t="shared" si="1842"/>
        <v>16/07/2025</v>
      </c>
      <c r="I3837" t="str">
        <f t="shared" si="1843"/>
        <v>08/07/2025</v>
      </c>
      <c r="J3837" t="str">
        <f t="shared" si="1844"/>
        <v>16/07/2025</v>
      </c>
      <c r="M3837">
        <v>303</v>
      </c>
      <c r="N3837" t="str">
        <f t="shared" si="1845"/>
        <v>RECEITAS COM ENTREGAS</v>
      </c>
      <c r="P3837">
        <v>64.83</v>
      </c>
      <c r="Q3837" t="str">
        <f>"FARMÁCIA INDIANA LJ 111 (10049)"</f>
        <v>FARMÁCIA INDIANA LJ 111 (10049)</v>
      </c>
      <c r="R3837" t="str">
        <f t="shared" si="1846"/>
        <v>RECEITAS COM ENTREGAS (303)</v>
      </c>
      <c r="S3837">
        <v>2067</v>
      </c>
      <c r="T3837">
        <v>1547</v>
      </c>
      <c r="U3837" t="s">
        <v>19</v>
      </c>
    </row>
    <row r="3838" spans="1:21">
      <c r="A3838" t="str">
        <f t="shared" si="1837"/>
        <v>16/07/2025</v>
      </c>
      <c r="B3838" t="str">
        <f t="shared" si="1847"/>
        <v>ENTRADA</v>
      </c>
      <c r="C3838" t="str">
        <f t="shared" si="1838"/>
        <v>NFSE</v>
      </c>
      <c r="D3838" t="str">
        <f t="shared" si="1839"/>
        <v>3216</v>
      </c>
      <c r="E3838" t="str">
        <f t="shared" si="1848"/>
        <v>COM</v>
      </c>
      <c r="F3838" t="str">
        <f t="shared" si="1840"/>
        <v>FARMÁCIA INDIANA LJ 1 (10126)</v>
      </c>
      <c r="G3838" t="str">
        <f t="shared" si="1841"/>
        <v>Serv.Prest. 30/06/2025 a 06/07/2025 - RPS: 983 - NFSe: 3216</v>
      </c>
      <c r="H3838" t="str">
        <f t="shared" si="1842"/>
        <v>16/07/2025</v>
      </c>
      <c r="I3838" t="str">
        <f t="shared" si="1843"/>
        <v>08/07/2025</v>
      </c>
      <c r="J3838" t="str">
        <f t="shared" si="1844"/>
        <v>16/07/2025</v>
      </c>
      <c r="M3838">
        <v>303</v>
      </c>
      <c r="N3838" t="str">
        <f t="shared" si="1845"/>
        <v>RECEITAS COM ENTREGAS</v>
      </c>
      <c r="P3838">
        <v>149.51</v>
      </c>
      <c r="Q3838" t="str">
        <f>"FARMÁCIA INDIANA LJ 112 (10050)"</f>
        <v>FARMÁCIA INDIANA LJ 112 (10050)</v>
      </c>
      <c r="R3838" t="str">
        <f t="shared" si="1846"/>
        <v>RECEITAS COM ENTREGAS (303)</v>
      </c>
      <c r="S3838">
        <v>2067</v>
      </c>
      <c r="T3838">
        <v>1547</v>
      </c>
      <c r="U3838" t="s">
        <v>19</v>
      </c>
    </row>
    <row r="3839" spans="1:21">
      <c r="A3839" t="str">
        <f t="shared" si="1837"/>
        <v>16/07/2025</v>
      </c>
      <c r="B3839" t="str">
        <f t="shared" si="1847"/>
        <v>ENTRADA</v>
      </c>
      <c r="C3839" t="str">
        <f t="shared" si="1838"/>
        <v>NFSE</v>
      </c>
      <c r="D3839" t="str">
        <f t="shared" si="1839"/>
        <v>3216</v>
      </c>
      <c r="E3839" t="str">
        <f t="shared" si="1848"/>
        <v>COM</v>
      </c>
      <c r="F3839" t="str">
        <f t="shared" si="1840"/>
        <v>FARMÁCIA INDIANA LJ 1 (10126)</v>
      </c>
      <c r="G3839" t="str">
        <f t="shared" si="1841"/>
        <v>Serv.Prest. 30/06/2025 a 06/07/2025 - RPS: 983 - NFSe: 3216</v>
      </c>
      <c r="H3839" t="str">
        <f t="shared" si="1842"/>
        <v>16/07/2025</v>
      </c>
      <c r="I3839" t="str">
        <f t="shared" si="1843"/>
        <v>08/07/2025</v>
      </c>
      <c r="J3839" t="str">
        <f t="shared" si="1844"/>
        <v>16/07/2025</v>
      </c>
      <c r="M3839">
        <v>303</v>
      </c>
      <c r="N3839" t="str">
        <f t="shared" si="1845"/>
        <v>RECEITAS COM ENTREGAS</v>
      </c>
      <c r="P3839">
        <v>149.51</v>
      </c>
      <c r="Q3839" t="str">
        <f>"FARMÁCIA INDIANA LJ 116 (10051)"</f>
        <v>FARMÁCIA INDIANA LJ 116 (10051)</v>
      </c>
      <c r="R3839" t="str">
        <f t="shared" si="1846"/>
        <v>RECEITAS COM ENTREGAS (303)</v>
      </c>
      <c r="S3839">
        <v>2067</v>
      </c>
      <c r="T3839">
        <v>1547</v>
      </c>
      <c r="U3839" t="s">
        <v>19</v>
      </c>
    </row>
    <row r="3840" spans="1:21">
      <c r="A3840" t="str">
        <f t="shared" si="1837"/>
        <v>16/07/2025</v>
      </c>
      <c r="B3840" t="str">
        <f t="shared" si="1847"/>
        <v>ENTRADA</v>
      </c>
      <c r="C3840" t="str">
        <f t="shared" si="1838"/>
        <v>NFSE</v>
      </c>
      <c r="D3840" t="str">
        <f t="shared" si="1839"/>
        <v>3216</v>
      </c>
      <c r="E3840" t="str">
        <f t="shared" si="1848"/>
        <v>COM</v>
      </c>
      <c r="F3840" t="str">
        <f t="shared" si="1840"/>
        <v>FARMÁCIA INDIANA LJ 1 (10126)</v>
      </c>
      <c r="G3840" t="str">
        <f t="shared" si="1841"/>
        <v>Serv.Prest. 30/06/2025 a 06/07/2025 - RPS: 983 - NFSe: 3216</v>
      </c>
      <c r="H3840" t="str">
        <f t="shared" si="1842"/>
        <v>16/07/2025</v>
      </c>
      <c r="I3840" t="str">
        <f t="shared" si="1843"/>
        <v>08/07/2025</v>
      </c>
      <c r="J3840" t="str">
        <f t="shared" si="1844"/>
        <v>16/07/2025</v>
      </c>
      <c r="M3840">
        <v>303</v>
      </c>
      <c r="N3840" t="str">
        <f t="shared" si="1845"/>
        <v>RECEITAS COM ENTREGAS</v>
      </c>
      <c r="P3840">
        <v>105.85</v>
      </c>
      <c r="Q3840" t="str">
        <f>"FARMÁCIA INDIANA LJ 118 (10052)"</f>
        <v>FARMÁCIA INDIANA LJ 118 (10052)</v>
      </c>
      <c r="R3840" t="str">
        <f t="shared" si="1846"/>
        <v>RECEITAS COM ENTREGAS (303)</v>
      </c>
      <c r="S3840">
        <v>2067</v>
      </c>
      <c r="T3840">
        <v>1547</v>
      </c>
      <c r="U3840" t="s">
        <v>19</v>
      </c>
    </row>
    <row r="3841" spans="1:21">
      <c r="A3841" t="str">
        <f t="shared" si="1837"/>
        <v>16/07/2025</v>
      </c>
      <c r="B3841" t="str">
        <f t="shared" si="1847"/>
        <v>ENTRADA</v>
      </c>
      <c r="C3841" t="str">
        <f t="shared" si="1838"/>
        <v>NFSE</v>
      </c>
      <c r="D3841" t="str">
        <f t="shared" si="1839"/>
        <v>3216</v>
      </c>
      <c r="E3841" t="str">
        <f t="shared" si="1848"/>
        <v>COM</v>
      </c>
      <c r="F3841" t="str">
        <f t="shared" si="1840"/>
        <v>FARMÁCIA INDIANA LJ 1 (10126)</v>
      </c>
      <c r="G3841" t="str">
        <f t="shared" si="1841"/>
        <v>Serv.Prest. 30/06/2025 a 06/07/2025 - RPS: 983 - NFSe: 3216</v>
      </c>
      <c r="H3841" t="str">
        <f t="shared" si="1842"/>
        <v>16/07/2025</v>
      </c>
      <c r="I3841" t="str">
        <f t="shared" si="1843"/>
        <v>08/07/2025</v>
      </c>
      <c r="J3841" t="str">
        <f t="shared" si="1844"/>
        <v>16/07/2025</v>
      </c>
      <c r="M3841">
        <v>303</v>
      </c>
      <c r="N3841" t="str">
        <f t="shared" si="1845"/>
        <v>RECEITAS COM ENTREGAS</v>
      </c>
      <c r="P3841">
        <v>149.51</v>
      </c>
      <c r="Q3841" t="str">
        <f>"FARMÁCIA INDIANA LJ 121 (10054)"</f>
        <v>FARMÁCIA INDIANA LJ 121 (10054)</v>
      </c>
      <c r="R3841" t="str">
        <f t="shared" si="1846"/>
        <v>RECEITAS COM ENTREGAS (303)</v>
      </c>
      <c r="S3841">
        <v>2067</v>
      </c>
      <c r="T3841">
        <v>1547</v>
      </c>
      <c r="U3841" t="s">
        <v>19</v>
      </c>
    </row>
    <row r="3842" spans="1:21">
      <c r="A3842" t="str">
        <f t="shared" si="1837"/>
        <v>16/07/2025</v>
      </c>
      <c r="B3842" t="str">
        <f t="shared" si="1847"/>
        <v>ENTRADA</v>
      </c>
      <c r="C3842" t="str">
        <f t="shared" si="1838"/>
        <v>NFSE</v>
      </c>
      <c r="D3842" t="str">
        <f t="shared" si="1839"/>
        <v>3216</v>
      </c>
      <c r="E3842" t="str">
        <f t="shared" si="1848"/>
        <v>COM</v>
      </c>
      <c r="F3842" t="str">
        <f t="shared" si="1840"/>
        <v>FARMÁCIA INDIANA LJ 1 (10126)</v>
      </c>
      <c r="G3842" t="str">
        <f t="shared" si="1841"/>
        <v>Serv.Prest. 30/06/2025 a 06/07/2025 - RPS: 983 - NFSe: 3216</v>
      </c>
      <c r="H3842" t="str">
        <f t="shared" si="1842"/>
        <v>16/07/2025</v>
      </c>
      <c r="I3842" t="str">
        <f t="shared" si="1843"/>
        <v>08/07/2025</v>
      </c>
      <c r="J3842" t="str">
        <f t="shared" si="1844"/>
        <v>16/07/2025</v>
      </c>
      <c r="M3842">
        <v>303</v>
      </c>
      <c r="N3842" t="str">
        <f t="shared" si="1845"/>
        <v>RECEITAS COM ENTREGAS</v>
      </c>
      <c r="P3842">
        <v>149.51</v>
      </c>
      <c r="Q3842" t="str">
        <f>"FARMÁCIA INDIANA LJ 128 (10057)"</f>
        <v>FARMÁCIA INDIANA LJ 128 (10057)</v>
      </c>
      <c r="R3842" t="str">
        <f t="shared" si="1846"/>
        <v>RECEITAS COM ENTREGAS (303)</v>
      </c>
      <c r="S3842">
        <v>2067</v>
      </c>
      <c r="T3842">
        <v>1547</v>
      </c>
      <c r="U3842" t="s">
        <v>19</v>
      </c>
    </row>
    <row r="3843" spans="1:21">
      <c r="A3843" t="str">
        <f t="shared" si="1837"/>
        <v>16/07/2025</v>
      </c>
      <c r="B3843" t="str">
        <f t="shared" si="1847"/>
        <v>ENTRADA</v>
      </c>
      <c r="C3843" t="str">
        <f t="shared" si="1838"/>
        <v>NFSE</v>
      </c>
      <c r="D3843" t="str">
        <f t="shared" si="1839"/>
        <v>3216</v>
      </c>
      <c r="E3843" t="str">
        <f t="shared" si="1848"/>
        <v>COM</v>
      </c>
      <c r="F3843" t="str">
        <f t="shared" si="1840"/>
        <v>FARMÁCIA INDIANA LJ 1 (10126)</v>
      </c>
      <c r="G3843" t="str">
        <f t="shared" si="1841"/>
        <v>Serv.Prest. 30/06/2025 a 06/07/2025 - RPS: 983 - NFSe: 3216</v>
      </c>
      <c r="H3843" t="str">
        <f t="shared" si="1842"/>
        <v>16/07/2025</v>
      </c>
      <c r="I3843" t="str">
        <f t="shared" si="1843"/>
        <v>08/07/2025</v>
      </c>
      <c r="J3843" t="str">
        <f t="shared" si="1844"/>
        <v>16/07/2025</v>
      </c>
      <c r="M3843">
        <v>303</v>
      </c>
      <c r="N3843" t="str">
        <f t="shared" si="1845"/>
        <v>RECEITAS COM ENTREGAS</v>
      </c>
      <c r="P3843">
        <v>35.72</v>
      </c>
      <c r="Q3843" t="str">
        <f>"FARMÁCIA INDIANA LJ 140 (10064)"</f>
        <v>FARMÁCIA INDIANA LJ 140 (10064)</v>
      </c>
      <c r="R3843" t="str">
        <f t="shared" si="1846"/>
        <v>RECEITAS COM ENTREGAS (303)</v>
      </c>
      <c r="S3843">
        <v>2067</v>
      </c>
      <c r="T3843">
        <v>1547</v>
      </c>
      <c r="U3843" t="s">
        <v>19</v>
      </c>
    </row>
    <row r="3844" spans="1:21">
      <c r="A3844" t="str">
        <f t="shared" si="1837"/>
        <v>16/07/2025</v>
      </c>
      <c r="B3844" t="str">
        <f t="shared" si="1847"/>
        <v>ENTRADA</v>
      </c>
      <c r="C3844" t="str">
        <f t="shared" si="1838"/>
        <v>NFSE</v>
      </c>
      <c r="D3844" t="str">
        <f t="shared" si="1839"/>
        <v>3216</v>
      </c>
      <c r="E3844" t="str">
        <f t="shared" si="1848"/>
        <v>COM</v>
      </c>
      <c r="F3844" t="str">
        <f t="shared" si="1840"/>
        <v>FARMÁCIA INDIANA LJ 1 (10126)</v>
      </c>
      <c r="G3844" t="str">
        <f t="shared" si="1841"/>
        <v>Serv.Prest. 30/06/2025 a 06/07/2025 - RPS: 983 - NFSe: 3216</v>
      </c>
      <c r="H3844" t="str">
        <f t="shared" si="1842"/>
        <v>16/07/2025</v>
      </c>
      <c r="I3844" t="str">
        <f t="shared" si="1843"/>
        <v>08/07/2025</v>
      </c>
      <c r="J3844" t="str">
        <f t="shared" si="1844"/>
        <v>16/07/2025</v>
      </c>
      <c r="M3844">
        <v>303</v>
      </c>
      <c r="N3844" t="str">
        <f t="shared" si="1845"/>
        <v>RECEITAS COM ENTREGAS</v>
      </c>
      <c r="P3844">
        <v>19.850000000000001</v>
      </c>
      <c r="Q3844" t="str">
        <f>"FARMÁCIA INDIANA LJ 141 (10065)"</f>
        <v>FARMÁCIA INDIANA LJ 141 (10065)</v>
      </c>
      <c r="R3844" t="str">
        <f t="shared" si="1846"/>
        <v>RECEITAS COM ENTREGAS (303)</v>
      </c>
      <c r="S3844">
        <v>2067</v>
      </c>
      <c r="T3844">
        <v>1547</v>
      </c>
      <c r="U3844" t="s">
        <v>19</v>
      </c>
    </row>
    <row r="3845" spans="1:21">
      <c r="A3845" t="str">
        <f t="shared" si="1837"/>
        <v>16/07/2025</v>
      </c>
      <c r="B3845" t="str">
        <f t="shared" si="1847"/>
        <v>ENTRADA</v>
      </c>
      <c r="C3845" t="str">
        <f t="shared" si="1838"/>
        <v>NFSE</v>
      </c>
      <c r="D3845" t="str">
        <f t="shared" si="1839"/>
        <v>3216</v>
      </c>
      <c r="E3845" t="str">
        <f t="shared" si="1848"/>
        <v>COM</v>
      </c>
      <c r="F3845" t="str">
        <f t="shared" si="1840"/>
        <v>FARMÁCIA INDIANA LJ 1 (10126)</v>
      </c>
      <c r="G3845" t="str">
        <f t="shared" si="1841"/>
        <v>Serv.Prest. 30/06/2025 a 06/07/2025 - RPS: 983 - NFSe: 3216</v>
      </c>
      <c r="H3845" t="str">
        <f t="shared" si="1842"/>
        <v>16/07/2025</v>
      </c>
      <c r="I3845" t="str">
        <f t="shared" si="1843"/>
        <v>08/07/2025</v>
      </c>
      <c r="J3845" t="str">
        <f t="shared" si="1844"/>
        <v>16/07/2025</v>
      </c>
      <c r="M3845">
        <v>303</v>
      </c>
      <c r="N3845" t="str">
        <f t="shared" si="1845"/>
        <v>RECEITAS COM ENTREGAS</v>
      </c>
      <c r="P3845">
        <v>644.35</v>
      </c>
      <c r="Q3845" t="str">
        <f>"FARMÁCIA INDIANA LJ 142 (10066)"</f>
        <v>FARMÁCIA INDIANA LJ 142 (10066)</v>
      </c>
      <c r="R3845" t="str">
        <f t="shared" si="1846"/>
        <v>RECEITAS COM ENTREGAS (303)</v>
      </c>
      <c r="S3845">
        <v>2067</v>
      </c>
      <c r="T3845">
        <v>1547</v>
      </c>
      <c r="U3845" t="s">
        <v>19</v>
      </c>
    </row>
    <row r="3846" spans="1:21">
      <c r="A3846" t="str">
        <f t="shared" si="1837"/>
        <v>16/07/2025</v>
      </c>
      <c r="B3846" t="str">
        <f t="shared" si="1847"/>
        <v>ENTRADA</v>
      </c>
      <c r="C3846" t="str">
        <f t="shared" si="1838"/>
        <v>NFSE</v>
      </c>
      <c r="D3846" t="str">
        <f t="shared" si="1839"/>
        <v>3216</v>
      </c>
      <c r="E3846" t="str">
        <f t="shared" si="1848"/>
        <v>COM</v>
      </c>
      <c r="F3846" t="str">
        <f t="shared" si="1840"/>
        <v>FARMÁCIA INDIANA LJ 1 (10126)</v>
      </c>
      <c r="G3846" t="str">
        <f t="shared" si="1841"/>
        <v>Serv.Prest. 30/06/2025 a 06/07/2025 - RPS: 983 - NFSe: 3216</v>
      </c>
      <c r="H3846" t="str">
        <f t="shared" si="1842"/>
        <v>16/07/2025</v>
      </c>
      <c r="I3846" t="str">
        <f t="shared" si="1843"/>
        <v>08/07/2025</v>
      </c>
      <c r="J3846" t="str">
        <f t="shared" si="1844"/>
        <v>16/07/2025</v>
      </c>
      <c r="M3846">
        <v>303</v>
      </c>
      <c r="N3846" t="str">
        <f t="shared" si="1845"/>
        <v>RECEITAS COM ENTREGAS</v>
      </c>
      <c r="P3846">
        <v>66.16</v>
      </c>
      <c r="Q3846" t="str">
        <f>"FARMÁCIA INDIANA LJ 143 (10067)"</f>
        <v>FARMÁCIA INDIANA LJ 143 (10067)</v>
      </c>
      <c r="R3846" t="str">
        <f t="shared" si="1846"/>
        <v>RECEITAS COM ENTREGAS (303)</v>
      </c>
      <c r="S3846">
        <v>2067</v>
      </c>
      <c r="T3846">
        <v>1547</v>
      </c>
      <c r="U3846" t="s">
        <v>19</v>
      </c>
    </row>
    <row r="3847" spans="1:21">
      <c r="A3847" t="str">
        <f t="shared" si="1837"/>
        <v>16/07/2025</v>
      </c>
      <c r="B3847" t="str">
        <f t="shared" si="1847"/>
        <v>ENTRADA</v>
      </c>
      <c r="C3847" t="str">
        <f t="shared" si="1838"/>
        <v>NFSE</v>
      </c>
      <c r="D3847" t="str">
        <f t="shared" si="1839"/>
        <v>3216</v>
      </c>
      <c r="E3847" t="str">
        <f t="shared" si="1848"/>
        <v>COM</v>
      </c>
      <c r="F3847" t="str">
        <f t="shared" si="1840"/>
        <v>FARMÁCIA INDIANA LJ 1 (10126)</v>
      </c>
      <c r="G3847" t="str">
        <f t="shared" si="1841"/>
        <v>Serv.Prest. 30/06/2025 a 06/07/2025 - RPS: 983 - NFSe: 3216</v>
      </c>
      <c r="H3847" t="str">
        <f t="shared" si="1842"/>
        <v>16/07/2025</v>
      </c>
      <c r="I3847" t="str">
        <f t="shared" si="1843"/>
        <v>08/07/2025</v>
      </c>
      <c r="J3847" t="str">
        <f t="shared" si="1844"/>
        <v>16/07/2025</v>
      </c>
      <c r="M3847">
        <v>303</v>
      </c>
      <c r="N3847" t="str">
        <f t="shared" si="1845"/>
        <v>RECEITAS COM ENTREGAS</v>
      </c>
      <c r="P3847">
        <v>161.41999999999999</v>
      </c>
      <c r="Q3847" t="str">
        <f>"FARMÁCIA INDIANA LJ 152 (10069)"</f>
        <v>FARMÁCIA INDIANA LJ 152 (10069)</v>
      </c>
      <c r="R3847" t="str">
        <f t="shared" si="1846"/>
        <v>RECEITAS COM ENTREGAS (303)</v>
      </c>
      <c r="S3847">
        <v>2067</v>
      </c>
      <c r="T3847">
        <v>1547</v>
      </c>
      <c r="U3847" t="s">
        <v>19</v>
      </c>
    </row>
    <row r="3848" spans="1:21">
      <c r="A3848" t="str">
        <f t="shared" si="1837"/>
        <v>16/07/2025</v>
      </c>
      <c r="B3848" t="str">
        <f t="shared" si="1847"/>
        <v>ENTRADA</v>
      </c>
      <c r="C3848" t="str">
        <f t="shared" si="1838"/>
        <v>NFSE</v>
      </c>
      <c r="D3848" t="str">
        <f t="shared" si="1839"/>
        <v>3216</v>
      </c>
      <c r="E3848" t="str">
        <f t="shared" si="1848"/>
        <v>COM</v>
      </c>
      <c r="F3848" t="str">
        <f t="shared" si="1840"/>
        <v>FARMÁCIA INDIANA LJ 1 (10126)</v>
      </c>
      <c r="G3848" t="str">
        <f t="shared" si="1841"/>
        <v>Serv.Prest. 30/06/2025 a 06/07/2025 - RPS: 983 - NFSe: 3216</v>
      </c>
      <c r="H3848" t="str">
        <f t="shared" si="1842"/>
        <v>16/07/2025</v>
      </c>
      <c r="I3848" t="str">
        <f t="shared" si="1843"/>
        <v>08/07/2025</v>
      </c>
      <c r="J3848" t="str">
        <f t="shared" si="1844"/>
        <v>16/07/2025</v>
      </c>
      <c r="M3848">
        <v>303</v>
      </c>
      <c r="N3848" t="str">
        <f t="shared" si="1845"/>
        <v>RECEITAS COM ENTREGAS</v>
      </c>
      <c r="P3848">
        <v>46.31</v>
      </c>
      <c r="Q3848" t="str">
        <f>"FARMÁCIA INDIANA LJ 154 (10070)"</f>
        <v>FARMÁCIA INDIANA LJ 154 (10070)</v>
      </c>
      <c r="R3848" t="str">
        <f t="shared" si="1846"/>
        <v>RECEITAS COM ENTREGAS (303)</v>
      </c>
      <c r="S3848">
        <v>2067</v>
      </c>
      <c r="T3848">
        <v>1547</v>
      </c>
      <c r="U3848" t="s">
        <v>19</v>
      </c>
    </row>
    <row r="3849" spans="1:21">
      <c r="A3849" t="str">
        <f t="shared" si="1837"/>
        <v>16/07/2025</v>
      </c>
      <c r="B3849" t="str">
        <f t="shared" si="1847"/>
        <v>ENTRADA</v>
      </c>
      <c r="C3849" t="str">
        <f t="shared" si="1838"/>
        <v>NFSE</v>
      </c>
      <c r="D3849" t="str">
        <f t="shared" si="1839"/>
        <v>3216</v>
      </c>
      <c r="E3849" t="str">
        <f t="shared" si="1848"/>
        <v>COM</v>
      </c>
      <c r="F3849" t="str">
        <f t="shared" si="1840"/>
        <v>FARMÁCIA INDIANA LJ 1 (10126)</v>
      </c>
      <c r="G3849" t="str">
        <f t="shared" si="1841"/>
        <v>Serv.Prest. 30/06/2025 a 06/07/2025 - RPS: 983 - NFSe: 3216</v>
      </c>
      <c r="H3849" t="str">
        <f t="shared" si="1842"/>
        <v>16/07/2025</v>
      </c>
      <c r="I3849" t="str">
        <f t="shared" si="1843"/>
        <v>08/07/2025</v>
      </c>
      <c r="J3849" t="str">
        <f t="shared" si="1844"/>
        <v>16/07/2025</v>
      </c>
      <c r="M3849">
        <v>303</v>
      </c>
      <c r="N3849" t="str">
        <f t="shared" si="1845"/>
        <v>RECEITAS COM ENTREGAS</v>
      </c>
      <c r="P3849">
        <v>321.52</v>
      </c>
      <c r="Q3849" t="str">
        <f>"FARMÁCIA INDIANA LJ 171 (10074)"</f>
        <v>FARMÁCIA INDIANA LJ 171 (10074)</v>
      </c>
      <c r="R3849" t="str">
        <f t="shared" si="1846"/>
        <v>RECEITAS COM ENTREGAS (303)</v>
      </c>
      <c r="S3849">
        <v>2067</v>
      </c>
      <c r="T3849">
        <v>1547</v>
      </c>
      <c r="U3849" t="s">
        <v>19</v>
      </c>
    </row>
    <row r="3850" spans="1:21">
      <c r="A3850" t="str">
        <f t="shared" si="1837"/>
        <v>16/07/2025</v>
      </c>
      <c r="B3850" t="str">
        <f t="shared" si="1847"/>
        <v>ENTRADA</v>
      </c>
      <c r="C3850" t="str">
        <f t="shared" si="1838"/>
        <v>NFSE</v>
      </c>
      <c r="D3850" t="str">
        <f t="shared" si="1839"/>
        <v>3216</v>
      </c>
      <c r="E3850" t="str">
        <f t="shared" si="1848"/>
        <v>COM</v>
      </c>
      <c r="F3850" t="str">
        <f t="shared" si="1840"/>
        <v>FARMÁCIA INDIANA LJ 1 (10126)</v>
      </c>
      <c r="G3850" t="str">
        <f t="shared" si="1841"/>
        <v>Serv.Prest. 30/06/2025 a 06/07/2025 - RPS: 983 - NFSe: 3216</v>
      </c>
      <c r="H3850" t="str">
        <f t="shared" si="1842"/>
        <v>16/07/2025</v>
      </c>
      <c r="I3850" t="str">
        <f t="shared" si="1843"/>
        <v>08/07/2025</v>
      </c>
      <c r="J3850" t="str">
        <f t="shared" si="1844"/>
        <v>16/07/2025</v>
      </c>
      <c r="M3850">
        <v>303</v>
      </c>
      <c r="N3850" t="str">
        <f t="shared" si="1845"/>
        <v>RECEITAS COM ENTREGAS</v>
      </c>
      <c r="P3850">
        <v>123.05</v>
      </c>
      <c r="Q3850" t="str">
        <f>"FARMÁCIA INDIANA LJ 175 (10076)"</f>
        <v>FARMÁCIA INDIANA LJ 175 (10076)</v>
      </c>
      <c r="R3850" t="str">
        <f t="shared" si="1846"/>
        <v>RECEITAS COM ENTREGAS (303)</v>
      </c>
      <c r="S3850">
        <v>2067</v>
      </c>
      <c r="T3850">
        <v>1547</v>
      </c>
      <c r="U3850" t="s">
        <v>19</v>
      </c>
    </row>
    <row r="3851" spans="1:21">
      <c r="A3851" t="str">
        <f t="shared" ref="A3851:A3882" si="1849">("16/07/2025")</f>
        <v>16/07/2025</v>
      </c>
      <c r="B3851" t="str">
        <f t="shared" si="1847"/>
        <v>ENTRADA</v>
      </c>
      <c r="C3851" t="str">
        <f t="shared" ref="C3851:C3882" si="1850">"NFSE"</f>
        <v>NFSE</v>
      </c>
      <c r="D3851" t="str">
        <f t="shared" si="1839"/>
        <v>3216</v>
      </c>
      <c r="E3851" t="str">
        <f t="shared" si="1848"/>
        <v>COM</v>
      </c>
      <c r="F3851" t="str">
        <f t="shared" si="1840"/>
        <v>FARMÁCIA INDIANA LJ 1 (10126)</v>
      </c>
      <c r="G3851" t="str">
        <f t="shared" si="1841"/>
        <v>Serv.Prest. 30/06/2025 a 06/07/2025 - RPS: 983 - NFSe: 3216</v>
      </c>
      <c r="H3851" t="str">
        <f t="shared" ref="H3851:H3882" si="1851">("16/07/2025")</f>
        <v>16/07/2025</v>
      </c>
      <c r="I3851" t="str">
        <f t="shared" ref="I3851:I3885" si="1852">("08/07/2025")</f>
        <v>08/07/2025</v>
      </c>
      <c r="J3851" t="str">
        <f t="shared" ref="J3851:J3882" si="1853">("16/07/2025")</f>
        <v>16/07/2025</v>
      </c>
      <c r="M3851">
        <v>303</v>
      </c>
      <c r="N3851" t="str">
        <f t="shared" ref="N3851:N3882" si="1854">"RECEITAS COM ENTREGAS"</f>
        <v>RECEITAS COM ENTREGAS</v>
      </c>
      <c r="P3851">
        <v>109.82</v>
      </c>
      <c r="Q3851" t="str">
        <f>"FARMÁCIA INDIANA LJ 178 (10077)"</f>
        <v>FARMÁCIA INDIANA LJ 178 (10077)</v>
      </c>
      <c r="R3851" t="str">
        <f t="shared" ref="R3851:R3882" si="1855">"RECEITAS COM ENTREGAS (303)"</f>
        <v>RECEITAS COM ENTREGAS (303)</v>
      </c>
      <c r="S3851">
        <v>2067</v>
      </c>
      <c r="T3851">
        <v>1547</v>
      </c>
      <c r="U3851" t="s">
        <v>19</v>
      </c>
    </row>
    <row r="3852" spans="1:21">
      <c r="A3852" t="str">
        <f t="shared" si="1849"/>
        <v>16/07/2025</v>
      </c>
      <c r="B3852" t="str">
        <f t="shared" si="1847"/>
        <v>ENTRADA</v>
      </c>
      <c r="C3852" t="str">
        <f t="shared" si="1850"/>
        <v>NFSE</v>
      </c>
      <c r="D3852" t="str">
        <f t="shared" si="1839"/>
        <v>3216</v>
      </c>
      <c r="E3852" t="str">
        <f t="shared" si="1848"/>
        <v>COM</v>
      </c>
      <c r="F3852" t="str">
        <f t="shared" si="1840"/>
        <v>FARMÁCIA INDIANA LJ 1 (10126)</v>
      </c>
      <c r="G3852" t="str">
        <f t="shared" si="1841"/>
        <v>Serv.Prest. 30/06/2025 a 06/07/2025 - RPS: 983 - NFSe: 3216</v>
      </c>
      <c r="H3852" t="str">
        <f t="shared" si="1851"/>
        <v>16/07/2025</v>
      </c>
      <c r="I3852" t="str">
        <f t="shared" si="1852"/>
        <v>08/07/2025</v>
      </c>
      <c r="J3852" t="str">
        <f t="shared" si="1853"/>
        <v>16/07/2025</v>
      </c>
      <c r="M3852">
        <v>303</v>
      </c>
      <c r="N3852" t="str">
        <f t="shared" si="1854"/>
        <v>RECEITAS COM ENTREGAS</v>
      </c>
      <c r="P3852">
        <v>75.42</v>
      </c>
      <c r="Q3852" t="str">
        <f>"FARMÁCIA INDIANA LJ 182 (10079)"</f>
        <v>FARMÁCIA INDIANA LJ 182 (10079)</v>
      </c>
      <c r="R3852" t="str">
        <f t="shared" si="1855"/>
        <v>RECEITAS COM ENTREGAS (303)</v>
      </c>
      <c r="S3852">
        <v>2067</v>
      </c>
      <c r="T3852">
        <v>1547</v>
      </c>
      <c r="U3852" t="s">
        <v>19</v>
      </c>
    </row>
    <row r="3853" spans="1:21">
      <c r="A3853" t="str">
        <f t="shared" si="1849"/>
        <v>16/07/2025</v>
      </c>
      <c r="B3853" t="str">
        <f t="shared" si="1847"/>
        <v>ENTRADA</v>
      </c>
      <c r="C3853" t="str">
        <f t="shared" si="1850"/>
        <v>NFSE</v>
      </c>
      <c r="D3853" t="str">
        <f t="shared" si="1839"/>
        <v>3216</v>
      </c>
      <c r="E3853" t="str">
        <f t="shared" si="1848"/>
        <v>COM</v>
      </c>
      <c r="F3853" t="str">
        <f t="shared" si="1840"/>
        <v>FARMÁCIA INDIANA LJ 1 (10126)</v>
      </c>
      <c r="G3853" t="str">
        <f t="shared" si="1841"/>
        <v>Serv.Prest. 30/06/2025 a 06/07/2025 - RPS: 983 - NFSe: 3216</v>
      </c>
      <c r="H3853" t="str">
        <f t="shared" si="1851"/>
        <v>16/07/2025</v>
      </c>
      <c r="I3853" t="str">
        <f t="shared" si="1852"/>
        <v>08/07/2025</v>
      </c>
      <c r="J3853" t="str">
        <f t="shared" si="1853"/>
        <v>16/07/2025</v>
      </c>
      <c r="M3853">
        <v>303</v>
      </c>
      <c r="N3853" t="str">
        <f t="shared" si="1854"/>
        <v>RECEITAS COM ENTREGAS</v>
      </c>
      <c r="P3853">
        <v>39.69</v>
      </c>
      <c r="Q3853" t="str">
        <f>"FARMÁCIA INDIANA LJ 184 (10080)"</f>
        <v>FARMÁCIA INDIANA LJ 184 (10080)</v>
      </c>
      <c r="R3853" t="str">
        <f t="shared" si="1855"/>
        <v>RECEITAS COM ENTREGAS (303)</v>
      </c>
      <c r="S3853">
        <v>2067</v>
      </c>
      <c r="T3853">
        <v>1547</v>
      </c>
      <c r="U3853" t="s">
        <v>19</v>
      </c>
    </row>
    <row r="3854" spans="1:21">
      <c r="A3854" t="str">
        <f t="shared" si="1849"/>
        <v>16/07/2025</v>
      </c>
      <c r="B3854" t="str">
        <f t="shared" si="1847"/>
        <v>ENTRADA</v>
      </c>
      <c r="C3854" t="str">
        <f t="shared" si="1850"/>
        <v>NFSE</v>
      </c>
      <c r="D3854" t="str">
        <f t="shared" si="1839"/>
        <v>3216</v>
      </c>
      <c r="E3854" t="str">
        <f t="shared" si="1848"/>
        <v>COM</v>
      </c>
      <c r="F3854" t="str">
        <f t="shared" si="1840"/>
        <v>FARMÁCIA INDIANA LJ 1 (10126)</v>
      </c>
      <c r="G3854" t="str">
        <f t="shared" si="1841"/>
        <v>Serv.Prest. 30/06/2025 a 06/07/2025 - RPS: 983 - NFSe: 3216</v>
      </c>
      <c r="H3854" t="str">
        <f t="shared" si="1851"/>
        <v>16/07/2025</v>
      </c>
      <c r="I3854" t="str">
        <f t="shared" si="1852"/>
        <v>08/07/2025</v>
      </c>
      <c r="J3854" t="str">
        <f t="shared" si="1853"/>
        <v>16/07/2025</v>
      </c>
      <c r="M3854">
        <v>303</v>
      </c>
      <c r="N3854" t="str">
        <f t="shared" si="1854"/>
        <v>RECEITAS COM ENTREGAS</v>
      </c>
      <c r="P3854">
        <v>75.42</v>
      </c>
      <c r="Q3854" t="str">
        <f>"FARMÁCIA INDIANA LJ 186 (10081)"</f>
        <v>FARMÁCIA INDIANA LJ 186 (10081)</v>
      </c>
      <c r="R3854" t="str">
        <f t="shared" si="1855"/>
        <v>RECEITAS COM ENTREGAS (303)</v>
      </c>
      <c r="S3854">
        <v>2067</v>
      </c>
      <c r="T3854">
        <v>1547</v>
      </c>
      <c r="U3854" t="s">
        <v>19</v>
      </c>
    </row>
    <row r="3855" spans="1:21">
      <c r="A3855" t="str">
        <f t="shared" si="1849"/>
        <v>16/07/2025</v>
      </c>
      <c r="B3855" t="str">
        <f t="shared" si="1847"/>
        <v>ENTRADA</v>
      </c>
      <c r="C3855" t="str">
        <f t="shared" si="1850"/>
        <v>NFSE</v>
      </c>
      <c r="D3855" t="str">
        <f t="shared" si="1839"/>
        <v>3216</v>
      </c>
      <c r="E3855" t="str">
        <f t="shared" si="1848"/>
        <v>COM</v>
      </c>
      <c r="F3855" t="str">
        <f t="shared" si="1840"/>
        <v>FARMÁCIA INDIANA LJ 1 (10126)</v>
      </c>
      <c r="G3855" t="str">
        <f t="shared" si="1841"/>
        <v>Serv.Prest. 30/06/2025 a 06/07/2025 - RPS: 983 - NFSe: 3216</v>
      </c>
      <c r="H3855" t="str">
        <f t="shared" si="1851"/>
        <v>16/07/2025</v>
      </c>
      <c r="I3855" t="str">
        <f t="shared" si="1852"/>
        <v>08/07/2025</v>
      </c>
      <c r="J3855" t="str">
        <f t="shared" si="1853"/>
        <v>16/07/2025</v>
      </c>
      <c r="M3855">
        <v>303</v>
      </c>
      <c r="N3855" t="str">
        <f t="shared" si="1854"/>
        <v>RECEITAS COM ENTREGAS</v>
      </c>
      <c r="P3855">
        <v>83.36</v>
      </c>
      <c r="Q3855" t="str">
        <f>"FARMÁCIA INDIANA LJ 192 (10082)"</f>
        <v>FARMÁCIA INDIANA LJ 192 (10082)</v>
      </c>
      <c r="R3855" t="str">
        <f t="shared" si="1855"/>
        <v>RECEITAS COM ENTREGAS (303)</v>
      </c>
      <c r="S3855">
        <v>2067</v>
      </c>
      <c r="T3855">
        <v>1547</v>
      </c>
      <c r="U3855" t="s">
        <v>19</v>
      </c>
    </row>
    <row r="3856" spans="1:21">
      <c r="A3856" t="str">
        <f t="shared" si="1849"/>
        <v>16/07/2025</v>
      </c>
      <c r="B3856" t="str">
        <f t="shared" si="1847"/>
        <v>ENTRADA</v>
      </c>
      <c r="C3856" t="str">
        <f t="shared" si="1850"/>
        <v>NFSE</v>
      </c>
      <c r="D3856" t="str">
        <f t="shared" si="1839"/>
        <v>3216</v>
      </c>
      <c r="E3856" t="str">
        <f t="shared" si="1848"/>
        <v>COM</v>
      </c>
      <c r="F3856" t="str">
        <f t="shared" si="1840"/>
        <v>FARMÁCIA INDIANA LJ 1 (10126)</v>
      </c>
      <c r="G3856" t="str">
        <f t="shared" si="1841"/>
        <v>Serv.Prest. 30/06/2025 a 06/07/2025 - RPS: 983 - NFSe: 3216</v>
      </c>
      <c r="H3856" t="str">
        <f t="shared" si="1851"/>
        <v>16/07/2025</v>
      </c>
      <c r="I3856" t="str">
        <f t="shared" si="1852"/>
        <v>08/07/2025</v>
      </c>
      <c r="J3856" t="str">
        <f t="shared" si="1853"/>
        <v>16/07/2025</v>
      </c>
      <c r="M3856">
        <v>303</v>
      </c>
      <c r="N3856" t="str">
        <f t="shared" si="1854"/>
        <v>RECEITAS COM ENTREGAS</v>
      </c>
      <c r="P3856">
        <v>39.69</v>
      </c>
      <c r="Q3856" t="str">
        <f>"FARMÁCIA INDIANA LJ 195 (10083)"</f>
        <v>FARMÁCIA INDIANA LJ 195 (10083)</v>
      </c>
      <c r="R3856" t="str">
        <f t="shared" si="1855"/>
        <v>RECEITAS COM ENTREGAS (303)</v>
      </c>
      <c r="S3856">
        <v>2067</v>
      </c>
      <c r="T3856">
        <v>1547</v>
      </c>
      <c r="U3856" t="s">
        <v>19</v>
      </c>
    </row>
    <row r="3857" spans="1:21">
      <c r="A3857" t="str">
        <f t="shared" si="1849"/>
        <v>16/07/2025</v>
      </c>
      <c r="B3857" t="str">
        <f t="shared" si="1847"/>
        <v>ENTRADA</v>
      </c>
      <c r="C3857" t="str">
        <f t="shared" si="1850"/>
        <v>NFSE</v>
      </c>
      <c r="D3857" t="str">
        <f t="shared" si="1839"/>
        <v>3216</v>
      </c>
      <c r="E3857" t="str">
        <f t="shared" si="1848"/>
        <v>COM</v>
      </c>
      <c r="F3857" t="str">
        <f t="shared" si="1840"/>
        <v>FARMÁCIA INDIANA LJ 1 (10126)</v>
      </c>
      <c r="G3857" t="str">
        <f t="shared" si="1841"/>
        <v>Serv.Prest. 30/06/2025 a 06/07/2025 - RPS: 983 - NFSe: 3216</v>
      </c>
      <c r="H3857" t="str">
        <f t="shared" si="1851"/>
        <v>16/07/2025</v>
      </c>
      <c r="I3857" t="str">
        <f t="shared" si="1852"/>
        <v>08/07/2025</v>
      </c>
      <c r="J3857" t="str">
        <f t="shared" si="1853"/>
        <v>16/07/2025</v>
      </c>
      <c r="M3857">
        <v>303</v>
      </c>
      <c r="N3857" t="str">
        <f t="shared" si="1854"/>
        <v>RECEITAS COM ENTREGAS</v>
      </c>
      <c r="P3857">
        <v>149.51</v>
      </c>
      <c r="Q3857" t="str">
        <f>"FARMÁCIA INDIANA LJ 202 (10085)"</f>
        <v>FARMÁCIA INDIANA LJ 202 (10085)</v>
      </c>
      <c r="R3857" t="str">
        <f t="shared" si="1855"/>
        <v>RECEITAS COM ENTREGAS (303)</v>
      </c>
      <c r="S3857">
        <v>2067</v>
      </c>
      <c r="T3857">
        <v>1547</v>
      </c>
      <c r="U3857" t="s">
        <v>19</v>
      </c>
    </row>
    <row r="3858" spans="1:21">
      <c r="A3858" t="str">
        <f t="shared" si="1849"/>
        <v>16/07/2025</v>
      </c>
      <c r="B3858" t="str">
        <f t="shared" si="1847"/>
        <v>ENTRADA</v>
      </c>
      <c r="C3858" t="str">
        <f t="shared" si="1850"/>
        <v>NFSE</v>
      </c>
      <c r="D3858" t="str">
        <f t="shared" si="1839"/>
        <v>3216</v>
      </c>
      <c r="E3858" t="str">
        <f t="shared" si="1848"/>
        <v>COM</v>
      </c>
      <c r="F3858" t="str">
        <f t="shared" si="1840"/>
        <v>FARMÁCIA INDIANA LJ 1 (10126)</v>
      </c>
      <c r="G3858" t="str">
        <f t="shared" si="1841"/>
        <v>Serv.Prest. 30/06/2025 a 06/07/2025 - RPS: 983 - NFSe: 3216</v>
      </c>
      <c r="H3858" t="str">
        <f t="shared" si="1851"/>
        <v>16/07/2025</v>
      </c>
      <c r="I3858" t="str">
        <f t="shared" si="1852"/>
        <v>08/07/2025</v>
      </c>
      <c r="J3858" t="str">
        <f t="shared" si="1853"/>
        <v>16/07/2025</v>
      </c>
      <c r="M3858">
        <v>303</v>
      </c>
      <c r="N3858" t="str">
        <f t="shared" si="1854"/>
        <v>RECEITAS COM ENTREGAS</v>
      </c>
      <c r="P3858">
        <v>107.17</v>
      </c>
      <c r="Q3858" t="str">
        <f>"FARMÁCIA INDIANA LJ 204 (10087)"</f>
        <v>FARMÁCIA INDIANA LJ 204 (10087)</v>
      </c>
      <c r="R3858" t="str">
        <f t="shared" si="1855"/>
        <v>RECEITAS COM ENTREGAS (303)</v>
      </c>
      <c r="S3858">
        <v>2067</v>
      </c>
      <c r="T3858">
        <v>1547</v>
      </c>
      <c r="U3858" t="s">
        <v>19</v>
      </c>
    </row>
    <row r="3859" spans="1:21">
      <c r="A3859" t="str">
        <f t="shared" si="1849"/>
        <v>16/07/2025</v>
      </c>
      <c r="B3859" t="str">
        <f t="shared" si="1847"/>
        <v>ENTRADA</v>
      </c>
      <c r="C3859" t="str">
        <f t="shared" si="1850"/>
        <v>NFSE</v>
      </c>
      <c r="D3859" t="str">
        <f t="shared" si="1839"/>
        <v>3216</v>
      </c>
      <c r="E3859" t="str">
        <f t="shared" si="1848"/>
        <v>COM</v>
      </c>
      <c r="F3859" t="str">
        <f t="shared" si="1840"/>
        <v>FARMÁCIA INDIANA LJ 1 (10126)</v>
      </c>
      <c r="G3859" t="str">
        <f t="shared" si="1841"/>
        <v>Serv.Prest. 30/06/2025 a 06/07/2025 - RPS: 983 - NFSe: 3216</v>
      </c>
      <c r="H3859" t="str">
        <f t="shared" si="1851"/>
        <v>16/07/2025</v>
      </c>
      <c r="I3859" t="str">
        <f t="shared" si="1852"/>
        <v>08/07/2025</v>
      </c>
      <c r="J3859" t="str">
        <f t="shared" si="1853"/>
        <v>16/07/2025</v>
      </c>
      <c r="M3859">
        <v>303</v>
      </c>
      <c r="N3859" t="str">
        <f t="shared" si="1854"/>
        <v>RECEITAS COM ENTREGAS</v>
      </c>
      <c r="P3859">
        <v>107.17</v>
      </c>
      <c r="Q3859" t="str">
        <f>"FARMÁCIA INDIANA LJ 207 (10088)"</f>
        <v>FARMÁCIA INDIANA LJ 207 (10088)</v>
      </c>
      <c r="R3859" t="str">
        <f t="shared" si="1855"/>
        <v>RECEITAS COM ENTREGAS (303)</v>
      </c>
      <c r="S3859">
        <v>2067</v>
      </c>
      <c r="T3859">
        <v>1547</v>
      </c>
      <c r="U3859" t="s">
        <v>19</v>
      </c>
    </row>
    <row r="3860" spans="1:21">
      <c r="A3860" t="str">
        <f t="shared" si="1849"/>
        <v>16/07/2025</v>
      </c>
      <c r="B3860" t="str">
        <f t="shared" si="1847"/>
        <v>ENTRADA</v>
      </c>
      <c r="C3860" t="str">
        <f t="shared" si="1850"/>
        <v>NFSE</v>
      </c>
      <c r="D3860" t="str">
        <f t="shared" si="1839"/>
        <v>3216</v>
      </c>
      <c r="E3860" t="str">
        <f t="shared" si="1848"/>
        <v>COM</v>
      </c>
      <c r="F3860" t="str">
        <f t="shared" si="1840"/>
        <v>FARMÁCIA INDIANA LJ 1 (10126)</v>
      </c>
      <c r="G3860" t="str">
        <f t="shared" si="1841"/>
        <v>Serv.Prest. 30/06/2025 a 06/07/2025 - RPS: 983 - NFSe: 3216</v>
      </c>
      <c r="H3860" t="str">
        <f t="shared" si="1851"/>
        <v>16/07/2025</v>
      </c>
      <c r="I3860" t="str">
        <f t="shared" si="1852"/>
        <v>08/07/2025</v>
      </c>
      <c r="J3860" t="str">
        <f t="shared" si="1853"/>
        <v>16/07/2025</v>
      </c>
      <c r="M3860">
        <v>303</v>
      </c>
      <c r="N3860" t="str">
        <f t="shared" si="1854"/>
        <v>RECEITAS COM ENTREGAS</v>
      </c>
      <c r="P3860">
        <v>125.7</v>
      </c>
      <c r="Q3860" t="str">
        <f>"FARMÁCIA INDIANA LJ 209 (10089)"</f>
        <v>FARMÁCIA INDIANA LJ 209 (10089)</v>
      </c>
      <c r="R3860" t="str">
        <f t="shared" si="1855"/>
        <v>RECEITAS COM ENTREGAS (303)</v>
      </c>
      <c r="S3860">
        <v>2067</v>
      </c>
      <c r="T3860">
        <v>1547</v>
      </c>
      <c r="U3860" t="s">
        <v>19</v>
      </c>
    </row>
    <row r="3861" spans="1:21">
      <c r="A3861" t="str">
        <f t="shared" si="1849"/>
        <v>16/07/2025</v>
      </c>
      <c r="B3861" t="str">
        <f t="shared" si="1847"/>
        <v>ENTRADA</v>
      </c>
      <c r="C3861" t="str">
        <f t="shared" si="1850"/>
        <v>NFSE</v>
      </c>
      <c r="D3861" t="str">
        <f t="shared" si="1839"/>
        <v>3216</v>
      </c>
      <c r="E3861" t="str">
        <f t="shared" si="1848"/>
        <v>COM</v>
      </c>
      <c r="F3861" t="str">
        <f t="shared" si="1840"/>
        <v>FARMÁCIA INDIANA LJ 1 (10126)</v>
      </c>
      <c r="G3861" t="str">
        <f t="shared" si="1841"/>
        <v>Serv.Prest. 30/06/2025 a 06/07/2025 - RPS: 983 - NFSe: 3216</v>
      </c>
      <c r="H3861" t="str">
        <f t="shared" si="1851"/>
        <v>16/07/2025</v>
      </c>
      <c r="I3861" t="str">
        <f t="shared" si="1852"/>
        <v>08/07/2025</v>
      </c>
      <c r="J3861" t="str">
        <f t="shared" si="1853"/>
        <v>16/07/2025</v>
      </c>
      <c r="M3861">
        <v>303</v>
      </c>
      <c r="N3861" t="str">
        <f t="shared" si="1854"/>
        <v>RECEITAS COM ENTREGAS</v>
      </c>
      <c r="P3861">
        <v>149.51</v>
      </c>
      <c r="Q3861" t="str">
        <f>"FARMÁCIA INDIANA LJ 219 (10091)"</f>
        <v>FARMÁCIA INDIANA LJ 219 (10091)</v>
      </c>
      <c r="R3861" t="str">
        <f t="shared" si="1855"/>
        <v>RECEITAS COM ENTREGAS (303)</v>
      </c>
      <c r="S3861">
        <v>2067</v>
      </c>
      <c r="T3861">
        <v>1547</v>
      </c>
      <c r="U3861" t="s">
        <v>19</v>
      </c>
    </row>
    <row r="3862" spans="1:21">
      <c r="A3862" t="str">
        <f t="shared" si="1849"/>
        <v>16/07/2025</v>
      </c>
      <c r="B3862" t="str">
        <f t="shared" si="1847"/>
        <v>ENTRADA</v>
      </c>
      <c r="C3862" t="str">
        <f t="shared" si="1850"/>
        <v>NFSE</v>
      </c>
      <c r="D3862" t="str">
        <f t="shared" si="1839"/>
        <v>3216</v>
      </c>
      <c r="E3862" t="str">
        <f t="shared" si="1848"/>
        <v>COM</v>
      </c>
      <c r="F3862" t="str">
        <f t="shared" si="1840"/>
        <v>FARMÁCIA INDIANA LJ 1 (10126)</v>
      </c>
      <c r="G3862" t="str">
        <f t="shared" si="1841"/>
        <v>Serv.Prest. 30/06/2025 a 06/07/2025 - RPS: 983 - NFSe: 3216</v>
      </c>
      <c r="H3862" t="str">
        <f t="shared" si="1851"/>
        <v>16/07/2025</v>
      </c>
      <c r="I3862" t="str">
        <f t="shared" si="1852"/>
        <v>08/07/2025</v>
      </c>
      <c r="J3862" t="str">
        <f t="shared" si="1853"/>
        <v>16/07/2025</v>
      </c>
      <c r="M3862">
        <v>303</v>
      </c>
      <c r="N3862" t="str">
        <f t="shared" si="1854"/>
        <v>RECEITAS COM ENTREGAS</v>
      </c>
      <c r="P3862">
        <v>203.76</v>
      </c>
      <c r="Q3862" t="str">
        <f>"FARMÁCIA INDIANA LJ 220 (10092)"</f>
        <v>FARMÁCIA INDIANA LJ 220 (10092)</v>
      </c>
      <c r="R3862" t="str">
        <f t="shared" si="1855"/>
        <v>RECEITAS COM ENTREGAS (303)</v>
      </c>
      <c r="S3862">
        <v>2067</v>
      </c>
      <c r="T3862">
        <v>1547</v>
      </c>
      <c r="U3862" t="s">
        <v>19</v>
      </c>
    </row>
    <row r="3863" spans="1:21">
      <c r="A3863" t="str">
        <f t="shared" si="1849"/>
        <v>16/07/2025</v>
      </c>
      <c r="B3863" t="str">
        <f t="shared" si="1847"/>
        <v>ENTRADA</v>
      </c>
      <c r="C3863" t="str">
        <f t="shared" si="1850"/>
        <v>NFSE</v>
      </c>
      <c r="D3863" t="str">
        <f t="shared" si="1839"/>
        <v>3216</v>
      </c>
      <c r="E3863" t="str">
        <f t="shared" si="1848"/>
        <v>COM</v>
      </c>
      <c r="F3863" t="str">
        <f t="shared" si="1840"/>
        <v>FARMÁCIA INDIANA LJ 1 (10126)</v>
      </c>
      <c r="G3863" t="str">
        <f t="shared" si="1841"/>
        <v>Serv.Prest. 30/06/2025 a 06/07/2025 - RPS: 983 - NFSe: 3216</v>
      </c>
      <c r="H3863" t="str">
        <f t="shared" si="1851"/>
        <v>16/07/2025</v>
      </c>
      <c r="I3863" t="str">
        <f t="shared" si="1852"/>
        <v>08/07/2025</v>
      </c>
      <c r="J3863" t="str">
        <f t="shared" si="1853"/>
        <v>16/07/2025</v>
      </c>
      <c r="M3863">
        <v>303</v>
      </c>
      <c r="N3863" t="str">
        <f t="shared" si="1854"/>
        <v>RECEITAS COM ENTREGAS</v>
      </c>
      <c r="P3863">
        <v>193.17</v>
      </c>
      <c r="Q3863" t="str">
        <f>"FARMÁCIA INDIANA LJ 185 (10141)"</f>
        <v>FARMÁCIA INDIANA LJ 185 (10141)</v>
      </c>
      <c r="R3863" t="str">
        <f t="shared" si="1855"/>
        <v>RECEITAS COM ENTREGAS (303)</v>
      </c>
      <c r="S3863">
        <v>2067</v>
      </c>
      <c r="T3863">
        <v>1547</v>
      </c>
      <c r="U3863" t="s">
        <v>19</v>
      </c>
    </row>
    <row r="3864" spans="1:21">
      <c r="A3864" t="str">
        <f t="shared" si="1849"/>
        <v>16/07/2025</v>
      </c>
      <c r="B3864" t="str">
        <f t="shared" si="1847"/>
        <v>ENTRADA</v>
      </c>
      <c r="C3864" t="str">
        <f t="shared" si="1850"/>
        <v>NFSE</v>
      </c>
      <c r="D3864" t="str">
        <f t="shared" si="1839"/>
        <v>3216</v>
      </c>
      <c r="E3864" t="str">
        <f t="shared" si="1848"/>
        <v>COM</v>
      </c>
      <c r="F3864" t="str">
        <f t="shared" si="1840"/>
        <v>FARMÁCIA INDIANA LJ 1 (10126)</v>
      </c>
      <c r="G3864" t="str">
        <f t="shared" si="1841"/>
        <v>Serv.Prest. 30/06/2025 a 06/07/2025 - RPS: 983 - NFSe: 3216</v>
      </c>
      <c r="H3864" t="str">
        <f t="shared" si="1851"/>
        <v>16/07/2025</v>
      </c>
      <c r="I3864" t="str">
        <f t="shared" si="1852"/>
        <v>08/07/2025</v>
      </c>
      <c r="J3864" t="str">
        <f t="shared" si="1853"/>
        <v>16/07/2025</v>
      </c>
      <c r="M3864">
        <v>303</v>
      </c>
      <c r="N3864" t="str">
        <f t="shared" si="1854"/>
        <v>RECEITAS COM ENTREGAS</v>
      </c>
      <c r="P3864">
        <v>653.62</v>
      </c>
      <c r="Q3864" t="str">
        <f>"FARMÁCIA INDIANA LJ 172 (10161)"</f>
        <v>FARMÁCIA INDIANA LJ 172 (10161)</v>
      </c>
      <c r="R3864" t="str">
        <f t="shared" si="1855"/>
        <v>RECEITAS COM ENTREGAS (303)</v>
      </c>
      <c r="S3864">
        <v>2067</v>
      </c>
      <c r="T3864">
        <v>1547</v>
      </c>
      <c r="U3864" t="s">
        <v>19</v>
      </c>
    </row>
    <row r="3865" spans="1:21">
      <c r="A3865" t="str">
        <f t="shared" si="1849"/>
        <v>16/07/2025</v>
      </c>
      <c r="B3865" t="str">
        <f t="shared" si="1847"/>
        <v>ENTRADA</v>
      </c>
      <c r="C3865" t="str">
        <f t="shared" si="1850"/>
        <v>NFSE</v>
      </c>
      <c r="D3865" t="str">
        <f t="shared" ref="D3865:D3876" si="1856">"3217"</f>
        <v>3217</v>
      </c>
      <c r="E3865" t="str">
        <f t="shared" si="1848"/>
        <v>COM</v>
      </c>
      <c r="F3865" t="str">
        <f t="shared" ref="F3865:F3876" si="1857">"FARMÁCIA INDIANA LJ 30 (10127)"</f>
        <v>FARMÁCIA INDIANA LJ 30 (10127)</v>
      </c>
      <c r="G3865" t="str">
        <f t="shared" ref="G3865:G3876" si="1858">"Serv.Prest. 30/06/2025 a 06/07/2025 - RPS: 984 - NFSe: 3217"</f>
        <v>Serv.Prest. 30/06/2025 a 06/07/2025 - RPS: 984 - NFSe: 3217</v>
      </c>
      <c r="H3865" t="str">
        <f t="shared" si="1851"/>
        <v>16/07/2025</v>
      </c>
      <c r="I3865" t="str">
        <f t="shared" si="1852"/>
        <v>08/07/2025</v>
      </c>
      <c r="J3865" t="str">
        <f t="shared" si="1853"/>
        <v>16/07/2025</v>
      </c>
      <c r="K3865">
        <v>2595.52</v>
      </c>
      <c r="L3865">
        <v>2595.52</v>
      </c>
      <c r="M3865">
        <v>303</v>
      </c>
      <c r="N3865" t="str">
        <f t="shared" si="1854"/>
        <v>RECEITAS COM ENTREGAS</v>
      </c>
      <c r="O3865">
        <v>2595.52</v>
      </c>
      <c r="R3865" t="str">
        <f t="shared" si="1855"/>
        <v>RECEITAS COM ENTREGAS (303)</v>
      </c>
      <c r="S3865">
        <v>2068</v>
      </c>
      <c r="T3865">
        <v>1548</v>
      </c>
      <c r="U3865" t="s">
        <v>19</v>
      </c>
    </row>
    <row r="3866" spans="1:21">
      <c r="A3866" t="str">
        <f t="shared" si="1849"/>
        <v>16/07/2025</v>
      </c>
      <c r="B3866" t="str">
        <f t="shared" si="1847"/>
        <v>ENTRADA</v>
      </c>
      <c r="C3866" t="str">
        <f t="shared" si="1850"/>
        <v>NFSE</v>
      </c>
      <c r="D3866" t="str">
        <f t="shared" si="1856"/>
        <v>3217</v>
      </c>
      <c r="E3866" t="str">
        <f t="shared" si="1848"/>
        <v>COM</v>
      </c>
      <c r="F3866" t="str">
        <f t="shared" si="1857"/>
        <v>FARMÁCIA INDIANA LJ 30 (10127)</v>
      </c>
      <c r="G3866" t="str">
        <f t="shared" si="1858"/>
        <v>Serv.Prest. 30/06/2025 a 06/07/2025 - RPS: 984 - NFSe: 3217</v>
      </c>
      <c r="H3866" t="str">
        <f t="shared" si="1851"/>
        <v>16/07/2025</v>
      </c>
      <c r="I3866" t="str">
        <f t="shared" si="1852"/>
        <v>08/07/2025</v>
      </c>
      <c r="J3866" t="str">
        <f t="shared" si="1853"/>
        <v>16/07/2025</v>
      </c>
      <c r="M3866">
        <v>303</v>
      </c>
      <c r="N3866" t="str">
        <f t="shared" si="1854"/>
        <v>RECEITAS COM ENTREGAS</v>
      </c>
      <c r="P3866">
        <v>279.02</v>
      </c>
      <c r="Q3866" t="str">
        <f>"FARMÁCIA INDIANA LJ 34 (10014)"</f>
        <v>FARMÁCIA INDIANA LJ 34 (10014)</v>
      </c>
      <c r="R3866" t="str">
        <f t="shared" si="1855"/>
        <v>RECEITAS COM ENTREGAS (303)</v>
      </c>
      <c r="S3866">
        <v>2068</v>
      </c>
      <c r="T3866">
        <v>1548</v>
      </c>
      <c r="U3866" t="s">
        <v>19</v>
      </c>
    </row>
    <row r="3867" spans="1:21">
      <c r="A3867" t="str">
        <f t="shared" si="1849"/>
        <v>16/07/2025</v>
      </c>
      <c r="B3867" t="str">
        <f t="shared" si="1847"/>
        <v>ENTRADA</v>
      </c>
      <c r="C3867" t="str">
        <f t="shared" si="1850"/>
        <v>NFSE</v>
      </c>
      <c r="D3867" t="str">
        <f t="shared" si="1856"/>
        <v>3217</v>
      </c>
      <c r="E3867" t="str">
        <f t="shared" si="1848"/>
        <v>COM</v>
      </c>
      <c r="F3867" t="str">
        <f t="shared" si="1857"/>
        <v>FARMÁCIA INDIANA LJ 30 (10127)</v>
      </c>
      <c r="G3867" t="str">
        <f t="shared" si="1858"/>
        <v>Serv.Prest. 30/06/2025 a 06/07/2025 - RPS: 984 - NFSe: 3217</v>
      </c>
      <c r="H3867" t="str">
        <f t="shared" si="1851"/>
        <v>16/07/2025</v>
      </c>
      <c r="I3867" t="str">
        <f t="shared" si="1852"/>
        <v>08/07/2025</v>
      </c>
      <c r="J3867" t="str">
        <f t="shared" si="1853"/>
        <v>16/07/2025</v>
      </c>
      <c r="M3867">
        <v>303</v>
      </c>
      <c r="N3867" t="str">
        <f t="shared" si="1854"/>
        <v>RECEITAS COM ENTREGAS</v>
      </c>
      <c r="P3867">
        <v>223.99</v>
      </c>
      <c r="Q3867" t="str">
        <f>"FARMÁCIA INDIANA LJ 35 (10015)"</f>
        <v>FARMÁCIA INDIANA LJ 35 (10015)</v>
      </c>
      <c r="R3867" t="str">
        <f t="shared" si="1855"/>
        <v>RECEITAS COM ENTREGAS (303)</v>
      </c>
      <c r="S3867">
        <v>2068</v>
      </c>
      <c r="T3867">
        <v>1548</v>
      </c>
      <c r="U3867" t="s">
        <v>19</v>
      </c>
    </row>
    <row r="3868" spans="1:21">
      <c r="A3868" t="str">
        <f t="shared" si="1849"/>
        <v>16/07/2025</v>
      </c>
      <c r="B3868" t="str">
        <f t="shared" si="1847"/>
        <v>ENTRADA</v>
      </c>
      <c r="C3868" t="str">
        <f t="shared" si="1850"/>
        <v>NFSE</v>
      </c>
      <c r="D3868" t="str">
        <f t="shared" si="1856"/>
        <v>3217</v>
      </c>
      <c r="E3868" t="str">
        <f t="shared" si="1848"/>
        <v>COM</v>
      </c>
      <c r="F3868" t="str">
        <f t="shared" si="1857"/>
        <v>FARMÁCIA INDIANA LJ 30 (10127)</v>
      </c>
      <c r="G3868" t="str">
        <f t="shared" si="1858"/>
        <v>Serv.Prest. 30/06/2025 a 06/07/2025 - RPS: 984 - NFSe: 3217</v>
      </c>
      <c r="H3868" t="str">
        <f t="shared" si="1851"/>
        <v>16/07/2025</v>
      </c>
      <c r="I3868" t="str">
        <f t="shared" si="1852"/>
        <v>08/07/2025</v>
      </c>
      <c r="J3868" t="str">
        <f t="shared" si="1853"/>
        <v>16/07/2025</v>
      </c>
      <c r="M3868">
        <v>303</v>
      </c>
      <c r="N3868" t="str">
        <f t="shared" si="1854"/>
        <v>RECEITAS COM ENTREGAS</v>
      </c>
      <c r="P3868">
        <v>282.13</v>
      </c>
      <c r="Q3868" t="str">
        <f>"FARMÁCIA INDIANA LJ 48 (10018)"</f>
        <v>FARMÁCIA INDIANA LJ 48 (10018)</v>
      </c>
      <c r="R3868" t="str">
        <f t="shared" si="1855"/>
        <v>RECEITAS COM ENTREGAS (303)</v>
      </c>
      <c r="S3868">
        <v>2068</v>
      </c>
      <c r="T3868">
        <v>1548</v>
      </c>
      <c r="U3868" t="s">
        <v>19</v>
      </c>
    </row>
    <row r="3869" spans="1:21">
      <c r="A3869" t="str">
        <f t="shared" si="1849"/>
        <v>16/07/2025</v>
      </c>
      <c r="B3869" t="str">
        <f t="shared" si="1847"/>
        <v>ENTRADA</v>
      </c>
      <c r="C3869" t="str">
        <f t="shared" si="1850"/>
        <v>NFSE</v>
      </c>
      <c r="D3869" t="str">
        <f t="shared" si="1856"/>
        <v>3217</v>
      </c>
      <c r="E3869" t="str">
        <f t="shared" si="1848"/>
        <v>COM</v>
      </c>
      <c r="F3869" t="str">
        <f t="shared" si="1857"/>
        <v>FARMÁCIA INDIANA LJ 30 (10127)</v>
      </c>
      <c r="G3869" t="str">
        <f t="shared" si="1858"/>
        <v>Serv.Prest. 30/06/2025 a 06/07/2025 - RPS: 984 - NFSe: 3217</v>
      </c>
      <c r="H3869" t="str">
        <f t="shared" si="1851"/>
        <v>16/07/2025</v>
      </c>
      <c r="I3869" t="str">
        <f t="shared" si="1852"/>
        <v>08/07/2025</v>
      </c>
      <c r="J3869" t="str">
        <f t="shared" si="1853"/>
        <v>16/07/2025</v>
      </c>
      <c r="M3869">
        <v>303</v>
      </c>
      <c r="N3869" t="str">
        <f t="shared" si="1854"/>
        <v>RECEITAS COM ENTREGAS</v>
      </c>
      <c r="P3869">
        <v>383.62</v>
      </c>
      <c r="Q3869" t="str">
        <f>"FARMÁCIA INDIANA LJ 65 (10030)"</f>
        <v>FARMÁCIA INDIANA LJ 65 (10030)</v>
      </c>
      <c r="R3869" t="str">
        <f t="shared" si="1855"/>
        <v>RECEITAS COM ENTREGAS (303)</v>
      </c>
      <c r="S3869">
        <v>2068</v>
      </c>
      <c r="T3869">
        <v>1548</v>
      </c>
      <c r="U3869" t="s">
        <v>19</v>
      </c>
    </row>
    <row r="3870" spans="1:21">
      <c r="A3870" t="str">
        <f t="shared" si="1849"/>
        <v>16/07/2025</v>
      </c>
      <c r="B3870" t="str">
        <f t="shared" si="1847"/>
        <v>ENTRADA</v>
      </c>
      <c r="C3870" t="str">
        <f t="shared" si="1850"/>
        <v>NFSE</v>
      </c>
      <c r="D3870" t="str">
        <f t="shared" si="1856"/>
        <v>3217</v>
      </c>
      <c r="E3870" t="str">
        <f t="shared" si="1848"/>
        <v>COM</v>
      </c>
      <c r="F3870" t="str">
        <f t="shared" si="1857"/>
        <v>FARMÁCIA INDIANA LJ 30 (10127)</v>
      </c>
      <c r="G3870" t="str">
        <f t="shared" si="1858"/>
        <v>Serv.Prest. 30/06/2025 a 06/07/2025 - RPS: 984 - NFSe: 3217</v>
      </c>
      <c r="H3870" t="str">
        <f t="shared" si="1851"/>
        <v>16/07/2025</v>
      </c>
      <c r="I3870" t="str">
        <f t="shared" si="1852"/>
        <v>08/07/2025</v>
      </c>
      <c r="J3870" t="str">
        <f t="shared" si="1853"/>
        <v>16/07/2025</v>
      </c>
      <c r="M3870">
        <v>303</v>
      </c>
      <c r="N3870" t="str">
        <f t="shared" si="1854"/>
        <v>RECEITAS COM ENTREGAS</v>
      </c>
      <c r="P3870">
        <v>128.47999999999999</v>
      </c>
      <c r="Q3870" t="str">
        <f>"FARMÁCIA INDIANA LJ 77 (10034)"</f>
        <v>FARMÁCIA INDIANA LJ 77 (10034)</v>
      </c>
      <c r="R3870" t="str">
        <f t="shared" si="1855"/>
        <v>RECEITAS COM ENTREGAS (303)</v>
      </c>
      <c r="S3870">
        <v>2068</v>
      </c>
      <c r="T3870">
        <v>1548</v>
      </c>
      <c r="U3870" t="s">
        <v>19</v>
      </c>
    </row>
    <row r="3871" spans="1:21">
      <c r="A3871" t="str">
        <f t="shared" si="1849"/>
        <v>16/07/2025</v>
      </c>
      <c r="B3871" t="str">
        <f t="shared" si="1847"/>
        <v>ENTRADA</v>
      </c>
      <c r="C3871" t="str">
        <f t="shared" si="1850"/>
        <v>NFSE</v>
      </c>
      <c r="D3871" t="str">
        <f t="shared" si="1856"/>
        <v>3217</v>
      </c>
      <c r="E3871" t="str">
        <f t="shared" si="1848"/>
        <v>COM</v>
      </c>
      <c r="F3871" t="str">
        <f t="shared" si="1857"/>
        <v>FARMÁCIA INDIANA LJ 30 (10127)</v>
      </c>
      <c r="G3871" t="str">
        <f t="shared" si="1858"/>
        <v>Serv.Prest. 30/06/2025 a 06/07/2025 - RPS: 984 - NFSe: 3217</v>
      </c>
      <c r="H3871" t="str">
        <f t="shared" si="1851"/>
        <v>16/07/2025</v>
      </c>
      <c r="I3871" t="str">
        <f t="shared" si="1852"/>
        <v>08/07/2025</v>
      </c>
      <c r="J3871" t="str">
        <f t="shared" si="1853"/>
        <v>16/07/2025</v>
      </c>
      <c r="M3871">
        <v>303</v>
      </c>
      <c r="N3871" t="str">
        <f t="shared" si="1854"/>
        <v>RECEITAS COM ENTREGAS</v>
      </c>
      <c r="P3871">
        <v>283.69</v>
      </c>
      <c r="Q3871" t="str">
        <f>"FARMÁCIA INDIANA LJ 91 (10037)"</f>
        <v>FARMÁCIA INDIANA LJ 91 (10037)</v>
      </c>
      <c r="R3871" t="str">
        <f t="shared" si="1855"/>
        <v>RECEITAS COM ENTREGAS (303)</v>
      </c>
      <c r="S3871">
        <v>2068</v>
      </c>
      <c r="T3871">
        <v>1548</v>
      </c>
      <c r="U3871" t="s">
        <v>19</v>
      </c>
    </row>
    <row r="3872" spans="1:21">
      <c r="A3872" t="str">
        <f t="shared" si="1849"/>
        <v>16/07/2025</v>
      </c>
      <c r="B3872" t="str">
        <f t="shared" si="1847"/>
        <v>ENTRADA</v>
      </c>
      <c r="C3872" t="str">
        <f t="shared" si="1850"/>
        <v>NFSE</v>
      </c>
      <c r="D3872" t="str">
        <f t="shared" si="1856"/>
        <v>3217</v>
      </c>
      <c r="E3872" t="str">
        <f t="shared" si="1848"/>
        <v>COM</v>
      </c>
      <c r="F3872" t="str">
        <f t="shared" si="1857"/>
        <v>FARMÁCIA INDIANA LJ 30 (10127)</v>
      </c>
      <c r="G3872" t="str">
        <f t="shared" si="1858"/>
        <v>Serv.Prest. 30/06/2025 a 06/07/2025 - RPS: 984 - NFSe: 3217</v>
      </c>
      <c r="H3872" t="str">
        <f t="shared" si="1851"/>
        <v>16/07/2025</v>
      </c>
      <c r="I3872" t="str">
        <f t="shared" si="1852"/>
        <v>08/07/2025</v>
      </c>
      <c r="J3872" t="str">
        <f t="shared" si="1853"/>
        <v>16/07/2025</v>
      </c>
      <c r="M3872">
        <v>303</v>
      </c>
      <c r="N3872" t="str">
        <f t="shared" si="1854"/>
        <v>RECEITAS COM ENTREGAS</v>
      </c>
      <c r="P3872">
        <v>225.03</v>
      </c>
      <c r="Q3872" t="str">
        <f>"FARMÁCIA INDIANA LJ 95 (10039)"</f>
        <v>FARMÁCIA INDIANA LJ 95 (10039)</v>
      </c>
      <c r="R3872" t="str">
        <f t="shared" si="1855"/>
        <v>RECEITAS COM ENTREGAS (303)</v>
      </c>
      <c r="S3872">
        <v>2068</v>
      </c>
      <c r="T3872">
        <v>1548</v>
      </c>
      <c r="U3872" t="s">
        <v>19</v>
      </c>
    </row>
    <row r="3873" spans="1:21">
      <c r="A3873" t="str">
        <f t="shared" si="1849"/>
        <v>16/07/2025</v>
      </c>
      <c r="B3873" t="str">
        <f t="shared" si="1847"/>
        <v>ENTRADA</v>
      </c>
      <c r="C3873" t="str">
        <f t="shared" si="1850"/>
        <v>NFSE</v>
      </c>
      <c r="D3873" t="str">
        <f t="shared" si="1856"/>
        <v>3217</v>
      </c>
      <c r="E3873" t="str">
        <f t="shared" si="1848"/>
        <v>COM</v>
      </c>
      <c r="F3873" t="str">
        <f t="shared" si="1857"/>
        <v>FARMÁCIA INDIANA LJ 30 (10127)</v>
      </c>
      <c r="G3873" t="str">
        <f t="shared" si="1858"/>
        <v>Serv.Prest. 30/06/2025 a 06/07/2025 - RPS: 984 - NFSe: 3217</v>
      </c>
      <c r="H3873" t="str">
        <f t="shared" si="1851"/>
        <v>16/07/2025</v>
      </c>
      <c r="I3873" t="str">
        <f t="shared" si="1852"/>
        <v>08/07/2025</v>
      </c>
      <c r="J3873" t="str">
        <f t="shared" si="1853"/>
        <v>16/07/2025</v>
      </c>
      <c r="M3873">
        <v>303</v>
      </c>
      <c r="N3873" t="str">
        <f t="shared" si="1854"/>
        <v>RECEITAS COM ENTREGAS</v>
      </c>
      <c r="P3873">
        <v>280.83999999999997</v>
      </c>
      <c r="Q3873" t="str">
        <f>"FARMÁCIA INDIANA LJ 145 (10068)"</f>
        <v>FARMÁCIA INDIANA LJ 145 (10068)</v>
      </c>
      <c r="R3873" t="str">
        <f t="shared" si="1855"/>
        <v>RECEITAS COM ENTREGAS (303)</v>
      </c>
      <c r="S3873">
        <v>2068</v>
      </c>
      <c r="T3873">
        <v>1548</v>
      </c>
      <c r="U3873" t="s">
        <v>19</v>
      </c>
    </row>
    <row r="3874" spans="1:21">
      <c r="A3874" t="str">
        <f t="shared" si="1849"/>
        <v>16/07/2025</v>
      </c>
      <c r="B3874" t="str">
        <f t="shared" si="1847"/>
        <v>ENTRADA</v>
      </c>
      <c r="C3874" t="str">
        <f t="shared" si="1850"/>
        <v>NFSE</v>
      </c>
      <c r="D3874" t="str">
        <f t="shared" si="1856"/>
        <v>3217</v>
      </c>
      <c r="E3874" t="str">
        <f t="shared" si="1848"/>
        <v>COM</v>
      </c>
      <c r="F3874" t="str">
        <f t="shared" si="1857"/>
        <v>FARMÁCIA INDIANA LJ 30 (10127)</v>
      </c>
      <c r="G3874" t="str">
        <f t="shared" si="1858"/>
        <v>Serv.Prest. 30/06/2025 a 06/07/2025 - RPS: 984 - NFSe: 3217</v>
      </c>
      <c r="H3874" t="str">
        <f t="shared" si="1851"/>
        <v>16/07/2025</v>
      </c>
      <c r="I3874" t="str">
        <f t="shared" si="1852"/>
        <v>08/07/2025</v>
      </c>
      <c r="J3874" t="str">
        <f t="shared" si="1853"/>
        <v>16/07/2025</v>
      </c>
      <c r="M3874">
        <v>303</v>
      </c>
      <c r="N3874" t="str">
        <f t="shared" si="1854"/>
        <v>RECEITAS COM ENTREGAS</v>
      </c>
      <c r="P3874">
        <v>144.83000000000001</v>
      </c>
      <c r="Q3874" t="str">
        <f>"FARMÁCIA INDIANA LJ 169 (10073)"</f>
        <v>FARMÁCIA INDIANA LJ 169 (10073)</v>
      </c>
      <c r="R3874" t="str">
        <f t="shared" si="1855"/>
        <v>RECEITAS COM ENTREGAS (303)</v>
      </c>
      <c r="S3874">
        <v>2068</v>
      </c>
      <c r="T3874">
        <v>1548</v>
      </c>
      <c r="U3874" t="s">
        <v>19</v>
      </c>
    </row>
    <row r="3875" spans="1:21">
      <c r="A3875" t="str">
        <f t="shared" si="1849"/>
        <v>16/07/2025</v>
      </c>
      <c r="B3875" t="str">
        <f t="shared" si="1847"/>
        <v>ENTRADA</v>
      </c>
      <c r="C3875" t="str">
        <f t="shared" si="1850"/>
        <v>NFSE</v>
      </c>
      <c r="D3875" t="str">
        <f t="shared" si="1856"/>
        <v>3217</v>
      </c>
      <c r="E3875" t="str">
        <f t="shared" si="1848"/>
        <v>COM</v>
      </c>
      <c r="F3875" t="str">
        <f t="shared" si="1857"/>
        <v>FARMÁCIA INDIANA LJ 30 (10127)</v>
      </c>
      <c r="G3875" t="str">
        <f t="shared" si="1858"/>
        <v>Serv.Prest. 30/06/2025 a 06/07/2025 - RPS: 984 - NFSe: 3217</v>
      </c>
      <c r="H3875" t="str">
        <f t="shared" si="1851"/>
        <v>16/07/2025</v>
      </c>
      <c r="I3875" t="str">
        <f t="shared" si="1852"/>
        <v>08/07/2025</v>
      </c>
      <c r="J3875" t="str">
        <f t="shared" si="1853"/>
        <v>16/07/2025</v>
      </c>
      <c r="M3875">
        <v>303</v>
      </c>
      <c r="N3875" t="str">
        <f t="shared" si="1854"/>
        <v>RECEITAS COM ENTREGAS</v>
      </c>
      <c r="P3875">
        <v>191.81</v>
      </c>
      <c r="Q3875" t="str">
        <f>"FARMÁCIA INDIANA LJ 173 (10075)"</f>
        <v>FARMÁCIA INDIANA LJ 173 (10075)</v>
      </c>
      <c r="R3875" t="str">
        <f t="shared" si="1855"/>
        <v>RECEITAS COM ENTREGAS (303)</v>
      </c>
      <c r="S3875">
        <v>2068</v>
      </c>
      <c r="T3875">
        <v>1548</v>
      </c>
      <c r="U3875" t="s">
        <v>19</v>
      </c>
    </row>
    <row r="3876" spans="1:21">
      <c r="A3876" t="str">
        <f t="shared" si="1849"/>
        <v>16/07/2025</v>
      </c>
      <c r="B3876" t="str">
        <f t="shared" si="1847"/>
        <v>ENTRADA</v>
      </c>
      <c r="C3876" t="str">
        <f t="shared" si="1850"/>
        <v>NFSE</v>
      </c>
      <c r="D3876" t="str">
        <f t="shared" si="1856"/>
        <v>3217</v>
      </c>
      <c r="E3876" t="str">
        <f t="shared" si="1848"/>
        <v>COM</v>
      </c>
      <c r="F3876" t="str">
        <f t="shared" si="1857"/>
        <v>FARMÁCIA INDIANA LJ 30 (10127)</v>
      </c>
      <c r="G3876" t="str">
        <f t="shared" si="1858"/>
        <v>Serv.Prest. 30/06/2025 a 06/07/2025 - RPS: 984 - NFSe: 3217</v>
      </c>
      <c r="H3876" t="str">
        <f t="shared" si="1851"/>
        <v>16/07/2025</v>
      </c>
      <c r="I3876" t="str">
        <f t="shared" si="1852"/>
        <v>08/07/2025</v>
      </c>
      <c r="J3876" t="str">
        <f t="shared" si="1853"/>
        <v>16/07/2025</v>
      </c>
      <c r="M3876">
        <v>303</v>
      </c>
      <c r="N3876" t="str">
        <f t="shared" si="1854"/>
        <v>RECEITAS COM ENTREGAS</v>
      </c>
      <c r="P3876">
        <v>172.08</v>
      </c>
      <c r="Q3876" t="str">
        <f>"FARMÁCIA INDIANA LJ 200 (10155)"</f>
        <v>FARMÁCIA INDIANA LJ 200 (10155)</v>
      </c>
      <c r="R3876" t="str">
        <f t="shared" si="1855"/>
        <v>RECEITAS COM ENTREGAS (303)</v>
      </c>
      <c r="S3876">
        <v>2068</v>
      </c>
      <c r="T3876">
        <v>1548</v>
      </c>
      <c r="U3876" t="s">
        <v>19</v>
      </c>
    </row>
    <row r="3877" spans="1:21">
      <c r="A3877" t="str">
        <f t="shared" si="1849"/>
        <v>16/07/2025</v>
      </c>
      <c r="B3877" t="str">
        <f t="shared" si="1847"/>
        <v>ENTRADA</v>
      </c>
      <c r="C3877" t="str">
        <f t="shared" si="1850"/>
        <v>NFSE</v>
      </c>
      <c r="D3877" t="str">
        <f t="shared" ref="D3877:D3885" si="1859">"3218"</f>
        <v>3218</v>
      </c>
      <c r="E3877" t="str">
        <f t="shared" si="1848"/>
        <v>COM</v>
      </c>
      <c r="F3877" t="str">
        <f t="shared" ref="F3877:F3885" si="1860">"FARMÁCIA INDIANA LJ 85 (10128)"</f>
        <v>FARMÁCIA INDIANA LJ 85 (10128)</v>
      </c>
      <c r="G3877" t="str">
        <f t="shared" ref="G3877:G3885" si="1861">"Serv.Prest. 30/06/2025 a 06/07/2025 - RPS: 985 - NFSe: 3218"</f>
        <v>Serv.Prest. 30/06/2025 a 06/07/2025 - RPS: 985 - NFSe: 3218</v>
      </c>
      <c r="H3877" t="str">
        <f t="shared" si="1851"/>
        <v>16/07/2025</v>
      </c>
      <c r="I3877" t="str">
        <f t="shared" si="1852"/>
        <v>08/07/2025</v>
      </c>
      <c r="J3877" t="str">
        <f t="shared" si="1853"/>
        <v>16/07/2025</v>
      </c>
      <c r="K3877">
        <v>1246.7</v>
      </c>
      <c r="L3877">
        <v>1246.7</v>
      </c>
      <c r="M3877">
        <v>303</v>
      </c>
      <c r="N3877" t="str">
        <f t="shared" si="1854"/>
        <v>RECEITAS COM ENTREGAS</v>
      </c>
      <c r="O3877">
        <v>1246.7</v>
      </c>
      <c r="R3877" t="str">
        <f t="shared" si="1855"/>
        <v>RECEITAS COM ENTREGAS (303)</v>
      </c>
      <c r="S3877">
        <v>2069</v>
      </c>
      <c r="T3877">
        <v>1549</v>
      </c>
      <c r="U3877" t="s">
        <v>19</v>
      </c>
    </row>
    <row r="3878" spans="1:21">
      <c r="A3878" t="str">
        <f t="shared" si="1849"/>
        <v>16/07/2025</v>
      </c>
      <c r="B3878" t="str">
        <f t="shared" si="1847"/>
        <v>ENTRADA</v>
      </c>
      <c r="C3878" t="str">
        <f t="shared" si="1850"/>
        <v>NFSE</v>
      </c>
      <c r="D3878" t="str">
        <f t="shared" si="1859"/>
        <v>3218</v>
      </c>
      <c r="E3878" t="str">
        <f t="shared" si="1848"/>
        <v>COM</v>
      </c>
      <c r="F3878" t="str">
        <f t="shared" si="1860"/>
        <v>FARMÁCIA INDIANA LJ 85 (10128)</v>
      </c>
      <c r="G3878" t="str">
        <f t="shared" si="1861"/>
        <v>Serv.Prest. 30/06/2025 a 06/07/2025 - RPS: 985 - NFSe: 3218</v>
      </c>
      <c r="H3878" t="str">
        <f t="shared" si="1851"/>
        <v>16/07/2025</v>
      </c>
      <c r="I3878" t="str">
        <f t="shared" si="1852"/>
        <v>08/07/2025</v>
      </c>
      <c r="J3878" t="str">
        <f t="shared" si="1853"/>
        <v>16/07/2025</v>
      </c>
      <c r="M3878">
        <v>303</v>
      </c>
      <c r="N3878" t="str">
        <f t="shared" si="1854"/>
        <v>RECEITAS COM ENTREGAS</v>
      </c>
      <c r="P3878">
        <v>161.93</v>
      </c>
      <c r="Q3878" t="str">
        <f>"FARMÁCIA INDIANA LJ 119 (10053)"</f>
        <v>FARMÁCIA INDIANA LJ 119 (10053)</v>
      </c>
      <c r="R3878" t="str">
        <f t="shared" si="1855"/>
        <v>RECEITAS COM ENTREGAS (303)</v>
      </c>
      <c r="S3878">
        <v>2069</v>
      </c>
      <c r="T3878">
        <v>1549</v>
      </c>
      <c r="U3878" t="s">
        <v>19</v>
      </c>
    </row>
    <row r="3879" spans="1:21">
      <c r="A3879" t="str">
        <f t="shared" si="1849"/>
        <v>16/07/2025</v>
      </c>
      <c r="B3879" t="str">
        <f t="shared" si="1847"/>
        <v>ENTRADA</v>
      </c>
      <c r="C3879" t="str">
        <f t="shared" si="1850"/>
        <v>NFSE</v>
      </c>
      <c r="D3879" t="str">
        <f t="shared" si="1859"/>
        <v>3218</v>
      </c>
      <c r="E3879" t="str">
        <f t="shared" si="1848"/>
        <v>COM</v>
      </c>
      <c r="F3879" t="str">
        <f t="shared" si="1860"/>
        <v>FARMÁCIA INDIANA LJ 85 (10128)</v>
      </c>
      <c r="G3879" t="str">
        <f t="shared" si="1861"/>
        <v>Serv.Prest. 30/06/2025 a 06/07/2025 - RPS: 985 - NFSe: 3218</v>
      </c>
      <c r="H3879" t="str">
        <f t="shared" si="1851"/>
        <v>16/07/2025</v>
      </c>
      <c r="I3879" t="str">
        <f t="shared" si="1852"/>
        <v>08/07/2025</v>
      </c>
      <c r="J3879" t="str">
        <f t="shared" si="1853"/>
        <v>16/07/2025</v>
      </c>
      <c r="M3879">
        <v>303</v>
      </c>
      <c r="N3879" t="str">
        <f t="shared" si="1854"/>
        <v>RECEITAS COM ENTREGAS</v>
      </c>
      <c r="P3879">
        <v>221.54</v>
      </c>
      <c r="Q3879" t="str">
        <f>"FARMÁCIA INDIANA LJ 163 (10072)"</f>
        <v>FARMÁCIA INDIANA LJ 163 (10072)</v>
      </c>
      <c r="R3879" t="str">
        <f t="shared" si="1855"/>
        <v>RECEITAS COM ENTREGAS (303)</v>
      </c>
      <c r="S3879">
        <v>2069</v>
      </c>
      <c r="T3879">
        <v>1549</v>
      </c>
      <c r="U3879" t="s">
        <v>19</v>
      </c>
    </row>
    <row r="3880" spans="1:21">
      <c r="A3880" t="str">
        <f t="shared" si="1849"/>
        <v>16/07/2025</v>
      </c>
      <c r="B3880" t="str">
        <f t="shared" si="1847"/>
        <v>ENTRADA</v>
      </c>
      <c r="C3880" t="str">
        <f t="shared" si="1850"/>
        <v>NFSE</v>
      </c>
      <c r="D3880" t="str">
        <f t="shared" si="1859"/>
        <v>3218</v>
      </c>
      <c r="E3880" t="str">
        <f t="shared" si="1848"/>
        <v>COM</v>
      </c>
      <c r="F3880" t="str">
        <f t="shared" si="1860"/>
        <v>FARMÁCIA INDIANA LJ 85 (10128)</v>
      </c>
      <c r="G3880" t="str">
        <f t="shared" si="1861"/>
        <v>Serv.Prest. 30/06/2025 a 06/07/2025 - RPS: 985 - NFSe: 3218</v>
      </c>
      <c r="H3880" t="str">
        <f t="shared" si="1851"/>
        <v>16/07/2025</v>
      </c>
      <c r="I3880" t="str">
        <f t="shared" si="1852"/>
        <v>08/07/2025</v>
      </c>
      <c r="J3880" t="str">
        <f t="shared" si="1853"/>
        <v>16/07/2025</v>
      </c>
      <c r="M3880">
        <v>303</v>
      </c>
      <c r="N3880" t="str">
        <f t="shared" si="1854"/>
        <v>RECEITAS COM ENTREGAS</v>
      </c>
      <c r="P3880">
        <v>168.43</v>
      </c>
      <c r="Q3880" t="str">
        <f>"FARMÁCIA INDIANA LJ 181 (10078)"</f>
        <v>FARMÁCIA INDIANA LJ 181 (10078)</v>
      </c>
      <c r="R3880" t="str">
        <f t="shared" si="1855"/>
        <v>RECEITAS COM ENTREGAS (303)</v>
      </c>
      <c r="S3880">
        <v>2069</v>
      </c>
      <c r="T3880">
        <v>1549</v>
      </c>
      <c r="U3880" t="s">
        <v>19</v>
      </c>
    </row>
    <row r="3881" spans="1:21">
      <c r="A3881" t="str">
        <f t="shared" si="1849"/>
        <v>16/07/2025</v>
      </c>
      <c r="B3881" t="str">
        <f t="shared" si="1847"/>
        <v>ENTRADA</v>
      </c>
      <c r="C3881" t="str">
        <f t="shared" si="1850"/>
        <v>NFSE</v>
      </c>
      <c r="D3881" t="str">
        <f t="shared" si="1859"/>
        <v>3218</v>
      </c>
      <c r="E3881" t="str">
        <f t="shared" si="1848"/>
        <v>COM</v>
      </c>
      <c r="F3881" t="str">
        <f t="shared" si="1860"/>
        <v>FARMÁCIA INDIANA LJ 85 (10128)</v>
      </c>
      <c r="G3881" t="str">
        <f t="shared" si="1861"/>
        <v>Serv.Prest. 30/06/2025 a 06/07/2025 - RPS: 985 - NFSe: 3218</v>
      </c>
      <c r="H3881" t="str">
        <f t="shared" si="1851"/>
        <v>16/07/2025</v>
      </c>
      <c r="I3881" t="str">
        <f t="shared" si="1852"/>
        <v>08/07/2025</v>
      </c>
      <c r="J3881" t="str">
        <f t="shared" si="1853"/>
        <v>16/07/2025</v>
      </c>
      <c r="M3881">
        <v>303</v>
      </c>
      <c r="N3881" t="str">
        <f t="shared" si="1854"/>
        <v>RECEITAS COM ENTREGAS</v>
      </c>
      <c r="P3881">
        <v>161.69999999999999</v>
      </c>
      <c r="Q3881" t="str">
        <f>"FARMÁCIA INDIANA LJ 221 (10093)"</f>
        <v>FARMÁCIA INDIANA LJ 221 (10093)</v>
      </c>
      <c r="R3881" t="str">
        <f t="shared" si="1855"/>
        <v>RECEITAS COM ENTREGAS (303)</v>
      </c>
      <c r="S3881">
        <v>2069</v>
      </c>
      <c r="T3881">
        <v>1549</v>
      </c>
      <c r="U3881" t="s">
        <v>19</v>
      </c>
    </row>
    <row r="3882" spans="1:21">
      <c r="A3882" t="str">
        <f t="shared" si="1849"/>
        <v>16/07/2025</v>
      </c>
      <c r="B3882" t="str">
        <f t="shared" si="1847"/>
        <v>ENTRADA</v>
      </c>
      <c r="C3882" t="str">
        <f t="shared" si="1850"/>
        <v>NFSE</v>
      </c>
      <c r="D3882" t="str">
        <f t="shared" si="1859"/>
        <v>3218</v>
      </c>
      <c r="E3882" t="str">
        <f t="shared" si="1848"/>
        <v>COM</v>
      </c>
      <c r="F3882" t="str">
        <f t="shared" si="1860"/>
        <v>FARMÁCIA INDIANA LJ 85 (10128)</v>
      </c>
      <c r="G3882" t="str">
        <f t="shared" si="1861"/>
        <v>Serv.Prest. 30/06/2025 a 06/07/2025 - RPS: 985 - NFSe: 3218</v>
      </c>
      <c r="H3882" t="str">
        <f t="shared" si="1851"/>
        <v>16/07/2025</v>
      </c>
      <c r="I3882" t="str">
        <f t="shared" si="1852"/>
        <v>08/07/2025</v>
      </c>
      <c r="J3882" t="str">
        <f t="shared" si="1853"/>
        <v>16/07/2025</v>
      </c>
      <c r="M3882">
        <v>303</v>
      </c>
      <c r="N3882" t="str">
        <f t="shared" si="1854"/>
        <v>RECEITAS COM ENTREGAS</v>
      </c>
      <c r="P3882">
        <v>188.38</v>
      </c>
      <c r="Q3882" t="str">
        <f>"FARMÁCIA INDIANA LJ 243 (10142)"</f>
        <v>FARMÁCIA INDIANA LJ 243 (10142)</v>
      </c>
      <c r="R3882" t="str">
        <f t="shared" si="1855"/>
        <v>RECEITAS COM ENTREGAS (303)</v>
      </c>
      <c r="S3882">
        <v>2069</v>
      </c>
      <c r="T3882">
        <v>1549</v>
      </c>
      <c r="U3882" t="s">
        <v>19</v>
      </c>
    </row>
    <row r="3883" spans="1:21">
      <c r="A3883" t="str">
        <f t="shared" ref="A3883:A3909" si="1862">("16/07/2025")</f>
        <v>16/07/2025</v>
      </c>
      <c r="B3883" t="str">
        <f t="shared" si="1847"/>
        <v>ENTRADA</v>
      </c>
      <c r="C3883" t="str">
        <f t="shared" ref="C3883:C3901" si="1863">"NFSE"</f>
        <v>NFSE</v>
      </c>
      <c r="D3883" t="str">
        <f t="shared" si="1859"/>
        <v>3218</v>
      </c>
      <c r="E3883" t="str">
        <f t="shared" si="1848"/>
        <v>COM</v>
      </c>
      <c r="F3883" t="str">
        <f t="shared" si="1860"/>
        <v>FARMÁCIA INDIANA LJ 85 (10128)</v>
      </c>
      <c r="G3883" t="str">
        <f t="shared" si="1861"/>
        <v>Serv.Prest. 30/06/2025 a 06/07/2025 - RPS: 985 - NFSe: 3218</v>
      </c>
      <c r="H3883" t="str">
        <f t="shared" ref="H3883:H3914" si="1864">("16/07/2025")</f>
        <v>16/07/2025</v>
      </c>
      <c r="I3883" t="str">
        <f t="shared" si="1852"/>
        <v>08/07/2025</v>
      </c>
      <c r="J3883" t="str">
        <f t="shared" ref="J3883:J3909" si="1865">("16/07/2025")</f>
        <v>16/07/2025</v>
      </c>
      <c r="M3883">
        <v>303</v>
      </c>
      <c r="N3883" t="str">
        <f t="shared" ref="N3883:N3901" si="1866">"RECEITAS COM ENTREGAS"</f>
        <v>RECEITAS COM ENTREGAS</v>
      </c>
      <c r="P3883">
        <v>86.15</v>
      </c>
      <c r="Q3883" t="str">
        <f>"FARMÁCIA INDIANA LJ 211 (10168)"</f>
        <v>FARMÁCIA INDIANA LJ 211 (10168)</v>
      </c>
      <c r="R3883" t="str">
        <f t="shared" ref="R3883:R3901" si="1867">"RECEITAS COM ENTREGAS (303)"</f>
        <v>RECEITAS COM ENTREGAS (303)</v>
      </c>
      <c r="S3883">
        <v>2069</v>
      </c>
      <c r="T3883">
        <v>1549</v>
      </c>
      <c r="U3883" t="s">
        <v>19</v>
      </c>
    </row>
    <row r="3884" spans="1:21">
      <c r="A3884" t="str">
        <f t="shared" si="1862"/>
        <v>16/07/2025</v>
      </c>
      <c r="B3884" t="str">
        <f t="shared" ref="B3884:B3901" si="1868">"ENTRADA"</f>
        <v>ENTRADA</v>
      </c>
      <c r="C3884" t="str">
        <f t="shared" si="1863"/>
        <v>NFSE</v>
      </c>
      <c r="D3884" t="str">
        <f t="shared" si="1859"/>
        <v>3218</v>
      </c>
      <c r="E3884" t="str">
        <f t="shared" si="1848"/>
        <v>COM</v>
      </c>
      <c r="F3884" t="str">
        <f t="shared" si="1860"/>
        <v>FARMÁCIA INDIANA LJ 85 (10128)</v>
      </c>
      <c r="G3884" t="str">
        <f t="shared" si="1861"/>
        <v>Serv.Prest. 30/06/2025 a 06/07/2025 - RPS: 985 - NFSe: 3218</v>
      </c>
      <c r="H3884" t="str">
        <f t="shared" si="1864"/>
        <v>16/07/2025</v>
      </c>
      <c r="I3884" t="str">
        <f t="shared" si="1852"/>
        <v>08/07/2025</v>
      </c>
      <c r="J3884" t="str">
        <f t="shared" si="1865"/>
        <v>16/07/2025</v>
      </c>
      <c r="M3884">
        <v>303</v>
      </c>
      <c r="N3884" t="str">
        <f t="shared" si="1866"/>
        <v>RECEITAS COM ENTREGAS</v>
      </c>
      <c r="P3884">
        <v>86.15</v>
      </c>
      <c r="Q3884" t="str">
        <f>"FARMÁCIA INDIANA LJ 236 (10169)"</f>
        <v>FARMÁCIA INDIANA LJ 236 (10169)</v>
      </c>
      <c r="R3884" t="str">
        <f t="shared" si="1867"/>
        <v>RECEITAS COM ENTREGAS (303)</v>
      </c>
      <c r="S3884">
        <v>2069</v>
      </c>
      <c r="T3884">
        <v>1549</v>
      </c>
      <c r="U3884" t="s">
        <v>19</v>
      </c>
    </row>
    <row r="3885" spans="1:21">
      <c r="A3885" t="str">
        <f t="shared" si="1862"/>
        <v>16/07/2025</v>
      </c>
      <c r="B3885" t="str">
        <f t="shared" si="1868"/>
        <v>ENTRADA</v>
      </c>
      <c r="C3885" t="str">
        <f t="shared" si="1863"/>
        <v>NFSE</v>
      </c>
      <c r="D3885" t="str">
        <f t="shared" si="1859"/>
        <v>3218</v>
      </c>
      <c r="E3885" t="str">
        <f t="shared" si="1848"/>
        <v>COM</v>
      </c>
      <c r="F3885" t="str">
        <f t="shared" si="1860"/>
        <v>FARMÁCIA INDIANA LJ 85 (10128)</v>
      </c>
      <c r="G3885" t="str">
        <f t="shared" si="1861"/>
        <v>Serv.Prest. 30/06/2025 a 06/07/2025 - RPS: 985 - NFSe: 3218</v>
      </c>
      <c r="H3885" t="str">
        <f t="shared" si="1864"/>
        <v>16/07/2025</v>
      </c>
      <c r="I3885" t="str">
        <f t="shared" si="1852"/>
        <v>08/07/2025</v>
      </c>
      <c r="J3885" t="str">
        <f t="shared" si="1865"/>
        <v>16/07/2025</v>
      </c>
      <c r="M3885">
        <v>303</v>
      </c>
      <c r="N3885" t="str">
        <f t="shared" si="1866"/>
        <v>RECEITAS COM ENTREGAS</v>
      </c>
      <c r="P3885">
        <v>172.42</v>
      </c>
      <c r="Q3885" t="str">
        <f>"FARMÁCIA INDIANA LJ 188 (10176)"</f>
        <v>FARMÁCIA INDIANA LJ 188 (10176)</v>
      </c>
      <c r="R3885" t="str">
        <f t="shared" si="1867"/>
        <v>RECEITAS COM ENTREGAS (303)</v>
      </c>
      <c r="S3885">
        <v>2069</v>
      </c>
      <c r="T3885">
        <v>1549</v>
      </c>
      <c r="U3885" t="s">
        <v>19</v>
      </c>
    </row>
    <row r="3886" spans="1:21">
      <c r="A3886" t="str">
        <f t="shared" si="1862"/>
        <v>16/07/2025</v>
      </c>
      <c r="B3886" t="str">
        <f t="shared" si="1868"/>
        <v>ENTRADA</v>
      </c>
      <c r="C3886" t="str">
        <f t="shared" si="1863"/>
        <v>NFSE</v>
      </c>
      <c r="D3886" t="str">
        <f>"3227"</f>
        <v>3227</v>
      </c>
      <c r="E3886" t="str">
        <f t="shared" si="1848"/>
        <v>COM</v>
      </c>
      <c r="F3886" t="str">
        <f>"DROGARIA AGAPEAMA (10167)"</f>
        <v>DROGARIA AGAPEAMA (10167)</v>
      </c>
      <c r="G3886" t="str">
        <f>"Serv.Prest. 07/07/2025 a 13/07/2025 - RPS: 994 - NFSe: 3227"</f>
        <v>Serv.Prest. 07/07/2025 a 13/07/2025 - RPS: 994 - NFSe: 3227</v>
      </c>
      <c r="H3886" t="str">
        <f t="shared" si="1864"/>
        <v>16/07/2025</v>
      </c>
      <c r="I3886" t="str">
        <f t="shared" ref="I3886:I3899" si="1869">("14/07/2025")</f>
        <v>14/07/2025</v>
      </c>
      <c r="J3886" t="str">
        <f t="shared" si="1865"/>
        <v>16/07/2025</v>
      </c>
      <c r="K3886">
        <v>677.12</v>
      </c>
      <c r="L3886">
        <v>677.12</v>
      </c>
      <c r="M3886">
        <v>303</v>
      </c>
      <c r="N3886" t="str">
        <f t="shared" si="1866"/>
        <v>RECEITAS COM ENTREGAS</v>
      </c>
      <c r="O3886">
        <v>677.12</v>
      </c>
      <c r="R3886" t="str">
        <f t="shared" si="1867"/>
        <v>RECEITAS COM ENTREGAS (303)</v>
      </c>
      <c r="S3886">
        <v>2070</v>
      </c>
      <c r="T3886">
        <v>1565</v>
      </c>
      <c r="U3886" t="s">
        <v>19</v>
      </c>
    </row>
    <row r="3887" spans="1:21">
      <c r="A3887" t="str">
        <f t="shared" si="1862"/>
        <v>16/07/2025</v>
      </c>
      <c r="B3887" t="str">
        <f t="shared" si="1868"/>
        <v>ENTRADA</v>
      </c>
      <c r="C3887" t="str">
        <f t="shared" si="1863"/>
        <v>NFSE</v>
      </c>
      <c r="D3887" t="str">
        <f>"3227"</f>
        <v>3227</v>
      </c>
      <c r="E3887" t="str">
        <f t="shared" ref="E3887:E3950" si="1870">"COM"</f>
        <v>COM</v>
      </c>
      <c r="F3887" t="str">
        <f>"DROGARIA AGAPEAMA (10167)"</f>
        <v>DROGARIA AGAPEAMA (10167)</v>
      </c>
      <c r="G3887" t="str">
        <f>"Serv.Prest. 07/07/2025 a 13/07/2025 - RPS: 994 - NFSe: 3227"</f>
        <v>Serv.Prest. 07/07/2025 a 13/07/2025 - RPS: 994 - NFSe: 3227</v>
      </c>
      <c r="H3887" t="str">
        <f t="shared" si="1864"/>
        <v>16/07/2025</v>
      </c>
      <c r="I3887" t="str">
        <f t="shared" si="1869"/>
        <v>14/07/2025</v>
      </c>
      <c r="J3887" t="str">
        <f t="shared" si="1865"/>
        <v>16/07/2025</v>
      </c>
      <c r="M3887">
        <v>303</v>
      </c>
      <c r="N3887" t="str">
        <f t="shared" si="1866"/>
        <v>RECEITAS COM ENTREGAS</v>
      </c>
      <c r="P3887">
        <v>677.12</v>
      </c>
      <c r="Q3887" t="str">
        <f>"DROGARIA AGAPEAMA (10167)"</f>
        <v>DROGARIA AGAPEAMA (10167)</v>
      </c>
      <c r="R3887" t="str">
        <f t="shared" si="1867"/>
        <v>RECEITAS COM ENTREGAS (303)</v>
      </c>
      <c r="S3887">
        <v>2070</v>
      </c>
      <c r="T3887">
        <v>1565</v>
      </c>
      <c r="U3887" t="s">
        <v>19</v>
      </c>
    </row>
    <row r="3888" spans="1:21">
      <c r="A3888" t="str">
        <f t="shared" si="1862"/>
        <v>16/07/2025</v>
      </c>
      <c r="B3888" t="str">
        <f t="shared" si="1868"/>
        <v>ENTRADA</v>
      </c>
      <c r="C3888" t="str">
        <f t="shared" si="1863"/>
        <v>NFSE</v>
      </c>
      <c r="D3888" t="str">
        <f>"3228"</f>
        <v>3228</v>
      </c>
      <c r="E3888" t="str">
        <f t="shared" si="1870"/>
        <v>COM</v>
      </c>
      <c r="F3888" t="str">
        <f>"DROGARIA ANA VISCONDE DO RIO BRANCO (10182)"</f>
        <v>DROGARIA ANA VISCONDE DO RIO BRANCO (10182)</v>
      </c>
      <c r="G3888" t="str">
        <f>"Serv.Prest. 07/07/2025 a 13/07/2025 - RPS: 995 - NFSe: 3228"</f>
        <v>Serv.Prest. 07/07/2025 a 13/07/2025 - RPS: 995 - NFSe: 3228</v>
      </c>
      <c r="H3888" t="str">
        <f t="shared" si="1864"/>
        <v>16/07/2025</v>
      </c>
      <c r="I3888" t="str">
        <f t="shared" si="1869"/>
        <v>14/07/2025</v>
      </c>
      <c r="J3888" t="str">
        <f t="shared" si="1865"/>
        <v>16/07/2025</v>
      </c>
      <c r="K3888">
        <v>792.45</v>
      </c>
      <c r="L3888">
        <v>792.45</v>
      </c>
      <c r="M3888">
        <v>303</v>
      </c>
      <c r="N3888" t="str">
        <f t="shared" si="1866"/>
        <v>RECEITAS COM ENTREGAS</v>
      </c>
      <c r="O3888">
        <v>792.45</v>
      </c>
      <c r="R3888" t="str">
        <f t="shared" si="1867"/>
        <v>RECEITAS COM ENTREGAS (303)</v>
      </c>
      <c r="S3888">
        <v>2071</v>
      </c>
      <c r="T3888">
        <v>1566</v>
      </c>
      <c r="U3888" t="s">
        <v>19</v>
      </c>
    </row>
    <row r="3889" spans="1:21">
      <c r="A3889" t="str">
        <f t="shared" si="1862"/>
        <v>16/07/2025</v>
      </c>
      <c r="B3889" t="str">
        <f t="shared" si="1868"/>
        <v>ENTRADA</v>
      </c>
      <c r="C3889" t="str">
        <f t="shared" si="1863"/>
        <v>NFSE</v>
      </c>
      <c r="D3889" t="str">
        <f>"3228"</f>
        <v>3228</v>
      </c>
      <c r="E3889" t="str">
        <f t="shared" si="1870"/>
        <v>COM</v>
      </c>
      <c r="F3889" t="str">
        <f>"DROGARIA ANA VISCONDE DO RIO BRANCO (10182)"</f>
        <v>DROGARIA ANA VISCONDE DO RIO BRANCO (10182)</v>
      </c>
      <c r="G3889" t="str">
        <f>"Serv.Prest. 07/07/2025 a 13/07/2025 - RPS: 995 - NFSe: 3228"</f>
        <v>Serv.Prest. 07/07/2025 a 13/07/2025 - RPS: 995 - NFSe: 3228</v>
      </c>
      <c r="H3889" t="str">
        <f t="shared" si="1864"/>
        <v>16/07/2025</v>
      </c>
      <c r="I3889" t="str">
        <f t="shared" si="1869"/>
        <v>14/07/2025</v>
      </c>
      <c r="J3889" t="str">
        <f t="shared" si="1865"/>
        <v>16/07/2025</v>
      </c>
      <c r="M3889">
        <v>303</v>
      </c>
      <c r="N3889" t="str">
        <f t="shared" si="1866"/>
        <v>RECEITAS COM ENTREGAS</v>
      </c>
      <c r="P3889">
        <v>792.45</v>
      </c>
      <c r="Q3889" t="str">
        <f>"DROGARIA ANA VISCONDE DO RIO BRANCO (10182)"</f>
        <v>DROGARIA ANA VISCONDE DO RIO BRANCO (10182)</v>
      </c>
      <c r="R3889" t="str">
        <f t="shared" si="1867"/>
        <v>RECEITAS COM ENTREGAS (303)</v>
      </c>
      <c r="S3889">
        <v>2071</v>
      </c>
      <c r="T3889">
        <v>1566</v>
      </c>
      <c r="U3889" t="s">
        <v>19</v>
      </c>
    </row>
    <row r="3890" spans="1:21">
      <c r="A3890" t="str">
        <f t="shared" si="1862"/>
        <v>16/07/2025</v>
      </c>
      <c r="B3890" t="str">
        <f t="shared" si="1868"/>
        <v>ENTRADA</v>
      </c>
      <c r="C3890" t="str">
        <f t="shared" si="1863"/>
        <v>NFSE</v>
      </c>
      <c r="D3890" t="str">
        <f>"3229"</f>
        <v>3229</v>
      </c>
      <c r="E3890" t="str">
        <f t="shared" si="1870"/>
        <v>COM</v>
      </c>
      <c r="F3890" t="str">
        <f>"DROGARIA MORENO LTDA (10171)"</f>
        <v>DROGARIA MORENO LTDA (10171)</v>
      </c>
      <c r="G3890" t="str">
        <f>"Serv.Prest. 07/07/2025 a 13/07/2025 - RPS: 996 - NFSe: 3229"</f>
        <v>Serv.Prest. 07/07/2025 a 13/07/2025 - RPS: 996 - NFSe: 3229</v>
      </c>
      <c r="H3890" t="str">
        <f t="shared" si="1864"/>
        <v>16/07/2025</v>
      </c>
      <c r="I3890" t="str">
        <f t="shared" si="1869"/>
        <v>14/07/2025</v>
      </c>
      <c r="J3890" t="str">
        <f t="shared" si="1865"/>
        <v>16/07/2025</v>
      </c>
      <c r="K3890">
        <v>430.2</v>
      </c>
      <c r="L3890">
        <v>430.2</v>
      </c>
      <c r="M3890">
        <v>303</v>
      </c>
      <c r="N3890" t="str">
        <f t="shared" si="1866"/>
        <v>RECEITAS COM ENTREGAS</v>
      </c>
      <c r="O3890">
        <v>430.2</v>
      </c>
      <c r="R3890" t="str">
        <f t="shared" si="1867"/>
        <v>RECEITAS COM ENTREGAS (303)</v>
      </c>
      <c r="S3890">
        <v>2072</v>
      </c>
      <c r="T3890">
        <v>1567</v>
      </c>
      <c r="U3890" t="s">
        <v>19</v>
      </c>
    </row>
    <row r="3891" spans="1:21">
      <c r="A3891" t="str">
        <f t="shared" si="1862"/>
        <v>16/07/2025</v>
      </c>
      <c r="B3891" t="str">
        <f t="shared" si="1868"/>
        <v>ENTRADA</v>
      </c>
      <c r="C3891" t="str">
        <f t="shared" si="1863"/>
        <v>NFSE</v>
      </c>
      <c r="D3891" t="str">
        <f>"3229"</f>
        <v>3229</v>
      </c>
      <c r="E3891" t="str">
        <f t="shared" si="1870"/>
        <v>COM</v>
      </c>
      <c r="F3891" t="str">
        <f>"DROGARIA MORENO LTDA (10171)"</f>
        <v>DROGARIA MORENO LTDA (10171)</v>
      </c>
      <c r="G3891" t="str">
        <f>"Serv.Prest. 07/07/2025 a 13/07/2025 - RPS: 996 - NFSe: 3229"</f>
        <v>Serv.Prest. 07/07/2025 a 13/07/2025 - RPS: 996 - NFSe: 3229</v>
      </c>
      <c r="H3891" t="str">
        <f t="shared" si="1864"/>
        <v>16/07/2025</v>
      </c>
      <c r="I3891" t="str">
        <f t="shared" si="1869"/>
        <v>14/07/2025</v>
      </c>
      <c r="J3891" t="str">
        <f t="shared" si="1865"/>
        <v>16/07/2025</v>
      </c>
      <c r="M3891">
        <v>303</v>
      </c>
      <c r="N3891" t="str">
        <f t="shared" si="1866"/>
        <v>RECEITAS COM ENTREGAS</v>
      </c>
      <c r="P3891">
        <v>430.2</v>
      </c>
      <c r="Q3891" t="str">
        <f>"DROGARIA MORENO LTDA (10171)"</f>
        <v>DROGARIA MORENO LTDA (10171)</v>
      </c>
      <c r="R3891" t="str">
        <f t="shared" si="1867"/>
        <v>RECEITAS COM ENTREGAS (303)</v>
      </c>
      <c r="S3891">
        <v>2072</v>
      </c>
      <c r="T3891">
        <v>1567</v>
      </c>
      <c r="U3891" t="s">
        <v>19</v>
      </c>
    </row>
    <row r="3892" spans="1:21">
      <c r="A3892" t="str">
        <f t="shared" si="1862"/>
        <v>16/07/2025</v>
      </c>
      <c r="B3892" t="str">
        <f t="shared" si="1868"/>
        <v>ENTRADA</v>
      </c>
      <c r="C3892" t="str">
        <f t="shared" si="1863"/>
        <v>NFSE</v>
      </c>
      <c r="D3892" t="str">
        <f>"3230"</f>
        <v>3230</v>
      </c>
      <c r="E3892" t="str">
        <f t="shared" si="1870"/>
        <v>COM</v>
      </c>
      <c r="F3892" t="str">
        <f>"DROGARIA MEDIC CENTER LTDA (10172)"</f>
        <v>DROGARIA MEDIC CENTER LTDA (10172)</v>
      </c>
      <c r="G3892" t="str">
        <f>"Serv.Prest. 07/07/2025 a 13/07/2025 - RPS: 997 - NFSe: 3230"</f>
        <v>Serv.Prest. 07/07/2025 a 13/07/2025 - RPS: 997 - NFSe: 3230</v>
      </c>
      <c r="H3892" t="str">
        <f t="shared" si="1864"/>
        <v>16/07/2025</v>
      </c>
      <c r="I3892" t="str">
        <f t="shared" si="1869"/>
        <v>14/07/2025</v>
      </c>
      <c r="J3892" t="str">
        <f t="shared" si="1865"/>
        <v>16/07/2025</v>
      </c>
      <c r="K3892">
        <v>210.6</v>
      </c>
      <c r="L3892">
        <v>210.6</v>
      </c>
      <c r="M3892">
        <v>303</v>
      </c>
      <c r="N3892" t="str">
        <f t="shared" si="1866"/>
        <v>RECEITAS COM ENTREGAS</v>
      </c>
      <c r="O3892">
        <v>210.6</v>
      </c>
      <c r="R3892" t="str">
        <f t="shared" si="1867"/>
        <v>RECEITAS COM ENTREGAS (303)</v>
      </c>
      <c r="S3892">
        <v>2073</v>
      </c>
      <c r="T3892">
        <v>1568</v>
      </c>
      <c r="U3892" t="s">
        <v>19</v>
      </c>
    </row>
    <row r="3893" spans="1:21">
      <c r="A3893" t="str">
        <f t="shared" si="1862"/>
        <v>16/07/2025</v>
      </c>
      <c r="B3893" t="str">
        <f t="shared" si="1868"/>
        <v>ENTRADA</v>
      </c>
      <c r="C3893" t="str">
        <f t="shared" si="1863"/>
        <v>NFSE</v>
      </c>
      <c r="D3893" t="str">
        <f>"3230"</f>
        <v>3230</v>
      </c>
      <c r="E3893" t="str">
        <f t="shared" si="1870"/>
        <v>COM</v>
      </c>
      <c r="F3893" t="str">
        <f>"DROGARIA MEDIC CENTER LTDA (10172)"</f>
        <v>DROGARIA MEDIC CENTER LTDA (10172)</v>
      </c>
      <c r="G3893" t="str">
        <f>"Serv.Prest. 07/07/2025 a 13/07/2025 - RPS: 997 - NFSe: 3230"</f>
        <v>Serv.Prest. 07/07/2025 a 13/07/2025 - RPS: 997 - NFSe: 3230</v>
      </c>
      <c r="H3893" t="str">
        <f t="shared" si="1864"/>
        <v>16/07/2025</v>
      </c>
      <c r="I3893" t="str">
        <f t="shared" si="1869"/>
        <v>14/07/2025</v>
      </c>
      <c r="J3893" t="str">
        <f t="shared" si="1865"/>
        <v>16/07/2025</v>
      </c>
      <c r="M3893">
        <v>303</v>
      </c>
      <c r="N3893" t="str">
        <f t="shared" si="1866"/>
        <v>RECEITAS COM ENTREGAS</v>
      </c>
      <c r="P3893">
        <v>210.6</v>
      </c>
      <c r="Q3893" t="str">
        <f>"DROGARIA MEDIC CENTER LTDA (10172)"</f>
        <v>DROGARIA MEDIC CENTER LTDA (10172)</v>
      </c>
      <c r="R3893" t="str">
        <f t="shared" si="1867"/>
        <v>RECEITAS COM ENTREGAS (303)</v>
      </c>
      <c r="S3893">
        <v>2073</v>
      </c>
      <c r="T3893">
        <v>1568</v>
      </c>
      <c r="U3893" t="s">
        <v>19</v>
      </c>
    </row>
    <row r="3894" spans="1:21">
      <c r="A3894" t="str">
        <f t="shared" si="1862"/>
        <v>16/07/2025</v>
      </c>
      <c r="B3894" t="str">
        <f t="shared" si="1868"/>
        <v>ENTRADA</v>
      </c>
      <c r="C3894" t="str">
        <f t="shared" si="1863"/>
        <v>NFSE</v>
      </c>
      <c r="D3894" t="str">
        <f>"3232"</f>
        <v>3232</v>
      </c>
      <c r="E3894" t="str">
        <f t="shared" si="1870"/>
        <v>COM</v>
      </c>
      <c r="F3894" t="str">
        <f>"ENTREFARMA (10164)"</f>
        <v>ENTREFARMA (10164)</v>
      </c>
      <c r="G3894" t="str">
        <f>"Serv.Prest. 07/07/2025 a 13/07/2025 - RPS: 999 - NFSe: 3232"</f>
        <v>Serv.Prest. 07/07/2025 a 13/07/2025 - RPS: 999 - NFSe: 3232</v>
      </c>
      <c r="H3894" t="str">
        <f t="shared" si="1864"/>
        <v>16/07/2025</v>
      </c>
      <c r="I3894" t="str">
        <f t="shared" si="1869"/>
        <v>14/07/2025</v>
      </c>
      <c r="J3894" t="str">
        <f t="shared" si="1865"/>
        <v>16/07/2025</v>
      </c>
      <c r="K3894">
        <v>946.56</v>
      </c>
      <c r="L3894">
        <v>946.56</v>
      </c>
      <c r="M3894">
        <v>303</v>
      </c>
      <c r="N3894" t="str">
        <f t="shared" si="1866"/>
        <v>RECEITAS COM ENTREGAS</v>
      </c>
      <c r="O3894">
        <v>946.56</v>
      </c>
      <c r="R3894" t="str">
        <f t="shared" si="1867"/>
        <v>RECEITAS COM ENTREGAS (303)</v>
      </c>
      <c r="S3894">
        <v>2074</v>
      </c>
      <c r="T3894">
        <v>1570</v>
      </c>
      <c r="U3894" t="s">
        <v>19</v>
      </c>
    </row>
    <row r="3895" spans="1:21">
      <c r="A3895" t="str">
        <f t="shared" si="1862"/>
        <v>16/07/2025</v>
      </c>
      <c r="B3895" t="str">
        <f t="shared" si="1868"/>
        <v>ENTRADA</v>
      </c>
      <c r="C3895" t="str">
        <f t="shared" si="1863"/>
        <v>NFSE</v>
      </c>
      <c r="D3895" t="str">
        <f>"3232"</f>
        <v>3232</v>
      </c>
      <c r="E3895" t="str">
        <f t="shared" si="1870"/>
        <v>COM</v>
      </c>
      <c r="F3895" t="str">
        <f>"ENTREFARMA (10164)"</f>
        <v>ENTREFARMA (10164)</v>
      </c>
      <c r="G3895" t="str">
        <f>"Serv.Prest. 07/07/2025 a 13/07/2025 - RPS: 999 - NFSe: 3232"</f>
        <v>Serv.Prest. 07/07/2025 a 13/07/2025 - RPS: 999 - NFSe: 3232</v>
      </c>
      <c r="H3895" t="str">
        <f t="shared" si="1864"/>
        <v>16/07/2025</v>
      </c>
      <c r="I3895" t="str">
        <f t="shared" si="1869"/>
        <v>14/07/2025</v>
      </c>
      <c r="J3895" t="str">
        <f t="shared" si="1865"/>
        <v>16/07/2025</v>
      </c>
      <c r="M3895">
        <v>303</v>
      </c>
      <c r="N3895" t="str">
        <f t="shared" si="1866"/>
        <v>RECEITAS COM ENTREGAS</v>
      </c>
      <c r="P3895">
        <v>946.56</v>
      </c>
      <c r="Q3895" t="str">
        <f>"ENTREFARMA (10164)"</f>
        <v>ENTREFARMA (10164)</v>
      </c>
      <c r="R3895" t="str">
        <f t="shared" si="1867"/>
        <v>RECEITAS COM ENTREGAS (303)</v>
      </c>
      <c r="S3895">
        <v>2074</v>
      </c>
      <c r="T3895">
        <v>1570</v>
      </c>
      <c r="U3895" t="s">
        <v>19</v>
      </c>
    </row>
    <row r="3896" spans="1:21">
      <c r="A3896" t="str">
        <f t="shared" si="1862"/>
        <v>16/07/2025</v>
      </c>
      <c r="B3896" t="str">
        <f t="shared" si="1868"/>
        <v>ENTRADA</v>
      </c>
      <c r="C3896" t="str">
        <f t="shared" si="1863"/>
        <v>NFSE</v>
      </c>
      <c r="D3896" t="str">
        <f>"3233"</f>
        <v>3233</v>
      </c>
      <c r="E3896" t="str">
        <f t="shared" si="1870"/>
        <v>COM</v>
      </c>
      <c r="F3896" t="str">
        <f>"ROSA MARIA LTDA (10165)"</f>
        <v>ROSA MARIA LTDA (10165)</v>
      </c>
      <c r="G3896" t="str">
        <f>"Serv.Prest. 07/07/2025 a 13/07/2025 - RPS: 1000 - NFSe: 3233"</f>
        <v>Serv.Prest. 07/07/2025 a 13/07/2025 - RPS: 1000 - NFSe: 3233</v>
      </c>
      <c r="H3896" t="str">
        <f t="shared" si="1864"/>
        <v>16/07/2025</v>
      </c>
      <c r="I3896" t="str">
        <f t="shared" si="1869"/>
        <v>14/07/2025</v>
      </c>
      <c r="J3896" t="str">
        <f t="shared" si="1865"/>
        <v>16/07/2025</v>
      </c>
      <c r="K3896">
        <v>360.4</v>
      </c>
      <c r="L3896">
        <v>360.4</v>
      </c>
      <c r="M3896">
        <v>303</v>
      </c>
      <c r="N3896" t="str">
        <f t="shared" si="1866"/>
        <v>RECEITAS COM ENTREGAS</v>
      </c>
      <c r="O3896">
        <v>360.4</v>
      </c>
      <c r="R3896" t="str">
        <f t="shared" si="1867"/>
        <v>RECEITAS COM ENTREGAS (303)</v>
      </c>
      <c r="S3896">
        <v>2075</v>
      </c>
      <c r="T3896">
        <v>1571</v>
      </c>
      <c r="U3896" t="s">
        <v>19</v>
      </c>
    </row>
    <row r="3897" spans="1:21">
      <c r="A3897" t="str">
        <f t="shared" si="1862"/>
        <v>16/07/2025</v>
      </c>
      <c r="B3897" t="str">
        <f t="shared" si="1868"/>
        <v>ENTRADA</v>
      </c>
      <c r="C3897" t="str">
        <f t="shared" si="1863"/>
        <v>NFSE</v>
      </c>
      <c r="D3897" t="str">
        <f>"3233"</f>
        <v>3233</v>
      </c>
      <c r="E3897" t="str">
        <f t="shared" si="1870"/>
        <v>COM</v>
      </c>
      <c r="F3897" t="str">
        <f>"ROSA MARIA LTDA (10165)"</f>
        <v>ROSA MARIA LTDA (10165)</v>
      </c>
      <c r="G3897" t="str">
        <f>"Serv.Prest. 07/07/2025 a 13/07/2025 - RPS: 1000 - NFSe: 3233"</f>
        <v>Serv.Prest. 07/07/2025 a 13/07/2025 - RPS: 1000 - NFSe: 3233</v>
      </c>
      <c r="H3897" t="str">
        <f t="shared" si="1864"/>
        <v>16/07/2025</v>
      </c>
      <c r="I3897" t="str">
        <f t="shared" si="1869"/>
        <v>14/07/2025</v>
      </c>
      <c r="J3897" t="str">
        <f t="shared" si="1865"/>
        <v>16/07/2025</v>
      </c>
      <c r="M3897">
        <v>303</v>
      </c>
      <c r="N3897" t="str">
        <f t="shared" si="1866"/>
        <v>RECEITAS COM ENTREGAS</v>
      </c>
      <c r="P3897">
        <v>360.4</v>
      </c>
      <c r="Q3897" t="str">
        <f>"ROSA MARIA LTDA (10170)"</f>
        <v>ROSA MARIA LTDA (10170)</v>
      </c>
      <c r="R3897" t="str">
        <f t="shared" si="1867"/>
        <v>RECEITAS COM ENTREGAS (303)</v>
      </c>
      <c r="S3897">
        <v>2075</v>
      </c>
      <c r="T3897">
        <v>1571</v>
      </c>
      <c r="U3897" t="s">
        <v>19</v>
      </c>
    </row>
    <row r="3898" spans="1:21">
      <c r="A3898" t="str">
        <f t="shared" si="1862"/>
        <v>16/07/2025</v>
      </c>
      <c r="B3898" t="str">
        <f t="shared" si="1868"/>
        <v>ENTRADA</v>
      </c>
      <c r="C3898" t="str">
        <f t="shared" si="1863"/>
        <v>NFSE</v>
      </c>
      <c r="D3898" t="str">
        <f>"3236"</f>
        <v>3236</v>
      </c>
      <c r="E3898" t="str">
        <f t="shared" si="1870"/>
        <v>COM</v>
      </c>
      <c r="F3898" t="str">
        <f>"FARMACIA ECONOMIZE (10103)"</f>
        <v>FARMACIA ECONOMIZE (10103)</v>
      </c>
      <c r="G3898" t="str">
        <f>"Serv.Prest. 07/07/2025 a 13/07/2025 - RPS: 1003 - NFSe: 3236"</f>
        <v>Serv.Prest. 07/07/2025 a 13/07/2025 - RPS: 1003 - NFSe: 3236</v>
      </c>
      <c r="H3898" t="str">
        <f t="shared" si="1864"/>
        <v>16/07/2025</v>
      </c>
      <c r="I3898" t="str">
        <f t="shared" si="1869"/>
        <v>14/07/2025</v>
      </c>
      <c r="J3898" t="str">
        <f t="shared" si="1865"/>
        <v>16/07/2025</v>
      </c>
      <c r="K3898">
        <v>24.75</v>
      </c>
      <c r="L3898">
        <v>24.75</v>
      </c>
      <c r="M3898">
        <v>303</v>
      </c>
      <c r="N3898" t="str">
        <f t="shared" si="1866"/>
        <v>RECEITAS COM ENTREGAS</v>
      </c>
      <c r="O3898">
        <v>24.75</v>
      </c>
      <c r="R3898" t="str">
        <f t="shared" si="1867"/>
        <v>RECEITAS COM ENTREGAS (303)</v>
      </c>
      <c r="S3898">
        <v>2076</v>
      </c>
      <c r="T3898">
        <v>1574</v>
      </c>
      <c r="U3898" t="s">
        <v>19</v>
      </c>
    </row>
    <row r="3899" spans="1:21">
      <c r="A3899" t="str">
        <f t="shared" si="1862"/>
        <v>16/07/2025</v>
      </c>
      <c r="B3899" t="str">
        <f t="shared" si="1868"/>
        <v>ENTRADA</v>
      </c>
      <c r="C3899" t="str">
        <f t="shared" si="1863"/>
        <v>NFSE</v>
      </c>
      <c r="D3899" t="str">
        <f>"3236"</f>
        <v>3236</v>
      </c>
      <c r="E3899" t="str">
        <f t="shared" si="1870"/>
        <v>COM</v>
      </c>
      <c r="F3899" t="str">
        <f>"FARMACIA ECONOMIZE (10103)"</f>
        <v>FARMACIA ECONOMIZE (10103)</v>
      </c>
      <c r="G3899" t="str">
        <f>"Serv.Prest. 07/07/2025 a 13/07/2025 - RPS: 1003 - NFSe: 3236"</f>
        <v>Serv.Prest. 07/07/2025 a 13/07/2025 - RPS: 1003 - NFSe: 3236</v>
      </c>
      <c r="H3899" t="str">
        <f t="shared" si="1864"/>
        <v>16/07/2025</v>
      </c>
      <c r="I3899" t="str">
        <f t="shared" si="1869"/>
        <v>14/07/2025</v>
      </c>
      <c r="J3899" t="str">
        <f t="shared" si="1865"/>
        <v>16/07/2025</v>
      </c>
      <c r="M3899">
        <v>303</v>
      </c>
      <c r="N3899" t="str">
        <f t="shared" si="1866"/>
        <v>RECEITAS COM ENTREGAS</v>
      </c>
      <c r="P3899">
        <v>24.75</v>
      </c>
      <c r="Q3899" t="str">
        <f>"FARMACIA ECONOMIZE (10103)"</f>
        <v>FARMACIA ECONOMIZE (10103)</v>
      </c>
      <c r="R3899" t="str">
        <f t="shared" si="1867"/>
        <v>RECEITAS COM ENTREGAS (303)</v>
      </c>
      <c r="S3899">
        <v>2076</v>
      </c>
      <c r="T3899">
        <v>1574</v>
      </c>
      <c r="U3899" t="s">
        <v>19</v>
      </c>
    </row>
    <row r="3900" spans="1:21">
      <c r="A3900" t="str">
        <f t="shared" si="1862"/>
        <v>16/07/2025</v>
      </c>
      <c r="B3900" t="str">
        <f t="shared" si="1868"/>
        <v>ENTRADA</v>
      </c>
      <c r="C3900" t="str">
        <f t="shared" si="1863"/>
        <v>NFSE</v>
      </c>
      <c r="D3900" t="str">
        <f>"3241"</f>
        <v>3241</v>
      </c>
      <c r="E3900" t="str">
        <f t="shared" si="1870"/>
        <v>COM</v>
      </c>
      <c r="F3900" t="str">
        <f>"JAL FARMACIA E DROGARIA LJ 2 (10138)"</f>
        <v>JAL FARMACIA E DROGARIA LJ 2 (10138)</v>
      </c>
      <c r="G3900" t="str">
        <f>"Serv.Prest. 07/07/2025 a 13/07/2025 - RPS: 1008 - NFSe: 3241"</f>
        <v>Serv.Prest. 07/07/2025 a 13/07/2025 - RPS: 1008 - NFSe: 3241</v>
      </c>
      <c r="H3900" t="str">
        <f t="shared" si="1864"/>
        <v>16/07/2025</v>
      </c>
      <c r="I3900" t="str">
        <f>("15/07/2025")</f>
        <v>15/07/2025</v>
      </c>
      <c r="J3900" t="str">
        <f t="shared" si="1865"/>
        <v>16/07/2025</v>
      </c>
      <c r="K3900">
        <v>283.2</v>
      </c>
      <c r="L3900">
        <v>283.2</v>
      </c>
      <c r="M3900">
        <v>303</v>
      </c>
      <c r="N3900" t="str">
        <f t="shared" si="1866"/>
        <v>RECEITAS COM ENTREGAS</v>
      </c>
      <c r="O3900">
        <v>283.2</v>
      </c>
      <c r="R3900" t="str">
        <f t="shared" si="1867"/>
        <v>RECEITAS COM ENTREGAS (303)</v>
      </c>
      <c r="S3900">
        <v>2077</v>
      </c>
      <c r="T3900">
        <v>1579</v>
      </c>
      <c r="U3900" t="s">
        <v>19</v>
      </c>
    </row>
    <row r="3901" spans="1:21">
      <c r="A3901" t="str">
        <f t="shared" si="1862"/>
        <v>16/07/2025</v>
      </c>
      <c r="B3901" t="str">
        <f t="shared" si="1868"/>
        <v>ENTRADA</v>
      </c>
      <c r="C3901" t="str">
        <f t="shared" si="1863"/>
        <v>NFSE</v>
      </c>
      <c r="D3901" t="str">
        <f>"3241"</f>
        <v>3241</v>
      </c>
      <c r="E3901" t="str">
        <f t="shared" si="1870"/>
        <v>COM</v>
      </c>
      <c r="F3901" t="str">
        <f>"JAL FARMACIA E DROGARIA LJ 2 (10138)"</f>
        <v>JAL FARMACIA E DROGARIA LJ 2 (10138)</v>
      </c>
      <c r="G3901" t="str">
        <f>"Serv.Prest. 07/07/2025 a 13/07/2025 - RPS: 1008 - NFSe: 3241"</f>
        <v>Serv.Prest. 07/07/2025 a 13/07/2025 - RPS: 1008 - NFSe: 3241</v>
      </c>
      <c r="H3901" t="str">
        <f t="shared" si="1864"/>
        <v>16/07/2025</v>
      </c>
      <c r="I3901" t="str">
        <f>("15/07/2025")</f>
        <v>15/07/2025</v>
      </c>
      <c r="J3901" t="str">
        <f t="shared" si="1865"/>
        <v>16/07/2025</v>
      </c>
      <c r="M3901">
        <v>303</v>
      </c>
      <c r="N3901" t="str">
        <f t="shared" si="1866"/>
        <v>RECEITAS COM ENTREGAS</v>
      </c>
      <c r="P3901">
        <v>283.2</v>
      </c>
      <c r="Q3901" t="str">
        <f>"JAL FARMACIA E DROGARIA LJ 2 (10138)"</f>
        <v>JAL FARMACIA E DROGARIA LJ 2 (10138)</v>
      </c>
      <c r="R3901" t="str">
        <f t="shared" si="1867"/>
        <v>RECEITAS COM ENTREGAS (303)</v>
      </c>
      <c r="S3901">
        <v>2077</v>
      </c>
      <c r="T3901">
        <v>1579</v>
      </c>
      <c r="U3901" t="s">
        <v>19</v>
      </c>
    </row>
    <row r="3902" spans="1:21">
      <c r="A3902" t="str">
        <f t="shared" si="1862"/>
        <v>16/07/2025</v>
      </c>
      <c r="B3902" t="str">
        <f t="shared" ref="B3902:B3909" si="1871">"SAÍDA"</f>
        <v>SAÍDA</v>
      </c>
      <c r="C3902" t="str">
        <f t="shared" ref="C3902:C3909" si="1872">"CONHECIMENTO"</f>
        <v>CONHECIMENTO</v>
      </c>
      <c r="D3902" t="str">
        <f t="shared" ref="D3902:D3909" si="1873">"160725170"</f>
        <v>160725170</v>
      </c>
      <c r="E3902" t="str">
        <f t="shared" si="1870"/>
        <v>COM</v>
      </c>
      <c r="F3902" t="str">
        <f t="shared" ref="F3902:F3909" si="1874">"CORA SOCIEDADE DE CREDITO, FINANCIAMENTO E INVESTIMENTO (20035)"</f>
        <v>CORA SOCIEDADE DE CREDITO, FINANCIAMENTO E INVESTIMENTO (20035)</v>
      </c>
      <c r="G3902" t="str">
        <f t="shared" ref="G3902:G3909" si="1875">"TAXA BOLETO COMPENSADO"</f>
        <v>TAXA BOLETO COMPENSADO</v>
      </c>
      <c r="H3902" t="str">
        <f t="shared" si="1864"/>
        <v>16/07/2025</v>
      </c>
      <c r="I3902" t="str">
        <f t="shared" ref="I3902:I3909" si="1876">("16/07/2025")</f>
        <v>16/07/2025</v>
      </c>
      <c r="J3902" t="str">
        <f t="shared" si="1865"/>
        <v>16/07/2025</v>
      </c>
      <c r="K3902">
        <v>1.7</v>
      </c>
      <c r="L3902">
        <v>1.7</v>
      </c>
      <c r="M3902">
        <v>401</v>
      </c>
      <c r="N3902" t="str">
        <f t="shared" ref="N3902:N3909" si="1877">"IOF/JUROS/DESP.FINANCEIRA"</f>
        <v>IOF/JUROS/DESP.FINANCEIRA</v>
      </c>
      <c r="O3902">
        <v>1.7</v>
      </c>
      <c r="R3902" t="str">
        <f t="shared" ref="R3902:R3909" si="1878">"BANCO CORA (102)"</f>
        <v>BANCO CORA (102)</v>
      </c>
      <c r="S3902">
        <v>2194</v>
      </c>
      <c r="T3902">
        <v>1686</v>
      </c>
      <c r="U3902" t="s">
        <v>19</v>
      </c>
    </row>
    <row r="3903" spans="1:21">
      <c r="A3903" t="str">
        <f t="shared" si="1862"/>
        <v>16/07/2025</v>
      </c>
      <c r="B3903" t="str">
        <f t="shared" si="1871"/>
        <v>SAÍDA</v>
      </c>
      <c r="C3903" t="str">
        <f t="shared" si="1872"/>
        <v>CONHECIMENTO</v>
      </c>
      <c r="D3903" t="str">
        <f t="shared" si="1873"/>
        <v>160725170</v>
      </c>
      <c r="E3903" t="str">
        <f t="shared" si="1870"/>
        <v>COM</v>
      </c>
      <c r="F3903" t="str">
        <f t="shared" si="1874"/>
        <v>CORA SOCIEDADE DE CREDITO, FINANCIAMENTO E INVESTIMENTO (20035)</v>
      </c>
      <c r="G3903" t="str">
        <f t="shared" si="1875"/>
        <v>TAXA BOLETO COMPENSADO</v>
      </c>
      <c r="H3903" t="str">
        <f t="shared" si="1864"/>
        <v>16/07/2025</v>
      </c>
      <c r="I3903" t="str">
        <f t="shared" si="1876"/>
        <v>16/07/2025</v>
      </c>
      <c r="J3903" t="str">
        <f t="shared" si="1865"/>
        <v>16/07/2025</v>
      </c>
      <c r="K3903">
        <v>1.7</v>
      </c>
      <c r="L3903">
        <v>1.7</v>
      </c>
      <c r="M3903">
        <v>401</v>
      </c>
      <c r="N3903" t="str">
        <f t="shared" si="1877"/>
        <v>IOF/JUROS/DESP.FINANCEIRA</v>
      </c>
      <c r="O3903">
        <v>1.7</v>
      </c>
      <c r="R3903" t="str">
        <f t="shared" si="1878"/>
        <v>BANCO CORA (102)</v>
      </c>
      <c r="S3903">
        <v>2195</v>
      </c>
      <c r="T3903">
        <v>1687</v>
      </c>
      <c r="U3903" t="s">
        <v>19</v>
      </c>
    </row>
    <row r="3904" spans="1:21">
      <c r="A3904" t="str">
        <f t="shared" si="1862"/>
        <v>16/07/2025</v>
      </c>
      <c r="B3904" t="str">
        <f t="shared" si="1871"/>
        <v>SAÍDA</v>
      </c>
      <c r="C3904" t="str">
        <f t="shared" si="1872"/>
        <v>CONHECIMENTO</v>
      </c>
      <c r="D3904" t="str">
        <f t="shared" si="1873"/>
        <v>160725170</v>
      </c>
      <c r="E3904" t="str">
        <f t="shared" si="1870"/>
        <v>COM</v>
      </c>
      <c r="F3904" t="str">
        <f t="shared" si="1874"/>
        <v>CORA SOCIEDADE DE CREDITO, FINANCIAMENTO E INVESTIMENTO (20035)</v>
      </c>
      <c r="G3904" t="str">
        <f t="shared" si="1875"/>
        <v>TAXA BOLETO COMPENSADO</v>
      </c>
      <c r="H3904" t="str">
        <f t="shared" si="1864"/>
        <v>16/07/2025</v>
      </c>
      <c r="I3904" t="str">
        <f t="shared" si="1876"/>
        <v>16/07/2025</v>
      </c>
      <c r="J3904" t="str">
        <f t="shared" si="1865"/>
        <v>16/07/2025</v>
      </c>
      <c r="K3904">
        <v>1.7</v>
      </c>
      <c r="L3904">
        <v>1.7</v>
      </c>
      <c r="M3904">
        <v>401</v>
      </c>
      <c r="N3904" t="str">
        <f t="shared" si="1877"/>
        <v>IOF/JUROS/DESP.FINANCEIRA</v>
      </c>
      <c r="O3904">
        <v>1.7</v>
      </c>
      <c r="R3904" t="str">
        <f t="shared" si="1878"/>
        <v>BANCO CORA (102)</v>
      </c>
      <c r="S3904">
        <v>2196</v>
      </c>
      <c r="T3904">
        <v>1688</v>
      </c>
      <c r="U3904" t="s">
        <v>19</v>
      </c>
    </row>
    <row r="3905" spans="1:21">
      <c r="A3905" t="str">
        <f t="shared" si="1862"/>
        <v>16/07/2025</v>
      </c>
      <c r="B3905" t="str">
        <f t="shared" si="1871"/>
        <v>SAÍDA</v>
      </c>
      <c r="C3905" t="str">
        <f t="shared" si="1872"/>
        <v>CONHECIMENTO</v>
      </c>
      <c r="D3905" t="str">
        <f t="shared" si="1873"/>
        <v>160725170</v>
      </c>
      <c r="E3905" t="str">
        <f t="shared" si="1870"/>
        <v>COM</v>
      </c>
      <c r="F3905" t="str">
        <f t="shared" si="1874"/>
        <v>CORA SOCIEDADE DE CREDITO, FINANCIAMENTO E INVESTIMENTO (20035)</v>
      </c>
      <c r="G3905" t="str">
        <f t="shared" si="1875"/>
        <v>TAXA BOLETO COMPENSADO</v>
      </c>
      <c r="H3905" t="str">
        <f t="shared" si="1864"/>
        <v>16/07/2025</v>
      </c>
      <c r="I3905" t="str">
        <f t="shared" si="1876"/>
        <v>16/07/2025</v>
      </c>
      <c r="J3905" t="str">
        <f t="shared" si="1865"/>
        <v>16/07/2025</v>
      </c>
      <c r="K3905">
        <v>1.7</v>
      </c>
      <c r="L3905">
        <v>1.7</v>
      </c>
      <c r="M3905">
        <v>401</v>
      </c>
      <c r="N3905" t="str">
        <f t="shared" si="1877"/>
        <v>IOF/JUROS/DESP.FINANCEIRA</v>
      </c>
      <c r="O3905">
        <v>1.7</v>
      </c>
      <c r="R3905" t="str">
        <f t="shared" si="1878"/>
        <v>BANCO CORA (102)</v>
      </c>
      <c r="S3905">
        <v>2197</v>
      </c>
      <c r="T3905">
        <v>1689</v>
      </c>
      <c r="U3905" t="s">
        <v>19</v>
      </c>
    </row>
    <row r="3906" spans="1:21">
      <c r="A3906" t="str">
        <f t="shared" si="1862"/>
        <v>16/07/2025</v>
      </c>
      <c r="B3906" t="str">
        <f t="shared" si="1871"/>
        <v>SAÍDA</v>
      </c>
      <c r="C3906" t="str">
        <f t="shared" si="1872"/>
        <v>CONHECIMENTO</v>
      </c>
      <c r="D3906" t="str">
        <f t="shared" si="1873"/>
        <v>160725170</v>
      </c>
      <c r="E3906" t="str">
        <f t="shared" si="1870"/>
        <v>COM</v>
      </c>
      <c r="F3906" t="str">
        <f t="shared" si="1874"/>
        <v>CORA SOCIEDADE DE CREDITO, FINANCIAMENTO E INVESTIMENTO (20035)</v>
      </c>
      <c r="G3906" t="str">
        <f t="shared" si="1875"/>
        <v>TAXA BOLETO COMPENSADO</v>
      </c>
      <c r="H3906" t="str">
        <f t="shared" si="1864"/>
        <v>16/07/2025</v>
      </c>
      <c r="I3906" t="str">
        <f t="shared" si="1876"/>
        <v>16/07/2025</v>
      </c>
      <c r="J3906" t="str">
        <f t="shared" si="1865"/>
        <v>16/07/2025</v>
      </c>
      <c r="K3906">
        <v>1.7</v>
      </c>
      <c r="L3906">
        <v>1.7</v>
      </c>
      <c r="M3906">
        <v>401</v>
      </c>
      <c r="N3906" t="str">
        <f t="shared" si="1877"/>
        <v>IOF/JUROS/DESP.FINANCEIRA</v>
      </c>
      <c r="O3906">
        <v>1.7</v>
      </c>
      <c r="R3906" t="str">
        <f t="shared" si="1878"/>
        <v>BANCO CORA (102)</v>
      </c>
      <c r="S3906">
        <v>2198</v>
      </c>
      <c r="T3906">
        <v>1690</v>
      </c>
      <c r="U3906" t="s">
        <v>19</v>
      </c>
    </row>
    <row r="3907" spans="1:21">
      <c r="A3907" t="str">
        <f t="shared" si="1862"/>
        <v>16/07/2025</v>
      </c>
      <c r="B3907" t="str">
        <f t="shared" si="1871"/>
        <v>SAÍDA</v>
      </c>
      <c r="C3907" t="str">
        <f t="shared" si="1872"/>
        <v>CONHECIMENTO</v>
      </c>
      <c r="D3907" t="str">
        <f t="shared" si="1873"/>
        <v>160725170</v>
      </c>
      <c r="E3907" t="str">
        <f t="shared" si="1870"/>
        <v>COM</v>
      </c>
      <c r="F3907" t="str">
        <f t="shared" si="1874"/>
        <v>CORA SOCIEDADE DE CREDITO, FINANCIAMENTO E INVESTIMENTO (20035)</v>
      </c>
      <c r="G3907" t="str">
        <f t="shared" si="1875"/>
        <v>TAXA BOLETO COMPENSADO</v>
      </c>
      <c r="H3907" t="str">
        <f t="shared" si="1864"/>
        <v>16/07/2025</v>
      </c>
      <c r="I3907" t="str">
        <f t="shared" si="1876"/>
        <v>16/07/2025</v>
      </c>
      <c r="J3907" t="str">
        <f t="shared" si="1865"/>
        <v>16/07/2025</v>
      </c>
      <c r="K3907">
        <v>1.7</v>
      </c>
      <c r="L3907">
        <v>1.7</v>
      </c>
      <c r="M3907">
        <v>401</v>
      </c>
      <c r="N3907" t="str">
        <f t="shared" si="1877"/>
        <v>IOF/JUROS/DESP.FINANCEIRA</v>
      </c>
      <c r="O3907">
        <v>1.7</v>
      </c>
      <c r="R3907" t="str">
        <f t="shared" si="1878"/>
        <v>BANCO CORA (102)</v>
      </c>
      <c r="S3907">
        <v>2199</v>
      </c>
      <c r="T3907">
        <v>1691</v>
      </c>
      <c r="U3907" t="s">
        <v>19</v>
      </c>
    </row>
    <row r="3908" spans="1:21">
      <c r="A3908" t="str">
        <f t="shared" si="1862"/>
        <v>16/07/2025</v>
      </c>
      <c r="B3908" t="str">
        <f t="shared" si="1871"/>
        <v>SAÍDA</v>
      </c>
      <c r="C3908" t="str">
        <f t="shared" si="1872"/>
        <v>CONHECIMENTO</v>
      </c>
      <c r="D3908" t="str">
        <f t="shared" si="1873"/>
        <v>160725170</v>
      </c>
      <c r="E3908" t="str">
        <f t="shared" si="1870"/>
        <v>COM</v>
      </c>
      <c r="F3908" t="str">
        <f t="shared" si="1874"/>
        <v>CORA SOCIEDADE DE CREDITO, FINANCIAMENTO E INVESTIMENTO (20035)</v>
      </c>
      <c r="G3908" t="str">
        <f t="shared" si="1875"/>
        <v>TAXA BOLETO COMPENSADO</v>
      </c>
      <c r="H3908" t="str">
        <f t="shared" si="1864"/>
        <v>16/07/2025</v>
      </c>
      <c r="I3908" t="str">
        <f t="shared" si="1876"/>
        <v>16/07/2025</v>
      </c>
      <c r="J3908" t="str">
        <f t="shared" si="1865"/>
        <v>16/07/2025</v>
      </c>
      <c r="K3908">
        <v>1.7</v>
      </c>
      <c r="L3908">
        <v>1.7</v>
      </c>
      <c r="M3908">
        <v>401</v>
      </c>
      <c r="N3908" t="str">
        <f t="shared" si="1877"/>
        <v>IOF/JUROS/DESP.FINANCEIRA</v>
      </c>
      <c r="O3908">
        <v>1.7</v>
      </c>
      <c r="R3908" t="str">
        <f t="shared" si="1878"/>
        <v>BANCO CORA (102)</v>
      </c>
      <c r="S3908">
        <v>2200</v>
      </c>
      <c r="T3908">
        <v>1727</v>
      </c>
      <c r="U3908" t="s">
        <v>19</v>
      </c>
    </row>
    <row r="3909" spans="1:21">
      <c r="A3909" t="str">
        <f t="shared" si="1862"/>
        <v>16/07/2025</v>
      </c>
      <c r="B3909" t="str">
        <f t="shared" si="1871"/>
        <v>SAÍDA</v>
      </c>
      <c r="C3909" t="str">
        <f t="shared" si="1872"/>
        <v>CONHECIMENTO</v>
      </c>
      <c r="D3909" t="str">
        <f t="shared" si="1873"/>
        <v>160725170</v>
      </c>
      <c r="E3909" t="str">
        <f t="shared" si="1870"/>
        <v>COM</v>
      </c>
      <c r="F3909" t="str">
        <f t="shared" si="1874"/>
        <v>CORA SOCIEDADE DE CREDITO, FINANCIAMENTO E INVESTIMENTO (20035)</v>
      </c>
      <c r="G3909" t="str">
        <f t="shared" si="1875"/>
        <v>TAXA BOLETO COMPENSADO</v>
      </c>
      <c r="H3909" t="str">
        <f t="shared" si="1864"/>
        <v>16/07/2025</v>
      </c>
      <c r="I3909" t="str">
        <f t="shared" si="1876"/>
        <v>16/07/2025</v>
      </c>
      <c r="J3909" t="str">
        <f t="shared" si="1865"/>
        <v>16/07/2025</v>
      </c>
      <c r="K3909">
        <v>1.7</v>
      </c>
      <c r="L3909">
        <v>1.7</v>
      </c>
      <c r="M3909">
        <v>401</v>
      </c>
      <c r="N3909" t="str">
        <f t="shared" si="1877"/>
        <v>IOF/JUROS/DESP.FINANCEIRA</v>
      </c>
      <c r="O3909">
        <v>1.7</v>
      </c>
      <c r="R3909" t="str">
        <f t="shared" si="1878"/>
        <v>BANCO CORA (102)</v>
      </c>
      <c r="S3909">
        <v>2201</v>
      </c>
      <c r="T3909">
        <v>1728</v>
      </c>
      <c r="U3909" t="s">
        <v>19</v>
      </c>
    </row>
    <row r="3910" spans="1:21">
      <c r="A3910" t="str">
        <f t="shared" ref="A3910:A3948" si="1879">("17/07/2025")</f>
        <v>17/07/2025</v>
      </c>
      <c r="B3910" t="str">
        <f>"ENTRADA"</f>
        <v>ENTRADA</v>
      </c>
      <c r="C3910" t="str">
        <f t="shared" ref="C3910:C3936" si="1880">"NFSE"</f>
        <v>NFSE</v>
      </c>
      <c r="D3910" t="str">
        <f>"3221"</f>
        <v>3221</v>
      </c>
      <c r="E3910" t="str">
        <f t="shared" si="1870"/>
        <v>COM</v>
      </c>
      <c r="F3910" t="str">
        <f>"AC FARMA - CID.ALTA (10166)"</f>
        <v>AC FARMA - CID.ALTA (10166)</v>
      </c>
      <c r="G3910" t="str">
        <f>"Serv.Prest. 30/06/2025 a 06/07/2025 - RPS: 988 - NFSe: 3221"</f>
        <v>Serv.Prest. 30/06/2025 a 06/07/2025 - RPS: 988 - NFSe: 3221</v>
      </c>
      <c r="H3910" t="str">
        <f t="shared" si="1864"/>
        <v>16/07/2025</v>
      </c>
      <c r="I3910" t="str">
        <f t="shared" ref="I3910:I3916" si="1881">("11/07/2025")</f>
        <v>11/07/2025</v>
      </c>
      <c r="J3910" t="str">
        <f t="shared" ref="J3910:J3948" si="1882">("17/07/2025")</f>
        <v>17/07/2025</v>
      </c>
      <c r="K3910">
        <v>893.7</v>
      </c>
      <c r="L3910">
        <v>893.7</v>
      </c>
      <c r="M3910">
        <v>303</v>
      </c>
      <c r="N3910" t="str">
        <f t="shared" ref="N3910:N3936" si="1883">"RECEITAS COM ENTREGAS"</f>
        <v>RECEITAS COM ENTREGAS</v>
      </c>
      <c r="O3910">
        <v>893.7</v>
      </c>
      <c r="R3910" t="str">
        <f t="shared" ref="R3910:R3936" si="1884">"RECEITAS COM ENTREGAS (303)"</f>
        <v>RECEITAS COM ENTREGAS (303)</v>
      </c>
      <c r="S3910">
        <v>2078</v>
      </c>
      <c r="T3910">
        <v>1558</v>
      </c>
      <c r="U3910" t="s">
        <v>19</v>
      </c>
    </row>
    <row r="3911" spans="1:21">
      <c r="A3911" t="str">
        <f t="shared" si="1879"/>
        <v>17/07/2025</v>
      </c>
      <c r="B3911" t="str">
        <f t="shared" ref="B3911:B3936" si="1885">"ENTRADA"</f>
        <v>ENTRADA</v>
      </c>
      <c r="C3911" t="str">
        <f t="shared" si="1880"/>
        <v>NFSE</v>
      </c>
      <c r="D3911" t="str">
        <f>"3221"</f>
        <v>3221</v>
      </c>
      <c r="E3911" t="str">
        <f t="shared" si="1870"/>
        <v>COM</v>
      </c>
      <c r="F3911" t="str">
        <f>"AC FARMA - CID.ALTA (10166)"</f>
        <v>AC FARMA - CID.ALTA (10166)</v>
      </c>
      <c r="G3911" t="str">
        <f>"Serv.Prest. 30/06/2025 a 06/07/2025 - RPS: 988 - NFSe: 3221"</f>
        <v>Serv.Prest. 30/06/2025 a 06/07/2025 - RPS: 988 - NFSe: 3221</v>
      </c>
      <c r="H3911" t="str">
        <f t="shared" si="1864"/>
        <v>16/07/2025</v>
      </c>
      <c r="I3911" t="str">
        <f t="shared" si="1881"/>
        <v>11/07/2025</v>
      </c>
      <c r="J3911" t="str">
        <f t="shared" si="1882"/>
        <v>17/07/2025</v>
      </c>
      <c r="M3911">
        <v>303</v>
      </c>
      <c r="N3911" t="str">
        <f t="shared" si="1883"/>
        <v>RECEITAS COM ENTREGAS</v>
      </c>
      <c r="P3911">
        <v>893.7</v>
      </c>
      <c r="Q3911" t="str">
        <f>"AC FARMA - CID.ALTA (10166)"</f>
        <v>AC FARMA - CID.ALTA (10166)</v>
      </c>
      <c r="R3911" t="str">
        <f t="shared" si="1884"/>
        <v>RECEITAS COM ENTREGAS (303)</v>
      </c>
      <c r="S3911">
        <v>2078</v>
      </c>
      <c r="T3911">
        <v>1558</v>
      </c>
      <c r="U3911" t="s">
        <v>19</v>
      </c>
    </row>
    <row r="3912" spans="1:21">
      <c r="A3912" t="str">
        <f t="shared" si="1879"/>
        <v>17/07/2025</v>
      </c>
      <c r="B3912" t="str">
        <f t="shared" si="1885"/>
        <v>ENTRADA</v>
      </c>
      <c r="C3912" t="str">
        <f t="shared" si="1880"/>
        <v>NFSE</v>
      </c>
      <c r="D3912" t="str">
        <f>"3222"</f>
        <v>3222</v>
      </c>
      <c r="E3912" t="str">
        <f t="shared" si="1870"/>
        <v>COM</v>
      </c>
      <c r="F3912" t="str">
        <f>"AC FARMA - FLEMINFARMA (10160)"</f>
        <v>AC FARMA - FLEMINFARMA (10160)</v>
      </c>
      <c r="G3912" t="str">
        <f>"Serv.Prest. 30/06/2025 a 06/07/2025 - RPS: 989 - NFSe: 3222"</f>
        <v>Serv.Prest. 30/06/2025 a 06/07/2025 - RPS: 989 - NFSe: 3222</v>
      </c>
      <c r="H3912" t="str">
        <f t="shared" si="1864"/>
        <v>16/07/2025</v>
      </c>
      <c r="I3912" t="str">
        <f t="shared" si="1881"/>
        <v>11/07/2025</v>
      </c>
      <c r="J3912" t="str">
        <f t="shared" si="1882"/>
        <v>17/07/2025</v>
      </c>
      <c r="K3912">
        <v>236.25</v>
      </c>
      <c r="L3912">
        <v>236.25</v>
      </c>
      <c r="M3912">
        <v>303</v>
      </c>
      <c r="N3912" t="str">
        <f t="shared" si="1883"/>
        <v>RECEITAS COM ENTREGAS</v>
      </c>
      <c r="O3912">
        <v>236.25</v>
      </c>
      <c r="R3912" t="str">
        <f t="shared" si="1884"/>
        <v>RECEITAS COM ENTREGAS (303)</v>
      </c>
      <c r="S3912">
        <v>2079</v>
      </c>
      <c r="T3912">
        <v>1559</v>
      </c>
      <c r="U3912" t="s">
        <v>19</v>
      </c>
    </row>
    <row r="3913" spans="1:21">
      <c r="A3913" t="str">
        <f t="shared" si="1879"/>
        <v>17/07/2025</v>
      </c>
      <c r="B3913" t="str">
        <f t="shared" si="1885"/>
        <v>ENTRADA</v>
      </c>
      <c r="C3913" t="str">
        <f t="shared" si="1880"/>
        <v>NFSE</v>
      </c>
      <c r="D3913" t="str">
        <f>"3222"</f>
        <v>3222</v>
      </c>
      <c r="E3913" t="str">
        <f t="shared" si="1870"/>
        <v>COM</v>
      </c>
      <c r="F3913" t="str">
        <f>"AC FARMA - FLEMINFARMA (10160)"</f>
        <v>AC FARMA - FLEMINFARMA (10160)</v>
      </c>
      <c r="G3913" t="str">
        <f>"Serv.Prest. 30/06/2025 a 06/07/2025 - RPS: 989 - NFSe: 3222"</f>
        <v>Serv.Prest. 30/06/2025 a 06/07/2025 - RPS: 989 - NFSe: 3222</v>
      </c>
      <c r="H3913" t="str">
        <f t="shared" si="1864"/>
        <v>16/07/2025</v>
      </c>
      <c r="I3913" t="str">
        <f t="shared" si="1881"/>
        <v>11/07/2025</v>
      </c>
      <c r="J3913" t="str">
        <f t="shared" si="1882"/>
        <v>17/07/2025</v>
      </c>
      <c r="M3913">
        <v>303</v>
      </c>
      <c r="N3913" t="str">
        <f t="shared" si="1883"/>
        <v>RECEITAS COM ENTREGAS</v>
      </c>
      <c r="P3913">
        <v>228.15</v>
      </c>
      <c r="Q3913" t="str">
        <f>"AC FARMA -  FLEMINFARMA (10159)"</f>
        <v>AC FARMA -  FLEMINFARMA (10159)</v>
      </c>
      <c r="R3913" t="str">
        <f t="shared" si="1884"/>
        <v>RECEITAS COM ENTREGAS (303)</v>
      </c>
      <c r="S3913">
        <v>2079</v>
      </c>
      <c r="T3913">
        <v>1559</v>
      </c>
      <c r="U3913" t="s">
        <v>19</v>
      </c>
    </row>
    <row r="3914" spans="1:21">
      <c r="A3914" t="str">
        <f t="shared" si="1879"/>
        <v>17/07/2025</v>
      </c>
      <c r="B3914" t="str">
        <f t="shared" si="1885"/>
        <v>ENTRADA</v>
      </c>
      <c r="C3914" t="str">
        <f t="shared" si="1880"/>
        <v>NFSE</v>
      </c>
      <c r="D3914" t="str">
        <f>"3222"</f>
        <v>3222</v>
      </c>
      <c r="E3914" t="str">
        <f t="shared" si="1870"/>
        <v>COM</v>
      </c>
      <c r="F3914" t="str">
        <f>"AC FARMA - FLEMINFARMA (10160)"</f>
        <v>AC FARMA - FLEMINFARMA (10160)</v>
      </c>
      <c r="G3914" t="str">
        <f>"Serv.Prest. 30/06/2025 a 06/07/2025 - RPS: 989 - NFSe: 3222"</f>
        <v>Serv.Prest. 30/06/2025 a 06/07/2025 - RPS: 989 - NFSe: 3222</v>
      </c>
      <c r="H3914" t="str">
        <f t="shared" si="1864"/>
        <v>16/07/2025</v>
      </c>
      <c r="I3914" t="str">
        <f t="shared" si="1881"/>
        <v>11/07/2025</v>
      </c>
      <c r="J3914" t="str">
        <f t="shared" si="1882"/>
        <v>17/07/2025</v>
      </c>
      <c r="M3914">
        <v>303</v>
      </c>
      <c r="N3914" t="str">
        <f t="shared" si="1883"/>
        <v>RECEITAS COM ENTREGAS</v>
      </c>
      <c r="P3914">
        <v>8.1</v>
      </c>
      <c r="Q3914" t="str">
        <f>"AC FARMA - FLEMINFARMA (10160)"</f>
        <v>AC FARMA - FLEMINFARMA (10160)</v>
      </c>
      <c r="R3914" t="str">
        <f t="shared" si="1884"/>
        <v>RECEITAS COM ENTREGAS (303)</v>
      </c>
      <c r="S3914">
        <v>2079</v>
      </c>
      <c r="T3914">
        <v>1559</v>
      </c>
      <c r="U3914" t="s">
        <v>19</v>
      </c>
    </row>
    <row r="3915" spans="1:21">
      <c r="A3915" t="str">
        <f t="shared" si="1879"/>
        <v>17/07/2025</v>
      </c>
      <c r="B3915" t="str">
        <f t="shared" si="1885"/>
        <v>ENTRADA</v>
      </c>
      <c r="C3915" t="str">
        <f t="shared" si="1880"/>
        <v>NFSE</v>
      </c>
      <c r="D3915" t="str">
        <f>"3223"</f>
        <v>3223</v>
      </c>
      <c r="E3915" t="str">
        <f t="shared" si="1870"/>
        <v>COM</v>
      </c>
      <c r="F3915" t="str">
        <f>"AC FARMA - FLEMINFARMA 5 (10183)"</f>
        <v>AC FARMA - FLEMINFARMA 5 (10183)</v>
      </c>
      <c r="G3915" t="str">
        <f>"Serv.Prest. 30/06/2025 a 06/07/2025 - RPS: 990 - NFSe: 3223"</f>
        <v>Serv.Prest. 30/06/2025 a 06/07/2025 - RPS: 990 - NFSe: 3223</v>
      </c>
      <c r="H3915" t="str">
        <f t="shared" ref="H3915:H3932" si="1886">("16/07/2025")</f>
        <v>16/07/2025</v>
      </c>
      <c r="I3915" t="str">
        <f t="shared" si="1881"/>
        <v>11/07/2025</v>
      </c>
      <c r="J3915" t="str">
        <f t="shared" si="1882"/>
        <v>17/07/2025</v>
      </c>
      <c r="K3915">
        <v>59.4</v>
      </c>
      <c r="L3915">
        <v>59.4</v>
      </c>
      <c r="M3915">
        <v>303</v>
      </c>
      <c r="N3915" t="str">
        <f t="shared" si="1883"/>
        <v>RECEITAS COM ENTREGAS</v>
      </c>
      <c r="O3915">
        <v>59.4</v>
      </c>
      <c r="R3915" t="str">
        <f t="shared" si="1884"/>
        <v>RECEITAS COM ENTREGAS (303)</v>
      </c>
      <c r="S3915">
        <v>2080</v>
      </c>
      <c r="T3915">
        <v>1560</v>
      </c>
      <c r="U3915" t="s">
        <v>19</v>
      </c>
    </row>
    <row r="3916" spans="1:21">
      <c r="A3916" t="str">
        <f t="shared" si="1879"/>
        <v>17/07/2025</v>
      </c>
      <c r="B3916" t="str">
        <f t="shared" si="1885"/>
        <v>ENTRADA</v>
      </c>
      <c r="C3916" t="str">
        <f t="shared" si="1880"/>
        <v>NFSE</v>
      </c>
      <c r="D3916" t="str">
        <f>"3223"</f>
        <v>3223</v>
      </c>
      <c r="E3916" t="str">
        <f t="shared" si="1870"/>
        <v>COM</v>
      </c>
      <c r="F3916" t="str">
        <f>"AC FARMA - FLEMINFARMA 5 (10183)"</f>
        <v>AC FARMA - FLEMINFARMA 5 (10183)</v>
      </c>
      <c r="G3916" t="str">
        <f>"Serv.Prest. 30/06/2025 a 06/07/2025 - RPS: 990 - NFSe: 3223"</f>
        <v>Serv.Prest. 30/06/2025 a 06/07/2025 - RPS: 990 - NFSe: 3223</v>
      </c>
      <c r="H3916" t="str">
        <f t="shared" si="1886"/>
        <v>16/07/2025</v>
      </c>
      <c r="I3916" t="str">
        <f t="shared" si="1881"/>
        <v>11/07/2025</v>
      </c>
      <c r="J3916" t="str">
        <f t="shared" si="1882"/>
        <v>17/07/2025</v>
      </c>
      <c r="M3916">
        <v>303</v>
      </c>
      <c r="N3916" t="str">
        <f t="shared" si="1883"/>
        <v>RECEITAS COM ENTREGAS</v>
      </c>
      <c r="P3916">
        <v>59.4</v>
      </c>
      <c r="Q3916" t="str">
        <f>"AC FARMA - FLEMINFARMA 5 (10183)"</f>
        <v>AC FARMA - FLEMINFARMA 5 (10183)</v>
      </c>
      <c r="R3916" t="str">
        <f t="shared" si="1884"/>
        <v>RECEITAS COM ENTREGAS (303)</v>
      </c>
      <c r="S3916">
        <v>2080</v>
      </c>
      <c r="T3916">
        <v>1560</v>
      </c>
      <c r="U3916" t="s">
        <v>19</v>
      </c>
    </row>
    <row r="3917" spans="1:21">
      <c r="A3917" t="str">
        <f t="shared" si="1879"/>
        <v>17/07/2025</v>
      </c>
      <c r="B3917" t="str">
        <f t="shared" si="1885"/>
        <v>ENTRADA</v>
      </c>
      <c r="C3917" t="str">
        <f t="shared" si="1880"/>
        <v>NFSE</v>
      </c>
      <c r="D3917" t="str">
        <f>"3224"</f>
        <v>3224</v>
      </c>
      <c r="E3917" t="str">
        <f t="shared" si="1870"/>
        <v>COM</v>
      </c>
      <c r="F3917" t="str">
        <f>"BRASIL FARMA (10173)"</f>
        <v>BRASIL FARMA (10173)</v>
      </c>
      <c r="G3917" t="str">
        <f>"Serv.Prest. 07/07/2025 a 13/07/2025 - RPS: 991 - NFSe: 3224"</f>
        <v>Serv.Prest. 07/07/2025 a 13/07/2025 - RPS: 991 - NFSe: 3224</v>
      </c>
      <c r="H3917" t="str">
        <f t="shared" si="1886"/>
        <v>16/07/2025</v>
      </c>
      <c r="I3917" t="str">
        <f t="shared" ref="I3917:I3930" si="1887">("14/07/2025")</f>
        <v>14/07/2025</v>
      </c>
      <c r="J3917" t="str">
        <f t="shared" si="1882"/>
        <v>17/07/2025</v>
      </c>
      <c r="K3917">
        <v>320.95999999999998</v>
      </c>
      <c r="L3917">
        <v>320.95999999999998</v>
      </c>
      <c r="M3917">
        <v>303</v>
      </c>
      <c r="N3917" t="str">
        <f t="shared" si="1883"/>
        <v>RECEITAS COM ENTREGAS</v>
      </c>
      <c r="O3917">
        <v>320.95999999999998</v>
      </c>
      <c r="R3917" t="str">
        <f t="shared" si="1884"/>
        <v>RECEITAS COM ENTREGAS (303)</v>
      </c>
      <c r="S3917">
        <v>2081</v>
      </c>
      <c r="T3917">
        <v>1562</v>
      </c>
      <c r="U3917" t="s">
        <v>19</v>
      </c>
    </row>
    <row r="3918" spans="1:21">
      <c r="A3918" t="str">
        <f t="shared" si="1879"/>
        <v>17/07/2025</v>
      </c>
      <c r="B3918" t="str">
        <f t="shared" si="1885"/>
        <v>ENTRADA</v>
      </c>
      <c r="C3918" t="str">
        <f t="shared" si="1880"/>
        <v>NFSE</v>
      </c>
      <c r="D3918" t="str">
        <f>"3224"</f>
        <v>3224</v>
      </c>
      <c r="E3918" t="str">
        <f t="shared" si="1870"/>
        <v>COM</v>
      </c>
      <c r="F3918" t="str">
        <f>"BRASIL FARMA (10173)"</f>
        <v>BRASIL FARMA (10173)</v>
      </c>
      <c r="G3918" t="str">
        <f>"Serv.Prest. 07/07/2025 a 13/07/2025 - RPS: 991 - NFSe: 3224"</f>
        <v>Serv.Prest. 07/07/2025 a 13/07/2025 - RPS: 991 - NFSe: 3224</v>
      </c>
      <c r="H3918" t="str">
        <f t="shared" si="1886"/>
        <v>16/07/2025</v>
      </c>
      <c r="I3918" t="str">
        <f t="shared" si="1887"/>
        <v>14/07/2025</v>
      </c>
      <c r="J3918" t="str">
        <f t="shared" si="1882"/>
        <v>17/07/2025</v>
      </c>
      <c r="M3918">
        <v>303</v>
      </c>
      <c r="N3918" t="str">
        <f t="shared" si="1883"/>
        <v>RECEITAS COM ENTREGAS</v>
      </c>
      <c r="P3918">
        <v>320.95999999999998</v>
      </c>
      <c r="Q3918" t="str">
        <f>"BRASIL FARMA (10173)"</f>
        <v>BRASIL FARMA (10173)</v>
      </c>
      <c r="R3918" t="str">
        <f t="shared" si="1884"/>
        <v>RECEITAS COM ENTREGAS (303)</v>
      </c>
      <c r="S3918">
        <v>2081</v>
      </c>
      <c r="T3918">
        <v>1562</v>
      </c>
      <c r="U3918" t="s">
        <v>19</v>
      </c>
    </row>
    <row r="3919" spans="1:21">
      <c r="A3919" t="str">
        <f t="shared" si="1879"/>
        <v>17/07/2025</v>
      </c>
      <c r="B3919" t="str">
        <f t="shared" si="1885"/>
        <v>ENTRADA</v>
      </c>
      <c r="C3919" t="str">
        <f t="shared" si="1880"/>
        <v>NFSE</v>
      </c>
      <c r="D3919" t="str">
        <f>"3225"</f>
        <v>3225</v>
      </c>
      <c r="E3919" t="str">
        <f t="shared" si="1870"/>
        <v>COM</v>
      </c>
      <c r="F3919" t="str">
        <f>"DELTA LOJA 2 (10123)"</f>
        <v>DELTA LOJA 2 (10123)</v>
      </c>
      <c r="G3919" t="str">
        <f>"Serv.Prest. 07/07/2025 a 13/07/2025 - RPS: 992 - NFSe: 3225"</f>
        <v>Serv.Prest. 07/07/2025 a 13/07/2025 - RPS: 992 - NFSe: 3225</v>
      </c>
      <c r="H3919" t="str">
        <f t="shared" si="1886"/>
        <v>16/07/2025</v>
      </c>
      <c r="I3919" t="str">
        <f t="shared" si="1887"/>
        <v>14/07/2025</v>
      </c>
      <c r="J3919" t="str">
        <f t="shared" si="1882"/>
        <v>17/07/2025</v>
      </c>
      <c r="K3919">
        <v>480.48</v>
      </c>
      <c r="L3919">
        <v>480.48</v>
      </c>
      <c r="M3919">
        <v>303</v>
      </c>
      <c r="N3919" t="str">
        <f t="shared" si="1883"/>
        <v>RECEITAS COM ENTREGAS</v>
      </c>
      <c r="O3919">
        <v>480.48</v>
      </c>
      <c r="R3919" t="str">
        <f t="shared" si="1884"/>
        <v>RECEITAS COM ENTREGAS (303)</v>
      </c>
      <c r="S3919">
        <v>2082</v>
      </c>
      <c r="T3919">
        <v>1563</v>
      </c>
      <c r="U3919" t="s">
        <v>19</v>
      </c>
    </row>
    <row r="3920" spans="1:21">
      <c r="A3920" t="str">
        <f t="shared" si="1879"/>
        <v>17/07/2025</v>
      </c>
      <c r="B3920" t="str">
        <f t="shared" si="1885"/>
        <v>ENTRADA</v>
      </c>
      <c r="C3920" t="str">
        <f t="shared" si="1880"/>
        <v>NFSE</v>
      </c>
      <c r="D3920" t="str">
        <f>"3225"</f>
        <v>3225</v>
      </c>
      <c r="E3920" t="str">
        <f t="shared" si="1870"/>
        <v>COM</v>
      </c>
      <c r="F3920" t="str">
        <f>"DELTA LOJA 2 (10123)"</f>
        <v>DELTA LOJA 2 (10123)</v>
      </c>
      <c r="G3920" t="str">
        <f>"Serv.Prest. 07/07/2025 a 13/07/2025 - RPS: 992 - NFSe: 3225"</f>
        <v>Serv.Prest. 07/07/2025 a 13/07/2025 - RPS: 992 - NFSe: 3225</v>
      </c>
      <c r="H3920" t="str">
        <f t="shared" si="1886"/>
        <v>16/07/2025</v>
      </c>
      <c r="I3920" t="str">
        <f t="shared" si="1887"/>
        <v>14/07/2025</v>
      </c>
      <c r="J3920" t="str">
        <f t="shared" si="1882"/>
        <v>17/07/2025</v>
      </c>
      <c r="M3920">
        <v>303</v>
      </c>
      <c r="N3920" t="str">
        <f t="shared" si="1883"/>
        <v>RECEITAS COM ENTREGAS</v>
      </c>
      <c r="P3920">
        <v>480.48</v>
      </c>
      <c r="Q3920" t="str">
        <f>"DELTA LOJA 2 (10123)"</f>
        <v>DELTA LOJA 2 (10123)</v>
      </c>
      <c r="R3920" t="str">
        <f t="shared" si="1884"/>
        <v>RECEITAS COM ENTREGAS (303)</v>
      </c>
      <c r="S3920">
        <v>2082</v>
      </c>
      <c r="T3920">
        <v>1563</v>
      </c>
      <c r="U3920" t="s">
        <v>19</v>
      </c>
    </row>
    <row r="3921" spans="1:21">
      <c r="A3921" t="str">
        <f t="shared" si="1879"/>
        <v>17/07/2025</v>
      </c>
      <c r="B3921" t="str">
        <f t="shared" si="1885"/>
        <v>ENTRADA</v>
      </c>
      <c r="C3921" t="str">
        <f t="shared" si="1880"/>
        <v>NFSE</v>
      </c>
      <c r="D3921" t="str">
        <f>"3226"</f>
        <v>3226</v>
      </c>
      <c r="E3921" t="str">
        <f t="shared" si="1870"/>
        <v>COM</v>
      </c>
      <c r="F3921" t="str">
        <f>"DROGA ELIDA (10121)"</f>
        <v>DROGA ELIDA (10121)</v>
      </c>
      <c r="G3921" t="str">
        <f>"Serv.Prest. 07/07/2025 a 13/07/2025 - RPS: 993 - NFSe: 3226"</f>
        <v>Serv.Prest. 07/07/2025 a 13/07/2025 - RPS: 993 - NFSe: 3226</v>
      </c>
      <c r="H3921" t="str">
        <f t="shared" si="1886"/>
        <v>16/07/2025</v>
      </c>
      <c r="I3921" t="str">
        <f t="shared" si="1887"/>
        <v>14/07/2025</v>
      </c>
      <c r="J3921" t="str">
        <f t="shared" si="1882"/>
        <v>17/07/2025</v>
      </c>
      <c r="K3921">
        <v>350.4</v>
      </c>
      <c r="L3921">
        <v>350.4</v>
      </c>
      <c r="M3921">
        <v>303</v>
      </c>
      <c r="N3921" t="str">
        <f t="shared" si="1883"/>
        <v>RECEITAS COM ENTREGAS</v>
      </c>
      <c r="O3921">
        <v>350.4</v>
      </c>
      <c r="R3921" t="str">
        <f t="shared" si="1884"/>
        <v>RECEITAS COM ENTREGAS (303)</v>
      </c>
      <c r="S3921">
        <v>2083</v>
      </c>
      <c r="T3921">
        <v>1564</v>
      </c>
      <c r="U3921" t="s">
        <v>19</v>
      </c>
    </row>
    <row r="3922" spans="1:21">
      <c r="A3922" t="str">
        <f t="shared" si="1879"/>
        <v>17/07/2025</v>
      </c>
      <c r="B3922" t="str">
        <f t="shared" si="1885"/>
        <v>ENTRADA</v>
      </c>
      <c r="C3922" t="str">
        <f t="shared" si="1880"/>
        <v>NFSE</v>
      </c>
      <c r="D3922" t="str">
        <f>"3226"</f>
        <v>3226</v>
      </c>
      <c r="E3922" t="str">
        <f t="shared" si="1870"/>
        <v>COM</v>
      </c>
      <c r="F3922" t="str">
        <f>"DROGA ELIDA (10121)"</f>
        <v>DROGA ELIDA (10121)</v>
      </c>
      <c r="G3922" t="str">
        <f>"Serv.Prest. 07/07/2025 a 13/07/2025 - RPS: 993 - NFSe: 3226"</f>
        <v>Serv.Prest. 07/07/2025 a 13/07/2025 - RPS: 993 - NFSe: 3226</v>
      </c>
      <c r="H3922" t="str">
        <f t="shared" si="1886"/>
        <v>16/07/2025</v>
      </c>
      <c r="I3922" t="str">
        <f t="shared" si="1887"/>
        <v>14/07/2025</v>
      </c>
      <c r="J3922" t="str">
        <f t="shared" si="1882"/>
        <v>17/07/2025</v>
      </c>
      <c r="M3922">
        <v>303</v>
      </c>
      <c r="N3922" t="str">
        <f t="shared" si="1883"/>
        <v>RECEITAS COM ENTREGAS</v>
      </c>
      <c r="P3922">
        <v>350.4</v>
      </c>
      <c r="Q3922" t="str">
        <f>"DROGA ELIDA (10121)"</f>
        <v>DROGA ELIDA (10121)</v>
      </c>
      <c r="R3922" t="str">
        <f t="shared" si="1884"/>
        <v>RECEITAS COM ENTREGAS (303)</v>
      </c>
      <c r="S3922">
        <v>2083</v>
      </c>
      <c r="T3922">
        <v>1564</v>
      </c>
      <c r="U3922" t="s">
        <v>19</v>
      </c>
    </row>
    <row r="3923" spans="1:21">
      <c r="A3923" t="str">
        <f t="shared" si="1879"/>
        <v>17/07/2025</v>
      </c>
      <c r="B3923" t="str">
        <f t="shared" si="1885"/>
        <v>ENTRADA</v>
      </c>
      <c r="C3923" t="str">
        <f t="shared" si="1880"/>
        <v>NFSE</v>
      </c>
      <c r="D3923" t="str">
        <f>"3231"</f>
        <v>3231</v>
      </c>
      <c r="E3923" t="str">
        <f t="shared" si="1870"/>
        <v>COM</v>
      </c>
      <c r="F3923" t="str">
        <f>"DROGARIA TOTAL JUNDIAI (10177)"</f>
        <v>DROGARIA TOTAL JUNDIAI (10177)</v>
      </c>
      <c r="G3923" t="str">
        <f>"Serv.Prest. 07/07/2025 a 13/07/2025 - RPS: 998 - NFSe: 3231"</f>
        <v>Serv.Prest. 07/07/2025 a 13/07/2025 - RPS: 998 - NFSe: 3231</v>
      </c>
      <c r="H3923" t="str">
        <f t="shared" si="1886"/>
        <v>16/07/2025</v>
      </c>
      <c r="I3923" t="str">
        <f t="shared" si="1887"/>
        <v>14/07/2025</v>
      </c>
      <c r="J3923" t="str">
        <f t="shared" si="1882"/>
        <v>17/07/2025</v>
      </c>
      <c r="K3923">
        <v>50.13</v>
      </c>
      <c r="L3923">
        <v>50.13</v>
      </c>
      <c r="M3923">
        <v>303</v>
      </c>
      <c r="N3923" t="str">
        <f t="shared" si="1883"/>
        <v>RECEITAS COM ENTREGAS</v>
      </c>
      <c r="O3923">
        <v>50.13</v>
      </c>
      <c r="R3923" t="str">
        <f t="shared" si="1884"/>
        <v>RECEITAS COM ENTREGAS (303)</v>
      </c>
      <c r="S3923">
        <v>2084</v>
      </c>
      <c r="T3923">
        <v>1569</v>
      </c>
      <c r="U3923" t="s">
        <v>19</v>
      </c>
    </row>
    <row r="3924" spans="1:21">
      <c r="A3924" t="str">
        <f t="shared" si="1879"/>
        <v>17/07/2025</v>
      </c>
      <c r="B3924" t="str">
        <f t="shared" si="1885"/>
        <v>ENTRADA</v>
      </c>
      <c r="C3924" t="str">
        <f t="shared" si="1880"/>
        <v>NFSE</v>
      </c>
      <c r="D3924" t="str">
        <f>"3231"</f>
        <v>3231</v>
      </c>
      <c r="E3924" t="str">
        <f t="shared" si="1870"/>
        <v>COM</v>
      </c>
      <c r="F3924" t="str">
        <f>"DROGARIA TOTAL JUNDIAI (10177)"</f>
        <v>DROGARIA TOTAL JUNDIAI (10177)</v>
      </c>
      <c r="G3924" t="str">
        <f>"Serv.Prest. 07/07/2025 a 13/07/2025 - RPS: 998 - NFSe: 3231"</f>
        <v>Serv.Prest. 07/07/2025 a 13/07/2025 - RPS: 998 - NFSe: 3231</v>
      </c>
      <c r="H3924" t="str">
        <f t="shared" si="1886"/>
        <v>16/07/2025</v>
      </c>
      <c r="I3924" t="str">
        <f t="shared" si="1887"/>
        <v>14/07/2025</v>
      </c>
      <c r="J3924" t="str">
        <f t="shared" si="1882"/>
        <v>17/07/2025</v>
      </c>
      <c r="M3924">
        <v>303</v>
      </c>
      <c r="N3924" t="str">
        <f t="shared" si="1883"/>
        <v>RECEITAS COM ENTREGAS</v>
      </c>
      <c r="P3924">
        <v>50.13</v>
      </c>
      <c r="Q3924" t="str">
        <f>"DROGARIA TOTAL JUNDIAI (10177)"</f>
        <v>DROGARIA TOTAL JUNDIAI (10177)</v>
      </c>
      <c r="R3924" t="str">
        <f t="shared" si="1884"/>
        <v>RECEITAS COM ENTREGAS (303)</v>
      </c>
      <c r="S3924">
        <v>2084</v>
      </c>
      <c r="T3924">
        <v>1569</v>
      </c>
      <c r="U3924" t="s">
        <v>19</v>
      </c>
    </row>
    <row r="3925" spans="1:21">
      <c r="A3925" t="str">
        <f t="shared" si="1879"/>
        <v>17/07/2025</v>
      </c>
      <c r="B3925" t="str">
        <f t="shared" si="1885"/>
        <v>ENTRADA</v>
      </c>
      <c r="C3925" t="str">
        <f t="shared" si="1880"/>
        <v>NFSE</v>
      </c>
      <c r="D3925" t="str">
        <f>"3234"</f>
        <v>3234</v>
      </c>
      <c r="E3925" t="str">
        <f t="shared" si="1870"/>
        <v>COM</v>
      </c>
      <c r="F3925" t="str">
        <f>"FRAN FARMA (10124)"</f>
        <v>FRAN FARMA (10124)</v>
      </c>
      <c r="G3925" t="str">
        <f>"Serv.Prest. 07/07/2025 a 13/07/2025 - RPS: 1001 - NFSe: 3234"</f>
        <v>Serv.Prest. 07/07/2025 a 13/07/2025 - RPS: 1001 - NFSe: 3234</v>
      </c>
      <c r="H3925" t="str">
        <f t="shared" si="1886"/>
        <v>16/07/2025</v>
      </c>
      <c r="I3925" t="str">
        <f t="shared" si="1887"/>
        <v>14/07/2025</v>
      </c>
      <c r="J3925" t="str">
        <f t="shared" si="1882"/>
        <v>17/07/2025</v>
      </c>
      <c r="K3925">
        <v>320</v>
      </c>
      <c r="L3925">
        <v>320</v>
      </c>
      <c r="M3925">
        <v>303</v>
      </c>
      <c r="N3925" t="str">
        <f t="shared" si="1883"/>
        <v>RECEITAS COM ENTREGAS</v>
      </c>
      <c r="O3925">
        <v>320</v>
      </c>
      <c r="R3925" t="str">
        <f t="shared" si="1884"/>
        <v>RECEITAS COM ENTREGAS (303)</v>
      </c>
      <c r="S3925">
        <v>2085</v>
      </c>
      <c r="T3925">
        <v>1572</v>
      </c>
      <c r="U3925" t="s">
        <v>19</v>
      </c>
    </row>
    <row r="3926" spans="1:21">
      <c r="A3926" t="str">
        <f t="shared" si="1879"/>
        <v>17/07/2025</v>
      </c>
      <c r="B3926" t="str">
        <f t="shared" si="1885"/>
        <v>ENTRADA</v>
      </c>
      <c r="C3926" t="str">
        <f t="shared" si="1880"/>
        <v>NFSE</v>
      </c>
      <c r="D3926" t="str">
        <f>"3234"</f>
        <v>3234</v>
      </c>
      <c r="E3926" t="str">
        <f t="shared" si="1870"/>
        <v>COM</v>
      </c>
      <c r="F3926" t="str">
        <f>"FRAN FARMA (10124)"</f>
        <v>FRAN FARMA (10124)</v>
      </c>
      <c r="G3926" t="str">
        <f>"Serv.Prest. 07/07/2025 a 13/07/2025 - RPS: 1001 - NFSe: 3234"</f>
        <v>Serv.Prest. 07/07/2025 a 13/07/2025 - RPS: 1001 - NFSe: 3234</v>
      </c>
      <c r="H3926" t="str">
        <f t="shared" si="1886"/>
        <v>16/07/2025</v>
      </c>
      <c r="I3926" t="str">
        <f t="shared" si="1887"/>
        <v>14/07/2025</v>
      </c>
      <c r="J3926" t="str">
        <f t="shared" si="1882"/>
        <v>17/07/2025</v>
      </c>
      <c r="M3926">
        <v>303</v>
      </c>
      <c r="N3926" t="str">
        <f t="shared" si="1883"/>
        <v>RECEITAS COM ENTREGAS</v>
      </c>
      <c r="P3926">
        <v>64</v>
      </c>
      <c r="Q3926" t="str">
        <f>"FRAN FARMA (10124)"</f>
        <v>FRAN FARMA (10124)</v>
      </c>
      <c r="R3926" t="str">
        <f t="shared" si="1884"/>
        <v>RECEITAS COM ENTREGAS (303)</v>
      </c>
      <c r="S3926">
        <v>2085</v>
      </c>
      <c r="T3926">
        <v>1572</v>
      </c>
      <c r="U3926" t="s">
        <v>19</v>
      </c>
    </row>
    <row r="3927" spans="1:21">
      <c r="A3927" t="str">
        <f t="shared" si="1879"/>
        <v>17/07/2025</v>
      </c>
      <c r="B3927" t="str">
        <f t="shared" si="1885"/>
        <v>ENTRADA</v>
      </c>
      <c r="C3927" t="str">
        <f t="shared" si="1880"/>
        <v>NFSE</v>
      </c>
      <c r="D3927" t="str">
        <f>"3234"</f>
        <v>3234</v>
      </c>
      <c r="E3927" t="str">
        <f t="shared" si="1870"/>
        <v>COM</v>
      </c>
      <c r="F3927" t="str">
        <f>"FRAN FARMA (10124)"</f>
        <v>FRAN FARMA (10124)</v>
      </c>
      <c r="G3927" t="str">
        <f>"Serv.Prest. 07/07/2025 a 13/07/2025 - RPS: 1001 - NFSe: 3234"</f>
        <v>Serv.Prest. 07/07/2025 a 13/07/2025 - RPS: 1001 - NFSe: 3234</v>
      </c>
      <c r="H3927" t="str">
        <f t="shared" si="1886"/>
        <v>16/07/2025</v>
      </c>
      <c r="I3927" t="str">
        <f t="shared" si="1887"/>
        <v>14/07/2025</v>
      </c>
      <c r="J3927" t="str">
        <f t="shared" si="1882"/>
        <v>17/07/2025</v>
      </c>
      <c r="M3927">
        <v>303</v>
      </c>
      <c r="N3927" t="str">
        <f t="shared" si="1883"/>
        <v>RECEITAS COM ENTREGAS</v>
      </c>
      <c r="P3927">
        <v>192</v>
      </c>
      <c r="Q3927" t="str">
        <f>"FRAN FARMA LJ 2 (10131)"</f>
        <v>FRAN FARMA LJ 2 (10131)</v>
      </c>
      <c r="R3927" t="str">
        <f t="shared" si="1884"/>
        <v>RECEITAS COM ENTREGAS (303)</v>
      </c>
      <c r="S3927">
        <v>2085</v>
      </c>
      <c r="T3927">
        <v>1572</v>
      </c>
      <c r="U3927" t="s">
        <v>19</v>
      </c>
    </row>
    <row r="3928" spans="1:21">
      <c r="A3928" t="str">
        <f t="shared" si="1879"/>
        <v>17/07/2025</v>
      </c>
      <c r="B3928" t="str">
        <f t="shared" si="1885"/>
        <v>ENTRADA</v>
      </c>
      <c r="C3928" t="str">
        <f t="shared" si="1880"/>
        <v>NFSE</v>
      </c>
      <c r="D3928" t="str">
        <f>"3234"</f>
        <v>3234</v>
      </c>
      <c r="E3928" t="str">
        <f t="shared" si="1870"/>
        <v>COM</v>
      </c>
      <c r="F3928" t="str">
        <f>"FRAN FARMA (10124)"</f>
        <v>FRAN FARMA (10124)</v>
      </c>
      <c r="G3928" t="str">
        <f>"Serv.Prest. 07/07/2025 a 13/07/2025 - RPS: 1001 - NFSe: 3234"</f>
        <v>Serv.Prest. 07/07/2025 a 13/07/2025 - RPS: 1001 - NFSe: 3234</v>
      </c>
      <c r="H3928" t="str">
        <f t="shared" si="1886"/>
        <v>16/07/2025</v>
      </c>
      <c r="I3928" t="str">
        <f t="shared" si="1887"/>
        <v>14/07/2025</v>
      </c>
      <c r="J3928" t="str">
        <f t="shared" si="1882"/>
        <v>17/07/2025</v>
      </c>
      <c r="M3928">
        <v>303</v>
      </c>
      <c r="N3928" t="str">
        <f t="shared" si="1883"/>
        <v>RECEITAS COM ENTREGAS</v>
      </c>
      <c r="P3928">
        <v>64</v>
      </c>
      <c r="Q3928" t="str">
        <f>"FRAN FARMA LJ 3 (10132)"</f>
        <v>FRAN FARMA LJ 3 (10132)</v>
      </c>
      <c r="R3928" t="str">
        <f t="shared" si="1884"/>
        <v>RECEITAS COM ENTREGAS (303)</v>
      </c>
      <c r="S3928">
        <v>2085</v>
      </c>
      <c r="T3928">
        <v>1572</v>
      </c>
      <c r="U3928" t="s">
        <v>19</v>
      </c>
    </row>
    <row r="3929" spans="1:21">
      <c r="A3929" t="str">
        <f t="shared" si="1879"/>
        <v>17/07/2025</v>
      </c>
      <c r="B3929" t="str">
        <f t="shared" si="1885"/>
        <v>ENTRADA</v>
      </c>
      <c r="C3929" t="str">
        <f t="shared" si="1880"/>
        <v>NFSE</v>
      </c>
      <c r="D3929" t="str">
        <f>"3235"</f>
        <v>3235</v>
      </c>
      <c r="E3929" t="str">
        <f t="shared" si="1870"/>
        <v>COM</v>
      </c>
      <c r="F3929" t="str">
        <f>"DROGA MONICA LJ 3 (10152)"</f>
        <v>DROGA MONICA LJ 3 (10152)</v>
      </c>
      <c r="G3929" t="str">
        <f>"Serv.Prest. 07/07/2025 a 13/07/2025 - RPS: 1002 - NFSe: 3235"</f>
        <v>Serv.Prest. 07/07/2025 a 13/07/2025 - RPS: 1002 - NFSe: 3235</v>
      </c>
      <c r="H3929" t="str">
        <f t="shared" si="1886"/>
        <v>16/07/2025</v>
      </c>
      <c r="I3929" t="str">
        <f t="shared" si="1887"/>
        <v>14/07/2025</v>
      </c>
      <c r="J3929" t="str">
        <f t="shared" si="1882"/>
        <v>17/07/2025</v>
      </c>
      <c r="K3929">
        <v>206.4</v>
      </c>
      <c r="L3929">
        <v>206.4</v>
      </c>
      <c r="M3929">
        <v>303</v>
      </c>
      <c r="N3929" t="str">
        <f t="shared" si="1883"/>
        <v>RECEITAS COM ENTREGAS</v>
      </c>
      <c r="O3929">
        <v>206.4</v>
      </c>
      <c r="R3929" t="str">
        <f t="shared" si="1884"/>
        <v>RECEITAS COM ENTREGAS (303)</v>
      </c>
      <c r="S3929">
        <v>2086</v>
      </c>
      <c r="T3929">
        <v>1573</v>
      </c>
      <c r="U3929" t="s">
        <v>19</v>
      </c>
    </row>
    <row r="3930" spans="1:21">
      <c r="A3930" t="str">
        <f t="shared" si="1879"/>
        <v>17/07/2025</v>
      </c>
      <c r="B3930" t="str">
        <f t="shared" si="1885"/>
        <v>ENTRADA</v>
      </c>
      <c r="C3930" t="str">
        <f t="shared" si="1880"/>
        <v>NFSE</v>
      </c>
      <c r="D3930" t="str">
        <f>"3235"</f>
        <v>3235</v>
      </c>
      <c r="E3930" t="str">
        <f t="shared" si="1870"/>
        <v>COM</v>
      </c>
      <c r="F3930" t="str">
        <f>"DROGA MONICA LJ 3 (10152)"</f>
        <v>DROGA MONICA LJ 3 (10152)</v>
      </c>
      <c r="G3930" t="str">
        <f>"Serv.Prest. 07/07/2025 a 13/07/2025 - RPS: 1002 - NFSe: 3235"</f>
        <v>Serv.Prest. 07/07/2025 a 13/07/2025 - RPS: 1002 - NFSe: 3235</v>
      </c>
      <c r="H3930" t="str">
        <f t="shared" si="1886"/>
        <v>16/07/2025</v>
      </c>
      <c r="I3930" t="str">
        <f t="shared" si="1887"/>
        <v>14/07/2025</v>
      </c>
      <c r="J3930" t="str">
        <f t="shared" si="1882"/>
        <v>17/07/2025</v>
      </c>
      <c r="M3930">
        <v>303</v>
      </c>
      <c r="N3930" t="str">
        <f t="shared" si="1883"/>
        <v>RECEITAS COM ENTREGAS</v>
      </c>
      <c r="P3930">
        <v>206.4</v>
      </c>
      <c r="Q3930" t="str">
        <f>"DROGA MONICA LJ 3 (10152)"</f>
        <v>DROGA MONICA LJ 3 (10152)</v>
      </c>
      <c r="R3930" t="str">
        <f t="shared" si="1884"/>
        <v>RECEITAS COM ENTREGAS (303)</v>
      </c>
      <c r="S3930">
        <v>2086</v>
      </c>
      <c r="T3930">
        <v>1573</v>
      </c>
      <c r="U3930" t="s">
        <v>19</v>
      </c>
    </row>
    <row r="3931" spans="1:21">
      <c r="A3931" t="str">
        <f t="shared" si="1879"/>
        <v>17/07/2025</v>
      </c>
      <c r="B3931" t="str">
        <f t="shared" si="1885"/>
        <v>ENTRADA</v>
      </c>
      <c r="C3931" t="str">
        <f t="shared" si="1880"/>
        <v>NFSE</v>
      </c>
      <c r="D3931" t="str">
        <f>"3242"</f>
        <v>3242</v>
      </c>
      <c r="E3931" t="str">
        <f t="shared" si="1870"/>
        <v>COM</v>
      </c>
      <c r="F3931" t="str">
        <f>"JAL FARMACIA E DROGARIA LJ 1 (10137)"</f>
        <v>JAL FARMACIA E DROGARIA LJ 1 (10137)</v>
      </c>
      <c r="G3931" t="str">
        <f>"Serv.Prest. 07/07/2025 a 13/07/2025 - RPS: 1009 - NFSe: 3242"</f>
        <v>Serv.Prest. 07/07/2025 a 13/07/2025 - RPS: 1009 - NFSe: 3242</v>
      </c>
      <c r="H3931" t="str">
        <f t="shared" si="1886"/>
        <v>16/07/2025</v>
      </c>
      <c r="I3931" t="str">
        <f>("15/07/2025")</f>
        <v>15/07/2025</v>
      </c>
      <c r="J3931" t="str">
        <f t="shared" si="1882"/>
        <v>17/07/2025</v>
      </c>
      <c r="K3931">
        <v>467.2</v>
      </c>
      <c r="L3931">
        <v>467.2</v>
      </c>
      <c r="M3931">
        <v>303</v>
      </c>
      <c r="N3931" t="str">
        <f t="shared" si="1883"/>
        <v>RECEITAS COM ENTREGAS</v>
      </c>
      <c r="O3931">
        <v>467.2</v>
      </c>
      <c r="R3931" t="str">
        <f t="shared" si="1884"/>
        <v>RECEITAS COM ENTREGAS (303)</v>
      </c>
      <c r="S3931">
        <v>2087</v>
      </c>
      <c r="T3931">
        <v>1580</v>
      </c>
      <c r="U3931" t="s">
        <v>19</v>
      </c>
    </row>
    <row r="3932" spans="1:21">
      <c r="A3932" t="str">
        <f t="shared" si="1879"/>
        <v>17/07/2025</v>
      </c>
      <c r="B3932" t="str">
        <f t="shared" si="1885"/>
        <v>ENTRADA</v>
      </c>
      <c r="C3932" t="str">
        <f t="shared" si="1880"/>
        <v>NFSE</v>
      </c>
      <c r="D3932" t="str">
        <f>"3242"</f>
        <v>3242</v>
      </c>
      <c r="E3932" t="str">
        <f t="shared" si="1870"/>
        <v>COM</v>
      </c>
      <c r="F3932" t="str">
        <f>"JAL FARMACIA E DROGARIA LJ 1 (10137)"</f>
        <v>JAL FARMACIA E DROGARIA LJ 1 (10137)</v>
      </c>
      <c r="G3932" t="str">
        <f>"Serv.Prest. 07/07/2025 a 13/07/2025 - RPS: 1009 - NFSe: 3242"</f>
        <v>Serv.Prest. 07/07/2025 a 13/07/2025 - RPS: 1009 - NFSe: 3242</v>
      </c>
      <c r="H3932" t="str">
        <f t="shared" si="1886"/>
        <v>16/07/2025</v>
      </c>
      <c r="I3932" t="str">
        <f>("15/07/2025")</f>
        <v>15/07/2025</v>
      </c>
      <c r="J3932" t="str">
        <f t="shared" si="1882"/>
        <v>17/07/2025</v>
      </c>
      <c r="M3932">
        <v>303</v>
      </c>
      <c r="N3932" t="str">
        <f t="shared" si="1883"/>
        <v>RECEITAS COM ENTREGAS</v>
      </c>
      <c r="P3932">
        <v>467.2</v>
      </c>
      <c r="Q3932" t="str">
        <f>"JAL FARMACIA E DROGARIA LJ 1 (10137)"</f>
        <v>JAL FARMACIA E DROGARIA LJ 1 (10137)</v>
      </c>
      <c r="R3932" t="str">
        <f t="shared" si="1884"/>
        <v>RECEITAS COM ENTREGAS (303)</v>
      </c>
      <c r="S3932">
        <v>2087</v>
      </c>
      <c r="T3932">
        <v>1580</v>
      </c>
      <c r="U3932" t="s">
        <v>19</v>
      </c>
    </row>
    <row r="3933" spans="1:21">
      <c r="A3933" t="str">
        <f t="shared" si="1879"/>
        <v>17/07/2025</v>
      </c>
      <c r="B3933" t="str">
        <f t="shared" si="1885"/>
        <v>ENTRADA</v>
      </c>
      <c r="C3933" t="str">
        <f t="shared" si="1880"/>
        <v>NFSE</v>
      </c>
      <c r="D3933" t="str">
        <f>"3237"</f>
        <v>3237</v>
      </c>
      <c r="E3933" t="str">
        <f t="shared" si="1870"/>
        <v>COM</v>
      </c>
      <c r="F3933" t="str">
        <f>"DROGARIA POUPA MINAS (ULTRAMINAS) 3 (10129)"</f>
        <v>DROGARIA POUPA MINAS (ULTRAMINAS) 3 (10129)</v>
      </c>
      <c r="G3933" t="str">
        <f>"Serv.Prest. 07/07/2025 a 13/07/2025 - RPS: 1004 - NFSe: 3237"</f>
        <v>Serv.Prest. 07/07/2025 a 13/07/2025 - RPS: 1004 - NFSe: 3237</v>
      </c>
      <c r="H3933" t="str">
        <f t="shared" ref="H3933:H3948" si="1888">("17/07/2025")</f>
        <v>17/07/2025</v>
      </c>
      <c r="I3933" t="str">
        <f>("14/07/2025")</f>
        <v>14/07/2025</v>
      </c>
      <c r="J3933" t="str">
        <f t="shared" si="1882"/>
        <v>17/07/2025</v>
      </c>
      <c r="K3933">
        <v>274.56</v>
      </c>
      <c r="L3933">
        <v>274.56</v>
      </c>
      <c r="M3933">
        <v>303</v>
      </c>
      <c r="N3933" t="str">
        <f t="shared" si="1883"/>
        <v>RECEITAS COM ENTREGAS</v>
      </c>
      <c r="O3933">
        <v>274.56</v>
      </c>
      <c r="R3933" t="str">
        <f t="shared" si="1884"/>
        <v>RECEITAS COM ENTREGAS (303)</v>
      </c>
      <c r="S3933">
        <v>2088</v>
      </c>
      <c r="T3933">
        <v>1575</v>
      </c>
      <c r="U3933" t="s">
        <v>19</v>
      </c>
    </row>
    <row r="3934" spans="1:21">
      <c r="A3934" t="str">
        <f t="shared" si="1879"/>
        <v>17/07/2025</v>
      </c>
      <c r="B3934" t="str">
        <f t="shared" si="1885"/>
        <v>ENTRADA</v>
      </c>
      <c r="C3934" t="str">
        <f t="shared" si="1880"/>
        <v>NFSE</v>
      </c>
      <c r="D3934" t="str">
        <f>"3237"</f>
        <v>3237</v>
      </c>
      <c r="E3934" t="str">
        <f t="shared" si="1870"/>
        <v>COM</v>
      </c>
      <c r="F3934" t="str">
        <f>"DROGARIA POUPA MINAS (ULTRAMINAS) 3 (10129)"</f>
        <v>DROGARIA POUPA MINAS (ULTRAMINAS) 3 (10129)</v>
      </c>
      <c r="G3934" t="str">
        <f>"Serv.Prest. 07/07/2025 a 13/07/2025 - RPS: 1004 - NFSe: 3237"</f>
        <v>Serv.Prest. 07/07/2025 a 13/07/2025 - RPS: 1004 - NFSe: 3237</v>
      </c>
      <c r="H3934" t="str">
        <f t="shared" si="1888"/>
        <v>17/07/2025</v>
      </c>
      <c r="I3934" t="str">
        <f>("14/07/2025")</f>
        <v>14/07/2025</v>
      </c>
      <c r="J3934" t="str">
        <f t="shared" si="1882"/>
        <v>17/07/2025</v>
      </c>
      <c r="M3934">
        <v>303</v>
      </c>
      <c r="N3934" t="str">
        <f t="shared" si="1883"/>
        <v>RECEITAS COM ENTREGAS</v>
      </c>
      <c r="P3934">
        <v>274.56</v>
      </c>
      <c r="Q3934" t="str">
        <f>"DROGARIA POUPA MINAS (ULTRAMINAS) 3 (10129)"</f>
        <v>DROGARIA POUPA MINAS (ULTRAMINAS) 3 (10129)</v>
      </c>
      <c r="R3934" t="str">
        <f t="shared" si="1884"/>
        <v>RECEITAS COM ENTREGAS (303)</v>
      </c>
      <c r="S3934">
        <v>2088</v>
      </c>
      <c r="T3934">
        <v>1575</v>
      </c>
      <c r="U3934" t="s">
        <v>19</v>
      </c>
    </row>
    <row r="3935" spans="1:21">
      <c r="A3935" t="str">
        <f t="shared" si="1879"/>
        <v>17/07/2025</v>
      </c>
      <c r="B3935" t="str">
        <f t="shared" si="1885"/>
        <v>ENTRADA</v>
      </c>
      <c r="C3935" t="str">
        <f t="shared" si="1880"/>
        <v>NFSE</v>
      </c>
      <c r="D3935" t="str">
        <f>"3245"</f>
        <v>3245</v>
      </c>
      <c r="E3935" t="str">
        <f t="shared" si="1870"/>
        <v>COM</v>
      </c>
      <c r="F3935" t="str">
        <f>"DROGARIA POUPA MINAS (DOIS AMIGOS) 5 (10140)"</f>
        <v>DROGARIA POUPA MINAS (DOIS AMIGOS) 5 (10140)</v>
      </c>
      <c r="G3935" t="str">
        <f>"Serv.Prest. 07/07/2025 a 13/07/2025 - RPS: 1012 - NFSe: 3245"</f>
        <v>Serv.Prest. 07/07/2025 a 13/07/2025 - RPS: 1012 - NFSe: 3245</v>
      </c>
      <c r="H3935" t="str">
        <f t="shared" si="1888"/>
        <v>17/07/2025</v>
      </c>
      <c r="I3935" t="str">
        <f>("15/07/2025")</f>
        <v>15/07/2025</v>
      </c>
      <c r="J3935" t="str">
        <f t="shared" si="1882"/>
        <v>17/07/2025</v>
      </c>
      <c r="K3935">
        <v>764.24</v>
      </c>
      <c r="L3935">
        <v>764.24</v>
      </c>
      <c r="M3935">
        <v>303</v>
      </c>
      <c r="N3935" t="str">
        <f t="shared" si="1883"/>
        <v>RECEITAS COM ENTREGAS</v>
      </c>
      <c r="O3935">
        <v>764.24</v>
      </c>
      <c r="R3935" t="str">
        <f t="shared" si="1884"/>
        <v>RECEITAS COM ENTREGAS (303)</v>
      </c>
      <c r="S3935">
        <v>2089</v>
      </c>
      <c r="T3935">
        <v>1583</v>
      </c>
      <c r="U3935" t="s">
        <v>19</v>
      </c>
    </row>
    <row r="3936" spans="1:21">
      <c r="A3936" t="str">
        <f t="shared" si="1879"/>
        <v>17/07/2025</v>
      </c>
      <c r="B3936" t="str">
        <f t="shared" si="1885"/>
        <v>ENTRADA</v>
      </c>
      <c r="C3936" t="str">
        <f t="shared" si="1880"/>
        <v>NFSE</v>
      </c>
      <c r="D3936" t="str">
        <f>"3245"</f>
        <v>3245</v>
      </c>
      <c r="E3936" t="str">
        <f t="shared" si="1870"/>
        <v>COM</v>
      </c>
      <c r="F3936" t="str">
        <f>"DROGARIA POUPA MINAS (DOIS AMIGOS) 5 (10140)"</f>
        <v>DROGARIA POUPA MINAS (DOIS AMIGOS) 5 (10140)</v>
      </c>
      <c r="G3936" t="str">
        <f>"Serv.Prest. 07/07/2025 a 13/07/2025 - RPS: 1012 - NFSe: 3245"</f>
        <v>Serv.Prest. 07/07/2025 a 13/07/2025 - RPS: 1012 - NFSe: 3245</v>
      </c>
      <c r="H3936" t="str">
        <f t="shared" si="1888"/>
        <v>17/07/2025</v>
      </c>
      <c r="I3936" t="str">
        <f>("15/07/2025")</f>
        <v>15/07/2025</v>
      </c>
      <c r="J3936" t="str">
        <f t="shared" si="1882"/>
        <v>17/07/2025</v>
      </c>
      <c r="M3936">
        <v>303</v>
      </c>
      <c r="N3936" t="str">
        <f t="shared" si="1883"/>
        <v>RECEITAS COM ENTREGAS</v>
      </c>
      <c r="P3936">
        <v>764.24</v>
      </c>
      <c r="Q3936" t="str">
        <f>"DROGARIA POUPA MINAS (ULTRAMINAS) 1 (10181)"</f>
        <v>DROGARIA POUPA MINAS (ULTRAMINAS) 1 (10181)</v>
      </c>
      <c r="R3936" t="str">
        <f t="shared" si="1884"/>
        <v>RECEITAS COM ENTREGAS (303)</v>
      </c>
      <c r="S3936">
        <v>2089</v>
      </c>
      <c r="T3936">
        <v>1583</v>
      </c>
      <c r="U3936" t="s">
        <v>19</v>
      </c>
    </row>
    <row r="3937" spans="1:21">
      <c r="A3937" t="str">
        <f t="shared" si="1879"/>
        <v>17/07/2025</v>
      </c>
      <c r="B3937" t="str">
        <f t="shared" ref="B3937:B3959" si="1889">"SAÍDA"</f>
        <v>SAÍDA</v>
      </c>
      <c r="C3937" t="str">
        <f t="shared" ref="C3937:C3948" si="1890">"CONHECIMENTO"</f>
        <v>CONHECIMENTO</v>
      </c>
      <c r="D3937" t="str">
        <f t="shared" ref="D3937:D3948" si="1891">"1707251701"</f>
        <v>1707251701</v>
      </c>
      <c r="E3937" t="str">
        <f t="shared" si="1870"/>
        <v>COM</v>
      </c>
      <c r="F3937" t="str">
        <f t="shared" ref="F3937:F3948" si="1892">"CORA SOCIEDADE DE CREDITO, FINANCIAMENTO E INVESTIMENTO (20035)"</f>
        <v>CORA SOCIEDADE DE CREDITO, FINANCIAMENTO E INVESTIMENTO (20035)</v>
      </c>
      <c r="G3937" t="str">
        <f t="shared" ref="G3937:G3948" si="1893">"TAXA BOLETO COMPENSADO"</f>
        <v>TAXA BOLETO COMPENSADO</v>
      </c>
      <c r="H3937" t="str">
        <f t="shared" si="1888"/>
        <v>17/07/2025</v>
      </c>
      <c r="I3937" t="str">
        <f t="shared" ref="I3937:I3948" si="1894">("17/07/2025")</f>
        <v>17/07/2025</v>
      </c>
      <c r="J3937" t="str">
        <f t="shared" si="1882"/>
        <v>17/07/2025</v>
      </c>
      <c r="K3937">
        <v>1.7</v>
      </c>
      <c r="L3937">
        <v>1.7</v>
      </c>
      <c r="M3937">
        <v>401</v>
      </c>
      <c r="N3937" t="str">
        <f t="shared" ref="N3937:N3948" si="1895">"IOF/JUROS/DESP.FINANCEIRA"</f>
        <v>IOF/JUROS/DESP.FINANCEIRA</v>
      </c>
      <c r="O3937">
        <v>1.7</v>
      </c>
      <c r="R3937" t="str">
        <f t="shared" ref="R3937:R3959" si="1896">"BANCO CORA (102)"</f>
        <v>BANCO CORA (102)</v>
      </c>
      <c r="S3937">
        <v>2159</v>
      </c>
      <c r="T3937">
        <v>1692</v>
      </c>
      <c r="U3937" t="s">
        <v>19</v>
      </c>
    </row>
    <row r="3938" spans="1:21">
      <c r="A3938" t="str">
        <f t="shared" si="1879"/>
        <v>17/07/2025</v>
      </c>
      <c r="B3938" t="str">
        <f t="shared" si="1889"/>
        <v>SAÍDA</v>
      </c>
      <c r="C3938" t="str">
        <f t="shared" si="1890"/>
        <v>CONHECIMENTO</v>
      </c>
      <c r="D3938" t="str">
        <f t="shared" si="1891"/>
        <v>1707251701</v>
      </c>
      <c r="E3938" t="str">
        <f t="shared" si="1870"/>
        <v>COM</v>
      </c>
      <c r="F3938" t="str">
        <f t="shared" si="1892"/>
        <v>CORA SOCIEDADE DE CREDITO, FINANCIAMENTO E INVESTIMENTO (20035)</v>
      </c>
      <c r="G3938" t="str">
        <f t="shared" si="1893"/>
        <v>TAXA BOLETO COMPENSADO</v>
      </c>
      <c r="H3938" t="str">
        <f t="shared" si="1888"/>
        <v>17/07/2025</v>
      </c>
      <c r="I3938" t="str">
        <f t="shared" si="1894"/>
        <v>17/07/2025</v>
      </c>
      <c r="J3938" t="str">
        <f t="shared" si="1882"/>
        <v>17/07/2025</v>
      </c>
      <c r="K3938">
        <v>1.7</v>
      </c>
      <c r="L3938">
        <v>1.7</v>
      </c>
      <c r="M3938">
        <v>401</v>
      </c>
      <c r="N3938" t="str">
        <f t="shared" si="1895"/>
        <v>IOF/JUROS/DESP.FINANCEIRA</v>
      </c>
      <c r="O3938">
        <v>1.7</v>
      </c>
      <c r="R3938" t="str">
        <f t="shared" si="1896"/>
        <v>BANCO CORA (102)</v>
      </c>
      <c r="S3938">
        <v>2160</v>
      </c>
      <c r="T3938">
        <v>1693</v>
      </c>
      <c r="U3938" t="s">
        <v>19</v>
      </c>
    </row>
    <row r="3939" spans="1:21">
      <c r="A3939" t="str">
        <f t="shared" si="1879"/>
        <v>17/07/2025</v>
      </c>
      <c r="B3939" t="str">
        <f t="shared" si="1889"/>
        <v>SAÍDA</v>
      </c>
      <c r="C3939" t="str">
        <f t="shared" si="1890"/>
        <v>CONHECIMENTO</v>
      </c>
      <c r="D3939" t="str">
        <f t="shared" si="1891"/>
        <v>1707251701</v>
      </c>
      <c r="E3939" t="str">
        <f t="shared" si="1870"/>
        <v>COM</v>
      </c>
      <c r="F3939" t="str">
        <f t="shared" si="1892"/>
        <v>CORA SOCIEDADE DE CREDITO, FINANCIAMENTO E INVESTIMENTO (20035)</v>
      </c>
      <c r="G3939" t="str">
        <f t="shared" si="1893"/>
        <v>TAXA BOLETO COMPENSADO</v>
      </c>
      <c r="H3939" t="str">
        <f t="shared" si="1888"/>
        <v>17/07/2025</v>
      </c>
      <c r="I3939" t="str">
        <f t="shared" si="1894"/>
        <v>17/07/2025</v>
      </c>
      <c r="J3939" t="str">
        <f t="shared" si="1882"/>
        <v>17/07/2025</v>
      </c>
      <c r="K3939">
        <v>1.7</v>
      </c>
      <c r="L3939">
        <v>1.7</v>
      </c>
      <c r="M3939">
        <v>401</v>
      </c>
      <c r="N3939" t="str">
        <f t="shared" si="1895"/>
        <v>IOF/JUROS/DESP.FINANCEIRA</v>
      </c>
      <c r="O3939">
        <v>1.7</v>
      </c>
      <c r="R3939" t="str">
        <f t="shared" si="1896"/>
        <v>BANCO CORA (102)</v>
      </c>
      <c r="S3939">
        <v>2161</v>
      </c>
      <c r="T3939">
        <v>1694</v>
      </c>
      <c r="U3939" t="s">
        <v>19</v>
      </c>
    </row>
    <row r="3940" spans="1:21">
      <c r="A3940" t="str">
        <f t="shared" si="1879"/>
        <v>17/07/2025</v>
      </c>
      <c r="B3940" t="str">
        <f t="shared" si="1889"/>
        <v>SAÍDA</v>
      </c>
      <c r="C3940" t="str">
        <f t="shared" si="1890"/>
        <v>CONHECIMENTO</v>
      </c>
      <c r="D3940" t="str">
        <f t="shared" si="1891"/>
        <v>1707251701</v>
      </c>
      <c r="E3940" t="str">
        <f t="shared" si="1870"/>
        <v>COM</v>
      </c>
      <c r="F3940" t="str">
        <f t="shared" si="1892"/>
        <v>CORA SOCIEDADE DE CREDITO, FINANCIAMENTO E INVESTIMENTO (20035)</v>
      </c>
      <c r="G3940" t="str">
        <f t="shared" si="1893"/>
        <v>TAXA BOLETO COMPENSADO</v>
      </c>
      <c r="H3940" t="str">
        <f t="shared" si="1888"/>
        <v>17/07/2025</v>
      </c>
      <c r="I3940" t="str">
        <f t="shared" si="1894"/>
        <v>17/07/2025</v>
      </c>
      <c r="J3940" t="str">
        <f t="shared" si="1882"/>
        <v>17/07/2025</v>
      </c>
      <c r="K3940">
        <v>1.7</v>
      </c>
      <c r="L3940">
        <v>1.7</v>
      </c>
      <c r="M3940">
        <v>401</v>
      </c>
      <c r="N3940" t="str">
        <f t="shared" si="1895"/>
        <v>IOF/JUROS/DESP.FINANCEIRA</v>
      </c>
      <c r="O3940">
        <v>1.7</v>
      </c>
      <c r="R3940" t="str">
        <f t="shared" si="1896"/>
        <v>BANCO CORA (102)</v>
      </c>
      <c r="S3940">
        <v>2162</v>
      </c>
      <c r="T3940">
        <v>1695</v>
      </c>
      <c r="U3940" t="s">
        <v>19</v>
      </c>
    </row>
    <row r="3941" spans="1:21">
      <c r="A3941" t="str">
        <f t="shared" si="1879"/>
        <v>17/07/2025</v>
      </c>
      <c r="B3941" t="str">
        <f t="shared" si="1889"/>
        <v>SAÍDA</v>
      </c>
      <c r="C3941" t="str">
        <f t="shared" si="1890"/>
        <v>CONHECIMENTO</v>
      </c>
      <c r="D3941" t="str">
        <f t="shared" si="1891"/>
        <v>1707251701</v>
      </c>
      <c r="E3941" t="str">
        <f t="shared" si="1870"/>
        <v>COM</v>
      </c>
      <c r="F3941" t="str">
        <f t="shared" si="1892"/>
        <v>CORA SOCIEDADE DE CREDITO, FINANCIAMENTO E INVESTIMENTO (20035)</v>
      </c>
      <c r="G3941" t="str">
        <f t="shared" si="1893"/>
        <v>TAXA BOLETO COMPENSADO</v>
      </c>
      <c r="H3941" t="str">
        <f t="shared" si="1888"/>
        <v>17/07/2025</v>
      </c>
      <c r="I3941" t="str">
        <f t="shared" si="1894"/>
        <v>17/07/2025</v>
      </c>
      <c r="J3941" t="str">
        <f t="shared" si="1882"/>
        <v>17/07/2025</v>
      </c>
      <c r="K3941">
        <v>1.7</v>
      </c>
      <c r="L3941">
        <v>1.7</v>
      </c>
      <c r="M3941">
        <v>401</v>
      </c>
      <c r="N3941" t="str">
        <f t="shared" si="1895"/>
        <v>IOF/JUROS/DESP.FINANCEIRA</v>
      </c>
      <c r="O3941">
        <v>1.7</v>
      </c>
      <c r="R3941" t="str">
        <f t="shared" si="1896"/>
        <v>BANCO CORA (102)</v>
      </c>
      <c r="S3941">
        <v>2163</v>
      </c>
      <c r="T3941">
        <v>1696</v>
      </c>
      <c r="U3941" t="s">
        <v>19</v>
      </c>
    </row>
    <row r="3942" spans="1:21">
      <c r="A3942" t="str">
        <f t="shared" si="1879"/>
        <v>17/07/2025</v>
      </c>
      <c r="B3942" t="str">
        <f t="shared" si="1889"/>
        <v>SAÍDA</v>
      </c>
      <c r="C3942" t="str">
        <f t="shared" si="1890"/>
        <v>CONHECIMENTO</v>
      </c>
      <c r="D3942" t="str">
        <f t="shared" si="1891"/>
        <v>1707251701</v>
      </c>
      <c r="E3942" t="str">
        <f t="shared" si="1870"/>
        <v>COM</v>
      </c>
      <c r="F3942" t="str">
        <f t="shared" si="1892"/>
        <v>CORA SOCIEDADE DE CREDITO, FINANCIAMENTO E INVESTIMENTO (20035)</v>
      </c>
      <c r="G3942" t="str">
        <f t="shared" si="1893"/>
        <v>TAXA BOLETO COMPENSADO</v>
      </c>
      <c r="H3942" t="str">
        <f t="shared" si="1888"/>
        <v>17/07/2025</v>
      </c>
      <c r="I3942" t="str">
        <f t="shared" si="1894"/>
        <v>17/07/2025</v>
      </c>
      <c r="J3942" t="str">
        <f t="shared" si="1882"/>
        <v>17/07/2025</v>
      </c>
      <c r="K3942">
        <v>1.7</v>
      </c>
      <c r="L3942">
        <v>1.7</v>
      </c>
      <c r="M3942">
        <v>401</v>
      </c>
      <c r="N3942" t="str">
        <f t="shared" si="1895"/>
        <v>IOF/JUROS/DESP.FINANCEIRA</v>
      </c>
      <c r="O3942">
        <v>1.7</v>
      </c>
      <c r="R3942" t="str">
        <f t="shared" si="1896"/>
        <v>BANCO CORA (102)</v>
      </c>
      <c r="S3942">
        <v>2164</v>
      </c>
      <c r="T3942">
        <v>1697</v>
      </c>
      <c r="U3942" t="s">
        <v>19</v>
      </c>
    </row>
    <row r="3943" spans="1:21">
      <c r="A3943" t="str">
        <f t="shared" si="1879"/>
        <v>17/07/2025</v>
      </c>
      <c r="B3943" t="str">
        <f t="shared" si="1889"/>
        <v>SAÍDA</v>
      </c>
      <c r="C3943" t="str">
        <f t="shared" si="1890"/>
        <v>CONHECIMENTO</v>
      </c>
      <c r="D3943" t="str">
        <f t="shared" si="1891"/>
        <v>1707251701</v>
      </c>
      <c r="E3943" t="str">
        <f t="shared" si="1870"/>
        <v>COM</v>
      </c>
      <c r="F3943" t="str">
        <f t="shared" si="1892"/>
        <v>CORA SOCIEDADE DE CREDITO, FINANCIAMENTO E INVESTIMENTO (20035)</v>
      </c>
      <c r="G3943" t="str">
        <f t="shared" si="1893"/>
        <v>TAXA BOLETO COMPENSADO</v>
      </c>
      <c r="H3943" t="str">
        <f t="shared" si="1888"/>
        <v>17/07/2025</v>
      </c>
      <c r="I3943" t="str">
        <f t="shared" si="1894"/>
        <v>17/07/2025</v>
      </c>
      <c r="J3943" t="str">
        <f t="shared" si="1882"/>
        <v>17/07/2025</v>
      </c>
      <c r="K3943">
        <v>1.7</v>
      </c>
      <c r="L3943">
        <v>1.7</v>
      </c>
      <c r="M3943">
        <v>401</v>
      </c>
      <c r="N3943" t="str">
        <f t="shared" si="1895"/>
        <v>IOF/JUROS/DESP.FINANCEIRA</v>
      </c>
      <c r="O3943">
        <v>1.7</v>
      </c>
      <c r="R3943" t="str">
        <f t="shared" si="1896"/>
        <v>BANCO CORA (102)</v>
      </c>
      <c r="S3943">
        <v>2165</v>
      </c>
      <c r="T3943">
        <v>1698</v>
      </c>
      <c r="U3943" t="s">
        <v>19</v>
      </c>
    </row>
    <row r="3944" spans="1:21">
      <c r="A3944" t="str">
        <f t="shared" si="1879"/>
        <v>17/07/2025</v>
      </c>
      <c r="B3944" t="str">
        <f t="shared" si="1889"/>
        <v>SAÍDA</v>
      </c>
      <c r="C3944" t="str">
        <f t="shared" si="1890"/>
        <v>CONHECIMENTO</v>
      </c>
      <c r="D3944" t="str">
        <f t="shared" si="1891"/>
        <v>1707251701</v>
      </c>
      <c r="E3944" t="str">
        <f t="shared" si="1870"/>
        <v>COM</v>
      </c>
      <c r="F3944" t="str">
        <f t="shared" si="1892"/>
        <v>CORA SOCIEDADE DE CREDITO, FINANCIAMENTO E INVESTIMENTO (20035)</v>
      </c>
      <c r="G3944" t="str">
        <f t="shared" si="1893"/>
        <v>TAXA BOLETO COMPENSADO</v>
      </c>
      <c r="H3944" t="str">
        <f t="shared" si="1888"/>
        <v>17/07/2025</v>
      </c>
      <c r="I3944" t="str">
        <f t="shared" si="1894"/>
        <v>17/07/2025</v>
      </c>
      <c r="J3944" t="str">
        <f t="shared" si="1882"/>
        <v>17/07/2025</v>
      </c>
      <c r="K3944">
        <v>1.7</v>
      </c>
      <c r="L3944">
        <v>1.7</v>
      </c>
      <c r="M3944">
        <v>401</v>
      </c>
      <c r="N3944" t="str">
        <f t="shared" si="1895"/>
        <v>IOF/JUROS/DESP.FINANCEIRA</v>
      </c>
      <c r="O3944">
        <v>1.7</v>
      </c>
      <c r="R3944" t="str">
        <f t="shared" si="1896"/>
        <v>BANCO CORA (102)</v>
      </c>
      <c r="S3944">
        <v>2166</v>
      </c>
      <c r="T3944">
        <v>1699</v>
      </c>
      <c r="U3944" t="s">
        <v>19</v>
      </c>
    </row>
    <row r="3945" spans="1:21">
      <c r="A3945" t="str">
        <f t="shared" si="1879"/>
        <v>17/07/2025</v>
      </c>
      <c r="B3945" t="str">
        <f t="shared" si="1889"/>
        <v>SAÍDA</v>
      </c>
      <c r="C3945" t="str">
        <f t="shared" si="1890"/>
        <v>CONHECIMENTO</v>
      </c>
      <c r="D3945" t="str">
        <f t="shared" si="1891"/>
        <v>1707251701</v>
      </c>
      <c r="E3945" t="str">
        <f t="shared" si="1870"/>
        <v>COM</v>
      </c>
      <c r="F3945" t="str">
        <f t="shared" si="1892"/>
        <v>CORA SOCIEDADE DE CREDITO, FINANCIAMENTO E INVESTIMENTO (20035)</v>
      </c>
      <c r="G3945" t="str">
        <f t="shared" si="1893"/>
        <v>TAXA BOLETO COMPENSADO</v>
      </c>
      <c r="H3945" t="str">
        <f t="shared" si="1888"/>
        <v>17/07/2025</v>
      </c>
      <c r="I3945" t="str">
        <f t="shared" si="1894"/>
        <v>17/07/2025</v>
      </c>
      <c r="J3945" t="str">
        <f t="shared" si="1882"/>
        <v>17/07/2025</v>
      </c>
      <c r="K3945">
        <v>1.7</v>
      </c>
      <c r="L3945">
        <v>1.7</v>
      </c>
      <c r="M3945">
        <v>401</v>
      </c>
      <c r="N3945" t="str">
        <f t="shared" si="1895"/>
        <v>IOF/JUROS/DESP.FINANCEIRA</v>
      </c>
      <c r="O3945">
        <v>1.7</v>
      </c>
      <c r="R3945" t="str">
        <f t="shared" si="1896"/>
        <v>BANCO CORA (102)</v>
      </c>
      <c r="S3945">
        <v>2167</v>
      </c>
      <c r="T3945">
        <v>1700</v>
      </c>
      <c r="U3945" t="s">
        <v>19</v>
      </c>
    </row>
    <row r="3946" spans="1:21">
      <c r="A3946" t="str">
        <f t="shared" si="1879"/>
        <v>17/07/2025</v>
      </c>
      <c r="B3946" t="str">
        <f t="shared" si="1889"/>
        <v>SAÍDA</v>
      </c>
      <c r="C3946" t="str">
        <f t="shared" si="1890"/>
        <v>CONHECIMENTO</v>
      </c>
      <c r="D3946" t="str">
        <f t="shared" si="1891"/>
        <v>1707251701</v>
      </c>
      <c r="E3946" t="str">
        <f t="shared" si="1870"/>
        <v>COM</v>
      </c>
      <c r="F3946" t="str">
        <f t="shared" si="1892"/>
        <v>CORA SOCIEDADE DE CREDITO, FINANCIAMENTO E INVESTIMENTO (20035)</v>
      </c>
      <c r="G3946" t="str">
        <f t="shared" si="1893"/>
        <v>TAXA BOLETO COMPENSADO</v>
      </c>
      <c r="H3946" t="str">
        <f t="shared" si="1888"/>
        <v>17/07/2025</v>
      </c>
      <c r="I3946" t="str">
        <f t="shared" si="1894"/>
        <v>17/07/2025</v>
      </c>
      <c r="J3946" t="str">
        <f t="shared" si="1882"/>
        <v>17/07/2025</v>
      </c>
      <c r="K3946">
        <v>1.7</v>
      </c>
      <c r="L3946">
        <v>1.7</v>
      </c>
      <c r="M3946">
        <v>401</v>
      </c>
      <c r="N3946" t="str">
        <f t="shared" si="1895"/>
        <v>IOF/JUROS/DESP.FINANCEIRA</v>
      </c>
      <c r="O3946">
        <v>1.7</v>
      </c>
      <c r="R3946" t="str">
        <f t="shared" si="1896"/>
        <v>BANCO CORA (102)</v>
      </c>
      <c r="S3946">
        <v>2168</v>
      </c>
      <c r="T3946">
        <v>1701</v>
      </c>
      <c r="U3946" t="s">
        <v>19</v>
      </c>
    </row>
    <row r="3947" spans="1:21">
      <c r="A3947" t="str">
        <f t="shared" si="1879"/>
        <v>17/07/2025</v>
      </c>
      <c r="B3947" t="str">
        <f t="shared" si="1889"/>
        <v>SAÍDA</v>
      </c>
      <c r="C3947" t="str">
        <f t="shared" si="1890"/>
        <v>CONHECIMENTO</v>
      </c>
      <c r="D3947" t="str">
        <f t="shared" si="1891"/>
        <v>1707251701</v>
      </c>
      <c r="E3947" t="str">
        <f t="shared" si="1870"/>
        <v>COM</v>
      </c>
      <c r="F3947" t="str">
        <f t="shared" si="1892"/>
        <v>CORA SOCIEDADE DE CREDITO, FINANCIAMENTO E INVESTIMENTO (20035)</v>
      </c>
      <c r="G3947" t="str">
        <f t="shared" si="1893"/>
        <v>TAXA BOLETO COMPENSADO</v>
      </c>
      <c r="H3947" t="str">
        <f t="shared" si="1888"/>
        <v>17/07/2025</v>
      </c>
      <c r="I3947" t="str">
        <f t="shared" si="1894"/>
        <v>17/07/2025</v>
      </c>
      <c r="J3947" t="str">
        <f t="shared" si="1882"/>
        <v>17/07/2025</v>
      </c>
      <c r="K3947">
        <v>1.7</v>
      </c>
      <c r="L3947">
        <v>1.7</v>
      </c>
      <c r="M3947">
        <v>401</v>
      </c>
      <c r="N3947" t="str">
        <f t="shared" si="1895"/>
        <v>IOF/JUROS/DESP.FINANCEIRA</v>
      </c>
      <c r="O3947">
        <v>1.7</v>
      </c>
      <c r="R3947" t="str">
        <f t="shared" si="1896"/>
        <v>BANCO CORA (102)</v>
      </c>
      <c r="S3947">
        <v>2169</v>
      </c>
      <c r="T3947">
        <v>1702</v>
      </c>
      <c r="U3947" t="s">
        <v>19</v>
      </c>
    </row>
    <row r="3948" spans="1:21">
      <c r="A3948" t="str">
        <f t="shared" si="1879"/>
        <v>17/07/2025</v>
      </c>
      <c r="B3948" t="str">
        <f t="shared" si="1889"/>
        <v>SAÍDA</v>
      </c>
      <c r="C3948" t="str">
        <f t="shared" si="1890"/>
        <v>CONHECIMENTO</v>
      </c>
      <c r="D3948" t="str">
        <f t="shared" si="1891"/>
        <v>1707251701</v>
      </c>
      <c r="E3948" t="str">
        <f t="shared" si="1870"/>
        <v>COM</v>
      </c>
      <c r="F3948" t="str">
        <f t="shared" si="1892"/>
        <v>CORA SOCIEDADE DE CREDITO, FINANCIAMENTO E INVESTIMENTO (20035)</v>
      </c>
      <c r="G3948" t="str">
        <f t="shared" si="1893"/>
        <v>TAXA BOLETO COMPENSADO</v>
      </c>
      <c r="H3948" t="str">
        <f t="shared" si="1888"/>
        <v>17/07/2025</v>
      </c>
      <c r="I3948" t="str">
        <f t="shared" si="1894"/>
        <v>17/07/2025</v>
      </c>
      <c r="J3948" t="str">
        <f t="shared" si="1882"/>
        <v>17/07/2025</v>
      </c>
      <c r="K3948">
        <v>1.7</v>
      </c>
      <c r="L3948">
        <v>1.7</v>
      </c>
      <c r="M3948">
        <v>401</v>
      </c>
      <c r="N3948" t="str">
        <f t="shared" si="1895"/>
        <v>IOF/JUROS/DESP.FINANCEIRA</v>
      </c>
      <c r="O3948">
        <v>1.7</v>
      </c>
      <c r="R3948" t="str">
        <f t="shared" si="1896"/>
        <v>BANCO CORA (102)</v>
      </c>
      <c r="S3948">
        <v>2170</v>
      </c>
      <c r="T3948">
        <v>1703</v>
      </c>
      <c r="U3948" t="s">
        <v>19</v>
      </c>
    </row>
    <row r="3949" spans="1:21">
      <c r="A3949" t="str">
        <f t="shared" ref="A3949:A3957" si="1897">("18/07/2025")</f>
        <v>18/07/2025</v>
      </c>
      <c r="B3949" t="str">
        <f t="shared" si="1889"/>
        <v>SAÍDA</v>
      </c>
      <c r="C3949" t="str">
        <f>"BOLETO"</f>
        <v>BOLETO</v>
      </c>
      <c r="D3949" t="str">
        <f>"071625171660200"</f>
        <v>071625171660200</v>
      </c>
      <c r="E3949" t="str">
        <f t="shared" si="1870"/>
        <v>COM</v>
      </c>
      <c r="F3949" t="str">
        <f>"MINISTERIO DA FAZENDA (20009)"</f>
        <v>MINISTERIO DA FAZENDA (20009)</v>
      </c>
      <c r="G3949" t="str">
        <f>"INSS SOBRE PROLABORE"</f>
        <v>INSS SOBRE PROLABORE</v>
      </c>
      <c r="H3949" t="str">
        <f t="shared" ref="H3949:H3957" si="1898">("18/07/2025")</f>
        <v>18/07/2025</v>
      </c>
      <c r="I3949" t="str">
        <f>("20/06/2025")</f>
        <v>20/06/2025</v>
      </c>
      <c r="J3949" t="str">
        <f t="shared" ref="J3949:J3957" si="1899">("18/07/2025")</f>
        <v>18/07/2025</v>
      </c>
      <c r="K3949">
        <v>333.96</v>
      </c>
      <c r="L3949">
        <v>333.96</v>
      </c>
      <c r="M3949">
        <v>112</v>
      </c>
      <c r="N3949" t="str">
        <f>"INSS - PRO-LABORE"</f>
        <v>INSS - PRO-LABORE</v>
      </c>
      <c r="O3949">
        <v>333.96</v>
      </c>
      <c r="R3949" t="str">
        <f t="shared" si="1896"/>
        <v>BANCO CORA (102)</v>
      </c>
      <c r="S3949">
        <v>2065</v>
      </c>
      <c r="T3949">
        <v>718</v>
      </c>
      <c r="U3949" t="s">
        <v>19</v>
      </c>
    </row>
    <row r="3950" spans="1:21">
      <c r="A3950" t="str">
        <f t="shared" si="1897"/>
        <v>18/07/2025</v>
      </c>
      <c r="B3950" t="str">
        <f t="shared" si="1889"/>
        <v>SAÍDA</v>
      </c>
      <c r="C3950" t="str">
        <f>"BOLETO"</f>
        <v>BOLETO</v>
      </c>
      <c r="D3950" t="str">
        <f>"071625171660200"</f>
        <v>071625171660200</v>
      </c>
      <c r="E3950" t="str">
        <f t="shared" si="1870"/>
        <v>COM</v>
      </c>
      <c r="F3950" t="str">
        <f>"MINISTERIO DA FAZENDA (20009)"</f>
        <v>MINISTERIO DA FAZENDA (20009)</v>
      </c>
      <c r="G3950" t="str">
        <f>"INSS SOBRE PROLABORE"</f>
        <v>INSS SOBRE PROLABORE</v>
      </c>
      <c r="H3950" t="str">
        <f t="shared" si="1898"/>
        <v>18/07/2025</v>
      </c>
      <c r="I3950" t="str">
        <f>("20/06/2025")</f>
        <v>20/06/2025</v>
      </c>
      <c r="J3950" t="str">
        <f t="shared" si="1899"/>
        <v>18/07/2025</v>
      </c>
      <c r="M3950">
        <v>112</v>
      </c>
      <c r="N3950" t="str">
        <f>"INSS - PRO-LABORE"</f>
        <v>INSS - PRO-LABORE</v>
      </c>
      <c r="P3950">
        <v>333.96</v>
      </c>
      <c r="Q3950" t="str">
        <f>"MINISTERIO DA FAZENDA (20009)"</f>
        <v>MINISTERIO DA FAZENDA (20009)</v>
      </c>
      <c r="R3950" t="str">
        <f t="shared" si="1896"/>
        <v>BANCO CORA (102)</v>
      </c>
      <c r="S3950">
        <v>2065</v>
      </c>
      <c r="T3950">
        <v>718</v>
      </c>
      <c r="U3950" t="s">
        <v>19</v>
      </c>
    </row>
    <row r="3951" spans="1:21">
      <c r="A3951" t="str">
        <f t="shared" si="1897"/>
        <v>18/07/2025</v>
      </c>
      <c r="B3951" t="str">
        <f t="shared" si="1889"/>
        <v>SAÍDA</v>
      </c>
      <c r="C3951" t="str">
        <f>"BOLETO"</f>
        <v>BOLETO</v>
      </c>
      <c r="D3951" t="str">
        <f>"2459"</f>
        <v>2459</v>
      </c>
      <c r="E3951" t="str">
        <f t="shared" ref="E3951:E4014" si="1900">"COM"</f>
        <v>COM</v>
      </c>
      <c r="F3951" t="str">
        <f>"INFINITY BRASIL LTDA (20020)"</f>
        <v>INFINITY BRASIL LTDA (20020)</v>
      </c>
      <c r="G3951" t="str">
        <f>"SERVIDOR FLUX FARMA PERÍODO JUNHO/2025"</f>
        <v>SERVIDOR FLUX FARMA PERÍODO JUNHO/2025</v>
      </c>
      <c r="H3951" t="str">
        <f t="shared" si="1898"/>
        <v>18/07/2025</v>
      </c>
      <c r="I3951" t="str">
        <f>("30/06/2025")</f>
        <v>30/06/2025</v>
      </c>
      <c r="J3951" t="str">
        <f t="shared" si="1899"/>
        <v>18/07/2025</v>
      </c>
      <c r="K3951">
        <v>579.36</v>
      </c>
      <c r="L3951">
        <v>579.36</v>
      </c>
      <c r="M3951">
        <v>104</v>
      </c>
      <c r="N3951" t="str">
        <f>"SOFTWARE / LICENÇAS"</f>
        <v>SOFTWARE / LICENÇAS</v>
      </c>
      <c r="O3951">
        <v>579.36</v>
      </c>
      <c r="R3951" t="str">
        <f t="shared" si="1896"/>
        <v>BANCO CORA (102)</v>
      </c>
      <c r="S3951">
        <v>2066</v>
      </c>
      <c r="T3951">
        <v>906</v>
      </c>
      <c r="U3951" t="s">
        <v>19</v>
      </c>
    </row>
    <row r="3952" spans="1:21">
      <c r="A3952" t="str">
        <f t="shared" si="1897"/>
        <v>18/07/2025</v>
      </c>
      <c r="B3952" t="str">
        <f t="shared" si="1889"/>
        <v>SAÍDA</v>
      </c>
      <c r="C3952" t="str">
        <f>"PIX"</f>
        <v>PIX</v>
      </c>
      <c r="D3952" t="str">
        <f>"1807257000"</f>
        <v>1807257000</v>
      </c>
      <c r="E3952" t="str">
        <f t="shared" si="1900"/>
        <v>COM</v>
      </c>
      <c r="F3952" t="str">
        <f>"MARCELO REZENDE ARANTES (20014)"</f>
        <v>MARCELO REZENDE ARANTES (20014)</v>
      </c>
      <c r="G3952" t="str">
        <f>"DISTRIBUICAO DE LUCROS"</f>
        <v>DISTRIBUICAO DE LUCROS</v>
      </c>
      <c r="H3952" t="str">
        <f t="shared" si="1898"/>
        <v>18/07/2025</v>
      </c>
      <c r="I3952" t="str">
        <f t="shared" ref="I3952:I3957" si="1901">("18/07/2025")</f>
        <v>18/07/2025</v>
      </c>
      <c r="J3952" t="str">
        <f t="shared" si="1899"/>
        <v>18/07/2025</v>
      </c>
      <c r="K3952">
        <v>7000</v>
      </c>
      <c r="L3952">
        <v>7000</v>
      </c>
      <c r="M3952">
        <v>125</v>
      </c>
      <c r="N3952" t="str">
        <f>"DISTRIBUIÇÃO DE LUCRO"</f>
        <v>DISTRIBUIÇÃO DE LUCRO</v>
      </c>
      <c r="O3952">
        <v>7000</v>
      </c>
      <c r="R3952" t="str">
        <f t="shared" si="1896"/>
        <v>BANCO CORA (102)</v>
      </c>
      <c r="S3952">
        <v>2202</v>
      </c>
      <c r="T3952">
        <v>1729</v>
      </c>
      <c r="U3952" t="s">
        <v>19</v>
      </c>
    </row>
    <row r="3953" spans="1:21">
      <c r="A3953" t="str">
        <f t="shared" si="1897"/>
        <v>18/07/2025</v>
      </c>
      <c r="B3953" t="str">
        <f t="shared" si="1889"/>
        <v>SAÍDA</v>
      </c>
      <c r="C3953" t="str">
        <f>"PIX"</f>
        <v>PIX</v>
      </c>
      <c r="D3953" t="str">
        <f>"1807257000"</f>
        <v>1807257000</v>
      </c>
      <c r="E3953" t="str">
        <f t="shared" si="1900"/>
        <v>COM</v>
      </c>
      <c r="F3953" t="str">
        <f>"MARCELO REZENDE ARANTES (20014)"</f>
        <v>MARCELO REZENDE ARANTES (20014)</v>
      </c>
      <c r="G3953" t="str">
        <f>"DISTRIBUICAO DE LUCROS"</f>
        <v>DISTRIBUICAO DE LUCROS</v>
      </c>
      <c r="H3953" t="str">
        <f t="shared" si="1898"/>
        <v>18/07/2025</v>
      </c>
      <c r="I3953" t="str">
        <f t="shared" si="1901"/>
        <v>18/07/2025</v>
      </c>
      <c r="J3953" t="str">
        <f t="shared" si="1899"/>
        <v>18/07/2025</v>
      </c>
      <c r="M3953">
        <v>125</v>
      </c>
      <c r="N3953" t="str">
        <f>"DISTRIBUIÇÃO DE LUCRO"</f>
        <v>DISTRIBUIÇÃO DE LUCRO</v>
      </c>
      <c r="P3953">
        <v>7000</v>
      </c>
      <c r="Q3953" t="str">
        <f>"MARCELO REZENDE ARANTES (20014)"</f>
        <v>MARCELO REZENDE ARANTES (20014)</v>
      </c>
      <c r="R3953" t="str">
        <f t="shared" si="1896"/>
        <v>BANCO CORA (102)</v>
      </c>
      <c r="S3953">
        <v>2202</v>
      </c>
      <c r="T3953">
        <v>1729</v>
      </c>
      <c r="U3953" t="s">
        <v>19</v>
      </c>
    </row>
    <row r="3954" spans="1:21">
      <c r="A3954" t="str">
        <f t="shared" si="1897"/>
        <v>18/07/2025</v>
      </c>
      <c r="B3954" t="str">
        <f t="shared" si="1889"/>
        <v>SAÍDA</v>
      </c>
      <c r="C3954" t="str">
        <f>"PIX"</f>
        <v>PIX</v>
      </c>
      <c r="D3954" t="str">
        <f>"180725960"</f>
        <v>180725960</v>
      </c>
      <c r="E3954" t="str">
        <f t="shared" si="1900"/>
        <v>COM</v>
      </c>
      <c r="F3954" t="str">
        <f>"LILIANE DE FATIMA REZENDE JUSTINO (20013)"</f>
        <v>LILIANE DE FATIMA REZENDE JUSTINO (20013)</v>
      </c>
      <c r="G3954" t="str">
        <f>"DESPESAS COM VIAGEM - RIO CLARO - SP"</f>
        <v>DESPESAS COM VIAGEM - RIO CLARO - SP</v>
      </c>
      <c r="H3954" t="str">
        <f t="shared" si="1898"/>
        <v>18/07/2025</v>
      </c>
      <c r="I3954" t="str">
        <f t="shared" si="1901"/>
        <v>18/07/2025</v>
      </c>
      <c r="J3954" t="str">
        <f t="shared" si="1899"/>
        <v>18/07/2025</v>
      </c>
      <c r="K3954">
        <v>960</v>
      </c>
      <c r="L3954">
        <v>960</v>
      </c>
      <c r="M3954">
        <v>128</v>
      </c>
      <c r="N3954" t="str">
        <f>"DESPESAS COM VIAGENS"</f>
        <v>DESPESAS COM VIAGENS</v>
      </c>
      <c r="O3954">
        <v>960</v>
      </c>
      <c r="R3954" t="str">
        <f t="shared" si="1896"/>
        <v>BANCO CORA (102)</v>
      </c>
      <c r="S3954">
        <v>2204</v>
      </c>
      <c r="T3954">
        <v>1731</v>
      </c>
      <c r="U3954" t="s">
        <v>19</v>
      </c>
    </row>
    <row r="3955" spans="1:21">
      <c r="A3955" t="str">
        <f t="shared" si="1897"/>
        <v>18/07/2025</v>
      </c>
      <c r="B3955" t="str">
        <f t="shared" si="1889"/>
        <v>SAÍDA</v>
      </c>
      <c r="C3955" t="str">
        <f>"PIX"</f>
        <v>PIX</v>
      </c>
      <c r="D3955" t="str">
        <f>"180725960"</f>
        <v>180725960</v>
      </c>
      <c r="E3955" t="str">
        <f t="shared" si="1900"/>
        <v>COM</v>
      </c>
      <c r="F3955" t="str">
        <f>"LILIANE DE FATIMA REZENDE JUSTINO (20013)"</f>
        <v>LILIANE DE FATIMA REZENDE JUSTINO (20013)</v>
      </c>
      <c r="G3955" t="str">
        <f>"DESPESAS COM VIAGEM - RIO CLARO - SP"</f>
        <v>DESPESAS COM VIAGEM - RIO CLARO - SP</v>
      </c>
      <c r="H3955" t="str">
        <f t="shared" si="1898"/>
        <v>18/07/2025</v>
      </c>
      <c r="I3955" t="str">
        <f t="shared" si="1901"/>
        <v>18/07/2025</v>
      </c>
      <c r="J3955" t="str">
        <f t="shared" si="1899"/>
        <v>18/07/2025</v>
      </c>
      <c r="M3955">
        <v>128</v>
      </c>
      <c r="N3955" t="str">
        <f>"DESPESAS COM VIAGENS"</f>
        <v>DESPESAS COM VIAGENS</v>
      </c>
      <c r="P3955">
        <v>960</v>
      </c>
      <c r="Q3955" t="str">
        <f>"LILIANE DE FATIMA REZENDE JUSTINO (20013)"</f>
        <v>LILIANE DE FATIMA REZENDE JUSTINO (20013)</v>
      </c>
      <c r="R3955" t="str">
        <f t="shared" si="1896"/>
        <v>BANCO CORA (102)</v>
      </c>
      <c r="S3955">
        <v>2204</v>
      </c>
      <c r="T3955">
        <v>1731</v>
      </c>
      <c r="U3955" t="s">
        <v>19</v>
      </c>
    </row>
    <row r="3956" spans="1:21">
      <c r="A3956" t="str">
        <f t="shared" si="1897"/>
        <v>18/07/2025</v>
      </c>
      <c r="B3956" t="str">
        <f t="shared" si="1889"/>
        <v>SAÍDA</v>
      </c>
      <c r="C3956" t="str">
        <f>"BOLETO"</f>
        <v>BOLETO</v>
      </c>
      <c r="D3956" t="str">
        <f>"71625171660200"</f>
        <v>71625171660200</v>
      </c>
      <c r="E3956" t="str">
        <f t="shared" si="1900"/>
        <v>COM</v>
      </c>
      <c r="F3956" t="str">
        <f>"MINISTERIO DA FAZENDA (20009)"</f>
        <v>MINISTERIO DA FAZENDA (20009)</v>
      </c>
      <c r="G3956" t="str">
        <f>"INSS SOBRE PROLABORE"</f>
        <v>INSS SOBRE PROLABORE</v>
      </c>
      <c r="H3956" t="str">
        <f t="shared" si="1898"/>
        <v>18/07/2025</v>
      </c>
      <c r="I3956" t="str">
        <f t="shared" si="1901"/>
        <v>18/07/2025</v>
      </c>
      <c r="J3956" t="str">
        <f t="shared" si="1899"/>
        <v>18/07/2025</v>
      </c>
      <c r="K3956">
        <v>333.96</v>
      </c>
      <c r="L3956">
        <v>333.96</v>
      </c>
      <c r="M3956">
        <v>112</v>
      </c>
      <c r="N3956" t="str">
        <f>"INSS - PRO-LABORE"</f>
        <v>INSS - PRO-LABORE</v>
      </c>
      <c r="O3956">
        <v>333.96</v>
      </c>
      <c r="R3956" t="str">
        <f t="shared" si="1896"/>
        <v>BANCO CORA (102)</v>
      </c>
      <c r="S3956">
        <v>2355</v>
      </c>
      <c r="T3956">
        <v>1893</v>
      </c>
      <c r="U3956" t="s">
        <v>19</v>
      </c>
    </row>
    <row r="3957" spans="1:21">
      <c r="A3957" t="str">
        <f t="shared" si="1897"/>
        <v>18/07/2025</v>
      </c>
      <c r="B3957" t="str">
        <f t="shared" si="1889"/>
        <v>SAÍDA</v>
      </c>
      <c r="C3957" t="str">
        <f>"BOLETO"</f>
        <v>BOLETO</v>
      </c>
      <c r="D3957" t="str">
        <f>"71625171660200"</f>
        <v>71625171660200</v>
      </c>
      <c r="E3957" t="str">
        <f t="shared" si="1900"/>
        <v>COM</v>
      </c>
      <c r="F3957" t="str">
        <f>"MINISTERIO DA FAZENDA (20009)"</f>
        <v>MINISTERIO DA FAZENDA (20009)</v>
      </c>
      <c r="G3957" t="str">
        <f>"INSS SOBRE PROLABORE"</f>
        <v>INSS SOBRE PROLABORE</v>
      </c>
      <c r="H3957" t="str">
        <f t="shared" si="1898"/>
        <v>18/07/2025</v>
      </c>
      <c r="I3957" t="str">
        <f t="shared" si="1901"/>
        <v>18/07/2025</v>
      </c>
      <c r="J3957" t="str">
        <f t="shared" si="1899"/>
        <v>18/07/2025</v>
      </c>
      <c r="M3957">
        <v>112</v>
      </c>
      <c r="N3957" t="str">
        <f>"INSS - PRO-LABORE"</f>
        <v>INSS - PRO-LABORE</v>
      </c>
      <c r="P3957">
        <v>333.96</v>
      </c>
      <c r="Q3957" t="str">
        <f>"MINISTERIO DA FAZENDA (20009)"</f>
        <v>MINISTERIO DA FAZENDA (20009)</v>
      </c>
      <c r="R3957" t="str">
        <f t="shared" si="1896"/>
        <v>BANCO CORA (102)</v>
      </c>
      <c r="S3957">
        <v>2355</v>
      </c>
      <c r="T3957">
        <v>1893</v>
      </c>
      <c r="U3957" t="s">
        <v>19</v>
      </c>
    </row>
    <row r="3958" spans="1:21">
      <c r="A3958" t="str">
        <f>("21/07/2025")</f>
        <v>21/07/2025</v>
      </c>
      <c r="B3958" t="str">
        <f t="shared" si="1889"/>
        <v>SAÍDA</v>
      </c>
      <c r="C3958" t="str">
        <f>"BOLETO"</f>
        <v>BOLETO</v>
      </c>
      <c r="D3958" t="str">
        <f>"072025191164967"</f>
        <v>072025191164967</v>
      </c>
      <c r="E3958" t="str">
        <f t="shared" si="1900"/>
        <v>COM</v>
      </c>
      <c r="F3958" t="str">
        <f>"MINISTERIO DA FAZENDA (20009)"</f>
        <v>MINISTERIO DA FAZENDA (20009)</v>
      </c>
      <c r="G3958" t="str">
        <f>"SIMPLES NACIONAL MES 06/2025"</f>
        <v>SIMPLES NACIONAL MES 06/2025</v>
      </c>
      <c r="H3958" t="str">
        <f t="shared" ref="H3958:H3967" si="1902">("21/07/2025")</f>
        <v>21/07/2025</v>
      </c>
      <c r="I3958" t="str">
        <f>("10/07/2025")</f>
        <v>10/07/2025</v>
      </c>
      <c r="J3958" t="str">
        <f>("21/07/2025")</f>
        <v>21/07/2025</v>
      </c>
      <c r="K3958">
        <v>15303.46</v>
      </c>
      <c r="L3958">
        <v>15303.46</v>
      </c>
      <c r="M3958">
        <v>144</v>
      </c>
      <c r="N3958" t="str">
        <f>"SIMPLES NACIONAL (DASN)"</f>
        <v>SIMPLES NACIONAL (DASN)</v>
      </c>
      <c r="O3958">
        <v>15303.46</v>
      </c>
      <c r="R3958" t="str">
        <f t="shared" si="1896"/>
        <v>BANCO CORA (102)</v>
      </c>
      <c r="S3958">
        <v>2120</v>
      </c>
      <c r="T3958">
        <v>896</v>
      </c>
      <c r="U3958" t="s">
        <v>19</v>
      </c>
    </row>
    <row r="3959" spans="1:21">
      <c r="A3959" t="str">
        <f>("21/07/2025")</f>
        <v>21/07/2025</v>
      </c>
      <c r="B3959" t="str">
        <f t="shared" si="1889"/>
        <v>SAÍDA</v>
      </c>
      <c r="C3959" t="str">
        <f>"PIX"</f>
        <v>PIX</v>
      </c>
      <c r="D3959" t="str">
        <f>"2107254666670"</f>
        <v>2107254666670</v>
      </c>
      <c r="E3959" t="str">
        <f t="shared" si="1900"/>
        <v>COM</v>
      </c>
      <c r="F3959" t="str">
        <f>"LILIANE DE FATIMA REZENDE JUSTINO (20013)"</f>
        <v>LILIANE DE FATIMA REZENDE JUSTINO (20013)</v>
      </c>
      <c r="G3959" t="str">
        <f>"DISTRIBUICAO DE LUCROS"</f>
        <v>DISTRIBUICAO DE LUCROS</v>
      </c>
      <c r="H3959" t="str">
        <f t="shared" si="1902"/>
        <v>21/07/2025</v>
      </c>
      <c r="I3959" t="str">
        <f>("21/07/2025")</f>
        <v>21/07/2025</v>
      </c>
      <c r="J3959" t="str">
        <f>("21/07/2025")</f>
        <v>21/07/2025</v>
      </c>
      <c r="K3959">
        <v>46666.7</v>
      </c>
      <c r="L3959">
        <v>46666.7</v>
      </c>
      <c r="M3959">
        <v>125</v>
      </c>
      <c r="N3959" t="str">
        <f>"DISTRIBUIÇÃO DE LUCRO"</f>
        <v>DISTRIBUIÇÃO DE LUCRO</v>
      </c>
      <c r="O3959">
        <v>46666.7</v>
      </c>
      <c r="R3959" t="str">
        <f t="shared" si="1896"/>
        <v>BANCO CORA (102)</v>
      </c>
      <c r="S3959">
        <v>2203</v>
      </c>
      <c r="T3959">
        <v>1730</v>
      </c>
      <c r="U3959" t="s">
        <v>19</v>
      </c>
    </row>
    <row r="3960" spans="1:21">
      <c r="A3960" t="str">
        <f t="shared" ref="A3960:A3971" si="1903">("22/07/2025")</f>
        <v>22/07/2025</v>
      </c>
      <c r="B3960" t="str">
        <f>"ENTRADA"</f>
        <v>ENTRADA</v>
      </c>
      <c r="C3960" t="str">
        <f t="shared" ref="C3960:C3967" si="1904">"NFSE"</f>
        <v>NFSE</v>
      </c>
      <c r="D3960" t="str">
        <f>"2389"</f>
        <v>2389</v>
      </c>
      <c r="E3960" t="str">
        <f t="shared" si="1900"/>
        <v>COM</v>
      </c>
      <c r="F3960" t="str">
        <f>"DROGARIA PORTAL FARMA LJ 1 (10001)"</f>
        <v>DROGARIA PORTAL FARMA LJ 1 (10001)</v>
      </c>
      <c r="G3960" t="str">
        <f>"Serv.Prest. 14/10/2024 a 20/10/2024 - RPS: 166 - NFSe: 2389"</f>
        <v>Serv.Prest. 14/10/2024 a 20/10/2024 - RPS: 166 - NFSe: 2389</v>
      </c>
      <c r="H3960" t="str">
        <f t="shared" si="1902"/>
        <v>21/07/2025</v>
      </c>
      <c r="I3960" t="str">
        <f>("21/10/2024")</f>
        <v>21/10/2024</v>
      </c>
      <c r="J3960" t="str">
        <f t="shared" ref="J3960:J3971" si="1905">("22/07/2025")</f>
        <v>22/07/2025</v>
      </c>
      <c r="K3960">
        <v>53.6</v>
      </c>
      <c r="L3960">
        <v>53.6</v>
      </c>
      <c r="M3960">
        <v>303</v>
      </c>
      <c r="N3960" t="str">
        <f t="shared" ref="N3960:N3967" si="1906">"RECEITAS COM ENTREGAS"</f>
        <v>RECEITAS COM ENTREGAS</v>
      </c>
      <c r="O3960">
        <v>53.6</v>
      </c>
      <c r="R3960" t="str">
        <f t="shared" ref="R3960:R3967" si="1907">"RECEITAS COM ENTREGAS (303)"</f>
        <v>RECEITAS COM ENTREGAS (303)</v>
      </c>
      <c r="S3960">
        <v>2090</v>
      </c>
      <c r="T3960">
        <v>414</v>
      </c>
      <c r="U3960" t="s">
        <v>19</v>
      </c>
    </row>
    <row r="3961" spans="1:21">
      <c r="A3961" t="str">
        <f t="shared" si="1903"/>
        <v>22/07/2025</v>
      </c>
      <c r="B3961" t="str">
        <f t="shared" ref="B3961:B3967" si="1908">"ENTRADA"</f>
        <v>ENTRADA</v>
      </c>
      <c r="C3961" t="str">
        <f t="shared" si="1904"/>
        <v>NFSE</v>
      </c>
      <c r="D3961" t="str">
        <f>"2389"</f>
        <v>2389</v>
      </c>
      <c r="E3961" t="str">
        <f t="shared" si="1900"/>
        <v>COM</v>
      </c>
      <c r="F3961" t="str">
        <f>"DROGARIA PORTAL FARMA LJ 1 (10001)"</f>
        <v>DROGARIA PORTAL FARMA LJ 1 (10001)</v>
      </c>
      <c r="G3961" t="str">
        <f>"Serv.Prest. 14/10/2024 a 20/10/2024 - RPS: 166 - NFSe: 2389"</f>
        <v>Serv.Prest. 14/10/2024 a 20/10/2024 - RPS: 166 - NFSe: 2389</v>
      </c>
      <c r="H3961" t="str">
        <f t="shared" si="1902"/>
        <v>21/07/2025</v>
      </c>
      <c r="I3961" t="str">
        <f>("21/10/2024")</f>
        <v>21/10/2024</v>
      </c>
      <c r="J3961" t="str">
        <f t="shared" si="1905"/>
        <v>22/07/2025</v>
      </c>
      <c r="M3961">
        <v>303</v>
      </c>
      <c r="N3961" t="str">
        <f t="shared" si="1906"/>
        <v>RECEITAS COM ENTREGAS</v>
      </c>
      <c r="P3961">
        <v>53.6</v>
      </c>
      <c r="Q3961" t="str">
        <f>"DROGARIA PORTAL FARMA LJ 1 (10001)"</f>
        <v>DROGARIA PORTAL FARMA LJ 1 (10001)</v>
      </c>
      <c r="R3961" t="str">
        <f t="shared" si="1907"/>
        <v>RECEITAS COM ENTREGAS (303)</v>
      </c>
      <c r="S3961">
        <v>2090</v>
      </c>
      <c r="T3961">
        <v>414</v>
      </c>
      <c r="U3961" t="s">
        <v>19</v>
      </c>
    </row>
    <row r="3962" spans="1:21">
      <c r="A3962" t="str">
        <f t="shared" si="1903"/>
        <v>22/07/2025</v>
      </c>
      <c r="B3962" t="str">
        <f t="shared" si="1908"/>
        <v>ENTRADA</v>
      </c>
      <c r="C3962" t="str">
        <f t="shared" si="1904"/>
        <v>NFSE</v>
      </c>
      <c r="D3962" t="str">
        <f>"2718"</f>
        <v>2718</v>
      </c>
      <c r="E3962" t="str">
        <f t="shared" si="1900"/>
        <v>COM</v>
      </c>
      <c r="F3962" t="str">
        <f>"DROGA MONICA LJ 22 (10158)"</f>
        <v>DROGA MONICA LJ 22 (10158)</v>
      </c>
      <c r="G3962" t="str">
        <f>"Serv.Prest. 03/02/2025 a 09/02/2025 - RPS: 491 - NFSe: 2718"</f>
        <v>Serv.Prest. 03/02/2025 a 09/02/2025 - RPS: 491 - NFSe: 2718</v>
      </c>
      <c r="H3962" t="str">
        <f t="shared" si="1902"/>
        <v>21/07/2025</v>
      </c>
      <c r="I3962" t="str">
        <f>("11/02/2025")</f>
        <v>11/02/2025</v>
      </c>
      <c r="J3962" t="str">
        <f t="shared" si="1905"/>
        <v>22/07/2025</v>
      </c>
      <c r="K3962">
        <v>157.19999999999999</v>
      </c>
      <c r="L3962">
        <v>157.19999999999999</v>
      </c>
      <c r="M3962">
        <v>303</v>
      </c>
      <c r="N3962" t="str">
        <f t="shared" si="1906"/>
        <v>RECEITAS COM ENTREGAS</v>
      </c>
      <c r="O3962">
        <v>157.19999999999999</v>
      </c>
      <c r="R3962" t="str">
        <f t="shared" si="1907"/>
        <v>RECEITAS COM ENTREGAS (303)</v>
      </c>
      <c r="S3962">
        <v>2091</v>
      </c>
      <c r="T3962">
        <v>865</v>
      </c>
      <c r="U3962" t="s">
        <v>19</v>
      </c>
    </row>
    <row r="3963" spans="1:21">
      <c r="A3963" t="str">
        <f t="shared" si="1903"/>
        <v>22/07/2025</v>
      </c>
      <c r="B3963" t="str">
        <f t="shared" si="1908"/>
        <v>ENTRADA</v>
      </c>
      <c r="C3963" t="str">
        <f t="shared" si="1904"/>
        <v>NFSE</v>
      </c>
      <c r="D3963" t="str">
        <f>"2718"</f>
        <v>2718</v>
      </c>
      <c r="E3963" t="str">
        <f t="shared" si="1900"/>
        <v>COM</v>
      </c>
      <c r="F3963" t="str">
        <f>"DROGA MONICA LJ 22 (10158)"</f>
        <v>DROGA MONICA LJ 22 (10158)</v>
      </c>
      <c r="G3963" t="str">
        <f>"Serv.Prest. 03/02/2025 a 09/02/2025 - RPS: 491 - NFSe: 2718"</f>
        <v>Serv.Prest. 03/02/2025 a 09/02/2025 - RPS: 491 - NFSe: 2718</v>
      </c>
      <c r="H3963" t="str">
        <f t="shared" si="1902"/>
        <v>21/07/2025</v>
      </c>
      <c r="I3963" t="str">
        <f>("11/02/2025")</f>
        <v>11/02/2025</v>
      </c>
      <c r="J3963" t="str">
        <f t="shared" si="1905"/>
        <v>22/07/2025</v>
      </c>
      <c r="M3963">
        <v>303</v>
      </c>
      <c r="N3963" t="str">
        <f t="shared" si="1906"/>
        <v>RECEITAS COM ENTREGAS</v>
      </c>
      <c r="P3963">
        <v>157.19999999999999</v>
      </c>
      <c r="Q3963" t="str">
        <f>"DROGA MONICA LJ 22 (10158)"</f>
        <v>DROGA MONICA LJ 22 (10158)</v>
      </c>
      <c r="R3963" t="str">
        <f t="shared" si="1907"/>
        <v>RECEITAS COM ENTREGAS (303)</v>
      </c>
      <c r="S3963">
        <v>2091</v>
      </c>
      <c r="T3963">
        <v>865</v>
      </c>
      <c r="U3963" t="s">
        <v>19</v>
      </c>
    </row>
    <row r="3964" spans="1:21">
      <c r="A3964" t="str">
        <f t="shared" si="1903"/>
        <v>22/07/2025</v>
      </c>
      <c r="B3964" t="str">
        <f t="shared" si="1908"/>
        <v>ENTRADA</v>
      </c>
      <c r="C3964" t="str">
        <f t="shared" si="1904"/>
        <v>NFSE</v>
      </c>
      <c r="D3964" t="str">
        <f>"2719"</f>
        <v>2719</v>
      </c>
      <c r="E3964" t="str">
        <f t="shared" si="1900"/>
        <v>COM</v>
      </c>
      <c r="F3964" t="str">
        <f>"DROGA MONICA LJ 6 (10157)"</f>
        <v>DROGA MONICA LJ 6 (10157)</v>
      </c>
      <c r="G3964" t="str">
        <f>"Serv.Prest. 03/02/2025 a 09/02/2025 - RPS: 492 - NFSe: 2719"</f>
        <v>Serv.Prest. 03/02/2025 a 09/02/2025 - RPS: 492 - NFSe: 2719</v>
      </c>
      <c r="H3964" t="str">
        <f t="shared" si="1902"/>
        <v>21/07/2025</v>
      </c>
      <c r="I3964" t="str">
        <f>("11/02/2025")</f>
        <v>11/02/2025</v>
      </c>
      <c r="J3964" t="str">
        <f t="shared" si="1905"/>
        <v>22/07/2025</v>
      </c>
      <c r="K3964">
        <v>156</v>
      </c>
      <c r="L3964">
        <v>156</v>
      </c>
      <c r="M3964">
        <v>303</v>
      </c>
      <c r="N3964" t="str">
        <f t="shared" si="1906"/>
        <v>RECEITAS COM ENTREGAS</v>
      </c>
      <c r="O3964">
        <v>156</v>
      </c>
      <c r="R3964" t="str">
        <f t="shared" si="1907"/>
        <v>RECEITAS COM ENTREGAS (303)</v>
      </c>
      <c r="S3964">
        <v>2092</v>
      </c>
      <c r="T3964">
        <v>866</v>
      </c>
      <c r="U3964" t="s">
        <v>19</v>
      </c>
    </row>
    <row r="3965" spans="1:21">
      <c r="A3965" t="str">
        <f t="shared" si="1903"/>
        <v>22/07/2025</v>
      </c>
      <c r="B3965" t="str">
        <f t="shared" si="1908"/>
        <v>ENTRADA</v>
      </c>
      <c r="C3965" t="str">
        <f t="shared" si="1904"/>
        <v>NFSE</v>
      </c>
      <c r="D3965" t="str">
        <f>"2719"</f>
        <v>2719</v>
      </c>
      <c r="E3965" t="str">
        <f t="shared" si="1900"/>
        <v>COM</v>
      </c>
      <c r="F3965" t="str">
        <f>"DROGA MONICA LJ 6 (10157)"</f>
        <v>DROGA MONICA LJ 6 (10157)</v>
      </c>
      <c r="G3965" t="str">
        <f>"Serv.Prest. 03/02/2025 a 09/02/2025 - RPS: 492 - NFSe: 2719"</f>
        <v>Serv.Prest. 03/02/2025 a 09/02/2025 - RPS: 492 - NFSe: 2719</v>
      </c>
      <c r="H3965" t="str">
        <f t="shared" si="1902"/>
        <v>21/07/2025</v>
      </c>
      <c r="I3965" t="str">
        <f>("11/02/2025")</f>
        <v>11/02/2025</v>
      </c>
      <c r="J3965" t="str">
        <f t="shared" si="1905"/>
        <v>22/07/2025</v>
      </c>
      <c r="M3965">
        <v>303</v>
      </c>
      <c r="N3965" t="str">
        <f t="shared" si="1906"/>
        <v>RECEITAS COM ENTREGAS</v>
      </c>
      <c r="P3965">
        <v>156</v>
      </c>
      <c r="Q3965" t="str">
        <f>"DROGA MONICA LJ 6 (10157)"</f>
        <v>DROGA MONICA LJ 6 (10157)</v>
      </c>
      <c r="R3965" t="str">
        <f t="shared" si="1907"/>
        <v>RECEITAS COM ENTREGAS (303)</v>
      </c>
      <c r="S3965">
        <v>2092</v>
      </c>
      <c r="T3965">
        <v>866</v>
      </c>
      <c r="U3965" t="s">
        <v>19</v>
      </c>
    </row>
    <row r="3966" spans="1:21">
      <c r="A3966" t="str">
        <f t="shared" si="1903"/>
        <v>22/07/2025</v>
      </c>
      <c r="B3966" t="str">
        <f t="shared" si="1908"/>
        <v>ENTRADA</v>
      </c>
      <c r="C3966" t="str">
        <f t="shared" si="1904"/>
        <v>NFSE</v>
      </c>
      <c r="D3966" t="str">
        <f>"3073"</f>
        <v>3073</v>
      </c>
      <c r="E3966" t="str">
        <f t="shared" si="1900"/>
        <v>COM</v>
      </c>
      <c r="F3966" t="str">
        <f>"DROGA MONICA LJ 3 (10152)"</f>
        <v>DROGA MONICA LJ 3 (10152)</v>
      </c>
      <c r="G3966" t="str">
        <f>"Serv.Prest. 26/05/2025 a 01/06/2025 - RPS: 842 - NFSe: 3073"</f>
        <v>Serv.Prest. 26/05/2025 a 01/06/2025 - RPS: 842 - NFSe: 3073</v>
      </c>
      <c r="H3966" t="str">
        <f t="shared" si="1902"/>
        <v>21/07/2025</v>
      </c>
      <c r="I3966" t="str">
        <f>("06/06/2025")</f>
        <v>06/06/2025</v>
      </c>
      <c r="J3966" t="str">
        <f t="shared" si="1905"/>
        <v>22/07/2025</v>
      </c>
      <c r="K3966">
        <v>206.4</v>
      </c>
      <c r="L3966">
        <v>206.4</v>
      </c>
      <c r="M3966">
        <v>303</v>
      </c>
      <c r="N3966" t="str">
        <f t="shared" si="1906"/>
        <v>RECEITAS COM ENTREGAS</v>
      </c>
      <c r="O3966">
        <v>206.4</v>
      </c>
      <c r="R3966" t="str">
        <f t="shared" si="1907"/>
        <v>RECEITAS COM ENTREGAS (303)</v>
      </c>
      <c r="S3966">
        <v>2093</v>
      </c>
      <c r="T3966">
        <v>1314</v>
      </c>
      <c r="U3966" t="s">
        <v>19</v>
      </c>
    </row>
    <row r="3967" spans="1:21">
      <c r="A3967" t="str">
        <f t="shared" si="1903"/>
        <v>22/07/2025</v>
      </c>
      <c r="B3967" t="str">
        <f t="shared" si="1908"/>
        <v>ENTRADA</v>
      </c>
      <c r="C3967" t="str">
        <f t="shared" si="1904"/>
        <v>NFSE</v>
      </c>
      <c r="D3967" t="str">
        <f>"3073"</f>
        <v>3073</v>
      </c>
      <c r="E3967" t="str">
        <f t="shared" si="1900"/>
        <v>COM</v>
      </c>
      <c r="F3967" t="str">
        <f>"DROGA MONICA LJ 3 (10152)"</f>
        <v>DROGA MONICA LJ 3 (10152)</v>
      </c>
      <c r="G3967" t="str">
        <f>"Serv.Prest. 26/05/2025 a 01/06/2025 - RPS: 842 - NFSe: 3073"</f>
        <v>Serv.Prest. 26/05/2025 a 01/06/2025 - RPS: 842 - NFSe: 3073</v>
      </c>
      <c r="H3967" t="str">
        <f t="shared" si="1902"/>
        <v>21/07/2025</v>
      </c>
      <c r="I3967" t="str">
        <f>("06/06/2025")</f>
        <v>06/06/2025</v>
      </c>
      <c r="J3967" t="str">
        <f t="shared" si="1905"/>
        <v>22/07/2025</v>
      </c>
      <c r="M3967">
        <v>303</v>
      </c>
      <c r="N3967" t="str">
        <f t="shared" si="1906"/>
        <v>RECEITAS COM ENTREGAS</v>
      </c>
      <c r="P3967">
        <v>206.4</v>
      </c>
      <c r="Q3967" t="str">
        <f>"DROGA MONICA LJ 3 (10152)"</f>
        <v>DROGA MONICA LJ 3 (10152)</v>
      </c>
      <c r="R3967" t="str">
        <f t="shared" si="1907"/>
        <v>RECEITAS COM ENTREGAS (303)</v>
      </c>
      <c r="S3967">
        <v>2093</v>
      </c>
      <c r="T3967">
        <v>1314</v>
      </c>
      <c r="U3967" t="s">
        <v>19</v>
      </c>
    </row>
    <row r="3968" spans="1:21">
      <c r="A3968" t="str">
        <f t="shared" si="1903"/>
        <v>22/07/2025</v>
      </c>
      <c r="B3968" t="str">
        <f>"SAÍDA"</f>
        <v>SAÍDA</v>
      </c>
      <c r="C3968" t="str">
        <f>"CONHECIMENTO"</f>
        <v>CONHECIMENTO</v>
      </c>
      <c r="D3968" t="str">
        <f>"220725170"</f>
        <v>220725170</v>
      </c>
      <c r="E3968" t="str">
        <f t="shared" si="1900"/>
        <v>COM</v>
      </c>
      <c r="F3968" t="str">
        <f>"CORA SOCIEDADE DE CREDITO, FINANCIAMENTO E INVESTIMENTO (20035)"</f>
        <v>CORA SOCIEDADE DE CREDITO, FINANCIAMENTO E INVESTIMENTO (20035)</v>
      </c>
      <c r="G3968" t="str">
        <f>"TAXA BOLETO COMPENSADO"</f>
        <v>TAXA BOLETO COMPENSADO</v>
      </c>
      <c r="H3968" t="str">
        <f t="shared" ref="H3968:I3971" si="1909">("22/07/2025")</f>
        <v>22/07/2025</v>
      </c>
      <c r="I3968" t="str">
        <f t="shared" si="1909"/>
        <v>22/07/2025</v>
      </c>
      <c r="J3968" t="str">
        <f t="shared" si="1905"/>
        <v>22/07/2025</v>
      </c>
      <c r="K3968">
        <v>1.7</v>
      </c>
      <c r="L3968">
        <v>1.7</v>
      </c>
      <c r="M3968">
        <v>401</v>
      </c>
      <c r="N3968" t="str">
        <f>"IOF/JUROS/DESP.FINANCEIRA"</f>
        <v>IOF/JUROS/DESP.FINANCEIRA</v>
      </c>
      <c r="O3968">
        <v>1.7</v>
      </c>
      <c r="R3968" t="str">
        <f>"BANCO CORA (102)"</f>
        <v>BANCO CORA (102)</v>
      </c>
      <c r="S3968">
        <v>2171</v>
      </c>
      <c r="T3968">
        <v>1704</v>
      </c>
      <c r="U3968" t="s">
        <v>19</v>
      </c>
    </row>
    <row r="3969" spans="1:21">
      <c r="A3969" t="str">
        <f t="shared" si="1903"/>
        <v>22/07/2025</v>
      </c>
      <c r="B3969" t="str">
        <f>"SAÍDA"</f>
        <v>SAÍDA</v>
      </c>
      <c r="C3969" t="str">
        <f>"CONHECIMENTO"</f>
        <v>CONHECIMENTO</v>
      </c>
      <c r="D3969" t="str">
        <f>"220725170"</f>
        <v>220725170</v>
      </c>
      <c r="E3969" t="str">
        <f t="shared" si="1900"/>
        <v>COM</v>
      </c>
      <c r="F3969" t="str">
        <f>"CORA SOCIEDADE DE CREDITO, FINANCIAMENTO E INVESTIMENTO (20035)"</f>
        <v>CORA SOCIEDADE DE CREDITO, FINANCIAMENTO E INVESTIMENTO (20035)</v>
      </c>
      <c r="G3969" t="str">
        <f>"TAXA BOLETO COMPENSADO"</f>
        <v>TAXA BOLETO COMPENSADO</v>
      </c>
      <c r="H3969" t="str">
        <f t="shared" si="1909"/>
        <v>22/07/2025</v>
      </c>
      <c r="I3969" t="str">
        <f t="shared" si="1909"/>
        <v>22/07/2025</v>
      </c>
      <c r="J3969" t="str">
        <f t="shared" si="1905"/>
        <v>22/07/2025</v>
      </c>
      <c r="K3969">
        <v>1.7</v>
      </c>
      <c r="L3969">
        <v>1.7</v>
      </c>
      <c r="M3969">
        <v>401</v>
      </c>
      <c r="N3969" t="str">
        <f>"IOF/JUROS/DESP.FINANCEIRA"</f>
        <v>IOF/JUROS/DESP.FINANCEIRA</v>
      </c>
      <c r="O3969">
        <v>1.7</v>
      </c>
      <c r="R3969" t="str">
        <f>"BANCO CORA (102)"</f>
        <v>BANCO CORA (102)</v>
      </c>
      <c r="S3969">
        <v>2172</v>
      </c>
      <c r="T3969">
        <v>1705</v>
      </c>
      <c r="U3969" t="s">
        <v>19</v>
      </c>
    </row>
    <row r="3970" spans="1:21">
      <c r="A3970" t="str">
        <f t="shared" si="1903"/>
        <v>22/07/2025</v>
      </c>
      <c r="B3970" t="str">
        <f>"SAÍDA"</f>
        <v>SAÍDA</v>
      </c>
      <c r="C3970" t="str">
        <f>"CONHECIMENTO"</f>
        <v>CONHECIMENTO</v>
      </c>
      <c r="D3970" t="str">
        <f>"220725170"</f>
        <v>220725170</v>
      </c>
      <c r="E3970" t="str">
        <f t="shared" si="1900"/>
        <v>COM</v>
      </c>
      <c r="F3970" t="str">
        <f>"CORA SOCIEDADE DE CREDITO, FINANCIAMENTO E INVESTIMENTO (20035)"</f>
        <v>CORA SOCIEDADE DE CREDITO, FINANCIAMENTO E INVESTIMENTO (20035)</v>
      </c>
      <c r="G3970" t="str">
        <f>"TAXA BOLETO COMPENSADO"</f>
        <v>TAXA BOLETO COMPENSADO</v>
      </c>
      <c r="H3970" t="str">
        <f t="shared" si="1909"/>
        <v>22/07/2025</v>
      </c>
      <c r="I3970" t="str">
        <f t="shared" si="1909"/>
        <v>22/07/2025</v>
      </c>
      <c r="J3970" t="str">
        <f t="shared" si="1905"/>
        <v>22/07/2025</v>
      </c>
      <c r="K3970">
        <v>1.7</v>
      </c>
      <c r="L3970">
        <v>1.7</v>
      </c>
      <c r="M3970">
        <v>401</v>
      </c>
      <c r="N3970" t="str">
        <f>"IOF/JUROS/DESP.FINANCEIRA"</f>
        <v>IOF/JUROS/DESP.FINANCEIRA</v>
      </c>
      <c r="O3970">
        <v>1.7</v>
      </c>
      <c r="R3970" t="str">
        <f>"BANCO CORA (102)"</f>
        <v>BANCO CORA (102)</v>
      </c>
      <c r="S3970">
        <v>2173</v>
      </c>
      <c r="T3970">
        <v>1706</v>
      </c>
      <c r="U3970" t="s">
        <v>19</v>
      </c>
    </row>
    <row r="3971" spans="1:21">
      <c r="A3971" t="str">
        <f t="shared" si="1903"/>
        <v>22/07/2025</v>
      </c>
      <c r="B3971" t="str">
        <f>"SAÍDA"</f>
        <v>SAÍDA</v>
      </c>
      <c r="C3971" t="str">
        <f>"CONHECIMENTO"</f>
        <v>CONHECIMENTO</v>
      </c>
      <c r="D3971" t="str">
        <f>"220725170"</f>
        <v>220725170</v>
      </c>
      <c r="E3971" t="str">
        <f t="shared" si="1900"/>
        <v>COM</v>
      </c>
      <c r="F3971" t="str">
        <f>"CORA SOCIEDADE DE CREDITO, FINANCIAMENTO E INVESTIMENTO (20035)"</f>
        <v>CORA SOCIEDADE DE CREDITO, FINANCIAMENTO E INVESTIMENTO (20035)</v>
      </c>
      <c r="G3971" t="str">
        <f>"TAXA BOLETO COMPENSADO"</f>
        <v>TAXA BOLETO COMPENSADO</v>
      </c>
      <c r="H3971" t="str">
        <f t="shared" si="1909"/>
        <v>22/07/2025</v>
      </c>
      <c r="I3971" t="str">
        <f t="shared" si="1909"/>
        <v>22/07/2025</v>
      </c>
      <c r="J3971" t="str">
        <f t="shared" si="1905"/>
        <v>22/07/2025</v>
      </c>
      <c r="K3971">
        <v>1.7</v>
      </c>
      <c r="L3971">
        <v>1.7</v>
      </c>
      <c r="M3971">
        <v>401</v>
      </c>
      <c r="N3971" t="str">
        <f>"IOF/JUROS/DESP.FINANCEIRA"</f>
        <v>IOF/JUROS/DESP.FINANCEIRA</v>
      </c>
      <c r="O3971">
        <v>1.7</v>
      </c>
      <c r="R3971" t="str">
        <f>"BANCO CORA (102)"</f>
        <v>BANCO CORA (102)</v>
      </c>
      <c r="S3971">
        <v>2174</v>
      </c>
      <c r="T3971">
        <v>1707</v>
      </c>
      <c r="U3971" t="s">
        <v>19</v>
      </c>
    </row>
    <row r="3972" spans="1:21">
      <c r="A3972" t="str">
        <f t="shared" ref="A3972:A4003" si="1910">("23/07/2025")</f>
        <v>23/07/2025</v>
      </c>
      <c r="B3972" t="str">
        <f>"ENTRADA"</f>
        <v>ENTRADA</v>
      </c>
      <c r="C3972" t="str">
        <f t="shared" ref="C3972:C4003" si="1911">"NFSE"</f>
        <v>NFSE</v>
      </c>
      <c r="D3972" t="str">
        <f t="shared" ref="D3972:D3980" si="1912">"3243"</f>
        <v>3243</v>
      </c>
      <c r="E3972" t="str">
        <f t="shared" si="1900"/>
        <v>COM</v>
      </c>
      <c r="F3972" t="str">
        <f t="shared" ref="F3972:F3980" si="1913">"FARMÁCIA INDIANA LJ 85 (10128)"</f>
        <v>FARMÁCIA INDIANA LJ 85 (10128)</v>
      </c>
      <c r="G3972" t="str">
        <f t="shared" ref="G3972:G3980" si="1914">"Serv.Prest. 07/07/2025 a 13/07/2025 - RPS: 1010 - NFSe: 3243"</f>
        <v>Serv.Prest. 07/07/2025 a 13/07/2025 - RPS: 1010 - NFSe: 3243</v>
      </c>
      <c r="H3972" t="str">
        <f t="shared" ref="H3972:H4003" si="1915">("23/07/2025")</f>
        <v>23/07/2025</v>
      </c>
      <c r="I3972" t="str">
        <f t="shared" ref="I3972:I4003" si="1916">("15/07/2025")</f>
        <v>15/07/2025</v>
      </c>
      <c r="J3972" t="str">
        <f t="shared" ref="J3972:J4003" si="1917">("23/07/2025")</f>
        <v>23/07/2025</v>
      </c>
      <c r="K3972">
        <v>1342.37</v>
      </c>
      <c r="L3972">
        <v>1342.37</v>
      </c>
      <c r="M3972">
        <v>303</v>
      </c>
      <c r="N3972" t="str">
        <f t="shared" ref="N3972:N4003" si="1918">"RECEITAS COM ENTREGAS"</f>
        <v>RECEITAS COM ENTREGAS</v>
      </c>
      <c r="O3972">
        <v>1342.37</v>
      </c>
      <c r="R3972" t="str">
        <f t="shared" ref="R3972:R4003" si="1919">"RECEITAS COM ENTREGAS (303)"</f>
        <v>RECEITAS COM ENTREGAS (303)</v>
      </c>
      <c r="S3972">
        <v>2094</v>
      </c>
      <c r="T3972">
        <v>1581</v>
      </c>
      <c r="U3972" t="s">
        <v>19</v>
      </c>
    </row>
    <row r="3973" spans="1:21">
      <c r="A3973" t="str">
        <f t="shared" si="1910"/>
        <v>23/07/2025</v>
      </c>
      <c r="B3973" t="str">
        <f t="shared" ref="B3973:B4036" si="1920">"ENTRADA"</f>
        <v>ENTRADA</v>
      </c>
      <c r="C3973" t="str">
        <f t="shared" si="1911"/>
        <v>NFSE</v>
      </c>
      <c r="D3973" t="str">
        <f t="shared" si="1912"/>
        <v>3243</v>
      </c>
      <c r="E3973" t="str">
        <f t="shared" si="1900"/>
        <v>COM</v>
      </c>
      <c r="F3973" t="str">
        <f t="shared" si="1913"/>
        <v>FARMÁCIA INDIANA LJ 85 (10128)</v>
      </c>
      <c r="G3973" t="str">
        <f t="shared" si="1914"/>
        <v>Serv.Prest. 07/07/2025 a 13/07/2025 - RPS: 1010 - NFSe: 3243</v>
      </c>
      <c r="H3973" t="str">
        <f t="shared" si="1915"/>
        <v>23/07/2025</v>
      </c>
      <c r="I3973" t="str">
        <f t="shared" si="1916"/>
        <v>15/07/2025</v>
      </c>
      <c r="J3973" t="str">
        <f t="shared" si="1917"/>
        <v>23/07/2025</v>
      </c>
      <c r="M3973">
        <v>303</v>
      </c>
      <c r="N3973" t="str">
        <f t="shared" si="1918"/>
        <v>RECEITAS COM ENTREGAS</v>
      </c>
      <c r="P3973">
        <v>162.03</v>
      </c>
      <c r="Q3973" t="str">
        <f>"FARMÁCIA INDIANA LJ 119 (10053)"</f>
        <v>FARMÁCIA INDIANA LJ 119 (10053)</v>
      </c>
      <c r="R3973" t="str">
        <f t="shared" si="1919"/>
        <v>RECEITAS COM ENTREGAS (303)</v>
      </c>
      <c r="S3973">
        <v>2094</v>
      </c>
      <c r="T3973">
        <v>1581</v>
      </c>
      <c r="U3973" t="s">
        <v>19</v>
      </c>
    </row>
    <row r="3974" spans="1:21">
      <c r="A3974" t="str">
        <f t="shared" si="1910"/>
        <v>23/07/2025</v>
      </c>
      <c r="B3974" t="str">
        <f t="shared" si="1920"/>
        <v>ENTRADA</v>
      </c>
      <c r="C3974" t="str">
        <f t="shared" si="1911"/>
        <v>NFSE</v>
      </c>
      <c r="D3974" t="str">
        <f t="shared" si="1912"/>
        <v>3243</v>
      </c>
      <c r="E3974" t="str">
        <f t="shared" si="1900"/>
        <v>COM</v>
      </c>
      <c r="F3974" t="str">
        <f t="shared" si="1913"/>
        <v>FARMÁCIA INDIANA LJ 85 (10128)</v>
      </c>
      <c r="G3974" t="str">
        <f t="shared" si="1914"/>
        <v>Serv.Prest. 07/07/2025 a 13/07/2025 - RPS: 1010 - NFSe: 3243</v>
      </c>
      <c r="H3974" t="str">
        <f t="shared" si="1915"/>
        <v>23/07/2025</v>
      </c>
      <c r="I3974" t="str">
        <f t="shared" si="1916"/>
        <v>15/07/2025</v>
      </c>
      <c r="J3974" t="str">
        <f t="shared" si="1917"/>
        <v>23/07/2025</v>
      </c>
      <c r="M3974">
        <v>303</v>
      </c>
      <c r="N3974" t="str">
        <f t="shared" si="1918"/>
        <v>RECEITAS COM ENTREGAS</v>
      </c>
      <c r="P3974">
        <v>299.20999999999998</v>
      </c>
      <c r="Q3974" t="str">
        <f>"FARMÁCIA INDIANA LJ 163 (10072)"</f>
        <v>FARMÁCIA INDIANA LJ 163 (10072)</v>
      </c>
      <c r="R3974" t="str">
        <f t="shared" si="1919"/>
        <v>RECEITAS COM ENTREGAS (303)</v>
      </c>
      <c r="S3974">
        <v>2094</v>
      </c>
      <c r="T3974">
        <v>1581</v>
      </c>
      <c r="U3974" t="s">
        <v>19</v>
      </c>
    </row>
    <row r="3975" spans="1:21">
      <c r="A3975" t="str">
        <f t="shared" si="1910"/>
        <v>23/07/2025</v>
      </c>
      <c r="B3975" t="str">
        <f t="shared" si="1920"/>
        <v>ENTRADA</v>
      </c>
      <c r="C3975" t="str">
        <f t="shared" si="1911"/>
        <v>NFSE</v>
      </c>
      <c r="D3975" t="str">
        <f t="shared" si="1912"/>
        <v>3243</v>
      </c>
      <c r="E3975" t="str">
        <f t="shared" si="1900"/>
        <v>COM</v>
      </c>
      <c r="F3975" t="str">
        <f t="shared" si="1913"/>
        <v>FARMÁCIA INDIANA LJ 85 (10128)</v>
      </c>
      <c r="G3975" t="str">
        <f t="shared" si="1914"/>
        <v>Serv.Prest. 07/07/2025 a 13/07/2025 - RPS: 1010 - NFSe: 3243</v>
      </c>
      <c r="H3975" t="str">
        <f t="shared" si="1915"/>
        <v>23/07/2025</v>
      </c>
      <c r="I3975" t="str">
        <f t="shared" si="1916"/>
        <v>15/07/2025</v>
      </c>
      <c r="J3975" t="str">
        <f t="shared" si="1917"/>
        <v>23/07/2025</v>
      </c>
      <c r="M3975">
        <v>303</v>
      </c>
      <c r="N3975" t="str">
        <f t="shared" si="1918"/>
        <v>RECEITAS COM ENTREGAS</v>
      </c>
      <c r="P3975">
        <v>190.08</v>
      </c>
      <c r="Q3975" t="str">
        <f>"FARMÁCIA INDIANA LJ 181 (10078)"</f>
        <v>FARMÁCIA INDIANA LJ 181 (10078)</v>
      </c>
      <c r="R3975" t="str">
        <f t="shared" si="1919"/>
        <v>RECEITAS COM ENTREGAS (303)</v>
      </c>
      <c r="S3975">
        <v>2094</v>
      </c>
      <c r="T3975">
        <v>1581</v>
      </c>
      <c r="U3975" t="s">
        <v>19</v>
      </c>
    </row>
    <row r="3976" spans="1:21">
      <c r="A3976" t="str">
        <f t="shared" si="1910"/>
        <v>23/07/2025</v>
      </c>
      <c r="B3976" t="str">
        <f t="shared" si="1920"/>
        <v>ENTRADA</v>
      </c>
      <c r="C3976" t="str">
        <f t="shared" si="1911"/>
        <v>NFSE</v>
      </c>
      <c r="D3976" t="str">
        <f t="shared" si="1912"/>
        <v>3243</v>
      </c>
      <c r="E3976" t="str">
        <f t="shared" si="1900"/>
        <v>COM</v>
      </c>
      <c r="F3976" t="str">
        <f t="shared" si="1913"/>
        <v>FARMÁCIA INDIANA LJ 85 (10128)</v>
      </c>
      <c r="G3976" t="str">
        <f t="shared" si="1914"/>
        <v>Serv.Prest. 07/07/2025 a 13/07/2025 - RPS: 1010 - NFSe: 3243</v>
      </c>
      <c r="H3976" t="str">
        <f t="shared" si="1915"/>
        <v>23/07/2025</v>
      </c>
      <c r="I3976" t="str">
        <f t="shared" si="1916"/>
        <v>15/07/2025</v>
      </c>
      <c r="J3976" t="str">
        <f t="shared" si="1917"/>
        <v>23/07/2025</v>
      </c>
      <c r="M3976">
        <v>303</v>
      </c>
      <c r="N3976" t="str">
        <f t="shared" si="1918"/>
        <v>RECEITAS COM ENTREGAS</v>
      </c>
      <c r="P3976">
        <v>161.76</v>
      </c>
      <c r="Q3976" t="str">
        <f>"FARMÁCIA INDIANA LJ 221 (10093)"</f>
        <v>FARMÁCIA INDIANA LJ 221 (10093)</v>
      </c>
      <c r="R3976" t="str">
        <f t="shared" si="1919"/>
        <v>RECEITAS COM ENTREGAS (303)</v>
      </c>
      <c r="S3976">
        <v>2094</v>
      </c>
      <c r="T3976">
        <v>1581</v>
      </c>
      <c r="U3976" t="s">
        <v>19</v>
      </c>
    </row>
    <row r="3977" spans="1:21">
      <c r="A3977" t="str">
        <f t="shared" si="1910"/>
        <v>23/07/2025</v>
      </c>
      <c r="B3977" t="str">
        <f t="shared" si="1920"/>
        <v>ENTRADA</v>
      </c>
      <c r="C3977" t="str">
        <f t="shared" si="1911"/>
        <v>NFSE</v>
      </c>
      <c r="D3977" t="str">
        <f t="shared" si="1912"/>
        <v>3243</v>
      </c>
      <c r="E3977" t="str">
        <f t="shared" si="1900"/>
        <v>COM</v>
      </c>
      <c r="F3977" t="str">
        <f t="shared" si="1913"/>
        <v>FARMÁCIA INDIANA LJ 85 (10128)</v>
      </c>
      <c r="G3977" t="str">
        <f t="shared" si="1914"/>
        <v>Serv.Prest. 07/07/2025 a 13/07/2025 - RPS: 1010 - NFSe: 3243</v>
      </c>
      <c r="H3977" t="str">
        <f t="shared" si="1915"/>
        <v>23/07/2025</v>
      </c>
      <c r="I3977" t="str">
        <f t="shared" si="1916"/>
        <v>15/07/2025</v>
      </c>
      <c r="J3977" t="str">
        <f t="shared" si="1917"/>
        <v>23/07/2025</v>
      </c>
      <c r="M3977">
        <v>303</v>
      </c>
      <c r="N3977" t="str">
        <f t="shared" si="1918"/>
        <v>RECEITAS COM ENTREGAS</v>
      </c>
      <c r="P3977">
        <v>184.84</v>
      </c>
      <c r="Q3977" t="str">
        <f>"FARMÁCIA INDIANA LJ 243 (10142)"</f>
        <v>FARMÁCIA INDIANA LJ 243 (10142)</v>
      </c>
      <c r="R3977" t="str">
        <f t="shared" si="1919"/>
        <v>RECEITAS COM ENTREGAS (303)</v>
      </c>
      <c r="S3977">
        <v>2094</v>
      </c>
      <c r="T3977">
        <v>1581</v>
      </c>
      <c r="U3977" t="s">
        <v>19</v>
      </c>
    </row>
    <row r="3978" spans="1:21">
      <c r="A3978" t="str">
        <f t="shared" si="1910"/>
        <v>23/07/2025</v>
      </c>
      <c r="B3978" t="str">
        <f t="shared" si="1920"/>
        <v>ENTRADA</v>
      </c>
      <c r="C3978" t="str">
        <f t="shared" si="1911"/>
        <v>NFSE</v>
      </c>
      <c r="D3978" t="str">
        <f t="shared" si="1912"/>
        <v>3243</v>
      </c>
      <c r="E3978" t="str">
        <f t="shared" si="1900"/>
        <v>COM</v>
      </c>
      <c r="F3978" t="str">
        <f t="shared" si="1913"/>
        <v>FARMÁCIA INDIANA LJ 85 (10128)</v>
      </c>
      <c r="G3978" t="str">
        <f t="shared" si="1914"/>
        <v>Serv.Prest. 07/07/2025 a 13/07/2025 - RPS: 1010 - NFSe: 3243</v>
      </c>
      <c r="H3978" t="str">
        <f t="shared" si="1915"/>
        <v>23/07/2025</v>
      </c>
      <c r="I3978" t="str">
        <f t="shared" si="1916"/>
        <v>15/07/2025</v>
      </c>
      <c r="J3978" t="str">
        <f t="shared" si="1917"/>
        <v>23/07/2025</v>
      </c>
      <c r="M3978">
        <v>303</v>
      </c>
      <c r="N3978" t="str">
        <f t="shared" si="1918"/>
        <v>RECEITAS COM ENTREGAS</v>
      </c>
      <c r="P3978">
        <v>86.18</v>
      </c>
      <c r="Q3978" t="str">
        <f>"FARMÁCIA INDIANA LJ 211 (10168)"</f>
        <v>FARMÁCIA INDIANA LJ 211 (10168)</v>
      </c>
      <c r="R3978" t="str">
        <f t="shared" si="1919"/>
        <v>RECEITAS COM ENTREGAS (303)</v>
      </c>
      <c r="S3978">
        <v>2094</v>
      </c>
      <c r="T3978">
        <v>1581</v>
      </c>
      <c r="U3978" t="s">
        <v>19</v>
      </c>
    </row>
    <row r="3979" spans="1:21">
      <c r="A3979" t="str">
        <f t="shared" si="1910"/>
        <v>23/07/2025</v>
      </c>
      <c r="B3979" t="str">
        <f t="shared" si="1920"/>
        <v>ENTRADA</v>
      </c>
      <c r="C3979" t="str">
        <f t="shared" si="1911"/>
        <v>NFSE</v>
      </c>
      <c r="D3979" t="str">
        <f t="shared" si="1912"/>
        <v>3243</v>
      </c>
      <c r="E3979" t="str">
        <f t="shared" si="1900"/>
        <v>COM</v>
      </c>
      <c r="F3979" t="str">
        <f t="shared" si="1913"/>
        <v>FARMÁCIA INDIANA LJ 85 (10128)</v>
      </c>
      <c r="G3979" t="str">
        <f t="shared" si="1914"/>
        <v>Serv.Prest. 07/07/2025 a 13/07/2025 - RPS: 1010 - NFSe: 3243</v>
      </c>
      <c r="H3979" t="str">
        <f t="shared" si="1915"/>
        <v>23/07/2025</v>
      </c>
      <c r="I3979" t="str">
        <f t="shared" si="1916"/>
        <v>15/07/2025</v>
      </c>
      <c r="J3979" t="str">
        <f t="shared" si="1917"/>
        <v>23/07/2025</v>
      </c>
      <c r="M3979">
        <v>303</v>
      </c>
      <c r="N3979" t="str">
        <f t="shared" si="1918"/>
        <v>RECEITAS COM ENTREGAS</v>
      </c>
      <c r="P3979">
        <v>86.18</v>
      </c>
      <c r="Q3979" t="str">
        <f>"FARMÁCIA INDIANA LJ 236 (10169)"</f>
        <v>FARMÁCIA INDIANA LJ 236 (10169)</v>
      </c>
      <c r="R3979" t="str">
        <f t="shared" si="1919"/>
        <v>RECEITAS COM ENTREGAS (303)</v>
      </c>
      <c r="S3979">
        <v>2094</v>
      </c>
      <c r="T3979">
        <v>1581</v>
      </c>
      <c r="U3979" t="s">
        <v>19</v>
      </c>
    </row>
    <row r="3980" spans="1:21">
      <c r="A3980" t="str">
        <f t="shared" si="1910"/>
        <v>23/07/2025</v>
      </c>
      <c r="B3980" t="str">
        <f t="shared" si="1920"/>
        <v>ENTRADA</v>
      </c>
      <c r="C3980" t="str">
        <f t="shared" si="1911"/>
        <v>NFSE</v>
      </c>
      <c r="D3980" t="str">
        <f t="shared" si="1912"/>
        <v>3243</v>
      </c>
      <c r="E3980" t="str">
        <f t="shared" si="1900"/>
        <v>COM</v>
      </c>
      <c r="F3980" t="str">
        <f t="shared" si="1913"/>
        <v>FARMÁCIA INDIANA LJ 85 (10128)</v>
      </c>
      <c r="G3980" t="str">
        <f t="shared" si="1914"/>
        <v>Serv.Prest. 07/07/2025 a 13/07/2025 - RPS: 1010 - NFSe: 3243</v>
      </c>
      <c r="H3980" t="str">
        <f t="shared" si="1915"/>
        <v>23/07/2025</v>
      </c>
      <c r="I3980" t="str">
        <f t="shared" si="1916"/>
        <v>15/07/2025</v>
      </c>
      <c r="J3980" t="str">
        <f t="shared" si="1917"/>
        <v>23/07/2025</v>
      </c>
      <c r="M3980">
        <v>303</v>
      </c>
      <c r="N3980" t="str">
        <f t="shared" si="1918"/>
        <v>RECEITAS COM ENTREGAS</v>
      </c>
      <c r="P3980">
        <v>172.09</v>
      </c>
      <c r="Q3980" t="str">
        <f>"FARMÁCIA INDIANA LJ 188 (10176)"</f>
        <v>FARMÁCIA INDIANA LJ 188 (10176)</v>
      </c>
      <c r="R3980" t="str">
        <f t="shared" si="1919"/>
        <v>RECEITAS COM ENTREGAS (303)</v>
      </c>
      <c r="S3980">
        <v>2094</v>
      </c>
      <c r="T3980">
        <v>1581</v>
      </c>
      <c r="U3980" t="s">
        <v>19</v>
      </c>
    </row>
    <row r="3981" spans="1:21">
      <c r="A3981" t="str">
        <f t="shared" si="1910"/>
        <v>23/07/2025</v>
      </c>
      <c r="B3981" t="str">
        <f t="shared" si="1920"/>
        <v>ENTRADA</v>
      </c>
      <c r="C3981" t="str">
        <f t="shared" si="1911"/>
        <v>NFSE</v>
      </c>
      <c r="D3981" t="str">
        <f t="shared" ref="D3981:D3992" si="1921">"3244"</f>
        <v>3244</v>
      </c>
      <c r="E3981" t="str">
        <f t="shared" si="1900"/>
        <v>COM</v>
      </c>
      <c r="F3981" t="str">
        <f t="shared" ref="F3981:F3992" si="1922">"FARMÁCIA INDIANA LJ 30 (10127)"</f>
        <v>FARMÁCIA INDIANA LJ 30 (10127)</v>
      </c>
      <c r="G3981" t="str">
        <f t="shared" ref="G3981:G3992" si="1923">"Serv.Prest. 07/07/2025 a 13/07/2025 - RPS: 1011 - NFSe: 3244"</f>
        <v>Serv.Prest. 07/07/2025 a 13/07/2025 - RPS: 1011 - NFSe: 3244</v>
      </c>
      <c r="H3981" t="str">
        <f t="shared" si="1915"/>
        <v>23/07/2025</v>
      </c>
      <c r="I3981" t="str">
        <f t="shared" si="1916"/>
        <v>15/07/2025</v>
      </c>
      <c r="J3981" t="str">
        <f t="shared" si="1917"/>
        <v>23/07/2025</v>
      </c>
      <c r="K3981">
        <v>2913.43</v>
      </c>
      <c r="L3981">
        <v>2913.43</v>
      </c>
      <c r="M3981">
        <v>303</v>
      </c>
      <c r="N3981" t="str">
        <f t="shared" si="1918"/>
        <v>RECEITAS COM ENTREGAS</v>
      </c>
      <c r="O3981">
        <v>2913.43</v>
      </c>
      <c r="R3981" t="str">
        <f t="shared" si="1919"/>
        <v>RECEITAS COM ENTREGAS (303)</v>
      </c>
      <c r="S3981">
        <v>2095</v>
      </c>
      <c r="T3981">
        <v>1582</v>
      </c>
      <c r="U3981" t="s">
        <v>19</v>
      </c>
    </row>
    <row r="3982" spans="1:21">
      <c r="A3982" t="str">
        <f t="shared" si="1910"/>
        <v>23/07/2025</v>
      </c>
      <c r="B3982" t="str">
        <f t="shared" si="1920"/>
        <v>ENTRADA</v>
      </c>
      <c r="C3982" t="str">
        <f t="shared" si="1911"/>
        <v>NFSE</v>
      </c>
      <c r="D3982" t="str">
        <f t="shared" si="1921"/>
        <v>3244</v>
      </c>
      <c r="E3982" t="str">
        <f t="shared" si="1900"/>
        <v>COM</v>
      </c>
      <c r="F3982" t="str">
        <f t="shared" si="1922"/>
        <v>FARMÁCIA INDIANA LJ 30 (10127)</v>
      </c>
      <c r="G3982" t="str">
        <f t="shared" si="1923"/>
        <v>Serv.Prest. 07/07/2025 a 13/07/2025 - RPS: 1011 - NFSe: 3244</v>
      </c>
      <c r="H3982" t="str">
        <f t="shared" si="1915"/>
        <v>23/07/2025</v>
      </c>
      <c r="I3982" t="str">
        <f t="shared" si="1916"/>
        <v>15/07/2025</v>
      </c>
      <c r="J3982" t="str">
        <f t="shared" si="1917"/>
        <v>23/07/2025</v>
      </c>
      <c r="M3982">
        <v>303</v>
      </c>
      <c r="N3982" t="str">
        <f t="shared" si="1918"/>
        <v>RECEITAS COM ENTREGAS</v>
      </c>
      <c r="P3982">
        <v>296.61</v>
      </c>
      <c r="Q3982" t="str">
        <f>"FARMÁCIA INDIANA LJ 34 (10014)"</f>
        <v>FARMÁCIA INDIANA LJ 34 (10014)</v>
      </c>
      <c r="R3982" t="str">
        <f t="shared" si="1919"/>
        <v>RECEITAS COM ENTREGAS (303)</v>
      </c>
      <c r="S3982">
        <v>2095</v>
      </c>
      <c r="T3982">
        <v>1582</v>
      </c>
      <c r="U3982" t="s">
        <v>19</v>
      </c>
    </row>
    <row r="3983" spans="1:21">
      <c r="A3983" t="str">
        <f t="shared" si="1910"/>
        <v>23/07/2025</v>
      </c>
      <c r="B3983" t="str">
        <f t="shared" si="1920"/>
        <v>ENTRADA</v>
      </c>
      <c r="C3983" t="str">
        <f t="shared" si="1911"/>
        <v>NFSE</v>
      </c>
      <c r="D3983" t="str">
        <f t="shared" si="1921"/>
        <v>3244</v>
      </c>
      <c r="E3983" t="str">
        <f t="shared" si="1900"/>
        <v>COM</v>
      </c>
      <c r="F3983" t="str">
        <f t="shared" si="1922"/>
        <v>FARMÁCIA INDIANA LJ 30 (10127)</v>
      </c>
      <c r="G3983" t="str">
        <f t="shared" si="1923"/>
        <v>Serv.Prest. 07/07/2025 a 13/07/2025 - RPS: 1011 - NFSe: 3244</v>
      </c>
      <c r="H3983" t="str">
        <f t="shared" si="1915"/>
        <v>23/07/2025</v>
      </c>
      <c r="I3983" t="str">
        <f t="shared" si="1916"/>
        <v>15/07/2025</v>
      </c>
      <c r="J3983" t="str">
        <f t="shared" si="1917"/>
        <v>23/07/2025</v>
      </c>
      <c r="M3983">
        <v>303</v>
      </c>
      <c r="N3983" t="str">
        <f t="shared" si="1918"/>
        <v>RECEITAS COM ENTREGAS</v>
      </c>
      <c r="P3983">
        <v>224.04</v>
      </c>
      <c r="Q3983" t="str">
        <f>"FARMÁCIA INDIANA LJ 35 (10015)"</f>
        <v>FARMÁCIA INDIANA LJ 35 (10015)</v>
      </c>
      <c r="R3983" t="str">
        <f t="shared" si="1919"/>
        <v>RECEITAS COM ENTREGAS (303)</v>
      </c>
      <c r="S3983">
        <v>2095</v>
      </c>
      <c r="T3983">
        <v>1582</v>
      </c>
      <c r="U3983" t="s">
        <v>19</v>
      </c>
    </row>
    <row r="3984" spans="1:21">
      <c r="A3984" t="str">
        <f t="shared" si="1910"/>
        <v>23/07/2025</v>
      </c>
      <c r="B3984" t="str">
        <f t="shared" si="1920"/>
        <v>ENTRADA</v>
      </c>
      <c r="C3984" t="str">
        <f t="shared" si="1911"/>
        <v>NFSE</v>
      </c>
      <c r="D3984" t="str">
        <f t="shared" si="1921"/>
        <v>3244</v>
      </c>
      <c r="E3984" t="str">
        <f t="shared" si="1900"/>
        <v>COM</v>
      </c>
      <c r="F3984" t="str">
        <f t="shared" si="1922"/>
        <v>FARMÁCIA INDIANA LJ 30 (10127)</v>
      </c>
      <c r="G3984" t="str">
        <f t="shared" si="1923"/>
        <v>Serv.Prest. 07/07/2025 a 13/07/2025 - RPS: 1011 - NFSe: 3244</v>
      </c>
      <c r="H3984" t="str">
        <f t="shared" si="1915"/>
        <v>23/07/2025</v>
      </c>
      <c r="I3984" t="str">
        <f t="shared" si="1916"/>
        <v>15/07/2025</v>
      </c>
      <c r="J3984" t="str">
        <f t="shared" si="1917"/>
        <v>23/07/2025</v>
      </c>
      <c r="M3984">
        <v>303</v>
      </c>
      <c r="N3984" t="str">
        <f t="shared" si="1918"/>
        <v>RECEITAS COM ENTREGAS</v>
      </c>
      <c r="P3984">
        <v>293.38</v>
      </c>
      <c r="Q3984" t="str">
        <f>"FARMÁCIA INDIANA LJ 48 (10018)"</f>
        <v>FARMÁCIA INDIANA LJ 48 (10018)</v>
      </c>
      <c r="R3984" t="str">
        <f t="shared" si="1919"/>
        <v>RECEITAS COM ENTREGAS (303)</v>
      </c>
      <c r="S3984">
        <v>2095</v>
      </c>
      <c r="T3984">
        <v>1582</v>
      </c>
      <c r="U3984" t="s">
        <v>19</v>
      </c>
    </row>
    <row r="3985" spans="1:21">
      <c r="A3985" t="str">
        <f t="shared" si="1910"/>
        <v>23/07/2025</v>
      </c>
      <c r="B3985" t="str">
        <f t="shared" si="1920"/>
        <v>ENTRADA</v>
      </c>
      <c r="C3985" t="str">
        <f t="shared" si="1911"/>
        <v>NFSE</v>
      </c>
      <c r="D3985" t="str">
        <f t="shared" si="1921"/>
        <v>3244</v>
      </c>
      <c r="E3985" t="str">
        <f t="shared" si="1900"/>
        <v>COM</v>
      </c>
      <c r="F3985" t="str">
        <f t="shared" si="1922"/>
        <v>FARMÁCIA INDIANA LJ 30 (10127)</v>
      </c>
      <c r="G3985" t="str">
        <f t="shared" si="1923"/>
        <v>Serv.Prest. 07/07/2025 a 13/07/2025 - RPS: 1011 - NFSe: 3244</v>
      </c>
      <c r="H3985" t="str">
        <f t="shared" si="1915"/>
        <v>23/07/2025</v>
      </c>
      <c r="I3985" t="str">
        <f t="shared" si="1916"/>
        <v>15/07/2025</v>
      </c>
      <c r="J3985" t="str">
        <f t="shared" si="1917"/>
        <v>23/07/2025</v>
      </c>
      <c r="M3985">
        <v>303</v>
      </c>
      <c r="N3985" t="str">
        <f t="shared" si="1918"/>
        <v>RECEITAS COM ENTREGAS</v>
      </c>
      <c r="P3985">
        <v>383.7</v>
      </c>
      <c r="Q3985" t="str">
        <f>"FARMÁCIA INDIANA LJ 65 (10030)"</f>
        <v>FARMÁCIA INDIANA LJ 65 (10030)</v>
      </c>
      <c r="R3985" t="str">
        <f t="shared" si="1919"/>
        <v>RECEITAS COM ENTREGAS (303)</v>
      </c>
      <c r="S3985">
        <v>2095</v>
      </c>
      <c r="T3985">
        <v>1582</v>
      </c>
      <c r="U3985" t="s">
        <v>19</v>
      </c>
    </row>
    <row r="3986" spans="1:21">
      <c r="A3986" t="str">
        <f t="shared" si="1910"/>
        <v>23/07/2025</v>
      </c>
      <c r="B3986" t="str">
        <f t="shared" si="1920"/>
        <v>ENTRADA</v>
      </c>
      <c r="C3986" t="str">
        <f t="shared" si="1911"/>
        <v>NFSE</v>
      </c>
      <c r="D3986" t="str">
        <f t="shared" si="1921"/>
        <v>3244</v>
      </c>
      <c r="E3986" t="str">
        <f t="shared" si="1900"/>
        <v>COM</v>
      </c>
      <c r="F3986" t="str">
        <f t="shared" si="1922"/>
        <v>FARMÁCIA INDIANA LJ 30 (10127)</v>
      </c>
      <c r="G3986" t="str">
        <f t="shared" si="1923"/>
        <v>Serv.Prest. 07/07/2025 a 13/07/2025 - RPS: 1011 - NFSe: 3244</v>
      </c>
      <c r="H3986" t="str">
        <f t="shared" si="1915"/>
        <v>23/07/2025</v>
      </c>
      <c r="I3986" t="str">
        <f t="shared" si="1916"/>
        <v>15/07/2025</v>
      </c>
      <c r="J3986" t="str">
        <f t="shared" si="1917"/>
        <v>23/07/2025</v>
      </c>
      <c r="M3986">
        <v>303</v>
      </c>
      <c r="N3986" t="str">
        <f t="shared" si="1918"/>
        <v>RECEITAS COM ENTREGAS</v>
      </c>
      <c r="P3986">
        <v>128.47999999999999</v>
      </c>
      <c r="Q3986" t="str">
        <f>"FARMÁCIA INDIANA LJ 77 (10034)"</f>
        <v>FARMÁCIA INDIANA LJ 77 (10034)</v>
      </c>
      <c r="R3986" t="str">
        <f t="shared" si="1919"/>
        <v>RECEITAS COM ENTREGAS (303)</v>
      </c>
      <c r="S3986">
        <v>2095</v>
      </c>
      <c r="T3986">
        <v>1582</v>
      </c>
      <c r="U3986" t="s">
        <v>19</v>
      </c>
    </row>
    <row r="3987" spans="1:21">
      <c r="A3987" t="str">
        <f t="shared" si="1910"/>
        <v>23/07/2025</v>
      </c>
      <c r="B3987" t="str">
        <f t="shared" si="1920"/>
        <v>ENTRADA</v>
      </c>
      <c r="C3987" t="str">
        <f t="shared" si="1911"/>
        <v>NFSE</v>
      </c>
      <c r="D3987" t="str">
        <f t="shared" si="1921"/>
        <v>3244</v>
      </c>
      <c r="E3987" t="str">
        <f t="shared" si="1900"/>
        <v>COM</v>
      </c>
      <c r="F3987" t="str">
        <f t="shared" si="1922"/>
        <v>FARMÁCIA INDIANA LJ 30 (10127)</v>
      </c>
      <c r="G3987" t="str">
        <f t="shared" si="1923"/>
        <v>Serv.Prest. 07/07/2025 a 13/07/2025 - RPS: 1011 - NFSe: 3244</v>
      </c>
      <c r="H3987" t="str">
        <f t="shared" si="1915"/>
        <v>23/07/2025</v>
      </c>
      <c r="I3987" t="str">
        <f t="shared" si="1916"/>
        <v>15/07/2025</v>
      </c>
      <c r="J3987" t="str">
        <f t="shared" si="1917"/>
        <v>23/07/2025</v>
      </c>
      <c r="M3987">
        <v>303</v>
      </c>
      <c r="N3987" t="str">
        <f t="shared" si="1918"/>
        <v>RECEITAS COM ENTREGAS</v>
      </c>
      <c r="P3987">
        <v>329.51</v>
      </c>
      <c r="Q3987" t="str">
        <f>"FARMÁCIA INDIANA LJ 91 (10037)"</f>
        <v>FARMÁCIA INDIANA LJ 91 (10037)</v>
      </c>
      <c r="R3987" t="str">
        <f t="shared" si="1919"/>
        <v>RECEITAS COM ENTREGAS (303)</v>
      </c>
      <c r="S3987">
        <v>2095</v>
      </c>
      <c r="T3987">
        <v>1582</v>
      </c>
      <c r="U3987" t="s">
        <v>19</v>
      </c>
    </row>
    <row r="3988" spans="1:21">
      <c r="A3988" t="str">
        <f t="shared" si="1910"/>
        <v>23/07/2025</v>
      </c>
      <c r="B3988" t="str">
        <f t="shared" si="1920"/>
        <v>ENTRADA</v>
      </c>
      <c r="C3988" t="str">
        <f t="shared" si="1911"/>
        <v>NFSE</v>
      </c>
      <c r="D3988" t="str">
        <f t="shared" si="1921"/>
        <v>3244</v>
      </c>
      <c r="E3988" t="str">
        <f t="shared" si="1900"/>
        <v>COM</v>
      </c>
      <c r="F3988" t="str">
        <f t="shared" si="1922"/>
        <v>FARMÁCIA INDIANA LJ 30 (10127)</v>
      </c>
      <c r="G3988" t="str">
        <f t="shared" si="1923"/>
        <v>Serv.Prest. 07/07/2025 a 13/07/2025 - RPS: 1011 - NFSe: 3244</v>
      </c>
      <c r="H3988" t="str">
        <f t="shared" si="1915"/>
        <v>23/07/2025</v>
      </c>
      <c r="I3988" t="str">
        <f t="shared" si="1916"/>
        <v>15/07/2025</v>
      </c>
      <c r="J3988" t="str">
        <f t="shared" si="1917"/>
        <v>23/07/2025</v>
      </c>
      <c r="M3988">
        <v>303</v>
      </c>
      <c r="N3988" t="str">
        <f t="shared" si="1918"/>
        <v>RECEITAS COM ENTREGAS</v>
      </c>
      <c r="P3988">
        <v>462.94</v>
      </c>
      <c r="Q3988" t="str">
        <f>"FARMÁCIA INDIANA LJ 95 (10039)"</f>
        <v>FARMÁCIA INDIANA LJ 95 (10039)</v>
      </c>
      <c r="R3988" t="str">
        <f t="shared" si="1919"/>
        <v>RECEITAS COM ENTREGAS (303)</v>
      </c>
      <c r="S3988">
        <v>2095</v>
      </c>
      <c r="T3988">
        <v>1582</v>
      </c>
      <c r="U3988" t="s">
        <v>19</v>
      </c>
    </row>
    <row r="3989" spans="1:21">
      <c r="A3989" t="str">
        <f t="shared" si="1910"/>
        <v>23/07/2025</v>
      </c>
      <c r="B3989" t="str">
        <f t="shared" si="1920"/>
        <v>ENTRADA</v>
      </c>
      <c r="C3989" t="str">
        <f t="shared" si="1911"/>
        <v>NFSE</v>
      </c>
      <c r="D3989" t="str">
        <f t="shared" si="1921"/>
        <v>3244</v>
      </c>
      <c r="E3989" t="str">
        <f t="shared" si="1900"/>
        <v>COM</v>
      </c>
      <c r="F3989" t="str">
        <f t="shared" si="1922"/>
        <v>FARMÁCIA INDIANA LJ 30 (10127)</v>
      </c>
      <c r="G3989" t="str">
        <f t="shared" si="1923"/>
        <v>Serv.Prest. 07/07/2025 a 13/07/2025 - RPS: 1011 - NFSe: 3244</v>
      </c>
      <c r="H3989" t="str">
        <f t="shared" si="1915"/>
        <v>23/07/2025</v>
      </c>
      <c r="I3989" t="str">
        <f t="shared" si="1916"/>
        <v>15/07/2025</v>
      </c>
      <c r="J3989" t="str">
        <f t="shared" si="1917"/>
        <v>23/07/2025</v>
      </c>
      <c r="M3989">
        <v>303</v>
      </c>
      <c r="N3989" t="str">
        <f t="shared" si="1918"/>
        <v>RECEITAS COM ENTREGAS</v>
      </c>
      <c r="P3989">
        <v>280.85000000000002</v>
      </c>
      <c r="Q3989" t="str">
        <f>"FARMÁCIA INDIANA LJ 145 (10068)"</f>
        <v>FARMÁCIA INDIANA LJ 145 (10068)</v>
      </c>
      <c r="R3989" t="str">
        <f t="shared" si="1919"/>
        <v>RECEITAS COM ENTREGAS (303)</v>
      </c>
      <c r="S3989">
        <v>2095</v>
      </c>
      <c r="T3989">
        <v>1582</v>
      </c>
      <c r="U3989" t="s">
        <v>19</v>
      </c>
    </row>
    <row r="3990" spans="1:21">
      <c r="A3990" t="str">
        <f t="shared" si="1910"/>
        <v>23/07/2025</v>
      </c>
      <c r="B3990" t="str">
        <f t="shared" si="1920"/>
        <v>ENTRADA</v>
      </c>
      <c r="C3990" t="str">
        <f t="shared" si="1911"/>
        <v>NFSE</v>
      </c>
      <c r="D3990" t="str">
        <f t="shared" si="1921"/>
        <v>3244</v>
      </c>
      <c r="E3990" t="str">
        <f t="shared" si="1900"/>
        <v>COM</v>
      </c>
      <c r="F3990" t="str">
        <f t="shared" si="1922"/>
        <v>FARMÁCIA INDIANA LJ 30 (10127)</v>
      </c>
      <c r="G3990" t="str">
        <f t="shared" si="1923"/>
        <v>Serv.Prest. 07/07/2025 a 13/07/2025 - RPS: 1011 - NFSe: 3244</v>
      </c>
      <c r="H3990" t="str">
        <f t="shared" si="1915"/>
        <v>23/07/2025</v>
      </c>
      <c r="I3990" t="str">
        <f t="shared" si="1916"/>
        <v>15/07/2025</v>
      </c>
      <c r="J3990" t="str">
        <f t="shared" si="1917"/>
        <v>23/07/2025</v>
      </c>
      <c r="M3990">
        <v>303</v>
      </c>
      <c r="N3990" t="str">
        <f t="shared" si="1918"/>
        <v>RECEITAS COM ENTREGAS</v>
      </c>
      <c r="P3990">
        <v>150.62</v>
      </c>
      <c r="Q3990" t="str">
        <f>"FARMÁCIA INDIANA LJ 169 (10073)"</f>
        <v>FARMÁCIA INDIANA LJ 169 (10073)</v>
      </c>
      <c r="R3990" t="str">
        <f t="shared" si="1919"/>
        <v>RECEITAS COM ENTREGAS (303)</v>
      </c>
      <c r="S3990">
        <v>2095</v>
      </c>
      <c r="T3990">
        <v>1582</v>
      </c>
      <c r="U3990" t="s">
        <v>19</v>
      </c>
    </row>
    <row r="3991" spans="1:21">
      <c r="A3991" t="str">
        <f t="shared" si="1910"/>
        <v>23/07/2025</v>
      </c>
      <c r="B3991" t="str">
        <f t="shared" si="1920"/>
        <v>ENTRADA</v>
      </c>
      <c r="C3991" t="str">
        <f t="shared" si="1911"/>
        <v>NFSE</v>
      </c>
      <c r="D3991" t="str">
        <f t="shared" si="1921"/>
        <v>3244</v>
      </c>
      <c r="E3991" t="str">
        <f t="shared" si="1900"/>
        <v>COM</v>
      </c>
      <c r="F3991" t="str">
        <f t="shared" si="1922"/>
        <v>FARMÁCIA INDIANA LJ 30 (10127)</v>
      </c>
      <c r="G3991" t="str">
        <f t="shared" si="1923"/>
        <v>Serv.Prest. 07/07/2025 a 13/07/2025 - RPS: 1011 - NFSe: 3244</v>
      </c>
      <c r="H3991" t="str">
        <f t="shared" si="1915"/>
        <v>23/07/2025</v>
      </c>
      <c r="I3991" t="str">
        <f t="shared" si="1916"/>
        <v>15/07/2025</v>
      </c>
      <c r="J3991" t="str">
        <f t="shared" si="1917"/>
        <v>23/07/2025</v>
      </c>
      <c r="M3991">
        <v>303</v>
      </c>
      <c r="N3991" t="str">
        <f t="shared" si="1918"/>
        <v>RECEITAS COM ENTREGAS</v>
      </c>
      <c r="P3991">
        <v>191.7</v>
      </c>
      <c r="Q3991" t="str">
        <f>"FARMÁCIA INDIANA LJ 173 (10075)"</f>
        <v>FARMÁCIA INDIANA LJ 173 (10075)</v>
      </c>
      <c r="R3991" t="str">
        <f t="shared" si="1919"/>
        <v>RECEITAS COM ENTREGAS (303)</v>
      </c>
      <c r="S3991">
        <v>2095</v>
      </c>
      <c r="T3991">
        <v>1582</v>
      </c>
      <c r="U3991" t="s">
        <v>19</v>
      </c>
    </row>
    <row r="3992" spans="1:21">
      <c r="A3992" t="str">
        <f t="shared" si="1910"/>
        <v>23/07/2025</v>
      </c>
      <c r="B3992" t="str">
        <f t="shared" si="1920"/>
        <v>ENTRADA</v>
      </c>
      <c r="C3992" t="str">
        <f t="shared" si="1911"/>
        <v>NFSE</v>
      </c>
      <c r="D3992" t="str">
        <f t="shared" si="1921"/>
        <v>3244</v>
      </c>
      <c r="E3992" t="str">
        <f t="shared" si="1900"/>
        <v>COM</v>
      </c>
      <c r="F3992" t="str">
        <f t="shared" si="1922"/>
        <v>FARMÁCIA INDIANA LJ 30 (10127)</v>
      </c>
      <c r="G3992" t="str">
        <f t="shared" si="1923"/>
        <v>Serv.Prest. 07/07/2025 a 13/07/2025 - RPS: 1011 - NFSe: 3244</v>
      </c>
      <c r="H3992" t="str">
        <f t="shared" si="1915"/>
        <v>23/07/2025</v>
      </c>
      <c r="I3992" t="str">
        <f t="shared" si="1916"/>
        <v>15/07/2025</v>
      </c>
      <c r="J3992" t="str">
        <f t="shared" si="1917"/>
        <v>23/07/2025</v>
      </c>
      <c r="M3992">
        <v>303</v>
      </c>
      <c r="N3992" t="str">
        <f t="shared" si="1918"/>
        <v>RECEITAS COM ENTREGAS</v>
      </c>
      <c r="P3992">
        <v>171.6</v>
      </c>
      <c r="Q3992" t="str">
        <f>"FARMÁCIA INDIANA LJ 200 (10155)"</f>
        <v>FARMÁCIA INDIANA LJ 200 (10155)</v>
      </c>
      <c r="R3992" t="str">
        <f t="shared" si="1919"/>
        <v>RECEITAS COM ENTREGAS (303)</v>
      </c>
      <c r="S3992">
        <v>2095</v>
      </c>
      <c r="T3992">
        <v>1582</v>
      </c>
      <c r="U3992" t="s">
        <v>19</v>
      </c>
    </row>
    <row r="3993" spans="1:21">
      <c r="A3993" t="str">
        <f t="shared" si="1910"/>
        <v>23/07/2025</v>
      </c>
      <c r="B3993" t="str">
        <f t="shared" si="1920"/>
        <v>ENTRADA</v>
      </c>
      <c r="C3993" t="str">
        <f t="shared" si="1911"/>
        <v>NFSE</v>
      </c>
      <c r="D3993" t="str">
        <f t="shared" ref="D3993:D4038" si="1924">"3246"</f>
        <v>3246</v>
      </c>
      <c r="E3993" t="str">
        <f t="shared" si="1900"/>
        <v>COM</v>
      </c>
      <c r="F3993" t="str">
        <f t="shared" ref="F3993:F4038" si="1925">"FARMÁCIA INDIANA LJ 1 (10126)"</f>
        <v>FARMÁCIA INDIANA LJ 1 (10126)</v>
      </c>
      <c r="G3993" t="str">
        <f t="shared" ref="G3993:G4038" si="1926">"Serv.Prest. 07/07/2025 a 13/07/2025 - RPS: 1013 - NFSe: 3246"</f>
        <v>Serv.Prest. 07/07/2025 a 13/07/2025 - RPS: 1013 - NFSe: 3246</v>
      </c>
      <c r="H3993" t="str">
        <f t="shared" si="1915"/>
        <v>23/07/2025</v>
      </c>
      <c r="I3993" t="str">
        <f t="shared" si="1916"/>
        <v>15/07/2025</v>
      </c>
      <c r="J3993" t="str">
        <f t="shared" si="1917"/>
        <v>23/07/2025</v>
      </c>
      <c r="K3993">
        <v>14127.4</v>
      </c>
      <c r="L3993">
        <v>14127.4</v>
      </c>
      <c r="M3993">
        <v>303</v>
      </c>
      <c r="N3993" t="str">
        <f t="shared" si="1918"/>
        <v>RECEITAS COM ENTREGAS</v>
      </c>
      <c r="O3993">
        <v>14127.4</v>
      </c>
      <c r="R3993" t="str">
        <f t="shared" si="1919"/>
        <v>RECEITAS COM ENTREGAS (303)</v>
      </c>
      <c r="S3993">
        <v>2096</v>
      </c>
      <c r="T3993">
        <v>1584</v>
      </c>
      <c r="U3993" t="s">
        <v>19</v>
      </c>
    </row>
    <row r="3994" spans="1:21">
      <c r="A3994" t="str">
        <f t="shared" si="1910"/>
        <v>23/07/2025</v>
      </c>
      <c r="B3994" t="str">
        <f t="shared" si="1920"/>
        <v>ENTRADA</v>
      </c>
      <c r="C3994" t="str">
        <f t="shared" si="1911"/>
        <v>NFSE</v>
      </c>
      <c r="D3994" t="str">
        <f t="shared" si="1924"/>
        <v>3246</v>
      </c>
      <c r="E3994" t="str">
        <f t="shared" si="1900"/>
        <v>COM</v>
      </c>
      <c r="F3994" t="str">
        <f t="shared" si="1925"/>
        <v>FARMÁCIA INDIANA LJ 1 (10126)</v>
      </c>
      <c r="G3994" t="str">
        <f t="shared" si="1926"/>
        <v>Serv.Prest. 07/07/2025 a 13/07/2025 - RPS: 1013 - NFSe: 3246</v>
      </c>
      <c r="H3994" t="str">
        <f t="shared" si="1915"/>
        <v>23/07/2025</v>
      </c>
      <c r="I3994" t="str">
        <f t="shared" si="1916"/>
        <v>15/07/2025</v>
      </c>
      <c r="J3994" t="str">
        <f t="shared" si="1917"/>
        <v>23/07/2025</v>
      </c>
      <c r="M3994">
        <v>303</v>
      </c>
      <c r="N3994" t="str">
        <f t="shared" si="1918"/>
        <v>RECEITAS COM ENTREGAS</v>
      </c>
      <c r="P3994">
        <v>1723.55</v>
      </c>
      <c r="Q3994" t="str">
        <f>"FARMÁCIA INDIANA LJ 06 (10006)"</f>
        <v>FARMÁCIA INDIANA LJ 06 (10006)</v>
      </c>
      <c r="R3994" t="str">
        <f t="shared" si="1919"/>
        <v>RECEITAS COM ENTREGAS (303)</v>
      </c>
      <c r="S3994">
        <v>2096</v>
      </c>
      <c r="T3994">
        <v>1584</v>
      </c>
      <c r="U3994" t="s">
        <v>19</v>
      </c>
    </row>
    <row r="3995" spans="1:21">
      <c r="A3995" t="str">
        <f t="shared" si="1910"/>
        <v>23/07/2025</v>
      </c>
      <c r="B3995" t="str">
        <f t="shared" si="1920"/>
        <v>ENTRADA</v>
      </c>
      <c r="C3995" t="str">
        <f t="shared" si="1911"/>
        <v>NFSE</v>
      </c>
      <c r="D3995" t="str">
        <f t="shared" si="1924"/>
        <v>3246</v>
      </c>
      <c r="E3995" t="str">
        <f t="shared" si="1900"/>
        <v>COM</v>
      </c>
      <c r="F3995" t="str">
        <f t="shared" si="1925"/>
        <v>FARMÁCIA INDIANA LJ 1 (10126)</v>
      </c>
      <c r="G3995" t="str">
        <f t="shared" si="1926"/>
        <v>Serv.Prest. 07/07/2025 a 13/07/2025 - RPS: 1013 - NFSe: 3246</v>
      </c>
      <c r="H3995" t="str">
        <f t="shared" si="1915"/>
        <v>23/07/2025</v>
      </c>
      <c r="I3995" t="str">
        <f t="shared" si="1916"/>
        <v>15/07/2025</v>
      </c>
      <c r="J3995" t="str">
        <f t="shared" si="1917"/>
        <v>23/07/2025</v>
      </c>
      <c r="M3995">
        <v>303</v>
      </c>
      <c r="N3995" t="str">
        <f t="shared" si="1918"/>
        <v>RECEITAS COM ENTREGAS</v>
      </c>
      <c r="P3995">
        <v>1630.3</v>
      </c>
      <c r="Q3995" t="str">
        <f>"FARMÁCIA INDIANA LJ 07 (10007)"</f>
        <v>FARMÁCIA INDIANA LJ 07 (10007)</v>
      </c>
      <c r="R3995" t="str">
        <f t="shared" si="1919"/>
        <v>RECEITAS COM ENTREGAS (303)</v>
      </c>
      <c r="S3995">
        <v>2096</v>
      </c>
      <c r="T3995">
        <v>1584</v>
      </c>
      <c r="U3995" t="s">
        <v>19</v>
      </c>
    </row>
    <row r="3996" spans="1:21">
      <c r="A3996" t="str">
        <f t="shared" si="1910"/>
        <v>23/07/2025</v>
      </c>
      <c r="B3996" t="str">
        <f t="shared" si="1920"/>
        <v>ENTRADA</v>
      </c>
      <c r="C3996" t="str">
        <f t="shared" si="1911"/>
        <v>NFSE</v>
      </c>
      <c r="D3996" t="str">
        <f t="shared" si="1924"/>
        <v>3246</v>
      </c>
      <c r="E3996" t="str">
        <f t="shared" si="1900"/>
        <v>COM</v>
      </c>
      <c r="F3996" t="str">
        <f t="shared" si="1925"/>
        <v>FARMÁCIA INDIANA LJ 1 (10126)</v>
      </c>
      <c r="G3996" t="str">
        <f t="shared" si="1926"/>
        <v>Serv.Prest. 07/07/2025 a 13/07/2025 - RPS: 1013 - NFSe: 3246</v>
      </c>
      <c r="H3996" t="str">
        <f t="shared" si="1915"/>
        <v>23/07/2025</v>
      </c>
      <c r="I3996" t="str">
        <f t="shared" si="1916"/>
        <v>15/07/2025</v>
      </c>
      <c r="J3996" t="str">
        <f t="shared" si="1917"/>
        <v>23/07/2025</v>
      </c>
      <c r="M3996">
        <v>303</v>
      </c>
      <c r="N3996" t="str">
        <f t="shared" si="1918"/>
        <v>RECEITAS COM ENTREGAS</v>
      </c>
      <c r="P3996">
        <v>1109</v>
      </c>
      <c r="Q3996" t="str">
        <f>"FARMÁCIA INDIANA LJ 11 (10008)"</f>
        <v>FARMÁCIA INDIANA LJ 11 (10008)</v>
      </c>
      <c r="R3996" t="str">
        <f t="shared" si="1919"/>
        <v>RECEITAS COM ENTREGAS (303)</v>
      </c>
      <c r="S3996">
        <v>2096</v>
      </c>
      <c r="T3996">
        <v>1584</v>
      </c>
      <c r="U3996" t="s">
        <v>19</v>
      </c>
    </row>
    <row r="3997" spans="1:21">
      <c r="A3997" t="str">
        <f t="shared" si="1910"/>
        <v>23/07/2025</v>
      </c>
      <c r="B3997" t="str">
        <f t="shared" si="1920"/>
        <v>ENTRADA</v>
      </c>
      <c r="C3997" t="str">
        <f t="shared" si="1911"/>
        <v>NFSE</v>
      </c>
      <c r="D3997" t="str">
        <f t="shared" si="1924"/>
        <v>3246</v>
      </c>
      <c r="E3997" t="str">
        <f t="shared" si="1900"/>
        <v>COM</v>
      </c>
      <c r="F3997" t="str">
        <f t="shared" si="1925"/>
        <v>FARMÁCIA INDIANA LJ 1 (10126)</v>
      </c>
      <c r="G3997" t="str">
        <f t="shared" si="1926"/>
        <v>Serv.Prest. 07/07/2025 a 13/07/2025 - RPS: 1013 - NFSe: 3246</v>
      </c>
      <c r="H3997" t="str">
        <f t="shared" si="1915"/>
        <v>23/07/2025</v>
      </c>
      <c r="I3997" t="str">
        <f t="shared" si="1916"/>
        <v>15/07/2025</v>
      </c>
      <c r="J3997" t="str">
        <f t="shared" si="1917"/>
        <v>23/07/2025</v>
      </c>
      <c r="M3997">
        <v>303</v>
      </c>
      <c r="N3997" t="str">
        <f t="shared" si="1918"/>
        <v>RECEITAS COM ENTREGAS</v>
      </c>
      <c r="P3997">
        <v>389.92</v>
      </c>
      <c r="Q3997" t="str">
        <f>"FARMÁCIA INDIANA LJ 14 (10009)"</f>
        <v>FARMÁCIA INDIANA LJ 14 (10009)</v>
      </c>
      <c r="R3997" t="str">
        <f t="shared" si="1919"/>
        <v>RECEITAS COM ENTREGAS (303)</v>
      </c>
      <c r="S3997">
        <v>2096</v>
      </c>
      <c r="T3997">
        <v>1584</v>
      </c>
      <c r="U3997" t="s">
        <v>19</v>
      </c>
    </row>
    <row r="3998" spans="1:21">
      <c r="A3998" t="str">
        <f t="shared" si="1910"/>
        <v>23/07/2025</v>
      </c>
      <c r="B3998" t="str">
        <f t="shared" si="1920"/>
        <v>ENTRADA</v>
      </c>
      <c r="C3998" t="str">
        <f t="shared" si="1911"/>
        <v>NFSE</v>
      </c>
      <c r="D3998" t="str">
        <f t="shared" si="1924"/>
        <v>3246</v>
      </c>
      <c r="E3998" t="str">
        <f t="shared" si="1900"/>
        <v>COM</v>
      </c>
      <c r="F3998" t="str">
        <f t="shared" si="1925"/>
        <v>FARMÁCIA INDIANA LJ 1 (10126)</v>
      </c>
      <c r="G3998" t="str">
        <f t="shared" si="1926"/>
        <v>Serv.Prest. 07/07/2025 a 13/07/2025 - RPS: 1013 - NFSe: 3246</v>
      </c>
      <c r="H3998" t="str">
        <f t="shared" si="1915"/>
        <v>23/07/2025</v>
      </c>
      <c r="I3998" t="str">
        <f t="shared" si="1916"/>
        <v>15/07/2025</v>
      </c>
      <c r="J3998" t="str">
        <f t="shared" si="1917"/>
        <v>23/07/2025</v>
      </c>
      <c r="M3998">
        <v>303</v>
      </c>
      <c r="N3998" t="str">
        <f t="shared" si="1918"/>
        <v>RECEITAS COM ENTREGAS</v>
      </c>
      <c r="P3998">
        <v>387.09</v>
      </c>
      <c r="Q3998" t="str">
        <f>"FARMÁCIA INDIANA LJ 18 (10011)"</f>
        <v>FARMÁCIA INDIANA LJ 18 (10011)</v>
      </c>
      <c r="R3998" t="str">
        <f t="shared" si="1919"/>
        <v>RECEITAS COM ENTREGAS (303)</v>
      </c>
      <c r="S3998">
        <v>2096</v>
      </c>
      <c r="T3998">
        <v>1584</v>
      </c>
      <c r="U3998" t="s">
        <v>19</v>
      </c>
    </row>
    <row r="3999" spans="1:21">
      <c r="A3999" t="str">
        <f t="shared" si="1910"/>
        <v>23/07/2025</v>
      </c>
      <c r="B3999" t="str">
        <f t="shared" si="1920"/>
        <v>ENTRADA</v>
      </c>
      <c r="C3999" t="str">
        <f t="shared" si="1911"/>
        <v>NFSE</v>
      </c>
      <c r="D3999" t="str">
        <f t="shared" si="1924"/>
        <v>3246</v>
      </c>
      <c r="E3999" t="str">
        <f t="shared" si="1900"/>
        <v>COM</v>
      </c>
      <c r="F3999" t="str">
        <f t="shared" si="1925"/>
        <v>FARMÁCIA INDIANA LJ 1 (10126)</v>
      </c>
      <c r="G3999" t="str">
        <f t="shared" si="1926"/>
        <v>Serv.Prest. 07/07/2025 a 13/07/2025 - RPS: 1013 - NFSe: 3246</v>
      </c>
      <c r="H3999" t="str">
        <f t="shared" si="1915"/>
        <v>23/07/2025</v>
      </c>
      <c r="I3999" t="str">
        <f t="shared" si="1916"/>
        <v>15/07/2025</v>
      </c>
      <c r="J3999" t="str">
        <f t="shared" si="1917"/>
        <v>23/07/2025</v>
      </c>
      <c r="M3999">
        <v>303</v>
      </c>
      <c r="N3999" t="str">
        <f t="shared" si="1918"/>
        <v>RECEITAS COM ENTREGAS</v>
      </c>
      <c r="P3999">
        <v>363.07</v>
      </c>
      <c r="Q3999" t="str">
        <f>"FARMÁCIA INDIANA LJ 19 (10012)"</f>
        <v>FARMÁCIA INDIANA LJ 19 (10012)</v>
      </c>
      <c r="R3999" t="str">
        <f t="shared" si="1919"/>
        <v>RECEITAS COM ENTREGAS (303)</v>
      </c>
      <c r="S3999">
        <v>2096</v>
      </c>
      <c r="T3999">
        <v>1584</v>
      </c>
      <c r="U3999" t="s">
        <v>19</v>
      </c>
    </row>
    <row r="4000" spans="1:21">
      <c r="A4000" t="str">
        <f t="shared" si="1910"/>
        <v>23/07/2025</v>
      </c>
      <c r="B4000" t="str">
        <f t="shared" si="1920"/>
        <v>ENTRADA</v>
      </c>
      <c r="C4000" t="str">
        <f t="shared" si="1911"/>
        <v>NFSE</v>
      </c>
      <c r="D4000" t="str">
        <f t="shared" si="1924"/>
        <v>3246</v>
      </c>
      <c r="E4000" t="str">
        <f t="shared" si="1900"/>
        <v>COM</v>
      </c>
      <c r="F4000" t="str">
        <f t="shared" si="1925"/>
        <v>FARMÁCIA INDIANA LJ 1 (10126)</v>
      </c>
      <c r="G4000" t="str">
        <f t="shared" si="1926"/>
        <v>Serv.Prest. 07/07/2025 a 13/07/2025 - RPS: 1013 - NFSe: 3246</v>
      </c>
      <c r="H4000" t="str">
        <f t="shared" si="1915"/>
        <v>23/07/2025</v>
      </c>
      <c r="I4000" t="str">
        <f t="shared" si="1916"/>
        <v>15/07/2025</v>
      </c>
      <c r="J4000" t="str">
        <f t="shared" si="1917"/>
        <v>23/07/2025</v>
      </c>
      <c r="M4000">
        <v>303</v>
      </c>
      <c r="N4000" t="str">
        <f t="shared" si="1918"/>
        <v>RECEITAS COM ENTREGAS</v>
      </c>
      <c r="P4000">
        <v>702.13</v>
      </c>
      <c r="Q4000" t="str">
        <f>"FARMÁCIA INDIANA LJ 40 (10016)"</f>
        <v>FARMÁCIA INDIANA LJ 40 (10016)</v>
      </c>
      <c r="R4000" t="str">
        <f t="shared" si="1919"/>
        <v>RECEITAS COM ENTREGAS (303)</v>
      </c>
      <c r="S4000">
        <v>2096</v>
      </c>
      <c r="T4000">
        <v>1584</v>
      </c>
      <c r="U4000" t="s">
        <v>19</v>
      </c>
    </row>
    <row r="4001" spans="1:21">
      <c r="A4001" t="str">
        <f t="shared" si="1910"/>
        <v>23/07/2025</v>
      </c>
      <c r="B4001" t="str">
        <f t="shared" si="1920"/>
        <v>ENTRADA</v>
      </c>
      <c r="C4001" t="str">
        <f t="shared" si="1911"/>
        <v>NFSE</v>
      </c>
      <c r="D4001" t="str">
        <f t="shared" si="1924"/>
        <v>3246</v>
      </c>
      <c r="E4001" t="str">
        <f t="shared" si="1900"/>
        <v>COM</v>
      </c>
      <c r="F4001" t="str">
        <f t="shared" si="1925"/>
        <v>FARMÁCIA INDIANA LJ 1 (10126)</v>
      </c>
      <c r="G4001" t="str">
        <f t="shared" si="1926"/>
        <v>Serv.Prest. 07/07/2025 a 13/07/2025 - RPS: 1013 - NFSe: 3246</v>
      </c>
      <c r="H4001" t="str">
        <f t="shared" si="1915"/>
        <v>23/07/2025</v>
      </c>
      <c r="I4001" t="str">
        <f t="shared" si="1916"/>
        <v>15/07/2025</v>
      </c>
      <c r="J4001" t="str">
        <f t="shared" si="1917"/>
        <v>23/07/2025</v>
      </c>
      <c r="M4001">
        <v>303</v>
      </c>
      <c r="N4001" t="str">
        <f t="shared" si="1918"/>
        <v>RECEITAS COM ENTREGAS</v>
      </c>
      <c r="P4001">
        <v>380.03</v>
      </c>
      <c r="Q4001" t="str">
        <f>"FARMÁCIA INDIANA LJ 59 (10026)"</f>
        <v>FARMÁCIA INDIANA LJ 59 (10026)</v>
      </c>
      <c r="R4001" t="str">
        <f t="shared" si="1919"/>
        <v>RECEITAS COM ENTREGAS (303)</v>
      </c>
      <c r="S4001">
        <v>2096</v>
      </c>
      <c r="T4001">
        <v>1584</v>
      </c>
      <c r="U4001" t="s">
        <v>19</v>
      </c>
    </row>
    <row r="4002" spans="1:21">
      <c r="A4002" t="str">
        <f t="shared" si="1910"/>
        <v>23/07/2025</v>
      </c>
      <c r="B4002" t="str">
        <f t="shared" si="1920"/>
        <v>ENTRADA</v>
      </c>
      <c r="C4002" t="str">
        <f t="shared" si="1911"/>
        <v>NFSE</v>
      </c>
      <c r="D4002" t="str">
        <f t="shared" si="1924"/>
        <v>3246</v>
      </c>
      <c r="E4002" t="str">
        <f t="shared" si="1900"/>
        <v>COM</v>
      </c>
      <c r="F4002" t="str">
        <f t="shared" si="1925"/>
        <v>FARMÁCIA INDIANA LJ 1 (10126)</v>
      </c>
      <c r="G4002" t="str">
        <f t="shared" si="1926"/>
        <v>Serv.Prest. 07/07/2025 a 13/07/2025 - RPS: 1013 - NFSe: 3246</v>
      </c>
      <c r="H4002" t="str">
        <f t="shared" si="1915"/>
        <v>23/07/2025</v>
      </c>
      <c r="I4002" t="str">
        <f t="shared" si="1916"/>
        <v>15/07/2025</v>
      </c>
      <c r="J4002" t="str">
        <f t="shared" si="1917"/>
        <v>23/07/2025</v>
      </c>
      <c r="M4002">
        <v>303</v>
      </c>
      <c r="N4002" t="str">
        <f t="shared" si="1918"/>
        <v>RECEITAS COM ENTREGAS</v>
      </c>
      <c r="P4002">
        <v>584.87</v>
      </c>
      <c r="Q4002" t="str">
        <f>"FARMÁCIA INDIANA LJ 61 (10027)"</f>
        <v>FARMÁCIA INDIANA LJ 61 (10027)</v>
      </c>
      <c r="R4002" t="str">
        <f t="shared" si="1919"/>
        <v>RECEITAS COM ENTREGAS (303)</v>
      </c>
      <c r="S4002">
        <v>2096</v>
      </c>
      <c r="T4002">
        <v>1584</v>
      </c>
      <c r="U4002" t="s">
        <v>19</v>
      </c>
    </row>
    <row r="4003" spans="1:21">
      <c r="A4003" t="str">
        <f t="shared" si="1910"/>
        <v>23/07/2025</v>
      </c>
      <c r="B4003" t="str">
        <f t="shared" si="1920"/>
        <v>ENTRADA</v>
      </c>
      <c r="C4003" t="str">
        <f t="shared" si="1911"/>
        <v>NFSE</v>
      </c>
      <c r="D4003" t="str">
        <f t="shared" si="1924"/>
        <v>3246</v>
      </c>
      <c r="E4003" t="str">
        <f t="shared" si="1900"/>
        <v>COM</v>
      </c>
      <c r="F4003" t="str">
        <f t="shared" si="1925"/>
        <v>FARMÁCIA INDIANA LJ 1 (10126)</v>
      </c>
      <c r="G4003" t="str">
        <f t="shared" si="1926"/>
        <v>Serv.Prest. 07/07/2025 a 13/07/2025 - RPS: 1013 - NFSe: 3246</v>
      </c>
      <c r="H4003" t="str">
        <f t="shared" si="1915"/>
        <v>23/07/2025</v>
      </c>
      <c r="I4003" t="str">
        <f t="shared" si="1916"/>
        <v>15/07/2025</v>
      </c>
      <c r="J4003" t="str">
        <f t="shared" si="1917"/>
        <v>23/07/2025</v>
      </c>
      <c r="M4003">
        <v>303</v>
      </c>
      <c r="N4003" t="str">
        <f t="shared" si="1918"/>
        <v>RECEITAS COM ENTREGAS</v>
      </c>
      <c r="P4003">
        <v>258.52999999999997</v>
      </c>
      <c r="Q4003" t="str">
        <f>"FARMÁCIA INDIANA LJ 62 (10028)"</f>
        <v>FARMÁCIA INDIANA LJ 62 (10028)</v>
      </c>
      <c r="R4003" t="str">
        <f t="shared" si="1919"/>
        <v>RECEITAS COM ENTREGAS (303)</v>
      </c>
      <c r="S4003">
        <v>2096</v>
      </c>
      <c r="T4003">
        <v>1584</v>
      </c>
      <c r="U4003" t="s">
        <v>19</v>
      </c>
    </row>
    <row r="4004" spans="1:21">
      <c r="A4004" t="str">
        <f t="shared" ref="A4004:A4035" si="1927">("23/07/2025")</f>
        <v>23/07/2025</v>
      </c>
      <c r="B4004" t="str">
        <f t="shared" si="1920"/>
        <v>ENTRADA</v>
      </c>
      <c r="C4004" t="str">
        <f t="shared" ref="C4004:C4035" si="1928">"NFSE"</f>
        <v>NFSE</v>
      </c>
      <c r="D4004" t="str">
        <f t="shared" si="1924"/>
        <v>3246</v>
      </c>
      <c r="E4004" t="str">
        <f t="shared" si="1900"/>
        <v>COM</v>
      </c>
      <c r="F4004" t="str">
        <f t="shared" si="1925"/>
        <v>FARMÁCIA INDIANA LJ 1 (10126)</v>
      </c>
      <c r="G4004" t="str">
        <f t="shared" si="1926"/>
        <v>Serv.Prest. 07/07/2025 a 13/07/2025 - RPS: 1013 - NFSe: 3246</v>
      </c>
      <c r="H4004" t="str">
        <f t="shared" ref="H4004:H4035" si="1929">("23/07/2025")</f>
        <v>23/07/2025</v>
      </c>
      <c r="I4004" t="str">
        <f t="shared" ref="I4004:I4038" si="1930">("15/07/2025")</f>
        <v>15/07/2025</v>
      </c>
      <c r="J4004" t="str">
        <f t="shared" ref="J4004:J4035" si="1931">("23/07/2025")</f>
        <v>23/07/2025</v>
      </c>
      <c r="M4004">
        <v>303</v>
      </c>
      <c r="N4004" t="str">
        <f t="shared" ref="N4004:N4035" si="1932">"RECEITAS COM ENTREGAS"</f>
        <v>RECEITAS COM ENTREGAS</v>
      </c>
      <c r="P4004">
        <v>107.37</v>
      </c>
      <c r="Q4004" t="str">
        <f>"FARMÁCIA INDIANA LJ 64 (10029)"</f>
        <v>FARMÁCIA INDIANA LJ 64 (10029)</v>
      </c>
      <c r="R4004" t="str">
        <f t="shared" ref="R4004:R4035" si="1933">"RECEITAS COM ENTREGAS (303)"</f>
        <v>RECEITAS COM ENTREGAS (303)</v>
      </c>
      <c r="S4004">
        <v>2096</v>
      </c>
      <c r="T4004">
        <v>1584</v>
      </c>
      <c r="U4004" t="s">
        <v>19</v>
      </c>
    </row>
    <row r="4005" spans="1:21">
      <c r="A4005" t="str">
        <f t="shared" si="1927"/>
        <v>23/07/2025</v>
      </c>
      <c r="B4005" t="str">
        <f t="shared" si="1920"/>
        <v>ENTRADA</v>
      </c>
      <c r="C4005" t="str">
        <f t="shared" si="1928"/>
        <v>NFSE</v>
      </c>
      <c r="D4005" t="str">
        <f t="shared" si="1924"/>
        <v>3246</v>
      </c>
      <c r="E4005" t="str">
        <f t="shared" si="1900"/>
        <v>COM</v>
      </c>
      <c r="F4005" t="str">
        <f t="shared" si="1925"/>
        <v>FARMÁCIA INDIANA LJ 1 (10126)</v>
      </c>
      <c r="G4005" t="str">
        <f t="shared" si="1926"/>
        <v>Serv.Prest. 07/07/2025 a 13/07/2025 - RPS: 1013 - NFSe: 3246</v>
      </c>
      <c r="H4005" t="str">
        <f t="shared" si="1929"/>
        <v>23/07/2025</v>
      </c>
      <c r="I4005" t="str">
        <f t="shared" si="1930"/>
        <v>15/07/2025</v>
      </c>
      <c r="J4005" t="str">
        <f t="shared" si="1931"/>
        <v>23/07/2025</v>
      </c>
      <c r="M4005">
        <v>303</v>
      </c>
      <c r="N4005" t="str">
        <f t="shared" si="1932"/>
        <v>RECEITAS COM ENTREGAS</v>
      </c>
      <c r="P4005">
        <v>66.400000000000006</v>
      </c>
      <c r="Q4005" t="str">
        <f>"FARMÁCIA INDIANA LJ 97 (10040)"</f>
        <v>FARMÁCIA INDIANA LJ 97 (10040)</v>
      </c>
      <c r="R4005" t="str">
        <f t="shared" si="1933"/>
        <v>RECEITAS COM ENTREGAS (303)</v>
      </c>
      <c r="S4005">
        <v>2096</v>
      </c>
      <c r="T4005">
        <v>1584</v>
      </c>
      <c r="U4005" t="s">
        <v>19</v>
      </c>
    </row>
    <row r="4006" spans="1:21">
      <c r="A4006" t="str">
        <f t="shared" si="1927"/>
        <v>23/07/2025</v>
      </c>
      <c r="B4006" t="str">
        <f t="shared" si="1920"/>
        <v>ENTRADA</v>
      </c>
      <c r="C4006" t="str">
        <f t="shared" si="1928"/>
        <v>NFSE</v>
      </c>
      <c r="D4006" t="str">
        <f t="shared" si="1924"/>
        <v>3246</v>
      </c>
      <c r="E4006" t="str">
        <f t="shared" si="1900"/>
        <v>COM</v>
      </c>
      <c r="F4006" t="str">
        <f t="shared" si="1925"/>
        <v>FARMÁCIA INDIANA LJ 1 (10126)</v>
      </c>
      <c r="G4006" t="str">
        <f t="shared" si="1926"/>
        <v>Serv.Prest. 07/07/2025 a 13/07/2025 - RPS: 1013 - NFSe: 3246</v>
      </c>
      <c r="H4006" t="str">
        <f t="shared" si="1929"/>
        <v>23/07/2025</v>
      </c>
      <c r="I4006" t="str">
        <f t="shared" si="1930"/>
        <v>15/07/2025</v>
      </c>
      <c r="J4006" t="str">
        <f t="shared" si="1931"/>
        <v>23/07/2025</v>
      </c>
      <c r="M4006">
        <v>303</v>
      </c>
      <c r="N4006" t="str">
        <f t="shared" si="1932"/>
        <v>RECEITAS COM ENTREGAS</v>
      </c>
      <c r="P4006">
        <v>300.91000000000003</v>
      </c>
      <c r="Q4006" t="str">
        <f>"FARMÁCIA INDIANA LJ 100 (10042)"</f>
        <v>FARMÁCIA INDIANA LJ 100 (10042)</v>
      </c>
      <c r="R4006" t="str">
        <f t="shared" si="1933"/>
        <v>RECEITAS COM ENTREGAS (303)</v>
      </c>
      <c r="S4006">
        <v>2096</v>
      </c>
      <c r="T4006">
        <v>1584</v>
      </c>
      <c r="U4006" t="s">
        <v>19</v>
      </c>
    </row>
    <row r="4007" spans="1:21">
      <c r="A4007" t="str">
        <f t="shared" si="1927"/>
        <v>23/07/2025</v>
      </c>
      <c r="B4007" t="str">
        <f t="shared" si="1920"/>
        <v>ENTRADA</v>
      </c>
      <c r="C4007" t="str">
        <f t="shared" si="1928"/>
        <v>NFSE</v>
      </c>
      <c r="D4007" t="str">
        <f t="shared" si="1924"/>
        <v>3246</v>
      </c>
      <c r="E4007" t="str">
        <f t="shared" si="1900"/>
        <v>COM</v>
      </c>
      <c r="F4007" t="str">
        <f t="shared" si="1925"/>
        <v>FARMÁCIA INDIANA LJ 1 (10126)</v>
      </c>
      <c r="G4007" t="str">
        <f t="shared" si="1926"/>
        <v>Serv.Prest. 07/07/2025 a 13/07/2025 - RPS: 1013 - NFSe: 3246</v>
      </c>
      <c r="H4007" t="str">
        <f t="shared" si="1929"/>
        <v>23/07/2025</v>
      </c>
      <c r="I4007" t="str">
        <f t="shared" si="1930"/>
        <v>15/07/2025</v>
      </c>
      <c r="J4007" t="str">
        <f t="shared" si="1931"/>
        <v>23/07/2025</v>
      </c>
      <c r="M4007">
        <v>303</v>
      </c>
      <c r="N4007" t="str">
        <f t="shared" si="1932"/>
        <v>RECEITAS COM ENTREGAS</v>
      </c>
      <c r="P4007">
        <v>713.43</v>
      </c>
      <c r="Q4007" t="str">
        <f>"FARMÁCIA INDIANA LJ 101 (10043)"</f>
        <v>FARMÁCIA INDIANA LJ 101 (10043)</v>
      </c>
      <c r="R4007" t="str">
        <f t="shared" si="1933"/>
        <v>RECEITAS COM ENTREGAS (303)</v>
      </c>
      <c r="S4007">
        <v>2096</v>
      </c>
      <c r="T4007">
        <v>1584</v>
      </c>
      <c r="U4007" t="s">
        <v>19</v>
      </c>
    </row>
    <row r="4008" spans="1:21">
      <c r="A4008" t="str">
        <f t="shared" si="1927"/>
        <v>23/07/2025</v>
      </c>
      <c r="B4008" t="str">
        <f t="shared" si="1920"/>
        <v>ENTRADA</v>
      </c>
      <c r="C4008" t="str">
        <f t="shared" si="1928"/>
        <v>NFSE</v>
      </c>
      <c r="D4008" t="str">
        <f t="shared" si="1924"/>
        <v>3246</v>
      </c>
      <c r="E4008" t="str">
        <f t="shared" si="1900"/>
        <v>COM</v>
      </c>
      <c r="F4008" t="str">
        <f t="shared" si="1925"/>
        <v>FARMÁCIA INDIANA LJ 1 (10126)</v>
      </c>
      <c r="G4008" t="str">
        <f t="shared" si="1926"/>
        <v>Serv.Prest. 07/07/2025 a 13/07/2025 - RPS: 1013 - NFSe: 3246</v>
      </c>
      <c r="H4008" t="str">
        <f t="shared" si="1929"/>
        <v>23/07/2025</v>
      </c>
      <c r="I4008" t="str">
        <f t="shared" si="1930"/>
        <v>15/07/2025</v>
      </c>
      <c r="J4008" t="str">
        <f t="shared" si="1931"/>
        <v>23/07/2025</v>
      </c>
      <c r="M4008">
        <v>303</v>
      </c>
      <c r="N4008" t="str">
        <f t="shared" si="1932"/>
        <v>RECEITAS COM ENTREGAS</v>
      </c>
      <c r="P4008">
        <v>125.73</v>
      </c>
      <c r="Q4008" t="str">
        <f>"FARMÁCIA INDIANA LJ 103 (10044)"</f>
        <v>FARMÁCIA INDIANA LJ 103 (10044)</v>
      </c>
      <c r="R4008" t="str">
        <f t="shared" si="1933"/>
        <v>RECEITAS COM ENTREGAS (303)</v>
      </c>
      <c r="S4008">
        <v>2096</v>
      </c>
      <c r="T4008">
        <v>1584</v>
      </c>
      <c r="U4008" t="s">
        <v>19</v>
      </c>
    </row>
    <row r="4009" spans="1:21">
      <c r="A4009" t="str">
        <f t="shared" si="1927"/>
        <v>23/07/2025</v>
      </c>
      <c r="B4009" t="str">
        <f t="shared" si="1920"/>
        <v>ENTRADA</v>
      </c>
      <c r="C4009" t="str">
        <f t="shared" si="1928"/>
        <v>NFSE</v>
      </c>
      <c r="D4009" t="str">
        <f t="shared" si="1924"/>
        <v>3246</v>
      </c>
      <c r="E4009" t="str">
        <f t="shared" si="1900"/>
        <v>COM</v>
      </c>
      <c r="F4009" t="str">
        <f t="shared" si="1925"/>
        <v>FARMÁCIA INDIANA LJ 1 (10126)</v>
      </c>
      <c r="G4009" t="str">
        <f t="shared" si="1926"/>
        <v>Serv.Prest. 07/07/2025 a 13/07/2025 - RPS: 1013 - NFSe: 3246</v>
      </c>
      <c r="H4009" t="str">
        <f t="shared" si="1929"/>
        <v>23/07/2025</v>
      </c>
      <c r="I4009" t="str">
        <f t="shared" si="1930"/>
        <v>15/07/2025</v>
      </c>
      <c r="J4009" t="str">
        <f t="shared" si="1931"/>
        <v>23/07/2025</v>
      </c>
      <c r="M4009">
        <v>303</v>
      </c>
      <c r="N4009" t="str">
        <f t="shared" si="1932"/>
        <v>RECEITAS COM ENTREGAS</v>
      </c>
      <c r="P4009">
        <v>271.25</v>
      </c>
      <c r="Q4009" t="str">
        <f>"FARMÁCIA INDIANA LJ 109 (10047)"</f>
        <v>FARMÁCIA INDIANA LJ 109 (10047)</v>
      </c>
      <c r="R4009" t="str">
        <f t="shared" si="1933"/>
        <v>RECEITAS COM ENTREGAS (303)</v>
      </c>
      <c r="S4009">
        <v>2096</v>
      </c>
      <c r="T4009">
        <v>1584</v>
      </c>
      <c r="U4009" t="s">
        <v>19</v>
      </c>
    </row>
    <row r="4010" spans="1:21">
      <c r="A4010" t="str">
        <f t="shared" si="1927"/>
        <v>23/07/2025</v>
      </c>
      <c r="B4010" t="str">
        <f t="shared" si="1920"/>
        <v>ENTRADA</v>
      </c>
      <c r="C4010" t="str">
        <f t="shared" si="1928"/>
        <v>NFSE</v>
      </c>
      <c r="D4010" t="str">
        <f t="shared" si="1924"/>
        <v>3246</v>
      </c>
      <c r="E4010" t="str">
        <f t="shared" si="1900"/>
        <v>COM</v>
      </c>
      <c r="F4010" t="str">
        <f t="shared" si="1925"/>
        <v>FARMÁCIA INDIANA LJ 1 (10126)</v>
      </c>
      <c r="G4010" t="str">
        <f t="shared" si="1926"/>
        <v>Serv.Prest. 07/07/2025 a 13/07/2025 - RPS: 1013 - NFSe: 3246</v>
      </c>
      <c r="H4010" t="str">
        <f t="shared" si="1929"/>
        <v>23/07/2025</v>
      </c>
      <c r="I4010" t="str">
        <f t="shared" si="1930"/>
        <v>15/07/2025</v>
      </c>
      <c r="J4010" t="str">
        <f t="shared" si="1931"/>
        <v>23/07/2025</v>
      </c>
      <c r="M4010">
        <v>303</v>
      </c>
      <c r="N4010" t="str">
        <f t="shared" si="1932"/>
        <v>RECEITAS COM ENTREGAS</v>
      </c>
      <c r="P4010">
        <v>501.52</v>
      </c>
      <c r="Q4010" t="str">
        <f>"FARMÁCIA INDIANA LJ 110 (10048)"</f>
        <v>FARMÁCIA INDIANA LJ 110 (10048)</v>
      </c>
      <c r="R4010" t="str">
        <f t="shared" si="1933"/>
        <v>RECEITAS COM ENTREGAS (303)</v>
      </c>
      <c r="S4010">
        <v>2096</v>
      </c>
      <c r="T4010">
        <v>1584</v>
      </c>
      <c r="U4010" t="s">
        <v>19</v>
      </c>
    </row>
    <row r="4011" spans="1:21">
      <c r="A4011" t="str">
        <f t="shared" si="1927"/>
        <v>23/07/2025</v>
      </c>
      <c r="B4011" t="str">
        <f t="shared" si="1920"/>
        <v>ENTRADA</v>
      </c>
      <c r="C4011" t="str">
        <f t="shared" si="1928"/>
        <v>NFSE</v>
      </c>
      <c r="D4011" t="str">
        <f t="shared" si="1924"/>
        <v>3246</v>
      </c>
      <c r="E4011" t="str">
        <f t="shared" si="1900"/>
        <v>COM</v>
      </c>
      <c r="F4011" t="str">
        <f t="shared" si="1925"/>
        <v>FARMÁCIA INDIANA LJ 1 (10126)</v>
      </c>
      <c r="G4011" t="str">
        <f t="shared" si="1926"/>
        <v>Serv.Prest. 07/07/2025 a 13/07/2025 - RPS: 1013 - NFSe: 3246</v>
      </c>
      <c r="H4011" t="str">
        <f t="shared" si="1929"/>
        <v>23/07/2025</v>
      </c>
      <c r="I4011" t="str">
        <f t="shared" si="1930"/>
        <v>15/07/2025</v>
      </c>
      <c r="J4011" t="str">
        <f t="shared" si="1931"/>
        <v>23/07/2025</v>
      </c>
      <c r="M4011">
        <v>303</v>
      </c>
      <c r="N4011" t="str">
        <f t="shared" si="1932"/>
        <v>RECEITAS COM ENTREGAS</v>
      </c>
      <c r="P4011">
        <v>64.989999999999995</v>
      </c>
      <c r="Q4011" t="str">
        <f>"FARMÁCIA INDIANA LJ 111 (10049)"</f>
        <v>FARMÁCIA INDIANA LJ 111 (10049)</v>
      </c>
      <c r="R4011" t="str">
        <f t="shared" si="1933"/>
        <v>RECEITAS COM ENTREGAS (303)</v>
      </c>
      <c r="S4011">
        <v>2096</v>
      </c>
      <c r="T4011">
        <v>1584</v>
      </c>
      <c r="U4011" t="s">
        <v>19</v>
      </c>
    </row>
    <row r="4012" spans="1:21">
      <c r="A4012" t="str">
        <f t="shared" si="1927"/>
        <v>23/07/2025</v>
      </c>
      <c r="B4012" t="str">
        <f t="shared" si="1920"/>
        <v>ENTRADA</v>
      </c>
      <c r="C4012" t="str">
        <f t="shared" si="1928"/>
        <v>NFSE</v>
      </c>
      <c r="D4012" t="str">
        <f t="shared" si="1924"/>
        <v>3246</v>
      </c>
      <c r="E4012" t="str">
        <f t="shared" si="1900"/>
        <v>COM</v>
      </c>
      <c r="F4012" t="str">
        <f t="shared" si="1925"/>
        <v>FARMÁCIA INDIANA LJ 1 (10126)</v>
      </c>
      <c r="G4012" t="str">
        <f t="shared" si="1926"/>
        <v>Serv.Prest. 07/07/2025 a 13/07/2025 - RPS: 1013 - NFSe: 3246</v>
      </c>
      <c r="H4012" t="str">
        <f t="shared" si="1929"/>
        <v>23/07/2025</v>
      </c>
      <c r="I4012" t="str">
        <f t="shared" si="1930"/>
        <v>15/07/2025</v>
      </c>
      <c r="J4012" t="str">
        <f t="shared" si="1931"/>
        <v>23/07/2025</v>
      </c>
      <c r="M4012">
        <v>303</v>
      </c>
      <c r="N4012" t="str">
        <f t="shared" si="1932"/>
        <v>RECEITAS COM ENTREGAS</v>
      </c>
      <c r="P4012">
        <v>178.01</v>
      </c>
      <c r="Q4012" t="str">
        <f>"FARMÁCIA INDIANA LJ 112 (10050)"</f>
        <v>FARMÁCIA INDIANA LJ 112 (10050)</v>
      </c>
      <c r="R4012" t="str">
        <f t="shared" si="1933"/>
        <v>RECEITAS COM ENTREGAS (303)</v>
      </c>
      <c r="S4012">
        <v>2096</v>
      </c>
      <c r="T4012">
        <v>1584</v>
      </c>
      <c r="U4012" t="s">
        <v>19</v>
      </c>
    </row>
    <row r="4013" spans="1:21">
      <c r="A4013" t="str">
        <f t="shared" si="1927"/>
        <v>23/07/2025</v>
      </c>
      <c r="B4013" t="str">
        <f t="shared" si="1920"/>
        <v>ENTRADA</v>
      </c>
      <c r="C4013" t="str">
        <f t="shared" si="1928"/>
        <v>NFSE</v>
      </c>
      <c r="D4013" t="str">
        <f t="shared" si="1924"/>
        <v>3246</v>
      </c>
      <c r="E4013" t="str">
        <f t="shared" si="1900"/>
        <v>COM</v>
      </c>
      <c r="F4013" t="str">
        <f t="shared" si="1925"/>
        <v>FARMÁCIA INDIANA LJ 1 (10126)</v>
      </c>
      <c r="G4013" t="str">
        <f t="shared" si="1926"/>
        <v>Serv.Prest. 07/07/2025 a 13/07/2025 - RPS: 1013 - NFSe: 3246</v>
      </c>
      <c r="H4013" t="str">
        <f t="shared" si="1929"/>
        <v>23/07/2025</v>
      </c>
      <c r="I4013" t="str">
        <f t="shared" si="1930"/>
        <v>15/07/2025</v>
      </c>
      <c r="J4013" t="str">
        <f t="shared" si="1931"/>
        <v>23/07/2025</v>
      </c>
      <c r="M4013">
        <v>303</v>
      </c>
      <c r="N4013" t="str">
        <f t="shared" si="1932"/>
        <v>RECEITAS COM ENTREGAS</v>
      </c>
      <c r="P4013">
        <v>149.75</v>
      </c>
      <c r="Q4013" t="str">
        <f>"FARMÁCIA INDIANA LJ 116 (10051)"</f>
        <v>FARMÁCIA INDIANA LJ 116 (10051)</v>
      </c>
      <c r="R4013" t="str">
        <f t="shared" si="1933"/>
        <v>RECEITAS COM ENTREGAS (303)</v>
      </c>
      <c r="S4013">
        <v>2096</v>
      </c>
      <c r="T4013">
        <v>1584</v>
      </c>
      <c r="U4013" t="s">
        <v>19</v>
      </c>
    </row>
    <row r="4014" spans="1:21">
      <c r="A4014" t="str">
        <f t="shared" si="1927"/>
        <v>23/07/2025</v>
      </c>
      <c r="B4014" t="str">
        <f t="shared" si="1920"/>
        <v>ENTRADA</v>
      </c>
      <c r="C4014" t="str">
        <f t="shared" si="1928"/>
        <v>NFSE</v>
      </c>
      <c r="D4014" t="str">
        <f t="shared" si="1924"/>
        <v>3246</v>
      </c>
      <c r="E4014" t="str">
        <f t="shared" si="1900"/>
        <v>COM</v>
      </c>
      <c r="F4014" t="str">
        <f t="shared" si="1925"/>
        <v>FARMÁCIA INDIANA LJ 1 (10126)</v>
      </c>
      <c r="G4014" t="str">
        <f t="shared" si="1926"/>
        <v>Serv.Prest. 07/07/2025 a 13/07/2025 - RPS: 1013 - NFSe: 3246</v>
      </c>
      <c r="H4014" t="str">
        <f t="shared" si="1929"/>
        <v>23/07/2025</v>
      </c>
      <c r="I4014" t="str">
        <f t="shared" si="1930"/>
        <v>15/07/2025</v>
      </c>
      <c r="J4014" t="str">
        <f t="shared" si="1931"/>
        <v>23/07/2025</v>
      </c>
      <c r="M4014">
        <v>303</v>
      </c>
      <c r="N4014" t="str">
        <f t="shared" si="1932"/>
        <v>RECEITAS COM ENTREGAS</v>
      </c>
      <c r="P4014">
        <v>115.84</v>
      </c>
      <c r="Q4014" t="str">
        <f>"FARMÁCIA INDIANA LJ 118 (10052)"</f>
        <v>FARMÁCIA INDIANA LJ 118 (10052)</v>
      </c>
      <c r="R4014" t="str">
        <f t="shared" si="1933"/>
        <v>RECEITAS COM ENTREGAS (303)</v>
      </c>
      <c r="S4014">
        <v>2096</v>
      </c>
      <c r="T4014">
        <v>1584</v>
      </c>
      <c r="U4014" t="s">
        <v>19</v>
      </c>
    </row>
    <row r="4015" spans="1:21">
      <c r="A4015" t="str">
        <f t="shared" si="1927"/>
        <v>23/07/2025</v>
      </c>
      <c r="B4015" t="str">
        <f t="shared" si="1920"/>
        <v>ENTRADA</v>
      </c>
      <c r="C4015" t="str">
        <f t="shared" si="1928"/>
        <v>NFSE</v>
      </c>
      <c r="D4015" t="str">
        <f t="shared" si="1924"/>
        <v>3246</v>
      </c>
      <c r="E4015" t="str">
        <f t="shared" ref="E4015:E4078" si="1934">"COM"</f>
        <v>COM</v>
      </c>
      <c r="F4015" t="str">
        <f t="shared" si="1925"/>
        <v>FARMÁCIA INDIANA LJ 1 (10126)</v>
      </c>
      <c r="G4015" t="str">
        <f t="shared" si="1926"/>
        <v>Serv.Prest. 07/07/2025 a 13/07/2025 - RPS: 1013 - NFSe: 3246</v>
      </c>
      <c r="H4015" t="str">
        <f t="shared" si="1929"/>
        <v>23/07/2025</v>
      </c>
      <c r="I4015" t="str">
        <f t="shared" si="1930"/>
        <v>15/07/2025</v>
      </c>
      <c r="J4015" t="str">
        <f t="shared" si="1931"/>
        <v>23/07/2025</v>
      </c>
      <c r="M4015">
        <v>303</v>
      </c>
      <c r="N4015" t="str">
        <f t="shared" si="1932"/>
        <v>RECEITAS COM ENTREGAS</v>
      </c>
      <c r="P4015">
        <v>149.75</v>
      </c>
      <c r="Q4015" t="str">
        <f>"FARMÁCIA INDIANA LJ 121 (10054)"</f>
        <v>FARMÁCIA INDIANA LJ 121 (10054)</v>
      </c>
      <c r="R4015" t="str">
        <f t="shared" si="1933"/>
        <v>RECEITAS COM ENTREGAS (303)</v>
      </c>
      <c r="S4015">
        <v>2096</v>
      </c>
      <c r="T4015">
        <v>1584</v>
      </c>
      <c r="U4015" t="s">
        <v>19</v>
      </c>
    </row>
    <row r="4016" spans="1:21">
      <c r="A4016" t="str">
        <f t="shared" si="1927"/>
        <v>23/07/2025</v>
      </c>
      <c r="B4016" t="str">
        <f t="shared" si="1920"/>
        <v>ENTRADA</v>
      </c>
      <c r="C4016" t="str">
        <f t="shared" si="1928"/>
        <v>NFSE</v>
      </c>
      <c r="D4016" t="str">
        <f t="shared" si="1924"/>
        <v>3246</v>
      </c>
      <c r="E4016" t="str">
        <f t="shared" si="1934"/>
        <v>COM</v>
      </c>
      <c r="F4016" t="str">
        <f t="shared" si="1925"/>
        <v>FARMÁCIA INDIANA LJ 1 (10126)</v>
      </c>
      <c r="G4016" t="str">
        <f t="shared" si="1926"/>
        <v>Serv.Prest. 07/07/2025 a 13/07/2025 - RPS: 1013 - NFSe: 3246</v>
      </c>
      <c r="H4016" t="str">
        <f t="shared" si="1929"/>
        <v>23/07/2025</v>
      </c>
      <c r="I4016" t="str">
        <f t="shared" si="1930"/>
        <v>15/07/2025</v>
      </c>
      <c r="J4016" t="str">
        <f t="shared" si="1931"/>
        <v>23/07/2025</v>
      </c>
      <c r="M4016">
        <v>303</v>
      </c>
      <c r="N4016" t="str">
        <f t="shared" si="1932"/>
        <v>RECEITAS COM ENTREGAS</v>
      </c>
      <c r="P4016">
        <v>149.75</v>
      </c>
      <c r="Q4016" t="str">
        <f>"FARMÁCIA INDIANA LJ 128 (10057)"</f>
        <v>FARMÁCIA INDIANA LJ 128 (10057)</v>
      </c>
      <c r="R4016" t="str">
        <f t="shared" si="1933"/>
        <v>RECEITAS COM ENTREGAS (303)</v>
      </c>
      <c r="S4016">
        <v>2096</v>
      </c>
      <c r="T4016">
        <v>1584</v>
      </c>
      <c r="U4016" t="s">
        <v>19</v>
      </c>
    </row>
    <row r="4017" spans="1:21">
      <c r="A4017" t="str">
        <f t="shared" si="1927"/>
        <v>23/07/2025</v>
      </c>
      <c r="B4017" t="str">
        <f t="shared" si="1920"/>
        <v>ENTRADA</v>
      </c>
      <c r="C4017" t="str">
        <f t="shared" si="1928"/>
        <v>NFSE</v>
      </c>
      <c r="D4017" t="str">
        <f t="shared" si="1924"/>
        <v>3246</v>
      </c>
      <c r="E4017" t="str">
        <f t="shared" si="1934"/>
        <v>COM</v>
      </c>
      <c r="F4017" t="str">
        <f t="shared" si="1925"/>
        <v>FARMÁCIA INDIANA LJ 1 (10126)</v>
      </c>
      <c r="G4017" t="str">
        <f t="shared" si="1926"/>
        <v>Serv.Prest. 07/07/2025 a 13/07/2025 - RPS: 1013 - NFSe: 3246</v>
      </c>
      <c r="H4017" t="str">
        <f t="shared" si="1929"/>
        <v>23/07/2025</v>
      </c>
      <c r="I4017" t="str">
        <f t="shared" si="1930"/>
        <v>15/07/2025</v>
      </c>
      <c r="J4017" t="str">
        <f t="shared" si="1931"/>
        <v>23/07/2025</v>
      </c>
      <c r="M4017">
        <v>303</v>
      </c>
      <c r="N4017" t="str">
        <f t="shared" si="1932"/>
        <v>RECEITAS COM ENTREGAS</v>
      </c>
      <c r="P4017">
        <v>62.16</v>
      </c>
      <c r="Q4017" t="str">
        <f>"FARMÁCIA INDIANA LJ 140 (10064)"</f>
        <v>FARMÁCIA INDIANA LJ 140 (10064)</v>
      </c>
      <c r="R4017" t="str">
        <f t="shared" si="1933"/>
        <v>RECEITAS COM ENTREGAS (303)</v>
      </c>
      <c r="S4017">
        <v>2096</v>
      </c>
      <c r="T4017">
        <v>1584</v>
      </c>
      <c r="U4017" t="s">
        <v>19</v>
      </c>
    </row>
    <row r="4018" spans="1:21">
      <c r="A4018" t="str">
        <f t="shared" si="1927"/>
        <v>23/07/2025</v>
      </c>
      <c r="B4018" t="str">
        <f t="shared" si="1920"/>
        <v>ENTRADA</v>
      </c>
      <c r="C4018" t="str">
        <f t="shared" si="1928"/>
        <v>NFSE</v>
      </c>
      <c r="D4018" t="str">
        <f t="shared" si="1924"/>
        <v>3246</v>
      </c>
      <c r="E4018" t="str">
        <f t="shared" si="1934"/>
        <v>COM</v>
      </c>
      <c r="F4018" t="str">
        <f t="shared" si="1925"/>
        <v>FARMÁCIA INDIANA LJ 1 (10126)</v>
      </c>
      <c r="G4018" t="str">
        <f t="shared" si="1926"/>
        <v>Serv.Prest. 07/07/2025 a 13/07/2025 - RPS: 1013 - NFSe: 3246</v>
      </c>
      <c r="H4018" t="str">
        <f t="shared" si="1929"/>
        <v>23/07/2025</v>
      </c>
      <c r="I4018" t="str">
        <f t="shared" si="1930"/>
        <v>15/07/2025</v>
      </c>
      <c r="J4018" t="str">
        <f t="shared" si="1931"/>
        <v>23/07/2025</v>
      </c>
      <c r="M4018">
        <v>303</v>
      </c>
      <c r="N4018" t="str">
        <f t="shared" si="1932"/>
        <v>RECEITAS COM ENTREGAS</v>
      </c>
      <c r="P4018">
        <v>38.14</v>
      </c>
      <c r="Q4018" t="str">
        <f>"FARMÁCIA INDIANA LJ 141 (10065)"</f>
        <v>FARMÁCIA INDIANA LJ 141 (10065)</v>
      </c>
      <c r="R4018" t="str">
        <f t="shared" si="1933"/>
        <v>RECEITAS COM ENTREGAS (303)</v>
      </c>
      <c r="S4018">
        <v>2096</v>
      </c>
      <c r="T4018">
        <v>1584</v>
      </c>
      <c r="U4018" t="s">
        <v>19</v>
      </c>
    </row>
    <row r="4019" spans="1:21">
      <c r="A4019" t="str">
        <f t="shared" si="1927"/>
        <v>23/07/2025</v>
      </c>
      <c r="B4019" t="str">
        <f t="shared" si="1920"/>
        <v>ENTRADA</v>
      </c>
      <c r="C4019" t="str">
        <f t="shared" si="1928"/>
        <v>NFSE</v>
      </c>
      <c r="D4019" t="str">
        <f t="shared" si="1924"/>
        <v>3246</v>
      </c>
      <c r="E4019" t="str">
        <f t="shared" si="1934"/>
        <v>COM</v>
      </c>
      <c r="F4019" t="str">
        <f t="shared" si="1925"/>
        <v>FARMÁCIA INDIANA LJ 1 (10126)</v>
      </c>
      <c r="G4019" t="str">
        <f t="shared" si="1926"/>
        <v>Serv.Prest. 07/07/2025 a 13/07/2025 - RPS: 1013 - NFSe: 3246</v>
      </c>
      <c r="H4019" t="str">
        <f t="shared" si="1929"/>
        <v>23/07/2025</v>
      </c>
      <c r="I4019" t="str">
        <f t="shared" si="1930"/>
        <v>15/07/2025</v>
      </c>
      <c r="J4019" t="str">
        <f t="shared" si="1931"/>
        <v>23/07/2025</v>
      </c>
      <c r="M4019">
        <v>303</v>
      </c>
      <c r="N4019" t="str">
        <f t="shared" si="1932"/>
        <v>RECEITAS COM ENTREGAS</v>
      </c>
      <c r="P4019">
        <v>682.35</v>
      </c>
      <c r="Q4019" t="str">
        <f>"FARMÁCIA INDIANA LJ 142 (10066)"</f>
        <v>FARMÁCIA INDIANA LJ 142 (10066)</v>
      </c>
      <c r="R4019" t="str">
        <f t="shared" si="1933"/>
        <v>RECEITAS COM ENTREGAS (303)</v>
      </c>
      <c r="S4019">
        <v>2096</v>
      </c>
      <c r="T4019">
        <v>1584</v>
      </c>
      <c r="U4019" t="s">
        <v>19</v>
      </c>
    </row>
    <row r="4020" spans="1:21">
      <c r="A4020" t="str">
        <f t="shared" si="1927"/>
        <v>23/07/2025</v>
      </c>
      <c r="B4020" t="str">
        <f t="shared" si="1920"/>
        <v>ENTRADA</v>
      </c>
      <c r="C4020" t="str">
        <f t="shared" si="1928"/>
        <v>NFSE</v>
      </c>
      <c r="D4020" t="str">
        <f t="shared" si="1924"/>
        <v>3246</v>
      </c>
      <c r="E4020" t="str">
        <f t="shared" si="1934"/>
        <v>COM</v>
      </c>
      <c r="F4020" t="str">
        <f t="shared" si="1925"/>
        <v>FARMÁCIA INDIANA LJ 1 (10126)</v>
      </c>
      <c r="G4020" t="str">
        <f t="shared" si="1926"/>
        <v>Serv.Prest. 07/07/2025 a 13/07/2025 - RPS: 1013 - NFSe: 3246</v>
      </c>
      <c r="H4020" t="str">
        <f t="shared" si="1929"/>
        <v>23/07/2025</v>
      </c>
      <c r="I4020" t="str">
        <f t="shared" si="1930"/>
        <v>15/07/2025</v>
      </c>
      <c r="J4020" t="str">
        <f t="shared" si="1931"/>
        <v>23/07/2025</v>
      </c>
      <c r="M4020">
        <v>303</v>
      </c>
      <c r="N4020" t="str">
        <f t="shared" si="1932"/>
        <v>RECEITAS COM ENTREGAS</v>
      </c>
      <c r="P4020">
        <v>66.400000000000006</v>
      </c>
      <c r="Q4020" t="str">
        <f>"FARMÁCIA INDIANA LJ 143 (10067)"</f>
        <v>FARMÁCIA INDIANA LJ 143 (10067)</v>
      </c>
      <c r="R4020" t="str">
        <f t="shared" si="1933"/>
        <v>RECEITAS COM ENTREGAS (303)</v>
      </c>
      <c r="S4020">
        <v>2096</v>
      </c>
      <c r="T4020">
        <v>1584</v>
      </c>
      <c r="U4020" t="s">
        <v>19</v>
      </c>
    </row>
    <row r="4021" spans="1:21">
      <c r="A4021" t="str">
        <f t="shared" si="1927"/>
        <v>23/07/2025</v>
      </c>
      <c r="B4021" t="str">
        <f t="shared" si="1920"/>
        <v>ENTRADA</v>
      </c>
      <c r="C4021" t="str">
        <f t="shared" si="1928"/>
        <v>NFSE</v>
      </c>
      <c r="D4021" t="str">
        <f t="shared" si="1924"/>
        <v>3246</v>
      </c>
      <c r="E4021" t="str">
        <f t="shared" si="1934"/>
        <v>COM</v>
      </c>
      <c r="F4021" t="str">
        <f t="shared" si="1925"/>
        <v>FARMÁCIA INDIANA LJ 1 (10126)</v>
      </c>
      <c r="G4021" t="str">
        <f t="shared" si="1926"/>
        <v>Serv.Prest. 07/07/2025 a 13/07/2025 - RPS: 1013 - NFSe: 3246</v>
      </c>
      <c r="H4021" t="str">
        <f t="shared" si="1929"/>
        <v>23/07/2025</v>
      </c>
      <c r="I4021" t="str">
        <f t="shared" si="1930"/>
        <v>15/07/2025</v>
      </c>
      <c r="J4021" t="str">
        <f t="shared" si="1931"/>
        <v>23/07/2025</v>
      </c>
      <c r="M4021">
        <v>303</v>
      </c>
      <c r="N4021" t="str">
        <f t="shared" si="1932"/>
        <v>RECEITAS COM ENTREGAS</v>
      </c>
      <c r="P4021">
        <v>178.01</v>
      </c>
      <c r="Q4021" t="str">
        <f>"FARMÁCIA INDIANA LJ 152 (10069)"</f>
        <v>FARMÁCIA INDIANA LJ 152 (10069)</v>
      </c>
      <c r="R4021" t="str">
        <f t="shared" si="1933"/>
        <v>RECEITAS COM ENTREGAS (303)</v>
      </c>
      <c r="S4021">
        <v>2096</v>
      </c>
      <c r="T4021">
        <v>1584</v>
      </c>
      <c r="U4021" t="s">
        <v>19</v>
      </c>
    </row>
    <row r="4022" spans="1:21">
      <c r="A4022" t="str">
        <f t="shared" si="1927"/>
        <v>23/07/2025</v>
      </c>
      <c r="B4022" t="str">
        <f t="shared" si="1920"/>
        <v>ENTRADA</v>
      </c>
      <c r="C4022" t="str">
        <f t="shared" si="1928"/>
        <v>NFSE</v>
      </c>
      <c r="D4022" t="str">
        <f t="shared" si="1924"/>
        <v>3246</v>
      </c>
      <c r="E4022" t="str">
        <f t="shared" si="1934"/>
        <v>COM</v>
      </c>
      <c r="F4022" t="str">
        <f t="shared" si="1925"/>
        <v>FARMÁCIA INDIANA LJ 1 (10126)</v>
      </c>
      <c r="G4022" t="str">
        <f t="shared" si="1926"/>
        <v>Serv.Prest. 07/07/2025 a 13/07/2025 - RPS: 1013 - NFSe: 3246</v>
      </c>
      <c r="H4022" t="str">
        <f t="shared" si="1929"/>
        <v>23/07/2025</v>
      </c>
      <c r="I4022" t="str">
        <f t="shared" si="1930"/>
        <v>15/07/2025</v>
      </c>
      <c r="J4022" t="str">
        <f t="shared" si="1931"/>
        <v>23/07/2025</v>
      </c>
      <c r="M4022">
        <v>303</v>
      </c>
      <c r="N4022" t="str">
        <f t="shared" si="1932"/>
        <v>RECEITAS COM ENTREGAS</v>
      </c>
      <c r="P4022">
        <v>52.27</v>
      </c>
      <c r="Q4022" t="str">
        <f>"FARMÁCIA INDIANA LJ 154 (10070)"</f>
        <v>FARMÁCIA INDIANA LJ 154 (10070)</v>
      </c>
      <c r="R4022" t="str">
        <f t="shared" si="1933"/>
        <v>RECEITAS COM ENTREGAS (303)</v>
      </c>
      <c r="S4022">
        <v>2096</v>
      </c>
      <c r="T4022">
        <v>1584</v>
      </c>
      <c r="U4022" t="s">
        <v>19</v>
      </c>
    </row>
    <row r="4023" spans="1:21">
      <c r="A4023" t="str">
        <f t="shared" si="1927"/>
        <v>23/07/2025</v>
      </c>
      <c r="B4023" t="str">
        <f t="shared" si="1920"/>
        <v>ENTRADA</v>
      </c>
      <c r="C4023" t="str">
        <f t="shared" si="1928"/>
        <v>NFSE</v>
      </c>
      <c r="D4023" t="str">
        <f t="shared" si="1924"/>
        <v>3246</v>
      </c>
      <c r="E4023" t="str">
        <f t="shared" si="1934"/>
        <v>COM</v>
      </c>
      <c r="F4023" t="str">
        <f t="shared" si="1925"/>
        <v>FARMÁCIA INDIANA LJ 1 (10126)</v>
      </c>
      <c r="G4023" t="str">
        <f t="shared" si="1926"/>
        <v>Serv.Prest. 07/07/2025 a 13/07/2025 - RPS: 1013 - NFSe: 3246</v>
      </c>
      <c r="H4023" t="str">
        <f t="shared" si="1929"/>
        <v>23/07/2025</v>
      </c>
      <c r="I4023" t="str">
        <f t="shared" si="1930"/>
        <v>15/07/2025</v>
      </c>
      <c r="J4023" t="str">
        <f t="shared" si="1931"/>
        <v>23/07/2025</v>
      </c>
      <c r="M4023">
        <v>303</v>
      </c>
      <c r="N4023" t="str">
        <f t="shared" si="1932"/>
        <v>RECEITAS COM ENTREGAS</v>
      </c>
      <c r="P4023">
        <v>320.69</v>
      </c>
      <c r="Q4023" t="str">
        <f>"FARMÁCIA INDIANA LJ 171 (10074)"</f>
        <v>FARMÁCIA INDIANA LJ 171 (10074)</v>
      </c>
      <c r="R4023" t="str">
        <f t="shared" si="1933"/>
        <v>RECEITAS COM ENTREGAS (303)</v>
      </c>
      <c r="S4023">
        <v>2096</v>
      </c>
      <c r="T4023">
        <v>1584</v>
      </c>
      <c r="U4023" t="s">
        <v>19</v>
      </c>
    </row>
    <row r="4024" spans="1:21">
      <c r="A4024" t="str">
        <f t="shared" si="1927"/>
        <v>23/07/2025</v>
      </c>
      <c r="B4024" t="str">
        <f t="shared" si="1920"/>
        <v>ENTRADA</v>
      </c>
      <c r="C4024" t="str">
        <f t="shared" si="1928"/>
        <v>NFSE</v>
      </c>
      <c r="D4024" t="str">
        <f t="shared" si="1924"/>
        <v>3246</v>
      </c>
      <c r="E4024" t="str">
        <f t="shared" si="1934"/>
        <v>COM</v>
      </c>
      <c r="F4024" t="str">
        <f t="shared" si="1925"/>
        <v>FARMÁCIA INDIANA LJ 1 (10126)</v>
      </c>
      <c r="G4024" t="str">
        <f t="shared" si="1926"/>
        <v>Serv.Prest. 07/07/2025 a 13/07/2025 - RPS: 1013 - NFSe: 3246</v>
      </c>
      <c r="H4024" t="str">
        <f t="shared" si="1929"/>
        <v>23/07/2025</v>
      </c>
      <c r="I4024" t="str">
        <f t="shared" si="1930"/>
        <v>15/07/2025</v>
      </c>
      <c r="J4024" t="str">
        <f t="shared" si="1931"/>
        <v>23/07/2025</v>
      </c>
      <c r="M4024">
        <v>303</v>
      </c>
      <c r="N4024" t="str">
        <f t="shared" si="1932"/>
        <v>RECEITAS COM ENTREGAS</v>
      </c>
      <c r="P4024">
        <v>122.91</v>
      </c>
      <c r="Q4024" t="str">
        <f>"FARMÁCIA INDIANA LJ 175 (10076)"</f>
        <v>FARMÁCIA INDIANA LJ 175 (10076)</v>
      </c>
      <c r="R4024" t="str">
        <f t="shared" si="1933"/>
        <v>RECEITAS COM ENTREGAS (303)</v>
      </c>
      <c r="S4024">
        <v>2096</v>
      </c>
      <c r="T4024">
        <v>1584</v>
      </c>
      <c r="U4024" t="s">
        <v>19</v>
      </c>
    </row>
    <row r="4025" spans="1:21">
      <c r="A4025" t="str">
        <f t="shared" si="1927"/>
        <v>23/07/2025</v>
      </c>
      <c r="B4025" t="str">
        <f t="shared" si="1920"/>
        <v>ENTRADA</v>
      </c>
      <c r="C4025" t="str">
        <f t="shared" si="1928"/>
        <v>NFSE</v>
      </c>
      <c r="D4025" t="str">
        <f t="shared" si="1924"/>
        <v>3246</v>
      </c>
      <c r="E4025" t="str">
        <f t="shared" si="1934"/>
        <v>COM</v>
      </c>
      <c r="F4025" t="str">
        <f t="shared" si="1925"/>
        <v>FARMÁCIA INDIANA LJ 1 (10126)</v>
      </c>
      <c r="G4025" t="str">
        <f t="shared" si="1926"/>
        <v>Serv.Prest. 07/07/2025 a 13/07/2025 - RPS: 1013 - NFSe: 3246</v>
      </c>
      <c r="H4025" t="str">
        <f t="shared" si="1929"/>
        <v>23/07/2025</v>
      </c>
      <c r="I4025" t="str">
        <f t="shared" si="1930"/>
        <v>15/07/2025</v>
      </c>
      <c r="J4025" t="str">
        <f t="shared" si="1931"/>
        <v>23/07/2025</v>
      </c>
      <c r="M4025">
        <v>303</v>
      </c>
      <c r="N4025" t="str">
        <f t="shared" si="1932"/>
        <v>RECEITAS COM ENTREGAS</v>
      </c>
      <c r="P4025">
        <v>110.19</v>
      </c>
      <c r="Q4025" t="str">
        <f>"FARMÁCIA INDIANA LJ 178 (10077)"</f>
        <v>FARMÁCIA INDIANA LJ 178 (10077)</v>
      </c>
      <c r="R4025" t="str">
        <f t="shared" si="1933"/>
        <v>RECEITAS COM ENTREGAS (303)</v>
      </c>
      <c r="S4025">
        <v>2096</v>
      </c>
      <c r="T4025">
        <v>1584</v>
      </c>
      <c r="U4025" t="s">
        <v>19</v>
      </c>
    </row>
    <row r="4026" spans="1:21">
      <c r="A4026" t="str">
        <f t="shared" si="1927"/>
        <v>23/07/2025</v>
      </c>
      <c r="B4026" t="str">
        <f t="shared" si="1920"/>
        <v>ENTRADA</v>
      </c>
      <c r="C4026" t="str">
        <f t="shared" si="1928"/>
        <v>NFSE</v>
      </c>
      <c r="D4026" t="str">
        <f t="shared" si="1924"/>
        <v>3246</v>
      </c>
      <c r="E4026" t="str">
        <f t="shared" si="1934"/>
        <v>COM</v>
      </c>
      <c r="F4026" t="str">
        <f t="shared" si="1925"/>
        <v>FARMÁCIA INDIANA LJ 1 (10126)</v>
      </c>
      <c r="G4026" t="str">
        <f t="shared" si="1926"/>
        <v>Serv.Prest. 07/07/2025 a 13/07/2025 - RPS: 1013 - NFSe: 3246</v>
      </c>
      <c r="H4026" t="str">
        <f t="shared" si="1929"/>
        <v>23/07/2025</v>
      </c>
      <c r="I4026" t="str">
        <f t="shared" si="1930"/>
        <v>15/07/2025</v>
      </c>
      <c r="J4026" t="str">
        <f t="shared" si="1931"/>
        <v>23/07/2025</v>
      </c>
      <c r="M4026">
        <v>303</v>
      </c>
      <c r="N4026" t="str">
        <f t="shared" si="1932"/>
        <v>RECEITAS COM ENTREGAS</v>
      </c>
      <c r="P4026">
        <v>74.88</v>
      </c>
      <c r="Q4026" t="str">
        <f>"FARMÁCIA INDIANA LJ 182 (10079)"</f>
        <v>FARMÁCIA INDIANA LJ 182 (10079)</v>
      </c>
      <c r="R4026" t="str">
        <f t="shared" si="1933"/>
        <v>RECEITAS COM ENTREGAS (303)</v>
      </c>
      <c r="S4026">
        <v>2096</v>
      </c>
      <c r="T4026">
        <v>1584</v>
      </c>
      <c r="U4026" t="s">
        <v>19</v>
      </c>
    </row>
    <row r="4027" spans="1:21">
      <c r="A4027" t="str">
        <f t="shared" si="1927"/>
        <v>23/07/2025</v>
      </c>
      <c r="B4027" t="str">
        <f t="shared" si="1920"/>
        <v>ENTRADA</v>
      </c>
      <c r="C4027" t="str">
        <f t="shared" si="1928"/>
        <v>NFSE</v>
      </c>
      <c r="D4027" t="str">
        <f t="shared" si="1924"/>
        <v>3246</v>
      </c>
      <c r="E4027" t="str">
        <f t="shared" si="1934"/>
        <v>COM</v>
      </c>
      <c r="F4027" t="str">
        <f t="shared" si="1925"/>
        <v>FARMÁCIA INDIANA LJ 1 (10126)</v>
      </c>
      <c r="G4027" t="str">
        <f t="shared" si="1926"/>
        <v>Serv.Prest. 07/07/2025 a 13/07/2025 - RPS: 1013 - NFSe: 3246</v>
      </c>
      <c r="H4027" t="str">
        <f t="shared" si="1929"/>
        <v>23/07/2025</v>
      </c>
      <c r="I4027" t="str">
        <f t="shared" si="1930"/>
        <v>15/07/2025</v>
      </c>
      <c r="J4027" t="str">
        <f t="shared" si="1931"/>
        <v>23/07/2025</v>
      </c>
      <c r="M4027">
        <v>303</v>
      </c>
      <c r="N4027" t="str">
        <f t="shared" si="1932"/>
        <v>RECEITAS COM ENTREGAS</v>
      </c>
      <c r="P4027">
        <v>39.56</v>
      </c>
      <c r="Q4027" t="str">
        <f>"FARMÁCIA INDIANA LJ 184 (10080)"</f>
        <v>FARMÁCIA INDIANA LJ 184 (10080)</v>
      </c>
      <c r="R4027" t="str">
        <f t="shared" si="1933"/>
        <v>RECEITAS COM ENTREGAS (303)</v>
      </c>
      <c r="S4027">
        <v>2096</v>
      </c>
      <c r="T4027">
        <v>1584</v>
      </c>
      <c r="U4027" t="s">
        <v>19</v>
      </c>
    </row>
    <row r="4028" spans="1:21">
      <c r="A4028" t="str">
        <f t="shared" si="1927"/>
        <v>23/07/2025</v>
      </c>
      <c r="B4028" t="str">
        <f t="shared" si="1920"/>
        <v>ENTRADA</v>
      </c>
      <c r="C4028" t="str">
        <f t="shared" si="1928"/>
        <v>NFSE</v>
      </c>
      <c r="D4028" t="str">
        <f t="shared" si="1924"/>
        <v>3246</v>
      </c>
      <c r="E4028" t="str">
        <f t="shared" si="1934"/>
        <v>COM</v>
      </c>
      <c r="F4028" t="str">
        <f t="shared" si="1925"/>
        <v>FARMÁCIA INDIANA LJ 1 (10126)</v>
      </c>
      <c r="G4028" t="str">
        <f t="shared" si="1926"/>
        <v>Serv.Prest. 07/07/2025 a 13/07/2025 - RPS: 1013 - NFSe: 3246</v>
      </c>
      <c r="H4028" t="str">
        <f t="shared" si="1929"/>
        <v>23/07/2025</v>
      </c>
      <c r="I4028" t="str">
        <f t="shared" si="1930"/>
        <v>15/07/2025</v>
      </c>
      <c r="J4028" t="str">
        <f t="shared" si="1931"/>
        <v>23/07/2025</v>
      </c>
      <c r="M4028">
        <v>303</v>
      </c>
      <c r="N4028" t="str">
        <f t="shared" si="1932"/>
        <v>RECEITAS COM ENTREGAS</v>
      </c>
      <c r="P4028">
        <v>74.88</v>
      </c>
      <c r="Q4028" t="str">
        <f>"FARMÁCIA INDIANA LJ 186 (10081)"</f>
        <v>FARMÁCIA INDIANA LJ 186 (10081)</v>
      </c>
      <c r="R4028" t="str">
        <f t="shared" si="1933"/>
        <v>RECEITAS COM ENTREGAS (303)</v>
      </c>
      <c r="S4028">
        <v>2096</v>
      </c>
      <c r="T4028">
        <v>1584</v>
      </c>
      <c r="U4028" t="s">
        <v>19</v>
      </c>
    </row>
    <row r="4029" spans="1:21">
      <c r="A4029" t="str">
        <f t="shared" si="1927"/>
        <v>23/07/2025</v>
      </c>
      <c r="B4029" t="str">
        <f t="shared" si="1920"/>
        <v>ENTRADA</v>
      </c>
      <c r="C4029" t="str">
        <f t="shared" si="1928"/>
        <v>NFSE</v>
      </c>
      <c r="D4029" t="str">
        <f t="shared" si="1924"/>
        <v>3246</v>
      </c>
      <c r="E4029" t="str">
        <f t="shared" si="1934"/>
        <v>COM</v>
      </c>
      <c r="F4029" t="str">
        <f t="shared" si="1925"/>
        <v>FARMÁCIA INDIANA LJ 1 (10126)</v>
      </c>
      <c r="G4029" t="str">
        <f t="shared" si="1926"/>
        <v>Serv.Prest. 07/07/2025 a 13/07/2025 - RPS: 1013 - NFSe: 3246</v>
      </c>
      <c r="H4029" t="str">
        <f t="shared" si="1929"/>
        <v>23/07/2025</v>
      </c>
      <c r="I4029" t="str">
        <f t="shared" si="1930"/>
        <v>15/07/2025</v>
      </c>
      <c r="J4029" t="str">
        <f t="shared" si="1931"/>
        <v>23/07/2025</v>
      </c>
      <c r="M4029">
        <v>303</v>
      </c>
      <c r="N4029" t="str">
        <f t="shared" si="1932"/>
        <v>RECEITAS COM ENTREGAS</v>
      </c>
      <c r="P4029">
        <v>100.3</v>
      </c>
      <c r="Q4029" t="str">
        <f>"FARMÁCIA INDIANA LJ 192 (10082)"</f>
        <v>FARMÁCIA INDIANA LJ 192 (10082)</v>
      </c>
      <c r="R4029" t="str">
        <f t="shared" si="1933"/>
        <v>RECEITAS COM ENTREGAS (303)</v>
      </c>
      <c r="S4029">
        <v>2096</v>
      </c>
      <c r="T4029">
        <v>1584</v>
      </c>
      <c r="U4029" t="s">
        <v>19</v>
      </c>
    </row>
    <row r="4030" spans="1:21">
      <c r="A4030" t="str">
        <f t="shared" si="1927"/>
        <v>23/07/2025</v>
      </c>
      <c r="B4030" t="str">
        <f t="shared" si="1920"/>
        <v>ENTRADA</v>
      </c>
      <c r="C4030" t="str">
        <f t="shared" si="1928"/>
        <v>NFSE</v>
      </c>
      <c r="D4030" t="str">
        <f t="shared" si="1924"/>
        <v>3246</v>
      </c>
      <c r="E4030" t="str">
        <f t="shared" si="1934"/>
        <v>COM</v>
      </c>
      <c r="F4030" t="str">
        <f t="shared" si="1925"/>
        <v>FARMÁCIA INDIANA LJ 1 (10126)</v>
      </c>
      <c r="G4030" t="str">
        <f t="shared" si="1926"/>
        <v>Serv.Prest. 07/07/2025 a 13/07/2025 - RPS: 1013 - NFSe: 3246</v>
      </c>
      <c r="H4030" t="str">
        <f t="shared" si="1929"/>
        <v>23/07/2025</v>
      </c>
      <c r="I4030" t="str">
        <f t="shared" si="1930"/>
        <v>15/07/2025</v>
      </c>
      <c r="J4030" t="str">
        <f t="shared" si="1931"/>
        <v>23/07/2025</v>
      </c>
      <c r="M4030">
        <v>303</v>
      </c>
      <c r="N4030" t="str">
        <f t="shared" si="1932"/>
        <v>RECEITAS COM ENTREGAS</v>
      </c>
      <c r="P4030">
        <v>39.56</v>
      </c>
      <c r="Q4030" t="str">
        <f>"FARMÁCIA INDIANA LJ 195 (10083)"</f>
        <v>FARMÁCIA INDIANA LJ 195 (10083)</v>
      </c>
      <c r="R4030" t="str">
        <f t="shared" si="1933"/>
        <v>RECEITAS COM ENTREGAS (303)</v>
      </c>
      <c r="S4030">
        <v>2096</v>
      </c>
      <c r="T4030">
        <v>1584</v>
      </c>
      <c r="U4030" t="s">
        <v>19</v>
      </c>
    </row>
    <row r="4031" spans="1:21">
      <c r="A4031" t="str">
        <f t="shared" si="1927"/>
        <v>23/07/2025</v>
      </c>
      <c r="B4031" t="str">
        <f t="shared" si="1920"/>
        <v>ENTRADA</v>
      </c>
      <c r="C4031" t="str">
        <f t="shared" si="1928"/>
        <v>NFSE</v>
      </c>
      <c r="D4031" t="str">
        <f t="shared" si="1924"/>
        <v>3246</v>
      </c>
      <c r="E4031" t="str">
        <f t="shared" si="1934"/>
        <v>COM</v>
      </c>
      <c r="F4031" t="str">
        <f t="shared" si="1925"/>
        <v>FARMÁCIA INDIANA LJ 1 (10126)</v>
      </c>
      <c r="G4031" t="str">
        <f t="shared" si="1926"/>
        <v>Serv.Prest. 07/07/2025 a 13/07/2025 - RPS: 1013 - NFSe: 3246</v>
      </c>
      <c r="H4031" t="str">
        <f t="shared" si="1929"/>
        <v>23/07/2025</v>
      </c>
      <c r="I4031" t="str">
        <f t="shared" si="1930"/>
        <v>15/07/2025</v>
      </c>
      <c r="J4031" t="str">
        <f t="shared" si="1931"/>
        <v>23/07/2025</v>
      </c>
      <c r="M4031">
        <v>303</v>
      </c>
      <c r="N4031" t="str">
        <f t="shared" si="1932"/>
        <v>RECEITAS COM ENTREGAS</v>
      </c>
      <c r="P4031">
        <v>149.75</v>
      </c>
      <c r="Q4031" t="str">
        <f>"FARMÁCIA INDIANA LJ 202 (10085)"</f>
        <v>FARMÁCIA INDIANA LJ 202 (10085)</v>
      </c>
      <c r="R4031" t="str">
        <f t="shared" si="1933"/>
        <v>RECEITAS COM ENTREGAS (303)</v>
      </c>
      <c r="S4031">
        <v>2096</v>
      </c>
      <c r="T4031">
        <v>1584</v>
      </c>
      <c r="U4031" t="s">
        <v>19</v>
      </c>
    </row>
    <row r="4032" spans="1:21">
      <c r="A4032" t="str">
        <f t="shared" si="1927"/>
        <v>23/07/2025</v>
      </c>
      <c r="B4032" t="str">
        <f t="shared" si="1920"/>
        <v>ENTRADA</v>
      </c>
      <c r="C4032" t="str">
        <f t="shared" si="1928"/>
        <v>NFSE</v>
      </c>
      <c r="D4032" t="str">
        <f t="shared" si="1924"/>
        <v>3246</v>
      </c>
      <c r="E4032" t="str">
        <f t="shared" si="1934"/>
        <v>COM</v>
      </c>
      <c r="F4032" t="str">
        <f t="shared" si="1925"/>
        <v>FARMÁCIA INDIANA LJ 1 (10126)</v>
      </c>
      <c r="G4032" t="str">
        <f t="shared" si="1926"/>
        <v>Serv.Prest. 07/07/2025 a 13/07/2025 - RPS: 1013 - NFSe: 3246</v>
      </c>
      <c r="H4032" t="str">
        <f t="shared" si="1929"/>
        <v>23/07/2025</v>
      </c>
      <c r="I4032" t="str">
        <f t="shared" si="1930"/>
        <v>15/07/2025</v>
      </c>
      <c r="J4032" t="str">
        <f t="shared" si="1931"/>
        <v>23/07/2025</v>
      </c>
      <c r="M4032">
        <v>303</v>
      </c>
      <c r="N4032" t="str">
        <f t="shared" si="1932"/>
        <v>RECEITAS COM ENTREGAS</v>
      </c>
      <c r="P4032">
        <v>107.37</v>
      </c>
      <c r="Q4032" t="str">
        <f>"FARMÁCIA INDIANA LJ 204 (10087)"</f>
        <v>FARMÁCIA INDIANA LJ 204 (10087)</v>
      </c>
      <c r="R4032" t="str">
        <f t="shared" si="1933"/>
        <v>RECEITAS COM ENTREGAS (303)</v>
      </c>
      <c r="S4032">
        <v>2096</v>
      </c>
      <c r="T4032">
        <v>1584</v>
      </c>
      <c r="U4032" t="s">
        <v>19</v>
      </c>
    </row>
    <row r="4033" spans="1:21">
      <c r="A4033" t="str">
        <f t="shared" si="1927"/>
        <v>23/07/2025</v>
      </c>
      <c r="B4033" t="str">
        <f t="shared" si="1920"/>
        <v>ENTRADA</v>
      </c>
      <c r="C4033" t="str">
        <f t="shared" si="1928"/>
        <v>NFSE</v>
      </c>
      <c r="D4033" t="str">
        <f t="shared" si="1924"/>
        <v>3246</v>
      </c>
      <c r="E4033" t="str">
        <f t="shared" si="1934"/>
        <v>COM</v>
      </c>
      <c r="F4033" t="str">
        <f t="shared" si="1925"/>
        <v>FARMÁCIA INDIANA LJ 1 (10126)</v>
      </c>
      <c r="G4033" t="str">
        <f t="shared" si="1926"/>
        <v>Serv.Prest. 07/07/2025 a 13/07/2025 - RPS: 1013 - NFSe: 3246</v>
      </c>
      <c r="H4033" t="str">
        <f t="shared" si="1929"/>
        <v>23/07/2025</v>
      </c>
      <c r="I4033" t="str">
        <f t="shared" si="1930"/>
        <v>15/07/2025</v>
      </c>
      <c r="J4033" t="str">
        <f t="shared" si="1931"/>
        <v>23/07/2025</v>
      </c>
      <c r="M4033">
        <v>303</v>
      </c>
      <c r="N4033" t="str">
        <f t="shared" si="1932"/>
        <v>RECEITAS COM ENTREGAS</v>
      </c>
      <c r="P4033">
        <v>107.37</v>
      </c>
      <c r="Q4033" t="str">
        <f>"FARMÁCIA INDIANA LJ 207 (10088)"</f>
        <v>FARMÁCIA INDIANA LJ 207 (10088)</v>
      </c>
      <c r="R4033" t="str">
        <f t="shared" si="1933"/>
        <v>RECEITAS COM ENTREGAS (303)</v>
      </c>
      <c r="S4033">
        <v>2096</v>
      </c>
      <c r="T4033">
        <v>1584</v>
      </c>
      <c r="U4033" t="s">
        <v>19</v>
      </c>
    </row>
    <row r="4034" spans="1:21">
      <c r="A4034" t="str">
        <f t="shared" si="1927"/>
        <v>23/07/2025</v>
      </c>
      <c r="B4034" t="str">
        <f t="shared" si="1920"/>
        <v>ENTRADA</v>
      </c>
      <c r="C4034" t="str">
        <f t="shared" si="1928"/>
        <v>NFSE</v>
      </c>
      <c r="D4034" t="str">
        <f t="shared" si="1924"/>
        <v>3246</v>
      </c>
      <c r="E4034" t="str">
        <f t="shared" si="1934"/>
        <v>COM</v>
      </c>
      <c r="F4034" t="str">
        <f t="shared" si="1925"/>
        <v>FARMÁCIA INDIANA LJ 1 (10126)</v>
      </c>
      <c r="G4034" t="str">
        <f t="shared" si="1926"/>
        <v>Serv.Prest. 07/07/2025 a 13/07/2025 - RPS: 1013 - NFSe: 3246</v>
      </c>
      <c r="H4034" t="str">
        <f t="shared" si="1929"/>
        <v>23/07/2025</v>
      </c>
      <c r="I4034" t="str">
        <f t="shared" si="1930"/>
        <v>15/07/2025</v>
      </c>
      <c r="J4034" t="str">
        <f t="shared" si="1931"/>
        <v>23/07/2025</v>
      </c>
      <c r="M4034">
        <v>303</v>
      </c>
      <c r="N4034" t="str">
        <f t="shared" si="1932"/>
        <v>RECEITAS COM ENTREGAS</v>
      </c>
      <c r="P4034">
        <v>125.73</v>
      </c>
      <c r="Q4034" t="str">
        <f>"FARMÁCIA INDIANA LJ 209 (10089)"</f>
        <v>FARMÁCIA INDIANA LJ 209 (10089)</v>
      </c>
      <c r="R4034" t="str">
        <f t="shared" si="1933"/>
        <v>RECEITAS COM ENTREGAS (303)</v>
      </c>
      <c r="S4034">
        <v>2096</v>
      </c>
      <c r="T4034">
        <v>1584</v>
      </c>
      <c r="U4034" t="s">
        <v>19</v>
      </c>
    </row>
    <row r="4035" spans="1:21">
      <c r="A4035" t="str">
        <f t="shared" si="1927"/>
        <v>23/07/2025</v>
      </c>
      <c r="B4035" t="str">
        <f t="shared" si="1920"/>
        <v>ENTRADA</v>
      </c>
      <c r="C4035" t="str">
        <f t="shared" si="1928"/>
        <v>NFSE</v>
      </c>
      <c r="D4035" t="str">
        <f t="shared" si="1924"/>
        <v>3246</v>
      </c>
      <c r="E4035" t="str">
        <f t="shared" si="1934"/>
        <v>COM</v>
      </c>
      <c r="F4035" t="str">
        <f t="shared" si="1925"/>
        <v>FARMÁCIA INDIANA LJ 1 (10126)</v>
      </c>
      <c r="G4035" t="str">
        <f t="shared" si="1926"/>
        <v>Serv.Prest. 07/07/2025 a 13/07/2025 - RPS: 1013 - NFSe: 3246</v>
      </c>
      <c r="H4035" t="str">
        <f t="shared" si="1929"/>
        <v>23/07/2025</v>
      </c>
      <c r="I4035" t="str">
        <f t="shared" si="1930"/>
        <v>15/07/2025</v>
      </c>
      <c r="J4035" t="str">
        <f t="shared" si="1931"/>
        <v>23/07/2025</v>
      </c>
      <c r="M4035">
        <v>303</v>
      </c>
      <c r="N4035" t="str">
        <f t="shared" si="1932"/>
        <v>RECEITAS COM ENTREGAS</v>
      </c>
      <c r="P4035">
        <v>185.07</v>
      </c>
      <c r="Q4035" t="str">
        <f>"FARMÁCIA INDIANA LJ 219 (10091)"</f>
        <v>FARMÁCIA INDIANA LJ 219 (10091)</v>
      </c>
      <c r="R4035" t="str">
        <f t="shared" si="1933"/>
        <v>RECEITAS COM ENTREGAS (303)</v>
      </c>
      <c r="S4035">
        <v>2096</v>
      </c>
      <c r="T4035">
        <v>1584</v>
      </c>
      <c r="U4035" t="s">
        <v>19</v>
      </c>
    </row>
    <row r="4036" spans="1:21">
      <c r="A4036" t="str">
        <f t="shared" ref="A4036:A4056" si="1935">("23/07/2025")</f>
        <v>23/07/2025</v>
      </c>
      <c r="B4036" t="str">
        <f t="shared" si="1920"/>
        <v>ENTRADA</v>
      </c>
      <c r="C4036" t="str">
        <f t="shared" ref="C4036:C4050" si="1936">"NFSE"</f>
        <v>NFSE</v>
      </c>
      <c r="D4036" t="str">
        <f t="shared" si="1924"/>
        <v>3246</v>
      </c>
      <c r="E4036" t="str">
        <f t="shared" si="1934"/>
        <v>COM</v>
      </c>
      <c r="F4036" t="str">
        <f t="shared" si="1925"/>
        <v>FARMÁCIA INDIANA LJ 1 (10126)</v>
      </c>
      <c r="G4036" t="str">
        <f t="shared" si="1926"/>
        <v>Serv.Prest. 07/07/2025 a 13/07/2025 - RPS: 1013 - NFSe: 3246</v>
      </c>
      <c r="H4036" t="str">
        <f t="shared" ref="H4036:H4067" si="1937">("23/07/2025")</f>
        <v>23/07/2025</v>
      </c>
      <c r="I4036" t="str">
        <f t="shared" si="1930"/>
        <v>15/07/2025</v>
      </c>
      <c r="J4036" t="str">
        <f t="shared" ref="J4036:J4056" si="1938">("23/07/2025")</f>
        <v>23/07/2025</v>
      </c>
      <c r="M4036">
        <v>303</v>
      </c>
      <c r="N4036" t="str">
        <f t="shared" ref="N4036:N4050" si="1939">"RECEITAS COM ENTREGAS"</f>
        <v>RECEITAS COM ENTREGAS</v>
      </c>
      <c r="P4036">
        <v>223.21</v>
      </c>
      <c r="Q4036" t="str">
        <f>"FARMÁCIA INDIANA LJ 220 (10092)"</f>
        <v>FARMÁCIA INDIANA LJ 220 (10092)</v>
      </c>
      <c r="R4036" t="str">
        <f t="shared" ref="R4036:R4050" si="1940">"RECEITAS COM ENTREGAS (303)"</f>
        <v>RECEITAS COM ENTREGAS (303)</v>
      </c>
      <c r="S4036">
        <v>2096</v>
      </c>
      <c r="T4036">
        <v>1584</v>
      </c>
      <c r="U4036" t="s">
        <v>19</v>
      </c>
    </row>
    <row r="4037" spans="1:21">
      <c r="A4037" t="str">
        <f t="shared" si="1935"/>
        <v>23/07/2025</v>
      </c>
      <c r="B4037" t="str">
        <f t="shared" ref="B4037:B4050" si="1941">"ENTRADA"</f>
        <v>ENTRADA</v>
      </c>
      <c r="C4037" t="str">
        <f t="shared" si="1936"/>
        <v>NFSE</v>
      </c>
      <c r="D4037" t="str">
        <f t="shared" si="1924"/>
        <v>3246</v>
      </c>
      <c r="E4037" t="str">
        <f t="shared" si="1934"/>
        <v>COM</v>
      </c>
      <c r="F4037" t="str">
        <f t="shared" si="1925"/>
        <v>FARMÁCIA INDIANA LJ 1 (10126)</v>
      </c>
      <c r="G4037" t="str">
        <f t="shared" si="1926"/>
        <v>Serv.Prest. 07/07/2025 a 13/07/2025 - RPS: 1013 - NFSe: 3246</v>
      </c>
      <c r="H4037" t="str">
        <f t="shared" si="1937"/>
        <v>23/07/2025</v>
      </c>
      <c r="I4037" t="str">
        <f t="shared" si="1930"/>
        <v>15/07/2025</v>
      </c>
      <c r="J4037" t="str">
        <f t="shared" si="1938"/>
        <v>23/07/2025</v>
      </c>
      <c r="M4037">
        <v>303</v>
      </c>
      <c r="N4037" t="str">
        <f t="shared" si="1939"/>
        <v>RECEITAS COM ENTREGAS</v>
      </c>
      <c r="P4037">
        <v>193.55</v>
      </c>
      <c r="Q4037" t="str">
        <f>"FARMÁCIA INDIANA LJ 185 (10141)"</f>
        <v>FARMÁCIA INDIANA LJ 185 (10141)</v>
      </c>
      <c r="R4037" t="str">
        <f t="shared" si="1940"/>
        <v>RECEITAS COM ENTREGAS (303)</v>
      </c>
      <c r="S4037">
        <v>2096</v>
      </c>
      <c r="T4037">
        <v>1584</v>
      </c>
      <c r="U4037" t="s">
        <v>19</v>
      </c>
    </row>
    <row r="4038" spans="1:21">
      <c r="A4038" t="str">
        <f t="shared" si="1935"/>
        <v>23/07/2025</v>
      </c>
      <c r="B4038" t="str">
        <f t="shared" si="1941"/>
        <v>ENTRADA</v>
      </c>
      <c r="C4038" t="str">
        <f t="shared" si="1936"/>
        <v>NFSE</v>
      </c>
      <c r="D4038" t="str">
        <f t="shared" si="1924"/>
        <v>3246</v>
      </c>
      <c r="E4038" t="str">
        <f t="shared" si="1934"/>
        <v>COM</v>
      </c>
      <c r="F4038" t="str">
        <f t="shared" si="1925"/>
        <v>FARMÁCIA INDIANA LJ 1 (10126)</v>
      </c>
      <c r="G4038" t="str">
        <f t="shared" si="1926"/>
        <v>Serv.Prest. 07/07/2025 a 13/07/2025 - RPS: 1013 - NFSe: 3246</v>
      </c>
      <c r="H4038" t="str">
        <f t="shared" si="1937"/>
        <v>23/07/2025</v>
      </c>
      <c r="I4038" t="str">
        <f t="shared" si="1930"/>
        <v>15/07/2025</v>
      </c>
      <c r="J4038" t="str">
        <f t="shared" si="1938"/>
        <v>23/07/2025</v>
      </c>
      <c r="M4038">
        <v>303</v>
      </c>
      <c r="N4038" t="str">
        <f t="shared" si="1939"/>
        <v>RECEITAS COM ENTREGAS</v>
      </c>
      <c r="P4038">
        <v>649.86</v>
      </c>
      <c r="Q4038" t="str">
        <f>"FARMÁCIA INDIANA LJ 172 (10161)"</f>
        <v>FARMÁCIA INDIANA LJ 172 (10161)</v>
      </c>
      <c r="R4038" t="str">
        <f t="shared" si="1940"/>
        <v>RECEITAS COM ENTREGAS (303)</v>
      </c>
      <c r="S4038">
        <v>2096</v>
      </c>
      <c r="T4038">
        <v>1584</v>
      </c>
      <c r="U4038" t="s">
        <v>19</v>
      </c>
    </row>
    <row r="4039" spans="1:21">
      <c r="A4039" t="str">
        <f t="shared" si="1935"/>
        <v>23/07/2025</v>
      </c>
      <c r="B4039" t="str">
        <f t="shared" si="1941"/>
        <v>ENTRADA</v>
      </c>
      <c r="C4039" t="str">
        <f t="shared" si="1936"/>
        <v>NFSE</v>
      </c>
      <c r="D4039" t="str">
        <f>"3251"</f>
        <v>3251</v>
      </c>
      <c r="E4039" t="str">
        <f t="shared" si="1934"/>
        <v>COM</v>
      </c>
      <c r="F4039" t="str">
        <f>"DELTA LOJA 2 (10123)"</f>
        <v>DELTA LOJA 2 (10123)</v>
      </c>
      <c r="G4039" t="str">
        <f>"Serv.Prest. 14/07/2025 a 20/07/2025 - RPS: 1018 - NFSe: 3251"</f>
        <v>Serv.Prest. 14/07/2025 a 20/07/2025 - RPS: 1018 - NFSe: 3251</v>
      </c>
      <c r="H4039" t="str">
        <f t="shared" si="1937"/>
        <v>23/07/2025</v>
      </c>
      <c r="I4039" t="str">
        <f t="shared" ref="I4039:I4046" si="1942">("21/07/2025")</f>
        <v>21/07/2025</v>
      </c>
      <c r="J4039" t="str">
        <f t="shared" si="1938"/>
        <v>23/07/2025</v>
      </c>
      <c r="K4039">
        <v>480.48</v>
      </c>
      <c r="L4039">
        <v>480.48</v>
      </c>
      <c r="M4039">
        <v>303</v>
      </c>
      <c r="N4039" t="str">
        <f t="shared" si="1939"/>
        <v>RECEITAS COM ENTREGAS</v>
      </c>
      <c r="O4039">
        <v>480.48</v>
      </c>
      <c r="R4039" t="str">
        <f t="shared" si="1940"/>
        <v>RECEITAS COM ENTREGAS (303)</v>
      </c>
      <c r="S4039">
        <v>2097</v>
      </c>
      <c r="T4039">
        <v>1617</v>
      </c>
      <c r="U4039" t="s">
        <v>19</v>
      </c>
    </row>
    <row r="4040" spans="1:21">
      <c r="A4040" t="str">
        <f t="shared" si="1935"/>
        <v>23/07/2025</v>
      </c>
      <c r="B4040" t="str">
        <f t="shared" si="1941"/>
        <v>ENTRADA</v>
      </c>
      <c r="C4040" t="str">
        <f t="shared" si="1936"/>
        <v>NFSE</v>
      </c>
      <c r="D4040" t="str">
        <f>"3251"</f>
        <v>3251</v>
      </c>
      <c r="E4040" t="str">
        <f t="shared" si="1934"/>
        <v>COM</v>
      </c>
      <c r="F4040" t="str">
        <f>"DELTA LOJA 2 (10123)"</f>
        <v>DELTA LOJA 2 (10123)</v>
      </c>
      <c r="G4040" t="str">
        <f>"Serv.Prest. 14/07/2025 a 20/07/2025 - RPS: 1018 - NFSe: 3251"</f>
        <v>Serv.Prest. 14/07/2025 a 20/07/2025 - RPS: 1018 - NFSe: 3251</v>
      </c>
      <c r="H4040" t="str">
        <f t="shared" si="1937"/>
        <v>23/07/2025</v>
      </c>
      <c r="I4040" t="str">
        <f t="shared" si="1942"/>
        <v>21/07/2025</v>
      </c>
      <c r="J4040" t="str">
        <f t="shared" si="1938"/>
        <v>23/07/2025</v>
      </c>
      <c r="M4040">
        <v>303</v>
      </c>
      <c r="N4040" t="str">
        <f t="shared" si="1939"/>
        <v>RECEITAS COM ENTREGAS</v>
      </c>
      <c r="P4040">
        <v>480.48</v>
      </c>
      <c r="Q4040" t="str">
        <f>"DELTA LOJA 2 (10123)"</f>
        <v>DELTA LOJA 2 (10123)</v>
      </c>
      <c r="R4040" t="str">
        <f t="shared" si="1940"/>
        <v>RECEITAS COM ENTREGAS (303)</v>
      </c>
      <c r="S4040">
        <v>2097</v>
      </c>
      <c r="T4040">
        <v>1617</v>
      </c>
      <c r="U4040" t="s">
        <v>19</v>
      </c>
    </row>
    <row r="4041" spans="1:21">
      <c r="A4041" t="str">
        <f t="shared" si="1935"/>
        <v>23/07/2025</v>
      </c>
      <c r="B4041" t="str">
        <f t="shared" si="1941"/>
        <v>ENTRADA</v>
      </c>
      <c r="C4041" t="str">
        <f t="shared" si="1936"/>
        <v>NFSE</v>
      </c>
      <c r="D4041" t="str">
        <f>"3253"</f>
        <v>3253</v>
      </c>
      <c r="E4041" t="str">
        <f t="shared" si="1934"/>
        <v>COM</v>
      </c>
      <c r="F4041" t="str">
        <f>"DROGARIA AGAPEAMA (10167)"</f>
        <v>DROGARIA AGAPEAMA (10167)</v>
      </c>
      <c r="G4041" t="str">
        <f>"Serv.Prest. 14/07/2025 a 20/07/2025 - RPS: 1020 - NFSe: 3253"</f>
        <v>Serv.Prest. 14/07/2025 a 20/07/2025 - RPS: 1020 - NFSe: 3253</v>
      </c>
      <c r="H4041" t="str">
        <f t="shared" si="1937"/>
        <v>23/07/2025</v>
      </c>
      <c r="I4041" t="str">
        <f t="shared" si="1942"/>
        <v>21/07/2025</v>
      </c>
      <c r="J4041" t="str">
        <f t="shared" si="1938"/>
        <v>23/07/2025</v>
      </c>
      <c r="K4041">
        <v>610.55999999999995</v>
      </c>
      <c r="L4041">
        <v>610.55999999999995</v>
      </c>
      <c r="M4041">
        <v>303</v>
      </c>
      <c r="N4041" t="str">
        <f t="shared" si="1939"/>
        <v>RECEITAS COM ENTREGAS</v>
      </c>
      <c r="O4041">
        <v>610.55999999999995</v>
      </c>
      <c r="R4041" t="str">
        <f t="shared" si="1940"/>
        <v>RECEITAS COM ENTREGAS (303)</v>
      </c>
      <c r="S4041">
        <v>2098</v>
      </c>
      <c r="T4041">
        <v>1619</v>
      </c>
      <c r="U4041" t="s">
        <v>19</v>
      </c>
    </row>
    <row r="4042" spans="1:21">
      <c r="A4042" t="str">
        <f t="shared" si="1935"/>
        <v>23/07/2025</v>
      </c>
      <c r="B4042" t="str">
        <f t="shared" si="1941"/>
        <v>ENTRADA</v>
      </c>
      <c r="C4042" t="str">
        <f t="shared" si="1936"/>
        <v>NFSE</v>
      </c>
      <c r="D4042" t="str">
        <f>"3253"</f>
        <v>3253</v>
      </c>
      <c r="E4042" t="str">
        <f t="shared" si="1934"/>
        <v>COM</v>
      </c>
      <c r="F4042" t="str">
        <f>"DROGARIA AGAPEAMA (10167)"</f>
        <v>DROGARIA AGAPEAMA (10167)</v>
      </c>
      <c r="G4042" t="str">
        <f>"Serv.Prest. 14/07/2025 a 20/07/2025 - RPS: 1020 - NFSe: 3253"</f>
        <v>Serv.Prest. 14/07/2025 a 20/07/2025 - RPS: 1020 - NFSe: 3253</v>
      </c>
      <c r="H4042" t="str">
        <f t="shared" si="1937"/>
        <v>23/07/2025</v>
      </c>
      <c r="I4042" t="str">
        <f t="shared" si="1942"/>
        <v>21/07/2025</v>
      </c>
      <c r="J4042" t="str">
        <f t="shared" si="1938"/>
        <v>23/07/2025</v>
      </c>
      <c r="M4042">
        <v>303</v>
      </c>
      <c r="N4042" t="str">
        <f t="shared" si="1939"/>
        <v>RECEITAS COM ENTREGAS</v>
      </c>
      <c r="P4042">
        <v>610.55999999999995</v>
      </c>
      <c r="Q4042" t="str">
        <f>"DROGARIA AGAPEAMA (10167)"</f>
        <v>DROGARIA AGAPEAMA (10167)</v>
      </c>
      <c r="R4042" t="str">
        <f t="shared" si="1940"/>
        <v>RECEITAS COM ENTREGAS (303)</v>
      </c>
      <c r="S4042">
        <v>2098</v>
      </c>
      <c r="T4042">
        <v>1619</v>
      </c>
      <c r="U4042" t="s">
        <v>19</v>
      </c>
    </row>
    <row r="4043" spans="1:21">
      <c r="A4043" t="str">
        <f t="shared" si="1935"/>
        <v>23/07/2025</v>
      </c>
      <c r="B4043" t="str">
        <f t="shared" si="1941"/>
        <v>ENTRADA</v>
      </c>
      <c r="C4043" t="str">
        <f t="shared" si="1936"/>
        <v>NFSE</v>
      </c>
      <c r="D4043" t="str">
        <f>"3254"</f>
        <v>3254</v>
      </c>
      <c r="E4043" t="str">
        <f t="shared" si="1934"/>
        <v>COM</v>
      </c>
      <c r="F4043" t="str">
        <f>"DROGARIA MEDIC CENTER LTDA (10172)"</f>
        <v>DROGARIA MEDIC CENTER LTDA (10172)</v>
      </c>
      <c r="G4043" t="str">
        <f>"Serv.Prest. 14/07/2025 a 20/07/2025 - RPS: 1021 - NFSe: 3254"</f>
        <v>Serv.Prest. 14/07/2025 a 20/07/2025 - RPS: 1021 - NFSe: 3254</v>
      </c>
      <c r="H4043" t="str">
        <f t="shared" si="1937"/>
        <v>23/07/2025</v>
      </c>
      <c r="I4043" t="str">
        <f t="shared" si="1942"/>
        <v>21/07/2025</v>
      </c>
      <c r="J4043" t="str">
        <f t="shared" si="1938"/>
        <v>23/07/2025</v>
      </c>
      <c r="K4043">
        <v>176.4</v>
      </c>
      <c r="L4043">
        <v>176.4</v>
      </c>
      <c r="M4043">
        <v>303</v>
      </c>
      <c r="N4043" t="str">
        <f t="shared" si="1939"/>
        <v>RECEITAS COM ENTREGAS</v>
      </c>
      <c r="O4043">
        <v>176.4</v>
      </c>
      <c r="R4043" t="str">
        <f t="shared" si="1940"/>
        <v>RECEITAS COM ENTREGAS (303)</v>
      </c>
      <c r="S4043">
        <v>2099</v>
      </c>
      <c r="T4043">
        <v>1620</v>
      </c>
      <c r="U4043" t="s">
        <v>19</v>
      </c>
    </row>
    <row r="4044" spans="1:21">
      <c r="A4044" t="str">
        <f t="shared" si="1935"/>
        <v>23/07/2025</v>
      </c>
      <c r="B4044" t="str">
        <f t="shared" si="1941"/>
        <v>ENTRADA</v>
      </c>
      <c r="C4044" t="str">
        <f t="shared" si="1936"/>
        <v>NFSE</v>
      </c>
      <c r="D4044" t="str">
        <f>"3254"</f>
        <v>3254</v>
      </c>
      <c r="E4044" t="str">
        <f t="shared" si="1934"/>
        <v>COM</v>
      </c>
      <c r="F4044" t="str">
        <f>"DROGARIA MEDIC CENTER LTDA (10172)"</f>
        <v>DROGARIA MEDIC CENTER LTDA (10172)</v>
      </c>
      <c r="G4044" t="str">
        <f>"Serv.Prest. 14/07/2025 a 20/07/2025 - RPS: 1021 - NFSe: 3254"</f>
        <v>Serv.Prest. 14/07/2025 a 20/07/2025 - RPS: 1021 - NFSe: 3254</v>
      </c>
      <c r="H4044" t="str">
        <f t="shared" si="1937"/>
        <v>23/07/2025</v>
      </c>
      <c r="I4044" t="str">
        <f t="shared" si="1942"/>
        <v>21/07/2025</v>
      </c>
      <c r="J4044" t="str">
        <f t="shared" si="1938"/>
        <v>23/07/2025</v>
      </c>
      <c r="M4044">
        <v>303</v>
      </c>
      <c r="N4044" t="str">
        <f t="shared" si="1939"/>
        <v>RECEITAS COM ENTREGAS</v>
      </c>
      <c r="P4044">
        <v>176.4</v>
      </c>
      <c r="Q4044" t="str">
        <f>"DROGARIA MEDIC CENTER LTDA (10172)"</f>
        <v>DROGARIA MEDIC CENTER LTDA (10172)</v>
      </c>
      <c r="R4044" t="str">
        <f t="shared" si="1940"/>
        <v>RECEITAS COM ENTREGAS (303)</v>
      </c>
      <c r="S4044">
        <v>2099</v>
      </c>
      <c r="T4044">
        <v>1620</v>
      </c>
      <c r="U4044" t="s">
        <v>19</v>
      </c>
    </row>
    <row r="4045" spans="1:21">
      <c r="A4045" t="str">
        <f t="shared" si="1935"/>
        <v>23/07/2025</v>
      </c>
      <c r="B4045" t="str">
        <f t="shared" si="1941"/>
        <v>ENTRADA</v>
      </c>
      <c r="C4045" t="str">
        <f t="shared" si="1936"/>
        <v>NFSE</v>
      </c>
      <c r="D4045" t="str">
        <f>"3257"</f>
        <v>3257</v>
      </c>
      <c r="E4045" t="str">
        <f t="shared" si="1934"/>
        <v>COM</v>
      </c>
      <c r="F4045" t="str">
        <f>"ENTREFARMA (10164)"</f>
        <v>ENTREFARMA (10164)</v>
      </c>
      <c r="G4045" t="str">
        <f>"Serv.Prest. 14/07/2025 a 20/07/2025 - RPS: 1024 - NFSe: 3257"</f>
        <v>Serv.Prest. 14/07/2025 a 20/07/2025 - RPS: 1024 - NFSe: 3257</v>
      </c>
      <c r="H4045" t="str">
        <f t="shared" si="1937"/>
        <v>23/07/2025</v>
      </c>
      <c r="I4045" t="str">
        <f t="shared" si="1942"/>
        <v>21/07/2025</v>
      </c>
      <c r="J4045" t="str">
        <f t="shared" si="1938"/>
        <v>23/07/2025</v>
      </c>
      <c r="K4045">
        <v>1030.8800000000001</v>
      </c>
      <c r="L4045">
        <v>1030.8800000000001</v>
      </c>
      <c r="M4045">
        <v>303</v>
      </c>
      <c r="N4045" t="str">
        <f t="shared" si="1939"/>
        <v>RECEITAS COM ENTREGAS</v>
      </c>
      <c r="O4045">
        <v>1030.8800000000001</v>
      </c>
      <c r="R4045" t="str">
        <f t="shared" si="1940"/>
        <v>RECEITAS COM ENTREGAS (303)</v>
      </c>
      <c r="S4045">
        <v>2100</v>
      </c>
      <c r="T4045">
        <v>1623</v>
      </c>
      <c r="U4045" t="s">
        <v>19</v>
      </c>
    </row>
    <row r="4046" spans="1:21">
      <c r="A4046" t="str">
        <f t="shared" si="1935"/>
        <v>23/07/2025</v>
      </c>
      <c r="B4046" t="str">
        <f t="shared" si="1941"/>
        <v>ENTRADA</v>
      </c>
      <c r="C4046" t="str">
        <f t="shared" si="1936"/>
        <v>NFSE</v>
      </c>
      <c r="D4046" t="str">
        <f>"3257"</f>
        <v>3257</v>
      </c>
      <c r="E4046" t="str">
        <f t="shared" si="1934"/>
        <v>COM</v>
      </c>
      <c r="F4046" t="str">
        <f>"ENTREFARMA (10164)"</f>
        <v>ENTREFARMA (10164)</v>
      </c>
      <c r="G4046" t="str">
        <f>"Serv.Prest. 14/07/2025 a 20/07/2025 - RPS: 1024 - NFSe: 3257"</f>
        <v>Serv.Prest. 14/07/2025 a 20/07/2025 - RPS: 1024 - NFSe: 3257</v>
      </c>
      <c r="H4046" t="str">
        <f t="shared" si="1937"/>
        <v>23/07/2025</v>
      </c>
      <c r="I4046" t="str">
        <f t="shared" si="1942"/>
        <v>21/07/2025</v>
      </c>
      <c r="J4046" t="str">
        <f t="shared" si="1938"/>
        <v>23/07/2025</v>
      </c>
      <c r="M4046">
        <v>303</v>
      </c>
      <c r="N4046" t="str">
        <f t="shared" si="1939"/>
        <v>RECEITAS COM ENTREGAS</v>
      </c>
      <c r="P4046">
        <v>1030.8800000000001</v>
      </c>
      <c r="Q4046" t="str">
        <f>"ENTREFARMA (10164)"</f>
        <v>ENTREFARMA (10164)</v>
      </c>
      <c r="R4046" t="str">
        <f t="shared" si="1940"/>
        <v>RECEITAS COM ENTREGAS (303)</v>
      </c>
      <c r="S4046">
        <v>2100</v>
      </c>
      <c r="T4046">
        <v>1623</v>
      </c>
      <c r="U4046" t="s">
        <v>19</v>
      </c>
    </row>
    <row r="4047" spans="1:21">
      <c r="A4047" t="str">
        <f t="shared" si="1935"/>
        <v>23/07/2025</v>
      </c>
      <c r="B4047" t="str">
        <f t="shared" si="1941"/>
        <v>ENTRADA</v>
      </c>
      <c r="C4047" t="str">
        <f t="shared" si="1936"/>
        <v>NFSE</v>
      </c>
      <c r="D4047" t="str">
        <f>"3265"</f>
        <v>3265</v>
      </c>
      <c r="E4047" t="str">
        <f t="shared" si="1934"/>
        <v>COM</v>
      </c>
      <c r="F4047" t="str">
        <f>"JAL FARMACIA E DROGARIA LJ 2 (10138)"</f>
        <v>JAL FARMACIA E DROGARIA LJ 2 (10138)</v>
      </c>
      <c r="G4047" t="str">
        <f>"Serv.Prest. 14/07/2025 a 20/07/2025 - RPS: 1032 - NFSe: 3265"</f>
        <v>Serv.Prest. 14/07/2025 a 20/07/2025 - RPS: 1032 - NFSe: 3265</v>
      </c>
      <c r="H4047" t="str">
        <f t="shared" si="1937"/>
        <v>23/07/2025</v>
      </c>
      <c r="I4047" t="str">
        <f>("22/07/2025")</f>
        <v>22/07/2025</v>
      </c>
      <c r="J4047" t="str">
        <f t="shared" si="1938"/>
        <v>23/07/2025</v>
      </c>
      <c r="K4047">
        <v>286.39999999999998</v>
      </c>
      <c r="L4047">
        <v>286.39999999999998</v>
      </c>
      <c r="M4047">
        <v>303</v>
      </c>
      <c r="N4047" t="str">
        <f t="shared" si="1939"/>
        <v>RECEITAS COM ENTREGAS</v>
      </c>
      <c r="O4047">
        <v>286.39999999999998</v>
      </c>
      <c r="R4047" t="str">
        <f t="shared" si="1940"/>
        <v>RECEITAS COM ENTREGAS (303)</v>
      </c>
      <c r="S4047">
        <v>2101</v>
      </c>
      <c r="T4047">
        <v>1631</v>
      </c>
      <c r="U4047" t="s">
        <v>19</v>
      </c>
    </row>
    <row r="4048" spans="1:21">
      <c r="A4048" t="str">
        <f t="shared" si="1935"/>
        <v>23/07/2025</v>
      </c>
      <c r="B4048" t="str">
        <f t="shared" si="1941"/>
        <v>ENTRADA</v>
      </c>
      <c r="C4048" t="str">
        <f t="shared" si="1936"/>
        <v>NFSE</v>
      </c>
      <c r="D4048" t="str">
        <f>"3265"</f>
        <v>3265</v>
      </c>
      <c r="E4048" t="str">
        <f t="shared" si="1934"/>
        <v>COM</v>
      </c>
      <c r="F4048" t="str">
        <f>"JAL FARMACIA E DROGARIA LJ 2 (10138)"</f>
        <v>JAL FARMACIA E DROGARIA LJ 2 (10138)</v>
      </c>
      <c r="G4048" t="str">
        <f>"Serv.Prest. 14/07/2025 a 20/07/2025 - RPS: 1032 - NFSe: 3265"</f>
        <v>Serv.Prest. 14/07/2025 a 20/07/2025 - RPS: 1032 - NFSe: 3265</v>
      </c>
      <c r="H4048" t="str">
        <f t="shared" si="1937"/>
        <v>23/07/2025</v>
      </c>
      <c r="I4048" t="str">
        <f>("22/07/2025")</f>
        <v>22/07/2025</v>
      </c>
      <c r="J4048" t="str">
        <f t="shared" si="1938"/>
        <v>23/07/2025</v>
      </c>
      <c r="M4048">
        <v>303</v>
      </c>
      <c r="N4048" t="str">
        <f t="shared" si="1939"/>
        <v>RECEITAS COM ENTREGAS</v>
      </c>
      <c r="P4048">
        <v>286.39999999999998</v>
      </c>
      <c r="Q4048" t="str">
        <f>"JAL FARMACIA E DROGARIA LJ 2 (10138)"</f>
        <v>JAL FARMACIA E DROGARIA LJ 2 (10138)</v>
      </c>
      <c r="R4048" t="str">
        <f t="shared" si="1940"/>
        <v>RECEITAS COM ENTREGAS (303)</v>
      </c>
      <c r="S4048">
        <v>2101</v>
      </c>
      <c r="T4048">
        <v>1631</v>
      </c>
      <c r="U4048" t="s">
        <v>19</v>
      </c>
    </row>
    <row r="4049" spans="1:21">
      <c r="A4049" t="str">
        <f t="shared" si="1935"/>
        <v>23/07/2025</v>
      </c>
      <c r="B4049" t="str">
        <f t="shared" si="1941"/>
        <v>ENTRADA</v>
      </c>
      <c r="C4049" t="str">
        <f t="shared" si="1936"/>
        <v>NFSE</v>
      </c>
      <c r="D4049" t="str">
        <f>"3267"</f>
        <v>3267</v>
      </c>
      <c r="E4049" t="str">
        <f t="shared" si="1934"/>
        <v>COM</v>
      </c>
      <c r="F4049" t="str">
        <f>"FARMACIA ECONOMIZE (10103)"</f>
        <v>FARMACIA ECONOMIZE (10103)</v>
      </c>
      <c r="G4049" t="str">
        <f>"Serv.Prest. 14/07/2025 a 20/07/2025 - RPS: 1034 - NFSe: 3267"</f>
        <v>Serv.Prest. 14/07/2025 a 20/07/2025 - RPS: 1034 - NFSe: 3267</v>
      </c>
      <c r="H4049" t="str">
        <f t="shared" si="1937"/>
        <v>23/07/2025</v>
      </c>
      <c r="I4049" t="str">
        <f>("22/07/2025")</f>
        <v>22/07/2025</v>
      </c>
      <c r="J4049" t="str">
        <f t="shared" si="1938"/>
        <v>23/07/2025</v>
      </c>
      <c r="K4049">
        <v>21.3</v>
      </c>
      <c r="L4049">
        <v>21.3</v>
      </c>
      <c r="M4049">
        <v>303</v>
      </c>
      <c r="N4049" t="str">
        <f t="shared" si="1939"/>
        <v>RECEITAS COM ENTREGAS</v>
      </c>
      <c r="O4049">
        <v>21.3</v>
      </c>
      <c r="R4049" t="str">
        <f t="shared" si="1940"/>
        <v>RECEITAS COM ENTREGAS (303)</v>
      </c>
      <c r="S4049">
        <v>2102</v>
      </c>
      <c r="T4049">
        <v>1633</v>
      </c>
      <c r="U4049" t="s">
        <v>19</v>
      </c>
    </row>
    <row r="4050" spans="1:21">
      <c r="A4050" t="str">
        <f t="shared" si="1935"/>
        <v>23/07/2025</v>
      </c>
      <c r="B4050" t="str">
        <f t="shared" si="1941"/>
        <v>ENTRADA</v>
      </c>
      <c r="C4050" t="str">
        <f t="shared" si="1936"/>
        <v>NFSE</v>
      </c>
      <c r="D4050" t="str">
        <f>"3267"</f>
        <v>3267</v>
      </c>
      <c r="E4050" t="str">
        <f t="shared" si="1934"/>
        <v>COM</v>
      </c>
      <c r="F4050" t="str">
        <f>"FARMACIA ECONOMIZE (10103)"</f>
        <v>FARMACIA ECONOMIZE (10103)</v>
      </c>
      <c r="G4050" t="str">
        <f>"Serv.Prest. 14/07/2025 a 20/07/2025 - RPS: 1034 - NFSe: 3267"</f>
        <v>Serv.Prest. 14/07/2025 a 20/07/2025 - RPS: 1034 - NFSe: 3267</v>
      </c>
      <c r="H4050" t="str">
        <f t="shared" si="1937"/>
        <v>23/07/2025</v>
      </c>
      <c r="I4050" t="str">
        <f>("22/07/2025")</f>
        <v>22/07/2025</v>
      </c>
      <c r="J4050" t="str">
        <f t="shared" si="1938"/>
        <v>23/07/2025</v>
      </c>
      <c r="M4050">
        <v>303</v>
      </c>
      <c r="N4050" t="str">
        <f t="shared" si="1939"/>
        <v>RECEITAS COM ENTREGAS</v>
      </c>
      <c r="P4050">
        <v>21.3</v>
      </c>
      <c r="Q4050" t="str">
        <f>"FARMACIA ECONOMIZE (10103)"</f>
        <v>FARMACIA ECONOMIZE (10103)</v>
      </c>
      <c r="R4050" t="str">
        <f t="shared" si="1940"/>
        <v>RECEITAS COM ENTREGAS (303)</v>
      </c>
      <c r="S4050">
        <v>2102</v>
      </c>
      <c r="T4050">
        <v>1633</v>
      </c>
      <c r="U4050" t="s">
        <v>19</v>
      </c>
    </row>
    <row r="4051" spans="1:21">
      <c r="A4051" t="str">
        <f t="shared" si="1935"/>
        <v>23/07/2025</v>
      </c>
      <c r="B4051" t="str">
        <f t="shared" ref="B4051:B4056" si="1943">"SAÍDA"</f>
        <v>SAÍDA</v>
      </c>
      <c r="C4051" t="str">
        <f t="shared" ref="C4051:C4056" si="1944">"CONHECIMENTO"</f>
        <v>CONHECIMENTO</v>
      </c>
      <c r="D4051" t="str">
        <f t="shared" ref="D4051:D4056" si="1945">"230725170"</f>
        <v>230725170</v>
      </c>
      <c r="E4051" t="str">
        <f t="shared" si="1934"/>
        <v>COM</v>
      </c>
      <c r="F4051" t="str">
        <f t="shared" ref="F4051:F4056" si="1946">"CORA SOCIEDADE DE CREDITO, FINANCIAMENTO E INVESTIMENTO (20035)"</f>
        <v>CORA SOCIEDADE DE CREDITO, FINANCIAMENTO E INVESTIMENTO (20035)</v>
      </c>
      <c r="G4051" t="str">
        <f t="shared" ref="G4051:G4056" si="1947">"TAXA BOLETO COMPENSADO"</f>
        <v>TAXA BOLETO COMPENSADO</v>
      </c>
      <c r="H4051" t="str">
        <f t="shared" si="1937"/>
        <v>23/07/2025</v>
      </c>
      <c r="I4051" t="str">
        <f t="shared" ref="I4051:I4056" si="1948">("23/07/2025")</f>
        <v>23/07/2025</v>
      </c>
      <c r="J4051" t="str">
        <f t="shared" si="1938"/>
        <v>23/07/2025</v>
      </c>
      <c r="K4051">
        <v>1.7</v>
      </c>
      <c r="L4051">
        <v>1.7</v>
      </c>
      <c r="M4051">
        <v>401</v>
      </c>
      <c r="N4051" t="str">
        <f t="shared" ref="N4051:N4056" si="1949">"IOF/JUROS/DESP.FINANCEIRA"</f>
        <v>IOF/JUROS/DESP.FINANCEIRA</v>
      </c>
      <c r="O4051">
        <v>1.7</v>
      </c>
      <c r="R4051" t="str">
        <f t="shared" ref="R4051:R4056" si="1950">"BANCO CORA (102)"</f>
        <v>BANCO CORA (102)</v>
      </c>
      <c r="S4051">
        <v>2175</v>
      </c>
      <c r="T4051">
        <v>1708</v>
      </c>
      <c r="U4051" t="s">
        <v>19</v>
      </c>
    </row>
    <row r="4052" spans="1:21">
      <c r="A4052" t="str">
        <f t="shared" si="1935"/>
        <v>23/07/2025</v>
      </c>
      <c r="B4052" t="str">
        <f t="shared" si="1943"/>
        <v>SAÍDA</v>
      </c>
      <c r="C4052" t="str">
        <f t="shared" si="1944"/>
        <v>CONHECIMENTO</v>
      </c>
      <c r="D4052" t="str">
        <f t="shared" si="1945"/>
        <v>230725170</v>
      </c>
      <c r="E4052" t="str">
        <f t="shared" si="1934"/>
        <v>COM</v>
      </c>
      <c r="F4052" t="str">
        <f t="shared" si="1946"/>
        <v>CORA SOCIEDADE DE CREDITO, FINANCIAMENTO E INVESTIMENTO (20035)</v>
      </c>
      <c r="G4052" t="str">
        <f t="shared" si="1947"/>
        <v>TAXA BOLETO COMPENSADO</v>
      </c>
      <c r="H4052" t="str">
        <f t="shared" si="1937"/>
        <v>23/07/2025</v>
      </c>
      <c r="I4052" t="str">
        <f t="shared" si="1948"/>
        <v>23/07/2025</v>
      </c>
      <c r="J4052" t="str">
        <f t="shared" si="1938"/>
        <v>23/07/2025</v>
      </c>
      <c r="K4052">
        <v>1.7</v>
      </c>
      <c r="L4052">
        <v>1.7</v>
      </c>
      <c r="M4052">
        <v>401</v>
      </c>
      <c r="N4052" t="str">
        <f t="shared" si="1949"/>
        <v>IOF/JUROS/DESP.FINANCEIRA</v>
      </c>
      <c r="O4052">
        <v>1.7</v>
      </c>
      <c r="R4052" t="str">
        <f t="shared" si="1950"/>
        <v>BANCO CORA (102)</v>
      </c>
      <c r="S4052">
        <v>2176</v>
      </c>
      <c r="T4052">
        <v>1709</v>
      </c>
      <c r="U4052" t="s">
        <v>19</v>
      </c>
    </row>
    <row r="4053" spans="1:21">
      <c r="A4053" t="str">
        <f t="shared" si="1935"/>
        <v>23/07/2025</v>
      </c>
      <c r="B4053" t="str">
        <f t="shared" si="1943"/>
        <v>SAÍDA</v>
      </c>
      <c r="C4053" t="str">
        <f t="shared" si="1944"/>
        <v>CONHECIMENTO</v>
      </c>
      <c r="D4053" t="str">
        <f t="shared" si="1945"/>
        <v>230725170</v>
      </c>
      <c r="E4053" t="str">
        <f t="shared" si="1934"/>
        <v>COM</v>
      </c>
      <c r="F4053" t="str">
        <f t="shared" si="1946"/>
        <v>CORA SOCIEDADE DE CREDITO, FINANCIAMENTO E INVESTIMENTO (20035)</v>
      </c>
      <c r="G4053" t="str">
        <f t="shared" si="1947"/>
        <v>TAXA BOLETO COMPENSADO</v>
      </c>
      <c r="H4053" t="str">
        <f t="shared" si="1937"/>
        <v>23/07/2025</v>
      </c>
      <c r="I4053" t="str">
        <f t="shared" si="1948"/>
        <v>23/07/2025</v>
      </c>
      <c r="J4053" t="str">
        <f t="shared" si="1938"/>
        <v>23/07/2025</v>
      </c>
      <c r="K4053">
        <v>1.7</v>
      </c>
      <c r="L4053">
        <v>1.7</v>
      </c>
      <c r="M4053">
        <v>401</v>
      </c>
      <c r="N4053" t="str">
        <f t="shared" si="1949"/>
        <v>IOF/JUROS/DESP.FINANCEIRA</v>
      </c>
      <c r="O4053">
        <v>1.7</v>
      </c>
      <c r="R4053" t="str">
        <f t="shared" si="1950"/>
        <v>BANCO CORA (102)</v>
      </c>
      <c r="S4053">
        <v>2177</v>
      </c>
      <c r="T4053">
        <v>1710</v>
      </c>
      <c r="U4053" t="s">
        <v>19</v>
      </c>
    </row>
    <row r="4054" spans="1:21">
      <c r="A4054" t="str">
        <f t="shared" si="1935"/>
        <v>23/07/2025</v>
      </c>
      <c r="B4054" t="str">
        <f t="shared" si="1943"/>
        <v>SAÍDA</v>
      </c>
      <c r="C4054" t="str">
        <f t="shared" si="1944"/>
        <v>CONHECIMENTO</v>
      </c>
      <c r="D4054" t="str">
        <f t="shared" si="1945"/>
        <v>230725170</v>
      </c>
      <c r="E4054" t="str">
        <f t="shared" si="1934"/>
        <v>COM</v>
      </c>
      <c r="F4054" t="str">
        <f t="shared" si="1946"/>
        <v>CORA SOCIEDADE DE CREDITO, FINANCIAMENTO E INVESTIMENTO (20035)</v>
      </c>
      <c r="G4054" t="str">
        <f t="shared" si="1947"/>
        <v>TAXA BOLETO COMPENSADO</v>
      </c>
      <c r="H4054" t="str">
        <f t="shared" si="1937"/>
        <v>23/07/2025</v>
      </c>
      <c r="I4054" t="str">
        <f t="shared" si="1948"/>
        <v>23/07/2025</v>
      </c>
      <c r="J4054" t="str">
        <f t="shared" si="1938"/>
        <v>23/07/2025</v>
      </c>
      <c r="K4054">
        <v>1.7</v>
      </c>
      <c r="L4054">
        <v>1.7</v>
      </c>
      <c r="M4054">
        <v>401</v>
      </c>
      <c r="N4054" t="str">
        <f t="shared" si="1949"/>
        <v>IOF/JUROS/DESP.FINANCEIRA</v>
      </c>
      <c r="O4054">
        <v>1.7</v>
      </c>
      <c r="R4054" t="str">
        <f t="shared" si="1950"/>
        <v>BANCO CORA (102)</v>
      </c>
      <c r="S4054">
        <v>2178</v>
      </c>
      <c r="T4054">
        <v>1711</v>
      </c>
      <c r="U4054" t="s">
        <v>19</v>
      </c>
    </row>
    <row r="4055" spans="1:21">
      <c r="A4055" t="str">
        <f t="shared" si="1935"/>
        <v>23/07/2025</v>
      </c>
      <c r="B4055" t="str">
        <f t="shared" si="1943"/>
        <v>SAÍDA</v>
      </c>
      <c r="C4055" t="str">
        <f t="shared" si="1944"/>
        <v>CONHECIMENTO</v>
      </c>
      <c r="D4055" t="str">
        <f t="shared" si="1945"/>
        <v>230725170</v>
      </c>
      <c r="E4055" t="str">
        <f t="shared" si="1934"/>
        <v>COM</v>
      </c>
      <c r="F4055" t="str">
        <f t="shared" si="1946"/>
        <v>CORA SOCIEDADE DE CREDITO, FINANCIAMENTO E INVESTIMENTO (20035)</v>
      </c>
      <c r="G4055" t="str">
        <f t="shared" si="1947"/>
        <v>TAXA BOLETO COMPENSADO</v>
      </c>
      <c r="H4055" t="str">
        <f t="shared" si="1937"/>
        <v>23/07/2025</v>
      </c>
      <c r="I4055" t="str">
        <f t="shared" si="1948"/>
        <v>23/07/2025</v>
      </c>
      <c r="J4055" t="str">
        <f t="shared" si="1938"/>
        <v>23/07/2025</v>
      </c>
      <c r="K4055">
        <v>1.7</v>
      </c>
      <c r="L4055">
        <v>1.7</v>
      </c>
      <c r="M4055">
        <v>401</v>
      </c>
      <c r="N4055" t="str">
        <f t="shared" si="1949"/>
        <v>IOF/JUROS/DESP.FINANCEIRA</v>
      </c>
      <c r="O4055">
        <v>1.7</v>
      </c>
      <c r="R4055" t="str">
        <f t="shared" si="1950"/>
        <v>BANCO CORA (102)</v>
      </c>
      <c r="S4055">
        <v>2179</v>
      </c>
      <c r="T4055">
        <v>1712</v>
      </c>
      <c r="U4055" t="s">
        <v>19</v>
      </c>
    </row>
    <row r="4056" spans="1:21">
      <c r="A4056" t="str">
        <f t="shared" si="1935"/>
        <v>23/07/2025</v>
      </c>
      <c r="B4056" t="str">
        <f t="shared" si="1943"/>
        <v>SAÍDA</v>
      </c>
      <c r="C4056" t="str">
        <f t="shared" si="1944"/>
        <v>CONHECIMENTO</v>
      </c>
      <c r="D4056" t="str">
        <f t="shared" si="1945"/>
        <v>230725170</v>
      </c>
      <c r="E4056" t="str">
        <f t="shared" si="1934"/>
        <v>COM</v>
      </c>
      <c r="F4056" t="str">
        <f t="shared" si="1946"/>
        <v>CORA SOCIEDADE DE CREDITO, FINANCIAMENTO E INVESTIMENTO (20035)</v>
      </c>
      <c r="G4056" t="str">
        <f t="shared" si="1947"/>
        <v>TAXA BOLETO COMPENSADO</v>
      </c>
      <c r="H4056" t="str">
        <f t="shared" si="1937"/>
        <v>23/07/2025</v>
      </c>
      <c r="I4056" t="str">
        <f t="shared" si="1948"/>
        <v>23/07/2025</v>
      </c>
      <c r="J4056" t="str">
        <f t="shared" si="1938"/>
        <v>23/07/2025</v>
      </c>
      <c r="K4056">
        <v>1.7</v>
      </c>
      <c r="L4056">
        <v>1.7</v>
      </c>
      <c r="M4056">
        <v>401</v>
      </c>
      <c r="N4056" t="str">
        <f t="shared" si="1949"/>
        <v>IOF/JUROS/DESP.FINANCEIRA</v>
      </c>
      <c r="O4056">
        <v>1.7</v>
      </c>
      <c r="R4056" t="str">
        <f t="shared" si="1950"/>
        <v>BANCO CORA (102)</v>
      </c>
      <c r="S4056">
        <v>2180</v>
      </c>
      <c r="T4056">
        <v>1713</v>
      </c>
      <c r="U4056" t="s">
        <v>19</v>
      </c>
    </row>
    <row r="4057" spans="1:21">
      <c r="A4057" t="str">
        <f t="shared" ref="A4057:A4100" si="1951">("24/07/2025")</f>
        <v>24/07/2025</v>
      </c>
      <c r="B4057" t="str">
        <f>"ENTRADA"</f>
        <v>ENTRADA</v>
      </c>
      <c r="C4057" t="str">
        <f t="shared" ref="C4057:C4085" si="1952">"NFSE"</f>
        <v>NFSE</v>
      </c>
      <c r="D4057" t="str">
        <f>"3247"</f>
        <v>3247</v>
      </c>
      <c r="E4057" t="str">
        <f t="shared" si="1934"/>
        <v>COM</v>
      </c>
      <c r="F4057" t="str">
        <f>"AC FARMA - CID.ALTA (10166)"</f>
        <v>AC FARMA - CID.ALTA (10166)</v>
      </c>
      <c r="G4057" t="str">
        <f>"Serv.Prest. 07/07/2025 a 13/07/2025 - RPS: 1014 - NFSe: 3247"</f>
        <v>Serv.Prest. 07/07/2025 a 13/07/2025 - RPS: 1014 - NFSe: 3247</v>
      </c>
      <c r="H4057" t="str">
        <f t="shared" si="1937"/>
        <v>23/07/2025</v>
      </c>
      <c r="I4057" t="str">
        <f t="shared" ref="I4057:I4063" si="1953">("16/07/2025")</f>
        <v>16/07/2025</v>
      </c>
      <c r="J4057" t="str">
        <f t="shared" ref="J4057:J4100" si="1954">("24/07/2025")</f>
        <v>24/07/2025</v>
      </c>
      <c r="K4057">
        <v>884.25</v>
      </c>
      <c r="L4057">
        <v>884.25</v>
      </c>
      <c r="M4057">
        <v>303</v>
      </c>
      <c r="N4057" t="str">
        <f t="shared" ref="N4057:N4085" si="1955">"RECEITAS COM ENTREGAS"</f>
        <v>RECEITAS COM ENTREGAS</v>
      </c>
      <c r="O4057">
        <v>884.25</v>
      </c>
      <c r="R4057" t="str">
        <f t="shared" ref="R4057:R4085" si="1956">"RECEITAS COM ENTREGAS (303)"</f>
        <v>RECEITAS COM ENTREGAS (303)</v>
      </c>
      <c r="S4057">
        <v>2103</v>
      </c>
      <c r="T4057">
        <v>1585</v>
      </c>
      <c r="U4057" t="s">
        <v>19</v>
      </c>
    </row>
    <row r="4058" spans="1:21">
      <c r="A4058" t="str">
        <f t="shared" si="1951"/>
        <v>24/07/2025</v>
      </c>
      <c r="B4058" t="str">
        <f t="shared" ref="B4058:B4085" si="1957">"ENTRADA"</f>
        <v>ENTRADA</v>
      </c>
      <c r="C4058" t="str">
        <f t="shared" si="1952"/>
        <v>NFSE</v>
      </c>
      <c r="D4058" t="str">
        <f>"3247"</f>
        <v>3247</v>
      </c>
      <c r="E4058" t="str">
        <f t="shared" si="1934"/>
        <v>COM</v>
      </c>
      <c r="F4058" t="str">
        <f>"AC FARMA - CID.ALTA (10166)"</f>
        <v>AC FARMA - CID.ALTA (10166)</v>
      </c>
      <c r="G4058" t="str">
        <f>"Serv.Prest. 07/07/2025 a 13/07/2025 - RPS: 1014 - NFSe: 3247"</f>
        <v>Serv.Prest. 07/07/2025 a 13/07/2025 - RPS: 1014 - NFSe: 3247</v>
      </c>
      <c r="H4058" t="str">
        <f t="shared" si="1937"/>
        <v>23/07/2025</v>
      </c>
      <c r="I4058" t="str">
        <f t="shared" si="1953"/>
        <v>16/07/2025</v>
      </c>
      <c r="J4058" t="str">
        <f t="shared" si="1954"/>
        <v>24/07/2025</v>
      </c>
      <c r="M4058">
        <v>303</v>
      </c>
      <c r="N4058" t="str">
        <f t="shared" si="1955"/>
        <v>RECEITAS COM ENTREGAS</v>
      </c>
      <c r="P4058">
        <v>884.25</v>
      </c>
      <c r="Q4058" t="str">
        <f>"AC FARMA - CID.ALTA (10166)"</f>
        <v>AC FARMA - CID.ALTA (10166)</v>
      </c>
      <c r="R4058" t="str">
        <f t="shared" si="1956"/>
        <v>RECEITAS COM ENTREGAS (303)</v>
      </c>
      <c r="S4058">
        <v>2103</v>
      </c>
      <c r="T4058">
        <v>1585</v>
      </c>
      <c r="U4058" t="s">
        <v>19</v>
      </c>
    </row>
    <row r="4059" spans="1:21">
      <c r="A4059" t="str">
        <f t="shared" si="1951"/>
        <v>24/07/2025</v>
      </c>
      <c r="B4059" t="str">
        <f t="shared" si="1957"/>
        <v>ENTRADA</v>
      </c>
      <c r="C4059" t="str">
        <f t="shared" si="1952"/>
        <v>NFSE</v>
      </c>
      <c r="D4059" t="str">
        <f>"3248"</f>
        <v>3248</v>
      </c>
      <c r="E4059" t="str">
        <f t="shared" si="1934"/>
        <v>COM</v>
      </c>
      <c r="F4059" t="str">
        <f>"AC FARMA - FLEMINFARMA (10160)"</f>
        <v>AC FARMA - FLEMINFARMA (10160)</v>
      </c>
      <c r="G4059" t="str">
        <f>"Serv.Prest. 07/07/2025 a 13/07/2025 - RPS: 1015 - NFSe: 3248"</f>
        <v>Serv.Prest. 07/07/2025 a 13/07/2025 - RPS: 1015 - NFSe: 3248</v>
      </c>
      <c r="H4059" t="str">
        <f t="shared" si="1937"/>
        <v>23/07/2025</v>
      </c>
      <c r="I4059" t="str">
        <f t="shared" si="1953"/>
        <v>16/07/2025</v>
      </c>
      <c r="J4059" t="str">
        <f t="shared" si="1954"/>
        <v>24/07/2025</v>
      </c>
      <c r="K4059">
        <v>228.15</v>
      </c>
      <c r="L4059">
        <v>228.15</v>
      </c>
      <c r="M4059">
        <v>303</v>
      </c>
      <c r="N4059" t="str">
        <f t="shared" si="1955"/>
        <v>RECEITAS COM ENTREGAS</v>
      </c>
      <c r="O4059">
        <v>228.15</v>
      </c>
      <c r="R4059" t="str">
        <f t="shared" si="1956"/>
        <v>RECEITAS COM ENTREGAS (303)</v>
      </c>
      <c r="S4059">
        <v>2104</v>
      </c>
      <c r="T4059">
        <v>1588</v>
      </c>
      <c r="U4059" t="s">
        <v>19</v>
      </c>
    </row>
    <row r="4060" spans="1:21">
      <c r="A4060" t="str">
        <f t="shared" si="1951"/>
        <v>24/07/2025</v>
      </c>
      <c r="B4060" t="str">
        <f t="shared" si="1957"/>
        <v>ENTRADA</v>
      </c>
      <c r="C4060" t="str">
        <f t="shared" si="1952"/>
        <v>NFSE</v>
      </c>
      <c r="D4060" t="str">
        <f>"3248"</f>
        <v>3248</v>
      </c>
      <c r="E4060" t="str">
        <f t="shared" si="1934"/>
        <v>COM</v>
      </c>
      <c r="F4060" t="str">
        <f>"AC FARMA - FLEMINFARMA (10160)"</f>
        <v>AC FARMA - FLEMINFARMA (10160)</v>
      </c>
      <c r="G4060" t="str">
        <f>"Serv.Prest. 07/07/2025 a 13/07/2025 - RPS: 1015 - NFSe: 3248"</f>
        <v>Serv.Prest. 07/07/2025 a 13/07/2025 - RPS: 1015 - NFSe: 3248</v>
      </c>
      <c r="H4060" t="str">
        <f t="shared" si="1937"/>
        <v>23/07/2025</v>
      </c>
      <c r="I4060" t="str">
        <f t="shared" si="1953"/>
        <v>16/07/2025</v>
      </c>
      <c r="J4060" t="str">
        <f t="shared" si="1954"/>
        <v>24/07/2025</v>
      </c>
      <c r="M4060">
        <v>303</v>
      </c>
      <c r="N4060" t="str">
        <f t="shared" si="1955"/>
        <v>RECEITAS COM ENTREGAS</v>
      </c>
      <c r="P4060">
        <v>228.15</v>
      </c>
      <c r="Q4060" t="str">
        <f>"AC FARMA -  FLEMINFARMA (10159)"</f>
        <v>AC FARMA -  FLEMINFARMA (10159)</v>
      </c>
      <c r="R4060" t="str">
        <f t="shared" si="1956"/>
        <v>RECEITAS COM ENTREGAS (303)</v>
      </c>
      <c r="S4060">
        <v>2104</v>
      </c>
      <c r="T4060">
        <v>1588</v>
      </c>
      <c r="U4060" t="s">
        <v>19</v>
      </c>
    </row>
    <row r="4061" spans="1:21">
      <c r="A4061" t="str">
        <f t="shared" si="1951"/>
        <v>24/07/2025</v>
      </c>
      <c r="B4061" t="str">
        <f t="shared" si="1957"/>
        <v>ENTRADA</v>
      </c>
      <c r="C4061" t="str">
        <f t="shared" si="1952"/>
        <v>NFSE</v>
      </c>
      <c r="D4061" t="str">
        <f>"3249"</f>
        <v>3249</v>
      </c>
      <c r="E4061" t="str">
        <f t="shared" si="1934"/>
        <v>COM</v>
      </c>
      <c r="F4061" t="str">
        <f>"AC FARMA - FLEMINFARMA 5 (10183)"</f>
        <v>AC FARMA - FLEMINFARMA 5 (10183)</v>
      </c>
      <c r="G4061" t="str">
        <f>"Serv.Prest. 30/06/2025 a 13/07/2025 - RPS: 1016 - NFSe: 3249"</f>
        <v>Serv.Prest. 30/06/2025 a 13/07/2025 - RPS: 1016 - NFSe: 3249</v>
      </c>
      <c r="H4061" t="str">
        <f t="shared" si="1937"/>
        <v>23/07/2025</v>
      </c>
      <c r="I4061" t="str">
        <f t="shared" si="1953"/>
        <v>16/07/2025</v>
      </c>
      <c r="J4061" t="str">
        <f t="shared" si="1954"/>
        <v>24/07/2025</v>
      </c>
      <c r="K4061">
        <v>75.599999999999994</v>
      </c>
      <c r="L4061">
        <v>75.599999999999994</v>
      </c>
      <c r="M4061">
        <v>303</v>
      </c>
      <c r="N4061" t="str">
        <f t="shared" si="1955"/>
        <v>RECEITAS COM ENTREGAS</v>
      </c>
      <c r="O4061">
        <v>75.599999999999994</v>
      </c>
      <c r="R4061" t="str">
        <f t="shared" si="1956"/>
        <v>RECEITAS COM ENTREGAS (303)</v>
      </c>
      <c r="S4061">
        <v>2105</v>
      </c>
      <c r="T4061">
        <v>1589</v>
      </c>
      <c r="U4061" t="s">
        <v>19</v>
      </c>
    </row>
    <row r="4062" spans="1:21">
      <c r="A4062" t="str">
        <f t="shared" si="1951"/>
        <v>24/07/2025</v>
      </c>
      <c r="B4062" t="str">
        <f t="shared" si="1957"/>
        <v>ENTRADA</v>
      </c>
      <c r="C4062" t="str">
        <f t="shared" si="1952"/>
        <v>NFSE</v>
      </c>
      <c r="D4062" t="str">
        <f>"3249"</f>
        <v>3249</v>
      </c>
      <c r="E4062" t="str">
        <f t="shared" si="1934"/>
        <v>COM</v>
      </c>
      <c r="F4062" t="str">
        <f>"AC FARMA - FLEMINFARMA 5 (10183)"</f>
        <v>AC FARMA - FLEMINFARMA 5 (10183)</v>
      </c>
      <c r="G4062" t="str">
        <f>"Serv.Prest. 30/06/2025 a 13/07/2025 - RPS: 1016 - NFSe: 3249"</f>
        <v>Serv.Prest. 30/06/2025 a 13/07/2025 - RPS: 1016 - NFSe: 3249</v>
      </c>
      <c r="H4062" t="str">
        <f t="shared" si="1937"/>
        <v>23/07/2025</v>
      </c>
      <c r="I4062" t="str">
        <f t="shared" si="1953"/>
        <v>16/07/2025</v>
      </c>
      <c r="J4062" t="str">
        <f t="shared" si="1954"/>
        <v>24/07/2025</v>
      </c>
      <c r="M4062">
        <v>303</v>
      </c>
      <c r="N4062" t="str">
        <f t="shared" si="1955"/>
        <v>RECEITAS COM ENTREGAS</v>
      </c>
      <c r="P4062">
        <v>71.55</v>
      </c>
      <c r="Q4062" t="str">
        <f>"AC FARMA - FLEMINFARMA 5 (10183)"</f>
        <v>AC FARMA - FLEMINFARMA 5 (10183)</v>
      </c>
      <c r="R4062" t="str">
        <f t="shared" si="1956"/>
        <v>RECEITAS COM ENTREGAS (303)</v>
      </c>
      <c r="S4062">
        <v>2105</v>
      </c>
      <c r="T4062">
        <v>1589</v>
      </c>
      <c r="U4062" t="s">
        <v>19</v>
      </c>
    </row>
    <row r="4063" spans="1:21">
      <c r="A4063" t="str">
        <f t="shared" si="1951"/>
        <v>24/07/2025</v>
      </c>
      <c r="B4063" t="str">
        <f t="shared" si="1957"/>
        <v>ENTRADA</v>
      </c>
      <c r="C4063" t="str">
        <f t="shared" si="1952"/>
        <v>NFSE</v>
      </c>
      <c r="D4063" t="str">
        <f>"3249"</f>
        <v>3249</v>
      </c>
      <c r="E4063" t="str">
        <f t="shared" si="1934"/>
        <v>COM</v>
      </c>
      <c r="F4063" t="str">
        <f>"AC FARMA - FLEMINFARMA 5 (10183)"</f>
        <v>AC FARMA - FLEMINFARMA 5 (10183)</v>
      </c>
      <c r="G4063" t="str">
        <f>"Serv.Prest. 30/06/2025 a 13/07/2025 - RPS: 1016 - NFSe: 3249"</f>
        <v>Serv.Prest. 30/06/2025 a 13/07/2025 - RPS: 1016 - NFSe: 3249</v>
      </c>
      <c r="H4063" t="str">
        <f t="shared" si="1937"/>
        <v>23/07/2025</v>
      </c>
      <c r="I4063" t="str">
        <f t="shared" si="1953"/>
        <v>16/07/2025</v>
      </c>
      <c r="J4063" t="str">
        <f t="shared" si="1954"/>
        <v>24/07/2025</v>
      </c>
      <c r="M4063">
        <v>303</v>
      </c>
      <c r="N4063" t="str">
        <f t="shared" si="1955"/>
        <v>RECEITAS COM ENTREGAS</v>
      </c>
      <c r="P4063">
        <v>4.05</v>
      </c>
      <c r="Q4063" t="str">
        <f>"AC FARMA - FLEMINFARMA 6 (10184)"</f>
        <v>AC FARMA - FLEMINFARMA 6 (10184)</v>
      </c>
      <c r="R4063" t="str">
        <f t="shared" si="1956"/>
        <v>RECEITAS COM ENTREGAS (303)</v>
      </c>
      <c r="S4063">
        <v>2105</v>
      </c>
      <c r="T4063">
        <v>1589</v>
      </c>
      <c r="U4063" t="s">
        <v>19</v>
      </c>
    </row>
    <row r="4064" spans="1:21">
      <c r="A4064" t="str">
        <f t="shared" si="1951"/>
        <v>24/07/2025</v>
      </c>
      <c r="B4064" t="str">
        <f t="shared" si="1957"/>
        <v>ENTRADA</v>
      </c>
      <c r="C4064" t="str">
        <f t="shared" si="1952"/>
        <v>NFSE</v>
      </c>
      <c r="D4064" t="str">
        <f>"3250"</f>
        <v>3250</v>
      </c>
      <c r="E4064" t="str">
        <f t="shared" si="1934"/>
        <v>COM</v>
      </c>
      <c r="F4064" t="str">
        <f>"BRASIL FARMA (10173)"</f>
        <v>BRASIL FARMA (10173)</v>
      </c>
      <c r="G4064" t="str">
        <f>"Serv.Prest. 14/07/2025 a 20/07/2025 - RPS: 1017 - NFSe: 3250"</f>
        <v>Serv.Prest. 14/07/2025 a 20/07/2025 - RPS: 1017 - NFSe: 3250</v>
      </c>
      <c r="H4064" t="str">
        <f t="shared" si="1937"/>
        <v>23/07/2025</v>
      </c>
      <c r="I4064" t="str">
        <f t="shared" ref="I4064:I4081" si="1958">("21/07/2025")</f>
        <v>21/07/2025</v>
      </c>
      <c r="J4064" t="str">
        <f t="shared" si="1954"/>
        <v>24/07/2025</v>
      </c>
      <c r="K4064">
        <v>320.95999999999998</v>
      </c>
      <c r="L4064">
        <v>320.95999999999998</v>
      </c>
      <c r="M4064">
        <v>303</v>
      </c>
      <c r="N4064" t="str">
        <f t="shared" si="1955"/>
        <v>RECEITAS COM ENTREGAS</v>
      </c>
      <c r="O4064">
        <v>320.95999999999998</v>
      </c>
      <c r="R4064" t="str">
        <f t="shared" si="1956"/>
        <v>RECEITAS COM ENTREGAS (303)</v>
      </c>
      <c r="S4064">
        <v>2106</v>
      </c>
      <c r="T4064">
        <v>1616</v>
      </c>
      <c r="U4064" t="s">
        <v>19</v>
      </c>
    </row>
    <row r="4065" spans="1:21">
      <c r="A4065" t="str">
        <f t="shared" si="1951"/>
        <v>24/07/2025</v>
      </c>
      <c r="B4065" t="str">
        <f t="shared" si="1957"/>
        <v>ENTRADA</v>
      </c>
      <c r="C4065" t="str">
        <f t="shared" si="1952"/>
        <v>NFSE</v>
      </c>
      <c r="D4065" t="str">
        <f>"3250"</f>
        <v>3250</v>
      </c>
      <c r="E4065" t="str">
        <f t="shared" si="1934"/>
        <v>COM</v>
      </c>
      <c r="F4065" t="str">
        <f>"BRASIL FARMA (10173)"</f>
        <v>BRASIL FARMA (10173)</v>
      </c>
      <c r="G4065" t="str">
        <f>"Serv.Prest. 14/07/2025 a 20/07/2025 - RPS: 1017 - NFSe: 3250"</f>
        <v>Serv.Prest. 14/07/2025 a 20/07/2025 - RPS: 1017 - NFSe: 3250</v>
      </c>
      <c r="H4065" t="str">
        <f t="shared" si="1937"/>
        <v>23/07/2025</v>
      </c>
      <c r="I4065" t="str">
        <f t="shared" si="1958"/>
        <v>21/07/2025</v>
      </c>
      <c r="J4065" t="str">
        <f t="shared" si="1954"/>
        <v>24/07/2025</v>
      </c>
      <c r="M4065">
        <v>303</v>
      </c>
      <c r="N4065" t="str">
        <f t="shared" si="1955"/>
        <v>RECEITAS COM ENTREGAS</v>
      </c>
      <c r="P4065">
        <v>320.95999999999998</v>
      </c>
      <c r="Q4065" t="str">
        <f>"BRASIL FARMA (10173)"</f>
        <v>BRASIL FARMA (10173)</v>
      </c>
      <c r="R4065" t="str">
        <f t="shared" si="1956"/>
        <v>RECEITAS COM ENTREGAS (303)</v>
      </c>
      <c r="S4065">
        <v>2106</v>
      </c>
      <c r="T4065">
        <v>1616</v>
      </c>
      <c r="U4065" t="s">
        <v>19</v>
      </c>
    </row>
    <row r="4066" spans="1:21">
      <c r="A4066" t="str">
        <f t="shared" si="1951"/>
        <v>24/07/2025</v>
      </c>
      <c r="B4066" t="str">
        <f t="shared" si="1957"/>
        <v>ENTRADA</v>
      </c>
      <c r="C4066" t="str">
        <f t="shared" si="1952"/>
        <v>NFSE</v>
      </c>
      <c r="D4066" t="str">
        <f>"3252"</f>
        <v>3252</v>
      </c>
      <c r="E4066" t="str">
        <f t="shared" si="1934"/>
        <v>COM</v>
      </c>
      <c r="F4066" t="str">
        <f>"DROGA ELIDA (10121)"</f>
        <v>DROGA ELIDA (10121)</v>
      </c>
      <c r="G4066" t="str">
        <f>"Serv.Prest. 14/07/2025 a 20/07/2025 - RPS: 1019 - NFSe: 3252"</f>
        <v>Serv.Prest. 14/07/2025 a 20/07/2025 - RPS: 1019 - NFSe: 3252</v>
      </c>
      <c r="H4066" t="str">
        <f t="shared" si="1937"/>
        <v>23/07/2025</v>
      </c>
      <c r="I4066" t="str">
        <f t="shared" si="1958"/>
        <v>21/07/2025</v>
      </c>
      <c r="J4066" t="str">
        <f t="shared" si="1954"/>
        <v>24/07/2025</v>
      </c>
      <c r="K4066">
        <v>350.4</v>
      </c>
      <c r="L4066">
        <v>350.4</v>
      </c>
      <c r="M4066">
        <v>303</v>
      </c>
      <c r="N4066" t="str">
        <f t="shared" si="1955"/>
        <v>RECEITAS COM ENTREGAS</v>
      </c>
      <c r="O4066">
        <v>350.4</v>
      </c>
      <c r="R4066" t="str">
        <f t="shared" si="1956"/>
        <v>RECEITAS COM ENTREGAS (303)</v>
      </c>
      <c r="S4066">
        <v>2107</v>
      </c>
      <c r="T4066">
        <v>1618</v>
      </c>
      <c r="U4066" t="s">
        <v>19</v>
      </c>
    </row>
    <row r="4067" spans="1:21">
      <c r="A4067" t="str">
        <f t="shared" si="1951"/>
        <v>24/07/2025</v>
      </c>
      <c r="B4067" t="str">
        <f t="shared" si="1957"/>
        <v>ENTRADA</v>
      </c>
      <c r="C4067" t="str">
        <f t="shared" si="1952"/>
        <v>NFSE</v>
      </c>
      <c r="D4067" t="str">
        <f>"3252"</f>
        <v>3252</v>
      </c>
      <c r="E4067" t="str">
        <f t="shared" si="1934"/>
        <v>COM</v>
      </c>
      <c r="F4067" t="str">
        <f>"DROGA ELIDA (10121)"</f>
        <v>DROGA ELIDA (10121)</v>
      </c>
      <c r="G4067" t="str">
        <f>"Serv.Prest. 14/07/2025 a 20/07/2025 - RPS: 1019 - NFSe: 3252"</f>
        <v>Serv.Prest. 14/07/2025 a 20/07/2025 - RPS: 1019 - NFSe: 3252</v>
      </c>
      <c r="H4067" t="str">
        <f t="shared" si="1937"/>
        <v>23/07/2025</v>
      </c>
      <c r="I4067" t="str">
        <f t="shared" si="1958"/>
        <v>21/07/2025</v>
      </c>
      <c r="J4067" t="str">
        <f t="shared" si="1954"/>
        <v>24/07/2025</v>
      </c>
      <c r="M4067">
        <v>303</v>
      </c>
      <c r="N4067" t="str">
        <f t="shared" si="1955"/>
        <v>RECEITAS COM ENTREGAS</v>
      </c>
      <c r="P4067">
        <v>350.4</v>
      </c>
      <c r="Q4067" t="str">
        <f>"DROGA ELIDA (10121)"</f>
        <v>DROGA ELIDA (10121)</v>
      </c>
      <c r="R4067" t="str">
        <f t="shared" si="1956"/>
        <v>RECEITAS COM ENTREGAS (303)</v>
      </c>
      <c r="S4067">
        <v>2107</v>
      </c>
      <c r="T4067">
        <v>1618</v>
      </c>
      <c r="U4067" t="s">
        <v>19</v>
      </c>
    </row>
    <row r="4068" spans="1:21">
      <c r="A4068" t="str">
        <f t="shared" si="1951"/>
        <v>24/07/2025</v>
      </c>
      <c r="B4068" t="str">
        <f t="shared" si="1957"/>
        <v>ENTRADA</v>
      </c>
      <c r="C4068" t="str">
        <f t="shared" si="1952"/>
        <v>NFSE</v>
      </c>
      <c r="D4068" t="str">
        <f>"3255"</f>
        <v>3255</v>
      </c>
      <c r="E4068" t="str">
        <f t="shared" si="1934"/>
        <v>COM</v>
      </c>
      <c r="F4068" t="str">
        <f>"DROGARIA MORENO LTDA (10171)"</f>
        <v>DROGARIA MORENO LTDA (10171)</v>
      </c>
      <c r="G4068" t="str">
        <f>"Serv.Prest. 14/07/2025 a 20/07/2025 - RPS: 1022 - NFSe: 3255"</f>
        <v>Serv.Prest. 14/07/2025 a 20/07/2025 - RPS: 1022 - NFSe: 3255</v>
      </c>
      <c r="H4068" t="str">
        <f t="shared" ref="H4068:H4083" si="1959">("23/07/2025")</f>
        <v>23/07/2025</v>
      </c>
      <c r="I4068" t="str">
        <f t="shared" si="1958"/>
        <v>21/07/2025</v>
      </c>
      <c r="J4068" t="str">
        <f t="shared" si="1954"/>
        <v>24/07/2025</v>
      </c>
      <c r="K4068">
        <v>392.4</v>
      </c>
      <c r="L4068">
        <v>392.4</v>
      </c>
      <c r="M4068">
        <v>303</v>
      </c>
      <c r="N4068" t="str">
        <f t="shared" si="1955"/>
        <v>RECEITAS COM ENTREGAS</v>
      </c>
      <c r="O4068">
        <v>392.4</v>
      </c>
      <c r="R4068" t="str">
        <f t="shared" si="1956"/>
        <v>RECEITAS COM ENTREGAS (303)</v>
      </c>
      <c r="S4068">
        <v>2108</v>
      </c>
      <c r="T4068">
        <v>1621</v>
      </c>
      <c r="U4068" t="s">
        <v>19</v>
      </c>
    </row>
    <row r="4069" spans="1:21">
      <c r="A4069" t="str">
        <f t="shared" si="1951"/>
        <v>24/07/2025</v>
      </c>
      <c r="B4069" t="str">
        <f t="shared" si="1957"/>
        <v>ENTRADA</v>
      </c>
      <c r="C4069" t="str">
        <f t="shared" si="1952"/>
        <v>NFSE</v>
      </c>
      <c r="D4069" t="str">
        <f>"3255"</f>
        <v>3255</v>
      </c>
      <c r="E4069" t="str">
        <f t="shared" si="1934"/>
        <v>COM</v>
      </c>
      <c r="F4069" t="str">
        <f>"DROGARIA MORENO LTDA (10171)"</f>
        <v>DROGARIA MORENO LTDA (10171)</v>
      </c>
      <c r="G4069" t="str">
        <f>"Serv.Prest. 14/07/2025 a 20/07/2025 - RPS: 1022 - NFSe: 3255"</f>
        <v>Serv.Prest. 14/07/2025 a 20/07/2025 - RPS: 1022 - NFSe: 3255</v>
      </c>
      <c r="H4069" t="str">
        <f t="shared" si="1959"/>
        <v>23/07/2025</v>
      </c>
      <c r="I4069" t="str">
        <f t="shared" si="1958"/>
        <v>21/07/2025</v>
      </c>
      <c r="J4069" t="str">
        <f t="shared" si="1954"/>
        <v>24/07/2025</v>
      </c>
      <c r="M4069">
        <v>303</v>
      </c>
      <c r="N4069" t="str">
        <f t="shared" si="1955"/>
        <v>RECEITAS COM ENTREGAS</v>
      </c>
      <c r="P4069">
        <v>392.4</v>
      </c>
      <c r="Q4069" t="str">
        <f>"DROGARIA MORENO LTDA (10171)"</f>
        <v>DROGARIA MORENO LTDA (10171)</v>
      </c>
      <c r="R4069" t="str">
        <f t="shared" si="1956"/>
        <v>RECEITAS COM ENTREGAS (303)</v>
      </c>
      <c r="S4069">
        <v>2108</v>
      </c>
      <c r="T4069">
        <v>1621</v>
      </c>
      <c r="U4069" t="s">
        <v>19</v>
      </c>
    </row>
    <row r="4070" spans="1:21">
      <c r="A4070" t="str">
        <f t="shared" si="1951"/>
        <v>24/07/2025</v>
      </c>
      <c r="B4070" t="str">
        <f t="shared" si="1957"/>
        <v>ENTRADA</v>
      </c>
      <c r="C4070" t="str">
        <f t="shared" si="1952"/>
        <v>NFSE</v>
      </c>
      <c r="D4070" t="str">
        <f>"3256"</f>
        <v>3256</v>
      </c>
      <c r="E4070" t="str">
        <f t="shared" si="1934"/>
        <v>COM</v>
      </c>
      <c r="F4070" t="str">
        <f>"DROGARIA TOTAL JUNDIAI (10177)"</f>
        <v>DROGARIA TOTAL JUNDIAI (10177)</v>
      </c>
      <c r="G4070" t="str">
        <f>"Serv.Prest. 14/07/2025 a 20/07/2025 - RPS: 1023 - NFSe: 3256"</f>
        <v>Serv.Prest. 14/07/2025 a 20/07/2025 - RPS: 1023 - NFSe: 3256</v>
      </c>
      <c r="H4070" t="str">
        <f t="shared" si="1959"/>
        <v>23/07/2025</v>
      </c>
      <c r="I4070" t="str">
        <f t="shared" si="1958"/>
        <v>21/07/2025</v>
      </c>
      <c r="J4070" t="str">
        <f t="shared" si="1954"/>
        <v>24/07/2025</v>
      </c>
      <c r="K4070">
        <v>50.13</v>
      </c>
      <c r="L4070">
        <v>50.13</v>
      </c>
      <c r="M4070">
        <v>303</v>
      </c>
      <c r="N4070" t="str">
        <f t="shared" si="1955"/>
        <v>RECEITAS COM ENTREGAS</v>
      </c>
      <c r="O4070">
        <v>50.13</v>
      </c>
      <c r="R4070" t="str">
        <f t="shared" si="1956"/>
        <v>RECEITAS COM ENTREGAS (303)</v>
      </c>
      <c r="S4070">
        <v>2109</v>
      </c>
      <c r="T4070">
        <v>1622</v>
      </c>
      <c r="U4070" t="s">
        <v>19</v>
      </c>
    </row>
    <row r="4071" spans="1:21">
      <c r="A4071" t="str">
        <f t="shared" si="1951"/>
        <v>24/07/2025</v>
      </c>
      <c r="B4071" t="str">
        <f t="shared" si="1957"/>
        <v>ENTRADA</v>
      </c>
      <c r="C4071" t="str">
        <f t="shared" si="1952"/>
        <v>NFSE</v>
      </c>
      <c r="D4071" t="str">
        <f>"3256"</f>
        <v>3256</v>
      </c>
      <c r="E4071" t="str">
        <f t="shared" si="1934"/>
        <v>COM</v>
      </c>
      <c r="F4071" t="str">
        <f>"DROGARIA TOTAL JUNDIAI (10177)"</f>
        <v>DROGARIA TOTAL JUNDIAI (10177)</v>
      </c>
      <c r="G4071" t="str">
        <f>"Serv.Prest. 14/07/2025 a 20/07/2025 - RPS: 1023 - NFSe: 3256"</f>
        <v>Serv.Prest. 14/07/2025 a 20/07/2025 - RPS: 1023 - NFSe: 3256</v>
      </c>
      <c r="H4071" t="str">
        <f t="shared" si="1959"/>
        <v>23/07/2025</v>
      </c>
      <c r="I4071" t="str">
        <f t="shared" si="1958"/>
        <v>21/07/2025</v>
      </c>
      <c r="J4071" t="str">
        <f t="shared" si="1954"/>
        <v>24/07/2025</v>
      </c>
      <c r="M4071">
        <v>303</v>
      </c>
      <c r="N4071" t="str">
        <f t="shared" si="1955"/>
        <v>RECEITAS COM ENTREGAS</v>
      </c>
      <c r="P4071">
        <v>50.13</v>
      </c>
      <c r="Q4071" t="str">
        <f>"DROGARIA TOTAL JUNDIAI (10177)"</f>
        <v>DROGARIA TOTAL JUNDIAI (10177)</v>
      </c>
      <c r="R4071" t="str">
        <f t="shared" si="1956"/>
        <v>RECEITAS COM ENTREGAS (303)</v>
      </c>
      <c r="S4071">
        <v>2109</v>
      </c>
      <c r="T4071">
        <v>1622</v>
      </c>
      <c r="U4071" t="s">
        <v>19</v>
      </c>
    </row>
    <row r="4072" spans="1:21">
      <c r="A4072" t="str">
        <f t="shared" si="1951"/>
        <v>24/07/2025</v>
      </c>
      <c r="B4072" t="str">
        <f t="shared" si="1957"/>
        <v>ENTRADA</v>
      </c>
      <c r="C4072" t="str">
        <f t="shared" si="1952"/>
        <v>NFSE</v>
      </c>
      <c r="D4072" t="str">
        <f>"3258"</f>
        <v>3258</v>
      </c>
      <c r="E4072" t="str">
        <f t="shared" si="1934"/>
        <v>COM</v>
      </c>
      <c r="F4072" t="str">
        <f>"ROSA MARIA LTDA (10165)"</f>
        <v>ROSA MARIA LTDA (10165)</v>
      </c>
      <c r="G4072" t="str">
        <f>"Serv.Prest. 14/07/2025 a 20/07/2025 - RPS: 1025 - NFSe: 3258"</f>
        <v>Serv.Prest. 14/07/2025 a 20/07/2025 - RPS: 1025 - NFSe: 3258</v>
      </c>
      <c r="H4072" t="str">
        <f t="shared" si="1959"/>
        <v>23/07/2025</v>
      </c>
      <c r="I4072" t="str">
        <f t="shared" si="1958"/>
        <v>21/07/2025</v>
      </c>
      <c r="J4072" t="str">
        <f t="shared" si="1954"/>
        <v>24/07/2025</v>
      </c>
      <c r="K4072">
        <v>297.83999999999997</v>
      </c>
      <c r="L4072">
        <v>297.83999999999997</v>
      </c>
      <c r="M4072">
        <v>303</v>
      </c>
      <c r="N4072" t="str">
        <f t="shared" si="1955"/>
        <v>RECEITAS COM ENTREGAS</v>
      </c>
      <c r="O4072">
        <v>297.83999999999997</v>
      </c>
      <c r="R4072" t="str">
        <f t="shared" si="1956"/>
        <v>RECEITAS COM ENTREGAS (303)</v>
      </c>
      <c r="S4072">
        <v>2110</v>
      </c>
      <c r="T4072">
        <v>1624</v>
      </c>
      <c r="U4072" t="s">
        <v>19</v>
      </c>
    </row>
    <row r="4073" spans="1:21">
      <c r="A4073" t="str">
        <f t="shared" si="1951"/>
        <v>24/07/2025</v>
      </c>
      <c r="B4073" t="str">
        <f t="shared" si="1957"/>
        <v>ENTRADA</v>
      </c>
      <c r="C4073" t="str">
        <f t="shared" si="1952"/>
        <v>NFSE</v>
      </c>
      <c r="D4073" t="str">
        <f>"3258"</f>
        <v>3258</v>
      </c>
      <c r="E4073" t="str">
        <f t="shared" si="1934"/>
        <v>COM</v>
      </c>
      <c r="F4073" t="str">
        <f>"ROSA MARIA LTDA (10165)"</f>
        <v>ROSA MARIA LTDA (10165)</v>
      </c>
      <c r="G4073" t="str">
        <f>"Serv.Prest. 14/07/2025 a 20/07/2025 - RPS: 1025 - NFSe: 3258"</f>
        <v>Serv.Prest. 14/07/2025 a 20/07/2025 - RPS: 1025 - NFSe: 3258</v>
      </c>
      <c r="H4073" t="str">
        <f t="shared" si="1959"/>
        <v>23/07/2025</v>
      </c>
      <c r="I4073" t="str">
        <f t="shared" si="1958"/>
        <v>21/07/2025</v>
      </c>
      <c r="J4073" t="str">
        <f t="shared" si="1954"/>
        <v>24/07/2025</v>
      </c>
      <c r="M4073">
        <v>303</v>
      </c>
      <c r="N4073" t="str">
        <f t="shared" si="1955"/>
        <v>RECEITAS COM ENTREGAS</v>
      </c>
      <c r="P4073">
        <v>297.83999999999997</v>
      </c>
      <c r="Q4073" t="str">
        <f>"ROSA MARIA LTDA (10170)"</f>
        <v>ROSA MARIA LTDA (10170)</v>
      </c>
      <c r="R4073" t="str">
        <f t="shared" si="1956"/>
        <v>RECEITAS COM ENTREGAS (303)</v>
      </c>
      <c r="S4073">
        <v>2110</v>
      </c>
      <c r="T4073">
        <v>1624</v>
      </c>
      <c r="U4073" t="s">
        <v>19</v>
      </c>
    </row>
    <row r="4074" spans="1:21">
      <c r="A4074" t="str">
        <f t="shared" si="1951"/>
        <v>24/07/2025</v>
      </c>
      <c r="B4074" t="str">
        <f t="shared" si="1957"/>
        <v>ENTRADA</v>
      </c>
      <c r="C4074" t="str">
        <f t="shared" si="1952"/>
        <v>NFSE</v>
      </c>
      <c r="D4074" t="str">
        <f>"3259"</f>
        <v>3259</v>
      </c>
      <c r="E4074" t="str">
        <f t="shared" si="1934"/>
        <v>COM</v>
      </c>
      <c r="F4074" t="str">
        <f>"FRAN FARMA (10124)"</f>
        <v>FRAN FARMA (10124)</v>
      </c>
      <c r="G4074" t="str">
        <f>"Serv.Prest. 14/07/2025 a 20/07/2025 - RPS: 1026 - NFSe: 3259"</f>
        <v>Serv.Prest. 14/07/2025 a 20/07/2025 - RPS: 1026 - NFSe: 3259</v>
      </c>
      <c r="H4074" t="str">
        <f t="shared" si="1959"/>
        <v>23/07/2025</v>
      </c>
      <c r="I4074" t="str">
        <f t="shared" si="1958"/>
        <v>21/07/2025</v>
      </c>
      <c r="J4074" t="str">
        <f t="shared" si="1954"/>
        <v>24/07/2025</v>
      </c>
      <c r="K4074">
        <v>320</v>
      </c>
      <c r="L4074">
        <v>320</v>
      </c>
      <c r="M4074">
        <v>303</v>
      </c>
      <c r="N4074" t="str">
        <f t="shared" si="1955"/>
        <v>RECEITAS COM ENTREGAS</v>
      </c>
      <c r="O4074">
        <v>320</v>
      </c>
      <c r="R4074" t="str">
        <f t="shared" si="1956"/>
        <v>RECEITAS COM ENTREGAS (303)</v>
      </c>
      <c r="S4074">
        <v>2111</v>
      </c>
      <c r="T4074">
        <v>1625</v>
      </c>
      <c r="U4074" t="s">
        <v>19</v>
      </c>
    </row>
    <row r="4075" spans="1:21">
      <c r="A4075" t="str">
        <f t="shared" si="1951"/>
        <v>24/07/2025</v>
      </c>
      <c r="B4075" t="str">
        <f t="shared" si="1957"/>
        <v>ENTRADA</v>
      </c>
      <c r="C4075" t="str">
        <f t="shared" si="1952"/>
        <v>NFSE</v>
      </c>
      <c r="D4075" t="str">
        <f>"3259"</f>
        <v>3259</v>
      </c>
      <c r="E4075" t="str">
        <f t="shared" si="1934"/>
        <v>COM</v>
      </c>
      <c r="F4075" t="str">
        <f>"FRAN FARMA (10124)"</f>
        <v>FRAN FARMA (10124)</v>
      </c>
      <c r="G4075" t="str">
        <f>"Serv.Prest. 14/07/2025 a 20/07/2025 - RPS: 1026 - NFSe: 3259"</f>
        <v>Serv.Prest. 14/07/2025 a 20/07/2025 - RPS: 1026 - NFSe: 3259</v>
      </c>
      <c r="H4075" t="str">
        <f t="shared" si="1959"/>
        <v>23/07/2025</v>
      </c>
      <c r="I4075" t="str">
        <f t="shared" si="1958"/>
        <v>21/07/2025</v>
      </c>
      <c r="J4075" t="str">
        <f t="shared" si="1954"/>
        <v>24/07/2025</v>
      </c>
      <c r="M4075">
        <v>303</v>
      </c>
      <c r="N4075" t="str">
        <f t="shared" si="1955"/>
        <v>RECEITAS COM ENTREGAS</v>
      </c>
      <c r="P4075">
        <v>64</v>
      </c>
      <c r="Q4075" t="str">
        <f>"FRAN FARMA (10124)"</f>
        <v>FRAN FARMA (10124)</v>
      </c>
      <c r="R4075" t="str">
        <f t="shared" si="1956"/>
        <v>RECEITAS COM ENTREGAS (303)</v>
      </c>
      <c r="S4075">
        <v>2111</v>
      </c>
      <c r="T4075">
        <v>1625</v>
      </c>
      <c r="U4075" t="s">
        <v>19</v>
      </c>
    </row>
    <row r="4076" spans="1:21">
      <c r="A4076" t="str">
        <f t="shared" si="1951"/>
        <v>24/07/2025</v>
      </c>
      <c r="B4076" t="str">
        <f t="shared" si="1957"/>
        <v>ENTRADA</v>
      </c>
      <c r="C4076" t="str">
        <f t="shared" si="1952"/>
        <v>NFSE</v>
      </c>
      <c r="D4076" t="str">
        <f>"3259"</f>
        <v>3259</v>
      </c>
      <c r="E4076" t="str">
        <f t="shared" si="1934"/>
        <v>COM</v>
      </c>
      <c r="F4076" t="str">
        <f>"FRAN FARMA (10124)"</f>
        <v>FRAN FARMA (10124)</v>
      </c>
      <c r="G4076" t="str">
        <f>"Serv.Prest. 14/07/2025 a 20/07/2025 - RPS: 1026 - NFSe: 3259"</f>
        <v>Serv.Prest. 14/07/2025 a 20/07/2025 - RPS: 1026 - NFSe: 3259</v>
      </c>
      <c r="H4076" t="str">
        <f t="shared" si="1959"/>
        <v>23/07/2025</v>
      </c>
      <c r="I4076" t="str">
        <f t="shared" si="1958"/>
        <v>21/07/2025</v>
      </c>
      <c r="J4076" t="str">
        <f t="shared" si="1954"/>
        <v>24/07/2025</v>
      </c>
      <c r="M4076">
        <v>303</v>
      </c>
      <c r="N4076" t="str">
        <f t="shared" si="1955"/>
        <v>RECEITAS COM ENTREGAS</v>
      </c>
      <c r="P4076">
        <v>192</v>
      </c>
      <c r="Q4076" t="str">
        <f>"FRAN FARMA LJ 2 (10131)"</f>
        <v>FRAN FARMA LJ 2 (10131)</v>
      </c>
      <c r="R4076" t="str">
        <f t="shared" si="1956"/>
        <v>RECEITAS COM ENTREGAS (303)</v>
      </c>
      <c r="S4076">
        <v>2111</v>
      </c>
      <c r="T4076">
        <v>1625</v>
      </c>
      <c r="U4076" t="s">
        <v>19</v>
      </c>
    </row>
    <row r="4077" spans="1:21">
      <c r="A4077" t="str">
        <f t="shared" si="1951"/>
        <v>24/07/2025</v>
      </c>
      <c r="B4077" t="str">
        <f t="shared" si="1957"/>
        <v>ENTRADA</v>
      </c>
      <c r="C4077" t="str">
        <f t="shared" si="1952"/>
        <v>NFSE</v>
      </c>
      <c r="D4077" t="str">
        <f>"3259"</f>
        <v>3259</v>
      </c>
      <c r="E4077" t="str">
        <f t="shared" si="1934"/>
        <v>COM</v>
      </c>
      <c r="F4077" t="str">
        <f>"FRAN FARMA (10124)"</f>
        <v>FRAN FARMA (10124)</v>
      </c>
      <c r="G4077" t="str">
        <f>"Serv.Prest. 14/07/2025 a 20/07/2025 - RPS: 1026 - NFSe: 3259"</f>
        <v>Serv.Prest. 14/07/2025 a 20/07/2025 - RPS: 1026 - NFSe: 3259</v>
      </c>
      <c r="H4077" t="str">
        <f t="shared" si="1959"/>
        <v>23/07/2025</v>
      </c>
      <c r="I4077" t="str">
        <f t="shared" si="1958"/>
        <v>21/07/2025</v>
      </c>
      <c r="J4077" t="str">
        <f t="shared" si="1954"/>
        <v>24/07/2025</v>
      </c>
      <c r="M4077">
        <v>303</v>
      </c>
      <c r="N4077" t="str">
        <f t="shared" si="1955"/>
        <v>RECEITAS COM ENTREGAS</v>
      </c>
      <c r="P4077">
        <v>64</v>
      </c>
      <c r="Q4077" t="str">
        <f>"FRAN FARMA LJ 3 (10132)"</f>
        <v>FRAN FARMA LJ 3 (10132)</v>
      </c>
      <c r="R4077" t="str">
        <f t="shared" si="1956"/>
        <v>RECEITAS COM ENTREGAS (303)</v>
      </c>
      <c r="S4077">
        <v>2111</v>
      </c>
      <c r="T4077">
        <v>1625</v>
      </c>
      <c r="U4077" t="s">
        <v>19</v>
      </c>
    </row>
    <row r="4078" spans="1:21">
      <c r="A4078" t="str">
        <f t="shared" si="1951"/>
        <v>24/07/2025</v>
      </c>
      <c r="B4078" t="str">
        <f t="shared" si="1957"/>
        <v>ENTRADA</v>
      </c>
      <c r="C4078" t="str">
        <f t="shared" si="1952"/>
        <v>NFSE</v>
      </c>
      <c r="D4078" t="str">
        <f>"3262"</f>
        <v>3262</v>
      </c>
      <c r="E4078" t="str">
        <f t="shared" si="1934"/>
        <v>COM</v>
      </c>
      <c r="F4078" t="str">
        <f>"DROGA MONICA LJ 3 (10152)"</f>
        <v>DROGA MONICA LJ 3 (10152)</v>
      </c>
      <c r="G4078" t="str">
        <f>"Serv.Prest. 14/07/2025 a 20/07/2025 - RPS: 1029 - NFSe: 3262"</f>
        <v>Serv.Prest. 14/07/2025 a 20/07/2025 - RPS: 1029 - NFSe: 3262</v>
      </c>
      <c r="H4078" t="str">
        <f t="shared" si="1959"/>
        <v>23/07/2025</v>
      </c>
      <c r="I4078" t="str">
        <f t="shared" si="1958"/>
        <v>21/07/2025</v>
      </c>
      <c r="J4078" t="str">
        <f t="shared" si="1954"/>
        <v>24/07/2025</v>
      </c>
      <c r="K4078">
        <v>206.4</v>
      </c>
      <c r="L4078">
        <v>206.4</v>
      </c>
      <c r="M4078">
        <v>303</v>
      </c>
      <c r="N4078" t="str">
        <f t="shared" si="1955"/>
        <v>RECEITAS COM ENTREGAS</v>
      </c>
      <c r="O4078">
        <v>206.4</v>
      </c>
      <c r="R4078" t="str">
        <f t="shared" si="1956"/>
        <v>RECEITAS COM ENTREGAS (303)</v>
      </c>
      <c r="S4078">
        <v>2112</v>
      </c>
      <c r="T4078">
        <v>1628</v>
      </c>
      <c r="U4078" t="s">
        <v>19</v>
      </c>
    </row>
    <row r="4079" spans="1:21">
      <c r="A4079" t="str">
        <f t="shared" si="1951"/>
        <v>24/07/2025</v>
      </c>
      <c r="B4079" t="str">
        <f t="shared" si="1957"/>
        <v>ENTRADA</v>
      </c>
      <c r="C4079" t="str">
        <f t="shared" si="1952"/>
        <v>NFSE</v>
      </c>
      <c r="D4079" t="str">
        <f>"3262"</f>
        <v>3262</v>
      </c>
      <c r="E4079" t="str">
        <f t="shared" ref="E4079:E4142" si="1960">"COM"</f>
        <v>COM</v>
      </c>
      <c r="F4079" t="str">
        <f>"DROGA MONICA LJ 3 (10152)"</f>
        <v>DROGA MONICA LJ 3 (10152)</v>
      </c>
      <c r="G4079" t="str">
        <f>"Serv.Prest. 14/07/2025 a 20/07/2025 - RPS: 1029 - NFSe: 3262"</f>
        <v>Serv.Prest. 14/07/2025 a 20/07/2025 - RPS: 1029 - NFSe: 3262</v>
      </c>
      <c r="H4079" t="str">
        <f t="shared" si="1959"/>
        <v>23/07/2025</v>
      </c>
      <c r="I4079" t="str">
        <f t="shared" si="1958"/>
        <v>21/07/2025</v>
      </c>
      <c r="J4079" t="str">
        <f t="shared" si="1954"/>
        <v>24/07/2025</v>
      </c>
      <c r="M4079">
        <v>303</v>
      </c>
      <c r="N4079" t="str">
        <f t="shared" si="1955"/>
        <v>RECEITAS COM ENTREGAS</v>
      </c>
      <c r="P4079">
        <v>206.4</v>
      </c>
      <c r="Q4079" t="str">
        <f>"DROGA MONICA LJ 3 (10152)"</f>
        <v>DROGA MONICA LJ 3 (10152)</v>
      </c>
      <c r="R4079" t="str">
        <f t="shared" si="1956"/>
        <v>RECEITAS COM ENTREGAS (303)</v>
      </c>
      <c r="S4079">
        <v>2112</v>
      </c>
      <c r="T4079">
        <v>1628</v>
      </c>
      <c r="U4079" t="s">
        <v>19</v>
      </c>
    </row>
    <row r="4080" spans="1:21">
      <c r="A4080" t="str">
        <f t="shared" si="1951"/>
        <v>24/07/2025</v>
      </c>
      <c r="B4080" t="str">
        <f t="shared" si="1957"/>
        <v>ENTRADA</v>
      </c>
      <c r="C4080" t="str">
        <f t="shared" si="1952"/>
        <v>NFSE</v>
      </c>
      <c r="D4080" t="str">
        <f>"3264"</f>
        <v>3264</v>
      </c>
      <c r="E4080" t="str">
        <f t="shared" si="1960"/>
        <v>COM</v>
      </c>
      <c r="F4080" t="str">
        <f>"DROGARIA ANA VISCONDE DO RIO BRANCO (10182)"</f>
        <v>DROGARIA ANA VISCONDE DO RIO BRANCO (10182)</v>
      </c>
      <c r="G4080" t="str">
        <f>"Serv.Prest. 14/07/2025 a 20/07/2025 - RPS: 1031 - NFSe: 3264"</f>
        <v>Serv.Prest. 14/07/2025 a 20/07/2025 - RPS: 1031 - NFSe: 3264</v>
      </c>
      <c r="H4080" t="str">
        <f t="shared" si="1959"/>
        <v>23/07/2025</v>
      </c>
      <c r="I4080" t="str">
        <f t="shared" si="1958"/>
        <v>21/07/2025</v>
      </c>
      <c r="J4080" t="str">
        <f t="shared" si="1954"/>
        <v>24/07/2025</v>
      </c>
      <c r="K4080">
        <v>792.45</v>
      </c>
      <c r="L4080">
        <v>792.45</v>
      </c>
      <c r="M4080">
        <v>303</v>
      </c>
      <c r="N4080" t="str">
        <f t="shared" si="1955"/>
        <v>RECEITAS COM ENTREGAS</v>
      </c>
      <c r="O4080">
        <v>792.45</v>
      </c>
      <c r="R4080" t="str">
        <f t="shared" si="1956"/>
        <v>RECEITAS COM ENTREGAS (303)</v>
      </c>
      <c r="S4080">
        <v>2113</v>
      </c>
      <c r="T4080">
        <v>1630</v>
      </c>
      <c r="U4080" t="s">
        <v>19</v>
      </c>
    </row>
    <row r="4081" spans="1:21">
      <c r="A4081" t="str">
        <f t="shared" si="1951"/>
        <v>24/07/2025</v>
      </c>
      <c r="B4081" t="str">
        <f t="shared" si="1957"/>
        <v>ENTRADA</v>
      </c>
      <c r="C4081" t="str">
        <f t="shared" si="1952"/>
        <v>NFSE</v>
      </c>
      <c r="D4081" t="str">
        <f>"3264"</f>
        <v>3264</v>
      </c>
      <c r="E4081" t="str">
        <f t="shared" si="1960"/>
        <v>COM</v>
      </c>
      <c r="F4081" t="str">
        <f>"DROGARIA ANA VISCONDE DO RIO BRANCO (10182)"</f>
        <v>DROGARIA ANA VISCONDE DO RIO BRANCO (10182)</v>
      </c>
      <c r="G4081" t="str">
        <f>"Serv.Prest. 14/07/2025 a 20/07/2025 - RPS: 1031 - NFSe: 3264"</f>
        <v>Serv.Prest. 14/07/2025 a 20/07/2025 - RPS: 1031 - NFSe: 3264</v>
      </c>
      <c r="H4081" t="str">
        <f t="shared" si="1959"/>
        <v>23/07/2025</v>
      </c>
      <c r="I4081" t="str">
        <f t="shared" si="1958"/>
        <v>21/07/2025</v>
      </c>
      <c r="J4081" t="str">
        <f t="shared" si="1954"/>
        <v>24/07/2025</v>
      </c>
      <c r="M4081">
        <v>303</v>
      </c>
      <c r="N4081" t="str">
        <f t="shared" si="1955"/>
        <v>RECEITAS COM ENTREGAS</v>
      </c>
      <c r="P4081">
        <v>792.45</v>
      </c>
      <c r="Q4081" t="str">
        <f>"DROGARIA ANA VISCONDE DO RIO BRANCO (10182)"</f>
        <v>DROGARIA ANA VISCONDE DO RIO BRANCO (10182)</v>
      </c>
      <c r="R4081" t="str">
        <f t="shared" si="1956"/>
        <v>RECEITAS COM ENTREGAS (303)</v>
      </c>
      <c r="S4081">
        <v>2113</v>
      </c>
      <c r="T4081">
        <v>1630</v>
      </c>
      <c r="U4081" t="s">
        <v>19</v>
      </c>
    </row>
    <row r="4082" spans="1:21">
      <c r="A4082" t="str">
        <f t="shared" si="1951"/>
        <v>24/07/2025</v>
      </c>
      <c r="B4082" t="str">
        <f t="shared" si="1957"/>
        <v>ENTRADA</v>
      </c>
      <c r="C4082" t="str">
        <f t="shared" si="1952"/>
        <v>NFSE</v>
      </c>
      <c r="D4082" t="str">
        <f>"3266"</f>
        <v>3266</v>
      </c>
      <c r="E4082" t="str">
        <f t="shared" si="1960"/>
        <v>COM</v>
      </c>
      <c r="F4082" t="str">
        <f>"JAL FARMACIA E DROGARIA LJ 1 (10137)"</f>
        <v>JAL FARMACIA E DROGARIA LJ 1 (10137)</v>
      </c>
      <c r="G4082" t="str">
        <f>"Serv.Prest. 14/07/2025 a 20/07/2025 - RPS: 1033 - NFSe: 3266"</f>
        <v>Serv.Prest. 14/07/2025 a 20/07/2025 - RPS: 1033 - NFSe: 3266</v>
      </c>
      <c r="H4082" t="str">
        <f t="shared" si="1959"/>
        <v>23/07/2025</v>
      </c>
      <c r="I4082" t="str">
        <f>("22/07/2025")</f>
        <v>22/07/2025</v>
      </c>
      <c r="J4082" t="str">
        <f t="shared" si="1954"/>
        <v>24/07/2025</v>
      </c>
      <c r="K4082">
        <v>420.8</v>
      </c>
      <c r="L4082">
        <v>420.8</v>
      </c>
      <c r="M4082">
        <v>303</v>
      </c>
      <c r="N4082" t="str">
        <f t="shared" si="1955"/>
        <v>RECEITAS COM ENTREGAS</v>
      </c>
      <c r="O4082">
        <v>420.8</v>
      </c>
      <c r="R4082" t="str">
        <f t="shared" si="1956"/>
        <v>RECEITAS COM ENTREGAS (303)</v>
      </c>
      <c r="S4082">
        <v>2114</v>
      </c>
      <c r="T4082">
        <v>1632</v>
      </c>
      <c r="U4082" t="s">
        <v>19</v>
      </c>
    </row>
    <row r="4083" spans="1:21">
      <c r="A4083" t="str">
        <f t="shared" si="1951"/>
        <v>24/07/2025</v>
      </c>
      <c r="B4083" t="str">
        <f t="shared" si="1957"/>
        <v>ENTRADA</v>
      </c>
      <c r="C4083" t="str">
        <f t="shared" si="1952"/>
        <v>NFSE</v>
      </c>
      <c r="D4083" t="str">
        <f>"3266"</f>
        <v>3266</v>
      </c>
      <c r="E4083" t="str">
        <f t="shared" si="1960"/>
        <v>COM</v>
      </c>
      <c r="F4083" t="str">
        <f>"JAL FARMACIA E DROGARIA LJ 1 (10137)"</f>
        <v>JAL FARMACIA E DROGARIA LJ 1 (10137)</v>
      </c>
      <c r="G4083" t="str">
        <f>"Serv.Prest. 14/07/2025 a 20/07/2025 - RPS: 1033 - NFSe: 3266"</f>
        <v>Serv.Prest. 14/07/2025 a 20/07/2025 - RPS: 1033 - NFSe: 3266</v>
      </c>
      <c r="H4083" t="str">
        <f t="shared" si="1959"/>
        <v>23/07/2025</v>
      </c>
      <c r="I4083" t="str">
        <f>("22/07/2025")</f>
        <v>22/07/2025</v>
      </c>
      <c r="J4083" t="str">
        <f t="shared" si="1954"/>
        <v>24/07/2025</v>
      </c>
      <c r="M4083">
        <v>303</v>
      </c>
      <c r="N4083" t="str">
        <f t="shared" si="1955"/>
        <v>RECEITAS COM ENTREGAS</v>
      </c>
      <c r="P4083">
        <v>420.8</v>
      </c>
      <c r="Q4083" t="str">
        <f>"JAL FARMACIA E DROGARIA LJ 1 (10137)"</f>
        <v>JAL FARMACIA E DROGARIA LJ 1 (10137)</v>
      </c>
      <c r="R4083" t="str">
        <f t="shared" si="1956"/>
        <v>RECEITAS COM ENTREGAS (303)</v>
      </c>
      <c r="S4083">
        <v>2114</v>
      </c>
      <c r="T4083">
        <v>1632</v>
      </c>
      <c r="U4083" t="s">
        <v>19</v>
      </c>
    </row>
    <row r="4084" spans="1:21">
      <c r="A4084" t="str">
        <f t="shared" si="1951"/>
        <v>24/07/2025</v>
      </c>
      <c r="B4084" t="str">
        <f t="shared" si="1957"/>
        <v>ENTRADA</v>
      </c>
      <c r="C4084" t="str">
        <f t="shared" si="1952"/>
        <v>NFSE</v>
      </c>
      <c r="D4084" t="str">
        <f>"3271"</f>
        <v>3271</v>
      </c>
      <c r="E4084" t="str">
        <f t="shared" si="1960"/>
        <v>COM</v>
      </c>
      <c r="F4084" t="str">
        <f>"DROGARIA POUPA MINAS (ULTRAMINAS) 3 (10129)"</f>
        <v>DROGARIA POUPA MINAS (ULTRAMINAS) 3 (10129)</v>
      </c>
      <c r="G4084" t="str">
        <f>"Serv.Prest. 14/07/2025 a 20/07/2025 - RPS: 1038 - NFSe: 3271"</f>
        <v>Serv.Prest. 14/07/2025 a 20/07/2025 - RPS: 1038 - NFSe: 3271</v>
      </c>
      <c r="H4084" t="str">
        <f t="shared" ref="H4084:H4102" si="1961">("24/07/2025")</f>
        <v>24/07/2025</v>
      </c>
      <c r="I4084" t="str">
        <f>("22/07/2025")</f>
        <v>22/07/2025</v>
      </c>
      <c r="J4084" t="str">
        <f t="shared" si="1954"/>
        <v>24/07/2025</v>
      </c>
      <c r="K4084">
        <v>274.56</v>
      </c>
      <c r="L4084">
        <v>274.56</v>
      </c>
      <c r="M4084">
        <v>303</v>
      </c>
      <c r="N4084" t="str">
        <f t="shared" si="1955"/>
        <v>RECEITAS COM ENTREGAS</v>
      </c>
      <c r="O4084">
        <v>274.56</v>
      </c>
      <c r="R4084" t="str">
        <f t="shared" si="1956"/>
        <v>RECEITAS COM ENTREGAS (303)</v>
      </c>
      <c r="S4084">
        <v>2115</v>
      </c>
      <c r="T4084">
        <v>1638</v>
      </c>
      <c r="U4084" t="s">
        <v>19</v>
      </c>
    </row>
    <row r="4085" spans="1:21">
      <c r="A4085" t="str">
        <f t="shared" si="1951"/>
        <v>24/07/2025</v>
      </c>
      <c r="B4085" t="str">
        <f t="shared" si="1957"/>
        <v>ENTRADA</v>
      </c>
      <c r="C4085" t="str">
        <f t="shared" si="1952"/>
        <v>NFSE</v>
      </c>
      <c r="D4085" t="str">
        <f>"3271"</f>
        <v>3271</v>
      </c>
      <c r="E4085" t="str">
        <f t="shared" si="1960"/>
        <v>COM</v>
      </c>
      <c r="F4085" t="str">
        <f>"DROGARIA POUPA MINAS (ULTRAMINAS) 3 (10129)"</f>
        <v>DROGARIA POUPA MINAS (ULTRAMINAS) 3 (10129)</v>
      </c>
      <c r="G4085" t="str">
        <f>"Serv.Prest. 14/07/2025 a 20/07/2025 - RPS: 1038 - NFSe: 3271"</f>
        <v>Serv.Prest. 14/07/2025 a 20/07/2025 - RPS: 1038 - NFSe: 3271</v>
      </c>
      <c r="H4085" t="str">
        <f t="shared" si="1961"/>
        <v>24/07/2025</v>
      </c>
      <c r="I4085" t="str">
        <f>("22/07/2025")</f>
        <v>22/07/2025</v>
      </c>
      <c r="J4085" t="str">
        <f t="shared" si="1954"/>
        <v>24/07/2025</v>
      </c>
      <c r="M4085">
        <v>303</v>
      </c>
      <c r="N4085" t="str">
        <f t="shared" si="1955"/>
        <v>RECEITAS COM ENTREGAS</v>
      </c>
      <c r="P4085">
        <v>274.56</v>
      </c>
      <c r="Q4085" t="str">
        <f>"DROGARIA POUPA MINAS (ULTRAMINAS) 3 (10129)"</f>
        <v>DROGARIA POUPA MINAS (ULTRAMINAS) 3 (10129)</v>
      </c>
      <c r="R4085" t="str">
        <f t="shared" si="1956"/>
        <v>RECEITAS COM ENTREGAS (303)</v>
      </c>
      <c r="S4085">
        <v>2115</v>
      </c>
      <c r="T4085">
        <v>1638</v>
      </c>
      <c r="U4085" t="s">
        <v>19</v>
      </c>
    </row>
    <row r="4086" spans="1:21">
      <c r="A4086" t="str">
        <f t="shared" si="1951"/>
        <v>24/07/2025</v>
      </c>
      <c r="B4086" t="str">
        <f t="shared" ref="B4086:B4100" si="1962">"SAÍDA"</f>
        <v>SAÍDA</v>
      </c>
      <c r="C4086" t="str">
        <f>"PIX"</f>
        <v>PIX</v>
      </c>
      <c r="D4086" t="str">
        <f>"240725700"</f>
        <v>240725700</v>
      </c>
      <c r="E4086" t="str">
        <f t="shared" si="1960"/>
        <v>COM</v>
      </c>
      <c r="F4086" t="str">
        <f>"OCEANIA APART-HOTEL LTDA (20101)"</f>
        <v>OCEANIA APART-HOTEL LTDA (20101)</v>
      </c>
      <c r="G4086" t="str">
        <f>"LOCACAO SALA 04/08/25 / HOSPEDAGEM - PIX - CNPJ: 03.381.245/0001-02"</f>
        <v>LOCACAO SALA 04/08/25 / HOSPEDAGEM - PIX - CNPJ: 03.381.245/0001-02</v>
      </c>
      <c r="H4086" t="str">
        <f t="shared" si="1961"/>
        <v>24/07/2025</v>
      </c>
      <c r="I4086" t="str">
        <f t="shared" ref="I4086:I4100" si="1963">("24/07/2025")</f>
        <v>24/07/2025</v>
      </c>
      <c r="J4086" t="str">
        <f t="shared" si="1954"/>
        <v>24/07/2025</v>
      </c>
      <c r="K4086">
        <v>700</v>
      </c>
      <c r="L4086">
        <v>700</v>
      </c>
      <c r="M4086">
        <v>129</v>
      </c>
      <c r="N4086" t="str">
        <f>"DESPESAS COM EVENTOS"</f>
        <v>DESPESAS COM EVENTOS</v>
      </c>
      <c r="O4086">
        <v>700</v>
      </c>
      <c r="R4086" t="str">
        <f t="shared" ref="R4086:R4100" si="1964">"BANCO CORA (102)"</f>
        <v>BANCO CORA (102)</v>
      </c>
      <c r="S4086">
        <v>2121</v>
      </c>
      <c r="T4086">
        <v>1650</v>
      </c>
      <c r="U4086" t="s">
        <v>19</v>
      </c>
    </row>
    <row r="4087" spans="1:21">
      <c r="A4087" t="str">
        <f t="shared" si="1951"/>
        <v>24/07/2025</v>
      </c>
      <c r="B4087" t="str">
        <f t="shared" si="1962"/>
        <v>SAÍDA</v>
      </c>
      <c r="C4087" t="str">
        <f>"PIX"</f>
        <v>PIX</v>
      </c>
      <c r="D4087" t="str">
        <f>"240725"</f>
        <v>240725</v>
      </c>
      <c r="E4087" t="str">
        <f t="shared" si="1960"/>
        <v>COM</v>
      </c>
      <c r="F4087" t="str">
        <f>"RONALDO TAHLER MOREIRA (20102)"</f>
        <v>RONALDO TAHLER MOREIRA (20102)</v>
      </c>
      <c r="G4087" t="str">
        <f>"COMISSAO VENDA SETUP - PIX - CELULAR: (31) 98697-3000"</f>
        <v>COMISSAO VENDA SETUP - PIX - CELULAR: (31) 98697-3000</v>
      </c>
      <c r="H4087" t="str">
        <f t="shared" si="1961"/>
        <v>24/07/2025</v>
      </c>
      <c r="I4087" t="str">
        <f t="shared" si="1963"/>
        <v>24/07/2025</v>
      </c>
      <c r="J4087" t="str">
        <f t="shared" si="1954"/>
        <v>24/07/2025</v>
      </c>
      <c r="K4087">
        <v>2000</v>
      </c>
      <c r="L4087">
        <v>2000</v>
      </c>
      <c r="M4087">
        <v>126</v>
      </c>
      <c r="N4087" t="str">
        <f>"COMISSÕES DE REPRESENTANTES"</f>
        <v>COMISSÕES DE REPRESENTANTES</v>
      </c>
      <c r="O4087">
        <v>2000</v>
      </c>
      <c r="R4087" t="str">
        <f t="shared" si="1964"/>
        <v>BANCO CORA (102)</v>
      </c>
      <c r="S4087">
        <v>2122</v>
      </c>
      <c r="T4087">
        <v>1651</v>
      </c>
      <c r="U4087" t="s">
        <v>19</v>
      </c>
    </row>
    <row r="4088" spans="1:21">
      <c r="A4088" t="str">
        <f t="shared" si="1951"/>
        <v>24/07/2025</v>
      </c>
      <c r="B4088" t="str">
        <f t="shared" si="1962"/>
        <v>SAÍDA</v>
      </c>
      <c r="C4088" t="str">
        <f t="shared" ref="C4088:C4100" si="1965">"CONHECIMENTO"</f>
        <v>CONHECIMENTO</v>
      </c>
      <c r="D4088" t="str">
        <f t="shared" ref="D4088:D4100" si="1966">"240725170"</f>
        <v>240725170</v>
      </c>
      <c r="E4088" t="str">
        <f t="shared" si="1960"/>
        <v>COM</v>
      </c>
      <c r="F4088" t="str">
        <f t="shared" ref="F4088:F4100" si="1967">"CORA SOCIEDADE DE CREDITO, FINANCIAMENTO E INVESTIMENTO (20035)"</f>
        <v>CORA SOCIEDADE DE CREDITO, FINANCIAMENTO E INVESTIMENTO (20035)</v>
      </c>
      <c r="G4088" t="str">
        <f t="shared" ref="G4088:G4100" si="1968">"TAXA BOLETO COMPENSADO"</f>
        <v>TAXA BOLETO COMPENSADO</v>
      </c>
      <c r="H4088" t="str">
        <f t="shared" si="1961"/>
        <v>24/07/2025</v>
      </c>
      <c r="I4088" t="str">
        <f t="shared" si="1963"/>
        <v>24/07/2025</v>
      </c>
      <c r="J4088" t="str">
        <f t="shared" si="1954"/>
        <v>24/07/2025</v>
      </c>
      <c r="K4088">
        <v>1.7</v>
      </c>
      <c r="L4088">
        <v>1.7</v>
      </c>
      <c r="M4088">
        <v>401</v>
      </c>
      <c r="N4088" t="str">
        <f t="shared" ref="N4088:N4100" si="1969">"IOF/JUROS/DESP.FINANCEIRA"</f>
        <v>IOF/JUROS/DESP.FINANCEIRA</v>
      </c>
      <c r="O4088">
        <v>1.7</v>
      </c>
      <c r="R4088" t="str">
        <f t="shared" si="1964"/>
        <v>BANCO CORA (102)</v>
      </c>
      <c r="S4088">
        <v>2181</v>
      </c>
      <c r="T4088">
        <v>1714</v>
      </c>
      <c r="U4088" t="s">
        <v>19</v>
      </c>
    </row>
    <row r="4089" spans="1:21">
      <c r="A4089" t="str">
        <f t="shared" si="1951"/>
        <v>24/07/2025</v>
      </c>
      <c r="B4089" t="str">
        <f t="shared" si="1962"/>
        <v>SAÍDA</v>
      </c>
      <c r="C4089" t="str">
        <f t="shared" si="1965"/>
        <v>CONHECIMENTO</v>
      </c>
      <c r="D4089" t="str">
        <f t="shared" si="1966"/>
        <v>240725170</v>
      </c>
      <c r="E4089" t="str">
        <f t="shared" si="1960"/>
        <v>COM</v>
      </c>
      <c r="F4089" t="str">
        <f t="shared" si="1967"/>
        <v>CORA SOCIEDADE DE CREDITO, FINANCIAMENTO E INVESTIMENTO (20035)</v>
      </c>
      <c r="G4089" t="str">
        <f t="shared" si="1968"/>
        <v>TAXA BOLETO COMPENSADO</v>
      </c>
      <c r="H4089" t="str">
        <f t="shared" si="1961"/>
        <v>24/07/2025</v>
      </c>
      <c r="I4089" t="str">
        <f t="shared" si="1963"/>
        <v>24/07/2025</v>
      </c>
      <c r="J4089" t="str">
        <f t="shared" si="1954"/>
        <v>24/07/2025</v>
      </c>
      <c r="K4089">
        <v>1.7</v>
      </c>
      <c r="L4089">
        <v>1.7</v>
      </c>
      <c r="M4089">
        <v>401</v>
      </c>
      <c r="N4089" t="str">
        <f t="shared" si="1969"/>
        <v>IOF/JUROS/DESP.FINANCEIRA</v>
      </c>
      <c r="O4089">
        <v>1.7</v>
      </c>
      <c r="R4089" t="str">
        <f t="shared" si="1964"/>
        <v>BANCO CORA (102)</v>
      </c>
      <c r="S4089">
        <v>2182</v>
      </c>
      <c r="T4089">
        <v>1715</v>
      </c>
      <c r="U4089" t="s">
        <v>19</v>
      </c>
    </row>
    <row r="4090" spans="1:21">
      <c r="A4090" t="str">
        <f t="shared" si="1951"/>
        <v>24/07/2025</v>
      </c>
      <c r="B4090" t="str">
        <f t="shared" si="1962"/>
        <v>SAÍDA</v>
      </c>
      <c r="C4090" t="str">
        <f t="shared" si="1965"/>
        <v>CONHECIMENTO</v>
      </c>
      <c r="D4090" t="str">
        <f t="shared" si="1966"/>
        <v>240725170</v>
      </c>
      <c r="E4090" t="str">
        <f t="shared" si="1960"/>
        <v>COM</v>
      </c>
      <c r="F4090" t="str">
        <f t="shared" si="1967"/>
        <v>CORA SOCIEDADE DE CREDITO, FINANCIAMENTO E INVESTIMENTO (20035)</v>
      </c>
      <c r="G4090" t="str">
        <f t="shared" si="1968"/>
        <v>TAXA BOLETO COMPENSADO</v>
      </c>
      <c r="H4090" t="str">
        <f t="shared" si="1961"/>
        <v>24/07/2025</v>
      </c>
      <c r="I4090" t="str">
        <f t="shared" si="1963"/>
        <v>24/07/2025</v>
      </c>
      <c r="J4090" t="str">
        <f t="shared" si="1954"/>
        <v>24/07/2025</v>
      </c>
      <c r="K4090">
        <v>1.7</v>
      </c>
      <c r="L4090">
        <v>1.7</v>
      </c>
      <c r="M4090">
        <v>401</v>
      </c>
      <c r="N4090" t="str">
        <f t="shared" si="1969"/>
        <v>IOF/JUROS/DESP.FINANCEIRA</v>
      </c>
      <c r="O4090">
        <v>1.7</v>
      </c>
      <c r="R4090" t="str">
        <f t="shared" si="1964"/>
        <v>BANCO CORA (102)</v>
      </c>
      <c r="S4090">
        <v>2183</v>
      </c>
      <c r="T4090">
        <v>1716</v>
      </c>
      <c r="U4090" t="s">
        <v>19</v>
      </c>
    </row>
    <row r="4091" spans="1:21">
      <c r="A4091" t="str">
        <f t="shared" si="1951"/>
        <v>24/07/2025</v>
      </c>
      <c r="B4091" t="str">
        <f t="shared" si="1962"/>
        <v>SAÍDA</v>
      </c>
      <c r="C4091" t="str">
        <f t="shared" si="1965"/>
        <v>CONHECIMENTO</v>
      </c>
      <c r="D4091" t="str">
        <f t="shared" si="1966"/>
        <v>240725170</v>
      </c>
      <c r="E4091" t="str">
        <f t="shared" si="1960"/>
        <v>COM</v>
      </c>
      <c r="F4091" t="str">
        <f t="shared" si="1967"/>
        <v>CORA SOCIEDADE DE CREDITO, FINANCIAMENTO E INVESTIMENTO (20035)</v>
      </c>
      <c r="G4091" t="str">
        <f t="shared" si="1968"/>
        <v>TAXA BOLETO COMPENSADO</v>
      </c>
      <c r="H4091" t="str">
        <f t="shared" si="1961"/>
        <v>24/07/2025</v>
      </c>
      <c r="I4091" t="str">
        <f t="shared" si="1963"/>
        <v>24/07/2025</v>
      </c>
      <c r="J4091" t="str">
        <f t="shared" si="1954"/>
        <v>24/07/2025</v>
      </c>
      <c r="K4091">
        <v>1.7</v>
      </c>
      <c r="L4091">
        <v>1.7</v>
      </c>
      <c r="M4091">
        <v>401</v>
      </c>
      <c r="N4091" t="str">
        <f t="shared" si="1969"/>
        <v>IOF/JUROS/DESP.FINANCEIRA</v>
      </c>
      <c r="O4091">
        <v>1.7</v>
      </c>
      <c r="R4091" t="str">
        <f t="shared" si="1964"/>
        <v>BANCO CORA (102)</v>
      </c>
      <c r="S4091">
        <v>2184</v>
      </c>
      <c r="T4091">
        <v>1717</v>
      </c>
      <c r="U4091" t="s">
        <v>19</v>
      </c>
    </row>
    <row r="4092" spans="1:21">
      <c r="A4092" t="str">
        <f t="shared" si="1951"/>
        <v>24/07/2025</v>
      </c>
      <c r="B4092" t="str">
        <f t="shared" si="1962"/>
        <v>SAÍDA</v>
      </c>
      <c r="C4092" t="str">
        <f t="shared" si="1965"/>
        <v>CONHECIMENTO</v>
      </c>
      <c r="D4092" t="str">
        <f t="shared" si="1966"/>
        <v>240725170</v>
      </c>
      <c r="E4092" t="str">
        <f t="shared" si="1960"/>
        <v>COM</v>
      </c>
      <c r="F4092" t="str">
        <f t="shared" si="1967"/>
        <v>CORA SOCIEDADE DE CREDITO, FINANCIAMENTO E INVESTIMENTO (20035)</v>
      </c>
      <c r="G4092" t="str">
        <f t="shared" si="1968"/>
        <v>TAXA BOLETO COMPENSADO</v>
      </c>
      <c r="H4092" t="str">
        <f t="shared" si="1961"/>
        <v>24/07/2025</v>
      </c>
      <c r="I4092" t="str">
        <f t="shared" si="1963"/>
        <v>24/07/2025</v>
      </c>
      <c r="J4092" t="str">
        <f t="shared" si="1954"/>
        <v>24/07/2025</v>
      </c>
      <c r="K4092">
        <v>1.7</v>
      </c>
      <c r="L4092">
        <v>1.7</v>
      </c>
      <c r="M4092">
        <v>401</v>
      </c>
      <c r="N4092" t="str">
        <f t="shared" si="1969"/>
        <v>IOF/JUROS/DESP.FINANCEIRA</v>
      </c>
      <c r="O4092">
        <v>1.7</v>
      </c>
      <c r="R4092" t="str">
        <f t="shared" si="1964"/>
        <v>BANCO CORA (102)</v>
      </c>
      <c r="S4092">
        <v>2185</v>
      </c>
      <c r="T4092">
        <v>1718</v>
      </c>
      <c r="U4092" t="s">
        <v>19</v>
      </c>
    </row>
    <row r="4093" spans="1:21">
      <c r="A4093" t="str">
        <f t="shared" si="1951"/>
        <v>24/07/2025</v>
      </c>
      <c r="B4093" t="str">
        <f t="shared" si="1962"/>
        <v>SAÍDA</v>
      </c>
      <c r="C4093" t="str">
        <f t="shared" si="1965"/>
        <v>CONHECIMENTO</v>
      </c>
      <c r="D4093" t="str">
        <f t="shared" si="1966"/>
        <v>240725170</v>
      </c>
      <c r="E4093" t="str">
        <f t="shared" si="1960"/>
        <v>COM</v>
      </c>
      <c r="F4093" t="str">
        <f t="shared" si="1967"/>
        <v>CORA SOCIEDADE DE CREDITO, FINANCIAMENTO E INVESTIMENTO (20035)</v>
      </c>
      <c r="G4093" t="str">
        <f t="shared" si="1968"/>
        <v>TAXA BOLETO COMPENSADO</v>
      </c>
      <c r="H4093" t="str">
        <f t="shared" si="1961"/>
        <v>24/07/2025</v>
      </c>
      <c r="I4093" t="str">
        <f t="shared" si="1963"/>
        <v>24/07/2025</v>
      </c>
      <c r="J4093" t="str">
        <f t="shared" si="1954"/>
        <v>24/07/2025</v>
      </c>
      <c r="K4093">
        <v>1.7</v>
      </c>
      <c r="L4093">
        <v>1.7</v>
      </c>
      <c r="M4093">
        <v>401</v>
      </c>
      <c r="N4093" t="str">
        <f t="shared" si="1969"/>
        <v>IOF/JUROS/DESP.FINANCEIRA</v>
      </c>
      <c r="O4093">
        <v>1.7</v>
      </c>
      <c r="R4093" t="str">
        <f t="shared" si="1964"/>
        <v>BANCO CORA (102)</v>
      </c>
      <c r="S4093">
        <v>2186</v>
      </c>
      <c r="T4093">
        <v>1719</v>
      </c>
      <c r="U4093" t="s">
        <v>19</v>
      </c>
    </row>
    <row r="4094" spans="1:21">
      <c r="A4094" t="str">
        <f t="shared" si="1951"/>
        <v>24/07/2025</v>
      </c>
      <c r="B4094" t="str">
        <f t="shared" si="1962"/>
        <v>SAÍDA</v>
      </c>
      <c r="C4094" t="str">
        <f t="shared" si="1965"/>
        <v>CONHECIMENTO</v>
      </c>
      <c r="D4094" t="str">
        <f t="shared" si="1966"/>
        <v>240725170</v>
      </c>
      <c r="E4094" t="str">
        <f t="shared" si="1960"/>
        <v>COM</v>
      </c>
      <c r="F4094" t="str">
        <f t="shared" si="1967"/>
        <v>CORA SOCIEDADE DE CREDITO, FINANCIAMENTO E INVESTIMENTO (20035)</v>
      </c>
      <c r="G4094" t="str">
        <f t="shared" si="1968"/>
        <v>TAXA BOLETO COMPENSADO</v>
      </c>
      <c r="H4094" t="str">
        <f t="shared" si="1961"/>
        <v>24/07/2025</v>
      </c>
      <c r="I4094" t="str">
        <f t="shared" si="1963"/>
        <v>24/07/2025</v>
      </c>
      <c r="J4094" t="str">
        <f t="shared" si="1954"/>
        <v>24/07/2025</v>
      </c>
      <c r="K4094">
        <v>1.7</v>
      </c>
      <c r="L4094">
        <v>1.7</v>
      </c>
      <c r="M4094">
        <v>401</v>
      </c>
      <c r="N4094" t="str">
        <f t="shared" si="1969"/>
        <v>IOF/JUROS/DESP.FINANCEIRA</v>
      </c>
      <c r="O4094">
        <v>1.7</v>
      </c>
      <c r="R4094" t="str">
        <f t="shared" si="1964"/>
        <v>BANCO CORA (102)</v>
      </c>
      <c r="S4094">
        <v>2187</v>
      </c>
      <c r="T4094">
        <v>1720</v>
      </c>
      <c r="U4094" t="s">
        <v>19</v>
      </c>
    </row>
    <row r="4095" spans="1:21">
      <c r="A4095" t="str">
        <f t="shared" si="1951"/>
        <v>24/07/2025</v>
      </c>
      <c r="B4095" t="str">
        <f t="shared" si="1962"/>
        <v>SAÍDA</v>
      </c>
      <c r="C4095" t="str">
        <f t="shared" si="1965"/>
        <v>CONHECIMENTO</v>
      </c>
      <c r="D4095" t="str">
        <f t="shared" si="1966"/>
        <v>240725170</v>
      </c>
      <c r="E4095" t="str">
        <f t="shared" si="1960"/>
        <v>COM</v>
      </c>
      <c r="F4095" t="str">
        <f t="shared" si="1967"/>
        <v>CORA SOCIEDADE DE CREDITO, FINANCIAMENTO E INVESTIMENTO (20035)</v>
      </c>
      <c r="G4095" t="str">
        <f t="shared" si="1968"/>
        <v>TAXA BOLETO COMPENSADO</v>
      </c>
      <c r="H4095" t="str">
        <f t="shared" si="1961"/>
        <v>24/07/2025</v>
      </c>
      <c r="I4095" t="str">
        <f t="shared" si="1963"/>
        <v>24/07/2025</v>
      </c>
      <c r="J4095" t="str">
        <f t="shared" si="1954"/>
        <v>24/07/2025</v>
      </c>
      <c r="K4095">
        <v>1.7</v>
      </c>
      <c r="L4095">
        <v>1.7</v>
      </c>
      <c r="M4095">
        <v>401</v>
      </c>
      <c r="N4095" t="str">
        <f t="shared" si="1969"/>
        <v>IOF/JUROS/DESP.FINANCEIRA</v>
      </c>
      <c r="O4095">
        <v>1.7</v>
      </c>
      <c r="R4095" t="str">
        <f t="shared" si="1964"/>
        <v>BANCO CORA (102)</v>
      </c>
      <c r="S4095">
        <v>2188</v>
      </c>
      <c r="T4095">
        <v>1721</v>
      </c>
      <c r="U4095" t="s">
        <v>19</v>
      </c>
    </row>
    <row r="4096" spans="1:21">
      <c r="A4096" t="str">
        <f t="shared" si="1951"/>
        <v>24/07/2025</v>
      </c>
      <c r="B4096" t="str">
        <f t="shared" si="1962"/>
        <v>SAÍDA</v>
      </c>
      <c r="C4096" t="str">
        <f t="shared" si="1965"/>
        <v>CONHECIMENTO</v>
      </c>
      <c r="D4096" t="str">
        <f t="shared" si="1966"/>
        <v>240725170</v>
      </c>
      <c r="E4096" t="str">
        <f t="shared" si="1960"/>
        <v>COM</v>
      </c>
      <c r="F4096" t="str">
        <f t="shared" si="1967"/>
        <v>CORA SOCIEDADE DE CREDITO, FINANCIAMENTO E INVESTIMENTO (20035)</v>
      </c>
      <c r="G4096" t="str">
        <f t="shared" si="1968"/>
        <v>TAXA BOLETO COMPENSADO</v>
      </c>
      <c r="H4096" t="str">
        <f t="shared" si="1961"/>
        <v>24/07/2025</v>
      </c>
      <c r="I4096" t="str">
        <f t="shared" si="1963"/>
        <v>24/07/2025</v>
      </c>
      <c r="J4096" t="str">
        <f t="shared" si="1954"/>
        <v>24/07/2025</v>
      </c>
      <c r="K4096">
        <v>1.7</v>
      </c>
      <c r="L4096">
        <v>1.7</v>
      </c>
      <c r="M4096">
        <v>401</v>
      </c>
      <c r="N4096" t="str">
        <f t="shared" si="1969"/>
        <v>IOF/JUROS/DESP.FINANCEIRA</v>
      </c>
      <c r="O4096">
        <v>1.7</v>
      </c>
      <c r="R4096" t="str">
        <f t="shared" si="1964"/>
        <v>BANCO CORA (102)</v>
      </c>
      <c r="S4096">
        <v>2189</v>
      </c>
      <c r="T4096">
        <v>1722</v>
      </c>
      <c r="U4096" t="s">
        <v>19</v>
      </c>
    </row>
    <row r="4097" spans="1:21">
      <c r="A4097" t="str">
        <f t="shared" si="1951"/>
        <v>24/07/2025</v>
      </c>
      <c r="B4097" t="str">
        <f t="shared" si="1962"/>
        <v>SAÍDA</v>
      </c>
      <c r="C4097" t="str">
        <f t="shared" si="1965"/>
        <v>CONHECIMENTO</v>
      </c>
      <c r="D4097" t="str">
        <f t="shared" si="1966"/>
        <v>240725170</v>
      </c>
      <c r="E4097" t="str">
        <f t="shared" si="1960"/>
        <v>COM</v>
      </c>
      <c r="F4097" t="str">
        <f t="shared" si="1967"/>
        <v>CORA SOCIEDADE DE CREDITO, FINANCIAMENTO E INVESTIMENTO (20035)</v>
      </c>
      <c r="G4097" t="str">
        <f t="shared" si="1968"/>
        <v>TAXA BOLETO COMPENSADO</v>
      </c>
      <c r="H4097" t="str">
        <f t="shared" si="1961"/>
        <v>24/07/2025</v>
      </c>
      <c r="I4097" t="str">
        <f t="shared" si="1963"/>
        <v>24/07/2025</v>
      </c>
      <c r="J4097" t="str">
        <f t="shared" si="1954"/>
        <v>24/07/2025</v>
      </c>
      <c r="K4097">
        <v>1.7</v>
      </c>
      <c r="L4097">
        <v>1.7</v>
      </c>
      <c r="M4097">
        <v>401</v>
      </c>
      <c r="N4097" t="str">
        <f t="shared" si="1969"/>
        <v>IOF/JUROS/DESP.FINANCEIRA</v>
      </c>
      <c r="O4097">
        <v>1.7</v>
      </c>
      <c r="R4097" t="str">
        <f t="shared" si="1964"/>
        <v>BANCO CORA (102)</v>
      </c>
      <c r="S4097">
        <v>2190</v>
      </c>
      <c r="T4097">
        <v>1723</v>
      </c>
      <c r="U4097" t="s">
        <v>19</v>
      </c>
    </row>
    <row r="4098" spans="1:21">
      <c r="A4098" t="str">
        <f t="shared" si="1951"/>
        <v>24/07/2025</v>
      </c>
      <c r="B4098" t="str">
        <f t="shared" si="1962"/>
        <v>SAÍDA</v>
      </c>
      <c r="C4098" t="str">
        <f t="shared" si="1965"/>
        <v>CONHECIMENTO</v>
      </c>
      <c r="D4098" t="str">
        <f t="shared" si="1966"/>
        <v>240725170</v>
      </c>
      <c r="E4098" t="str">
        <f t="shared" si="1960"/>
        <v>COM</v>
      </c>
      <c r="F4098" t="str">
        <f t="shared" si="1967"/>
        <v>CORA SOCIEDADE DE CREDITO, FINANCIAMENTO E INVESTIMENTO (20035)</v>
      </c>
      <c r="G4098" t="str">
        <f t="shared" si="1968"/>
        <v>TAXA BOLETO COMPENSADO</v>
      </c>
      <c r="H4098" t="str">
        <f t="shared" si="1961"/>
        <v>24/07/2025</v>
      </c>
      <c r="I4098" t="str">
        <f t="shared" si="1963"/>
        <v>24/07/2025</v>
      </c>
      <c r="J4098" t="str">
        <f t="shared" si="1954"/>
        <v>24/07/2025</v>
      </c>
      <c r="K4098">
        <v>1.7</v>
      </c>
      <c r="L4098">
        <v>1.7</v>
      </c>
      <c r="M4098">
        <v>401</v>
      </c>
      <c r="N4098" t="str">
        <f t="shared" si="1969"/>
        <v>IOF/JUROS/DESP.FINANCEIRA</v>
      </c>
      <c r="O4098">
        <v>1.7</v>
      </c>
      <c r="R4098" t="str">
        <f t="shared" si="1964"/>
        <v>BANCO CORA (102)</v>
      </c>
      <c r="S4098">
        <v>2191</v>
      </c>
      <c r="T4098">
        <v>1724</v>
      </c>
      <c r="U4098" t="s">
        <v>19</v>
      </c>
    </row>
    <row r="4099" spans="1:21">
      <c r="A4099" t="str">
        <f t="shared" si="1951"/>
        <v>24/07/2025</v>
      </c>
      <c r="B4099" t="str">
        <f t="shared" si="1962"/>
        <v>SAÍDA</v>
      </c>
      <c r="C4099" t="str">
        <f t="shared" si="1965"/>
        <v>CONHECIMENTO</v>
      </c>
      <c r="D4099" t="str">
        <f t="shared" si="1966"/>
        <v>240725170</v>
      </c>
      <c r="E4099" t="str">
        <f t="shared" si="1960"/>
        <v>COM</v>
      </c>
      <c r="F4099" t="str">
        <f t="shared" si="1967"/>
        <v>CORA SOCIEDADE DE CREDITO, FINANCIAMENTO E INVESTIMENTO (20035)</v>
      </c>
      <c r="G4099" t="str">
        <f t="shared" si="1968"/>
        <v>TAXA BOLETO COMPENSADO</v>
      </c>
      <c r="H4099" t="str">
        <f t="shared" si="1961"/>
        <v>24/07/2025</v>
      </c>
      <c r="I4099" t="str">
        <f t="shared" si="1963"/>
        <v>24/07/2025</v>
      </c>
      <c r="J4099" t="str">
        <f t="shared" si="1954"/>
        <v>24/07/2025</v>
      </c>
      <c r="K4099">
        <v>1.7</v>
      </c>
      <c r="L4099">
        <v>1.7</v>
      </c>
      <c r="M4099">
        <v>401</v>
      </c>
      <c r="N4099" t="str">
        <f t="shared" si="1969"/>
        <v>IOF/JUROS/DESP.FINANCEIRA</v>
      </c>
      <c r="O4099">
        <v>1.7</v>
      </c>
      <c r="R4099" t="str">
        <f t="shared" si="1964"/>
        <v>BANCO CORA (102)</v>
      </c>
      <c r="S4099">
        <v>2192</v>
      </c>
      <c r="T4099">
        <v>1725</v>
      </c>
      <c r="U4099" t="s">
        <v>19</v>
      </c>
    </row>
    <row r="4100" spans="1:21">
      <c r="A4100" t="str">
        <f t="shared" si="1951"/>
        <v>24/07/2025</v>
      </c>
      <c r="B4100" t="str">
        <f t="shared" si="1962"/>
        <v>SAÍDA</v>
      </c>
      <c r="C4100" t="str">
        <f t="shared" si="1965"/>
        <v>CONHECIMENTO</v>
      </c>
      <c r="D4100" t="str">
        <f t="shared" si="1966"/>
        <v>240725170</v>
      </c>
      <c r="E4100" t="str">
        <f t="shared" si="1960"/>
        <v>COM</v>
      </c>
      <c r="F4100" t="str">
        <f t="shared" si="1967"/>
        <v>CORA SOCIEDADE DE CREDITO, FINANCIAMENTO E INVESTIMENTO (20035)</v>
      </c>
      <c r="G4100" t="str">
        <f t="shared" si="1968"/>
        <v>TAXA BOLETO COMPENSADO</v>
      </c>
      <c r="H4100" t="str">
        <f t="shared" si="1961"/>
        <v>24/07/2025</v>
      </c>
      <c r="I4100" t="str">
        <f t="shared" si="1963"/>
        <v>24/07/2025</v>
      </c>
      <c r="J4100" t="str">
        <f t="shared" si="1954"/>
        <v>24/07/2025</v>
      </c>
      <c r="K4100">
        <v>1.7</v>
      </c>
      <c r="L4100">
        <v>1.7</v>
      </c>
      <c r="M4100">
        <v>401</v>
      </c>
      <c r="N4100" t="str">
        <f t="shared" si="1969"/>
        <v>IOF/JUROS/DESP.FINANCEIRA</v>
      </c>
      <c r="O4100">
        <v>1.7</v>
      </c>
      <c r="R4100" t="str">
        <f t="shared" si="1964"/>
        <v>BANCO CORA (102)</v>
      </c>
      <c r="S4100">
        <v>2193</v>
      </c>
      <c r="T4100">
        <v>1726</v>
      </c>
      <c r="U4100" t="s">
        <v>19</v>
      </c>
    </row>
    <row r="4101" spans="1:21">
      <c r="A4101" t="str">
        <f t="shared" ref="A4101:A4114" si="1970">("25/07/2025")</f>
        <v>25/07/2025</v>
      </c>
      <c r="B4101" t="str">
        <f>"ENTRADA"</f>
        <v>ENTRADA</v>
      </c>
      <c r="C4101" t="str">
        <f t="shared" ref="C4101:C4110" si="1971">"NFSE"</f>
        <v>NFSE</v>
      </c>
      <c r="D4101" t="str">
        <f>"3272"</f>
        <v>3272</v>
      </c>
      <c r="E4101" t="str">
        <f t="shared" si="1960"/>
        <v>COM</v>
      </c>
      <c r="F4101" t="str">
        <f>"DROGARIA POUPA MINAS (DOIS AMIGOS) 5 (10140)"</f>
        <v>DROGARIA POUPA MINAS (DOIS AMIGOS) 5 (10140)</v>
      </c>
      <c r="G4101" t="str">
        <f>"Serv.Prest. 14/07/2025 a 20/07/2025 - RPS: 1039 - NFSe: 3272"</f>
        <v>Serv.Prest. 14/07/2025 a 20/07/2025 - RPS: 1039 - NFSe: 3272</v>
      </c>
      <c r="H4101" t="str">
        <f t="shared" si="1961"/>
        <v>24/07/2025</v>
      </c>
      <c r="I4101" t="str">
        <f>("22/07/2025")</f>
        <v>22/07/2025</v>
      </c>
      <c r="J4101" t="str">
        <f t="shared" ref="J4101:J4114" si="1972">("25/07/2025")</f>
        <v>25/07/2025</v>
      </c>
      <c r="K4101">
        <v>764.24</v>
      </c>
      <c r="L4101">
        <v>764.24</v>
      </c>
      <c r="M4101">
        <v>303</v>
      </c>
      <c r="N4101" t="str">
        <f t="shared" ref="N4101:N4110" si="1973">"RECEITAS COM ENTREGAS"</f>
        <v>RECEITAS COM ENTREGAS</v>
      </c>
      <c r="O4101">
        <v>764.24</v>
      </c>
      <c r="R4101" t="str">
        <f t="shared" ref="R4101:R4110" si="1974">"RECEITAS COM ENTREGAS (303)"</f>
        <v>RECEITAS COM ENTREGAS (303)</v>
      </c>
      <c r="S4101">
        <v>2116</v>
      </c>
      <c r="T4101">
        <v>1639</v>
      </c>
      <c r="U4101" t="s">
        <v>19</v>
      </c>
    </row>
    <row r="4102" spans="1:21">
      <c r="A4102" t="str">
        <f t="shared" si="1970"/>
        <v>25/07/2025</v>
      </c>
      <c r="B4102" t="str">
        <f t="shared" ref="B4102:B4110" si="1975">"ENTRADA"</f>
        <v>ENTRADA</v>
      </c>
      <c r="C4102" t="str">
        <f t="shared" si="1971"/>
        <v>NFSE</v>
      </c>
      <c r="D4102" t="str">
        <f>"3272"</f>
        <v>3272</v>
      </c>
      <c r="E4102" t="str">
        <f t="shared" si="1960"/>
        <v>COM</v>
      </c>
      <c r="F4102" t="str">
        <f>"DROGARIA POUPA MINAS (DOIS AMIGOS) 5 (10140)"</f>
        <v>DROGARIA POUPA MINAS (DOIS AMIGOS) 5 (10140)</v>
      </c>
      <c r="G4102" t="str">
        <f>"Serv.Prest. 14/07/2025 a 20/07/2025 - RPS: 1039 - NFSe: 3272"</f>
        <v>Serv.Prest. 14/07/2025 a 20/07/2025 - RPS: 1039 - NFSe: 3272</v>
      </c>
      <c r="H4102" t="str">
        <f t="shared" si="1961"/>
        <v>24/07/2025</v>
      </c>
      <c r="I4102" t="str">
        <f>("22/07/2025")</f>
        <v>22/07/2025</v>
      </c>
      <c r="J4102" t="str">
        <f t="shared" si="1972"/>
        <v>25/07/2025</v>
      </c>
      <c r="M4102">
        <v>303</v>
      </c>
      <c r="N4102" t="str">
        <f t="shared" si="1973"/>
        <v>RECEITAS COM ENTREGAS</v>
      </c>
      <c r="P4102">
        <v>764.24</v>
      </c>
      <c r="Q4102" t="str">
        <f>"DROGARIA POUPA MINAS (ULTRAMINAS) 1 (10181)"</f>
        <v>DROGARIA POUPA MINAS (ULTRAMINAS) 1 (10181)</v>
      </c>
      <c r="R4102" t="str">
        <f t="shared" si="1974"/>
        <v>RECEITAS COM ENTREGAS (303)</v>
      </c>
      <c r="S4102">
        <v>2116</v>
      </c>
      <c r="T4102">
        <v>1639</v>
      </c>
      <c r="U4102" t="s">
        <v>19</v>
      </c>
    </row>
    <row r="4103" spans="1:21">
      <c r="A4103" t="str">
        <f t="shared" si="1970"/>
        <v>25/07/2025</v>
      </c>
      <c r="B4103" t="str">
        <f t="shared" si="1975"/>
        <v>ENTRADA</v>
      </c>
      <c r="C4103" t="str">
        <f t="shared" si="1971"/>
        <v>NFSE</v>
      </c>
      <c r="D4103" t="str">
        <f>"3203"</f>
        <v>3203</v>
      </c>
      <c r="E4103" t="str">
        <f t="shared" si="1960"/>
        <v>COM</v>
      </c>
      <c r="F4103" t="str">
        <f>"PAGMENOS - LJ 608 (10135)"</f>
        <v>PAGMENOS - LJ 608 (10135)</v>
      </c>
      <c r="G4103" t="str">
        <f>"Serv.Prest. 30/06/2025 a 06/07/2025 - RPS: 970 - NFSe: 3203"</f>
        <v>Serv.Prest. 30/06/2025 a 06/07/2025 - RPS: 970 - NFSe: 3203</v>
      </c>
      <c r="H4103" t="str">
        <f>("17/07/2025")</f>
        <v>17/07/2025</v>
      </c>
      <c r="I4103" t="str">
        <f>("07/07/2025")</f>
        <v>07/07/2025</v>
      </c>
      <c r="J4103" t="str">
        <f t="shared" si="1972"/>
        <v>25/07/2025</v>
      </c>
      <c r="K4103">
        <v>280.20999999999998</v>
      </c>
      <c r="L4103">
        <v>277.41000000000003</v>
      </c>
      <c r="M4103">
        <v>303</v>
      </c>
      <c r="N4103" t="str">
        <f t="shared" si="1973"/>
        <v>RECEITAS COM ENTREGAS</v>
      </c>
      <c r="O4103">
        <v>277.41000000000003</v>
      </c>
      <c r="R4103" t="str">
        <f t="shared" si="1974"/>
        <v>RECEITAS COM ENTREGAS (303)</v>
      </c>
      <c r="S4103">
        <v>2205</v>
      </c>
      <c r="T4103">
        <v>1534</v>
      </c>
      <c r="U4103" t="s">
        <v>19</v>
      </c>
    </row>
    <row r="4104" spans="1:21">
      <c r="A4104" t="str">
        <f t="shared" si="1970"/>
        <v>25/07/2025</v>
      </c>
      <c r="B4104" t="str">
        <f t="shared" si="1975"/>
        <v>ENTRADA</v>
      </c>
      <c r="C4104" t="str">
        <f t="shared" si="1971"/>
        <v>NFSE</v>
      </c>
      <c r="D4104" t="str">
        <f>"3203"</f>
        <v>3203</v>
      </c>
      <c r="E4104" t="str">
        <f t="shared" si="1960"/>
        <v>COM</v>
      </c>
      <c r="F4104" t="str">
        <f>"PAGMENOS - LJ 608 (10135)"</f>
        <v>PAGMENOS - LJ 608 (10135)</v>
      </c>
      <c r="G4104" t="str">
        <f>"Serv.Prest. 30/06/2025 a 06/07/2025 - RPS: 970 - NFSe: 3203"</f>
        <v>Serv.Prest. 30/06/2025 a 06/07/2025 - RPS: 970 - NFSe: 3203</v>
      </c>
      <c r="H4104" t="str">
        <f>("17/07/2025")</f>
        <v>17/07/2025</v>
      </c>
      <c r="I4104" t="str">
        <f>("07/07/2025")</f>
        <v>07/07/2025</v>
      </c>
      <c r="J4104" t="str">
        <f t="shared" si="1972"/>
        <v>25/07/2025</v>
      </c>
      <c r="M4104">
        <v>303</v>
      </c>
      <c r="N4104" t="str">
        <f t="shared" si="1973"/>
        <v>RECEITAS COM ENTREGAS</v>
      </c>
      <c r="P4104">
        <v>277.41000000000003</v>
      </c>
      <c r="Q4104" t="str">
        <f>"PAGMENOS - LJ 608 (10135)"</f>
        <v>PAGMENOS - LJ 608 (10135)</v>
      </c>
      <c r="R4104" t="str">
        <f t="shared" si="1974"/>
        <v>RECEITAS COM ENTREGAS (303)</v>
      </c>
      <c r="S4104">
        <v>2205</v>
      </c>
      <c r="T4104">
        <v>1534</v>
      </c>
      <c r="U4104" t="s">
        <v>19</v>
      </c>
    </row>
    <row r="4105" spans="1:21">
      <c r="A4105" t="str">
        <f t="shared" si="1970"/>
        <v>25/07/2025</v>
      </c>
      <c r="B4105" t="str">
        <f t="shared" si="1975"/>
        <v>ENTRADA</v>
      </c>
      <c r="C4105" t="str">
        <f t="shared" si="1971"/>
        <v>NFSE</v>
      </c>
      <c r="D4105" t="str">
        <f>"3204"</f>
        <v>3204</v>
      </c>
      <c r="E4105" t="str">
        <f t="shared" si="1960"/>
        <v>COM</v>
      </c>
      <c r="F4105" t="str">
        <f>"PAGMENOS - LJ 657 (10136)"</f>
        <v>PAGMENOS - LJ 657 (10136)</v>
      </c>
      <c r="G4105" t="str">
        <f>"Serv.Prest. 30/06/2025 a 06/07/2025 - RPS: 971 - NFSe: 3204"</f>
        <v>Serv.Prest. 30/06/2025 a 06/07/2025 - RPS: 971 - NFSe: 3204</v>
      </c>
      <c r="H4105" t="str">
        <f>("17/07/2025")</f>
        <v>17/07/2025</v>
      </c>
      <c r="I4105" t="str">
        <f>("07/07/2025")</f>
        <v>07/07/2025</v>
      </c>
      <c r="J4105" t="str">
        <f t="shared" si="1972"/>
        <v>25/07/2025</v>
      </c>
      <c r="K4105">
        <v>596.6</v>
      </c>
      <c r="L4105">
        <v>581.67999999999995</v>
      </c>
      <c r="M4105">
        <v>303</v>
      </c>
      <c r="N4105" t="str">
        <f t="shared" si="1973"/>
        <v>RECEITAS COM ENTREGAS</v>
      </c>
      <c r="O4105">
        <v>581.67999999999995</v>
      </c>
      <c r="R4105" t="str">
        <f t="shared" si="1974"/>
        <v>RECEITAS COM ENTREGAS (303)</v>
      </c>
      <c r="S4105">
        <v>2206</v>
      </c>
      <c r="T4105">
        <v>1535</v>
      </c>
      <c r="U4105" t="s">
        <v>19</v>
      </c>
    </row>
    <row r="4106" spans="1:21">
      <c r="A4106" t="str">
        <f t="shared" si="1970"/>
        <v>25/07/2025</v>
      </c>
      <c r="B4106" t="str">
        <f t="shared" si="1975"/>
        <v>ENTRADA</v>
      </c>
      <c r="C4106" t="str">
        <f t="shared" si="1971"/>
        <v>NFSE</v>
      </c>
      <c r="D4106" t="str">
        <f>"3204"</f>
        <v>3204</v>
      </c>
      <c r="E4106" t="str">
        <f t="shared" si="1960"/>
        <v>COM</v>
      </c>
      <c r="F4106" t="str">
        <f>"PAGMENOS - LJ 657 (10136)"</f>
        <v>PAGMENOS - LJ 657 (10136)</v>
      </c>
      <c r="G4106" t="str">
        <f>"Serv.Prest. 30/06/2025 a 06/07/2025 - RPS: 971 - NFSe: 3204"</f>
        <v>Serv.Prest. 30/06/2025 a 06/07/2025 - RPS: 971 - NFSe: 3204</v>
      </c>
      <c r="H4106" t="str">
        <f>("17/07/2025")</f>
        <v>17/07/2025</v>
      </c>
      <c r="I4106" t="str">
        <f>("07/07/2025")</f>
        <v>07/07/2025</v>
      </c>
      <c r="J4106" t="str">
        <f t="shared" si="1972"/>
        <v>25/07/2025</v>
      </c>
      <c r="M4106">
        <v>303</v>
      </c>
      <c r="N4106" t="str">
        <f t="shared" si="1973"/>
        <v>RECEITAS COM ENTREGAS</v>
      </c>
      <c r="P4106">
        <v>581.67999999999995</v>
      </c>
      <c r="Q4106" t="str">
        <f>"PAGMENOS - LJ 657 (10136)"</f>
        <v>PAGMENOS - LJ 657 (10136)</v>
      </c>
      <c r="R4106" t="str">
        <f t="shared" si="1974"/>
        <v>RECEITAS COM ENTREGAS (303)</v>
      </c>
      <c r="S4106">
        <v>2206</v>
      </c>
      <c r="T4106">
        <v>1535</v>
      </c>
      <c r="U4106" t="s">
        <v>19</v>
      </c>
    </row>
    <row r="4107" spans="1:21">
      <c r="A4107" t="str">
        <f t="shared" si="1970"/>
        <v>25/07/2025</v>
      </c>
      <c r="B4107" t="str">
        <f t="shared" si="1975"/>
        <v>ENTRADA</v>
      </c>
      <c r="C4107" t="str">
        <f t="shared" si="1971"/>
        <v>NFSE</v>
      </c>
      <c r="D4107" t="str">
        <f>"3238"</f>
        <v>3238</v>
      </c>
      <c r="E4107" t="str">
        <f t="shared" si="1960"/>
        <v>COM</v>
      </c>
      <c r="F4107" t="str">
        <f>"PAGMENOS - LJ 608 (10135)"</f>
        <v>PAGMENOS - LJ 608 (10135)</v>
      </c>
      <c r="G4107" t="str">
        <f>"Serv.Prest. 07/07/2025 a 13/07/2025 - RPS: 1005 - NFSe: 3238"</f>
        <v>Serv.Prest. 07/07/2025 a 13/07/2025 - RPS: 1005 - NFSe: 3238</v>
      </c>
      <c r="H4107" t="str">
        <f>("24/07/2025")</f>
        <v>24/07/2025</v>
      </c>
      <c r="I4107" t="str">
        <f>("14/07/2025")</f>
        <v>14/07/2025</v>
      </c>
      <c r="J4107" t="str">
        <f t="shared" si="1972"/>
        <v>25/07/2025</v>
      </c>
      <c r="K4107">
        <v>280.20999999999998</v>
      </c>
      <c r="L4107">
        <v>280.20999999999998</v>
      </c>
      <c r="M4107">
        <v>303</v>
      </c>
      <c r="N4107" t="str">
        <f t="shared" si="1973"/>
        <v>RECEITAS COM ENTREGAS</v>
      </c>
      <c r="O4107">
        <v>280.20999999999998</v>
      </c>
      <c r="R4107" t="str">
        <f t="shared" si="1974"/>
        <v>RECEITAS COM ENTREGAS (303)</v>
      </c>
      <c r="S4107">
        <v>2207</v>
      </c>
      <c r="T4107">
        <v>1576</v>
      </c>
      <c r="U4107" t="s">
        <v>19</v>
      </c>
    </row>
    <row r="4108" spans="1:21">
      <c r="A4108" t="str">
        <f t="shared" si="1970"/>
        <v>25/07/2025</v>
      </c>
      <c r="B4108" t="str">
        <f t="shared" si="1975"/>
        <v>ENTRADA</v>
      </c>
      <c r="C4108" t="str">
        <f t="shared" si="1971"/>
        <v>NFSE</v>
      </c>
      <c r="D4108" t="str">
        <f>"3238"</f>
        <v>3238</v>
      </c>
      <c r="E4108" t="str">
        <f t="shared" si="1960"/>
        <v>COM</v>
      </c>
      <c r="F4108" t="str">
        <f>"PAGMENOS - LJ 608 (10135)"</f>
        <v>PAGMENOS - LJ 608 (10135)</v>
      </c>
      <c r="G4108" t="str">
        <f>"Serv.Prest. 07/07/2025 a 13/07/2025 - RPS: 1005 - NFSe: 3238"</f>
        <v>Serv.Prest. 07/07/2025 a 13/07/2025 - RPS: 1005 - NFSe: 3238</v>
      </c>
      <c r="H4108" t="str">
        <f>("24/07/2025")</f>
        <v>24/07/2025</v>
      </c>
      <c r="I4108" t="str">
        <f>("14/07/2025")</f>
        <v>14/07/2025</v>
      </c>
      <c r="J4108" t="str">
        <f t="shared" si="1972"/>
        <v>25/07/2025</v>
      </c>
      <c r="M4108">
        <v>303</v>
      </c>
      <c r="N4108" t="str">
        <f t="shared" si="1973"/>
        <v>RECEITAS COM ENTREGAS</v>
      </c>
      <c r="P4108">
        <v>280.20999999999998</v>
      </c>
      <c r="Q4108" t="str">
        <f>"PAGMENOS - LJ 608 (10135)"</f>
        <v>PAGMENOS - LJ 608 (10135)</v>
      </c>
      <c r="R4108" t="str">
        <f t="shared" si="1974"/>
        <v>RECEITAS COM ENTREGAS (303)</v>
      </c>
      <c r="S4108">
        <v>2207</v>
      </c>
      <c r="T4108">
        <v>1576</v>
      </c>
      <c r="U4108" t="s">
        <v>19</v>
      </c>
    </row>
    <row r="4109" spans="1:21">
      <c r="A4109" t="str">
        <f t="shared" si="1970"/>
        <v>25/07/2025</v>
      </c>
      <c r="B4109" t="str">
        <f t="shared" si="1975"/>
        <v>ENTRADA</v>
      </c>
      <c r="C4109" t="str">
        <f t="shared" si="1971"/>
        <v>NFSE</v>
      </c>
      <c r="D4109" t="str">
        <f>"3239"</f>
        <v>3239</v>
      </c>
      <c r="E4109" t="str">
        <f t="shared" si="1960"/>
        <v>COM</v>
      </c>
      <c r="F4109" t="str">
        <f>"PAGMENOS - LJ 657 (10136)"</f>
        <v>PAGMENOS - LJ 657 (10136)</v>
      </c>
      <c r="G4109" t="str">
        <f>"Serv.Prest. 07/07/2025 a 13/07/2025 - RPS: 1006 - NFSe: 3239"</f>
        <v>Serv.Prest. 07/07/2025 a 13/07/2025 - RPS: 1006 - NFSe: 3239</v>
      </c>
      <c r="H4109" t="str">
        <f>("24/07/2025")</f>
        <v>24/07/2025</v>
      </c>
      <c r="I4109" t="str">
        <f>("14/07/2025")</f>
        <v>14/07/2025</v>
      </c>
      <c r="J4109" t="str">
        <f t="shared" si="1972"/>
        <v>25/07/2025</v>
      </c>
      <c r="K4109">
        <v>596.6</v>
      </c>
      <c r="L4109">
        <v>578.70000000000005</v>
      </c>
      <c r="M4109">
        <v>303</v>
      </c>
      <c r="N4109" t="str">
        <f t="shared" si="1973"/>
        <v>RECEITAS COM ENTREGAS</v>
      </c>
      <c r="O4109">
        <v>578.70000000000005</v>
      </c>
      <c r="R4109" t="str">
        <f t="shared" si="1974"/>
        <v>RECEITAS COM ENTREGAS (303)</v>
      </c>
      <c r="S4109">
        <v>2208</v>
      </c>
      <c r="T4109">
        <v>1577</v>
      </c>
      <c r="U4109" t="s">
        <v>19</v>
      </c>
    </row>
    <row r="4110" spans="1:21">
      <c r="A4110" t="str">
        <f t="shared" si="1970"/>
        <v>25/07/2025</v>
      </c>
      <c r="B4110" t="str">
        <f t="shared" si="1975"/>
        <v>ENTRADA</v>
      </c>
      <c r="C4110" t="str">
        <f t="shared" si="1971"/>
        <v>NFSE</v>
      </c>
      <c r="D4110" t="str">
        <f>"3239"</f>
        <v>3239</v>
      </c>
      <c r="E4110" t="str">
        <f t="shared" si="1960"/>
        <v>COM</v>
      </c>
      <c r="F4110" t="str">
        <f>"PAGMENOS - LJ 657 (10136)"</f>
        <v>PAGMENOS - LJ 657 (10136)</v>
      </c>
      <c r="G4110" t="str">
        <f>"Serv.Prest. 07/07/2025 a 13/07/2025 - RPS: 1006 - NFSe: 3239"</f>
        <v>Serv.Prest. 07/07/2025 a 13/07/2025 - RPS: 1006 - NFSe: 3239</v>
      </c>
      <c r="H4110" t="str">
        <f>("24/07/2025")</f>
        <v>24/07/2025</v>
      </c>
      <c r="I4110" t="str">
        <f>("14/07/2025")</f>
        <v>14/07/2025</v>
      </c>
      <c r="J4110" t="str">
        <f t="shared" si="1972"/>
        <v>25/07/2025</v>
      </c>
      <c r="M4110">
        <v>303</v>
      </c>
      <c r="N4110" t="str">
        <f t="shared" si="1973"/>
        <v>RECEITAS COM ENTREGAS</v>
      </c>
      <c r="P4110">
        <v>578.70000000000005</v>
      </c>
      <c r="Q4110" t="str">
        <f>"PAGMENOS - LJ 657 (10136)"</f>
        <v>PAGMENOS - LJ 657 (10136)</v>
      </c>
      <c r="R4110" t="str">
        <f t="shared" si="1974"/>
        <v>RECEITAS COM ENTREGAS (303)</v>
      </c>
      <c r="S4110">
        <v>2208</v>
      </c>
      <c r="T4110">
        <v>1577</v>
      </c>
      <c r="U4110" t="s">
        <v>19</v>
      </c>
    </row>
    <row r="4111" spans="1:21">
      <c r="A4111" t="str">
        <f t="shared" si="1970"/>
        <v>25/07/2025</v>
      </c>
      <c r="B4111" t="str">
        <f t="shared" ref="B4111:B4116" si="1976">"SAÍDA"</f>
        <v>SAÍDA</v>
      </c>
      <c r="C4111" t="str">
        <f>"PIX"</f>
        <v>PIX</v>
      </c>
      <c r="D4111" t="str">
        <f>"250725300"</f>
        <v>250725300</v>
      </c>
      <c r="E4111" t="str">
        <f t="shared" si="1960"/>
        <v>COM</v>
      </c>
      <c r="F4111" t="str">
        <f>"THIAGO AFONSO DA SILVA (20104)"</f>
        <v>THIAGO AFONSO DA SILVA (20104)</v>
      </c>
      <c r="G4111" t="str">
        <f>"SERVICOS ASSESSORIA PLANO DE SAUDE - RETIRADA DE DEPENDENTE"</f>
        <v>SERVICOS ASSESSORIA PLANO DE SAUDE - RETIRADA DE DEPENDENTE</v>
      </c>
      <c r="H4111" t="str">
        <f t="shared" ref="H4111:I4114" si="1977">("25/07/2025")</f>
        <v>25/07/2025</v>
      </c>
      <c r="I4111" t="str">
        <f t="shared" si="1977"/>
        <v>25/07/2025</v>
      </c>
      <c r="J4111" t="str">
        <f t="shared" si="1972"/>
        <v>25/07/2025</v>
      </c>
      <c r="K4111">
        <v>300</v>
      </c>
      <c r="L4111">
        <v>300</v>
      </c>
      <c r="M4111">
        <v>108</v>
      </c>
      <c r="N4111" t="str">
        <f>"PRO LABORE - MARCELO"</f>
        <v>PRO LABORE - MARCELO</v>
      </c>
      <c r="O4111">
        <v>300</v>
      </c>
      <c r="R4111" t="str">
        <f t="shared" ref="R4111:R4116" si="1978">"BANCO CORA (102)"</f>
        <v>BANCO CORA (102)</v>
      </c>
      <c r="S4111">
        <v>2277</v>
      </c>
      <c r="T4111">
        <v>1786</v>
      </c>
      <c r="U4111" t="s">
        <v>19</v>
      </c>
    </row>
    <row r="4112" spans="1:21">
      <c r="A4112" t="str">
        <f t="shared" si="1970"/>
        <v>25/07/2025</v>
      </c>
      <c r="B4112" t="str">
        <f t="shared" si="1976"/>
        <v>SAÍDA</v>
      </c>
      <c r="C4112" t="str">
        <f>"PIX"</f>
        <v>PIX</v>
      </c>
      <c r="D4112" t="str">
        <f>"250725300"</f>
        <v>250725300</v>
      </c>
      <c r="E4112" t="str">
        <f t="shared" si="1960"/>
        <v>COM</v>
      </c>
      <c r="F4112" t="str">
        <f>"THIAGO AFONSO DA SILVA (20104)"</f>
        <v>THIAGO AFONSO DA SILVA (20104)</v>
      </c>
      <c r="G4112" t="str">
        <f>"SERVICOS ASSESSORIA PLANO DE SAUDE - RETIRADA DE DEPENDENTE"</f>
        <v>SERVICOS ASSESSORIA PLANO DE SAUDE - RETIRADA DE DEPENDENTE</v>
      </c>
      <c r="H4112" t="str">
        <f t="shared" si="1977"/>
        <v>25/07/2025</v>
      </c>
      <c r="I4112" t="str">
        <f t="shared" si="1977"/>
        <v>25/07/2025</v>
      </c>
      <c r="J4112" t="str">
        <f t="shared" si="1972"/>
        <v>25/07/2025</v>
      </c>
      <c r="M4112">
        <v>108</v>
      </c>
      <c r="N4112" t="str">
        <f>"PRO LABORE - MARCELO"</f>
        <v>PRO LABORE - MARCELO</v>
      </c>
      <c r="P4112">
        <v>300</v>
      </c>
      <c r="Q4112" t="str">
        <f>"THIAGO AFONSO DA SILVA (20104)"</f>
        <v>THIAGO AFONSO DA SILVA (20104)</v>
      </c>
      <c r="R4112" t="str">
        <f t="shared" si="1978"/>
        <v>BANCO CORA (102)</v>
      </c>
      <c r="S4112">
        <v>2277</v>
      </c>
      <c r="T4112">
        <v>1786</v>
      </c>
      <c r="U4112" t="s">
        <v>19</v>
      </c>
    </row>
    <row r="4113" spans="1:21">
      <c r="A4113" t="str">
        <f t="shared" si="1970"/>
        <v>25/07/2025</v>
      </c>
      <c r="B4113" t="str">
        <f t="shared" si="1976"/>
        <v>SAÍDA</v>
      </c>
      <c r="C4113" t="str">
        <f>"CONHECIMENTO"</f>
        <v>CONHECIMENTO</v>
      </c>
      <c r="D4113" t="str">
        <f>"250725170"</f>
        <v>250725170</v>
      </c>
      <c r="E4113" t="str">
        <f t="shared" si="1960"/>
        <v>COM</v>
      </c>
      <c r="F4113" t="str">
        <f>"CORA SOCIEDADE DE CREDITO, FINANCIAMENTO E INVESTIMENTO (20035)"</f>
        <v>CORA SOCIEDADE DE CREDITO, FINANCIAMENTO E INVESTIMENTO (20035)</v>
      </c>
      <c r="G4113" t="str">
        <f>"TAXA BOLETO COMPENSADO"</f>
        <v>TAXA BOLETO COMPENSADO</v>
      </c>
      <c r="H4113" t="str">
        <f t="shared" si="1977"/>
        <v>25/07/2025</v>
      </c>
      <c r="I4113" t="str">
        <f t="shared" si="1977"/>
        <v>25/07/2025</v>
      </c>
      <c r="J4113" t="str">
        <f t="shared" si="1972"/>
        <v>25/07/2025</v>
      </c>
      <c r="K4113">
        <v>1.7</v>
      </c>
      <c r="L4113">
        <v>1.7</v>
      </c>
      <c r="M4113">
        <v>401</v>
      </c>
      <c r="N4113" t="str">
        <f>"IOF/JUROS/DESP.FINANCEIRA"</f>
        <v>IOF/JUROS/DESP.FINANCEIRA</v>
      </c>
      <c r="O4113">
        <v>1.7</v>
      </c>
      <c r="R4113" t="str">
        <f t="shared" si="1978"/>
        <v>BANCO CORA (102)</v>
      </c>
      <c r="S4113">
        <v>2278</v>
      </c>
      <c r="T4113">
        <v>1805</v>
      </c>
      <c r="U4113" t="s">
        <v>19</v>
      </c>
    </row>
    <row r="4114" spans="1:21">
      <c r="A4114" t="str">
        <f t="shared" si="1970"/>
        <v>25/07/2025</v>
      </c>
      <c r="B4114" t="str">
        <f t="shared" si="1976"/>
        <v>SAÍDA</v>
      </c>
      <c r="C4114" t="str">
        <f>"CONHECIMENTO"</f>
        <v>CONHECIMENTO</v>
      </c>
      <c r="D4114" t="str">
        <f>"250725170"</f>
        <v>250725170</v>
      </c>
      <c r="E4114" t="str">
        <f t="shared" si="1960"/>
        <v>COM</v>
      </c>
      <c r="F4114" t="str">
        <f>"CORA SOCIEDADE DE CREDITO, FINANCIAMENTO E INVESTIMENTO (20035)"</f>
        <v>CORA SOCIEDADE DE CREDITO, FINANCIAMENTO E INVESTIMENTO (20035)</v>
      </c>
      <c r="G4114" t="str">
        <f>"TAXA BOLETO COMPENSADO"</f>
        <v>TAXA BOLETO COMPENSADO</v>
      </c>
      <c r="H4114" t="str">
        <f t="shared" si="1977"/>
        <v>25/07/2025</v>
      </c>
      <c r="I4114" t="str">
        <f t="shared" si="1977"/>
        <v>25/07/2025</v>
      </c>
      <c r="J4114" t="str">
        <f t="shared" si="1972"/>
        <v>25/07/2025</v>
      </c>
      <c r="M4114">
        <v>401</v>
      </c>
      <c r="N4114" t="str">
        <f>"IOF/JUROS/DESP.FINANCEIRA"</f>
        <v>IOF/JUROS/DESP.FINANCEIRA</v>
      </c>
      <c r="P4114">
        <v>1.7</v>
      </c>
      <c r="Q4114" t="str">
        <f>"CORA SOCIEDADE DE CREDITO, FINANCIAMENTO E INVESTIMENTO (20035)"</f>
        <v>CORA SOCIEDADE DE CREDITO, FINANCIAMENTO E INVESTIMENTO (20035)</v>
      </c>
      <c r="R4114" t="str">
        <f t="shared" si="1978"/>
        <v>BANCO CORA (102)</v>
      </c>
      <c r="S4114">
        <v>2278</v>
      </c>
      <c r="T4114">
        <v>1805</v>
      </c>
      <c r="U4114" t="s">
        <v>19</v>
      </c>
    </row>
    <row r="4115" spans="1:21">
      <c r="A4115" t="str">
        <f>("28/07/2025")</f>
        <v>28/07/2025</v>
      </c>
      <c r="B4115" t="str">
        <f t="shared" si="1976"/>
        <v>SAÍDA</v>
      </c>
      <c r="C4115" t="str">
        <f>"PIX"</f>
        <v>PIX</v>
      </c>
      <c r="D4115" t="str">
        <f>"28072543259"</f>
        <v>28072543259</v>
      </c>
      <c r="E4115" t="str">
        <f t="shared" si="1960"/>
        <v>COM</v>
      </c>
      <c r="F4115" t="str">
        <f>"LOCALIZA RENT A CAR SA (20068)"</f>
        <v>LOCALIZA RENT A CAR SA (20068)</v>
      </c>
      <c r="G4115" t="str">
        <f>"LOCACAO VEICULO VIAGEM PORTO SEGURO/EUNAPOLIS/TEIXEIRA DE FREITAS"</f>
        <v>LOCACAO VEICULO VIAGEM PORTO SEGURO/EUNAPOLIS/TEIXEIRA DE FREITAS</v>
      </c>
      <c r="H4115" t="str">
        <f t="shared" ref="H4115:J4116" si="1979">("28/07/2025")</f>
        <v>28/07/2025</v>
      </c>
      <c r="I4115" t="str">
        <f t="shared" si="1979"/>
        <v>28/07/2025</v>
      </c>
      <c r="J4115" t="str">
        <f t="shared" si="1979"/>
        <v>28/07/2025</v>
      </c>
      <c r="K4115">
        <v>432.59</v>
      </c>
      <c r="L4115">
        <v>432.59</v>
      </c>
      <c r="M4115">
        <v>128</v>
      </c>
      <c r="N4115" t="str">
        <f>"DESPESAS COM VIAGENS"</f>
        <v>DESPESAS COM VIAGENS</v>
      </c>
      <c r="O4115">
        <v>432.59</v>
      </c>
      <c r="R4115" t="str">
        <f t="shared" si="1978"/>
        <v>BANCO CORA (102)</v>
      </c>
      <c r="S4115">
        <v>2356</v>
      </c>
      <c r="T4115">
        <v>1894</v>
      </c>
      <c r="U4115" t="s">
        <v>19</v>
      </c>
    </row>
    <row r="4116" spans="1:21">
      <c r="A4116" t="str">
        <f>("28/07/2025")</f>
        <v>28/07/2025</v>
      </c>
      <c r="B4116" t="str">
        <f t="shared" si="1976"/>
        <v>SAÍDA</v>
      </c>
      <c r="C4116" t="str">
        <f>"PIX"</f>
        <v>PIX</v>
      </c>
      <c r="D4116" t="str">
        <f>"28072543259"</f>
        <v>28072543259</v>
      </c>
      <c r="E4116" t="str">
        <f t="shared" si="1960"/>
        <v>COM</v>
      </c>
      <c r="F4116" t="str">
        <f>"LOCALIZA RENT A CAR SA (20068)"</f>
        <v>LOCALIZA RENT A CAR SA (20068)</v>
      </c>
      <c r="G4116" t="str">
        <f>"LOCACAO VEICULO VIAGEM PORTO SEGURO/EUNAPOLIS/TEIXEIRA DE FREITAS"</f>
        <v>LOCACAO VEICULO VIAGEM PORTO SEGURO/EUNAPOLIS/TEIXEIRA DE FREITAS</v>
      </c>
      <c r="H4116" t="str">
        <f t="shared" si="1979"/>
        <v>28/07/2025</v>
      </c>
      <c r="I4116" t="str">
        <f t="shared" si="1979"/>
        <v>28/07/2025</v>
      </c>
      <c r="J4116" t="str">
        <f t="shared" si="1979"/>
        <v>28/07/2025</v>
      </c>
      <c r="M4116">
        <v>128</v>
      </c>
      <c r="N4116" t="str">
        <f>"DESPESAS COM VIAGENS"</f>
        <v>DESPESAS COM VIAGENS</v>
      </c>
      <c r="P4116">
        <v>432.59</v>
      </c>
      <c r="Q4116" t="str">
        <f>"LOCALIZA RENT A CAR SA (20068)"</f>
        <v>LOCALIZA RENT A CAR SA (20068)</v>
      </c>
      <c r="R4116" t="str">
        <f t="shared" si="1978"/>
        <v>BANCO CORA (102)</v>
      </c>
      <c r="S4116">
        <v>2356</v>
      </c>
      <c r="T4116">
        <v>1894</v>
      </c>
      <c r="U4116" t="s">
        <v>19</v>
      </c>
    </row>
    <row r="4117" spans="1:21">
      <c r="A4117" t="str">
        <f>("29/07/2025")</f>
        <v>29/07/2025</v>
      </c>
      <c r="B4117" t="str">
        <f>"ENTRADA"</f>
        <v>ENTRADA</v>
      </c>
      <c r="C4117" t="str">
        <f>"BOLETO"</f>
        <v>BOLETO</v>
      </c>
      <c r="D4117" t="str">
        <f>"2907252000"</f>
        <v>2907252000</v>
      </c>
      <c r="E4117" t="str">
        <f t="shared" si="1960"/>
        <v>COM</v>
      </c>
      <c r="F4117" t="str">
        <f>"LBL FARMACIA  LTDA (10189)"</f>
        <v>LBL FARMACIA  LTDA (10189)</v>
      </c>
      <c r="G4117" t="str">
        <f>"RECEBIMENTO SETUP"</f>
        <v>RECEBIMENTO SETUP</v>
      </c>
      <c r="H4117" t="str">
        <f t="shared" ref="H4117:J4118" si="1980">("29/07/2025")</f>
        <v>29/07/2025</v>
      </c>
      <c r="I4117" t="str">
        <f t="shared" si="1980"/>
        <v>29/07/2025</v>
      </c>
      <c r="J4117" t="str">
        <f t="shared" si="1980"/>
        <v>29/07/2025</v>
      </c>
      <c r="K4117">
        <v>2000</v>
      </c>
      <c r="L4117">
        <v>2000</v>
      </c>
      <c r="M4117">
        <v>117</v>
      </c>
      <c r="N4117" t="str">
        <f>"RECEITAS COM SETUP"</f>
        <v>RECEITAS COM SETUP</v>
      </c>
      <c r="O4117">
        <v>2000</v>
      </c>
      <c r="R4117" t="str">
        <f>"RECEITAS COM SETUP (117)"</f>
        <v>RECEITAS COM SETUP (117)</v>
      </c>
      <c r="S4117">
        <v>2472</v>
      </c>
      <c r="T4117">
        <v>1999</v>
      </c>
      <c r="U4117" t="s">
        <v>19</v>
      </c>
    </row>
    <row r="4118" spans="1:21">
      <c r="A4118" t="str">
        <f>("29/07/2025")</f>
        <v>29/07/2025</v>
      </c>
      <c r="B4118" t="str">
        <f>"SAÍDA"</f>
        <v>SAÍDA</v>
      </c>
      <c r="C4118" t="str">
        <f>"BOLETO"</f>
        <v>BOLETO</v>
      </c>
      <c r="D4118" t="str">
        <f>"2907252000"</f>
        <v>2907252000</v>
      </c>
      <c r="E4118" t="str">
        <f t="shared" si="1960"/>
        <v>COM</v>
      </c>
      <c r="F4118" t="str">
        <f>"LBL FARMACIA  LTDA (10189)"</f>
        <v>LBL FARMACIA  LTDA (10189)</v>
      </c>
      <c r="G4118" t="str">
        <f>"RECEBIMENTO SETUP"</f>
        <v>RECEBIMENTO SETUP</v>
      </c>
      <c r="H4118" t="str">
        <f t="shared" si="1980"/>
        <v>29/07/2025</v>
      </c>
      <c r="I4118" t="str">
        <f t="shared" si="1980"/>
        <v>29/07/2025</v>
      </c>
      <c r="J4118" t="str">
        <f t="shared" si="1980"/>
        <v>29/07/2025</v>
      </c>
      <c r="M4118">
        <v>117</v>
      </c>
      <c r="N4118" t="str">
        <f>"RECEITAS COM SETUP"</f>
        <v>RECEITAS COM SETUP</v>
      </c>
      <c r="P4118">
        <v>2000</v>
      </c>
      <c r="Q4118" t="str">
        <f>"LBL FARMACIA  LTDA (10189)"</f>
        <v>LBL FARMACIA  LTDA (10189)</v>
      </c>
      <c r="R4118" t="str">
        <f>"RECEITAS COM SETUP (117)"</f>
        <v>RECEITAS COM SETUP (117)</v>
      </c>
      <c r="S4118">
        <v>2472</v>
      </c>
      <c r="T4118">
        <v>1999</v>
      </c>
      <c r="U4118" t="s">
        <v>19</v>
      </c>
    </row>
    <row r="4119" spans="1:21">
      <c r="A4119" t="str">
        <f t="shared" ref="A4119:A4150" si="1981">("30/07/2025")</f>
        <v>30/07/2025</v>
      </c>
      <c r="B4119" t="str">
        <f>"ENTRADA"</f>
        <v>ENTRADA</v>
      </c>
      <c r="C4119" t="str">
        <f t="shared" ref="C4119:C4150" si="1982">"NFSE"</f>
        <v>NFSE</v>
      </c>
      <c r="D4119" t="str">
        <f t="shared" ref="D4119:D4130" si="1983">"3268"</f>
        <v>3268</v>
      </c>
      <c r="E4119" t="str">
        <f t="shared" si="1960"/>
        <v>COM</v>
      </c>
      <c r="F4119" t="str">
        <f t="shared" ref="F4119:F4130" si="1984">"FARMÁCIA INDIANA LJ 30 (10127)"</f>
        <v>FARMÁCIA INDIANA LJ 30 (10127)</v>
      </c>
      <c r="G4119" t="str">
        <f t="shared" ref="G4119:G4130" si="1985">"Serv.Prest. 14/07/2025 a 20/07/2025 - RPS: 1035 - NFSe: 3268"</f>
        <v>Serv.Prest. 14/07/2025 a 20/07/2025 - RPS: 1035 - NFSe: 3268</v>
      </c>
      <c r="H4119" t="str">
        <f t="shared" ref="H4119:H4150" si="1986">("30/07/2025")</f>
        <v>30/07/2025</v>
      </c>
      <c r="I4119" t="str">
        <f t="shared" ref="I4119:I4150" si="1987">("22/07/2025")</f>
        <v>22/07/2025</v>
      </c>
      <c r="J4119" t="str">
        <f t="shared" ref="J4119:J4150" si="1988">("30/07/2025")</f>
        <v>30/07/2025</v>
      </c>
      <c r="K4119">
        <v>2732.63</v>
      </c>
      <c r="L4119">
        <v>2732.63</v>
      </c>
      <c r="M4119">
        <v>303</v>
      </c>
      <c r="N4119" t="str">
        <f t="shared" ref="N4119:N4150" si="1989">"RECEITAS COM ENTREGAS"</f>
        <v>RECEITAS COM ENTREGAS</v>
      </c>
      <c r="O4119">
        <v>2732.63</v>
      </c>
      <c r="R4119" t="str">
        <f t="shared" ref="R4119:R4150" si="1990">"RECEITAS COM ENTREGAS (303)"</f>
        <v>RECEITAS COM ENTREGAS (303)</v>
      </c>
      <c r="S4119">
        <v>2228</v>
      </c>
      <c r="T4119">
        <v>1634</v>
      </c>
      <c r="U4119" t="s">
        <v>19</v>
      </c>
    </row>
    <row r="4120" spans="1:21">
      <c r="A4120" t="str">
        <f t="shared" si="1981"/>
        <v>30/07/2025</v>
      </c>
      <c r="B4120" t="str">
        <f t="shared" ref="B4120:B4183" si="1991">"ENTRADA"</f>
        <v>ENTRADA</v>
      </c>
      <c r="C4120" t="str">
        <f t="shared" si="1982"/>
        <v>NFSE</v>
      </c>
      <c r="D4120" t="str">
        <f t="shared" si="1983"/>
        <v>3268</v>
      </c>
      <c r="E4120" t="str">
        <f t="shared" si="1960"/>
        <v>COM</v>
      </c>
      <c r="F4120" t="str">
        <f t="shared" si="1984"/>
        <v>FARMÁCIA INDIANA LJ 30 (10127)</v>
      </c>
      <c r="G4120" t="str">
        <f t="shared" si="1985"/>
        <v>Serv.Prest. 14/07/2025 a 20/07/2025 - RPS: 1035 - NFSe: 3268</v>
      </c>
      <c r="H4120" t="str">
        <f t="shared" si="1986"/>
        <v>30/07/2025</v>
      </c>
      <c r="I4120" t="str">
        <f t="shared" si="1987"/>
        <v>22/07/2025</v>
      </c>
      <c r="J4120" t="str">
        <f t="shared" si="1988"/>
        <v>30/07/2025</v>
      </c>
      <c r="M4120">
        <v>303</v>
      </c>
      <c r="N4120" t="str">
        <f t="shared" si="1989"/>
        <v>RECEITAS COM ENTREGAS</v>
      </c>
      <c r="P4120">
        <v>296.49</v>
      </c>
      <c r="Q4120" t="str">
        <f>"FARMÁCIA INDIANA LJ 34 (10014)"</f>
        <v>FARMÁCIA INDIANA LJ 34 (10014)</v>
      </c>
      <c r="R4120" t="str">
        <f t="shared" si="1990"/>
        <v>RECEITAS COM ENTREGAS (303)</v>
      </c>
      <c r="S4120">
        <v>2228</v>
      </c>
      <c r="T4120">
        <v>1634</v>
      </c>
      <c r="U4120" t="s">
        <v>19</v>
      </c>
    </row>
    <row r="4121" spans="1:21">
      <c r="A4121" t="str">
        <f t="shared" si="1981"/>
        <v>30/07/2025</v>
      </c>
      <c r="B4121" t="str">
        <f t="shared" si="1991"/>
        <v>ENTRADA</v>
      </c>
      <c r="C4121" t="str">
        <f t="shared" si="1982"/>
        <v>NFSE</v>
      </c>
      <c r="D4121" t="str">
        <f t="shared" si="1983"/>
        <v>3268</v>
      </c>
      <c r="E4121" t="str">
        <f t="shared" si="1960"/>
        <v>COM</v>
      </c>
      <c r="F4121" t="str">
        <f t="shared" si="1984"/>
        <v>FARMÁCIA INDIANA LJ 30 (10127)</v>
      </c>
      <c r="G4121" t="str">
        <f t="shared" si="1985"/>
        <v>Serv.Prest. 14/07/2025 a 20/07/2025 - RPS: 1035 - NFSe: 3268</v>
      </c>
      <c r="H4121" t="str">
        <f t="shared" si="1986"/>
        <v>30/07/2025</v>
      </c>
      <c r="I4121" t="str">
        <f t="shared" si="1987"/>
        <v>22/07/2025</v>
      </c>
      <c r="J4121" t="str">
        <f t="shared" si="1988"/>
        <v>30/07/2025</v>
      </c>
      <c r="M4121">
        <v>303</v>
      </c>
      <c r="N4121" t="str">
        <f t="shared" si="1989"/>
        <v>RECEITAS COM ENTREGAS</v>
      </c>
      <c r="P4121">
        <v>224.08</v>
      </c>
      <c r="Q4121" t="str">
        <f>"FARMÁCIA INDIANA LJ 35 (10015)"</f>
        <v>FARMÁCIA INDIANA LJ 35 (10015)</v>
      </c>
      <c r="R4121" t="str">
        <f t="shared" si="1990"/>
        <v>RECEITAS COM ENTREGAS (303)</v>
      </c>
      <c r="S4121">
        <v>2228</v>
      </c>
      <c r="T4121">
        <v>1634</v>
      </c>
      <c r="U4121" t="s">
        <v>19</v>
      </c>
    </row>
    <row r="4122" spans="1:21">
      <c r="A4122" t="str">
        <f t="shared" si="1981"/>
        <v>30/07/2025</v>
      </c>
      <c r="B4122" t="str">
        <f t="shared" si="1991"/>
        <v>ENTRADA</v>
      </c>
      <c r="C4122" t="str">
        <f t="shared" si="1982"/>
        <v>NFSE</v>
      </c>
      <c r="D4122" t="str">
        <f t="shared" si="1983"/>
        <v>3268</v>
      </c>
      <c r="E4122" t="str">
        <f t="shared" si="1960"/>
        <v>COM</v>
      </c>
      <c r="F4122" t="str">
        <f t="shared" si="1984"/>
        <v>FARMÁCIA INDIANA LJ 30 (10127)</v>
      </c>
      <c r="G4122" t="str">
        <f t="shared" si="1985"/>
        <v>Serv.Prest. 14/07/2025 a 20/07/2025 - RPS: 1035 - NFSe: 3268</v>
      </c>
      <c r="H4122" t="str">
        <f t="shared" si="1986"/>
        <v>30/07/2025</v>
      </c>
      <c r="I4122" t="str">
        <f t="shared" si="1987"/>
        <v>22/07/2025</v>
      </c>
      <c r="J4122" t="str">
        <f t="shared" si="1988"/>
        <v>30/07/2025</v>
      </c>
      <c r="M4122">
        <v>303</v>
      </c>
      <c r="N4122" t="str">
        <f t="shared" si="1989"/>
        <v>RECEITAS COM ENTREGAS</v>
      </c>
      <c r="P4122">
        <v>282.83</v>
      </c>
      <c r="Q4122" t="str">
        <f>"FARMÁCIA INDIANA LJ 48 (10018)"</f>
        <v>FARMÁCIA INDIANA LJ 48 (10018)</v>
      </c>
      <c r="R4122" t="str">
        <f t="shared" si="1990"/>
        <v>RECEITAS COM ENTREGAS (303)</v>
      </c>
      <c r="S4122">
        <v>2228</v>
      </c>
      <c r="T4122">
        <v>1634</v>
      </c>
      <c r="U4122" t="s">
        <v>19</v>
      </c>
    </row>
    <row r="4123" spans="1:21">
      <c r="A4123" t="str">
        <f t="shared" si="1981"/>
        <v>30/07/2025</v>
      </c>
      <c r="B4123" t="str">
        <f t="shared" si="1991"/>
        <v>ENTRADA</v>
      </c>
      <c r="C4123" t="str">
        <f t="shared" si="1982"/>
        <v>NFSE</v>
      </c>
      <c r="D4123" t="str">
        <f t="shared" si="1983"/>
        <v>3268</v>
      </c>
      <c r="E4123" t="str">
        <f t="shared" si="1960"/>
        <v>COM</v>
      </c>
      <c r="F4123" t="str">
        <f t="shared" si="1984"/>
        <v>FARMÁCIA INDIANA LJ 30 (10127)</v>
      </c>
      <c r="G4123" t="str">
        <f t="shared" si="1985"/>
        <v>Serv.Prest. 14/07/2025 a 20/07/2025 - RPS: 1035 - NFSe: 3268</v>
      </c>
      <c r="H4123" t="str">
        <f t="shared" si="1986"/>
        <v>30/07/2025</v>
      </c>
      <c r="I4123" t="str">
        <f t="shared" si="1987"/>
        <v>22/07/2025</v>
      </c>
      <c r="J4123" t="str">
        <f t="shared" si="1988"/>
        <v>30/07/2025</v>
      </c>
      <c r="M4123">
        <v>303</v>
      </c>
      <c r="N4123" t="str">
        <f t="shared" si="1989"/>
        <v>RECEITAS COM ENTREGAS</v>
      </c>
      <c r="P4123">
        <v>383.66</v>
      </c>
      <c r="Q4123" t="str">
        <f>"FARMÁCIA INDIANA LJ 65 (10030)"</f>
        <v>FARMÁCIA INDIANA LJ 65 (10030)</v>
      </c>
      <c r="R4123" t="str">
        <f t="shared" si="1990"/>
        <v>RECEITAS COM ENTREGAS (303)</v>
      </c>
      <c r="S4123">
        <v>2228</v>
      </c>
      <c r="T4123">
        <v>1634</v>
      </c>
      <c r="U4123" t="s">
        <v>19</v>
      </c>
    </row>
    <row r="4124" spans="1:21">
      <c r="A4124" t="str">
        <f t="shared" si="1981"/>
        <v>30/07/2025</v>
      </c>
      <c r="B4124" t="str">
        <f t="shared" si="1991"/>
        <v>ENTRADA</v>
      </c>
      <c r="C4124" t="str">
        <f t="shared" si="1982"/>
        <v>NFSE</v>
      </c>
      <c r="D4124" t="str">
        <f t="shared" si="1983"/>
        <v>3268</v>
      </c>
      <c r="E4124" t="str">
        <f t="shared" si="1960"/>
        <v>COM</v>
      </c>
      <c r="F4124" t="str">
        <f t="shared" si="1984"/>
        <v>FARMÁCIA INDIANA LJ 30 (10127)</v>
      </c>
      <c r="G4124" t="str">
        <f t="shared" si="1985"/>
        <v>Serv.Prest. 14/07/2025 a 20/07/2025 - RPS: 1035 - NFSe: 3268</v>
      </c>
      <c r="H4124" t="str">
        <f t="shared" si="1986"/>
        <v>30/07/2025</v>
      </c>
      <c r="I4124" t="str">
        <f t="shared" si="1987"/>
        <v>22/07/2025</v>
      </c>
      <c r="J4124" t="str">
        <f t="shared" si="1988"/>
        <v>30/07/2025</v>
      </c>
      <c r="M4124">
        <v>303</v>
      </c>
      <c r="N4124" t="str">
        <f t="shared" si="1989"/>
        <v>RECEITAS COM ENTREGAS</v>
      </c>
      <c r="P4124">
        <v>128.43</v>
      </c>
      <c r="Q4124" t="str">
        <f>"FARMÁCIA INDIANA LJ 77 (10034)"</f>
        <v>FARMÁCIA INDIANA LJ 77 (10034)</v>
      </c>
      <c r="R4124" t="str">
        <f t="shared" si="1990"/>
        <v>RECEITAS COM ENTREGAS (303)</v>
      </c>
      <c r="S4124">
        <v>2228</v>
      </c>
      <c r="T4124">
        <v>1634</v>
      </c>
      <c r="U4124" t="s">
        <v>19</v>
      </c>
    </row>
    <row r="4125" spans="1:21">
      <c r="A4125" t="str">
        <f t="shared" si="1981"/>
        <v>30/07/2025</v>
      </c>
      <c r="B4125" t="str">
        <f t="shared" si="1991"/>
        <v>ENTRADA</v>
      </c>
      <c r="C4125" t="str">
        <f t="shared" si="1982"/>
        <v>NFSE</v>
      </c>
      <c r="D4125" t="str">
        <f t="shared" si="1983"/>
        <v>3268</v>
      </c>
      <c r="E4125" t="str">
        <f t="shared" si="1960"/>
        <v>COM</v>
      </c>
      <c r="F4125" t="str">
        <f t="shared" si="1984"/>
        <v>FARMÁCIA INDIANA LJ 30 (10127)</v>
      </c>
      <c r="G4125" t="str">
        <f t="shared" si="1985"/>
        <v>Serv.Prest. 14/07/2025 a 20/07/2025 - RPS: 1035 - NFSe: 3268</v>
      </c>
      <c r="H4125" t="str">
        <f t="shared" si="1986"/>
        <v>30/07/2025</v>
      </c>
      <c r="I4125" t="str">
        <f t="shared" si="1987"/>
        <v>22/07/2025</v>
      </c>
      <c r="J4125" t="str">
        <f t="shared" si="1988"/>
        <v>30/07/2025</v>
      </c>
      <c r="M4125">
        <v>303</v>
      </c>
      <c r="N4125" t="str">
        <f t="shared" si="1989"/>
        <v>RECEITAS COM ENTREGAS</v>
      </c>
      <c r="P4125">
        <v>382.57</v>
      </c>
      <c r="Q4125" t="str">
        <f>"FARMÁCIA INDIANA LJ 91 (10037)"</f>
        <v>FARMÁCIA INDIANA LJ 91 (10037)</v>
      </c>
      <c r="R4125" t="str">
        <f t="shared" si="1990"/>
        <v>RECEITAS COM ENTREGAS (303)</v>
      </c>
      <c r="S4125">
        <v>2228</v>
      </c>
      <c r="T4125">
        <v>1634</v>
      </c>
      <c r="U4125" t="s">
        <v>19</v>
      </c>
    </row>
    <row r="4126" spans="1:21">
      <c r="A4126" t="str">
        <f t="shared" si="1981"/>
        <v>30/07/2025</v>
      </c>
      <c r="B4126" t="str">
        <f t="shared" si="1991"/>
        <v>ENTRADA</v>
      </c>
      <c r="C4126" t="str">
        <f t="shared" si="1982"/>
        <v>NFSE</v>
      </c>
      <c r="D4126" t="str">
        <f t="shared" si="1983"/>
        <v>3268</v>
      </c>
      <c r="E4126" t="str">
        <f t="shared" si="1960"/>
        <v>COM</v>
      </c>
      <c r="F4126" t="str">
        <f t="shared" si="1984"/>
        <v>FARMÁCIA INDIANA LJ 30 (10127)</v>
      </c>
      <c r="G4126" t="str">
        <f t="shared" si="1985"/>
        <v>Serv.Prest. 14/07/2025 a 20/07/2025 - RPS: 1035 - NFSe: 3268</v>
      </c>
      <c r="H4126" t="str">
        <f t="shared" si="1986"/>
        <v>30/07/2025</v>
      </c>
      <c r="I4126" t="str">
        <f t="shared" si="1987"/>
        <v>22/07/2025</v>
      </c>
      <c r="J4126" t="str">
        <f t="shared" si="1988"/>
        <v>30/07/2025</v>
      </c>
      <c r="M4126">
        <v>303</v>
      </c>
      <c r="N4126" t="str">
        <f t="shared" si="1989"/>
        <v>RECEITAS COM ENTREGAS</v>
      </c>
      <c r="P4126">
        <v>245.39</v>
      </c>
      <c r="Q4126" t="str">
        <f>"FARMÁCIA INDIANA LJ 95 (10039)"</f>
        <v>FARMÁCIA INDIANA LJ 95 (10039)</v>
      </c>
      <c r="R4126" t="str">
        <f t="shared" si="1990"/>
        <v>RECEITAS COM ENTREGAS (303)</v>
      </c>
      <c r="S4126">
        <v>2228</v>
      </c>
      <c r="T4126">
        <v>1634</v>
      </c>
      <c r="U4126" t="s">
        <v>19</v>
      </c>
    </row>
    <row r="4127" spans="1:21">
      <c r="A4127" t="str">
        <f t="shared" si="1981"/>
        <v>30/07/2025</v>
      </c>
      <c r="B4127" t="str">
        <f t="shared" si="1991"/>
        <v>ENTRADA</v>
      </c>
      <c r="C4127" t="str">
        <f t="shared" si="1982"/>
        <v>NFSE</v>
      </c>
      <c r="D4127" t="str">
        <f t="shared" si="1983"/>
        <v>3268</v>
      </c>
      <c r="E4127" t="str">
        <f t="shared" si="1960"/>
        <v>COM</v>
      </c>
      <c r="F4127" t="str">
        <f t="shared" si="1984"/>
        <v>FARMÁCIA INDIANA LJ 30 (10127)</v>
      </c>
      <c r="G4127" t="str">
        <f t="shared" si="1985"/>
        <v>Serv.Prest. 14/07/2025 a 20/07/2025 - RPS: 1035 - NFSe: 3268</v>
      </c>
      <c r="H4127" t="str">
        <f t="shared" si="1986"/>
        <v>30/07/2025</v>
      </c>
      <c r="I4127" t="str">
        <f t="shared" si="1987"/>
        <v>22/07/2025</v>
      </c>
      <c r="J4127" t="str">
        <f t="shared" si="1988"/>
        <v>30/07/2025</v>
      </c>
      <c r="M4127">
        <v>303</v>
      </c>
      <c r="N4127" t="str">
        <f t="shared" si="1989"/>
        <v>RECEITAS COM ENTREGAS</v>
      </c>
      <c r="P4127">
        <v>280.91000000000003</v>
      </c>
      <c r="Q4127" t="str">
        <f>"FARMÁCIA INDIANA LJ 145 (10068)"</f>
        <v>FARMÁCIA INDIANA LJ 145 (10068)</v>
      </c>
      <c r="R4127" t="str">
        <f t="shared" si="1990"/>
        <v>RECEITAS COM ENTREGAS (303)</v>
      </c>
      <c r="S4127">
        <v>2228</v>
      </c>
      <c r="T4127">
        <v>1634</v>
      </c>
      <c r="U4127" t="s">
        <v>19</v>
      </c>
    </row>
    <row r="4128" spans="1:21">
      <c r="A4128" t="str">
        <f t="shared" si="1981"/>
        <v>30/07/2025</v>
      </c>
      <c r="B4128" t="str">
        <f t="shared" si="1991"/>
        <v>ENTRADA</v>
      </c>
      <c r="C4128" t="str">
        <f t="shared" si="1982"/>
        <v>NFSE</v>
      </c>
      <c r="D4128" t="str">
        <f t="shared" si="1983"/>
        <v>3268</v>
      </c>
      <c r="E4128" t="str">
        <f t="shared" si="1960"/>
        <v>COM</v>
      </c>
      <c r="F4128" t="str">
        <f t="shared" si="1984"/>
        <v>FARMÁCIA INDIANA LJ 30 (10127)</v>
      </c>
      <c r="G4128" t="str">
        <f t="shared" si="1985"/>
        <v>Serv.Prest. 14/07/2025 a 20/07/2025 - RPS: 1035 - NFSe: 3268</v>
      </c>
      <c r="H4128" t="str">
        <f t="shared" si="1986"/>
        <v>30/07/2025</v>
      </c>
      <c r="I4128" t="str">
        <f t="shared" si="1987"/>
        <v>22/07/2025</v>
      </c>
      <c r="J4128" t="str">
        <f t="shared" si="1988"/>
        <v>30/07/2025</v>
      </c>
      <c r="M4128">
        <v>303</v>
      </c>
      <c r="N4128" t="str">
        <f t="shared" si="1989"/>
        <v>RECEITAS COM ENTREGAS</v>
      </c>
      <c r="P4128">
        <v>144.83000000000001</v>
      </c>
      <c r="Q4128" t="str">
        <f>"FARMÁCIA INDIANA LJ 169 (10073)"</f>
        <v>FARMÁCIA INDIANA LJ 169 (10073)</v>
      </c>
      <c r="R4128" t="str">
        <f t="shared" si="1990"/>
        <v>RECEITAS COM ENTREGAS (303)</v>
      </c>
      <c r="S4128">
        <v>2228</v>
      </c>
      <c r="T4128">
        <v>1634</v>
      </c>
      <c r="U4128" t="s">
        <v>19</v>
      </c>
    </row>
    <row r="4129" spans="1:21">
      <c r="A4129" t="str">
        <f t="shared" si="1981"/>
        <v>30/07/2025</v>
      </c>
      <c r="B4129" t="str">
        <f t="shared" si="1991"/>
        <v>ENTRADA</v>
      </c>
      <c r="C4129" t="str">
        <f t="shared" si="1982"/>
        <v>NFSE</v>
      </c>
      <c r="D4129" t="str">
        <f t="shared" si="1983"/>
        <v>3268</v>
      </c>
      <c r="E4129" t="str">
        <f t="shared" si="1960"/>
        <v>COM</v>
      </c>
      <c r="F4129" t="str">
        <f t="shared" si="1984"/>
        <v>FARMÁCIA INDIANA LJ 30 (10127)</v>
      </c>
      <c r="G4129" t="str">
        <f t="shared" si="1985"/>
        <v>Serv.Prest. 14/07/2025 a 20/07/2025 - RPS: 1035 - NFSe: 3268</v>
      </c>
      <c r="H4129" t="str">
        <f t="shared" si="1986"/>
        <v>30/07/2025</v>
      </c>
      <c r="I4129" t="str">
        <f t="shared" si="1987"/>
        <v>22/07/2025</v>
      </c>
      <c r="J4129" t="str">
        <f t="shared" si="1988"/>
        <v>30/07/2025</v>
      </c>
      <c r="M4129">
        <v>303</v>
      </c>
      <c r="N4129" t="str">
        <f t="shared" si="1989"/>
        <v>RECEITAS COM ENTREGAS</v>
      </c>
      <c r="P4129">
        <v>191.83</v>
      </c>
      <c r="Q4129" t="str">
        <f>"FARMÁCIA INDIANA LJ 173 (10075)"</f>
        <v>FARMÁCIA INDIANA LJ 173 (10075)</v>
      </c>
      <c r="R4129" t="str">
        <f t="shared" si="1990"/>
        <v>RECEITAS COM ENTREGAS (303)</v>
      </c>
      <c r="S4129">
        <v>2228</v>
      </c>
      <c r="T4129">
        <v>1634</v>
      </c>
      <c r="U4129" t="s">
        <v>19</v>
      </c>
    </row>
    <row r="4130" spans="1:21">
      <c r="A4130" t="str">
        <f t="shared" si="1981"/>
        <v>30/07/2025</v>
      </c>
      <c r="B4130" t="str">
        <f t="shared" si="1991"/>
        <v>ENTRADA</v>
      </c>
      <c r="C4130" t="str">
        <f t="shared" si="1982"/>
        <v>NFSE</v>
      </c>
      <c r="D4130" t="str">
        <f t="shared" si="1983"/>
        <v>3268</v>
      </c>
      <c r="E4130" t="str">
        <f t="shared" si="1960"/>
        <v>COM</v>
      </c>
      <c r="F4130" t="str">
        <f t="shared" si="1984"/>
        <v>FARMÁCIA INDIANA LJ 30 (10127)</v>
      </c>
      <c r="G4130" t="str">
        <f t="shared" si="1985"/>
        <v>Serv.Prest. 14/07/2025 a 20/07/2025 - RPS: 1035 - NFSe: 3268</v>
      </c>
      <c r="H4130" t="str">
        <f t="shared" si="1986"/>
        <v>30/07/2025</v>
      </c>
      <c r="I4130" t="str">
        <f t="shared" si="1987"/>
        <v>22/07/2025</v>
      </c>
      <c r="J4130" t="str">
        <f t="shared" si="1988"/>
        <v>30/07/2025</v>
      </c>
      <c r="M4130">
        <v>303</v>
      </c>
      <c r="N4130" t="str">
        <f t="shared" si="1989"/>
        <v>RECEITAS COM ENTREGAS</v>
      </c>
      <c r="P4130">
        <v>171.61</v>
      </c>
      <c r="Q4130" t="str">
        <f>"FARMÁCIA INDIANA LJ 200 (10155)"</f>
        <v>FARMÁCIA INDIANA LJ 200 (10155)</v>
      </c>
      <c r="R4130" t="str">
        <f t="shared" si="1990"/>
        <v>RECEITAS COM ENTREGAS (303)</v>
      </c>
      <c r="S4130">
        <v>2228</v>
      </c>
      <c r="T4130">
        <v>1634</v>
      </c>
      <c r="U4130" t="s">
        <v>19</v>
      </c>
    </row>
    <row r="4131" spans="1:21">
      <c r="A4131" t="str">
        <f t="shared" si="1981"/>
        <v>30/07/2025</v>
      </c>
      <c r="B4131" t="str">
        <f t="shared" si="1991"/>
        <v>ENTRADA</v>
      </c>
      <c r="C4131" t="str">
        <f t="shared" si="1982"/>
        <v>NFSE</v>
      </c>
      <c r="D4131" t="str">
        <f t="shared" ref="D4131:D4139" si="1992">"3269"</f>
        <v>3269</v>
      </c>
      <c r="E4131" t="str">
        <f t="shared" si="1960"/>
        <v>COM</v>
      </c>
      <c r="F4131" t="str">
        <f t="shared" ref="F4131:F4139" si="1993">"FARMÁCIA INDIANA LJ 85 (10128)"</f>
        <v>FARMÁCIA INDIANA LJ 85 (10128)</v>
      </c>
      <c r="G4131" t="str">
        <f t="shared" ref="G4131:G4139" si="1994">"Serv.Prest. 14/07/2025 a 20/07/2025 - RPS: 1036 - NFSe: 3269"</f>
        <v>Serv.Prest. 14/07/2025 a 20/07/2025 - RPS: 1036 - NFSe: 3269</v>
      </c>
      <c r="H4131" t="str">
        <f t="shared" si="1986"/>
        <v>30/07/2025</v>
      </c>
      <c r="I4131" t="str">
        <f t="shared" si="1987"/>
        <v>22/07/2025</v>
      </c>
      <c r="J4131" t="str">
        <f t="shared" si="1988"/>
        <v>30/07/2025</v>
      </c>
      <c r="K4131">
        <v>1302.05</v>
      </c>
      <c r="L4131">
        <v>1302.05</v>
      </c>
      <c r="M4131">
        <v>303</v>
      </c>
      <c r="N4131" t="str">
        <f t="shared" si="1989"/>
        <v>RECEITAS COM ENTREGAS</v>
      </c>
      <c r="O4131">
        <v>1302.05</v>
      </c>
      <c r="R4131" t="str">
        <f t="shared" si="1990"/>
        <v>RECEITAS COM ENTREGAS (303)</v>
      </c>
      <c r="S4131">
        <v>2229</v>
      </c>
      <c r="T4131">
        <v>1635</v>
      </c>
      <c r="U4131" t="s">
        <v>19</v>
      </c>
    </row>
    <row r="4132" spans="1:21">
      <c r="A4132" t="str">
        <f t="shared" si="1981"/>
        <v>30/07/2025</v>
      </c>
      <c r="B4132" t="str">
        <f t="shared" si="1991"/>
        <v>ENTRADA</v>
      </c>
      <c r="C4132" t="str">
        <f t="shared" si="1982"/>
        <v>NFSE</v>
      </c>
      <c r="D4132" t="str">
        <f t="shared" si="1992"/>
        <v>3269</v>
      </c>
      <c r="E4132" t="str">
        <f t="shared" si="1960"/>
        <v>COM</v>
      </c>
      <c r="F4132" t="str">
        <f t="shared" si="1993"/>
        <v>FARMÁCIA INDIANA LJ 85 (10128)</v>
      </c>
      <c r="G4132" t="str">
        <f t="shared" si="1994"/>
        <v>Serv.Prest. 14/07/2025 a 20/07/2025 - RPS: 1036 - NFSe: 3269</v>
      </c>
      <c r="H4132" t="str">
        <f t="shared" si="1986"/>
        <v>30/07/2025</v>
      </c>
      <c r="I4132" t="str">
        <f t="shared" si="1987"/>
        <v>22/07/2025</v>
      </c>
      <c r="J4132" t="str">
        <f t="shared" si="1988"/>
        <v>30/07/2025</v>
      </c>
      <c r="M4132">
        <v>303</v>
      </c>
      <c r="N4132" t="str">
        <f t="shared" si="1989"/>
        <v>RECEITAS COM ENTREGAS</v>
      </c>
      <c r="P4132">
        <v>161.97</v>
      </c>
      <c r="Q4132" t="str">
        <f>"FARMÁCIA INDIANA LJ 119 (10053)"</f>
        <v>FARMÁCIA INDIANA LJ 119 (10053)</v>
      </c>
      <c r="R4132" t="str">
        <f t="shared" si="1990"/>
        <v>RECEITAS COM ENTREGAS (303)</v>
      </c>
      <c r="S4132">
        <v>2229</v>
      </c>
      <c r="T4132">
        <v>1635</v>
      </c>
      <c r="U4132" t="s">
        <v>19</v>
      </c>
    </row>
    <row r="4133" spans="1:21">
      <c r="A4133" t="str">
        <f t="shared" si="1981"/>
        <v>30/07/2025</v>
      </c>
      <c r="B4133" t="str">
        <f t="shared" si="1991"/>
        <v>ENTRADA</v>
      </c>
      <c r="C4133" t="str">
        <f t="shared" si="1982"/>
        <v>NFSE</v>
      </c>
      <c r="D4133" t="str">
        <f t="shared" si="1992"/>
        <v>3269</v>
      </c>
      <c r="E4133" t="str">
        <f t="shared" si="1960"/>
        <v>COM</v>
      </c>
      <c r="F4133" t="str">
        <f t="shared" si="1993"/>
        <v>FARMÁCIA INDIANA LJ 85 (10128)</v>
      </c>
      <c r="G4133" t="str">
        <f t="shared" si="1994"/>
        <v>Serv.Prest. 14/07/2025 a 20/07/2025 - RPS: 1036 - NFSe: 3269</v>
      </c>
      <c r="H4133" t="str">
        <f t="shared" si="1986"/>
        <v>30/07/2025</v>
      </c>
      <c r="I4133" t="str">
        <f t="shared" si="1987"/>
        <v>22/07/2025</v>
      </c>
      <c r="J4133" t="str">
        <f t="shared" si="1988"/>
        <v>30/07/2025</v>
      </c>
      <c r="M4133">
        <v>303</v>
      </c>
      <c r="N4133" t="str">
        <f t="shared" si="1989"/>
        <v>RECEITAS COM ENTREGAS</v>
      </c>
      <c r="P4133">
        <v>241.66</v>
      </c>
      <c r="Q4133" t="str">
        <f>"FARMÁCIA INDIANA LJ 163 (10072)"</f>
        <v>FARMÁCIA INDIANA LJ 163 (10072)</v>
      </c>
      <c r="R4133" t="str">
        <f t="shared" si="1990"/>
        <v>RECEITAS COM ENTREGAS (303)</v>
      </c>
      <c r="S4133">
        <v>2229</v>
      </c>
      <c r="T4133">
        <v>1635</v>
      </c>
      <c r="U4133" t="s">
        <v>19</v>
      </c>
    </row>
    <row r="4134" spans="1:21">
      <c r="A4134" t="str">
        <f t="shared" si="1981"/>
        <v>30/07/2025</v>
      </c>
      <c r="B4134" t="str">
        <f t="shared" si="1991"/>
        <v>ENTRADA</v>
      </c>
      <c r="C4134" t="str">
        <f t="shared" si="1982"/>
        <v>NFSE</v>
      </c>
      <c r="D4134" t="str">
        <f t="shared" si="1992"/>
        <v>3269</v>
      </c>
      <c r="E4134" t="str">
        <f t="shared" si="1960"/>
        <v>COM</v>
      </c>
      <c r="F4134" t="str">
        <f t="shared" si="1993"/>
        <v>FARMÁCIA INDIANA LJ 85 (10128)</v>
      </c>
      <c r="G4134" t="str">
        <f t="shared" si="1994"/>
        <v>Serv.Prest. 14/07/2025 a 20/07/2025 - RPS: 1036 - NFSe: 3269</v>
      </c>
      <c r="H4134" t="str">
        <f t="shared" si="1986"/>
        <v>30/07/2025</v>
      </c>
      <c r="I4134" t="str">
        <f t="shared" si="1987"/>
        <v>22/07/2025</v>
      </c>
      <c r="J4134" t="str">
        <f t="shared" si="1988"/>
        <v>30/07/2025</v>
      </c>
      <c r="M4134">
        <v>303</v>
      </c>
      <c r="N4134" t="str">
        <f t="shared" si="1989"/>
        <v>RECEITAS COM ENTREGAS</v>
      </c>
      <c r="P4134">
        <v>207.42</v>
      </c>
      <c r="Q4134" t="str">
        <f>"FARMÁCIA INDIANA LJ 181 (10078)"</f>
        <v>FARMÁCIA INDIANA LJ 181 (10078)</v>
      </c>
      <c r="R4134" t="str">
        <f t="shared" si="1990"/>
        <v>RECEITAS COM ENTREGAS (303)</v>
      </c>
      <c r="S4134">
        <v>2229</v>
      </c>
      <c r="T4134">
        <v>1635</v>
      </c>
      <c r="U4134" t="s">
        <v>19</v>
      </c>
    </row>
    <row r="4135" spans="1:21">
      <c r="A4135" t="str">
        <f t="shared" si="1981"/>
        <v>30/07/2025</v>
      </c>
      <c r="B4135" t="str">
        <f t="shared" si="1991"/>
        <v>ENTRADA</v>
      </c>
      <c r="C4135" t="str">
        <f t="shared" si="1982"/>
        <v>NFSE</v>
      </c>
      <c r="D4135" t="str">
        <f t="shared" si="1992"/>
        <v>3269</v>
      </c>
      <c r="E4135" t="str">
        <f t="shared" si="1960"/>
        <v>COM</v>
      </c>
      <c r="F4135" t="str">
        <f t="shared" si="1993"/>
        <v>FARMÁCIA INDIANA LJ 85 (10128)</v>
      </c>
      <c r="G4135" t="str">
        <f t="shared" si="1994"/>
        <v>Serv.Prest. 14/07/2025 a 20/07/2025 - RPS: 1036 - NFSe: 3269</v>
      </c>
      <c r="H4135" t="str">
        <f t="shared" si="1986"/>
        <v>30/07/2025</v>
      </c>
      <c r="I4135" t="str">
        <f t="shared" si="1987"/>
        <v>22/07/2025</v>
      </c>
      <c r="J4135" t="str">
        <f t="shared" si="1988"/>
        <v>30/07/2025</v>
      </c>
      <c r="M4135">
        <v>303</v>
      </c>
      <c r="N4135" t="str">
        <f t="shared" si="1989"/>
        <v>RECEITAS COM ENTREGAS</v>
      </c>
      <c r="P4135">
        <v>161.71</v>
      </c>
      <c r="Q4135" t="str">
        <f>"FARMÁCIA INDIANA LJ 221 (10093)"</f>
        <v>FARMÁCIA INDIANA LJ 221 (10093)</v>
      </c>
      <c r="R4135" t="str">
        <f t="shared" si="1990"/>
        <v>RECEITAS COM ENTREGAS (303)</v>
      </c>
      <c r="S4135">
        <v>2229</v>
      </c>
      <c r="T4135">
        <v>1635</v>
      </c>
      <c r="U4135" t="s">
        <v>19</v>
      </c>
    </row>
    <row r="4136" spans="1:21">
      <c r="A4136" t="str">
        <f t="shared" si="1981"/>
        <v>30/07/2025</v>
      </c>
      <c r="B4136" t="str">
        <f t="shared" si="1991"/>
        <v>ENTRADA</v>
      </c>
      <c r="C4136" t="str">
        <f t="shared" si="1982"/>
        <v>NFSE</v>
      </c>
      <c r="D4136" t="str">
        <f t="shared" si="1992"/>
        <v>3269</v>
      </c>
      <c r="E4136" t="str">
        <f t="shared" si="1960"/>
        <v>COM</v>
      </c>
      <c r="F4136" t="str">
        <f t="shared" si="1993"/>
        <v>FARMÁCIA INDIANA LJ 85 (10128)</v>
      </c>
      <c r="G4136" t="str">
        <f t="shared" si="1994"/>
        <v>Serv.Prest. 14/07/2025 a 20/07/2025 - RPS: 1036 - NFSe: 3269</v>
      </c>
      <c r="H4136" t="str">
        <f t="shared" si="1986"/>
        <v>30/07/2025</v>
      </c>
      <c r="I4136" t="str">
        <f t="shared" si="1987"/>
        <v>22/07/2025</v>
      </c>
      <c r="J4136" t="str">
        <f t="shared" si="1988"/>
        <v>30/07/2025</v>
      </c>
      <c r="M4136">
        <v>303</v>
      </c>
      <c r="N4136" t="str">
        <f t="shared" si="1989"/>
        <v>RECEITAS COM ENTREGAS</v>
      </c>
      <c r="P4136">
        <v>184.89</v>
      </c>
      <c r="Q4136" t="str">
        <f>"FARMÁCIA INDIANA LJ 243 (10142)"</f>
        <v>FARMÁCIA INDIANA LJ 243 (10142)</v>
      </c>
      <c r="R4136" t="str">
        <f t="shared" si="1990"/>
        <v>RECEITAS COM ENTREGAS (303)</v>
      </c>
      <c r="S4136">
        <v>2229</v>
      </c>
      <c r="T4136">
        <v>1635</v>
      </c>
      <c r="U4136" t="s">
        <v>19</v>
      </c>
    </row>
    <row r="4137" spans="1:21">
      <c r="A4137" t="str">
        <f t="shared" si="1981"/>
        <v>30/07/2025</v>
      </c>
      <c r="B4137" t="str">
        <f t="shared" si="1991"/>
        <v>ENTRADA</v>
      </c>
      <c r="C4137" t="str">
        <f t="shared" si="1982"/>
        <v>NFSE</v>
      </c>
      <c r="D4137" t="str">
        <f t="shared" si="1992"/>
        <v>3269</v>
      </c>
      <c r="E4137" t="str">
        <f t="shared" si="1960"/>
        <v>COM</v>
      </c>
      <c r="F4137" t="str">
        <f t="shared" si="1993"/>
        <v>FARMÁCIA INDIANA LJ 85 (10128)</v>
      </c>
      <c r="G4137" t="str">
        <f t="shared" si="1994"/>
        <v>Serv.Prest. 14/07/2025 a 20/07/2025 - RPS: 1036 - NFSe: 3269</v>
      </c>
      <c r="H4137" t="str">
        <f t="shared" si="1986"/>
        <v>30/07/2025</v>
      </c>
      <c r="I4137" t="str">
        <f t="shared" si="1987"/>
        <v>22/07/2025</v>
      </c>
      <c r="J4137" t="str">
        <f t="shared" si="1988"/>
        <v>30/07/2025</v>
      </c>
      <c r="M4137">
        <v>303</v>
      </c>
      <c r="N4137" t="str">
        <f t="shared" si="1989"/>
        <v>RECEITAS COM ENTREGAS</v>
      </c>
      <c r="P4137">
        <v>86.07</v>
      </c>
      <c r="Q4137" t="str">
        <f>"FARMÁCIA INDIANA LJ 211 (10168)"</f>
        <v>FARMÁCIA INDIANA LJ 211 (10168)</v>
      </c>
      <c r="R4137" t="str">
        <f t="shared" si="1990"/>
        <v>RECEITAS COM ENTREGAS (303)</v>
      </c>
      <c r="S4137">
        <v>2229</v>
      </c>
      <c r="T4137">
        <v>1635</v>
      </c>
      <c r="U4137" t="s">
        <v>19</v>
      </c>
    </row>
    <row r="4138" spans="1:21">
      <c r="A4138" t="str">
        <f t="shared" si="1981"/>
        <v>30/07/2025</v>
      </c>
      <c r="B4138" t="str">
        <f t="shared" si="1991"/>
        <v>ENTRADA</v>
      </c>
      <c r="C4138" t="str">
        <f t="shared" si="1982"/>
        <v>NFSE</v>
      </c>
      <c r="D4138" t="str">
        <f t="shared" si="1992"/>
        <v>3269</v>
      </c>
      <c r="E4138" t="str">
        <f t="shared" si="1960"/>
        <v>COM</v>
      </c>
      <c r="F4138" t="str">
        <f t="shared" si="1993"/>
        <v>FARMÁCIA INDIANA LJ 85 (10128)</v>
      </c>
      <c r="G4138" t="str">
        <f t="shared" si="1994"/>
        <v>Serv.Prest. 14/07/2025 a 20/07/2025 - RPS: 1036 - NFSe: 3269</v>
      </c>
      <c r="H4138" t="str">
        <f t="shared" si="1986"/>
        <v>30/07/2025</v>
      </c>
      <c r="I4138" t="str">
        <f t="shared" si="1987"/>
        <v>22/07/2025</v>
      </c>
      <c r="J4138" t="str">
        <f t="shared" si="1988"/>
        <v>30/07/2025</v>
      </c>
      <c r="M4138">
        <v>303</v>
      </c>
      <c r="N4138" t="str">
        <f t="shared" si="1989"/>
        <v>RECEITAS COM ENTREGAS</v>
      </c>
      <c r="P4138">
        <v>86.07</v>
      </c>
      <c r="Q4138" t="str">
        <f>"FARMÁCIA INDIANA LJ 236 (10169)"</f>
        <v>FARMÁCIA INDIANA LJ 236 (10169)</v>
      </c>
      <c r="R4138" t="str">
        <f t="shared" si="1990"/>
        <v>RECEITAS COM ENTREGAS (303)</v>
      </c>
      <c r="S4138">
        <v>2229</v>
      </c>
      <c r="T4138">
        <v>1635</v>
      </c>
      <c r="U4138" t="s">
        <v>19</v>
      </c>
    </row>
    <row r="4139" spans="1:21">
      <c r="A4139" t="str">
        <f t="shared" si="1981"/>
        <v>30/07/2025</v>
      </c>
      <c r="B4139" t="str">
        <f t="shared" si="1991"/>
        <v>ENTRADA</v>
      </c>
      <c r="C4139" t="str">
        <f t="shared" si="1982"/>
        <v>NFSE</v>
      </c>
      <c r="D4139" t="str">
        <f t="shared" si="1992"/>
        <v>3269</v>
      </c>
      <c r="E4139" t="str">
        <f t="shared" si="1960"/>
        <v>COM</v>
      </c>
      <c r="F4139" t="str">
        <f t="shared" si="1993"/>
        <v>FARMÁCIA INDIANA LJ 85 (10128)</v>
      </c>
      <c r="G4139" t="str">
        <f t="shared" si="1994"/>
        <v>Serv.Prest. 14/07/2025 a 20/07/2025 - RPS: 1036 - NFSe: 3269</v>
      </c>
      <c r="H4139" t="str">
        <f t="shared" si="1986"/>
        <v>30/07/2025</v>
      </c>
      <c r="I4139" t="str">
        <f t="shared" si="1987"/>
        <v>22/07/2025</v>
      </c>
      <c r="J4139" t="str">
        <f t="shared" si="1988"/>
        <v>30/07/2025</v>
      </c>
      <c r="M4139">
        <v>303</v>
      </c>
      <c r="N4139" t="str">
        <f t="shared" si="1989"/>
        <v>RECEITAS COM ENTREGAS</v>
      </c>
      <c r="P4139">
        <v>172.26</v>
      </c>
      <c r="Q4139" t="str">
        <f>"FARMÁCIA INDIANA LJ 188 (10176)"</f>
        <v>FARMÁCIA INDIANA LJ 188 (10176)</v>
      </c>
      <c r="R4139" t="str">
        <f t="shared" si="1990"/>
        <v>RECEITAS COM ENTREGAS (303)</v>
      </c>
      <c r="S4139">
        <v>2229</v>
      </c>
      <c r="T4139">
        <v>1635</v>
      </c>
      <c r="U4139" t="s">
        <v>19</v>
      </c>
    </row>
    <row r="4140" spans="1:21">
      <c r="A4140" t="str">
        <f t="shared" si="1981"/>
        <v>30/07/2025</v>
      </c>
      <c r="B4140" t="str">
        <f t="shared" si="1991"/>
        <v>ENTRADA</v>
      </c>
      <c r="C4140" t="str">
        <f t="shared" si="1982"/>
        <v>NFSE</v>
      </c>
      <c r="D4140" t="str">
        <f t="shared" ref="D4140:D4185" si="1995">"3270"</f>
        <v>3270</v>
      </c>
      <c r="E4140" t="str">
        <f t="shared" si="1960"/>
        <v>COM</v>
      </c>
      <c r="F4140" t="str">
        <f t="shared" ref="F4140:F4185" si="1996">"FARMÁCIA INDIANA LJ 1 (10126)"</f>
        <v>FARMÁCIA INDIANA LJ 1 (10126)</v>
      </c>
      <c r="G4140" t="str">
        <f t="shared" ref="G4140:G4185" si="1997">"Serv.Prest. 14/07/2025 a 20/07/2025 - RPS: 1037 - NFSe: 3270"</f>
        <v>Serv.Prest. 14/07/2025 a 20/07/2025 - RPS: 1037 - NFSe: 3270</v>
      </c>
      <c r="H4140" t="str">
        <f t="shared" si="1986"/>
        <v>30/07/2025</v>
      </c>
      <c r="I4140" t="str">
        <f t="shared" si="1987"/>
        <v>22/07/2025</v>
      </c>
      <c r="J4140" t="str">
        <f t="shared" si="1988"/>
        <v>30/07/2025</v>
      </c>
      <c r="K4140">
        <v>13585.26</v>
      </c>
      <c r="L4140">
        <v>13585.26</v>
      </c>
      <c r="M4140">
        <v>303</v>
      </c>
      <c r="N4140" t="str">
        <f t="shared" si="1989"/>
        <v>RECEITAS COM ENTREGAS</v>
      </c>
      <c r="O4140">
        <v>13585.26</v>
      </c>
      <c r="R4140" t="str">
        <f t="shared" si="1990"/>
        <v>RECEITAS COM ENTREGAS (303)</v>
      </c>
      <c r="S4140">
        <v>2230</v>
      </c>
      <c r="T4140">
        <v>1637</v>
      </c>
      <c r="U4140" t="s">
        <v>19</v>
      </c>
    </row>
    <row r="4141" spans="1:21">
      <c r="A4141" t="str">
        <f t="shared" si="1981"/>
        <v>30/07/2025</v>
      </c>
      <c r="B4141" t="str">
        <f t="shared" si="1991"/>
        <v>ENTRADA</v>
      </c>
      <c r="C4141" t="str">
        <f t="shared" si="1982"/>
        <v>NFSE</v>
      </c>
      <c r="D4141" t="str">
        <f t="shared" si="1995"/>
        <v>3270</v>
      </c>
      <c r="E4141" t="str">
        <f t="shared" si="1960"/>
        <v>COM</v>
      </c>
      <c r="F4141" t="str">
        <f t="shared" si="1996"/>
        <v>FARMÁCIA INDIANA LJ 1 (10126)</v>
      </c>
      <c r="G4141" t="str">
        <f t="shared" si="1997"/>
        <v>Serv.Prest. 14/07/2025 a 20/07/2025 - RPS: 1037 - NFSe: 3270</v>
      </c>
      <c r="H4141" t="str">
        <f t="shared" si="1986"/>
        <v>30/07/2025</v>
      </c>
      <c r="I4141" t="str">
        <f t="shared" si="1987"/>
        <v>22/07/2025</v>
      </c>
      <c r="J4141" t="str">
        <f t="shared" si="1988"/>
        <v>30/07/2025</v>
      </c>
      <c r="M4141">
        <v>303</v>
      </c>
      <c r="N4141" t="str">
        <f t="shared" si="1989"/>
        <v>RECEITAS COM ENTREGAS</v>
      </c>
      <c r="P4141">
        <v>1801.39</v>
      </c>
      <c r="Q4141" t="str">
        <f>"FARMÁCIA INDIANA LJ 06 (10006)"</f>
        <v>FARMÁCIA INDIANA LJ 06 (10006)</v>
      </c>
      <c r="R4141" t="str">
        <f t="shared" si="1990"/>
        <v>RECEITAS COM ENTREGAS (303)</v>
      </c>
      <c r="S4141">
        <v>2230</v>
      </c>
      <c r="T4141">
        <v>1637</v>
      </c>
      <c r="U4141" t="s">
        <v>19</v>
      </c>
    </row>
    <row r="4142" spans="1:21">
      <c r="A4142" t="str">
        <f t="shared" si="1981"/>
        <v>30/07/2025</v>
      </c>
      <c r="B4142" t="str">
        <f t="shared" si="1991"/>
        <v>ENTRADA</v>
      </c>
      <c r="C4142" t="str">
        <f t="shared" si="1982"/>
        <v>NFSE</v>
      </c>
      <c r="D4142" t="str">
        <f t="shared" si="1995"/>
        <v>3270</v>
      </c>
      <c r="E4142" t="str">
        <f t="shared" si="1960"/>
        <v>COM</v>
      </c>
      <c r="F4142" t="str">
        <f t="shared" si="1996"/>
        <v>FARMÁCIA INDIANA LJ 1 (10126)</v>
      </c>
      <c r="G4142" t="str">
        <f t="shared" si="1997"/>
        <v>Serv.Prest. 14/07/2025 a 20/07/2025 - RPS: 1037 - NFSe: 3270</v>
      </c>
      <c r="H4142" t="str">
        <f t="shared" si="1986"/>
        <v>30/07/2025</v>
      </c>
      <c r="I4142" t="str">
        <f t="shared" si="1987"/>
        <v>22/07/2025</v>
      </c>
      <c r="J4142" t="str">
        <f t="shared" si="1988"/>
        <v>30/07/2025</v>
      </c>
      <c r="M4142">
        <v>303</v>
      </c>
      <c r="N4142" t="str">
        <f t="shared" si="1989"/>
        <v>RECEITAS COM ENTREGAS</v>
      </c>
      <c r="P4142">
        <v>1399.28</v>
      </c>
      <c r="Q4142" t="str">
        <f>"FARMÁCIA INDIANA LJ 07 (10007)"</f>
        <v>FARMÁCIA INDIANA LJ 07 (10007)</v>
      </c>
      <c r="R4142" t="str">
        <f t="shared" si="1990"/>
        <v>RECEITAS COM ENTREGAS (303)</v>
      </c>
      <c r="S4142">
        <v>2230</v>
      </c>
      <c r="T4142">
        <v>1637</v>
      </c>
      <c r="U4142" t="s">
        <v>19</v>
      </c>
    </row>
    <row r="4143" spans="1:21">
      <c r="A4143" t="str">
        <f t="shared" si="1981"/>
        <v>30/07/2025</v>
      </c>
      <c r="B4143" t="str">
        <f t="shared" si="1991"/>
        <v>ENTRADA</v>
      </c>
      <c r="C4143" t="str">
        <f t="shared" si="1982"/>
        <v>NFSE</v>
      </c>
      <c r="D4143" t="str">
        <f t="shared" si="1995"/>
        <v>3270</v>
      </c>
      <c r="E4143" t="str">
        <f t="shared" ref="E4143:E4206" si="1998">"COM"</f>
        <v>COM</v>
      </c>
      <c r="F4143" t="str">
        <f t="shared" si="1996"/>
        <v>FARMÁCIA INDIANA LJ 1 (10126)</v>
      </c>
      <c r="G4143" t="str">
        <f t="shared" si="1997"/>
        <v>Serv.Prest. 14/07/2025 a 20/07/2025 - RPS: 1037 - NFSe: 3270</v>
      </c>
      <c r="H4143" t="str">
        <f t="shared" si="1986"/>
        <v>30/07/2025</v>
      </c>
      <c r="I4143" t="str">
        <f t="shared" si="1987"/>
        <v>22/07/2025</v>
      </c>
      <c r="J4143" t="str">
        <f t="shared" si="1988"/>
        <v>30/07/2025</v>
      </c>
      <c r="M4143">
        <v>303</v>
      </c>
      <c r="N4143" t="str">
        <f t="shared" si="1989"/>
        <v>RECEITAS COM ENTREGAS</v>
      </c>
      <c r="P4143">
        <v>979.5</v>
      </c>
      <c r="Q4143" t="str">
        <f>"FARMÁCIA INDIANA LJ 11 (10008)"</f>
        <v>FARMÁCIA INDIANA LJ 11 (10008)</v>
      </c>
      <c r="R4143" t="str">
        <f t="shared" si="1990"/>
        <v>RECEITAS COM ENTREGAS (303)</v>
      </c>
      <c r="S4143">
        <v>2230</v>
      </c>
      <c r="T4143">
        <v>1637</v>
      </c>
      <c r="U4143" t="s">
        <v>19</v>
      </c>
    </row>
    <row r="4144" spans="1:21">
      <c r="A4144" t="str">
        <f t="shared" si="1981"/>
        <v>30/07/2025</v>
      </c>
      <c r="B4144" t="str">
        <f t="shared" si="1991"/>
        <v>ENTRADA</v>
      </c>
      <c r="C4144" t="str">
        <f t="shared" si="1982"/>
        <v>NFSE</v>
      </c>
      <c r="D4144" t="str">
        <f t="shared" si="1995"/>
        <v>3270</v>
      </c>
      <c r="E4144" t="str">
        <f t="shared" si="1998"/>
        <v>COM</v>
      </c>
      <c r="F4144" t="str">
        <f t="shared" si="1996"/>
        <v>FARMÁCIA INDIANA LJ 1 (10126)</v>
      </c>
      <c r="G4144" t="str">
        <f t="shared" si="1997"/>
        <v>Serv.Prest. 14/07/2025 a 20/07/2025 - RPS: 1037 - NFSe: 3270</v>
      </c>
      <c r="H4144" t="str">
        <f t="shared" si="1986"/>
        <v>30/07/2025</v>
      </c>
      <c r="I4144" t="str">
        <f t="shared" si="1987"/>
        <v>22/07/2025</v>
      </c>
      <c r="J4144" t="str">
        <f t="shared" si="1988"/>
        <v>30/07/2025</v>
      </c>
      <c r="M4144">
        <v>303</v>
      </c>
      <c r="N4144" t="str">
        <f t="shared" si="1989"/>
        <v>RECEITAS COM ENTREGAS</v>
      </c>
      <c r="P4144">
        <v>388.54</v>
      </c>
      <c r="Q4144" t="str">
        <f>"FARMÁCIA INDIANA LJ 14 (10009)"</f>
        <v>FARMÁCIA INDIANA LJ 14 (10009)</v>
      </c>
      <c r="R4144" t="str">
        <f t="shared" si="1990"/>
        <v>RECEITAS COM ENTREGAS (303)</v>
      </c>
      <c r="S4144">
        <v>2230</v>
      </c>
      <c r="T4144">
        <v>1637</v>
      </c>
      <c r="U4144" t="s">
        <v>19</v>
      </c>
    </row>
    <row r="4145" spans="1:21">
      <c r="A4145" t="str">
        <f t="shared" si="1981"/>
        <v>30/07/2025</v>
      </c>
      <c r="B4145" t="str">
        <f t="shared" si="1991"/>
        <v>ENTRADA</v>
      </c>
      <c r="C4145" t="str">
        <f t="shared" si="1982"/>
        <v>NFSE</v>
      </c>
      <c r="D4145" t="str">
        <f t="shared" si="1995"/>
        <v>3270</v>
      </c>
      <c r="E4145" t="str">
        <f t="shared" si="1998"/>
        <v>COM</v>
      </c>
      <c r="F4145" t="str">
        <f t="shared" si="1996"/>
        <v>FARMÁCIA INDIANA LJ 1 (10126)</v>
      </c>
      <c r="G4145" t="str">
        <f t="shared" si="1997"/>
        <v>Serv.Prest. 14/07/2025 a 20/07/2025 - RPS: 1037 - NFSe: 3270</v>
      </c>
      <c r="H4145" t="str">
        <f t="shared" si="1986"/>
        <v>30/07/2025</v>
      </c>
      <c r="I4145" t="str">
        <f t="shared" si="1987"/>
        <v>22/07/2025</v>
      </c>
      <c r="J4145" t="str">
        <f t="shared" si="1988"/>
        <v>30/07/2025</v>
      </c>
      <c r="M4145">
        <v>303</v>
      </c>
      <c r="N4145" t="str">
        <f t="shared" si="1989"/>
        <v>RECEITAS COM ENTREGAS</v>
      </c>
      <c r="P4145">
        <v>368.16</v>
      </c>
      <c r="Q4145" t="str">
        <f>"FARMÁCIA INDIANA LJ 18 (10011)"</f>
        <v>FARMÁCIA INDIANA LJ 18 (10011)</v>
      </c>
      <c r="R4145" t="str">
        <f t="shared" si="1990"/>
        <v>RECEITAS COM ENTREGAS (303)</v>
      </c>
      <c r="S4145">
        <v>2230</v>
      </c>
      <c r="T4145">
        <v>1637</v>
      </c>
      <c r="U4145" t="s">
        <v>19</v>
      </c>
    </row>
    <row r="4146" spans="1:21">
      <c r="A4146" t="str">
        <f t="shared" si="1981"/>
        <v>30/07/2025</v>
      </c>
      <c r="B4146" t="str">
        <f t="shared" si="1991"/>
        <v>ENTRADA</v>
      </c>
      <c r="C4146" t="str">
        <f t="shared" si="1982"/>
        <v>NFSE</v>
      </c>
      <c r="D4146" t="str">
        <f t="shared" si="1995"/>
        <v>3270</v>
      </c>
      <c r="E4146" t="str">
        <f t="shared" si="1998"/>
        <v>COM</v>
      </c>
      <c r="F4146" t="str">
        <f t="shared" si="1996"/>
        <v>FARMÁCIA INDIANA LJ 1 (10126)</v>
      </c>
      <c r="G4146" t="str">
        <f t="shared" si="1997"/>
        <v>Serv.Prest. 14/07/2025 a 20/07/2025 - RPS: 1037 - NFSe: 3270</v>
      </c>
      <c r="H4146" t="str">
        <f t="shared" si="1986"/>
        <v>30/07/2025</v>
      </c>
      <c r="I4146" t="str">
        <f t="shared" si="1987"/>
        <v>22/07/2025</v>
      </c>
      <c r="J4146" t="str">
        <f t="shared" si="1988"/>
        <v>30/07/2025</v>
      </c>
      <c r="M4146">
        <v>303</v>
      </c>
      <c r="N4146" t="str">
        <f t="shared" si="1989"/>
        <v>RECEITAS COM ENTREGAS</v>
      </c>
      <c r="P4146">
        <v>336.91</v>
      </c>
      <c r="Q4146" t="str">
        <f>"FARMÁCIA INDIANA LJ 19 (10012)"</f>
        <v>FARMÁCIA INDIANA LJ 19 (10012)</v>
      </c>
      <c r="R4146" t="str">
        <f t="shared" si="1990"/>
        <v>RECEITAS COM ENTREGAS (303)</v>
      </c>
      <c r="S4146">
        <v>2230</v>
      </c>
      <c r="T4146">
        <v>1637</v>
      </c>
      <c r="U4146" t="s">
        <v>19</v>
      </c>
    </row>
    <row r="4147" spans="1:21">
      <c r="A4147" t="str">
        <f t="shared" si="1981"/>
        <v>30/07/2025</v>
      </c>
      <c r="B4147" t="str">
        <f t="shared" si="1991"/>
        <v>ENTRADA</v>
      </c>
      <c r="C4147" t="str">
        <f t="shared" si="1982"/>
        <v>NFSE</v>
      </c>
      <c r="D4147" t="str">
        <f t="shared" si="1995"/>
        <v>3270</v>
      </c>
      <c r="E4147" t="str">
        <f t="shared" si="1998"/>
        <v>COM</v>
      </c>
      <c r="F4147" t="str">
        <f t="shared" si="1996"/>
        <v>FARMÁCIA INDIANA LJ 1 (10126)</v>
      </c>
      <c r="G4147" t="str">
        <f t="shared" si="1997"/>
        <v>Serv.Prest. 14/07/2025 a 20/07/2025 - RPS: 1037 - NFSe: 3270</v>
      </c>
      <c r="H4147" t="str">
        <f t="shared" si="1986"/>
        <v>30/07/2025</v>
      </c>
      <c r="I4147" t="str">
        <f t="shared" si="1987"/>
        <v>22/07/2025</v>
      </c>
      <c r="J4147" t="str">
        <f t="shared" si="1988"/>
        <v>30/07/2025</v>
      </c>
      <c r="M4147">
        <v>303</v>
      </c>
      <c r="N4147" t="str">
        <f t="shared" si="1989"/>
        <v>RECEITAS COM ENTREGAS</v>
      </c>
      <c r="P4147">
        <v>809.68</v>
      </c>
      <c r="Q4147" t="str">
        <f>"FARMÁCIA INDIANA LJ 40 (10016)"</f>
        <v>FARMÁCIA INDIANA LJ 40 (10016)</v>
      </c>
      <c r="R4147" t="str">
        <f t="shared" si="1990"/>
        <v>RECEITAS COM ENTREGAS (303)</v>
      </c>
      <c r="S4147">
        <v>2230</v>
      </c>
      <c r="T4147">
        <v>1637</v>
      </c>
      <c r="U4147" t="s">
        <v>19</v>
      </c>
    </row>
    <row r="4148" spans="1:21">
      <c r="A4148" t="str">
        <f t="shared" si="1981"/>
        <v>30/07/2025</v>
      </c>
      <c r="B4148" t="str">
        <f t="shared" si="1991"/>
        <v>ENTRADA</v>
      </c>
      <c r="C4148" t="str">
        <f t="shared" si="1982"/>
        <v>NFSE</v>
      </c>
      <c r="D4148" t="str">
        <f t="shared" si="1995"/>
        <v>3270</v>
      </c>
      <c r="E4148" t="str">
        <f t="shared" si="1998"/>
        <v>COM</v>
      </c>
      <c r="F4148" t="str">
        <f t="shared" si="1996"/>
        <v>FARMÁCIA INDIANA LJ 1 (10126)</v>
      </c>
      <c r="G4148" t="str">
        <f t="shared" si="1997"/>
        <v>Serv.Prest. 14/07/2025 a 20/07/2025 - RPS: 1037 - NFSe: 3270</v>
      </c>
      <c r="H4148" t="str">
        <f t="shared" si="1986"/>
        <v>30/07/2025</v>
      </c>
      <c r="I4148" t="str">
        <f t="shared" si="1987"/>
        <v>22/07/2025</v>
      </c>
      <c r="J4148" t="str">
        <f t="shared" si="1988"/>
        <v>30/07/2025</v>
      </c>
      <c r="M4148">
        <v>303</v>
      </c>
      <c r="N4148" t="str">
        <f t="shared" si="1989"/>
        <v>RECEITAS COM ENTREGAS</v>
      </c>
      <c r="P4148">
        <v>309.74</v>
      </c>
      <c r="Q4148" t="str">
        <f>"FARMÁCIA INDIANA LJ 59 (10026)"</f>
        <v>FARMÁCIA INDIANA LJ 59 (10026)</v>
      </c>
      <c r="R4148" t="str">
        <f t="shared" si="1990"/>
        <v>RECEITAS COM ENTREGAS (303)</v>
      </c>
      <c r="S4148">
        <v>2230</v>
      </c>
      <c r="T4148">
        <v>1637</v>
      </c>
      <c r="U4148" t="s">
        <v>19</v>
      </c>
    </row>
    <row r="4149" spans="1:21">
      <c r="A4149" t="str">
        <f t="shared" si="1981"/>
        <v>30/07/2025</v>
      </c>
      <c r="B4149" t="str">
        <f t="shared" si="1991"/>
        <v>ENTRADA</v>
      </c>
      <c r="C4149" t="str">
        <f t="shared" si="1982"/>
        <v>NFSE</v>
      </c>
      <c r="D4149" t="str">
        <f t="shared" si="1995"/>
        <v>3270</v>
      </c>
      <c r="E4149" t="str">
        <f t="shared" si="1998"/>
        <v>COM</v>
      </c>
      <c r="F4149" t="str">
        <f t="shared" si="1996"/>
        <v>FARMÁCIA INDIANA LJ 1 (10126)</v>
      </c>
      <c r="G4149" t="str">
        <f t="shared" si="1997"/>
        <v>Serv.Prest. 14/07/2025 a 20/07/2025 - RPS: 1037 - NFSe: 3270</v>
      </c>
      <c r="H4149" t="str">
        <f t="shared" si="1986"/>
        <v>30/07/2025</v>
      </c>
      <c r="I4149" t="str">
        <f t="shared" si="1987"/>
        <v>22/07/2025</v>
      </c>
      <c r="J4149" t="str">
        <f t="shared" si="1988"/>
        <v>30/07/2025</v>
      </c>
      <c r="M4149">
        <v>303</v>
      </c>
      <c r="N4149" t="str">
        <f t="shared" si="1989"/>
        <v>RECEITAS COM ENTREGAS</v>
      </c>
      <c r="P4149">
        <v>529.83000000000004</v>
      </c>
      <c r="Q4149" t="str">
        <f>"FARMÁCIA INDIANA LJ 61 (10027)"</f>
        <v>FARMÁCIA INDIANA LJ 61 (10027)</v>
      </c>
      <c r="R4149" t="str">
        <f t="shared" si="1990"/>
        <v>RECEITAS COM ENTREGAS (303)</v>
      </c>
      <c r="S4149">
        <v>2230</v>
      </c>
      <c r="T4149">
        <v>1637</v>
      </c>
      <c r="U4149" t="s">
        <v>19</v>
      </c>
    </row>
    <row r="4150" spans="1:21">
      <c r="A4150" t="str">
        <f t="shared" si="1981"/>
        <v>30/07/2025</v>
      </c>
      <c r="B4150" t="str">
        <f t="shared" si="1991"/>
        <v>ENTRADA</v>
      </c>
      <c r="C4150" t="str">
        <f t="shared" si="1982"/>
        <v>NFSE</v>
      </c>
      <c r="D4150" t="str">
        <f t="shared" si="1995"/>
        <v>3270</v>
      </c>
      <c r="E4150" t="str">
        <f t="shared" si="1998"/>
        <v>COM</v>
      </c>
      <c r="F4150" t="str">
        <f t="shared" si="1996"/>
        <v>FARMÁCIA INDIANA LJ 1 (10126)</v>
      </c>
      <c r="G4150" t="str">
        <f t="shared" si="1997"/>
        <v>Serv.Prest. 14/07/2025 a 20/07/2025 - RPS: 1037 - NFSe: 3270</v>
      </c>
      <c r="H4150" t="str">
        <f t="shared" si="1986"/>
        <v>30/07/2025</v>
      </c>
      <c r="I4150" t="str">
        <f t="shared" si="1987"/>
        <v>22/07/2025</v>
      </c>
      <c r="J4150" t="str">
        <f t="shared" si="1988"/>
        <v>30/07/2025</v>
      </c>
      <c r="M4150">
        <v>303</v>
      </c>
      <c r="N4150" t="str">
        <f t="shared" si="1989"/>
        <v>RECEITAS COM ENTREGAS</v>
      </c>
      <c r="P4150">
        <v>258.12</v>
      </c>
      <c r="Q4150" t="str">
        <f>"FARMÁCIA INDIANA LJ 62 (10028)"</f>
        <v>FARMÁCIA INDIANA LJ 62 (10028)</v>
      </c>
      <c r="R4150" t="str">
        <f t="shared" si="1990"/>
        <v>RECEITAS COM ENTREGAS (303)</v>
      </c>
      <c r="S4150">
        <v>2230</v>
      </c>
      <c r="T4150">
        <v>1637</v>
      </c>
      <c r="U4150" t="s">
        <v>19</v>
      </c>
    </row>
    <row r="4151" spans="1:21">
      <c r="A4151" t="str">
        <f t="shared" ref="A4151:A4182" si="1999">("30/07/2025")</f>
        <v>30/07/2025</v>
      </c>
      <c r="B4151" t="str">
        <f t="shared" si="1991"/>
        <v>ENTRADA</v>
      </c>
      <c r="C4151" t="str">
        <f t="shared" ref="C4151:C4182" si="2000">"NFSE"</f>
        <v>NFSE</v>
      </c>
      <c r="D4151" t="str">
        <f t="shared" si="1995"/>
        <v>3270</v>
      </c>
      <c r="E4151" t="str">
        <f t="shared" si="1998"/>
        <v>COM</v>
      </c>
      <c r="F4151" t="str">
        <f t="shared" si="1996"/>
        <v>FARMÁCIA INDIANA LJ 1 (10126)</v>
      </c>
      <c r="G4151" t="str">
        <f t="shared" si="1997"/>
        <v>Serv.Prest. 14/07/2025 a 20/07/2025 - RPS: 1037 - NFSe: 3270</v>
      </c>
      <c r="H4151" t="str">
        <f t="shared" ref="H4151:H4182" si="2001">("30/07/2025")</f>
        <v>30/07/2025</v>
      </c>
      <c r="I4151" t="str">
        <f t="shared" ref="I4151:I4185" si="2002">("22/07/2025")</f>
        <v>22/07/2025</v>
      </c>
      <c r="J4151" t="str">
        <f t="shared" ref="J4151:J4182" si="2003">("30/07/2025")</f>
        <v>30/07/2025</v>
      </c>
      <c r="M4151">
        <v>303</v>
      </c>
      <c r="N4151" t="str">
        <f t="shared" ref="N4151:N4182" si="2004">"RECEITAS COM ENTREGAS"</f>
        <v>RECEITAS COM ENTREGAS</v>
      </c>
      <c r="P4151">
        <v>107.32</v>
      </c>
      <c r="Q4151" t="str">
        <f>"FARMÁCIA INDIANA LJ 64 (10029)"</f>
        <v>FARMÁCIA INDIANA LJ 64 (10029)</v>
      </c>
      <c r="R4151" t="str">
        <f t="shared" ref="R4151:R4182" si="2005">"RECEITAS COM ENTREGAS (303)"</f>
        <v>RECEITAS COM ENTREGAS (303)</v>
      </c>
      <c r="S4151">
        <v>2230</v>
      </c>
      <c r="T4151">
        <v>1637</v>
      </c>
      <c r="U4151" t="s">
        <v>19</v>
      </c>
    </row>
    <row r="4152" spans="1:21">
      <c r="A4152" t="str">
        <f t="shared" si="1999"/>
        <v>30/07/2025</v>
      </c>
      <c r="B4152" t="str">
        <f t="shared" si="1991"/>
        <v>ENTRADA</v>
      </c>
      <c r="C4152" t="str">
        <f t="shared" si="2000"/>
        <v>NFSE</v>
      </c>
      <c r="D4152" t="str">
        <f t="shared" si="1995"/>
        <v>3270</v>
      </c>
      <c r="E4152" t="str">
        <f t="shared" si="1998"/>
        <v>COM</v>
      </c>
      <c r="F4152" t="str">
        <f t="shared" si="1996"/>
        <v>FARMÁCIA INDIANA LJ 1 (10126)</v>
      </c>
      <c r="G4152" t="str">
        <f t="shared" si="1997"/>
        <v>Serv.Prest. 14/07/2025 a 20/07/2025 - RPS: 1037 - NFSe: 3270</v>
      </c>
      <c r="H4152" t="str">
        <f t="shared" si="2001"/>
        <v>30/07/2025</v>
      </c>
      <c r="I4152" t="str">
        <f t="shared" si="2002"/>
        <v>22/07/2025</v>
      </c>
      <c r="J4152" t="str">
        <f t="shared" si="2003"/>
        <v>30/07/2025</v>
      </c>
      <c r="M4152">
        <v>303</v>
      </c>
      <c r="N4152" t="str">
        <f t="shared" si="2004"/>
        <v>RECEITAS COM ENTREGAS</v>
      </c>
      <c r="P4152">
        <v>66.569999999999993</v>
      </c>
      <c r="Q4152" t="str">
        <f>"FARMÁCIA INDIANA LJ 97 (10040)"</f>
        <v>FARMÁCIA INDIANA LJ 97 (10040)</v>
      </c>
      <c r="R4152" t="str">
        <f t="shared" si="2005"/>
        <v>RECEITAS COM ENTREGAS (303)</v>
      </c>
      <c r="S4152">
        <v>2230</v>
      </c>
      <c r="T4152">
        <v>1637</v>
      </c>
      <c r="U4152" t="s">
        <v>19</v>
      </c>
    </row>
    <row r="4153" spans="1:21">
      <c r="A4153" t="str">
        <f t="shared" si="1999"/>
        <v>30/07/2025</v>
      </c>
      <c r="B4153" t="str">
        <f t="shared" si="1991"/>
        <v>ENTRADA</v>
      </c>
      <c r="C4153" t="str">
        <f t="shared" si="2000"/>
        <v>NFSE</v>
      </c>
      <c r="D4153" t="str">
        <f t="shared" si="1995"/>
        <v>3270</v>
      </c>
      <c r="E4153" t="str">
        <f t="shared" si="1998"/>
        <v>COM</v>
      </c>
      <c r="F4153" t="str">
        <f t="shared" si="1996"/>
        <v>FARMÁCIA INDIANA LJ 1 (10126)</v>
      </c>
      <c r="G4153" t="str">
        <f t="shared" si="1997"/>
        <v>Serv.Prest. 14/07/2025 a 20/07/2025 - RPS: 1037 - NFSe: 3270</v>
      </c>
      <c r="H4153" t="str">
        <f t="shared" si="2001"/>
        <v>30/07/2025</v>
      </c>
      <c r="I4153" t="str">
        <f t="shared" si="2002"/>
        <v>22/07/2025</v>
      </c>
      <c r="J4153" t="str">
        <f t="shared" si="2003"/>
        <v>30/07/2025</v>
      </c>
      <c r="M4153">
        <v>303</v>
      </c>
      <c r="N4153" t="str">
        <f t="shared" si="2004"/>
        <v>RECEITAS COM ENTREGAS</v>
      </c>
      <c r="P4153">
        <v>300.23</v>
      </c>
      <c r="Q4153" t="str">
        <f>"FARMÁCIA INDIANA LJ 100 (10042)"</f>
        <v>FARMÁCIA INDIANA LJ 100 (10042)</v>
      </c>
      <c r="R4153" t="str">
        <f t="shared" si="2005"/>
        <v>RECEITAS COM ENTREGAS (303)</v>
      </c>
      <c r="S4153">
        <v>2230</v>
      </c>
      <c r="T4153">
        <v>1637</v>
      </c>
      <c r="U4153" t="s">
        <v>19</v>
      </c>
    </row>
    <row r="4154" spans="1:21">
      <c r="A4154" t="str">
        <f t="shared" si="1999"/>
        <v>30/07/2025</v>
      </c>
      <c r="B4154" t="str">
        <f t="shared" si="1991"/>
        <v>ENTRADA</v>
      </c>
      <c r="C4154" t="str">
        <f t="shared" si="2000"/>
        <v>NFSE</v>
      </c>
      <c r="D4154" t="str">
        <f t="shared" si="1995"/>
        <v>3270</v>
      </c>
      <c r="E4154" t="str">
        <f t="shared" si="1998"/>
        <v>COM</v>
      </c>
      <c r="F4154" t="str">
        <f t="shared" si="1996"/>
        <v>FARMÁCIA INDIANA LJ 1 (10126)</v>
      </c>
      <c r="G4154" t="str">
        <f t="shared" si="1997"/>
        <v>Serv.Prest. 14/07/2025 a 20/07/2025 - RPS: 1037 - NFSe: 3270</v>
      </c>
      <c r="H4154" t="str">
        <f t="shared" si="2001"/>
        <v>30/07/2025</v>
      </c>
      <c r="I4154" t="str">
        <f t="shared" si="2002"/>
        <v>22/07/2025</v>
      </c>
      <c r="J4154" t="str">
        <f t="shared" si="2003"/>
        <v>30/07/2025</v>
      </c>
      <c r="M4154">
        <v>303</v>
      </c>
      <c r="N4154" t="str">
        <f t="shared" si="2004"/>
        <v>RECEITAS COM ENTREGAS</v>
      </c>
      <c r="P4154">
        <v>811.04</v>
      </c>
      <c r="Q4154" t="str">
        <f>"FARMÁCIA INDIANA LJ 101 (10043)"</f>
        <v>FARMÁCIA INDIANA LJ 101 (10043)</v>
      </c>
      <c r="R4154" t="str">
        <f t="shared" si="2005"/>
        <v>RECEITAS COM ENTREGAS (303)</v>
      </c>
      <c r="S4154">
        <v>2230</v>
      </c>
      <c r="T4154">
        <v>1637</v>
      </c>
      <c r="U4154" t="s">
        <v>19</v>
      </c>
    </row>
    <row r="4155" spans="1:21">
      <c r="A4155" t="str">
        <f t="shared" si="1999"/>
        <v>30/07/2025</v>
      </c>
      <c r="B4155" t="str">
        <f t="shared" si="1991"/>
        <v>ENTRADA</v>
      </c>
      <c r="C4155" t="str">
        <f t="shared" si="2000"/>
        <v>NFSE</v>
      </c>
      <c r="D4155" t="str">
        <f t="shared" si="1995"/>
        <v>3270</v>
      </c>
      <c r="E4155" t="str">
        <f t="shared" si="1998"/>
        <v>COM</v>
      </c>
      <c r="F4155" t="str">
        <f t="shared" si="1996"/>
        <v>FARMÁCIA INDIANA LJ 1 (10126)</v>
      </c>
      <c r="G4155" t="str">
        <f t="shared" si="1997"/>
        <v>Serv.Prest. 14/07/2025 a 20/07/2025 - RPS: 1037 - NFSe: 3270</v>
      </c>
      <c r="H4155" t="str">
        <f t="shared" si="2001"/>
        <v>30/07/2025</v>
      </c>
      <c r="I4155" t="str">
        <f t="shared" si="2002"/>
        <v>22/07/2025</v>
      </c>
      <c r="J4155" t="str">
        <f t="shared" si="2003"/>
        <v>30/07/2025</v>
      </c>
      <c r="M4155">
        <v>303</v>
      </c>
      <c r="N4155" t="str">
        <f t="shared" si="2004"/>
        <v>RECEITAS COM ENTREGAS</v>
      </c>
      <c r="P4155">
        <v>66.569999999999993</v>
      </c>
      <c r="Q4155" t="str">
        <f>"FARMÁCIA INDIANA LJ 103 (10044)"</f>
        <v>FARMÁCIA INDIANA LJ 103 (10044)</v>
      </c>
      <c r="R4155" t="str">
        <f t="shared" si="2005"/>
        <v>RECEITAS COM ENTREGAS (303)</v>
      </c>
      <c r="S4155">
        <v>2230</v>
      </c>
      <c r="T4155">
        <v>1637</v>
      </c>
      <c r="U4155" t="s">
        <v>19</v>
      </c>
    </row>
    <row r="4156" spans="1:21">
      <c r="A4156" t="str">
        <f t="shared" si="1999"/>
        <v>30/07/2025</v>
      </c>
      <c r="B4156" t="str">
        <f t="shared" si="1991"/>
        <v>ENTRADA</v>
      </c>
      <c r="C4156" t="str">
        <f t="shared" si="2000"/>
        <v>NFSE</v>
      </c>
      <c r="D4156" t="str">
        <f t="shared" si="1995"/>
        <v>3270</v>
      </c>
      <c r="E4156" t="str">
        <f t="shared" si="1998"/>
        <v>COM</v>
      </c>
      <c r="F4156" t="str">
        <f t="shared" si="1996"/>
        <v>FARMÁCIA INDIANA LJ 1 (10126)</v>
      </c>
      <c r="G4156" t="str">
        <f t="shared" si="1997"/>
        <v>Serv.Prest. 14/07/2025 a 20/07/2025 - RPS: 1037 - NFSe: 3270</v>
      </c>
      <c r="H4156" t="str">
        <f t="shared" si="2001"/>
        <v>30/07/2025</v>
      </c>
      <c r="I4156" t="str">
        <f t="shared" si="2002"/>
        <v>22/07/2025</v>
      </c>
      <c r="J4156" t="str">
        <f t="shared" si="2003"/>
        <v>30/07/2025</v>
      </c>
      <c r="M4156">
        <v>303</v>
      </c>
      <c r="N4156" t="str">
        <f t="shared" si="2004"/>
        <v>RECEITAS COM ENTREGAS</v>
      </c>
      <c r="P4156">
        <v>233.67</v>
      </c>
      <c r="Q4156" t="str">
        <f>"FARMÁCIA INDIANA LJ 109 (10047)"</f>
        <v>FARMÁCIA INDIANA LJ 109 (10047)</v>
      </c>
      <c r="R4156" t="str">
        <f t="shared" si="2005"/>
        <v>RECEITAS COM ENTREGAS (303)</v>
      </c>
      <c r="S4156">
        <v>2230</v>
      </c>
      <c r="T4156">
        <v>1637</v>
      </c>
      <c r="U4156" t="s">
        <v>19</v>
      </c>
    </row>
    <row r="4157" spans="1:21">
      <c r="A4157" t="str">
        <f t="shared" si="1999"/>
        <v>30/07/2025</v>
      </c>
      <c r="B4157" t="str">
        <f t="shared" si="1991"/>
        <v>ENTRADA</v>
      </c>
      <c r="C4157" t="str">
        <f t="shared" si="2000"/>
        <v>NFSE</v>
      </c>
      <c r="D4157" t="str">
        <f t="shared" si="1995"/>
        <v>3270</v>
      </c>
      <c r="E4157" t="str">
        <f t="shared" si="1998"/>
        <v>COM</v>
      </c>
      <c r="F4157" t="str">
        <f t="shared" si="1996"/>
        <v>FARMÁCIA INDIANA LJ 1 (10126)</v>
      </c>
      <c r="G4157" t="str">
        <f t="shared" si="1997"/>
        <v>Serv.Prest. 14/07/2025 a 20/07/2025 - RPS: 1037 - NFSe: 3270</v>
      </c>
      <c r="H4157" t="str">
        <f t="shared" si="2001"/>
        <v>30/07/2025</v>
      </c>
      <c r="I4157" t="str">
        <f t="shared" si="2002"/>
        <v>22/07/2025</v>
      </c>
      <c r="J4157" t="str">
        <f t="shared" si="2003"/>
        <v>30/07/2025</v>
      </c>
      <c r="M4157">
        <v>303</v>
      </c>
      <c r="N4157" t="str">
        <f t="shared" si="2004"/>
        <v>RECEITAS COM ENTREGAS</v>
      </c>
      <c r="P4157">
        <v>528.47</v>
      </c>
      <c r="Q4157" t="str">
        <f>"FARMÁCIA INDIANA LJ 110 (10048)"</f>
        <v>FARMÁCIA INDIANA LJ 110 (10048)</v>
      </c>
      <c r="R4157" t="str">
        <f t="shared" si="2005"/>
        <v>RECEITAS COM ENTREGAS (303)</v>
      </c>
      <c r="S4157">
        <v>2230</v>
      </c>
      <c r="T4157">
        <v>1637</v>
      </c>
      <c r="U4157" t="s">
        <v>19</v>
      </c>
    </row>
    <row r="4158" spans="1:21">
      <c r="A4158" t="str">
        <f t="shared" si="1999"/>
        <v>30/07/2025</v>
      </c>
      <c r="B4158" t="str">
        <f t="shared" si="1991"/>
        <v>ENTRADA</v>
      </c>
      <c r="C4158" t="str">
        <f t="shared" si="2000"/>
        <v>NFSE</v>
      </c>
      <c r="D4158" t="str">
        <f t="shared" si="1995"/>
        <v>3270</v>
      </c>
      <c r="E4158" t="str">
        <f t="shared" si="1998"/>
        <v>COM</v>
      </c>
      <c r="F4158" t="str">
        <f t="shared" si="1996"/>
        <v>FARMÁCIA INDIANA LJ 1 (10126)</v>
      </c>
      <c r="G4158" t="str">
        <f t="shared" si="1997"/>
        <v>Serv.Prest. 14/07/2025 a 20/07/2025 - RPS: 1037 - NFSe: 3270</v>
      </c>
      <c r="H4158" t="str">
        <f t="shared" si="2001"/>
        <v>30/07/2025</v>
      </c>
      <c r="I4158" t="str">
        <f t="shared" si="2002"/>
        <v>22/07/2025</v>
      </c>
      <c r="J4158" t="str">
        <f t="shared" si="2003"/>
        <v>30/07/2025</v>
      </c>
      <c r="M4158">
        <v>303</v>
      </c>
      <c r="N4158" t="str">
        <f t="shared" si="2004"/>
        <v>RECEITAS COM ENTREGAS</v>
      </c>
      <c r="P4158">
        <v>63.85</v>
      </c>
      <c r="Q4158" t="str">
        <f>"FARMÁCIA INDIANA LJ 111 (10049)"</f>
        <v>FARMÁCIA INDIANA LJ 111 (10049)</v>
      </c>
      <c r="R4158" t="str">
        <f t="shared" si="2005"/>
        <v>RECEITAS COM ENTREGAS (303)</v>
      </c>
      <c r="S4158">
        <v>2230</v>
      </c>
      <c r="T4158">
        <v>1637</v>
      </c>
      <c r="U4158" t="s">
        <v>19</v>
      </c>
    </row>
    <row r="4159" spans="1:21">
      <c r="A4159" t="str">
        <f t="shared" si="1999"/>
        <v>30/07/2025</v>
      </c>
      <c r="B4159" t="str">
        <f t="shared" si="1991"/>
        <v>ENTRADA</v>
      </c>
      <c r="C4159" t="str">
        <f t="shared" si="2000"/>
        <v>NFSE</v>
      </c>
      <c r="D4159" t="str">
        <f t="shared" si="1995"/>
        <v>3270</v>
      </c>
      <c r="E4159" t="str">
        <f t="shared" si="1998"/>
        <v>COM</v>
      </c>
      <c r="F4159" t="str">
        <f t="shared" si="1996"/>
        <v>FARMÁCIA INDIANA LJ 1 (10126)</v>
      </c>
      <c r="G4159" t="str">
        <f t="shared" si="1997"/>
        <v>Serv.Prest. 14/07/2025 a 20/07/2025 - RPS: 1037 - NFSe: 3270</v>
      </c>
      <c r="H4159" t="str">
        <f t="shared" si="2001"/>
        <v>30/07/2025</v>
      </c>
      <c r="I4159" t="str">
        <f t="shared" si="2002"/>
        <v>22/07/2025</v>
      </c>
      <c r="J4159" t="str">
        <f t="shared" si="2003"/>
        <v>30/07/2025</v>
      </c>
      <c r="M4159">
        <v>303</v>
      </c>
      <c r="N4159" t="str">
        <f t="shared" si="2004"/>
        <v>RECEITAS COM ENTREGAS</v>
      </c>
      <c r="P4159">
        <v>149.44</v>
      </c>
      <c r="Q4159" t="str">
        <f>"FARMÁCIA INDIANA LJ 112 (10050)"</f>
        <v>FARMÁCIA INDIANA LJ 112 (10050)</v>
      </c>
      <c r="R4159" t="str">
        <f t="shared" si="2005"/>
        <v>RECEITAS COM ENTREGAS (303)</v>
      </c>
      <c r="S4159">
        <v>2230</v>
      </c>
      <c r="T4159">
        <v>1637</v>
      </c>
      <c r="U4159" t="s">
        <v>19</v>
      </c>
    </row>
    <row r="4160" spans="1:21">
      <c r="A4160" t="str">
        <f t="shared" si="1999"/>
        <v>30/07/2025</v>
      </c>
      <c r="B4160" t="str">
        <f t="shared" si="1991"/>
        <v>ENTRADA</v>
      </c>
      <c r="C4160" t="str">
        <f t="shared" si="2000"/>
        <v>NFSE</v>
      </c>
      <c r="D4160" t="str">
        <f t="shared" si="1995"/>
        <v>3270</v>
      </c>
      <c r="E4160" t="str">
        <f t="shared" si="1998"/>
        <v>COM</v>
      </c>
      <c r="F4160" t="str">
        <f t="shared" si="1996"/>
        <v>FARMÁCIA INDIANA LJ 1 (10126)</v>
      </c>
      <c r="G4160" t="str">
        <f t="shared" si="1997"/>
        <v>Serv.Prest. 14/07/2025 a 20/07/2025 - RPS: 1037 - NFSe: 3270</v>
      </c>
      <c r="H4160" t="str">
        <f t="shared" si="2001"/>
        <v>30/07/2025</v>
      </c>
      <c r="I4160" t="str">
        <f t="shared" si="2002"/>
        <v>22/07/2025</v>
      </c>
      <c r="J4160" t="str">
        <f t="shared" si="2003"/>
        <v>30/07/2025</v>
      </c>
      <c r="M4160">
        <v>303</v>
      </c>
      <c r="N4160" t="str">
        <f t="shared" si="2004"/>
        <v>RECEITAS COM ENTREGAS</v>
      </c>
      <c r="P4160">
        <v>149.44</v>
      </c>
      <c r="Q4160" t="str">
        <f>"FARMÁCIA INDIANA LJ 116 (10051)"</f>
        <v>FARMÁCIA INDIANA LJ 116 (10051)</v>
      </c>
      <c r="R4160" t="str">
        <f t="shared" si="2005"/>
        <v>RECEITAS COM ENTREGAS (303)</v>
      </c>
      <c r="S4160">
        <v>2230</v>
      </c>
      <c r="T4160">
        <v>1637</v>
      </c>
      <c r="U4160" t="s">
        <v>19</v>
      </c>
    </row>
    <row r="4161" spans="1:21">
      <c r="A4161" t="str">
        <f t="shared" si="1999"/>
        <v>30/07/2025</v>
      </c>
      <c r="B4161" t="str">
        <f t="shared" si="1991"/>
        <v>ENTRADA</v>
      </c>
      <c r="C4161" t="str">
        <f t="shared" si="2000"/>
        <v>NFSE</v>
      </c>
      <c r="D4161" t="str">
        <f t="shared" si="1995"/>
        <v>3270</v>
      </c>
      <c r="E4161" t="str">
        <f t="shared" si="1998"/>
        <v>COM</v>
      </c>
      <c r="F4161" t="str">
        <f t="shared" si="1996"/>
        <v>FARMÁCIA INDIANA LJ 1 (10126)</v>
      </c>
      <c r="G4161" t="str">
        <f t="shared" si="1997"/>
        <v>Serv.Prest. 14/07/2025 a 20/07/2025 - RPS: 1037 - NFSe: 3270</v>
      </c>
      <c r="H4161" t="str">
        <f t="shared" si="2001"/>
        <v>30/07/2025</v>
      </c>
      <c r="I4161" t="str">
        <f t="shared" si="2002"/>
        <v>22/07/2025</v>
      </c>
      <c r="J4161" t="str">
        <f t="shared" si="2003"/>
        <v>30/07/2025</v>
      </c>
      <c r="M4161">
        <v>303</v>
      </c>
      <c r="N4161" t="str">
        <f t="shared" si="2004"/>
        <v>RECEITAS COM ENTREGAS</v>
      </c>
      <c r="P4161">
        <v>100.53</v>
      </c>
      <c r="Q4161" t="str">
        <f>"FARMÁCIA INDIANA LJ 118 (10052)"</f>
        <v>FARMÁCIA INDIANA LJ 118 (10052)</v>
      </c>
      <c r="R4161" t="str">
        <f t="shared" si="2005"/>
        <v>RECEITAS COM ENTREGAS (303)</v>
      </c>
      <c r="S4161">
        <v>2230</v>
      </c>
      <c r="T4161">
        <v>1637</v>
      </c>
      <c r="U4161" t="s">
        <v>19</v>
      </c>
    </row>
    <row r="4162" spans="1:21">
      <c r="A4162" t="str">
        <f t="shared" si="1999"/>
        <v>30/07/2025</v>
      </c>
      <c r="B4162" t="str">
        <f t="shared" si="1991"/>
        <v>ENTRADA</v>
      </c>
      <c r="C4162" t="str">
        <f t="shared" si="2000"/>
        <v>NFSE</v>
      </c>
      <c r="D4162" t="str">
        <f t="shared" si="1995"/>
        <v>3270</v>
      </c>
      <c r="E4162" t="str">
        <f t="shared" si="1998"/>
        <v>COM</v>
      </c>
      <c r="F4162" t="str">
        <f t="shared" si="1996"/>
        <v>FARMÁCIA INDIANA LJ 1 (10126)</v>
      </c>
      <c r="G4162" t="str">
        <f t="shared" si="1997"/>
        <v>Serv.Prest. 14/07/2025 a 20/07/2025 - RPS: 1037 - NFSe: 3270</v>
      </c>
      <c r="H4162" t="str">
        <f t="shared" si="2001"/>
        <v>30/07/2025</v>
      </c>
      <c r="I4162" t="str">
        <f t="shared" si="2002"/>
        <v>22/07/2025</v>
      </c>
      <c r="J4162" t="str">
        <f t="shared" si="2003"/>
        <v>30/07/2025</v>
      </c>
      <c r="M4162">
        <v>303</v>
      </c>
      <c r="N4162" t="str">
        <f t="shared" si="2004"/>
        <v>RECEITAS COM ENTREGAS</v>
      </c>
      <c r="P4162">
        <v>149.44</v>
      </c>
      <c r="Q4162" t="str">
        <f>"FARMÁCIA INDIANA LJ 121 (10054)"</f>
        <v>FARMÁCIA INDIANA LJ 121 (10054)</v>
      </c>
      <c r="R4162" t="str">
        <f t="shared" si="2005"/>
        <v>RECEITAS COM ENTREGAS (303)</v>
      </c>
      <c r="S4162">
        <v>2230</v>
      </c>
      <c r="T4162">
        <v>1637</v>
      </c>
      <c r="U4162" t="s">
        <v>19</v>
      </c>
    </row>
    <row r="4163" spans="1:21">
      <c r="A4163" t="str">
        <f t="shared" si="1999"/>
        <v>30/07/2025</v>
      </c>
      <c r="B4163" t="str">
        <f t="shared" si="1991"/>
        <v>ENTRADA</v>
      </c>
      <c r="C4163" t="str">
        <f t="shared" si="2000"/>
        <v>NFSE</v>
      </c>
      <c r="D4163" t="str">
        <f t="shared" si="1995"/>
        <v>3270</v>
      </c>
      <c r="E4163" t="str">
        <f t="shared" si="1998"/>
        <v>COM</v>
      </c>
      <c r="F4163" t="str">
        <f t="shared" si="1996"/>
        <v>FARMÁCIA INDIANA LJ 1 (10126)</v>
      </c>
      <c r="G4163" t="str">
        <f t="shared" si="1997"/>
        <v>Serv.Prest. 14/07/2025 a 20/07/2025 - RPS: 1037 - NFSe: 3270</v>
      </c>
      <c r="H4163" t="str">
        <f t="shared" si="2001"/>
        <v>30/07/2025</v>
      </c>
      <c r="I4163" t="str">
        <f t="shared" si="2002"/>
        <v>22/07/2025</v>
      </c>
      <c r="J4163" t="str">
        <f t="shared" si="2003"/>
        <v>30/07/2025</v>
      </c>
      <c r="M4163">
        <v>303</v>
      </c>
      <c r="N4163" t="str">
        <f t="shared" si="2004"/>
        <v>RECEITAS COM ENTREGAS</v>
      </c>
      <c r="P4163">
        <v>149.44</v>
      </c>
      <c r="Q4163" t="str">
        <f>"FARMÁCIA INDIANA LJ 128 (10057)"</f>
        <v>FARMÁCIA INDIANA LJ 128 (10057)</v>
      </c>
      <c r="R4163" t="str">
        <f t="shared" si="2005"/>
        <v>RECEITAS COM ENTREGAS (303)</v>
      </c>
      <c r="S4163">
        <v>2230</v>
      </c>
      <c r="T4163">
        <v>1637</v>
      </c>
      <c r="U4163" t="s">
        <v>19</v>
      </c>
    </row>
    <row r="4164" spans="1:21">
      <c r="A4164" t="str">
        <f t="shared" si="1999"/>
        <v>30/07/2025</v>
      </c>
      <c r="B4164" t="str">
        <f t="shared" si="1991"/>
        <v>ENTRADA</v>
      </c>
      <c r="C4164" t="str">
        <f t="shared" si="2000"/>
        <v>NFSE</v>
      </c>
      <c r="D4164" t="str">
        <f t="shared" si="1995"/>
        <v>3270</v>
      </c>
      <c r="E4164" t="str">
        <f t="shared" si="1998"/>
        <v>COM</v>
      </c>
      <c r="F4164" t="str">
        <f t="shared" si="1996"/>
        <v>FARMÁCIA INDIANA LJ 1 (10126)</v>
      </c>
      <c r="G4164" t="str">
        <f t="shared" si="1997"/>
        <v>Serv.Prest. 14/07/2025 a 20/07/2025 - RPS: 1037 - NFSe: 3270</v>
      </c>
      <c r="H4164" t="str">
        <f t="shared" si="2001"/>
        <v>30/07/2025</v>
      </c>
      <c r="I4164" t="str">
        <f t="shared" si="2002"/>
        <v>22/07/2025</v>
      </c>
      <c r="J4164" t="str">
        <f t="shared" si="2003"/>
        <v>30/07/2025</v>
      </c>
      <c r="M4164">
        <v>303</v>
      </c>
      <c r="N4164" t="str">
        <f t="shared" si="2004"/>
        <v>RECEITAS COM ENTREGAS</v>
      </c>
      <c r="P4164">
        <v>29.89</v>
      </c>
      <c r="Q4164" t="str">
        <f>"FARMÁCIA INDIANA LJ 140 (10064)"</f>
        <v>FARMÁCIA INDIANA LJ 140 (10064)</v>
      </c>
      <c r="R4164" t="str">
        <f t="shared" si="2005"/>
        <v>RECEITAS COM ENTREGAS (303)</v>
      </c>
      <c r="S4164">
        <v>2230</v>
      </c>
      <c r="T4164">
        <v>1637</v>
      </c>
      <c r="U4164" t="s">
        <v>19</v>
      </c>
    </row>
    <row r="4165" spans="1:21">
      <c r="A4165" t="str">
        <f t="shared" si="1999"/>
        <v>30/07/2025</v>
      </c>
      <c r="B4165" t="str">
        <f t="shared" si="1991"/>
        <v>ENTRADA</v>
      </c>
      <c r="C4165" t="str">
        <f t="shared" si="2000"/>
        <v>NFSE</v>
      </c>
      <c r="D4165" t="str">
        <f t="shared" si="1995"/>
        <v>3270</v>
      </c>
      <c r="E4165" t="str">
        <f t="shared" si="1998"/>
        <v>COM</v>
      </c>
      <c r="F4165" t="str">
        <f t="shared" si="1996"/>
        <v>FARMÁCIA INDIANA LJ 1 (10126)</v>
      </c>
      <c r="G4165" t="str">
        <f t="shared" si="1997"/>
        <v>Serv.Prest. 14/07/2025 a 20/07/2025 - RPS: 1037 - NFSe: 3270</v>
      </c>
      <c r="H4165" t="str">
        <f t="shared" si="2001"/>
        <v>30/07/2025</v>
      </c>
      <c r="I4165" t="str">
        <f t="shared" si="2002"/>
        <v>22/07/2025</v>
      </c>
      <c r="J4165" t="str">
        <f t="shared" si="2003"/>
        <v>30/07/2025</v>
      </c>
      <c r="M4165">
        <v>303</v>
      </c>
      <c r="N4165" t="str">
        <f t="shared" si="2004"/>
        <v>RECEITAS COM ENTREGAS</v>
      </c>
      <c r="P4165">
        <v>19.02</v>
      </c>
      <c r="Q4165" t="str">
        <f>"FARMÁCIA INDIANA LJ 141 (10065)"</f>
        <v>FARMÁCIA INDIANA LJ 141 (10065)</v>
      </c>
      <c r="R4165" t="str">
        <f t="shared" si="2005"/>
        <v>RECEITAS COM ENTREGAS (303)</v>
      </c>
      <c r="S4165">
        <v>2230</v>
      </c>
      <c r="T4165">
        <v>1637</v>
      </c>
      <c r="U4165" t="s">
        <v>19</v>
      </c>
    </row>
    <row r="4166" spans="1:21">
      <c r="A4166" t="str">
        <f t="shared" si="1999"/>
        <v>30/07/2025</v>
      </c>
      <c r="B4166" t="str">
        <f t="shared" si="1991"/>
        <v>ENTRADA</v>
      </c>
      <c r="C4166" t="str">
        <f t="shared" si="2000"/>
        <v>NFSE</v>
      </c>
      <c r="D4166" t="str">
        <f t="shared" si="1995"/>
        <v>3270</v>
      </c>
      <c r="E4166" t="str">
        <f t="shared" si="1998"/>
        <v>COM</v>
      </c>
      <c r="F4166" t="str">
        <f t="shared" si="1996"/>
        <v>FARMÁCIA INDIANA LJ 1 (10126)</v>
      </c>
      <c r="G4166" t="str">
        <f t="shared" si="1997"/>
        <v>Serv.Prest. 14/07/2025 a 20/07/2025 - RPS: 1037 - NFSe: 3270</v>
      </c>
      <c r="H4166" t="str">
        <f t="shared" si="2001"/>
        <v>30/07/2025</v>
      </c>
      <c r="I4166" t="str">
        <f t="shared" si="2002"/>
        <v>22/07/2025</v>
      </c>
      <c r="J4166" t="str">
        <f t="shared" si="2003"/>
        <v>30/07/2025</v>
      </c>
      <c r="M4166">
        <v>303</v>
      </c>
      <c r="N4166" t="str">
        <f t="shared" si="2004"/>
        <v>RECEITAS COM ENTREGAS</v>
      </c>
      <c r="P4166">
        <v>691.49</v>
      </c>
      <c r="Q4166" t="str">
        <f>"FARMÁCIA INDIANA LJ 142 (10066)"</f>
        <v>FARMÁCIA INDIANA LJ 142 (10066)</v>
      </c>
      <c r="R4166" t="str">
        <f t="shared" si="2005"/>
        <v>RECEITAS COM ENTREGAS (303)</v>
      </c>
      <c r="S4166">
        <v>2230</v>
      </c>
      <c r="T4166">
        <v>1637</v>
      </c>
      <c r="U4166" t="s">
        <v>19</v>
      </c>
    </row>
    <row r="4167" spans="1:21">
      <c r="A4167" t="str">
        <f t="shared" si="1999"/>
        <v>30/07/2025</v>
      </c>
      <c r="B4167" t="str">
        <f t="shared" si="1991"/>
        <v>ENTRADA</v>
      </c>
      <c r="C4167" t="str">
        <f t="shared" si="2000"/>
        <v>NFSE</v>
      </c>
      <c r="D4167" t="str">
        <f t="shared" si="1995"/>
        <v>3270</v>
      </c>
      <c r="E4167" t="str">
        <f t="shared" si="1998"/>
        <v>COM</v>
      </c>
      <c r="F4167" t="str">
        <f t="shared" si="1996"/>
        <v>FARMÁCIA INDIANA LJ 1 (10126)</v>
      </c>
      <c r="G4167" t="str">
        <f t="shared" si="1997"/>
        <v>Serv.Prest. 14/07/2025 a 20/07/2025 - RPS: 1037 - NFSe: 3270</v>
      </c>
      <c r="H4167" t="str">
        <f t="shared" si="2001"/>
        <v>30/07/2025</v>
      </c>
      <c r="I4167" t="str">
        <f t="shared" si="2002"/>
        <v>22/07/2025</v>
      </c>
      <c r="J4167" t="str">
        <f t="shared" si="2003"/>
        <v>30/07/2025</v>
      </c>
      <c r="M4167">
        <v>303</v>
      </c>
      <c r="N4167" t="str">
        <f t="shared" si="2004"/>
        <v>RECEITAS COM ENTREGAS</v>
      </c>
      <c r="P4167">
        <v>66.569999999999993</v>
      </c>
      <c r="Q4167" t="str">
        <f>"FARMÁCIA INDIANA LJ 143 (10067)"</f>
        <v>FARMÁCIA INDIANA LJ 143 (10067)</v>
      </c>
      <c r="R4167" t="str">
        <f t="shared" si="2005"/>
        <v>RECEITAS COM ENTREGAS (303)</v>
      </c>
      <c r="S4167">
        <v>2230</v>
      </c>
      <c r="T4167">
        <v>1637</v>
      </c>
      <c r="U4167" t="s">
        <v>19</v>
      </c>
    </row>
    <row r="4168" spans="1:21">
      <c r="A4168" t="str">
        <f t="shared" si="1999"/>
        <v>30/07/2025</v>
      </c>
      <c r="B4168" t="str">
        <f t="shared" si="1991"/>
        <v>ENTRADA</v>
      </c>
      <c r="C4168" t="str">
        <f t="shared" si="2000"/>
        <v>NFSE</v>
      </c>
      <c r="D4168" t="str">
        <f t="shared" si="1995"/>
        <v>3270</v>
      </c>
      <c r="E4168" t="str">
        <f t="shared" si="1998"/>
        <v>COM</v>
      </c>
      <c r="F4168" t="str">
        <f t="shared" si="1996"/>
        <v>FARMÁCIA INDIANA LJ 1 (10126)</v>
      </c>
      <c r="G4168" t="str">
        <f t="shared" si="1997"/>
        <v>Serv.Prest. 14/07/2025 a 20/07/2025 - RPS: 1037 - NFSe: 3270</v>
      </c>
      <c r="H4168" t="str">
        <f t="shared" si="2001"/>
        <v>30/07/2025</v>
      </c>
      <c r="I4168" t="str">
        <f t="shared" si="2002"/>
        <v>22/07/2025</v>
      </c>
      <c r="J4168" t="str">
        <f t="shared" si="2003"/>
        <v>30/07/2025</v>
      </c>
      <c r="M4168">
        <v>303</v>
      </c>
      <c r="N4168" t="str">
        <f t="shared" si="2004"/>
        <v>RECEITAS COM ENTREGAS</v>
      </c>
      <c r="P4168">
        <v>172.53</v>
      </c>
      <c r="Q4168" t="str">
        <f>"FARMÁCIA INDIANA LJ 152 (10069)"</f>
        <v>FARMÁCIA INDIANA LJ 152 (10069)</v>
      </c>
      <c r="R4168" t="str">
        <f t="shared" si="2005"/>
        <v>RECEITAS COM ENTREGAS (303)</v>
      </c>
      <c r="S4168">
        <v>2230</v>
      </c>
      <c r="T4168">
        <v>1637</v>
      </c>
      <c r="U4168" t="s">
        <v>19</v>
      </c>
    </row>
    <row r="4169" spans="1:21">
      <c r="A4169" t="str">
        <f t="shared" si="1999"/>
        <v>30/07/2025</v>
      </c>
      <c r="B4169" t="str">
        <f t="shared" si="1991"/>
        <v>ENTRADA</v>
      </c>
      <c r="C4169" t="str">
        <f t="shared" si="2000"/>
        <v>NFSE</v>
      </c>
      <c r="D4169" t="str">
        <f t="shared" si="1995"/>
        <v>3270</v>
      </c>
      <c r="E4169" t="str">
        <f t="shared" si="1998"/>
        <v>COM</v>
      </c>
      <c r="F4169" t="str">
        <f t="shared" si="1996"/>
        <v>FARMÁCIA INDIANA LJ 1 (10126)</v>
      </c>
      <c r="G4169" t="str">
        <f t="shared" si="1997"/>
        <v>Serv.Prest. 14/07/2025 a 20/07/2025 - RPS: 1037 - NFSe: 3270</v>
      </c>
      <c r="H4169" t="str">
        <f t="shared" si="2001"/>
        <v>30/07/2025</v>
      </c>
      <c r="I4169" t="str">
        <f t="shared" si="2002"/>
        <v>22/07/2025</v>
      </c>
      <c r="J4169" t="str">
        <f t="shared" si="2003"/>
        <v>30/07/2025</v>
      </c>
      <c r="M4169">
        <v>303</v>
      </c>
      <c r="N4169" t="str">
        <f t="shared" si="2004"/>
        <v>RECEITAS COM ENTREGAS</v>
      </c>
      <c r="P4169">
        <v>47.55</v>
      </c>
      <c r="Q4169" t="str">
        <f>"FARMÁCIA INDIANA LJ 154 (10070)"</f>
        <v>FARMÁCIA INDIANA LJ 154 (10070)</v>
      </c>
      <c r="R4169" t="str">
        <f t="shared" si="2005"/>
        <v>RECEITAS COM ENTREGAS (303)</v>
      </c>
      <c r="S4169">
        <v>2230</v>
      </c>
      <c r="T4169">
        <v>1637</v>
      </c>
      <c r="U4169" t="s">
        <v>19</v>
      </c>
    </row>
    <row r="4170" spans="1:21">
      <c r="A4170" t="str">
        <f t="shared" si="1999"/>
        <v>30/07/2025</v>
      </c>
      <c r="B4170" t="str">
        <f t="shared" si="1991"/>
        <v>ENTRADA</v>
      </c>
      <c r="C4170" t="str">
        <f t="shared" si="2000"/>
        <v>NFSE</v>
      </c>
      <c r="D4170" t="str">
        <f t="shared" si="1995"/>
        <v>3270</v>
      </c>
      <c r="E4170" t="str">
        <f t="shared" si="1998"/>
        <v>COM</v>
      </c>
      <c r="F4170" t="str">
        <f t="shared" si="1996"/>
        <v>FARMÁCIA INDIANA LJ 1 (10126)</v>
      </c>
      <c r="G4170" t="str">
        <f t="shared" si="1997"/>
        <v>Serv.Prest. 14/07/2025 a 20/07/2025 - RPS: 1037 - NFSe: 3270</v>
      </c>
      <c r="H4170" t="str">
        <f t="shared" si="2001"/>
        <v>30/07/2025</v>
      </c>
      <c r="I4170" t="str">
        <f t="shared" si="2002"/>
        <v>22/07/2025</v>
      </c>
      <c r="J4170" t="str">
        <f t="shared" si="2003"/>
        <v>30/07/2025</v>
      </c>
      <c r="M4170">
        <v>303</v>
      </c>
      <c r="N4170" t="str">
        <f t="shared" si="2004"/>
        <v>RECEITAS COM ENTREGAS</v>
      </c>
      <c r="P4170">
        <v>321.97000000000003</v>
      </c>
      <c r="Q4170" t="str">
        <f>"FARMÁCIA INDIANA LJ 171 (10074)"</f>
        <v>FARMÁCIA INDIANA LJ 171 (10074)</v>
      </c>
      <c r="R4170" t="str">
        <f t="shared" si="2005"/>
        <v>RECEITAS COM ENTREGAS (303)</v>
      </c>
      <c r="S4170">
        <v>2230</v>
      </c>
      <c r="T4170">
        <v>1637</v>
      </c>
      <c r="U4170" t="s">
        <v>19</v>
      </c>
    </row>
    <row r="4171" spans="1:21">
      <c r="A4171" t="str">
        <f t="shared" si="1999"/>
        <v>30/07/2025</v>
      </c>
      <c r="B4171" t="str">
        <f t="shared" si="1991"/>
        <v>ENTRADA</v>
      </c>
      <c r="C4171" t="str">
        <f t="shared" si="2000"/>
        <v>NFSE</v>
      </c>
      <c r="D4171" t="str">
        <f t="shared" si="1995"/>
        <v>3270</v>
      </c>
      <c r="E4171" t="str">
        <f t="shared" si="1998"/>
        <v>COM</v>
      </c>
      <c r="F4171" t="str">
        <f t="shared" si="1996"/>
        <v>FARMÁCIA INDIANA LJ 1 (10126)</v>
      </c>
      <c r="G4171" t="str">
        <f t="shared" si="1997"/>
        <v>Serv.Prest. 14/07/2025 a 20/07/2025 - RPS: 1037 - NFSe: 3270</v>
      </c>
      <c r="H4171" t="str">
        <f t="shared" si="2001"/>
        <v>30/07/2025</v>
      </c>
      <c r="I4171" t="str">
        <f t="shared" si="2002"/>
        <v>22/07/2025</v>
      </c>
      <c r="J4171" t="str">
        <f t="shared" si="2003"/>
        <v>30/07/2025</v>
      </c>
      <c r="M4171">
        <v>303</v>
      </c>
      <c r="N4171" t="str">
        <f t="shared" si="2004"/>
        <v>RECEITAS COM ENTREGAS</v>
      </c>
      <c r="P4171">
        <v>123.63</v>
      </c>
      <c r="Q4171" t="str">
        <f>"FARMÁCIA INDIANA LJ 175 (10076)"</f>
        <v>FARMÁCIA INDIANA LJ 175 (10076)</v>
      </c>
      <c r="R4171" t="str">
        <f t="shared" si="2005"/>
        <v>RECEITAS COM ENTREGAS (303)</v>
      </c>
      <c r="S4171">
        <v>2230</v>
      </c>
      <c r="T4171">
        <v>1637</v>
      </c>
      <c r="U4171" t="s">
        <v>19</v>
      </c>
    </row>
    <row r="4172" spans="1:21">
      <c r="A4172" t="str">
        <f t="shared" si="1999"/>
        <v>30/07/2025</v>
      </c>
      <c r="B4172" t="str">
        <f t="shared" si="1991"/>
        <v>ENTRADA</v>
      </c>
      <c r="C4172" t="str">
        <f t="shared" si="2000"/>
        <v>NFSE</v>
      </c>
      <c r="D4172" t="str">
        <f t="shared" si="1995"/>
        <v>3270</v>
      </c>
      <c r="E4172" t="str">
        <f t="shared" si="1998"/>
        <v>COM</v>
      </c>
      <c r="F4172" t="str">
        <f t="shared" si="1996"/>
        <v>FARMÁCIA INDIANA LJ 1 (10126)</v>
      </c>
      <c r="G4172" t="str">
        <f t="shared" si="1997"/>
        <v>Serv.Prest. 14/07/2025 a 20/07/2025 - RPS: 1037 - NFSe: 3270</v>
      </c>
      <c r="H4172" t="str">
        <f t="shared" si="2001"/>
        <v>30/07/2025</v>
      </c>
      <c r="I4172" t="str">
        <f t="shared" si="2002"/>
        <v>22/07/2025</v>
      </c>
      <c r="J4172" t="str">
        <f t="shared" si="2003"/>
        <v>30/07/2025</v>
      </c>
      <c r="M4172">
        <v>303</v>
      </c>
      <c r="N4172" t="str">
        <f t="shared" si="2004"/>
        <v>RECEITAS COM ENTREGAS</v>
      </c>
      <c r="P4172">
        <v>123.63</v>
      </c>
      <c r="Q4172" t="str">
        <f>"FARMÁCIA INDIANA LJ 178 (10077)"</f>
        <v>FARMÁCIA INDIANA LJ 178 (10077)</v>
      </c>
      <c r="R4172" t="str">
        <f t="shared" si="2005"/>
        <v>RECEITAS COM ENTREGAS (303)</v>
      </c>
      <c r="S4172">
        <v>2230</v>
      </c>
      <c r="T4172">
        <v>1637</v>
      </c>
      <c r="U4172" t="s">
        <v>19</v>
      </c>
    </row>
    <row r="4173" spans="1:21">
      <c r="A4173" t="str">
        <f t="shared" si="1999"/>
        <v>30/07/2025</v>
      </c>
      <c r="B4173" t="str">
        <f t="shared" si="1991"/>
        <v>ENTRADA</v>
      </c>
      <c r="C4173" t="str">
        <f t="shared" si="2000"/>
        <v>NFSE</v>
      </c>
      <c r="D4173" t="str">
        <f t="shared" si="1995"/>
        <v>3270</v>
      </c>
      <c r="E4173" t="str">
        <f t="shared" si="1998"/>
        <v>COM</v>
      </c>
      <c r="F4173" t="str">
        <f t="shared" si="1996"/>
        <v>FARMÁCIA INDIANA LJ 1 (10126)</v>
      </c>
      <c r="G4173" t="str">
        <f t="shared" si="1997"/>
        <v>Serv.Prest. 14/07/2025 a 20/07/2025 - RPS: 1037 - NFSe: 3270</v>
      </c>
      <c r="H4173" t="str">
        <f t="shared" si="2001"/>
        <v>30/07/2025</v>
      </c>
      <c r="I4173" t="str">
        <f t="shared" si="2002"/>
        <v>22/07/2025</v>
      </c>
      <c r="J4173" t="str">
        <f t="shared" si="2003"/>
        <v>30/07/2025</v>
      </c>
      <c r="M4173">
        <v>303</v>
      </c>
      <c r="N4173" t="str">
        <f t="shared" si="2004"/>
        <v>RECEITAS COM ENTREGAS</v>
      </c>
      <c r="P4173">
        <v>74.72</v>
      </c>
      <c r="Q4173" t="str">
        <f>"FARMÁCIA INDIANA LJ 182 (10079)"</f>
        <v>FARMÁCIA INDIANA LJ 182 (10079)</v>
      </c>
      <c r="R4173" t="str">
        <f t="shared" si="2005"/>
        <v>RECEITAS COM ENTREGAS (303)</v>
      </c>
      <c r="S4173">
        <v>2230</v>
      </c>
      <c r="T4173">
        <v>1637</v>
      </c>
      <c r="U4173" t="s">
        <v>19</v>
      </c>
    </row>
    <row r="4174" spans="1:21">
      <c r="A4174" t="str">
        <f t="shared" si="1999"/>
        <v>30/07/2025</v>
      </c>
      <c r="B4174" t="str">
        <f t="shared" si="1991"/>
        <v>ENTRADA</v>
      </c>
      <c r="C4174" t="str">
        <f t="shared" si="2000"/>
        <v>NFSE</v>
      </c>
      <c r="D4174" t="str">
        <f t="shared" si="1995"/>
        <v>3270</v>
      </c>
      <c r="E4174" t="str">
        <f t="shared" si="1998"/>
        <v>COM</v>
      </c>
      <c r="F4174" t="str">
        <f t="shared" si="1996"/>
        <v>FARMÁCIA INDIANA LJ 1 (10126)</v>
      </c>
      <c r="G4174" t="str">
        <f t="shared" si="1997"/>
        <v>Serv.Prest. 14/07/2025 a 20/07/2025 - RPS: 1037 - NFSe: 3270</v>
      </c>
      <c r="H4174" t="str">
        <f t="shared" si="2001"/>
        <v>30/07/2025</v>
      </c>
      <c r="I4174" t="str">
        <f t="shared" si="2002"/>
        <v>22/07/2025</v>
      </c>
      <c r="J4174" t="str">
        <f t="shared" si="2003"/>
        <v>30/07/2025</v>
      </c>
      <c r="M4174">
        <v>303</v>
      </c>
      <c r="N4174" t="str">
        <f t="shared" si="2004"/>
        <v>RECEITAS COM ENTREGAS</v>
      </c>
      <c r="P4174">
        <v>39.4</v>
      </c>
      <c r="Q4174" t="str">
        <f>"FARMÁCIA INDIANA LJ 184 (10080)"</f>
        <v>FARMÁCIA INDIANA LJ 184 (10080)</v>
      </c>
      <c r="R4174" t="str">
        <f t="shared" si="2005"/>
        <v>RECEITAS COM ENTREGAS (303)</v>
      </c>
      <c r="S4174">
        <v>2230</v>
      </c>
      <c r="T4174">
        <v>1637</v>
      </c>
      <c r="U4174" t="s">
        <v>19</v>
      </c>
    </row>
    <row r="4175" spans="1:21">
      <c r="A4175" t="str">
        <f t="shared" si="1999"/>
        <v>30/07/2025</v>
      </c>
      <c r="B4175" t="str">
        <f t="shared" si="1991"/>
        <v>ENTRADA</v>
      </c>
      <c r="C4175" t="str">
        <f t="shared" si="2000"/>
        <v>NFSE</v>
      </c>
      <c r="D4175" t="str">
        <f t="shared" si="1995"/>
        <v>3270</v>
      </c>
      <c r="E4175" t="str">
        <f t="shared" si="1998"/>
        <v>COM</v>
      </c>
      <c r="F4175" t="str">
        <f t="shared" si="1996"/>
        <v>FARMÁCIA INDIANA LJ 1 (10126)</v>
      </c>
      <c r="G4175" t="str">
        <f t="shared" si="1997"/>
        <v>Serv.Prest. 14/07/2025 a 20/07/2025 - RPS: 1037 - NFSe: 3270</v>
      </c>
      <c r="H4175" t="str">
        <f t="shared" si="2001"/>
        <v>30/07/2025</v>
      </c>
      <c r="I4175" t="str">
        <f t="shared" si="2002"/>
        <v>22/07/2025</v>
      </c>
      <c r="J4175" t="str">
        <f t="shared" si="2003"/>
        <v>30/07/2025</v>
      </c>
      <c r="M4175">
        <v>303</v>
      </c>
      <c r="N4175" t="str">
        <f t="shared" si="2004"/>
        <v>RECEITAS COM ENTREGAS</v>
      </c>
      <c r="P4175">
        <v>74.72</v>
      </c>
      <c r="Q4175" t="str">
        <f>"FARMÁCIA INDIANA LJ 186 (10081)"</f>
        <v>FARMÁCIA INDIANA LJ 186 (10081)</v>
      </c>
      <c r="R4175" t="str">
        <f t="shared" si="2005"/>
        <v>RECEITAS COM ENTREGAS (303)</v>
      </c>
      <c r="S4175">
        <v>2230</v>
      </c>
      <c r="T4175">
        <v>1637</v>
      </c>
      <c r="U4175" t="s">
        <v>19</v>
      </c>
    </row>
    <row r="4176" spans="1:21">
      <c r="A4176" t="str">
        <f t="shared" si="1999"/>
        <v>30/07/2025</v>
      </c>
      <c r="B4176" t="str">
        <f t="shared" si="1991"/>
        <v>ENTRADA</v>
      </c>
      <c r="C4176" t="str">
        <f t="shared" si="2000"/>
        <v>NFSE</v>
      </c>
      <c r="D4176" t="str">
        <f t="shared" si="1995"/>
        <v>3270</v>
      </c>
      <c r="E4176" t="str">
        <f t="shared" si="1998"/>
        <v>COM</v>
      </c>
      <c r="F4176" t="str">
        <f t="shared" si="1996"/>
        <v>FARMÁCIA INDIANA LJ 1 (10126)</v>
      </c>
      <c r="G4176" t="str">
        <f t="shared" si="1997"/>
        <v>Serv.Prest. 14/07/2025 a 20/07/2025 - RPS: 1037 - NFSe: 3270</v>
      </c>
      <c r="H4176" t="str">
        <f t="shared" si="2001"/>
        <v>30/07/2025</v>
      </c>
      <c r="I4176" t="str">
        <f t="shared" si="2002"/>
        <v>22/07/2025</v>
      </c>
      <c r="J4176" t="str">
        <f t="shared" si="2003"/>
        <v>30/07/2025</v>
      </c>
      <c r="M4176">
        <v>303</v>
      </c>
      <c r="N4176" t="str">
        <f t="shared" si="2004"/>
        <v>RECEITAS COM ENTREGAS</v>
      </c>
      <c r="P4176">
        <v>82.87</v>
      </c>
      <c r="Q4176" t="str">
        <f>"FARMÁCIA INDIANA LJ 192 (10082)"</f>
        <v>FARMÁCIA INDIANA LJ 192 (10082)</v>
      </c>
      <c r="R4176" t="str">
        <f t="shared" si="2005"/>
        <v>RECEITAS COM ENTREGAS (303)</v>
      </c>
      <c r="S4176">
        <v>2230</v>
      </c>
      <c r="T4176">
        <v>1637</v>
      </c>
      <c r="U4176" t="s">
        <v>19</v>
      </c>
    </row>
    <row r="4177" spans="1:21">
      <c r="A4177" t="str">
        <f t="shared" si="1999"/>
        <v>30/07/2025</v>
      </c>
      <c r="B4177" t="str">
        <f t="shared" si="1991"/>
        <v>ENTRADA</v>
      </c>
      <c r="C4177" t="str">
        <f t="shared" si="2000"/>
        <v>NFSE</v>
      </c>
      <c r="D4177" t="str">
        <f t="shared" si="1995"/>
        <v>3270</v>
      </c>
      <c r="E4177" t="str">
        <f t="shared" si="1998"/>
        <v>COM</v>
      </c>
      <c r="F4177" t="str">
        <f t="shared" si="1996"/>
        <v>FARMÁCIA INDIANA LJ 1 (10126)</v>
      </c>
      <c r="G4177" t="str">
        <f t="shared" si="1997"/>
        <v>Serv.Prest. 14/07/2025 a 20/07/2025 - RPS: 1037 - NFSe: 3270</v>
      </c>
      <c r="H4177" t="str">
        <f t="shared" si="2001"/>
        <v>30/07/2025</v>
      </c>
      <c r="I4177" t="str">
        <f t="shared" si="2002"/>
        <v>22/07/2025</v>
      </c>
      <c r="J4177" t="str">
        <f t="shared" si="2003"/>
        <v>30/07/2025</v>
      </c>
      <c r="M4177">
        <v>303</v>
      </c>
      <c r="N4177" t="str">
        <f t="shared" si="2004"/>
        <v>RECEITAS COM ENTREGAS</v>
      </c>
      <c r="P4177">
        <v>39.4</v>
      </c>
      <c r="Q4177" t="str">
        <f>"FARMÁCIA INDIANA LJ 195 (10083)"</f>
        <v>FARMÁCIA INDIANA LJ 195 (10083)</v>
      </c>
      <c r="R4177" t="str">
        <f t="shared" si="2005"/>
        <v>RECEITAS COM ENTREGAS (303)</v>
      </c>
      <c r="S4177">
        <v>2230</v>
      </c>
      <c r="T4177">
        <v>1637</v>
      </c>
      <c r="U4177" t="s">
        <v>19</v>
      </c>
    </row>
    <row r="4178" spans="1:21">
      <c r="A4178" t="str">
        <f t="shared" si="1999"/>
        <v>30/07/2025</v>
      </c>
      <c r="B4178" t="str">
        <f t="shared" si="1991"/>
        <v>ENTRADA</v>
      </c>
      <c r="C4178" t="str">
        <f t="shared" si="2000"/>
        <v>NFSE</v>
      </c>
      <c r="D4178" t="str">
        <f t="shared" si="1995"/>
        <v>3270</v>
      </c>
      <c r="E4178" t="str">
        <f t="shared" si="1998"/>
        <v>COM</v>
      </c>
      <c r="F4178" t="str">
        <f t="shared" si="1996"/>
        <v>FARMÁCIA INDIANA LJ 1 (10126)</v>
      </c>
      <c r="G4178" t="str">
        <f t="shared" si="1997"/>
        <v>Serv.Prest. 14/07/2025 a 20/07/2025 - RPS: 1037 - NFSe: 3270</v>
      </c>
      <c r="H4178" t="str">
        <f t="shared" si="2001"/>
        <v>30/07/2025</v>
      </c>
      <c r="I4178" t="str">
        <f t="shared" si="2002"/>
        <v>22/07/2025</v>
      </c>
      <c r="J4178" t="str">
        <f t="shared" si="2003"/>
        <v>30/07/2025</v>
      </c>
      <c r="M4178">
        <v>303</v>
      </c>
      <c r="N4178" t="str">
        <f t="shared" si="2004"/>
        <v>RECEITAS COM ENTREGAS</v>
      </c>
      <c r="P4178">
        <v>149.44</v>
      </c>
      <c r="Q4178" t="str">
        <f>"FARMÁCIA INDIANA LJ 202 (10085)"</f>
        <v>FARMÁCIA INDIANA LJ 202 (10085)</v>
      </c>
      <c r="R4178" t="str">
        <f t="shared" si="2005"/>
        <v>RECEITAS COM ENTREGAS (303)</v>
      </c>
      <c r="S4178">
        <v>2230</v>
      </c>
      <c r="T4178">
        <v>1637</v>
      </c>
      <c r="U4178" t="s">
        <v>19</v>
      </c>
    </row>
    <row r="4179" spans="1:21">
      <c r="A4179" t="str">
        <f t="shared" si="1999"/>
        <v>30/07/2025</v>
      </c>
      <c r="B4179" t="str">
        <f t="shared" si="1991"/>
        <v>ENTRADA</v>
      </c>
      <c r="C4179" t="str">
        <f t="shared" si="2000"/>
        <v>NFSE</v>
      </c>
      <c r="D4179" t="str">
        <f t="shared" si="1995"/>
        <v>3270</v>
      </c>
      <c r="E4179" t="str">
        <f t="shared" si="1998"/>
        <v>COM</v>
      </c>
      <c r="F4179" t="str">
        <f t="shared" si="1996"/>
        <v>FARMÁCIA INDIANA LJ 1 (10126)</v>
      </c>
      <c r="G4179" t="str">
        <f t="shared" si="1997"/>
        <v>Serv.Prest. 14/07/2025 a 20/07/2025 - RPS: 1037 - NFSe: 3270</v>
      </c>
      <c r="H4179" t="str">
        <f t="shared" si="2001"/>
        <v>30/07/2025</v>
      </c>
      <c r="I4179" t="str">
        <f t="shared" si="2002"/>
        <v>22/07/2025</v>
      </c>
      <c r="J4179" t="str">
        <f t="shared" si="2003"/>
        <v>30/07/2025</v>
      </c>
      <c r="M4179">
        <v>303</v>
      </c>
      <c r="N4179" t="str">
        <f t="shared" si="2004"/>
        <v>RECEITAS COM ENTREGAS</v>
      </c>
      <c r="P4179">
        <v>107.32</v>
      </c>
      <c r="Q4179" t="str">
        <f>"FARMÁCIA INDIANA LJ 204 (10087)"</f>
        <v>FARMÁCIA INDIANA LJ 204 (10087)</v>
      </c>
      <c r="R4179" t="str">
        <f t="shared" si="2005"/>
        <v>RECEITAS COM ENTREGAS (303)</v>
      </c>
      <c r="S4179">
        <v>2230</v>
      </c>
      <c r="T4179">
        <v>1637</v>
      </c>
      <c r="U4179" t="s">
        <v>19</v>
      </c>
    </row>
    <row r="4180" spans="1:21">
      <c r="A4180" t="str">
        <f t="shared" si="1999"/>
        <v>30/07/2025</v>
      </c>
      <c r="B4180" t="str">
        <f t="shared" si="1991"/>
        <v>ENTRADA</v>
      </c>
      <c r="C4180" t="str">
        <f t="shared" si="2000"/>
        <v>NFSE</v>
      </c>
      <c r="D4180" t="str">
        <f t="shared" si="1995"/>
        <v>3270</v>
      </c>
      <c r="E4180" t="str">
        <f t="shared" si="1998"/>
        <v>COM</v>
      </c>
      <c r="F4180" t="str">
        <f t="shared" si="1996"/>
        <v>FARMÁCIA INDIANA LJ 1 (10126)</v>
      </c>
      <c r="G4180" t="str">
        <f t="shared" si="1997"/>
        <v>Serv.Prest. 14/07/2025 a 20/07/2025 - RPS: 1037 - NFSe: 3270</v>
      </c>
      <c r="H4180" t="str">
        <f t="shared" si="2001"/>
        <v>30/07/2025</v>
      </c>
      <c r="I4180" t="str">
        <f t="shared" si="2002"/>
        <v>22/07/2025</v>
      </c>
      <c r="J4180" t="str">
        <f t="shared" si="2003"/>
        <v>30/07/2025</v>
      </c>
      <c r="M4180">
        <v>303</v>
      </c>
      <c r="N4180" t="str">
        <f t="shared" si="2004"/>
        <v>RECEITAS COM ENTREGAS</v>
      </c>
      <c r="P4180">
        <v>107.32</v>
      </c>
      <c r="Q4180" t="str">
        <f>"FARMÁCIA INDIANA LJ 207 (10088)"</f>
        <v>FARMÁCIA INDIANA LJ 207 (10088)</v>
      </c>
      <c r="R4180" t="str">
        <f t="shared" si="2005"/>
        <v>RECEITAS COM ENTREGAS (303)</v>
      </c>
      <c r="S4180">
        <v>2230</v>
      </c>
      <c r="T4180">
        <v>1637</v>
      </c>
      <c r="U4180" t="s">
        <v>19</v>
      </c>
    </row>
    <row r="4181" spans="1:21">
      <c r="A4181" t="str">
        <f t="shared" si="1999"/>
        <v>30/07/2025</v>
      </c>
      <c r="B4181" t="str">
        <f t="shared" si="1991"/>
        <v>ENTRADA</v>
      </c>
      <c r="C4181" t="str">
        <f t="shared" si="2000"/>
        <v>NFSE</v>
      </c>
      <c r="D4181" t="str">
        <f t="shared" si="1995"/>
        <v>3270</v>
      </c>
      <c r="E4181" t="str">
        <f t="shared" si="1998"/>
        <v>COM</v>
      </c>
      <c r="F4181" t="str">
        <f t="shared" si="1996"/>
        <v>FARMÁCIA INDIANA LJ 1 (10126)</v>
      </c>
      <c r="G4181" t="str">
        <f t="shared" si="1997"/>
        <v>Serv.Prest. 14/07/2025 a 20/07/2025 - RPS: 1037 - NFSe: 3270</v>
      </c>
      <c r="H4181" t="str">
        <f t="shared" si="2001"/>
        <v>30/07/2025</v>
      </c>
      <c r="I4181" t="str">
        <f t="shared" si="2002"/>
        <v>22/07/2025</v>
      </c>
      <c r="J4181" t="str">
        <f t="shared" si="2003"/>
        <v>30/07/2025</v>
      </c>
      <c r="M4181">
        <v>303</v>
      </c>
      <c r="N4181" t="str">
        <f t="shared" si="2004"/>
        <v>RECEITAS COM ENTREGAS</v>
      </c>
      <c r="P4181">
        <v>124.98</v>
      </c>
      <c r="Q4181" t="str">
        <f>"FARMÁCIA INDIANA LJ 209 (10089)"</f>
        <v>FARMÁCIA INDIANA LJ 209 (10089)</v>
      </c>
      <c r="R4181" t="str">
        <f t="shared" si="2005"/>
        <v>RECEITAS COM ENTREGAS (303)</v>
      </c>
      <c r="S4181">
        <v>2230</v>
      </c>
      <c r="T4181">
        <v>1637</v>
      </c>
      <c r="U4181" t="s">
        <v>19</v>
      </c>
    </row>
    <row r="4182" spans="1:21">
      <c r="A4182" t="str">
        <f t="shared" si="1999"/>
        <v>30/07/2025</v>
      </c>
      <c r="B4182" t="str">
        <f t="shared" si="1991"/>
        <v>ENTRADA</v>
      </c>
      <c r="C4182" t="str">
        <f t="shared" si="2000"/>
        <v>NFSE</v>
      </c>
      <c r="D4182" t="str">
        <f t="shared" si="1995"/>
        <v>3270</v>
      </c>
      <c r="E4182" t="str">
        <f t="shared" si="1998"/>
        <v>COM</v>
      </c>
      <c r="F4182" t="str">
        <f t="shared" si="1996"/>
        <v>FARMÁCIA INDIANA LJ 1 (10126)</v>
      </c>
      <c r="G4182" t="str">
        <f t="shared" si="1997"/>
        <v>Serv.Prest. 14/07/2025 a 20/07/2025 - RPS: 1037 - NFSe: 3270</v>
      </c>
      <c r="H4182" t="str">
        <f t="shared" si="2001"/>
        <v>30/07/2025</v>
      </c>
      <c r="I4182" t="str">
        <f t="shared" si="2002"/>
        <v>22/07/2025</v>
      </c>
      <c r="J4182" t="str">
        <f t="shared" si="2003"/>
        <v>30/07/2025</v>
      </c>
      <c r="M4182">
        <v>303</v>
      </c>
      <c r="N4182" t="str">
        <f t="shared" si="2004"/>
        <v>RECEITAS COM ENTREGAS</v>
      </c>
      <c r="P4182">
        <v>149.44</v>
      </c>
      <c r="Q4182" t="str">
        <f>"FARMÁCIA INDIANA LJ 219 (10091)"</f>
        <v>FARMÁCIA INDIANA LJ 219 (10091)</v>
      </c>
      <c r="R4182" t="str">
        <f t="shared" si="2005"/>
        <v>RECEITAS COM ENTREGAS (303)</v>
      </c>
      <c r="S4182">
        <v>2230</v>
      </c>
      <c r="T4182">
        <v>1637</v>
      </c>
      <c r="U4182" t="s">
        <v>19</v>
      </c>
    </row>
    <row r="4183" spans="1:21">
      <c r="A4183" t="str">
        <f t="shared" ref="A4183:A4211" si="2006">("30/07/2025")</f>
        <v>30/07/2025</v>
      </c>
      <c r="B4183" t="str">
        <f t="shared" si="1991"/>
        <v>ENTRADA</v>
      </c>
      <c r="C4183" t="str">
        <f t="shared" ref="C4183:C4197" si="2007">"NFSE"</f>
        <v>NFSE</v>
      </c>
      <c r="D4183" t="str">
        <f t="shared" si="1995"/>
        <v>3270</v>
      </c>
      <c r="E4183" t="str">
        <f t="shared" si="1998"/>
        <v>COM</v>
      </c>
      <c r="F4183" t="str">
        <f t="shared" si="1996"/>
        <v>FARMÁCIA INDIANA LJ 1 (10126)</v>
      </c>
      <c r="G4183" t="str">
        <f t="shared" si="1997"/>
        <v>Serv.Prest. 14/07/2025 a 20/07/2025 - RPS: 1037 - NFSe: 3270</v>
      </c>
      <c r="H4183" t="str">
        <f t="shared" ref="H4183:H4214" si="2008">("30/07/2025")</f>
        <v>30/07/2025</v>
      </c>
      <c r="I4183" t="str">
        <f t="shared" si="2002"/>
        <v>22/07/2025</v>
      </c>
      <c r="J4183" t="str">
        <f t="shared" ref="J4183:J4211" si="2009">("30/07/2025")</f>
        <v>30/07/2025</v>
      </c>
      <c r="M4183">
        <v>303</v>
      </c>
      <c r="N4183" t="str">
        <f t="shared" ref="N4183:N4197" si="2010">"RECEITAS COM ENTREGAS"</f>
        <v>RECEITAS COM ENTREGAS</v>
      </c>
      <c r="P4183">
        <v>201.06</v>
      </c>
      <c r="Q4183" t="str">
        <f>"FARMÁCIA INDIANA LJ 220 (10092)"</f>
        <v>FARMÁCIA INDIANA LJ 220 (10092)</v>
      </c>
      <c r="R4183" t="str">
        <f t="shared" ref="R4183:R4197" si="2011">"RECEITAS COM ENTREGAS (303)"</f>
        <v>RECEITAS COM ENTREGAS (303)</v>
      </c>
      <c r="S4183">
        <v>2230</v>
      </c>
      <c r="T4183">
        <v>1637</v>
      </c>
      <c r="U4183" t="s">
        <v>19</v>
      </c>
    </row>
    <row r="4184" spans="1:21">
      <c r="A4184" t="str">
        <f t="shared" si="2006"/>
        <v>30/07/2025</v>
      </c>
      <c r="B4184" t="str">
        <f t="shared" ref="B4184:B4197" si="2012">"ENTRADA"</f>
        <v>ENTRADA</v>
      </c>
      <c r="C4184" t="str">
        <f t="shared" si="2007"/>
        <v>NFSE</v>
      </c>
      <c r="D4184" t="str">
        <f t="shared" si="1995"/>
        <v>3270</v>
      </c>
      <c r="E4184" t="str">
        <f t="shared" si="1998"/>
        <v>COM</v>
      </c>
      <c r="F4184" t="str">
        <f t="shared" si="1996"/>
        <v>FARMÁCIA INDIANA LJ 1 (10126)</v>
      </c>
      <c r="G4184" t="str">
        <f t="shared" si="1997"/>
        <v>Serv.Prest. 14/07/2025 a 20/07/2025 - RPS: 1037 - NFSe: 3270</v>
      </c>
      <c r="H4184" t="str">
        <f t="shared" si="2008"/>
        <v>30/07/2025</v>
      </c>
      <c r="I4184" t="str">
        <f t="shared" si="2002"/>
        <v>22/07/2025</v>
      </c>
      <c r="J4184" t="str">
        <f t="shared" si="2009"/>
        <v>30/07/2025</v>
      </c>
      <c r="M4184">
        <v>303</v>
      </c>
      <c r="N4184" t="str">
        <f t="shared" si="2010"/>
        <v>RECEITAS COM ENTREGAS</v>
      </c>
      <c r="P4184">
        <v>192.91</v>
      </c>
      <c r="Q4184" t="str">
        <f>"FARMÁCIA INDIANA LJ 185 (10141)"</f>
        <v>FARMÁCIA INDIANA LJ 185 (10141)</v>
      </c>
      <c r="R4184" t="str">
        <f t="shared" si="2011"/>
        <v>RECEITAS COM ENTREGAS (303)</v>
      </c>
      <c r="S4184">
        <v>2230</v>
      </c>
      <c r="T4184">
        <v>1637</v>
      </c>
      <c r="U4184" t="s">
        <v>19</v>
      </c>
    </row>
    <row r="4185" spans="1:21">
      <c r="A4185" t="str">
        <f t="shared" si="2006"/>
        <v>30/07/2025</v>
      </c>
      <c r="B4185" t="str">
        <f t="shared" si="2012"/>
        <v>ENTRADA</v>
      </c>
      <c r="C4185" t="str">
        <f t="shared" si="2007"/>
        <v>NFSE</v>
      </c>
      <c r="D4185" t="str">
        <f t="shared" si="1995"/>
        <v>3270</v>
      </c>
      <c r="E4185" t="str">
        <f t="shared" si="1998"/>
        <v>COM</v>
      </c>
      <c r="F4185" t="str">
        <f t="shared" si="1996"/>
        <v>FARMÁCIA INDIANA LJ 1 (10126)</v>
      </c>
      <c r="G4185" t="str">
        <f t="shared" si="1997"/>
        <v>Serv.Prest. 14/07/2025 a 20/07/2025 - RPS: 1037 - NFSe: 3270</v>
      </c>
      <c r="H4185" t="str">
        <f t="shared" si="2008"/>
        <v>30/07/2025</v>
      </c>
      <c r="I4185" t="str">
        <f t="shared" si="2002"/>
        <v>22/07/2025</v>
      </c>
      <c r="J4185" t="str">
        <f t="shared" si="2009"/>
        <v>30/07/2025</v>
      </c>
      <c r="M4185">
        <v>303</v>
      </c>
      <c r="N4185" t="str">
        <f t="shared" si="2010"/>
        <v>RECEITAS COM ENTREGAS</v>
      </c>
      <c r="P4185">
        <v>588.24</v>
      </c>
      <c r="Q4185" t="str">
        <f>"FARMÁCIA INDIANA LJ 172 (10161)"</f>
        <v>FARMÁCIA INDIANA LJ 172 (10161)</v>
      </c>
      <c r="R4185" t="str">
        <f t="shared" si="2011"/>
        <v>RECEITAS COM ENTREGAS (303)</v>
      </c>
      <c r="S4185">
        <v>2230</v>
      </c>
      <c r="T4185">
        <v>1637</v>
      </c>
      <c r="U4185" t="s">
        <v>19</v>
      </c>
    </row>
    <row r="4186" spans="1:21">
      <c r="A4186" t="str">
        <f t="shared" si="2006"/>
        <v>30/07/2025</v>
      </c>
      <c r="B4186" t="str">
        <f t="shared" si="2012"/>
        <v>ENTRADA</v>
      </c>
      <c r="C4186" t="str">
        <f t="shared" si="2007"/>
        <v>NFSE</v>
      </c>
      <c r="D4186" t="str">
        <f>"3281"</f>
        <v>3281</v>
      </c>
      <c r="E4186" t="str">
        <f t="shared" si="1998"/>
        <v>COM</v>
      </c>
      <c r="F4186" t="str">
        <f>"DROGARIA AGAPEAMA (10167)"</f>
        <v>DROGARIA AGAPEAMA (10167)</v>
      </c>
      <c r="G4186" t="str">
        <f>"Serv.Prest. 21/07/2025 a 27/07/2025 - RPS: 1048 - NFSe: 3281"</f>
        <v>Serv.Prest. 21/07/2025 a 27/07/2025 - RPS: 1048 - NFSe: 3281</v>
      </c>
      <c r="H4186" t="str">
        <f t="shared" si="2008"/>
        <v>30/07/2025</v>
      </c>
      <c r="I4186" t="str">
        <f t="shared" ref="I4186:I4193" si="2013">("28/07/2025")</f>
        <v>28/07/2025</v>
      </c>
      <c r="J4186" t="str">
        <f t="shared" si="2009"/>
        <v>30/07/2025</v>
      </c>
      <c r="K4186">
        <v>595.20000000000005</v>
      </c>
      <c r="L4186">
        <v>595.20000000000005</v>
      </c>
      <c r="M4186">
        <v>303</v>
      </c>
      <c r="N4186" t="str">
        <f t="shared" si="2010"/>
        <v>RECEITAS COM ENTREGAS</v>
      </c>
      <c r="O4186">
        <v>595.20000000000005</v>
      </c>
      <c r="R4186" t="str">
        <f t="shared" si="2011"/>
        <v>RECEITAS COM ENTREGAS (303)</v>
      </c>
      <c r="S4186">
        <v>2231</v>
      </c>
      <c r="T4186">
        <v>1735</v>
      </c>
      <c r="U4186" t="s">
        <v>19</v>
      </c>
    </row>
    <row r="4187" spans="1:21">
      <c r="A4187" t="str">
        <f t="shared" si="2006"/>
        <v>30/07/2025</v>
      </c>
      <c r="B4187" t="str">
        <f t="shared" si="2012"/>
        <v>ENTRADA</v>
      </c>
      <c r="C4187" t="str">
        <f t="shared" si="2007"/>
        <v>NFSE</v>
      </c>
      <c r="D4187" t="str">
        <f>"3281"</f>
        <v>3281</v>
      </c>
      <c r="E4187" t="str">
        <f t="shared" si="1998"/>
        <v>COM</v>
      </c>
      <c r="F4187" t="str">
        <f>"DROGARIA AGAPEAMA (10167)"</f>
        <v>DROGARIA AGAPEAMA (10167)</v>
      </c>
      <c r="G4187" t="str">
        <f>"Serv.Prest. 21/07/2025 a 27/07/2025 - RPS: 1048 - NFSe: 3281"</f>
        <v>Serv.Prest. 21/07/2025 a 27/07/2025 - RPS: 1048 - NFSe: 3281</v>
      </c>
      <c r="H4187" t="str">
        <f t="shared" si="2008"/>
        <v>30/07/2025</v>
      </c>
      <c r="I4187" t="str">
        <f t="shared" si="2013"/>
        <v>28/07/2025</v>
      </c>
      <c r="J4187" t="str">
        <f t="shared" si="2009"/>
        <v>30/07/2025</v>
      </c>
      <c r="M4187">
        <v>303</v>
      </c>
      <c r="N4187" t="str">
        <f t="shared" si="2010"/>
        <v>RECEITAS COM ENTREGAS</v>
      </c>
      <c r="P4187">
        <v>595.20000000000005</v>
      </c>
      <c r="Q4187" t="str">
        <f>"DROGARIA AGAPEAMA (10167)"</f>
        <v>DROGARIA AGAPEAMA (10167)</v>
      </c>
      <c r="R4187" t="str">
        <f t="shared" si="2011"/>
        <v>RECEITAS COM ENTREGAS (303)</v>
      </c>
      <c r="S4187">
        <v>2231</v>
      </c>
      <c r="T4187">
        <v>1735</v>
      </c>
      <c r="U4187" t="s">
        <v>19</v>
      </c>
    </row>
    <row r="4188" spans="1:21">
      <c r="A4188" t="str">
        <f t="shared" si="2006"/>
        <v>30/07/2025</v>
      </c>
      <c r="B4188" t="str">
        <f t="shared" si="2012"/>
        <v>ENTRADA</v>
      </c>
      <c r="C4188" t="str">
        <f t="shared" si="2007"/>
        <v>NFSE</v>
      </c>
      <c r="D4188" t="str">
        <f>"3286"</f>
        <v>3286</v>
      </c>
      <c r="E4188" t="str">
        <f t="shared" si="1998"/>
        <v>COM</v>
      </c>
      <c r="F4188" t="str">
        <f>"DROGARIA TOTAL JUNDIAI (10177)"</f>
        <v>DROGARIA TOTAL JUNDIAI (10177)</v>
      </c>
      <c r="G4188" t="str">
        <f>"Serv.Prest. 21/07/2025 a 27/07/2025 - RPS: 1053 - NFSe: 3286"</f>
        <v>Serv.Prest. 21/07/2025 a 27/07/2025 - RPS: 1053 - NFSe: 3286</v>
      </c>
      <c r="H4188" t="str">
        <f t="shared" si="2008"/>
        <v>30/07/2025</v>
      </c>
      <c r="I4188" t="str">
        <f t="shared" si="2013"/>
        <v>28/07/2025</v>
      </c>
      <c r="J4188" t="str">
        <f t="shared" si="2009"/>
        <v>30/07/2025</v>
      </c>
      <c r="K4188">
        <v>50.13</v>
      </c>
      <c r="L4188">
        <v>50.13</v>
      </c>
      <c r="M4188">
        <v>303</v>
      </c>
      <c r="N4188" t="str">
        <f t="shared" si="2010"/>
        <v>RECEITAS COM ENTREGAS</v>
      </c>
      <c r="O4188">
        <v>50.13</v>
      </c>
      <c r="R4188" t="str">
        <f t="shared" si="2011"/>
        <v>RECEITAS COM ENTREGAS (303)</v>
      </c>
      <c r="S4188">
        <v>2232</v>
      </c>
      <c r="T4188">
        <v>1740</v>
      </c>
      <c r="U4188" t="s">
        <v>19</v>
      </c>
    </row>
    <row r="4189" spans="1:21">
      <c r="A4189" t="str">
        <f t="shared" si="2006"/>
        <v>30/07/2025</v>
      </c>
      <c r="B4189" t="str">
        <f t="shared" si="2012"/>
        <v>ENTRADA</v>
      </c>
      <c r="C4189" t="str">
        <f t="shared" si="2007"/>
        <v>NFSE</v>
      </c>
      <c r="D4189" t="str">
        <f>"3286"</f>
        <v>3286</v>
      </c>
      <c r="E4189" t="str">
        <f t="shared" si="1998"/>
        <v>COM</v>
      </c>
      <c r="F4189" t="str">
        <f>"DROGARIA TOTAL JUNDIAI (10177)"</f>
        <v>DROGARIA TOTAL JUNDIAI (10177)</v>
      </c>
      <c r="G4189" t="str">
        <f>"Serv.Prest. 21/07/2025 a 27/07/2025 - RPS: 1053 - NFSe: 3286"</f>
        <v>Serv.Prest. 21/07/2025 a 27/07/2025 - RPS: 1053 - NFSe: 3286</v>
      </c>
      <c r="H4189" t="str">
        <f t="shared" si="2008"/>
        <v>30/07/2025</v>
      </c>
      <c r="I4189" t="str">
        <f t="shared" si="2013"/>
        <v>28/07/2025</v>
      </c>
      <c r="J4189" t="str">
        <f t="shared" si="2009"/>
        <v>30/07/2025</v>
      </c>
      <c r="M4189">
        <v>303</v>
      </c>
      <c r="N4189" t="str">
        <f t="shared" si="2010"/>
        <v>RECEITAS COM ENTREGAS</v>
      </c>
      <c r="P4189">
        <v>50.13</v>
      </c>
      <c r="Q4189" t="str">
        <f>"DROGARIA TOTAL JUNDIAI (10177)"</f>
        <v>DROGARIA TOTAL JUNDIAI (10177)</v>
      </c>
      <c r="R4189" t="str">
        <f t="shared" si="2011"/>
        <v>RECEITAS COM ENTREGAS (303)</v>
      </c>
      <c r="S4189">
        <v>2232</v>
      </c>
      <c r="T4189">
        <v>1740</v>
      </c>
      <c r="U4189" t="s">
        <v>19</v>
      </c>
    </row>
    <row r="4190" spans="1:21">
      <c r="A4190" t="str">
        <f t="shared" si="2006"/>
        <v>30/07/2025</v>
      </c>
      <c r="B4190" t="str">
        <f t="shared" si="2012"/>
        <v>ENTRADA</v>
      </c>
      <c r="C4190" t="str">
        <f t="shared" si="2007"/>
        <v>NFSE</v>
      </c>
      <c r="D4190" t="str">
        <f>"3289"</f>
        <v>3289</v>
      </c>
      <c r="E4190" t="str">
        <f t="shared" si="1998"/>
        <v>COM</v>
      </c>
      <c r="F4190" t="str">
        <f>"DROGARIA MEDIC CENTER LTDA (10172)"</f>
        <v>DROGARIA MEDIC CENTER LTDA (10172)</v>
      </c>
      <c r="G4190" t="str">
        <f>"Serv.Prest. 21/07/2025 a 27/07/2025 - RPS: 1056 - NFSe: 3289"</f>
        <v>Serv.Prest. 21/07/2025 a 27/07/2025 - RPS: 1056 - NFSe: 3289</v>
      </c>
      <c r="H4190" t="str">
        <f t="shared" si="2008"/>
        <v>30/07/2025</v>
      </c>
      <c r="I4190" t="str">
        <f t="shared" si="2013"/>
        <v>28/07/2025</v>
      </c>
      <c r="J4190" t="str">
        <f t="shared" si="2009"/>
        <v>30/07/2025</v>
      </c>
      <c r="K4190">
        <v>146.69999999999999</v>
      </c>
      <c r="L4190">
        <v>146.69999999999999</v>
      </c>
      <c r="M4190">
        <v>303</v>
      </c>
      <c r="N4190" t="str">
        <f t="shared" si="2010"/>
        <v>RECEITAS COM ENTREGAS</v>
      </c>
      <c r="O4190">
        <v>146.69999999999999</v>
      </c>
      <c r="R4190" t="str">
        <f t="shared" si="2011"/>
        <v>RECEITAS COM ENTREGAS (303)</v>
      </c>
      <c r="S4190">
        <v>2233</v>
      </c>
      <c r="T4190">
        <v>1743</v>
      </c>
      <c r="U4190" t="s">
        <v>19</v>
      </c>
    </row>
    <row r="4191" spans="1:21">
      <c r="A4191" t="str">
        <f t="shared" si="2006"/>
        <v>30/07/2025</v>
      </c>
      <c r="B4191" t="str">
        <f t="shared" si="2012"/>
        <v>ENTRADA</v>
      </c>
      <c r="C4191" t="str">
        <f t="shared" si="2007"/>
        <v>NFSE</v>
      </c>
      <c r="D4191" t="str">
        <f>"3289"</f>
        <v>3289</v>
      </c>
      <c r="E4191" t="str">
        <f t="shared" si="1998"/>
        <v>COM</v>
      </c>
      <c r="F4191" t="str">
        <f>"DROGARIA MEDIC CENTER LTDA (10172)"</f>
        <v>DROGARIA MEDIC CENTER LTDA (10172)</v>
      </c>
      <c r="G4191" t="str">
        <f>"Serv.Prest. 21/07/2025 a 27/07/2025 - RPS: 1056 - NFSe: 3289"</f>
        <v>Serv.Prest. 21/07/2025 a 27/07/2025 - RPS: 1056 - NFSe: 3289</v>
      </c>
      <c r="H4191" t="str">
        <f t="shared" si="2008"/>
        <v>30/07/2025</v>
      </c>
      <c r="I4191" t="str">
        <f t="shared" si="2013"/>
        <v>28/07/2025</v>
      </c>
      <c r="J4191" t="str">
        <f t="shared" si="2009"/>
        <v>30/07/2025</v>
      </c>
      <c r="M4191">
        <v>303</v>
      </c>
      <c r="N4191" t="str">
        <f t="shared" si="2010"/>
        <v>RECEITAS COM ENTREGAS</v>
      </c>
      <c r="P4191">
        <v>146.69999999999999</v>
      </c>
      <c r="Q4191" t="str">
        <f>"DROGARIA MEDIC CENTER LTDA (10172)"</f>
        <v>DROGARIA MEDIC CENTER LTDA (10172)</v>
      </c>
      <c r="R4191" t="str">
        <f t="shared" si="2011"/>
        <v>RECEITAS COM ENTREGAS (303)</v>
      </c>
      <c r="S4191">
        <v>2233</v>
      </c>
      <c r="T4191">
        <v>1743</v>
      </c>
      <c r="U4191" t="s">
        <v>19</v>
      </c>
    </row>
    <row r="4192" spans="1:21">
      <c r="A4192" t="str">
        <f t="shared" si="2006"/>
        <v>30/07/2025</v>
      </c>
      <c r="B4192" t="str">
        <f t="shared" si="2012"/>
        <v>ENTRADA</v>
      </c>
      <c r="C4192" t="str">
        <f t="shared" si="2007"/>
        <v>NFSE</v>
      </c>
      <c r="D4192" t="str">
        <f>"3290"</f>
        <v>3290</v>
      </c>
      <c r="E4192" t="str">
        <f t="shared" si="1998"/>
        <v>COM</v>
      </c>
      <c r="F4192" t="str">
        <f>"DROGARIA MORENO LTDA (10171)"</f>
        <v>DROGARIA MORENO LTDA (10171)</v>
      </c>
      <c r="G4192" t="str">
        <f>"Serv.Prest. 21/07/2025 a 27/07/2025 - RPS: 1057 - NFSe: 3290"</f>
        <v>Serv.Prest. 21/07/2025 a 27/07/2025 - RPS: 1057 - NFSe: 3290</v>
      </c>
      <c r="H4192" t="str">
        <f t="shared" si="2008"/>
        <v>30/07/2025</v>
      </c>
      <c r="I4192" t="str">
        <f t="shared" si="2013"/>
        <v>28/07/2025</v>
      </c>
      <c r="J4192" t="str">
        <f t="shared" si="2009"/>
        <v>30/07/2025</v>
      </c>
      <c r="K4192">
        <v>392.4</v>
      </c>
      <c r="L4192">
        <v>392.4</v>
      </c>
      <c r="M4192">
        <v>303</v>
      </c>
      <c r="N4192" t="str">
        <f t="shared" si="2010"/>
        <v>RECEITAS COM ENTREGAS</v>
      </c>
      <c r="O4192">
        <v>392.4</v>
      </c>
      <c r="R4192" t="str">
        <f t="shared" si="2011"/>
        <v>RECEITAS COM ENTREGAS (303)</v>
      </c>
      <c r="S4192">
        <v>2234</v>
      </c>
      <c r="T4192">
        <v>1744</v>
      </c>
      <c r="U4192" t="s">
        <v>19</v>
      </c>
    </row>
    <row r="4193" spans="1:21">
      <c r="A4193" t="str">
        <f t="shared" si="2006"/>
        <v>30/07/2025</v>
      </c>
      <c r="B4193" t="str">
        <f t="shared" si="2012"/>
        <v>ENTRADA</v>
      </c>
      <c r="C4193" t="str">
        <f t="shared" si="2007"/>
        <v>NFSE</v>
      </c>
      <c r="D4193" t="str">
        <f>"3290"</f>
        <v>3290</v>
      </c>
      <c r="E4193" t="str">
        <f t="shared" si="1998"/>
        <v>COM</v>
      </c>
      <c r="F4193" t="str">
        <f>"DROGARIA MORENO LTDA (10171)"</f>
        <v>DROGARIA MORENO LTDA (10171)</v>
      </c>
      <c r="G4193" t="str">
        <f>"Serv.Prest. 21/07/2025 a 27/07/2025 - RPS: 1057 - NFSe: 3290"</f>
        <v>Serv.Prest. 21/07/2025 a 27/07/2025 - RPS: 1057 - NFSe: 3290</v>
      </c>
      <c r="H4193" t="str">
        <f t="shared" si="2008"/>
        <v>30/07/2025</v>
      </c>
      <c r="I4193" t="str">
        <f t="shared" si="2013"/>
        <v>28/07/2025</v>
      </c>
      <c r="J4193" t="str">
        <f t="shared" si="2009"/>
        <v>30/07/2025</v>
      </c>
      <c r="M4193">
        <v>303</v>
      </c>
      <c r="N4193" t="str">
        <f t="shared" si="2010"/>
        <v>RECEITAS COM ENTREGAS</v>
      </c>
      <c r="P4193">
        <v>392.4</v>
      </c>
      <c r="Q4193" t="str">
        <f>"DROGARIA MORENO LTDA (10171)"</f>
        <v>DROGARIA MORENO LTDA (10171)</v>
      </c>
      <c r="R4193" t="str">
        <f t="shared" si="2011"/>
        <v>RECEITAS COM ENTREGAS (303)</v>
      </c>
      <c r="S4193">
        <v>2234</v>
      </c>
      <c r="T4193">
        <v>1744</v>
      </c>
      <c r="U4193" t="s">
        <v>19</v>
      </c>
    </row>
    <row r="4194" spans="1:21">
      <c r="A4194" t="str">
        <f t="shared" si="2006"/>
        <v>30/07/2025</v>
      </c>
      <c r="B4194" t="str">
        <f t="shared" si="2012"/>
        <v>ENTRADA</v>
      </c>
      <c r="C4194" t="str">
        <f t="shared" si="2007"/>
        <v>NFSE</v>
      </c>
      <c r="D4194" t="str">
        <f>"3297"</f>
        <v>3297</v>
      </c>
      <c r="E4194" t="str">
        <f t="shared" si="1998"/>
        <v>COM</v>
      </c>
      <c r="F4194" t="str">
        <f>"JAL FARMACIA E DROGARIA LJ 2 (10138)"</f>
        <v>JAL FARMACIA E DROGARIA LJ 2 (10138)</v>
      </c>
      <c r="G4194" t="str">
        <f>"Serv.Prest. 21/07/2025 a 27/07/2025 - RPS: 1064 - NFSe: 3297"</f>
        <v>Serv.Prest. 21/07/2025 a 27/07/2025 - RPS: 1064 - NFSe: 3297</v>
      </c>
      <c r="H4194" t="str">
        <f t="shared" si="2008"/>
        <v>30/07/2025</v>
      </c>
      <c r="I4194" t="str">
        <f>("29/07/2025")</f>
        <v>29/07/2025</v>
      </c>
      <c r="J4194" t="str">
        <f t="shared" si="2009"/>
        <v>30/07/2025</v>
      </c>
      <c r="K4194">
        <v>291.2</v>
      </c>
      <c r="L4194">
        <v>291.2</v>
      </c>
      <c r="M4194">
        <v>303</v>
      </c>
      <c r="N4194" t="str">
        <f t="shared" si="2010"/>
        <v>RECEITAS COM ENTREGAS</v>
      </c>
      <c r="O4194">
        <v>291.2</v>
      </c>
      <c r="R4194" t="str">
        <f t="shared" si="2011"/>
        <v>RECEITAS COM ENTREGAS (303)</v>
      </c>
      <c r="S4194">
        <v>2235</v>
      </c>
      <c r="T4194">
        <v>1751</v>
      </c>
      <c r="U4194" t="s">
        <v>19</v>
      </c>
    </row>
    <row r="4195" spans="1:21">
      <c r="A4195" t="str">
        <f t="shared" si="2006"/>
        <v>30/07/2025</v>
      </c>
      <c r="B4195" t="str">
        <f t="shared" si="2012"/>
        <v>ENTRADA</v>
      </c>
      <c r="C4195" t="str">
        <f t="shared" si="2007"/>
        <v>NFSE</v>
      </c>
      <c r="D4195" t="str">
        <f>"3297"</f>
        <v>3297</v>
      </c>
      <c r="E4195" t="str">
        <f t="shared" si="1998"/>
        <v>COM</v>
      </c>
      <c r="F4195" t="str">
        <f>"JAL FARMACIA E DROGARIA LJ 2 (10138)"</f>
        <v>JAL FARMACIA E DROGARIA LJ 2 (10138)</v>
      </c>
      <c r="G4195" t="str">
        <f>"Serv.Prest. 21/07/2025 a 27/07/2025 - RPS: 1064 - NFSe: 3297"</f>
        <v>Serv.Prest. 21/07/2025 a 27/07/2025 - RPS: 1064 - NFSe: 3297</v>
      </c>
      <c r="H4195" t="str">
        <f t="shared" si="2008"/>
        <v>30/07/2025</v>
      </c>
      <c r="I4195" t="str">
        <f>("29/07/2025")</f>
        <v>29/07/2025</v>
      </c>
      <c r="J4195" t="str">
        <f t="shared" si="2009"/>
        <v>30/07/2025</v>
      </c>
      <c r="M4195">
        <v>303</v>
      </c>
      <c r="N4195" t="str">
        <f t="shared" si="2010"/>
        <v>RECEITAS COM ENTREGAS</v>
      </c>
      <c r="P4195">
        <v>291.2</v>
      </c>
      <c r="Q4195" t="str">
        <f>"JAL FARMACIA E DROGARIA LJ 2 (10138)"</f>
        <v>JAL FARMACIA E DROGARIA LJ 2 (10138)</v>
      </c>
      <c r="R4195" t="str">
        <f t="shared" si="2011"/>
        <v>RECEITAS COM ENTREGAS (303)</v>
      </c>
      <c r="S4195">
        <v>2235</v>
      </c>
      <c r="T4195">
        <v>1751</v>
      </c>
      <c r="U4195" t="s">
        <v>19</v>
      </c>
    </row>
    <row r="4196" spans="1:21">
      <c r="A4196" t="str">
        <f t="shared" si="2006"/>
        <v>30/07/2025</v>
      </c>
      <c r="B4196" t="str">
        <f t="shared" si="2012"/>
        <v>ENTRADA</v>
      </c>
      <c r="C4196" t="str">
        <f t="shared" si="2007"/>
        <v>NFSE</v>
      </c>
      <c r="D4196" t="str">
        <f>"3298"</f>
        <v>3298</v>
      </c>
      <c r="E4196" t="str">
        <f t="shared" si="1998"/>
        <v>COM</v>
      </c>
      <c r="F4196" t="str">
        <f>"JAL FARMACIA E DROGARIA LJ 1 (10137)"</f>
        <v>JAL FARMACIA E DROGARIA LJ 1 (10137)</v>
      </c>
      <c r="G4196" t="str">
        <f>"Serv.Prest. 21/07/2025 a 27/07/2025 - RPS: 1065 - NFSe: 3298"</f>
        <v>Serv.Prest. 21/07/2025 a 27/07/2025 - RPS: 1065 - NFSe: 3298</v>
      </c>
      <c r="H4196" t="str">
        <f t="shared" si="2008"/>
        <v>30/07/2025</v>
      </c>
      <c r="I4196" t="str">
        <f>("29/07/2025")</f>
        <v>29/07/2025</v>
      </c>
      <c r="J4196" t="str">
        <f t="shared" si="2009"/>
        <v>30/07/2025</v>
      </c>
      <c r="K4196">
        <v>430.4</v>
      </c>
      <c r="L4196">
        <v>430.4</v>
      </c>
      <c r="M4196">
        <v>303</v>
      </c>
      <c r="N4196" t="str">
        <f t="shared" si="2010"/>
        <v>RECEITAS COM ENTREGAS</v>
      </c>
      <c r="O4196">
        <v>430.4</v>
      </c>
      <c r="R4196" t="str">
        <f t="shared" si="2011"/>
        <v>RECEITAS COM ENTREGAS (303)</v>
      </c>
      <c r="S4196">
        <v>2236</v>
      </c>
      <c r="T4196">
        <v>1752</v>
      </c>
      <c r="U4196" t="s">
        <v>19</v>
      </c>
    </row>
    <row r="4197" spans="1:21">
      <c r="A4197" t="str">
        <f t="shared" si="2006"/>
        <v>30/07/2025</v>
      </c>
      <c r="B4197" t="str">
        <f t="shared" si="2012"/>
        <v>ENTRADA</v>
      </c>
      <c r="C4197" t="str">
        <f t="shared" si="2007"/>
        <v>NFSE</v>
      </c>
      <c r="D4197" t="str">
        <f>"3298"</f>
        <v>3298</v>
      </c>
      <c r="E4197" t="str">
        <f t="shared" si="1998"/>
        <v>COM</v>
      </c>
      <c r="F4197" t="str">
        <f>"JAL FARMACIA E DROGARIA LJ 1 (10137)"</f>
        <v>JAL FARMACIA E DROGARIA LJ 1 (10137)</v>
      </c>
      <c r="G4197" t="str">
        <f>"Serv.Prest. 21/07/2025 a 27/07/2025 - RPS: 1065 - NFSe: 3298"</f>
        <v>Serv.Prest. 21/07/2025 a 27/07/2025 - RPS: 1065 - NFSe: 3298</v>
      </c>
      <c r="H4197" t="str">
        <f t="shared" si="2008"/>
        <v>30/07/2025</v>
      </c>
      <c r="I4197" t="str">
        <f>("29/07/2025")</f>
        <v>29/07/2025</v>
      </c>
      <c r="J4197" t="str">
        <f t="shared" si="2009"/>
        <v>30/07/2025</v>
      </c>
      <c r="M4197">
        <v>303</v>
      </c>
      <c r="N4197" t="str">
        <f t="shared" si="2010"/>
        <v>RECEITAS COM ENTREGAS</v>
      </c>
      <c r="P4197">
        <v>430.4</v>
      </c>
      <c r="Q4197" t="str">
        <f>"JAL FARMACIA E DROGARIA LJ 1 (10137)"</f>
        <v>JAL FARMACIA E DROGARIA LJ 1 (10137)</v>
      </c>
      <c r="R4197" t="str">
        <f t="shared" si="2011"/>
        <v>RECEITAS COM ENTREGAS (303)</v>
      </c>
      <c r="S4197">
        <v>2236</v>
      </c>
      <c r="T4197">
        <v>1752</v>
      </c>
      <c r="U4197" t="s">
        <v>19</v>
      </c>
    </row>
    <row r="4198" spans="1:21">
      <c r="A4198" t="str">
        <f t="shared" si="2006"/>
        <v>30/07/2025</v>
      </c>
      <c r="B4198" t="str">
        <f t="shared" ref="B4198:B4211" si="2014">"SAÍDA"</f>
        <v>SAÍDA</v>
      </c>
      <c r="C4198" t="str">
        <f t="shared" ref="C4198:C4209" si="2015">"CONHECIMENTO"</f>
        <v>CONHECIMENTO</v>
      </c>
      <c r="D4198" t="str">
        <f t="shared" ref="D4198:D4209" si="2016">"300725170"</f>
        <v>300725170</v>
      </c>
      <c r="E4198" t="str">
        <f t="shared" si="1998"/>
        <v>COM</v>
      </c>
      <c r="F4198" t="str">
        <f t="shared" ref="F4198:F4209" si="2017">"CORA SOCIEDADE DE CREDITO, FINANCIAMENTO E INVESTIMENTO (20035)"</f>
        <v>CORA SOCIEDADE DE CREDITO, FINANCIAMENTO E INVESTIMENTO (20035)</v>
      </c>
      <c r="G4198" t="str">
        <f t="shared" ref="G4198:G4209" si="2018">"TAXA BOLETO COMPENSADO"</f>
        <v>TAXA BOLETO COMPENSADO</v>
      </c>
      <c r="H4198" t="str">
        <f t="shared" si="2008"/>
        <v>30/07/2025</v>
      </c>
      <c r="I4198" t="str">
        <f t="shared" ref="I4198:I4211" si="2019">("30/07/2025")</f>
        <v>30/07/2025</v>
      </c>
      <c r="J4198" t="str">
        <f t="shared" si="2009"/>
        <v>30/07/2025</v>
      </c>
      <c r="K4198">
        <v>1.7</v>
      </c>
      <c r="L4198">
        <v>1.7</v>
      </c>
      <c r="M4198">
        <v>401</v>
      </c>
      <c r="N4198" t="str">
        <f t="shared" ref="N4198:N4209" si="2020">"IOF/JUROS/DESP.FINANCEIRA"</f>
        <v>IOF/JUROS/DESP.FINANCEIRA</v>
      </c>
      <c r="O4198">
        <v>1.7</v>
      </c>
      <c r="R4198" t="str">
        <f t="shared" ref="R4198:R4211" si="2021">"BANCO CORA (102)"</f>
        <v>BANCO CORA (102)</v>
      </c>
      <c r="S4198">
        <v>2279</v>
      </c>
      <c r="T4198">
        <v>1806</v>
      </c>
      <c r="U4198" t="s">
        <v>19</v>
      </c>
    </row>
    <row r="4199" spans="1:21">
      <c r="A4199" t="str">
        <f t="shared" si="2006"/>
        <v>30/07/2025</v>
      </c>
      <c r="B4199" t="str">
        <f t="shared" si="2014"/>
        <v>SAÍDA</v>
      </c>
      <c r="C4199" t="str">
        <f t="shared" si="2015"/>
        <v>CONHECIMENTO</v>
      </c>
      <c r="D4199" t="str">
        <f t="shared" si="2016"/>
        <v>300725170</v>
      </c>
      <c r="E4199" t="str">
        <f t="shared" si="1998"/>
        <v>COM</v>
      </c>
      <c r="F4199" t="str">
        <f t="shared" si="2017"/>
        <v>CORA SOCIEDADE DE CREDITO, FINANCIAMENTO E INVESTIMENTO (20035)</v>
      </c>
      <c r="G4199" t="str">
        <f t="shared" si="2018"/>
        <v>TAXA BOLETO COMPENSADO</v>
      </c>
      <c r="H4199" t="str">
        <f t="shared" si="2008"/>
        <v>30/07/2025</v>
      </c>
      <c r="I4199" t="str">
        <f t="shared" si="2019"/>
        <v>30/07/2025</v>
      </c>
      <c r="J4199" t="str">
        <f t="shared" si="2009"/>
        <v>30/07/2025</v>
      </c>
      <c r="M4199">
        <v>401</v>
      </c>
      <c r="N4199" t="str">
        <f t="shared" si="2020"/>
        <v>IOF/JUROS/DESP.FINANCEIRA</v>
      </c>
      <c r="P4199">
        <v>1.7</v>
      </c>
      <c r="Q4199" t="str">
        <f>"CORA SOCIEDADE DE CREDITO, FINANCIAMENTO E INVESTIMENTO (20035)"</f>
        <v>CORA SOCIEDADE DE CREDITO, FINANCIAMENTO E INVESTIMENTO (20035)</v>
      </c>
      <c r="R4199" t="str">
        <f t="shared" si="2021"/>
        <v>BANCO CORA (102)</v>
      </c>
      <c r="S4199">
        <v>2279</v>
      </c>
      <c r="T4199">
        <v>1806</v>
      </c>
      <c r="U4199" t="s">
        <v>19</v>
      </c>
    </row>
    <row r="4200" spans="1:21">
      <c r="A4200" t="str">
        <f t="shared" si="2006"/>
        <v>30/07/2025</v>
      </c>
      <c r="B4200" t="str">
        <f t="shared" si="2014"/>
        <v>SAÍDA</v>
      </c>
      <c r="C4200" t="str">
        <f t="shared" si="2015"/>
        <v>CONHECIMENTO</v>
      </c>
      <c r="D4200" t="str">
        <f t="shared" si="2016"/>
        <v>300725170</v>
      </c>
      <c r="E4200" t="str">
        <f t="shared" si="1998"/>
        <v>COM</v>
      </c>
      <c r="F4200" t="str">
        <f t="shared" si="2017"/>
        <v>CORA SOCIEDADE DE CREDITO, FINANCIAMENTO E INVESTIMENTO (20035)</v>
      </c>
      <c r="G4200" t="str">
        <f t="shared" si="2018"/>
        <v>TAXA BOLETO COMPENSADO</v>
      </c>
      <c r="H4200" t="str">
        <f t="shared" si="2008"/>
        <v>30/07/2025</v>
      </c>
      <c r="I4200" t="str">
        <f t="shared" si="2019"/>
        <v>30/07/2025</v>
      </c>
      <c r="J4200" t="str">
        <f t="shared" si="2009"/>
        <v>30/07/2025</v>
      </c>
      <c r="K4200">
        <v>1.7</v>
      </c>
      <c r="L4200">
        <v>1.7</v>
      </c>
      <c r="M4200">
        <v>401</v>
      </c>
      <c r="N4200" t="str">
        <f t="shared" si="2020"/>
        <v>IOF/JUROS/DESP.FINANCEIRA</v>
      </c>
      <c r="O4200">
        <v>1.7</v>
      </c>
      <c r="R4200" t="str">
        <f t="shared" si="2021"/>
        <v>BANCO CORA (102)</v>
      </c>
      <c r="S4200">
        <v>2280</v>
      </c>
      <c r="T4200">
        <v>1807</v>
      </c>
      <c r="U4200" t="s">
        <v>19</v>
      </c>
    </row>
    <row r="4201" spans="1:21">
      <c r="A4201" t="str">
        <f t="shared" si="2006"/>
        <v>30/07/2025</v>
      </c>
      <c r="B4201" t="str">
        <f t="shared" si="2014"/>
        <v>SAÍDA</v>
      </c>
      <c r="C4201" t="str">
        <f t="shared" si="2015"/>
        <v>CONHECIMENTO</v>
      </c>
      <c r="D4201" t="str">
        <f t="shared" si="2016"/>
        <v>300725170</v>
      </c>
      <c r="E4201" t="str">
        <f t="shared" si="1998"/>
        <v>COM</v>
      </c>
      <c r="F4201" t="str">
        <f t="shared" si="2017"/>
        <v>CORA SOCIEDADE DE CREDITO, FINANCIAMENTO E INVESTIMENTO (20035)</v>
      </c>
      <c r="G4201" t="str">
        <f t="shared" si="2018"/>
        <v>TAXA BOLETO COMPENSADO</v>
      </c>
      <c r="H4201" t="str">
        <f t="shared" si="2008"/>
        <v>30/07/2025</v>
      </c>
      <c r="I4201" t="str">
        <f t="shared" si="2019"/>
        <v>30/07/2025</v>
      </c>
      <c r="J4201" t="str">
        <f t="shared" si="2009"/>
        <v>30/07/2025</v>
      </c>
      <c r="M4201">
        <v>401</v>
      </c>
      <c r="N4201" t="str">
        <f t="shared" si="2020"/>
        <v>IOF/JUROS/DESP.FINANCEIRA</v>
      </c>
      <c r="P4201">
        <v>1.7</v>
      </c>
      <c r="Q4201" t="str">
        <f>"CORA SOCIEDADE DE CREDITO, FINANCIAMENTO E INVESTIMENTO (20035)"</f>
        <v>CORA SOCIEDADE DE CREDITO, FINANCIAMENTO E INVESTIMENTO (20035)</v>
      </c>
      <c r="R4201" t="str">
        <f t="shared" si="2021"/>
        <v>BANCO CORA (102)</v>
      </c>
      <c r="S4201">
        <v>2280</v>
      </c>
      <c r="T4201">
        <v>1807</v>
      </c>
      <c r="U4201" t="s">
        <v>19</v>
      </c>
    </row>
    <row r="4202" spans="1:21">
      <c r="A4202" t="str">
        <f t="shared" si="2006"/>
        <v>30/07/2025</v>
      </c>
      <c r="B4202" t="str">
        <f t="shared" si="2014"/>
        <v>SAÍDA</v>
      </c>
      <c r="C4202" t="str">
        <f t="shared" si="2015"/>
        <v>CONHECIMENTO</v>
      </c>
      <c r="D4202" t="str">
        <f t="shared" si="2016"/>
        <v>300725170</v>
      </c>
      <c r="E4202" t="str">
        <f t="shared" si="1998"/>
        <v>COM</v>
      </c>
      <c r="F4202" t="str">
        <f t="shared" si="2017"/>
        <v>CORA SOCIEDADE DE CREDITO, FINANCIAMENTO E INVESTIMENTO (20035)</v>
      </c>
      <c r="G4202" t="str">
        <f t="shared" si="2018"/>
        <v>TAXA BOLETO COMPENSADO</v>
      </c>
      <c r="H4202" t="str">
        <f t="shared" si="2008"/>
        <v>30/07/2025</v>
      </c>
      <c r="I4202" t="str">
        <f t="shared" si="2019"/>
        <v>30/07/2025</v>
      </c>
      <c r="J4202" t="str">
        <f t="shared" si="2009"/>
        <v>30/07/2025</v>
      </c>
      <c r="K4202">
        <v>1.7</v>
      </c>
      <c r="L4202">
        <v>1.7</v>
      </c>
      <c r="M4202">
        <v>401</v>
      </c>
      <c r="N4202" t="str">
        <f t="shared" si="2020"/>
        <v>IOF/JUROS/DESP.FINANCEIRA</v>
      </c>
      <c r="O4202">
        <v>1.7</v>
      </c>
      <c r="R4202" t="str">
        <f t="shared" si="2021"/>
        <v>BANCO CORA (102)</v>
      </c>
      <c r="S4202">
        <v>2281</v>
      </c>
      <c r="T4202">
        <v>1808</v>
      </c>
      <c r="U4202" t="s">
        <v>19</v>
      </c>
    </row>
    <row r="4203" spans="1:21">
      <c r="A4203" t="str">
        <f t="shared" si="2006"/>
        <v>30/07/2025</v>
      </c>
      <c r="B4203" t="str">
        <f t="shared" si="2014"/>
        <v>SAÍDA</v>
      </c>
      <c r="C4203" t="str">
        <f t="shared" si="2015"/>
        <v>CONHECIMENTO</v>
      </c>
      <c r="D4203" t="str">
        <f t="shared" si="2016"/>
        <v>300725170</v>
      </c>
      <c r="E4203" t="str">
        <f t="shared" si="1998"/>
        <v>COM</v>
      </c>
      <c r="F4203" t="str">
        <f t="shared" si="2017"/>
        <v>CORA SOCIEDADE DE CREDITO, FINANCIAMENTO E INVESTIMENTO (20035)</v>
      </c>
      <c r="G4203" t="str">
        <f t="shared" si="2018"/>
        <v>TAXA BOLETO COMPENSADO</v>
      </c>
      <c r="H4203" t="str">
        <f t="shared" si="2008"/>
        <v>30/07/2025</v>
      </c>
      <c r="I4203" t="str">
        <f t="shared" si="2019"/>
        <v>30/07/2025</v>
      </c>
      <c r="J4203" t="str">
        <f t="shared" si="2009"/>
        <v>30/07/2025</v>
      </c>
      <c r="M4203">
        <v>401</v>
      </c>
      <c r="N4203" t="str">
        <f t="shared" si="2020"/>
        <v>IOF/JUROS/DESP.FINANCEIRA</v>
      </c>
      <c r="P4203">
        <v>1.7</v>
      </c>
      <c r="Q4203" t="str">
        <f>"CORA SOCIEDADE DE CREDITO, FINANCIAMENTO E INVESTIMENTO (20035)"</f>
        <v>CORA SOCIEDADE DE CREDITO, FINANCIAMENTO E INVESTIMENTO (20035)</v>
      </c>
      <c r="R4203" t="str">
        <f t="shared" si="2021"/>
        <v>BANCO CORA (102)</v>
      </c>
      <c r="S4203">
        <v>2281</v>
      </c>
      <c r="T4203">
        <v>1808</v>
      </c>
      <c r="U4203" t="s">
        <v>19</v>
      </c>
    </row>
    <row r="4204" spans="1:21">
      <c r="A4204" t="str">
        <f t="shared" si="2006"/>
        <v>30/07/2025</v>
      </c>
      <c r="B4204" t="str">
        <f t="shared" si="2014"/>
        <v>SAÍDA</v>
      </c>
      <c r="C4204" t="str">
        <f t="shared" si="2015"/>
        <v>CONHECIMENTO</v>
      </c>
      <c r="D4204" t="str">
        <f t="shared" si="2016"/>
        <v>300725170</v>
      </c>
      <c r="E4204" t="str">
        <f t="shared" si="1998"/>
        <v>COM</v>
      </c>
      <c r="F4204" t="str">
        <f t="shared" si="2017"/>
        <v>CORA SOCIEDADE DE CREDITO, FINANCIAMENTO E INVESTIMENTO (20035)</v>
      </c>
      <c r="G4204" t="str">
        <f t="shared" si="2018"/>
        <v>TAXA BOLETO COMPENSADO</v>
      </c>
      <c r="H4204" t="str">
        <f t="shared" si="2008"/>
        <v>30/07/2025</v>
      </c>
      <c r="I4204" t="str">
        <f t="shared" si="2019"/>
        <v>30/07/2025</v>
      </c>
      <c r="J4204" t="str">
        <f t="shared" si="2009"/>
        <v>30/07/2025</v>
      </c>
      <c r="K4204">
        <v>1.7</v>
      </c>
      <c r="L4204">
        <v>1.7</v>
      </c>
      <c r="M4204">
        <v>401</v>
      </c>
      <c r="N4204" t="str">
        <f t="shared" si="2020"/>
        <v>IOF/JUROS/DESP.FINANCEIRA</v>
      </c>
      <c r="O4204">
        <v>1.7</v>
      </c>
      <c r="R4204" t="str">
        <f t="shared" si="2021"/>
        <v>BANCO CORA (102)</v>
      </c>
      <c r="S4204">
        <v>2282</v>
      </c>
      <c r="T4204">
        <v>1809</v>
      </c>
      <c r="U4204" t="s">
        <v>19</v>
      </c>
    </row>
    <row r="4205" spans="1:21">
      <c r="A4205" t="str">
        <f t="shared" si="2006"/>
        <v>30/07/2025</v>
      </c>
      <c r="B4205" t="str">
        <f t="shared" si="2014"/>
        <v>SAÍDA</v>
      </c>
      <c r="C4205" t="str">
        <f t="shared" si="2015"/>
        <v>CONHECIMENTO</v>
      </c>
      <c r="D4205" t="str">
        <f t="shared" si="2016"/>
        <v>300725170</v>
      </c>
      <c r="E4205" t="str">
        <f t="shared" si="1998"/>
        <v>COM</v>
      </c>
      <c r="F4205" t="str">
        <f t="shared" si="2017"/>
        <v>CORA SOCIEDADE DE CREDITO, FINANCIAMENTO E INVESTIMENTO (20035)</v>
      </c>
      <c r="G4205" t="str">
        <f t="shared" si="2018"/>
        <v>TAXA BOLETO COMPENSADO</v>
      </c>
      <c r="H4205" t="str">
        <f t="shared" si="2008"/>
        <v>30/07/2025</v>
      </c>
      <c r="I4205" t="str">
        <f t="shared" si="2019"/>
        <v>30/07/2025</v>
      </c>
      <c r="J4205" t="str">
        <f t="shared" si="2009"/>
        <v>30/07/2025</v>
      </c>
      <c r="M4205">
        <v>401</v>
      </c>
      <c r="N4205" t="str">
        <f t="shared" si="2020"/>
        <v>IOF/JUROS/DESP.FINANCEIRA</v>
      </c>
      <c r="P4205">
        <v>1.7</v>
      </c>
      <c r="Q4205" t="str">
        <f>"CORA SOCIEDADE DE CREDITO, FINANCIAMENTO E INVESTIMENTO (20035)"</f>
        <v>CORA SOCIEDADE DE CREDITO, FINANCIAMENTO E INVESTIMENTO (20035)</v>
      </c>
      <c r="R4205" t="str">
        <f t="shared" si="2021"/>
        <v>BANCO CORA (102)</v>
      </c>
      <c r="S4205">
        <v>2282</v>
      </c>
      <c r="T4205">
        <v>1809</v>
      </c>
      <c r="U4205" t="s">
        <v>19</v>
      </c>
    </row>
    <row r="4206" spans="1:21">
      <c r="A4206" t="str">
        <f t="shared" si="2006"/>
        <v>30/07/2025</v>
      </c>
      <c r="B4206" t="str">
        <f t="shared" si="2014"/>
        <v>SAÍDA</v>
      </c>
      <c r="C4206" t="str">
        <f t="shared" si="2015"/>
        <v>CONHECIMENTO</v>
      </c>
      <c r="D4206" t="str">
        <f t="shared" si="2016"/>
        <v>300725170</v>
      </c>
      <c r="E4206" t="str">
        <f t="shared" si="1998"/>
        <v>COM</v>
      </c>
      <c r="F4206" t="str">
        <f t="shared" si="2017"/>
        <v>CORA SOCIEDADE DE CREDITO, FINANCIAMENTO E INVESTIMENTO (20035)</v>
      </c>
      <c r="G4206" t="str">
        <f t="shared" si="2018"/>
        <v>TAXA BOLETO COMPENSADO</v>
      </c>
      <c r="H4206" t="str">
        <f t="shared" si="2008"/>
        <v>30/07/2025</v>
      </c>
      <c r="I4206" t="str">
        <f t="shared" si="2019"/>
        <v>30/07/2025</v>
      </c>
      <c r="J4206" t="str">
        <f t="shared" si="2009"/>
        <v>30/07/2025</v>
      </c>
      <c r="K4206">
        <v>1.7</v>
      </c>
      <c r="L4206">
        <v>1.7</v>
      </c>
      <c r="M4206">
        <v>401</v>
      </c>
      <c r="N4206" t="str">
        <f t="shared" si="2020"/>
        <v>IOF/JUROS/DESP.FINANCEIRA</v>
      </c>
      <c r="O4206">
        <v>1.7</v>
      </c>
      <c r="R4206" t="str">
        <f t="shared" si="2021"/>
        <v>BANCO CORA (102)</v>
      </c>
      <c r="S4206">
        <v>2283</v>
      </c>
      <c r="T4206">
        <v>1810</v>
      </c>
      <c r="U4206" t="s">
        <v>19</v>
      </c>
    </row>
    <row r="4207" spans="1:21">
      <c r="A4207" t="str">
        <f t="shared" si="2006"/>
        <v>30/07/2025</v>
      </c>
      <c r="B4207" t="str">
        <f t="shared" si="2014"/>
        <v>SAÍDA</v>
      </c>
      <c r="C4207" t="str">
        <f t="shared" si="2015"/>
        <v>CONHECIMENTO</v>
      </c>
      <c r="D4207" t="str">
        <f t="shared" si="2016"/>
        <v>300725170</v>
      </c>
      <c r="E4207" t="str">
        <f t="shared" ref="E4207:E4270" si="2022">"COM"</f>
        <v>COM</v>
      </c>
      <c r="F4207" t="str">
        <f t="shared" si="2017"/>
        <v>CORA SOCIEDADE DE CREDITO, FINANCIAMENTO E INVESTIMENTO (20035)</v>
      </c>
      <c r="G4207" t="str">
        <f t="shared" si="2018"/>
        <v>TAXA BOLETO COMPENSADO</v>
      </c>
      <c r="H4207" t="str">
        <f t="shared" si="2008"/>
        <v>30/07/2025</v>
      </c>
      <c r="I4207" t="str">
        <f t="shared" si="2019"/>
        <v>30/07/2025</v>
      </c>
      <c r="J4207" t="str">
        <f t="shared" si="2009"/>
        <v>30/07/2025</v>
      </c>
      <c r="M4207">
        <v>401</v>
      </c>
      <c r="N4207" t="str">
        <f t="shared" si="2020"/>
        <v>IOF/JUROS/DESP.FINANCEIRA</v>
      </c>
      <c r="P4207">
        <v>1.7</v>
      </c>
      <c r="Q4207" t="str">
        <f>"CORA SOCIEDADE DE CREDITO, FINANCIAMENTO E INVESTIMENTO (20035)"</f>
        <v>CORA SOCIEDADE DE CREDITO, FINANCIAMENTO E INVESTIMENTO (20035)</v>
      </c>
      <c r="R4207" t="str">
        <f t="shared" si="2021"/>
        <v>BANCO CORA (102)</v>
      </c>
      <c r="S4207">
        <v>2283</v>
      </c>
      <c r="T4207">
        <v>1810</v>
      </c>
      <c r="U4207" t="s">
        <v>19</v>
      </c>
    </row>
    <row r="4208" spans="1:21">
      <c r="A4208" t="str">
        <f t="shared" si="2006"/>
        <v>30/07/2025</v>
      </c>
      <c r="B4208" t="str">
        <f t="shared" si="2014"/>
        <v>SAÍDA</v>
      </c>
      <c r="C4208" t="str">
        <f t="shared" si="2015"/>
        <v>CONHECIMENTO</v>
      </c>
      <c r="D4208" t="str">
        <f t="shared" si="2016"/>
        <v>300725170</v>
      </c>
      <c r="E4208" t="str">
        <f t="shared" si="2022"/>
        <v>COM</v>
      </c>
      <c r="F4208" t="str">
        <f t="shared" si="2017"/>
        <v>CORA SOCIEDADE DE CREDITO, FINANCIAMENTO E INVESTIMENTO (20035)</v>
      </c>
      <c r="G4208" t="str">
        <f t="shared" si="2018"/>
        <v>TAXA BOLETO COMPENSADO</v>
      </c>
      <c r="H4208" t="str">
        <f t="shared" si="2008"/>
        <v>30/07/2025</v>
      </c>
      <c r="I4208" t="str">
        <f t="shared" si="2019"/>
        <v>30/07/2025</v>
      </c>
      <c r="J4208" t="str">
        <f t="shared" si="2009"/>
        <v>30/07/2025</v>
      </c>
      <c r="K4208">
        <v>1.7</v>
      </c>
      <c r="L4208">
        <v>1.7</v>
      </c>
      <c r="M4208">
        <v>401</v>
      </c>
      <c r="N4208" t="str">
        <f t="shared" si="2020"/>
        <v>IOF/JUROS/DESP.FINANCEIRA</v>
      </c>
      <c r="O4208">
        <v>1.7</v>
      </c>
      <c r="R4208" t="str">
        <f t="shared" si="2021"/>
        <v>BANCO CORA (102)</v>
      </c>
      <c r="S4208">
        <v>2284</v>
      </c>
      <c r="T4208">
        <v>1811</v>
      </c>
      <c r="U4208" t="s">
        <v>19</v>
      </c>
    </row>
    <row r="4209" spans="1:21">
      <c r="A4209" t="str">
        <f t="shared" si="2006"/>
        <v>30/07/2025</v>
      </c>
      <c r="B4209" t="str">
        <f t="shared" si="2014"/>
        <v>SAÍDA</v>
      </c>
      <c r="C4209" t="str">
        <f t="shared" si="2015"/>
        <v>CONHECIMENTO</v>
      </c>
      <c r="D4209" t="str">
        <f t="shared" si="2016"/>
        <v>300725170</v>
      </c>
      <c r="E4209" t="str">
        <f t="shared" si="2022"/>
        <v>COM</v>
      </c>
      <c r="F4209" t="str">
        <f t="shared" si="2017"/>
        <v>CORA SOCIEDADE DE CREDITO, FINANCIAMENTO E INVESTIMENTO (20035)</v>
      </c>
      <c r="G4209" t="str">
        <f t="shared" si="2018"/>
        <v>TAXA BOLETO COMPENSADO</v>
      </c>
      <c r="H4209" t="str">
        <f t="shared" si="2008"/>
        <v>30/07/2025</v>
      </c>
      <c r="I4209" t="str">
        <f t="shared" si="2019"/>
        <v>30/07/2025</v>
      </c>
      <c r="J4209" t="str">
        <f t="shared" si="2009"/>
        <v>30/07/2025</v>
      </c>
      <c r="M4209">
        <v>401</v>
      </c>
      <c r="N4209" t="str">
        <f t="shared" si="2020"/>
        <v>IOF/JUROS/DESP.FINANCEIRA</v>
      </c>
      <c r="P4209">
        <v>1.7</v>
      </c>
      <c r="Q4209" t="str">
        <f>"CORA SOCIEDADE DE CREDITO, FINANCIAMENTO E INVESTIMENTO (20035)"</f>
        <v>CORA SOCIEDADE DE CREDITO, FINANCIAMENTO E INVESTIMENTO (20035)</v>
      </c>
      <c r="R4209" t="str">
        <f t="shared" si="2021"/>
        <v>BANCO CORA (102)</v>
      </c>
      <c r="S4209">
        <v>2284</v>
      </c>
      <c r="T4209">
        <v>1811</v>
      </c>
      <c r="U4209" t="s">
        <v>19</v>
      </c>
    </row>
    <row r="4210" spans="1:21">
      <c r="A4210" t="str">
        <f t="shared" si="2006"/>
        <v>30/07/2025</v>
      </c>
      <c r="B4210" t="str">
        <f t="shared" si="2014"/>
        <v>SAÍDA</v>
      </c>
      <c r="C4210" t="str">
        <f>"PIX"</f>
        <v>PIX</v>
      </c>
      <c r="D4210" t="str">
        <f>"3007251000"</f>
        <v>3007251000</v>
      </c>
      <c r="E4210" t="str">
        <f t="shared" si="2022"/>
        <v>COM</v>
      </c>
      <c r="F4210" t="str">
        <f>"CONTA SIMPLES SOLUCOES DE PAGAMENTOS LTDA (20019)"</f>
        <v>CONTA SIMPLES SOLUCOES DE PAGAMENTOS LTDA (20019)</v>
      </c>
      <c r="G4210" t="str">
        <f>"MARKETING REDES SOCIAIS - PIX- CHAVE ALEATORIA: 1d5b84cc-db31-469d-b8ee-076ced54c3e9"</f>
        <v>MARKETING REDES SOCIAIS - PIX- CHAVE ALEATORIA: 1d5b84cc-db31-469d-b8ee-076ced54c3e9</v>
      </c>
      <c r="H4210" t="str">
        <f t="shared" si="2008"/>
        <v>30/07/2025</v>
      </c>
      <c r="I4210" t="str">
        <f t="shared" si="2019"/>
        <v>30/07/2025</v>
      </c>
      <c r="J4210" t="str">
        <f t="shared" si="2009"/>
        <v>30/07/2025</v>
      </c>
      <c r="K4210">
        <v>1000</v>
      </c>
      <c r="L4210">
        <v>1000</v>
      </c>
      <c r="M4210">
        <v>127</v>
      </c>
      <c r="N4210" t="str">
        <f>"PUBLICIDADE E PROPAGANDAS"</f>
        <v>PUBLICIDADE E PROPAGANDAS</v>
      </c>
      <c r="O4210">
        <v>1000</v>
      </c>
      <c r="R4210" t="str">
        <f t="shared" si="2021"/>
        <v>BANCO CORA (102)</v>
      </c>
      <c r="S4210">
        <v>2354</v>
      </c>
      <c r="T4210">
        <v>1892</v>
      </c>
      <c r="U4210" t="s">
        <v>19</v>
      </c>
    </row>
    <row r="4211" spans="1:21">
      <c r="A4211" t="str">
        <f t="shared" si="2006"/>
        <v>30/07/2025</v>
      </c>
      <c r="B4211" t="str">
        <f t="shared" si="2014"/>
        <v>SAÍDA</v>
      </c>
      <c r="C4211" t="str">
        <f>"PIX"</f>
        <v>PIX</v>
      </c>
      <c r="D4211" t="str">
        <f>"3007251000"</f>
        <v>3007251000</v>
      </c>
      <c r="E4211" t="str">
        <f t="shared" si="2022"/>
        <v>COM</v>
      </c>
      <c r="F4211" t="str">
        <f>"CONTA SIMPLES SOLUCOES DE PAGAMENTOS LTDA (20019)"</f>
        <v>CONTA SIMPLES SOLUCOES DE PAGAMENTOS LTDA (20019)</v>
      </c>
      <c r="G4211" t="str">
        <f>"MARKETING REDES SOCIAIS - PIX- CHAVE ALEATORIA: 1d5b84cc-db31-469d-b8ee-076ced54c3e9"</f>
        <v>MARKETING REDES SOCIAIS - PIX- CHAVE ALEATORIA: 1d5b84cc-db31-469d-b8ee-076ced54c3e9</v>
      </c>
      <c r="H4211" t="str">
        <f t="shared" si="2008"/>
        <v>30/07/2025</v>
      </c>
      <c r="I4211" t="str">
        <f t="shared" si="2019"/>
        <v>30/07/2025</v>
      </c>
      <c r="J4211" t="str">
        <f t="shared" si="2009"/>
        <v>30/07/2025</v>
      </c>
      <c r="M4211">
        <v>127</v>
      </c>
      <c r="N4211" t="str">
        <f>"PUBLICIDADE E PROPAGANDAS"</f>
        <v>PUBLICIDADE E PROPAGANDAS</v>
      </c>
      <c r="P4211">
        <v>1000</v>
      </c>
      <c r="Q4211" t="str">
        <f>"CONTA SIMPLES SOLUCOES DE PAGAMENTOS LTDA (20019)"</f>
        <v>CONTA SIMPLES SOLUCOES DE PAGAMENTOS LTDA (20019)</v>
      </c>
      <c r="R4211" t="str">
        <f t="shared" si="2021"/>
        <v>BANCO CORA (102)</v>
      </c>
      <c r="S4211">
        <v>2354</v>
      </c>
      <c r="T4211">
        <v>1892</v>
      </c>
      <c r="U4211" t="s">
        <v>19</v>
      </c>
    </row>
    <row r="4212" spans="1:21">
      <c r="A4212" t="str">
        <f t="shared" ref="A4212:A4243" si="2023">("31/07/2025")</f>
        <v>31/07/2025</v>
      </c>
      <c r="B4212" t="str">
        <f>"ENTRADA"</f>
        <v>ENTRADA</v>
      </c>
      <c r="C4212" t="str">
        <f t="shared" ref="C4212:C4243" si="2024">"NFSE"</f>
        <v>NFSE</v>
      </c>
      <c r="D4212" t="str">
        <f>"3273"</f>
        <v>3273</v>
      </c>
      <c r="E4212" t="str">
        <f t="shared" si="2022"/>
        <v>COM</v>
      </c>
      <c r="F4212" t="str">
        <f>"AC FARMA - CID.ALTA (10166)"</f>
        <v>AC FARMA - CID.ALTA (10166)</v>
      </c>
      <c r="G4212" t="str">
        <f>"Serv.Prest. 14/07/2025 a 20/07/2025 - RPS: 1040 - NFSe: 3273"</f>
        <v>Serv.Prest. 14/07/2025 a 20/07/2025 - RPS: 1040 - NFSe: 3273</v>
      </c>
      <c r="H4212" t="str">
        <f t="shared" si="2008"/>
        <v>30/07/2025</v>
      </c>
      <c r="I4212" t="str">
        <f>("24/07/2025")</f>
        <v>24/07/2025</v>
      </c>
      <c r="J4212" t="str">
        <f t="shared" ref="J4212:J4243" si="2025">("31/07/2025")</f>
        <v>31/07/2025</v>
      </c>
      <c r="K4212">
        <v>888.3</v>
      </c>
      <c r="L4212">
        <v>888.3</v>
      </c>
      <c r="M4212">
        <v>303</v>
      </c>
      <c r="N4212" t="str">
        <f t="shared" ref="N4212:N4243" si="2026">"RECEITAS COM ENTREGAS"</f>
        <v>RECEITAS COM ENTREGAS</v>
      </c>
      <c r="O4212">
        <v>888.3</v>
      </c>
      <c r="R4212" t="str">
        <f t="shared" ref="R4212:R4243" si="2027">"RECEITAS COM ENTREGAS (303)"</f>
        <v>RECEITAS COM ENTREGAS (303)</v>
      </c>
      <c r="S4212">
        <v>2237</v>
      </c>
      <c r="T4212">
        <v>1653</v>
      </c>
      <c r="U4212" t="s">
        <v>19</v>
      </c>
    </row>
    <row r="4213" spans="1:21">
      <c r="A4213" t="str">
        <f t="shared" si="2023"/>
        <v>31/07/2025</v>
      </c>
      <c r="B4213" t="str">
        <f t="shared" ref="B4213:B4243" si="2028">"ENTRADA"</f>
        <v>ENTRADA</v>
      </c>
      <c r="C4213" t="str">
        <f t="shared" si="2024"/>
        <v>NFSE</v>
      </c>
      <c r="D4213" t="str">
        <f>"3273"</f>
        <v>3273</v>
      </c>
      <c r="E4213" t="str">
        <f t="shared" si="2022"/>
        <v>COM</v>
      </c>
      <c r="F4213" t="str">
        <f>"AC FARMA - CID.ALTA (10166)"</f>
        <v>AC FARMA - CID.ALTA (10166)</v>
      </c>
      <c r="G4213" t="str">
        <f>"Serv.Prest. 14/07/2025 a 20/07/2025 - RPS: 1040 - NFSe: 3273"</f>
        <v>Serv.Prest. 14/07/2025 a 20/07/2025 - RPS: 1040 - NFSe: 3273</v>
      </c>
      <c r="H4213" t="str">
        <f t="shared" si="2008"/>
        <v>30/07/2025</v>
      </c>
      <c r="I4213" t="str">
        <f>("24/07/2025")</f>
        <v>24/07/2025</v>
      </c>
      <c r="J4213" t="str">
        <f t="shared" si="2025"/>
        <v>31/07/2025</v>
      </c>
      <c r="M4213">
        <v>303</v>
      </c>
      <c r="N4213" t="str">
        <f t="shared" si="2026"/>
        <v>RECEITAS COM ENTREGAS</v>
      </c>
      <c r="P4213">
        <v>888.3</v>
      </c>
      <c r="Q4213" t="str">
        <f>"AC FARMA - CID.ALTA (10166)"</f>
        <v>AC FARMA - CID.ALTA (10166)</v>
      </c>
      <c r="R4213" t="str">
        <f t="shared" si="2027"/>
        <v>RECEITAS COM ENTREGAS (303)</v>
      </c>
      <c r="S4213">
        <v>2237</v>
      </c>
      <c r="T4213">
        <v>1653</v>
      </c>
      <c r="U4213" t="s">
        <v>19</v>
      </c>
    </row>
    <row r="4214" spans="1:21">
      <c r="A4214" t="str">
        <f t="shared" si="2023"/>
        <v>31/07/2025</v>
      </c>
      <c r="B4214" t="str">
        <f t="shared" si="2028"/>
        <v>ENTRADA</v>
      </c>
      <c r="C4214" t="str">
        <f t="shared" si="2024"/>
        <v>NFSE</v>
      </c>
      <c r="D4214" t="str">
        <f>"3274"</f>
        <v>3274</v>
      </c>
      <c r="E4214" t="str">
        <f t="shared" si="2022"/>
        <v>COM</v>
      </c>
      <c r="F4214" t="str">
        <f>"AC FARMA - FLEMINFARMA (10160)"</f>
        <v>AC FARMA - FLEMINFARMA (10160)</v>
      </c>
      <c r="G4214" t="str">
        <f>"Serv.Prest. 14/07/2025 a 20/07/2025 - RPS: 1041 - NFSe: 3274"</f>
        <v>Serv.Prest. 14/07/2025 a 20/07/2025 - RPS: 1041 - NFSe: 3274</v>
      </c>
      <c r="H4214" t="str">
        <f t="shared" si="2008"/>
        <v>30/07/2025</v>
      </c>
      <c r="I4214" t="str">
        <f>("24/07/2025")</f>
        <v>24/07/2025</v>
      </c>
      <c r="J4214" t="str">
        <f t="shared" si="2025"/>
        <v>31/07/2025</v>
      </c>
      <c r="K4214">
        <v>221.4</v>
      </c>
      <c r="L4214">
        <v>221.4</v>
      </c>
      <c r="M4214">
        <v>303</v>
      </c>
      <c r="N4214" t="str">
        <f t="shared" si="2026"/>
        <v>RECEITAS COM ENTREGAS</v>
      </c>
      <c r="O4214">
        <v>221.4</v>
      </c>
      <c r="R4214" t="str">
        <f t="shared" si="2027"/>
        <v>RECEITAS COM ENTREGAS (303)</v>
      </c>
      <c r="S4214">
        <v>2238</v>
      </c>
      <c r="T4214">
        <v>1654</v>
      </c>
      <c r="U4214" t="s">
        <v>19</v>
      </c>
    </row>
    <row r="4215" spans="1:21">
      <c r="A4215" t="str">
        <f t="shared" si="2023"/>
        <v>31/07/2025</v>
      </c>
      <c r="B4215" t="str">
        <f t="shared" si="2028"/>
        <v>ENTRADA</v>
      </c>
      <c r="C4215" t="str">
        <f t="shared" si="2024"/>
        <v>NFSE</v>
      </c>
      <c r="D4215" t="str">
        <f>"3274"</f>
        <v>3274</v>
      </c>
      <c r="E4215" t="str">
        <f t="shared" si="2022"/>
        <v>COM</v>
      </c>
      <c r="F4215" t="str">
        <f>"AC FARMA - FLEMINFARMA (10160)"</f>
        <v>AC FARMA - FLEMINFARMA (10160)</v>
      </c>
      <c r="G4215" t="str">
        <f>"Serv.Prest. 14/07/2025 a 20/07/2025 - RPS: 1041 - NFSe: 3274"</f>
        <v>Serv.Prest. 14/07/2025 a 20/07/2025 - RPS: 1041 - NFSe: 3274</v>
      </c>
      <c r="H4215" t="str">
        <f t="shared" ref="H4215:H4239" si="2029">("30/07/2025")</f>
        <v>30/07/2025</v>
      </c>
      <c r="I4215" t="str">
        <f>("24/07/2025")</f>
        <v>24/07/2025</v>
      </c>
      <c r="J4215" t="str">
        <f t="shared" si="2025"/>
        <v>31/07/2025</v>
      </c>
      <c r="M4215">
        <v>303</v>
      </c>
      <c r="N4215" t="str">
        <f t="shared" si="2026"/>
        <v>RECEITAS COM ENTREGAS</v>
      </c>
      <c r="P4215">
        <v>217.35</v>
      </c>
      <c r="Q4215" t="str">
        <f>"AC FARMA -  FLEMINFARMA (10159)"</f>
        <v>AC FARMA -  FLEMINFARMA (10159)</v>
      </c>
      <c r="R4215" t="str">
        <f t="shared" si="2027"/>
        <v>RECEITAS COM ENTREGAS (303)</v>
      </c>
      <c r="S4215">
        <v>2238</v>
      </c>
      <c r="T4215">
        <v>1654</v>
      </c>
      <c r="U4215" t="s">
        <v>19</v>
      </c>
    </row>
    <row r="4216" spans="1:21">
      <c r="A4216" t="str">
        <f t="shared" si="2023"/>
        <v>31/07/2025</v>
      </c>
      <c r="B4216" t="str">
        <f t="shared" si="2028"/>
        <v>ENTRADA</v>
      </c>
      <c r="C4216" t="str">
        <f t="shared" si="2024"/>
        <v>NFSE</v>
      </c>
      <c r="D4216" t="str">
        <f>"3274"</f>
        <v>3274</v>
      </c>
      <c r="E4216" t="str">
        <f t="shared" si="2022"/>
        <v>COM</v>
      </c>
      <c r="F4216" t="str">
        <f>"AC FARMA - FLEMINFARMA (10160)"</f>
        <v>AC FARMA - FLEMINFARMA (10160)</v>
      </c>
      <c r="G4216" t="str">
        <f>"Serv.Prest. 14/07/2025 a 20/07/2025 - RPS: 1041 - NFSe: 3274"</f>
        <v>Serv.Prest. 14/07/2025 a 20/07/2025 - RPS: 1041 - NFSe: 3274</v>
      </c>
      <c r="H4216" t="str">
        <f t="shared" si="2029"/>
        <v>30/07/2025</v>
      </c>
      <c r="I4216" t="str">
        <f>("24/07/2025")</f>
        <v>24/07/2025</v>
      </c>
      <c r="J4216" t="str">
        <f t="shared" si="2025"/>
        <v>31/07/2025</v>
      </c>
      <c r="M4216">
        <v>303</v>
      </c>
      <c r="N4216" t="str">
        <f t="shared" si="2026"/>
        <v>RECEITAS COM ENTREGAS</v>
      </c>
      <c r="P4216">
        <v>4.05</v>
      </c>
      <c r="Q4216" t="str">
        <f>"AC FARMA - FLEMINFARMA (10160)"</f>
        <v>AC FARMA - FLEMINFARMA (10160)</v>
      </c>
      <c r="R4216" t="str">
        <f t="shared" si="2027"/>
        <v>RECEITAS COM ENTREGAS (303)</v>
      </c>
      <c r="S4216">
        <v>2238</v>
      </c>
      <c r="T4216">
        <v>1654</v>
      </c>
      <c r="U4216" t="s">
        <v>19</v>
      </c>
    </row>
    <row r="4217" spans="1:21">
      <c r="A4217" t="str">
        <f t="shared" si="2023"/>
        <v>31/07/2025</v>
      </c>
      <c r="B4217" t="str">
        <f t="shared" si="2028"/>
        <v>ENTRADA</v>
      </c>
      <c r="C4217" t="str">
        <f t="shared" si="2024"/>
        <v>NFSE</v>
      </c>
      <c r="D4217" t="str">
        <f>"3275"</f>
        <v>3275</v>
      </c>
      <c r="E4217" t="str">
        <f t="shared" si="2022"/>
        <v>COM</v>
      </c>
      <c r="F4217" t="str">
        <f>"AC FARMA - FLEMINFARMA 5 (10183)"</f>
        <v>AC FARMA - FLEMINFARMA 5 (10183)</v>
      </c>
      <c r="G4217" t="str">
        <f>"Serv.Prest. 14/07/2025 a 20/07/2025 - RPS: 1042 - NFSe: 3275"</f>
        <v>Serv.Prest. 14/07/2025 a 20/07/2025 - RPS: 1042 - NFSe: 3275</v>
      </c>
      <c r="H4217" t="str">
        <f t="shared" si="2029"/>
        <v>30/07/2025</v>
      </c>
      <c r="I4217" t="str">
        <f>("25/07/2025")</f>
        <v>25/07/2025</v>
      </c>
      <c r="J4217" t="str">
        <f t="shared" si="2025"/>
        <v>31/07/2025</v>
      </c>
      <c r="K4217">
        <v>72.900000000000006</v>
      </c>
      <c r="L4217">
        <v>72.900000000000006</v>
      </c>
      <c r="M4217">
        <v>303</v>
      </c>
      <c r="N4217" t="str">
        <f t="shared" si="2026"/>
        <v>RECEITAS COM ENTREGAS</v>
      </c>
      <c r="O4217">
        <v>72.900000000000006</v>
      </c>
      <c r="R4217" t="str">
        <f t="shared" si="2027"/>
        <v>RECEITAS COM ENTREGAS (303)</v>
      </c>
      <c r="S4217">
        <v>2239</v>
      </c>
      <c r="T4217">
        <v>1655</v>
      </c>
      <c r="U4217" t="s">
        <v>19</v>
      </c>
    </row>
    <row r="4218" spans="1:21">
      <c r="A4218" t="str">
        <f t="shared" si="2023"/>
        <v>31/07/2025</v>
      </c>
      <c r="B4218" t="str">
        <f t="shared" si="2028"/>
        <v>ENTRADA</v>
      </c>
      <c r="C4218" t="str">
        <f t="shared" si="2024"/>
        <v>NFSE</v>
      </c>
      <c r="D4218" t="str">
        <f>"3275"</f>
        <v>3275</v>
      </c>
      <c r="E4218" t="str">
        <f t="shared" si="2022"/>
        <v>COM</v>
      </c>
      <c r="F4218" t="str">
        <f>"AC FARMA - FLEMINFARMA 5 (10183)"</f>
        <v>AC FARMA - FLEMINFARMA 5 (10183)</v>
      </c>
      <c r="G4218" t="str">
        <f>"Serv.Prest. 14/07/2025 a 20/07/2025 - RPS: 1042 - NFSe: 3275"</f>
        <v>Serv.Prest. 14/07/2025 a 20/07/2025 - RPS: 1042 - NFSe: 3275</v>
      </c>
      <c r="H4218" t="str">
        <f t="shared" si="2029"/>
        <v>30/07/2025</v>
      </c>
      <c r="I4218" t="str">
        <f>("25/07/2025")</f>
        <v>25/07/2025</v>
      </c>
      <c r="J4218" t="str">
        <f t="shared" si="2025"/>
        <v>31/07/2025</v>
      </c>
      <c r="M4218">
        <v>303</v>
      </c>
      <c r="N4218" t="str">
        <f t="shared" si="2026"/>
        <v>RECEITAS COM ENTREGAS</v>
      </c>
      <c r="P4218">
        <v>62.1</v>
      </c>
      <c r="Q4218" t="str">
        <f>"AC FARMA - FLEMINFARMA 5 (10183)"</f>
        <v>AC FARMA - FLEMINFARMA 5 (10183)</v>
      </c>
      <c r="R4218" t="str">
        <f t="shared" si="2027"/>
        <v>RECEITAS COM ENTREGAS (303)</v>
      </c>
      <c r="S4218">
        <v>2239</v>
      </c>
      <c r="T4218">
        <v>1655</v>
      </c>
      <c r="U4218" t="s">
        <v>19</v>
      </c>
    </row>
    <row r="4219" spans="1:21">
      <c r="A4219" t="str">
        <f t="shared" si="2023"/>
        <v>31/07/2025</v>
      </c>
      <c r="B4219" t="str">
        <f t="shared" si="2028"/>
        <v>ENTRADA</v>
      </c>
      <c r="C4219" t="str">
        <f t="shared" si="2024"/>
        <v>NFSE</v>
      </c>
      <c r="D4219" t="str">
        <f>"3275"</f>
        <v>3275</v>
      </c>
      <c r="E4219" t="str">
        <f t="shared" si="2022"/>
        <v>COM</v>
      </c>
      <c r="F4219" t="str">
        <f>"AC FARMA - FLEMINFARMA 5 (10183)"</f>
        <v>AC FARMA - FLEMINFARMA 5 (10183)</v>
      </c>
      <c r="G4219" t="str">
        <f>"Serv.Prest. 14/07/2025 a 20/07/2025 - RPS: 1042 - NFSe: 3275"</f>
        <v>Serv.Prest. 14/07/2025 a 20/07/2025 - RPS: 1042 - NFSe: 3275</v>
      </c>
      <c r="H4219" t="str">
        <f t="shared" si="2029"/>
        <v>30/07/2025</v>
      </c>
      <c r="I4219" t="str">
        <f>("25/07/2025")</f>
        <v>25/07/2025</v>
      </c>
      <c r="J4219" t="str">
        <f t="shared" si="2025"/>
        <v>31/07/2025</v>
      </c>
      <c r="M4219">
        <v>303</v>
      </c>
      <c r="N4219" t="str">
        <f t="shared" si="2026"/>
        <v>RECEITAS COM ENTREGAS</v>
      </c>
      <c r="P4219">
        <v>10.8</v>
      </c>
      <c r="Q4219" t="str">
        <f>"AC FARMA - FLEMINFARMA 6 (10184)"</f>
        <v>AC FARMA - FLEMINFARMA 6 (10184)</v>
      </c>
      <c r="R4219" t="str">
        <f t="shared" si="2027"/>
        <v>RECEITAS COM ENTREGAS (303)</v>
      </c>
      <c r="S4219">
        <v>2239</v>
      </c>
      <c r="T4219">
        <v>1655</v>
      </c>
      <c r="U4219" t="s">
        <v>19</v>
      </c>
    </row>
    <row r="4220" spans="1:21">
      <c r="A4220" t="str">
        <f t="shared" si="2023"/>
        <v>31/07/2025</v>
      </c>
      <c r="B4220" t="str">
        <f t="shared" si="2028"/>
        <v>ENTRADA</v>
      </c>
      <c r="C4220" t="str">
        <f t="shared" si="2024"/>
        <v>NFSE</v>
      </c>
      <c r="D4220" t="str">
        <f>"3279"</f>
        <v>3279</v>
      </c>
      <c r="E4220" t="str">
        <f t="shared" si="2022"/>
        <v>COM</v>
      </c>
      <c r="F4220" t="str">
        <f>"BRASIL FARMA (10173)"</f>
        <v>BRASIL FARMA (10173)</v>
      </c>
      <c r="G4220" t="str">
        <f>"Serv.Prest. 21/07/2025 a 27/07/2025 - RPS: 1046 - NFSe: 3279"</f>
        <v>Serv.Prest. 21/07/2025 a 27/07/2025 - RPS: 1046 - NFSe: 3279</v>
      </c>
      <c r="H4220" t="str">
        <f t="shared" si="2029"/>
        <v>30/07/2025</v>
      </c>
      <c r="I4220" t="str">
        <f t="shared" ref="I4220:I4235" si="2030">("28/07/2025")</f>
        <v>28/07/2025</v>
      </c>
      <c r="J4220" t="str">
        <f t="shared" si="2025"/>
        <v>31/07/2025</v>
      </c>
      <c r="K4220">
        <v>320.95999999999998</v>
      </c>
      <c r="L4220">
        <v>320.95999999999998</v>
      </c>
      <c r="M4220">
        <v>303</v>
      </c>
      <c r="N4220" t="str">
        <f t="shared" si="2026"/>
        <v>RECEITAS COM ENTREGAS</v>
      </c>
      <c r="O4220">
        <v>320.95999999999998</v>
      </c>
      <c r="R4220" t="str">
        <f t="shared" si="2027"/>
        <v>RECEITAS COM ENTREGAS (303)</v>
      </c>
      <c r="S4220">
        <v>2240</v>
      </c>
      <c r="T4220">
        <v>1733</v>
      </c>
      <c r="U4220" t="s">
        <v>19</v>
      </c>
    </row>
    <row r="4221" spans="1:21">
      <c r="A4221" t="str">
        <f t="shared" si="2023"/>
        <v>31/07/2025</v>
      </c>
      <c r="B4221" t="str">
        <f t="shared" si="2028"/>
        <v>ENTRADA</v>
      </c>
      <c r="C4221" t="str">
        <f t="shared" si="2024"/>
        <v>NFSE</v>
      </c>
      <c r="D4221" t="str">
        <f>"3279"</f>
        <v>3279</v>
      </c>
      <c r="E4221" t="str">
        <f t="shared" si="2022"/>
        <v>COM</v>
      </c>
      <c r="F4221" t="str">
        <f>"BRASIL FARMA (10173)"</f>
        <v>BRASIL FARMA (10173)</v>
      </c>
      <c r="G4221" t="str">
        <f>"Serv.Prest. 21/07/2025 a 27/07/2025 - RPS: 1046 - NFSe: 3279"</f>
        <v>Serv.Prest. 21/07/2025 a 27/07/2025 - RPS: 1046 - NFSe: 3279</v>
      </c>
      <c r="H4221" t="str">
        <f t="shared" si="2029"/>
        <v>30/07/2025</v>
      </c>
      <c r="I4221" t="str">
        <f t="shared" si="2030"/>
        <v>28/07/2025</v>
      </c>
      <c r="J4221" t="str">
        <f t="shared" si="2025"/>
        <v>31/07/2025</v>
      </c>
      <c r="M4221">
        <v>303</v>
      </c>
      <c r="N4221" t="str">
        <f t="shared" si="2026"/>
        <v>RECEITAS COM ENTREGAS</v>
      </c>
      <c r="P4221">
        <v>320.95999999999998</v>
      </c>
      <c r="Q4221" t="str">
        <f>"BRASIL FARMA (10173)"</f>
        <v>BRASIL FARMA (10173)</v>
      </c>
      <c r="R4221" t="str">
        <f t="shared" si="2027"/>
        <v>RECEITAS COM ENTREGAS (303)</v>
      </c>
      <c r="S4221">
        <v>2240</v>
      </c>
      <c r="T4221">
        <v>1733</v>
      </c>
      <c r="U4221" t="s">
        <v>19</v>
      </c>
    </row>
    <row r="4222" spans="1:21">
      <c r="A4222" t="str">
        <f t="shared" si="2023"/>
        <v>31/07/2025</v>
      </c>
      <c r="B4222" t="str">
        <f t="shared" si="2028"/>
        <v>ENTRADA</v>
      </c>
      <c r="C4222" t="str">
        <f t="shared" si="2024"/>
        <v>NFSE</v>
      </c>
      <c r="D4222" t="str">
        <f>"3280"</f>
        <v>3280</v>
      </c>
      <c r="E4222" t="str">
        <f t="shared" si="2022"/>
        <v>COM</v>
      </c>
      <c r="F4222" t="str">
        <f>"DROGA MONICA LJ 3 (10152)"</f>
        <v>DROGA MONICA LJ 3 (10152)</v>
      </c>
      <c r="G4222" t="str">
        <f>"Serv.Prest. 21/07/2025 a 27/07/2025 - RPS: 1047 - NFSe: 3280"</f>
        <v>Serv.Prest. 21/07/2025 a 27/07/2025 - RPS: 1047 - NFSe: 3280</v>
      </c>
      <c r="H4222" t="str">
        <f t="shared" si="2029"/>
        <v>30/07/2025</v>
      </c>
      <c r="I4222" t="str">
        <f t="shared" si="2030"/>
        <v>28/07/2025</v>
      </c>
      <c r="J4222" t="str">
        <f t="shared" si="2025"/>
        <v>31/07/2025</v>
      </c>
      <c r="K4222">
        <v>206.4</v>
      </c>
      <c r="L4222">
        <v>206.4</v>
      </c>
      <c r="M4222">
        <v>303</v>
      </c>
      <c r="N4222" t="str">
        <f t="shared" si="2026"/>
        <v>RECEITAS COM ENTREGAS</v>
      </c>
      <c r="O4222">
        <v>206.4</v>
      </c>
      <c r="R4222" t="str">
        <f t="shared" si="2027"/>
        <v>RECEITAS COM ENTREGAS (303)</v>
      </c>
      <c r="S4222">
        <v>2241</v>
      </c>
      <c r="T4222">
        <v>1734</v>
      </c>
      <c r="U4222" t="s">
        <v>19</v>
      </c>
    </row>
    <row r="4223" spans="1:21">
      <c r="A4223" t="str">
        <f t="shared" si="2023"/>
        <v>31/07/2025</v>
      </c>
      <c r="B4223" t="str">
        <f t="shared" si="2028"/>
        <v>ENTRADA</v>
      </c>
      <c r="C4223" t="str">
        <f t="shared" si="2024"/>
        <v>NFSE</v>
      </c>
      <c r="D4223" t="str">
        <f>"3280"</f>
        <v>3280</v>
      </c>
      <c r="E4223" t="str">
        <f t="shared" si="2022"/>
        <v>COM</v>
      </c>
      <c r="F4223" t="str">
        <f>"DROGA MONICA LJ 3 (10152)"</f>
        <v>DROGA MONICA LJ 3 (10152)</v>
      </c>
      <c r="G4223" t="str">
        <f>"Serv.Prest. 21/07/2025 a 27/07/2025 - RPS: 1047 - NFSe: 3280"</f>
        <v>Serv.Prest. 21/07/2025 a 27/07/2025 - RPS: 1047 - NFSe: 3280</v>
      </c>
      <c r="H4223" t="str">
        <f t="shared" si="2029"/>
        <v>30/07/2025</v>
      </c>
      <c r="I4223" t="str">
        <f t="shared" si="2030"/>
        <v>28/07/2025</v>
      </c>
      <c r="J4223" t="str">
        <f t="shared" si="2025"/>
        <v>31/07/2025</v>
      </c>
      <c r="M4223">
        <v>303</v>
      </c>
      <c r="N4223" t="str">
        <f t="shared" si="2026"/>
        <v>RECEITAS COM ENTREGAS</v>
      </c>
      <c r="P4223">
        <v>206.4</v>
      </c>
      <c r="Q4223" t="str">
        <f>"DROGA MONICA LJ 3 (10152)"</f>
        <v>DROGA MONICA LJ 3 (10152)</v>
      </c>
      <c r="R4223" t="str">
        <f t="shared" si="2027"/>
        <v>RECEITAS COM ENTREGAS (303)</v>
      </c>
      <c r="S4223">
        <v>2241</v>
      </c>
      <c r="T4223">
        <v>1734</v>
      </c>
      <c r="U4223" t="s">
        <v>19</v>
      </c>
    </row>
    <row r="4224" spans="1:21">
      <c r="A4224" t="str">
        <f t="shared" si="2023"/>
        <v>31/07/2025</v>
      </c>
      <c r="B4224" t="str">
        <f t="shared" si="2028"/>
        <v>ENTRADA</v>
      </c>
      <c r="C4224" t="str">
        <f t="shared" si="2024"/>
        <v>NFSE</v>
      </c>
      <c r="D4224" t="str">
        <f>"3282"</f>
        <v>3282</v>
      </c>
      <c r="E4224" t="str">
        <f t="shared" si="2022"/>
        <v>COM</v>
      </c>
      <c r="F4224" t="str">
        <f>"ENTREFARMA (10164)"</f>
        <v>ENTREFARMA (10164)</v>
      </c>
      <c r="G4224" t="str">
        <f>"Serv.Prest. 21/07/2025 a 27/07/2025 - RPS: 1049 - NFSe: 3282"</f>
        <v>Serv.Prest. 21/07/2025 a 27/07/2025 - RPS: 1049 - NFSe: 3282</v>
      </c>
      <c r="H4224" t="str">
        <f t="shared" si="2029"/>
        <v>30/07/2025</v>
      </c>
      <c r="I4224" t="str">
        <f t="shared" si="2030"/>
        <v>28/07/2025</v>
      </c>
      <c r="J4224" t="str">
        <f t="shared" si="2025"/>
        <v>31/07/2025</v>
      </c>
      <c r="K4224">
        <v>1039.04</v>
      </c>
      <c r="L4224">
        <v>1039.04</v>
      </c>
      <c r="M4224">
        <v>303</v>
      </c>
      <c r="N4224" t="str">
        <f t="shared" si="2026"/>
        <v>RECEITAS COM ENTREGAS</v>
      </c>
      <c r="O4224">
        <v>1039.04</v>
      </c>
      <c r="R4224" t="str">
        <f t="shared" si="2027"/>
        <v>RECEITAS COM ENTREGAS (303)</v>
      </c>
      <c r="S4224">
        <v>2242</v>
      </c>
      <c r="T4224">
        <v>1736</v>
      </c>
      <c r="U4224" t="s">
        <v>19</v>
      </c>
    </row>
    <row r="4225" spans="1:21">
      <c r="A4225" t="str">
        <f t="shared" si="2023"/>
        <v>31/07/2025</v>
      </c>
      <c r="B4225" t="str">
        <f t="shared" si="2028"/>
        <v>ENTRADA</v>
      </c>
      <c r="C4225" t="str">
        <f t="shared" si="2024"/>
        <v>NFSE</v>
      </c>
      <c r="D4225" t="str">
        <f>"3282"</f>
        <v>3282</v>
      </c>
      <c r="E4225" t="str">
        <f t="shared" si="2022"/>
        <v>COM</v>
      </c>
      <c r="F4225" t="str">
        <f>"ENTREFARMA (10164)"</f>
        <v>ENTREFARMA (10164)</v>
      </c>
      <c r="G4225" t="str">
        <f>"Serv.Prest. 21/07/2025 a 27/07/2025 - RPS: 1049 - NFSe: 3282"</f>
        <v>Serv.Prest. 21/07/2025 a 27/07/2025 - RPS: 1049 - NFSe: 3282</v>
      </c>
      <c r="H4225" t="str">
        <f t="shared" si="2029"/>
        <v>30/07/2025</v>
      </c>
      <c r="I4225" t="str">
        <f t="shared" si="2030"/>
        <v>28/07/2025</v>
      </c>
      <c r="J4225" t="str">
        <f t="shared" si="2025"/>
        <v>31/07/2025</v>
      </c>
      <c r="M4225">
        <v>303</v>
      </c>
      <c r="N4225" t="str">
        <f t="shared" si="2026"/>
        <v>RECEITAS COM ENTREGAS</v>
      </c>
      <c r="P4225">
        <v>1039.04</v>
      </c>
      <c r="Q4225" t="str">
        <f>"ENTREFARMA (10164)"</f>
        <v>ENTREFARMA (10164)</v>
      </c>
      <c r="R4225" t="str">
        <f t="shared" si="2027"/>
        <v>RECEITAS COM ENTREGAS (303)</v>
      </c>
      <c r="S4225">
        <v>2242</v>
      </c>
      <c r="T4225">
        <v>1736</v>
      </c>
      <c r="U4225" t="s">
        <v>19</v>
      </c>
    </row>
    <row r="4226" spans="1:21">
      <c r="A4226" t="str">
        <f t="shared" si="2023"/>
        <v>31/07/2025</v>
      </c>
      <c r="B4226" t="str">
        <f t="shared" si="2028"/>
        <v>ENTRADA</v>
      </c>
      <c r="C4226" t="str">
        <f t="shared" si="2024"/>
        <v>NFSE</v>
      </c>
      <c r="D4226" t="str">
        <f>"3283"</f>
        <v>3283</v>
      </c>
      <c r="E4226" t="str">
        <f t="shared" si="2022"/>
        <v>COM</v>
      </c>
      <c r="F4226" t="str">
        <f>"ROSA MARIA LTDA (10165)"</f>
        <v>ROSA MARIA LTDA (10165)</v>
      </c>
      <c r="G4226" t="str">
        <f>"Serv.Prest. 21/07/2025 a 27/07/2025 - RPS: 1050 - NFSe: 3283"</f>
        <v>Serv.Prest. 21/07/2025 a 27/07/2025 - RPS: 1050 - NFSe: 3283</v>
      </c>
      <c r="H4226" t="str">
        <f t="shared" si="2029"/>
        <v>30/07/2025</v>
      </c>
      <c r="I4226" t="str">
        <f t="shared" si="2030"/>
        <v>28/07/2025</v>
      </c>
      <c r="J4226" t="str">
        <f t="shared" si="2025"/>
        <v>31/07/2025</v>
      </c>
      <c r="K4226">
        <v>285.60000000000002</v>
      </c>
      <c r="L4226">
        <v>285.60000000000002</v>
      </c>
      <c r="M4226">
        <v>303</v>
      </c>
      <c r="N4226" t="str">
        <f t="shared" si="2026"/>
        <v>RECEITAS COM ENTREGAS</v>
      </c>
      <c r="O4226">
        <v>285.60000000000002</v>
      </c>
      <c r="R4226" t="str">
        <f t="shared" si="2027"/>
        <v>RECEITAS COM ENTREGAS (303)</v>
      </c>
      <c r="S4226">
        <v>2243</v>
      </c>
      <c r="T4226">
        <v>1737</v>
      </c>
      <c r="U4226" t="s">
        <v>19</v>
      </c>
    </row>
    <row r="4227" spans="1:21">
      <c r="A4227" t="str">
        <f t="shared" si="2023"/>
        <v>31/07/2025</v>
      </c>
      <c r="B4227" t="str">
        <f t="shared" si="2028"/>
        <v>ENTRADA</v>
      </c>
      <c r="C4227" t="str">
        <f t="shared" si="2024"/>
        <v>NFSE</v>
      </c>
      <c r="D4227" t="str">
        <f>"3283"</f>
        <v>3283</v>
      </c>
      <c r="E4227" t="str">
        <f t="shared" si="2022"/>
        <v>COM</v>
      </c>
      <c r="F4227" t="str">
        <f>"ROSA MARIA LTDA (10165)"</f>
        <v>ROSA MARIA LTDA (10165)</v>
      </c>
      <c r="G4227" t="str">
        <f>"Serv.Prest. 21/07/2025 a 27/07/2025 - RPS: 1050 - NFSe: 3283"</f>
        <v>Serv.Prest. 21/07/2025 a 27/07/2025 - RPS: 1050 - NFSe: 3283</v>
      </c>
      <c r="H4227" t="str">
        <f t="shared" si="2029"/>
        <v>30/07/2025</v>
      </c>
      <c r="I4227" t="str">
        <f t="shared" si="2030"/>
        <v>28/07/2025</v>
      </c>
      <c r="J4227" t="str">
        <f t="shared" si="2025"/>
        <v>31/07/2025</v>
      </c>
      <c r="M4227">
        <v>303</v>
      </c>
      <c r="N4227" t="str">
        <f t="shared" si="2026"/>
        <v>RECEITAS COM ENTREGAS</v>
      </c>
      <c r="P4227">
        <v>285.60000000000002</v>
      </c>
      <c r="Q4227" t="str">
        <f>"ROSA MARIA LTDA (10170)"</f>
        <v>ROSA MARIA LTDA (10170)</v>
      </c>
      <c r="R4227" t="str">
        <f t="shared" si="2027"/>
        <v>RECEITAS COM ENTREGAS (303)</v>
      </c>
      <c r="S4227">
        <v>2243</v>
      </c>
      <c r="T4227">
        <v>1737</v>
      </c>
      <c r="U4227" t="s">
        <v>19</v>
      </c>
    </row>
    <row r="4228" spans="1:21">
      <c r="A4228" t="str">
        <f t="shared" si="2023"/>
        <v>31/07/2025</v>
      </c>
      <c r="B4228" t="str">
        <f t="shared" si="2028"/>
        <v>ENTRADA</v>
      </c>
      <c r="C4228" t="str">
        <f t="shared" si="2024"/>
        <v>NFSE</v>
      </c>
      <c r="D4228" t="str">
        <f>"3284"</f>
        <v>3284</v>
      </c>
      <c r="E4228" t="str">
        <f t="shared" si="2022"/>
        <v>COM</v>
      </c>
      <c r="F4228" t="str">
        <f>"FRAN FARMA (10124)"</f>
        <v>FRAN FARMA (10124)</v>
      </c>
      <c r="G4228" t="str">
        <f>"Serv.Prest. 21/07/2025 a 27/07/2025 - RPS: 1051 - NFSe: 3284"</f>
        <v>Serv.Prest. 21/07/2025 a 27/07/2025 - RPS: 1051 - NFSe: 3284</v>
      </c>
      <c r="H4228" t="str">
        <f t="shared" si="2029"/>
        <v>30/07/2025</v>
      </c>
      <c r="I4228" t="str">
        <f t="shared" si="2030"/>
        <v>28/07/2025</v>
      </c>
      <c r="J4228" t="str">
        <f t="shared" si="2025"/>
        <v>31/07/2025</v>
      </c>
      <c r="K4228">
        <v>320</v>
      </c>
      <c r="L4228">
        <v>320</v>
      </c>
      <c r="M4228">
        <v>303</v>
      </c>
      <c r="N4228" t="str">
        <f t="shared" si="2026"/>
        <v>RECEITAS COM ENTREGAS</v>
      </c>
      <c r="O4228">
        <v>320</v>
      </c>
      <c r="R4228" t="str">
        <f t="shared" si="2027"/>
        <v>RECEITAS COM ENTREGAS (303)</v>
      </c>
      <c r="S4228">
        <v>2244</v>
      </c>
      <c r="T4228">
        <v>1738</v>
      </c>
      <c r="U4228" t="s">
        <v>19</v>
      </c>
    </row>
    <row r="4229" spans="1:21">
      <c r="A4229" t="str">
        <f t="shared" si="2023"/>
        <v>31/07/2025</v>
      </c>
      <c r="B4229" t="str">
        <f t="shared" si="2028"/>
        <v>ENTRADA</v>
      </c>
      <c r="C4229" t="str">
        <f t="shared" si="2024"/>
        <v>NFSE</v>
      </c>
      <c r="D4229" t="str">
        <f>"3284"</f>
        <v>3284</v>
      </c>
      <c r="E4229" t="str">
        <f t="shared" si="2022"/>
        <v>COM</v>
      </c>
      <c r="F4229" t="str">
        <f>"FRAN FARMA (10124)"</f>
        <v>FRAN FARMA (10124)</v>
      </c>
      <c r="G4229" t="str">
        <f>"Serv.Prest. 21/07/2025 a 27/07/2025 - RPS: 1051 - NFSe: 3284"</f>
        <v>Serv.Prest. 21/07/2025 a 27/07/2025 - RPS: 1051 - NFSe: 3284</v>
      </c>
      <c r="H4229" t="str">
        <f t="shared" si="2029"/>
        <v>30/07/2025</v>
      </c>
      <c r="I4229" t="str">
        <f t="shared" si="2030"/>
        <v>28/07/2025</v>
      </c>
      <c r="J4229" t="str">
        <f t="shared" si="2025"/>
        <v>31/07/2025</v>
      </c>
      <c r="M4229">
        <v>303</v>
      </c>
      <c r="N4229" t="str">
        <f t="shared" si="2026"/>
        <v>RECEITAS COM ENTREGAS</v>
      </c>
      <c r="P4229">
        <v>64</v>
      </c>
      <c r="Q4229" t="str">
        <f>"FRAN FARMA (10124)"</f>
        <v>FRAN FARMA (10124)</v>
      </c>
      <c r="R4229" t="str">
        <f t="shared" si="2027"/>
        <v>RECEITAS COM ENTREGAS (303)</v>
      </c>
      <c r="S4229">
        <v>2244</v>
      </c>
      <c r="T4229">
        <v>1738</v>
      </c>
      <c r="U4229" t="s">
        <v>19</v>
      </c>
    </row>
    <row r="4230" spans="1:21">
      <c r="A4230" t="str">
        <f t="shared" si="2023"/>
        <v>31/07/2025</v>
      </c>
      <c r="B4230" t="str">
        <f t="shared" si="2028"/>
        <v>ENTRADA</v>
      </c>
      <c r="C4230" t="str">
        <f t="shared" si="2024"/>
        <v>NFSE</v>
      </c>
      <c r="D4230" t="str">
        <f>"3284"</f>
        <v>3284</v>
      </c>
      <c r="E4230" t="str">
        <f t="shared" si="2022"/>
        <v>COM</v>
      </c>
      <c r="F4230" t="str">
        <f>"FRAN FARMA (10124)"</f>
        <v>FRAN FARMA (10124)</v>
      </c>
      <c r="G4230" t="str">
        <f>"Serv.Prest. 21/07/2025 a 27/07/2025 - RPS: 1051 - NFSe: 3284"</f>
        <v>Serv.Prest. 21/07/2025 a 27/07/2025 - RPS: 1051 - NFSe: 3284</v>
      </c>
      <c r="H4230" t="str">
        <f t="shared" si="2029"/>
        <v>30/07/2025</v>
      </c>
      <c r="I4230" t="str">
        <f t="shared" si="2030"/>
        <v>28/07/2025</v>
      </c>
      <c r="J4230" t="str">
        <f t="shared" si="2025"/>
        <v>31/07/2025</v>
      </c>
      <c r="M4230">
        <v>303</v>
      </c>
      <c r="N4230" t="str">
        <f t="shared" si="2026"/>
        <v>RECEITAS COM ENTREGAS</v>
      </c>
      <c r="P4230">
        <v>192</v>
      </c>
      <c r="Q4230" t="str">
        <f>"FRAN FARMA LJ 2 (10131)"</f>
        <v>FRAN FARMA LJ 2 (10131)</v>
      </c>
      <c r="R4230" t="str">
        <f t="shared" si="2027"/>
        <v>RECEITAS COM ENTREGAS (303)</v>
      </c>
      <c r="S4230">
        <v>2244</v>
      </c>
      <c r="T4230">
        <v>1738</v>
      </c>
      <c r="U4230" t="s">
        <v>19</v>
      </c>
    </row>
    <row r="4231" spans="1:21">
      <c r="A4231" t="str">
        <f t="shared" si="2023"/>
        <v>31/07/2025</v>
      </c>
      <c r="B4231" t="str">
        <f t="shared" si="2028"/>
        <v>ENTRADA</v>
      </c>
      <c r="C4231" t="str">
        <f t="shared" si="2024"/>
        <v>NFSE</v>
      </c>
      <c r="D4231" t="str">
        <f>"3284"</f>
        <v>3284</v>
      </c>
      <c r="E4231" t="str">
        <f t="shared" si="2022"/>
        <v>COM</v>
      </c>
      <c r="F4231" t="str">
        <f>"FRAN FARMA (10124)"</f>
        <v>FRAN FARMA (10124)</v>
      </c>
      <c r="G4231" t="str">
        <f>"Serv.Prest. 21/07/2025 a 27/07/2025 - RPS: 1051 - NFSe: 3284"</f>
        <v>Serv.Prest. 21/07/2025 a 27/07/2025 - RPS: 1051 - NFSe: 3284</v>
      </c>
      <c r="H4231" t="str">
        <f t="shared" si="2029"/>
        <v>30/07/2025</v>
      </c>
      <c r="I4231" t="str">
        <f t="shared" si="2030"/>
        <v>28/07/2025</v>
      </c>
      <c r="J4231" t="str">
        <f t="shared" si="2025"/>
        <v>31/07/2025</v>
      </c>
      <c r="M4231">
        <v>303</v>
      </c>
      <c r="N4231" t="str">
        <f t="shared" si="2026"/>
        <v>RECEITAS COM ENTREGAS</v>
      </c>
      <c r="P4231">
        <v>64</v>
      </c>
      <c r="Q4231" t="str">
        <f>"FRAN FARMA LJ 3 (10132)"</f>
        <v>FRAN FARMA LJ 3 (10132)</v>
      </c>
      <c r="R4231" t="str">
        <f t="shared" si="2027"/>
        <v>RECEITAS COM ENTREGAS (303)</v>
      </c>
      <c r="S4231">
        <v>2244</v>
      </c>
      <c r="T4231">
        <v>1738</v>
      </c>
      <c r="U4231" t="s">
        <v>19</v>
      </c>
    </row>
    <row r="4232" spans="1:21">
      <c r="A4232" t="str">
        <f t="shared" si="2023"/>
        <v>31/07/2025</v>
      </c>
      <c r="B4232" t="str">
        <f t="shared" si="2028"/>
        <v>ENTRADA</v>
      </c>
      <c r="C4232" t="str">
        <f t="shared" si="2024"/>
        <v>NFSE</v>
      </c>
      <c r="D4232" t="str">
        <f>"3285"</f>
        <v>3285</v>
      </c>
      <c r="E4232" t="str">
        <f t="shared" si="2022"/>
        <v>COM</v>
      </c>
      <c r="F4232" t="str">
        <f>"DROGARIA ANA VISCONDE DO RIO BRANCO (10182)"</f>
        <v>DROGARIA ANA VISCONDE DO RIO BRANCO (10182)</v>
      </c>
      <c r="G4232" t="str">
        <f>"Serv.Prest. 21/07/2025 a 27/07/2025 - RPS: 1052 - NFSe: 3285"</f>
        <v>Serv.Prest. 21/07/2025 a 27/07/2025 - RPS: 1052 - NFSe: 3285</v>
      </c>
      <c r="H4232" t="str">
        <f t="shared" si="2029"/>
        <v>30/07/2025</v>
      </c>
      <c r="I4232" t="str">
        <f t="shared" si="2030"/>
        <v>28/07/2025</v>
      </c>
      <c r="J4232" t="str">
        <f t="shared" si="2025"/>
        <v>31/07/2025</v>
      </c>
      <c r="K4232">
        <v>792.45</v>
      </c>
      <c r="L4232">
        <v>792.45</v>
      </c>
      <c r="M4232">
        <v>303</v>
      </c>
      <c r="N4232" t="str">
        <f t="shared" si="2026"/>
        <v>RECEITAS COM ENTREGAS</v>
      </c>
      <c r="O4232">
        <v>792.45</v>
      </c>
      <c r="R4232" t="str">
        <f t="shared" si="2027"/>
        <v>RECEITAS COM ENTREGAS (303)</v>
      </c>
      <c r="S4232">
        <v>2245</v>
      </c>
      <c r="T4232">
        <v>1739</v>
      </c>
      <c r="U4232" t="s">
        <v>19</v>
      </c>
    </row>
    <row r="4233" spans="1:21">
      <c r="A4233" t="str">
        <f t="shared" si="2023"/>
        <v>31/07/2025</v>
      </c>
      <c r="B4233" t="str">
        <f t="shared" si="2028"/>
        <v>ENTRADA</v>
      </c>
      <c r="C4233" t="str">
        <f t="shared" si="2024"/>
        <v>NFSE</v>
      </c>
      <c r="D4233" t="str">
        <f>"3285"</f>
        <v>3285</v>
      </c>
      <c r="E4233" t="str">
        <f t="shared" si="2022"/>
        <v>COM</v>
      </c>
      <c r="F4233" t="str">
        <f>"DROGARIA ANA VISCONDE DO RIO BRANCO (10182)"</f>
        <v>DROGARIA ANA VISCONDE DO RIO BRANCO (10182)</v>
      </c>
      <c r="G4233" t="str">
        <f>"Serv.Prest. 21/07/2025 a 27/07/2025 - RPS: 1052 - NFSe: 3285"</f>
        <v>Serv.Prest. 21/07/2025 a 27/07/2025 - RPS: 1052 - NFSe: 3285</v>
      </c>
      <c r="H4233" t="str">
        <f t="shared" si="2029"/>
        <v>30/07/2025</v>
      </c>
      <c r="I4233" t="str">
        <f t="shared" si="2030"/>
        <v>28/07/2025</v>
      </c>
      <c r="J4233" t="str">
        <f t="shared" si="2025"/>
        <v>31/07/2025</v>
      </c>
      <c r="M4233">
        <v>303</v>
      </c>
      <c r="N4233" t="str">
        <f t="shared" si="2026"/>
        <v>RECEITAS COM ENTREGAS</v>
      </c>
      <c r="P4233">
        <v>792.45</v>
      </c>
      <c r="Q4233" t="str">
        <f>"DROGARIA ANA VISCONDE DO RIO BRANCO (10182)"</f>
        <v>DROGARIA ANA VISCONDE DO RIO BRANCO (10182)</v>
      </c>
      <c r="R4233" t="str">
        <f t="shared" si="2027"/>
        <v>RECEITAS COM ENTREGAS (303)</v>
      </c>
      <c r="S4233">
        <v>2245</v>
      </c>
      <c r="T4233">
        <v>1739</v>
      </c>
      <c r="U4233" t="s">
        <v>19</v>
      </c>
    </row>
    <row r="4234" spans="1:21">
      <c r="A4234" t="str">
        <f t="shared" si="2023"/>
        <v>31/07/2025</v>
      </c>
      <c r="B4234" t="str">
        <f t="shared" si="2028"/>
        <v>ENTRADA</v>
      </c>
      <c r="C4234" t="str">
        <f t="shared" si="2024"/>
        <v>NFSE</v>
      </c>
      <c r="D4234" t="str">
        <f>"3287"</f>
        <v>3287</v>
      </c>
      <c r="E4234" t="str">
        <f t="shared" si="2022"/>
        <v>COM</v>
      </c>
      <c r="F4234" t="str">
        <f>"FARMACIA ECONOMIZE (10103)"</f>
        <v>FARMACIA ECONOMIZE (10103)</v>
      </c>
      <c r="G4234" t="str">
        <f>"Serv.Prest. 21/07/2025 a 27/07/2025 - RPS: 1054 - NFSe: 3287"</f>
        <v>Serv.Prest. 21/07/2025 a 27/07/2025 - RPS: 1054 - NFSe: 3287</v>
      </c>
      <c r="H4234" t="str">
        <f t="shared" si="2029"/>
        <v>30/07/2025</v>
      </c>
      <c r="I4234" t="str">
        <f t="shared" si="2030"/>
        <v>28/07/2025</v>
      </c>
      <c r="J4234" t="str">
        <f t="shared" si="2025"/>
        <v>31/07/2025</v>
      </c>
      <c r="K4234">
        <v>22.5</v>
      </c>
      <c r="L4234">
        <v>22.5</v>
      </c>
      <c r="M4234">
        <v>303</v>
      </c>
      <c r="N4234" t="str">
        <f t="shared" si="2026"/>
        <v>RECEITAS COM ENTREGAS</v>
      </c>
      <c r="O4234">
        <v>22.5</v>
      </c>
      <c r="R4234" t="str">
        <f t="shared" si="2027"/>
        <v>RECEITAS COM ENTREGAS (303)</v>
      </c>
      <c r="S4234">
        <v>2246</v>
      </c>
      <c r="T4234">
        <v>1741</v>
      </c>
      <c r="U4234" t="s">
        <v>19</v>
      </c>
    </row>
    <row r="4235" spans="1:21">
      <c r="A4235" t="str">
        <f t="shared" si="2023"/>
        <v>31/07/2025</v>
      </c>
      <c r="B4235" t="str">
        <f t="shared" si="2028"/>
        <v>ENTRADA</v>
      </c>
      <c r="C4235" t="str">
        <f t="shared" si="2024"/>
        <v>NFSE</v>
      </c>
      <c r="D4235" t="str">
        <f>"3287"</f>
        <v>3287</v>
      </c>
      <c r="E4235" t="str">
        <f t="shared" si="2022"/>
        <v>COM</v>
      </c>
      <c r="F4235" t="str">
        <f>"FARMACIA ECONOMIZE (10103)"</f>
        <v>FARMACIA ECONOMIZE (10103)</v>
      </c>
      <c r="G4235" t="str">
        <f>"Serv.Prest. 21/07/2025 a 27/07/2025 - RPS: 1054 - NFSe: 3287"</f>
        <v>Serv.Prest. 21/07/2025 a 27/07/2025 - RPS: 1054 - NFSe: 3287</v>
      </c>
      <c r="H4235" t="str">
        <f t="shared" si="2029"/>
        <v>30/07/2025</v>
      </c>
      <c r="I4235" t="str">
        <f t="shared" si="2030"/>
        <v>28/07/2025</v>
      </c>
      <c r="J4235" t="str">
        <f t="shared" si="2025"/>
        <v>31/07/2025</v>
      </c>
      <c r="M4235">
        <v>303</v>
      </c>
      <c r="N4235" t="str">
        <f t="shared" si="2026"/>
        <v>RECEITAS COM ENTREGAS</v>
      </c>
      <c r="P4235">
        <v>22.5</v>
      </c>
      <c r="Q4235" t="str">
        <f>"FARMACIA ECONOMIZE (10103)"</f>
        <v>FARMACIA ECONOMIZE (10103)</v>
      </c>
      <c r="R4235" t="str">
        <f t="shared" si="2027"/>
        <v>RECEITAS COM ENTREGAS (303)</v>
      </c>
      <c r="S4235">
        <v>2246</v>
      </c>
      <c r="T4235">
        <v>1741</v>
      </c>
      <c r="U4235" t="s">
        <v>19</v>
      </c>
    </row>
    <row r="4236" spans="1:21">
      <c r="A4236" t="str">
        <f t="shared" si="2023"/>
        <v>31/07/2025</v>
      </c>
      <c r="B4236" t="str">
        <f t="shared" si="2028"/>
        <v>ENTRADA</v>
      </c>
      <c r="C4236" t="str">
        <f t="shared" si="2024"/>
        <v>NFSE</v>
      </c>
      <c r="D4236" t="str">
        <f>"3294"</f>
        <v>3294</v>
      </c>
      <c r="E4236" t="str">
        <f t="shared" si="2022"/>
        <v>COM</v>
      </c>
      <c r="F4236" t="str">
        <f>"DELTA LOJA 2 (10123)"</f>
        <v>DELTA LOJA 2 (10123)</v>
      </c>
      <c r="G4236" t="str">
        <f>"Serv.Prest. 21/07/2025 a 27/07/2025 - RPS: 1061 - NFSe: 3294"</f>
        <v>Serv.Prest. 21/07/2025 a 27/07/2025 - RPS: 1061 - NFSe: 3294</v>
      </c>
      <c r="H4236" t="str">
        <f t="shared" si="2029"/>
        <v>30/07/2025</v>
      </c>
      <c r="I4236" t="str">
        <f>("29/07/2025")</f>
        <v>29/07/2025</v>
      </c>
      <c r="J4236" t="str">
        <f t="shared" si="2025"/>
        <v>31/07/2025</v>
      </c>
      <c r="K4236">
        <v>480.48</v>
      </c>
      <c r="L4236">
        <v>480.48</v>
      </c>
      <c r="M4236">
        <v>303</v>
      </c>
      <c r="N4236" t="str">
        <f t="shared" si="2026"/>
        <v>RECEITAS COM ENTREGAS</v>
      </c>
      <c r="O4236">
        <v>480.48</v>
      </c>
      <c r="R4236" t="str">
        <f t="shared" si="2027"/>
        <v>RECEITAS COM ENTREGAS (303)</v>
      </c>
      <c r="S4236">
        <v>2247</v>
      </c>
      <c r="T4236">
        <v>1748</v>
      </c>
      <c r="U4236" t="s">
        <v>19</v>
      </c>
    </row>
    <row r="4237" spans="1:21">
      <c r="A4237" t="str">
        <f t="shared" si="2023"/>
        <v>31/07/2025</v>
      </c>
      <c r="B4237" t="str">
        <f t="shared" si="2028"/>
        <v>ENTRADA</v>
      </c>
      <c r="C4237" t="str">
        <f t="shared" si="2024"/>
        <v>NFSE</v>
      </c>
      <c r="D4237" t="str">
        <f>"3294"</f>
        <v>3294</v>
      </c>
      <c r="E4237" t="str">
        <f t="shared" si="2022"/>
        <v>COM</v>
      </c>
      <c r="F4237" t="str">
        <f>"DELTA LOJA 2 (10123)"</f>
        <v>DELTA LOJA 2 (10123)</v>
      </c>
      <c r="G4237" t="str">
        <f>"Serv.Prest. 21/07/2025 a 27/07/2025 - RPS: 1061 - NFSe: 3294"</f>
        <v>Serv.Prest. 21/07/2025 a 27/07/2025 - RPS: 1061 - NFSe: 3294</v>
      </c>
      <c r="H4237" t="str">
        <f t="shared" si="2029"/>
        <v>30/07/2025</v>
      </c>
      <c r="I4237" t="str">
        <f>("29/07/2025")</f>
        <v>29/07/2025</v>
      </c>
      <c r="J4237" t="str">
        <f t="shared" si="2025"/>
        <v>31/07/2025</v>
      </c>
      <c r="M4237">
        <v>303</v>
      </c>
      <c r="N4237" t="str">
        <f t="shared" si="2026"/>
        <v>RECEITAS COM ENTREGAS</v>
      </c>
      <c r="P4237">
        <v>480.48</v>
      </c>
      <c r="Q4237" t="str">
        <f>"DELTA LOJA 2 (10123)"</f>
        <v>DELTA LOJA 2 (10123)</v>
      </c>
      <c r="R4237" t="str">
        <f t="shared" si="2027"/>
        <v>RECEITAS COM ENTREGAS (303)</v>
      </c>
      <c r="S4237">
        <v>2247</v>
      </c>
      <c r="T4237">
        <v>1748</v>
      </c>
      <c r="U4237" t="s">
        <v>19</v>
      </c>
    </row>
    <row r="4238" spans="1:21">
      <c r="A4238" t="str">
        <f t="shared" si="2023"/>
        <v>31/07/2025</v>
      </c>
      <c r="B4238" t="str">
        <f t="shared" si="2028"/>
        <v>ENTRADA</v>
      </c>
      <c r="C4238" t="str">
        <f t="shared" si="2024"/>
        <v>NFSE</v>
      </c>
      <c r="D4238" t="str">
        <f>"3296"</f>
        <v>3296</v>
      </c>
      <c r="E4238" t="str">
        <f t="shared" si="2022"/>
        <v>COM</v>
      </c>
      <c r="F4238" t="str">
        <f>"DROGA ELIDA (10121)"</f>
        <v>DROGA ELIDA (10121)</v>
      </c>
      <c r="G4238" t="str">
        <f>"Serv.Prest. 21/07/2025 a 27/07/2025 - RPS: 1063 - NFSe: 3296"</f>
        <v>Serv.Prest. 21/07/2025 a 27/07/2025 - RPS: 1063 - NFSe: 3296</v>
      </c>
      <c r="H4238" t="str">
        <f t="shared" si="2029"/>
        <v>30/07/2025</v>
      </c>
      <c r="I4238" t="str">
        <f>("29/07/2025")</f>
        <v>29/07/2025</v>
      </c>
      <c r="J4238" t="str">
        <f t="shared" si="2025"/>
        <v>31/07/2025</v>
      </c>
      <c r="K4238">
        <v>350.4</v>
      </c>
      <c r="L4238">
        <v>350.4</v>
      </c>
      <c r="M4238">
        <v>303</v>
      </c>
      <c r="N4238" t="str">
        <f t="shared" si="2026"/>
        <v>RECEITAS COM ENTREGAS</v>
      </c>
      <c r="O4238">
        <v>350.4</v>
      </c>
      <c r="R4238" t="str">
        <f t="shared" si="2027"/>
        <v>RECEITAS COM ENTREGAS (303)</v>
      </c>
      <c r="S4238">
        <v>2248</v>
      </c>
      <c r="T4238">
        <v>1750</v>
      </c>
      <c r="U4238" t="s">
        <v>19</v>
      </c>
    </row>
    <row r="4239" spans="1:21">
      <c r="A4239" t="str">
        <f t="shared" si="2023"/>
        <v>31/07/2025</v>
      </c>
      <c r="B4239" t="str">
        <f t="shared" si="2028"/>
        <v>ENTRADA</v>
      </c>
      <c r="C4239" t="str">
        <f t="shared" si="2024"/>
        <v>NFSE</v>
      </c>
      <c r="D4239" t="str">
        <f>"3296"</f>
        <v>3296</v>
      </c>
      <c r="E4239" t="str">
        <f t="shared" si="2022"/>
        <v>COM</v>
      </c>
      <c r="F4239" t="str">
        <f>"DROGA ELIDA (10121)"</f>
        <v>DROGA ELIDA (10121)</v>
      </c>
      <c r="G4239" t="str">
        <f>"Serv.Prest. 21/07/2025 a 27/07/2025 - RPS: 1063 - NFSe: 3296"</f>
        <v>Serv.Prest. 21/07/2025 a 27/07/2025 - RPS: 1063 - NFSe: 3296</v>
      </c>
      <c r="H4239" t="str">
        <f t="shared" si="2029"/>
        <v>30/07/2025</v>
      </c>
      <c r="I4239" t="str">
        <f>("29/07/2025")</f>
        <v>29/07/2025</v>
      </c>
      <c r="J4239" t="str">
        <f t="shared" si="2025"/>
        <v>31/07/2025</v>
      </c>
      <c r="M4239">
        <v>303</v>
      </c>
      <c r="N4239" t="str">
        <f t="shared" si="2026"/>
        <v>RECEITAS COM ENTREGAS</v>
      </c>
      <c r="P4239">
        <v>350.4</v>
      </c>
      <c r="Q4239" t="str">
        <f>"DROGA ELIDA (10121)"</f>
        <v>DROGA ELIDA (10121)</v>
      </c>
      <c r="R4239" t="str">
        <f t="shared" si="2027"/>
        <v>RECEITAS COM ENTREGAS (303)</v>
      </c>
      <c r="S4239">
        <v>2248</v>
      </c>
      <c r="T4239">
        <v>1750</v>
      </c>
      <c r="U4239" t="s">
        <v>19</v>
      </c>
    </row>
    <row r="4240" spans="1:21">
      <c r="A4240" t="str">
        <f t="shared" si="2023"/>
        <v>31/07/2025</v>
      </c>
      <c r="B4240" t="str">
        <f t="shared" si="2028"/>
        <v>ENTRADA</v>
      </c>
      <c r="C4240" t="str">
        <f t="shared" si="2024"/>
        <v>NFSE</v>
      </c>
      <c r="D4240" t="str">
        <f>"3288"</f>
        <v>3288</v>
      </c>
      <c r="E4240" t="str">
        <f t="shared" si="2022"/>
        <v>COM</v>
      </c>
      <c r="F4240" t="str">
        <f>"DROGARIA POUPA MINAS (ULTRAMINAS) 3 (10129)"</f>
        <v>DROGARIA POUPA MINAS (ULTRAMINAS) 3 (10129)</v>
      </c>
      <c r="G4240" t="str">
        <f>"Serv.Prest. 21/07/2025 a 27/07/2025 - RPS: 1055 - NFSe: 3288"</f>
        <v>Serv.Prest. 21/07/2025 a 27/07/2025 - RPS: 1055 - NFSe: 3288</v>
      </c>
      <c r="H4240" t="str">
        <f t="shared" ref="H4240:H4277" si="2031">("31/07/2025")</f>
        <v>31/07/2025</v>
      </c>
      <c r="I4240" t="str">
        <f>("28/07/2025")</f>
        <v>28/07/2025</v>
      </c>
      <c r="J4240" t="str">
        <f t="shared" si="2025"/>
        <v>31/07/2025</v>
      </c>
      <c r="K4240">
        <v>274.56</v>
      </c>
      <c r="L4240">
        <v>274.56</v>
      </c>
      <c r="M4240">
        <v>303</v>
      </c>
      <c r="N4240" t="str">
        <f t="shared" si="2026"/>
        <v>RECEITAS COM ENTREGAS</v>
      </c>
      <c r="O4240">
        <v>274.56</v>
      </c>
      <c r="R4240" t="str">
        <f t="shared" si="2027"/>
        <v>RECEITAS COM ENTREGAS (303)</v>
      </c>
      <c r="S4240">
        <v>2249</v>
      </c>
      <c r="T4240">
        <v>1742</v>
      </c>
      <c r="U4240" t="s">
        <v>19</v>
      </c>
    </row>
    <row r="4241" spans="1:21">
      <c r="A4241" t="str">
        <f t="shared" si="2023"/>
        <v>31/07/2025</v>
      </c>
      <c r="B4241" t="str">
        <f t="shared" si="2028"/>
        <v>ENTRADA</v>
      </c>
      <c r="C4241" t="str">
        <f t="shared" si="2024"/>
        <v>NFSE</v>
      </c>
      <c r="D4241" t="str">
        <f>"3288"</f>
        <v>3288</v>
      </c>
      <c r="E4241" t="str">
        <f t="shared" si="2022"/>
        <v>COM</v>
      </c>
      <c r="F4241" t="str">
        <f>"DROGARIA POUPA MINAS (ULTRAMINAS) 3 (10129)"</f>
        <v>DROGARIA POUPA MINAS (ULTRAMINAS) 3 (10129)</v>
      </c>
      <c r="G4241" t="str">
        <f>"Serv.Prest. 21/07/2025 a 27/07/2025 - RPS: 1055 - NFSe: 3288"</f>
        <v>Serv.Prest. 21/07/2025 a 27/07/2025 - RPS: 1055 - NFSe: 3288</v>
      </c>
      <c r="H4241" t="str">
        <f t="shared" si="2031"/>
        <v>31/07/2025</v>
      </c>
      <c r="I4241" t="str">
        <f>("28/07/2025")</f>
        <v>28/07/2025</v>
      </c>
      <c r="J4241" t="str">
        <f t="shared" si="2025"/>
        <v>31/07/2025</v>
      </c>
      <c r="M4241">
        <v>303</v>
      </c>
      <c r="N4241" t="str">
        <f t="shared" si="2026"/>
        <v>RECEITAS COM ENTREGAS</v>
      </c>
      <c r="P4241">
        <v>274.56</v>
      </c>
      <c r="Q4241" t="str">
        <f>"DROGARIA POUPA MINAS (ULTRAMINAS) 3 (10129)"</f>
        <v>DROGARIA POUPA MINAS (ULTRAMINAS) 3 (10129)</v>
      </c>
      <c r="R4241" t="str">
        <f t="shared" si="2027"/>
        <v>RECEITAS COM ENTREGAS (303)</v>
      </c>
      <c r="S4241">
        <v>2249</v>
      </c>
      <c r="T4241">
        <v>1742</v>
      </c>
      <c r="U4241" t="s">
        <v>19</v>
      </c>
    </row>
    <row r="4242" spans="1:21">
      <c r="A4242" t="str">
        <f t="shared" si="2023"/>
        <v>31/07/2025</v>
      </c>
      <c r="B4242" t="str">
        <f t="shared" si="2028"/>
        <v>ENTRADA</v>
      </c>
      <c r="C4242" t="str">
        <f t="shared" si="2024"/>
        <v>NFSE</v>
      </c>
      <c r="D4242" t="str">
        <f>"3295"</f>
        <v>3295</v>
      </c>
      <c r="E4242" t="str">
        <f t="shared" si="2022"/>
        <v>COM</v>
      </c>
      <c r="F4242" t="str">
        <f>"DROGARIA POUPA MINAS (DOIS AMIGOS) 5 (10140)"</f>
        <v>DROGARIA POUPA MINAS (DOIS AMIGOS) 5 (10140)</v>
      </c>
      <c r="G4242" t="str">
        <f>"Serv.Prest. 21/07/2025 a 27/07/2025 - RPS: 1062 - NFSe: 3295"</f>
        <v>Serv.Prest. 21/07/2025 a 27/07/2025 - RPS: 1062 - NFSe: 3295</v>
      </c>
      <c r="H4242" t="str">
        <f t="shared" si="2031"/>
        <v>31/07/2025</v>
      </c>
      <c r="I4242" t="str">
        <f>("29/07/2025")</f>
        <v>29/07/2025</v>
      </c>
      <c r="J4242" t="str">
        <f t="shared" si="2025"/>
        <v>31/07/2025</v>
      </c>
      <c r="K4242">
        <v>745.88</v>
      </c>
      <c r="L4242">
        <v>745.88</v>
      </c>
      <c r="M4242">
        <v>303</v>
      </c>
      <c r="N4242" t="str">
        <f t="shared" si="2026"/>
        <v>RECEITAS COM ENTREGAS</v>
      </c>
      <c r="O4242">
        <v>745.88</v>
      </c>
      <c r="R4242" t="str">
        <f t="shared" si="2027"/>
        <v>RECEITAS COM ENTREGAS (303)</v>
      </c>
      <c r="S4242">
        <v>2250</v>
      </c>
      <c r="T4242">
        <v>1749</v>
      </c>
      <c r="U4242" t="s">
        <v>19</v>
      </c>
    </row>
    <row r="4243" spans="1:21">
      <c r="A4243" t="str">
        <f t="shared" si="2023"/>
        <v>31/07/2025</v>
      </c>
      <c r="B4243" t="str">
        <f t="shared" si="2028"/>
        <v>ENTRADA</v>
      </c>
      <c r="C4243" t="str">
        <f t="shared" si="2024"/>
        <v>NFSE</v>
      </c>
      <c r="D4243" t="str">
        <f>"3295"</f>
        <v>3295</v>
      </c>
      <c r="E4243" t="str">
        <f t="shared" si="2022"/>
        <v>COM</v>
      </c>
      <c r="F4243" t="str">
        <f>"DROGARIA POUPA MINAS (DOIS AMIGOS) 5 (10140)"</f>
        <v>DROGARIA POUPA MINAS (DOIS AMIGOS) 5 (10140)</v>
      </c>
      <c r="G4243" t="str">
        <f>"Serv.Prest. 21/07/2025 a 27/07/2025 - RPS: 1062 - NFSe: 3295"</f>
        <v>Serv.Prest. 21/07/2025 a 27/07/2025 - RPS: 1062 - NFSe: 3295</v>
      </c>
      <c r="H4243" t="str">
        <f t="shared" si="2031"/>
        <v>31/07/2025</v>
      </c>
      <c r="I4243" t="str">
        <f>("29/07/2025")</f>
        <v>29/07/2025</v>
      </c>
      <c r="J4243" t="str">
        <f t="shared" si="2025"/>
        <v>31/07/2025</v>
      </c>
      <c r="M4243">
        <v>303</v>
      </c>
      <c r="N4243" t="str">
        <f t="shared" si="2026"/>
        <v>RECEITAS COM ENTREGAS</v>
      </c>
      <c r="P4243">
        <v>745.88</v>
      </c>
      <c r="Q4243" t="str">
        <f>"DROGARIA POUPA MINAS (ULTRAMINAS) 1 (10181)"</f>
        <v>DROGARIA POUPA MINAS (ULTRAMINAS) 1 (10181)</v>
      </c>
      <c r="R4243" t="str">
        <f t="shared" si="2027"/>
        <v>RECEITAS COM ENTREGAS (303)</v>
      </c>
      <c r="S4243">
        <v>2250</v>
      </c>
      <c r="T4243">
        <v>1749</v>
      </c>
      <c r="U4243" t="s">
        <v>19</v>
      </c>
    </row>
    <row r="4244" spans="1:21">
      <c r="A4244" t="str">
        <f t="shared" ref="A4244:A4273" si="2032">("31/07/2025")</f>
        <v>31/07/2025</v>
      </c>
      <c r="B4244" t="str">
        <f t="shared" ref="B4244:B4273" si="2033">"SAÍDA"</f>
        <v>SAÍDA</v>
      </c>
      <c r="C4244" t="str">
        <f t="shared" ref="C4244:C4271" si="2034">"CONHECIMENTO"</f>
        <v>CONHECIMENTO</v>
      </c>
      <c r="D4244" t="str">
        <f t="shared" ref="D4244:D4271" si="2035">"310725170"</f>
        <v>310725170</v>
      </c>
      <c r="E4244" t="str">
        <f t="shared" si="2022"/>
        <v>COM</v>
      </c>
      <c r="F4244" t="str">
        <f t="shared" ref="F4244:F4271" si="2036">"CORA SOCIEDADE DE CREDITO, FINANCIAMENTO E INVESTIMENTO (20035)"</f>
        <v>CORA SOCIEDADE DE CREDITO, FINANCIAMENTO E INVESTIMENTO (20035)</v>
      </c>
      <c r="G4244" t="str">
        <f t="shared" ref="G4244:G4271" si="2037">"TAXA BOLETO COMPENSADO"</f>
        <v>TAXA BOLETO COMPENSADO</v>
      </c>
      <c r="H4244" t="str">
        <f t="shared" si="2031"/>
        <v>31/07/2025</v>
      </c>
      <c r="I4244" t="str">
        <f t="shared" ref="I4244:I4273" si="2038">("31/07/2025")</f>
        <v>31/07/2025</v>
      </c>
      <c r="J4244" t="str">
        <f t="shared" ref="J4244:J4273" si="2039">("31/07/2025")</f>
        <v>31/07/2025</v>
      </c>
      <c r="K4244">
        <v>1.7</v>
      </c>
      <c r="L4244">
        <v>1.7</v>
      </c>
      <c r="M4244">
        <v>401</v>
      </c>
      <c r="N4244" t="str">
        <f t="shared" ref="N4244:N4271" si="2040">"IOF/JUROS/DESP.FINANCEIRA"</f>
        <v>IOF/JUROS/DESP.FINANCEIRA</v>
      </c>
      <c r="O4244">
        <v>1.7</v>
      </c>
      <c r="R4244" t="str">
        <f t="shared" ref="R4244:R4273" si="2041">"BANCO CORA (102)"</f>
        <v>BANCO CORA (102)</v>
      </c>
      <c r="S4244">
        <v>2285</v>
      </c>
      <c r="T4244">
        <v>1812</v>
      </c>
      <c r="U4244" t="s">
        <v>19</v>
      </c>
    </row>
    <row r="4245" spans="1:21">
      <c r="A4245" t="str">
        <f t="shared" si="2032"/>
        <v>31/07/2025</v>
      </c>
      <c r="B4245" t="str">
        <f t="shared" si="2033"/>
        <v>SAÍDA</v>
      </c>
      <c r="C4245" t="str">
        <f t="shared" si="2034"/>
        <v>CONHECIMENTO</v>
      </c>
      <c r="D4245" t="str">
        <f t="shared" si="2035"/>
        <v>310725170</v>
      </c>
      <c r="E4245" t="str">
        <f t="shared" si="2022"/>
        <v>COM</v>
      </c>
      <c r="F4245" t="str">
        <f t="shared" si="2036"/>
        <v>CORA SOCIEDADE DE CREDITO, FINANCIAMENTO E INVESTIMENTO (20035)</v>
      </c>
      <c r="G4245" t="str">
        <f t="shared" si="2037"/>
        <v>TAXA BOLETO COMPENSADO</v>
      </c>
      <c r="H4245" t="str">
        <f t="shared" si="2031"/>
        <v>31/07/2025</v>
      </c>
      <c r="I4245" t="str">
        <f t="shared" si="2038"/>
        <v>31/07/2025</v>
      </c>
      <c r="J4245" t="str">
        <f t="shared" si="2039"/>
        <v>31/07/2025</v>
      </c>
      <c r="M4245">
        <v>401</v>
      </c>
      <c r="N4245" t="str">
        <f t="shared" si="2040"/>
        <v>IOF/JUROS/DESP.FINANCEIRA</v>
      </c>
      <c r="P4245">
        <v>1.7</v>
      </c>
      <c r="Q4245" t="str">
        <f>"CORA SOCIEDADE DE CREDITO, FINANCIAMENTO E INVESTIMENTO (20035)"</f>
        <v>CORA SOCIEDADE DE CREDITO, FINANCIAMENTO E INVESTIMENTO (20035)</v>
      </c>
      <c r="R4245" t="str">
        <f t="shared" si="2041"/>
        <v>BANCO CORA (102)</v>
      </c>
      <c r="S4245">
        <v>2285</v>
      </c>
      <c r="T4245">
        <v>1812</v>
      </c>
      <c r="U4245" t="s">
        <v>19</v>
      </c>
    </row>
    <row r="4246" spans="1:21">
      <c r="A4246" t="str">
        <f t="shared" si="2032"/>
        <v>31/07/2025</v>
      </c>
      <c r="B4246" t="str">
        <f t="shared" si="2033"/>
        <v>SAÍDA</v>
      </c>
      <c r="C4246" t="str">
        <f t="shared" si="2034"/>
        <v>CONHECIMENTO</v>
      </c>
      <c r="D4246" t="str">
        <f t="shared" si="2035"/>
        <v>310725170</v>
      </c>
      <c r="E4246" t="str">
        <f t="shared" si="2022"/>
        <v>COM</v>
      </c>
      <c r="F4246" t="str">
        <f t="shared" si="2036"/>
        <v>CORA SOCIEDADE DE CREDITO, FINANCIAMENTO E INVESTIMENTO (20035)</v>
      </c>
      <c r="G4246" t="str">
        <f t="shared" si="2037"/>
        <v>TAXA BOLETO COMPENSADO</v>
      </c>
      <c r="H4246" t="str">
        <f t="shared" si="2031"/>
        <v>31/07/2025</v>
      </c>
      <c r="I4246" t="str">
        <f t="shared" si="2038"/>
        <v>31/07/2025</v>
      </c>
      <c r="J4246" t="str">
        <f t="shared" si="2039"/>
        <v>31/07/2025</v>
      </c>
      <c r="K4246">
        <v>1.7</v>
      </c>
      <c r="L4246">
        <v>1.7</v>
      </c>
      <c r="M4246">
        <v>401</v>
      </c>
      <c r="N4246" t="str">
        <f t="shared" si="2040"/>
        <v>IOF/JUROS/DESP.FINANCEIRA</v>
      </c>
      <c r="O4246">
        <v>1.7</v>
      </c>
      <c r="R4246" t="str">
        <f t="shared" si="2041"/>
        <v>BANCO CORA (102)</v>
      </c>
      <c r="S4246">
        <v>2286</v>
      </c>
      <c r="T4246">
        <v>1813</v>
      </c>
      <c r="U4246" t="s">
        <v>19</v>
      </c>
    </row>
    <row r="4247" spans="1:21">
      <c r="A4247" t="str">
        <f t="shared" si="2032"/>
        <v>31/07/2025</v>
      </c>
      <c r="B4247" t="str">
        <f t="shared" si="2033"/>
        <v>SAÍDA</v>
      </c>
      <c r="C4247" t="str">
        <f t="shared" si="2034"/>
        <v>CONHECIMENTO</v>
      </c>
      <c r="D4247" t="str">
        <f t="shared" si="2035"/>
        <v>310725170</v>
      </c>
      <c r="E4247" t="str">
        <f t="shared" si="2022"/>
        <v>COM</v>
      </c>
      <c r="F4247" t="str">
        <f t="shared" si="2036"/>
        <v>CORA SOCIEDADE DE CREDITO, FINANCIAMENTO E INVESTIMENTO (20035)</v>
      </c>
      <c r="G4247" t="str">
        <f t="shared" si="2037"/>
        <v>TAXA BOLETO COMPENSADO</v>
      </c>
      <c r="H4247" t="str">
        <f t="shared" si="2031"/>
        <v>31/07/2025</v>
      </c>
      <c r="I4247" t="str">
        <f t="shared" si="2038"/>
        <v>31/07/2025</v>
      </c>
      <c r="J4247" t="str">
        <f t="shared" si="2039"/>
        <v>31/07/2025</v>
      </c>
      <c r="M4247">
        <v>401</v>
      </c>
      <c r="N4247" t="str">
        <f t="shared" si="2040"/>
        <v>IOF/JUROS/DESP.FINANCEIRA</v>
      </c>
      <c r="P4247">
        <v>1.7</v>
      </c>
      <c r="Q4247" t="str">
        <f>"CORA SOCIEDADE DE CREDITO, FINANCIAMENTO E INVESTIMENTO (20035)"</f>
        <v>CORA SOCIEDADE DE CREDITO, FINANCIAMENTO E INVESTIMENTO (20035)</v>
      </c>
      <c r="R4247" t="str">
        <f t="shared" si="2041"/>
        <v>BANCO CORA (102)</v>
      </c>
      <c r="S4247">
        <v>2286</v>
      </c>
      <c r="T4247">
        <v>1813</v>
      </c>
      <c r="U4247" t="s">
        <v>19</v>
      </c>
    </row>
    <row r="4248" spans="1:21">
      <c r="A4248" t="str">
        <f t="shared" si="2032"/>
        <v>31/07/2025</v>
      </c>
      <c r="B4248" t="str">
        <f t="shared" si="2033"/>
        <v>SAÍDA</v>
      </c>
      <c r="C4248" t="str">
        <f t="shared" si="2034"/>
        <v>CONHECIMENTO</v>
      </c>
      <c r="D4248" t="str">
        <f t="shared" si="2035"/>
        <v>310725170</v>
      </c>
      <c r="E4248" t="str">
        <f t="shared" si="2022"/>
        <v>COM</v>
      </c>
      <c r="F4248" t="str">
        <f t="shared" si="2036"/>
        <v>CORA SOCIEDADE DE CREDITO, FINANCIAMENTO E INVESTIMENTO (20035)</v>
      </c>
      <c r="G4248" t="str">
        <f t="shared" si="2037"/>
        <v>TAXA BOLETO COMPENSADO</v>
      </c>
      <c r="H4248" t="str">
        <f t="shared" si="2031"/>
        <v>31/07/2025</v>
      </c>
      <c r="I4248" t="str">
        <f t="shared" si="2038"/>
        <v>31/07/2025</v>
      </c>
      <c r="J4248" t="str">
        <f t="shared" si="2039"/>
        <v>31/07/2025</v>
      </c>
      <c r="K4248">
        <v>1.7</v>
      </c>
      <c r="L4248">
        <v>1.7</v>
      </c>
      <c r="M4248">
        <v>401</v>
      </c>
      <c r="N4248" t="str">
        <f t="shared" si="2040"/>
        <v>IOF/JUROS/DESP.FINANCEIRA</v>
      </c>
      <c r="O4248">
        <v>1.7</v>
      </c>
      <c r="R4248" t="str">
        <f t="shared" si="2041"/>
        <v>BANCO CORA (102)</v>
      </c>
      <c r="S4248">
        <v>2287</v>
      </c>
      <c r="T4248">
        <v>1814</v>
      </c>
      <c r="U4248" t="s">
        <v>19</v>
      </c>
    </row>
    <row r="4249" spans="1:21">
      <c r="A4249" t="str">
        <f t="shared" si="2032"/>
        <v>31/07/2025</v>
      </c>
      <c r="B4249" t="str">
        <f t="shared" si="2033"/>
        <v>SAÍDA</v>
      </c>
      <c r="C4249" t="str">
        <f t="shared" si="2034"/>
        <v>CONHECIMENTO</v>
      </c>
      <c r="D4249" t="str">
        <f t="shared" si="2035"/>
        <v>310725170</v>
      </c>
      <c r="E4249" t="str">
        <f t="shared" si="2022"/>
        <v>COM</v>
      </c>
      <c r="F4249" t="str">
        <f t="shared" si="2036"/>
        <v>CORA SOCIEDADE DE CREDITO, FINANCIAMENTO E INVESTIMENTO (20035)</v>
      </c>
      <c r="G4249" t="str">
        <f t="shared" si="2037"/>
        <v>TAXA BOLETO COMPENSADO</v>
      </c>
      <c r="H4249" t="str">
        <f t="shared" si="2031"/>
        <v>31/07/2025</v>
      </c>
      <c r="I4249" t="str">
        <f t="shared" si="2038"/>
        <v>31/07/2025</v>
      </c>
      <c r="J4249" t="str">
        <f t="shared" si="2039"/>
        <v>31/07/2025</v>
      </c>
      <c r="M4249">
        <v>401</v>
      </c>
      <c r="N4249" t="str">
        <f t="shared" si="2040"/>
        <v>IOF/JUROS/DESP.FINANCEIRA</v>
      </c>
      <c r="P4249">
        <v>1.7</v>
      </c>
      <c r="Q4249" t="str">
        <f>"CORA SOCIEDADE DE CREDITO, FINANCIAMENTO E INVESTIMENTO (20035)"</f>
        <v>CORA SOCIEDADE DE CREDITO, FINANCIAMENTO E INVESTIMENTO (20035)</v>
      </c>
      <c r="R4249" t="str">
        <f t="shared" si="2041"/>
        <v>BANCO CORA (102)</v>
      </c>
      <c r="S4249">
        <v>2287</v>
      </c>
      <c r="T4249">
        <v>1814</v>
      </c>
      <c r="U4249" t="s">
        <v>19</v>
      </c>
    </row>
    <row r="4250" spans="1:21">
      <c r="A4250" t="str">
        <f t="shared" si="2032"/>
        <v>31/07/2025</v>
      </c>
      <c r="B4250" t="str">
        <f t="shared" si="2033"/>
        <v>SAÍDA</v>
      </c>
      <c r="C4250" t="str">
        <f t="shared" si="2034"/>
        <v>CONHECIMENTO</v>
      </c>
      <c r="D4250" t="str">
        <f t="shared" si="2035"/>
        <v>310725170</v>
      </c>
      <c r="E4250" t="str">
        <f t="shared" si="2022"/>
        <v>COM</v>
      </c>
      <c r="F4250" t="str">
        <f t="shared" si="2036"/>
        <v>CORA SOCIEDADE DE CREDITO, FINANCIAMENTO E INVESTIMENTO (20035)</v>
      </c>
      <c r="G4250" t="str">
        <f t="shared" si="2037"/>
        <v>TAXA BOLETO COMPENSADO</v>
      </c>
      <c r="H4250" t="str">
        <f t="shared" si="2031"/>
        <v>31/07/2025</v>
      </c>
      <c r="I4250" t="str">
        <f t="shared" si="2038"/>
        <v>31/07/2025</v>
      </c>
      <c r="J4250" t="str">
        <f t="shared" si="2039"/>
        <v>31/07/2025</v>
      </c>
      <c r="K4250">
        <v>1.7</v>
      </c>
      <c r="L4250">
        <v>1.7</v>
      </c>
      <c r="M4250">
        <v>401</v>
      </c>
      <c r="N4250" t="str">
        <f t="shared" si="2040"/>
        <v>IOF/JUROS/DESP.FINANCEIRA</v>
      </c>
      <c r="O4250">
        <v>1.7</v>
      </c>
      <c r="R4250" t="str">
        <f t="shared" si="2041"/>
        <v>BANCO CORA (102)</v>
      </c>
      <c r="S4250">
        <v>2288</v>
      </c>
      <c r="T4250">
        <v>1815</v>
      </c>
      <c r="U4250" t="s">
        <v>19</v>
      </c>
    </row>
    <row r="4251" spans="1:21">
      <c r="A4251" t="str">
        <f t="shared" si="2032"/>
        <v>31/07/2025</v>
      </c>
      <c r="B4251" t="str">
        <f t="shared" si="2033"/>
        <v>SAÍDA</v>
      </c>
      <c r="C4251" t="str">
        <f t="shared" si="2034"/>
        <v>CONHECIMENTO</v>
      </c>
      <c r="D4251" t="str">
        <f t="shared" si="2035"/>
        <v>310725170</v>
      </c>
      <c r="E4251" t="str">
        <f t="shared" si="2022"/>
        <v>COM</v>
      </c>
      <c r="F4251" t="str">
        <f t="shared" si="2036"/>
        <v>CORA SOCIEDADE DE CREDITO, FINANCIAMENTO E INVESTIMENTO (20035)</v>
      </c>
      <c r="G4251" t="str">
        <f t="shared" si="2037"/>
        <v>TAXA BOLETO COMPENSADO</v>
      </c>
      <c r="H4251" t="str">
        <f t="shared" si="2031"/>
        <v>31/07/2025</v>
      </c>
      <c r="I4251" t="str">
        <f t="shared" si="2038"/>
        <v>31/07/2025</v>
      </c>
      <c r="J4251" t="str">
        <f t="shared" si="2039"/>
        <v>31/07/2025</v>
      </c>
      <c r="M4251">
        <v>401</v>
      </c>
      <c r="N4251" t="str">
        <f t="shared" si="2040"/>
        <v>IOF/JUROS/DESP.FINANCEIRA</v>
      </c>
      <c r="P4251">
        <v>1.7</v>
      </c>
      <c r="Q4251" t="str">
        <f>"CORA SOCIEDADE DE CREDITO, FINANCIAMENTO E INVESTIMENTO (20035)"</f>
        <v>CORA SOCIEDADE DE CREDITO, FINANCIAMENTO E INVESTIMENTO (20035)</v>
      </c>
      <c r="R4251" t="str">
        <f t="shared" si="2041"/>
        <v>BANCO CORA (102)</v>
      </c>
      <c r="S4251">
        <v>2288</v>
      </c>
      <c r="T4251">
        <v>1815</v>
      </c>
      <c r="U4251" t="s">
        <v>19</v>
      </c>
    </row>
    <row r="4252" spans="1:21">
      <c r="A4252" t="str">
        <f t="shared" si="2032"/>
        <v>31/07/2025</v>
      </c>
      <c r="B4252" t="str">
        <f t="shared" si="2033"/>
        <v>SAÍDA</v>
      </c>
      <c r="C4252" t="str">
        <f t="shared" si="2034"/>
        <v>CONHECIMENTO</v>
      </c>
      <c r="D4252" t="str">
        <f t="shared" si="2035"/>
        <v>310725170</v>
      </c>
      <c r="E4252" t="str">
        <f t="shared" si="2022"/>
        <v>COM</v>
      </c>
      <c r="F4252" t="str">
        <f t="shared" si="2036"/>
        <v>CORA SOCIEDADE DE CREDITO, FINANCIAMENTO E INVESTIMENTO (20035)</v>
      </c>
      <c r="G4252" t="str">
        <f t="shared" si="2037"/>
        <v>TAXA BOLETO COMPENSADO</v>
      </c>
      <c r="H4252" t="str">
        <f t="shared" si="2031"/>
        <v>31/07/2025</v>
      </c>
      <c r="I4252" t="str">
        <f t="shared" si="2038"/>
        <v>31/07/2025</v>
      </c>
      <c r="J4252" t="str">
        <f t="shared" si="2039"/>
        <v>31/07/2025</v>
      </c>
      <c r="K4252">
        <v>1.7</v>
      </c>
      <c r="L4252">
        <v>1.7</v>
      </c>
      <c r="M4252">
        <v>401</v>
      </c>
      <c r="N4252" t="str">
        <f t="shared" si="2040"/>
        <v>IOF/JUROS/DESP.FINANCEIRA</v>
      </c>
      <c r="O4252">
        <v>1.7</v>
      </c>
      <c r="R4252" t="str">
        <f t="shared" si="2041"/>
        <v>BANCO CORA (102)</v>
      </c>
      <c r="S4252">
        <v>2289</v>
      </c>
      <c r="T4252">
        <v>1816</v>
      </c>
      <c r="U4252" t="s">
        <v>19</v>
      </c>
    </row>
    <row r="4253" spans="1:21">
      <c r="A4253" t="str">
        <f t="shared" si="2032"/>
        <v>31/07/2025</v>
      </c>
      <c r="B4253" t="str">
        <f t="shared" si="2033"/>
        <v>SAÍDA</v>
      </c>
      <c r="C4253" t="str">
        <f t="shared" si="2034"/>
        <v>CONHECIMENTO</v>
      </c>
      <c r="D4253" t="str">
        <f t="shared" si="2035"/>
        <v>310725170</v>
      </c>
      <c r="E4253" t="str">
        <f t="shared" si="2022"/>
        <v>COM</v>
      </c>
      <c r="F4253" t="str">
        <f t="shared" si="2036"/>
        <v>CORA SOCIEDADE DE CREDITO, FINANCIAMENTO E INVESTIMENTO (20035)</v>
      </c>
      <c r="G4253" t="str">
        <f t="shared" si="2037"/>
        <v>TAXA BOLETO COMPENSADO</v>
      </c>
      <c r="H4253" t="str">
        <f t="shared" si="2031"/>
        <v>31/07/2025</v>
      </c>
      <c r="I4253" t="str">
        <f t="shared" si="2038"/>
        <v>31/07/2025</v>
      </c>
      <c r="J4253" t="str">
        <f t="shared" si="2039"/>
        <v>31/07/2025</v>
      </c>
      <c r="M4253">
        <v>401</v>
      </c>
      <c r="N4253" t="str">
        <f t="shared" si="2040"/>
        <v>IOF/JUROS/DESP.FINANCEIRA</v>
      </c>
      <c r="P4253">
        <v>1.7</v>
      </c>
      <c r="Q4253" t="str">
        <f>"CORA SOCIEDADE DE CREDITO, FINANCIAMENTO E INVESTIMENTO (20035)"</f>
        <v>CORA SOCIEDADE DE CREDITO, FINANCIAMENTO E INVESTIMENTO (20035)</v>
      </c>
      <c r="R4253" t="str">
        <f t="shared" si="2041"/>
        <v>BANCO CORA (102)</v>
      </c>
      <c r="S4253">
        <v>2289</v>
      </c>
      <c r="T4253">
        <v>1816</v>
      </c>
      <c r="U4253" t="s">
        <v>19</v>
      </c>
    </row>
    <row r="4254" spans="1:21">
      <c r="A4254" t="str">
        <f t="shared" si="2032"/>
        <v>31/07/2025</v>
      </c>
      <c r="B4254" t="str">
        <f t="shared" si="2033"/>
        <v>SAÍDA</v>
      </c>
      <c r="C4254" t="str">
        <f t="shared" si="2034"/>
        <v>CONHECIMENTO</v>
      </c>
      <c r="D4254" t="str">
        <f t="shared" si="2035"/>
        <v>310725170</v>
      </c>
      <c r="E4254" t="str">
        <f t="shared" si="2022"/>
        <v>COM</v>
      </c>
      <c r="F4254" t="str">
        <f t="shared" si="2036"/>
        <v>CORA SOCIEDADE DE CREDITO, FINANCIAMENTO E INVESTIMENTO (20035)</v>
      </c>
      <c r="G4254" t="str">
        <f t="shared" si="2037"/>
        <v>TAXA BOLETO COMPENSADO</v>
      </c>
      <c r="H4254" t="str">
        <f t="shared" si="2031"/>
        <v>31/07/2025</v>
      </c>
      <c r="I4254" t="str">
        <f t="shared" si="2038"/>
        <v>31/07/2025</v>
      </c>
      <c r="J4254" t="str">
        <f t="shared" si="2039"/>
        <v>31/07/2025</v>
      </c>
      <c r="K4254">
        <v>1.7</v>
      </c>
      <c r="L4254">
        <v>1.7</v>
      </c>
      <c r="M4254">
        <v>401</v>
      </c>
      <c r="N4254" t="str">
        <f t="shared" si="2040"/>
        <v>IOF/JUROS/DESP.FINANCEIRA</v>
      </c>
      <c r="O4254">
        <v>1.7</v>
      </c>
      <c r="R4254" t="str">
        <f t="shared" si="2041"/>
        <v>BANCO CORA (102)</v>
      </c>
      <c r="S4254">
        <v>2290</v>
      </c>
      <c r="T4254">
        <v>1817</v>
      </c>
      <c r="U4254" t="s">
        <v>19</v>
      </c>
    </row>
    <row r="4255" spans="1:21">
      <c r="A4255" t="str">
        <f t="shared" si="2032"/>
        <v>31/07/2025</v>
      </c>
      <c r="B4255" t="str">
        <f t="shared" si="2033"/>
        <v>SAÍDA</v>
      </c>
      <c r="C4255" t="str">
        <f t="shared" si="2034"/>
        <v>CONHECIMENTO</v>
      </c>
      <c r="D4255" t="str">
        <f t="shared" si="2035"/>
        <v>310725170</v>
      </c>
      <c r="E4255" t="str">
        <f t="shared" si="2022"/>
        <v>COM</v>
      </c>
      <c r="F4255" t="str">
        <f t="shared" si="2036"/>
        <v>CORA SOCIEDADE DE CREDITO, FINANCIAMENTO E INVESTIMENTO (20035)</v>
      </c>
      <c r="G4255" t="str">
        <f t="shared" si="2037"/>
        <v>TAXA BOLETO COMPENSADO</v>
      </c>
      <c r="H4255" t="str">
        <f t="shared" si="2031"/>
        <v>31/07/2025</v>
      </c>
      <c r="I4255" t="str">
        <f t="shared" si="2038"/>
        <v>31/07/2025</v>
      </c>
      <c r="J4255" t="str">
        <f t="shared" si="2039"/>
        <v>31/07/2025</v>
      </c>
      <c r="M4255">
        <v>401</v>
      </c>
      <c r="N4255" t="str">
        <f t="shared" si="2040"/>
        <v>IOF/JUROS/DESP.FINANCEIRA</v>
      </c>
      <c r="P4255">
        <v>1.7</v>
      </c>
      <c r="Q4255" t="str">
        <f>"CORA SOCIEDADE DE CREDITO, FINANCIAMENTO E INVESTIMENTO (20035)"</f>
        <v>CORA SOCIEDADE DE CREDITO, FINANCIAMENTO E INVESTIMENTO (20035)</v>
      </c>
      <c r="R4255" t="str">
        <f t="shared" si="2041"/>
        <v>BANCO CORA (102)</v>
      </c>
      <c r="S4255">
        <v>2290</v>
      </c>
      <c r="T4255">
        <v>1817</v>
      </c>
      <c r="U4255" t="s">
        <v>19</v>
      </c>
    </row>
    <row r="4256" spans="1:21">
      <c r="A4256" t="str">
        <f t="shared" si="2032"/>
        <v>31/07/2025</v>
      </c>
      <c r="B4256" t="str">
        <f t="shared" si="2033"/>
        <v>SAÍDA</v>
      </c>
      <c r="C4256" t="str">
        <f t="shared" si="2034"/>
        <v>CONHECIMENTO</v>
      </c>
      <c r="D4256" t="str">
        <f t="shared" si="2035"/>
        <v>310725170</v>
      </c>
      <c r="E4256" t="str">
        <f t="shared" si="2022"/>
        <v>COM</v>
      </c>
      <c r="F4256" t="str">
        <f t="shared" si="2036"/>
        <v>CORA SOCIEDADE DE CREDITO, FINANCIAMENTO E INVESTIMENTO (20035)</v>
      </c>
      <c r="G4256" t="str">
        <f t="shared" si="2037"/>
        <v>TAXA BOLETO COMPENSADO</v>
      </c>
      <c r="H4256" t="str">
        <f t="shared" si="2031"/>
        <v>31/07/2025</v>
      </c>
      <c r="I4256" t="str">
        <f t="shared" si="2038"/>
        <v>31/07/2025</v>
      </c>
      <c r="J4256" t="str">
        <f t="shared" si="2039"/>
        <v>31/07/2025</v>
      </c>
      <c r="K4256">
        <v>1.7</v>
      </c>
      <c r="L4256">
        <v>1.7</v>
      </c>
      <c r="M4256">
        <v>401</v>
      </c>
      <c r="N4256" t="str">
        <f t="shared" si="2040"/>
        <v>IOF/JUROS/DESP.FINANCEIRA</v>
      </c>
      <c r="O4256">
        <v>1.7</v>
      </c>
      <c r="R4256" t="str">
        <f t="shared" si="2041"/>
        <v>BANCO CORA (102)</v>
      </c>
      <c r="S4256">
        <v>2291</v>
      </c>
      <c r="T4256">
        <v>1818</v>
      </c>
      <c r="U4256" t="s">
        <v>19</v>
      </c>
    </row>
    <row r="4257" spans="1:21">
      <c r="A4257" t="str">
        <f t="shared" si="2032"/>
        <v>31/07/2025</v>
      </c>
      <c r="B4257" t="str">
        <f t="shared" si="2033"/>
        <v>SAÍDA</v>
      </c>
      <c r="C4257" t="str">
        <f t="shared" si="2034"/>
        <v>CONHECIMENTO</v>
      </c>
      <c r="D4257" t="str">
        <f t="shared" si="2035"/>
        <v>310725170</v>
      </c>
      <c r="E4257" t="str">
        <f t="shared" si="2022"/>
        <v>COM</v>
      </c>
      <c r="F4257" t="str">
        <f t="shared" si="2036"/>
        <v>CORA SOCIEDADE DE CREDITO, FINANCIAMENTO E INVESTIMENTO (20035)</v>
      </c>
      <c r="G4257" t="str">
        <f t="shared" si="2037"/>
        <v>TAXA BOLETO COMPENSADO</v>
      </c>
      <c r="H4257" t="str">
        <f t="shared" si="2031"/>
        <v>31/07/2025</v>
      </c>
      <c r="I4257" t="str">
        <f t="shared" si="2038"/>
        <v>31/07/2025</v>
      </c>
      <c r="J4257" t="str">
        <f t="shared" si="2039"/>
        <v>31/07/2025</v>
      </c>
      <c r="M4257">
        <v>401</v>
      </c>
      <c r="N4257" t="str">
        <f t="shared" si="2040"/>
        <v>IOF/JUROS/DESP.FINANCEIRA</v>
      </c>
      <c r="P4257">
        <v>1.7</v>
      </c>
      <c r="Q4257" t="str">
        <f>"CORA SOCIEDADE DE CREDITO, FINANCIAMENTO E INVESTIMENTO (20035)"</f>
        <v>CORA SOCIEDADE DE CREDITO, FINANCIAMENTO E INVESTIMENTO (20035)</v>
      </c>
      <c r="R4257" t="str">
        <f t="shared" si="2041"/>
        <v>BANCO CORA (102)</v>
      </c>
      <c r="S4257">
        <v>2291</v>
      </c>
      <c r="T4257">
        <v>1818</v>
      </c>
      <c r="U4257" t="s">
        <v>19</v>
      </c>
    </row>
    <row r="4258" spans="1:21">
      <c r="A4258" t="str">
        <f t="shared" si="2032"/>
        <v>31/07/2025</v>
      </c>
      <c r="B4258" t="str">
        <f t="shared" si="2033"/>
        <v>SAÍDA</v>
      </c>
      <c r="C4258" t="str">
        <f t="shared" si="2034"/>
        <v>CONHECIMENTO</v>
      </c>
      <c r="D4258" t="str">
        <f t="shared" si="2035"/>
        <v>310725170</v>
      </c>
      <c r="E4258" t="str">
        <f t="shared" si="2022"/>
        <v>COM</v>
      </c>
      <c r="F4258" t="str">
        <f t="shared" si="2036"/>
        <v>CORA SOCIEDADE DE CREDITO, FINANCIAMENTO E INVESTIMENTO (20035)</v>
      </c>
      <c r="G4258" t="str">
        <f t="shared" si="2037"/>
        <v>TAXA BOLETO COMPENSADO</v>
      </c>
      <c r="H4258" t="str">
        <f t="shared" si="2031"/>
        <v>31/07/2025</v>
      </c>
      <c r="I4258" t="str">
        <f t="shared" si="2038"/>
        <v>31/07/2025</v>
      </c>
      <c r="J4258" t="str">
        <f t="shared" si="2039"/>
        <v>31/07/2025</v>
      </c>
      <c r="K4258">
        <v>1.7</v>
      </c>
      <c r="L4258">
        <v>1.7</v>
      </c>
      <c r="M4258">
        <v>401</v>
      </c>
      <c r="N4258" t="str">
        <f t="shared" si="2040"/>
        <v>IOF/JUROS/DESP.FINANCEIRA</v>
      </c>
      <c r="O4258">
        <v>1.7</v>
      </c>
      <c r="R4258" t="str">
        <f t="shared" si="2041"/>
        <v>BANCO CORA (102)</v>
      </c>
      <c r="S4258">
        <v>2292</v>
      </c>
      <c r="T4258">
        <v>1819</v>
      </c>
      <c r="U4258" t="s">
        <v>19</v>
      </c>
    </row>
    <row r="4259" spans="1:21">
      <c r="A4259" t="str">
        <f t="shared" si="2032"/>
        <v>31/07/2025</v>
      </c>
      <c r="B4259" t="str">
        <f t="shared" si="2033"/>
        <v>SAÍDA</v>
      </c>
      <c r="C4259" t="str">
        <f t="shared" si="2034"/>
        <v>CONHECIMENTO</v>
      </c>
      <c r="D4259" t="str">
        <f t="shared" si="2035"/>
        <v>310725170</v>
      </c>
      <c r="E4259" t="str">
        <f t="shared" si="2022"/>
        <v>COM</v>
      </c>
      <c r="F4259" t="str">
        <f t="shared" si="2036"/>
        <v>CORA SOCIEDADE DE CREDITO, FINANCIAMENTO E INVESTIMENTO (20035)</v>
      </c>
      <c r="G4259" t="str">
        <f t="shared" si="2037"/>
        <v>TAXA BOLETO COMPENSADO</v>
      </c>
      <c r="H4259" t="str">
        <f t="shared" si="2031"/>
        <v>31/07/2025</v>
      </c>
      <c r="I4259" t="str">
        <f t="shared" si="2038"/>
        <v>31/07/2025</v>
      </c>
      <c r="J4259" t="str">
        <f t="shared" si="2039"/>
        <v>31/07/2025</v>
      </c>
      <c r="M4259">
        <v>401</v>
      </c>
      <c r="N4259" t="str">
        <f t="shared" si="2040"/>
        <v>IOF/JUROS/DESP.FINANCEIRA</v>
      </c>
      <c r="P4259">
        <v>1.7</v>
      </c>
      <c r="Q4259" t="str">
        <f>"CORA SOCIEDADE DE CREDITO, FINANCIAMENTO E INVESTIMENTO (20035)"</f>
        <v>CORA SOCIEDADE DE CREDITO, FINANCIAMENTO E INVESTIMENTO (20035)</v>
      </c>
      <c r="R4259" t="str">
        <f t="shared" si="2041"/>
        <v>BANCO CORA (102)</v>
      </c>
      <c r="S4259">
        <v>2292</v>
      </c>
      <c r="T4259">
        <v>1819</v>
      </c>
      <c r="U4259" t="s">
        <v>19</v>
      </c>
    </row>
    <row r="4260" spans="1:21">
      <c r="A4260" t="str">
        <f t="shared" si="2032"/>
        <v>31/07/2025</v>
      </c>
      <c r="B4260" t="str">
        <f t="shared" si="2033"/>
        <v>SAÍDA</v>
      </c>
      <c r="C4260" t="str">
        <f t="shared" si="2034"/>
        <v>CONHECIMENTO</v>
      </c>
      <c r="D4260" t="str">
        <f t="shared" si="2035"/>
        <v>310725170</v>
      </c>
      <c r="E4260" t="str">
        <f t="shared" si="2022"/>
        <v>COM</v>
      </c>
      <c r="F4260" t="str">
        <f t="shared" si="2036"/>
        <v>CORA SOCIEDADE DE CREDITO, FINANCIAMENTO E INVESTIMENTO (20035)</v>
      </c>
      <c r="G4260" t="str">
        <f t="shared" si="2037"/>
        <v>TAXA BOLETO COMPENSADO</v>
      </c>
      <c r="H4260" t="str">
        <f t="shared" si="2031"/>
        <v>31/07/2025</v>
      </c>
      <c r="I4260" t="str">
        <f t="shared" si="2038"/>
        <v>31/07/2025</v>
      </c>
      <c r="J4260" t="str">
        <f t="shared" si="2039"/>
        <v>31/07/2025</v>
      </c>
      <c r="K4260">
        <v>1.7</v>
      </c>
      <c r="L4260">
        <v>1.7</v>
      </c>
      <c r="M4260">
        <v>401</v>
      </c>
      <c r="N4260" t="str">
        <f t="shared" si="2040"/>
        <v>IOF/JUROS/DESP.FINANCEIRA</v>
      </c>
      <c r="O4260">
        <v>1.7</v>
      </c>
      <c r="R4260" t="str">
        <f t="shared" si="2041"/>
        <v>BANCO CORA (102)</v>
      </c>
      <c r="S4260">
        <v>2293</v>
      </c>
      <c r="T4260">
        <v>1820</v>
      </c>
      <c r="U4260" t="s">
        <v>19</v>
      </c>
    </row>
    <row r="4261" spans="1:21">
      <c r="A4261" t="str">
        <f t="shared" si="2032"/>
        <v>31/07/2025</v>
      </c>
      <c r="B4261" t="str">
        <f t="shared" si="2033"/>
        <v>SAÍDA</v>
      </c>
      <c r="C4261" t="str">
        <f t="shared" si="2034"/>
        <v>CONHECIMENTO</v>
      </c>
      <c r="D4261" t="str">
        <f t="shared" si="2035"/>
        <v>310725170</v>
      </c>
      <c r="E4261" t="str">
        <f t="shared" si="2022"/>
        <v>COM</v>
      </c>
      <c r="F4261" t="str">
        <f t="shared" si="2036"/>
        <v>CORA SOCIEDADE DE CREDITO, FINANCIAMENTO E INVESTIMENTO (20035)</v>
      </c>
      <c r="G4261" t="str">
        <f t="shared" si="2037"/>
        <v>TAXA BOLETO COMPENSADO</v>
      </c>
      <c r="H4261" t="str">
        <f t="shared" si="2031"/>
        <v>31/07/2025</v>
      </c>
      <c r="I4261" t="str">
        <f t="shared" si="2038"/>
        <v>31/07/2025</v>
      </c>
      <c r="J4261" t="str">
        <f t="shared" si="2039"/>
        <v>31/07/2025</v>
      </c>
      <c r="M4261">
        <v>401</v>
      </c>
      <c r="N4261" t="str">
        <f t="shared" si="2040"/>
        <v>IOF/JUROS/DESP.FINANCEIRA</v>
      </c>
      <c r="P4261">
        <v>1.7</v>
      </c>
      <c r="Q4261" t="str">
        <f>"CORA SOCIEDADE DE CREDITO, FINANCIAMENTO E INVESTIMENTO (20035)"</f>
        <v>CORA SOCIEDADE DE CREDITO, FINANCIAMENTO E INVESTIMENTO (20035)</v>
      </c>
      <c r="R4261" t="str">
        <f t="shared" si="2041"/>
        <v>BANCO CORA (102)</v>
      </c>
      <c r="S4261">
        <v>2293</v>
      </c>
      <c r="T4261">
        <v>1820</v>
      </c>
      <c r="U4261" t="s">
        <v>19</v>
      </c>
    </row>
    <row r="4262" spans="1:21">
      <c r="A4262" t="str">
        <f t="shared" si="2032"/>
        <v>31/07/2025</v>
      </c>
      <c r="B4262" t="str">
        <f t="shared" si="2033"/>
        <v>SAÍDA</v>
      </c>
      <c r="C4262" t="str">
        <f t="shared" si="2034"/>
        <v>CONHECIMENTO</v>
      </c>
      <c r="D4262" t="str">
        <f t="shared" si="2035"/>
        <v>310725170</v>
      </c>
      <c r="E4262" t="str">
        <f t="shared" si="2022"/>
        <v>COM</v>
      </c>
      <c r="F4262" t="str">
        <f t="shared" si="2036"/>
        <v>CORA SOCIEDADE DE CREDITO, FINANCIAMENTO E INVESTIMENTO (20035)</v>
      </c>
      <c r="G4262" t="str">
        <f t="shared" si="2037"/>
        <v>TAXA BOLETO COMPENSADO</v>
      </c>
      <c r="H4262" t="str">
        <f t="shared" si="2031"/>
        <v>31/07/2025</v>
      </c>
      <c r="I4262" t="str">
        <f t="shared" si="2038"/>
        <v>31/07/2025</v>
      </c>
      <c r="J4262" t="str">
        <f t="shared" si="2039"/>
        <v>31/07/2025</v>
      </c>
      <c r="K4262">
        <v>1.7</v>
      </c>
      <c r="L4262">
        <v>1.7</v>
      </c>
      <c r="M4262">
        <v>401</v>
      </c>
      <c r="N4262" t="str">
        <f t="shared" si="2040"/>
        <v>IOF/JUROS/DESP.FINANCEIRA</v>
      </c>
      <c r="O4262">
        <v>1.7</v>
      </c>
      <c r="R4262" t="str">
        <f t="shared" si="2041"/>
        <v>BANCO CORA (102)</v>
      </c>
      <c r="S4262">
        <v>2294</v>
      </c>
      <c r="T4262">
        <v>1821</v>
      </c>
      <c r="U4262" t="s">
        <v>19</v>
      </c>
    </row>
    <row r="4263" spans="1:21">
      <c r="A4263" t="str">
        <f t="shared" si="2032"/>
        <v>31/07/2025</v>
      </c>
      <c r="B4263" t="str">
        <f t="shared" si="2033"/>
        <v>SAÍDA</v>
      </c>
      <c r="C4263" t="str">
        <f t="shared" si="2034"/>
        <v>CONHECIMENTO</v>
      </c>
      <c r="D4263" t="str">
        <f t="shared" si="2035"/>
        <v>310725170</v>
      </c>
      <c r="E4263" t="str">
        <f t="shared" si="2022"/>
        <v>COM</v>
      </c>
      <c r="F4263" t="str">
        <f t="shared" si="2036"/>
        <v>CORA SOCIEDADE DE CREDITO, FINANCIAMENTO E INVESTIMENTO (20035)</v>
      </c>
      <c r="G4263" t="str">
        <f t="shared" si="2037"/>
        <v>TAXA BOLETO COMPENSADO</v>
      </c>
      <c r="H4263" t="str">
        <f t="shared" si="2031"/>
        <v>31/07/2025</v>
      </c>
      <c r="I4263" t="str">
        <f t="shared" si="2038"/>
        <v>31/07/2025</v>
      </c>
      <c r="J4263" t="str">
        <f t="shared" si="2039"/>
        <v>31/07/2025</v>
      </c>
      <c r="M4263">
        <v>401</v>
      </c>
      <c r="N4263" t="str">
        <f t="shared" si="2040"/>
        <v>IOF/JUROS/DESP.FINANCEIRA</v>
      </c>
      <c r="P4263">
        <v>1.7</v>
      </c>
      <c r="Q4263" t="str">
        <f>"CORA SOCIEDADE DE CREDITO, FINANCIAMENTO E INVESTIMENTO (20035)"</f>
        <v>CORA SOCIEDADE DE CREDITO, FINANCIAMENTO E INVESTIMENTO (20035)</v>
      </c>
      <c r="R4263" t="str">
        <f t="shared" si="2041"/>
        <v>BANCO CORA (102)</v>
      </c>
      <c r="S4263">
        <v>2294</v>
      </c>
      <c r="T4263">
        <v>1821</v>
      </c>
      <c r="U4263" t="s">
        <v>19</v>
      </c>
    </row>
    <row r="4264" spans="1:21">
      <c r="A4264" t="str">
        <f t="shared" si="2032"/>
        <v>31/07/2025</v>
      </c>
      <c r="B4264" t="str">
        <f t="shared" si="2033"/>
        <v>SAÍDA</v>
      </c>
      <c r="C4264" t="str">
        <f t="shared" si="2034"/>
        <v>CONHECIMENTO</v>
      </c>
      <c r="D4264" t="str">
        <f t="shared" si="2035"/>
        <v>310725170</v>
      </c>
      <c r="E4264" t="str">
        <f t="shared" si="2022"/>
        <v>COM</v>
      </c>
      <c r="F4264" t="str">
        <f t="shared" si="2036"/>
        <v>CORA SOCIEDADE DE CREDITO, FINANCIAMENTO E INVESTIMENTO (20035)</v>
      </c>
      <c r="G4264" t="str">
        <f t="shared" si="2037"/>
        <v>TAXA BOLETO COMPENSADO</v>
      </c>
      <c r="H4264" t="str">
        <f t="shared" si="2031"/>
        <v>31/07/2025</v>
      </c>
      <c r="I4264" t="str">
        <f t="shared" si="2038"/>
        <v>31/07/2025</v>
      </c>
      <c r="J4264" t="str">
        <f t="shared" si="2039"/>
        <v>31/07/2025</v>
      </c>
      <c r="K4264">
        <v>1.7</v>
      </c>
      <c r="L4264">
        <v>1.7</v>
      </c>
      <c r="M4264">
        <v>401</v>
      </c>
      <c r="N4264" t="str">
        <f t="shared" si="2040"/>
        <v>IOF/JUROS/DESP.FINANCEIRA</v>
      </c>
      <c r="O4264">
        <v>1.7</v>
      </c>
      <c r="R4264" t="str">
        <f t="shared" si="2041"/>
        <v>BANCO CORA (102)</v>
      </c>
      <c r="S4264">
        <v>2295</v>
      </c>
      <c r="T4264">
        <v>1822</v>
      </c>
      <c r="U4264" t="s">
        <v>19</v>
      </c>
    </row>
    <row r="4265" spans="1:21">
      <c r="A4265" t="str">
        <f t="shared" si="2032"/>
        <v>31/07/2025</v>
      </c>
      <c r="B4265" t="str">
        <f t="shared" si="2033"/>
        <v>SAÍDA</v>
      </c>
      <c r="C4265" t="str">
        <f t="shared" si="2034"/>
        <v>CONHECIMENTO</v>
      </c>
      <c r="D4265" t="str">
        <f t="shared" si="2035"/>
        <v>310725170</v>
      </c>
      <c r="E4265" t="str">
        <f t="shared" si="2022"/>
        <v>COM</v>
      </c>
      <c r="F4265" t="str">
        <f t="shared" si="2036"/>
        <v>CORA SOCIEDADE DE CREDITO, FINANCIAMENTO E INVESTIMENTO (20035)</v>
      </c>
      <c r="G4265" t="str">
        <f t="shared" si="2037"/>
        <v>TAXA BOLETO COMPENSADO</v>
      </c>
      <c r="H4265" t="str">
        <f t="shared" si="2031"/>
        <v>31/07/2025</v>
      </c>
      <c r="I4265" t="str">
        <f t="shared" si="2038"/>
        <v>31/07/2025</v>
      </c>
      <c r="J4265" t="str">
        <f t="shared" si="2039"/>
        <v>31/07/2025</v>
      </c>
      <c r="M4265">
        <v>401</v>
      </c>
      <c r="N4265" t="str">
        <f t="shared" si="2040"/>
        <v>IOF/JUROS/DESP.FINANCEIRA</v>
      </c>
      <c r="P4265">
        <v>1.7</v>
      </c>
      <c r="Q4265" t="str">
        <f>"CORA SOCIEDADE DE CREDITO, FINANCIAMENTO E INVESTIMENTO (20035)"</f>
        <v>CORA SOCIEDADE DE CREDITO, FINANCIAMENTO E INVESTIMENTO (20035)</v>
      </c>
      <c r="R4265" t="str">
        <f t="shared" si="2041"/>
        <v>BANCO CORA (102)</v>
      </c>
      <c r="S4265">
        <v>2295</v>
      </c>
      <c r="T4265">
        <v>1822</v>
      </c>
      <c r="U4265" t="s">
        <v>19</v>
      </c>
    </row>
    <row r="4266" spans="1:21">
      <c r="A4266" t="str">
        <f t="shared" si="2032"/>
        <v>31/07/2025</v>
      </c>
      <c r="B4266" t="str">
        <f t="shared" si="2033"/>
        <v>SAÍDA</v>
      </c>
      <c r="C4266" t="str">
        <f t="shared" si="2034"/>
        <v>CONHECIMENTO</v>
      </c>
      <c r="D4266" t="str">
        <f t="shared" si="2035"/>
        <v>310725170</v>
      </c>
      <c r="E4266" t="str">
        <f t="shared" si="2022"/>
        <v>COM</v>
      </c>
      <c r="F4266" t="str">
        <f t="shared" si="2036"/>
        <v>CORA SOCIEDADE DE CREDITO, FINANCIAMENTO E INVESTIMENTO (20035)</v>
      </c>
      <c r="G4266" t="str">
        <f t="shared" si="2037"/>
        <v>TAXA BOLETO COMPENSADO</v>
      </c>
      <c r="H4266" t="str">
        <f t="shared" si="2031"/>
        <v>31/07/2025</v>
      </c>
      <c r="I4266" t="str">
        <f t="shared" si="2038"/>
        <v>31/07/2025</v>
      </c>
      <c r="J4266" t="str">
        <f t="shared" si="2039"/>
        <v>31/07/2025</v>
      </c>
      <c r="K4266">
        <v>1.7</v>
      </c>
      <c r="L4266">
        <v>1.7</v>
      </c>
      <c r="M4266">
        <v>401</v>
      </c>
      <c r="N4266" t="str">
        <f t="shared" si="2040"/>
        <v>IOF/JUROS/DESP.FINANCEIRA</v>
      </c>
      <c r="O4266">
        <v>1.7</v>
      </c>
      <c r="R4266" t="str">
        <f t="shared" si="2041"/>
        <v>BANCO CORA (102)</v>
      </c>
      <c r="S4266">
        <v>2296</v>
      </c>
      <c r="T4266">
        <v>1823</v>
      </c>
      <c r="U4266" t="s">
        <v>19</v>
      </c>
    </row>
    <row r="4267" spans="1:21">
      <c r="A4267" t="str">
        <f t="shared" si="2032"/>
        <v>31/07/2025</v>
      </c>
      <c r="B4267" t="str">
        <f t="shared" si="2033"/>
        <v>SAÍDA</v>
      </c>
      <c r="C4267" t="str">
        <f t="shared" si="2034"/>
        <v>CONHECIMENTO</v>
      </c>
      <c r="D4267" t="str">
        <f t="shared" si="2035"/>
        <v>310725170</v>
      </c>
      <c r="E4267" t="str">
        <f t="shared" si="2022"/>
        <v>COM</v>
      </c>
      <c r="F4267" t="str">
        <f t="shared" si="2036"/>
        <v>CORA SOCIEDADE DE CREDITO, FINANCIAMENTO E INVESTIMENTO (20035)</v>
      </c>
      <c r="G4267" t="str">
        <f t="shared" si="2037"/>
        <v>TAXA BOLETO COMPENSADO</v>
      </c>
      <c r="H4267" t="str">
        <f t="shared" si="2031"/>
        <v>31/07/2025</v>
      </c>
      <c r="I4267" t="str">
        <f t="shared" si="2038"/>
        <v>31/07/2025</v>
      </c>
      <c r="J4267" t="str">
        <f t="shared" si="2039"/>
        <v>31/07/2025</v>
      </c>
      <c r="M4267">
        <v>401</v>
      </c>
      <c r="N4267" t="str">
        <f t="shared" si="2040"/>
        <v>IOF/JUROS/DESP.FINANCEIRA</v>
      </c>
      <c r="P4267">
        <v>1.7</v>
      </c>
      <c r="Q4267" t="str">
        <f>"CORA SOCIEDADE DE CREDITO, FINANCIAMENTO E INVESTIMENTO (20035)"</f>
        <v>CORA SOCIEDADE DE CREDITO, FINANCIAMENTO E INVESTIMENTO (20035)</v>
      </c>
      <c r="R4267" t="str">
        <f t="shared" si="2041"/>
        <v>BANCO CORA (102)</v>
      </c>
      <c r="S4267">
        <v>2296</v>
      </c>
      <c r="T4267">
        <v>1823</v>
      </c>
      <c r="U4267" t="s">
        <v>19</v>
      </c>
    </row>
    <row r="4268" spans="1:21">
      <c r="A4268" t="str">
        <f t="shared" si="2032"/>
        <v>31/07/2025</v>
      </c>
      <c r="B4268" t="str">
        <f t="shared" si="2033"/>
        <v>SAÍDA</v>
      </c>
      <c r="C4268" t="str">
        <f t="shared" si="2034"/>
        <v>CONHECIMENTO</v>
      </c>
      <c r="D4268" t="str">
        <f t="shared" si="2035"/>
        <v>310725170</v>
      </c>
      <c r="E4268" t="str">
        <f t="shared" si="2022"/>
        <v>COM</v>
      </c>
      <c r="F4268" t="str">
        <f t="shared" si="2036"/>
        <v>CORA SOCIEDADE DE CREDITO, FINANCIAMENTO E INVESTIMENTO (20035)</v>
      </c>
      <c r="G4268" t="str">
        <f t="shared" si="2037"/>
        <v>TAXA BOLETO COMPENSADO</v>
      </c>
      <c r="H4268" t="str">
        <f t="shared" si="2031"/>
        <v>31/07/2025</v>
      </c>
      <c r="I4268" t="str">
        <f t="shared" si="2038"/>
        <v>31/07/2025</v>
      </c>
      <c r="J4268" t="str">
        <f t="shared" si="2039"/>
        <v>31/07/2025</v>
      </c>
      <c r="K4268">
        <v>1.7</v>
      </c>
      <c r="L4268">
        <v>1.7</v>
      </c>
      <c r="M4268">
        <v>401</v>
      </c>
      <c r="N4268" t="str">
        <f t="shared" si="2040"/>
        <v>IOF/JUROS/DESP.FINANCEIRA</v>
      </c>
      <c r="O4268">
        <v>1.7</v>
      </c>
      <c r="R4268" t="str">
        <f t="shared" si="2041"/>
        <v>BANCO CORA (102)</v>
      </c>
      <c r="S4268">
        <v>2297</v>
      </c>
      <c r="T4268">
        <v>1824</v>
      </c>
      <c r="U4268" t="s">
        <v>19</v>
      </c>
    </row>
    <row r="4269" spans="1:21">
      <c r="A4269" t="str">
        <f t="shared" si="2032"/>
        <v>31/07/2025</v>
      </c>
      <c r="B4269" t="str">
        <f t="shared" si="2033"/>
        <v>SAÍDA</v>
      </c>
      <c r="C4269" t="str">
        <f t="shared" si="2034"/>
        <v>CONHECIMENTO</v>
      </c>
      <c r="D4269" t="str">
        <f t="shared" si="2035"/>
        <v>310725170</v>
      </c>
      <c r="E4269" t="str">
        <f t="shared" si="2022"/>
        <v>COM</v>
      </c>
      <c r="F4269" t="str">
        <f t="shared" si="2036"/>
        <v>CORA SOCIEDADE DE CREDITO, FINANCIAMENTO E INVESTIMENTO (20035)</v>
      </c>
      <c r="G4269" t="str">
        <f t="shared" si="2037"/>
        <v>TAXA BOLETO COMPENSADO</v>
      </c>
      <c r="H4269" t="str">
        <f t="shared" si="2031"/>
        <v>31/07/2025</v>
      </c>
      <c r="I4269" t="str">
        <f t="shared" si="2038"/>
        <v>31/07/2025</v>
      </c>
      <c r="J4269" t="str">
        <f t="shared" si="2039"/>
        <v>31/07/2025</v>
      </c>
      <c r="M4269">
        <v>401</v>
      </c>
      <c r="N4269" t="str">
        <f t="shared" si="2040"/>
        <v>IOF/JUROS/DESP.FINANCEIRA</v>
      </c>
      <c r="P4269">
        <v>1.7</v>
      </c>
      <c r="Q4269" t="str">
        <f>"CORA SOCIEDADE DE CREDITO, FINANCIAMENTO E INVESTIMENTO (20035)"</f>
        <v>CORA SOCIEDADE DE CREDITO, FINANCIAMENTO E INVESTIMENTO (20035)</v>
      </c>
      <c r="R4269" t="str">
        <f t="shared" si="2041"/>
        <v>BANCO CORA (102)</v>
      </c>
      <c r="S4269">
        <v>2297</v>
      </c>
      <c r="T4269">
        <v>1824</v>
      </c>
      <c r="U4269" t="s">
        <v>19</v>
      </c>
    </row>
    <row r="4270" spans="1:21">
      <c r="A4270" t="str">
        <f t="shared" si="2032"/>
        <v>31/07/2025</v>
      </c>
      <c r="B4270" t="str">
        <f t="shared" si="2033"/>
        <v>SAÍDA</v>
      </c>
      <c r="C4270" t="str">
        <f t="shared" si="2034"/>
        <v>CONHECIMENTO</v>
      </c>
      <c r="D4270" t="str">
        <f t="shared" si="2035"/>
        <v>310725170</v>
      </c>
      <c r="E4270" t="str">
        <f t="shared" si="2022"/>
        <v>COM</v>
      </c>
      <c r="F4270" t="str">
        <f t="shared" si="2036"/>
        <v>CORA SOCIEDADE DE CREDITO, FINANCIAMENTO E INVESTIMENTO (20035)</v>
      </c>
      <c r="G4270" t="str">
        <f t="shared" si="2037"/>
        <v>TAXA BOLETO COMPENSADO</v>
      </c>
      <c r="H4270" t="str">
        <f t="shared" si="2031"/>
        <v>31/07/2025</v>
      </c>
      <c r="I4270" t="str">
        <f t="shared" si="2038"/>
        <v>31/07/2025</v>
      </c>
      <c r="J4270" t="str">
        <f t="shared" si="2039"/>
        <v>31/07/2025</v>
      </c>
      <c r="K4270">
        <v>1.7</v>
      </c>
      <c r="L4270">
        <v>1.7</v>
      </c>
      <c r="M4270">
        <v>401</v>
      </c>
      <c r="N4270" t="str">
        <f t="shared" si="2040"/>
        <v>IOF/JUROS/DESP.FINANCEIRA</v>
      </c>
      <c r="O4270">
        <v>1.7</v>
      </c>
      <c r="R4270" t="str">
        <f t="shared" si="2041"/>
        <v>BANCO CORA (102)</v>
      </c>
      <c r="S4270">
        <v>2298</v>
      </c>
      <c r="T4270">
        <v>1825</v>
      </c>
      <c r="U4270" t="s">
        <v>19</v>
      </c>
    </row>
    <row r="4271" spans="1:21">
      <c r="A4271" t="str">
        <f t="shared" si="2032"/>
        <v>31/07/2025</v>
      </c>
      <c r="B4271" t="str">
        <f t="shared" si="2033"/>
        <v>SAÍDA</v>
      </c>
      <c r="C4271" t="str">
        <f t="shared" si="2034"/>
        <v>CONHECIMENTO</v>
      </c>
      <c r="D4271" t="str">
        <f t="shared" si="2035"/>
        <v>310725170</v>
      </c>
      <c r="E4271" t="str">
        <f t="shared" ref="E4271:E4334" si="2042">"COM"</f>
        <v>COM</v>
      </c>
      <c r="F4271" t="str">
        <f t="shared" si="2036"/>
        <v>CORA SOCIEDADE DE CREDITO, FINANCIAMENTO E INVESTIMENTO (20035)</v>
      </c>
      <c r="G4271" t="str">
        <f t="shared" si="2037"/>
        <v>TAXA BOLETO COMPENSADO</v>
      </c>
      <c r="H4271" t="str">
        <f t="shared" si="2031"/>
        <v>31/07/2025</v>
      </c>
      <c r="I4271" t="str">
        <f t="shared" si="2038"/>
        <v>31/07/2025</v>
      </c>
      <c r="J4271" t="str">
        <f t="shared" si="2039"/>
        <v>31/07/2025</v>
      </c>
      <c r="M4271">
        <v>401</v>
      </c>
      <c r="N4271" t="str">
        <f t="shared" si="2040"/>
        <v>IOF/JUROS/DESP.FINANCEIRA</v>
      </c>
      <c r="P4271">
        <v>1.7</v>
      </c>
      <c r="Q4271" t="str">
        <f>"CORA SOCIEDADE DE CREDITO, FINANCIAMENTO E INVESTIMENTO (20035)"</f>
        <v>CORA SOCIEDADE DE CREDITO, FINANCIAMENTO E INVESTIMENTO (20035)</v>
      </c>
      <c r="R4271" t="str">
        <f t="shared" si="2041"/>
        <v>BANCO CORA (102)</v>
      </c>
      <c r="S4271">
        <v>2298</v>
      </c>
      <c r="T4271">
        <v>1825</v>
      </c>
      <c r="U4271" t="s">
        <v>19</v>
      </c>
    </row>
    <row r="4272" spans="1:21">
      <c r="A4272" t="str">
        <f t="shared" si="2032"/>
        <v>31/07/2025</v>
      </c>
      <c r="B4272" t="str">
        <f t="shared" si="2033"/>
        <v>SAÍDA</v>
      </c>
      <c r="C4272" t="str">
        <f>"PIX"</f>
        <v>PIX</v>
      </c>
      <c r="D4272" t="str">
        <f>"3107252000"</f>
        <v>3107252000</v>
      </c>
      <c r="E4272" t="str">
        <f t="shared" si="2042"/>
        <v>COM</v>
      </c>
      <c r="F4272" t="str">
        <f>"MARCELO REZENDE ARANTES (20014)"</f>
        <v>MARCELO REZENDE ARANTES (20014)</v>
      </c>
      <c r="G4272" t="str">
        <f>"ADIANTAMENTO PRO LABORE 07/2025"</f>
        <v>ADIANTAMENTO PRO LABORE 07/2025</v>
      </c>
      <c r="H4272" t="str">
        <f t="shared" si="2031"/>
        <v>31/07/2025</v>
      </c>
      <c r="I4272" t="str">
        <f t="shared" si="2038"/>
        <v>31/07/2025</v>
      </c>
      <c r="J4272" t="str">
        <f t="shared" si="2039"/>
        <v>31/07/2025</v>
      </c>
      <c r="K4272">
        <v>2000</v>
      </c>
      <c r="L4272">
        <v>2000</v>
      </c>
      <c r="M4272">
        <v>108</v>
      </c>
      <c r="N4272" t="str">
        <f>"PRO LABORE - MARCELO"</f>
        <v>PRO LABORE - MARCELO</v>
      </c>
      <c r="O4272">
        <v>2000</v>
      </c>
      <c r="R4272" t="str">
        <f t="shared" si="2041"/>
        <v>BANCO CORA (102)</v>
      </c>
      <c r="S4272">
        <v>2353</v>
      </c>
      <c r="T4272">
        <v>1891</v>
      </c>
      <c r="U4272" t="s">
        <v>19</v>
      </c>
    </row>
    <row r="4273" spans="1:21">
      <c r="A4273" t="str">
        <f t="shared" si="2032"/>
        <v>31/07/2025</v>
      </c>
      <c r="B4273" t="str">
        <f t="shared" si="2033"/>
        <v>SAÍDA</v>
      </c>
      <c r="C4273" t="str">
        <f>"PIX"</f>
        <v>PIX</v>
      </c>
      <c r="D4273" t="str">
        <f>"3107252000"</f>
        <v>3107252000</v>
      </c>
      <c r="E4273" t="str">
        <f t="shared" si="2042"/>
        <v>COM</v>
      </c>
      <c r="F4273" t="str">
        <f>"MARCELO REZENDE ARANTES (20014)"</f>
        <v>MARCELO REZENDE ARANTES (20014)</v>
      </c>
      <c r="G4273" t="str">
        <f>"ADIANTAMENTO PRO LABORE 07/2025"</f>
        <v>ADIANTAMENTO PRO LABORE 07/2025</v>
      </c>
      <c r="H4273" t="str">
        <f t="shared" si="2031"/>
        <v>31/07/2025</v>
      </c>
      <c r="I4273" t="str">
        <f t="shared" si="2038"/>
        <v>31/07/2025</v>
      </c>
      <c r="J4273" t="str">
        <f t="shared" si="2039"/>
        <v>31/07/2025</v>
      </c>
      <c r="M4273">
        <v>108</v>
      </c>
      <c r="N4273" t="str">
        <f>"PRO LABORE - MARCELO"</f>
        <v>PRO LABORE - MARCELO</v>
      </c>
      <c r="P4273">
        <v>2000</v>
      </c>
      <c r="Q4273" t="str">
        <f>"MARCELO REZENDE ARANTES (20014)"</f>
        <v>MARCELO REZENDE ARANTES (20014)</v>
      </c>
      <c r="R4273" t="str">
        <f t="shared" si="2041"/>
        <v>BANCO CORA (102)</v>
      </c>
      <c r="S4273">
        <v>2353</v>
      </c>
      <c r="T4273">
        <v>1891</v>
      </c>
      <c r="U4273" t="s">
        <v>19</v>
      </c>
    </row>
    <row r="4274" spans="1:21">
      <c r="A4274" t="str">
        <f t="shared" ref="A4274:A4280" si="2043">("01/08/2025")</f>
        <v>01/08/2025</v>
      </c>
      <c r="B4274" t="str">
        <f>"ENTRADA"</f>
        <v>ENTRADA</v>
      </c>
      <c r="C4274" t="str">
        <f>"NFSE"</f>
        <v>NFSE</v>
      </c>
      <c r="D4274" t="str">
        <f>"3260"</f>
        <v>3260</v>
      </c>
      <c r="E4274" t="str">
        <f t="shared" si="2042"/>
        <v>COM</v>
      </c>
      <c r="F4274" t="str">
        <f>"PAGMENOS - LJ 608 (10135)"</f>
        <v>PAGMENOS - LJ 608 (10135)</v>
      </c>
      <c r="G4274" t="str">
        <f>"Serv.Prest. 14/07/2025 a 20/07/2025 - RPS: 1027 - NFSe: 3260"</f>
        <v>Serv.Prest. 14/07/2025 a 20/07/2025 - RPS: 1027 - NFSe: 3260</v>
      </c>
      <c r="H4274" t="str">
        <f t="shared" si="2031"/>
        <v>31/07/2025</v>
      </c>
      <c r="I4274" t="str">
        <f>("21/07/2025")</f>
        <v>21/07/2025</v>
      </c>
      <c r="J4274" t="str">
        <f t="shared" ref="J4274:J4280" si="2044">("01/08/2025")</f>
        <v>01/08/2025</v>
      </c>
      <c r="K4274">
        <v>280.20999999999998</v>
      </c>
      <c r="L4274">
        <v>280.20999999999998</v>
      </c>
      <c r="M4274">
        <v>303</v>
      </c>
      <c r="N4274" t="str">
        <f>"RECEITAS COM ENTREGAS"</f>
        <v>RECEITAS COM ENTREGAS</v>
      </c>
      <c r="O4274">
        <v>280.20999999999998</v>
      </c>
      <c r="R4274" t="str">
        <f>"RECEITAS COM ENTREGAS (303)"</f>
        <v>RECEITAS COM ENTREGAS (303)</v>
      </c>
      <c r="S4274">
        <v>2251</v>
      </c>
      <c r="T4274">
        <v>1626</v>
      </c>
      <c r="U4274" t="s">
        <v>19</v>
      </c>
    </row>
    <row r="4275" spans="1:21">
      <c r="A4275" t="str">
        <f t="shared" si="2043"/>
        <v>01/08/2025</v>
      </c>
      <c r="B4275" t="str">
        <f t="shared" ref="B4275:B4277" si="2045">"ENTRADA"</f>
        <v>ENTRADA</v>
      </c>
      <c r="C4275" t="str">
        <f>"NFSE"</f>
        <v>NFSE</v>
      </c>
      <c r="D4275" t="str">
        <f>"3260"</f>
        <v>3260</v>
      </c>
      <c r="E4275" t="str">
        <f t="shared" si="2042"/>
        <v>COM</v>
      </c>
      <c r="F4275" t="str">
        <f>"PAGMENOS - LJ 608 (10135)"</f>
        <v>PAGMENOS - LJ 608 (10135)</v>
      </c>
      <c r="G4275" t="str">
        <f>"Serv.Prest. 14/07/2025 a 20/07/2025 - RPS: 1027 - NFSe: 3260"</f>
        <v>Serv.Prest. 14/07/2025 a 20/07/2025 - RPS: 1027 - NFSe: 3260</v>
      </c>
      <c r="H4275" t="str">
        <f t="shared" si="2031"/>
        <v>31/07/2025</v>
      </c>
      <c r="I4275" t="str">
        <f>("21/07/2025")</f>
        <v>21/07/2025</v>
      </c>
      <c r="J4275" t="str">
        <f t="shared" si="2044"/>
        <v>01/08/2025</v>
      </c>
      <c r="M4275">
        <v>303</v>
      </c>
      <c r="N4275" t="str">
        <f>"RECEITAS COM ENTREGAS"</f>
        <v>RECEITAS COM ENTREGAS</v>
      </c>
      <c r="P4275">
        <v>280.20999999999998</v>
      </c>
      <c r="Q4275" t="str">
        <f>"PAGMENOS - LJ 608 (10135)"</f>
        <v>PAGMENOS - LJ 608 (10135)</v>
      </c>
      <c r="R4275" t="str">
        <f>"RECEITAS COM ENTREGAS (303)"</f>
        <v>RECEITAS COM ENTREGAS (303)</v>
      </c>
      <c r="S4275">
        <v>2251</v>
      </c>
      <c r="T4275">
        <v>1626</v>
      </c>
      <c r="U4275" t="s">
        <v>19</v>
      </c>
    </row>
    <row r="4276" spans="1:21">
      <c r="A4276" t="str">
        <f t="shared" si="2043"/>
        <v>01/08/2025</v>
      </c>
      <c r="B4276" t="str">
        <f t="shared" si="2045"/>
        <v>ENTRADA</v>
      </c>
      <c r="C4276" t="str">
        <f>"NFSE"</f>
        <v>NFSE</v>
      </c>
      <c r="D4276" t="str">
        <f>"3261"</f>
        <v>3261</v>
      </c>
      <c r="E4276" t="str">
        <f t="shared" si="2042"/>
        <v>COM</v>
      </c>
      <c r="F4276" t="str">
        <f>"PAGMENOS - LJ 657 (10136)"</f>
        <v>PAGMENOS - LJ 657 (10136)</v>
      </c>
      <c r="G4276" t="str">
        <f>"Serv.Prest. 14/07/2025 a 20/07/2025 - RPS: 1028 - NFSe: 3261"</f>
        <v>Serv.Prest. 14/07/2025 a 20/07/2025 - RPS: 1028 - NFSe: 3261</v>
      </c>
      <c r="H4276" t="str">
        <f t="shared" si="2031"/>
        <v>31/07/2025</v>
      </c>
      <c r="I4276" t="str">
        <f>("21/07/2025")</f>
        <v>21/07/2025</v>
      </c>
      <c r="J4276" t="str">
        <f t="shared" si="2044"/>
        <v>01/08/2025</v>
      </c>
      <c r="K4276">
        <v>596.6</v>
      </c>
      <c r="L4276">
        <v>596.6</v>
      </c>
      <c r="M4276">
        <v>303</v>
      </c>
      <c r="N4276" t="str">
        <f>"RECEITAS COM ENTREGAS"</f>
        <v>RECEITAS COM ENTREGAS</v>
      </c>
      <c r="O4276">
        <v>596.6</v>
      </c>
      <c r="R4276" t="str">
        <f>"RECEITAS COM ENTREGAS (303)"</f>
        <v>RECEITAS COM ENTREGAS (303)</v>
      </c>
      <c r="S4276">
        <v>2252</v>
      </c>
      <c r="T4276">
        <v>1627</v>
      </c>
      <c r="U4276" t="s">
        <v>19</v>
      </c>
    </row>
    <row r="4277" spans="1:21">
      <c r="A4277" t="str">
        <f t="shared" si="2043"/>
        <v>01/08/2025</v>
      </c>
      <c r="B4277" t="str">
        <f t="shared" si="2045"/>
        <v>ENTRADA</v>
      </c>
      <c r="C4277" t="str">
        <f>"NFSE"</f>
        <v>NFSE</v>
      </c>
      <c r="D4277" t="str">
        <f>"3261"</f>
        <v>3261</v>
      </c>
      <c r="E4277" t="str">
        <f t="shared" si="2042"/>
        <v>COM</v>
      </c>
      <c r="F4277" t="str">
        <f>"PAGMENOS - LJ 657 (10136)"</f>
        <v>PAGMENOS - LJ 657 (10136)</v>
      </c>
      <c r="G4277" t="str">
        <f>"Serv.Prest. 14/07/2025 a 20/07/2025 - RPS: 1028 - NFSe: 3261"</f>
        <v>Serv.Prest. 14/07/2025 a 20/07/2025 - RPS: 1028 - NFSe: 3261</v>
      </c>
      <c r="H4277" t="str">
        <f t="shared" si="2031"/>
        <v>31/07/2025</v>
      </c>
      <c r="I4277" t="str">
        <f>("21/07/2025")</f>
        <v>21/07/2025</v>
      </c>
      <c r="J4277" t="str">
        <f t="shared" si="2044"/>
        <v>01/08/2025</v>
      </c>
      <c r="M4277">
        <v>303</v>
      </c>
      <c r="N4277" t="str">
        <f>"RECEITAS COM ENTREGAS"</f>
        <v>RECEITAS COM ENTREGAS</v>
      </c>
      <c r="P4277">
        <v>596.6</v>
      </c>
      <c r="Q4277" t="str">
        <f>"PAGMENOS - LJ 657 (10136)"</f>
        <v>PAGMENOS - LJ 657 (10136)</v>
      </c>
      <c r="R4277" t="str">
        <f>"RECEITAS COM ENTREGAS (303)"</f>
        <v>RECEITAS COM ENTREGAS (303)</v>
      </c>
      <c r="S4277">
        <v>2252</v>
      </c>
      <c r="T4277">
        <v>1627</v>
      </c>
      <c r="U4277" t="s">
        <v>19</v>
      </c>
    </row>
    <row r="4278" spans="1:21">
      <c r="A4278" t="str">
        <f t="shared" si="2043"/>
        <v>01/08/2025</v>
      </c>
      <c r="B4278" t="str">
        <f t="shared" ref="B4278:B4282" si="2046">"SAÍDA"</f>
        <v>SAÍDA</v>
      </c>
      <c r="C4278" t="str">
        <f>"BOLETO"</f>
        <v>BOLETO</v>
      </c>
      <c r="D4278" t="str">
        <f>"19983"</f>
        <v>19983</v>
      </c>
      <c r="E4278" t="str">
        <f t="shared" si="2042"/>
        <v>COM</v>
      </c>
      <c r="F4278" t="str">
        <f>"SUL AMERICA COMPANHIA DE SEGURO SAUDE (20080)"</f>
        <v>SUL AMERICA COMPANHIA DE SEGURO SAUDE (20080)</v>
      </c>
      <c r="G4278" t="str">
        <f>"CONVENIO MEDICO SOCIOS E DEPENDENTES"</f>
        <v>CONVENIO MEDICO SOCIOS E DEPENDENTES</v>
      </c>
      <c r="H4278" t="str">
        <f>("01/08/2025")</f>
        <v>01/08/2025</v>
      </c>
      <c r="I4278" t="str">
        <f>("22/07/2025")</f>
        <v>22/07/2025</v>
      </c>
      <c r="J4278" t="str">
        <f t="shared" si="2044"/>
        <v>01/08/2025</v>
      </c>
      <c r="K4278">
        <v>3540</v>
      </c>
      <c r="L4278">
        <v>3540</v>
      </c>
      <c r="M4278">
        <v>192</v>
      </c>
      <c r="N4278" t="str">
        <f>"PLANOS E SEGUROS"</f>
        <v>PLANOS E SEGUROS</v>
      </c>
      <c r="O4278">
        <v>3540</v>
      </c>
      <c r="R4278" t="str">
        <f>"BANCO CORA (102)"</f>
        <v>BANCO CORA (102)</v>
      </c>
      <c r="S4278">
        <v>2299</v>
      </c>
      <c r="T4278">
        <v>1636</v>
      </c>
      <c r="U4278" t="s">
        <v>19</v>
      </c>
    </row>
    <row r="4279" spans="1:21">
      <c r="A4279" t="str">
        <f t="shared" si="2043"/>
        <v>01/08/2025</v>
      </c>
      <c r="B4279" t="str">
        <f t="shared" si="2046"/>
        <v>SAÍDA</v>
      </c>
      <c r="C4279" t="str">
        <f t="shared" ref="C4279:C4290" si="2047">"PIX"</f>
        <v>PIX</v>
      </c>
      <c r="D4279" t="str">
        <f>"4"</f>
        <v>4</v>
      </c>
      <c r="E4279" t="str">
        <f t="shared" si="2042"/>
        <v>COM</v>
      </c>
      <c r="F4279" t="str">
        <f>"JAIME DOS REIS LELES JUNIOR 09340854632 (20103)"</f>
        <v>JAIME DOS REIS LELES JUNIOR 09340854632 (20103)</v>
      </c>
      <c r="G4279" t="str">
        <f>"SERVICOS DE DESENVOLVIMENTO - PIX - CPF: 09340854632"</f>
        <v>SERVICOS DE DESENVOLVIMENTO - PIX - CPF: 09340854632</v>
      </c>
      <c r="H4279" t="str">
        <f>("01/08/2025")</f>
        <v>01/08/2025</v>
      </c>
      <c r="I4279" t="str">
        <f>("30/07/2025")</f>
        <v>30/07/2025</v>
      </c>
      <c r="J4279" t="str">
        <f t="shared" si="2044"/>
        <v>01/08/2025</v>
      </c>
      <c r="K4279">
        <v>6400</v>
      </c>
      <c r="L4279">
        <v>6400</v>
      </c>
      <c r="M4279">
        <v>104</v>
      </c>
      <c r="N4279" t="str">
        <f>"SOFTWARE / LICENÇAS"</f>
        <v>SOFTWARE / LICENÇAS</v>
      </c>
      <c r="O4279">
        <v>6400</v>
      </c>
      <c r="R4279" t="str">
        <f>"BANCO CORA (102)"</f>
        <v>BANCO CORA (102)</v>
      </c>
      <c r="S4279">
        <v>2300</v>
      </c>
      <c r="T4279">
        <v>1758</v>
      </c>
      <c r="U4279" t="s">
        <v>19</v>
      </c>
    </row>
    <row r="4280" spans="1:21">
      <c r="A4280" t="str">
        <f t="shared" si="2043"/>
        <v>01/08/2025</v>
      </c>
      <c r="B4280" t="str">
        <f t="shared" si="2046"/>
        <v>SAÍDA</v>
      </c>
      <c r="C4280" t="str">
        <f t="shared" si="2047"/>
        <v>PIX</v>
      </c>
      <c r="D4280" t="str">
        <f>"4"</f>
        <v>4</v>
      </c>
      <c r="E4280" t="str">
        <f t="shared" si="2042"/>
        <v>COM</v>
      </c>
      <c r="F4280" t="str">
        <f>"JAIME DOS REIS LELES JUNIOR 09340854632 (20103)"</f>
        <v>JAIME DOS REIS LELES JUNIOR 09340854632 (20103)</v>
      </c>
      <c r="G4280" t="str">
        <f>"SERVICOS DE DESENVOLVIMENTO - PIX - CPF: 09340854632"</f>
        <v>SERVICOS DE DESENVOLVIMENTO - PIX - CPF: 09340854632</v>
      </c>
      <c r="H4280" t="str">
        <f>("01/08/2025")</f>
        <v>01/08/2025</v>
      </c>
      <c r="I4280" t="str">
        <f>("30/07/2025")</f>
        <v>30/07/2025</v>
      </c>
      <c r="J4280" t="str">
        <f t="shared" si="2044"/>
        <v>01/08/2025</v>
      </c>
      <c r="M4280">
        <v>104</v>
      </c>
      <c r="N4280" t="str">
        <f>"SOFTWARE / LICENÇAS"</f>
        <v>SOFTWARE / LICENÇAS</v>
      </c>
      <c r="P4280">
        <v>6400</v>
      </c>
      <c r="Q4280" t="str">
        <f>"JAIME DOS REIS LELES JUNIOR 09340854632 (20103)"</f>
        <v>JAIME DOS REIS LELES JUNIOR 09340854632 (20103)</v>
      </c>
      <c r="R4280" t="str">
        <f>"BANCO CORA (102)"</f>
        <v>BANCO CORA (102)</v>
      </c>
      <c r="S4280">
        <v>2300</v>
      </c>
      <c r="T4280">
        <v>1758</v>
      </c>
      <c r="U4280" t="s">
        <v>19</v>
      </c>
    </row>
    <row r="4281" spans="1:21">
      <c r="A4281" t="str">
        <f>("03/08/2025")</f>
        <v>03/08/2025</v>
      </c>
      <c r="B4281" t="str">
        <f t="shared" si="2046"/>
        <v>SAÍDA</v>
      </c>
      <c r="C4281" t="str">
        <f t="shared" si="2047"/>
        <v>PIX</v>
      </c>
      <c r="D4281" t="str">
        <f>"0308251500"</f>
        <v>0308251500</v>
      </c>
      <c r="E4281" t="str">
        <f t="shared" si="2042"/>
        <v>COM</v>
      </c>
      <c r="F4281" t="str">
        <f>"LILIANE DE FATIMA REZENDE JUSTINO (20013)"</f>
        <v>LILIANE DE FATIMA REZENDE JUSTINO (20013)</v>
      </c>
      <c r="G4281" t="str">
        <f>"DESPESAS VIAGEM PORTO SEGURO/EUNAPOLIS/TEIXEIRA DE FREITAS"</f>
        <v>DESPESAS VIAGEM PORTO SEGURO/EUNAPOLIS/TEIXEIRA DE FREITAS</v>
      </c>
      <c r="H4281" t="str">
        <f t="shared" ref="H4281:J4282" si="2048">("03/08/2025")</f>
        <v>03/08/2025</v>
      </c>
      <c r="I4281" t="str">
        <f t="shared" si="2048"/>
        <v>03/08/2025</v>
      </c>
      <c r="J4281" t="str">
        <f t="shared" si="2048"/>
        <v>03/08/2025</v>
      </c>
      <c r="K4281">
        <v>1500</v>
      </c>
      <c r="L4281">
        <v>1500</v>
      </c>
      <c r="M4281">
        <v>128</v>
      </c>
      <c r="N4281" t="str">
        <f>"DESPESAS COM VIAGENS"</f>
        <v>DESPESAS COM VIAGENS</v>
      </c>
      <c r="O4281">
        <v>1500</v>
      </c>
      <c r="R4281" t="str">
        <f>"BANCO CORA (102)"</f>
        <v>BANCO CORA (102)</v>
      </c>
      <c r="S4281">
        <v>2328</v>
      </c>
      <c r="T4281">
        <v>1874</v>
      </c>
      <c r="U4281" t="s">
        <v>19</v>
      </c>
    </row>
    <row r="4282" spans="1:21">
      <c r="A4282" t="str">
        <f>("03/08/2025")</f>
        <v>03/08/2025</v>
      </c>
      <c r="B4282" t="str">
        <f t="shared" si="2046"/>
        <v>SAÍDA</v>
      </c>
      <c r="C4282" t="str">
        <f t="shared" si="2047"/>
        <v>PIX</v>
      </c>
      <c r="D4282" t="str">
        <f>"0308251500"</f>
        <v>0308251500</v>
      </c>
      <c r="E4282" t="str">
        <f t="shared" si="2042"/>
        <v>COM</v>
      </c>
      <c r="F4282" t="str">
        <f>"LILIANE DE FATIMA REZENDE JUSTINO (20013)"</f>
        <v>LILIANE DE FATIMA REZENDE JUSTINO (20013)</v>
      </c>
      <c r="G4282" t="str">
        <f>"DESPESAS VIAGEM PORTO SEGURO/EUNAPOLIS/TEIXEIRA DE FREITAS"</f>
        <v>DESPESAS VIAGEM PORTO SEGURO/EUNAPOLIS/TEIXEIRA DE FREITAS</v>
      </c>
      <c r="H4282" t="str">
        <f t="shared" si="2048"/>
        <v>03/08/2025</v>
      </c>
      <c r="I4282" t="str">
        <f t="shared" si="2048"/>
        <v>03/08/2025</v>
      </c>
      <c r="J4282" t="str">
        <f t="shared" si="2048"/>
        <v>03/08/2025</v>
      </c>
      <c r="M4282">
        <v>128</v>
      </c>
      <c r="N4282" t="str">
        <f>"DESPESAS COM VIAGENS"</f>
        <v>DESPESAS COM VIAGENS</v>
      </c>
      <c r="P4282">
        <v>1500</v>
      </c>
      <c r="Q4282" t="str">
        <f>"LILIANE DE FATIMA REZENDE JUSTINO (20013)"</f>
        <v>LILIANE DE FATIMA REZENDE JUSTINO (20013)</v>
      </c>
      <c r="R4282" t="str">
        <f>"BANCO CORA (102)"</f>
        <v>BANCO CORA (102)</v>
      </c>
      <c r="S4282">
        <v>2328</v>
      </c>
      <c r="T4282">
        <v>1874</v>
      </c>
      <c r="U4282" t="s">
        <v>19</v>
      </c>
    </row>
    <row r="4283" spans="1:21">
      <c r="A4283" t="str">
        <f t="shared" ref="A4283:A4322" si="2049">("05/08/2025")</f>
        <v>05/08/2025</v>
      </c>
      <c r="B4283" t="str">
        <f>"ENTRADA"</f>
        <v>ENTRADA</v>
      </c>
      <c r="C4283" t="str">
        <f t="shared" si="2047"/>
        <v>PIX</v>
      </c>
      <c r="D4283" t="str">
        <f>"0108257107"</f>
        <v>0108257107</v>
      </c>
      <c r="E4283" t="str">
        <f t="shared" si="2042"/>
        <v>COM</v>
      </c>
      <c r="F4283" t="str">
        <f t="shared" ref="F4283:F4308" si="2050">"MARCELO REZENDE ARANTES (20014)"</f>
        <v>MARCELO REZENDE ARANTES (20014)</v>
      </c>
      <c r="G4283" t="str">
        <f>"DESCONTO CO-PARTICIPACAO SULAMERICA SAUDE 08/2025"</f>
        <v>DESCONTO CO-PARTICIPACAO SULAMERICA SAUDE 08/2025</v>
      </c>
      <c r="H4283" t="str">
        <f>("01/08/2025")</f>
        <v>01/08/2025</v>
      </c>
      <c r="I4283" t="str">
        <f>("01/08/2025")</f>
        <v>01/08/2025</v>
      </c>
      <c r="J4283" t="str">
        <f t="shared" ref="J4283:J4322" si="2051">("05/08/2025")</f>
        <v>05/08/2025</v>
      </c>
      <c r="K4283">
        <v>71.069999999999993</v>
      </c>
      <c r="L4283">
        <v>71.069999999999993</v>
      </c>
      <c r="M4283">
        <v>119</v>
      </c>
      <c r="N4283" t="str">
        <f>"RECEITAS COM REEMBOLSOS"</f>
        <v>RECEITAS COM REEMBOLSOS</v>
      </c>
      <c r="O4283">
        <v>71.069999999999993</v>
      </c>
      <c r="R4283" t="str">
        <f>"RECEITAS COM REEMBOLSOS (119)"</f>
        <v>RECEITAS COM REEMBOLSOS (119)</v>
      </c>
      <c r="S4283">
        <v>2210</v>
      </c>
      <c r="T4283">
        <v>1789</v>
      </c>
      <c r="U4283" t="s">
        <v>25</v>
      </c>
    </row>
    <row r="4284" spans="1:21">
      <c r="A4284" t="str">
        <f t="shared" si="2049"/>
        <v>05/08/2025</v>
      </c>
      <c r="B4284" t="str">
        <f>"SAÍDA"</f>
        <v>SAÍDA</v>
      </c>
      <c r="C4284" t="str">
        <f t="shared" si="2047"/>
        <v>PIX</v>
      </c>
      <c r="D4284" t="str">
        <f>"0108257107"</f>
        <v>0108257107</v>
      </c>
      <c r="E4284" t="str">
        <f t="shared" si="2042"/>
        <v>COM</v>
      </c>
      <c r="F4284" t="str">
        <f t="shared" si="2050"/>
        <v>MARCELO REZENDE ARANTES (20014)</v>
      </c>
      <c r="G4284" t="str">
        <f>"DESCONTO CO-PARTICIPACAO SULAMERICA SAUDE 08/2025"</f>
        <v>DESCONTO CO-PARTICIPACAO SULAMERICA SAUDE 08/2025</v>
      </c>
      <c r="H4284" t="str">
        <f>("01/08/2025")</f>
        <v>01/08/2025</v>
      </c>
      <c r="I4284" t="str">
        <f>("01/08/2025")</f>
        <v>01/08/2025</v>
      </c>
      <c r="J4284" t="str">
        <f t="shared" si="2051"/>
        <v>05/08/2025</v>
      </c>
      <c r="M4284">
        <v>119</v>
      </c>
      <c r="N4284" t="str">
        <f>"RECEITAS COM REEMBOLSOS"</f>
        <v>RECEITAS COM REEMBOLSOS</v>
      </c>
      <c r="P4284">
        <v>71.069999999999993</v>
      </c>
      <c r="Q4284" t="str">
        <f>"MARCELO REZENDE ARANTES (20014)"</f>
        <v>MARCELO REZENDE ARANTES (20014)</v>
      </c>
      <c r="R4284" t="str">
        <f>"RECEITAS COM REEMBOLSOS (119)"</f>
        <v>RECEITAS COM REEMBOLSOS (119)</v>
      </c>
      <c r="S4284">
        <v>2210</v>
      </c>
      <c r="T4284">
        <v>1789</v>
      </c>
      <c r="U4284" t="s">
        <v>25</v>
      </c>
    </row>
    <row r="4285" spans="1:21">
      <c r="A4285" t="str">
        <f t="shared" si="2049"/>
        <v>05/08/2025</v>
      </c>
      <c r="B4285" t="str">
        <f>"SAÍDA"</f>
        <v>SAÍDA</v>
      </c>
      <c r="C4285" t="str">
        <f t="shared" si="2047"/>
        <v>PIX</v>
      </c>
      <c r="D4285" t="str">
        <f>"05082510000"</f>
        <v>05082510000</v>
      </c>
      <c r="E4285" t="str">
        <f t="shared" si="2042"/>
        <v>COM</v>
      </c>
      <c r="F4285" t="str">
        <f t="shared" si="2050"/>
        <v>MARCELO REZENDE ARANTES (20014)</v>
      </c>
      <c r="G4285" t="str">
        <f>"REF. PRO-LABORE MES 07/2025"</f>
        <v>REF. PRO-LABORE MES 07/2025</v>
      </c>
      <c r="H4285" t="str">
        <f>("05/08/2025")</f>
        <v>05/08/2025</v>
      </c>
      <c r="I4285" t="str">
        <f>("01/01/2025")</f>
        <v>01/01/2025</v>
      </c>
      <c r="J4285" t="str">
        <f t="shared" si="2051"/>
        <v>05/08/2025</v>
      </c>
      <c r="K4285">
        <v>2000</v>
      </c>
      <c r="L4285">
        <v>2000</v>
      </c>
      <c r="M4285">
        <v>108</v>
      </c>
      <c r="N4285" t="str">
        <f>"PRO LABORE - MARCELO"</f>
        <v>PRO LABORE - MARCELO</v>
      </c>
      <c r="O4285">
        <v>2000</v>
      </c>
      <c r="R4285" t="str">
        <f>"CAIXA MOVIMENTAÇÃO OPERACIONAL (132)"</f>
        <v>CAIXA MOVIMENTAÇÃO OPERACIONAL (132)</v>
      </c>
      <c r="S4285">
        <v>2211</v>
      </c>
      <c r="T4285">
        <v>1790</v>
      </c>
      <c r="U4285" t="s">
        <v>25</v>
      </c>
    </row>
    <row r="4286" spans="1:21">
      <c r="A4286" t="str">
        <f t="shared" si="2049"/>
        <v>05/08/2025</v>
      </c>
      <c r="B4286" t="str">
        <f>"SAÍDA"</f>
        <v>SAÍDA</v>
      </c>
      <c r="C4286" t="str">
        <f t="shared" si="2047"/>
        <v>PIX</v>
      </c>
      <c r="D4286" t="str">
        <f>"05082510000"</f>
        <v>05082510000</v>
      </c>
      <c r="E4286" t="str">
        <f t="shared" si="2042"/>
        <v>COM</v>
      </c>
      <c r="F4286" t="str">
        <f t="shared" si="2050"/>
        <v>MARCELO REZENDE ARANTES (20014)</v>
      </c>
      <c r="G4286" t="str">
        <f>"REF. PRO-LABORE MES 07/2025"</f>
        <v>REF. PRO-LABORE MES 07/2025</v>
      </c>
      <c r="H4286" t="str">
        <f>("05/08/2025")</f>
        <v>05/08/2025</v>
      </c>
      <c r="I4286" t="str">
        <f>("01/01/2025")</f>
        <v>01/01/2025</v>
      </c>
      <c r="J4286" t="str">
        <f t="shared" si="2051"/>
        <v>05/08/2025</v>
      </c>
      <c r="M4286">
        <v>108</v>
      </c>
      <c r="N4286" t="str">
        <f>"PRO LABORE - MARCELO"</f>
        <v>PRO LABORE - MARCELO</v>
      </c>
      <c r="P4286">
        <v>2000</v>
      </c>
      <c r="Q4286" t="str">
        <f>"MARCELO REZENDE ARANTES (20014)"</f>
        <v>MARCELO REZENDE ARANTES (20014)</v>
      </c>
      <c r="R4286" t="str">
        <f>"CAIXA MOVIMENTAÇÃO OPERACIONAL (132)"</f>
        <v>CAIXA MOVIMENTAÇÃO OPERACIONAL (132)</v>
      </c>
      <c r="S4286">
        <v>2211</v>
      </c>
      <c r="T4286">
        <v>1790</v>
      </c>
      <c r="U4286" t="s">
        <v>25</v>
      </c>
    </row>
    <row r="4287" spans="1:21">
      <c r="A4287" t="str">
        <f t="shared" si="2049"/>
        <v>05/08/2025</v>
      </c>
      <c r="B4287" t="str">
        <f>"ENTRADA"</f>
        <v>ENTRADA</v>
      </c>
      <c r="C4287" t="str">
        <f t="shared" si="2047"/>
        <v>PIX</v>
      </c>
      <c r="D4287" t="str">
        <f>"0108252000"</f>
        <v>0108252000</v>
      </c>
      <c r="E4287" t="str">
        <f t="shared" si="2042"/>
        <v>COM</v>
      </c>
      <c r="F4287" t="str">
        <f t="shared" si="2050"/>
        <v>MARCELO REZENDE ARANTES (20014)</v>
      </c>
      <c r="G4287" t="str">
        <f>"ADIANTAMENTO PRO LABORE 07/2025"</f>
        <v>ADIANTAMENTO PRO LABORE 07/2025</v>
      </c>
      <c r="H4287" t="str">
        <f>("01/08/2025")</f>
        <v>01/08/2025</v>
      </c>
      <c r="I4287" t="str">
        <f>("01/08/2025")</f>
        <v>01/08/2025</v>
      </c>
      <c r="J4287" t="str">
        <f t="shared" si="2051"/>
        <v>05/08/2025</v>
      </c>
      <c r="K4287">
        <v>2000</v>
      </c>
      <c r="L4287">
        <v>2000</v>
      </c>
      <c r="M4287">
        <v>119</v>
      </c>
      <c r="N4287" t="str">
        <f>"RECEITAS COM REEMBOLSOS"</f>
        <v>RECEITAS COM REEMBOLSOS</v>
      </c>
      <c r="O4287">
        <v>2000</v>
      </c>
      <c r="R4287" t="str">
        <f>"RECEITAS COM REEMBOLSOS (119)"</f>
        <v>RECEITAS COM REEMBOLSOS (119)</v>
      </c>
      <c r="S4287">
        <v>2212</v>
      </c>
      <c r="T4287">
        <v>1788</v>
      </c>
      <c r="U4287" t="s">
        <v>25</v>
      </c>
    </row>
    <row r="4288" spans="1:21">
      <c r="A4288" t="str">
        <f t="shared" si="2049"/>
        <v>05/08/2025</v>
      </c>
      <c r="B4288" t="str">
        <f>"SAÍDA"</f>
        <v>SAÍDA</v>
      </c>
      <c r="C4288" t="str">
        <f t="shared" si="2047"/>
        <v>PIX</v>
      </c>
      <c r="D4288" t="str">
        <f>"0108252000"</f>
        <v>0108252000</v>
      </c>
      <c r="E4288" t="str">
        <f t="shared" si="2042"/>
        <v>COM</v>
      </c>
      <c r="F4288" t="str">
        <f t="shared" si="2050"/>
        <v>MARCELO REZENDE ARANTES (20014)</v>
      </c>
      <c r="G4288" t="str">
        <f>"ADIANTAMENTO PRO LABORE 07/2025"</f>
        <v>ADIANTAMENTO PRO LABORE 07/2025</v>
      </c>
      <c r="H4288" t="str">
        <f>("01/08/2025")</f>
        <v>01/08/2025</v>
      </c>
      <c r="I4288" t="str">
        <f>("01/08/2025")</f>
        <v>01/08/2025</v>
      </c>
      <c r="J4288" t="str">
        <f t="shared" si="2051"/>
        <v>05/08/2025</v>
      </c>
      <c r="M4288">
        <v>119</v>
      </c>
      <c r="N4288" t="str">
        <f>"RECEITAS COM REEMBOLSOS"</f>
        <v>RECEITAS COM REEMBOLSOS</v>
      </c>
      <c r="P4288">
        <v>2000</v>
      </c>
      <c r="Q4288" t="str">
        <f>"MARCELO REZENDE ARANTES (20014)"</f>
        <v>MARCELO REZENDE ARANTES (20014)</v>
      </c>
      <c r="R4288" t="str">
        <f>"RECEITAS COM REEMBOLSOS (119)"</f>
        <v>RECEITAS COM REEMBOLSOS (119)</v>
      </c>
      <c r="S4288">
        <v>2212</v>
      </c>
      <c r="T4288">
        <v>1788</v>
      </c>
      <c r="U4288" t="s">
        <v>25</v>
      </c>
    </row>
    <row r="4289" spans="1:21">
      <c r="A4289" t="str">
        <f t="shared" si="2049"/>
        <v>05/08/2025</v>
      </c>
      <c r="B4289" t="str">
        <f>"SAÍDA"</f>
        <v>SAÍDA</v>
      </c>
      <c r="C4289" t="str">
        <f t="shared" si="2047"/>
        <v>PIX</v>
      </c>
      <c r="D4289" t="str">
        <f>"05082510000"</f>
        <v>05082510000</v>
      </c>
      <c r="E4289" t="str">
        <f t="shared" si="2042"/>
        <v>COM</v>
      </c>
      <c r="F4289" t="str">
        <f t="shared" si="2050"/>
        <v>MARCELO REZENDE ARANTES (20014)</v>
      </c>
      <c r="G4289" t="str">
        <f>"REF. PRO-LABORE MES 07/2025"</f>
        <v>REF. PRO-LABORE MES 07/2025</v>
      </c>
      <c r="H4289" t="str">
        <f>("05/08/2025")</f>
        <v>05/08/2025</v>
      </c>
      <c r="I4289" t="str">
        <f>("01/01/2025")</f>
        <v>01/01/2025</v>
      </c>
      <c r="J4289" t="str">
        <f t="shared" si="2051"/>
        <v>05/08/2025</v>
      </c>
      <c r="K4289">
        <v>525.11</v>
      </c>
      <c r="L4289">
        <v>525.11</v>
      </c>
      <c r="M4289">
        <v>108</v>
      </c>
      <c r="N4289" t="str">
        <f>"PRO LABORE - MARCELO"</f>
        <v>PRO LABORE - MARCELO</v>
      </c>
      <c r="O4289">
        <v>525.11</v>
      </c>
      <c r="R4289" t="str">
        <f>"CAIXA MOVIMENTAÇÃO OPERACIONAL (132)"</f>
        <v>CAIXA MOVIMENTAÇÃO OPERACIONAL (132)</v>
      </c>
      <c r="S4289">
        <v>2213</v>
      </c>
      <c r="T4289">
        <v>1791</v>
      </c>
      <c r="U4289" t="s">
        <v>25</v>
      </c>
    </row>
    <row r="4290" spans="1:21">
      <c r="A4290" t="str">
        <f t="shared" si="2049"/>
        <v>05/08/2025</v>
      </c>
      <c r="B4290" t="str">
        <f>"SAÍDA"</f>
        <v>SAÍDA</v>
      </c>
      <c r="C4290" t="str">
        <f t="shared" si="2047"/>
        <v>PIX</v>
      </c>
      <c r="D4290" t="str">
        <f>"05082510000"</f>
        <v>05082510000</v>
      </c>
      <c r="E4290" t="str">
        <f t="shared" si="2042"/>
        <v>COM</v>
      </c>
      <c r="F4290" t="str">
        <f t="shared" si="2050"/>
        <v>MARCELO REZENDE ARANTES (20014)</v>
      </c>
      <c r="G4290" t="str">
        <f>"REF. PRO-LABORE MES 07/2025"</f>
        <v>REF. PRO-LABORE MES 07/2025</v>
      </c>
      <c r="H4290" t="str">
        <f>("05/08/2025")</f>
        <v>05/08/2025</v>
      </c>
      <c r="I4290" t="str">
        <f>("01/01/2025")</f>
        <v>01/01/2025</v>
      </c>
      <c r="J4290" t="str">
        <f t="shared" si="2051"/>
        <v>05/08/2025</v>
      </c>
      <c r="M4290">
        <v>108</v>
      </c>
      <c r="N4290" t="str">
        <f>"PRO LABORE - MARCELO"</f>
        <v>PRO LABORE - MARCELO</v>
      </c>
      <c r="P4290">
        <v>525.11</v>
      </c>
      <c r="Q4290" t="str">
        <f>"MARCELO REZENDE ARANTES (20014)"</f>
        <v>MARCELO REZENDE ARANTES (20014)</v>
      </c>
      <c r="R4290" t="str">
        <f>"CAIXA MOVIMENTAÇÃO OPERACIONAL (132)"</f>
        <v>CAIXA MOVIMENTAÇÃO OPERACIONAL (132)</v>
      </c>
      <c r="S4290">
        <v>2213</v>
      </c>
      <c r="T4290">
        <v>1791</v>
      </c>
      <c r="U4290" t="s">
        <v>25</v>
      </c>
    </row>
    <row r="4291" spans="1:21">
      <c r="A4291" t="str">
        <f t="shared" si="2049"/>
        <v>05/08/2025</v>
      </c>
      <c r="B4291" t="str">
        <f>"ENTRADA"</f>
        <v>ENTRADA</v>
      </c>
      <c r="C4291" t="str">
        <f t="shared" ref="C4291:C4296" si="2052">"DINHEIRO"</f>
        <v>DINHEIRO</v>
      </c>
      <c r="D4291" t="str">
        <f t="shared" ref="D4291:D4296" si="2053">"2025"</f>
        <v>2025</v>
      </c>
      <c r="E4291" t="str">
        <f t="shared" si="2042"/>
        <v>COM</v>
      </c>
      <c r="F4291" t="str">
        <f t="shared" si="2050"/>
        <v>MARCELO REZENDE ARANTES (20014)</v>
      </c>
      <c r="G4291" t="str">
        <f>"DESCONTO CONVENIO MEDICO DEPENDENTE 07/2025"</f>
        <v>DESCONTO CONVENIO MEDICO DEPENDENTE 07/2025</v>
      </c>
      <c r="H4291" t="str">
        <f t="shared" ref="H4291:H4296" si="2054">("01/08/2025")</f>
        <v>01/08/2025</v>
      </c>
      <c r="I4291" t="str">
        <f>("01/07/2025")</f>
        <v>01/07/2025</v>
      </c>
      <c r="J4291" t="str">
        <f t="shared" si="2051"/>
        <v>05/08/2025</v>
      </c>
      <c r="K4291">
        <v>525.11</v>
      </c>
      <c r="L4291">
        <v>525.11</v>
      </c>
      <c r="M4291">
        <v>119</v>
      </c>
      <c r="N4291" t="str">
        <f t="shared" ref="N4291:N4296" si="2055">"RECEITAS COM REEMBOLSOS"</f>
        <v>RECEITAS COM REEMBOLSOS</v>
      </c>
      <c r="O4291">
        <v>525.11</v>
      </c>
      <c r="R4291" t="str">
        <f t="shared" ref="R4291:R4296" si="2056">"RECEITAS COM REEMBOLSOS (119)"</f>
        <v>RECEITAS COM REEMBOLSOS (119)</v>
      </c>
      <c r="S4291">
        <v>2214</v>
      </c>
      <c r="T4291">
        <v>1783</v>
      </c>
      <c r="U4291" t="s">
        <v>25</v>
      </c>
    </row>
    <row r="4292" spans="1:21">
      <c r="A4292" t="str">
        <f t="shared" si="2049"/>
        <v>05/08/2025</v>
      </c>
      <c r="B4292" t="str">
        <f>"SAÍDA"</f>
        <v>SAÍDA</v>
      </c>
      <c r="C4292" t="str">
        <f t="shared" si="2052"/>
        <v>DINHEIRO</v>
      </c>
      <c r="D4292" t="str">
        <f t="shared" si="2053"/>
        <v>2025</v>
      </c>
      <c r="E4292" t="str">
        <f t="shared" si="2042"/>
        <v>COM</v>
      </c>
      <c r="F4292" t="str">
        <f t="shared" si="2050"/>
        <v>MARCELO REZENDE ARANTES (20014)</v>
      </c>
      <c r="G4292" t="str">
        <f>"DESCONTO CONVENIO MEDICO DEPENDENTE 07/2025"</f>
        <v>DESCONTO CONVENIO MEDICO DEPENDENTE 07/2025</v>
      </c>
      <c r="H4292" t="str">
        <f t="shared" si="2054"/>
        <v>01/08/2025</v>
      </c>
      <c r="I4292" t="str">
        <f>("01/07/2025")</f>
        <v>01/07/2025</v>
      </c>
      <c r="J4292" t="str">
        <f t="shared" si="2051"/>
        <v>05/08/2025</v>
      </c>
      <c r="M4292">
        <v>119</v>
      </c>
      <c r="N4292" t="str">
        <f t="shared" si="2055"/>
        <v>RECEITAS COM REEMBOLSOS</v>
      </c>
      <c r="P4292">
        <v>525.11</v>
      </c>
      <c r="Q4292" t="str">
        <f>"MARCELO REZENDE ARANTES (20014)"</f>
        <v>MARCELO REZENDE ARANTES (20014)</v>
      </c>
      <c r="R4292" t="str">
        <f t="shared" si="2056"/>
        <v>RECEITAS COM REEMBOLSOS (119)</v>
      </c>
      <c r="S4292">
        <v>2214</v>
      </c>
      <c r="T4292">
        <v>1783</v>
      </c>
      <c r="U4292" t="s">
        <v>25</v>
      </c>
    </row>
    <row r="4293" spans="1:21">
      <c r="A4293" t="str">
        <f t="shared" si="2049"/>
        <v>05/08/2025</v>
      </c>
      <c r="B4293" t="str">
        <f>"ENTRADA"</f>
        <v>ENTRADA</v>
      </c>
      <c r="C4293" t="str">
        <f t="shared" si="2052"/>
        <v>DINHEIRO</v>
      </c>
      <c r="D4293" t="str">
        <f t="shared" si="2053"/>
        <v>2025</v>
      </c>
      <c r="E4293" t="str">
        <f t="shared" si="2042"/>
        <v>COM</v>
      </c>
      <c r="F4293" t="str">
        <f t="shared" si="2050"/>
        <v>MARCELO REZENDE ARANTES (20014)</v>
      </c>
      <c r="G4293" t="str">
        <f>"DESCONTO CONVENIO MEDICO DEPENDENTE 08/2025"</f>
        <v>DESCONTO CONVENIO MEDICO DEPENDENTE 08/2025</v>
      </c>
      <c r="H4293" t="str">
        <f t="shared" si="2054"/>
        <v>01/08/2025</v>
      </c>
      <c r="I4293" t="str">
        <f>("01/05/2025")</f>
        <v>01/05/2025</v>
      </c>
      <c r="J4293" t="str">
        <f t="shared" si="2051"/>
        <v>05/08/2025</v>
      </c>
      <c r="K4293">
        <v>525.11</v>
      </c>
      <c r="L4293">
        <v>525.11</v>
      </c>
      <c r="M4293">
        <v>119</v>
      </c>
      <c r="N4293" t="str">
        <f t="shared" si="2055"/>
        <v>RECEITAS COM REEMBOLSOS</v>
      </c>
      <c r="O4293">
        <v>525.11</v>
      </c>
      <c r="R4293" t="str">
        <f t="shared" si="2056"/>
        <v>RECEITAS COM REEMBOLSOS (119)</v>
      </c>
      <c r="S4293">
        <v>2215</v>
      </c>
      <c r="T4293">
        <v>1784</v>
      </c>
      <c r="U4293" t="s">
        <v>25</v>
      </c>
    </row>
    <row r="4294" spans="1:21">
      <c r="A4294" t="str">
        <f t="shared" si="2049"/>
        <v>05/08/2025</v>
      </c>
      <c r="B4294" t="str">
        <f>"SAÍDA"</f>
        <v>SAÍDA</v>
      </c>
      <c r="C4294" t="str">
        <f t="shared" si="2052"/>
        <v>DINHEIRO</v>
      </c>
      <c r="D4294" t="str">
        <f t="shared" si="2053"/>
        <v>2025</v>
      </c>
      <c r="E4294" t="str">
        <f t="shared" si="2042"/>
        <v>COM</v>
      </c>
      <c r="F4294" t="str">
        <f t="shared" si="2050"/>
        <v>MARCELO REZENDE ARANTES (20014)</v>
      </c>
      <c r="G4294" t="str">
        <f>"DESCONTO CONVENIO MEDICO DEPENDENTE 08/2025"</f>
        <v>DESCONTO CONVENIO MEDICO DEPENDENTE 08/2025</v>
      </c>
      <c r="H4294" t="str">
        <f t="shared" si="2054"/>
        <v>01/08/2025</v>
      </c>
      <c r="I4294" t="str">
        <f>("01/05/2025")</f>
        <v>01/05/2025</v>
      </c>
      <c r="J4294" t="str">
        <f t="shared" si="2051"/>
        <v>05/08/2025</v>
      </c>
      <c r="M4294">
        <v>119</v>
      </c>
      <c r="N4294" t="str">
        <f t="shared" si="2055"/>
        <v>RECEITAS COM REEMBOLSOS</v>
      </c>
      <c r="P4294">
        <v>525.11</v>
      </c>
      <c r="Q4294" t="str">
        <f>"MARCELO REZENDE ARANTES (20014)"</f>
        <v>MARCELO REZENDE ARANTES (20014)</v>
      </c>
      <c r="R4294" t="str">
        <f t="shared" si="2056"/>
        <v>RECEITAS COM REEMBOLSOS (119)</v>
      </c>
      <c r="S4294">
        <v>2215</v>
      </c>
      <c r="T4294">
        <v>1784</v>
      </c>
      <c r="U4294" t="s">
        <v>25</v>
      </c>
    </row>
    <row r="4295" spans="1:21">
      <c r="A4295" t="str">
        <f t="shared" si="2049"/>
        <v>05/08/2025</v>
      </c>
      <c r="B4295" t="str">
        <f>"ENTRADA"</f>
        <v>ENTRADA</v>
      </c>
      <c r="C4295" t="str">
        <f t="shared" si="2052"/>
        <v>DINHEIRO</v>
      </c>
      <c r="D4295" t="str">
        <f t="shared" si="2053"/>
        <v>2025</v>
      </c>
      <c r="E4295" t="str">
        <f t="shared" si="2042"/>
        <v>COM</v>
      </c>
      <c r="F4295" t="str">
        <f t="shared" si="2050"/>
        <v>MARCELO REZENDE ARANTES (20014)</v>
      </c>
      <c r="G4295" t="str">
        <f>"DESCONTO RESIDUAL CONVENIO MEDICO DEPENDENTE 06/2025"</f>
        <v>DESCONTO RESIDUAL CONVENIO MEDICO DEPENDENTE 06/2025</v>
      </c>
      <c r="H4295" t="str">
        <f t="shared" si="2054"/>
        <v>01/08/2025</v>
      </c>
      <c r="I4295" t="str">
        <f>("01/05/2025")</f>
        <v>01/05/2025</v>
      </c>
      <c r="J4295" t="str">
        <f t="shared" si="2051"/>
        <v>05/08/2025</v>
      </c>
      <c r="K4295">
        <v>32.979999999999997</v>
      </c>
      <c r="L4295">
        <v>32.979999999999997</v>
      </c>
      <c r="M4295">
        <v>119</v>
      </c>
      <c r="N4295" t="str">
        <f t="shared" si="2055"/>
        <v>RECEITAS COM REEMBOLSOS</v>
      </c>
      <c r="O4295">
        <v>32.979999999999997</v>
      </c>
      <c r="R4295" t="str">
        <f t="shared" si="2056"/>
        <v>RECEITAS COM REEMBOLSOS (119)</v>
      </c>
      <c r="S4295">
        <v>2216</v>
      </c>
      <c r="T4295">
        <v>1782</v>
      </c>
      <c r="U4295" t="s">
        <v>25</v>
      </c>
    </row>
    <row r="4296" spans="1:21">
      <c r="A4296" t="str">
        <f t="shared" si="2049"/>
        <v>05/08/2025</v>
      </c>
      <c r="B4296" t="str">
        <f t="shared" ref="B4296:B4302" si="2057">"SAÍDA"</f>
        <v>SAÍDA</v>
      </c>
      <c r="C4296" t="str">
        <f t="shared" si="2052"/>
        <v>DINHEIRO</v>
      </c>
      <c r="D4296" t="str">
        <f t="shared" si="2053"/>
        <v>2025</v>
      </c>
      <c r="E4296" t="str">
        <f t="shared" si="2042"/>
        <v>COM</v>
      </c>
      <c r="F4296" t="str">
        <f t="shared" si="2050"/>
        <v>MARCELO REZENDE ARANTES (20014)</v>
      </c>
      <c r="G4296" t="str">
        <f>"DESCONTO RESIDUAL CONVENIO MEDICO DEPENDENTE 06/2025"</f>
        <v>DESCONTO RESIDUAL CONVENIO MEDICO DEPENDENTE 06/2025</v>
      </c>
      <c r="H4296" t="str">
        <f t="shared" si="2054"/>
        <v>01/08/2025</v>
      </c>
      <c r="I4296" t="str">
        <f>("01/05/2025")</f>
        <v>01/05/2025</v>
      </c>
      <c r="J4296" t="str">
        <f t="shared" si="2051"/>
        <v>05/08/2025</v>
      </c>
      <c r="M4296">
        <v>119</v>
      </c>
      <c r="N4296" t="str">
        <f t="shared" si="2055"/>
        <v>RECEITAS COM REEMBOLSOS</v>
      </c>
      <c r="P4296">
        <v>32.979999999999997</v>
      </c>
      <c r="Q4296" t="str">
        <f>"MARCELO REZENDE ARANTES (20014)"</f>
        <v>MARCELO REZENDE ARANTES (20014)</v>
      </c>
      <c r="R4296" t="str">
        <f t="shared" si="2056"/>
        <v>RECEITAS COM REEMBOLSOS (119)</v>
      </c>
      <c r="S4296">
        <v>2216</v>
      </c>
      <c r="T4296">
        <v>1782</v>
      </c>
      <c r="U4296" t="s">
        <v>25</v>
      </c>
    </row>
    <row r="4297" spans="1:21">
      <c r="A4297" t="str">
        <f t="shared" si="2049"/>
        <v>05/08/2025</v>
      </c>
      <c r="B4297" t="str">
        <f t="shared" si="2057"/>
        <v>SAÍDA</v>
      </c>
      <c r="C4297" t="str">
        <f t="shared" ref="C4297:C4302" si="2058">"PIX"</f>
        <v>PIX</v>
      </c>
      <c r="D4297" t="str">
        <f t="shared" ref="D4297:D4302" si="2059">"05082510000"</f>
        <v>05082510000</v>
      </c>
      <c r="E4297" t="str">
        <f t="shared" si="2042"/>
        <v>COM</v>
      </c>
      <c r="F4297" t="str">
        <f t="shared" si="2050"/>
        <v>MARCELO REZENDE ARANTES (20014)</v>
      </c>
      <c r="G4297" t="str">
        <f t="shared" ref="G4297:G4302" si="2060">"REF. PRO-LABORE MES 07/2025"</f>
        <v>REF. PRO-LABORE MES 07/2025</v>
      </c>
      <c r="H4297" t="str">
        <f t="shared" ref="H4297:H4302" si="2061">("05/08/2025")</f>
        <v>05/08/2025</v>
      </c>
      <c r="I4297" t="str">
        <f t="shared" ref="I4297:I4302" si="2062">("01/01/2025")</f>
        <v>01/01/2025</v>
      </c>
      <c r="J4297" t="str">
        <f t="shared" si="2051"/>
        <v>05/08/2025</v>
      </c>
      <c r="K4297">
        <v>32.979999999999997</v>
      </c>
      <c r="L4297">
        <v>32.979999999999997</v>
      </c>
      <c r="M4297">
        <v>108</v>
      </c>
      <c r="N4297" t="str">
        <f t="shared" ref="N4297:N4302" si="2063">"PRO LABORE - MARCELO"</f>
        <v>PRO LABORE - MARCELO</v>
      </c>
      <c r="O4297">
        <v>32.979999999999997</v>
      </c>
      <c r="R4297" t="str">
        <f t="shared" ref="R4297:R4302" si="2064">"CAIXA MOVIMENTAÇÃO OPERACIONAL (132)"</f>
        <v>CAIXA MOVIMENTAÇÃO OPERACIONAL (132)</v>
      </c>
      <c r="S4297">
        <v>2217</v>
      </c>
      <c r="T4297">
        <v>1794</v>
      </c>
      <c r="U4297" t="s">
        <v>25</v>
      </c>
    </row>
    <row r="4298" spans="1:21">
      <c r="A4298" t="str">
        <f t="shared" si="2049"/>
        <v>05/08/2025</v>
      </c>
      <c r="B4298" t="str">
        <f t="shared" si="2057"/>
        <v>SAÍDA</v>
      </c>
      <c r="C4298" t="str">
        <f t="shared" si="2058"/>
        <v>PIX</v>
      </c>
      <c r="D4298" t="str">
        <f t="shared" si="2059"/>
        <v>05082510000</v>
      </c>
      <c r="E4298" t="str">
        <f t="shared" si="2042"/>
        <v>COM</v>
      </c>
      <c r="F4298" t="str">
        <f t="shared" si="2050"/>
        <v>MARCELO REZENDE ARANTES (20014)</v>
      </c>
      <c r="G4298" t="str">
        <f t="shared" si="2060"/>
        <v>REF. PRO-LABORE MES 07/2025</v>
      </c>
      <c r="H4298" t="str">
        <f t="shared" si="2061"/>
        <v>05/08/2025</v>
      </c>
      <c r="I4298" t="str">
        <f t="shared" si="2062"/>
        <v>01/01/2025</v>
      </c>
      <c r="J4298" t="str">
        <f t="shared" si="2051"/>
        <v>05/08/2025</v>
      </c>
      <c r="M4298">
        <v>108</v>
      </c>
      <c r="N4298" t="str">
        <f t="shared" si="2063"/>
        <v>PRO LABORE - MARCELO</v>
      </c>
      <c r="P4298">
        <v>32.979999999999997</v>
      </c>
      <c r="Q4298" t="str">
        <f>"MARCELO REZENDE ARANTES (20014)"</f>
        <v>MARCELO REZENDE ARANTES (20014)</v>
      </c>
      <c r="R4298" t="str">
        <f t="shared" si="2064"/>
        <v>CAIXA MOVIMENTAÇÃO OPERACIONAL (132)</v>
      </c>
      <c r="S4298">
        <v>2217</v>
      </c>
      <c r="T4298">
        <v>1794</v>
      </c>
      <c r="U4298" t="s">
        <v>25</v>
      </c>
    </row>
    <row r="4299" spans="1:21">
      <c r="A4299" t="str">
        <f t="shared" si="2049"/>
        <v>05/08/2025</v>
      </c>
      <c r="B4299" t="str">
        <f t="shared" si="2057"/>
        <v>SAÍDA</v>
      </c>
      <c r="C4299" t="str">
        <f t="shared" si="2058"/>
        <v>PIX</v>
      </c>
      <c r="D4299" t="str">
        <f t="shared" si="2059"/>
        <v>05082510000</v>
      </c>
      <c r="E4299" t="str">
        <f t="shared" si="2042"/>
        <v>COM</v>
      </c>
      <c r="F4299" t="str">
        <f t="shared" si="2050"/>
        <v>MARCELO REZENDE ARANTES (20014)</v>
      </c>
      <c r="G4299" t="str">
        <f t="shared" si="2060"/>
        <v>REF. PRO-LABORE MES 07/2025</v>
      </c>
      <c r="H4299" t="str">
        <f t="shared" si="2061"/>
        <v>05/08/2025</v>
      </c>
      <c r="I4299" t="str">
        <f t="shared" si="2062"/>
        <v>01/01/2025</v>
      </c>
      <c r="J4299" t="str">
        <f t="shared" si="2051"/>
        <v>05/08/2025</v>
      </c>
      <c r="K4299">
        <v>525.11</v>
      </c>
      <c r="L4299">
        <v>525.11</v>
      </c>
      <c r="M4299">
        <v>108</v>
      </c>
      <c r="N4299" t="str">
        <f t="shared" si="2063"/>
        <v>PRO LABORE - MARCELO</v>
      </c>
      <c r="O4299">
        <v>525.11</v>
      </c>
      <c r="R4299" t="str">
        <f t="shared" si="2064"/>
        <v>CAIXA MOVIMENTAÇÃO OPERACIONAL (132)</v>
      </c>
      <c r="S4299">
        <v>2218</v>
      </c>
      <c r="T4299">
        <v>1793</v>
      </c>
      <c r="U4299" t="s">
        <v>25</v>
      </c>
    </row>
    <row r="4300" spans="1:21">
      <c r="A4300" t="str">
        <f t="shared" si="2049"/>
        <v>05/08/2025</v>
      </c>
      <c r="B4300" t="str">
        <f t="shared" si="2057"/>
        <v>SAÍDA</v>
      </c>
      <c r="C4300" t="str">
        <f t="shared" si="2058"/>
        <v>PIX</v>
      </c>
      <c r="D4300" t="str">
        <f t="shared" si="2059"/>
        <v>05082510000</v>
      </c>
      <c r="E4300" t="str">
        <f t="shared" si="2042"/>
        <v>COM</v>
      </c>
      <c r="F4300" t="str">
        <f t="shared" si="2050"/>
        <v>MARCELO REZENDE ARANTES (20014)</v>
      </c>
      <c r="G4300" t="str">
        <f t="shared" si="2060"/>
        <v>REF. PRO-LABORE MES 07/2025</v>
      </c>
      <c r="H4300" t="str">
        <f t="shared" si="2061"/>
        <v>05/08/2025</v>
      </c>
      <c r="I4300" t="str">
        <f t="shared" si="2062"/>
        <v>01/01/2025</v>
      </c>
      <c r="J4300" t="str">
        <f t="shared" si="2051"/>
        <v>05/08/2025</v>
      </c>
      <c r="M4300">
        <v>108</v>
      </c>
      <c r="N4300" t="str">
        <f t="shared" si="2063"/>
        <v>PRO LABORE - MARCELO</v>
      </c>
      <c r="P4300">
        <v>525.11</v>
      </c>
      <c r="Q4300" t="str">
        <f>"MARCELO REZENDE ARANTES (20014)"</f>
        <v>MARCELO REZENDE ARANTES (20014)</v>
      </c>
      <c r="R4300" t="str">
        <f t="shared" si="2064"/>
        <v>CAIXA MOVIMENTAÇÃO OPERACIONAL (132)</v>
      </c>
      <c r="S4300">
        <v>2218</v>
      </c>
      <c r="T4300">
        <v>1793</v>
      </c>
      <c r="U4300" t="s">
        <v>25</v>
      </c>
    </row>
    <row r="4301" spans="1:21">
      <c r="A4301" t="str">
        <f t="shared" si="2049"/>
        <v>05/08/2025</v>
      </c>
      <c r="B4301" t="str">
        <f t="shared" si="2057"/>
        <v>SAÍDA</v>
      </c>
      <c r="C4301" t="str">
        <f t="shared" si="2058"/>
        <v>PIX</v>
      </c>
      <c r="D4301" t="str">
        <f t="shared" si="2059"/>
        <v>05082510000</v>
      </c>
      <c r="E4301" t="str">
        <f t="shared" si="2042"/>
        <v>COM</v>
      </c>
      <c r="F4301" t="str">
        <f t="shared" si="2050"/>
        <v>MARCELO REZENDE ARANTES (20014)</v>
      </c>
      <c r="G4301" t="str">
        <f t="shared" si="2060"/>
        <v>REF. PRO-LABORE MES 07/2025</v>
      </c>
      <c r="H4301" t="str">
        <f t="shared" si="2061"/>
        <v>05/08/2025</v>
      </c>
      <c r="I4301" t="str">
        <f t="shared" si="2062"/>
        <v>01/01/2025</v>
      </c>
      <c r="J4301" t="str">
        <f t="shared" si="2051"/>
        <v>05/08/2025</v>
      </c>
      <c r="K4301">
        <v>11.71</v>
      </c>
      <c r="L4301">
        <v>11.71</v>
      </c>
      <c r="M4301">
        <v>108</v>
      </c>
      <c r="N4301" t="str">
        <f t="shared" si="2063"/>
        <v>PRO LABORE - MARCELO</v>
      </c>
      <c r="O4301">
        <v>11.71</v>
      </c>
      <c r="R4301" t="str">
        <f t="shared" si="2064"/>
        <v>CAIXA MOVIMENTAÇÃO OPERACIONAL (132)</v>
      </c>
      <c r="S4301">
        <v>2219</v>
      </c>
      <c r="T4301">
        <v>1792</v>
      </c>
      <c r="U4301" t="s">
        <v>25</v>
      </c>
    </row>
    <row r="4302" spans="1:21">
      <c r="A4302" t="str">
        <f t="shared" si="2049"/>
        <v>05/08/2025</v>
      </c>
      <c r="B4302" t="str">
        <f t="shared" si="2057"/>
        <v>SAÍDA</v>
      </c>
      <c r="C4302" t="str">
        <f t="shared" si="2058"/>
        <v>PIX</v>
      </c>
      <c r="D4302" t="str">
        <f t="shared" si="2059"/>
        <v>05082510000</v>
      </c>
      <c r="E4302" t="str">
        <f t="shared" si="2042"/>
        <v>COM</v>
      </c>
      <c r="F4302" t="str">
        <f t="shared" si="2050"/>
        <v>MARCELO REZENDE ARANTES (20014)</v>
      </c>
      <c r="G4302" t="str">
        <f t="shared" si="2060"/>
        <v>REF. PRO-LABORE MES 07/2025</v>
      </c>
      <c r="H4302" t="str">
        <f t="shared" si="2061"/>
        <v>05/08/2025</v>
      </c>
      <c r="I4302" t="str">
        <f t="shared" si="2062"/>
        <v>01/01/2025</v>
      </c>
      <c r="J4302" t="str">
        <f t="shared" si="2051"/>
        <v>05/08/2025</v>
      </c>
      <c r="M4302">
        <v>108</v>
      </c>
      <c r="N4302" t="str">
        <f t="shared" si="2063"/>
        <v>PRO LABORE - MARCELO</v>
      </c>
      <c r="P4302">
        <v>11.71</v>
      </c>
      <c r="Q4302" t="str">
        <f>"MARCELO REZENDE ARANTES (20014)"</f>
        <v>MARCELO REZENDE ARANTES (20014)</v>
      </c>
      <c r="R4302" t="str">
        <f t="shared" si="2064"/>
        <v>CAIXA MOVIMENTAÇÃO OPERACIONAL (132)</v>
      </c>
      <c r="S4302">
        <v>2219</v>
      </c>
      <c r="T4302">
        <v>1792</v>
      </c>
      <c r="U4302" t="s">
        <v>25</v>
      </c>
    </row>
    <row r="4303" spans="1:21">
      <c r="A4303" t="str">
        <f t="shared" si="2049"/>
        <v>05/08/2025</v>
      </c>
      <c r="B4303" t="str">
        <f>"ENTRADA"</f>
        <v>ENTRADA</v>
      </c>
      <c r="C4303" t="str">
        <f>"DINHEIRO"</f>
        <v>DINHEIRO</v>
      </c>
      <c r="D4303" t="str">
        <f>"2025"</f>
        <v>2025</v>
      </c>
      <c r="E4303" t="str">
        <f t="shared" si="2042"/>
        <v>COM</v>
      </c>
      <c r="F4303" t="str">
        <f t="shared" si="2050"/>
        <v>MARCELO REZENDE ARANTES (20014)</v>
      </c>
      <c r="G4303" t="str">
        <f>"DESCONTO RESIDUAL CONVENIO MEDICO DEPENDENTE 04/2025"</f>
        <v>DESCONTO RESIDUAL CONVENIO MEDICO DEPENDENTE 04/2025</v>
      </c>
      <c r="H4303" t="str">
        <f>("01/08/2025")</f>
        <v>01/08/2025</v>
      </c>
      <c r="I4303" t="str">
        <f>("01/04/2025")</f>
        <v>01/04/2025</v>
      </c>
      <c r="J4303" t="str">
        <f t="shared" si="2051"/>
        <v>05/08/2025</v>
      </c>
      <c r="K4303">
        <v>11.71</v>
      </c>
      <c r="L4303">
        <v>11.71</v>
      </c>
      <c r="M4303">
        <v>119</v>
      </c>
      <c r="N4303" t="str">
        <f>"RECEITAS COM REEMBOLSOS"</f>
        <v>RECEITAS COM REEMBOLSOS</v>
      </c>
      <c r="O4303">
        <v>11.71</v>
      </c>
      <c r="R4303" t="str">
        <f>"RECEITAS COM REEMBOLSOS (119)"</f>
        <v>RECEITAS COM REEMBOLSOS (119)</v>
      </c>
      <c r="S4303">
        <v>2220</v>
      </c>
      <c r="T4303">
        <v>1785</v>
      </c>
      <c r="U4303" t="s">
        <v>25</v>
      </c>
    </row>
    <row r="4304" spans="1:21">
      <c r="A4304" t="str">
        <f t="shared" si="2049"/>
        <v>05/08/2025</v>
      </c>
      <c r="B4304" t="str">
        <f>"SAÍDA"</f>
        <v>SAÍDA</v>
      </c>
      <c r="C4304" t="str">
        <f>"DINHEIRO"</f>
        <v>DINHEIRO</v>
      </c>
      <c r="D4304" t="str">
        <f>"2025"</f>
        <v>2025</v>
      </c>
      <c r="E4304" t="str">
        <f t="shared" si="2042"/>
        <v>COM</v>
      </c>
      <c r="F4304" t="str">
        <f t="shared" si="2050"/>
        <v>MARCELO REZENDE ARANTES (20014)</v>
      </c>
      <c r="G4304" t="str">
        <f>"DESCONTO RESIDUAL CONVENIO MEDICO DEPENDENTE 04/2025"</f>
        <v>DESCONTO RESIDUAL CONVENIO MEDICO DEPENDENTE 04/2025</v>
      </c>
      <c r="H4304" t="str">
        <f>("01/08/2025")</f>
        <v>01/08/2025</v>
      </c>
      <c r="I4304" t="str">
        <f>("01/04/2025")</f>
        <v>01/04/2025</v>
      </c>
      <c r="J4304" t="str">
        <f t="shared" si="2051"/>
        <v>05/08/2025</v>
      </c>
      <c r="M4304">
        <v>119</v>
      </c>
      <c r="N4304" t="str">
        <f>"RECEITAS COM REEMBOLSOS"</f>
        <v>RECEITAS COM REEMBOLSOS</v>
      </c>
      <c r="P4304">
        <v>11.71</v>
      </c>
      <c r="Q4304" t="str">
        <f>"MARCELO REZENDE ARANTES (20014)"</f>
        <v>MARCELO REZENDE ARANTES (20014)</v>
      </c>
      <c r="R4304" t="str">
        <f>"RECEITAS COM REEMBOLSOS (119)"</f>
        <v>RECEITAS COM REEMBOLSOS (119)</v>
      </c>
      <c r="S4304">
        <v>2220</v>
      </c>
      <c r="T4304">
        <v>1785</v>
      </c>
      <c r="U4304" t="s">
        <v>25</v>
      </c>
    </row>
    <row r="4305" spans="1:21">
      <c r="A4305" t="str">
        <f t="shared" si="2049"/>
        <v>05/08/2025</v>
      </c>
      <c r="B4305" t="str">
        <f>"ENTRADA"</f>
        <v>ENTRADA</v>
      </c>
      <c r="C4305" t="str">
        <f t="shared" ref="C4305:C4310" si="2065">"PIX"</f>
        <v>PIX</v>
      </c>
      <c r="D4305" t="str">
        <f>"250725300"</f>
        <v>250725300</v>
      </c>
      <c r="E4305" t="str">
        <f t="shared" si="2042"/>
        <v>COM</v>
      </c>
      <c r="F4305" t="str">
        <f t="shared" si="2050"/>
        <v>MARCELO REZENDE ARANTES (20014)</v>
      </c>
      <c r="G4305" t="str">
        <f>"SERVICOS ASSESSORIA PLANO DE SAUDE - RETIRADA DE DEPENDENTE"</f>
        <v>SERVICOS ASSESSORIA PLANO DE SAUDE - RETIRADA DE DEPENDENTE</v>
      </c>
      <c r="H4305" t="str">
        <f>("01/08/2025")</f>
        <v>01/08/2025</v>
      </c>
      <c r="I4305" t="str">
        <f>("25/07/2025")</f>
        <v>25/07/2025</v>
      </c>
      <c r="J4305" t="str">
        <f t="shared" si="2051"/>
        <v>05/08/2025</v>
      </c>
      <c r="K4305">
        <v>300</v>
      </c>
      <c r="L4305">
        <v>300</v>
      </c>
      <c r="M4305">
        <v>119</v>
      </c>
      <c r="N4305" t="str">
        <f>"RECEITAS COM REEMBOLSOS"</f>
        <v>RECEITAS COM REEMBOLSOS</v>
      </c>
      <c r="O4305">
        <v>300</v>
      </c>
      <c r="R4305" t="str">
        <f>"RECEITAS COM REEMBOLSOS (119)"</f>
        <v>RECEITAS COM REEMBOLSOS (119)</v>
      </c>
      <c r="S4305">
        <v>2221</v>
      </c>
      <c r="T4305">
        <v>1787</v>
      </c>
      <c r="U4305" t="s">
        <v>25</v>
      </c>
    </row>
    <row r="4306" spans="1:21">
      <c r="A4306" t="str">
        <f t="shared" si="2049"/>
        <v>05/08/2025</v>
      </c>
      <c r="B4306" t="str">
        <f>"SAÍDA"</f>
        <v>SAÍDA</v>
      </c>
      <c r="C4306" t="str">
        <f t="shared" si="2065"/>
        <v>PIX</v>
      </c>
      <c r="D4306" t="str">
        <f>"250725300"</f>
        <v>250725300</v>
      </c>
      <c r="E4306" t="str">
        <f t="shared" si="2042"/>
        <v>COM</v>
      </c>
      <c r="F4306" t="str">
        <f t="shared" si="2050"/>
        <v>MARCELO REZENDE ARANTES (20014)</v>
      </c>
      <c r="G4306" t="str">
        <f>"SERVICOS ASSESSORIA PLANO DE SAUDE - RETIRADA DE DEPENDENTE"</f>
        <v>SERVICOS ASSESSORIA PLANO DE SAUDE - RETIRADA DE DEPENDENTE</v>
      </c>
      <c r="H4306" t="str">
        <f>("01/08/2025")</f>
        <v>01/08/2025</v>
      </c>
      <c r="I4306" t="str">
        <f>("25/07/2025")</f>
        <v>25/07/2025</v>
      </c>
      <c r="J4306" t="str">
        <f t="shared" si="2051"/>
        <v>05/08/2025</v>
      </c>
      <c r="M4306">
        <v>119</v>
      </c>
      <c r="N4306" t="str">
        <f>"RECEITAS COM REEMBOLSOS"</f>
        <v>RECEITAS COM REEMBOLSOS</v>
      </c>
      <c r="P4306">
        <v>300</v>
      </c>
      <c r="Q4306" t="str">
        <f>"MARCELO REZENDE ARANTES (20014)"</f>
        <v>MARCELO REZENDE ARANTES (20014)</v>
      </c>
      <c r="R4306" t="str">
        <f>"RECEITAS COM REEMBOLSOS (119)"</f>
        <v>RECEITAS COM REEMBOLSOS (119)</v>
      </c>
      <c r="S4306">
        <v>2221</v>
      </c>
      <c r="T4306">
        <v>1787</v>
      </c>
      <c r="U4306" t="s">
        <v>25</v>
      </c>
    </row>
    <row r="4307" spans="1:21">
      <c r="A4307" t="str">
        <f t="shared" si="2049"/>
        <v>05/08/2025</v>
      </c>
      <c r="B4307" t="str">
        <f>"SAÍDA"</f>
        <v>SAÍDA</v>
      </c>
      <c r="C4307" t="str">
        <f t="shared" si="2065"/>
        <v>PIX</v>
      </c>
      <c r="D4307" t="str">
        <f>"05082510000"</f>
        <v>05082510000</v>
      </c>
      <c r="E4307" t="str">
        <f t="shared" si="2042"/>
        <v>COM</v>
      </c>
      <c r="F4307" t="str">
        <f t="shared" si="2050"/>
        <v>MARCELO REZENDE ARANTES (20014)</v>
      </c>
      <c r="G4307" t="str">
        <f>"REF. PRO-LABORE MES 07/2025"</f>
        <v>REF. PRO-LABORE MES 07/2025</v>
      </c>
      <c r="H4307" t="str">
        <f t="shared" ref="H4307:H4322" si="2066">("05/08/2025")</f>
        <v>05/08/2025</v>
      </c>
      <c r="I4307" t="str">
        <f>("01/01/2025")</f>
        <v>01/01/2025</v>
      </c>
      <c r="J4307" t="str">
        <f t="shared" si="2051"/>
        <v>05/08/2025</v>
      </c>
      <c r="K4307">
        <v>300</v>
      </c>
      <c r="L4307">
        <v>300</v>
      </c>
      <c r="M4307">
        <v>108</v>
      </c>
      <c r="N4307" t="str">
        <f>"PRO LABORE - MARCELO"</f>
        <v>PRO LABORE - MARCELO</v>
      </c>
      <c r="O4307">
        <v>300</v>
      </c>
      <c r="R4307" t="str">
        <f>"CAIXA MOVIMENTAÇÃO OPERACIONAL (132)"</f>
        <v>CAIXA MOVIMENTAÇÃO OPERACIONAL (132)</v>
      </c>
      <c r="S4307">
        <v>2222</v>
      </c>
      <c r="T4307">
        <v>1795</v>
      </c>
      <c r="U4307" t="s">
        <v>25</v>
      </c>
    </row>
    <row r="4308" spans="1:21">
      <c r="A4308" t="str">
        <f t="shared" si="2049"/>
        <v>05/08/2025</v>
      </c>
      <c r="B4308" t="str">
        <f>"SAÍDA"</f>
        <v>SAÍDA</v>
      </c>
      <c r="C4308" t="str">
        <f t="shared" si="2065"/>
        <v>PIX</v>
      </c>
      <c r="D4308" t="str">
        <f>"05082510000"</f>
        <v>05082510000</v>
      </c>
      <c r="E4308" t="str">
        <f t="shared" si="2042"/>
        <v>COM</v>
      </c>
      <c r="F4308" t="str">
        <f t="shared" si="2050"/>
        <v>MARCELO REZENDE ARANTES (20014)</v>
      </c>
      <c r="G4308" t="str">
        <f>"REF. PRO-LABORE MES 07/2025"</f>
        <v>REF. PRO-LABORE MES 07/2025</v>
      </c>
      <c r="H4308" t="str">
        <f t="shared" si="2066"/>
        <v>05/08/2025</v>
      </c>
      <c r="I4308" t="str">
        <f>("01/01/2025")</f>
        <v>01/01/2025</v>
      </c>
      <c r="J4308" t="str">
        <f t="shared" si="2051"/>
        <v>05/08/2025</v>
      </c>
      <c r="M4308">
        <v>108</v>
      </c>
      <c r="N4308" t="str">
        <f>"PRO LABORE - MARCELO"</f>
        <v>PRO LABORE - MARCELO</v>
      </c>
      <c r="P4308">
        <v>300</v>
      </c>
      <c r="Q4308" t="str">
        <f>"MARCELO REZENDE ARANTES (20014)"</f>
        <v>MARCELO REZENDE ARANTES (20014)</v>
      </c>
      <c r="R4308" t="str">
        <f>"CAIXA MOVIMENTAÇÃO OPERACIONAL (132)"</f>
        <v>CAIXA MOVIMENTAÇÃO OPERACIONAL (132)</v>
      </c>
      <c r="S4308">
        <v>2222</v>
      </c>
      <c r="T4308">
        <v>1795</v>
      </c>
      <c r="U4308" t="s">
        <v>25</v>
      </c>
    </row>
    <row r="4309" spans="1:21">
      <c r="A4309" t="str">
        <f t="shared" si="2049"/>
        <v>05/08/2025</v>
      </c>
      <c r="B4309" t="str">
        <f>"SAÍDA"</f>
        <v>SAÍDA</v>
      </c>
      <c r="C4309" t="str">
        <f t="shared" si="2065"/>
        <v>PIX</v>
      </c>
      <c r="D4309" t="str">
        <f>"0508252333333"</f>
        <v>0508252333333</v>
      </c>
      <c r="E4309" t="str">
        <f t="shared" si="2042"/>
        <v>COM</v>
      </c>
      <c r="F4309" t="str">
        <f t="shared" ref="F4309:F4314" si="2067">"LILIANE DE FATIMA REZENDE JUSTINO (20013)"</f>
        <v>LILIANE DE FATIMA REZENDE JUSTINO (20013)</v>
      </c>
      <c r="G4309" t="str">
        <f>"REF. PRO-LABORE MES 07/2025"</f>
        <v>REF. PRO-LABORE MES 07/2025</v>
      </c>
      <c r="H4309" t="str">
        <f t="shared" si="2066"/>
        <v>05/08/2025</v>
      </c>
      <c r="I4309" t="str">
        <f>("01/01/2025")</f>
        <v>01/01/2025</v>
      </c>
      <c r="J4309" t="str">
        <f t="shared" si="2051"/>
        <v>05/08/2025</v>
      </c>
      <c r="K4309">
        <v>109.82</v>
      </c>
      <c r="L4309">
        <v>109.82</v>
      </c>
      <c r="M4309">
        <v>124</v>
      </c>
      <c r="N4309" t="str">
        <f>"PRO LABORE - LILIANE"</f>
        <v>PRO LABORE - LILIANE</v>
      </c>
      <c r="O4309">
        <v>109.82</v>
      </c>
      <c r="R4309" t="str">
        <f>"CAIXA MOVIMENTAÇÃO OPERACIONAL (132)"</f>
        <v>CAIXA MOVIMENTAÇÃO OPERACIONAL (132)</v>
      </c>
      <c r="S4309">
        <v>2223</v>
      </c>
      <c r="T4309">
        <v>1799</v>
      </c>
      <c r="U4309" t="s">
        <v>25</v>
      </c>
    </row>
    <row r="4310" spans="1:21">
      <c r="A4310" t="str">
        <f t="shared" si="2049"/>
        <v>05/08/2025</v>
      </c>
      <c r="B4310" t="str">
        <f>"SAÍDA"</f>
        <v>SAÍDA</v>
      </c>
      <c r="C4310" t="str">
        <f t="shared" si="2065"/>
        <v>PIX</v>
      </c>
      <c r="D4310" t="str">
        <f>"0508252333333"</f>
        <v>0508252333333</v>
      </c>
      <c r="E4310" t="str">
        <f t="shared" si="2042"/>
        <v>COM</v>
      </c>
      <c r="F4310" t="str">
        <f t="shared" si="2067"/>
        <v>LILIANE DE FATIMA REZENDE JUSTINO (20013)</v>
      </c>
      <c r="G4310" t="str">
        <f>"REF. PRO-LABORE MES 07/2025"</f>
        <v>REF. PRO-LABORE MES 07/2025</v>
      </c>
      <c r="H4310" t="str">
        <f t="shared" si="2066"/>
        <v>05/08/2025</v>
      </c>
      <c r="I4310" t="str">
        <f>("01/01/2025")</f>
        <v>01/01/2025</v>
      </c>
      <c r="J4310" t="str">
        <f t="shared" si="2051"/>
        <v>05/08/2025</v>
      </c>
      <c r="M4310">
        <v>124</v>
      </c>
      <c r="N4310" t="str">
        <f>"PRO LABORE - LILIANE"</f>
        <v>PRO LABORE - LILIANE</v>
      </c>
      <c r="P4310">
        <v>109.82</v>
      </c>
      <c r="Q4310" t="str">
        <f>"LILIANE DE FATIMA REZENDE JUSTINO (20013)"</f>
        <v>LILIANE DE FATIMA REZENDE JUSTINO (20013)</v>
      </c>
      <c r="R4310" t="str">
        <f>"CAIXA MOVIMENTAÇÃO OPERACIONAL (132)"</f>
        <v>CAIXA MOVIMENTAÇÃO OPERACIONAL (132)</v>
      </c>
      <c r="S4310">
        <v>2223</v>
      </c>
      <c r="T4310">
        <v>1799</v>
      </c>
      <c r="U4310" t="s">
        <v>25</v>
      </c>
    </row>
    <row r="4311" spans="1:21">
      <c r="A4311" t="str">
        <f t="shared" si="2049"/>
        <v>05/08/2025</v>
      </c>
      <c r="B4311" t="str">
        <f>"ENTRADA"</f>
        <v>ENTRADA</v>
      </c>
      <c r="C4311" t="str">
        <f>"DINHEIRO"</f>
        <v>DINHEIRO</v>
      </c>
      <c r="D4311" t="str">
        <f>"0508253924"</f>
        <v>0508253924</v>
      </c>
      <c r="E4311" t="str">
        <f t="shared" si="2042"/>
        <v>COM</v>
      </c>
      <c r="F4311" t="str">
        <f t="shared" si="2067"/>
        <v>LILIANE DE FATIMA REZENDE JUSTINO (20013)</v>
      </c>
      <c r="G4311" t="str">
        <f>"DESCONTO CO-PARTICIPACAO SULAMERICA SAUDE 08/2025 - ANA JULIA REZENDE JUSTINO"</f>
        <v>DESCONTO CO-PARTICIPACAO SULAMERICA SAUDE 08/2025 - ANA JULIA REZENDE JUSTINO</v>
      </c>
      <c r="H4311" t="str">
        <f t="shared" si="2066"/>
        <v>05/08/2025</v>
      </c>
      <c r="I4311" t="str">
        <f>("01/08/2025")</f>
        <v>01/08/2025</v>
      </c>
      <c r="J4311" t="str">
        <f t="shared" si="2051"/>
        <v>05/08/2025</v>
      </c>
      <c r="K4311">
        <v>39.24</v>
      </c>
      <c r="L4311">
        <v>39.24</v>
      </c>
      <c r="M4311">
        <v>119</v>
      </c>
      <c r="N4311" t="str">
        <f>"RECEITAS COM REEMBOLSOS"</f>
        <v>RECEITAS COM REEMBOLSOS</v>
      </c>
      <c r="O4311">
        <v>39.24</v>
      </c>
      <c r="R4311" t="str">
        <f>"RECEITAS COM REEMBOLSOS (119)"</f>
        <v>RECEITAS COM REEMBOLSOS (119)</v>
      </c>
      <c r="S4311">
        <v>2224</v>
      </c>
      <c r="T4311">
        <v>1798</v>
      </c>
      <c r="U4311" t="s">
        <v>25</v>
      </c>
    </row>
    <row r="4312" spans="1:21">
      <c r="A4312" t="str">
        <f t="shared" si="2049"/>
        <v>05/08/2025</v>
      </c>
      <c r="B4312" t="str">
        <f>"ENTRADA"</f>
        <v>ENTRADA</v>
      </c>
      <c r="C4312" t="str">
        <f>"DINHEIRO"</f>
        <v>DINHEIRO</v>
      </c>
      <c r="D4312" t="str">
        <f>"05082510982"</f>
        <v>05082510982</v>
      </c>
      <c r="E4312" t="str">
        <f t="shared" si="2042"/>
        <v>COM</v>
      </c>
      <c r="F4312" t="str">
        <f t="shared" si="2067"/>
        <v>LILIANE DE FATIMA REZENDE JUSTINO (20013)</v>
      </c>
      <c r="G4312" t="str">
        <f>"DESCONTO CO-PARTICIPACAO SULAMERICA SAUDE 08/2025 - ANDRE LUIS SILVA JUSTINO"</f>
        <v>DESCONTO CO-PARTICIPACAO SULAMERICA SAUDE 08/2025 - ANDRE LUIS SILVA JUSTINO</v>
      </c>
      <c r="H4312" t="str">
        <f t="shared" si="2066"/>
        <v>05/08/2025</v>
      </c>
      <c r="I4312" t="str">
        <f>("01/08/2025")</f>
        <v>01/08/2025</v>
      </c>
      <c r="J4312" t="str">
        <f t="shared" si="2051"/>
        <v>05/08/2025</v>
      </c>
      <c r="K4312">
        <v>109.82</v>
      </c>
      <c r="L4312">
        <v>109.82</v>
      </c>
      <c r="M4312">
        <v>119</v>
      </c>
      <c r="N4312" t="str">
        <f>"RECEITAS COM REEMBOLSOS"</f>
        <v>RECEITAS COM REEMBOLSOS</v>
      </c>
      <c r="O4312">
        <v>109.82</v>
      </c>
      <c r="R4312" t="str">
        <f>"RECEITAS COM REEMBOLSOS (119)"</f>
        <v>RECEITAS COM REEMBOLSOS (119)</v>
      </c>
      <c r="S4312">
        <v>2225</v>
      </c>
      <c r="T4312">
        <v>1797</v>
      </c>
      <c r="U4312" t="s">
        <v>25</v>
      </c>
    </row>
    <row r="4313" spans="1:21">
      <c r="A4313" t="str">
        <f t="shared" si="2049"/>
        <v>05/08/2025</v>
      </c>
      <c r="B4313" t="str">
        <f t="shared" ref="B4313:B4322" si="2068">"SAÍDA"</f>
        <v>SAÍDA</v>
      </c>
      <c r="C4313" t="str">
        <f t="shared" ref="C4313:C4322" si="2069">"PIX"</f>
        <v>PIX</v>
      </c>
      <c r="D4313" t="str">
        <f>"0508252333333"</f>
        <v>0508252333333</v>
      </c>
      <c r="E4313" t="str">
        <f t="shared" si="2042"/>
        <v>COM</v>
      </c>
      <c r="F4313" t="str">
        <f t="shared" si="2067"/>
        <v>LILIANE DE FATIMA REZENDE JUSTINO (20013)</v>
      </c>
      <c r="G4313" t="str">
        <f t="shared" ref="G4313:G4318" si="2070">"REF. PRO-LABORE MES 07/2025"</f>
        <v>REF. PRO-LABORE MES 07/2025</v>
      </c>
      <c r="H4313" t="str">
        <f t="shared" si="2066"/>
        <v>05/08/2025</v>
      </c>
      <c r="I4313" t="str">
        <f t="shared" ref="I4313:I4322" si="2071">("01/01/2025")</f>
        <v>01/01/2025</v>
      </c>
      <c r="J4313" t="str">
        <f t="shared" si="2051"/>
        <v>05/08/2025</v>
      </c>
      <c r="K4313">
        <v>39.24</v>
      </c>
      <c r="L4313">
        <v>39.24</v>
      </c>
      <c r="M4313">
        <v>124</v>
      </c>
      <c r="N4313" t="str">
        <f>"PRO LABORE - LILIANE"</f>
        <v>PRO LABORE - LILIANE</v>
      </c>
      <c r="O4313">
        <v>39.24</v>
      </c>
      <c r="R4313" t="str">
        <f>"CAIXA MOVIMENTAÇÃO OPERACIONAL (132)"</f>
        <v>CAIXA MOVIMENTAÇÃO OPERACIONAL (132)</v>
      </c>
      <c r="S4313">
        <v>2226</v>
      </c>
      <c r="T4313">
        <v>1800</v>
      </c>
      <c r="U4313" t="s">
        <v>25</v>
      </c>
    </row>
    <row r="4314" spans="1:21">
      <c r="A4314" t="str">
        <f t="shared" si="2049"/>
        <v>05/08/2025</v>
      </c>
      <c r="B4314" t="str">
        <f t="shared" si="2068"/>
        <v>SAÍDA</v>
      </c>
      <c r="C4314" t="str">
        <f t="shared" si="2069"/>
        <v>PIX</v>
      </c>
      <c r="D4314" t="str">
        <f>"0508252333333"</f>
        <v>0508252333333</v>
      </c>
      <c r="E4314" t="str">
        <f t="shared" si="2042"/>
        <v>COM</v>
      </c>
      <c r="F4314" t="str">
        <f t="shared" si="2067"/>
        <v>LILIANE DE FATIMA REZENDE JUSTINO (20013)</v>
      </c>
      <c r="G4314" t="str">
        <f t="shared" si="2070"/>
        <v>REF. PRO-LABORE MES 07/2025</v>
      </c>
      <c r="H4314" t="str">
        <f t="shared" si="2066"/>
        <v>05/08/2025</v>
      </c>
      <c r="I4314" t="str">
        <f t="shared" si="2071"/>
        <v>01/01/2025</v>
      </c>
      <c r="J4314" t="str">
        <f t="shared" si="2051"/>
        <v>05/08/2025</v>
      </c>
      <c r="M4314">
        <v>124</v>
      </c>
      <c r="N4314" t="str">
        <f>"PRO LABORE - LILIANE"</f>
        <v>PRO LABORE - LILIANE</v>
      </c>
      <c r="P4314">
        <v>39.24</v>
      </c>
      <c r="Q4314" t="str">
        <f>"LILIANE DE FATIMA REZENDE JUSTINO (20013)"</f>
        <v>LILIANE DE FATIMA REZENDE JUSTINO (20013)</v>
      </c>
      <c r="R4314" t="str">
        <f>"CAIXA MOVIMENTAÇÃO OPERACIONAL (132)"</f>
        <v>CAIXA MOVIMENTAÇÃO OPERACIONAL (132)</v>
      </c>
      <c r="S4314">
        <v>2226</v>
      </c>
      <c r="T4314">
        <v>1800</v>
      </c>
      <c r="U4314" t="s">
        <v>25</v>
      </c>
    </row>
    <row r="4315" spans="1:21">
      <c r="A4315" t="str">
        <f t="shared" si="2049"/>
        <v>05/08/2025</v>
      </c>
      <c r="B4315" t="str">
        <f t="shared" si="2068"/>
        <v>SAÍDA</v>
      </c>
      <c r="C4315" t="str">
        <f t="shared" si="2069"/>
        <v>PIX</v>
      </c>
      <c r="D4315" t="str">
        <f>"05082510000"</f>
        <v>05082510000</v>
      </c>
      <c r="E4315" t="str">
        <f t="shared" si="2042"/>
        <v>COM</v>
      </c>
      <c r="F4315" t="str">
        <f>"MARCELO REZENDE ARANTES (20014)"</f>
        <v>MARCELO REZENDE ARANTES (20014)</v>
      </c>
      <c r="G4315" t="str">
        <f t="shared" si="2070"/>
        <v>REF. PRO-LABORE MES 07/2025</v>
      </c>
      <c r="H4315" t="str">
        <f t="shared" si="2066"/>
        <v>05/08/2025</v>
      </c>
      <c r="I4315" t="str">
        <f t="shared" si="2071"/>
        <v>01/01/2025</v>
      </c>
      <c r="J4315" t="str">
        <f t="shared" si="2051"/>
        <v>05/08/2025</v>
      </c>
      <c r="K4315">
        <v>71.069999999999993</v>
      </c>
      <c r="L4315">
        <v>71.069999999999993</v>
      </c>
      <c r="M4315">
        <v>108</v>
      </c>
      <c r="N4315" t="str">
        <f>"PRO LABORE - MARCELO"</f>
        <v>PRO LABORE - MARCELO</v>
      </c>
      <c r="O4315">
        <v>71.069999999999993</v>
      </c>
      <c r="R4315" t="str">
        <f>"CAIXA MOVIMENTAÇÃO OPERACIONAL (132)"</f>
        <v>CAIXA MOVIMENTAÇÃO OPERACIONAL (132)</v>
      </c>
      <c r="S4315">
        <v>2227</v>
      </c>
      <c r="T4315">
        <v>1796</v>
      </c>
      <c r="U4315" t="s">
        <v>25</v>
      </c>
    </row>
    <row r="4316" spans="1:21">
      <c r="A4316" t="str">
        <f t="shared" si="2049"/>
        <v>05/08/2025</v>
      </c>
      <c r="B4316" t="str">
        <f t="shared" si="2068"/>
        <v>SAÍDA</v>
      </c>
      <c r="C4316" t="str">
        <f t="shared" si="2069"/>
        <v>PIX</v>
      </c>
      <c r="D4316" t="str">
        <f>"05082510000"</f>
        <v>05082510000</v>
      </c>
      <c r="E4316" t="str">
        <f t="shared" si="2042"/>
        <v>COM</v>
      </c>
      <c r="F4316" t="str">
        <f>"MARCELO REZENDE ARANTES (20014)"</f>
        <v>MARCELO REZENDE ARANTES (20014)</v>
      </c>
      <c r="G4316" t="str">
        <f t="shared" si="2070"/>
        <v>REF. PRO-LABORE MES 07/2025</v>
      </c>
      <c r="H4316" t="str">
        <f t="shared" si="2066"/>
        <v>05/08/2025</v>
      </c>
      <c r="I4316" t="str">
        <f t="shared" si="2071"/>
        <v>01/01/2025</v>
      </c>
      <c r="J4316" t="str">
        <f t="shared" si="2051"/>
        <v>05/08/2025</v>
      </c>
      <c r="M4316">
        <v>108</v>
      </c>
      <c r="N4316" t="str">
        <f>"PRO LABORE - MARCELO"</f>
        <v>PRO LABORE - MARCELO</v>
      </c>
      <c r="P4316">
        <v>71.069999999999993</v>
      </c>
      <c r="Q4316" t="str">
        <f>"MARCELO REZENDE ARANTES (20014)"</f>
        <v>MARCELO REZENDE ARANTES (20014)</v>
      </c>
      <c r="R4316" t="str">
        <f>"CAIXA MOVIMENTAÇÃO OPERACIONAL (132)"</f>
        <v>CAIXA MOVIMENTAÇÃO OPERACIONAL (132)</v>
      </c>
      <c r="S4316">
        <v>2227</v>
      </c>
      <c r="T4316">
        <v>1796</v>
      </c>
      <c r="U4316" t="s">
        <v>25</v>
      </c>
    </row>
    <row r="4317" spans="1:21">
      <c r="A4317" t="str">
        <f t="shared" si="2049"/>
        <v>05/08/2025</v>
      </c>
      <c r="B4317" t="str">
        <f t="shared" si="2068"/>
        <v>SAÍDA</v>
      </c>
      <c r="C4317" t="str">
        <f t="shared" si="2069"/>
        <v>PIX</v>
      </c>
      <c r="D4317" t="str">
        <f>"0508252333333"</f>
        <v>0508252333333</v>
      </c>
      <c r="E4317" t="str">
        <f t="shared" si="2042"/>
        <v>COM</v>
      </c>
      <c r="F4317" t="str">
        <f>"LILIANE DE FATIMA REZENDE JUSTINO (20013)"</f>
        <v>LILIANE DE FATIMA REZENDE JUSTINO (20013)</v>
      </c>
      <c r="G4317" t="str">
        <f t="shared" si="2070"/>
        <v>REF. PRO-LABORE MES 07/2025</v>
      </c>
      <c r="H4317" t="str">
        <f t="shared" si="2066"/>
        <v>05/08/2025</v>
      </c>
      <c r="I4317" t="str">
        <f t="shared" si="2071"/>
        <v>01/01/2025</v>
      </c>
      <c r="J4317" t="str">
        <f t="shared" si="2051"/>
        <v>05/08/2025</v>
      </c>
      <c r="K4317">
        <v>23184.27</v>
      </c>
      <c r="L4317">
        <v>23184.27</v>
      </c>
      <c r="M4317">
        <v>124</v>
      </c>
      <c r="N4317" t="str">
        <f>"PRO LABORE - LILIANE"</f>
        <v>PRO LABORE - LILIANE</v>
      </c>
      <c r="O4317">
        <v>23184.27</v>
      </c>
      <c r="R4317" t="str">
        <f t="shared" ref="R4317:R4322" si="2072">"BANCO CORA (102)"</f>
        <v>BANCO CORA (102)</v>
      </c>
      <c r="S4317">
        <v>2301</v>
      </c>
      <c r="T4317">
        <v>570</v>
      </c>
      <c r="U4317" t="s">
        <v>19</v>
      </c>
    </row>
    <row r="4318" spans="1:21">
      <c r="A4318" t="str">
        <f t="shared" si="2049"/>
        <v>05/08/2025</v>
      </c>
      <c r="B4318" t="str">
        <f t="shared" si="2068"/>
        <v>SAÍDA</v>
      </c>
      <c r="C4318" t="str">
        <f t="shared" si="2069"/>
        <v>PIX</v>
      </c>
      <c r="D4318" t="str">
        <f>"0508252333333"</f>
        <v>0508252333333</v>
      </c>
      <c r="E4318" t="str">
        <f t="shared" si="2042"/>
        <v>COM</v>
      </c>
      <c r="F4318" t="str">
        <f>"LILIANE DE FATIMA REZENDE JUSTINO (20013)"</f>
        <v>LILIANE DE FATIMA REZENDE JUSTINO (20013)</v>
      </c>
      <c r="G4318" t="str">
        <f t="shared" si="2070"/>
        <v>REF. PRO-LABORE MES 07/2025</v>
      </c>
      <c r="H4318" t="str">
        <f t="shared" si="2066"/>
        <v>05/08/2025</v>
      </c>
      <c r="I4318" t="str">
        <f t="shared" si="2071"/>
        <v>01/01/2025</v>
      </c>
      <c r="J4318" t="str">
        <f t="shared" si="2051"/>
        <v>05/08/2025</v>
      </c>
      <c r="M4318">
        <v>124</v>
      </c>
      <c r="N4318" t="str">
        <f>"PRO LABORE - LILIANE"</f>
        <v>PRO LABORE - LILIANE</v>
      </c>
      <c r="P4318">
        <v>23184.27</v>
      </c>
      <c r="Q4318" t="str">
        <f>"LILIANE DE FATIMA REZENDE JUSTINO (20013)"</f>
        <v>LILIANE DE FATIMA REZENDE JUSTINO (20013)</v>
      </c>
      <c r="R4318" t="str">
        <f t="shared" si="2072"/>
        <v>BANCO CORA (102)</v>
      </c>
      <c r="S4318">
        <v>2301</v>
      </c>
      <c r="T4318">
        <v>570</v>
      </c>
      <c r="U4318" t="s">
        <v>19</v>
      </c>
    </row>
    <row r="4319" spans="1:21">
      <c r="A4319" t="str">
        <f t="shared" si="2049"/>
        <v>05/08/2025</v>
      </c>
      <c r="B4319" t="str">
        <f t="shared" si="2068"/>
        <v>SAÍDA</v>
      </c>
      <c r="C4319" t="str">
        <f t="shared" si="2069"/>
        <v>PIX</v>
      </c>
      <c r="D4319" t="str">
        <f>"0508251500"</f>
        <v>0508251500</v>
      </c>
      <c r="E4319" t="str">
        <f t="shared" si="2042"/>
        <v>COM</v>
      </c>
      <c r="F4319" t="str">
        <f>"LILIANE DE FATIMA REZENDE JUSTINO (20013)"</f>
        <v>LILIANE DE FATIMA REZENDE JUSTINO (20013)</v>
      </c>
      <c r="G4319" t="str">
        <f>"REF. PREST. SERVICO LILIANE 07/2025"</f>
        <v>REF. PREST. SERVICO LILIANE 07/2025</v>
      </c>
      <c r="H4319" t="str">
        <f t="shared" si="2066"/>
        <v>05/08/2025</v>
      </c>
      <c r="I4319" t="str">
        <f t="shared" si="2071"/>
        <v>01/01/2025</v>
      </c>
      <c r="J4319" t="str">
        <f t="shared" si="2051"/>
        <v>05/08/2025</v>
      </c>
      <c r="K4319">
        <v>1500</v>
      </c>
      <c r="L4319">
        <v>1500</v>
      </c>
      <c r="M4319">
        <v>103</v>
      </c>
      <c r="N4319" t="str">
        <f>"PAGAMENTO DE FUNCIONÁRIOS"</f>
        <v>PAGAMENTO DE FUNCIONÁRIOS</v>
      </c>
      <c r="O4319">
        <v>1500</v>
      </c>
      <c r="R4319" t="str">
        <f t="shared" si="2072"/>
        <v>BANCO CORA (102)</v>
      </c>
      <c r="S4319">
        <v>2302</v>
      </c>
      <c r="T4319">
        <v>582</v>
      </c>
      <c r="U4319" t="s">
        <v>19</v>
      </c>
    </row>
    <row r="4320" spans="1:21">
      <c r="A4320" t="str">
        <f t="shared" si="2049"/>
        <v>05/08/2025</v>
      </c>
      <c r="B4320" t="str">
        <f t="shared" si="2068"/>
        <v>SAÍDA</v>
      </c>
      <c r="C4320" t="str">
        <f t="shared" si="2069"/>
        <v>PIX</v>
      </c>
      <c r="D4320" t="str">
        <f>"0508251500"</f>
        <v>0508251500</v>
      </c>
      <c r="E4320" t="str">
        <f t="shared" si="2042"/>
        <v>COM</v>
      </c>
      <c r="F4320" t="str">
        <f>"LILIANE DE FATIMA REZENDE JUSTINO (20013)"</f>
        <v>LILIANE DE FATIMA REZENDE JUSTINO (20013)</v>
      </c>
      <c r="G4320" t="str">
        <f>"REF. PREST. SERVICO LILIANE 07/2025"</f>
        <v>REF. PREST. SERVICO LILIANE 07/2025</v>
      </c>
      <c r="H4320" t="str">
        <f t="shared" si="2066"/>
        <v>05/08/2025</v>
      </c>
      <c r="I4320" t="str">
        <f t="shared" si="2071"/>
        <v>01/01/2025</v>
      </c>
      <c r="J4320" t="str">
        <f t="shared" si="2051"/>
        <v>05/08/2025</v>
      </c>
      <c r="M4320">
        <v>103</v>
      </c>
      <c r="N4320" t="str">
        <f>"PAGAMENTO DE FUNCIONÁRIOS"</f>
        <v>PAGAMENTO DE FUNCIONÁRIOS</v>
      </c>
      <c r="P4320">
        <v>1500</v>
      </c>
      <c r="Q4320" t="str">
        <f>"LILIANE DE FATIMA REZENDE JUSTINO (20013)"</f>
        <v>LILIANE DE FATIMA REZENDE JUSTINO (20013)</v>
      </c>
      <c r="R4320" t="str">
        <f t="shared" si="2072"/>
        <v>BANCO CORA (102)</v>
      </c>
      <c r="S4320">
        <v>2302</v>
      </c>
      <c r="T4320">
        <v>582</v>
      </c>
      <c r="U4320" t="s">
        <v>19</v>
      </c>
    </row>
    <row r="4321" spans="1:21">
      <c r="A4321" t="str">
        <f t="shared" si="2049"/>
        <v>05/08/2025</v>
      </c>
      <c r="B4321" t="str">
        <f t="shared" si="2068"/>
        <v>SAÍDA</v>
      </c>
      <c r="C4321" t="str">
        <f t="shared" si="2069"/>
        <v>PIX</v>
      </c>
      <c r="D4321" t="str">
        <f>"05082510000"</f>
        <v>05082510000</v>
      </c>
      <c r="E4321" t="str">
        <f t="shared" si="2042"/>
        <v>COM</v>
      </c>
      <c r="F4321" t="str">
        <f>"MARCELO REZENDE ARANTES (20014)"</f>
        <v>MARCELO REZENDE ARANTES (20014)</v>
      </c>
      <c r="G4321" t="str">
        <f>"REF. PRO-LABORE MES 07/2025"</f>
        <v>REF. PRO-LABORE MES 07/2025</v>
      </c>
      <c r="H4321" t="str">
        <f t="shared" si="2066"/>
        <v>05/08/2025</v>
      </c>
      <c r="I4321" t="str">
        <f t="shared" si="2071"/>
        <v>01/01/2025</v>
      </c>
      <c r="J4321" t="str">
        <f t="shared" si="2051"/>
        <v>05/08/2025</v>
      </c>
      <c r="K4321">
        <v>6534.02</v>
      </c>
      <c r="L4321">
        <v>6534.02</v>
      </c>
      <c r="M4321">
        <v>108</v>
      </c>
      <c r="N4321" t="str">
        <f>"PRO LABORE - MARCELO"</f>
        <v>PRO LABORE - MARCELO</v>
      </c>
      <c r="O4321">
        <v>6534.02</v>
      </c>
      <c r="R4321" t="str">
        <f t="shared" si="2072"/>
        <v>BANCO CORA (102)</v>
      </c>
      <c r="S4321">
        <v>2303</v>
      </c>
      <c r="T4321">
        <v>594</v>
      </c>
      <c r="U4321" t="s">
        <v>19</v>
      </c>
    </row>
    <row r="4322" spans="1:21">
      <c r="A4322" t="str">
        <f t="shared" si="2049"/>
        <v>05/08/2025</v>
      </c>
      <c r="B4322" t="str">
        <f t="shared" si="2068"/>
        <v>SAÍDA</v>
      </c>
      <c r="C4322" t="str">
        <f t="shared" si="2069"/>
        <v>PIX</v>
      </c>
      <c r="D4322" t="str">
        <f>"05082510000"</f>
        <v>05082510000</v>
      </c>
      <c r="E4322" t="str">
        <f t="shared" si="2042"/>
        <v>COM</v>
      </c>
      <c r="F4322" t="str">
        <f>"MARCELO REZENDE ARANTES (20014)"</f>
        <v>MARCELO REZENDE ARANTES (20014)</v>
      </c>
      <c r="G4322" t="str">
        <f>"REF. PRO-LABORE MES 07/2025"</f>
        <v>REF. PRO-LABORE MES 07/2025</v>
      </c>
      <c r="H4322" t="str">
        <f t="shared" si="2066"/>
        <v>05/08/2025</v>
      </c>
      <c r="I4322" t="str">
        <f t="shared" si="2071"/>
        <v>01/01/2025</v>
      </c>
      <c r="J4322" t="str">
        <f t="shared" si="2051"/>
        <v>05/08/2025</v>
      </c>
      <c r="M4322">
        <v>108</v>
      </c>
      <c r="N4322" t="str">
        <f>"PRO LABORE - MARCELO"</f>
        <v>PRO LABORE - MARCELO</v>
      </c>
      <c r="P4322">
        <v>6534.02</v>
      </c>
      <c r="Q4322" t="str">
        <f>"MARCELO REZENDE ARANTES (20014)"</f>
        <v>MARCELO REZENDE ARANTES (20014)</v>
      </c>
      <c r="R4322" t="str">
        <f t="shared" si="2072"/>
        <v>BANCO CORA (102)</v>
      </c>
      <c r="S4322">
        <v>2303</v>
      </c>
      <c r="T4322">
        <v>594</v>
      </c>
      <c r="U4322" t="s">
        <v>19</v>
      </c>
    </row>
    <row r="4323" spans="1:21">
      <c r="A4323" t="str">
        <f t="shared" ref="A4323:A4354" si="2073">("06/08/2025")</f>
        <v>06/08/2025</v>
      </c>
      <c r="B4323" t="str">
        <f>"ENTRADA"</f>
        <v>ENTRADA</v>
      </c>
      <c r="C4323" t="str">
        <f t="shared" ref="C4323:C4354" si="2074">"NFSE"</f>
        <v>NFSE</v>
      </c>
      <c r="D4323" t="str">
        <f t="shared" ref="D4323:D4334" si="2075">"3277"</f>
        <v>3277</v>
      </c>
      <c r="E4323" t="str">
        <f t="shared" si="2042"/>
        <v>COM</v>
      </c>
      <c r="F4323" t="str">
        <f t="shared" ref="F4323:F4334" si="2076">"FARMÁCIA INDIANA LJ 30 (10127)"</f>
        <v>FARMÁCIA INDIANA LJ 30 (10127)</v>
      </c>
      <c r="G4323" t="str">
        <f t="shared" ref="G4323:G4334" si="2077">"Serv.Prest. 21/07/2025 a 24/07/2025 - RPS: 1044 - NFSe: 3277"</f>
        <v>Serv.Prest. 21/07/2025 a 24/07/2025 - RPS: 1044 - NFSe: 3277</v>
      </c>
      <c r="H4323" t="str">
        <f t="shared" ref="H4323:H4354" si="2078">("06/08/2025")</f>
        <v>06/08/2025</v>
      </c>
      <c r="I4323" t="str">
        <f t="shared" ref="I4323:I4354" si="2079">("25/07/2025")</f>
        <v>25/07/2025</v>
      </c>
      <c r="J4323" t="str">
        <f t="shared" ref="J4323:J4354" si="2080">("06/08/2025")</f>
        <v>06/08/2025</v>
      </c>
      <c r="K4323">
        <v>2289.5100000000002</v>
      </c>
      <c r="L4323">
        <v>2289.5100000000002</v>
      </c>
      <c r="M4323">
        <v>303</v>
      </c>
      <c r="N4323" t="str">
        <f t="shared" ref="N4323:N4354" si="2081">"RECEITAS COM ENTREGAS"</f>
        <v>RECEITAS COM ENTREGAS</v>
      </c>
      <c r="O4323">
        <v>2289.5100000000002</v>
      </c>
      <c r="R4323" t="str">
        <f t="shared" ref="R4323:R4354" si="2082">"RECEITAS COM ENTREGAS (303)"</f>
        <v>RECEITAS COM ENTREGAS (303)</v>
      </c>
      <c r="S4323">
        <v>2253</v>
      </c>
      <c r="T4323">
        <v>1659</v>
      </c>
      <c r="U4323" t="s">
        <v>19</v>
      </c>
    </row>
    <row r="4324" spans="1:21">
      <c r="A4324" t="str">
        <f t="shared" si="2073"/>
        <v>06/08/2025</v>
      </c>
      <c r="B4324" t="str">
        <f t="shared" ref="B4324:B4387" si="2083">"ENTRADA"</f>
        <v>ENTRADA</v>
      </c>
      <c r="C4324" t="str">
        <f t="shared" si="2074"/>
        <v>NFSE</v>
      </c>
      <c r="D4324" t="str">
        <f t="shared" si="2075"/>
        <v>3277</v>
      </c>
      <c r="E4324" t="str">
        <f t="shared" si="2042"/>
        <v>COM</v>
      </c>
      <c r="F4324" t="str">
        <f t="shared" si="2076"/>
        <v>FARMÁCIA INDIANA LJ 30 (10127)</v>
      </c>
      <c r="G4324" t="str">
        <f t="shared" si="2077"/>
        <v>Serv.Prest. 21/07/2025 a 24/07/2025 - RPS: 1044 - NFSe: 3277</v>
      </c>
      <c r="H4324" t="str">
        <f t="shared" si="2078"/>
        <v>06/08/2025</v>
      </c>
      <c r="I4324" t="str">
        <f t="shared" si="2079"/>
        <v>25/07/2025</v>
      </c>
      <c r="J4324" t="str">
        <f t="shared" si="2080"/>
        <v>06/08/2025</v>
      </c>
      <c r="M4324">
        <v>303</v>
      </c>
      <c r="N4324" t="str">
        <f t="shared" si="2081"/>
        <v>RECEITAS COM ENTREGAS</v>
      </c>
      <c r="P4324">
        <v>203.33</v>
      </c>
      <c r="Q4324" t="str">
        <f>"FARMÁCIA INDIANA LJ 34 (10014)"</f>
        <v>FARMÁCIA INDIANA LJ 34 (10014)</v>
      </c>
      <c r="R4324" t="str">
        <f t="shared" si="2082"/>
        <v>RECEITAS COM ENTREGAS (303)</v>
      </c>
      <c r="S4324">
        <v>2253</v>
      </c>
      <c r="T4324">
        <v>1659</v>
      </c>
      <c r="U4324" t="s">
        <v>19</v>
      </c>
    </row>
    <row r="4325" spans="1:21">
      <c r="A4325" t="str">
        <f t="shared" si="2073"/>
        <v>06/08/2025</v>
      </c>
      <c r="B4325" t="str">
        <f t="shared" si="2083"/>
        <v>ENTRADA</v>
      </c>
      <c r="C4325" t="str">
        <f t="shared" si="2074"/>
        <v>NFSE</v>
      </c>
      <c r="D4325" t="str">
        <f t="shared" si="2075"/>
        <v>3277</v>
      </c>
      <c r="E4325" t="str">
        <f t="shared" si="2042"/>
        <v>COM</v>
      </c>
      <c r="F4325" t="str">
        <f t="shared" si="2076"/>
        <v>FARMÁCIA INDIANA LJ 30 (10127)</v>
      </c>
      <c r="G4325" t="str">
        <f t="shared" si="2077"/>
        <v>Serv.Prest. 21/07/2025 a 24/07/2025 - RPS: 1044 - NFSe: 3277</v>
      </c>
      <c r="H4325" t="str">
        <f t="shared" si="2078"/>
        <v>06/08/2025</v>
      </c>
      <c r="I4325" t="str">
        <f t="shared" si="2079"/>
        <v>25/07/2025</v>
      </c>
      <c r="J4325" t="str">
        <f t="shared" si="2080"/>
        <v>06/08/2025</v>
      </c>
      <c r="M4325">
        <v>303</v>
      </c>
      <c r="N4325" t="str">
        <f t="shared" si="2081"/>
        <v>RECEITAS COM ENTREGAS</v>
      </c>
      <c r="P4325">
        <v>224.14</v>
      </c>
      <c r="Q4325" t="str">
        <f>"FARMÁCIA INDIANA LJ 35 (10015)"</f>
        <v>FARMÁCIA INDIANA LJ 35 (10015)</v>
      </c>
      <c r="R4325" t="str">
        <f t="shared" si="2082"/>
        <v>RECEITAS COM ENTREGAS (303)</v>
      </c>
      <c r="S4325">
        <v>2253</v>
      </c>
      <c r="T4325">
        <v>1659</v>
      </c>
      <c r="U4325" t="s">
        <v>19</v>
      </c>
    </row>
    <row r="4326" spans="1:21">
      <c r="A4326" t="str">
        <f t="shared" si="2073"/>
        <v>06/08/2025</v>
      </c>
      <c r="B4326" t="str">
        <f t="shared" si="2083"/>
        <v>ENTRADA</v>
      </c>
      <c r="C4326" t="str">
        <f t="shared" si="2074"/>
        <v>NFSE</v>
      </c>
      <c r="D4326" t="str">
        <f t="shared" si="2075"/>
        <v>3277</v>
      </c>
      <c r="E4326" t="str">
        <f t="shared" si="2042"/>
        <v>COM</v>
      </c>
      <c r="F4326" t="str">
        <f t="shared" si="2076"/>
        <v>FARMÁCIA INDIANA LJ 30 (10127)</v>
      </c>
      <c r="G4326" t="str">
        <f t="shared" si="2077"/>
        <v>Serv.Prest. 21/07/2025 a 24/07/2025 - RPS: 1044 - NFSe: 3277</v>
      </c>
      <c r="H4326" t="str">
        <f t="shared" si="2078"/>
        <v>06/08/2025</v>
      </c>
      <c r="I4326" t="str">
        <f t="shared" si="2079"/>
        <v>25/07/2025</v>
      </c>
      <c r="J4326" t="str">
        <f t="shared" si="2080"/>
        <v>06/08/2025</v>
      </c>
      <c r="M4326">
        <v>303</v>
      </c>
      <c r="N4326" t="str">
        <f t="shared" si="2081"/>
        <v>RECEITAS COM ENTREGAS</v>
      </c>
      <c r="P4326">
        <v>203.54</v>
      </c>
      <c r="Q4326" t="str">
        <f>"FARMÁCIA INDIANA LJ 48 (10018)"</f>
        <v>FARMÁCIA INDIANA LJ 48 (10018)</v>
      </c>
      <c r="R4326" t="str">
        <f t="shared" si="2082"/>
        <v>RECEITAS COM ENTREGAS (303)</v>
      </c>
      <c r="S4326">
        <v>2253</v>
      </c>
      <c r="T4326">
        <v>1659</v>
      </c>
      <c r="U4326" t="s">
        <v>19</v>
      </c>
    </row>
    <row r="4327" spans="1:21">
      <c r="A4327" t="str">
        <f t="shared" si="2073"/>
        <v>06/08/2025</v>
      </c>
      <c r="B4327" t="str">
        <f t="shared" si="2083"/>
        <v>ENTRADA</v>
      </c>
      <c r="C4327" t="str">
        <f t="shared" si="2074"/>
        <v>NFSE</v>
      </c>
      <c r="D4327" t="str">
        <f t="shared" si="2075"/>
        <v>3277</v>
      </c>
      <c r="E4327" t="str">
        <f t="shared" si="2042"/>
        <v>COM</v>
      </c>
      <c r="F4327" t="str">
        <f t="shared" si="2076"/>
        <v>FARMÁCIA INDIANA LJ 30 (10127)</v>
      </c>
      <c r="G4327" t="str">
        <f t="shared" si="2077"/>
        <v>Serv.Prest. 21/07/2025 a 24/07/2025 - RPS: 1044 - NFSe: 3277</v>
      </c>
      <c r="H4327" t="str">
        <f t="shared" si="2078"/>
        <v>06/08/2025</v>
      </c>
      <c r="I4327" t="str">
        <f t="shared" si="2079"/>
        <v>25/07/2025</v>
      </c>
      <c r="J4327" t="str">
        <f t="shared" si="2080"/>
        <v>06/08/2025</v>
      </c>
      <c r="M4327">
        <v>303</v>
      </c>
      <c r="N4327" t="str">
        <f t="shared" si="2081"/>
        <v>RECEITAS COM ENTREGAS</v>
      </c>
      <c r="P4327">
        <v>383.72</v>
      </c>
      <c r="Q4327" t="str">
        <f>"FARMÁCIA INDIANA LJ 65 (10030)"</f>
        <v>FARMÁCIA INDIANA LJ 65 (10030)</v>
      </c>
      <c r="R4327" t="str">
        <f t="shared" si="2082"/>
        <v>RECEITAS COM ENTREGAS (303)</v>
      </c>
      <c r="S4327">
        <v>2253</v>
      </c>
      <c r="T4327">
        <v>1659</v>
      </c>
      <c r="U4327" t="s">
        <v>19</v>
      </c>
    </row>
    <row r="4328" spans="1:21">
      <c r="A4328" t="str">
        <f t="shared" si="2073"/>
        <v>06/08/2025</v>
      </c>
      <c r="B4328" t="str">
        <f t="shared" si="2083"/>
        <v>ENTRADA</v>
      </c>
      <c r="C4328" t="str">
        <f t="shared" si="2074"/>
        <v>NFSE</v>
      </c>
      <c r="D4328" t="str">
        <f t="shared" si="2075"/>
        <v>3277</v>
      </c>
      <c r="E4328" t="str">
        <f t="shared" si="2042"/>
        <v>COM</v>
      </c>
      <c r="F4328" t="str">
        <f t="shared" si="2076"/>
        <v>FARMÁCIA INDIANA LJ 30 (10127)</v>
      </c>
      <c r="G4328" t="str">
        <f t="shared" si="2077"/>
        <v>Serv.Prest. 21/07/2025 a 24/07/2025 - RPS: 1044 - NFSe: 3277</v>
      </c>
      <c r="H4328" t="str">
        <f t="shared" si="2078"/>
        <v>06/08/2025</v>
      </c>
      <c r="I4328" t="str">
        <f t="shared" si="2079"/>
        <v>25/07/2025</v>
      </c>
      <c r="J4328" t="str">
        <f t="shared" si="2080"/>
        <v>06/08/2025</v>
      </c>
      <c r="M4328">
        <v>303</v>
      </c>
      <c r="N4328" t="str">
        <f t="shared" si="2081"/>
        <v>RECEITAS COM ENTREGAS</v>
      </c>
      <c r="P4328">
        <v>128.44</v>
      </c>
      <c r="Q4328" t="str">
        <f>"FARMÁCIA INDIANA LJ 77 (10034)"</f>
        <v>FARMÁCIA INDIANA LJ 77 (10034)</v>
      </c>
      <c r="R4328" t="str">
        <f t="shared" si="2082"/>
        <v>RECEITAS COM ENTREGAS (303)</v>
      </c>
      <c r="S4328">
        <v>2253</v>
      </c>
      <c r="T4328">
        <v>1659</v>
      </c>
      <c r="U4328" t="s">
        <v>19</v>
      </c>
    </row>
    <row r="4329" spans="1:21">
      <c r="A4329" t="str">
        <f t="shared" si="2073"/>
        <v>06/08/2025</v>
      </c>
      <c r="B4329" t="str">
        <f t="shared" si="2083"/>
        <v>ENTRADA</v>
      </c>
      <c r="C4329" t="str">
        <f t="shared" si="2074"/>
        <v>NFSE</v>
      </c>
      <c r="D4329" t="str">
        <f t="shared" si="2075"/>
        <v>3277</v>
      </c>
      <c r="E4329" t="str">
        <f t="shared" si="2042"/>
        <v>COM</v>
      </c>
      <c r="F4329" t="str">
        <f t="shared" si="2076"/>
        <v>FARMÁCIA INDIANA LJ 30 (10127)</v>
      </c>
      <c r="G4329" t="str">
        <f t="shared" si="2077"/>
        <v>Serv.Prest. 21/07/2025 a 24/07/2025 - RPS: 1044 - NFSe: 3277</v>
      </c>
      <c r="H4329" t="str">
        <f t="shared" si="2078"/>
        <v>06/08/2025</v>
      </c>
      <c r="I4329" t="str">
        <f t="shared" si="2079"/>
        <v>25/07/2025</v>
      </c>
      <c r="J4329" t="str">
        <f t="shared" si="2080"/>
        <v>06/08/2025</v>
      </c>
      <c r="M4329">
        <v>303</v>
      </c>
      <c r="N4329" t="str">
        <f t="shared" si="2081"/>
        <v>RECEITAS COM ENTREGAS</v>
      </c>
      <c r="P4329">
        <v>167.13</v>
      </c>
      <c r="Q4329" t="str">
        <f>"FARMÁCIA INDIANA LJ 91 (10037)"</f>
        <v>FARMÁCIA INDIANA LJ 91 (10037)</v>
      </c>
      <c r="R4329" t="str">
        <f t="shared" si="2082"/>
        <v>RECEITAS COM ENTREGAS (303)</v>
      </c>
      <c r="S4329">
        <v>2253</v>
      </c>
      <c r="T4329">
        <v>1659</v>
      </c>
      <c r="U4329" t="s">
        <v>19</v>
      </c>
    </row>
    <row r="4330" spans="1:21">
      <c r="A4330" t="str">
        <f t="shared" si="2073"/>
        <v>06/08/2025</v>
      </c>
      <c r="B4330" t="str">
        <f t="shared" si="2083"/>
        <v>ENTRADA</v>
      </c>
      <c r="C4330" t="str">
        <f t="shared" si="2074"/>
        <v>NFSE</v>
      </c>
      <c r="D4330" t="str">
        <f t="shared" si="2075"/>
        <v>3277</v>
      </c>
      <c r="E4330" t="str">
        <f t="shared" si="2042"/>
        <v>COM</v>
      </c>
      <c r="F4330" t="str">
        <f t="shared" si="2076"/>
        <v>FARMÁCIA INDIANA LJ 30 (10127)</v>
      </c>
      <c r="G4330" t="str">
        <f t="shared" si="2077"/>
        <v>Serv.Prest. 21/07/2025 a 24/07/2025 - RPS: 1044 - NFSe: 3277</v>
      </c>
      <c r="H4330" t="str">
        <f t="shared" si="2078"/>
        <v>06/08/2025</v>
      </c>
      <c r="I4330" t="str">
        <f t="shared" si="2079"/>
        <v>25/07/2025</v>
      </c>
      <c r="J4330" t="str">
        <f t="shared" si="2080"/>
        <v>06/08/2025</v>
      </c>
      <c r="M4330">
        <v>303</v>
      </c>
      <c r="N4330" t="str">
        <f t="shared" si="2081"/>
        <v>RECEITAS COM ENTREGAS</v>
      </c>
      <c r="P4330">
        <v>244.52</v>
      </c>
      <c r="Q4330" t="str">
        <f>"FARMÁCIA INDIANA LJ 95 (10039)"</f>
        <v>FARMÁCIA INDIANA LJ 95 (10039)</v>
      </c>
      <c r="R4330" t="str">
        <f t="shared" si="2082"/>
        <v>RECEITAS COM ENTREGAS (303)</v>
      </c>
      <c r="S4330">
        <v>2253</v>
      </c>
      <c r="T4330">
        <v>1659</v>
      </c>
      <c r="U4330" t="s">
        <v>19</v>
      </c>
    </row>
    <row r="4331" spans="1:21">
      <c r="A4331" t="str">
        <f t="shared" si="2073"/>
        <v>06/08/2025</v>
      </c>
      <c r="B4331" t="str">
        <f t="shared" si="2083"/>
        <v>ENTRADA</v>
      </c>
      <c r="C4331" t="str">
        <f t="shared" si="2074"/>
        <v>NFSE</v>
      </c>
      <c r="D4331" t="str">
        <f t="shared" si="2075"/>
        <v>3277</v>
      </c>
      <c r="E4331" t="str">
        <f t="shared" si="2042"/>
        <v>COM</v>
      </c>
      <c r="F4331" t="str">
        <f t="shared" si="2076"/>
        <v>FARMÁCIA INDIANA LJ 30 (10127)</v>
      </c>
      <c r="G4331" t="str">
        <f t="shared" si="2077"/>
        <v>Serv.Prest. 21/07/2025 a 24/07/2025 - RPS: 1044 - NFSe: 3277</v>
      </c>
      <c r="H4331" t="str">
        <f t="shared" si="2078"/>
        <v>06/08/2025</v>
      </c>
      <c r="I4331" t="str">
        <f t="shared" si="2079"/>
        <v>25/07/2025</v>
      </c>
      <c r="J4331" t="str">
        <f t="shared" si="2080"/>
        <v>06/08/2025</v>
      </c>
      <c r="M4331">
        <v>303</v>
      </c>
      <c r="N4331" t="str">
        <f t="shared" si="2081"/>
        <v>RECEITAS COM ENTREGAS</v>
      </c>
      <c r="P4331">
        <v>280.69</v>
      </c>
      <c r="Q4331" t="str">
        <f>"FARMÁCIA INDIANA LJ 145 (10068)"</f>
        <v>FARMÁCIA INDIANA LJ 145 (10068)</v>
      </c>
      <c r="R4331" t="str">
        <f t="shared" si="2082"/>
        <v>RECEITAS COM ENTREGAS (303)</v>
      </c>
      <c r="S4331">
        <v>2253</v>
      </c>
      <c r="T4331">
        <v>1659</v>
      </c>
      <c r="U4331" t="s">
        <v>19</v>
      </c>
    </row>
    <row r="4332" spans="1:21">
      <c r="A4332" t="str">
        <f t="shared" si="2073"/>
        <v>06/08/2025</v>
      </c>
      <c r="B4332" t="str">
        <f t="shared" si="2083"/>
        <v>ENTRADA</v>
      </c>
      <c r="C4332" t="str">
        <f t="shared" si="2074"/>
        <v>NFSE</v>
      </c>
      <c r="D4332" t="str">
        <f t="shared" si="2075"/>
        <v>3277</v>
      </c>
      <c r="E4332" t="str">
        <f t="shared" si="2042"/>
        <v>COM</v>
      </c>
      <c r="F4332" t="str">
        <f t="shared" si="2076"/>
        <v>FARMÁCIA INDIANA LJ 30 (10127)</v>
      </c>
      <c r="G4332" t="str">
        <f t="shared" si="2077"/>
        <v>Serv.Prest. 21/07/2025 a 24/07/2025 - RPS: 1044 - NFSe: 3277</v>
      </c>
      <c r="H4332" t="str">
        <f t="shared" si="2078"/>
        <v>06/08/2025</v>
      </c>
      <c r="I4332" t="str">
        <f t="shared" si="2079"/>
        <v>25/07/2025</v>
      </c>
      <c r="J4332" t="str">
        <f t="shared" si="2080"/>
        <v>06/08/2025</v>
      </c>
      <c r="M4332">
        <v>303</v>
      </c>
      <c r="N4332" t="str">
        <f t="shared" si="2081"/>
        <v>RECEITAS COM ENTREGAS</v>
      </c>
      <c r="P4332">
        <v>90.66</v>
      </c>
      <c r="Q4332" t="str">
        <f>"FARMÁCIA INDIANA LJ 169 (10073)"</f>
        <v>FARMÁCIA INDIANA LJ 169 (10073)</v>
      </c>
      <c r="R4332" t="str">
        <f t="shared" si="2082"/>
        <v>RECEITAS COM ENTREGAS (303)</v>
      </c>
      <c r="S4332">
        <v>2253</v>
      </c>
      <c r="T4332">
        <v>1659</v>
      </c>
      <c r="U4332" t="s">
        <v>19</v>
      </c>
    </row>
    <row r="4333" spans="1:21">
      <c r="A4333" t="str">
        <f t="shared" si="2073"/>
        <v>06/08/2025</v>
      </c>
      <c r="B4333" t="str">
        <f t="shared" si="2083"/>
        <v>ENTRADA</v>
      </c>
      <c r="C4333" t="str">
        <f t="shared" si="2074"/>
        <v>NFSE</v>
      </c>
      <c r="D4333" t="str">
        <f t="shared" si="2075"/>
        <v>3277</v>
      </c>
      <c r="E4333" t="str">
        <f t="shared" si="2042"/>
        <v>COM</v>
      </c>
      <c r="F4333" t="str">
        <f t="shared" si="2076"/>
        <v>FARMÁCIA INDIANA LJ 30 (10127)</v>
      </c>
      <c r="G4333" t="str">
        <f t="shared" si="2077"/>
        <v>Serv.Prest. 21/07/2025 a 24/07/2025 - RPS: 1044 - NFSe: 3277</v>
      </c>
      <c r="H4333" t="str">
        <f t="shared" si="2078"/>
        <v>06/08/2025</v>
      </c>
      <c r="I4333" t="str">
        <f t="shared" si="2079"/>
        <v>25/07/2025</v>
      </c>
      <c r="J4333" t="str">
        <f t="shared" si="2080"/>
        <v>06/08/2025</v>
      </c>
      <c r="M4333">
        <v>303</v>
      </c>
      <c r="N4333" t="str">
        <f t="shared" si="2081"/>
        <v>RECEITAS COM ENTREGAS</v>
      </c>
      <c r="P4333">
        <v>191.86</v>
      </c>
      <c r="Q4333" t="str">
        <f>"FARMÁCIA INDIANA LJ 173 (10075)"</f>
        <v>FARMÁCIA INDIANA LJ 173 (10075)</v>
      </c>
      <c r="R4333" t="str">
        <f t="shared" si="2082"/>
        <v>RECEITAS COM ENTREGAS (303)</v>
      </c>
      <c r="S4333">
        <v>2253</v>
      </c>
      <c r="T4333">
        <v>1659</v>
      </c>
      <c r="U4333" t="s">
        <v>19</v>
      </c>
    </row>
    <row r="4334" spans="1:21">
      <c r="A4334" t="str">
        <f t="shared" si="2073"/>
        <v>06/08/2025</v>
      </c>
      <c r="B4334" t="str">
        <f t="shared" si="2083"/>
        <v>ENTRADA</v>
      </c>
      <c r="C4334" t="str">
        <f t="shared" si="2074"/>
        <v>NFSE</v>
      </c>
      <c r="D4334" t="str">
        <f t="shared" si="2075"/>
        <v>3277</v>
      </c>
      <c r="E4334" t="str">
        <f t="shared" si="2042"/>
        <v>COM</v>
      </c>
      <c r="F4334" t="str">
        <f t="shared" si="2076"/>
        <v>FARMÁCIA INDIANA LJ 30 (10127)</v>
      </c>
      <c r="G4334" t="str">
        <f t="shared" si="2077"/>
        <v>Serv.Prest. 21/07/2025 a 24/07/2025 - RPS: 1044 - NFSe: 3277</v>
      </c>
      <c r="H4334" t="str">
        <f t="shared" si="2078"/>
        <v>06/08/2025</v>
      </c>
      <c r="I4334" t="str">
        <f t="shared" si="2079"/>
        <v>25/07/2025</v>
      </c>
      <c r="J4334" t="str">
        <f t="shared" si="2080"/>
        <v>06/08/2025</v>
      </c>
      <c r="M4334">
        <v>303</v>
      </c>
      <c r="N4334" t="str">
        <f t="shared" si="2081"/>
        <v>RECEITAS COM ENTREGAS</v>
      </c>
      <c r="P4334">
        <v>171.48</v>
      </c>
      <c r="Q4334" t="str">
        <f>"FARMÁCIA INDIANA LJ 200 (10155)"</f>
        <v>FARMÁCIA INDIANA LJ 200 (10155)</v>
      </c>
      <c r="R4334" t="str">
        <f t="shared" si="2082"/>
        <v>RECEITAS COM ENTREGAS (303)</v>
      </c>
      <c r="S4334">
        <v>2253</v>
      </c>
      <c r="T4334">
        <v>1659</v>
      </c>
      <c r="U4334" t="s">
        <v>19</v>
      </c>
    </row>
    <row r="4335" spans="1:21">
      <c r="A4335" t="str">
        <f t="shared" si="2073"/>
        <v>06/08/2025</v>
      </c>
      <c r="B4335" t="str">
        <f t="shared" si="2083"/>
        <v>ENTRADA</v>
      </c>
      <c r="C4335" t="str">
        <f t="shared" si="2074"/>
        <v>NFSE</v>
      </c>
      <c r="D4335" t="str">
        <f t="shared" ref="D4335:D4343" si="2084">"3276"</f>
        <v>3276</v>
      </c>
      <c r="E4335" t="str">
        <f t="shared" ref="E4335:E4398" si="2085">"COM"</f>
        <v>COM</v>
      </c>
      <c r="F4335" t="str">
        <f t="shared" ref="F4335:F4343" si="2086">"FARMÁCIA INDIANA LJ 85 (10128)"</f>
        <v>FARMÁCIA INDIANA LJ 85 (10128)</v>
      </c>
      <c r="G4335" t="str">
        <f t="shared" ref="G4335:G4343" si="2087">"Serv.Prest. 21/07/2025 a 25/07/2025 - RPS: 1043 - NFSe: 3276"</f>
        <v>Serv.Prest. 21/07/2025 a 25/07/2025 - RPS: 1043 - NFSe: 3276</v>
      </c>
      <c r="H4335" t="str">
        <f t="shared" si="2078"/>
        <v>06/08/2025</v>
      </c>
      <c r="I4335" t="str">
        <f t="shared" si="2079"/>
        <v>25/07/2025</v>
      </c>
      <c r="J4335" t="str">
        <f t="shared" si="2080"/>
        <v>06/08/2025</v>
      </c>
      <c r="K4335">
        <v>1108.1600000000001</v>
      </c>
      <c r="L4335">
        <v>1108.1600000000001</v>
      </c>
      <c r="M4335">
        <v>303</v>
      </c>
      <c r="N4335" t="str">
        <f t="shared" si="2081"/>
        <v>RECEITAS COM ENTREGAS</v>
      </c>
      <c r="O4335">
        <v>1108.1600000000001</v>
      </c>
      <c r="R4335" t="str">
        <f t="shared" si="2082"/>
        <v>RECEITAS COM ENTREGAS (303)</v>
      </c>
      <c r="S4335">
        <v>2254</v>
      </c>
      <c r="T4335">
        <v>1657</v>
      </c>
      <c r="U4335" t="s">
        <v>19</v>
      </c>
    </row>
    <row r="4336" spans="1:21">
      <c r="A4336" t="str">
        <f t="shared" si="2073"/>
        <v>06/08/2025</v>
      </c>
      <c r="B4336" t="str">
        <f t="shared" si="2083"/>
        <v>ENTRADA</v>
      </c>
      <c r="C4336" t="str">
        <f t="shared" si="2074"/>
        <v>NFSE</v>
      </c>
      <c r="D4336" t="str">
        <f t="shared" si="2084"/>
        <v>3276</v>
      </c>
      <c r="E4336" t="str">
        <f t="shared" si="2085"/>
        <v>COM</v>
      </c>
      <c r="F4336" t="str">
        <f t="shared" si="2086"/>
        <v>FARMÁCIA INDIANA LJ 85 (10128)</v>
      </c>
      <c r="G4336" t="str">
        <f t="shared" si="2087"/>
        <v>Serv.Prest. 21/07/2025 a 25/07/2025 - RPS: 1043 - NFSe: 3276</v>
      </c>
      <c r="H4336" t="str">
        <f t="shared" si="2078"/>
        <v>06/08/2025</v>
      </c>
      <c r="I4336" t="str">
        <f t="shared" si="2079"/>
        <v>25/07/2025</v>
      </c>
      <c r="J4336" t="str">
        <f t="shared" si="2080"/>
        <v>06/08/2025</v>
      </c>
      <c r="M4336">
        <v>303</v>
      </c>
      <c r="N4336" t="str">
        <f t="shared" si="2081"/>
        <v>RECEITAS COM ENTREGAS</v>
      </c>
      <c r="P4336">
        <v>162.02000000000001</v>
      </c>
      <c r="Q4336" t="str">
        <f>"FARMÁCIA INDIANA LJ 119 (10053)"</f>
        <v>FARMÁCIA INDIANA LJ 119 (10053)</v>
      </c>
      <c r="R4336" t="str">
        <f t="shared" si="2082"/>
        <v>RECEITAS COM ENTREGAS (303)</v>
      </c>
      <c r="S4336">
        <v>2254</v>
      </c>
      <c r="T4336">
        <v>1657</v>
      </c>
      <c r="U4336" t="s">
        <v>19</v>
      </c>
    </row>
    <row r="4337" spans="1:21">
      <c r="A4337" t="str">
        <f t="shared" si="2073"/>
        <v>06/08/2025</v>
      </c>
      <c r="B4337" t="str">
        <f t="shared" si="2083"/>
        <v>ENTRADA</v>
      </c>
      <c r="C4337" t="str">
        <f t="shared" si="2074"/>
        <v>NFSE</v>
      </c>
      <c r="D4337" t="str">
        <f t="shared" si="2084"/>
        <v>3276</v>
      </c>
      <c r="E4337" t="str">
        <f t="shared" si="2085"/>
        <v>COM</v>
      </c>
      <c r="F4337" t="str">
        <f t="shared" si="2086"/>
        <v>FARMÁCIA INDIANA LJ 85 (10128)</v>
      </c>
      <c r="G4337" t="str">
        <f t="shared" si="2087"/>
        <v>Serv.Prest. 21/07/2025 a 25/07/2025 - RPS: 1043 - NFSe: 3276</v>
      </c>
      <c r="H4337" t="str">
        <f t="shared" si="2078"/>
        <v>06/08/2025</v>
      </c>
      <c r="I4337" t="str">
        <f t="shared" si="2079"/>
        <v>25/07/2025</v>
      </c>
      <c r="J4337" t="str">
        <f t="shared" si="2080"/>
        <v>06/08/2025</v>
      </c>
      <c r="M4337">
        <v>303</v>
      </c>
      <c r="N4337" t="str">
        <f t="shared" si="2081"/>
        <v>RECEITAS COM ENTREGAS</v>
      </c>
      <c r="P4337">
        <v>135.97</v>
      </c>
      <c r="Q4337" t="str">
        <f>"FARMÁCIA INDIANA LJ 163 (10072)"</f>
        <v>FARMÁCIA INDIANA LJ 163 (10072)</v>
      </c>
      <c r="R4337" t="str">
        <f t="shared" si="2082"/>
        <v>RECEITAS COM ENTREGAS (303)</v>
      </c>
      <c r="S4337">
        <v>2254</v>
      </c>
      <c r="T4337">
        <v>1657</v>
      </c>
      <c r="U4337" t="s">
        <v>19</v>
      </c>
    </row>
    <row r="4338" spans="1:21">
      <c r="A4338" t="str">
        <f t="shared" si="2073"/>
        <v>06/08/2025</v>
      </c>
      <c r="B4338" t="str">
        <f t="shared" si="2083"/>
        <v>ENTRADA</v>
      </c>
      <c r="C4338" t="str">
        <f t="shared" si="2074"/>
        <v>NFSE</v>
      </c>
      <c r="D4338" t="str">
        <f t="shared" si="2084"/>
        <v>3276</v>
      </c>
      <c r="E4338" t="str">
        <f t="shared" si="2085"/>
        <v>COM</v>
      </c>
      <c r="F4338" t="str">
        <f t="shared" si="2086"/>
        <v>FARMÁCIA INDIANA LJ 85 (10128)</v>
      </c>
      <c r="G4338" t="str">
        <f t="shared" si="2087"/>
        <v>Serv.Prest. 21/07/2025 a 25/07/2025 - RPS: 1043 - NFSe: 3276</v>
      </c>
      <c r="H4338" t="str">
        <f t="shared" si="2078"/>
        <v>06/08/2025</v>
      </c>
      <c r="I4338" t="str">
        <f t="shared" si="2079"/>
        <v>25/07/2025</v>
      </c>
      <c r="J4338" t="str">
        <f t="shared" si="2080"/>
        <v>06/08/2025</v>
      </c>
      <c r="M4338">
        <v>303</v>
      </c>
      <c r="N4338" t="str">
        <f t="shared" si="2081"/>
        <v>RECEITAS COM ENTREGAS</v>
      </c>
      <c r="P4338">
        <v>133.19999999999999</v>
      </c>
      <c r="Q4338" t="str">
        <f>"FARMÁCIA INDIANA LJ 181 (10078)"</f>
        <v>FARMÁCIA INDIANA LJ 181 (10078)</v>
      </c>
      <c r="R4338" t="str">
        <f t="shared" si="2082"/>
        <v>RECEITAS COM ENTREGAS (303)</v>
      </c>
      <c r="S4338">
        <v>2254</v>
      </c>
      <c r="T4338">
        <v>1657</v>
      </c>
      <c r="U4338" t="s">
        <v>19</v>
      </c>
    </row>
    <row r="4339" spans="1:21">
      <c r="A4339" t="str">
        <f t="shared" si="2073"/>
        <v>06/08/2025</v>
      </c>
      <c r="B4339" t="str">
        <f t="shared" si="2083"/>
        <v>ENTRADA</v>
      </c>
      <c r="C4339" t="str">
        <f t="shared" si="2074"/>
        <v>NFSE</v>
      </c>
      <c r="D4339" t="str">
        <f t="shared" si="2084"/>
        <v>3276</v>
      </c>
      <c r="E4339" t="str">
        <f t="shared" si="2085"/>
        <v>COM</v>
      </c>
      <c r="F4339" t="str">
        <f t="shared" si="2086"/>
        <v>FARMÁCIA INDIANA LJ 85 (10128)</v>
      </c>
      <c r="G4339" t="str">
        <f t="shared" si="2087"/>
        <v>Serv.Prest. 21/07/2025 a 25/07/2025 - RPS: 1043 - NFSe: 3276</v>
      </c>
      <c r="H4339" t="str">
        <f t="shared" si="2078"/>
        <v>06/08/2025</v>
      </c>
      <c r="I4339" t="str">
        <f t="shared" si="2079"/>
        <v>25/07/2025</v>
      </c>
      <c r="J4339" t="str">
        <f t="shared" si="2080"/>
        <v>06/08/2025</v>
      </c>
      <c r="M4339">
        <v>303</v>
      </c>
      <c r="N4339" t="str">
        <f t="shared" si="2081"/>
        <v>RECEITAS COM ENTREGAS</v>
      </c>
      <c r="P4339">
        <v>161.68</v>
      </c>
      <c r="Q4339" t="str">
        <f>"FARMÁCIA INDIANA LJ 221 (10093)"</f>
        <v>FARMÁCIA INDIANA LJ 221 (10093)</v>
      </c>
      <c r="R4339" t="str">
        <f t="shared" si="2082"/>
        <v>RECEITAS COM ENTREGAS (303)</v>
      </c>
      <c r="S4339">
        <v>2254</v>
      </c>
      <c r="T4339">
        <v>1657</v>
      </c>
      <c r="U4339" t="s">
        <v>19</v>
      </c>
    </row>
    <row r="4340" spans="1:21">
      <c r="A4340" t="str">
        <f t="shared" si="2073"/>
        <v>06/08/2025</v>
      </c>
      <c r="B4340" t="str">
        <f t="shared" si="2083"/>
        <v>ENTRADA</v>
      </c>
      <c r="C4340" t="str">
        <f t="shared" si="2074"/>
        <v>NFSE</v>
      </c>
      <c r="D4340" t="str">
        <f t="shared" si="2084"/>
        <v>3276</v>
      </c>
      <c r="E4340" t="str">
        <f t="shared" si="2085"/>
        <v>COM</v>
      </c>
      <c r="F4340" t="str">
        <f t="shared" si="2086"/>
        <v>FARMÁCIA INDIANA LJ 85 (10128)</v>
      </c>
      <c r="G4340" t="str">
        <f t="shared" si="2087"/>
        <v>Serv.Prest. 21/07/2025 a 25/07/2025 - RPS: 1043 - NFSe: 3276</v>
      </c>
      <c r="H4340" t="str">
        <f t="shared" si="2078"/>
        <v>06/08/2025</v>
      </c>
      <c r="I4340" t="str">
        <f t="shared" si="2079"/>
        <v>25/07/2025</v>
      </c>
      <c r="J4340" t="str">
        <f t="shared" si="2080"/>
        <v>06/08/2025</v>
      </c>
      <c r="M4340">
        <v>303</v>
      </c>
      <c r="N4340" t="str">
        <f t="shared" si="2081"/>
        <v>RECEITAS COM ENTREGAS</v>
      </c>
      <c r="P4340">
        <v>170.77</v>
      </c>
      <c r="Q4340" t="str">
        <f>"FARMÁCIA INDIANA LJ 243 (10142)"</f>
        <v>FARMÁCIA INDIANA LJ 243 (10142)</v>
      </c>
      <c r="R4340" t="str">
        <f t="shared" si="2082"/>
        <v>RECEITAS COM ENTREGAS (303)</v>
      </c>
      <c r="S4340">
        <v>2254</v>
      </c>
      <c r="T4340">
        <v>1657</v>
      </c>
      <c r="U4340" t="s">
        <v>19</v>
      </c>
    </row>
    <row r="4341" spans="1:21">
      <c r="A4341" t="str">
        <f t="shared" si="2073"/>
        <v>06/08/2025</v>
      </c>
      <c r="B4341" t="str">
        <f t="shared" si="2083"/>
        <v>ENTRADA</v>
      </c>
      <c r="C4341" t="str">
        <f t="shared" si="2074"/>
        <v>NFSE</v>
      </c>
      <c r="D4341" t="str">
        <f t="shared" si="2084"/>
        <v>3276</v>
      </c>
      <c r="E4341" t="str">
        <f t="shared" si="2085"/>
        <v>COM</v>
      </c>
      <c r="F4341" t="str">
        <f t="shared" si="2086"/>
        <v>FARMÁCIA INDIANA LJ 85 (10128)</v>
      </c>
      <c r="G4341" t="str">
        <f t="shared" si="2087"/>
        <v>Serv.Prest. 21/07/2025 a 25/07/2025 - RPS: 1043 - NFSe: 3276</v>
      </c>
      <c r="H4341" t="str">
        <f t="shared" si="2078"/>
        <v>06/08/2025</v>
      </c>
      <c r="I4341" t="str">
        <f t="shared" si="2079"/>
        <v>25/07/2025</v>
      </c>
      <c r="J4341" t="str">
        <f t="shared" si="2080"/>
        <v>06/08/2025</v>
      </c>
      <c r="M4341">
        <v>303</v>
      </c>
      <c r="N4341" t="str">
        <f t="shared" si="2081"/>
        <v>RECEITAS COM ENTREGAS</v>
      </c>
      <c r="P4341">
        <v>86.1</v>
      </c>
      <c r="Q4341" t="str">
        <f>"FARMÁCIA INDIANA LJ 211 (10168)"</f>
        <v>FARMÁCIA INDIANA LJ 211 (10168)</v>
      </c>
      <c r="R4341" t="str">
        <f t="shared" si="2082"/>
        <v>RECEITAS COM ENTREGAS (303)</v>
      </c>
      <c r="S4341">
        <v>2254</v>
      </c>
      <c r="T4341">
        <v>1657</v>
      </c>
      <c r="U4341" t="s">
        <v>19</v>
      </c>
    </row>
    <row r="4342" spans="1:21">
      <c r="A4342" t="str">
        <f t="shared" si="2073"/>
        <v>06/08/2025</v>
      </c>
      <c r="B4342" t="str">
        <f t="shared" si="2083"/>
        <v>ENTRADA</v>
      </c>
      <c r="C4342" t="str">
        <f t="shared" si="2074"/>
        <v>NFSE</v>
      </c>
      <c r="D4342" t="str">
        <f t="shared" si="2084"/>
        <v>3276</v>
      </c>
      <c r="E4342" t="str">
        <f t="shared" si="2085"/>
        <v>COM</v>
      </c>
      <c r="F4342" t="str">
        <f t="shared" si="2086"/>
        <v>FARMÁCIA INDIANA LJ 85 (10128)</v>
      </c>
      <c r="G4342" t="str">
        <f t="shared" si="2087"/>
        <v>Serv.Prest. 21/07/2025 a 25/07/2025 - RPS: 1043 - NFSe: 3276</v>
      </c>
      <c r="H4342" t="str">
        <f t="shared" si="2078"/>
        <v>06/08/2025</v>
      </c>
      <c r="I4342" t="str">
        <f t="shared" si="2079"/>
        <v>25/07/2025</v>
      </c>
      <c r="J4342" t="str">
        <f t="shared" si="2080"/>
        <v>06/08/2025</v>
      </c>
      <c r="M4342">
        <v>303</v>
      </c>
      <c r="N4342" t="str">
        <f t="shared" si="2081"/>
        <v>RECEITAS COM ENTREGAS</v>
      </c>
      <c r="P4342">
        <v>86.1</v>
      </c>
      <c r="Q4342" t="str">
        <f>"FARMÁCIA INDIANA LJ 236 (10169)"</f>
        <v>FARMÁCIA INDIANA LJ 236 (10169)</v>
      </c>
      <c r="R4342" t="str">
        <f t="shared" si="2082"/>
        <v>RECEITAS COM ENTREGAS (303)</v>
      </c>
      <c r="S4342">
        <v>2254</v>
      </c>
      <c r="T4342">
        <v>1657</v>
      </c>
      <c r="U4342" t="s">
        <v>19</v>
      </c>
    </row>
    <row r="4343" spans="1:21">
      <c r="A4343" t="str">
        <f t="shared" si="2073"/>
        <v>06/08/2025</v>
      </c>
      <c r="B4343" t="str">
        <f t="shared" si="2083"/>
        <v>ENTRADA</v>
      </c>
      <c r="C4343" t="str">
        <f t="shared" si="2074"/>
        <v>NFSE</v>
      </c>
      <c r="D4343" t="str">
        <f t="shared" si="2084"/>
        <v>3276</v>
      </c>
      <c r="E4343" t="str">
        <f t="shared" si="2085"/>
        <v>COM</v>
      </c>
      <c r="F4343" t="str">
        <f t="shared" si="2086"/>
        <v>FARMÁCIA INDIANA LJ 85 (10128)</v>
      </c>
      <c r="G4343" t="str">
        <f t="shared" si="2087"/>
        <v>Serv.Prest. 21/07/2025 a 25/07/2025 - RPS: 1043 - NFSe: 3276</v>
      </c>
      <c r="H4343" t="str">
        <f t="shared" si="2078"/>
        <v>06/08/2025</v>
      </c>
      <c r="I4343" t="str">
        <f t="shared" si="2079"/>
        <v>25/07/2025</v>
      </c>
      <c r="J4343" t="str">
        <f t="shared" si="2080"/>
        <v>06/08/2025</v>
      </c>
      <c r="M4343">
        <v>303</v>
      </c>
      <c r="N4343" t="str">
        <f t="shared" si="2081"/>
        <v>RECEITAS COM ENTREGAS</v>
      </c>
      <c r="P4343">
        <v>172.32</v>
      </c>
      <c r="Q4343" t="str">
        <f>"FARMÁCIA INDIANA LJ 188 (10176)"</f>
        <v>FARMÁCIA INDIANA LJ 188 (10176)</v>
      </c>
      <c r="R4343" t="str">
        <f t="shared" si="2082"/>
        <v>RECEITAS COM ENTREGAS (303)</v>
      </c>
      <c r="S4343">
        <v>2254</v>
      </c>
      <c r="T4343">
        <v>1657</v>
      </c>
      <c r="U4343" t="s">
        <v>19</v>
      </c>
    </row>
    <row r="4344" spans="1:21">
      <c r="A4344" t="str">
        <f t="shared" si="2073"/>
        <v>06/08/2025</v>
      </c>
      <c r="B4344" t="str">
        <f t="shared" si="2083"/>
        <v>ENTRADA</v>
      </c>
      <c r="C4344" t="str">
        <f t="shared" si="2074"/>
        <v>NFSE</v>
      </c>
      <c r="D4344" t="str">
        <f t="shared" ref="D4344:D4389" si="2088">"3278"</f>
        <v>3278</v>
      </c>
      <c r="E4344" t="str">
        <f t="shared" si="2085"/>
        <v>COM</v>
      </c>
      <c r="F4344" t="str">
        <f t="shared" ref="F4344:F4389" si="2089">"FARMÁCIA INDIANA LJ 1 (10126)"</f>
        <v>FARMÁCIA INDIANA LJ 1 (10126)</v>
      </c>
      <c r="G4344" t="str">
        <f t="shared" ref="G4344:G4389" si="2090">"Serv.Prest. 21/07/2025 a 24/07/2025 - RPS: 1045 - NFSe: 3278"</f>
        <v>Serv.Prest. 21/07/2025 a 24/07/2025 - RPS: 1045 - NFSe: 3278</v>
      </c>
      <c r="H4344" t="str">
        <f t="shared" si="2078"/>
        <v>06/08/2025</v>
      </c>
      <c r="I4344" t="str">
        <f t="shared" si="2079"/>
        <v>25/07/2025</v>
      </c>
      <c r="J4344" t="str">
        <f t="shared" si="2080"/>
        <v>06/08/2025</v>
      </c>
      <c r="K4344">
        <v>9822.91</v>
      </c>
      <c r="L4344">
        <v>9822.91</v>
      </c>
      <c r="M4344">
        <v>303</v>
      </c>
      <c r="N4344" t="str">
        <f t="shared" si="2081"/>
        <v>RECEITAS COM ENTREGAS</v>
      </c>
      <c r="O4344">
        <v>9822.91</v>
      </c>
      <c r="R4344" t="str">
        <f t="shared" si="2082"/>
        <v>RECEITAS COM ENTREGAS (303)</v>
      </c>
      <c r="S4344">
        <v>2255</v>
      </c>
      <c r="T4344">
        <v>1732</v>
      </c>
      <c r="U4344" t="s">
        <v>19</v>
      </c>
    </row>
    <row r="4345" spans="1:21">
      <c r="A4345" t="str">
        <f t="shared" si="2073"/>
        <v>06/08/2025</v>
      </c>
      <c r="B4345" t="str">
        <f t="shared" si="2083"/>
        <v>ENTRADA</v>
      </c>
      <c r="C4345" t="str">
        <f t="shared" si="2074"/>
        <v>NFSE</v>
      </c>
      <c r="D4345" t="str">
        <f t="shared" si="2088"/>
        <v>3278</v>
      </c>
      <c r="E4345" t="str">
        <f t="shared" si="2085"/>
        <v>COM</v>
      </c>
      <c r="F4345" t="str">
        <f t="shared" si="2089"/>
        <v>FARMÁCIA INDIANA LJ 1 (10126)</v>
      </c>
      <c r="G4345" t="str">
        <f t="shared" si="2090"/>
        <v>Serv.Prest. 21/07/2025 a 24/07/2025 - RPS: 1045 - NFSe: 3278</v>
      </c>
      <c r="H4345" t="str">
        <f t="shared" si="2078"/>
        <v>06/08/2025</v>
      </c>
      <c r="I4345" t="str">
        <f t="shared" si="2079"/>
        <v>25/07/2025</v>
      </c>
      <c r="J4345" t="str">
        <f t="shared" si="2080"/>
        <v>06/08/2025</v>
      </c>
      <c r="M4345">
        <v>303</v>
      </c>
      <c r="N4345" t="str">
        <f t="shared" si="2081"/>
        <v>RECEITAS COM ENTREGAS</v>
      </c>
      <c r="P4345">
        <v>1070.72</v>
      </c>
      <c r="Q4345" t="str">
        <f>"FARMÁCIA INDIANA LJ 06 (10006)"</f>
        <v>FARMÁCIA INDIANA LJ 06 (10006)</v>
      </c>
      <c r="R4345" t="str">
        <f t="shared" si="2082"/>
        <v>RECEITAS COM ENTREGAS (303)</v>
      </c>
      <c r="S4345">
        <v>2255</v>
      </c>
      <c r="T4345">
        <v>1732</v>
      </c>
      <c r="U4345" t="s">
        <v>19</v>
      </c>
    </row>
    <row r="4346" spans="1:21">
      <c r="A4346" t="str">
        <f t="shared" si="2073"/>
        <v>06/08/2025</v>
      </c>
      <c r="B4346" t="str">
        <f t="shared" si="2083"/>
        <v>ENTRADA</v>
      </c>
      <c r="C4346" t="str">
        <f t="shared" si="2074"/>
        <v>NFSE</v>
      </c>
      <c r="D4346" t="str">
        <f t="shared" si="2088"/>
        <v>3278</v>
      </c>
      <c r="E4346" t="str">
        <f t="shared" si="2085"/>
        <v>COM</v>
      </c>
      <c r="F4346" t="str">
        <f t="shared" si="2089"/>
        <v>FARMÁCIA INDIANA LJ 1 (10126)</v>
      </c>
      <c r="G4346" t="str">
        <f t="shared" si="2090"/>
        <v>Serv.Prest. 21/07/2025 a 24/07/2025 - RPS: 1045 - NFSe: 3278</v>
      </c>
      <c r="H4346" t="str">
        <f t="shared" si="2078"/>
        <v>06/08/2025</v>
      </c>
      <c r="I4346" t="str">
        <f t="shared" si="2079"/>
        <v>25/07/2025</v>
      </c>
      <c r="J4346" t="str">
        <f t="shared" si="2080"/>
        <v>06/08/2025</v>
      </c>
      <c r="M4346">
        <v>303</v>
      </c>
      <c r="N4346" t="str">
        <f t="shared" si="2081"/>
        <v>RECEITAS COM ENTREGAS</v>
      </c>
      <c r="P4346">
        <v>795.66</v>
      </c>
      <c r="Q4346" t="str">
        <f>"FARMÁCIA INDIANA LJ 07 (10007)"</f>
        <v>FARMÁCIA INDIANA LJ 07 (10007)</v>
      </c>
      <c r="R4346" t="str">
        <f t="shared" si="2082"/>
        <v>RECEITAS COM ENTREGAS (303)</v>
      </c>
      <c r="S4346">
        <v>2255</v>
      </c>
      <c r="T4346">
        <v>1732</v>
      </c>
      <c r="U4346" t="s">
        <v>19</v>
      </c>
    </row>
    <row r="4347" spans="1:21">
      <c r="A4347" t="str">
        <f t="shared" si="2073"/>
        <v>06/08/2025</v>
      </c>
      <c r="B4347" t="str">
        <f t="shared" si="2083"/>
        <v>ENTRADA</v>
      </c>
      <c r="C4347" t="str">
        <f t="shared" si="2074"/>
        <v>NFSE</v>
      </c>
      <c r="D4347" t="str">
        <f t="shared" si="2088"/>
        <v>3278</v>
      </c>
      <c r="E4347" t="str">
        <f t="shared" si="2085"/>
        <v>COM</v>
      </c>
      <c r="F4347" t="str">
        <f t="shared" si="2089"/>
        <v>FARMÁCIA INDIANA LJ 1 (10126)</v>
      </c>
      <c r="G4347" t="str">
        <f t="shared" si="2090"/>
        <v>Serv.Prest. 21/07/2025 a 24/07/2025 - RPS: 1045 - NFSe: 3278</v>
      </c>
      <c r="H4347" t="str">
        <f t="shared" si="2078"/>
        <v>06/08/2025</v>
      </c>
      <c r="I4347" t="str">
        <f t="shared" si="2079"/>
        <v>25/07/2025</v>
      </c>
      <c r="J4347" t="str">
        <f t="shared" si="2080"/>
        <v>06/08/2025</v>
      </c>
      <c r="M4347">
        <v>303</v>
      </c>
      <c r="N4347" t="str">
        <f t="shared" si="2081"/>
        <v>RECEITAS COM ENTREGAS</v>
      </c>
      <c r="P4347">
        <v>592.32000000000005</v>
      </c>
      <c r="Q4347" t="str">
        <f>"FARMÁCIA INDIANA LJ 11 (10008)"</f>
        <v>FARMÁCIA INDIANA LJ 11 (10008)</v>
      </c>
      <c r="R4347" t="str">
        <f t="shared" si="2082"/>
        <v>RECEITAS COM ENTREGAS (303)</v>
      </c>
      <c r="S4347">
        <v>2255</v>
      </c>
      <c r="T4347">
        <v>1732</v>
      </c>
      <c r="U4347" t="s">
        <v>19</v>
      </c>
    </row>
    <row r="4348" spans="1:21">
      <c r="A4348" t="str">
        <f t="shared" si="2073"/>
        <v>06/08/2025</v>
      </c>
      <c r="B4348" t="str">
        <f t="shared" si="2083"/>
        <v>ENTRADA</v>
      </c>
      <c r="C4348" t="str">
        <f t="shared" si="2074"/>
        <v>NFSE</v>
      </c>
      <c r="D4348" t="str">
        <f t="shared" si="2088"/>
        <v>3278</v>
      </c>
      <c r="E4348" t="str">
        <f t="shared" si="2085"/>
        <v>COM</v>
      </c>
      <c r="F4348" t="str">
        <f t="shared" si="2089"/>
        <v>FARMÁCIA INDIANA LJ 1 (10126)</v>
      </c>
      <c r="G4348" t="str">
        <f t="shared" si="2090"/>
        <v>Serv.Prest. 21/07/2025 a 24/07/2025 - RPS: 1045 - NFSe: 3278</v>
      </c>
      <c r="H4348" t="str">
        <f t="shared" si="2078"/>
        <v>06/08/2025</v>
      </c>
      <c r="I4348" t="str">
        <f t="shared" si="2079"/>
        <v>25/07/2025</v>
      </c>
      <c r="J4348" t="str">
        <f t="shared" si="2080"/>
        <v>06/08/2025</v>
      </c>
      <c r="M4348">
        <v>303</v>
      </c>
      <c r="N4348" t="str">
        <f t="shared" si="2081"/>
        <v>RECEITAS COM ENTREGAS</v>
      </c>
      <c r="P4348">
        <v>274.06</v>
      </c>
      <c r="Q4348" t="str">
        <f>"FARMÁCIA INDIANA LJ 14 (10009)"</f>
        <v>FARMÁCIA INDIANA LJ 14 (10009)</v>
      </c>
      <c r="R4348" t="str">
        <f t="shared" si="2082"/>
        <v>RECEITAS COM ENTREGAS (303)</v>
      </c>
      <c r="S4348">
        <v>2255</v>
      </c>
      <c r="T4348">
        <v>1732</v>
      </c>
      <c r="U4348" t="s">
        <v>19</v>
      </c>
    </row>
    <row r="4349" spans="1:21">
      <c r="A4349" t="str">
        <f t="shared" si="2073"/>
        <v>06/08/2025</v>
      </c>
      <c r="B4349" t="str">
        <f t="shared" si="2083"/>
        <v>ENTRADA</v>
      </c>
      <c r="C4349" t="str">
        <f t="shared" si="2074"/>
        <v>NFSE</v>
      </c>
      <c r="D4349" t="str">
        <f t="shared" si="2088"/>
        <v>3278</v>
      </c>
      <c r="E4349" t="str">
        <f t="shared" si="2085"/>
        <v>COM</v>
      </c>
      <c r="F4349" t="str">
        <f t="shared" si="2089"/>
        <v>FARMÁCIA INDIANA LJ 1 (10126)</v>
      </c>
      <c r="G4349" t="str">
        <f t="shared" si="2090"/>
        <v>Serv.Prest. 21/07/2025 a 24/07/2025 - RPS: 1045 - NFSe: 3278</v>
      </c>
      <c r="H4349" t="str">
        <f t="shared" si="2078"/>
        <v>06/08/2025</v>
      </c>
      <c r="I4349" t="str">
        <f t="shared" si="2079"/>
        <v>25/07/2025</v>
      </c>
      <c r="J4349" t="str">
        <f t="shared" si="2080"/>
        <v>06/08/2025</v>
      </c>
      <c r="M4349">
        <v>303</v>
      </c>
      <c r="N4349" t="str">
        <f t="shared" si="2081"/>
        <v>RECEITAS COM ENTREGAS</v>
      </c>
      <c r="P4349">
        <v>202.35</v>
      </c>
      <c r="Q4349" t="str">
        <f>"FARMÁCIA INDIANA LJ 18 (10011)"</f>
        <v>FARMÁCIA INDIANA LJ 18 (10011)</v>
      </c>
      <c r="R4349" t="str">
        <f t="shared" si="2082"/>
        <v>RECEITAS COM ENTREGAS (303)</v>
      </c>
      <c r="S4349">
        <v>2255</v>
      </c>
      <c r="T4349">
        <v>1732</v>
      </c>
      <c r="U4349" t="s">
        <v>19</v>
      </c>
    </row>
    <row r="4350" spans="1:21">
      <c r="A4350" t="str">
        <f t="shared" si="2073"/>
        <v>06/08/2025</v>
      </c>
      <c r="B4350" t="str">
        <f t="shared" si="2083"/>
        <v>ENTRADA</v>
      </c>
      <c r="C4350" t="str">
        <f t="shared" si="2074"/>
        <v>NFSE</v>
      </c>
      <c r="D4350" t="str">
        <f t="shared" si="2088"/>
        <v>3278</v>
      </c>
      <c r="E4350" t="str">
        <f t="shared" si="2085"/>
        <v>COM</v>
      </c>
      <c r="F4350" t="str">
        <f t="shared" si="2089"/>
        <v>FARMÁCIA INDIANA LJ 1 (10126)</v>
      </c>
      <c r="G4350" t="str">
        <f t="shared" si="2090"/>
        <v>Serv.Prest. 21/07/2025 a 24/07/2025 - RPS: 1045 - NFSe: 3278</v>
      </c>
      <c r="H4350" t="str">
        <f t="shared" si="2078"/>
        <v>06/08/2025</v>
      </c>
      <c r="I4350" t="str">
        <f t="shared" si="2079"/>
        <v>25/07/2025</v>
      </c>
      <c r="J4350" t="str">
        <f t="shared" si="2080"/>
        <v>06/08/2025</v>
      </c>
      <c r="M4350">
        <v>303</v>
      </c>
      <c r="N4350" t="str">
        <f t="shared" si="2081"/>
        <v>RECEITAS COM ENTREGAS</v>
      </c>
      <c r="P4350">
        <v>216.1</v>
      </c>
      <c r="Q4350" t="str">
        <f>"FARMÁCIA INDIANA LJ 19 (10012)"</f>
        <v>FARMÁCIA INDIANA LJ 19 (10012)</v>
      </c>
      <c r="R4350" t="str">
        <f t="shared" si="2082"/>
        <v>RECEITAS COM ENTREGAS (303)</v>
      </c>
      <c r="S4350">
        <v>2255</v>
      </c>
      <c r="T4350">
        <v>1732</v>
      </c>
      <c r="U4350" t="s">
        <v>19</v>
      </c>
    </row>
    <row r="4351" spans="1:21">
      <c r="A4351" t="str">
        <f t="shared" si="2073"/>
        <v>06/08/2025</v>
      </c>
      <c r="B4351" t="str">
        <f t="shared" si="2083"/>
        <v>ENTRADA</v>
      </c>
      <c r="C4351" t="str">
        <f t="shared" si="2074"/>
        <v>NFSE</v>
      </c>
      <c r="D4351" t="str">
        <f t="shared" si="2088"/>
        <v>3278</v>
      </c>
      <c r="E4351" t="str">
        <f t="shared" si="2085"/>
        <v>COM</v>
      </c>
      <c r="F4351" t="str">
        <f t="shared" si="2089"/>
        <v>FARMÁCIA INDIANA LJ 1 (10126)</v>
      </c>
      <c r="G4351" t="str">
        <f t="shared" si="2090"/>
        <v>Serv.Prest. 21/07/2025 a 24/07/2025 - RPS: 1045 - NFSe: 3278</v>
      </c>
      <c r="H4351" t="str">
        <f t="shared" si="2078"/>
        <v>06/08/2025</v>
      </c>
      <c r="I4351" t="str">
        <f t="shared" si="2079"/>
        <v>25/07/2025</v>
      </c>
      <c r="J4351" t="str">
        <f t="shared" si="2080"/>
        <v>06/08/2025</v>
      </c>
      <c r="M4351">
        <v>303</v>
      </c>
      <c r="N4351" t="str">
        <f t="shared" si="2081"/>
        <v>RECEITAS COM ENTREGAS</v>
      </c>
      <c r="P4351">
        <v>529.45000000000005</v>
      </c>
      <c r="Q4351" t="str">
        <f>"FARMÁCIA INDIANA LJ 40 (10016)"</f>
        <v>FARMÁCIA INDIANA LJ 40 (10016)</v>
      </c>
      <c r="R4351" t="str">
        <f t="shared" si="2082"/>
        <v>RECEITAS COM ENTREGAS (303)</v>
      </c>
      <c r="S4351">
        <v>2255</v>
      </c>
      <c r="T4351">
        <v>1732</v>
      </c>
      <c r="U4351" t="s">
        <v>19</v>
      </c>
    </row>
    <row r="4352" spans="1:21">
      <c r="A4352" t="str">
        <f t="shared" si="2073"/>
        <v>06/08/2025</v>
      </c>
      <c r="B4352" t="str">
        <f t="shared" si="2083"/>
        <v>ENTRADA</v>
      </c>
      <c r="C4352" t="str">
        <f t="shared" si="2074"/>
        <v>NFSE</v>
      </c>
      <c r="D4352" t="str">
        <f t="shared" si="2088"/>
        <v>3278</v>
      </c>
      <c r="E4352" t="str">
        <f t="shared" si="2085"/>
        <v>COM</v>
      </c>
      <c r="F4352" t="str">
        <f t="shared" si="2089"/>
        <v>FARMÁCIA INDIANA LJ 1 (10126)</v>
      </c>
      <c r="G4352" t="str">
        <f t="shared" si="2090"/>
        <v>Serv.Prest. 21/07/2025 a 24/07/2025 - RPS: 1045 - NFSe: 3278</v>
      </c>
      <c r="H4352" t="str">
        <f t="shared" si="2078"/>
        <v>06/08/2025</v>
      </c>
      <c r="I4352" t="str">
        <f t="shared" si="2079"/>
        <v>25/07/2025</v>
      </c>
      <c r="J4352" t="str">
        <f t="shared" si="2080"/>
        <v>06/08/2025</v>
      </c>
      <c r="M4352">
        <v>303</v>
      </c>
      <c r="N4352" t="str">
        <f t="shared" si="2081"/>
        <v>RECEITAS COM ENTREGAS</v>
      </c>
      <c r="P4352">
        <v>203.33</v>
      </c>
      <c r="Q4352" t="str">
        <f>"FARMÁCIA INDIANA LJ 59 (10026)"</f>
        <v>FARMÁCIA INDIANA LJ 59 (10026)</v>
      </c>
      <c r="R4352" t="str">
        <f t="shared" si="2082"/>
        <v>RECEITAS COM ENTREGAS (303)</v>
      </c>
      <c r="S4352">
        <v>2255</v>
      </c>
      <c r="T4352">
        <v>1732</v>
      </c>
      <c r="U4352" t="s">
        <v>19</v>
      </c>
    </row>
    <row r="4353" spans="1:21">
      <c r="A4353" t="str">
        <f t="shared" si="2073"/>
        <v>06/08/2025</v>
      </c>
      <c r="B4353" t="str">
        <f t="shared" si="2083"/>
        <v>ENTRADA</v>
      </c>
      <c r="C4353" t="str">
        <f t="shared" si="2074"/>
        <v>NFSE</v>
      </c>
      <c r="D4353" t="str">
        <f t="shared" si="2088"/>
        <v>3278</v>
      </c>
      <c r="E4353" t="str">
        <f t="shared" si="2085"/>
        <v>COM</v>
      </c>
      <c r="F4353" t="str">
        <f t="shared" si="2089"/>
        <v>FARMÁCIA INDIANA LJ 1 (10126)</v>
      </c>
      <c r="G4353" t="str">
        <f t="shared" si="2090"/>
        <v>Serv.Prest. 21/07/2025 a 24/07/2025 - RPS: 1045 - NFSe: 3278</v>
      </c>
      <c r="H4353" t="str">
        <f t="shared" si="2078"/>
        <v>06/08/2025</v>
      </c>
      <c r="I4353" t="str">
        <f t="shared" si="2079"/>
        <v>25/07/2025</v>
      </c>
      <c r="J4353" t="str">
        <f t="shared" si="2080"/>
        <v>06/08/2025</v>
      </c>
      <c r="M4353">
        <v>303</v>
      </c>
      <c r="N4353" t="str">
        <f t="shared" si="2081"/>
        <v>RECEITAS COM ENTREGAS</v>
      </c>
      <c r="P4353">
        <v>269.14999999999998</v>
      </c>
      <c r="Q4353" t="str">
        <f>"FARMÁCIA INDIANA LJ 61 (10027)"</f>
        <v>FARMÁCIA INDIANA LJ 61 (10027)</v>
      </c>
      <c r="R4353" t="str">
        <f t="shared" si="2082"/>
        <v>RECEITAS COM ENTREGAS (303)</v>
      </c>
      <c r="S4353">
        <v>2255</v>
      </c>
      <c r="T4353">
        <v>1732</v>
      </c>
      <c r="U4353" t="s">
        <v>19</v>
      </c>
    </row>
    <row r="4354" spans="1:21">
      <c r="A4354" t="str">
        <f t="shared" si="2073"/>
        <v>06/08/2025</v>
      </c>
      <c r="B4354" t="str">
        <f t="shared" si="2083"/>
        <v>ENTRADA</v>
      </c>
      <c r="C4354" t="str">
        <f t="shared" si="2074"/>
        <v>NFSE</v>
      </c>
      <c r="D4354" t="str">
        <f t="shared" si="2088"/>
        <v>3278</v>
      </c>
      <c r="E4354" t="str">
        <f t="shared" si="2085"/>
        <v>COM</v>
      </c>
      <c r="F4354" t="str">
        <f t="shared" si="2089"/>
        <v>FARMÁCIA INDIANA LJ 1 (10126)</v>
      </c>
      <c r="G4354" t="str">
        <f t="shared" si="2090"/>
        <v>Serv.Prest. 21/07/2025 a 24/07/2025 - RPS: 1045 - NFSe: 3278</v>
      </c>
      <c r="H4354" t="str">
        <f t="shared" si="2078"/>
        <v>06/08/2025</v>
      </c>
      <c r="I4354" t="str">
        <f t="shared" si="2079"/>
        <v>25/07/2025</v>
      </c>
      <c r="J4354" t="str">
        <f t="shared" si="2080"/>
        <v>06/08/2025</v>
      </c>
      <c r="M4354">
        <v>303</v>
      </c>
      <c r="N4354" t="str">
        <f t="shared" si="2081"/>
        <v>RECEITAS COM ENTREGAS</v>
      </c>
      <c r="P4354">
        <v>258.33999999999997</v>
      </c>
      <c r="Q4354" t="str">
        <f>"FARMÁCIA INDIANA LJ 62 (10028)"</f>
        <v>FARMÁCIA INDIANA LJ 62 (10028)</v>
      </c>
      <c r="R4354" t="str">
        <f t="shared" si="2082"/>
        <v>RECEITAS COM ENTREGAS (303)</v>
      </c>
      <c r="S4354">
        <v>2255</v>
      </c>
      <c r="T4354">
        <v>1732</v>
      </c>
      <c r="U4354" t="s">
        <v>19</v>
      </c>
    </row>
    <row r="4355" spans="1:21">
      <c r="A4355" t="str">
        <f t="shared" ref="A4355:A4386" si="2091">("06/08/2025")</f>
        <v>06/08/2025</v>
      </c>
      <c r="B4355" t="str">
        <f t="shared" si="2083"/>
        <v>ENTRADA</v>
      </c>
      <c r="C4355" t="str">
        <f t="shared" ref="C4355:C4386" si="2092">"NFSE"</f>
        <v>NFSE</v>
      </c>
      <c r="D4355" t="str">
        <f t="shared" si="2088"/>
        <v>3278</v>
      </c>
      <c r="E4355" t="str">
        <f t="shared" si="2085"/>
        <v>COM</v>
      </c>
      <c r="F4355" t="str">
        <f t="shared" si="2089"/>
        <v>FARMÁCIA INDIANA LJ 1 (10126)</v>
      </c>
      <c r="G4355" t="str">
        <f t="shared" si="2090"/>
        <v>Serv.Prest. 21/07/2025 a 24/07/2025 - RPS: 1045 - NFSe: 3278</v>
      </c>
      <c r="H4355" t="str">
        <f t="shared" ref="H4355:H4386" si="2093">("06/08/2025")</f>
        <v>06/08/2025</v>
      </c>
      <c r="I4355" t="str">
        <f t="shared" ref="I4355:I4389" si="2094">("25/07/2025")</f>
        <v>25/07/2025</v>
      </c>
      <c r="J4355" t="str">
        <f t="shared" ref="J4355:J4386" si="2095">("06/08/2025")</f>
        <v>06/08/2025</v>
      </c>
      <c r="M4355">
        <v>303</v>
      </c>
      <c r="N4355" t="str">
        <f t="shared" ref="N4355:N4386" si="2096">"RECEITAS COM ENTREGAS"</f>
        <v>RECEITAS COM ENTREGAS</v>
      </c>
      <c r="P4355">
        <v>107.07</v>
      </c>
      <c r="Q4355" t="str">
        <f>"FARMÁCIA INDIANA LJ 64 (10029)"</f>
        <v>FARMÁCIA INDIANA LJ 64 (10029)</v>
      </c>
      <c r="R4355" t="str">
        <f t="shared" ref="R4355:R4386" si="2097">"RECEITAS COM ENTREGAS (303)"</f>
        <v>RECEITAS COM ENTREGAS (303)</v>
      </c>
      <c r="S4355">
        <v>2255</v>
      </c>
      <c r="T4355">
        <v>1732</v>
      </c>
      <c r="U4355" t="s">
        <v>19</v>
      </c>
    </row>
    <row r="4356" spans="1:21">
      <c r="A4356" t="str">
        <f t="shared" si="2091"/>
        <v>06/08/2025</v>
      </c>
      <c r="B4356" t="str">
        <f t="shared" si="2083"/>
        <v>ENTRADA</v>
      </c>
      <c r="C4356" t="str">
        <f t="shared" si="2092"/>
        <v>NFSE</v>
      </c>
      <c r="D4356" t="str">
        <f t="shared" si="2088"/>
        <v>3278</v>
      </c>
      <c r="E4356" t="str">
        <f t="shared" si="2085"/>
        <v>COM</v>
      </c>
      <c r="F4356" t="str">
        <f t="shared" si="2089"/>
        <v>FARMÁCIA INDIANA LJ 1 (10126)</v>
      </c>
      <c r="G4356" t="str">
        <f t="shared" si="2090"/>
        <v>Serv.Prest. 21/07/2025 a 24/07/2025 - RPS: 1045 - NFSe: 3278</v>
      </c>
      <c r="H4356" t="str">
        <f t="shared" si="2093"/>
        <v>06/08/2025</v>
      </c>
      <c r="I4356" t="str">
        <f t="shared" si="2094"/>
        <v>25/07/2025</v>
      </c>
      <c r="J4356" t="str">
        <f t="shared" si="2095"/>
        <v>06/08/2025</v>
      </c>
      <c r="M4356">
        <v>303</v>
      </c>
      <c r="N4356" t="str">
        <f t="shared" si="2096"/>
        <v>RECEITAS COM ENTREGAS</v>
      </c>
      <c r="P4356">
        <v>65.81</v>
      </c>
      <c r="Q4356" t="str">
        <f>"FARMÁCIA INDIANA LJ 97 (10040)"</f>
        <v>FARMÁCIA INDIANA LJ 97 (10040)</v>
      </c>
      <c r="R4356" t="str">
        <f t="shared" si="2097"/>
        <v>RECEITAS COM ENTREGAS (303)</v>
      </c>
      <c r="S4356">
        <v>2255</v>
      </c>
      <c r="T4356">
        <v>1732</v>
      </c>
      <c r="U4356" t="s">
        <v>19</v>
      </c>
    </row>
    <row r="4357" spans="1:21">
      <c r="A4357" t="str">
        <f t="shared" si="2091"/>
        <v>06/08/2025</v>
      </c>
      <c r="B4357" t="str">
        <f t="shared" si="2083"/>
        <v>ENTRADA</v>
      </c>
      <c r="C4357" t="str">
        <f t="shared" si="2092"/>
        <v>NFSE</v>
      </c>
      <c r="D4357" t="str">
        <f t="shared" si="2088"/>
        <v>3278</v>
      </c>
      <c r="E4357" t="str">
        <f t="shared" si="2085"/>
        <v>COM</v>
      </c>
      <c r="F4357" t="str">
        <f t="shared" si="2089"/>
        <v>FARMÁCIA INDIANA LJ 1 (10126)</v>
      </c>
      <c r="G4357" t="str">
        <f t="shared" si="2090"/>
        <v>Serv.Prest. 21/07/2025 a 24/07/2025 - RPS: 1045 - NFSe: 3278</v>
      </c>
      <c r="H4357" t="str">
        <f t="shared" si="2093"/>
        <v>06/08/2025</v>
      </c>
      <c r="I4357" t="str">
        <f t="shared" si="2094"/>
        <v>25/07/2025</v>
      </c>
      <c r="J4357" t="str">
        <f t="shared" si="2095"/>
        <v>06/08/2025</v>
      </c>
      <c r="M4357">
        <v>303</v>
      </c>
      <c r="N4357" t="str">
        <f t="shared" si="2096"/>
        <v>RECEITAS COM ENTREGAS</v>
      </c>
      <c r="P4357">
        <v>300.58</v>
      </c>
      <c r="Q4357" t="str">
        <f>"FARMÁCIA INDIANA LJ 100 (10042)"</f>
        <v>FARMÁCIA INDIANA LJ 100 (10042)</v>
      </c>
      <c r="R4357" t="str">
        <f t="shared" si="2097"/>
        <v>RECEITAS COM ENTREGAS (303)</v>
      </c>
      <c r="S4357">
        <v>2255</v>
      </c>
      <c r="T4357">
        <v>1732</v>
      </c>
      <c r="U4357" t="s">
        <v>19</v>
      </c>
    </row>
    <row r="4358" spans="1:21">
      <c r="A4358" t="str">
        <f t="shared" si="2091"/>
        <v>06/08/2025</v>
      </c>
      <c r="B4358" t="str">
        <f t="shared" si="2083"/>
        <v>ENTRADA</v>
      </c>
      <c r="C4358" t="str">
        <f t="shared" si="2092"/>
        <v>NFSE</v>
      </c>
      <c r="D4358" t="str">
        <f t="shared" si="2088"/>
        <v>3278</v>
      </c>
      <c r="E4358" t="str">
        <f t="shared" si="2085"/>
        <v>COM</v>
      </c>
      <c r="F4358" t="str">
        <f t="shared" si="2089"/>
        <v>FARMÁCIA INDIANA LJ 1 (10126)</v>
      </c>
      <c r="G4358" t="str">
        <f t="shared" si="2090"/>
        <v>Serv.Prest. 21/07/2025 a 24/07/2025 - RPS: 1045 - NFSe: 3278</v>
      </c>
      <c r="H4358" t="str">
        <f t="shared" si="2093"/>
        <v>06/08/2025</v>
      </c>
      <c r="I4358" t="str">
        <f t="shared" si="2094"/>
        <v>25/07/2025</v>
      </c>
      <c r="J4358" t="str">
        <f t="shared" si="2095"/>
        <v>06/08/2025</v>
      </c>
      <c r="M4358">
        <v>303</v>
      </c>
      <c r="N4358" t="str">
        <f t="shared" si="2096"/>
        <v>RECEITAS COM ENTREGAS</v>
      </c>
      <c r="P4358">
        <v>517.66999999999996</v>
      </c>
      <c r="Q4358" t="str">
        <f>"FARMÁCIA INDIANA LJ 101 (10043)"</f>
        <v>FARMÁCIA INDIANA LJ 101 (10043)</v>
      </c>
      <c r="R4358" t="str">
        <f t="shared" si="2097"/>
        <v>RECEITAS COM ENTREGAS (303)</v>
      </c>
      <c r="S4358">
        <v>2255</v>
      </c>
      <c r="T4358">
        <v>1732</v>
      </c>
      <c r="U4358" t="s">
        <v>19</v>
      </c>
    </row>
    <row r="4359" spans="1:21">
      <c r="A4359" t="str">
        <f t="shared" si="2091"/>
        <v>06/08/2025</v>
      </c>
      <c r="B4359" t="str">
        <f t="shared" si="2083"/>
        <v>ENTRADA</v>
      </c>
      <c r="C4359" t="str">
        <f t="shared" si="2092"/>
        <v>NFSE</v>
      </c>
      <c r="D4359" t="str">
        <f t="shared" si="2088"/>
        <v>3278</v>
      </c>
      <c r="E4359" t="str">
        <f t="shared" si="2085"/>
        <v>COM</v>
      </c>
      <c r="F4359" t="str">
        <f t="shared" si="2089"/>
        <v>FARMÁCIA INDIANA LJ 1 (10126)</v>
      </c>
      <c r="G4359" t="str">
        <f t="shared" si="2090"/>
        <v>Serv.Prest. 21/07/2025 a 24/07/2025 - RPS: 1045 - NFSe: 3278</v>
      </c>
      <c r="H4359" t="str">
        <f t="shared" si="2093"/>
        <v>06/08/2025</v>
      </c>
      <c r="I4359" t="str">
        <f t="shared" si="2094"/>
        <v>25/07/2025</v>
      </c>
      <c r="J4359" t="str">
        <f t="shared" si="2095"/>
        <v>06/08/2025</v>
      </c>
      <c r="M4359">
        <v>303</v>
      </c>
      <c r="N4359" t="str">
        <f t="shared" si="2096"/>
        <v>RECEITAS COM ENTREGAS</v>
      </c>
      <c r="P4359">
        <v>66.8</v>
      </c>
      <c r="Q4359" t="str">
        <f>"FARMÁCIA INDIANA LJ 103 (10044)"</f>
        <v>FARMÁCIA INDIANA LJ 103 (10044)</v>
      </c>
      <c r="R4359" t="str">
        <f t="shared" si="2097"/>
        <v>RECEITAS COM ENTREGAS (303)</v>
      </c>
      <c r="S4359">
        <v>2255</v>
      </c>
      <c r="T4359">
        <v>1732</v>
      </c>
      <c r="U4359" t="s">
        <v>19</v>
      </c>
    </row>
    <row r="4360" spans="1:21">
      <c r="A4360" t="str">
        <f t="shared" si="2091"/>
        <v>06/08/2025</v>
      </c>
      <c r="B4360" t="str">
        <f t="shared" si="2083"/>
        <v>ENTRADA</v>
      </c>
      <c r="C4360" t="str">
        <f t="shared" si="2092"/>
        <v>NFSE</v>
      </c>
      <c r="D4360" t="str">
        <f t="shared" si="2088"/>
        <v>3278</v>
      </c>
      <c r="E4360" t="str">
        <f t="shared" si="2085"/>
        <v>COM</v>
      </c>
      <c r="F4360" t="str">
        <f t="shared" si="2089"/>
        <v>FARMÁCIA INDIANA LJ 1 (10126)</v>
      </c>
      <c r="G4360" t="str">
        <f t="shared" si="2090"/>
        <v>Serv.Prest. 21/07/2025 a 24/07/2025 - RPS: 1045 - NFSe: 3278</v>
      </c>
      <c r="H4360" t="str">
        <f t="shared" si="2093"/>
        <v>06/08/2025</v>
      </c>
      <c r="I4360" t="str">
        <f t="shared" si="2094"/>
        <v>25/07/2025</v>
      </c>
      <c r="J4360" t="str">
        <f t="shared" si="2095"/>
        <v>06/08/2025</v>
      </c>
      <c r="M4360">
        <v>303</v>
      </c>
      <c r="N4360" t="str">
        <f t="shared" si="2096"/>
        <v>RECEITAS COM ENTREGAS</v>
      </c>
      <c r="P4360">
        <v>146.36000000000001</v>
      </c>
      <c r="Q4360" t="str">
        <f>"FARMÁCIA INDIANA LJ 109 (10047)"</f>
        <v>FARMÁCIA INDIANA LJ 109 (10047)</v>
      </c>
      <c r="R4360" t="str">
        <f t="shared" si="2097"/>
        <v>RECEITAS COM ENTREGAS (303)</v>
      </c>
      <c r="S4360">
        <v>2255</v>
      </c>
      <c r="T4360">
        <v>1732</v>
      </c>
      <c r="U4360" t="s">
        <v>19</v>
      </c>
    </row>
    <row r="4361" spans="1:21">
      <c r="A4361" t="str">
        <f t="shared" si="2091"/>
        <v>06/08/2025</v>
      </c>
      <c r="B4361" t="str">
        <f t="shared" si="2083"/>
        <v>ENTRADA</v>
      </c>
      <c r="C4361" t="str">
        <f t="shared" si="2092"/>
        <v>NFSE</v>
      </c>
      <c r="D4361" t="str">
        <f t="shared" si="2088"/>
        <v>3278</v>
      </c>
      <c r="E4361" t="str">
        <f t="shared" si="2085"/>
        <v>COM</v>
      </c>
      <c r="F4361" t="str">
        <f t="shared" si="2089"/>
        <v>FARMÁCIA INDIANA LJ 1 (10126)</v>
      </c>
      <c r="G4361" t="str">
        <f t="shared" si="2090"/>
        <v>Serv.Prest. 21/07/2025 a 24/07/2025 - RPS: 1045 - NFSe: 3278</v>
      </c>
      <c r="H4361" t="str">
        <f t="shared" si="2093"/>
        <v>06/08/2025</v>
      </c>
      <c r="I4361" t="str">
        <f t="shared" si="2094"/>
        <v>25/07/2025</v>
      </c>
      <c r="J4361" t="str">
        <f t="shared" si="2095"/>
        <v>06/08/2025</v>
      </c>
      <c r="M4361">
        <v>303</v>
      </c>
      <c r="N4361" t="str">
        <f t="shared" si="2096"/>
        <v>RECEITAS COM ENTREGAS</v>
      </c>
      <c r="P4361">
        <v>502.93</v>
      </c>
      <c r="Q4361" t="str">
        <f>"FARMÁCIA INDIANA LJ 110 (10048)"</f>
        <v>FARMÁCIA INDIANA LJ 110 (10048)</v>
      </c>
      <c r="R4361" t="str">
        <f t="shared" si="2097"/>
        <v>RECEITAS COM ENTREGAS (303)</v>
      </c>
      <c r="S4361">
        <v>2255</v>
      </c>
      <c r="T4361">
        <v>1732</v>
      </c>
      <c r="U4361" t="s">
        <v>19</v>
      </c>
    </row>
    <row r="4362" spans="1:21">
      <c r="A4362" t="str">
        <f t="shared" si="2091"/>
        <v>06/08/2025</v>
      </c>
      <c r="B4362" t="str">
        <f t="shared" si="2083"/>
        <v>ENTRADA</v>
      </c>
      <c r="C4362" t="str">
        <f t="shared" si="2092"/>
        <v>NFSE</v>
      </c>
      <c r="D4362" t="str">
        <f t="shared" si="2088"/>
        <v>3278</v>
      </c>
      <c r="E4362" t="str">
        <f t="shared" si="2085"/>
        <v>COM</v>
      </c>
      <c r="F4362" t="str">
        <f t="shared" si="2089"/>
        <v>FARMÁCIA INDIANA LJ 1 (10126)</v>
      </c>
      <c r="G4362" t="str">
        <f t="shared" si="2090"/>
        <v>Serv.Prest. 21/07/2025 a 24/07/2025 - RPS: 1045 - NFSe: 3278</v>
      </c>
      <c r="H4362" t="str">
        <f t="shared" si="2093"/>
        <v>06/08/2025</v>
      </c>
      <c r="I4362" t="str">
        <f t="shared" si="2094"/>
        <v>25/07/2025</v>
      </c>
      <c r="J4362" t="str">
        <f t="shared" si="2095"/>
        <v>06/08/2025</v>
      </c>
      <c r="M4362">
        <v>303</v>
      </c>
      <c r="N4362" t="str">
        <f t="shared" si="2096"/>
        <v>RECEITAS COM ENTREGAS</v>
      </c>
      <c r="P4362">
        <v>64.83</v>
      </c>
      <c r="Q4362" t="str">
        <f>"FARMÁCIA INDIANA LJ 111 (10049)"</f>
        <v>FARMÁCIA INDIANA LJ 111 (10049)</v>
      </c>
      <c r="R4362" t="str">
        <f t="shared" si="2097"/>
        <v>RECEITAS COM ENTREGAS (303)</v>
      </c>
      <c r="S4362">
        <v>2255</v>
      </c>
      <c r="T4362">
        <v>1732</v>
      </c>
      <c r="U4362" t="s">
        <v>19</v>
      </c>
    </row>
    <row r="4363" spans="1:21">
      <c r="A4363" t="str">
        <f t="shared" si="2091"/>
        <v>06/08/2025</v>
      </c>
      <c r="B4363" t="str">
        <f t="shared" si="2083"/>
        <v>ENTRADA</v>
      </c>
      <c r="C4363" t="str">
        <f t="shared" si="2092"/>
        <v>NFSE</v>
      </c>
      <c r="D4363" t="str">
        <f t="shared" si="2088"/>
        <v>3278</v>
      </c>
      <c r="E4363" t="str">
        <f t="shared" si="2085"/>
        <v>COM</v>
      </c>
      <c r="F4363" t="str">
        <f t="shared" si="2089"/>
        <v>FARMÁCIA INDIANA LJ 1 (10126)</v>
      </c>
      <c r="G4363" t="str">
        <f t="shared" si="2090"/>
        <v>Serv.Prest. 21/07/2025 a 24/07/2025 - RPS: 1045 - NFSe: 3278</v>
      </c>
      <c r="H4363" t="str">
        <f t="shared" si="2093"/>
        <v>06/08/2025</v>
      </c>
      <c r="I4363" t="str">
        <f t="shared" si="2094"/>
        <v>25/07/2025</v>
      </c>
      <c r="J4363" t="str">
        <f t="shared" si="2095"/>
        <v>06/08/2025</v>
      </c>
      <c r="M4363">
        <v>303</v>
      </c>
      <c r="N4363" t="str">
        <f t="shared" si="2096"/>
        <v>RECEITAS COM ENTREGAS</v>
      </c>
      <c r="P4363">
        <v>150.29</v>
      </c>
      <c r="Q4363" t="str">
        <f>"FARMÁCIA INDIANA LJ 112 (10050)"</f>
        <v>FARMÁCIA INDIANA LJ 112 (10050)</v>
      </c>
      <c r="R4363" t="str">
        <f t="shared" si="2097"/>
        <v>RECEITAS COM ENTREGAS (303)</v>
      </c>
      <c r="S4363">
        <v>2255</v>
      </c>
      <c r="T4363">
        <v>1732</v>
      </c>
      <c r="U4363" t="s">
        <v>19</v>
      </c>
    </row>
    <row r="4364" spans="1:21">
      <c r="A4364" t="str">
        <f t="shared" si="2091"/>
        <v>06/08/2025</v>
      </c>
      <c r="B4364" t="str">
        <f t="shared" si="2083"/>
        <v>ENTRADA</v>
      </c>
      <c r="C4364" t="str">
        <f t="shared" si="2092"/>
        <v>NFSE</v>
      </c>
      <c r="D4364" t="str">
        <f t="shared" si="2088"/>
        <v>3278</v>
      </c>
      <c r="E4364" t="str">
        <f t="shared" si="2085"/>
        <v>COM</v>
      </c>
      <c r="F4364" t="str">
        <f t="shared" si="2089"/>
        <v>FARMÁCIA INDIANA LJ 1 (10126)</v>
      </c>
      <c r="G4364" t="str">
        <f t="shared" si="2090"/>
        <v>Serv.Prest. 21/07/2025 a 24/07/2025 - RPS: 1045 - NFSe: 3278</v>
      </c>
      <c r="H4364" t="str">
        <f t="shared" si="2093"/>
        <v>06/08/2025</v>
      </c>
      <c r="I4364" t="str">
        <f t="shared" si="2094"/>
        <v>25/07/2025</v>
      </c>
      <c r="J4364" t="str">
        <f t="shared" si="2095"/>
        <v>06/08/2025</v>
      </c>
      <c r="M4364">
        <v>303</v>
      </c>
      <c r="N4364" t="str">
        <f t="shared" si="2096"/>
        <v>RECEITAS COM ENTREGAS</v>
      </c>
      <c r="P4364">
        <v>150.29</v>
      </c>
      <c r="Q4364" t="str">
        <f>"FARMÁCIA INDIANA LJ 116 (10051)"</f>
        <v>FARMÁCIA INDIANA LJ 116 (10051)</v>
      </c>
      <c r="R4364" t="str">
        <f t="shared" si="2097"/>
        <v>RECEITAS COM ENTREGAS (303)</v>
      </c>
      <c r="S4364">
        <v>2255</v>
      </c>
      <c r="T4364">
        <v>1732</v>
      </c>
      <c r="U4364" t="s">
        <v>19</v>
      </c>
    </row>
    <row r="4365" spans="1:21">
      <c r="A4365" t="str">
        <f t="shared" si="2091"/>
        <v>06/08/2025</v>
      </c>
      <c r="B4365" t="str">
        <f t="shared" si="2083"/>
        <v>ENTRADA</v>
      </c>
      <c r="C4365" t="str">
        <f t="shared" si="2092"/>
        <v>NFSE</v>
      </c>
      <c r="D4365" t="str">
        <f t="shared" si="2088"/>
        <v>3278</v>
      </c>
      <c r="E4365" t="str">
        <f t="shared" si="2085"/>
        <v>COM</v>
      </c>
      <c r="F4365" t="str">
        <f t="shared" si="2089"/>
        <v>FARMÁCIA INDIANA LJ 1 (10126)</v>
      </c>
      <c r="G4365" t="str">
        <f t="shared" si="2090"/>
        <v>Serv.Prest. 21/07/2025 a 24/07/2025 - RPS: 1045 - NFSe: 3278</v>
      </c>
      <c r="H4365" t="str">
        <f t="shared" si="2093"/>
        <v>06/08/2025</v>
      </c>
      <c r="I4365" t="str">
        <f t="shared" si="2094"/>
        <v>25/07/2025</v>
      </c>
      <c r="J4365" t="str">
        <f t="shared" si="2095"/>
        <v>06/08/2025</v>
      </c>
      <c r="M4365">
        <v>303</v>
      </c>
      <c r="N4365" t="str">
        <f t="shared" si="2096"/>
        <v>RECEITAS COM ENTREGAS</v>
      </c>
      <c r="P4365">
        <v>90.37</v>
      </c>
      <c r="Q4365" t="str">
        <f>"FARMÁCIA INDIANA LJ 118 (10052)"</f>
        <v>FARMÁCIA INDIANA LJ 118 (10052)</v>
      </c>
      <c r="R4365" t="str">
        <f t="shared" si="2097"/>
        <v>RECEITAS COM ENTREGAS (303)</v>
      </c>
      <c r="S4365">
        <v>2255</v>
      </c>
      <c r="T4365">
        <v>1732</v>
      </c>
      <c r="U4365" t="s">
        <v>19</v>
      </c>
    </row>
    <row r="4366" spans="1:21">
      <c r="A4366" t="str">
        <f t="shared" si="2091"/>
        <v>06/08/2025</v>
      </c>
      <c r="B4366" t="str">
        <f t="shared" si="2083"/>
        <v>ENTRADA</v>
      </c>
      <c r="C4366" t="str">
        <f t="shared" si="2092"/>
        <v>NFSE</v>
      </c>
      <c r="D4366" t="str">
        <f t="shared" si="2088"/>
        <v>3278</v>
      </c>
      <c r="E4366" t="str">
        <f t="shared" si="2085"/>
        <v>COM</v>
      </c>
      <c r="F4366" t="str">
        <f t="shared" si="2089"/>
        <v>FARMÁCIA INDIANA LJ 1 (10126)</v>
      </c>
      <c r="G4366" t="str">
        <f t="shared" si="2090"/>
        <v>Serv.Prest. 21/07/2025 a 24/07/2025 - RPS: 1045 - NFSe: 3278</v>
      </c>
      <c r="H4366" t="str">
        <f t="shared" si="2093"/>
        <v>06/08/2025</v>
      </c>
      <c r="I4366" t="str">
        <f t="shared" si="2094"/>
        <v>25/07/2025</v>
      </c>
      <c r="J4366" t="str">
        <f t="shared" si="2095"/>
        <v>06/08/2025</v>
      </c>
      <c r="M4366">
        <v>303</v>
      </c>
      <c r="N4366" t="str">
        <f t="shared" si="2096"/>
        <v>RECEITAS COM ENTREGAS</v>
      </c>
      <c r="P4366">
        <v>150.29</v>
      </c>
      <c r="Q4366" t="str">
        <f>"FARMÁCIA INDIANA LJ 121 (10054)"</f>
        <v>FARMÁCIA INDIANA LJ 121 (10054)</v>
      </c>
      <c r="R4366" t="str">
        <f t="shared" si="2097"/>
        <v>RECEITAS COM ENTREGAS (303)</v>
      </c>
      <c r="S4366">
        <v>2255</v>
      </c>
      <c r="T4366">
        <v>1732</v>
      </c>
      <c r="U4366" t="s">
        <v>19</v>
      </c>
    </row>
    <row r="4367" spans="1:21">
      <c r="A4367" t="str">
        <f t="shared" si="2091"/>
        <v>06/08/2025</v>
      </c>
      <c r="B4367" t="str">
        <f t="shared" si="2083"/>
        <v>ENTRADA</v>
      </c>
      <c r="C4367" t="str">
        <f t="shared" si="2092"/>
        <v>NFSE</v>
      </c>
      <c r="D4367" t="str">
        <f t="shared" si="2088"/>
        <v>3278</v>
      </c>
      <c r="E4367" t="str">
        <f t="shared" si="2085"/>
        <v>COM</v>
      </c>
      <c r="F4367" t="str">
        <f t="shared" si="2089"/>
        <v>FARMÁCIA INDIANA LJ 1 (10126)</v>
      </c>
      <c r="G4367" t="str">
        <f t="shared" si="2090"/>
        <v>Serv.Prest. 21/07/2025 a 24/07/2025 - RPS: 1045 - NFSe: 3278</v>
      </c>
      <c r="H4367" t="str">
        <f t="shared" si="2093"/>
        <v>06/08/2025</v>
      </c>
      <c r="I4367" t="str">
        <f t="shared" si="2094"/>
        <v>25/07/2025</v>
      </c>
      <c r="J4367" t="str">
        <f t="shared" si="2095"/>
        <v>06/08/2025</v>
      </c>
      <c r="M4367">
        <v>303</v>
      </c>
      <c r="N4367" t="str">
        <f t="shared" si="2096"/>
        <v>RECEITAS COM ENTREGAS</v>
      </c>
      <c r="P4367">
        <v>150.29</v>
      </c>
      <c r="Q4367" t="str">
        <f>"FARMÁCIA INDIANA LJ 128 (10057)"</f>
        <v>FARMÁCIA INDIANA LJ 128 (10057)</v>
      </c>
      <c r="R4367" t="str">
        <f t="shared" si="2097"/>
        <v>RECEITAS COM ENTREGAS (303)</v>
      </c>
      <c r="S4367">
        <v>2255</v>
      </c>
      <c r="T4367">
        <v>1732</v>
      </c>
      <c r="U4367" t="s">
        <v>19</v>
      </c>
    </row>
    <row r="4368" spans="1:21">
      <c r="A4368" t="str">
        <f t="shared" si="2091"/>
        <v>06/08/2025</v>
      </c>
      <c r="B4368" t="str">
        <f t="shared" si="2083"/>
        <v>ENTRADA</v>
      </c>
      <c r="C4368" t="str">
        <f t="shared" si="2092"/>
        <v>NFSE</v>
      </c>
      <c r="D4368" t="str">
        <f t="shared" si="2088"/>
        <v>3278</v>
      </c>
      <c r="E4368" t="str">
        <f t="shared" si="2085"/>
        <v>COM</v>
      </c>
      <c r="F4368" t="str">
        <f t="shared" si="2089"/>
        <v>FARMÁCIA INDIANA LJ 1 (10126)</v>
      </c>
      <c r="G4368" t="str">
        <f t="shared" si="2090"/>
        <v>Serv.Prest. 21/07/2025 a 24/07/2025 - RPS: 1045 - NFSe: 3278</v>
      </c>
      <c r="H4368" t="str">
        <f t="shared" si="2093"/>
        <v>06/08/2025</v>
      </c>
      <c r="I4368" t="str">
        <f t="shared" si="2094"/>
        <v>25/07/2025</v>
      </c>
      <c r="J4368" t="str">
        <f t="shared" si="2095"/>
        <v>06/08/2025</v>
      </c>
      <c r="M4368">
        <v>303</v>
      </c>
      <c r="N4368" t="str">
        <f t="shared" si="2096"/>
        <v>RECEITAS COM ENTREGAS</v>
      </c>
      <c r="P4368">
        <v>41.26</v>
      </c>
      <c r="Q4368" t="str">
        <f>"FARMÁCIA INDIANA LJ 140 (10064)"</f>
        <v>FARMÁCIA INDIANA LJ 140 (10064)</v>
      </c>
      <c r="R4368" t="str">
        <f t="shared" si="2097"/>
        <v>RECEITAS COM ENTREGAS (303)</v>
      </c>
      <c r="S4368">
        <v>2255</v>
      </c>
      <c r="T4368">
        <v>1732</v>
      </c>
      <c r="U4368" t="s">
        <v>19</v>
      </c>
    </row>
    <row r="4369" spans="1:21">
      <c r="A4369" t="str">
        <f t="shared" si="2091"/>
        <v>06/08/2025</v>
      </c>
      <c r="B4369" t="str">
        <f t="shared" si="2083"/>
        <v>ENTRADA</v>
      </c>
      <c r="C4369" t="str">
        <f t="shared" si="2092"/>
        <v>NFSE</v>
      </c>
      <c r="D4369" t="str">
        <f t="shared" si="2088"/>
        <v>3278</v>
      </c>
      <c r="E4369" t="str">
        <f t="shared" si="2085"/>
        <v>COM</v>
      </c>
      <c r="F4369" t="str">
        <f t="shared" si="2089"/>
        <v>FARMÁCIA INDIANA LJ 1 (10126)</v>
      </c>
      <c r="G4369" t="str">
        <f t="shared" si="2090"/>
        <v>Serv.Prest. 21/07/2025 a 24/07/2025 - RPS: 1045 - NFSe: 3278</v>
      </c>
      <c r="H4369" t="str">
        <f t="shared" si="2093"/>
        <v>06/08/2025</v>
      </c>
      <c r="I4369" t="str">
        <f t="shared" si="2094"/>
        <v>25/07/2025</v>
      </c>
      <c r="J4369" t="str">
        <f t="shared" si="2095"/>
        <v>06/08/2025</v>
      </c>
      <c r="M4369">
        <v>303</v>
      </c>
      <c r="N4369" t="str">
        <f t="shared" si="2096"/>
        <v>RECEITAS COM ENTREGAS</v>
      </c>
      <c r="P4369">
        <v>19.649999999999999</v>
      </c>
      <c r="Q4369" t="str">
        <f>"FARMÁCIA INDIANA LJ 141 (10065)"</f>
        <v>FARMÁCIA INDIANA LJ 141 (10065)</v>
      </c>
      <c r="R4369" t="str">
        <f t="shared" si="2097"/>
        <v>RECEITAS COM ENTREGAS (303)</v>
      </c>
      <c r="S4369">
        <v>2255</v>
      </c>
      <c r="T4369">
        <v>1732</v>
      </c>
      <c r="U4369" t="s">
        <v>19</v>
      </c>
    </row>
    <row r="4370" spans="1:21">
      <c r="A4370" t="str">
        <f t="shared" si="2091"/>
        <v>06/08/2025</v>
      </c>
      <c r="B4370" t="str">
        <f t="shared" si="2083"/>
        <v>ENTRADA</v>
      </c>
      <c r="C4370" t="str">
        <f t="shared" si="2092"/>
        <v>NFSE</v>
      </c>
      <c r="D4370" t="str">
        <f t="shared" si="2088"/>
        <v>3278</v>
      </c>
      <c r="E4370" t="str">
        <f t="shared" si="2085"/>
        <v>COM</v>
      </c>
      <c r="F4370" t="str">
        <f t="shared" si="2089"/>
        <v>FARMÁCIA INDIANA LJ 1 (10126)</v>
      </c>
      <c r="G4370" t="str">
        <f t="shared" si="2090"/>
        <v>Serv.Prest. 21/07/2025 a 24/07/2025 - RPS: 1045 - NFSe: 3278</v>
      </c>
      <c r="H4370" t="str">
        <f t="shared" si="2093"/>
        <v>06/08/2025</v>
      </c>
      <c r="I4370" t="str">
        <f t="shared" si="2094"/>
        <v>25/07/2025</v>
      </c>
      <c r="J4370" t="str">
        <f t="shared" si="2095"/>
        <v>06/08/2025</v>
      </c>
      <c r="M4370">
        <v>303</v>
      </c>
      <c r="N4370" t="str">
        <f t="shared" si="2096"/>
        <v>RECEITAS COM ENTREGAS</v>
      </c>
      <c r="P4370">
        <v>440.07</v>
      </c>
      <c r="Q4370" t="str">
        <f>"FARMÁCIA INDIANA LJ 142 (10066)"</f>
        <v>FARMÁCIA INDIANA LJ 142 (10066)</v>
      </c>
      <c r="R4370" t="str">
        <f t="shared" si="2097"/>
        <v>RECEITAS COM ENTREGAS (303)</v>
      </c>
      <c r="S4370">
        <v>2255</v>
      </c>
      <c r="T4370">
        <v>1732</v>
      </c>
      <c r="U4370" t="s">
        <v>19</v>
      </c>
    </row>
    <row r="4371" spans="1:21">
      <c r="A4371" t="str">
        <f t="shared" si="2091"/>
        <v>06/08/2025</v>
      </c>
      <c r="B4371" t="str">
        <f t="shared" si="2083"/>
        <v>ENTRADA</v>
      </c>
      <c r="C4371" t="str">
        <f t="shared" si="2092"/>
        <v>NFSE</v>
      </c>
      <c r="D4371" t="str">
        <f t="shared" si="2088"/>
        <v>3278</v>
      </c>
      <c r="E4371" t="str">
        <f t="shared" si="2085"/>
        <v>COM</v>
      </c>
      <c r="F4371" t="str">
        <f t="shared" si="2089"/>
        <v>FARMÁCIA INDIANA LJ 1 (10126)</v>
      </c>
      <c r="G4371" t="str">
        <f t="shared" si="2090"/>
        <v>Serv.Prest. 21/07/2025 a 24/07/2025 - RPS: 1045 - NFSe: 3278</v>
      </c>
      <c r="H4371" t="str">
        <f t="shared" si="2093"/>
        <v>06/08/2025</v>
      </c>
      <c r="I4371" t="str">
        <f t="shared" si="2094"/>
        <v>25/07/2025</v>
      </c>
      <c r="J4371" t="str">
        <f t="shared" si="2095"/>
        <v>06/08/2025</v>
      </c>
      <c r="M4371">
        <v>303</v>
      </c>
      <c r="N4371" t="str">
        <f t="shared" si="2096"/>
        <v>RECEITAS COM ENTREGAS</v>
      </c>
      <c r="P4371">
        <v>65.81</v>
      </c>
      <c r="Q4371" t="str">
        <f>"FARMÁCIA INDIANA LJ 143 (10067)"</f>
        <v>FARMÁCIA INDIANA LJ 143 (10067)</v>
      </c>
      <c r="R4371" t="str">
        <f t="shared" si="2097"/>
        <v>RECEITAS COM ENTREGAS (303)</v>
      </c>
      <c r="S4371">
        <v>2255</v>
      </c>
      <c r="T4371">
        <v>1732</v>
      </c>
      <c r="U4371" t="s">
        <v>19</v>
      </c>
    </row>
    <row r="4372" spans="1:21">
      <c r="A4372" t="str">
        <f t="shared" si="2091"/>
        <v>06/08/2025</v>
      </c>
      <c r="B4372" t="str">
        <f t="shared" si="2083"/>
        <v>ENTRADA</v>
      </c>
      <c r="C4372" t="str">
        <f t="shared" si="2092"/>
        <v>NFSE</v>
      </c>
      <c r="D4372" t="str">
        <f t="shared" si="2088"/>
        <v>3278</v>
      </c>
      <c r="E4372" t="str">
        <f t="shared" si="2085"/>
        <v>COM</v>
      </c>
      <c r="F4372" t="str">
        <f t="shared" si="2089"/>
        <v>FARMÁCIA INDIANA LJ 1 (10126)</v>
      </c>
      <c r="G4372" t="str">
        <f t="shared" si="2090"/>
        <v>Serv.Prest. 21/07/2025 a 24/07/2025 - RPS: 1045 - NFSe: 3278</v>
      </c>
      <c r="H4372" t="str">
        <f t="shared" si="2093"/>
        <v>06/08/2025</v>
      </c>
      <c r="I4372" t="str">
        <f t="shared" si="2094"/>
        <v>25/07/2025</v>
      </c>
      <c r="J4372" t="str">
        <f t="shared" si="2095"/>
        <v>06/08/2025</v>
      </c>
      <c r="M4372">
        <v>303</v>
      </c>
      <c r="N4372" t="str">
        <f t="shared" si="2096"/>
        <v>RECEITAS COM ENTREGAS</v>
      </c>
      <c r="P4372">
        <v>90.37</v>
      </c>
      <c r="Q4372" t="str">
        <f>"FARMÁCIA INDIANA LJ 152 (10069)"</f>
        <v>FARMÁCIA INDIANA LJ 152 (10069)</v>
      </c>
      <c r="R4372" t="str">
        <f t="shared" si="2097"/>
        <v>RECEITAS COM ENTREGAS (303)</v>
      </c>
      <c r="S4372">
        <v>2255</v>
      </c>
      <c r="T4372">
        <v>1732</v>
      </c>
      <c r="U4372" t="s">
        <v>19</v>
      </c>
    </row>
    <row r="4373" spans="1:21">
      <c r="A4373" t="str">
        <f t="shared" si="2091"/>
        <v>06/08/2025</v>
      </c>
      <c r="B4373" t="str">
        <f t="shared" si="2083"/>
        <v>ENTRADA</v>
      </c>
      <c r="C4373" t="str">
        <f t="shared" si="2092"/>
        <v>NFSE</v>
      </c>
      <c r="D4373" t="str">
        <f t="shared" si="2088"/>
        <v>3278</v>
      </c>
      <c r="E4373" t="str">
        <f t="shared" si="2085"/>
        <v>COM</v>
      </c>
      <c r="F4373" t="str">
        <f t="shared" si="2089"/>
        <v>FARMÁCIA INDIANA LJ 1 (10126)</v>
      </c>
      <c r="G4373" t="str">
        <f t="shared" si="2090"/>
        <v>Serv.Prest. 21/07/2025 a 24/07/2025 - RPS: 1045 - NFSe: 3278</v>
      </c>
      <c r="H4373" t="str">
        <f t="shared" si="2093"/>
        <v>06/08/2025</v>
      </c>
      <c r="I4373" t="str">
        <f t="shared" si="2094"/>
        <v>25/07/2025</v>
      </c>
      <c r="J4373" t="str">
        <f t="shared" si="2095"/>
        <v>06/08/2025</v>
      </c>
      <c r="M4373">
        <v>303</v>
      </c>
      <c r="N4373" t="str">
        <f t="shared" si="2096"/>
        <v>RECEITAS COM ENTREGAS</v>
      </c>
      <c r="P4373">
        <v>37.33</v>
      </c>
      <c r="Q4373" t="str">
        <f>"FARMÁCIA INDIANA LJ 154 (10070)"</f>
        <v>FARMÁCIA INDIANA LJ 154 (10070)</v>
      </c>
      <c r="R4373" t="str">
        <f t="shared" si="2097"/>
        <v>RECEITAS COM ENTREGAS (303)</v>
      </c>
      <c r="S4373">
        <v>2255</v>
      </c>
      <c r="T4373">
        <v>1732</v>
      </c>
      <c r="U4373" t="s">
        <v>19</v>
      </c>
    </row>
    <row r="4374" spans="1:21">
      <c r="A4374" t="str">
        <f t="shared" si="2091"/>
        <v>06/08/2025</v>
      </c>
      <c r="B4374" t="str">
        <f t="shared" si="2083"/>
        <v>ENTRADA</v>
      </c>
      <c r="C4374" t="str">
        <f t="shared" si="2092"/>
        <v>NFSE</v>
      </c>
      <c r="D4374" t="str">
        <f t="shared" si="2088"/>
        <v>3278</v>
      </c>
      <c r="E4374" t="str">
        <f t="shared" si="2085"/>
        <v>COM</v>
      </c>
      <c r="F4374" t="str">
        <f t="shared" si="2089"/>
        <v>FARMÁCIA INDIANA LJ 1 (10126)</v>
      </c>
      <c r="G4374" t="str">
        <f t="shared" si="2090"/>
        <v>Serv.Prest. 21/07/2025 a 24/07/2025 - RPS: 1045 - NFSe: 3278</v>
      </c>
      <c r="H4374" t="str">
        <f t="shared" si="2093"/>
        <v>06/08/2025</v>
      </c>
      <c r="I4374" t="str">
        <f t="shared" si="2094"/>
        <v>25/07/2025</v>
      </c>
      <c r="J4374" t="str">
        <f t="shared" si="2095"/>
        <v>06/08/2025</v>
      </c>
      <c r="M4374">
        <v>303</v>
      </c>
      <c r="N4374" t="str">
        <f t="shared" si="2096"/>
        <v>RECEITAS COM ENTREGAS</v>
      </c>
      <c r="P4374">
        <v>321.20999999999998</v>
      </c>
      <c r="Q4374" t="str">
        <f>"FARMÁCIA INDIANA LJ 171 (10074)"</f>
        <v>FARMÁCIA INDIANA LJ 171 (10074)</v>
      </c>
      <c r="R4374" t="str">
        <f t="shared" si="2097"/>
        <v>RECEITAS COM ENTREGAS (303)</v>
      </c>
      <c r="S4374">
        <v>2255</v>
      </c>
      <c r="T4374">
        <v>1732</v>
      </c>
      <c r="U4374" t="s">
        <v>19</v>
      </c>
    </row>
    <row r="4375" spans="1:21">
      <c r="A4375" t="str">
        <f t="shared" si="2091"/>
        <v>06/08/2025</v>
      </c>
      <c r="B4375" t="str">
        <f t="shared" si="2083"/>
        <v>ENTRADA</v>
      </c>
      <c r="C4375" t="str">
        <f t="shared" si="2092"/>
        <v>NFSE</v>
      </c>
      <c r="D4375" t="str">
        <f t="shared" si="2088"/>
        <v>3278</v>
      </c>
      <c r="E4375" t="str">
        <f t="shared" si="2085"/>
        <v>COM</v>
      </c>
      <c r="F4375" t="str">
        <f t="shared" si="2089"/>
        <v>FARMÁCIA INDIANA LJ 1 (10126)</v>
      </c>
      <c r="G4375" t="str">
        <f t="shared" si="2090"/>
        <v>Serv.Prest. 21/07/2025 a 24/07/2025 - RPS: 1045 - NFSe: 3278</v>
      </c>
      <c r="H4375" t="str">
        <f t="shared" si="2093"/>
        <v>06/08/2025</v>
      </c>
      <c r="I4375" t="str">
        <f t="shared" si="2094"/>
        <v>25/07/2025</v>
      </c>
      <c r="J4375" t="str">
        <f t="shared" si="2095"/>
        <v>06/08/2025</v>
      </c>
      <c r="M4375">
        <v>303</v>
      </c>
      <c r="N4375" t="str">
        <f t="shared" si="2096"/>
        <v>RECEITAS COM ENTREGAS</v>
      </c>
      <c r="P4375">
        <v>123.77</v>
      </c>
      <c r="Q4375" t="str">
        <f>"FARMÁCIA INDIANA LJ 175 (10076)"</f>
        <v>FARMÁCIA INDIANA LJ 175 (10076)</v>
      </c>
      <c r="R4375" t="str">
        <f t="shared" si="2097"/>
        <v>RECEITAS COM ENTREGAS (303)</v>
      </c>
      <c r="S4375">
        <v>2255</v>
      </c>
      <c r="T4375">
        <v>1732</v>
      </c>
      <c r="U4375" t="s">
        <v>19</v>
      </c>
    </row>
    <row r="4376" spans="1:21">
      <c r="A4376" t="str">
        <f t="shared" si="2091"/>
        <v>06/08/2025</v>
      </c>
      <c r="B4376" t="str">
        <f t="shared" si="2083"/>
        <v>ENTRADA</v>
      </c>
      <c r="C4376" t="str">
        <f t="shared" si="2092"/>
        <v>NFSE</v>
      </c>
      <c r="D4376" t="str">
        <f t="shared" si="2088"/>
        <v>3278</v>
      </c>
      <c r="E4376" t="str">
        <f t="shared" si="2085"/>
        <v>COM</v>
      </c>
      <c r="F4376" t="str">
        <f t="shared" si="2089"/>
        <v>FARMÁCIA INDIANA LJ 1 (10126)</v>
      </c>
      <c r="G4376" t="str">
        <f t="shared" si="2090"/>
        <v>Serv.Prest. 21/07/2025 a 24/07/2025 - RPS: 1045 - NFSe: 3278</v>
      </c>
      <c r="H4376" t="str">
        <f t="shared" si="2093"/>
        <v>06/08/2025</v>
      </c>
      <c r="I4376" t="str">
        <f t="shared" si="2094"/>
        <v>25/07/2025</v>
      </c>
      <c r="J4376" t="str">
        <f t="shared" si="2095"/>
        <v>06/08/2025</v>
      </c>
      <c r="M4376">
        <v>303</v>
      </c>
      <c r="N4376" t="str">
        <f t="shared" si="2096"/>
        <v>RECEITAS COM ENTREGAS</v>
      </c>
      <c r="P4376">
        <v>110.02</v>
      </c>
      <c r="Q4376" t="str">
        <f>"FARMÁCIA INDIANA LJ 178 (10077)"</f>
        <v>FARMÁCIA INDIANA LJ 178 (10077)</v>
      </c>
      <c r="R4376" t="str">
        <f t="shared" si="2097"/>
        <v>RECEITAS COM ENTREGAS (303)</v>
      </c>
      <c r="S4376">
        <v>2255</v>
      </c>
      <c r="T4376">
        <v>1732</v>
      </c>
      <c r="U4376" t="s">
        <v>19</v>
      </c>
    </row>
    <row r="4377" spans="1:21">
      <c r="A4377" t="str">
        <f t="shared" si="2091"/>
        <v>06/08/2025</v>
      </c>
      <c r="B4377" t="str">
        <f t="shared" si="2083"/>
        <v>ENTRADA</v>
      </c>
      <c r="C4377" t="str">
        <f t="shared" si="2092"/>
        <v>NFSE</v>
      </c>
      <c r="D4377" t="str">
        <f t="shared" si="2088"/>
        <v>3278</v>
      </c>
      <c r="E4377" t="str">
        <f t="shared" si="2085"/>
        <v>COM</v>
      </c>
      <c r="F4377" t="str">
        <f t="shared" si="2089"/>
        <v>FARMÁCIA INDIANA LJ 1 (10126)</v>
      </c>
      <c r="G4377" t="str">
        <f t="shared" si="2090"/>
        <v>Serv.Prest. 21/07/2025 a 24/07/2025 - RPS: 1045 - NFSe: 3278</v>
      </c>
      <c r="H4377" t="str">
        <f t="shared" si="2093"/>
        <v>06/08/2025</v>
      </c>
      <c r="I4377" t="str">
        <f t="shared" si="2094"/>
        <v>25/07/2025</v>
      </c>
      <c r="J4377" t="str">
        <f t="shared" si="2095"/>
        <v>06/08/2025</v>
      </c>
      <c r="M4377">
        <v>303</v>
      </c>
      <c r="N4377" t="str">
        <f t="shared" si="2096"/>
        <v>RECEITAS COM ENTREGAS</v>
      </c>
      <c r="P4377">
        <v>74.650000000000006</v>
      </c>
      <c r="Q4377" t="str">
        <f>"FARMÁCIA INDIANA LJ 182 (10079)"</f>
        <v>FARMÁCIA INDIANA LJ 182 (10079)</v>
      </c>
      <c r="R4377" t="str">
        <f t="shared" si="2097"/>
        <v>RECEITAS COM ENTREGAS (303)</v>
      </c>
      <c r="S4377">
        <v>2255</v>
      </c>
      <c r="T4377">
        <v>1732</v>
      </c>
      <c r="U4377" t="s">
        <v>19</v>
      </c>
    </row>
    <row r="4378" spans="1:21">
      <c r="A4378" t="str">
        <f t="shared" si="2091"/>
        <v>06/08/2025</v>
      </c>
      <c r="B4378" t="str">
        <f t="shared" si="2083"/>
        <v>ENTRADA</v>
      </c>
      <c r="C4378" t="str">
        <f t="shared" si="2092"/>
        <v>NFSE</v>
      </c>
      <c r="D4378" t="str">
        <f t="shared" si="2088"/>
        <v>3278</v>
      </c>
      <c r="E4378" t="str">
        <f t="shared" si="2085"/>
        <v>COM</v>
      </c>
      <c r="F4378" t="str">
        <f t="shared" si="2089"/>
        <v>FARMÁCIA INDIANA LJ 1 (10126)</v>
      </c>
      <c r="G4378" t="str">
        <f t="shared" si="2090"/>
        <v>Serv.Prest. 21/07/2025 a 24/07/2025 - RPS: 1045 - NFSe: 3278</v>
      </c>
      <c r="H4378" t="str">
        <f t="shared" si="2093"/>
        <v>06/08/2025</v>
      </c>
      <c r="I4378" t="str">
        <f t="shared" si="2094"/>
        <v>25/07/2025</v>
      </c>
      <c r="J4378" t="str">
        <f t="shared" si="2095"/>
        <v>06/08/2025</v>
      </c>
      <c r="M4378">
        <v>303</v>
      </c>
      <c r="N4378" t="str">
        <f t="shared" si="2096"/>
        <v>RECEITAS COM ENTREGAS</v>
      </c>
      <c r="P4378">
        <v>40.270000000000003</v>
      </c>
      <c r="Q4378" t="str">
        <f>"FARMÁCIA INDIANA LJ 184 (10080)"</f>
        <v>FARMÁCIA INDIANA LJ 184 (10080)</v>
      </c>
      <c r="R4378" t="str">
        <f t="shared" si="2097"/>
        <v>RECEITAS COM ENTREGAS (303)</v>
      </c>
      <c r="S4378">
        <v>2255</v>
      </c>
      <c r="T4378">
        <v>1732</v>
      </c>
      <c r="U4378" t="s">
        <v>19</v>
      </c>
    </row>
    <row r="4379" spans="1:21">
      <c r="A4379" t="str">
        <f t="shared" si="2091"/>
        <v>06/08/2025</v>
      </c>
      <c r="B4379" t="str">
        <f t="shared" si="2083"/>
        <v>ENTRADA</v>
      </c>
      <c r="C4379" t="str">
        <f t="shared" si="2092"/>
        <v>NFSE</v>
      </c>
      <c r="D4379" t="str">
        <f t="shared" si="2088"/>
        <v>3278</v>
      </c>
      <c r="E4379" t="str">
        <f t="shared" si="2085"/>
        <v>COM</v>
      </c>
      <c r="F4379" t="str">
        <f t="shared" si="2089"/>
        <v>FARMÁCIA INDIANA LJ 1 (10126)</v>
      </c>
      <c r="G4379" t="str">
        <f t="shared" si="2090"/>
        <v>Serv.Prest. 21/07/2025 a 24/07/2025 - RPS: 1045 - NFSe: 3278</v>
      </c>
      <c r="H4379" t="str">
        <f t="shared" si="2093"/>
        <v>06/08/2025</v>
      </c>
      <c r="I4379" t="str">
        <f t="shared" si="2094"/>
        <v>25/07/2025</v>
      </c>
      <c r="J4379" t="str">
        <f t="shared" si="2095"/>
        <v>06/08/2025</v>
      </c>
      <c r="M4379">
        <v>303</v>
      </c>
      <c r="N4379" t="str">
        <f t="shared" si="2096"/>
        <v>RECEITAS COM ENTREGAS</v>
      </c>
      <c r="P4379">
        <v>74.650000000000006</v>
      </c>
      <c r="Q4379" t="str">
        <f>"FARMÁCIA INDIANA LJ 186 (10081)"</f>
        <v>FARMÁCIA INDIANA LJ 186 (10081)</v>
      </c>
      <c r="R4379" t="str">
        <f t="shared" si="2097"/>
        <v>RECEITAS COM ENTREGAS (303)</v>
      </c>
      <c r="S4379">
        <v>2255</v>
      </c>
      <c r="T4379">
        <v>1732</v>
      </c>
      <c r="U4379" t="s">
        <v>19</v>
      </c>
    </row>
    <row r="4380" spans="1:21">
      <c r="A4380" t="str">
        <f t="shared" si="2091"/>
        <v>06/08/2025</v>
      </c>
      <c r="B4380" t="str">
        <f t="shared" si="2083"/>
        <v>ENTRADA</v>
      </c>
      <c r="C4380" t="str">
        <f t="shared" si="2092"/>
        <v>NFSE</v>
      </c>
      <c r="D4380" t="str">
        <f t="shared" si="2088"/>
        <v>3278</v>
      </c>
      <c r="E4380" t="str">
        <f t="shared" si="2085"/>
        <v>COM</v>
      </c>
      <c r="F4380" t="str">
        <f t="shared" si="2089"/>
        <v>FARMÁCIA INDIANA LJ 1 (10126)</v>
      </c>
      <c r="G4380" t="str">
        <f t="shared" si="2090"/>
        <v>Serv.Prest. 21/07/2025 a 24/07/2025 - RPS: 1045 - NFSe: 3278</v>
      </c>
      <c r="H4380" t="str">
        <f t="shared" si="2093"/>
        <v>06/08/2025</v>
      </c>
      <c r="I4380" t="str">
        <f t="shared" si="2094"/>
        <v>25/07/2025</v>
      </c>
      <c r="J4380" t="str">
        <f t="shared" si="2095"/>
        <v>06/08/2025</v>
      </c>
      <c r="M4380">
        <v>303</v>
      </c>
      <c r="N4380" t="str">
        <f t="shared" si="2096"/>
        <v>RECEITAS COM ENTREGAS</v>
      </c>
      <c r="P4380">
        <v>89.39</v>
      </c>
      <c r="Q4380" t="str">
        <f>"FARMÁCIA INDIANA LJ 192 (10082)"</f>
        <v>FARMÁCIA INDIANA LJ 192 (10082)</v>
      </c>
      <c r="R4380" t="str">
        <f t="shared" si="2097"/>
        <v>RECEITAS COM ENTREGAS (303)</v>
      </c>
      <c r="S4380">
        <v>2255</v>
      </c>
      <c r="T4380">
        <v>1732</v>
      </c>
      <c r="U4380" t="s">
        <v>19</v>
      </c>
    </row>
    <row r="4381" spans="1:21">
      <c r="A4381" t="str">
        <f t="shared" si="2091"/>
        <v>06/08/2025</v>
      </c>
      <c r="B4381" t="str">
        <f t="shared" si="2083"/>
        <v>ENTRADA</v>
      </c>
      <c r="C4381" t="str">
        <f t="shared" si="2092"/>
        <v>NFSE</v>
      </c>
      <c r="D4381" t="str">
        <f t="shared" si="2088"/>
        <v>3278</v>
      </c>
      <c r="E4381" t="str">
        <f t="shared" si="2085"/>
        <v>COM</v>
      </c>
      <c r="F4381" t="str">
        <f t="shared" si="2089"/>
        <v>FARMÁCIA INDIANA LJ 1 (10126)</v>
      </c>
      <c r="G4381" t="str">
        <f t="shared" si="2090"/>
        <v>Serv.Prest. 21/07/2025 a 24/07/2025 - RPS: 1045 - NFSe: 3278</v>
      </c>
      <c r="H4381" t="str">
        <f t="shared" si="2093"/>
        <v>06/08/2025</v>
      </c>
      <c r="I4381" t="str">
        <f t="shared" si="2094"/>
        <v>25/07/2025</v>
      </c>
      <c r="J4381" t="str">
        <f t="shared" si="2095"/>
        <v>06/08/2025</v>
      </c>
      <c r="M4381">
        <v>303</v>
      </c>
      <c r="N4381" t="str">
        <f t="shared" si="2096"/>
        <v>RECEITAS COM ENTREGAS</v>
      </c>
      <c r="P4381">
        <v>40.270000000000003</v>
      </c>
      <c r="Q4381" t="str">
        <f>"FARMÁCIA INDIANA LJ 195 (10083)"</f>
        <v>FARMÁCIA INDIANA LJ 195 (10083)</v>
      </c>
      <c r="R4381" t="str">
        <f t="shared" si="2097"/>
        <v>RECEITAS COM ENTREGAS (303)</v>
      </c>
      <c r="S4381">
        <v>2255</v>
      </c>
      <c r="T4381">
        <v>1732</v>
      </c>
      <c r="U4381" t="s">
        <v>19</v>
      </c>
    </row>
    <row r="4382" spans="1:21">
      <c r="A4382" t="str">
        <f t="shared" si="2091"/>
        <v>06/08/2025</v>
      </c>
      <c r="B4382" t="str">
        <f t="shared" si="2083"/>
        <v>ENTRADA</v>
      </c>
      <c r="C4382" t="str">
        <f t="shared" si="2092"/>
        <v>NFSE</v>
      </c>
      <c r="D4382" t="str">
        <f t="shared" si="2088"/>
        <v>3278</v>
      </c>
      <c r="E4382" t="str">
        <f t="shared" si="2085"/>
        <v>COM</v>
      </c>
      <c r="F4382" t="str">
        <f t="shared" si="2089"/>
        <v>FARMÁCIA INDIANA LJ 1 (10126)</v>
      </c>
      <c r="G4382" t="str">
        <f t="shared" si="2090"/>
        <v>Serv.Prest. 21/07/2025 a 24/07/2025 - RPS: 1045 - NFSe: 3278</v>
      </c>
      <c r="H4382" t="str">
        <f t="shared" si="2093"/>
        <v>06/08/2025</v>
      </c>
      <c r="I4382" t="str">
        <f t="shared" si="2094"/>
        <v>25/07/2025</v>
      </c>
      <c r="J4382" t="str">
        <f t="shared" si="2095"/>
        <v>06/08/2025</v>
      </c>
      <c r="M4382">
        <v>303</v>
      </c>
      <c r="N4382" t="str">
        <f t="shared" si="2096"/>
        <v>RECEITAS COM ENTREGAS</v>
      </c>
      <c r="P4382">
        <v>149.31</v>
      </c>
      <c r="Q4382" t="str">
        <f>"FARMÁCIA INDIANA LJ 202 (10085)"</f>
        <v>FARMÁCIA INDIANA LJ 202 (10085)</v>
      </c>
      <c r="R4382" t="str">
        <f t="shared" si="2097"/>
        <v>RECEITAS COM ENTREGAS (303)</v>
      </c>
      <c r="S4382">
        <v>2255</v>
      </c>
      <c r="T4382">
        <v>1732</v>
      </c>
      <c r="U4382" t="s">
        <v>19</v>
      </c>
    </row>
    <row r="4383" spans="1:21">
      <c r="A4383" t="str">
        <f t="shared" si="2091"/>
        <v>06/08/2025</v>
      </c>
      <c r="B4383" t="str">
        <f t="shared" si="2083"/>
        <v>ENTRADA</v>
      </c>
      <c r="C4383" t="str">
        <f t="shared" si="2092"/>
        <v>NFSE</v>
      </c>
      <c r="D4383" t="str">
        <f t="shared" si="2088"/>
        <v>3278</v>
      </c>
      <c r="E4383" t="str">
        <f t="shared" si="2085"/>
        <v>COM</v>
      </c>
      <c r="F4383" t="str">
        <f t="shared" si="2089"/>
        <v>FARMÁCIA INDIANA LJ 1 (10126)</v>
      </c>
      <c r="G4383" t="str">
        <f t="shared" si="2090"/>
        <v>Serv.Prest. 21/07/2025 a 24/07/2025 - RPS: 1045 - NFSe: 3278</v>
      </c>
      <c r="H4383" t="str">
        <f t="shared" si="2093"/>
        <v>06/08/2025</v>
      </c>
      <c r="I4383" t="str">
        <f t="shared" si="2094"/>
        <v>25/07/2025</v>
      </c>
      <c r="J4383" t="str">
        <f t="shared" si="2095"/>
        <v>06/08/2025</v>
      </c>
      <c r="M4383">
        <v>303</v>
      </c>
      <c r="N4383" t="str">
        <f t="shared" si="2096"/>
        <v>RECEITAS COM ENTREGAS</v>
      </c>
      <c r="P4383">
        <v>107.07</v>
      </c>
      <c r="Q4383" t="str">
        <f>"FARMÁCIA INDIANA LJ 204 (10087)"</f>
        <v>FARMÁCIA INDIANA LJ 204 (10087)</v>
      </c>
      <c r="R4383" t="str">
        <f t="shared" si="2097"/>
        <v>RECEITAS COM ENTREGAS (303)</v>
      </c>
      <c r="S4383">
        <v>2255</v>
      </c>
      <c r="T4383">
        <v>1732</v>
      </c>
      <c r="U4383" t="s">
        <v>19</v>
      </c>
    </row>
    <row r="4384" spans="1:21">
      <c r="A4384" t="str">
        <f t="shared" si="2091"/>
        <v>06/08/2025</v>
      </c>
      <c r="B4384" t="str">
        <f t="shared" si="2083"/>
        <v>ENTRADA</v>
      </c>
      <c r="C4384" t="str">
        <f t="shared" si="2092"/>
        <v>NFSE</v>
      </c>
      <c r="D4384" t="str">
        <f t="shared" si="2088"/>
        <v>3278</v>
      </c>
      <c r="E4384" t="str">
        <f t="shared" si="2085"/>
        <v>COM</v>
      </c>
      <c r="F4384" t="str">
        <f t="shared" si="2089"/>
        <v>FARMÁCIA INDIANA LJ 1 (10126)</v>
      </c>
      <c r="G4384" t="str">
        <f t="shared" si="2090"/>
        <v>Serv.Prest. 21/07/2025 a 24/07/2025 - RPS: 1045 - NFSe: 3278</v>
      </c>
      <c r="H4384" t="str">
        <f t="shared" si="2093"/>
        <v>06/08/2025</v>
      </c>
      <c r="I4384" t="str">
        <f t="shared" si="2094"/>
        <v>25/07/2025</v>
      </c>
      <c r="J4384" t="str">
        <f t="shared" si="2095"/>
        <v>06/08/2025</v>
      </c>
      <c r="M4384">
        <v>303</v>
      </c>
      <c r="N4384" t="str">
        <f t="shared" si="2096"/>
        <v>RECEITAS COM ENTREGAS</v>
      </c>
      <c r="P4384">
        <v>107.07</v>
      </c>
      <c r="Q4384" t="str">
        <f>"FARMÁCIA INDIANA LJ 207 (10088)"</f>
        <v>FARMÁCIA INDIANA LJ 207 (10088)</v>
      </c>
      <c r="R4384" t="str">
        <f t="shared" si="2097"/>
        <v>RECEITAS COM ENTREGAS (303)</v>
      </c>
      <c r="S4384">
        <v>2255</v>
      </c>
      <c r="T4384">
        <v>1732</v>
      </c>
      <c r="U4384" t="s">
        <v>19</v>
      </c>
    </row>
    <row r="4385" spans="1:21">
      <c r="A4385" t="str">
        <f t="shared" si="2091"/>
        <v>06/08/2025</v>
      </c>
      <c r="B4385" t="str">
        <f t="shared" si="2083"/>
        <v>ENTRADA</v>
      </c>
      <c r="C4385" t="str">
        <f t="shared" si="2092"/>
        <v>NFSE</v>
      </c>
      <c r="D4385" t="str">
        <f t="shared" si="2088"/>
        <v>3278</v>
      </c>
      <c r="E4385" t="str">
        <f t="shared" si="2085"/>
        <v>COM</v>
      </c>
      <c r="F4385" t="str">
        <f t="shared" si="2089"/>
        <v>FARMÁCIA INDIANA LJ 1 (10126)</v>
      </c>
      <c r="G4385" t="str">
        <f t="shared" si="2090"/>
        <v>Serv.Prest. 21/07/2025 a 24/07/2025 - RPS: 1045 - NFSe: 3278</v>
      </c>
      <c r="H4385" t="str">
        <f t="shared" si="2093"/>
        <v>06/08/2025</v>
      </c>
      <c r="I4385" t="str">
        <f t="shared" si="2094"/>
        <v>25/07/2025</v>
      </c>
      <c r="J4385" t="str">
        <f t="shared" si="2095"/>
        <v>06/08/2025</v>
      </c>
      <c r="M4385">
        <v>303</v>
      </c>
      <c r="N4385" t="str">
        <f t="shared" si="2096"/>
        <v>RECEITAS COM ENTREGAS</v>
      </c>
      <c r="P4385">
        <v>125.73</v>
      </c>
      <c r="Q4385" t="str">
        <f>"FARMÁCIA INDIANA LJ 209 (10089)"</f>
        <v>FARMÁCIA INDIANA LJ 209 (10089)</v>
      </c>
      <c r="R4385" t="str">
        <f t="shared" si="2097"/>
        <v>RECEITAS COM ENTREGAS (303)</v>
      </c>
      <c r="S4385">
        <v>2255</v>
      </c>
      <c r="T4385">
        <v>1732</v>
      </c>
      <c r="U4385" t="s">
        <v>19</v>
      </c>
    </row>
    <row r="4386" spans="1:21">
      <c r="A4386" t="str">
        <f t="shared" si="2091"/>
        <v>06/08/2025</v>
      </c>
      <c r="B4386" t="str">
        <f t="shared" si="2083"/>
        <v>ENTRADA</v>
      </c>
      <c r="C4386" t="str">
        <f t="shared" si="2092"/>
        <v>NFSE</v>
      </c>
      <c r="D4386" t="str">
        <f t="shared" si="2088"/>
        <v>3278</v>
      </c>
      <c r="E4386" t="str">
        <f t="shared" si="2085"/>
        <v>COM</v>
      </c>
      <c r="F4386" t="str">
        <f t="shared" si="2089"/>
        <v>FARMÁCIA INDIANA LJ 1 (10126)</v>
      </c>
      <c r="G4386" t="str">
        <f t="shared" si="2090"/>
        <v>Serv.Prest. 21/07/2025 a 24/07/2025 - RPS: 1045 - NFSe: 3278</v>
      </c>
      <c r="H4386" t="str">
        <f t="shared" si="2093"/>
        <v>06/08/2025</v>
      </c>
      <c r="I4386" t="str">
        <f t="shared" si="2094"/>
        <v>25/07/2025</v>
      </c>
      <c r="J4386" t="str">
        <f t="shared" si="2095"/>
        <v>06/08/2025</v>
      </c>
      <c r="M4386">
        <v>303</v>
      </c>
      <c r="N4386" t="str">
        <f t="shared" si="2096"/>
        <v>RECEITAS COM ENTREGAS</v>
      </c>
      <c r="P4386">
        <v>160.11000000000001</v>
      </c>
      <c r="Q4386" t="str">
        <f>"FARMÁCIA INDIANA LJ 219 (10091)"</f>
        <v>FARMÁCIA INDIANA LJ 219 (10091)</v>
      </c>
      <c r="R4386" t="str">
        <f t="shared" si="2097"/>
        <v>RECEITAS COM ENTREGAS (303)</v>
      </c>
      <c r="S4386">
        <v>2255</v>
      </c>
      <c r="T4386">
        <v>1732</v>
      </c>
      <c r="U4386" t="s">
        <v>19</v>
      </c>
    </row>
    <row r="4387" spans="1:21">
      <c r="A4387" t="str">
        <f t="shared" ref="A4387:A4413" si="2098">("06/08/2025")</f>
        <v>06/08/2025</v>
      </c>
      <c r="B4387" t="str">
        <f t="shared" si="2083"/>
        <v>ENTRADA</v>
      </c>
      <c r="C4387" t="str">
        <f t="shared" ref="C4387:C4401" si="2099">"NFSE"</f>
        <v>NFSE</v>
      </c>
      <c r="D4387" t="str">
        <f t="shared" si="2088"/>
        <v>3278</v>
      </c>
      <c r="E4387" t="str">
        <f t="shared" si="2085"/>
        <v>COM</v>
      </c>
      <c r="F4387" t="str">
        <f t="shared" si="2089"/>
        <v>FARMÁCIA INDIANA LJ 1 (10126)</v>
      </c>
      <c r="G4387" t="str">
        <f t="shared" si="2090"/>
        <v>Serv.Prest. 21/07/2025 a 24/07/2025 - RPS: 1045 - NFSe: 3278</v>
      </c>
      <c r="H4387" t="str">
        <f t="shared" ref="H4387:H4418" si="2100">("06/08/2025")</f>
        <v>06/08/2025</v>
      </c>
      <c r="I4387" t="str">
        <f t="shared" si="2094"/>
        <v>25/07/2025</v>
      </c>
      <c r="J4387" t="str">
        <f t="shared" ref="J4387:J4413" si="2101">("06/08/2025")</f>
        <v>06/08/2025</v>
      </c>
      <c r="M4387">
        <v>303</v>
      </c>
      <c r="N4387" t="str">
        <f t="shared" ref="N4387:N4401" si="2102">"RECEITAS COM ENTREGAS"</f>
        <v>RECEITAS COM ENTREGAS</v>
      </c>
      <c r="P4387">
        <v>149.31</v>
      </c>
      <c r="Q4387" t="str">
        <f>"FARMÁCIA INDIANA LJ 220 (10092)"</f>
        <v>FARMÁCIA INDIANA LJ 220 (10092)</v>
      </c>
      <c r="R4387" t="str">
        <f t="shared" ref="R4387:R4401" si="2103">"RECEITAS COM ENTREGAS (303)"</f>
        <v>RECEITAS COM ENTREGAS (303)</v>
      </c>
      <c r="S4387">
        <v>2255</v>
      </c>
      <c r="T4387">
        <v>1732</v>
      </c>
      <c r="U4387" t="s">
        <v>19</v>
      </c>
    </row>
    <row r="4388" spans="1:21">
      <c r="A4388" t="str">
        <f t="shared" si="2098"/>
        <v>06/08/2025</v>
      </c>
      <c r="B4388" t="str">
        <f t="shared" ref="B4388:B4401" si="2104">"ENTRADA"</f>
        <v>ENTRADA</v>
      </c>
      <c r="C4388" t="str">
        <f t="shared" si="2099"/>
        <v>NFSE</v>
      </c>
      <c r="D4388" t="str">
        <f t="shared" si="2088"/>
        <v>3278</v>
      </c>
      <c r="E4388" t="str">
        <f t="shared" si="2085"/>
        <v>COM</v>
      </c>
      <c r="F4388" t="str">
        <f t="shared" si="2089"/>
        <v>FARMÁCIA INDIANA LJ 1 (10126)</v>
      </c>
      <c r="G4388" t="str">
        <f t="shared" si="2090"/>
        <v>Serv.Prest. 21/07/2025 a 24/07/2025 - RPS: 1045 - NFSe: 3278</v>
      </c>
      <c r="H4388" t="str">
        <f t="shared" si="2100"/>
        <v>06/08/2025</v>
      </c>
      <c r="I4388" t="str">
        <f t="shared" si="2094"/>
        <v>25/07/2025</v>
      </c>
      <c r="J4388" t="str">
        <f t="shared" si="2101"/>
        <v>06/08/2025</v>
      </c>
      <c r="M4388">
        <v>303</v>
      </c>
      <c r="N4388" t="str">
        <f t="shared" si="2102"/>
        <v>RECEITAS COM ENTREGAS</v>
      </c>
      <c r="P4388">
        <v>193.51</v>
      </c>
      <c r="Q4388" t="str">
        <f>"FARMÁCIA INDIANA LJ 185 (10141)"</f>
        <v>FARMÁCIA INDIANA LJ 185 (10141)</v>
      </c>
      <c r="R4388" t="str">
        <f t="shared" si="2103"/>
        <v>RECEITAS COM ENTREGAS (303)</v>
      </c>
      <c r="S4388">
        <v>2255</v>
      </c>
      <c r="T4388">
        <v>1732</v>
      </c>
      <c r="U4388" t="s">
        <v>19</v>
      </c>
    </row>
    <row r="4389" spans="1:21">
      <c r="A4389" t="str">
        <f t="shared" si="2098"/>
        <v>06/08/2025</v>
      </c>
      <c r="B4389" t="str">
        <f t="shared" si="2104"/>
        <v>ENTRADA</v>
      </c>
      <c r="C4389" t="str">
        <f t="shared" si="2099"/>
        <v>NFSE</v>
      </c>
      <c r="D4389" t="str">
        <f t="shared" si="2088"/>
        <v>3278</v>
      </c>
      <c r="E4389" t="str">
        <f t="shared" si="2085"/>
        <v>COM</v>
      </c>
      <c r="F4389" t="str">
        <f t="shared" si="2089"/>
        <v>FARMÁCIA INDIANA LJ 1 (10126)</v>
      </c>
      <c r="G4389" t="str">
        <f t="shared" si="2090"/>
        <v>Serv.Prest. 21/07/2025 a 24/07/2025 - RPS: 1045 - NFSe: 3278</v>
      </c>
      <c r="H4389" t="str">
        <f t="shared" si="2100"/>
        <v>06/08/2025</v>
      </c>
      <c r="I4389" t="str">
        <f t="shared" si="2094"/>
        <v>25/07/2025</v>
      </c>
      <c r="J4389" t="str">
        <f t="shared" si="2101"/>
        <v>06/08/2025</v>
      </c>
      <c r="M4389">
        <v>303</v>
      </c>
      <c r="N4389" t="str">
        <f t="shared" si="2102"/>
        <v>RECEITAS COM ENTREGAS</v>
      </c>
      <c r="P4389">
        <v>387.02</v>
      </c>
      <c r="Q4389" t="str">
        <f>"FARMÁCIA INDIANA LJ 172 (10161)"</f>
        <v>FARMÁCIA INDIANA LJ 172 (10161)</v>
      </c>
      <c r="R4389" t="str">
        <f t="shared" si="2103"/>
        <v>RECEITAS COM ENTREGAS (303)</v>
      </c>
      <c r="S4389">
        <v>2255</v>
      </c>
      <c r="T4389">
        <v>1732</v>
      </c>
      <c r="U4389" t="s">
        <v>19</v>
      </c>
    </row>
    <row r="4390" spans="1:21">
      <c r="A4390" t="str">
        <f t="shared" si="2098"/>
        <v>06/08/2025</v>
      </c>
      <c r="B4390" t="str">
        <f t="shared" si="2104"/>
        <v>ENTRADA</v>
      </c>
      <c r="C4390" t="str">
        <f t="shared" si="2099"/>
        <v>NFSE</v>
      </c>
      <c r="D4390" t="str">
        <f>"3305"</f>
        <v>3305</v>
      </c>
      <c r="E4390" t="str">
        <f t="shared" si="2085"/>
        <v>COM</v>
      </c>
      <c r="F4390" t="str">
        <f>"DROGARIA AGAPEAMA (10167)"</f>
        <v>DROGARIA AGAPEAMA (10167)</v>
      </c>
      <c r="G4390" t="str">
        <f>"Serv.Prest. 28/07/2025 a 03/08/2025 - RPS: 1071 - NFSe: 3305"</f>
        <v>Serv.Prest. 28/07/2025 a 03/08/2025 - RPS: 1071 - NFSe: 3305</v>
      </c>
      <c r="H4390" t="str">
        <f t="shared" si="2100"/>
        <v>06/08/2025</v>
      </c>
      <c r="I4390" t="str">
        <f t="shared" ref="I4390:I4401" si="2105">("04/08/2025")</f>
        <v>04/08/2025</v>
      </c>
      <c r="J4390" t="str">
        <f t="shared" si="2101"/>
        <v>06/08/2025</v>
      </c>
      <c r="K4390">
        <v>409.6</v>
      </c>
      <c r="L4390">
        <v>409.6</v>
      </c>
      <c r="M4390">
        <v>303</v>
      </c>
      <c r="N4390" t="str">
        <f t="shared" si="2102"/>
        <v>RECEITAS COM ENTREGAS</v>
      </c>
      <c r="O4390">
        <v>409.6</v>
      </c>
      <c r="R4390" t="str">
        <f t="shared" si="2103"/>
        <v>RECEITAS COM ENTREGAS (303)</v>
      </c>
      <c r="S4390">
        <v>2256</v>
      </c>
      <c r="T4390">
        <v>1759</v>
      </c>
      <c r="U4390" t="s">
        <v>19</v>
      </c>
    </row>
    <row r="4391" spans="1:21">
      <c r="A4391" t="str">
        <f t="shared" si="2098"/>
        <v>06/08/2025</v>
      </c>
      <c r="B4391" t="str">
        <f t="shared" si="2104"/>
        <v>ENTRADA</v>
      </c>
      <c r="C4391" t="str">
        <f t="shared" si="2099"/>
        <v>NFSE</v>
      </c>
      <c r="D4391" t="str">
        <f>"3305"</f>
        <v>3305</v>
      </c>
      <c r="E4391" t="str">
        <f t="shared" si="2085"/>
        <v>COM</v>
      </c>
      <c r="F4391" t="str">
        <f>"DROGARIA AGAPEAMA (10167)"</f>
        <v>DROGARIA AGAPEAMA (10167)</v>
      </c>
      <c r="G4391" t="str">
        <f>"Serv.Prest. 28/07/2025 a 03/08/2025 - RPS: 1071 - NFSe: 3305"</f>
        <v>Serv.Prest. 28/07/2025 a 03/08/2025 - RPS: 1071 - NFSe: 3305</v>
      </c>
      <c r="H4391" t="str">
        <f t="shared" si="2100"/>
        <v>06/08/2025</v>
      </c>
      <c r="I4391" t="str">
        <f t="shared" si="2105"/>
        <v>04/08/2025</v>
      </c>
      <c r="J4391" t="str">
        <f t="shared" si="2101"/>
        <v>06/08/2025</v>
      </c>
      <c r="M4391">
        <v>303</v>
      </c>
      <c r="N4391" t="str">
        <f t="shared" si="2102"/>
        <v>RECEITAS COM ENTREGAS</v>
      </c>
      <c r="P4391">
        <v>409.6</v>
      </c>
      <c r="Q4391" t="str">
        <f>"DROGARIA AGAPEAMA (10167)"</f>
        <v>DROGARIA AGAPEAMA (10167)</v>
      </c>
      <c r="R4391" t="str">
        <f t="shared" si="2103"/>
        <v>RECEITAS COM ENTREGAS (303)</v>
      </c>
      <c r="S4391">
        <v>2256</v>
      </c>
      <c r="T4391">
        <v>1759</v>
      </c>
      <c r="U4391" t="s">
        <v>19</v>
      </c>
    </row>
    <row r="4392" spans="1:21">
      <c r="A4392" t="str">
        <f t="shared" si="2098"/>
        <v>06/08/2025</v>
      </c>
      <c r="B4392" t="str">
        <f t="shared" si="2104"/>
        <v>ENTRADA</v>
      </c>
      <c r="C4392" t="str">
        <f t="shared" si="2099"/>
        <v>NFSE</v>
      </c>
      <c r="D4392" t="str">
        <f>"3307"</f>
        <v>3307</v>
      </c>
      <c r="E4392" t="str">
        <f t="shared" si="2085"/>
        <v>COM</v>
      </c>
      <c r="F4392" t="str">
        <f>"ENTREFARMA (10164)"</f>
        <v>ENTREFARMA (10164)</v>
      </c>
      <c r="G4392" t="str">
        <f>"Serv.Prest. 28/07/2025 a 03/08/2025 - RPS: 1073 - NFSe: 3307"</f>
        <v>Serv.Prest. 28/07/2025 a 03/08/2025 - RPS: 1073 - NFSe: 3307</v>
      </c>
      <c r="H4392" t="str">
        <f t="shared" si="2100"/>
        <v>06/08/2025</v>
      </c>
      <c r="I4392" t="str">
        <f t="shared" si="2105"/>
        <v>04/08/2025</v>
      </c>
      <c r="J4392" t="str">
        <f t="shared" si="2101"/>
        <v>06/08/2025</v>
      </c>
      <c r="K4392">
        <v>937.04</v>
      </c>
      <c r="L4392">
        <v>937.04</v>
      </c>
      <c r="M4392">
        <v>303</v>
      </c>
      <c r="N4392" t="str">
        <f t="shared" si="2102"/>
        <v>RECEITAS COM ENTREGAS</v>
      </c>
      <c r="O4392">
        <v>937.04</v>
      </c>
      <c r="R4392" t="str">
        <f t="shared" si="2103"/>
        <v>RECEITAS COM ENTREGAS (303)</v>
      </c>
      <c r="S4392">
        <v>2257</v>
      </c>
      <c r="T4392">
        <v>1761</v>
      </c>
      <c r="U4392" t="s">
        <v>19</v>
      </c>
    </row>
    <row r="4393" spans="1:21">
      <c r="A4393" t="str">
        <f t="shared" si="2098"/>
        <v>06/08/2025</v>
      </c>
      <c r="B4393" t="str">
        <f t="shared" si="2104"/>
        <v>ENTRADA</v>
      </c>
      <c r="C4393" t="str">
        <f t="shared" si="2099"/>
        <v>NFSE</v>
      </c>
      <c r="D4393" t="str">
        <f>"3307"</f>
        <v>3307</v>
      </c>
      <c r="E4393" t="str">
        <f t="shared" si="2085"/>
        <v>COM</v>
      </c>
      <c r="F4393" t="str">
        <f>"ENTREFARMA (10164)"</f>
        <v>ENTREFARMA (10164)</v>
      </c>
      <c r="G4393" t="str">
        <f>"Serv.Prest. 28/07/2025 a 03/08/2025 - RPS: 1073 - NFSe: 3307"</f>
        <v>Serv.Prest. 28/07/2025 a 03/08/2025 - RPS: 1073 - NFSe: 3307</v>
      </c>
      <c r="H4393" t="str">
        <f t="shared" si="2100"/>
        <v>06/08/2025</v>
      </c>
      <c r="I4393" t="str">
        <f t="shared" si="2105"/>
        <v>04/08/2025</v>
      </c>
      <c r="J4393" t="str">
        <f t="shared" si="2101"/>
        <v>06/08/2025</v>
      </c>
      <c r="M4393">
        <v>303</v>
      </c>
      <c r="N4393" t="str">
        <f t="shared" si="2102"/>
        <v>RECEITAS COM ENTREGAS</v>
      </c>
      <c r="P4393">
        <v>937.04</v>
      </c>
      <c r="Q4393" t="str">
        <f>"ENTREFARMA (10164)"</f>
        <v>ENTREFARMA (10164)</v>
      </c>
      <c r="R4393" t="str">
        <f t="shared" si="2103"/>
        <v>RECEITAS COM ENTREGAS (303)</v>
      </c>
      <c r="S4393">
        <v>2257</v>
      </c>
      <c r="T4393">
        <v>1761</v>
      </c>
      <c r="U4393" t="s">
        <v>19</v>
      </c>
    </row>
    <row r="4394" spans="1:21">
      <c r="A4394" t="str">
        <f t="shared" si="2098"/>
        <v>06/08/2025</v>
      </c>
      <c r="B4394" t="str">
        <f t="shared" si="2104"/>
        <v>ENTRADA</v>
      </c>
      <c r="C4394" t="str">
        <f t="shared" si="2099"/>
        <v>NFSE</v>
      </c>
      <c r="D4394" t="str">
        <f>"3308"</f>
        <v>3308</v>
      </c>
      <c r="E4394" t="str">
        <f t="shared" si="2085"/>
        <v>COM</v>
      </c>
      <c r="F4394" t="str">
        <f>"ROSA MARIA LTDA (10165)"</f>
        <v>ROSA MARIA LTDA (10165)</v>
      </c>
      <c r="G4394" t="str">
        <f>"Serv.Prest. 28/07/2025 a 03/08/2025 - RPS: 1074 - NFSe: 3308"</f>
        <v>Serv.Prest. 28/07/2025 a 03/08/2025 - RPS: 1074 - NFSe: 3308</v>
      </c>
      <c r="H4394" t="str">
        <f t="shared" si="2100"/>
        <v>06/08/2025</v>
      </c>
      <c r="I4394" t="str">
        <f t="shared" si="2105"/>
        <v>04/08/2025</v>
      </c>
      <c r="J4394" t="str">
        <f t="shared" si="2101"/>
        <v>06/08/2025</v>
      </c>
      <c r="K4394">
        <v>304.64</v>
      </c>
      <c r="L4394">
        <v>304.64</v>
      </c>
      <c r="M4394">
        <v>303</v>
      </c>
      <c r="N4394" t="str">
        <f t="shared" si="2102"/>
        <v>RECEITAS COM ENTREGAS</v>
      </c>
      <c r="O4394">
        <v>304.64</v>
      </c>
      <c r="R4394" t="str">
        <f t="shared" si="2103"/>
        <v>RECEITAS COM ENTREGAS (303)</v>
      </c>
      <c r="S4394">
        <v>2258</v>
      </c>
      <c r="T4394">
        <v>1762</v>
      </c>
      <c r="U4394" t="s">
        <v>19</v>
      </c>
    </row>
    <row r="4395" spans="1:21">
      <c r="A4395" t="str">
        <f t="shared" si="2098"/>
        <v>06/08/2025</v>
      </c>
      <c r="B4395" t="str">
        <f t="shared" si="2104"/>
        <v>ENTRADA</v>
      </c>
      <c r="C4395" t="str">
        <f t="shared" si="2099"/>
        <v>NFSE</v>
      </c>
      <c r="D4395" t="str">
        <f>"3308"</f>
        <v>3308</v>
      </c>
      <c r="E4395" t="str">
        <f t="shared" si="2085"/>
        <v>COM</v>
      </c>
      <c r="F4395" t="str">
        <f>"ROSA MARIA LTDA (10165)"</f>
        <v>ROSA MARIA LTDA (10165)</v>
      </c>
      <c r="G4395" t="str">
        <f>"Serv.Prest. 28/07/2025 a 03/08/2025 - RPS: 1074 - NFSe: 3308"</f>
        <v>Serv.Prest. 28/07/2025 a 03/08/2025 - RPS: 1074 - NFSe: 3308</v>
      </c>
      <c r="H4395" t="str">
        <f t="shared" si="2100"/>
        <v>06/08/2025</v>
      </c>
      <c r="I4395" t="str">
        <f t="shared" si="2105"/>
        <v>04/08/2025</v>
      </c>
      <c r="J4395" t="str">
        <f t="shared" si="2101"/>
        <v>06/08/2025</v>
      </c>
      <c r="M4395">
        <v>303</v>
      </c>
      <c r="N4395" t="str">
        <f t="shared" si="2102"/>
        <v>RECEITAS COM ENTREGAS</v>
      </c>
      <c r="P4395">
        <v>304.64</v>
      </c>
      <c r="Q4395" t="str">
        <f>"ROSA MARIA LTDA (10170)"</f>
        <v>ROSA MARIA LTDA (10170)</v>
      </c>
      <c r="R4395" t="str">
        <f t="shared" si="2103"/>
        <v>RECEITAS COM ENTREGAS (303)</v>
      </c>
      <c r="S4395">
        <v>2258</v>
      </c>
      <c r="T4395">
        <v>1762</v>
      </c>
      <c r="U4395" t="s">
        <v>19</v>
      </c>
    </row>
    <row r="4396" spans="1:21">
      <c r="A4396" t="str">
        <f t="shared" si="2098"/>
        <v>06/08/2025</v>
      </c>
      <c r="B4396" t="str">
        <f t="shared" si="2104"/>
        <v>ENTRADA</v>
      </c>
      <c r="C4396" t="str">
        <f t="shared" si="2099"/>
        <v>NFSE</v>
      </c>
      <c r="D4396" t="str">
        <f>"3311"</f>
        <v>3311</v>
      </c>
      <c r="E4396" t="str">
        <f t="shared" si="2085"/>
        <v>COM</v>
      </c>
      <c r="F4396" t="str">
        <f>"DROGARIA MEDIC CENTER LTDA (10172)"</f>
        <v>DROGARIA MEDIC CENTER LTDA (10172)</v>
      </c>
      <c r="G4396" t="str">
        <f>"Serv.Prest. 28/07/2025 a 03/08/2025 - RPS: 1077 - NFSe: 3311"</f>
        <v>Serv.Prest. 28/07/2025 a 03/08/2025 - RPS: 1077 - NFSe: 3311</v>
      </c>
      <c r="H4396" t="str">
        <f t="shared" si="2100"/>
        <v>06/08/2025</v>
      </c>
      <c r="I4396" t="str">
        <f t="shared" si="2105"/>
        <v>04/08/2025</v>
      </c>
      <c r="J4396" t="str">
        <f t="shared" si="2101"/>
        <v>06/08/2025</v>
      </c>
      <c r="K4396">
        <v>144</v>
      </c>
      <c r="L4396">
        <v>144</v>
      </c>
      <c r="M4396">
        <v>303</v>
      </c>
      <c r="N4396" t="str">
        <f t="shared" si="2102"/>
        <v>RECEITAS COM ENTREGAS</v>
      </c>
      <c r="O4396">
        <v>144</v>
      </c>
      <c r="R4396" t="str">
        <f t="shared" si="2103"/>
        <v>RECEITAS COM ENTREGAS (303)</v>
      </c>
      <c r="S4396">
        <v>2259</v>
      </c>
      <c r="T4396">
        <v>1765</v>
      </c>
      <c r="U4396" t="s">
        <v>19</v>
      </c>
    </row>
    <row r="4397" spans="1:21">
      <c r="A4397" t="str">
        <f t="shared" si="2098"/>
        <v>06/08/2025</v>
      </c>
      <c r="B4397" t="str">
        <f t="shared" si="2104"/>
        <v>ENTRADA</v>
      </c>
      <c r="C4397" t="str">
        <f t="shared" si="2099"/>
        <v>NFSE</v>
      </c>
      <c r="D4397" t="str">
        <f>"3311"</f>
        <v>3311</v>
      </c>
      <c r="E4397" t="str">
        <f t="shared" si="2085"/>
        <v>COM</v>
      </c>
      <c r="F4397" t="str">
        <f>"DROGARIA MEDIC CENTER LTDA (10172)"</f>
        <v>DROGARIA MEDIC CENTER LTDA (10172)</v>
      </c>
      <c r="G4397" t="str">
        <f>"Serv.Prest. 28/07/2025 a 03/08/2025 - RPS: 1077 - NFSe: 3311"</f>
        <v>Serv.Prest. 28/07/2025 a 03/08/2025 - RPS: 1077 - NFSe: 3311</v>
      </c>
      <c r="H4397" t="str">
        <f t="shared" si="2100"/>
        <v>06/08/2025</v>
      </c>
      <c r="I4397" t="str">
        <f t="shared" si="2105"/>
        <v>04/08/2025</v>
      </c>
      <c r="J4397" t="str">
        <f t="shared" si="2101"/>
        <v>06/08/2025</v>
      </c>
      <c r="M4397">
        <v>303</v>
      </c>
      <c r="N4397" t="str">
        <f t="shared" si="2102"/>
        <v>RECEITAS COM ENTREGAS</v>
      </c>
      <c r="P4397">
        <v>144</v>
      </c>
      <c r="Q4397" t="str">
        <f>"DROGARIA MEDIC CENTER LTDA (10172)"</f>
        <v>DROGARIA MEDIC CENTER LTDA (10172)</v>
      </c>
      <c r="R4397" t="str">
        <f t="shared" si="2103"/>
        <v>RECEITAS COM ENTREGAS (303)</v>
      </c>
      <c r="S4397">
        <v>2259</v>
      </c>
      <c r="T4397">
        <v>1765</v>
      </c>
      <c r="U4397" t="s">
        <v>19</v>
      </c>
    </row>
    <row r="4398" spans="1:21">
      <c r="A4398" t="str">
        <f t="shared" si="2098"/>
        <v>06/08/2025</v>
      </c>
      <c r="B4398" t="str">
        <f t="shared" si="2104"/>
        <v>ENTRADA</v>
      </c>
      <c r="C4398" t="str">
        <f t="shared" si="2099"/>
        <v>NFSE</v>
      </c>
      <c r="D4398" t="str">
        <f>"3312"</f>
        <v>3312</v>
      </c>
      <c r="E4398" t="str">
        <f t="shared" si="2085"/>
        <v>COM</v>
      </c>
      <c r="F4398" t="str">
        <f>"DROGARIA MORENO LTDA (10171)"</f>
        <v>DROGARIA MORENO LTDA (10171)</v>
      </c>
      <c r="G4398" t="str">
        <f>"Serv.Prest. 28/07/2025 a 03/08/2025 - RPS: 1078 - NFSe: 3312"</f>
        <v>Serv.Prest. 28/07/2025 a 03/08/2025 - RPS: 1078 - NFSe: 3312</v>
      </c>
      <c r="H4398" t="str">
        <f t="shared" si="2100"/>
        <v>06/08/2025</v>
      </c>
      <c r="I4398" t="str">
        <f t="shared" si="2105"/>
        <v>04/08/2025</v>
      </c>
      <c r="J4398" t="str">
        <f t="shared" si="2101"/>
        <v>06/08/2025</v>
      </c>
      <c r="K4398">
        <v>391.5</v>
      </c>
      <c r="L4398">
        <v>391.5</v>
      </c>
      <c r="M4398">
        <v>303</v>
      </c>
      <c r="N4398" t="str">
        <f t="shared" si="2102"/>
        <v>RECEITAS COM ENTREGAS</v>
      </c>
      <c r="O4398">
        <v>391.5</v>
      </c>
      <c r="R4398" t="str">
        <f t="shared" si="2103"/>
        <v>RECEITAS COM ENTREGAS (303)</v>
      </c>
      <c r="S4398">
        <v>2260</v>
      </c>
      <c r="T4398">
        <v>1766</v>
      </c>
      <c r="U4398" t="s">
        <v>19</v>
      </c>
    </row>
    <row r="4399" spans="1:21">
      <c r="A4399" t="str">
        <f t="shared" si="2098"/>
        <v>06/08/2025</v>
      </c>
      <c r="B4399" t="str">
        <f t="shared" si="2104"/>
        <v>ENTRADA</v>
      </c>
      <c r="C4399" t="str">
        <f t="shared" si="2099"/>
        <v>NFSE</v>
      </c>
      <c r="D4399" t="str">
        <f>"3312"</f>
        <v>3312</v>
      </c>
      <c r="E4399" t="str">
        <f t="shared" ref="E4399:E4462" si="2106">"COM"</f>
        <v>COM</v>
      </c>
      <c r="F4399" t="str">
        <f>"DROGARIA MORENO LTDA (10171)"</f>
        <v>DROGARIA MORENO LTDA (10171)</v>
      </c>
      <c r="G4399" t="str">
        <f>"Serv.Prest. 28/07/2025 a 03/08/2025 - RPS: 1078 - NFSe: 3312"</f>
        <v>Serv.Prest. 28/07/2025 a 03/08/2025 - RPS: 1078 - NFSe: 3312</v>
      </c>
      <c r="H4399" t="str">
        <f t="shared" si="2100"/>
        <v>06/08/2025</v>
      </c>
      <c r="I4399" t="str">
        <f t="shared" si="2105"/>
        <v>04/08/2025</v>
      </c>
      <c r="J4399" t="str">
        <f t="shared" si="2101"/>
        <v>06/08/2025</v>
      </c>
      <c r="M4399">
        <v>303</v>
      </c>
      <c r="N4399" t="str">
        <f t="shared" si="2102"/>
        <v>RECEITAS COM ENTREGAS</v>
      </c>
      <c r="P4399">
        <v>391.5</v>
      </c>
      <c r="Q4399" t="str">
        <f>"DROGARIA MORENO LTDA (10171)"</f>
        <v>DROGARIA MORENO LTDA (10171)</v>
      </c>
      <c r="R4399" t="str">
        <f t="shared" si="2103"/>
        <v>RECEITAS COM ENTREGAS (303)</v>
      </c>
      <c r="S4399">
        <v>2260</v>
      </c>
      <c r="T4399">
        <v>1766</v>
      </c>
      <c r="U4399" t="s">
        <v>19</v>
      </c>
    </row>
    <row r="4400" spans="1:21">
      <c r="A4400" t="str">
        <f t="shared" si="2098"/>
        <v>06/08/2025</v>
      </c>
      <c r="B4400" t="str">
        <f t="shared" si="2104"/>
        <v>ENTRADA</v>
      </c>
      <c r="C4400" t="str">
        <f t="shared" si="2099"/>
        <v>NFSE</v>
      </c>
      <c r="D4400" t="str">
        <f>"3317"</f>
        <v>3317</v>
      </c>
      <c r="E4400" t="str">
        <f t="shared" si="2106"/>
        <v>COM</v>
      </c>
      <c r="F4400" t="str">
        <f>"JAL FARMACIA E DROGARIA LJ 2 (10138)"</f>
        <v>JAL FARMACIA E DROGARIA LJ 2 (10138)</v>
      </c>
      <c r="G4400" t="str">
        <f>"Serv.Prest. 28/07/2025 a 03/08/2025 - RPS: 1083 - NFSe: 3317"</f>
        <v>Serv.Prest. 28/07/2025 a 03/08/2025 - RPS: 1083 - NFSe: 3317</v>
      </c>
      <c r="H4400" t="str">
        <f t="shared" si="2100"/>
        <v>06/08/2025</v>
      </c>
      <c r="I4400" t="str">
        <f t="shared" si="2105"/>
        <v>04/08/2025</v>
      </c>
      <c r="J4400" t="str">
        <f t="shared" si="2101"/>
        <v>06/08/2025</v>
      </c>
      <c r="K4400">
        <v>284.8</v>
      </c>
      <c r="L4400">
        <v>284.8</v>
      </c>
      <c r="M4400">
        <v>303</v>
      </c>
      <c r="N4400" t="str">
        <f t="shared" si="2102"/>
        <v>RECEITAS COM ENTREGAS</v>
      </c>
      <c r="O4400">
        <v>284.8</v>
      </c>
      <c r="R4400" t="str">
        <f t="shared" si="2103"/>
        <v>RECEITAS COM ENTREGAS (303)</v>
      </c>
      <c r="S4400">
        <v>2261</v>
      </c>
      <c r="T4400">
        <v>1771</v>
      </c>
      <c r="U4400" t="s">
        <v>19</v>
      </c>
    </row>
    <row r="4401" spans="1:21">
      <c r="A4401" t="str">
        <f t="shared" si="2098"/>
        <v>06/08/2025</v>
      </c>
      <c r="B4401" t="str">
        <f t="shared" si="2104"/>
        <v>ENTRADA</v>
      </c>
      <c r="C4401" t="str">
        <f t="shared" si="2099"/>
        <v>NFSE</v>
      </c>
      <c r="D4401" t="str">
        <f>"3317"</f>
        <v>3317</v>
      </c>
      <c r="E4401" t="str">
        <f t="shared" si="2106"/>
        <v>COM</v>
      </c>
      <c r="F4401" t="str">
        <f>"JAL FARMACIA E DROGARIA LJ 2 (10138)"</f>
        <v>JAL FARMACIA E DROGARIA LJ 2 (10138)</v>
      </c>
      <c r="G4401" t="str">
        <f>"Serv.Prest. 28/07/2025 a 03/08/2025 - RPS: 1083 - NFSe: 3317"</f>
        <v>Serv.Prest. 28/07/2025 a 03/08/2025 - RPS: 1083 - NFSe: 3317</v>
      </c>
      <c r="H4401" t="str">
        <f t="shared" si="2100"/>
        <v>06/08/2025</v>
      </c>
      <c r="I4401" t="str">
        <f t="shared" si="2105"/>
        <v>04/08/2025</v>
      </c>
      <c r="J4401" t="str">
        <f t="shared" si="2101"/>
        <v>06/08/2025</v>
      </c>
      <c r="M4401">
        <v>303</v>
      </c>
      <c r="N4401" t="str">
        <f t="shared" si="2102"/>
        <v>RECEITAS COM ENTREGAS</v>
      </c>
      <c r="P4401">
        <v>284.8</v>
      </c>
      <c r="Q4401" t="str">
        <f>"JAL FARMACIA E DROGARIA LJ 2 (10138)"</f>
        <v>JAL FARMACIA E DROGARIA LJ 2 (10138)</v>
      </c>
      <c r="R4401" t="str">
        <f t="shared" si="2103"/>
        <v>RECEITAS COM ENTREGAS (303)</v>
      </c>
      <c r="S4401">
        <v>2261</v>
      </c>
      <c r="T4401">
        <v>1771</v>
      </c>
      <c r="U4401" t="s">
        <v>19</v>
      </c>
    </row>
    <row r="4402" spans="1:21">
      <c r="A4402" t="str">
        <f t="shared" si="2098"/>
        <v>06/08/2025</v>
      </c>
      <c r="B4402" t="str">
        <f t="shared" ref="B4402:B4413" si="2107">"SAÍDA"</f>
        <v>SAÍDA</v>
      </c>
      <c r="C4402" t="str">
        <f t="shared" ref="C4402:C4413" si="2108">"CONHECIMENTO"</f>
        <v>CONHECIMENTO</v>
      </c>
      <c r="D4402" t="str">
        <f t="shared" ref="D4402:D4413" si="2109">"060825170"</f>
        <v>060825170</v>
      </c>
      <c r="E4402" t="str">
        <f t="shared" si="2106"/>
        <v>COM</v>
      </c>
      <c r="F4402" t="str">
        <f t="shared" ref="F4402:F4413" si="2110">"CORA SOCIEDADE DE CREDITO, FINANCIAMENTO E INVESTIMENTO (20035)"</f>
        <v>CORA SOCIEDADE DE CREDITO, FINANCIAMENTO E INVESTIMENTO (20035)</v>
      </c>
      <c r="G4402" t="str">
        <f t="shared" ref="G4402:G4413" si="2111">"TAXA BOLETO COMPENSADO"</f>
        <v>TAXA BOLETO COMPENSADO</v>
      </c>
      <c r="H4402" t="str">
        <f t="shared" si="2100"/>
        <v>06/08/2025</v>
      </c>
      <c r="I4402" t="str">
        <f t="shared" ref="I4402:I4413" si="2112">("06/08/2025")</f>
        <v>06/08/2025</v>
      </c>
      <c r="J4402" t="str">
        <f t="shared" si="2101"/>
        <v>06/08/2025</v>
      </c>
      <c r="K4402">
        <v>1.7</v>
      </c>
      <c r="L4402">
        <v>1.7</v>
      </c>
      <c r="M4402">
        <v>401</v>
      </c>
      <c r="N4402" t="str">
        <f t="shared" ref="N4402:N4413" si="2113">"IOF/JUROS/DESP.FINANCEIRA"</f>
        <v>IOF/JUROS/DESP.FINANCEIRA</v>
      </c>
      <c r="O4402">
        <v>1.7</v>
      </c>
      <c r="R4402" t="str">
        <f t="shared" ref="R4402:R4413" si="2114">"BANCO CORA (102)"</f>
        <v>BANCO CORA (102)</v>
      </c>
      <c r="S4402">
        <v>2304</v>
      </c>
      <c r="T4402">
        <v>1826</v>
      </c>
      <c r="U4402" t="s">
        <v>19</v>
      </c>
    </row>
    <row r="4403" spans="1:21">
      <c r="A4403" t="str">
        <f t="shared" si="2098"/>
        <v>06/08/2025</v>
      </c>
      <c r="B4403" t="str">
        <f t="shared" si="2107"/>
        <v>SAÍDA</v>
      </c>
      <c r="C4403" t="str">
        <f t="shared" si="2108"/>
        <v>CONHECIMENTO</v>
      </c>
      <c r="D4403" t="str">
        <f t="shared" si="2109"/>
        <v>060825170</v>
      </c>
      <c r="E4403" t="str">
        <f t="shared" si="2106"/>
        <v>COM</v>
      </c>
      <c r="F4403" t="str">
        <f t="shared" si="2110"/>
        <v>CORA SOCIEDADE DE CREDITO, FINANCIAMENTO E INVESTIMENTO (20035)</v>
      </c>
      <c r="G4403" t="str">
        <f t="shared" si="2111"/>
        <v>TAXA BOLETO COMPENSADO</v>
      </c>
      <c r="H4403" t="str">
        <f t="shared" si="2100"/>
        <v>06/08/2025</v>
      </c>
      <c r="I4403" t="str">
        <f t="shared" si="2112"/>
        <v>06/08/2025</v>
      </c>
      <c r="J4403" t="str">
        <f t="shared" si="2101"/>
        <v>06/08/2025</v>
      </c>
      <c r="M4403">
        <v>401</v>
      </c>
      <c r="N4403" t="str">
        <f t="shared" si="2113"/>
        <v>IOF/JUROS/DESP.FINANCEIRA</v>
      </c>
      <c r="P4403">
        <v>1.7</v>
      </c>
      <c r="Q4403" t="str">
        <f>"CORA SOCIEDADE DE CREDITO, FINANCIAMENTO E INVESTIMENTO (20035)"</f>
        <v>CORA SOCIEDADE DE CREDITO, FINANCIAMENTO E INVESTIMENTO (20035)</v>
      </c>
      <c r="R4403" t="str">
        <f t="shared" si="2114"/>
        <v>BANCO CORA (102)</v>
      </c>
      <c r="S4403">
        <v>2304</v>
      </c>
      <c r="T4403">
        <v>1826</v>
      </c>
      <c r="U4403" t="s">
        <v>19</v>
      </c>
    </row>
    <row r="4404" spans="1:21">
      <c r="A4404" t="str">
        <f t="shared" si="2098"/>
        <v>06/08/2025</v>
      </c>
      <c r="B4404" t="str">
        <f t="shared" si="2107"/>
        <v>SAÍDA</v>
      </c>
      <c r="C4404" t="str">
        <f t="shared" si="2108"/>
        <v>CONHECIMENTO</v>
      </c>
      <c r="D4404" t="str">
        <f t="shared" si="2109"/>
        <v>060825170</v>
      </c>
      <c r="E4404" t="str">
        <f t="shared" si="2106"/>
        <v>COM</v>
      </c>
      <c r="F4404" t="str">
        <f t="shared" si="2110"/>
        <v>CORA SOCIEDADE DE CREDITO, FINANCIAMENTO E INVESTIMENTO (20035)</v>
      </c>
      <c r="G4404" t="str">
        <f t="shared" si="2111"/>
        <v>TAXA BOLETO COMPENSADO</v>
      </c>
      <c r="H4404" t="str">
        <f t="shared" si="2100"/>
        <v>06/08/2025</v>
      </c>
      <c r="I4404" t="str">
        <f t="shared" si="2112"/>
        <v>06/08/2025</v>
      </c>
      <c r="J4404" t="str">
        <f t="shared" si="2101"/>
        <v>06/08/2025</v>
      </c>
      <c r="K4404">
        <v>1.7</v>
      </c>
      <c r="L4404">
        <v>1.7</v>
      </c>
      <c r="M4404">
        <v>401</v>
      </c>
      <c r="N4404" t="str">
        <f t="shared" si="2113"/>
        <v>IOF/JUROS/DESP.FINANCEIRA</v>
      </c>
      <c r="O4404">
        <v>1.7</v>
      </c>
      <c r="R4404" t="str">
        <f t="shared" si="2114"/>
        <v>BANCO CORA (102)</v>
      </c>
      <c r="S4404">
        <v>2305</v>
      </c>
      <c r="T4404">
        <v>1827</v>
      </c>
      <c r="U4404" t="s">
        <v>19</v>
      </c>
    </row>
    <row r="4405" spans="1:21">
      <c r="A4405" t="str">
        <f t="shared" si="2098"/>
        <v>06/08/2025</v>
      </c>
      <c r="B4405" t="str">
        <f t="shared" si="2107"/>
        <v>SAÍDA</v>
      </c>
      <c r="C4405" t="str">
        <f t="shared" si="2108"/>
        <v>CONHECIMENTO</v>
      </c>
      <c r="D4405" t="str">
        <f t="shared" si="2109"/>
        <v>060825170</v>
      </c>
      <c r="E4405" t="str">
        <f t="shared" si="2106"/>
        <v>COM</v>
      </c>
      <c r="F4405" t="str">
        <f t="shared" si="2110"/>
        <v>CORA SOCIEDADE DE CREDITO, FINANCIAMENTO E INVESTIMENTO (20035)</v>
      </c>
      <c r="G4405" t="str">
        <f t="shared" si="2111"/>
        <v>TAXA BOLETO COMPENSADO</v>
      </c>
      <c r="H4405" t="str">
        <f t="shared" si="2100"/>
        <v>06/08/2025</v>
      </c>
      <c r="I4405" t="str">
        <f t="shared" si="2112"/>
        <v>06/08/2025</v>
      </c>
      <c r="J4405" t="str">
        <f t="shared" si="2101"/>
        <v>06/08/2025</v>
      </c>
      <c r="M4405">
        <v>401</v>
      </c>
      <c r="N4405" t="str">
        <f t="shared" si="2113"/>
        <v>IOF/JUROS/DESP.FINANCEIRA</v>
      </c>
      <c r="P4405">
        <v>1.7</v>
      </c>
      <c r="Q4405" t="str">
        <f>"CORA SOCIEDADE DE CREDITO, FINANCIAMENTO E INVESTIMENTO (20035)"</f>
        <v>CORA SOCIEDADE DE CREDITO, FINANCIAMENTO E INVESTIMENTO (20035)</v>
      </c>
      <c r="R4405" t="str">
        <f t="shared" si="2114"/>
        <v>BANCO CORA (102)</v>
      </c>
      <c r="S4405">
        <v>2305</v>
      </c>
      <c r="T4405">
        <v>1827</v>
      </c>
      <c r="U4405" t="s">
        <v>19</v>
      </c>
    </row>
    <row r="4406" spans="1:21">
      <c r="A4406" t="str">
        <f t="shared" si="2098"/>
        <v>06/08/2025</v>
      </c>
      <c r="B4406" t="str">
        <f t="shared" si="2107"/>
        <v>SAÍDA</v>
      </c>
      <c r="C4406" t="str">
        <f t="shared" si="2108"/>
        <v>CONHECIMENTO</v>
      </c>
      <c r="D4406" t="str">
        <f t="shared" si="2109"/>
        <v>060825170</v>
      </c>
      <c r="E4406" t="str">
        <f t="shared" si="2106"/>
        <v>COM</v>
      </c>
      <c r="F4406" t="str">
        <f t="shared" si="2110"/>
        <v>CORA SOCIEDADE DE CREDITO, FINANCIAMENTO E INVESTIMENTO (20035)</v>
      </c>
      <c r="G4406" t="str">
        <f t="shared" si="2111"/>
        <v>TAXA BOLETO COMPENSADO</v>
      </c>
      <c r="H4406" t="str">
        <f t="shared" si="2100"/>
        <v>06/08/2025</v>
      </c>
      <c r="I4406" t="str">
        <f t="shared" si="2112"/>
        <v>06/08/2025</v>
      </c>
      <c r="J4406" t="str">
        <f t="shared" si="2101"/>
        <v>06/08/2025</v>
      </c>
      <c r="K4406">
        <v>1.7</v>
      </c>
      <c r="L4406">
        <v>1.7</v>
      </c>
      <c r="M4406">
        <v>401</v>
      </c>
      <c r="N4406" t="str">
        <f t="shared" si="2113"/>
        <v>IOF/JUROS/DESP.FINANCEIRA</v>
      </c>
      <c r="O4406">
        <v>1.7</v>
      </c>
      <c r="R4406" t="str">
        <f t="shared" si="2114"/>
        <v>BANCO CORA (102)</v>
      </c>
      <c r="S4406">
        <v>2306</v>
      </c>
      <c r="T4406">
        <v>1828</v>
      </c>
      <c r="U4406" t="s">
        <v>19</v>
      </c>
    </row>
    <row r="4407" spans="1:21">
      <c r="A4407" t="str">
        <f t="shared" si="2098"/>
        <v>06/08/2025</v>
      </c>
      <c r="B4407" t="str">
        <f t="shared" si="2107"/>
        <v>SAÍDA</v>
      </c>
      <c r="C4407" t="str">
        <f t="shared" si="2108"/>
        <v>CONHECIMENTO</v>
      </c>
      <c r="D4407" t="str">
        <f t="shared" si="2109"/>
        <v>060825170</v>
      </c>
      <c r="E4407" t="str">
        <f t="shared" si="2106"/>
        <v>COM</v>
      </c>
      <c r="F4407" t="str">
        <f t="shared" si="2110"/>
        <v>CORA SOCIEDADE DE CREDITO, FINANCIAMENTO E INVESTIMENTO (20035)</v>
      </c>
      <c r="G4407" t="str">
        <f t="shared" si="2111"/>
        <v>TAXA BOLETO COMPENSADO</v>
      </c>
      <c r="H4407" t="str">
        <f t="shared" si="2100"/>
        <v>06/08/2025</v>
      </c>
      <c r="I4407" t="str">
        <f t="shared" si="2112"/>
        <v>06/08/2025</v>
      </c>
      <c r="J4407" t="str">
        <f t="shared" si="2101"/>
        <v>06/08/2025</v>
      </c>
      <c r="M4407">
        <v>401</v>
      </c>
      <c r="N4407" t="str">
        <f t="shared" si="2113"/>
        <v>IOF/JUROS/DESP.FINANCEIRA</v>
      </c>
      <c r="P4407">
        <v>1.7</v>
      </c>
      <c r="Q4407" t="str">
        <f>"CORA SOCIEDADE DE CREDITO, FINANCIAMENTO E INVESTIMENTO (20035)"</f>
        <v>CORA SOCIEDADE DE CREDITO, FINANCIAMENTO E INVESTIMENTO (20035)</v>
      </c>
      <c r="R4407" t="str">
        <f t="shared" si="2114"/>
        <v>BANCO CORA (102)</v>
      </c>
      <c r="S4407">
        <v>2306</v>
      </c>
      <c r="T4407">
        <v>1828</v>
      </c>
      <c r="U4407" t="s">
        <v>19</v>
      </c>
    </row>
    <row r="4408" spans="1:21">
      <c r="A4408" t="str">
        <f t="shared" si="2098"/>
        <v>06/08/2025</v>
      </c>
      <c r="B4408" t="str">
        <f t="shared" si="2107"/>
        <v>SAÍDA</v>
      </c>
      <c r="C4408" t="str">
        <f t="shared" si="2108"/>
        <v>CONHECIMENTO</v>
      </c>
      <c r="D4408" t="str">
        <f t="shared" si="2109"/>
        <v>060825170</v>
      </c>
      <c r="E4408" t="str">
        <f t="shared" si="2106"/>
        <v>COM</v>
      </c>
      <c r="F4408" t="str">
        <f t="shared" si="2110"/>
        <v>CORA SOCIEDADE DE CREDITO, FINANCIAMENTO E INVESTIMENTO (20035)</v>
      </c>
      <c r="G4408" t="str">
        <f t="shared" si="2111"/>
        <v>TAXA BOLETO COMPENSADO</v>
      </c>
      <c r="H4408" t="str">
        <f t="shared" si="2100"/>
        <v>06/08/2025</v>
      </c>
      <c r="I4408" t="str">
        <f t="shared" si="2112"/>
        <v>06/08/2025</v>
      </c>
      <c r="J4408" t="str">
        <f t="shared" si="2101"/>
        <v>06/08/2025</v>
      </c>
      <c r="K4408">
        <v>1.7</v>
      </c>
      <c r="L4408">
        <v>1.7</v>
      </c>
      <c r="M4408">
        <v>401</v>
      </c>
      <c r="N4408" t="str">
        <f t="shared" si="2113"/>
        <v>IOF/JUROS/DESP.FINANCEIRA</v>
      </c>
      <c r="O4408">
        <v>1.7</v>
      </c>
      <c r="R4408" t="str">
        <f t="shared" si="2114"/>
        <v>BANCO CORA (102)</v>
      </c>
      <c r="S4408">
        <v>2307</v>
      </c>
      <c r="T4408">
        <v>1829</v>
      </c>
      <c r="U4408" t="s">
        <v>19</v>
      </c>
    </row>
    <row r="4409" spans="1:21">
      <c r="A4409" t="str">
        <f t="shared" si="2098"/>
        <v>06/08/2025</v>
      </c>
      <c r="B4409" t="str">
        <f t="shared" si="2107"/>
        <v>SAÍDA</v>
      </c>
      <c r="C4409" t="str">
        <f t="shared" si="2108"/>
        <v>CONHECIMENTO</v>
      </c>
      <c r="D4409" t="str">
        <f t="shared" si="2109"/>
        <v>060825170</v>
      </c>
      <c r="E4409" t="str">
        <f t="shared" si="2106"/>
        <v>COM</v>
      </c>
      <c r="F4409" t="str">
        <f t="shared" si="2110"/>
        <v>CORA SOCIEDADE DE CREDITO, FINANCIAMENTO E INVESTIMENTO (20035)</v>
      </c>
      <c r="G4409" t="str">
        <f t="shared" si="2111"/>
        <v>TAXA BOLETO COMPENSADO</v>
      </c>
      <c r="H4409" t="str">
        <f t="shared" si="2100"/>
        <v>06/08/2025</v>
      </c>
      <c r="I4409" t="str">
        <f t="shared" si="2112"/>
        <v>06/08/2025</v>
      </c>
      <c r="J4409" t="str">
        <f t="shared" si="2101"/>
        <v>06/08/2025</v>
      </c>
      <c r="M4409">
        <v>401</v>
      </c>
      <c r="N4409" t="str">
        <f t="shared" si="2113"/>
        <v>IOF/JUROS/DESP.FINANCEIRA</v>
      </c>
      <c r="P4409">
        <v>1.7</v>
      </c>
      <c r="Q4409" t="str">
        <f>"CORA SOCIEDADE DE CREDITO, FINANCIAMENTO E INVESTIMENTO (20035)"</f>
        <v>CORA SOCIEDADE DE CREDITO, FINANCIAMENTO E INVESTIMENTO (20035)</v>
      </c>
      <c r="R4409" t="str">
        <f t="shared" si="2114"/>
        <v>BANCO CORA (102)</v>
      </c>
      <c r="S4409">
        <v>2307</v>
      </c>
      <c r="T4409">
        <v>1829</v>
      </c>
      <c r="U4409" t="s">
        <v>19</v>
      </c>
    </row>
    <row r="4410" spans="1:21">
      <c r="A4410" t="str">
        <f t="shared" si="2098"/>
        <v>06/08/2025</v>
      </c>
      <c r="B4410" t="str">
        <f t="shared" si="2107"/>
        <v>SAÍDA</v>
      </c>
      <c r="C4410" t="str">
        <f t="shared" si="2108"/>
        <v>CONHECIMENTO</v>
      </c>
      <c r="D4410" t="str">
        <f t="shared" si="2109"/>
        <v>060825170</v>
      </c>
      <c r="E4410" t="str">
        <f t="shared" si="2106"/>
        <v>COM</v>
      </c>
      <c r="F4410" t="str">
        <f t="shared" si="2110"/>
        <v>CORA SOCIEDADE DE CREDITO, FINANCIAMENTO E INVESTIMENTO (20035)</v>
      </c>
      <c r="G4410" t="str">
        <f t="shared" si="2111"/>
        <v>TAXA BOLETO COMPENSADO</v>
      </c>
      <c r="H4410" t="str">
        <f t="shared" si="2100"/>
        <v>06/08/2025</v>
      </c>
      <c r="I4410" t="str">
        <f t="shared" si="2112"/>
        <v>06/08/2025</v>
      </c>
      <c r="J4410" t="str">
        <f t="shared" si="2101"/>
        <v>06/08/2025</v>
      </c>
      <c r="K4410">
        <v>1.7</v>
      </c>
      <c r="L4410">
        <v>1.7</v>
      </c>
      <c r="M4410">
        <v>401</v>
      </c>
      <c r="N4410" t="str">
        <f t="shared" si="2113"/>
        <v>IOF/JUROS/DESP.FINANCEIRA</v>
      </c>
      <c r="O4410">
        <v>1.7</v>
      </c>
      <c r="R4410" t="str">
        <f t="shared" si="2114"/>
        <v>BANCO CORA (102)</v>
      </c>
      <c r="S4410">
        <v>2308</v>
      </c>
      <c r="T4410">
        <v>1830</v>
      </c>
      <c r="U4410" t="s">
        <v>19</v>
      </c>
    </row>
    <row r="4411" spans="1:21">
      <c r="A4411" t="str">
        <f t="shared" si="2098"/>
        <v>06/08/2025</v>
      </c>
      <c r="B4411" t="str">
        <f t="shared" si="2107"/>
        <v>SAÍDA</v>
      </c>
      <c r="C4411" t="str">
        <f t="shared" si="2108"/>
        <v>CONHECIMENTO</v>
      </c>
      <c r="D4411" t="str">
        <f t="shared" si="2109"/>
        <v>060825170</v>
      </c>
      <c r="E4411" t="str">
        <f t="shared" si="2106"/>
        <v>COM</v>
      </c>
      <c r="F4411" t="str">
        <f t="shared" si="2110"/>
        <v>CORA SOCIEDADE DE CREDITO, FINANCIAMENTO E INVESTIMENTO (20035)</v>
      </c>
      <c r="G4411" t="str">
        <f t="shared" si="2111"/>
        <v>TAXA BOLETO COMPENSADO</v>
      </c>
      <c r="H4411" t="str">
        <f t="shared" si="2100"/>
        <v>06/08/2025</v>
      </c>
      <c r="I4411" t="str">
        <f t="shared" si="2112"/>
        <v>06/08/2025</v>
      </c>
      <c r="J4411" t="str">
        <f t="shared" si="2101"/>
        <v>06/08/2025</v>
      </c>
      <c r="M4411">
        <v>401</v>
      </c>
      <c r="N4411" t="str">
        <f t="shared" si="2113"/>
        <v>IOF/JUROS/DESP.FINANCEIRA</v>
      </c>
      <c r="P4411">
        <v>1.7</v>
      </c>
      <c r="Q4411" t="str">
        <f>"CORA SOCIEDADE DE CREDITO, FINANCIAMENTO E INVESTIMENTO (20035)"</f>
        <v>CORA SOCIEDADE DE CREDITO, FINANCIAMENTO E INVESTIMENTO (20035)</v>
      </c>
      <c r="R4411" t="str">
        <f t="shared" si="2114"/>
        <v>BANCO CORA (102)</v>
      </c>
      <c r="S4411">
        <v>2308</v>
      </c>
      <c r="T4411">
        <v>1830</v>
      </c>
      <c r="U4411" t="s">
        <v>19</v>
      </c>
    </row>
    <row r="4412" spans="1:21">
      <c r="A4412" t="str">
        <f t="shared" si="2098"/>
        <v>06/08/2025</v>
      </c>
      <c r="B4412" t="str">
        <f t="shared" si="2107"/>
        <v>SAÍDA</v>
      </c>
      <c r="C4412" t="str">
        <f t="shared" si="2108"/>
        <v>CONHECIMENTO</v>
      </c>
      <c r="D4412" t="str">
        <f t="shared" si="2109"/>
        <v>060825170</v>
      </c>
      <c r="E4412" t="str">
        <f t="shared" si="2106"/>
        <v>COM</v>
      </c>
      <c r="F4412" t="str">
        <f t="shared" si="2110"/>
        <v>CORA SOCIEDADE DE CREDITO, FINANCIAMENTO E INVESTIMENTO (20035)</v>
      </c>
      <c r="G4412" t="str">
        <f t="shared" si="2111"/>
        <v>TAXA BOLETO COMPENSADO</v>
      </c>
      <c r="H4412" t="str">
        <f t="shared" si="2100"/>
        <v>06/08/2025</v>
      </c>
      <c r="I4412" t="str">
        <f t="shared" si="2112"/>
        <v>06/08/2025</v>
      </c>
      <c r="J4412" t="str">
        <f t="shared" si="2101"/>
        <v>06/08/2025</v>
      </c>
      <c r="K4412">
        <v>1.7</v>
      </c>
      <c r="L4412">
        <v>1.7</v>
      </c>
      <c r="M4412">
        <v>401</v>
      </c>
      <c r="N4412" t="str">
        <f t="shared" si="2113"/>
        <v>IOF/JUROS/DESP.FINANCEIRA</v>
      </c>
      <c r="O4412">
        <v>1.7</v>
      </c>
      <c r="R4412" t="str">
        <f t="shared" si="2114"/>
        <v>BANCO CORA (102)</v>
      </c>
      <c r="S4412">
        <v>2309</v>
      </c>
      <c r="T4412">
        <v>1831</v>
      </c>
      <c r="U4412" t="s">
        <v>19</v>
      </c>
    </row>
    <row r="4413" spans="1:21">
      <c r="A4413" t="str">
        <f t="shared" si="2098"/>
        <v>06/08/2025</v>
      </c>
      <c r="B4413" t="str">
        <f t="shared" si="2107"/>
        <v>SAÍDA</v>
      </c>
      <c r="C4413" t="str">
        <f t="shared" si="2108"/>
        <v>CONHECIMENTO</v>
      </c>
      <c r="D4413" t="str">
        <f t="shared" si="2109"/>
        <v>060825170</v>
      </c>
      <c r="E4413" t="str">
        <f t="shared" si="2106"/>
        <v>COM</v>
      </c>
      <c r="F4413" t="str">
        <f t="shared" si="2110"/>
        <v>CORA SOCIEDADE DE CREDITO, FINANCIAMENTO E INVESTIMENTO (20035)</v>
      </c>
      <c r="G4413" t="str">
        <f t="shared" si="2111"/>
        <v>TAXA BOLETO COMPENSADO</v>
      </c>
      <c r="H4413" t="str">
        <f t="shared" si="2100"/>
        <v>06/08/2025</v>
      </c>
      <c r="I4413" t="str">
        <f t="shared" si="2112"/>
        <v>06/08/2025</v>
      </c>
      <c r="J4413" t="str">
        <f t="shared" si="2101"/>
        <v>06/08/2025</v>
      </c>
      <c r="M4413">
        <v>401</v>
      </c>
      <c r="N4413" t="str">
        <f t="shared" si="2113"/>
        <v>IOF/JUROS/DESP.FINANCEIRA</v>
      </c>
      <c r="P4413">
        <v>1.7</v>
      </c>
      <c r="Q4413" t="str">
        <f>"CORA SOCIEDADE DE CREDITO, FINANCIAMENTO E INVESTIMENTO (20035)"</f>
        <v>CORA SOCIEDADE DE CREDITO, FINANCIAMENTO E INVESTIMENTO (20035)</v>
      </c>
      <c r="R4413" t="str">
        <f t="shared" si="2114"/>
        <v>BANCO CORA (102)</v>
      </c>
      <c r="S4413">
        <v>2309</v>
      </c>
      <c r="T4413">
        <v>1831</v>
      </c>
      <c r="U4413" t="s">
        <v>19</v>
      </c>
    </row>
    <row r="4414" spans="1:21">
      <c r="A4414" t="str">
        <f t="shared" ref="A4414:A4445" si="2115">("07/08/2025")</f>
        <v>07/08/2025</v>
      </c>
      <c r="B4414" t="str">
        <f>"ENTRADA"</f>
        <v>ENTRADA</v>
      </c>
      <c r="C4414" t="str">
        <f t="shared" ref="C4414:C4442" si="2116">"NFSE"</f>
        <v>NFSE</v>
      </c>
      <c r="D4414" t="str">
        <f>"3299"</f>
        <v>3299</v>
      </c>
      <c r="E4414" t="str">
        <f t="shared" si="2106"/>
        <v>COM</v>
      </c>
      <c r="F4414" t="str">
        <f>"AC FARMA - CID.ALTA (10166)"</f>
        <v>AC FARMA - CID.ALTA (10166)</v>
      </c>
      <c r="G4414" t="str">
        <f>"Serv.Prest. 21/07/2025 a 27/07/2025 - RPS: 1066 - NFSe: 3299"</f>
        <v>Serv.Prest. 21/07/2025 a 27/07/2025 - RPS: 1066 - NFSe: 3299</v>
      </c>
      <c r="H4414" t="str">
        <f t="shared" si="2100"/>
        <v>06/08/2025</v>
      </c>
      <c r="I4414" t="str">
        <f t="shared" ref="I4414:I4422" si="2117">("29/07/2025")</f>
        <v>29/07/2025</v>
      </c>
      <c r="J4414" t="str">
        <f t="shared" ref="J4414:J4445" si="2118">("07/08/2025")</f>
        <v>07/08/2025</v>
      </c>
      <c r="K4414">
        <v>928.8</v>
      </c>
      <c r="L4414">
        <v>928.8</v>
      </c>
      <c r="M4414">
        <v>303</v>
      </c>
      <c r="N4414" t="str">
        <f t="shared" ref="N4414:N4442" si="2119">"RECEITAS COM ENTREGAS"</f>
        <v>RECEITAS COM ENTREGAS</v>
      </c>
      <c r="O4414">
        <v>928.8</v>
      </c>
      <c r="R4414" t="str">
        <f t="shared" ref="R4414:R4442" si="2120">"RECEITAS COM ENTREGAS (303)"</f>
        <v>RECEITAS COM ENTREGAS (303)</v>
      </c>
      <c r="S4414">
        <v>2262</v>
      </c>
      <c r="T4414">
        <v>1753</v>
      </c>
      <c r="U4414" t="s">
        <v>19</v>
      </c>
    </row>
    <row r="4415" spans="1:21">
      <c r="A4415" t="str">
        <f t="shared" si="2115"/>
        <v>07/08/2025</v>
      </c>
      <c r="B4415" t="str">
        <f t="shared" ref="B4415:B4442" si="2121">"ENTRADA"</f>
        <v>ENTRADA</v>
      </c>
      <c r="C4415" t="str">
        <f t="shared" si="2116"/>
        <v>NFSE</v>
      </c>
      <c r="D4415" t="str">
        <f>"3299"</f>
        <v>3299</v>
      </c>
      <c r="E4415" t="str">
        <f t="shared" si="2106"/>
        <v>COM</v>
      </c>
      <c r="F4415" t="str">
        <f>"AC FARMA - CID.ALTA (10166)"</f>
        <v>AC FARMA - CID.ALTA (10166)</v>
      </c>
      <c r="G4415" t="str">
        <f>"Serv.Prest. 21/07/2025 a 27/07/2025 - RPS: 1066 - NFSe: 3299"</f>
        <v>Serv.Prest. 21/07/2025 a 27/07/2025 - RPS: 1066 - NFSe: 3299</v>
      </c>
      <c r="H4415" t="str">
        <f t="shared" si="2100"/>
        <v>06/08/2025</v>
      </c>
      <c r="I4415" t="str">
        <f t="shared" si="2117"/>
        <v>29/07/2025</v>
      </c>
      <c r="J4415" t="str">
        <f t="shared" si="2118"/>
        <v>07/08/2025</v>
      </c>
      <c r="M4415">
        <v>303</v>
      </c>
      <c r="N4415" t="str">
        <f t="shared" si="2119"/>
        <v>RECEITAS COM ENTREGAS</v>
      </c>
      <c r="P4415">
        <v>928.8</v>
      </c>
      <c r="Q4415" t="str">
        <f>"AC FARMA - CID.ALTA (10166)"</f>
        <v>AC FARMA - CID.ALTA (10166)</v>
      </c>
      <c r="R4415" t="str">
        <f t="shared" si="2120"/>
        <v>RECEITAS COM ENTREGAS (303)</v>
      </c>
      <c r="S4415">
        <v>2262</v>
      </c>
      <c r="T4415">
        <v>1753</v>
      </c>
      <c r="U4415" t="s">
        <v>19</v>
      </c>
    </row>
    <row r="4416" spans="1:21">
      <c r="A4416" t="str">
        <f t="shared" si="2115"/>
        <v>07/08/2025</v>
      </c>
      <c r="B4416" t="str">
        <f t="shared" si="2121"/>
        <v>ENTRADA</v>
      </c>
      <c r="C4416" t="str">
        <f t="shared" si="2116"/>
        <v>NFSE</v>
      </c>
      <c r="D4416" t="str">
        <f>"3300"</f>
        <v>3300</v>
      </c>
      <c r="E4416" t="str">
        <f t="shared" si="2106"/>
        <v>COM</v>
      </c>
      <c r="F4416" t="str">
        <f>"AC FARMA - FLEMINFARMA (10160)"</f>
        <v>AC FARMA - FLEMINFARMA (10160)</v>
      </c>
      <c r="G4416" t="str">
        <f>"Serv.Prest. 21/07/2025 a 27/07/2025 - RPS: 1067 - NFSe: 3300"</f>
        <v>Serv.Prest. 21/07/2025 a 27/07/2025 - RPS: 1067 - NFSe: 3300</v>
      </c>
      <c r="H4416" t="str">
        <f t="shared" si="2100"/>
        <v>06/08/2025</v>
      </c>
      <c r="I4416" t="str">
        <f t="shared" si="2117"/>
        <v>29/07/2025</v>
      </c>
      <c r="J4416" t="str">
        <f t="shared" si="2118"/>
        <v>07/08/2025</v>
      </c>
      <c r="K4416">
        <v>264.60000000000002</v>
      </c>
      <c r="L4416">
        <v>264.60000000000002</v>
      </c>
      <c r="M4416">
        <v>303</v>
      </c>
      <c r="N4416" t="str">
        <f t="shared" si="2119"/>
        <v>RECEITAS COM ENTREGAS</v>
      </c>
      <c r="O4416">
        <v>264.60000000000002</v>
      </c>
      <c r="R4416" t="str">
        <f t="shared" si="2120"/>
        <v>RECEITAS COM ENTREGAS (303)</v>
      </c>
      <c r="S4416">
        <v>2263</v>
      </c>
      <c r="T4416">
        <v>1754</v>
      </c>
      <c r="U4416" t="s">
        <v>19</v>
      </c>
    </row>
    <row r="4417" spans="1:21">
      <c r="A4417" t="str">
        <f t="shared" si="2115"/>
        <v>07/08/2025</v>
      </c>
      <c r="B4417" t="str">
        <f t="shared" si="2121"/>
        <v>ENTRADA</v>
      </c>
      <c r="C4417" t="str">
        <f t="shared" si="2116"/>
        <v>NFSE</v>
      </c>
      <c r="D4417" t="str">
        <f>"3300"</f>
        <v>3300</v>
      </c>
      <c r="E4417" t="str">
        <f t="shared" si="2106"/>
        <v>COM</v>
      </c>
      <c r="F4417" t="str">
        <f>"AC FARMA - FLEMINFARMA (10160)"</f>
        <v>AC FARMA - FLEMINFARMA (10160)</v>
      </c>
      <c r="G4417" t="str">
        <f>"Serv.Prest. 21/07/2025 a 27/07/2025 - RPS: 1067 - NFSe: 3300"</f>
        <v>Serv.Prest. 21/07/2025 a 27/07/2025 - RPS: 1067 - NFSe: 3300</v>
      </c>
      <c r="H4417" t="str">
        <f t="shared" si="2100"/>
        <v>06/08/2025</v>
      </c>
      <c r="I4417" t="str">
        <f t="shared" si="2117"/>
        <v>29/07/2025</v>
      </c>
      <c r="J4417" t="str">
        <f t="shared" si="2118"/>
        <v>07/08/2025</v>
      </c>
      <c r="M4417">
        <v>303</v>
      </c>
      <c r="N4417" t="str">
        <f t="shared" si="2119"/>
        <v>RECEITAS COM ENTREGAS</v>
      </c>
      <c r="P4417">
        <v>256.5</v>
      </c>
      <c r="Q4417" t="str">
        <f>"AC FARMA -  FLEMINFARMA (10159)"</f>
        <v>AC FARMA -  FLEMINFARMA (10159)</v>
      </c>
      <c r="R4417" t="str">
        <f t="shared" si="2120"/>
        <v>RECEITAS COM ENTREGAS (303)</v>
      </c>
      <c r="S4417">
        <v>2263</v>
      </c>
      <c r="T4417">
        <v>1754</v>
      </c>
      <c r="U4417" t="s">
        <v>19</v>
      </c>
    </row>
    <row r="4418" spans="1:21">
      <c r="A4418" t="str">
        <f t="shared" si="2115"/>
        <v>07/08/2025</v>
      </c>
      <c r="B4418" t="str">
        <f t="shared" si="2121"/>
        <v>ENTRADA</v>
      </c>
      <c r="C4418" t="str">
        <f t="shared" si="2116"/>
        <v>NFSE</v>
      </c>
      <c r="D4418" t="str">
        <f>"3300"</f>
        <v>3300</v>
      </c>
      <c r="E4418" t="str">
        <f t="shared" si="2106"/>
        <v>COM</v>
      </c>
      <c r="F4418" t="str">
        <f>"AC FARMA - FLEMINFARMA (10160)"</f>
        <v>AC FARMA - FLEMINFARMA (10160)</v>
      </c>
      <c r="G4418" t="str">
        <f>"Serv.Prest. 21/07/2025 a 27/07/2025 - RPS: 1067 - NFSe: 3300"</f>
        <v>Serv.Prest. 21/07/2025 a 27/07/2025 - RPS: 1067 - NFSe: 3300</v>
      </c>
      <c r="H4418" t="str">
        <f t="shared" si="2100"/>
        <v>06/08/2025</v>
      </c>
      <c r="I4418" t="str">
        <f t="shared" si="2117"/>
        <v>29/07/2025</v>
      </c>
      <c r="J4418" t="str">
        <f t="shared" si="2118"/>
        <v>07/08/2025</v>
      </c>
      <c r="M4418">
        <v>303</v>
      </c>
      <c r="N4418" t="str">
        <f t="shared" si="2119"/>
        <v>RECEITAS COM ENTREGAS</v>
      </c>
      <c r="P4418">
        <v>8.1</v>
      </c>
      <c r="Q4418" t="str">
        <f>"AC FARMA - FLEMINFARMA (10160)"</f>
        <v>AC FARMA - FLEMINFARMA (10160)</v>
      </c>
      <c r="R4418" t="str">
        <f t="shared" si="2120"/>
        <v>RECEITAS COM ENTREGAS (303)</v>
      </c>
      <c r="S4418">
        <v>2263</v>
      </c>
      <c r="T4418">
        <v>1754</v>
      </c>
      <c r="U4418" t="s">
        <v>19</v>
      </c>
    </row>
    <row r="4419" spans="1:21">
      <c r="A4419" t="str">
        <f t="shared" si="2115"/>
        <v>07/08/2025</v>
      </c>
      <c r="B4419" t="str">
        <f t="shared" si="2121"/>
        <v>ENTRADA</v>
      </c>
      <c r="C4419" t="str">
        <f t="shared" si="2116"/>
        <v>NFSE</v>
      </c>
      <c r="D4419" t="str">
        <f>"3301"</f>
        <v>3301</v>
      </c>
      <c r="E4419" t="str">
        <f t="shared" si="2106"/>
        <v>COM</v>
      </c>
      <c r="F4419" t="str">
        <f>"AC FARMA - FLEMINFARMA 5 (10183)"</f>
        <v>AC FARMA - FLEMINFARMA 5 (10183)</v>
      </c>
      <c r="G4419" t="str">
        <f>"Serv.Prest. 21/07/2025 a 27/07/2025 - RPS: 1068 - NFSe: 3301"</f>
        <v>Serv.Prest. 21/07/2025 a 27/07/2025 - RPS: 1068 - NFSe: 3301</v>
      </c>
      <c r="H4419" t="str">
        <f t="shared" ref="H4419:H4438" si="2122">("06/08/2025")</f>
        <v>06/08/2025</v>
      </c>
      <c r="I4419" t="str">
        <f t="shared" si="2117"/>
        <v>29/07/2025</v>
      </c>
      <c r="J4419" t="str">
        <f t="shared" si="2118"/>
        <v>07/08/2025</v>
      </c>
      <c r="K4419">
        <v>105.3</v>
      </c>
      <c r="L4419">
        <v>105.3</v>
      </c>
      <c r="M4419">
        <v>303</v>
      </c>
      <c r="N4419" t="str">
        <f t="shared" si="2119"/>
        <v>RECEITAS COM ENTREGAS</v>
      </c>
      <c r="O4419">
        <v>105.3</v>
      </c>
      <c r="R4419" t="str">
        <f t="shared" si="2120"/>
        <v>RECEITAS COM ENTREGAS (303)</v>
      </c>
      <c r="S4419">
        <v>2264</v>
      </c>
      <c r="T4419">
        <v>1755</v>
      </c>
      <c r="U4419" t="s">
        <v>19</v>
      </c>
    </row>
    <row r="4420" spans="1:21">
      <c r="A4420" t="str">
        <f t="shared" si="2115"/>
        <v>07/08/2025</v>
      </c>
      <c r="B4420" t="str">
        <f t="shared" si="2121"/>
        <v>ENTRADA</v>
      </c>
      <c r="C4420" t="str">
        <f t="shared" si="2116"/>
        <v>NFSE</v>
      </c>
      <c r="D4420" t="str">
        <f>"3301"</f>
        <v>3301</v>
      </c>
      <c r="E4420" t="str">
        <f t="shared" si="2106"/>
        <v>COM</v>
      </c>
      <c r="F4420" t="str">
        <f>"AC FARMA - FLEMINFARMA 5 (10183)"</f>
        <v>AC FARMA - FLEMINFARMA 5 (10183)</v>
      </c>
      <c r="G4420" t="str">
        <f>"Serv.Prest. 21/07/2025 a 27/07/2025 - RPS: 1068 - NFSe: 3301"</f>
        <v>Serv.Prest. 21/07/2025 a 27/07/2025 - RPS: 1068 - NFSe: 3301</v>
      </c>
      <c r="H4420" t="str">
        <f t="shared" si="2122"/>
        <v>06/08/2025</v>
      </c>
      <c r="I4420" t="str">
        <f t="shared" si="2117"/>
        <v>29/07/2025</v>
      </c>
      <c r="J4420" t="str">
        <f t="shared" si="2118"/>
        <v>07/08/2025</v>
      </c>
      <c r="M4420">
        <v>303</v>
      </c>
      <c r="N4420" t="str">
        <f t="shared" si="2119"/>
        <v>RECEITAS COM ENTREGAS</v>
      </c>
      <c r="P4420">
        <v>105.3</v>
      </c>
      <c r="Q4420" t="str">
        <f>"AC FARMA - FLEMINFARMA 5 (10183)"</f>
        <v>AC FARMA - FLEMINFARMA 5 (10183)</v>
      </c>
      <c r="R4420" t="str">
        <f t="shared" si="2120"/>
        <v>RECEITAS COM ENTREGAS (303)</v>
      </c>
      <c r="S4420">
        <v>2264</v>
      </c>
      <c r="T4420">
        <v>1755</v>
      </c>
      <c r="U4420" t="s">
        <v>19</v>
      </c>
    </row>
    <row r="4421" spans="1:21">
      <c r="A4421" t="str">
        <f t="shared" si="2115"/>
        <v>07/08/2025</v>
      </c>
      <c r="B4421" t="str">
        <f t="shared" si="2121"/>
        <v>ENTRADA</v>
      </c>
      <c r="C4421" t="str">
        <f t="shared" si="2116"/>
        <v>NFSE</v>
      </c>
      <c r="D4421" t="str">
        <f>"3302"</f>
        <v>3302</v>
      </c>
      <c r="E4421" t="str">
        <f t="shared" si="2106"/>
        <v>COM</v>
      </c>
      <c r="F4421" t="str">
        <f>"AC FARMA - FLEMINFARMA 6 (10184)"</f>
        <v>AC FARMA - FLEMINFARMA 6 (10184)</v>
      </c>
      <c r="G4421" t="str">
        <f>"Serv.Prest. 21/07/2025 a 27/07/2025 - RPS: 1069 - NFSe: 3302"</f>
        <v>Serv.Prest. 21/07/2025 a 27/07/2025 - RPS: 1069 - NFSe: 3302</v>
      </c>
      <c r="H4421" t="str">
        <f t="shared" si="2122"/>
        <v>06/08/2025</v>
      </c>
      <c r="I4421" t="str">
        <f t="shared" si="2117"/>
        <v>29/07/2025</v>
      </c>
      <c r="J4421" t="str">
        <f t="shared" si="2118"/>
        <v>07/08/2025</v>
      </c>
      <c r="K4421">
        <v>20</v>
      </c>
      <c r="L4421">
        <v>20</v>
      </c>
      <c r="M4421">
        <v>303</v>
      </c>
      <c r="N4421" t="str">
        <f t="shared" si="2119"/>
        <v>RECEITAS COM ENTREGAS</v>
      </c>
      <c r="O4421">
        <v>20</v>
      </c>
      <c r="R4421" t="str">
        <f t="shared" si="2120"/>
        <v>RECEITAS COM ENTREGAS (303)</v>
      </c>
      <c r="S4421">
        <v>2265</v>
      </c>
      <c r="T4421">
        <v>1756</v>
      </c>
      <c r="U4421" t="s">
        <v>19</v>
      </c>
    </row>
    <row r="4422" spans="1:21">
      <c r="A4422" t="str">
        <f t="shared" si="2115"/>
        <v>07/08/2025</v>
      </c>
      <c r="B4422" t="str">
        <f t="shared" si="2121"/>
        <v>ENTRADA</v>
      </c>
      <c r="C4422" t="str">
        <f t="shared" si="2116"/>
        <v>NFSE</v>
      </c>
      <c r="D4422" t="str">
        <f>"3302"</f>
        <v>3302</v>
      </c>
      <c r="E4422" t="str">
        <f t="shared" si="2106"/>
        <v>COM</v>
      </c>
      <c r="F4422" t="str">
        <f>"AC FARMA - FLEMINFARMA 6 (10184)"</f>
        <v>AC FARMA - FLEMINFARMA 6 (10184)</v>
      </c>
      <c r="G4422" t="str">
        <f>"Serv.Prest. 21/07/2025 a 27/07/2025 - RPS: 1069 - NFSe: 3302"</f>
        <v>Serv.Prest. 21/07/2025 a 27/07/2025 - RPS: 1069 - NFSe: 3302</v>
      </c>
      <c r="H4422" t="str">
        <f t="shared" si="2122"/>
        <v>06/08/2025</v>
      </c>
      <c r="I4422" t="str">
        <f t="shared" si="2117"/>
        <v>29/07/2025</v>
      </c>
      <c r="J4422" t="str">
        <f t="shared" si="2118"/>
        <v>07/08/2025</v>
      </c>
      <c r="M4422">
        <v>303</v>
      </c>
      <c r="N4422" t="str">
        <f t="shared" si="2119"/>
        <v>RECEITAS COM ENTREGAS</v>
      </c>
      <c r="P4422">
        <v>20</v>
      </c>
      <c r="Q4422" t="str">
        <f>"AC FARMA - FLEMINFARMA 6 (10184)"</f>
        <v>AC FARMA - FLEMINFARMA 6 (10184)</v>
      </c>
      <c r="R4422" t="str">
        <f t="shared" si="2120"/>
        <v>RECEITAS COM ENTREGAS (303)</v>
      </c>
      <c r="S4422">
        <v>2265</v>
      </c>
      <c r="T4422">
        <v>1756</v>
      </c>
      <c r="U4422" t="s">
        <v>19</v>
      </c>
    </row>
    <row r="4423" spans="1:21">
      <c r="A4423" t="str">
        <f t="shared" si="2115"/>
        <v>07/08/2025</v>
      </c>
      <c r="B4423" t="str">
        <f t="shared" si="2121"/>
        <v>ENTRADA</v>
      </c>
      <c r="C4423" t="str">
        <f t="shared" si="2116"/>
        <v>NFSE</v>
      </c>
      <c r="D4423" t="str">
        <f>"3309"</f>
        <v>3309</v>
      </c>
      <c r="E4423" t="str">
        <f t="shared" si="2106"/>
        <v>COM</v>
      </c>
      <c r="F4423" t="str">
        <f>"FRAN FARMA (10124)"</f>
        <v>FRAN FARMA (10124)</v>
      </c>
      <c r="G4423" t="str">
        <f>"Serv.Prest. 28/07/2025 a 03/08/2025 - RPS: 1075 - NFSe: 3309"</f>
        <v>Serv.Prest. 28/07/2025 a 03/08/2025 - RPS: 1075 - NFSe: 3309</v>
      </c>
      <c r="H4423" t="str">
        <f t="shared" si="2122"/>
        <v>06/08/2025</v>
      </c>
      <c r="I4423" t="str">
        <f t="shared" ref="I4423:I4436" si="2123">("04/08/2025")</f>
        <v>04/08/2025</v>
      </c>
      <c r="J4423" t="str">
        <f t="shared" si="2118"/>
        <v>07/08/2025</v>
      </c>
      <c r="K4423">
        <v>320</v>
      </c>
      <c r="L4423">
        <v>320</v>
      </c>
      <c r="M4423">
        <v>303</v>
      </c>
      <c r="N4423" t="str">
        <f t="shared" si="2119"/>
        <v>RECEITAS COM ENTREGAS</v>
      </c>
      <c r="O4423">
        <v>320</v>
      </c>
      <c r="R4423" t="str">
        <f t="shared" si="2120"/>
        <v>RECEITAS COM ENTREGAS (303)</v>
      </c>
      <c r="S4423">
        <v>2266</v>
      </c>
      <c r="T4423">
        <v>1763</v>
      </c>
      <c r="U4423" t="s">
        <v>19</v>
      </c>
    </row>
    <row r="4424" spans="1:21">
      <c r="A4424" t="str">
        <f t="shared" si="2115"/>
        <v>07/08/2025</v>
      </c>
      <c r="B4424" t="str">
        <f t="shared" si="2121"/>
        <v>ENTRADA</v>
      </c>
      <c r="C4424" t="str">
        <f t="shared" si="2116"/>
        <v>NFSE</v>
      </c>
      <c r="D4424" t="str">
        <f>"3309"</f>
        <v>3309</v>
      </c>
      <c r="E4424" t="str">
        <f t="shared" si="2106"/>
        <v>COM</v>
      </c>
      <c r="F4424" t="str">
        <f>"FRAN FARMA (10124)"</f>
        <v>FRAN FARMA (10124)</v>
      </c>
      <c r="G4424" t="str">
        <f>"Serv.Prest. 28/07/2025 a 03/08/2025 - RPS: 1075 - NFSe: 3309"</f>
        <v>Serv.Prest. 28/07/2025 a 03/08/2025 - RPS: 1075 - NFSe: 3309</v>
      </c>
      <c r="H4424" t="str">
        <f t="shared" si="2122"/>
        <v>06/08/2025</v>
      </c>
      <c r="I4424" t="str">
        <f t="shared" si="2123"/>
        <v>04/08/2025</v>
      </c>
      <c r="J4424" t="str">
        <f t="shared" si="2118"/>
        <v>07/08/2025</v>
      </c>
      <c r="M4424">
        <v>303</v>
      </c>
      <c r="N4424" t="str">
        <f t="shared" si="2119"/>
        <v>RECEITAS COM ENTREGAS</v>
      </c>
      <c r="P4424">
        <v>64</v>
      </c>
      <c r="Q4424" t="str">
        <f>"FRAN FARMA (10124)"</f>
        <v>FRAN FARMA (10124)</v>
      </c>
      <c r="R4424" t="str">
        <f t="shared" si="2120"/>
        <v>RECEITAS COM ENTREGAS (303)</v>
      </c>
      <c r="S4424">
        <v>2266</v>
      </c>
      <c r="T4424">
        <v>1763</v>
      </c>
      <c r="U4424" t="s">
        <v>19</v>
      </c>
    </row>
    <row r="4425" spans="1:21">
      <c r="A4425" t="str">
        <f t="shared" si="2115"/>
        <v>07/08/2025</v>
      </c>
      <c r="B4425" t="str">
        <f t="shared" si="2121"/>
        <v>ENTRADA</v>
      </c>
      <c r="C4425" t="str">
        <f t="shared" si="2116"/>
        <v>NFSE</v>
      </c>
      <c r="D4425" t="str">
        <f>"3309"</f>
        <v>3309</v>
      </c>
      <c r="E4425" t="str">
        <f t="shared" si="2106"/>
        <v>COM</v>
      </c>
      <c r="F4425" t="str">
        <f>"FRAN FARMA (10124)"</f>
        <v>FRAN FARMA (10124)</v>
      </c>
      <c r="G4425" t="str">
        <f>"Serv.Prest. 28/07/2025 a 03/08/2025 - RPS: 1075 - NFSe: 3309"</f>
        <v>Serv.Prest. 28/07/2025 a 03/08/2025 - RPS: 1075 - NFSe: 3309</v>
      </c>
      <c r="H4425" t="str">
        <f t="shared" si="2122"/>
        <v>06/08/2025</v>
      </c>
      <c r="I4425" t="str">
        <f t="shared" si="2123"/>
        <v>04/08/2025</v>
      </c>
      <c r="J4425" t="str">
        <f t="shared" si="2118"/>
        <v>07/08/2025</v>
      </c>
      <c r="M4425">
        <v>303</v>
      </c>
      <c r="N4425" t="str">
        <f t="shared" si="2119"/>
        <v>RECEITAS COM ENTREGAS</v>
      </c>
      <c r="P4425">
        <v>192</v>
      </c>
      <c r="Q4425" t="str">
        <f>"FRAN FARMA LJ 2 (10131)"</f>
        <v>FRAN FARMA LJ 2 (10131)</v>
      </c>
      <c r="R4425" t="str">
        <f t="shared" si="2120"/>
        <v>RECEITAS COM ENTREGAS (303)</v>
      </c>
      <c r="S4425">
        <v>2266</v>
      </c>
      <c r="T4425">
        <v>1763</v>
      </c>
      <c r="U4425" t="s">
        <v>19</v>
      </c>
    </row>
    <row r="4426" spans="1:21">
      <c r="A4426" t="str">
        <f t="shared" si="2115"/>
        <v>07/08/2025</v>
      </c>
      <c r="B4426" t="str">
        <f t="shared" si="2121"/>
        <v>ENTRADA</v>
      </c>
      <c r="C4426" t="str">
        <f t="shared" si="2116"/>
        <v>NFSE</v>
      </c>
      <c r="D4426" t="str">
        <f>"3309"</f>
        <v>3309</v>
      </c>
      <c r="E4426" t="str">
        <f t="shared" si="2106"/>
        <v>COM</v>
      </c>
      <c r="F4426" t="str">
        <f>"FRAN FARMA (10124)"</f>
        <v>FRAN FARMA (10124)</v>
      </c>
      <c r="G4426" t="str">
        <f>"Serv.Prest. 28/07/2025 a 03/08/2025 - RPS: 1075 - NFSe: 3309"</f>
        <v>Serv.Prest. 28/07/2025 a 03/08/2025 - RPS: 1075 - NFSe: 3309</v>
      </c>
      <c r="H4426" t="str">
        <f t="shared" si="2122"/>
        <v>06/08/2025</v>
      </c>
      <c r="I4426" t="str">
        <f t="shared" si="2123"/>
        <v>04/08/2025</v>
      </c>
      <c r="J4426" t="str">
        <f t="shared" si="2118"/>
        <v>07/08/2025</v>
      </c>
      <c r="M4426">
        <v>303</v>
      </c>
      <c r="N4426" t="str">
        <f t="shared" si="2119"/>
        <v>RECEITAS COM ENTREGAS</v>
      </c>
      <c r="P4426">
        <v>64</v>
      </c>
      <c r="Q4426" t="str">
        <f>"FRAN FARMA LJ 3 (10132)"</f>
        <v>FRAN FARMA LJ 3 (10132)</v>
      </c>
      <c r="R4426" t="str">
        <f t="shared" si="2120"/>
        <v>RECEITAS COM ENTREGAS (303)</v>
      </c>
      <c r="S4426">
        <v>2266</v>
      </c>
      <c r="T4426">
        <v>1763</v>
      </c>
      <c r="U4426" t="s">
        <v>19</v>
      </c>
    </row>
    <row r="4427" spans="1:21">
      <c r="A4427" t="str">
        <f t="shared" si="2115"/>
        <v>07/08/2025</v>
      </c>
      <c r="B4427" t="str">
        <f t="shared" si="2121"/>
        <v>ENTRADA</v>
      </c>
      <c r="C4427" t="str">
        <f t="shared" si="2116"/>
        <v>NFSE</v>
      </c>
      <c r="D4427" t="str">
        <f>"3310"</f>
        <v>3310</v>
      </c>
      <c r="E4427" t="str">
        <f t="shared" si="2106"/>
        <v>COM</v>
      </c>
      <c r="F4427" t="str">
        <f>"DROGARIA TOTAL JUNDIAI (10177)"</f>
        <v>DROGARIA TOTAL JUNDIAI (10177)</v>
      </c>
      <c r="G4427" t="str">
        <f>"Serv.Prest. 28/07/2025 a 03/08/2025 - RPS: 1076 - NFSe: 3310"</f>
        <v>Serv.Prest. 28/07/2025 a 03/08/2025 - RPS: 1076 - NFSe: 3310</v>
      </c>
      <c r="H4427" t="str">
        <f t="shared" si="2122"/>
        <v>06/08/2025</v>
      </c>
      <c r="I4427" t="str">
        <f t="shared" si="2123"/>
        <v>04/08/2025</v>
      </c>
      <c r="J4427" t="str">
        <f t="shared" si="2118"/>
        <v>07/08/2025</v>
      </c>
      <c r="K4427">
        <v>100.27</v>
      </c>
      <c r="L4427">
        <v>100.27</v>
      </c>
      <c r="M4427">
        <v>303</v>
      </c>
      <c r="N4427" t="str">
        <f t="shared" si="2119"/>
        <v>RECEITAS COM ENTREGAS</v>
      </c>
      <c r="O4427">
        <v>100.27</v>
      </c>
      <c r="R4427" t="str">
        <f t="shared" si="2120"/>
        <v>RECEITAS COM ENTREGAS (303)</v>
      </c>
      <c r="S4427">
        <v>2267</v>
      </c>
      <c r="T4427">
        <v>1764</v>
      </c>
      <c r="U4427" t="s">
        <v>19</v>
      </c>
    </row>
    <row r="4428" spans="1:21">
      <c r="A4428" t="str">
        <f t="shared" si="2115"/>
        <v>07/08/2025</v>
      </c>
      <c r="B4428" t="str">
        <f t="shared" si="2121"/>
        <v>ENTRADA</v>
      </c>
      <c r="C4428" t="str">
        <f t="shared" si="2116"/>
        <v>NFSE</v>
      </c>
      <c r="D4428" t="str">
        <f>"3310"</f>
        <v>3310</v>
      </c>
      <c r="E4428" t="str">
        <f t="shared" si="2106"/>
        <v>COM</v>
      </c>
      <c r="F4428" t="str">
        <f>"DROGARIA TOTAL JUNDIAI (10177)"</f>
        <v>DROGARIA TOTAL JUNDIAI (10177)</v>
      </c>
      <c r="G4428" t="str">
        <f>"Serv.Prest. 28/07/2025 a 03/08/2025 - RPS: 1076 - NFSe: 3310"</f>
        <v>Serv.Prest. 28/07/2025 a 03/08/2025 - RPS: 1076 - NFSe: 3310</v>
      </c>
      <c r="H4428" t="str">
        <f t="shared" si="2122"/>
        <v>06/08/2025</v>
      </c>
      <c r="I4428" t="str">
        <f t="shared" si="2123"/>
        <v>04/08/2025</v>
      </c>
      <c r="J4428" t="str">
        <f t="shared" si="2118"/>
        <v>07/08/2025</v>
      </c>
      <c r="M4428">
        <v>303</v>
      </c>
      <c r="N4428" t="str">
        <f t="shared" si="2119"/>
        <v>RECEITAS COM ENTREGAS</v>
      </c>
      <c r="P4428">
        <v>100.27</v>
      </c>
      <c r="Q4428" t="str">
        <f>"DROGARIA TOTAL JUNDIAI (10177)"</f>
        <v>DROGARIA TOTAL JUNDIAI (10177)</v>
      </c>
      <c r="R4428" t="str">
        <f t="shared" si="2120"/>
        <v>RECEITAS COM ENTREGAS (303)</v>
      </c>
      <c r="S4428">
        <v>2267</v>
      </c>
      <c r="T4428">
        <v>1764</v>
      </c>
      <c r="U4428" t="s">
        <v>19</v>
      </c>
    </row>
    <row r="4429" spans="1:21">
      <c r="A4429" t="str">
        <f t="shared" si="2115"/>
        <v>07/08/2025</v>
      </c>
      <c r="B4429" t="str">
        <f t="shared" si="2121"/>
        <v>ENTRADA</v>
      </c>
      <c r="C4429" t="str">
        <f t="shared" si="2116"/>
        <v>NFSE</v>
      </c>
      <c r="D4429" t="str">
        <f>"3313"</f>
        <v>3313</v>
      </c>
      <c r="E4429" t="str">
        <f t="shared" si="2106"/>
        <v>COM</v>
      </c>
      <c r="F4429" t="str">
        <f>"DROGA ELIDA (10121)"</f>
        <v>DROGA ELIDA (10121)</v>
      </c>
      <c r="G4429" t="str">
        <f>"Serv.Prest. 28/07/2025 a 03/08/2025 - RPS: 1079 - NFSe: 3313"</f>
        <v>Serv.Prest. 28/07/2025 a 03/08/2025 - RPS: 1079 - NFSe: 3313</v>
      </c>
      <c r="H4429" t="str">
        <f t="shared" si="2122"/>
        <v>06/08/2025</v>
      </c>
      <c r="I4429" t="str">
        <f t="shared" si="2123"/>
        <v>04/08/2025</v>
      </c>
      <c r="J4429" t="str">
        <f t="shared" si="2118"/>
        <v>07/08/2025</v>
      </c>
      <c r="K4429">
        <v>350.4</v>
      </c>
      <c r="L4429">
        <v>350.4</v>
      </c>
      <c r="M4429">
        <v>303</v>
      </c>
      <c r="N4429" t="str">
        <f t="shared" si="2119"/>
        <v>RECEITAS COM ENTREGAS</v>
      </c>
      <c r="O4429">
        <v>350.4</v>
      </c>
      <c r="R4429" t="str">
        <f t="shared" si="2120"/>
        <v>RECEITAS COM ENTREGAS (303)</v>
      </c>
      <c r="S4429">
        <v>2268</v>
      </c>
      <c r="T4429">
        <v>1767</v>
      </c>
      <c r="U4429" t="s">
        <v>19</v>
      </c>
    </row>
    <row r="4430" spans="1:21">
      <c r="A4430" t="str">
        <f t="shared" si="2115"/>
        <v>07/08/2025</v>
      </c>
      <c r="B4430" t="str">
        <f t="shared" si="2121"/>
        <v>ENTRADA</v>
      </c>
      <c r="C4430" t="str">
        <f t="shared" si="2116"/>
        <v>NFSE</v>
      </c>
      <c r="D4430" t="str">
        <f>"3313"</f>
        <v>3313</v>
      </c>
      <c r="E4430" t="str">
        <f t="shared" si="2106"/>
        <v>COM</v>
      </c>
      <c r="F4430" t="str">
        <f>"DROGA ELIDA (10121)"</f>
        <v>DROGA ELIDA (10121)</v>
      </c>
      <c r="G4430" t="str">
        <f>"Serv.Prest. 28/07/2025 a 03/08/2025 - RPS: 1079 - NFSe: 3313"</f>
        <v>Serv.Prest. 28/07/2025 a 03/08/2025 - RPS: 1079 - NFSe: 3313</v>
      </c>
      <c r="H4430" t="str">
        <f t="shared" si="2122"/>
        <v>06/08/2025</v>
      </c>
      <c r="I4430" t="str">
        <f t="shared" si="2123"/>
        <v>04/08/2025</v>
      </c>
      <c r="J4430" t="str">
        <f t="shared" si="2118"/>
        <v>07/08/2025</v>
      </c>
      <c r="M4430">
        <v>303</v>
      </c>
      <c r="N4430" t="str">
        <f t="shared" si="2119"/>
        <v>RECEITAS COM ENTREGAS</v>
      </c>
      <c r="P4430">
        <v>350.4</v>
      </c>
      <c r="Q4430" t="str">
        <f>"DROGA ELIDA (10121)"</f>
        <v>DROGA ELIDA (10121)</v>
      </c>
      <c r="R4430" t="str">
        <f t="shared" si="2120"/>
        <v>RECEITAS COM ENTREGAS (303)</v>
      </c>
      <c r="S4430">
        <v>2268</v>
      </c>
      <c r="T4430">
        <v>1767</v>
      </c>
      <c r="U4430" t="s">
        <v>19</v>
      </c>
    </row>
    <row r="4431" spans="1:21">
      <c r="A4431" t="str">
        <f t="shared" si="2115"/>
        <v>07/08/2025</v>
      </c>
      <c r="B4431" t="str">
        <f t="shared" si="2121"/>
        <v>ENTRADA</v>
      </c>
      <c r="C4431" t="str">
        <f t="shared" si="2116"/>
        <v>NFSE</v>
      </c>
      <c r="D4431" t="str">
        <f>"3314"</f>
        <v>3314</v>
      </c>
      <c r="E4431" t="str">
        <f t="shared" si="2106"/>
        <v>COM</v>
      </c>
      <c r="F4431" t="str">
        <f>"DROGA MONICA LJ 3 (10152)"</f>
        <v>DROGA MONICA LJ 3 (10152)</v>
      </c>
      <c r="G4431" t="str">
        <f>"Serv.Prest. 28/07/2025 a 03/08/2025 - RPS: 1080 - NFSe: 3314"</f>
        <v>Serv.Prest. 28/07/2025 a 03/08/2025 - RPS: 1080 - NFSe: 3314</v>
      </c>
      <c r="H4431" t="str">
        <f t="shared" si="2122"/>
        <v>06/08/2025</v>
      </c>
      <c r="I4431" t="str">
        <f t="shared" si="2123"/>
        <v>04/08/2025</v>
      </c>
      <c r="J4431" t="str">
        <f t="shared" si="2118"/>
        <v>07/08/2025</v>
      </c>
      <c r="K4431">
        <v>206.4</v>
      </c>
      <c r="L4431">
        <v>206.4</v>
      </c>
      <c r="M4431">
        <v>303</v>
      </c>
      <c r="N4431" t="str">
        <f t="shared" si="2119"/>
        <v>RECEITAS COM ENTREGAS</v>
      </c>
      <c r="O4431">
        <v>206.4</v>
      </c>
      <c r="R4431" t="str">
        <f t="shared" si="2120"/>
        <v>RECEITAS COM ENTREGAS (303)</v>
      </c>
      <c r="S4431">
        <v>2269</v>
      </c>
      <c r="T4431">
        <v>1768</v>
      </c>
      <c r="U4431" t="s">
        <v>19</v>
      </c>
    </row>
    <row r="4432" spans="1:21">
      <c r="A4432" t="str">
        <f t="shared" si="2115"/>
        <v>07/08/2025</v>
      </c>
      <c r="B4432" t="str">
        <f t="shared" si="2121"/>
        <v>ENTRADA</v>
      </c>
      <c r="C4432" t="str">
        <f t="shared" si="2116"/>
        <v>NFSE</v>
      </c>
      <c r="D4432" t="str">
        <f>"3314"</f>
        <v>3314</v>
      </c>
      <c r="E4432" t="str">
        <f t="shared" si="2106"/>
        <v>COM</v>
      </c>
      <c r="F4432" t="str">
        <f>"DROGA MONICA LJ 3 (10152)"</f>
        <v>DROGA MONICA LJ 3 (10152)</v>
      </c>
      <c r="G4432" t="str">
        <f>"Serv.Prest. 28/07/2025 a 03/08/2025 - RPS: 1080 - NFSe: 3314"</f>
        <v>Serv.Prest. 28/07/2025 a 03/08/2025 - RPS: 1080 - NFSe: 3314</v>
      </c>
      <c r="H4432" t="str">
        <f t="shared" si="2122"/>
        <v>06/08/2025</v>
      </c>
      <c r="I4432" t="str">
        <f t="shared" si="2123"/>
        <v>04/08/2025</v>
      </c>
      <c r="J4432" t="str">
        <f t="shared" si="2118"/>
        <v>07/08/2025</v>
      </c>
      <c r="M4432">
        <v>303</v>
      </c>
      <c r="N4432" t="str">
        <f t="shared" si="2119"/>
        <v>RECEITAS COM ENTREGAS</v>
      </c>
      <c r="P4432">
        <v>206.4</v>
      </c>
      <c r="Q4432" t="str">
        <f>"DROGA MONICA LJ 3 (10152)"</f>
        <v>DROGA MONICA LJ 3 (10152)</v>
      </c>
      <c r="R4432" t="str">
        <f t="shared" si="2120"/>
        <v>RECEITAS COM ENTREGAS (303)</v>
      </c>
      <c r="S4432">
        <v>2269</v>
      </c>
      <c r="T4432">
        <v>1768</v>
      </c>
      <c r="U4432" t="s">
        <v>19</v>
      </c>
    </row>
    <row r="4433" spans="1:21">
      <c r="A4433" t="str">
        <f t="shared" si="2115"/>
        <v>07/08/2025</v>
      </c>
      <c r="B4433" t="str">
        <f t="shared" si="2121"/>
        <v>ENTRADA</v>
      </c>
      <c r="C4433" t="str">
        <f t="shared" si="2116"/>
        <v>NFSE</v>
      </c>
      <c r="D4433" t="str">
        <f>"3318"</f>
        <v>3318</v>
      </c>
      <c r="E4433" t="str">
        <f t="shared" si="2106"/>
        <v>COM</v>
      </c>
      <c r="F4433" t="str">
        <f>"JAL FARMACIA E DROGARIA LJ 1 (10137)"</f>
        <v>JAL FARMACIA E DROGARIA LJ 1 (10137)</v>
      </c>
      <c r="G4433" t="str">
        <f>"Serv.Prest. 28/07/2025 a 03/08/2025 - RPS: 1084 - NFSe: 3318"</f>
        <v>Serv.Prest. 28/07/2025 a 03/08/2025 - RPS: 1084 - NFSe: 3318</v>
      </c>
      <c r="H4433" t="str">
        <f t="shared" si="2122"/>
        <v>06/08/2025</v>
      </c>
      <c r="I4433" t="str">
        <f t="shared" si="2123"/>
        <v>04/08/2025</v>
      </c>
      <c r="J4433" t="str">
        <f t="shared" si="2118"/>
        <v>07/08/2025</v>
      </c>
      <c r="K4433">
        <v>403.2</v>
      </c>
      <c r="L4433">
        <v>403.2</v>
      </c>
      <c r="M4433">
        <v>303</v>
      </c>
      <c r="N4433" t="str">
        <f t="shared" si="2119"/>
        <v>RECEITAS COM ENTREGAS</v>
      </c>
      <c r="O4433">
        <v>403.2</v>
      </c>
      <c r="R4433" t="str">
        <f t="shared" si="2120"/>
        <v>RECEITAS COM ENTREGAS (303)</v>
      </c>
      <c r="S4433">
        <v>2270</v>
      </c>
      <c r="T4433">
        <v>1772</v>
      </c>
      <c r="U4433" t="s">
        <v>19</v>
      </c>
    </row>
    <row r="4434" spans="1:21">
      <c r="A4434" t="str">
        <f t="shared" si="2115"/>
        <v>07/08/2025</v>
      </c>
      <c r="B4434" t="str">
        <f t="shared" si="2121"/>
        <v>ENTRADA</v>
      </c>
      <c r="C4434" t="str">
        <f t="shared" si="2116"/>
        <v>NFSE</v>
      </c>
      <c r="D4434" t="str">
        <f>"3318"</f>
        <v>3318</v>
      </c>
      <c r="E4434" t="str">
        <f t="shared" si="2106"/>
        <v>COM</v>
      </c>
      <c r="F4434" t="str">
        <f>"JAL FARMACIA E DROGARIA LJ 1 (10137)"</f>
        <v>JAL FARMACIA E DROGARIA LJ 1 (10137)</v>
      </c>
      <c r="G4434" t="str">
        <f>"Serv.Prest. 28/07/2025 a 03/08/2025 - RPS: 1084 - NFSe: 3318"</f>
        <v>Serv.Prest. 28/07/2025 a 03/08/2025 - RPS: 1084 - NFSe: 3318</v>
      </c>
      <c r="H4434" t="str">
        <f t="shared" si="2122"/>
        <v>06/08/2025</v>
      </c>
      <c r="I4434" t="str">
        <f t="shared" si="2123"/>
        <v>04/08/2025</v>
      </c>
      <c r="J4434" t="str">
        <f t="shared" si="2118"/>
        <v>07/08/2025</v>
      </c>
      <c r="M4434">
        <v>303</v>
      </c>
      <c r="N4434" t="str">
        <f t="shared" si="2119"/>
        <v>RECEITAS COM ENTREGAS</v>
      </c>
      <c r="P4434">
        <v>403.2</v>
      </c>
      <c r="Q4434" t="str">
        <f>"JAL FARMACIA E DROGARIA LJ 1 (10137)"</f>
        <v>JAL FARMACIA E DROGARIA LJ 1 (10137)</v>
      </c>
      <c r="R4434" t="str">
        <f t="shared" si="2120"/>
        <v>RECEITAS COM ENTREGAS (303)</v>
      </c>
      <c r="S4434">
        <v>2270</v>
      </c>
      <c r="T4434">
        <v>1772</v>
      </c>
      <c r="U4434" t="s">
        <v>19</v>
      </c>
    </row>
    <row r="4435" spans="1:21">
      <c r="A4435" t="str">
        <f t="shared" si="2115"/>
        <v>07/08/2025</v>
      </c>
      <c r="B4435" t="str">
        <f t="shared" si="2121"/>
        <v>ENTRADA</v>
      </c>
      <c r="C4435" t="str">
        <f t="shared" si="2116"/>
        <v>NFSE</v>
      </c>
      <c r="D4435" t="str">
        <f>"3319"</f>
        <v>3319</v>
      </c>
      <c r="E4435" t="str">
        <f t="shared" si="2106"/>
        <v>COM</v>
      </c>
      <c r="F4435" t="str">
        <f>"DROGARIA ANA VISCONDE DO RIO BRANCO (10182)"</f>
        <v>DROGARIA ANA VISCONDE DO RIO BRANCO (10182)</v>
      </c>
      <c r="G4435" t="str">
        <f>"Serv.Prest. 28/07/2025 a 03/08/2025 - RPS: 1085 - NFSe: 3319"</f>
        <v>Serv.Prest. 28/07/2025 a 03/08/2025 - RPS: 1085 - NFSe: 3319</v>
      </c>
      <c r="H4435" t="str">
        <f t="shared" si="2122"/>
        <v>06/08/2025</v>
      </c>
      <c r="I4435" t="str">
        <f t="shared" si="2123"/>
        <v>04/08/2025</v>
      </c>
      <c r="J4435" t="str">
        <f t="shared" si="2118"/>
        <v>07/08/2025</v>
      </c>
      <c r="K4435">
        <v>845.28</v>
      </c>
      <c r="L4435">
        <v>845.28</v>
      </c>
      <c r="M4435">
        <v>303</v>
      </c>
      <c r="N4435" t="str">
        <f t="shared" si="2119"/>
        <v>RECEITAS COM ENTREGAS</v>
      </c>
      <c r="O4435">
        <v>845.28</v>
      </c>
      <c r="R4435" t="str">
        <f t="shared" si="2120"/>
        <v>RECEITAS COM ENTREGAS (303)</v>
      </c>
      <c r="S4435">
        <v>2271</v>
      </c>
      <c r="T4435">
        <v>1773</v>
      </c>
      <c r="U4435" t="s">
        <v>19</v>
      </c>
    </row>
    <row r="4436" spans="1:21">
      <c r="A4436" t="str">
        <f t="shared" si="2115"/>
        <v>07/08/2025</v>
      </c>
      <c r="B4436" t="str">
        <f t="shared" si="2121"/>
        <v>ENTRADA</v>
      </c>
      <c r="C4436" t="str">
        <f t="shared" si="2116"/>
        <v>NFSE</v>
      </c>
      <c r="D4436" t="str">
        <f>"3319"</f>
        <v>3319</v>
      </c>
      <c r="E4436" t="str">
        <f t="shared" si="2106"/>
        <v>COM</v>
      </c>
      <c r="F4436" t="str">
        <f>"DROGARIA ANA VISCONDE DO RIO BRANCO (10182)"</f>
        <v>DROGARIA ANA VISCONDE DO RIO BRANCO (10182)</v>
      </c>
      <c r="G4436" t="str">
        <f>"Serv.Prest. 28/07/2025 a 03/08/2025 - RPS: 1085 - NFSe: 3319"</f>
        <v>Serv.Prest. 28/07/2025 a 03/08/2025 - RPS: 1085 - NFSe: 3319</v>
      </c>
      <c r="H4436" t="str">
        <f t="shared" si="2122"/>
        <v>06/08/2025</v>
      </c>
      <c r="I4436" t="str">
        <f t="shared" si="2123"/>
        <v>04/08/2025</v>
      </c>
      <c r="J4436" t="str">
        <f t="shared" si="2118"/>
        <v>07/08/2025</v>
      </c>
      <c r="M4436">
        <v>303</v>
      </c>
      <c r="N4436" t="str">
        <f t="shared" si="2119"/>
        <v>RECEITAS COM ENTREGAS</v>
      </c>
      <c r="P4436">
        <v>845.28</v>
      </c>
      <c r="Q4436" t="str">
        <f>"DROGARIA ANA VISCONDE DO RIO BRANCO (10182)"</f>
        <v>DROGARIA ANA VISCONDE DO RIO BRANCO (10182)</v>
      </c>
      <c r="R4436" t="str">
        <f t="shared" si="2120"/>
        <v>RECEITAS COM ENTREGAS (303)</v>
      </c>
      <c r="S4436">
        <v>2271</v>
      </c>
      <c r="T4436">
        <v>1773</v>
      </c>
      <c r="U4436" t="s">
        <v>19</v>
      </c>
    </row>
    <row r="4437" spans="1:21">
      <c r="A4437" t="str">
        <f t="shared" si="2115"/>
        <v>07/08/2025</v>
      </c>
      <c r="B4437" t="str">
        <f t="shared" si="2121"/>
        <v>ENTRADA</v>
      </c>
      <c r="C4437" t="str">
        <f t="shared" si="2116"/>
        <v>NFSE</v>
      </c>
      <c r="D4437" t="str">
        <f>"3326"</f>
        <v>3326</v>
      </c>
      <c r="E4437" t="str">
        <f t="shared" si="2106"/>
        <v>COM</v>
      </c>
      <c r="F4437" t="str">
        <f>"FARMACIA ECONOMIZE (10103)"</f>
        <v>FARMACIA ECONOMIZE (10103)</v>
      </c>
      <c r="G4437" t="str">
        <f>"Serv.Prest. 28/07/2025 a 03/08/2025 - RPS: 1092 - NFSe: 3326"</f>
        <v>Serv.Prest. 28/07/2025 a 03/08/2025 - RPS: 1092 - NFSe: 3326</v>
      </c>
      <c r="H4437" t="str">
        <f t="shared" si="2122"/>
        <v>06/08/2025</v>
      </c>
      <c r="I4437" t="str">
        <f>("05/08/2025")</f>
        <v>05/08/2025</v>
      </c>
      <c r="J4437" t="str">
        <f t="shared" si="2118"/>
        <v>07/08/2025</v>
      </c>
      <c r="K4437">
        <v>27.84</v>
      </c>
      <c r="L4437">
        <v>27.84</v>
      </c>
      <c r="M4437">
        <v>303</v>
      </c>
      <c r="N4437" t="str">
        <f t="shared" si="2119"/>
        <v>RECEITAS COM ENTREGAS</v>
      </c>
      <c r="O4437">
        <v>27.84</v>
      </c>
      <c r="R4437" t="str">
        <f t="shared" si="2120"/>
        <v>RECEITAS COM ENTREGAS (303)</v>
      </c>
      <c r="S4437">
        <v>2272</v>
      </c>
      <c r="T4437">
        <v>1780</v>
      </c>
      <c r="U4437" t="s">
        <v>19</v>
      </c>
    </row>
    <row r="4438" spans="1:21">
      <c r="A4438" t="str">
        <f t="shared" si="2115"/>
        <v>07/08/2025</v>
      </c>
      <c r="B4438" t="str">
        <f t="shared" si="2121"/>
        <v>ENTRADA</v>
      </c>
      <c r="C4438" t="str">
        <f t="shared" si="2116"/>
        <v>NFSE</v>
      </c>
      <c r="D4438" t="str">
        <f>"3326"</f>
        <v>3326</v>
      </c>
      <c r="E4438" t="str">
        <f t="shared" si="2106"/>
        <v>COM</v>
      </c>
      <c r="F4438" t="str">
        <f>"FARMACIA ECONOMIZE (10103)"</f>
        <v>FARMACIA ECONOMIZE (10103)</v>
      </c>
      <c r="G4438" t="str">
        <f>"Serv.Prest. 28/07/2025 a 03/08/2025 - RPS: 1092 - NFSe: 3326"</f>
        <v>Serv.Prest. 28/07/2025 a 03/08/2025 - RPS: 1092 - NFSe: 3326</v>
      </c>
      <c r="H4438" t="str">
        <f t="shared" si="2122"/>
        <v>06/08/2025</v>
      </c>
      <c r="I4438" t="str">
        <f>("05/08/2025")</f>
        <v>05/08/2025</v>
      </c>
      <c r="J4438" t="str">
        <f t="shared" si="2118"/>
        <v>07/08/2025</v>
      </c>
      <c r="M4438">
        <v>303</v>
      </c>
      <c r="N4438" t="str">
        <f t="shared" si="2119"/>
        <v>RECEITAS COM ENTREGAS</v>
      </c>
      <c r="P4438">
        <v>27.84</v>
      </c>
      <c r="Q4438" t="str">
        <f>"FARMACIA ECONOMIZE (10103)"</f>
        <v>FARMACIA ECONOMIZE (10103)</v>
      </c>
      <c r="R4438" t="str">
        <f t="shared" si="2120"/>
        <v>RECEITAS COM ENTREGAS (303)</v>
      </c>
      <c r="S4438">
        <v>2272</v>
      </c>
      <c r="T4438">
        <v>1780</v>
      </c>
      <c r="U4438" t="s">
        <v>19</v>
      </c>
    </row>
    <row r="4439" spans="1:21">
      <c r="A4439" t="str">
        <f t="shared" si="2115"/>
        <v>07/08/2025</v>
      </c>
      <c r="B4439" t="str">
        <f t="shared" si="2121"/>
        <v>ENTRADA</v>
      </c>
      <c r="C4439" t="str">
        <f t="shared" si="2116"/>
        <v>NFSE</v>
      </c>
      <c r="D4439" t="str">
        <f>"3316"</f>
        <v>3316</v>
      </c>
      <c r="E4439" t="str">
        <f t="shared" si="2106"/>
        <v>COM</v>
      </c>
      <c r="F4439" t="str">
        <f>"DROGARIA POUPA MINAS (ULTRAMINAS) 3 (10129)"</f>
        <v>DROGARIA POUPA MINAS (ULTRAMINAS) 3 (10129)</v>
      </c>
      <c r="G4439" t="str">
        <f>"Serv.Prest. 28/07/2025 a 03/08/2025 - RPS: 1082 - NFSe: 3316"</f>
        <v>Serv.Prest. 28/07/2025 a 03/08/2025 - RPS: 1082 - NFSe: 3316</v>
      </c>
      <c r="H4439" t="str">
        <f>("07/08/2025")</f>
        <v>07/08/2025</v>
      </c>
      <c r="I4439" t="str">
        <f>("04/08/2025")</f>
        <v>04/08/2025</v>
      </c>
      <c r="J4439" t="str">
        <f t="shared" si="2118"/>
        <v>07/08/2025</v>
      </c>
      <c r="K4439">
        <v>171.6</v>
      </c>
      <c r="L4439">
        <v>171.6</v>
      </c>
      <c r="M4439">
        <v>303</v>
      </c>
      <c r="N4439" t="str">
        <f t="shared" si="2119"/>
        <v>RECEITAS COM ENTREGAS</v>
      </c>
      <c r="O4439">
        <v>171.6</v>
      </c>
      <c r="R4439" t="str">
        <f t="shared" si="2120"/>
        <v>RECEITAS COM ENTREGAS (303)</v>
      </c>
      <c r="S4439">
        <v>2273</v>
      </c>
      <c r="T4439">
        <v>1770</v>
      </c>
      <c r="U4439" t="s">
        <v>19</v>
      </c>
    </row>
    <row r="4440" spans="1:21">
      <c r="A4440" t="str">
        <f t="shared" si="2115"/>
        <v>07/08/2025</v>
      </c>
      <c r="B4440" t="str">
        <f t="shared" si="2121"/>
        <v>ENTRADA</v>
      </c>
      <c r="C4440" t="str">
        <f t="shared" si="2116"/>
        <v>NFSE</v>
      </c>
      <c r="D4440" t="str">
        <f>"3316"</f>
        <v>3316</v>
      </c>
      <c r="E4440" t="str">
        <f t="shared" si="2106"/>
        <v>COM</v>
      </c>
      <c r="F4440" t="str">
        <f>"DROGARIA POUPA MINAS (ULTRAMINAS) 3 (10129)"</f>
        <v>DROGARIA POUPA MINAS (ULTRAMINAS) 3 (10129)</v>
      </c>
      <c r="G4440" t="str">
        <f>"Serv.Prest. 28/07/2025 a 03/08/2025 - RPS: 1082 - NFSe: 3316"</f>
        <v>Serv.Prest. 28/07/2025 a 03/08/2025 - RPS: 1082 - NFSe: 3316</v>
      </c>
      <c r="H4440" t="str">
        <f>("07/08/2025")</f>
        <v>07/08/2025</v>
      </c>
      <c r="I4440" t="str">
        <f>("04/08/2025")</f>
        <v>04/08/2025</v>
      </c>
      <c r="J4440" t="str">
        <f t="shared" si="2118"/>
        <v>07/08/2025</v>
      </c>
      <c r="M4440">
        <v>303</v>
      </c>
      <c r="N4440" t="str">
        <f t="shared" si="2119"/>
        <v>RECEITAS COM ENTREGAS</v>
      </c>
      <c r="P4440">
        <v>171.6</v>
      </c>
      <c r="Q4440" t="str">
        <f>"DROGARIA POUPA MINAS (ULTRAMINAS) 3 (10129)"</f>
        <v>DROGARIA POUPA MINAS (ULTRAMINAS) 3 (10129)</v>
      </c>
      <c r="R4440" t="str">
        <f t="shared" si="2120"/>
        <v>RECEITAS COM ENTREGAS (303)</v>
      </c>
      <c r="S4440">
        <v>2273</v>
      </c>
      <c r="T4440">
        <v>1770</v>
      </c>
      <c r="U4440" t="s">
        <v>19</v>
      </c>
    </row>
    <row r="4441" spans="1:21">
      <c r="A4441" t="str">
        <f t="shared" si="2115"/>
        <v>07/08/2025</v>
      </c>
      <c r="B4441" t="str">
        <f t="shared" si="2121"/>
        <v>ENTRADA</v>
      </c>
      <c r="C4441" t="str">
        <f t="shared" si="2116"/>
        <v>NFSE</v>
      </c>
      <c r="D4441" t="str">
        <f>"3327"</f>
        <v>3327</v>
      </c>
      <c r="E4441" t="str">
        <f t="shared" si="2106"/>
        <v>COM</v>
      </c>
      <c r="F4441" t="str">
        <f>"DELTA LOJA 2 (10123)"</f>
        <v>DELTA LOJA 2 (10123)</v>
      </c>
      <c r="G4441" t="str">
        <f>"Serv.Prest. 28/07/2025 a 03/08/2025 - RPS: 1093 - NFSe: 3327"</f>
        <v>Serv.Prest. 28/07/2025 a 03/08/2025 - RPS: 1093 - NFSe: 3327</v>
      </c>
      <c r="H4441" t="str">
        <f>("06/08/2025")</f>
        <v>06/08/2025</v>
      </c>
      <c r="I4441" t="str">
        <f>("05/08/2025")</f>
        <v>05/08/2025</v>
      </c>
      <c r="J4441" t="str">
        <f t="shared" si="2118"/>
        <v>07/08/2025</v>
      </c>
      <c r="K4441">
        <v>586.88</v>
      </c>
      <c r="L4441">
        <v>598.79999999999995</v>
      </c>
      <c r="M4441">
        <v>303</v>
      </c>
      <c r="N4441" t="str">
        <f t="shared" si="2119"/>
        <v>RECEITAS COM ENTREGAS</v>
      </c>
      <c r="O4441">
        <v>598.79999999999995</v>
      </c>
      <c r="R4441" t="str">
        <f t="shared" si="2120"/>
        <v>RECEITAS COM ENTREGAS (303)</v>
      </c>
      <c r="S4441">
        <v>2276</v>
      </c>
      <c r="T4441">
        <v>1781</v>
      </c>
      <c r="U4441" t="s">
        <v>19</v>
      </c>
    </row>
    <row r="4442" spans="1:21">
      <c r="A4442" t="str">
        <f t="shared" si="2115"/>
        <v>07/08/2025</v>
      </c>
      <c r="B4442" t="str">
        <f t="shared" si="2121"/>
        <v>ENTRADA</v>
      </c>
      <c r="C4442" t="str">
        <f t="shared" si="2116"/>
        <v>NFSE</v>
      </c>
      <c r="D4442" t="str">
        <f>"3327"</f>
        <v>3327</v>
      </c>
      <c r="E4442" t="str">
        <f t="shared" si="2106"/>
        <v>COM</v>
      </c>
      <c r="F4442" t="str">
        <f>"DELTA LOJA 2 (10123)"</f>
        <v>DELTA LOJA 2 (10123)</v>
      </c>
      <c r="G4442" t="str">
        <f>"Serv.Prest. 28/07/2025 a 03/08/2025 - RPS: 1093 - NFSe: 3327"</f>
        <v>Serv.Prest. 28/07/2025 a 03/08/2025 - RPS: 1093 - NFSe: 3327</v>
      </c>
      <c r="H4442" t="str">
        <f>("06/08/2025")</f>
        <v>06/08/2025</v>
      </c>
      <c r="I4442" t="str">
        <f>("05/08/2025")</f>
        <v>05/08/2025</v>
      </c>
      <c r="J4442" t="str">
        <f t="shared" si="2118"/>
        <v>07/08/2025</v>
      </c>
      <c r="M4442">
        <v>303</v>
      </c>
      <c r="N4442" t="str">
        <f t="shared" si="2119"/>
        <v>RECEITAS COM ENTREGAS</v>
      </c>
      <c r="P4442">
        <v>598.79999999999995</v>
      </c>
      <c r="Q4442" t="str">
        <f>"DELTA LOJA 2 (10123)"</f>
        <v>DELTA LOJA 2 (10123)</v>
      </c>
      <c r="R4442" t="str">
        <f t="shared" si="2120"/>
        <v>RECEITAS COM ENTREGAS (303)</v>
      </c>
      <c r="S4442">
        <v>2276</v>
      </c>
      <c r="T4442">
        <v>1781</v>
      </c>
      <c r="U4442" t="s">
        <v>19</v>
      </c>
    </row>
    <row r="4443" spans="1:21">
      <c r="A4443" t="str">
        <f t="shared" si="2115"/>
        <v>07/08/2025</v>
      </c>
      <c r="B4443" t="str">
        <f t="shared" ref="B4443:B4475" si="2124">"SAÍDA"</f>
        <v>SAÍDA</v>
      </c>
      <c r="C4443" t="str">
        <f t="shared" ref="C4443:C4468" si="2125">"CONHECIMENTO"</f>
        <v>CONHECIMENTO</v>
      </c>
      <c r="D4443" t="str">
        <f t="shared" ref="D4443:D4468" si="2126">"070825170"</f>
        <v>070825170</v>
      </c>
      <c r="E4443" t="str">
        <f t="shared" si="2106"/>
        <v>COM</v>
      </c>
      <c r="F4443" t="str">
        <f t="shared" ref="F4443:F4468" si="2127">"CORA SOCIEDADE DE CREDITO, FINANCIAMENTO E INVESTIMENTO (20035)"</f>
        <v>CORA SOCIEDADE DE CREDITO, FINANCIAMENTO E INVESTIMENTO (20035)</v>
      </c>
      <c r="G4443" t="str">
        <f t="shared" ref="G4443:G4468" si="2128">"TAXA BOLETO COMPENSADO"</f>
        <v>TAXA BOLETO COMPENSADO</v>
      </c>
      <c r="H4443" t="str">
        <f t="shared" ref="H4443:I4468" si="2129">("07/08/2025")</f>
        <v>07/08/2025</v>
      </c>
      <c r="I4443" t="str">
        <f t="shared" si="2129"/>
        <v>07/08/2025</v>
      </c>
      <c r="J4443" t="str">
        <f t="shared" si="2118"/>
        <v>07/08/2025</v>
      </c>
      <c r="K4443">
        <v>1.7</v>
      </c>
      <c r="L4443">
        <v>1.7</v>
      </c>
      <c r="M4443">
        <v>401</v>
      </c>
      <c r="N4443" t="str">
        <f t="shared" ref="N4443:N4468" si="2130">"IOF/JUROS/DESP.FINANCEIRA"</f>
        <v>IOF/JUROS/DESP.FINANCEIRA</v>
      </c>
      <c r="O4443">
        <v>1.7</v>
      </c>
      <c r="R4443" t="str">
        <f t="shared" ref="R4443:R4475" si="2131">"BANCO CORA (102)"</f>
        <v>BANCO CORA (102)</v>
      </c>
      <c r="S4443">
        <v>2310</v>
      </c>
      <c r="T4443">
        <v>1851</v>
      </c>
      <c r="U4443" t="s">
        <v>19</v>
      </c>
    </row>
    <row r="4444" spans="1:21">
      <c r="A4444" t="str">
        <f t="shared" si="2115"/>
        <v>07/08/2025</v>
      </c>
      <c r="B4444" t="str">
        <f t="shared" si="2124"/>
        <v>SAÍDA</v>
      </c>
      <c r="C4444" t="str">
        <f t="shared" si="2125"/>
        <v>CONHECIMENTO</v>
      </c>
      <c r="D4444" t="str">
        <f t="shared" si="2126"/>
        <v>070825170</v>
      </c>
      <c r="E4444" t="str">
        <f t="shared" si="2106"/>
        <v>COM</v>
      </c>
      <c r="F4444" t="str">
        <f t="shared" si="2127"/>
        <v>CORA SOCIEDADE DE CREDITO, FINANCIAMENTO E INVESTIMENTO (20035)</v>
      </c>
      <c r="G4444" t="str">
        <f t="shared" si="2128"/>
        <v>TAXA BOLETO COMPENSADO</v>
      </c>
      <c r="H4444" t="str">
        <f t="shared" si="2129"/>
        <v>07/08/2025</v>
      </c>
      <c r="I4444" t="str">
        <f t="shared" si="2129"/>
        <v>07/08/2025</v>
      </c>
      <c r="J4444" t="str">
        <f t="shared" si="2118"/>
        <v>07/08/2025</v>
      </c>
      <c r="M4444">
        <v>401</v>
      </c>
      <c r="N4444" t="str">
        <f t="shared" si="2130"/>
        <v>IOF/JUROS/DESP.FINANCEIRA</v>
      </c>
      <c r="P4444">
        <v>1.7</v>
      </c>
      <c r="Q4444" t="str">
        <f>"CORA SOCIEDADE DE CREDITO, FINANCIAMENTO E INVESTIMENTO (20035)"</f>
        <v>CORA SOCIEDADE DE CREDITO, FINANCIAMENTO E INVESTIMENTO (20035)</v>
      </c>
      <c r="R4444" t="str">
        <f t="shared" si="2131"/>
        <v>BANCO CORA (102)</v>
      </c>
      <c r="S4444">
        <v>2310</v>
      </c>
      <c r="T4444">
        <v>1851</v>
      </c>
      <c r="U4444" t="s">
        <v>19</v>
      </c>
    </row>
    <row r="4445" spans="1:21">
      <c r="A4445" t="str">
        <f t="shared" si="2115"/>
        <v>07/08/2025</v>
      </c>
      <c r="B4445" t="str">
        <f t="shared" si="2124"/>
        <v>SAÍDA</v>
      </c>
      <c r="C4445" t="str">
        <f t="shared" si="2125"/>
        <v>CONHECIMENTO</v>
      </c>
      <c r="D4445" t="str">
        <f t="shared" si="2126"/>
        <v>070825170</v>
      </c>
      <c r="E4445" t="str">
        <f t="shared" si="2106"/>
        <v>COM</v>
      </c>
      <c r="F4445" t="str">
        <f t="shared" si="2127"/>
        <v>CORA SOCIEDADE DE CREDITO, FINANCIAMENTO E INVESTIMENTO (20035)</v>
      </c>
      <c r="G4445" t="str">
        <f t="shared" si="2128"/>
        <v>TAXA BOLETO COMPENSADO</v>
      </c>
      <c r="H4445" t="str">
        <f t="shared" si="2129"/>
        <v>07/08/2025</v>
      </c>
      <c r="I4445" t="str">
        <f t="shared" si="2129"/>
        <v>07/08/2025</v>
      </c>
      <c r="J4445" t="str">
        <f t="shared" si="2118"/>
        <v>07/08/2025</v>
      </c>
      <c r="K4445">
        <v>1.7</v>
      </c>
      <c r="L4445">
        <v>1.7</v>
      </c>
      <c r="M4445">
        <v>401</v>
      </c>
      <c r="N4445" t="str">
        <f t="shared" si="2130"/>
        <v>IOF/JUROS/DESP.FINANCEIRA</v>
      </c>
      <c r="O4445">
        <v>1.7</v>
      </c>
      <c r="R4445" t="str">
        <f t="shared" si="2131"/>
        <v>BANCO CORA (102)</v>
      </c>
      <c r="S4445">
        <v>2311</v>
      </c>
      <c r="T4445">
        <v>1852</v>
      </c>
      <c r="U4445" t="s">
        <v>19</v>
      </c>
    </row>
    <row r="4446" spans="1:21">
      <c r="A4446" t="str">
        <f t="shared" ref="A4446:A4475" si="2132">("07/08/2025")</f>
        <v>07/08/2025</v>
      </c>
      <c r="B4446" t="str">
        <f t="shared" si="2124"/>
        <v>SAÍDA</v>
      </c>
      <c r="C4446" t="str">
        <f t="shared" si="2125"/>
        <v>CONHECIMENTO</v>
      </c>
      <c r="D4446" t="str">
        <f t="shared" si="2126"/>
        <v>070825170</v>
      </c>
      <c r="E4446" t="str">
        <f t="shared" si="2106"/>
        <v>COM</v>
      </c>
      <c r="F4446" t="str">
        <f t="shared" si="2127"/>
        <v>CORA SOCIEDADE DE CREDITO, FINANCIAMENTO E INVESTIMENTO (20035)</v>
      </c>
      <c r="G4446" t="str">
        <f t="shared" si="2128"/>
        <v>TAXA BOLETO COMPENSADO</v>
      </c>
      <c r="H4446" t="str">
        <f t="shared" si="2129"/>
        <v>07/08/2025</v>
      </c>
      <c r="I4446" t="str">
        <f t="shared" si="2129"/>
        <v>07/08/2025</v>
      </c>
      <c r="J4446" t="str">
        <f t="shared" ref="J4446:J4475" si="2133">("07/08/2025")</f>
        <v>07/08/2025</v>
      </c>
      <c r="M4446">
        <v>401</v>
      </c>
      <c r="N4446" t="str">
        <f t="shared" si="2130"/>
        <v>IOF/JUROS/DESP.FINANCEIRA</v>
      </c>
      <c r="P4446">
        <v>1.7</v>
      </c>
      <c r="Q4446" t="str">
        <f>"CORA SOCIEDADE DE CREDITO, FINANCIAMENTO E INVESTIMENTO (20035)"</f>
        <v>CORA SOCIEDADE DE CREDITO, FINANCIAMENTO E INVESTIMENTO (20035)</v>
      </c>
      <c r="R4446" t="str">
        <f t="shared" si="2131"/>
        <v>BANCO CORA (102)</v>
      </c>
      <c r="S4446">
        <v>2311</v>
      </c>
      <c r="T4446">
        <v>1852</v>
      </c>
      <c r="U4446" t="s">
        <v>19</v>
      </c>
    </row>
    <row r="4447" spans="1:21">
      <c r="A4447" t="str">
        <f t="shared" si="2132"/>
        <v>07/08/2025</v>
      </c>
      <c r="B4447" t="str">
        <f t="shared" si="2124"/>
        <v>SAÍDA</v>
      </c>
      <c r="C4447" t="str">
        <f t="shared" si="2125"/>
        <v>CONHECIMENTO</v>
      </c>
      <c r="D4447" t="str">
        <f t="shared" si="2126"/>
        <v>070825170</v>
      </c>
      <c r="E4447" t="str">
        <f t="shared" si="2106"/>
        <v>COM</v>
      </c>
      <c r="F4447" t="str">
        <f t="shared" si="2127"/>
        <v>CORA SOCIEDADE DE CREDITO, FINANCIAMENTO E INVESTIMENTO (20035)</v>
      </c>
      <c r="G4447" t="str">
        <f t="shared" si="2128"/>
        <v>TAXA BOLETO COMPENSADO</v>
      </c>
      <c r="H4447" t="str">
        <f t="shared" si="2129"/>
        <v>07/08/2025</v>
      </c>
      <c r="I4447" t="str">
        <f t="shared" si="2129"/>
        <v>07/08/2025</v>
      </c>
      <c r="J4447" t="str">
        <f t="shared" si="2133"/>
        <v>07/08/2025</v>
      </c>
      <c r="K4447">
        <v>1.7</v>
      </c>
      <c r="L4447">
        <v>1.7</v>
      </c>
      <c r="M4447">
        <v>401</v>
      </c>
      <c r="N4447" t="str">
        <f t="shared" si="2130"/>
        <v>IOF/JUROS/DESP.FINANCEIRA</v>
      </c>
      <c r="O4447">
        <v>1.7</v>
      </c>
      <c r="R4447" t="str">
        <f t="shared" si="2131"/>
        <v>BANCO CORA (102)</v>
      </c>
      <c r="S4447">
        <v>2312</v>
      </c>
      <c r="T4447">
        <v>1853</v>
      </c>
      <c r="U4447" t="s">
        <v>19</v>
      </c>
    </row>
    <row r="4448" spans="1:21">
      <c r="A4448" t="str">
        <f t="shared" si="2132"/>
        <v>07/08/2025</v>
      </c>
      <c r="B4448" t="str">
        <f t="shared" si="2124"/>
        <v>SAÍDA</v>
      </c>
      <c r="C4448" t="str">
        <f t="shared" si="2125"/>
        <v>CONHECIMENTO</v>
      </c>
      <c r="D4448" t="str">
        <f t="shared" si="2126"/>
        <v>070825170</v>
      </c>
      <c r="E4448" t="str">
        <f t="shared" si="2106"/>
        <v>COM</v>
      </c>
      <c r="F4448" t="str">
        <f t="shared" si="2127"/>
        <v>CORA SOCIEDADE DE CREDITO, FINANCIAMENTO E INVESTIMENTO (20035)</v>
      </c>
      <c r="G4448" t="str">
        <f t="shared" si="2128"/>
        <v>TAXA BOLETO COMPENSADO</v>
      </c>
      <c r="H4448" t="str">
        <f t="shared" si="2129"/>
        <v>07/08/2025</v>
      </c>
      <c r="I4448" t="str">
        <f t="shared" si="2129"/>
        <v>07/08/2025</v>
      </c>
      <c r="J4448" t="str">
        <f t="shared" si="2133"/>
        <v>07/08/2025</v>
      </c>
      <c r="M4448">
        <v>401</v>
      </c>
      <c r="N4448" t="str">
        <f t="shared" si="2130"/>
        <v>IOF/JUROS/DESP.FINANCEIRA</v>
      </c>
      <c r="P4448">
        <v>1.7</v>
      </c>
      <c r="Q4448" t="str">
        <f>"CORA SOCIEDADE DE CREDITO, FINANCIAMENTO E INVESTIMENTO (20035)"</f>
        <v>CORA SOCIEDADE DE CREDITO, FINANCIAMENTO E INVESTIMENTO (20035)</v>
      </c>
      <c r="R4448" t="str">
        <f t="shared" si="2131"/>
        <v>BANCO CORA (102)</v>
      </c>
      <c r="S4448">
        <v>2312</v>
      </c>
      <c r="T4448">
        <v>1853</v>
      </c>
      <c r="U4448" t="s">
        <v>19</v>
      </c>
    </row>
    <row r="4449" spans="1:21">
      <c r="A4449" t="str">
        <f t="shared" si="2132"/>
        <v>07/08/2025</v>
      </c>
      <c r="B4449" t="str">
        <f t="shared" si="2124"/>
        <v>SAÍDA</v>
      </c>
      <c r="C4449" t="str">
        <f t="shared" si="2125"/>
        <v>CONHECIMENTO</v>
      </c>
      <c r="D4449" t="str">
        <f t="shared" si="2126"/>
        <v>070825170</v>
      </c>
      <c r="E4449" t="str">
        <f t="shared" si="2106"/>
        <v>COM</v>
      </c>
      <c r="F4449" t="str">
        <f t="shared" si="2127"/>
        <v>CORA SOCIEDADE DE CREDITO, FINANCIAMENTO E INVESTIMENTO (20035)</v>
      </c>
      <c r="G4449" t="str">
        <f t="shared" si="2128"/>
        <v>TAXA BOLETO COMPENSADO</v>
      </c>
      <c r="H4449" t="str">
        <f t="shared" si="2129"/>
        <v>07/08/2025</v>
      </c>
      <c r="I4449" t="str">
        <f t="shared" si="2129"/>
        <v>07/08/2025</v>
      </c>
      <c r="J4449" t="str">
        <f t="shared" si="2133"/>
        <v>07/08/2025</v>
      </c>
      <c r="K4449">
        <v>1.7</v>
      </c>
      <c r="L4449">
        <v>1.7</v>
      </c>
      <c r="M4449">
        <v>401</v>
      </c>
      <c r="N4449" t="str">
        <f t="shared" si="2130"/>
        <v>IOF/JUROS/DESP.FINANCEIRA</v>
      </c>
      <c r="O4449">
        <v>1.7</v>
      </c>
      <c r="R4449" t="str">
        <f t="shared" si="2131"/>
        <v>BANCO CORA (102)</v>
      </c>
      <c r="S4449">
        <v>2313</v>
      </c>
      <c r="T4449">
        <v>1854</v>
      </c>
      <c r="U4449" t="s">
        <v>19</v>
      </c>
    </row>
    <row r="4450" spans="1:21">
      <c r="A4450" t="str">
        <f t="shared" si="2132"/>
        <v>07/08/2025</v>
      </c>
      <c r="B4450" t="str">
        <f t="shared" si="2124"/>
        <v>SAÍDA</v>
      </c>
      <c r="C4450" t="str">
        <f t="shared" si="2125"/>
        <v>CONHECIMENTO</v>
      </c>
      <c r="D4450" t="str">
        <f t="shared" si="2126"/>
        <v>070825170</v>
      </c>
      <c r="E4450" t="str">
        <f t="shared" si="2106"/>
        <v>COM</v>
      </c>
      <c r="F4450" t="str">
        <f t="shared" si="2127"/>
        <v>CORA SOCIEDADE DE CREDITO, FINANCIAMENTO E INVESTIMENTO (20035)</v>
      </c>
      <c r="G4450" t="str">
        <f t="shared" si="2128"/>
        <v>TAXA BOLETO COMPENSADO</v>
      </c>
      <c r="H4450" t="str">
        <f t="shared" si="2129"/>
        <v>07/08/2025</v>
      </c>
      <c r="I4450" t="str">
        <f t="shared" si="2129"/>
        <v>07/08/2025</v>
      </c>
      <c r="J4450" t="str">
        <f t="shared" si="2133"/>
        <v>07/08/2025</v>
      </c>
      <c r="M4450">
        <v>401</v>
      </c>
      <c r="N4450" t="str">
        <f t="shared" si="2130"/>
        <v>IOF/JUROS/DESP.FINANCEIRA</v>
      </c>
      <c r="P4450">
        <v>1.7</v>
      </c>
      <c r="Q4450" t="str">
        <f>"CORA SOCIEDADE DE CREDITO, FINANCIAMENTO E INVESTIMENTO (20035)"</f>
        <v>CORA SOCIEDADE DE CREDITO, FINANCIAMENTO E INVESTIMENTO (20035)</v>
      </c>
      <c r="R4450" t="str">
        <f t="shared" si="2131"/>
        <v>BANCO CORA (102)</v>
      </c>
      <c r="S4450">
        <v>2313</v>
      </c>
      <c r="T4450">
        <v>1854</v>
      </c>
      <c r="U4450" t="s">
        <v>19</v>
      </c>
    </row>
    <row r="4451" spans="1:21">
      <c r="A4451" t="str">
        <f t="shared" si="2132"/>
        <v>07/08/2025</v>
      </c>
      <c r="B4451" t="str">
        <f t="shared" si="2124"/>
        <v>SAÍDA</v>
      </c>
      <c r="C4451" t="str">
        <f t="shared" si="2125"/>
        <v>CONHECIMENTO</v>
      </c>
      <c r="D4451" t="str">
        <f t="shared" si="2126"/>
        <v>070825170</v>
      </c>
      <c r="E4451" t="str">
        <f t="shared" si="2106"/>
        <v>COM</v>
      </c>
      <c r="F4451" t="str">
        <f t="shared" si="2127"/>
        <v>CORA SOCIEDADE DE CREDITO, FINANCIAMENTO E INVESTIMENTO (20035)</v>
      </c>
      <c r="G4451" t="str">
        <f t="shared" si="2128"/>
        <v>TAXA BOLETO COMPENSADO</v>
      </c>
      <c r="H4451" t="str">
        <f t="shared" si="2129"/>
        <v>07/08/2025</v>
      </c>
      <c r="I4451" t="str">
        <f t="shared" si="2129"/>
        <v>07/08/2025</v>
      </c>
      <c r="J4451" t="str">
        <f t="shared" si="2133"/>
        <v>07/08/2025</v>
      </c>
      <c r="K4451">
        <v>1.7</v>
      </c>
      <c r="L4451">
        <v>1.7</v>
      </c>
      <c r="M4451">
        <v>401</v>
      </c>
      <c r="N4451" t="str">
        <f t="shared" si="2130"/>
        <v>IOF/JUROS/DESP.FINANCEIRA</v>
      </c>
      <c r="O4451">
        <v>1.7</v>
      </c>
      <c r="R4451" t="str">
        <f t="shared" si="2131"/>
        <v>BANCO CORA (102)</v>
      </c>
      <c r="S4451">
        <v>2314</v>
      </c>
      <c r="T4451">
        <v>1855</v>
      </c>
      <c r="U4451" t="s">
        <v>19</v>
      </c>
    </row>
    <row r="4452" spans="1:21">
      <c r="A4452" t="str">
        <f t="shared" si="2132"/>
        <v>07/08/2025</v>
      </c>
      <c r="B4452" t="str">
        <f t="shared" si="2124"/>
        <v>SAÍDA</v>
      </c>
      <c r="C4452" t="str">
        <f t="shared" si="2125"/>
        <v>CONHECIMENTO</v>
      </c>
      <c r="D4452" t="str">
        <f t="shared" si="2126"/>
        <v>070825170</v>
      </c>
      <c r="E4452" t="str">
        <f t="shared" si="2106"/>
        <v>COM</v>
      </c>
      <c r="F4452" t="str">
        <f t="shared" si="2127"/>
        <v>CORA SOCIEDADE DE CREDITO, FINANCIAMENTO E INVESTIMENTO (20035)</v>
      </c>
      <c r="G4452" t="str">
        <f t="shared" si="2128"/>
        <v>TAXA BOLETO COMPENSADO</v>
      </c>
      <c r="H4452" t="str">
        <f t="shared" si="2129"/>
        <v>07/08/2025</v>
      </c>
      <c r="I4452" t="str">
        <f t="shared" si="2129"/>
        <v>07/08/2025</v>
      </c>
      <c r="J4452" t="str">
        <f t="shared" si="2133"/>
        <v>07/08/2025</v>
      </c>
      <c r="M4452">
        <v>401</v>
      </c>
      <c r="N4452" t="str">
        <f t="shared" si="2130"/>
        <v>IOF/JUROS/DESP.FINANCEIRA</v>
      </c>
      <c r="P4452">
        <v>1.7</v>
      </c>
      <c r="Q4452" t="str">
        <f>"CORA SOCIEDADE DE CREDITO, FINANCIAMENTO E INVESTIMENTO (20035)"</f>
        <v>CORA SOCIEDADE DE CREDITO, FINANCIAMENTO E INVESTIMENTO (20035)</v>
      </c>
      <c r="R4452" t="str">
        <f t="shared" si="2131"/>
        <v>BANCO CORA (102)</v>
      </c>
      <c r="S4452">
        <v>2314</v>
      </c>
      <c r="T4452">
        <v>1855</v>
      </c>
      <c r="U4452" t="s">
        <v>19</v>
      </c>
    </row>
    <row r="4453" spans="1:21">
      <c r="A4453" t="str">
        <f t="shared" si="2132"/>
        <v>07/08/2025</v>
      </c>
      <c r="B4453" t="str">
        <f t="shared" si="2124"/>
        <v>SAÍDA</v>
      </c>
      <c r="C4453" t="str">
        <f t="shared" si="2125"/>
        <v>CONHECIMENTO</v>
      </c>
      <c r="D4453" t="str">
        <f t="shared" si="2126"/>
        <v>070825170</v>
      </c>
      <c r="E4453" t="str">
        <f t="shared" si="2106"/>
        <v>COM</v>
      </c>
      <c r="F4453" t="str">
        <f t="shared" si="2127"/>
        <v>CORA SOCIEDADE DE CREDITO, FINANCIAMENTO E INVESTIMENTO (20035)</v>
      </c>
      <c r="G4453" t="str">
        <f t="shared" si="2128"/>
        <v>TAXA BOLETO COMPENSADO</v>
      </c>
      <c r="H4453" t="str">
        <f t="shared" si="2129"/>
        <v>07/08/2025</v>
      </c>
      <c r="I4453" t="str">
        <f t="shared" si="2129"/>
        <v>07/08/2025</v>
      </c>
      <c r="J4453" t="str">
        <f t="shared" si="2133"/>
        <v>07/08/2025</v>
      </c>
      <c r="K4453">
        <v>1.7</v>
      </c>
      <c r="L4453">
        <v>1.7</v>
      </c>
      <c r="M4453">
        <v>401</v>
      </c>
      <c r="N4453" t="str">
        <f t="shared" si="2130"/>
        <v>IOF/JUROS/DESP.FINANCEIRA</v>
      </c>
      <c r="O4453">
        <v>1.7</v>
      </c>
      <c r="R4453" t="str">
        <f t="shared" si="2131"/>
        <v>BANCO CORA (102)</v>
      </c>
      <c r="S4453">
        <v>2315</v>
      </c>
      <c r="T4453">
        <v>1856</v>
      </c>
      <c r="U4453" t="s">
        <v>19</v>
      </c>
    </row>
    <row r="4454" spans="1:21">
      <c r="A4454" t="str">
        <f t="shared" si="2132"/>
        <v>07/08/2025</v>
      </c>
      <c r="B4454" t="str">
        <f t="shared" si="2124"/>
        <v>SAÍDA</v>
      </c>
      <c r="C4454" t="str">
        <f t="shared" si="2125"/>
        <v>CONHECIMENTO</v>
      </c>
      <c r="D4454" t="str">
        <f t="shared" si="2126"/>
        <v>070825170</v>
      </c>
      <c r="E4454" t="str">
        <f t="shared" si="2106"/>
        <v>COM</v>
      </c>
      <c r="F4454" t="str">
        <f t="shared" si="2127"/>
        <v>CORA SOCIEDADE DE CREDITO, FINANCIAMENTO E INVESTIMENTO (20035)</v>
      </c>
      <c r="G4454" t="str">
        <f t="shared" si="2128"/>
        <v>TAXA BOLETO COMPENSADO</v>
      </c>
      <c r="H4454" t="str">
        <f t="shared" si="2129"/>
        <v>07/08/2025</v>
      </c>
      <c r="I4454" t="str">
        <f t="shared" si="2129"/>
        <v>07/08/2025</v>
      </c>
      <c r="J4454" t="str">
        <f t="shared" si="2133"/>
        <v>07/08/2025</v>
      </c>
      <c r="M4454">
        <v>401</v>
      </c>
      <c r="N4454" t="str">
        <f t="shared" si="2130"/>
        <v>IOF/JUROS/DESP.FINANCEIRA</v>
      </c>
      <c r="P4454">
        <v>1.7</v>
      </c>
      <c r="Q4454" t="str">
        <f>"CORA SOCIEDADE DE CREDITO, FINANCIAMENTO E INVESTIMENTO (20035)"</f>
        <v>CORA SOCIEDADE DE CREDITO, FINANCIAMENTO E INVESTIMENTO (20035)</v>
      </c>
      <c r="R4454" t="str">
        <f t="shared" si="2131"/>
        <v>BANCO CORA (102)</v>
      </c>
      <c r="S4454">
        <v>2315</v>
      </c>
      <c r="T4454">
        <v>1856</v>
      </c>
      <c r="U4454" t="s">
        <v>19</v>
      </c>
    </row>
    <row r="4455" spans="1:21">
      <c r="A4455" t="str">
        <f t="shared" si="2132"/>
        <v>07/08/2025</v>
      </c>
      <c r="B4455" t="str">
        <f t="shared" si="2124"/>
        <v>SAÍDA</v>
      </c>
      <c r="C4455" t="str">
        <f t="shared" si="2125"/>
        <v>CONHECIMENTO</v>
      </c>
      <c r="D4455" t="str">
        <f t="shared" si="2126"/>
        <v>070825170</v>
      </c>
      <c r="E4455" t="str">
        <f t="shared" si="2106"/>
        <v>COM</v>
      </c>
      <c r="F4455" t="str">
        <f t="shared" si="2127"/>
        <v>CORA SOCIEDADE DE CREDITO, FINANCIAMENTO E INVESTIMENTO (20035)</v>
      </c>
      <c r="G4455" t="str">
        <f t="shared" si="2128"/>
        <v>TAXA BOLETO COMPENSADO</v>
      </c>
      <c r="H4455" t="str">
        <f t="shared" si="2129"/>
        <v>07/08/2025</v>
      </c>
      <c r="I4455" t="str">
        <f t="shared" si="2129"/>
        <v>07/08/2025</v>
      </c>
      <c r="J4455" t="str">
        <f t="shared" si="2133"/>
        <v>07/08/2025</v>
      </c>
      <c r="K4455">
        <v>1.7</v>
      </c>
      <c r="L4455">
        <v>1.7</v>
      </c>
      <c r="M4455">
        <v>401</v>
      </c>
      <c r="N4455" t="str">
        <f t="shared" si="2130"/>
        <v>IOF/JUROS/DESP.FINANCEIRA</v>
      </c>
      <c r="O4455">
        <v>1.7</v>
      </c>
      <c r="R4455" t="str">
        <f t="shared" si="2131"/>
        <v>BANCO CORA (102)</v>
      </c>
      <c r="S4455">
        <v>2316</v>
      </c>
      <c r="T4455">
        <v>1857</v>
      </c>
      <c r="U4455" t="s">
        <v>19</v>
      </c>
    </row>
    <row r="4456" spans="1:21">
      <c r="A4456" t="str">
        <f t="shared" si="2132"/>
        <v>07/08/2025</v>
      </c>
      <c r="B4456" t="str">
        <f t="shared" si="2124"/>
        <v>SAÍDA</v>
      </c>
      <c r="C4456" t="str">
        <f t="shared" si="2125"/>
        <v>CONHECIMENTO</v>
      </c>
      <c r="D4456" t="str">
        <f t="shared" si="2126"/>
        <v>070825170</v>
      </c>
      <c r="E4456" t="str">
        <f t="shared" si="2106"/>
        <v>COM</v>
      </c>
      <c r="F4456" t="str">
        <f t="shared" si="2127"/>
        <v>CORA SOCIEDADE DE CREDITO, FINANCIAMENTO E INVESTIMENTO (20035)</v>
      </c>
      <c r="G4456" t="str">
        <f t="shared" si="2128"/>
        <v>TAXA BOLETO COMPENSADO</v>
      </c>
      <c r="H4456" t="str">
        <f t="shared" si="2129"/>
        <v>07/08/2025</v>
      </c>
      <c r="I4456" t="str">
        <f t="shared" si="2129"/>
        <v>07/08/2025</v>
      </c>
      <c r="J4456" t="str">
        <f t="shared" si="2133"/>
        <v>07/08/2025</v>
      </c>
      <c r="M4456">
        <v>401</v>
      </c>
      <c r="N4456" t="str">
        <f t="shared" si="2130"/>
        <v>IOF/JUROS/DESP.FINANCEIRA</v>
      </c>
      <c r="P4456">
        <v>1.7</v>
      </c>
      <c r="Q4456" t="str">
        <f>"CORA SOCIEDADE DE CREDITO, FINANCIAMENTO E INVESTIMENTO (20035)"</f>
        <v>CORA SOCIEDADE DE CREDITO, FINANCIAMENTO E INVESTIMENTO (20035)</v>
      </c>
      <c r="R4456" t="str">
        <f t="shared" si="2131"/>
        <v>BANCO CORA (102)</v>
      </c>
      <c r="S4456">
        <v>2316</v>
      </c>
      <c r="T4456">
        <v>1857</v>
      </c>
      <c r="U4456" t="s">
        <v>19</v>
      </c>
    </row>
    <row r="4457" spans="1:21">
      <c r="A4457" t="str">
        <f t="shared" si="2132"/>
        <v>07/08/2025</v>
      </c>
      <c r="B4457" t="str">
        <f t="shared" si="2124"/>
        <v>SAÍDA</v>
      </c>
      <c r="C4457" t="str">
        <f t="shared" si="2125"/>
        <v>CONHECIMENTO</v>
      </c>
      <c r="D4457" t="str">
        <f t="shared" si="2126"/>
        <v>070825170</v>
      </c>
      <c r="E4457" t="str">
        <f t="shared" si="2106"/>
        <v>COM</v>
      </c>
      <c r="F4457" t="str">
        <f t="shared" si="2127"/>
        <v>CORA SOCIEDADE DE CREDITO, FINANCIAMENTO E INVESTIMENTO (20035)</v>
      </c>
      <c r="G4457" t="str">
        <f t="shared" si="2128"/>
        <v>TAXA BOLETO COMPENSADO</v>
      </c>
      <c r="H4457" t="str">
        <f t="shared" si="2129"/>
        <v>07/08/2025</v>
      </c>
      <c r="I4457" t="str">
        <f t="shared" si="2129"/>
        <v>07/08/2025</v>
      </c>
      <c r="J4457" t="str">
        <f t="shared" si="2133"/>
        <v>07/08/2025</v>
      </c>
      <c r="K4457">
        <v>1.7</v>
      </c>
      <c r="L4457">
        <v>1.7</v>
      </c>
      <c r="M4457">
        <v>401</v>
      </c>
      <c r="N4457" t="str">
        <f t="shared" si="2130"/>
        <v>IOF/JUROS/DESP.FINANCEIRA</v>
      </c>
      <c r="O4457">
        <v>1.7</v>
      </c>
      <c r="R4457" t="str">
        <f t="shared" si="2131"/>
        <v>BANCO CORA (102)</v>
      </c>
      <c r="S4457">
        <v>2317</v>
      </c>
      <c r="T4457">
        <v>1858</v>
      </c>
      <c r="U4457" t="s">
        <v>19</v>
      </c>
    </row>
    <row r="4458" spans="1:21">
      <c r="A4458" t="str">
        <f t="shared" si="2132"/>
        <v>07/08/2025</v>
      </c>
      <c r="B4458" t="str">
        <f t="shared" si="2124"/>
        <v>SAÍDA</v>
      </c>
      <c r="C4458" t="str">
        <f t="shared" si="2125"/>
        <v>CONHECIMENTO</v>
      </c>
      <c r="D4458" t="str">
        <f t="shared" si="2126"/>
        <v>070825170</v>
      </c>
      <c r="E4458" t="str">
        <f t="shared" si="2106"/>
        <v>COM</v>
      </c>
      <c r="F4458" t="str">
        <f t="shared" si="2127"/>
        <v>CORA SOCIEDADE DE CREDITO, FINANCIAMENTO E INVESTIMENTO (20035)</v>
      </c>
      <c r="G4458" t="str">
        <f t="shared" si="2128"/>
        <v>TAXA BOLETO COMPENSADO</v>
      </c>
      <c r="H4458" t="str">
        <f t="shared" si="2129"/>
        <v>07/08/2025</v>
      </c>
      <c r="I4458" t="str">
        <f t="shared" si="2129"/>
        <v>07/08/2025</v>
      </c>
      <c r="J4458" t="str">
        <f t="shared" si="2133"/>
        <v>07/08/2025</v>
      </c>
      <c r="M4458">
        <v>401</v>
      </c>
      <c r="N4458" t="str">
        <f t="shared" si="2130"/>
        <v>IOF/JUROS/DESP.FINANCEIRA</v>
      </c>
      <c r="P4458">
        <v>1.7</v>
      </c>
      <c r="Q4458" t="str">
        <f>"CORA SOCIEDADE DE CREDITO, FINANCIAMENTO E INVESTIMENTO (20035)"</f>
        <v>CORA SOCIEDADE DE CREDITO, FINANCIAMENTO E INVESTIMENTO (20035)</v>
      </c>
      <c r="R4458" t="str">
        <f t="shared" si="2131"/>
        <v>BANCO CORA (102)</v>
      </c>
      <c r="S4458">
        <v>2317</v>
      </c>
      <c r="T4458">
        <v>1858</v>
      </c>
      <c r="U4458" t="s">
        <v>19</v>
      </c>
    </row>
    <row r="4459" spans="1:21">
      <c r="A4459" t="str">
        <f t="shared" si="2132"/>
        <v>07/08/2025</v>
      </c>
      <c r="B4459" t="str">
        <f t="shared" si="2124"/>
        <v>SAÍDA</v>
      </c>
      <c r="C4459" t="str">
        <f t="shared" si="2125"/>
        <v>CONHECIMENTO</v>
      </c>
      <c r="D4459" t="str">
        <f t="shared" si="2126"/>
        <v>070825170</v>
      </c>
      <c r="E4459" t="str">
        <f t="shared" si="2106"/>
        <v>COM</v>
      </c>
      <c r="F4459" t="str">
        <f t="shared" si="2127"/>
        <v>CORA SOCIEDADE DE CREDITO, FINANCIAMENTO E INVESTIMENTO (20035)</v>
      </c>
      <c r="G4459" t="str">
        <f t="shared" si="2128"/>
        <v>TAXA BOLETO COMPENSADO</v>
      </c>
      <c r="H4459" t="str">
        <f t="shared" si="2129"/>
        <v>07/08/2025</v>
      </c>
      <c r="I4459" t="str">
        <f t="shared" si="2129"/>
        <v>07/08/2025</v>
      </c>
      <c r="J4459" t="str">
        <f t="shared" si="2133"/>
        <v>07/08/2025</v>
      </c>
      <c r="K4459">
        <v>1.7</v>
      </c>
      <c r="L4459">
        <v>1.7</v>
      </c>
      <c r="M4459">
        <v>401</v>
      </c>
      <c r="N4459" t="str">
        <f t="shared" si="2130"/>
        <v>IOF/JUROS/DESP.FINANCEIRA</v>
      </c>
      <c r="O4459">
        <v>1.7</v>
      </c>
      <c r="R4459" t="str">
        <f t="shared" si="2131"/>
        <v>BANCO CORA (102)</v>
      </c>
      <c r="S4459">
        <v>2318</v>
      </c>
      <c r="T4459">
        <v>1859</v>
      </c>
      <c r="U4459" t="s">
        <v>19</v>
      </c>
    </row>
    <row r="4460" spans="1:21">
      <c r="A4460" t="str">
        <f t="shared" si="2132"/>
        <v>07/08/2025</v>
      </c>
      <c r="B4460" t="str">
        <f t="shared" si="2124"/>
        <v>SAÍDA</v>
      </c>
      <c r="C4460" t="str">
        <f t="shared" si="2125"/>
        <v>CONHECIMENTO</v>
      </c>
      <c r="D4460" t="str">
        <f t="shared" si="2126"/>
        <v>070825170</v>
      </c>
      <c r="E4460" t="str">
        <f t="shared" si="2106"/>
        <v>COM</v>
      </c>
      <c r="F4460" t="str">
        <f t="shared" si="2127"/>
        <v>CORA SOCIEDADE DE CREDITO, FINANCIAMENTO E INVESTIMENTO (20035)</v>
      </c>
      <c r="G4460" t="str">
        <f t="shared" si="2128"/>
        <v>TAXA BOLETO COMPENSADO</v>
      </c>
      <c r="H4460" t="str">
        <f t="shared" si="2129"/>
        <v>07/08/2025</v>
      </c>
      <c r="I4460" t="str">
        <f t="shared" si="2129"/>
        <v>07/08/2025</v>
      </c>
      <c r="J4460" t="str">
        <f t="shared" si="2133"/>
        <v>07/08/2025</v>
      </c>
      <c r="M4460">
        <v>401</v>
      </c>
      <c r="N4460" t="str">
        <f t="shared" si="2130"/>
        <v>IOF/JUROS/DESP.FINANCEIRA</v>
      </c>
      <c r="P4460">
        <v>1.7</v>
      </c>
      <c r="Q4460" t="str">
        <f>"CORA SOCIEDADE DE CREDITO, FINANCIAMENTO E INVESTIMENTO (20035)"</f>
        <v>CORA SOCIEDADE DE CREDITO, FINANCIAMENTO E INVESTIMENTO (20035)</v>
      </c>
      <c r="R4460" t="str">
        <f t="shared" si="2131"/>
        <v>BANCO CORA (102)</v>
      </c>
      <c r="S4460">
        <v>2318</v>
      </c>
      <c r="T4460">
        <v>1859</v>
      </c>
      <c r="U4460" t="s">
        <v>19</v>
      </c>
    </row>
    <row r="4461" spans="1:21">
      <c r="A4461" t="str">
        <f t="shared" si="2132"/>
        <v>07/08/2025</v>
      </c>
      <c r="B4461" t="str">
        <f t="shared" si="2124"/>
        <v>SAÍDA</v>
      </c>
      <c r="C4461" t="str">
        <f t="shared" si="2125"/>
        <v>CONHECIMENTO</v>
      </c>
      <c r="D4461" t="str">
        <f t="shared" si="2126"/>
        <v>070825170</v>
      </c>
      <c r="E4461" t="str">
        <f t="shared" si="2106"/>
        <v>COM</v>
      </c>
      <c r="F4461" t="str">
        <f t="shared" si="2127"/>
        <v>CORA SOCIEDADE DE CREDITO, FINANCIAMENTO E INVESTIMENTO (20035)</v>
      </c>
      <c r="G4461" t="str">
        <f t="shared" si="2128"/>
        <v>TAXA BOLETO COMPENSADO</v>
      </c>
      <c r="H4461" t="str">
        <f t="shared" si="2129"/>
        <v>07/08/2025</v>
      </c>
      <c r="I4461" t="str">
        <f t="shared" si="2129"/>
        <v>07/08/2025</v>
      </c>
      <c r="J4461" t="str">
        <f t="shared" si="2133"/>
        <v>07/08/2025</v>
      </c>
      <c r="K4461">
        <v>1.7</v>
      </c>
      <c r="L4461">
        <v>1.7</v>
      </c>
      <c r="M4461">
        <v>401</v>
      </c>
      <c r="N4461" t="str">
        <f t="shared" si="2130"/>
        <v>IOF/JUROS/DESP.FINANCEIRA</v>
      </c>
      <c r="O4461">
        <v>1.7</v>
      </c>
      <c r="R4461" t="str">
        <f t="shared" si="2131"/>
        <v>BANCO CORA (102)</v>
      </c>
      <c r="S4461">
        <v>2319</v>
      </c>
      <c r="T4461">
        <v>1860</v>
      </c>
      <c r="U4461" t="s">
        <v>19</v>
      </c>
    </row>
    <row r="4462" spans="1:21">
      <c r="A4462" t="str">
        <f t="shared" si="2132"/>
        <v>07/08/2025</v>
      </c>
      <c r="B4462" t="str">
        <f t="shared" si="2124"/>
        <v>SAÍDA</v>
      </c>
      <c r="C4462" t="str">
        <f t="shared" si="2125"/>
        <v>CONHECIMENTO</v>
      </c>
      <c r="D4462" t="str">
        <f t="shared" si="2126"/>
        <v>070825170</v>
      </c>
      <c r="E4462" t="str">
        <f t="shared" si="2106"/>
        <v>COM</v>
      </c>
      <c r="F4462" t="str">
        <f t="shared" si="2127"/>
        <v>CORA SOCIEDADE DE CREDITO, FINANCIAMENTO E INVESTIMENTO (20035)</v>
      </c>
      <c r="G4462" t="str">
        <f t="shared" si="2128"/>
        <v>TAXA BOLETO COMPENSADO</v>
      </c>
      <c r="H4462" t="str">
        <f t="shared" si="2129"/>
        <v>07/08/2025</v>
      </c>
      <c r="I4462" t="str">
        <f t="shared" si="2129"/>
        <v>07/08/2025</v>
      </c>
      <c r="J4462" t="str">
        <f t="shared" si="2133"/>
        <v>07/08/2025</v>
      </c>
      <c r="M4462">
        <v>401</v>
      </c>
      <c r="N4462" t="str">
        <f t="shared" si="2130"/>
        <v>IOF/JUROS/DESP.FINANCEIRA</v>
      </c>
      <c r="P4462">
        <v>1.7</v>
      </c>
      <c r="Q4462" t="str">
        <f>"CORA SOCIEDADE DE CREDITO, FINANCIAMENTO E INVESTIMENTO (20035)"</f>
        <v>CORA SOCIEDADE DE CREDITO, FINANCIAMENTO E INVESTIMENTO (20035)</v>
      </c>
      <c r="R4462" t="str">
        <f t="shared" si="2131"/>
        <v>BANCO CORA (102)</v>
      </c>
      <c r="S4462">
        <v>2319</v>
      </c>
      <c r="T4462">
        <v>1860</v>
      </c>
      <c r="U4462" t="s">
        <v>19</v>
      </c>
    </row>
    <row r="4463" spans="1:21">
      <c r="A4463" t="str">
        <f t="shared" si="2132"/>
        <v>07/08/2025</v>
      </c>
      <c r="B4463" t="str">
        <f t="shared" si="2124"/>
        <v>SAÍDA</v>
      </c>
      <c r="C4463" t="str">
        <f t="shared" si="2125"/>
        <v>CONHECIMENTO</v>
      </c>
      <c r="D4463" t="str">
        <f t="shared" si="2126"/>
        <v>070825170</v>
      </c>
      <c r="E4463" t="str">
        <f t="shared" ref="E4463:E4526" si="2134">"COM"</f>
        <v>COM</v>
      </c>
      <c r="F4463" t="str">
        <f t="shared" si="2127"/>
        <v>CORA SOCIEDADE DE CREDITO, FINANCIAMENTO E INVESTIMENTO (20035)</v>
      </c>
      <c r="G4463" t="str">
        <f t="shared" si="2128"/>
        <v>TAXA BOLETO COMPENSADO</v>
      </c>
      <c r="H4463" t="str">
        <f t="shared" si="2129"/>
        <v>07/08/2025</v>
      </c>
      <c r="I4463" t="str">
        <f t="shared" si="2129"/>
        <v>07/08/2025</v>
      </c>
      <c r="J4463" t="str">
        <f t="shared" si="2133"/>
        <v>07/08/2025</v>
      </c>
      <c r="K4463">
        <v>1.7</v>
      </c>
      <c r="L4463">
        <v>1.7</v>
      </c>
      <c r="M4463">
        <v>401</v>
      </c>
      <c r="N4463" t="str">
        <f t="shared" si="2130"/>
        <v>IOF/JUROS/DESP.FINANCEIRA</v>
      </c>
      <c r="O4463">
        <v>1.7</v>
      </c>
      <c r="R4463" t="str">
        <f t="shared" si="2131"/>
        <v>BANCO CORA (102)</v>
      </c>
      <c r="S4463">
        <v>2320</v>
      </c>
      <c r="T4463">
        <v>1861</v>
      </c>
      <c r="U4463" t="s">
        <v>19</v>
      </c>
    </row>
    <row r="4464" spans="1:21">
      <c r="A4464" t="str">
        <f t="shared" si="2132"/>
        <v>07/08/2025</v>
      </c>
      <c r="B4464" t="str">
        <f t="shared" si="2124"/>
        <v>SAÍDA</v>
      </c>
      <c r="C4464" t="str">
        <f t="shared" si="2125"/>
        <v>CONHECIMENTO</v>
      </c>
      <c r="D4464" t="str">
        <f t="shared" si="2126"/>
        <v>070825170</v>
      </c>
      <c r="E4464" t="str">
        <f t="shared" si="2134"/>
        <v>COM</v>
      </c>
      <c r="F4464" t="str">
        <f t="shared" si="2127"/>
        <v>CORA SOCIEDADE DE CREDITO, FINANCIAMENTO E INVESTIMENTO (20035)</v>
      </c>
      <c r="G4464" t="str">
        <f t="shared" si="2128"/>
        <v>TAXA BOLETO COMPENSADO</v>
      </c>
      <c r="H4464" t="str">
        <f t="shared" si="2129"/>
        <v>07/08/2025</v>
      </c>
      <c r="I4464" t="str">
        <f t="shared" si="2129"/>
        <v>07/08/2025</v>
      </c>
      <c r="J4464" t="str">
        <f t="shared" si="2133"/>
        <v>07/08/2025</v>
      </c>
      <c r="M4464">
        <v>401</v>
      </c>
      <c r="N4464" t="str">
        <f t="shared" si="2130"/>
        <v>IOF/JUROS/DESP.FINANCEIRA</v>
      </c>
      <c r="P4464">
        <v>1.7</v>
      </c>
      <c r="Q4464" t="str">
        <f>"CORA SOCIEDADE DE CREDITO, FINANCIAMENTO E INVESTIMENTO (20035)"</f>
        <v>CORA SOCIEDADE DE CREDITO, FINANCIAMENTO E INVESTIMENTO (20035)</v>
      </c>
      <c r="R4464" t="str">
        <f t="shared" si="2131"/>
        <v>BANCO CORA (102)</v>
      </c>
      <c r="S4464">
        <v>2320</v>
      </c>
      <c r="T4464">
        <v>1861</v>
      </c>
      <c r="U4464" t="s">
        <v>19</v>
      </c>
    </row>
    <row r="4465" spans="1:21">
      <c r="A4465" t="str">
        <f t="shared" si="2132"/>
        <v>07/08/2025</v>
      </c>
      <c r="B4465" t="str">
        <f t="shared" si="2124"/>
        <v>SAÍDA</v>
      </c>
      <c r="C4465" t="str">
        <f t="shared" si="2125"/>
        <v>CONHECIMENTO</v>
      </c>
      <c r="D4465" t="str">
        <f t="shared" si="2126"/>
        <v>070825170</v>
      </c>
      <c r="E4465" t="str">
        <f t="shared" si="2134"/>
        <v>COM</v>
      </c>
      <c r="F4465" t="str">
        <f t="shared" si="2127"/>
        <v>CORA SOCIEDADE DE CREDITO, FINANCIAMENTO E INVESTIMENTO (20035)</v>
      </c>
      <c r="G4465" t="str">
        <f t="shared" si="2128"/>
        <v>TAXA BOLETO COMPENSADO</v>
      </c>
      <c r="H4465" t="str">
        <f t="shared" si="2129"/>
        <v>07/08/2025</v>
      </c>
      <c r="I4465" t="str">
        <f t="shared" si="2129"/>
        <v>07/08/2025</v>
      </c>
      <c r="J4465" t="str">
        <f t="shared" si="2133"/>
        <v>07/08/2025</v>
      </c>
      <c r="K4465">
        <v>1.7</v>
      </c>
      <c r="L4465">
        <v>1.7</v>
      </c>
      <c r="M4465">
        <v>401</v>
      </c>
      <c r="N4465" t="str">
        <f t="shared" si="2130"/>
        <v>IOF/JUROS/DESP.FINANCEIRA</v>
      </c>
      <c r="O4465">
        <v>1.7</v>
      </c>
      <c r="R4465" t="str">
        <f t="shared" si="2131"/>
        <v>BANCO CORA (102)</v>
      </c>
      <c r="S4465">
        <v>2321</v>
      </c>
      <c r="T4465">
        <v>1862</v>
      </c>
      <c r="U4465" t="s">
        <v>19</v>
      </c>
    </row>
    <row r="4466" spans="1:21">
      <c r="A4466" t="str">
        <f t="shared" si="2132"/>
        <v>07/08/2025</v>
      </c>
      <c r="B4466" t="str">
        <f t="shared" si="2124"/>
        <v>SAÍDA</v>
      </c>
      <c r="C4466" t="str">
        <f t="shared" si="2125"/>
        <v>CONHECIMENTO</v>
      </c>
      <c r="D4466" t="str">
        <f t="shared" si="2126"/>
        <v>070825170</v>
      </c>
      <c r="E4466" t="str">
        <f t="shared" si="2134"/>
        <v>COM</v>
      </c>
      <c r="F4466" t="str">
        <f t="shared" si="2127"/>
        <v>CORA SOCIEDADE DE CREDITO, FINANCIAMENTO E INVESTIMENTO (20035)</v>
      </c>
      <c r="G4466" t="str">
        <f t="shared" si="2128"/>
        <v>TAXA BOLETO COMPENSADO</v>
      </c>
      <c r="H4466" t="str">
        <f t="shared" si="2129"/>
        <v>07/08/2025</v>
      </c>
      <c r="I4466" t="str">
        <f t="shared" si="2129"/>
        <v>07/08/2025</v>
      </c>
      <c r="J4466" t="str">
        <f t="shared" si="2133"/>
        <v>07/08/2025</v>
      </c>
      <c r="M4466">
        <v>401</v>
      </c>
      <c r="N4466" t="str">
        <f t="shared" si="2130"/>
        <v>IOF/JUROS/DESP.FINANCEIRA</v>
      </c>
      <c r="P4466">
        <v>1.7</v>
      </c>
      <c r="Q4466" t="str">
        <f>"CORA SOCIEDADE DE CREDITO, FINANCIAMENTO E INVESTIMENTO (20035)"</f>
        <v>CORA SOCIEDADE DE CREDITO, FINANCIAMENTO E INVESTIMENTO (20035)</v>
      </c>
      <c r="R4466" t="str">
        <f t="shared" si="2131"/>
        <v>BANCO CORA (102)</v>
      </c>
      <c r="S4466">
        <v>2321</v>
      </c>
      <c r="T4466">
        <v>1862</v>
      </c>
      <c r="U4466" t="s">
        <v>19</v>
      </c>
    </row>
    <row r="4467" spans="1:21">
      <c r="A4467" t="str">
        <f t="shared" si="2132"/>
        <v>07/08/2025</v>
      </c>
      <c r="B4467" t="str">
        <f t="shared" si="2124"/>
        <v>SAÍDA</v>
      </c>
      <c r="C4467" t="str">
        <f t="shared" si="2125"/>
        <v>CONHECIMENTO</v>
      </c>
      <c r="D4467" t="str">
        <f t="shared" si="2126"/>
        <v>070825170</v>
      </c>
      <c r="E4467" t="str">
        <f t="shared" si="2134"/>
        <v>COM</v>
      </c>
      <c r="F4467" t="str">
        <f t="shared" si="2127"/>
        <v>CORA SOCIEDADE DE CREDITO, FINANCIAMENTO E INVESTIMENTO (20035)</v>
      </c>
      <c r="G4467" t="str">
        <f t="shared" si="2128"/>
        <v>TAXA BOLETO COMPENSADO</v>
      </c>
      <c r="H4467" t="str">
        <f t="shared" si="2129"/>
        <v>07/08/2025</v>
      </c>
      <c r="I4467" t="str">
        <f t="shared" si="2129"/>
        <v>07/08/2025</v>
      </c>
      <c r="J4467" t="str">
        <f t="shared" si="2133"/>
        <v>07/08/2025</v>
      </c>
      <c r="K4467">
        <v>1.7</v>
      </c>
      <c r="L4467">
        <v>1.7</v>
      </c>
      <c r="M4467">
        <v>401</v>
      </c>
      <c r="N4467" t="str">
        <f t="shared" si="2130"/>
        <v>IOF/JUROS/DESP.FINANCEIRA</v>
      </c>
      <c r="O4467">
        <v>1.7</v>
      </c>
      <c r="R4467" t="str">
        <f t="shared" si="2131"/>
        <v>BANCO CORA (102)</v>
      </c>
      <c r="S4467">
        <v>2322</v>
      </c>
      <c r="T4467">
        <v>1863</v>
      </c>
      <c r="U4467" t="s">
        <v>19</v>
      </c>
    </row>
    <row r="4468" spans="1:21">
      <c r="A4468" t="str">
        <f t="shared" si="2132"/>
        <v>07/08/2025</v>
      </c>
      <c r="B4468" t="str">
        <f t="shared" si="2124"/>
        <v>SAÍDA</v>
      </c>
      <c r="C4468" t="str">
        <f t="shared" si="2125"/>
        <v>CONHECIMENTO</v>
      </c>
      <c r="D4468" t="str">
        <f t="shared" si="2126"/>
        <v>070825170</v>
      </c>
      <c r="E4468" t="str">
        <f t="shared" si="2134"/>
        <v>COM</v>
      </c>
      <c r="F4468" t="str">
        <f t="shared" si="2127"/>
        <v>CORA SOCIEDADE DE CREDITO, FINANCIAMENTO E INVESTIMENTO (20035)</v>
      </c>
      <c r="G4468" t="str">
        <f t="shared" si="2128"/>
        <v>TAXA BOLETO COMPENSADO</v>
      </c>
      <c r="H4468" t="str">
        <f t="shared" si="2129"/>
        <v>07/08/2025</v>
      </c>
      <c r="I4468" t="str">
        <f t="shared" si="2129"/>
        <v>07/08/2025</v>
      </c>
      <c r="J4468" t="str">
        <f t="shared" si="2133"/>
        <v>07/08/2025</v>
      </c>
      <c r="M4468">
        <v>401</v>
      </c>
      <c r="N4468" t="str">
        <f t="shared" si="2130"/>
        <v>IOF/JUROS/DESP.FINANCEIRA</v>
      </c>
      <c r="P4468">
        <v>1.7</v>
      </c>
      <c r="Q4468" t="str">
        <f>"CORA SOCIEDADE DE CREDITO, FINANCIAMENTO E INVESTIMENTO (20035)"</f>
        <v>CORA SOCIEDADE DE CREDITO, FINANCIAMENTO E INVESTIMENTO (20035)</v>
      </c>
      <c r="R4468" t="str">
        <f t="shared" si="2131"/>
        <v>BANCO CORA (102)</v>
      </c>
      <c r="S4468">
        <v>2322</v>
      </c>
      <c r="T4468">
        <v>1863</v>
      </c>
      <c r="U4468" t="s">
        <v>19</v>
      </c>
    </row>
    <row r="4469" spans="1:21">
      <c r="A4469" t="str">
        <f t="shared" si="2132"/>
        <v>07/08/2025</v>
      </c>
      <c r="B4469" t="str">
        <f t="shared" si="2124"/>
        <v>SAÍDA</v>
      </c>
      <c r="C4469" t="str">
        <f>"BOLETO"</f>
        <v>BOLETO</v>
      </c>
      <c r="D4469" t="str">
        <f>"01"</f>
        <v>01</v>
      </c>
      <c r="E4469" t="str">
        <f t="shared" si="2134"/>
        <v>COM</v>
      </c>
      <c r="F4469" t="str">
        <f>"BANCO DO BRASIL (20001)"</f>
        <v>BANCO DO BRASIL (20001)</v>
      </c>
      <c r="G4469" t="str">
        <f>"EMPRESTIMO FUI TECNOLOGIA"</f>
        <v>EMPRESTIMO FUI TECNOLOGIA</v>
      </c>
      <c r="H4469" t="str">
        <f>("06/08/2025")</f>
        <v>06/08/2025</v>
      </c>
      <c r="I4469" t="str">
        <f>("23/07/2024")</f>
        <v>23/07/2024</v>
      </c>
      <c r="J4469" t="str">
        <f t="shared" si="2133"/>
        <v>07/08/2025</v>
      </c>
      <c r="K4469">
        <v>508.77</v>
      </c>
      <c r="L4469">
        <v>510.04</v>
      </c>
      <c r="M4469">
        <v>114</v>
      </c>
      <c r="N4469" t="str">
        <f>"EMPRESTIMOS"</f>
        <v>EMPRESTIMOS</v>
      </c>
      <c r="O4469">
        <v>510.04</v>
      </c>
      <c r="R4469" t="str">
        <f t="shared" si="2131"/>
        <v>BANCO CORA (102)</v>
      </c>
      <c r="S4469">
        <v>2323</v>
      </c>
      <c r="T4469">
        <v>77</v>
      </c>
      <c r="U4469" t="s">
        <v>19</v>
      </c>
    </row>
    <row r="4470" spans="1:21">
      <c r="A4470" t="str">
        <f t="shared" si="2132"/>
        <v>07/08/2025</v>
      </c>
      <c r="B4470" t="str">
        <f t="shared" si="2124"/>
        <v>SAÍDA</v>
      </c>
      <c r="C4470" t="str">
        <f>"BOLETO"</f>
        <v>BOLETO</v>
      </c>
      <c r="D4470" t="str">
        <f>"01"</f>
        <v>01</v>
      </c>
      <c r="E4470" t="str">
        <f t="shared" si="2134"/>
        <v>COM</v>
      </c>
      <c r="F4470" t="str">
        <f>"BANCO DO BRASIL (20001)"</f>
        <v>BANCO DO BRASIL (20001)</v>
      </c>
      <c r="G4470" t="str">
        <f>"EMPRESTIMO FUI TECNOLOGIA"</f>
        <v>EMPRESTIMO FUI TECNOLOGIA</v>
      </c>
      <c r="H4470" t="str">
        <f>("06/08/2025")</f>
        <v>06/08/2025</v>
      </c>
      <c r="I4470" t="str">
        <f>("23/07/2024")</f>
        <v>23/07/2024</v>
      </c>
      <c r="J4470" t="str">
        <f t="shared" si="2133"/>
        <v>07/08/2025</v>
      </c>
      <c r="M4470">
        <v>114</v>
      </c>
      <c r="N4470" t="str">
        <f>"EMPRESTIMOS"</f>
        <v>EMPRESTIMOS</v>
      </c>
      <c r="P4470">
        <v>510.04</v>
      </c>
      <c r="Q4470" t="str">
        <f>"BANCO DO BRASIL (20001)"</f>
        <v>BANCO DO BRASIL (20001)</v>
      </c>
      <c r="R4470" t="str">
        <f t="shared" si="2131"/>
        <v>BANCO CORA (102)</v>
      </c>
      <c r="S4470">
        <v>2323</v>
      </c>
      <c r="T4470">
        <v>77</v>
      </c>
      <c r="U4470" t="s">
        <v>19</v>
      </c>
    </row>
    <row r="4471" spans="1:21">
      <c r="A4471" t="str">
        <f t="shared" si="2132"/>
        <v>07/08/2025</v>
      </c>
      <c r="B4471" t="str">
        <f t="shared" si="2124"/>
        <v>SAÍDA</v>
      </c>
      <c r="C4471" t="str">
        <f>"PIX"</f>
        <v>PIX</v>
      </c>
      <c r="D4471" t="str">
        <f>"3"</f>
        <v>3</v>
      </c>
      <c r="E4471" t="str">
        <f t="shared" si="2134"/>
        <v>COM</v>
      </c>
      <c r="F4471" t="str">
        <f>"40.403.143 RHAUAN LUCAS CARMO OLIVEIRA (20106)"</f>
        <v>40.403.143 RHAUAN LUCAS CARMO OLIVEIRA (20106)</v>
      </c>
      <c r="G4471" t="str">
        <f>"AJUSTES SITE FLUX FARMA"</f>
        <v>AJUSTES SITE FLUX FARMA</v>
      </c>
      <c r="H4471" t="str">
        <f>("06/08/2025")</f>
        <v>06/08/2025</v>
      </c>
      <c r="I4471" t="str">
        <f>("06/08/2025")</f>
        <v>06/08/2025</v>
      </c>
      <c r="J4471" t="str">
        <f t="shared" si="2133"/>
        <v>07/08/2025</v>
      </c>
      <c r="K4471">
        <v>200</v>
      </c>
      <c r="L4471">
        <v>200</v>
      </c>
      <c r="M4471">
        <v>127</v>
      </c>
      <c r="N4471" t="str">
        <f>"PUBLICIDADE E PROPAGANDAS"</f>
        <v>PUBLICIDADE E PROPAGANDAS</v>
      </c>
      <c r="O4471">
        <v>200</v>
      </c>
      <c r="R4471" t="str">
        <f t="shared" si="2131"/>
        <v>BANCO CORA (102)</v>
      </c>
      <c r="S4471">
        <v>2324</v>
      </c>
      <c r="T4471">
        <v>1801</v>
      </c>
      <c r="U4471" t="s">
        <v>19</v>
      </c>
    </row>
    <row r="4472" spans="1:21">
      <c r="A4472" t="str">
        <f t="shared" si="2132"/>
        <v>07/08/2025</v>
      </c>
      <c r="B4472" t="str">
        <f t="shared" si="2124"/>
        <v>SAÍDA</v>
      </c>
      <c r="C4472" t="str">
        <f>"PIX"</f>
        <v>PIX</v>
      </c>
      <c r="D4472" t="str">
        <f>"3"</f>
        <v>3</v>
      </c>
      <c r="E4472" t="str">
        <f t="shared" si="2134"/>
        <v>COM</v>
      </c>
      <c r="F4472" t="str">
        <f>"40.403.143 RHAUAN LUCAS CARMO OLIVEIRA (20106)"</f>
        <v>40.403.143 RHAUAN LUCAS CARMO OLIVEIRA (20106)</v>
      </c>
      <c r="G4472" t="str">
        <f>"AJUSTES SITE FLUX FARMA"</f>
        <v>AJUSTES SITE FLUX FARMA</v>
      </c>
      <c r="H4472" t="str">
        <f>("06/08/2025")</f>
        <v>06/08/2025</v>
      </c>
      <c r="I4472" t="str">
        <f>("06/08/2025")</f>
        <v>06/08/2025</v>
      </c>
      <c r="J4472" t="str">
        <f t="shared" si="2133"/>
        <v>07/08/2025</v>
      </c>
      <c r="M4472">
        <v>127</v>
      </c>
      <c r="N4472" t="str">
        <f>"PUBLICIDADE E PROPAGANDAS"</f>
        <v>PUBLICIDADE E PROPAGANDAS</v>
      </c>
      <c r="P4472">
        <v>200</v>
      </c>
      <c r="Q4472" t="str">
        <f>"40.403.143 RHAUAN LUCAS CARMO OLIVEIRA (20106)"</f>
        <v>40.403.143 RHAUAN LUCAS CARMO OLIVEIRA (20106)</v>
      </c>
      <c r="R4472" t="str">
        <f t="shared" si="2131"/>
        <v>BANCO CORA (102)</v>
      </c>
      <c r="S4472">
        <v>2324</v>
      </c>
      <c r="T4472">
        <v>1801</v>
      </c>
      <c r="U4472" t="s">
        <v>19</v>
      </c>
    </row>
    <row r="4473" spans="1:21">
      <c r="A4473" t="str">
        <f t="shared" si="2132"/>
        <v>07/08/2025</v>
      </c>
      <c r="B4473" t="str">
        <f t="shared" si="2124"/>
        <v>SAÍDA</v>
      </c>
      <c r="C4473" t="str">
        <f>"PIX"</f>
        <v>PIX</v>
      </c>
      <c r="D4473" t="str">
        <f>"0708251250"</f>
        <v>0708251250</v>
      </c>
      <c r="E4473" t="str">
        <f t="shared" si="2134"/>
        <v>COM</v>
      </c>
      <c r="F4473" t="str">
        <f>"YURI RODRIGUES OLIVEIRA (20064)"</f>
        <v>YURI RODRIGUES OLIVEIRA (20064)</v>
      </c>
      <c r="G4473" t="str">
        <f>"COMISSAO VENDA SETUP"</f>
        <v>COMISSAO VENDA SETUP</v>
      </c>
      <c r="H4473" t="str">
        <f t="shared" ref="H4473:I4475" si="2135">("07/08/2025")</f>
        <v>07/08/2025</v>
      </c>
      <c r="I4473" t="str">
        <f t="shared" si="2135"/>
        <v>07/08/2025</v>
      </c>
      <c r="J4473" t="str">
        <f t="shared" si="2133"/>
        <v>07/08/2025</v>
      </c>
      <c r="K4473">
        <v>1250</v>
      </c>
      <c r="L4473">
        <v>1250</v>
      </c>
      <c r="M4473">
        <v>126</v>
      </c>
      <c r="N4473" t="str">
        <f>"COMISSÕES DE REPRESENTANTES"</f>
        <v>COMISSÕES DE REPRESENTANTES</v>
      </c>
      <c r="O4473">
        <v>1250</v>
      </c>
      <c r="R4473" t="str">
        <f t="shared" si="2131"/>
        <v>BANCO CORA (102)</v>
      </c>
      <c r="S4473">
        <v>2325</v>
      </c>
      <c r="T4473">
        <v>1868</v>
      </c>
      <c r="U4473" t="s">
        <v>19</v>
      </c>
    </row>
    <row r="4474" spans="1:21">
      <c r="A4474" t="str">
        <f t="shared" si="2132"/>
        <v>07/08/2025</v>
      </c>
      <c r="B4474" t="str">
        <f t="shared" si="2124"/>
        <v>SAÍDA</v>
      </c>
      <c r="C4474" t="str">
        <f>"PIX"</f>
        <v>PIX</v>
      </c>
      <c r="D4474" t="str">
        <f>"0708251250"</f>
        <v>0708251250</v>
      </c>
      <c r="E4474" t="str">
        <f t="shared" si="2134"/>
        <v>COM</v>
      </c>
      <c r="F4474" t="str">
        <f>"YURI RODRIGUES OLIVEIRA (20064)"</f>
        <v>YURI RODRIGUES OLIVEIRA (20064)</v>
      </c>
      <c r="G4474" t="str">
        <f>"COMISSAO VENDA SETUP"</f>
        <v>COMISSAO VENDA SETUP</v>
      </c>
      <c r="H4474" t="str">
        <f t="shared" si="2135"/>
        <v>07/08/2025</v>
      </c>
      <c r="I4474" t="str">
        <f t="shared" si="2135"/>
        <v>07/08/2025</v>
      </c>
      <c r="J4474" t="str">
        <f t="shared" si="2133"/>
        <v>07/08/2025</v>
      </c>
      <c r="M4474">
        <v>126</v>
      </c>
      <c r="N4474" t="str">
        <f>"COMISSÕES DE REPRESENTANTES"</f>
        <v>COMISSÕES DE REPRESENTANTES</v>
      </c>
      <c r="P4474">
        <v>1250</v>
      </c>
      <c r="Q4474" t="str">
        <f>"YURI RODRIGUES OLIVEIRA (20064)"</f>
        <v>YURI RODRIGUES OLIVEIRA (20064)</v>
      </c>
      <c r="R4474" t="str">
        <f t="shared" si="2131"/>
        <v>BANCO CORA (102)</v>
      </c>
      <c r="S4474">
        <v>2325</v>
      </c>
      <c r="T4474">
        <v>1868</v>
      </c>
      <c r="U4474" t="s">
        <v>19</v>
      </c>
    </row>
    <row r="4475" spans="1:21">
      <c r="A4475" t="str">
        <f t="shared" si="2132"/>
        <v>07/08/2025</v>
      </c>
      <c r="B4475" t="str">
        <f t="shared" si="2124"/>
        <v>SAÍDA</v>
      </c>
      <c r="C4475" t="str">
        <f>"PIX"</f>
        <v>PIX</v>
      </c>
      <c r="D4475" t="str">
        <f>"0708251250"</f>
        <v>0708251250</v>
      </c>
      <c r="E4475" t="str">
        <f t="shared" si="2134"/>
        <v>COM</v>
      </c>
      <c r="F4475" t="str">
        <f>"MAYKON NUNES DA SILVA (20085)"</f>
        <v>MAYKON NUNES DA SILVA (20085)</v>
      </c>
      <c r="G4475" t="str">
        <f>"COMISSAO VENDA SETUP"</f>
        <v>COMISSAO VENDA SETUP</v>
      </c>
      <c r="H4475" t="str">
        <f t="shared" si="2135"/>
        <v>07/08/2025</v>
      </c>
      <c r="I4475" t="str">
        <f t="shared" si="2135"/>
        <v>07/08/2025</v>
      </c>
      <c r="J4475" t="str">
        <f t="shared" si="2133"/>
        <v>07/08/2025</v>
      </c>
      <c r="K4475">
        <v>1250</v>
      </c>
      <c r="L4475">
        <v>1250</v>
      </c>
      <c r="M4475">
        <v>126</v>
      </c>
      <c r="N4475" t="str">
        <f>"COMISSÕES DE REPRESENTANTES"</f>
        <v>COMISSÕES DE REPRESENTANTES</v>
      </c>
      <c r="O4475">
        <v>1250</v>
      </c>
      <c r="R4475" t="str">
        <f t="shared" si="2131"/>
        <v>BANCO CORA (102)</v>
      </c>
      <c r="S4475">
        <v>2326</v>
      </c>
      <c r="T4475">
        <v>1869</v>
      </c>
      <c r="U4475" t="s">
        <v>19</v>
      </c>
    </row>
    <row r="4476" spans="1:21">
      <c r="A4476" t="str">
        <f t="shared" ref="A4476:A4481" si="2136">("08/08/2025")</f>
        <v>08/08/2025</v>
      </c>
      <c r="B4476" t="str">
        <f>"ENTRADA"</f>
        <v>ENTRADA</v>
      </c>
      <c r="C4476" t="str">
        <f>"NFSE"</f>
        <v>NFSE</v>
      </c>
      <c r="D4476" t="str">
        <f>"3304"</f>
        <v>3304</v>
      </c>
      <c r="E4476" t="str">
        <f t="shared" si="2134"/>
        <v>COM</v>
      </c>
      <c r="F4476" t="str">
        <f>"DROGARIA POUPA MINAS (DOIS AMIGOS) 5 (10140)"</f>
        <v>DROGARIA POUPA MINAS (DOIS AMIGOS) 5 (10140)</v>
      </c>
      <c r="G4476" t="str">
        <f>"Serv.Prest. 01/07/2025 a 31/07/2025 - RPS: 1070 - NFSe: 3304"</f>
        <v>Serv.Prest. 01/07/2025 a 31/07/2025 - RPS: 1070 - NFSe: 3304</v>
      </c>
      <c r="H4476" t="str">
        <f>("07/08/2025")</f>
        <v>07/08/2025</v>
      </c>
      <c r="I4476" t="str">
        <f>("01/08/2025")</f>
        <v>01/08/2025</v>
      </c>
      <c r="J4476" t="str">
        <f t="shared" ref="J4476:J4481" si="2137">("08/08/2025")</f>
        <v>08/08/2025</v>
      </c>
      <c r="K4476">
        <v>575.28</v>
      </c>
      <c r="L4476">
        <v>575.28</v>
      </c>
      <c r="M4476">
        <v>303</v>
      </c>
      <c r="N4476" t="str">
        <f>"RECEITAS COM ENTREGAS"</f>
        <v>RECEITAS COM ENTREGAS</v>
      </c>
      <c r="O4476">
        <v>575.28</v>
      </c>
      <c r="R4476" t="str">
        <f>"RECEITAS COM ENTREGAS (303)"</f>
        <v>RECEITAS COM ENTREGAS (303)</v>
      </c>
      <c r="S4476">
        <v>2274</v>
      </c>
      <c r="T4476">
        <v>1757</v>
      </c>
      <c r="U4476" t="s">
        <v>19</v>
      </c>
    </row>
    <row r="4477" spans="1:21">
      <c r="A4477" t="str">
        <f t="shared" si="2136"/>
        <v>08/08/2025</v>
      </c>
      <c r="B4477" t="str">
        <f t="shared" ref="B4477:B4479" si="2138">"ENTRADA"</f>
        <v>ENTRADA</v>
      </c>
      <c r="C4477" t="str">
        <f>"NFSE"</f>
        <v>NFSE</v>
      </c>
      <c r="D4477" t="str">
        <f>"3304"</f>
        <v>3304</v>
      </c>
      <c r="E4477" t="str">
        <f t="shared" si="2134"/>
        <v>COM</v>
      </c>
      <c r="F4477" t="str">
        <f>"DROGARIA POUPA MINAS (DOIS AMIGOS) 5 (10140)"</f>
        <v>DROGARIA POUPA MINAS (DOIS AMIGOS) 5 (10140)</v>
      </c>
      <c r="G4477" t="str">
        <f>"Serv.Prest. 01/07/2025 a 31/07/2025 - RPS: 1070 - NFSe: 3304"</f>
        <v>Serv.Prest. 01/07/2025 a 31/07/2025 - RPS: 1070 - NFSe: 3304</v>
      </c>
      <c r="H4477" t="str">
        <f>("07/08/2025")</f>
        <v>07/08/2025</v>
      </c>
      <c r="I4477" t="str">
        <f>("01/08/2025")</f>
        <v>01/08/2025</v>
      </c>
      <c r="J4477" t="str">
        <f t="shared" si="2137"/>
        <v>08/08/2025</v>
      </c>
      <c r="M4477">
        <v>303</v>
      </c>
      <c r="N4477" t="str">
        <f>"RECEITAS COM ENTREGAS"</f>
        <v>RECEITAS COM ENTREGAS</v>
      </c>
      <c r="P4477">
        <v>575.28</v>
      </c>
      <c r="Q4477" t="str">
        <f>"DROGARIA POUPA MINAS (ULTRAMINAS) 1 (10181)"</f>
        <v>DROGARIA POUPA MINAS (ULTRAMINAS) 1 (10181)</v>
      </c>
      <c r="R4477" t="str">
        <f>"RECEITAS COM ENTREGAS (303)"</f>
        <v>RECEITAS COM ENTREGAS (303)</v>
      </c>
      <c r="S4477">
        <v>2274</v>
      </c>
      <c r="T4477">
        <v>1757</v>
      </c>
      <c r="U4477" t="s">
        <v>19</v>
      </c>
    </row>
    <row r="4478" spans="1:21">
      <c r="A4478" t="str">
        <f t="shared" si="2136"/>
        <v>08/08/2025</v>
      </c>
      <c r="B4478" t="str">
        <f t="shared" si="2138"/>
        <v>ENTRADA</v>
      </c>
      <c r="C4478" t="str">
        <f>"NFSE"</f>
        <v>NFSE</v>
      </c>
      <c r="D4478" t="str">
        <f>"3320"</f>
        <v>3320</v>
      </c>
      <c r="E4478" t="str">
        <f t="shared" si="2134"/>
        <v>COM</v>
      </c>
      <c r="F4478" t="str">
        <f>"DROGARIA POUPA MINAS (DOIS AMIGOS) 5 (10140)"</f>
        <v>DROGARIA POUPA MINAS (DOIS AMIGOS) 5 (10140)</v>
      </c>
      <c r="G4478" t="str">
        <f>"Serv.Prest. 28/07/2025 a 03/08/2025 - RPS: 1086 - NFSe: 3320"</f>
        <v>Serv.Prest. 28/07/2025 a 03/08/2025 - RPS: 1086 - NFSe: 3320</v>
      </c>
      <c r="H4478" t="str">
        <f>("07/08/2025")</f>
        <v>07/08/2025</v>
      </c>
      <c r="I4478" t="str">
        <f>("04/08/2025")</f>
        <v>04/08/2025</v>
      </c>
      <c r="J4478" t="str">
        <f t="shared" si="2137"/>
        <v>08/08/2025</v>
      </c>
      <c r="K4478">
        <v>764.24</v>
      </c>
      <c r="L4478">
        <v>764.24</v>
      </c>
      <c r="M4478">
        <v>303</v>
      </c>
      <c r="N4478" t="str">
        <f>"RECEITAS COM ENTREGAS"</f>
        <v>RECEITAS COM ENTREGAS</v>
      </c>
      <c r="O4478">
        <v>764.24</v>
      </c>
      <c r="R4478" t="str">
        <f>"RECEITAS COM ENTREGAS (303)"</f>
        <v>RECEITAS COM ENTREGAS (303)</v>
      </c>
      <c r="S4478">
        <v>2275</v>
      </c>
      <c r="T4478">
        <v>1774</v>
      </c>
      <c r="U4478" t="s">
        <v>19</v>
      </c>
    </row>
    <row r="4479" spans="1:21">
      <c r="A4479" t="str">
        <f t="shared" si="2136"/>
        <v>08/08/2025</v>
      </c>
      <c r="B4479" t="str">
        <f t="shared" si="2138"/>
        <v>ENTRADA</v>
      </c>
      <c r="C4479" t="str">
        <f>"NFSE"</f>
        <v>NFSE</v>
      </c>
      <c r="D4479" t="str">
        <f>"3320"</f>
        <v>3320</v>
      </c>
      <c r="E4479" t="str">
        <f t="shared" si="2134"/>
        <v>COM</v>
      </c>
      <c r="F4479" t="str">
        <f>"DROGARIA POUPA MINAS (DOIS AMIGOS) 5 (10140)"</f>
        <v>DROGARIA POUPA MINAS (DOIS AMIGOS) 5 (10140)</v>
      </c>
      <c r="G4479" t="str">
        <f>"Serv.Prest. 28/07/2025 a 03/08/2025 - RPS: 1086 - NFSe: 3320"</f>
        <v>Serv.Prest. 28/07/2025 a 03/08/2025 - RPS: 1086 - NFSe: 3320</v>
      </c>
      <c r="H4479" t="str">
        <f>("07/08/2025")</f>
        <v>07/08/2025</v>
      </c>
      <c r="I4479" t="str">
        <f>("04/08/2025")</f>
        <v>04/08/2025</v>
      </c>
      <c r="J4479" t="str">
        <f t="shared" si="2137"/>
        <v>08/08/2025</v>
      </c>
      <c r="M4479">
        <v>303</v>
      </c>
      <c r="N4479" t="str">
        <f>"RECEITAS COM ENTREGAS"</f>
        <v>RECEITAS COM ENTREGAS</v>
      </c>
      <c r="P4479">
        <v>764.24</v>
      </c>
      <c r="Q4479" t="str">
        <f>"DROGARIA POUPA MINAS (ULTRAMINAS) 1 (10181)"</f>
        <v>DROGARIA POUPA MINAS (ULTRAMINAS) 1 (10181)</v>
      </c>
      <c r="R4479" t="str">
        <f>"RECEITAS COM ENTREGAS (303)"</f>
        <v>RECEITAS COM ENTREGAS (303)</v>
      </c>
      <c r="S4479">
        <v>2275</v>
      </c>
      <c r="T4479">
        <v>1774</v>
      </c>
      <c r="U4479" t="s">
        <v>19</v>
      </c>
    </row>
    <row r="4480" spans="1:21">
      <c r="A4480" t="str">
        <f t="shared" si="2136"/>
        <v>08/08/2025</v>
      </c>
      <c r="B4480" t="str">
        <f t="shared" ref="B4480:B4489" si="2139">"SAÍDA"</f>
        <v>SAÍDA</v>
      </c>
      <c r="C4480" t="str">
        <f>"CONHECIMENTO"</f>
        <v>CONHECIMENTO</v>
      </c>
      <c r="D4480" t="str">
        <f>"080825170"</f>
        <v>080825170</v>
      </c>
      <c r="E4480" t="str">
        <f t="shared" si="2134"/>
        <v>COM</v>
      </c>
      <c r="F4480" t="str">
        <f>"CORA SOCIEDADE DE CREDITO, FINANCIAMENTO E INVESTIMENTO (20035)"</f>
        <v>CORA SOCIEDADE DE CREDITO, FINANCIAMENTO E INVESTIMENTO (20035)</v>
      </c>
      <c r="G4480" t="str">
        <f>"TAXA BOLETO COMPENSADO"</f>
        <v>TAXA BOLETO COMPENSADO</v>
      </c>
      <c r="H4480" t="str">
        <f>("08/08/2025")</f>
        <v>08/08/2025</v>
      </c>
      <c r="I4480" t="str">
        <f>("08/08/2025")</f>
        <v>08/08/2025</v>
      </c>
      <c r="J4480" t="str">
        <f t="shared" si="2137"/>
        <v>08/08/2025</v>
      </c>
      <c r="K4480">
        <v>1.7</v>
      </c>
      <c r="L4480">
        <v>1.7</v>
      </c>
      <c r="M4480">
        <v>401</v>
      </c>
      <c r="N4480" t="str">
        <f>"IOF/JUROS/DESP.FINANCEIRA"</f>
        <v>IOF/JUROS/DESP.FINANCEIRA</v>
      </c>
      <c r="O4480">
        <v>1.7</v>
      </c>
      <c r="R4480" t="str">
        <f t="shared" ref="R4480:R4489" si="2140">"BANCO CORA (102)"</f>
        <v>BANCO CORA (102)</v>
      </c>
      <c r="S4480">
        <v>2343</v>
      </c>
      <c r="T4480">
        <v>1876</v>
      </c>
      <c r="U4480" t="s">
        <v>19</v>
      </c>
    </row>
    <row r="4481" spans="1:21">
      <c r="A4481" t="str">
        <f t="shared" si="2136"/>
        <v>08/08/2025</v>
      </c>
      <c r="B4481" t="str">
        <f t="shared" si="2139"/>
        <v>SAÍDA</v>
      </c>
      <c r="C4481" t="str">
        <f>"CONHECIMENTO"</f>
        <v>CONHECIMENTO</v>
      </c>
      <c r="D4481" t="str">
        <f>"080825170"</f>
        <v>080825170</v>
      </c>
      <c r="E4481" t="str">
        <f t="shared" si="2134"/>
        <v>COM</v>
      </c>
      <c r="F4481" t="str">
        <f>"CORA SOCIEDADE DE CREDITO, FINANCIAMENTO E INVESTIMENTO (20035)"</f>
        <v>CORA SOCIEDADE DE CREDITO, FINANCIAMENTO E INVESTIMENTO (20035)</v>
      </c>
      <c r="G4481" t="str">
        <f>"TAXA BOLETO COMPENSADO"</f>
        <v>TAXA BOLETO COMPENSADO</v>
      </c>
      <c r="H4481" t="str">
        <f>("08/08/2025")</f>
        <v>08/08/2025</v>
      </c>
      <c r="I4481" t="str">
        <f>("08/08/2025")</f>
        <v>08/08/2025</v>
      </c>
      <c r="J4481" t="str">
        <f t="shared" si="2137"/>
        <v>08/08/2025</v>
      </c>
      <c r="K4481">
        <v>1.7</v>
      </c>
      <c r="L4481">
        <v>1.7</v>
      </c>
      <c r="M4481">
        <v>401</v>
      </c>
      <c r="N4481" t="str">
        <f>"IOF/JUROS/DESP.FINANCEIRA"</f>
        <v>IOF/JUROS/DESP.FINANCEIRA</v>
      </c>
      <c r="O4481">
        <v>1.7</v>
      </c>
      <c r="R4481" t="str">
        <f t="shared" si="2140"/>
        <v>BANCO CORA (102)</v>
      </c>
      <c r="S4481">
        <v>2344</v>
      </c>
      <c r="T4481">
        <v>1877</v>
      </c>
      <c r="U4481" t="s">
        <v>19</v>
      </c>
    </row>
    <row r="4482" spans="1:21">
      <c r="A4482" t="str">
        <f>("09/08/2025")</f>
        <v>09/08/2025</v>
      </c>
      <c r="B4482" t="str">
        <f t="shared" si="2139"/>
        <v>SAÍDA</v>
      </c>
      <c r="C4482" t="str">
        <f>"PIX"</f>
        <v>PIX</v>
      </c>
      <c r="D4482" t="str">
        <f>"0908251166670"</f>
        <v>0908251166670</v>
      </c>
      <c r="E4482" t="str">
        <f t="shared" si="2134"/>
        <v>COM</v>
      </c>
      <c r="F4482" t="str">
        <f>"LILIANE DE FATIMA REZENDE JUSTINO (20013)"</f>
        <v>LILIANE DE FATIMA REZENDE JUSTINO (20013)</v>
      </c>
      <c r="G4482" t="str">
        <f>"DISTRIBUICAO DE LUCROS"</f>
        <v>DISTRIBUICAO DE LUCROS</v>
      </c>
      <c r="H4482" t="str">
        <f t="shared" ref="H4482:J4485" si="2141">("09/08/2025")</f>
        <v>09/08/2025</v>
      </c>
      <c r="I4482" t="str">
        <f t="shared" si="2141"/>
        <v>09/08/2025</v>
      </c>
      <c r="J4482" t="str">
        <f t="shared" si="2141"/>
        <v>09/08/2025</v>
      </c>
      <c r="K4482">
        <v>11666.7</v>
      </c>
      <c r="L4482">
        <v>11666.7</v>
      </c>
      <c r="M4482">
        <v>125</v>
      </c>
      <c r="N4482" t="str">
        <f>"DISTRIBUIÇÃO DE LUCRO"</f>
        <v>DISTRIBUIÇÃO DE LUCRO</v>
      </c>
      <c r="O4482">
        <v>11666.7</v>
      </c>
      <c r="R4482" t="str">
        <f t="shared" si="2140"/>
        <v>BANCO CORA (102)</v>
      </c>
      <c r="S4482">
        <v>2327</v>
      </c>
      <c r="T4482">
        <v>1873</v>
      </c>
      <c r="U4482" t="s">
        <v>19</v>
      </c>
    </row>
    <row r="4483" spans="1:21">
      <c r="A4483" t="str">
        <f>("09/08/2025")</f>
        <v>09/08/2025</v>
      </c>
      <c r="B4483" t="str">
        <f t="shared" si="2139"/>
        <v>SAÍDA</v>
      </c>
      <c r="C4483" t="str">
        <f>"PIX"</f>
        <v>PIX</v>
      </c>
      <c r="D4483" t="str">
        <f>"0908251166670"</f>
        <v>0908251166670</v>
      </c>
      <c r="E4483" t="str">
        <f t="shared" si="2134"/>
        <v>COM</v>
      </c>
      <c r="F4483" t="str">
        <f>"LILIANE DE FATIMA REZENDE JUSTINO (20013)"</f>
        <v>LILIANE DE FATIMA REZENDE JUSTINO (20013)</v>
      </c>
      <c r="G4483" t="str">
        <f>"DISTRIBUICAO DE LUCROS"</f>
        <v>DISTRIBUICAO DE LUCROS</v>
      </c>
      <c r="H4483" t="str">
        <f t="shared" si="2141"/>
        <v>09/08/2025</v>
      </c>
      <c r="I4483" t="str">
        <f t="shared" si="2141"/>
        <v>09/08/2025</v>
      </c>
      <c r="J4483" t="str">
        <f t="shared" si="2141"/>
        <v>09/08/2025</v>
      </c>
      <c r="M4483">
        <v>125</v>
      </c>
      <c r="N4483" t="str">
        <f>"DISTRIBUIÇÃO DE LUCRO"</f>
        <v>DISTRIBUIÇÃO DE LUCRO</v>
      </c>
      <c r="P4483">
        <v>11666.7</v>
      </c>
      <c r="Q4483" t="str">
        <f>"LILIANE DE FATIMA REZENDE JUSTINO (20013)"</f>
        <v>LILIANE DE FATIMA REZENDE JUSTINO (20013)</v>
      </c>
      <c r="R4483" t="str">
        <f t="shared" si="2140"/>
        <v>BANCO CORA (102)</v>
      </c>
      <c r="S4483">
        <v>2327</v>
      </c>
      <c r="T4483">
        <v>1873</v>
      </c>
      <c r="U4483" t="s">
        <v>19</v>
      </c>
    </row>
    <row r="4484" spans="1:21">
      <c r="A4484" t="str">
        <f>("09/08/2025")</f>
        <v>09/08/2025</v>
      </c>
      <c r="B4484" t="str">
        <f t="shared" si="2139"/>
        <v>SAÍDA</v>
      </c>
      <c r="C4484" t="str">
        <f>"PIX"</f>
        <v>PIX</v>
      </c>
      <c r="D4484" t="str">
        <f>"0908255000"</f>
        <v>0908255000</v>
      </c>
      <c r="E4484" t="str">
        <f t="shared" si="2134"/>
        <v>COM</v>
      </c>
      <c r="F4484" t="str">
        <f>"MARCELO REZENDE ARANTES (20014)"</f>
        <v>MARCELO REZENDE ARANTES (20014)</v>
      </c>
      <c r="G4484" t="str">
        <f>"DISTRIBUICAO DE LUCROS"</f>
        <v>DISTRIBUICAO DE LUCROS</v>
      </c>
      <c r="H4484" t="str">
        <f t="shared" si="2141"/>
        <v>09/08/2025</v>
      </c>
      <c r="I4484" t="str">
        <f t="shared" si="2141"/>
        <v>09/08/2025</v>
      </c>
      <c r="J4484" t="str">
        <f t="shared" si="2141"/>
        <v>09/08/2025</v>
      </c>
      <c r="K4484">
        <v>5000</v>
      </c>
      <c r="L4484">
        <v>5000</v>
      </c>
      <c r="M4484">
        <v>125</v>
      </c>
      <c r="N4484" t="str">
        <f>"DISTRIBUIÇÃO DE LUCRO"</f>
        <v>DISTRIBUIÇÃO DE LUCRO</v>
      </c>
      <c r="O4484">
        <v>5000</v>
      </c>
      <c r="R4484" t="str">
        <f t="shared" si="2140"/>
        <v>BANCO CORA (102)</v>
      </c>
      <c r="S4484">
        <v>2430</v>
      </c>
      <c r="T4484">
        <v>1875</v>
      </c>
      <c r="U4484" t="s">
        <v>19</v>
      </c>
    </row>
    <row r="4485" spans="1:21">
      <c r="A4485" t="str">
        <f>("09/08/2025")</f>
        <v>09/08/2025</v>
      </c>
      <c r="B4485" t="str">
        <f t="shared" si="2139"/>
        <v>SAÍDA</v>
      </c>
      <c r="C4485" t="str">
        <f>"PIX"</f>
        <v>PIX</v>
      </c>
      <c r="D4485" t="str">
        <f>"0908255000"</f>
        <v>0908255000</v>
      </c>
      <c r="E4485" t="str">
        <f t="shared" si="2134"/>
        <v>COM</v>
      </c>
      <c r="F4485" t="str">
        <f>"MARCELO REZENDE ARANTES (20014)"</f>
        <v>MARCELO REZENDE ARANTES (20014)</v>
      </c>
      <c r="G4485" t="str">
        <f>"DISTRIBUICAO DE LUCROS"</f>
        <v>DISTRIBUICAO DE LUCROS</v>
      </c>
      <c r="H4485" t="str">
        <f t="shared" si="2141"/>
        <v>09/08/2025</v>
      </c>
      <c r="I4485" t="str">
        <f t="shared" si="2141"/>
        <v>09/08/2025</v>
      </c>
      <c r="J4485" t="str">
        <f t="shared" si="2141"/>
        <v>09/08/2025</v>
      </c>
      <c r="M4485">
        <v>125</v>
      </c>
      <c r="N4485" t="str">
        <f>"DISTRIBUIÇÃO DE LUCRO"</f>
        <v>DISTRIBUIÇÃO DE LUCRO</v>
      </c>
      <c r="P4485">
        <v>5000</v>
      </c>
      <c r="Q4485" t="str">
        <f>"MARCELO REZENDE ARANTES (20014)"</f>
        <v>MARCELO REZENDE ARANTES (20014)</v>
      </c>
      <c r="R4485" t="str">
        <f t="shared" si="2140"/>
        <v>BANCO CORA (102)</v>
      </c>
      <c r="S4485">
        <v>2430</v>
      </c>
      <c r="T4485">
        <v>1875</v>
      </c>
      <c r="U4485" t="s">
        <v>19</v>
      </c>
    </row>
    <row r="4486" spans="1:21">
      <c r="A4486" t="str">
        <f>("11/08/2025")</f>
        <v>11/08/2025</v>
      </c>
      <c r="B4486" t="str">
        <f t="shared" si="2139"/>
        <v>SAÍDA</v>
      </c>
      <c r="C4486" t="str">
        <f>"BOLETO"</f>
        <v>BOLETO</v>
      </c>
      <c r="D4486" t="str">
        <f>"10693029"</f>
        <v>10693029</v>
      </c>
      <c r="E4486" t="str">
        <f t="shared" si="2134"/>
        <v>COM</v>
      </c>
      <c r="F4486" t="str">
        <f>"UNIODONTO REGIONAL COOPERATIVA ODONTOLOGICA LTDA. (20024)"</f>
        <v>UNIODONTO REGIONAL COOPERATIVA ODONTOLOGICA LTDA. (20024)</v>
      </c>
      <c r="G4486" t="str">
        <f>"PLANO ODONTOLOGICO 07/2025"</f>
        <v>PLANO ODONTOLOGICO 07/2025</v>
      </c>
      <c r="H4486" t="str">
        <f>("10/08/2025")</f>
        <v>10/08/2025</v>
      </c>
      <c r="I4486" t="str">
        <f>("10/02/2025")</f>
        <v>10/02/2025</v>
      </c>
      <c r="J4486" t="str">
        <f>("11/08/2025")</f>
        <v>11/08/2025</v>
      </c>
      <c r="K4486">
        <v>1458.4</v>
      </c>
      <c r="L4486">
        <v>1458.4</v>
      </c>
      <c r="M4486">
        <v>192</v>
      </c>
      <c r="N4486" t="str">
        <f>"PLANOS E SEGUROS"</f>
        <v>PLANOS E SEGUROS</v>
      </c>
      <c r="O4486">
        <v>1458.4</v>
      </c>
      <c r="R4486" t="str">
        <f t="shared" si="2140"/>
        <v>BANCO CORA (102)</v>
      </c>
      <c r="S4486">
        <v>2330</v>
      </c>
      <c r="T4486">
        <v>842</v>
      </c>
      <c r="U4486" t="s">
        <v>19</v>
      </c>
    </row>
    <row r="4487" spans="1:21">
      <c r="A4487" t="str">
        <f>("11/08/2025")</f>
        <v>11/08/2025</v>
      </c>
      <c r="B4487" t="str">
        <f t="shared" si="2139"/>
        <v>SAÍDA</v>
      </c>
      <c r="C4487" t="str">
        <f>"BOLETO"</f>
        <v>BOLETO</v>
      </c>
      <c r="D4487" t="str">
        <f>"10693029"</f>
        <v>10693029</v>
      </c>
      <c r="E4487" t="str">
        <f t="shared" si="2134"/>
        <v>COM</v>
      </c>
      <c r="F4487" t="str">
        <f>"UNIODONTO REGIONAL COOPERATIVA ODONTOLOGICA LTDA. (20024)"</f>
        <v>UNIODONTO REGIONAL COOPERATIVA ODONTOLOGICA LTDA. (20024)</v>
      </c>
      <c r="G4487" t="str">
        <f>"PLANO ODONTOLOGICO 07/2025"</f>
        <v>PLANO ODONTOLOGICO 07/2025</v>
      </c>
      <c r="H4487" t="str">
        <f>("10/08/2025")</f>
        <v>10/08/2025</v>
      </c>
      <c r="I4487" t="str">
        <f>("10/02/2025")</f>
        <v>10/02/2025</v>
      </c>
      <c r="J4487" t="str">
        <f>("11/08/2025")</f>
        <v>11/08/2025</v>
      </c>
      <c r="M4487">
        <v>192</v>
      </c>
      <c r="N4487" t="str">
        <f>"PLANOS E SEGUROS"</f>
        <v>PLANOS E SEGUROS</v>
      </c>
      <c r="P4487">
        <v>1458.4</v>
      </c>
      <c r="Q4487" t="str">
        <f>"UNIODONTO REGIONAL COOPERATIVA ODONTOLOGICA LTDA. (20024)"</f>
        <v>UNIODONTO REGIONAL COOPERATIVA ODONTOLOGICA LTDA. (20024)</v>
      </c>
      <c r="R4487" t="str">
        <f t="shared" si="2140"/>
        <v>BANCO CORA (102)</v>
      </c>
      <c r="S4487">
        <v>2330</v>
      </c>
      <c r="T4487">
        <v>842</v>
      </c>
      <c r="U4487" t="s">
        <v>19</v>
      </c>
    </row>
    <row r="4488" spans="1:21">
      <c r="A4488" t="str">
        <f>("11/08/2025")</f>
        <v>11/08/2025</v>
      </c>
      <c r="B4488" t="str">
        <f t="shared" si="2139"/>
        <v>SAÍDA</v>
      </c>
      <c r="C4488" t="str">
        <f>"BOLETO"</f>
        <v>BOLETO</v>
      </c>
      <c r="D4488" t="str">
        <f>"0901"</f>
        <v>0901</v>
      </c>
      <c r="E4488" t="str">
        <f t="shared" si="2134"/>
        <v>COM</v>
      </c>
      <c r="F4488" t="str">
        <f>"CORA SOCIEDADE DE CREDITO, FINANCIAMENTO E INVESTIMENTO (20035)"</f>
        <v>CORA SOCIEDADE DE CREDITO, FINANCIAMENTO E INVESTIMENTO (20035)</v>
      </c>
      <c r="G4488" t="str">
        <f>"DESPESAS COM TARIFAS BANCARIAS"</f>
        <v>DESPESAS COM TARIFAS BANCARIAS</v>
      </c>
      <c r="H4488" t="str">
        <f>("09/08/2025")</f>
        <v>09/08/2025</v>
      </c>
      <c r="I4488" t="str">
        <f>("01/01/2025")</f>
        <v>01/01/2025</v>
      </c>
      <c r="J4488" t="str">
        <f>("11/08/2025")</f>
        <v>11/08/2025</v>
      </c>
      <c r="K4488">
        <v>44.9</v>
      </c>
      <c r="L4488">
        <v>44.9</v>
      </c>
      <c r="M4488">
        <v>401</v>
      </c>
      <c r="N4488" t="str">
        <f>"IOF/JUROS/DESP.FINANCEIRA"</f>
        <v>IOF/JUROS/DESP.FINANCEIRA</v>
      </c>
      <c r="O4488">
        <v>44.9</v>
      </c>
      <c r="R4488" t="str">
        <f t="shared" si="2140"/>
        <v>BANCO CORA (102)</v>
      </c>
      <c r="S4488">
        <v>2331</v>
      </c>
      <c r="T4488">
        <v>750</v>
      </c>
      <c r="U4488" t="s">
        <v>19</v>
      </c>
    </row>
    <row r="4489" spans="1:21">
      <c r="A4489" t="str">
        <f>("11/08/2025")</f>
        <v>11/08/2025</v>
      </c>
      <c r="B4489" t="str">
        <f t="shared" si="2139"/>
        <v>SAÍDA</v>
      </c>
      <c r="C4489" t="str">
        <f>"BOLETO"</f>
        <v>BOLETO</v>
      </c>
      <c r="D4489" t="str">
        <f>"0901"</f>
        <v>0901</v>
      </c>
      <c r="E4489" t="str">
        <f t="shared" si="2134"/>
        <v>COM</v>
      </c>
      <c r="F4489" t="str">
        <f>"CORA SOCIEDADE DE CREDITO, FINANCIAMENTO E INVESTIMENTO (20035)"</f>
        <v>CORA SOCIEDADE DE CREDITO, FINANCIAMENTO E INVESTIMENTO (20035)</v>
      </c>
      <c r="G4489" t="str">
        <f>"DESPESAS COM TARIFAS BANCARIAS"</f>
        <v>DESPESAS COM TARIFAS BANCARIAS</v>
      </c>
      <c r="H4489" t="str">
        <f>("09/08/2025")</f>
        <v>09/08/2025</v>
      </c>
      <c r="I4489" t="str">
        <f>("01/01/2025")</f>
        <v>01/01/2025</v>
      </c>
      <c r="J4489" t="str">
        <f>("11/08/2025")</f>
        <v>11/08/2025</v>
      </c>
      <c r="M4489">
        <v>401</v>
      </c>
      <c r="N4489" t="str">
        <f>"IOF/JUROS/DESP.FINANCEIRA"</f>
        <v>IOF/JUROS/DESP.FINANCEIRA</v>
      </c>
      <c r="P4489">
        <v>44.9</v>
      </c>
      <c r="Q4489" t="str">
        <f>"CORA SOCIEDADE DE CREDITO, FINANCIAMENTO E INVESTIMENTO (20035)"</f>
        <v>CORA SOCIEDADE DE CREDITO, FINANCIAMENTO E INVESTIMENTO (20035)</v>
      </c>
      <c r="R4489" t="str">
        <f t="shared" si="2140"/>
        <v>BANCO CORA (102)</v>
      </c>
      <c r="S4489">
        <v>2331</v>
      </c>
      <c r="T4489">
        <v>750</v>
      </c>
      <c r="U4489" t="s">
        <v>19</v>
      </c>
    </row>
    <row r="4490" spans="1:21">
      <c r="A4490" t="str">
        <f t="shared" ref="A4490:A4497" si="2142">("12/08/2025")</f>
        <v>12/08/2025</v>
      </c>
      <c r="B4490" t="str">
        <f>"ENTRADA"</f>
        <v>ENTRADA</v>
      </c>
      <c r="C4490" t="str">
        <f>"NFSE"</f>
        <v>NFSE</v>
      </c>
      <c r="D4490" t="str">
        <f>"3292"</f>
        <v>3292</v>
      </c>
      <c r="E4490" t="str">
        <f t="shared" si="2134"/>
        <v>COM</v>
      </c>
      <c r="F4490" t="str">
        <f>"PAGMENOS - LJ 608 (10135)"</f>
        <v>PAGMENOS - LJ 608 (10135)</v>
      </c>
      <c r="G4490" t="str">
        <f>"Serv.Prest. 21/07/2025 a 27/07/2025 - RPS: 1059 - NFSe: 3292"</f>
        <v>Serv.Prest. 21/07/2025 a 27/07/2025 - RPS: 1059 - NFSe: 3292</v>
      </c>
      <c r="H4490" t="str">
        <f>("07/08/2025")</f>
        <v>07/08/2025</v>
      </c>
      <c r="I4490" t="str">
        <f>("28/07/2025")</f>
        <v>28/07/2025</v>
      </c>
      <c r="J4490" t="str">
        <f t="shared" ref="J4490:J4497" si="2143">("12/08/2025")</f>
        <v>12/08/2025</v>
      </c>
      <c r="K4490">
        <v>280.20999999999998</v>
      </c>
      <c r="L4490">
        <v>280.20999999999998</v>
      </c>
      <c r="M4490">
        <v>303</v>
      </c>
      <c r="N4490" t="str">
        <f>"RECEITAS COM ENTREGAS"</f>
        <v>RECEITAS COM ENTREGAS</v>
      </c>
      <c r="O4490">
        <v>280.20999999999998</v>
      </c>
      <c r="R4490" t="str">
        <f>"RECEITAS COM ENTREGAS (303)"</f>
        <v>RECEITAS COM ENTREGAS (303)</v>
      </c>
      <c r="S4490">
        <v>2332</v>
      </c>
      <c r="T4490">
        <v>1746</v>
      </c>
      <c r="U4490" t="s">
        <v>19</v>
      </c>
    </row>
    <row r="4491" spans="1:21">
      <c r="A4491" t="str">
        <f t="shared" si="2142"/>
        <v>12/08/2025</v>
      </c>
      <c r="B4491" t="str">
        <f t="shared" ref="B4491:B4493" si="2144">"ENTRADA"</f>
        <v>ENTRADA</v>
      </c>
      <c r="C4491" t="str">
        <f>"NFSE"</f>
        <v>NFSE</v>
      </c>
      <c r="D4491" t="str">
        <f>"3292"</f>
        <v>3292</v>
      </c>
      <c r="E4491" t="str">
        <f t="shared" si="2134"/>
        <v>COM</v>
      </c>
      <c r="F4491" t="str">
        <f>"PAGMENOS - LJ 608 (10135)"</f>
        <v>PAGMENOS - LJ 608 (10135)</v>
      </c>
      <c r="G4491" t="str">
        <f>"Serv.Prest. 21/07/2025 a 27/07/2025 - RPS: 1059 - NFSe: 3292"</f>
        <v>Serv.Prest. 21/07/2025 a 27/07/2025 - RPS: 1059 - NFSe: 3292</v>
      </c>
      <c r="H4491" t="str">
        <f>("07/08/2025")</f>
        <v>07/08/2025</v>
      </c>
      <c r="I4491" t="str">
        <f>("28/07/2025")</f>
        <v>28/07/2025</v>
      </c>
      <c r="J4491" t="str">
        <f t="shared" si="2143"/>
        <v>12/08/2025</v>
      </c>
      <c r="M4491">
        <v>303</v>
      </c>
      <c r="N4491" t="str">
        <f>"RECEITAS COM ENTREGAS"</f>
        <v>RECEITAS COM ENTREGAS</v>
      </c>
      <c r="P4491">
        <v>280.20999999999998</v>
      </c>
      <c r="Q4491" t="str">
        <f>"PAGMENOS - LJ 608 (10135)"</f>
        <v>PAGMENOS - LJ 608 (10135)</v>
      </c>
      <c r="R4491" t="str">
        <f>"RECEITAS COM ENTREGAS (303)"</f>
        <v>RECEITAS COM ENTREGAS (303)</v>
      </c>
      <c r="S4491">
        <v>2332</v>
      </c>
      <c r="T4491">
        <v>1746</v>
      </c>
      <c r="U4491" t="s">
        <v>19</v>
      </c>
    </row>
    <row r="4492" spans="1:21">
      <c r="A4492" t="str">
        <f t="shared" si="2142"/>
        <v>12/08/2025</v>
      </c>
      <c r="B4492" t="str">
        <f t="shared" si="2144"/>
        <v>ENTRADA</v>
      </c>
      <c r="C4492" t="str">
        <f>"NFSE"</f>
        <v>NFSE</v>
      </c>
      <c r="D4492" t="str">
        <f>"3293"</f>
        <v>3293</v>
      </c>
      <c r="E4492" t="str">
        <f t="shared" si="2134"/>
        <v>COM</v>
      </c>
      <c r="F4492" t="str">
        <f>"PAGMENOS - LJ 657 (10136)"</f>
        <v>PAGMENOS - LJ 657 (10136)</v>
      </c>
      <c r="G4492" t="str">
        <f>"Serv.Prest. 21/07/2025 a 27/07/2025 - RPS: 1060 - NFSe: 3293"</f>
        <v>Serv.Prest. 21/07/2025 a 27/07/2025 - RPS: 1060 - NFSe: 3293</v>
      </c>
      <c r="H4492" t="str">
        <f>("07/08/2025")</f>
        <v>07/08/2025</v>
      </c>
      <c r="I4492" t="str">
        <f>("28/07/2025")</f>
        <v>28/07/2025</v>
      </c>
      <c r="J4492" t="str">
        <f t="shared" si="2143"/>
        <v>12/08/2025</v>
      </c>
      <c r="K4492">
        <v>596.6</v>
      </c>
      <c r="L4492">
        <v>596.6</v>
      </c>
      <c r="M4492">
        <v>303</v>
      </c>
      <c r="N4492" t="str">
        <f>"RECEITAS COM ENTREGAS"</f>
        <v>RECEITAS COM ENTREGAS</v>
      </c>
      <c r="O4492">
        <v>596.6</v>
      </c>
      <c r="R4492" t="str">
        <f>"RECEITAS COM ENTREGAS (303)"</f>
        <v>RECEITAS COM ENTREGAS (303)</v>
      </c>
      <c r="S4492">
        <v>2333</v>
      </c>
      <c r="T4492">
        <v>1747</v>
      </c>
      <c r="U4492" t="s">
        <v>19</v>
      </c>
    </row>
    <row r="4493" spans="1:21">
      <c r="A4493" t="str">
        <f t="shared" si="2142"/>
        <v>12/08/2025</v>
      </c>
      <c r="B4493" t="str">
        <f t="shared" si="2144"/>
        <v>ENTRADA</v>
      </c>
      <c r="C4493" t="str">
        <f>"NFSE"</f>
        <v>NFSE</v>
      </c>
      <c r="D4493" t="str">
        <f>"3293"</f>
        <v>3293</v>
      </c>
      <c r="E4493" t="str">
        <f t="shared" si="2134"/>
        <v>COM</v>
      </c>
      <c r="F4493" t="str">
        <f>"PAGMENOS - LJ 657 (10136)"</f>
        <v>PAGMENOS - LJ 657 (10136)</v>
      </c>
      <c r="G4493" t="str">
        <f>"Serv.Prest. 21/07/2025 a 27/07/2025 - RPS: 1060 - NFSe: 3293"</f>
        <v>Serv.Prest. 21/07/2025 a 27/07/2025 - RPS: 1060 - NFSe: 3293</v>
      </c>
      <c r="H4493" t="str">
        <f>("07/08/2025")</f>
        <v>07/08/2025</v>
      </c>
      <c r="I4493" t="str">
        <f>("28/07/2025")</f>
        <v>28/07/2025</v>
      </c>
      <c r="J4493" t="str">
        <f t="shared" si="2143"/>
        <v>12/08/2025</v>
      </c>
      <c r="M4493">
        <v>303</v>
      </c>
      <c r="N4493" t="str">
        <f>"RECEITAS COM ENTREGAS"</f>
        <v>RECEITAS COM ENTREGAS</v>
      </c>
      <c r="P4493">
        <v>596.6</v>
      </c>
      <c r="Q4493" t="str">
        <f>"PAGMENOS - LJ 657 (10136)"</f>
        <v>PAGMENOS - LJ 657 (10136)</v>
      </c>
      <c r="R4493" t="str">
        <f>"RECEITAS COM ENTREGAS (303)"</f>
        <v>RECEITAS COM ENTREGAS (303)</v>
      </c>
      <c r="S4493">
        <v>2333</v>
      </c>
      <c r="T4493">
        <v>1747</v>
      </c>
      <c r="U4493" t="s">
        <v>19</v>
      </c>
    </row>
    <row r="4494" spans="1:21">
      <c r="A4494" t="str">
        <f t="shared" si="2142"/>
        <v>12/08/2025</v>
      </c>
      <c r="B4494" t="str">
        <f>"SAÍDA"</f>
        <v>SAÍDA</v>
      </c>
      <c r="C4494" t="str">
        <f>"PIX"</f>
        <v>PIX</v>
      </c>
      <c r="D4494" t="str">
        <f>"751540"</f>
        <v>751540</v>
      </c>
      <c r="E4494" t="str">
        <f t="shared" si="2134"/>
        <v>COM</v>
      </c>
      <c r="F4494" t="str">
        <f>"MONGERAL AEGON SEGUROS E PREVIDENCIA SA (20063)"</f>
        <v>MONGERAL AEGON SEGUROS E PREVIDENCIA SA (20063)</v>
      </c>
      <c r="G4494" t="str">
        <f>"SEGURO DE VIDA SOCIOS"</f>
        <v>SEGURO DE VIDA SOCIOS</v>
      </c>
      <c r="H4494" t="str">
        <f>("12/08/2025")</f>
        <v>12/08/2025</v>
      </c>
      <c r="I4494" t="str">
        <f>("05/02/2025")</f>
        <v>05/02/2025</v>
      </c>
      <c r="J4494" t="str">
        <f t="shared" si="2143"/>
        <v>12/08/2025</v>
      </c>
      <c r="K4494">
        <v>228.37</v>
      </c>
      <c r="L4494">
        <v>228.37</v>
      </c>
      <c r="M4494">
        <v>192</v>
      </c>
      <c r="N4494" t="str">
        <f>"PLANOS E SEGUROS"</f>
        <v>PLANOS E SEGUROS</v>
      </c>
      <c r="O4494">
        <v>228.37</v>
      </c>
      <c r="R4494" t="str">
        <f>"BANCO CORA (102)"</f>
        <v>BANCO CORA (102)</v>
      </c>
      <c r="S4494">
        <v>2345</v>
      </c>
      <c r="T4494">
        <v>831</v>
      </c>
      <c r="U4494" t="s">
        <v>19</v>
      </c>
    </row>
    <row r="4495" spans="1:21">
      <c r="A4495" t="str">
        <f t="shared" si="2142"/>
        <v>12/08/2025</v>
      </c>
      <c r="B4495" t="str">
        <f>"SAÍDA"</f>
        <v>SAÍDA</v>
      </c>
      <c r="C4495" t="str">
        <f>"PIX"</f>
        <v>PIX</v>
      </c>
      <c r="D4495" t="str">
        <f>"751540"</f>
        <v>751540</v>
      </c>
      <c r="E4495" t="str">
        <f t="shared" si="2134"/>
        <v>COM</v>
      </c>
      <c r="F4495" t="str">
        <f>"MONGERAL AEGON SEGUROS E PREVIDENCIA SA (20063)"</f>
        <v>MONGERAL AEGON SEGUROS E PREVIDENCIA SA (20063)</v>
      </c>
      <c r="G4495" t="str">
        <f>"SEGURO DE VIDA SOCIOS"</f>
        <v>SEGURO DE VIDA SOCIOS</v>
      </c>
      <c r="H4495" t="str">
        <f>("12/08/2025")</f>
        <v>12/08/2025</v>
      </c>
      <c r="I4495" t="str">
        <f>("05/02/2025")</f>
        <v>05/02/2025</v>
      </c>
      <c r="J4495" t="str">
        <f t="shared" si="2143"/>
        <v>12/08/2025</v>
      </c>
      <c r="M4495">
        <v>192</v>
      </c>
      <c r="N4495" t="str">
        <f>"PLANOS E SEGUROS"</f>
        <v>PLANOS E SEGUROS</v>
      </c>
      <c r="P4495">
        <v>228.37</v>
      </c>
      <c r="Q4495" t="str">
        <f>"MONGERAL AEGON SEGUROS E PREVIDENCIA SA (20063)"</f>
        <v>MONGERAL AEGON SEGUROS E PREVIDENCIA SA (20063)</v>
      </c>
      <c r="R4495" t="str">
        <f>"BANCO CORA (102)"</f>
        <v>BANCO CORA (102)</v>
      </c>
      <c r="S4495">
        <v>2345</v>
      </c>
      <c r="T4495">
        <v>831</v>
      </c>
      <c r="U4495" t="s">
        <v>19</v>
      </c>
    </row>
    <row r="4496" spans="1:21">
      <c r="A4496" t="str">
        <f t="shared" si="2142"/>
        <v>12/08/2025</v>
      </c>
      <c r="B4496" t="str">
        <f>"ENTRADA"</f>
        <v>ENTRADA</v>
      </c>
      <c r="C4496" t="str">
        <f>"BOLETO"</f>
        <v>BOLETO</v>
      </c>
      <c r="D4496" t="str">
        <f>"1208252000"</f>
        <v>1208252000</v>
      </c>
      <c r="E4496" t="str">
        <f t="shared" si="2134"/>
        <v>COM</v>
      </c>
      <c r="F4496" t="str">
        <f>"DROGARIA CONFIANCA LTDA (10097)"</f>
        <v>DROGARIA CONFIANCA LTDA (10097)</v>
      </c>
      <c r="G4496" t="str">
        <f>"RECEBIMENTO SETUP"</f>
        <v>RECEBIMENTO SETUP</v>
      </c>
      <c r="H4496" t="str">
        <f>("12/08/2025")</f>
        <v>12/08/2025</v>
      </c>
      <c r="I4496" t="str">
        <f>("12/08/2025")</f>
        <v>12/08/2025</v>
      </c>
      <c r="J4496" t="str">
        <f t="shared" si="2143"/>
        <v>12/08/2025</v>
      </c>
      <c r="K4496">
        <v>2000</v>
      </c>
      <c r="L4496">
        <v>2000</v>
      </c>
      <c r="M4496">
        <v>117</v>
      </c>
      <c r="N4496" t="str">
        <f>"RECEITAS COM SETUP"</f>
        <v>RECEITAS COM SETUP</v>
      </c>
      <c r="O4496">
        <v>2000</v>
      </c>
      <c r="R4496" t="str">
        <f>"RECEITAS COM SETUP (117)"</f>
        <v>RECEITAS COM SETUP (117)</v>
      </c>
      <c r="S4496">
        <v>2473</v>
      </c>
      <c r="T4496">
        <v>2000</v>
      </c>
      <c r="U4496" t="s">
        <v>19</v>
      </c>
    </row>
    <row r="4497" spans="1:21">
      <c r="A4497" t="str">
        <f t="shared" si="2142"/>
        <v>12/08/2025</v>
      </c>
      <c r="B4497" t="str">
        <f>"SAÍDA"</f>
        <v>SAÍDA</v>
      </c>
      <c r="C4497" t="str">
        <f>"BOLETO"</f>
        <v>BOLETO</v>
      </c>
      <c r="D4497" t="str">
        <f>"1208252000"</f>
        <v>1208252000</v>
      </c>
      <c r="E4497" t="str">
        <f t="shared" si="2134"/>
        <v>COM</v>
      </c>
      <c r="F4497" t="str">
        <f>"DROGARIA CONFIANCA LTDA (10097)"</f>
        <v>DROGARIA CONFIANCA LTDA (10097)</v>
      </c>
      <c r="G4497" t="str">
        <f>"RECEBIMENTO SETUP"</f>
        <v>RECEBIMENTO SETUP</v>
      </c>
      <c r="H4497" t="str">
        <f>("12/08/2025")</f>
        <v>12/08/2025</v>
      </c>
      <c r="I4497" t="str">
        <f>("12/08/2025")</f>
        <v>12/08/2025</v>
      </c>
      <c r="J4497" t="str">
        <f t="shared" si="2143"/>
        <v>12/08/2025</v>
      </c>
      <c r="M4497">
        <v>117</v>
      </c>
      <c r="N4497" t="str">
        <f>"RECEITAS COM SETUP"</f>
        <v>RECEITAS COM SETUP</v>
      </c>
      <c r="P4497">
        <v>2000</v>
      </c>
      <c r="Q4497" t="str">
        <f>"DROGARIA CONFIANCA LTDA (10097)"</f>
        <v>DROGARIA CONFIANCA LTDA (10097)</v>
      </c>
      <c r="R4497" t="str">
        <f>"RECEITAS COM SETUP (117)"</f>
        <v>RECEITAS COM SETUP (117)</v>
      </c>
      <c r="S4497">
        <v>2473</v>
      </c>
      <c r="T4497">
        <v>2000</v>
      </c>
      <c r="U4497" t="s">
        <v>19</v>
      </c>
    </row>
    <row r="4498" spans="1:21">
      <c r="A4498" t="str">
        <f t="shared" ref="A4498:A4529" si="2145">("13/08/2025")</f>
        <v>13/08/2025</v>
      </c>
      <c r="B4498" t="str">
        <f>"ENTRADA"</f>
        <v>ENTRADA</v>
      </c>
      <c r="C4498" t="str">
        <f t="shared" ref="C4498:C4529" si="2146">"NFSE"</f>
        <v>NFSE</v>
      </c>
      <c r="D4498" t="str">
        <f t="shared" ref="D4498:D4509" si="2147">"3322"</f>
        <v>3322</v>
      </c>
      <c r="E4498" t="str">
        <f t="shared" si="2134"/>
        <v>COM</v>
      </c>
      <c r="F4498" t="str">
        <f t="shared" ref="F4498:F4509" si="2148">"FARMÁCIA INDIANA LJ 30 (10127)"</f>
        <v>FARMÁCIA INDIANA LJ 30 (10127)</v>
      </c>
      <c r="G4498" t="str">
        <f t="shared" ref="G4498:G4509" si="2149">"Serv.Prest. 25/07/2025 a 03/08/2025 - RPS: 1088 - NFSe: 3322"</f>
        <v>Serv.Prest. 25/07/2025 a 03/08/2025 - RPS: 1088 - NFSe: 3322</v>
      </c>
      <c r="H4498" t="str">
        <f t="shared" ref="H4498:H4529" si="2150">("13/08/2025")</f>
        <v>13/08/2025</v>
      </c>
      <c r="I4498" t="str">
        <f t="shared" ref="I4498:I4509" si="2151">("04/08/2025")</f>
        <v>04/08/2025</v>
      </c>
      <c r="J4498" t="str">
        <f t="shared" ref="J4498:J4529" si="2152">("13/08/2025")</f>
        <v>13/08/2025</v>
      </c>
      <c r="K4498">
        <v>3365.23</v>
      </c>
      <c r="L4498">
        <v>3365.23</v>
      </c>
      <c r="M4498">
        <v>303</v>
      </c>
      <c r="N4498" t="str">
        <f t="shared" ref="N4498:N4529" si="2153">"RECEITAS COM ENTREGAS"</f>
        <v>RECEITAS COM ENTREGAS</v>
      </c>
      <c r="O4498">
        <v>3365.23</v>
      </c>
      <c r="R4498" t="str">
        <f t="shared" ref="R4498:R4529" si="2154">"RECEITAS COM ENTREGAS (303)"</f>
        <v>RECEITAS COM ENTREGAS (303)</v>
      </c>
      <c r="S4498">
        <v>2334</v>
      </c>
      <c r="T4498">
        <v>1776</v>
      </c>
      <c r="U4498" t="s">
        <v>19</v>
      </c>
    </row>
    <row r="4499" spans="1:21">
      <c r="A4499" t="str">
        <f t="shared" si="2145"/>
        <v>13/08/2025</v>
      </c>
      <c r="B4499" t="str">
        <f t="shared" ref="B4499:B4562" si="2155">"ENTRADA"</f>
        <v>ENTRADA</v>
      </c>
      <c r="C4499" t="str">
        <f t="shared" si="2146"/>
        <v>NFSE</v>
      </c>
      <c r="D4499" t="str">
        <f t="shared" si="2147"/>
        <v>3322</v>
      </c>
      <c r="E4499" t="str">
        <f t="shared" si="2134"/>
        <v>COM</v>
      </c>
      <c r="F4499" t="str">
        <f t="shared" si="2148"/>
        <v>FARMÁCIA INDIANA LJ 30 (10127)</v>
      </c>
      <c r="G4499" t="str">
        <f t="shared" si="2149"/>
        <v>Serv.Prest. 25/07/2025 a 03/08/2025 - RPS: 1088 - NFSe: 3322</v>
      </c>
      <c r="H4499" t="str">
        <f t="shared" si="2150"/>
        <v>13/08/2025</v>
      </c>
      <c r="I4499" t="str">
        <f t="shared" si="2151"/>
        <v>04/08/2025</v>
      </c>
      <c r="J4499" t="str">
        <f t="shared" si="2152"/>
        <v>13/08/2025</v>
      </c>
      <c r="M4499">
        <v>303</v>
      </c>
      <c r="N4499" t="str">
        <f t="shared" si="2153"/>
        <v>RECEITAS COM ENTREGAS</v>
      </c>
      <c r="P4499">
        <v>398.79</v>
      </c>
      <c r="Q4499" t="str">
        <f>"FARMÁCIA INDIANA LJ 34 (10014)"</f>
        <v>FARMÁCIA INDIANA LJ 34 (10014)</v>
      </c>
      <c r="R4499" t="str">
        <f t="shared" si="2154"/>
        <v>RECEITAS COM ENTREGAS (303)</v>
      </c>
      <c r="S4499">
        <v>2334</v>
      </c>
      <c r="T4499">
        <v>1776</v>
      </c>
      <c r="U4499" t="s">
        <v>19</v>
      </c>
    </row>
    <row r="4500" spans="1:21">
      <c r="A4500" t="str">
        <f t="shared" si="2145"/>
        <v>13/08/2025</v>
      </c>
      <c r="B4500" t="str">
        <f t="shared" si="2155"/>
        <v>ENTRADA</v>
      </c>
      <c r="C4500" t="str">
        <f t="shared" si="2146"/>
        <v>NFSE</v>
      </c>
      <c r="D4500" t="str">
        <f t="shared" si="2147"/>
        <v>3322</v>
      </c>
      <c r="E4500" t="str">
        <f t="shared" si="2134"/>
        <v>COM</v>
      </c>
      <c r="F4500" t="str">
        <f t="shared" si="2148"/>
        <v>FARMÁCIA INDIANA LJ 30 (10127)</v>
      </c>
      <c r="G4500" t="str">
        <f t="shared" si="2149"/>
        <v>Serv.Prest. 25/07/2025 a 03/08/2025 - RPS: 1088 - NFSe: 3322</v>
      </c>
      <c r="H4500" t="str">
        <f t="shared" si="2150"/>
        <v>13/08/2025</v>
      </c>
      <c r="I4500" t="str">
        <f t="shared" si="2151"/>
        <v>04/08/2025</v>
      </c>
      <c r="J4500" t="str">
        <f t="shared" si="2152"/>
        <v>13/08/2025</v>
      </c>
      <c r="M4500">
        <v>303</v>
      </c>
      <c r="N4500" t="str">
        <f t="shared" si="2153"/>
        <v>RECEITAS COM ENTREGAS</v>
      </c>
      <c r="P4500">
        <v>256.08999999999997</v>
      </c>
      <c r="Q4500" t="str">
        <f>"FARMÁCIA INDIANA LJ 35 (10015)"</f>
        <v>FARMÁCIA INDIANA LJ 35 (10015)</v>
      </c>
      <c r="R4500" t="str">
        <f t="shared" si="2154"/>
        <v>RECEITAS COM ENTREGAS (303)</v>
      </c>
      <c r="S4500">
        <v>2334</v>
      </c>
      <c r="T4500">
        <v>1776</v>
      </c>
      <c r="U4500" t="s">
        <v>19</v>
      </c>
    </row>
    <row r="4501" spans="1:21">
      <c r="A4501" t="str">
        <f t="shared" si="2145"/>
        <v>13/08/2025</v>
      </c>
      <c r="B4501" t="str">
        <f t="shared" si="2155"/>
        <v>ENTRADA</v>
      </c>
      <c r="C4501" t="str">
        <f t="shared" si="2146"/>
        <v>NFSE</v>
      </c>
      <c r="D4501" t="str">
        <f t="shared" si="2147"/>
        <v>3322</v>
      </c>
      <c r="E4501" t="str">
        <f t="shared" si="2134"/>
        <v>COM</v>
      </c>
      <c r="F4501" t="str">
        <f t="shared" si="2148"/>
        <v>FARMÁCIA INDIANA LJ 30 (10127)</v>
      </c>
      <c r="G4501" t="str">
        <f t="shared" si="2149"/>
        <v>Serv.Prest. 25/07/2025 a 03/08/2025 - RPS: 1088 - NFSe: 3322</v>
      </c>
      <c r="H4501" t="str">
        <f t="shared" si="2150"/>
        <v>13/08/2025</v>
      </c>
      <c r="I4501" t="str">
        <f t="shared" si="2151"/>
        <v>04/08/2025</v>
      </c>
      <c r="J4501" t="str">
        <f t="shared" si="2152"/>
        <v>13/08/2025</v>
      </c>
      <c r="M4501">
        <v>303</v>
      </c>
      <c r="N4501" t="str">
        <f t="shared" si="2153"/>
        <v>RECEITAS COM ENTREGAS</v>
      </c>
      <c r="P4501">
        <v>394.4</v>
      </c>
      <c r="Q4501" t="str">
        <f>"FARMÁCIA INDIANA LJ 48 (10018)"</f>
        <v>FARMÁCIA INDIANA LJ 48 (10018)</v>
      </c>
      <c r="R4501" t="str">
        <f t="shared" si="2154"/>
        <v>RECEITAS COM ENTREGAS (303)</v>
      </c>
      <c r="S4501">
        <v>2334</v>
      </c>
      <c r="T4501">
        <v>1776</v>
      </c>
      <c r="U4501" t="s">
        <v>19</v>
      </c>
    </row>
    <row r="4502" spans="1:21">
      <c r="A4502" t="str">
        <f t="shared" si="2145"/>
        <v>13/08/2025</v>
      </c>
      <c r="B4502" t="str">
        <f t="shared" si="2155"/>
        <v>ENTRADA</v>
      </c>
      <c r="C4502" t="str">
        <f t="shared" si="2146"/>
        <v>NFSE</v>
      </c>
      <c r="D4502" t="str">
        <f t="shared" si="2147"/>
        <v>3322</v>
      </c>
      <c r="E4502" t="str">
        <f t="shared" si="2134"/>
        <v>COM</v>
      </c>
      <c r="F4502" t="str">
        <f t="shared" si="2148"/>
        <v>FARMÁCIA INDIANA LJ 30 (10127)</v>
      </c>
      <c r="G4502" t="str">
        <f t="shared" si="2149"/>
        <v>Serv.Prest. 25/07/2025 a 03/08/2025 - RPS: 1088 - NFSe: 3322</v>
      </c>
      <c r="H4502" t="str">
        <f t="shared" si="2150"/>
        <v>13/08/2025</v>
      </c>
      <c r="I4502" t="str">
        <f t="shared" si="2151"/>
        <v>04/08/2025</v>
      </c>
      <c r="J4502" t="str">
        <f t="shared" si="2152"/>
        <v>13/08/2025</v>
      </c>
      <c r="M4502">
        <v>303</v>
      </c>
      <c r="N4502" t="str">
        <f t="shared" si="2153"/>
        <v>RECEITAS COM ENTREGAS</v>
      </c>
      <c r="P4502">
        <v>418.63</v>
      </c>
      <c r="Q4502" t="str">
        <f>"FARMÁCIA INDIANA LJ 65 (10030)"</f>
        <v>FARMÁCIA INDIANA LJ 65 (10030)</v>
      </c>
      <c r="R4502" t="str">
        <f t="shared" si="2154"/>
        <v>RECEITAS COM ENTREGAS (303)</v>
      </c>
      <c r="S4502">
        <v>2334</v>
      </c>
      <c r="T4502">
        <v>1776</v>
      </c>
      <c r="U4502" t="s">
        <v>19</v>
      </c>
    </row>
    <row r="4503" spans="1:21">
      <c r="A4503" t="str">
        <f t="shared" si="2145"/>
        <v>13/08/2025</v>
      </c>
      <c r="B4503" t="str">
        <f t="shared" si="2155"/>
        <v>ENTRADA</v>
      </c>
      <c r="C4503" t="str">
        <f t="shared" si="2146"/>
        <v>NFSE</v>
      </c>
      <c r="D4503" t="str">
        <f t="shared" si="2147"/>
        <v>3322</v>
      </c>
      <c r="E4503" t="str">
        <f t="shared" si="2134"/>
        <v>COM</v>
      </c>
      <c r="F4503" t="str">
        <f t="shared" si="2148"/>
        <v>FARMÁCIA INDIANA LJ 30 (10127)</v>
      </c>
      <c r="G4503" t="str">
        <f t="shared" si="2149"/>
        <v>Serv.Prest. 25/07/2025 a 03/08/2025 - RPS: 1088 - NFSe: 3322</v>
      </c>
      <c r="H4503" t="str">
        <f t="shared" si="2150"/>
        <v>13/08/2025</v>
      </c>
      <c r="I4503" t="str">
        <f t="shared" si="2151"/>
        <v>04/08/2025</v>
      </c>
      <c r="J4503" t="str">
        <f t="shared" si="2152"/>
        <v>13/08/2025</v>
      </c>
      <c r="M4503">
        <v>303</v>
      </c>
      <c r="N4503" t="str">
        <f t="shared" si="2153"/>
        <v>RECEITAS COM ENTREGAS</v>
      </c>
      <c r="P4503">
        <v>136.96</v>
      </c>
      <c r="Q4503" t="str">
        <f>"FARMÁCIA INDIANA LJ 77 (10034)"</f>
        <v>FARMÁCIA INDIANA LJ 77 (10034)</v>
      </c>
      <c r="R4503" t="str">
        <f t="shared" si="2154"/>
        <v>RECEITAS COM ENTREGAS (303)</v>
      </c>
      <c r="S4503">
        <v>2334</v>
      </c>
      <c r="T4503">
        <v>1776</v>
      </c>
      <c r="U4503" t="s">
        <v>19</v>
      </c>
    </row>
    <row r="4504" spans="1:21">
      <c r="A4504" t="str">
        <f t="shared" si="2145"/>
        <v>13/08/2025</v>
      </c>
      <c r="B4504" t="str">
        <f t="shared" si="2155"/>
        <v>ENTRADA</v>
      </c>
      <c r="C4504" t="str">
        <f t="shared" si="2146"/>
        <v>NFSE</v>
      </c>
      <c r="D4504" t="str">
        <f t="shared" si="2147"/>
        <v>3322</v>
      </c>
      <c r="E4504" t="str">
        <f t="shared" si="2134"/>
        <v>COM</v>
      </c>
      <c r="F4504" t="str">
        <f t="shared" si="2148"/>
        <v>FARMÁCIA INDIANA LJ 30 (10127)</v>
      </c>
      <c r="G4504" t="str">
        <f t="shared" si="2149"/>
        <v>Serv.Prest. 25/07/2025 a 03/08/2025 - RPS: 1088 - NFSe: 3322</v>
      </c>
      <c r="H4504" t="str">
        <f t="shared" si="2150"/>
        <v>13/08/2025</v>
      </c>
      <c r="I4504" t="str">
        <f t="shared" si="2151"/>
        <v>04/08/2025</v>
      </c>
      <c r="J4504" t="str">
        <f t="shared" si="2152"/>
        <v>13/08/2025</v>
      </c>
      <c r="M4504">
        <v>303</v>
      </c>
      <c r="N4504" t="str">
        <f t="shared" si="2153"/>
        <v>RECEITAS COM ENTREGAS</v>
      </c>
      <c r="P4504">
        <v>440.85</v>
      </c>
      <c r="Q4504" t="str">
        <f>"FARMÁCIA INDIANA LJ 91 (10037)"</f>
        <v>FARMÁCIA INDIANA LJ 91 (10037)</v>
      </c>
      <c r="R4504" t="str">
        <f t="shared" si="2154"/>
        <v>RECEITAS COM ENTREGAS (303)</v>
      </c>
      <c r="S4504">
        <v>2334</v>
      </c>
      <c r="T4504">
        <v>1776</v>
      </c>
      <c r="U4504" t="s">
        <v>19</v>
      </c>
    </row>
    <row r="4505" spans="1:21">
      <c r="A4505" t="str">
        <f t="shared" si="2145"/>
        <v>13/08/2025</v>
      </c>
      <c r="B4505" t="str">
        <f t="shared" si="2155"/>
        <v>ENTRADA</v>
      </c>
      <c r="C4505" t="str">
        <f t="shared" si="2146"/>
        <v>NFSE</v>
      </c>
      <c r="D4505" t="str">
        <f t="shared" si="2147"/>
        <v>3322</v>
      </c>
      <c r="E4505" t="str">
        <f t="shared" si="2134"/>
        <v>COM</v>
      </c>
      <c r="F4505" t="str">
        <f t="shared" si="2148"/>
        <v>FARMÁCIA INDIANA LJ 30 (10127)</v>
      </c>
      <c r="G4505" t="str">
        <f t="shared" si="2149"/>
        <v>Serv.Prest. 25/07/2025 a 03/08/2025 - RPS: 1088 - NFSe: 3322</v>
      </c>
      <c r="H4505" t="str">
        <f t="shared" si="2150"/>
        <v>13/08/2025</v>
      </c>
      <c r="I4505" t="str">
        <f t="shared" si="2151"/>
        <v>04/08/2025</v>
      </c>
      <c r="J4505" t="str">
        <f t="shared" si="2152"/>
        <v>13/08/2025</v>
      </c>
      <c r="M4505">
        <v>303</v>
      </c>
      <c r="N4505" t="str">
        <f t="shared" si="2153"/>
        <v>RECEITAS COM ENTREGAS</v>
      </c>
      <c r="P4505">
        <v>492.33</v>
      </c>
      <c r="Q4505" t="str">
        <f>"FARMÁCIA INDIANA LJ 95 (10039)"</f>
        <v>FARMÁCIA INDIANA LJ 95 (10039)</v>
      </c>
      <c r="R4505" t="str">
        <f t="shared" si="2154"/>
        <v>RECEITAS COM ENTREGAS (303)</v>
      </c>
      <c r="S4505">
        <v>2334</v>
      </c>
      <c r="T4505">
        <v>1776</v>
      </c>
      <c r="U4505" t="s">
        <v>19</v>
      </c>
    </row>
    <row r="4506" spans="1:21">
      <c r="A4506" t="str">
        <f t="shared" si="2145"/>
        <v>13/08/2025</v>
      </c>
      <c r="B4506" t="str">
        <f t="shared" si="2155"/>
        <v>ENTRADA</v>
      </c>
      <c r="C4506" t="str">
        <f t="shared" si="2146"/>
        <v>NFSE</v>
      </c>
      <c r="D4506" t="str">
        <f t="shared" si="2147"/>
        <v>3322</v>
      </c>
      <c r="E4506" t="str">
        <f t="shared" si="2134"/>
        <v>COM</v>
      </c>
      <c r="F4506" t="str">
        <f t="shared" si="2148"/>
        <v>FARMÁCIA INDIANA LJ 30 (10127)</v>
      </c>
      <c r="G4506" t="str">
        <f t="shared" si="2149"/>
        <v>Serv.Prest. 25/07/2025 a 03/08/2025 - RPS: 1088 - NFSe: 3322</v>
      </c>
      <c r="H4506" t="str">
        <f t="shared" si="2150"/>
        <v>13/08/2025</v>
      </c>
      <c r="I4506" t="str">
        <f t="shared" si="2151"/>
        <v>04/08/2025</v>
      </c>
      <c r="J4506" t="str">
        <f t="shared" si="2152"/>
        <v>13/08/2025</v>
      </c>
      <c r="M4506">
        <v>303</v>
      </c>
      <c r="N4506" t="str">
        <f t="shared" si="2153"/>
        <v>RECEITAS COM ENTREGAS</v>
      </c>
      <c r="P4506">
        <v>280.66000000000003</v>
      </c>
      <c r="Q4506" t="str">
        <f>"FARMÁCIA INDIANA LJ 145 (10068)"</f>
        <v>FARMÁCIA INDIANA LJ 145 (10068)</v>
      </c>
      <c r="R4506" t="str">
        <f t="shared" si="2154"/>
        <v>RECEITAS COM ENTREGAS (303)</v>
      </c>
      <c r="S4506">
        <v>2334</v>
      </c>
      <c r="T4506">
        <v>1776</v>
      </c>
      <c r="U4506" t="s">
        <v>19</v>
      </c>
    </row>
    <row r="4507" spans="1:21">
      <c r="A4507" t="str">
        <f t="shared" si="2145"/>
        <v>13/08/2025</v>
      </c>
      <c r="B4507" t="str">
        <f t="shared" si="2155"/>
        <v>ENTRADA</v>
      </c>
      <c r="C4507" t="str">
        <f t="shared" si="2146"/>
        <v>NFSE</v>
      </c>
      <c r="D4507" t="str">
        <f t="shared" si="2147"/>
        <v>3322</v>
      </c>
      <c r="E4507" t="str">
        <f t="shared" si="2134"/>
        <v>COM</v>
      </c>
      <c r="F4507" t="str">
        <f t="shared" si="2148"/>
        <v>FARMÁCIA INDIANA LJ 30 (10127)</v>
      </c>
      <c r="G4507" t="str">
        <f t="shared" si="2149"/>
        <v>Serv.Prest. 25/07/2025 a 03/08/2025 - RPS: 1088 - NFSe: 3322</v>
      </c>
      <c r="H4507" t="str">
        <f t="shared" si="2150"/>
        <v>13/08/2025</v>
      </c>
      <c r="I4507" t="str">
        <f t="shared" si="2151"/>
        <v>04/08/2025</v>
      </c>
      <c r="J4507" t="str">
        <f t="shared" si="2152"/>
        <v>13/08/2025</v>
      </c>
      <c r="M4507">
        <v>303</v>
      </c>
      <c r="N4507" t="str">
        <f t="shared" si="2153"/>
        <v>RECEITAS COM ENTREGAS</v>
      </c>
      <c r="P4507">
        <v>153.79</v>
      </c>
      <c r="Q4507" t="str">
        <f>"FARMÁCIA INDIANA LJ 169 (10073)"</f>
        <v>FARMÁCIA INDIANA LJ 169 (10073)</v>
      </c>
      <c r="R4507" t="str">
        <f t="shared" si="2154"/>
        <v>RECEITAS COM ENTREGAS (303)</v>
      </c>
      <c r="S4507">
        <v>2334</v>
      </c>
      <c r="T4507">
        <v>1776</v>
      </c>
      <c r="U4507" t="s">
        <v>19</v>
      </c>
    </row>
    <row r="4508" spans="1:21">
      <c r="A4508" t="str">
        <f t="shared" si="2145"/>
        <v>13/08/2025</v>
      </c>
      <c r="B4508" t="str">
        <f t="shared" si="2155"/>
        <v>ENTRADA</v>
      </c>
      <c r="C4508" t="str">
        <f t="shared" si="2146"/>
        <v>NFSE</v>
      </c>
      <c r="D4508" t="str">
        <f t="shared" si="2147"/>
        <v>3322</v>
      </c>
      <c r="E4508" t="str">
        <f t="shared" si="2134"/>
        <v>COM</v>
      </c>
      <c r="F4508" t="str">
        <f t="shared" si="2148"/>
        <v>FARMÁCIA INDIANA LJ 30 (10127)</v>
      </c>
      <c r="G4508" t="str">
        <f t="shared" si="2149"/>
        <v>Serv.Prest. 25/07/2025 a 03/08/2025 - RPS: 1088 - NFSe: 3322</v>
      </c>
      <c r="H4508" t="str">
        <f t="shared" si="2150"/>
        <v>13/08/2025</v>
      </c>
      <c r="I4508" t="str">
        <f t="shared" si="2151"/>
        <v>04/08/2025</v>
      </c>
      <c r="J4508" t="str">
        <f t="shared" si="2152"/>
        <v>13/08/2025</v>
      </c>
      <c r="M4508">
        <v>303</v>
      </c>
      <c r="N4508" t="str">
        <f t="shared" si="2153"/>
        <v>RECEITAS COM ENTREGAS</v>
      </c>
      <c r="P4508">
        <v>209.32</v>
      </c>
      <c r="Q4508" t="str">
        <f>"FARMÁCIA INDIANA LJ 173 (10075)"</f>
        <v>FARMÁCIA INDIANA LJ 173 (10075)</v>
      </c>
      <c r="R4508" t="str">
        <f t="shared" si="2154"/>
        <v>RECEITAS COM ENTREGAS (303)</v>
      </c>
      <c r="S4508">
        <v>2334</v>
      </c>
      <c r="T4508">
        <v>1776</v>
      </c>
      <c r="U4508" t="s">
        <v>19</v>
      </c>
    </row>
    <row r="4509" spans="1:21">
      <c r="A4509" t="str">
        <f t="shared" si="2145"/>
        <v>13/08/2025</v>
      </c>
      <c r="B4509" t="str">
        <f t="shared" si="2155"/>
        <v>ENTRADA</v>
      </c>
      <c r="C4509" t="str">
        <f t="shared" si="2146"/>
        <v>NFSE</v>
      </c>
      <c r="D4509" t="str">
        <f t="shared" si="2147"/>
        <v>3322</v>
      </c>
      <c r="E4509" t="str">
        <f t="shared" si="2134"/>
        <v>COM</v>
      </c>
      <c r="F4509" t="str">
        <f t="shared" si="2148"/>
        <v>FARMÁCIA INDIANA LJ 30 (10127)</v>
      </c>
      <c r="G4509" t="str">
        <f t="shared" si="2149"/>
        <v>Serv.Prest. 25/07/2025 a 03/08/2025 - RPS: 1088 - NFSe: 3322</v>
      </c>
      <c r="H4509" t="str">
        <f t="shared" si="2150"/>
        <v>13/08/2025</v>
      </c>
      <c r="I4509" t="str">
        <f t="shared" si="2151"/>
        <v>04/08/2025</v>
      </c>
      <c r="J4509" t="str">
        <f t="shared" si="2152"/>
        <v>13/08/2025</v>
      </c>
      <c r="M4509">
        <v>303</v>
      </c>
      <c r="N4509" t="str">
        <f t="shared" si="2153"/>
        <v>RECEITAS COM ENTREGAS</v>
      </c>
      <c r="P4509">
        <v>183.41</v>
      </c>
      <c r="Q4509" t="str">
        <f>"FARMÁCIA INDIANA LJ 200 (10155)"</f>
        <v>FARMÁCIA INDIANA LJ 200 (10155)</v>
      </c>
      <c r="R4509" t="str">
        <f t="shared" si="2154"/>
        <v>RECEITAS COM ENTREGAS (303)</v>
      </c>
      <c r="S4509">
        <v>2334</v>
      </c>
      <c r="T4509">
        <v>1776</v>
      </c>
      <c r="U4509" t="s">
        <v>19</v>
      </c>
    </row>
    <row r="4510" spans="1:21">
      <c r="A4510" t="str">
        <f t="shared" si="2145"/>
        <v>13/08/2025</v>
      </c>
      <c r="B4510" t="str">
        <f t="shared" si="2155"/>
        <v>ENTRADA</v>
      </c>
      <c r="C4510" t="str">
        <f t="shared" si="2146"/>
        <v>NFSE</v>
      </c>
      <c r="D4510" t="str">
        <f t="shared" ref="D4510:D4556" si="2156">"3323"</f>
        <v>3323</v>
      </c>
      <c r="E4510" t="str">
        <f t="shared" si="2134"/>
        <v>COM</v>
      </c>
      <c r="F4510" t="str">
        <f t="shared" ref="F4510:F4556" si="2157">"FARMÁCIA INDIANA LJ 1 (10126)"</f>
        <v>FARMÁCIA INDIANA LJ 1 (10126)</v>
      </c>
      <c r="G4510" t="str">
        <f t="shared" ref="G4510:G4556" si="2158">"Serv.Prest. 25/07/2025 a 03/08/2025 - RPS: 1089 - NFSe: 3323"</f>
        <v>Serv.Prest. 25/07/2025 a 03/08/2025 - RPS: 1089 - NFSe: 3323</v>
      </c>
      <c r="H4510" t="str">
        <f t="shared" si="2150"/>
        <v>13/08/2025</v>
      </c>
      <c r="I4510" t="str">
        <f t="shared" ref="I4510:I4541" si="2159">("05/08/2025")</f>
        <v>05/08/2025</v>
      </c>
      <c r="J4510" t="str">
        <f t="shared" si="2152"/>
        <v>13/08/2025</v>
      </c>
      <c r="K4510">
        <v>17438.990000000002</v>
      </c>
      <c r="L4510">
        <v>17438.990000000002</v>
      </c>
      <c r="M4510">
        <v>303</v>
      </c>
      <c r="N4510" t="str">
        <f t="shared" si="2153"/>
        <v>RECEITAS COM ENTREGAS</v>
      </c>
      <c r="O4510">
        <v>17438.990000000002</v>
      </c>
      <c r="R4510" t="str">
        <f t="shared" si="2154"/>
        <v>RECEITAS COM ENTREGAS (303)</v>
      </c>
      <c r="S4510">
        <v>2335</v>
      </c>
      <c r="T4510">
        <v>1777</v>
      </c>
      <c r="U4510" t="s">
        <v>19</v>
      </c>
    </row>
    <row r="4511" spans="1:21">
      <c r="A4511" t="str">
        <f t="shared" si="2145"/>
        <v>13/08/2025</v>
      </c>
      <c r="B4511" t="str">
        <f t="shared" si="2155"/>
        <v>ENTRADA</v>
      </c>
      <c r="C4511" t="str">
        <f t="shared" si="2146"/>
        <v>NFSE</v>
      </c>
      <c r="D4511" t="str">
        <f t="shared" si="2156"/>
        <v>3323</v>
      </c>
      <c r="E4511" t="str">
        <f t="shared" si="2134"/>
        <v>COM</v>
      </c>
      <c r="F4511" t="str">
        <f t="shared" si="2157"/>
        <v>FARMÁCIA INDIANA LJ 1 (10126)</v>
      </c>
      <c r="G4511" t="str">
        <f t="shared" si="2158"/>
        <v>Serv.Prest. 25/07/2025 a 03/08/2025 - RPS: 1089 - NFSe: 3323</v>
      </c>
      <c r="H4511" t="str">
        <f t="shared" si="2150"/>
        <v>13/08/2025</v>
      </c>
      <c r="I4511" t="str">
        <f t="shared" si="2159"/>
        <v>05/08/2025</v>
      </c>
      <c r="J4511" t="str">
        <f t="shared" si="2152"/>
        <v>13/08/2025</v>
      </c>
      <c r="M4511">
        <v>303</v>
      </c>
      <c r="N4511" t="str">
        <f t="shared" si="2153"/>
        <v>RECEITAS COM ENTREGAS</v>
      </c>
      <c r="P4511">
        <v>2570.4899999999998</v>
      </c>
      <c r="Q4511" t="str">
        <f>"FARMÁCIA INDIANA LJ 06 (10006)"</f>
        <v>FARMÁCIA INDIANA LJ 06 (10006)</v>
      </c>
      <c r="R4511" t="str">
        <f t="shared" si="2154"/>
        <v>RECEITAS COM ENTREGAS (303)</v>
      </c>
      <c r="S4511">
        <v>2335</v>
      </c>
      <c r="T4511">
        <v>1777</v>
      </c>
      <c r="U4511" t="s">
        <v>19</v>
      </c>
    </row>
    <row r="4512" spans="1:21">
      <c r="A4512" t="str">
        <f t="shared" si="2145"/>
        <v>13/08/2025</v>
      </c>
      <c r="B4512" t="str">
        <f t="shared" si="2155"/>
        <v>ENTRADA</v>
      </c>
      <c r="C4512" t="str">
        <f t="shared" si="2146"/>
        <v>NFSE</v>
      </c>
      <c r="D4512" t="str">
        <f t="shared" si="2156"/>
        <v>3323</v>
      </c>
      <c r="E4512" t="str">
        <f t="shared" si="2134"/>
        <v>COM</v>
      </c>
      <c r="F4512" t="str">
        <f t="shared" si="2157"/>
        <v>FARMÁCIA INDIANA LJ 1 (10126)</v>
      </c>
      <c r="G4512" t="str">
        <f t="shared" si="2158"/>
        <v>Serv.Prest. 25/07/2025 a 03/08/2025 - RPS: 1089 - NFSe: 3323</v>
      </c>
      <c r="H4512" t="str">
        <f t="shared" si="2150"/>
        <v>13/08/2025</v>
      </c>
      <c r="I4512" t="str">
        <f t="shared" si="2159"/>
        <v>05/08/2025</v>
      </c>
      <c r="J4512" t="str">
        <f t="shared" si="2152"/>
        <v>13/08/2025</v>
      </c>
      <c r="M4512">
        <v>303</v>
      </c>
      <c r="N4512" t="str">
        <f t="shared" si="2153"/>
        <v>RECEITAS COM ENTREGAS</v>
      </c>
      <c r="P4512">
        <v>2059.54</v>
      </c>
      <c r="Q4512" t="str">
        <f>"FARMÁCIA INDIANA LJ 07 (10007)"</f>
        <v>FARMÁCIA INDIANA LJ 07 (10007)</v>
      </c>
      <c r="R4512" t="str">
        <f t="shared" si="2154"/>
        <v>RECEITAS COM ENTREGAS (303)</v>
      </c>
      <c r="S4512">
        <v>2335</v>
      </c>
      <c r="T4512">
        <v>1777</v>
      </c>
      <c r="U4512" t="s">
        <v>19</v>
      </c>
    </row>
    <row r="4513" spans="1:21">
      <c r="A4513" t="str">
        <f t="shared" si="2145"/>
        <v>13/08/2025</v>
      </c>
      <c r="B4513" t="str">
        <f t="shared" si="2155"/>
        <v>ENTRADA</v>
      </c>
      <c r="C4513" t="str">
        <f t="shared" si="2146"/>
        <v>NFSE</v>
      </c>
      <c r="D4513" t="str">
        <f t="shared" si="2156"/>
        <v>3323</v>
      </c>
      <c r="E4513" t="str">
        <f t="shared" si="2134"/>
        <v>COM</v>
      </c>
      <c r="F4513" t="str">
        <f t="shared" si="2157"/>
        <v>FARMÁCIA INDIANA LJ 1 (10126)</v>
      </c>
      <c r="G4513" t="str">
        <f t="shared" si="2158"/>
        <v>Serv.Prest. 25/07/2025 a 03/08/2025 - RPS: 1089 - NFSe: 3323</v>
      </c>
      <c r="H4513" t="str">
        <f t="shared" si="2150"/>
        <v>13/08/2025</v>
      </c>
      <c r="I4513" t="str">
        <f t="shared" si="2159"/>
        <v>05/08/2025</v>
      </c>
      <c r="J4513" t="str">
        <f t="shared" si="2152"/>
        <v>13/08/2025</v>
      </c>
      <c r="M4513">
        <v>303</v>
      </c>
      <c r="N4513" t="str">
        <f t="shared" si="2153"/>
        <v>RECEITAS COM ENTREGAS</v>
      </c>
      <c r="P4513">
        <v>1276.53</v>
      </c>
      <c r="Q4513" t="str">
        <f>"FARMÁCIA INDIANA LJ 11 (10008)"</f>
        <v>FARMÁCIA INDIANA LJ 11 (10008)</v>
      </c>
      <c r="R4513" t="str">
        <f t="shared" si="2154"/>
        <v>RECEITAS COM ENTREGAS (303)</v>
      </c>
      <c r="S4513">
        <v>2335</v>
      </c>
      <c r="T4513">
        <v>1777</v>
      </c>
      <c r="U4513" t="s">
        <v>19</v>
      </c>
    </row>
    <row r="4514" spans="1:21">
      <c r="A4514" t="str">
        <f t="shared" si="2145"/>
        <v>13/08/2025</v>
      </c>
      <c r="B4514" t="str">
        <f t="shared" si="2155"/>
        <v>ENTRADA</v>
      </c>
      <c r="C4514" t="str">
        <f t="shared" si="2146"/>
        <v>NFSE</v>
      </c>
      <c r="D4514" t="str">
        <f t="shared" si="2156"/>
        <v>3323</v>
      </c>
      <c r="E4514" t="str">
        <f t="shared" si="2134"/>
        <v>COM</v>
      </c>
      <c r="F4514" t="str">
        <f t="shared" si="2157"/>
        <v>FARMÁCIA INDIANA LJ 1 (10126)</v>
      </c>
      <c r="G4514" t="str">
        <f t="shared" si="2158"/>
        <v>Serv.Prest. 25/07/2025 a 03/08/2025 - RPS: 1089 - NFSe: 3323</v>
      </c>
      <c r="H4514" t="str">
        <f t="shared" si="2150"/>
        <v>13/08/2025</v>
      </c>
      <c r="I4514" t="str">
        <f t="shared" si="2159"/>
        <v>05/08/2025</v>
      </c>
      <c r="J4514" t="str">
        <f t="shared" si="2152"/>
        <v>13/08/2025</v>
      </c>
      <c r="M4514">
        <v>303</v>
      </c>
      <c r="N4514" t="str">
        <f t="shared" si="2153"/>
        <v>RECEITAS COM ENTREGAS</v>
      </c>
      <c r="P4514">
        <v>535.38</v>
      </c>
      <c r="Q4514" t="str">
        <f>"FARMÁCIA INDIANA LJ 14 (10009)"</f>
        <v>FARMÁCIA INDIANA LJ 14 (10009)</v>
      </c>
      <c r="R4514" t="str">
        <f t="shared" si="2154"/>
        <v>RECEITAS COM ENTREGAS (303)</v>
      </c>
      <c r="S4514">
        <v>2335</v>
      </c>
      <c r="T4514">
        <v>1777</v>
      </c>
      <c r="U4514" t="s">
        <v>19</v>
      </c>
    </row>
    <row r="4515" spans="1:21">
      <c r="A4515" t="str">
        <f t="shared" si="2145"/>
        <v>13/08/2025</v>
      </c>
      <c r="B4515" t="str">
        <f t="shared" si="2155"/>
        <v>ENTRADA</v>
      </c>
      <c r="C4515" t="str">
        <f t="shared" si="2146"/>
        <v>NFSE</v>
      </c>
      <c r="D4515" t="str">
        <f t="shared" si="2156"/>
        <v>3323</v>
      </c>
      <c r="E4515" t="str">
        <f t="shared" si="2134"/>
        <v>COM</v>
      </c>
      <c r="F4515" t="str">
        <f t="shared" si="2157"/>
        <v>FARMÁCIA INDIANA LJ 1 (10126)</v>
      </c>
      <c r="G4515" t="str">
        <f t="shared" si="2158"/>
        <v>Serv.Prest. 25/07/2025 a 03/08/2025 - RPS: 1089 - NFSe: 3323</v>
      </c>
      <c r="H4515" t="str">
        <f t="shared" si="2150"/>
        <v>13/08/2025</v>
      </c>
      <c r="I4515" t="str">
        <f t="shared" si="2159"/>
        <v>05/08/2025</v>
      </c>
      <c r="J4515" t="str">
        <f t="shared" si="2152"/>
        <v>13/08/2025</v>
      </c>
      <c r="M4515">
        <v>303</v>
      </c>
      <c r="N4515" t="str">
        <f t="shared" si="2153"/>
        <v>RECEITAS COM ENTREGAS</v>
      </c>
      <c r="P4515">
        <v>458.65</v>
      </c>
      <c r="Q4515" t="str">
        <f>"FARMÁCIA INDIANA LJ 18 (10011)"</f>
        <v>FARMÁCIA INDIANA LJ 18 (10011)</v>
      </c>
      <c r="R4515" t="str">
        <f t="shared" si="2154"/>
        <v>RECEITAS COM ENTREGAS (303)</v>
      </c>
      <c r="S4515">
        <v>2335</v>
      </c>
      <c r="T4515">
        <v>1777</v>
      </c>
      <c r="U4515" t="s">
        <v>19</v>
      </c>
    </row>
    <row r="4516" spans="1:21">
      <c r="A4516" t="str">
        <f t="shared" si="2145"/>
        <v>13/08/2025</v>
      </c>
      <c r="B4516" t="str">
        <f t="shared" si="2155"/>
        <v>ENTRADA</v>
      </c>
      <c r="C4516" t="str">
        <f t="shared" si="2146"/>
        <v>NFSE</v>
      </c>
      <c r="D4516" t="str">
        <f t="shared" si="2156"/>
        <v>3323</v>
      </c>
      <c r="E4516" t="str">
        <f t="shared" si="2134"/>
        <v>COM</v>
      </c>
      <c r="F4516" t="str">
        <f t="shared" si="2157"/>
        <v>FARMÁCIA INDIANA LJ 1 (10126)</v>
      </c>
      <c r="G4516" t="str">
        <f t="shared" si="2158"/>
        <v>Serv.Prest. 25/07/2025 a 03/08/2025 - RPS: 1089 - NFSe: 3323</v>
      </c>
      <c r="H4516" t="str">
        <f t="shared" si="2150"/>
        <v>13/08/2025</v>
      </c>
      <c r="I4516" t="str">
        <f t="shared" si="2159"/>
        <v>05/08/2025</v>
      </c>
      <c r="J4516" t="str">
        <f t="shared" si="2152"/>
        <v>13/08/2025</v>
      </c>
      <c r="M4516">
        <v>303</v>
      </c>
      <c r="N4516" t="str">
        <f t="shared" si="2153"/>
        <v>RECEITAS COM ENTREGAS</v>
      </c>
      <c r="P4516">
        <v>474.34</v>
      </c>
      <c r="Q4516" t="str">
        <f>"FARMÁCIA INDIANA LJ 19 (10012)"</f>
        <v>FARMÁCIA INDIANA LJ 19 (10012)</v>
      </c>
      <c r="R4516" t="str">
        <f t="shared" si="2154"/>
        <v>RECEITAS COM ENTREGAS (303)</v>
      </c>
      <c r="S4516">
        <v>2335</v>
      </c>
      <c r="T4516">
        <v>1777</v>
      </c>
      <c r="U4516" t="s">
        <v>19</v>
      </c>
    </row>
    <row r="4517" spans="1:21">
      <c r="A4517" t="str">
        <f t="shared" si="2145"/>
        <v>13/08/2025</v>
      </c>
      <c r="B4517" t="str">
        <f t="shared" si="2155"/>
        <v>ENTRADA</v>
      </c>
      <c r="C4517" t="str">
        <f t="shared" si="2146"/>
        <v>NFSE</v>
      </c>
      <c r="D4517" t="str">
        <f t="shared" si="2156"/>
        <v>3323</v>
      </c>
      <c r="E4517" t="str">
        <f t="shared" si="2134"/>
        <v>COM</v>
      </c>
      <c r="F4517" t="str">
        <f t="shared" si="2157"/>
        <v>FARMÁCIA INDIANA LJ 1 (10126)</v>
      </c>
      <c r="G4517" t="str">
        <f t="shared" si="2158"/>
        <v>Serv.Prest. 25/07/2025 a 03/08/2025 - RPS: 1089 - NFSe: 3323</v>
      </c>
      <c r="H4517" t="str">
        <f t="shared" si="2150"/>
        <v>13/08/2025</v>
      </c>
      <c r="I4517" t="str">
        <f t="shared" si="2159"/>
        <v>05/08/2025</v>
      </c>
      <c r="J4517" t="str">
        <f t="shared" si="2152"/>
        <v>13/08/2025</v>
      </c>
      <c r="M4517">
        <v>303</v>
      </c>
      <c r="N4517" t="str">
        <f t="shared" si="2153"/>
        <v>RECEITAS COM ENTREGAS</v>
      </c>
      <c r="P4517">
        <v>1280.02</v>
      </c>
      <c r="Q4517" t="str">
        <f>"FARMÁCIA INDIANA LJ 40 (10016)"</f>
        <v>FARMÁCIA INDIANA LJ 40 (10016)</v>
      </c>
      <c r="R4517" t="str">
        <f t="shared" si="2154"/>
        <v>RECEITAS COM ENTREGAS (303)</v>
      </c>
      <c r="S4517">
        <v>2335</v>
      </c>
      <c r="T4517">
        <v>1777</v>
      </c>
      <c r="U4517" t="s">
        <v>19</v>
      </c>
    </row>
    <row r="4518" spans="1:21">
      <c r="A4518" t="str">
        <f t="shared" si="2145"/>
        <v>13/08/2025</v>
      </c>
      <c r="B4518" t="str">
        <f t="shared" si="2155"/>
        <v>ENTRADA</v>
      </c>
      <c r="C4518" t="str">
        <f t="shared" si="2146"/>
        <v>NFSE</v>
      </c>
      <c r="D4518" t="str">
        <f t="shared" si="2156"/>
        <v>3323</v>
      </c>
      <c r="E4518" t="str">
        <f t="shared" si="2134"/>
        <v>COM</v>
      </c>
      <c r="F4518" t="str">
        <f t="shared" si="2157"/>
        <v>FARMÁCIA INDIANA LJ 1 (10126)</v>
      </c>
      <c r="G4518" t="str">
        <f t="shared" si="2158"/>
        <v>Serv.Prest. 25/07/2025 a 03/08/2025 - RPS: 1089 - NFSe: 3323</v>
      </c>
      <c r="H4518" t="str">
        <f t="shared" si="2150"/>
        <v>13/08/2025</v>
      </c>
      <c r="I4518" t="str">
        <f t="shared" si="2159"/>
        <v>05/08/2025</v>
      </c>
      <c r="J4518" t="str">
        <f t="shared" si="2152"/>
        <v>13/08/2025</v>
      </c>
      <c r="M4518">
        <v>303</v>
      </c>
      <c r="N4518" t="str">
        <f t="shared" si="2153"/>
        <v>RECEITAS COM ENTREGAS</v>
      </c>
      <c r="P4518">
        <v>514.45000000000005</v>
      </c>
      <c r="Q4518" t="str">
        <f>"FARMÁCIA INDIANA LJ 59 (10026)"</f>
        <v>FARMÁCIA INDIANA LJ 59 (10026)</v>
      </c>
      <c r="R4518" t="str">
        <f t="shared" si="2154"/>
        <v>RECEITAS COM ENTREGAS (303)</v>
      </c>
      <c r="S4518">
        <v>2335</v>
      </c>
      <c r="T4518">
        <v>1777</v>
      </c>
      <c r="U4518" t="s">
        <v>19</v>
      </c>
    </row>
    <row r="4519" spans="1:21">
      <c r="A4519" t="str">
        <f t="shared" si="2145"/>
        <v>13/08/2025</v>
      </c>
      <c r="B4519" t="str">
        <f t="shared" si="2155"/>
        <v>ENTRADA</v>
      </c>
      <c r="C4519" t="str">
        <f t="shared" si="2146"/>
        <v>NFSE</v>
      </c>
      <c r="D4519" t="str">
        <f t="shared" si="2156"/>
        <v>3323</v>
      </c>
      <c r="E4519" t="str">
        <f t="shared" si="2134"/>
        <v>COM</v>
      </c>
      <c r="F4519" t="str">
        <f t="shared" si="2157"/>
        <v>FARMÁCIA INDIANA LJ 1 (10126)</v>
      </c>
      <c r="G4519" t="str">
        <f t="shared" si="2158"/>
        <v>Serv.Prest. 25/07/2025 a 03/08/2025 - RPS: 1089 - NFSe: 3323</v>
      </c>
      <c r="H4519" t="str">
        <f t="shared" si="2150"/>
        <v>13/08/2025</v>
      </c>
      <c r="I4519" t="str">
        <f t="shared" si="2159"/>
        <v>05/08/2025</v>
      </c>
      <c r="J4519" t="str">
        <f t="shared" si="2152"/>
        <v>13/08/2025</v>
      </c>
      <c r="M4519">
        <v>303</v>
      </c>
      <c r="N4519" t="str">
        <f t="shared" si="2153"/>
        <v>RECEITAS COM ENTREGAS</v>
      </c>
      <c r="P4519">
        <v>744.64</v>
      </c>
      <c r="Q4519" t="str">
        <f>"FARMÁCIA INDIANA LJ 61 (10027)"</f>
        <v>FARMÁCIA INDIANA LJ 61 (10027)</v>
      </c>
      <c r="R4519" t="str">
        <f t="shared" si="2154"/>
        <v>RECEITAS COM ENTREGAS (303)</v>
      </c>
      <c r="S4519">
        <v>2335</v>
      </c>
      <c r="T4519">
        <v>1777</v>
      </c>
      <c r="U4519" t="s">
        <v>19</v>
      </c>
    </row>
    <row r="4520" spans="1:21">
      <c r="A4520" t="str">
        <f t="shared" si="2145"/>
        <v>13/08/2025</v>
      </c>
      <c r="B4520" t="str">
        <f t="shared" si="2155"/>
        <v>ENTRADA</v>
      </c>
      <c r="C4520" t="str">
        <f t="shared" si="2146"/>
        <v>NFSE</v>
      </c>
      <c r="D4520" t="str">
        <f t="shared" si="2156"/>
        <v>3323</v>
      </c>
      <c r="E4520" t="str">
        <f t="shared" si="2134"/>
        <v>COM</v>
      </c>
      <c r="F4520" t="str">
        <f t="shared" si="2157"/>
        <v>FARMÁCIA INDIANA LJ 1 (10126)</v>
      </c>
      <c r="G4520" t="str">
        <f t="shared" si="2158"/>
        <v>Serv.Prest. 25/07/2025 a 03/08/2025 - RPS: 1089 - NFSe: 3323</v>
      </c>
      <c r="H4520" t="str">
        <f t="shared" si="2150"/>
        <v>13/08/2025</v>
      </c>
      <c r="I4520" t="str">
        <f t="shared" si="2159"/>
        <v>05/08/2025</v>
      </c>
      <c r="J4520" t="str">
        <f t="shared" si="2152"/>
        <v>13/08/2025</v>
      </c>
      <c r="M4520">
        <v>303</v>
      </c>
      <c r="N4520" t="str">
        <f t="shared" si="2153"/>
        <v>RECEITAS COM ENTREGAS</v>
      </c>
      <c r="P4520">
        <v>392.38</v>
      </c>
      <c r="Q4520" t="str">
        <f>"FARMÁCIA INDIANA LJ 62 (10028)"</f>
        <v>FARMÁCIA INDIANA LJ 62 (10028)</v>
      </c>
      <c r="R4520" t="str">
        <f t="shared" si="2154"/>
        <v>RECEITAS COM ENTREGAS (303)</v>
      </c>
      <c r="S4520">
        <v>2335</v>
      </c>
      <c r="T4520">
        <v>1777</v>
      </c>
      <c r="U4520" t="s">
        <v>19</v>
      </c>
    </row>
    <row r="4521" spans="1:21">
      <c r="A4521" t="str">
        <f t="shared" si="2145"/>
        <v>13/08/2025</v>
      </c>
      <c r="B4521" t="str">
        <f t="shared" si="2155"/>
        <v>ENTRADA</v>
      </c>
      <c r="C4521" t="str">
        <f t="shared" si="2146"/>
        <v>NFSE</v>
      </c>
      <c r="D4521" t="str">
        <f t="shared" si="2156"/>
        <v>3323</v>
      </c>
      <c r="E4521" t="str">
        <f t="shared" si="2134"/>
        <v>COM</v>
      </c>
      <c r="F4521" t="str">
        <f t="shared" si="2157"/>
        <v>FARMÁCIA INDIANA LJ 1 (10126)</v>
      </c>
      <c r="G4521" t="str">
        <f t="shared" si="2158"/>
        <v>Serv.Prest. 25/07/2025 a 03/08/2025 - RPS: 1089 - NFSe: 3323</v>
      </c>
      <c r="H4521" t="str">
        <f t="shared" si="2150"/>
        <v>13/08/2025</v>
      </c>
      <c r="I4521" t="str">
        <f t="shared" si="2159"/>
        <v>05/08/2025</v>
      </c>
      <c r="J4521" t="str">
        <f t="shared" si="2152"/>
        <v>13/08/2025</v>
      </c>
      <c r="M4521">
        <v>303</v>
      </c>
      <c r="N4521" t="str">
        <f t="shared" si="2153"/>
        <v>RECEITAS COM ENTREGAS</v>
      </c>
      <c r="P4521">
        <v>115.1</v>
      </c>
      <c r="Q4521" t="str">
        <f>"FARMÁCIA INDIANA LJ 64 (10029)"</f>
        <v>FARMÁCIA INDIANA LJ 64 (10029)</v>
      </c>
      <c r="R4521" t="str">
        <f t="shared" si="2154"/>
        <v>RECEITAS COM ENTREGAS (303)</v>
      </c>
      <c r="S4521">
        <v>2335</v>
      </c>
      <c r="T4521">
        <v>1777</v>
      </c>
      <c r="U4521" t="s">
        <v>19</v>
      </c>
    </row>
    <row r="4522" spans="1:21">
      <c r="A4522" t="str">
        <f t="shared" si="2145"/>
        <v>13/08/2025</v>
      </c>
      <c r="B4522" t="str">
        <f t="shared" si="2155"/>
        <v>ENTRADA</v>
      </c>
      <c r="C4522" t="str">
        <f t="shared" si="2146"/>
        <v>NFSE</v>
      </c>
      <c r="D4522" t="str">
        <f t="shared" si="2156"/>
        <v>3323</v>
      </c>
      <c r="E4522" t="str">
        <f t="shared" si="2134"/>
        <v>COM</v>
      </c>
      <c r="F4522" t="str">
        <f t="shared" si="2157"/>
        <v>FARMÁCIA INDIANA LJ 1 (10126)</v>
      </c>
      <c r="G4522" t="str">
        <f t="shared" si="2158"/>
        <v>Serv.Prest. 25/07/2025 a 03/08/2025 - RPS: 1089 - NFSe: 3323</v>
      </c>
      <c r="H4522" t="str">
        <f t="shared" si="2150"/>
        <v>13/08/2025</v>
      </c>
      <c r="I4522" t="str">
        <f t="shared" si="2159"/>
        <v>05/08/2025</v>
      </c>
      <c r="J4522" t="str">
        <f t="shared" si="2152"/>
        <v>13/08/2025</v>
      </c>
      <c r="M4522">
        <v>303</v>
      </c>
      <c r="N4522" t="str">
        <f t="shared" si="2153"/>
        <v>RECEITAS COM ENTREGAS</v>
      </c>
      <c r="P4522">
        <v>66.27</v>
      </c>
      <c r="Q4522" t="str">
        <f>"FARMÁCIA INDIANA LJ 97 (10040)"</f>
        <v>FARMÁCIA INDIANA LJ 97 (10040)</v>
      </c>
      <c r="R4522" t="str">
        <f t="shared" si="2154"/>
        <v>RECEITAS COM ENTREGAS (303)</v>
      </c>
      <c r="S4522">
        <v>2335</v>
      </c>
      <c r="T4522">
        <v>1777</v>
      </c>
      <c r="U4522" t="s">
        <v>19</v>
      </c>
    </row>
    <row r="4523" spans="1:21">
      <c r="A4523" t="str">
        <f t="shared" si="2145"/>
        <v>13/08/2025</v>
      </c>
      <c r="B4523" t="str">
        <f t="shared" si="2155"/>
        <v>ENTRADA</v>
      </c>
      <c r="C4523" t="str">
        <f t="shared" si="2146"/>
        <v>NFSE</v>
      </c>
      <c r="D4523" t="str">
        <f t="shared" si="2156"/>
        <v>3323</v>
      </c>
      <c r="E4523" t="str">
        <f t="shared" si="2134"/>
        <v>COM</v>
      </c>
      <c r="F4523" t="str">
        <f t="shared" si="2157"/>
        <v>FARMÁCIA INDIANA LJ 1 (10126)</v>
      </c>
      <c r="G4523" t="str">
        <f t="shared" si="2158"/>
        <v>Serv.Prest. 25/07/2025 a 03/08/2025 - RPS: 1089 - NFSe: 3323</v>
      </c>
      <c r="H4523" t="str">
        <f t="shared" si="2150"/>
        <v>13/08/2025</v>
      </c>
      <c r="I4523" t="str">
        <f t="shared" si="2159"/>
        <v>05/08/2025</v>
      </c>
      <c r="J4523" t="str">
        <f t="shared" si="2152"/>
        <v>13/08/2025</v>
      </c>
      <c r="M4523">
        <v>303</v>
      </c>
      <c r="N4523" t="str">
        <f t="shared" si="2153"/>
        <v>RECEITAS COM ENTREGAS</v>
      </c>
      <c r="P4523">
        <v>320.88</v>
      </c>
      <c r="Q4523" t="str">
        <f>"FARMÁCIA INDIANA LJ 100 (10042)"</f>
        <v>FARMÁCIA INDIANA LJ 100 (10042)</v>
      </c>
      <c r="R4523" t="str">
        <f t="shared" si="2154"/>
        <v>RECEITAS COM ENTREGAS (303)</v>
      </c>
      <c r="S4523">
        <v>2335</v>
      </c>
      <c r="T4523">
        <v>1777</v>
      </c>
      <c r="U4523" t="s">
        <v>19</v>
      </c>
    </row>
    <row r="4524" spans="1:21">
      <c r="A4524" t="str">
        <f t="shared" si="2145"/>
        <v>13/08/2025</v>
      </c>
      <c r="B4524" t="str">
        <f t="shared" si="2155"/>
        <v>ENTRADA</v>
      </c>
      <c r="C4524" t="str">
        <f t="shared" si="2146"/>
        <v>NFSE</v>
      </c>
      <c r="D4524" t="str">
        <f t="shared" si="2156"/>
        <v>3323</v>
      </c>
      <c r="E4524" t="str">
        <f t="shared" si="2134"/>
        <v>COM</v>
      </c>
      <c r="F4524" t="str">
        <f t="shared" si="2157"/>
        <v>FARMÁCIA INDIANA LJ 1 (10126)</v>
      </c>
      <c r="G4524" t="str">
        <f t="shared" si="2158"/>
        <v>Serv.Prest. 25/07/2025 a 03/08/2025 - RPS: 1089 - NFSe: 3323</v>
      </c>
      <c r="H4524" t="str">
        <f t="shared" si="2150"/>
        <v>13/08/2025</v>
      </c>
      <c r="I4524" t="str">
        <f t="shared" si="2159"/>
        <v>05/08/2025</v>
      </c>
      <c r="J4524" t="str">
        <f t="shared" si="2152"/>
        <v>13/08/2025</v>
      </c>
      <c r="M4524">
        <v>303</v>
      </c>
      <c r="N4524" t="str">
        <f t="shared" si="2153"/>
        <v>RECEITAS COM ENTREGAS</v>
      </c>
      <c r="P4524">
        <v>613.85</v>
      </c>
      <c r="Q4524" t="str">
        <f>"FARMÁCIA INDIANA LJ 101 (10043)"</f>
        <v>FARMÁCIA INDIANA LJ 101 (10043)</v>
      </c>
      <c r="R4524" t="str">
        <f t="shared" si="2154"/>
        <v>RECEITAS COM ENTREGAS (303)</v>
      </c>
      <c r="S4524">
        <v>2335</v>
      </c>
      <c r="T4524">
        <v>1777</v>
      </c>
      <c r="U4524" t="s">
        <v>19</v>
      </c>
    </row>
    <row r="4525" spans="1:21">
      <c r="A4525" t="str">
        <f t="shared" si="2145"/>
        <v>13/08/2025</v>
      </c>
      <c r="B4525" t="str">
        <f t="shared" si="2155"/>
        <v>ENTRADA</v>
      </c>
      <c r="C4525" t="str">
        <f t="shared" si="2146"/>
        <v>NFSE</v>
      </c>
      <c r="D4525" t="str">
        <f t="shared" si="2156"/>
        <v>3323</v>
      </c>
      <c r="E4525" t="str">
        <f t="shared" si="2134"/>
        <v>COM</v>
      </c>
      <c r="F4525" t="str">
        <f t="shared" si="2157"/>
        <v>FARMÁCIA INDIANA LJ 1 (10126)</v>
      </c>
      <c r="G4525" t="str">
        <f t="shared" si="2158"/>
        <v>Serv.Prest. 25/07/2025 a 03/08/2025 - RPS: 1089 - NFSe: 3323</v>
      </c>
      <c r="H4525" t="str">
        <f t="shared" si="2150"/>
        <v>13/08/2025</v>
      </c>
      <c r="I4525" t="str">
        <f t="shared" si="2159"/>
        <v>05/08/2025</v>
      </c>
      <c r="J4525" t="str">
        <f t="shared" si="2152"/>
        <v>13/08/2025</v>
      </c>
      <c r="M4525">
        <v>303</v>
      </c>
      <c r="N4525" t="str">
        <f t="shared" si="2153"/>
        <v>RECEITAS COM ENTREGAS</v>
      </c>
      <c r="P4525">
        <v>71.5</v>
      </c>
      <c r="Q4525" t="str">
        <f>"FARMÁCIA INDIANA LJ 103 (10044)"</f>
        <v>FARMÁCIA INDIANA LJ 103 (10044)</v>
      </c>
      <c r="R4525" t="str">
        <f t="shared" si="2154"/>
        <v>RECEITAS COM ENTREGAS (303)</v>
      </c>
      <c r="S4525">
        <v>2335</v>
      </c>
      <c r="T4525">
        <v>1777</v>
      </c>
      <c r="U4525" t="s">
        <v>19</v>
      </c>
    </row>
    <row r="4526" spans="1:21">
      <c r="A4526" t="str">
        <f t="shared" si="2145"/>
        <v>13/08/2025</v>
      </c>
      <c r="B4526" t="str">
        <f t="shared" si="2155"/>
        <v>ENTRADA</v>
      </c>
      <c r="C4526" t="str">
        <f t="shared" si="2146"/>
        <v>NFSE</v>
      </c>
      <c r="D4526" t="str">
        <f t="shared" si="2156"/>
        <v>3323</v>
      </c>
      <c r="E4526" t="str">
        <f t="shared" si="2134"/>
        <v>COM</v>
      </c>
      <c r="F4526" t="str">
        <f t="shared" si="2157"/>
        <v>FARMÁCIA INDIANA LJ 1 (10126)</v>
      </c>
      <c r="G4526" t="str">
        <f t="shared" si="2158"/>
        <v>Serv.Prest. 25/07/2025 a 03/08/2025 - RPS: 1089 - NFSe: 3323</v>
      </c>
      <c r="H4526" t="str">
        <f t="shared" si="2150"/>
        <v>13/08/2025</v>
      </c>
      <c r="I4526" t="str">
        <f t="shared" si="2159"/>
        <v>05/08/2025</v>
      </c>
      <c r="J4526" t="str">
        <f t="shared" si="2152"/>
        <v>13/08/2025</v>
      </c>
      <c r="M4526">
        <v>303</v>
      </c>
      <c r="N4526" t="str">
        <f t="shared" si="2153"/>
        <v>RECEITAS COM ENTREGAS</v>
      </c>
      <c r="P4526">
        <v>289.49</v>
      </c>
      <c r="Q4526" t="str">
        <f>"FARMÁCIA INDIANA LJ 109 (10047)"</f>
        <v>FARMÁCIA INDIANA LJ 109 (10047)</v>
      </c>
      <c r="R4526" t="str">
        <f t="shared" si="2154"/>
        <v>RECEITAS COM ENTREGAS (303)</v>
      </c>
      <c r="S4526">
        <v>2335</v>
      </c>
      <c r="T4526">
        <v>1777</v>
      </c>
      <c r="U4526" t="s">
        <v>19</v>
      </c>
    </row>
    <row r="4527" spans="1:21">
      <c r="A4527" t="str">
        <f t="shared" si="2145"/>
        <v>13/08/2025</v>
      </c>
      <c r="B4527" t="str">
        <f t="shared" si="2155"/>
        <v>ENTRADA</v>
      </c>
      <c r="C4527" t="str">
        <f t="shared" si="2146"/>
        <v>NFSE</v>
      </c>
      <c r="D4527" t="str">
        <f t="shared" si="2156"/>
        <v>3323</v>
      </c>
      <c r="E4527" t="str">
        <f t="shared" ref="E4527:E4590" si="2160">"COM"</f>
        <v>COM</v>
      </c>
      <c r="F4527" t="str">
        <f t="shared" si="2157"/>
        <v>FARMÁCIA INDIANA LJ 1 (10126)</v>
      </c>
      <c r="G4527" t="str">
        <f t="shared" si="2158"/>
        <v>Serv.Prest. 25/07/2025 a 03/08/2025 - RPS: 1089 - NFSe: 3323</v>
      </c>
      <c r="H4527" t="str">
        <f t="shared" si="2150"/>
        <v>13/08/2025</v>
      </c>
      <c r="I4527" t="str">
        <f t="shared" si="2159"/>
        <v>05/08/2025</v>
      </c>
      <c r="J4527" t="str">
        <f t="shared" si="2152"/>
        <v>13/08/2025</v>
      </c>
      <c r="M4527">
        <v>303</v>
      </c>
      <c r="N4527" t="str">
        <f t="shared" si="2153"/>
        <v>RECEITAS COM ENTREGAS</v>
      </c>
      <c r="P4527">
        <v>415.05</v>
      </c>
      <c r="Q4527" t="str">
        <f>"FARMÁCIA INDIANA LJ 110 (10048)"</f>
        <v>FARMÁCIA INDIANA LJ 110 (10048)</v>
      </c>
      <c r="R4527" t="str">
        <f t="shared" si="2154"/>
        <v>RECEITAS COM ENTREGAS (303)</v>
      </c>
      <c r="S4527">
        <v>2335</v>
      </c>
      <c r="T4527">
        <v>1777</v>
      </c>
      <c r="U4527" t="s">
        <v>19</v>
      </c>
    </row>
    <row r="4528" spans="1:21">
      <c r="A4528" t="str">
        <f t="shared" si="2145"/>
        <v>13/08/2025</v>
      </c>
      <c r="B4528" t="str">
        <f t="shared" si="2155"/>
        <v>ENTRADA</v>
      </c>
      <c r="C4528" t="str">
        <f t="shared" si="2146"/>
        <v>NFSE</v>
      </c>
      <c r="D4528" t="str">
        <f t="shared" si="2156"/>
        <v>3323</v>
      </c>
      <c r="E4528" t="str">
        <f t="shared" si="2160"/>
        <v>COM</v>
      </c>
      <c r="F4528" t="str">
        <f t="shared" si="2157"/>
        <v>FARMÁCIA INDIANA LJ 1 (10126)</v>
      </c>
      <c r="G4528" t="str">
        <f t="shared" si="2158"/>
        <v>Serv.Prest. 25/07/2025 a 03/08/2025 - RPS: 1089 - NFSe: 3323</v>
      </c>
      <c r="H4528" t="str">
        <f t="shared" si="2150"/>
        <v>13/08/2025</v>
      </c>
      <c r="I4528" t="str">
        <f t="shared" si="2159"/>
        <v>05/08/2025</v>
      </c>
      <c r="J4528" t="str">
        <f t="shared" si="2152"/>
        <v>13/08/2025</v>
      </c>
      <c r="M4528">
        <v>303</v>
      </c>
      <c r="N4528" t="str">
        <f t="shared" si="2153"/>
        <v>RECEITAS COM ENTREGAS</v>
      </c>
      <c r="P4528">
        <v>64.52</v>
      </c>
      <c r="Q4528" t="str">
        <f>"FARMÁCIA INDIANA LJ 111 (10049)"</f>
        <v>FARMÁCIA INDIANA LJ 111 (10049)</v>
      </c>
      <c r="R4528" t="str">
        <f t="shared" si="2154"/>
        <v>RECEITAS COM ENTREGAS (303)</v>
      </c>
      <c r="S4528">
        <v>2335</v>
      </c>
      <c r="T4528">
        <v>1777</v>
      </c>
      <c r="U4528" t="s">
        <v>19</v>
      </c>
    </row>
    <row r="4529" spans="1:21">
      <c r="A4529" t="str">
        <f t="shared" si="2145"/>
        <v>13/08/2025</v>
      </c>
      <c r="B4529" t="str">
        <f t="shared" si="2155"/>
        <v>ENTRADA</v>
      </c>
      <c r="C4529" t="str">
        <f t="shared" si="2146"/>
        <v>NFSE</v>
      </c>
      <c r="D4529" t="str">
        <f t="shared" si="2156"/>
        <v>3323</v>
      </c>
      <c r="E4529" t="str">
        <f t="shared" si="2160"/>
        <v>COM</v>
      </c>
      <c r="F4529" t="str">
        <f t="shared" si="2157"/>
        <v>FARMÁCIA INDIANA LJ 1 (10126)</v>
      </c>
      <c r="G4529" t="str">
        <f t="shared" si="2158"/>
        <v>Serv.Prest. 25/07/2025 a 03/08/2025 - RPS: 1089 - NFSe: 3323</v>
      </c>
      <c r="H4529" t="str">
        <f t="shared" si="2150"/>
        <v>13/08/2025</v>
      </c>
      <c r="I4529" t="str">
        <f t="shared" si="2159"/>
        <v>05/08/2025</v>
      </c>
      <c r="J4529" t="str">
        <f t="shared" si="2152"/>
        <v>13/08/2025</v>
      </c>
      <c r="M4529">
        <v>303</v>
      </c>
      <c r="N4529" t="str">
        <f t="shared" si="2153"/>
        <v>RECEITAS COM ENTREGAS</v>
      </c>
      <c r="P4529">
        <v>160.44</v>
      </c>
      <c r="Q4529" t="str">
        <f>"FARMÁCIA INDIANA LJ 112 (10050)"</f>
        <v>FARMÁCIA INDIANA LJ 112 (10050)</v>
      </c>
      <c r="R4529" t="str">
        <f t="shared" si="2154"/>
        <v>RECEITAS COM ENTREGAS (303)</v>
      </c>
      <c r="S4529">
        <v>2335</v>
      </c>
      <c r="T4529">
        <v>1777</v>
      </c>
      <c r="U4529" t="s">
        <v>19</v>
      </c>
    </row>
    <row r="4530" spans="1:21">
      <c r="A4530" t="str">
        <f t="shared" ref="A4530:A4561" si="2161">("13/08/2025")</f>
        <v>13/08/2025</v>
      </c>
      <c r="B4530" t="str">
        <f t="shared" si="2155"/>
        <v>ENTRADA</v>
      </c>
      <c r="C4530" t="str">
        <f t="shared" ref="C4530:C4561" si="2162">"NFSE"</f>
        <v>NFSE</v>
      </c>
      <c r="D4530" t="str">
        <f t="shared" si="2156"/>
        <v>3323</v>
      </c>
      <c r="E4530" t="str">
        <f t="shared" si="2160"/>
        <v>COM</v>
      </c>
      <c r="F4530" t="str">
        <f t="shared" si="2157"/>
        <v>FARMÁCIA INDIANA LJ 1 (10126)</v>
      </c>
      <c r="G4530" t="str">
        <f t="shared" si="2158"/>
        <v>Serv.Prest. 25/07/2025 a 03/08/2025 - RPS: 1089 - NFSe: 3323</v>
      </c>
      <c r="H4530" t="str">
        <f t="shared" ref="H4530:H4561" si="2163">("13/08/2025")</f>
        <v>13/08/2025</v>
      </c>
      <c r="I4530" t="str">
        <f t="shared" si="2159"/>
        <v>05/08/2025</v>
      </c>
      <c r="J4530" t="str">
        <f t="shared" ref="J4530:J4561" si="2164">("13/08/2025")</f>
        <v>13/08/2025</v>
      </c>
      <c r="M4530">
        <v>303</v>
      </c>
      <c r="N4530" t="str">
        <f t="shared" ref="N4530:N4561" si="2165">"RECEITAS COM ENTREGAS"</f>
        <v>RECEITAS COM ENTREGAS</v>
      </c>
      <c r="P4530">
        <v>160.44</v>
      </c>
      <c r="Q4530" t="str">
        <f>"FARMÁCIA INDIANA LJ 116 (10051)"</f>
        <v>FARMÁCIA INDIANA LJ 116 (10051)</v>
      </c>
      <c r="R4530" t="str">
        <f t="shared" ref="R4530:R4561" si="2166">"RECEITAS COM ENTREGAS (303)"</f>
        <v>RECEITAS COM ENTREGAS (303)</v>
      </c>
      <c r="S4530">
        <v>2335</v>
      </c>
      <c r="T4530">
        <v>1777</v>
      </c>
      <c r="U4530" t="s">
        <v>19</v>
      </c>
    </row>
    <row r="4531" spans="1:21">
      <c r="A4531" t="str">
        <f t="shared" si="2161"/>
        <v>13/08/2025</v>
      </c>
      <c r="B4531" t="str">
        <f t="shared" si="2155"/>
        <v>ENTRADA</v>
      </c>
      <c r="C4531" t="str">
        <f t="shared" si="2162"/>
        <v>NFSE</v>
      </c>
      <c r="D4531" t="str">
        <f t="shared" si="2156"/>
        <v>3323</v>
      </c>
      <c r="E4531" t="str">
        <f t="shared" si="2160"/>
        <v>COM</v>
      </c>
      <c r="F4531" t="str">
        <f t="shared" si="2157"/>
        <v>FARMÁCIA INDIANA LJ 1 (10126)</v>
      </c>
      <c r="G4531" t="str">
        <f t="shared" si="2158"/>
        <v>Serv.Prest. 25/07/2025 a 03/08/2025 - RPS: 1089 - NFSe: 3323</v>
      </c>
      <c r="H4531" t="str">
        <f t="shared" si="2163"/>
        <v>13/08/2025</v>
      </c>
      <c r="I4531" t="str">
        <f t="shared" si="2159"/>
        <v>05/08/2025</v>
      </c>
      <c r="J4531" t="str">
        <f t="shared" si="2164"/>
        <v>13/08/2025</v>
      </c>
      <c r="M4531">
        <v>303</v>
      </c>
      <c r="N4531" t="str">
        <f t="shared" si="2165"/>
        <v>RECEITAS COM ENTREGAS</v>
      </c>
      <c r="P4531">
        <v>102.89</v>
      </c>
      <c r="Q4531" t="str">
        <f>"FARMÁCIA INDIANA LJ 118 (10052)"</f>
        <v>FARMÁCIA INDIANA LJ 118 (10052)</v>
      </c>
      <c r="R4531" t="str">
        <f t="shared" si="2166"/>
        <v>RECEITAS COM ENTREGAS (303)</v>
      </c>
      <c r="S4531">
        <v>2335</v>
      </c>
      <c r="T4531">
        <v>1777</v>
      </c>
      <c r="U4531" t="s">
        <v>19</v>
      </c>
    </row>
    <row r="4532" spans="1:21">
      <c r="A4532" t="str">
        <f t="shared" si="2161"/>
        <v>13/08/2025</v>
      </c>
      <c r="B4532" t="str">
        <f t="shared" si="2155"/>
        <v>ENTRADA</v>
      </c>
      <c r="C4532" t="str">
        <f t="shared" si="2162"/>
        <v>NFSE</v>
      </c>
      <c r="D4532" t="str">
        <f t="shared" si="2156"/>
        <v>3323</v>
      </c>
      <c r="E4532" t="str">
        <f t="shared" si="2160"/>
        <v>COM</v>
      </c>
      <c r="F4532" t="str">
        <f t="shared" si="2157"/>
        <v>FARMÁCIA INDIANA LJ 1 (10126)</v>
      </c>
      <c r="G4532" t="str">
        <f t="shared" si="2158"/>
        <v>Serv.Prest. 25/07/2025 a 03/08/2025 - RPS: 1089 - NFSe: 3323</v>
      </c>
      <c r="H4532" t="str">
        <f t="shared" si="2163"/>
        <v>13/08/2025</v>
      </c>
      <c r="I4532" t="str">
        <f t="shared" si="2159"/>
        <v>05/08/2025</v>
      </c>
      <c r="J4532" t="str">
        <f t="shared" si="2164"/>
        <v>13/08/2025</v>
      </c>
      <c r="M4532">
        <v>303</v>
      </c>
      <c r="N4532" t="str">
        <f t="shared" si="2165"/>
        <v>RECEITAS COM ENTREGAS</v>
      </c>
      <c r="P4532">
        <v>160.44</v>
      </c>
      <c r="Q4532" t="str">
        <f>"FARMÁCIA INDIANA LJ 121 (10054)"</f>
        <v>FARMÁCIA INDIANA LJ 121 (10054)</v>
      </c>
      <c r="R4532" t="str">
        <f t="shared" si="2166"/>
        <v>RECEITAS COM ENTREGAS (303)</v>
      </c>
      <c r="S4532">
        <v>2335</v>
      </c>
      <c r="T4532">
        <v>1777</v>
      </c>
      <c r="U4532" t="s">
        <v>19</v>
      </c>
    </row>
    <row r="4533" spans="1:21">
      <c r="A4533" t="str">
        <f t="shared" si="2161"/>
        <v>13/08/2025</v>
      </c>
      <c r="B4533" t="str">
        <f t="shared" si="2155"/>
        <v>ENTRADA</v>
      </c>
      <c r="C4533" t="str">
        <f t="shared" si="2162"/>
        <v>NFSE</v>
      </c>
      <c r="D4533" t="str">
        <f t="shared" si="2156"/>
        <v>3323</v>
      </c>
      <c r="E4533" t="str">
        <f t="shared" si="2160"/>
        <v>COM</v>
      </c>
      <c r="F4533" t="str">
        <f t="shared" si="2157"/>
        <v>FARMÁCIA INDIANA LJ 1 (10126)</v>
      </c>
      <c r="G4533" t="str">
        <f t="shared" si="2158"/>
        <v>Serv.Prest. 25/07/2025 a 03/08/2025 - RPS: 1089 - NFSe: 3323</v>
      </c>
      <c r="H4533" t="str">
        <f t="shared" si="2163"/>
        <v>13/08/2025</v>
      </c>
      <c r="I4533" t="str">
        <f t="shared" si="2159"/>
        <v>05/08/2025</v>
      </c>
      <c r="J4533" t="str">
        <f t="shared" si="2164"/>
        <v>13/08/2025</v>
      </c>
      <c r="M4533">
        <v>303</v>
      </c>
      <c r="N4533" t="str">
        <f t="shared" si="2165"/>
        <v>RECEITAS COM ENTREGAS</v>
      </c>
      <c r="P4533">
        <v>160.44</v>
      </c>
      <c r="Q4533" t="str">
        <f>"FARMÁCIA INDIANA LJ 128 (10057)"</f>
        <v>FARMÁCIA INDIANA LJ 128 (10057)</v>
      </c>
      <c r="R4533" t="str">
        <f t="shared" si="2166"/>
        <v>RECEITAS COM ENTREGAS (303)</v>
      </c>
      <c r="S4533">
        <v>2335</v>
      </c>
      <c r="T4533">
        <v>1777</v>
      </c>
      <c r="U4533" t="s">
        <v>19</v>
      </c>
    </row>
    <row r="4534" spans="1:21">
      <c r="A4534" t="str">
        <f t="shared" si="2161"/>
        <v>13/08/2025</v>
      </c>
      <c r="B4534" t="str">
        <f t="shared" si="2155"/>
        <v>ENTRADA</v>
      </c>
      <c r="C4534" t="str">
        <f t="shared" si="2162"/>
        <v>NFSE</v>
      </c>
      <c r="D4534" t="str">
        <f t="shared" si="2156"/>
        <v>3323</v>
      </c>
      <c r="E4534" t="str">
        <f t="shared" si="2160"/>
        <v>COM</v>
      </c>
      <c r="F4534" t="str">
        <f t="shared" si="2157"/>
        <v>FARMÁCIA INDIANA LJ 1 (10126)</v>
      </c>
      <c r="G4534" t="str">
        <f t="shared" si="2158"/>
        <v>Serv.Prest. 25/07/2025 a 03/08/2025 - RPS: 1089 - NFSe: 3323</v>
      </c>
      <c r="H4534" t="str">
        <f t="shared" si="2163"/>
        <v>13/08/2025</v>
      </c>
      <c r="I4534" t="str">
        <f t="shared" si="2159"/>
        <v>05/08/2025</v>
      </c>
      <c r="J4534" t="str">
        <f t="shared" si="2164"/>
        <v>13/08/2025</v>
      </c>
      <c r="M4534">
        <v>303</v>
      </c>
      <c r="N4534" t="str">
        <f t="shared" si="2165"/>
        <v>RECEITAS COM ENTREGAS</v>
      </c>
      <c r="P4534">
        <v>34.880000000000003</v>
      </c>
      <c r="Q4534" t="str">
        <f>"FARMÁCIA INDIANA LJ 140 (10064)"</f>
        <v>FARMÁCIA INDIANA LJ 140 (10064)</v>
      </c>
      <c r="R4534" t="str">
        <f t="shared" si="2166"/>
        <v>RECEITAS COM ENTREGAS (303)</v>
      </c>
      <c r="S4534">
        <v>2335</v>
      </c>
      <c r="T4534">
        <v>1777</v>
      </c>
      <c r="U4534" t="s">
        <v>19</v>
      </c>
    </row>
    <row r="4535" spans="1:21">
      <c r="A4535" t="str">
        <f t="shared" si="2161"/>
        <v>13/08/2025</v>
      </c>
      <c r="B4535" t="str">
        <f t="shared" si="2155"/>
        <v>ENTRADA</v>
      </c>
      <c r="C4535" t="str">
        <f t="shared" si="2162"/>
        <v>NFSE</v>
      </c>
      <c r="D4535" t="str">
        <f t="shared" si="2156"/>
        <v>3323</v>
      </c>
      <c r="E4535" t="str">
        <f t="shared" si="2160"/>
        <v>COM</v>
      </c>
      <c r="F4535" t="str">
        <f t="shared" si="2157"/>
        <v>FARMÁCIA INDIANA LJ 1 (10126)</v>
      </c>
      <c r="G4535" t="str">
        <f t="shared" si="2158"/>
        <v>Serv.Prest. 25/07/2025 a 03/08/2025 - RPS: 1089 - NFSe: 3323</v>
      </c>
      <c r="H4535" t="str">
        <f t="shared" si="2163"/>
        <v>13/08/2025</v>
      </c>
      <c r="I4535" t="str">
        <f t="shared" si="2159"/>
        <v>05/08/2025</v>
      </c>
      <c r="J4535" t="str">
        <f t="shared" si="2164"/>
        <v>13/08/2025</v>
      </c>
      <c r="M4535">
        <v>303</v>
      </c>
      <c r="N4535" t="str">
        <f t="shared" si="2165"/>
        <v>RECEITAS COM ENTREGAS</v>
      </c>
      <c r="P4535">
        <v>22.67</v>
      </c>
      <c r="Q4535" t="str">
        <f>"FARMÁCIA INDIANA LJ 141 (10065)"</f>
        <v>FARMÁCIA INDIANA LJ 141 (10065)</v>
      </c>
      <c r="R4535" t="str">
        <f t="shared" si="2166"/>
        <v>RECEITAS COM ENTREGAS (303)</v>
      </c>
      <c r="S4535">
        <v>2335</v>
      </c>
      <c r="T4535">
        <v>1777</v>
      </c>
      <c r="U4535" t="s">
        <v>19</v>
      </c>
    </row>
    <row r="4536" spans="1:21">
      <c r="A4536" t="str">
        <f t="shared" si="2161"/>
        <v>13/08/2025</v>
      </c>
      <c r="B4536" t="str">
        <f t="shared" si="2155"/>
        <v>ENTRADA</v>
      </c>
      <c r="C4536" t="str">
        <f t="shared" si="2162"/>
        <v>NFSE</v>
      </c>
      <c r="D4536" t="str">
        <f t="shared" si="2156"/>
        <v>3323</v>
      </c>
      <c r="E4536" t="str">
        <f t="shared" si="2160"/>
        <v>COM</v>
      </c>
      <c r="F4536" t="str">
        <f t="shared" si="2157"/>
        <v>FARMÁCIA INDIANA LJ 1 (10126)</v>
      </c>
      <c r="G4536" t="str">
        <f t="shared" si="2158"/>
        <v>Serv.Prest. 25/07/2025 a 03/08/2025 - RPS: 1089 - NFSe: 3323</v>
      </c>
      <c r="H4536" t="str">
        <f t="shared" si="2163"/>
        <v>13/08/2025</v>
      </c>
      <c r="I4536" t="str">
        <f t="shared" si="2159"/>
        <v>05/08/2025</v>
      </c>
      <c r="J4536" t="str">
        <f t="shared" si="2164"/>
        <v>13/08/2025</v>
      </c>
      <c r="M4536">
        <v>303</v>
      </c>
      <c r="N4536" t="str">
        <f t="shared" si="2165"/>
        <v>RECEITAS COM ENTREGAS</v>
      </c>
      <c r="P4536">
        <v>1042.8499999999999</v>
      </c>
      <c r="Q4536" t="str">
        <f>"FARMÁCIA INDIANA LJ 142 (10066)"</f>
        <v>FARMÁCIA INDIANA LJ 142 (10066)</v>
      </c>
      <c r="R4536" t="str">
        <f t="shared" si="2166"/>
        <v>RECEITAS COM ENTREGAS (303)</v>
      </c>
      <c r="S4536">
        <v>2335</v>
      </c>
      <c r="T4536">
        <v>1777</v>
      </c>
      <c r="U4536" t="s">
        <v>19</v>
      </c>
    </row>
    <row r="4537" spans="1:21">
      <c r="A4537" t="str">
        <f t="shared" si="2161"/>
        <v>13/08/2025</v>
      </c>
      <c r="B4537" t="str">
        <f t="shared" si="2155"/>
        <v>ENTRADA</v>
      </c>
      <c r="C4537" t="str">
        <f t="shared" si="2162"/>
        <v>NFSE</v>
      </c>
      <c r="D4537" t="str">
        <f t="shared" si="2156"/>
        <v>3323</v>
      </c>
      <c r="E4537" t="str">
        <f t="shared" si="2160"/>
        <v>COM</v>
      </c>
      <c r="F4537" t="str">
        <f t="shared" si="2157"/>
        <v>FARMÁCIA INDIANA LJ 1 (10126)</v>
      </c>
      <c r="G4537" t="str">
        <f t="shared" si="2158"/>
        <v>Serv.Prest. 25/07/2025 a 03/08/2025 - RPS: 1089 - NFSe: 3323</v>
      </c>
      <c r="H4537" t="str">
        <f t="shared" si="2163"/>
        <v>13/08/2025</v>
      </c>
      <c r="I4537" t="str">
        <f t="shared" si="2159"/>
        <v>05/08/2025</v>
      </c>
      <c r="J4537" t="str">
        <f t="shared" si="2164"/>
        <v>13/08/2025</v>
      </c>
      <c r="M4537">
        <v>303</v>
      </c>
      <c r="N4537" t="str">
        <f t="shared" si="2165"/>
        <v>RECEITAS COM ENTREGAS</v>
      </c>
      <c r="P4537">
        <v>66.27</v>
      </c>
      <c r="Q4537" t="str">
        <f>"FARMÁCIA INDIANA LJ 143 (10067)"</f>
        <v>FARMÁCIA INDIANA LJ 143 (10067)</v>
      </c>
      <c r="R4537" t="str">
        <f t="shared" si="2166"/>
        <v>RECEITAS COM ENTREGAS (303)</v>
      </c>
      <c r="S4537">
        <v>2335</v>
      </c>
      <c r="T4537">
        <v>1777</v>
      </c>
      <c r="U4537" t="s">
        <v>19</v>
      </c>
    </row>
    <row r="4538" spans="1:21">
      <c r="A4538" t="str">
        <f t="shared" si="2161"/>
        <v>13/08/2025</v>
      </c>
      <c r="B4538" t="str">
        <f t="shared" si="2155"/>
        <v>ENTRADA</v>
      </c>
      <c r="C4538" t="str">
        <f t="shared" si="2162"/>
        <v>NFSE</v>
      </c>
      <c r="D4538" t="str">
        <f t="shared" si="2156"/>
        <v>3323</v>
      </c>
      <c r="E4538" t="str">
        <f t="shared" si="2160"/>
        <v>COM</v>
      </c>
      <c r="F4538" t="str">
        <f t="shared" si="2157"/>
        <v>FARMÁCIA INDIANA LJ 1 (10126)</v>
      </c>
      <c r="G4538" t="str">
        <f t="shared" si="2158"/>
        <v>Serv.Prest. 25/07/2025 a 03/08/2025 - RPS: 1089 - NFSe: 3323</v>
      </c>
      <c r="H4538" t="str">
        <f t="shared" si="2163"/>
        <v>13/08/2025</v>
      </c>
      <c r="I4538" t="str">
        <f t="shared" si="2159"/>
        <v>05/08/2025</v>
      </c>
      <c r="J4538" t="str">
        <f t="shared" si="2164"/>
        <v>13/08/2025</v>
      </c>
      <c r="M4538">
        <v>303</v>
      </c>
      <c r="N4538" t="str">
        <f t="shared" si="2165"/>
        <v>RECEITAS COM ENTREGAS</v>
      </c>
      <c r="P4538">
        <v>223.22</v>
      </c>
      <c r="Q4538" t="str">
        <f>"FARMÁCIA INDIANA LJ 152 (10069)"</f>
        <v>FARMÁCIA INDIANA LJ 152 (10069)</v>
      </c>
      <c r="R4538" t="str">
        <f t="shared" si="2166"/>
        <v>RECEITAS COM ENTREGAS (303)</v>
      </c>
      <c r="S4538">
        <v>2335</v>
      </c>
      <c r="T4538">
        <v>1777</v>
      </c>
      <c r="U4538" t="s">
        <v>19</v>
      </c>
    </row>
    <row r="4539" spans="1:21">
      <c r="A4539" t="str">
        <f t="shared" si="2161"/>
        <v>13/08/2025</v>
      </c>
      <c r="B4539" t="str">
        <f t="shared" si="2155"/>
        <v>ENTRADA</v>
      </c>
      <c r="C4539" t="str">
        <f t="shared" si="2162"/>
        <v>NFSE</v>
      </c>
      <c r="D4539" t="str">
        <f t="shared" si="2156"/>
        <v>3323</v>
      </c>
      <c r="E4539" t="str">
        <f t="shared" si="2160"/>
        <v>COM</v>
      </c>
      <c r="F4539" t="str">
        <f t="shared" si="2157"/>
        <v>FARMÁCIA INDIANA LJ 1 (10126)</v>
      </c>
      <c r="G4539" t="str">
        <f t="shared" si="2158"/>
        <v>Serv.Prest. 25/07/2025 a 03/08/2025 - RPS: 1089 - NFSe: 3323</v>
      </c>
      <c r="H4539" t="str">
        <f t="shared" si="2163"/>
        <v>13/08/2025</v>
      </c>
      <c r="I4539" t="str">
        <f t="shared" si="2159"/>
        <v>05/08/2025</v>
      </c>
      <c r="J4539" t="str">
        <f t="shared" si="2164"/>
        <v>13/08/2025</v>
      </c>
      <c r="M4539">
        <v>303</v>
      </c>
      <c r="N4539" t="str">
        <f t="shared" si="2165"/>
        <v>RECEITAS COM ENTREGAS</v>
      </c>
      <c r="P4539">
        <v>40.11</v>
      </c>
      <c r="Q4539" t="str">
        <f>"FARMÁCIA INDIANA LJ 154 (10070)"</f>
        <v>FARMÁCIA INDIANA LJ 154 (10070)</v>
      </c>
      <c r="R4539" t="str">
        <f t="shared" si="2166"/>
        <v>RECEITAS COM ENTREGAS (303)</v>
      </c>
      <c r="S4539">
        <v>2335</v>
      </c>
      <c r="T4539">
        <v>1777</v>
      </c>
      <c r="U4539" t="s">
        <v>19</v>
      </c>
    </row>
    <row r="4540" spans="1:21">
      <c r="A4540" t="str">
        <f t="shared" si="2161"/>
        <v>13/08/2025</v>
      </c>
      <c r="B4540" t="str">
        <f t="shared" si="2155"/>
        <v>ENTRADA</v>
      </c>
      <c r="C4540" t="str">
        <f t="shared" si="2162"/>
        <v>NFSE</v>
      </c>
      <c r="D4540" t="str">
        <f t="shared" si="2156"/>
        <v>3323</v>
      </c>
      <c r="E4540" t="str">
        <f t="shared" si="2160"/>
        <v>COM</v>
      </c>
      <c r="F4540" t="str">
        <f t="shared" si="2157"/>
        <v>FARMÁCIA INDIANA LJ 1 (10126)</v>
      </c>
      <c r="G4540" t="str">
        <f t="shared" si="2158"/>
        <v>Serv.Prest. 25/07/2025 a 03/08/2025 - RPS: 1089 - NFSe: 3323</v>
      </c>
      <c r="H4540" t="str">
        <f t="shared" si="2163"/>
        <v>13/08/2025</v>
      </c>
      <c r="I4540" t="str">
        <f t="shared" si="2159"/>
        <v>05/08/2025</v>
      </c>
      <c r="J4540" t="str">
        <f t="shared" si="2164"/>
        <v>13/08/2025</v>
      </c>
      <c r="M4540">
        <v>303</v>
      </c>
      <c r="N4540" t="str">
        <f t="shared" si="2165"/>
        <v>RECEITAS COM ENTREGAS</v>
      </c>
      <c r="P4540">
        <v>343.55</v>
      </c>
      <c r="Q4540" t="str">
        <f>"FARMÁCIA INDIANA LJ 171 (10074)"</f>
        <v>FARMÁCIA INDIANA LJ 171 (10074)</v>
      </c>
      <c r="R4540" t="str">
        <f t="shared" si="2166"/>
        <v>RECEITAS COM ENTREGAS (303)</v>
      </c>
      <c r="S4540">
        <v>2335</v>
      </c>
      <c r="T4540">
        <v>1777</v>
      </c>
      <c r="U4540" t="s">
        <v>19</v>
      </c>
    </row>
    <row r="4541" spans="1:21">
      <c r="A4541" t="str">
        <f t="shared" si="2161"/>
        <v>13/08/2025</v>
      </c>
      <c r="B4541" t="str">
        <f t="shared" si="2155"/>
        <v>ENTRADA</v>
      </c>
      <c r="C4541" t="str">
        <f t="shared" si="2162"/>
        <v>NFSE</v>
      </c>
      <c r="D4541" t="str">
        <f t="shared" si="2156"/>
        <v>3323</v>
      </c>
      <c r="E4541" t="str">
        <f t="shared" si="2160"/>
        <v>COM</v>
      </c>
      <c r="F4541" t="str">
        <f t="shared" si="2157"/>
        <v>FARMÁCIA INDIANA LJ 1 (10126)</v>
      </c>
      <c r="G4541" t="str">
        <f t="shared" si="2158"/>
        <v>Serv.Prest. 25/07/2025 a 03/08/2025 - RPS: 1089 - NFSe: 3323</v>
      </c>
      <c r="H4541" t="str">
        <f t="shared" si="2163"/>
        <v>13/08/2025</v>
      </c>
      <c r="I4541" t="str">
        <f t="shared" si="2159"/>
        <v>05/08/2025</v>
      </c>
      <c r="J4541" t="str">
        <f t="shared" si="2164"/>
        <v>13/08/2025</v>
      </c>
      <c r="M4541">
        <v>303</v>
      </c>
      <c r="N4541" t="str">
        <f t="shared" si="2165"/>
        <v>RECEITAS COM ENTREGAS</v>
      </c>
      <c r="P4541">
        <v>130.79</v>
      </c>
      <c r="Q4541" t="str">
        <f>"FARMÁCIA INDIANA LJ 175 (10076)"</f>
        <v>FARMÁCIA INDIANA LJ 175 (10076)</v>
      </c>
      <c r="R4541" t="str">
        <f t="shared" si="2166"/>
        <v>RECEITAS COM ENTREGAS (303)</v>
      </c>
      <c r="S4541">
        <v>2335</v>
      </c>
      <c r="T4541">
        <v>1777</v>
      </c>
      <c r="U4541" t="s">
        <v>19</v>
      </c>
    </row>
    <row r="4542" spans="1:21">
      <c r="A4542" t="str">
        <f t="shared" si="2161"/>
        <v>13/08/2025</v>
      </c>
      <c r="B4542" t="str">
        <f t="shared" si="2155"/>
        <v>ENTRADA</v>
      </c>
      <c r="C4542" t="str">
        <f t="shared" si="2162"/>
        <v>NFSE</v>
      </c>
      <c r="D4542" t="str">
        <f t="shared" si="2156"/>
        <v>3323</v>
      </c>
      <c r="E4542" t="str">
        <f t="shared" si="2160"/>
        <v>COM</v>
      </c>
      <c r="F4542" t="str">
        <f t="shared" si="2157"/>
        <v>FARMÁCIA INDIANA LJ 1 (10126)</v>
      </c>
      <c r="G4542" t="str">
        <f t="shared" si="2158"/>
        <v>Serv.Prest. 25/07/2025 a 03/08/2025 - RPS: 1089 - NFSe: 3323</v>
      </c>
      <c r="H4542" t="str">
        <f t="shared" si="2163"/>
        <v>13/08/2025</v>
      </c>
      <c r="I4542" t="str">
        <f t="shared" ref="I4542:I4565" si="2167">("05/08/2025")</f>
        <v>05/08/2025</v>
      </c>
      <c r="J4542" t="str">
        <f t="shared" si="2164"/>
        <v>13/08/2025</v>
      </c>
      <c r="M4542">
        <v>303</v>
      </c>
      <c r="N4542" t="str">
        <f t="shared" si="2165"/>
        <v>RECEITAS COM ENTREGAS</v>
      </c>
      <c r="P4542">
        <v>109.87</v>
      </c>
      <c r="Q4542" t="str">
        <f>"FARMÁCIA INDIANA LJ 178 (10077)"</f>
        <v>FARMÁCIA INDIANA LJ 178 (10077)</v>
      </c>
      <c r="R4542" t="str">
        <f t="shared" si="2166"/>
        <v>RECEITAS COM ENTREGAS (303)</v>
      </c>
      <c r="S4542">
        <v>2335</v>
      </c>
      <c r="T4542">
        <v>1777</v>
      </c>
      <c r="U4542" t="s">
        <v>19</v>
      </c>
    </row>
    <row r="4543" spans="1:21">
      <c r="A4543" t="str">
        <f t="shared" si="2161"/>
        <v>13/08/2025</v>
      </c>
      <c r="B4543" t="str">
        <f t="shared" si="2155"/>
        <v>ENTRADA</v>
      </c>
      <c r="C4543" t="str">
        <f t="shared" si="2162"/>
        <v>NFSE</v>
      </c>
      <c r="D4543" t="str">
        <f t="shared" si="2156"/>
        <v>3323</v>
      </c>
      <c r="E4543" t="str">
        <f t="shared" si="2160"/>
        <v>COM</v>
      </c>
      <c r="F4543" t="str">
        <f t="shared" si="2157"/>
        <v>FARMÁCIA INDIANA LJ 1 (10126)</v>
      </c>
      <c r="G4543" t="str">
        <f t="shared" si="2158"/>
        <v>Serv.Prest. 25/07/2025 a 03/08/2025 - RPS: 1089 - NFSe: 3323</v>
      </c>
      <c r="H4543" t="str">
        <f t="shared" si="2163"/>
        <v>13/08/2025</v>
      </c>
      <c r="I4543" t="str">
        <f t="shared" si="2167"/>
        <v>05/08/2025</v>
      </c>
      <c r="J4543" t="str">
        <f t="shared" si="2164"/>
        <v>13/08/2025</v>
      </c>
      <c r="M4543">
        <v>303</v>
      </c>
      <c r="N4543" t="str">
        <f t="shared" si="2165"/>
        <v>RECEITAS COM ENTREGAS</v>
      </c>
      <c r="P4543">
        <v>80.22</v>
      </c>
      <c r="Q4543" t="str">
        <f>"FARMÁCIA INDIANA LJ 182 (10079)"</f>
        <v>FARMÁCIA INDIANA LJ 182 (10079)</v>
      </c>
      <c r="R4543" t="str">
        <f t="shared" si="2166"/>
        <v>RECEITAS COM ENTREGAS (303)</v>
      </c>
      <c r="S4543">
        <v>2335</v>
      </c>
      <c r="T4543">
        <v>1777</v>
      </c>
      <c r="U4543" t="s">
        <v>19</v>
      </c>
    </row>
    <row r="4544" spans="1:21">
      <c r="A4544" t="str">
        <f t="shared" si="2161"/>
        <v>13/08/2025</v>
      </c>
      <c r="B4544" t="str">
        <f t="shared" si="2155"/>
        <v>ENTRADA</v>
      </c>
      <c r="C4544" t="str">
        <f t="shared" si="2162"/>
        <v>NFSE</v>
      </c>
      <c r="D4544" t="str">
        <f t="shared" si="2156"/>
        <v>3323</v>
      </c>
      <c r="E4544" t="str">
        <f t="shared" si="2160"/>
        <v>COM</v>
      </c>
      <c r="F4544" t="str">
        <f t="shared" si="2157"/>
        <v>FARMÁCIA INDIANA LJ 1 (10126)</v>
      </c>
      <c r="G4544" t="str">
        <f t="shared" si="2158"/>
        <v>Serv.Prest. 25/07/2025 a 03/08/2025 - RPS: 1089 - NFSe: 3323</v>
      </c>
      <c r="H4544" t="str">
        <f t="shared" si="2163"/>
        <v>13/08/2025</v>
      </c>
      <c r="I4544" t="str">
        <f t="shared" si="2167"/>
        <v>05/08/2025</v>
      </c>
      <c r="J4544" t="str">
        <f t="shared" si="2164"/>
        <v>13/08/2025</v>
      </c>
      <c r="M4544">
        <v>303</v>
      </c>
      <c r="N4544" t="str">
        <f t="shared" si="2165"/>
        <v>RECEITAS COM ENTREGAS</v>
      </c>
      <c r="P4544">
        <v>40.11</v>
      </c>
      <c r="Q4544" t="str">
        <f>"FARMÁCIA INDIANA LJ 184 (10080)"</f>
        <v>FARMÁCIA INDIANA LJ 184 (10080)</v>
      </c>
      <c r="R4544" t="str">
        <f t="shared" si="2166"/>
        <v>RECEITAS COM ENTREGAS (303)</v>
      </c>
      <c r="S4544">
        <v>2335</v>
      </c>
      <c r="T4544">
        <v>1777</v>
      </c>
      <c r="U4544" t="s">
        <v>19</v>
      </c>
    </row>
    <row r="4545" spans="1:21">
      <c r="A4545" t="str">
        <f t="shared" si="2161"/>
        <v>13/08/2025</v>
      </c>
      <c r="B4545" t="str">
        <f t="shared" si="2155"/>
        <v>ENTRADA</v>
      </c>
      <c r="C4545" t="str">
        <f t="shared" si="2162"/>
        <v>NFSE</v>
      </c>
      <c r="D4545" t="str">
        <f t="shared" si="2156"/>
        <v>3323</v>
      </c>
      <c r="E4545" t="str">
        <f t="shared" si="2160"/>
        <v>COM</v>
      </c>
      <c r="F4545" t="str">
        <f t="shared" si="2157"/>
        <v>FARMÁCIA INDIANA LJ 1 (10126)</v>
      </c>
      <c r="G4545" t="str">
        <f t="shared" si="2158"/>
        <v>Serv.Prest. 25/07/2025 a 03/08/2025 - RPS: 1089 - NFSe: 3323</v>
      </c>
      <c r="H4545" t="str">
        <f t="shared" si="2163"/>
        <v>13/08/2025</v>
      </c>
      <c r="I4545" t="str">
        <f t="shared" si="2167"/>
        <v>05/08/2025</v>
      </c>
      <c r="J4545" t="str">
        <f t="shared" si="2164"/>
        <v>13/08/2025</v>
      </c>
      <c r="M4545">
        <v>303</v>
      </c>
      <c r="N4545" t="str">
        <f t="shared" si="2165"/>
        <v>RECEITAS COM ENTREGAS</v>
      </c>
      <c r="P4545">
        <v>80.22</v>
      </c>
      <c r="Q4545" t="str">
        <f>"FARMÁCIA INDIANA LJ 186 (10081)"</f>
        <v>FARMÁCIA INDIANA LJ 186 (10081)</v>
      </c>
      <c r="R4545" t="str">
        <f t="shared" si="2166"/>
        <v>RECEITAS COM ENTREGAS (303)</v>
      </c>
      <c r="S4545">
        <v>2335</v>
      </c>
      <c r="T4545">
        <v>1777</v>
      </c>
      <c r="U4545" t="s">
        <v>19</v>
      </c>
    </row>
    <row r="4546" spans="1:21">
      <c r="A4546" t="str">
        <f t="shared" si="2161"/>
        <v>13/08/2025</v>
      </c>
      <c r="B4546" t="str">
        <f t="shared" si="2155"/>
        <v>ENTRADA</v>
      </c>
      <c r="C4546" t="str">
        <f t="shared" si="2162"/>
        <v>NFSE</v>
      </c>
      <c r="D4546" t="str">
        <f t="shared" si="2156"/>
        <v>3323</v>
      </c>
      <c r="E4546" t="str">
        <f t="shared" si="2160"/>
        <v>COM</v>
      </c>
      <c r="F4546" t="str">
        <f t="shared" si="2157"/>
        <v>FARMÁCIA INDIANA LJ 1 (10126)</v>
      </c>
      <c r="G4546" t="str">
        <f t="shared" si="2158"/>
        <v>Serv.Prest. 25/07/2025 a 03/08/2025 - RPS: 1089 - NFSe: 3323</v>
      </c>
      <c r="H4546" t="str">
        <f t="shared" si="2163"/>
        <v>13/08/2025</v>
      </c>
      <c r="I4546" t="str">
        <f t="shared" si="2167"/>
        <v>05/08/2025</v>
      </c>
      <c r="J4546" t="str">
        <f t="shared" si="2164"/>
        <v>13/08/2025</v>
      </c>
      <c r="M4546">
        <v>303</v>
      </c>
      <c r="N4546" t="str">
        <f t="shared" si="2165"/>
        <v>RECEITAS COM ENTREGAS</v>
      </c>
      <c r="P4546">
        <v>97.66</v>
      </c>
      <c r="Q4546" t="str">
        <f>"FARMÁCIA INDIANA LJ 192 (10082)"</f>
        <v>FARMÁCIA INDIANA LJ 192 (10082)</v>
      </c>
      <c r="R4546" t="str">
        <f t="shared" si="2166"/>
        <v>RECEITAS COM ENTREGAS (303)</v>
      </c>
      <c r="S4546">
        <v>2335</v>
      </c>
      <c r="T4546">
        <v>1777</v>
      </c>
      <c r="U4546" t="s">
        <v>19</v>
      </c>
    </row>
    <row r="4547" spans="1:21">
      <c r="A4547" t="str">
        <f t="shared" si="2161"/>
        <v>13/08/2025</v>
      </c>
      <c r="B4547" t="str">
        <f t="shared" si="2155"/>
        <v>ENTRADA</v>
      </c>
      <c r="C4547" t="str">
        <f t="shared" si="2162"/>
        <v>NFSE</v>
      </c>
      <c r="D4547" t="str">
        <f t="shared" si="2156"/>
        <v>3323</v>
      </c>
      <c r="E4547" t="str">
        <f t="shared" si="2160"/>
        <v>COM</v>
      </c>
      <c r="F4547" t="str">
        <f t="shared" si="2157"/>
        <v>FARMÁCIA INDIANA LJ 1 (10126)</v>
      </c>
      <c r="G4547" t="str">
        <f t="shared" si="2158"/>
        <v>Serv.Prest. 25/07/2025 a 03/08/2025 - RPS: 1089 - NFSe: 3323</v>
      </c>
      <c r="H4547" t="str">
        <f t="shared" si="2163"/>
        <v>13/08/2025</v>
      </c>
      <c r="I4547" t="str">
        <f t="shared" si="2167"/>
        <v>05/08/2025</v>
      </c>
      <c r="J4547" t="str">
        <f t="shared" si="2164"/>
        <v>13/08/2025</v>
      </c>
      <c r="M4547">
        <v>303</v>
      </c>
      <c r="N4547" t="str">
        <f t="shared" si="2165"/>
        <v>RECEITAS COM ENTREGAS</v>
      </c>
      <c r="P4547">
        <v>40.11</v>
      </c>
      <c r="Q4547" t="str">
        <f>"FARMÁCIA INDIANA LJ 195 (10083)"</f>
        <v>FARMÁCIA INDIANA LJ 195 (10083)</v>
      </c>
      <c r="R4547" t="str">
        <f t="shared" si="2166"/>
        <v>RECEITAS COM ENTREGAS (303)</v>
      </c>
      <c r="S4547">
        <v>2335</v>
      </c>
      <c r="T4547">
        <v>1777</v>
      </c>
      <c r="U4547" t="s">
        <v>19</v>
      </c>
    </row>
    <row r="4548" spans="1:21">
      <c r="A4548" t="str">
        <f t="shared" si="2161"/>
        <v>13/08/2025</v>
      </c>
      <c r="B4548" t="str">
        <f t="shared" si="2155"/>
        <v>ENTRADA</v>
      </c>
      <c r="C4548" t="str">
        <f t="shared" si="2162"/>
        <v>NFSE</v>
      </c>
      <c r="D4548" t="str">
        <f t="shared" si="2156"/>
        <v>3323</v>
      </c>
      <c r="E4548" t="str">
        <f t="shared" si="2160"/>
        <v>COM</v>
      </c>
      <c r="F4548" t="str">
        <f t="shared" si="2157"/>
        <v>FARMÁCIA INDIANA LJ 1 (10126)</v>
      </c>
      <c r="G4548" t="str">
        <f t="shared" si="2158"/>
        <v>Serv.Prest. 25/07/2025 a 03/08/2025 - RPS: 1089 - NFSe: 3323</v>
      </c>
      <c r="H4548" t="str">
        <f t="shared" si="2163"/>
        <v>13/08/2025</v>
      </c>
      <c r="I4548" t="str">
        <f t="shared" si="2167"/>
        <v>05/08/2025</v>
      </c>
      <c r="J4548" t="str">
        <f t="shared" si="2164"/>
        <v>13/08/2025</v>
      </c>
      <c r="M4548">
        <v>303</v>
      </c>
      <c r="N4548" t="str">
        <f t="shared" si="2165"/>
        <v>RECEITAS COM ENTREGAS</v>
      </c>
      <c r="P4548">
        <v>158.69</v>
      </c>
      <c r="Q4548" t="str">
        <f>"FARMÁCIA INDIANA LJ 202 (10085)"</f>
        <v>FARMÁCIA INDIANA LJ 202 (10085)</v>
      </c>
      <c r="R4548" t="str">
        <f t="shared" si="2166"/>
        <v>RECEITAS COM ENTREGAS (303)</v>
      </c>
      <c r="S4548">
        <v>2335</v>
      </c>
      <c r="T4548">
        <v>1777</v>
      </c>
      <c r="U4548" t="s">
        <v>19</v>
      </c>
    </row>
    <row r="4549" spans="1:21">
      <c r="A4549" t="str">
        <f t="shared" si="2161"/>
        <v>13/08/2025</v>
      </c>
      <c r="B4549" t="str">
        <f t="shared" si="2155"/>
        <v>ENTRADA</v>
      </c>
      <c r="C4549" t="str">
        <f t="shared" si="2162"/>
        <v>NFSE</v>
      </c>
      <c r="D4549" t="str">
        <f t="shared" si="2156"/>
        <v>3323</v>
      </c>
      <c r="E4549" t="str">
        <f t="shared" si="2160"/>
        <v>COM</v>
      </c>
      <c r="F4549" t="str">
        <f t="shared" si="2157"/>
        <v>FARMÁCIA INDIANA LJ 1 (10126)</v>
      </c>
      <c r="G4549" t="str">
        <f t="shared" si="2158"/>
        <v>Serv.Prest. 25/07/2025 a 03/08/2025 - RPS: 1089 - NFSe: 3323</v>
      </c>
      <c r="H4549" t="str">
        <f t="shared" si="2163"/>
        <v>13/08/2025</v>
      </c>
      <c r="I4549" t="str">
        <f t="shared" si="2167"/>
        <v>05/08/2025</v>
      </c>
      <c r="J4549" t="str">
        <f t="shared" si="2164"/>
        <v>13/08/2025</v>
      </c>
      <c r="M4549">
        <v>303</v>
      </c>
      <c r="N4549" t="str">
        <f t="shared" si="2165"/>
        <v>RECEITAS COM ENTREGAS</v>
      </c>
      <c r="P4549">
        <v>106.38</v>
      </c>
      <c r="Q4549" t="str">
        <f>"FARMÁCIA INDIANA LJ 204 (10087)"</f>
        <v>FARMÁCIA INDIANA LJ 204 (10087)</v>
      </c>
      <c r="R4549" t="str">
        <f t="shared" si="2166"/>
        <v>RECEITAS COM ENTREGAS (303)</v>
      </c>
      <c r="S4549">
        <v>2335</v>
      </c>
      <c r="T4549">
        <v>1777</v>
      </c>
      <c r="U4549" t="s">
        <v>19</v>
      </c>
    </row>
    <row r="4550" spans="1:21">
      <c r="A4550" t="str">
        <f t="shared" si="2161"/>
        <v>13/08/2025</v>
      </c>
      <c r="B4550" t="str">
        <f t="shared" si="2155"/>
        <v>ENTRADA</v>
      </c>
      <c r="C4550" t="str">
        <f t="shared" si="2162"/>
        <v>NFSE</v>
      </c>
      <c r="D4550" t="str">
        <f t="shared" si="2156"/>
        <v>3323</v>
      </c>
      <c r="E4550" t="str">
        <f t="shared" si="2160"/>
        <v>COM</v>
      </c>
      <c r="F4550" t="str">
        <f t="shared" si="2157"/>
        <v>FARMÁCIA INDIANA LJ 1 (10126)</v>
      </c>
      <c r="G4550" t="str">
        <f t="shared" si="2158"/>
        <v>Serv.Prest. 25/07/2025 a 03/08/2025 - RPS: 1089 - NFSe: 3323</v>
      </c>
      <c r="H4550" t="str">
        <f t="shared" si="2163"/>
        <v>13/08/2025</v>
      </c>
      <c r="I4550" t="str">
        <f t="shared" si="2167"/>
        <v>05/08/2025</v>
      </c>
      <c r="J4550" t="str">
        <f t="shared" si="2164"/>
        <v>13/08/2025</v>
      </c>
      <c r="M4550">
        <v>303</v>
      </c>
      <c r="N4550" t="str">
        <f t="shared" si="2165"/>
        <v>RECEITAS COM ENTREGAS</v>
      </c>
      <c r="P4550">
        <v>106.38</v>
      </c>
      <c r="Q4550" t="str">
        <f>"FARMÁCIA INDIANA LJ 207 (10088)"</f>
        <v>FARMÁCIA INDIANA LJ 207 (10088)</v>
      </c>
      <c r="R4550" t="str">
        <f t="shared" si="2166"/>
        <v>RECEITAS COM ENTREGAS (303)</v>
      </c>
      <c r="S4550">
        <v>2335</v>
      </c>
      <c r="T4550">
        <v>1777</v>
      </c>
      <c r="U4550" t="s">
        <v>19</v>
      </c>
    </row>
    <row r="4551" spans="1:21">
      <c r="A4551" t="str">
        <f t="shared" si="2161"/>
        <v>13/08/2025</v>
      </c>
      <c r="B4551" t="str">
        <f t="shared" si="2155"/>
        <v>ENTRADA</v>
      </c>
      <c r="C4551" t="str">
        <f t="shared" si="2162"/>
        <v>NFSE</v>
      </c>
      <c r="D4551" t="str">
        <f t="shared" si="2156"/>
        <v>3323</v>
      </c>
      <c r="E4551" t="str">
        <f t="shared" si="2160"/>
        <v>COM</v>
      </c>
      <c r="F4551" t="str">
        <f t="shared" si="2157"/>
        <v>FARMÁCIA INDIANA LJ 1 (10126)</v>
      </c>
      <c r="G4551" t="str">
        <f t="shared" si="2158"/>
        <v>Serv.Prest. 25/07/2025 a 03/08/2025 - RPS: 1089 - NFSe: 3323</v>
      </c>
      <c r="H4551" t="str">
        <f t="shared" si="2163"/>
        <v>13/08/2025</v>
      </c>
      <c r="I4551" t="str">
        <f t="shared" si="2167"/>
        <v>05/08/2025</v>
      </c>
      <c r="J4551" t="str">
        <f t="shared" si="2164"/>
        <v>13/08/2025</v>
      </c>
      <c r="M4551">
        <v>303</v>
      </c>
      <c r="N4551" t="str">
        <f t="shared" si="2165"/>
        <v>RECEITAS COM ENTREGAS</v>
      </c>
      <c r="P4551">
        <v>125.56</v>
      </c>
      <c r="Q4551" t="str">
        <f>"FARMÁCIA INDIANA LJ 209 (10089)"</f>
        <v>FARMÁCIA INDIANA LJ 209 (10089)</v>
      </c>
      <c r="R4551" t="str">
        <f t="shared" si="2166"/>
        <v>RECEITAS COM ENTREGAS (303)</v>
      </c>
      <c r="S4551">
        <v>2335</v>
      </c>
      <c r="T4551">
        <v>1777</v>
      </c>
      <c r="U4551" t="s">
        <v>19</v>
      </c>
    </row>
    <row r="4552" spans="1:21">
      <c r="A4552" t="str">
        <f t="shared" si="2161"/>
        <v>13/08/2025</v>
      </c>
      <c r="B4552" t="str">
        <f t="shared" si="2155"/>
        <v>ENTRADA</v>
      </c>
      <c r="C4552" t="str">
        <f t="shared" si="2162"/>
        <v>NFSE</v>
      </c>
      <c r="D4552" t="str">
        <f t="shared" si="2156"/>
        <v>3323</v>
      </c>
      <c r="E4552" t="str">
        <f t="shared" si="2160"/>
        <v>COM</v>
      </c>
      <c r="F4552" t="str">
        <f t="shared" si="2157"/>
        <v>FARMÁCIA INDIANA LJ 1 (10126)</v>
      </c>
      <c r="G4552" t="str">
        <f t="shared" si="2158"/>
        <v>Serv.Prest. 25/07/2025 a 03/08/2025 - RPS: 1089 - NFSe: 3323</v>
      </c>
      <c r="H4552" t="str">
        <f t="shared" si="2163"/>
        <v>13/08/2025</v>
      </c>
      <c r="I4552" t="str">
        <f t="shared" si="2167"/>
        <v>05/08/2025</v>
      </c>
      <c r="J4552" t="str">
        <f t="shared" si="2164"/>
        <v>13/08/2025</v>
      </c>
      <c r="M4552">
        <v>303</v>
      </c>
      <c r="N4552" t="str">
        <f t="shared" si="2165"/>
        <v>RECEITAS COM ENTREGAS</v>
      </c>
      <c r="P4552">
        <v>231.94</v>
      </c>
      <c r="Q4552" t="str">
        <f>"FARMÁCIA INDIANA LJ 219 (10091)"</f>
        <v>FARMÁCIA INDIANA LJ 219 (10091)</v>
      </c>
      <c r="R4552" t="str">
        <f t="shared" si="2166"/>
        <v>RECEITAS COM ENTREGAS (303)</v>
      </c>
      <c r="S4552">
        <v>2335</v>
      </c>
      <c r="T4552">
        <v>1777</v>
      </c>
      <c r="U4552" t="s">
        <v>19</v>
      </c>
    </row>
    <row r="4553" spans="1:21">
      <c r="A4553" t="str">
        <f t="shared" si="2161"/>
        <v>13/08/2025</v>
      </c>
      <c r="B4553" t="str">
        <f t="shared" si="2155"/>
        <v>ENTRADA</v>
      </c>
      <c r="C4553" t="str">
        <f t="shared" si="2162"/>
        <v>NFSE</v>
      </c>
      <c r="D4553" t="str">
        <f t="shared" si="2156"/>
        <v>3323</v>
      </c>
      <c r="E4553" t="str">
        <f t="shared" si="2160"/>
        <v>COM</v>
      </c>
      <c r="F4553" t="str">
        <f t="shared" si="2157"/>
        <v>FARMÁCIA INDIANA LJ 1 (10126)</v>
      </c>
      <c r="G4553" t="str">
        <f t="shared" si="2158"/>
        <v>Serv.Prest. 25/07/2025 a 03/08/2025 - RPS: 1089 - NFSe: 3323</v>
      </c>
      <c r="H4553" t="str">
        <f t="shared" si="2163"/>
        <v>13/08/2025</v>
      </c>
      <c r="I4553" t="str">
        <f t="shared" si="2167"/>
        <v>05/08/2025</v>
      </c>
      <c r="J4553" t="str">
        <f t="shared" si="2164"/>
        <v>13/08/2025</v>
      </c>
      <c r="M4553">
        <v>303</v>
      </c>
      <c r="N4553" t="str">
        <f t="shared" si="2165"/>
        <v>RECEITAS COM ENTREGAS</v>
      </c>
      <c r="P4553">
        <v>296.45999999999998</v>
      </c>
      <c r="Q4553" t="str">
        <f>"FARMÁCIA INDIANA LJ 220 (10092)"</f>
        <v>FARMÁCIA INDIANA LJ 220 (10092)</v>
      </c>
      <c r="R4553" t="str">
        <f t="shared" si="2166"/>
        <v>RECEITAS COM ENTREGAS (303)</v>
      </c>
      <c r="S4553">
        <v>2335</v>
      </c>
      <c r="T4553">
        <v>1777</v>
      </c>
      <c r="U4553" t="s">
        <v>19</v>
      </c>
    </row>
    <row r="4554" spans="1:21">
      <c r="A4554" t="str">
        <f t="shared" si="2161"/>
        <v>13/08/2025</v>
      </c>
      <c r="B4554" t="str">
        <f t="shared" si="2155"/>
        <v>ENTRADA</v>
      </c>
      <c r="C4554" t="str">
        <f t="shared" si="2162"/>
        <v>NFSE</v>
      </c>
      <c r="D4554" t="str">
        <f t="shared" si="2156"/>
        <v>3323</v>
      </c>
      <c r="E4554" t="str">
        <f t="shared" si="2160"/>
        <v>COM</v>
      </c>
      <c r="F4554" t="str">
        <f t="shared" si="2157"/>
        <v>FARMÁCIA INDIANA LJ 1 (10126)</v>
      </c>
      <c r="G4554" t="str">
        <f t="shared" si="2158"/>
        <v>Serv.Prest. 25/07/2025 a 03/08/2025 - RPS: 1089 - NFSe: 3323</v>
      </c>
      <c r="H4554" t="str">
        <f t="shared" si="2163"/>
        <v>13/08/2025</v>
      </c>
      <c r="I4554" t="str">
        <f t="shared" si="2167"/>
        <v>05/08/2025</v>
      </c>
      <c r="J4554" t="str">
        <f t="shared" si="2164"/>
        <v>13/08/2025</v>
      </c>
      <c r="M4554">
        <v>303</v>
      </c>
      <c r="N4554" t="str">
        <f t="shared" si="2165"/>
        <v>RECEITAS COM ENTREGAS</v>
      </c>
      <c r="P4554">
        <v>205.78</v>
      </c>
      <c r="Q4554" t="str">
        <f>"FARMÁCIA INDIANA LJ 185 (10141)"</f>
        <v>FARMÁCIA INDIANA LJ 185 (10141)</v>
      </c>
      <c r="R4554" t="str">
        <f t="shared" si="2166"/>
        <v>RECEITAS COM ENTREGAS (303)</v>
      </c>
      <c r="S4554">
        <v>2335</v>
      </c>
      <c r="T4554">
        <v>1777</v>
      </c>
      <c r="U4554" t="s">
        <v>19</v>
      </c>
    </row>
    <row r="4555" spans="1:21">
      <c r="A4555" t="str">
        <f t="shared" si="2161"/>
        <v>13/08/2025</v>
      </c>
      <c r="B4555" t="str">
        <f t="shared" si="2155"/>
        <v>ENTRADA</v>
      </c>
      <c r="C4555" t="str">
        <f t="shared" si="2162"/>
        <v>NFSE</v>
      </c>
      <c r="D4555" t="str">
        <f t="shared" si="2156"/>
        <v>3323</v>
      </c>
      <c r="E4555" t="str">
        <f t="shared" si="2160"/>
        <v>COM</v>
      </c>
      <c r="F4555" t="str">
        <f t="shared" si="2157"/>
        <v>FARMÁCIA INDIANA LJ 1 (10126)</v>
      </c>
      <c r="G4555" t="str">
        <f t="shared" si="2158"/>
        <v>Serv.Prest. 25/07/2025 a 03/08/2025 - RPS: 1089 - NFSe: 3323</v>
      </c>
      <c r="H4555" t="str">
        <f t="shared" si="2163"/>
        <v>13/08/2025</v>
      </c>
      <c r="I4555" t="str">
        <f t="shared" si="2167"/>
        <v>05/08/2025</v>
      </c>
      <c r="J4555" t="str">
        <f t="shared" si="2164"/>
        <v>13/08/2025</v>
      </c>
      <c r="M4555">
        <v>303</v>
      </c>
      <c r="N4555" t="str">
        <f t="shared" si="2165"/>
        <v>RECEITAS COM ENTREGAS</v>
      </c>
      <c r="P4555">
        <v>106.38</v>
      </c>
      <c r="Q4555" t="str">
        <f>"FARMÁCIA INDIANA LJ 205 (10150)"</f>
        <v>FARMÁCIA INDIANA LJ 205 (10150)</v>
      </c>
      <c r="R4555" t="str">
        <f t="shared" si="2166"/>
        <v>RECEITAS COM ENTREGAS (303)</v>
      </c>
      <c r="S4555">
        <v>2335</v>
      </c>
      <c r="T4555">
        <v>1777</v>
      </c>
      <c r="U4555" t="s">
        <v>19</v>
      </c>
    </row>
    <row r="4556" spans="1:21">
      <c r="A4556" t="str">
        <f t="shared" si="2161"/>
        <v>13/08/2025</v>
      </c>
      <c r="B4556" t="str">
        <f t="shared" si="2155"/>
        <v>ENTRADA</v>
      </c>
      <c r="C4556" t="str">
        <f t="shared" si="2162"/>
        <v>NFSE</v>
      </c>
      <c r="D4556" t="str">
        <f t="shared" si="2156"/>
        <v>3323</v>
      </c>
      <c r="E4556" t="str">
        <f t="shared" si="2160"/>
        <v>COM</v>
      </c>
      <c r="F4556" t="str">
        <f t="shared" si="2157"/>
        <v>FARMÁCIA INDIANA LJ 1 (10126)</v>
      </c>
      <c r="G4556" t="str">
        <f t="shared" si="2158"/>
        <v>Serv.Prest. 25/07/2025 a 03/08/2025 - RPS: 1089 - NFSe: 3323</v>
      </c>
      <c r="H4556" t="str">
        <f t="shared" si="2163"/>
        <v>13/08/2025</v>
      </c>
      <c r="I4556" t="str">
        <f t="shared" si="2167"/>
        <v>05/08/2025</v>
      </c>
      <c r="J4556" t="str">
        <f t="shared" si="2164"/>
        <v>13/08/2025</v>
      </c>
      <c r="M4556">
        <v>303</v>
      </c>
      <c r="N4556" t="str">
        <f t="shared" si="2165"/>
        <v>RECEITAS COM ENTREGAS</v>
      </c>
      <c r="P4556">
        <v>741.16</v>
      </c>
      <c r="Q4556" t="str">
        <f>"FARMÁCIA INDIANA LJ 172 (10161)"</f>
        <v>FARMÁCIA INDIANA LJ 172 (10161)</v>
      </c>
      <c r="R4556" t="str">
        <f t="shared" si="2166"/>
        <v>RECEITAS COM ENTREGAS (303)</v>
      </c>
      <c r="S4556">
        <v>2335</v>
      </c>
      <c r="T4556">
        <v>1777</v>
      </c>
      <c r="U4556" t="s">
        <v>19</v>
      </c>
    </row>
    <row r="4557" spans="1:21">
      <c r="A4557" t="str">
        <f t="shared" si="2161"/>
        <v>13/08/2025</v>
      </c>
      <c r="B4557" t="str">
        <f t="shared" si="2155"/>
        <v>ENTRADA</v>
      </c>
      <c r="C4557" t="str">
        <f t="shared" si="2162"/>
        <v>NFSE</v>
      </c>
      <c r="D4557" t="str">
        <f t="shared" ref="D4557:D4565" si="2168">"3324"</f>
        <v>3324</v>
      </c>
      <c r="E4557" t="str">
        <f t="shared" si="2160"/>
        <v>COM</v>
      </c>
      <c r="F4557" t="str">
        <f t="shared" ref="F4557:F4565" si="2169">"FARMÁCIA INDIANA LJ 85 (10128)"</f>
        <v>FARMÁCIA INDIANA LJ 85 (10128)</v>
      </c>
      <c r="G4557" t="str">
        <f t="shared" ref="G4557:G4565" si="2170">"Serv.Prest. 25/07/2025 a 03/08/2025 - RPS: 1090 - NFSe: 3324"</f>
        <v>Serv.Prest. 25/07/2025 a 03/08/2025 - RPS: 1090 - NFSe: 3324</v>
      </c>
      <c r="H4557" t="str">
        <f t="shared" si="2163"/>
        <v>13/08/2025</v>
      </c>
      <c r="I4557" t="str">
        <f t="shared" si="2167"/>
        <v>05/08/2025</v>
      </c>
      <c r="J4557" t="str">
        <f t="shared" si="2164"/>
        <v>13/08/2025</v>
      </c>
      <c r="K4557">
        <v>1602.27</v>
      </c>
      <c r="L4557">
        <v>1602.27</v>
      </c>
      <c r="M4557">
        <v>303</v>
      </c>
      <c r="N4557" t="str">
        <f t="shared" si="2165"/>
        <v>RECEITAS COM ENTREGAS</v>
      </c>
      <c r="O4557">
        <v>1602.27</v>
      </c>
      <c r="R4557" t="str">
        <f t="shared" si="2166"/>
        <v>RECEITAS COM ENTREGAS (303)</v>
      </c>
      <c r="S4557">
        <v>2336</v>
      </c>
      <c r="T4557">
        <v>1778</v>
      </c>
      <c r="U4557" t="s">
        <v>19</v>
      </c>
    </row>
    <row r="4558" spans="1:21">
      <c r="A4558" t="str">
        <f t="shared" si="2161"/>
        <v>13/08/2025</v>
      </c>
      <c r="B4558" t="str">
        <f t="shared" si="2155"/>
        <v>ENTRADA</v>
      </c>
      <c r="C4558" t="str">
        <f t="shared" si="2162"/>
        <v>NFSE</v>
      </c>
      <c r="D4558" t="str">
        <f t="shared" si="2168"/>
        <v>3324</v>
      </c>
      <c r="E4558" t="str">
        <f t="shared" si="2160"/>
        <v>COM</v>
      </c>
      <c r="F4558" t="str">
        <f t="shared" si="2169"/>
        <v>FARMÁCIA INDIANA LJ 85 (10128)</v>
      </c>
      <c r="G4558" t="str">
        <f t="shared" si="2170"/>
        <v>Serv.Prest. 25/07/2025 a 03/08/2025 - RPS: 1090 - NFSe: 3324</v>
      </c>
      <c r="H4558" t="str">
        <f t="shared" si="2163"/>
        <v>13/08/2025</v>
      </c>
      <c r="I4558" t="str">
        <f t="shared" si="2167"/>
        <v>05/08/2025</v>
      </c>
      <c r="J4558" t="str">
        <f t="shared" si="2164"/>
        <v>13/08/2025</v>
      </c>
      <c r="M4558">
        <v>303</v>
      </c>
      <c r="N4558" t="str">
        <f t="shared" si="2165"/>
        <v>RECEITAS COM ENTREGAS</v>
      </c>
      <c r="P4558">
        <v>172.73</v>
      </c>
      <c r="Q4558" t="str">
        <f>"FARMÁCIA INDIANA LJ 119 (10053)"</f>
        <v>FARMÁCIA INDIANA LJ 119 (10053)</v>
      </c>
      <c r="R4558" t="str">
        <f t="shared" si="2166"/>
        <v>RECEITAS COM ENTREGAS (303)</v>
      </c>
      <c r="S4558">
        <v>2336</v>
      </c>
      <c r="T4558">
        <v>1778</v>
      </c>
      <c r="U4558" t="s">
        <v>19</v>
      </c>
    </row>
    <row r="4559" spans="1:21">
      <c r="A4559" t="str">
        <f t="shared" si="2161"/>
        <v>13/08/2025</v>
      </c>
      <c r="B4559" t="str">
        <f t="shared" si="2155"/>
        <v>ENTRADA</v>
      </c>
      <c r="C4559" t="str">
        <f t="shared" si="2162"/>
        <v>NFSE</v>
      </c>
      <c r="D4559" t="str">
        <f t="shared" si="2168"/>
        <v>3324</v>
      </c>
      <c r="E4559" t="str">
        <f t="shared" si="2160"/>
        <v>COM</v>
      </c>
      <c r="F4559" t="str">
        <f t="shared" si="2169"/>
        <v>FARMÁCIA INDIANA LJ 85 (10128)</v>
      </c>
      <c r="G4559" t="str">
        <f t="shared" si="2170"/>
        <v>Serv.Prest. 25/07/2025 a 03/08/2025 - RPS: 1090 - NFSe: 3324</v>
      </c>
      <c r="H4559" t="str">
        <f t="shared" si="2163"/>
        <v>13/08/2025</v>
      </c>
      <c r="I4559" t="str">
        <f t="shared" si="2167"/>
        <v>05/08/2025</v>
      </c>
      <c r="J4559" t="str">
        <f t="shared" si="2164"/>
        <v>13/08/2025</v>
      </c>
      <c r="M4559">
        <v>303</v>
      </c>
      <c r="N4559" t="str">
        <f t="shared" si="2165"/>
        <v>RECEITAS COM ENTREGAS</v>
      </c>
      <c r="P4559">
        <v>407.94</v>
      </c>
      <c r="Q4559" t="str">
        <f>"FARMÁCIA INDIANA LJ 163 (10072)"</f>
        <v>FARMÁCIA INDIANA LJ 163 (10072)</v>
      </c>
      <c r="R4559" t="str">
        <f t="shared" si="2166"/>
        <v>RECEITAS COM ENTREGAS (303)</v>
      </c>
      <c r="S4559">
        <v>2336</v>
      </c>
      <c r="T4559">
        <v>1778</v>
      </c>
      <c r="U4559" t="s">
        <v>19</v>
      </c>
    </row>
    <row r="4560" spans="1:21">
      <c r="A4560" t="str">
        <f t="shared" si="2161"/>
        <v>13/08/2025</v>
      </c>
      <c r="B4560" t="str">
        <f t="shared" si="2155"/>
        <v>ENTRADA</v>
      </c>
      <c r="C4560" t="str">
        <f t="shared" si="2162"/>
        <v>NFSE</v>
      </c>
      <c r="D4560" t="str">
        <f t="shared" si="2168"/>
        <v>3324</v>
      </c>
      <c r="E4560" t="str">
        <f t="shared" si="2160"/>
        <v>COM</v>
      </c>
      <c r="F4560" t="str">
        <f t="shared" si="2169"/>
        <v>FARMÁCIA INDIANA LJ 85 (10128)</v>
      </c>
      <c r="G4560" t="str">
        <f t="shared" si="2170"/>
        <v>Serv.Prest. 25/07/2025 a 03/08/2025 - RPS: 1090 - NFSe: 3324</v>
      </c>
      <c r="H4560" t="str">
        <f t="shared" si="2163"/>
        <v>13/08/2025</v>
      </c>
      <c r="I4560" t="str">
        <f t="shared" si="2167"/>
        <v>05/08/2025</v>
      </c>
      <c r="J4560" t="str">
        <f t="shared" si="2164"/>
        <v>13/08/2025</v>
      </c>
      <c r="M4560">
        <v>303</v>
      </c>
      <c r="N4560" t="str">
        <f t="shared" si="2165"/>
        <v>RECEITAS COM ENTREGAS</v>
      </c>
      <c r="P4560">
        <v>259.25</v>
      </c>
      <c r="Q4560" t="str">
        <f>"FARMÁCIA INDIANA LJ 181 (10078)"</f>
        <v>FARMÁCIA INDIANA LJ 181 (10078)</v>
      </c>
      <c r="R4560" t="str">
        <f t="shared" si="2166"/>
        <v>RECEITAS COM ENTREGAS (303)</v>
      </c>
      <c r="S4560">
        <v>2336</v>
      </c>
      <c r="T4560">
        <v>1778</v>
      </c>
      <c r="U4560" t="s">
        <v>19</v>
      </c>
    </row>
    <row r="4561" spans="1:21">
      <c r="A4561" t="str">
        <f t="shared" si="2161"/>
        <v>13/08/2025</v>
      </c>
      <c r="B4561" t="str">
        <f t="shared" si="2155"/>
        <v>ENTRADA</v>
      </c>
      <c r="C4561" t="str">
        <f t="shared" si="2162"/>
        <v>NFSE</v>
      </c>
      <c r="D4561" t="str">
        <f t="shared" si="2168"/>
        <v>3324</v>
      </c>
      <c r="E4561" t="str">
        <f t="shared" si="2160"/>
        <v>COM</v>
      </c>
      <c r="F4561" t="str">
        <f t="shared" si="2169"/>
        <v>FARMÁCIA INDIANA LJ 85 (10128)</v>
      </c>
      <c r="G4561" t="str">
        <f t="shared" si="2170"/>
        <v>Serv.Prest. 25/07/2025 a 03/08/2025 - RPS: 1090 - NFSe: 3324</v>
      </c>
      <c r="H4561" t="str">
        <f t="shared" si="2163"/>
        <v>13/08/2025</v>
      </c>
      <c r="I4561" t="str">
        <f t="shared" si="2167"/>
        <v>05/08/2025</v>
      </c>
      <c r="J4561" t="str">
        <f t="shared" si="2164"/>
        <v>13/08/2025</v>
      </c>
      <c r="M4561">
        <v>303</v>
      </c>
      <c r="N4561" t="str">
        <f t="shared" si="2165"/>
        <v>RECEITAS COM ENTREGAS</v>
      </c>
      <c r="P4561">
        <v>172.4</v>
      </c>
      <c r="Q4561" t="str">
        <f>"FARMÁCIA INDIANA LJ 221 (10093)"</f>
        <v>FARMÁCIA INDIANA LJ 221 (10093)</v>
      </c>
      <c r="R4561" t="str">
        <f t="shared" si="2166"/>
        <v>RECEITAS COM ENTREGAS (303)</v>
      </c>
      <c r="S4561">
        <v>2336</v>
      </c>
      <c r="T4561">
        <v>1778</v>
      </c>
      <c r="U4561" t="s">
        <v>19</v>
      </c>
    </row>
    <row r="4562" spans="1:21">
      <c r="A4562" t="str">
        <f t="shared" ref="A4562:A4586" si="2171">("13/08/2025")</f>
        <v>13/08/2025</v>
      </c>
      <c r="B4562" t="str">
        <f t="shared" si="2155"/>
        <v>ENTRADA</v>
      </c>
      <c r="C4562" t="str">
        <f t="shared" ref="C4562:C4577" si="2172">"NFSE"</f>
        <v>NFSE</v>
      </c>
      <c r="D4562" t="str">
        <f t="shared" si="2168"/>
        <v>3324</v>
      </c>
      <c r="E4562" t="str">
        <f t="shared" si="2160"/>
        <v>COM</v>
      </c>
      <c r="F4562" t="str">
        <f t="shared" si="2169"/>
        <v>FARMÁCIA INDIANA LJ 85 (10128)</v>
      </c>
      <c r="G4562" t="str">
        <f t="shared" si="2170"/>
        <v>Serv.Prest. 25/07/2025 a 03/08/2025 - RPS: 1090 - NFSe: 3324</v>
      </c>
      <c r="H4562" t="str">
        <f t="shared" ref="H4562:H4584" si="2173">("13/08/2025")</f>
        <v>13/08/2025</v>
      </c>
      <c r="I4562" t="str">
        <f t="shared" si="2167"/>
        <v>05/08/2025</v>
      </c>
      <c r="J4562" t="str">
        <f t="shared" ref="J4562:J4586" si="2174">("13/08/2025")</f>
        <v>13/08/2025</v>
      </c>
      <c r="M4562">
        <v>303</v>
      </c>
      <c r="N4562" t="str">
        <f t="shared" ref="N4562:N4577" si="2175">"RECEITAS COM ENTREGAS"</f>
        <v>RECEITAS COM ENTREGAS</v>
      </c>
      <c r="P4562">
        <v>222.23</v>
      </c>
      <c r="Q4562" t="str">
        <f>"FARMÁCIA INDIANA LJ 243 (10142)"</f>
        <v>FARMÁCIA INDIANA LJ 243 (10142)</v>
      </c>
      <c r="R4562" t="str">
        <f t="shared" ref="R4562:R4577" si="2176">"RECEITAS COM ENTREGAS (303)"</f>
        <v>RECEITAS COM ENTREGAS (303)</v>
      </c>
      <c r="S4562">
        <v>2336</v>
      </c>
      <c r="T4562">
        <v>1778</v>
      </c>
      <c r="U4562" t="s">
        <v>19</v>
      </c>
    </row>
    <row r="4563" spans="1:21">
      <c r="A4563" t="str">
        <f t="shared" si="2171"/>
        <v>13/08/2025</v>
      </c>
      <c r="B4563" t="str">
        <f t="shared" ref="B4563:B4577" si="2177">"ENTRADA"</f>
        <v>ENTRADA</v>
      </c>
      <c r="C4563" t="str">
        <f t="shared" si="2172"/>
        <v>NFSE</v>
      </c>
      <c r="D4563" t="str">
        <f t="shared" si="2168"/>
        <v>3324</v>
      </c>
      <c r="E4563" t="str">
        <f t="shared" si="2160"/>
        <v>COM</v>
      </c>
      <c r="F4563" t="str">
        <f t="shared" si="2169"/>
        <v>FARMÁCIA INDIANA LJ 85 (10128)</v>
      </c>
      <c r="G4563" t="str">
        <f t="shared" si="2170"/>
        <v>Serv.Prest. 25/07/2025 a 03/08/2025 - RPS: 1090 - NFSe: 3324</v>
      </c>
      <c r="H4563" t="str">
        <f t="shared" si="2173"/>
        <v>13/08/2025</v>
      </c>
      <c r="I4563" t="str">
        <f t="shared" si="2167"/>
        <v>05/08/2025</v>
      </c>
      <c r="J4563" t="str">
        <f t="shared" si="2174"/>
        <v>13/08/2025</v>
      </c>
      <c r="M4563">
        <v>303</v>
      </c>
      <c r="N4563" t="str">
        <f t="shared" si="2175"/>
        <v>RECEITAS COM ENTREGAS</v>
      </c>
      <c r="P4563">
        <v>91.81</v>
      </c>
      <c r="Q4563" t="str">
        <f>"FARMÁCIA INDIANA LJ 211 (10168)"</f>
        <v>FARMÁCIA INDIANA LJ 211 (10168)</v>
      </c>
      <c r="R4563" t="str">
        <f t="shared" si="2176"/>
        <v>RECEITAS COM ENTREGAS (303)</v>
      </c>
      <c r="S4563">
        <v>2336</v>
      </c>
      <c r="T4563">
        <v>1778</v>
      </c>
      <c r="U4563" t="s">
        <v>19</v>
      </c>
    </row>
    <row r="4564" spans="1:21">
      <c r="A4564" t="str">
        <f t="shared" si="2171"/>
        <v>13/08/2025</v>
      </c>
      <c r="B4564" t="str">
        <f t="shared" si="2177"/>
        <v>ENTRADA</v>
      </c>
      <c r="C4564" t="str">
        <f t="shared" si="2172"/>
        <v>NFSE</v>
      </c>
      <c r="D4564" t="str">
        <f t="shared" si="2168"/>
        <v>3324</v>
      </c>
      <c r="E4564" t="str">
        <f t="shared" si="2160"/>
        <v>COM</v>
      </c>
      <c r="F4564" t="str">
        <f t="shared" si="2169"/>
        <v>FARMÁCIA INDIANA LJ 85 (10128)</v>
      </c>
      <c r="G4564" t="str">
        <f t="shared" si="2170"/>
        <v>Serv.Prest. 25/07/2025 a 03/08/2025 - RPS: 1090 - NFSe: 3324</v>
      </c>
      <c r="H4564" t="str">
        <f t="shared" si="2173"/>
        <v>13/08/2025</v>
      </c>
      <c r="I4564" t="str">
        <f t="shared" si="2167"/>
        <v>05/08/2025</v>
      </c>
      <c r="J4564" t="str">
        <f t="shared" si="2174"/>
        <v>13/08/2025</v>
      </c>
      <c r="M4564">
        <v>303</v>
      </c>
      <c r="N4564" t="str">
        <f t="shared" si="2175"/>
        <v>RECEITAS COM ENTREGAS</v>
      </c>
      <c r="P4564">
        <v>91.81</v>
      </c>
      <c r="Q4564" t="str">
        <f>"FARMÁCIA INDIANA LJ 236 (10169)"</f>
        <v>FARMÁCIA INDIANA LJ 236 (10169)</v>
      </c>
      <c r="R4564" t="str">
        <f t="shared" si="2176"/>
        <v>RECEITAS COM ENTREGAS (303)</v>
      </c>
      <c r="S4564">
        <v>2336</v>
      </c>
      <c r="T4564">
        <v>1778</v>
      </c>
      <c r="U4564" t="s">
        <v>19</v>
      </c>
    </row>
    <row r="4565" spans="1:21">
      <c r="A4565" t="str">
        <f t="shared" si="2171"/>
        <v>13/08/2025</v>
      </c>
      <c r="B4565" t="str">
        <f t="shared" si="2177"/>
        <v>ENTRADA</v>
      </c>
      <c r="C4565" t="str">
        <f t="shared" si="2172"/>
        <v>NFSE</v>
      </c>
      <c r="D4565" t="str">
        <f t="shared" si="2168"/>
        <v>3324</v>
      </c>
      <c r="E4565" t="str">
        <f t="shared" si="2160"/>
        <v>COM</v>
      </c>
      <c r="F4565" t="str">
        <f t="shared" si="2169"/>
        <v>FARMÁCIA INDIANA LJ 85 (10128)</v>
      </c>
      <c r="G4565" t="str">
        <f t="shared" si="2170"/>
        <v>Serv.Prest. 25/07/2025 a 03/08/2025 - RPS: 1090 - NFSe: 3324</v>
      </c>
      <c r="H4565" t="str">
        <f t="shared" si="2173"/>
        <v>13/08/2025</v>
      </c>
      <c r="I4565" t="str">
        <f t="shared" si="2167"/>
        <v>05/08/2025</v>
      </c>
      <c r="J4565" t="str">
        <f t="shared" si="2174"/>
        <v>13/08/2025</v>
      </c>
      <c r="M4565">
        <v>303</v>
      </c>
      <c r="N4565" t="str">
        <f t="shared" si="2175"/>
        <v>RECEITAS COM ENTREGAS</v>
      </c>
      <c r="P4565">
        <v>184.1</v>
      </c>
      <c r="Q4565" t="str">
        <f>"FARMÁCIA INDIANA LJ 188 (10176)"</f>
        <v>FARMÁCIA INDIANA LJ 188 (10176)</v>
      </c>
      <c r="R4565" t="str">
        <f t="shared" si="2176"/>
        <v>RECEITAS COM ENTREGAS (303)</v>
      </c>
      <c r="S4565">
        <v>2336</v>
      </c>
      <c r="T4565">
        <v>1778</v>
      </c>
      <c r="U4565" t="s">
        <v>19</v>
      </c>
    </row>
    <row r="4566" spans="1:21">
      <c r="A4566" t="str">
        <f t="shared" si="2171"/>
        <v>13/08/2025</v>
      </c>
      <c r="B4566" t="str">
        <f t="shared" si="2177"/>
        <v>ENTRADA</v>
      </c>
      <c r="C4566" t="str">
        <f t="shared" si="2172"/>
        <v>NFSE</v>
      </c>
      <c r="D4566" t="str">
        <f>"3334"</f>
        <v>3334</v>
      </c>
      <c r="E4566" t="str">
        <f t="shared" si="2160"/>
        <v>COM</v>
      </c>
      <c r="F4566" t="str">
        <f>"DROGARIA TOTAL JUNDIAI (10177)"</f>
        <v>DROGARIA TOTAL JUNDIAI (10177)</v>
      </c>
      <c r="G4566" t="str">
        <f>"Serv.Prest. 04/08/2025 a 10/08/2025 - RPS: 1100 - NFSe: 3334"</f>
        <v>Serv.Prest. 04/08/2025 a 10/08/2025 - RPS: 1100 - NFSe: 3334</v>
      </c>
      <c r="H4566" t="str">
        <f t="shared" si="2173"/>
        <v>13/08/2025</v>
      </c>
      <c r="I4566" t="str">
        <f t="shared" ref="I4566:I4577" si="2178">("11/08/2025")</f>
        <v>11/08/2025</v>
      </c>
      <c r="J4566" t="str">
        <f t="shared" si="2174"/>
        <v>13/08/2025</v>
      </c>
      <c r="K4566">
        <v>100.27</v>
      </c>
      <c r="L4566">
        <v>100.27</v>
      </c>
      <c r="M4566">
        <v>303</v>
      </c>
      <c r="N4566" t="str">
        <f t="shared" si="2175"/>
        <v>RECEITAS COM ENTREGAS</v>
      </c>
      <c r="O4566">
        <v>100.27</v>
      </c>
      <c r="R4566" t="str">
        <f t="shared" si="2176"/>
        <v>RECEITAS COM ENTREGAS (303)</v>
      </c>
      <c r="S4566">
        <v>2337</v>
      </c>
      <c r="T4566">
        <v>1835</v>
      </c>
      <c r="U4566" t="s">
        <v>19</v>
      </c>
    </row>
    <row r="4567" spans="1:21">
      <c r="A4567" t="str">
        <f t="shared" si="2171"/>
        <v>13/08/2025</v>
      </c>
      <c r="B4567" t="str">
        <f t="shared" si="2177"/>
        <v>ENTRADA</v>
      </c>
      <c r="C4567" t="str">
        <f t="shared" si="2172"/>
        <v>NFSE</v>
      </c>
      <c r="D4567" t="str">
        <f>"3334"</f>
        <v>3334</v>
      </c>
      <c r="E4567" t="str">
        <f t="shared" si="2160"/>
        <v>COM</v>
      </c>
      <c r="F4567" t="str">
        <f>"DROGARIA TOTAL JUNDIAI (10177)"</f>
        <v>DROGARIA TOTAL JUNDIAI (10177)</v>
      </c>
      <c r="G4567" t="str">
        <f>"Serv.Prest. 04/08/2025 a 10/08/2025 - RPS: 1100 - NFSe: 3334"</f>
        <v>Serv.Prest. 04/08/2025 a 10/08/2025 - RPS: 1100 - NFSe: 3334</v>
      </c>
      <c r="H4567" t="str">
        <f t="shared" si="2173"/>
        <v>13/08/2025</v>
      </c>
      <c r="I4567" t="str">
        <f t="shared" si="2178"/>
        <v>11/08/2025</v>
      </c>
      <c r="J4567" t="str">
        <f t="shared" si="2174"/>
        <v>13/08/2025</v>
      </c>
      <c r="M4567">
        <v>303</v>
      </c>
      <c r="N4567" t="str">
        <f t="shared" si="2175"/>
        <v>RECEITAS COM ENTREGAS</v>
      </c>
      <c r="P4567">
        <v>100.27</v>
      </c>
      <c r="Q4567" t="str">
        <f>"DROGARIA TOTAL JUNDIAI (10177)"</f>
        <v>DROGARIA TOTAL JUNDIAI (10177)</v>
      </c>
      <c r="R4567" t="str">
        <f t="shared" si="2176"/>
        <v>RECEITAS COM ENTREGAS (303)</v>
      </c>
      <c r="S4567">
        <v>2337</v>
      </c>
      <c r="T4567">
        <v>1835</v>
      </c>
      <c r="U4567" t="s">
        <v>19</v>
      </c>
    </row>
    <row r="4568" spans="1:21">
      <c r="A4568" t="str">
        <f t="shared" si="2171"/>
        <v>13/08/2025</v>
      </c>
      <c r="B4568" t="str">
        <f t="shared" si="2177"/>
        <v>ENTRADA</v>
      </c>
      <c r="C4568" t="str">
        <f t="shared" si="2172"/>
        <v>NFSE</v>
      </c>
      <c r="D4568" t="str">
        <f>"3340"</f>
        <v>3340</v>
      </c>
      <c r="E4568" t="str">
        <f t="shared" si="2160"/>
        <v>COM</v>
      </c>
      <c r="F4568" t="str">
        <f>"ENTREFARMA (10164)"</f>
        <v>ENTREFARMA (10164)</v>
      </c>
      <c r="G4568" t="str">
        <f>"Serv.Prest. 04/08/2025 a 10/08/2025 - RPS: 1106 - NFSe: 3340"</f>
        <v>Serv.Prest. 04/08/2025 a 10/08/2025 - RPS: 1106 - NFSe: 3340</v>
      </c>
      <c r="H4568" t="str">
        <f t="shared" si="2173"/>
        <v>13/08/2025</v>
      </c>
      <c r="I4568" t="str">
        <f t="shared" si="2178"/>
        <v>11/08/2025</v>
      </c>
      <c r="J4568" t="str">
        <f t="shared" si="2174"/>
        <v>13/08/2025</v>
      </c>
      <c r="K4568">
        <v>1002.32</v>
      </c>
      <c r="L4568">
        <v>1002.32</v>
      </c>
      <c r="M4568">
        <v>303</v>
      </c>
      <c r="N4568" t="str">
        <f t="shared" si="2175"/>
        <v>RECEITAS COM ENTREGAS</v>
      </c>
      <c r="O4568">
        <v>1002.32</v>
      </c>
      <c r="R4568" t="str">
        <f t="shared" si="2176"/>
        <v>RECEITAS COM ENTREGAS (303)</v>
      </c>
      <c r="S4568">
        <v>2338</v>
      </c>
      <c r="T4568">
        <v>1841</v>
      </c>
      <c r="U4568" t="s">
        <v>19</v>
      </c>
    </row>
    <row r="4569" spans="1:21">
      <c r="A4569" t="str">
        <f t="shared" si="2171"/>
        <v>13/08/2025</v>
      </c>
      <c r="B4569" t="str">
        <f t="shared" si="2177"/>
        <v>ENTRADA</v>
      </c>
      <c r="C4569" t="str">
        <f t="shared" si="2172"/>
        <v>NFSE</v>
      </c>
      <c r="D4569" t="str">
        <f>"3340"</f>
        <v>3340</v>
      </c>
      <c r="E4569" t="str">
        <f t="shared" si="2160"/>
        <v>COM</v>
      </c>
      <c r="F4569" t="str">
        <f>"ENTREFARMA (10164)"</f>
        <v>ENTREFARMA (10164)</v>
      </c>
      <c r="G4569" t="str">
        <f>"Serv.Prest. 04/08/2025 a 10/08/2025 - RPS: 1106 - NFSe: 3340"</f>
        <v>Serv.Prest. 04/08/2025 a 10/08/2025 - RPS: 1106 - NFSe: 3340</v>
      </c>
      <c r="H4569" t="str">
        <f t="shared" si="2173"/>
        <v>13/08/2025</v>
      </c>
      <c r="I4569" t="str">
        <f t="shared" si="2178"/>
        <v>11/08/2025</v>
      </c>
      <c r="J4569" t="str">
        <f t="shared" si="2174"/>
        <v>13/08/2025</v>
      </c>
      <c r="M4569">
        <v>303</v>
      </c>
      <c r="N4569" t="str">
        <f t="shared" si="2175"/>
        <v>RECEITAS COM ENTREGAS</v>
      </c>
      <c r="P4569">
        <v>1002.32</v>
      </c>
      <c r="Q4569" t="str">
        <f>"ENTREFARMA (10164)"</f>
        <v>ENTREFARMA (10164)</v>
      </c>
      <c r="R4569" t="str">
        <f t="shared" si="2176"/>
        <v>RECEITAS COM ENTREGAS (303)</v>
      </c>
      <c r="S4569">
        <v>2338</v>
      </c>
      <c r="T4569">
        <v>1841</v>
      </c>
      <c r="U4569" t="s">
        <v>19</v>
      </c>
    </row>
    <row r="4570" spans="1:21">
      <c r="A4570" t="str">
        <f t="shared" si="2171"/>
        <v>13/08/2025</v>
      </c>
      <c r="B4570" t="str">
        <f t="shared" si="2177"/>
        <v>ENTRADA</v>
      </c>
      <c r="C4570" t="str">
        <f t="shared" si="2172"/>
        <v>NFSE</v>
      </c>
      <c r="D4570" t="str">
        <f>"3341"</f>
        <v>3341</v>
      </c>
      <c r="E4570" t="str">
        <f t="shared" si="2160"/>
        <v>COM</v>
      </c>
      <c r="F4570" t="str">
        <f>"ROSA MARIA LTDA (10165)"</f>
        <v>ROSA MARIA LTDA (10165)</v>
      </c>
      <c r="G4570" t="str">
        <f>"Serv.Prest. 04/08/2025 a 10/08/2025 - RPS: 1107 - NFSe: 3341"</f>
        <v>Serv.Prest. 04/08/2025 a 10/08/2025 - RPS: 1107 - NFSe: 3341</v>
      </c>
      <c r="H4570" t="str">
        <f t="shared" si="2173"/>
        <v>13/08/2025</v>
      </c>
      <c r="I4570" t="str">
        <f t="shared" si="2178"/>
        <v>11/08/2025</v>
      </c>
      <c r="J4570" t="str">
        <f t="shared" si="2174"/>
        <v>13/08/2025</v>
      </c>
      <c r="K4570">
        <v>238</v>
      </c>
      <c r="L4570">
        <v>238</v>
      </c>
      <c r="M4570">
        <v>303</v>
      </c>
      <c r="N4570" t="str">
        <f t="shared" si="2175"/>
        <v>RECEITAS COM ENTREGAS</v>
      </c>
      <c r="O4570">
        <v>238</v>
      </c>
      <c r="R4570" t="str">
        <f t="shared" si="2176"/>
        <v>RECEITAS COM ENTREGAS (303)</v>
      </c>
      <c r="S4570">
        <v>2339</v>
      </c>
      <c r="T4570">
        <v>1842</v>
      </c>
      <c r="U4570" t="s">
        <v>19</v>
      </c>
    </row>
    <row r="4571" spans="1:21">
      <c r="A4571" t="str">
        <f t="shared" si="2171"/>
        <v>13/08/2025</v>
      </c>
      <c r="B4571" t="str">
        <f t="shared" si="2177"/>
        <v>ENTRADA</v>
      </c>
      <c r="C4571" t="str">
        <f t="shared" si="2172"/>
        <v>NFSE</v>
      </c>
      <c r="D4571" t="str">
        <f>"3341"</f>
        <v>3341</v>
      </c>
      <c r="E4571" t="str">
        <f t="shared" si="2160"/>
        <v>COM</v>
      </c>
      <c r="F4571" t="str">
        <f>"ROSA MARIA LTDA (10165)"</f>
        <v>ROSA MARIA LTDA (10165)</v>
      </c>
      <c r="G4571" t="str">
        <f>"Serv.Prest. 04/08/2025 a 10/08/2025 - RPS: 1107 - NFSe: 3341"</f>
        <v>Serv.Prest. 04/08/2025 a 10/08/2025 - RPS: 1107 - NFSe: 3341</v>
      </c>
      <c r="H4571" t="str">
        <f t="shared" si="2173"/>
        <v>13/08/2025</v>
      </c>
      <c r="I4571" t="str">
        <f t="shared" si="2178"/>
        <v>11/08/2025</v>
      </c>
      <c r="J4571" t="str">
        <f t="shared" si="2174"/>
        <v>13/08/2025</v>
      </c>
      <c r="M4571">
        <v>303</v>
      </c>
      <c r="N4571" t="str">
        <f t="shared" si="2175"/>
        <v>RECEITAS COM ENTREGAS</v>
      </c>
      <c r="P4571">
        <v>238</v>
      </c>
      <c r="Q4571" t="str">
        <f>"ROSA MARIA LTDA (10170)"</f>
        <v>ROSA MARIA LTDA (10170)</v>
      </c>
      <c r="R4571" t="str">
        <f t="shared" si="2176"/>
        <v>RECEITAS COM ENTREGAS (303)</v>
      </c>
      <c r="S4571">
        <v>2339</v>
      </c>
      <c r="T4571">
        <v>1842</v>
      </c>
      <c r="U4571" t="s">
        <v>19</v>
      </c>
    </row>
    <row r="4572" spans="1:21">
      <c r="A4572" t="str">
        <f t="shared" si="2171"/>
        <v>13/08/2025</v>
      </c>
      <c r="B4572" t="str">
        <f t="shared" si="2177"/>
        <v>ENTRADA</v>
      </c>
      <c r="C4572" t="str">
        <f t="shared" si="2172"/>
        <v>NFSE</v>
      </c>
      <c r="D4572" t="str">
        <f>"3344"</f>
        <v>3344</v>
      </c>
      <c r="E4572" t="str">
        <f t="shared" si="2160"/>
        <v>COM</v>
      </c>
      <c r="F4572" t="str">
        <f>"DROGARIA ANA VISCONDE DO RIO BRANCO (10182)"</f>
        <v>DROGARIA ANA VISCONDE DO RIO BRANCO (10182)</v>
      </c>
      <c r="G4572" t="str">
        <f>"Serv.Prest. 04/08/2025 a 10/08/2025 - RPS: 1110 - NFSe: 3344"</f>
        <v>Serv.Prest. 04/08/2025 a 10/08/2025 - RPS: 1110 - NFSe: 3344</v>
      </c>
      <c r="H4572" t="str">
        <f t="shared" si="2173"/>
        <v>13/08/2025</v>
      </c>
      <c r="I4572" t="str">
        <f t="shared" si="2178"/>
        <v>11/08/2025</v>
      </c>
      <c r="J4572" t="str">
        <f t="shared" si="2174"/>
        <v>13/08/2025</v>
      </c>
      <c r="K4572">
        <v>845.28</v>
      </c>
      <c r="L4572">
        <v>845.28</v>
      </c>
      <c r="M4572">
        <v>303</v>
      </c>
      <c r="N4572" t="str">
        <f t="shared" si="2175"/>
        <v>RECEITAS COM ENTREGAS</v>
      </c>
      <c r="O4572">
        <v>845.28</v>
      </c>
      <c r="R4572" t="str">
        <f t="shared" si="2176"/>
        <v>RECEITAS COM ENTREGAS (303)</v>
      </c>
      <c r="S4572">
        <v>2340</v>
      </c>
      <c r="T4572">
        <v>1845</v>
      </c>
      <c r="U4572" t="s">
        <v>19</v>
      </c>
    </row>
    <row r="4573" spans="1:21">
      <c r="A4573" t="str">
        <f t="shared" si="2171"/>
        <v>13/08/2025</v>
      </c>
      <c r="B4573" t="str">
        <f t="shared" si="2177"/>
        <v>ENTRADA</v>
      </c>
      <c r="C4573" t="str">
        <f t="shared" si="2172"/>
        <v>NFSE</v>
      </c>
      <c r="D4573" t="str">
        <f>"3344"</f>
        <v>3344</v>
      </c>
      <c r="E4573" t="str">
        <f t="shared" si="2160"/>
        <v>COM</v>
      </c>
      <c r="F4573" t="str">
        <f>"DROGARIA ANA VISCONDE DO RIO BRANCO (10182)"</f>
        <v>DROGARIA ANA VISCONDE DO RIO BRANCO (10182)</v>
      </c>
      <c r="G4573" t="str">
        <f>"Serv.Prest. 04/08/2025 a 10/08/2025 - RPS: 1110 - NFSe: 3344"</f>
        <v>Serv.Prest. 04/08/2025 a 10/08/2025 - RPS: 1110 - NFSe: 3344</v>
      </c>
      <c r="H4573" t="str">
        <f t="shared" si="2173"/>
        <v>13/08/2025</v>
      </c>
      <c r="I4573" t="str">
        <f t="shared" si="2178"/>
        <v>11/08/2025</v>
      </c>
      <c r="J4573" t="str">
        <f t="shared" si="2174"/>
        <v>13/08/2025</v>
      </c>
      <c r="M4573">
        <v>303</v>
      </c>
      <c r="N4573" t="str">
        <f t="shared" si="2175"/>
        <v>RECEITAS COM ENTREGAS</v>
      </c>
      <c r="P4573">
        <v>845.28</v>
      </c>
      <c r="Q4573" t="str">
        <f>"DROGARIA ANA VISCONDE DO RIO BRANCO (10182)"</f>
        <v>DROGARIA ANA VISCONDE DO RIO BRANCO (10182)</v>
      </c>
      <c r="R4573" t="str">
        <f t="shared" si="2176"/>
        <v>RECEITAS COM ENTREGAS (303)</v>
      </c>
      <c r="S4573">
        <v>2340</v>
      </c>
      <c r="T4573">
        <v>1845</v>
      </c>
      <c r="U4573" t="s">
        <v>19</v>
      </c>
    </row>
    <row r="4574" spans="1:21">
      <c r="A4574" t="str">
        <f t="shared" si="2171"/>
        <v>13/08/2025</v>
      </c>
      <c r="B4574" t="str">
        <f t="shared" si="2177"/>
        <v>ENTRADA</v>
      </c>
      <c r="C4574" t="str">
        <f t="shared" si="2172"/>
        <v>NFSE</v>
      </c>
      <c r="D4574" t="str">
        <f>"3345"</f>
        <v>3345</v>
      </c>
      <c r="E4574" t="str">
        <f t="shared" si="2160"/>
        <v>COM</v>
      </c>
      <c r="F4574" t="str">
        <f>"DROGARIA AGAPEAMA (10167)"</f>
        <v>DROGARIA AGAPEAMA (10167)</v>
      </c>
      <c r="G4574" t="str">
        <f>"Serv.Prest. 04/08/2025 a 10/08/2025 - RPS: 1111 - NFSe: 3345"</f>
        <v>Serv.Prest. 04/08/2025 a 10/08/2025 - RPS: 1111 - NFSe: 3345</v>
      </c>
      <c r="H4574" t="str">
        <f t="shared" si="2173"/>
        <v>13/08/2025</v>
      </c>
      <c r="I4574" t="str">
        <f t="shared" si="2178"/>
        <v>11/08/2025</v>
      </c>
      <c r="J4574" t="str">
        <f t="shared" si="2174"/>
        <v>13/08/2025</v>
      </c>
      <c r="K4574">
        <v>396.8</v>
      </c>
      <c r="L4574">
        <v>396.8</v>
      </c>
      <c r="M4574">
        <v>303</v>
      </c>
      <c r="N4574" t="str">
        <f t="shared" si="2175"/>
        <v>RECEITAS COM ENTREGAS</v>
      </c>
      <c r="O4574">
        <v>396.8</v>
      </c>
      <c r="R4574" t="str">
        <f t="shared" si="2176"/>
        <v>RECEITAS COM ENTREGAS (303)</v>
      </c>
      <c r="S4574">
        <v>2341</v>
      </c>
      <c r="T4574">
        <v>1846</v>
      </c>
      <c r="U4574" t="s">
        <v>19</v>
      </c>
    </row>
    <row r="4575" spans="1:21">
      <c r="A4575" t="str">
        <f t="shared" si="2171"/>
        <v>13/08/2025</v>
      </c>
      <c r="B4575" t="str">
        <f t="shared" si="2177"/>
        <v>ENTRADA</v>
      </c>
      <c r="C4575" t="str">
        <f t="shared" si="2172"/>
        <v>NFSE</v>
      </c>
      <c r="D4575" t="str">
        <f>"3345"</f>
        <v>3345</v>
      </c>
      <c r="E4575" t="str">
        <f t="shared" si="2160"/>
        <v>COM</v>
      </c>
      <c r="F4575" t="str">
        <f>"DROGARIA AGAPEAMA (10167)"</f>
        <v>DROGARIA AGAPEAMA (10167)</v>
      </c>
      <c r="G4575" t="str">
        <f>"Serv.Prest. 04/08/2025 a 10/08/2025 - RPS: 1111 - NFSe: 3345"</f>
        <v>Serv.Prest. 04/08/2025 a 10/08/2025 - RPS: 1111 - NFSe: 3345</v>
      </c>
      <c r="H4575" t="str">
        <f t="shared" si="2173"/>
        <v>13/08/2025</v>
      </c>
      <c r="I4575" t="str">
        <f t="shared" si="2178"/>
        <v>11/08/2025</v>
      </c>
      <c r="J4575" t="str">
        <f t="shared" si="2174"/>
        <v>13/08/2025</v>
      </c>
      <c r="M4575">
        <v>303</v>
      </c>
      <c r="N4575" t="str">
        <f t="shared" si="2175"/>
        <v>RECEITAS COM ENTREGAS</v>
      </c>
      <c r="P4575">
        <v>396.8</v>
      </c>
      <c r="Q4575" t="str">
        <f>"DROGARIA AGAPEAMA (10167)"</f>
        <v>DROGARIA AGAPEAMA (10167)</v>
      </c>
      <c r="R4575" t="str">
        <f t="shared" si="2176"/>
        <v>RECEITAS COM ENTREGAS (303)</v>
      </c>
      <c r="S4575">
        <v>2341</v>
      </c>
      <c r="T4575">
        <v>1846</v>
      </c>
      <c r="U4575" t="s">
        <v>19</v>
      </c>
    </row>
    <row r="4576" spans="1:21">
      <c r="A4576" t="str">
        <f t="shared" si="2171"/>
        <v>13/08/2025</v>
      </c>
      <c r="B4576" t="str">
        <f t="shared" si="2177"/>
        <v>ENTRADA</v>
      </c>
      <c r="C4576" t="str">
        <f t="shared" si="2172"/>
        <v>NFSE</v>
      </c>
      <c r="D4576" t="str">
        <f>"3348"</f>
        <v>3348</v>
      </c>
      <c r="E4576" t="str">
        <f t="shared" si="2160"/>
        <v>COM</v>
      </c>
      <c r="F4576" t="str">
        <f>"JAL FARMACIA E DROGARIA LJ 2 (10138)"</f>
        <v>JAL FARMACIA E DROGARIA LJ 2 (10138)</v>
      </c>
      <c r="G4576" t="str">
        <f>"Serv.Prest. 04/08/2025 a 10/08/2025 - RPS: 1114 - NFSe: 3348"</f>
        <v>Serv.Prest. 04/08/2025 a 10/08/2025 - RPS: 1114 - NFSe: 3348</v>
      </c>
      <c r="H4576" t="str">
        <f t="shared" si="2173"/>
        <v>13/08/2025</v>
      </c>
      <c r="I4576" t="str">
        <f t="shared" si="2178"/>
        <v>11/08/2025</v>
      </c>
      <c r="J4576" t="str">
        <f t="shared" si="2174"/>
        <v>13/08/2025</v>
      </c>
      <c r="K4576">
        <v>272</v>
      </c>
      <c r="L4576">
        <v>272</v>
      </c>
      <c r="M4576">
        <v>303</v>
      </c>
      <c r="N4576" t="str">
        <f t="shared" si="2175"/>
        <v>RECEITAS COM ENTREGAS</v>
      </c>
      <c r="O4576">
        <v>272</v>
      </c>
      <c r="R4576" t="str">
        <f t="shared" si="2176"/>
        <v>RECEITAS COM ENTREGAS (303)</v>
      </c>
      <c r="S4576">
        <v>2342</v>
      </c>
      <c r="T4576">
        <v>1849</v>
      </c>
      <c r="U4576" t="s">
        <v>19</v>
      </c>
    </row>
    <row r="4577" spans="1:21">
      <c r="A4577" t="str">
        <f t="shared" si="2171"/>
        <v>13/08/2025</v>
      </c>
      <c r="B4577" t="str">
        <f t="shared" si="2177"/>
        <v>ENTRADA</v>
      </c>
      <c r="C4577" t="str">
        <f t="shared" si="2172"/>
        <v>NFSE</v>
      </c>
      <c r="D4577" t="str">
        <f>"3348"</f>
        <v>3348</v>
      </c>
      <c r="E4577" t="str">
        <f t="shared" si="2160"/>
        <v>COM</v>
      </c>
      <c r="F4577" t="str">
        <f>"JAL FARMACIA E DROGARIA LJ 2 (10138)"</f>
        <v>JAL FARMACIA E DROGARIA LJ 2 (10138)</v>
      </c>
      <c r="G4577" t="str">
        <f>"Serv.Prest. 04/08/2025 a 10/08/2025 - RPS: 1114 - NFSe: 3348"</f>
        <v>Serv.Prest. 04/08/2025 a 10/08/2025 - RPS: 1114 - NFSe: 3348</v>
      </c>
      <c r="H4577" t="str">
        <f t="shared" si="2173"/>
        <v>13/08/2025</v>
      </c>
      <c r="I4577" t="str">
        <f t="shared" si="2178"/>
        <v>11/08/2025</v>
      </c>
      <c r="J4577" t="str">
        <f t="shared" si="2174"/>
        <v>13/08/2025</v>
      </c>
      <c r="M4577">
        <v>303</v>
      </c>
      <c r="N4577" t="str">
        <f t="shared" si="2175"/>
        <v>RECEITAS COM ENTREGAS</v>
      </c>
      <c r="P4577">
        <v>272</v>
      </c>
      <c r="Q4577" t="str">
        <f>"JAL FARMACIA E DROGARIA LJ 2 (10138)"</f>
        <v>JAL FARMACIA E DROGARIA LJ 2 (10138)</v>
      </c>
      <c r="R4577" t="str">
        <f t="shared" si="2176"/>
        <v>RECEITAS COM ENTREGAS (303)</v>
      </c>
      <c r="S4577">
        <v>2342</v>
      </c>
      <c r="T4577">
        <v>1849</v>
      </c>
      <c r="U4577" t="s">
        <v>19</v>
      </c>
    </row>
    <row r="4578" spans="1:21">
      <c r="A4578" t="str">
        <f t="shared" si="2171"/>
        <v>13/08/2025</v>
      </c>
      <c r="B4578" t="str">
        <f t="shared" ref="B4578:B4584" si="2179">"SAÍDA"</f>
        <v>SAÍDA</v>
      </c>
      <c r="C4578" t="str">
        <f t="shared" ref="C4578:C4584" si="2180">"CONHECIMENTO"</f>
        <v>CONHECIMENTO</v>
      </c>
      <c r="D4578" t="str">
        <f t="shared" ref="D4578:D4584" si="2181">"130825170"</f>
        <v>130825170</v>
      </c>
      <c r="E4578" t="str">
        <f t="shared" si="2160"/>
        <v>COM</v>
      </c>
      <c r="F4578" t="str">
        <f t="shared" ref="F4578:F4584" si="2182">"CORA SOCIEDADE DE CREDITO, FINANCIAMENTO E INVESTIMENTO (20035)"</f>
        <v>CORA SOCIEDADE DE CREDITO, FINANCIAMENTO E INVESTIMENTO (20035)</v>
      </c>
      <c r="G4578" t="str">
        <f t="shared" ref="G4578:G4584" si="2183">"TAXA BOLETO COMPENSADO"</f>
        <v>TAXA BOLETO COMPENSADO</v>
      </c>
      <c r="H4578" t="str">
        <f t="shared" si="2173"/>
        <v>13/08/2025</v>
      </c>
      <c r="I4578" t="str">
        <f t="shared" ref="I4578:I4584" si="2184">("13/08/2025")</f>
        <v>13/08/2025</v>
      </c>
      <c r="J4578" t="str">
        <f t="shared" si="2174"/>
        <v>13/08/2025</v>
      </c>
      <c r="K4578">
        <v>1.7</v>
      </c>
      <c r="L4578">
        <v>1.7</v>
      </c>
      <c r="M4578">
        <v>401</v>
      </c>
      <c r="N4578" t="str">
        <f t="shared" ref="N4578:N4584" si="2185">"IOF/JUROS/DESP.FINANCEIRA"</f>
        <v>IOF/JUROS/DESP.FINANCEIRA</v>
      </c>
      <c r="O4578">
        <v>1.7</v>
      </c>
      <c r="R4578" t="str">
        <f t="shared" ref="R4578:R4584" si="2186">"BANCO CORA (102)"</f>
        <v>BANCO CORA (102)</v>
      </c>
      <c r="S4578">
        <v>2346</v>
      </c>
      <c r="T4578">
        <v>1890</v>
      </c>
      <c r="U4578" t="s">
        <v>19</v>
      </c>
    </row>
    <row r="4579" spans="1:21">
      <c r="A4579" t="str">
        <f t="shared" si="2171"/>
        <v>13/08/2025</v>
      </c>
      <c r="B4579" t="str">
        <f t="shared" si="2179"/>
        <v>SAÍDA</v>
      </c>
      <c r="C4579" t="str">
        <f t="shared" si="2180"/>
        <v>CONHECIMENTO</v>
      </c>
      <c r="D4579" t="str">
        <f t="shared" si="2181"/>
        <v>130825170</v>
      </c>
      <c r="E4579" t="str">
        <f t="shared" si="2160"/>
        <v>COM</v>
      </c>
      <c r="F4579" t="str">
        <f t="shared" si="2182"/>
        <v>CORA SOCIEDADE DE CREDITO, FINANCIAMENTO E INVESTIMENTO (20035)</v>
      </c>
      <c r="G4579" t="str">
        <f t="shared" si="2183"/>
        <v>TAXA BOLETO COMPENSADO</v>
      </c>
      <c r="H4579" t="str">
        <f t="shared" si="2173"/>
        <v>13/08/2025</v>
      </c>
      <c r="I4579" t="str">
        <f t="shared" si="2184"/>
        <v>13/08/2025</v>
      </c>
      <c r="J4579" t="str">
        <f t="shared" si="2174"/>
        <v>13/08/2025</v>
      </c>
      <c r="K4579">
        <v>1.7</v>
      </c>
      <c r="L4579">
        <v>1.7</v>
      </c>
      <c r="M4579">
        <v>401</v>
      </c>
      <c r="N4579" t="str">
        <f t="shared" si="2185"/>
        <v>IOF/JUROS/DESP.FINANCEIRA</v>
      </c>
      <c r="O4579">
        <v>1.7</v>
      </c>
      <c r="R4579" t="str">
        <f t="shared" si="2186"/>
        <v>BANCO CORA (102)</v>
      </c>
      <c r="S4579">
        <v>2347</v>
      </c>
      <c r="T4579">
        <v>1889</v>
      </c>
      <c r="U4579" t="s">
        <v>19</v>
      </c>
    </row>
    <row r="4580" spans="1:21">
      <c r="A4580" t="str">
        <f t="shared" si="2171"/>
        <v>13/08/2025</v>
      </c>
      <c r="B4580" t="str">
        <f t="shared" si="2179"/>
        <v>SAÍDA</v>
      </c>
      <c r="C4580" t="str">
        <f t="shared" si="2180"/>
        <v>CONHECIMENTO</v>
      </c>
      <c r="D4580" t="str">
        <f t="shared" si="2181"/>
        <v>130825170</v>
      </c>
      <c r="E4580" t="str">
        <f t="shared" si="2160"/>
        <v>COM</v>
      </c>
      <c r="F4580" t="str">
        <f t="shared" si="2182"/>
        <v>CORA SOCIEDADE DE CREDITO, FINANCIAMENTO E INVESTIMENTO (20035)</v>
      </c>
      <c r="G4580" t="str">
        <f t="shared" si="2183"/>
        <v>TAXA BOLETO COMPENSADO</v>
      </c>
      <c r="H4580" t="str">
        <f t="shared" si="2173"/>
        <v>13/08/2025</v>
      </c>
      <c r="I4580" t="str">
        <f t="shared" si="2184"/>
        <v>13/08/2025</v>
      </c>
      <c r="J4580" t="str">
        <f t="shared" si="2174"/>
        <v>13/08/2025</v>
      </c>
      <c r="K4580">
        <v>1.7</v>
      </c>
      <c r="L4580">
        <v>1.7</v>
      </c>
      <c r="M4580">
        <v>401</v>
      </c>
      <c r="N4580" t="str">
        <f t="shared" si="2185"/>
        <v>IOF/JUROS/DESP.FINANCEIRA</v>
      </c>
      <c r="O4580">
        <v>1.7</v>
      </c>
      <c r="R4580" t="str">
        <f t="shared" si="2186"/>
        <v>BANCO CORA (102)</v>
      </c>
      <c r="S4580">
        <v>2348</v>
      </c>
      <c r="T4580">
        <v>1888</v>
      </c>
      <c r="U4580" t="s">
        <v>19</v>
      </c>
    </row>
    <row r="4581" spans="1:21">
      <c r="A4581" t="str">
        <f t="shared" si="2171"/>
        <v>13/08/2025</v>
      </c>
      <c r="B4581" t="str">
        <f t="shared" si="2179"/>
        <v>SAÍDA</v>
      </c>
      <c r="C4581" t="str">
        <f t="shared" si="2180"/>
        <v>CONHECIMENTO</v>
      </c>
      <c r="D4581" t="str">
        <f t="shared" si="2181"/>
        <v>130825170</v>
      </c>
      <c r="E4581" t="str">
        <f t="shared" si="2160"/>
        <v>COM</v>
      </c>
      <c r="F4581" t="str">
        <f t="shared" si="2182"/>
        <v>CORA SOCIEDADE DE CREDITO, FINANCIAMENTO E INVESTIMENTO (20035)</v>
      </c>
      <c r="G4581" t="str">
        <f t="shared" si="2183"/>
        <v>TAXA BOLETO COMPENSADO</v>
      </c>
      <c r="H4581" t="str">
        <f t="shared" si="2173"/>
        <v>13/08/2025</v>
      </c>
      <c r="I4581" t="str">
        <f t="shared" si="2184"/>
        <v>13/08/2025</v>
      </c>
      <c r="J4581" t="str">
        <f t="shared" si="2174"/>
        <v>13/08/2025</v>
      </c>
      <c r="K4581">
        <v>1.7</v>
      </c>
      <c r="L4581">
        <v>1.7</v>
      </c>
      <c r="M4581">
        <v>401</v>
      </c>
      <c r="N4581" t="str">
        <f t="shared" si="2185"/>
        <v>IOF/JUROS/DESP.FINANCEIRA</v>
      </c>
      <c r="O4581">
        <v>1.7</v>
      </c>
      <c r="R4581" t="str">
        <f t="shared" si="2186"/>
        <v>BANCO CORA (102)</v>
      </c>
      <c r="S4581">
        <v>2349</v>
      </c>
      <c r="T4581">
        <v>1887</v>
      </c>
      <c r="U4581" t="s">
        <v>19</v>
      </c>
    </row>
    <row r="4582" spans="1:21">
      <c r="A4582" t="str">
        <f t="shared" si="2171"/>
        <v>13/08/2025</v>
      </c>
      <c r="B4582" t="str">
        <f t="shared" si="2179"/>
        <v>SAÍDA</v>
      </c>
      <c r="C4582" t="str">
        <f t="shared" si="2180"/>
        <v>CONHECIMENTO</v>
      </c>
      <c r="D4582" t="str">
        <f t="shared" si="2181"/>
        <v>130825170</v>
      </c>
      <c r="E4582" t="str">
        <f t="shared" si="2160"/>
        <v>COM</v>
      </c>
      <c r="F4582" t="str">
        <f t="shared" si="2182"/>
        <v>CORA SOCIEDADE DE CREDITO, FINANCIAMENTO E INVESTIMENTO (20035)</v>
      </c>
      <c r="G4582" t="str">
        <f t="shared" si="2183"/>
        <v>TAXA BOLETO COMPENSADO</v>
      </c>
      <c r="H4582" t="str">
        <f t="shared" si="2173"/>
        <v>13/08/2025</v>
      </c>
      <c r="I4582" t="str">
        <f t="shared" si="2184"/>
        <v>13/08/2025</v>
      </c>
      <c r="J4582" t="str">
        <f t="shared" si="2174"/>
        <v>13/08/2025</v>
      </c>
      <c r="K4582">
        <v>1.7</v>
      </c>
      <c r="L4582">
        <v>1.7</v>
      </c>
      <c r="M4582">
        <v>401</v>
      </c>
      <c r="N4582" t="str">
        <f t="shared" si="2185"/>
        <v>IOF/JUROS/DESP.FINANCEIRA</v>
      </c>
      <c r="O4582">
        <v>1.7</v>
      </c>
      <c r="R4582" t="str">
        <f t="shared" si="2186"/>
        <v>BANCO CORA (102)</v>
      </c>
      <c r="S4582">
        <v>2350</v>
      </c>
      <c r="T4582">
        <v>1886</v>
      </c>
      <c r="U4582" t="s">
        <v>19</v>
      </c>
    </row>
    <row r="4583" spans="1:21">
      <c r="A4583" t="str">
        <f t="shared" si="2171"/>
        <v>13/08/2025</v>
      </c>
      <c r="B4583" t="str">
        <f t="shared" si="2179"/>
        <v>SAÍDA</v>
      </c>
      <c r="C4583" t="str">
        <f t="shared" si="2180"/>
        <v>CONHECIMENTO</v>
      </c>
      <c r="D4583" t="str">
        <f t="shared" si="2181"/>
        <v>130825170</v>
      </c>
      <c r="E4583" t="str">
        <f t="shared" si="2160"/>
        <v>COM</v>
      </c>
      <c r="F4583" t="str">
        <f t="shared" si="2182"/>
        <v>CORA SOCIEDADE DE CREDITO, FINANCIAMENTO E INVESTIMENTO (20035)</v>
      </c>
      <c r="G4583" t="str">
        <f t="shared" si="2183"/>
        <v>TAXA BOLETO COMPENSADO</v>
      </c>
      <c r="H4583" t="str">
        <f t="shared" si="2173"/>
        <v>13/08/2025</v>
      </c>
      <c r="I4583" t="str">
        <f t="shared" si="2184"/>
        <v>13/08/2025</v>
      </c>
      <c r="J4583" t="str">
        <f t="shared" si="2174"/>
        <v>13/08/2025</v>
      </c>
      <c r="K4583">
        <v>1.7</v>
      </c>
      <c r="L4583">
        <v>1.7</v>
      </c>
      <c r="M4583">
        <v>401</v>
      </c>
      <c r="N4583" t="str">
        <f t="shared" si="2185"/>
        <v>IOF/JUROS/DESP.FINANCEIRA</v>
      </c>
      <c r="O4583">
        <v>1.7</v>
      </c>
      <c r="R4583" t="str">
        <f t="shared" si="2186"/>
        <v>BANCO CORA (102)</v>
      </c>
      <c r="S4583">
        <v>2351</v>
      </c>
      <c r="T4583">
        <v>1885</v>
      </c>
      <c r="U4583" t="s">
        <v>19</v>
      </c>
    </row>
    <row r="4584" spans="1:21">
      <c r="A4584" t="str">
        <f t="shared" si="2171"/>
        <v>13/08/2025</v>
      </c>
      <c r="B4584" t="str">
        <f t="shared" si="2179"/>
        <v>SAÍDA</v>
      </c>
      <c r="C4584" t="str">
        <f t="shared" si="2180"/>
        <v>CONHECIMENTO</v>
      </c>
      <c r="D4584" t="str">
        <f t="shared" si="2181"/>
        <v>130825170</v>
      </c>
      <c r="E4584" t="str">
        <f t="shared" si="2160"/>
        <v>COM</v>
      </c>
      <c r="F4584" t="str">
        <f t="shared" si="2182"/>
        <v>CORA SOCIEDADE DE CREDITO, FINANCIAMENTO E INVESTIMENTO (20035)</v>
      </c>
      <c r="G4584" t="str">
        <f t="shared" si="2183"/>
        <v>TAXA BOLETO COMPENSADO</v>
      </c>
      <c r="H4584" t="str">
        <f t="shared" si="2173"/>
        <v>13/08/2025</v>
      </c>
      <c r="I4584" t="str">
        <f t="shared" si="2184"/>
        <v>13/08/2025</v>
      </c>
      <c r="J4584" t="str">
        <f t="shared" si="2174"/>
        <v>13/08/2025</v>
      </c>
      <c r="K4584">
        <v>1.7</v>
      </c>
      <c r="L4584">
        <v>1.7</v>
      </c>
      <c r="M4584">
        <v>401</v>
      </c>
      <c r="N4584" t="str">
        <f t="shared" si="2185"/>
        <v>IOF/JUROS/DESP.FINANCEIRA</v>
      </c>
      <c r="O4584">
        <v>1.7</v>
      </c>
      <c r="R4584" t="str">
        <f t="shared" si="2186"/>
        <v>BANCO CORA (102)</v>
      </c>
      <c r="S4584">
        <v>2352</v>
      </c>
      <c r="T4584">
        <v>1884</v>
      </c>
      <c r="U4584" t="s">
        <v>19</v>
      </c>
    </row>
    <row r="4585" spans="1:21">
      <c r="A4585" t="str">
        <f t="shared" si="2171"/>
        <v>13/08/2025</v>
      </c>
      <c r="B4585" t="str">
        <f>"ENTRADA"</f>
        <v>ENTRADA</v>
      </c>
      <c r="C4585" t="str">
        <f>"NFSE"</f>
        <v>NFSE</v>
      </c>
      <c r="D4585" t="str">
        <f>"3306"</f>
        <v>3306</v>
      </c>
      <c r="E4585" t="str">
        <f t="shared" si="2160"/>
        <v>COM</v>
      </c>
      <c r="F4585" t="str">
        <f>"BRASIL FARMA (10173)"</f>
        <v>BRASIL FARMA (10173)</v>
      </c>
      <c r="G4585" t="str">
        <f>"Serv.Prest. 28/07/2025 a 03/08/2025 - RPS: 1072 - NFSe: 3306"</f>
        <v>Serv.Prest. 28/07/2025 a 03/08/2025 - RPS: 1072 - NFSe: 3306</v>
      </c>
      <c r="H4585" t="str">
        <f>("06/08/2025")</f>
        <v>06/08/2025</v>
      </c>
      <c r="I4585" t="str">
        <f>("04/08/2025")</f>
        <v>04/08/2025</v>
      </c>
      <c r="J4585" t="str">
        <f t="shared" si="2174"/>
        <v>13/08/2025</v>
      </c>
      <c r="K4585">
        <v>320.95999999999998</v>
      </c>
      <c r="L4585">
        <v>328.01</v>
      </c>
      <c r="M4585">
        <v>303</v>
      </c>
      <c r="N4585" t="str">
        <f>"RECEITAS COM ENTREGAS"</f>
        <v>RECEITAS COM ENTREGAS</v>
      </c>
      <c r="O4585">
        <v>328.01</v>
      </c>
      <c r="R4585" t="str">
        <f>"RECEITAS COM ENTREGAS (303)"</f>
        <v>RECEITAS COM ENTREGAS (303)</v>
      </c>
      <c r="S4585">
        <v>2357</v>
      </c>
      <c r="T4585">
        <v>1760</v>
      </c>
      <c r="U4585" t="s">
        <v>19</v>
      </c>
    </row>
    <row r="4586" spans="1:21">
      <c r="A4586" t="str">
        <f t="shared" si="2171"/>
        <v>13/08/2025</v>
      </c>
      <c r="B4586" t="str">
        <f>"ENTRADA"</f>
        <v>ENTRADA</v>
      </c>
      <c r="C4586" t="str">
        <f>"NFSE"</f>
        <v>NFSE</v>
      </c>
      <c r="D4586" t="str">
        <f>"3306"</f>
        <v>3306</v>
      </c>
      <c r="E4586" t="str">
        <f t="shared" si="2160"/>
        <v>COM</v>
      </c>
      <c r="F4586" t="str">
        <f>"BRASIL FARMA (10173)"</f>
        <v>BRASIL FARMA (10173)</v>
      </c>
      <c r="G4586" t="str">
        <f>"Serv.Prest. 28/07/2025 a 03/08/2025 - RPS: 1072 - NFSe: 3306"</f>
        <v>Serv.Prest. 28/07/2025 a 03/08/2025 - RPS: 1072 - NFSe: 3306</v>
      </c>
      <c r="H4586" t="str">
        <f>("06/08/2025")</f>
        <v>06/08/2025</v>
      </c>
      <c r="I4586" t="str">
        <f>("04/08/2025")</f>
        <v>04/08/2025</v>
      </c>
      <c r="J4586" t="str">
        <f t="shared" si="2174"/>
        <v>13/08/2025</v>
      </c>
      <c r="M4586">
        <v>303</v>
      </c>
      <c r="N4586" t="str">
        <f>"RECEITAS COM ENTREGAS"</f>
        <v>RECEITAS COM ENTREGAS</v>
      </c>
      <c r="P4586">
        <v>328.01</v>
      </c>
      <c r="Q4586" t="str">
        <f>"BRASIL FARMA (10173)"</f>
        <v>BRASIL FARMA (10173)</v>
      </c>
      <c r="R4586" t="str">
        <f>"RECEITAS COM ENTREGAS (303)"</f>
        <v>RECEITAS COM ENTREGAS (303)</v>
      </c>
      <c r="S4586">
        <v>2357</v>
      </c>
      <c r="T4586">
        <v>1760</v>
      </c>
      <c r="U4586" t="s">
        <v>19</v>
      </c>
    </row>
    <row r="4587" spans="1:21">
      <c r="A4587" t="str">
        <f t="shared" ref="A4587:A4618" si="2187">("14/08/2025")</f>
        <v>14/08/2025</v>
      </c>
      <c r="B4587" t="str">
        <f t="shared" ref="B4587:B4612" si="2188">"SAÍDA"</f>
        <v>SAÍDA</v>
      </c>
      <c r="C4587" t="str">
        <f t="shared" ref="C4587:C4612" si="2189">"CONHECIMENTO"</f>
        <v>CONHECIMENTO</v>
      </c>
      <c r="D4587" t="str">
        <f t="shared" ref="D4587:D4612" si="2190">"140825170"</f>
        <v>140825170</v>
      </c>
      <c r="E4587" t="str">
        <f t="shared" si="2160"/>
        <v>COM</v>
      </c>
      <c r="F4587" t="str">
        <f t="shared" ref="F4587:F4612" si="2191">"CORA SOCIEDADE DE CREDITO, FINANCIAMENTO E INVESTIMENTO (20035)"</f>
        <v>CORA SOCIEDADE DE CREDITO, FINANCIAMENTO E INVESTIMENTO (20035)</v>
      </c>
      <c r="G4587" t="str">
        <f t="shared" ref="G4587:G4612" si="2192">"TAXA BOLETO COMPENSADO"</f>
        <v>TAXA BOLETO COMPENSADO</v>
      </c>
      <c r="H4587" t="str">
        <f t="shared" ref="H4587:J4612" si="2193">("14/08/2025")</f>
        <v>14/08/2025</v>
      </c>
      <c r="I4587" t="str">
        <f t="shared" si="2193"/>
        <v>14/08/2025</v>
      </c>
      <c r="J4587" t="str">
        <f t="shared" si="2193"/>
        <v>14/08/2025</v>
      </c>
      <c r="K4587">
        <v>1.7</v>
      </c>
      <c r="L4587">
        <v>1.7</v>
      </c>
      <c r="M4587">
        <v>401</v>
      </c>
      <c r="N4587" t="str">
        <f t="shared" ref="N4587:N4612" si="2194">"IOF/JUROS/DESP.FINANCEIRA"</f>
        <v>IOF/JUROS/DESP.FINANCEIRA</v>
      </c>
      <c r="O4587">
        <v>1.7</v>
      </c>
      <c r="R4587" t="str">
        <f t="shared" ref="R4587:R4612" si="2195">"BANCO CORA (102)"</f>
        <v>BANCO CORA (102)</v>
      </c>
      <c r="S4587">
        <v>2361</v>
      </c>
      <c r="T4587">
        <v>1919</v>
      </c>
      <c r="U4587" t="s">
        <v>19</v>
      </c>
    </row>
    <row r="4588" spans="1:21">
      <c r="A4588" t="str">
        <f t="shared" si="2187"/>
        <v>14/08/2025</v>
      </c>
      <c r="B4588" t="str">
        <f t="shared" si="2188"/>
        <v>SAÍDA</v>
      </c>
      <c r="C4588" t="str">
        <f t="shared" si="2189"/>
        <v>CONHECIMENTO</v>
      </c>
      <c r="D4588" t="str">
        <f t="shared" si="2190"/>
        <v>140825170</v>
      </c>
      <c r="E4588" t="str">
        <f t="shared" si="2160"/>
        <v>COM</v>
      </c>
      <c r="F4588" t="str">
        <f t="shared" si="2191"/>
        <v>CORA SOCIEDADE DE CREDITO, FINANCIAMENTO E INVESTIMENTO (20035)</v>
      </c>
      <c r="G4588" t="str">
        <f t="shared" si="2192"/>
        <v>TAXA BOLETO COMPENSADO</v>
      </c>
      <c r="H4588" t="str">
        <f t="shared" si="2193"/>
        <v>14/08/2025</v>
      </c>
      <c r="I4588" t="str">
        <f t="shared" si="2193"/>
        <v>14/08/2025</v>
      </c>
      <c r="J4588" t="str">
        <f t="shared" si="2193"/>
        <v>14/08/2025</v>
      </c>
      <c r="M4588">
        <v>401</v>
      </c>
      <c r="N4588" t="str">
        <f t="shared" si="2194"/>
        <v>IOF/JUROS/DESP.FINANCEIRA</v>
      </c>
      <c r="P4588">
        <v>1.7</v>
      </c>
      <c r="Q4588" t="str">
        <f>"CORA SOCIEDADE DE CREDITO, FINANCIAMENTO E INVESTIMENTO (20035)"</f>
        <v>CORA SOCIEDADE DE CREDITO, FINANCIAMENTO E INVESTIMENTO (20035)</v>
      </c>
      <c r="R4588" t="str">
        <f t="shared" si="2195"/>
        <v>BANCO CORA (102)</v>
      </c>
      <c r="S4588">
        <v>2361</v>
      </c>
      <c r="T4588">
        <v>1919</v>
      </c>
      <c r="U4588" t="s">
        <v>19</v>
      </c>
    </row>
    <row r="4589" spans="1:21">
      <c r="A4589" t="str">
        <f t="shared" si="2187"/>
        <v>14/08/2025</v>
      </c>
      <c r="B4589" t="str">
        <f t="shared" si="2188"/>
        <v>SAÍDA</v>
      </c>
      <c r="C4589" t="str">
        <f t="shared" si="2189"/>
        <v>CONHECIMENTO</v>
      </c>
      <c r="D4589" t="str">
        <f t="shared" si="2190"/>
        <v>140825170</v>
      </c>
      <c r="E4589" t="str">
        <f t="shared" si="2160"/>
        <v>COM</v>
      </c>
      <c r="F4589" t="str">
        <f t="shared" si="2191"/>
        <v>CORA SOCIEDADE DE CREDITO, FINANCIAMENTO E INVESTIMENTO (20035)</v>
      </c>
      <c r="G4589" t="str">
        <f t="shared" si="2192"/>
        <v>TAXA BOLETO COMPENSADO</v>
      </c>
      <c r="H4589" t="str">
        <f t="shared" si="2193"/>
        <v>14/08/2025</v>
      </c>
      <c r="I4589" t="str">
        <f t="shared" si="2193"/>
        <v>14/08/2025</v>
      </c>
      <c r="J4589" t="str">
        <f t="shared" si="2193"/>
        <v>14/08/2025</v>
      </c>
      <c r="K4589">
        <v>1.7</v>
      </c>
      <c r="L4589">
        <v>1.7</v>
      </c>
      <c r="M4589">
        <v>401</v>
      </c>
      <c r="N4589" t="str">
        <f t="shared" si="2194"/>
        <v>IOF/JUROS/DESP.FINANCEIRA</v>
      </c>
      <c r="O4589">
        <v>1.7</v>
      </c>
      <c r="R4589" t="str">
        <f t="shared" si="2195"/>
        <v>BANCO CORA (102)</v>
      </c>
      <c r="S4589">
        <v>2362</v>
      </c>
      <c r="T4589">
        <v>1920</v>
      </c>
      <c r="U4589" t="s">
        <v>19</v>
      </c>
    </row>
    <row r="4590" spans="1:21">
      <c r="A4590" t="str">
        <f t="shared" si="2187"/>
        <v>14/08/2025</v>
      </c>
      <c r="B4590" t="str">
        <f t="shared" si="2188"/>
        <v>SAÍDA</v>
      </c>
      <c r="C4590" t="str">
        <f t="shared" si="2189"/>
        <v>CONHECIMENTO</v>
      </c>
      <c r="D4590" t="str">
        <f t="shared" si="2190"/>
        <v>140825170</v>
      </c>
      <c r="E4590" t="str">
        <f t="shared" si="2160"/>
        <v>COM</v>
      </c>
      <c r="F4590" t="str">
        <f t="shared" si="2191"/>
        <v>CORA SOCIEDADE DE CREDITO, FINANCIAMENTO E INVESTIMENTO (20035)</v>
      </c>
      <c r="G4590" t="str">
        <f t="shared" si="2192"/>
        <v>TAXA BOLETO COMPENSADO</v>
      </c>
      <c r="H4590" t="str">
        <f t="shared" si="2193"/>
        <v>14/08/2025</v>
      </c>
      <c r="I4590" t="str">
        <f t="shared" si="2193"/>
        <v>14/08/2025</v>
      </c>
      <c r="J4590" t="str">
        <f t="shared" si="2193"/>
        <v>14/08/2025</v>
      </c>
      <c r="M4590">
        <v>401</v>
      </c>
      <c r="N4590" t="str">
        <f t="shared" si="2194"/>
        <v>IOF/JUROS/DESP.FINANCEIRA</v>
      </c>
      <c r="P4590">
        <v>1.7</v>
      </c>
      <c r="Q4590" t="str">
        <f>"CORA SOCIEDADE DE CREDITO, FINANCIAMENTO E INVESTIMENTO (20035)"</f>
        <v>CORA SOCIEDADE DE CREDITO, FINANCIAMENTO E INVESTIMENTO (20035)</v>
      </c>
      <c r="R4590" t="str">
        <f t="shared" si="2195"/>
        <v>BANCO CORA (102)</v>
      </c>
      <c r="S4590">
        <v>2362</v>
      </c>
      <c r="T4590">
        <v>1920</v>
      </c>
      <c r="U4590" t="s">
        <v>19</v>
      </c>
    </row>
    <row r="4591" spans="1:21">
      <c r="A4591" t="str">
        <f t="shared" si="2187"/>
        <v>14/08/2025</v>
      </c>
      <c r="B4591" t="str">
        <f t="shared" si="2188"/>
        <v>SAÍDA</v>
      </c>
      <c r="C4591" t="str">
        <f t="shared" si="2189"/>
        <v>CONHECIMENTO</v>
      </c>
      <c r="D4591" t="str">
        <f t="shared" si="2190"/>
        <v>140825170</v>
      </c>
      <c r="E4591" t="str">
        <f t="shared" ref="E4591:E4654" si="2196">"COM"</f>
        <v>COM</v>
      </c>
      <c r="F4591" t="str">
        <f t="shared" si="2191"/>
        <v>CORA SOCIEDADE DE CREDITO, FINANCIAMENTO E INVESTIMENTO (20035)</v>
      </c>
      <c r="G4591" t="str">
        <f t="shared" si="2192"/>
        <v>TAXA BOLETO COMPENSADO</v>
      </c>
      <c r="H4591" t="str">
        <f t="shared" si="2193"/>
        <v>14/08/2025</v>
      </c>
      <c r="I4591" t="str">
        <f t="shared" si="2193"/>
        <v>14/08/2025</v>
      </c>
      <c r="J4591" t="str">
        <f t="shared" si="2193"/>
        <v>14/08/2025</v>
      </c>
      <c r="K4591">
        <v>1.7</v>
      </c>
      <c r="L4591">
        <v>1.7</v>
      </c>
      <c r="M4591">
        <v>401</v>
      </c>
      <c r="N4591" t="str">
        <f t="shared" si="2194"/>
        <v>IOF/JUROS/DESP.FINANCEIRA</v>
      </c>
      <c r="O4591">
        <v>1.7</v>
      </c>
      <c r="R4591" t="str">
        <f t="shared" si="2195"/>
        <v>BANCO CORA (102)</v>
      </c>
      <c r="S4591">
        <v>2363</v>
      </c>
      <c r="T4591">
        <v>1921</v>
      </c>
      <c r="U4591" t="s">
        <v>19</v>
      </c>
    </row>
    <row r="4592" spans="1:21">
      <c r="A4592" t="str">
        <f t="shared" si="2187"/>
        <v>14/08/2025</v>
      </c>
      <c r="B4592" t="str">
        <f t="shared" si="2188"/>
        <v>SAÍDA</v>
      </c>
      <c r="C4592" t="str">
        <f t="shared" si="2189"/>
        <v>CONHECIMENTO</v>
      </c>
      <c r="D4592" t="str">
        <f t="shared" si="2190"/>
        <v>140825170</v>
      </c>
      <c r="E4592" t="str">
        <f t="shared" si="2196"/>
        <v>COM</v>
      </c>
      <c r="F4592" t="str">
        <f t="shared" si="2191"/>
        <v>CORA SOCIEDADE DE CREDITO, FINANCIAMENTO E INVESTIMENTO (20035)</v>
      </c>
      <c r="G4592" t="str">
        <f t="shared" si="2192"/>
        <v>TAXA BOLETO COMPENSADO</v>
      </c>
      <c r="H4592" t="str">
        <f t="shared" si="2193"/>
        <v>14/08/2025</v>
      </c>
      <c r="I4592" t="str">
        <f t="shared" si="2193"/>
        <v>14/08/2025</v>
      </c>
      <c r="J4592" t="str">
        <f t="shared" si="2193"/>
        <v>14/08/2025</v>
      </c>
      <c r="M4592">
        <v>401</v>
      </c>
      <c r="N4592" t="str">
        <f t="shared" si="2194"/>
        <v>IOF/JUROS/DESP.FINANCEIRA</v>
      </c>
      <c r="P4592">
        <v>1.7</v>
      </c>
      <c r="Q4592" t="str">
        <f>"CORA SOCIEDADE DE CREDITO, FINANCIAMENTO E INVESTIMENTO (20035)"</f>
        <v>CORA SOCIEDADE DE CREDITO, FINANCIAMENTO E INVESTIMENTO (20035)</v>
      </c>
      <c r="R4592" t="str">
        <f t="shared" si="2195"/>
        <v>BANCO CORA (102)</v>
      </c>
      <c r="S4592">
        <v>2363</v>
      </c>
      <c r="T4592">
        <v>1921</v>
      </c>
      <c r="U4592" t="s">
        <v>19</v>
      </c>
    </row>
    <row r="4593" spans="1:21">
      <c r="A4593" t="str">
        <f t="shared" si="2187"/>
        <v>14/08/2025</v>
      </c>
      <c r="B4593" t="str">
        <f t="shared" si="2188"/>
        <v>SAÍDA</v>
      </c>
      <c r="C4593" t="str">
        <f t="shared" si="2189"/>
        <v>CONHECIMENTO</v>
      </c>
      <c r="D4593" t="str">
        <f t="shared" si="2190"/>
        <v>140825170</v>
      </c>
      <c r="E4593" t="str">
        <f t="shared" si="2196"/>
        <v>COM</v>
      </c>
      <c r="F4593" t="str">
        <f t="shared" si="2191"/>
        <v>CORA SOCIEDADE DE CREDITO, FINANCIAMENTO E INVESTIMENTO (20035)</v>
      </c>
      <c r="G4593" t="str">
        <f t="shared" si="2192"/>
        <v>TAXA BOLETO COMPENSADO</v>
      </c>
      <c r="H4593" t="str">
        <f t="shared" si="2193"/>
        <v>14/08/2025</v>
      </c>
      <c r="I4593" t="str">
        <f t="shared" si="2193"/>
        <v>14/08/2025</v>
      </c>
      <c r="J4593" t="str">
        <f t="shared" si="2193"/>
        <v>14/08/2025</v>
      </c>
      <c r="K4593">
        <v>1.7</v>
      </c>
      <c r="L4593">
        <v>1.7</v>
      </c>
      <c r="M4593">
        <v>401</v>
      </c>
      <c r="N4593" t="str">
        <f t="shared" si="2194"/>
        <v>IOF/JUROS/DESP.FINANCEIRA</v>
      </c>
      <c r="O4593">
        <v>1.7</v>
      </c>
      <c r="R4593" t="str">
        <f t="shared" si="2195"/>
        <v>BANCO CORA (102)</v>
      </c>
      <c r="S4593">
        <v>2364</v>
      </c>
      <c r="T4593">
        <v>1922</v>
      </c>
      <c r="U4593" t="s">
        <v>19</v>
      </c>
    </row>
    <row r="4594" spans="1:21">
      <c r="A4594" t="str">
        <f t="shared" si="2187"/>
        <v>14/08/2025</v>
      </c>
      <c r="B4594" t="str">
        <f t="shared" si="2188"/>
        <v>SAÍDA</v>
      </c>
      <c r="C4594" t="str">
        <f t="shared" si="2189"/>
        <v>CONHECIMENTO</v>
      </c>
      <c r="D4594" t="str">
        <f t="shared" si="2190"/>
        <v>140825170</v>
      </c>
      <c r="E4594" t="str">
        <f t="shared" si="2196"/>
        <v>COM</v>
      </c>
      <c r="F4594" t="str">
        <f t="shared" si="2191"/>
        <v>CORA SOCIEDADE DE CREDITO, FINANCIAMENTO E INVESTIMENTO (20035)</v>
      </c>
      <c r="G4594" t="str">
        <f t="shared" si="2192"/>
        <v>TAXA BOLETO COMPENSADO</v>
      </c>
      <c r="H4594" t="str">
        <f t="shared" si="2193"/>
        <v>14/08/2025</v>
      </c>
      <c r="I4594" t="str">
        <f t="shared" si="2193"/>
        <v>14/08/2025</v>
      </c>
      <c r="J4594" t="str">
        <f t="shared" si="2193"/>
        <v>14/08/2025</v>
      </c>
      <c r="M4594">
        <v>401</v>
      </c>
      <c r="N4594" t="str">
        <f t="shared" si="2194"/>
        <v>IOF/JUROS/DESP.FINANCEIRA</v>
      </c>
      <c r="P4594">
        <v>1.7</v>
      </c>
      <c r="Q4594" t="str">
        <f>"CORA SOCIEDADE DE CREDITO, FINANCIAMENTO E INVESTIMENTO (20035)"</f>
        <v>CORA SOCIEDADE DE CREDITO, FINANCIAMENTO E INVESTIMENTO (20035)</v>
      </c>
      <c r="R4594" t="str">
        <f t="shared" si="2195"/>
        <v>BANCO CORA (102)</v>
      </c>
      <c r="S4594">
        <v>2364</v>
      </c>
      <c r="T4594">
        <v>1922</v>
      </c>
      <c r="U4594" t="s">
        <v>19</v>
      </c>
    </row>
    <row r="4595" spans="1:21">
      <c r="A4595" t="str">
        <f t="shared" si="2187"/>
        <v>14/08/2025</v>
      </c>
      <c r="B4595" t="str">
        <f t="shared" si="2188"/>
        <v>SAÍDA</v>
      </c>
      <c r="C4595" t="str">
        <f t="shared" si="2189"/>
        <v>CONHECIMENTO</v>
      </c>
      <c r="D4595" t="str">
        <f t="shared" si="2190"/>
        <v>140825170</v>
      </c>
      <c r="E4595" t="str">
        <f t="shared" si="2196"/>
        <v>COM</v>
      </c>
      <c r="F4595" t="str">
        <f t="shared" si="2191"/>
        <v>CORA SOCIEDADE DE CREDITO, FINANCIAMENTO E INVESTIMENTO (20035)</v>
      </c>
      <c r="G4595" t="str">
        <f t="shared" si="2192"/>
        <v>TAXA BOLETO COMPENSADO</v>
      </c>
      <c r="H4595" t="str">
        <f t="shared" si="2193"/>
        <v>14/08/2025</v>
      </c>
      <c r="I4595" t="str">
        <f t="shared" si="2193"/>
        <v>14/08/2025</v>
      </c>
      <c r="J4595" t="str">
        <f t="shared" si="2193"/>
        <v>14/08/2025</v>
      </c>
      <c r="K4595">
        <v>1.7</v>
      </c>
      <c r="L4595">
        <v>1.7</v>
      </c>
      <c r="M4595">
        <v>401</v>
      </c>
      <c r="N4595" t="str">
        <f t="shared" si="2194"/>
        <v>IOF/JUROS/DESP.FINANCEIRA</v>
      </c>
      <c r="O4595">
        <v>1.7</v>
      </c>
      <c r="R4595" t="str">
        <f t="shared" si="2195"/>
        <v>BANCO CORA (102)</v>
      </c>
      <c r="S4595">
        <v>2365</v>
      </c>
      <c r="T4595">
        <v>1923</v>
      </c>
      <c r="U4595" t="s">
        <v>19</v>
      </c>
    </row>
    <row r="4596" spans="1:21">
      <c r="A4596" t="str">
        <f t="shared" si="2187"/>
        <v>14/08/2025</v>
      </c>
      <c r="B4596" t="str">
        <f t="shared" si="2188"/>
        <v>SAÍDA</v>
      </c>
      <c r="C4596" t="str">
        <f t="shared" si="2189"/>
        <v>CONHECIMENTO</v>
      </c>
      <c r="D4596" t="str">
        <f t="shared" si="2190"/>
        <v>140825170</v>
      </c>
      <c r="E4596" t="str">
        <f t="shared" si="2196"/>
        <v>COM</v>
      </c>
      <c r="F4596" t="str">
        <f t="shared" si="2191"/>
        <v>CORA SOCIEDADE DE CREDITO, FINANCIAMENTO E INVESTIMENTO (20035)</v>
      </c>
      <c r="G4596" t="str">
        <f t="shared" si="2192"/>
        <v>TAXA BOLETO COMPENSADO</v>
      </c>
      <c r="H4596" t="str">
        <f t="shared" si="2193"/>
        <v>14/08/2025</v>
      </c>
      <c r="I4596" t="str">
        <f t="shared" si="2193"/>
        <v>14/08/2025</v>
      </c>
      <c r="J4596" t="str">
        <f t="shared" si="2193"/>
        <v>14/08/2025</v>
      </c>
      <c r="M4596">
        <v>401</v>
      </c>
      <c r="N4596" t="str">
        <f t="shared" si="2194"/>
        <v>IOF/JUROS/DESP.FINANCEIRA</v>
      </c>
      <c r="P4596">
        <v>1.7</v>
      </c>
      <c r="Q4596" t="str">
        <f>"CORA SOCIEDADE DE CREDITO, FINANCIAMENTO E INVESTIMENTO (20035)"</f>
        <v>CORA SOCIEDADE DE CREDITO, FINANCIAMENTO E INVESTIMENTO (20035)</v>
      </c>
      <c r="R4596" t="str">
        <f t="shared" si="2195"/>
        <v>BANCO CORA (102)</v>
      </c>
      <c r="S4596">
        <v>2365</v>
      </c>
      <c r="T4596">
        <v>1923</v>
      </c>
      <c r="U4596" t="s">
        <v>19</v>
      </c>
    </row>
    <row r="4597" spans="1:21">
      <c r="A4597" t="str">
        <f t="shared" si="2187"/>
        <v>14/08/2025</v>
      </c>
      <c r="B4597" t="str">
        <f t="shared" si="2188"/>
        <v>SAÍDA</v>
      </c>
      <c r="C4597" t="str">
        <f t="shared" si="2189"/>
        <v>CONHECIMENTO</v>
      </c>
      <c r="D4597" t="str">
        <f t="shared" si="2190"/>
        <v>140825170</v>
      </c>
      <c r="E4597" t="str">
        <f t="shared" si="2196"/>
        <v>COM</v>
      </c>
      <c r="F4597" t="str">
        <f t="shared" si="2191"/>
        <v>CORA SOCIEDADE DE CREDITO, FINANCIAMENTO E INVESTIMENTO (20035)</v>
      </c>
      <c r="G4597" t="str">
        <f t="shared" si="2192"/>
        <v>TAXA BOLETO COMPENSADO</v>
      </c>
      <c r="H4597" t="str">
        <f t="shared" si="2193"/>
        <v>14/08/2025</v>
      </c>
      <c r="I4597" t="str">
        <f t="shared" si="2193"/>
        <v>14/08/2025</v>
      </c>
      <c r="J4597" t="str">
        <f t="shared" si="2193"/>
        <v>14/08/2025</v>
      </c>
      <c r="K4597">
        <v>1.7</v>
      </c>
      <c r="L4597">
        <v>1.7</v>
      </c>
      <c r="M4597">
        <v>401</v>
      </c>
      <c r="N4597" t="str">
        <f t="shared" si="2194"/>
        <v>IOF/JUROS/DESP.FINANCEIRA</v>
      </c>
      <c r="O4597">
        <v>1.7</v>
      </c>
      <c r="R4597" t="str">
        <f t="shared" si="2195"/>
        <v>BANCO CORA (102)</v>
      </c>
      <c r="S4597">
        <v>2366</v>
      </c>
      <c r="T4597">
        <v>1924</v>
      </c>
      <c r="U4597" t="s">
        <v>19</v>
      </c>
    </row>
    <row r="4598" spans="1:21">
      <c r="A4598" t="str">
        <f t="shared" si="2187"/>
        <v>14/08/2025</v>
      </c>
      <c r="B4598" t="str">
        <f t="shared" si="2188"/>
        <v>SAÍDA</v>
      </c>
      <c r="C4598" t="str">
        <f t="shared" si="2189"/>
        <v>CONHECIMENTO</v>
      </c>
      <c r="D4598" t="str">
        <f t="shared" si="2190"/>
        <v>140825170</v>
      </c>
      <c r="E4598" t="str">
        <f t="shared" si="2196"/>
        <v>COM</v>
      </c>
      <c r="F4598" t="str">
        <f t="shared" si="2191"/>
        <v>CORA SOCIEDADE DE CREDITO, FINANCIAMENTO E INVESTIMENTO (20035)</v>
      </c>
      <c r="G4598" t="str">
        <f t="shared" si="2192"/>
        <v>TAXA BOLETO COMPENSADO</v>
      </c>
      <c r="H4598" t="str">
        <f t="shared" si="2193"/>
        <v>14/08/2025</v>
      </c>
      <c r="I4598" t="str">
        <f t="shared" si="2193"/>
        <v>14/08/2025</v>
      </c>
      <c r="J4598" t="str">
        <f t="shared" si="2193"/>
        <v>14/08/2025</v>
      </c>
      <c r="M4598">
        <v>401</v>
      </c>
      <c r="N4598" t="str">
        <f t="shared" si="2194"/>
        <v>IOF/JUROS/DESP.FINANCEIRA</v>
      </c>
      <c r="P4598">
        <v>1.7</v>
      </c>
      <c r="Q4598" t="str">
        <f>"CORA SOCIEDADE DE CREDITO, FINANCIAMENTO E INVESTIMENTO (20035)"</f>
        <v>CORA SOCIEDADE DE CREDITO, FINANCIAMENTO E INVESTIMENTO (20035)</v>
      </c>
      <c r="R4598" t="str">
        <f t="shared" si="2195"/>
        <v>BANCO CORA (102)</v>
      </c>
      <c r="S4598">
        <v>2366</v>
      </c>
      <c r="T4598">
        <v>1924</v>
      </c>
      <c r="U4598" t="s">
        <v>19</v>
      </c>
    </row>
    <row r="4599" spans="1:21">
      <c r="A4599" t="str">
        <f t="shared" si="2187"/>
        <v>14/08/2025</v>
      </c>
      <c r="B4599" t="str">
        <f t="shared" si="2188"/>
        <v>SAÍDA</v>
      </c>
      <c r="C4599" t="str">
        <f t="shared" si="2189"/>
        <v>CONHECIMENTO</v>
      </c>
      <c r="D4599" t="str">
        <f t="shared" si="2190"/>
        <v>140825170</v>
      </c>
      <c r="E4599" t="str">
        <f t="shared" si="2196"/>
        <v>COM</v>
      </c>
      <c r="F4599" t="str">
        <f t="shared" si="2191"/>
        <v>CORA SOCIEDADE DE CREDITO, FINANCIAMENTO E INVESTIMENTO (20035)</v>
      </c>
      <c r="G4599" t="str">
        <f t="shared" si="2192"/>
        <v>TAXA BOLETO COMPENSADO</v>
      </c>
      <c r="H4599" t="str">
        <f t="shared" si="2193"/>
        <v>14/08/2025</v>
      </c>
      <c r="I4599" t="str">
        <f t="shared" si="2193"/>
        <v>14/08/2025</v>
      </c>
      <c r="J4599" t="str">
        <f t="shared" si="2193"/>
        <v>14/08/2025</v>
      </c>
      <c r="K4599">
        <v>1.7</v>
      </c>
      <c r="L4599">
        <v>1.7</v>
      </c>
      <c r="M4599">
        <v>401</v>
      </c>
      <c r="N4599" t="str">
        <f t="shared" si="2194"/>
        <v>IOF/JUROS/DESP.FINANCEIRA</v>
      </c>
      <c r="O4599">
        <v>1.7</v>
      </c>
      <c r="R4599" t="str">
        <f t="shared" si="2195"/>
        <v>BANCO CORA (102)</v>
      </c>
      <c r="S4599">
        <v>2367</v>
      </c>
      <c r="T4599">
        <v>1925</v>
      </c>
      <c r="U4599" t="s">
        <v>19</v>
      </c>
    </row>
    <row r="4600" spans="1:21">
      <c r="A4600" t="str">
        <f t="shared" si="2187"/>
        <v>14/08/2025</v>
      </c>
      <c r="B4600" t="str">
        <f t="shared" si="2188"/>
        <v>SAÍDA</v>
      </c>
      <c r="C4600" t="str">
        <f t="shared" si="2189"/>
        <v>CONHECIMENTO</v>
      </c>
      <c r="D4600" t="str">
        <f t="shared" si="2190"/>
        <v>140825170</v>
      </c>
      <c r="E4600" t="str">
        <f t="shared" si="2196"/>
        <v>COM</v>
      </c>
      <c r="F4600" t="str">
        <f t="shared" si="2191"/>
        <v>CORA SOCIEDADE DE CREDITO, FINANCIAMENTO E INVESTIMENTO (20035)</v>
      </c>
      <c r="G4600" t="str">
        <f t="shared" si="2192"/>
        <v>TAXA BOLETO COMPENSADO</v>
      </c>
      <c r="H4600" t="str">
        <f t="shared" si="2193"/>
        <v>14/08/2025</v>
      </c>
      <c r="I4600" t="str">
        <f t="shared" si="2193"/>
        <v>14/08/2025</v>
      </c>
      <c r="J4600" t="str">
        <f t="shared" si="2193"/>
        <v>14/08/2025</v>
      </c>
      <c r="M4600">
        <v>401</v>
      </c>
      <c r="N4600" t="str">
        <f t="shared" si="2194"/>
        <v>IOF/JUROS/DESP.FINANCEIRA</v>
      </c>
      <c r="P4600">
        <v>1.7</v>
      </c>
      <c r="Q4600" t="str">
        <f>"CORA SOCIEDADE DE CREDITO, FINANCIAMENTO E INVESTIMENTO (20035)"</f>
        <v>CORA SOCIEDADE DE CREDITO, FINANCIAMENTO E INVESTIMENTO (20035)</v>
      </c>
      <c r="R4600" t="str">
        <f t="shared" si="2195"/>
        <v>BANCO CORA (102)</v>
      </c>
      <c r="S4600">
        <v>2367</v>
      </c>
      <c r="T4600">
        <v>1925</v>
      </c>
      <c r="U4600" t="s">
        <v>19</v>
      </c>
    </row>
    <row r="4601" spans="1:21">
      <c r="A4601" t="str">
        <f t="shared" si="2187"/>
        <v>14/08/2025</v>
      </c>
      <c r="B4601" t="str">
        <f t="shared" si="2188"/>
        <v>SAÍDA</v>
      </c>
      <c r="C4601" t="str">
        <f t="shared" si="2189"/>
        <v>CONHECIMENTO</v>
      </c>
      <c r="D4601" t="str">
        <f t="shared" si="2190"/>
        <v>140825170</v>
      </c>
      <c r="E4601" t="str">
        <f t="shared" si="2196"/>
        <v>COM</v>
      </c>
      <c r="F4601" t="str">
        <f t="shared" si="2191"/>
        <v>CORA SOCIEDADE DE CREDITO, FINANCIAMENTO E INVESTIMENTO (20035)</v>
      </c>
      <c r="G4601" t="str">
        <f t="shared" si="2192"/>
        <v>TAXA BOLETO COMPENSADO</v>
      </c>
      <c r="H4601" t="str">
        <f t="shared" si="2193"/>
        <v>14/08/2025</v>
      </c>
      <c r="I4601" t="str">
        <f t="shared" si="2193"/>
        <v>14/08/2025</v>
      </c>
      <c r="J4601" t="str">
        <f t="shared" si="2193"/>
        <v>14/08/2025</v>
      </c>
      <c r="K4601">
        <v>1.7</v>
      </c>
      <c r="L4601">
        <v>1.7</v>
      </c>
      <c r="M4601">
        <v>401</v>
      </c>
      <c r="N4601" t="str">
        <f t="shared" si="2194"/>
        <v>IOF/JUROS/DESP.FINANCEIRA</v>
      </c>
      <c r="O4601">
        <v>1.7</v>
      </c>
      <c r="R4601" t="str">
        <f t="shared" si="2195"/>
        <v>BANCO CORA (102)</v>
      </c>
      <c r="S4601">
        <v>2368</v>
      </c>
      <c r="T4601">
        <v>1926</v>
      </c>
      <c r="U4601" t="s">
        <v>19</v>
      </c>
    </row>
    <row r="4602" spans="1:21">
      <c r="A4602" t="str">
        <f t="shared" si="2187"/>
        <v>14/08/2025</v>
      </c>
      <c r="B4602" t="str">
        <f t="shared" si="2188"/>
        <v>SAÍDA</v>
      </c>
      <c r="C4602" t="str">
        <f t="shared" si="2189"/>
        <v>CONHECIMENTO</v>
      </c>
      <c r="D4602" t="str">
        <f t="shared" si="2190"/>
        <v>140825170</v>
      </c>
      <c r="E4602" t="str">
        <f t="shared" si="2196"/>
        <v>COM</v>
      </c>
      <c r="F4602" t="str">
        <f t="shared" si="2191"/>
        <v>CORA SOCIEDADE DE CREDITO, FINANCIAMENTO E INVESTIMENTO (20035)</v>
      </c>
      <c r="G4602" t="str">
        <f t="shared" si="2192"/>
        <v>TAXA BOLETO COMPENSADO</v>
      </c>
      <c r="H4602" t="str">
        <f t="shared" si="2193"/>
        <v>14/08/2025</v>
      </c>
      <c r="I4602" t="str">
        <f t="shared" si="2193"/>
        <v>14/08/2025</v>
      </c>
      <c r="J4602" t="str">
        <f t="shared" si="2193"/>
        <v>14/08/2025</v>
      </c>
      <c r="M4602">
        <v>401</v>
      </c>
      <c r="N4602" t="str">
        <f t="shared" si="2194"/>
        <v>IOF/JUROS/DESP.FINANCEIRA</v>
      </c>
      <c r="P4602">
        <v>1.7</v>
      </c>
      <c r="Q4602" t="str">
        <f>"CORA SOCIEDADE DE CREDITO, FINANCIAMENTO E INVESTIMENTO (20035)"</f>
        <v>CORA SOCIEDADE DE CREDITO, FINANCIAMENTO E INVESTIMENTO (20035)</v>
      </c>
      <c r="R4602" t="str">
        <f t="shared" si="2195"/>
        <v>BANCO CORA (102)</v>
      </c>
      <c r="S4602">
        <v>2368</v>
      </c>
      <c r="T4602">
        <v>1926</v>
      </c>
      <c r="U4602" t="s">
        <v>19</v>
      </c>
    </row>
    <row r="4603" spans="1:21">
      <c r="A4603" t="str">
        <f t="shared" si="2187"/>
        <v>14/08/2025</v>
      </c>
      <c r="B4603" t="str">
        <f t="shared" si="2188"/>
        <v>SAÍDA</v>
      </c>
      <c r="C4603" t="str">
        <f t="shared" si="2189"/>
        <v>CONHECIMENTO</v>
      </c>
      <c r="D4603" t="str">
        <f t="shared" si="2190"/>
        <v>140825170</v>
      </c>
      <c r="E4603" t="str">
        <f t="shared" si="2196"/>
        <v>COM</v>
      </c>
      <c r="F4603" t="str">
        <f t="shared" si="2191"/>
        <v>CORA SOCIEDADE DE CREDITO, FINANCIAMENTO E INVESTIMENTO (20035)</v>
      </c>
      <c r="G4603" t="str">
        <f t="shared" si="2192"/>
        <v>TAXA BOLETO COMPENSADO</v>
      </c>
      <c r="H4603" t="str">
        <f t="shared" si="2193"/>
        <v>14/08/2025</v>
      </c>
      <c r="I4603" t="str">
        <f t="shared" si="2193"/>
        <v>14/08/2025</v>
      </c>
      <c r="J4603" t="str">
        <f t="shared" si="2193"/>
        <v>14/08/2025</v>
      </c>
      <c r="K4603">
        <v>1.7</v>
      </c>
      <c r="L4603">
        <v>1.7</v>
      </c>
      <c r="M4603">
        <v>401</v>
      </c>
      <c r="N4603" t="str">
        <f t="shared" si="2194"/>
        <v>IOF/JUROS/DESP.FINANCEIRA</v>
      </c>
      <c r="O4603">
        <v>1.7</v>
      </c>
      <c r="R4603" t="str">
        <f t="shared" si="2195"/>
        <v>BANCO CORA (102)</v>
      </c>
      <c r="S4603">
        <v>2369</v>
      </c>
      <c r="T4603">
        <v>1927</v>
      </c>
      <c r="U4603" t="s">
        <v>19</v>
      </c>
    </row>
    <row r="4604" spans="1:21">
      <c r="A4604" t="str">
        <f t="shared" si="2187"/>
        <v>14/08/2025</v>
      </c>
      <c r="B4604" t="str">
        <f t="shared" si="2188"/>
        <v>SAÍDA</v>
      </c>
      <c r="C4604" t="str">
        <f t="shared" si="2189"/>
        <v>CONHECIMENTO</v>
      </c>
      <c r="D4604" t="str">
        <f t="shared" si="2190"/>
        <v>140825170</v>
      </c>
      <c r="E4604" t="str">
        <f t="shared" si="2196"/>
        <v>COM</v>
      </c>
      <c r="F4604" t="str">
        <f t="shared" si="2191"/>
        <v>CORA SOCIEDADE DE CREDITO, FINANCIAMENTO E INVESTIMENTO (20035)</v>
      </c>
      <c r="G4604" t="str">
        <f t="shared" si="2192"/>
        <v>TAXA BOLETO COMPENSADO</v>
      </c>
      <c r="H4604" t="str">
        <f t="shared" si="2193"/>
        <v>14/08/2025</v>
      </c>
      <c r="I4604" t="str">
        <f t="shared" si="2193"/>
        <v>14/08/2025</v>
      </c>
      <c r="J4604" t="str">
        <f t="shared" si="2193"/>
        <v>14/08/2025</v>
      </c>
      <c r="M4604">
        <v>401</v>
      </c>
      <c r="N4604" t="str">
        <f t="shared" si="2194"/>
        <v>IOF/JUROS/DESP.FINANCEIRA</v>
      </c>
      <c r="P4604">
        <v>1.7</v>
      </c>
      <c r="Q4604" t="str">
        <f>"CORA SOCIEDADE DE CREDITO, FINANCIAMENTO E INVESTIMENTO (20035)"</f>
        <v>CORA SOCIEDADE DE CREDITO, FINANCIAMENTO E INVESTIMENTO (20035)</v>
      </c>
      <c r="R4604" t="str">
        <f t="shared" si="2195"/>
        <v>BANCO CORA (102)</v>
      </c>
      <c r="S4604">
        <v>2369</v>
      </c>
      <c r="T4604">
        <v>1927</v>
      </c>
      <c r="U4604" t="s">
        <v>19</v>
      </c>
    </row>
    <row r="4605" spans="1:21">
      <c r="A4605" t="str">
        <f t="shared" si="2187"/>
        <v>14/08/2025</v>
      </c>
      <c r="B4605" t="str">
        <f t="shared" si="2188"/>
        <v>SAÍDA</v>
      </c>
      <c r="C4605" t="str">
        <f t="shared" si="2189"/>
        <v>CONHECIMENTO</v>
      </c>
      <c r="D4605" t="str">
        <f t="shared" si="2190"/>
        <v>140825170</v>
      </c>
      <c r="E4605" t="str">
        <f t="shared" si="2196"/>
        <v>COM</v>
      </c>
      <c r="F4605" t="str">
        <f t="shared" si="2191"/>
        <v>CORA SOCIEDADE DE CREDITO, FINANCIAMENTO E INVESTIMENTO (20035)</v>
      </c>
      <c r="G4605" t="str">
        <f t="shared" si="2192"/>
        <v>TAXA BOLETO COMPENSADO</v>
      </c>
      <c r="H4605" t="str">
        <f t="shared" si="2193"/>
        <v>14/08/2025</v>
      </c>
      <c r="I4605" t="str">
        <f t="shared" si="2193"/>
        <v>14/08/2025</v>
      </c>
      <c r="J4605" t="str">
        <f t="shared" si="2193"/>
        <v>14/08/2025</v>
      </c>
      <c r="K4605">
        <v>1.7</v>
      </c>
      <c r="L4605">
        <v>1.7</v>
      </c>
      <c r="M4605">
        <v>401</v>
      </c>
      <c r="N4605" t="str">
        <f t="shared" si="2194"/>
        <v>IOF/JUROS/DESP.FINANCEIRA</v>
      </c>
      <c r="O4605">
        <v>1.7</v>
      </c>
      <c r="R4605" t="str">
        <f t="shared" si="2195"/>
        <v>BANCO CORA (102)</v>
      </c>
      <c r="S4605">
        <v>2370</v>
      </c>
      <c r="T4605">
        <v>1928</v>
      </c>
      <c r="U4605" t="s">
        <v>19</v>
      </c>
    </row>
    <row r="4606" spans="1:21">
      <c r="A4606" t="str">
        <f t="shared" si="2187"/>
        <v>14/08/2025</v>
      </c>
      <c r="B4606" t="str">
        <f t="shared" si="2188"/>
        <v>SAÍDA</v>
      </c>
      <c r="C4606" t="str">
        <f t="shared" si="2189"/>
        <v>CONHECIMENTO</v>
      </c>
      <c r="D4606" t="str">
        <f t="shared" si="2190"/>
        <v>140825170</v>
      </c>
      <c r="E4606" t="str">
        <f t="shared" si="2196"/>
        <v>COM</v>
      </c>
      <c r="F4606" t="str">
        <f t="shared" si="2191"/>
        <v>CORA SOCIEDADE DE CREDITO, FINANCIAMENTO E INVESTIMENTO (20035)</v>
      </c>
      <c r="G4606" t="str">
        <f t="shared" si="2192"/>
        <v>TAXA BOLETO COMPENSADO</v>
      </c>
      <c r="H4606" t="str">
        <f t="shared" si="2193"/>
        <v>14/08/2025</v>
      </c>
      <c r="I4606" t="str">
        <f t="shared" si="2193"/>
        <v>14/08/2025</v>
      </c>
      <c r="J4606" t="str">
        <f t="shared" si="2193"/>
        <v>14/08/2025</v>
      </c>
      <c r="M4606">
        <v>401</v>
      </c>
      <c r="N4606" t="str">
        <f t="shared" si="2194"/>
        <v>IOF/JUROS/DESP.FINANCEIRA</v>
      </c>
      <c r="P4606">
        <v>1.7</v>
      </c>
      <c r="Q4606" t="str">
        <f>"CORA SOCIEDADE DE CREDITO, FINANCIAMENTO E INVESTIMENTO (20035)"</f>
        <v>CORA SOCIEDADE DE CREDITO, FINANCIAMENTO E INVESTIMENTO (20035)</v>
      </c>
      <c r="R4606" t="str">
        <f t="shared" si="2195"/>
        <v>BANCO CORA (102)</v>
      </c>
      <c r="S4606">
        <v>2370</v>
      </c>
      <c r="T4606">
        <v>1928</v>
      </c>
      <c r="U4606" t="s">
        <v>19</v>
      </c>
    </row>
    <row r="4607" spans="1:21">
      <c r="A4607" t="str">
        <f t="shared" si="2187"/>
        <v>14/08/2025</v>
      </c>
      <c r="B4607" t="str">
        <f t="shared" si="2188"/>
        <v>SAÍDA</v>
      </c>
      <c r="C4607" t="str">
        <f t="shared" si="2189"/>
        <v>CONHECIMENTO</v>
      </c>
      <c r="D4607" t="str">
        <f t="shared" si="2190"/>
        <v>140825170</v>
      </c>
      <c r="E4607" t="str">
        <f t="shared" si="2196"/>
        <v>COM</v>
      </c>
      <c r="F4607" t="str">
        <f t="shared" si="2191"/>
        <v>CORA SOCIEDADE DE CREDITO, FINANCIAMENTO E INVESTIMENTO (20035)</v>
      </c>
      <c r="G4607" t="str">
        <f t="shared" si="2192"/>
        <v>TAXA BOLETO COMPENSADO</v>
      </c>
      <c r="H4607" t="str">
        <f t="shared" si="2193"/>
        <v>14/08/2025</v>
      </c>
      <c r="I4607" t="str">
        <f t="shared" si="2193"/>
        <v>14/08/2025</v>
      </c>
      <c r="J4607" t="str">
        <f t="shared" si="2193"/>
        <v>14/08/2025</v>
      </c>
      <c r="K4607">
        <v>1.7</v>
      </c>
      <c r="L4607">
        <v>1.7</v>
      </c>
      <c r="M4607">
        <v>401</v>
      </c>
      <c r="N4607" t="str">
        <f t="shared" si="2194"/>
        <v>IOF/JUROS/DESP.FINANCEIRA</v>
      </c>
      <c r="O4607">
        <v>1.7</v>
      </c>
      <c r="R4607" t="str">
        <f t="shared" si="2195"/>
        <v>BANCO CORA (102)</v>
      </c>
      <c r="S4607">
        <v>2371</v>
      </c>
      <c r="T4607">
        <v>1929</v>
      </c>
      <c r="U4607" t="s">
        <v>19</v>
      </c>
    </row>
    <row r="4608" spans="1:21">
      <c r="A4608" t="str">
        <f t="shared" si="2187"/>
        <v>14/08/2025</v>
      </c>
      <c r="B4608" t="str">
        <f t="shared" si="2188"/>
        <v>SAÍDA</v>
      </c>
      <c r="C4608" t="str">
        <f t="shared" si="2189"/>
        <v>CONHECIMENTO</v>
      </c>
      <c r="D4608" t="str">
        <f t="shared" si="2190"/>
        <v>140825170</v>
      </c>
      <c r="E4608" t="str">
        <f t="shared" si="2196"/>
        <v>COM</v>
      </c>
      <c r="F4608" t="str">
        <f t="shared" si="2191"/>
        <v>CORA SOCIEDADE DE CREDITO, FINANCIAMENTO E INVESTIMENTO (20035)</v>
      </c>
      <c r="G4608" t="str">
        <f t="shared" si="2192"/>
        <v>TAXA BOLETO COMPENSADO</v>
      </c>
      <c r="H4608" t="str">
        <f t="shared" si="2193"/>
        <v>14/08/2025</v>
      </c>
      <c r="I4608" t="str">
        <f t="shared" si="2193"/>
        <v>14/08/2025</v>
      </c>
      <c r="J4608" t="str">
        <f t="shared" si="2193"/>
        <v>14/08/2025</v>
      </c>
      <c r="M4608">
        <v>401</v>
      </c>
      <c r="N4608" t="str">
        <f t="shared" si="2194"/>
        <v>IOF/JUROS/DESP.FINANCEIRA</v>
      </c>
      <c r="P4608">
        <v>1.7</v>
      </c>
      <c r="Q4608" t="str">
        <f>"CORA SOCIEDADE DE CREDITO, FINANCIAMENTO E INVESTIMENTO (20035)"</f>
        <v>CORA SOCIEDADE DE CREDITO, FINANCIAMENTO E INVESTIMENTO (20035)</v>
      </c>
      <c r="R4608" t="str">
        <f t="shared" si="2195"/>
        <v>BANCO CORA (102)</v>
      </c>
      <c r="S4608">
        <v>2371</v>
      </c>
      <c r="T4608">
        <v>1929</v>
      </c>
      <c r="U4608" t="s">
        <v>19</v>
      </c>
    </row>
    <row r="4609" spans="1:21">
      <c r="A4609" t="str">
        <f t="shared" si="2187"/>
        <v>14/08/2025</v>
      </c>
      <c r="B4609" t="str">
        <f t="shared" si="2188"/>
        <v>SAÍDA</v>
      </c>
      <c r="C4609" t="str">
        <f t="shared" si="2189"/>
        <v>CONHECIMENTO</v>
      </c>
      <c r="D4609" t="str">
        <f t="shared" si="2190"/>
        <v>140825170</v>
      </c>
      <c r="E4609" t="str">
        <f t="shared" si="2196"/>
        <v>COM</v>
      </c>
      <c r="F4609" t="str">
        <f t="shared" si="2191"/>
        <v>CORA SOCIEDADE DE CREDITO, FINANCIAMENTO E INVESTIMENTO (20035)</v>
      </c>
      <c r="G4609" t="str">
        <f t="shared" si="2192"/>
        <v>TAXA BOLETO COMPENSADO</v>
      </c>
      <c r="H4609" t="str">
        <f t="shared" si="2193"/>
        <v>14/08/2025</v>
      </c>
      <c r="I4609" t="str">
        <f t="shared" si="2193"/>
        <v>14/08/2025</v>
      </c>
      <c r="J4609" t="str">
        <f t="shared" si="2193"/>
        <v>14/08/2025</v>
      </c>
      <c r="K4609">
        <v>1.7</v>
      </c>
      <c r="L4609">
        <v>1.7</v>
      </c>
      <c r="M4609">
        <v>401</v>
      </c>
      <c r="N4609" t="str">
        <f t="shared" si="2194"/>
        <v>IOF/JUROS/DESP.FINANCEIRA</v>
      </c>
      <c r="O4609">
        <v>1.7</v>
      </c>
      <c r="R4609" t="str">
        <f t="shared" si="2195"/>
        <v>BANCO CORA (102)</v>
      </c>
      <c r="S4609">
        <v>2372</v>
      </c>
      <c r="T4609">
        <v>1930</v>
      </c>
      <c r="U4609" t="s">
        <v>19</v>
      </c>
    </row>
    <row r="4610" spans="1:21">
      <c r="A4610" t="str">
        <f t="shared" si="2187"/>
        <v>14/08/2025</v>
      </c>
      <c r="B4610" t="str">
        <f t="shared" si="2188"/>
        <v>SAÍDA</v>
      </c>
      <c r="C4610" t="str">
        <f t="shared" si="2189"/>
        <v>CONHECIMENTO</v>
      </c>
      <c r="D4610" t="str">
        <f t="shared" si="2190"/>
        <v>140825170</v>
      </c>
      <c r="E4610" t="str">
        <f t="shared" si="2196"/>
        <v>COM</v>
      </c>
      <c r="F4610" t="str">
        <f t="shared" si="2191"/>
        <v>CORA SOCIEDADE DE CREDITO, FINANCIAMENTO E INVESTIMENTO (20035)</v>
      </c>
      <c r="G4610" t="str">
        <f t="shared" si="2192"/>
        <v>TAXA BOLETO COMPENSADO</v>
      </c>
      <c r="H4610" t="str">
        <f t="shared" si="2193"/>
        <v>14/08/2025</v>
      </c>
      <c r="I4610" t="str">
        <f t="shared" si="2193"/>
        <v>14/08/2025</v>
      </c>
      <c r="J4610" t="str">
        <f t="shared" si="2193"/>
        <v>14/08/2025</v>
      </c>
      <c r="M4610">
        <v>401</v>
      </c>
      <c r="N4610" t="str">
        <f t="shared" si="2194"/>
        <v>IOF/JUROS/DESP.FINANCEIRA</v>
      </c>
      <c r="P4610">
        <v>1.7</v>
      </c>
      <c r="Q4610" t="str">
        <f>"CORA SOCIEDADE DE CREDITO, FINANCIAMENTO E INVESTIMENTO (20035)"</f>
        <v>CORA SOCIEDADE DE CREDITO, FINANCIAMENTO E INVESTIMENTO (20035)</v>
      </c>
      <c r="R4610" t="str">
        <f t="shared" si="2195"/>
        <v>BANCO CORA (102)</v>
      </c>
      <c r="S4610">
        <v>2372</v>
      </c>
      <c r="T4610">
        <v>1930</v>
      </c>
      <c r="U4610" t="s">
        <v>19</v>
      </c>
    </row>
    <row r="4611" spans="1:21">
      <c r="A4611" t="str">
        <f t="shared" si="2187"/>
        <v>14/08/2025</v>
      </c>
      <c r="B4611" t="str">
        <f t="shared" si="2188"/>
        <v>SAÍDA</v>
      </c>
      <c r="C4611" t="str">
        <f t="shared" si="2189"/>
        <v>CONHECIMENTO</v>
      </c>
      <c r="D4611" t="str">
        <f t="shared" si="2190"/>
        <v>140825170</v>
      </c>
      <c r="E4611" t="str">
        <f t="shared" si="2196"/>
        <v>COM</v>
      </c>
      <c r="F4611" t="str">
        <f t="shared" si="2191"/>
        <v>CORA SOCIEDADE DE CREDITO, FINANCIAMENTO E INVESTIMENTO (20035)</v>
      </c>
      <c r="G4611" t="str">
        <f t="shared" si="2192"/>
        <v>TAXA BOLETO COMPENSADO</v>
      </c>
      <c r="H4611" t="str">
        <f t="shared" si="2193"/>
        <v>14/08/2025</v>
      </c>
      <c r="I4611" t="str">
        <f t="shared" si="2193"/>
        <v>14/08/2025</v>
      </c>
      <c r="J4611" t="str">
        <f t="shared" si="2193"/>
        <v>14/08/2025</v>
      </c>
      <c r="K4611">
        <v>1.7</v>
      </c>
      <c r="L4611">
        <v>1.7</v>
      </c>
      <c r="M4611">
        <v>401</v>
      </c>
      <c r="N4611" t="str">
        <f t="shared" si="2194"/>
        <v>IOF/JUROS/DESP.FINANCEIRA</v>
      </c>
      <c r="O4611">
        <v>1.7</v>
      </c>
      <c r="R4611" t="str">
        <f t="shared" si="2195"/>
        <v>BANCO CORA (102)</v>
      </c>
      <c r="S4611">
        <v>2373</v>
      </c>
      <c r="T4611">
        <v>1931</v>
      </c>
      <c r="U4611" t="s">
        <v>19</v>
      </c>
    </row>
    <row r="4612" spans="1:21">
      <c r="A4612" t="str">
        <f t="shared" si="2187"/>
        <v>14/08/2025</v>
      </c>
      <c r="B4612" t="str">
        <f t="shared" si="2188"/>
        <v>SAÍDA</v>
      </c>
      <c r="C4612" t="str">
        <f t="shared" si="2189"/>
        <v>CONHECIMENTO</v>
      </c>
      <c r="D4612" t="str">
        <f t="shared" si="2190"/>
        <v>140825170</v>
      </c>
      <c r="E4612" t="str">
        <f t="shared" si="2196"/>
        <v>COM</v>
      </c>
      <c r="F4612" t="str">
        <f t="shared" si="2191"/>
        <v>CORA SOCIEDADE DE CREDITO, FINANCIAMENTO E INVESTIMENTO (20035)</v>
      </c>
      <c r="G4612" t="str">
        <f t="shared" si="2192"/>
        <v>TAXA BOLETO COMPENSADO</v>
      </c>
      <c r="H4612" t="str">
        <f t="shared" si="2193"/>
        <v>14/08/2025</v>
      </c>
      <c r="I4612" t="str">
        <f t="shared" si="2193"/>
        <v>14/08/2025</v>
      </c>
      <c r="J4612" t="str">
        <f t="shared" si="2193"/>
        <v>14/08/2025</v>
      </c>
      <c r="M4612">
        <v>401</v>
      </c>
      <c r="N4612" t="str">
        <f t="shared" si="2194"/>
        <v>IOF/JUROS/DESP.FINANCEIRA</v>
      </c>
      <c r="P4612">
        <v>1.7</v>
      </c>
      <c r="Q4612" t="str">
        <f>"CORA SOCIEDADE DE CREDITO, FINANCIAMENTO E INVESTIMENTO (20035)"</f>
        <v>CORA SOCIEDADE DE CREDITO, FINANCIAMENTO E INVESTIMENTO (20035)</v>
      </c>
      <c r="R4612" t="str">
        <f t="shared" si="2195"/>
        <v>BANCO CORA (102)</v>
      </c>
      <c r="S4612">
        <v>2373</v>
      </c>
      <c r="T4612">
        <v>1931</v>
      </c>
      <c r="U4612" t="s">
        <v>19</v>
      </c>
    </row>
    <row r="4613" spans="1:21">
      <c r="A4613" t="str">
        <f t="shared" si="2187"/>
        <v>14/08/2025</v>
      </c>
      <c r="B4613" t="str">
        <f>"ENTRADA"</f>
        <v>ENTRADA</v>
      </c>
      <c r="C4613" t="str">
        <f t="shared" ref="C4613:C4646" si="2197">"NFSE"</f>
        <v>NFSE</v>
      </c>
      <c r="D4613" t="str">
        <f>"3328"</f>
        <v>3328</v>
      </c>
      <c r="E4613" t="str">
        <f t="shared" si="2196"/>
        <v>COM</v>
      </c>
      <c r="F4613" t="str">
        <f>"AC FARMA - CID.ALTA (10166)"</f>
        <v>AC FARMA - CID.ALTA (10166)</v>
      </c>
      <c r="G4613" t="str">
        <f>"Serv.Prest. 28/07/2025 a 03/08/2025 - RPS: 1094 - NFSe: 3328"</f>
        <v>Serv.Prest. 28/07/2025 a 03/08/2025 - RPS: 1094 - NFSe: 3328</v>
      </c>
      <c r="H4613" t="str">
        <f t="shared" ref="H4613:H4640" si="2198">("13/08/2025")</f>
        <v>13/08/2025</v>
      </c>
      <c r="I4613" t="str">
        <f t="shared" ref="I4613:I4620" si="2199">("07/08/2025")</f>
        <v>07/08/2025</v>
      </c>
      <c r="J4613" t="str">
        <f t="shared" ref="J4613:J4648" si="2200">("14/08/2025")</f>
        <v>14/08/2025</v>
      </c>
      <c r="K4613">
        <v>984.96</v>
      </c>
      <c r="L4613">
        <v>984.96</v>
      </c>
      <c r="M4613">
        <v>303</v>
      </c>
      <c r="N4613" t="str">
        <f t="shared" ref="N4613:N4646" si="2201">"RECEITAS COM ENTREGAS"</f>
        <v>RECEITAS COM ENTREGAS</v>
      </c>
      <c r="O4613">
        <v>984.96</v>
      </c>
      <c r="R4613" t="str">
        <f t="shared" ref="R4613:R4646" si="2202">"RECEITAS COM ENTREGAS (303)"</f>
        <v>RECEITAS COM ENTREGAS (303)</v>
      </c>
      <c r="S4613">
        <v>2377</v>
      </c>
      <c r="T4613">
        <v>1802</v>
      </c>
      <c r="U4613" t="s">
        <v>19</v>
      </c>
    </row>
    <row r="4614" spans="1:21">
      <c r="A4614" t="str">
        <f t="shared" si="2187"/>
        <v>14/08/2025</v>
      </c>
      <c r="B4614" t="str">
        <f t="shared" ref="B4614:B4646" si="2203">"ENTRADA"</f>
        <v>ENTRADA</v>
      </c>
      <c r="C4614" t="str">
        <f t="shared" si="2197"/>
        <v>NFSE</v>
      </c>
      <c r="D4614" t="str">
        <f>"3328"</f>
        <v>3328</v>
      </c>
      <c r="E4614" t="str">
        <f t="shared" si="2196"/>
        <v>COM</v>
      </c>
      <c r="F4614" t="str">
        <f>"AC FARMA - CID.ALTA (10166)"</f>
        <v>AC FARMA - CID.ALTA (10166)</v>
      </c>
      <c r="G4614" t="str">
        <f>"Serv.Prest. 28/07/2025 a 03/08/2025 - RPS: 1094 - NFSe: 3328"</f>
        <v>Serv.Prest. 28/07/2025 a 03/08/2025 - RPS: 1094 - NFSe: 3328</v>
      </c>
      <c r="H4614" t="str">
        <f t="shared" si="2198"/>
        <v>13/08/2025</v>
      </c>
      <c r="I4614" t="str">
        <f t="shared" si="2199"/>
        <v>07/08/2025</v>
      </c>
      <c r="J4614" t="str">
        <f t="shared" si="2200"/>
        <v>14/08/2025</v>
      </c>
      <c r="M4614">
        <v>303</v>
      </c>
      <c r="N4614" t="str">
        <f t="shared" si="2201"/>
        <v>RECEITAS COM ENTREGAS</v>
      </c>
      <c r="P4614">
        <v>984.96</v>
      </c>
      <c r="Q4614" t="str">
        <f>"AC FARMA - CID.ALTA (10166)"</f>
        <v>AC FARMA - CID.ALTA (10166)</v>
      </c>
      <c r="R4614" t="str">
        <f t="shared" si="2202"/>
        <v>RECEITAS COM ENTREGAS (303)</v>
      </c>
      <c r="S4614">
        <v>2377</v>
      </c>
      <c r="T4614">
        <v>1802</v>
      </c>
      <c r="U4614" t="s">
        <v>19</v>
      </c>
    </row>
    <row r="4615" spans="1:21">
      <c r="A4615" t="str">
        <f t="shared" si="2187"/>
        <v>14/08/2025</v>
      </c>
      <c r="B4615" t="str">
        <f t="shared" si="2203"/>
        <v>ENTRADA</v>
      </c>
      <c r="C4615" t="str">
        <f t="shared" si="2197"/>
        <v>NFSE</v>
      </c>
      <c r="D4615" t="str">
        <f>"3329"</f>
        <v>3329</v>
      </c>
      <c r="E4615" t="str">
        <f t="shared" si="2196"/>
        <v>COM</v>
      </c>
      <c r="F4615" t="str">
        <f>"AC FARMA - FLEMINFARMA (10160)"</f>
        <v>AC FARMA - FLEMINFARMA (10160)</v>
      </c>
      <c r="G4615" t="str">
        <f>"Serv.Prest. 28/07/2025 a 03/08/2025 - RPS: 1095 - NFSe: 3329"</f>
        <v>Serv.Prest. 28/07/2025 a 03/08/2025 - RPS: 1095 - NFSe: 3329</v>
      </c>
      <c r="H4615" t="str">
        <f t="shared" si="2198"/>
        <v>13/08/2025</v>
      </c>
      <c r="I4615" t="str">
        <f t="shared" si="2199"/>
        <v>07/08/2025</v>
      </c>
      <c r="J4615" t="str">
        <f t="shared" si="2200"/>
        <v>14/08/2025</v>
      </c>
      <c r="K4615">
        <v>263.52</v>
      </c>
      <c r="L4615">
        <v>263.52</v>
      </c>
      <c r="M4615">
        <v>303</v>
      </c>
      <c r="N4615" t="str">
        <f t="shared" si="2201"/>
        <v>RECEITAS COM ENTREGAS</v>
      </c>
      <c r="O4615">
        <v>263.52</v>
      </c>
      <c r="R4615" t="str">
        <f t="shared" si="2202"/>
        <v>RECEITAS COM ENTREGAS (303)</v>
      </c>
      <c r="S4615">
        <v>2378</v>
      </c>
      <c r="T4615">
        <v>1803</v>
      </c>
      <c r="U4615" t="s">
        <v>19</v>
      </c>
    </row>
    <row r="4616" spans="1:21">
      <c r="A4616" t="str">
        <f t="shared" si="2187"/>
        <v>14/08/2025</v>
      </c>
      <c r="B4616" t="str">
        <f t="shared" si="2203"/>
        <v>ENTRADA</v>
      </c>
      <c r="C4616" t="str">
        <f t="shared" si="2197"/>
        <v>NFSE</v>
      </c>
      <c r="D4616" t="str">
        <f>"3329"</f>
        <v>3329</v>
      </c>
      <c r="E4616" t="str">
        <f t="shared" si="2196"/>
        <v>COM</v>
      </c>
      <c r="F4616" t="str">
        <f>"AC FARMA - FLEMINFARMA (10160)"</f>
        <v>AC FARMA - FLEMINFARMA (10160)</v>
      </c>
      <c r="G4616" t="str">
        <f>"Serv.Prest. 28/07/2025 a 03/08/2025 - RPS: 1095 - NFSe: 3329"</f>
        <v>Serv.Prest. 28/07/2025 a 03/08/2025 - RPS: 1095 - NFSe: 3329</v>
      </c>
      <c r="H4616" t="str">
        <f t="shared" si="2198"/>
        <v>13/08/2025</v>
      </c>
      <c r="I4616" t="str">
        <f t="shared" si="2199"/>
        <v>07/08/2025</v>
      </c>
      <c r="J4616" t="str">
        <f t="shared" si="2200"/>
        <v>14/08/2025</v>
      </c>
      <c r="M4616">
        <v>303</v>
      </c>
      <c r="N4616" t="str">
        <f t="shared" si="2201"/>
        <v>RECEITAS COM ENTREGAS</v>
      </c>
      <c r="P4616">
        <v>252</v>
      </c>
      <c r="Q4616" t="str">
        <f>"AC FARMA -  FLEMINFARMA (10159)"</f>
        <v>AC FARMA -  FLEMINFARMA (10159)</v>
      </c>
      <c r="R4616" t="str">
        <f t="shared" si="2202"/>
        <v>RECEITAS COM ENTREGAS (303)</v>
      </c>
      <c r="S4616">
        <v>2378</v>
      </c>
      <c r="T4616">
        <v>1803</v>
      </c>
      <c r="U4616" t="s">
        <v>19</v>
      </c>
    </row>
    <row r="4617" spans="1:21">
      <c r="A4617" t="str">
        <f t="shared" si="2187"/>
        <v>14/08/2025</v>
      </c>
      <c r="B4617" t="str">
        <f t="shared" si="2203"/>
        <v>ENTRADA</v>
      </c>
      <c r="C4617" t="str">
        <f t="shared" si="2197"/>
        <v>NFSE</v>
      </c>
      <c r="D4617" t="str">
        <f>"3329"</f>
        <v>3329</v>
      </c>
      <c r="E4617" t="str">
        <f t="shared" si="2196"/>
        <v>COM</v>
      </c>
      <c r="F4617" t="str">
        <f>"AC FARMA - FLEMINFARMA (10160)"</f>
        <v>AC FARMA - FLEMINFARMA (10160)</v>
      </c>
      <c r="G4617" t="str">
        <f>"Serv.Prest. 28/07/2025 a 03/08/2025 - RPS: 1095 - NFSe: 3329"</f>
        <v>Serv.Prest. 28/07/2025 a 03/08/2025 - RPS: 1095 - NFSe: 3329</v>
      </c>
      <c r="H4617" t="str">
        <f t="shared" si="2198"/>
        <v>13/08/2025</v>
      </c>
      <c r="I4617" t="str">
        <f t="shared" si="2199"/>
        <v>07/08/2025</v>
      </c>
      <c r="J4617" t="str">
        <f t="shared" si="2200"/>
        <v>14/08/2025</v>
      </c>
      <c r="M4617">
        <v>303</v>
      </c>
      <c r="N4617" t="str">
        <f t="shared" si="2201"/>
        <v>RECEITAS COM ENTREGAS</v>
      </c>
      <c r="P4617">
        <v>11.52</v>
      </c>
      <c r="Q4617" t="str">
        <f>"AC FARMA - FLEMINFARMA (10160)"</f>
        <v>AC FARMA - FLEMINFARMA (10160)</v>
      </c>
      <c r="R4617" t="str">
        <f t="shared" si="2202"/>
        <v>RECEITAS COM ENTREGAS (303)</v>
      </c>
      <c r="S4617">
        <v>2378</v>
      </c>
      <c r="T4617">
        <v>1803</v>
      </c>
      <c r="U4617" t="s">
        <v>19</v>
      </c>
    </row>
    <row r="4618" spans="1:21">
      <c r="A4618" t="str">
        <f t="shared" si="2187"/>
        <v>14/08/2025</v>
      </c>
      <c r="B4618" t="str">
        <f t="shared" si="2203"/>
        <v>ENTRADA</v>
      </c>
      <c r="C4618" t="str">
        <f t="shared" si="2197"/>
        <v>NFSE</v>
      </c>
      <c r="D4618" t="str">
        <f>"3330"</f>
        <v>3330</v>
      </c>
      <c r="E4618" t="str">
        <f t="shared" si="2196"/>
        <v>COM</v>
      </c>
      <c r="F4618" t="str">
        <f>"AC FARMA - FLEMINFARMA 5 (10183)"</f>
        <v>AC FARMA - FLEMINFARMA 5 (10183)</v>
      </c>
      <c r="G4618" t="str">
        <f>"Serv.Prest. 28/07/2025 a 03/08/2025 - RPS: 1096 - NFSe: 3330"</f>
        <v>Serv.Prest. 28/07/2025 a 03/08/2025 - RPS: 1096 - NFSe: 3330</v>
      </c>
      <c r="H4618" t="str">
        <f t="shared" si="2198"/>
        <v>13/08/2025</v>
      </c>
      <c r="I4618" t="str">
        <f t="shared" si="2199"/>
        <v>07/08/2025</v>
      </c>
      <c r="J4618" t="str">
        <f t="shared" si="2200"/>
        <v>14/08/2025</v>
      </c>
      <c r="K4618">
        <v>105.12</v>
      </c>
      <c r="L4618">
        <v>105.12</v>
      </c>
      <c r="M4618">
        <v>303</v>
      </c>
      <c r="N4618" t="str">
        <f t="shared" si="2201"/>
        <v>RECEITAS COM ENTREGAS</v>
      </c>
      <c r="O4618">
        <v>105.12</v>
      </c>
      <c r="R4618" t="str">
        <f t="shared" si="2202"/>
        <v>RECEITAS COM ENTREGAS (303)</v>
      </c>
      <c r="S4618">
        <v>2379</v>
      </c>
      <c r="T4618">
        <v>1804</v>
      </c>
      <c r="U4618" t="s">
        <v>19</v>
      </c>
    </row>
    <row r="4619" spans="1:21">
      <c r="A4619" t="str">
        <f t="shared" ref="A4619:A4648" si="2204">("14/08/2025")</f>
        <v>14/08/2025</v>
      </c>
      <c r="B4619" t="str">
        <f t="shared" si="2203"/>
        <v>ENTRADA</v>
      </c>
      <c r="C4619" t="str">
        <f t="shared" si="2197"/>
        <v>NFSE</v>
      </c>
      <c r="D4619" t="str">
        <f>"3330"</f>
        <v>3330</v>
      </c>
      <c r="E4619" t="str">
        <f t="shared" si="2196"/>
        <v>COM</v>
      </c>
      <c r="F4619" t="str">
        <f>"AC FARMA - FLEMINFARMA 5 (10183)"</f>
        <v>AC FARMA - FLEMINFARMA 5 (10183)</v>
      </c>
      <c r="G4619" t="str">
        <f>"Serv.Prest. 28/07/2025 a 03/08/2025 - RPS: 1096 - NFSe: 3330"</f>
        <v>Serv.Prest. 28/07/2025 a 03/08/2025 - RPS: 1096 - NFSe: 3330</v>
      </c>
      <c r="H4619" t="str">
        <f t="shared" si="2198"/>
        <v>13/08/2025</v>
      </c>
      <c r="I4619" t="str">
        <f t="shared" si="2199"/>
        <v>07/08/2025</v>
      </c>
      <c r="J4619" t="str">
        <f t="shared" si="2200"/>
        <v>14/08/2025</v>
      </c>
      <c r="M4619">
        <v>303</v>
      </c>
      <c r="N4619" t="str">
        <f t="shared" si="2201"/>
        <v>RECEITAS COM ENTREGAS</v>
      </c>
      <c r="P4619">
        <v>102.24</v>
      </c>
      <c r="Q4619" t="str">
        <f>"AC FARMA - FLEMINFARMA 5 (10183)"</f>
        <v>AC FARMA - FLEMINFARMA 5 (10183)</v>
      </c>
      <c r="R4619" t="str">
        <f t="shared" si="2202"/>
        <v>RECEITAS COM ENTREGAS (303)</v>
      </c>
      <c r="S4619">
        <v>2379</v>
      </c>
      <c r="T4619">
        <v>1804</v>
      </c>
      <c r="U4619" t="s">
        <v>19</v>
      </c>
    </row>
    <row r="4620" spans="1:21">
      <c r="A4620" t="str">
        <f t="shared" si="2204"/>
        <v>14/08/2025</v>
      </c>
      <c r="B4620" t="str">
        <f t="shared" si="2203"/>
        <v>ENTRADA</v>
      </c>
      <c r="C4620" t="str">
        <f t="shared" si="2197"/>
        <v>NFSE</v>
      </c>
      <c r="D4620" t="str">
        <f>"3330"</f>
        <v>3330</v>
      </c>
      <c r="E4620" t="str">
        <f t="shared" si="2196"/>
        <v>COM</v>
      </c>
      <c r="F4620" t="str">
        <f>"AC FARMA - FLEMINFARMA 5 (10183)"</f>
        <v>AC FARMA - FLEMINFARMA 5 (10183)</v>
      </c>
      <c r="G4620" t="str">
        <f>"Serv.Prest. 28/07/2025 a 03/08/2025 - RPS: 1096 - NFSe: 3330"</f>
        <v>Serv.Prest. 28/07/2025 a 03/08/2025 - RPS: 1096 - NFSe: 3330</v>
      </c>
      <c r="H4620" t="str">
        <f t="shared" si="2198"/>
        <v>13/08/2025</v>
      </c>
      <c r="I4620" t="str">
        <f t="shared" si="2199"/>
        <v>07/08/2025</v>
      </c>
      <c r="J4620" t="str">
        <f t="shared" si="2200"/>
        <v>14/08/2025</v>
      </c>
      <c r="M4620">
        <v>303</v>
      </c>
      <c r="N4620" t="str">
        <f t="shared" si="2201"/>
        <v>RECEITAS COM ENTREGAS</v>
      </c>
      <c r="P4620">
        <v>2.88</v>
      </c>
      <c r="Q4620" t="str">
        <f>"AC FARMA - FLEMINFARMA 6 (10184)"</f>
        <v>AC FARMA - FLEMINFARMA 6 (10184)</v>
      </c>
      <c r="R4620" t="str">
        <f t="shared" si="2202"/>
        <v>RECEITAS COM ENTREGAS (303)</v>
      </c>
      <c r="S4620">
        <v>2379</v>
      </c>
      <c r="T4620">
        <v>1804</v>
      </c>
      <c r="U4620" t="s">
        <v>19</v>
      </c>
    </row>
    <row r="4621" spans="1:21">
      <c r="A4621" t="str">
        <f t="shared" si="2204"/>
        <v>14/08/2025</v>
      </c>
      <c r="B4621" t="str">
        <f t="shared" si="2203"/>
        <v>ENTRADA</v>
      </c>
      <c r="C4621" t="str">
        <f t="shared" si="2197"/>
        <v>NFSE</v>
      </c>
      <c r="D4621" t="str">
        <f>"3331"</f>
        <v>3331</v>
      </c>
      <c r="E4621" t="str">
        <f t="shared" si="2196"/>
        <v>COM</v>
      </c>
      <c r="F4621" t="str">
        <f>"DROGA MONICA LJ 3 (10152)"</f>
        <v>DROGA MONICA LJ 3 (10152)</v>
      </c>
      <c r="G4621" t="str">
        <f>"Serv.Prest. 04/08/2025 a 10/08/2025 - RPS: 1097 - NFSe: 3331"</f>
        <v>Serv.Prest. 04/08/2025 a 10/08/2025 - RPS: 1097 - NFSe: 3331</v>
      </c>
      <c r="H4621" t="str">
        <f t="shared" si="2198"/>
        <v>13/08/2025</v>
      </c>
      <c r="I4621" t="str">
        <f t="shared" ref="I4621:I4640" si="2205">("11/08/2025")</f>
        <v>11/08/2025</v>
      </c>
      <c r="J4621" t="str">
        <f t="shared" si="2200"/>
        <v>14/08/2025</v>
      </c>
      <c r="K4621">
        <v>30</v>
      </c>
      <c r="L4621">
        <v>30</v>
      </c>
      <c r="M4621">
        <v>303</v>
      </c>
      <c r="N4621" t="str">
        <f t="shared" si="2201"/>
        <v>RECEITAS COM ENTREGAS</v>
      </c>
      <c r="O4621">
        <v>30</v>
      </c>
      <c r="R4621" t="str">
        <f t="shared" si="2202"/>
        <v>RECEITAS COM ENTREGAS (303)</v>
      </c>
      <c r="S4621">
        <v>2380</v>
      </c>
      <c r="T4621">
        <v>1832</v>
      </c>
      <c r="U4621" t="s">
        <v>19</v>
      </c>
    </row>
    <row r="4622" spans="1:21">
      <c r="A4622" t="str">
        <f t="shared" si="2204"/>
        <v>14/08/2025</v>
      </c>
      <c r="B4622" t="str">
        <f t="shared" si="2203"/>
        <v>ENTRADA</v>
      </c>
      <c r="C4622" t="str">
        <f t="shared" si="2197"/>
        <v>NFSE</v>
      </c>
      <c r="D4622" t="str">
        <f>"3331"</f>
        <v>3331</v>
      </c>
      <c r="E4622" t="str">
        <f t="shared" si="2196"/>
        <v>COM</v>
      </c>
      <c r="F4622" t="str">
        <f>"DROGA MONICA LJ 3 (10152)"</f>
        <v>DROGA MONICA LJ 3 (10152)</v>
      </c>
      <c r="G4622" t="str">
        <f>"Serv.Prest. 04/08/2025 a 10/08/2025 - RPS: 1097 - NFSe: 3331"</f>
        <v>Serv.Prest. 04/08/2025 a 10/08/2025 - RPS: 1097 - NFSe: 3331</v>
      </c>
      <c r="H4622" t="str">
        <f t="shared" si="2198"/>
        <v>13/08/2025</v>
      </c>
      <c r="I4622" t="str">
        <f t="shared" si="2205"/>
        <v>11/08/2025</v>
      </c>
      <c r="J4622" t="str">
        <f t="shared" si="2200"/>
        <v>14/08/2025</v>
      </c>
      <c r="M4622">
        <v>303</v>
      </c>
      <c r="N4622" t="str">
        <f t="shared" si="2201"/>
        <v>RECEITAS COM ENTREGAS</v>
      </c>
      <c r="P4622">
        <v>30</v>
      </c>
      <c r="Q4622" t="str">
        <f>"DROGA MONICA LJ 3 (10152)"</f>
        <v>DROGA MONICA LJ 3 (10152)</v>
      </c>
      <c r="R4622" t="str">
        <f t="shared" si="2202"/>
        <v>RECEITAS COM ENTREGAS (303)</v>
      </c>
      <c r="S4622">
        <v>2380</v>
      </c>
      <c r="T4622">
        <v>1832</v>
      </c>
      <c r="U4622" t="s">
        <v>19</v>
      </c>
    </row>
    <row r="4623" spans="1:21">
      <c r="A4623" t="str">
        <f t="shared" si="2204"/>
        <v>14/08/2025</v>
      </c>
      <c r="B4623" t="str">
        <f t="shared" si="2203"/>
        <v>ENTRADA</v>
      </c>
      <c r="C4623" t="str">
        <f t="shared" si="2197"/>
        <v>NFSE</v>
      </c>
      <c r="D4623" t="str">
        <f>"3332"</f>
        <v>3332</v>
      </c>
      <c r="E4623" t="str">
        <f t="shared" si="2196"/>
        <v>COM</v>
      </c>
      <c r="F4623" t="str">
        <f>"BRASIL FARMA (10173)"</f>
        <v>BRASIL FARMA (10173)</v>
      </c>
      <c r="G4623" t="str">
        <f>"Serv.Prest. 04/08/2025 a 10/08/2025 - RPS: 1098 - NFSe: 3332"</f>
        <v>Serv.Prest. 04/08/2025 a 10/08/2025 - RPS: 1098 - NFSe: 3332</v>
      </c>
      <c r="H4623" t="str">
        <f t="shared" si="2198"/>
        <v>13/08/2025</v>
      </c>
      <c r="I4623" t="str">
        <f t="shared" si="2205"/>
        <v>11/08/2025</v>
      </c>
      <c r="J4623" t="str">
        <f t="shared" si="2200"/>
        <v>14/08/2025</v>
      </c>
      <c r="K4623">
        <v>320.95999999999998</v>
      </c>
      <c r="L4623">
        <v>320.95999999999998</v>
      </c>
      <c r="M4623">
        <v>303</v>
      </c>
      <c r="N4623" t="str">
        <f t="shared" si="2201"/>
        <v>RECEITAS COM ENTREGAS</v>
      </c>
      <c r="O4623">
        <v>320.95999999999998</v>
      </c>
      <c r="R4623" t="str">
        <f t="shared" si="2202"/>
        <v>RECEITAS COM ENTREGAS (303)</v>
      </c>
      <c r="S4623">
        <v>2381</v>
      </c>
      <c r="T4623">
        <v>1833</v>
      </c>
      <c r="U4623" t="s">
        <v>19</v>
      </c>
    </row>
    <row r="4624" spans="1:21">
      <c r="A4624" t="str">
        <f t="shared" si="2204"/>
        <v>14/08/2025</v>
      </c>
      <c r="B4624" t="str">
        <f t="shared" si="2203"/>
        <v>ENTRADA</v>
      </c>
      <c r="C4624" t="str">
        <f t="shared" si="2197"/>
        <v>NFSE</v>
      </c>
      <c r="D4624" t="str">
        <f>"3332"</f>
        <v>3332</v>
      </c>
      <c r="E4624" t="str">
        <f t="shared" si="2196"/>
        <v>COM</v>
      </c>
      <c r="F4624" t="str">
        <f>"BRASIL FARMA (10173)"</f>
        <v>BRASIL FARMA (10173)</v>
      </c>
      <c r="G4624" t="str">
        <f>"Serv.Prest. 04/08/2025 a 10/08/2025 - RPS: 1098 - NFSe: 3332"</f>
        <v>Serv.Prest. 04/08/2025 a 10/08/2025 - RPS: 1098 - NFSe: 3332</v>
      </c>
      <c r="H4624" t="str">
        <f t="shared" si="2198"/>
        <v>13/08/2025</v>
      </c>
      <c r="I4624" t="str">
        <f t="shared" si="2205"/>
        <v>11/08/2025</v>
      </c>
      <c r="J4624" t="str">
        <f t="shared" si="2200"/>
        <v>14/08/2025</v>
      </c>
      <c r="M4624">
        <v>303</v>
      </c>
      <c r="N4624" t="str">
        <f t="shared" si="2201"/>
        <v>RECEITAS COM ENTREGAS</v>
      </c>
      <c r="P4624">
        <v>320.95999999999998</v>
      </c>
      <c r="Q4624" t="str">
        <f>"BRASIL FARMA (10173)"</f>
        <v>BRASIL FARMA (10173)</v>
      </c>
      <c r="R4624" t="str">
        <f t="shared" si="2202"/>
        <v>RECEITAS COM ENTREGAS (303)</v>
      </c>
      <c r="S4624">
        <v>2381</v>
      </c>
      <c r="T4624">
        <v>1833</v>
      </c>
      <c r="U4624" t="s">
        <v>19</v>
      </c>
    </row>
    <row r="4625" spans="1:21">
      <c r="A4625" t="str">
        <f t="shared" si="2204"/>
        <v>14/08/2025</v>
      </c>
      <c r="B4625" t="str">
        <f t="shared" si="2203"/>
        <v>ENTRADA</v>
      </c>
      <c r="C4625" t="str">
        <f t="shared" si="2197"/>
        <v>NFSE</v>
      </c>
      <c r="D4625" t="str">
        <f>"3333"</f>
        <v>3333</v>
      </c>
      <c r="E4625" t="str">
        <f t="shared" si="2196"/>
        <v>COM</v>
      </c>
      <c r="F4625" t="str">
        <f>"DROGA ELIDA (10121)"</f>
        <v>DROGA ELIDA (10121)</v>
      </c>
      <c r="G4625" t="str">
        <f>"Serv.Prest. 04/08/2025 a 10/08/2025 - RPS: 1099 - NFSe: 3333"</f>
        <v>Serv.Prest. 04/08/2025 a 10/08/2025 - RPS: 1099 - NFSe: 3333</v>
      </c>
      <c r="H4625" t="str">
        <f t="shared" si="2198"/>
        <v>13/08/2025</v>
      </c>
      <c r="I4625" t="str">
        <f t="shared" si="2205"/>
        <v>11/08/2025</v>
      </c>
      <c r="J4625" t="str">
        <f t="shared" si="2200"/>
        <v>14/08/2025</v>
      </c>
      <c r="K4625">
        <v>350.4</v>
      </c>
      <c r="L4625">
        <v>350.4</v>
      </c>
      <c r="M4625">
        <v>303</v>
      </c>
      <c r="N4625" t="str">
        <f t="shared" si="2201"/>
        <v>RECEITAS COM ENTREGAS</v>
      </c>
      <c r="O4625">
        <v>350.4</v>
      </c>
      <c r="R4625" t="str">
        <f t="shared" si="2202"/>
        <v>RECEITAS COM ENTREGAS (303)</v>
      </c>
      <c r="S4625">
        <v>2382</v>
      </c>
      <c r="T4625">
        <v>1834</v>
      </c>
      <c r="U4625" t="s">
        <v>19</v>
      </c>
    </row>
    <row r="4626" spans="1:21">
      <c r="A4626" t="str">
        <f t="shared" si="2204"/>
        <v>14/08/2025</v>
      </c>
      <c r="B4626" t="str">
        <f t="shared" si="2203"/>
        <v>ENTRADA</v>
      </c>
      <c r="C4626" t="str">
        <f t="shared" si="2197"/>
        <v>NFSE</v>
      </c>
      <c r="D4626" t="str">
        <f>"3333"</f>
        <v>3333</v>
      </c>
      <c r="E4626" t="str">
        <f t="shared" si="2196"/>
        <v>COM</v>
      </c>
      <c r="F4626" t="str">
        <f>"DROGA ELIDA (10121)"</f>
        <v>DROGA ELIDA (10121)</v>
      </c>
      <c r="G4626" t="str">
        <f>"Serv.Prest. 04/08/2025 a 10/08/2025 - RPS: 1099 - NFSe: 3333"</f>
        <v>Serv.Prest. 04/08/2025 a 10/08/2025 - RPS: 1099 - NFSe: 3333</v>
      </c>
      <c r="H4626" t="str">
        <f t="shared" si="2198"/>
        <v>13/08/2025</v>
      </c>
      <c r="I4626" t="str">
        <f t="shared" si="2205"/>
        <v>11/08/2025</v>
      </c>
      <c r="J4626" t="str">
        <f t="shared" si="2200"/>
        <v>14/08/2025</v>
      </c>
      <c r="M4626">
        <v>303</v>
      </c>
      <c r="N4626" t="str">
        <f t="shared" si="2201"/>
        <v>RECEITAS COM ENTREGAS</v>
      </c>
      <c r="P4626">
        <v>350.4</v>
      </c>
      <c r="Q4626" t="str">
        <f>"DROGA ELIDA (10121)"</f>
        <v>DROGA ELIDA (10121)</v>
      </c>
      <c r="R4626" t="str">
        <f t="shared" si="2202"/>
        <v>RECEITAS COM ENTREGAS (303)</v>
      </c>
      <c r="S4626">
        <v>2382</v>
      </c>
      <c r="T4626">
        <v>1834</v>
      </c>
      <c r="U4626" t="s">
        <v>19</v>
      </c>
    </row>
    <row r="4627" spans="1:21">
      <c r="A4627" t="str">
        <f t="shared" si="2204"/>
        <v>14/08/2025</v>
      </c>
      <c r="B4627" t="str">
        <f t="shared" si="2203"/>
        <v>ENTRADA</v>
      </c>
      <c r="C4627" t="str">
        <f t="shared" si="2197"/>
        <v>NFSE</v>
      </c>
      <c r="D4627" t="str">
        <f>"3336"</f>
        <v>3336</v>
      </c>
      <c r="E4627" t="str">
        <f t="shared" si="2196"/>
        <v>COM</v>
      </c>
      <c r="F4627" t="str">
        <f>"FARMACIA ECONOMIZE (10103)"</f>
        <v>FARMACIA ECONOMIZE (10103)</v>
      </c>
      <c r="G4627" t="str">
        <f>"Serv.Prest. 04/08/2025 a 10/08/2025 - RPS: 1102 - NFSe: 3336"</f>
        <v>Serv.Prest. 04/08/2025 a 10/08/2025 - RPS: 1102 - NFSe: 3336</v>
      </c>
      <c r="H4627" t="str">
        <f t="shared" si="2198"/>
        <v>13/08/2025</v>
      </c>
      <c r="I4627" t="str">
        <f t="shared" si="2205"/>
        <v>11/08/2025</v>
      </c>
      <c r="J4627" t="str">
        <f t="shared" si="2200"/>
        <v>14/08/2025</v>
      </c>
      <c r="K4627">
        <v>25.2</v>
      </c>
      <c r="L4627">
        <v>25.2</v>
      </c>
      <c r="M4627">
        <v>303</v>
      </c>
      <c r="N4627" t="str">
        <f t="shared" si="2201"/>
        <v>RECEITAS COM ENTREGAS</v>
      </c>
      <c r="O4627">
        <v>25.2</v>
      </c>
      <c r="R4627" t="str">
        <f t="shared" si="2202"/>
        <v>RECEITAS COM ENTREGAS (303)</v>
      </c>
      <c r="S4627">
        <v>2383</v>
      </c>
      <c r="T4627">
        <v>1837</v>
      </c>
      <c r="U4627" t="s">
        <v>19</v>
      </c>
    </row>
    <row r="4628" spans="1:21">
      <c r="A4628" t="str">
        <f t="shared" si="2204"/>
        <v>14/08/2025</v>
      </c>
      <c r="B4628" t="str">
        <f t="shared" si="2203"/>
        <v>ENTRADA</v>
      </c>
      <c r="C4628" t="str">
        <f t="shared" si="2197"/>
        <v>NFSE</v>
      </c>
      <c r="D4628" t="str">
        <f>"3336"</f>
        <v>3336</v>
      </c>
      <c r="E4628" t="str">
        <f t="shared" si="2196"/>
        <v>COM</v>
      </c>
      <c r="F4628" t="str">
        <f>"FARMACIA ECONOMIZE (10103)"</f>
        <v>FARMACIA ECONOMIZE (10103)</v>
      </c>
      <c r="G4628" t="str">
        <f>"Serv.Prest. 04/08/2025 a 10/08/2025 - RPS: 1102 - NFSe: 3336"</f>
        <v>Serv.Prest. 04/08/2025 a 10/08/2025 - RPS: 1102 - NFSe: 3336</v>
      </c>
      <c r="H4628" t="str">
        <f t="shared" si="2198"/>
        <v>13/08/2025</v>
      </c>
      <c r="I4628" t="str">
        <f t="shared" si="2205"/>
        <v>11/08/2025</v>
      </c>
      <c r="J4628" t="str">
        <f t="shared" si="2200"/>
        <v>14/08/2025</v>
      </c>
      <c r="M4628">
        <v>303</v>
      </c>
      <c r="N4628" t="str">
        <f t="shared" si="2201"/>
        <v>RECEITAS COM ENTREGAS</v>
      </c>
      <c r="P4628">
        <v>25.2</v>
      </c>
      <c r="Q4628" t="str">
        <f>"FARMACIA ECONOMIZE (10103)"</f>
        <v>FARMACIA ECONOMIZE (10103)</v>
      </c>
      <c r="R4628" t="str">
        <f t="shared" si="2202"/>
        <v>RECEITAS COM ENTREGAS (303)</v>
      </c>
      <c r="S4628">
        <v>2383</v>
      </c>
      <c r="T4628">
        <v>1837</v>
      </c>
      <c r="U4628" t="s">
        <v>19</v>
      </c>
    </row>
    <row r="4629" spans="1:21">
      <c r="A4629" t="str">
        <f t="shared" si="2204"/>
        <v>14/08/2025</v>
      </c>
      <c r="B4629" t="str">
        <f t="shared" si="2203"/>
        <v>ENTRADA</v>
      </c>
      <c r="C4629" t="str">
        <f t="shared" si="2197"/>
        <v>NFSE</v>
      </c>
      <c r="D4629" t="str">
        <f>"3337"</f>
        <v>3337</v>
      </c>
      <c r="E4629" t="str">
        <f t="shared" si="2196"/>
        <v>COM</v>
      </c>
      <c r="F4629" t="str">
        <f>"FRAN FARMA (10124)"</f>
        <v>FRAN FARMA (10124)</v>
      </c>
      <c r="G4629" t="str">
        <f>"Serv.Prest. 04/08/2025 a 10/08/2025 - RPS: 1103 - NFSe: 3337"</f>
        <v>Serv.Prest. 04/08/2025 a 10/08/2025 - RPS: 1103 - NFSe: 3337</v>
      </c>
      <c r="H4629" t="str">
        <f t="shared" si="2198"/>
        <v>13/08/2025</v>
      </c>
      <c r="I4629" t="str">
        <f t="shared" si="2205"/>
        <v>11/08/2025</v>
      </c>
      <c r="J4629" t="str">
        <f t="shared" si="2200"/>
        <v>14/08/2025</v>
      </c>
      <c r="K4629">
        <v>320</v>
      </c>
      <c r="L4629">
        <v>320</v>
      </c>
      <c r="M4629">
        <v>303</v>
      </c>
      <c r="N4629" t="str">
        <f t="shared" si="2201"/>
        <v>RECEITAS COM ENTREGAS</v>
      </c>
      <c r="O4629">
        <v>320</v>
      </c>
      <c r="R4629" t="str">
        <f t="shared" si="2202"/>
        <v>RECEITAS COM ENTREGAS (303)</v>
      </c>
      <c r="S4629">
        <v>2384</v>
      </c>
      <c r="T4629">
        <v>1838</v>
      </c>
      <c r="U4629" t="s">
        <v>19</v>
      </c>
    </row>
    <row r="4630" spans="1:21">
      <c r="A4630" t="str">
        <f t="shared" si="2204"/>
        <v>14/08/2025</v>
      </c>
      <c r="B4630" t="str">
        <f t="shared" si="2203"/>
        <v>ENTRADA</v>
      </c>
      <c r="C4630" t="str">
        <f t="shared" si="2197"/>
        <v>NFSE</v>
      </c>
      <c r="D4630" t="str">
        <f>"3337"</f>
        <v>3337</v>
      </c>
      <c r="E4630" t="str">
        <f t="shared" si="2196"/>
        <v>COM</v>
      </c>
      <c r="F4630" t="str">
        <f>"FRAN FARMA (10124)"</f>
        <v>FRAN FARMA (10124)</v>
      </c>
      <c r="G4630" t="str">
        <f>"Serv.Prest. 04/08/2025 a 10/08/2025 - RPS: 1103 - NFSe: 3337"</f>
        <v>Serv.Prest. 04/08/2025 a 10/08/2025 - RPS: 1103 - NFSe: 3337</v>
      </c>
      <c r="H4630" t="str">
        <f t="shared" si="2198"/>
        <v>13/08/2025</v>
      </c>
      <c r="I4630" t="str">
        <f t="shared" si="2205"/>
        <v>11/08/2025</v>
      </c>
      <c r="J4630" t="str">
        <f t="shared" si="2200"/>
        <v>14/08/2025</v>
      </c>
      <c r="M4630">
        <v>303</v>
      </c>
      <c r="N4630" t="str">
        <f t="shared" si="2201"/>
        <v>RECEITAS COM ENTREGAS</v>
      </c>
      <c r="P4630">
        <v>64</v>
      </c>
      <c r="Q4630" t="str">
        <f>"FRAN FARMA (10124)"</f>
        <v>FRAN FARMA (10124)</v>
      </c>
      <c r="R4630" t="str">
        <f t="shared" si="2202"/>
        <v>RECEITAS COM ENTREGAS (303)</v>
      </c>
      <c r="S4630">
        <v>2384</v>
      </c>
      <c r="T4630">
        <v>1838</v>
      </c>
      <c r="U4630" t="s">
        <v>19</v>
      </c>
    </row>
    <row r="4631" spans="1:21">
      <c r="A4631" t="str">
        <f t="shared" si="2204"/>
        <v>14/08/2025</v>
      </c>
      <c r="B4631" t="str">
        <f t="shared" si="2203"/>
        <v>ENTRADA</v>
      </c>
      <c r="C4631" t="str">
        <f t="shared" si="2197"/>
        <v>NFSE</v>
      </c>
      <c r="D4631" t="str">
        <f>"3337"</f>
        <v>3337</v>
      </c>
      <c r="E4631" t="str">
        <f t="shared" si="2196"/>
        <v>COM</v>
      </c>
      <c r="F4631" t="str">
        <f>"FRAN FARMA (10124)"</f>
        <v>FRAN FARMA (10124)</v>
      </c>
      <c r="G4631" t="str">
        <f>"Serv.Prest. 04/08/2025 a 10/08/2025 - RPS: 1103 - NFSe: 3337"</f>
        <v>Serv.Prest. 04/08/2025 a 10/08/2025 - RPS: 1103 - NFSe: 3337</v>
      </c>
      <c r="H4631" t="str">
        <f t="shared" si="2198"/>
        <v>13/08/2025</v>
      </c>
      <c r="I4631" t="str">
        <f t="shared" si="2205"/>
        <v>11/08/2025</v>
      </c>
      <c r="J4631" t="str">
        <f t="shared" si="2200"/>
        <v>14/08/2025</v>
      </c>
      <c r="M4631">
        <v>303</v>
      </c>
      <c r="N4631" t="str">
        <f t="shared" si="2201"/>
        <v>RECEITAS COM ENTREGAS</v>
      </c>
      <c r="P4631">
        <v>192</v>
      </c>
      <c r="Q4631" t="str">
        <f>"FRAN FARMA LJ 2 (10131)"</f>
        <v>FRAN FARMA LJ 2 (10131)</v>
      </c>
      <c r="R4631" t="str">
        <f t="shared" si="2202"/>
        <v>RECEITAS COM ENTREGAS (303)</v>
      </c>
      <c r="S4631">
        <v>2384</v>
      </c>
      <c r="T4631">
        <v>1838</v>
      </c>
      <c r="U4631" t="s">
        <v>19</v>
      </c>
    </row>
    <row r="4632" spans="1:21">
      <c r="A4632" t="str">
        <f t="shared" si="2204"/>
        <v>14/08/2025</v>
      </c>
      <c r="B4632" t="str">
        <f t="shared" si="2203"/>
        <v>ENTRADA</v>
      </c>
      <c r="C4632" t="str">
        <f t="shared" si="2197"/>
        <v>NFSE</v>
      </c>
      <c r="D4632" t="str">
        <f>"3337"</f>
        <v>3337</v>
      </c>
      <c r="E4632" t="str">
        <f t="shared" si="2196"/>
        <v>COM</v>
      </c>
      <c r="F4632" t="str">
        <f>"FRAN FARMA (10124)"</f>
        <v>FRAN FARMA (10124)</v>
      </c>
      <c r="G4632" t="str">
        <f>"Serv.Prest. 04/08/2025 a 10/08/2025 - RPS: 1103 - NFSe: 3337"</f>
        <v>Serv.Prest. 04/08/2025 a 10/08/2025 - RPS: 1103 - NFSe: 3337</v>
      </c>
      <c r="H4632" t="str">
        <f t="shared" si="2198"/>
        <v>13/08/2025</v>
      </c>
      <c r="I4632" t="str">
        <f t="shared" si="2205"/>
        <v>11/08/2025</v>
      </c>
      <c r="J4632" t="str">
        <f t="shared" si="2200"/>
        <v>14/08/2025</v>
      </c>
      <c r="M4632">
        <v>303</v>
      </c>
      <c r="N4632" t="str">
        <f t="shared" si="2201"/>
        <v>RECEITAS COM ENTREGAS</v>
      </c>
      <c r="P4632">
        <v>64</v>
      </c>
      <c r="Q4632" t="str">
        <f>"FRAN FARMA LJ 3 (10132)"</f>
        <v>FRAN FARMA LJ 3 (10132)</v>
      </c>
      <c r="R4632" t="str">
        <f t="shared" si="2202"/>
        <v>RECEITAS COM ENTREGAS (303)</v>
      </c>
      <c r="S4632">
        <v>2384</v>
      </c>
      <c r="T4632">
        <v>1838</v>
      </c>
      <c r="U4632" t="s">
        <v>19</v>
      </c>
    </row>
    <row r="4633" spans="1:21">
      <c r="A4633" t="str">
        <f t="shared" si="2204"/>
        <v>14/08/2025</v>
      </c>
      <c r="B4633" t="str">
        <f t="shared" si="2203"/>
        <v>ENTRADA</v>
      </c>
      <c r="C4633" t="str">
        <f t="shared" si="2197"/>
        <v>NFSE</v>
      </c>
      <c r="D4633" t="str">
        <f>"3346"</f>
        <v>3346</v>
      </c>
      <c r="E4633" t="str">
        <f t="shared" si="2196"/>
        <v>COM</v>
      </c>
      <c r="F4633" t="str">
        <f>"DROGARIA MORENO LTDA (10171)"</f>
        <v>DROGARIA MORENO LTDA (10171)</v>
      </c>
      <c r="G4633" t="str">
        <f>"Serv.Prest. 04/08/2025 a 10/08/2025 - RPS: 1112 - NFSe: 3346"</f>
        <v>Serv.Prest. 04/08/2025 a 10/08/2025 - RPS: 1112 - NFSe: 3346</v>
      </c>
      <c r="H4633" t="str">
        <f t="shared" si="2198"/>
        <v>13/08/2025</v>
      </c>
      <c r="I4633" t="str">
        <f t="shared" si="2205"/>
        <v>11/08/2025</v>
      </c>
      <c r="J4633" t="str">
        <f t="shared" si="2200"/>
        <v>14/08/2025</v>
      </c>
      <c r="K4633">
        <v>438.3</v>
      </c>
      <c r="L4633">
        <v>438.3</v>
      </c>
      <c r="M4633">
        <v>303</v>
      </c>
      <c r="N4633" t="str">
        <f t="shared" si="2201"/>
        <v>RECEITAS COM ENTREGAS</v>
      </c>
      <c r="O4633">
        <v>438.3</v>
      </c>
      <c r="R4633" t="str">
        <f t="shared" si="2202"/>
        <v>RECEITAS COM ENTREGAS (303)</v>
      </c>
      <c r="S4633">
        <v>2385</v>
      </c>
      <c r="T4633">
        <v>1847</v>
      </c>
      <c r="U4633" t="s">
        <v>19</v>
      </c>
    </row>
    <row r="4634" spans="1:21">
      <c r="A4634" t="str">
        <f t="shared" si="2204"/>
        <v>14/08/2025</v>
      </c>
      <c r="B4634" t="str">
        <f t="shared" si="2203"/>
        <v>ENTRADA</v>
      </c>
      <c r="C4634" t="str">
        <f t="shared" si="2197"/>
        <v>NFSE</v>
      </c>
      <c r="D4634" t="str">
        <f>"3346"</f>
        <v>3346</v>
      </c>
      <c r="E4634" t="str">
        <f t="shared" si="2196"/>
        <v>COM</v>
      </c>
      <c r="F4634" t="str">
        <f>"DROGARIA MORENO LTDA (10171)"</f>
        <v>DROGARIA MORENO LTDA (10171)</v>
      </c>
      <c r="G4634" t="str">
        <f>"Serv.Prest. 04/08/2025 a 10/08/2025 - RPS: 1112 - NFSe: 3346"</f>
        <v>Serv.Prest. 04/08/2025 a 10/08/2025 - RPS: 1112 - NFSe: 3346</v>
      </c>
      <c r="H4634" t="str">
        <f t="shared" si="2198"/>
        <v>13/08/2025</v>
      </c>
      <c r="I4634" t="str">
        <f t="shared" si="2205"/>
        <v>11/08/2025</v>
      </c>
      <c r="J4634" t="str">
        <f t="shared" si="2200"/>
        <v>14/08/2025</v>
      </c>
      <c r="M4634">
        <v>303</v>
      </c>
      <c r="N4634" t="str">
        <f t="shared" si="2201"/>
        <v>RECEITAS COM ENTREGAS</v>
      </c>
      <c r="P4634">
        <v>438.3</v>
      </c>
      <c r="Q4634" t="str">
        <f>"DROGARIA MORENO LTDA (10171)"</f>
        <v>DROGARIA MORENO LTDA (10171)</v>
      </c>
      <c r="R4634" t="str">
        <f t="shared" si="2202"/>
        <v>RECEITAS COM ENTREGAS (303)</v>
      </c>
      <c r="S4634">
        <v>2385</v>
      </c>
      <c r="T4634">
        <v>1847</v>
      </c>
      <c r="U4634" t="s">
        <v>19</v>
      </c>
    </row>
    <row r="4635" spans="1:21">
      <c r="A4635" t="str">
        <f t="shared" si="2204"/>
        <v>14/08/2025</v>
      </c>
      <c r="B4635" t="str">
        <f t="shared" si="2203"/>
        <v>ENTRADA</v>
      </c>
      <c r="C4635" t="str">
        <f t="shared" si="2197"/>
        <v>NFSE</v>
      </c>
      <c r="D4635" t="str">
        <f>"3347"</f>
        <v>3347</v>
      </c>
      <c r="E4635" t="str">
        <f t="shared" si="2196"/>
        <v>COM</v>
      </c>
      <c r="F4635" t="str">
        <f>"DROGARIA MEDIC CENTER LTDA (10172)"</f>
        <v>DROGARIA MEDIC CENTER LTDA (10172)</v>
      </c>
      <c r="G4635" t="str">
        <f>"Serv.Prest. 04/08/2025 a 10/08/2025 - RPS: 1113 - NFSe: 3347"</f>
        <v>Serv.Prest. 04/08/2025 a 10/08/2025 - RPS: 1113 - NFSe: 3347</v>
      </c>
      <c r="H4635" t="str">
        <f t="shared" si="2198"/>
        <v>13/08/2025</v>
      </c>
      <c r="I4635" t="str">
        <f t="shared" si="2205"/>
        <v>11/08/2025</v>
      </c>
      <c r="J4635" t="str">
        <f t="shared" si="2200"/>
        <v>14/08/2025</v>
      </c>
      <c r="K4635">
        <v>251.1</v>
      </c>
      <c r="L4635">
        <v>251.1</v>
      </c>
      <c r="M4635">
        <v>303</v>
      </c>
      <c r="N4635" t="str">
        <f t="shared" si="2201"/>
        <v>RECEITAS COM ENTREGAS</v>
      </c>
      <c r="O4635">
        <v>251.1</v>
      </c>
      <c r="R4635" t="str">
        <f t="shared" si="2202"/>
        <v>RECEITAS COM ENTREGAS (303)</v>
      </c>
      <c r="S4635">
        <v>2386</v>
      </c>
      <c r="T4635">
        <v>1848</v>
      </c>
      <c r="U4635" t="s">
        <v>19</v>
      </c>
    </row>
    <row r="4636" spans="1:21">
      <c r="A4636" t="str">
        <f t="shared" si="2204"/>
        <v>14/08/2025</v>
      </c>
      <c r="B4636" t="str">
        <f t="shared" si="2203"/>
        <v>ENTRADA</v>
      </c>
      <c r="C4636" t="str">
        <f t="shared" si="2197"/>
        <v>NFSE</v>
      </c>
      <c r="D4636" t="str">
        <f>"3347"</f>
        <v>3347</v>
      </c>
      <c r="E4636" t="str">
        <f t="shared" si="2196"/>
        <v>COM</v>
      </c>
      <c r="F4636" t="str">
        <f>"DROGARIA MEDIC CENTER LTDA (10172)"</f>
        <v>DROGARIA MEDIC CENTER LTDA (10172)</v>
      </c>
      <c r="G4636" t="str">
        <f>"Serv.Prest. 04/08/2025 a 10/08/2025 - RPS: 1113 - NFSe: 3347"</f>
        <v>Serv.Prest. 04/08/2025 a 10/08/2025 - RPS: 1113 - NFSe: 3347</v>
      </c>
      <c r="H4636" t="str">
        <f t="shared" si="2198"/>
        <v>13/08/2025</v>
      </c>
      <c r="I4636" t="str">
        <f t="shared" si="2205"/>
        <v>11/08/2025</v>
      </c>
      <c r="J4636" t="str">
        <f t="shared" si="2200"/>
        <v>14/08/2025</v>
      </c>
      <c r="M4636">
        <v>303</v>
      </c>
      <c r="N4636" t="str">
        <f t="shared" si="2201"/>
        <v>RECEITAS COM ENTREGAS</v>
      </c>
      <c r="P4636">
        <v>251.1</v>
      </c>
      <c r="Q4636" t="str">
        <f>"DROGARIA MEDIC CENTER LTDA (10172)"</f>
        <v>DROGARIA MEDIC CENTER LTDA (10172)</v>
      </c>
      <c r="R4636" t="str">
        <f t="shared" si="2202"/>
        <v>RECEITAS COM ENTREGAS (303)</v>
      </c>
      <c r="S4636">
        <v>2386</v>
      </c>
      <c r="T4636">
        <v>1848</v>
      </c>
      <c r="U4636" t="s">
        <v>19</v>
      </c>
    </row>
    <row r="4637" spans="1:21">
      <c r="A4637" t="str">
        <f t="shared" si="2204"/>
        <v>14/08/2025</v>
      </c>
      <c r="B4637" t="str">
        <f t="shared" si="2203"/>
        <v>ENTRADA</v>
      </c>
      <c r="C4637" t="str">
        <f t="shared" si="2197"/>
        <v>NFSE</v>
      </c>
      <c r="D4637" t="str">
        <f>"3349"</f>
        <v>3349</v>
      </c>
      <c r="E4637" t="str">
        <f t="shared" si="2196"/>
        <v>COM</v>
      </c>
      <c r="F4637" t="str">
        <f>"JAL FARMACIA E DROGARIA LJ 1 (10137)"</f>
        <v>JAL FARMACIA E DROGARIA LJ 1 (10137)</v>
      </c>
      <c r="G4637" t="str">
        <f>"Serv.Prest. 04/08/2025 a 10/08/2025 - RPS: 1115 - NFSe: 3349"</f>
        <v>Serv.Prest. 04/08/2025 a 10/08/2025 - RPS: 1115 - NFSe: 3349</v>
      </c>
      <c r="H4637" t="str">
        <f t="shared" si="2198"/>
        <v>13/08/2025</v>
      </c>
      <c r="I4637" t="str">
        <f t="shared" si="2205"/>
        <v>11/08/2025</v>
      </c>
      <c r="J4637" t="str">
        <f t="shared" si="2200"/>
        <v>14/08/2025</v>
      </c>
      <c r="K4637">
        <v>468.8</v>
      </c>
      <c r="L4637">
        <v>468.8</v>
      </c>
      <c r="M4637">
        <v>303</v>
      </c>
      <c r="N4637" t="str">
        <f t="shared" si="2201"/>
        <v>RECEITAS COM ENTREGAS</v>
      </c>
      <c r="O4637">
        <v>468.8</v>
      </c>
      <c r="R4637" t="str">
        <f t="shared" si="2202"/>
        <v>RECEITAS COM ENTREGAS (303)</v>
      </c>
      <c r="S4637">
        <v>2387</v>
      </c>
      <c r="T4637">
        <v>1850</v>
      </c>
      <c r="U4637" t="s">
        <v>19</v>
      </c>
    </row>
    <row r="4638" spans="1:21">
      <c r="A4638" t="str">
        <f t="shared" si="2204"/>
        <v>14/08/2025</v>
      </c>
      <c r="B4638" t="str">
        <f t="shared" si="2203"/>
        <v>ENTRADA</v>
      </c>
      <c r="C4638" t="str">
        <f t="shared" si="2197"/>
        <v>NFSE</v>
      </c>
      <c r="D4638" t="str">
        <f>"3349"</f>
        <v>3349</v>
      </c>
      <c r="E4638" t="str">
        <f t="shared" si="2196"/>
        <v>COM</v>
      </c>
      <c r="F4638" t="str">
        <f>"JAL FARMACIA E DROGARIA LJ 1 (10137)"</f>
        <v>JAL FARMACIA E DROGARIA LJ 1 (10137)</v>
      </c>
      <c r="G4638" t="str">
        <f>"Serv.Prest. 04/08/2025 a 10/08/2025 - RPS: 1115 - NFSe: 3349"</f>
        <v>Serv.Prest. 04/08/2025 a 10/08/2025 - RPS: 1115 - NFSe: 3349</v>
      </c>
      <c r="H4638" t="str">
        <f t="shared" si="2198"/>
        <v>13/08/2025</v>
      </c>
      <c r="I4638" t="str">
        <f t="shared" si="2205"/>
        <v>11/08/2025</v>
      </c>
      <c r="J4638" t="str">
        <f t="shared" si="2200"/>
        <v>14/08/2025</v>
      </c>
      <c r="M4638">
        <v>303</v>
      </c>
      <c r="N4638" t="str">
        <f t="shared" si="2201"/>
        <v>RECEITAS COM ENTREGAS</v>
      </c>
      <c r="P4638">
        <v>468.8</v>
      </c>
      <c r="Q4638" t="str">
        <f>"JAL FARMACIA E DROGARIA LJ 1 (10137)"</f>
        <v>JAL FARMACIA E DROGARIA LJ 1 (10137)</v>
      </c>
      <c r="R4638" t="str">
        <f t="shared" si="2202"/>
        <v>RECEITAS COM ENTREGAS (303)</v>
      </c>
      <c r="S4638">
        <v>2387</v>
      </c>
      <c r="T4638">
        <v>1850</v>
      </c>
      <c r="U4638" t="s">
        <v>19</v>
      </c>
    </row>
    <row r="4639" spans="1:21">
      <c r="A4639" t="str">
        <f t="shared" si="2204"/>
        <v>14/08/2025</v>
      </c>
      <c r="B4639" t="str">
        <f t="shared" si="2203"/>
        <v>ENTRADA</v>
      </c>
      <c r="C4639" t="str">
        <f t="shared" si="2197"/>
        <v>NFSE</v>
      </c>
      <c r="D4639" t="str">
        <f>"3352"</f>
        <v>3352</v>
      </c>
      <c r="E4639" t="str">
        <f t="shared" si="2196"/>
        <v>COM</v>
      </c>
      <c r="F4639" t="str">
        <f>"DELTA LOJA 2 (10123)"</f>
        <v>DELTA LOJA 2 (10123)</v>
      </c>
      <c r="G4639" t="str">
        <f>"Serv.Prest. 04/08/2025 a 10/08/2025 - RPS: 1118 - NFSe: 3352"</f>
        <v>Serv.Prest. 04/08/2025 a 10/08/2025 - RPS: 1118 - NFSe: 3352</v>
      </c>
      <c r="H4639" t="str">
        <f t="shared" si="2198"/>
        <v>13/08/2025</v>
      </c>
      <c r="I4639" t="str">
        <f t="shared" si="2205"/>
        <v>11/08/2025</v>
      </c>
      <c r="J4639" t="str">
        <f t="shared" si="2200"/>
        <v>14/08/2025</v>
      </c>
      <c r="K4639">
        <v>561.12</v>
      </c>
      <c r="L4639">
        <v>561.12</v>
      </c>
      <c r="M4639">
        <v>303</v>
      </c>
      <c r="N4639" t="str">
        <f t="shared" si="2201"/>
        <v>RECEITAS COM ENTREGAS</v>
      </c>
      <c r="O4639">
        <v>561.12</v>
      </c>
      <c r="R4639" t="str">
        <f t="shared" si="2202"/>
        <v>RECEITAS COM ENTREGAS (303)</v>
      </c>
      <c r="S4639">
        <v>2388</v>
      </c>
      <c r="T4639">
        <v>1866</v>
      </c>
      <c r="U4639" t="s">
        <v>19</v>
      </c>
    </row>
    <row r="4640" spans="1:21">
      <c r="A4640" t="str">
        <f t="shared" si="2204"/>
        <v>14/08/2025</v>
      </c>
      <c r="B4640" t="str">
        <f t="shared" si="2203"/>
        <v>ENTRADA</v>
      </c>
      <c r="C4640" t="str">
        <f t="shared" si="2197"/>
        <v>NFSE</v>
      </c>
      <c r="D4640" t="str">
        <f>"3352"</f>
        <v>3352</v>
      </c>
      <c r="E4640" t="str">
        <f t="shared" si="2196"/>
        <v>COM</v>
      </c>
      <c r="F4640" t="str">
        <f>"DELTA LOJA 2 (10123)"</f>
        <v>DELTA LOJA 2 (10123)</v>
      </c>
      <c r="G4640" t="str">
        <f>"Serv.Prest. 04/08/2025 a 10/08/2025 - RPS: 1118 - NFSe: 3352"</f>
        <v>Serv.Prest. 04/08/2025 a 10/08/2025 - RPS: 1118 - NFSe: 3352</v>
      </c>
      <c r="H4640" t="str">
        <f t="shared" si="2198"/>
        <v>13/08/2025</v>
      </c>
      <c r="I4640" t="str">
        <f t="shared" si="2205"/>
        <v>11/08/2025</v>
      </c>
      <c r="J4640" t="str">
        <f t="shared" si="2200"/>
        <v>14/08/2025</v>
      </c>
      <c r="M4640">
        <v>303</v>
      </c>
      <c r="N4640" t="str">
        <f t="shared" si="2201"/>
        <v>RECEITAS COM ENTREGAS</v>
      </c>
      <c r="P4640">
        <v>561.12</v>
      </c>
      <c r="Q4640" t="str">
        <f>"DELTA LOJA 2 (10123)"</f>
        <v>DELTA LOJA 2 (10123)</v>
      </c>
      <c r="R4640" t="str">
        <f t="shared" si="2202"/>
        <v>RECEITAS COM ENTREGAS (303)</v>
      </c>
      <c r="S4640">
        <v>2388</v>
      </c>
      <c r="T4640">
        <v>1866</v>
      </c>
      <c r="U4640" t="s">
        <v>19</v>
      </c>
    </row>
    <row r="4641" spans="1:21">
      <c r="A4641" t="str">
        <f t="shared" si="2204"/>
        <v>14/08/2025</v>
      </c>
      <c r="B4641" t="str">
        <f t="shared" si="2203"/>
        <v>ENTRADA</v>
      </c>
      <c r="C4641" t="str">
        <f t="shared" si="2197"/>
        <v>NFSE</v>
      </c>
      <c r="D4641" t="str">
        <f>"3315"</f>
        <v>3315</v>
      </c>
      <c r="E4641" t="str">
        <f t="shared" si="2196"/>
        <v>COM</v>
      </c>
      <c r="F4641" t="str">
        <f>"PAGMENOS - LJ 608 (10135)"</f>
        <v>PAGMENOS - LJ 608 (10135)</v>
      </c>
      <c r="G4641" t="str">
        <f>"Serv.Prest. 28/07/2025 a 03/08/2025 - RPS: 1081 - NFSe: 3315"</f>
        <v>Serv.Prest. 28/07/2025 a 03/08/2025 - RPS: 1081 - NFSe: 3315</v>
      </c>
      <c r="H4641" t="str">
        <f t="shared" ref="H4641:H4648" si="2206">("14/08/2025")</f>
        <v>14/08/2025</v>
      </c>
      <c r="I4641" t="str">
        <f>("04/08/2025")</f>
        <v>04/08/2025</v>
      </c>
      <c r="J4641" t="str">
        <f t="shared" si="2200"/>
        <v>14/08/2025</v>
      </c>
      <c r="K4641">
        <v>280.20999999999998</v>
      </c>
      <c r="L4641">
        <v>280.20999999999998</v>
      </c>
      <c r="M4641">
        <v>303</v>
      </c>
      <c r="N4641" t="str">
        <f t="shared" si="2201"/>
        <v>RECEITAS COM ENTREGAS</v>
      </c>
      <c r="O4641">
        <v>280.20999999999998</v>
      </c>
      <c r="R4641" t="str">
        <f t="shared" si="2202"/>
        <v>RECEITAS COM ENTREGAS (303)</v>
      </c>
      <c r="S4641">
        <v>2389</v>
      </c>
      <c r="T4641">
        <v>1769</v>
      </c>
      <c r="U4641" t="s">
        <v>19</v>
      </c>
    </row>
    <row r="4642" spans="1:21">
      <c r="A4642" t="str">
        <f t="shared" si="2204"/>
        <v>14/08/2025</v>
      </c>
      <c r="B4642" t="str">
        <f t="shared" si="2203"/>
        <v>ENTRADA</v>
      </c>
      <c r="C4642" t="str">
        <f t="shared" si="2197"/>
        <v>NFSE</v>
      </c>
      <c r="D4642" t="str">
        <f>"3315"</f>
        <v>3315</v>
      </c>
      <c r="E4642" t="str">
        <f t="shared" si="2196"/>
        <v>COM</v>
      </c>
      <c r="F4642" t="str">
        <f>"PAGMENOS - LJ 608 (10135)"</f>
        <v>PAGMENOS - LJ 608 (10135)</v>
      </c>
      <c r="G4642" t="str">
        <f>"Serv.Prest. 28/07/2025 a 03/08/2025 - RPS: 1081 - NFSe: 3315"</f>
        <v>Serv.Prest. 28/07/2025 a 03/08/2025 - RPS: 1081 - NFSe: 3315</v>
      </c>
      <c r="H4642" t="str">
        <f t="shared" si="2206"/>
        <v>14/08/2025</v>
      </c>
      <c r="I4642" t="str">
        <f>("04/08/2025")</f>
        <v>04/08/2025</v>
      </c>
      <c r="J4642" t="str">
        <f t="shared" si="2200"/>
        <v>14/08/2025</v>
      </c>
      <c r="M4642">
        <v>303</v>
      </c>
      <c r="N4642" t="str">
        <f t="shared" si="2201"/>
        <v>RECEITAS COM ENTREGAS</v>
      </c>
      <c r="P4642">
        <v>280.20999999999998</v>
      </c>
      <c r="Q4642" t="str">
        <f>"PAGMENOS - LJ 608 (10135)"</f>
        <v>PAGMENOS - LJ 608 (10135)</v>
      </c>
      <c r="R4642" t="str">
        <f t="shared" si="2202"/>
        <v>RECEITAS COM ENTREGAS (303)</v>
      </c>
      <c r="S4642">
        <v>2389</v>
      </c>
      <c r="T4642">
        <v>1769</v>
      </c>
      <c r="U4642" t="s">
        <v>19</v>
      </c>
    </row>
    <row r="4643" spans="1:21">
      <c r="A4643" t="str">
        <f t="shared" si="2204"/>
        <v>14/08/2025</v>
      </c>
      <c r="B4643" t="str">
        <f t="shared" si="2203"/>
        <v>ENTRADA</v>
      </c>
      <c r="C4643" t="str">
        <f t="shared" si="2197"/>
        <v>NFSE</v>
      </c>
      <c r="D4643" t="str">
        <f>"3325"</f>
        <v>3325</v>
      </c>
      <c r="E4643" t="str">
        <f t="shared" si="2196"/>
        <v>COM</v>
      </c>
      <c r="F4643" t="str">
        <f>"PAGMENOS - LJ 657 (10136)"</f>
        <v>PAGMENOS - LJ 657 (10136)</v>
      </c>
      <c r="G4643" t="str">
        <f>"Serv.Prest. 28/07/2025 a 03/08/2025 - RPS: 1091 - NFSe: 3325"</f>
        <v>Serv.Prest. 28/07/2025 a 03/08/2025 - RPS: 1091 - NFSe: 3325</v>
      </c>
      <c r="H4643" t="str">
        <f t="shared" si="2206"/>
        <v>14/08/2025</v>
      </c>
      <c r="I4643" t="str">
        <f>("05/08/2025")</f>
        <v>05/08/2025</v>
      </c>
      <c r="J4643" t="str">
        <f t="shared" si="2200"/>
        <v>14/08/2025</v>
      </c>
      <c r="K4643">
        <v>596.6</v>
      </c>
      <c r="L4643">
        <v>596.6</v>
      </c>
      <c r="M4643">
        <v>303</v>
      </c>
      <c r="N4643" t="str">
        <f t="shared" si="2201"/>
        <v>RECEITAS COM ENTREGAS</v>
      </c>
      <c r="O4643">
        <v>596.6</v>
      </c>
      <c r="R4643" t="str">
        <f t="shared" si="2202"/>
        <v>RECEITAS COM ENTREGAS (303)</v>
      </c>
      <c r="S4643">
        <v>2390</v>
      </c>
      <c r="T4643">
        <v>1779</v>
      </c>
      <c r="U4643" t="s">
        <v>19</v>
      </c>
    </row>
    <row r="4644" spans="1:21">
      <c r="A4644" t="str">
        <f t="shared" si="2204"/>
        <v>14/08/2025</v>
      </c>
      <c r="B4644" t="str">
        <f t="shared" si="2203"/>
        <v>ENTRADA</v>
      </c>
      <c r="C4644" t="str">
        <f t="shared" si="2197"/>
        <v>NFSE</v>
      </c>
      <c r="D4644" t="str">
        <f>"3325"</f>
        <v>3325</v>
      </c>
      <c r="E4644" t="str">
        <f t="shared" si="2196"/>
        <v>COM</v>
      </c>
      <c r="F4644" t="str">
        <f>"PAGMENOS - LJ 657 (10136)"</f>
        <v>PAGMENOS - LJ 657 (10136)</v>
      </c>
      <c r="G4644" t="str">
        <f>"Serv.Prest. 28/07/2025 a 03/08/2025 - RPS: 1091 - NFSe: 3325"</f>
        <v>Serv.Prest. 28/07/2025 a 03/08/2025 - RPS: 1091 - NFSe: 3325</v>
      </c>
      <c r="H4644" t="str">
        <f t="shared" si="2206"/>
        <v>14/08/2025</v>
      </c>
      <c r="I4644" t="str">
        <f>("05/08/2025")</f>
        <v>05/08/2025</v>
      </c>
      <c r="J4644" t="str">
        <f t="shared" si="2200"/>
        <v>14/08/2025</v>
      </c>
      <c r="M4644">
        <v>303</v>
      </c>
      <c r="N4644" t="str">
        <f t="shared" si="2201"/>
        <v>RECEITAS COM ENTREGAS</v>
      </c>
      <c r="P4644">
        <v>596.6</v>
      </c>
      <c r="Q4644" t="str">
        <f>"PAGMENOS - LJ 657 (10136)"</f>
        <v>PAGMENOS - LJ 657 (10136)</v>
      </c>
      <c r="R4644" t="str">
        <f t="shared" si="2202"/>
        <v>RECEITAS COM ENTREGAS (303)</v>
      </c>
      <c r="S4644">
        <v>2390</v>
      </c>
      <c r="T4644">
        <v>1779</v>
      </c>
      <c r="U4644" t="s">
        <v>19</v>
      </c>
    </row>
    <row r="4645" spans="1:21">
      <c r="A4645" t="str">
        <f t="shared" si="2204"/>
        <v>14/08/2025</v>
      </c>
      <c r="B4645" t="str">
        <f t="shared" si="2203"/>
        <v>ENTRADA</v>
      </c>
      <c r="C4645" t="str">
        <f t="shared" si="2197"/>
        <v>NFSE</v>
      </c>
      <c r="D4645" t="str">
        <f>"3342"</f>
        <v>3342</v>
      </c>
      <c r="E4645" t="str">
        <f t="shared" si="2196"/>
        <v>COM</v>
      </c>
      <c r="F4645" t="str">
        <f>"DROGARIA POUPA MINAS (ULTRAMINAS) 3 (10129)"</f>
        <v>DROGARIA POUPA MINAS (ULTRAMINAS) 3 (10129)</v>
      </c>
      <c r="G4645" t="str">
        <f>"Serv.Prest. 04/08/2025 a 10/08/2025 - RPS: 1108 - NFSe: 3342"</f>
        <v>Serv.Prest. 04/08/2025 a 10/08/2025 - RPS: 1108 - NFSe: 3342</v>
      </c>
      <c r="H4645" t="str">
        <f t="shared" si="2206"/>
        <v>14/08/2025</v>
      </c>
      <c r="I4645" t="str">
        <f>("11/08/2025")</f>
        <v>11/08/2025</v>
      </c>
      <c r="J4645" t="str">
        <f t="shared" si="2200"/>
        <v>14/08/2025</v>
      </c>
      <c r="K4645">
        <v>171.6</v>
      </c>
      <c r="L4645">
        <v>171.6</v>
      </c>
      <c r="M4645">
        <v>303</v>
      </c>
      <c r="N4645" t="str">
        <f t="shared" si="2201"/>
        <v>RECEITAS COM ENTREGAS</v>
      </c>
      <c r="O4645">
        <v>171.6</v>
      </c>
      <c r="R4645" t="str">
        <f t="shared" si="2202"/>
        <v>RECEITAS COM ENTREGAS (303)</v>
      </c>
      <c r="S4645">
        <v>2391</v>
      </c>
      <c r="T4645">
        <v>1843</v>
      </c>
      <c r="U4645" t="s">
        <v>19</v>
      </c>
    </row>
    <row r="4646" spans="1:21">
      <c r="A4646" t="str">
        <f t="shared" si="2204"/>
        <v>14/08/2025</v>
      </c>
      <c r="B4646" t="str">
        <f t="shared" si="2203"/>
        <v>ENTRADA</v>
      </c>
      <c r="C4646" t="str">
        <f t="shared" si="2197"/>
        <v>NFSE</v>
      </c>
      <c r="D4646" t="str">
        <f>"3342"</f>
        <v>3342</v>
      </c>
      <c r="E4646" t="str">
        <f t="shared" si="2196"/>
        <v>COM</v>
      </c>
      <c r="F4646" t="str">
        <f>"DROGARIA POUPA MINAS (ULTRAMINAS) 3 (10129)"</f>
        <v>DROGARIA POUPA MINAS (ULTRAMINAS) 3 (10129)</v>
      </c>
      <c r="G4646" t="str">
        <f>"Serv.Prest. 04/08/2025 a 10/08/2025 - RPS: 1108 - NFSe: 3342"</f>
        <v>Serv.Prest. 04/08/2025 a 10/08/2025 - RPS: 1108 - NFSe: 3342</v>
      </c>
      <c r="H4646" t="str">
        <f t="shared" si="2206"/>
        <v>14/08/2025</v>
      </c>
      <c r="I4646" t="str">
        <f>("11/08/2025")</f>
        <v>11/08/2025</v>
      </c>
      <c r="J4646" t="str">
        <f t="shared" si="2200"/>
        <v>14/08/2025</v>
      </c>
      <c r="M4646">
        <v>303</v>
      </c>
      <c r="N4646" t="str">
        <f t="shared" si="2201"/>
        <v>RECEITAS COM ENTREGAS</v>
      </c>
      <c r="P4646">
        <v>171.6</v>
      </c>
      <c r="Q4646" t="str">
        <f>"DROGARIA POUPA MINAS (ULTRAMINAS) 3 (10129)"</f>
        <v>DROGARIA POUPA MINAS (ULTRAMINAS) 3 (10129)</v>
      </c>
      <c r="R4646" t="str">
        <f t="shared" si="2202"/>
        <v>RECEITAS COM ENTREGAS (303)</v>
      </c>
      <c r="S4646">
        <v>2391</v>
      </c>
      <c r="T4646">
        <v>1843</v>
      </c>
      <c r="U4646" t="s">
        <v>19</v>
      </c>
    </row>
    <row r="4647" spans="1:21">
      <c r="A4647" t="str">
        <f t="shared" si="2204"/>
        <v>14/08/2025</v>
      </c>
      <c r="B4647" t="str">
        <f>"SAÍDA"</f>
        <v>SAÍDA</v>
      </c>
      <c r="C4647" t="str">
        <f>"PIX"</f>
        <v>PIX</v>
      </c>
      <c r="D4647" t="str">
        <f>"1408251000"</f>
        <v>1408251000</v>
      </c>
      <c r="E4647" t="str">
        <f t="shared" si="2196"/>
        <v>COM</v>
      </c>
      <c r="F4647" t="str">
        <f>"CONTA SIMPLES SOLUCOES DE PAGAMENTOS LTDA (20019)"</f>
        <v>CONTA SIMPLES SOLUCOES DE PAGAMENTOS LTDA (20019)</v>
      </c>
      <c r="G4647" t="str">
        <f>"MARKETING REDES SOCIAIS - PIX- CHAVE ALEATORIA: 1d5b84cc-db31-469d-b8ee-076ced54c3e9"</f>
        <v>MARKETING REDES SOCIAIS - PIX- CHAVE ALEATORIA: 1d5b84cc-db31-469d-b8ee-076ced54c3e9</v>
      </c>
      <c r="H4647" t="str">
        <f t="shared" si="2206"/>
        <v>14/08/2025</v>
      </c>
      <c r="I4647" t="str">
        <f>("14/08/2025")</f>
        <v>14/08/2025</v>
      </c>
      <c r="J4647" t="str">
        <f t="shared" si="2200"/>
        <v>14/08/2025</v>
      </c>
      <c r="K4647">
        <v>1000</v>
      </c>
      <c r="L4647">
        <v>1000</v>
      </c>
      <c r="M4647">
        <v>127</v>
      </c>
      <c r="N4647" t="str">
        <f>"PUBLICIDADE E PROPAGANDAS"</f>
        <v>PUBLICIDADE E PROPAGANDAS</v>
      </c>
      <c r="O4647">
        <v>1000</v>
      </c>
      <c r="R4647" t="str">
        <f>"BANCO CORA (102)"</f>
        <v>BANCO CORA (102)</v>
      </c>
      <c r="S4647">
        <v>2431</v>
      </c>
      <c r="T4647">
        <v>1937</v>
      </c>
      <c r="U4647" t="s">
        <v>19</v>
      </c>
    </row>
    <row r="4648" spans="1:21">
      <c r="A4648" t="str">
        <f t="shared" si="2204"/>
        <v>14/08/2025</v>
      </c>
      <c r="B4648" t="str">
        <f>"SAÍDA"</f>
        <v>SAÍDA</v>
      </c>
      <c r="C4648" t="str">
        <f>"PIX"</f>
        <v>PIX</v>
      </c>
      <c r="D4648" t="str">
        <f>"1408251000"</f>
        <v>1408251000</v>
      </c>
      <c r="E4648" t="str">
        <f t="shared" si="2196"/>
        <v>COM</v>
      </c>
      <c r="F4648" t="str">
        <f>"CONTA SIMPLES SOLUCOES DE PAGAMENTOS LTDA (20019)"</f>
        <v>CONTA SIMPLES SOLUCOES DE PAGAMENTOS LTDA (20019)</v>
      </c>
      <c r="G4648" t="str">
        <f>"MARKETING REDES SOCIAIS - PIX- CHAVE ALEATORIA: 1d5b84cc-db31-469d-b8ee-076ced54c3e9"</f>
        <v>MARKETING REDES SOCIAIS - PIX- CHAVE ALEATORIA: 1d5b84cc-db31-469d-b8ee-076ced54c3e9</v>
      </c>
      <c r="H4648" t="str">
        <f t="shared" si="2206"/>
        <v>14/08/2025</v>
      </c>
      <c r="I4648" t="str">
        <f>("14/08/2025")</f>
        <v>14/08/2025</v>
      </c>
      <c r="J4648" t="str">
        <f t="shared" si="2200"/>
        <v>14/08/2025</v>
      </c>
      <c r="M4648">
        <v>127</v>
      </c>
      <c r="N4648" t="str">
        <f>"PUBLICIDADE E PROPAGANDAS"</f>
        <v>PUBLICIDADE E PROPAGANDAS</v>
      </c>
      <c r="P4648">
        <v>1000</v>
      </c>
      <c r="Q4648" t="str">
        <f>"CONTA SIMPLES SOLUCOES DE PAGAMENTOS LTDA (20019)"</f>
        <v>CONTA SIMPLES SOLUCOES DE PAGAMENTOS LTDA (20019)</v>
      </c>
      <c r="R4648" t="str">
        <f>"BANCO CORA (102)"</f>
        <v>BANCO CORA (102)</v>
      </c>
      <c r="S4648">
        <v>2431</v>
      </c>
      <c r="T4648">
        <v>1937</v>
      </c>
      <c r="U4648" t="s">
        <v>19</v>
      </c>
    </row>
    <row r="4649" spans="1:21">
      <c r="A4649" t="str">
        <f>("15/08/2025")</f>
        <v>15/08/2025</v>
      </c>
      <c r="B4649" t="str">
        <f>"SAÍDA"</f>
        <v>SAÍDA</v>
      </c>
      <c r="C4649" t="str">
        <f>"CONHECIMENTO"</f>
        <v>CONHECIMENTO</v>
      </c>
      <c r="D4649" t="str">
        <f>"150825170"</f>
        <v>150825170</v>
      </c>
      <c r="E4649" t="str">
        <f t="shared" si="2196"/>
        <v>COM</v>
      </c>
      <c r="F4649" t="str">
        <f>"CORA SOCIEDADE DE CREDITO, FINANCIAMENTO E INVESTIMENTO (20035)"</f>
        <v>CORA SOCIEDADE DE CREDITO, FINANCIAMENTO E INVESTIMENTO (20035)</v>
      </c>
      <c r="G4649" t="str">
        <f>"TAXA BOLETO COMPENSADO"</f>
        <v>TAXA BOLETO COMPENSADO</v>
      </c>
      <c r="H4649" t="str">
        <f>("15/08/2025")</f>
        <v>15/08/2025</v>
      </c>
      <c r="I4649" t="str">
        <f>("15/08/2025")</f>
        <v>15/08/2025</v>
      </c>
      <c r="J4649" t="str">
        <f>("15/08/2025")</f>
        <v>15/08/2025</v>
      </c>
      <c r="K4649">
        <v>1.7</v>
      </c>
      <c r="L4649">
        <v>1.7</v>
      </c>
      <c r="M4649">
        <v>401</v>
      </c>
      <c r="N4649" t="str">
        <f>"IOF/JUROS/DESP.FINANCEIRA"</f>
        <v>IOF/JUROS/DESP.FINANCEIRA</v>
      </c>
      <c r="O4649">
        <v>1.7</v>
      </c>
      <c r="R4649" t="str">
        <f>"BANCO CORA (102)"</f>
        <v>BANCO CORA (102)</v>
      </c>
      <c r="S4649">
        <v>2374</v>
      </c>
      <c r="T4649">
        <v>1932</v>
      </c>
      <c r="U4649" t="s">
        <v>19</v>
      </c>
    </row>
    <row r="4650" spans="1:21">
      <c r="A4650" t="str">
        <f>("15/08/2025")</f>
        <v>15/08/2025</v>
      </c>
      <c r="B4650" t="str">
        <f>"ENTRADA"</f>
        <v>ENTRADA</v>
      </c>
      <c r="C4650" t="str">
        <f>"NFSE"</f>
        <v>NFSE</v>
      </c>
      <c r="D4650" t="str">
        <f>"3343"</f>
        <v>3343</v>
      </c>
      <c r="E4650" t="str">
        <f t="shared" si="2196"/>
        <v>COM</v>
      </c>
      <c r="F4650" t="str">
        <f>"DROGARIA POUPA MINAS (DOIS AMIGOS) 5 (10140)"</f>
        <v>DROGARIA POUPA MINAS (DOIS AMIGOS) 5 (10140)</v>
      </c>
      <c r="G4650" t="str">
        <f>"Serv.Prest. 04/08/2025 a 10/08/2025 - RPS: 1109 - NFSe: 3343"</f>
        <v>Serv.Prest. 04/08/2025 a 10/08/2025 - RPS: 1109 - NFSe: 3343</v>
      </c>
      <c r="H4650" t="str">
        <f>("14/08/2025")</f>
        <v>14/08/2025</v>
      </c>
      <c r="I4650" t="str">
        <f>("11/08/2025")</f>
        <v>11/08/2025</v>
      </c>
      <c r="J4650" t="str">
        <f>("15/08/2025")</f>
        <v>15/08/2025</v>
      </c>
      <c r="K4650">
        <v>738.23</v>
      </c>
      <c r="L4650">
        <v>738.23</v>
      </c>
      <c r="M4650">
        <v>303</v>
      </c>
      <c r="N4650" t="str">
        <f>"RECEITAS COM ENTREGAS"</f>
        <v>RECEITAS COM ENTREGAS</v>
      </c>
      <c r="O4650">
        <v>738.23</v>
      </c>
      <c r="R4650" t="str">
        <f>"RECEITAS COM ENTREGAS (303)"</f>
        <v>RECEITAS COM ENTREGAS (303)</v>
      </c>
      <c r="S4650">
        <v>2393</v>
      </c>
      <c r="T4650">
        <v>1844</v>
      </c>
      <c r="U4650" t="s">
        <v>19</v>
      </c>
    </row>
    <row r="4651" spans="1:21">
      <c r="A4651" t="str">
        <f>("15/08/2025")</f>
        <v>15/08/2025</v>
      </c>
      <c r="B4651" t="str">
        <f>"ENTRADA"</f>
        <v>ENTRADA</v>
      </c>
      <c r="C4651" t="str">
        <f>"NFSE"</f>
        <v>NFSE</v>
      </c>
      <c r="D4651" t="str">
        <f>"3343"</f>
        <v>3343</v>
      </c>
      <c r="E4651" t="str">
        <f t="shared" si="2196"/>
        <v>COM</v>
      </c>
      <c r="F4651" t="str">
        <f>"DROGARIA POUPA MINAS (DOIS AMIGOS) 5 (10140)"</f>
        <v>DROGARIA POUPA MINAS (DOIS AMIGOS) 5 (10140)</v>
      </c>
      <c r="G4651" t="str">
        <f>"Serv.Prest. 04/08/2025 a 10/08/2025 - RPS: 1109 - NFSe: 3343"</f>
        <v>Serv.Prest. 04/08/2025 a 10/08/2025 - RPS: 1109 - NFSe: 3343</v>
      </c>
      <c r="H4651" t="str">
        <f>("14/08/2025")</f>
        <v>14/08/2025</v>
      </c>
      <c r="I4651" t="str">
        <f>("11/08/2025")</f>
        <v>11/08/2025</v>
      </c>
      <c r="J4651" t="str">
        <f>("15/08/2025")</f>
        <v>15/08/2025</v>
      </c>
      <c r="M4651">
        <v>303</v>
      </c>
      <c r="N4651" t="str">
        <f>"RECEITAS COM ENTREGAS"</f>
        <v>RECEITAS COM ENTREGAS</v>
      </c>
      <c r="P4651">
        <v>738.23</v>
      </c>
      <c r="Q4651" t="str">
        <f>"DROGARIA POUPA MINAS (ULTRAMINAS) 1 (10181)"</f>
        <v>DROGARIA POUPA MINAS (ULTRAMINAS) 1 (10181)</v>
      </c>
      <c r="R4651" t="str">
        <f>"RECEITAS COM ENTREGAS (303)"</f>
        <v>RECEITAS COM ENTREGAS (303)</v>
      </c>
      <c r="S4651">
        <v>2393</v>
      </c>
      <c r="T4651">
        <v>1844</v>
      </c>
      <c r="U4651" t="s">
        <v>19</v>
      </c>
    </row>
    <row r="4652" spans="1:21">
      <c r="A4652" t="str">
        <f>("18/08/2025")</f>
        <v>18/08/2025</v>
      </c>
      <c r="B4652" t="str">
        <f t="shared" ref="B4652:B4659" si="2207">"SAÍDA"</f>
        <v>SAÍDA</v>
      </c>
      <c r="C4652" t="str">
        <f t="shared" ref="C4652:C4659" si="2208">"PIX"</f>
        <v>PIX</v>
      </c>
      <c r="D4652" t="str">
        <f>"286227"</f>
        <v>286227</v>
      </c>
      <c r="E4652" t="str">
        <f t="shared" si="2196"/>
        <v>COM</v>
      </c>
      <c r="F4652" t="str">
        <f>"MEGAMAMUTE COMERCIO ON LINE DE ELETRONICOS E INFORMATIC (20107)"</f>
        <v>MEGAMAMUTE COMERCIO ON LINE DE ELETRONICOS E INFORMATIC (20107)</v>
      </c>
      <c r="G4652" t="str">
        <f>"COMPRA IMPRESSORA MULTIFUNCIONAL"</f>
        <v>COMPRA IMPRESSORA MULTIFUNCIONAL</v>
      </c>
      <c r="H4652" t="str">
        <f t="shared" ref="H4652:I4659" si="2209">("19/08/2025")</f>
        <v>19/08/2025</v>
      </c>
      <c r="I4652" t="str">
        <f t="shared" si="2209"/>
        <v>19/08/2025</v>
      </c>
      <c r="J4652" t="str">
        <f>("18/08/2025")</f>
        <v>18/08/2025</v>
      </c>
      <c r="K4652">
        <v>399.9</v>
      </c>
      <c r="L4652">
        <v>399.9</v>
      </c>
      <c r="M4652">
        <v>130</v>
      </c>
      <c r="N4652" t="str">
        <f>"EQUIPAMENTOS DE INFORMATICA"</f>
        <v>EQUIPAMENTOS DE INFORMATICA</v>
      </c>
      <c r="O4652">
        <v>399.9</v>
      </c>
      <c r="R4652" t="str">
        <f t="shared" ref="R4652:R4659" si="2210">"BANCO CORA (102)"</f>
        <v>BANCO CORA (102)</v>
      </c>
      <c r="S4652">
        <v>2358</v>
      </c>
      <c r="T4652">
        <v>1933</v>
      </c>
      <c r="U4652" t="s">
        <v>19</v>
      </c>
    </row>
    <row r="4653" spans="1:21">
      <c r="A4653" t="str">
        <f>("18/08/2025")</f>
        <v>18/08/2025</v>
      </c>
      <c r="B4653" t="str">
        <f t="shared" si="2207"/>
        <v>SAÍDA</v>
      </c>
      <c r="C4653" t="str">
        <f t="shared" si="2208"/>
        <v>PIX</v>
      </c>
      <c r="D4653" t="str">
        <f>"286227"</f>
        <v>286227</v>
      </c>
      <c r="E4653" t="str">
        <f t="shared" si="2196"/>
        <v>COM</v>
      </c>
      <c r="F4653" t="str">
        <f>"MEGAMAMUTE COMERCIO ON LINE DE ELETRONICOS E INFORMATIC (20107)"</f>
        <v>MEGAMAMUTE COMERCIO ON LINE DE ELETRONICOS E INFORMATIC (20107)</v>
      </c>
      <c r="G4653" t="str">
        <f>"COMPRA IMPRESSORA MULTIFUNCIONAL"</f>
        <v>COMPRA IMPRESSORA MULTIFUNCIONAL</v>
      </c>
      <c r="H4653" t="str">
        <f t="shared" si="2209"/>
        <v>19/08/2025</v>
      </c>
      <c r="I4653" t="str">
        <f t="shared" si="2209"/>
        <v>19/08/2025</v>
      </c>
      <c r="J4653" t="str">
        <f>("18/08/2025")</f>
        <v>18/08/2025</v>
      </c>
      <c r="M4653">
        <v>130</v>
      </c>
      <c r="N4653" t="str">
        <f>"EQUIPAMENTOS DE INFORMATICA"</f>
        <v>EQUIPAMENTOS DE INFORMATICA</v>
      </c>
      <c r="P4653">
        <v>399.9</v>
      </c>
      <c r="Q4653" t="str">
        <f>"MEGAMAMUTE COMERCIO ON LINE DE ELETRONICOS E INFORMATIC (20107)"</f>
        <v>MEGAMAMUTE COMERCIO ON LINE DE ELETRONICOS E INFORMATIC (20107)</v>
      </c>
      <c r="R4653" t="str">
        <f t="shared" si="2210"/>
        <v>BANCO CORA (102)</v>
      </c>
      <c r="S4653">
        <v>2358</v>
      </c>
      <c r="T4653">
        <v>1933</v>
      </c>
      <c r="U4653" t="s">
        <v>19</v>
      </c>
    </row>
    <row r="4654" spans="1:21">
      <c r="A4654" t="str">
        <f t="shared" ref="A4654:A4659" si="2211">("19/08/2025")</f>
        <v>19/08/2025</v>
      </c>
      <c r="B4654" t="str">
        <f t="shared" si="2207"/>
        <v>SAÍDA</v>
      </c>
      <c r="C4654" t="str">
        <f t="shared" si="2208"/>
        <v>PIX</v>
      </c>
      <c r="D4654" t="str">
        <f>"190825"</f>
        <v>190825</v>
      </c>
      <c r="E4654" t="str">
        <f t="shared" si="2196"/>
        <v>COM</v>
      </c>
      <c r="F4654" t="str">
        <f>"MARCELO REZENDE ARANTES (20014)"</f>
        <v>MARCELO REZENDE ARANTES (20014)</v>
      </c>
      <c r="G4654" t="str">
        <f>"DISTRIBUICAO DE LUCROS"</f>
        <v>DISTRIBUICAO DE LUCROS</v>
      </c>
      <c r="H4654" t="str">
        <f t="shared" si="2209"/>
        <v>19/08/2025</v>
      </c>
      <c r="I4654" t="str">
        <f t="shared" si="2209"/>
        <v>19/08/2025</v>
      </c>
      <c r="J4654" t="str">
        <f t="shared" ref="J4654:J4659" si="2212">("19/08/2025")</f>
        <v>19/08/2025</v>
      </c>
      <c r="K4654">
        <v>6000</v>
      </c>
      <c r="L4654">
        <v>6000</v>
      </c>
      <c r="M4654">
        <v>125</v>
      </c>
      <c r="N4654" t="str">
        <f>"DISTRIBUIÇÃO DE LUCRO"</f>
        <v>DISTRIBUIÇÃO DE LUCRO</v>
      </c>
      <c r="O4654">
        <v>6000</v>
      </c>
      <c r="R4654" t="str">
        <f t="shared" si="2210"/>
        <v>BANCO CORA (102)</v>
      </c>
      <c r="S4654">
        <v>2359</v>
      </c>
      <c r="T4654">
        <v>1934</v>
      </c>
      <c r="U4654" t="s">
        <v>19</v>
      </c>
    </row>
    <row r="4655" spans="1:21">
      <c r="A4655" t="str">
        <f t="shared" si="2211"/>
        <v>19/08/2025</v>
      </c>
      <c r="B4655" t="str">
        <f t="shared" si="2207"/>
        <v>SAÍDA</v>
      </c>
      <c r="C4655" t="str">
        <f t="shared" si="2208"/>
        <v>PIX</v>
      </c>
      <c r="D4655" t="str">
        <f>"190825"</f>
        <v>190825</v>
      </c>
      <c r="E4655" t="str">
        <f t="shared" ref="E4655:E4718" si="2213">"COM"</f>
        <v>COM</v>
      </c>
      <c r="F4655" t="str">
        <f>"MARCELO REZENDE ARANTES (20014)"</f>
        <v>MARCELO REZENDE ARANTES (20014)</v>
      </c>
      <c r="G4655" t="str">
        <f>"DISTRIBUICAO DE LUCROS"</f>
        <v>DISTRIBUICAO DE LUCROS</v>
      </c>
      <c r="H4655" t="str">
        <f t="shared" si="2209"/>
        <v>19/08/2025</v>
      </c>
      <c r="I4655" t="str">
        <f t="shared" si="2209"/>
        <v>19/08/2025</v>
      </c>
      <c r="J4655" t="str">
        <f t="shared" si="2212"/>
        <v>19/08/2025</v>
      </c>
      <c r="M4655">
        <v>125</v>
      </c>
      <c r="N4655" t="str">
        <f>"DISTRIBUIÇÃO DE LUCRO"</f>
        <v>DISTRIBUIÇÃO DE LUCRO</v>
      </c>
      <c r="P4655">
        <v>6000</v>
      </c>
      <c r="Q4655" t="str">
        <f>"MARCELO REZENDE ARANTES (20014)"</f>
        <v>MARCELO REZENDE ARANTES (20014)</v>
      </c>
      <c r="R4655" t="str">
        <f t="shared" si="2210"/>
        <v>BANCO CORA (102)</v>
      </c>
      <c r="S4655">
        <v>2359</v>
      </c>
      <c r="T4655">
        <v>1934</v>
      </c>
      <c r="U4655" t="s">
        <v>19</v>
      </c>
    </row>
    <row r="4656" spans="1:21">
      <c r="A4656" t="str">
        <f t="shared" si="2211"/>
        <v>19/08/2025</v>
      </c>
      <c r="B4656" t="str">
        <f t="shared" si="2207"/>
        <v>SAÍDA</v>
      </c>
      <c r="C4656" t="str">
        <f t="shared" si="2208"/>
        <v>PIX</v>
      </c>
      <c r="D4656" t="str">
        <f>"19082594998"</f>
        <v>19082594998</v>
      </c>
      <c r="E4656" t="str">
        <f t="shared" si="2213"/>
        <v>COM</v>
      </c>
      <c r="F4656" t="str">
        <f>"BOOKING.COM BRASIL SERVICOS DE RESERVA DE HOTEIS LTDA. (20084)"</f>
        <v>BOOKING.COM BRASIL SERVICOS DE RESERVA DE HOTEIS LTDA. (20084)</v>
      </c>
      <c r="G4656" t="str">
        <f>"HOSPEDAGEM VIAGEM SP"</f>
        <v>HOSPEDAGEM VIAGEM SP</v>
      </c>
      <c r="H4656" t="str">
        <f t="shared" si="2209"/>
        <v>19/08/2025</v>
      </c>
      <c r="I4656" t="str">
        <f t="shared" si="2209"/>
        <v>19/08/2025</v>
      </c>
      <c r="J4656" t="str">
        <f t="shared" si="2212"/>
        <v>19/08/2025</v>
      </c>
      <c r="K4656">
        <v>949.98</v>
      </c>
      <c r="L4656">
        <v>949.98</v>
      </c>
      <c r="M4656">
        <v>128</v>
      </c>
      <c r="N4656" t="str">
        <f>"DESPESAS COM VIAGENS"</f>
        <v>DESPESAS COM VIAGENS</v>
      </c>
      <c r="O4656">
        <v>949.98</v>
      </c>
      <c r="R4656" t="str">
        <f t="shared" si="2210"/>
        <v>BANCO CORA (102)</v>
      </c>
      <c r="S4656">
        <v>2375</v>
      </c>
      <c r="T4656">
        <v>1936</v>
      </c>
      <c r="U4656" t="s">
        <v>19</v>
      </c>
    </row>
    <row r="4657" spans="1:21">
      <c r="A4657" t="str">
        <f t="shared" si="2211"/>
        <v>19/08/2025</v>
      </c>
      <c r="B4657" t="str">
        <f t="shared" si="2207"/>
        <v>SAÍDA</v>
      </c>
      <c r="C4657" t="str">
        <f t="shared" si="2208"/>
        <v>PIX</v>
      </c>
      <c r="D4657" t="str">
        <f>"19082594998"</f>
        <v>19082594998</v>
      </c>
      <c r="E4657" t="str">
        <f t="shared" si="2213"/>
        <v>COM</v>
      </c>
      <c r="F4657" t="str">
        <f>"BOOKING.COM BRASIL SERVICOS DE RESERVA DE HOTEIS LTDA. (20084)"</f>
        <v>BOOKING.COM BRASIL SERVICOS DE RESERVA DE HOTEIS LTDA. (20084)</v>
      </c>
      <c r="G4657" t="str">
        <f>"HOSPEDAGEM VIAGEM SP"</f>
        <v>HOSPEDAGEM VIAGEM SP</v>
      </c>
      <c r="H4657" t="str">
        <f t="shared" si="2209"/>
        <v>19/08/2025</v>
      </c>
      <c r="I4657" t="str">
        <f t="shared" si="2209"/>
        <v>19/08/2025</v>
      </c>
      <c r="J4657" t="str">
        <f t="shared" si="2212"/>
        <v>19/08/2025</v>
      </c>
      <c r="M4657">
        <v>128</v>
      </c>
      <c r="N4657" t="str">
        <f>"DESPESAS COM VIAGENS"</f>
        <v>DESPESAS COM VIAGENS</v>
      </c>
      <c r="P4657">
        <v>949.98</v>
      </c>
      <c r="Q4657" t="str">
        <f>"BOOKING.COM BRASIL SERVICOS DE RESERVA DE HOTEIS LTDA. (20084)"</f>
        <v>BOOKING.COM BRASIL SERVICOS DE RESERVA DE HOTEIS LTDA. (20084)</v>
      </c>
      <c r="R4657" t="str">
        <f t="shared" si="2210"/>
        <v>BANCO CORA (102)</v>
      </c>
      <c r="S4657">
        <v>2375</v>
      </c>
      <c r="T4657">
        <v>1936</v>
      </c>
      <c r="U4657" t="s">
        <v>19</v>
      </c>
    </row>
    <row r="4658" spans="1:21">
      <c r="A4658" t="str">
        <f t="shared" si="2211"/>
        <v>19/08/2025</v>
      </c>
      <c r="B4658" t="str">
        <f t="shared" si="2207"/>
        <v>SAÍDA</v>
      </c>
      <c r="C4658" t="str">
        <f t="shared" si="2208"/>
        <v>PIX</v>
      </c>
      <c r="D4658" t="str">
        <f>"1908251000"</f>
        <v>1908251000</v>
      </c>
      <c r="E4658" t="str">
        <f t="shared" si="2213"/>
        <v>COM</v>
      </c>
      <c r="F4658" t="str">
        <f>"REDEFARMA (10185)"</f>
        <v>REDEFARMA (10185)</v>
      </c>
      <c r="G4658" t="str">
        <f>"DEVOLUCAO SETUP"</f>
        <v>DEVOLUCAO SETUP</v>
      </c>
      <c r="H4658" t="str">
        <f t="shared" si="2209"/>
        <v>19/08/2025</v>
      </c>
      <c r="I4658" t="str">
        <f t="shared" si="2209"/>
        <v>19/08/2025</v>
      </c>
      <c r="J4658" t="str">
        <f t="shared" si="2212"/>
        <v>19/08/2025</v>
      </c>
      <c r="K4658">
        <v>1000</v>
      </c>
      <c r="L4658">
        <v>1000</v>
      </c>
      <c r="M4658">
        <v>122</v>
      </c>
      <c r="N4658" t="str">
        <f>"DESPESAS COM REEMBOLSOS"</f>
        <v>DESPESAS COM REEMBOLSOS</v>
      </c>
      <c r="O4658">
        <v>1000</v>
      </c>
      <c r="R4658" t="str">
        <f t="shared" si="2210"/>
        <v>BANCO CORA (102)</v>
      </c>
      <c r="S4658">
        <v>2376</v>
      </c>
      <c r="T4658">
        <v>1915</v>
      </c>
      <c r="U4658" t="s">
        <v>19</v>
      </c>
    </row>
    <row r="4659" spans="1:21">
      <c r="A4659" t="str">
        <f t="shared" si="2211"/>
        <v>19/08/2025</v>
      </c>
      <c r="B4659" t="str">
        <f t="shared" si="2207"/>
        <v>SAÍDA</v>
      </c>
      <c r="C4659" t="str">
        <f t="shared" si="2208"/>
        <v>PIX</v>
      </c>
      <c r="D4659" t="str">
        <f>"1908251000"</f>
        <v>1908251000</v>
      </c>
      <c r="E4659" t="str">
        <f t="shared" si="2213"/>
        <v>COM</v>
      </c>
      <c r="F4659" t="str">
        <f>"REDEFARMA (10185)"</f>
        <v>REDEFARMA (10185)</v>
      </c>
      <c r="G4659" t="str">
        <f>"DEVOLUCAO SETUP"</f>
        <v>DEVOLUCAO SETUP</v>
      </c>
      <c r="H4659" t="str">
        <f t="shared" si="2209"/>
        <v>19/08/2025</v>
      </c>
      <c r="I4659" t="str">
        <f t="shared" si="2209"/>
        <v>19/08/2025</v>
      </c>
      <c r="J4659" t="str">
        <f t="shared" si="2212"/>
        <v>19/08/2025</v>
      </c>
      <c r="M4659">
        <v>122</v>
      </c>
      <c r="N4659" t="str">
        <f>"DESPESAS COM REEMBOLSOS"</f>
        <v>DESPESAS COM REEMBOLSOS</v>
      </c>
      <c r="P4659">
        <v>1000</v>
      </c>
      <c r="Q4659" t="str">
        <f>"REDEFARMA (10185)"</f>
        <v>REDEFARMA (10185)</v>
      </c>
      <c r="R4659" t="str">
        <f t="shared" si="2210"/>
        <v>BANCO CORA (102)</v>
      </c>
      <c r="S4659">
        <v>2376</v>
      </c>
      <c r="T4659">
        <v>1915</v>
      </c>
      <c r="U4659" t="s">
        <v>19</v>
      </c>
    </row>
    <row r="4660" spans="1:21">
      <c r="A4660" t="str">
        <f t="shared" ref="A4660:A4691" si="2214">("20/08/2025")</f>
        <v>20/08/2025</v>
      </c>
      <c r="B4660" t="str">
        <f>"ENTRADA"</f>
        <v>ENTRADA</v>
      </c>
      <c r="C4660" t="str">
        <f t="shared" ref="C4660:C4691" si="2215">"NFSE"</f>
        <v>NFSE</v>
      </c>
      <c r="D4660" t="str">
        <f t="shared" ref="D4660:D4668" si="2216">"3350"</f>
        <v>3350</v>
      </c>
      <c r="E4660" t="str">
        <f t="shared" si="2213"/>
        <v>COM</v>
      </c>
      <c r="F4660" t="str">
        <f t="shared" ref="F4660:F4668" si="2217">"FARMÁCIA INDIANA LJ 85 (10128)"</f>
        <v>FARMÁCIA INDIANA LJ 85 (10128)</v>
      </c>
      <c r="G4660" t="str">
        <f t="shared" ref="G4660:G4668" si="2218">"Serv.Prest. 04/08/2025 a 10/08/2025 - RPS: 1116 - NFSe: 3350"</f>
        <v>Serv.Prest. 04/08/2025 a 10/08/2025 - RPS: 1116 - NFSe: 3350</v>
      </c>
      <c r="H4660" t="str">
        <f t="shared" ref="H4660:H4691" si="2219">("20/08/2025")</f>
        <v>20/08/2025</v>
      </c>
      <c r="I4660" t="str">
        <f t="shared" ref="I4660:I4680" si="2220">("11/08/2025")</f>
        <v>11/08/2025</v>
      </c>
      <c r="J4660" t="str">
        <f t="shared" ref="J4660:J4691" si="2221">("20/08/2025")</f>
        <v>20/08/2025</v>
      </c>
      <c r="K4660">
        <v>1483.2</v>
      </c>
      <c r="L4660">
        <v>1483.2</v>
      </c>
      <c r="M4660">
        <v>303</v>
      </c>
      <c r="N4660" t="str">
        <f t="shared" ref="N4660:N4691" si="2222">"RECEITAS COM ENTREGAS"</f>
        <v>RECEITAS COM ENTREGAS</v>
      </c>
      <c r="O4660">
        <v>1483.2</v>
      </c>
      <c r="R4660" t="str">
        <f t="shared" ref="R4660:R4691" si="2223">"RECEITAS COM ENTREGAS (303)"</f>
        <v>RECEITAS COM ENTREGAS (303)</v>
      </c>
      <c r="S4660">
        <v>2394</v>
      </c>
      <c r="T4660">
        <v>1864</v>
      </c>
      <c r="U4660" t="s">
        <v>19</v>
      </c>
    </row>
    <row r="4661" spans="1:21">
      <c r="A4661" t="str">
        <f t="shared" si="2214"/>
        <v>20/08/2025</v>
      </c>
      <c r="B4661" t="str">
        <f t="shared" ref="B4661:B4724" si="2224">"ENTRADA"</f>
        <v>ENTRADA</v>
      </c>
      <c r="C4661" t="str">
        <f t="shared" si="2215"/>
        <v>NFSE</v>
      </c>
      <c r="D4661" t="str">
        <f t="shared" si="2216"/>
        <v>3350</v>
      </c>
      <c r="E4661" t="str">
        <f t="shared" si="2213"/>
        <v>COM</v>
      </c>
      <c r="F4661" t="str">
        <f t="shared" si="2217"/>
        <v>FARMÁCIA INDIANA LJ 85 (10128)</v>
      </c>
      <c r="G4661" t="str">
        <f t="shared" si="2218"/>
        <v>Serv.Prest. 04/08/2025 a 10/08/2025 - RPS: 1116 - NFSe: 3350</v>
      </c>
      <c r="H4661" t="str">
        <f t="shared" si="2219"/>
        <v>20/08/2025</v>
      </c>
      <c r="I4661" t="str">
        <f t="shared" si="2220"/>
        <v>11/08/2025</v>
      </c>
      <c r="J4661" t="str">
        <f t="shared" si="2221"/>
        <v>20/08/2025</v>
      </c>
      <c r="M4661">
        <v>303</v>
      </c>
      <c r="N4661" t="str">
        <f t="shared" si="2222"/>
        <v>RECEITAS COM ENTREGAS</v>
      </c>
      <c r="P4661">
        <v>245.32</v>
      </c>
      <c r="Q4661" t="str">
        <f>"FARMÁCIA INDIANA LJ 119 (10053)"</f>
        <v>FARMÁCIA INDIANA LJ 119 (10053)</v>
      </c>
      <c r="R4661" t="str">
        <f t="shared" si="2223"/>
        <v>RECEITAS COM ENTREGAS (303)</v>
      </c>
      <c r="S4661">
        <v>2394</v>
      </c>
      <c r="T4661">
        <v>1864</v>
      </c>
      <c r="U4661" t="s">
        <v>19</v>
      </c>
    </row>
    <row r="4662" spans="1:21">
      <c r="A4662" t="str">
        <f t="shared" si="2214"/>
        <v>20/08/2025</v>
      </c>
      <c r="B4662" t="str">
        <f t="shared" si="2224"/>
        <v>ENTRADA</v>
      </c>
      <c r="C4662" t="str">
        <f t="shared" si="2215"/>
        <v>NFSE</v>
      </c>
      <c r="D4662" t="str">
        <f t="shared" si="2216"/>
        <v>3350</v>
      </c>
      <c r="E4662" t="str">
        <f t="shared" si="2213"/>
        <v>COM</v>
      </c>
      <c r="F4662" t="str">
        <f t="shared" si="2217"/>
        <v>FARMÁCIA INDIANA LJ 85 (10128)</v>
      </c>
      <c r="G4662" t="str">
        <f t="shared" si="2218"/>
        <v>Serv.Prest. 04/08/2025 a 10/08/2025 - RPS: 1116 - NFSe: 3350</v>
      </c>
      <c r="H4662" t="str">
        <f t="shared" si="2219"/>
        <v>20/08/2025</v>
      </c>
      <c r="I4662" t="str">
        <f t="shared" si="2220"/>
        <v>11/08/2025</v>
      </c>
      <c r="J4662" t="str">
        <f t="shared" si="2221"/>
        <v>20/08/2025</v>
      </c>
      <c r="M4662">
        <v>303</v>
      </c>
      <c r="N4662" t="str">
        <f t="shared" si="2222"/>
        <v>RECEITAS COM ENTREGAS</v>
      </c>
      <c r="P4662">
        <v>344.84</v>
      </c>
      <c r="Q4662" t="str">
        <f>"FARMÁCIA INDIANA LJ 163 (10072)"</f>
        <v>FARMÁCIA INDIANA LJ 163 (10072)</v>
      </c>
      <c r="R4662" t="str">
        <f t="shared" si="2223"/>
        <v>RECEITAS COM ENTREGAS (303)</v>
      </c>
      <c r="S4662">
        <v>2394</v>
      </c>
      <c r="T4662">
        <v>1864</v>
      </c>
      <c r="U4662" t="s">
        <v>19</v>
      </c>
    </row>
    <row r="4663" spans="1:21">
      <c r="A4663" t="str">
        <f t="shared" si="2214"/>
        <v>20/08/2025</v>
      </c>
      <c r="B4663" t="str">
        <f t="shared" si="2224"/>
        <v>ENTRADA</v>
      </c>
      <c r="C4663" t="str">
        <f t="shared" si="2215"/>
        <v>NFSE</v>
      </c>
      <c r="D4663" t="str">
        <f t="shared" si="2216"/>
        <v>3350</v>
      </c>
      <c r="E4663" t="str">
        <f t="shared" si="2213"/>
        <v>COM</v>
      </c>
      <c r="F4663" t="str">
        <f t="shared" si="2217"/>
        <v>FARMÁCIA INDIANA LJ 85 (10128)</v>
      </c>
      <c r="G4663" t="str">
        <f t="shared" si="2218"/>
        <v>Serv.Prest. 04/08/2025 a 10/08/2025 - RPS: 1116 - NFSe: 3350</v>
      </c>
      <c r="H4663" t="str">
        <f t="shared" si="2219"/>
        <v>20/08/2025</v>
      </c>
      <c r="I4663" t="str">
        <f t="shared" si="2220"/>
        <v>11/08/2025</v>
      </c>
      <c r="J4663" t="str">
        <f t="shared" si="2221"/>
        <v>20/08/2025</v>
      </c>
      <c r="M4663">
        <v>303</v>
      </c>
      <c r="N4663" t="str">
        <f t="shared" si="2222"/>
        <v>RECEITAS COM ENTREGAS</v>
      </c>
      <c r="P4663">
        <v>153.36000000000001</v>
      </c>
      <c r="Q4663" t="str">
        <f>"FARMÁCIA INDIANA LJ 181 (10078)"</f>
        <v>FARMÁCIA INDIANA LJ 181 (10078)</v>
      </c>
      <c r="R4663" t="str">
        <f t="shared" si="2223"/>
        <v>RECEITAS COM ENTREGAS (303)</v>
      </c>
      <c r="S4663">
        <v>2394</v>
      </c>
      <c r="T4663">
        <v>1864</v>
      </c>
      <c r="U4663" t="s">
        <v>19</v>
      </c>
    </row>
    <row r="4664" spans="1:21">
      <c r="A4664" t="str">
        <f t="shared" si="2214"/>
        <v>20/08/2025</v>
      </c>
      <c r="B4664" t="str">
        <f t="shared" si="2224"/>
        <v>ENTRADA</v>
      </c>
      <c r="C4664" t="str">
        <f t="shared" si="2215"/>
        <v>NFSE</v>
      </c>
      <c r="D4664" t="str">
        <f t="shared" si="2216"/>
        <v>3350</v>
      </c>
      <c r="E4664" t="str">
        <f t="shared" si="2213"/>
        <v>COM</v>
      </c>
      <c r="F4664" t="str">
        <f t="shared" si="2217"/>
        <v>FARMÁCIA INDIANA LJ 85 (10128)</v>
      </c>
      <c r="G4664" t="str">
        <f t="shared" si="2218"/>
        <v>Serv.Prest. 04/08/2025 a 10/08/2025 - RPS: 1116 - NFSe: 3350</v>
      </c>
      <c r="H4664" t="str">
        <f t="shared" si="2219"/>
        <v>20/08/2025</v>
      </c>
      <c r="I4664" t="str">
        <f t="shared" si="2220"/>
        <v>11/08/2025</v>
      </c>
      <c r="J4664" t="str">
        <f t="shared" si="2221"/>
        <v>20/08/2025</v>
      </c>
      <c r="M4664">
        <v>303</v>
      </c>
      <c r="N4664" t="str">
        <f t="shared" si="2222"/>
        <v>RECEITAS COM ENTREGAS</v>
      </c>
      <c r="P4664">
        <v>172.5</v>
      </c>
      <c r="Q4664" t="str">
        <f>"FARMÁCIA INDIANA LJ 221 (10093)"</f>
        <v>FARMÁCIA INDIANA LJ 221 (10093)</v>
      </c>
      <c r="R4664" t="str">
        <f t="shared" si="2223"/>
        <v>RECEITAS COM ENTREGAS (303)</v>
      </c>
      <c r="S4664">
        <v>2394</v>
      </c>
      <c r="T4664">
        <v>1864</v>
      </c>
      <c r="U4664" t="s">
        <v>19</v>
      </c>
    </row>
    <row r="4665" spans="1:21">
      <c r="A4665" t="str">
        <f t="shared" si="2214"/>
        <v>20/08/2025</v>
      </c>
      <c r="B4665" t="str">
        <f t="shared" si="2224"/>
        <v>ENTRADA</v>
      </c>
      <c r="C4665" t="str">
        <f t="shared" si="2215"/>
        <v>NFSE</v>
      </c>
      <c r="D4665" t="str">
        <f t="shared" si="2216"/>
        <v>3350</v>
      </c>
      <c r="E4665" t="str">
        <f t="shared" si="2213"/>
        <v>COM</v>
      </c>
      <c r="F4665" t="str">
        <f t="shared" si="2217"/>
        <v>FARMÁCIA INDIANA LJ 85 (10128)</v>
      </c>
      <c r="G4665" t="str">
        <f t="shared" si="2218"/>
        <v>Serv.Prest. 04/08/2025 a 10/08/2025 - RPS: 1116 - NFSe: 3350</v>
      </c>
      <c r="H4665" t="str">
        <f t="shared" si="2219"/>
        <v>20/08/2025</v>
      </c>
      <c r="I4665" t="str">
        <f t="shared" si="2220"/>
        <v>11/08/2025</v>
      </c>
      <c r="J4665" t="str">
        <f t="shared" si="2221"/>
        <v>20/08/2025</v>
      </c>
      <c r="M4665">
        <v>303</v>
      </c>
      <c r="N4665" t="str">
        <f t="shared" si="2222"/>
        <v>RECEITAS COM ENTREGAS</v>
      </c>
      <c r="P4665">
        <v>199.64</v>
      </c>
      <c r="Q4665" t="str">
        <f>"FARMÁCIA INDIANA LJ 243 (10142)"</f>
        <v>FARMÁCIA INDIANA LJ 243 (10142)</v>
      </c>
      <c r="R4665" t="str">
        <f t="shared" si="2223"/>
        <v>RECEITAS COM ENTREGAS (303)</v>
      </c>
      <c r="S4665">
        <v>2394</v>
      </c>
      <c r="T4665">
        <v>1864</v>
      </c>
      <c r="U4665" t="s">
        <v>19</v>
      </c>
    </row>
    <row r="4666" spans="1:21">
      <c r="A4666" t="str">
        <f t="shared" si="2214"/>
        <v>20/08/2025</v>
      </c>
      <c r="B4666" t="str">
        <f t="shared" si="2224"/>
        <v>ENTRADA</v>
      </c>
      <c r="C4666" t="str">
        <f t="shared" si="2215"/>
        <v>NFSE</v>
      </c>
      <c r="D4666" t="str">
        <f t="shared" si="2216"/>
        <v>3350</v>
      </c>
      <c r="E4666" t="str">
        <f t="shared" si="2213"/>
        <v>COM</v>
      </c>
      <c r="F4666" t="str">
        <f t="shared" si="2217"/>
        <v>FARMÁCIA INDIANA LJ 85 (10128)</v>
      </c>
      <c r="G4666" t="str">
        <f t="shared" si="2218"/>
        <v>Serv.Prest. 04/08/2025 a 10/08/2025 - RPS: 1116 - NFSe: 3350</v>
      </c>
      <c r="H4666" t="str">
        <f t="shared" si="2219"/>
        <v>20/08/2025</v>
      </c>
      <c r="I4666" t="str">
        <f t="shared" si="2220"/>
        <v>11/08/2025</v>
      </c>
      <c r="J4666" t="str">
        <f t="shared" si="2221"/>
        <v>20/08/2025</v>
      </c>
      <c r="M4666">
        <v>303</v>
      </c>
      <c r="N4666" t="str">
        <f t="shared" si="2222"/>
        <v>RECEITAS COM ENTREGAS</v>
      </c>
      <c r="P4666">
        <v>91.81</v>
      </c>
      <c r="Q4666" t="str">
        <f>"FARMÁCIA INDIANA LJ 211 (10168)"</f>
        <v>FARMÁCIA INDIANA LJ 211 (10168)</v>
      </c>
      <c r="R4666" t="str">
        <f t="shared" si="2223"/>
        <v>RECEITAS COM ENTREGAS (303)</v>
      </c>
      <c r="S4666">
        <v>2394</v>
      </c>
      <c r="T4666">
        <v>1864</v>
      </c>
      <c r="U4666" t="s">
        <v>19</v>
      </c>
    </row>
    <row r="4667" spans="1:21">
      <c r="A4667" t="str">
        <f t="shared" si="2214"/>
        <v>20/08/2025</v>
      </c>
      <c r="B4667" t="str">
        <f t="shared" si="2224"/>
        <v>ENTRADA</v>
      </c>
      <c r="C4667" t="str">
        <f t="shared" si="2215"/>
        <v>NFSE</v>
      </c>
      <c r="D4667" t="str">
        <f t="shared" si="2216"/>
        <v>3350</v>
      </c>
      <c r="E4667" t="str">
        <f t="shared" si="2213"/>
        <v>COM</v>
      </c>
      <c r="F4667" t="str">
        <f t="shared" si="2217"/>
        <v>FARMÁCIA INDIANA LJ 85 (10128)</v>
      </c>
      <c r="G4667" t="str">
        <f t="shared" si="2218"/>
        <v>Serv.Prest. 04/08/2025 a 10/08/2025 - RPS: 1116 - NFSe: 3350</v>
      </c>
      <c r="H4667" t="str">
        <f t="shared" si="2219"/>
        <v>20/08/2025</v>
      </c>
      <c r="I4667" t="str">
        <f t="shared" si="2220"/>
        <v>11/08/2025</v>
      </c>
      <c r="J4667" t="str">
        <f t="shared" si="2221"/>
        <v>20/08/2025</v>
      </c>
      <c r="M4667">
        <v>303</v>
      </c>
      <c r="N4667" t="str">
        <f t="shared" si="2222"/>
        <v>RECEITAS COM ENTREGAS</v>
      </c>
      <c r="P4667">
        <v>91.81</v>
      </c>
      <c r="Q4667" t="str">
        <f>"FARMÁCIA INDIANA LJ 236 (10169)"</f>
        <v>FARMÁCIA INDIANA LJ 236 (10169)</v>
      </c>
      <c r="R4667" t="str">
        <f t="shared" si="2223"/>
        <v>RECEITAS COM ENTREGAS (303)</v>
      </c>
      <c r="S4667">
        <v>2394</v>
      </c>
      <c r="T4667">
        <v>1864</v>
      </c>
      <c r="U4667" t="s">
        <v>19</v>
      </c>
    </row>
    <row r="4668" spans="1:21">
      <c r="A4668" t="str">
        <f t="shared" si="2214"/>
        <v>20/08/2025</v>
      </c>
      <c r="B4668" t="str">
        <f t="shared" si="2224"/>
        <v>ENTRADA</v>
      </c>
      <c r="C4668" t="str">
        <f t="shared" si="2215"/>
        <v>NFSE</v>
      </c>
      <c r="D4668" t="str">
        <f t="shared" si="2216"/>
        <v>3350</v>
      </c>
      <c r="E4668" t="str">
        <f t="shared" si="2213"/>
        <v>COM</v>
      </c>
      <c r="F4668" t="str">
        <f t="shared" si="2217"/>
        <v>FARMÁCIA INDIANA LJ 85 (10128)</v>
      </c>
      <c r="G4668" t="str">
        <f t="shared" si="2218"/>
        <v>Serv.Prest. 04/08/2025 a 10/08/2025 - RPS: 1116 - NFSe: 3350</v>
      </c>
      <c r="H4668" t="str">
        <f t="shared" si="2219"/>
        <v>20/08/2025</v>
      </c>
      <c r="I4668" t="str">
        <f t="shared" si="2220"/>
        <v>11/08/2025</v>
      </c>
      <c r="J4668" t="str">
        <f t="shared" si="2221"/>
        <v>20/08/2025</v>
      </c>
      <c r="M4668">
        <v>303</v>
      </c>
      <c r="N4668" t="str">
        <f t="shared" si="2222"/>
        <v>RECEITAS COM ENTREGAS</v>
      </c>
      <c r="P4668">
        <v>183.92</v>
      </c>
      <c r="Q4668" t="str">
        <f>"FARMÁCIA INDIANA LJ 188 (10176)"</f>
        <v>FARMÁCIA INDIANA LJ 188 (10176)</v>
      </c>
      <c r="R4668" t="str">
        <f t="shared" si="2223"/>
        <v>RECEITAS COM ENTREGAS (303)</v>
      </c>
      <c r="S4668">
        <v>2394</v>
      </c>
      <c r="T4668">
        <v>1864</v>
      </c>
      <c r="U4668" t="s">
        <v>19</v>
      </c>
    </row>
    <row r="4669" spans="1:21">
      <c r="A4669" t="str">
        <f t="shared" si="2214"/>
        <v>20/08/2025</v>
      </c>
      <c r="B4669" t="str">
        <f t="shared" si="2224"/>
        <v>ENTRADA</v>
      </c>
      <c r="C4669" t="str">
        <f t="shared" si="2215"/>
        <v>NFSE</v>
      </c>
      <c r="D4669" t="str">
        <f t="shared" ref="D4669:D4680" si="2225">"3351"</f>
        <v>3351</v>
      </c>
      <c r="E4669" t="str">
        <f t="shared" si="2213"/>
        <v>COM</v>
      </c>
      <c r="F4669" t="str">
        <f t="shared" ref="F4669:F4680" si="2226">"FARMÁCIA INDIANA LJ 30 (10127)"</f>
        <v>FARMÁCIA INDIANA LJ 30 (10127)</v>
      </c>
      <c r="G4669" t="str">
        <f t="shared" ref="G4669:G4680" si="2227">"Serv.Prest. 04/08/2025 a 10/08/2025 - RPS: 1117 - NFSe: 3351"</f>
        <v>Serv.Prest. 04/08/2025 a 10/08/2025 - RPS: 1117 - NFSe: 3351</v>
      </c>
      <c r="H4669" t="str">
        <f t="shared" si="2219"/>
        <v>20/08/2025</v>
      </c>
      <c r="I4669" t="str">
        <f t="shared" si="2220"/>
        <v>11/08/2025</v>
      </c>
      <c r="J4669" t="str">
        <f t="shared" si="2221"/>
        <v>20/08/2025</v>
      </c>
      <c r="K4669">
        <v>2932.8</v>
      </c>
      <c r="L4669">
        <v>2932.8</v>
      </c>
      <c r="M4669">
        <v>303</v>
      </c>
      <c r="N4669" t="str">
        <f t="shared" si="2222"/>
        <v>RECEITAS COM ENTREGAS</v>
      </c>
      <c r="O4669">
        <v>2932.8</v>
      </c>
      <c r="R4669" t="str">
        <f t="shared" si="2223"/>
        <v>RECEITAS COM ENTREGAS (303)</v>
      </c>
      <c r="S4669">
        <v>2395</v>
      </c>
      <c r="T4669">
        <v>1865</v>
      </c>
      <c r="U4669" t="s">
        <v>19</v>
      </c>
    </row>
    <row r="4670" spans="1:21">
      <c r="A4670" t="str">
        <f t="shared" si="2214"/>
        <v>20/08/2025</v>
      </c>
      <c r="B4670" t="str">
        <f t="shared" si="2224"/>
        <v>ENTRADA</v>
      </c>
      <c r="C4670" t="str">
        <f t="shared" si="2215"/>
        <v>NFSE</v>
      </c>
      <c r="D4670" t="str">
        <f t="shared" si="2225"/>
        <v>3351</v>
      </c>
      <c r="E4670" t="str">
        <f t="shared" si="2213"/>
        <v>COM</v>
      </c>
      <c r="F4670" t="str">
        <f t="shared" si="2226"/>
        <v>FARMÁCIA INDIANA LJ 30 (10127)</v>
      </c>
      <c r="G4670" t="str">
        <f t="shared" si="2227"/>
        <v>Serv.Prest. 04/08/2025 a 10/08/2025 - RPS: 1117 - NFSe: 3351</v>
      </c>
      <c r="H4670" t="str">
        <f t="shared" si="2219"/>
        <v>20/08/2025</v>
      </c>
      <c r="I4670" t="str">
        <f t="shared" si="2220"/>
        <v>11/08/2025</v>
      </c>
      <c r="J4670" t="str">
        <f t="shared" si="2221"/>
        <v>20/08/2025</v>
      </c>
      <c r="M4670">
        <v>303</v>
      </c>
      <c r="N4670" t="str">
        <f t="shared" si="2222"/>
        <v>RECEITAS COM ENTREGAS</v>
      </c>
      <c r="P4670">
        <v>320.85000000000002</v>
      </c>
      <c r="Q4670" t="str">
        <f>"FARMÁCIA INDIANA LJ 34 (10014)"</f>
        <v>FARMÁCIA INDIANA LJ 34 (10014)</v>
      </c>
      <c r="R4670" t="str">
        <f t="shared" si="2223"/>
        <v>RECEITAS COM ENTREGAS (303)</v>
      </c>
      <c r="S4670">
        <v>2395</v>
      </c>
      <c r="T4670">
        <v>1865</v>
      </c>
      <c r="U4670" t="s">
        <v>19</v>
      </c>
    </row>
    <row r="4671" spans="1:21">
      <c r="A4671" t="str">
        <f t="shared" si="2214"/>
        <v>20/08/2025</v>
      </c>
      <c r="B4671" t="str">
        <f t="shared" si="2224"/>
        <v>ENTRADA</v>
      </c>
      <c r="C4671" t="str">
        <f t="shared" si="2215"/>
        <v>NFSE</v>
      </c>
      <c r="D4671" t="str">
        <f t="shared" si="2225"/>
        <v>3351</v>
      </c>
      <c r="E4671" t="str">
        <f t="shared" si="2213"/>
        <v>COM</v>
      </c>
      <c r="F4671" t="str">
        <f t="shared" si="2226"/>
        <v>FARMÁCIA INDIANA LJ 30 (10127)</v>
      </c>
      <c r="G4671" t="str">
        <f t="shared" si="2227"/>
        <v>Serv.Prest. 04/08/2025 a 10/08/2025 - RPS: 1117 - NFSe: 3351</v>
      </c>
      <c r="H4671" t="str">
        <f t="shared" si="2219"/>
        <v>20/08/2025</v>
      </c>
      <c r="I4671" t="str">
        <f t="shared" si="2220"/>
        <v>11/08/2025</v>
      </c>
      <c r="J4671" t="str">
        <f t="shared" si="2221"/>
        <v>20/08/2025</v>
      </c>
      <c r="M4671">
        <v>303</v>
      </c>
      <c r="N4671" t="str">
        <f t="shared" si="2222"/>
        <v>RECEITAS COM ENTREGAS</v>
      </c>
      <c r="P4671">
        <v>256.02999999999997</v>
      </c>
      <c r="Q4671" t="str">
        <f>"FARMÁCIA INDIANA LJ 35 (10015)"</f>
        <v>FARMÁCIA INDIANA LJ 35 (10015)</v>
      </c>
      <c r="R4671" t="str">
        <f t="shared" si="2223"/>
        <v>RECEITAS COM ENTREGAS (303)</v>
      </c>
      <c r="S4671">
        <v>2395</v>
      </c>
      <c r="T4671">
        <v>1865</v>
      </c>
      <c r="U4671" t="s">
        <v>19</v>
      </c>
    </row>
    <row r="4672" spans="1:21">
      <c r="A4672" t="str">
        <f t="shared" si="2214"/>
        <v>20/08/2025</v>
      </c>
      <c r="B4672" t="str">
        <f t="shared" si="2224"/>
        <v>ENTRADA</v>
      </c>
      <c r="C4672" t="str">
        <f t="shared" si="2215"/>
        <v>NFSE</v>
      </c>
      <c r="D4672" t="str">
        <f t="shared" si="2225"/>
        <v>3351</v>
      </c>
      <c r="E4672" t="str">
        <f t="shared" si="2213"/>
        <v>COM</v>
      </c>
      <c r="F4672" t="str">
        <f t="shared" si="2226"/>
        <v>FARMÁCIA INDIANA LJ 30 (10127)</v>
      </c>
      <c r="G4672" t="str">
        <f t="shared" si="2227"/>
        <v>Serv.Prest. 04/08/2025 a 10/08/2025 - RPS: 1117 - NFSe: 3351</v>
      </c>
      <c r="H4672" t="str">
        <f t="shared" si="2219"/>
        <v>20/08/2025</v>
      </c>
      <c r="I4672" t="str">
        <f t="shared" si="2220"/>
        <v>11/08/2025</v>
      </c>
      <c r="J4672" t="str">
        <f t="shared" si="2221"/>
        <v>20/08/2025</v>
      </c>
      <c r="M4672">
        <v>303</v>
      </c>
      <c r="N4672" t="str">
        <f t="shared" si="2222"/>
        <v>RECEITAS COM ENTREGAS</v>
      </c>
      <c r="P4672">
        <v>294.16000000000003</v>
      </c>
      <c r="Q4672" t="str">
        <f>"FARMÁCIA INDIANA LJ 48 (10018)"</f>
        <v>FARMÁCIA INDIANA LJ 48 (10018)</v>
      </c>
      <c r="R4672" t="str">
        <f t="shared" si="2223"/>
        <v>RECEITAS COM ENTREGAS (303)</v>
      </c>
      <c r="S4672">
        <v>2395</v>
      </c>
      <c r="T4672">
        <v>1865</v>
      </c>
      <c r="U4672" t="s">
        <v>19</v>
      </c>
    </row>
    <row r="4673" spans="1:21">
      <c r="A4673" t="str">
        <f t="shared" si="2214"/>
        <v>20/08/2025</v>
      </c>
      <c r="B4673" t="str">
        <f t="shared" si="2224"/>
        <v>ENTRADA</v>
      </c>
      <c r="C4673" t="str">
        <f t="shared" si="2215"/>
        <v>NFSE</v>
      </c>
      <c r="D4673" t="str">
        <f t="shared" si="2225"/>
        <v>3351</v>
      </c>
      <c r="E4673" t="str">
        <f t="shared" si="2213"/>
        <v>COM</v>
      </c>
      <c r="F4673" t="str">
        <f t="shared" si="2226"/>
        <v>FARMÁCIA INDIANA LJ 30 (10127)</v>
      </c>
      <c r="G4673" t="str">
        <f t="shared" si="2227"/>
        <v>Serv.Prest. 04/08/2025 a 10/08/2025 - RPS: 1117 - NFSe: 3351</v>
      </c>
      <c r="H4673" t="str">
        <f t="shared" si="2219"/>
        <v>20/08/2025</v>
      </c>
      <c r="I4673" t="str">
        <f t="shared" si="2220"/>
        <v>11/08/2025</v>
      </c>
      <c r="J4673" t="str">
        <f t="shared" si="2221"/>
        <v>20/08/2025</v>
      </c>
      <c r="M4673">
        <v>303</v>
      </c>
      <c r="N4673" t="str">
        <f t="shared" si="2222"/>
        <v>RECEITAS COM ENTREGAS</v>
      </c>
      <c r="P4673">
        <v>418.51</v>
      </c>
      <c r="Q4673" t="str">
        <f>"FARMÁCIA INDIANA LJ 65 (10030)"</f>
        <v>FARMÁCIA INDIANA LJ 65 (10030)</v>
      </c>
      <c r="R4673" t="str">
        <f t="shared" si="2223"/>
        <v>RECEITAS COM ENTREGAS (303)</v>
      </c>
      <c r="S4673">
        <v>2395</v>
      </c>
      <c r="T4673">
        <v>1865</v>
      </c>
      <c r="U4673" t="s">
        <v>19</v>
      </c>
    </row>
    <row r="4674" spans="1:21">
      <c r="A4674" t="str">
        <f t="shared" si="2214"/>
        <v>20/08/2025</v>
      </c>
      <c r="B4674" t="str">
        <f t="shared" si="2224"/>
        <v>ENTRADA</v>
      </c>
      <c r="C4674" t="str">
        <f t="shared" si="2215"/>
        <v>NFSE</v>
      </c>
      <c r="D4674" t="str">
        <f t="shared" si="2225"/>
        <v>3351</v>
      </c>
      <c r="E4674" t="str">
        <f t="shared" si="2213"/>
        <v>COM</v>
      </c>
      <c r="F4674" t="str">
        <f t="shared" si="2226"/>
        <v>FARMÁCIA INDIANA LJ 30 (10127)</v>
      </c>
      <c r="G4674" t="str">
        <f t="shared" si="2227"/>
        <v>Serv.Prest. 04/08/2025 a 10/08/2025 - RPS: 1117 - NFSe: 3351</v>
      </c>
      <c r="H4674" t="str">
        <f t="shared" si="2219"/>
        <v>20/08/2025</v>
      </c>
      <c r="I4674" t="str">
        <f t="shared" si="2220"/>
        <v>11/08/2025</v>
      </c>
      <c r="J4674" t="str">
        <f t="shared" si="2221"/>
        <v>20/08/2025</v>
      </c>
      <c r="M4674">
        <v>303</v>
      </c>
      <c r="N4674" t="str">
        <f t="shared" si="2222"/>
        <v>RECEITAS COM ENTREGAS</v>
      </c>
      <c r="P4674">
        <v>137.26</v>
      </c>
      <c r="Q4674" t="str">
        <f>"FARMÁCIA INDIANA LJ 77 (10034)"</f>
        <v>FARMÁCIA INDIANA LJ 77 (10034)</v>
      </c>
      <c r="R4674" t="str">
        <f t="shared" si="2223"/>
        <v>RECEITAS COM ENTREGAS (303)</v>
      </c>
      <c r="S4674">
        <v>2395</v>
      </c>
      <c r="T4674">
        <v>1865</v>
      </c>
      <c r="U4674" t="s">
        <v>19</v>
      </c>
    </row>
    <row r="4675" spans="1:21">
      <c r="A4675" t="str">
        <f t="shared" si="2214"/>
        <v>20/08/2025</v>
      </c>
      <c r="B4675" t="str">
        <f t="shared" si="2224"/>
        <v>ENTRADA</v>
      </c>
      <c r="C4675" t="str">
        <f t="shared" si="2215"/>
        <v>NFSE</v>
      </c>
      <c r="D4675" t="str">
        <f t="shared" si="2225"/>
        <v>3351</v>
      </c>
      <c r="E4675" t="str">
        <f t="shared" si="2213"/>
        <v>COM</v>
      </c>
      <c r="F4675" t="str">
        <f t="shared" si="2226"/>
        <v>FARMÁCIA INDIANA LJ 30 (10127)</v>
      </c>
      <c r="G4675" t="str">
        <f t="shared" si="2227"/>
        <v>Serv.Prest. 04/08/2025 a 10/08/2025 - RPS: 1117 - NFSe: 3351</v>
      </c>
      <c r="H4675" t="str">
        <f t="shared" si="2219"/>
        <v>20/08/2025</v>
      </c>
      <c r="I4675" t="str">
        <f t="shared" si="2220"/>
        <v>11/08/2025</v>
      </c>
      <c r="J4675" t="str">
        <f t="shared" si="2221"/>
        <v>20/08/2025</v>
      </c>
      <c r="M4675">
        <v>303</v>
      </c>
      <c r="N4675" t="str">
        <f t="shared" si="2222"/>
        <v>RECEITAS COM ENTREGAS</v>
      </c>
      <c r="P4675">
        <v>249.87</v>
      </c>
      <c r="Q4675" t="str">
        <f>"FARMÁCIA INDIANA LJ 91 (10037)"</f>
        <v>FARMÁCIA INDIANA LJ 91 (10037)</v>
      </c>
      <c r="R4675" t="str">
        <f t="shared" si="2223"/>
        <v>RECEITAS COM ENTREGAS (303)</v>
      </c>
      <c r="S4675">
        <v>2395</v>
      </c>
      <c r="T4675">
        <v>1865</v>
      </c>
      <c r="U4675" t="s">
        <v>19</v>
      </c>
    </row>
    <row r="4676" spans="1:21">
      <c r="A4676" t="str">
        <f t="shared" si="2214"/>
        <v>20/08/2025</v>
      </c>
      <c r="B4676" t="str">
        <f t="shared" si="2224"/>
        <v>ENTRADA</v>
      </c>
      <c r="C4676" t="str">
        <f t="shared" si="2215"/>
        <v>NFSE</v>
      </c>
      <c r="D4676" t="str">
        <f t="shared" si="2225"/>
        <v>3351</v>
      </c>
      <c r="E4676" t="str">
        <f t="shared" si="2213"/>
        <v>COM</v>
      </c>
      <c r="F4676" t="str">
        <f t="shared" si="2226"/>
        <v>FARMÁCIA INDIANA LJ 30 (10127)</v>
      </c>
      <c r="G4676" t="str">
        <f t="shared" si="2227"/>
        <v>Serv.Prest. 04/08/2025 a 10/08/2025 - RPS: 1117 - NFSe: 3351</v>
      </c>
      <c r="H4676" t="str">
        <f t="shared" si="2219"/>
        <v>20/08/2025</v>
      </c>
      <c r="I4676" t="str">
        <f t="shared" si="2220"/>
        <v>11/08/2025</v>
      </c>
      <c r="J4676" t="str">
        <f t="shared" si="2221"/>
        <v>20/08/2025</v>
      </c>
      <c r="M4676">
        <v>303</v>
      </c>
      <c r="N4676" t="str">
        <f t="shared" si="2222"/>
        <v>RECEITAS COM ENTREGAS</v>
      </c>
      <c r="P4676">
        <v>397.39</v>
      </c>
      <c r="Q4676" t="str">
        <f>"FARMÁCIA INDIANA LJ 95 (10039)"</f>
        <v>FARMÁCIA INDIANA LJ 95 (10039)</v>
      </c>
      <c r="R4676" t="str">
        <f t="shared" si="2223"/>
        <v>RECEITAS COM ENTREGAS (303)</v>
      </c>
      <c r="S4676">
        <v>2395</v>
      </c>
      <c r="T4676">
        <v>1865</v>
      </c>
      <c r="U4676" t="s">
        <v>19</v>
      </c>
    </row>
    <row r="4677" spans="1:21">
      <c r="A4677" t="str">
        <f t="shared" si="2214"/>
        <v>20/08/2025</v>
      </c>
      <c r="B4677" t="str">
        <f t="shared" si="2224"/>
        <v>ENTRADA</v>
      </c>
      <c r="C4677" t="str">
        <f t="shared" si="2215"/>
        <v>NFSE</v>
      </c>
      <c r="D4677" t="str">
        <f t="shared" si="2225"/>
        <v>3351</v>
      </c>
      <c r="E4677" t="str">
        <f t="shared" si="2213"/>
        <v>COM</v>
      </c>
      <c r="F4677" t="str">
        <f t="shared" si="2226"/>
        <v>FARMÁCIA INDIANA LJ 30 (10127)</v>
      </c>
      <c r="G4677" t="str">
        <f t="shared" si="2227"/>
        <v>Serv.Prest. 04/08/2025 a 10/08/2025 - RPS: 1117 - NFSe: 3351</v>
      </c>
      <c r="H4677" t="str">
        <f t="shared" si="2219"/>
        <v>20/08/2025</v>
      </c>
      <c r="I4677" t="str">
        <f t="shared" si="2220"/>
        <v>11/08/2025</v>
      </c>
      <c r="J4677" t="str">
        <f t="shared" si="2221"/>
        <v>20/08/2025</v>
      </c>
      <c r="M4677">
        <v>303</v>
      </c>
      <c r="N4677" t="str">
        <f t="shared" si="2222"/>
        <v>RECEITAS COM ENTREGAS</v>
      </c>
      <c r="P4677">
        <v>280.67</v>
      </c>
      <c r="Q4677" t="str">
        <f>"FARMÁCIA INDIANA LJ 145 (10068)"</f>
        <v>FARMÁCIA INDIANA LJ 145 (10068)</v>
      </c>
      <c r="R4677" t="str">
        <f t="shared" si="2223"/>
        <v>RECEITAS COM ENTREGAS (303)</v>
      </c>
      <c r="S4677">
        <v>2395</v>
      </c>
      <c r="T4677">
        <v>1865</v>
      </c>
      <c r="U4677" t="s">
        <v>19</v>
      </c>
    </row>
    <row r="4678" spans="1:21">
      <c r="A4678" t="str">
        <f t="shared" si="2214"/>
        <v>20/08/2025</v>
      </c>
      <c r="B4678" t="str">
        <f t="shared" si="2224"/>
        <v>ENTRADA</v>
      </c>
      <c r="C4678" t="str">
        <f t="shared" si="2215"/>
        <v>NFSE</v>
      </c>
      <c r="D4678" t="str">
        <f t="shared" si="2225"/>
        <v>3351</v>
      </c>
      <c r="E4678" t="str">
        <f t="shared" si="2213"/>
        <v>COM</v>
      </c>
      <c r="F4678" t="str">
        <f t="shared" si="2226"/>
        <v>FARMÁCIA INDIANA LJ 30 (10127)</v>
      </c>
      <c r="G4678" t="str">
        <f t="shared" si="2227"/>
        <v>Serv.Prest. 04/08/2025 a 10/08/2025 - RPS: 1117 - NFSe: 3351</v>
      </c>
      <c r="H4678" t="str">
        <f t="shared" si="2219"/>
        <v>20/08/2025</v>
      </c>
      <c r="I4678" t="str">
        <f t="shared" si="2220"/>
        <v>11/08/2025</v>
      </c>
      <c r="J4678" t="str">
        <f t="shared" si="2221"/>
        <v>20/08/2025</v>
      </c>
      <c r="M4678">
        <v>303</v>
      </c>
      <c r="N4678" t="str">
        <f t="shared" si="2222"/>
        <v>RECEITAS COM ENTREGAS</v>
      </c>
      <c r="P4678">
        <v>185.65</v>
      </c>
      <c r="Q4678" t="str">
        <f>"FARMÁCIA INDIANA LJ 169 (10073)"</f>
        <v>FARMÁCIA INDIANA LJ 169 (10073)</v>
      </c>
      <c r="R4678" t="str">
        <f t="shared" si="2223"/>
        <v>RECEITAS COM ENTREGAS (303)</v>
      </c>
      <c r="S4678">
        <v>2395</v>
      </c>
      <c r="T4678">
        <v>1865</v>
      </c>
      <c r="U4678" t="s">
        <v>19</v>
      </c>
    </row>
    <row r="4679" spans="1:21">
      <c r="A4679" t="str">
        <f t="shared" si="2214"/>
        <v>20/08/2025</v>
      </c>
      <c r="B4679" t="str">
        <f t="shared" si="2224"/>
        <v>ENTRADA</v>
      </c>
      <c r="C4679" t="str">
        <f t="shared" si="2215"/>
        <v>NFSE</v>
      </c>
      <c r="D4679" t="str">
        <f t="shared" si="2225"/>
        <v>3351</v>
      </c>
      <c r="E4679" t="str">
        <f t="shared" si="2213"/>
        <v>COM</v>
      </c>
      <c r="F4679" t="str">
        <f t="shared" si="2226"/>
        <v>FARMÁCIA INDIANA LJ 30 (10127)</v>
      </c>
      <c r="G4679" t="str">
        <f t="shared" si="2227"/>
        <v>Serv.Prest. 04/08/2025 a 10/08/2025 - RPS: 1117 - NFSe: 3351</v>
      </c>
      <c r="H4679" t="str">
        <f t="shared" si="2219"/>
        <v>20/08/2025</v>
      </c>
      <c r="I4679" t="str">
        <f t="shared" si="2220"/>
        <v>11/08/2025</v>
      </c>
      <c r="J4679" t="str">
        <f t="shared" si="2221"/>
        <v>20/08/2025</v>
      </c>
      <c r="M4679">
        <v>303</v>
      </c>
      <c r="N4679" t="str">
        <f t="shared" si="2222"/>
        <v>RECEITAS COM ENTREGAS</v>
      </c>
      <c r="P4679">
        <v>209.4</v>
      </c>
      <c r="Q4679" t="str">
        <f>"FARMÁCIA INDIANA LJ 173 (10075)"</f>
        <v>FARMÁCIA INDIANA LJ 173 (10075)</v>
      </c>
      <c r="R4679" t="str">
        <f t="shared" si="2223"/>
        <v>RECEITAS COM ENTREGAS (303)</v>
      </c>
      <c r="S4679">
        <v>2395</v>
      </c>
      <c r="T4679">
        <v>1865</v>
      </c>
      <c r="U4679" t="s">
        <v>19</v>
      </c>
    </row>
    <row r="4680" spans="1:21">
      <c r="A4680" t="str">
        <f t="shared" si="2214"/>
        <v>20/08/2025</v>
      </c>
      <c r="B4680" t="str">
        <f t="shared" si="2224"/>
        <v>ENTRADA</v>
      </c>
      <c r="C4680" t="str">
        <f t="shared" si="2215"/>
        <v>NFSE</v>
      </c>
      <c r="D4680" t="str">
        <f t="shared" si="2225"/>
        <v>3351</v>
      </c>
      <c r="E4680" t="str">
        <f t="shared" si="2213"/>
        <v>COM</v>
      </c>
      <c r="F4680" t="str">
        <f t="shared" si="2226"/>
        <v>FARMÁCIA INDIANA LJ 30 (10127)</v>
      </c>
      <c r="G4680" t="str">
        <f t="shared" si="2227"/>
        <v>Serv.Prest. 04/08/2025 a 10/08/2025 - RPS: 1117 - NFSe: 3351</v>
      </c>
      <c r="H4680" t="str">
        <f t="shared" si="2219"/>
        <v>20/08/2025</v>
      </c>
      <c r="I4680" t="str">
        <f t="shared" si="2220"/>
        <v>11/08/2025</v>
      </c>
      <c r="J4680" t="str">
        <f t="shared" si="2221"/>
        <v>20/08/2025</v>
      </c>
      <c r="M4680">
        <v>303</v>
      </c>
      <c r="N4680" t="str">
        <f t="shared" si="2222"/>
        <v>RECEITAS COM ENTREGAS</v>
      </c>
      <c r="P4680">
        <v>183.01</v>
      </c>
      <c r="Q4680" t="str">
        <f>"FARMÁCIA INDIANA LJ 200 (10155)"</f>
        <v>FARMÁCIA INDIANA LJ 200 (10155)</v>
      </c>
      <c r="R4680" t="str">
        <f t="shared" si="2223"/>
        <v>RECEITAS COM ENTREGAS (303)</v>
      </c>
      <c r="S4680">
        <v>2395</v>
      </c>
      <c r="T4680">
        <v>1865</v>
      </c>
      <c r="U4680" t="s">
        <v>19</v>
      </c>
    </row>
    <row r="4681" spans="1:21">
      <c r="A4681" t="str">
        <f t="shared" si="2214"/>
        <v>20/08/2025</v>
      </c>
      <c r="B4681" t="str">
        <f t="shared" si="2224"/>
        <v>ENTRADA</v>
      </c>
      <c r="C4681" t="str">
        <f t="shared" si="2215"/>
        <v>NFSE</v>
      </c>
      <c r="D4681" t="str">
        <f t="shared" ref="D4681:D4728" si="2228">"3353"</f>
        <v>3353</v>
      </c>
      <c r="E4681" t="str">
        <f t="shared" si="2213"/>
        <v>COM</v>
      </c>
      <c r="F4681" t="str">
        <f t="shared" ref="F4681:F4728" si="2229">"FARMÁCIA INDIANA LJ 1 (10126)"</f>
        <v>FARMÁCIA INDIANA LJ 1 (10126)</v>
      </c>
      <c r="G4681" t="str">
        <f t="shared" ref="G4681:G4728" si="2230">"Serv.Prest. 04/08/2025 a 10/08/2025 - RPS: 1119 - NFSe: 3353"</f>
        <v>Serv.Prest. 04/08/2025 a 10/08/2025 - RPS: 1119 - NFSe: 3353</v>
      </c>
      <c r="H4681" t="str">
        <f t="shared" si="2219"/>
        <v>20/08/2025</v>
      </c>
      <c r="I4681" t="str">
        <f t="shared" ref="I4681:I4728" si="2231">("12/08/2025")</f>
        <v>12/08/2025</v>
      </c>
      <c r="J4681" t="str">
        <f t="shared" si="2221"/>
        <v>20/08/2025</v>
      </c>
      <c r="K4681">
        <v>14161.95</v>
      </c>
      <c r="L4681">
        <v>14161.95</v>
      </c>
      <c r="M4681">
        <v>303</v>
      </c>
      <c r="N4681" t="str">
        <f t="shared" si="2222"/>
        <v>RECEITAS COM ENTREGAS</v>
      </c>
      <c r="O4681">
        <v>14161.95</v>
      </c>
      <c r="R4681" t="str">
        <f t="shared" si="2223"/>
        <v>RECEITAS COM ENTREGAS (303)</v>
      </c>
      <c r="S4681">
        <v>2396</v>
      </c>
      <c r="T4681">
        <v>1867</v>
      </c>
      <c r="U4681" t="s">
        <v>19</v>
      </c>
    </row>
    <row r="4682" spans="1:21">
      <c r="A4682" t="str">
        <f t="shared" si="2214"/>
        <v>20/08/2025</v>
      </c>
      <c r="B4682" t="str">
        <f t="shared" si="2224"/>
        <v>ENTRADA</v>
      </c>
      <c r="C4682" t="str">
        <f t="shared" si="2215"/>
        <v>NFSE</v>
      </c>
      <c r="D4682" t="str">
        <f t="shared" si="2228"/>
        <v>3353</v>
      </c>
      <c r="E4682" t="str">
        <f t="shared" si="2213"/>
        <v>COM</v>
      </c>
      <c r="F4682" t="str">
        <f t="shared" si="2229"/>
        <v>FARMÁCIA INDIANA LJ 1 (10126)</v>
      </c>
      <c r="G4682" t="str">
        <f t="shared" si="2230"/>
        <v>Serv.Prest. 04/08/2025 a 10/08/2025 - RPS: 1119 - NFSe: 3353</v>
      </c>
      <c r="H4682" t="str">
        <f t="shared" si="2219"/>
        <v>20/08/2025</v>
      </c>
      <c r="I4682" t="str">
        <f t="shared" si="2231"/>
        <v>12/08/2025</v>
      </c>
      <c r="J4682" t="str">
        <f t="shared" si="2221"/>
        <v>20/08/2025</v>
      </c>
      <c r="M4682">
        <v>303</v>
      </c>
      <c r="N4682" t="str">
        <f t="shared" si="2222"/>
        <v>RECEITAS COM ENTREGAS</v>
      </c>
      <c r="P4682">
        <v>1795.74</v>
      </c>
      <c r="Q4682" t="str">
        <f>"FARMÁCIA INDIANA LJ 06 (10006)"</f>
        <v>FARMÁCIA INDIANA LJ 06 (10006)</v>
      </c>
      <c r="R4682" t="str">
        <f t="shared" si="2223"/>
        <v>RECEITAS COM ENTREGAS (303)</v>
      </c>
      <c r="S4682">
        <v>2396</v>
      </c>
      <c r="T4682">
        <v>1867</v>
      </c>
      <c r="U4682" t="s">
        <v>19</v>
      </c>
    </row>
    <row r="4683" spans="1:21">
      <c r="A4683" t="str">
        <f t="shared" si="2214"/>
        <v>20/08/2025</v>
      </c>
      <c r="B4683" t="str">
        <f t="shared" si="2224"/>
        <v>ENTRADA</v>
      </c>
      <c r="C4683" t="str">
        <f t="shared" si="2215"/>
        <v>NFSE</v>
      </c>
      <c r="D4683" t="str">
        <f t="shared" si="2228"/>
        <v>3353</v>
      </c>
      <c r="E4683" t="str">
        <f t="shared" si="2213"/>
        <v>COM</v>
      </c>
      <c r="F4683" t="str">
        <f t="shared" si="2229"/>
        <v>FARMÁCIA INDIANA LJ 1 (10126)</v>
      </c>
      <c r="G4683" t="str">
        <f t="shared" si="2230"/>
        <v>Serv.Prest. 04/08/2025 a 10/08/2025 - RPS: 1119 - NFSe: 3353</v>
      </c>
      <c r="H4683" t="str">
        <f t="shared" si="2219"/>
        <v>20/08/2025</v>
      </c>
      <c r="I4683" t="str">
        <f t="shared" si="2231"/>
        <v>12/08/2025</v>
      </c>
      <c r="J4683" t="str">
        <f t="shared" si="2221"/>
        <v>20/08/2025</v>
      </c>
      <c r="M4683">
        <v>303</v>
      </c>
      <c r="N4683" t="str">
        <f t="shared" si="2222"/>
        <v>RECEITAS COM ENTREGAS</v>
      </c>
      <c r="P4683">
        <v>1431.77</v>
      </c>
      <c r="Q4683" t="str">
        <f>"FARMÁCIA INDIANA LJ 07 (10007)"</f>
        <v>FARMÁCIA INDIANA LJ 07 (10007)</v>
      </c>
      <c r="R4683" t="str">
        <f t="shared" si="2223"/>
        <v>RECEITAS COM ENTREGAS (303)</v>
      </c>
      <c r="S4683">
        <v>2396</v>
      </c>
      <c r="T4683">
        <v>1867</v>
      </c>
      <c r="U4683" t="s">
        <v>19</v>
      </c>
    </row>
    <row r="4684" spans="1:21">
      <c r="A4684" t="str">
        <f t="shared" si="2214"/>
        <v>20/08/2025</v>
      </c>
      <c r="B4684" t="str">
        <f t="shared" si="2224"/>
        <v>ENTRADA</v>
      </c>
      <c r="C4684" t="str">
        <f t="shared" si="2215"/>
        <v>NFSE</v>
      </c>
      <c r="D4684" t="str">
        <f t="shared" si="2228"/>
        <v>3353</v>
      </c>
      <c r="E4684" t="str">
        <f t="shared" si="2213"/>
        <v>COM</v>
      </c>
      <c r="F4684" t="str">
        <f t="shared" si="2229"/>
        <v>FARMÁCIA INDIANA LJ 1 (10126)</v>
      </c>
      <c r="G4684" t="str">
        <f t="shared" si="2230"/>
        <v>Serv.Prest. 04/08/2025 a 10/08/2025 - RPS: 1119 - NFSe: 3353</v>
      </c>
      <c r="H4684" t="str">
        <f t="shared" si="2219"/>
        <v>20/08/2025</v>
      </c>
      <c r="I4684" t="str">
        <f t="shared" si="2231"/>
        <v>12/08/2025</v>
      </c>
      <c r="J4684" t="str">
        <f t="shared" si="2221"/>
        <v>20/08/2025</v>
      </c>
      <c r="M4684">
        <v>303</v>
      </c>
      <c r="N4684" t="str">
        <f t="shared" si="2222"/>
        <v>RECEITAS COM ENTREGAS</v>
      </c>
      <c r="P4684">
        <v>964.43</v>
      </c>
      <c r="Q4684" t="str">
        <f>"FARMÁCIA INDIANA LJ 11 (10008)"</f>
        <v>FARMÁCIA INDIANA LJ 11 (10008)</v>
      </c>
      <c r="R4684" t="str">
        <f t="shared" si="2223"/>
        <v>RECEITAS COM ENTREGAS (303)</v>
      </c>
      <c r="S4684">
        <v>2396</v>
      </c>
      <c r="T4684">
        <v>1867</v>
      </c>
      <c r="U4684" t="s">
        <v>19</v>
      </c>
    </row>
    <row r="4685" spans="1:21">
      <c r="A4685" t="str">
        <f t="shared" si="2214"/>
        <v>20/08/2025</v>
      </c>
      <c r="B4685" t="str">
        <f t="shared" si="2224"/>
        <v>ENTRADA</v>
      </c>
      <c r="C4685" t="str">
        <f t="shared" si="2215"/>
        <v>NFSE</v>
      </c>
      <c r="D4685" t="str">
        <f t="shared" si="2228"/>
        <v>3353</v>
      </c>
      <c r="E4685" t="str">
        <f t="shared" si="2213"/>
        <v>COM</v>
      </c>
      <c r="F4685" t="str">
        <f t="shared" si="2229"/>
        <v>FARMÁCIA INDIANA LJ 1 (10126)</v>
      </c>
      <c r="G4685" t="str">
        <f t="shared" si="2230"/>
        <v>Serv.Prest. 04/08/2025 a 10/08/2025 - RPS: 1119 - NFSe: 3353</v>
      </c>
      <c r="H4685" t="str">
        <f t="shared" si="2219"/>
        <v>20/08/2025</v>
      </c>
      <c r="I4685" t="str">
        <f t="shared" si="2231"/>
        <v>12/08/2025</v>
      </c>
      <c r="J4685" t="str">
        <f t="shared" si="2221"/>
        <v>20/08/2025</v>
      </c>
      <c r="M4685">
        <v>303</v>
      </c>
      <c r="N4685" t="str">
        <f t="shared" si="2222"/>
        <v>RECEITAS COM ENTREGAS</v>
      </c>
      <c r="P4685">
        <v>406.45</v>
      </c>
      <c r="Q4685" t="str">
        <f>"FARMÁCIA INDIANA LJ 14 (10009)"</f>
        <v>FARMÁCIA INDIANA LJ 14 (10009)</v>
      </c>
      <c r="R4685" t="str">
        <f t="shared" si="2223"/>
        <v>RECEITAS COM ENTREGAS (303)</v>
      </c>
      <c r="S4685">
        <v>2396</v>
      </c>
      <c r="T4685">
        <v>1867</v>
      </c>
      <c r="U4685" t="s">
        <v>19</v>
      </c>
    </row>
    <row r="4686" spans="1:21">
      <c r="A4686" t="str">
        <f t="shared" si="2214"/>
        <v>20/08/2025</v>
      </c>
      <c r="B4686" t="str">
        <f t="shared" si="2224"/>
        <v>ENTRADA</v>
      </c>
      <c r="C4686" t="str">
        <f t="shared" si="2215"/>
        <v>NFSE</v>
      </c>
      <c r="D4686" t="str">
        <f t="shared" si="2228"/>
        <v>3353</v>
      </c>
      <c r="E4686" t="str">
        <f t="shared" si="2213"/>
        <v>COM</v>
      </c>
      <c r="F4686" t="str">
        <f t="shared" si="2229"/>
        <v>FARMÁCIA INDIANA LJ 1 (10126)</v>
      </c>
      <c r="G4686" t="str">
        <f t="shared" si="2230"/>
        <v>Serv.Prest. 04/08/2025 a 10/08/2025 - RPS: 1119 - NFSe: 3353</v>
      </c>
      <c r="H4686" t="str">
        <f t="shared" si="2219"/>
        <v>20/08/2025</v>
      </c>
      <c r="I4686" t="str">
        <f t="shared" si="2231"/>
        <v>12/08/2025</v>
      </c>
      <c r="J4686" t="str">
        <f t="shared" si="2221"/>
        <v>20/08/2025</v>
      </c>
      <c r="M4686">
        <v>303</v>
      </c>
      <c r="N4686" t="str">
        <f t="shared" si="2222"/>
        <v>RECEITAS COM ENTREGAS</v>
      </c>
      <c r="P4686">
        <v>308.73</v>
      </c>
      <c r="Q4686" t="str">
        <f>"FARMÁCIA INDIANA LJ 18 (10011)"</f>
        <v>FARMÁCIA INDIANA LJ 18 (10011)</v>
      </c>
      <c r="R4686" t="str">
        <f t="shared" si="2223"/>
        <v>RECEITAS COM ENTREGAS (303)</v>
      </c>
      <c r="S4686">
        <v>2396</v>
      </c>
      <c r="T4686">
        <v>1867</v>
      </c>
      <c r="U4686" t="s">
        <v>19</v>
      </c>
    </row>
    <row r="4687" spans="1:21">
      <c r="A4687" t="str">
        <f t="shared" si="2214"/>
        <v>20/08/2025</v>
      </c>
      <c r="B4687" t="str">
        <f t="shared" si="2224"/>
        <v>ENTRADA</v>
      </c>
      <c r="C4687" t="str">
        <f t="shared" si="2215"/>
        <v>NFSE</v>
      </c>
      <c r="D4687" t="str">
        <f t="shared" si="2228"/>
        <v>3353</v>
      </c>
      <c r="E4687" t="str">
        <f t="shared" si="2213"/>
        <v>COM</v>
      </c>
      <c r="F4687" t="str">
        <f t="shared" si="2229"/>
        <v>FARMÁCIA INDIANA LJ 1 (10126)</v>
      </c>
      <c r="G4687" t="str">
        <f t="shared" si="2230"/>
        <v>Serv.Prest. 04/08/2025 a 10/08/2025 - RPS: 1119 - NFSe: 3353</v>
      </c>
      <c r="H4687" t="str">
        <f t="shared" si="2219"/>
        <v>20/08/2025</v>
      </c>
      <c r="I4687" t="str">
        <f t="shared" si="2231"/>
        <v>12/08/2025</v>
      </c>
      <c r="J4687" t="str">
        <f t="shared" si="2221"/>
        <v>20/08/2025</v>
      </c>
      <c r="M4687">
        <v>303</v>
      </c>
      <c r="N4687" t="str">
        <f t="shared" si="2222"/>
        <v>RECEITAS COM ENTREGAS</v>
      </c>
      <c r="P4687">
        <v>324.31</v>
      </c>
      <c r="Q4687" t="str">
        <f>"FARMÁCIA INDIANA LJ 19 (10012)"</f>
        <v>FARMÁCIA INDIANA LJ 19 (10012)</v>
      </c>
      <c r="R4687" t="str">
        <f t="shared" si="2223"/>
        <v>RECEITAS COM ENTREGAS (303)</v>
      </c>
      <c r="S4687">
        <v>2396</v>
      </c>
      <c r="T4687">
        <v>1867</v>
      </c>
      <c r="U4687" t="s">
        <v>19</v>
      </c>
    </row>
    <row r="4688" spans="1:21">
      <c r="A4688" t="str">
        <f t="shared" si="2214"/>
        <v>20/08/2025</v>
      </c>
      <c r="B4688" t="str">
        <f t="shared" si="2224"/>
        <v>ENTRADA</v>
      </c>
      <c r="C4688" t="str">
        <f t="shared" si="2215"/>
        <v>NFSE</v>
      </c>
      <c r="D4688" t="str">
        <f t="shared" si="2228"/>
        <v>3353</v>
      </c>
      <c r="E4688" t="str">
        <f t="shared" si="2213"/>
        <v>COM</v>
      </c>
      <c r="F4688" t="str">
        <f t="shared" si="2229"/>
        <v>FARMÁCIA INDIANA LJ 1 (10126)</v>
      </c>
      <c r="G4688" t="str">
        <f t="shared" si="2230"/>
        <v>Serv.Prest. 04/08/2025 a 10/08/2025 - RPS: 1119 - NFSe: 3353</v>
      </c>
      <c r="H4688" t="str">
        <f t="shared" si="2219"/>
        <v>20/08/2025</v>
      </c>
      <c r="I4688" t="str">
        <f t="shared" si="2231"/>
        <v>12/08/2025</v>
      </c>
      <c r="J4688" t="str">
        <f t="shared" si="2221"/>
        <v>20/08/2025</v>
      </c>
      <c r="M4688">
        <v>303</v>
      </c>
      <c r="N4688" t="str">
        <f t="shared" si="2222"/>
        <v>RECEITAS COM ENTREGAS</v>
      </c>
      <c r="P4688">
        <v>1094.72</v>
      </c>
      <c r="Q4688" t="str">
        <f>"FARMÁCIA INDIANA LJ 40 (10016)"</f>
        <v>FARMÁCIA INDIANA LJ 40 (10016)</v>
      </c>
      <c r="R4688" t="str">
        <f t="shared" si="2223"/>
        <v>RECEITAS COM ENTREGAS (303)</v>
      </c>
      <c r="S4688">
        <v>2396</v>
      </c>
      <c r="T4688">
        <v>1867</v>
      </c>
      <c r="U4688" t="s">
        <v>19</v>
      </c>
    </row>
    <row r="4689" spans="1:21">
      <c r="A4689" t="str">
        <f t="shared" si="2214"/>
        <v>20/08/2025</v>
      </c>
      <c r="B4689" t="str">
        <f t="shared" si="2224"/>
        <v>ENTRADA</v>
      </c>
      <c r="C4689" t="str">
        <f t="shared" si="2215"/>
        <v>NFSE</v>
      </c>
      <c r="D4689" t="str">
        <f t="shared" si="2228"/>
        <v>3353</v>
      </c>
      <c r="E4689" t="str">
        <f t="shared" si="2213"/>
        <v>COM</v>
      </c>
      <c r="F4689" t="str">
        <f t="shared" si="2229"/>
        <v>FARMÁCIA INDIANA LJ 1 (10126)</v>
      </c>
      <c r="G4689" t="str">
        <f t="shared" si="2230"/>
        <v>Serv.Prest. 04/08/2025 a 10/08/2025 - RPS: 1119 - NFSe: 3353</v>
      </c>
      <c r="H4689" t="str">
        <f t="shared" si="2219"/>
        <v>20/08/2025</v>
      </c>
      <c r="I4689" t="str">
        <f t="shared" si="2231"/>
        <v>12/08/2025</v>
      </c>
      <c r="J4689" t="str">
        <f t="shared" si="2221"/>
        <v>20/08/2025</v>
      </c>
      <c r="M4689">
        <v>303</v>
      </c>
      <c r="N4689" t="str">
        <f t="shared" si="2222"/>
        <v>RECEITAS COM ENTREGAS</v>
      </c>
      <c r="P4689">
        <v>372.46</v>
      </c>
      <c r="Q4689" t="str">
        <f>"FARMÁCIA INDIANA LJ 59 (10026)"</f>
        <v>FARMÁCIA INDIANA LJ 59 (10026)</v>
      </c>
      <c r="R4689" t="str">
        <f t="shared" si="2223"/>
        <v>RECEITAS COM ENTREGAS (303)</v>
      </c>
      <c r="S4689">
        <v>2396</v>
      </c>
      <c r="T4689">
        <v>1867</v>
      </c>
      <c r="U4689" t="s">
        <v>19</v>
      </c>
    </row>
    <row r="4690" spans="1:21">
      <c r="A4690" t="str">
        <f t="shared" si="2214"/>
        <v>20/08/2025</v>
      </c>
      <c r="B4690" t="str">
        <f t="shared" si="2224"/>
        <v>ENTRADA</v>
      </c>
      <c r="C4690" t="str">
        <f t="shared" si="2215"/>
        <v>NFSE</v>
      </c>
      <c r="D4690" t="str">
        <f t="shared" si="2228"/>
        <v>3353</v>
      </c>
      <c r="E4690" t="str">
        <f t="shared" si="2213"/>
        <v>COM</v>
      </c>
      <c r="F4690" t="str">
        <f t="shared" si="2229"/>
        <v>FARMÁCIA INDIANA LJ 1 (10126)</v>
      </c>
      <c r="G4690" t="str">
        <f t="shared" si="2230"/>
        <v>Serv.Prest. 04/08/2025 a 10/08/2025 - RPS: 1119 - NFSe: 3353</v>
      </c>
      <c r="H4690" t="str">
        <f t="shared" si="2219"/>
        <v>20/08/2025</v>
      </c>
      <c r="I4690" t="str">
        <f t="shared" si="2231"/>
        <v>12/08/2025</v>
      </c>
      <c r="J4690" t="str">
        <f t="shared" si="2221"/>
        <v>20/08/2025</v>
      </c>
      <c r="M4690">
        <v>303</v>
      </c>
      <c r="N4690" t="str">
        <f t="shared" si="2222"/>
        <v>RECEITAS COM ENTREGAS</v>
      </c>
      <c r="P4690">
        <v>584.89</v>
      </c>
      <c r="Q4690" t="str">
        <f>"FARMÁCIA INDIANA LJ 61 (10027)"</f>
        <v>FARMÁCIA INDIANA LJ 61 (10027)</v>
      </c>
      <c r="R4690" t="str">
        <f t="shared" si="2223"/>
        <v>RECEITAS COM ENTREGAS (303)</v>
      </c>
      <c r="S4690">
        <v>2396</v>
      </c>
      <c r="T4690">
        <v>1867</v>
      </c>
      <c r="U4690" t="s">
        <v>19</v>
      </c>
    </row>
    <row r="4691" spans="1:21">
      <c r="A4691" t="str">
        <f t="shared" si="2214"/>
        <v>20/08/2025</v>
      </c>
      <c r="B4691" t="str">
        <f t="shared" si="2224"/>
        <v>ENTRADA</v>
      </c>
      <c r="C4691" t="str">
        <f t="shared" si="2215"/>
        <v>NFSE</v>
      </c>
      <c r="D4691" t="str">
        <f t="shared" si="2228"/>
        <v>3353</v>
      </c>
      <c r="E4691" t="str">
        <f t="shared" si="2213"/>
        <v>COM</v>
      </c>
      <c r="F4691" t="str">
        <f t="shared" si="2229"/>
        <v>FARMÁCIA INDIANA LJ 1 (10126)</v>
      </c>
      <c r="G4691" t="str">
        <f t="shared" si="2230"/>
        <v>Serv.Prest. 04/08/2025 a 10/08/2025 - RPS: 1119 - NFSe: 3353</v>
      </c>
      <c r="H4691" t="str">
        <f t="shared" si="2219"/>
        <v>20/08/2025</v>
      </c>
      <c r="I4691" t="str">
        <f t="shared" si="2231"/>
        <v>12/08/2025</v>
      </c>
      <c r="J4691" t="str">
        <f t="shared" si="2221"/>
        <v>20/08/2025</v>
      </c>
      <c r="M4691">
        <v>303</v>
      </c>
      <c r="N4691" t="str">
        <f t="shared" si="2222"/>
        <v>RECEITAS COM ENTREGAS</v>
      </c>
      <c r="P4691">
        <v>392.29</v>
      </c>
      <c r="Q4691" t="str">
        <f>"FARMÁCIA INDIANA LJ 62 (10028)"</f>
        <v>FARMÁCIA INDIANA LJ 62 (10028)</v>
      </c>
      <c r="R4691" t="str">
        <f t="shared" si="2223"/>
        <v>RECEITAS COM ENTREGAS (303)</v>
      </c>
      <c r="S4691">
        <v>2396</v>
      </c>
      <c r="T4691">
        <v>1867</v>
      </c>
      <c r="U4691" t="s">
        <v>19</v>
      </c>
    </row>
    <row r="4692" spans="1:21">
      <c r="A4692" t="str">
        <f t="shared" ref="A4692:A4723" si="2232">("20/08/2025")</f>
        <v>20/08/2025</v>
      </c>
      <c r="B4692" t="str">
        <f t="shared" si="2224"/>
        <v>ENTRADA</v>
      </c>
      <c r="C4692" t="str">
        <f t="shared" ref="C4692:C4723" si="2233">"NFSE"</f>
        <v>NFSE</v>
      </c>
      <c r="D4692" t="str">
        <f t="shared" si="2228"/>
        <v>3353</v>
      </c>
      <c r="E4692" t="str">
        <f t="shared" si="2213"/>
        <v>COM</v>
      </c>
      <c r="F4692" t="str">
        <f t="shared" si="2229"/>
        <v>FARMÁCIA INDIANA LJ 1 (10126)</v>
      </c>
      <c r="G4692" t="str">
        <f t="shared" si="2230"/>
        <v>Serv.Prest. 04/08/2025 a 10/08/2025 - RPS: 1119 - NFSe: 3353</v>
      </c>
      <c r="H4692" t="str">
        <f t="shared" ref="H4692:H4723" si="2234">("20/08/2025")</f>
        <v>20/08/2025</v>
      </c>
      <c r="I4692" t="str">
        <f t="shared" si="2231"/>
        <v>12/08/2025</v>
      </c>
      <c r="J4692" t="str">
        <f t="shared" ref="J4692:J4723" si="2235">("20/08/2025")</f>
        <v>20/08/2025</v>
      </c>
      <c r="M4692">
        <v>303</v>
      </c>
      <c r="N4692" t="str">
        <f t="shared" ref="N4692:N4723" si="2236">"RECEITAS COM ENTREGAS"</f>
        <v>RECEITAS COM ENTREGAS</v>
      </c>
      <c r="P4692">
        <v>114.71</v>
      </c>
      <c r="Q4692" t="str">
        <f>"FARMÁCIA INDIANA LJ 64 (10029)"</f>
        <v>FARMÁCIA INDIANA LJ 64 (10029)</v>
      </c>
      <c r="R4692" t="str">
        <f t="shared" ref="R4692:R4723" si="2237">"RECEITAS COM ENTREGAS (303)"</f>
        <v>RECEITAS COM ENTREGAS (303)</v>
      </c>
      <c r="S4692">
        <v>2396</v>
      </c>
      <c r="T4692">
        <v>1867</v>
      </c>
      <c r="U4692" t="s">
        <v>19</v>
      </c>
    </row>
    <row r="4693" spans="1:21">
      <c r="A4693" t="str">
        <f t="shared" si="2232"/>
        <v>20/08/2025</v>
      </c>
      <c r="B4693" t="str">
        <f t="shared" si="2224"/>
        <v>ENTRADA</v>
      </c>
      <c r="C4693" t="str">
        <f t="shared" si="2233"/>
        <v>NFSE</v>
      </c>
      <c r="D4693" t="str">
        <f t="shared" si="2228"/>
        <v>3353</v>
      </c>
      <c r="E4693" t="str">
        <f t="shared" si="2213"/>
        <v>COM</v>
      </c>
      <c r="F4693" t="str">
        <f t="shared" si="2229"/>
        <v>FARMÁCIA INDIANA LJ 1 (10126)</v>
      </c>
      <c r="G4693" t="str">
        <f t="shared" si="2230"/>
        <v>Serv.Prest. 04/08/2025 a 10/08/2025 - RPS: 1119 - NFSe: 3353</v>
      </c>
      <c r="H4693" t="str">
        <f t="shared" si="2234"/>
        <v>20/08/2025</v>
      </c>
      <c r="I4693" t="str">
        <f t="shared" si="2231"/>
        <v>12/08/2025</v>
      </c>
      <c r="J4693" t="str">
        <f t="shared" si="2235"/>
        <v>20/08/2025</v>
      </c>
      <c r="M4693">
        <v>303</v>
      </c>
      <c r="N4693" t="str">
        <f t="shared" si="2236"/>
        <v>RECEITAS COM ENTREGAS</v>
      </c>
      <c r="P4693">
        <v>66.56</v>
      </c>
      <c r="Q4693" t="str">
        <f>"FARMÁCIA INDIANA LJ 97 (10040)"</f>
        <v>FARMÁCIA INDIANA LJ 97 (10040)</v>
      </c>
      <c r="R4693" t="str">
        <f t="shared" si="2237"/>
        <v>RECEITAS COM ENTREGAS (303)</v>
      </c>
      <c r="S4693">
        <v>2396</v>
      </c>
      <c r="T4693">
        <v>1867</v>
      </c>
      <c r="U4693" t="s">
        <v>19</v>
      </c>
    </row>
    <row r="4694" spans="1:21">
      <c r="A4694" t="str">
        <f t="shared" si="2232"/>
        <v>20/08/2025</v>
      </c>
      <c r="B4694" t="str">
        <f t="shared" si="2224"/>
        <v>ENTRADA</v>
      </c>
      <c r="C4694" t="str">
        <f t="shared" si="2233"/>
        <v>NFSE</v>
      </c>
      <c r="D4694" t="str">
        <f t="shared" si="2228"/>
        <v>3353</v>
      </c>
      <c r="E4694" t="str">
        <f t="shared" si="2213"/>
        <v>COM</v>
      </c>
      <c r="F4694" t="str">
        <f t="shared" si="2229"/>
        <v>FARMÁCIA INDIANA LJ 1 (10126)</v>
      </c>
      <c r="G4694" t="str">
        <f t="shared" si="2230"/>
        <v>Serv.Prest. 04/08/2025 a 10/08/2025 - RPS: 1119 - NFSe: 3353</v>
      </c>
      <c r="H4694" t="str">
        <f t="shared" si="2234"/>
        <v>20/08/2025</v>
      </c>
      <c r="I4694" t="str">
        <f t="shared" si="2231"/>
        <v>12/08/2025</v>
      </c>
      <c r="J4694" t="str">
        <f t="shared" si="2235"/>
        <v>20/08/2025</v>
      </c>
      <c r="M4694">
        <v>303</v>
      </c>
      <c r="N4694" t="str">
        <f t="shared" si="2236"/>
        <v>RECEITAS COM ENTREGAS</v>
      </c>
      <c r="P4694">
        <v>320.06</v>
      </c>
      <c r="Q4694" t="str">
        <f>"FARMÁCIA INDIANA LJ 100 (10042)"</f>
        <v>FARMÁCIA INDIANA LJ 100 (10042)</v>
      </c>
      <c r="R4694" t="str">
        <f t="shared" si="2237"/>
        <v>RECEITAS COM ENTREGAS (303)</v>
      </c>
      <c r="S4694">
        <v>2396</v>
      </c>
      <c r="T4694">
        <v>1867</v>
      </c>
      <c r="U4694" t="s">
        <v>19</v>
      </c>
    </row>
    <row r="4695" spans="1:21">
      <c r="A4695" t="str">
        <f t="shared" si="2232"/>
        <v>20/08/2025</v>
      </c>
      <c r="B4695" t="str">
        <f t="shared" si="2224"/>
        <v>ENTRADA</v>
      </c>
      <c r="C4695" t="str">
        <f t="shared" si="2233"/>
        <v>NFSE</v>
      </c>
      <c r="D4695" t="str">
        <f t="shared" si="2228"/>
        <v>3353</v>
      </c>
      <c r="E4695" t="str">
        <f t="shared" si="2213"/>
        <v>COM</v>
      </c>
      <c r="F4695" t="str">
        <f t="shared" si="2229"/>
        <v>FARMÁCIA INDIANA LJ 1 (10126)</v>
      </c>
      <c r="G4695" t="str">
        <f t="shared" si="2230"/>
        <v>Serv.Prest. 04/08/2025 a 10/08/2025 - RPS: 1119 - NFSe: 3353</v>
      </c>
      <c r="H4695" t="str">
        <f t="shared" si="2234"/>
        <v>20/08/2025</v>
      </c>
      <c r="I4695" t="str">
        <f t="shared" si="2231"/>
        <v>12/08/2025</v>
      </c>
      <c r="J4695" t="str">
        <f t="shared" si="2235"/>
        <v>20/08/2025</v>
      </c>
      <c r="M4695">
        <v>303</v>
      </c>
      <c r="N4695" t="str">
        <f t="shared" si="2236"/>
        <v>RECEITAS COM ENTREGAS</v>
      </c>
      <c r="P4695">
        <v>490</v>
      </c>
      <c r="Q4695" t="str">
        <f>"FARMÁCIA INDIANA LJ 101 (10043)"</f>
        <v>FARMÁCIA INDIANA LJ 101 (10043)</v>
      </c>
      <c r="R4695" t="str">
        <f t="shared" si="2237"/>
        <v>RECEITAS COM ENTREGAS (303)</v>
      </c>
      <c r="S4695">
        <v>2396</v>
      </c>
      <c r="T4695">
        <v>1867</v>
      </c>
      <c r="U4695" t="s">
        <v>19</v>
      </c>
    </row>
    <row r="4696" spans="1:21">
      <c r="A4696" t="str">
        <f t="shared" si="2232"/>
        <v>20/08/2025</v>
      </c>
      <c r="B4696" t="str">
        <f t="shared" si="2224"/>
        <v>ENTRADA</v>
      </c>
      <c r="C4696" t="str">
        <f t="shared" si="2233"/>
        <v>NFSE</v>
      </c>
      <c r="D4696" t="str">
        <f t="shared" si="2228"/>
        <v>3353</v>
      </c>
      <c r="E4696" t="str">
        <f t="shared" si="2213"/>
        <v>COM</v>
      </c>
      <c r="F4696" t="str">
        <f t="shared" si="2229"/>
        <v>FARMÁCIA INDIANA LJ 1 (10126)</v>
      </c>
      <c r="G4696" t="str">
        <f t="shared" si="2230"/>
        <v>Serv.Prest. 04/08/2025 a 10/08/2025 - RPS: 1119 - NFSe: 3353</v>
      </c>
      <c r="H4696" t="str">
        <f t="shared" si="2234"/>
        <v>20/08/2025</v>
      </c>
      <c r="I4696" t="str">
        <f t="shared" si="2231"/>
        <v>12/08/2025</v>
      </c>
      <c r="J4696" t="str">
        <f t="shared" si="2235"/>
        <v>20/08/2025</v>
      </c>
      <c r="M4696">
        <v>303</v>
      </c>
      <c r="N4696" t="str">
        <f t="shared" si="2236"/>
        <v>RECEITAS COM ENTREGAS</v>
      </c>
      <c r="P4696">
        <v>131.71</v>
      </c>
      <c r="Q4696" t="str">
        <f>"FARMÁCIA INDIANA LJ 103 (10044)"</f>
        <v>FARMÁCIA INDIANA LJ 103 (10044)</v>
      </c>
      <c r="R4696" t="str">
        <f t="shared" si="2237"/>
        <v>RECEITAS COM ENTREGAS (303)</v>
      </c>
      <c r="S4696">
        <v>2396</v>
      </c>
      <c r="T4696">
        <v>1867</v>
      </c>
      <c r="U4696" t="s">
        <v>19</v>
      </c>
    </row>
    <row r="4697" spans="1:21">
      <c r="A4697" t="str">
        <f t="shared" si="2232"/>
        <v>20/08/2025</v>
      </c>
      <c r="B4697" t="str">
        <f t="shared" si="2224"/>
        <v>ENTRADA</v>
      </c>
      <c r="C4697" t="str">
        <f t="shared" si="2233"/>
        <v>NFSE</v>
      </c>
      <c r="D4697" t="str">
        <f t="shared" si="2228"/>
        <v>3353</v>
      </c>
      <c r="E4697" t="str">
        <f t="shared" si="2213"/>
        <v>COM</v>
      </c>
      <c r="F4697" t="str">
        <f t="shared" si="2229"/>
        <v>FARMÁCIA INDIANA LJ 1 (10126)</v>
      </c>
      <c r="G4697" t="str">
        <f t="shared" si="2230"/>
        <v>Serv.Prest. 04/08/2025 a 10/08/2025 - RPS: 1119 - NFSe: 3353</v>
      </c>
      <c r="H4697" t="str">
        <f t="shared" si="2234"/>
        <v>20/08/2025</v>
      </c>
      <c r="I4697" t="str">
        <f t="shared" si="2231"/>
        <v>12/08/2025</v>
      </c>
      <c r="J4697" t="str">
        <f t="shared" si="2235"/>
        <v>20/08/2025</v>
      </c>
      <c r="M4697">
        <v>303</v>
      </c>
      <c r="N4697" t="str">
        <f t="shared" si="2236"/>
        <v>RECEITAS COM ENTREGAS</v>
      </c>
      <c r="P4697">
        <v>228.01</v>
      </c>
      <c r="Q4697" t="str">
        <f>"FARMÁCIA INDIANA LJ 109 (10047)"</f>
        <v>FARMÁCIA INDIANA LJ 109 (10047)</v>
      </c>
      <c r="R4697" t="str">
        <f t="shared" si="2237"/>
        <v>RECEITAS COM ENTREGAS (303)</v>
      </c>
      <c r="S4697">
        <v>2396</v>
      </c>
      <c r="T4697">
        <v>1867</v>
      </c>
      <c r="U4697" t="s">
        <v>19</v>
      </c>
    </row>
    <row r="4698" spans="1:21">
      <c r="A4698" t="str">
        <f t="shared" si="2232"/>
        <v>20/08/2025</v>
      </c>
      <c r="B4698" t="str">
        <f t="shared" si="2224"/>
        <v>ENTRADA</v>
      </c>
      <c r="C4698" t="str">
        <f t="shared" si="2233"/>
        <v>NFSE</v>
      </c>
      <c r="D4698" t="str">
        <f t="shared" si="2228"/>
        <v>3353</v>
      </c>
      <c r="E4698" t="str">
        <f t="shared" si="2213"/>
        <v>COM</v>
      </c>
      <c r="F4698" t="str">
        <f t="shared" si="2229"/>
        <v>FARMÁCIA INDIANA LJ 1 (10126)</v>
      </c>
      <c r="G4698" t="str">
        <f t="shared" si="2230"/>
        <v>Serv.Prest. 04/08/2025 a 10/08/2025 - RPS: 1119 - NFSe: 3353</v>
      </c>
      <c r="H4698" t="str">
        <f t="shared" si="2234"/>
        <v>20/08/2025</v>
      </c>
      <c r="I4698" t="str">
        <f t="shared" si="2231"/>
        <v>12/08/2025</v>
      </c>
      <c r="J4698" t="str">
        <f t="shared" si="2235"/>
        <v>20/08/2025</v>
      </c>
      <c r="M4698">
        <v>303</v>
      </c>
      <c r="N4698" t="str">
        <f t="shared" si="2236"/>
        <v>RECEITAS COM ENTREGAS</v>
      </c>
      <c r="P4698">
        <v>317.23</v>
      </c>
      <c r="Q4698" t="str">
        <f>"FARMÁCIA INDIANA LJ 110 (10048)"</f>
        <v>FARMÁCIA INDIANA LJ 110 (10048)</v>
      </c>
      <c r="R4698" t="str">
        <f t="shared" si="2237"/>
        <v>RECEITAS COM ENTREGAS (303)</v>
      </c>
      <c r="S4698">
        <v>2396</v>
      </c>
      <c r="T4698">
        <v>1867</v>
      </c>
      <c r="U4698" t="s">
        <v>19</v>
      </c>
    </row>
    <row r="4699" spans="1:21">
      <c r="A4699" t="str">
        <f t="shared" si="2232"/>
        <v>20/08/2025</v>
      </c>
      <c r="B4699" t="str">
        <f t="shared" si="2224"/>
        <v>ENTRADA</v>
      </c>
      <c r="C4699" t="str">
        <f t="shared" si="2233"/>
        <v>NFSE</v>
      </c>
      <c r="D4699" t="str">
        <f t="shared" si="2228"/>
        <v>3353</v>
      </c>
      <c r="E4699" t="str">
        <f t="shared" si="2213"/>
        <v>COM</v>
      </c>
      <c r="F4699" t="str">
        <f t="shared" si="2229"/>
        <v>FARMÁCIA INDIANA LJ 1 (10126)</v>
      </c>
      <c r="G4699" t="str">
        <f t="shared" si="2230"/>
        <v>Serv.Prest. 04/08/2025 a 10/08/2025 - RPS: 1119 - NFSe: 3353</v>
      </c>
      <c r="H4699" t="str">
        <f t="shared" si="2234"/>
        <v>20/08/2025</v>
      </c>
      <c r="I4699" t="str">
        <f t="shared" si="2231"/>
        <v>12/08/2025</v>
      </c>
      <c r="J4699" t="str">
        <f t="shared" si="2235"/>
        <v>20/08/2025</v>
      </c>
      <c r="M4699">
        <v>303</v>
      </c>
      <c r="N4699" t="str">
        <f t="shared" si="2236"/>
        <v>RECEITAS COM ENTREGAS</v>
      </c>
      <c r="P4699">
        <v>63.73</v>
      </c>
      <c r="Q4699" t="str">
        <f>"FARMÁCIA INDIANA LJ 111 (10049)"</f>
        <v>FARMÁCIA INDIANA LJ 111 (10049)</v>
      </c>
      <c r="R4699" t="str">
        <f t="shared" si="2237"/>
        <v>RECEITAS COM ENTREGAS (303)</v>
      </c>
      <c r="S4699">
        <v>2396</v>
      </c>
      <c r="T4699">
        <v>1867</v>
      </c>
      <c r="U4699" t="s">
        <v>19</v>
      </c>
    </row>
    <row r="4700" spans="1:21">
      <c r="A4700" t="str">
        <f t="shared" si="2232"/>
        <v>20/08/2025</v>
      </c>
      <c r="B4700" t="str">
        <f t="shared" si="2224"/>
        <v>ENTRADA</v>
      </c>
      <c r="C4700" t="str">
        <f t="shared" si="2233"/>
        <v>NFSE</v>
      </c>
      <c r="D4700" t="str">
        <f t="shared" si="2228"/>
        <v>3353</v>
      </c>
      <c r="E4700" t="str">
        <f t="shared" si="2213"/>
        <v>COM</v>
      </c>
      <c r="F4700" t="str">
        <f t="shared" si="2229"/>
        <v>FARMÁCIA INDIANA LJ 1 (10126)</v>
      </c>
      <c r="G4700" t="str">
        <f t="shared" si="2230"/>
        <v>Serv.Prest. 04/08/2025 a 10/08/2025 - RPS: 1119 - NFSe: 3353</v>
      </c>
      <c r="H4700" t="str">
        <f t="shared" si="2234"/>
        <v>20/08/2025</v>
      </c>
      <c r="I4700" t="str">
        <f t="shared" si="2231"/>
        <v>12/08/2025</v>
      </c>
      <c r="J4700" t="str">
        <f t="shared" si="2235"/>
        <v>20/08/2025</v>
      </c>
      <c r="M4700">
        <v>303</v>
      </c>
      <c r="N4700" t="str">
        <f t="shared" si="2236"/>
        <v>RECEITAS COM ENTREGAS</v>
      </c>
      <c r="P4700">
        <v>160.03</v>
      </c>
      <c r="Q4700" t="str">
        <f>"FARMÁCIA INDIANA LJ 112 (10050)"</f>
        <v>FARMÁCIA INDIANA LJ 112 (10050)</v>
      </c>
      <c r="R4700" t="str">
        <f t="shared" si="2237"/>
        <v>RECEITAS COM ENTREGAS (303)</v>
      </c>
      <c r="S4700">
        <v>2396</v>
      </c>
      <c r="T4700">
        <v>1867</v>
      </c>
      <c r="U4700" t="s">
        <v>19</v>
      </c>
    </row>
    <row r="4701" spans="1:21">
      <c r="A4701" t="str">
        <f t="shared" si="2232"/>
        <v>20/08/2025</v>
      </c>
      <c r="B4701" t="str">
        <f t="shared" si="2224"/>
        <v>ENTRADA</v>
      </c>
      <c r="C4701" t="str">
        <f t="shared" si="2233"/>
        <v>NFSE</v>
      </c>
      <c r="D4701" t="str">
        <f t="shared" si="2228"/>
        <v>3353</v>
      </c>
      <c r="E4701" t="str">
        <f t="shared" si="2213"/>
        <v>COM</v>
      </c>
      <c r="F4701" t="str">
        <f t="shared" si="2229"/>
        <v>FARMÁCIA INDIANA LJ 1 (10126)</v>
      </c>
      <c r="G4701" t="str">
        <f t="shared" si="2230"/>
        <v>Serv.Prest. 04/08/2025 a 10/08/2025 - RPS: 1119 - NFSe: 3353</v>
      </c>
      <c r="H4701" t="str">
        <f t="shared" si="2234"/>
        <v>20/08/2025</v>
      </c>
      <c r="I4701" t="str">
        <f t="shared" si="2231"/>
        <v>12/08/2025</v>
      </c>
      <c r="J4701" t="str">
        <f t="shared" si="2235"/>
        <v>20/08/2025</v>
      </c>
      <c r="M4701">
        <v>303</v>
      </c>
      <c r="N4701" t="str">
        <f t="shared" si="2236"/>
        <v>RECEITAS COM ENTREGAS</v>
      </c>
      <c r="P4701">
        <v>160.03</v>
      </c>
      <c r="Q4701" t="str">
        <f>"FARMÁCIA INDIANA LJ 116 (10051)"</f>
        <v>FARMÁCIA INDIANA LJ 116 (10051)</v>
      </c>
      <c r="R4701" t="str">
        <f t="shared" si="2237"/>
        <v>RECEITAS COM ENTREGAS (303)</v>
      </c>
      <c r="S4701">
        <v>2396</v>
      </c>
      <c r="T4701">
        <v>1867</v>
      </c>
      <c r="U4701" t="s">
        <v>19</v>
      </c>
    </row>
    <row r="4702" spans="1:21">
      <c r="A4702" t="str">
        <f t="shared" si="2232"/>
        <v>20/08/2025</v>
      </c>
      <c r="B4702" t="str">
        <f t="shared" si="2224"/>
        <v>ENTRADA</v>
      </c>
      <c r="C4702" t="str">
        <f t="shared" si="2233"/>
        <v>NFSE</v>
      </c>
      <c r="D4702" t="str">
        <f t="shared" si="2228"/>
        <v>3353</v>
      </c>
      <c r="E4702" t="str">
        <f t="shared" si="2213"/>
        <v>COM</v>
      </c>
      <c r="F4702" t="str">
        <f t="shared" si="2229"/>
        <v>FARMÁCIA INDIANA LJ 1 (10126)</v>
      </c>
      <c r="G4702" t="str">
        <f t="shared" si="2230"/>
        <v>Serv.Prest. 04/08/2025 a 10/08/2025 - RPS: 1119 - NFSe: 3353</v>
      </c>
      <c r="H4702" t="str">
        <f t="shared" si="2234"/>
        <v>20/08/2025</v>
      </c>
      <c r="I4702" t="str">
        <f t="shared" si="2231"/>
        <v>12/08/2025</v>
      </c>
      <c r="J4702" t="str">
        <f t="shared" si="2235"/>
        <v>20/08/2025</v>
      </c>
      <c r="M4702">
        <v>303</v>
      </c>
      <c r="N4702" t="str">
        <f t="shared" si="2236"/>
        <v>RECEITAS COM ENTREGAS</v>
      </c>
      <c r="P4702">
        <v>107.63</v>
      </c>
      <c r="Q4702" t="str">
        <f>"FARMÁCIA INDIANA LJ 118 (10052)"</f>
        <v>FARMÁCIA INDIANA LJ 118 (10052)</v>
      </c>
      <c r="R4702" t="str">
        <f t="shared" si="2237"/>
        <v>RECEITAS COM ENTREGAS (303)</v>
      </c>
      <c r="S4702">
        <v>2396</v>
      </c>
      <c r="T4702">
        <v>1867</v>
      </c>
      <c r="U4702" t="s">
        <v>19</v>
      </c>
    </row>
    <row r="4703" spans="1:21">
      <c r="A4703" t="str">
        <f t="shared" si="2232"/>
        <v>20/08/2025</v>
      </c>
      <c r="B4703" t="str">
        <f t="shared" si="2224"/>
        <v>ENTRADA</v>
      </c>
      <c r="C4703" t="str">
        <f t="shared" si="2233"/>
        <v>NFSE</v>
      </c>
      <c r="D4703" t="str">
        <f t="shared" si="2228"/>
        <v>3353</v>
      </c>
      <c r="E4703" t="str">
        <f t="shared" si="2213"/>
        <v>COM</v>
      </c>
      <c r="F4703" t="str">
        <f t="shared" si="2229"/>
        <v>FARMÁCIA INDIANA LJ 1 (10126)</v>
      </c>
      <c r="G4703" t="str">
        <f t="shared" si="2230"/>
        <v>Serv.Prest. 04/08/2025 a 10/08/2025 - RPS: 1119 - NFSe: 3353</v>
      </c>
      <c r="H4703" t="str">
        <f t="shared" si="2234"/>
        <v>20/08/2025</v>
      </c>
      <c r="I4703" t="str">
        <f t="shared" si="2231"/>
        <v>12/08/2025</v>
      </c>
      <c r="J4703" t="str">
        <f t="shared" si="2235"/>
        <v>20/08/2025</v>
      </c>
      <c r="M4703">
        <v>303</v>
      </c>
      <c r="N4703" t="str">
        <f t="shared" si="2236"/>
        <v>RECEITAS COM ENTREGAS</v>
      </c>
      <c r="P4703">
        <v>160.03</v>
      </c>
      <c r="Q4703" t="str">
        <f>"FARMÁCIA INDIANA LJ 121 (10054)"</f>
        <v>FARMÁCIA INDIANA LJ 121 (10054)</v>
      </c>
      <c r="R4703" t="str">
        <f t="shared" si="2237"/>
        <v>RECEITAS COM ENTREGAS (303)</v>
      </c>
      <c r="S4703">
        <v>2396</v>
      </c>
      <c r="T4703">
        <v>1867</v>
      </c>
      <c r="U4703" t="s">
        <v>19</v>
      </c>
    </row>
    <row r="4704" spans="1:21">
      <c r="A4704" t="str">
        <f t="shared" si="2232"/>
        <v>20/08/2025</v>
      </c>
      <c r="B4704" t="str">
        <f t="shared" si="2224"/>
        <v>ENTRADA</v>
      </c>
      <c r="C4704" t="str">
        <f t="shared" si="2233"/>
        <v>NFSE</v>
      </c>
      <c r="D4704" t="str">
        <f t="shared" si="2228"/>
        <v>3353</v>
      </c>
      <c r="E4704" t="str">
        <f t="shared" si="2213"/>
        <v>COM</v>
      </c>
      <c r="F4704" t="str">
        <f t="shared" si="2229"/>
        <v>FARMÁCIA INDIANA LJ 1 (10126)</v>
      </c>
      <c r="G4704" t="str">
        <f t="shared" si="2230"/>
        <v>Serv.Prest. 04/08/2025 a 10/08/2025 - RPS: 1119 - NFSe: 3353</v>
      </c>
      <c r="H4704" t="str">
        <f t="shared" si="2234"/>
        <v>20/08/2025</v>
      </c>
      <c r="I4704" t="str">
        <f t="shared" si="2231"/>
        <v>12/08/2025</v>
      </c>
      <c r="J4704" t="str">
        <f t="shared" si="2235"/>
        <v>20/08/2025</v>
      </c>
      <c r="M4704">
        <v>303</v>
      </c>
      <c r="N4704" t="str">
        <f t="shared" si="2236"/>
        <v>RECEITAS COM ENTREGAS</v>
      </c>
      <c r="P4704">
        <v>160.03</v>
      </c>
      <c r="Q4704" t="str">
        <f>"FARMÁCIA INDIANA LJ 128 (10057)"</f>
        <v>FARMÁCIA INDIANA LJ 128 (10057)</v>
      </c>
      <c r="R4704" t="str">
        <f t="shared" si="2237"/>
        <v>RECEITAS COM ENTREGAS (303)</v>
      </c>
      <c r="S4704">
        <v>2396</v>
      </c>
      <c r="T4704">
        <v>1867</v>
      </c>
      <c r="U4704" t="s">
        <v>19</v>
      </c>
    </row>
    <row r="4705" spans="1:21">
      <c r="A4705" t="str">
        <f t="shared" si="2232"/>
        <v>20/08/2025</v>
      </c>
      <c r="B4705" t="str">
        <f t="shared" si="2224"/>
        <v>ENTRADA</v>
      </c>
      <c r="C4705" t="str">
        <f t="shared" si="2233"/>
        <v>NFSE</v>
      </c>
      <c r="D4705" t="str">
        <f t="shared" si="2228"/>
        <v>3353</v>
      </c>
      <c r="E4705" t="str">
        <f t="shared" si="2213"/>
        <v>COM</v>
      </c>
      <c r="F4705" t="str">
        <f t="shared" si="2229"/>
        <v>FARMÁCIA INDIANA LJ 1 (10126)</v>
      </c>
      <c r="G4705" t="str">
        <f t="shared" si="2230"/>
        <v>Serv.Prest. 04/08/2025 a 10/08/2025 - RPS: 1119 - NFSe: 3353</v>
      </c>
      <c r="H4705" t="str">
        <f t="shared" si="2234"/>
        <v>20/08/2025</v>
      </c>
      <c r="I4705" t="str">
        <f t="shared" si="2231"/>
        <v>12/08/2025</v>
      </c>
      <c r="J4705" t="str">
        <f t="shared" si="2235"/>
        <v>20/08/2025</v>
      </c>
      <c r="M4705">
        <v>303</v>
      </c>
      <c r="N4705" t="str">
        <f t="shared" si="2236"/>
        <v>RECEITAS COM ENTREGAS</v>
      </c>
      <c r="P4705">
        <v>42.49</v>
      </c>
      <c r="Q4705" t="str">
        <f>"FARMÁCIA INDIANA LJ 140 (10064)"</f>
        <v>FARMÁCIA INDIANA LJ 140 (10064)</v>
      </c>
      <c r="R4705" t="str">
        <f t="shared" si="2237"/>
        <v>RECEITAS COM ENTREGAS (303)</v>
      </c>
      <c r="S4705">
        <v>2396</v>
      </c>
      <c r="T4705">
        <v>1867</v>
      </c>
      <c r="U4705" t="s">
        <v>19</v>
      </c>
    </row>
    <row r="4706" spans="1:21">
      <c r="A4706" t="str">
        <f t="shared" si="2232"/>
        <v>20/08/2025</v>
      </c>
      <c r="B4706" t="str">
        <f t="shared" si="2224"/>
        <v>ENTRADA</v>
      </c>
      <c r="C4706" t="str">
        <f t="shared" si="2233"/>
        <v>NFSE</v>
      </c>
      <c r="D4706" t="str">
        <f t="shared" si="2228"/>
        <v>3353</v>
      </c>
      <c r="E4706" t="str">
        <f t="shared" si="2213"/>
        <v>COM</v>
      </c>
      <c r="F4706" t="str">
        <f t="shared" si="2229"/>
        <v>FARMÁCIA INDIANA LJ 1 (10126)</v>
      </c>
      <c r="G4706" t="str">
        <f t="shared" si="2230"/>
        <v>Serv.Prest. 04/08/2025 a 10/08/2025 - RPS: 1119 - NFSe: 3353</v>
      </c>
      <c r="H4706" t="str">
        <f t="shared" si="2234"/>
        <v>20/08/2025</v>
      </c>
      <c r="I4706" t="str">
        <f t="shared" si="2231"/>
        <v>12/08/2025</v>
      </c>
      <c r="J4706" t="str">
        <f t="shared" si="2235"/>
        <v>20/08/2025</v>
      </c>
      <c r="M4706">
        <v>303</v>
      </c>
      <c r="N4706" t="str">
        <f t="shared" si="2236"/>
        <v>RECEITAS COM ENTREGAS</v>
      </c>
      <c r="P4706">
        <v>22.66</v>
      </c>
      <c r="Q4706" t="str">
        <f>"FARMÁCIA INDIANA LJ 141 (10065)"</f>
        <v>FARMÁCIA INDIANA LJ 141 (10065)</v>
      </c>
      <c r="R4706" t="str">
        <f t="shared" si="2237"/>
        <v>RECEITAS COM ENTREGAS (303)</v>
      </c>
      <c r="S4706">
        <v>2396</v>
      </c>
      <c r="T4706">
        <v>1867</v>
      </c>
      <c r="U4706" t="s">
        <v>19</v>
      </c>
    </row>
    <row r="4707" spans="1:21">
      <c r="A4707" t="str">
        <f t="shared" si="2232"/>
        <v>20/08/2025</v>
      </c>
      <c r="B4707" t="str">
        <f t="shared" si="2224"/>
        <v>ENTRADA</v>
      </c>
      <c r="C4707" t="str">
        <f t="shared" si="2233"/>
        <v>NFSE</v>
      </c>
      <c r="D4707" t="str">
        <f t="shared" si="2228"/>
        <v>3353</v>
      </c>
      <c r="E4707" t="str">
        <f t="shared" si="2213"/>
        <v>COM</v>
      </c>
      <c r="F4707" t="str">
        <f t="shared" si="2229"/>
        <v>FARMÁCIA INDIANA LJ 1 (10126)</v>
      </c>
      <c r="G4707" t="str">
        <f t="shared" si="2230"/>
        <v>Serv.Prest. 04/08/2025 a 10/08/2025 - RPS: 1119 - NFSe: 3353</v>
      </c>
      <c r="H4707" t="str">
        <f t="shared" si="2234"/>
        <v>20/08/2025</v>
      </c>
      <c r="I4707" t="str">
        <f t="shared" si="2231"/>
        <v>12/08/2025</v>
      </c>
      <c r="J4707" t="str">
        <f t="shared" si="2235"/>
        <v>20/08/2025</v>
      </c>
      <c r="M4707">
        <v>303</v>
      </c>
      <c r="N4707" t="str">
        <f t="shared" si="2236"/>
        <v>RECEITAS COM ENTREGAS</v>
      </c>
      <c r="P4707">
        <v>703.85</v>
      </c>
      <c r="Q4707" t="str">
        <f>"FARMÁCIA INDIANA LJ 142 (10066)"</f>
        <v>FARMÁCIA INDIANA LJ 142 (10066)</v>
      </c>
      <c r="R4707" t="str">
        <f t="shared" si="2237"/>
        <v>RECEITAS COM ENTREGAS (303)</v>
      </c>
      <c r="S4707">
        <v>2396</v>
      </c>
      <c r="T4707">
        <v>1867</v>
      </c>
      <c r="U4707" t="s">
        <v>19</v>
      </c>
    </row>
    <row r="4708" spans="1:21">
      <c r="A4708" t="str">
        <f t="shared" si="2232"/>
        <v>20/08/2025</v>
      </c>
      <c r="B4708" t="str">
        <f t="shared" si="2224"/>
        <v>ENTRADA</v>
      </c>
      <c r="C4708" t="str">
        <f t="shared" si="2233"/>
        <v>NFSE</v>
      </c>
      <c r="D4708" t="str">
        <f t="shared" si="2228"/>
        <v>3353</v>
      </c>
      <c r="E4708" t="str">
        <f t="shared" si="2213"/>
        <v>COM</v>
      </c>
      <c r="F4708" t="str">
        <f t="shared" si="2229"/>
        <v>FARMÁCIA INDIANA LJ 1 (10126)</v>
      </c>
      <c r="G4708" t="str">
        <f t="shared" si="2230"/>
        <v>Serv.Prest. 04/08/2025 a 10/08/2025 - RPS: 1119 - NFSe: 3353</v>
      </c>
      <c r="H4708" t="str">
        <f t="shared" si="2234"/>
        <v>20/08/2025</v>
      </c>
      <c r="I4708" t="str">
        <f t="shared" si="2231"/>
        <v>12/08/2025</v>
      </c>
      <c r="J4708" t="str">
        <f t="shared" si="2235"/>
        <v>20/08/2025</v>
      </c>
      <c r="M4708">
        <v>303</v>
      </c>
      <c r="N4708" t="str">
        <f t="shared" si="2236"/>
        <v>RECEITAS COM ENTREGAS</v>
      </c>
      <c r="P4708">
        <v>66.56</v>
      </c>
      <c r="Q4708" t="str">
        <f>"FARMÁCIA INDIANA LJ 143 (10067)"</f>
        <v>FARMÁCIA INDIANA LJ 143 (10067)</v>
      </c>
      <c r="R4708" t="str">
        <f t="shared" si="2237"/>
        <v>RECEITAS COM ENTREGAS (303)</v>
      </c>
      <c r="S4708">
        <v>2396</v>
      </c>
      <c r="T4708">
        <v>1867</v>
      </c>
      <c r="U4708" t="s">
        <v>19</v>
      </c>
    </row>
    <row r="4709" spans="1:21">
      <c r="A4709" t="str">
        <f t="shared" si="2232"/>
        <v>20/08/2025</v>
      </c>
      <c r="B4709" t="str">
        <f t="shared" si="2224"/>
        <v>ENTRADA</v>
      </c>
      <c r="C4709" t="str">
        <f t="shared" si="2233"/>
        <v>NFSE</v>
      </c>
      <c r="D4709" t="str">
        <f t="shared" si="2228"/>
        <v>3353</v>
      </c>
      <c r="E4709" t="str">
        <f t="shared" si="2213"/>
        <v>COM</v>
      </c>
      <c r="F4709" t="str">
        <f t="shared" si="2229"/>
        <v>FARMÁCIA INDIANA LJ 1 (10126)</v>
      </c>
      <c r="G4709" t="str">
        <f t="shared" si="2230"/>
        <v>Serv.Prest. 04/08/2025 a 10/08/2025 - RPS: 1119 - NFSe: 3353</v>
      </c>
      <c r="H4709" t="str">
        <f t="shared" si="2234"/>
        <v>20/08/2025</v>
      </c>
      <c r="I4709" t="str">
        <f t="shared" si="2231"/>
        <v>12/08/2025</v>
      </c>
      <c r="J4709" t="str">
        <f t="shared" si="2235"/>
        <v>20/08/2025</v>
      </c>
      <c r="M4709">
        <v>303</v>
      </c>
      <c r="N4709" t="str">
        <f t="shared" si="2236"/>
        <v>RECEITAS COM ENTREGAS</v>
      </c>
      <c r="P4709">
        <v>155.78</v>
      </c>
      <c r="Q4709" t="str">
        <f>"FARMÁCIA INDIANA LJ 152 (10069)"</f>
        <v>FARMÁCIA INDIANA LJ 152 (10069)</v>
      </c>
      <c r="R4709" t="str">
        <f t="shared" si="2237"/>
        <v>RECEITAS COM ENTREGAS (303)</v>
      </c>
      <c r="S4709">
        <v>2396</v>
      </c>
      <c r="T4709">
        <v>1867</v>
      </c>
      <c r="U4709" t="s">
        <v>19</v>
      </c>
    </row>
    <row r="4710" spans="1:21">
      <c r="A4710" t="str">
        <f t="shared" si="2232"/>
        <v>20/08/2025</v>
      </c>
      <c r="B4710" t="str">
        <f t="shared" si="2224"/>
        <v>ENTRADA</v>
      </c>
      <c r="C4710" t="str">
        <f t="shared" si="2233"/>
        <v>NFSE</v>
      </c>
      <c r="D4710" t="str">
        <f t="shared" si="2228"/>
        <v>3353</v>
      </c>
      <c r="E4710" t="str">
        <f t="shared" si="2213"/>
        <v>COM</v>
      </c>
      <c r="F4710" t="str">
        <f t="shared" si="2229"/>
        <v>FARMÁCIA INDIANA LJ 1 (10126)</v>
      </c>
      <c r="G4710" t="str">
        <f t="shared" si="2230"/>
        <v>Serv.Prest. 04/08/2025 a 10/08/2025 - RPS: 1119 - NFSe: 3353</v>
      </c>
      <c r="H4710" t="str">
        <f t="shared" si="2234"/>
        <v>20/08/2025</v>
      </c>
      <c r="I4710" t="str">
        <f t="shared" si="2231"/>
        <v>12/08/2025</v>
      </c>
      <c r="J4710" t="str">
        <f t="shared" si="2235"/>
        <v>20/08/2025</v>
      </c>
      <c r="M4710">
        <v>303</v>
      </c>
      <c r="N4710" t="str">
        <f t="shared" si="2236"/>
        <v>RECEITAS COM ENTREGAS</v>
      </c>
      <c r="P4710">
        <v>39.65</v>
      </c>
      <c r="Q4710" t="str">
        <f>"FARMÁCIA INDIANA LJ 154 (10070)"</f>
        <v>FARMÁCIA INDIANA LJ 154 (10070)</v>
      </c>
      <c r="R4710" t="str">
        <f t="shared" si="2237"/>
        <v>RECEITAS COM ENTREGAS (303)</v>
      </c>
      <c r="S4710">
        <v>2396</v>
      </c>
      <c r="T4710">
        <v>1867</v>
      </c>
      <c r="U4710" t="s">
        <v>19</v>
      </c>
    </row>
    <row r="4711" spans="1:21">
      <c r="A4711" t="str">
        <f t="shared" si="2232"/>
        <v>20/08/2025</v>
      </c>
      <c r="B4711" t="str">
        <f t="shared" si="2224"/>
        <v>ENTRADA</v>
      </c>
      <c r="C4711" t="str">
        <f t="shared" si="2233"/>
        <v>NFSE</v>
      </c>
      <c r="D4711" t="str">
        <f t="shared" si="2228"/>
        <v>3353</v>
      </c>
      <c r="E4711" t="str">
        <f t="shared" si="2213"/>
        <v>COM</v>
      </c>
      <c r="F4711" t="str">
        <f t="shared" si="2229"/>
        <v>FARMÁCIA INDIANA LJ 1 (10126)</v>
      </c>
      <c r="G4711" t="str">
        <f t="shared" si="2230"/>
        <v>Serv.Prest. 04/08/2025 a 10/08/2025 - RPS: 1119 - NFSe: 3353</v>
      </c>
      <c r="H4711" t="str">
        <f t="shared" si="2234"/>
        <v>20/08/2025</v>
      </c>
      <c r="I4711" t="str">
        <f t="shared" si="2231"/>
        <v>12/08/2025</v>
      </c>
      <c r="J4711" t="str">
        <f t="shared" si="2235"/>
        <v>20/08/2025</v>
      </c>
      <c r="M4711">
        <v>303</v>
      </c>
      <c r="N4711" t="str">
        <f t="shared" si="2236"/>
        <v>RECEITAS COM ENTREGAS</v>
      </c>
      <c r="P4711">
        <v>342.72</v>
      </c>
      <c r="Q4711" t="str">
        <f>"FARMÁCIA INDIANA LJ 171 (10074)"</f>
        <v>FARMÁCIA INDIANA LJ 171 (10074)</v>
      </c>
      <c r="R4711" t="str">
        <f t="shared" si="2237"/>
        <v>RECEITAS COM ENTREGAS (303)</v>
      </c>
      <c r="S4711">
        <v>2396</v>
      </c>
      <c r="T4711">
        <v>1867</v>
      </c>
      <c r="U4711" t="s">
        <v>19</v>
      </c>
    </row>
    <row r="4712" spans="1:21">
      <c r="A4712" t="str">
        <f t="shared" si="2232"/>
        <v>20/08/2025</v>
      </c>
      <c r="B4712" t="str">
        <f t="shared" si="2224"/>
        <v>ENTRADA</v>
      </c>
      <c r="C4712" t="str">
        <f t="shared" si="2233"/>
        <v>NFSE</v>
      </c>
      <c r="D4712" t="str">
        <f t="shared" si="2228"/>
        <v>3353</v>
      </c>
      <c r="E4712" t="str">
        <f t="shared" si="2213"/>
        <v>COM</v>
      </c>
      <c r="F4712" t="str">
        <f t="shared" si="2229"/>
        <v>FARMÁCIA INDIANA LJ 1 (10126)</v>
      </c>
      <c r="G4712" t="str">
        <f t="shared" si="2230"/>
        <v>Serv.Prest. 04/08/2025 a 10/08/2025 - RPS: 1119 - NFSe: 3353</v>
      </c>
      <c r="H4712" t="str">
        <f t="shared" si="2234"/>
        <v>20/08/2025</v>
      </c>
      <c r="I4712" t="str">
        <f t="shared" si="2231"/>
        <v>12/08/2025</v>
      </c>
      <c r="J4712" t="str">
        <f t="shared" si="2235"/>
        <v>20/08/2025</v>
      </c>
      <c r="M4712">
        <v>303</v>
      </c>
      <c r="N4712" t="str">
        <f t="shared" si="2236"/>
        <v>RECEITAS COM ENTREGAS</v>
      </c>
      <c r="P4712">
        <v>131.71</v>
      </c>
      <c r="Q4712" t="str">
        <f>"FARMÁCIA INDIANA LJ 175 (10076)"</f>
        <v>FARMÁCIA INDIANA LJ 175 (10076)</v>
      </c>
      <c r="R4712" t="str">
        <f t="shared" si="2237"/>
        <v>RECEITAS COM ENTREGAS (303)</v>
      </c>
      <c r="S4712">
        <v>2396</v>
      </c>
      <c r="T4712">
        <v>1867</v>
      </c>
      <c r="U4712" t="s">
        <v>19</v>
      </c>
    </row>
    <row r="4713" spans="1:21">
      <c r="A4713" t="str">
        <f t="shared" si="2232"/>
        <v>20/08/2025</v>
      </c>
      <c r="B4713" t="str">
        <f t="shared" si="2224"/>
        <v>ENTRADA</v>
      </c>
      <c r="C4713" t="str">
        <f t="shared" si="2233"/>
        <v>NFSE</v>
      </c>
      <c r="D4713" t="str">
        <f t="shared" si="2228"/>
        <v>3353</v>
      </c>
      <c r="E4713" t="str">
        <f t="shared" si="2213"/>
        <v>COM</v>
      </c>
      <c r="F4713" t="str">
        <f t="shared" si="2229"/>
        <v>FARMÁCIA INDIANA LJ 1 (10126)</v>
      </c>
      <c r="G4713" t="str">
        <f t="shared" si="2230"/>
        <v>Serv.Prest. 04/08/2025 a 10/08/2025 - RPS: 1119 - NFSe: 3353</v>
      </c>
      <c r="H4713" t="str">
        <f t="shared" si="2234"/>
        <v>20/08/2025</v>
      </c>
      <c r="I4713" t="str">
        <f t="shared" si="2231"/>
        <v>12/08/2025</v>
      </c>
      <c r="J4713" t="str">
        <f t="shared" si="2235"/>
        <v>20/08/2025</v>
      </c>
      <c r="M4713">
        <v>303</v>
      </c>
      <c r="N4713" t="str">
        <f t="shared" si="2236"/>
        <v>RECEITAS COM ENTREGAS</v>
      </c>
      <c r="P4713">
        <v>110.46</v>
      </c>
      <c r="Q4713" t="str">
        <f>"FARMÁCIA INDIANA LJ 178 (10077)"</f>
        <v>FARMÁCIA INDIANA LJ 178 (10077)</v>
      </c>
      <c r="R4713" t="str">
        <f t="shared" si="2237"/>
        <v>RECEITAS COM ENTREGAS (303)</v>
      </c>
      <c r="S4713">
        <v>2396</v>
      </c>
      <c r="T4713">
        <v>1867</v>
      </c>
      <c r="U4713" t="s">
        <v>19</v>
      </c>
    </row>
    <row r="4714" spans="1:21">
      <c r="A4714" t="str">
        <f t="shared" si="2232"/>
        <v>20/08/2025</v>
      </c>
      <c r="B4714" t="str">
        <f t="shared" si="2224"/>
        <v>ENTRADA</v>
      </c>
      <c r="C4714" t="str">
        <f t="shared" si="2233"/>
        <v>NFSE</v>
      </c>
      <c r="D4714" t="str">
        <f t="shared" si="2228"/>
        <v>3353</v>
      </c>
      <c r="E4714" t="str">
        <f t="shared" si="2213"/>
        <v>COM</v>
      </c>
      <c r="F4714" t="str">
        <f t="shared" si="2229"/>
        <v>FARMÁCIA INDIANA LJ 1 (10126)</v>
      </c>
      <c r="G4714" t="str">
        <f t="shared" si="2230"/>
        <v>Serv.Prest. 04/08/2025 a 10/08/2025 - RPS: 1119 - NFSe: 3353</v>
      </c>
      <c r="H4714" t="str">
        <f t="shared" si="2234"/>
        <v>20/08/2025</v>
      </c>
      <c r="I4714" t="str">
        <f t="shared" si="2231"/>
        <v>12/08/2025</v>
      </c>
      <c r="J4714" t="str">
        <f t="shared" si="2235"/>
        <v>20/08/2025</v>
      </c>
      <c r="M4714">
        <v>303</v>
      </c>
      <c r="N4714" t="str">
        <f t="shared" si="2236"/>
        <v>RECEITAS COM ENTREGAS</v>
      </c>
      <c r="P4714">
        <v>80.72</v>
      </c>
      <c r="Q4714" t="str">
        <f>"FARMÁCIA INDIANA LJ 182 (10079)"</f>
        <v>FARMÁCIA INDIANA LJ 182 (10079)</v>
      </c>
      <c r="R4714" t="str">
        <f t="shared" si="2237"/>
        <v>RECEITAS COM ENTREGAS (303)</v>
      </c>
      <c r="S4714">
        <v>2396</v>
      </c>
      <c r="T4714">
        <v>1867</v>
      </c>
      <c r="U4714" t="s">
        <v>19</v>
      </c>
    </row>
    <row r="4715" spans="1:21">
      <c r="A4715" t="str">
        <f t="shared" si="2232"/>
        <v>20/08/2025</v>
      </c>
      <c r="B4715" t="str">
        <f t="shared" si="2224"/>
        <v>ENTRADA</v>
      </c>
      <c r="C4715" t="str">
        <f t="shared" si="2233"/>
        <v>NFSE</v>
      </c>
      <c r="D4715" t="str">
        <f t="shared" si="2228"/>
        <v>3353</v>
      </c>
      <c r="E4715" t="str">
        <f t="shared" si="2213"/>
        <v>COM</v>
      </c>
      <c r="F4715" t="str">
        <f t="shared" si="2229"/>
        <v>FARMÁCIA INDIANA LJ 1 (10126)</v>
      </c>
      <c r="G4715" t="str">
        <f t="shared" si="2230"/>
        <v>Serv.Prest. 04/08/2025 a 10/08/2025 - RPS: 1119 - NFSe: 3353</v>
      </c>
      <c r="H4715" t="str">
        <f t="shared" si="2234"/>
        <v>20/08/2025</v>
      </c>
      <c r="I4715" t="str">
        <f t="shared" si="2231"/>
        <v>12/08/2025</v>
      </c>
      <c r="J4715" t="str">
        <f t="shared" si="2235"/>
        <v>20/08/2025</v>
      </c>
      <c r="M4715">
        <v>303</v>
      </c>
      <c r="N4715" t="str">
        <f t="shared" si="2236"/>
        <v>RECEITAS COM ENTREGAS</v>
      </c>
      <c r="P4715">
        <v>39.65</v>
      </c>
      <c r="Q4715" t="str">
        <f>"FARMÁCIA INDIANA LJ 184 (10080)"</f>
        <v>FARMÁCIA INDIANA LJ 184 (10080)</v>
      </c>
      <c r="R4715" t="str">
        <f t="shared" si="2237"/>
        <v>RECEITAS COM ENTREGAS (303)</v>
      </c>
      <c r="S4715">
        <v>2396</v>
      </c>
      <c r="T4715">
        <v>1867</v>
      </c>
      <c r="U4715" t="s">
        <v>19</v>
      </c>
    </row>
    <row r="4716" spans="1:21">
      <c r="A4716" t="str">
        <f t="shared" si="2232"/>
        <v>20/08/2025</v>
      </c>
      <c r="B4716" t="str">
        <f t="shared" si="2224"/>
        <v>ENTRADA</v>
      </c>
      <c r="C4716" t="str">
        <f t="shared" si="2233"/>
        <v>NFSE</v>
      </c>
      <c r="D4716" t="str">
        <f t="shared" si="2228"/>
        <v>3353</v>
      </c>
      <c r="E4716" t="str">
        <f t="shared" si="2213"/>
        <v>COM</v>
      </c>
      <c r="F4716" t="str">
        <f t="shared" si="2229"/>
        <v>FARMÁCIA INDIANA LJ 1 (10126)</v>
      </c>
      <c r="G4716" t="str">
        <f t="shared" si="2230"/>
        <v>Serv.Prest. 04/08/2025 a 10/08/2025 - RPS: 1119 - NFSe: 3353</v>
      </c>
      <c r="H4716" t="str">
        <f t="shared" si="2234"/>
        <v>20/08/2025</v>
      </c>
      <c r="I4716" t="str">
        <f t="shared" si="2231"/>
        <v>12/08/2025</v>
      </c>
      <c r="J4716" t="str">
        <f t="shared" si="2235"/>
        <v>20/08/2025</v>
      </c>
      <c r="M4716">
        <v>303</v>
      </c>
      <c r="N4716" t="str">
        <f t="shared" si="2236"/>
        <v>RECEITAS COM ENTREGAS</v>
      </c>
      <c r="P4716">
        <v>80.72</v>
      </c>
      <c r="Q4716" t="str">
        <f>"FARMÁCIA INDIANA LJ 186 (10081)"</f>
        <v>FARMÁCIA INDIANA LJ 186 (10081)</v>
      </c>
      <c r="R4716" t="str">
        <f t="shared" si="2237"/>
        <v>RECEITAS COM ENTREGAS (303)</v>
      </c>
      <c r="S4716">
        <v>2396</v>
      </c>
      <c r="T4716">
        <v>1867</v>
      </c>
      <c r="U4716" t="s">
        <v>19</v>
      </c>
    </row>
    <row r="4717" spans="1:21">
      <c r="A4717" t="str">
        <f t="shared" si="2232"/>
        <v>20/08/2025</v>
      </c>
      <c r="B4717" t="str">
        <f t="shared" si="2224"/>
        <v>ENTRADA</v>
      </c>
      <c r="C4717" t="str">
        <f t="shared" si="2233"/>
        <v>NFSE</v>
      </c>
      <c r="D4717" t="str">
        <f t="shared" si="2228"/>
        <v>3353</v>
      </c>
      <c r="E4717" t="str">
        <f t="shared" si="2213"/>
        <v>COM</v>
      </c>
      <c r="F4717" t="str">
        <f t="shared" si="2229"/>
        <v>FARMÁCIA INDIANA LJ 1 (10126)</v>
      </c>
      <c r="G4717" t="str">
        <f t="shared" si="2230"/>
        <v>Serv.Prest. 04/08/2025 a 10/08/2025 - RPS: 1119 - NFSe: 3353</v>
      </c>
      <c r="H4717" t="str">
        <f t="shared" si="2234"/>
        <v>20/08/2025</v>
      </c>
      <c r="I4717" t="str">
        <f t="shared" si="2231"/>
        <v>12/08/2025</v>
      </c>
      <c r="J4717" t="str">
        <f t="shared" si="2235"/>
        <v>20/08/2025</v>
      </c>
      <c r="M4717">
        <v>303</v>
      </c>
      <c r="N4717" t="str">
        <f t="shared" si="2236"/>
        <v>RECEITAS COM ENTREGAS</v>
      </c>
      <c r="P4717">
        <v>121.79</v>
      </c>
      <c r="Q4717" t="str">
        <f>"FARMÁCIA INDIANA LJ 192 (10082)"</f>
        <v>FARMÁCIA INDIANA LJ 192 (10082)</v>
      </c>
      <c r="R4717" t="str">
        <f t="shared" si="2237"/>
        <v>RECEITAS COM ENTREGAS (303)</v>
      </c>
      <c r="S4717">
        <v>2396</v>
      </c>
      <c r="T4717">
        <v>1867</v>
      </c>
      <c r="U4717" t="s">
        <v>19</v>
      </c>
    </row>
    <row r="4718" spans="1:21">
      <c r="A4718" t="str">
        <f t="shared" si="2232"/>
        <v>20/08/2025</v>
      </c>
      <c r="B4718" t="str">
        <f t="shared" si="2224"/>
        <v>ENTRADA</v>
      </c>
      <c r="C4718" t="str">
        <f t="shared" si="2233"/>
        <v>NFSE</v>
      </c>
      <c r="D4718" t="str">
        <f t="shared" si="2228"/>
        <v>3353</v>
      </c>
      <c r="E4718" t="str">
        <f t="shared" si="2213"/>
        <v>COM</v>
      </c>
      <c r="F4718" t="str">
        <f t="shared" si="2229"/>
        <v>FARMÁCIA INDIANA LJ 1 (10126)</v>
      </c>
      <c r="G4718" t="str">
        <f t="shared" si="2230"/>
        <v>Serv.Prest. 04/08/2025 a 10/08/2025 - RPS: 1119 - NFSe: 3353</v>
      </c>
      <c r="H4718" t="str">
        <f t="shared" si="2234"/>
        <v>20/08/2025</v>
      </c>
      <c r="I4718" t="str">
        <f t="shared" si="2231"/>
        <v>12/08/2025</v>
      </c>
      <c r="J4718" t="str">
        <f t="shared" si="2235"/>
        <v>20/08/2025</v>
      </c>
      <c r="M4718">
        <v>303</v>
      </c>
      <c r="N4718" t="str">
        <f t="shared" si="2236"/>
        <v>RECEITAS COM ENTREGAS</v>
      </c>
      <c r="P4718">
        <v>39.65</v>
      </c>
      <c r="Q4718" t="str">
        <f>"FARMÁCIA INDIANA LJ 195 (10083)"</f>
        <v>FARMÁCIA INDIANA LJ 195 (10083)</v>
      </c>
      <c r="R4718" t="str">
        <f t="shared" si="2237"/>
        <v>RECEITAS COM ENTREGAS (303)</v>
      </c>
      <c r="S4718">
        <v>2396</v>
      </c>
      <c r="T4718">
        <v>1867</v>
      </c>
      <c r="U4718" t="s">
        <v>19</v>
      </c>
    </row>
    <row r="4719" spans="1:21">
      <c r="A4719" t="str">
        <f t="shared" si="2232"/>
        <v>20/08/2025</v>
      </c>
      <c r="B4719" t="str">
        <f t="shared" si="2224"/>
        <v>ENTRADA</v>
      </c>
      <c r="C4719" t="str">
        <f t="shared" si="2233"/>
        <v>NFSE</v>
      </c>
      <c r="D4719" t="str">
        <f t="shared" si="2228"/>
        <v>3353</v>
      </c>
      <c r="E4719" t="str">
        <f t="shared" ref="E4719:E4782" si="2238">"COM"</f>
        <v>COM</v>
      </c>
      <c r="F4719" t="str">
        <f t="shared" si="2229"/>
        <v>FARMÁCIA INDIANA LJ 1 (10126)</v>
      </c>
      <c r="G4719" t="str">
        <f t="shared" si="2230"/>
        <v>Serv.Prest. 04/08/2025 a 10/08/2025 - RPS: 1119 - NFSe: 3353</v>
      </c>
      <c r="H4719" t="str">
        <f t="shared" si="2234"/>
        <v>20/08/2025</v>
      </c>
      <c r="I4719" t="str">
        <f t="shared" si="2231"/>
        <v>12/08/2025</v>
      </c>
      <c r="J4719" t="str">
        <f t="shared" si="2235"/>
        <v>20/08/2025</v>
      </c>
      <c r="M4719">
        <v>303</v>
      </c>
      <c r="N4719" t="str">
        <f t="shared" si="2236"/>
        <v>RECEITAS COM ENTREGAS</v>
      </c>
      <c r="P4719">
        <v>160.03</v>
      </c>
      <c r="Q4719" t="str">
        <f>"FARMÁCIA INDIANA LJ 202 (10085)"</f>
        <v>FARMÁCIA INDIANA LJ 202 (10085)</v>
      </c>
      <c r="R4719" t="str">
        <f t="shared" si="2237"/>
        <v>RECEITAS COM ENTREGAS (303)</v>
      </c>
      <c r="S4719">
        <v>2396</v>
      </c>
      <c r="T4719">
        <v>1867</v>
      </c>
      <c r="U4719" t="s">
        <v>19</v>
      </c>
    </row>
    <row r="4720" spans="1:21">
      <c r="A4720" t="str">
        <f t="shared" si="2232"/>
        <v>20/08/2025</v>
      </c>
      <c r="B4720" t="str">
        <f t="shared" si="2224"/>
        <v>ENTRADA</v>
      </c>
      <c r="C4720" t="str">
        <f t="shared" si="2233"/>
        <v>NFSE</v>
      </c>
      <c r="D4720" t="str">
        <f t="shared" si="2228"/>
        <v>3353</v>
      </c>
      <c r="E4720" t="str">
        <f t="shared" si="2238"/>
        <v>COM</v>
      </c>
      <c r="F4720" t="str">
        <f t="shared" si="2229"/>
        <v>FARMÁCIA INDIANA LJ 1 (10126)</v>
      </c>
      <c r="G4720" t="str">
        <f t="shared" si="2230"/>
        <v>Serv.Prest. 04/08/2025 a 10/08/2025 - RPS: 1119 - NFSe: 3353</v>
      </c>
      <c r="H4720" t="str">
        <f t="shared" si="2234"/>
        <v>20/08/2025</v>
      </c>
      <c r="I4720" t="str">
        <f t="shared" si="2231"/>
        <v>12/08/2025</v>
      </c>
      <c r="J4720" t="str">
        <f t="shared" si="2235"/>
        <v>20/08/2025</v>
      </c>
      <c r="M4720">
        <v>303</v>
      </c>
      <c r="N4720" t="str">
        <f t="shared" si="2236"/>
        <v>RECEITAS COM ENTREGAS</v>
      </c>
      <c r="P4720">
        <v>186.94</v>
      </c>
      <c r="Q4720" t="str">
        <f>"FARMÁCIA INDIANA LJ 204 (10087)"</f>
        <v>FARMÁCIA INDIANA LJ 204 (10087)</v>
      </c>
      <c r="R4720" t="str">
        <f t="shared" si="2237"/>
        <v>RECEITAS COM ENTREGAS (303)</v>
      </c>
      <c r="S4720">
        <v>2396</v>
      </c>
      <c r="T4720">
        <v>1867</v>
      </c>
      <c r="U4720" t="s">
        <v>19</v>
      </c>
    </row>
    <row r="4721" spans="1:21">
      <c r="A4721" t="str">
        <f t="shared" si="2232"/>
        <v>20/08/2025</v>
      </c>
      <c r="B4721" t="str">
        <f t="shared" si="2224"/>
        <v>ENTRADA</v>
      </c>
      <c r="C4721" t="str">
        <f t="shared" si="2233"/>
        <v>NFSE</v>
      </c>
      <c r="D4721" t="str">
        <f t="shared" si="2228"/>
        <v>3353</v>
      </c>
      <c r="E4721" t="str">
        <f t="shared" si="2238"/>
        <v>COM</v>
      </c>
      <c r="F4721" t="str">
        <f t="shared" si="2229"/>
        <v>FARMÁCIA INDIANA LJ 1 (10126)</v>
      </c>
      <c r="G4721" t="str">
        <f t="shared" si="2230"/>
        <v>Serv.Prest. 04/08/2025 a 10/08/2025 - RPS: 1119 - NFSe: 3353</v>
      </c>
      <c r="H4721" t="str">
        <f t="shared" si="2234"/>
        <v>20/08/2025</v>
      </c>
      <c r="I4721" t="str">
        <f t="shared" si="2231"/>
        <v>12/08/2025</v>
      </c>
      <c r="J4721" t="str">
        <f t="shared" si="2235"/>
        <v>20/08/2025</v>
      </c>
      <c r="M4721">
        <v>303</v>
      </c>
      <c r="N4721" t="str">
        <f t="shared" si="2236"/>
        <v>RECEITAS COM ENTREGAS</v>
      </c>
      <c r="P4721">
        <v>106.21</v>
      </c>
      <c r="Q4721" t="str">
        <f>"FARMÁCIA INDIANA LJ 207 (10088)"</f>
        <v>FARMÁCIA INDIANA LJ 207 (10088)</v>
      </c>
      <c r="R4721" t="str">
        <f t="shared" si="2237"/>
        <v>RECEITAS COM ENTREGAS (303)</v>
      </c>
      <c r="S4721">
        <v>2396</v>
      </c>
      <c r="T4721">
        <v>1867</v>
      </c>
      <c r="U4721" t="s">
        <v>19</v>
      </c>
    </row>
    <row r="4722" spans="1:21">
      <c r="A4722" t="str">
        <f t="shared" si="2232"/>
        <v>20/08/2025</v>
      </c>
      <c r="B4722" t="str">
        <f t="shared" si="2224"/>
        <v>ENTRADA</v>
      </c>
      <c r="C4722" t="str">
        <f t="shared" si="2233"/>
        <v>NFSE</v>
      </c>
      <c r="D4722" t="str">
        <f t="shared" si="2228"/>
        <v>3353</v>
      </c>
      <c r="E4722" t="str">
        <f t="shared" si="2238"/>
        <v>COM</v>
      </c>
      <c r="F4722" t="str">
        <f t="shared" si="2229"/>
        <v>FARMÁCIA INDIANA LJ 1 (10126)</v>
      </c>
      <c r="G4722" t="str">
        <f t="shared" si="2230"/>
        <v>Serv.Prest. 04/08/2025 a 10/08/2025 - RPS: 1119 - NFSe: 3353</v>
      </c>
      <c r="H4722" t="str">
        <f t="shared" si="2234"/>
        <v>20/08/2025</v>
      </c>
      <c r="I4722" t="str">
        <f t="shared" si="2231"/>
        <v>12/08/2025</v>
      </c>
      <c r="J4722" t="str">
        <f t="shared" si="2235"/>
        <v>20/08/2025</v>
      </c>
      <c r="M4722">
        <v>303</v>
      </c>
      <c r="N4722" t="str">
        <f t="shared" si="2236"/>
        <v>RECEITAS COM ENTREGAS</v>
      </c>
      <c r="P4722">
        <v>126.04</v>
      </c>
      <c r="Q4722" t="str">
        <f>"FARMÁCIA INDIANA LJ 209 (10089)"</f>
        <v>FARMÁCIA INDIANA LJ 209 (10089)</v>
      </c>
      <c r="R4722" t="str">
        <f t="shared" si="2237"/>
        <v>RECEITAS COM ENTREGAS (303)</v>
      </c>
      <c r="S4722">
        <v>2396</v>
      </c>
      <c r="T4722">
        <v>1867</v>
      </c>
      <c r="U4722" t="s">
        <v>19</v>
      </c>
    </row>
    <row r="4723" spans="1:21">
      <c r="A4723" t="str">
        <f t="shared" si="2232"/>
        <v>20/08/2025</v>
      </c>
      <c r="B4723" t="str">
        <f t="shared" si="2224"/>
        <v>ENTRADA</v>
      </c>
      <c r="C4723" t="str">
        <f t="shared" si="2233"/>
        <v>NFSE</v>
      </c>
      <c r="D4723" t="str">
        <f t="shared" si="2228"/>
        <v>3353</v>
      </c>
      <c r="E4723" t="str">
        <f t="shared" si="2238"/>
        <v>COM</v>
      </c>
      <c r="F4723" t="str">
        <f t="shared" si="2229"/>
        <v>FARMÁCIA INDIANA LJ 1 (10126)</v>
      </c>
      <c r="G4723" t="str">
        <f t="shared" si="2230"/>
        <v>Serv.Prest. 04/08/2025 a 10/08/2025 - RPS: 1119 - NFSe: 3353</v>
      </c>
      <c r="H4723" t="str">
        <f t="shared" si="2234"/>
        <v>20/08/2025</v>
      </c>
      <c r="I4723" t="str">
        <f t="shared" si="2231"/>
        <v>12/08/2025</v>
      </c>
      <c r="J4723" t="str">
        <f t="shared" si="2235"/>
        <v>20/08/2025</v>
      </c>
      <c r="M4723">
        <v>303</v>
      </c>
      <c r="N4723" t="str">
        <f t="shared" si="2236"/>
        <v>RECEITAS COM ENTREGAS</v>
      </c>
      <c r="P4723">
        <v>160.03</v>
      </c>
      <c r="Q4723" t="str">
        <f>"FARMÁCIA INDIANA LJ 219 (10091)"</f>
        <v>FARMÁCIA INDIANA LJ 219 (10091)</v>
      </c>
      <c r="R4723" t="str">
        <f t="shared" si="2237"/>
        <v>RECEITAS COM ENTREGAS (303)</v>
      </c>
      <c r="S4723">
        <v>2396</v>
      </c>
      <c r="T4723">
        <v>1867</v>
      </c>
      <c r="U4723" t="s">
        <v>19</v>
      </c>
    </row>
    <row r="4724" spans="1:21">
      <c r="A4724" t="str">
        <f t="shared" ref="A4724:A4754" si="2239">("20/08/2025")</f>
        <v>20/08/2025</v>
      </c>
      <c r="B4724" t="str">
        <f t="shared" si="2224"/>
        <v>ENTRADA</v>
      </c>
      <c r="C4724" t="str">
        <f t="shared" ref="C4724:C4742" si="2240">"NFSE"</f>
        <v>NFSE</v>
      </c>
      <c r="D4724" t="str">
        <f t="shared" si="2228"/>
        <v>3353</v>
      </c>
      <c r="E4724" t="str">
        <f t="shared" si="2238"/>
        <v>COM</v>
      </c>
      <c r="F4724" t="str">
        <f t="shared" si="2229"/>
        <v>FARMÁCIA INDIANA LJ 1 (10126)</v>
      </c>
      <c r="G4724" t="str">
        <f t="shared" si="2230"/>
        <v>Serv.Prest. 04/08/2025 a 10/08/2025 - RPS: 1119 - NFSe: 3353</v>
      </c>
      <c r="H4724" t="str">
        <f t="shared" ref="H4724:H4755" si="2241">("20/08/2025")</f>
        <v>20/08/2025</v>
      </c>
      <c r="I4724" t="str">
        <f t="shared" si="2231"/>
        <v>12/08/2025</v>
      </c>
      <c r="J4724" t="str">
        <f t="shared" ref="J4724:J4754" si="2242">("20/08/2025")</f>
        <v>20/08/2025</v>
      </c>
      <c r="M4724">
        <v>303</v>
      </c>
      <c r="N4724" t="str">
        <f t="shared" ref="N4724:N4742" si="2243">"RECEITAS COM ENTREGAS"</f>
        <v>RECEITAS COM ENTREGAS</v>
      </c>
      <c r="P4724">
        <v>141.62</v>
      </c>
      <c r="Q4724" t="str">
        <f>"FARMÁCIA INDIANA LJ 220 (10092)"</f>
        <v>FARMÁCIA INDIANA LJ 220 (10092)</v>
      </c>
      <c r="R4724" t="str">
        <f t="shared" ref="R4724:R4742" si="2244">"RECEITAS COM ENTREGAS (303)"</f>
        <v>RECEITAS COM ENTREGAS (303)</v>
      </c>
      <c r="S4724">
        <v>2396</v>
      </c>
      <c r="T4724">
        <v>1867</v>
      </c>
      <c r="U4724" t="s">
        <v>19</v>
      </c>
    </row>
    <row r="4725" spans="1:21">
      <c r="A4725" t="str">
        <f t="shared" si="2239"/>
        <v>20/08/2025</v>
      </c>
      <c r="B4725" t="str">
        <f t="shared" ref="B4725:B4742" si="2245">"ENTRADA"</f>
        <v>ENTRADA</v>
      </c>
      <c r="C4725" t="str">
        <f t="shared" si="2240"/>
        <v>NFSE</v>
      </c>
      <c r="D4725" t="str">
        <f t="shared" si="2228"/>
        <v>3353</v>
      </c>
      <c r="E4725" t="str">
        <f t="shared" si="2238"/>
        <v>COM</v>
      </c>
      <c r="F4725" t="str">
        <f t="shared" si="2229"/>
        <v>FARMÁCIA INDIANA LJ 1 (10126)</v>
      </c>
      <c r="G4725" t="str">
        <f t="shared" si="2230"/>
        <v>Serv.Prest. 04/08/2025 a 10/08/2025 - RPS: 1119 - NFSe: 3353</v>
      </c>
      <c r="H4725" t="str">
        <f t="shared" si="2241"/>
        <v>20/08/2025</v>
      </c>
      <c r="I4725" t="str">
        <f t="shared" si="2231"/>
        <v>12/08/2025</v>
      </c>
      <c r="J4725" t="str">
        <f t="shared" si="2242"/>
        <v>20/08/2025</v>
      </c>
      <c r="M4725">
        <v>303</v>
      </c>
      <c r="N4725" t="str">
        <f t="shared" si="2243"/>
        <v>RECEITAS COM ENTREGAS</v>
      </c>
      <c r="P4725">
        <v>182.69</v>
      </c>
      <c r="Q4725" t="str">
        <f>"FARMÁCIA INDIANA LJ 185 (10141)"</f>
        <v>FARMÁCIA INDIANA LJ 185 (10141)</v>
      </c>
      <c r="R4725" t="str">
        <f t="shared" si="2244"/>
        <v>RECEITAS COM ENTREGAS (303)</v>
      </c>
      <c r="S4725">
        <v>2396</v>
      </c>
      <c r="T4725">
        <v>1867</v>
      </c>
      <c r="U4725" t="s">
        <v>19</v>
      </c>
    </row>
    <row r="4726" spans="1:21">
      <c r="A4726" t="str">
        <f t="shared" si="2239"/>
        <v>20/08/2025</v>
      </c>
      <c r="B4726" t="str">
        <f t="shared" si="2245"/>
        <v>ENTRADA</v>
      </c>
      <c r="C4726" t="str">
        <f t="shared" si="2240"/>
        <v>NFSE</v>
      </c>
      <c r="D4726" t="str">
        <f t="shared" si="2228"/>
        <v>3353</v>
      </c>
      <c r="E4726" t="str">
        <f t="shared" si="2238"/>
        <v>COM</v>
      </c>
      <c r="F4726" t="str">
        <f t="shared" si="2229"/>
        <v>FARMÁCIA INDIANA LJ 1 (10126)</v>
      </c>
      <c r="G4726" t="str">
        <f t="shared" si="2230"/>
        <v>Serv.Prest. 04/08/2025 a 10/08/2025 - RPS: 1119 - NFSe: 3353</v>
      </c>
      <c r="H4726" t="str">
        <f t="shared" si="2241"/>
        <v>20/08/2025</v>
      </c>
      <c r="I4726" t="str">
        <f t="shared" si="2231"/>
        <v>12/08/2025</v>
      </c>
      <c r="J4726" t="str">
        <f t="shared" si="2242"/>
        <v>20/08/2025</v>
      </c>
      <c r="M4726">
        <v>303</v>
      </c>
      <c r="N4726" t="str">
        <f t="shared" si="2243"/>
        <v>RECEITAS COM ENTREGAS</v>
      </c>
      <c r="P4726">
        <v>106.21</v>
      </c>
      <c r="Q4726" t="str">
        <f>"FARMÁCIA INDIANA LJ 205 (10150)"</f>
        <v>FARMÁCIA INDIANA LJ 205 (10150)</v>
      </c>
      <c r="R4726" t="str">
        <f t="shared" si="2244"/>
        <v>RECEITAS COM ENTREGAS (303)</v>
      </c>
      <c r="S4726">
        <v>2396</v>
      </c>
      <c r="T4726">
        <v>1867</v>
      </c>
      <c r="U4726" t="s">
        <v>19</v>
      </c>
    </row>
    <row r="4727" spans="1:21">
      <c r="A4727" t="str">
        <f t="shared" si="2239"/>
        <v>20/08/2025</v>
      </c>
      <c r="B4727" t="str">
        <f t="shared" si="2245"/>
        <v>ENTRADA</v>
      </c>
      <c r="C4727" t="str">
        <f t="shared" si="2240"/>
        <v>NFSE</v>
      </c>
      <c r="D4727" t="str">
        <f t="shared" si="2228"/>
        <v>3353</v>
      </c>
      <c r="E4727" t="str">
        <f t="shared" si="2238"/>
        <v>COM</v>
      </c>
      <c r="F4727" t="str">
        <f t="shared" si="2229"/>
        <v>FARMÁCIA INDIANA LJ 1 (10126)</v>
      </c>
      <c r="G4727" t="str">
        <f t="shared" si="2230"/>
        <v>Serv.Prest. 04/08/2025 a 10/08/2025 - RPS: 1119 - NFSe: 3353</v>
      </c>
      <c r="H4727" t="str">
        <f t="shared" si="2241"/>
        <v>20/08/2025</v>
      </c>
      <c r="I4727" t="str">
        <f t="shared" si="2231"/>
        <v>12/08/2025</v>
      </c>
      <c r="J4727" t="str">
        <f t="shared" si="2242"/>
        <v>20/08/2025</v>
      </c>
      <c r="M4727">
        <v>303</v>
      </c>
      <c r="N4727" t="str">
        <f t="shared" si="2243"/>
        <v>RECEITAS COM ENTREGAS</v>
      </c>
      <c r="P4727">
        <v>667.03</v>
      </c>
      <c r="Q4727" t="str">
        <f>"FARMÁCIA INDIANA LJ 172 (10161)"</f>
        <v>FARMÁCIA INDIANA LJ 172 (10161)</v>
      </c>
      <c r="R4727" t="str">
        <f t="shared" si="2244"/>
        <v>RECEITAS COM ENTREGAS (303)</v>
      </c>
      <c r="S4727">
        <v>2396</v>
      </c>
      <c r="T4727">
        <v>1867</v>
      </c>
      <c r="U4727" t="s">
        <v>19</v>
      </c>
    </row>
    <row r="4728" spans="1:21">
      <c r="A4728" t="str">
        <f t="shared" si="2239"/>
        <v>20/08/2025</v>
      </c>
      <c r="B4728" t="str">
        <f t="shared" si="2245"/>
        <v>ENTRADA</v>
      </c>
      <c r="C4728" t="str">
        <f t="shared" si="2240"/>
        <v>NFSE</v>
      </c>
      <c r="D4728" t="str">
        <f t="shared" si="2228"/>
        <v>3353</v>
      </c>
      <c r="E4728" t="str">
        <f t="shared" si="2238"/>
        <v>COM</v>
      </c>
      <c r="F4728" t="str">
        <f t="shared" si="2229"/>
        <v>FARMÁCIA INDIANA LJ 1 (10126)</v>
      </c>
      <c r="G4728" t="str">
        <f t="shared" si="2230"/>
        <v>Serv.Prest. 04/08/2025 a 10/08/2025 - RPS: 1119 - NFSe: 3353</v>
      </c>
      <c r="H4728" t="str">
        <f t="shared" si="2241"/>
        <v>20/08/2025</v>
      </c>
      <c r="I4728" t="str">
        <f t="shared" si="2231"/>
        <v>12/08/2025</v>
      </c>
      <c r="J4728" t="str">
        <f t="shared" si="2242"/>
        <v>20/08/2025</v>
      </c>
      <c r="M4728">
        <v>303</v>
      </c>
      <c r="N4728" t="str">
        <f t="shared" si="2243"/>
        <v>RECEITAS COM ENTREGAS</v>
      </c>
      <c r="P4728">
        <v>191.19</v>
      </c>
      <c r="Q4728" t="str">
        <f>"FARMÁCIA INDIANA LJ 266 (10186)"</f>
        <v>FARMÁCIA INDIANA LJ 266 (10186)</v>
      </c>
      <c r="R4728" t="str">
        <f t="shared" si="2244"/>
        <v>RECEITAS COM ENTREGAS (303)</v>
      </c>
      <c r="S4728">
        <v>2396</v>
      </c>
      <c r="T4728">
        <v>1867</v>
      </c>
      <c r="U4728" t="s">
        <v>19</v>
      </c>
    </row>
    <row r="4729" spans="1:21">
      <c r="A4729" t="str">
        <f t="shared" si="2239"/>
        <v>20/08/2025</v>
      </c>
      <c r="B4729" t="str">
        <f t="shared" si="2245"/>
        <v>ENTRADA</v>
      </c>
      <c r="C4729" t="str">
        <f t="shared" si="2240"/>
        <v>NFSE</v>
      </c>
      <c r="D4729" t="str">
        <f>"3357"</f>
        <v>3357</v>
      </c>
      <c r="E4729" t="str">
        <f t="shared" si="2238"/>
        <v>COM</v>
      </c>
      <c r="F4729" t="str">
        <f>"BRASIL FARMA (10173)"</f>
        <v>BRASIL FARMA (10173)</v>
      </c>
      <c r="G4729" t="str">
        <f>"Serv.Prest. 11/08/2025 a 17/08/2025 - RPS: 1123 - NFSe: 3357"</f>
        <v>Serv.Prest. 11/08/2025 a 17/08/2025 - RPS: 1123 - NFSe: 3357</v>
      </c>
      <c r="H4729" t="str">
        <f t="shared" si="2241"/>
        <v>20/08/2025</v>
      </c>
      <c r="I4729" t="str">
        <f t="shared" ref="I4729:I4742" si="2246">("18/08/2025")</f>
        <v>18/08/2025</v>
      </c>
      <c r="J4729" t="str">
        <f t="shared" si="2242"/>
        <v>20/08/2025</v>
      </c>
      <c r="K4729">
        <v>320.95999999999998</v>
      </c>
      <c r="L4729">
        <v>320.95999999999998</v>
      </c>
      <c r="M4729">
        <v>303</v>
      </c>
      <c r="N4729" t="str">
        <f t="shared" si="2243"/>
        <v>RECEITAS COM ENTREGAS</v>
      </c>
      <c r="O4729">
        <v>320.95999999999998</v>
      </c>
      <c r="R4729" t="str">
        <f t="shared" si="2244"/>
        <v>RECEITAS COM ENTREGAS (303)</v>
      </c>
      <c r="S4729">
        <v>2397</v>
      </c>
      <c r="T4729">
        <v>1895</v>
      </c>
      <c r="U4729" t="s">
        <v>19</v>
      </c>
    </row>
    <row r="4730" spans="1:21">
      <c r="A4730" t="str">
        <f t="shared" si="2239"/>
        <v>20/08/2025</v>
      </c>
      <c r="B4730" t="str">
        <f t="shared" si="2245"/>
        <v>ENTRADA</v>
      </c>
      <c r="C4730" t="str">
        <f t="shared" si="2240"/>
        <v>NFSE</v>
      </c>
      <c r="D4730" t="str">
        <f>"3357"</f>
        <v>3357</v>
      </c>
      <c r="E4730" t="str">
        <f t="shared" si="2238"/>
        <v>COM</v>
      </c>
      <c r="F4730" t="str">
        <f>"BRASIL FARMA (10173)"</f>
        <v>BRASIL FARMA (10173)</v>
      </c>
      <c r="G4730" t="str">
        <f>"Serv.Prest. 11/08/2025 a 17/08/2025 - RPS: 1123 - NFSe: 3357"</f>
        <v>Serv.Prest. 11/08/2025 a 17/08/2025 - RPS: 1123 - NFSe: 3357</v>
      </c>
      <c r="H4730" t="str">
        <f t="shared" si="2241"/>
        <v>20/08/2025</v>
      </c>
      <c r="I4730" t="str">
        <f t="shared" si="2246"/>
        <v>18/08/2025</v>
      </c>
      <c r="J4730" t="str">
        <f t="shared" si="2242"/>
        <v>20/08/2025</v>
      </c>
      <c r="M4730">
        <v>303</v>
      </c>
      <c r="N4730" t="str">
        <f t="shared" si="2243"/>
        <v>RECEITAS COM ENTREGAS</v>
      </c>
      <c r="P4730">
        <v>320.95999999999998</v>
      </c>
      <c r="Q4730" t="str">
        <f>"BRASIL FARMA (10173)"</f>
        <v>BRASIL FARMA (10173)</v>
      </c>
      <c r="R4730" t="str">
        <f t="shared" si="2244"/>
        <v>RECEITAS COM ENTREGAS (303)</v>
      </c>
      <c r="S4730">
        <v>2397</v>
      </c>
      <c r="T4730">
        <v>1895</v>
      </c>
      <c r="U4730" t="s">
        <v>19</v>
      </c>
    </row>
    <row r="4731" spans="1:21">
      <c r="A4731" t="str">
        <f t="shared" si="2239"/>
        <v>20/08/2025</v>
      </c>
      <c r="B4731" t="str">
        <f t="shared" si="2245"/>
        <v>ENTRADA</v>
      </c>
      <c r="C4731" t="str">
        <f t="shared" si="2240"/>
        <v>NFSE</v>
      </c>
      <c r="D4731" t="str">
        <f>"3360"</f>
        <v>3360</v>
      </c>
      <c r="E4731" t="str">
        <f t="shared" si="2238"/>
        <v>COM</v>
      </c>
      <c r="F4731" t="str">
        <f>"DROGARIA AGAPEAMA (10167)"</f>
        <v>DROGARIA AGAPEAMA (10167)</v>
      </c>
      <c r="G4731" t="str">
        <f>"Serv.Prest. 11/08/2025 a 17/08/2025 - RPS: 1126 - NFSe: 3360"</f>
        <v>Serv.Prest. 11/08/2025 a 17/08/2025 - RPS: 1126 - NFSe: 3360</v>
      </c>
      <c r="H4731" t="str">
        <f t="shared" si="2241"/>
        <v>20/08/2025</v>
      </c>
      <c r="I4731" t="str">
        <f t="shared" si="2246"/>
        <v>18/08/2025</v>
      </c>
      <c r="J4731" t="str">
        <f t="shared" si="2242"/>
        <v>20/08/2025</v>
      </c>
      <c r="K4731">
        <v>451.2</v>
      </c>
      <c r="L4731">
        <v>451.2</v>
      </c>
      <c r="M4731">
        <v>303</v>
      </c>
      <c r="N4731" t="str">
        <f t="shared" si="2243"/>
        <v>RECEITAS COM ENTREGAS</v>
      </c>
      <c r="O4731">
        <v>451.2</v>
      </c>
      <c r="R4731" t="str">
        <f t="shared" si="2244"/>
        <v>RECEITAS COM ENTREGAS (303)</v>
      </c>
      <c r="S4731">
        <v>2398</v>
      </c>
      <c r="T4731">
        <v>1899</v>
      </c>
      <c r="U4731" t="s">
        <v>19</v>
      </c>
    </row>
    <row r="4732" spans="1:21">
      <c r="A4732" t="str">
        <f t="shared" si="2239"/>
        <v>20/08/2025</v>
      </c>
      <c r="B4732" t="str">
        <f t="shared" si="2245"/>
        <v>ENTRADA</v>
      </c>
      <c r="C4732" t="str">
        <f t="shared" si="2240"/>
        <v>NFSE</v>
      </c>
      <c r="D4732" t="str">
        <f>"3360"</f>
        <v>3360</v>
      </c>
      <c r="E4732" t="str">
        <f t="shared" si="2238"/>
        <v>COM</v>
      </c>
      <c r="F4732" t="str">
        <f>"DROGARIA AGAPEAMA (10167)"</f>
        <v>DROGARIA AGAPEAMA (10167)</v>
      </c>
      <c r="G4732" t="str">
        <f>"Serv.Prest. 11/08/2025 a 17/08/2025 - RPS: 1126 - NFSe: 3360"</f>
        <v>Serv.Prest. 11/08/2025 a 17/08/2025 - RPS: 1126 - NFSe: 3360</v>
      </c>
      <c r="H4732" t="str">
        <f t="shared" si="2241"/>
        <v>20/08/2025</v>
      </c>
      <c r="I4732" t="str">
        <f t="shared" si="2246"/>
        <v>18/08/2025</v>
      </c>
      <c r="J4732" t="str">
        <f t="shared" si="2242"/>
        <v>20/08/2025</v>
      </c>
      <c r="M4732">
        <v>303</v>
      </c>
      <c r="N4732" t="str">
        <f t="shared" si="2243"/>
        <v>RECEITAS COM ENTREGAS</v>
      </c>
      <c r="P4732">
        <v>451.2</v>
      </c>
      <c r="Q4732" t="str">
        <f>"DROGARIA AGAPEAMA (10167)"</f>
        <v>DROGARIA AGAPEAMA (10167)</v>
      </c>
      <c r="R4732" t="str">
        <f t="shared" si="2244"/>
        <v>RECEITAS COM ENTREGAS (303)</v>
      </c>
      <c r="S4732">
        <v>2398</v>
      </c>
      <c r="T4732">
        <v>1899</v>
      </c>
      <c r="U4732" t="s">
        <v>19</v>
      </c>
    </row>
    <row r="4733" spans="1:21">
      <c r="A4733" t="str">
        <f t="shared" si="2239"/>
        <v>20/08/2025</v>
      </c>
      <c r="B4733" t="str">
        <f t="shared" si="2245"/>
        <v>ENTRADA</v>
      </c>
      <c r="C4733" t="str">
        <f t="shared" si="2240"/>
        <v>NFSE</v>
      </c>
      <c r="D4733" t="str">
        <f>"3361"</f>
        <v>3361</v>
      </c>
      <c r="E4733" t="str">
        <f t="shared" si="2238"/>
        <v>COM</v>
      </c>
      <c r="F4733" t="str">
        <f>"ENTREFARMA (10164)"</f>
        <v>ENTREFARMA (10164)</v>
      </c>
      <c r="G4733" t="str">
        <f>"Serv.Prest. 11/08/2025 a 17/08/2025 - RPS: 1129 - NFSe: 3361"</f>
        <v>Serv.Prest. 11/08/2025 a 17/08/2025 - RPS: 1129 - NFSe: 3361</v>
      </c>
      <c r="H4733" t="str">
        <f t="shared" si="2241"/>
        <v>20/08/2025</v>
      </c>
      <c r="I4733" t="str">
        <f t="shared" si="2246"/>
        <v>18/08/2025</v>
      </c>
      <c r="J4733" t="str">
        <f t="shared" si="2242"/>
        <v>20/08/2025</v>
      </c>
      <c r="K4733">
        <v>1107.04</v>
      </c>
      <c r="L4733">
        <v>1107.04</v>
      </c>
      <c r="M4733">
        <v>303</v>
      </c>
      <c r="N4733" t="str">
        <f t="shared" si="2243"/>
        <v>RECEITAS COM ENTREGAS</v>
      </c>
      <c r="O4733">
        <v>1107.04</v>
      </c>
      <c r="R4733" t="str">
        <f t="shared" si="2244"/>
        <v>RECEITAS COM ENTREGAS (303)</v>
      </c>
      <c r="S4733">
        <v>2399</v>
      </c>
      <c r="T4733">
        <v>1902</v>
      </c>
      <c r="U4733" t="s">
        <v>19</v>
      </c>
    </row>
    <row r="4734" spans="1:21">
      <c r="A4734" t="str">
        <f t="shared" si="2239"/>
        <v>20/08/2025</v>
      </c>
      <c r="B4734" t="str">
        <f t="shared" si="2245"/>
        <v>ENTRADA</v>
      </c>
      <c r="C4734" t="str">
        <f t="shared" si="2240"/>
        <v>NFSE</v>
      </c>
      <c r="D4734" t="str">
        <f>"3361"</f>
        <v>3361</v>
      </c>
      <c r="E4734" t="str">
        <f t="shared" si="2238"/>
        <v>COM</v>
      </c>
      <c r="F4734" t="str">
        <f>"ENTREFARMA (10164)"</f>
        <v>ENTREFARMA (10164)</v>
      </c>
      <c r="G4734" t="str">
        <f>"Serv.Prest. 11/08/2025 a 17/08/2025 - RPS: 1129 - NFSe: 3361"</f>
        <v>Serv.Prest. 11/08/2025 a 17/08/2025 - RPS: 1129 - NFSe: 3361</v>
      </c>
      <c r="H4734" t="str">
        <f t="shared" si="2241"/>
        <v>20/08/2025</v>
      </c>
      <c r="I4734" t="str">
        <f t="shared" si="2246"/>
        <v>18/08/2025</v>
      </c>
      <c r="J4734" t="str">
        <f t="shared" si="2242"/>
        <v>20/08/2025</v>
      </c>
      <c r="M4734">
        <v>303</v>
      </c>
      <c r="N4734" t="str">
        <f t="shared" si="2243"/>
        <v>RECEITAS COM ENTREGAS</v>
      </c>
      <c r="P4734">
        <v>1107.04</v>
      </c>
      <c r="Q4734" t="str">
        <f>"ENTREFARMA (10164)"</f>
        <v>ENTREFARMA (10164)</v>
      </c>
      <c r="R4734" t="str">
        <f t="shared" si="2244"/>
        <v>RECEITAS COM ENTREGAS (303)</v>
      </c>
      <c r="S4734">
        <v>2399</v>
      </c>
      <c r="T4734">
        <v>1902</v>
      </c>
      <c r="U4734" t="s">
        <v>19</v>
      </c>
    </row>
    <row r="4735" spans="1:21">
      <c r="A4735" t="str">
        <f t="shared" si="2239"/>
        <v>20/08/2025</v>
      </c>
      <c r="B4735" t="str">
        <f t="shared" si="2245"/>
        <v>ENTRADA</v>
      </c>
      <c r="C4735" t="str">
        <f t="shared" si="2240"/>
        <v>NFSE</v>
      </c>
      <c r="D4735" t="str">
        <f>"3362"</f>
        <v>3362</v>
      </c>
      <c r="E4735" t="str">
        <f t="shared" si="2238"/>
        <v>COM</v>
      </c>
      <c r="F4735" t="str">
        <f>"ROSA MARIA LTDA (10165)"</f>
        <v>ROSA MARIA LTDA (10165)</v>
      </c>
      <c r="G4735" t="str">
        <f>"Serv.Prest. 11/08/2025 a 17/08/2025 - RPS: 1130 - NFSe: 3362"</f>
        <v>Serv.Prest. 11/08/2025 a 17/08/2025 - RPS: 1130 - NFSe: 3362</v>
      </c>
      <c r="H4735" t="str">
        <f t="shared" si="2241"/>
        <v>20/08/2025</v>
      </c>
      <c r="I4735" t="str">
        <f t="shared" si="2246"/>
        <v>18/08/2025</v>
      </c>
      <c r="J4735" t="str">
        <f t="shared" si="2242"/>
        <v>20/08/2025</v>
      </c>
      <c r="K4735">
        <v>199.92</v>
      </c>
      <c r="L4735">
        <v>199.92</v>
      </c>
      <c r="M4735">
        <v>303</v>
      </c>
      <c r="N4735" t="str">
        <f t="shared" si="2243"/>
        <v>RECEITAS COM ENTREGAS</v>
      </c>
      <c r="O4735">
        <v>199.92</v>
      </c>
      <c r="R4735" t="str">
        <f t="shared" si="2244"/>
        <v>RECEITAS COM ENTREGAS (303)</v>
      </c>
      <c r="S4735">
        <v>2400</v>
      </c>
      <c r="T4735">
        <v>1903</v>
      </c>
      <c r="U4735" t="s">
        <v>19</v>
      </c>
    </row>
    <row r="4736" spans="1:21">
      <c r="A4736" t="str">
        <f t="shared" si="2239"/>
        <v>20/08/2025</v>
      </c>
      <c r="B4736" t="str">
        <f t="shared" si="2245"/>
        <v>ENTRADA</v>
      </c>
      <c r="C4736" t="str">
        <f t="shared" si="2240"/>
        <v>NFSE</v>
      </c>
      <c r="D4736" t="str">
        <f>"3362"</f>
        <v>3362</v>
      </c>
      <c r="E4736" t="str">
        <f t="shared" si="2238"/>
        <v>COM</v>
      </c>
      <c r="F4736" t="str">
        <f>"ROSA MARIA LTDA (10165)"</f>
        <v>ROSA MARIA LTDA (10165)</v>
      </c>
      <c r="G4736" t="str">
        <f>"Serv.Prest. 11/08/2025 a 17/08/2025 - RPS: 1130 - NFSe: 3362"</f>
        <v>Serv.Prest. 11/08/2025 a 17/08/2025 - RPS: 1130 - NFSe: 3362</v>
      </c>
      <c r="H4736" t="str">
        <f t="shared" si="2241"/>
        <v>20/08/2025</v>
      </c>
      <c r="I4736" t="str">
        <f t="shared" si="2246"/>
        <v>18/08/2025</v>
      </c>
      <c r="J4736" t="str">
        <f t="shared" si="2242"/>
        <v>20/08/2025</v>
      </c>
      <c r="M4736">
        <v>303</v>
      </c>
      <c r="N4736" t="str">
        <f t="shared" si="2243"/>
        <v>RECEITAS COM ENTREGAS</v>
      </c>
      <c r="P4736">
        <v>199.92</v>
      </c>
      <c r="Q4736" t="str">
        <f>"ROSA MARIA LTDA (10170)"</f>
        <v>ROSA MARIA LTDA (10170)</v>
      </c>
      <c r="R4736" t="str">
        <f t="shared" si="2244"/>
        <v>RECEITAS COM ENTREGAS (303)</v>
      </c>
      <c r="S4736">
        <v>2400</v>
      </c>
      <c r="T4736">
        <v>1903</v>
      </c>
      <c r="U4736" t="s">
        <v>19</v>
      </c>
    </row>
    <row r="4737" spans="1:21">
      <c r="A4737" t="str">
        <f t="shared" si="2239"/>
        <v>20/08/2025</v>
      </c>
      <c r="B4737" t="str">
        <f t="shared" si="2245"/>
        <v>ENTRADA</v>
      </c>
      <c r="C4737" t="str">
        <f t="shared" si="2240"/>
        <v>NFSE</v>
      </c>
      <c r="D4737" t="str">
        <f>"3365"</f>
        <v>3365</v>
      </c>
      <c r="E4737" t="str">
        <f t="shared" si="2238"/>
        <v>COM</v>
      </c>
      <c r="F4737" t="str">
        <f>"DROGARIA TOTAL JUNDIAI (10177)"</f>
        <v>DROGARIA TOTAL JUNDIAI (10177)</v>
      </c>
      <c r="G4737" t="str">
        <f>"Serv.Prest. 11/08/2025 a 17/08/2025 - RPS: 1134 - NFSe: 3365"</f>
        <v>Serv.Prest. 11/08/2025 a 17/08/2025 - RPS: 1134 - NFSe: 3365</v>
      </c>
      <c r="H4737" t="str">
        <f t="shared" si="2241"/>
        <v>20/08/2025</v>
      </c>
      <c r="I4737" t="str">
        <f t="shared" si="2246"/>
        <v>18/08/2025</v>
      </c>
      <c r="J4737" t="str">
        <f t="shared" si="2242"/>
        <v>20/08/2025</v>
      </c>
      <c r="K4737">
        <v>100.27</v>
      </c>
      <c r="L4737">
        <v>100.27</v>
      </c>
      <c r="M4737">
        <v>303</v>
      </c>
      <c r="N4737" t="str">
        <f t="shared" si="2243"/>
        <v>RECEITAS COM ENTREGAS</v>
      </c>
      <c r="O4737">
        <v>100.27</v>
      </c>
      <c r="R4737" t="str">
        <f t="shared" si="2244"/>
        <v>RECEITAS COM ENTREGAS (303)</v>
      </c>
      <c r="S4737">
        <v>2401</v>
      </c>
      <c r="T4737">
        <v>1907</v>
      </c>
      <c r="U4737" t="s">
        <v>19</v>
      </c>
    </row>
    <row r="4738" spans="1:21">
      <c r="A4738" t="str">
        <f t="shared" si="2239"/>
        <v>20/08/2025</v>
      </c>
      <c r="B4738" t="str">
        <f t="shared" si="2245"/>
        <v>ENTRADA</v>
      </c>
      <c r="C4738" t="str">
        <f t="shared" si="2240"/>
        <v>NFSE</v>
      </c>
      <c r="D4738" t="str">
        <f>"3365"</f>
        <v>3365</v>
      </c>
      <c r="E4738" t="str">
        <f t="shared" si="2238"/>
        <v>COM</v>
      </c>
      <c r="F4738" t="str">
        <f>"DROGARIA TOTAL JUNDIAI (10177)"</f>
        <v>DROGARIA TOTAL JUNDIAI (10177)</v>
      </c>
      <c r="G4738" t="str">
        <f>"Serv.Prest. 11/08/2025 a 17/08/2025 - RPS: 1134 - NFSe: 3365"</f>
        <v>Serv.Prest. 11/08/2025 a 17/08/2025 - RPS: 1134 - NFSe: 3365</v>
      </c>
      <c r="H4738" t="str">
        <f t="shared" si="2241"/>
        <v>20/08/2025</v>
      </c>
      <c r="I4738" t="str">
        <f t="shared" si="2246"/>
        <v>18/08/2025</v>
      </c>
      <c r="J4738" t="str">
        <f t="shared" si="2242"/>
        <v>20/08/2025</v>
      </c>
      <c r="M4738">
        <v>303</v>
      </c>
      <c r="N4738" t="str">
        <f t="shared" si="2243"/>
        <v>RECEITAS COM ENTREGAS</v>
      </c>
      <c r="P4738">
        <v>100.27</v>
      </c>
      <c r="Q4738" t="str">
        <f>"DROGARIA TOTAL JUNDIAI (10177)"</f>
        <v>DROGARIA TOTAL JUNDIAI (10177)</v>
      </c>
      <c r="R4738" t="str">
        <f t="shared" si="2244"/>
        <v>RECEITAS COM ENTREGAS (303)</v>
      </c>
      <c r="S4738">
        <v>2401</v>
      </c>
      <c r="T4738">
        <v>1907</v>
      </c>
      <c r="U4738" t="s">
        <v>19</v>
      </c>
    </row>
    <row r="4739" spans="1:21">
      <c r="A4739" t="str">
        <f t="shared" si="2239"/>
        <v>20/08/2025</v>
      </c>
      <c r="B4739" t="str">
        <f t="shared" si="2245"/>
        <v>ENTRADA</v>
      </c>
      <c r="C4739" t="str">
        <f t="shared" si="2240"/>
        <v>NFSE</v>
      </c>
      <c r="D4739" t="str">
        <f>"3366"</f>
        <v>3366</v>
      </c>
      <c r="E4739" t="str">
        <f t="shared" si="2238"/>
        <v>COM</v>
      </c>
      <c r="F4739" t="str">
        <f>"DROGARIA MORENO LTDA (10171)"</f>
        <v>DROGARIA MORENO LTDA (10171)</v>
      </c>
      <c r="G4739" t="str">
        <f>"Serv.Prest. 11/08/2025 a 17/08/2025 - RPS: 1135 - NFSe: 3366"</f>
        <v>Serv.Prest. 11/08/2025 a 17/08/2025 - RPS: 1135 - NFSe: 3366</v>
      </c>
      <c r="H4739" t="str">
        <f t="shared" si="2241"/>
        <v>20/08/2025</v>
      </c>
      <c r="I4739" t="str">
        <f t="shared" si="2246"/>
        <v>18/08/2025</v>
      </c>
      <c r="J4739" t="str">
        <f t="shared" si="2242"/>
        <v>20/08/2025</v>
      </c>
      <c r="K4739">
        <v>407.7</v>
      </c>
      <c r="L4739">
        <v>407.7</v>
      </c>
      <c r="M4739">
        <v>303</v>
      </c>
      <c r="N4739" t="str">
        <f t="shared" si="2243"/>
        <v>RECEITAS COM ENTREGAS</v>
      </c>
      <c r="O4739">
        <v>407.7</v>
      </c>
      <c r="R4739" t="str">
        <f t="shared" si="2244"/>
        <v>RECEITAS COM ENTREGAS (303)</v>
      </c>
      <c r="S4739">
        <v>2402</v>
      </c>
      <c r="T4739">
        <v>1908</v>
      </c>
      <c r="U4739" t="s">
        <v>19</v>
      </c>
    </row>
    <row r="4740" spans="1:21">
      <c r="A4740" t="str">
        <f t="shared" si="2239"/>
        <v>20/08/2025</v>
      </c>
      <c r="B4740" t="str">
        <f t="shared" si="2245"/>
        <v>ENTRADA</v>
      </c>
      <c r="C4740" t="str">
        <f t="shared" si="2240"/>
        <v>NFSE</v>
      </c>
      <c r="D4740" t="str">
        <f>"3366"</f>
        <v>3366</v>
      </c>
      <c r="E4740" t="str">
        <f t="shared" si="2238"/>
        <v>COM</v>
      </c>
      <c r="F4740" t="str">
        <f>"DROGARIA MORENO LTDA (10171)"</f>
        <v>DROGARIA MORENO LTDA (10171)</v>
      </c>
      <c r="G4740" t="str">
        <f>"Serv.Prest. 11/08/2025 a 17/08/2025 - RPS: 1135 - NFSe: 3366"</f>
        <v>Serv.Prest. 11/08/2025 a 17/08/2025 - RPS: 1135 - NFSe: 3366</v>
      </c>
      <c r="H4740" t="str">
        <f t="shared" si="2241"/>
        <v>20/08/2025</v>
      </c>
      <c r="I4740" t="str">
        <f t="shared" si="2246"/>
        <v>18/08/2025</v>
      </c>
      <c r="J4740" t="str">
        <f t="shared" si="2242"/>
        <v>20/08/2025</v>
      </c>
      <c r="M4740">
        <v>303</v>
      </c>
      <c r="N4740" t="str">
        <f t="shared" si="2243"/>
        <v>RECEITAS COM ENTREGAS</v>
      </c>
      <c r="P4740">
        <v>407.7</v>
      </c>
      <c r="Q4740" t="str">
        <f>"DROGARIA MORENO LTDA (10171)"</f>
        <v>DROGARIA MORENO LTDA (10171)</v>
      </c>
      <c r="R4740" t="str">
        <f t="shared" si="2244"/>
        <v>RECEITAS COM ENTREGAS (303)</v>
      </c>
      <c r="S4740">
        <v>2402</v>
      </c>
      <c r="T4740">
        <v>1908</v>
      </c>
      <c r="U4740" t="s">
        <v>19</v>
      </c>
    </row>
    <row r="4741" spans="1:21">
      <c r="A4741" t="str">
        <f t="shared" si="2239"/>
        <v>20/08/2025</v>
      </c>
      <c r="B4741" t="str">
        <f t="shared" si="2245"/>
        <v>ENTRADA</v>
      </c>
      <c r="C4741" t="str">
        <f t="shared" si="2240"/>
        <v>NFSE</v>
      </c>
      <c r="D4741" t="str">
        <f>"3368"</f>
        <v>3368</v>
      </c>
      <c r="E4741" t="str">
        <f t="shared" si="2238"/>
        <v>COM</v>
      </c>
      <c r="F4741" t="str">
        <f>"JAL FARMACIA E DROGARIA LJ 2 (10138)"</f>
        <v>JAL FARMACIA E DROGARIA LJ 2 (10138)</v>
      </c>
      <c r="G4741" t="str">
        <f>"Serv.Prest. 11/08/2025 a 17/08/2025 - RPS: 1137 - NFSe: 3368"</f>
        <v>Serv.Prest. 11/08/2025 a 17/08/2025 - RPS: 1137 - NFSe: 3368</v>
      </c>
      <c r="H4741" t="str">
        <f t="shared" si="2241"/>
        <v>20/08/2025</v>
      </c>
      <c r="I4741" t="str">
        <f t="shared" si="2246"/>
        <v>18/08/2025</v>
      </c>
      <c r="J4741" t="str">
        <f t="shared" si="2242"/>
        <v>20/08/2025</v>
      </c>
      <c r="K4741">
        <v>278.39999999999998</v>
      </c>
      <c r="L4741">
        <v>278.39999999999998</v>
      </c>
      <c r="M4741">
        <v>303</v>
      </c>
      <c r="N4741" t="str">
        <f t="shared" si="2243"/>
        <v>RECEITAS COM ENTREGAS</v>
      </c>
      <c r="O4741">
        <v>278.39999999999998</v>
      </c>
      <c r="R4741" t="str">
        <f t="shared" si="2244"/>
        <v>RECEITAS COM ENTREGAS (303)</v>
      </c>
      <c r="S4741">
        <v>2403</v>
      </c>
      <c r="T4741">
        <v>1910</v>
      </c>
      <c r="U4741" t="s">
        <v>19</v>
      </c>
    </row>
    <row r="4742" spans="1:21">
      <c r="A4742" t="str">
        <f t="shared" si="2239"/>
        <v>20/08/2025</v>
      </c>
      <c r="B4742" t="str">
        <f t="shared" si="2245"/>
        <v>ENTRADA</v>
      </c>
      <c r="C4742" t="str">
        <f t="shared" si="2240"/>
        <v>NFSE</v>
      </c>
      <c r="D4742" t="str">
        <f>"3368"</f>
        <v>3368</v>
      </c>
      <c r="E4742" t="str">
        <f t="shared" si="2238"/>
        <v>COM</v>
      </c>
      <c r="F4742" t="str">
        <f>"JAL FARMACIA E DROGARIA LJ 2 (10138)"</f>
        <v>JAL FARMACIA E DROGARIA LJ 2 (10138)</v>
      </c>
      <c r="G4742" t="str">
        <f>"Serv.Prest. 11/08/2025 a 17/08/2025 - RPS: 1137 - NFSe: 3368"</f>
        <v>Serv.Prest. 11/08/2025 a 17/08/2025 - RPS: 1137 - NFSe: 3368</v>
      </c>
      <c r="H4742" t="str">
        <f t="shared" si="2241"/>
        <v>20/08/2025</v>
      </c>
      <c r="I4742" t="str">
        <f t="shared" si="2246"/>
        <v>18/08/2025</v>
      </c>
      <c r="J4742" t="str">
        <f t="shared" si="2242"/>
        <v>20/08/2025</v>
      </c>
      <c r="M4742">
        <v>303</v>
      </c>
      <c r="N4742" t="str">
        <f t="shared" si="2243"/>
        <v>RECEITAS COM ENTREGAS</v>
      </c>
      <c r="P4742">
        <v>278.39999999999998</v>
      </c>
      <c r="Q4742" t="str">
        <f>"JAL FARMACIA E DROGARIA LJ 2 (10138)"</f>
        <v>JAL FARMACIA E DROGARIA LJ 2 (10138)</v>
      </c>
      <c r="R4742" t="str">
        <f t="shared" si="2244"/>
        <v>RECEITAS COM ENTREGAS (303)</v>
      </c>
      <c r="S4742">
        <v>2403</v>
      </c>
      <c r="T4742">
        <v>1910</v>
      </c>
      <c r="U4742" t="s">
        <v>19</v>
      </c>
    </row>
    <row r="4743" spans="1:21">
      <c r="A4743" t="str">
        <f t="shared" si="2239"/>
        <v>20/08/2025</v>
      </c>
      <c r="B4743" t="str">
        <f t="shared" ref="B4743:B4754" si="2247">"SAÍDA"</f>
        <v>SAÍDA</v>
      </c>
      <c r="C4743" t="str">
        <f>"BOLETO"</f>
        <v>BOLETO</v>
      </c>
      <c r="D4743" t="str">
        <f>"071625213208070"</f>
        <v>071625213208070</v>
      </c>
      <c r="E4743" t="str">
        <f t="shared" si="2238"/>
        <v>COM</v>
      </c>
      <c r="F4743" t="str">
        <f>"MINISTERIO DA FAZENDA (20009)"</f>
        <v>MINISTERIO DA FAZENDA (20009)</v>
      </c>
      <c r="G4743" t="str">
        <f>"INSS SOBRE PROLABORE"</f>
        <v>INSS SOBRE PROLABORE</v>
      </c>
      <c r="H4743" t="str">
        <f t="shared" si="2241"/>
        <v>20/08/2025</v>
      </c>
      <c r="I4743" t="str">
        <f>("01/08/2025")</f>
        <v>01/08/2025</v>
      </c>
      <c r="J4743" t="str">
        <f t="shared" si="2242"/>
        <v>20/08/2025</v>
      </c>
      <c r="K4743">
        <v>333.96</v>
      </c>
      <c r="L4743">
        <v>333.96</v>
      </c>
      <c r="M4743">
        <v>112</v>
      </c>
      <c r="N4743" t="str">
        <f>"INSS - PRO-LABORE"</f>
        <v>INSS - PRO-LABORE</v>
      </c>
      <c r="O4743">
        <v>333.96</v>
      </c>
      <c r="R4743" t="str">
        <f t="shared" ref="R4743:R4754" si="2248">"BANCO CORA (102)"</f>
        <v>BANCO CORA (102)</v>
      </c>
      <c r="S4743">
        <v>2458</v>
      </c>
      <c r="T4743">
        <v>719</v>
      </c>
      <c r="U4743" t="s">
        <v>19</v>
      </c>
    </row>
    <row r="4744" spans="1:21">
      <c r="A4744" t="str">
        <f t="shared" si="2239"/>
        <v>20/08/2025</v>
      </c>
      <c r="B4744" t="str">
        <f t="shared" si="2247"/>
        <v>SAÍDA</v>
      </c>
      <c r="C4744" t="str">
        <f>"BOLETO"</f>
        <v>BOLETO</v>
      </c>
      <c r="D4744" t="str">
        <f>"072025224121580"</f>
        <v>072025224121580</v>
      </c>
      <c r="E4744" t="str">
        <f t="shared" si="2238"/>
        <v>COM</v>
      </c>
      <c r="F4744" t="str">
        <f>"MINISTERIO DA FAZENDA (20009)"</f>
        <v>MINISTERIO DA FAZENDA (20009)</v>
      </c>
      <c r="G4744" t="str">
        <f>"SIMPLES NACIONAL MES 07/2025"</f>
        <v>SIMPLES NACIONAL MES 07/2025</v>
      </c>
      <c r="H4744" t="str">
        <f t="shared" si="2241"/>
        <v>20/08/2025</v>
      </c>
      <c r="I4744" t="str">
        <f>("12/08/2025")</f>
        <v>12/08/2025</v>
      </c>
      <c r="J4744" t="str">
        <f t="shared" si="2242"/>
        <v>20/08/2025</v>
      </c>
      <c r="K4744">
        <v>16054.83</v>
      </c>
      <c r="L4744">
        <v>16054.83</v>
      </c>
      <c r="M4744">
        <v>144</v>
      </c>
      <c r="N4744" t="str">
        <f>"SIMPLES NACIONAL (DASN)"</f>
        <v>SIMPLES NACIONAL (DASN)</v>
      </c>
      <c r="O4744">
        <v>16054.83</v>
      </c>
      <c r="R4744" t="str">
        <f t="shared" si="2248"/>
        <v>BANCO CORA (102)</v>
      </c>
      <c r="S4744">
        <v>2459</v>
      </c>
      <c r="T4744">
        <v>897</v>
      </c>
      <c r="U4744" t="s">
        <v>19</v>
      </c>
    </row>
    <row r="4745" spans="1:21">
      <c r="A4745" t="str">
        <f t="shared" si="2239"/>
        <v>20/08/2025</v>
      </c>
      <c r="B4745" t="str">
        <f t="shared" si="2247"/>
        <v>SAÍDA</v>
      </c>
      <c r="C4745" t="str">
        <f>"BOLETO"</f>
        <v>BOLETO</v>
      </c>
      <c r="D4745" t="str">
        <f>"072025224121580"</f>
        <v>072025224121580</v>
      </c>
      <c r="E4745" t="str">
        <f t="shared" si="2238"/>
        <v>COM</v>
      </c>
      <c r="F4745" t="str">
        <f>"MINISTERIO DA FAZENDA (20009)"</f>
        <v>MINISTERIO DA FAZENDA (20009)</v>
      </c>
      <c r="G4745" t="str">
        <f>"SIMPLES NACIONAL MES 07/2025"</f>
        <v>SIMPLES NACIONAL MES 07/2025</v>
      </c>
      <c r="H4745" t="str">
        <f t="shared" si="2241"/>
        <v>20/08/2025</v>
      </c>
      <c r="I4745" t="str">
        <f>("12/08/2025")</f>
        <v>12/08/2025</v>
      </c>
      <c r="J4745" t="str">
        <f t="shared" si="2242"/>
        <v>20/08/2025</v>
      </c>
      <c r="M4745">
        <v>144</v>
      </c>
      <c r="N4745" t="str">
        <f>"SIMPLES NACIONAL (DASN)"</f>
        <v>SIMPLES NACIONAL (DASN)</v>
      </c>
      <c r="P4745">
        <v>16054.83</v>
      </c>
      <c r="Q4745" t="str">
        <f>"MINISTERIO DA FAZENDA (20009)"</f>
        <v>MINISTERIO DA FAZENDA (20009)</v>
      </c>
      <c r="R4745" t="str">
        <f t="shared" si="2248"/>
        <v>BANCO CORA (102)</v>
      </c>
      <c r="S4745">
        <v>2459</v>
      </c>
      <c r="T4745">
        <v>897</v>
      </c>
      <c r="U4745" t="s">
        <v>19</v>
      </c>
    </row>
    <row r="4746" spans="1:21">
      <c r="A4746" t="str">
        <f t="shared" si="2239"/>
        <v>20/08/2025</v>
      </c>
      <c r="B4746" t="str">
        <f t="shared" si="2247"/>
        <v>SAÍDA</v>
      </c>
      <c r="C4746" t="str">
        <f>"BOLETO"</f>
        <v>BOLETO</v>
      </c>
      <c r="D4746" t="str">
        <f>"2492"</f>
        <v>2492</v>
      </c>
      <c r="E4746" t="str">
        <f t="shared" si="2238"/>
        <v>COM</v>
      </c>
      <c r="F4746" t="str">
        <f>"INFINITY BRASIL LTDA (20020)"</f>
        <v>INFINITY BRASIL LTDA (20020)</v>
      </c>
      <c r="G4746" t="str">
        <f>"SERVIDOR FLUX FARMA PERÍODO JULHO/2025"</f>
        <v>SERVIDOR FLUX FARMA PERÍODO JULHO/2025</v>
      </c>
      <c r="H4746" t="str">
        <f t="shared" si="2241"/>
        <v>20/08/2025</v>
      </c>
      <c r="I4746" t="str">
        <f>("31/07/2025")</f>
        <v>31/07/2025</v>
      </c>
      <c r="J4746" t="str">
        <f t="shared" si="2242"/>
        <v>20/08/2025</v>
      </c>
      <c r="K4746">
        <v>579.36</v>
      </c>
      <c r="L4746">
        <v>579.36</v>
      </c>
      <c r="M4746">
        <v>104</v>
      </c>
      <c r="N4746" t="str">
        <f>"SOFTWARE / LICENÇAS"</f>
        <v>SOFTWARE / LICENÇAS</v>
      </c>
      <c r="O4746">
        <v>579.36</v>
      </c>
      <c r="R4746" t="str">
        <f t="shared" si="2248"/>
        <v>BANCO CORA (102)</v>
      </c>
      <c r="S4746">
        <v>2460</v>
      </c>
      <c r="T4746">
        <v>908</v>
      </c>
      <c r="U4746" t="s">
        <v>19</v>
      </c>
    </row>
    <row r="4747" spans="1:21">
      <c r="A4747" t="str">
        <f t="shared" si="2239"/>
        <v>20/08/2025</v>
      </c>
      <c r="B4747" t="str">
        <f t="shared" si="2247"/>
        <v>SAÍDA</v>
      </c>
      <c r="C4747" t="str">
        <f>"BOLETO"</f>
        <v>BOLETO</v>
      </c>
      <c r="D4747" t="str">
        <f>"2492"</f>
        <v>2492</v>
      </c>
      <c r="E4747" t="str">
        <f t="shared" si="2238"/>
        <v>COM</v>
      </c>
      <c r="F4747" t="str">
        <f>"INFINITY BRASIL LTDA (20020)"</f>
        <v>INFINITY BRASIL LTDA (20020)</v>
      </c>
      <c r="G4747" t="str">
        <f>"SERVIDOR FLUX FARMA PERÍODO JULHO/2025"</f>
        <v>SERVIDOR FLUX FARMA PERÍODO JULHO/2025</v>
      </c>
      <c r="H4747" t="str">
        <f t="shared" si="2241"/>
        <v>20/08/2025</v>
      </c>
      <c r="I4747" t="str">
        <f>("31/07/2025")</f>
        <v>31/07/2025</v>
      </c>
      <c r="J4747" t="str">
        <f t="shared" si="2242"/>
        <v>20/08/2025</v>
      </c>
      <c r="M4747">
        <v>104</v>
      </c>
      <c r="N4747" t="str">
        <f>"SOFTWARE / LICENÇAS"</f>
        <v>SOFTWARE / LICENÇAS</v>
      </c>
      <c r="P4747">
        <v>579.36</v>
      </c>
      <c r="Q4747" t="str">
        <f>"INFINITY BRASIL LTDA (20020)"</f>
        <v>INFINITY BRASIL LTDA (20020)</v>
      </c>
      <c r="R4747" t="str">
        <f t="shared" si="2248"/>
        <v>BANCO CORA (102)</v>
      </c>
      <c r="S4747">
        <v>2460</v>
      </c>
      <c r="T4747">
        <v>908</v>
      </c>
      <c r="U4747" t="s">
        <v>19</v>
      </c>
    </row>
    <row r="4748" spans="1:21">
      <c r="A4748" t="str">
        <f t="shared" si="2239"/>
        <v>20/08/2025</v>
      </c>
      <c r="B4748" t="str">
        <f t="shared" si="2247"/>
        <v>SAÍDA</v>
      </c>
      <c r="C4748" t="str">
        <f t="shared" ref="C4748:C4754" si="2249">"CONHECIMENTO"</f>
        <v>CONHECIMENTO</v>
      </c>
      <c r="D4748" t="str">
        <f t="shared" ref="D4748:D4754" si="2250">"200825170"</f>
        <v>200825170</v>
      </c>
      <c r="E4748" t="str">
        <f t="shared" si="2238"/>
        <v>COM</v>
      </c>
      <c r="F4748" t="str">
        <f t="shared" ref="F4748:F4754" si="2251">"CORA SOCIEDADE DE CREDITO, FINANCIAMENTO E INVESTIMENTO (20035)"</f>
        <v>CORA SOCIEDADE DE CREDITO, FINANCIAMENTO E INVESTIMENTO (20035)</v>
      </c>
      <c r="G4748" t="str">
        <f t="shared" ref="G4748:G4754" si="2252">"TAXA BOLETO COMPENSADO"</f>
        <v>TAXA BOLETO COMPENSADO</v>
      </c>
      <c r="H4748" t="str">
        <f t="shared" si="2241"/>
        <v>20/08/2025</v>
      </c>
      <c r="I4748" t="str">
        <f t="shared" ref="I4748:I4754" si="2253">("20/08/2025")</f>
        <v>20/08/2025</v>
      </c>
      <c r="J4748" t="str">
        <f t="shared" si="2242"/>
        <v>20/08/2025</v>
      </c>
      <c r="K4748">
        <v>1.7</v>
      </c>
      <c r="L4748">
        <v>1.7</v>
      </c>
      <c r="M4748">
        <v>401</v>
      </c>
      <c r="N4748" t="str">
        <f t="shared" ref="N4748:N4754" si="2254">"IOF/JUROS/DESP.FINANCEIRA"</f>
        <v>IOF/JUROS/DESP.FINANCEIRA</v>
      </c>
      <c r="O4748">
        <v>1.7</v>
      </c>
      <c r="R4748" t="str">
        <f t="shared" si="2248"/>
        <v>BANCO CORA (102)</v>
      </c>
      <c r="S4748">
        <v>2461</v>
      </c>
      <c r="T4748">
        <v>1992</v>
      </c>
      <c r="U4748" t="s">
        <v>19</v>
      </c>
    </row>
    <row r="4749" spans="1:21">
      <c r="A4749" t="str">
        <f t="shared" si="2239"/>
        <v>20/08/2025</v>
      </c>
      <c r="B4749" t="str">
        <f t="shared" si="2247"/>
        <v>SAÍDA</v>
      </c>
      <c r="C4749" t="str">
        <f t="shared" si="2249"/>
        <v>CONHECIMENTO</v>
      </c>
      <c r="D4749" t="str">
        <f t="shared" si="2250"/>
        <v>200825170</v>
      </c>
      <c r="E4749" t="str">
        <f t="shared" si="2238"/>
        <v>COM</v>
      </c>
      <c r="F4749" t="str">
        <f t="shared" si="2251"/>
        <v>CORA SOCIEDADE DE CREDITO, FINANCIAMENTO E INVESTIMENTO (20035)</v>
      </c>
      <c r="G4749" t="str">
        <f t="shared" si="2252"/>
        <v>TAXA BOLETO COMPENSADO</v>
      </c>
      <c r="H4749" t="str">
        <f t="shared" si="2241"/>
        <v>20/08/2025</v>
      </c>
      <c r="I4749" t="str">
        <f t="shared" si="2253"/>
        <v>20/08/2025</v>
      </c>
      <c r="J4749" t="str">
        <f t="shared" si="2242"/>
        <v>20/08/2025</v>
      </c>
      <c r="K4749">
        <v>1.7</v>
      </c>
      <c r="L4749">
        <v>1.7</v>
      </c>
      <c r="M4749">
        <v>401</v>
      </c>
      <c r="N4749" t="str">
        <f t="shared" si="2254"/>
        <v>IOF/JUROS/DESP.FINANCEIRA</v>
      </c>
      <c r="O4749">
        <v>1.7</v>
      </c>
      <c r="R4749" t="str">
        <f t="shared" si="2248"/>
        <v>BANCO CORA (102)</v>
      </c>
      <c r="S4749">
        <v>2462</v>
      </c>
      <c r="T4749">
        <v>1993</v>
      </c>
      <c r="U4749" t="s">
        <v>19</v>
      </c>
    </row>
    <row r="4750" spans="1:21">
      <c r="A4750" t="str">
        <f t="shared" si="2239"/>
        <v>20/08/2025</v>
      </c>
      <c r="B4750" t="str">
        <f t="shared" si="2247"/>
        <v>SAÍDA</v>
      </c>
      <c r="C4750" t="str">
        <f t="shared" si="2249"/>
        <v>CONHECIMENTO</v>
      </c>
      <c r="D4750" t="str">
        <f t="shared" si="2250"/>
        <v>200825170</v>
      </c>
      <c r="E4750" t="str">
        <f t="shared" si="2238"/>
        <v>COM</v>
      </c>
      <c r="F4750" t="str">
        <f t="shared" si="2251"/>
        <v>CORA SOCIEDADE DE CREDITO, FINANCIAMENTO E INVESTIMENTO (20035)</v>
      </c>
      <c r="G4750" t="str">
        <f t="shared" si="2252"/>
        <v>TAXA BOLETO COMPENSADO</v>
      </c>
      <c r="H4750" t="str">
        <f t="shared" si="2241"/>
        <v>20/08/2025</v>
      </c>
      <c r="I4750" t="str">
        <f t="shared" si="2253"/>
        <v>20/08/2025</v>
      </c>
      <c r="J4750" t="str">
        <f t="shared" si="2242"/>
        <v>20/08/2025</v>
      </c>
      <c r="K4750">
        <v>1.7</v>
      </c>
      <c r="L4750">
        <v>1.7</v>
      </c>
      <c r="M4750">
        <v>401</v>
      </c>
      <c r="N4750" t="str">
        <f t="shared" si="2254"/>
        <v>IOF/JUROS/DESP.FINANCEIRA</v>
      </c>
      <c r="O4750">
        <v>1.7</v>
      </c>
      <c r="R4750" t="str">
        <f t="shared" si="2248"/>
        <v>BANCO CORA (102)</v>
      </c>
      <c r="S4750">
        <v>2463</v>
      </c>
      <c r="T4750">
        <v>1994</v>
      </c>
      <c r="U4750" t="s">
        <v>19</v>
      </c>
    </row>
    <row r="4751" spans="1:21">
      <c r="A4751" t="str">
        <f t="shared" si="2239"/>
        <v>20/08/2025</v>
      </c>
      <c r="B4751" t="str">
        <f t="shared" si="2247"/>
        <v>SAÍDA</v>
      </c>
      <c r="C4751" t="str">
        <f t="shared" si="2249"/>
        <v>CONHECIMENTO</v>
      </c>
      <c r="D4751" t="str">
        <f t="shared" si="2250"/>
        <v>200825170</v>
      </c>
      <c r="E4751" t="str">
        <f t="shared" si="2238"/>
        <v>COM</v>
      </c>
      <c r="F4751" t="str">
        <f t="shared" si="2251"/>
        <v>CORA SOCIEDADE DE CREDITO, FINANCIAMENTO E INVESTIMENTO (20035)</v>
      </c>
      <c r="G4751" t="str">
        <f t="shared" si="2252"/>
        <v>TAXA BOLETO COMPENSADO</v>
      </c>
      <c r="H4751" t="str">
        <f t="shared" si="2241"/>
        <v>20/08/2025</v>
      </c>
      <c r="I4751" t="str">
        <f t="shared" si="2253"/>
        <v>20/08/2025</v>
      </c>
      <c r="J4751" t="str">
        <f t="shared" si="2242"/>
        <v>20/08/2025</v>
      </c>
      <c r="K4751">
        <v>1.7</v>
      </c>
      <c r="L4751">
        <v>1.7</v>
      </c>
      <c r="M4751">
        <v>401</v>
      </c>
      <c r="N4751" t="str">
        <f t="shared" si="2254"/>
        <v>IOF/JUROS/DESP.FINANCEIRA</v>
      </c>
      <c r="O4751">
        <v>1.7</v>
      </c>
      <c r="R4751" t="str">
        <f t="shared" si="2248"/>
        <v>BANCO CORA (102)</v>
      </c>
      <c r="S4751">
        <v>2464</v>
      </c>
      <c r="T4751">
        <v>1995</v>
      </c>
      <c r="U4751" t="s">
        <v>19</v>
      </c>
    </row>
    <row r="4752" spans="1:21">
      <c r="A4752" t="str">
        <f t="shared" si="2239"/>
        <v>20/08/2025</v>
      </c>
      <c r="B4752" t="str">
        <f t="shared" si="2247"/>
        <v>SAÍDA</v>
      </c>
      <c r="C4752" t="str">
        <f t="shared" si="2249"/>
        <v>CONHECIMENTO</v>
      </c>
      <c r="D4752" t="str">
        <f t="shared" si="2250"/>
        <v>200825170</v>
      </c>
      <c r="E4752" t="str">
        <f t="shared" si="2238"/>
        <v>COM</v>
      </c>
      <c r="F4752" t="str">
        <f t="shared" si="2251"/>
        <v>CORA SOCIEDADE DE CREDITO, FINANCIAMENTO E INVESTIMENTO (20035)</v>
      </c>
      <c r="G4752" t="str">
        <f t="shared" si="2252"/>
        <v>TAXA BOLETO COMPENSADO</v>
      </c>
      <c r="H4752" t="str">
        <f t="shared" si="2241"/>
        <v>20/08/2025</v>
      </c>
      <c r="I4752" t="str">
        <f t="shared" si="2253"/>
        <v>20/08/2025</v>
      </c>
      <c r="J4752" t="str">
        <f t="shared" si="2242"/>
        <v>20/08/2025</v>
      </c>
      <c r="K4752">
        <v>1.7</v>
      </c>
      <c r="L4752">
        <v>1.7</v>
      </c>
      <c r="M4752">
        <v>401</v>
      </c>
      <c r="N4752" t="str">
        <f t="shared" si="2254"/>
        <v>IOF/JUROS/DESP.FINANCEIRA</v>
      </c>
      <c r="O4752">
        <v>1.7</v>
      </c>
      <c r="R4752" t="str">
        <f t="shared" si="2248"/>
        <v>BANCO CORA (102)</v>
      </c>
      <c r="S4752">
        <v>2465</v>
      </c>
      <c r="T4752">
        <v>1996</v>
      </c>
      <c r="U4752" t="s">
        <v>19</v>
      </c>
    </row>
    <row r="4753" spans="1:21">
      <c r="A4753" t="str">
        <f t="shared" si="2239"/>
        <v>20/08/2025</v>
      </c>
      <c r="B4753" t="str">
        <f t="shared" si="2247"/>
        <v>SAÍDA</v>
      </c>
      <c r="C4753" t="str">
        <f t="shared" si="2249"/>
        <v>CONHECIMENTO</v>
      </c>
      <c r="D4753" t="str">
        <f t="shared" si="2250"/>
        <v>200825170</v>
      </c>
      <c r="E4753" t="str">
        <f t="shared" si="2238"/>
        <v>COM</v>
      </c>
      <c r="F4753" t="str">
        <f t="shared" si="2251"/>
        <v>CORA SOCIEDADE DE CREDITO, FINANCIAMENTO E INVESTIMENTO (20035)</v>
      </c>
      <c r="G4753" t="str">
        <f t="shared" si="2252"/>
        <v>TAXA BOLETO COMPENSADO</v>
      </c>
      <c r="H4753" t="str">
        <f t="shared" si="2241"/>
        <v>20/08/2025</v>
      </c>
      <c r="I4753" t="str">
        <f t="shared" si="2253"/>
        <v>20/08/2025</v>
      </c>
      <c r="J4753" t="str">
        <f t="shared" si="2242"/>
        <v>20/08/2025</v>
      </c>
      <c r="K4753">
        <v>1.7</v>
      </c>
      <c r="L4753">
        <v>1.7</v>
      </c>
      <c r="M4753">
        <v>401</v>
      </c>
      <c r="N4753" t="str">
        <f t="shared" si="2254"/>
        <v>IOF/JUROS/DESP.FINANCEIRA</v>
      </c>
      <c r="O4753">
        <v>1.7</v>
      </c>
      <c r="R4753" t="str">
        <f t="shared" si="2248"/>
        <v>BANCO CORA (102)</v>
      </c>
      <c r="S4753">
        <v>2466</v>
      </c>
      <c r="T4753">
        <v>1997</v>
      </c>
      <c r="U4753" t="s">
        <v>19</v>
      </c>
    </row>
    <row r="4754" spans="1:21">
      <c r="A4754" t="str">
        <f t="shared" si="2239"/>
        <v>20/08/2025</v>
      </c>
      <c r="B4754" t="str">
        <f t="shared" si="2247"/>
        <v>SAÍDA</v>
      </c>
      <c r="C4754" t="str">
        <f t="shared" si="2249"/>
        <v>CONHECIMENTO</v>
      </c>
      <c r="D4754" t="str">
        <f t="shared" si="2250"/>
        <v>200825170</v>
      </c>
      <c r="E4754" t="str">
        <f t="shared" si="2238"/>
        <v>COM</v>
      </c>
      <c r="F4754" t="str">
        <f t="shared" si="2251"/>
        <v>CORA SOCIEDADE DE CREDITO, FINANCIAMENTO E INVESTIMENTO (20035)</v>
      </c>
      <c r="G4754" t="str">
        <f t="shared" si="2252"/>
        <v>TAXA BOLETO COMPENSADO</v>
      </c>
      <c r="H4754" t="str">
        <f t="shared" si="2241"/>
        <v>20/08/2025</v>
      </c>
      <c r="I4754" t="str">
        <f t="shared" si="2253"/>
        <v>20/08/2025</v>
      </c>
      <c r="J4754" t="str">
        <f t="shared" si="2242"/>
        <v>20/08/2025</v>
      </c>
      <c r="K4754">
        <v>1.7</v>
      </c>
      <c r="L4754">
        <v>1.7</v>
      </c>
      <c r="M4754">
        <v>401</v>
      </c>
      <c r="N4754" t="str">
        <f t="shared" si="2254"/>
        <v>IOF/JUROS/DESP.FINANCEIRA</v>
      </c>
      <c r="O4754">
        <v>1.7</v>
      </c>
      <c r="R4754" t="str">
        <f t="shared" si="2248"/>
        <v>BANCO CORA (102)</v>
      </c>
      <c r="S4754">
        <v>2467</v>
      </c>
      <c r="T4754">
        <v>1998</v>
      </c>
      <c r="U4754" t="s">
        <v>19</v>
      </c>
    </row>
    <row r="4755" spans="1:21">
      <c r="A4755" t="str">
        <f t="shared" ref="A4755:A4799" si="2255">("21/08/2025")</f>
        <v>21/08/2025</v>
      </c>
      <c r="B4755" t="str">
        <f>"ENTRADA"</f>
        <v>ENTRADA</v>
      </c>
      <c r="C4755" t="str">
        <f t="shared" ref="C4755:C4776" si="2256">"NFSE"</f>
        <v>NFSE</v>
      </c>
      <c r="D4755" t="str">
        <f>"3354"</f>
        <v>3354</v>
      </c>
      <c r="E4755" t="str">
        <f t="shared" si="2238"/>
        <v>COM</v>
      </c>
      <c r="F4755" t="str">
        <f>"AC FARMA - CID.ALTA (10166)"</f>
        <v>AC FARMA - CID.ALTA (10166)</v>
      </c>
      <c r="G4755" t="str">
        <f>"Serv.Prest. 04/08/2025 a 10/08/2025 - RPS: 1120 - NFSe: 3354"</f>
        <v>Serv.Prest. 04/08/2025 a 10/08/2025 - RPS: 1120 - NFSe: 3354</v>
      </c>
      <c r="H4755" t="str">
        <f t="shared" si="2241"/>
        <v>20/08/2025</v>
      </c>
      <c r="I4755" t="str">
        <f t="shared" ref="I4755:I4762" si="2257">("12/08/2025")</f>
        <v>12/08/2025</v>
      </c>
      <c r="J4755" t="str">
        <f t="shared" ref="J4755:J4799" si="2258">("21/08/2025")</f>
        <v>21/08/2025</v>
      </c>
      <c r="K4755">
        <v>974.88</v>
      </c>
      <c r="L4755">
        <v>974.88</v>
      </c>
      <c r="M4755">
        <v>303</v>
      </c>
      <c r="N4755" t="str">
        <f t="shared" ref="N4755:N4776" si="2259">"RECEITAS COM ENTREGAS"</f>
        <v>RECEITAS COM ENTREGAS</v>
      </c>
      <c r="O4755">
        <v>974.88</v>
      </c>
      <c r="R4755" t="str">
        <f t="shared" ref="R4755:R4776" si="2260">"RECEITAS COM ENTREGAS (303)"</f>
        <v>RECEITAS COM ENTREGAS (303)</v>
      </c>
      <c r="S4755">
        <v>2404</v>
      </c>
      <c r="T4755">
        <v>1870</v>
      </c>
      <c r="U4755" t="s">
        <v>19</v>
      </c>
    </row>
    <row r="4756" spans="1:21">
      <c r="A4756" t="str">
        <f t="shared" si="2255"/>
        <v>21/08/2025</v>
      </c>
      <c r="B4756" t="str">
        <f t="shared" ref="B4756:B4776" si="2261">"ENTRADA"</f>
        <v>ENTRADA</v>
      </c>
      <c r="C4756" t="str">
        <f t="shared" si="2256"/>
        <v>NFSE</v>
      </c>
      <c r="D4756" t="str">
        <f>"3354"</f>
        <v>3354</v>
      </c>
      <c r="E4756" t="str">
        <f t="shared" si="2238"/>
        <v>COM</v>
      </c>
      <c r="F4756" t="str">
        <f>"AC FARMA - CID.ALTA (10166)"</f>
        <v>AC FARMA - CID.ALTA (10166)</v>
      </c>
      <c r="G4756" t="str">
        <f>"Serv.Prest. 04/08/2025 a 10/08/2025 - RPS: 1120 - NFSe: 3354"</f>
        <v>Serv.Prest. 04/08/2025 a 10/08/2025 - RPS: 1120 - NFSe: 3354</v>
      </c>
      <c r="H4756" t="str">
        <f t="shared" ref="H4756:H4770" si="2262">("20/08/2025")</f>
        <v>20/08/2025</v>
      </c>
      <c r="I4756" t="str">
        <f t="shared" si="2257"/>
        <v>12/08/2025</v>
      </c>
      <c r="J4756" t="str">
        <f t="shared" si="2258"/>
        <v>21/08/2025</v>
      </c>
      <c r="M4756">
        <v>303</v>
      </c>
      <c r="N4756" t="str">
        <f t="shared" si="2259"/>
        <v>RECEITAS COM ENTREGAS</v>
      </c>
      <c r="P4756">
        <v>974.88</v>
      </c>
      <c r="Q4756" t="str">
        <f>"AC FARMA - CID.ALTA (10166)"</f>
        <v>AC FARMA - CID.ALTA (10166)</v>
      </c>
      <c r="R4756" t="str">
        <f t="shared" si="2260"/>
        <v>RECEITAS COM ENTREGAS (303)</v>
      </c>
      <c r="S4756">
        <v>2404</v>
      </c>
      <c r="T4756">
        <v>1870</v>
      </c>
      <c r="U4756" t="s">
        <v>19</v>
      </c>
    </row>
    <row r="4757" spans="1:21">
      <c r="A4757" t="str">
        <f t="shared" si="2255"/>
        <v>21/08/2025</v>
      </c>
      <c r="B4757" t="str">
        <f t="shared" si="2261"/>
        <v>ENTRADA</v>
      </c>
      <c r="C4757" t="str">
        <f t="shared" si="2256"/>
        <v>NFSE</v>
      </c>
      <c r="D4757" t="str">
        <f>"3355"</f>
        <v>3355</v>
      </c>
      <c r="E4757" t="str">
        <f t="shared" si="2238"/>
        <v>COM</v>
      </c>
      <c r="F4757" t="str">
        <f>"AC FARMA - FLEMINFARMA (10160)"</f>
        <v>AC FARMA - FLEMINFARMA (10160)</v>
      </c>
      <c r="G4757" t="str">
        <f>"Serv.Prest. 04/08/2025 a 10/08/2025 - RPS: 1121 - NFSe: 3355"</f>
        <v>Serv.Prest. 04/08/2025 a 10/08/2025 - RPS: 1121 - NFSe: 3355</v>
      </c>
      <c r="H4757" t="str">
        <f t="shared" si="2262"/>
        <v>20/08/2025</v>
      </c>
      <c r="I4757" t="str">
        <f t="shared" si="2257"/>
        <v>12/08/2025</v>
      </c>
      <c r="J4757" t="str">
        <f t="shared" si="2258"/>
        <v>21/08/2025</v>
      </c>
      <c r="K4757">
        <v>228.96</v>
      </c>
      <c r="L4757">
        <v>228.96</v>
      </c>
      <c r="M4757">
        <v>303</v>
      </c>
      <c r="N4757" t="str">
        <f t="shared" si="2259"/>
        <v>RECEITAS COM ENTREGAS</v>
      </c>
      <c r="O4757">
        <v>228.96</v>
      </c>
      <c r="R4757" t="str">
        <f t="shared" si="2260"/>
        <v>RECEITAS COM ENTREGAS (303)</v>
      </c>
      <c r="S4757">
        <v>2405</v>
      </c>
      <c r="T4757">
        <v>1871</v>
      </c>
      <c r="U4757" t="s">
        <v>19</v>
      </c>
    </row>
    <row r="4758" spans="1:21">
      <c r="A4758" t="str">
        <f t="shared" si="2255"/>
        <v>21/08/2025</v>
      </c>
      <c r="B4758" t="str">
        <f t="shared" si="2261"/>
        <v>ENTRADA</v>
      </c>
      <c r="C4758" t="str">
        <f t="shared" si="2256"/>
        <v>NFSE</v>
      </c>
      <c r="D4758" t="str">
        <f>"3355"</f>
        <v>3355</v>
      </c>
      <c r="E4758" t="str">
        <f t="shared" si="2238"/>
        <v>COM</v>
      </c>
      <c r="F4758" t="str">
        <f>"AC FARMA - FLEMINFARMA (10160)"</f>
        <v>AC FARMA - FLEMINFARMA (10160)</v>
      </c>
      <c r="G4758" t="str">
        <f>"Serv.Prest. 04/08/2025 a 10/08/2025 - RPS: 1121 - NFSe: 3355"</f>
        <v>Serv.Prest. 04/08/2025 a 10/08/2025 - RPS: 1121 - NFSe: 3355</v>
      </c>
      <c r="H4758" t="str">
        <f t="shared" si="2262"/>
        <v>20/08/2025</v>
      </c>
      <c r="I4758" t="str">
        <f t="shared" si="2257"/>
        <v>12/08/2025</v>
      </c>
      <c r="J4758" t="str">
        <f t="shared" si="2258"/>
        <v>21/08/2025</v>
      </c>
      <c r="M4758">
        <v>303</v>
      </c>
      <c r="N4758" t="str">
        <f t="shared" si="2259"/>
        <v>RECEITAS COM ENTREGAS</v>
      </c>
      <c r="P4758">
        <v>221.77</v>
      </c>
      <c r="Q4758" t="str">
        <f>"AC FARMA -  FLEMINFARMA (10159)"</f>
        <v>AC FARMA -  FLEMINFARMA (10159)</v>
      </c>
      <c r="R4758" t="str">
        <f t="shared" si="2260"/>
        <v>RECEITAS COM ENTREGAS (303)</v>
      </c>
      <c r="S4758">
        <v>2405</v>
      </c>
      <c r="T4758">
        <v>1871</v>
      </c>
      <c r="U4758" t="s">
        <v>19</v>
      </c>
    </row>
    <row r="4759" spans="1:21">
      <c r="A4759" t="str">
        <f t="shared" si="2255"/>
        <v>21/08/2025</v>
      </c>
      <c r="B4759" t="str">
        <f t="shared" si="2261"/>
        <v>ENTRADA</v>
      </c>
      <c r="C4759" t="str">
        <f t="shared" si="2256"/>
        <v>NFSE</v>
      </c>
      <c r="D4759" t="str">
        <f>"3355"</f>
        <v>3355</v>
      </c>
      <c r="E4759" t="str">
        <f t="shared" si="2238"/>
        <v>COM</v>
      </c>
      <c r="F4759" t="str">
        <f>"AC FARMA - FLEMINFARMA (10160)"</f>
        <v>AC FARMA - FLEMINFARMA (10160)</v>
      </c>
      <c r="G4759" t="str">
        <f>"Serv.Prest. 04/08/2025 a 10/08/2025 - RPS: 1121 - NFSe: 3355"</f>
        <v>Serv.Prest. 04/08/2025 a 10/08/2025 - RPS: 1121 - NFSe: 3355</v>
      </c>
      <c r="H4759" t="str">
        <f t="shared" si="2262"/>
        <v>20/08/2025</v>
      </c>
      <c r="I4759" t="str">
        <f t="shared" si="2257"/>
        <v>12/08/2025</v>
      </c>
      <c r="J4759" t="str">
        <f t="shared" si="2258"/>
        <v>21/08/2025</v>
      </c>
      <c r="M4759">
        <v>303</v>
      </c>
      <c r="N4759" t="str">
        <f t="shared" si="2259"/>
        <v>RECEITAS COM ENTREGAS</v>
      </c>
      <c r="P4759">
        <v>7.19</v>
      </c>
      <c r="Q4759" t="str">
        <f>"AC FARMA - FLEMINFARMA (10160)"</f>
        <v>AC FARMA - FLEMINFARMA (10160)</v>
      </c>
      <c r="R4759" t="str">
        <f t="shared" si="2260"/>
        <v>RECEITAS COM ENTREGAS (303)</v>
      </c>
      <c r="S4759">
        <v>2405</v>
      </c>
      <c r="T4759">
        <v>1871</v>
      </c>
      <c r="U4759" t="s">
        <v>19</v>
      </c>
    </row>
    <row r="4760" spans="1:21">
      <c r="A4760" t="str">
        <f t="shared" si="2255"/>
        <v>21/08/2025</v>
      </c>
      <c r="B4760" t="str">
        <f t="shared" si="2261"/>
        <v>ENTRADA</v>
      </c>
      <c r="C4760" t="str">
        <f t="shared" si="2256"/>
        <v>NFSE</v>
      </c>
      <c r="D4760" t="str">
        <f>"3356"</f>
        <v>3356</v>
      </c>
      <c r="E4760" t="str">
        <f t="shared" si="2238"/>
        <v>COM</v>
      </c>
      <c r="F4760" t="str">
        <f>"AC FARMA - FLEMINFARMA 5 (10183)"</f>
        <v>AC FARMA - FLEMINFARMA 5 (10183)</v>
      </c>
      <c r="G4760" t="str">
        <f>"Serv.Prest. 04/08/2025 a 10/08/2025 - RPS: 1122 - NFSe: 3356"</f>
        <v>Serv.Prest. 04/08/2025 a 10/08/2025 - RPS: 1122 - NFSe: 3356</v>
      </c>
      <c r="H4760" t="str">
        <f t="shared" si="2262"/>
        <v>20/08/2025</v>
      </c>
      <c r="I4760" t="str">
        <f t="shared" si="2257"/>
        <v>12/08/2025</v>
      </c>
      <c r="J4760" t="str">
        <f t="shared" si="2258"/>
        <v>21/08/2025</v>
      </c>
      <c r="K4760">
        <v>96.48</v>
      </c>
      <c r="L4760">
        <v>96.48</v>
      </c>
      <c r="M4760">
        <v>303</v>
      </c>
      <c r="N4760" t="str">
        <f t="shared" si="2259"/>
        <v>RECEITAS COM ENTREGAS</v>
      </c>
      <c r="O4760">
        <v>96.48</v>
      </c>
      <c r="R4760" t="str">
        <f t="shared" si="2260"/>
        <v>RECEITAS COM ENTREGAS (303)</v>
      </c>
      <c r="S4760">
        <v>2406</v>
      </c>
      <c r="T4760">
        <v>1872</v>
      </c>
      <c r="U4760" t="s">
        <v>19</v>
      </c>
    </row>
    <row r="4761" spans="1:21">
      <c r="A4761" t="str">
        <f t="shared" si="2255"/>
        <v>21/08/2025</v>
      </c>
      <c r="B4761" t="str">
        <f t="shared" si="2261"/>
        <v>ENTRADA</v>
      </c>
      <c r="C4761" t="str">
        <f t="shared" si="2256"/>
        <v>NFSE</v>
      </c>
      <c r="D4761" t="str">
        <f>"3356"</f>
        <v>3356</v>
      </c>
      <c r="E4761" t="str">
        <f t="shared" si="2238"/>
        <v>COM</v>
      </c>
      <c r="F4761" t="str">
        <f>"AC FARMA - FLEMINFARMA 5 (10183)"</f>
        <v>AC FARMA - FLEMINFARMA 5 (10183)</v>
      </c>
      <c r="G4761" t="str">
        <f>"Serv.Prest. 04/08/2025 a 10/08/2025 - RPS: 1122 - NFSe: 3356"</f>
        <v>Serv.Prest. 04/08/2025 a 10/08/2025 - RPS: 1122 - NFSe: 3356</v>
      </c>
      <c r="H4761" t="str">
        <f t="shared" si="2262"/>
        <v>20/08/2025</v>
      </c>
      <c r="I4761" t="str">
        <f t="shared" si="2257"/>
        <v>12/08/2025</v>
      </c>
      <c r="J4761" t="str">
        <f t="shared" si="2258"/>
        <v>21/08/2025</v>
      </c>
      <c r="M4761">
        <v>303</v>
      </c>
      <c r="N4761" t="str">
        <f t="shared" si="2259"/>
        <v>RECEITAS COM ENTREGAS</v>
      </c>
      <c r="P4761">
        <v>95.04</v>
      </c>
      <c r="Q4761" t="str">
        <f>"AC FARMA - FLEMINFARMA 5 (10183)"</f>
        <v>AC FARMA - FLEMINFARMA 5 (10183)</v>
      </c>
      <c r="R4761" t="str">
        <f t="shared" si="2260"/>
        <v>RECEITAS COM ENTREGAS (303)</v>
      </c>
      <c r="S4761">
        <v>2406</v>
      </c>
      <c r="T4761">
        <v>1872</v>
      </c>
      <c r="U4761" t="s">
        <v>19</v>
      </c>
    </row>
    <row r="4762" spans="1:21">
      <c r="A4762" t="str">
        <f t="shared" si="2255"/>
        <v>21/08/2025</v>
      </c>
      <c r="B4762" t="str">
        <f t="shared" si="2261"/>
        <v>ENTRADA</v>
      </c>
      <c r="C4762" t="str">
        <f t="shared" si="2256"/>
        <v>NFSE</v>
      </c>
      <c r="D4762" t="str">
        <f>"3356"</f>
        <v>3356</v>
      </c>
      <c r="E4762" t="str">
        <f t="shared" si="2238"/>
        <v>COM</v>
      </c>
      <c r="F4762" t="str">
        <f>"AC FARMA - FLEMINFARMA 5 (10183)"</f>
        <v>AC FARMA - FLEMINFARMA 5 (10183)</v>
      </c>
      <c r="G4762" t="str">
        <f>"Serv.Prest. 04/08/2025 a 10/08/2025 - RPS: 1122 - NFSe: 3356"</f>
        <v>Serv.Prest. 04/08/2025 a 10/08/2025 - RPS: 1122 - NFSe: 3356</v>
      </c>
      <c r="H4762" t="str">
        <f t="shared" si="2262"/>
        <v>20/08/2025</v>
      </c>
      <c r="I4762" t="str">
        <f t="shared" si="2257"/>
        <v>12/08/2025</v>
      </c>
      <c r="J4762" t="str">
        <f t="shared" si="2258"/>
        <v>21/08/2025</v>
      </c>
      <c r="M4762">
        <v>303</v>
      </c>
      <c r="N4762" t="str">
        <f t="shared" si="2259"/>
        <v>RECEITAS COM ENTREGAS</v>
      </c>
      <c r="P4762">
        <v>1.44</v>
      </c>
      <c r="Q4762" t="str">
        <f>"AC FARMA - FLEMINFARMA 6 (10184)"</f>
        <v>AC FARMA - FLEMINFARMA 6 (10184)</v>
      </c>
      <c r="R4762" t="str">
        <f t="shared" si="2260"/>
        <v>RECEITAS COM ENTREGAS (303)</v>
      </c>
      <c r="S4762">
        <v>2406</v>
      </c>
      <c r="T4762">
        <v>1872</v>
      </c>
      <c r="U4762" t="s">
        <v>19</v>
      </c>
    </row>
    <row r="4763" spans="1:21">
      <c r="A4763" t="str">
        <f t="shared" si="2255"/>
        <v>21/08/2025</v>
      </c>
      <c r="B4763" t="str">
        <f t="shared" si="2261"/>
        <v>ENTRADA</v>
      </c>
      <c r="C4763" t="str">
        <f t="shared" si="2256"/>
        <v>NFSE</v>
      </c>
      <c r="D4763" t="str">
        <f>"3359"</f>
        <v>3359</v>
      </c>
      <c r="E4763" t="str">
        <f t="shared" si="2238"/>
        <v>COM</v>
      </c>
      <c r="F4763" t="str">
        <f>"DROGA ELIDA (10121)"</f>
        <v>DROGA ELIDA (10121)</v>
      </c>
      <c r="G4763" t="str">
        <f>"Serv.Prest. 11/08/2025 a 17/08/2025 - RPS: 1125 - NFSe: 3359"</f>
        <v>Serv.Prest. 11/08/2025 a 17/08/2025 - RPS: 1125 - NFSe: 3359</v>
      </c>
      <c r="H4763" t="str">
        <f t="shared" si="2262"/>
        <v>20/08/2025</v>
      </c>
      <c r="I4763" t="str">
        <f t="shared" ref="I4763:I4772" si="2263">("18/08/2025")</f>
        <v>18/08/2025</v>
      </c>
      <c r="J4763" t="str">
        <f t="shared" si="2258"/>
        <v>21/08/2025</v>
      </c>
      <c r="K4763">
        <v>350.4</v>
      </c>
      <c r="L4763">
        <v>350.4</v>
      </c>
      <c r="M4763">
        <v>303</v>
      </c>
      <c r="N4763" t="str">
        <f t="shared" si="2259"/>
        <v>RECEITAS COM ENTREGAS</v>
      </c>
      <c r="O4763">
        <v>350.4</v>
      </c>
      <c r="R4763" t="str">
        <f t="shared" si="2260"/>
        <v>RECEITAS COM ENTREGAS (303)</v>
      </c>
      <c r="S4763">
        <v>2407</v>
      </c>
      <c r="T4763">
        <v>1898</v>
      </c>
      <c r="U4763" t="s">
        <v>19</v>
      </c>
    </row>
    <row r="4764" spans="1:21">
      <c r="A4764" t="str">
        <f t="shared" si="2255"/>
        <v>21/08/2025</v>
      </c>
      <c r="B4764" t="str">
        <f t="shared" si="2261"/>
        <v>ENTRADA</v>
      </c>
      <c r="C4764" t="str">
        <f t="shared" si="2256"/>
        <v>NFSE</v>
      </c>
      <c r="D4764" t="str">
        <f>"3359"</f>
        <v>3359</v>
      </c>
      <c r="E4764" t="str">
        <f t="shared" si="2238"/>
        <v>COM</v>
      </c>
      <c r="F4764" t="str">
        <f>"DROGA ELIDA (10121)"</f>
        <v>DROGA ELIDA (10121)</v>
      </c>
      <c r="G4764" t="str">
        <f>"Serv.Prest. 11/08/2025 a 17/08/2025 - RPS: 1125 - NFSe: 3359"</f>
        <v>Serv.Prest. 11/08/2025 a 17/08/2025 - RPS: 1125 - NFSe: 3359</v>
      </c>
      <c r="H4764" t="str">
        <f t="shared" si="2262"/>
        <v>20/08/2025</v>
      </c>
      <c r="I4764" t="str">
        <f t="shared" si="2263"/>
        <v>18/08/2025</v>
      </c>
      <c r="J4764" t="str">
        <f t="shared" si="2258"/>
        <v>21/08/2025</v>
      </c>
      <c r="M4764">
        <v>303</v>
      </c>
      <c r="N4764" t="str">
        <f t="shared" si="2259"/>
        <v>RECEITAS COM ENTREGAS</v>
      </c>
      <c r="P4764">
        <v>350.4</v>
      </c>
      <c r="Q4764" t="str">
        <f>"DROGA ELIDA (10121)"</f>
        <v>DROGA ELIDA (10121)</v>
      </c>
      <c r="R4764" t="str">
        <f t="shared" si="2260"/>
        <v>RECEITAS COM ENTREGAS (303)</v>
      </c>
      <c r="S4764">
        <v>2407</v>
      </c>
      <c r="T4764">
        <v>1898</v>
      </c>
      <c r="U4764" t="s">
        <v>19</v>
      </c>
    </row>
    <row r="4765" spans="1:21">
      <c r="A4765" t="str">
        <f t="shared" si="2255"/>
        <v>21/08/2025</v>
      </c>
      <c r="B4765" t="str">
        <f t="shared" si="2261"/>
        <v>ENTRADA</v>
      </c>
      <c r="C4765" t="str">
        <f t="shared" si="2256"/>
        <v>NFSE</v>
      </c>
      <c r="D4765" t="str">
        <f>"3363"</f>
        <v>3363</v>
      </c>
      <c r="E4765" t="str">
        <f t="shared" si="2238"/>
        <v>COM</v>
      </c>
      <c r="F4765" t="str">
        <f>"FARMACIA ECONOMIZE (10103)"</f>
        <v>FARMACIA ECONOMIZE (10103)</v>
      </c>
      <c r="G4765" t="str">
        <f>"Serv.Prest. 11/08/2025 a 17/08/2025 - RPS: 1131 - NFSe: 3363"</f>
        <v>Serv.Prest. 11/08/2025 a 17/08/2025 - RPS: 1131 - NFSe: 3363</v>
      </c>
      <c r="H4765" t="str">
        <f t="shared" si="2262"/>
        <v>20/08/2025</v>
      </c>
      <c r="I4765" t="str">
        <f t="shared" si="2263"/>
        <v>18/08/2025</v>
      </c>
      <c r="J4765" t="str">
        <f t="shared" si="2258"/>
        <v>21/08/2025</v>
      </c>
      <c r="K4765">
        <v>26.56</v>
      </c>
      <c r="L4765">
        <v>26.56</v>
      </c>
      <c r="M4765">
        <v>303</v>
      </c>
      <c r="N4765" t="str">
        <f t="shared" si="2259"/>
        <v>RECEITAS COM ENTREGAS</v>
      </c>
      <c r="O4765">
        <v>26.56</v>
      </c>
      <c r="R4765" t="str">
        <f t="shared" si="2260"/>
        <v>RECEITAS COM ENTREGAS (303)</v>
      </c>
      <c r="S4765">
        <v>2408</v>
      </c>
      <c r="T4765">
        <v>1904</v>
      </c>
      <c r="U4765" t="s">
        <v>19</v>
      </c>
    </row>
    <row r="4766" spans="1:21">
      <c r="A4766" t="str">
        <f t="shared" si="2255"/>
        <v>21/08/2025</v>
      </c>
      <c r="B4766" t="str">
        <f t="shared" si="2261"/>
        <v>ENTRADA</v>
      </c>
      <c r="C4766" t="str">
        <f t="shared" si="2256"/>
        <v>NFSE</v>
      </c>
      <c r="D4766" t="str">
        <f>"3363"</f>
        <v>3363</v>
      </c>
      <c r="E4766" t="str">
        <f t="shared" si="2238"/>
        <v>COM</v>
      </c>
      <c r="F4766" t="str">
        <f>"FARMACIA ECONOMIZE (10103)"</f>
        <v>FARMACIA ECONOMIZE (10103)</v>
      </c>
      <c r="G4766" t="str">
        <f>"Serv.Prest. 11/08/2025 a 17/08/2025 - RPS: 1131 - NFSe: 3363"</f>
        <v>Serv.Prest. 11/08/2025 a 17/08/2025 - RPS: 1131 - NFSe: 3363</v>
      </c>
      <c r="H4766" t="str">
        <f t="shared" si="2262"/>
        <v>20/08/2025</v>
      </c>
      <c r="I4766" t="str">
        <f t="shared" si="2263"/>
        <v>18/08/2025</v>
      </c>
      <c r="J4766" t="str">
        <f t="shared" si="2258"/>
        <v>21/08/2025</v>
      </c>
      <c r="M4766">
        <v>303</v>
      </c>
      <c r="N4766" t="str">
        <f t="shared" si="2259"/>
        <v>RECEITAS COM ENTREGAS</v>
      </c>
      <c r="P4766">
        <v>26.56</v>
      </c>
      <c r="Q4766" t="str">
        <f>"FARMACIA ECONOMIZE (10103)"</f>
        <v>FARMACIA ECONOMIZE (10103)</v>
      </c>
      <c r="R4766" t="str">
        <f t="shared" si="2260"/>
        <v>RECEITAS COM ENTREGAS (303)</v>
      </c>
      <c r="S4766">
        <v>2408</v>
      </c>
      <c r="T4766">
        <v>1904</v>
      </c>
      <c r="U4766" t="s">
        <v>19</v>
      </c>
    </row>
    <row r="4767" spans="1:21">
      <c r="A4767" t="str">
        <f t="shared" si="2255"/>
        <v>21/08/2025</v>
      </c>
      <c r="B4767" t="str">
        <f t="shared" si="2261"/>
        <v>ENTRADA</v>
      </c>
      <c r="C4767" t="str">
        <f t="shared" si="2256"/>
        <v>NFSE</v>
      </c>
      <c r="D4767" t="str">
        <f>"3371"</f>
        <v>3371</v>
      </c>
      <c r="E4767" t="str">
        <f t="shared" si="2238"/>
        <v>COM</v>
      </c>
      <c r="F4767" t="str">
        <f>"DROGARIA MEDIC CENTER LTDA (10172)"</f>
        <v>DROGARIA MEDIC CENTER LTDA (10172)</v>
      </c>
      <c r="G4767" t="str">
        <f>"Serv.Prest. 11/08/2025 a 17/08/2025 - RPS: 1133 - NFSe: 3371"</f>
        <v>Serv.Prest. 11/08/2025 a 17/08/2025 - RPS: 1133 - NFSe: 3371</v>
      </c>
      <c r="H4767" t="str">
        <f t="shared" si="2262"/>
        <v>20/08/2025</v>
      </c>
      <c r="I4767" t="str">
        <f t="shared" si="2263"/>
        <v>18/08/2025</v>
      </c>
      <c r="J4767" t="str">
        <f t="shared" si="2258"/>
        <v>21/08/2025</v>
      </c>
      <c r="K4767">
        <v>234.9</v>
      </c>
      <c r="L4767">
        <v>234.9</v>
      </c>
      <c r="M4767">
        <v>303</v>
      </c>
      <c r="N4767" t="str">
        <f t="shared" si="2259"/>
        <v>RECEITAS COM ENTREGAS</v>
      </c>
      <c r="O4767">
        <v>234.9</v>
      </c>
      <c r="R4767" t="str">
        <f t="shared" si="2260"/>
        <v>RECEITAS COM ENTREGAS (303)</v>
      </c>
      <c r="S4767">
        <v>2409</v>
      </c>
      <c r="T4767">
        <v>1906</v>
      </c>
      <c r="U4767" t="s">
        <v>19</v>
      </c>
    </row>
    <row r="4768" spans="1:21">
      <c r="A4768" t="str">
        <f t="shared" si="2255"/>
        <v>21/08/2025</v>
      </c>
      <c r="B4768" t="str">
        <f t="shared" si="2261"/>
        <v>ENTRADA</v>
      </c>
      <c r="C4768" t="str">
        <f t="shared" si="2256"/>
        <v>NFSE</v>
      </c>
      <c r="D4768" t="str">
        <f>"3371"</f>
        <v>3371</v>
      </c>
      <c r="E4768" t="str">
        <f t="shared" si="2238"/>
        <v>COM</v>
      </c>
      <c r="F4768" t="str">
        <f>"DROGARIA MEDIC CENTER LTDA (10172)"</f>
        <v>DROGARIA MEDIC CENTER LTDA (10172)</v>
      </c>
      <c r="G4768" t="str">
        <f>"Serv.Prest. 11/08/2025 a 17/08/2025 - RPS: 1133 - NFSe: 3371"</f>
        <v>Serv.Prest. 11/08/2025 a 17/08/2025 - RPS: 1133 - NFSe: 3371</v>
      </c>
      <c r="H4768" t="str">
        <f t="shared" si="2262"/>
        <v>20/08/2025</v>
      </c>
      <c r="I4768" t="str">
        <f t="shared" si="2263"/>
        <v>18/08/2025</v>
      </c>
      <c r="J4768" t="str">
        <f t="shared" si="2258"/>
        <v>21/08/2025</v>
      </c>
      <c r="M4768">
        <v>303</v>
      </c>
      <c r="N4768" t="str">
        <f t="shared" si="2259"/>
        <v>RECEITAS COM ENTREGAS</v>
      </c>
      <c r="P4768">
        <v>234.9</v>
      </c>
      <c r="Q4768" t="str">
        <f>"DROGARIA MEDIC CENTER LTDA (10172)"</f>
        <v>DROGARIA MEDIC CENTER LTDA (10172)</v>
      </c>
      <c r="R4768" t="str">
        <f t="shared" si="2260"/>
        <v>RECEITAS COM ENTREGAS (303)</v>
      </c>
      <c r="S4768">
        <v>2409</v>
      </c>
      <c r="T4768">
        <v>1906</v>
      </c>
      <c r="U4768" t="s">
        <v>19</v>
      </c>
    </row>
    <row r="4769" spans="1:21">
      <c r="A4769" t="str">
        <f t="shared" si="2255"/>
        <v>21/08/2025</v>
      </c>
      <c r="B4769" t="str">
        <f t="shared" si="2261"/>
        <v>ENTRADA</v>
      </c>
      <c r="C4769" t="str">
        <f t="shared" si="2256"/>
        <v>NFSE</v>
      </c>
      <c r="D4769" t="str">
        <f>"3367"</f>
        <v>3367</v>
      </c>
      <c r="E4769" t="str">
        <f t="shared" si="2238"/>
        <v>COM</v>
      </c>
      <c r="F4769" t="str">
        <f>"JAL FARMACIA E DROGARIA LJ 1 (10137)"</f>
        <v>JAL FARMACIA E DROGARIA LJ 1 (10137)</v>
      </c>
      <c r="G4769" t="str">
        <f>"Serv.Prest. 11/08/2025 a 17/08/2025 - RPS: 1136 - NFSe: 3367"</f>
        <v>Serv.Prest. 11/08/2025 a 17/08/2025 - RPS: 1136 - NFSe: 3367</v>
      </c>
      <c r="H4769" t="str">
        <f t="shared" si="2262"/>
        <v>20/08/2025</v>
      </c>
      <c r="I4769" t="str">
        <f t="shared" si="2263"/>
        <v>18/08/2025</v>
      </c>
      <c r="J4769" t="str">
        <f t="shared" si="2258"/>
        <v>21/08/2025</v>
      </c>
      <c r="K4769">
        <v>460.8</v>
      </c>
      <c r="L4769">
        <v>460.8</v>
      </c>
      <c r="M4769">
        <v>303</v>
      </c>
      <c r="N4769" t="str">
        <f t="shared" si="2259"/>
        <v>RECEITAS COM ENTREGAS</v>
      </c>
      <c r="O4769">
        <v>460.8</v>
      </c>
      <c r="R4769" t="str">
        <f t="shared" si="2260"/>
        <v>RECEITAS COM ENTREGAS (303)</v>
      </c>
      <c r="S4769">
        <v>2410</v>
      </c>
      <c r="T4769">
        <v>1909</v>
      </c>
      <c r="U4769" t="s">
        <v>19</v>
      </c>
    </row>
    <row r="4770" spans="1:21">
      <c r="A4770" t="str">
        <f t="shared" si="2255"/>
        <v>21/08/2025</v>
      </c>
      <c r="B4770" t="str">
        <f t="shared" si="2261"/>
        <v>ENTRADA</v>
      </c>
      <c r="C4770" t="str">
        <f t="shared" si="2256"/>
        <v>NFSE</v>
      </c>
      <c r="D4770" t="str">
        <f>"3367"</f>
        <v>3367</v>
      </c>
      <c r="E4770" t="str">
        <f t="shared" si="2238"/>
        <v>COM</v>
      </c>
      <c r="F4770" t="str">
        <f>"JAL FARMACIA E DROGARIA LJ 1 (10137)"</f>
        <v>JAL FARMACIA E DROGARIA LJ 1 (10137)</v>
      </c>
      <c r="G4770" t="str">
        <f>"Serv.Prest. 11/08/2025 a 17/08/2025 - RPS: 1136 - NFSe: 3367"</f>
        <v>Serv.Prest. 11/08/2025 a 17/08/2025 - RPS: 1136 - NFSe: 3367</v>
      </c>
      <c r="H4770" t="str">
        <f t="shared" si="2262"/>
        <v>20/08/2025</v>
      </c>
      <c r="I4770" t="str">
        <f t="shared" si="2263"/>
        <v>18/08/2025</v>
      </c>
      <c r="J4770" t="str">
        <f t="shared" si="2258"/>
        <v>21/08/2025</v>
      </c>
      <c r="M4770">
        <v>303</v>
      </c>
      <c r="N4770" t="str">
        <f t="shared" si="2259"/>
        <v>RECEITAS COM ENTREGAS</v>
      </c>
      <c r="P4770">
        <v>460.8</v>
      </c>
      <c r="Q4770" t="str">
        <f>"JAL FARMACIA E DROGARIA LJ 1 (10137)"</f>
        <v>JAL FARMACIA E DROGARIA LJ 1 (10137)</v>
      </c>
      <c r="R4770" t="str">
        <f t="shared" si="2260"/>
        <v>RECEITAS COM ENTREGAS (303)</v>
      </c>
      <c r="S4770">
        <v>2410</v>
      </c>
      <c r="T4770">
        <v>1909</v>
      </c>
      <c r="U4770" t="s">
        <v>19</v>
      </c>
    </row>
    <row r="4771" spans="1:21">
      <c r="A4771" t="str">
        <f t="shared" si="2255"/>
        <v>21/08/2025</v>
      </c>
      <c r="B4771" t="str">
        <f t="shared" si="2261"/>
        <v>ENTRADA</v>
      </c>
      <c r="C4771" t="str">
        <f t="shared" si="2256"/>
        <v>NFSE</v>
      </c>
      <c r="D4771" t="str">
        <f>"3358"</f>
        <v>3358</v>
      </c>
      <c r="E4771" t="str">
        <f t="shared" si="2238"/>
        <v>COM</v>
      </c>
      <c r="F4771" t="str">
        <f>"DROGARIA POUPA MINAS (ULTRAMINAS) 3 (10129)"</f>
        <v>DROGARIA POUPA MINAS (ULTRAMINAS) 3 (10129)</v>
      </c>
      <c r="G4771" t="str">
        <f>"Serv.Prest. 11/08/2025 a 17/08/2025 - RPS: 1124 - NFSe: 3358"</f>
        <v>Serv.Prest. 11/08/2025 a 17/08/2025 - RPS: 1124 - NFSe: 3358</v>
      </c>
      <c r="H4771" t="str">
        <f>("21/08/2025")</f>
        <v>21/08/2025</v>
      </c>
      <c r="I4771" t="str">
        <f t="shared" si="2263"/>
        <v>18/08/2025</v>
      </c>
      <c r="J4771" t="str">
        <f t="shared" si="2258"/>
        <v>21/08/2025</v>
      </c>
      <c r="K4771">
        <v>171.6</v>
      </c>
      <c r="L4771">
        <v>171.6</v>
      </c>
      <c r="M4771">
        <v>303</v>
      </c>
      <c r="N4771" t="str">
        <f t="shared" si="2259"/>
        <v>RECEITAS COM ENTREGAS</v>
      </c>
      <c r="O4771">
        <v>171.6</v>
      </c>
      <c r="R4771" t="str">
        <f t="shared" si="2260"/>
        <v>RECEITAS COM ENTREGAS (303)</v>
      </c>
      <c r="S4771">
        <v>2411</v>
      </c>
      <c r="T4771">
        <v>1896</v>
      </c>
      <c r="U4771" t="s">
        <v>19</v>
      </c>
    </row>
    <row r="4772" spans="1:21">
      <c r="A4772" t="str">
        <f t="shared" si="2255"/>
        <v>21/08/2025</v>
      </c>
      <c r="B4772" t="str">
        <f t="shared" si="2261"/>
        <v>ENTRADA</v>
      </c>
      <c r="C4772" t="str">
        <f t="shared" si="2256"/>
        <v>NFSE</v>
      </c>
      <c r="D4772" t="str">
        <f>"3358"</f>
        <v>3358</v>
      </c>
      <c r="E4772" t="str">
        <f t="shared" si="2238"/>
        <v>COM</v>
      </c>
      <c r="F4772" t="str">
        <f>"DROGARIA POUPA MINAS (ULTRAMINAS) 3 (10129)"</f>
        <v>DROGARIA POUPA MINAS (ULTRAMINAS) 3 (10129)</v>
      </c>
      <c r="G4772" t="str">
        <f>"Serv.Prest. 11/08/2025 a 17/08/2025 - RPS: 1124 - NFSe: 3358"</f>
        <v>Serv.Prest. 11/08/2025 a 17/08/2025 - RPS: 1124 - NFSe: 3358</v>
      </c>
      <c r="H4772" t="str">
        <f>("21/08/2025")</f>
        <v>21/08/2025</v>
      </c>
      <c r="I4772" t="str">
        <f t="shared" si="2263"/>
        <v>18/08/2025</v>
      </c>
      <c r="J4772" t="str">
        <f t="shared" si="2258"/>
        <v>21/08/2025</v>
      </c>
      <c r="M4772">
        <v>303</v>
      </c>
      <c r="N4772" t="str">
        <f t="shared" si="2259"/>
        <v>RECEITAS COM ENTREGAS</v>
      </c>
      <c r="P4772">
        <v>171.6</v>
      </c>
      <c r="Q4772" t="str">
        <f>"DROGARIA POUPA MINAS (ULTRAMINAS) 3 (10129)"</f>
        <v>DROGARIA POUPA MINAS (ULTRAMINAS) 3 (10129)</v>
      </c>
      <c r="R4772" t="str">
        <f t="shared" si="2260"/>
        <v>RECEITAS COM ENTREGAS (303)</v>
      </c>
      <c r="S4772">
        <v>2411</v>
      </c>
      <c r="T4772">
        <v>1896</v>
      </c>
      <c r="U4772" t="s">
        <v>19</v>
      </c>
    </row>
    <row r="4773" spans="1:21">
      <c r="A4773" t="str">
        <f t="shared" si="2255"/>
        <v>21/08/2025</v>
      </c>
      <c r="B4773" t="str">
        <f t="shared" si="2261"/>
        <v>ENTRADA</v>
      </c>
      <c r="C4773" t="str">
        <f t="shared" si="2256"/>
        <v>NFSE</v>
      </c>
      <c r="D4773" t="str">
        <f>"3383"</f>
        <v>3383</v>
      </c>
      <c r="E4773" t="str">
        <f t="shared" si="2238"/>
        <v>COM</v>
      </c>
      <c r="F4773" t="str">
        <f>"BRASIL FARMA (10173)"</f>
        <v>BRASIL FARMA (10173)</v>
      </c>
      <c r="G4773" t="str">
        <f>"Serv.Prest. 18/08/2025 a 24/08/2025 - RPS: 1149 - NFSe: 3383"</f>
        <v>Serv.Prest. 18/08/2025 a 24/08/2025 - RPS: 1149 - NFSe: 3383</v>
      </c>
      <c r="H4773" t="str">
        <f>("27/08/2025")</f>
        <v>27/08/2025</v>
      </c>
      <c r="I4773" t="str">
        <f>("25/08/2025")</f>
        <v>25/08/2025</v>
      </c>
      <c r="J4773" t="str">
        <f t="shared" si="2258"/>
        <v>21/08/2025</v>
      </c>
      <c r="K4773">
        <v>320.95999999999998</v>
      </c>
      <c r="L4773">
        <v>320.95999999999998</v>
      </c>
      <c r="M4773">
        <v>303</v>
      </c>
      <c r="N4773" t="str">
        <f t="shared" si="2259"/>
        <v>RECEITAS COM ENTREGAS</v>
      </c>
      <c r="O4773">
        <v>320.95999999999998</v>
      </c>
      <c r="R4773" t="str">
        <f t="shared" si="2260"/>
        <v>RECEITAS COM ENTREGAS (303)</v>
      </c>
      <c r="S4773">
        <v>2412</v>
      </c>
      <c r="T4773">
        <v>1942</v>
      </c>
      <c r="U4773" t="s">
        <v>19</v>
      </c>
    </row>
    <row r="4774" spans="1:21">
      <c r="A4774" t="str">
        <f t="shared" si="2255"/>
        <v>21/08/2025</v>
      </c>
      <c r="B4774" t="str">
        <f t="shared" si="2261"/>
        <v>ENTRADA</v>
      </c>
      <c r="C4774" t="str">
        <f t="shared" si="2256"/>
        <v>NFSE</v>
      </c>
      <c r="D4774" t="str">
        <f>"3383"</f>
        <v>3383</v>
      </c>
      <c r="E4774" t="str">
        <f t="shared" si="2238"/>
        <v>COM</v>
      </c>
      <c r="F4774" t="str">
        <f>"BRASIL FARMA (10173)"</f>
        <v>BRASIL FARMA (10173)</v>
      </c>
      <c r="G4774" t="str">
        <f>"Serv.Prest. 18/08/2025 a 24/08/2025 - RPS: 1149 - NFSe: 3383"</f>
        <v>Serv.Prest. 18/08/2025 a 24/08/2025 - RPS: 1149 - NFSe: 3383</v>
      </c>
      <c r="H4774" t="str">
        <f>("27/08/2025")</f>
        <v>27/08/2025</v>
      </c>
      <c r="I4774" t="str">
        <f>("25/08/2025")</f>
        <v>25/08/2025</v>
      </c>
      <c r="J4774" t="str">
        <f t="shared" si="2258"/>
        <v>21/08/2025</v>
      </c>
      <c r="M4774">
        <v>303</v>
      </c>
      <c r="N4774" t="str">
        <f t="shared" si="2259"/>
        <v>RECEITAS COM ENTREGAS</v>
      </c>
      <c r="P4774">
        <v>320.95999999999998</v>
      </c>
      <c r="Q4774" t="str">
        <f>"BRASIL FARMA (10173)"</f>
        <v>BRASIL FARMA (10173)</v>
      </c>
      <c r="R4774" t="str">
        <f t="shared" si="2260"/>
        <v>RECEITAS COM ENTREGAS (303)</v>
      </c>
      <c r="S4774">
        <v>2412</v>
      </c>
      <c r="T4774">
        <v>1942</v>
      </c>
      <c r="U4774" t="s">
        <v>19</v>
      </c>
    </row>
    <row r="4775" spans="1:21">
      <c r="A4775" t="str">
        <f t="shared" si="2255"/>
        <v>21/08/2025</v>
      </c>
      <c r="B4775" t="str">
        <f t="shared" si="2261"/>
        <v>ENTRADA</v>
      </c>
      <c r="C4775" t="str">
        <f t="shared" si="2256"/>
        <v>NFSE</v>
      </c>
      <c r="D4775" t="str">
        <f>"3384"</f>
        <v>3384</v>
      </c>
      <c r="E4775" t="str">
        <f t="shared" si="2238"/>
        <v>COM</v>
      </c>
      <c r="F4775" t="str">
        <f>"DROGARIA ANA VISCONDE DO RIO BRANCO (10182)"</f>
        <v>DROGARIA ANA VISCONDE DO RIO BRANCO (10182)</v>
      </c>
      <c r="G4775" t="str">
        <f>"Serv.Prest. 18/08/2025 a 24/08/2025 - RPS: 1150 - NFSe: 3384"</f>
        <v>Serv.Prest. 18/08/2025 a 24/08/2025 - RPS: 1150 - NFSe: 3384</v>
      </c>
      <c r="H4775" t="str">
        <f>("27/08/2025")</f>
        <v>27/08/2025</v>
      </c>
      <c r="I4775" t="str">
        <f>("25/08/2025")</f>
        <v>25/08/2025</v>
      </c>
      <c r="J4775" t="str">
        <f t="shared" si="2258"/>
        <v>21/08/2025</v>
      </c>
      <c r="K4775">
        <v>845.28</v>
      </c>
      <c r="L4775">
        <v>845.28</v>
      </c>
      <c r="M4775">
        <v>303</v>
      </c>
      <c r="N4775" t="str">
        <f t="shared" si="2259"/>
        <v>RECEITAS COM ENTREGAS</v>
      </c>
      <c r="O4775">
        <v>845.28</v>
      </c>
      <c r="R4775" t="str">
        <f t="shared" si="2260"/>
        <v>RECEITAS COM ENTREGAS (303)</v>
      </c>
      <c r="S4775">
        <v>2413</v>
      </c>
      <c r="T4775">
        <v>1943</v>
      </c>
      <c r="U4775" t="s">
        <v>19</v>
      </c>
    </row>
    <row r="4776" spans="1:21">
      <c r="A4776" t="str">
        <f t="shared" si="2255"/>
        <v>21/08/2025</v>
      </c>
      <c r="B4776" t="str">
        <f t="shared" si="2261"/>
        <v>ENTRADA</v>
      </c>
      <c r="C4776" t="str">
        <f t="shared" si="2256"/>
        <v>NFSE</v>
      </c>
      <c r="D4776" t="str">
        <f>"3384"</f>
        <v>3384</v>
      </c>
      <c r="E4776" t="str">
        <f t="shared" si="2238"/>
        <v>COM</v>
      </c>
      <c r="F4776" t="str">
        <f>"DROGARIA ANA VISCONDE DO RIO BRANCO (10182)"</f>
        <v>DROGARIA ANA VISCONDE DO RIO BRANCO (10182)</v>
      </c>
      <c r="G4776" t="str">
        <f>"Serv.Prest. 18/08/2025 a 24/08/2025 - RPS: 1150 - NFSe: 3384"</f>
        <v>Serv.Prest. 18/08/2025 a 24/08/2025 - RPS: 1150 - NFSe: 3384</v>
      </c>
      <c r="H4776" t="str">
        <f>("27/08/2025")</f>
        <v>27/08/2025</v>
      </c>
      <c r="I4776" t="str">
        <f>("25/08/2025")</f>
        <v>25/08/2025</v>
      </c>
      <c r="J4776" t="str">
        <f t="shared" si="2258"/>
        <v>21/08/2025</v>
      </c>
      <c r="M4776">
        <v>303</v>
      </c>
      <c r="N4776" t="str">
        <f t="shared" si="2259"/>
        <v>RECEITAS COM ENTREGAS</v>
      </c>
      <c r="P4776">
        <v>845.28</v>
      </c>
      <c r="Q4776" t="str">
        <f>"DROGARIA ANA VISCONDE DO RIO BRANCO (10182)"</f>
        <v>DROGARIA ANA VISCONDE DO RIO BRANCO (10182)</v>
      </c>
      <c r="R4776" t="str">
        <f t="shared" si="2260"/>
        <v>RECEITAS COM ENTREGAS (303)</v>
      </c>
      <c r="S4776">
        <v>2413</v>
      </c>
      <c r="T4776">
        <v>1943</v>
      </c>
      <c r="U4776" t="s">
        <v>19</v>
      </c>
    </row>
    <row r="4777" spans="1:21">
      <c r="A4777" t="str">
        <f t="shared" si="2255"/>
        <v>21/08/2025</v>
      </c>
      <c r="B4777" t="str">
        <f t="shared" ref="B4777:B4799" si="2264">"SAÍDA"</f>
        <v>SAÍDA</v>
      </c>
      <c r="C4777" t="str">
        <f>"PIX"</f>
        <v>PIX</v>
      </c>
      <c r="D4777" t="str">
        <f>"2108251000"</f>
        <v>2108251000</v>
      </c>
      <c r="E4777" t="str">
        <f t="shared" si="2238"/>
        <v>COM</v>
      </c>
      <c r="F4777" t="str">
        <f>"LILIANE DE FATIMA REZENDE JUSTINO (20013)"</f>
        <v>LILIANE DE FATIMA REZENDE JUSTINO (20013)</v>
      </c>
      <c r="G4777" t="str">
        <f>"DESPESAS VIAGEM BEBEDOURO/SAO PAULO"</f>
        <v>DESPESAS VIAGEM BEBEDOURO/SAO PAULO</v>
      </c>
      <c r="H4777" t="str">
        <f t="shared" ref="H4777:I4799" si="2265">("21/08/2025")</f>
        <v>21/08/2025</v>
      </c>
      <c r="I4777" t="str">
        <f t="shared" si="2265"/>
        <v>21/08/2025</v>
      </c>
      <c r="J4777" t="str">
        <f t="shared" si="2258"/>
        <v>21/08/2025</v>
      </c>
      <c r="K4777">
        <v>1000</v>
      </c>
      <c r="L4777">
        <v>1000</v>
      </c>
      <c r="M4777">
        <v>128</v>
      </c>
      <c r="N4777" t="str">
        <f>"DESPESAS COM VIAGENS"</f>
        <v>DESPESAS COM VIAGENS</v>
      </c>
      <c r="O4777">
        <v>1000</v>
      </c>
      <c r="R4777" t="str">
        <f t="shared" ref="R4777:R4799" si="2266">"BANCO CORA (102)"</f>
        <v>BANCO CORA (102)</v>
      </c>
      <c r="S4777">
        <v>2432</v>
      </c>
      <c r="T4777">
        <v>1966</v>
      </c>
      <c r="U4777" t="s">
        <v>19</v>
      </c>
    </row>
    <row r="4778" spans="1:21">
      <c r="A4778" t="str">
        <f t="shared" si="2255"/>
        <v>21/08/2025</v>
      </c>
      <c r="B4778" t="str">
        <f t="shared" si="2264"/>
        <v>SAÍDA</v>
      </c>
      <c r="C4778" t="str">
        <f>"PIX"</f>
        <v>PIX</v>
      </c>
      <c r="D4778" t="str">
        <f>"2108251000"</f>
        <v>2108251000</v>
      </c>
      <c r="E4778" t="str">
        <f t="shared" si="2238"/>
        <v>COM</v>
      </c>
      <c r="F4778" t="str">
        <f>"LILIANE DE FATIMA REZENDE JUSTINO (20013)"</f>
        <v>LILIANE DE FATIMA REZENDE JUSTINO (20013)</v>
      </c>
      <c r="G4778" t="str">
        <f>"DESPESAS VIAGEM BEBEDOURO/SAO PAULO"</f>
        <v>DESPESAS VIAGEM BEBEDOURO/SAO PAULO</v>
      </c>
      <c r="H4778" t="str">
        <f t="shared" si="2265"/>
        <v>21/08/2025</v>
      </c>
      <c r="I4778" t="str">
        <f t="shared" si="2265"/>
        <v>21/08/2025</v>
      </c>
      <c r="J4778" t="str">
        <f t="shared" si="2258"/>
        <v>21/08/2025</v>
      </c>
      <c r="M4778">
        <v>128</v>
      </c>
      <c r="N4778" t="str">
        <f>"DESPESAS COM VIAGENS"</f>
        <v>DESPESAS COM VIAGENS</v>
      </c>
      <c r="P4778">
        <v>1000</v>
      </c>
      <c r="Q4778" t="str">
        <f>"LILIANE DE FATIMA REZENDE JUSTINO (20013)"</f>
        <v>LILIANE DE FATIMA REZENDE JUSTINO (20013)</v>
      </c>
      <c r="R4778" t="str">
        <f t="shared" si="2266"/>
        <v>BANCO CORA (102)</v>
      </c>
      <c r="S4778">
        <v>2432</v>
      </c>
      <c r="T4778">
        <v>1966</v>
      </c>
      <c r="U4778" t="s">
        <v>19</v>
      </c>
    </row>
    <row r="4779" spans="1:21">
      <c r="A4779" t="str">
        <f t="shared" si="2255"/>
        <v>21/08/2025</v>
      </c>
      <c r="B4779" t="str">
        <f t="shared" si="2264"/>
        <v>SAÍDA</v>
      </c>
      <c r="C4779" t="str">
        <f t="shared" ref="C4779:C4799" si="2267">"CONHECIMENTO"</f>
        <v>CONHECIMENTO</v>
      </c>
      <c r="D4779" t="str">
        <f t="shared" ref="D4779:D4798" si="2268">"210825170"</f>
        <v>210825170</v>
      </c>
      <c r="E4779" t="str">
        <f t="shared" si="2238"/>
        <v>COM</v>
      </c>
      <c r="F4779" t="str">
        <f t="shared" ref="F4779:F4799" si="2269">"CORA SOCIEDADE DE CREDITO, FINANCIAMENTO E INVESTIMENTO (20035)"</f>
        <v>CORA SOCIEDADE DE CREDITO, FINANCIAMENTO E INVESTIMENTO (20035)</v>
      </c>
      <c r="G4779" t="str">
        <f t="shared" ref="G4779:G4798" si="2270">"TAXA BOLETO COMPENSADO"</f>
        <v>TAXA BOLETO COMPENSADO</v>
      </c>
      <c r="H4779" t="str">
        <f t="shared" si="2265"/>
        <v>21/08/2025</v>
      </c>
      <c r="I4779" t="str">
        <f t="shared" si="2265"/>
        <v>21/08/2025</v>
      </c>
      <c r="J4779" t="str">
        <f t="shared" si="2258"/>
        <v>21/08/2025</v>
      </c>
      <c r="K4779">
        <v>1.7</v>
      </c>
      <c r="L4779">
        <v>1.7</v>
      </c>
      <c r="M4779">
        <v>401</v>
      </c>
      <c r="N4779" t="str">
        <f t="shared" ref="N4779:N4799" si="2271">"IOF/JUROS/DESP.FINANCEIRA"</f>
        <v>IOF/JUROS/DESP.FINANCEIRA</v>
      </c>
      <c r="O4779">
        <v>1.7</v>
      </c>
      <c r="R4779" t="str">
        <f t="shared" si="2266"/>
        <v>BANCO CORA (102)</v>
      </c>
      <c r="S4779">
        <v>2436</v>
      </c>
      <c r="T4779">
        <v>1970</v>
      </c>
      <c r="U4779" t="s">
        <v>19</v>
      </c>
    </row>
    <row r="4780" spans="1:21">
      <c r="A4780" t="str">
        <f t="shared" si="2255"/>
        <v>21/08/2025</v>
      </c>
      <c r="B4780" t="str">
        <f t="shared" si="2264"/>
        <v>SAÍDA</v>
      </c>
      <c r="C4780" t="str">
        <f t="shared" si="2267"/>
        <v>CONHECIMENTO</v>
      </c>
      <c r="D4780" t="str">
        <f t="shared" si="2268"/>
        <v>210825170</v>
      </c>
      <c r="E4780" t="str">
        <f t="shared" si="2238"/>
        <v>COM</v>
      </c>
      <c r="F4780" t="str">
        <f t="shared" si="2269"/>
        <v>CORA SOCIEDADE DE CREDITO, FINANCIAMENTO E INVESTIMENTO (20035)</v>
      </c>
      <c r="G4780" t="str">
        <f t="shared" si="2270"/>
        <v>TAXA BOLETO COMPENSADO</v>
      </c>
      <c r="H4780" t="str">
        <f t="shared" si="2265"/>
        <v>21/08/2025</v>
      </c>
      <c r="I4780" t="str">
        <f t="shared" si="2265"/>
        <v>21/08/2025</v>
      </c>
      <c r="J4780" t="str">
        <f t="shared" si="2258"/>
        <v>21/08/2025</v>
      </c>
      <c r="M4780">
        <v>401</v>
      </c>
      <c r="N4780" t="str">
        <f t="shared" si="2271"/>
        <v>IOF/JUROS/DESP.FINANCEIRA</v>
      </c>
      <c r="P4780">
        <v>1.7</v>
      </c>
      <c r="Q4780" t="str">
        <f>"CORA SOCIEDADE DE CREDITO, FINANCIAMENTO E INVESTIMENTO (20035)"</f>
        <v>CORA SOCIEDADE DE CREDITO, FINANCIAMENTO E INVESTIMENTO (20035)</v>
      </c>
      <c r="R4780" t="str">
        <f t="shared" si="2266"/>
        <v>BANCO CORA (102)</v>
      </c>
      <c r="S4780">
        <v>2436</v>
      </c>
      <c r="T4780">
        <v>1970</v>
      </c>
      <c r="U4780" t="s">
        <v>19</v>
      </c>
    </row>
    <row r="4781" spans="1:21">
      <c r="A4781" t="str">
        <f t="shared" si="2255"/>
        <v>21/08/2025</v>
      </c>
      <c r="B4781" t="str">
        <f t="shared" si="2264"/>
        <v>SAÍDA</v>
      </c>
      <c r="C4781" t="str">
        <f t="shared" si="2267"/>
        <v>CONHECIMENTO</v>
      </c>
      <c r="D4781" t="str">
        <f t="shared" si="2268"/>
        <v>210825170</v>
      </c>
      <c r="E4781" t="str">
        <f t="shared" si="2238"/>
        <v>COM</v>
      </c>
      <c r="F4781" t="str">
        <f t="shared" si="2269"/>
        <v>CORA SOCIEDADE DE CREDITO, FINANCIAMENTO E INVESTIMENTO (20035)</v>
      </c>
      <c r="G4781" t="str">
        <f t="shared" si="2270"/>
        <v>TAXA BOLETO COMPENSADO</v>
      </c>
      <c r="H4781" t="str">
        <f t="shared" si="2265"/>
        <v>21/08/2025</v>
      </c>
      <c r="I4781" t="str">
        <f t="shared" si="2265"/>
        <v>21/08/2025</v>
      </c>
      <c r="J4781" t="str">
        <f t="shared" si="2258"/>
        <v>21/08/2025</v>
      </c>
      <c r="K4781">
        <v>1.7</v>
      </c>
      <c r="L4781">
        <v>1.7</v>
      </c>
      <c r="M4781">
        <v>401</v>
      </c>
      <c r="N4781" t="str">
        <f t="shared" si="2271"/>
        <v>IOF/JUROS/DESP.FINANCEIRA</v>
      </c>
      <c r="O4781">
        <v>1.7</v>
      </c>
      <c r="R4781" t="str">
        <f t="shared" si="2266"/>
        <v>BANCO CORA (102)</v>
      </c>
      <c r="S4781">
        <v>2437</v>
      </c>
      <c r="T4781">
        <v>1971</v>
      </c>
      <c r="U4781" t="s">
        <v>19</v>
      </c>
    </row>
    <row r="4782" spans="1:21">
      <c r="A4782" t="str">
        <f t="shared" si="2255"/>
        <v>21/08/2025</v>
      </c>
      <c r="B4782" t="str">
        <f t="shared" si="2264"/>
        <v>SAÍDA</v>
      </c>
      <c r="C4782" t="str">
        <f t="shared" si="2267"/>
        <v>CONHECIMENTO</v>
      </c>
      <c r="D4782" t="str">
        <f t="shared" si="2268"/>
        <v>210825170</v>
      </c>
      <c r="E4782" t="str">
        <f t="shared" si="2238"/>
        <v>COM</v>
      </c>
      <c r="F4782" t="str">
        <f t="shared" si="2269"/>
        <v>CORA SOCIEDADE DE CREDITO, FINANCIAMENTO E INVESTIMENTO (20035)</v>
      </c>
      <c r="G4782" t="str">
        <f t="shared" si="2270"/>
        <v>TAXA BOLETO COMPENSADO</v>
      </c>
      <c r="H4782" t="str">
        <f t="shared" si="2265"/>
        <v>21/08/2025</v>
      </c>
      <c r="I4782" t="str">
        <f t="shared" si="2265"/>
        <v>21/08/2025</v>
      </c>
      <c r="J4782" t="str">
        <f t="shared" si="2258"/>
        <v>21/08/2025</v>
      </c>
      <c r="M4782">
        <v>401</v>
      </c>
      <c r="N4782" t="str">
        <f t="shared" si="2271"/>
        <v>IOF/JUROS/DESP.FINANCEIRA</v>
      </c>
      <c r="P4782">
        <v>1.7</v>
      </c>
      <c r="Q4782" t="str">
        <f>"CORA SOCIEDADE DE CREDITO, FINANCIAMENTO E INVESTIMENTO (20035)"</f>
        <v>CORA SOCIEDADE DE CREDITO, FINANCIAMENTO E INVESTIMENTO (20035)</v>
      </c>
      <c r="R4782" t="str">
        <f t="shared" si="2266"/>
        <v>BANCO CORA (102)</v>
      </c>
      <c r="S4782">
        <v>2437</v>
      </c>
      <c r="T4782">
        <v>1971</v>
      </c>
      <c r="U4782" t="s">
        <v>19</v>
      </c>
    </row>
    <row r="4783" spans="1:21">
      <c r="A4783" t="str">
        <f t="shared" si="2255"/>
        <v>21/08/2025</v>
      </c>
      <c r="B4783" t="str">
        <f t="shared" si="2264"/>
        <v>SAÍDA</v>
      </c>
      <c r="C4783" t="str">
        <f t="shared" si="2267"/>
        <v>CONHECIMENTO</v>
      </c>
      <c r="D4783" t="str">
        <f t="shared" si="2268"/>
        <v>210825170</v>
      </c>
      <c r="E4783" t="str">
        <f t="shared" ref="E4783:E4846" si="2272">"COM"</f>
        <v>COM</v>
      </c>
      <c r="F4783" t="str">
        <f t="shared" si="2269"/>
        <v>CORA SOCIEDADE DE CREDITO, FINANCIAMENTO E INVESTIMENTO (20035)</v>
      </c>
      <c r="G4783" t="str">
        <f t="shared" si="2270"/>
        <v>TAXA BOLETO COMPENSADO</v>
      </c>
      <c r="H4783" t="str">
        <f t="shared" si="2265"/>
        <v>21/08/2025</v>
      </c>
      <c r="I4783" t="str">
        <f t="shared" si="2265"/>
        <v>21/08/2025</v>
      </c>
      <c r="J4783" t="str">
        <f t="shared" si="2258"/>
        <v>21/08/2025</v>
      </c>
      <c r="K4783">
        <v>1.7</v>
      </c>
      <c r="L4783">
        <v>1.7</v>
      </c>
      <c r="M4783">
        <v>401</v>
      </c>
      <c r="N4783" t="str">
        <f t="shared" si="2271"/>
        <v>IOF/JUROS/DESP.FINANCEIRA</v>
      </c>
      <c r="O4783">
        <v>1.7</v>
      </c>
      <c r="R4783" t="str">
        <f t="shared" si="2266"/>
        <v>BANCO CORA (102)</v>
      </c>
      <c r="S4783">
        <v>2438</v>
      </c>
      <c r="T4783">
        <v>1972</v>
      </c>
      <c r="U4783" t="s">
        <v>19</v>
      </c>
    </row>
    <row r="4784" spans="1:21">
      <c r="A4784" t="str">
        <f t="shared" si="2255"/>
        <v>21/08/2025</v>
      </c>
      <c r="B4784" t="str">
        <f t="shared" si="2264"/>
        <v>SAÍDA</v>
      </c>
      <c r="C4784" t="str">
        <f t="shared" si="2267"/>
        <v>CONHECIMENTO</v>
      </c>
      <c r="D4784" t="str">
        <f t="shared" si="2268"/>
        <v>210825170</v>
      </c>
      <c r="E4784" t="str">
        <f t="shared" si="2272"/>
        <v>COM</v>
      </c>
      <c r="F4784" t="str">
        <f t="shared" si="2269"/>
        <v>CORA SOCIEDADE DE CREDITO, FINANCIAMENTO E INVESTIMENTO (20035)</v>
      </c>
      <c r="G4784" t="str">
        <f t="shared" si="2270"/>
        <v>TAXA BOLETO COMPENSADO</v>
      </c>
      <c r="H4784" t="str">
        <f t="shared" si="2265"/>
        <v>21/08/2025</v>
      </c>
      <c r="I4784" t="str">
        <f t="shared" si="2265"/>
        <v>21/08/2025</v>
      </c>
      <c r="J4784" t="str">
        <f t="shared" si="2258"/>
        <v>21/08/2025</v>
      </c>
      <c r="M4784">
        <v>401</v>
      </c>
      <c r="N4784" t="str">
        <f t="shared" si="2271"/>
        <v>IOF/JUROS/DESP.FINANCEIRA</v>
      </c>
      <c r="P4784">
        <v>1.7</v>
      </c>
      <c r="Q4784" t="str">
        <f>"CORA SOCIEDADE DE CREDITO, FINANCIAMENTO E INVESTIMENTO (20035)"</f>
        <v>CORA SOCIEDADE DE CREDITO, FINANCIAMENTO E INVESTIMENTO (20035)</v>
      </c>
      <c r="R4784" t="str">
        <f t="shared" si="2266"/>
        <v>BANCO CORA (102)</v>
      </c>
      <c r="S4784">
        <v>2438</v>
      </c>
      <c r="T4784">
        <v>1972</v>
      </c>
      <c r="U4784" t="s">
        <v>19</v>
      </c>
    </row>
    <row r="4785" spans="1:21">
      <c r="A4785" t="str">
        <f t="shared" si="2255"/>
        <v>21/08/2025</v>
      </c>
      <c r="B4785" t="str">
        <f t="shared" si="2264"/>
        <v>SAÍDA</v>
      </c>
      <c r="C4785" t="str">
        <f t="shared" si="2267"/>
        <v>CONHECIMENTO</v>
      </c>
      <c r="D4785" t="str">
        <f t="shared" si="2268"/>
        <v>210825170</v>
      </c>
      <c r="E4785" t="str">
        <f t="shared" si="2272"/>
        <v>COM</v>
      </c>
      <c r="F4785" t="str">
        <f t="shared" si="2269"/>
        <v>CORA SOCIEDADE DE CREDITO, FINANCIAMENTO E INVESTIMENTO (20035)</v>
      </c>
      <c r="G4785" t="str">
        <f t="shared" si="2270"/>
        <v>TAXA BOLETO COMPENSADO</v>
      </c>
      <c r="H4785" t="str">
        <f t="shared" si="2265"/>
        <v>21/08/2025</v>
      </c>
      <c r="I4785" t="str">
        <f t="shared" si="2265"/>
        <v>21/08/2025</v>
      </c>
      <c r="J4785" t="str">
        <f t="shared" si="2258"/>
        <v>21/08/2025</v>
      </c>
      <c r="K4785">
        <v>1.7</v>
      </c>
      <c r="L4785">
        <v>1.7</v>
      </c>
      <c r="M4785">
        <v>401</v>
      </c>
      <c r="N4785" t="str">
        <f t="shared" si="2271"/>
        <v>IOF/JUROS/DESP.FINANCEIRA</v>
      </c>
      <c r="O4785">
        <v>1.7</v>
      </c>
      <c r="R4785" t="str">
        <f t="shared" si="2266"/>
        <v>BANCO CORA (102)</v>
      </c>
      <c r="S4785">
        <v>2439</v>
      </c>
      <c r="T4785">
        <v>1973</v>
      </c>
      <c r="U4785" t="s">
        <v>19</v>
      </c>
    </row>
    <row r="4786" spans="1:21">
      <c r="A4786" t="str">
        <f t="shared" si="2255"/>
        <v>21/08/2025</v>
      </c>
      <c r="B4786" t="str">
        <f t="shared" si="2264"/>
        <v>SAÍDA</v>
      </c>
      <c r="C4786" t="str">
        <f t="shared" si="2267"/>
        <v>CONHECIMENTO</v>
      </c>
      <c r="D4786" t="str">
        <f t="shared" si="2268"/>
        <v>210825170</v>
      </c>
      <c r="E4786" t="str">
        <f t="shared" si="2272"/>
        <v>COM</v>
      </c>
      <c r="F4786" t="str">
        <f t="shared" si="2269"/>
        <v>CORA SOCIEDADE DE CREDITO, FINANCIAMENTO E INVESTIMENTO (20035)</v>
      </c>
      <c r="G4786" t="str">
        <f t="shared" si="2270"/>
        <v>TAXA BOLETO COMPENSADO</v>
      </c>
      <c r="H4786" t="str">
        <f t="shared" si="2265"/>
        <v>21/08/2025</v>
      </c>
      <c r="I4786" t="str">
        <f t="shared" si="2265"/>
        <v>21/08/2025</v>
      </c>
      <c r="J4786" t="str">
        <f t="shared" si="2258"/>
        <v>21/08/2025</v>
      </c>
      <c r="M4786">
        <v>401</v>
      </c>
      <c r="N4786" t="str">
        <f t="shared" si="2271"/>
        <v>IOF/JUROS/DESP.FINANCEIRA</v>
      </c>
      <c r="P4786">
        <v>1.7</v>
      </c>
      <c r="Q4786" t="str">
        <f>"CORA SOCIEDADE DE CREDITO, FINANCIAMENTO E INVESTIMENTO (20035)"</f>
        <v>CORA SOCIEDADE DE CREDITO, FINANCIAMENTO E INVESTIMENTO (20035)</v>
      </c>
      <c r="R4786" t="str">
        <f t="shared" si="2266"/>
        <v>BANCO CORA (102)</v>
      </c>
      <c r="S4786">
        <v>2439</v>
      </c>
      <c r="T4786">
        <v>1973</v>
      </c>
      <c r="U4786" t="s">
        <v>19</v>
      </c>
    </row>
    <row r="4787" spans="1:21">
      <c r="A4787" t="str">
        <f t="shared" si="2255"/>
        <v>21/08/2025</v>
      </c>
      <c r="B4787" t="str">
        <f t="shared" si="2264"/>
        <v>SAÍDA</v>
      </c>
      <c r="C4787" t="str">
        <f t="shared" si="2267"/>
        <v>CONHECIMENTO</v>
      </c>
      <c r="D4787" t="str">
        <f t="shared" si="2268"/>
        <v>210825170</v>
      </c>
      <c r="E4787" t="str">
        <f t="shared" si="2272"/>
        <v>COM</v>
      </c>
      <c r="F4787" t="str">
        <f t="shared" si="2269"/>
        <v>CORA SOCIEDADE DE CREDITO, FINANCIAMENTO E INVESTIMENTO (20035)</v>
      </c>
      <c r="G4787" t="str">
        <f t="shared" si="2270"/>
        <v>TAXA BOLETO COMPENSADO</v>
      </c>
      <c r="H4787" t="str">
        <f t="shared" si="2265"/>
        <v>21/08/2025</v>
      </c>
      <c r="I4787" t="str">
        <f t="shared" si="2265"/>
        <v>21/08/2025</v>
      </c>
      <c r="J4787" t="str">
        <f t="shared" si="2258"/>
        <v>21/08/2025</v>
      </c>
      <c r="K4787">
        <v>1.7</v>
      </c>
      <c r="L4787">
        <v>1.7</v>
      </c>
      <c r="M4787">
        <v>401</v>
      </c>
      <c r="N4787" t="str">
        <f t="shared" si="2271"/>
        <v>IOF/JUROS/DESP.FINANCEIRA</v>
      </c>
      <c r="O4787">
        <v>1.7</v>
      </c>
      <c r="R4787" t="str">
        <f t="shared" si="2266"/>
        <v>BANCO CORA (102)</v>
      </c>
      <c r="S4787">
        <v>2440</v>
      </c>
      <c r="T4787">
        <v>1974</v>
      </c>
      <c r="U4787" t="s">
        <v>19</v>
      </c>
    </row>
    <row r="4788" spans="1:21">
      <c r="A4788" t="str">
        <f t="shared" si="2255"/>
        <v>21/08/2025</v>
      </c>
      <c r="B4788" t="str">
        <f t="shared" si="2264"/>
        <v>SAÍDA</v>
      </c>
      <c r="C4788" t="str">
        <f t="shared" si="2267"/>
        <v>CONHECIMENTO</v>
      </c>
      <c r="D4788" t="str">
        <f t="shared" si="2268"/>
        <v>210825170</v>
      </c>
      <c r="E4788" t="str">
        <f t="shared" si="2272"/>
        <v>COM</v>
      </c>
      <c r="F4788" t="str">
        <f t="shared" si="2269"/>
        <v>CORA SOCIEDADE DE CREDITO, FINANCIAMENTO E INVESTIMENTO (20035)</v>
      </c>
      <c r="G4788" t="str">
        <f t="shared" si="2270"/>
        <v>TAXA BOLETO COMPENSADO</v>
      </c>
      <c r="H4788" t="str">
        <f t="shared" si="2265"/>
        <v>21/08/2025</v>
      </c>
      <c r="I4788" t="str">
        <f t="shared" si="2265"/>
        <v>21/08/2025</v>
      </c>
      <c r="J4788" t="str">
        <f t="shared" si="2258"/>
        <v>21/08/2025</v>
      </c>
      <c r="M4788">
        <v>401</v>
      </c>
      <c r="N4788" t="str">
        <f t="shared" si="2271"/>
        <v>IOF/JUROS/DESP.FINANCEIRA</v>
      </c>
      <c r="P4788">
        <v>1.7</v>
      </c>
      <c r="Q4788" t="str">
        <f>"CORA SOCIEDADE DE CREDITO, FINANCIAMENTO E INVESTIMENTO (20035)"</f>
        <v>CORA SOCIEDADE DE CREDITO, FINANCIAMENTO E INVESTIMENTO (20035)</v>
      </c>
      <c r="R4788" t="str">
        <f t="shared" si="2266"/>
        <v>BANCO CORA (102)</v>
      </c>
      <c r="S4788">
        <v>2440</v>
      </c>
      <c r="T4788">
        <v>1974</v>
      </c>
      <c r="U4788" t="s">
        <v>19</v>
      </c>
    </row>
    <row r="4789" spans="1:21">
      <c r="A4789" t="str">
        <f t="shared" si="2255"/>
        <v>21/08/2025</v>
      </c>
      <c r="B4789" t="str">
        <f t="shared" si="2264"/>
        <v>SAÍDA</v>
      </c>
      <c r="C4789" t="str">
        <f t="shared" si="2267"/>
        <v>CONHECIMENTO</v>
      </c>
      <c r="D4789" t="str">
        <f t="shared" si="2268"/>
        <v>210825170</v>
      </c>
      <c r="E4789" t="str">
        <f t="shared" si="2272"/>
        <v>COM</v>
      </c>
      <c r="F4789" t="str">
        <f t="shared" si="2269"/>
        <v>CORA SOCIEDADE DE CREDITO, FINANCIAMENTO E INVESTIMENTO (20035)</v>
      </c>
      <c r="G4789" t="str">
        <f t="shared" si="2270"/>
        <v>TAXA BOLETO COMPENSADO</v>
      </c>
      <c r="H4789" t="str">
        <f t="shared" si="2265"/>
        <v>21/08/2025</v>
      </c>
      <c r="I4789" t="str">
        <f t="shared" si="2265"/>
        <v>21/08/2025</v>
      </c>
      <c r="J4789" t="str">
        <f t="shared" si="2258"/>
        <v>21/08/2025</v>
      </c>
      <c r="K4789">
        <v>1.7</v>
      </c>
      <c r="L4789">
        <v>1.7</v>
      </c>
      <c r="M4789">
        <v>401</v>
      </c>
      <c r="N4789" t="str">
        <f t="shared" si="2271"/>
        <v>IOF/JUROS/DESP.FINANCEIRA</v>
      </c>
      <c r="O4789">
        <v>1.7</v>
      </c>
      <c r="R4789" t="str">
        <f t="shared" si="2266"/>
        <v>BANCO CORA (102)</v>
      </c>
      <c r="S4789">
        <v>2441</v>
      </c>
      <c r="T4789">
        <v>1975</v>
      </c>
      <c r="U4789" t="s">
        <v>19</v>
      </c>
    </row>
    <row r="4790" spans="1:21">
      <c r="A4790" t="str">
        <f t="shared" si="2255"/>
        <v>21/08/2025</v>
      </c>
      <c r="B4790" t="str">
        <f t="shared" si="2264"/>
        <v>SAÍDA</v>
      </c>
      <c r="C4790" t="str">
        <f t="shared" si="2267"/>
        <v>CONHECIMENTO</v>
      </c>
      <c r="D4790" t="str">
        <f t="shared" si="2268"/>
        <v>210825170</v>
      </c>
      <c r="E4790" t="str">
        <f t="shared" si="2272"/>
        <v>COM</v>
      </c>
      <c r="F4790" t="str">
        <f t="shared" si="2269"/>
        <v>CORA SOCIEDADE DE CREDITO, FINANCIAMENTO E INVESTIMENTO (20035)</v>
      </c>
      <c r="G4790" t="str">
        <f t="shared" si="2270"/>
        <v>TAXA BOLETO COMPENSADO</v>
      </c>
      <c r="H4790" t="str">
        <f t="shared" si="2265"/>
        <v>21/08/2025</v>
      </c>
      <c r="I4790" t="str">
        <f t="shared" si="2265"/>
        <v>21/08/2025</v>
      </c>
      <c r="J4790" t="str">
        <f t="shared" si="2258"/>
        <v>21/08/2025</v>
      </c>
      <c r="M4790">
        <v>401</v>
      </c>
      <c r="N4790" t="str">
        <f t="shared" si="2271"/>
        <v>IOF/JUROS/DESP.FINANCEIRA</v>
      </c>
      <c r="P4790">
        <v>1.7</v>
      </c>
      <c r="Q4790" t="str">
        <f>"CORA SOCIEDADE DE CREDITO, FINANCIAMENTO E INVESTIMENTO (20035)"</f>
        <v>CORA SOCIEDADE DE CREDITO, FINANCIAMENTO E INVESTIMENTO (20035)</v>
      </c>
      <c r="R4790" t="str">
        <f t="shared" si="2266"/>
        <v>BANCO CORA (102)</v>
      </c>
      <c r="S4790">
        <v>2441</v>
      </c>
      <c r="T4790">
        <v>1975</v>
      </c>
      <c r="U4790" t="s">
        <v>19</v>
      </c>
    </row>
    <row r="4791" spans="1:21">
      <c r="A4791" t="str">
        <f t="shared" si="2255"/>
        <v>21/08/2025</v>
      </c>
      <c r="B4791" t="str">
        <f t="shared" si="2264"/>
        <v>SAÍDA</v>
      </c>
      <c r="C4791" t="str">
        <f t="shared" si="2267"/>
        <v>CONHECIMENTO</v>
      </c>
      <c r="D4791" t="str">
        <f t="shared" si="2268"/>
        <v>210825170</v>
      </c>
      <c r="E4791" t="str">
        <f t="shared" si="2272"/>
        <v>COM</v>
      </c>
      <c r="F4791" t="str">
        <f t="shared" si="2269"/>
        <v>CORA SOCIEDADE DE CREDITO, FINANCIAMENTO E INVESTIMENTO (20035)</v>
      </c>
      <c r="G4791" t="str">
        <f t="shared" si="2270"/>
        <v>TAXA BOLETO COMPENSADO</v>
      </c>
      <c r="H4791" t="str">
        <f t="shared" si="2265"/>
        <v>21/08/2025</v>
      </c>
      <c r="I4791" t="str">
        <f t="shared" si="2265"/>
        <v>21/08/2025</v>
      </c>
      <c r="J4791" t="str">
        <f t="shared" si="2258"/>
        <v>21/08/2025</v>
      </c>
      <c r="K4791">
        <v>1.7</v>
      </c>
      <c r="L4791">
        <v>1.7</v>
      </c>
      <c r="M4791">
        <v>401</v>
      </c>
      <c r="N4791" t="str">
        <f t="shared" si="2271"/>
        <v>IOF/JUROS/DESP.FINANCEIRA</v>
      </c>
      <c r="O4791">
        <v>1.7</v>
      </c>
      <c r="R4791" t="str">
        <f t="shared" si="2266"/>
        <v>BANCO CORA (102)</v>
      </c>
      <c r="S4791">
        <v>2442</v>
      </c>
      <c r="T4791">
        <v>1976</v>
      </c>
      <c r="U4791" t="s">
        <v>19</v>
      </c>
    </row>
    <row r="4792" spans="1:21">
      <c r="A4792" t="str">
        <f t="shared" si="2255"/>
        <v>21/08/2025</v>
      </c>
      <c r="B4792" t="str">
        <f t="shared" si="2264"/>
        <v>SAÍDA</v>
      </c>
      <c r="C4792" t="str">
        <f t="shared" si="2267"/>
        <v>CONHECIMENTO</v>
      </c>
      <c r="D4792" t="str">
        <f t="shared" si="2268"/>
        <v>210825170</v>
      </c>
      <c r="E4792" t="str">
        <f t="shared" si="2272"/>
        <v>COM</v>
      </c>
      <c r="F4792" t="str">
        <f t="shared" si="2269"/>
        <v>CORA SOCIEDADE DE CREDITO, FINANCIAMENTO E INVESTIMENTO (20035)</v>
      </c>
      <c r="G4792" t="str">
        <f t="shared" si="2270"/>
        <v>TAXA BOLETO COMPENSADO</v>
      </c>
      <c r="H4792" t="str">
        <f t="shared" si="2265"/>
        <v>21/08/2025</v>
      </c>
      <c r="I4792" t="str">
        <f t="shared" si="2265"/>
        <v>21/08/2025</v>
      </c>
      <c r="J4792" t="str">
        <f t="shared" si="2258"/>
        <v>21/08/2025</v>
      </c>
      <c r="M4792">
        <v>401</v>
      </c>
      <c r="N4792" t="str">
        <f t="shared" si="2271"/>
        <v>IOF/JUROS/DESP.FINANCEIRA</v>
      </c>
      <c r="P4792">
        <v>1.7</v>
      </c>
      <c r="Q4792" t="str">
        <f>"CORA SOCIEDADE DE CREDITO, FINANCIAMENTO E INVESTIMENTO (20035)"</f>
        <v>CORA SOCIEDADE DE CREDITO, FINANCIAMENTO E INVESTIMENTO (20035)</v>
      </c>
      <c r="R4792" t="str">
        <f t="shared" si="2266"/>
        <v>BANCO CORA (102)</v>
      </c>
      <c r="S4792">
        <v>2442</v>
      </c>
      <c r="T4792">
        <v>1976</v>
      </c>
      <c r="U4792" t="s">
        <v>19</v>
      </c>
    </row>
    <row r="4793" spans="1:21">
      <c r="A4793" t="str">
        <f t="shared" si="2255"/>
        <v>21/08/2025</v>
      </c>
      <c r="B4793" t="str">
        <f t="shared" si="2264"/>
        <v>SAÍDA</v>
      </c>
      <c r="C4793" t="str">
        <f t="shared" si="2267"/>
        <v>CONHECIMENTO</v>
      </c>
      <c r="D4793" t="str">
        <f t="shared" si="2268"/>
        <v>210825170</v>
      </c>
      <c r="E4793" t="str">
        <f t="shared" si="2272"/>
        <v>COM</v>
      </c>
      <c r="F4793" t="str">
        <f t="shared" si="2269"/>
        <v>CORA SOCIEDADE DE CREDITO, FINANCIAMENTO E INVESTIMENTO (20035)</v>
      </c>
      <c r="G4793" t="str">
        <f t="shared" si="2270"/>
        <v>TAXA BOLETO COMPENSADO</v>
      </c>
      <c r="H4793" t="str">
        <f t="shared" si="2265"/>
        <v>21/08/2025</v>
      </c>
      <c r="I4793" t="str">
        <f t="shared" si="2265"/>
        <v>21/08/2025</v>
      </c>
      <c r="J4793" t="str">
        <f t="shared" si="2258"/>
        <v>21/08/2025</v>
      </c>
      <c r="K4793">
        <v>1.7</v>
      </c>
      <c r="L4793">
        <v>1.7</v>
      </c>
      <c r="M4793">
        <v>401</v>
      </c>
      <c r="N4793" t="str">
        <f t="shared" si="2271"/>
        <v>IOF/JUROS/DESP.FINANCEIRA</v>
      </c>
      <c r="O4793">
        <v>1.7</v>
      </c>
      <c r="R4793" t="str">
        <f t="shared" si="2266"/>
        <v>BANCO CORA (102)</v>
      </c>
      <c r="S4793">
        <v>2443</v>
      </c>
      <c r="T4793">
        <v>1977</v>
      </c>
      <c r="U4793" t="s">
        <v>19</v>
      </c>
    </row>
    <row r="4794" spans="1:21">
      <c r="A4794" t="str">
        <f t="shared" si="2255"/>
        <v>21/08/2025</v>
      </c>
      <c r="B4794" t="str">
        <f t="shared" si="2264"/>
        <v>SAÍDA</v>
      </c>
      <c r="C4794" t="str">
        <f t="shared" si="2267"/>
        <v>CONHECIMENTO</v>
      </c>
      <c r="D4794" t="str">
        <f t="shared" si="2268"/>
        <v>210825170</v>
      </c>
      <c r="E4794" t="str">
        <f t="shared" si="2272"/>
        <v>COM</v>
      </c>
      <c r="F4794" t="str">
        <f t="shared" si="2269"/>
        <v>CORA SOCIEDADE DE CREDITO, FINANCIAMENTO E INVESTIMENTO (20035)</v>
      </c>
      <c r="G4794" t="str">
        <f t="shared" si="2270"/>
        <v>TAXA BOLETO COMPENSADO</v>
      </c>
      <c r="H4794" t="str">
        <f t="shared" si="2265"/>
        <v>21/08/2025</v>
      </c>
      <c r="I4794" t="str">
        <f t="shared" si="2265"/>
        <v>21/08/2025</v>
      </c>
      <c r="J4794" t="str">
        <f t="shared" si="2258"/>
        <v>21/08/2025</v>
      </c>
      <c r="M4794">
        <v>401</v>
      </c>
      <c r="N4794" t="str">
        <f t="shared" si="2271"/>
        <v>IOF/JUROS/DESP.FINANCEIRA</v>
      </c>
      <c r="P4794">
        <v>1.7</v>
      </c>
      <c r="Q4794" t="str">
        <f>"CORA SOCIEDADE DE CREDITO, FINANCIAMENTO E INVESTIMENTO (20035)"</f>
        <v>CORA SOCIEDADE DE CREDITO, FINANCIAMENTO E INVESTIMENTO (20035)</v>
      </c>
      <c r="R4794" t="str">
        <f t="shared" si="2266"/>
        <v>BANCO CORA (102)</v>
      </c>
      <c r="S4794">
        <v>2443</v>
      </c>
      <c r="T4794">
        <v>1977</v>
      </c>
      <c r="U4794" t="s">
        <v>19</v>
      </c>
    </row>
    <row r="4795" spans="1:21">
      <c r="A4795" t="str">
        <f t="shared" si="2255"/>
        <v>21/08/2025</v>
      </c>
      <c r="B4795" t="str">
        <f t="shared" si="2264"/>
        <v>SAÍDA</v>
      </c>
      <c r="C4795" t="str">
        <f t="shared" si="2267"/>
        <v>CONHECIMENTO</v>
      </c>
      <c r="D4795" t="str">
        <f t="shared" si="2268"/>
        <v>210825170</v>
      </c>
      <c r="E4795" t="str">
        <f t="shared" si="2272"/>
        <v>COM</v>
      </c>
      <c r="F4795" t="str">
        <f t="shared" si="2269"/>
        <v>CORA SOCIEDADE DE CREDITO, FINANCIAMENTO E INVESTIMENTO (20035)</v>
      </c>
      <c r="G4795" t="str">
        <f t="shared" si="2270"/>
        <v>TAXA BOLETO COMPENSADO</v>
      </c>
      <c r="H4795" t="str">
        <f t="shared" si="2265"/>
        <v>21/08/2025</v>
      </c>
      <c r="I4795" t="str">
        <f t="shared" si="2265"/>
        <v>21/08/2025</v>
      </c>
      <c r="J4795" t="str">
        <f t="shared" si="2258"/>
        <v>21/08/2025</v>
      </c>
      <c r="K4795">
        <v>1.7</v>
      </c>
      <c r="L4795">
        <v>1.7</v>
      </c>
      <c r="M4795">
        <v>401</v>
      </c>
      <c r="N4795" t="str">
        <f t="shared" si="2271"/>
        <v>IOF/JUROS/DESP.FINANCEIRA</v>
      </c>
      <c r="O4795">
        <v>1.7</v>
      </c>
      <c r="R4795" t="str">
        <f t="shared" si="2266"/>
        <v>BANCO CORA (102)</v>
      </c>
      <c r="S4795">
        <v>2444</v>
      </c>
      <c r="T4795">
        <v>1978</v>
      </c>
      <c r="U4795" t="s">
        <v>19</v>
      </c>
    </row>
    <row r="4796" spans="1:21">
      <c r="A4796" t="str">
        <f t="shared" si="2255"/>
        <v>21/08/2025</v>
      </c>
      <c r="B4796" t="str">
        <f t="shared" si="2264"/>
        <v>SAÍDA</v>
      </c>
      <c r="C4796" t="str">
        <f t="shared" si="2267"/>
        <v>CONHECIMENTO</v>
      </c>
      <c r="D4796" t="str">
        <f t="shared" si="2268"/>
        <v>210825170</v>
      </c>
      <c r="E4796" t="str">
        <f t="shared" si="2272"/>
        <v>COM</v>
      </c>
      <c r="F4796" t="str">
        <f t="shared" si="2269"/>
        <v>CORA SOCIEDADE DE CREDITO, FINANCIAMENTO E INVESTIMENTO (20035)</v>
      </c>
      <c r="G4796" t="str">
        <f t="shared" si="2270"/>
        <v>TAXA BOLETO COMPENSADO</v>
      </c>
      <c r="H4796" t="str">
        <f t="shared" si="2265"/>
        <v>21/08/2025</v>
      </c>
      <c r="I4796" t="str">
        <f t="shared" si="2265"/>
        <v>21/08/2025</v>
      </c>
      <c r="J4796" t="str">
        <f t="shared" si="2258"/>
        <v>21/08/2025</v>
      </c>
      <c r="M4796">
        <v>401</v>
      </c>
      <c r="N4796" t="str">
        <f t="shared" si="2271"/>
        <v>IOF/JUROS/DESP.FINANCEIRA</v>
      </c>
      <c r="P4796">
        <v>1.7</v>
      </c>
      <c r="Q4796" t="str">
        <f>"CORA SOCIEDADE DE CREDITO, FINANCIAMENTO E INVESTIMENTO (20035)"</f>
        <v>CORA SOCIEDADE DE CREDITO, FINANCIAMENTO E INVESTIMENTO (20035)</v>
      </c>
      <c r="R4796" t="str">
        <f t="shared" si="2266"/>
        <v>BANCO CORA (102)</v>
      </c>
      <c r="S4796">
        <v>2444</v>
      </c>
      <c r="T4796">
        <v>1978</v>
      </c>
      <c r="U4796" t="s">
        <v>19</v>
      </c>
    </row>
    <row r="4797" spans="1:21">
      <c r="A4797" t="str">
        <f t="shared" si="2255"/>
        <v>21/08/2025</v>
      </c>
      <c r="B4797" t="str">
        <f t="shared" si="2264"/>
        <v>SAÍDA</v>
      </c>
      <c r="C4797" t="str">
        <f t="shared" si="2267"/>
        <v>CONHECIMENTO</v>
      </c>
      <c r="D4797" t="str">
        <f t="shared" si="2268"/>
        <v>210825170</v>
      </c>
      <c r="E4797" t="str">
        <f t="shared" si="2272"/>
        <v>COM</v>
      </c>
      <c r="F4797" t="str">
        <f t="shared" si="2269"/>
        <v>CORA SOCIEDADE DE CREDITO, FINANCIAMENTO E INVESTIMENTO (20035)</v>
      </c>
      <c r="G4797" t="str">
        <f t="shared" si="2270"/>
        <v>TAXA BOLETO COMPENSADO</v>
      </c>
      <c r="H4797" t="str">
        <f t="shared" si="2265"/>
        <v>21/08/2025</v>
      </c>
      <c r="I4797" t="str">
        <f t="shared" si="2265"/>
        <v>21/08/2025</v>
      </c>
      <c r="J4797" t="str">
        <f t="shared" si="2258"/>
        <v>21/08/2025</v>
      </c>
      <c r="K4797">
        <v>1.7</v>
      </c>
      <c r="L4797">
        <v>1.7</v>
      </c>
      <c r="M4797">
        <v>401</v>
      </c>
      <c r="N4797" t="str">
        <f t="shared" si="2271"/>
        <v>IOF/JUROS/DESP.FINANCEIRA</v>
      </c>
      <c r="O4797">
        <v>1.7</v>
      </c>
      <c r="R4797" t="str">
        <f t="shared" si="2266"/>
        <v>BANCO CORA (102)</v>
      </c>
      <c r="S4797">
        <v>2445</v>
      </c>
      <c r="T4797">
        <v>1979</v>
      </c>
      <c r="U4797" t="s">
        <v>19</v>
      </c>
    </row>
    <row r="4798" spans="1:21">
      <c r="A4798" t="str">
        <f t="shared" si="2255"/>
        <v>21/08/2025</v>
      </c>
      <c r="B4798" t="str">
        <f t="shared" si="2264"/>
        <v>SAÍDA</v>
      </c>
      <c r="C4798" t="str">
        <f t="shared" si="2267"/>
        <v>CONHECIMENTO</v>
      </c>
      <c r="D4798" t="str">
        <f t="shared" si="2268"/>
        <v>210825170</v>
      </c>
      <c r="E4798" t="str">
        <f t="shared" si="2272"/>
        <v>COM</v>
      </c>
      <c r="F4798" t="str">
        <f t="shared" si="2269"/>
        <v>CORA SOCIEDADE DE CREDITO, FINANCIAMENTO E INVESTIMENTO (20035)</v>
      </c>
      <c r="G4798" t="str">
        <f t="shared" si="2270"/>
        <v>TAXA BOLETO COMPENSADO</v>
      </c>
      <c r="H4798" t="str">
        <f t="shared" si="2265"/>
        <v>21/08/2025</v>
      </c>
      <c r="I4798" t="str">
        <f t="shared" si="2265"/>
        <v>21/08/2025</v>
      </c>
      <c r="J4798" t="str">
        <f t="shared" si="2258"/>
        <v>21/08/2025</v>
      </c>
      <c r="M4798">
        <v>401</v>
      </c>
      <c r="N4798" t="str">
        <f t="shared" si="2271"/>
        <v>IOF/JUROS/DESP.FINANCEIRA</v>
      </c>
      <c r="P4798">
        <v>1.7</v>
      </c>
      <c r="Q4798" t="str">
        <f>"CORA SOCIEDADE DE CREDITO, FINANCIAMENTO E INVESTIMENTO (20035)"</f>
        <v>CORA SOCIEDADE DE CREDITO, FINANCIAMENTO E INVESTIMENTO (20035)</v>
      </c>
      <c r="R4798" t="str">
        <f t="shared" si="2266"/>
        <v>BANCO CORA (102)</v>
      </c>
      <c r="S4798">
        <v>2445</v>
      </c>
      <c r="T4798">
        <v>1979</v>
      </c>
      <c r="U4798" t="s">
        <v>19</v>
      </c>
    </row>
    <row r="4799" spans="1:21">
      <c r="A4799" t="str">
        <f t="shared" si="2255"/>
        <v>21/08/2025</v>
      </c>
      <c r="B4799" t="str">
        <f t="shared" si="2264"/>
        <v>SAÍDA</v>
      </c>
      <c r="C4799" t="str">
        <f t="shared" si="2267"/>
        <v>CONHECIMENTO</v>
      </c>
      <c r="D4799" t="str">
        <f>"21082530"</f>
        <v>21082530</v>
      </c>
      <c r="E4799" t="str">
        <f t="shared" si="2272"/>
        <v>COM</v>
      </c>
      <c r="F4799" t="str">
        <f t="shared" si="2269"/>
        <v>CORA SOCIEDADE DE CREDITO, FINANCIAMENTO E INVESTIMENTO (20035)</v>
      </c>
      <c r="G4799" t="str">
        <f>"TAXA BOLETO CANCELADO VIA API"</f>
        <v>TAXA BOLETO CANCELADO VIA API</v>
      </c>
      <c r="H4799" t="str">
        <f t="shared" si="2265"/>
        <v>21/08/2025</v>
      </c>
      <c r="I4799" t="str">
        <f t="shared" si="2265"/>
        <v>21/08/2025</v>
      </c>
      <c r="J4799" t="str">
        <f t="shared" si="2258"/>
        <v>21/08/2025</v>
      </c>
      <c r="K4799">
        <v>0.3</v>
      </c>
      <c r="L4799">
        <v>0.3</v>
      </c>
      <c r="M4799">
        <v>401</v>
      </c>
      <c r="N4799" t="str">
        <f t="shared" si="2271"/>
        <v>IOF/JUROS/DESP.FINANCEIRA</v>
      </c>
      <c r="O4799">
        <v>0.3</v>
      </c>
      <c r="R4799" t="str">
        <f t="shared" si="2266"/>
        <v>BANCO CORA (102)</v>
      </c>
      <c r="S4799">
        <v>2446</v>
      </c>
      <c r="T4799">
        <v>1980</v>
      </c>
      <c r="U4799" t="s">
        <v>19</v>
      </c>
    </row>
    <row r="4800" spans="1:21">
      <c r="A4800" t="str">
        <f t="shared" ref="A4800:A4806" si="2273">("22/08/2025")</f>
        <v>22/08/2025</v>
      </c>
      <c r="B4800" t="str">
        <f>"ENTRADA"</f>
        <v>ENTRADA</v>
      </c>
      <c r="C4800" t="str">
        <f t="shared" ref="C4800:C4805" si="2274">"NFSE"</f>
        <v>NFSE</v>
      </c>
      <c r="D4800" t="str">
        <f>"3370"</f>
        <v>3370</v>
      </c>
      <c r="E4800" t="str">
        <f t="shared" si="2272"/>
        <v>COM</v>
      </c>
      <c r="F4800" t="str">
        <f>"DROGARIA POUPA MINAS (DOIS AMIGOS) 5 (10140)"</f>
        <v>DROGARIA POUPA MINAS (DOIS AMIGOS) 5 (10140)</v>
      </c>
      <c r="G4800" t="str">
        <f>"Serv.Prest. 11/08/2025 a 17/08/2025 - RPS: 1128 - NFSe: 3370"</f>
        <v>Serv.Prest. 11/08/2025 a 17/08/2025 - RPS: 1128 - NFSe: 3370</v>
      </c>
      <c r="H4800" t="str">
        <f>("21/08/2025")</f>
        <v>21/08/2025</v>
      </c>
      <c r="I4800" t="str">
        <f>("18/08/2025")</f>
        <v>18/08/2025</v>
      </c>
      <c r="J4800" t="str">
        <f t="shared" ref="J4800:J4806" si="2275">("22/08/2025")</f>
        <v>22/08/2025</v>
      </c>
      <c r="K4800">
        <v>771.88</v>
      </c>
      <c r="L4800">
        <v>771.88</v>
      </c>
      <c r="M4800">
        <v>303</v>
      </c>
      <c r="N4800" t="str">
        <f t="shared" ref="N4800:N4805" si="2276">"RECEITAS COM ENTREGAS"</f>
        <v>RECEITAS COM ENTREGAS</v>
      </c>
      <c r="O4800">
        <v>771.88</v>
      </c>
      <c r="R4800" t="str">
        <f t="shared" ref="R4800:R4805" si="2277">"RECEITAS COM ENTREGAS (303)"</f>
        <v>RECEITAS COM ENTREGAS (303)</v>
      </c>
      <c r="S4800">
        <v>2414</v>
      </c>
      <c r="T4800">
        <v>1901</v>
      </c>
      <c r="U4800" t="s">
        <v>19</v>
      </c>
    </row>
    <row r="4801" spans="1:21">
      <c r="A4801" t="str">
        <f t="shared" si="2273"/>
        <v>22/08/2025</v>
      </c>
      <c r="B4801" t="str">
        <f t="shared" ref="B4801:B4805" si="2278">"ENTRADA"</f>
        <v>ENTRADA</v>
      </c>
      <c r="C4801" t="str">
        <f t="shared" si="2274"/>
        <v>NFSE</v>
      </c>
      <c r="D4801" t="str">
        <f>"3370"</f>
        <v>3370</v>
      </c>
      <c r="E4801" t="str">
        <f t="shared" si="2272"/>
        <v>COM</v>
      </c>
      <c r="F4801" t="str">
        <f>"DROGARIA POUPA MINAS (DOIS AMIGOS) 5 (10140)"</f>
        <v>DROGARIA POUPA MINAS (DOIS AMIGOS) 5 (10140)</v>
      </c>
      <c r="G4801" t="str">
        <f>"Serv.Prest. 11/08/2025 a 17/08/2025 - RPS: 1128 - NFSe: 3370"</f>
        <v>Serv.Prest. 11/08/2025 a 17/08/2025 - RPS: 1128 - NFSe: 3370</v>
      </c>
      <c r="H4801" t="str">
        <f>("21/08/2025")</f>
        <v>21/08/2025</v>
      </c>
      <c r="I4801" t="str">
        <f>("18/08/2025")</f>
        <v>18/08/2025</v>
      </c>
      <c r="J4801" t="str">
        <f t="shared" si="2275"/>
        <v>22/08/2025</v>
      </c>
      <c r="M4801">
        <v>303</v>
      </c>
      <c r="N4801" t="str">
        <f t="shared" si="2276"/>
        <v>RECEITAS COM ENTREGAS</v>
      </c>
      <c r="P4801">
        <v>771.88</v>
      </c>
      <c r="Q4801" t="str">
        <f>"DROGARIA POUPA MINAS (ULTRAMINAS) 1 (10181)"</f>
        <v>DROGARIA POUPA MINAS (ULTRAMINAS) 1 (10181)</v>
      </c>
      <c r="R4801" t="str">
        <f t="shared" si="2277"/>
        <v>RECEITAS COM ENTREGAS (303)</v>
      </c>
      <c r="S4801">
        <v>2414</v>
      </c>
      <c r="T4801">
        <v>1901</v>
      </c>
      <c r="U4801" t="s">
        <v>19</v>
      </c>
    </row>
    <row r="4802" spans="1:21">
      <c r="A4802" t="str">
        <f t="shared" si="2273"/>
        <v>22/08/2025</v>
      </c>
      <c r="B4802" t="str">
        <f t="shared" si="2278"/>
        <v>ENTRADA</v>
      </c>
      <c r="C4802" t="str">
        <f t="shared" si="2274"/>
        <v>NFSE</v>
      </c>
      <c r="D4802" t="str">
        <f>"3377"</f>
        <v>3377</v>
      </c>
      <c r="E4802" t="str">
        <f t="shared" si="2272"/>
        <v>COM</v>
      </c>
      <c r="F4802" t="str">
        <f>"PAGMENOS - LJ 608 (10135)"</f>
        <v>PAGMENOS - LJ 608 (10135)</v>
      </c>
      <c r="G4802" t="str">
        <f>"Serv.Prest. 11/08/2025 a 17/08/2025 - RPS: 1143 - NFSe: 3377"</f>
        <v>Serv.Prest. 11/08/2025 a 17/08/2025 - RPS: 1143 - NFSe: 3377</v>
      </c>
      <c r="H4802" t="str">
        <f>("21/08/2025")</f>
        <v>21/08/2025</v>
      </c>
      <c r="I4802" t="str">
        <f>("19/08/2025")</f>
        <v>19/08/2025</v>
      </c>
      <c r="J4802" t="str">
        <f t="shared" si="2275"/>
        <v>22/08/2025</v>
      </c>
      <c r="K4802">
        <v>280.20999999999998</v>
      </c>
      <c r="L4802">
        <v>280.20999999999998</v>
      </c>
      <c r="M4802">
        <v>303</v>
      </c>
      <c r="N4802" t="str">
        <f t="shared" si="2276"/>
        <v>RECEITAS COM ENTREGAS</v>
      </c>
      <c r="O4802">
        <v>280.20999999999998</v>
      </c>
      <c r="R4802" t="str">
        <f t="shared" si="2277"/>
        <v>RECEITAS COM ENTREGAS (303)</v>
      </c>
      <c r="S4802">
        <v>2415</v>
      </c>
      <c r="T4802">
        <v>1917</v>
      </c>
      <c r="U4802" t="s">
        <v>19</v>
      </c>
    </row>
    <row r="4803" spans="1:21">
      <c r="A4803" t="str">
        <f t="shared" si="2273"/>
        <v>22/08/2025</v>
      </c>
      <c r="B4803" t="str">
        <f t="shared" si="2278"/>
        <v>ENTRADA</v>
      </c>
      <c r="C4803" t="str">
        <f t="shared" si="2274"/>
        <v>NFSE</v>
      </c>
      <c r="D4803" t="str">
        <f>"3377"</f>
        <v>3377</v>
      </c>
      <c r="E4803" t="str">
        <f t="shared" si="2272"/>
        <v>COM</v>
      </c>
      <c r="F4803" t="str">
        <f>"PAGMENOS - LJ 608 (10135)"</f>
        <v>PAGMENOS - LJ 608 (10135)</v>
      </c>
      <c r="G4803" t="str">
        <f>"Serv.Prest. 11/08/2025 a 17/08/2025 - RPS: 1143 - NFSe: 3377"</f>
        <v>Serv.Prest. 11/08/2025 a 17/08/2025 - RPS: 1143 - NFSe: 3377</v>
      </c>
      <c r="H4803" t="str">
        <f>("21/08/2025")</f>
        <v>21/08/2025</v>
      </c>
      <c r="I4803" t="str">
        <f>("19/08/2025")</f>
        <v>19/08/2025</v>
      </c>
      <c r="J4803" t="str">
        <f t="shared" si="2275"/>
        <v>22/08/2025</v>
      </c>
      <c r="M4803">
        <v>303</v>
      </c>
      <c r="N4803" t="str">
        <f t="shared" si="2276"/>
        <v>RECEITAS COM ENTREGAS</v>
      </c>
      <c r="P4803">
        <v>280.20999999999998</v>
      </c>
      <c r="Q4803" t="str">
        <f>"PAGMENOS - LJ 608 (10135)"</f>
        <v>PAGMENOS - LJ 608 (10135)</v>
      </c>
      <c r="R4803" t="str">
        <f t="shared" si="2277"/>
        <v>RECEITAS COM ENTREGAS (303)</v>
      </c>
      <c r="S4803">
        <v>2415</v>
      </c>
      <c r="T4803">
        <v>1917</v>
      </c>
      <c r="U4803" t="s">
        <v>19</v>
      </c>
    </row>
    <row r="4804" spans="1:21">
      <c r="A4804" t="str">
        <f t="shared" si="2273"/>
        <v>22/08/2025</v>
      </c>
      <c r="B4804" t="str">
        <f t="shared" si="2278"/>
        <v>ENTRADA</v>
      </c>
      <c r="C4804" t="str">
        <f t="shared" si="2274"/>
        <v>NFSE</v>
      </c>
      <c r="D4804" t="str">
        <f>"3375"</f>
        <v>3375</v>
      </c>
      <c r="E4804" t="str">
        <f t="shared" si="2272"/>
        <v>COM</v>
      </c>
      <c r="F4804" t="str">
        <f>"DELTA LOJA 2 (10123)"</f>
        <v>DELTA LOJA 2 (10123)</v>
      </c>
      <c r="G4804" t="str">
        <f>"Serv.Prest. 11/08/2025 a 17/08/2025 - RPS: 1141 - NFSe: 3375"</f>
        <v>Serv.Prest. 11/08/2025 a 17/08/2025 - RPS: 1141 - NFSe: 3375</v>
      </c>
      <c r="H4804" t="str">
        <f>("22/08/2025")</f>
        <v>22/08/2025</v>
      </c>
      <c r="I4804" t="str">
        <f>("19/08/2025")</f>
        <v>19/08/2025</v>
      </c>
      <c r="J4804" t="str">
        <f t="shared" si="2275"/>
        <v>22/08/2025</v>
      </c>
      <c r="K4804">
        <v>586.88</v>
      </c>
      <c r="L4804">
        <v>586.88</v>
      </c>
      <c r="M4804">
        <v>303</v>
      </c>
      <c r="N4804" t="str">
        <f t="shared" si="2276"/>
        <v>RECEITAS COM ENTREGAS</v>
      </c>
      <c r="O4804">
        <v>586.88</v>
      </c>
      <c r="R4804" t="str">
        <f t="shared" si="2277"/>
        <v>RECEITAS COM ENTREGAS (303)</v>
      </c>
      <c r="S4804">
        <v>2416</v>
      </c>
      <c r="T4804">
        <v>1914</v>
      </c>
      <c r="U4804" t="s">
        <v>19</v>
      </c>
    </row>
    <row r="4805" spans="1:21">
      <c r="A4805" t="str">
        <f t="shared" si="2273"/>
        <v>22/08/2025</v>
      </c>
      <c r="B4805" t="str">
        <f t="shared" si="2278"/>
        <v>ENTRADA</v>
      </c>
      <c r="C4805" t="str">
        <f t="shared" si="2274"/>
        <v>NFSE</v>
      </c>
      <c r="D4805" t="str">
        <f>"3375"</f>
        <v>3375</v>
      </c>
      <c r="E4805" t="str">
        <f t="shared" si="2272"/>
        <v>COM</v>
      </c>
      <c r="F4805" t="str">
        <f>"DELTA LOJA 2 (10123)"</f>
        <v>DELTA LOJA 2 (10123)</v>
      </c>
      <c r="G4805" t="str">
        <f>"Serv.Prest. 11/08/2025 a 17/08/2025 - RPS: 1141 - NFSe: 3375"</f>
        <v>Serv.Prest. 11/08/2025 a 17/08/2025 - RPS: 1141 - NFSe: 3375</v>
      </c>
      <c r="H4805" t="str">
        <f>("22/08/2025")</f>
        <v>22/08/2025</v>
      </c>
      <c r="I4805" t="str">
        <f>("19/08/2025")</f>
        <v>19/08/2025</v>
      </c>
      <c r="J4805" t="str">
        <f t="shared" si="2275"/>
        <v>22/08/2025</v>
      </c>
      <c r="M4805">
        <v>303</v>
      </c>
      <c r="N4805" t="str">
        <f t="shared" si="2276"/>
        <v>RECEITAS COM ENTREGAS</v>
      </c>
      <c r="P4805">
        <v>586.88</v>
      </c>
      <c r="Q4805" t="str">
        <f>"DELTA LOJA 2 (10123)"</f>
        <v>DELTA LOJA 2 (10123)</v>
      </c>
      <c r="R4805" t="str">
        <f t="shared" si="2277"/>
        <v>RECEITAS COM ENTREGAS (303)</v>
      </c>
      <c r="S4805">
        <v>2416</v>
      </c>
      <c r="T4805">
        <v>1914</v>
      </c>
      <c r="U4805" t="s">
        <v>19</v>
      </c>
    </row>
    <row r="4806" spans="1:21">
      <c r="A4806" t="str">
        <f t="shared" si="2273"/>
        <v>22/08/2025</v>
      </c>
      <c r="B4806" t="str">
        <f t="shared" ref="B4806:B4812" si="2279">"SAÍDA"</f>
        <v>SAÍDA</v>
      </c>
      <c r="C4806" t="str">
        <f>"CONHECIMENTO"</f>
        <v>CONHECIMENTO</v>
      </c>
      <c r="D4806" t="str">
        <f>"220825170"</f>
        <v>220825170</v>
      </c>
      <c r="E4806" t="str">
        <f t="shared" si="2272"/>
        <v>COM</v>
      </c>
      <c r="F4806" t="str">
        <f>"CORA SOCIEDADE DE CREDITO, FINANCIAMENTO E INVESTIMENTO (20035)"</f>
        <v>CORA SOCIEDADE DE CREDITO, FINANCIAMENTO E INVESTIMENTO (20035)</v>
      </c>
      <c r="G4806" t="str">
        <f>"TAXA BOLETO COMPENSADO"</f>
        <v>TAXA BOLETO COMPENSADO</v>
      </c>
      <c r="H4806" t="str">
        <f>("22/08/2025")</f>
        <v>22/08/2025</v>
      </c>
      <c r="I4806" t="str">
        <f>("22/08/2025")</f>
        <v>22/08/2025</v>
      </c>
      <c r="J4806" t="str">
        <f t="shared" si="2275"/>
        <v>22/08/2025</v>
      </c>
      <c r="K4806">
        <v>1.7</v>
      </c>
      <c r="L4806">
        <v>1.7</v>
      </c>
      <c r="M4806">
        <v>401</v>
      </c>
      <c r="N4806" t="str">
        <f>"IOF/JUROS/DESP.FINANCEIRA"</f>
        <v>IOF/JUROS/DESP.FINANCEIRA</v>
      </c>
      <c r="O4806">
        <v>1.7</v>
      </c>
      <c r="R4806" t="str">
        <f t="shared" ref="R4806:R4812" si="2280">"BANCO CORA (102)"</f>
        <v>BANCO CORA (102)</v>
      </c>
      <c r="S4806">
        <v>2457</v>
      </c>
      <c r="T4806">
        <v>1981</v>
      </c>
      <c r="U4806" t="s">
        <v>19</v>
      </c>
    </row>
    <row r="4807" spans="1:21">
      <c r="A4807" t="str">
        <f>("25/08/2025")</f>
        <v>25/08/2025</v>
      </c>
      <c r="B4807" t="str">
        <f t="shared" si="2279"/>
        <v>SAÍDA</v>
      </c>
      <c r="C4807" t="str">
        <f t="shared" ref="C4807:C4812" si="2281">"PIX"</f>
        <v>PIX</v>
      </c>
      <c r="D4807" t="str">
        <f>"25082545780"</f>
        <v>25082545780</v>
      </c>
      <c r="E4807" t="str">
        <f t="shared" si="2272"/>
        <v>COM</v>
      </c>
      <c r="F4807" t="str">
        <f>"BOOKING.COM BRASIL SERVICOS DE RESERVA DE HOTEIS LTDA. (20084)"</f>
        <v>BOOKING.COM BRASIL SERVICOS DE RESERVA DE HOTEIS LTDA. (20084)</v>
      </c>
      <c r="G4807" t="str">
        <f>"DESPESAS VIAGEM SAO PAULO - HOSPEDAGEM"</f>
        <v>DESPESAS VIAGEM SAO PAULO - HOSPEDAGEM</v>
      </c>
      <c r="H4807" t="str">
        <f t="shared" ref="H4807:J4808" si="2282">("25/08/2025")</f>
        <v>25/08/2025</v>
      </c>
      <c r="I4807" t="str">
        <f t="shared" si="2282"/>
        <v>25/08/2025</v>
      </c>
      <c r="J4807" t="str">
        <f t="shared" si="2282"/>
        <v>25/08/2025</v>
      </c>
      <c r="K4807">
        <v>457.8</v>
      </c>
      <c r="L4807">
        <v>457.8</v>
      </c>
      <c r="M4807">
        <v>128</v>
      </c>
      <c r="N4807" t="str">
        <f>"DESPESAS COM VIAGENS"</f>
        <v>DESPESAS COM VIAGENS</v>
      </c>
      <c r="O4807">
        <v>457.8</v>
      </c>
      <c r="R4807" t="str">
        <f t="shared" si="2280"/>
        <v>BANCO CORA (102)</v>
      </c>
      <c r="S4807">
        <v>2435</v>
      </c>
      <c r="T4807">
        <v>1969</v>
      </c>
      <c r="U4807" t="s">
        <v>19</v>
      </c>
    </row>
    <row r="4808" spans="1:21">
      <c r="A4808" t="str">
        <f>("25/08/2025")</f>
        <v>25/08/2025</v>
      </c>
      <c r="B4808" t="str">
        <f t="shared" si="2279"/>
        <v>SAÍDA</v>
      </c>
      <c r="C4808" t="str">
        <f t="shared" si="2281"/>
        <v>PIX</v>
      </c>
      <c r="D4808" t="str">
        <f>"25082545780"</f>
        <v>25082545780</v>
      </c>
      <c r="E4808" t="str">
        <f t="shared" si="2272"/>
        <v>COM</v>
      </c>
      <c r="F4808" t="str">
        <f>"BOOKING.COM BRASIL SERVICOS DE RESERVA DE HOTEIS LTDA. (20084)"</f>
        <v>BOOKING.COM BRASIL SERVICOS DE RESERVA DE HOTEIS LTDA. (20084)</v>
      </c>
      <c r="G4808" t="str">
        <f>"DESPESAS VIAGEM SAO PAULO - HOSPEDAGEM"</f>
        <v>DESPESAS VIAGEM SAO PAULO - HOSPEDAGEM</v>
      </c>
      <c r="H4808" t="str">
        <f t="shared" si="2282"/>
        <v>25/08/2025</v>
      </c>
      <c r="I4808" t="str">
        <f t="shared" si="2282"/>
        <v>25/08/2025</v>
      </c>
      <c r="J4808" t="str">
        <f t="shared" si="2282"/>
        <v>25/08/2025</v>
      </c>
      <c r="M4808">
        <v>128</v>
      </c>
      <c r="N4808" t="str">
        <f>"DESPESAS COM VIAGENS"</f>
        <v>DESPESAS COM VIAGENS</v>
      </c>
      <c r="P4808">
        <v>457.8</v>
      </c>
      <c r="Q4808" t="str">
        <f>"BOOKING.COM BRASIL SERVICOS DE RESERVA DE HOTEIS LTDA. (20084)"</f>
        <v>BOOKING.COM BRASIL SERVICOS DE RESERVA DE HOTEIS LTDA. (20084)</v>
      </c>
      <c r="R4808" t="str">
        <f t="shared" si="2280"/>
        <v>BANCO CORA (102)</v>
      </c>
      <c r="S4808">
        <v>2435</v>
      </c>
      <c r="T4808">
        <v>1969</v>
      </c>
      <c r="U4808" t="s">
        <v>19</v>
      </c>
    </row>
    <row r="4809" spans="1:21">
      <c r="A4809" t="str">
        <f t="shared" ref="A4809:A4818" si="2283">("26/08/2025")</f>
        <v>26/08/2025</v>
      </c>
      <c r="B4809" t="str">
        <f t="shared" si="2279"/>
        <v>SAÍDA</v>
      </c>
      <c r="C4809" t="str">
        <f t="shared" si="2281"/>
        <v>PIX</v>
      </c>
      <c r="D4809" t="str">
        <f>"2608251500"</f>
        <v>2608251500</v>
      </c>
      <c r="E4809" t="str">
        <f t="shared" si="2272"/>
        <v>COM</v>
      </c>
      <c r="F4809" t="str">
        <f>"LILIANE DE FATIMA REZENDE JUSTINO (20013)"</f>
        <v>LILIANE DE FATIMA REZENDE JUSTINO (20013)</v>
      </c>
      <c r="G4809" t="str">
        <f>"DESPESAS COM VIAGEM SAO PAULO"</f>
        <v>DESPESAS COM VIAGEM SAO PAULO</v>
      </c>
      <c r="H4809" t="str">
        <f t="shared" ref="H4809:J4812" si="2284">("26/08/2025")</f>
        <v>26/08/2025</v>
      </c>
      <c r="I4809" t="str">
        <f t="shared" si="2284"/>
        <v>26/08/2025</v>
      </c>
      <c r="J4809" t="str">
        <f t="shared" si="2284"/>
        <v>26/08/2025</v>
      </c>
      <c r="K4809">
        <v>1500</v>
      </c>
      <c r="L4809">
        <v>1500</v>
      </c>
      <c r="M4809">
        <v>128</v>
      </c>
      <c r="N4809" t="str">
        <f>"DESPESAS COM VIAGENS"</f>
        <v>DESPESAS COM VIAGENS</v>
      </c>
      <c r="O4809">
        <v>1500</v>
      </c>
      <c r="R4809" t="str">
        <f t="shared" si="2280"/>
        <v>BANCO CORA (102)</v>
      </c>
      <c r="S4809">
        <v>2433</v>
      </c>
      <c r="T4809">
        <v>1967</v>
      </c>
      <c r="U4809" t="s">
        <v>19</v>
      </c>
    </row>
    <row r="4810" spans="1:21">
      <c r="A4810" t="str">
        <f t="shared" si="2283"/>
        <v>26/08/2025</v>
      </c>
      <c r="B4810" t="str">
        <f t="shared" si="2279"/>
        <v>SAÍDA</v>
      </c>
      <c r="C4810" t="str">
        <f t="shared" si="2281"/>
        <v>PIX</v>
      </c>
      <c r="D4810" t="str">
        <f>"2608251500"</f>
        <v>2608251500</v>
      </c>
      <c r="E4810" t="str">
        <f t="shared" si="2272"/>
        <v>COM</v>
      </c>
      <c r="F4810" t="str">
        <f>"LILIANE DE FATIMA REZENDE JUSTINO (20013)"</f>
        <v>LILIANE DE FATIMA REZENDE JUSTINO (20013)</v>
      </c>
      <c r="G4810" t="str">
        <f>"DESPESAS COM VIAGEM SAO PAULO"</f>
        <v>DESPESAS COM VIAGEM SAO PAULO</v>
      </c>
      <c r="H4810" t="str">
        <f t="shared" si="2284"/>
        <v>26/08/2025</v>
      </c>
      <c r="I4810" t="str">
        <f t="shared" si="2284"/>
        <v>26/08/2025</v>
      </c>
      <c r="J4810" t="str">
        <f t="shared" si="2284"/>
        <v>26/08/2025</v>
      </c>
      <c r="M4810">
        <v>128</v>
      </c>
      <c r="N4810" t="str">
        <f>"DESPESAS COM VIAGENS"</f>
        <v>DESPESAS COM VIAGENS</v>
      </c>
      <c r="P4810">
        <v>1500</v>
      </c>
      <c r="Q4810" t="str">
        <f>"LILIANE DE FATIMA REZENDE JUSTINO (20013)"</f>
        <v>LILIANE DE FATIMA REZENDE JUSTINO (20013)</v>
      </c>
      <c r="R4810" t="str">
        <f t="shared" si="2280"/>
        <v>BANCO CORA (102)</v>
      </c>
      <c r="S4810">
        <v>2433</v>
      </c>
      <c r="T4810">
        <v>1967</v>
      </c>
      <c r="U4810" t="s">
        <v>19</v>
      </c>
    </row>
    <row r="4811" spans="1:21">
      <c r="A4811" t="str">
        <f t="shared" si="2283"/>
        <v>26/08/2025</v>
      </c>
      <c r="B4811" t="str">
        <f t="shared" si="2279"/>
        <v>SAÍDA</v>
      </c>
      <c r="C4811" t="str">
        <f t="shared" si="2281"/>
        <v>PIX</v>
      </c>
      <c r="D4811" t="str">
        <f>"2608251000"</f>
        <v>2608251000</v>
      </c>
      <c r="E4811" t="str">
        <f t="shared" si="2272"/>
        <v>COM</v>
      </c>
      <c r="F4811" t="str">
        <f>"CONTA SIMPLES SOLUCOES DE PAGAMENTOS LTDA (20019)"</f>
        <v>CONTA SIMPLES SOLUCOES DE PAGAMENTOS LTDA (20019)</v>
      </c>
      <c r="G4811" t="str">
        <f>"MARKETING REDES SOCIAIS - PIX- CHAVE ALEATORIA: 1d5b84cc-db31-469d-b8ee-076ced54c3e9"</f>
        <v>MARKETING REDES SOCIAIS - PIX- CHAVE ALEATORIA: 1d5b84cc-db31-469d-b8ee-076ced54c3e9</v>
      </c>
      <c r="H4811" t="str">
        <f t="shared" si="2284"/>
        <v>26/08/2025</v>
      </c>
      <c r="I4811" t="str">
        <f t="shared" si="2284"/>
        <v>26/08/2025</v>
      </c>
      <c r="J4811" t="str">
        <f t="shared" si="2284"/>
        <v>26/08/2025</v>
      </c>
      <c r="K4811">
        <v>1000</v>
      </c>
      <c r="L4811">
        <v>1000</v>
      </c>
      <c r="M4811">
        <v>127</v>
      </c>
      <c r="N4811" t="str">
        <f>"PUBLICIDADE E PROPAGANDAS"</f>
        <v>PUBLICIDADE E PROPAGANDAS</v>
      </c>
      <c r="O4811">
        <v>1000</v>
      </c>
      <c r="R4811" t="str">
        <f t="shared" si="2280"/>
        <v>BANCO CORA (102)</v>
      </c>
      <c r="S4811">
        <v>2434</v>
      </c>
      <c r="T4811">
        <v>1968</v>
      </c>
      <c r="U4811" t="s">
        <v>19</v>
      </c>
    </row>
    <row r="4812" spans="1:21">
      <c r="A4812" t="str">
        <f t="shared" si="2283"/>
        <v>26/08/2025</v>
      </c>
      <c r="B4812" t="str">
        <f t="shared" si="2279"/>
        <v>SAÍDA</v>
      </c>
      <c r="C4812" t="str">
        <f t="shared" si="2281"/>
        <v>PIX</v>
      </c>
      <c r="D4812" t="str">
        <f>"2608251000"</f>
        <v>2608251000</v>
      </c>
      <c r="E4812" t="str">
        <f t="shared" si="2272"/>
        <v>COM</v>
      </c>
      <c r="F4812" t="str">
        <f>"CONTA SIMPLES SOLUCOES DE PAGAMENTOS LTDA (20019)"</f>
        <v>CONTA SIMPLES SOLUCOES DE PAGAMENTOS LTDA (20019)</v>
      </c>
      <c r="G4812" t="str">
        <f>"MARKETING REDES SOCIAIS - PIX- CHAVE ALEATORIA: 1d5b84cc-db31-469d-b8ee-076ced54c3e9"</f>
        <v>MARKETING REDES SOCIAIS - PIX- CHAVE ALEATORIA: 1d5b84cc-db31-469d-b8ee-076ced54c3e9</v>
      </c>
      <c r="H4812" t="str">
        <f t="shared" si="2284"/>
        <v>26/08/2025</v>
      </c>
      <c r="I4812" t="str">
        <f t="shared" si="2284"/>
        <v>26/08/2025</v>
      </c>
      <c r="J4812" t="str">
        <f t="shared" si="2284"/>
        <v>26/08/2025</v>
      </c>
      <c r="M4812">
        <v>127</v>
      </c>
      <c r="N4812" t="str">
        <f>"PUBLICIDADE E PROPAGANDAS"</f>
        <v>PUBLICIDADE E PROPAGANDAS</v>
      </c>
      <c r="P4812">
        <v>1000</v>
      </c>
      <c r="Q4812" t="str">
        <f>"CONTA SIMPLES SOLUCOES DE PAGAMENTOS LTDA (20019)"</f>
        <v>CONTA SIMPLES SOLUCOES DE PAGAMENTOS LTDA (20019)</v>
      </c>
      <c r="R4812" t="str">
        <f t="shared" si="2280"/>
        <v>BANCO CORA (102)</v>
      </c>
      <c r="S4812">
        <v>2434</v>
      </c>
      <c r="T4812">
        <v>1968</v>
      </c>
      <c r="U4812" t="s">
        <v>19</v>
      </c>
    </row>
    <row r="4813" spans="1:21">
      <c r="A4813" t="str">
        <f t="shared" si="2283"/>
        <v>26/08/2025</v>
      </c>
      <c r="B4813" t="str">
        <f>"ENTRADA"</f>
        <v>ENTRADA</v>
      </c>
      <c r="C4813" t="str">
        <f t="shared" ref="C4813:C4844" si="2285">"NFSE"</f>
        <v>NFSE</v>
      </c>
      <c r="D4813" t="str">
        <f>"3338"</f>
        <v>3338</v>
      </c>
      <c r="E4813" t="str">
        <f t="shared" si="2272"/>
        <v>COM</v>
      </c>
      <c r="F4813" t="str">
        <f>"PAGMENOS - LJ 608 (10135)"</f>
        <v>PAGMENOS - LJ 608 (10135)</v>
      </c>
      <c r="G4813" t="str">
        <f>"Serv.Prest. 04/08/2025 a 10/08/2025 - RPS: 1104 - NFSe: 3338"</f>
        <v>Serv.Prest. 04/08/2025 a 10/08/2025 - RPS: 1104 - NFSe: 3338</v>
      </c>
      <c r="H4813" t="str">
        <f t="shared" ref="H4813:H4818" si="2286">("21/08/2025")</f>
        <v>21/08/2025</v>
      </c>
      <c r="I4813" t="str">
        <f>("11/08/2025")</f>
        <v>11/08/2025</v>
      </c>
      <c r="J4813" t="str">
        <f t="shared" ref="J4813:J4818" si="2287">("26/08/2025")</f>
        <v>26/08/2025</v>
      </c>
      <c r="K4813">
        <v>280.20999999999998</v>
      </c>
      <c r="L4813">
        <v>280.20999999999998</v>
      </c>
      <c r="M4813">
        <v>303</v>
      </c>
      <c r="N4813" t="str">
        <f t="shared" ref="N4813:N4844" si="2288">"RECEITAS COM ENTREGAS"</f>
        <v>RECEITAS COM ENTREGAS</v>
      </c>
      <c r="O4813">
        <v>280.20999999999998</v>
      </c>
      <c r="R4813" t="str">
        <f t="shared" ref="R4813:R4844" si="2289">"RECEITAS COM ENTREGAS (303)"</f>
        <v>RECEITAS COM ENTREGAS (303)</v>
      </c>
      <c r="S4813">
        <v>2468</v>
      </c>
      <c r="T4813">
        <v>1839</v>
      </c>
      <c r="U4813" t="s">
        <v>19</v>
      </c>
    </row>
    <row r="4814" spans="1:21">
      <c r="A4814" t="str">
        <f t="shared" si="2283"/>
        <v>26/08/2025</v>
      </c>
      <c r="B4814" t="str">
        <f t="shared" ref="B4814:B4877" si="2290">"ENTRADA"</f>
        <v>ENTRADA</v>
      </c>
      <c r="C4814" t="str">
        <f t="shared" si="2285"/>
        <v>NFSE</v>
      </c>
      <c r="D4814" t="str">
        <f>"3338"</f>
        <v>3338</v>
      </c>
      <c r="E4814" t="str">
        <f t="shared" si="2272"/>
        <v>COM</v>
      </c>
      <c r="F4814" t="str">
        <f>"PAGMENOS - LJ 608 (10135)"</f>
        <v>PAGMENOS - LJ 608 (10135)</v>
      </c>
      <c r="G4814" t="str">
        <f>"Serv.Prest. 04/08/2025 a 10/08/2025 - RPS: 1104 - NFSe: 3338"</f>
        <v>Serv.Prest. 04/08/2025 a 10/08/2025 - RPS: 1104 - NFSe: 3338</v>
      </c>
      <c r="H4814" t="str">
        <f t="shared" si="2286"/>
        <v>21/08/2025</v>
      </c>
      <c r="I4814" t="str">
        <f>("11/08/2025")</f>
        <v>11/08/2025</v>
      </c>
      <c r="J4814" t="str">
        <f t="shared" si="2287"/>
        <v>26/08/2025</v>
      </c>
      <c r="M4814">
        <v>303</v>
      </c>
      <c r="N4814" t="str">
        <f t="shared" si="2288"/>
        <v>RECEITAS COM ENTREGAS</v>
      </c>
      <c r="P4814">
        <v>280.20999999999998</v>
      </c>
      <c r="Q4814" t="str">
        <f>"PAGMENOS - LJ 608 (10135)"</f>
        <v>PAGMENOS - LJ 608 (10135)</v>
      </c>
      <c r="R4814" t="str">
        <f t="shared" si="2289"/>
        <v>RECEITAS COM ENTREGAS (303)</v>
      </c>
      <c r="S4814">
        <v>2468</v>
      </c>
      <c r="T4814">
        <v>1839</v>
      </c>
      <c r="U4814" t="s">
        <v>19</v>
      </c>
    </row>
    <row r="4815" spans="1:21">
      <c r="A4815" t="str">
        <f t="shared" si="2283"/>
        <v>26/08/2025</v>
      </c>
      <c r="B4815" t="str">
        <f t="shared" si="2290"/>
        <v>ENTRADA</v>
      </c>
      <c r="C4815" t="str">
        <f t="shared" si="2285"/>
        <v>NFSE</v>
      </c>
      <c r="D4815" t="str">
        <f>"3339"</f>
        <v>3339</v>
      </c>
      <c r="E4815" t="str">
        <f t="shared" si="2272"/>
        <v>COM</v>
      </c>
      <c r="F4815" t="str">
        <f>"PAGMENOS - LJ 657 (10136)"</f>
        <v>PAGMENOS - LJ 657 (10136)</v>
      </c>
      <c r="G4815" t="str">
        <f>"Serv.Prest. 04/08/2025 a 10/08/2025 - RPS: 1105 - NFSe: 3339"</f>
        <v>Serv.Prest. 04/08/2025 a 10/08/2025 - RPS: 1105 - NFSe: 3339</v>
      </c>
      <c r="H4815" t="str">
        <f t="shared" si="2286"/>
        <v>21/08/2025</v>
      </c>
      <c r="I4815" t="str">
        <f>("11/08/2025")</f>
        <v>11/08/2025</v>
      </c>
      <c r="J4815" t="str">
        <f t="shared" si="2287"/>
        <v>26/08/2025</v>
      </c>
      <c r="K4815">
        <v>596.6</v>
      </c>
      <c r="L4815">
        <v>596.6</v>
      </c>
      <c r="M4815">
        <v>303</v>
      </c>
      <c r="N4815" t="str">
        <f t="shared" si="2288"/>
        <v>RECEITAS COM ENTREGAS</v>
      </c>
      <c r="O4815">
        <v>596.6</v>
      </c>
      <c r="R4815" t="str">
        <f t="shared" si="2289"/>
        <v>RECEITAS COM ENTREGAS (303)</v>
      </c>
      <c r="S4815">
        <v>2469</v>
      </c>
      <c r="T4815">
        <v>1840</v>
      </c>
      <c r="U4815" t="s">
        <v>19</v>
      </c>
    </row>
    <row r="4816" spans="1:21">
      <c r="A4816" t="str">
        <f t="shared" si="2283"/>
        <v>26/08/2025</v>
      </c>
      <c r="B4816" t="str">
        <f t="shared" si="2290"/>
        <v>ENTRADA</v>
      </c>
      <c r="C4816" t="str">
        <f t="shared" si="2285"/>
        <v>NFSE</v>
      </c>
      <c r="D4816" t="str">
        <f>"3339"</f>
        <v>3339</v>
      </c>
      <c r="E4816" t="str">
        <f t="shared" si="2272"/>
        <v>COM</v>
      </c>
      <c r="F4816" t="str">
        <f>"PAGMENOS - LJ 657 (10136)"</f>
        <v>PAGMENOS - LJ 657 (10136)</v>
      </c>
      <c r="G4816" t="str">
        <f>"Serv.Prest. 04/08/2025 a 10/08/2025 - RPS: 1105 - NFSe: 3339"</f>
        <v>Serv.Prest. 04/08/2025 a 10/08/2025 - RPS: 1105 - NFSe: 3339</v>
      </c>
      <c r="H4816" t="str">
        <f t="shared" si="2286"/>
        <v>21/08/2025</v>
      </c>
      <c r="I4816" t="str">
        <f>("11/08/2025")</f>
        <v>11/08/2025</v>
      </c>
      <c r="J4816" t="str">
        <f t="shared" si="2287"/>
        <v>26/08/2025</v>
      </c>
      <c r="M4816">
        <v>303</v>
      </c>
      <c r="N4816" t="str">
        <f t="shared" si="2288"/>
        <v>RECEITAS COM ENTREGAS</v>
      </c>
      <c r="P4816">
        <v>596.6</v>
      </c>
      <c r="Q4816" t="str">
        <f>"PAGMENOS - LJ 657 (10136)"</f>
        <v>PAGMENOS - LJ 657 (10136)</v>
      </c>
      <c r="R4816" t="str">
        <f t="shared" si="2289"/>
        <v>RECEITAS COM ENTREGAS (303)</v>
      </c>
      <c r="S4816">
        <v>2469</v>
      </c>
      <c r="T4816">
        <v>1840</v>
      </c>
      <c r="U4816" t="s">
        <v>19</v>
      </c>
    </row>
    <row r="4817" spans="1:21">
      <c r="A4817" t="str">
        <f t="shared" si="2283"/>
        <v>26/08/2025</v>
      </c>
      <c r="B4817" t="str">
        <f t="shared" si="2290"/>
        <v>ENTRADA</v>
      </c>
      <c r="C4817" t="str">
        <f t="shared" si="2285"/>
        <v>NFSE</v>
      </c>
      <c r="D4817" t="str">
        <f>"3378"</f>
        <v>3378</v>
      </c>
      <c r="E4817" t="str">
        <f t="shared" si="2272"/>
        <v>COM</v>
      </c>
      <c r="F4817" t="str">
        <f>"PAGMENOS - LJ 657 (10136)"</f>
        <v>PAGMENOS - LJ 657 (10136)</v>
      </c>
      <c r="G4817" t="str">
        <f>"Serv.Prest. 11/08/2025 a 17/08/2025 - RPS: 1144 - NFSe: 3378"</f>
        <v>Serv.Prest. 11/08/2025 a 17/08/2025 - RPS: 1144 - NFSe: 3378</v>
      </c>
      <c r="H4817" t="str">
        <f t="shared" si="2286"/>
        <v>21/08/2025</v>
      </c>
      <c r="I4817" t="str">
        <f>("19/08/2025")</f>
        <v>19/08/2025</v>
      </c>
      <c r="J4817" t="str">
        <f t="shared" si="2287"/>
        <v>26/08/2025</v>
      </c>
      <c r="K4817">
        <v>596.6</v>
      </c>
      <c r="L4817">
        <v>596.6</v>
      </c>
      <c r="M4817">
        <v>303</v>
      </c>
      <c r="N4817" t="str">
        <f t="shared" si="2288"/>
        <v>RECEITAS COM ENTREGAS</v>
      </c>
      <c r="O4817">
        <v>596.6</v>
      </c>
      <c r="R4817" t="str">
        <f t="shared" si="2289"/>
        <v>RECEITAS COM ENTREGAS (303)</v>
      </c>
      <c r="S4817">
        <v>2470</v>
      </c>
      <c r="T4817">
        <v>1918</v>
      </c>
      <c r="U4817" t="s">
        <v>19</v>
      </c>
    </row>
    <row r="4818" spans="1:21">
      <c r="A4818" t="str">
        <f t="shared" si="2283"/>
        <v>26/08/2025</v>
      </c>
      <c r="B4818" t="str">
        <f t="shared" si="2290"/>
        <v>ENTRADA</v>
      </c>
      <c r="C4818" t="str">
        <f t="shared" si="2285"/>
        <v>NFSE</v>
      </c>
      <c r="D4818" t="str">
        <f>"3378"</f>
        <v>3378</v>
      </c>
      <c r="E4818" t="str">
        <f t="shared" si="2272"/>
        <v>COM</v>
      </c>
      <c r="F4818" t="str">
        <f>"PAGMENOS - LJ 657 (10136)"</f>
        <v>PAGMENOS - LJ 657 (10136)</v>
      </c>
      <c r="G4818" t="str">
        <f>"Serv.Prest. 11/08/2025 a 17/08/2025 - RPS: 1144 - NFSe: 3378"</f>
        <v>Serv.Prest. 11/08/2025 a 17/08/2025 - RPS: 1144 - NFSe: 3378</v>
      </c>
      <c r="H4818" t="str">
        <f t="shared" si="2286"/>
        <v>21/08/2025</v>
      </c>
      <c r="I4818" t="str">
        <f>("19/08/2025")</f>
        <v>19/08/2025</v>
      </c>
      <c r="J4818" t="str">
        <f t="shared" si="2287"/>
        <v>26/08/2025</v>
      </c>
      <c r="M4818">
        <v>303</v>
      </c>
      <c r="N4818" t="str">
        <f t="shared" si="2288"/>
        <v>RECEITAS COM ENTREGAS</v>
      </c>
      <c r="P4818">
        <v>596.6</v>
      </c>
      <c r="Q4818" t="str">
        <f>"PAGMENOS - LJ 657 (10136)"</f>
        <v>PAGMENOS - LJ 657 (10136)</v>
      </c>
      <c r="R4818" t="str">
        <f t="shared" si="2289"/>
        <v>RECEITAS COM ENTREGAS (303)</v>
      </c>
      <c r="S4818">
        <v>2470</v>
      </c>
      <c r="T4818">
        <v>1918</v>
      </c>
      <c r="U4818" t="s">
        <v>19</v>
      </c>
    </row>
    <row r="4819" spans="1:21">
      <c r="A4819" t="str">
        <f t="shared" ref="A4819:A4850" si="2291">("27/08/2025")</f>
        <v>27/08/2025</v>
      </c>
      <c r="B4819" t="str">
        <f t="shared" si="2290"/>
        <v>ENTRADA</v>
      </c>
      <c r="C4819" t="str">
        <f t="shared" si="2285"/>
        <v>NFSE</v>
      </c>
      <c r="D4819" t="str">
        <f>"3369"</f>
        <v>3369</v>
      </c>
      <c r="E4819" t="str">
        <f t="shared" si="2272"/>
        <v>COM</v>
      </c>
      <c r="F4819" t="str">
        <f>"DROGARIA ANA VISCONDE DO RIO BRANCO (10182)"</f>
        <v>DROGARIA ANA VISCONDE DO RIO BRANCO (10182)</v>
      </c>
      <c r="G4819" t="str">
        <f>"Serv.Prest. 11/08/2025 a 17/08/2025 - RPS: 1127 - NFSe: 3369"</f>
        <v>Serv.Prest. 11/08/2025 a 17/08/2025 - RPS: 1127 - NFSe: 3369</v>
      </c>
      <c r="H4819" t="str">
        <f>("20/08/2025")</f>
        <v>20/08/2025</v>
      </c>
      <c r="I4819" t="str">
        <f>("18/08/2025")</f>
        <v>18/08/2025</v>
      </c>
      <c r="J4819" t="str">
        <f t="shared" ref="J4819:J4850" si="2292">("27/08/2025")</f>
        <v>27/08/2025</v>
      </c>
      <c r="K4819">
        <v>845.28</v>
      </c>
      <c r="L4819">
        <v>845.28</v>
      </c>
      <c r="M4819">
        <v>303</v>
      </c>
      <c r="N4819" t="str">
        <f t="shared" si="2288"/>
        <v>RECEITAS COM ENTREGAS</v>
      </c>
      <c r="O4819">
        <v>845.28</v>
      </c>
      <c r="R4819" t="str">
        <f t="shared" si="2289"/>
        <v>RECEITAS COM ENTREGAS (303)</v>
      </c>
      <c r="S4819">
        <v>2417</v>
      </c>
      <c r="T4819">
        <v>1900</v>
      </c>
      <c r="U4819" t="s">
        <v>19</v>
      </c>
    </row>
    <row r="4820" spans="1:21">
      <c r="A4820" t="str">
        <f t="shared" si="2291"/>
        <v>27/08/2025</v>
      </c>
      <c r="B4820" t="str">
        <f t="shared" si="2290"/>
        <v>ENTRADA</v>
      </c>
      <c r="C4820" t="str">
        <f t="shared" si="2285"/>
        <v>NFSE</v>
      </c>
      <c r="D4820" t="str">
        <f>"3369"</f>
        <v>3369</v>
      </c>
      <c r="E4820" t="str">
        <f t="shared" si="2272"/>
        <v>COM</v>
      </c>
      <c r="F4820" t="str">
        <f>"DROGARIA ANA VISCONDE DO RIO BRANCO (10182)"</f>
        <v>DROGARIA ANA VISCONDE DO RIO BRANCO (10182)</v>
      </c>
      <c r="G4820" t="str">
        <f>"Serv.Prest. 11/08/2025 a 17/08/2025 - RPS: 1127 - NFSe: 3369"</f>
        <v>Serv.Prest. 11/08/2025 a 17/08/2025 - RPS: 1127 - NFSe: 3369</v>
      </c>
      <c r="H4820" t="str">
        <f>("20/08/2025")</f>
        <v>20/08/2025</v>
      </c>
      <c r="I4820" t="str">
        <f>("18/08/2025")</f>
        <v>18/08/2025</v>
      </c>
      <c r="J4820" t="str">
        <f t="shared" si="2292"/>
        <v>27/08/2025</v>
      </c>
      <c r="M4820">
        <v>303</v>
      </c>
      <c r="N4820" t="str">
        <f t="shared" si="2288"/>
        <v>RECEITAS COM ENTREGAS</v>
      </c>
      <c r="P4820">
        <v>845.28</v>
      </c>
      <c r="Q4820" t="str">
        <f>"DROGARIA ANA VISCONDE DO RIO BRANCO (10182)"</f>
        <v>DROGARIA ANA VISCONDE DO RIO BRANCO (10182)</v>
      </c>
      <c r="R4820" t="str">
        <f t="shared" si="2289"/>
        <v>RECEITAS COM ENTREGAS (303)</v>
      </c>
      <c r="S4820">
        <v>2417</v>
      </c>
      <c r="T4820">
        <v>1900</v>
      </c>
      <c r="U4820" t="s">
        <v>19</v>
      </c>
    </row>
    <row r="4821" spans="1:21">
      <c r="A4821" t="str">
        <f t="shared" si="2291"/>
        <v>27/08/2025</v>
      </c>
      <c r="B4821" t="str">
        <f t="shared" si="2290"/>
        <v>ENTRADA</v>
      </c>
      <c r="C4821" t="str">
        <f t="shared" si="2285"/>
        <v>NFSE</v>
      </c>
      <c r="D4821" t="str">
        <f t="shared" ref="D4821:D4833" si="2293">"3372"</f>
        <v>3372</v>
      </c>
      <c r="E4821" t="str">
        <f t="shared" si="2272"/>
        <v>COM</v>
      </c>
      <c r="F4821" t="str">
        <f t="shared" ref="F4821:F4833" si="2294">"FARMÁCIA INDIANA LJ 30 (10127)"</f>
        <v>FARMÁCIA INDIANA LJ 30 (10127)</v>
      </c>
      <c r="G4821" t="str">
        <f t="shared" ref="G4821:G4833" si="2295">"Serv.Prest. 11/08/2025 a 17/08/2025 - RPS: 1138 - NFSe: 3372"</f>
        <v>Serv.Prest. 11/08/2025 a 17/08/2025 - RPS: 1138 - NFSe: 3372</v>
      </c>
      <c r="H4821" t="str">
        <f t="shared" ref="H4821:H4852" si="2296">("27/08/2025")</f>
        <v>27/08/2025</v>
      </c>
      <c r="I4821" t="str">
        <f t="shared" ref="I4821:I4852" si="2297">("19/08/2025")</f>
        <v>19/08/2025</v>
      </c>
      <c r="J4821" t="str">
        <f t="shared" si="2292"/>
        <v>27/08/2025</v>
      </c>
      <c r="K4821">
        <v>3019.88</v>
      </c>
      <c r="L4821">
        <v>3019.88</v>
      </c>
      <c r="M4821">
        <v>303</v>
      </c>
      <c r="N4821" t="str">
        <f t="shared" si="2288"/>
        <v>RECEITAS COM ENTREGAS</v>
      </c>
      <c r="O4821">
        <v>3019.88</v>
      </c>
      <c r="R4821" t="str">
        <f t="shared" si="2289"/>
        <v>RECEITAS COM ENTREGAS (303)</v>
      </c>
      <c r="S4821">
        <v>2418</v>
      </c>
      <c r="T4821">
        <v>1911</v>
      </c>
      <c r="U4821" t="s">
        <v>19</v>
      </c>
    </row>
    <row r="4822" spans="1:21">
      <c r="A4822" t="str">
        <f t="shared" si="2291"/>
        <v>27/08/2025</v>
      </c>
      <c r="B4822" t="str">
        <f t="shared" si="2290"/>
        <v>ENTRADA</v>
      </c>
      <c r="C4822" t="str">
        <f t="shared" si="2285"/>
        <v>NFSE</v>
      </c>
      <c r="D4822" t="str">
        <f t="shared" si="2293"/>
        <v>3372</v>
      </c>
      <c r="E4822" t="str">
        <f t="shared" si="2272"/>
        <v>COM</v>
      </c>
      <c r="F4822" t="str">
        <f t="shared" si="2294"/>
        <v>FARMÁCIA INDIANA LJ 30 (10127)</v>
      </c>
      <c r="G4822" t="str">
        <f t="shared" si="2295"/>
        <v>Serv.Prest. 11/08/2025 a 17/08/2025 - RPS: 1138 - NFSe: 3372</v>
      </c>
      <c r="H4822" t="str">
        <f t="shared" si="2296"/>
        <v>27/08/2025</v>
      </c>
      <c r="I4822" t="str">
        <f t="shared" si="2297"/>
        <v>19/08/2025</v>
      </c>
      <c r="J4822" t="str">
        <f t="shared" si="2292"/>
        <v>27/08/2025</v>
      </c>
      <c r="M4822">
        <v>303</v>
      </c>
      <c r="N4822" t="str">
        <f t="shared" si="2288"/>
        <v>RECEITAS COM ENTREGAS</v>
      </c>
      <c r="P4822">
        <v>327.64999999999998</v>
      </c>
      <c r="Q4822" t="str">
        <f>"FARMÁCIA INDIANA LJ 34 (10014)"</f>
        <v>FARMÁCIA INDIANA LJ 34 (10014)</v>
      </c>
      <c r="R4822" t="str">
        <f t="shared" si="2289"/>
        <v>RECEITAS COM ENTREGAS (303)</v>
      </c>
      <c r="S4822">
        <v>2418</v>
      </c>
      <c r="T4822">
        <v>1911</v>
      </c>
      <c r="U4822" t="s">
        <v>19</v>
      </c>
    </row>
    <row r="4823" spans="1:21">
      <c r="A4823" t="str">
        <f t="shared" si="2291"/>
        <v>27/08/2025</v>
      </c>
      <c r="B4823" t="str">
        <f t="shared" si="2290"/>
        <v>ENTRADA</v>
      </c>
      <c r="C4823" t="str">
        <f t="shared" si="2285"/>
        <v>NFSE</v>
      </c>
      <c r="D4823" t="str">
        <f t="shared" si="2293"/>
        <v>3372</v>
      </c>
      <c r="E4823" t="str">
        <f t="shared" si="2272"/>
        <v>COM</v>
      </c>
      <c r="F4823" t="str">
        <f t="shared" si="2294"/>
        <v>FARMÁCIA INDIANA LJ 30 (10127)</v>
      </c>
      <c r="G4823" t="str">
        <f t="shared" si="2295"/>
        <v>Serv.Prest. 11/08/2025 a 17/08/2025 - RPS: 1138 - NFSe: 3372</v>
      </c>
      <c r="H4823" t="str">
        <f t="shared" si="2296"/>
        <v>27/08/2025</v>
      </c>
      <c r="I4823" t="str">
        <f t="shared" si="2297"/>
        <v>19/08/2025</v>
      </c>
      <c r="J4823" t="str">
        <f t="shared" si="2292"/>
        <v>27/08/2025</v>
      </c>
      <c r="M4823">
        <v>303</v>
      </c>
      <c r="N4823" t="str">
        <f t="shared" si="2288"/>
        <v>RECEITAS COM ENTREGAS</v>
      </c>
      <c r="P4823">
        <v>256.08999999999997</v>
      </c>
      <c r="Q4823" t="str">
        <f>"FARMÁCIA INDIANA LJ 35 (10015)"</f>
        <v>FARMÁCIA INDIANA LJ 35 (10015)</v>
      </c>
      <c r="R4823" t="str">
        <f t="shared" si="2289"/>
        <v>RECEITAS COM ENTREGAS (303)</v>
      </c>
      <c r="S4823">
        <v>2418</v>
      </c>
      <c r="T4823">
        <v>1911</v>
      </c>
      <c r="U4823" t="s">
        <v>19</v>
      </c>
    </row>
    <row r="4824" spans="1:21">
      <c r="A4824" t="str">
        <f t="shared" si="2291"/>
        <v>27/08/2025</v>
      </c>
      <c r="B4824" t="str">
        <f t="shared" si="2290"/>
        <v>ENTRADA</v>
      </c>
      <c r="C4824" t="str">
        <f t="shared" si="2285"/>
        <v>NFSE</v>
      </c>
      <c r="D4824" t="str">
        <f t="shared" si="2293"/>
        <v>3372</v>
      </c>
      <c r="E4824" t="str">
        <f t="shared" si="2272"/>
        <v>COM</v>
      </c>
      <c r="F4824" t="str">
        <f t="shared" si="2294"/>
        <v>FARMÁCIA INDIANA LJ 30 (10127)</v>
      </c>
      <c r="G4824" t="str">
        <f t="shared" si="2295"/>
        <v>Serv.Prest. 11/08/2025 a 17/08/2025 - RPS: 1138 - NFSe: 3372</v>
      </c>
      <c r="H4824" t="str">
        <f t="shared" si="2296"/>
        <v>27/08/2025</v>
      </c>
      <c r="I4824" t="str">
        <f t="shared" si="2297"/>
        <v>19/08/2025</v>
      </c>
      <c r="J4824" t="str">
        <f t="shared" si="2292"/>
        <v>27/08/2025</v>
      </c>
      <c r="M4824">
        <v>303</v>
      </c>
      <c r="N4824" t="str">
        <f t="shared" si="2288"/>
        <v>RECEITAS COM ENTREGAS</v>
      </c>
      <c r="P4824">
        <v>288.10000000000002</v>
      </c>
      <c r="Q4824" t="str">
        <f>"FARMÁCIA INDIANA LJ 48 (10018)"</f>
        <v>FARMÁCIA INDIANA LJ 48 (10018)</v>
      </c>
      <c r="R4824" t="str">
        <f t="shared" si="2289"/>
        <v>RECEITAS COM ENTREGAS (303)</v>
      </c>
      <c r="S4824">
        <v>2418</v>
      </c>
      <c r="T4824">
        <v>1911</v>
      </c>
      <c r="U4824" t="s">
        <v>19</v>
      </c>
    </row>
    <row r="4825" spans="1:21">
      <c r="A4825" t="str">
        <f t="shared" si="2291"/>
        <v>27/08/2025</v>
      </c>
      <c r="B4825" t="str">
        <f t="shared" si="2290"/>
        <v>ENTRADA</v>
      </c>
      <c r="C4825" t="str">
        <f t="shared" si="2285"/>
        <v>NFSE</v>
      </c>
      <c r="D4825" t="str">
        <f t="shared" si="2293"/>
        <v>3372</v>
      </c>
      <c r="E4825" t="str">
        <f t="shared" si="2272"/>
        <v>COM</v>
      </c>
      <c r="F4825" t="str">
        <f t="shared" si="2294"/>
        <v>FARMÁCIA INDIANA LJ 30 (10127)</v>
      </c>
      <c r="G4825" t="str">
        <f t="shared" si="2295"/>
        <v>Serv.Prest. 11/08/2025 a 17/08/2025 - RPS: 1138 - NFSe: 3372</v>
      </c>
      <c r="H4825" t="str">
        <f t="shared" si="2296"/>
        <v>27/08/2025</v>
      </c>
      <c r="I4825" t="str">
        <f t="shared" si="2297"/>
        <v>19/08/2025</v>
      </c>
      <c r="J4825" t="str">
        <f t="shared" si="2292"/>
        <v>27/08/2025</v>
      </c>
      <c r="M4825">
        <v>303</v>
      </c>
      <c r="N4825" t="str">
        <f t="shared" si="2288"/>
        <v>RECEITAS COM ENTREGAS</v>
      </c>
      <c r="P4825">
        <v>418.56</v>
      </c>
      <c r="Q4825" t="str">
        <f>"FARMÁCIA INDIANA LJ 65 (10030)"</f>
        <v>FARMÁCIA INDIANA LJ 65 (10030)</v>
      </c>
      <c r="R4825" t="str">
        <f t="shared" si="2289"/>
        <v>RECEITAS COM ENTREGAS (303)</v>
      </c>
      <c r="S4825">
        <v>2418</v>
      </c>
      <c r="T4825">
        <v>1911</v>
      </c>
      <c r="U4825" t="s">
        <v>19</v>
      </c>
    </row>
    <row r="4826" spans="1:21">
      <c r="A4826" t="str">
        <f t="shared" si="2291"/>
        <v>27/08/2025</v>
      </c>
      <c r="B4826" t="str">
        <f t="shared" si="2290"/>
        <v>ENTRADA</v>
      </c>
      <c r="C4826" t="str">
        <f t="shared" si="2285"/>
        <v>NFSE</v>
      </c>
      <c r="D4826" t="str">
        <f t="shared" si="2293"/>
        <v>3372</v>
      </c>
      <c r="E4826" t="str">
        <f t="shared" si="2272"/>
        <v>COM</v>
      </c>
      <c r="F4826" t="str">
        <f t="shared" si="2294"/>
        <v>FARMÁCIA INDIANA LJ 30 (10127)</v>
      </c>
      <c r="G4826" t="str">
        <f t="shared" si="2295"/>
        <v>Serv.Prest. 11/08/2025 a 17/08/2025 - RPS: 1138 - NFSe: 3372</v>
      </c>
      <c r="H4826" t="str">
        <f t="shared" si="2296"/>
        <v>27/08/2025</v>
      </c>
      <c r="I4826" t="str">
        <f t="shared" si="2297"/>
        <v>19/08/2025</v>
      </c>
      <c r="J4826" t="str">
        <f t="shared" si="2292"/>
        <v>27/08/2025</v>
      </c>
      <c r="M4826">
        <v>303</v>
      </c>
      <c r="N4826" t="str">
        <f t="shared" si="2288"/>
        <v>RECEITAS COM ENTREGAS</v>
      </c>
      <c r="P4826">
        <v>137.1</v>
      </c>
      <c r="Q4826" t="str">
        <f>"FARMÁCIA INDIANA LJ 77 (10034)"</f>
        <v>FARMÁCIA INDIANA LJ 77 (10034)</v>
      </c>
      <c r="R4826" t="str">
        <f t="shared" si="2289"/>
        <v>RECEITAS COM ENTREGAS (303)</v>
      </c>
      <c r="S4826">
        <v>2418</v>
      </c>
      <c r="T4826">
        <v>1911</v>
      </c>
      <c r="U4826" t="s">
        <v>19</v>
      </c>
    </row>
    <row r="4827" spans="1:21">
      <c r="A4827" t="str">
        <f t="shared" si="2291"/>
        <v>27/08/2025</v>
      </c>
      <c r="B4827" t="str">
        <f t="shared" si="2290"/>
        <v>ENTRADA</v>
      </c>
      <c r="C4827" t="str">
        <f t="shared" si="2285"/>
        <v>NFSE</v>
      </c>
      <c r="D4827" t="str">
        <f t="shared" si="2293"/>
        <v>3372</v>
      </c>
      <c r="E4827" t="str">
        <f t="shared" si="2272"/>
        <v>COM</v>
      </c>
      <c r="F4827" t="str">
        <f t="shared" si="2294"/>
        <v>FARMÁCIA INDIANA LJ 30 (10127)</v>
      </c>
      <c r="G4827" t="str">
        <f t="shared" si="2295"/>
        <v>Serv.Prest. 11/08/2025 a 17/08/2025 - RPS: 1138 - NFSe: 3372</v>
      </c>
      <c r="H4827" t="str">
        <f t="shared" si="2296"/>
        <v>27/08/2025</v>
      </c>
      <c r="I4827" t="str">
        <f t="shared" si="2297"/>
        <v>19/08/2025</v>
      </c>
      <c r="J4827" t="str">
        <f t="shared" si="2292"/>
        <v>27/08/2025</v>
      </c>
      <c r="M4827">
        <v>303</v>
      </c>
      <c r="N4827" t="str">
        <f t="shared" si="2288"/>
        <v>RECEITAS COM ENTREGAS</v>
      </c>
      <c r="P4827">
        <v>243.1</v>
      </c>
      <c r="Q4827" t="str">
        <f>"FARMÁCIA INDIANA LJ 91 (10037)"</f>
        <v>FARMÁCIA INDIANA LJ 91 (10037)</v>
      </c>
      <c r="R4827" t="str">
        <f t="shared" si="2289"/>
        <v>RECEITAS COM ENTREGAS (303)</v>
      </c>
      <c r="S4827">
        <v>2418</v>
      </c>
      <c r="T4827">
        <v>1911</v>
      </c>
      <c r="U4827" t="s">
        <v>19</v>
      </c>
    </row>
    <row r="4828" spans="1:21">
      <c r="A4828" t="str">
        <f t="shared" si="2291"/>
        <v>27/08/2025</v>
      </c>
      <c r="B4828" t="str">
        <f t="shared" si="2290"/>
        <v>ENTRADA</v>
      </c>
      <c r="C4828" t="str">
        <f t="shared" si="2285"/>
        <v>NFSE</v>
      </c>
      <c r="D4828" t="str">
        <f t="shared" si="2293"/>
        <v>3372</v>
      </c>
      <c r="E4828" t="str">
        <f t="shared" si="2272"/>
        <v>COM</v>
      </c>
      <c r="F4828" t="str">
        <f t="shared" si="2294"/>
        <v>FARMÁCIA INDIANA LJ 30 (10127)</v>
      </c>
      <c r="G4828" t="str">
        <f t="shared" si="2295"/>
        <v>Serv.Prest. 11/08/2025 a 17/08/2025 - RPS: 1138 - NFSe: 3372</v>
      </c>
      <c r="H4828" t="str">
        <f t="shared" si="2296"/>
        <v>27/08/2025</v>
      </c>
      <c r="I4828" t="str">
        <f t="shared" si="2297"/>
        <v>19/08/2025</v>
      </c>
      <c r="J4828" t="str">
        <f t="shared" si="2292"/>
        <v>27/08/2025</v>
      </c>
      <c r="M4828">
        <v>303</v>
      </c>
      <c r="N4828" t="str">
        <f t="shared" si="2288"/>
        <v>RECEITAS COM ENTREGAS</v>
      </c>
      <c r="P4828">
        <v>394.7</v>
      </c>
      <c r="Q4828" t="str">
        <f>"FARMÁCIA INDIANA LJ 95 (10039)"</f>
        <v>FARMÁCIA INDIANA LJ 95 (10039)</v>
      </c>
      <c r="R4828" t="str">
        <f t="shared" si="2289"/>
        <v>RECEITAS COM ENTREGAS (303)</v>
      </c>
      <c r="S4828">
        <v>2418</v>
      </c>
      <c r="T4828">
        <v>1911</v>
      </c>
      <c r="U4828" t="s">
        <v>19</v>
      </c>
    </row>
    <row r="4829" spans="1:21">
      <c r="A4829" t="str">
        <f t="shared" si="2291"/>
        <v>27/08/2025</v>
      </c>
      <c r="B4829" t="str">
        <f t="shared" si="2290"/>
        <v>ENTRADA</v>
      </c>
      <c r="C4829" t="str">
        <f t="shared" si="2285"/>
        <v>NFSE</v>
      </c>
      <c r="D4829" t="str">
        <f t="shared" si="2293"/>
        <v>3372</v>
      </c>
      <c r="E4829" t="str">
        <f t="shared" si="2272"/>
        <v>COM</v>
      </c>
      <c r="F4829" t="str">
        <f t="shared" si="2294"/>
        <v>FARMÁCIA INDIANA LJ 30 (10127)</v>
      </c>
      <c r="G4829" t="str">
        <f t="shared" si="2295"/>
        <v>Serv.Prest. 11/08/2025 a 17/08/2025 - RPS: 1138 - NFSe: 3372</v>
      </c>
      <c r="H4829" t="str">
        <f t="shared" si="2296"/>
        <v>27/08/2025</v>
      </c>
      <c r="I4829" t="str">
        <f t="shared" si="2297"/>
        <v>19/08/2025</v>
      </c>
      <c r="J4829" t="str">
        <f t="shared" si="2292"/>
        <v>27/08/2025</v>
      </c>
      <c r="M4829">
        <v>303</v>
      </c>
      <c r="N4829" t="str">
        <f t="shared" si="2288"/>
        <v>RECEITAS COM ENTREGAS</v>
      </c>
      <c r="P4829">
        <v>280.85000000000002</v>
      </c>
      <c r="Q4829" t="str">
        <f>"FARMÁCIA INDIANA LJ 145 (10068)"</f>
        <v>FARMÁCIA INDIANA LJ 145 (10068)</v>
      </c>
      <c r="R4829" t="str">
        <f t="shared" si="2289"/>
        <v>RECEITAS COM ENTREGAS (303)</v>
      </c>
      <c r="S4829">
        <v>2418</v>
      </c>
      <c r="T4829">
        <v>1911</v>
      </c>
      <c r="U4829" t="s">
        <v>19</v>
      </c>
    </row>
    <row r="4830" spans="1:21">
      <c r="A4830" t="str">
        <f t="shared" si="2291"/>
        <v>27/08/2025</v>
      </c>
      <c r="B4830" t="str">
        <f t="shared" si="2290"/>
        <v>ENTRADA</v>
      </c>
      <c r="C4830" t="str">
        <f t="shared" si="2285"/>
        <v>NFSE</v>
      </c>
      <c r="D4830" t="str">
        <f t="shared" si="2293"/>
        <v>3372</v>
      </c>
      <c r="E4830" t="str">
        <f t="shared" si="2272"/>
        <v>COM</v>
      </c>
      <c r="F4830" t="str">
        <f t="shared" si="2294"/>
        <v>FARMÁCIA INDIANA LJ 30 (10127)</v>
      </c>
      <c r="G4830" t="str">
        <f t="shared" si="2295"/>
        <v>Serv.Prest. 11/08/2025 a 17/08/2025 - RPS: 1138 - NFSe: 3372</v>
      </c>
      <c r="H4830" t="str">
        <f t="shared" si="2296"/>
        <v>27/08/2025</v>
      </c>
      <c r="I4830" t="str">
        <f t="shared" si="2297"/>
        <v>19/08/2025</v>
      </c>
      <c r="J4830" t="str">
        <f t="shared" si="2292"/>
        <v>27/08/2025</v>
      </c>
      <c r="M4830">
        <v>303</v>
      </c>
      <c r="N4830" t="str">
        <f t="shared" si="2288"/>
        <v>RECEITAS COM ENTREGAS</v>
      </c>
      <c r="P4830">
        <v>121.7</v>
      </c>
      <c r="Q4830" t="str">
        <f>"FARMÁCIA INDIANA LJ 169 (10073)"</f>
        <v>FARMÁCIA INDIANA LJ 169 (10073)</v>
      </c>
      <c r="R4830" t="str">
        <f t="shared" si="2289"/>
        <v>RECEITAS COM ENTREGAS (303)</v>
      </c>
      <c r="S4830">
        <v>2418</v>
      </c>
      <c r="T4830">
        <v>1911</v>
      </c>
      <c r="U4830" t="s">
        <v>19</v>
      </c>
    </row>
    <row r="4831" spans="1:21">
      <c r="A4831" t="str">
        <f t="shared" si="2291"/>
        <v>27/08/2025</v>
      </c>
      <c r="B4831" t="str">
        <f t="shared" si="2290"/>
        <v>ENTRADA</v>
      </c>
      <c r="C4831" t="str">
        <f t="shared" si="2285"/>
        <v>NFSE</v>
      </c>
      <c r="D4831" t="str">
        <f t="shared" si="2293"/>
        <v>3372</v>
      </c>
      <c r="E4831" t="str">
        <f t="shared" si="2272"/>
        <v>COM</v>
      </c>
      <c r="F4831" t="str">
        <f t="shared" si="2294"/>
        <v>FARMÁCIA INDIANA LJ 30 (10127)</v>
      </c>
      <c r="G4831" t="str">
        <f t="shared" si="2295"/>
        <v>Serv.Prest. 11/08/2025 a 17/08/2025 - RPS: 1138 - NFSe: 3372</v>
      </c>
      <c r="H4831" t="str">
        <f t="shared" si="2296"/>
        <v>27/08/2025</v>
      </c>
      <c r="I4831" t="str">
        <f t="shared" si="2297"/>
        <v>19/08/2025</v>
      </c>
      <c r="J4831" t="str">
        <f t="shared" si="2292"/>
        <v>27/08/2025</v>
      </c>
      <c r="M4831">
        <v>303</v>
      </c>
      <c r="N4831" t="str">
        <f t="shared" si="2288"/>
        <v>RECEITAS COM ENTREGAS</v>
      </c>
      <c r="P4831">
        <v>209.28</v>
      </c>
      <c r="Q4831" t="str">
        <f>"FARMÁCIA INDIANA LJ 173 (10075)"</f>
        <v>FARMÁCIA INDIANA LJ 173 (10075)</v>
      </c>
      <c r="R4831" t="str">
        <f t="shared" si="2289"/>
        <v>RECEITAS COM ENTREGAS (303)</v>
      </c>
      <c r="S4831">
        <v>2418</v>
      </c>
      <c r="T4831">
        <v>1911</v>
      </c>
      <c r="U4831" t="s">
        <v>19</v>
      </c>
    </row>
    <row r="4832" spans="1:21">
      <c r="A4832" t="str">
        <f t="shared" si="2291"/>
        <v>27/08/2025</v>
      </c>
      <c r="B4832" t="str">
        <f t="shared" si="2290"/>
        <v>ENTRADA</v>
      </c>
      <c r="C4832" t="str">
        <f t="shared" si="2285"/>
        <v>NFSE</v>
      </c>
      <c r="D4832" t="str">
        <f t="shared" si="2293"/>
        <v>3372</v>
      </c>
      <c r="E4832" t="str">
        <f t="shared" si="2272"/>
        <v>COM</v>
      </c>
      <c r="F4832" t="str">
        <f t="shared" si="2294"/>
        <v>FARMÁCIA INDIANA LJ 30 (10127)</v>
      </c>
      <c r="G4832" t="str">
        <f t="shared" si="2295"/>
        <v>Serv.Prest. 11/08/2025 a 17/08/2025 - RPS: 1138 - NFSe: 3372</v>
      </c>
      <c r="H4832" t="str">
        <f t="shared" si="2296"/>
        <v>27/08/2025</v>
      </c>
      <c r="I4832" t="str">
        <f t="shared" si="2297"/>
        <v>19/08/2025</v>
      </c>
      <c r="J4832" t="str">
        <f t="shared" si="2292"/>
        <v>27/08/2025</v>
      </c>
      <c r="M4832">
        <v>303</v>
      </c>
      <c r="N4832" t="str">
        <f t="shared" si="2288"/>
        <v>RECEITAS COM ENTREGAS</v>
      </c>
      <c r="P4832">
        <v>183</v>
      </c>
      <c r="Q4832" t="str">
        <f>"FARMÁCIA INDIANA LJ 200 (10155)"</f>
        <v>FARMÁCIA INDIANA LJ 200 (10155)</v>
      </c>
      <c r="R4832" t="str">
        <f t="shared" si="2289"/>
        <v>RECEITAS COM ENTREGAS (303)</v>
      </c>
      <c r="S4832">
        <v>2418</v>
      </c>
      <c r="T4832">
        <v>1911</v>
      </c>
      <c r="U4832" t="s">
        <v>19</v>
      </c>
    </row>
    <row r="4833" spans="1:21">
      <c r="A4833" t="str">
        <f t="shared" si="2291"/>
        <v>27/08/2025</v>
      </c>
      <c r="B4833" t="str">
        <f t="shared" si="2290"/>
        <v>ENTRADA</v>
      </c>
      <c r="C4833" t="str">
        <f t="shared" si="2285"/>
        <v>NFSE</v>
      </c>
      <c r="D4833" t="str">
        <f t="shared" si="2293"/>
        <v>3372</v>
      </c>
      <c r="E4833" t="str">
        <f t="shared" si="2272"/>
        <v>COM</v>
      </c>
      <c r="F4833" t="str">
        <f t="shared" si="2294"/>
        <v>FARMÁCIA INDIANA LJ 30 (10127)</v>
      </c>
      <c r="G4833" t="str">
        <f t="shared" si="2295"/>
        <v>Serv.Prest. 11/08/2025 a 17/08/2025 - RPS: 1138 - NFSe: 3372</v>
      </c>
      <c r="H4833" t="str">
        <f t="shared" si="2296"/>
        <v>27/08/2025</v>
      </c>
      <c r="I4833" t="str">
        <f t="shared" si="2297"/>
        <v>19/08/2025</v>
      </c>
      <c r="J4833" t="str">
        <f t="shared" si="2292"/>
        <v>27/08/2025</v>
      </c>
      <c r="M4833">
        <v>303</v>
      </c>
      <c r="N4833" t="str">
        <f t="shared" si="2288"/>
        <v>RECEITAS COM ENTREGAS</v>
      </c>
      <c r="P4833">
        <v>159.75</v>
      </c>
      <c r="Q4833" t="str">
        <f>"FARMÁCIA INDIANA LJ 33 (10187)"</f>
        <v>FARMÁCIA INDIANA LJ 33 (10187)</v>
      </c>
      <c r="R4833" t="str">
        <f t="shared" si="2289"/>
        <v>RECEITAS COM ENTREGAS (303)</v>
      </c>
      <c r="S4833">
        <v>2418</v>
      </c>
      <c r="T4833">
        <v>1911</v>
      </c>
      <c r="U4833" t="s">
        <v>19</v>
      </c>
    </row>
    <row r="4834" spans="1:21">
      <c r="A4834" t="str">
        <f t="shared" si="2291"/>
        <v>27/08/2025</v>
      </c>
      <c r="B4834" t="str">
        <f t="shared" si="2290"/>
        <v>ENTRADA</v>
      </c>
      <c r="C4834" t="str">
        <f t="shared" si="2285"/>
        <v>NFSE</v>
      </c>
      <c r="D4834" t="str">
        <f t="shared" ref="D4834:D4842" si="2298">"3373"</f>
        <v>3373</v>
      </c>
      <c r="E4834" t="str">
        <f t="shared" si="2272"/>
        <v>COM</v>
      </c>
      <c r="F4834" t="str">
        <f t="shared" ref="F4834:F4842" si="2299">"FARMÁCIA INDIANA LJ 85 (10128)"</f>
        <v>FARMÁCIA INDIANA LJ 85 (10128)</v>
      </c>
      <c r="G4834" t="str">
        <f t="shared" ref="G4834:G4842" si="2300">"Serv.Prest. 11/08/2025 a 17/08/2025 - RPS: 1139 - NFSe: 3373"</f>
        <v>Serv.Prest. 11/08/2025 a 17/08/2025 - RPS: 1139 - NFSe: 3373</v>
      </c>
      <c r="H4834" t="str">
        <f t="shared" si="2296"/>
        <v>27/08/2025</v>
      </c>
      <c r="I4834" t="str">
        <f t="shared" si="2297"/>
        <v>19/08/2025</v>
      </c>
      <c r="J4834" t="str">
        <f t="shared" si="2292"/>
        <v>27/08/2025</v>
      </c>
      <c r="K4834">
        <v>1634.57</v>
      </c>
      <c r="L4834">
        <v>1634.57</v>
      </c>
      <c r="M4834">
        <v>303</v>
      </c>
      <c r="N4834" t="str">
        <f t="shared" si="2288"/>
        <v>RECEITAS COM ENTREGAS</v>
      </c>
      <c r="O4834">
        <v>1634.57</v>
      </c>
      <c r="R4834" t="str">
        <f t="shared" si="2289"/>
        <v>RECEITAS COM ENTREGAS (303)</v>
      </c>
      <c r="S4834">
        <v>2419</v>
      </c>
      <c r="T4834">
        <v>1912</v>
      </c>
      <c r="U4834" t="s">
        <v>19</v>
      </c>
    </row>
    <row r="4835" spans="1:21">
      <c r="A4835" t="str">
        <f t="shared" si="2291"/>
        <v>27/08/2025</v>
      </c>
      <c r="B4835" t="str">
        <f t="shared" si="2290"/>
        <v>ENTRADA</v>
      </c>
      <c r="C4835" t="str">
        <f t="shared" si="2285"/>
        <v>NFSE</v>
      </c>
      <c r="D4835" t="str">
        <f t="shared" si="2298"/>
        <v>3373</v>
      </c>
      <c r="E4835" t="str">
        <f t="shared" si="2272"/>
        <v>COM</v>
      </c>
      <c r="F4835" t="str">
        <f t="shared" si="2299"/>
        <v>FARMÁCIA INDIANA LJ 85 (10128)</v>
      </c>
      <c r="G4835" t="str">
        <f t="shared" si="2300"/>
        <v>Serv.Prest. 11/08/2025 a 17/08/2025 - RPS: 1139 - NFSe: 3373</v>
      </c>
      <c r="H4835" t="str">
        <f t="shared" si="2296"/>
        <v>27/08/2025</v>
      </c>
      <c r="I4835" t="str">
        <f t="shared" si="2297"/>
        <v>19/08/2025</v>
      </c>
      <c r="J4835" t="str">
        <f t="shared" si="2292"/>
        <v>27/08/2025</v>
      </c>
      <c r="M4835">
        <v>303</v>
      </c>
      <c r="N4835" t="str">
        <f t="shared" si="2288"/>
        <v>RECEITAS COM ENTREGAS</v>
      </c>
      <c r="P4835">
        <v>352.58</v>
      </c>
      <c r="Q4835" t="str">
        <f>"FARMÁCIA INDIANA LJ 119 (10053)"</f>
        <v>FARMÁCIA INDIANA LJ 119 (10053)</v>
      </c>
      <c r="R4835" t="str">
        <f t="shared" si="2289"/>
        <v>RECEITAS COM ENTREGAS (303)</v>
      </c>
      <c r="S4835">
        <v>2419</v>
      </c>
      <c r="T4835">
        <v>1912</v>
      </c>
      <c r="U4835" t="s">
        <v>19</v>
      </c>
    </row>
    <row r="4836" spans="1:21">
      <c r="A4836" t="str">
        <f t="shared" si="2291"/>
        <v>27/08/2025</v>
      </c>
      <c r="B4836" t="str">
        <f t="shared" si="2290"/>
        <v>ENTRADA</v>
      </c>
      <c r="C4836" t="str">
        <f t="shared" si="2285"/>
        <v>NFSE</v>
      </c>
      <c r="D4836" t="str">
        <f t="shared" si="2298"/>
        <v>3373</v>
      </c>
      <c r="E4836" t="str">
        <f t="shared" si="2272"/>
        <v>COM</v>
      </c>
      <c r="F4836" t="str">
        <f t="shared" si="2299"/>
        <v>FARMÁCIA INDIANA LJ 85 (10128)</v>
      </c>
      <c r="G4836" t="str">
        <f t="shared" si="2300"/>
        <v>Serv.Prest. 11/08/2025 a 17/08/2025 - RPS: 1139 - NFSe: 3373</v>
      </c>
      <c r="H4836" t="str">
        <f t="shared" si="2296"/>
        <v>27/08/2025</v>
      </c>
      <c r="I4836" t="str">
        <f t="shared" si="2297"/>
        <v>19/08/2025</v>
      </c>
      <c r="J4836" t="str">
        <f t="shared" si="2292"/>
        <v>27/08/2025</v>
      </c>
      <c r="M4836">
        <v>303</v>
      </c>
      <c r="N4836" t="str">
        <f t="shared" si="2288"/>
        <v>RECEITAS COM ENTREGAS</v>
      </c>
      <c r="P4836">
        <v>356.01</v>
      </c>
      <c r="Q4836" t="str">
        <f>"FARMÁCIA INDIANA LJ 163 (10072)"</f>
        <v>FARMÁCIA INDIANA LJ 163 (10072)</v>
      </c>
      <c r="R4836" t="str">
        <f t="shared" si="2289"/>
        <v>RECEITAS COM ENTREGAS (303)</v>
      </c>
      <c r="S4836">
        <v>2419</v>
      </c>
      <c r="T4836">
        <v>1912</v>
      </c>
      <c r="U4836" t="s">
        <v>19</v>
      </c>
    </row>
    <row r="4837" spans="1:21">
      <c r="A4837" t="str">
        <f t="shared" si="2291"/>
        <v>27/08/2025</v>
      </c>
      <c r="B4837" t="str">
        <f t="shared" si="2290"/>
        <v>ENTRADA</v>
      </c>
      <c r="C4837" t="str">
        <f t="shared" si="2285"/>
        <v>NFSE</v>
      </c>
      <c r="D4837" t="str">
        <f t="shared" si="2298"/>
        <v>3373</v>
      </c>
      <c r="E4837" t="str">
        <f t="shared" si="2272"/>
        <v>COM</v>
      </c>
      <c r="F4837" t="str">
        <f t="shared" si="2299"/>
        <v>FARMÁCIA INDIANA LJ 85 (10128)</v>
      </c>
      <c r="G4837" t="str">
        <f t="shared" si="2300"/>
        <v>Serv.Prest. 11/08/2025 a 17/08/2025 - RPS: 1139 - NFSe: 3373</v>
      </c>
      <c r="H4837" t="str">
        <f t="shared" si="2296"/>
        <v>27/08/2025</v>
      </c>
      <c r="I4837" t="str">
        <f t="shared" si="2297"/>
        <v>19/08/2025</v>
      </c>
      <c r="J4837" t="str">
        <f t="shared" si="2292"/>
        <v>27/08/2025</v>
      </c>
      <c r="M4837">
        <v>303</v>
      </c>
      <c r="N4837" t="str">
        <f t="shared" si="2288"/>
        <v>RECEITAS COM ENTREGAS</v>
      </c>
      <c r="P4837">
        <v>161.33000000000001</v>
      </c>
      <c r="Q4837" t="str">
        <f>"FARMÁCIA INDIANA LJ 181 (10078)"</f>
        <v>FARMÁCIA INDIANA LJ 181 (10078)</v>
      </c>
      <c r="R4837" t="str">
        <f t="shared" si="2289"/>
        <v>RECEITAS COM ENTREGAS (303)</v>
      </c>
      <c r="S4837">
        <v>2419</v>
      </c>
      <c r="T4837">
        <v>1912</v>
      </c>
      <c r="U4837" t="s">
        <v>19</v>
      </c>
    </row>
    <row r="4838" spans="1:21">
      <c r="A4838" t="str">
        <f t="shared" si="2291"/>
        <v>27/08/2025</v>
      </c>
      <c r="B4838" t="str">
        <f t="shared" si="2290"/>
        <v>ENTRADA</v>
      </c>
      <c r="C4838" t="str">
        <f t="shared" si="2285"/>
        <v>NFSE</v>
      </c>
      <c r="D4838" t="str">
        <f t="shared" si="2298"/>
        <v>3373</v>
      </c>
      <c r="E4838" t="str">
        <f t="shared" si="2272"/>
        <v>COM</v>
      </c>
      <c r="F4838" t="str">
        <f t="shared" si="2299"/>
        <v>FARMÁCIA INDIANA LJ 85 (10128)</v>
      </c>
      <c r="G4838" t="str">
        <f t="shared" si="2300"/>
        <v>Serv.Prest. 11/08/2025 a 17/08/2025 - RPS: 1139 - NFSe: 3373</v>
      </c>
      <c r="H4838" t="str">
        <f t="shared" si="2296"/>
        <v>27/08/2025</v>
      </c>
      <c r="I4838" t="str">
        <f t="shared" si="2297"/>
        <v>19/08/2025</v>
      </c>
      <c r="J4838" t="str">
        <f t="shared" si="2292"/>
        <v>27/08/2025</v>
      </c>
      <c r="M4838">
        <v>303</v>
      </c>
      <c r="N4838" t="str">
        <f t="shared" si="2288"/>
        <v>RECEITAS COM ENTREGAS</v>
      </c>
      <c r="P4838">
        <v>172.45</v>
      </c>
      <c r="Q4838" t="str">
        <f>"FARMÁCIA INDIANA LJ 221 (10093)"</f>
        <v>FARMÁCIA INDIANA LJ 221 (10093)</v>
      </c>
      <c r="R4838" t="str">
        <f t="shared" si="2289"/>
        <v>RECEITAS COM ENTREGAS (303)</v>
      </c>
      <c r="S4838">
        <v>2419</v>
      </c>
      <c r="T4838">
        <v>1912</v>
      </c>
      <c r="U4838" t="s">
        <v>19</v>
      </c>
    </row>
    <row r="4839" spans="1:21">
      <c r="A4839" t="str">
        <f t="shared" si="2291"/>
        <v>27/08/2025</v>
      </c>
      <c r="B4839" t="str">
        <f t="shared" si="2290"/>
        <v>ENTRADA</v>
      </c>
      <c r="C4839" t="str">
        <f t="shared" si="2285"/>
        <v>NFSE</v>
      </c>
      <c r="D4839" t="str">
        <f t="shared" si="2298"/>
        <v>3373</v>
      </c>
      <c r="E4839" t="str">
        <f t="shared" si="2272"/>
        <v>COM</v>
      </c>
      <c r="F4839" t="str">
        <f t="shared" si="2299"/>
        <v>FARMÁCIA INDIANA LJ 85 (10128)</v>
      </c>
      <c r="G4839" t="str">
        <f t="shared" si="2300"/>
        <v>Serv.Prest. 11/08/2025 a 17/08/2025 - RPS: 1139 - NFSe: 3373</v>
      </c>
      <c r="H4839" t="str">
        <f t="shared" si="2296"/>
        <v>27/08/2025</v>
      </c>
      <c r="I4839" t="str">
        <f t="shared" si="2297"/>
        <v>19/08/2025</v>
      </c>
      <c r="J4839" t="str">
        <f t="shared" si="2292"/>
        <v>27/08/2025</v>
      </c>
      <c r="M4839">
        <v>303</v>
      </c>
      <c r="N4839" t="str">
        <f t="shared" si="2288"/>
        <v>RECEITAS COM ENTREGAS</v>
      </c>
      <c r="P4839">
        <v>224.75</v>
      </c>
      <c r="Q4839" t="str">
        <f>"FARMÁCIA INDIANA LJ 243 (10142)"</f>
        <v>FARMÁCIA INDIANA LJ 243 (10142)</v>
      </c>
      <c r="R4839" t="str">
        <f t="shared" si="2289"/>
        <v>RECEITAS COM ENTREGAS (303)</v>
      </c>
      <c r="S4839">
        <v>2419</v>
      </c>
      <c r="T4839">
        <v>1912</v>
      </c>
      <c r="U4839" t="s">
        <v>19</v>
      </c>
    </row>
    <row r="4840" spans="1:21">
      <c r="A4840" t="str">
        <f t="shared" si="2291"/>
        <v>27/08/2025</v>
      </c>
      <c r="B4840" t="str">
        <f t="shared" si="2290"/>
        <v>ENTRADA</v>
      </c>
      <c r="C4840" t="str">
        <f t="shared" si="2285"/>
        <v>NFSE</v>
      </c>
      <c r="D4840" t="str">
        <f t="shared" si="2298"/>
        <v>3373</v>
      </c>
      <c r="E4840" t="str">
        <f t="shared" si="2272"/>
        <v>COM</v>
      </c>
      <c r="F4840" t="str">
        <f t="shared" si="2299"/>
        <v>FARMÁCIA INDIANA LJ 85 (10128)</v>
      </c>
      <c r="G4840" t="str">
        <f t="shared" si="2300"/>
        <v>Serv.Prest. 11/08/2025 a 17/08/2025 - RPS: 1139 - NFSe: 3373</v>
      </c>
      <c r="H4840" t="str">
        <f t="shared" si="2296"/>
        <v>27/08/2025</v>
      </c>
      <c r="I4840" t="str">
        <f t="shared" si="2297"/>
        <v>19/08/2025</v>
      </c>
      <c r="J4840" t="str">
        <f t="shared" si="2292"/>
        <v>27/08/2025</v>
      </c>
      <c r="M4840">
        <v>303</v>
      </c>
      <c r="N4840" t="str">
        <f t="shared" si="2288"/>
        <v>RECEITAS COM ENTREGAS</v>
      </c>
      <c r="P4840">
        <v>91.86</v>
      </c>
      <c r="Q4840" t="str">
        <f>"FARMÁCIA INDIANA LJ 211 (10168)"</f>
        <v>FARMÁCIA INDIANA LJ 211 (10168)</v>
      </c>
      <c r="R4840" t="str">
        <f t="shared" si="2289"/>
        <v>RECEITAS COM ENTREGAS (303)</v>
      </c>
      <c r="S4840">
        <v>2419</v>
      </c>
      <c r="T4840">
        <v>1912</v>
      </c>
      <c r="U4840" t="s">
        <v>19</v>
      </c>
    </row>
    <row r="4841" spans="1:21">
      <c r="A4841" t="str">
        <f t="shared" si="2291"/>
        <v>27/08/2025</v>
      </c>
      <c r="B4841" t="str">
        <f t="shared" si="2290"/>
        <v>ENTRADA</v>
      </c>
      <c r="C4841" t="str">
        <f t="shared" si="2285"/>
        <v>NFSE</v>
      </c>
      <c r="D4841" t="str">
        <f t="shared" si="2298"/>
        <v>3373</v>
      </c>
      <c r="E4841" t="str">
        <f t="shared" si="2272"/>
        <v>COM</v>
      </c>
      <c r="F4841" t="str">
        <f t="shared" si="2299"/>
        <v>FARMÁCIA INDIANA LJ 85 (10128)</v>
      </c>
      <c r="G4841" t="str">
        <f t="shared" si="2300"/>
        <v>Serv.Prest. 11/08/2025 a 17/08/2025 - RPS: 1139 - NFSe: 3373</v>
      </c>
      <c r="H4841" t="str">
        <f t="shared" si="2296"/>
        <v>27/08/2025</v>
      </c>
      <c r="I4841" t="str">
        <f t="shared" si="2297"/>
        <v>19/08/2025</v>
      </c>
      <c r="J4841" t="str">
        <f t="shared" si="2292"/>
        <v>27/08/2025</v>
      </c>
      <c r="M4841">
        <v>303</v>
      </c>
      <c r="N4841" t="str">
        <f t="shared" si="2288"/>
        <v>RECEITAS COM ENTREGAS</v>
      </c>
      <c r="P4841">
        <v>91.86</v>
      </c>
      <c r="Q4841" t="str">
        <f>"FARMÁCIA INDIANA LJ 236 (10169)"</f>
        <v>FARMÁCIA INDIANA LJ 236 (10169)</v>
      </c>
      <c r="R4841" t="str">
        <f t="shared" si="2289"/>
        <v>RECEITAS COM ENTREGAS (303)</v>
      </c>
      <c r="S4841">
        <v>2419</v>
      </c>
      <c r="T4841">
        <v>1912</v>
      </c>
      <c r="U4841" t="s">
        <v>19</v>
      </c>
    </row>
    <row r="4842" spans="1:21">
      <c r="A4842" t="str">
        <f t="shared" si="2291"/>
        <v>27/08/2025</v>
      </c>
      <c r="B4842" t="str">
        <f t="shared" si="2290"/>
        <v>ENTRADA</v>
      </c>
      <c r="C4842" t="str">
        <f t="shared" si="2285"/>
        <v>NFSE</v>
      </c>
      <c r="D4842" t="str">
        <f t="shared" si="2298"/>
        <v>3373</v>
      </c>
      <c r="E4842" t="str">
        <f t="shared" si="2272"/>
        <v>COM</v>
      </c>
      <c r="F4842" t="str">
        <f t="shared" si="2299"/>
        <v>FARMÁCIA INDIANA LJ 85 (10128)</v>
      </c>
      <c r="G4842" t="str">
        <f t="shared" si="2300"/>
        <v>Serv.Prest. 11/08/2025 a 17/08/2025 - RPS: 1139 - NFSe: 3373</v>
      </c>
      <c r="H4842" t="str">
        <f t="shared" si="2296"/>
        <v>27/08/2025</v>
      </c>
      <c r="I4842" t="str">
        <f t="shared" si="2297"/>
        <v>19/08/2025</v>
      </c>
      <c r="J4842" t="str">
        <f t="shared" si="2292"/>
        <v>27/08/2025</v>
      </c>
      <c r="M4842">
        <v>303</v>
      </c>
      <c r="N4842" t="str">
        <f t="shared" si="2288"/>
        <v>RECEITAS COM ENTREGAS</v>
      </c>
      <c r="P4842">
        <v>183.73</v>
      </c>
      <c r="Q4842" t="str">
        <f>"FARMÁCIA INDIANA LJ 188 (10176)"</f>
        <v>FARMÁCIA INDIANA LJ 188 (10176)</v>
      </c>
      <c r="R4842" t="str">
        <f t="shared" si="2289"/>
        <v>RECEITAS COM ENTREGAS (303)</v>
      </c>
      <c r="S4842">
        <v>2419</v>
      </c>
      <c r="T4842">
        <v>1912</v>
      </c>
      <c r="U4842" t="s">
        <v>19</v>
      </c>
    </row>
    <row r="4843" spans="1:21">
      <c r="A4843" t="str">
        <f t="shared" si="2291"/>
        <v>27/08/2025</v>
      </c>
      <c r="B4843" t="str">
        <f t="shared" si="2290"/>
        <v>ENTRADA</v>
      </c>
      <c r="C4843" t="str">
        <f t="shared" si="2285"/>
        <v>NFSE</v>
      </c>
      <c r="D4843" t="str">
        <f t="shared" ref="D4843:D4890" si="2301">"3374"</f>
        <v>3374</v>
      </c>
      <c r="E4843" t="str">
        <f t="shared" si="2272"/>
        <v>COM</v>
      </c>
      <c r="F4843" t="str">
        <f t="shared" ref="F4843:F4890" si="2302">"FARMÁCIA INDIANA LJ 1 (10126)"</f>
        <v>FARMÁCIA INDIANA LJ 1 (10126)</v>
      </c>
      <c r="G4843" t="str">
        <f t="shared" ref="G4843:G4890" si="2303">"Serv.Prest. 11/08/2025 a 17/08/2025 - RPS: 1140 - NFSe: 3374"</f>
        <v>Serv.Prest. 11/08/2025 a 17/08/2025 - RPS: 1140 - NFSe: 3374</v>
      </c>
      <c r="H4843" t="str">
        <f t="shared" si="2296"/>
        <v>27/08/2025</v>
      </c>
      <c r="I4843" t="str">
        <f t="shared" si="2297"/>
        <v>19/08/2025</v>
      </c>
      <c r="J4843" t="str">
        <f t="shared" si="2292"/>
        <v>27/08/2025</v>
      </c>
      <c r="K4843">
        <v>13858.64</v>
      </c>
      <c r="L4843">
        <v>13858.64</v>
      </c>
      <c r="M4843">
        <v>303</v>
      </c>
      <c r="N4843" t="str">
        <f t="shared" si="2288"/>
        <v>RECEITAS COM ENTREGAS</v>
      </c>
      <c r="O4843">
        <v>13858.64</v>
      </c>
      <c r="R4843" t="str">
        <f t="shared" si="2289"/>
        <v>RECEITAS COM ENTREGAS (303)</v>
      </c>
      <c r="S4843">
        <v>2420</v>
      </c>
      <c r="T4843">
        <v>1913</v>
      </c>
      <c r="U4843" t="s">
        <v>19</v>
      </c>
    </row>
    <row r="4844" spans="1:21">
      <c r="A4844" t="str">
        <f t="shared" si="2291"/>
        <v>27/08/2025</v>
      </c>
      <c r="B4844" t="str">
        <f t="shared" si="2290"/>
        <v>ENTRADA</v>
      </c>
      <c r="C4844" t="str">
        <f t="shared" si="2285"/>
        <v>NFSE</v>
      </c>
      <c r="D4844" t="str">
        <f t="shared" si="2301"/>
        <v>3374</v>
      </c>
      <c r="E4844" t="str">
        <f t="shared" si="2272"/>
        <v>COM</v>
      </c>
      <c r="F4844" t="str">
        <f t="shared" si="2302"/>
        <v>FARMÁCIA INDIANA LJ 1 (10126)</v>
      </c>
      <c r="G4844" t="str">
        <f t="shared" si="2303"/>
        <v>Serv.Prest. 11/08/2025 a 17/08/2025 - RPS: 1140 - NFSe: 3374</v>
      </c>
      <c r="H4844" t="str">
        <f t="shared" si="2296"/>
        <v>27/08/2025</v>
      </c>
      <c r="I4844" t="str">
        <f t="shared" si="2297"/>
        <v>19/08/2025</v>
      </c>
      <c r="J4844" t="str">
        <f t="shared" si="2292"/>
        <v>27/08/2025</v>
      </c>
      <c r="M4844">
        <v>303</v>
      </c>
      <c r="N4844" t="str">
        <f t="shared" si="2288"/>
        <v>RECEITAS COM ENTREGAS</v>
      </c>
      <c r="P4844">
        <v>1821.05</v>
      </c>
      <c r="Q4844" t="str">
        <f>"FARMÁCIA INDIANA LJ 06 (10006)"</f>
        <v>FARMÁCIA INDIANA LJ 06 (10006)</v>
      </c>
      <c r="R4844" t="str">
        <f t="shared" si="2289"/>
        <v>RECEITAS COM ENTREGAS (303)</v>
      </c>
      <c r="S4844">
        <v>2420</v>
      </c>
      <c r="T4844">
        <v>1913</v>
      </c>
      <c r="U4844" t="s">
        <v>19</v>
      </c>
    </row>
    <row r="4845" spans="1:21">
      <c r="A4845" t="str">
        <f t="shared" si="2291"/>
        <v>27/08/2025</v>
      </c>
      <c r="B4845" t="str">
        <f t="shared" si="2290"/>
        <v>ENTRADA</v>
      </c>
      <c r="C4845" t="str">
        <f t="shared" ref="C4845:C4876" si="2304">"NFSE"</f>
        <v>NFSE</v>
      </c>
      <c r="D4845" t="str">
        <f t="shared" si="2301"/>
        <v>3374</v>
      </c>
      <c r="E4845" t="str">
        <f t="shared" si="2272"/>
        <v>COM</v>
      </c>
      <c r="F4845" t="str">
        <f t="shared" si="2302"/>
        <v>FARMÁCIA INDIANA LJ 1 (10126)</v>
      </c>
      <c r="G4845" t="str">
        <f t="shared" si="2303"/>
        <v>Serv.Prest. 11/08/2025 a 17/08/2025 - RPS: 1140 - NFSe: 3374</v>
      </c>
      <c r="H4845" t="str">
        <f t="shared" si="2296"/>
        <v>27/08/2025</v>
      </c>
      <c r="I4845" t="str">
        <f t="shared" si="2297"/>
        <v>19/08/2025</v>
      </c>
      <c r="J4845" t="str">
        <f t="shared" si="2292"/>
        <v>27/08/2025</v>
      </c>
      <c r="M4845">
        <v>303</v>
      </c>
      <c r="N4845" t="str">
        <f t="shared" ref="N4845:N4876" si="2305">"RECEITAS COM ENTREGAS"</f>
        <v>RECEITAS COM ENTREGAS</v>
      </c>
      <c r="P4845">
        <v>1384.48</v>
      </c>
      <c r="Q4845" t="str">
        <f>"FARMÁCIA INDIANA LJ 07 (10007)"</f>
        <v>FARMÁCIA INDIANA LJ 07 (10007)</v>
      </c>
      <c r="R4845" t="str">
        <f t="shared" ref="R4845:R4876" si="2306">"RECEITAS COM ENTREGAS (303)"</f>
        <v>RECEITAS COM ENTREGAS (303)</v>
      </c>
      <c r="S4845">
        <v>2420</v>
      </c>
      <c r="T4845">
        <v>1913</v>
      </c>
      <c r="U4845" t="s">
        <v>19</v>
      </c>
    </row>
    <row r="4846" spans="1:21">
      <c r="A4846" t="str">
        <f t="shared" si="2291"/>
        <v>27/08/2025</v>
      </c>
      <c r="B4846" t="str">
        <f t="shared" si="2290"/>
        <v>ENTRADA</v>
      </c>
      <c r="C4846" t="str">
        <f t="shared" si="2304"/>
        <v>NFSE</v>
      </c>
      <c r="D4846" t="str">
        <f t="shared" si="2301"/>
        <v>3374</v>
      </c>
      <c r="E4846" t="str">
        <f t="shared" si="2272"/>
        <v>COM</v>
      </c>
      <c r="F4846" t="str">
        <f t="shared" si="2302"/>
        <v>FARMÁCIA INDIANA LJ 1 (10126)</v>
      </c>
      <c r="G4846" t="str">
        <f t="shared" si="2303"/>
        <v>Serv.Prest. 11/08/2025 a 17/08/2025 - RPS: 1140 - NFSe: 3374</v>
      </c>
      <c r="H4846" t="str">
        <f t="shared" si="2296"/>
        <v>27/08/2025</v>
      </c>
      <c r="I4846" t="str">
        <f t="shared" si="2297"/>
        <v>19/08/2025</v>
      </c>
      <c r="J4846" t="str">
        <f t="shared" si="2292"/>
        <v>27/08/2025</v>
      </c>
      <c r="M4846">
        <v>303</v>
      </c>
      <c r="N4846" t="str">
        <f t="shared" si="2305"/>
        <v>RECEITAS COM ENTREGAS</v>
      </c>
      <c r="P4846">
        <v>900.81</v>
      </c>
      <c r="Q4846" t="str">
        <f>"FARMÁCIA INDIANA LJ 11 (10008)"</f>
        <v>FARMÁCIA INDIANA LJ 11 (10008)</v>
      </c>
      <c r="R4846" t="str">
        <f t="shared" si="2306"/>
        <v>RECEITAS COM ENTREGAS (303)</v>
      </c>
      <c r="S4846">
        <v>2420</v>
      </c>
      <c r="T4846">
        <v>1913</v>
      </c>
      <c r="U4846" t="s">
        <v>19</v>
      </c>
    </row>
    <row r="4847" spans="1:21">
      <c r="A4847" t="str">
        <f t="shared" si="2291"/>
        <v>27/08/2025</v>
      </c>
      <c r="B4847" t="str">
        <f t="shared" si="2290"/>
        <v>ENTRADA</v>
      </c>
      <c r="C4847" t="str">
        <f t="shared" si="2304"/>
        <v>NFSE</v>
      </c>
      <c r="D4847" t="str">
        <f t="shared" si="2301"/>
        <v>3374</v>
      </c>
      <c r="E4847" t="str">
        <f t="shared" ref="E4847:E4910" si="2307">"COM"</f>
        <v>COM</v>
      </c>
      <c r="F4847" t="str">
        <f t="shared" si="2302"/>
        <v>FARMÁCIA INDIANA LJ 1 (10126)</v>
      </c>
      <c r="G4847" t="str">
        <f t="shared" si="2303"/>
        <v>Serv.Prest. 11/08/2025 a 17/08/2025 - RPS: 1140 - NFSe: 3374</v>
      </c>
      <c r="H4847" t="str">
        <f t="shared" si="2296"/>
        <v>27/08/2025</v>
      </c>
      <c r="I4847" t="str">
        <f t="shared" si="2297"/>
        <v>19/08/2025</v>
      </c>
      <c r="J4847" t="str">
        <f t="shared" si="2292"/>
        <v>27/08/2025</v>
      </c>
      <c r="M4847">
        <v>303</v>
      </c>
      <c r="N4847" t="str">
        <f t="shared" si="2305"/>
        <v>RECEITAS COM ENTREGAS</v>
      </c>
      <c r="P4847">
        <v>400.51</v>
      </c>
      <c r="Q4847" t="str">
        <f>"FARMÁCIA INDIANA LJ 14 (10009)"</f>
        <v>FARMÁCIA INDIANA LJ 14 (10009)</v>
      </c>
      <c r="R4847" t="str">
        <f t="shared" si="2306"/>
        <v>RECEITAS COM ENTREGAS (303)</v>
      </c>
      <c r="S4847">
        <v>2420</v>
      </c>
      <c r="T4847">
        <v>1913</v>
      </c>
      <c r="U4847" t="s">
        <v>19</v>
      </c>
    </row>
    <row r="4848" spans="1:21">
      <c r="A4848" t="str">
        <f t="shared" si="2291"/>
        <v>27/08/2025</v>
      </c>
      <c r="B4848" t="str">
        <f t="shared" si="2290"/>
        <v>ENTRADA</v>
      </c>
      <c r="C4848" t="str">
        <f t="shared" si="2304"/>
        <v>NFSE</v>
      </c>
      <c r="D4848" t="str">
        <f t="shared" si="2301"/>
        <v>3374</v>
      </c>
      <c r="E4848" t="str">
        <f t="shared" si="2307"/>
        <v>COM</v>
      </c>
      <c r="F4848" t="str">
        <f t="shared" si="2302"/>
        <v>FARMÁCIA INDIANA LJ 1 (10126)</v>
      </c>
      <c r="G4848" t="str">
        <f t="shared" si="2303"/>
        <v>Serv.Prest. 11/08/2025 a 17/08/2025 - RPS: 1140 - NFSe: 3374</v>
      </c>
      <c r="H4848" t="str">
        <f t="shared" si="2296"/>
        <v>27/08/2025</v>
      </c>
      <c r="I4848" t="str">
        <f t="shared" si="2297"/>
        <v>19/08/2025</v>
      </c>
      <c r="J4848" t="str">
        <f t="shared" si="2292"/>
        <v>27/08/2025</v>
      </c>
      <c r="M4848">
        <v>303</v>
      </c>
      <c r="N4848" t="str">
        <f t="shared" si="2305"/>
        <v>RECEITAS COM ENTREGAS</v>
      </c>
      <c r="P4848">
        <v>327.06</v>
      </c>
      <c r="Q4848" t="str">
        <f>"FARMÁCIA INDIANA LJ 18 (10011)"</f>
        <v>FARMÁCIA INDIANA LJ 18 (10011)</v>
      </c>
      <c r="R4848" t="str">
        <f t="shared" si="2306"/>
        <v>RECEITAS COM ENTREGAS (303)</v>
      </c>
      <c r="S4848">
        <v>2420</v>
      </c>
      <c r="T4848">
        <v>1913</v>
      </c>
      <c r="U4848" t="s">
        <v>19</v>
      </c>
    </row>
    <row r="4849" spans="1:21">
      <c r="A4849" t="str">
        <f t="shared" si="2291"/>
        <v>27/08/2025</v>
      </c>
      <c r="B4849" t="str">
        <f t="shared" si="2290"/>
        <v>ENTRADA</v>
      </c>
      <c r="C4849" t="str">
        <f t="shared" si="2304"/>
        <v>NFSE</v>
      </c>
      <c r="D4849" t="str">
        <f t="shared" si="2301"/>
        <v>3374</v>
      </c>
      <c r="E4849" t="str">
        <f t="shared" si="2307"/>
        <v>COM</v>
      </c>
      <c r="F4849" t="str">
        <f t="shared" si="2302"/>
        <v>FARMÁCIA INDIANA LJ 1 (10126)</v>
      </c>
      <c r="G4849" t="str">
        <f t="shared" si="2303"/>
        <v>Serv.Prest. 11/08/2025 a 17/08/2025 - RPS: 1140 - NFSe: 3374</v>
      </c>
      <c r="H4849" t="str">
        <f t="shared" si="2296"/>
        <v>27/08/2025</v>
      </c>
      <c r="I4849" t="str">
        <f t="shared" si="2297"/>
        <v>19/08/2025</v>
      </c>
      <c r="J4849" t="str">
        <f t="shared" si="2292"/>
        <v>27/08/2025</v>
      </c>
      <c r="M4849">
        <v>303</v>
      </c>
      <c r="N4849" t="str">
        <f t="shared" si="2305"/>
        <v>RECEITAS COM ENTREGAS</v>
      </c>
      <c r="P4849">
        <v>331.22</v>
      </c>
      <c r="Q4849" t="str">
        <f>"FARMÁCIA INDIANA LJ 19 (10012)"</f>
        <v>FARMÁCIA INDIANA LJ 19 (10012)</v>
      </c>
      <c r="R4849" t="str">
        <f t="shared" si="2306"/>
        <v>RECEITAS COM ENTREGAS (303)</v>
      </c>
      <c r="S4849">
        <v>2420</v>
      </c>
      <c r="T4849">
        <v>1913</v>
      </c>
      <c r="U4849" t="s">
        <v>19</v>
      </c>
    </row>
    <row r="4850" spans="1:21">
      <c r="A4850" t="str">
        <f t="shared" si="2291"/>
        <v>27/08/2025</v>
      </c>
      <c r="B4850" t="str">
        <f t="shared" si="2290"/>
        <v>ENTRADA</v>
      </c>
      <c r="C4850" t="str">
        <f t="shared" si="2304"/>
        <v>NFSE</v>
      </c>
      <c r="D4850" t="str">
        <f t="shared" si="2301"/>
        <v>3374</v>
      </c>
      <c r="E4850" t="str">
        <f t="shared" si="2307"/>
        <v>COM</v>
      </c>
      <c r="F4850" t="str">
        <f t="shared" si="2302"/>
        <v>FARMÁCIA INDIANA LJ 1 (10126)</v>
      </c>
      <c r="G4850" t="str">
        <f t="shared" si="2303"/>
        <v>Serv.Prest. 11/08/2025 a 17/08/2025 - RPS: 1140 - NFSe: 3374</v>
      </c>
      <c r="H4850" t="str">
        <f t="shared" si="2296"/>
        <v>27/08/2025</v>
      </c>
      <c r="I4850" t="str">
        <f t="shared" si="2297"/>
        <v>19/08/2025</v>
      </c>
      <c r="J4850" t="str">
        <f t="shared" si="2292"/>
        <v>27/08/2025</v>
      </c>
      <c r="M4850">
        <v>303</v>
      </c>
      <c r="N4850" t="str">
        <f t="shared" si="2305"/>
        <v>RECEITAS COM ENTREGAS</v>
      </c>
      <c r="P4850">
        <v>1147.5</v>
      </c>
      <c r="Q4850" t="str">
        <f>"FARMÁCIA INDIANA LJ 40 (10016)"</f>
        <v>FARMÁCIA INDIANA LJ 40 (10016)</v>
      </c>
      <c r="R4850" t="str">
        <f t="shared" si="2306"/>
        <v>RECEITAS COM ENTREGAS (303)</v>
      </c>
      <c r="S4850">
        <v>2420</v>
      </c>
      <c r="T4850">
        <v>1913</v>
      </c>
      <c r="U4850" t="s">
        <v>19</v>
      </c>
    </row>
    <row r="4851" spans="1:21">
      <c r="A4851" t="str">
        <f t="shared" ref="A4851:A4882" si="2308">("27/08/2025")</f>
        <v>27/08/2025</v>
      </c>
      <c r="B4851" t="str">
        <f t="shared" si="2290"/>
        <v>ENTRADA</v>
      </c>
      <c r="C4851" t="str">
        <f t="shared" si="2304"/>
        <v>NFSE</v>
      </c>
      <c r="D4851" t="str">
        <f t="shared" si="2301"/>
        <v>3374</v>
      </c>
      <c r="E4851" t="str">
        <f t="shared" si="2307"/>
        <v>COM</v>
      </c>
      <c r="F4851" t="str">
        <f t="shared" si="2302"/>
        <v>FARMÁCIA INDIANA LJ 1 (10126)</v>
      </c>
      <c r="G4851" t="str">
        <f t="shared" si="2303"/>
        <v>Serv.Prest. 11/08/2025 a 17/08/2025 - RPS: 1140 - NFSe: 3374</v>
      </c>
      <c r="H4851" t="str">
        <f t="shared" si="2296"/>
        <v>27/08/2025</v>
      </c>
      <c r="I4851" t="str">
        <f t="shared" si="2297"/>
        <v>19/08/2025</v>
      </c>
      <c r="J4851" t="str">
        <f t="shared" ref="J4851:J4882" si="2309">("27/08/2025")</f>
        <v>27/08/2025</v>
      </c>
      <c r="M4851">
        <v>303</v>
      </c>
      <c r="N4851" t="str">
        <f t="shared" si="2305"/>
        <v>RECEITAS COM ENTREGAS</v>
      </c>
      <c r="P4851">
        <v>385.27</v>
      </c>
      <c r="Q4851" t="str">
        <f>"FARMÁCIA INDIANA LJ 59 (10026)"</f>
        <v>FARMÁCIA INDIANA LJ 59 (10026)</v>
      </c>
      <c r="R4851" t="str">
        <f t="shared" si="2306"/>
        <v>RECEITAS COM ENTREGAS (303)</v>
      </c>
      <c r="S4851">
        <v>2420</v>
      </c>
      <c r="T4851">
        <v>1913</v>
      </c>
      <c r="U4851" t="s">
        <v>19</v>
      </c>
    </row>
    <row r="4852" spans="1:21">
      <c r="A4852" t="str">
        <f t="shared" si="2308"/>
        <v>27/08/2025</v>
      </c>
      <c r="B4852" t="str">
        <f t="shared" si="2290"/>
        <v>ENTRADA</v>
      </c>
      <c r="C4852" t="str">
        <f t="shared" si="2304"/>
        <v>NFSE</v>
      </c>
      <c r="D4852" t="str">
        <f t="shared" si="2301"/>
        <v>3374</v>
      </c>
      <c r="E4852" t="str">
        <f t="shared" si="2307"/>
        <v>COM</v>
      </c>
      <c r="F4852" t="str">
        <f t="shared" si="2302"/>
        <v>FARMÁCIA INDIANA LJ 1 (10126)</v>
      </c>
      <c r="G4852" t="str">
        <f t="shared" si="2303"/>
        <v>Serv.Prest. 11/08/2025 a 17/08/2025 - RPS: 1140 - NFSe: 3374</v>
      </c>
      <c r="H4852" t="str">
        <f t="shared" si="2296"/>
        <v>27/08/2025</v>
      </c>
      <c r="I4852" t="str">
        <f t="shared" si="2297"/>
        <v>19/08/2025</v>
      </c>
      <c r="J4852" t="str">
        <f t="shared" si="2309"/>
        <v>27/08/2025</v>
      </c>
      <c r="M4852">
        <v>303</v>
      </c>
      <c r="N4852" t="str">
        <f t="shared" si="2305"/>
        <v>RECEITAS COM ENTREGAS</v>
      </c>
      <c r="P4852">
        <v>536.33000000000004</v>
      </c>
      <c r="Q4852" t="str">
        <f>"FARMÁCIA INDIANA LJ 61 (10027)"</f>
        <v>FARMÁCIA INDIANA LJ 61 (10027)</v>
      </c>
      <c r="R4852" t="str">
        <f t="shared" si="2306"/>
        <v>RECEITAS COM ENTREGAS (303)</v>
      </c>
      <c r="S4852">
        <v>2420</v>
      </c>
      <c r="T4852">
        <v>1913</v>
      </c>
      <c r="U4852" t="s">
        <v>19</v>
      </c>
    </row>
    <row r="4853" spans="1:21">
      <c r="A4853" t="str">
        <f t="shared" si="2308"/>
        <v>27/08/2025</v>
      </c>
      <c r="B4853" t="str">
        <f t="shared" si="2290"/>
        <v>ENTRADA</v>
      </c>
      <c r="C4853" t="str">
        <f t="shared" si="2304"/>
        <v>NFSE</v>
      </c>
      <c r="D4853" t="str">
        <f t="shared" si="2301"/>
        <v>3374</v>
      </c>
      <c r="E4853" t="str">
        <f t="shared" si="2307"/>
        <v>COM</v>
      </c>
      <c r="F4853" t="str">
        <f t="shared" si="2302"/>
        <v>FARMÁCIA INDIANA LJ 1 (10126)</v>
      </c>
      <c r="G4853" t="str">
        <f t="shared" si="2303"/>
        <v>Serv.Prest. 11/08/2025 a 17/08/2025 - RPS: 1140 - NFSe: 3374</v>
      </c>
      <c r="H4853" t="str">
        <f t="shared" ref="H4853:H4884" si="2310">("27/08/2025")</f>
        <v>27/08/2025</v>
      </c>
      <c r="I4853" t="str">
        <f t="shared" ref="I4853:I4884" si="2311">("19/08/2025")</f>
        <v>19/08/2025</v>
      </c>
      <c r="J4853" t="str">
        <f t="shared" si="2309"/>
        <v>27/08/2025</v>
      </c>
      <c r="M4853">
        <v>303</v>
      </c>
      <c r="N4853" t="str">
        <f t="shared" si="2305"/>
        <v>RECEITAS COM ENTREGAS</v>
      </c>
      <c r="P4853">
        <v>304.89</v>
      </c>
      <c r="Q4853" t="str">
        <f>"FARMÁCIA INDIANA LJ 62 (10028)"</f>
        <v>FARMÁCIA INDIANA LJ 62 (10028)</v>
      </c>
      <c r="R4853" t="str">
        <f t="shared" si="2306"/>
        <v>RECEITAS COM ENTREGAS (303)</v>
      </c>
      <c r="S4853">
        <v>2420</v>
      </c>
      <c r="T4853">
        <v>1913</v>
      </c>
      <c r="U4853" t="s">
        <v>19</v>
      </c>
    </row>
    <row r="4854" spans="1:21">
      <c r="A4854" t="str">
        <f t="shared" si="2308"/>
        <v>27/08/2025</v>
      </c>
      <c r="B4854" t="str">
        <f t="shared" si="2290"/>
        <v>ENTRADA</v>
      </c>
      <c r="C4854" t="str">
        <f t="shared" si="2304"/>
        <v>NFSE</v>
      </c>
      <c r="D4854" t="str">
        <f t="shared" si="2301"/>
        <v>3374</v>
      </c>
      <c r="E4854" t="str">
        <f t="shared" si="2307"/>
        <v>COM</v>
      </c>
      <c r="F4854" t="str">
        <f t="shared" si="2302"/>
        <v>FARMÁCIA INDIANA LJ 1 (10126)</v>
      </c>
      <c r="G4854" t="str">
        <f t="shared" si="2303"/>
        <v>Serv.Prest. 11/08/2025 a 17/08/2025 - RPS: 1140 - NFSe: 3374</v>
      </c>
      <c r="H4854" t="str">
        <f t="shared" si="2310"/>
        <v>27/08/2025</v>
      </c>
      <c r="I4854" t="str">
        <f t="shared" si="2311"/>
        <v>19/08/2025</v>
      </c>
      <c r="J4854" t="str">
        <f t="shared" si="2309"/>
        <v>27/08/2025</v>
      </c>
      <c r="M4854">
        <v>303</v>
      </c>
      <c r="N4854" t="str">
        <f t="shared" si="2305"/>
        <v>RECEITAS COM ENTREGAS</v>
      </c>
      <c r="P4854">
        <v>115.03</v>
      </c>
      <c r="Q4854" t="str">
        <f>"FARMÁCIA INDIANA LJ 64 (10029)"</f>
        <v>FARMÁCIA INDIANA LJ 64 (10029)</v>
      </c>
      <c r="R4854" t="str">
        <f t="shared" si="2306"/>
        <v>RECEITAS COM ENTREGAS (303)</v>
      </c>
      <c r="S4854">
        <v>2420</v>
      </c>
      <c r="T4854">
        <v>1913</v>
      </c>
      <c r="U4854" t="s">
        <v>19</v>
      </c>
    </row>
    <row r="4855" spans="1:21">
      <c r="A4855" t="str">
        <f t="shared" si="2308"/>
        <v>27/08/2025</v>
      </c>
      <c r="B4855" t="str">
        <f t="shared" si="2290"/>
        <v>ENTRADA</v>
      </c>
      <c r="C4855" t="str">
        <f t="shared" si="2304"/>
        <v>NFSE</v>
      </c>
      <c r="D4855" t="str">
        <f t="shared" si="2301"/>
        <v>3374</v>
      </c>
      <c r="E4855" t="str">
        <f t="shared" si="2307"/>
        <v>COM</v>
      </c>
      <c r="F4855" t="str">
        <f t="shared" si="2302"/>
        <v>FARMÁCIA INDIANA LJ 1 (10126)</v>
      </c>
      <c r="G4855" t="str">
        <f t="shared" si="2303"/>
        <v>Serv.Prest. 11/08/2025 a 17/08/2025 - RPS: 1140 - NFSe: 3374</v>
      </c>
      <c r="H4855" t="str">
        <f t="shared" si="2310"/>
        <v>27/08/2025</v>
      </c>
      <c r="I4855" t="str">
        <f t="shared" si="2311"/>
        <v>19/08/2025</v>
      </c>
      <c r="J4855" t="str">
        <f t="shared" si="2309"/>
        <v>27/08/2025</v>
      </c>
      <c r="M4855">
        <v>303</v>
      </c>
      <c r="N4855" t="str">
        <f t="shared" si="2305"/>
        <v>RECEITAS COM ENTREGAS</v>
      </c>
      <c r="P4855">
        <v>66.52</v>
      </c>
      <c r="Q4855" t="str">
        <f>"FARMÁCIA INDIANA LJ 97 (10040)"</f>
        <v>FARMÁCIA INDIANA LJ 97 (10040)</v>
      </c>
      <c r="R4855" t="str">
        <f t="shared" si="2306"/>
        <v>RECEITAS COM ENTREGAS (303)</v>
      </c>
      <c r="S4855">
        <v>2420</v>
      </c>
      <c r="T4855">
        <v>1913</v>
      </c>
      <c r="U4855" t="s">
        <v>19</v>
      </c>
    </row>
    <row r="4856" spans="1:21">
      <c r="A4856" t="str">
        <f t="shared" si="2308"/>
        <v>27/08/2025</v>
      </c>
      <c r="B4856" t="str">
        <f t="shared" si="2290"/>
        <v>ENTRADA</v>
      </c>
      <c r="C4856" t="str">
        <f t="shared" si="2304"/>
        <v>NFSE</v>
      </c>
      <c r="D4856" t="str">
        <f t="shared" si="2301"/>
        <v>3374</v>
      </c>
      <c r="E4856" t="str">
        <f t="shared" si="2307"/>
        <v>COM</v>
      </c>
      <c r="F4856" t="str">
        <f t="shared" si="2302"/>
        <v>FARMÁCIA INDIANA LJ 1 (10126)</v>
      </c>
      <c r="G4856" t="str">
        <f t="shared" si="2303"/>
        <v>Serv.Prest. 11/08/2025 a 17/08/2025 - RPS: 1140 - NFSe: 3374</v>
      </c>
      <c r="H4856" t="str">
        <f t="shared" si="2310"/>
        <v>27/08/2025</v>
      </c>
      <c r="I4856" t="str">
        <f t="shared" si="2311"/>
        <v>19/08/2025</v>
      </c>
      <c r="J4856" t="str">
        <f t="shared" si="2309"/>
        <v>27/08/2025</v>
      </c>
      <c r="M4856">
        <v>303</v>
      </c>
      <c r="N4856" t="str">
        <f t="shared" si="2305"/>
        <v>RECEITAS COM ENTREGAS</v>
      </c>
      <c r="P4856">
        <v>320.13</v>
      </c>
      <c r="Q4856" t="str">
        <f>"FARMÁCIA INDIANA LJ 100 (10042)"</f>
        <v>FARMÁCIA INDIANA LJ 100 (10042)</v>
      </c>
      <c r="R4856" t="str">
        <f t="shared" si="2306"/>
        <v>RECEITAS COM ENTREGAS (303)</v>
      </c>
      <c r="S4856">
        <v>2420</v>
      </c>
      <c r="T4856">
        <v>1913</v>
      </c>
      <c r="U4856" t="s">
        <v>19</v>
      </c>
    </row>
    <row r="4857" spans="1:21">
      <c r="A4857" t="str">
        <f t="shared" si="2308"/>
        <v>27/08/2025</v>
      </c>
      <c r="B4857" t="str">
        <f t="shared" si="2290"/>
        <v>ENTRADA</v>
      </c>
      <c r="C4857" t="str">
        <f t="shared" si="2304"/>
        <v>NFSE</v>
      </c>
      <c r="D4857" t="str">
        <f t="shared" si="2301"/>
        <v>3374</v>
      </c>
      <c r="E4857" t="str">
        <f t="shared" si="2307"/>
        <v>COM</v>
      </c>
      <c r="F4857" t="str">
        <f t="shared" si="2302"/>
        <v>FARMÁCIA INDIANA LJ 1 (10126)</v>
      </c>
      <c r="G4857" t="str">
        <f t="shared" si="2303"/>
        <v>Serv.Prest. 11/08/2025 a 17/08/2025 - RPS: 1140 - NFSe: 3374</v>
      </c>
      <c r="H4857" t="str">
        <f t="shared" si="2310"/>
        <v>27/08/2025</v>
      </c>
      <c r="I4857" t="str">
        <f t="shared" si="2311"/>
        <v>19/08/2025</v>
      </c>
      <c r="J4857" t="str">
        <f t="shared" si="2309"/>
        <v>27/08/2025</v>
      </c>
      <c r="M4857">
        <v>303</v>
      </c>
      <c r="N4857" t="str">
        <f t="shared" si="2305"/>
        <v>RECEITAS COM ENTREGAS</v>
      </c>
      <c r="P4857">
        <v>455.95</v>
      </c>
      <c r="Q4857" t="str">
        <f>"FARMÁCIA INDIANA LJ 101 (10043)"</f>
        <v>FARMÁCIA INDIANA LJ 101 (10043)</v>
      </c>
      <c r="R4857" t="str">
        <f t="shared" si="2306"/>
        <v>RECEITAS COM ENTREGAS (303)</v>
      </c>
      <c r="S4857">
        <v>2420</v>
      </c>
      <c r="T4857">
        <v>1913</v>
      </c>
      <c r="U4857" t="s">
        <v>19</v>
      </c>
    </row>
    <row r="4858" spans="1:21">
      <c r="A4858" t="str">
        <f t="shared" si="2308"/>
        <v>27/08/2025</v>
      </c>
      <c r="B4858" t="str">
        <f t="shared" si="2290"/>
        <v>ENTRADA</v>
      </c>
      <c r="C4858" t="str">
        <f t="shared" si="2304"/>
        <v>NFSE</v>
      </c>
      <c r="D4858" t="str">
        <f t="shared" si="2301"/>
        <v>3374</v>
      </c>
      <c r="E4858" t="str">
        <f t="shared" si="2307"/>
        <v>COM</v>
      </c>
      <c r="F4858" t="str">
        <f t="shared" si="2302"/>
        <v>FARMÁCIA INDIANA LJ 1 (10126)</v>
      </c>
      <c r="G4858" t="str">
        <f t="shared" si="2303"/>
        <v>Serv.Prest. 11/08/2025 a 17/08/2025 - RPS: 1140 - NFSe: 3374</v>
      </c>
      <c r="H4858" t="str">
        <f t="shared" si="2310"/>
        <v>27/08/2025</v>
      </c>
      <c r="I4858" t="str">
        <f t="shared" si="2311"/>
        <v>19/08/2025</v>
      </c>
      <c r="J4858" t="str">
        <f t="shared" si="2309"/>
        <v>27/08/2025</v>
      </c>
      <c r="M4858">
        <v>303</v>
      </c>
      <c r="N4858" t="str">
        <f t="shared" si="2305"/>
        <v>RECEITAS COM ENTREGAS</v>
      </c>
      <c r="P4858">
        <v>139.97</v>
      </c>
      <c r="Q4858" t="str">
        <f>"FARMÁCIA INDIANA LJ 103 (10044)"</f>
        <v>FARMÁCIA INDIANA LJ 103 (10044)</v>
      </c>
      <c r="R4858" t="str">
        <f t="shared" si="2306"/>
        <v>RECEITAS COM ENTREGAS (303)</v>
      </c>
      <c r="S4858">
        <v>2420</v>
      </c>
      <c r="T4858">
        <v>1913</v>
      </c>
      <c r="U4858" t="s">
        <v>19</v>
      </c>
    </row>
    <row r="4859" spans="1:21">
      <c r="A4859" t="str">
        <f t="shared" si="2308"/>
        <v>27/08/2025</v>
      </c>
      <c r="B4859" t="str">
        <f t="shared" si="2290"/>
        <v>ENTRADA</v>
      </c>
      <c r="C4859" t="str">
        <f t="shared" si="2304"/>
        <v>NFSE</v>
      </c>
      <c r="D4859" t="str">
        <f t="shared" si="2301"/>
        <v>3374</v>
      </c>
      <c r="E4859" t="str">
        <f t="shared" si="2307"/>
        <v>COM</v>
      </c>
      <c r="F4859" t="str">
        <f t="shared" si="2302"/>
        <v>FARMÁCIA INDIANA LJ 1 (10126)</v>
      </c>
      <c r="G4859" t="str">
        <f t="shared" si="2303"/>
        <v>Serv.Prest. 11/08/2025 a 17/08/2025 - RPS: 1140 - NFSe: 3374</v>
      </c>
      <c r="H4859" t="str">
        <f t="shared" si="2310"/>
        <v>27/08/2025</v>
      </c>
      <c r="I4859" t="str">
        <f t="shared" si="2311"/>
        <v>19/08/2025</v>
      </c>
      <c r="J4859" t="str">
        <f t="shared" si="2309"/>
        <v>27/08/2025</v>
      </c>
      <c r="M4859">
        <v>303</v>
      </c>
      <c r="N4859" t="str">
        <f t="shared" si="2305"/>
        <v>RECEITAS COM ENTREGAS</v>
      </c>
      <c r="P4859">
        <v>230.05</v>
      </c>
      <c r="Q4859" t="str">
        <f>"FARMÁCIA INDIANA LJ 109 (10047)"</f>
        <v>FARMÁCIA INDIANA LJ 109 (10047)</v>
      </c>
      <c r="R4859" t="str">
        <f t="shared" si="2306"/>
        <v>RECEITAS COM ENTREGAS (303)</v>
      </c>
      <c r="S4859">
        <v>2420</v>
      </c>
      <c r="T4859">
        <v>1913</v>
      </c>
      <c r="U4859" t="s">
        <v>19</v>
      </c>
    </row>
    <row r="4860" spans="1:21">
      <c r="A4860" t="str">
        <f t="shared" si="2308"/>
        <v>27/08/2025</v>
      </c>
      <c r="B4860" t="str">
        <f t="shared" si="2290"/>
        <v>ENTRADA</v>
      </c>
      <c r="C4860" t="str">
        <f t="shared" si="2304"/>
        <v>NFSE</v>
      </c>
      <c r="D4860" t="str">
        <f t="shared" si="2301"/>
        <v>3374</v>
      </c>
      <c r="E4860" t="str">
        <f t="shared" si="2307"/>
        <v>COM</v>
      </c>
      <c r="F4860" t="str">
        <f t="shared" si="2302"/>
        <v>FARMÁCIA INDIANA LJ 1 (10126)</v>
      </c>
      <c r="G4860" t="str">
        <f t="shared" si="2303"/>
        <v>Serv.Prest. 11/08/2025 a 17/08/2025 - RPS: 1140 - NFSe: 3374</v>
      </c>
      <c r="H4860" t="str">
        <f t="shared" si="2310"/>
        <v>27/08/2025</v>
      </c>
      <c r="I4860" t="str">
        <f t="shared" si="2311"/>
        <v>19/08/2025</v>
      </c>
      <c r="J4860" t="str">
        <f t="shared" si="2309"/>
        <v>27/08/2025</v>
      </c>
      <c r="M4860">
        <v>303</v>
      </c>
      <c r="N4860" t="str">
        <f t="shared" si="2305"/>
        <v>RECEITAS COM ENTREGAS</v>
      </c>
      <c r="P4860">
        <v>368.64</v>
      </c>
      <c r="Q4860" t="str">
        <f>"FARMÁCIA INDIANA LJ 110 (10048)"</f>
        <v>FARMÁCIA INDIANA LJ 110 (10048)</v>
      </c>
      <c r="R4860" t="str">
        <f t="shared" si="2306"/>
        <v>RECEITAS COM ENTREGAS (303)</v>
      </c>
      <c r="S4860">
        <v>2420</v>
      </c>
      <c r="T4860">
        <v>1913</v>
      </c>
      <c r="U4860" t="s">
        <v>19</v>
      </c>
    </row>
    <row r="4861" spans="1:21">
      <c r="A4861" t="str">
        <f t="shared" si="2308"/>
        <v>27/08/2025</v>
      </c>
      <c r="B4861" t="str">
        <f t="shared" si="2290"/>
        <v>ENTRADA</v>
      </c>
      <c r="C4861" t="str">
        <f t="shared" si="2304"/>
        <v>NFSE</v>
      </c>
      <c r="D4861" t="str">
        <f t="shared" si="2301"/>
        <v>3374</v>
      </c>
      <c r="E4861" t="str">
        <f t="shared" si="2307"/>
        <v>COM</v>
      </c>
      <c r="F4861" t="str">
        <f t="shared" si="2302"/>
        <v>FARMÁCIA INDIANA LJ 1 (10126)</v>
      </c>
      <c r="G4861" t="str">
        <f t="shared" si="2303"/>
        <v>Serv.Prest. 11/08/2025 a 17/08/2025 - RPS: 1140 - NFSe: 3374</v>
      </c>
      <c r="H4861" t="str">
        <f t="shared" si="2310"/>
        <v>27/08/2025</v>
      </c>
      <c r="I4861" t="str">
        <f t="shared" si="2311"/>
        <v>19/08/2025</v>
      </c>
      <c r="J4861" t="str">
        <f t="shared" si="2309"/>
        <v>27/08/2025</v>
      </c>
      <c r="M4861">
        <v>303</v>
      </c>
      <c r="N4861" t="str">
        <f t="shared" si="2305"/>
        <v>RECEITAS COM ENTREGAS</v>
      </c>
      <c r="P4861">
        <v>63.75</v>
      </c>
      <c r="Q4861" t="str">
        <f>"FARMÁCIA INDIANA LJ 111 (10049)"</f>
        <v>FARMÁCIA INDIANA LJ 111 (10049)</v>
      </c>
      <c r="R4861" t="str">
        <f t="shared" si="2306"/>
        <v>RECEITAS COM ENTREGAS (303)</v>
      </c>
      <c r="S4861">
        <v>2420</v>
      </c>
      <c r="T4861">
        <v>1913</v>
      </c>
      <c r="U4861" t="s">
        <v>19</v>
      </c>
    </row>
    <row r="4862" spans="1:21">
      <c r="A4862" t="str">
        <f t="shared" si="2308"/>
        <v>27/08/2025</v>
      </c>
      <c r="B4862" t="str">
        <f t="shared" si="2290"/>
        <v>ENTRADA</v>
      </c>
      <c r="C4862" t="str">
        <f t="shared" si="2304"/>
        <v>NFSE</v>
      </c>
      <c r="D4862" t="str">
        <f t="shared" si="2301"/>
        <v>3374</v>
      </c>
      <c r="E4862" t="str">
        <f t="shared" si="2307"/>
        <v>COM</v>
      </c>
      <c r="F4862" t="str">
        <f t="shared" si="2302"/>
        <v>FARMÁCIA INDIANA LJ 1 (10126)</v>
      </c>
      <c r="G4862" t="str">
        <f t="shared" si="2303"/>
        <v>Serv.Prest. 11/08/2025 a 17/08/2025 - RPS: 1140 - NFSe: 3374</v>
      </c>
      <c r="H4862" t="str">
        <f t="shared" si="2310"/>
        <v>27/08/2025</v>
      </c>
      <c r="I4862" t="str">
        <f t="shared" si="2311"/>
        <v>19/08/2025</v>
      </c>
      <c r="J4862" t="str">
        <f t="shared" si="2309"/>
        <v>27/08/2025</v>
      </c>
      <c r="M4862">
        <v>303</v>
      </c>
      <c r="N4862" t="str">
        <f t="shared" si="2305"/>
        <v>RECEITAS COM ENTREGAS</v>
      </c>
      <c r="P4862">
        <v>159.37</v>
      </c>
      <c r="Q4862" t="str">
        <f>"FARMÁCIA INDIANA LJ 112 (10050)"</f>
        <v>FARMÁCIA INDIANA LJ 112 (10050)</v>
      </c>
      <c r="R4862" t="str">
        <f t="shared" si="2306"/>
        <v>RECEITAS COM ENTREGAS (303)</v>
      </c>
      <c r="S4862">
        <v>2420</v>
      </c>
      <c r="T4862">
        <v>1913</v>
      </c>
      <c r="U4862" t="s">
        <v>19</v>
      </c>
    </row>
    <row r="4863" spans="1:21">
      <c r="A4863" t="str">
        <f t="shared" si="2308"/>
        <v>27/08/2025</v>
      </c>
      <c r="B4863" t="str">
        <f t="shared" si="2290"/>
        <v>ENTRADA</v>
      </c>
      <c r="C4863" t="str">
        <f t="shared" si="2304"/>
        <v>NFSE</v>
      </c>
      <c r="D4863" t="str">
        <f t="shared" si="2301"/>
        <v>3374</v>
      </c>
      <c r="E4863" t="str">
        <f t="shared" si="2307"/>
        <v>COM</v>
      </c>
      <c r="F4863" t="str">
        <f t="shared" si="2302"/>
        <v>FARMÁCIA INDIANA LJ 1 (10126)</v>
      </c>
      <c r="G4863" t="str">
        <f t="shared" si="2303"/>
        <v>Serv.Prest. 11/08/2025 a 17/08/2025 - RPS: 1140 - NFSe: 3374</v>
      </c>
      <c r="H4863" t="str">
        <f t="shared" si="2310"/>
        <v>27/08/2025</v>
      </c>
      <c r="I4863" t="str">
        <f t="shared" si="2311"/>
        <v>19/08/2025</v>
      </c>
      <c r="J4863" t="str">
        <f t="shared" si="2309"/>
        <v>27/08/2025</v>
      </c>
      <c r="M4863">
        <v>303</v>
      </c>
      <c r="N4863" t="str">
        <f t="shared" si="2305"/>
        <v>RECEITAS COM ENTREGAS</v>
      </c>
      <c r="P4863">
        <v>159.37</v>
      </c>
      <c r="Q4863" t="str">
        <f>"FARMÁCIA INDIANA LJ 116 (10051)"</f>
        <v>FARMÁCIA INDIANA LJ 116 (10051)</v>
      </c>
      <c r="R4863" t="str">
        <f t="shared" si="2306"/>
        <v>RECEITAS COM ENTREGAS (303)</v>
      </c>
      <c r="S4863">
        <v>2420</v>
      </c>
      <c r="T4863">
        <v>1913</v>
      </c>
      <c r="U4863" t="s">
        <v>19</v>
      </c>
    </row>
    <row r="4864" spans="1:21">
      <c r="A4864" t="str">
        <f t="shared" si="2308"/>
        <v>27/08/2025</v>
      </c>
      <c r="B4864" t="str">
        <f t="shared" si="2290"/>
        <v>ENTRADA</v>
      </c>
      <c r="C4864" t="str">
        <f t="shared" si="2304"/>
        <v>NFSE</v>
      </c>
      <c r="D4864" t="str">
        <f t="shared" si="2301"/>
        <v>3374</v>
      </c>
      <c r="E4864" t="str">
        <f t="shared" si="2307"/>
        <v>COM</v>
      </c>
      <c r="F4864" t="str">
        <f t="shared" si="2302"/>
        <v>FARMÁCIA INDIANA LJ 1 (10126)</v>
      </c>
      <c r="G4864" t="str">
        <f t="shared" si="2303"/>
        <v>Serv.Prest. 11/08/2025 a 17/08/2025 - RPS: 1140 - NFSe: 3374</v>
      </c>
      <c r="H4864" t="str">
        <f t="shared" si="2310"/>
        <v>27/08/2025</v>
      </c>
      <c r="I4864" t="str">
        <f t="shared" si="2311"/>
        <v>19/08/2025</v>
      </c>
      <c r="J4864" t="str">
        <f t="shared" si="2309"/>
        <v>27/08/2025</v>
      </c>
      <c r="M4864">
        <v>303</v>
      </c>
      <c r="N4864" t="str">
        <f t="shared" si="2305"/>
        <v>RECEITAS COM ENTREGAS</v>
      </c>
      <c r="P4864">
        <v>106.71</v>
      </c>
      <c r="Q4864" t="str">
        <f>"FARMÁCIA INDIANA LJ 118 (10052)"</f>
        <v>FARMÁCIA INDIANA LJ 118 (10052)</v>
      </c>
      <c r="R4864" t="str">
        <f t="shared" si="2306"/>
        <v>RECEITAS COM ENTREGAS (303)</v>
      </c>
      <c r="S4864">
        <v>2420</v>
      </c>
      <c r="T4864">
        <v>1913</v>
      </c>
      <c r="U4864" t="s">
        <v>19</v>
      </c>
    </row>
    <row r="4865" spans="1:21">
      <c r="A4865" t="str">
        <f t="shared" si="2308"/>
        <v>27/08/2025</v>
      </c>
      <c r="B4865" t="str">
        <f t="shared" si="2290"/>
        <v>ENTRADA</v>
      </c>
      <c r="C4865" t="str">
        <f t="shared" si="2304"/>
        <v>NFSE</v>
      </c>
      <c r="D4865" t="str">
        <f t="shared" si="2301"/>
        <v>3374</v>
      </c>
      <c r="E4865" t="str">
        <f t="shared" si="2307"/>
        <v>COM</v>
      </c>
      <c r="F4865" t="str">
        <f t="shared" si="2302"/>
        <v>FARMÁCIA INDIANA LJ 1 (10126)</v>
      </c>
      <c r="G4865" t="str">
        <f t="shared" si="2303"/>
        <v>Serv.Prest. 11/08/2025 a 17/08/2025 - RPS: 1140 - NFSe: 3374</v>
      </c>
      <c r="H4865" t="str">
        <f t="shared" si="2310"/>
        <v>27/08/2025</v>
      </c>
      <c r="I4865" t="str">
        <f t="shared" si="2311"/>
        <v>19/08/2025</v>
      </c>
      <c r="J4865" t="str">
        <f t="shared" si="2309"/>
        <v>27/08/2025</v>
      </c>
      <c r="M4865">
        <v>303</v>
      </c>
      <c r="N4865" t="str">
        <f t="shared" si="2305"/>
        <v>RECEITAS COM ENTREGAS</v>
      </c>
      <c r="P4865">
        <v>159.37</v>
      </c>
      <c r="Q4865" t="str">
        <f>"FARMÁCIA INDIANA LJ 121 (10054)"</f>
        <v>FARMÁCIA INDIANA LJ 121 (10054)</v>
      </c>
      <c r="R4865" t="str">
        <f t="shared" si="2306"/>
        <v>RECEITAS COM ENTREGAS (303)</v>
      </c>
      <c r="S4865">
        <v>2420</v>
      </c>
      <c r="T4865">
        <v>1913</v>
      </c>
      <c r="U4865" t="s">
        <v>19</v>
      </c>
    </row>
    <row r="4866" spans="1:21">
      <c r="A4866" t="str">
        <f t="shared" si="2308"/>
        <v>27/08/2025</v>
      </c>
      <c r="B4866" t="str">
        <f t="shared" si="2290"/>
        <v>ENTRADA</v>
      </c>
      <c r="C4866" t="str">
        <f t="shared" si="2304"/>
        <v>NFSE</v>
      </c>
      <c r="D4866" t="str">
        <f t="shared" si="2301"/>
        <v>3374</v>
      </c>
      <c r="E4866" t="str">
        <f t="shared" si="2307"/>
        <v>COM</v>
      </c>
      <c r="F4866" t="str">
        <f t="shared" si="2302"/>
        <v>FARMÁCIA INDIANA LJ 1 (10126)</v>
      </c>
      <c r="G4866" t="str">
        <f t="shared" si="2303"/>
        <v>Serv.Prest. 11/08/2025 a 17/08/2025 - RPS: 1140 - NFSe: 3374</v>
      </c>
      <c r="H4866" t="str">
        <f t="shared" si="2310"/>
        <v>27/08/2025</v>
      </c>
      <c r="I4866" t="str">
        <f t="shared" si="2311"/>
        <v>19/08/2025</v>
      </c>
      <c r="J4866" t="str">
        <f t="shared" si="2309"/>
        <v>27/08/2025</v>
      </c>
      <c r="M4866">
        <v>303</v>
      </c>
      <c r="N4866" t="str">
        <f t="shared" si="2305"/>
        <v>RECEITAS COM ENTREGAS</v>
      </c>
      <c r="P4866">
        <v>159.37</v>
      </c>
      <c r="Q4866" t="str">
        <f>"FARMÁCIA INDIANA LJ 128 (10057)"</f>
        <v>FARMÁCIA INDIANA LJ 128 (10057)</v>
      </c>
      <c r="R4866" t="str">
        <f t="shared" si="2306"/>
        <v>RECEITAS COM ENTREGAS (303)</v>
      </c>
      <c r="S4866">
        <v>2420</v>
      </c>
      <c r="T4866">
        <v>1913</v>
      </c>
      <c r="U4866" t="s">
        <v>19</v>
      </c>
    </row>
    <row r="4867" spans="1:21">
      <c r="A4867" t="str">
        <f t="shared" si="2308"/>
        <v>27/08/2025</v>
      </c>
      <c r="B4867" t="str">
        <f t="shared" si="2290"/>
        <v>ENTRADA</v>
      </c>
      <c r="C4867" t="str">
        <f t="shared" si="2304"/>
        <v>NFSE</v>
      </c>
      <c r="D4867" t="str">
        <f t="shared" si="2301"/>
        <v>3374</v>
      </c>
      <c r="E4867" t="str">
        <f t="shared" si="2307"/>
        <v>COM</v>
      </c>
      <c r="F4867" t="str">
        <f t="shared" si="2302"/>
        <v>FARMÁCIA INDIANA LJ 1 (10126)</v>
      </c>
      <c r="G4867" t="str">
        <f t="shared" si="2303"/>
        <v>Serv.Prest. 11/08/2025 a 17/08/2025 - RPS: 1140 - NFSe: 3374</v>
      </c>
      <c r="H4867" t="str">
        <f t="shared" si="2310"/>
        <v>27/08/2025</v>
      </c>
      <c r="I4867" t="str">
        <f t="shared" si="2311"/>
        <v>19/08/2025</v>
      </c>
      <c r="J4867" t="str">
        <f t="shared" si="2309"/>
        <v>27/08/2025</v>
      </c>
      <c r="M4867">
        <v>303</v>
      </c>
      <c r="N4867" t="str">
        <f t="shared" si="2305"/>
        <v>RECEITAS COM ENTREGAS</v>
      </c>
      <c r="P4867">
        <v>41.58</v>
      </c>
      <c r="Q4867" t="str">
        <f>"FARMÁCIA INDIANA LJ 140 (10064)"</f>
        <v>FARMÁCIA INDIANA LJ 140 (10064)</v>
      </c>
      <c r="R4867" t="str">
        <f t="shared" si="2306"/>
        <v>RECEITAS COM ENTREGAS (303)</v>
      </c>
      <c r="S4867">
        <v>2420</v>
      </c>
      <c r="T4867">
        <v>1913</v>
      </c>
      <c r="U4867" t="s">
        <v>19</v>
      </c>
    </row>
    <row r="4868" spans="1:21">
      <c r="A4868" t="str">
        <f t="shared" si="2308"/>
        <v>27/08/2025</v>
      </c>
      <c r="B4868" t="str">
        <f t="shared" si="2290"/>
        <v>ENTRADA</v>
      </c>
      <c r="C4868" t="str">
        <f t="shared" si="2304"/>
        <v>NFSE</v>
      </c>
      <c r="D4868" t="str">
        <f t="shared" si="2301"/>
        <v>3374</v>
      </c>
      <c r="E4868" t="str">
        <f t="shared" si="2307"/>
        <v>COM</v>
      </c>
      <c r="F4868" t="str">
        <f t="shared" si="2302"/>
        <v>FARMÁCIA INDIANA LJ 1 (10126)</v>
      </c>
      <c r="G4868" t="str">
        <f t="shared" si="2303"/>
        <v>Serv.Prest. 11/08/2025 a 17/08/2025 - RPS: 1140 - NFSe: 3374</v>
      </c>
      <c r="H4868" t="str">
        <f t="shared" si="2310"/>
        <v>27/08/2025</v>
      </c>
      <c r="I4868" t="str">
        <f t="shared" si="2311"/>
        <v>19/08/2025</v>
      </c>
      <c r="J4868" t="str">
        <f t="shared" si="2309"/>
        <v>27/08/2025</v>
      </c>
      <c r="M4868">
        <v>303</v>
      </c>
      <c r="N4868" t="str">
        <f t="shared" si="2305"/>
        <v>RECEITAS COM ENTREGAS</v>
      </c>
      <c r="P4868">
        <v>20.79</v>
      </c>
      <c r="Q4868" t="str">
        <f>"FARMÁCIA INDIANA LJ 141 (10065)"</f>
        <v>FARMÁCIA INDIANA LJ 141 (10065)</v>
      </c>
      <c r="R4868" t="str">
        <f t="shared" si="2306"/>
        <v>RECEITAS COM ENTREGAS (303)</v>
      </c>
      <c r="S4868">
        <v>2420</v>
      </c>
      <c r="T4868">
        <v>1913</v>
      </c>
      <c r="U4868" t="s">
        <v>19</v>
      </c>
    </row>
    <row r="4869" spans="1:21">
      <c r="A4869" t="str">
        <f t="shared" si="2308"/>
        <v>27/08/2025</v>
      </c>
      <c r="B4869" t="str">
        <f t="shared" si="2290"/>
        <v>ENTRADA</v>
      </c>
      <c r="C4869" t="str">
        <f t="shared" si="2304"/>
        <v>NFSE</v>
      </c>
      <c r="D4869" t="str">
        <f t="shared" si="2301"/>
        <v>3374</v>
      </c>
      <c r="E4869" t="str">
        <f t="shared" si="2307"/>
        <v>COM</v>
      </c>
      <c r="F4869" t="str">
        <f t="shared" si="2302"/>
        <v>FARMÁCIA INDIANA LJ 1 (10126)</v>
      </c>
      <c r="G4869" t="str">
        <f t="shared" si="2303"/>
        <v>Serv.Prest. 11/08/2025 a 17/08/2025 - RPS: 1140 - NFSe: 3374</v>
      </c>
      <c r="H4869" t="str">
        <f t="shared" si="2310"/>
        <v>27/08/2025</v>
      </c>
      <c r="I4869" t="str">
        <f t="shared" si="2311"/>
        <v>19/08/2025</v>
      </c>
      <c r="J4869" t="str">
        <f t="shared" si="2309"/>
        <v>27/08/2025</v>
      </c>
      <c r="M4869">
        <v>303</v>
      </c>
      <c r="N4869" t="str">
        <f t="shared" si="2305"/>
        <v>RECEITAS COM ENTREGAS</v>
      </c>
      <c r="P4869">
        <v>717.88</v>
      </c>
      <c r="Q4869" t="str">
        <f>"FARMÁCIA INDIANA LJ 142 (10066)"</f>
        <v>FARMÁCIA INDIANA LJ 142 (10066)</v>
      </c>
      <c r="R4869" t="str">
        <f t="shared" si="2306"/>
        <v>RECEITAS COM ENTREGAS (303)</v>
      </c>
      <c r="S4869">
        <v>2420</v>
      </c>
      <c r="T4869">
        <v>1913</v>
      </c>
      <c r="U4869" t="s">
        <v>19</v>
      </c>
    </row>
    <row r="4870" spans="1:21">
      <c r="A4870" t="str">
        <f t="shared" si="2308"/>
        <v>27/08/2025</v>
      </c>
      <c r="B4870" t="str">
        <f t="shared" si="2290"/>
        <v>ENTRADA</v>
      </c>
      <c r="C4870" t="str">
        <f t="shared" si="2304"/>
        <v>NFSE</v>
      </c>
      <c r="D4870" t="str">
        <f t="shared" si="2301"/>
        <v>3374</v>
      </c>
      <c r="E4870" t="str">
        <f t="shared" si="2307"/>
        <v>COM</v>
      </c>
      <c r="F4870" t="str">
        <f t="shared" si="2302"/>
        <v>FARMÁCIA INDIANA LJ 1 (10126)</v>
      </c>
      <c r="G4870" t="str">
        <f t="shared" si="2303"/>
        <v>Serv.Prest. 11/08/2025 a 17/08/2025 - RPS: 1140 - NFSe: 3374</v>
      </c>
      <c r="H4870" t="str">
        <f t="shared" si="2310"/>
        <v>27/08/2025</v>
      </c>
      <c r="I4870" t="str">
        <f t="shared" si="2311"/>
        <v>19/08/2025</v>
      </c>
      <c r="J4870" t="str">
        <f t="shared" si="2309"/>
        <v>27/08/2025</v>
      </c>
      <c r="M4870">
        <v>303</v>
      </c>
      <c r="N4870" t="str">
        <f t="shared" si="2305"/>
        <v>RECEITAS COM ENTREGAS</v>
      </c>
      <c r="P4870">
        <v>66.52</v>
      </c>
      <c r="Q4870" t="str">
        <f>"FARMÁCIA INDIANA LJ 143 (10067)"</f>
        <v>FARMÁCIA INDIANA LJ 143 (10067)</v>
      </c>
      <c r="R4870" t="str">
        <f t="shared" si="2306"/>
        <v>RECEITAS COM ENTREGAS (303)</v>
      </c>
      <c r="S4870">
        <v>2420</v>
      </c>
      <c r="T4870">
        <v>1913</v>
      </c>
      <c r="U4870" t="s">
        <v>19</v>
      </c>
    </row>
    <row r="4871" spans="1:21">
      <c r="A4871" t="str">
        <f t="shared" si="2308"/>
        <v>27/08/2025</v>
      </c>
      <c r="B4871" t="str">
        <f t="shared" si="2290"/>
        <v>ENTRADA</v>
      </c>
      <c r="C4871" t="str">
        <f t="shared" si="2304"/>
        <v>NFSE</v>
      </c>
      <c r="D4871" t="str">
        <f t="shared" si="2301"/>
        <v>3374</v>
      </c>
      <c r="E4871" t="str">
        <f t="shared" si="2307"/>
        <v>COM</v>
      </c>
      <c r="F4871" t="str">
        <f t="shared" si="2302"/>
        <v>FARMÁCIA INDIANA LJ 1 (10126)</v>
      </c>
      <c r="G4871" t="str">
        <f t="shared" si="2303"/>
        <v>Serv.Prest. 11/08/2025 a 17/08/2025 - RPS: 1140 - NFSe: 3374</v>
      </c>
      <c r="H4871" t="str">
        <f t="shared" si="2310"/>
        <v>27/08/2025</v>
      </c>
      <c r="I4871" t="str">
        <f t="shared" si="2311"/>
        <v>19/08/2025</v>
      </c>
      <c r="J4871" t="str">
        <f t="shared" si="2309"/>
        <v>27/08/2025</v>
      </c>
      <c r="M4871">
        <v>303</v>
      </c>
      <c r="N4871" t="str">
        <f t="shared" si="2305"/>
        <v>RECEITAS COM ENTREGAS</v>
      </c>
      <c r="P4871">
        <v>153.83000000000001</v>
      </c>
      <c r="Q4871" t="str">
        <f>"FARMÁCIA INDIANA LJ 152 (10069)"</f>
        <v>FARMÁCIA INDIANA LJ 152 (10069)</v>
      </c>
      <c r="R4871" t="str">
        <f t="shared" si="2306"/>
        <v>RECEITAS COM ENTREGAS (303)</v>
      </c>
      <c r="S4871">
        <v>2420</v>
      </c>
      <c r="T4871">
        <v>1913</v>
      </c>
      <c r="U4871" t="s">
        <v>19</v>
      </c>
    </row>
    <row r="4872" spans="1:21">
      <c r="A4872" t="str">
        <f t="shared" si="2308"/>
        <v>27/08/2025</v>
      </c>
      <c r="B4872" t="str">
        <f t="shared" si="2290"/>
        <v>ENTRADA</v>
      </c>
      <c r="C4872" t="str">
        <f t="shared" si="2304"/>
        <v>NFSE</v>
      </c>
      <c r="D4872" t="str">
        <f t="shared" si="2301"/>
        <v>3374</v>
      </c>
      <c r="E4872" t="str">
        <f t="shared" si="2307"/>
        <v>COM</v>
      </c>
      <c r="F4872" t="str">
        <f t="shared" si="2302"/>
        <v>FARMÁCIA INDIANA LJ 1 (10126)</v>
      </c>
      <c r="G4872" t="str">
        <f t="shared" si="2303"/>
        <v>Serv.Prest. 11/08/2025 a 17/08/2025 - RPS: 1140 - NFSe: 3374</v>
      </c>
      <c r="H4872" t="str">
        <f t="shared" si="2310"/>
        <v>27/08/2025</v>
      </c>
      <c r="I4872" t="str">
        <f t="shared" si="2311"/>
        <v>19/08/2025</v>
      </c>
      <c r="J4872" t="str">
        <f t="shared" si="2309"/>
        <v>27/08/2025</v>
      </c>
      <c r="M4872">
        <v>303</v>
      </c>
      <c r="N4872" t="str">
        <f t="shared" si="2305"/>
        <v>RECEITAS COM ENTREGAS</v>
      </c>
      <c r="P4872">
        <v>59.59</v>
      </c>
      <c r="Q4872" t="str">
        <f>"FARMÁCIA INDIANA LJ 154 (10070)"</f>
        <v>FARMÁCIA INDIANA LJ 154 (10070)</v>
      </c>
      <c r="R4872" t="str">
        <f t="shared" si="2306"/>
        <v>RECEITAS COM ENTREGAS (303)</v>
      </c>
      <c r="S4872">
        <v>2420</v>
      </c>
      <c r="T4872">
        <v>1913</v>
      </c>
      <c r="U4872" t="s">
        <v>19</v>
      </c>
    </row>
    <row r="4873" spans="1:21">
      <c r="A4873" t="str">
        <f t="shared" si="2308"/>
        <v>27/08/2025</v>
      </c>
      <c r="B4873" t="str">
        <f t="shared" si="2290"/>
        <v>ENTRADA</v>
      </c>
      <c r="C4873" t="str">
        <f t="shared" si="2304"/>
        <v>NFSE</v>
      </c>
      <c r="D4873" t="str">
        <f t="shared" si="2301"/>
        <v>3374</v>
      </c>
      <c r="E4873" t="str">
        <f t="shared" si="2307"/>
        <v>COM</v>
      </c>
      <c r="F4873" t="str">
        <f t="shared" si="2302"/>
        <v>FARMÁCIA INDIANA LJ 1 (10126)</v>
      </c>
      <c r="G4873" t="str">
        <f t="shared" si="2303"/>
        <v>Serv.Prest. 11/08/2025 a 17/08/2025 - RPS: 1140 - NFSe: 3374</v>
      </c>
      <c r="H4873" t="str">
        <f t="shared" si="2310"/>
        <v>27/08/2025</v>
      </c>
      <c r="I4873" t="str">
        <f t="shared" si="2311"/>
        <v>19/08/2025</v>
      </c>
      <c r="J4873" t="str">
        <f t="shared" si="2309"/>
        <v>27/08/2025</v>
      </c>
      <c r="M4873">
        <v>303</v>
      </c>
      <c r="N4873" t="str">
        <f t="shared" si="2305"/>
        <v>RECEITAS COM ENTREGAS</v>
      </c>
      <c r="P4873">
        <v>342.31</v>
      </c>
      <c r="Q4873" t="str">
        <f>"FARMÁCIA INDIANA LJ 171 (10074)"</f>
        <v>FARMÁCIA INDIANA LJ 171 (10074)</v>
      </c>
      <c r="R4873" t="str">
        <f t="shared" si="2306"/>
        <v>RECEITAS COM ENTREGAS (303)</v>
      </c>
      <c r="S4873">
        <v>2420</v>
      </c>
      <c r="T4873">
        <v>1913</v>
      </c>
      <c r="U4873" t="s">
        <v>19</v>
      </c>
    </row>
    <row r="4874" spans="1:21">
      <c r="A4874" t="str">
        <f t="shared" si="2308"/>
        <v>27/08/2025</v>
      </c>
      <c r="B4874" t="str">
        <f t="shared" si="2290"/>
        <v>ENTRADA</v>
      </c>
      <c r="C4874" t="str">
        <f t="shared" si="2304"/>
        <v>NFSE</v>
      </c>
      <c r="D4874" t="str">
        <f t="shared" si="2301"/>
        <v>3374</v>
      </c>
      <c r="E4874" t="str">
        <f t="shared" si="2307"/>
        <v>COM</v>
      </c>
      <c r="F4874" t="str">
        <f t="shared" si="2302"/>
        <v>FARMÁCIA INDIANA LJ 1 (10126)</v>
      </c>
      <c r="G4874" t="str">
        <f t="shared" si="2303"/>
        <v>Serv.Prest. 11/08/2025 a 17/08/2025 - RPS: 1140 - NFSe: 3374</v>
      </c>
      <c r="H4874" t="str">
        <f t="shared" si="2310"/>
        <v>27/08/2025</v>
      </c>
      <c r="I4874" t="str">
        <f t="shared" si="2311"/>
        <v>19/08/2025</v>
      </c>
      <c r="J4874" t="str">
        <f t="shared" si="2309"/>
        <v>27/08/2025</v>
      </c>
      <c r="M4874">
        <v>303</v>
      </c>
      <c r="N4874" t="str">
        <f t="shared" si="2305"/>
        <v>RECEITAS COM ENTREGAS</v>
      </c>
      <c r="P4874">
        <v>131.66</v>
      </c>
      <c r="Q4874" t="str">
        <f>"FARMÁCIA INDIANA LJ 175 (10076)"</f>
        <v>FARMÁCIA INDIANA LJ 175 (10076)</v>
      </c>
      <c r="R4874" t="str">
        <f t="shared" si="2306"/>
        <v>RECEITAS COM ENTREGAS (303)</v>
      </c>
      <c r="S4874">
        <v>2420</v>
      </c>
      <c r="T4874">
        <v>1913</v>
      </c>
      <c r="U4874" t="s">
        <v>19</v>
      </c>
    </row>
    <row r="4875" spans="1:21">
      <c r="A4875" t="str">
        <f t="shared" si="2308"/>
        <v>27/08/2025</v>
      </c>
      <c r="B4875" t="str">
        <f t="shared" si="2290"/>
        <v>ENTRADA</v>
      </c>
      <c r="C4875" t="str">
        <f t="shared" si="2304"/>
        <v>NFSE</v>
      </c>
      <c r="D4875" t="str">
        <f t="shared" si="2301"/>
        <v>3374</v>
      </c>
      <c r="E4875" t="str">
        <f t="shared" si="2307"/>
        <v>COM</v>
      </c>
      <c r="F4875" t="str">
        <f t="shared" si="2302"/>
        <v>FARMÁCIA INDIANA LJ 1 (10126)</v>
      </c>
      <c r="G4875" t="str">
        <f t="shared" si="2303"/>
        <v>Serv.Prest. 11/08/2025 a 17/08/2025 - RPS: 1140 - NFSe: 3374</v>
      </c>
      <c r="H4875" t="str">
        <f t="shared" si="2310"/>
        <v>27/08/2025</v>
      </c>
      <c r="I4875" t="str">
        <f t="shared" si="2311"/>
        <v>19/08/2025</v>
      </c>
      <c r="J4875" t="str">
        <f t="shared" si="2309"/>
        <v>27/08/2025</v>
      </c>
      <c r="M4875">
        <v>303</v>
      </c>
      <c r="N4875" t="str">
        <f t="shared" si="2305"/>
        <v>RECEITAS COM ENTREGAS</v>
      </c>
      <c r="P4875">
        <v>110.87</v>
      </c>
      <c r="Q4875" t="str">
        <f>"FARMÁCIA INDIANA LJ 178 (10077)"</f>
        <v>FARMÁCIA INDIANA LJ 178 (10077)</v>
      </c>
      <c r="R4875" t="str">
        <f t="shared" si="2306"/>
        <v>RECEITAS COM ENTREGAS (303)</v>
      </c>
      <c r="S4875">
        <v>2420</v>
      </c>
      <c r="T4875">
        <v>1913</v>
      </c>
      <c r="U4875" t="s">
        <v>19</v>
      </c>
    </row>
    <row r="4876" spans="1:21">
      <c r="A4876" t="str">
        <f t="shared" si="2308"/>
        <v>27/08/2025</v>
      </c>
      <c r="B4876" t="str">
        <f t="shared" si="2290"/>
        <v>ENTRADA</v>
      </c>
      <c r="C4876" t="str">
        <f t="shared" si="2304"/>
        <v>NFSE</v>
      </c>
      <c r="D4876" t="str">
        <f t="shared" si="2301"/>
        <v>3374</v>
      </c>
      <c r="E4876" t="str">
        <f t="shared" si="2307"/>
        <v>COM</v>
      </c>
      <c r="F4876" t="str">
        <f t="shared" si="2302"/>
        <v>FARMÁCIA INDIANA LJ 1 (10126)</v>
      </c>
      <c r="G4876" t="str">
        <f t="shared" si="2303"/>
        <v>Serv.Prest. 11/08/2025 a 17/08/2025 - RPS: 1140 - NFSe: 3374</v>
      </c>
      <c r="H4876" t="str">
        <f t="shared" si="2310"/>
        <v>27/08/2025</v>
      </c>
      <c r="I4876" t="str">
        <f t="shared" si="2311"/>
        <v>19/08/2025</v>
      </c>
      <c r="J4876" t="str">
        <f t="shared" si="2309"/>
        <v>27/08/2025</v>
      </c>
      <c r="M4876">
        <v>303</v>
      </c>
      <c r="N4876" t="str">
        <f t="shared" si="2305"/>
        <v>RECEITAS COM ENTREGAS</v>
      </c>
      <c r="P4876">
        <v>80.38</v>
      </c>
      <c r="Q4876" t="str">
        <f>"FARMÁCIA INDIANA LJ 182 (10079)"</f>
        <v>FARMÁCIA INDIANA LJ 182 (10079)</v>
      </c>
      <c r="R4876" t="str">
        <f t="shared" si="2306"/>
        <v>RECEITAS COM ENTREGAS (303)</v>
      </c>
      <c r="S4876">
        <v>2420</v>
      </c>
      <c r="T4876">
        <v>1913</v>
      </c>
      <c r="U4876" t="s">
        <v>19</v>
      </c>
    </row>
    <row r="4877" spans="1:21">
      <c r="A4877" t="str">
        <f t="shared" si="2308"/>
        <v>27/08/2025</v>
      </c>
      <c r="B4877" t="str">
        <f t="shared" si="2290"/>
        <v>ENTRADA</v>
      </c>
      <c r="C4877" t="str">
        <f t="shared" ref="C4877:C4907" si="2312">"NFSE"</f>
        <v>NFSE</v>
      </c>
      <c r="D4877" t="str">
        <f t="shared" si="2301"/>
        <v>3374</v>
      </c>
      <c r="E4877" t="str">
        <f t="shared" si="2307"/>
        <v>COM</v>
      </c>
      <c r="F4877" t="str">
        <f t="shared" si="2302"/>
        <v>FARMÁCIA INDIANA LJ 1 (10126)</v>
      </c>
      <c r="G4877" t="str">
        <f t="shared" si="2303"/>
        <v>Serv.Prest. 11/08/2025 a 17/08/2025 - RPS: 1140 - NFSe: 3374</v>
      </c>
      <c r="H4877" t="str">
        <f t="shared" si="2310"/>
        <v>27/08/2025</v>
      </c>
      <c r="I4877" t="str">
        <f t="shared" si="2311"/>
        <v>19/08/2025</v>
      </c>
      <c r="J4877" t="str">
        <f t="shared" si="2309"/>
        <v>27/08/2025</v>
      </c>
      <c r="M4877">
        <v>303</v>
      </c>
      <c r="N4877" t="str">
        <f t="shared" ref="N4877:N4907" si="2313">"RECEITAS COM ENTREGAS"</f>
        <v>RECEITAS COM ENTREGAS</v>
      </c>
      <c r="P4877">
        <v>40.19</v>
      </c>
      <c r="Q4877" t="str">
        <f>"FARMÁCIA INDIANA LJ 184 (10080)"</f>
        <v>FARMÁCIA INDIANA LJ 184 (10080)</v>
      </c>
      <c r="R4877" t="str">
        <f t="shared" ref="R4877:R4907" si="2314">"RECEITAS COM ENTREGAS (303)"</f>
        <v>RECEITAS COM ENTREGAS (303)</v>
      </c>
      <c r="S4877">
        <v>2420</v>
      </c>
      <c r="T4877">
        <v>1913</v>
      </c>
      <c r="U4877" t="s">
        <v>19</v>
      </c>
    </row>
    <row r="4878" spans="1:21">
      <c r="A4878" t="str">
        <f t="shared" si="2308"/>
        <v>27/08/2025</v>
      </c>
      <c r="B4878" t="str">
        <f t="shared" ref="B4878:B4907" si="2315">"ENTRADA"</f>
        <v>ENTRADA</v>
      </c>
      <c r="C4878" t="str">
        <f t="shared" si="2312"/>
        <v>NFSE</v>
      </c>
      <c r="D4878" t="str">
        <f t="shared" si="2301"/>
        <v>3374</v>
      </c>
      <c r="E4878" t="str">
        <f t="shared" si="2307"/>
        <v>COM</v>
      </c>
      <c r="F4878" t="str">
        <f t="shared" si="2302"/>
        <v>FARMÁCIA INDIANA LJ 1 (10126)</v>
      </c>
      <c r="G4878" t="str">
        <f t="shared" si="2303"/>
        <v>Serv.Prest. 11/08/2025 a 17/08/2025 - RPS: 1140 - NFSe: 3374</v>
      </c>
      <c r="H4878" t="str">
        <f t="shared" si="2310"/>
        <v>27/08/2025</v>
      </c>
      <c r="I4878" t="str">
        <f t="shared" si="2311"/>
        <v>19/08/2025</v>
      </c>
      <c r="J4878" t="str">
        <f t="shared" si="2309"/>
        <v>27/08/2025</v>
      </c>
      <c r="M4878">
        <v>303</v>
      </c>
      <c r="N4878" t="str">
        <f t="shared" si="2313"/>
        <v>RECEITAS COM ENTREGAS</v>
      </c>
      <c r="P4878">
        <v>80.38</v>
      </c>
      <c r="Q4878" t="str">
        <f>"FARMÁCIA INDIANA LJ 186 (10081)"</f>
        <v>FARMÁCIA INDIANA LJ 186 (10081)</v>
      </c>
      <c r="R4878" t="str">
        <f t="shared" si="2314"/>
        <v>RECEITAS COM ENTREGAS (303)</v>
      </c>
      <c r="S4878">
        <v>2420</v>
      </c>
      <c r="T4878">
        <v>1913</v>
      </c>
      <c r="U4878" t="s">
        <v>19</v>
      </c>
    </row>
    <row r="4879" spans="1:21">
      <c r="A4879" t="str">
        <f t="shared" si="2308"/>
        <v>27/08/2025</v>
      </c>
      <c r="B4879" t="str">
        <f t="shared" si="2315"/>
        <v>ENTRADA</v>
      </c>
      <c r="C4879" t="str">
        <f t="shared" si="2312"/>
        <v>NFSE</v>
      </c>
      <c r="D4879" t="str">
        <f t="shared" si="2301"/>
        <v>3374</v>
      </c>
      <c r="E4879" t="str">
        <f t="shared" si="2307"/>
        <v>COM</v>
      </c>
      <c r="F4879" t="str">
        <f t="shared" si="2302"/>
        <v>FARMÁCIA INDIANA LJ 1 (10126)</v>
      </c>
      <c r="G4879" t="str">
        <f t="shared" si="2303"/>
        <v>Serv.Prest. 11/08/2025 a 17/08/2025 - RPS: 1140 - NFSe: 3374</v>
      </c>
      <c r="H4879" t="str">
        <f t="shared" si="2310"/>
        <v>27/08/2025</v>
      </c>
      <c r="I4879" t="str">
        <f t="shared" si="2311"/>
        <v>19/08/2025</v>
      </c>
      <c r="J4879" t="str">
        <f t="shared" si="2309"/>
        <v>27/08/2025</v>
      </c>
      <c r="M4879">
        <v>303</v>
      </c>
      <c r="N4879" t="str">
        <f t="shared" si="2313"/>
        <v>RECEITAS COM ENTREGAS</v>
      </c>
      <c r="P4879">
        <v>121.96</v>
      </c>
      <c r="Q4879" t="str">
        <f>"FARMÁCIA INDIANA LJ 192 (10082)"</f>
        <v>FARMÁCIA INDIANA LJ 192 (10082)</v>
      </c>
      <c r="R4879" t="str">
        <f t="shared" si="2314"/>
        <v>RECEITAS COM ENTREGAS (303)</v>
      </c>
      <c r="S4879">
        <v>2420</v>
      </c>
      <c r="T4879">
        <v>1913</v>
      </c>
      <c r="U4879" t="s">
        <v>19</v>
      </c>
    </row>
    <row r="4880" spans="1:21">
      <c r="A4880" t="str">
        <f t="shared" si="2308"/>
        <v>27/08/2025</v>
      </c>
      <c r="B4880" t="str">
        <f t="shared" si="2315"/>
        <v>ENTRADA</v>
      </c>
      <c r="C4880" t="str">
        <f t="shared" si="2312"/>
        <v>NFSE</v>
      </c>
      <c r="D4880" t="str">
        <f t="shared" si="2301"/>
        <v>3374</v>
      </c>
      <c r="E4880" t="str">
        <f t="shared" si="2307"/>
        <v>COM</v>
      </c>
      <c r="F4880" t="str">
        <f t="shared" si="2302"/>
        <v>FARMÁCIA INDIANA LJ 1 (10126)</v>
      </c>
      <c r="G4880" t="str">
        <f t="shared" si="2303"/>
        <v>Serv.Prest. 11/08/2025 a 17/08/2025 - RPS: 1140 - NFSe: 3374</v>
      </c>
      <c r="H4880" t="str">
        <f t="shared" si="2310"/>
        <v>27/08/2025</v>
      </c>
      <c r="I4880" t="str">
        <f t="shared" si="2311"/>
        <v>19/08/2025</v>
      </c>
      <c r="J4880" t="str">
        <f t="shared" si="2309"/>
        <v>27/08/2025</v>
      </c>
      <c r="M4880">
        <v>303</v>
      </c>
      <c r="N4880" t="str">
        <f t="shared" si="2313"/>
        <v>RECEITAS COM ENTREGAS</v>
      </c>
      <c r="P4880">
        <v>40.19</v>
      </c>
      <c r="Q4880" t="str">
        <f>"FARMÁCIA INDIANA LJ 195 (10083)"</f>
        <v>FARMÁCIA INDIANA LJ 195 (10083)</v>
      </c>
      <c r="R4880" t="str">
        <f t="shared" si="2314"/>
        <v>RECEITAS COM ENTREGAS (303)</v>
      </c>
      <c r="S4880">
        <v>2420</v>
      </c>
      <c r="T4880">
        <v>1913</v>
      </c>
      <c r="U4880" t="s">
        <v>19</v>
      </c>
    </row>
    <row r="4881" spans="1:21">
      <c r="A4881" t="str">
        <f t="shared" si="2308"/>
        <v>27/08/2025</v>
      </c>
      <c r="B4881" t="str">
        <f t="shared" si="2315"/>
        <v>ENTRADA</v>
      </c>
      <c r="C4881" t="str">
        <f t="shared" si="2312"/>
        <v>NFSE</v>
      </c>
      <c r="D4881" t="str">
        <f t="shared" si="2301"/>
        <v>3374</v>
      </c>
      <c r="E4881" t="str">
        <f t="shared" si="2307"/>
        <v>COM</v>
      </c>
      <c r="F4881" t="str">
        <f t="shared" si="2302"/>
        <v>FARMÁCIA INDIANA LJ 1 (10126)</v>
      </c>
      <c r="G4881" t="str">
        <f t="shared" si="2303"/>
        <v>Serv.Prest. 11/08/2025 a 17/08/2025 - RPS: 1140 - NFSe: 3374</v>
      </c>
      <c r="H4881" t="str">
        <f t="shared" si="2310"/>
        <v>27/08/2025</v>
      </c>
      <c r="I4881" t="str">
        <f t="shared" si="2311"/>
        <v>19/08/2025</v>
      </c>
      <c r="J4881" t="str">
        <f t="shared" si="2309"/>
        <v>27/08/2025</v>
      </c>
      <c r="M4881">
        <v>303</v>
      </c>
      <c r="N4881" t="str">
        <f t="shared" si="2313"/>
        <v>RECEITAS COM ENTREGAS</v>
      </c>
      <c r="P4881">
        <v>159.37</v>
      </c>
      <c r="Q4881" t="str">
        <f>"FARMÁCIA INDIANA LJ 202 (10085)"</f>
        <v>FARMÁCIA INDIANA LJ 202 (10085)</v>
      </c>
      <c r="R4881" t="str">
        <f t="shared" si="2314"/>
        <v>RECEITAS COM ENTREGAS (303)</v>
      </c>
      <c r="S4881">
        <v>2420</v>
      </c>
      <c r="T4881">
        <v>1913</v>
      </c>
      <c r="U4881" t="s">
        <v>19</v>
      </c>
    </row>
    <row r="4882" spans="1:21">
      <c r="A4882" t="str">
        <f t="shared" si="2308"/>
        <v>27/08/2025</v>
      </c>
      <c r="B4882" t="str">
        <f t="shared" si="2315"/>
        <v>ENTRADA</v>
      </c>
      <c r="C4882" t="str">
        <f t="shared" si="2312"/>
        <v>NFSE</v>
      </c>
      <c r="D4882" t="str">
        <f t="shared" si="2301"/>
        <v>3374</v>
      </c>
      <c r="E4882" t="str">
        <f t="shared" si="2307"/>
        <v>COM</v>
      </c>
      <c r="F4882" t="str">
        <f t="shared" si="2302"/>
        <v>FARMÁCIA INDIANA LJ 1 (10126)</v>
      </c>
      <c r="G4882" t="str">
        <f t="shared" si="2303"/>
        <v>Serv.Prest. 11/08/2025 a 17/08/2025 - RPS: 1140 - NFSe: 3374</v>
      </c>
      <c r="H4882" t="str">
        <f t="shared" si="2310"/>
        <v>27/08/2025</v>
      </c>
      <c r="I4882" t="str">
        <f t="shared" si="2311"/>
        <v>19/08/2025</v>
      </c>
      <c r="J4882" t="str">
        <f t="shared" si="2309"/>
        <v>27/08/2025</v>
      </c>
      <c r="M4882">
        <v>303</v>
      </c>
      <c r="N4882" t="str">
        <f t="shared" si="2313"/>
        <v>RECEITAS COM ENTREGAS</v>
      </c>
      <c r="P4882">
        <v>80.38</v>
      </c>
      <c r="Q4882" t="str">
        <f>"FARMÁCIA INDIANA LJ 204 (10087)"</f>
        <v>FARMÁCIA INDIANA LJ 204 (10087)</v>
      </c>
      <c r="R4882" t="str">
        <f t="shared" si="2314"/>
        <v>RECEITAS COM ENTREGAS (303)</v>
      </c>
      <c r="S4882">
        <v>2420</v>
      </c>
      <c r="T4882">
        <v>1913</v>
      </c>
      <c r="U4882" t="s">
        <v>19</v>
      </c>
    </row>
    <row r="4883" spans="1:21">
      <c r="A4883" t="str">
        <f t="shared" ref="A4883:A4919" si="2316">("27/08/2025")</f>
        <v>27/08/2025</v>
      </c>
      <c r="B4883" t="str">
        <f t="shared" si="2315"/>
        <v>ENTRADA</v>
      </c>
      <c r="C4883" t="str">
        <f t="shared" si="2312"/>
        <v>NFSE</v>
      </c>
      <c r="D4883" t="str">
        <f t="shared" si="2301"/>
        <v>3374</v>
      </c>
      <c r="E4883" t="str">
        <f t="shared" si="2307"/>
        <v>COM</v>
      </c>
      <c r="F4883" t="str">
        <f t="shared" si="2302"/>
        <v>FARMÁCIA INDIANA LJ 1 (10126)</v>
      </c>
      <c r="G4883" t="str">
        <f t="shared" si="2303"/>
        <v>Serv.Prest. 11/08/2025 a 17/08/2025 - RPS: 1140 - NFSe: 3374</v>
      </c>
      <c r="H4883" t="str">
        <f t="shared" si="2310"/>
        <v>27/08/2025</v>
      </c>
      <c r="I4883" t="str">
        <f t="shared" si="2311"/>
        <v>19/08/2025</v>
      </c>
      <c r="J4883" t="str">
        <f t="shared" ref="J4883:J4919" si="2317">("27/08/2025")</f>
        <v>27/08/2025</v>
      </c>
      <c r="M4883">
        <v>303</v>
      </c>
      <c r="N4883" t="str">
        <f t="shared" si="2313"/>
        <v>RECEITAS COM ENTREGAS</v>
      </c>
      <c r="P4883">
        <v>106.71</v>
      </c>
      <c r="Q4883" t="str">
        <f>"FARMÁCIA INDIANA LJ 207 (10088)"</f>
        <v>FARMÁCIA INDIANA LJ 207 (10088)</v>
      </c>
      <c r="R4883" t="str">
        <f t="shared" si="2314"/>
        <v>RECEITAS COM ENTREGAS (303)</v>
      </c>
      <c r="S4883">
        <v>2420</v>
      </c>
      <c r="T4883">
        <v>1913</v>
      </c>
      <c r="U4883" t="s">
        <v>19</v>
      </c>
    </row>
    <row r="4884" spans="1:21">
      <c r="A4884" t="str">
        <f t="shared" si="2316"/>
        <v>27/08/2025</v>
      </c>
      <c r="B4884" t="str">
        <f t="shared" si="2315"/>
        <v>ENTRADA</v>
      </c>
      <c r="C4884" t="str">
        <f t="shared" si="2312"/>
        <v>NFSE</v>
      </c>
      <c r="D4884" t="str">
        <f t="shared" si="2301"/>
        <v>3374</v>
      </c>
      <c r="E4884" t="str">
        <f t="shared" si="2307"/>
        <v>COM</v>
      </c>
      <c r="F4884" t="str">
        <f t="shared" si="2302"/>
        <v>FARMÁCIA INDIANA LJ 1 (10126)</v>
      </c>
      <c r="G4884" t="str">
        <f t="shared" si="2303"/>
        <v>Serv.Prest. 11/08/2025 a 17/08/2025 - RPS: 1140 - NFSe: 3374</v>
      </c>
      <c r="H4884" t="str">
        <f t="shared" si="2310"/>
        <v>27/08/2025</v>
      </c>
      <c r="I4884" t="str">
        <f t="shared" si="2311"/>
        <v>19/08/2025</v>
      </c>
      <c r="J4884" t="str">
        <f t="shared" si="2317"/>
        <v>27/08/2025</v>
      </c>
      <c r="M4884">
        <v>303</v>
      </c>
      <c r="N4884" t="str">
        <f t="shared" si="2313"/>
        <v>RECEITAS COM ENTREGAS</v>
      </c>
      <c r="P4884">
        <v>124.73</v>
      </c>
      <c r="Q4884" t="str">
        <f>"FARMÁCIA INDIANA LJ 209 (10089)"</f>
        <v>FARMÁCIA INDIANA LJ 209 (10089)</v>
      </c>
      <c r="R4884" t="str">
        <f t="shared" si="2314"/>
        <v>RECEITAS COM ENTREGAS (303)</v>
      </c>
      <c r="S4884">
        <v>2420</v>
      </c>
      <c r="T4884">
        <v>1913</v>
      </c>
      <c r="U4884" t="s">
        <v>19</v>
      </c>
    </row>
    <row r="4885" spans="1:21">
      <c r="A4885" t="str">
        <f t="shared" si="2316"/>
        <v>27/08/2025</v>
      </c>
      <c r="B4885" t="str">
        <f t="shared" si="2315"/>
        <v>ENTRADA</v>
      </c>
      <c r="C4885" t="str">
        <f t="shared" si="2312"/>
        <v>NFSE</v>
      </c>
      <c r="D4885" t="str">
        <f t="shared" si="2301"/>
        <v>3374</v>
      </c>
      <c r="E4885" t="str">
        <f t="shared" si="2307"/>
        <v>COM</v>
      </c>
      <c r="F4885" t="str">
        <f t="shared" si="2302"/>
        <v>FARMÁCIA INDIANA LJ 1 (10126)</v>
      </c>
      <c r="G4885" t="str">
        <f t="shared" si="2303"/>
        <v>Serv.Prest. 11/08/2025 a 17/08/2025 - RPS: 1140 - NFSe: 3374</v>
      </c>
      <c r="H4885" t="str">
        <f t="shared" ref="H4885:H4917" si="2318">("27/08/2025")</f>
        <v>27/08/2025</v>
      </c>
      <c r="I4885" t="str">
        <f t="shared" ref="I4885:I4890" si="2319">("19/08/2025")</f>
        <v>19/08/2025</v>
      </c>
      <c r="J4885" t="str">
        <f t="shared" si="2317"/>
        <v>27/08/2025</v>
      </c>
      <c r="M4885">
        <v>303</v>
      </c>
      <c r="N4885" t="str">
        <f t="shared" si="2313"/>
        <v>RECEITAS COM ENTREGAS</v>
      </c>
      <c r="P4885">
        <v>180.16</v>
      </c>
      <c r="Q4885" t="str">
        <f>"FARMÁCIA INDIANA LJ 219 (10091)"</f>
        <v>FARMÁCIA INDIANA LJ 219 (10091)</v>
      </c>
      <c r="R4885" t="str">
        <f t="shared" si="2314"/>
        <v>RECEITAS COM ENTREGAS (303)</v>
      </c>
      <c r="S4885">
        <v>2420</v>
      </c>
      <c r="T4885">
        <v>1913</v>
      </c>
      <c r="U4885" t="s">
        <v>19</v>
      </c>
    </row>
    <row r="4886" spans="1:21">
      <c r="A4886" t="str">
        <f t="shared" si="2316"/>
        <v>27/08/2025</v>
      </c>
      <c r="B4886" t="str">
        <f t="shared" si="2315"/>
        <v>ENTRADA</v>
      </c>
      <c r="C4886" t="str">
        <f t="shared" si="2312"/>
        <v>NFSE</v>
      </c>
      <c r="D4886" t="str">
        <f t="shared" si="2301"/>
        <v>3374</v>
      </c>
      <c r="E4886" t="str">
        <f t="shared" si="2307"/>
        <v>COM</v>
      </c>
      <c r="F4886" t="str">
        <f t="shared" si="2302"/>
        <v>FARMÁCIA INDIANA LJ 1 (10126)</v>
      </c>
      <c r="G4886" t="str">
        <f t="shared" si="2303"/>
        <v>Serv.Prest. 11/08/2025 a 17/08/2025 - RPS: 1140 - NFSe: 3374</v>
      </c>
      <c r="H4886" t="str">
        <f t="shared" si="2318"/>
        <v>27/08/2025</v>
      </c>
      <c r="I4886" t="str">
        <f t="shared" si="2319"/>
        <v>19/08/2025</v>
      </c>
      <c r="J4886" t="str">
        <f t="shared" si="2317"/>
        <v>27/08/2025</v>
      </c>
      <c r="M4886">
        <v>303</v>
      </c>
      <c r="N4886" t="str">
        <f t="shared" si="2313"/>
        <v>RECEITAS COM ENTREGAS</v>
      </c>
      <c r="P4886">
        <v>157.99</v>
      </c>
      <c r="Q4886" t="str">
        <f>"FARMÁCIA INDIANA LJ 220 (10092)"</f>
        <v>FARMÁCIA INDIANA LJ 220 (10092)</v>
      </c>
      <c r="R4886" t="str">
        <f t="shared" si="2314"/>
        <v>RECEITAS COM ENTREGAS (303)</v>
      </c>
      <c r="S4886">
        <v>2420</v>
      </c>
      <c r="T4886">
        <v>1913</v>
      </c>
      <c r="U4886" t="s">
        <v>19</v>
      </c>
    </row>
    <row r="4887" spans="1:21">
      <c r="A4887" t="str">
        <f t="shared" si="2316"/>
        <v>27/08/2025</v>
      </c>
      <c r="B4887" t="str">
        <f t="shared" si="2315"/>
        <v>ENTRADA</v>
      </c>
      <c r="C4887" t="str">
        <f t="shared" si="2312"/>
        <v>NFSE</v>
      </c>
      <c r="D4887" t="str">
        <f t="shared" si="2301"/>
        <v>3374</v>
      </c>
      <c r="E4887" t="str">
        <f t="shared" si="2307"/>
        <v>COM</v>
      </c>
      <c r="F4887" t="str">
        <f t="shared" si="2302"/>
        <v>FARMÁCIA INDIANA LJ 1 (10126)</v>
      </c>
      <c r="G4887" t="str">
        <f t="shared" si="2303"/>
        <v>Serv.Prest. 11/08/2025 a 17/08/2025 - RPS: 1140 - NFSe: 3374</v>
      </c>
      <c r="H4887" t="str">
        <f t="shared" si="2318"/>
        <v>27/08/2025</v>
      </c>
      <c r="I4887" t="str">
        <f t="shared" si="2319"/>
        <v>19/08/2025</v>
      </c>
      <c r="J4887" t="str">
        <f t="shared" si="2317"/>
        <v>27/08/2025</v>
      </c>
      <c r="M4887">
        <v>303</v>
      </c>
      <c r="N4887" t="str">
        <f t="shared" si="2313"/>
        <v>RECEITAS COM ENTREGAS</v>
      </c>
      <c r="P4887">
        <v>182.93</v>
      </c>
      <c r="Q4887" t="str">
        <f>"FARMÁCIA INDIANA LJ 185 (10141)"</f>
        <v>FARMÁCIA INDIANA LJ 185 (10141)</v>
      </c>
      <c r="R4887" t="str">
        <f t="shared" si="2314"/>
        <v>RECEITAS COM ENTREGAS (303)</v>
      </c>
      <c r="S4887">
        <v>2420</v>
      </c>
      <c r="T4887">
        <v>1913</v>
      </c>
      <c r="U4887" t="s">
        <v>19</v>
      </c>
    </row>
    <row r="4888" spans="1:21">
      <c r="A4888" t="str">
        <f t="shared" si="2316"/>
        <v>27/08/2025</v>
      </c>
      <c r="B4888" t="str">
        <f t="shared" si="2315"/>
        <v>ENTRADA</v>
      </c>
      <c r="C4888" t="str">
        <f t="shared" si="2312"/>
        <v>NFSE</v>
      </c>
      <c r="D4888" t="str">
        <f t="shared" si="2301"/>
        <v>3374</v>
      </c>
      <c r="E4888" t="str">
        <f t="shared" si="2307"/>
        <v>COM</v>
      </c>
      <c r="F4888" t="str">
        <f t="shared" si="2302"/>
        <v>FARMÁCIA INDIANA LJ 1 (10126)</v>
      </c>
      <c r="G4888" t="str">
        <f t="shared" si="2303"/>
        <v>Serv.Prest. 11/08/2025 a 17/08/2025 - RPS: 1140 - NFSe: 3374</v>
      </c>
      <c r="H4888" t="str">
        <f t="shared" si="2318"/>
        <v>27/08/2025</v>
      </c>
      <c r="I4888" t="str">
        <f t="shared" si="2319"/>
        <v>19/08/2025</v>
      </c>
      <c r="J4888" t="str">
        <f t="shared" si="2317"/>
        <v>27/08/2025</v>
      </c>
      <c r="M4888">
        <v>303</v>
      </c>
      <c r="N4888" t="str">
        <f t="shared" si="2313"/>
        <v>RECEITAS COM ENTREGAS</v>
      </c>
      <c r="P4888">
        <v>106.71</v>
      </c>
      <c r="Q4888" t="str">
        <f>"FARMÁCIA INDIANA LJ 205 (10150)"</f>
        <v>FARMÁCIA INDIANA LJ 205 (10150)</v>
      </c>
      <c r="R4888" t="str">
        <f t="shared" si="2314"/>
        <v>RECEITAS COM ENTREGAS (303)</v>
      </c>
      <c r="S4888">
        <v>2420</v>
      </c>
      <c r="T4888">
        <v>1913</v>
      </c>
      <c r="U4888" t="s">
        <v>19</v>
      </c>
    </row>
    <row r="4889" spans="1:21">
      <c r="A4889" t="str">
        <f t="shared" si="2316"/>
        <v>27/08/2025</v>
      </c>
      <c r="B4889" t="str">
        <f t="shared" si="2315"/>
        <v>ENTRADA</v>
      </c>
      <c r="C4889" t="str">
        <f t="shared" si="2312"/>
        <v>NFSE</v>
      </c>
      <c r="D4889" t="str">
        <f t="shared" si="2301"/>
        <v>3374</v>
      </c>
      <c r="E4889" t="str">
        <f t="shared" si="2307"/>
        <v>COM</v>
      </c>
      <c r="F4889" t="str">
        <f t="shared" si="2302"/>
        <v>FARMÁCIA INDIANA LJ 1 (10126)</v>
      </c>
      <c r="G4889" t="str">
        <f t="shared" si="2303"/>
        <v>Serv.Prest. 11/08/2025 a 17/08/2025 - RPS: 1140 - NFSe: 3374</v>
      </c>
      <c r="H4889" t="str">
        <f t="shared" si="2318"/>
        <v>27/08/2025</v>
      </c>
      <c r="I4889" t="str">
        <f t="shared" si="2319"/>
        <v>19/08/2025</v>
      </c>
      <c r="J4889" t="str">
        <f t="shared" si="2317"/>
        <v>27/08/2025</v>
      </c>
      <c r="M4889">
        <v>303</v>
      </c>
      <c r="N4889" t="str">
        <f t="shared" si="2313"/>
        <v>RECEITAS COM ENTREGAS</v>
      </c>
      <c r="P4889">
        <v>627.79999999999995</v>
      </c>
      <c r="Q4889" t="str">
        <f>"FARMÁCIA INDIANA LJ 172 (10161)"</f>
        <v>FARMÁCIA INDIANA LJ 172 (10161)</v>
      </c>
      <c r="R4889" t="str">
        <f t="shared" si="2314"/>
        <v>RECEITAS COM ENTREGAS (303)</v>
      </c>
      <c r="S4889">
        <v>2420</v>
      </c>
      <c r="T4889">
        <v>1913</v>
      </c>
      <c r="U4889" t="s">
        <v>19</v>
      </c>
    </row>
    <row r="4890" spans="1:21">
      <c r="A4890" t="str">
        <f t="shared" si="2316"/>
        <v>27/08/2025</v>
      </c>
      <c r="B4890" t="str">
        <f t="shared" si="2315"/>
        <v>ENTRADA</v>
      </c>
      <c r="C4890" t="str">
        <f t="shared" si="2312"/>
        <v>NFSE</v>
      </c>
      <c r="D4890" t="str">
        <f t="shared" si="2301"/>
        <v>3374</v>
      </c>
      <c r="E4890" t="str">
        <f t="shared" si="2307"/>
        <v>COM</v>
      </c>
      <c r="F4890" t="str">
        <f t="shared" si="2302"/>
        <v>FARMÁCIA INDIANA LJ 1 (10126)</v>
      </c>
      <c r="G4890" t="str">
        <f t="shared" si="2303"/>
        <v>Serv.Prest. 11/08/2025 a 17/08/2025 - RPS: 1140 - NFSe: 3374</v>
      </c>
      <c r="H4890" t="str">
        <f t="shared" si="2318"/>
        <v>27/08/2025</v>
      </c>
      <c r="I4890" t="str">
        <f t="shared" si="2319"/>
        <v>19/08/2025</v>
      </c>
      <c r="J4890" t="str">
        <f t="shared" si="2317"/>
        <v>27/08/2025</v>
      </c>
      <c r="M4890">
        <v>303</v>
      </c>
      <c r="N4890" t="str">
        <f t="shared" si="2313"/>
        <v>RECEITAS COM ENTREGAS</v>
      </c>
      <c r="P4890">
        <v>80.38</v>
      </c>
      <c r="Q4890" t="str">
        <f>"FARMÁCIA INDIANA LJ 266 (10186)"</f>
        <v>FARMÁCIA INDIANA LJ 266 (10186)</v>
      </c>
      <c r="R4890" t="str">
        <f t="shared" si="2314"/>
        <v>RECEITAS COM ENTREGAS (303)</v>
      </c>
      <c r="S4890">
        <v>2420</v>
      </c>
      <c r="T4890">
        <v>1913</v>
      </c>
      <c r="U4890" t="s">
        <v>19</v>
      </c>
    </row>
    <row r="4891" spans="1:21">
      <c r="A4891" t="str">
        <f t="shared" si="2316"/>
        <v>27/08/2025</v>
      </c>
      <c r="B4891" t="str">
        <f t="shared" si="2315"/>
        <v>ENTRADA</v>
      </c>
      <c r="C4891" t="str">
        <f t="shared" si="2312"/>
        <v>NFSE</v>
      </c>
      <c r="D4891" t="str">
        <f>"3382"</f>
        <v>3382</v>
      </c>
      <c r="E4891" t="str">
        <f t="shared" si="2307"/>
        <v>COM</v>
      </c>
      <c r="F4891" t="str">
        <f>"DROGARIA AGAPEAMA (10167)"</f>
        <v>DROGARIA AGAPEAMA (10167)</v>
      </c>
      <c r="G4891" t="str">
        <f>"Serv.Prest. 18/08/2025 a 24/08/2025 - RPS: 1148 - NFSe: 3382"</f>
        <v>Serv.Prest. 18/08/2025 a 24/08/2025 - RPS: 1148 - NFSe: 3382</v>
      </c>
      <c r="H4891" t="str">
        <f t="shared" si="2318"/>
        <v>27/08/2025</v>
      </c>
      <c r="I4891" t="str">
        <f t="shared" ref="I4891:I4905" si="2320">("25/08/2025")</f>
        <v>25/08/2025</v>
      </c>
      <c r="J4891" t="str">
        <f t="shared" si="2317"/>
        <v>27/08/2025</v>
      </c>
      <c r="K4891">
        <v>418.4</v>
      </c>
      <c r="L4891">
        <v>418.4</v>
      </c>
      <c r="M4891">
        <v>303</v>
      </c>
      <c r="N4891" t="str">
        <f t="shared" si="2313"/>
        <v>RECEITAS COM ENTREGAS</v>
      </c>
      <c r="O4891">
        <v>418.4</v>
      </c>
      <c r="R4891" t="str">
        <f t="shared" si="2314"/>
        <v>RECEITAS COM ENTREGAS (303)</v>
      </c>
      <c r="S4891">
        <v>2421</v>
      </c>
      <c r="T4891">
        <v>1941</v>
      </c>
      <c r="U4891" t="s">
        <v>19</v>
      </c>
    </row>
    <row r="4892" spans="1:21">
      <c r="A4892" t="str">
        <f t="shared" si="2316"/>
        <v>27/08/2025</v>
      </c>
      <c r="B4892" t="str">
        <f t="shared" si="2315"/>
        <v>ENTRADA</v>
      </c>
      <c r="C4892" t="str">
        <f t="shared" si="2312"/>
        <v>NFSE</v>
      </c>
      <c r="D4892" t="str">
        <f>"3382"</f>
        <v>3382</v>
      </c>
      <c r="E4892" t="str">
        <f t="shared" si="2307"/>
        <v>COM</v>
      </c>
      <c r="F4892" t="str">
        <f>"DROGARIA AGAPEAMA (10167)"</f>
        <v>DROGARIA AGAPEAMA (10167)</v>
      </c>
      <c r="G4892" t="str">
        <f>"Serv.Prest. 18/08/2025 a 24/08/2025 - RPS: 1148 - NFSe: 3382"</f>
        <v>Serv.Prest. 18/08/2025 a 24/08/2025 - RPS: 1148 - NFSe: 3382</v>
      </c>
      <c r="H4892" t="str">
        <f t="shared" si="2318"/>
        <v>27/08/2025</v>
      </c>
      <c r="I4892" t="str">
        <f t="shared" si="2320"/>
        <v>25/08/2025</v>
      </c>
      <c r="J4892" t="str">
        <f t="shared" si="2317"/>
        <v>27/08/2025</v>
      </c>
      <c r="M4892">
        <v>303</v>
      </c>
      <c r="N4892" t="str">
        <f t="shared" si="2313"/>
        <v>RECEITAS COM ENTREGAS</v>
      </c>
      <c r="P4892">
        <v>418.4</v>
      </c>
      <c r="Q4892" t="str">
        <f>"DROGARIA AGAPEAMA (10167)"</f>
        <v>DROGARIA AGAPEAMA (10167)</v>
      </c>
      <c r="R4892" t="str">
        <f t="shared" si="2314"/>
        <v>RECEITAS COM ENTREGAS (303)</v>
      </c>
      <c r="S4892">
        <v>2421</v>
      </c>
      <c r="T4892">
        <v>1941</v>
      </c>
      <c r="U4892" t="s">
        <v>19</v>
      </c>
    </row>
    <row r="4893" spans="1:21">
      <c r="A4893" t="str">
        <f t="shared" si="2316"/>
        <v>27/08/2025</v>
      </c>
      <c r="B4893" t="str">
        <f t="shared" si="2315"/>
        <v>ENTRADA</v>
      </c>
      <c r="C4893" t="str">
        <f t="shared" si="2312"/>
        <v>NFSE</v>
      </c>
      <c r="D4893" t="str">
        <f>"3386"</f>
        <v>3386</v>
      </c>
      <c r="E4893" t="str">
        <f t="shared" si="2307"/>
        <v>COM</v>
      </c>
      <c r="F4893" t="str">
        <f>"ENTREFARMA (10164)"</f>
        <v>ENTREFARMA (10164)</v>
      </c>
      <c r="G4893" t="str">
        <f>"Serv.Prest. 18/08/2025 a 24/08/2025 - RPS: 1153 - NFSe: 3386"</f>
        <v>Serv.Prest. 18/08/2025 a 24/08/2025 - RPS: 1153 - NFSe: 3386</v>
      </c>
      <c r="H4893" t="str">
        <f t="shared" si="2318"/>
        <v>27/08/2025</v>
      </c>
      <c r="I4893" t="str">
        <f t="shared" si="2320"/>
        <v>25/08/2025</v>
      </c>
      <c r="J4893" t="str">
        <f t="shared" si="2317"/>
        <v>27/08/2025</v>
      </c>
      <c r="K4893">
        <v>1328.72</v>
      </c>
      <c r="L4893">
        <v>1328.72</v>
      </c>
      <c r="M4893">
        <v>303</v>
      </c>
      <c r="N4893" t="str">
        <f t="shared" si="2313"/>
        <v>RECEITAS COM ENTREGAS</v>
      </c>
      <c r="O4893">
        <v>1328.72</v>
      </c>
      <c r="R4893" t="str">
        <f t="shared" si="2314"/>
        <v>RECEITAS COM ENTREGAS (303)</v>
      </c>
      <c r="S4893">
        <v>2422</v>
      </c>
      <c r="T4893">
        <v>1946</v>
      </c>
      <c r="U4893" t="s">
        <v>19</v>
      </c>
    </row>
    <row r="4894" spans="1:21">
      <c r="A4894" t="str">
        <f t="shared" si="2316"/>
        <v>27/08/2025</v>
      </c>
      <c r="B4894" t="str">
        <f t="shared" si="2315"/>
        <v>ENTRADA</v>
      </c>
      <c r="C4894" t="str">
        <f t="shared" si="2312"/>
        <v>NFSE</v>
      </c>
      <c r="D4894" t="str">
        <f>"3386"</f>
        <v>3386</v>
      </c>
      <c r="E4894" t="str">
        <f t="shared" si="2307"/>
        <v>COM</v>
      </c>
      <c r="F4894" t="str">
        <f>"ENTREFARMA (10164)"</f>
        <v>ENTREFARMA (10164)</v>
      </c>
      <c r="G4894" t="str">
        <f>"Serv.Prest. 18/08/2025 a 24/08/2025 - RPS: 1153 - NFSe: 3386"</f>
        <v>Serv.Prest. 18/08/2025 a 24/08/2025 - RPS: 1153 - NFSe: 3386</v>
      </c>
      <c r="H4894" t="str">
        <f t="shared" si="2318"/>
        <v>27/08/2025</v>
      </c>
      <c r="I4894" t="str">
        <f t="shared" si="2320"/>
        <v>25/08/2025</v>
      </c>
      <c r="J4894" t="str">
        <f t="shared" si="2317"/>
        <v>27/08/2025</v>
      </c>
      <c r="M4894">
        <v>303</v>
      </c>
      <c r="N4894" t="str">
        <f t="shared" si="2313"/>
        <v>RECEITAS COM ENTREGAS</v>
      </c>
      <c r="P4894">
        <v>1328.72</v>
      </c>
      <c r="Q4894" t="str">
        <f>"ENTREFARMA (10164)"</f>
        <v>ENTREFARMA (10164)</v>
      </c>
      <c r="R4894" t="str">
        <f t="shared" si="2314"/>
        <v>RECEITAS COM ENTREGAS (303)</v>
      </c>
      <c r="S4894">
        <v>2422</v>
      </c>
      <c r="T4894">
        <v>1946</v>
      </c>
      <c r="U4894" t="s">
        <v>19</v>
      </c>
    </row>
    <row r="4895" spans="1:21">
      <c r="A4895" t="str">
        <f t="shared" si="2316"/>
        <v>27/08/2025</v>
      </c>
      <c r="B4895" t="str">
        <f t="shared" si="2315"/>
        <v>ENTRADA</v>
      </c>
      <c r="C4895" t="str">
        <f t="shared" si="2312"/>
        <v>NFSE</v>
      </c>
      <c r="D4895" t="str">
        <f>"3389"</f>
        <v>3389</v>
      </c>
      <c r="E4895" t="str">
        <f t="shared" si="2307"/>
        <v>COM</v>
      </c>
      <c r="F4895" t="str">
        <f>"DROGARIA MEDIC CENTER LTDA (10172)"</f>
        <v>DROGARIA MEDIC CENTER LTDA (10172)</v>
      </c>
      <c r="G4895" t="str">
        <f>"Serv.Prest. 18/08/2025 a 24/08/2025 - RPS: 1155 - NFSe: 3389"</f>
        <v>Serv.Prest. 18/08/2025 a 24/08/2025 - RPS: 1155 - NFSe: 3389</v>
      </c>
      <c r="H4895" t="str">
        <f t="shared" si="2318"/>
        <v>27/08/2025</v>
      </c>
      <c r="I4895" t="str">
        <f t="shared" si="2320"/>
        <v>25/08/2025</v>
      </c>
      <c r="J4895" t="str">
        <f t="shared" si="2317"/>
        <v>27/08/2025</v>
      </c>
      <c r="K4895">
        <v>291.60000000000002</v>
      </c>
      <c r="L4895">
        <v>291.60000000000002</v>
      </c>
      <c r="M4895">
        <v>303</v>
      </c>
      <c r="N4895" t="str">
        <f t="shared" si="2313"/>
        <v>RECEITAS COM ENTREGAS</v>
      </c>
      <c r="O4895">
        <v>291.60000000000002</v>
      </c>
      <c r="R4895" t="str">
        <f t="shared" si="2314"/>
        <v>RECEITAS COM ENTREGAS (303)</v>
      </c>
      <c r="S4895">
        <v>2423</v>
      </c>
      <c r="T4895">
        <v>1948</v>
      </c>
      <c r="U4895" t="s">
        <v>19</v>
      </c>
    </row>
    <row r="4896" spans="1:21">
      <c r="A4896" t="str">
        <f t="shared" si="2316"/>
        <v>27/08/2025</v>
      </c>
      <c r="B4896" t="str">
        <f t="shared" si="2315"/>
        <v>ENTRADA</v>
      </c>
      <c r="C4896" t="str">
        <f t="shared" si="2312"/>
        <v>NFSE</v>
      </c>
      <c r="D4896" t="str">
        <f>"3389"</f>
        <v>3389</v>
      </c>
      <c r="E4896" t="str">
        <f t="shared" si="2307"/>
        <v>COM</v>
      </c>
      <c r="F4896" t="str">
        <f>"DROGARIA MEDIC CENTER LTDA (10172)"</f>
        <v>DROGARIA MEDIC CENTER LTDA (10172)</v>
      </c>
      <c r="G4896" t="str">
        <f>"Serv.Prest. 18/08/2025 a 24/08/2025 - RPS: 1155 - NFSe: 3389"</f>
        <v>Serv.Prest. 18/08/2025 a 24/08/2025 - RPS: 1155 - NFSe: 3389</v>
      </c>
      <c r="H4896" t="str">
        <f t="shared" si="2318"/>
        <v>27/08/2025</v>
      </c>
      <c r="I4896" t="str">
        <f t="shared" si="2320"/>
        <v>25/08/2025</v>
      </c>
      <c r="J4896" t="str">
        <f t="shared" si="2317"/>
        <v>27/08/2025</v>
      </c>
      <c r="M4896">
        <v>303</v>
      </c>
      <c r="N4896" t="str">
        <f t="shared" si="2313"/>
        <v>RECEITAS COM ENTREGAS</v>
      </c>
      <c r="P4896">
        <v>291.60000000000002</v>
      </c>
      <c r="Q4896" t="str">
        <f>"DROGARIA MEDIC CENTER LTDA (10172)"</f>
        <v>DROGARIA MEDIC CENTER LTDA (10172)</v>
      </c>
      <c r="R4896" t="str">
        <f t="shared" si="2314"/>
        <v>RECEITAS COM ENTREGAS (303)</v>
      </c>
      <c r="S4896">
        <v>2423</v>
      </c>
      <c r="T4896">
        <v>1948</v>
      </c>
      <c r="U4896" t="s">
        <v>19</v>
      </c>
    </row>
    <row r="4897" spans="1:21">
      <c r="A4897" t="str">
        <f t="shared" si="2316"/>
        <v>27/08/2025</v>
      </c>
      <c r="B4897" t="str">
        <f t="shared" si="2315"/>
        <v>ENTRADA</v>
      </c>
      <c r="C4897" t="str">
        <f t="shared" si="2312"/>
        <v>NFSE</v>
      </c>
      <c r="D4897" t="str">
        <f>"3390"</f>
        <v>3390</v>
      </c>
      <c r="E4897" t="str">
        <f t="shared" si="2307"/>
        <v>COM</v>
      </c>
      <c r="F4897" t="str">
        <f>"DROGARIA MORENO LTDA (10171)"</f>
        <v>DROGARIA MORENO LTDA (10171)</v>
      </c>
      <c r="G4897" t="str">
        <f>"Serv.Prest. 18/08/2025 a 24/08/2025 - RPS: 1156 - NFSe: 3390"</f>
        <v>Serv.Prest. 18/08/2025 a 24/08/2025 - RPS: 1156 - NFSe: 3390</v>
      </c>
      <c r="H4897" t="str">
        <f t="shared" si="2318"/>
        <v>27/08/2025</v>
      </c>
      <c r="I4897" t="str">
        <f t="shared" si="2320"/>
        <v>25/08/2025</v>
      </c>
      <c r="J4897" t="str">
        <f t="shared" si="2317"/>
        <v>27/08/2025</v>
      </c>
      <c r="K4897">
        <v>431.1</v>
      </c>
      <c r="L4897">
        <v>431.1</v>
      </c>
      <c r="M4897">
        <v>303</v>
      </c>
      <c r="N4897" t="str">
        <f t="shared" si="2313"/>
        <v>RECEITAS COM ENTREGAS</v>
      </c>
      <c r="O4897">
        <v>431.1</v>
      </c>
      <c r="R4897" t="str">
        <f t="shared" si="2314"/>
        <v>RECEITAS COM ENTREGAS (303)</v>
      </c>
      <c r="S4897">
        <v>2424</v>
      </c>
      <c r="T4897">
        <v>1949</v>
      </c>
      <c r="U4897" t="s">
        <v>19</v>
      </c>
    </row>
    <row r="4898" spans="1:21">
      <c r="A4898" t="str">
        <f t="shared" si="2316"/>
        <v>27/08/2025</v>
      </c>
      <c r="B4898" t="str">
        <f t="shared" si="2315"/>
        <v>ENTRADA</v>
      </c>
      <c r="C4898" t="str">
        <f t="shared" si="2312"/>
        <v>NFSE</v>
      </c>
      <c r="D4898" t="str">
        <f>"3390"</f>
        <v>3390</v>
      </c>
      <c r="E4898" t="str">
        <f t="shared" si="2307"/>
        <v>COM</v>
      </c>
      <c r="F4898" t="str">
        <f>"DROGARIA MORENO LTDA (10171)"</f>
        <v>DROGARIA MORENO LTDA (10171)</v>
      </c>
      <c r="G4898" t="str">
        <f>"Serv.Prest. 18/08/2025 a 24/08/2025 - RPS: 1156 - NFSe: 3390"</f>
        <v>Serv.Prest. 18/08/2025 a 24/08/2025 - RPS: 1156 - NFSe: 3390</v>
      </c>
      <c r="H4898" t="str">
        <f t="shared" si="2318"/>
        <v>27/08/2025</v>
      </c>
      <c r="I4898" t="str">
        <f t="shared" si="2320"/>
        <v>25/08/2025</v>
      </c>
      <c r="J4898" t="str">
        <f t="shared" si="2317"/>
        <v>27/08/2025</v>
      </c>
      <c r="M4898">
        <v>303</v>
      </c>
      <c r="N4898" t="str">
        <f t="shared" si="2313"/>
        <v>RECEITAS COM ENTREGAS</v>
      </c>
      <c r="P4898">
        <v>431.1</v>
      </c>
      <c r="Q4898" t="str">
        <f>"DROGARIA MORENO LTDA (10171)"</f>
        <v>DROGARIA MORENO LTDA (10171)</v>
      </c>
      <c r="R4898" t="str">
        <f t="shared" si="2314"/>
        <v>RECEITAS COM ENTREGAS (303)</v>
      </c>
      <c r="S4898">
        <v>2424</v>
      </c>
      <c r="T4898">
        <v>1949</v>
      </c>
      <c r="U4898" t="s">
        <v>19</v>
      </c>
    </row>
    <row r="4899" spans="1:21">
      <c r="A4899" t="str">
        <f t="shared" si="2316"/>
        <v>27/08/2025</v>
      </c>
      <c r="B4899" t="str">
        <f t="shared" si="2315"/>
        <v>ENTRADA</v>
      </c>
      <c r="C4899" t="str">
        <f t="shared" si="2312"/>
        <v>NFSE</v>
      </c>
      <c r="D4899" t="str">
        <f>"3391"</f>
        <v>3391</v>
      </c>
      <c r="E4899" t="str">
        <f t="shared" si="2307"/>
        <v>COM</v>
      </c>
      <c r="F4899" t="str">
        <f>"DROGARIA VAZ (10179)"</f>
        <v>DROGARIA VAZ (10179)</v>
      </c>
      <c r="G4899" t="str">
        <f>"Serv.Prest. 18/08/2025 a 24/08/2025 - RPS: 1157 - NFSe: 3391"</f>
        <v>Serv.Prest. 18/08/2025 a 24/08/2025 - RPS: 1157 - NFSe: 3391</v>
      </c>
      <c r="H4899" t="str">
        <f t="shared" si="2318"/>
        <v>27/08/2025</v>
      </c>
      <c r="I4899" t="str">
        <f t="shared" si="2320"/>
        <v>25/08/2025</v>
      </c>
      <c r="J4899" t="str">
        <f t="shared" si="2317"/>
        <v>27/08/2025</v>
      </c>
      <c r="K4899">
        <v>188.09</v>
      </c>
      <c r="L4899">
        <v>188.09</v>
      </c>
      <c r="M4899">
        <v>303</v>
      </c>
      <c r="N4899" t="str">
        <f t="shared" si="2313"/>
        <v>RECEITAS COM ENTREGAS</v>
      </c>
      <c r="O4899">
        <v>188.09</v>
      </c>
      <c r="R4899" t="str">
        <f t="shared" si="2314"/>
        <v>RECEITAS COM ENTREGAS (303)</v>
      </c>
      <c r="S4899">
        <v>2425</v>
      </c>
      <c r="T4899">
        <v>1950</v>
      </c>
      <c r="U4899" t="s">
        <v>19</v>
      </c>
    </row>
    <row r="4900" spans="1:21">
      <c r="A4900" t="str">
        <f t="shared" si="2316"/>
        <v>27/08/2025</v>
      </c>
      <c r="B4900" t="str">
        <f t="shared" si="2315"/>
        <v>ENTRADA</v>
      </c>
      <c r="C4900" t="str">
        <f t="shared" si="2312"/>
        <v>NFSE</v>
      </c>
      <c r="D4900" t="str">
        <f>"3391"</f>
        <v>3391</v>
      </c>
      <c r="E4900" t="str">
        <f t="shared" si="2307"/>
        <v>COM</v>
      </c>
      <c r="F4900" t="str">
        <f>"DROGARIA VAZ (10179)"</f>
        <v>DROGARIA VAZ (10179)</v>
      </c>
      <c r="G4900" t="str">
        <f>"Serv.Prest. 18/08/2025 a 24/08/2025 - RPS: 1157 - NFSe: 3391"</f>
        <v>Serv.Prest. 18/08/2025 a 24/08/2025 - RPS: 1157 - NFSe: 3391</v>
      </c>
      <c r="H4900" t="str">
        <f t="shared" si="2318"/>
        <v>27/08/2025</v>
      </c>
      <c r="I4900" t="str">
        <f t="shared" si="2320"/>
        <v>25/08/2025</v>
      </c>
      <c r="J4900" t="str">
        <f t="shared" si="2317"/>
        <v>27/08/2025</v>
      </c>
      <c r="M4900">
        <v>303</v>
      </c>
      <c r="N4900" t="str">
        <f t="shared" si="2313"/>
        <v>RECEITAS COM ENTREGAS</v>
      </c>
      <c r="P4900">
        <v>188.09</v>
      </c>
      <c r="Q4900" t="str">
        <f>"DROGARIA VAZ (10179)"</f>
        <v>DROGARIA VAZ (10179)</v>
      </c>
      <c r="R4900" t="str">
        <f t="shared" si="2314"/>
        <v>RECEITAS COM ENTREGAS (303)</v>
      </c>
      <c r="S4900">
        <v>2425</v>
      </c>
      <c r="T4900">
        <v>1950</v>
      </c>
      <c r="U4900" t="s">
        <v>19</v>
      </c>
    </row>
    <row r="4901" spans="1:21">
      <c r="A4901" t="str">
        <f t="shared" si="2316"/>
        <v>27/08/2025</v>
      </c>
      <c r="B4901" t="str">
        <f t="shared" si="2315"/>
        <v>ENTRADA</v>
      </c>
      <c r="C4901" t="str">
        <f t="shared" si="2312"/>
        <v>NFSE</v>
      </c>
      <c r="D4901" t="str">
        <f>"3394"</f>
        <v>3394</v>
      </c>
      <c r="E4901" t="str">
        <f t="shared" si="2307"/>
        <v>COM</v>
      </c>
      <c r="F4901" t="str">
        <f>"FRAN FARMA (10124)"</f>
        <v>FRAN FARMA (10124)</v>
      </c>
      <c r="G4901" t="str">
        <f>"Serv.Prest. 18/08/2025 a 24/08/2025 - RPS: 1160 - NFSe: 3394"</f>
        <v>Serv.Prest. 18/08/2025 a 24/08/2025 - RPS: 1160 - NFSe: 3394</v>
      </c>
      <c r="H4901" t="str">
        <f t="shared" si="2318"/>
        <v>27/08/2025</v>
      </c>
      <c r="I4901" t="str">
        <f t="shared" si="2320"/>
        <v>25/08/2025</v>
      </c>
      <c r="J4901" t="str">
        <f t="shared" si="2317"/>
        <v>27/08/2025</v>
      </c>
      <c r="K4901">
        <v>251.52</v>
      </c>
      <c r="L4901">
        <v>251.52</v>
      </c>
      <c r="M4901">
        <v>303</v>
      </c>
      <c r="N4901" t="str">
        <f t="shared" si="2313"/>
        <v>RECEITAS COM ENTREGAS</v>
      </c>
      <c r="O4901">
        <v>251.52</v>
      </c>
      <c r="R4901" t="str">
        <f t="shared" si="2314"/>
        <v>RECEITAS COM ENTREGAS (303)</v>
      </c>
      <c r="S4901">
        <v>2426</v>
      </c>
      <c r="T4901">
        <v>1953</v>
      </c>
      <c r="U4901" t="s">
        <v>19</v>
      </c>
    </row>
    <row r="4902" spans="1:21">
      <c r="A4902" t="str">
        <f t="shared" si="2316"/>
        <v>27/08/2025</v>
      </c>
      <c r="B4902" t="str">
        <f t="shared" si="2315"/>
        <v>ENTRADA</v>
      </c>
      <c r="C4902" t="str">
        <f t="shared" si="2312"/>
        <v>NFSE</v>
      </c>
      <c r="D4902" t="str">
        <f>"3394"</f>
        <v>3394</v>
      </c>
      <c r="E4902" t="str">
        <f t="shared" si="2307"/>
        <v>COM</v>
      </c>
      <c r="F4902" t="str">
        <f>"FRAN FARMA (10124)"</f>
        <v>FRAN FARMA (10124)</v>
      </c>
      <c r="G4902" t="str">
        <f>"Serv.Prest. 18/08/2025 a 24/08/2025 - RPS: 1160 - NFSe: 3394"</f>
        <v>Serv.Prest. 18/08/2025 a 24/08/2025 - RPS: 1160 - NFSe: 3394</v>
      </c>
      <c r="H4902" t="str">
        <f t="shared" si="2318"/>
        <v>27/08/2025</v>
      </c>
      <c r="I4902" t="str">
        <f t="shared" si="2320"/>
        <v>25/08/2025</v>
      </c>
      <c r="J4902" t="str">
        <f t="shared" si="2317"/>
        <v>27/08/2025</v>
      </c>
      <c r="M4902">
        <v>303</v>
      </c>
      <c r="N4902" t="str">
        <f t="shared" si="2313"/>
        <v>RECEITAS COM ENTREGAS</v>
      </c>
      <c r="P4902">
        <v>192.01</v>
      </c>
      <c r="Q4902" t="str">
        <f>"FRAN FARMA LJ 2 (10131)"</f>
        <v>FRAN FARMA LJ 2 (10131)</v>
      </c>
      <c r="R4902" t="str">
        <f t="shared" si="2314"/>
        <v>RECEITAS COM ENTREGAS (303)</v>
      </c>
      <c r="S4902">
        <v>2426</v>
      </c>
      <c r="T4902">
        <v>1953</v>
      </c>
      <c r="U4902" t="s">
        <v>19</v>
      </c>
    </row>
    <row r="4903" spans="1:21">
      <c r="A4903" t="str">
        <f t="shared" si="2316"/>
        <v>27/08/2025</v>
      </c>
      <c r="B4903" t="str">
        <f t="shared" si="2315"/>
        <v>ENTRADA</v>
      </c>
      <c r="C4903" t="str">
        <f t="shared" si="2312"/>
        <v>NFSE</v>
      </c>
      <c r="D4903" t="str">
        <f>"3394"</f>
        <v>3394</v>
      </c>
      <c r="E4903" t="str">
        <f t="shared" si="2307"/>
        <v>COM</v>
      </c>
      <c r="F4903" t="str">
        <f>"FRAN FARMA (10124)"</f>
        <v>FRAN FARMA (10124)</v>
      </c>
      <c r="G4903" t="str">
        <f>"Serv.Prest. 18/08/2025 a 24/08/2025 - RPS: 1160 - NFSe: 3394"</f>
        <v>Serv.Prest. 18/08/2025 a 24/08/2025 - RPS: 1160 - NFSe: 3394</v>
      </c>
      <c r="H4903" t="str">
        <f t="shared" si="2318"/>
        <v>27/08/2025</v>
      </c>
      <c r="I4903" t="str">
        <f t="shared" si="2320"/>
        <v>25/08/2025</v>
      </c>
      <c r="J4903" t="str">
        <f t="shared" si="2317"/>
        <v>27/08/2025</v>
      </c>
      <c r="M4903">
        <v>303</v>
      </c>
      <c r="N4903" t="str">
        <f t="shared" si="2313"/>
        <v>RECEITAS COM ENTREGAS</v>
      </c>
      <c r="P4903">
        <v>59.51</v>
      </c>
      <c r="Q4903" t="str">
        <f>"FRAN FARMA LJ 3 (10132)"</f>
        <v>FRAN FARMA LJ 3 (10132)</v>
      </c>
      <c r="R4903" t="str">
        <f t="shared" si="2314"/>
        <v>RECEITAS COM ENTREGAS (303)</v>
      </c>
      <c r="S4903">
        <v>2426</v>
      </c>
      <c r="T4903">
        <v>1953</v>
      </c>
      <c r="U4903" t="s">
        <v>19</v>
      </c>
    </row>
    <row r="4904" spans="1:21">
      <c r="A4904" t="str">
        <f t="shared" si="2316"/>
        <v>27/08/2025</v>
      </c>
      <c r="B4904" t="str">
        <f t="shared" si="2315"/>
        <v>ENTRADA</v>
      </c>
      <c r="C4904" t="str">
        <f t="shared" si="2312"/>
        <v>NFSE</v>
      </c>
      <c r="D4904" t="str">
        <f>"3395"</f>
        <v>3395</v>
      </c>
      <c r="E4904" t="str">
        <f t="shared" si="2307"/>
        <v>COM</v>
      </c>
      <c r="F4904" t="str">
        <f>"DROGA ELIDA (10121)"</f>
        <v>DROGA ELIDA (10121)</v>
      </c>
      <c r="G4904" t="str">
        <f>"Serv.Prest. 18/08/2025 a 24/08/2025 - RPS: 1161 - NFSe: 3395"</f>
        <v>Serv.Prest. 18/08/2025 a 24/08/2025 - RPS: 1161 - NFSe: 3395</v>
      </c>
      <c r="H4904" t="str">
        <f t="shared" si="2318"/>
        <v>27/08/2025</v>
      </c>
      <c r="I4904" t="str">
        <f t="shared" si="2320"/>
        <v>25/08/2025</v>
      </c>
      <c r="J4904" t="str">
        <f t="shared" si="2317"/>
        <v>27/08/2025</v>
      </c>
      <c r="K4904">
        <v>321.60000000000002</v>
      </c>
      <c r="L4904">
        <v>321.60000000000002</v>
      </c>
      <c r="M4904">
        <v>303</v>
      </c>
      <c r="N4904" t="str">
        <f t="shared" si="2313"/>
        <v>RECEITAS COM ENTREGAS</v>
      </c>
      <c r="O4904">
        <v>321.60000000000002</v>
      </c>
      <c r="R4904" t="str">
        <f t="shared" si="2314"/>
        <v>RECEITAS COM ENTREGAS (303)</v>
      </c>
      <c r="S4904">
        <v>2427</v>
      </c>
      <c r="T4904">
        <v>1954</v>
      </c>
      <c r="U4904" t="s">
        <v>19</v>
      </c>
    </row>
    <row r="4905" spans="1:21">
      <c r="A4905" t="str">
        <f t="shared" si="2316"/>
        <v>27/08/2025</v>
      </c>
      <c r="B4905" t="str">
        <f t="shared" si="2315"/>
        <v>ENTRADA</v>
      </c>
      <c r="C4905" t="str">
        <f t="shared" si="2312"/>
        <v>NFSE</v>
      </c>
      <c r="D4905" t="str">
        <f>"3395"</f>
        <v>3395</v>
      </c>
      <c r="E4905" t="str">
        <f t="shared" si="2307"/>
        <v>COM</v>
      </c>
      <c r="F4905" t="str">
        <f>"DROGA ELIDA (10121)"</f>
        <v>DROGA ELIDA (10121)</v>
      </c>
      <c r="G4905" t="str">
        <f>"Serv.Prest. 18/08/2025 a 24/08/2025 - RPS: 1161 - NFSe: 3395"</f>
        <v>Serv.Prest. 18/08/2025 a 24/08/2025 - RPS: 1161 - NFSe: 3395</v>
      </c>
      <c r="H4905" t="str">
        <f t="shared" si="2318"/>
        <v>27/08/2025</v>
      </c>
      <c r="I4905" t="str">
        <f t="shared" si="2320"/>
        <v>25/08/2025</v>
      </c>
      <c r="J4905" t="str">
        <f t="shared" si="2317"/>
        <v>27/08/2025</v>
      </c>
      <c r="M4905">
        <v>303</v>
      </c>
      <c r="N4905" t="str">
        <f t="shared" si="2313"/>
        <v>RECEITAS COM ENTREGAS</v>
      </c>
      <c r="P4905">
        <v>321.60000000000002</v>
      </c>
      <c r="Q4905" t="str">
        <f>"DROGA ELIDA (10121)"</f>
        <v>DROGA ELIDA (10121)</v>
      </c>
      <c r="R4905" t="str">
        <f t="shared" si="2314"/>
        <v>RECEITAS COM ENTREGAS (303)</v>
      </c>
      <c r="S4905">
        <v>2427</v>
      </c>
      <c r="T4905">
        <v>1954</v>
      </c>
      <c r="U4905" t="s">
        <v>19</v>
      </c>
    </row>
    <row r="4906" spans="1:21">
      <c r="A4906" t="str">
        <f t="shared" si="2316"/>
        <v>27/08/2025</v>
      </c>
      <c r="B4906" t="str">
        <f t="shared" si="2315"/>
        <v>ENTRADA</v>
      </c>
      <c r="C4906" t="str">
        <f t="shared" si="2312"/>
        <v>NFSE</v>
      </c>
      <c r="D4906" t="str">
        <f>"3399"</f>
        <v>3399</v>
      </c>
      <c r="E4906" t="str">
        <f t="shared" si="2307"/>
        <v>COM</v>
      </c>
      <c r="F4906" t="str">
        <f>"JAL FARMACIA E DROGARIA LJ 2 (10138)"</f>
        <v>JAL FARMACIA E DROGARIA LJ 2 (10138)</v>
      </c>
      <c r="G4906" t="str">
        <f>"Serv.Prest. 18/08/2025 a 24/08/2025 - RPS: 1165 - NFSe: 3399"</f>
        <v>Serv.Prest. 18/08/2025 a 24/08/2025 - RPS: 1165 - NFSe: 3399</v>
      </c>
      <c r="H4906" t="str">
        <f t="shared" si="2318"/>
        <v>27/08/2025</v>
      </c>
      <c r="I4906" t="str">
        <f>("26/08/2025")</f>
        <v>26/08/2025</v>
      </c>
      <c r="J4906" t="str">
        <f t="shared" si="2317"/>
        <v>27/08/2025</v>
      </c>
      <c r="K4906">
        <v>289.60000000000002</v>
      </c>
      <c r="L4906">
        <v>289.60000000000002</v>
      </c>
      <c r="M4906">
        <v>303</v>
      </c>
      <c r="N4906" t="str">
        <f t="shared" si="2313"/>
        <v>RECEITAS COM ENTREGAS</v>
      </c>
      <c r="O4906">
        <v>289.60000000000002</v>
      </c>
      <c r="R4906" t="str">
        <f t="shared" si="2314"/>
        <v>RECEITAS COM ENTREGAS (303)</v>
      </c>
      <c r="S4906">
        <v>2428</v>
      </c>
      <c r="T4906">
        <v>1958</v>
      </c>
      <c r="U4906" t="s">
        <v>19</v>
      </c>
    </row>
    <row r="4907" spans="1:21">
      <c r="A4907" t="str">
        <f t="shared" si="2316"/>
        <v>27/08/2025</v>
      </c>
      <c r="B4907" t="str">
        <f t="shared" si="2315"/>
        <v>ENTRADA</v>
      </c>
      <c r="C4907" t="str">
        <f t="shared" si="2312"/>
        <v>NFSE</v>
      </c>
      <c r="D4907" t="str">
        <f>"3399"</f>
        <v>3399</v>
      </c>
      <c r="E4907" t="str">
        <f t="shared" si="2307"/>
        <v>COM</v>
      </c>
      <c r="F4907" t="str">
        <f>"JAL FARMACIA E DROGARIA LJ 2 (10138)"</f>
        <v>JAL FARMACIA E DROGARIA LJ 2 (10138)</v>
      </c>
      <c r="G4907" t="str">
        <f>"Serv.Prest. 18/08/2025 a 24/08/2025 - RPS: 1165 - NFSe: 3399"</f>
        <v>Serv.Prest. 18/08/2025 a 24/08/2025 - RPS: 1165 - NFSe: 3399</v>
      </c>
      <c r="H4907" t="str">
        <f t="shared" si="2318"/>
        <v>27/08/2025</v>
      </c>
      <c r="I4907" t="str">
        <f>("26/08/2025")</f>
        <v>26/08/2025</v>
      </c>
      <c r="J4907" t="str">
        <f t="shared" si="2317"/>
        <v>27/08/2025</v>
      </c>
      <c r="M4907">
        <v>303</v>
      </c>
      <c r="N4907" t="str">
        <f t="shared" si="2313"/>
        <v>RECEITAS COM ENTREGAS</v>
      </c>
      <c r="P4907">
        <v>289.60000000000002</v>
      </c>
      <c r="Q4907" t="str">
        <f>"JAL FARMACIA E DROGARIA LJ 2 (10138)"</f>
        <v>JAL FARMACIA E DROGARIA LJ 2 (10138)</v>
      </c>
      <c r="R4907" t="str">
        <f t="shared" si="2314"/>
        <v>RECEITAS COM ENTREGAS (303)</v>
      </c>
      <c r="S4907">
        <v>2428</v>
      </c>
      <c r="T4907">
        <v>1958</v>
      </c>
      <c r="U4907" t="s">
        <v>19</v>
      </c>
    </row>
    <row r="4908" spans="1:21">
      <c r="A4908" t="str">
        <f t="shared" si="2316"/>
        <v>27/08/2025</v>
      </c>
      <c r="B4908" t="str">
        <f t="shared" ref="B4908:B4917" si="2321">"SAÍDA"</f>
        <v>SAÍDA</v>
      </c>
      <c r="C4908" t="str">
        <f t="shared" ref="C4908:C4917" si="2322">"CONHECIMENTO"</f>
        <v>CONHECIMENTO</v>
      </c>
      <c r="D4908" t="str">
        <f t="shared" ref="D4908:D4915" si="2323">"270825170"</f>
        <v>270825170</v>
      </c>
      <c r="E4908" t="str">
        <f t="shared" si="2307"/>
        <v>COM</v>
      </c>
      <c r="F4908" t="str">
        <f t="shared" ref="F4908:F4917" si="2324">"CORA SOCIEDADE DE CREDITO, FINANCIAMENTO E INVESTIMENTO (20035)"</f>
        <v>CORA SOCIEDADE DE CREDITO, FINANCIAMENTO E INVESTIMENTO (20035)</v>
      </c>
      <c r="G4908" t="str">
        <f t="shared" ref="G4908:G4915" si="2325">"TAXA BOLETO COMPENSADO"</f>
        <v>TAXA BOLETO COMPENSADO</v>
      </c>
      <c r="H4908" t="str">
        <f t="shared" si="2318"/>
        <v>27/08/2025</v>
      </c>
      <c r="I4908" t="str">
        <f t="shared" ref="I4908:I4917" si="2326">("27/08/2025")</f>
        <v>27/08/2025</v>
      </c>
      <c r="J4908" t="str">
        <f t="shared" si="2317"/>
        <v>27/08/2025</v>
      </c>
      <c r="K4908">
        <v>1.7</v>
      </c>
      <c r="L4908">
        <v>1.7</v>
      </c>
      <c r="M4908">
        <v>401</v>
      </c>
      <c r="N4908" t="str">
        <f t="shared" ref="N4908:N4917" si="2327">"IOF/JUROS/DESP.FINANCEIRA"</f>
        <v>IOF/JUROS/DESP.FINANCEIRA</v>
      </c>
      <c r="O4908">
        <v>1.7</v>
      </c>
      <c r="R4908" t="str">
        <f t="shared" ref="R4908:R4917" si="2328">"BANCO CORA (102)"</f>
        <v>BANCO CORA (102)</v>
      </c>
      <c r="S4908">
        <v>2447</v>
      </c>
      <c r="T4908">
        <v>1982</v>
      </c>
      <c r="U4908" t="s">
        <v>19</v>
      </c>
    </row>
    <row r="4909" spans="1:21">
      <c r="A4909" t="str">
        <f t="shared" si="2316"/>
        <v>27/08/2025</v>
      </c>
      <c r="B4909" t="str">
        <f t="shared" si="2321"/>
        <v>SAÍDA</v>
      </c>
      <c r="C4909" t="str">
        <f t="shared" si="2322"/>
        <v>CONHECIMENTO</v>
      </c>
      <c r="D4909" t="str">
        <f t="shared" si="2323"/>
        <v>270825170</v>
      </c>
      <c r="E4909" t="str">
        <f t="shared" si="2307"/>
        <v>COM</v>
      </c>
      <c r="F4909" t="str">
        <f t="shared" si="2324"/>
        <v>CORA SOCIEDADE DE CREDITO, FINANCIAMENTO E INVESTIMENTO (20035)</v>
      </c>
      <c r="G4909" t="str">
        <f t="shared" si="2325"/>
        <v>TAXA BOLETO COMPENSADO</v>
      </c>
      <c r="H4909" t="str">
        <f t="shared" si="2318"/>
        <v>27/08/2025</v>
      </c>
      <c r="I4909" t="str">
        <f t="shared" si="2326"/>
        <v>27/08/2025</v>
      </c>
      <c r="J4909" t="str">
        <f t="shared" si="2317"/>
        <v>27/08/2025</v>
      </c>
      <c r="K4909">
        <v>1.7</v>
      </c>
      <c r="L4909">
        <v>1.7</v>
      </c>
      <c r="M4909">
        <v>401</v>
      </c>
      <c r="N4909" t="str">
        <f t="shared" si="2327"/>
        <v>IOF/JUROS/DESP.FINANCEIRA</v>
      </c>
      <c r="O4909">
        <v>1.7</v>
      </c>
      <c r="R4909" t="str">
        <f t="shared" si="2328"/>
        <v>BANCO CORA (102)</v>
      </c>
      <c r="S4909">
        <v>2448</v>
      </c>
      <c r="T4909">
        <v>1983</v>
      </c>
      <c r="U4909" t="s">
        <v>19</v>
      </c>
    </row>
    <row r="4910" spans="1:21">
      <c r="A4910" t="str">
        <f t="shared" si="2316"/>
        <v>27/08/2025</v>
      </c>
      <c r="B4910" t="str">
        <f t="shared" si="2321"/>
        <v>SAÍDA</v>
      </c>
      <c r="C4910" t="str">
        <f t="shared" si="2322"/>
        <v>CONHECIMENTO</v>
      </c>
      <c r="D4910" t="str">
        <f t="shared" si="2323"/>
        <v>270825170</v>
      </c>
      <c r="E4910" t="str">
        <f t="shared" si="2307"/>
        <v>COM</v>
      </c>
      <c r="F4910" t="str">
        <f t="shared" si="2324"/>
        <v>CORA SOCIEDADE DE CREDITO, FINANCIAMENTO E INVESTIMENTO (20035)</v>
      </c>
      <c r="G4910" t="str">
        <f t="shared" si="2325"/>
        <v>TAXA BOLETO COMPENSADO</v>
      </c>
      <c r="H4910" t="str">
        <f t="shared" si="2318"/>
        <v>27/08/2025</v>
      </c>
      <c r="I4910" t="str">
        <f t="shared" si="2326"/>
        <v>27/08/2025</v>
      </c>
      <c r="J4910" t="str">
        <f t="shared" si="2317"/>
        <v>27/08/2025</v>
      </c>
      <c r="K4910">
        <v>1.7</v>
      </c>
      <c r="L4910">
        <v>1.7</v>
      </c>
      <c r="M4910">
        <v>401</v>
      </c>
      <c r="N4910" t="str">
        <f t="shared" si="2327"/>
        <v>IOF/JUROS/DESP.FINANCEIRA</v>
      </c>
      <c r="O4910">
        <v>1.7</v>
      </c>
      <c r="R4910" t="str">
        <f t="shared" si="2328"/>
        <v>BANCO CORA (102)</v>
      </c>
      <c r="S4910">
        <v>2449</v>
      </c>
      <c r="T4910">
        <v>1984</v>
      </c>
      <c r="U4910" t="s">
        <v>19</v>
      </c>
    </row>
    <row r="4911" spans="1:21">
      <c r="A4911" t="str">
        <f t="shared" si="2316"/>
        <v>27/08/2025</v>
      </c>
      <c r="B4911" t="str">
        <f t="shared" si="2321"/>
        <v>SAÍDA</v>
      </c>
      <c r="C4911" t="str">
        <f t="shared" si="2322"/>
        <v>CONHECIMENTO</v>
      </c>
      <c r="D4911" t="str">
        <f t="shared" si="2323"/>
        <v>270825170</v>
      </c>
      <c r="E4911" t="str">
        <f t="shared" ref="E4911:E4962" si="2329">"COM"</f>
        <v>COM</v>
      </c>
      <c r="F4911" t="str">
        <f t="shared" si="2324"/>
        <v>CORA SOCIEDADE DE CREDITO, FINANCIAMENTO E INVESTIMENTO (20035)</v>
      </c>
      <c r="G4911" t="str">
        <f t="shared" si="2325"/>
        <v>TAXA BOLETO COMPENSADO</v>
      </c>
      <c r="H4911" t="str">
        <f t="shared" si="2318"/>
        <v>27/08/2025</v>
      </c>
      <c r="I4911" t="str">
        <f t="shared" si="2326"/>
        <v>27/08/2025</v>
      </c>
      <c r="J4911" t="str">
        <f t="shared" si="2317"/>
        <v>27/08/2025</v>
      </c>
      <c r="K4911">
        <v>1.7</v>
      </c>
      <c r="L4911">
        <v>1.7</v>
      </c>
      <c r="M4911">
        <v>401</v>
      </c>
      <c r="N4911" t="str">
        <f t="shared" si="2327"/>
        <v>IOF/JUROS/DESP.FINANCEIRA</v>
      </c>
      <c r="O4911">
        <v>1.7</v>
      </c>
      <c r="R4911" t="str">
        <f t="shared" si="2328"/>
        <v>BANCO CORA (102)</v>
      </c>
      <c r="S4911">
        <v>2450</v>
      </c>
      <c r="T4911">
        <v>1985</v>
      </c>
      <c r="U4911" t="s">
        <v>19</v>
      </c>
    </row>
    <row r="4912" spans="1:21">
      <c r="A4912" t="str">
        <f t="shared" si="2316"/>
        <v>27/08/2025</v>
      </c>
      <c r="B4912" t="str">
        <f t="shared" si="2321"/>
        <v>SAÍDA</v>
      </c>
      <c r="C4912" t="str">
        <f t="shared" si="2322"/>
        <v>CONHECIMENTO</v>
      </c>
      <c r="D4912" t="str">
        <f t="shared" si="2323"/>
        <v>270825170</v>
      </c>
      <c r="E4912" t="str">
        <f t="shared" si="2329"/>
        <v>COM</v>
      </c>
      <c r="F4912" t="str">
        <f t="shared" si="2324"/>
        <v>CORA SOCIEDADE DE CREDITO, FINANCIAMENTO E INVESTIMENTO (20035)</v>
      </c>
      <c r="G4912" t="str">
        <f t="shared" si="2325"/>
        <v>TAXA BOLETO COMPENSADO</v>
      </c>
      <c r="H4912" t="str">
        <f t="shared" si="2318"/>
        <v>27/08/2025</v>
      </c>
      <c r="I4912" t="str">
        <f t="shared" si="2326"/>
        <v>27/08/2025</v>
      </c>
      <c r="J4912" t="str">
        <f t="shared" si="2317"/>
        <v>27/08/2025</v>
      </c>
      <c r="K4912">
        <v>1.7</v>
      </c>
      <c r="L4912">
        <v>1.7</v>
      </c>
      <c r="M4912">
        <v>401</v>
      </c>
      <c r="N4912" t="str">
        <f t="shared" si="2327"/>
        <v>IOF/JUROS/DESP.FINANCEIRA</v>
      </c>
      <c r="O4912">
        <v>1.7</v>
      </c>
      <c r="R4912" t="str">
        <f t="shared" si="2328"/>
        <v>BANCO CORA (102)</v>
      </c>
      <c r="S4912">
        <v>2451</v>
      </c>
      <c r="T4912">
        <v>1986</v>
      </c>
      <c r="U4912" t="s">
        <v>19</v>
      </c>
    </row>
    <row r="4913" spans="1:21">
      <c r="A4913" t="str">
        <f t="shared" si="2316"/>
        <v>27/08/2025</v>
      </c>
      <c r="B4913" t="str">
        <f t="shared" si="2321"/>
        <v>SAÍDA</v>
      </c>
      <c r="C4913" t="str">
        <f t="shared" si="2322"/>
        <v>CONHECIMENTO</v>
      </c>
      <c r="D4913" t="str">
        <f t="shared" si="2323"/>
        <v>270825170</v>
      </c>
      <c r="E4913" t="str">
        <f t="shared" si="2329"/>
        <v>COM</v>
      </c>
      <c r="F4913" t="str">
        <f t="shared" si="2324"/>
        <v>CORA SOCIEDADE DE CREDITO, FINANCIAMENTO E INVESTIMENTO (20035)</v>
      </c>
      <c r="G4913" t="str">
        <f t="shared" si="2325"/>
        <v>TAXA BOLETO COMPENSADO</v>
      </c>
      <c r="H4913" t="str">
        <f t="shared" si="2318"/>
        <v>27/08/2025</v>
      </c>
      <c r="I4913" t="str">
        <f t="shared" si="2326"/>
        <v>27/08/2025</v>
      </c>
      <c r="J4913" t="str">
        <f t="shared" si="2317"/>
        <v>27/08/2025</v>
      </c>
      <c r="K4913">
        <v>1.7</v>
      </c>
      <c r="L4913">
        <v>1.7</v>
      </c>
      <c r="M4913">
        <v>401</v>
      </c>
      <c r="N4913" t="str">
        <f t="shared" si="2327"/>
        <v>IOF/JUROS/DESP.FINANCEIRA</v>
      </c>
      <c r="O4913">
        <v>1.7</v>
      </c>
      <c r="R4913" t="str">
        <f t="shared" si="2328"/>
        <v>BANCO CORA (102)</v>
      </c>
      <c r="S4913">
        <v>2452</v>
      </c>
      <c r="T4913">
        <v>1987</v>
      </c>
      <c r="U4913" t="s">
        <v>19</v>
      </c>
    </row>
    <row r="4914" spans="1:21">
      <c r="A4914" t="str">
        <f t="shared" si="2316"/>
        <v>27/08/2025</v>
      </c>
      <c r="B4914" t="str">
        <f t="shared" si="2321"/>
        <v>SAÍDA</v>
      </c>
      <c r="C4914" t="str">
        <f t="shared" si="2322"/>
        <v>CONHECIMENTO</v>
      </c>
      <c r="D4914" t="str">
        <f t="shared" si="2323"/>
        <v>270825170</v>
      </c>
      <c r="E4914" t="str">
        <f t="shared" si="2329"/>
        <v>COM</v>
      </c>
      <c r="F4914" t="str">
        <f t="shared" si="2324"/>
        <v>CORA SOCIEDADE DE CREDITO, FINANCIAMENTO E INVESTIMENTO (20035)</v>
      </c>
      <c r="G4914" t="str">
        <f t="shared" si="2325"/>
        <v>TAXA BOLETO COMPENSADO</v>
      </c>
      <c r="H4914" t="str">
        <f t="shared" si="2318"/>
        <v>27/08/2025</v>
      </c>
      <c r="I4914" t="str">
        <f t="shared" si="2326"/>
        <v>27/08/2025</v>
      </c>
      <c r="J4914" t="str">
        <f t="shared" si="2317"/>
        <v>27/08/2025</v>
      </c>
      <c r="K4914">
        <v>1.7</v>
      </c>
      <c r="L4914">
        <v>1.7</v>
      </c>
      <c r="M4914">
        <v>401</v>
      </c>
      <c r="N4914" t="str">
        <f t="shared" si="2327"/>
        <v>IOF/JUROS/DESP.FINANCEIRA</v>
      </c>
      <c r="O4914">
        <v>1.7</v>
      </c>
      <c r="R4914" t="str">
        <f t="shared" si="2328"/>
        <v>BANCO CORA (102)</v>
      </c>
      <c r="S4914">
        <v>2453</v>
      </c>
      <c r="T4914">
        <v>1988</v>
      </c>
      <c r="U4914" t="s">
        <v>19</v>
      </c>
    </row>
    <row r="4915" spans="1:21">
      <c r="A4915" t="str">
        <f t="shared" si="2316"/>
        <v>27/08/2025</v>
      </c>
      <c r="B4915" t="str">
        <f t="shared" si="2321"/>
        <v>SAÍDA</v>
      </c>
      <c r="C4915" t="str">
        <f t="shared" si="2322"/>
        <v>CONHECIMENTO</v>
      </c>
      <c r="D4915" t="str">
        <f t="shared" si="2323"/>
        <v>270825170</v>
      </c>
      <c r="E4915" t="str">
        <f t="shared" si="2329"/>
        <v>COM</v>
      </c>
      <c r="F4915" t="str">
        <f t="shared" si="2324"/>
        <v>CORA SOCIEDADE DE CREDITO, FINANCIAMENTO E INVESTIMENTO (20035)</v>
      </c>
      <c r="G4915" t="str">
        <f t="shared" si="2325"/>
        <v>TAXA BOLETO COMPENSADO</v>
      </c>
      <c r="H4915" t="str">
        <f t="shared" si="2318"/>
        <v>27/08/2025</v>
      </c>
      <c r="I4915" t="str">
        <f t="shared" si="2326"/>
        <v>27/08/2025</v>
      </c>
      <c r="J4915" t="str">
        <f t="shared" si="2317"/>
        <v>27/08/2025</v>
      </c>
      <c r="K4915">
        <v>1.7</v>
      </c>
      <c r="L4915">
        <v>1.7</v>
      </c>
      <c r="M4915">
        <v>401</v>
      </c>
      <c r="N4915" t="str">
        <f t="shared" si="2327"/>
        <v>IOF/JUROS/DESP.FINANCEIRA</v>
      </c>
      <c r="O4915">
        <v>1.7</v>
      </c>
      <c r="R4915" t="str">
        <f t="shared" si="2328"/>
        <v>BANCO CORA (102)</v>
      </c>
      <c r="S4915">
        <v>2454</v>
      </c>
      <c r="T4915">
        <v>1989</v>
      </c>
      <c r="U4915" t="s">
        <v>19</v>
      </c>
    </row>
    <row r="4916" spans="1:21">
      <c r="A4916" t="str">
        <f t="shared" si="2316"/>
        <v>27/08/2025</v>
      </c>
      <c r="B4916" t="str">
        <f t="shared" si="2321"/>
        <v>SAÍDA</v>
      </c>
      <c r="C4916" t="str">
        <f t="shared" si="2322"/>
        <v>CONHECIMENTO</v>
      </c>
      <c r="D4916" t="str">
        <f>"270825050"</f>
        <v>270825050</v>
      </c>
      <c r="E4916" t="str">
        <f t="shared" si="2329"/>
        <v>COM</v>
      </c>
      <c r="F4916" t="str">
        <f t="shared" si="2324"/>
        <v>CORA SOCIEDADE DE CREDITO, FINANCIAMENTO E INVESTIMENTO (20035)</v>
      </c>
      <c r="G4916" t="str">
        <f>"TAXA DE PIX VIA API"</f>
        <v>TAXA DE PIX VIA API</v>
      </c>
      <c r="H4916" t="str">
        <f t="shared" si="2318"/>
        <v>27/08/2025</v>
      </c>
      <c r="I4916" t="str">
        <f t="shared" si="2326"/>
        <v>27/08/2025</v>
      </c>
      <c r="J4916" t="str">
        <f t="shared" si="2317"/>
        <v>27/08/2025</v>
      </c>
      <c r="K4916">
        <v>0.5</v>
      </c>
      <c r="L4916">
        <v>0.5</v>
      </c>
      <c r="M4916">
        <v>401</v>
      </c>
      <c r="N4916" t="str">
        <f t="shared" si="2327"/>
        <v>IOF/JUROS/DESP.FINANCEIRA</v>
      </c>
      <c r="O4916">
        <v>0.5</v>
      </c>
      <c r="R4916" t="str">
        <f t="shared" si="2328"/>
        <v>BANCO CORA (102)</v>
      </c>
      <c r="S4916">
        <v>2455</v>
      </c>
      <c r="T4916">
        <v>1990</v>
      </c>
      <c r="U4916" t="s">
        <v>19</v>
      </c>
    </row>
    <row r="4917" spans="1:21">
      <c r="A4917" t="str">
        <f t="shared" si="2316"/>
        <v>27/08/2025</v>
      </c>
      <c r="B4917" t="str">
        <f t="shared" si="2321"/>
        <v>SAÍDA</v>
      </c>
      <c r="C4917" t="str">
        <f t="shared" si="2322"/>
        <v>CONHECIMENTO</v>
      </c>
      <c r="D4917" t="str">
        <f>"270825050"</f>
        <v>270825050</v>
      </c>
      <c r="E4917" t="str">
        <f t="shared" si="2329"/>
        <v>COM</v>
      </c>
      <c r="F4917" t="str">
        <f t="shared" si="2324"/>
        <v>CORA SOCIEDADE DE CREDITO, FINANCIAMENTO E INVESTIMENTO (20035)</v>
      </c>
      <c r="G4917" t="str">
        <f>"TAXA DE PIX VIA API"</f>
        <v>TAXA DE PIX VIA API</v>
      </c>
      <c r="H4917" t="str">
        <f t="shared" si="2318"/>
        <v>27/08/2025</v>
      </c>
      <c r="I4917" t="str">
        <f t="shared" si="2326"/>
        <v>27/08/2025</v>
      </c>
      <c r="J4917" t="str">
        <f t="shared" si="2317"/>
        <v>27/08/2025</v>
      </c>
      <c r="K4917">
        <v>0.5</v>
      </c>
      <c r="L4917">
        <v>0.5</v>
      </c>
      <c r="M4917">
        <v>401</v>
      </c>
      <c r="N4917" t="str">
        <f t="shared" si="2327"/>
        <v>IOF/JUROS/DESP.FINANCEIRA</v>
      </c>
      <c r="O4917">
        <v>0.5</v>
      </c>
      <c r="R4917" t="str">
        <f t="shared" si="2328"/>
        <v>BANCO CORA (102)</v>
      </c>
      <c r="S4917">
        <v>2456</v>
      </c>
      <c r="T4917">
        <v>1991</v>
      </c>
      <c r="U4917" t="s">
        <v>19</v>
      </c>
    </row>
    <row r="4918" spans="1:21">
      <c r="A4918" t="str">
        <f t="shared" si="2316"/>
        <v>27/08/2025</v>
      </c>
      <c r="B4918" t="str">
        <f>"ENTRADA"</f>
        <v>ENTRADA</v>
      </c>
      <c r="C4918" t="str">
        <f>"NFSE"</f>
        <v>NFSE</v>
      </c>
      <c r="D4918" t="str">
        <f>"3376"</f>
        <v>3376</v>
      </c>
      <c r="E4918" t="str">
        <f t="shared" si="2329"/>
        <v>COM</v>
      </c>
      <c r="F4918" t="str">
        <f>"DROGARIA VAZ (10179)"</f>
        <v>DROGARIA VAZ (10179)</v>
      </c>
      <c r="G4918" t="str">
        <f>"Serv.Prest. 11/08/2025 a 17/08/2025 - RPS: 1142 - NFSe: 3376"</f>
        <v>Serv.Prest. 11/08/2025 a 17/08/2025 - RPS: 1142 - NFSe: 3376</v>
      </c>
      <c r="H4918" t="str">
        <f>("20/08/2025")</f>
        <v>20/08/2025</v>
      </c>
      <c r="I4918" t="str">
        <f>("19/08/2025")</f>
        <v>19/08/2025</v>
      </c>
      <c r="J4918" t="str">
        <f t="shared" si="2317"/>
        <v>27/08/2025</v>
      </c>
      <c r="K4918">
        <v>171.45</v>
      </c>
      <c r="L4918">
        <v>175.27</v>
      </c>
      <c r="M4918">
        <v>303</v>
      </c>
      <c r="N4918" t="str">
        <f>"RECEITAS COM ENTREGAS"</f>
        <v>RECEITAS COM ENTREGAS</v>
      </c>
      <c r="O4918">
        <v>175.27</v>
      </c>
      <c r="R4918" t="str">
        <f>"RECEITAS COM ENTREGAS (303)"</f>
        <v>RECEITAS COM ENTREGAS (303)</v>
      </c>
      <c r="S4918">
        <v>2471</v>
      </c>
      <c r="T4918">
        <v>1916</v>
      </c>
      <c r="U4918" t="s">
        <v>19</v>
      </c>
    </row>
    <row r="4919" spans="1:21">
      <c r="A4919" t="str">
        <f t="shared" si="2316"/>
        <v>27/08/2025</v>
      </c>
      <c r="B4919" t="str">
        <f>"ENTRADA"</f>
        <v>ENTRADA</v>
      </c>
      <c r="C4919" t="str">
        <f>"NFSE"</f>
        <v>NFSE</v>
      </c>
      <c r="D4919" t="str">
        <f>"3376"</f>
        <v>3376</v>
      </c>
      <c r="E4919" t="str">
        <f t="shared" si="2329"/>
        <v>COM</v>
      </c>
      <c r="F4919" t="str">
        <f>"DROGARIA VAZ (10179)"</f>
        <v>DROGARIA VAZ (10179)</v>
      </c>
      <c r="G4919" t="str">
        <f>"Serv.Prest. 11/08/2025 a 17/08/2025 - RPS: 1142 - NFSe: 3376"</f>
        <v>Serv.Prest. 11/08/2025 a 17/08/2025 - RPS: 1142 - NFSe: 3376</v>
      </c>
      <c r="H4919" t="str">
        <f>("20/08/2025")</f>
        <v>20/08/2025</v>
      </c>
      <c r="I4919" t="str">
        <f>("19/08/2025")</f>
        <v>19/08/2025</v>
      </c>
      <c r="J4919" t="str">
        <f t="shared" si="2317"/>
        <v>27/08/2025</v>
      </c>
      <c r="M4919">
        <v>303</v>
      </c>
      <c r="N4919" t="str">
        <f>"RECEITAS COM ENTREGAS"</f>
        <v>RECEITAS COM ENTREGAS</v>
      </c>
      <c r="P4919">
        <v>175.27</v>
      </c>
      <c r="Q4919" t="str">
        <f>"DROGARIA VAZ (10179)"</f>
        <v>DROGARIA VAZ (10179)</v>
      </c>
      <c r="R4919" t="str">
        <f>"RECEITAS COM ENTREGAS (303)"</f>
        <v>RECEITAS COM ENTREGAS (303)</v>
      </c>
      <c r="S4919">
        <v>2471</v>
      </c>
      <c r="T4919">
        <v>1916</v>
      </c>
      <c r="U4919" t="s">
        <v>19</v>
      </c>
    </row>
    <row r="4920" spans="1:21">
      <c r="A4920" t="str">
        <f t="shared" ref="A4920:A4958" si="2330">("28/08/2025")</f>
        <v>28/08/2025</v>
      </c>
      <c r="B4920" t="str">
        <f t="shared" ref="B4920:B4937" si="2331">"SAÍDA"</f>
        <v>SAÍDA</v>
      </c>
      <c r="C4920" t="str">
        <f t="shared" ref="C4920:C4937" si="2332">"CONHECIMENTO"</f>
        <v>CONHECIMENTO</v>
      </c>
      <c r="D4920" t="str">
        <f t="shared" ref="D4920:D4937" si="2333">"280825170"</f>
        <v>280825170</v>
      </c>
      <c r="E4920" t="str">
        <f t="shared" si="2329"/>
        <v>COM</v>
      </c>
      <c r="F4920" t="str">
        <f t="shared" ref="F4920:F4937" si="2334">"CORA SOCIEDADE DE CREDITO, FINANCIAMENTO E INVESTIMENTO (20035)"</f>
        <v>CORA SOCIEDADE DE CREDITO, FINANCIAMENTO E INVESTIMENTO (20035)</v>
      </c>
      <c r="G4920" t="str">
        <f t="shared" ref="G4920:G4937" si="2335">"TAXA BOLETO COMPENSADO"</f>
        <v>TAXA BOLETO COMPENSADO</v>
      </c>
      <c r="H4920" t="str">
        <f t="shared" ref="H4920:J4937" si="2336">("28/08/2025")</f>
        <v>28/08/2025</v>
      </c>
      <c r="I4920" t="str">
        <f t="shared" si="2336"/>
        <v>28/08/2025</v>
      </c>
      <c r="J4920" t="str">
        <f t="shared" si="2336"/>
        <v>28/08/2025</v>
      </c>
      <c r="K4920">
        <v>1.7</v>
      </c>
      <c r="L4920">
        <v>1.7</v>
      </c>
      <c r="M4920">
        <v>401</v>
      </c>
      <c r="N4920" t="str">
        <f t="shared" ref="N4920:N4937" si="2337">"IOF/JUROS/DESP.FINANCEIRA"</f>
        <v>IOF/JUROS/DESP.FINANCEIRA</v>
      </c>
      <c r="O4920">
        <v>1.7</v>
      </c>
      <c r="R4920" t="str">
        <f t="shared" ref="R4920:R4937" si="2338">"BANCO CORA (102)"</f>
        <v>BANCO CORA (102)</v>
      </c>
      <c r="S4920">
        <v>2480</v>
      </c>
      <c r="T4920">
        <v>2062</v>
      </c>
      <c r="U4920" t="s">
        <v>19</v>
      </c>
    </row>
    <row r="4921" spans="1:21">
      <c r="A4921" t="str">
        <f t="shared" si="2330"/>
        <v>28/08/2025</v>
      </c>
      <c r="B4921" t="str">
        <f t="shared" si="2331"/>
        <v>SAÍDA</v>
      </c>
      <c r="C4921" t="str">
        <f t="shared" si="2332"/>
        <v>CONHECIMENTO</v>
      </c>
      <c r="D4921" t="str">
        <f t="shared" si="2333"/>
        <v>280825170</v>
      </c>
      <c r="E4921" t="str">
        <f t="shared" si="2329"/>
        <v>COM</v>
      </c>
      <c r="F4921" t="str">
        <f t="shared" si="2334"/>
        <v>CORA SOCIEDADE DE CREDITO, FINANCIAMENTO E INVESTIMENTO (20035)</v>
      </c>
      <c r="G4921" t="str">
        <f t="shared" si="2335"/>
        <v>TAXA BOLETO COMPENSADO</v>
      </c>
      <c r="H4921" t="str">
        <f t="shared" si="2336"/>
        <v>28/08/2025</v>
      </c>
      <c r="I4921" t="str">
        <f t="shared" si="2336"/>
        <v>28/08/2025</v>
      </c>
      <c r="J4921" t="str">
        <f t="shared" si="2336"/>
        <v>28/08/2025</v>
      </c>
      <c r="M4921">
        <v>401</v>
      </c>
      <c r="N4921" t="str">
        <f t="shared" si="2337"/>
        <v>IOF/JUROS/DESP.FINANCEIRA</v>
      </c>
      <c r="P4921">
        <v>1.7</v>
      </c>
      <c r="Q4921" t="str">
        <f>"CORA SOCIEDADE DE CREDITO, FINANCIAMENTO E INVESTIMENTO (20035)"</f>
        <v>CORA SOCIEDADE DE CREDITO, FINANCIAMENTO E INVESTIMENTO (20035)</v>
      </c>
      <c r="R4921" t="str">
        <f t="shared" si="2338"/>
        <v>BANCO CORA (102)</v>
      </c>
      <c r="S4921">
        <v>2480</v>
      </c>
      <c r="T4921">
        <v>2062</v>
      </c>
      <c r="U4921" t="s">
        <v>19</v>
      </c>
    </row>
    <row r="4922" spans="1:21">
      <c r="A4922" t="str">
        <f t="shared" si="2330"/>
        <v>28/08/2025</v>
      </c>
      <c r="B4922" t="str">
        <f t="shared" si="2331"/>
        <v>SAÍDA</v>
      </c>
      <c r="C4922" t="str">
        <f t="shared" si="2332"/>
        <v>CONHECIMENTO</v>
      </c>
      <c r="D4922" t="str">
        <f t="shared" si="2333"/>
        <v>280825170</v>
      </c>
      <c r="E4922" t="str">
        <f t="shared" si="2329"/>
        <v>COM</v>
      </c>
      <c r="F4922" t="str">
        <f t="shared" si="2334"/>
        <v>CORA SOCIEDADE DE CREDITO, FINANCIAMENTO E INVESTIMENTO (20035)</v>
      </c>
      <c r="G4922" t="str">
        <f t="shared" si="2335"/>
        <v>TAXA BOLETO COMPENSADO</v>
      </c>
      <c r="H4922" t="str">
        <f t="shared" si="2336"/>
        <v>28/08/2025</v>
      </c>
      <c r="I4922" t="str">
        <f t="shared" si="2336"/>
        <v>28/08/2025</v>
      </c>
      <c r="J4922" t="str">
        <f t="shared" si="2336"/>
        <v>28/08/2025</v>
      </c>
      <c r="K4922">
        <v>1.7</v>
      </c>
      <c r="L4922">
        <v>1.7</v>
      </c>
      <c r="M4922">
        <v>401</v>
      </c>
      <c r="N4922" t="str">
        <f t="shared" si="2337"/>
        <v>IOF/JUROS/DESP.FINANCEIRA</v>
      </c>
      <c r="O4922">
        <v>1.7</v>
      </c>
      <c r="R4922" t="str">
        <f t="shared" si="2338"/>
        <v>BANCO CORA (102)</v>
      </c>
      <c r="S4922">
        <v>2481</v>
      </c>
      <c r="T4922">
        <v>2064</v>
      </c>
      <c r="U4922" t="s">
        <v>19</v>
      </c>
    </row>
    <row r="4923" spans="1:21">
      <c r="A4923" t="str">
        <f t="shared" si="2330"/>
        <v>28/08/2025</v>
      </c>
      <c r="B4923" t="str">
        <f t="shared" si="2331"/>
        <v>SAÍDA</v>
      </c>
      <c r="C4923" t="str">
        <f t="shared" si="2332"/>
        <v>CONHECIMENTO</v>
      </c>
      <c r="D4923" t="str">
        <f t="shared" si="2333"/>
        <v>280825170</v>
      </c>
      <c r="E4923" t="str">
        <f t="shared" si="2329"/>
        <v>COM</v>
      </c>
      <c r="F4923" t="str">
        <f t="shared" si="2334"/>
        <v>CORA SOCIEDADE DE CREDITO, FINANCIAMENTO E INVESTIMENTO (20035)</v>
      </c>
      <c r="G4923" t="str">
        <f t="shared" si="2335"/>
        <v>TAXA BOLETO COMPENSADO</v>
      </c>
      <c r="H4923" t="str">
        <f t="shared" si="2336"/>
        <v>28/08/2025</v>
      </c>
      <c r="I4923" t="str">
        <f t="shared" si="2336"/>
        <v>28/08/2025</v>
      </c>
      <c r="J4923" t="str">
        <f t="shared" si="2336"/>
        <v>28/08/2025</v>
      </c>
      <c r="M4923">
        <v>401</v>
      </c>
      <c r="N4923" t="str">
        <f t="shared" si="2337"/>
        <v>IOF/JUROS/DESP.FINANCEIRA</v>
      </c>
      <c r="P4923">
        <v>1.7</v>
      </c>
      <c r="Q4923" t="str">
        <f>"CORA SOCIEDADE DE CREDITO, FINANCIAMENTO E INVESTIMENTO (20035)"</f>
        <v>CORA SOCIEDADE DE CREDITO, FINANCIAMENTO E INVESTIMENTO (20035)</v>
      </c>
      <c r="R4923" t="str">
        <f t="shared" si="2338"/>
        <v>BANCO CORA (102)</v>
      </c>
      <c r="S4923">
        <v>2481</v>
      </c>
      <c r="T4923">
        <v>2064</v>
      </c>
      <c r="U4923" t="s">
        <v>19</v>
      </c>
    </row>
    <row r="4924" spans="1:21">
      <c r="A4924" t="str">
        <f t="shared" si="2330"/>
        <v>28/08/2025</v>
      </c>
      <c r="B4924" t="str">
        <f t="shared" si="2331"/>
        <v>SAÍDA</v>
      </c>
      <c r="C4924" t="str">
        <f t="shared" si="2332"/>
        <v>CONHECIMENTO</v>
      </c>
      <c r="D4924" t="str">
        <f t="shared" si="2333"/>
        <v>280825170</v>
      </c>
      <c r="E4924" t="str">
        <f t="shared" si="2329"/>
        <v>COM</v>
      </c>
      <c r="F4924" t="str">
        <f t="shared" si="2334"/>
        <v>CORA SOCIEDADE DE CREDITO, FINANCIAMENTO E INVESTIMENTO (20035)</v>
      </c>
      <c r="G4924" t="str">
        <f t="shared" si="2335"/>
        <v>TAXA BOLETO COMPENSADO</v>
      </c>
      <c r="H4924" t="str">
        <f t="shared" si="2336"/>
        <v>28/08/2025</v>
      </c>
      <c r="I4924" t="str">
        <f t="shared" si="2336"/>
        <v>28/08/2025</v>
      </c>
      <c r="J4924" t="str">
        <f t="shared" si="2336"/>
        <v>28/08/2025</v>
      </c>
      <c r="K4924">
        <v>1.7</v>
      </c>
      <c r="L4924">
        <v>1.7</v>
      </c>
      <c r="M4924">
        <v>401</v>
      </c>
      <c r="N4924" t="str">
        <f t="shared" si="2337"/>
        <v>IOF/JUROS/DESP.FINANCEIRA</v>
      </c>
      <c r="O4924">
        <v>1.7</v>
      </c>
      <c r="R4924" t="str">
        <f t="shared" si="2338"/>
        <v>BANCO CORA (102)</v>
      </c>
      <c r="S4924">
        <v>2482</v>
      </c>
      <c r="T4924">
        <v>2065</v>
      </c>
      <c r="U4924" t="s">
        <v>19</v>
      </c>
    </row>
    <row r="4925" spans="1:21">
      <c r="A4925" t="str">
        <f t="shared" si="2330"/>
        <v>28/08/2025</v>
      </c>
      <c r="B4925" t="str">
        <f t="shared" si="2331"/>
        <v>SAÍDA</v>
      </c>
      <c r="C4925" t="str">
        <f t="shared" si="2332"/>
        <v>CONHECIMENTO</v>
      </c>
      <c r="D4925" t="str">
        <f t="shared" si="2333"/>
        <v>280825170</v>
      </c>
      <c r="E4925" t="str">
        <f t="shared" si="2329"/>
        <v>COM</v>
      </c>
      <c r="F4925" t="str">
        <f t="shared" si="2334"/>
        <v>CORA SOCIEDADE DE CREDITO, FINANCIAMENTO E INVESTIMENTO (20035)</v>
      </c>
      <c r="G4925" t="str">
        <f t="shared" si="2335"/>
        <v>TAXA BOLETO COMPENSADO</v>
      </c>
      <c r="H4925" t="str">
        <f t="shared" si="2336"/>
        <v>28/08/2025</v>
      </c>
      <c r="I4925" t="str">
        <f t="shared" si="2336"/>
        <v>28/08/2025</v>
      </c>
      <c r="J4925" t="str">
        <f t="shared" si="2336"/>
        <v>28/08/2025</v>
      </c>
      <c r="M4925">
        <v>401</v>
      </c>
      <c r="N4925" t="str">
        <f t="shared" si="2337"/>
        <v>IOF/JUROS/DESP.FINANCEIRA</v>
      </c>
      <c r="P4925">
        <v>1.7</v>
      </c>
      <c r="Q4925" t="str">
        <f>"CORA SOCIEDADE DE CREDITO, FINANCIAMENTO E INVESTIMENTO (20035)"</f>
        <v>CORA SOCIEDADE DE CREDITO, FINANCIAMENTO E INVESTIMENTO (20035)</v>
      </c>
      <c r="R4925" t="str">
        <f t="shared" si="2338"/>
        <v>BANCO CORA (102)</v>
      </c>
      <c r="S4925">
        <v>2482</v>
      </c>
      <c r="T4925">
        <v>2065</v>
      </c>
      <c r="U4925" t="s">
        <v>19</v>
      </c>
    </row>
    <row r="4926" spans="1:21">
      <c r="A4926" t="str">
        <f t="shared" si="2330"/>
        <v>28/08/2025</v>
      </c>
      <c r="B4926" t="str">
        <f t="shared" si="2331"/>
        <v>SAÍDA</v>
      </c>
      <c r="C4926" t="str">
        <f t="shared" si="2332"/>
        <v>CONHECIMENTO</v>
      </c>
      <c r="D4926" t="str">
        <f t="shared" si="2333"/>
        <v>280825170</v>
      </c>
      <c r="E4926" t="str">
        <f t="shared" si="2329"/>
        <v>COM</v>
      </c>
      <c r="F4926" t="str">
        <f t="shared" si="2334"/>
        <v>CORA SOCIEDADE DE CREDITO, FINANCIAMENTO E INVESTIMENTO (20035)</v>
      </c>
      <c r="G4926" t="str">
        <f t="shared" si="2335"/>
        <v>TAXA BOLETO COMPENSADO</v>
      </c>
      <c r="H4926" t="str">
        <f t="shared" si="2336"/>
        <v>28/08/2025</v>
      </c>
      <c r="I4926" t="str">
        <f t="shared" si="2336"/>
        <v>28/08/2025</v>
      </c>
      <c r="J4926" t="str">
        <f t="shared" si="2336"/>
        <v>28/08/2025</v>
      </c>
      <c r="K4926">
        <v>1.7</v>
      </c>
      <c r="L4926">
        <v>1.7</v>
      </c>
      <c r="M4926">
        <v>401</v>
      </c>
      <c r="N4926" t="str">
        <f t="shared" si="2337"/>
        <v>IOF/JUROS/DESP.FINANCEIRA</v>
      </c>
      <c r="O4926">
        <v>1.7</v>
      </c>
      <c r="R4926" t="str">
        <f t="shared" si="2338"/>
        <v>BANCO CORA (102)</v>
      </c>
      <c r="S4926">
        <v>2483</v>
      </c>
      <c r="T4926">
        <v>2066</v>
      </c>
      <c r="U4926" t="s">
        <v>19</v>
      </c>
    </row>
    <row r="4927" spans="1:21">
      <c r="A4927" t="str">
        <f t="shared" si="2330"/>
        <v>28/08/2025</v>
      </c>
      <c r="B4927" t="str">
        <f t="shared" si="2331"/>
        <v>SAÍDA</v>
      </c>
      <c r="C4927" t="str">
        <f t="shared" si="2332"/>
        <v>CONHECIMENTO</v>
      </c>
      <c r="D4927" t="str">
        <f t="shared" si="2333"/>
        <v>280825170</v>
      </c>
      <c r="E4927" t="str">
        <f t="shared" si="2329"/>
        <v>COM</v>
      </c>
      <c r="F4927" t="str">
        <f t="shared" si="2334"/>
        <v>CORA SOCIEDADE DE CREDITO, FINANCIAMENTO E INVESTIMENTO (20035)</v>
      </c>
      <c r="G4927" t="str">
        <f t="shared" si="2335"/>
        <v>TAXA BOLETO COMPENSADO</v>
      </c>
      <c r="H4927" t="str">
        <f t="shared" si="2336"/>
        <v>28/08/2025</v>
      </c>
      <c r="I4927" t="str">
        <f t="shared" si="2336"/>
        <v>28/08/2025</v>
      </c>
      <c r="J4927" t="str">
        <f t="shared" si="2336"/>
        <v>28/08/2025</v>
      </c>
      <c r="M4927">
        <v>401</v>
      </c>
      <c r="N4927" t="str">
        <f t="shared" si="2337"/>
        <v>IOF/JUROS/DESP.FINANCEIRA</v>
      </c>
      <c r="P4927">
        <v>1.7</v>
      </c>
      <c r="Q4927" t="str">
        <f>"CORA SOCIEDADE DE CREDITO, FINANCIAMENTO E INVESTIMENTO (20035)"</f>
        <v>CORA SOCIEDADE DE CREDITO, FINANCIAMENTO E INVESTIMENTO (20035)</v>
      </c>
      <c r="R4927" t="str">
        <f t="shared" si="2338"/>
        <v>BANCO CORA (102)</v>
      </c>
      <c r="S4927">
        <v>2483</v>
      </c>
      <c r="T4927">
        <v>2066</v>
      </c>
      <c r="U4927" t="s">
        <v>19</v>
      </c>
    </row>
    <row r="4928" spans="1:21">
      <c r="A4928" t="str">
        <f t="shared" si="2330"/>
        <v>28/08/2025</v>
      </c>
      <c r="B4928" t="str">
        <f t="shared" si="2331"/>
        <v>SAÍDA</v>
      </c>
      <c r="C4928" t="str">
        <f t="shared" si="2332"/>
        <v>CONHECIMENTO</v>
      </c>
      <c r="D4928" t="str">
        <f t="shared" si="2333"/>
        <v>280825170</v>
      </c>
      <c r="E4928" t="str">
        <f t="shared" si="2329"/>
        <v>COM</v>
      </c>
      <c r="F4928" t="str">
        <f t="shared" si="2334"/>
        <v>CORA SOCIEDADE DE CREDITO, FINANCIAMENTO E INVESTIMENTO (20035)</v>
      </c>
      <c r="G4928" t="str">
        <f t="shared" si="2335"/>
        <v>TAXA BOLETO COMPENSADO</v>
      </c>
      <c r="H4928" t="str">
        <f t="shared" si="2336"/>
        <v>28/08/2025</v>
      </c>
      <c r="I4928" t="str">
        <f t="shared" si="2336"/>
        <v>28/08/2025</v>
      </c>
      <c r="J4928" t="str">
        <f t="shared" si="2336"/>
        <v>28/08/2025</v>
      </c>
      <c r="K4928">
        <v>1.7</v>
      </c>
      <c r="L4928">
        <v>1.7</v>
      </c>
      <c r="M4928">
        <v>401</v>
      </c>
      <c r="N4928" t="str">
        <f t="shared" si="2337"/>
        <v>IOF/JUROS/DESP.FINANCEIRA</v>
      </c>
      <c r="O4928">
        <v>1.7</v>
      </c>
      <c r="R4928" t="str">
        <f t="shared" si="2338"/>
        <v>BANCO CORA (102)</v>
      </c>
      <c r="S4928">
        <v>2484</v>
      </c>
      <c r="T4928">
        <v>2067</v>
      </c>
      <c r="U4928" t="s">
        <v>19</v>
      </c>
    </row>
    <row r="4929" spans="1:21">
      <c r="A4929" t="str">
        <f t="shared" si="2330"/>
        <v>28/08/2025</v>
      </c>
      <c r="B4929" t="str">
        <f t="shared" si="2331"/>
        <v>SAÍDA</v>
      </c>
      <c r="C4929" t="str">
        <f t="shared" si="2332"/>
        <v>CONHECIMENTO</v>
      </c>
      <c r="D4929" t="str">
        <f t="shared" si="2333"/>
        <v>280825170</v>
      </c>
      <c r="E4929" t="str">
        <f t="shared" si="2329"/>
        <v>COM</v>
      </c>
      <c r="F4929" t="str">
        <f t="shared" si="2334"/>
        <v>CORA SOCIEDADE DE CREDITO, FINANCIAMENTO E INVESTIMENTO (20035)</v>
      </c>
      <c r="G4929" t="str">
        <f t="shared" si="2335"/>
        <v>TAXA BOLETO COMPENSADO</v>
      </c>
      <c r="H4929" t="str">
        <f t="shared" si="2336"/>
        <v>28/08/2025</v>
      </c>
      <c r="I4929" t="str">
        <f t="shared" si="2336"/>
        <v>28/08/2025</v>
      </c>
      <c r="J4929" t="str">
        <f t="shared" si="2336"/>
        <v>28/08/2025</v>
      </c>
      <c r="M4929">
        <v>401</v>
      </c>
      <c r="N4929" t="str">
        <f t="shared" si="2337"/>
        <v>IOF/JUROS/DESP.FINANCEIRA</v>
      </c>
      <c r="P4929">
        <v>1.7</v>
      </c>
      <c r="Q4929" t="str">
        <f>"CORA SOCIEDADE DE CREDITO, FINANCIAMENTO E INVESTIMENTO (20035)"</f>
        <v>CORA SOCIEDADE DE CREDITO, FINANCIAMENTO E INVESTIMENTO (20035)</v>
      </c>
      <c r="R4929" t="str">
        <f t="shared" si="2338"/>
        <v>BANCO CORA (102)</v>
      </c>
      <c r="S4929">
        <v>2484</v>
      </c>
      <c r="T4929">
        <v>2067</v>
      </c>
      <c r="U4929" t="s">
        <v>19</v>
      </c>
    </row>
    <row r="4930" spans="1:21">
      <c r="A4930" t="str">
        <f t="shared" si="2330"/>
        <v>28/08/2025</v>
      </c>
      <c r="B4930" t="str">
        <f t="shared" si="2331"/>
        <v>SAÍDA</v>
      </c>
      <c r="C4930" t="str">
        <f t="shared" si="2332"/>
        <v>CONHECIMENTO</v>
      </c>
      <c r="D4930" t="str">
        <f t="shared" si="2333"/>
        <v>280825170</v>
      </c>
      <c r="E4930" t="str">
        <f t="shared" si="2329"/>
        <v>COM</v>
      </c>
      <c r="F4930" t="str">
        <f t="shared" si="2334"/>
        <v>CORA SOCIEDADE DE CREDITO, FINANCIAMENTO E INVESTIMENTO (20035)</v>
      </c>
      <c r="G4930" t="str">
        <f t="shared" si="2335"/>
        <v>TAXA BOLETO COMPENSADO</v>
      </c>
      <c r="H4930" t="str">
        <f t="shared" si="2336"/>
        <v>28/08/2025</v>
      </c>
      <c r="I4930" t="str">
        <f t="shared" si="2336"/>
        <v>28/08/2025</v>
      </c>
      <c r="J4930" t="str">
        <f t="shared" si="2336"/>
        <v>28/08/2025</v>
      </c>
      <c r="K4930">
        <v>1.7</v>
      </c>
      <c r="L4930">
        <v>1.7</v>
      </c>
      <c r="M4930">
        <v>401</v>
      </c>
      <c r="N4930" t="str">
        <f t="shared" si="2337"/>
        <v>IOF/JUROS/DESP.FINANCEIRA</v>
      </c>
      <c r="O4930">
        <v>1.7</v>
      </c>
      <c r="R4930" t="str">
        <f t="shared" si="2338"/>
        <v>BANCO CORA (102)</v>
      </c>
      <c r="S4930">
        <v>2485</v>
      </c>
      <c r="T4930">
        <v>2068</v>
      </c>
      <c r="U4930" t="s">
        <v>19</v>
      </c>
    </row>
    <row r="4931" spans="1:21">
      <c r="A4931" t="str">
        <f t="shared" si="2330"/>
        <v>28/08/2025</v>
      </c>
      <c r="B4931" t="str">
        <f t="shared" si="2331"/>
        <v>SAÍDA</v>
      </c>
      <c r="C4931" t="str">
        <f t="shared" si="2332"/>
        <v>CONHECIMENTO</v>
      </c>
      <c r="D4931" t="str">
        <f t="shared" si="2333"/>
        <v>280825170</v>
      </c>
      <c r="E4931" t="str">
        <f t="shared" si="2329"/>
        <v>COM</v>
      </c>
      <c r="F4931" t="str">
        <f t="shared" si="2334"/>
        <v>CORA SOCIEDADE DE CREDITO, FINANCIAMENTO E INVESTIMENTO (20035)</v>
      </c>
      <c r="G4931" t="str">
        <f t="shared" si="2335"/>
        <v>TAXA BOLETO COMPENSADO</v>
      </c>
      <c r="H4931" t="str">
        <f t="shared" si="2336"/>
        <v>28/08/2025</v>
      </c>
      <c r="I4931" t="str">
        <f t="shared" si="2336"/>
        <v>28/08/2025</v>
      </c>
      <c r="J4931" t="str">
        <f t="shared" si="2336"/>
        <v>28/08/2025</v>
      </c>
      <c r="M4931">
        <v>401</v>
      </c>
      <c r="N4931" t="str">
        <f t="shared" si="2337"/>
        <v>IOF/JUROS/DESP.FINANCEIRA</v>
      </c>
      <c r="P4931">
        <v>1.7</v>
      </c>
      <c r="Q4931" t="str">
        <f>"CORA SOCIEDADE DE CREDITO, FINANCIAMENTO E INVESTIMENTO (20035)"</f>
        <v>CORA SOCIEDADE DE CREDITO, FINANCIAMENTO E INVESTIMENTO (20035)</v>
      </c>
      <c r="R4931" t="str">
        <f t="shared" si="2338"/>
        <v>BANCO CORA (102)</v>
      </c>
      <c r="S4931">
        <v>2485</v>
      </c>
      <c r="T4931">
        <v>2068</v>
      </c>
      <c r="U4931" t="s">
        <v>19</v>
      </c>
    </row>
    <row r="4932" spans="1:21">
      <c r="A4932" t="str">
        <f t="shared" si="2330"/>
        <v>28/08/2025</v>
      </c>
      <c r="B4932" t="str">
        <f t="shared" si="2331"/>
        <v>SAÍDA</v>
      </c>
      <c r="C4932" t="str">
        <f t="shared" si="2332"/>
        <v>CONHECIMENTO</v>
      </c>
      <c r="D4932" t="str">
        <f t="shared" si="2333"/>
        <v>280825170</v>
      </c>
      <c r="E4932" t="str">
        <f t="shared" si="2329"/>
        <v>COM</v>
      </c>
      <c r="F4932" t="str">
        <f t="shared" si="2334"/>
        <v>CORA SOCIEDADE DE CREDITO, FINANCIAMENTO E INVESTIMENTO (20035)</v>
      </c>
      <c r="G4932" t="str">
        <f t="shared" si="2335"/>
        <v>TAXA BOLETO COMPENSADO</v>
      </c>
      <c r="H4932" t="str">
        <f t="shared" si="2336"/>
        <v>28/08/2025</v>
      </c>
      <c r="I4932" t="str">
        <f t="shared" si="2336"/>
        <v>28/08/2025</v>
      </c>
      <c r="J4932" t="str">
        <f t="shared" si="2336"/>
        <v>28/08/2025</v>
      </c>
      <c r="K4932">
        <v>1.7</v>
      </c>
      <c r="L4932">
        <v>1.7</v>
      </c>
      <c r="M4932">
        <v>401</v>
      </c>
      <c r="N4932" t="str">
        <f t="shared" si="2337"/>
        <v>IOF/JUROS/DESP.FINANCEIRA</v>
      </c>
      <c r="O4932">
        <v>1.7</v>
      </c>
      <c r="R4932" t="str">
        <f t="shared" si="2338"/>
        <v>BANCO CORA (102)</v>
      </c>
      <c r="S4932">
        <v>2486</v>
      </c>
      <c r="T4932">
        <v>2069</v>
      </c>
      <c r="U4932" t="s">
        <v>19</v>
      </c>
    </row>
    <row r="4933" spans="1:21">
      <c r="A4933" t="str">
        <f t="shared" si="2330"/>
        <v>28/08/2025</v>
      </c>
      <c r="B4933" t="str">
        <f t="shared" si="2331"/>
        <v>SAÍDA</v>
      </c>
      <c r="C4933" t="str">
        <f t="shared" si="2332"/>
        <v>CONHECIMENTO</v>
      </c>
      <c r="D4933" t="str">
        <f t="shared" si="2333"/>
        <v>280825170</v>
      </c>
      <c r="E4933" t="str">
        <f t="shared" si="2329"/>
        <v>COM</v>
      </c>
      <c r="F4933" t="str">
        <f t="shared" si="2334"/>
        <v>CORA SOCIEDADE DE CREDITO, FINANCIAMENTO E INVESTIMENTO (20035)</v>
      </c>
      <c r="G4933" t="str">
        <f t="shared" si="2335"/>
        <v>TAXA BOLETO COMPENSADO</v>
      </c>
      <c r="H4933" t="str">
        <f t="shared" si="2336"/>
        <v>28/08/2025</v>
      </c>
      <c r="I4933" t="str">
        <f t="shared" si="2336"/>
        <v>28/08/2025</v>
      </c>
      <c r="J4933" t="str">
        <f t="shared" si="2336"/>
        <v>28/08/2025</v>
      </c>
      <c r="M4933">
        <v>401</v>
      </c>
      <c r="N4933" t="str">
        <f t="shared" si="2337"/>
        <v>IOF/JUROS/DESP.FINANCEIRA</v>
      </c>
      <c r="P4933">
        <v>1.7</v>
      </c>
      <c r="Q4933" t="str">
        <f>"CORA SOCIEDADE DE CREDITO, FINANCIAMENTO E INVESTIMENTO (20035)"</f>
        <v>CORA SOCIEDADE DE CREDITO, FINANCIAMENTO E INVESTIMENTO (20035)</v>
      </c>
      <c r="R4933" t="str">
        <f t="shared" si="2338"/>
        <v>BANCO CORA (102)</v>
      </c>
      <c r="S4933">
        <v>2486</v>
      </c>
      <c r="T4933">
        <v>2069</v>
      </c>
      <c r="U4933" t="s">
        <v>19</v>
      </c>
    </row>
    <row r="4934" spans="1:21">
      <c r="A4934" t="str">
        <f t="shared" si="2330"/>
        <v>28/08/2025</v>
      </c>
      <c r="B4934" t="str">
        <f t="shared" si="2331"/>
        <v>SAÍDA</v>
      </c>
      <c r="C4934" t="str">
        <f t="shared" si="2332"/>
        <v>CONHECIMENTO</v>
      </c>
      <c r="D4934" t="str">
        <f t="shared" si="2333"/>
        <v>280825170</v>
      </c>
      <c r="E4934" t="str">
        <f t="shared" si="2329"/>
        <v>COM</v>
      </c>
      <c r="F4934" t="str">
        <f t="shared" si="2334"/>
        <v>CORA SOCIEDADE DE CREDITO, FINANCIAMENTO E INVESTIMENTO (20035)</v>
      </c>
      <c r="G4934" t="str">
        <f t="shared" si="2335"/>
        <v>TAXA BOLETO COMPENSADO</v>
      </c>
      <c r="H4934" t="str">
        <f t="shared" si="2336"/>
        <v>28/08/2025</v>
      </c>
      <c r="I4934" t="str">
        <f t="shared" si="2336"/>
        <v>28/08/2025</v>
      </c>
      <c r="J4934" t="str">
        <f t="shared" si="2336"/>
        <v>28/08/2025</v>
      </c>
      <c r="K4934">
        <v>1.7</v>
      </c>
      <c r="L4934">
        <v>1.7</v>
      </c>
      <c r="M4934">
        <v>401</v>
      </c>
      <c r="N4934" t="str">
        <f t="shared" si="2337"/>
        <v>IOF/JUROS/DESP.FINANCEIRA</v>
      </c>
      <c r="O4934">
        <v>1.7</v>
      </c>
      <c r="R4934" t="str">
        <f t="shared" si="2338"/>
        <v>BANCO CORA (102)</v>
      </c>
      <c r="S4934">
        <v>2487</v>
      </c>
      <c r="T4934">
        <v>2070</v>
      </c>
      <c r="U4934" t="s">
        <v>19</v>
      </c>
    </row>
    <row r="4935" spans="1:21">
      <c r="A4935" t="str">
        <f t="shared" si="2330"/>
        <v>28/08/2025</v>
      </c>
      <c r="B4935" t="str">
        <f t="shared" si="2331"/>
        <v>SAÍDA</v>
      </c>
      <c r="C4935" t="str">
        <f t="shared" si="2332"/>
        <v>CONHECIMENTO</v>
      </c>
      <c r="D4935" t="str">
        <f t="shared" si="2333"/>
        <v>280825170</v>
      </c>
      <c r="E4935" t="str">
        <f t="shared" si="2329"/>
        <v>COM</v>
      </c>
      <c r="F4935" t="str">
        <f t="shared" si="2334"/>
        <v>CORA SOCIEDADE DE CREDITO, FINANCIAMENTO E INVESTIMENTO (20035)</v>
      </c>
      <c r="G4935" t="str">
        <f t="shared" si="2335"/>
        <v>TAXA BOLETO COMPENSADO</v>
      </c>
      <c r="H4935" t="str">
        <f t="shared" si="2336"/>
        <v>28/08/2025</v>
      </c>
      <c r="I4935" t="str">
        <f t="shared" si="2336"/>
        <v>28/08/2025</v>
      </c>
      <c r="J4935" t="str">
        <f t="shared" si="2336"/>
        <v>28/08/2025</v>
      </c>
      <c r="M4935">
        <v>401</v>
      </c>
      <c r="N4935" t="str">
        <f t="shared" si="2337"/>
        <v>IOF/JUROS/DESP.FINANCEIRA</v>
      </c>
      <c r="P4935">
        <v>1.7</v>
      </c>
      <c r="Q4935" t="str">
        <f>"CORA SOCIEDADE DE CREDITO, FINANCIAMENTO E INVESTIMENTO (20035)"</f>
        <v>CORA SOCIEDADE DE CREDITO, FINANCIAMENTO E INVESTIMENTO (20035)</v>
      </c>
      <c r="R4935" t="str">
        <f t="shared" si="2338"/>
        <v>BANCO CORA (102)</v>
      </c>
      <c r="S4935">
        <v>2487</v>
      </c>
      <c r="T4935">
        <v>2070</v>
      </c>
      <c r="U4935" t="s">
        <v>19</v>
      </c>
    </row>
    <row r="4936" spans="1:21">
      <c r="A4936" t="str">
        <f t="shared" si="2330"/>
        <v>28/08/2025</v>
      </c>
      <c r="B4936" t="str">
        <f t="shared" si="2331"/>
        <v>SAÍDA</v>
      </c>
      <c r="C4936" t="str">
        <f t="shared" si="2332"/>
        <v>CONHECIMENTO</v>
      </c>
      <c r="D4936" t="str">
        <f t="shared" si="2333"/>
        <v>280825170</v>
      </c>
      <c r="E4936" t="str">
        <f t="shared" si="2329"/>
        <v>COM</v>
      </c>
      <c r="F4936" t="str">
        <f t="shared" si="2334"/>
        <v>CORA SOCIEDADE DE CREDITO, FINANCIAMENTO E INVESTIMENTO (20035)</v>
      </c>
      <c r="G4936" t="str">
        <f t="shared" si="2335"/>
        <v>TAXA BOLETO COMPENSADO</v>
      </c>
      <c r="H4936" t="str">
        <f t="shared" si="2336"/>
        <v>28/08/2025</v>
      </c>
      <c r="I4936" t="str">
        <f t="shared" si="2336"/>
        <v>28/08/2025</v>
      </c>
      <c r="J4936" t="str">
        <f t="shared" si="2336"/>
        <v>28/08/2025</v>
      </c>
      <c r="K4936">
        <v>1.7</v>
      </c>
      <c r="L4936">
        <v>1.7</v>
      </c>
      <c r="M4936">
        <v>401</v>
      </c>
      <c r="N4936" t="str">
        <f t="shared" si="2337"/>
        <v>IOF/JUROS/DESP.FINANCEIRA</v>
      </c>
      <c r="O4936">
        <v>1.7</v>
      </c>
      <c r="R4936" t="str">
        <f t="shared" si="2338"/>
        <v>BANCO CORA (102)</v>
      </c>
      <c r="S4936">
        <v>2488</v>
      </c>
      <c r="T4936">
        <v>2071</v>
      </c>
      <c r="U4936" t="s">
        <v>19</v>
      </c>
    </row>
    <row r="4937" spans="1:21">
      <c r="A4937" t="str">
        <f t="shared" si="2330"/>
        <v>28/08/2025</v>
      </c>
      <c r="B4937" t="str">
        <f t="shared" si="2331"/>
        <v>SAÍDA</v>
      </c>
      <c r="C4937" t="str">
        <f t="shared" si="2332"/>
        <v>CONHECIMENTO</v>
      </c>
      <c r="D4937" t="str">
        <f t="shared" si="2333"/>
        <v>280825170</v>
      </c>
      <c r="E4937" t="str">
        <f t="shared" si="2329"/>
        <v>COM</v>
      </c>
      <c r="F4937" t="str">
        <f t="shared" si="2334"/>
        <v>CORA SOCIEDADE DE CREDITO, FINANCIAMENTO E INVESTIMENTO (20035)</v>
      </c>
      <c r="G4937" t="str">
        <f t="shared" si="2335"/>
        <v>TAXA BOLETO COMPENSADO</v>
      </c>
      <c r="H4937" t="str">
        <f t="shared" si="2336"/>
        <v>28/08/2025</v>
      </c>
      <c r="I4937" t="str">
        <f t="shared" si="2336"/>
        <v>28/08/2025</v>
      </c>
      <c r="J4937" t="str">
        <f t="shared" si="2336"/>
        <v>28/08/2025</v>
      </c>
      <c r="M4937">
        <v>401</v>
      </c>
      <c r="N4937" t="str">
        <f t="shared" si="2337"/>
        <v>IOF/JUROS/DESP.FINANCEIRA</v>
      </c>
      <c r="P4937">
        <v>1.7</v>
      </c>
      <c r="Q4937" t="str">
        <f>"CORA SOCIEDADE DE CREDITO, FINANCIAMENTO E INVESTIMENTO (20035)"</f>
        <v>CORA SOCIEDADE DE CREDITO, FINANCIAMENTO E INVESTIMENTO (20035)</v>
      </c>
      <c r="R4937" t="str">
        <f t="shared" si="2338"/>
        <v>BANCO CORA (102)</v>
      </c>
      <c r="S4937">
        <v>2488</v>
      </c>
      <c r="T4937">
        <v>2071</v>
      </c>
      <c r="U4937" t="s">
        <v>19</v>
      </c>
    </row>
    <row r="4938" spans="1:21">
      <c r="A4938" t="str">
        <f t="shared" si="2330"/>
        <v>28/08/2025</v>
      </c>
      <c r="B4938" t="str">
        <f>"ENTRADA"</f>
        <v>ENTRADA</v>
      </c>
      <c r="C4938" t="str">
        <f t="shared" ref="C4938:C4958" si="2339">"NFSE"</f>
        <v>NFSE</v>
      </c>
      <c r="D4938" t="str">
        <f>"3364"</f>
        <v>3364</v>
      </c>
      <c r="E4938" t="str">
        <f t="shared" si="2329"/>
        <v>COM</v>
      </c>
      <c r="F4938" t="str">
        <f>"FRAN FARMA (10124)"</f>
        <v>FRAN FARMA (10124)</v>
      </c>
      <c r="G4938" t="str">
        <f>"Serv.Prest. 11/08/2025 a 17/08/2025 - RPS: 1132 - NFSe: 3364"</f>
        <v>Serv.Prest. 11/08/2025 a 17/08/2025 - RPS: 1132 - NFSe: 3364</v>
      </c>
      <c r="H4938" t="str">
        <f>("20/08/2025")</f>
        <v>20/08/2025</v>
      </c>
      <c r="I4938" t="str">
        <f>("18/08/2025")</f>
        <v>18/08/2025</v>
      </c>
      <c r="J4938" t="str">
        <f t="shared" ref="J4938:J4958" si="2340">("28/08/2025")</f>
        <v>28/08/2025</v>
      </c>
      <c r="K4938">
        <v>320.95999999999998</v>
      </c>
      <c r="L4938">
        <v>320.95999999999998</v>
      </c>
      <c r="M4938">
        <v>303</v>
      </c>
      <c r="N4938" t="str">
        <f t="shared" ref="N4938:N4958" si="2341">"RECEITAS COM ENTREGAS"</f>
        <v>RECEITAS COM ENTREGAS</v>
      </c>
      <c r="O4938">
        <v>320.95999999999998</v>
      </c>
      <c r="R4938" t="str">
        <f t="shared" ref="R4938:R4958" si="2342">"RECEITAS COM ENTREGAS (303)"</f>
        <v>RECEITAS COM ENTREGAS (303)</v>
      </c>
      <c r="S4938">
        <v>2490</v>
      </c>
      <c r="T4938">
        <v>1905</v>
      </c>
      <c r="U4938" t="s">
        <v>19</v>
      </c>
    </row>
    <row r="4939" spans="1:21">
      <c r="A4939" t="str">
        <f t="shared" si="2330"/>
        <v>28/08/2025</v>
      </c>
      <c r="B4939" t="str">
        <f t="shared" ref="B4939:B4958" si="2343">"ENTRADA"</f>
        <v>ENTRADA</v>
      </c>
      <c r="C4939" t="str">
        <f t="shared" si="2339"/>
        <v>NFSE</v>
      </c>
      <c r="D4939" t="str">
        <f>"3364"</f>
        <v>3364</v>
      </c>
      <c r="E4939" t="str">
        <f t="shared" si="2329"/>
        <v>COM</v>
      </c>
      <c r="F4939" t="str">
        <f>"FRAN FARMA (10124)"</f>
        <v>FRAN FARMA (10124)</v>
      </c>
      <c r="G4939" t="str">
        <f>"Serv.Prest. 11/08/2025 a 17/08/2025 - RPS: 1132 - NFSe: 3364"</f>
        <v>Serv.Prest. 11/08/2025 a 17/08/2025 - RPS: 1132 - NFSe: 3364</v>
      </c>
      <c r="H4939" t="str">
        <f>("20/08/2025")</f>
        <v>20/08/2025</v>
      </c>
      <c r="I4939" t="str">
        <f>("18/08/2025")</f>
        <v>18/08/2025</v>
      </c>
      <c r="J4939" t="str">
        <f t="shared" si="2340"/>
        <v>28/08/2025</v>
      </c>
      <c r="M4939">
        <v>303</v>
      </c>
      <c r="N4939" t="str">
        <f t="shared" si="2341"/>
        <v>RECEITAS COM ENTREGAS</v>
      </c>
      <c r="P4939">
        <v>64.19</v>
      </c>
      <c r="Q4939" t="str">
        <f>"FRAN FARMA (10124)"</f>
        <v>FRAN FARMA (10124)</v>
      </c>
      <c r="R4939" t="str">
        <f t="shared" si="2342"/>
        <v>RECEITAS COM ENTREGAS (303)</v>
      </c>
      <c r="S4939">
        <v>2490</v>
      </c>
      <c r="T4939">
        <v>1905</v>
      </c>
      <c r="U4939" t="s">
        <v>19</v>
      </c>
    </row>
    <row r="4940" spans="1:21">
      <c r="A4940" t="str">
        <f t="shared" si="2330"/>
        <v>28/08/2025</v>
      </c>
      <c r="B4940" t="str">
        <f t="shared" si="2343"/>
        <v>ENTRADA</v>
      </c>
      <c r="C4940" t="str">
        <f t="shared" si="2339"/>
        <v>NFSE</v>
      </c>
      <c r="D4940" t="str">
        <f>"3364"</f>
        <v>3364</v>
      </c>
      <c r="E4940" t="str">
        <f t="shared" si="2329"/>
        <v>COM</v>
      </c>
      <c r="F4940" t="str">
        <f>"FRAN FARMA (10124)"</f>
        <v>FRAN FARMA (10124)</v>
      </c>
      <c r="G4940" t="str">
        <f>"Serv.Prest. 11/08/2025 a 17/08/2025 - RPS: 1132 - NFSe: 3364"</f>
        <v>Serv.Prest. 11/08/2025 a 17/08/2025 - RPS: 1132 - NFSe: 3364</v>
      </c>
      <c r="H4940" t="str">
        <f>("20/08/2025")</f>
        <v>20/08/2025</v>
      </c>
      <c r="I4940" t="str">
        <f>("18/08/2025")</f>
        <v>18/08/2025</v>
      </c>
      <c r="J4940" t="str">
        <f t="shared" si="2340"/>
        <v>28/08/2025</v>
      </c>
      <c r="M4940">
        <v>303</v>
      </c>
      <c r="N4940" t="str">
        <f t="shared" si="2341"/>
        <v>RECEITAS COM ENTREGAS</v>
      </c>
      <c r="P4940">
        <v>192.58</v>
      </c>
      <c r="Q4940" t="str">
        <f>"FRAN FARMA LJ 2 (10131)"</f>
        <v>FRAN FARMA LJ 2 (10131)</v>
      </c>
      <c r="R4940" t="str">
        <f t="shared" si="2342"/>
        <v>RECEITAS COM ENTREGAS (303)</v>
      </c>
      <c r="S4940">
        <v>2490</v>
      </c>
      <c r="T4940">
        <v>1905</v>
      </c>
      <c r="U4940" t="s">
        <v>19</v>
      </c>
    </row>
    <row r="4941" spans="1:21">
      <c r="A4941" t="str">
        <f t="shared" si="2330"/>
        <v>28/08/2025</v>
      </c>
      <c r="B4941" t="str">
        <f t="shared" si="2343"/>
        <v>ENTRADA</v>
      </c>
      <c r="C4941" t="str">
        <f t="shared" si="2339"/>
        <v>NFSE</v>
      </c>
      <c r="D4941" t="str">
        <f>"3364"</f>
        <v>3364</v>
      </c>
      <c r="E4941" t="str">
        <f t="shared" si="2329"/>
        <v>COM</v>
      </c>
      <c r="F4941" t="str">
        <f>"FRAN FARMA (10124)"</f>
        <v>FRAN FARMA (10124)</v>
      </c>
      <c r="G4941" t="str">
        <f>"Serv.Prest. 11/08/2025 a 17/08/2025 - RPS: 1132 - NFSe: 3364"</f>
        <v>Serv.Prest. 11/08/2025 a 17/08/2025 - RPS: 1132 - NFSe: 3364</v>
      </c>
      <c r="H4941" t="str">
        <f>("20/08/2025")</f>
        <v>20/08/2025</v>
      </c>
      <c r="I4941" t="str">
        <f>("18/08/2025")</f>
        <v>18/08/2025</v>
      </c>
      <c r="J4941" t="str">
        <f t="shared" si="2340"/>
        <v>28/08/2025</v>
      </c>
      <c r="M4941">
        <v>303</v>
      </c>
      <c r="N4941" t="str">
        <f t="shared" si="2341"/>
        <v>RECEITAS COM ENTREGAS</v>
      </c>
      <c r="P4941">
        <v>64.19</v>
      </c>
      <c r="Q4941" t="str">
        <f>"FRAN FARMA LJ 3 (10132)"</f>
        <v>FRAN FARMA LJ 3 (10132)</v>
      </c>
      <c r="R4941" t="str">
        <f t="shared" si="2342"/>
        <v>RECEITAS COM ENTREGAS (303)</v>
      </c>
      <c r="S4941">
        <v>2490</v>
      </c>
      <c r="T4941">
        <v>1905</v>
      </c>
      <c r="U4941" t="s">
        <v>19</v>
      </c>
    </row>
    <row r="4942" spans="1:21">
      <c r="A4942" t="str">
        <f t="shared" si="2330"/>
        <v>28/08/2025</v>
      </c>
      <c r="B4942" t="str">
        <f t="shared" si="2343"/>
        <v>ENTRADA</v>
      </c>
      <c r="C4942" t="str">
        <f t="shared" si="2339"/>
        <v>NFSE</v>
      </c>
      <c r="D4942" t="str">
        <f>"3381"</f>
        <v>3381</v>
      </c>
      <c r="E4942" t="str">
        <f t="shared" si="2329"/>
        <v>COM</v>
      </c>
      <c r="F4942" t="str">
        <f>"AC FARMA - FLEMINFARMA 5 (10183)"</f>
        <v>AC FARMA - FLEMINFARMA 5 (10183)</v>
      </c>
      <c r="G4942" t="str">
        <f>"Serv.Prest. 11/08/2025 a 17/08/2025 - RPS: 1147 - NFSe: 3381"</f>
        <v>Serv.Prest. 11/08/2025 a 17/08/2025 - RPS: 1147 - NFSe: 3381</v>
      </c>
      <c r="H4942" t="str">
        <f t="shared" ref="H4942:H4956" si="2344">("27/08/2025")</f>
        <v>27/08/2025</v>
      </c>
      <c r="I4942" t="str">
        <f t="shared" ref="I4942:I4948" si="2345">("20/08/2025")</f>
        <v>20/08/2025</v>
      </c>
      <c r="J4942" t="str">
        <f t="shared" si="2340"/>
        <v>28/08/2025</v>
      </c>
      <c r="K4942">
        <v>92.16</v>
      </c>
      <c r="L4942">
        <v>92.16</v>
      </c>
      <c r="M4942">
        <v>303</v>
      </c>
      <c r="N4942" t="str">
        <f t="shared" si="2341"/>
        <v>RECEITAS COM ENTREGAS</v>
      </c>
      <c r="O4942">
        <v>92.16</v>
      </c>
      <c r="R4942" t="str">
        <f t="shared" si="2342"/>
        <v>RECEITAS COM ENTREGAS (303)</v>
      </c>
      <c r="S4942">
        <v>2491</v>
      </c>
      <c r="T4942">
        <v>1940</v>
      </c>
      <c r="U4942" t="s">
        <v>19</v>
      </c>
    </row>
    <row r="4943" spans="1:21">
      <c r="A4943" t="str">
        <f t="shared" si="2330"/>
        <v>28/08/2025</v>
      </c>
      <c r="B4943" t="str">
        <f t="shared" si="2343"/>
        <v>ENTRADA</v>
      </c>
      <c r="C4943" t="str">
        <f t="shared" si="2339"/>
        <v>NFSE</v>
      </c>
      <c r="D4943" t="str">
        <f>"3381"</f>
        <v>3381</v>
      </c>
      <c r="E4943" t="str">
        <f t="shared" si="2329"/>
        <v>COM</v>
      </c>
      <c r="F4943" t="str">
        <f>"AC FARMA - FLEMINFARMA 5 (10183)"</f>
        <v>AC FARMA - FLEMINFARMA 5 (10183)</v>
      </c>
      <c r="G4943" t="str">
        <f>"Serv.Prest. 11/08/2025 a 17/08/2025 - RPS: 1147 - NFSe: 3381"</f>
        <v>Serv.Prest. 11/08/2025 a 17/08/2025 - RPS: 1147 - NFSe: 3381</v>
      </c>
      <c r="H4943" t="str">
        <f t="shared" si="2344"/>
        <v>27/08/2025</v>
      </c>
      <c r="I4943" t="str">
        <f t="shared" si="2345"/>
        <v>20/08/2025</v>
      </c>
      <c r="J4943" t="str">
        <f t="shared" si="2340"/>
        <v>28/08/2025</v>
      </c>
      <c r="M4943">
        <v>303</v>
      </c>
      <c r="N4943" t="str">
        <f t="shared" si="2341"/>
        <v>RECEITAS COM ENTREGAS</v>
      </c>
      <c r="P4943">
        <v>92.16</v>
      </c>
      <c r="Q4943" t="str">
        <f>"AC FARMA - FLEMINFARMA 5 (10183)"</f>
        <v>AC FARMA - FLEMINFARMA 5 (10183)</v>
      </c>
      <c r="R4943" t="str">
        <f t="shared" si="2342"/>
        <v>RECEITAS COM ENTREGAS (303)</v>
      </c>
      <c r="S4943">
        <v>2491</v>
      </c>
      <c r="T4943">
        <v>1940</v>
      </c>
      <c r="U4943" t="s">
        <v>19</v>
      </c>
    </row>
    <row r="4944" spans="1:21">
      <c r="A4944" t="str">
        <f t="shared" si="2330"/>
        <v>28/08/2025</v>
      </c>
      <c r="B4944" t="str">
        <f t="shared" si="2343"/>
        <v>ENTRADA</v>
      </c>
      <c r="C4944" t="str">
        <f t="shared" si="2339"/>
        <v>NFSE</v>
      </c>
      <c r="D4944" t="str">
        <f>"3379"</f>
        <v>3379</v>
      </c>
      <c r="E4944" t="str">
        <f t="shared" si="2329"/>
        <v>COM</v>
      </c>
      <c r="F4944" t="str">
        <f>"AC FARMA - CID.ALTA (10166)"</f>
        <v>AC FARMA - CID.ALTA (10166)</v>
      </c>
      <c r="G4944" t="str">
        <f>"Serv.Prest. 11/08/2025 a 17/08/2025 - RPS: 1145 - NFSe: 3379"</f>
        <v>Serv.Prest. 11/08/2025 a 17/08/2025 - RPS: 1145 - NFSe: 3379</v>
      </c>
      <c r="H4944" t="str">
        <f t="shared" si="2344"/>
        <v>27/08/2025</v>
      </c>
      <c r="I4944" t="str">
        <f t="shared" si="2345"/>
        <v>20/08/2025</v>
      </c>
      <c r="J4944" t="str">
        <f t="shared" si="2340"/>
        <v>28/08/2025</v>
      </c>
      <c r="K4944">
        <v>1110.24</v>
      </c>
      <c r="L4944">
        <v>1110.24</v>
      </c>
      <c r="M4944">
        <v>303</v>
      </c>
      <c r="N4944" t="str">
        <f t="shared" si="2341"/>
        <v>RECEITAS COM ENTREGAS</v>
      </c>
      <c r="O4944">
        <v>1110.24</v>
      </c>
      <c r="R4944" t="str">
        <f t="shared" si="2342"/>
        <v>RECEITAS COM ENTREGAS (303)</v>
      </c>
      <c r="S4944">
        <v>2492</v>
      </c>
      <c r="T4944">
        <v>1938</v>
      </c>
      <c r="U4944" t="s">
        <v>19</v>
      </c>
    </row>
    <row r="4945" spans="1:21">
      <c r="A4945" t="str">
        <f t="shared" si="2330"/>
        <v>28/08/2025</v>
      </c>
      <c r="B4945" t="str">
        <f t="shared" si="2343"/>
        <v>ENTRADA</v>
      </c>
      <c r="C4945" t="str">
        <f t="shared" si="2339"/>
        <v>NFSE</v>
      </c>
      <c r="D4945" t="str">
        <f>"3379"</f>
        <v>3379</v>
      </c>
      <c r="E4945" t="str">
        <f t="shared" si="2329"/>
        <v>COM</v>
      </c>
      <c r="F4945" t="str">
        <f>"AC FARMA - CID.ALTA (10166)"</f>
        <v>AC FARMA - CID.ALTA (10166)</v>
      </c>
      <c r="G4945" t="str">
        <f>"Serv.Prest. 11/08/2025 a 17/08/2025 - RPS: 1145 - NFSe: 3379"</f>
        <v>Serv.Prest. 11/08/2025 a 17/08/2025 - RPS: 1145 - NFSe: 3379</v>
      </c>
      <c r="H4945" t="str">
        <f t="shared" si="2344"/>
        <v>27/08/2025</v>
      </c>
      <c r="I4945" t="str">
        <f t="shared" si="2345"/>
        <v>20/08/2025</v>
      </c>
      <c r="J4945" t="str">
        <f t="shared" si="2340"/>
        <v>28/08/2025</v>
      </c>
      <c r="M4945">
        <v>303</v>
      </c>
      <c r="N4945" t="str">
        <f t="shared" si="2341"/>
        <v>RECEITAS COM ENTREGAS</v>
      </c>
      <c r="P4945">
        <v>1110.24</v>
      </c>
      <c r="Q4945" t="str">
        <f>"AC FARMA - CID.ALTA (10166)"</f>
        <v>AC FARMA - CID.ALTA (10166)</v>
      </c>
      <c r="R4945" t="str">
        <f t="shared" si="2342"/>
        <v>RECEITAS COM ENTREGAS (303)</v>
      </c>
      <c r="S4945">
        <v>2492</v>
      </c>
      <c r="T4945">
        <v>1938</v>
      </c>
      <c r="U4945" t="s">
        <v>19</v>
      </c>
    </row>
    <row r="4946" spans="1:21">
      <c r="A4946" t="str">
        <f t="shared" si="2330"/>
        <v>28/08/2025</v>
      </c>
      <c r="B4946" t="str">
        <f t="shared" si="2343"/>
        <v>ENTRADA</v>
      </c>
      <c r="C4946" t="str">
        <f t="shared" si="2339"/>
        <v>NFSE</v>
      </c>
      <c r="D4946" t="str">
        <f>"3380"</f>
        <v>3380</v>
      </c>
      <c r="E4946" t="str">
        <f t="shared" si="2329"/>
        <v>COM</v>
      </c>
      <c r="F4946" t="str">
        <f>"AC FARMA - FLEMINFARMA (10160)"</f>
        <v>AC FARMA - FLEMINFARMA (10160)</v>
      </c>
      <c r="G4946" t="str">
        <f>"Serv.Prest. 11/08/2025 a 17/08/2025 - RPS: 1146 - NFSe: 3380"</f>
        <v>Serv.Prest. 11/08/2025 a 17/08/2025 - RPS: 1146 - NFSe: 3380</v>
      </c>
      <c r="H4946" t="str">
        <f t="shared" si="2344"/>
        <v>27/08/2025</v>
      </c>
      <c r="I4946" t="str">
        <f t="shared" si="2345"/>
        <v>20/08/2025</v>
      </c>
      <c r="J4946" t="str">
        <f t="shared" si="2340"/>
        <v>28/08/2025</v>
      </c>
      <c r="K4946">
        <v>226.08</v>
      </c>
      <c r="L4946">
        <v>226.08</v>
      </c>
      <c r="M4946">
        <v>303</v>
      </c>
      <c r="N4946" t="str">
        <f t="shared" si="2341"/>
        <v>RECEITAS COM ENTREGAS</v>
      </c>
      <c r="O4946">
        <v>226.08</v>
      </c>
      <c r="R4946" t="str">
        <f t="shared" si="2342"/>
        <v>RECEITAS COM ENTREGAS (303)</v>
      </c>
      <c r="S4946">
        <v>2493</v>
      </c>
      <c r="T4946">
        <v>1939</v>
      </c>
      <c r="U4946" t="s">
        <v>19</v>
      </c>
    </row>
    <row r="4947" spans="1:21">
      <c r="A4947" t="str">
        <f t="shared" si="2330"/>
        <v>28/08/2025</v>
      </c>
      <c r="B4947" t="str">
        <f t="shared" si="2343"/>
        <v>ENTRADA</v>
      </c>
      <c r="C4947" t="str">
        <f t="shared" si="2339"/>
        <v>NFSE</v>
      </c>
      <c r="D4947" t="str">
        <f>"3380"</f>
        <v>3380</v>
      </c>
      <c r="E4947" t="str">
        <f t="shared" si="2329"/>
        <v>COM</v>
      </c>
      <c r="F4947" t="str">
        <f>"AC FARMA - FLEMINFARMA (10160)"</f>
        <v>AC FARMA - FLEMINFARMA (10160)</v>
      </c>
      <c r="G4947" t="str">
        <f>"Serv.Prest. 11/08/2025 a 17/08/2025 - RPS: 1146 - NFSe: 3380"</f>
        <v>Serv.Prest. 11/08/2025 a 17/08/2025 - RPS: 1146 - NFSe: 3380</v>
      </c>
      <c r="H4947" t="str">
        <f t="shared" si="2344"/>
        <v>27/08/2025</v>
      </c>
      <c r="I4947" t="str">
        <f t="shared" si="2345"/>
        <v>20/08/2025</v>
      </c>
      <c r="J4947" t="str">
        <f t="shared" si="2340"/>
        <v>28/08/2025</v>
      </c>
      <c r="M4947">
        <v>303</v>
      </c>
      <c r="N4947" t="str">
        <f t="shared" si="2341"/>
        <v>RECEITAS COM ENTREGAS</v>
      </c>
      <c r="P4947">
        <v>218.89</v>
      </c>
      <c r="Q4947" t="str">
        <f>"AC FARMA -  FLEMINFARMA (10159)"</f>
        <v>AC FARMA -  FLEMINFARMA (10159)</v>
      </c>
      <c r="R4947" t="str">
        <f t="shared" si="2342"/>
        <v>RECEITAS COM ENTREGAS (303)</v>
      </c>
      <c r="S4947">
        <v>2493</v>
      </c>
      <c r="T4947">
        <v>1939</v>
      </c>
      <c r="U4947" t="s">
        <v>19</v>
      </c>
    </row>
    <row r="4948" spans="1:21">
      <c r="A4948" t="str">
        <f t="shared" si="2330"/>
        <v>28/08/2025</v>
      </c>
      <c r="B4948" t="str">
        <f t="shared" si="2343"/>
        <v>ENTRADA</v>
      </c>
      <c r="C4948" t="str">
        <f t="shared" si="2339"/>
        <v>NFSE</v>
      </c>
      <c r="D4948" t="str">
        <f>"3380"</f>
        <v>3380</v>
      </c>
      <c r="E4948" t="str">
        <f t="shared" si="2329"/>
        <v>COM</v>
      </c>
      <c r="F4948" t="str">
        <f>"AC FARMA - FLEMINFARMA (10160)"</f>
        <v>AC FARMA - FLEMINFARMA (10160)</v>
      </c>
      <c r="G4948" t="str">
        <f>"Serv.Prest. 11/08/2025 a 17/08/2025 - RPS: 1146 - NFSe: 3380"</f>
        <v>Serv.Prest. 11/08/2025 a 17/08/2025 - RPS: 1146 - NFSe: 3380</v>
      </c>
      <c r="H4948" t="str">
        <f t="shared" si="2344"/>
        <v>27/08/2025</v>
      </c>
      <c r="I4948" t="str">
        <f t="shared" si="2345"/>
        <v>20/08/2025</v>
      </c>
      <c r="J4948" t="str">
        <f t="shared" si="2340"/>
        <v>28/08/2025</v>
      </c>
      <c r="M4948">
        <v>303</v>
      </c>
      <c r="N4948" t="str">
        <f t="shared" si="2341"/>
        <v>RECEITAS COM ENTREGAS</v>
      </c>
      <c r="P4948">
        <v>7.19</v>
      </c>
      <c r="Q4948" t="str">
        <f>"AC FARMA - FLEMINFARMA (10160)"</f>
        <v>AC FARMA - FLEMINFARMA (10160)</v>
      </c>
      <c r="R4948" t="str">
        <f t="shared" si="2342"/>
        <v>RECEITAS COM ENTREGAS (303)</v>
      </c>
      <c r="S4948">
        <v>2493</v>
      </c>
      <c r="T4948">
        <v>1939</v>
      </c>
      <c r="U4948" t="s">
        <v>19</v>
      </c>
    </row>
    <row r="4949" spans="1:21">
      <c r="A4949" t="str">
        <f t="shared" si="2330"/>
        <v>28/08/2025</v>
      </c>
      <c r="B4949" t="str">
        <f t="shared" si="2343"/>
        <v>ENTRADA</v>
      </c>
      <c r="C4949" t="str">
        <f t="shared" si="2339"/>
        <v>NFSE</v>
      </c>
      <c r="D4949" t="str">
        <f>"3387"</f>
        <v>3387</v>
      </c>
      <c r="E4949" t="str">
        <f t="shared" si="2329"/>
        <v>COM</v>
      </c>
      <c r="F4949" t="str">
        <f>"DROGARIA TOTAL JUNDIAI (10177)"</f>
        <v>DROGARIA TOTAL JUNDIAI (10177)</v>
      </c>
      <c r="G4949" t="str">
        <f>"Serv.Prest. 18/08/2025 a 24/08/2025 - RPS: 1152 - NFSe: 3387"</f>
        <v>Serv.Prest. 18/08/2025 a 24/08/2025 - RPS: 1152 - NFSe: 3387</v>
      </c>
      <c r="H4949" t="str">
        <f t="shared" si="2344"/>
        <v>27/08/2025</v>
      </c>
      <c r="I4949" t="str">
        <f>("25/08/2025")</f>
        <v>25/08/2025</v>
      </c>
      <c r="J4949" t="str">
        <f t="shared" si="2340"/>
        <v>28/08/2025</v>
      </c>
      <c r="K4949">
        <v>100.27</v>
      </c>
      <c r="L4949">
        <v>100.27</v>
      </c>
      <c r="M4949">
        <v>303</v>
      </c>
      <c r="N4949" t="str">
        <f t="shared" si="2341"/>
        <v>RECEITAS COM ENTREGAS</v>
      </c>
      <c r="O4949">
        <v>100.27</v>
      </c>
      <c r="R4949" t="str">
        <f t="shared" si="2342"/>
        <v>RECEITAS COM ENTREGAS (303)</v>
      </c>
      <c r="S4949">
        <v>2494</v>
      </c>
      <c r="T4949">
        <v>1945</v>
      </c>
      <c r="U4949" t="s">
        <v>19</v>
      </c>
    </row>
    <row r="4950" spans="1:21">
      <c r="A4950" t="str">
        <f t="shared" si="2330"/>
        <v>28/08/2025</v>
      </c>
      <c r="B4950" t="str">
        <f t="shared" si="2343"/>
        <v>ENTRADA</v>
      </c>
      <c r="C4950" t="str">
        <f t="shared" si="2339"/>
        <v>NFSE</v>
      </c>
      <c r="D4950" t="str">
        <f>"3387"</f>
        <v>3387</v>
      </c>
      <c r="E4950" t="str">
        <f t="shared" si="2329"/>
        <v>COM</v>
      </c>
      <c r="F4950" t="str">
        <f>"DROGARIA TOTAL JUNDIAI (10177)"</f>
        <v>DROGARIA TOTAL JUNDIAI (10177)</v>
      </c>
      <c r="G4950" t="str">
        <f>"Serv.Prest. 18/08/2025 a 24/08/2025 - RPS: 1152 - NFSe: 3387"</f>
        <v>Serv.Prest. 18/08/2025 a 24/08/2025 - RPS: 1152 - NFSe: 3387</v>
      </c>
      <c r="H4950" t="str">
        <f t="shared" si="2344"/>
        <v>27/08/2025</v>
      </c>
      <c r="I4950" t="str">
        <f>("25/08/2025")</f>
        <v>25/08/2025</v>
      </c>
      <c r="J4950" t="str">
        <f t="shared" si="2340"/>
        <v>28/08/2025</v>
      </c>
      <c r="M4950">
        <v>303</v>
      </c>
      <c r="N4950" t="str">
        <f t="shared" si="2341"/>
        <v>RECEITAS COM ENTREGAS</v>
      </c>
      <c r="P4950">
        <v>100.27</v>
      </c>
      <c r="Q4950" t="str">
        <f>"DROGARIA TOTAL JUNDIAI (10177)"</f>
        <v>DROGARIA TOTAL JUNDIAI (10177)</v>
      </c>
      <c r="R4950" t="str">
        <f t="shared" si="2342"/>
        <v>RECEITAS COM ENTREGAS (303)</v>
      </c>
      <c r="S4950">
        <v>2494</v>
      </c>
      <c r="T4950">
        <v>1945</v>
      </c>
      <c r="U4950" t="s">
        <v>19</v>
      </c>
    </row>
    <row r="4951" spans="1:21">
      <c r="A4951" t="str">
        <f t="shared" si="2330"/>
        <v>28/08/2025</v>
      </c>
      <c r="B4951" t="str">
        <f t="shared" si="2343"/>
        <v>ENTRADA</v>
      </c>
      <c r="C4951" t="str">
        <f t="shared" si="2339"/>
        <v>NFSE</v>
      </c>
      <c r="D4951" t="str">
        <f>"3400"</f>
        <v>3400</v>
      </c>
      <c r="E4951" t="str">
        <f t="shared" si="2329"/>
        <v>COM</v>
      </c>
      <c r="F4951" t="str">
        <f>"JAL FARMACIA E DROGARIA LJ 1 (10137)"</f>
        <v>JAL FARMACIA E DROGARIA LJ 1 (10137)</v>
      </c>
      <c r="G4951" t="str">
        <f>"Serv.Prest. 18/08/2025 a 24/08/2025 - RPS: 1166 - NFSe: 3400"</f>
        <v>Serv.Prest. 18/08/2025 a 24/08/2025 - RPS: 1166 - NFSe: 3400</v>
      </c>
      <c r="H4951" t="str">
        <f t="shared" si="2344"/>
        <v>27/08/2025</v>
      </c>
      <c r="I4951" t="str">
        <f t="shared" ref="I4951:I4956" si="2346">("26/08/2025")</f>
        <v>26/08/2025</v>
      </c>
      <c r="J4951" t="str">
        <f t="shared" si="2340"/>
        <v>28/08/2025</v>
      </c>
      <c r="K4951">
        <v>465.6</v>
      </c>
      <c r="L4951">
        <v>465.6</v>
      </c>
      <c r="M4951">
        <v>303</v>
      </c>
      <c r="N4951" t="str">
        <f t="shared" si="2341"/>
        <v>RECEITAS COM ENTREGAS</v>
      </c>
      <c r="O4951">
        <v>465.6</v>
      </c>
      <c r="R4951" t="str">
        <f t="shared" si="2342"/>
        <v>RECEITAS COM ENTREGAS (303)</v>
      </c>
      <c r="S4951">
        <v>2495</v>
      </c>
      <c r="T4951">
        <v>1959</v>
      </c>
      <c r="U4951" t="s">
        <v>19</v>
      </c>
    </row>
    <row r="4952" spans="1:21">
      <c r="A4952" t="str">
        <f t="shared" si="2330"/>
        <v>28/08/2025</v>
      </c>
      <c r="B4952" t="str">
        <f t="shared" si="2343"/>
        <v>ENTRADA</v>
      </c>
      <c r="C4952" t="str">
        <f t="shared" si="2339"/>
        <v>NFSE</v>
      </c>
      <c r="D4952" t="str">
        <f>"3400"</f>
        <v>3400</v>
      </c>
      <c r="E4952" t="str">
        <f t="shared" si="2329"/>
        <v>COM</v>
      </c>
      <c r="F4952" t="str">
        <f>"JAL FARMACIA E DROGARIA LJ 1 (10137)"</f>
        <v>JAL FARMACIA E DROGARIA LJ 1 (10137)</v>
      </c>
      <c r="G4952" t="str">
        <f>"Serv.Prest. 18/08/2025 a 24/08/2025 - RPS: 1166 - NFSe: 3400"</f>
        <v>Serv.Prest. 18/08/2025 a 24/08/2025 - RPS: 1166 - NFSe: 3400</v>
      </c>
      <c r="H4952" t="str">
        <f t="shared" si="2344"/>
        <v>27/08/2025</v>
      </c>
      <c r="I4952" t="str">
        <f t="shared" si="2346"/>
        <v>26/08/2025</v>
      </c>
      <c r="J4952" t="str">
        <f t="shared" si="2340"/>
        <v>28/08/2025</v>
      </c>
      <c r="M4952">
        <v>303</v>
      </c>
      <c r="N4952" t="str">
        <f t="shared" si="2341"/>
        <v>RECEITAS COM ENTREGAS</v>
      </c>
      <c r="P4952">
        <v>465.6</v>
      </c>
      <c r="Q4952" t="str">
        <f>"JAL FARMACIA E DROGARIA LJ 1 (10137)"</f>
        <v>JAL FARMACIA E DROGARIA LJ 1 (10137)</v>
      </c>
      <c r="R4952" t="str">
        <f t="shared" si="2342"/>
        <v>RECEITAS COM ENTREGAS (303)</v>
      </c>
      <c r="S4952">
        <v>2495</v>
      </c>
      <c r="T4952">
        <v>1959</v>
      </c>
      <c r="U4952" t="s">
        <v>19</v>
      </c>
    </row>
    <row r="4953" spans="1:21">
      <c r="A4953" t="str">
        <f t="shared" si="2330"/>
        <v>28/08/2025</v>
      </c>
      <c r="B4953" t="str">
        <f t="shared" si="2343"/>
        <v>ENTRADA</v>
      </c>
      <c r="C4953" t="str">
        <f t="shared" si="2339"/>
        <v>NFSE</v>
      </c>
      <c r="D4953" t="str">
        <f>"3401"</f>
        <v>3401</v>
      </c>
      <c r="E4953" t="str">
        <f t="shared" si="2329"/>
        <v>COM</v>
      </c>
      <c r="F4953" t="str">
        <f>"FARMACIA ECONOMIZE (10103)"</f>
        <v>FARMACIA ECONOMIZE (10103)</v>
      </c>
      <c r="G4953" t="str">
        <f>"Serv.Prest. 18/08/2025 a 24/08/2025 - RPS: 1167 - NFSe: 3401"</f>
        <v>Serv.Prest. 18/08/2025 a 24/08/2025 - RPS: 1167 - NFSe: 3401</v>
      </c>
      <c r="H4953" t="str">
        <f t="shared" si="2344"/>
        <v>27/08/2025</v>
      </c>
      <c r="I4953" t="str">
        <f t="shared" si="2346"/>
        <v>26/08/2025</v>
      </c>
      <c r="J4953" t="str">
        <f t="shared" si="2340"/>
        <v>28/08/2025</v>
      </c>
      <c r="K4953">
        <v>25.68</v>
      </c>
      <c r="L4953">
        <v>25.68</v>
      </c>
      <c r="M4953">
        <v>303</v>
      </c>
      <c r="N4953" t="str">
        <f t="shared" si="2341"/>
        <v>RECEITAS COM ENTREGAS</v>
      </c>
      <c r="O4953">
        <v>25.68</v>
      </c>
      <c r="R4953" t="str">
        <f t="shared" si="2342"/>
        <v>RECEITAS COM ENTREGAS (303)</v>
      </c>
      <c r="S4953">
        <v>2496</v>
      </c>
      <c r="T4953">
        <v>1960</v>
      </c>
      <c r="U4953" t="s">
        <v>19</v>
      </c>
    </row>
    <row r="4954" spans="1:21">
      <c r="A4954" t="str">
        <f t="shared" si="2330"/>
        <v>28/08/2025</v>
      </c>
      <c r="B4954" t="str">
        <f t="shared" si="2343"/>
        <v>ENTRADA</v>
      </c>
      <c r="C4954" t="str">
        <f t="shared" si="2339"/>
        <v>NFSE</v>
      </c>
      <c r="D4954" t="str">
        <f>"3401"</f>
        <v>3401</v>
      </c>
      <c r="E4954" t="str">
        <f t="shared" si="2329"/>
        <v>COM</v>
      </c>
      <c r="F4954" t="str">
        <f>"FARMACIA ECONOMIZE (10103)"</f>
        <v>FARMACIA ECONOMIZE (10103)</v>
      </c>
      <c r="G4954" t="str">
        <f>"Serv.Prest. 18/08/2025 a 24/08/2025 - RPS: 1167 - NFSe: 3401"</f>
        <v>Serv.Prest. 18/08/2025 a 24/08/2025 - RPS: 1167 - NFSe: 3401</v>
      </c>
      <c r="H4954" t="str">
        <f t="shared" si="2344"/>
        <v>27/08/2025</v>
      </c>
      <c r="I4954" t="str">
        <f t="shared" si="2346"/>
        <v>26/08/2025</v>
      </c>
      <c r="J4954" t="str">
        <f t="shared" si="2340"/>
        <v>28/08/2025</v>
      </c>
      <c r="M4954">
        <v>303</v>
      </c>
      <c r="N4954" t="str">
        <f t="shared" si="2341"/>
        <v>RECEITAS COM ENTREGAS</v>
      </c>
      <c r="P4954">
        <v>25.68</v>
      </c>
      <c r="Q4954" t="str">
        <f>"FARMACIA ECONOMIZE (10103)"</f>
        <v>FARMACIA ECONOMIZE (10103)</v>
      </c>
      <c r="R4954" t="str">
        <f t="shared" si="2342"/>
        <v>RECEITAS COM ENTREGAS (303)</v>
      </c>
      <c r="S4954">
        <v>2496</v>
      </c>
      <c r="T4954">
        <v>1960</v>
      </c>
      <c r="U4954" t="s">
        <v>19</v>
      </c>
    </row>
    <row r="4955" spans="1:21">
      <c r="A4955" t="str">
        <f t="shared" si="2330"/>
        <v>28/08/2025</v>
      </c>
      <c r="B4955" t="str">
        <f t="shared" si="2343"/>
        <v>ENTRADA</v>
      </c>
      <c r="C4955" t="str">
        <f t="shared" si="2339"/>
        <v>NFSE</v>
      </c>
      <c r="D4955" t="str">
        <f>"3402"</f>
        <v>3402</v>
      </c>
      <c r="E4955" t="str">
        <f t="shared" si="2329"/>
        <v>COM</v>
      </c>
      <c r="F4955" t="str">
        <f>"DELTA LOJA 2 (10123)"</f>
        <v>DELTA LOJA 2 (10123)</v>
      </c>
      <c r="G4955" t="str">
        <f>"Serv.Prest. 18/08/2025 a 24/08/2025 - RPS: 1168 - NFSe: 3402"</f>
        <v>Serv.Prest. 18/08/2025 a 24/08/2025 - RPS: 1168 - NFSe: 3402</v>
      </c>
      <c r="H4955" t="str">
        <f t="shared" si="2344"/>
        <v>27/08/2025</v>
      </c>
      <c r="I4955" t="str">
        <f t="shared" si="2346"/>
        <v>26/08/2025</v>
      </c>
      <c r="J4955" t="str">
        <f t="shared" si="2340"/>
        <v>28/08/2025</v>
      </c>
      <c r="K4955">
        <v>582.4</v>
      </c>
      <c r="L4955">
        <v>582.4</v>
      </c>
      <c r="M4955">
        <v>303</v>
      </c>
      <c r="N4955" t="str">
        <f t="shared" si="2341"/>
        <v>RECEITAS COM ENTREGAS</v>
      </c>
      <c r="O4955">
        <v>582.4</v>
      </c>
      <c r="R4955" t="str">
        <f t="shared" si="2342"/>
        <v>RECEITAS COM ENTREGAS (303)</v>
      </c>
      <c r="S4955">
        <v>2497</v>
      </c>
      <c r="T4955">
        <v>1961</v>
      </c>
      <c r="U4955" t="s">
        <v>19</v>
      </c>
    </row>
    <row r="4956" spans="1:21">
      <c r="A4956" t="str">
        <f t="shared" si="2330"/>
        <v>28/08/2025</v>
      </c>
      <c r="B4956" t="str">
        <f t="shared" si="2343"/>
        <v>ENTRADA</v>
      </c>
      <c r="C4956" t="str">
        <f t="shared" si="2339"/>
        <v>NFSE</v>
      </c>
      <c r="D4956" t="str">
        <f>"3402"</f>
        <v>3402</v>
      </c>
      <c r="E4956" t="str">
        <f t="shared" si="2329"/>
        <v>COM</v>
      </c>
      <c r="F4956" t="str">
        <f>"DELTA LOJA 2 (10123)"</f>
        <v>DELTA LOJA 2 (10123)</v>
      </c>
      <c r="G4956" t="str">
        <f>"Serv.Prest. 18/08/2025 a 24/08/2025 - RPS: 1168 - NFSe: 3402"</f>
        <v>Serv.Prest. 18/08/2025 a 24/08/2025 - RPS: 1168 - NFSe: 3402</v>
      </c>
      <c r="H4956" t="str">
        <f t="shared" si="2344"/>
        <v>27/08/2025</v>
      </c>
      <c r="I4956" t="str">
        <f t="shared" si="2346"/>
        <v>26/08/2025</v>
      </c>
      <c r="J4956" t="str">
        <f t="shared" si="2340"/>
        <v>28/08/2025</v>
      </c>
      <c r="M4956">
        <v>303</v>
      </c>
      <c r="N4956" t="str">
        <f t="shared" si="2341"/>
        <v>RECEITAS COM ENTREGAS</v>
      </c>
      <c r="P4956">
        <v>582.4</v>
      </c>
      <c r="Q4956" t="str">
        <f>"DELTA LOJA 2 (10123)"</f>
        <v>DELTA LOJA 2 (10123)</v>
      </c>
      <c r="R4956" t="str">
        <f t="shared" si="2342"/>
        <v>RECEITAS COM ENTREGAS (303)</v>
      </c>
      <c r="S4956">
        <v>2497</v>
      </c>
      <c r="T4956">
        <v>1961</v>
      </c>
      <c r="U4956" t="s">
        <v>19</v>
      </c>
    </row>
    <row r="4957" spans="1:21">
      <c r="A4957" t="str">
        <f t="shared" si="2330"/>
        <v>28/08/2025</v>
      </c>
      <c r="B4957" t="str">
        <f t="shared" si="2343"/>
        <v>ENTRADA</v>
      </c>
      <c r="C4957" t="str">
        <f t="shared" si="2339"/>
        <v>NFSE</v>
      </c>
      <c r="D4957" t="str">
        <f>"3385"</f>
        <v>3385</v>
      </c>
      <c r="E4957" t="str">
        <f t="shared" si="2329"/>
        <v>COM</v>
      </c>
      <c r="F4957" t="str">
        <f>"DROGARIA POUPA MINAS (ULTRAMINAS) 3 (10129)"</f>
        <v>DROGARIA POUPA MINAS (ULTRAMINAS) 3 (10129)</v>
      </c>
      <c r="G4957" t="str">
        <f>"Serv.Prest. 18/08/2025 a 24/08/2025 - RPS: 1151 - NFSe: 3385"</f>
        <v>Serv.Prest. 18/08/2025 a 24/08/2025 - RPS: 1151 - NFSe: 3385</v>
      </c>
      <c r="H4957" t="str">
        <f>("28/08/2025")</f>
        <v>28/08/2025</v>
      </c>
      <c r="I4957" t="str">
        <f>("25/08/2025")</f>
        <v>25/08/2025</v>
      </c>
      <c r="J4957" t="str">
        <f t="shared" si="2340"/>
        <v>28/08/2025</v>
      </c>
      <c r="K4957">
        <v>171.6</v>
      </c>
      <c r="L4957">
        <v>171.6</v>
      </c>
      <c r="M4957">
        <v>303</v>
      </c>
      <c r="N4957" t="str">
        <f t="shared" si="2341"/>
        <v>RECEITAS COM ENTREGAS</v>
      </c>
      <c r="O4957">
        <v>171.6</v>
      </c>
      <c r="R4957" t="str">
        <f t="shared" si="2342"/>
        <v>RECEITAS COM ENTREGAS (303)</v>
      </c>
      <c r="S4957">
        <v>2498</v>
      </c>
      <c r="T4957">
        <v>1944</v>
      </c>
      <c r="U4957" t="s">
        <v>19</v>
      </c>
    </row>
    <row r="4958" spans="1:21">
      <c r="A4958" t="str">
        <f t="shared" si="2330"/>
        <v>28/08/2025</v>
      </c>
      <c r="B4958" t="str">
        <f t="shared" si="2343"/>
        <v>ENTRADA</v>
      </c>
      <c r="C4958" t="str">
        <f t="shared" si="2339"/>
        <v>NFSE</v>
      </c>
      <c r="D4958" t="str">
        <f>"3385"</f>
        <v>3385</v>
      </c>
      <c r="E4958" t="str">
        <f t="shared" si="2329"/>
        <v>COM</v>
      </c>
      <c r="F4958" t="str">
        <f>"DROGARIA POUPA MINAS (ULTRAMINAS) 3 (10129)"</f>
        <v>DROGARIA POUPA MINAS (ULTRAMINAS) 3 (10129)</v>
      </c>
      <c r="G4958" t="str">
        <f>"Serv.Prest. 18/08/2025 a 24/08/2025 - RPS: 1151 - NFSe: 3385"</f>
        <v>Serv.Prest. 18/08/2025 a 24/08/2025 - RPS: 1151 - NFSe: 3385</v>
      </c>
      <c r="H4958" t="str">
        <f>("28/08/2025")</f>
        <v>28/08/2025</v>
      </c>
      <c r="I4958" t="str">
        <f>("25/08/2025")</f>
        <v>25/08/2025</v>
      </c>
      <c r="J4958" t="str">
        <f t="shared" si="2340"/>
        <v>28/08/2025</v>
      </c>
      <c r="M4958">
        <v>303</v>
      </c>
      <c r="N4958" t="str">
        <f t="shared" si="2341"/>
        <v>RECEITAS COM ENTREGAS</v>
      </c>
      <c r="P4958">
        <v>171.6</v>
      </c>
      <c r="Q4958" t="str">
        <f>"DROGARIA POUPA MINAS (ULTRAMINAS) 3 (10129)"</f>
        <v>DROGARIA POUPA MINAS (ULTRAMINAS) 3 (10129)</v>
      </c>
      <c r="R4958" t="str">
        <f t="shared" si="2342"/>
        <v>RECEITAS COM ENTREGAS (303)</v>
      </c>
      <c r="S4958">
        <v>2498</v>
      </c>
      <c r="T4958">
        <v>1944</v>
      </c>
      <c r="U4958" t="s">
        <v>19</v>
      </c>
    </row>
    <row r="4959" spans="1:21">
      <c r="A4959" t="str">
        <f>("29/08/2025")</f>
        <v>29/08/2025</v>
      </c>
      <c r="B4959" t="str">
        <f>"SAÍDA"</f>
        <v>SAÍDA</v>
      </c>
      <c r="C4959" t="str">
        <f>"CONHECIMENTO"</f>
        <v>CONHECIMENTO</v>
      </c>
      <c r="D4959" t="str">
        <f>"290825170"</f>
        <v>290825170</v>
      </c>
      <c r="E4959" t="str">
        <f t="shared" si="2329"/>
        <v>COM</v>
      </c>
      <c r="F4959" t="str">
        <f>"CORA SOCIEDADE DE CREDITO, FINANCIAMENTO E INVESTIMENTO (20035)"</f>
        <v>CORA SOCIEDADE DE CREDITO, FINANCIAMENTO E INVESTIMENTO (20035)</v>
      </c>
      <c r="G4959" t="str">
        <f>"TAXA BOLETO COMPENSADO"</f>
        <v>TAXA BOLETO COMPENSADO</v>
      </c>
      <c r="H4959" t="str">
        <f>("29/08/2025")</f>
        <v>29/08/2025</v>
      </c>
      <c r="I4959" t="str">
        <f>("28/08/2025")</f>
        <v>28/08/2025</v>
      </c>
      <c r="J4959" t="str">
        <f>("29/08/2025")</f>
        <v>29/08/2025</v>
      </c>
      <c r="K4959">
        <v>1.7</v>
      </c>
      <c r="L4959">
        <v>1.7</v>
      </c>
      <c r="M4959">
        <v>401</v>
      </c>
      <c r="N4959" t="str">
        <f>"IOF/JUROS/DESP.FINANCEIRA"</f>
        <v>IOF/JUROS/DESP.FINANCEIRA</v>
      </c>
      <c r="O4959">
        <v>1.7</v>
      </c>
      <c r="R4959" t="str">
        <f>"BANCO CORA (102)"</f>
        <v>BANCO CORA (102)</v>
      </c>
      <c r="S4959">
        <v>2489</v>
      </c>
      <c r="T4959">
        <v>2063</v>
      </c>
      <c r="U4959" t="s">
        <v>19</v>
      </c>
    </row>
    <row r="4960" spans="1:21">
      <c r="A4960" t="str">
        <f>("29/08/2025")</f>
        <v>29/08/2025</v>
      </c>
      <c r="B4960" t="str">
        <f>"SAÍDA"</f>
        <v>SAÍDA</v>
      </c>
      <c r="C4960" t="str">
        <f>"CONHECIMENTO"</f>
        <v>CONHECIMENTO</v>
      </c>
      <c r="D4960" t="str">
        <f>"290825170"</f>
        <v>290825170</v>
      </c>
      <c r="E4960" t="str">
        <f t="shared" si="2329"/>
        <v>COM</v>
      </c>
      <c r="F4960" t="str">
        <f>"CORA SOCIEDADE DE CREDITO, FINANCIAMENTO E INVESTIMENTO (20035)"</f>
        <v>CORA SOCIEDADE DE CREDITO, FINANCIAMENTO E INVESTIMENTO (20035)</v>
      </c>
      <c r="G4960" t="str">
        <f>"TAXA BOLETO COMPENSADO"</f>
        <v>TAXA BOLETO COMPENSADO</v>
      </c>
      <c r="H4960" t="str">
        <f>("29/08/2025")</f>
        <v>29/08/2025</v>
      </c>
      <c r="I4960" t="str">
        <f>("28/08/2025")</f>
        <v>28/08/2025</v>
      </c>
      <c r="J4960" t="str">
        <f>("29/08/2025")</f>
        <v>29/08/2025</v>
      </c>
      <c r="M4960">
        <v>401</v>
      </c>
      <c r="N4960" t="str">
        <f>"IOF/JUROS/DESP.FINANCEIRA"</f>
        <v>IOF/JUROS/DESP.FINANCEIRA</v>
      </c>
      <c r="P4960">
        <v>1.7</v>
      </c>
      <c r="Q4960" t="str">
        <f>"CORA SOCIEDADE DE CREDITO, FINANCIAMENTO E INVESTIMENTO (20035)"</f>
        <v>CORA SOCIEDADE DE CREDITO, FINANCIAMENTO E INVESTIMENTO (20035)</v>
      </c>
      <c r="R4960" t="str">
        <f>"BANCO CORA (102)"</f>
        <v>BANCO CORA (102)</v>
      </c>
      <c r="S4960">
        <v>2489</v>
      </c>
      <c r="T4960">
        <v>2063</v>
      </c>
      <c r="U4960" t="s">
        <v>19</v>
      </c>
    </row>
    <row r="4961" spans="1:21">
      <c r="A4961" t="str">
        <f>("29/08/2025")</f>
        <v>29/08/2025</v>
      </c>
      <c r="B4961" t="str">
        <f>"ENTRADA"</f>
        <v>ENTRADA</v>
      </c>
      <c r="C4961" t="str">
        <f>"NFSE"</f>
        <v>NFSE</v>
      </c>
      <c r="D4961" t="str">
        <f>"3388"</f>
        <v>3388</v>
      </c>
      <c r="E4961" t="str">
        <f t="shared" si="2329"/>
        <v>COM</v>
      </c>
      <c r="F4961" t="str">
        <f>"DROGARIA POUPA MINAS (DOIS AMIGOS) 5 (10140)"</f>
        <v>DROGARIA POUPA MINAS (DOIS AMIGOS) 5 (10140)</v>
      </c>
      <c r="G4961" t="str">
        <f>"Serv.Prest. 18/08/2025 a 24/08/2025 - RPS: 1154 - NFSe: 3388"</f>
        <v>Serv.Prest. 18/08/2025 a 24/08/2025 - RPS: 1154 - NFSe: 3388</v>
      </c>
      <c r="H4961" t="str">
        <f>("28/08/2025")</f>
        <v>28/08/2025</v>
      </c>
      <c r="I4961" t="str">
        <f>("25/08/2025")</f>
        <v>25/08/2025</v>
      </c>
      <c r="J4961" t="str">
        <f>("29/08/2025")</f>
        <v>29/08/2025</v>
      </c>
      <c r="K4961">
        <v>750.47</v>
      </c>
      <c r="L4961">
        <v>750.47</v>
      </c>
      <c r="M4961">
        <v>303</v>
      </c>
      <c r="N4961" t="str">
        <f>"RECEITAS COM ENTREGAS"</f>
        <v>RECEITAS COM ENTREGAS</v>
      </c>
      <c r="O4961">
        <v>750.47</v>
      </c>
      <c r="R4961" t="str">
        <f>"RECEITAS COM ENTREGAS (303)"</f>
        <v>RECEITAS COM ENTREGAS (303)</v>
      </c>
      <c r="S4961">
        <v>2499</v>
      </c>
      <c r="T4961">
        <v>1947</v>
      </c>
      <c r="U4961" t="s">
        <v>19</v>
      </c>
    </row>
    <row r="4962" spans="1:21">
      <c r="A4962" t="str">
        <f>("29/08/2025")</f>
        <v>29/08/2025</v>
      </c>
      <c r="B4962" t="str">
        <f>"ENTRADA"</f>
        <v>ENTRADA</v>
      </c>
      <c r="C4962" t="str">
        <f>"NFSE"</f>
        <v>NFSE</v>
      </c>
      <c r="D4962" t="str">
        <f>"3388"</f>
        <v>3388</v>
      </c>
      <c r="E4962" t="str">
        <f t="shared" si="2329"/>
        <v>COM</v>
      </c>
      <c r="F4962" t="str">
        <f>"DROGARIA POUPA MINAS (DOIS AMIGOS) 5 (10140)"</f>
        <v>DROGARIA POUPA MINAS (DOIS AMIGOS) 5 (10140)</v>
      </c>
      <c r="G4962" t="str">
        <f>"Serv.Prest. 18/08/2025 a 24/08/2025 - RPS: 1154 - NFSe: 3388"</f>
        <v>Serv.Prest. 18/08/2025 a 24/08/2025 - RPS: 1154 - NFSe: 3388</v>
      </c>
      <c r="H4962" t="str">
        <f>("28/08/2025")</f>
        <v>28/08/2025</v>
      </c>
      <c r="I4962" t="str">
        <f>("25/08/2025")</f>
        <v>25/08/2025</v>
      </c>
      <c r="J4962" t="str">
        <f>("29/08/2025")</f>
        <v>29/08/2025</v>
      </c>
      <c r="M4962">
        <v>303</v>
      </c>
      <c r="N4962" t="str">
        <f>"RECEITAS COM ENTREGAS"</f>
        <v>RECEITAS COM ENTREGAS</v>
      </c>
      <c r="P4962">
        <v>750.47</v>
      </c>
      <c r="Q4962" t="str">
        <f>"DROGARIA POUPA MINAS (ULTRAMINAS) 1 (10181)"</f>
        <v>DROGARIA POUPA MINAS (ULTRAMINAS) 1 (10181)</v>
      </c>
      <c r="R4962" t="str">
        <f>"RECEITAS COM ENTREGAS (303)"</f>
        <v>RECEITAS COM ENTREGAS (303)</v>
      </c>
      <c r="S4962">
        <v>2499</v>
      </c>
      <c r="T4962">
        <v>1947</v>
      </c>
      <c r="U4962" t="s">
        <v>19</v>
      </c>
    </row>
    <row r="4963" spans="1:21">
      <c r="A4963" t="str">
        <f>("31/08/2025")</f>
        <v>31/08/2025</v>
      </c>
      <c r="B4963" t="str">
        <f>"ENTRADA"</f>
        <v>ENTRADA</v>
      </c>
      <c r="C4963" t="str">
        <f>""</f>
        <v/>
      </c>
      <c r="D4963" t="str">
        <f>""</f>
        <v/>
      </c>
      <c r="E4963" t="str">
        <f>"CXA"</f>
        <v>CXA</v>
      </c>
      <c r="F4963" t="str">
        <f>"EDSON BARROS DOS SANTOS 10882852604 (20025)"</f>
        <v>EDSON BARROS DOS SANTOS 10882852604 (20025)</v>
      </c>
      <c r="G4963" t="str">
        <f>"ENTRADA CERTAO PARA CONCILIAÇÃO ( VALORES A DESCOBRIR)"</f>
        <v>ENTRADA CERTAO PARA CONCILIAÇÃO ( VALORES A DESCOBRIR)</v>
      </c>
      <c r="H4963" t="str">
        <f>("31/08/2025")</f>
        <v>31/08/2025</v>
      </c>
      <c r="I4963" t="str">
        <f>("31/08/2025")</f>
        <v>31/08/2025</v>
      </c>
      <c r="J4963" t="str">
        <f>("31/08/2025")</f>
        <v>31/08/2025</v>
      </c>
      <c r="K4963">
        <v>1999.14</v>
      </c>
      <c r="L4963">
        <v>1999.14</v>
      </c>
      <c r="M4963">
        <v>119</v>
      </c>
      <c r="N4963" t="str">
        <f>"RECEITAS COM REEMBOLSOS"</f>
        <v>RECEITAS COM REEMBOLSOS</v>
      </c>
      <c r="O4963">
        <v>1999.14</v>
      </c>
      <c r="R4963" t="str">
        <f>"RECEITAS COM REEMBOLSOS (119)"</f>
        <v>RECEITAS COM REEMBOLSOS (119)</v>
      </c>
      <c r="S4963">
        <v>3103</v>
      </c>
      <c r="T4963">
        <v>0</v>
      </c>
      <c r="U4963" t="s">
        <v>24</v>
      </c>
    </row>
    <row r="4964" spans="1:21">
      <c r="A4964" t="str">
        <f t="shared" ref="A4964:A4969" si="2347">("01/09/2025")</f>
        <v>01/09/2025</v>
      </c>
      <c r="B4964" t="str">
        <f t="shared" ref="B4964:B4973" si="2348">"SAÍDA"</f>
        <v>SAÍDA</v>
      </c>
      <c r="C4964" t="str">
        <f>"PIX"</f>
        <v>PIX</v>
      </c>
      <c r="D4964" t="str">
        <f>"19082514000"</f>
        <v>19082514000</v>
      </c>
      <c r="E4964" t="str">
        <f t="shared" ref="E4964:E5027" si="2349">"COM"</f>
        <v>COM</v>
      </c>
      <c r="F4964" t="str">
        <f>"LILIANE DE FATIMA REZENDE JUSTINO (20013)"</f>
        <v>LILIANE DE FATIMA REZENDE JUSTINO (20013)</v>
      </c>
      <c r="G4964" t="str">
        <f>"DISTRIBUICAO DE LUCROS"</f>
        <v>DISTRIBUICAO DE LUCROS</v>
      </c>
      <c r="H4964" t="str">
        <f>("19/08/2025")</f>
        <v>19/08/2025</v>
      </c>
      <c r="I4964" t="str">
        <f>("19/08/2025")</f>
        <v>19/08/2025</v>
      </c>
      <c r="J4964" t="str">
        <f t="shared" ref="J4964:J4969" si="2350">("01/09/2025")</f>
        <v>01/09/2025</v>
      </c>
      <c r="K4964">
        <v>14000</v>
      </c>
      <c r="L4964">
        <v>14000</v>
      </c>
      <c r="M4964">
        <v>125</v>
      </c>
      <c r="N4964" t="str">
        <f>"DISTRIBUIÇÃO DE LUCRO"</f>
        <v>DISTRIBUIÇÃO DE LUCRO</v>
      </c>
      <c r="O4964">
        <v>14000</v>
      </c>
      <c r="R4964" t="str">
        <f t="shared" ref="R4964:R4973" si="2351">"BANCO CORA (102)"</f>
        <v>BANCO CORA (102)</v>
      </c>
      <c r="S4964">
        <v>2550</v>
      </c>
      <c r="T4964">
        <v>1935</v>
      </c>
      <c r="U4964" t="s">
        <v>19</v>
      </c>
    </row>
    <row r="4965" spans="1:21">
      <c r="A4965" t="str">
        <f t="shared" si="2347"/>
        <v>01/09/2025</v>
      </c>
      <c r="B4965" t="str">
        <f t="shared" si="2348"/>
        <v>SAÍDA</v>
      </c>
      <c r="C4965" t="str">
        <f>"PIX"</f>
        <v>PIX</v>
      </c>
      <c r="D4965" t="str">
        <f>"19082514000"</f>
        <v>19082514000</v>
      </c>
      <c r="E4965" t="str">
        <f t="shared" si="2349"/>
        <v>COM</v>
      </c>
      <c r="F4965" t="str">
        <f>"LILIANE DE FATIMA REZENDE JUSTINO (20013)"</f>
        <v>LILIANE DE FATIMA REZENDE JUSTINO (20013)</v>
      </c>
      <c r="G4965" t="str">
        <f>"DISTRIBUICAO DE LUCROS"</f>
        <v>DISTRIBUICAO DE LUCROS</v>
      </c>
      <c r="H4965" t="str">
        <f>("19/08/2025")</f>
        <v>19/08/2025</v>
      </c>
      <c r="I4965" t="str">
        <f>("19/08/2025")</f>
        <v>19/08/2025</v>
      </c>
      <c r="J4965" t="str">
        <f t="shared" si="2350"/>
        <v>01/09/2025</v>
      </c>
      <c r="M4965">
        <v>125</v>
      </c>
      <c r="N4965" t="str">
        <f>"DISTRIBUIÇÃO DE LUCRO"</f>
        <v>DISTRIBUIÇÃO DE LUCRO</v>
      </c>
      <c r="P4965">
        <v>14000</v>
      </c>
      <c r="Q4965" t="str">
        <f>"LILIANE DE FATIMA REZENDE JUSTINO (20013)"</f>
        <v>LILIANE DE FATIMA REZENDE JUSTINO (20013)</v>
      </c>
      <c r="R4965" t="str">
        <f t="shared" si="2351"/>
        <v>BANCO CORA (102)</v>
      </c>
      <c r="S4965">
        <v>2550</v>
      </c>
      <c r="T4965">
        <v>1935</v>
      </c>
      <c r="U4965" t="s">
        <v>19</v>
      </c>
    </row>
    <row r="4966" spans="1:21">
      <c r="A4966" t="str">
        <f t="shared" si="2347"/>
        <v>01/09/2025</v>
      </c>
      <c r="B4966" t="str">
        <f t="shared" si="2348"/>
        <v>SAÍDA</v>
      </c>
      <c r="C4966" t="str">
        <f>"BOLETO"</f>
        <v>BOLETO</v>
      </c>
      <c r="D4966" t="str">
        <f>"19983"</f>
        <v>19983</v>
      </c>
      <c r="E4966" t="str">
        <f t="shared" si="2349"/>
        <v>COM</v>
      </c>
      <c r="F4966" t="str">
        <f>"SUL AMERICA COMPANHIA DE SEGURO SAUDE (20080)"</f>
        <v>SUL AMERICA COMPANHIA DE SEGURO SAUDE (20080)</v>
      </c>
      <c r="G4966" t="str">
        <f>"CONVENIO MEDICO SOCIOS E DEPENDENTES"</f>
        <v>CONVENIO MEDICO SOCIOS E DEPENDENTES</v>
      </c>
      <c r="H4966" t="str">
        <f t="shared" ref="H4966:I4969" si="2352">("01/09/2025")</f>
        <v>01/09/2025</v>
      </c>
      <c r="I4966" t="str">
        <f t="shared" si="2352"/>
        <v>01/09/2025</v>
      </c>
      <c r="J4966" t="str">
        <f t="shared" si="2350"/>
        <v>01/09/2025</v>
      </c>
      <c r="K4966">
        <v>3111.75</v>
      </c>
      <c r="L4966">
        <v>3111.75</v>
      </c>
      <c r="M4966">
        <v>192</v>
      </c>
      <c r="N4966" t="str">
        <f>"PLANOS E SEGUROS"</f>
        <v>PLANOS E SEGUROS</v>
      </c>
      <c r="O4966">
        <v>3111.75</v>
      </c>
      <c r="R4966" t="str">
        <f t="shared" si="2351"/>
        <v>BANCO CORA (102)</v>
      </c>
      <c r="S4966">
        <v>2551</v>
      </c>
      <c r="T4966">
        <v>2015</v>
      </c>
      <c r="U4966" t="s">
        <v>19</v>
      </c>
    </row>
    <row r="4967" spans="1:21">
      <c r="A4967" t="str">
        <f t="shared" si="2347"/>
        <v>01/09/2025</v>
      </c>
      <c r="B4967" t="str">
        <f t="shared" si="2348"/>
        <v>SAÍDA</v>
      </c>
      <c r="C4967" t="str">
        <f>"BOLETO"</f>
        <v>BOLETO</v>
      </c>
      <c r="D4967" t="str">
        <f>"19983"</f>
        <v>19983</v>
      </c>
      <c r="E4967" t="str">
        <f t="shared" si="2349"/>
        <v>COM</v>
      </c>
      <c r="F4967" t="str">
        <f>"SUL AMERICA COMPANHIA DE SEGURO SAUDE (20080)"</f>
        <v>SUL AMERICA COMPANHIA DE SEGURO SAUDE (20080)</v>
      </c>
      <c r="G4967" t="str">
        <f>"CONVENIO MEDICO SOCIOS E DEPENDENTES"</f>
        <v>CONVENIO MEDICO SOCIOS E DEPENDENTES</v>
      </c>
      <c r="H4967" t="str">
        <f t="shared" si="2352"/>
        <v>01/09/2025</v>
      </c>
      <c r="I4967" t="str">
        <f t="shared" si="2352"/>
        <v>01/09/2025</v>
      </c>
      <c r="J4967" t="str">
        <f t="shared" si="2350"/>
        <v>01/09/2025</v>
      </c>
      <c r="M4967">
        <v>192</v>
      </c>
      <c r="N4967" t="str">
        <f>"PLANOS E SEGUROS"</f>
        <v>PLANOS E SEGUROS</v>
      </c>
      <c r="P4967">
        <v>3111.75</v>
      </c>
      <c r="Q4967" t="str">
        <f>"SUL AMERICA COMPANHIA DE SEGURO SAUDE (20080)"</f>
        <v>SUL AMERICA COMPANHIA DE SEGURO SAUDE (20080)</v>
      </c>
      <c r="R4967" t="str">
        <f t="shared" si="2351"/>
        <v>BANCO CORA (102)</v>
      </c>
      <c r="S4967">
        <v>2551</v>
      </c>
      <c r="T4967">
        <v>2015</v>
      </c>
      <c r="U4967" t="s">
        <v>19</v>
      </c>
    </row>
    <row r="4968" spans="1:21">
      <c r="A4968" t="str">
        <f t="shared" si="2347"/>
        <v>01/09/2025</v>
      </c>
      <c r="B4968" t="str">
        <f t="shared" si="2348"/>
        <v>SAÍDA</v>
      </c>
      <c r="C4968" t="str">
        <f>"PIX"</f>
        <v>PIX</v>
      </c>
      <c r="D4968" t="str">
        <f>"0109251350"</f>
        <v>0109251350</v>
      </c>
      <c r="E4968" t="str">
        <f t="shared" si="2349"/>
        <v>COM</v>
      </c>
      <c r="F4968" t="str">
        <f>"YURI RODRIGUES OLIVEIRA (20064)"</f>
        <v>YURI RODRIGUES OLIVEIRA (20064)</v>
      </c>
      <c r="G4968" t="str">
        <f>"COMISSAO VENDAS SETUP"</f>
        <v>COMISSAO VENDAS SETUP</v>
      </c>
      <c r="H4968" t="str">
        <f t="shared" si="2352"/>
        <v>01/09/2025</v>
      </c>
      <c r="I4968" t="str">
        <f t="shared" si="2352"/>
        <v>01/09/2025</v>
      </c>
      <c r="J4968" t="str">
        <f t="shared" si="2350"/>
        <v>01/09/2025</v>
      </c>
      <c r="K4968">
        <v>1350</v>
      </c>
      <c r="L4968">
        <v>1350</v>
      </c>
      <c r="M4968">
        <v>126</v>
      </c>
      <c r="N4968" t="str">
        <f>"COMISSÕES DE REPRESENTANTES"</f>
        <v>COMISSÕES DE REPRESENTANTES</v>
      </c>
      <c r="O4968">
        <v>1350</v>
      </c>
      <c r="R4968" t="str">
        <f t="shared" si="2351"/>
        <v>BANCO CORA (102)</v>
      </c>
      <c r="S4968">
        <v>2552</v>
      </c>
      <c r="T4968">
        <v>2072</v>
      </c>
      <c r="U4968" t="s">
        <v>19</v>
      </c>
    </row>
    <row r="4969" spans="1:21">
      <c r="A4969" t="str">
        <f t="shared" si="2347"/>
        <v>01/09/2025</v>
      </c>
      <c r="B4969" t="str">
        <f t="shared" si="2348"/>
        <v>SAÍDA</v>
      </c>
      <c r="C4969" t="str">
        <f>"PIX"</f>
        <v>PIX</v>
      </c>
      <c r="D4969" t="str">
        <f>"0109251350"</f>
        <v>0109251350</v>
      </c>
      <c r="E4969" t="str">
        <f t="shared" si="2349"/>
        <v>COM</v>
      </c>
      <c r="F4969" t="str">
        <f>"MAYKON NUNES DA SILVA (20085)"</f>
        <v>MAYKON NUNES DA SILVA (20085)</v>
      </c>
      <c r="G4969" t="str">
        <f>"COMISSAO VENDA SETUP"</f>
        <v>COMISSAO VENDA SETUP</v>
      </c>
      <c r="H4969" t="str">
        <f t="shared" si="2352"/>
        <v>01/09/2025</v>
      </c>
      <c r="I4969" t="str">
        <f t="shared" si="2352"/>
        <v>01/09/2025</v>
      </c>
      <c r="J4969" t="str">
        <f t="shared" si="2350"/>
        <v>01/09/2025</v>
      </c>
      <c r="K4969">
        <v>1350</v>
      </c>
      <c r="L4969">
        <v>1350</v>
      </c>
      <c r="M4969">
        <v>126</v>
      </c>
      <c r="N4969" t="str">
        <f>"COMISSÕES DE REPRESENTANTES"</f>
        <v>COMISSÕES DE REPRESENTANTES</v>
      </c>
      <c r="O4969">
        <v>1350</v>
      </c>
      <c r="R4969" t="str">
        <f t="shared" si="2351"/>
        <v>BANCO CORA (102)</v>
      </c>
      <c r="S4969">
        <v>2553</v>
      </c>
      <c r="T4969">
        <v>2073</v>
      </c>
      <c r="U4969" t="s">
        <v>19</v>
      </c>
    </row>
    <row r="4970" spans="1:21">
      <c r="A4970" t="str">
        <f>("02/09/2025")</f>
        <v>02/09/2025</v>
      </c>
      <c r="B4970" t="str">
        <f t="shared" si="2348"/>
        <v>SAÍDA</v>
      </c>
      <c r="C4970" t="str">
        <f>"PIX"</f>
        <v>PIX</v>
      </c>
      <c r="D4970" t="str">
        <f>"0209251000"</f>
        <v>0209251000</v>
      </c>
      <c r="E4970" t="str">
        <f t="shared" si="2349"/>
        <v>COM</v>
      </c>
      <c r="F4970" t="str">
        <f>"CONTA SIMPLES SOLUCOES DE PAGAMENTOS LTDA (20019)"</f>
        <v>CONTA SIMPLES SOLUCOES DE PAGAMENTOS LTDA (20019)</v>
      </c>
      <c r="G4970" t="str">
        <f>"MARKETING REDES SOCIAIS - PIX- CHAVE ALEATORIA: 1d5b84cc-db31-469d-b8ee-076ced54c3e9"</f>
        <v>MARKETING REDES SOCIAIS - PIX- CHAVE ALEATORIA: 1d5b84cc-db31-469d-b8ee-076ced54c3e9</v>
      </c>
      <c r="H4970" t="str">
        <f>("02/09/2025")</f>
        <v>02/09/2025</v>
      </c>
      <c r="I4970" t="str">
        <f>("02/09/2025")</f>
        <v>02/09/2025</v>
      </c>
      <c r="J4970" t="str">
        <f>("02/09/2025")</f>
        <v>02/09/2025</v>
      </c>
      <c r="K4970">
        <v>1000</v>
      </c>
      <c r="L4970">
        <v>1000</v>
      </c>
      <c r="M4970">
        <v>127</v>
      </c>
      <c r="N4970" t="str">
        <f>"PUBLICIDADE E PROPAGANDAS"</f>
        <v>PUBLICIDADE E PROPAGANDAS</v>
      </c>
      <c r="O4970">
        <v>1000</v>
      </c>
      <c r="R4970" t="str">
        <f t="shared" si="2351"/>
        <v>BANCO CORA (102)</v>
      </c>
      <c r="S4970">
        <v>2540</v>
      </c>
      <c r="T4970">
        <v>2024</v>
      </c>
      <c r="U4970" t="s">
        <v>19</v>
      </c>
    </row>
    <row r="4971" spans="1:21">
      <c r="A4971" t="str">
        <f>("02/09/2025")</f>
        <v>02/09/2025</v>
      </c>
      <c r="B4971" t="str">
        <f t="shared" si="2348"/>
        <v>SAÍDA</v>
      </c>
      <c r="C4971" t="str">
        <f>"BOLETO"</f>
        <v>BOLETO</v>
      </c>
      <c r="D4971" t="str">
        <f>"147337312"</f>
        <v>147337312</v>
      </c>
      <c r="E4971" t="str">
        <f t="shared" si="2349"/>
        <v>COM</v>
      </c>
      <c r="F4971" t="str">
        <f>"ASSESSORIA E CONSULTORIA CONTABIL CONTABILIZA LTDA (20110)"</f>
        <v>ASSESSORIA E CONSULTORIA CONTABIL CONTABILIZA LTDA (20110)</v>
      </c>
      <c r="G4971" t="str">
        <f>"IMERSAO CONTABILIZA PHARMA"</f>
        <v>IMERSAO CONTABILIZA PHARMA</v>
      </c>
      <c r="H4971" t="str">
        <f>("02/09/2025")</f>
        <v>02/09/2025</v>
      </c>
      <c r="I4971" t="str">
        <f>("27/08/2025")</f>
        <v>27/08/2025</v>
      </c>
      <c r="J4971" t="str">
        <f>("02/09/2025")</f>
        <v>02/09/2025</v>
      </c>
      <c r="K4971">
        <v>1500</v>
      </c>
      <c r="L4971">
        <v>1500</v>
      </c>
      <c r="M4971">
        <v>129</v>
      </c>
      <c r="N4971" t="str">
        <f>"DESPESAS COM EVENTOS"</f>
        <v>DESPESAS COM EVENTOS</v>
      </c>
      <c r="O4971">
        <v>1500</v>
      </c>
      <c r="R4971" t="str">
        <f t="shared" si="2351"/>
        <v>BANCO CORA (102)</v>
      </c>
      <c r="S4971">
        <v>2541</v>
      </c>
      <c r="T4971">
        <v>2025</v>
      </c>
      <c r="U4971" t="s">
        <v>19</v>
      </c>
    </row>
    <row r="4972" spans="1:21">
      <c r="A4972" t="str">
        <f>("02/09/2025")</f>
        <v>02/09/2025</v>
      </c>
      <c r="B4972" t="str">
        <f t="shared" si="2348"/>
        <v>SAÍDA</v>
      </c>
      <c r="C4972" t="str">
        <f>"BOLETO"</f>
        <v>BOLETO</v>
      </c>
      <c r="D4972" t="str">
        <f>"147337571"</f>
        <v>147337571</v>
      </c>
      <c r="E4972" t="str">
        <f t="shared" si="2349"/>
        <v>COM</v>
      </c>
      <c r="F4972" t="str">
        <f>"ASSESSORIA E CONSULTORIA CONTABIL CONTABILIZA LTDA (20110)"</f>
        <v>ASSESSORIA E CONSULTORIA CONTABIL CONTABILIZA LTDA (20110)</v>
      </c>
      <c r="G4972" t="str">
        <f>"IMERSAO CONTABILIZA PHARMA"</f>
        <v>IMERSAO CONTABILIZA PHARMA</v>
      </c>
      <c r="H4972" t="str">
        <f>("02/09/2025")</f>
        <v>02/09/2025</v>
      </c>
      <c r="I4972" t="str">
        <f>("27/08/2025")</f>
        <v>27/08/2025</v>
      </c>
      <c r="J4972" t="str">
        <f>("02/09/2025")</f>
        <v>02/09/2025</v>
      </c>
      <c r="K4972">
        <v>1500</v>
      </c>
      <c r="L4972">
        <v>1500</v>
      </c>
      <c r="M4972">
        <v>129</v>
      </c>
      <c r="N4972" t="str">
        <f>"DESPESAS COM EVENTOS"</f>
        <v>DESPESAS COM EVENTOS</v>
      </c>
      <c r="O4972">
        <v>1500</v>
      </c>
      <c r="R4972" t="str">
        <f t="shared" si="2351"/>
        <v>BANCO CORA (102)</v>
      </c>
      <c r="S4972">
        <v>2542</v>
      </c>
      <c r="T4972">
        <v>2026</v>
      </c>
      <c r="U4972" t="s">
        <v>19</v>
      </c>
    </row>
    <row r="4973" spans="1:21">
      <c r="A4973" t="str">
        <f>("02/09/2025")</f>
        <v>02/09/2025</v>
      </c>
      <c r="B4973" t="str">
        <f t="shared" si="2348"/>
        <v>SAÍDA</v>
      </c>
      <c r="C4973" t="str">
        <f>"PIX"</f>
        <v>PIX</v>
      </c>
      <c r="D4973" t="str">
        <f>"0209251100"</f>
        <v>0209251100</v>
      </c>
      <c r="E4973" t="str">
        <f t="shared" si="2349"/>
        <v>COM</v>
      </c>
      <c r="F4973" t="str">
        <f>"UBERGRAL UBERLANDIA GRAFICA LTDA (20109)"</f>
        <v>UBERGRAL UBERLANDIA GRAFICA LTDA (20109)</v>
      </c>
      <c r="G4973" t="str">
        <f>"MATERIAL MARKETING - PANFLETOS - PIX - CNPJ: 37.656.019/0001-09"</f>
        <v>MATERIAL MARKETING - PANFLETOS - PIX - CNPJ: 37.656.019/0001-09</v>
      </c>
      <c r="H4973" t="str">
        <f>("02/09/2025")</f>
        <v>02/09/2025</v>
      </c>
      <c r="I4973" t="str">
        <f>("02/09/2025")</f>
        <v>02/09/2025</v>
      </c>
      <c r="J4973" t="str">
        <f>("02/09/2025")</f>
        <v>02/09/2025</v>
      </c>
      <c r="K4973">
        <v>1100</v>
      </c>
      <c r="L4973">
        <v>1100</v>
      </c>
      <c r="M4973">
        <v>127</v>
      </c>
      <c r="N4973" t="str">
        <f>"PUBLICIDADE E PROPAGANDAS"</f>
        <v>PUBLICIDADE E PROPAGANDAS</v>
      </c>
      <c r="O4973">
        <v>1100</v>
      </c>
      <c r="R4973" t="str">
        <f t="shared" si="2351"/>
        <v>BANCO CORA (102)</v>
      </c>
      <c r="S4973">
        <v>2543</v>
      </c>
      <c r="T4973">
        <v>2027</v>
      </c>
      <c r="U4973" t="s">
        <v>19</v>
      </c>
    </row>
    <row r="4974" spans="1:21">
      <c r="A4974" t="str">
        <f t="shared" ref="A4974:A5005" si="2353">("03/09/2025")</f>
        <v>03/09/2025</v>
      </c>
      <c r="B4974" t="str">
        <f>"ENTRADA"</f>
        <v>ENTRADA</v>
      </c>
      <c r="C4974" t="str">
        <f t="shared" ref="C4974:C5037" si="2354">"NFSE"</f>
        <v>NFSE</v>
      </c>
      <c r="D4974" t="str">
        <f t="shared" ref="D4974:D5021" si="2355">"3396"</f>
        <v>3396</v>
      </c>
      <c r="E4974" t="str">
        <f t="shared" si="2349"/>
        <v>COM</v>
      </c>
      <c r="F4974" t="str">
        <f t="shared" ref="F4974:F5021" si="2356">"FARMÁCIA INDIANA LJ 1 (10126)"</f>
        <v>FARMÁCIA INDIANA LJ 1 (10126)</v>
      </c>
      <c r="G4974" t="str">
        <f t="shared" ref="G4974:G5021" si="2357">"Serv.Prest. 18/08/2025 a 24/08/2025 - RPS: 1162 - NFSe: 3396"</f>
        <v>Serv.Prest. 18/08/2025 a 24/08/2025 - RPS: 1162 - NFSe: 3396</v>
      </c>
      <c r="H4974" t="str">
        <f t="shared" ref="H4974:H5005" si="2358">("03/09/2025")</f>
        <v>03/09/2025</v>
      </c>
      <c r="I4974" t="str">
        <f t="shared" ref="I4974:I5005" si="2359">("25/08/2025")</f>
        <v>25/08/2025</v>
      </c>
      <c r="J4974" t="str">
        <f t="shared" ref="J4974:J5005" si="2360">("03/09/2025")</f>
        <v>03/09/2025</v>
      </c>
      <c r="K4974">
        <v>13915.38</v>
      </c>
      <c r="L4974">
        <v>13915.38</v>
      </c>
      <c r="M4974">
        <v>303</v>
      </c>
      <c r="N4974" t="str">
        <f t="shared" ref="N4974:N5005" si="2361">"RECEITAS COM ENTREGAS"</f>
        <v>RECEITAS COM ENTREGAS</v>
      </c>
      <c r="O4974">
        <v>13915.38</v>
      </c>
      <c r="R4974" t="str">
        <f t="shared" ref="R4974:R5005" si="2362">"RECEITAS COM ENTREGAS (303)"</f>
        <v>RECEITAS COM ENTREGAS (303)</v>
      </c>
      <c r="S4974">
        <v>2500</v>
      </c>
      <c r="T4974">
        <v>1955</v>
      </c>
      <c r="U4974" t="s">
        <v>19</v>
      </c>
    </row>
    <row r="4975" spans="1:21">
      <c r="A4975" t="str">
        <f t="shared" si="2353"/>
        <v>03/09/2025</v>
      </c>
      <c r="B4975" t="str">
        <f t="shared" ref="B4975:B5038" si="2363">"ENTRADA"</f>
        <v>ENTRADA</v>
      </c>
      <c r="C4975" t="str">
        <f t="shared" si="2354"/>
        <v>NFSE</v>
      </c>
      <c r="D4975" t="str">
        <f t="shared" si="2355"/>
        <v>3396</v>
      </c>
      <c r="E4975" t="str">
        <f t="shared" si="2349"/>
        <v>COM</v>
      </c>
      <c r="F4975" t="str">
        <f t="shared" si="2356"/>
        <v>FARMÁCIA INDIANA LJ 1 (10126)</v>
      </c>
      <c r="G4975" t="str">
        <f t="shared" si="2357"/>
        <v>Serv.Prest. 18/08/2025 a 24/08/2025 - RPS: 1162 - NFSe: 3396</v>
      </c>
      <c r="H4975" t="str">
        <f t="shared" si="2358"/>
        <v>03/09/2025</v>
      </c>
      <c r="I4975" t="str">
        <f t="shared" si="2359"/>
        <v>25/08/2025</v>
      </c>
      <c r="J4975" t="str">
        <f t="shared" si="2360"/>
        <v>03/09/2025</v>
      </c>
      <c r="M4975">
        <v>303</v>
      </c>
      <c r="N4975" t="str">
        <f t="shared" si="2361"/>
        <v>RECEITAS COM ENTREGAS</v>
      </c>
      <c r="P4975">
        <v>1820.11</v>
      </c>
      <c r="Q4975" t="str">
        <f>"FARMÁCIA INDIANA LJ 06 (10006)"</f>
        <v>FARMÁCIA INDIANA LJ 06 (10006)</v>
      </c>
      <c r="R4975" t="str">
        <f t="shared" si="2362"/>
        <v>RECEITAS COM ENTREGAS (303)</v>
      </c>
      <c r="S4975">
        <v>2500</v>
      </c>
      <c r="T4975">
        <v>1955</v>
      </c>
      <c r="U4975" t="s">
        <v>19</v>
      </c>
    </row>
    <row r="4976" spans="1:21">
      <c r="A4976" t="str">
        <f t="shared" si="2353"/>
        <v>03/09/2025</v>
      </c>
      <c r="B4976" t="str">
        <f t="shared" si="2363"/>
        <v>ENTRADA</v>
      </c>
      <c r="C4976" t="str">
        <f t="shared" si="2354"/>
        <v>NFSE</v>
      </c>
      <c r="D4976" t="str">
        <f t="shared" si="2355"/>
        <v>3396</v>
      </c>
      <c r="E4976" t="str">
        <f t="shared" si="2349"/>
        <v>COM</v>
      </c>
      <c r="F4976" t="str">
        <f t="shared" si="2356"/>
        <v>FARMÁCIA INDIANA LJ 1 (10126)</v>
      </c>
      <c r="G4976" t="str">
        <f t="shared" si="2357"/>
        <v>Serv.Prest. 18/08/2025 a 24/08/2025 - RPS: 1162 - NFSe: 3396</v>
      </c>
      <c r="H4976" t="str">
        <f t="shared" si="2358"/>
        <v>03/09/2025</v>
      </c>
      <c r="I4976" t="str">
        <f t="shared" si="2359"/>
        <v>25/08/2025</v>
      </c>
      <c r="J4976" t="str">
        <f t="shared" si="2360"/>
        <v>03/09/2025</v>
      </c>
      <c r="M4976">
        <v>303</v>
      </c>
      <c r="N4976" t="str">
        <f t="shared" si="2361"/>
        <v>RECEITAS COM ENTREGAS</v>
      </c>
      <c r="P4976">
        <v>1319.18</v>
      </c>
      <c r="Q4976" t="str">
        <f>"FARMÁCIA INDIANA LJ 07 (10007)"</f>
        <v>FARMÁCIA INDIANA LJ 07 (10007)</v>
      </c>
      <c r="R4976" t="str">
        <f t="shared" si="2362"/>
        <v>RECEITAS COM ENTREGAS (303)</v>
      </c>
      <c r="S4976">
        <v>2500</v>
      </c>
      <c r="T4976">
        <v>1955</v>
      </c>
      <c r="U4976" t="s">
        <v>19</v>
      </c>
    </row>
    <row r="4977" spans="1:21">
      <c r="A4977" t="str">
        <f t="shared" si="2353"/>
        <v>03/09/2025</v>
      </c>
      <c r="B4977" t="str">
        <f t="shared" si="2363"/>
        <v>ENTRADA</v>
      </c>
      <c r="C4977" t="str">
        <f t="shared" si="2354"/>
        <v>NFSE</v>
      </c>
      <c r="D4977" t="str">
        <f t="shared" si="2355"/>
        <v>3396</v>
      </c>
      <c r="E4977" t="str">
        <f t="shared" si="2349"/>
        <v>COM</v>
      </c>
      <c r="F4977" t="str">
        <f t="shared" si="2356"/>
        <v>FARMÁCIA INDIANA LJ 1 (10126)</v>
      </c>
      <c r="G4977" t="str">
        <f t="shared" si="2357"/>
        <v>Serv.Prest. 18/08/2025 a 24/08/2025 - RPS: 1162 - NFSe: 3396</v>
      </c>
      <c r="H4977" t="str">
        <f t="shared" si="2358"/>
        <v>03/09/2025</v>
      </c>
      <c r="I4977" t="str">
        <f t="shared" si="2359"/>
        <v>25/08/2025</v>
      </c>
      <c r="J4977" t="str">
        <f t="shared" si="2360"/>
        <v>03/09/2025</v>
      </c>
      <c r="M4977">
        <v>303</v>
      </c>
      <c r="N4977" t="str">
        <f t="shared" si="2361"/>
        <v>RECEITAS COM ENTREGAS</v>
      </c>
      <c r="P4977">
        <v>1036.7</v>
      </c>
      <c r="Q4977" t="str">
        <f>"FARMÁCIA INDIANA LJ 11 (10008)"</f>
        <v>FARMÁCIA INDIANA LJ 11 (10008)</v>
      </c>
      <c r="R4977" t="str">
        <f t="shared" si="2362"/>
        <v>RECEITAS COM ENTREGAS (303)</v>
      </c>
      <c r="S4977">
        <v>2500</v>
      </c>
      <c r="T4977">
        <v>1955</v>
      </c>
      <c r="U4977" t="s">
        <v>19</v>
      </c>
    </row>
    <row r="4978" spans="1:21">
      <c r="A4978" t="str">
        <f t="shared" si="2353"/>
        <v>03/09/2025</v>
      </c>
      <c r="B4978" t="str">
        <f t="shared" si="2363"/>
        <v>ENTRADA</v>
      </c>
      <c r="C4978" t="str">
        <f t="shared" si="2354"/>
        <v>NFSE</v>
      </c>
      <c r="D4978" t="str">
        <f t="shared" si="2355"/>
        <v>3396</v>
      </c>
      <c r="E4978" t="str">
        <f t="shared" si="2349"/>
        <v>COM</v>
      </c>
      <c r="F4978" t="str">
        <f t="shared" si="2356"/>
        <v>FARMÁCIA INDIANA LJ 1 (10126)</v>
      </c>
      <c r="G4978" t="str">
        <f t="shared" si="2357"/>
        <v>Serv.Prest. 18/08/2025 a 24/08/2025 - RPS: 1162 - NFSe: 3396</v>
      </c>
      <c r="H4978" t="str">
        <f t="shared" si="2358"/>
        <v>03/09/2025</v>
      </c>
      <c r="I4978" t="str">
        <f t="shared" si="2359"/>
        <v>25/08/2025</v>
      </c>
      <c r="J4978" t="str">
        <f t="shared" si="2360"/>
        <v>03/09/2025</v>
      </c>
      <c r="M4978">
        <v>303</v>
      </c>
      <c r="N4978" t="str">
        <f t="shared" si="2361"/>
        <v>RECEITAS COM ENTREGAS</v>
      </c>
      <c r="P4978">
        <v>414.68</v>
      </c>
      <c r="Q4978" t="str">
        <f>"FARMÁCIA INDIANA LJ 14 (10009)"</f>
        <v>FARMÁCIA INDIANA LJ 14 (10009)</v>
      </c>
      <c r="R4978" t="str">
        <f t="shared" si="2362"/>
        <v>RECEITAS COM ENTREGAS (303)</v>
      </c>
      <c r="S4978">
        <v>2500</v>
      </c>
      <c r="T4978">
        <v>1955</v>
      </c>
      <c r="U4978" t="s">
        <v>19</v>
      </c>
    </row>
    <row r="4979" spans="1:21">
      <c r="A4979" t="str">
        <f t="shared" si="2353"/>
        <v>03/09/2025</v>
      </c>
      <c r="B4979" t="str">
        <f t="shared" si="2363"/>
        <v>ENTRADA</v>
      </c>
      <c r="C4979" t="str">
        <f t="shared" si="2354"/>
        <v>NFSE</v>
      </c>
      <c r="D4979" t="str">
        <f t="shared" si="2355"/>
        <v>3396</v>
      </c>
      <c r="E4979" t="str">
        <f t="shared" si="2349"/>
        <v>COM</v>
      </c>
      <c r="F4979" t="str">
        <f t="shared" si="2356"/>
        <v>FARMÁCIA INDIANA LJ 1 (10126)</v>
      </c>
      <c r="G4979" t="str">
        <f t="shared" si="2357"/>
        <v>Serv.Prest. 18/08/2025 a 24/08/2025 - RPS: 1162 - NFSe: 3396</v>
      </c>
      <c r="H4979" t="str">
        <f t="shared" si="2358"/>
        <v>03/09/2025</v>
      </c>
      <c r="I4979" t="str">
        <f t="shared" si="2359"/>
        <v>25/08/2025</v>
      </c>
      <c r="J4979" t="str">
        <f t="shared" si="2360"/>
        <v>03/09/2025</v>
      </c>
      <c r="M4979">
        <v>303</v>
      </c>
      <c r="N4979" t="str">
        <f t="shared" si="2361"/>
        <v>RECEITAS COM ENTREGAS</v>
      </c>
      <c r="P4979">
        <v>311.7</v>
      </c>
      <c r="Q4979" t="str">
        <f>"FARMÁCIA INDIANA LJ 18 (10011)"</f>
        <v>FARMÁCIA INDIANA LJ 18 (10011)</v>
      </c>
      <c r="R4979" t="str">
        <f t="shared" si="2362"/>
        <v>RECEITAS COM ENTREGAS (303)</v>
      </c>
      <c r="S4979">
        <v>2500</v>
      </c>
      <c r="T4979">
        <v>1955</v>
      </c>
      <c r="U4979" t="s">
        <v>19</v>
      </c>
    </row>
    <row r="4980" spans="1:21">
      <c r="A4980" t="str">
        <f t="shared" si="2353"/>
        <v>03/09/2025</v>
      </c>
      <c r="B4980" t="str">
        <f t="shared" si="2363"/>
        <v>ENTRADA</v>
      </c>
      <c r="C4980" t="str">
        <f t="shared" si="2354"/>
        <v>NFSE</v>
      </c>
      <c r="D4980" t="str">
        <f t="shared" si="2355"/>
        <v>3396</v>
      </c>
      <c r="E4980" t="str">
        <f t="shared" si="2349"/>
        <v>COM</v>
      </c>
      <c r="F4980" t="str">
        <f t="shared" si="2356"/>
        <v>FARMÁCIA INDIANA LJ 1 (10126)</v>
      </c>
      <c r="G4980" t="str">
        <f t="shared" si="2357"/>
        <v>Serv.Prest. 18/08/2025 a 24/08/2025 - RPS: 1162 - NFSe: 3396</v>
      </c>
      <c r="H4980" t="str">
        <f t="shared" si="2358"/>
        <v>03/09/2025</v>
      </c>
      <c r="I4980" t="str">
        <f t="shared" si="2359"/>
        <v>25/08/2025</v>
      </c>
      <c r="J4980" t="str">
        <f t="shared" si="2360"/>
        <v>03/09/2025</v>
      </c>
      <c r="M4980">
        <v>303</v>
      </c>
      <c r="N4980" t="str">
        <f t="shared" si="2361"/>
        <v>RECEITAS COM ENTREGAS</v>
      </c>
      <c r="P4980">
        <v>353.45</v>
      </c>
      <c r="Q4980" t="str">
        <f>"FARMÁCIA INDIANA LJ 19 (10012)"</f>
        <v>FARMÁCIA INDIANA LJ 19 (10012)</v>
      </c>
      <c r="R4980" t="str">
        <f t="shared" si="2362"/>
        <v>RECEITAS COM ENTREGAS (303)</v>
      </c>
      <c r="S4980">
        <v>2500</v>
      </c>
      <c r="T4980">
        <v>1955</v>
      </c>
      <c r="U4980" t="s">
        <v>19</v>
      </c>
    </row>
    <row r="4981" spans="1:21">
      <c r="A4981" t="str">
        <f t="shared" si="2353"/>
        <v>03/09/2025</v>
      </c>
      <c r="B4981" t="str">
        <f t="shared" si="2363"/>
        <v>ENTRADA</v>
      </c>
      <c r="C4981" t="str">
        <f t="shared" si="2354"/>
        <v>NFSE</v>
      </c>
      <c r="D4981" t="str">
        <f t="shared" si="2355"/>
        <v>3396</v>
      </c>
      <c r="E4981" t="str">
        <f t="shared" si="2349"/>
        <v>COM</v>
      </c>
      <c r="F4981" t="str">
        <f t="shared" si="2356"/>
        <v>FARMÁCIA INDIANA LJ 1 (10126)</v>
      </c>
      <c r="G4981" t="str">
        <f t="shared" si="2357"/>
        <v>Serv.Prest. 18/08/2025 a 24/08/2025 - RPS: 1162 - NFSe: 3396</v>
      </c>
      <c r="H4981" t="str">
        <f t="shared" si="2358"/>
        <v>03/09/2025</v>
      </c>
      <c r="I4981" t="str">
        <f t="shared" si="2359"/>
        <v>25/08/2025</v>
      </c>
      <c r="J4981" t="str">
        <f t="shared" si="2360"/>
        <v>03/09/2025</v>
      </c>
      <c r="M4981">
        <v>303</v>
      </c>
      <c r="N4981" t="str">
        <f t="shared" si="2361"/>
        <v>RECEITAS COM ENTREGAS</v>
      </c>
      <c r="P4981">
        <v>1053.3900000000001</v>
      </c>
      <c r="Q4981" t="str">
        <f>"FARMÁCIA INDIANA LJ 40 (10016)"</f>
        <v>FARMÁCIA INDIANA LJ 40 (10016)</v>
      </c>
      <c r="R4981" t="str">
        <f t="shared" si="2362"/>
        <v>RECEITAS COM ENTREGAS (303)</v>
      </c>
      <c r="S4981">
        <v>2500</v>
      </c>
      <c r="T4981">
        <v>1955</v>
      </c>
      <c r="U4981" t="s">
        <v>19</v>
      </c>
    </row>
    <row r="4982" spans="1:21">
      <c r="A4982" t="str">
        <f t="shared" si="2353"/>
        <v>03/09/2025</v>
      </c>
      <c r="B4982" t="str">
        <f t="shared" si="2363"/>
        <v>ENTRADA</v>
      </c>
      <c r="C4982" t="str">
        <f t="shared" si="2354"/>
        <v>NFSE</v>
      </c>
      <c r="D4982" t="str">
        <f t="shared" si="2355"/>
        <v>3396</v>
      </c>
      <c r="E4982" t="str">
        <f t="shared" si="2349"/>
        <v>COM</v>
      </c>
      <c r="F4982" t="str">
        <f t="shared" si="2356"/>
        <v>FARMÁCIA INDIANA LJ 1 (10126)</v>
      </c>
      <c r="G4982" t="str">
        <f t="shared" si="2357"/>
        <v>Serv.Prest. 18/08/2025 a 24/08/2025 - RPS: 1162 - NFSe: 3396</v>
      </c>
      <c r="H4982" t="str">
        <f t="shared" si="2358"/>
        <v>03/09/2025</v>
      </c>
      <c r="I4982" t="str">
        <f t="shared" si="2359"/>
        <v>25/08/2025</v>
      </c>
      <c r="J4982" t="str">
        <f t="shared" si="2360"/>
        <v>03/09/2025</v>
      </c>
      <c r="M4982">
        <v>303</v>
      </c>
      <c r="N4982" t="str">
        <f t="shared" si="2361"/>
        <v>RECEITAS COM ENTREGAS</v>
      </c>
      <c r="P4982">
        <v>353.45</v>
      </c>
      <c r="Q4982" t="str">
        <f>"FARMÁCIA INDIANA LJ 59 (10026)"</f>
        <v>FARMÁCIA INDIANA LJ 59 (10026)</v>
      </c>
      <c r="R4982" t="str">
        <f t="shared" si="2362"/>
        <v>RECEITAS COM ENTREGAS (303)</v>
      </c>
      <c r="S4982">
        <v>2500</v>
      </c>
      <c r="T4982">
        <v>1955</v>
      </c>
      <c r="U4982" t="s">
        <v>19</v>
      </c>
    </row>
    <row r="4983" spans="1:21">
      <c r="A4983" t="str">
        <f t="shared" si="2353"/>
        <v>03/09/2025</v>
      </c>
      <c r="B4983" t="str">
        <f t="shared" si="2363"/>
        <v>ENTRADA</v>
      </c>
      <c r="C4983" t="str">
        <f t="shared" si="2354"/>
        <v>NFSE</v>
      </c>
      <c r="D4983" t="str">
        <f t="shared" si="2355"/>
        <v>3396</v>
      </c>
      <c r="E4983" t="str">
        <f t="shared" si="2349"/>
        <v>COM</v>
      </c>
      <c r="F4983" t="str">
        <f t="shared" si="2356"/>
        <v>FARMÁCIA INDIANA LJ 1 (10126)</v>
      </c>
      <c r="G4983" t="str">
        <f t="shared" si="2357"/>
        <v>Serv.Prest. 18/08/2025 a 24/08/2025 - RPS: 1162 - NFSe: 3396</v>
      </c>
      <c r="H4983" t="str">
        <f t="shared" si="2358"/>
        <v>03/09/2025</v>
      </c>
      <c r="I4983" t="str">
        <f t="shared" si="2359"/>
        <v>25/08/2025</v>
      </c>
      <c r="J4983" t="str">
        <f t="shared" si="2360"/>
        <v>03/09/2025</v>
      </c>
      <c r="M4983">
        <v>303</v>
      </c>
      <c r="N4983" t="str">
        <f t="shared" si="2361"/>
        <v>RECEITAS COM ENTREGAS</v>
      </c>
      <c r="P4983">
        <v>485.65</v>
      </c>
      <c r="Q4983" t="str">
        <f>"FARMÁCIA INDIANA LJ 61 (10027)"</f>
        <v>FARMÁCIA INDIANA LJ 61 (10027)</v>
      </c>
      <c r="R4983" t="str">
        <f t="shared" si="2362"/>
        <v>RECEITAS COM ENTREGAS (303)</v>
      </c>
      <c r="S4983">
        <v>2500</v>
      </c>
      <c r="T4983">
        <v>1955</v>
      </c>
      <c r="U4983" t="s">
        <v>19</v>
      </c>
    </row>
    <row r="4984" spans="1:21">
      <c r="A4984" t="str">
        <f t="shared" si="2353"/>
        <v>03/09/2025</v>
      </c>
      <c r="B4984" t="str">
        <f t="shared" si="2363"/>
        <v>ENTRADA</v>
      </c>
      <c r="C4984" t="str">
        <f t="shared" si="2354"/>
        <v>NFSE</v>
      </c>
      <c r="D4984" t="str">
        <f t="shared" si="2355"/>
        <v>3396</v>
      </c>
      <c r="E4984" t="str">
        <f t="shared" si="2349"/>
        <v>COM</v>
      </c>
      <c r="F4984" t="str">
        <f t="shared" si="2356"/>
        <v>FARMÁCIA INDIANA LJ 1 (10126)</v>
      </c>
      <c r="G4984" t="str">
        <f t="shared" si="2357"/>
        <v>Serv.Prest. 18/08/2025 a 24/08/2025 - RPS: 1162 - NFSe: 3396</v>
      </c>
      <c r="H4984" t="str">
        <f t="shared" si="2358"/>
        <v>03/09/2025</v>
      </c>
      <c r="I4984" t="str">
        <f t="shared" si="2359"/>
        <v>25/08/2025</v>
      </c>
      <c r="J4984" t="str">
        <f t="shared" si="2360"/>
        <v>03/09/2025</v>
      </c>
      <c r="M4984">
        <v>303</v>
      </c>
      <c r="N4984" t="str">
        <f t="shared" si="2361"/>
        <v>RECEITAS COM ENTREGAS</v>
      </c>
      <c r="P4984">
        <v>304.75</v>
      </c>
      <c r="Q4984" t="str">
        <f>"FARMÁCIA INDIANA LJ 62 (10028)"</f>
        <v>FARMÁCIA INDIANA LJ 62 (10028)</v>
      </c>
      <c r="R4984" t="str">
        <f t="shared" si="2362"/>
        <v>RECEITAS COM ENTREGAS (303)</v>
      </c>
      <c r="S4984">
        <v>2500</v>
      </c>
      <c r="T4984">
        <v>1955</v>
      </c>
      <c r="U4984" t="s">
        <v>19</v>
      </c>
    </row>
    <row r="4985" spans="1:21">
      <c r="A4985" t="str">
        <f t="shared" si="2353"/>
        <v>03/09/2025</v>
      </c>
      <c r="B4985" t="str">
        <f t="shared" si="2363"/>
        <v>ENTRADA</v>
      </c>
      <c r="C4985" t="str">
        <f t="shared" si="2354"/>
        <v>NFSE</v>
      </c>
      <c r="D4985" t="str">
        <f t="shared" si="2355"/>
        <v>3396</v>
      </c>
      <c r="E4985" t="str">
        <f t="shared" si="2349"/>
        <v>COM</v>
      </c>
      <c r="F4985" t="str">
        <f t="shared" si="2356"/>
        <v>FARMÁCIA INDIANA LJ 1 (10126)</v>
      </c>
      <c r="G4985" t="str">
        <f t="shared" si="2357"/>
        <v>Serv.Prest. 18/08/2025 a 24/08/2025 - RPS: 1162 - NFSe: 3396</v>
      </c>
      <c r="H4985" t="str">
        <f t="shared" si="2358"/>
        <v>03/09/2025</v>
      </c>
      <c r="I4985" t="str">
        <f t="shared" si="2359"/>
        <v>25/08/2025</v>
      </c>
      <c r="J4985" t="str">
        <f t="shared" si="2360"/>
        <v>03/09/2025</v>
      </c>
      <c r="M4985">
        <v>303</v>
      </c>
      <c r="N4985" t="str">
        <f t="shared" si="2361"/>
        <v>RECEITAS COM ENTREGAS</v>
      </c>
      <c r="P4985">
        <v>114.11</v>
      </c>
      <c r="Q4985" t="str">
        <f>"FARMÁCIA INDIANA LJ 64 (10029)"</f>
        <v>FARMÁCIA INDIANA LJ 64 (10029)</v>
      </c>
      <c r="R4985" t="str">
        <f t="shared" si="2362"/>
        <v>RECEITAS COM ENTREGAS (303)</v>
      </c>
      <c r="S4985">
        <v>2500</v>
      </c>
      <c r="T4985">
        <v>1955</v>
      </c>
      <c r="U4985" t="s">
        <v>19</v>
      </c>
    </row>
    <row r="4986" spans="1:21">
      <c r="A4986" t="str">
        <f t="shared" si="2353"/>
        <v>03/09/2025</v>
      </c>
      <c r="B4986" t="str">
        <f t="shared" si="2363"/>
        <v>ENTRADA</v>
      </c>
      <c r="C4986" t="str">
        <f t="shared" si="2354"/>
        <v>NFSE</v>
      </c>
      <c r="D4986" t="str">
        <f t="shared" si="2355"/>
        <v>3396</v>
      </c>
      <c r="E4986" t="str">
        <f t="shared" si="2349"/>
        <v>COM</v>
      </c>
      <c r="F4986" t="str">
        <f t="shared" si="2356"/>
        <v>FARMÁCIA INDIANA LJ 1 (10126)</v>
      </c>
      <c r="G4986" t="str">
        <f t="shared" si="2357"/>
        <v>Serv.Prest. 18/08/2025 a 24/08/2025 - RPS: 1162 - NFSe: 3396</v>
      </c>
      <c r="H4986" t="str">
        <f t="shared" si="2358"/>
        <v>03/09/2025</v>
      </c>
      <c r="I4986" t="str">
        <f t="shared" si="2359"/>
        <v>25/08/2025</v>
      </c>
      <c r="J4986" t="str">
        <f t="shared" si="2360"/>
        <v>03/09/2025</v>
      </c>
      <c r="M4986">
        <v>303</v>
      </c>
      <c r="N4986" t="str">
        <f t="shared" si="2361"/>
        <v>RECEITAS COM ENTREGAS</v>
      </c>
      <c r="P4986">
        <v>65.400000000000006</v>
      </c>
      <c r="Q4986" t="str">
        <f>"FARMÁCIA INDIANA LJ 97 (10040)"</f>
        <v>FARMÁCIA INDIANA LJ 97 (10040)</v>
      </c>
      <c r="R4986" t="str">
        <f t="shared" si="2362"/>
        <v>RECEITAS COM ENTREGAS (303)</v>
      </c>
      <c r="S4986">
        <v>2500</v>
      </c>
      <c r="T4986">
        <v>1955</v>
      </c>
      <c r="U4986" t="s">
        <v>19</v>
      </c>
    </row>
    <row r="4987" spans="1:21">
      <c r="A4987" t="str">
        <f t="shared" si="2353"/>
        <v>03/09/2025</v>
      </c>
      <c r="B4987" t="str">
        <f t="shared" si="2363"/>
        <v>ENTRADA</v>
      </c>
      <c r="C4987" t="str">
        <f t="shared" si="2354"/>
        <v>NFSE</v>
      </c>
      <c r="D4987" t="str">
        <f t="shared" si="2355"/>
        <v>3396</v>
      </c>
      <c r="E4987" t="str">
        <f t="shared" si="2349"/>
        <v>COM</v>
      </c>
      <c r="F4987" t="str">
        <f t="shared" si="2356"/>
        <v>FARMÁCIA INDIANA LJ 1 (10126)</v>
      </c>
      <c r="G4987" t="str">
        <f t="shared" si="2357"/>
        <v>Serv.Prest. 18/08/2025 a 24/08/2025 - RPS: 1162 - NFSe: 3396</v>
      </c>
      <c r="H4987" t="str">
        <f t="shared" si="2358"/>
        <v>03/09/2025</v>
      </c>
      <c r="I4987" t="str">
        <f t="shared" si="2359"/>
        <v>25/08/2025</v>
      </c>
      <c r="J4987" t="str">
        <f t="shared" si="2360"/>
        <v>03/09/2025</v>
      </c>
      <c r="M4987">
        <v>303</v>
      </c>
      <c r="N4987" t="str">
        <f t="shared" si="2361"/>
        <v>RECEITAS COM ENTREGAS</v>
      </c>
      <c r="P4987">
        <v>320.05</v>
      </c>
      <c r="Q4987" t="str">
        <f>"FARMÁCIA INDIANA LJ 100 (10042)"</f>
        <v>FARMÁCIA INDIANA LJ 100 (10042)</v>
      </c>
      <c r="R4987" t="str">
        <f t="shared" si="2362"/>
        <v>RECEITAS COM ENTREGAS (303)</v>
      </c>
      <c r="S4987">
        <v>2500</v>
      </c>
      <c r="T4987">
        <v>1955</v>
      </c>
      <c r="U4987" t="s">
        <v>19</v>
      </c>
    </row>
    <row r="4988" spans="1:21">
      <c r="A4988" t="str">
        <f t="shared" si="2353"/>
        <v>03/09/2025</v>
      </c>
      <c r="B4988" t="str">
        <f t="shared" si="2363"/>
        <v>ENTRADA</v>
      </c>
      <c r="C4988" t="str">
        <f t="shared" si="2354"/>
        <v>NFSE</v>
      </c>
      <c r="D4988" t="str">
        <f t="shared" si="2355"/>
        <v>3396</v>
      </c>
      <c r="E4988" t="str">
        <f t="shared" si="2349"/>
        <v>COM</v>
      </c>
      <c r="F4988" t="str">
        <f t="shared" si="2356"/>
        <v>FARMÁCIA INDIANA LJ 1 (10126)</v>
      </c>
      <c r="G4988" t="str">
        <f t="shared" si="2357"/>
        <v>Serv.Prest. 18/08/2025 a 24/08/2025 - RPS: 1162 - NFSe: 3396</v>
      </c>
      <c r="H4988" t="str">
        <f t="shared" si="2358"/>
        <v>03/09/2025</v>
      </c>
      <c r="I4988" t="str">
        <f t="shared" si="2359"/>
        <v>25/08/2025</v>
      </c>
      <c r="J4988" t="str">
        <f t="shared" si="2360"/>
        <v>03/09/2025</v>
      </c>
      <c r="M4988">
        <v>303</v>
      </c>
      <c r="N4988" t="str">
        <f t="shared" si="2361"/>
        <v>RECEITAS COM ENTREGAS</v>
      </c>
      <c r="P4988">
        <v>552.44000000000005</v>
      </c>
      <c r="Q4988" t="str">
        <f>"FARMÁCIA INDIANA LJ 101 (10043)"</f>
        <v>FARMÁCIA INDIANA LJ 101 (10043)</v>
      </c>
      <c r="R4988" t="str">
        <f t="shared" si="2362"/>
        <v>RECEITAS COM ENTREGAS (303)</v>
      </c>
      <c r="S4988">
        <v>2500</v>
      </c>
      <c r="T4988">
        <v>1955</v>
      </c>
      <c r="U4988" t="s">
        <v>19</v>
      </c>
    </row>
    <row r="4989" spans="1:21">
      <c r="A4989" t="str">
        <f t="shared" si="2353"/>
        <v>03/09/2025</v>
      </c>
      <c r="B4989" t="str">
        <f t="shared" si="2363"/>
        <v>ENTRADA</v>
      </c>
      <c r="C4989" t="str">
        <f t="shared" si="2354"/>
        <v>NFSE</v>
      </c>
      <c r="D4989" t="str">
        <f t="shared" si="2355"/>
        <v>3396</v>
      </c>
      <c r="E4989" t="str">
        <f t="shared" si="2349"/>
        <v>COM</v>
      </c>
      <c r="F4989" t="str">
        <f t="shared" si="2356"/>
        <v>FARMÁCIA INDIANA LJ 1 (10126)</v>
      </c>
      <c r="G4989" t="str">
        <f t="shared" si="2357"/>
        <v>Serv.Prest. 18/08/2025 a 24/08/2025 - RPS: 1162 - NFSe: 3396</v>
      </c>
      <c r="H4989" t="str">
        <f t="shared" si="2358"/>
        <v>03/09/2025</v>
      </c>
      <c r="I4989" t="str">
        <f t="shared" si="2359"/>
        <v>25/08/2025</v>
      </c>
      <c r="J4989" t="str">
        <f t="shared" si="2360"/>
        <v>03/09/2025</v>
      </c>
      <c r="M4989">
        <v>303</v>
      </c>
      <c r="N4989" t="str">
        <f t="shared" si="2361"/>
        <v>RECEITAS COM ENTREGAS</v>
      </c>
      <c r="P4989">
        <v>133.59</v>
      </c>
      <c r="Q4989" t="str">
        <f>"FARMÁCIA INDIANA LJ 103 (10044)"</f>
        <v>FARMÁCIA INDIANA LJ 103 (10044)</v>
      </c>
      <c r="R4989" t="str">
        <f t="shared" si="2362"/>
        <v>RECEITAS COM ENTREGAS (303)</v>
      </c>
      <c r="S4989">
        <v>2500</v>
      </c>
      <c r="T4989">
        <v>1955</v>
      </c>
      <c r="U4989" t="s">
        <v>19</v>
      </c>
    </row>
    <row r="4990" spans="1:21">
      <c r="A4990" t="str">
        <f t="shared" si="2353"/>
        <v>03/09/2025</v>
      </c>
      <c r="B4990" t="str">
        <f t="shared" si="2363"/>
        <v>ENTRADA</v>
      </c>
      <c r="C4990" t="str">
        <f t="shared" si="2354"/>
        <v>NFSE</v>
      </c>
      <c r="D4990" t="str">
        <f t="shared" si="2355"/>
        <v>3396</v>
      </c>
      <c r="E4990" t="str">
        <f t="shared" si="2349"/>
        <v>COM</v>
      </c>
      <c r="F4990" t="str">
        <f t="shared" si="2356"/>
        <v>FARMÁCIA INDIANA LJ 1 (10126)</v>
      </c>
      <c r="G4990" t="str">
        <f t="shared" si="2357"/>
        <v>Serv.Prest. 18/08/2025 a 24/08/2025 - RPS: 1162 - NFSe: 3396</v>
      </c>
      <c r="H4990" t="str">
        <f t="shared" si="2358"/>
        <v>03/09/2025</v>
      </c>
      <c r="I4990" t="str">
        <f t="shared" si="2359"/>
        <v>25/08/2025</v>
      </c>
      <c r="J4990" t="str">
        <f t="shared" si="2360"/>
        <v>03/09/2025</v>
      </c>
      <c r="M4990">
        <v>303</v>
      </c>
      <c r="N4990" t="str">
        <f t="shared" si="2361"/>
        <v>RECEITAS COM ENTREGAS</v>
      </c>
      <c r="P4990">
        <v>226.82</v>
      </c>
      <c r="Q4990" t="str">
        <f>"FARMÁCIA INDIANA LJ 109 (10047)"</f>
        <v>FARMÁCIA INDIANA LJ 109 (10047)</v>
      </c>
      <c r="R4990" t="str">
        <f t="shared" si="2362"/>
        <v>RECEITAS COM ENTREGAS (303)</v>
      </c>
      <c r="S4990">
        <v>2500</v>
      </c>
      <c r="T4990">
        <v>1955</v>
      </c>
      <c r="U4990" t="s">
        <v>19</v>
      </c>
    </row>
    <row r="4991" spans="1:21">
      <c r="A4991" t="str">
        <f t="shared" si="2353"/>
        <v>03/09/2025</v>
      </c>
      <c r="B4991" t="str">
        <f t="shared" si="2363"/>
        <v>ENTRADA</v>
      </c>
      <c r="C4991" t="str">
        <f t="shared" si="2354"/>
        <v>NFSE</v>
      </c>
      <c r="D4991" t="str">
        <f t="shared" si="2355"/>
        <v>3396</v>
      </c>
      <c r="E4991" t="str">
        <f t="shared" si="2349"/>
        <v>COM</v>
      </c>
      <c r="F4991" t="str">
        <f t="shared" si="2356"/>
        <v>FARMÁCIA INDIANA LJ 1 (10126)</v>
      </c>
      <c r="G4991" t="str">
        <f t="shared" si="2357"/>
        <v>Serv.Prest. 18/08/2025 a 24/08/2025 - RPS: 1162 - NFSe: 3396</v>
      </c>
      <c r="H4991" t="str">
        <f t="shared" si="2358"/>
        <v>03/09/2025</v>
      </c>
      <c r="I4991" t="str">
        <f t="shared" si="2359"/>
        <v>25/08/2025</v>
      </c>
      <c r="J4991" t="str">
        <f t="shared" si="2360"/>
        <v>03/09/2025</v>
      </c>
      <c r="M4991">
        <v>303</v>
      </c>
      <c r="N4991" t="str">
        <f t="shared" si="2361"/>
        <v>RECEITAS COM ENTREGAS</v>
      </c>
      <c r="P4991">
        <v>427.2</v>
      </c>
      <c r="Q4991" t="str">
        <f>"FARMÁCIA INDIANA LJ 110 (10048)"</f>
        <v>FARMÁCIA INDIANA LJ 110 (10048)</v>
      </c>
      <c r="R4991" t="str">
        <f t="shared" si="2362"/>
        <v>RECEITAS COM ENTREGAS (303)</v>
      </c>
      <c r="S4991">
        <v>2500</v>
      </c>
      <c r="T4991">
        <v>1955</v>
      </c>
      <c r="U4991" t="s">
        <v>19</v>
      </c>
    </row>
    <row r="4992" spans="1:21">
      <c r="A4992" t="str">
        <f t="shared" si="2353"/>
        <v>03/09/2025</v>
      </c>
      <c r="B4992" t="str">
        <f t="shared" si="2363"/>
        <v>ENTRADA</v>
      </c>
      <c r="C4992" t="str">
        <f t="shared" si="2354"/>
        <v>NFSE</v>
      </c>
      <c r="D4992" t="str">
        <f t="shared" si="2355"/>
        <v>3396</v>
      </c>
      <c r="E4992" t="str">
        <f t="shared" si="2349"/>
        <v>COM</v>
      </c>
      <c r="F4992" t="str">
        <f t="shared" si="2356"/>
        <v>FARMÁCIA INDIANA LJ 1 (10126)</v>
      </c>
      <c r="G4992" t="str">
        <f t="shared" si="2357"/>
        <v>Serv.Prest. 18/08/2025 a 24/08/2025 - RPS: 1162 - NFSe: 3396</v>
      </c>
      <c r="H4992" t="str">
        <f t="shared" si="2358"/>
        <v>03/09/2025</v>
      </c>
      <c r="I4992" t="str">
        <f t="shared" si="2359"/>
        <v>25/08/2025</v>
      </c>
      <c r="J4992" t="str">
        <f t="shared" si="2360"/>
        <v>03/09/2025</v>
      </c>
      <c r="M4992">
        <v>303</v>
      </c>
      <c r="N4992" t="str">
        <f t="shared" si="2361"/>
        <v>RECEITAS COM ENTREGAS</v>
      </c>
      <c r="P4992">
        <v>64.010000000000005</v>
      </c>
      <c r="Q4992" t="str">
        <f>"FARMÁCIA INDIANA LJ 111 (10049)"</f>
        <v>FARMÁCIA INDIANA LJ 111 (10049)</v>
      </c>
      <c r="R4992" t="str">
        <f t="shared" si="2362"/>
        <v>RECEITAS COM ENTREGAS (303)</v>
      </c>
      <c r="S4992">
        <v>2500</v>
      </c>
      <c r="T4992">
        <v>1955</v>
      </c>
      <c r="U4992" t="s">
        <v>19</v>
      </c>
    </row>
    <row r="4993" spans="1:21">
      <c r="A4993" t="str">
        <f t="shared" si="2353"/>
        <v>03/09/2025</v>
      </c>
      <c r="B4993" t="str">
        <f t="shared" si="2363"/>
        <v>ENTRADA</v>
      </c>
      <c r="C4993" t="str">
        <f t="shared" si="2354"/>
        <v>NFSE</v>
      </c>
      <c r="D4993" t="str">
        <f t="shared" si="2355"/>
        <v>3396</v>
      </c>
      <c r="E4993" t="str">
        <f t="shared" si="2349"/>
        <v>COM</v>
      </c>
      <c r="F4993" t="str">
        <f t="shared" si="2356"/>
        <v>FARMÁCIA INDIANA LJ 1 (10126)</v>
      </c>
      <c r="G4993" t="str">
        <f t="shared" si="2357"/>
        <v>Serv.Prest. 18/08/2025 a 24/08/2025 - RPS: 1162 - NFSe: 3396</v>
      </c>
      <c r="H4993" t="str">
        <f t="shared" si="2358"/>
        <v>03/09/2025</v>
      </c>
      <c r="I4993" t="str">
        <f t="shared" si="2359"/>
        <v>25/08/2025</v>
      </c>
      <c r="J4993" t="str">
        <f t="shared" si="2360"/>
        <v>03/09/2025</v>
      </c>
      <c r="M4993">
        <v>303</v>
      </c>
      <c r="N4993" t="str">
        <f t="shared" si="2361"/>
        <v>RECEITAS COM ENTREGAS</v>
      </c>
      <c r="P4993">
        <v>160.03</v>
      </c>
      <c r="Q4993" t="str">
        <f>"FARMÁCIA INDIANA LJ 112 (10050)"</f>
        <v>FARMÁCIA INDIANA LJ 112 (10050)</v>
      </c>
      <c r="R4993" t="str">
        <f t="shared" si="2362"/>
        <v>RECEITAS COM ENTREGAS (303)</v>
      </c>
      <c r="S4993">
        <v>2500</v>
      </c>
      <c r="T4993">
        <v>1955</v>
      </c>
      <c r="U4993" t="s">
        <v>19</v>
      </c>
    </row>
    <row r="4994" spans="1:21">
      <c r="A4994" t="str">
        <f t="shared" si="2353"/>
        <v>03/09/2025</v>
      </c>
      <c r="B4994" t="str">
        <f t="shared" si="2363"/>
        <v>ENTRADA</v>
      </c>
      <c r="C4994" t="str">
        <f t="shared" si="2354"/>
        <v>NFSE</v>
      </c>
      <c r="D4994" t="str">
        <f t="shared" si="2355"/>
        <v>3396</v>
      </c>
      <c r="E4994" t="str">
        <f t="shared" si="2349"/>
        <v>COM</v>
      </c>
      <c r="F4994" t="str">
        <f t="shared" si="2356"/>
        <v>FARMÁCIA INDIANA LJ 1 (10126)</v>
      </c>
      <c r="G4994" t="str">
        <f t="shared" si="2357"/>
        <v>Serv.Prest. 18/08/2025 a 24/08/2025 - RPS: 1162 - NFSe: 3396</v>
      </c>
      <c r="H4994" t="str">
        <f t="shared" si="2358"/>
        <v>03/09/2025</v>
      </c>
      <c r="I4994" t="str">
        <f t="shared" si="2359"/>
        <v>25/08/2025</v>
      </c>
      <c r="J4994" t="str">
        <f t="shared" si="2360"/>
        <v>03/09/2025</v>
      </c>
      <c r="M4994">
        <v>303</v>
      </c>
      <c r="N4994" t="str">
        <f t="shared" si="2361"/>
        <v>RECEITAS COM ENTREGAS</v>
      </c>
      <c r="P4994">
        <v>160.03</v>
      </c>
      <c r="Q4994" t="str">
        <f>"FARMÁCIA INDIANA LJ 116 (10051)"</f>
        <v>FARMÁCIA INDIANA LJ 116 (10051)</v>
      </c>
      <c r="R4994" t="str">
        <f t="shared" si="2362"/>
        <v>RECEITAS COM ENTREGAS (303)</v>
      </c>
      <c r="S4994">
        <v>2500</v>
      </c>
      <c r="T4994">
        <v>1955</v>
      </c>
      <c r="U4994" t="s">
        <v>19</v>
      </c>
    </row>
    <row r="4995" spans="1:21">
      <c r="A4995" t="str">
        <f t="shared" si="2353"/>
        <v>03/09/2025</v>
      </c>
      <c r="B4995" t="str">
        <f t="shared" si="2363"/>
        <v>ENTRADA</v>
      </c>
      <c r="C4995" t="str">
        <f t="shared" si="2354"/>
        <v>NFSE</v>
      </c>
      <c r="D4995" t="str">
        <f t="shared" si="2355"/>
        <v>3396</v>
      </c>
      <c r="E4995" t="str">
        <f t="shared" si="2349"/>
        <v>COM</v>
      </c>
      <c r="F4995" t="str">
        <f t="shared" si="2356"/>
        <v>FARMÁCIA INDIANA LJ 1 (10126)</v>
      </c>
      <c r="G4995" t="str">
        <f t="shared" si="2357"/>
        <v>Serv.Prest. 18/08/2025 a 24/08/2025 - RPS: 1162 - NFSe: 3396</v>
      </c>
      <c r="H4995" t="str">
        <f t="shared" si="2358"/>
        <v>03/09/2025</v>
      </c>
      <c r="I4995" t="str">
        <f t="shared" si="2359"/>
        <v>25/08/2025</v>
      </c>
      <c r="J4995" t="str">
        <f t="shared" si="2360"/>
        <v>03/09/2025</v>
      </c>
      <c r="M4995">
        <v>303</v>
      </c>
      <c r="N4995" t="str">
        <f t="shared" si="2361"/>
        <v>RECEITAS COM ENTREGAS</v>
      </c>
      <c r="P4995">
        <v>115.5</v>
      </c>
      <c r="Q4995" t="str">
        <f>"FARMÁCIA INDIANA LJ 118 (10052)"</f>
        <v>FARMÁCIA INDIANA LJ 118 (10052)</v>
      </c>
      <c r="R4995" t="str">
        <f t="shared" si="2362"/>
        <v>RECEITAS COM ENTREGAS (303)</v>
      </c>
      <c r="S4995">
        <v>2500</v>
      </c>
      <c r="T4995">
        <v>1955</v>
      </c>
      <c r="U4995" t="s">
        <v>19</v>
      </c>
    </row>
    <row r="4996" spans="1:21">
      <c r="A4996" t="str">
        <f t="shared" si="2353"/>
        <v>03/09/2025</v>
      </c>
      <c r="B4996" t="str">
        <f t="shared" si="2363"/>
        <v>ENTRADA</v>
      </c>
      <c r="C4996" t="str">
        <f t="shared" si="2354"/>
        <v>NFSE</v>
      </c>
      <c r="D4996" t="str">
        <f t="shared" si="2355"/>
        <v>3396</v>
      </c>
      <c r="E4996" t="str">
        <f t="shared" si="2349"/>
        <v>COM</v>
      </c>
      <c r="F4996" t="str">
        <f t="shared" si="2356"/>
        <v>FARMÁCIA INDIANA LJ 1 (10126)</v>
      </c>
      <c r="G4996" t="str">
        <f t="shared" si="2357"/>
        <v>Serv.Prest. 18/08/2025 a 24/08/2025 - RPS: 1162 - NFSe: 3396</v>
      </c>
      <c r="H4996" t="str">
        <f t="shared" si="2358"/>
        <v>03/09/2025</v>
      </c>
      <c r="I4996" t="str">
        <f t="shared" si="2359"/>
        <v>25/08/2025</v>
      </c>
      <c r="J4996" t="str">
        <f t="shared" si="2360"/>
        <v>03/09/2025</v>
      </c>
      <c r="M4996">
        <v>303</v>
      </c>
      <c r="N4996" t="str">
        <f t="shared" si="2361"/>
        <v>RECEITAS COM ENTREGAS</v>
      </c>
      <c r="P4996">
        <v>160.03</v>
      </c>
      <c r="Q4996" t="str">
        <f>"FARMÁCIA INDIANA LJ 121 (10054)"</f>
        <v>FARMÁCIA INDIANA LJ 121 (10054)</v>
      </c>
      <c r="R4996" t="str">
        <f t="shared" si="2362"/>
        <v>RECEITAS COM ENTREGAS (303)</v>
      </c>
      <c r="S4996">
        <v>2500</v>
      </c>
      <c r="T4996">
        <v>1955</v>
      </c>
      <c r="U4996" t="s">
        <v>19</v>
      </c>
    </row>
    <row r="4997" spans="1:21">
      <c r="A4997" t="str">
        <f t="shared" si="2353"/>
        <v>03/09/2025</v>
      </c>
      <c r="B4997" t="str">
        <f t="shared" si="2363"/>
        <v>ENTRADA</v>
      </c>
      <c r="C4997" t="str">
        <f t="shared" si="2354"/>
        <v>NFSE</v>
      </c>
      <c r="D4997" t="str">
        <f t="shared" si="2355"/>
        <v>3396</v>
      </c>
      <c r="E4997" t="str">
        <f t="shared" si="2349"/>
        <v>COM</v>
      </c>
      <c r="F4997" t="str">
        <f t="shared" si="2356"/>
        <v>FARMÁCIA INDIANA LJ 1 (10126)</v>
      </c>
      <c r="G4997" t="str">
        <f t="shared" si="2357"/>
        <v>Serv.Prest. 18/08/2025 a 24/08/2025 - RPS: 1162 - NFSe: 3396</v>
      </c>
      <c r="H4997" t="str">
        <f t="shared" si="2358"/>
        <v>03/09/2025</v>
      </c>
      <c r="I4997" t="str">
        <f t="shared" si="2359"/>
        <v>25/08/2025</v>
      </c>
      <c r="J4997" t="str">
        <f t="shared" si="2360"/>
        <v>03/09/2025</v>
      </c>
      <c r="M4997">
        <v>303</v>
      </c>
      <c r="N4997" t="str">
        <f t="shared" si="2361"/>
        <v>RECEITAS COM ENTREGAS</v>
      </c>
      <c r="P4997">
        <v>162.81</v>
      </c>
      <c r="Q4997" t="str">
        <f>"FARMÁCIA INDIANA LJ 128 (10057)"</f>
        <v>FARMÁCIA INDIANA LJ 128 (10057)</v>
      </c>
      <c r="R4997" t="str">
        <f t="shared" si="2362"/>
        <v>RECEITAS COM ENTREGAS (303)</v>
      </c>
      <c r="S4997">
        <v>2500</v>
      </c>
      <c r="T4997">
        <v>1955</v>
      </c>
      <c r="U4997" t="s">
        <v>19</v>
      </c>
    </row>
    <row r="4998" spans="1:21">
      <c r="A4998" t="str">
        <f t="shared" si="2353"/>
        <v>03/09/2025</v>
      </c>
      <c r="B4998" t="str">
        <f t="shared" si="2363"/>
        <v>ENTRADA</v>
      </c>
      <c r="C4998" t="str">
        <f t="shared" si="2354"/>
        <v>NFSE</v>
      </c>
      <c r="D4998" t="str">
        <f t="shared" si="2355"/>
        <v>3396</v>
      </c>
      <c r="E4998" t="str">
        <f t="shared" si="2349"/>
        <v>COM</v>
      </c>
      <c r="F4998" t="str">
        <f t="shared" si="2356"/>
        <v>FARMÁCIA INDIANA LJ 1 (10126)</v>
      </c>
      <c r="G4998" t="str">
        <f t="shared" si="2357"/>
        <v>Serv.Prest. 18/08/2025 a 24/08/2025 - RPS: 1162 - NFSe: 3396</v>
      </c>
      <c r="H4998" t="str">
        <f t="shared" si="2358"/>
        <v>03/09/2025</v>
      </c>
      <c r="I4998" t="str">
        <f t="shared" si="2359"/>
        <v>25/08/2025</v>
      </c>
      <c r="J4998" t="str">
        <f t="shared" si="2360"/>
        <v>03/09/2025</v>
      </c>
      <c r="M4998">
        <v>303</v>
      </c>
      <c r="N4998" t="str">
        <f t="shared" si="2361"/>
        <v>RECEITAS COM ENTREGAS</v>
      </c>
      <c r="P4998">
        <v>29.22</v>
      </c>
      <c r="Q4998" t="str">
        <f>"FARMÁCIA INDIANA LJ 140 (10064)"</f>
        <v>FARMÁCIA INDIANA LJ 140 (10064)</v>
      </c>
      <c r="R4998" t="str">
        <f t="shared" si="2362"/>
        <v>RECEITAS COM ENTREGAS (303)</v>
      </c>
      <c r="S4998">
        <v>2500</v>
      </c>
      <c r="T4998">
        <v>1955</v>
      </c>
      <c r="U4998" t="s">
        <v>19</v>
      </c>
    </row>
    <row r="4999" spans="1:21">
      <c r="A4999" t="str">
        <f t="shared" si="2353"/>
        <v>03/09/2025</v>
      </c>
      <c r="B4999" t="str">
        <f t="shared" si="2363"/>
        <v>ENTRADA</v>
      </c>
      <c r="C4999" t="str">
        <f t="shared" si="2354"/>
        <v>NFSE</v>
      </c>
      <c r="D4999" t="str">
        <f t="shared" si="2355"/>
        <v>3396</v>
      </c>
      <c r="E4999" t="str">
        <f t="shared" si="2349"/>
        <v>COM</v>
      </c>
      <c r="F4999" t="str">
        <f t="shared" si="2356"/>
        <v>FARMÁCIA INDIANA LJ 1 (10126)</v>
      </c>
      <c r="G4999" t="str">
        <f t="shared" si="2357"/>
        <v>Serv.Prest. 18/08/2025 a 24/08/2025 - RPS: 1162 - NFSe: 3396</v>
      </c>
      <c r="H4999" t="str">
        <f t="shared" si="2358"/>
        <v>03/09/2025</v>
      </c>
      <c r="I4999" t="str">
        <f t="shared" si="2359"/>
        <v>25/08/2025</v>
      </c>
      <c r="J4999" t="str">
        <f t="shared" si="2360"/>
        <v>03/09/2025</v>
      </c>
      <c r="M4999">
        <v>303</v>
      </c>
      <c r="N4999" t="str">
        <f t="shared" si="2361"/>
        <v>RECEITAS COM ENTREGAS</v>
      </c>
      <c r="P4999">
        <v>20.87</v>
      </c>
      <c r="Q4999" t="str">
        <f>"FARMÁCIA INDIANA LJ 141 (10065)"</f>
        <v>FARMÁCIA INDIANA LJ 141 (10065)</v>
      </c>
      <c r="R4999" t="str">
        <f t="shared" si="2362"/>
        <v>RECEITAS COM ENTREGAS (303)</v>
      </c>
      <c r="S4999">
        <v>2500</v>
      </c>
      <c r="T4999">
        <v>1955</v>
      </c>
      <c r="U4999" t="s">
        <v>19</v>
      </c>
    </row>
    <row r="5000" spans="1:21">
      <c r="A5000" t="str">
        <f t="shared" si="2353"/>
        <v>03/09/2025</v>
      </c>
      <c r="B5000" t="str">
        <f t="shared" si="2363"/>
        <v>ENTRADA</v>
      </c>
      <c r="C5000" t="str">
        <f t="shared" si="2354"/>
        <v>NFSE</v>
      </c>
      <c r="D5000" t="str">
        <f t="shared" si="2355"/>
        <v>3396</v>
      </c>
      <c r="E5000" t="str">
        <f t="shared" si="2349"/>
        <v>COM</v>
      </c>
      <c r="F5000" t="str">
        <f t="shared" si="2356"/>
        <v>FARMÁCIA INDIANA LJ 1 (10126)</v>
      </c>
      <c r="G5000" t="str">
        <f t="shared" si="2357"/>
        <v>Serv.Prest. 18/08/2025 a 24/08/2025 - RPS: 1162 - NFSe: 3396</v>
      </c>
      <c r="H5000" t="str">
        <f t="shared" si="2358"/>
        <v>03/09/2025</v>
      </c>
      <c r="I5000" t="str">
        <f t="shared" si="2359"/>
        <v>25/08/2025</v>
      </c>
      <c r="J5000" t="str">
        <f t="shared" si="2360"/>
        <v>03/09/2025</v>
      </c>
      <c r="M5000">
        <v>303</v>
      </c>
      <c r="N5000" t="str">
        <f t="shared" si="2361"/>
        <v>RECEITAS COM ENTREGAS</v>
      </c>
      <c r="P5000">
        <v>750.04</v>
      </c>
      <c r="Q5000" t="str">
        <f>"FARMÁCIA INDIANA LJ 142 (10066)"</f>
        <v>FARMÁCIA INDIANA LJ 142 (10066)</v>
      </c>
      <c r="R5000" t="str">
        <f t="shared" si="2362"/>
        <v>RECEITAS COM ENTREGAS (303)</v>
      </c>
      <c r="S5000">
        <v>2500</v>
      </c>
      <c r="T5000">
        <v>1955</v>
      </c>
      <c r="U5000" t="s">
        <v>19</v>
      </c>
    </row>
    <row r="5001" spans="1:21">
      <c r="A5001" t="str">
        <f t="shared" si="2353"/>
        <v>03/09/2025</v>
      </c>
      <c r="B5001" t="str">
        <f t="shared" si="2363"/>
        <v>ENTRADA</v>
      </c>
      <c r="C5001" t="str">
        <f t="shared" si="2354"/>
        <v>NFSE</v>
      </c>
      <c r="D5001" t="str">
        <f t="shared" si="2355"/>
        <v>3396</v>
      </c>
      <c r="E5001" t="str">
        <f t="shared" si="2349"/>
        <v>COM</v>
      </c>
      <c r="F5001" t="str">
        <f t="shared" si="2356"/>
        <v>FARMÁCIA INDIANA LJ 1 (10126)</v>
      </c>
      <c r="G5001" t="str">
        <f t="shared" si="2357"/>
        <v>Serv.Prest. 18/08/2025 a 24/08/2025 - RPS: 1162 - NFSe: 3396</v>
      </c>
      <c r="H5001" t="str">
        <f t="shared" si="2358"/>
        <v>03/09/2025</v>
      </c>
      <c r="I5001" t="str">
        <f t="shared" si="2359"/>
        <v>25/08/2025</v>
      </c>
      <c r="J5001" t="str">
        <f t="shared" si="2360"/>
        <v>03/09/2025</v>
      </c>
      <c r="M5001">
        <v>303</v>
      </c>
      <c r="N5001" t="str">
        <f t="shared" si="2361"/>
        <v>RECEITAS COM ENTREGAS</v>
      </c>
      <c r="P5001">
        <v>65.400000000000006</v>
      </c>
      <c r="Q5001" t="str">
        <f>"FARMÁCIA INDIANA LJ 143 (10067)"</f>
        <v>FARMÁCIA INDIANA LJ 143 (10067)</v>
      </c>
      <c r="R5001" t="str">
        <f t="shared" si="2362"/>
        <v>RECEITAS COM ENTREGAS (303)</v>
      </c>
      <c r="S5001">
        <v>2500</v>
      </c>
      <c r="T5001">
        <v>1955</v>
      </c>
      <c r="U5001" t="s">
        <v>19</v>
      </c>
    </row>
    <row r="5002" spans="1:21">
      <c r="A5002" t="str">
        <f t="shared" si="2353"/>
        <v>03/09/2025</v>
      </c>
      <c r="B5002" t="str">
        <f t="shared" si="2363"/>
        <v>ENTRADA</v>
      </c>
      <c r="C5002" t="str">
        <f t="shared" si="2354"/>
        <v>NFSE</v>
      </c>
      <c r="D5002" t="str">
        <f t="shared" si="2355"/>
        <v>3396</v>
      </c>
      <c r="E5002" t="str">
        <f t="shared" si="2349"/>
        <v>COM</v>
      </c>
      <c r="F5002" t="str">
        <f t="shared" si="2356"/>
        <v>FARMÁCIA INDIANA LJ 1 (10126)</v>
      </c>
      <c r="G5002" t="str">
        <f t="shared" si="2357"/>
        <v>Serv.Prest. 18/08/2025 a 24/08/2025 - RPS: 1162 - NFSe: 3396</v>
      </c>
      <c r="H5002" t="str">
        <f t="shared" si="2358"/>
        <v>03/09/2025</v>
      </c>
      <c r="I5002" t="str">
        <f t="shared" si="2359"/>
        <v>25/08/2025</v>
      </c>
      <c r="J5002" t="str">
        <f t="shared" si="2360"/>
        <v>03/09/2025</v>
      </c>
      <c r="M5002">
        <v>303</v>
      </c>
      <c r="N5002" t="str">
        <f t="shared" si="2361"/>
        <v>RECEITAS COM ENTREGAS</v>
      </c>
      <c r="P5002">
        <v>154.46</v>
      </c>
      <c r="Q5002" t="str">
        <f>"FARMÁCIA INDIANA LJ 152 (10069)"</f>
        <v>FARMÁCIA INDIANA LJ 152 (10069)</v>
      </c>
      <c r="R5002" t="str">
        <f t="shared" si="2362"/>
        <v>RECEITAS COM ENTREGAS (303)</v>
      </c>
      <c r="S5002">
        <v>2500</v>
      </c>
      <c r="T5002">
        <v>1955</v>
      </c>
      <c r="U5002" t="s">
        <v>19</v>
      </c>
    </row>
    <row r="5003" spans="1:21">
      <c r="A5003" t="str">
        <f t="shared" si="2353"/>
        <v>03/09/2025</v>
      </c>
      <c r="B5003" t="str">
        <f t="shared" si="2363"/>
        <v>ENTRADA</v>
      </c>
      <c r="C5003" t="str">
        <f t="shared" si="2354"/>
        <v>NFSE</v>
      </c>
      <c r="D5003" t="str">
        <f t="shared" si="2355"/>
        <v>3396</v>
      </c>
      <c r="E5003" t="str">
        <f t="shared" si="2349"/>
        <v>COM</v>
      </c>
      <c r="F5003" t="str">
        <f t="shared" si="2356"/>
        <v>FARMÁCIA INDIANA LJ 1 (10126)</v>
      </c>
      <c r="G5003" t="str">
        <f t="shared" si="2357"/>
        <v>Serv.Prest. 18/08/2025 a 24/08/2025 - RPS: 1162 - NFSe: 3396</v>
      </c>
      <c r="H5003" t="str">
        <f t="shared" si="2358"/>
        <v>03/09/2025</v>
      </c>
      <c r="I5003" t="str">
        <f t="shared" si="2359"/>
        <v>25/08/2025</v>
      </c>
      <c r="J5003" t="str">
        <f t="shared" si="2360"/>
        <v>03/09/2025</v>
      </c>
      <c r="M5003">
        <v>303</v>
      </c>
      <c r="N5003" t="str">
        <f t="shared" si="2361"/>
        <v>RECEITAS COM ENTREGAS</v>
      </c>
      <c r="P5003">
        <v>51.49</v>
      </c>
      <c r="Q5003" t="str">
        <f>"FARMÁCIA INDIANA LJ 154 (10070)"</f>
        <v>FARMÁCIA INDIANA LJ 154 (10070)</v>
      </c>
      <c r="R5003" t="str">
        <f t="shared" si="2362"/>
        <v>RECEITAS COM ENTREGAS (303)</v>
      </c>
      <c r="S5003">
        <v>2500</v>
      </c>
      <c r="T5003">
        <v>1955</v>
      </c>
      <c r="U5003" t="s">
        <v>19</v>
      </c>
    </row>
    <row r="5004" spans="1:21">
      <c r="A5004" t="str">
        <f t="shared" si="2353"/>
        <v>03/09/2025</v>
      </c>
      <c r="B5004" t="str">
        <f t="shared" si="2363"/>
        <v>ENTRADA</v>
      </c>
      <c r="C5004" t="str">
        <f t="shared" si="2354"/>
        <v>NFSE</v>
      </c>
      <c r="D5004" t="str">
        <f t="shared" si="2355"/>
        <v>3396</v>
      </c>
      <c r="E5004" t="str">
        <f t="shared" si="2349"/>
        <v>COM</v>
      </c>
      <c r="F5004" t="str">
        <f t="shared" si="2356"/>
        <v>FARMÁCIA INDIANA LJ 1 (10126)</v>
      </c>
      <c r="G5004" t="str">
        <f t="shared" si="2357"/>
        <v>Serv.Prest. 18/08/2025 a 24/08/2025 - RPS: 1162 - NFSe: 3396</v>
      </c>
      <c r="H5004" t="str">
        <f t="shared" si="2358"/>
        <v>03/09/2025</v>
      </c>
      <c r="I5004" t="str">
        <f t="shared" si="2359"/>
        <v>25/08/2025</v>
      </c>
      <c r="J5004" t="str">
        <f t="shared" si="2360"/>
        <v>03/09/2025</v>
      </c>
      <c r="M5004">
        <v>303</v>
      </c>
      <c r="N5004" t="str">
        <f t="shared" si="2361"/>
        <v>RECEITAS COM ENTREGAS</v>
      </c>
      <c r="P5004">
        <v>342.32</v>
      </c>
      <c r="Q5004" t="str">
        <f>"FARMÁCIA INDIANA LJ 171 (10074)"</f>
        <v>FARMÁCIA INDIANA LJ 171 (10074)</v>
      </c>
      <c r="R5004" t="str">
        <f t="shared" si="2362"/>
        <v>RECEITAS COM ENTREGAS (303)</v>
      </c>
      <c r="S5004">
        <v>2500</v>
      </c>
      <c r="T5004">
        <v>1955</v>
      </c>
      <c r="U5004" t="s">
        <v>19</v>
      </c>
    </row>
    <row r="5005" spans="1:21">
      <c r="A5005" t="str">
        <f t="shared" si="2353"/>
        <v>03/09/2025</v>
      </c>
      <c r="B5005" t="str">
        <f t="shared" si="2363"/>
        <v>ENTRADA</v>
      </c>
      <c r="C5005" t="str">
        <f t="shared" si="2354"/>
        <v>NFSE</v>
      </c>
      <c r="D5005" t="str">
        <f t="shared" si="2355"/>
        <v>3396</v>
      </c>
      <c r="E5005" t="str">
        <f t="shared" si="2349"/>
        <v>COM</v>
      </c>
      <c r="F5005" t="str">
        <f t="shared" si="2356"/>
        <v>FARMÁCIA INDIANA LJ 1 (10126)</v>
      </c>
      <c r="G5005" t="str">
        <f t="shared" si="2357"/>
        <v>Serv.Prest. 18/08/2025 a 24/08/2025 - RPS: 1162 - NFSe: 3396</v>
      </c>
      <c r="H5005" t="str">
        <f t="shared" si="2358"/>
        <v>03/09/2025</v>
      </c>
      <c r="I5005" t="str">
        <f t="shared" si="2359"/>
        <v>25/08/2025</v>
      </c>
      <c r="J5005" t="str">
        <f t="shared" si="2360"/>
        <v>03/09/2025</v>
      </c>
      <c r="M5005">
        <v>303</v>
      </c>
      <c r="N5005" t="str">
        <f t="shared" si="2361"/>
        <v>RECEITAS COM ENTREGAS</v>
      </c>
      <c r="P5005">
        <v>132.19999999999999</v>
      </c>
      <c r="Q5005" t="str">
        <f>"FARMÁCIA INDIANA LJ 175 (10076)"</f>
        <v>FARMÁCIA INDIANA LJ 175 (10076)</v>
      </c>
      <c r="R5005" t="str">
        <f t="shared" si="2362"/>
        <v>RECEITAS COM ENTREGAS (303)</v>
      </c>
      <c r="S5005">
        <v>2500</v>
      </c>
      <c r="T5005">
        <v>1955</v>
      </c>
      <c r="U5005" t="s">
        <v>19</v>
      </c>
    </row>
    <row r="5006" spans="1:21">
      <c r="A5006" t="str">
        <f t="shared" ref="A5006:A5037" si="2364">("03/09/2025")</f>
        <v>03/09/2025</v>
      </c>
      <c r="B5006" t="str">
        <f t="shared" si="2363"/>
        <v>ENTRADA</v>
      </c>
      <c r="C5006" t="str">
        <f t="shared" si="2354"/>
        <v>NFSE</v>
      </c>
      <c r="D5006" t="str">
        <f t="shared" si="2355"/>
        <v>3396</v>
      </c>
      <c r="E5006" t="str">
        <f t="shared" si="2349"/>
        <v>COM</v>
      </c>
      <c r="F5006" t="str">
        <f t="shared" si="2356"/>
        <v>FARMÁCIA INDIANA LJ 1 (10126)</v>
      </c>
      <c r="G5006" t="str">
        <f t="shared" si="2357"/>
        <v>Serv.Prest. 18/08/2025 a 24/08/2025 - RPS: 1162 - NFSe: 3396</v>
      </c>
      <c r="H5006" t="str">
        <f t="shared" ref="H5006:H5037" si="2365">("03/09/2025")</f>
        <v>03/09/2025</v>
      </c>
      <c r="I5006" t="str">
        <f t="shared" ref="I5006:I5037" si="2366">("25/08/2025")</f>
        <v>25/08/2025</v>
      </c>
      <c r="J5006" t="str">
        <f t="shared" ref="J5006:J5037" si="2367">("03/09/2025")</f>
        <v>03/09/2025</v>
      </c>
      <c r="M5006">
        <v>303</v>
      </c>
      <c r="N5006" t="str">
        <f t="shared" ref="N5006:N5037" si="2368">"RECEITAS COM ENTREGAS"</f>
        <v>RECEITAS COM ENTREGAS</v>
      </c>
      <c r="P5006">
        <v>109.93</v>
      </c>
      <c r="Q5006" t="str">
        <f>"FARMÁCIA INDIANA LJ 178 (10077)"</f>
        <v>FARMÁCIA INDIANA LJ 178 (10077)</v>
      </c>
      <c r="R5006" t="str">
        <f t="shared" ref="R5006:R5037" si="2369">"RECEITAS COM ENTREGAS (303)"</f>
        <v>RECEITAS COM ENTREGAS (303)</v>
      </c>
      <c r="S5006">
        <v>2500</v>
      </c>
      <c r="T5006">
        <v>1955</v>
      </c>
      <c r="U5006" t="s">
        <v>19</v>
      </c>
    </row>
    <row r="5007" spans="1:21">
      <c r="A5007" t="str">
        <f t="shared" si="2364"/>
        <v>03/09/2025</v>
      </c>
      <c r="B5007" t="str">
        <f t="shared" si="2363"/>
        <v>ENTRADA</v>
      </c>
      <c r="C5007" t="str">
        <f t="shared" si="2354"/>
        <v>NFSE</v>
      </c>
      <c r="D5007" t="str">
        <f t="shared" si="2355"/>
        <v>3396</v>
      </c>
      <c r="E5007" t="str">
        <f t="shared" si="2349"/>
        <v>COM</v>
      </c>
      <c r="F5007" t="str">
        <f t="shared" si="2356"/>
        <v>FARMÁCIA INDIANA LJ 1 (10126)</v>
      </c>
      <c r="G5007" t="str">
        <f t="shared" si="2357"/>
        <v>Serv.Prest. 18/08/2025 a 24/08/2025 - RPS: 1162 - NFSe: 3396</v>
      </c>
      <c r="H5007" t="str">
        <f t="shared" si="2365"/>
        <v>03/09/2025</v>
      </c>
      <c r="I5007" t="str">
        <f t="shared" si="2366"/>
        <v>25/08/2025</v>
      </c>
      <c r="J5007" t="str">
        <f t="shared" si="2367"/>
        <v>03/09/2025</v>
      </c>
      <c r="M5007">
        <v>303</v>
      </c>
      <c r="N5007" t="str">
        <f t="shared" si="2368"/>
        <v>RECEITAS COM ENTREGAS</v>
      </c>
      <c r="P5007">
        <v>80.709999999999994</v>
      </c>
      <c r="Q5007" t="str">
        <f>"FARMÁCIA INDIANA LJ 182 (10079)"</f>
        <v>FARMÁCIA INDIANA LJ 182 (10079)</v>
      </c>
      <c r="R5007" t="str">
        <f t="shared" si="2369"/>
        <v>RECEITAS COM ENTREGAS (303)</v>
      </c>
      <c r="S5007">
        <v>2500</v>
      </c>
      <c r="T5007">
        <v>1955</v>
      </c>
      <c r="U5007" t="s">
        <v>19</v>
      </c>
    </row>
    <row r="5008" spans="1:21">
      <c r="A5008" t="str">
        <f t="shared" si="2364"/>
        <v>03/09/2025</v>
      </c>
      <c r="B5008" t="str">
        <f t="shared" si="2363"/>
        <v>ENTRADA</v>
      </c>
      <c r="C5008" t="str">
        <f t="shared" si="2354"/>
        <v>NFSE</v>
      </c>
      <c r="D5008" t="str">
        <f t="shared" si="2355"/>
        <v>3396</v>
      </c>
      <c r="E5008" t="str">
        <f t="shared" si="2349"/>
        <v>COM</v>
      </c>
      <c r="F5008" t="str">
        <f t="shared" si="2356"/>
        <v>FARMÁCIA INDIANA LJ 1 (10126)</v>
      </c>
      <c r="G5008" t="str">
        <f t="shared" si="2357"/>
        <v>Serv.Prest. 18/08/2025 a 24/08/2025 - RPS: 1162 - NFSe: 3396</v>
      </c>
      <c r="H5008" t="str">
        <f t="shared" si="2365"/>
        <v>03/09/2025</v>
      </c>
      <c r="I5008" t="str">
        <f t="shared" si="2366"/>
        <v>25/08/2025</v>
      </c>
      <c r="J5008" t="str">
        <f t="shared" si="2367"/>
        <v>03/09/2025</v>
      </c>
      <c r="M5008">
        <v>303</v>
      </c>
      <c r="N5008" t="str">
        <f t="shared" si="2368"/>
        <v>RECEITAS COM ENTREGAS</v>
      </c>
      <c r="P5008">
        <v>40.35</v>
      </c>
      <c r="Q5008" t="str">
        <f>"FARMÁCIA INDIANA LJ 184 (10080)"</f>
        <v>FARMÁCIA INDIANA LJ 184 (10080)</v>
      </c>
      <c r="R5008" t="str">
        <f t="shared" si="2369"/>
        <v>RECEITAS COM ENTREGAS (303)</v>
      </c>
      <c r="S5008">
        <v>2500</v>
      </c>
      <c r="T5008">
        <v>1955</v>
      </c>
      <c r="U5008" t="s">
        <v>19</v>
      </c>
    </row>
    <row r="5009" spans="1:21">
      <c r="A5009" t="str">
        <f t="shared" si="2364"/>
        <v>03/09/2025</v>
      </c>
      <c r="B5009" t="str">
        <f t="shared" si="2363"/>
        <v>ENTRADA</v>
      </c>
      <c r="C5009" t="str">
        <f t="shared" si="2354"/>
        <v>NFSE</v>
      </c>
      <c r="D5009" t="str">
        <f t="shared" si="2355"/>
        <v>3396</v>
      </c>
      <c r="E5009" t="str">
        <f t="shared" si="2349"/>
        <v>COM</v>
      </c>
      <c r="F5009" t="str">
        <f t="shared" si="2356"/>
        <v>FARMÁCIA INDIANA LJ 1 (10126)</v>
      </c>
      <c r="G5009" t="str">
        <f t="shared" si="2357"/>
        <v>Serv.Prest. 18/08/2025 a 24/08/2025 - RPS: 1162 - NFSe: 3396</v>
      </c>
      <c r="H5009" t="str">
        <f t="shared" si="2365"/>
        <v>03/09/2025</v>
      </c>
      <c r="I5009" t="str">
        <f t="shared" si="2366"/>
        <v>25/08/2025</v>
      </c>
      <c r="J5009" t="str">
        <f t="shared" si="2367"/>
        <v>03/09/2025</v>
      </c>
      <c r="M5009">
        <v>303</v>
      </c>
      <c r="N5009" t="str">
        <f t="shared" si="2368"/>
        <v>RECEITAS COM ENTREGAS</v>
      </c>
      <c r="P5009">
        <v>80.709999999999994</v>
      </c>
      <c r="Q5009" t="str">
        <f>"FARMÁCIA INDIANA LJ 186 (10081)"</f>
        <v>FARMÁCIA INDIANA LJ 186 (10081)</v>
      </c>
      <c r="R5009" t="str">
        <f t="shared" si="2369"/>
        <v>RECEITAS COM ENTREGAS (303)</v>
      </c>
      <c r="S5009">
        <v>2500</v>
      </c>
      <c r="T5009">
        <v>1955</v>
      </c>
      <c r="U5009" t="s">
        <v>19</v>
      </c>
    </row>
    <row r="5010" spans="1:21">
      <c r="A5010" t="str">
        <f t="shared" si="2364"/>
        <v>03/09/2025</v>
      </c>
      <c r="B5010" t="str">
        <f t="shared" si="2363"/>
        <v>ENTRADA</v>
      </c>
      <c r="C5010" t="str">
        <f t="shared" si="2354"/>
        <v>NFSE</v>
      </c>
      <c r="D5010" t="str">
        <f t="shared" si="2355"/>
        <v>3396</v>
      </c>
      <c r="E5010" t="str">
        <f t="shared" si="2349"/>
        <v>COM</v>
      </c>
      <c r="F5010" t="str">
        <f t="shared" si="2356"/>
        <v>FARMÁCIA INDIANA LJ 1 (10126)</v>
      </c>
      <c r="G5010" t="str">
        <f t="shared" si="2357"/>
        <v>Serv.Prest. 18/08/2025 a 24/08/2025 - RPS: 1162 - NFSe: 3396</v>
      </c>
      <c r="H5010" t="str">
        <f t="shared" si="2365"/>
        <v>03/09/2025</v>
      </c>
      <c r="I5010" t="str">
        <f t="shared" si="2366"/>
        <v>25/08/2025</v>
      </c>
      <c r="J5010" t="str">
        <f t="shared" si="2367"/>
        <v>03/09/2025</v>
      </c>
      <c r="M5010">
        <v>303</v>
      </c>
      <c r="N5010" t="str">
        <f t="shared" si="2368"/>
        <v>RECEITAS COM ENTREGAS</v>
      </c>
      <c r="P5010">
        <v>134.97999999999999</v>
      </c>
      <c r="Q5010" t="str">
        <f>"FARMÁCIA INDIANA LJ 192 (10082)"</f>
        <v>FARMÁCIA INDIANA LJ 192 (10082)</v>
      </c>
      <c r="R5010" t="str">
        <f t="shared" si="2369"/>
        <v>RECEITAS COM ENTREGAS (303)</v>
      </c>
      <c r="S5010">
        <v>2500</v>
      </c>
      <c r="T5010">
        <v>1955</v>
      </c>
      <c r="U5010" t="s">
        <v>19</v>
      </c>
    </row>
    <row r="5011" spans="1:21">
      <c r="A5011" t="str">
        <f t="shared" si="2364"/>
        <v>03/09/2025</v>
      </c>
      <c r="B5011" t="str">
        <f t="shared" si="2363"/>
        <v>ENTRADA</v>
      </c>
      <c r="C5011" t="str">
        <f t="shared" si="2354"/>
        <v>NFSE</v>
      </c>
      <c r="D5011" t="str">
        <f t="shared" si="2355"/>
        <v>3396</v>
      </c>
      <c r="E5011" t="str">
        <f t="shared" si="2349"/>
        <v>COM</v>
      </c>
      <c r="F5011" t="str">
        <f t="shared" si="2356"/>
        <v>FARMÁCIA INDIANA LJ 1 (10126)</v>
      </c>
      <c r="G5011" t="str">
        <f t="shared" si="2357"/>
        <v>Serv.Prest. 18/08/2025 a 24/08/2025 - RPS: 1162 - NFSe: 3396</v>
      </c>
      <c r="H5011" t="str">
        <f t="shared" si="2365"/>
        <v>03/09/2025</v>
      </c>
      <c r="I5011" t="str">
        <f t="shared" si="2366"/>
        <v>25/08/2025</v>
      </c>
      <c r="J5011" t="str">
        <f t="shared" si="2367"/>
        <v>03/09/2025</v>
      </c>
      <c r="M5011">
        <v>303</v>
      </c>
      <c r="N5011" t="str">
        <f t="shared" si="2368"/>
        <v>RECEITAS COM ENTREGAS</v>
      </c>
      <c r="P5011">
        <v>40.35</v>
      </c>
      <c r="Q5011" t="str">
        <f>"FARMÁCIA INDIANA LJ 195 (10083)"</f>
        <v>FARMÁCIA INDIANA LJ 195 (10083)</v>
      </c>
      <c r="R5011" t="str">
        <f t="shared" si="2369"/>
        <v>RECEITAS COM ENTREGAS (303)</v>
      </c>
      <c r="S5011">
        <v>2500</v>
      </c>
      <c r="T5011">
        <v>1955</v>
      </c>
      <c r="U5011" t="s">
        <v>19</v>
      </c>
    </row>
    <row r="5012" spans="1:21">
      <c r="A5012" t="str">
        <f t="shared" si="2364"/>
        <v>03/09/2025</v>
      </c>
      <c r="B5012" t="str">
        <f t="shared" si="2363"/>
        <v>ENTRADA</v>
      </c>
      <c r="C5012" t="str">
        <f t="shared" si="2354"/>
        <v>NFSE</v>
      </c>
      <c r="D5012" t="str">
        <f t="shared" si="2355"/>
        <v>3396</v>
      </c>
      <c r="E5012" t="str">
        <f t="shared" si="2349"/>
        <v>COM</v>
      </c>
      <c r="F5012" t="str">
        <f t="shared" si="2356"/>
        <v>FARMÁCIA INDIANA LJ 1 (10126)</v>
      </c>
      <c r="G5012" t="str">
        <f t="shared" si="2357"/>
        <v>Serv.Prest. 18/08/2025 a 24/08/2025 - RPS: 1162 - NFSe: 3396</v>
      </c>
      <c r="H5012" t="str">
        <f t="shared" si="2365"/>
        <v>03/09/2025</v>
      </c>
      <c r="I5012" t="str">
        <f t="shared" si="2366"/>
        <v>25/08/2025</v>
      </c>
      <c r="J5012" t="str">
        <f t="shared" si="2367"/>
        <v>03/09/2025</v>
      </c>
      <c r="M5012">
        <v>303</v>
      </c>
      <c r="N5012" t="str">
        <f t="shared" si="2368"/>
        <v>RECEITAS COM ENTREGAS</v>
      </c>
      <c r="P5012">
        <v>160.03</v>
      </c>
      <c r="Q5012" t="str">
        <f>"FARMÁCIA INDIANA LJ 202 (10085)"</f>
        <v>FARMÁCIA INDIANA LJ 202 (10085)</v>
      </c>
      <c r="R5012" t="str">
        <f t="shared" si="2369"/>
        <v>RECEITAS COM ENTREGAS (303)</v>
      </c>
      <c r="S5012">
        <v>2500</v>
      </c>
      <c r="T5012">
        <v>1955</v>
      </c>
      <c r="U5012" t="s">
        <v>19</v>
      </c>
    </row>
    <row r="5013" spans="1:21">
      <c r="A5013" t="str">
        <f t="shared" si="2364"/>
        <v>03/09/2025</v>
      </c>
      <c r="B5013" t="str">
        <f t="shared" si="2363"/>
        <v>ENTRADA</v>
      </c>
      <c r="C5013" t="str">
        <f t="shared" si="2354"/>
        <v>NFSE</v>
      </c>
      <c r="D5013" t="str">
        <f t="shared" si="2355"/>
        <v>3396</v>
      </c>
      <c r="E5013" t="str">
        <f t="shared" si="2349"/>
        <v>COM</v>
      </c>
      <c r="F5013" t="str">
        <f t="shared" si="2356"/>
        <v>FARMÁCIA INDIANA LJ 1 (10126)</v>
      </c>
      <c r="G5013" t="str">
        <f t="shared" si="2357"/>
        <v>Serv.Prest. 18/08/2025 a 24/08/2025 - RPS: 1162 - NFSe: 3396</v>
      </c>
      <c r="H5013" t="str">
        <f t="shared" si="2365"/>
        <v>03/09/2025</v>
      </c>
      <c r="I5013" t="str">
        <f t="shared" si="2366"/>
        <v>25/08/2025</v>
      </c>
      <c r="J5013" t="str">
        <f t="shared" si="2367"/>
        <v>03/09/2025</v>
      </c>
      <c r="M5013">
        <v>303</v>
      </c>
      <c r="N5013" t="str">
        <f t="shared" si="2368"/>
        <v>RECEITAS COM ENTREGAS</v>
      </c>
      <c r="P5013">
        <v>80.709999999999994</v>
      </c>
      <c r="Q5013" t="str">
        <f>"FARMÁCIA INDIANA LJ 204 (10087)"</f>
        <v>FARMÁCIA INDIANA LJ 204 (10087)</v>
      </c>
      <c r="R5013" t="str">
        <f t="shared" si="2369"/>
        <v>RECEITAS COM ENTREGAS (303)</v>
      </c>
      <c r="S5013">
        <v>2500</v>
      </c>
      <c r="T5013">
        <v>1955</v>
      </c>
      <c r="U5013" t="s">
        <v>19</v>
      </c>
    </row>
    <row r="5014" spans="1:21">
      <c r="A5014" t="str">
        <f t="shared" si="2364"/>
        <v>03/09/2025</v>
      </c>
      <c r="B5014" t="str">
        <f t="shared" si="2363"/>
        <v>ENTRADA</v>
      </c>
      <c r="C5014" t="str">
        <f t="shared" si="2354"/>
        <v>NFSE</v>
      </c>
      <c r="D5014" t="str">
        <f t="shared" si="2355"/>
        <v>3396</v>
      </c>
      <c r="E5014" t="str">
        <f t="shared" si="2349"/>
        <v>COM</v>
      </c>
      <c r="F5014" t="str">
        <f t="shared" si="2356"/>
        <v>FARMÁCIA INDIANA LJ 1 (10126)</v>
      </c>
      <c r="G5014" t="str">
        <f t="shared" si="2357"/>
        <v>Serv.Prest. 18/08/2025 a 24/08/2025 - RPS: 1162 - NFSe: 3396</v>
      </c>
      <c r="H5014" t="str">
        <f t="shared" si="2365"/>
        <v>03/09/2025</v>
      </c>
      <c r="I5014" t="str">
        <f t="shared" si="2366"/>
        <v>25/08/2025</v>
      </c>
      <c r="J5014" t="str">
        <f t="shared" si="2367"/>
        <v>03/09/2025</v>
      </c>
      <c r="M5014">
        <v>303</v>
      </c>
      <c r="N5014" t="str">
        <f t="shared" si="2368"/>
        <v>RECEITAS COM ENTREGAS</v>
      </c>
      <c r="P5014">
        <v>107.15</v>
      </c>
      <c r="Q5014" t="str">
        <f>"FARMÁCIA INDIANA LJ 207 (10088)"</f>
        <v>FARMÁCIA INDIANA LJ 207 (10088)</v>
      </c>
      <c r="R5014" t="str">
        <f t="shared" si="2369"/>
        <v>RECEITAS COM ENTREGAS (303)</v>
      </c>
      <c r="S5014">
        <v>2500</v>
      </c>
      <c r="T5014">
        <v>1955</v>
      </c>
      <c r="U5014" t="s">
        <v>19</v>
      </c>
    </row>
    <row r="5015" spans="1:21">
      <c r="A5015" t="str">
        <f t="shared" si="2364"/>
        <v>03/09/2025</v>
      </c>
      <c r="B5015" t="str">
        <f t="shared" si="2363"/>
        <v>ENTRADA</v>
      </c>
      <c r="C5015" t="str">
        <f t="shared" si="2354"/>
        <v>NFSE</v>
      </c>
      <c r="D5015" t="str">
        <f t="shared" si="2355"/>
        <v>3396</v>
      </c>
      <c r="E5015" t="str">
        <f t="shared" si="2349"/>
        <v>COM</v>
      </c>
      <c r="F5015" t="str">
        <f t="shared" si="2356"/>
        <v>FARMÁCIA INDIANA LJ 1 (10126)</v>
      </c>
      <c r="G5015" t="str">
        <f t="shared" si="2357"/>
        <v>Serv.Prest. 18/08/2025 a 24/08/2025 - RPS: 1162 - NFSe: 3396</v>
      </c>
      <c r="H5015" t="str">
        <f t="shared" si="2365"/>
        <v>03/09/2025</v>
      </c>
      <c r="I5015" t="str">
        <f t="shared" si="2366"/>
        <v>25/08/2025</v>
      </c>
      <c r="J5015" t="str">
        <f t="shared" si="2367"/>
        <v>03/09/2025</v>
      </c>
      <c r="M5015">
        <v>303</v>
      </c>
      <c r="N5015" t="str">
        <f t="shared" si="2368"/>
        <v>RECEITAS COM ENTREGAS</v>
      </c>
      <c r="P5015">
        <v>125.24</v>
      </c>
      <c r="Q5015" t="str">
        <f>"FARMÁCIA INDIANA LJ 209 (10089)"</f>
        <v>FARMÁCIA INDIANA LJ 209 (10089)</v>
      </c>
      <c r="R5015" t="str">
        <f t="shared" si="2369"/>
        <v>RECEITAS COM ENTREGAS (303)</v>
      </c>
      <c r="S5015">
        <v>2500</v>
      </c>
      <c r="T5015">
        <v>1955</v>
      </c>
      <c r="U5015" t="s">
        <v>19</v>
      </c>
    </row>
    <row r="5016" spans="1:21">
      <c r="A5016" t="str">
        <f t="shared" si="2364"/>
        <v>03/09/2025</v>
      </c>
      <c r="B5016" t="str">
        <f t="shared" si="2363"/>
        <v>ENTRADA</v>
      </c>
      <c r="C5016" t="str">
        <f t="shared" si="2354"/>
        <v>NFSE</v>
      </c>
      <c r="D5016" t="str">
        <f t="shared" si="2355"/>
        <v>3396</v>
      </c>
      <c r="E5016" t="str">
        <f t="shared" si="2349"/>
        <v>COM</v>
      </c>
      <c r="F5016" t="str">
        <f t="shared" si="2356"/>
        <v>FARMÁCIA INDIANA LJ 1 (10126)</v>
      </c>
      <c r="G5016" t="str">
        <f t="shared" si="2357"/>
        <v>Serv.Prest. 18/08/2025 a 24/08/2025 - RPS: 1162 - NFSe: 3396</v>
      </c>
      <c r="H5016" t="str">
        <f t="shared" si="2365"/>
        <v>03/09/2025</v>
      </c>
      <c r="I5016" t="str">
        <f t="shared" si="2366"/>
        <v>25/08/2025</v>
      </c>
      <c r="J5016" t="str">
        <f t="shared" si="2367"/>
        <v>03/09/2025</v>
      </c>
      <c r="M5016">
        <v>303</v>
      </c>
      <c r="N5016" t="str">
        <f t="shared" si="2368"/>
        <v>RECEITAS COM ENTREGAS</v>
      </c>
      <c r="P5016">
        <v>168.38</v>
      </c>
      <c r="Q5016" t="str">
        <f>"FARMÁCIA INDIANA LJ 219 (10091)"</f>
        <v>FARMÁCIA INDIANA LJ 219 (10091)</v>
      </c>
      <c r="R5016" t="str">
        <f t="shared" si="2369"/>
        <v>RECEITAS COM ENTREGAS (303)</v>
      </c>
      <c r="S5016">
        <v>2500</v>
      </c>
      <c r="T5016">
        <v>1955</v>
      </c>
      <c r="U5016" t="s">
        <v>19</v>
      </c>
    </row>
    <row r="5017" spans="1:21">
      <c r="A5017" t="str">
        <f t="shared" si="2364"/>
        <v>03/09/2025</v>
      </c>
      <c r="B5017" t="str">
        <f t="shared" si="2363"/>
        <v>ENTRADA</v>
      </c>
      <c r="C5017" t="str">
        <f t="shared" si="2354"/>
        <v>NFSE</v>
      </c>
      <c r="D5017" t="str">
        <f t="shared" si="2355"/>
        <v>3396</v>
      </c>
      <c r="E5017" t="str">
        <f t="shared" si="2349"/>
        <v>COM</v>
      </c>
      <c r="F5017" t="str">
        <f t="shared" si="2356"/>
        <v>FARMÁCIA INDIANA LJ 1 (10126)</v>
      </c>
      <c r="G5017" t="str">
        <f t="shared" si="2357"/>
        <v>Serv.Prest. 18/08/2025 a 24/08/2025 - RPS: 1162 - NFSe: 3396</v>
      </c>
      <c r="H5017" t="str">
        <f t="shared" si="2365"/>
        <v>03/09/2025</v>
      </c>
      <c r="I5017" t="str">
        <f t="shared" si="2366"/>
        <v>25/08/2025</v>
      </c>
      <c r="J5017" t="str">
        <f t="shared" si="2367"/>
        <v>03/09/2025</v>
      </c>
      <c r="M5017">
        <v>303</v>
      </c>
      <c r="N5017" t="str">
        <f t="shared" si="2368"/>
        <v>RECEITAS COM ENTREGAS</v>
      </c>
      <c r="P5017">
        <v>144.72</v>
      </c>
      <c r="Q5017" t="str">
        <f>"FARMÁCIA INDIANA LJ 220 (10092)"</f>
        <v>FARMÁCIA INDIANA LJ 220 (10092)</v>
      </c>
      <c r="R5017" t="str">
        <f t="shared" si="2369"/>
        <v>RECEITAS COM ENTREGAS (303)</v>
      </c>
      <c r="S5017">
        <v>2500</v>
      </c>
      <c r="T5017">
        <v>1955</v>
      </c>
      <c r="U5017" t="s">
        <v>19</v>
      </c>
    </row>
    <row r="5018" spans="1:21">
      <c r="A5018" t="str">
        <f t="shared" si="2364"/>
        <v>03/09/2025</v>
      </c>
      <c r="B5018" t="str">
        <f t="shared" si="2363"/>
        <v>ENTRADA</v>
      </c>
      <c r="C5018" t="str">
        <f t="shared" si="2354"/>
        <v>NFSE</v>
      </c>
      <c r="D5018" t="str">
        <f t="shared" si="2355"/>
        <v>3396</v>
      </c>
      <c r="E5018" t="str">
        <f t="shared" si="2349"/>
        <v>COM</v>
      </c>
      <c r="F5018" t="str">
        <f t="shared" si="2356"/>
        <v>FARMÁCIA INDIANA LJ 1 (10126)</v>
      </c>
      <c r="G5018" t="str">
        <f t="shared" si="2357"/>
        <v>Serv.Prest. 18/08/2025 a 24/08/2025 - RPS: 1162 - NFSe: 3396</v>
      </c>
      <c r="H5018" t="str">
        <f t="shared" si="2365"/>
        <v>03/09/2025</v>
      </c>
      <c r="I5018" t="str">
        <f t="shared" si="2366"/>
        <v>25/08/2025</v>
      </c>
      <c r="J5018" t="str">
        <f t="shared" si="2367"/>
        <v>03/09/2025</v>
      </c>
      <c r="M5018">
        <v>303</v>
      </c>
      <c r="N5018" t="str">
        <f t="shared" si="2368"/>
        <v>RECEITAS COM ENTREGAS</v>
      </c>
      <c r="P5018">
        <v>183.68</v>
      </c>
      <c r="Q5018" t="str">
        <f>"FARMÁCIA INDIANA LJ 185 (10141)"</f>
        <v>FARMÁCIA INDIANA LJ 185 (10141)</v>
      </c>
      <c r="R5018" t="str">
        <f t="shared" si="2369"/>
        <v>RECEITAS COM ENTREGAS (303)</v>
      </c>
      <c r="S5018">
        <v>2500</v>
      </c>
      <c r="T5018">
        <v>1955</v>
      </c>
      <c r="U5018" t="s">
        <v>19</v>
      </c>
    </row>
    <row r="5019" spans="1:21">
      <c r="A5019" t="str">
        <f t="shared" si="2364"/>
        <v>03/09/2025</v>
      </c>
      <c r="B5019" t="str">
        <f t="shared" si="2363"/>
        <v>ENTRADA</v>
      </c>
      <c r="C5019" t="str">
        <f t="shared" si="2354"/>
        <v>NFSE</v>
      </c>
      <c r="D5019" t="str">
        <f t="shared" si="2355"/>
        <v>3396</v>
      </c>
      <c r="E5019" t="str">
        <f t="shared" si="2349"/>
        <v>COM</v>
      </c>
      <c r="F5019" t="str">
        <f t="shared" si="2356"/>
        <v>FARMÁCIA INDIANA LJ 1 (10126)</v>
      </c>
      <c r="G5019" t="str">
        <f t="shared" si="2357"/>
        <v>Serv.Prest. 18/08/2025 a 24/08/2025 - RPS: 1162 - NFSe: 3396</v>
      </c>
      <c r="H5019" t="str">
        <f t="shared" si="2365"/>
        <v>03/09/2025</v>
      </c>
      <c r="I5019" t="str">
        <f t="shared" si="2366"/>
        <v>25/08/2025</v>
      </c>
      <c r="J5019" t="str">
        <f t="shared" si="2367"/>
        <v>03/09/2025</v>
      </c>
      <c r="M5019">
        <v>303</v>
      </c>
      <c r="N5019" t="str">
        <f t="shared" si="2368"/>
        <v>RECEITAS COM ENTREGAS</v>
      </c>
      <c r="P5019">
        <v>107.15</v>
      </c>
      <c r="Q5019" t="str">
        <f>"FARMÁCIA INDIANA LJ 205 (10150)"</f>
        <v>FARMÁCIA INDIANA LJ 205 (10150)</v>
      </c>
      <c r="R5019" t="str">
        <f t="shared" si="2369"/>
        <v>RECEITAS COM ENTREGAS (303)</v>
      </c>
      <c r="S5019">
        <v>2500</v>
      </c>
      <c r="T5019">
        <v>1955</v>
      </c>
      <c r="U5019" t="s">
        <v>19</v>
      </c>
    </row>
    <row r="5020" spans="1:21">
      <c r="A5020" t="str">
        <f t="shared" si="2364"/>
        <v>03/09/2025</v>
      </c>
      <c r="B5020" t="str">
        <f t="shared" si="2363"/>
        <v>ENTRADA</v>
      </c>
      <c r="C5020" t="str">
        <f t="shared" si="2354"/>
        <v>NFSE</v>
      </c>
      <c r="D5020" t="str">
        <f t="shared" si="2355"/>
        <v>3396</v>
      </c>
      <c r="E5020" t="str">
        <f t="shared" si="2349"/>
        <v>COM</v>
      </c>
      <c r="F5020" t="str">
        <f t="shared" si="2356"/>
        <v>FARMÁCIA INDIANA LJ 1 (10126)</v>
      </c>
      <c r="G5020" t="str">
        <f t="shared" si="2357"/>
        <v>Serv.Prest. 18/08/2025 a 24/08/2025 - RPS: 1162 - NFSe: 3396</v>
      </c>
      <c r="H5020" t="str">
        <f t="shared" si="2365"/>
        <v>03/09/2025</v>
      </c>
      <c r="I5020" t="str">
        <f t="shared" si="2366"/>
        <v>25/08/2025</v>
      </c>
      <c r="J5020" t="str">
        <f t="shared" si="2367"/>
        <v>03/09/2025</v>
      </c>
      <c r="M5020">
        <v>303</v>
      </c>
      <c r="N5020" t="str">
        <f t="shared" si="2368"/>
        <v>RECEITAS COM ENTREGAS</v>
      </c>
      <c r="P5020">
        <v>612.28</v>
      </c>
      <c r="Q5020" t="str">
        <f>"FARMÁCIA INDIANA LJ 172 (10161)"</f>
        <v>FARMÁCIA INDIANA LJ 172 (10161)</v>
      </c>
      <c r="R5020" t="str">
        <f t="shared" si="2369"/>
        <v>RECEITAS COM ENTREGAS (303)</v>
      </c>
      <c r="S5020">
        <v>2500</v>
      </c>
      <c r="T5020">
        <v>1955</v>
      </c>
      <c r="U5020" t="s">
        <v>19</v>
      </c>
    </row>
    <row r="5021" spans="1:21">
      <c r="A5021" t="str">
        <f t="shared" si="2364"/>
        <v>03/09/2025</v>
      </c>
      <c r="B5021" t="str">
        <f t="shared" si="2363"/>
        <v>ENTRADA</v>
      </c>
      <c r="C5021" t="str">
        <f t="shared" si="2354"/>
        <v>NFSE</v>
      </c>
      <c r="D5021" t="str">
        <f t="shared" si="2355"/>
        <v>3396</v>
      </c>
      <c r="E5021" t="str">
        <f t="shared" si="2349"/>
        <v>COM</v>
      </c>
      <c r="F5021" t="str">
        <f t="shared" si="2356"/>
        <v>FARMÁCIA INDIANA LJ 1 (10126)</v>
      </c>
      <c r="G5021" t="str">
        <f t="shared" si="2357"/>
        <v>Serv.Prest. 18/08/2025 a 24/08/2025 - RPS: 1162 - NFSe: 3396</v>
      </c>
      <c r="H5021" t="str">
        <f t="shared" si="2365"/>
        <v>03/09/2025</v>
      </c>
      <c r="I5021" t="str">
        <f t="shared" si="2366"/>
        <v>25/08/2025</v>
      </c>
      <c r="J5021" t="str">
        <f t="shared" si="2367"/>
        <v>03/09/2025</v>
      </c>
      <c r="M5021">
        <v>303</v>
      </c>
      <c r="N5021" t="str">
        <f t="shared" si="2368"/>
        <v>RECEITAS COM ENTREGAS</v>
      </c>
      <c r="P5021">
        <v>77.930000000000007</v>
      </c>
      <c r="Q5021" t="str">
        <f>"FARMÁCIA INDIANA LJ 266 (10186)"</f>
        <v>FARMÁCIA INDIANA LJ 266 (10186)</v>
      </c>
      <c r="R5021" t="str">
        <f t="shared" si="2369"/>
        <v>RECEITAS COM ENTREGAS (303)</v>
      </c>
      <c r="S5021">
        <v>2500</v>
      </c>
      <c r="T5021">
        <v>1955</v>
      </c>
      <c r="U5021" t="s">
        <v>19</v>
      </c>
    </row>
    <row r="5022" spans="1:21">
      <c r="A5022" t="str">
        <f t="shared" si="2364"/>
        <v>03/09/2025</v>
      </c>
      <c r="B5022" t="str">
        <f t="shared" si="2363"/>
        <v>ENTRADA</v>
      </c>
      <c r="C5022" t="str">
        <f t="shared" si="2354"/>
        <v>NFSE</v>
      </c>
      <c r="D5022" t="str">
        <f t="shared" ref="D5022:D5034" si="2370">"3397"</f>
        <v>3397</v>
      </c>
      <c r="E5022" t="str">
        <f t="shared" si="2349"/>
        <v>COM</v>
      </c>
      <c r="F5022" t="str">
        <f t="shared" ref="F5022:F5034" si="2371">"FARMÁCIA INDIANA LJ 30 (10127)"</f>
        <v>FARMÁCIA INDIANA LJ 30 (10127)</v>
      </c>
      <c r="G5022" t="str">
        <f t="shared" ref="G5022:G5034" si="2372">"Serv.Prest. 18/08/2025 a 24/08/2025 - RPS: 1163 - NFSe: 3397"</f>
        <v>Serv.Prest. 18/08/2025 a 24/08/2025 - RPS: 1163 - NFSe: 3397</v>
      </c>
      <c r="H5022" t="str">
        <f t="shared" si="2365"/>
        <v>03/09/2025</v>
      </c>
      <c r="I5022" t="str">
        <f t="shared" si="2366"/>
        <v>25/08/2025</v>
      </c>
      <c r="J5022" t="str">
        <f t="shared" si="2367"/>
        <v>03/09/2025</v>
      </c>
      <c r="K5022">
        <v>3094.09</v>
      </c>
      <c r="L5022">
        <v>3094.09</v>
      </c>
      <c r="M5022">
        <v>303</v>
      </c>
      <c r="N5022" t="str">
        <f t="shared" si="2368"/>
        <v>RECEITAS COM ENTREGAS</v>
      </c>
      <c r="O5022">
        <v>3094.09</v>
      </c>
      <c r="R5022" t="str">
        <f t="shared" si="2369"/>
        <v>RECEITAS COM ENTREGAS (303)</v>
      </c>
      <c r="S5022">
        <v>2501</v>
      </c>
      <c r="T5022">
        <v>1956</v>
      </c>
      <c r="U5022" t="s">
        <v>19</v>
      </c>
    </row>
    <row r="5023" spans="1:21">
      <c r="A5023" t="str">
        <f t="shared" si="2364"/>
        <v>03/09/2025</v>
      </c>
      <c r="B5023" t="str">
        <f t="shared" si="2363"/>
        <v>ENTRADA</v>
      </c>
      <c r="C5023" t="str">
        <f t="shared" si="2354"/>
        <v>NFSE</v>
      </c>
      <c r="D5023" t="str">
        <f t="shared" si="2370"/>
        <v>3397</v>
      </c>
      <c r="E5023" t="str">
        <f t="shared" si="2349"/>
        <v>COM</v>
      </c>
      <c r="F5023" t="str">
        <f t="shared" si="2371"/>
        <v>FARMÁCIA INDIANA LJ 30 (10127)</v>
      </c>
      <c r="G5023" t="str">
        <f t="shared" si="2372"/>
        <v>Serv.Prest. 18/08/2025 a 24/08/2025 - RPS: 1163 - NFSe: 3397</v>
      </c>
      <c r="H5023" t="str">
        <f t="shared" si="2365"/>
        <v>03/09/2025</v>
      </c>
      <c r="I5023" t="str">
        <f t="shared" si="2366"/>
        <v>25/08/2025</v>
      </c>
      <c r="J5023" t="str">
        <f t="shared" si="2367"/>
        <v>03/09/2025</v>
      </c>
      <c r="M5023">
        <v>303</v>
      </c>
      <c r="N5023" t="str">
        <f t="shared" si="2368"/>
        <v>RECEITAS COM ENTREGAS</v>
      </c>
      <c r="P5023">
        <v>301.68</v>
      </c>
      <c r="Q5023" t="str">
        <f>"FARMÁCIA INDIANA LJ 34 (10014)"</f>
        <v>FARMÁCIA INDIANA LJ 34 (10014)</v>
      </c>
      <c r="R5023" t="str">
        <f t="shared" si="2369"/>
        <v>RECEITAS COM ENTREGAS (303)</v>
      </c>
      <c r="S5023">
        <v>2501</v>
      </c>
      <c r="T5023">
        <v>1956</v>
      </c>
      <c r="U5023" t="s">
        <v>19</v>
      </c>
    </row>
    <row r="5024" spans="1:21">
      <c r="A5024" t="str">
        <f t="shared" si="2364"/>
        <v>03/09/2025</v>
      </c>
      <c r="B5024" t="str">
        <f t="shared" si="2363"/>
        <v>ENTRADA</v>
      </c>
      <c r="C5024" t="str">
        <f t="shared" si="2354"/>
        <v>NFSE</v>
      </c>
      <c r="D5024" t="str">
        <f t="shared" si="2370"/>
        <v>3397</v>
      </c>
      <c r="E5024" t="str">
        <f t="shared" si="2349"/>
        <v>COM</v>
      </c>
      <c r="F5024" t="str">
        <f t="shared" si="2371"/>
        <v>FARMÁCIA INDIANA LJ 30 (10127)</v>
      </c>
      <c r="G5024" t="str">
        <f t="shared" si="2372"/>
        <v>Serv.Prest. 18/08/2025 a 24/08/2025 - RPS: 1163 - NFSe: 3397</v>
      </c>
      <c r="H5024" t="str">
        <f t="shared" si="2365"/>
        <v>03/09/2025</v>
      </c>
      <c r="I5024" t="str">
        <f t="shared" si="2366"/>
        <v>25/08/2025</v>
      </c>
      <c r="J5024" t="str">
        <f t="shared" si="2367"/>
        <v>03/09/2025</v>
      </c>
      <c r="M5024">
        <v>303</v>
      </c>
      <c r="N5024" t="str">
        <f t="shared" si="2368"/>
        <v>RECEITAS COM ENTREGAS</v>
      </c>
      <c r="P5024">
        <v>269.5</v>
      </c>
      <c r="Q5024" t="str">
        <f>"FARMÁCIA INDIANA LJ 35 (10015)"</f>
        <v>FARMÁCIA INDIANA LJ 35 (10015)</v>
      </c>
      <c r="R5024" t="str">
        <f t="shared" si="2369"/>
        <v>RECEITAS COM ENTREGAS (303)</v>
      </c>
      <c r="S5024">
        <v>2501</v>
      </c>
      <c r="T5024">
        <v>1956</v>
      </c>
      <c r="U5024" t="s">
        <v>19</v>
      </c>
    </row>
    <row r="5025" spans="1:21">
      <c r="A5025" t="str">
        <f t="shared" si="2364"/>
        <v>03/09/2025</v>
      </c>
      <c r="B5025" t="str">
        <f t="shared" si="2363"/>
        <v>ENTRADA</v>
      </c>
      <c r="C5025" t="str">
        <f t="shared" si="2354"/>
        <v>NFSE</v>
      </c>
      <c r="D5025" t="str">
        <f t="shared" si="2370"/>
        <v>3397</v>
      </c>
      <c r="E5025" t="str">
        <f t="shared" si="2349"/>
        <v>COM</v>
      </c>
      <c r="F5025" t="str">
        <f t="shared" si="2371"/>
        <v>FARMÁCIA INDIANA LJ 30 (10127)</v>
      </c>
      <c r="G5025" t="str">
        <f t="shared" si="2372"/>
        <v>Serv.Prest. 18/08/2025 a 24/08/2025 - RPS: 1163 - NFSe: 3397</v>
      </c>
      <c r="H5025" t="str">
        <f t="shared" si="2365"/>
        <v>03/09/2025</v>
      </c>
      <c r="I5025" t="str">
        <f t="shared" si="2366"/>
        <v>25/08/2025</v>
      </c>
      <c r="J5025" t="str">
        <f t="shared" si="2367"/>
        <v>03/09/2025</v>
      </c>
      <c r="M5025">
        <v>303</v>
      </c>
      <c r="N5025" t="str">
        <f t="shared" si="2368"/>
        <v>RECEITAS COM ENTREGAS</v>
      </c>
      <c r="P5025">
        <v>286.51</v>
      </c>
      <c r="Q5025" t="str">
        <f>"FARMÁCIA INDIANA LJ 48 (10018)"</f>
        <v>FARMÁCIA INDIANA LJ 48 (10018)</v>
      </c>
      <c r="R5025" t="str">
        <f t="shared" si="2369"/>
        <v>RECEITAS COM ENTREGAS (303)</v>
      </c>
      <c r="S5025">
        <v>2501</v>
      </c>
      <c r="T5025">
        <v>1956</v>
      </c>
      <c r="U5025" t="s">
        <v>19</v>
      </c>
    </row>
    <row r="5026" spans="1:21">
      <c r="A5026" t="str">
        <f t="shared" si="2364"/>
        <v>03/09/2025</v>
      </c>
      <c r="B5026" t="str">
        <f t="shared" si="2363"/>
        <v>ENTRADA</v>
      </c>
      <c r="C5026" t="str">
        <f t="shared" si="2354"/>
        <v>NFSE</v>
      </c>
      <c r="D5026" t="str">
        <f t="shared" si="2370"/>
        <v>3397</v>
      </c>
      <c r="E5026" t="str">
        <f t="shared" si="2349"/>
        <v>COM</v>
      </c>
      <c r="F5026" t="str">
        <f t="shared" si="2371"/>
        <v>FARMÁCIA INDIANA LJ 30 (10127)</v>
      </c>
      <c r="G5026" t="str">
        <f t="shared" si="2372"/>
        <v>Serv.Prest. 18/08/2025 a 24/08/2025 - RPS: 1163 - NFSe: 3397</v>
      </c>
      <c r="H5026" t="str">
        <f t="shared" si="2365"/>
        <v>03/09/2025</v>
      </c>
      <c r="I5026" t="str">
        <f t="shared" si="2366"/>
        <v>25/08/2025</v>
      </c>
      <c r="J5026" t="str">
        <f t="shared" si="2367"/>
        <v>03/09/2025</v>
      </c>
      <c r="M5026">
        <v>303</v>
      </c>
      <c r="N5026" t="str">
        <f t="shared" si="2368"/>
        <v>RECEITAS COM ENTREGAS</v>
      </c>
      <c r="P5026">
        <v>418.63</v>
      </c>
      <c r="Q5026" t="str">
        <f>"FARMÁCIA INDIANA LJ 65 (10030)"</f>
        <v>FARMÁCIA INDIANA LJ 65 (10030)</v>
      </c>
      <c r="R5026" t="str">
        <f t="shared" si="2369"/>
        <v>RECEITAS COM ENTREGAS (303)</v>
      </c>
      <c r="S5026">
        <v>2501</v>
      </c>
      <c r="T5026">
        <v>1956</v>
      </c>
      <c r="U5026" t="s">
        <v>19</v>
      </c>
    </row>
    <row r="5027" spans="1:21">
      <c r="A5027" t="str">
        <f t="shared" si="2364"/>
        <v>03/09/2025</v>
      </c>
      <c r="B5027" t="str">
        <f t="shared" si="2363"/>
        <v>ENTRADA</v>
      </c>
      <c r="C5027" t="str">
        <f t="shared" si="2354"/>
        <v>NFSE</v>
      </c>
      <c r="D5027" t="str">
        <f t="shared" si="2370"/>
        <v>3397</v>
      </c>
      <c r="E5027" t="str">
        <f t="shared" si="2349"/>
        <v>COM</v>
      </c>
      <c r="F5027" t="str">
        <f t="shared" si="2371"/>
        <v>FARMÁCIA INDIANA LJ 30 (10127)</v>
      </c>
      <c r="G5027" t="str">
        <f t="shared" si="2372"/>
        <v>Serv.Prest. 18/08/2025 a 24/08/2025 - RPS: 1163 - NFSe: 3397</v>
      </c>
      <c r="H5027" t="str">
        <f t="shared" si="2365"/>
        <v>03/09/2025</v>
      </c>
      <c r="I5027" t="str">
        <f t="shared" si="2366"/>
        <v>25/08/2025</v>
      </c>
      <c r="J5027" t="str">
        <f t="shared" si="2367"/>
        <v>03/09/2025</v>
      </c>
      <c r="M5027">
        <v>303</v>
      </c>
      <c r="N5027" t="str">
        <f t="shared" si="2368"/>
        <v>RECEITAS COM ENTREGAS</v>
      </c>
      <c r="P5027">
        <v>137.07</v>
      </c>
      <c r="Q5027" t="str">
        <f>"FARMÁCIA INDIANA LJ 77 (10034)"</f>
        <v>FARMÁCIA INDIANA LJ 77 (10034)</v>
      </c>
      <c r="R5027" t="str">
        <f t="shared" si="2369"/>
        <v>RECEITAS COM ENTREGAS (303)</v>
      </c>
      <c r="S5027">
        <v>2501</v>
      </c>
      <c r="T5027">
        <v>1956</v>
      </c>
      <c r="U5027" t="s">
        <v>19</v>
      </c>
    </row>
    <row r="5028" spans="1:21">
      <c r="A5028" t="str">
        <f t="shared" si="2364"/>
        <v>03/09/2025</v>
      </c>
      <c r="B5028" t="str">
        <f t="shared" si="2363"/>
        <v>ENTRADA</v>
      </c>
      <c r="C5028" t="str">
        <f t="shared" si="2354"/>
        <v>NFSE</v>
      </c>
      <c r="D5028" t="str">
        <f t="shared" si="2370"/>
        <v>3397</v>
      </c>
      <c r="E5028" t="str">
        <f t="shared" ref="E5028:E5091" si="2373">"COM"</f>
        <v>COM</v>
      </c>
      <c r="F5028" t="str">
        <f t="shared" si="2371"/>
        <v>FARMÁCIA INDIANA LJ 30 (10127)</v>
      </c>
      <c r="G5028" t="str">
        <f t="shared" si="2372"/>
        <v>Serv.Prest. 18/08/2025 a 24/08/2025 - RPS: 1163 - NFSe: 3397</v>
      </c>
      <c r="H5028" t="str">
        <f t="shared" si="2365"/>
        <v>03/09/2025</v>
      </c>
      <c r="I5028" t="str">
        <f t="shared" si="2366"/>
        <v>25/08/2025</v>
      </c>
      <c r="J5028" t="str">
        <f t="shared" si="2367"/>
        <v>03/09/2025</v>
      </c>
      <c r="M5028">
        <v>303</v>
      </c>
      <c r="N5028" t="str">
        <f t="shared" si="2368"/>
        <v>RECEITAS COM ENTREGAS</v>
      </c>
      <c r="P5028">
        <v>205.76</v>
      </c>
      <c r="Q5028" t="str">
        <f>"FARMÁCIA INDIANA LJ 91 (10037)"</f>
        <v>FARMÁCIA INDIANA LJ 91 (10037)</v>
      </c>
      <c r="R5028" t="str">
        <f t="shared" si="2369"/>
        <v>RECEITAS COM ENTREGAS (303)</v>
      </c>
      <c r="S5028">
        <v>2501</v>
      </c>
      <c r="T5028">
        <v>1956</v>
      </c>
      <c r="U5028" t="s">
        <v>19</v>
      </c>
    </row>
    <row r="5029" spans="1:21">
      <c r="A5029" t="str">
        <f t="shared" si="2364"/>
        <v>03/09/2025</v>
      </c>
      <c r="B5029" t="str">
        <f t="shared" si="2363"/>
        <v>ENTRADA</v>
      </c>
      <c r="C5029" t="str">
        <f t="shared" si="2354"/>
        <v>NFSE</v>
      </c>
      <c r="D5029" t="str">
        <f t="shared" si="2370"/>
        <v>3397</v>
      </c>
      <c r="E5029" t="str">
        <f t="shared" si="2373"/>
        <v>COM</v>
      </c>
      <c r="F5029" t="str">
        <f t="shared" si="2371"/>
        <v>FARMÁCIA INDIANA LJ 30 (10127)</v>
      </c>
      <c r="G5029" t="str">
        <f t="shared" si="2372"/>
        <v>Serv.Prest. 18/08/2025 a 24/08/2025 - RPS: 1163 - NFSe: 3397</v>
      </c>
      <c r="H5029" t="str">
        <f t="shared" si="2365"/>
        <v>03/09/2025</v>
      </c>
      <c r="I5029" t="str">
        <f t="shared" si="2366"/>
        <v>25/08/2025</v>
      </c>
      <c r="J5029" t="str">
        <f t="shared" si="2367"/>
        <v>03/09/2025</v>
      </c>
      <c r="M5029">
        <v>303</v>
      </c>
      <c r="N5029" t="str">
        <f t="shared" si="2368"/>
        <v>RECEITAS COM ENTREGAS</v>
      </c>
      <c r="P5029">
        <v>375.31</v>
      </c>
      <c r="Q5029" t="str">
        <f>"FARMÁCIA INDIANA LJ 95 (10039)"</f>
        <v>FARMÁCIA INDIANA LJ 95 (10039)</v>
      </c>
      <c r="R5029" t="str">
        <f t="shared" si="2369"/>
        <v>RECEITAS COM ENTREGAS (303)</v>
      </c>
      <c r="S5029">
        <v>2501</v>
      </c>
      <c r="T5029">
        <v>1956</v>
      </c>
      <c r="U5029" t="s">
        <v>19</v>
      </c>
    </row>
    <row r="5030" spans="1:21">
      <c r="A5030" t="str">
        <f t="shared" si="2364"/>
        <v>03/09/2025</v>
      </c>
      <c r="B5030" t="str">
        <f t="shared" si="2363"/>
        <v>ENTRADA</v>
      </c>
      <c r="C5030" t="str">
        <f t="shared" si="2354"/>
        <v>NFSE</v>
      </c>
      <c r="D5030" t="str">
        <f t="shared" si="2370"/>
        <v>3397</v>
      </c>
      <c r="E5030" t="str">
        <f t="shared" si="2373"/>
        <v>COM</v>
      </c>
      <c r="F5030" t="str">
        <f t="shared" si="2371"/>
        <v>FARMÁCIA INDIANA LJ 30 (10127)</v>
      </c>
      <c r="G5030" t="str">
        <f t="shared" si="2372"/>
        <v>Serv.Prest. 18/08/2025 a 24/08/2025 - RPS: 1163 - NFSe: 3397</v>
      </c>
      <c r="H5030" t="str">
        <f t="shared" si="2365"/>
        <v>03/09/2025</v>
      </c>
      <c r="I5030" t="str">
        <f t="shared" si="2366"/>
        <v>25/08/2025</v>
      </c>
      <c r="J5030" t="str">
        <f t="shared" si="2367"/>
        <v>03/09/2025</v>
      </c>
      <c r="M5030">
        <v>303</v>
      </c>
      <c r="N5030" t="str">
        <f t="shared" si="2368"/>
        <v>RECEITAS COM ENTREGAS</v>
      </c>
      <c r="P5030">
        <v>280.94</v>
      </c>
      <c r="Q5030" t="str">
        <f>"FARMÁCIA INDIANA LJ 145 (10068)"</f>
        <v>FARMÁCIA INDIANA LJ 145 (10068)</v>
      </c>
      <c r="R5030" t="str">
        <f t="shared" si="2369"/>
        <v>RECEITAS COM ENTREGAS (303)</v>
      </c>
      <c r="S5030">
        <v>2501</v>
      </c>
      <c r="T5030">
        <v>1956</v>
      </c>
      <c r="U5030" t="s">
        <v>19</v>
      </c>
    </row>
    <row r="5031" spans="1:21">
      <c r="A5031" t="str">
        <f t="shared" si="2364"/>
        <v>03/09/2025</v>
      </c>
      <c r="B5031" t="str">
        <f t="shared" si="2363"/>
        <v>ENTRADA</v>
      </c>
      <c r="C5031" t="str">
        <f t="shared" si="2354"/>
        <v>NFSE</v>
      </c>
      <c r="D5031" t="str">
        <f t="shared" si="2370"/>
        <v>3397</v>
      </c>
      <c r="E5031" t="str">
        <f t="shared" si="2373"/>
        <v>COM</v>
      </c>
      <c r="F5031" t="str">
        <f t="shared" si="2371"/>
        <v>FARMÁCIA INDIANA LJ 30 (10127)</v>
      </c>
      <c r="G5031" t="str">
        <f t="shared" si="2372"/>
        <v>Serv.Prest. 18/08/2025 a 24/08/2025 - RPS: 1163 - NFSe: 3397</v>
      </c>
      <c r="H5031" t="str">
        <f t="shared" si="2365"/>
        <v>03/09/2025</v>
      </c>
      <c r="I5031" t="str">
        <f t="shared" si="2366"/>
        <v>25/08/2025</v>
      </c>
      <c r="J5031" t="str">
        <f t="shared" si="2367"/>
        <v>03/09/2025</v>
      </c>
      <c r="M5031">
        <v>303</v>
      </c>
      <c r="N5031" t="str">
        <f t="shared" si="2368"/>
        <v>RECEITAS COM ENTREGAS</v>
      </c>
      <c r="P5031">
        <v>118.81</v>
      </c>
      <c r="Q5031" t="str">
        <f>"FARMÁCIA INDIANA LJ 169 (10073)"</f>
        <v>FARMÁCIA INDIANA LJ 169 (10073)</v>
      </c>
      <c r="R5031" t="str">
        <f t="shared" si="2369"/>
        <v>RECEITAS COM ENTREGAS (303)</v>
      </c>
      <c r="S5031">
        <v>2501</v>
      </c>
      <c r="T5031">
        <v>1956</v>
      </c>
      <c r="U5031" t="s">
        <v>19</v>
      </c>
    </row>
    <row r="5032" spans="1:21">
      <c r="A5032" t="str">
        <f t="shared" si="2364"/>
        <v>03/09/2025</v>
      </c>
      <c r="B5032" t="str">
        <f t="shared" si="2363"/>
        <v>ENTRADA</v>
      </c>
      <c r="C5032" t="str">
        <f t="shared" si="2354"/>
        <v>NFSE</v>
      </c>
      <c r="D5032" t="str">
        <f t="shared" si="2370"/>
        <v>3397</v>
      </c>
      <c r="E5032" t="str">
        <f t="shared" si="2373"/>
        <v>COM</v>
      </c>
      <c r="F5032" t="str">
        <f t="shared" si="2371"/>
        <v>FARMÁCIA INDIANA LJ 30 (10127)</v>
      </c>
      <c r="G5032" t="str">
        <f t="shared" si="2372"/>
        <v>Serv.Prest. 18/08/2025 a 24/08/2025 - RPS: 1163 - NFSe: 3397</v>
      </c>
      <c r="H5032" t="str">
        <f t="shared" si="2365"/>
        <v>03/09/2025</v>
      </c>
      <c r="I5032" t="str">
        <f t="shared" si="2366"/>
        <v>25/08/2025</v>
      </c>
      <c r="J5032" t="str">
        <f t="shared" si="2367"/>
        <v>03/09/2025</v>
      </c>
      <c r="M5032">
        <v>303</v>
      </c>
      <c r="N5032" t="str">
        <f t="shared" si="2368"/>
        <v>RECEITAS COM ENTREGAS</v>
      </c>
      <c r="P5032">
        <v>209.16</v>
      </c>
      <c r="Q5032" t="str">
        <f>"FARMÁCIA INDIANA LJ 173 (10075)"</f>
        <v>FARMÁCIA INDIANA LJ 173 (10075)</v>
      </c>
      <c r="R5032" t="str">
        <f t="shared" si="2369"/>
        <v>RECEITAS COM ENTREGAS (303)</v>
      </c>
      <c r="S5032">
        <v>2501</v>
      </c>
      <c r="T5032">
        <v>1956</v>
      </c>
      <c r="U5032" t="s">
        <v>19</v>
      </c>
    </row>
    <row r="5033" spans="1:21">
      <c r="A5033" t="str">
        <f t="shared" si="2364"/>
        <v>03/09/2025</v>
      </c>
      <c r="B5033" t="str">
        <f t="shared" si="2363"/>
        <v>ENTRADA</v>
      </c>
      <c r="C5033" t="str">
        <f t="shared" si="2354"/>
        <v>NFSE</v>
      </c>
      <c r="D5033" t="str">
        <f t="shared" si="2370"/>
        <v>3397</v>
      </c>
      <c r="E5033" t="str">
        <f t="shared" si="2373"/>
        <v>COM</v>
      </c>
      <c r="F5033" t="str">
        <f t="shared" si="2371"/>
        <v>FARMÁCIA INDIANA LJ 30 (10127)</v>
      </c>
      <c r="G5033" t="str">
        <f t="shared" si="2372"/>
        <v>Serv.Prest. 18/08/2025 a 24/08/2025 - RPS: 1163 - NFSe: 3397</v>
      </c>
      <c r="H5033" t="str">
        <f t="shared" si="2365"/>
        <v>03/09/2025</v>
      </c>
      <c r="I5033" t="str">
        <f t="shared" si="2366"/>
        <v>25/08/2025</v>
      </c>
      <c r="J5033" t="str">
        <f t="shared" si="2367"/>
        <v>03/09/2025</v>
      </c>
      <c r="M5033">
        <v>303</v>
      </c>
      <c r="N5033" t="str">
        <f t="shared" si="2368"/>
        <v>RECEITAS COM ENTREGAS</v>
      </c>
      <c r="P5033">
        <v>183.17</v>
      </c>
      <c r="Q5033" t="str">
        <f>"FARMÁCIA INDIANA LJ 200 (10155)"</f>
        <v>FARMÁCIA INDIANA LJ 200 (10155)</v>
      </c>
      <c r="R5033" t="str">
        <f t="shared" si="2369"/>
        <v>RECEITAS COM ENTREGAS (303)</v>
      </c>
      <c r="S5033">
        <v>2501</v>
      </c>
      <c r="T5033">
        <v>1956</v>
      </c>
      <c r="U5033" t="s">
        <v>19</v>
      </c>
    </row>
    <row r="5034" spans="1:21">
      <c r="A5034" t="str">
        <f t="shared" si="2364"/>
        <v>03/09/2025</v>
      </c>
      <c r="B5034" t="str">
        <f t="shared" si="2363"/>
        <v>ENTRADA</v>
      </c>
      <c r="C5034" t="str">
        <f t="shared" si="2354"/>
        <v>NFSE</v>
      </c>
      <c r="D5034" t="str">
        <f t="shared" si="2370"/>
        <v>3397</v>
      </c>
      <c r="E5034" t="str">
        <f t="shared" si="2373"/>
        <v>COM</v>
      </c>
      <c r="F5034" t="str">
        <f t="shared" si="2371"/>
        <v>FARMÁCIA INDIANA LJ 30 (10127)</v>
      </c>
      <c r="G5034" t="str">
        <f t="shared" si="2372"/>
        <v>Serv.Prest. 18/08/2025 a 24/08/2025 - RPS: 1163 - NFSe: 3397</v>
      </c>
      <c r="H5034" t="str">
        <f t="shared" si="2365"/>
        <v>03/09/2025</v>
      </c>
      <c r="I5034" t="str">
        <f t="shared" si="2366"/>
        <v>25/08/2025</v>
      </c>
      <c r="J5034" t="str">
        <f t="shared" si="2367"/>
        <v>03/09/2025</v>
      </c>
      <c r="M5034">
        <v>303</v>
      </c>
      <c r="N5034" t="str">
        <f t="shared" si="2368"/>
        <v>RECEITAS COM ENTREGAS</v>
      </c>
      <c r="P5034">
        <v>307.55</v>
      </c>
      <c r="Q5034" t="str">
        <f>"FARMÁCIA INDIANA LJ 33 (10187)"</f>
        <v>FARMÁCIA INDIANA LJ 33 (10187)</v>
      </c>
      <c r="R5034" t="str">
        <f t="shared" si="2369"/>
        <v>RECEITAS COM ENTREGAS (303)</v>
      </c>
      <c r="S5034">
        <v>2501</v>
      </c>
      <c r="T5034">
        <v>1956</v>
      </c>
      <c r="U5034" t="s">
        <v>19</v>
      </c>
    </row>
    <row r="5035" spans="1:21">
      <c r="A5035" t="str">
        <f t="shared" si="2364"/>
        <v>03/09/2025</v>
      </c>
      <c r="B5035" t="str">
        <f t="shared" si="2363"/>
        <v>ENTRADA</v>
      </c>
      <c r="C5035" t="str">
        <f t="shared" si="2354"/>
        <v>NFSE</v>
      </c>
      <c r="D5035" t="str">
        <f t="shared" ref="D5035:D5043" si="2374">"3398"</f>
        <v>3398</v>
      </c>
      <c r="E5035" t="str">
        <f t="shared" si="2373"/>
        <v>COM</v>
      </c>
      <c r="F5035" t="str">
        <f t="shared" ref="F5035:F5043" si="2375">"FARMÁCIA INDIANA LJ 85 (10128)"</f>
        <v>FARMÁCIA INDIANA LJ 85 (10128)</v>
      </c>
      <c r="G5035" t="str">
        <f t="shared" ref="G5035:G5043" si="2376">"Serv.Prest. 18/08/2025 a 24/08/2025 - RPS: 1164 - NFSe: 3398"</f>
        <v>Serv.Prest. 18/08/2025 a 24/08/2025 - RPS: 1164 - NFSe: 3398</v>
      </c>
      <c r="H5035" t="str">
        <f t="shared" si="2365"/>
        <v>03/09/2025</v>
      </c>
      <c r="I5035" t="str">
        <f t="shared" si="2366"/>
        <v>25/08/2025</v>
      </c>
      <c r="J5035" t="str">
        <f t="shared" si="2367"/>
        <v>03/09/2025</v>
      </c>
      <c r="K5035">
        <v>1358.46</v>
      </c>
      <c r="L5035">
        <v>1358.46</v>
      </c>
      <c r="M5035">
        <v>303</v>
      </c>
      <c r="N5035" t="str">
        <f t="shared" si="2368"/>
        <v>RECEITAS COM ENTREGAS</v>
      </c>
      <c r="O5035">
        <v>1358.46</v>
      </c>
      <c r="R5035" t="str">
        <f t="shared" si="2369"/>
        <v>RECEITAS COM ENTREGAS (303)</v>
      </c>
      <c r="S5035">
        <v>2502</v>
      </c>
      <c r="T5035">
        <v>1957</v>
      </c>
      <c r="U5035" t="s">
        <v>19</v>
      </c>
    </row>
    <row r="5036" spans="1:21">
      <c r="A5036" t="str">
        <f t="shared" si="2364"/>
        <v>03/09/2025</v>
      </c>
      <c r="B5036" t="str">
        <f t="shared" si="2363"/>
        <v>ENTRADA</v>
      </c>
      <c r="C5036" t="str">
        <f t="shared" si="2354"/>
        <v>NFSE</v>
      </c>
      <c r="D5036" t="str">
        <f t="shared" si="2374"/>
        <v>3398</v>
      </c>
      <c r="E5036" t="str">
        <f t="shared" si="2373"/>
        <v>COM</v>
      </c>
      <c r="F5036" t="str">
        <f t="shared" si="2375"/>
        <v>FARMÁCIA INDIANA LJ 85 (10128)</v>
      </c>
      <c r="G5036" t="str">
        <f t="shared" si="2376"/>
        <v>Serv.Prest. 18/08/2025 a 24/08/2025 - RPS: 1164 - NFSe: 3398</v>
      </c>
      <c r="H5036" t="str">
        <f t="shared" si="2365"/>
        <v>03/09/2025</v>
      </c>
      <c r="I5036" t="str">
        <f t="shared" si="2366"/>
        <v>25/08/2025</v>
      </c>
      <c r="J5036" t="str">
        <f t="shared" si="2367"/>
        <v>03/09/2025</v>
      </c>
      <c r="M5036">
        <v>303</v>
      </c>
      <c r="N5036" t="str">
        <f t="shared" si="2368"/>
        <v>RECEITAS COM ENTREGAS</v>
      </c>
      <c r="P5036">
        <v>172.8</v>
      </c>
      <c r="Q5036" t="str">
        <f>"FARMÁCIA INDIANA LJ 119 (10053)"</f>
        <v>FARMÁCIA INDIANA LJ 119 (10053)</v>
      </c>
      <c r="R5036" t="str">
        <f t="shared" si="2369"/>
        <v>RECEITAS COM ENTREGAS (303)</v>
      </c>
      <c r="S5036">
        <v>2502</v>
      </c>
      <c r="T5036">
        <v>1957</v>
      </c>
      <c r="U5036" t="s">
        <v>19</v>
      </c>
    </row>
    <row r="5037" spans="1:21">
      <c r="A5037" t="str">
        <f t="shared" si="2364"/>
        <v>03/09/2025</v>
      </c>
      <c r="B5037" t="str">
        <f t="shared" si="2363"/>
        <v>ENTRADA</v>
      </c>
      <c r="C5037" t="str">
        <f t="shared" si="2354"/>
        <v>NFSE</v>
      </c>
      <c r="D5037" t="str">
        <f t="shared" si="2374"/>
        <v>3398</v>
      </c>
      <c r="E5037" t="str">
        <f t="shared" si="2373"/>
        <v>COM</v>
      </c>
      <c r="F5037" t="str">
        <f t="shared" si="2375"/>
        <v>FARMÁCIA INDIANA LJ 85 (10128)</v>
      </c>
      <c r="G5037" t="str">
        <f t="shared" si="2376"/>
        <v>Serv.Prest. 18/08/2025 a 24/08/2025 - RPS: 1164 - NFSe: 3398</v>
      </c>
      <c r="H5037" t="str">
        <f t="shared" si="2365"/>
        <v>03/09/2025</v>
      </c>
      <c r="I5037" t="str">
        <f t="shared" si="2366"/>
        <v>25/08/2025</v>
      </c>
      <c r="J5037" t="str">
        <f t="shared" si="2367"/>
        <v>03/09/2025</v>
      </c>
      <c r="M5037">
        <v>303</v>
      </c>
      <c r="N5037" t="str">
        <f t="shared" si="2368"/>
        <v>RECEITAS COM ENTREGAS</v>
      </c>
      <c r="P5037">
        <v>255.93</v>
      </c>
      <c r="Q5037" t="str">
        <f>"FARMÁCIA INDIANA LJ 163 (10072)"</f>
        <v>FARMÁCIA INDIANA LJ 163 (10072)</v>
      </c>
      <c r="R5037" t="str">
        <f t="shared" si="2369"/>
        <v>RECEITAS COM ENTREGAS (303)</v>
      </c>
      <c r="S5037">
        <v>2502</v>
      </c>
      <c r="T5037">
        <v>1957</v>
      </c>
      <c r="U5037" t="s">
        <v>19</v>
      </c>
    </row>
    <row r="5038" spans="1:21">
      <c r="A5038" t="str">
        <f t="shared" ref="A5038:A5068" si="2377">("03/09/2025")</f>
        <v>03/09/2025</v>
      </c>
      <c r="B5038" t="str">
        <f t="shared" si="2363"/>
        <v>ENTRADA</v>
      </c>
      <c r="C5038" t="str">
        <f t="shared" ref="C5038:C5054" si="2378">"NFSE"</f>
        <v>NFSE</v>
      </c>
      <c r="D5038" t="str">
        <f t="shared" si="2374"/>
        <v>3398</v>
      </c>
      <c r="E5038" t="str">
        <f t="shared" si="2373"/>
        <v>COM</v>
      </c>
      <c r="F5038" t="str">
        <f t="shared" si="2375"/>
        <v>FARMÁCIA INDIANA LJ 85 (10128)</v>
      </c>
      <c r="G5038" t="str">
        <f t="shared" si="2376"/>
        <v>Serv.Prest. 18/08/2025 a 24/08/2025 - RPS: 1164 - NFSe: 3398</v>
      </c>
      <c r="H5038" t="str">
        <f t="shared" ref="H5038:H5068" si="2379">("03/09/2025")</f>
        <v>03/09/2025</v>
      </c>
      <c r="I5038" t="str">
        <f t="shared" ref="I5038:I5043" si="2380">("25/08/2025")</f>
        <v>25/08/2025</v>
      </c>
      <c r="J5038" t="str">
        <f t="shared" ref="J5038:J5068" si="2381">("03/09/2025")</f>
        <v>03/09/2025</v>
      </c>
      <c r="M5038">
        <v>303</v>
      </c>
      <c r="N5038" t="str">
        <f t="shared" ref="N5038:N5054" si="2382">"RECEITAS COM ENTREGAS"</f>
        <v>RECEITAS COM ENTREGAS</v>
      </c>
      <c r="P5038">
        <v>164.92</v>
      </c>
      <c r="Q5038" t="str">
        <f>"FARMÁCIA INDIANA LJ 181 (10078)"</f>
        <v>FARMÁCIA INDIANA LJ 181 (10078)</v>
      </c>
      <c r="R5038" t="str">
        <f t="shared" ref="R5038:R5054" si="2383">"RECEITAS COM ENTREGAS (303)"</f>
        <v>RECEITAS COM ENTREGAS (303)</v>
      </c>
      <c r="S5038">
        <v>2502</v>
      </c>
      <c r="T5038">
        <v>1957</v>
      </c>
      <c r="U5038" t="s">
        <v>19</v>
      </c>
    </row>
    <row r="5039" spans="1:21">
      <c r="A5039" t="str">
        <f t="shared" si="2377"/>
        <v>03/09/2025</v>
      </c>
      <c r="B5039" t="str">
        <f t="shared" ref="B5039:B5054" si="2384">"ENTRADA"</f>
        <v>ENTRADA</v>
      </c>
      <c r="C5039" t="str">
        <f t="shared" si="2378"/>
        <v>NFSE</v>
      </c>
      <c r="D5039" t="str">
        <f t="shared" si="2374"/>
        <v>3398</v>
      </c>
      <c r="E5039" t="str">
        <f t="shared" si="2373"/>
        <v>COM</v>
      </c>
      <c r="F5039" t="str">
        <f t="shared" si="2375"/>
        <v>FARMÁCIA INDIANA LJ 85 (10128)</v>
      </c>
      <c r="G5039" t="str">
        <f t="shared" si="2376"/>
        <v>Serv.Prest. 18/08/2025 a 24/08/2025 - RPS: 1164 - NFSe: 3398</v>
      </c>
      <c r="H5039" t="str">
        <f t="shared" si="2379"/>
        <v>03/09/2025</v>
      </c>
      <c r="I5039" t="str">
        <f t="shared" si="2380"/>
        <v>25/08/2025</v>
      </c>
      <c r="J5039" t="str">
        <f t="shared" si="2381"/>
        <v>03/09/2025</v>
      </c>
      <c r="M5039">
        <v>303</v>
      </c>
      <c r="N5039" t="str">
        <f t="shared" si="2382"/>
        <v>RECEITAS COM ENTREGAS</v>
      </c>
      <c r="P5039">
        <v>172.52</v>
      </c>
      <c r="Q5039" t="str">
        <f>"FARMÁCIA INDIANA LJ 221 (10093)"</f>
        <v>FARMÁCIA INDIANA LJ 221 (10093)</v>
      </c>
      <c r="R5039" t="str">
        <f t="shared" si="2383"/>
        <v>RECEITAS COM ENTREGAS (303)</v>
      </c>
      <c r="S5039">
        <v>2502</v>
      </c>
      <c r="T5039">
        <v>1957</v>
      </c>
      <c r="U5039" t="s">
        <v>19</v>
      </c>
    </row>
    <row r="5040" spans="1:21">
      <c r="A5040" t="str">
        <f t="shared" si="2377"/>
        <v>03/09/2025</v>
      </c>
      <c r="B5040" t="str">
        <f t="shared" si="2384"/>
        <v>ENTRADA</v>
      </c>
      <c r="C5040" t="str">
        <f t="shared" si="2378"/>
        <v>NFSE</v>
      </c>
      <c r="D5040" t="str">
        <f t="shared" si="2374"/>
        <v>3398</v>
      </c>
      <c r="E5040" t="str">
        <f t="shared" si="2373"/>
        <v>COM</v>
      </c>
      <c r="F5040" t="str">
        <f t="shared" si="2375"/>
        <v>FARMÁCIA INDIANA LJ 85 (10128)</v>
      </c>
      <c r="G5040" t="str">
        <f t="shared" si="2376"/>
        <v>Serv.Prest. 18/08/2025 a 24/08/2025 - RPS: 1164 - NFSe: 3398</v>
      </c>
      <c r="H5040" t="str">
        <f t="shared" si="2379"/>
        <v>03/09/2025</v>
      </c>
      <c r="I5040" t="str">
        <f t="shared" si="2380"/>
        <v>25/08/2025</v>
      </c>
      <c r="J5040" t="str">
        <f t="shared" si="2381"/>
        <v>03/09/2025</v>
      </c>
      <c r="M5040">
        <v>303</v>
      </c>
      <c r="N5040" t="str">
        <f t="shared" si="2382"/>
        <v>RECEITAS COM ENTREGAS</v>
      </c>
      <c r="P5040">
        <v>224.83</v>
      </c>
      <c r="Q5040" t="str">
        <f>"FARMÁCIA INDIANA LJ 243 (10142)"</f>
        <v>FARMÁCIA INDIANA LJ 243 (10142)</v>
      </c>
      <c r="R5040" t="str">
        <f t="shared" si="2383"/>
        <v>RECEITAS COM ENTREGAS (303)</v>
      </c>
      <c r="S5040">
        <v>2502</v>
      </c>
      <c r="T5040">
        <v>1957</v>
      </c>
      <c r="U5040" t="s">
        <v>19</v>
      </c>
    </row>
    <row r="5041" spans="1:21">
      <c r="A5041" t="str">
        <f t="shared" si="2377"/>
        <v>03/09/2025</v>
      </c>
      <c r="B5041" t="str">
        <f t="shared" si="2384"/>
        <v>ENTRADA</v>
      </c>
      <c r="C5041" t="str">
        <f t="shared" si="2378"/>
        <v>NFSE</v>
      </c>
      <c r="D5041" t="str">
        <f t="shared" si="2374"/>
        <v>3398</v>
      </c>
      <c r="E5041" t="str">
        <f t="shared" si="2373"/>
        <v>COM</v>
      </c>
      <c r="F5041" t="str">
        <f t="shared" si="2375"/>
        <v>FARMÁCIA INDIANA LJ 85 (10128)</v>
      </c>
      <c r="G5041" t="str">
        <f t="shared" si="2376"/>
        <v>Serv.Prest. 18/08/2025 a 24/08/2025 - RPS: 1164 - NFSe: 3398</v>
      </c>
      <c r="H5041" t="str">
        <f t="shared" si="2379"/>
        <v>03/09/2025</v>
      </c>
      <c r="I5041" t="str">
        <f t="shared" si="2380"/>
        <v>25/08/2025</v>
      </c>
      <c r="J5041" t="str">
        <f t="shared" si="2381"/>
        <v>03/09/2025</v>
      </c>
      <c r="M5041">
        <v>303</v>
      </c>
      <c r="N5041" t="str">
        <f t="shared" si="2382"/>
        <v>RECEITAS COM ENTREGAS</v>
      </c>
      <c r="P5041">
        <v>91.83</v>
      </c>
      <c r="Q5041" t="str">
        <f>"FARMÁCIA INDIANA LJ 211 (10168)"</f>
        <v>FARMÁCIA INDIANA LJ 211 (10168)</v>
      </c>
      <c r="R5041" t="str">
        <f t="shared" si="2383"/>
        <v>RECEITAS COM ENTREGAS (303)</v>
      </c>
      <c r="S5041">
        <v>2502</v>
      </c>
      <c r="T5041">
        <v>1957</v>
      </c>
      <c r="U5041" t="s">
        <v>19</v>
      </c>
    </row>
    <row r="5042" spans="1:21">
      <c r="A5042" t="str">
        <f t="shared" si="2377"/>
        <v>03/09/2025</v>
      </c>
      <c r="B5042" t="str">
        <f t="shared" si="2384"/>
        <v>ENTRADA</v>
      </c>
      <c r="C5042" t="str">
        <f t="shared" si="2378"/>
        <v>NFSE</v>
      </c>
      <c r="D5042" t="str">
        <f t="shared" si="2374"/>
        <v>3398</v>
      </c>
      <c r="E5042" t="str">
        <f t="shared" si="2373"/>
        <v>COM</v>
      </c>
      <c r="F5042" t="str">
        <f t="shared" si="2375"/>
        <v>FARMÁCIA INDIANA LJ 85 (10128)</v>
      </c>
      <c r="G5042" t="str">
        <f t="shared" si="2376"/>
        <v>Serv.Prest. 18/08/2025 a 24/08/2025 - RPS: 1164 - NFSe: 3398</v>
      </c>
      <c r="H5042" t="str">
        <f t="shared" si="2379"/>
        <v>03/09/2025</v>
      </c>
      <c r="I5042" t="str">
        <f t="shared" si="2380"/>
        <v>25/08/2025</v>
      </c>
      <c r="J5042" t="str">
        <f t="shared" si="2381"/>
        <v>03/09/2025</v>
      </c>
      <c r="M5042">
        <v>303</v>
      </c>
      <c r="N5042" t="str">
        <f t="shared" si="2382"/>
        <v>RECEITAS COM ENTREGAS</v>
      </c>
      <c r="P5042">
        <v>91.83</v>
      </c>
      <c r="Q5042" t="str">
        <f>"FARMÁCIA INDIANA LJ 236 (10169)"</f>
        <v>FARMÁCIA INDIANA LJ 236 (10169)</v>
      </c>
      <c r="R5042" t="str">
        <f t="shared" si="2383"/>
        <v>RECEITAS COM ENTREGAS (303)</v>
      </c>
      <c r="S5042">
        <v>2502</v>
      </c>
      <c r="T5042">
        <v>1957</v>
      </c>
      <c r="U5042" t="s">
        <v>19</v>
      </c>
    </row>
    <row r="5043" spans="1:21">
      <c r="A5043" t="str">
        <f t="shared" si="2377"/>
        <v>03/09/2025</v>
      </c>
      <c r="B5043" t="str">
        <f t="shared" si="2384"/>
        <v>ENTRADA</v>
      </c>
      <c r="C5043" t="str">
        <f t="shared" si="2378"/>
        <v>NFSE</v>
      </c>
      <c r="D5043" t="str">
        <f t="shared" si="2374"/>
        <v>3398</v>
      </c>
      <c r="E5043" t="str">
        <f t="shared" si="2373"/>
        <v>COM</v>
      </c>
      <c r="F5043" t="str">
        <f t="shared" si="2375"/>
        <v>FARMÁCIA INDIANA LJ 85 (10128)</v>
      </c>
      <c r="G5043" t="str">
        <f t="shared" si="2376"/>
        <v>Serv.Prest. 18/08/2025 a 24/08/2025 - RPS: 1164 - NFSe: 3398</v>
      </c>
      <c r="H5043" t="str">
        <f t="shared" si="2379"/>
        <v>03/09/2025</v>
      </c>
      <c r="I5043" t="str">
        <f t="shared" si="2380"/>
        <v>25/08/2025</v>
      </c>
      <c r="J5043" t="str">
        <f t="shared" si="2381"/>
        <v>03/09/2025</v>
      </c>
      <c r="M5043">
        <v>303</v>
      </c>
      <c r="N5043" t="str">
        <f t="shared" si="2382"/>
        <v>RECEITAS COM ENTREGAS</v>
      </c>
      <c r="P5043">
        <v>183.8</v>
      </c>
      <c r="Q5043" t="str">
        <f>"FARMÁCIA INDIANA LJ 188 (10176)"</f>
        <v>FARMÁCIA INDIANA LJ 188 (10176)</v>
      </c>
      <c r="R5043" t="str">
        <f t="shared" si="2383"/>
        <v>RECEITAS COM ENTREGAS (303)</v>
      </c>
      <c r="S5043">
        <v>2502</v>
      </c>
      <c r="T5043">
        <v>1957</v>
      </c>
      <c r="U5043" t="s">
        <v>19</v>
      </c>
    </row>
    <row r="5044" spans="1:21">
      <c r="A5044" t="str">
        <f t="shared" si="2377"/>
        <v>03/09/2025</v>
      </c>
      <c r="B5044" t="str">
        <f t="shared" si="2384"/>
        <v>ENTRADA</v>
      </c>
      <c r="C5044" t="str">
        <f t="shared" si="2378"/>
        <v>NFSE</v>
      </c>
      <c r="D5044" t="str">
        <f>"3408"</f>
        <v>3408</v>
      </c>
      <c r="E5044" t="str">
        <f t="shared" si="2373"/>
        <v>COM</v>
      </c>
      <c r="F5044" t="str">
        <f>"DROGARIA AGAPEAMA (10167)"</f>
        <v>DROGARIA AGAPEAMA (10167)</v>
      </c>
      <c r="G5044" t="str">
        <f>"Serv.Prest. 25/08/2025 a 31/08/2025 - RPS: 1173 - NFSe: 3408"</f>
        <v>Serv.Prest. 25/08/2025 a 31/08/2025 - RPS: 1173 - NFSe: 3408</v>
      </c>
      <c r="H5044" t="str">
        <f t="shared" si="2379"/>
        <v>03/09/2025</v>
      </c>
      <c r="I5044" t="str">
        <f t="shared" ref="I5044:I5054" si="2385">("01/09/2025")</f>
        <v>01/09/2025</v>
      </c>
      <c r="J5044" t="str">
        <f t="shared" si="2381"/>
        <v>03/09/2025</v>
      </c>
      <c r="K5044">
        <v>360</v>
      </c>
      <c r="L5044">
        <v>360</v>
      </c>
      <c r="M5044">
        <v>303</v>
      </c>
      <c r="N5044" t="str">
        <f t="shared" si="2382"/>
        <v>RECEITAS COM ENTREGAS</v>
      </c>
      <c r="O5044">
        <v>360</v>
      </c>
      <c r="R5044" t="str">
        <f t="shared" si="2383"/>
        <v>RECEITAS COM ENTREGAS (303)</v>
      </c>
      <c r="S5044">
        <v>2503</v>
      </c>
      <c r="T5044">
        <v>2002</v>
      </c>
      <c r="U5044" t="s">
        <v>19</v>
      </c>
    </row>
    <row r="5045" spans="1:21">
      <c r="A5045" t="str">
        <f t="shared" si="2377"/>
        <v>03/09/2025</v>
      </c>
      <c r="B5045" t="str">
        <f t="shared" si="2384"/>
        <v>ENTRADA</v>
      </c>
      <c r="C5045" t="str">
        <f t="shared" si="2378"/>
        <v>NFSE</v>
      </c>
      <c r="D5045" t="str">
        <f>"3408"</f>
        <v>3408</v>
      </c>
      <c r="E5045" t="str">
        <f t="shared" si="2373"/>
        <v>COM</v>
      </c>
      <c r="F5045" t="str">
        <f>"DROGARIA AGAPEAMA (10167)"</f>
        <v>DROGARIA AGAPEAMA (10167)</v>
      </c>
      <c r="G5045" t="str">
        <f>"Serv.Prest. 25/08/2025 a 31/08/2025 - RPS: 1173 - NFSe: 3408"</f>
        <v>Serv.Prest. 25/08/2025 a 31/08/2025 - RPS: 1173 - NFSe: 3408</v>
      </c>
      <c r="H5045" t="str">
        <f t="shared" si="2379"/>
        <v>03/09/2025</v>
      </c>
      <c r="I5045" t="str">
        <f t="shared" si="2385"/>
        <v>01/09/2025</v>
      </c>
      <c r="J5045" t="str">
        <f t="shared" si="2381"/>
        <v>03/09/2025</v>
      </c>
      <c r="M5045">
        <v>303</v>
      </c>
      <c r="N5045" t="str">
        <f t="shared" si="2382"/>
        <v>RECEITAS COM ENTREGAS</v>
      </c>
      <c r="P5045">
        <v>360</v>
      </c>
      <c r="Q5045" t="str">
        <f>"DROGARIA AGAPEAMA (10167)"</f>
        <v>DROGARIA AGAPEAMA (10167)</v>
      </c>
      <c r="R5045" t="str">
        <f t="shared" si="2383"/>
        <v>RECEITAS COM ENTREGAS (303)</v>
      </c>
      <c r="S5045">
        <v>2503</v>
      </c>
      <c r="T5045">
        <v>2002</v>
      </c>
      <c r="U5045" t="s">
        <v>19</v>
      </c>
    </row>
    <row r="5046" spans="1:21">
      <c r="A5046" t="str">
        <f t="shared" si="2377"/>
        <v>03/09/2025</v>
      </c>
      <c r="B5046" t="str">
        <f t="shared" si="2384"/>
        <v>ENTRADA</v>
      </c>
      <c r="C5046" t="str">
        <f t="shared" si="2378"/>
        <v>NFSE</v>
      </c>
      <c r="D5046" t="str">
        <f>"3412"</f>
        <v>3412</v>
      </c>
      <c r="E5046" t="str">
        <f t="shared" si="2373"/>
        <v>COM</v>
      </c>
      <c r="F5046" t="str">
        <f>"ENTREFARMA (10164)"</f>
        <v>ENTREFARMA (10164)</v>
      </c>
      <c r="G5046" t="str">
        <f>"Serv.Prest. 25/08/2025 a 31/08/2025 - RPS: 1177 - NFSe: 3412"</f>
        <v>Serv.Prest. 25/08/2025 a 31/08/2025 - RPS: 1177 - NFSe: 3412</v>
      </c>
      <c r="H5046" t="str">
        <f t="shared" si="2379"/>
        <v>03/09/2025</v>
      </c>
      <c r="I5046" t="str">
        <f t="shared" si="2385"/>
        <v>01/09/2025</v>
      </c>
      <c r="J5046" t="str">
        <f t="shared" si="2381"/>
        <v>03/09/2025</v>
      </c>
      <c r="K5046">
        <v>1278.4000000000001</v>
      </c>
      <c r="L5046">
        <v>1278.4000000000001</v>
      </c>
      <c r="M5046">
        <v>303</v>
      </c>
      <c r="N5046" t="str">
        <f t="shared" si="2382"/>
        <v>RECEITAS COM ENTREGAS</v>
      </c>
      <c r="O5046">
        <v>1278.4000000000001</v>
      </c>
      <c r="R5046" t="str">
        <f t="shared" si="2383"/>
        <v>RECEITAS COM ENTREGAS (303)</v>
      </c>
      <c r="S5046">
        <v>2504</v>
      </c>
      <c r="T5046">
        <v>2006</v>
      </c>
      <c r="U5046" t="s">
        <v>19</v>
      </c>
    </row>
    <row r="5047" spans="1:21">
      <c r="A5047" t="str">
        <f t="shared" si="2377"/>
        <v>03/09/2025</v>
      </c>
      <c r="B5047" t="str">
        <f t="shared" si="2384"/>
        <v>ENTRADA</v>
      </c>
      <c r="C5047" t="str">
        <f t="shared" si="2378"/>
        <v>NFSE</v>
      </c>
      <c r="D5047" t="str">
        <f>"3412"</f>
        <v>3412</v>
      </c>
      <c r="E5047" t="str">
        <f t="shared" si="2373"/>
        <v>COM</v>
      </c>
      <c r="F5047" t="str">
        <f>"ENTREFARMA (10164)"</f>
        <v>ENTREFARMA (10164)</v>
      </c>
      <c r="G5047" t="str">
        <f>"Serv.Prest. 25/08/2025 a 31/08/2025 - RPS: 1177 - NFSe: 3412"</f>
        <v>Serv.Prest. 25/08/2025 a 31/08/2025 - RPS: 1177 - NFSe: 3412</v>
      </c>
      <c r="H5047" t="str">
        <f t="shared" si="2379"/>
        <v>03/09/2025</v>
      </c>
      <c r="I5047" t="str">
        <f t="shared" si="2385"/>
        <v>01/09/2025</v>
      </c>
      <c r="J5047" t="str">
        <f t="shared" si="2381"/>
        <v>03/09/2025</v>
      </c>
      <c r="M5047">
        <v>303</v>
      </c>
      <c r="N5047" t="str">
        <f t="shared" si="2382"/>
        <v>RECEITAS COM ENTREGAS</v>
      </c>
      <c r="P5047">
        <v>1278.4000000000001</v>
      </c>
      <c r="Q5047" t="str">
        <f>"ENTREFARMA (10164)"</f>
        <v>ENTREFARMA (10164)</v>
      </c>
      <c r="R5047" t="str">
        <f t="shared" si="2383"/>
        <v>RECEITAS COM ENTREGAS (303)</v>
      </c>
      <c r="S5047">
        <v>2504</v>
      </c>
      <c r="T5047">
        <v>2006</v>
      </c>
      <c r="U5047" t="s">
        <v>19</v>
      </c>
    </row>
    <row r="5048" spans="1:21">
      <c r="A5048" t="str">
        <f t="shared" si="2377"/>
        <v>03/09/2025</v>
      </c>
      <c r="B5048" t="str">
        <f t="shared" si="2384"/>
        <v>ENTRADA</v>
      </c>
      <c r="C5048" t="str">
        <f t="shared" si="2378"/>
        <v>NFSE</v>
      </c>
      <c r="D5048" t="str">
        <f>"3413"</f>
        <v>3413</v>
      </c>
      <c r="E5048" t="str">
        <f t="shared" si="2373"/>
        <v>COM</v>
      </c>
      <c r="F5048" t="str">
        <f>"FRAN FARMA (10124)"</f>
        <v>FRAN FARMA (10124)</v>
      </c>
      <c r="G5048" t="str">
        <f>"Serv.Prest. 25/08/2025 a 31/08/2025 - RPS: 1178 - NFSe: 3413"</f>
        <v>Serv.Prest. 25/08/2025 a 31/08/2025 - RPS: 1178 - NFSe: 3413</v>
      </c>
      <c r="H5048" t="str">
        <f t="shared" si="2379"/>
        <v>03/09/2025</v>
      </c>
      <c r="I5048" t="str">
        <f t="shared" si="2385"/>
        <v>01/09/2025</v>
      </c>
      <c r="J5048" t="str">
        <f t="shared" si="2381"/>
        <v>03/09/2025</v>
      </c>
      <c r="K5048">
        <v>160</v>
      </c>
      <c r="L5048">
        <v>160</v>
      </c>
      <c r="M5048">
        <v>303</v>
      </c>
      <c r="N5048" t="str">
        <f t="shared" si="2382"/>
        <v>RECEITAS COM ENTREGAS</v>
      </c>
      <c r="O5048">
        <v>160</v>
      </c>
      <c r="R5048" t="str">
        <f t="shared" si="2383"/>
        <v>RECEITAS COM ENTREGAS (303)</v>
      </c>
      <c r="S5048">
        <v>2505</v>
      </c>
      <c r="T5048">
        <v>2007</v>
      </c>
      <c r="U5048" t="s">
        <v>19</v>
      </c>
    </row>
    <row r="5049" spans="1:21">
      <c r="A5049" t="str">
        <f t="shared" si="2377"/>
        <v>03/09/2025</v>
      </c>
      <c r="B5049" t="str">
        <f t="shared" si="2384"/>
        <v>ENTRADA</v>
      </c>
      <c r="C5049" t="str">
        <f t="shared" si="2378"/>
        <v>NFSE</v>
      </c>
      <c r="D5049" t="str">
        <f>"3413"</f>
        <v>3413</v>
      </c>
      <c r="E5049" t="str">
        <f t="shared" si="2373"/>
        <v>COM</v>
      </c>
      <c r="F5049" t="str">
        <f>"FRAN FARMA (10124)"</f>
        <v>FRAN FARMA (10124)</v>
      </c>
      <c r="G5049" t="str">
        <f>"Serv.Prest. 25/08/2025 a 31/08/2025 - RPS: 1178 - NFSe: 3413"</f>
        <v>Serv.Prest. 25/08/2025 a 31/08/2025 - RPS: 1178 - NFSe: 3413</v>
      </c>
      <c r="H5049" t="str">
        <f t="shared" si="2379"/>
        <v>03/09/2025</v>
      </c>
      <c r="I5049" t="str">
        <f t="shared" si="2385"/>
        <v>01/09/2025</v>
      </c>
      <c r="J5049" t="str">
        <f t="shared" si="2381"/>
        <v>03/09/2025</v>
      </c>
      <c r="M5049">
        <v>303</v>
      </c>
      <c r="N5049" t="str">
        <f t="shared" si="2382"/>
        <v>RECEITAS COM ENTREGAS</v>
      </c>
      <c r="P5049">
        <v>96</v>
      </c>
      <c r="Q5049" t="str">
        <f>"FRAN FARMA LJ 2 (10131)"</f>
        <v>FRAN FARMA LJ 2 (10131)</v>
      </c>
      <c r="R5049" t="str">
        <f t="shared" si="2383"/>
        <v>RECEITAS COM ENTREGAS (303)</v>
      </c>
      <c r="S5049">
        <v>2505</v>
      </c>
      <c r="T5049">
        <v>2007</v>
      </c>
      <c r="U5049" t="s">
        <v>19</v>
      </c>
    </row>
    <row r="5050" spans="1:21">
      <c r="A5050" t="str">
        <f t="shared" si="2377"/>
        <v>03/09/2025</v>
      </c>
      <c r="B5050" t="str">
        <f t="shared" si="2384"/>
        <v>ENTRADA</v>
      </c>
      <c r="C5050" t="str">
        <f t="shared" si="2378"/>
        <v>NFSE</v>
      </c>
      <c r="D5050" t="str">
        <f>"3413"</f>
        <v>3413</v>
      </c>
      <c r="E5050" t="str">
        <f t="shared" si="2373"/>
        <v>COM</v>
      </c>
      <c r="F5050" t="str">
        <f>"FRAN FARMA (10124)"</f>
        <v>FRAN FARMA (10124)</v>
      </c>
      <c r="G5050" t="str">
        <f>"Serv.Prest. 25/08/2025 a 31/08/2025 - RPS: 1178 - NFSe: 3413"</f>
        <v>Serv.Prest. 25/08/2025 a 31/08/2025 - RPS: 1178 - NFSe: 3413</v>
      </c>
      <c r="H5050" t="str">
        <f t="shared" si="2379"/>
        <v>03/09/2025</v>
      </c>
      <c r="I5050" t="str">
        <f t="shared" si="2385"/>
        <v>01/09/2025</v>
      </c>
      <c r="J5050" t="str">
        <f t="shared" si="2381"/>
        <v>03/09/2025</v>
      </c>
      <c r="M5050">
        <v>303</v>
      </c>
      <c r="N5050" t="str">
        <f t="shared" si="2382"/>
        <v>RECEITAS COM ENTREGAS</v>
      </c>
      <c r="P5050">
        <v>64</v>
      </c>
      <c r="Q5050" t="str">
        <f>"FRAN FARMA LJ 3 (10132)"</f>
        <v>FRAN FARMA LJ 3 (10132)</v>
      </c>
      <c r="R5050" t="str">
        <f t="shared" si="2383"/>
        <v>RECEITAS COM ENTREGAS (303)</v>
      </c>
      <c r="S5050">
        <v>2505</v>
      </c>
      <c r="T5050">
        <v>2007</v>
      </c>
      <c r="U5050" t="s">
        <v>19</v>
      </c>
    </row>
    <row r="5051" spans="1:21">
      <c r="A5051" t="str">
        <f t="shared" si="2377"/>
        <v>03/09/2025</v>
      </c>
      <c r="B5051" t="str">
        <f t="shared" si="2384"/>
        <v>ENTRADA</v>
      </c>
      <c r="C5051" t="str">
        <f t="shared" si="2378"/>
        <v>NFSE</v>
      </c>
      <c r="D5051" t="str">
        <f>"3419"</f>
        <v>3419</v>
      </c>
      <c r="E5051" t="str">
        <f t="shared" si="2373"/>
        <v>COM</v>
      </c>
      <c r="F5051" t="str">
        <f>"JAL FARMACIA E DROGARIA LJ 2 (10138)"</f>
        <v>JAL FARMACIA E DROGARIA LJ 2 (10138)</v>
      </c>
      <c r="G5051" t="str">
        <f>"Serv.Prest. 25/08/2025 a 31/08/2025 - RPS: 1184 - NFSe: 3419"</f>
        <v>Serv.Prest. 25/08/2025 a 31/08/2025 - RPS: 1184 - NFSe: 3419</v>
      </c>
      <c r="H5051" t="str">
        <f t="shared" si="2379"/>
        <v>03/09/2025</v>
      </c>
      <c r="I5051" t="str">
        <f t="shared" si="2385"/>
        <v>01/09/2025</v>
      </c>
      <c r="J5051" t="str">
        <f t="shared" si="2381"/>
        <v>03/09/2025</v>
      </c>
      <c r="K5051">
        <v>297.60000000000002</v>
      </c>
      <c r="L5051">
        <v>297.60000000000002</v>
      </c>
      <c r="M5051">
        <v>303</v>
      </c>
      <c r="N5051" t="str">
        <f t="shared" si="2382"/>
        <v>RECEITAS COM ENTREGAS</v>
      </c>
      <c r="O5051">
        <v>297.60000000000002</v>
      </c>
      <c r="R5051" t="str">
        <f t="shared" si="2383"/>
        <v>RECEITAS COM ENTREGAS (303)</v>
      </c>
      <c r="S5051">
        <v>2506</v>
      </c>
      <c r="T5051">
        <v>2013</v>
      </c>
      <c r="U5051" t="s">
        <v>19</v>
      </c>
    </row>
    <row r="5052" spans="1:21">
      <c r="A5052" t="str">
        <f t="shared" si="2377"/>
        <v>03/09/2025</v>
      </c>
      <c r="B5052" t="str">
        <f t="shared" si="2384"/>
        <v>ENTRADA</v>
      </c>
      <c r="C5052" t="str">
        <f t="shared" si="2378"/>
        <v>NFSE</v>
      </c>
      <c r="D5052" t="str">
        <f>"3419"</f>
        <v>3419</v>
      </c>
      <c r="E5052" t="str">
        <f t="shared" si="2373"/>
        <v>COM</v>
      </c>
      <c r="F5052" t="str">
        <f>"JAL FARMACIA E DROGARIA LJ 2 (10138)"</f>
        <v>JAL FARMACIA E DROGARIA LJ 2 (10138)</v>
      </c>
      <c r="G5052" t="str">
        <f>"Serv.Prest. 25/08/2025 a 31/08/2025 - RPS: 1184 - NFSe: 3419"</f>
        <v>Serv.Prest. 25/08/2025 a 31/08/2025 - RPS: 1184 - NFSe: 3419</v>
      </c>
      <c r="H5052" t="str">
        <f t="shared" si="2379"/>
        <v>03/09/2025</v>
      </c>
      <c r="I5052" t="str">
        <f t="shared" si="2385"/>
        <v>01/09/2025</v>
      </c>
      <c r="J5052" t="str">
        <f t="shared" si="2381"/>
        <v>03/09/2025</v>
      </c>
      <c r="M5052">
        <v>303</v>
      </c>
      <c r="N5052" t="str">
        <f t="shared" si="2382"/>
        <v>RECEITAS COM ENTREGAS</v>
      </c>
      <c r="P5052">
        <v>297.60000000000002</v>
      </c>
      <c r="Q5052" t="str">
        <f>"JAL FARMACIA E DROGARIA LJ 2 (10138)"</f>
        <v>JAL FARMACIA E DROGARIA LJ 2 (10138)</v>
      </c>
      <c r="R5052" t="str">
        <f t="shared" si="2383"/>
        <v>RECEITAS COM ENTREGAS (303)</v>
      </c>
      <c r="S5052">
        <v>2506</v>
      </c>
      <c r="T5052">
        <v>2013</v>
      </c>
      <c r="U5052" t="s">
        <v>19</v>
      </c>
    </row>
    <row r="5053" spans="1:21">
      <c r="A5053" t="str">
        <f t="shared" si="2377"/>
        <v>03/09/2025</v>
      </c>
      <c r="B5053" t="str">
        <f t="shared" si="2384"/>
        <v>ENTRADA</v>
      </c>
      <c r="C5053" t="str">
        <f t="shared" si="2378"/>
        <v>NFSE</v>
      </c>
      <c r="D5053" t="str">
        <f>"3422"</f>
        <v>3422</v>
      </c>
      <c r="E5053" t="str">
        <f t="shared" si="2373"/>
        <v>COM</v>
      </c>
      <c r="F5053" t="str">
        <f>"DELTA LOJA 2 (10123)"</f>
        <v>DELTA LOJA 2 (10123)</v>
      </c>
      <c r="G5053" t="str">
        <f>"Serv.Prest. 25/08/2025 a 31/08/2025 - RPS: 1187 - NFSe: 3422"</f>
        <v>Serv.Prest. 25/08/2025 a 31/08/2025 - RPS: 1187 - NFSe: 3422</v>
      </c>
      <c r="H5053" t="str">
        <f t="shared" si="2379"/>
        <v>03/09/2025</v>
      </c>
      <c r="I5053" t="str">
        <f t="shared" si="2385"/>
        <v>01/09/2025</v>
      </c>
      <c r="J5053" t="str">
        <f t="shared" si="2381"/>
        <v>03/09/2025</v>
      </c>
      <c r="K5053">
        <v>592.48</v>
      </c>
      <c r="L5053">
        <v>592.48</v>
      </c>
      <c r="M5053">
        <v>303</v>
      </c>
      <c r="N5053" t="str">
        <f t="shared" si="2382"/>
        <v>RECEITAS COM ENTREGAS</v>
      </c>
      <c r="O5053">
        <v>592.48</v>
      </c>
      <c r="R5053" t="str">
        <f t="shared" si="2383"/>
        <v>RECEITAS COM ENTREGAS (303)</v>
      </c>
      <c r="S5053">
        <v>2507</v>
      </c>
      <c r="T5053">
        <v>2017</v>
      </c>
      <c r="U5053" t="s">
        <v>19</v>
      </c>
    </row>
    <row r="5054" spans="1:21">
      <c r="A5054" t="str">
        <f t="shared" si="2377"/>
        <v>03/09/2025</v>
      </c>
      <c r="B5054" t="str">
        <f t="shared" si="2384"/>
        <v>ENTRADA</v>
      </c>
      <c r="C5054" t="str">
        <f t="shared" si="2378"/>
        <v>NFSE</v>
      </c>
      <c r="D5054" t="str">
        <f>"3422"</f>
        <v>3422</v>
      </c>
      <c r="E5054" t="str">
        <f t="shared" si="2373"/>
        <v>COM</v>
      </c>
      <c r="F5054" t="str">
        <f>"DELTA LOJA 2 (10123)"</f>
        <v>DELTA LOJA 2 (10123)</v>
      </c>
      <c r="G5054" t="str">
        <f>"Serv.Prest. 25/08/2025 a 31/08/2025 - RPS: 1187 - NFSe: 3422"</f>
        <v>Serv.Prest. 25/08/2025 a 31/08/2025 - RPS: 1187 - NFSe: 3422</v>
      </c>
      <c r="H5054" t="str">
        <f t="shared" si="2379"/>
        <v>03/09/2025</v>
      </c>
      <c r="I5054" t="str">
        <f t="shared" si="2385"/>
        <v>01/09/2025</v>
      </c>
      <c r="J5054" t="str">
        <f t="shared" si="2381"/>
        <v>03/09/2025</v>
      </c>
      <c r="M5054">
        <v>303</v>
      </c>
      <c r="N5054" t="str">
        <f t="shared" si="2382"/>
        <v>RECEITAS COM ENTREGAS</v>
      </c>
      <c r="P5054">
        <v>592.48</v>
      </c>
      <c r="Q5054" t="str">
        <f>"DELTA LOJA 2 (10123)"</f>
        <v>DELTA LOJA 2 (10123)</v>
      </c>
      <c r="R5054" t="str">
        <f t="shared" si="2383"/>
        <v>RECEITAS COM ENTREGAS (303)</v>
      </c>
      <c r="S5054">
        <v>2507</v>
      </c>
      <c r="T5054">
        <v>2017</v>
      </c>
      <c r="U5054" t="s">
        <v>19</v>
      </c>
    </row>
    <row r="5055" spans="1:21">
      <c r="A5055" t="str">
        <f t="shared" si="2377"/>
        <v>03/09/2025</v>
      </c>
      <c r="B5055" t="str">
        <f t="shared" ref="B5055:B5068" si="2386">"SAÍDA"</f>
        <v>SAÍDA</v>
      </c>
      <c r="C5055" t="str">
        <f t="shared" ref="C5055:C5064" si="2387">"CONHECIMENTO"</f>
        <v>CONHECIMENTO</v>
      </c>
      <c r="D5055" t="str">
        <f t="shared" ref="D5055:D5064" si="2388">"030925170"</f>
        <v>030925170</v>
      </c>
      <c r="E5055" t="str">
        <f t="shared" si="2373"/>
        <v>COM</v>
      </c>
      <c r="F5055" t="str">
        <f t="shared" ref="F5055:F5064" si="2389">"CORA SOCIEDADE DE CREDITO, FINANCIAMENTO E INVESTIMENTO (20035)"</f>
        <v>CORA SOCIEDADE DE CREDITO, FINANCIAMENTO E INVESTIMENTO (20035)</v>
      </c>
      <c r="G5055" t="str">
        <f t="shared" ref="G5055:G5064" si="2390">"TAXA BOLETO COMPENSADO"</f>
        <v>TAXA BOLETO COMPENSADO</v>
      </c>
      <c r="H5055" t="str">
        <f t="shared" si="2379"/>
        <v>03/09/2025</v>
      </c>
      <c r="I5055" t="str">
        <f t="shared" ref="I5055:I5068" si="2391">("03/09/2025")</f>
        <v>03/09/2025</v>
      </c>
      <c r="J5055" t="str">
        <f t="shared" si="2381"/>
        <v>03/09/2025</v>
      </c>
      <c r="K5055">
        <v>1.7</v>
      </c>
      <c r="L5055">
        <v>1.7</v>
      </c>
      <c r="M5055">
        <v>401</v>
      </c>
      <c r="N5055" t="str">
        <f t="shared" ref="N5055:N5064" si="2392">"IOF/JUROS/DESP.FINANCEIRA"</f>
        <v>IOF/JUROS/DESP.FINANCEIRA</v>
      </c>
      <c r="O5055">
        <v>1.7</v>
      </c>
      <c r="R5055" t="str">
        <f t="shared" ref="R5055:R5068" si="2393">"BANCO CORA (102)"</f>
        <v>BANCO CORA (102)</v>
      </c>
      <c r="S5055">
        <v>2554</v>
      </c>
      <c r="T5055">
        <v>2074</v>
      </c>
      <c r="U5055" t="s">
        <v>19</v>
      </c>
    </row>
    <row r="5056" spans="1:21">
      <c r="A5056" t="str">
        <f t="shared" si="2377"/>
        <v>03/09/2025</v>
      </c>
      <c r="B5056" t="str">
        <f t="shared" si="2386"/>
        <v>SAÍDA</v>
      </c>
      <c r="C5056" t="str">
        <f t="shared" si="2387"/>
        <v>CONHECIMENTO</v>
      </c>
      <c r="D5056" t="str">
        <f t="shared" si="2388"/>
        <v>030925170</v>
      </c>
      <c r="E5056" t="str">
        <f t="shared" si="2373"/>
        <v>COM</v>
      </c>
      <c r="F5056" t="str">
        <f t="shared" si="2389"/>
        <v>CORA SOCIEDADE DE CREDITO, FINANCIAMENTO E INVESTIMENTO (20035)</v>
      </c>
      <c r="G5056" t="str">
        <f t="shared" si="2390"/>
        <v>TAXA BOLETO COMPENSADO</v>
      </c>
      <c r="H5056" t="str">
        <f t="shared" si="2379"/>
        <v>03/09/2025</v>
      </c>
      <c r="I5056" t="str">
        <f t="shared" si="2391"/>
        <v>03/09/2025</v>
      </c>
      <c r="J5056" t="str">
        <f t="shared" si="2381"/>
        <v>03/09/2025</v>
      </c>
      <c r="M5056">
        <v>401</v>
      </c>
      <c r="N5056" t="str">
        <f t="shared" si="2392"/>
        <v>IOF/JUROS/DESP.FINANCEIRA</v>
      </c>
      <c r="P5056">
        <v>1.7</v>
      </c>
      <c r="Q5056" t="str">
        <f>"CORA SOCIEDADE DE CREDITO, FINANCIAMENTO E INVESTIMENTO (20035)"</f>
        <v>CORA SOCIEDADE DE CREDITO, FINANCIAMENTO E INVESTIMENTO (20035)</v>
      </c>
      <c r="R5056" t="str">
        <f t="shared" si="2393"/>
        <v>BANCO CORA (102)</v>
      </c>
      <c r="S5056">
        <v>2554</v>
      </c>
      <c r="T5056">
        <v>2074</v>
      </c>
      <c r="U5056" t="s">
        <v>19</v>
      </c>
    </row>
    <row r="5057" spans="1:21">
      <c r="A5057" t="str">
        <f t="shared" si="2377"/>
        <v>03/09/2025</v>
      </c>
      <c r="B5057" t="str">
        <f t="shared" si="2386"/>
        <v>SAÍDA</v>
      </c>
      <c r="C5057" t="str">
        <f t="shared" si="2387"/>
        <v>CONHECIMENTO</v>
      </c>
      <c r="D5057" t="str">
        <f t="shared" si="2388"/>
        <v>030925170</v>
      </c>
      <c r="E5057" t="str">
        <f t="shared" si="2373"/>
        <v>COM</v>
      </c>
      <c r="F5057" t="str">
        <f t="shared" si="2389"/>
        <v>CORA SOCIEDADE DE CREDITO, FINANCIAMENTO E INVESTIMENTO (20035)</v>
      </c>
      <c r="G5057" t="str">
        <f t="shared" si="2390"/>
        <v>TAXA BOLETO COMPENSADO</v>
      </c>
      <c r="H5057" t="str">
        <f t="shared" si="2379"/>
        <v>03/09/2025</v>
      </c>
      <c r="I5057" t="str">
        <f t="shared" si="2391"/>
        <v>03/09/2025</v>
      </c>
      <c r="J5057" t="str">
        <f t="shared" si="2381"/>
        <v>03/09/2025</v>
      </c>
      <c r="K5057">
        <v>1.7</v>
      </c>
      <c r="L5057">
        <v>1.7</v>
      </c>
      <c r="M5057">
        <v>401</v>
      </c>
      <c r="N5057" t="str">
        <f t="shared" si="2392"/>
        <v>IOF/JUROS/DESP.FINANCEIRA</v>
      </c>
      <c r="O5057">
        <v>1.7</v>
      </c>
      <c r="R5057" t="str">
        <f t="shared" si="2393"/>
        <v>BANCO CORA (102)</v>
      </c>
      <c r="S5057">
        <v>2555</v>
      </c>
      <c r="T5057">
        <v>2075</v>
      </c>
      <c r="U5057" t="s">
        <v>19</v>
      </c>
    </row>
    <row r="5058" spans="1:21">
      <c r="A5058" t="str">
        <f t="shared" si="2377"/>
        <v>03/09/2025</v>
      </c>
      <c r="B5058" t="str">
        <f t="shared" si="2386"/>
        <v>SAÍDA</v>
      </c>
      <c r="C5058" t="str">
        <f t="shared" si="2387"/>
        <v>CONHECIMENTO</v>
      </c>
      <c r="D5058" t="str">
        <f t="shared" si="2388"/>
        <v>030925170</v>
      </c>
      <c r="E5058" t="str">
        <f t="shared" si="2373"/>
        <v>COM</v>
      </c>
      <c r="F5058" t="str">
        <f t="shared" si="2389"/>
        <v>CORA SOCIEDADE DE CREDITO, FINANCIAMENTO E INVESTIMENTO (20035)</v>
      </c>
      <c r="G5058" t="str">
        <f t="shared" si="2390"/>
        <v>TAXA BOLETO COMPENSADO</v>
      </c>
      <c r="H5058" t="str">
        <f t="shared" si="2379"/>
        <v>03/09/2025</v>
      </c>
      <c r="I5058" t="str">
        <f t="shared" si="2391"/>
        <v>03/09/2025</v>
      </c>
      <c r="J5058" t="str">
        <f t="shared" si="2381"/>
        <v>03/09/2025</v>
      </c>
      <c r="M5058">
        <v>401</v>
      </c>
      <c r="N5058" t="str">
        <f t="shared" si="2392"/>
        <v>IOF/JUROS/DESP.FINANCEIRA</v>
      </c>
      <c r="P5058">
        <v>1.7</v>
      </c>
      <c r="Q5058" t="str">
        <f>"CORA SOCIEDADE DE CREDITO, FINANCIAMENTO E INVESTIMENTO (20035)"</f>
        <v>CORA SOCIEDADE DE CREDITO, FINANCIAMENTO E INVESTIMENTO (20035)</v>
      </c>
      <c r="R5058" t="str">
        <f t="shared" si="2393"/>
        <v>BANCO CORA (102)</v>
      </c>
      <c r="S5058">
        <v>2555</v>
      </c>
      <c r="T5058">
        <v>2075</v>
      </c>
      <c r="U5058" t="s">
        <v>19</v>
      </c>
    </row>
    <row r="5059" spans="1:21">
      <c r="A5059" t="str">
        <f t="shared" si="2377"/>
        <v>03/09/2025</v>
      </c>
      <c r="B5059" t="str">
        <f t="shared" si="2386"/>
        <v>SAÍDA</v>
      </c>
      <c r="C5059" t="str">
        <f t="shared" si="2387"/>
        <v>CONHECIMENTO</v>
      </c>
      <c r="D5059" t="str">
        <f t="shared" si="2388"/>
        <v>030925170</v>
      </c>
      <c r="E5059" t="str">
        <f t="shared" si="2373"/>
        <v>COM</v>
      </c>
      <c r="F5059" t="str">
        <f t="shared" si="2389"/>
        <v>CORA SOCIEDADE DE CREDITO, FINANCIAMENTO E INVESTIMENTO (20035)</v>
      </c>
      <c r="G5059" t="str">
        <f t="shared" si="2390"/>
        <v>TAXA BOLETO COMPENSADO</v>
      </c>
      <c r="H5059" t="str">
        <f t="shared" si="2379"/>
        <v>03/09/2025</v>
      </c>
      <c r="I5059" t="str">
        <f t="shared" si="2391"/>
        <v>03/09/2025</v>
      </c>
      <c r="J5059" t="str">
        <f t="shared" si="2381"/>
        <v>03/09/2025</v>
      </c>
      <c r="K5059">
        <v>1.7</v>
      </c>
      <c r="L5059">
        <v>1.7</v>
      </c>
      <c r="M5059">
        <v>401</v>
      </c>
      <c r="N5059" t="str">
        <f t="shared" si="2392"/>
        <v>IOF/JUROS/DESP.FINANCEIRA</v>
      </c>
      <c r="O5059">
        <v>1.7</v>
      </c>
      <c r="R5059" t="str">
        <f t="shared" si="2393"/>
        <v>BANCO CORA (102)</v>
      </c>
      <c r="S5059">
        <v>2556</v>
      </c>
      <c r="T5059">
        <v>2076</v>
      </c>
      <c r="U5059" t="s">
        <v>19</v>
      </c>
    </row>
    <row r="5060" spans="1:21">
      <c r="A5060" t="str">
        <f t="shared" si="2377"/>
        <v>03/09/2025</v>
      </c>
      <c r="B5060" t="str">
        <f t="shared" si="2386"/>
        <v>SAÍDA</v>
      </c>
      <c r="C5060" t="str">
        <f t="shared" si="2387"/>
        <v>CONHECIMENTO</v>
      </c>
      <c r="D5060" t="str">
        <f t="shared" si="2388"/>
        <v>030925170</v>
      </c>
      <c r="E5060" t="str">
        <f t="shared" si="2373"/>
        <v>COM</v>
      </c>
      <c r="F5060" t="str">
        <f t="shared" si="2389"/>
        <v>CORA SOCIEDADE DE CREDITO, FINANCIAMENTO E INVESTIMENTO (20035)</v>
      </c>
      <c r="G5060" t="str">
        <f t="shared" si="2390"/>
        <v>TAXA BOLETO COMPENSADO</v>
      </c>
      <c r="H5060" t="str">
        <f t="shared" si="2379"/>
        <v>03/09/2025</v>
      </c>
      <c r="I5060" t="str">
        <f t="shared" si="2391"/>
        <v>03/09/2025</v>
      </c>
      <c r="J5060" t="str">
        <f t="shared" si="2381"/>
        <v>03/09/2025</v>
      </c>
      <c r="M5060">
        <v>401</v>
      </c>
      <c r="N5060" t="str">
        <f t="shared" si="2392"/>
        <v>IOF/JUROS/DESP.FINANCEIRA</v>
      </c>
      <c r="P5060">
        <v>1.7</v>
      </c>
      <c r="Q5060" t="str">
        <f>"CORA SOCIEDADE DE CREDITO, FINANCIAMENTO E INVESTIMENTO (20035)"</f>
        <v>CORA SOCIEDADE DE CREDITO, FINANCIAMENTO E INVESTIMENTO (20035)</v>
      </c>
      <c r="R5060" t="str">
        <f t="shared" si="2393"/>
        <v>BANCO CORA (102)</v>
      </c>
      <c r="S5060">
        <v>2556</v>
      </c>
      <c r="T5060">
        <v>2076</v>
      </c>
      <c r="U5060" t="s">
        <v>19</v>
      </c>
    </row>
    <row r="5061" spans="1:21">
      <c r="A5061" t="str">
        <f t="shared" si="2377"/>
        <v>03/09/2025</v>
      </c>
      <c r="B5061" t="str">
        <f t="shared" si="2386"/>
        <v>SAÍDA</v>
      </c>
      <c r="C5061" t="str">
        <f t="shared" si="2387"/>
        <v>CONHECIMENTO</v>
      </c>
      <c r="D5061" t="str">
        <f t="shared" si="2388"/>
        <v>030925170</v>
      </c>
      <c r="E5061" t="str">
        <f t="shared" si="2373"/>
        <v>COM</v>
      </c>
      <c r="F5061" t="str">
        <f t="shared" si="2389"/>
        <v>CORA SOCIEDADE DE CREDITO, FINANCIAMENTO E INVESTIMENTO (20035)</v>
      </c>
      <c r="G5061" t="str">
        <f t="shared" si="2390"/>
        <v>TAXA BOLETO COMPENSADO</v>
      </c>
      <c r="H5061" t="str">
        <f t="shared" si="2379"/>
        <v>03/09/2025</v>
      </c>
      <c r="I5061" t="str">
        <f t="shared" si="2391"/>
        <v>03/09/2025</v>
      </c>
      <c r="J5061" t="str">
        <f t="shared" si="2381"/>
        <v>03/09/2025</v>
      </c>
      <c r="K5061">
        <v>1.7</v>
      </c>
      <c r="L5061">
        <v>1.7</v>
      </c>
      <c r="M5061">
        <v>401</v>
      </c>
      <c r="N5061" t="str">
        <f t="shared" si="2392"/>
        <v>IOF/JUROS/DESP.FINANCEIRA</v>
      </c>
      <c r="O5061">
        <v>1.7</v>
      </c>
      <c r="R5061" t="str">
        <f t="shared" si="2393"/>
        <v>BANCO CORA (102)</v>
      </c>
      <c r="S5061">
        <v>2557</v>
      </c>
      <c r="T5061">
        <v>2077</v>
      </c>
      <c r="U5061" t="s">
        <v>19</v>
      </c>
    </row>
    <row r="5062" spans="1:21">
      <c r="A5062" t="str">
        <f t="shared" si="2377"/>
        <v>03/09/2025</v>
      </c>
      <c r="B5062" t="str">
        <f t="shared" si="2386"/>
        <v>SAÍDA</v>
      </c>
      <c r="C5062" t="str">
        <f t="shared" si="2387"/>
        <v>CONHECIMENTO</v>
      </c>
      <c r="D5062" t="str">
        <f t="shared" si="2388"/>
        <v>030925170</v>
      </c>
      <c r="E5062" t="str">
        <f t="shared" si="2373"/>
        <v>COM</v>
      </c>
      <c r="F5062" t="str">
        <f t="shared" si="2389"/>
        <v>CORA SOCIEDADE DE CREDITO, FINANCIAMENTO E INVESTIMENTO (20035)</v>
      </c>
      <c r="G5062" t="str">
        <f t="shared" si="2390"/>
        <v>TAXA BOLETO COMPENSADO</v>
      </c>
      <c r="H5062" t="str">
        <f t="shared" si="2379"/>
        <v>03/09/2025</v>
      </c>
      <c r="I5062" t="str">
        <f t="shared" si="2391"/>
        <v>03/09/2025</v>
      </c>
      <c r="J5062" t="str">
        <f t="shared" si="2381"/>
        <v>03/09/2025</v>
      </c>
      <c r="M5062">
        <v>401</v>
      </c>
      <c r="N5062" t="str">
        <f t="shared" si="2392"/>
        <v>IOF/JUROS/DESP.FINANCEIRA</v>
      </c>
      <c r="P5062">
        <v>1.7</v>
      </c>
      <c r="Q5062" t="str">
        <f>"CORA SOCIEDADE DE CREDITO, FINANCIAMENTO E INVESTIMENTO (20035)"</f>
        <v>CORA SOCIEDADE DE CREDITO, FINANCIAMENTO E INVESTIMENTO (20035)</v>
      </c>
      <c r="R5062" t="str">
        <f t="shared" si="2393"/>
        <v>BANCO CORA (102)</v>
      </c>
      <c r="S5062">
        <v>2557</v>
      </c>
      <c r="T5062">
        <v>2077</v>
      </c>
      <c r="U5062" t="s">
        <v>19</v>
      </c>
    </row>
    <row r="5063" spans="1:21">
      <c r="A5063" t="str">
        <f t="shared" si="2377"/>
        <v>03/09/2025</v>
      </c>
      <c r="B5063" t="str">
        <f t="shared" si="2386"/>
        <v>SAÍDA</v>
      </c>
      <c r="C5063" t="str">
        <f t="shared" si="2387"/>
        <v>CONHECIMENTO</v>
      </c>
      <c r="D5063" t="str">
        <f t="shared" si="2388"/>
        <v>030925170</v>
      </c>
      <c r="E5063" t="str">
        <f t="shared" si="2373"/>
        <v>COM</v>
      </c>
      <c r="F5063" t="str">
        <f t="shared" si="2389"/>
        <v>CORA SOCIEDADE DE CREDITO, FINANCIAMENTO E INVESTIMENTO (20035)</v>
      </c>
      <c r="G5063" t="str">
        <f t="shared" si="2390"/>
        <v>TAXA BOLETO COMPENSADO</v>
      </c>
      <c r="H5063" t="str">
        <f t="shared" si="2379"/>
        <v>03/09/2025</v>
      </c>
      <c r="I5063" t="str">
        <f t="shared" si="2391"/>
        <v>03/09/2025</v>
      </c>
      <c r="J5063" t="str">
        <f t="shared" si="2381"/>
        <v>03/09/2025</v>
      </c>
      <c r="K5063">
        <v>1.7</v>
      </c>
      <c r="L5063">
        <v>1.7</v>
      </c>
      <c r="M5063">
        <v>401</v>
      </c>
      <c r="N5063" t="str">
        <f t="shared" si="2392"/>
        <v>IOF/JUROS/DESP.FINANCEIRA</v>
      </c>
      <c r="O5063">
        <v>1.7</v>
      </c>
      <c r="R5063" t="str">
        <f t="shared" si="2393"/>
        <v>BANCO CORA (102)</v>
      </c>
      <c r="S5063">
        <v>2558</v>
      </c>
      <c r="T5063">
        <v>2078</v>
      </c>
      <c r="U5063" t="s">
        <v>19</v>
      </c>
    </row>
    <row r="5064" spans="1:21">
      <c r="A5064" t="str">
        <f t="shared" si="2377"/>
        <v>03/09/2025</v>
      </c>
      <c r="B5064" t="str">
        <f t="shared" si="2386"/>
        <v>SAÍDA</v>
      </c>
      <c r="C5064" t="str">
        <f t="shared" si="2387"/>
        <v>CONHECIMENTO</v>
      </c>
      <c r="D5064" t="str">
        <f t="shared" si="2388"/>
        <v>030925170</v>
      </c>
      <c r="E5064" t="str">
        <f t="shared" si="2373"/>
        <v>COM</v>
      </c>
      <c r="F5064" t="str">
        <f t="shared" si="2389"/>
        <v>CORA SOCIEDADE DE CREDITO, FINANCIAMENTO E INVESTIMENTO (20035)</v>
      </c>
      <c r="G5064" t="str">
        <f t="shared" si="2390"/>
        <v>TAXA BOLETO COMPENSADO</v>
      </c>
      <c r="H5064" t="str">
        <f t="shared" si="2379"/>
        <v>03/09/2025</v>
      </c>
      <c r="I5064" t="str">
        <f t="shared" si="2391"/>
        <v>03/09/2025</v>
      </c>
      <c r="J5064" t="str">
        <f t="shared" si="2381"/>
        <v>03/09/2025</v>
      </c>
      <c r="M5064">
        <v>401</v>
      </c>
      <c r="N5064" t="str">
        <f t="shared" si="2392"/>
        <v>IOF/JUROS/DESP.FINANCEIRA</v>
      </c>
      <c r="P5064">
        <v>1.7</v>
      </c>
      <c r="Q5064" t="str">
        <f>"CORA SOCIEDADE DE CREDITO, FINANCIAMENTO E INVESTIMENTO (20035)"</f>
        <v>CORA SOCIEDADE DE CREDITO, FINANCIAMENTO E INVESTIMENTO (20035)</v>
      </c>
      <c r="R5064" t="str">
        <f t="shared" si="2393"/>
        <v>BANCO CORA (102)</v>
      </c>
      <c r="S5064">
        <v>2558</v>
      </c>
      <c r="T5064">
        <v>2078</v>
      </c>
      <c r="U5064" t="s">
        <v>19</v>
      </c>
    </row>
    <row r="5065" spans="1:21">
      <c r="A5065" t="str">
        <f t="shared" si="2377"/>
        <v>03/09/2025</v>
      </c>
      <c r="B5065" t="str">
        <f t="shared" si="2386"/>
        <v>SAÍDA</v>
      </c>
      <c r="C5065" t="str">
        <f>"PIX"</f>
        <v>PIX</v>
      </c>
      <c r="D5065" t="str">
        <f>"0309251669"</f>
        <v>0309251669</v>
      </c>
      <c r="E5065" t="str">
        <f t="shared" si="2373"/>
        <v>COM</v>
      </c>
      <c r="F5065" t="str">
        <f>"BUSER BRASIL TECNOLOGIA LTDA. (20115)"</f>
        <v>BUSER BRASIL TECNOLOGIA LTDA. (20115)</v>
      </c>
      <c r="G5065" t="str">
        <f>"DESPESA COM DESLOCAMENTO - PASSAGEM EVENTO BH"</f>
        <v>DESPESA COM DESLOCAMENTO - PASSAGEM EVENTO BH</v>
      </c>
      <c r="H5065" t="str">
        <f t="shared" si="2379"/>
        <v>03/09/2025</v>
      </c>
      <c r="I5065" t="str">
        <f t="shared" si="2391"/>
        <v>03/09/2025</v>
      </c>
      <c r="J5065" t="str">
        <f t="shared" si="2381"/>
        <v>03/09/2025</v>
      </c>
      <c r="K5065">
        <v>166.9</v>
      </c>
      <c r="L5065">
        <v>166.9</v>
      </c>
      <c r="M5065">
        <v>129</v>
      </c>
      <c r="N5065" t="str">
        <f>"DESPESAS COM EVENTOS"</f>
        <v>DESPESAS COM EVENTOS</v>
      </c>
      <c r="O5065">
        <v>166.9</v>
      </c>
      <c r="R5065" t="str">
        <f t="shared" si="2393"/>
        <v>BANCO CORA (102)</v>
      </c>
      <c r="S5065">
        <v>2770</v>
      </c>
      <c r="T5065">
        <v>2339</v>
      </c>
      <c r="U5065" t="s">
        <v>19</v>
      </c>
    </row>
    <row r="5066" spans="1:21">
      <c r="A5066" t="str">
        <f t="shared" si="2377"/>
        <v>03/09/2025</v>
      </c>
      <c r="B5066" t="str">
        <f t="shared" si="2386"/>
        <v>SAÍDA</v>
      </c>
      <c r="C5066" t="str">
        <f>"PIX"</f>
        <v>PIX</v>
      </c>
      <c r="D5066" t="str">
        <f>"0309251669"</f>
        <v>0309251669</v>
      </c>
      <c r="E5066" t="str">
        <f t="shared" si="2373"/>
        <v>COM</v>
      </c>
      <c r="F5066" t="str">
        <f>"BUSER BRASIL TECNOLOGIA LTDA. (20115)"</f>
        <v>BUSER BRASIL TECNOLOGIA LTDA. (20115)</v>
      </c>
      <c r="G5066" t="str">
        <f>"DESPESA COM DESLOCAMENTO - PASSAGEM EVENTO BH"</f>
        <v>DESPESA COM DESLOCAMENTO - PASSAGEM EVENTO BH</v>
      </c>
      <c r="H5066" t="str">
        <f t="shared" si="2379"/>
        <v>03/09/2025</v>
      </c>
      <c r="I5066" t="str">
        <f t="shared" si="2391"/>
        <v>03/09/2025</v>
      </c>
      <c r="J5066" t="str">
        <f t="shared" si="2381"/>
        <v>03/09/2025</v>
      </c>
      <c r="M5066">
        <v>129</v>
      </c>
      <c r="N5066" t="str">
        <f>"DESPESAS COM EVENTOS"</f>
        <v>DESPESAS COM EVENTOS</v>
      </c>
      <c r="P5066">
        <v>166.9</v>
      </c>
      <c r="Q5066" t="str">
        <f>"BUSER BRASIL TECNOLOGIA LTDA. (20115)"</f>
        <v>BUSER BRASIL TECNOLOGIA LTDA. (20115)</v>
      </c>
      <c r="R5066" t="str">
        <f t="shared" si="2393"/>
        <v>BANCO CORA (102)</v>
      </c>
      <c r="S5066">
        <v>2770</v>
      </c>
      <c r="T5066">
        <v>2339</v>
      </c>
      <c r="U5066" t="s">
        <v>19</v>
      </c>
    </row>
    <row r="5067" spans="1:21">
      <c r="A5067" t="str">
        <f t="shared" si="2377"/>
        <v>03/09/2025</v>
      </c>
      <c r="B5067" t="str">
        <f t="shared" si="2386"/>
        <v>SAÍDA</v>
      </c>
      <c r="C5067" t="str">
        <f>"PIX"</f>
        <v>PIX</v>
      </c>
      <c r="D5067" t="str">
        <f>"0309252159"</f>
        <v>0309252159</v>
      </c>
      <c r="E5067" t="str">
        <f t="shared" si="2373"/>
        <v>COM</v>
      </c>
      <c r="F5067" t="str">
        <f>"BUSER BRASIL TECNOLOGIA LTDA. (20115)"</f>
        <v>BUSER BRASIL TECNOLOGIA LTDA. (20115)</v>
      </c>
      <c r="G5067" t="str">
        <f>"DESPESA COM DESLOCAMENTO - PASSAGEM EVENTO BH"</f>
        <v>DESPESA COM DESLOCAMENTO - PASSAGEM EVENTO BH</v>
      </c>
      <c r="H5067" t="str">
        <f t="shared" si="2379"/>
        <v>03/09/2025</v>
      </c>
      <c r="I5067" t="str">
        <f t="shared" si="2391"/>
        <v>03/09/2025</v>
      </c>
      <c r="J5067" t="str">
        <f t="shared" si="2381"/>
        <v>03/09/2025</v>
      </c>
      <c r="K5067">
        <v>215.9</v>
      </c>
      <c r="L5067">
        <v>215.9</v>
      </c>
      <c r="M5067">
        <v>129</v>
      </c>
      <c r="N5067" t="str">
        <f>"DESPESAS COM EVENTOS"</f>
        <v>DESPESAS COM EVENTOS</v>
      </c>
      <c r="O5067">
        <v>215.9</v>
      </c>
      <c r="R5067" t="str">
        <f t="shared" si="2393"/>
        <v>BANCO CORA (102)</v>
      </c>
      <c r="S5067">
        <v>2771</v>
      </c>
      <c r="T5067">
        <v>2340</v>
      </c>
      <c r="U5067" t="s">
        <v>19</v>
      </c>
    </row>
    <row r="5068" spans="1:21">
      <c r="A5068" t="str">
        <f t="shared" si="2377"/>
        <v>03/09/2025</v>
      </c>
      <c r="B5068" t="str">
        <f t="shared" si="2386"/>
        <v>SAÍDA</v>
      </c>
      <c r="C5068" t="str">
        <f>"PIX"</f>
        <v>PIX</v>
      </c>
      <c r="D5068" t="str">
        <f>"0309252159"</f>
        <v>0309252159</v>
      </c>
      <c r="E5068" t="str">
        <f t="shared" si="2373"/>
        <v>COM</v>
      </c>
      <c r="F5068" t="str">
        <f>"BUSER BRASIL TECNOLOGIA LTDA. (20115)"</f>
        <v>BUSER BRASIL TECNOLOGIA LTDA. (20115)</v>
      </c>
      <c r="G5068" t="str">
        <f>"DESPESA COM DESLOCAMENTO - PASSAGEM EVENTO BH"</f>
        <v>DESPESA COM DESLOCAMENTO - PASSAGEM EVENTO BH</v>
      </c>
      <c r="H5068" t="str">
        <f t="shared" si="2379"/>
        <v>03/09/2025</v>
      </c>
      <c r="I5068" t="str">
        <f t="shared" si="2391"/>
        <v>03/09/2025</v>
      </c>
      <c r="J5068" t="str">
        <f t="shared" si="2381"/>
        <v>03/09/2025</v>
      </c>
      <c r="M5068">
        <v>129</v>
      </c>
      <c r="N5068" t="str">
        <f>"DESPESAS COM EVENTOS"</f>
        <v>DESPESAS COM EVENTOS</v>
      </c>
      <c r="P5068">
        <v>215.9</v>
      </c>
      <c r="Q5068" t="str">
        <f>"BUSER BRASIL TECNOLOGIA LTDA. (20115)"</f>
        <v>BUSER BRASIL TECNOLOGIA LTDA. (20115)</v>
      </c>
      <c r="R5068" t="str">
        <f t="shared" si="2393"/>
        <v>BANCO CORA (102)</v>
      </c>
      <c r="S5068">
        <v>2771</v>
      </c>
      <c r="T5068">
        <v>2340</v>
      </c>
      <c r="U5068" t="s">
        <v>19</v>
      </c>
    </row>
    <row r="5069" spans="1:21">
      <c r="A5069" t="str">
        <f t="shared" ref="A5069:A5100" si="2394">("04/09/2025")</f>
        <v>04/09/2025</v>
      </c>
      <c r="B5069" t="str">
        <f>"ENTRADA"</f>
        <v>ENTRADA</v>
      </c>
      <c r="C5069" t="str">
        <f>"DINHEIRO"</f>
        <v>DINHEIRO</v>
      </c>
      <c r="D5069" t="str">
        <f>"2025"</f>
        <v>2025</v>
      </c>
      <c r="E5069" t="str">
        <f t="shared" si="2373"/>
        <v>COM</v>
      </c>
      <c r="F5069" t="str">
        <f t="shared" ref="F5069:F5076" si="2395">"MARCELO REZENDE ARANTES (20014)"</f>
        <v>MARCELO REZENDE ARANTES (20014)</v>
      </c>
      <c r="G5069" t="str">
        <f>"DESCONTO CONVENIO MEDICO DEPENDENTE 08/2025"</f>
        <v>DESCONTO CONVENIO MEDICO DEPENDENTE 08/2025</v>
      </c>
      <c r="H5069" t="str">
        <f t="shared" ref="H5069:J5070" si="2396">("04/09/2025")</f>
        <v>04/09/2025</v>
      </c>
      <c r="I5069" t="str">
        <f t="shared" si="2396"/>
        <v>04/09/2025</v>
      </c>
      <c r="J5069" t="str">
        <f t="shared" si="2396"/>
        <v>04/09/2025</v>
      </c>
      <c r="K5069">
        <v>42.53</v>
      </c>
      <c r="L5069">
        <v>42.53</v>
      </c>
      <c r="M5069">
        <v>119</v>
      </c>
      <c r="N5069" t="str">
        <f>"RECEITAS COM REEMBOLSOS"</f>
        <v>RECEITAS COM REEMBOLSOS</v>
      </c>
      <c r="O5069">
        <v>42.53</v>
      </c>
      <c r="R5069" t="str">
        <f>"RECEITAS COM REEMBOLSOS (119)"</f>
        <v>RECEITAS COM REEMBOLSOS (119)</v>
      </c>
      <c r="S5069">
        <v>2474</v>
      </c>
      <c r="T5069">
        <v>1043</v>
      </c>
      <c r="U5069" t="s">
        <v>25</v>
      </c>
    </row>
    <row r="5070" spans="1:21">
      <c r="A5070" t="str">
        <f t="shared" si="2394"/>
        <v>04/09/2025</v>
      </c>
      <c r="B5070" t="str">
        <f>"SAÍDA"</f>
        <v>SAÍDA</v>
      </c>
      <c r="C5070" t="str">
        <f>"DINHEIRO"</f>
        <v>DINHEIRO</v>
      </c>
      <c r="D5070" t="str">
        <f>"2025"</f>
        <v>2025</v>
      </c>
      <c r="E5070" t="str">
        <f t="shared" si="2373"/>
        <v>COM</v>
      </c>
      <c r="F5070" t="str">
        <f t="shared" si="2395"/>
        <v>MARCELO REZENDE ARANTES (20014)</v>
      </c>
      <c r="G5070" t="str">
        <f>"DESCONTO CONVENIO MEDICO DEPENDENTE 08/2025"</f>
        <v>DESCONTO CONVENIO MEDICO DEPENDENTE 08/2025</v>
      </c>
      <c r="H5070" t="str">
        <f t="shared" si="2396"/>
        <v>04/09/2025</v>
      </c>
      <c r="I5070" t="str">
        <f t="shared" si="2396"/>
        <v>04/09/2025</v>
      </c>
      <c r="J5070" t="str">
        <f t="shared" si="2396"/>
        <v>04/09/2025</v>
      </c>
      <c r="M5070">
        <v>119</v>
      </c>
      <c r="N5070" t="str">
        <f>"RECEITAS COM REEMBOLSOS"</f>
        <v>RECEITAS COM REEMBOLSOS</v>
      </c>
      <c r="P5070">
        <v>42.53</v>
      </c>
      <c r="Q5070" t="str">
        <f>"MARCELO REZENDE ARANTES (20014)"</f>
        <v>MARCELO REZENDE ARANTES (20014)</v>
      </c>
      <c r="R5070" t="str">
        <f>"RECEITAS COM REEMBOLSOS (119)"</f>
        <v>RECEITAS COM REEMBOLSOS (119)</v>
      </c>
      <c r="S5070">
        <v>2474</v>
      </c>
      <c r="T5070">
        <v>1043</v>
      </c>
      <c r="U5070" t="s">
        <v>25</v>
      </c>
    </row>
    <row r="5071" spans="1:21">
      <c r="A5071" t="str">
        <f t="shared" si="2394"/>
        <v>04/09/2025</v>
      </c>
      <c r="B5071" t="str">
        <f>"SAÍDA"</f>
        <v>SAÍDA</v>
      </c>
      <c r="C5071" t="str">
        <f>"DINHEIRO"</f>
        <v>DINHEIRO</v>
      </c>
      <c r="D5071" t="str">
        <f>"0825"</f>
        <v>0825</v>
      </c>
      <c r="E5071" t="str">
        <f t="shared" si="2373"/>
        <v>COM</v>
      </c>
      <c r="F5071" t="str">
        <f t="shared" si="2395"/>
        <v>MARCELO REZENDE ARANTES (20014)</v>
      </c>
      <c r="G5071" t="str">
        <f>"REF. PRO-LABORE MES 08/2025"</f>
        <v>REF. PRO-LABORE MES 08/2025</v>
      </c>
      <c r="H5071" t="str">
        <f t="shared" ref="H5071:H5078" si="2397">("04/09/2025")</f>
        <v>04/09/2025</v>
      </c>
      <c r="I5071" t="str">
        <f>("31/08/2025")</f>
        <v>31/08/2025</v>
      </c>
      <c r="J5071" t="str">
        <f t="shared" ref="J5071:J5102" si="2398">("04/09/2025")</f>
        <v>04/09/2025</v>
      </c>
      <c r="K5071">
        <v>199.14</v>
      </c>
      <c r="L5071">
        <v>199.14</v>
      </c>
      <c r="M5071">
        <v>108</v>
      </c>
      <c r="N5071" t="str">
        <f>"PRO LABORE - MARCELO"</f>
        <v>PRO LABORE - MARCELO</v>
      </c>
      <c r="O5071">
        <v>199.14</v>
      </c>
      <c r="R5071" t="str">
        <f>"CAIXA MOVIMENTAÇÃO OPERACIONAL (132)"</f>
        <v>CAIXA MOVIMENTAÇÃO OPERACIONAL (132)</v>
      </c>
      <c r="S5071">
        <v>2475</v>
      </c>
      <c r="T5071">
        <v>2033</v>
      </c>
      <c r="U5071" t="s">
        <v>25</v>
      </c>
    </row>
    <row r="5072" spans="1:21">
      <c r="A5072" t="str">
        <f t="shared" si="2394"/>
        <v>04/09/2025</v>
      </c>
      <c r="B5072" t="str">
        <f>"SAÍDA"</f>
        <v>SAÍDA</v>
      </c>
      <c r="C5072" t="str">
        <f>"DINHEIRO"</f>
        <v>DINHEIRO</v>
      </c>
      <c r="D5072" t="str">
        <f>"0825"</f>
        <v>0825</v>
      </c>
      <c r="E5072" t="str">
        <f t="shared" si="2373"/>
        <v>COM</v>
      </c>
      <c r="F5072" t="str">
        <f t="shared" si="2395"/>
        <v>MARCELO REZENDE ARANTES (20014)</v>
      </c>
      <c r="G5072" t="str">
        <f>"REF. PRO-LABORE MES 08/2025"</f>
        <v>REF. PRO-LABORE MES 08/2025</v>
      </c>
      <c r="H5072" t="str">
        <f t="shared" si="2397"/>
        <v>04/09/2025</v>
      </c>
      <c r="I5072" t="str">
        <f>("31/08/2025")</f>
        <v>31/08/2025</v>
      </c>
      <c r="J5072" t="str">
        <f t="shared" si="2398"/>
        <v>04/09/2025</v>
      </c>
      <c r="M5072">
        <v>108</v>
      </c>
      <c r="N5072" t="str">
        <f>"PRO LABORE - MARCELO"</f>
        <v>PRO LABORE - MARCELO</v>
      </c>
      <c r="P5072">
        <v>199.14</v>
      </c>
      <c r="Q5072" t="str">
        <f>"MARCELO REZENDE ARANTES (20014)"</f>
        <v>MARCELO REZENDE ARANTES (20014)</v>
      </c>
      <c r="R5072" t="str">
        <f>"CAIXA MOVIMENTAÇÃO OPERACIONAL (132)"</f>
        <v>CAIXA MOVIMENTAÇÃO OPERACIONAL (132)</v>
      </c>
      <c r="S5072">
        <v>2475</v>
      </c>
      <c r="T5072">
        <v>2033</v>
      </c>
      <c r="U5072" t="s">
        <v>25</v>
      </c>
    </row>
    <row r="5073" spans="1:21">
      <c r="A5073" t="str">
        <f t="shared" si="2394"/>
        <v>04/09/2025</v>
      </c>
      <c r="B5073" t="str">
        <f>"ENTRADA"</f>
        <v>ENTRADA</v>
      </c>
      <c r="C5073" t="str">
        <f>"PIX"</f>
        <v>PIX</v>
      </c>
      <c r="D5073" t="str">
        <f>"04092519914"</f>
        <v>04092519914</v>
      </c>
      <c r="E5073" t="str">
        <f t="shared" si="2373"/>
        <v>COM</v>
      </c>
      <c r="F5073" t="str">
        <f t="shared" si="2395"/>
        <v>MARCELO REZENDE ARANTES (20014)</v>
      </c>
      <c r="G5073" t="str">
        <f>"DESCONTO CO-PARTICIPACAO SULAMERICA SAUDE 08/2025"</f>
        <v>DESCONTO CO-PARTICIPACAO SULAMERICA SAUDE 08/2025</v>
      </c>
      <c r="H5073" t="str">
        <f t="shared" si="2397"/>
        <v>04/09/2025</v>
      </c>
      <c r="I5073" t="str">
        <f>("04/09/2025")</f>
        <v>04/09/2025</v>
      </c>
      <c r="J5073" t="str">
        <f t="shared" si="2398"/>
        <v>04/09/2025</v>
      </c>
      <c r="K5073">
        <v>199.14</v>
      </c>
      <c r="L5073">
        <v>199.14</v>
      </c>
      <c r="M5073">
        <v>119</v>
      </c>
      <c r="N5073" t="str">
        <f>"RECEITAS COM REEMBOLSOS"</f>
        <v>RECEITAS COM REEMBOLSOS</v>
      </c>
      <c r="O5073">
        <v>199.14</v>
      </c>
      <c r="R5073" t="str">
        <f>"RECEITAS COM REEMBOLSOS (119)"</f>
        <v>RECEITAS COM REEMBOLSOS (119)</v>
      </c>
      <c r="S5073">
        <v>2476</v>
      </c>
      <c r="T5073">
        <v>2031</v>
      </c>
      <c r="U5073" t="s">
        <v>25</v>
      </c>
    </row>
    <row r="5074" spans="1:21">
      <c r="A5074" t="str">
        <f t="shared" si="2394"/>
        <v>04/09/2025</v>
      </c>
      <c r="B5074" t="str">
        <f>"SAÍDA"</f>
        <v>SAÍDA</v>
      </c>
      <c r="C5074" t="str">
        <f>"PIX"</f>
        <v>PIX</v>
      </c>
      <c r="D5074" t="str">
        <f>"04092519914"</f>
        <v>04092519914</v>
      </c>
      <c r="E5074" t="str">
        <f t="shared" si="2373"/>
        <v>COM</v>
      </c>
      <c r="F5074" t="str">
        <f t="shared" si="2395"/>
        <v>MARCELO REZENDE ARANTES (20014)</v>
      </c>
      <c r="G5074" t="str">
        <f>"DESCONTO CO-PARTICIPACAO SULAMERICA SAUDE 08/2025"</f>
        <v>DESCONTO CO-PARTICIPACAO SULAMERICA SAUDE 08/2025</v>
      </c>
      <c r="H5074" t="str">
        <f t="shared" si="2397"/>
        <v>04/09/2025</v>
      </c>
      <c r="I5074" t="str">
        <f>("04/09/2025")</f>
        <v>04/09/2025</v>
      </c>
      <c r="J5074" t="str">
        <f t="shared" si="2398"/>
        <v>04/09/2025</v>
      </c>
      <c r="M5074">
        <v>119</v>
      </c>
      <c r="N5074" t="str">
        <f>"RECEITAS COM REEMBOLSOS"</f>
        <v>RECEITAS COM REEMBOLSOS</v>
      </c>
      <c r="P5074">
        <v>199.14</v>
      </c>
      <c r="Q5074" t="str">
        <f>"MARCELO REZENDE ARANTES (20014)"</f>
        <v>MARCELO REZENDE ARANTES (20014)</v>
      </c>
      <c r="R5074" t="str">
        <f>"RECEITAS COM REEMBOLSOS (119)"</f>
        <v>RECEITAS COM REEMBOLSOS (119)</v>
      </c>
      <c r="S5074">
        <v>2476</v>
      </c>
      <c r="T5074">
        <v>2031</v>
      </c>
      <c r="U5074" t="s">
        <v>25</v>
      </c>
    </row>
    <row r="5075" spans="1:21">
      <c r="A5075" t="str">
        <f t="shared" si="2394"/>
        <v>04/09/2025</v>
      </c>
      <c r="B5075" t="str">
        <f>"SAÍDA"</f>
        <v>SAÍDA</v>
      </c>
      <c r="C5075" t="str">
        <f>"PIX"</f>
        <v>PIX</v>
      </c>
      <c r="D5075" t="str">
        <f>"0724"</f>
        <v>0724</v>
      </c>
      <c r="E5075" t="str">
        <f t="shared" si="2373"/>
        <v>COM</v>
      </c>
      <c r="F5075" t="str">
        <f t="shared" si="2395"/>
        <v>MARCELO REZENDE ARANTES (20014)</v>
      </c>
      <c r="G5075" t="str">
        <f>"REF. PRO-LABORE MES 08/2025"</f>
        <v>REF. PRO-LABORE MES 08/2025</v>
      </c>
      <c r="H5075" t="str">
        <f t="shared" si="2397"/>
        <v>04/09/2025</v>
      </c>
      <c r="I5075" t="str">
        <f>("31/08/2025")</f>
        <v>31/08/2025</v>
      </c>
      <c r="J5075" t="str">
        <f t="shared" si="2398"/>
        <v>04/09/2025</v>
      </c>
      <c r="K5075">
        <v>42.53</v>
      </c>
      <c r="L5075">
        <v>42.53</v>
      </c>
      <c r="M5075">
        <v>108</v>
      </c>
      <c r="N5075" t="str">
        <f>"PRO LABORE - MARCELO"</f>
        <v>PRO LABORE - MARCELO</v>
      </c>
      <c r="O5075">
        <v>42.53</v>
      </c>
      <c r="R5075" t="str">
        <f>"CAIXA MOVIMENTAÇÃO OPERACIONAL (132)"</f>
        <v>CAIXA MOVIMENTAÇÃO OPERACIONAL (132)</v>
      </c>
      <c r="S5075">
        <v>2477</v>
      </c>
      <c r="T5075">
        <v>2032</v>
      </c>
      <c r="U5075" t="s">
        <v>25</v>
      </c>
    </row>
    <row r="5076" spans="1:21">
      <c r="A5076" t="str">
        <f t="shared" si="2394"/>
        <v>04/09/2025</v>
      </c>
      <c r="B5076" t="str">
        <f>"SAÍDA"</f>
        <v>SAÍDA</v>
      </c>
      <c r="C5076" t="str">
        <f>"PIX"</f>
        <v>PIX</v>
      </c>
      <c r="D5076" t="str">
        <f>"0724"</f>
        <v>0724</v>
      </c>
      <c r="E5076" t="str">
        <f t="shared" si="2373"/>
        <v>COM</v>
      </c>
      <c r="F5076" t="str">
        <f t="shared" si="2395"/>
        <v>MARCELO REZENDE ARANTES (20014)</v>
      </c>
      <c r="G5076" t="str">
        <f>"REF. PRO-LABORE MES 08/2025"</f>
        <v>REF. PRO-LABORE MES 08/2025</v>
      </c>
      <c r="H5076" t="str">
        <f t="shared" si="2397"/>
        <v>04/09/2025</v>
      </c>
      <c r="I5076" t="str">
        <f>("31/08/2025")</f>
        <v>31/08/2025</v>
      </c>
      <c r="J5076" t="str">
        <f t="shared" si="2398"/>
        <v>04/09/2025</v>
      </c>
      <c r="M5076">
        <v>108</v>
      </c>
      <c r="N5076" t="str">
        <f>"PRO LABORE - MARCELO"</f>
        <v>PRO LABORE - MARCELO</v>
      </c>
      <c r="P5076">
        <v>42.53</v>
      </c>
      <c r="Q5076" t="str">
        <f>"MARCELO REZENDE ARANTES (20014)"</f>
        <v>MARCELO REZENDE ARANTES (20014)</v>
      </c>
      <c r="R5076" t="str">
        <f>"CAIXA MOVIMENTAÇÃO OPERACIONAL (132)"</f>
        <v>CAIXA MOVIMENTAÇÃO OPERACIONAL (132)</v>
      </c>
      <c r="S5076">
        <v>2477</v>
      </c>
      <c r="T5076">
        <v>2032</v>
      </c>
      <c r="U5076" t="s">
        <v>25</v>
      </c>
    </row>
    <row r="5077" spans="1:21">
      <c r="A5077" t="str">
        <f t="shared" si="2394"/>
        <v>04/09/2025</v>
      </c>
      <c r="B5077" t="str">
        <f>"ENTRADA"</f>
        <v>ENTRADA</v>
      </c>
      <c r="C5077" t="str">
        <f>"DINHEIRO"</f>
        <v>DINHEIRO</v>
      </c>
      <c r="D5077" t="str">
        <f>"0409256004"</f>
        <v>0409256004</v>
      </c>
      <c r="E5077" t="str">
        <f t="shared" si="2373"/>
        <v>COM</v>
      </c>
      <c r="F5077" t="str">
        <f>"UNIODONTO REGIONAL COOPERATIVA ODONTOLOGICA LTDA. (20024)"</f>
        <v>UNIODONTO REGIONAL COOPERATIVA ODONTOLOGICA LTDA. (20024)</v>
      </c>
      <c r="G5077" t="str">
        <f>"DESCONTO CO-PARTICIPACAO SULAMERICA SAUDE 09/2025"</f>
        <v>DESCONTO CO-PARTICIPACAO SULAMERICA SAUDE 09/2025</v>
      </c>
      <c r="H5077" t="str">
        <f t="shared" si="2397"/>
        <v>04/09/2025</v>
      </c>
      <c r="I5077" t="str">
        <f>("04/09/2025")</f>
        <v>04/09/2025</v>
      </c>
      <c r="J5077" t="str">
        <f t="shared" si="2398"/>
        <v>04/09/2025</v>
      </c>
      <c r="K5077">
        <v>600.4</v>
      </c>
      <c r="L5077">
        <v>600.4</v>
      </c>
      <c r="M5077">
        <v>119</v>
      </c>
      <c r="N5077" t="str">
        <f>"RECEITAS COM REEMBOLSOS"</f>
        <v>RECEITAS COM REEMBOLSOS</v>
      </c>
      <c r="O5077">
        <v>600.4</v>
      </c>
      <c r="R5077" t="str">
        <f>"RECEITAS COM REEMBOLSOS (119)"</f>
        <v>RECEITAS COM REEMBOLSOS (119)</v>
      </c>
      <c r="S5077">
        <v>2478</v>
      </c>
      <c r="T5077">
        <v>2034</v>
      </c>
      <c r="U5077" t="s">
        <v>25</v>
      </c>
    </row>
    <row r="5078" spans="1:21">
      <c r="A5078" t="str">
        <f t="shared" si="2394"/>
        <v>04/09/2025</v>
      </c>
      <c r="B5078" t="str">
        <f>"SAÍDA"</f>
        <v>SAÍDA</v>
      </c>
      <c r="C5078" t="str">
        <f>"DINHEIRO"</f>
        <v>DINHEIRO</v>
      </c>
      <c r="D5078" t="str">
        <f>"0409256004"</f>
        <v>0409256004</v>
      </c>
      <c r="E5078" t="str">
        <f t="shared" si="2373"/>
        <v>COM</v>
      </c>
      <c r="F5078" t="str">
        <f>"UNIODONTO REGIONAL COOPERATIVA ODONTOLOGICA LTDA. (20024)"</f>
        <v>UNIODONTO REGIONAL COOPERATIVA ODONTOLOGICA LTDA. (20024)</v>
      </c>
      <c r="G5078" t="str">
        <f>"DESCONTO CO-PARTICIPACAO SULAMERICA SAUDE 09/2025"</f>
        <v>DESCONTO CO-PARTICIPACAO SULAMERICA SAUDE 09/2025</v>
      </c>
      <c r="H5078" t="str">
        <f t="shared" si="2397"/>
        <v>04/09/2025</v>
      </c>
      <c r="I5078" t="str">
        <f>("04/09/2025")</f>
        <v>04/09/2025</v>
      </c>
      <c r="J5078" t="str">
        <f t="shared" si="2398"/>
        <v>04/09/2025</v>
      </c>
      <c r="M5078">
        <v>119</v>
      </c>
      <c r="N5078" t="str">
        <f>"RECEITAS COM REEMBOLSOS"</f>
        <v>RECEITAS COM REEMBOLSOS</v>
      </c>
      <c r="P5078">
        <v>600.4</v>
      </c>
      <c r="Q5078" t="str">
        <f>"UNIODONTO REGIONAL COOPERATIVA ODONTOLOGICA LTDA. (20024)"</f>
        <v>UNIODONTO REGIONAL COOPERATIVA ODONTOLOGICA LTDA. (20024)</v>
      </c>
      <c r="R5078" t="str">
        <f>"RECEITAS COM REEMBOLSOS (119)"</f>
        <v>RECEITAS COM REEMBOLSOS (119)</v>
      </c>
      <c r="S5078">
        <v>2478</v>
      </c>
      <c r="T5078">
        <v>2034</v>
      </c>
      <c r="U5078" t="s">
        <v>25</v>
      </c>
    </row>
    <row r="5079" spans="1:21">
      <c r="A5079" t="str">
        <f t="shared" si="2394"/>
        <v>04/09/2025</v>
      </c>
      <c r="B5079" t="str">
        <f>"SAÍDA"</f>
        <v>SAÍDA</v>
      </c>
      <c r="C5079" t="str">
        <f>"PIX"</f>
        <v>PIX</v>
      </c>
      <c r="D5079" t="str">
        <f>"0409252333333"</f>
        <v>0409252333333</v>
      </c>
      <c r="E5079" t="str">
        <f t="shared" si="2373"/>
        <v>COM</v>
      </c>
      <c r="F5079" t="str">
        <f>"LILIANE DE FATIMA REZENDE JUSTINO (20013)"</f>
        <v>LILIANE DE FATIMA REZENDE JUSTINO (20013)</v>
      </c>
      <c r="G5079" t="str">
        <f>"REF. PRO-LABORE MES 08/2025"</f>
        <v>REF. PRO-LABORE MES 08/2025</v>
      </c>
      <c r="H5079" t="str">
        <f>("05/09/2025")</f>
        <v>05/09/2025</v>
      </c>
      <c r="I5079" t="str">
        <f>("01/01/2025")</f>
        <v>01/01/2025</v>
      </c>
      <c r="J5079" t="str">
        <f t="shared" si="2398"/>
        <v>04/09/2025</v>
      </c>
      <c r="K5079">
        <v>600.4</v>
      </c>
      <c r="L5079">
        <v>600.4</v>
      </c>
      <c r="M5079">
        <v>124</v>
      </c>
      <c r="N5079" t="str">
        <f>"PRO LABORE - LILIANE"</f>
        <v>PRO LABORE - LILIANE</v>
      </c>
      <c r="O5079">
        <v>600.4</v>
      </c>
      <c r="R5079" t="str">
        <f>"CAIXA MOVIMENTAÇÃO OPERACIONAL (132)"</f>
        <v>CAIXA MOVIMENTAÇÃO OPERACIONAL (132)</v>
      </c>
      <c r="S5079">
        <v>2479</v>
      </c>
      <c r="T5079">
        <v>2035</v>
      </c>
      <c r="U5079" t="s">
        <v>25</v>
      </c>
    </row>
    <row r="5080" spans="1:21">
      <c r="A5080" t="str">
        <f t="shared" si="2394"/>
        <v>04/09/2025</v>
      </c>
      <c r="B5080" t="str">
        <f>"SAÍDA"</f>
        <v>SAÍDA</v>
      </c>
      <c r="C5080" t="str">
        <f>"PIX"</f>
        <v>PIX</v>
      </c>
      <c r="D5080" t="str">
        <f>"0409252333333"</f>
        <v>0409252333333</v>
      </c>
      <c r="E5080" t="str">
        <f t="shared" si="2373"/>
        <v>COM</v>
      </c>
      <c r="F5080" t="str">
        <f>"LILIANE DE FATIMA REZENDE JUSTINO (20013)"</f>
        <v>LILIANE DE FATIMA REZENDE JUSTINO (20013)</v>
      </c>
      <c r="G5080" t="str">
        <f>"REF. PRO-LABORE MES 08/2025"</f>
        <v>REF. PRO-LABORE MES 08/2025</v>
      </c>
      <c r="H5080" t="str">
        <f>("05/09/2025")</f>
        <v>05/09/2025</v>
      </c>
      <c r="I5080" t="str">
        <f>("01/01/2025")</f>
        <v>01/01/2025</v>
      </c>
      <c r="J5080" t="str">
        <f t="shared" si="2398"/>
        <v>04/09/2025</v>
      </c>
      <c r="M5080">
        <v>124</v>
      </c>
      <c r="N5080" t="str">
        <f>"PRO LABORE - LILIANE"</f>
        <v>PRO LABORE - LILIANE</v>
      </c>
      <c r="P5080">
        <v>600.4</v>
      </c>
      <c r="Q5080" t="str">
        <f>"LILIANE DE FATIMA REZENDE JUSTINO (20013)"</f>
        <v>LILIANE DE FATIMA REZENDE JUSTINO (20013)</v>
      </c>
      <c r="R5080" t="str">
        <f>"CAIXA MOVIMENTAÇÃO OPERACIONAL (132)"</f>
        <v>CAIXA MOVIMENTAÇÃO OPERACIONAL (132)</v>
      </c>
      <c r="S5080">
        <v>2479</v>
      </c>
      <c r="T5080">
        <v>2035</v>
      </c>
      <c r="U5080" t="s">
        <v>25</v>
      </c>
    </row>
    <row r="5081" spans="1:21">
      <c r="A5081" t="str">
        <f t="shared" si="2394"/>
        <v>04/09/2025</v>
      </c>
      <c r="B5081" t="str">
        <f>"ENTRADA"</f>
        <v>ENTRADA</v>
      </c>
      <c r="C5081" t="str">
        <f t="shared" ref="C5081:C5111" si="2399">"NFSE"</f>
        <v>NFSE</v>
      </c>
      <c r="D5081" t="str">
        <f>"3403"</f>
        <v>3403</v>
      </c>
      <c r="E5081" t="str">
        <f t="shared" si="2373"/>
        <v>COM</v>
      </c>
      <c r="F5081" t="str">
        <f>"AC FARMA - CID.ALTA (10166)"</f>
        <v>AC FARMA - CID.ALTA (10166)</v>
      </c>
      <c r="G5081" t="str">
        <f>"Serv.Prest. 18/08/2025 a 24/08/2025 - RPS: 1169 - NFSe: 3403"</f>
        <v>Serv.Prest. 18/08/2025 a 24/08/2025 - RPS: 1169 - NFSe: 3403</v>
      </c>
      <c r="H5081" t="str">
        <f t="shared" ref="H5081:H5103" si="2400">("03/09/2025")</f>
        <v>03/09/2025</v>
      </c>
      <c r="I5081" t="str">
        <f t="shared" ref="I5081:I5087" si="2401">("27/08/2025")</f>
        <v>27/08/2025</v>
      </c>
      <c r="J5081" t="str">
        <f t="shared" si="2398"/>
        <v>04/09/2025</v>
      </c>
      <c r="K5081">
        <v>1077.1199999999999</v>
      </c>
      <c r="L5081">
        <v>1077.1199999999999</v>
      </c>
      <c r="M5081">
        <v>303</v>
      </c>
      <c r="N5081" t="str">
        <f t="shared" ref="N5081:N5111" si="2402">"RECEITAS COM ENTREGAS"</f>
        <v>RECEITAS COM ENTREGAS</v>
      </c>
      <c r="O5081">
        <v>1077.1199999999999</v>
      </c>
      <c r="R5081" t="str">
        <f t="shared" ref="R5081:R5111" si="2403">"RECEITAS COM ENTREGAS (303)"</f>
        <v>RECEITAS COM ENTREGAS (303)</v>
      </c>
      <c r="S5081">
        <v>2508</v>
      </c>
      <c r="T5081">
        <v>1962</v>
      </c>
      <c r="U5081" t="s">
        <v>19</v>
      </c>
    </row>
    <row r="5082" spans="1:21">
      <c r="A5082" t="str">
        <f t="shared" si="2394"/>
        <v>04/09/2025</v>
      </c>
      <c r="B5082" t="str">
        <f t="shared" ref="B5082:B5111" si="2404">"ENTRADA"</f>
        <v>ENTRADA</v>
      </c>
      <c r="C5082" t="str">
        <f t="shared" si="2399"/>
        <v>NFSE</v>
      </c>
      <c r="D5082" t="str">
        <f>"3403"</f>
        <v>3403</v>
      </c>
      <c r="E5082" t="str">
        <f t="shared" si="2373"/>
        <v>COM</v>
      </c>
      <c r="F5082" t="str">
        <f>"AC FARMA - CID.ALTA (10166)"</f>
        <v>AC FARMA - CID.ALTA (10166)</v>
      </c>
      <c r="G5082" t="str">
        <f>"Serv.Prest. 18/08/2025 a 24/08/2025 - RPS: 1169 - NFSe: 3403"</f>
        <v>Serv.Prest. 18/08/2025 a 24/08/2025 - RPS: 1169 - NFSe: 3403</v>
      </c>
      <c r="H5082" t="str">
        <f t="shared" si="2400"/>
        <v>03/09/2025</v>
      </c>
      <c r="I5082" t="str">
        <f t="shared" si="2401"/>
        <v>27/08/2025</v>
      </c>
      <c r="J5082" t="str">
        <f t="shared" si="2398"/>
        <v>04/09/2025</v>
      </c>
      <c r="M5082">
        <v>303</v>
      </c>
      <c r="N5082" t="str">
        <f t="shared" si="2402"/>
        <v>RECEITAS COM ENTREGAS</v>
      </c>
      <c r="P5082">
        <v>1077.1199999999999</v>
      </c>
      <c r="Q5082" t="str">
        <f>"AC FARMA - CID.ALTA (10166)"</f>
        <v>AC FARMA - CID.ALTA (10166)</v>
      </c>
      <c r="R5082" t="str">
        <f t="shared" si="2403"/>
        <v>RECEITAS COM ENTREGAS (303)</v>
      </c>
      <c r="S5082">
        <v>2508</v>
      </c>
      <c r="T5082">
        <v>1962</v>
      </c>
      <c r="U5082" t="s">
        <v>19</v>
      </c>
    </row>
    <row r="5083" spans="1:21">
      <c r="A5083" t="str">
        <f t="shared" si="2394"/>
        <v>04/09/2025</v>
      </c>
      <c r="B5083" t="str">
        <f t="shared" si="2404"/>
        <v>ENTRADA</v>
      </c>
      <c r="C5083" t="str">
        <f t="shared" si="2399"/>
        <v>NFSE</v>
      </c>
      <c r="D5083" t="str">
        <f>"3404"</f>
        <v>3404</v>
      </c>
      <c r="E5083" t="str">
        <f t="shared" si="2373"/>
        <v>COM</v>
      </c>
      <c r="F5083" t="str">
        <f>"AC FARMA - FLEMINFARMA (10160)"</f>
        <v>AC FARMA - FLEMINFARMA (10160)</v>
      </c>
      <c r="G5083" t="str">
        <f>"Serv.Prest. 18/08/2025 a 24/08/2025 - RPS: 1170 - NFSe: 3404"</f>
        <v>Serv.Prest. 18/08/2025 a 24/08/2025 - RPS: 1170 - NFSe: 3404</v>
      </c>
      <c r="H5083" t="str">
        <f t="shared" si="2400"/>
        <v>03/09/2025</v>
      </c>
      <c r="I5083" t="str">
        <f t="shared" si="2401"/>
        <v>27/08/2025</v>
      </c>
      <c r="J5083" t="str">
        <f t="shared" si="2398"/>
        <v>04/09/2025</v>
      </c>
      <c r="K5083">
        <v>267.83999999999997</v>
      </c>
      <c r="L5083">
        <v>267.83999999999997</v>
      </c>
      <c r="M5083">
        <v>303</v>
      </c>
      <c r="N5083" t="str">
        <f t="shared" si="2402"/>
        <v>RECEITAS COM ENTREGAS</v>
      </c>
      <c r="O5083">
        <v>267.83999999999997</v>
      </c>
      <c r="R5083" t="str">
        <f t="shared" si="2403"/>
        <v>RECEITAS COM ENTREGAS (303)</v>
      </c>
      <c r="S5083">
        <v>2509</v>
      </c>
      <c r="T5083">
        <v>1963</v>
      </c>
      <c r="U5083" t="s">
        <v>19</v>
      </c>
    </row>
    <row r="5084" spans="1:21">
      <c r="A5084" t="str">
        <f t="shared" si="2394"/>
        <v>04/09/2025</v>
      </c>
      <c r="B5084" t="str">
        <f t="shared" si="2404"/>
        <v>ENTRADA</v>
      </c>
      <c r="C5084" t="str">
        <f t="shared" si="2399"/>
        <v>NFSE</v>
      </c>
      <c r="D5084" t="str">
        <f>"3404"</f>
        <v>3404</v>
      </c>
      <c r="E5084" t="str">
        <f t="shared" si="2373"/>
        <v>COM</v>
      </c>
      <c r="F5084" t="str">
        <f>"AC FARMA - FLEMINFARMA (10160)"</f>
        <v>AC FARMA - FLEMINFARMA (10160)</v>
      </c>
      <c r="G5084" t="str">
        <f>"Serv.Prest. 18/08/2025 a 24/08/2025 - RPS: 1170 - NFSe: 3404"</f>
        <v>Serv.Prest. 18/08/2025 a 24/08/2025 - RPS: 1170 - NFSe: 3404</v>
      </c>
      <c r="H5084" t="str">
        <f t="shared" si="2400"/>
        <v>03/09/2025</v>
      </c>
      <c r="I5084" t="str">
        <f t="shared" si="2401"/>
        <v>27/08/2025</v>
      </c>
      <c r="J5084" t="str">
        <f t="shared" si="2398"/>
        <v>04/09/2025</v>
      </c>
      <c r="M5084">
        <v>303</v>
      </c>
      <c r="N5084" t="str">
        <f t="shared" si="2402"/>
        <v>RECEITAS COM ENTREGAS</v>
      </c>
      <c r="P5084">
        <v>260.64</v>
      </c>
      <c r="Q5084" t="str">
        <f>"AC FARMA -  FLEMINFARMA (10159)"</f>
        <v>AC FARMA -  FLEMINFARMA (10159)</v>
      </c>
      <c r="R5084" t="str">
        <f t="shared" si="2403"/>
        <v>RECEITAS COM ENTREGAS (303)</v>
      </c>
      <c r="S5084">
        <v>2509</v>
      </c>
      <c r="T5084">
        <v>1963</v>
      </c>
      <c r="U5084" t="s">
        <v>19</v>
      </c>
    </row>
    <row r="5085" spans="1:21">
      <c r="A5085" t="str">
        <f t="shared" si="2394"/>
        <v>04/09/2025</v>
      </c>
      <c r="B5085" t="str">
        <f t="shared" si="2404"/>
        <v>ENTRADA</v>
      </c>
      <c r="C5085" t="str">
        <f t="shared" si="2399"/>
        <v>NFSE</v>
      </c>
      <c r="D5085" t="str">
        <f>"3404"</f>
        <v>3404</v>
      </c>
      <c r="E5085" t="str">
        <f t="shared" si="2373"/>
        <v>COM</v>
      </c>
      <c r="F5085" t="str">
        <f>"AC FARMA - FLEMINFARMA (10160)"</f>
        <v>AC FARMA - FLEMINFARMA (10160)</v>
      </c>
      <c r="G5085" t="str">
        <f>"Serv.Prest. 18/08/2025 a 24/08/2025 - RPS: 1170 - NFSe: 3404"</f>
        <v>Serv.Prest. 18/08/2025 a 24/08/2025 - RPS: 1170 - NFSe: 3404</v>
      </c>
      <c r="H5085" t="str">
        <f t="shared" si="2400"/>
        <v>03/09/2025</v>
      </c>
      <c r="I5085" t="str">
        <f t="shared" si="2401"/>
        <v>27/08/2025</v>
      </c>
      <c r="J5085" t="str">
        <f t="shared" si="2398"/>
        <v>04/09/2025</v>
      </c>
      <c r="M5085">
        <v>303</v>
      </c>
      <c r="N5085" t="str">
        <f t="shared" si="2402"/>
        <v>RECEITAS COM ENTREGAS</v>
      </c>
      <c r="P5085">
        <v>7.2</v>
      </c>
      <c r="Q5085" t="str">
        <f>"AC FARMA - FLEMINFARMA (10160)"</f>
        <v>AC FARMA - FLEMINFARMA (10160)</v>
      </c>
      <c r="R5085" t="str">
        <f t="shared" si="2403"/>
        <v>RECEITAS COM ENTREGAS (303)</v>
      </c>
      <c r="S5085">
        <v>2509</v>
      </c>
      <c r="T5085">
        <v>1963</v>
      </c>
      <c r="U5085" t="s">
        <v>19</v>
      </c>
    </row>
    <row r="5086" spans="1:21">
      <c r="A5086" t="str">
        <f t="shared" si="2394"/>
        <v>04/09/2025</v>
      </c>
      <c r="B5086" t="str">
        <f t="shared" si="2404"/>
        <v>ENTRADA</v>
      </c>
      <c r="C5086" t="str">
        <f t="shared" si="2399"/>
        <v>NFSE</v>
      </c>
      <c r="D5086" t="str">
        <f>"3405"</f>
        <v>3405</v>
      </c>
      <c r="E5086" t="str">
        <f t="shared" si="2373"/>
        <v>COM</v>
      </c>
      <c r="F5086" t="str">
        <f>"AC FARMA - FLEMINFARMA 5 (10183)"</f>
        <v>AC FARMA - FLEMINFARMA 5 (10183)</v>
      </c>
      <c r="G5086" t="str">
        <f>"Serv.Prest. 18/08/2025 a 24/08/2025 - RPS: 1171 - NFSe: 3405"</f>
        <v>Serv.Prest. 18/08/2025 a 24/08/2025 - RPS: 1171 - NFSe: 3405</v>
      </c>
      <c r="H5086" t="str">
        <f t="shared" si="2400"/>
        <v>03/09/2025</v>
      </c>
      <c r="I5086" t="str">
        <f t="shared" si="2401"/>
        <v>27/08/2025</v>
      </c>
      <c r="J5086" t="str">
        <f t="shared" si="2398"/>
        <v>04/09/2025</v>
      </c>
      <c r="K5086">
        <v>115.2</v>
      </c>
      <c r="L5086">
        <v>115.2</v>
      </c>
      <c r="M5086">
        <v>303</v>
      </c>
      <c r="N5086" t="str">
        <f t="shared" si="2402"/>
        <v>RECEITAS COM ENTREGAS</v>
      </c>
      <c r="O5086">
        <v>115.2</v>
      </c>
      <c r="R5086" t="str">
        <f t="shared" si="2403"/>
        <v>RECEITAS COM ENTREGAS (303)</v>
      </c>
      <c r="S5086">
        <v>2510</v>
      </c>
      <c r="T5086">
        <v>1964</v>
      </c>
      <c r="U5086" t="s">
        <v>19</v>
      </c>
    </row>
    <row r="5087" spans="1:21">
      <c r="A5087" t="str">
        <f t="shared" si="2394"/>
        <v>04/09/2025</v>
      </c>
      <c r="B5087" t="str">
        <f t="shared" si="2404"/>
        <v>ENTRADA</v>
      </c>
      <c r="C5087" t="str">
        <f t="shared" si="2399"/>
        <v>NFSE</v>
      </c>
      <c r="D5087" t="str">
        <f>"3405"</f>
        <v>3405</v>
      </c>
      <c r="E5087" t="str">
        <f t="shared" si="2373"/>
        <v>COM</v>
      </c>
      <c r="F5087" t="str">
        <f>"AC FARMA - FLEMINFARMA 5 (10183)"</f>
        <v>AC FARMA - FLEMINFARMA 5 (10183)</v>
      </c>
      <c r="G5087" t="str">
        <f>"Serv.Prest. 18/08/2025 a 24/08/2025 - RPS: 1171 - NFSe: 3405"</f>
        <v>Serv.Prest. 18/08/2025 a 24/08/2025 - RPS: 1171 - NFSe: 3405</v>
      </c>
      <c r="H5087" t="str">
        <f t="shared" si="2400"/>
        <v>03/09/2025</v>
      </c>
      <c r="I5087" t="str">
        <f t="shared" si="2401"/>
        <v>27/08/2025</v>
      </c>
      <c r="J5087" t="str">
        <f t="shared" si="2398"/>
        <v>04/09/2025</v>
      </c>
      <c r="M5087">
        <v>303</v>
      </c>
      <c r="N5087" t="str">
        <f t="shared" si="2402"/>
        <v>RECEITAS COM ENTREGAS</v>
      </c>
      <c r="P5087">
        <v>115.2</v>
      </c>
      <c r="Q5087" t="str">
        <f>"AC FARMA - FLEMINFARMA 5 (10183)"</f>
        <v>AC FARMA - FLEMINFARMA 5 (10183)</v>
      </c>
      <c r="R5087" t="str">
        <f t="shared" si="2403"/>
        <v>RECEITAS COM ENTREGAS (303)</v>
      </c>
      <c r="S5087">
        <v>2510</v>
      </c>
      <c r="T5087">
        <v>1964</v>
      </c>
      <c r="U5087" t="s">
        <v>19</v>
      </c>
    </row>
    <row r="5088" spans="1:21">
      <c r="A5088" t="str">
        <f t="shared" si="2394"/>
        <v>04/09/2025</v>
      </c>
      <c r="B5088" t="str">
        <f t="shared" si="2404"/>
        <v>ENTRADA</v>
      </c>
      <c r="C5088" t="str">
        <f t="shared" si="2399"/>
        <v>NFSE</v>
      </c>
      <c r="D5088" t="str">
        <f>"3407"</f>
        <v>3407</v>
      </c>
      <c r="E5088" t="str">
        <f t="shared" si="2373"/>
        <v>COM</v>
      </c>
      <c r="F5088" t="str">
        <f>"BRASIL FARMA (10173)"</f>
        <v>BRASIL FARMA (10173)</v>
      </c>
      <c r="G5088" t="str">
        <f>"Serv.Prest. 25/08/2025 a 31/08/2025 - RPS: 1172 - NFSe: 3407"</f>
        <v>Serv.Prest. 25/08/2025 a 31/08/2025 - RPS: 1172 - NFSe: 3407</v>
      </c>
      <c r="H5088" t="str">
        <f t="shared" si="2400"/>
        <v>03/09/2025</v>
      </c>
      <c r="I5088" t="str">
        <f t="shared" ref="I5088:I5101" si="2405">("01/09/2025")</f>
        <v>01/09/2025</v>
      </c>
      <c r="J5088" t="str">
        <f t="shared" si="2398"/>
        <v>04/09/2025</v>
      </c>
      <c r="K5088">
        <v>320.95999999999998</v>
      </c>
      <c r="L5088">
        <v>320.95999999999998</v>
      </c>
      <c r="M5088">
        <v>303</v>
      </c>
      <c r="N5088" t="str">
        <f t="shared" si="2402"/>
        <v>RECEITAS COM ENTREGAS</v>
      </c>
      <c r="O5088">
        <v>320.95999999999998</v>
      </c>
      <c r="R5088" t="str">
        <f t="shared" si="2403"/>
        <v>RECEITAS COM ENTREGAS (303)</v>
      </c>
      <c r="S5088">
        <v>2511</v>
      </c>
      <c r="T5088">
        <v>2001</v>
      </c>
      <c r="U5088" t="s">
        <v>19</v>
      </c>
    </row>
    <row r="5089" spans="1:21">
      <c r="A5089" t="str">
        <f t="shared" si="2394"/>
        <v>04/09/2025</v>
      </c>
      <c r="B5089" t="str">
        <f t="shared" si="2404"/>
        <v>ENTRADA</v>
      </c>
      <c r="C5089" t="str">
        <f t="shared" si="2399"/>
        <v>NFSE</v>
      </c>
      <c r="D5089" t="str">
        <f>"3407"</f>
        <v>3407</v>
      </c>
      <c r="E5089" t="str">
        <f t="shared" si="2373"/>
        <v>COM</v>
      </c>
      <c r="F5089" t="str">
        <f>"BRASIL FARMA (10173)"</f>
        <v>BRASIL FARMA (10173)</v>
      </c>
      <c r="G5089" t="str">
        <f>"Serv.Prest. 25/08/2025 a 31/08/2025 - RPS: 1172 - NFSe: 3407"</f>
        <v>Serv.Prest. 25/08/2025 a 31/08/2025 - RPS: 1172 - NFSe: 3407</v>
      </c>
      <c r="H5089" t="str">
        <f t="shared" si="2400"/>
        <v>03/09/2025</v>
      </c>
      <c r="I5089" t="str">
        <f t="shared" si="2405"/>
        <v>01/09/2025</v>
      </c>
      <c r="J5089" t="str">
        <f t="shared" si="2398"/>
        <v>04/09/2025</v>
      </c>
      <c r="M5089">
        <v>303</v>
      </c>
      <c r="N5089" t="str">
        <f t="shared" si="2402"/>
        <v>RECEITAS COM ENTREGAS</v>
      </c>
      <c r="P5089">
        <v>320.95999999999998</v>
      </c>
      <c r="Q5089" t="str">
        <f>"BRASIL FARMA (10173)"</f>
        <v>BRASIL FARMA (10173)</v>
      </c>
      <c r="R5089" t="str">
        <f t="shared" si="2403"/>
        <v>RECEITAS COM ENTREGAS (303)</v>
      </c>
      <c r="S5089">
        <v>2511</v>
      </c>
      <c r="T5089">
        <v>2001</v>
      </c>
      <c r="U5089" t="s">
        <v>19</v>
      </c>
    </row>
    <row r="5090" spans="1:21">
      <c r="A5090" t="str">
        <f t="shared" si="2394"/>
        <v>04/09/2025</v>
      </c>
      <c r="B5090" t="str">
        <f t="shared" si="2404"/>
        <v>ENTRADA</v>
      </c>
      <c r="C5090" t="str">
        <f t="shared" si="2399"/>
        <v>NFSE</v>
      </c>
      <c r="D5090" t="str">
        <f>"3409"</f>
        <v>3409</v>
      </c>
      <c r="E5090" t="str">
        <f t="shared" si="2373"/>
        <v>COM</v>
      </c>
      <c r="F5090" t="str">
        <f>"DROGARIA ANA VISCONDE DO RIO BRANCO (10182)"</f>
        <v>DROGARIA ANA VISCONDE DO RIO BRANCO (10182)</v>
      </c>
      <c r="G5090" t="str">
        <f>"Serv.Prest. 25/08/2025 a 31/08/2025 - RPS: 1174 - NFSe: 3409"</f>
        <v>Serv.Prest. 25/08/2025 a 31/08/2025 - RPS: 1174 - NFSe: 3409</v>
      </c>
      <c r="H5090" t="str">
        <f t="shared" si="2400"/>
        <v>03/09/2025</v>
      </c>
      <c r="I5090" t="str">
        <f t="shared" si="2405"/>
        <v>01/09/2025</v>
      </c>
      <c r="J5090" t="str">
        <f t="shared" si="2398"/>
        <v>04/09/2025</v>
      </c>
      <c r="K5090">
        <v>845.28</v>
      </c>
      <c r="L5090">
        <v>845.28</v>
      </c>
      <c r="M5090">
        <v>303</v>
      </c>
      <c r="N5090" t="str">
        <f t="shared" si="2402"/>
        <v>RECEITAS COM ENTREGAS</v>
      </c>
      <c r="O5090">
        <v>845.28</v>
      </c>
      <c r="R5090" t="str">
        <f t="shared" si="2403"/>
        <v>RECEITAS COM ENTREGAS (303)</v>
      </c>
      <c r="S5090">
        <v>2512</v>
      </c>
      <c r="T5090">
        <v>2003</v>
      </c>
      <c r="U5090" t="s">
        <v>19</v>
      </c>
    </row>
    <row r="5091" spans="1:21">
      <c r="A5091" t="str">
        <f t="shared" si="2394"/>
        <v>04/09/2025</v>
      </c>
      <c r="B5091" t="str">
        <f t="shared" si="2404"/>
        <v>ENTRADA</v>
      </c>
      <c r="C5091" t="str">
        <f t="shared" si="2399"/>
        <v>NFSE</v>
      </c>
      <c r="D5091" t="str">
        <f>"3409"</f>
        <v>3409</v>
      </c>
      <c r="E5091" t="str">
        <f t="shared" si="2373"/>
        <v>COM</v>
      </c>
      <c r="F5091" t="str">
        <f>"DROGARIA ANA VISCONDE DO RIO BRANCO (10182)"</f>
        <v>DROGARIA ANA VISCONDE DO RIO BRANCO (10182)</v>
      </c>
      <c r="G5091" t="str">
        <f>"Serv.Prest. 25/08/2025 a 31/08/2025 - RPS: 1174 - NFSe: 3409"</f>
        <v>Serv.Prest. 25/08/2025 a 31/08/2025 - RPS: 1174 - NFSe: 3409</v>
      </c>
      <c r="H5091" t="str">
        <f t="shared" si="2400"/>
        <v>03/09/2025</v>
      </c>
      <c r="I5091" t="str">
        <f t="shared" si="2405"/>
        <v>01/09/2025</v>
      </c>
      <c r="J5091" t="str">
        <f t="shared" si="2398"/>
        <v>04/09/2025</v>
      </c>
      <c r="M5091">
        <v>303</v>
      </c>
      <c r="N5091" t="str">
        <f t="shared" si="2402"/>
        <v>RECEITAS COM ENTREGAS</v>
      </c>
      <c r="P5091">
        <v>845.28</v>
      </c>
      <c r="Q5091" t="str">
        <f>"DROGARIA ANA VISCONDE DO RIO BRANCO (10182)"</f>
        <v>DROGARIA ANA VISCONDE DO RIO BRANCO (10182)</v>
      </c>
      <c r="R5091" t="str">
        <f t="shared" si="2403"/>
        <v>RECEITAS COM ENTREGAS (303)</v>
      </c>
      <c r="S5091">
        <v>2512</v>
      </c>
      <c r="T5091">
        <v>2003</v>
      </c>
      <c r="U5091" t="s">
        <v>19</v>
      </c>
    </row>
    <row r="5092" spans="1:21">
      <c r="A5092" t="str">
        <f t="shared" si="2394"/>
        <v>04/09/2025</v>
      </c>
      <c r="B5092" t="str">
        <f t="shared" si="2404"/>
        <v>ENTRADA</v>
      </c>
      <c r="C5092" t="str">
        <f t="shared" si="2399"/>
        <v>NFSE</v>
      </c>
      <c r="D5092" t="str">
        <f>"3411"</f>
        <v>3411</v>
      </c>
      <c r="E5092" t="str">
        <f t="shared" ref="E5092:E5155" si="2406">"COM"</f>
        <v>COM</v>
      </c>
      <c r="F5092" t="str">
        <f>"DROGARIA TOTAL JUNDIAI (10177)"</f>
        <v>DROGARIA TOTAL JUNDIAI (10177)</v>
      </c>
      <c r="G5092" t="str">
        <f>"Serv.Prest. 25/08/2025 a 31/08/2025 - RPS: 1176 - NFSe: 3411"</f>
        <v>Serv.Prest. 25/08/2025 a 31/08/2025 - RPS: 1176 - NFSe: 3411</v>
      </c>
      <c r="H5092" t="str">
        <f t="shared" si="2400"/>
        <v>03/09/2025</v>
      </c>
      <c r="I5092" t="str">
        <f t="shared" si="2405"/>
        <v>01/09/2025</v>
      </c>
      <c r="J5092" t="str">
        <f t="shared" si="2398"/>
        <v>04/09/2025</v>
      </c>
      <c r="K5092">
        <v>100.27</v>
      </c>
      <c r="L5092">
        <v>100.27</v>
      </c>
      <c r="M5092">
        <v>303</v>
      </c>
      <c r="N5092" t="str">
        <f t="shared" si="2402"/>
        <v>RECEITAS COM ENTREGAS</v>
      </c>
      <c r="O5092">
        <v>100.27</v>
      </c>
      <c r="R5092" t="str">
        <f t="shared" si="2403"/>
        <v>RECEITAS COM ENTREGAS (303)</v>
      </c>
      <c r="S5092">
        <v>2513</v>
      </c>
      <c r="T5092">
        <v>2005</v>
      </c>
      <c r="U5092" t="s">
        <v>19</v>
      </c>
    </row>
    <row r="5093" spans="1:21">
      <c r="A5093" t="str">
        <f t="shared" si="2394"/>
        <v>04/09/2025</v>
      </c>
      <c r="B5093" t="str">
        <f t="shared" si="2404"/>
        <v>ENTRADA</v>
      </c>
      <c r="C5093" t="str">
        <f t="shared" si="2399"/>
        <v>NFSE</v>
      </c>
      <c r="D5093" t="str">
        <f>"3411"</f>
        <v>3411</v>
      </c>
      <c r="E5093" t="str">
        <f t="shared" si="2406"/>
        <v>COM</v>
      </c>
      <c r="F5093" t="str">
        <f>"DROGARIA TOTAL JUNDIAI (10177)"</f>
        <v>DROGARIA TOTAL JUNDIAI (10177)</v>
      </c>
      <c r="G5093" t="str">
        <f>"Serv.Prest. 25/08/2025 a 31/08/2025 - RPS: 1176 - NFSe: 3411"</f>
        <v>Serv.Prest. 25/08/2025 a 31/08/2025 - RPS: 1176 - NFSe: 3411</v>
      </c>
      <c r="H5093" t="str">
        <f t="shared" si="2400"/>
        <v>03/09/2025</v>
      </c>
      <c r="I5093" t="str">
        <f t="shared" si="2405"/>
        <v>01/09/2025</v>
      </c>
      <c r="J5093" t="str">
        <f t="shared" si="2398"/>
        <v>04/09/2025</v>
      </c>
      <c r="M5093">
        <v>303</v>
      </c>
      <c r="N5093" t="str">
        <f t="shared" si="2402"/>
        <v>RECEITAS COM ENTREGAS</v>
      </c>
      <c r="P5093">
        <v>100.27</v>
      </c>
      <c r="Q5093" t="str">
        <f>"DROGARIA TOTAL JUNDIAI (10177)"</f>
        <v>DROGARIA TOTAL JUNDIAI (10177)</v>
      </c>
      <c r="R5093" t="str">
        <f t="shared" si="2403"/>
        <v>RECEITAS COM ENTREGAS (303)</v>
      </c>
      <c r="S5093">
        <v>2513</v>
      </c>
      <c r="T5093">
        <v>2005</v>
      </c>
      <c r="U5093" t="s">
        <v>19</v>
      </c>
    </row>
    <row r="5094" spans="1:21">
      <c r="A5094" t="str">
        <f t="shared" si="2394"/>
        <v>04/09/2025</v>
      </c>
      <c r="B5094" t="str">
        <f t="shared" si="2404"/>
        <v>ENTRADA</v>
      </c>
      <c r="C5094" t="str">
        <f t="shared" si="2399"/>
        <v>NFSE</v>
      </c>
      <c r="D5094" t="str">
        <f>"3414"</f>
        <v>3414</v>
      </c>
      <c r="E5094" t="str">
        <f t="shared" si="2406"/>
        <v>COM</v>
      </c>
      <c r="F5094" t="str">
        <f>"DROGA ELIDA (10121)"</f>
        <v>DROGA ELIDA (10121)</v>
      </c>
      <c r="G5094" t="str">
        <f>"Serv.Prest. 25/08/2025 a 31/08/2025 - RPS: 1179 - NFSe: 3414"</f>
        <v>Serv.Prest. 25/08/2025 a 31/08/2025 - RPS: 1179 - NFSe: 3414</v>
      </c>
      <c r="H5094" t="str">
        <f t="shared" si="2400"/>
        <v>03/09/2025</v>
      </c>
      <c r="I5094" t="str">
        <f t="shared" si="2405"/>
        <v>01/09/2025</v>
      </c>
      <c r="J5094" t="str">
        <f t="shared" si="2398"/>
        <v>04/09/2025</v>
      </c>
      <c r="K5094">
        <v>350.4</v>
      </c>
      <c r="L5094">
        <v>350.4</v>
      </c>
      <c r="M5094">
        <v>303</v>
      </c>
      <c r="N5094" t="str">
        <f t="shared" si="2402"/>
        <v>RECEITAS COM ENTREGAS</v>
      </c>
      <c r="O5094">
        <v>350.4</v>
      </c>
      <c r="R5094" t="str">
        <f t="shared" si="2403"/>
        <v>RECEITAS COM ENTREGAS (303)</v>
      </c>
      <c r="S5094">
        <v>2514</v>
      </c>
      <c r="T5094">
        <v>2008</v>
      </c>
      <c r="U5094" t="s">
        <v>19</v>
      </c>
    </row>
    <row r="5095" spans="1:21">
      <c r="A5095" t="str">
        <f t="shared" si="2394"/>
        <v>04/09/2025</v>
      </c>
      <c r="B5095" t="str">
        <f t="shared" si="2404"/>
        <v>ENTRADA</v>
      </c>
      <c r="C5095" t="str">
        <f t="shared" si="2399"/>
        <v>NFSE</v>
      </c>
      <c r="D5095" t="str">
        <f>"3414"</f>
        <v>3414</v>
      </c>
      <c r="E5095" t="str">
        <f t="shared" si="2406"/>
        <v>COM</v>
      </c>
      <c r="F5095" t="str">
        <f>"DROGA ELIDA (10121)"</f>
        <v>DROGA ELIDA (10121)</v>
      </c>
      <c r="G5095" t="str">
        <f>"Serv.Prest. 25/08/2025 a 31/08/2025 - RPS: 1179 - NFSe: 3414"</f>
        <v>Serv.Prest. 25/08/2025 a 31/08/2025 - RPS: 1179 - NFSe: 3414</v>
      </c>
      <c r="H5095" t="str">
        <f t="shared" si="2400"/>
        <v>03/09/2025</v>
      </c>
      <c r="I5095" t="str">
        <f t="shared" si="2405"/>
        <v>01/09/2025</v>
      </c>
      <c r="J5095" t="str">
        <f t="shared" si="2398"/>
        <v>04/09/2025</v>
      </c>
      <c r="M5095">
        <v>303</v>
      </c>
      <c r="N5095" t="str">
        <f t="shared" si="2402"/>
        <v>RECEITAS COM ENTREGAS</v>
      </c>
      <c r="P5095">
        <v>350.4</v>
      </c>
      <c r="Q5095" t="str">
        <f>"DROGA ELIDA (10121)"</f>
        <v>DROGA ELIDA (10121)</v>
      </c>
      <c r="R5095" t="str">
        <f t="shared" si="2403"/>
        <v>RECEITAS COM ENTREGAS (303)</v>
      </c>
      <c r="S5095">
        <v>2514</v>
      </c>
      <c r="T5095">
        <v>2008</v>
      </c>
      <c r="U5095" t="s">
        <v>19</v>
      </c>
    </row>
    <row r="5096" spans="1:21">
      <c r="A5096" t="str">
        <f t="shared" si="2394"/>
        <v>04/09/2025</v>
      </c>
      <c r="B5096" t="str">
        <f t="shared" si="2404"/>
        <v>ENTRADA</v>
      </c>
      <c r="C5096" t="str">
        <f t="shared" si="2399"/>
        <v>NFSE</v>
      </c>
      <c r="D5096" t="str">
        <f>"3417"</f>
        <v>3417</v>
      </c>
      <c r="E5096" t="str">
        <f t="shared" si="2406"/>
        <v>COM</v>
      </c>
      <c r="F5096" t="str">
        <f>"DROGARIA MEDIC CENTER LTDA (10172)"</f>
        <v>DROGARIA MEDIC CENTER LTDA (10172)</v>
      </c>
      <c r="G5096" t="str">
        <f>"Serv.Prest. 25/08/2025 a 31/08/2025 - RPS: 1182 - NFSe: 3417"</f>
        <v>Serv.Prest. 25/08/2025 a 31/08/2025 - RPS: 1182 - NFSe: 3417</v>
      </c>
      <c r="H5096" t="str">
        <f t="shared" si="2400"/>
        <v>03/09/2025</v>
      </c>
      <c r="I5096" t="str">
        <f t="shared" si="2405"/>
        <v>01/09/2025</v>
      </c>
      <c r="J5096" t="str">
        <f t="shared" si="2398"/>
        <v>04/09/2025</v>
      </c>
      <c r="K5096">
        <v>276.3</v>
      </c>
      <c r="L5096">
        <v>276.3</v>
      </c>
      <c r="M5096">
        <v>303</v>
      </c>
      <c r="N5096" t="str">
        <f t="shared" si="2402"/>
        <v>RECEITAS COM ENTREGAS</v>
      </c>
      <c r="O5096">
        <v>276.3</v>
      </c>
      <c r="R5096" t="str">
        <f t="shared" si="2403"/>
        <v>RECEITAS COM ENTREGAS (303)</v>
      </c>
      <c r="S5096">
        <v>2515</v>
      </c>
      <c r="T5096">
        <v>2011</v>
      </c>
      <c r="U5096" t="s">
        <v>19</v>
      </c>
    </row>
    <row r="5097" spans="1:21">
      <c r="A5097" t="str">
        <f t="shared" si="2394"/>
        <v>04/09/2025</v>
      </c>
      <c r="B5097" t="str">
        <f t="shared" si="2404"/>
        <v>ENTRADA</v>
      </c>
      <c r="C5097" t="str">
        <f t="shared" si="2399"/>
        <v>NFSE</v>
      </c>
      <c r="D5097" t="str">
        <f>"3417"</f>
        <v>3417</v>
      </c>
      <c r="E5097" t="str">
        <f t="shared" si="2406"/>
        <v>COM</v>
      </c>
      <c r="F5097" t="str">
        <f>"DROGARIA MEDIC CENTER LTDA (10172)"</f>
        <v>DROGARIA MEDIC CENTER LTDA (10172)</v>
      </c>
      <c r="G5097" t="str">
        <f>"Serv.Prest. 25/08/2025 a 31/08/2025 - RPS: 1182 - NFSe: 3417"</f>
        <v>Serv.Prest. 25/08/2025 a 31/08/2025 - RPS: 1182 - NFSe: 3417</v>
      </c>
      <c r="H5097" t="str">
        <f t="shared" si="2400"/>
        <v>03/09/2025</v>
      </c>
      <c r="I5097" t="str">
        <f t="shared" si="2405"/>
        <v>01/09/2025</v>
      </c>
      <c r="J5097" t="str">
        <f t="shared" si="2398"/>
        <v>04/09/2025</v>
      </c>
      <c r="M5097">
        <v>303</v>
      </c>
      <c r="N5097" t="str">
        <f t="shared" si="2402"/>
        <v>RECEITAS COM ENTREGAS</v>
      </c>
      <c r="P5097">
        <v>276.3</v>
      </c>
      <c r="Q5097" t="str">
        <f>"DROGARIA MEDIC CENTER LTDA (10172)"</f>
        <v>DROGARIA MEDIC CENTER LTDA (10172)</v>
      </c>
      <c r="R5097" t="str">
        <f t="shared" si="2403"/>
        <v>RECEITAS COM ENTREGAS (303)</v>
      </c>
      <c r="S5097">
        <v>2515</v>
      </c>
      <c r="T5097">
        <v>2011</v>
      </c>
      <c r="U5097" t="s">
        <v>19</v>
      </c>
    </row>
    <row r="5098" spans="1:21">
      <c r="A5098" t="str">
        <f t="shared" si="2394"/>
        <v>04/09/2025</v>
      </c>
      <c r="B5098" t="str">
        <f t="shared" si="2404"/>
        <v>ENTRADA</v>
      </c>
      <c r="C5098" t="str">
        <f t="shared" si="2399"/>
        <v>NFSE</v>
      </c>
      <c r="D5098" t="str">
        <f>"3418"</f>
        <v>3418</v>
      </c>
      <c r="E5098" t="str">
        <f t="shared" si="2406"/>
        <v>COM</v>
      </c>
      <c r="F5098" t="str">
        <f>"DROGARIA MORENO LTDA (10171)"</f>
        <v>DROGARIA MORENO LTDA (10171)</v>
      </c>
      <c r="G5098" t="str">
        <f>"Serv.Prest. 25/08/2025 a 31/08/2025 - RPS: 1183 - NFSe: 3418"</f>
        <v>Serv.Prest. 25/08/2025 a 31/08/2025 - RPS: 1183 - NFSe: 3418</v>
      </c>
      <c r="H5098" t="str">
        <f t="shared" si="2400"/>
        <v>03/09/2025</v>
      </c>
      <c r="I5098" t="str">
        <f t="shared" si="2405"/>
        <v>01/09/2025</v>
      </c>
      <c r="J5098" t="str">
        <f t="shared" si="2398"/>
        <v>04/09/2025</v>
      </c>
      <c r="K5098">
        <v>429.3</v>
      </c>
      <c r="L5098">
        <v>429.3</v>
      </c>
      <c r="M5098">
        <v>303</v>
      </c>
      <c r="N5098" t="str">
        <f t="shared" si="2402"/>
        <v>RECEITAS COM ENTREGAS</v>
      </c>
      <c r="O5098">
        <v>429.3</v>
      </c>
      <c r="R5098" t="str">
        <f t="shared" si="2403"/>
        <v>RECEITAS COM ENTREGAS (303)</v>
      </c>
      <c r="S5098">
        <v>2516</v>
      </c>
      <c r="T5098">
        <v>2012</v>
      </c>
      <c r="U5098" t="s">
        <v>19</v>
      </c>
    </row>
    <row r="5099" spans="1:21">
      <c r="A5099" t="str">
        <f t="shared" si="2394"/>
        <v>04/09/2025</v>
      </c>
      <c r="B5099" t="str">
        <f t="shared" si="2404"/>
        <v>ENTRADA</v>
      </c>
      <c r="C5099" t="str">
        <f t="shared" si="2399"/>
        <v>NFSE</v>
      </c>
      <c r="D5099" t="str">
        <f>"3418"</f>
        <v>3418</v>
      </c>
      <c r="E5099" t="str">
        <f t="shared" si="2406"/>
        <v>COM</v>
      </c>
      <c r="F5099" t="str">
        <f>"DROGARIA MORENO LTDA (10171)"</f>
        <v>DROGARIA MORENO LTDA (10171)</v>
      </c>
      <c r="G5099" t="str">
        <f>"Serv.Prest. 25/08/2025 a 31/08/2025 - RPS: 1183 - NFSe: 3418"</f>
        <v>Serv.Prest. 25/08/2025 a 31/08/2025 - RPS: 1183 - NFSe: 3418</v>
      </c>
      <c r="H5099" t="str">
        <f t="shared" si="2400"/>
        <v>03/09/2025</v>
      </c>
      <c r="I5099" t="str">
        <f t="shared" si="2405"/>
        <v>01/09/2025</v>
      </c>
      <c r="J5099" t="str">
        <f t="shared" si="2398"/>
        <v>04/09/2025</v>
      </c>
      <c r="M5099">
        <v>303</v>
      </c>
      <c r="N5099" t="str">
        <f t="shared" si="2402"/>
        <v>RECEITAS COM ENTREGAS</v>
      </c>
      <c r="P5099">
        <v>429.3</v>
      </c>
      <c r="Q5099" t="str">
        <f>"DROGARIA MORENO LTDA (10171)"</f>
        <v>DROGARIA MORENO LTDA (10171)</v>
      </c>
      <c r="R5099" t="str">
        <f t="shared" si="2403"/>
        <v>RECEITAS COM ENTREGAS (303)</v>
      </c>
      <c r="S5099">
        <v>2516</v>
      </c>
      <c r="T5099">
        <v>2012</v>
      </c>
      <c r="U5099" t="s">
        <v>19</v>
      </c>
    </row>
    <row r="5100" spans="1:21">
      <c r="A5100" t="str">
        <f t="shared" si="2394"/>
        <v>04/09/2025</v>
      </c>
      <c r="B5100" t="str">
        <f t="shared" si="2404"/>
        <v>ENTRADA</v>
      </c>
      <c r="C5100" t="str">
        <f t="shared" si="2399"/>
        <v>NFSE</v>
      </c>
      <c r="D5100" t="str">
        <f>"3420"</f>
        <v>3420</v>
      </c>
      <c r="E5100" t="str">
        <f t="shared" si="2406"/>
        <v>COM</v>
      </c>
      <c r="F5100" t="str">
        <f>"JAL FARMACIA E DROGARIA LJ 1 (10137)"</f>
        <v>JAL FARMACIA E DROGARIA LJ 1 (10137)</v>
      </c>
      <c r="G5100" t="str">
        <f>"Serv.Prest. 25/08/2025 a 31/08/2025 - RPS: 1185 - NFSe: 3420"</f>
        <v>Serv.Prest. 25/08/2025 a 31/08/2025 - RPS: 1185 - NFSe: 3420</v>
      </c>
      <c r="H5100" t="str">
        <f t="shared" si="2400"/>
        <v>03/09/2025</v>
      </c>
      <c r="I5100" t="str">
        <f t="shared" si="2405"/>
        <v>01/09/2025</v>
      </c>
      <c r="J5100" t="str">
        <f t="shared" si="2398"/>
        <v>04/09/2025</v>
      </c>
      <c r="K5100">
        <v>432</v>
      </c>
      <c r="L5100">
        <v>432</v>
      </c>
      <c r="M5100">
        <v>303</v>
      </c>
      <c r="N5100" t="str">
        <f t="shared" si="2402"/>
        <v>RECEITAS COM ENTREGAS</v>
      </c>
      <c r="O5100">
        <v>432</v>
      </c>
      <c r="R5100" t="str">
        <f t="shared" si="2403"/>
        <v>RECEITAS COM ENTREGAS (303)</v>
      </c>
      <c r="S5100">
        <v>2517</v>
      </c>
      <c r="T5100">
        <v>2014</v>
      </c>
      <c r="U5100" t="s">
        <v>19</v>
      </c>
    </row>
    <row r="5101" spans="1:21">
      <c r="A5101" t="str">
        <f t="shared" ref="A5101:A5132" si="2407">("04/09/2025")</f>
        <v>04/09/2025</v>
      </c>
      <c r="B5101" t="str">
        <f t="shared" si="2404"/>
        <v>ENTRADA</v>
      </c>
      <c r="C5101" t="str">
        <f t="shared" si="2399"/>
        <v>NFSE</v>
      </c>
      <c r="D5101" t="str">
        <f>"3420"</f>
        <v>3420</v>
      </c>
      <c r="E5101" t="str">
        <f t="shared" si="2406"/>
        <v>COM</v>
      </c>
      <c r="F5101" t="str">
        <f>"JAL FARMACIA E DROGARIA LJ 1 (10137)"</f>
        <v>JAL FARMACIA E DROGARIA LJ 1 (10137)</v>
      </c>
      <c r="G5101" t="str">
        <f>"Serv.Prest. 25/08/2025 a 31/08/2025 - RPS: 1185 - NFSe: 3420"</f>
        <v>Serv.Prest. 25/08/2025 a 31/08/2025 - RPS: 1185 - NFSe: 3420</v>
      </c>
      <c r="H5101" t="str">
        <f t="shared" si="2400"/>
        <v>03/09/2025</v>
      </c>
      <c r="I5101" t="str">
        <f t="shared" si="2405"/>
        <v>01/09/2025</v>
      </c>
      <c r="J5101" t="str">
        <f t="shared" si="2398"/>
        <v>04/09/2025</v>
      </c>
      <c r="M5101">
        <v>303</v>
      </c>
      <c r="N5101" t="str">
        <f t="shared" si="2402"/>
        <v>RECEITAS COM ENTREGAS</v>
      </c>
      <c r="P5101">
        <v>432</v>
      </c>
      <c r="Q5101" t="str">
        <f>"JAL FARMACIA E DROGARIA LJ 1 (10137)"</f>
        <v>JAL FARMACIA E DROGARIA LJ 1 (10137)</v>
      </c>
      <c r="R5101" t="str">
        <f t="shared" si="2403"/>
        <v>RECEITAS COM ENTREGAS (303)</v>
      </c>
      <c r="S5101">
        <v>2517</v>
      </c>
      <c r="T5101">
        <v>2014</v>
      </c>
      <c r="U5101" t="s">
        <v>19</v>
      </c>
    </row>
    <row r="5102" spans="1:21">
      <c r="A5102" t="str">
        <f t="shared" si="2407"/>
        <v>04/09/2025</v>
      </c>
      <c r="B5102" t="str">
        <f t="shared" si="2404"/>
        <v>ENTRADA</v>
      </c>
      <c r="C5102" t="str">
        <f t="shared" si="2399"/>
        <v>NFSE</v>
      </c>
      <c r="D5102" t="str">
        <f>"3426"</f>
        <v>3426</v>
      </c>
      <c r="E5102" t="str">
        <f t="shared" si="2406"/>
        <v>COM</v>
      </c>
      <c r="F5102" t="str">
        <f>"FARMACIA ECONOMIZE (10103)"</f>
        <v>FARMACIA ECONOMIZE (10103)</v>
      </c>
      <c r="G5102" t="str">
        <f>"Serv.Prest. 25/08/2025 a 31/08/2025 - RPS: 1191 - NFSe: 3426"</f>
        <v>Serv.Prest. 25/08/2025 a 31/08/2025 - RPS: 1191 - NFSe: 3426</v>
      </c>
      <c r="H5102" t="str">
        <f t="shared" si="2400"/>
        <v>03/09/2025</v>
      </c>
      <c r="I5102" t="str">
        <f>("02/09/2025")</f>
        <v>02/09/2025</v>
      </c>
      <c r="J5102" t="str">
        <f t="shared" si="2398"/>
        <v>04/09/2025</v>
      </c>
      <c r="K5102">
        <v>24.64</v>
      </c>
      <c r="L5102">
        <v>24.64</v>
      </c>
      <c r="M5102">
        <v>303</v>
      </c>
      <c r="N5102" t="str">
        <f t="shared" si="2402"/>
        <v>RECEITAS COM ENTREGAS</v>
      </c>
      <c r="O5102">
        <v>24.64</v>
      </c>
      <c r="R5102" t="str">
        <f t="shared" si="2403"/>
        <v>RECEITAS COM ENTREGAS (303)</v>
      </c>
      <c r="S5102">
        <v>2518</v>
      </c>
      <c r="T5102">
        <v>2021</v>
      </c>
      <c r="U5102" t="s">
        <v>19</v>
      </c>
    </row>
    <row r="5103" spans="1:21">
      <c r="A5103" t="str">
        <f t="shared" si="2407"/>
        <v>04/09/2025</v>
      </c>
      <c r="B5103" t="str">
        <f t="shared" si="2404"/>
        <v>ENTRADA</v>
      </c>
      <c r="C5103" t="str">
        <f t="shared" si="2399"/>
        <v>NFSE</v>
      </c>
      <c r="D5103" t="str">
        <f>"3426"</f>
        <v>3426</v>
      </c>
      <c r="E5103" t="str">
        <f t="shared" si="2406"/>
        <v>COM</v>
      </c>
      <c r="F5103" t="str">
        <f>"FARMACIA ECONOMIZE (10103)"</f>
        <v>FARMACIA ECONOMIZE (10103)</v>
      </c>
      <c r="G5103" t="str">
        <f>"Serv.Prest. 25/08/2025 a 31/08/2025 - RPS: 1191 - NFSe: 3426"</f>
        <v>Serv.Prest. 25/08/2025 a 31/08/2025 - RPS: 1191 - NFSe: 3426</v>
      </c>
      <c r="H5103" t="str">
        <f t="shared" si="2400"/>
        <v>03/09/2025</v>
      </c>
      <c r="I5103" t="str">
        <f>("02/09/2025")</f>
        <v>02/09/2025</v>
      </c>
      <c r="J5103" t="str">
        <f t="shared" ref="J5103:J5134" si="2408">("04/09/2025")</f>
        <v>04/09/2025</v>
      </c>
      <c r="M5103">
        <v>303</v>
      </c>
      <c r="N5103" t="str">
        <f t="shared" si="2402"/>
        <v>RECEITAS COM ENTREGAS</v>
      </c>
      <c r="P5103">
        <v>24.64</v>
      </c>
      <c r="Q5103" t="str">
        <f>"FARMACIA ECONOMIZE (10103)"</f>
        <v>FARMACIA ECONOMIZE (10103)</v>
      </c>
      <c r="R5103" t="str">
        <f t="shared" si="2403"/>
        <v>RECEITAS COM ENTREGAS (303)</v>
      </c>
      <c r="S5103">
        <v>2518</v>
      </c>
      <c r="T5103">
        <v>2021</v>
      </c>
      <c r="U5103" t="s">
        <v>19</v>
      </c>
    </row>
    <row r="5104" spans="1:21">
      <c r="A5104" t="str">
        <f t="shared" si="2407"/>
        <v>04/09/2025</v>
      </c>
      <c r="B5104" t="str">
        <f t="shared" si="2404"/>
        <v>ENTRADA</v>
      </c>
      <c r="C5104" t="str">
        <f t="shared" si="2399"/>
        <v>NFSE</v>
      </c>
      <c r="D5104" t="str">
        <f>"3410"</f>
        <v>3410</v>
      </c>
      <c r="E5104" t="str">
        <f t="shared" si="2406"/>
        <v>COM</v>
      </c>
      <c r="F5104" t="str">
        <f>"DROGARIA POUPA MINAS (ULTRAMINAS) 3 (10129)"</f>
        <v>DROGARIA POUPA MINAS (ULTRAMINAS) 3 (10129)</v>
      </c>
      <c r="G5104" t="str">
        <f>"Serv.Prest. 25/08/2025 a 31/08/2025 - RPS: 1175 - NFSe: 3410"</f>
        <v>Serv.Prest. 25/08/2025 a 31/08/2025 - RPS: 1175 - NFSe: 3410</v>
      </c>
      <c r="H5104" t="str">
        <f t="shared" ref="H5104:H5109" si="2409">("04/09/2025")</f>
        <v>04/09/2025</v>
      </c>
      <c r="I5104" t="str">
        <f>("01/09/2025")</f>
        <v>01/09/2025</v>
      </c>
      <c r="J5104" t="str">
        <f t="shared" si="2408"/>
        <v>04/09/2025</v>
      </c>
      <c r="K5104">
        <v>171.6</v>
      </c>
      <c r="L5104">
        <v>171.6</v>
      </c>
      <c r="M5104">
        <v>303</v>
      </c>
      <c r="N5104" t="str">
        <f t="shared" si="2402"/>
        <v>RECEITAS COM ENTREGAS</v>
      </c>
      <c r="O5104">
        <v>171.6</v>
      </c>
      <c r="R5104" t="str">
        <f t="shared" si="2403"/>
        <v>RECEITAS COM ENTREGAS (303)</v>
      </c>
      <c r="S5104">
        <v>2519</v>
      </c>
      <c r="T5104">
        <v>2004</v>
      </c>
      <c r="U5104" t="s">
        <v>19</v>
      </c>
    </row>
    <row r="5105" spans="1:21">
      <c r="A5105" t="str">
        <f t="shared" si="2407"/>
        <v>04/09/2025</v>
      </c>
      <c r="B5105" t="str">
        <f t="shared" si="2404"/>
        <v>ENTRADA</v>
      </c>
      <c r="C5105" t="str">
        <f t="shared" si="2399"/>
        <v>NFSE</v>
      </c>
      <c r="D5105" t="str">
        <f>"3410"</f>
        <v>3410</v>
      </c>
      <c r="E5105" t="str">
        <f t="shared" si="2406"/>
        <v>COM</v>
      </c>
      <c r="F5105" t="str">
        <f>"DROGARIA POUPA MINAS (ULTRAMINAS) 3 (10129)"</f>
        <v>DROGARIA POUPA MINAS (ULTRAMINAS) 3 (10129)</v>
      </c>
      <c r="G5105" t="str">
        <f>"Serv.Prest. 25/08/2025 a 31/08/2025 - RPS: 1175 - NFSe: 3410"</f>
        <v>Serv.Prest. 25/08/2025 a 31/08/2025 - RPS: 1175 - NFSe: 3410</v>
      </c>
      <c r="H5105" t="str">
        <f t="shared" si="2409"/>
        <v>04/09/2025</v>
      </c>
      <c r="I5105" t="str">
        <f>("01/09/2025")</f>
        <v>01/09/2025</v>
      </c>
      <c r="J5105" t="str">
        <f t="shared" si="2408"/>
        <v>04/09/2025</v>
      </c>
      <c r="M5105">
        <v>303</v>
      </c>
      <c r="N5105" t="str">
        <f t="shared" si="2402"/>
        <v>RECEITAS COM ENTREGAS</v>
      </c>
      <c r="P5105">
        <v>171.6</v>
      </c>
      <c r="Q5105" t="str">
        <f>"DROGARIA POUPA MINAS (ULTRAMINAS) 3 (10129)"</f>
        <v>DROGARIA POUPA MINAS (ULTRAMINAS) 3 (10129)</v>
      </c>
      <c r="R5105" t="str">
        <f t="shared" si="2403"/>
        <v>RECEITAS COM ENTREGAS (303)</v>
      </c>
      <c r="S5105">
        <v>2519</v>
      </c>
      <c r="T5105">
        <v>2004</v>
      </c>
      <c r="U5105" t="s">
        <v>19</v>
      </c>
    </row>
    <row r="5106" spans="1:21">
      <c r="A5106" t="str">
        <f t="shared" si="2407"/>
        <v>04/09/2025</v>
      </c>
      <c r="B5106" t="str">
        <f t="shared" si="2404"/>
        <v>ENTRADA</v>
      </c>
      <c r="C5106" t="str">
        <f t="shared" si="2399"/>
        <v>NFSE</v>
      </c>
      <c r="D5106" t="str">
        <f>"3392"</f>
        <v>3392</v>
      </c>
      <c r="E5106" t="str">
        <f t="shared" si="2406"/>
        <v>COM</v>
      </c>
      <c r="F5106" t="str">
        <f>"PAGMENOS - LJ 608 (10135)"</f>
        <v>PAGMENOS - LJ 608 (10135)</v>
      </c>
      <c r="G5106" t="str">
        <f>"Serv.Prest. 18/08/2025 a 24/08/2025 - RPS: 1158 - NFSe: 3392"</f>
        <v>Serv.Prest. 18/08/2025 a 24/08/2025 - RPS: 1158 - NFSe: 3392</v>
      </c>
      <c r="H5106" t="str">
        <f t="shared" si="2409"/>
        <v>04/09/2025</v>
      </c>
      <c r="I5106" t="str">
        <f>("25/08/2025")</f>
        <v>25/08/2025</v>
      </c>
      <c r="J5106" t="str">
        <f t="shared" si="2408"/>
        <v>04/09/2025</v>
      </c>
      <c r="K5106">
        <v>280.20999999999998</v>
      </c>
      <c r="L5106">
        <v>280.20999999999998</v>
      </c>
      <c r="M5106">
        <v>303</v>
      </c>
      <c r="N5106" t="str">
        <f t="shared" si="2402"/>
        <v>RECEITAS COM ENTREGAS</v>
      </c>
      <c r="O5106">
        <v>280.20999999999998</v>
      </c>
      <c r="R5106" t="str">
        <f t="shared" si="2403"/>
        <v>RECEITAS COM ENTREGAS (303)</v>
      </c>
      <c r="S5106">
        <v>2522</v>
      </c>
      <c r="T5106">
        <v>1951</v>
      </c>
      <c r="U5106" t="s">
        <v>19</v>
      </c>
    </row>
    <row r="5107" spans="1:21">
      <c r="A5107" t="str">
        <f t="shared" si="2407"/>
        <v>04/09/2025</v>
      </c>
      <c r="B5107" t="str">
        <f t="shared" si="2404"/>
        <v>ENTRADA</v>
      </c>
      <c r="C5107" t="str">
        <f t="shared" si="2399"/>
        <v>NFSE</v>
      </c>
      <c r="D5107" t="str">
        <f>"3392"</f>
        <v>3392</v>
      </c>
      <c r="E5107" t="str">
        <f t="shared" si="2406"/>
        <v>COM</v>
      </c>
      <c r="F5107" t="str">
        <f>"PAGMENOS - LJ 608 (10135)"</f>
        <v>PAGMENOS - LJ 608 (10135)</v>
      </c>
      <c r="G5107" t="str">
        <f>"Serv.Prest. 18/08/2025 a 24/08/2025 - RPS: 1158 - NFSe: 3392"</f>
        <v>Serv.Prest. 18/08/2025 a 24/08/2025 - RPS: 1158 - NFSe: 3392</v>
      </c>
      <c r="H5107" t="str">
        <f t="shared" si="2409"/>
        <v>04/09/2025</v>
      </c>
      <c r="I5107" t="str">
        <f>("25/08/2025")</f>
        <v>25/08/2025</v>
      </c>
      <c r="J5107" t="str">
        <f t="shared" si="2408"/>
        <v>04/09/2025</v>
      </c>
      <c r="M5107">
        <v>303</v>
      </c>
      <c r="N5107" t="str">
        <f t="shared" si="2402"/>
        <v>RECEITAS COM ENTREGAS</v>
      </c>
      <c r="P5107">
        <v>280.20999999999998</v>
      </c>
      <c r="Q5107" t="str">
        <f>"PAGMENOS - LJ 608 (10135)"</f>
        <v>PAGMENOS - LJ 608 (10135)</v>
      </c>
      <c r="R5107" t="str">
        <f t="shared" si="2403"/>
        <v>RECEITAS COM ENTREGAS (303)</v>
      </c>
      <c r="S5107">
        <v>2522</v>
      </c>
      <c r="T5107">
        <v>1951</v>
      </c>
      <c r="U5107" t="s">
        <v>19</v>
      </c>
    </row>
    <row r="5108" spans="1:21">
      <c r="A5108" t="str">
        <f t="shared" si="2407"/>
        <v>04/09/2025</v>
      </c>
      <c r="B5108" t="str">
        <f t="shared" si="2404"/>
        <v>ENTRADA</v>
      </c>
      <c r="C5108" t="str">
        <f t="shared" si="2399"/>
        <v>NFSE</v>
      </c>
      <c r="D5108" t="str">
        <f>"3393"</f>
        <v>3393</v>
      </c>
      <c r="E5108" t="str">
        <f t="shared" si="2406"/>
        <v>COM</v>
      </c>
      <c r="F5108" t="str">
        <f>"PAGMENOS - LJ 657 (10136)"</f>
        <v>PAGMENOS - LJ 657 (10136)</v>
      </c>
      <c r="G5108" t="str">
        <f>"Serv.Prest. 18/08/2025 a 24/08/2025 - RPS: 1159 - NFSe: 3393"</f>
        <v>Serv.Prest. 18/08/2025 a 24/08/2025 - RPS: 1159 - NFSe: 3393</v>
      </c>
      <c r="H5108" t="str">
        <f t="shared" si="2409"/>
        <v>04/09/2025</v>
      </c>
      <c r="I5108" t="str">
        <f>("25/08/2025")</f>
        <v>25/08/2025</v>
      </c>
      <c r="J5108" t="str">
        <f t="shared" si="2408"/>
        <v>04/09/2025</v>
      </c>
      <c r="K5108">
        <v>596.6</v>
      </c>
      <c r="L5108">
        <v>596.6</v>
      </c>
      <c r="M5108">
        <v>303</v>
      </c>
      <c r="N5108" t="str">
        <f t="shared" si="2402"/>
        <v>RECEITAS COM ENTREGAS</v>
      </c>
      <c r="O5108">
        <v>596.6</v>
      </c>
      <c r="R5108" t="str">
        <f t="shared" si="2403"/>
        <v>RECEITAS COM ENTREGAS (303)</v>
      </c>
      <c r="S5108">
        <v>2523</v>
      </c>
      <c r="T5108">
        <v>1952</v>
      </c>
      <c r="U5108" t="s">
        <v>19</v>
      </c>
    </row>
    <row r="5109" spans="1:21">
      <c r="A5109" t="str">
        <f t="shared" si="2407"/>
        <v>04/09/2025</v>
      </c>
      <c r="B5109" t="str">
        <f t="shared" si="2404"/>
        <v>ENTRADA</v>
      </c>
      <c r="C5109" t="str">
        <f t="shared" si="2399"/>
        <v>NFSE</v>
      </c>
      <c r="D5109" t="str">
        <f>"3393"</f>
        <v>3393</v>
      </c>
      <c r="E5109" t="str">
        <f t="shared" si="2406"/>
        <v>COM</v>
      </c>
      <c r="F5109" t="str">
        <f>"PAGMENOS - LJ 657 (10136)"</f>
        <v>PAGMENOS - LJ 657 (10136)</v>
      </c>
      <c r="G5109" t="str">
        <f>"Serv.Prest. 18/08/2025 a 24/08/2025 - RPS: 1159 - NFSe: 3393"</f>
        <v>Serv.Prest. 18/08/2025 a 24/08/2025 - RPS: 1159 - NFSe: 3393</v>
      </c>
      <c r="H5109" t="str">
        <f t="shared" si="2409"/>
        <v>04/09/2025</v>
      </c>
      <c r="I5109" t="str">
        <f>("25/08/2025")</f>
        <v>25/08/2025</v>
      </c>
      <c r="J5109" t="str">
        <f t="shared" si="2408"/>
        <v>04/09/2025</v>
      </c>
      <c r="M5109">
        <v>303</v>
      </c>
      <c r="N5109" t="str">
        <f t="shared" si="2402"/>
        <v>RECEITAS COM ENTREGAS</v>
      </c>
      <c r="P5109">
        <v>596.6</v>
      </c>
      <c r="Q5109" t="str">
        <f>"PAGMENOS - LJ 657 (10136)"</f>
        <v>PAGMENOS - LJ 657 (10136)</v>
      </c>
      <c r="R5109" t="str">
        <f t="shared" si="2403"/>
        <v>RECEITAS COM ENTREGAS (303)</v>
      </c>
      <c r="S5109">
        <v>2523</v>
      </c>
      <c r="T5109">
        <v>1952</v>
      </c>
      <c r="U5109" t="s">
        <v>19</v>
      </c>
    </row>
    <row r="5110" spans="1:21">
      <c r="A5110" t="str">
        <f t="shared" si="2407"/>
        <v>04/09/2025</v>
      </c>
      <c r="B5110" t="str">
        <f t="shared" si="2404"/>
        <v>ENTRADA</v>
      </c>
      <c r="C5110" t="str">
        <f t="shared" si="2399"/>
        <v>NFSE</v>
      </c>
      <c r="D5110" t="str">
        <f>"3421"</f>
        <v>3421</v>
      </c>
      <c r="E5110" t="str">
        <f t="shared" si="2406"/>
        <v>COM</v>
      </c>
      <c r="F5110" t="str">
        <f>"DROGARIA VAZ (10179)"</f>
        <v>DROGARIA VAZ (10179)</v>
      </c>
      <c r="G5110" t="str">
        <f>"Serv.Prest. 25/08/2025 a 31/08/2025 - RPS: 1186 - NFSe: 3421"</f>
        <v>Serv.Prest. 25/08/2025 a 31/08/2025 - RPS: 1186 - NFSe: 3421</v>
      </c>
      <c r="H5110" t="str">
        <f>("03/09/2025")</f>
        <v>03/09/2025</v>
      </c>
      <c r="I5110" t="str">
        <f>("01/09/2025")</f>
        <v>01/09/2025</v>
      </c>
      <c r="J5110" t="str">
        <f t="shared" si="2408"/>
        <v>04/09/2025</v>
      </c>
      <c r="K5110">
        <v>206</v>
      </c>
      <c r="L5110">
        <v>210.18</v>
      </c>
      <c r="M5110">
        <v>303</v>
      </c>
      <c r="N5110" t="str">
        <f t="shared" si="2402"/>
        <v>RECEITAS COM ENTREGAS</v>
      </c>
      <c r="O5110">
        <v>210.18</v>
      </c>
      <c r="R5110" t="str">
        <f t="shared" si="2403"/>
        <v>RECEITAS COM ENTREGAS (303)</v>
      </c>
      <c r="S5110">
        <v>2539</v>
      </c>
      <c r="T5110">
        <v>2016</v>
      </c>
      <c r="U5110" t="s">
        <v>19</v>
      </c>
    </row>
    <row r="5111" spans="1:21">
      <c r="A5111" t="str">
        <f t="shared" si="2407"/>
        <v>04/09/2025</v>
      </c>
      <c r="B5111" t="str">
        <f t="shared" si="2404"/>
        <v>ENTRADA</v>
      </c>
      <c r="C5111" t="str">
        <f t="shared" si="2399"/>
        <v>NFSE</v>
      </c>
      <c r="D5111" t="str">
        <f>"3421"</f>
        <v>3421</v>
      </c>
      <c r="E5111" t="str">
        <f t="shared" si="2406"/>
        <v>COM</v>
      </c>
      <c r="F5111" t="str">
        <f>"DROGARIA VAZ (10179)"</f>
        <v>DROGARIA VAZ (10179)</v>
      </c>
      <c r="G5111" t="str">
        <f>"Serv.Prest. 25/08/2025 a 31/08/2025 - RPS: 1186 - NFSe: 3421"</f>
        <v>Serv.Prest. 25/08/2025 a 31/08/2025 - RPS: 1186 - NFSe: 3421</v>
      </c>
      <c r="H5111" t="str">
        <f>("03/09/2025")</f>
        <v>03/09/2025</v>
      </c>
      <c r="I5111" t="str">
        <f>("01/09/2025")</f>
        <v>01/09/2025</v>
      </c>
      <c r="J5111" t="str">
        <f t="shared" si="2408"/>
        <v>04/09/2025</v>
      </c>
      <c r="M5111">
        <v>303</v>
      </c>
      <c r="N5111" t="str">
        <f t="shared" si="2402"/>
        <v>RECEITAS COM ENTREGAS</v>
      </c>
      <c r="P5111">
        <v>210.18</v>
      </c>
      <c r="Q5111" t="str">
        <f>"DROGARIA VAZ (10179)"</f>
        <v>DROGARIA VAZ (10179)</v>
      </c>
      <c r="R5111" t="str">
        <f t="shared" si="2403"/>
        <v>RECEITAS COM ENTREGAS (303)</v>
      </c>
      <c r="S5111">
        <v>2539</v>
      </c>
      <c r="T5111">
        <v>2016</v>
      </c>
      <c r="U5111" t="s">
        <v>19</v>
      </c>
    </row>
    <row r="5112" spans="1:21">
      <c r="A5112" t="str">
        <f t="shared" si="2407"/>
        <v>04/09/2025</v>
      </c>
      <c r="B5112" t="str">
        <f t="shared" ref="B5112:B5143" si="2410">"SAÍDA"</f>
        <v>SAÍDA</v>
      </c>
      <c r="C5112" t="str">
        <f t="shared" ref="C5112:C5117" si="2411">"PIX"</f>
        <v>PIX</v>
      </c>
      <c r="D5112" t="str">
        <f>"0409252333333"</f>
        <v>0409252333333</v>
      </c>
      <c r="E5112" t="str">
        <f t="shared" si="2406"/>
        <v>COM</v>
      </c>
      <c r="F5112" t="str">
        <f>"LILIANE DE FATIMA REZENDE JUSTINO (20013)"</f>
        <v>LILIANE DE FATIMA REZENDE JUSTINO (20013)</v>
      </c>
      <c r="G5112" t="str">
        <f>"REF. PRO-LABORE MES 08/2025"</f>
        <v>REF. PRO-LABORE MES 08/2025</v>
      </c>
      <c r="H5112" t="str">
        <f t="shared" ref="H5112:H5141" si="2412">("04/09/2025")</f>
        <v>04/09/2025</v>
      </c>
      <c r="I5112" t="str">
        <f>("31/08/2025")</f>
        <v>31/08/2025</v>
      </c>
      <c r="J5112" t="str">
        <f t="shared" si="2408"/>
        <v>04/09/2025</v>
      </c>
      <c r="K5112">
        <v>22732.93</v>
      </c>
      <c r="L5112">
        <v>22732.93</v>
      </c>
      <c r="M5112">
        <v>124</v>
      </c>
      <c r="N5112" t="str">
        <f>"PRO LABORE - LILIANE"</f>
        <v>PRO LABORE - LILIANE</v>
      </c>
      <c r="O5112">
        <v>22732.93</v>
      </c>
      <c r="R5112" t="str">
        <f t="shared" ref="R5112:R5143" si="2413">"BANCO CORA (102)"</f>
        <v>BANCO CORA (102)</v>
      </c>
      <c r="S5112">
        <v>2544</v>
      </c>
      <c r="T5112">
        <v>571</v>
      </c>
      <c r="U5112" t="s">
        <v>19</v>
      </c>
    </row>
    <row r="5113" spans="1:21">
      <c r="A5113" t="str">
        <f t="shared" si="2407"/>
        <v>04/09/2025</v>
      </c>
      <c r="B5113" t="str">
        <f t="shared" si="2410"/>
        <v>SAÍDA</v>
      </c>
      <c r="C5113" t="str">
        <f t="shared" si="2411"/>
        <v>PIX</v>
      </c>
      <c r="D5113" t="str">
        <f>"0409252333333"</f>
        <v>0409252333333</v>
      </c>
      <c r="E5113" t="str">
        <f t="shared" si="2406"/>
        <v>COM</v>
      </c>
      <c r="F5113" t="str">
        <f>"LILIANE DE FATIMA REZENDE JUSTINO (20013)"</f>
        <v>LILIANE DE FATIMA REZENDE JUSTINO (20013)</v>
      </c>
      <c r="G5113" t="str">
        <f>"REF. PRO-LABORE MES 08/2025"</f>
        <v>REF. PRO-LABORE MES 08/2025</v>
      </c>
      <c r="H5113" t="str">
        <f t="shared" si="2412"/>
        <v>04/09/2025</v>
      </c>
      <c r="I5113" t="str">
        <f>("31/08/2025")</f>
        <v>31/08/2025</v>
      </c>
      <c r="J5113" t="str">
        <f t="shared" si="2408"/>
        <v>04/09/2025</v>
      </c>
      <c r="M5113">
        <v>124</v>
      </c>
      <c r="N5113" t="str">
        <f>"PRO LABORE - LILIANE"</f>
        <v>PRO LABORE - LILIANE</v>
      </c>
      <c r="P5113">
        <v>22732.93</v>
      </c>
      <c r="Q5113" t="str">
        <f>"LILIANE DE FATIMA REZENDE JUSTINO (20013)"</f>
        <v>LILIANE DE FATIMA REZENDE JUSTINO (20013)</v>
      </c>
      <c r="R5113" t="str">
        <f t="shared" si="2413"/>
        <v>BANCO CORA (102)</v>
      </c>
      <c r="S5113">
        <v>2544</v>
      </c>
      <c r="T5113">
        <v>571</v>
      </c>
      <c r="U5113" t="s">
        <v>19</v>
      </c>
    </row>
    <row r="5114" spans="1:21">
      <c r="A5114" t="str">
        <f t="shared" si="2407"/>
        <v>04/09/2025</v>
      </c>
      <c r="B5114" t="str">
        <f t="shared" si="2410"/>
        <v>SAÍDA</v>
      </c>
      <c r="C5114" t="str">
        <f t="shared" si="2411"/>
        <v>PIX</v>
      </c>
      <c r="D5114" t="str">
        <f>"0409251500"</f>
        <v>0409251500</v>
      </c>
      <c r="E5114" t="str">
        <f t="shared" si="2406"/>
        <v>COM</v>
      </c>
      <c r="F5114" t="str">
        <f>"LILIANE DE FATIMA REZENDE JUSTINO (20013)"</f>
        <v>LILIANE DE FATIMA REZENDE JUSTINO (20013)</v>
      </c>
      <c r="G5114" t="str">
        <f>"REF. PREST. SERVICO LILIANE 08/2025"</f>
        <v>REF. PREST. SERVICO LILIANE 08/2025</v>
      </c>
      <c r="H5114" t="str">
        <f t="shared" si="2412"/>
        <v>04/09/2025</v>
      </c>
      <c r="I5114" t="str">
        <f>("01/09/2025")</f>
        <v>01/09/2025</v>
      </c>
      <c r="J5114" t="str">
        <f t="shared" si="2408"/>
        <v>04/09/2025</v>
      </c>
      <c r="K5114">
        <v>1500</v>
      </c>
      <c r="L5114">
        <v>1500</v>
      </c>
      <c r="M5114">
        <v>103</v>
      </c>
      <c r="N5114" t="str">
        <f>"PAGAMENTO DE FUNCIONÁRIOS"</f>
        <v>PAGAMENTO DE FUNCIONÁRIOS</v>
      </c>
      <c r="O5114">
        <v>1500</v>
      </c>
      <c r="R5114" t="str">
        <f t="shared" si="2413"/>
        <v>BANCO CORA (102)</v>
      </c>
      <c r="S5114">
        <v>2545</v>
      </c>
      <c r="T5114">
        <v>583</v>
      </c>
      <c r="U5114" t="s">
        <v>19</v>
      </c>
    </row>
    <row r="5115" spans="1:21">
      <c r="A5115" t="str">
        <f t="shared" si="2407"/>
        <v>04/09/2025</v>
      </c>
      <c r="B5115" t="str">
        <f t="shared" si="2410"/>
        <v>SAÍDA</v>
      </c>
      <c r="C5115" t="str">
        <f t="shared" si="2411"/>
        <v>PIX</v>
      </c>
      <c r="D5115" t="str">
        <f>"0409251500"</f>
        <v>0409251500</v>
      </c>
      <c r="E5115" t="str">
        <f t="shared" si="2406"/>
        <v>COM</v>
      </c>
      <c r="F5115" t="str">
        <f>"LILIANE DE FATIMA REZENDE JUSTINO (20013)"</f>
        <v>LILIANE DE FATIMA REZENDE JUSTINO (20013)</v>
      </c>
      <c r="G5115" t="str">
        <f>"REF. PREST. SERVICO LILIANE 08/2025"</f>
        <v>REF. PREST. SERVICO LILIANE 08/2025</v>
      </c>
      <c r="H5115" t="str">
        <f t="shared" si="2412"/>
        <v>04/09/2025</v>
      </c>
      <c r="I5115" t="str">
        <f>("01/09/2025")</f>
        <v>01/09/2025</v>
      </c>
      <c r="J5115" t="str">
        <f t="shared" si="2408"/>
        <v>04/09/2025</v>
      </c>
      <c r="M5115">
        <v>103</v>
      </c>
      <c r="N5115" t="str">
        <f>"PAGAMENTO DE FUNCIONÁRIOS"</f>
        <v>PAGAMENTO DE FUNCIONÁRIOS</v>
      </c>
      <c r="P5115">
        <v>1500</v>
      </c>
      <c r="Q5115" t="str">
        <f>"LILIANE DE FATIMA REZENDE JUSTINO (20013)"</f>
        <v>LILIANE DE FATIMA REZENDE JUSTINO (20013)</v>
      </c>
      <c r="R5115" t="str">
        <f t="shared" si="2413"/>
        <v>BANCO CORA (102)</v>
      </c>
      <c r="S5115">
        <v>2545</v>
      </c>
      <c r="T5115">
        <v>583</v>
      </c>
      <c r="U5115" t="s">
        <v>19</v>
      </c>
    </row>
    <row r="5116" spans="1:21">
      <c r="A5116" t="str">
        <f t="shared" si="2407"/>
        <v>04/09/2025</v>
      </c>
      <c r="B5116" t="str">
        <f t="shared" si="2410"/>
        <v>SAÍDA</v>
      </c>
      <c r="C5116" t="str">
        <f t="shared" si="2411"/>
        <v>PIX</v>
      </c>
      <c r="D5116" t="str">
        <f>"0724"</f>
        <v>0724</v>
      </c>
      <c r="E5116" t="str">
        <f t="shared" si="2406"/>
        <v>COM</v>
      </c>
      <c r="F5116" t="str">
        <f>"MARCELO REZENDE ARANTES (20014)"</f>
        <v>MARCELO REZENDE ARANTES (20014)</v>
      </c>
      <c r="G5116" t="str">
        <f>"REF. PRO-LABORE MES 08/2025"</f>
        <v>REF. PRO-LABORE MES 08/2025</v>
      </c>
      <c r="H5116" t="str">
        <f t="shared" si="2412"/>
        <v>04/09/2025</v>
      </c>
      <c r="I5116" t="str">
        <f>("31/08/2025")</f>
        <v>31/08/2025</v>
      </c>
      <c r="J5116" t="str">
        <f t="shared" si="2408"/>
        <v>04/09/2025</v>
      </c>
      <c r="K5116">
        <v>9758.33</v>
      </c>
      <c r="L5116">
        <v>9758.33</v>
      </c>
      <c r="M5116">
        <v>108</v>
      </c>
      <c r="N5116" t="str">
        <f>"PRO LABORE - MARCELO"</f>
        <v>PRO LABORE - MARCELO</v>
      </c>
      <c r="O5116">
        <v>9758.33</v>
      </c>
      <c r="R5116" t="str">
        <f t="shared" si="2413"/>
        <v>BANCO CORA (102)</v>
      </c>
      <c r="S5116">
        <v>2546</v>
      </c>
      <c r="T5116">
        <v>595</v>
      </c>
      <c r="U5116" t="s">
        <v>19</v>
      </c>
    </row>
    <row r="5117" spans="1:21">
      <c r="A5117" t="str">
        <f t="shared" si="2407"/>
        <v>04/09/2025</v>
      </c>
      <c r="B5117" t="str">
        <f t="shared" si="2410"/>
        <v>SAÍDA</v>
      </c>
      <c r="C5117" t="str">
        <f t="shared" si="2411"/>
        <v>PIX</v>
      </c>
      <c r="D5117" t="str">
        <f>"0724"</f>
        <v>0724</v>
      </c>
      <c r="E5117" t="str">
        <f t="shared" si="2406"/>
        <v>COM</v>
      </c>
      <c r="F5117" t="str">
        <f>"MARCELO REZENDE ARANTES (20014)"</f>
        <v>MARCELO REZENDE ARANTES (20014)</v>
      </c>
      <c r="G5117" t="str">
        <f>"REF. PRO-LABORE MES 08/2025"</f>
        <v>REF. PRO-LABORE MES 08/2025</v>
      </c>
      <c r="H5117" t="str">
        <f t="shared" si="2412"/>
        <v>04/09/2025</v>
      </c>
      <c r="I5117" t="str">
        <f>("31/08/2025")</f>
        <v>31/08/2025</v>
      </c>
      <c r="J5117" t="str">
        <f t="shared" si="2408"/>
        <v>04/09/2025</v>
      </c>
      <c r="M5117">
        <v>108</v>
      </c>
      <c r="N5117" t="str">
        <f>"PRO LABORE - MARCELO"</f>
        <v>PRO LABORE - MARCELO</v>
      </c>
      <c r="P5117">
        <v>9758.33</v>
      </c>
      <c r="Q5117" t="str">
        <f>"MARCELO REZENDE ARANTES (20014)"</f>
        <v>MARCELO REZENDE ARANTES (20014)</v>
      </c>
      <c r="R5117" t="str">
        <f t="shared" si="2413"/>
        <v>BANCO CORA (102)</v>
      </c>
      <c r="S5117">
        <v>2546</v>
      </c>
      <c r="T5117">
        <v>595</v>
      </c>
      <c r="U5117" t="s">
        <v>19</v>
      </c>
    </row>
    <row r="5118" spans="1:21">
      <c r="A5118" t="str">
        <f t="shared" si="2407"/>
        <v>04/09/2025</v>
      </c>
      <c r="B5118" t="str">
        <f t="shared" si="2410"/>
        <v>SAÍDA</v>
      </c>
      <c r="C5118" t="str">
        <f t="shared" ref="C5118:C5143" si="2414">"CONHECIMENTO"</f>
        <v>CONHECIMENTO</v>
      </c>
      <c r="D5118" t="str">
        <f t="shared" ref="D5118:D5141" si="2415">"040925170"</f>
        <v>040925170</v>
      </c>
      <c r="E5118" t="str">
        <f t="shared" si="2406"/>
        <v>COM</v>
      </c>
      <c r="F5118" t="str">
        <f t="shared" ref="F5118:F5143" si="2416">"CORA SOCIEDADE DE CREDITO, FINANCIAMENTO E INVESTIMENTO (20035)"</f>
        <v>CORA SOCIEDADE DE CREDITO, FINANCIAMENTO E INVESTIMENTO (20035)</v>
      </c>
      <c r="G5118" t="str">
        <f t="shared" ref="G5118:G5141" si="2417">"TAXA BOLETO COMPENSADO"</f>
        <v>TAXA BOLETO COMPENSADO</v>
      </c>
      <c r="H5118" t="str">
        <f t="shared" si="2412"/>
        <v>04/09/2025</v>
      </c>
      <c r="I5118" t="str">
        <f t="shared" ref="I5118:I5143" si="2418">("04/09/2025")</f>
        <v>04/09/2025</v>
      </c>
      <c r="J5118" t="str">
        <f t="shared" si="2408"/>
        <v>04/09/2025</v>
      </c>
      <c r="K5118">
        <v>1.7</v>
      </c>
      <c r="L5118">
        <v>1.7</v>
      </c>
      <c r="M5118">
        <v>401</v>
      </c>
      <c r="N5118" t="str">
        <f t="shared" ref="N5118:N5143" si="2419">"IOF/JUROS/DESP.FINANCEIRA"</f>
        <v>IOF/JUROS/DESP.FINANCEIRA</v>
      </c>
      <c r="O5118">
        <v>1.7</v>
      </c>
      <c r="R5118" t="str">
        <f t="shared" si="2413"/>
        <v>BANCO CORA (102)</v>
      </c>
      <c r="S5118">
        <v>2559</v>
      </c>
      <c r="T5118">
        <v>2079</v>
      </c>
      <c r="U5118" t="s">
        <v>19</v>
      </c>
    </row>
    <row r="5119" spans="1:21">
      <c r="A5119" t="str">
        <f t="shared" si="2407"/>
        <v>04/09/2025</v>
      </c>
      <c r="B5119" t="str">
        <f t="shared" si="2410"/>
        <v>SAÍDA</v>
      </c>
      <c r="C5119" t="str">
        <f t="shared" si="2414"/>
        <v>CONHECIMENTO</v>
      </c>
      <c r="D5119" t="str">
        <f t="shared" si="2415"/>
        <v>040925170</v>
      </c>
      <c r="E5119" t="str">
        <f t="shared" si="2406"/>
        <v>COM</v>
      </c>
      <c r="F5119" t="str">
        <f t="shared" si="2416"/>
        <v>CORA SOCIEDADE DE CREDITO, FINANCIAMENTO E INVESTIMENTO (20035)</v>
      </c>
      <c r="G5119" t="str">
        <f t="shared" si="2417"/>
        <v>TAXA BOLETO COMPENSADO</v>
      </c>
      <c r="H5119" t="str">
        <f t="shared" si="2412"/>
        <v>04/09/2025</v>
      </c>
      <c r="I5119" t="str">
        <f t="shared" si="2418"/>
        <v>04/09/2025</v>
      </c>
      <c r="J5119" t="str">
        <f t="shared" si="2408"/>
        <v>04/09/2025</v>
      </c>
      <c r="M5119">
        <v>401</v>
      </c>
      <c r="N5119" t="str">
        <f t="shared" si="2419"/>
        <v>IOF/JUROS/DESP.FINANCEIRA</v>
      </c>
      <c r="P5119">
        <v>1.7</v>
      </c>
      <c r="Q5119" t="str">
        <f>"CORA SOCIEDADE DE CREDITO, FINANCIAMENTO E INVESTIMENTO (20035)"</f>
        <v>CORA SOCIEDADE DE CREDITO, FINANCIAMENTO E INVESTIMENTO (20035)</v>
      </c>
      <c r="R5119" t="str">
        <f t="shared" si="2413"/>
        <v>BANCO CORA (102)</v>
      </c>
      <c r="S5119">
        <v>2559</v>
      </c>
      <c r="T5119">
        <v>2079</v>
      </c>
      <c r="U5119" t="s">
        <v>19</v>
      </c>
    </row>
    <row r="5120" spans="1:21">
      <c r="A5120" t="str">
        <f t="shared" si="2407"/>
        <v>04/09/2025</v>
      </c>
      <c r="B5120" t="str">
        <f t="shared" si="2410"/>
        <v>SAÍDA</v>
      </c>
      <c r="C5120" t="str">
        <f t="shared" si="2414"/>
        <v>CONHECIMENTO</v>
      </c>
      <c r="D5120" t="str">
        <f t="shared" si="2415"/>
        <v>040925170</v>
      </c>
      <c r="E5120" t="str">
        <f t="shared" si="2406"/>
        <v>COM</v>
      </c>
      <c r="F5120" t="str">
        <f t="shared" si="2416"/>
        <v>CORA SOCIEDADE DE CREDITO, FINANCIAMENTO E INVESTIMENTO (20035)</v>
      </c>
      <c r="G5120" t="str">
        <f t="shared" si="2417"/>
        <v>TAXA BOLETO COMPENSADO</v>
      </c>
      <c r="H5120" t="str">
        <f t="shared" si="2412"/>
        <v>04/09/2025</v>
      </c>
      <c r="I5120" t="str">
        <f t="shared" si="2418"/>
        <v>04/09/2025</v>
      </c>
      <c r="J5120" t="str">
        <f t="shared" si="2408"/>
        <v>04/09/2025</v>
      </c>
      <c r="K5120">
        <v>1.7</v>
      </c>
      <c r="L5120">
        <v>1.7</v>
      </c>
      <c r="M5120">
        <v>401</v>
      </c>
      <c r="N5120" t="str">
        <f t="shared" si="2419"/>
        <v>IOF/JUROS/DESP.FINANCEIRA</v>
      </c>
      <c r="O5120">
        <v>1.7</v>
      </c>
      <c r="R5120" t="str">
        <f t="shared" si="2413"/>
        <v>BANCO CORA (102)</v>
      </c>
      <c r="S5120">
        <v>2560</v>
      </c>
      <c r="T5120">
        <v>2080</v>
      </c>
      <c r="U5120" t="s">
        <v>19</v>
      </c>
    </row>
    <row r="5121" spans="1:21">
      <c r="A5121" t="str">
        <f t="shared" si="2407"/>
        <v>04/09/2025</v>
      </c>
      <c r="B5121" t="str">
        <f t="shared" si="2410"/>
        <v>SAÍDA</v>
      </c>
      <c r="C5121" t="str">
        <f t="shared" si="2414"/>
        <v>CONHECIMENTO</v>
      </c>
      <c r="D5121" t="str">
        <f t="shared" si="2415"/>
        <v>040925170</v>
      </c>
      <c r="E5121" t="str">
        <f t="shared" si="2406"/>
        <v>COM</v>
      </c>
      <c r="F5121" t="str">
        <f t="shared" si="2416"/>
        <v>CORA SOCIEDADE DE CREDITO, FINANCIAMENTO E INVESTIMENTO (20035)</v>
      </c>
      <c r="G5121" t="str">
        <f t="shared" si="2417"/>
        <v>TAXA BOLETO COMPENSADO</v>
      </c>
      <c r="H5121" t="str">
        <f t="shared" si="2412"/>
        <v>04/09/2025</v>
      </c>
      <c r="I5121" t="str">
        <f t="shared" si="2418"/>
        <v>04/09/2025</v>
      </c>
      <c r="J5121" t="str">
        <f t="shared" si="2408"/>
        <v>04/09/2025</v>
      </c>
      <c r="M5121">
        <v>401</v>
      </c>
      <c r="N5121" t="str">
        <f t="shared" si="2419"/>
        <v>IOF/JUROS/DESP.FINANCEIRA</v>
      </c>
      <c r="P5121">
        <v>1.7</v>
      </c>
      <c r="Q5121" t="str">
        <f>"CORA SOCIEDADE DE CREDITO, FINANCIAMENTO E INVESTIMENTO (20035)"</f>
        <v>CORA SOCIEDADE DE CREDITO, FINANCIAMENTO E INVESTIMENTO (20035)</v>
      </c>
      <c r="R5121" t="str">
        <f t="shared" si="2413"/>
        <v>BANCO CORA (102)</v>
      </c>
      <c r="S5121">
        <v>2560</v>
      </c>
      <c r="T5121">
        <v>2080</v>
      </c>
      <c r="U5121" t="s">
        <v>19</v>
      </c>
    </row>
    <row r="5122" spans="1:21">
      <c r="A5122" t="str">
        <f t="shared" si="2407"/>
        <v>04/09/2025</v>
      </c>
      <c r="B5122" t="str">
        <f t="shared" si="2410"/>
        <v>SAÍDA</v>
      </c>
      <c r="C5122" t="str">
        <f t="shared" si="2414"/>
        <v>CONHECIMENTO</v>
      </c>
      <c r="D5122" t="str">
        <f t="shared" si="2415"/>
        <v>040925170</v>
      </c>
      <c r="E5122" t="str">
        <f t="shared" si="2406"/>
        <v>COM</v>
      </c>
      <c r="F5122" t="str">
        <f t="shared" si="2416"/>
        <v>CORA SOCIEDADE DE CREDITO, FINANCIAMENTO E INVESTIMENTO (20035)</v>
      </c>
      <c r="G5122" t="str">
        <f t="shared" si="2417"/>
        <v>TAXA BOLETO COMPENSADO</v>
      </c>
      <c r="H5122" t="str">
        <f t="shared" si="2412"/>
        <v>04/09/2025</v>
      </c>
      <c r="I5122" t="str">
        <f t="shared" si="2418"/>
        <v>04/09/2025</v>
      </c>
      <c r="J5122" t="str">
        <f t="shared" si="2408"/>
        <v>04/09/2025</v>
      </c>
      <c r="K5122">
        <v>1.7</v>
      </c>
      <c r="L5122">
        <v>1.7</v>
      </c>
      <c r="M5122">
        <v>401</v>
      </c>
      <c r="N5122" t="str">
        <f t="shared" si="2419"/>
        <v>IOF/JUROS/DESP.FINANCEIRA</v>
      </c>
      <c r="O5122">
        <v>1.7</v>
      </c>
      <c r="R5122" t="str">
        <f t="shared" si="2413"/>
        <v>BANCO CORA (102)</v>
      </c>
      <c r="S5122">
        <v>2561</v>
      </c>
      <c r="T5122">
        <v>2081</v>
      </c>
      <c r="U5122" t="s">
        <v>19</v>
      </c>
    </row>
    <row r="5123" spans="1:21">
      <c r="A5123" t="str">
        <f t="shared" si="2407"/>
        <v>04/09/2025</v>
      </c>
      <c r="B5123" t="str">
        <f t="shared" si="2410"/>
        <v>SAÍDA</v>
      </c>
      <c r="C5123" t="str">
        <f t="shared" si="2414"/>
        <v>CONHECIMENTO</v>
      </c>
      <c r="D5123" t="str">
        <f t="shared" si="2415"/>
        <v>040925170</v>
      </c>
      <c r="E5123" t="str">
        <f t="shared" si="2406"/>
        <v>COM</v>
      </c>
      <c r="F5123" t="str">
        <f t="shared" si="2416"/>
        <v>CORA SOCIEDADE DE CREDITO, FINANCIAMENTO E INVESTIMENTO (20035)</v>
      </c>
      <c r="G5123" t="str">
        <f t="shared" si="2417"/>
        <v>TAXA BOLETO COMPENSADO</v>
      </c>
      <c r="H5123" t="str">
        <f t="shared" si="2412"/>
        <v>04/09/2025</v>
      </c>
      <c r="I5123" t="str">
        <f t="shared" si="2418"/>
        <v>04/09/2025</v>
      </c>
      <c r="J5123" t="str">
        <f t="shared" si="2408"/>
        <v>04/09/2025</v>
      </c>
      <c r="M5123">
        <v>401</v>
      </c>
      <c r="N5123" t="str">
        <f t="shared" si="2419"/>
        <v>IOF/JUROS/DESP.FINANCEIRA</v>
      </c>
      <c r="P5123">
        <v>1.7</v>
      </c>
      <c r="Q5123" t="str">
        <f>"CORA SOCIEDADE DE CREDITO, FINANCIAMENTO E INVESTIMENTO (20035)"</f>
        <v>CORA SOCIEDADE DE CREDITO, FINANCIAMENTO E INVESTIMENTO (20035)</v>
      </c>
      <c r="R5123" t="str">
        <f t="shared" si="2413"/>
        <v>BANCO CORA (102)</v>
      </c>
      <c r="S5123">
        <v>2561</v>
      </c>
      <c r="T5123">
        <v>2081</v>
      </c>
      <c r="U5123" t="s">
        <v>19</v>
      </c>
    </row>
    <row r="5124" spans="1:21">
      <c r="A5124" t="str">
        <f t="shared" si="2407"/>
        <v>04/09/2025</v>
      </c>
      <c r="B5124" t="str">
        <f t="shared" si="2410"/>
        <v>SAÍDA</v>
      </c>
      <c r="C5124" t="str">
        <f t="shared" si="2414"/>
        <v>CONHECIMENTO</v>
      </c>
      <c r="D5124" t="str">
        <f t="shared" si="2415"/>
        <v>040925170</v>
      </c>
      <c r="E5124" t="str">
        <f t="shared" si="2406"/>
        <v>COM</v>
      </c>
      <c r="F5124" t="str">
        <f t="shared" si="2416"/>
        <v>CORA SOCIEDADE DE CREDITO, FINANCIAMENTO E INVESTIMENTO (20035)</v>
      </c>
      <c r="G5124" t="str">
        <f t="shared" si="2417"/>
        <v>TAXA BOLETO COMPENSADO</v>
      </c>
      <c r="H5124" t="str">
        <f t="shared" si="2412"/>
        <v>04/09/2025</v>
      </c>
      <c r="I5124" t="str">
        <f t="shared" si="2418"/>
        <v>04/09/2025</v>
      </c>
      <c r="J5124" t="str">
        <f t="shared" si="2408"/>
        <v>04/09/2025</v>
      </c>
      <c r="K5124">
        <v>1.7</v>
      </c>
      <c r="L5124">
        <v>1.7</v>
      </c>
      <c r="M5124">
        <v>401</v>
      </c>
      <c r="N5124" t="str">
        <f t="shared" si="2419"/>
        <v>IOF/JUROS/DESP.FINANCEIRA</v>
      </c>
      <c r="O5124">
        <v>1.7</v>
      </c>
      <c r="R5124" t="str">
        <f t="shared" si="2413"/>
        <v>BANCO CORA (102)</v>
      </c>
      <c r="S5124">
        <v>2562</v>
      </c>
      <c r="T5124">
        <v>2082</v>
      </c>
      <c r="U5124" t="s">
        <v>19</v>
      </c>
    </row>
    <row r="5125" spans="1:21">
      <c r="A5125" t="str">
        <f t="shared" si="2407"/>
        <v>04/09/2025</v>
      </c>
      <c r="B5125" t="str">
        <f t="shared" si="2410"/>
        <v>SAÍDA</v>
      </c>
      <c r="C5125" t="str">
        <f t="shared" si="2414"/>
        <v>CONHECIMENTO</v>
      </c>
      <c r="D5125" t="str">
        <f t="shared" si="2415"/>
        <v>040925170</v>
      </c>
      <c r="E5125" t="str">
        <f t="shared" si="2406"/>
        <v>COM</v>
      </c>
      <c r="F5125" t="str">
        <f t="shared" si="2416"/>
        <v>CORA SOCIEDADE DE CREDITO, FINANCIAMENTO E INVESTIMENTO (20035)</v>
      </c>
      <c r="G5125" t="str">
        <f t="shared" si="2417"/>
        <v>TAXA BOLETO COMPENSADO</v>
      </c>
      <c r="H5125" t="str">
        <f t="shared" si="2412"/>
        <v>04/09/2025</v>
      </c>
      <c r="I5125" t="str">
        <f t="shared" si="2418"/>
        <v>04/09/2025</v>
      </c>
      <c r="J5125" t="str">
        <f t="shared" si="2408"/>
        <v>04/09/2025</v>
      </c>
      <c r="M5125">
        <v>401</v>
      </c>
      <c r="N5125" t="str">
        <f t="shared" si="2419"/>
        <v>IOF/JUROS/DESP.FINANCEIRA</v>
      </c>
      <c r="P5125">
        <v>1.7</v>
      </c>
      <c r="Q5125" t="str">
        <f>"CORA SOCIEDADE DE CREDITO, FINANCIAMENTO E INVESTIMENTO (20035)"</f>
        <v>CORA SOCIEDADE DE CREDITO, FINANCIAMENTO E INVESTIMENTO (20035)</v>
      </c>
      <c r="R5125" t="str">
        <f t="shared" si="2413"/>
        <v>BANCO CORA (102)</v>
      </c>
      <c r="S5125">
        <v>2562</v>
      </c>
      <c r="T5125">
        <v>2082</v>
      </c>
      <c r="U5125" t="s">
        <v>19</v>
      </c>
    </row>
    <row r="5126" spans="1:21">
      <c r="A5126" t="str">
        <f t="shared" si="2407"/>
        <v>04/09/2025</v>
      </c>
      <c r="B5126" t="str">
        <f t="shared" si="2410"/>
        <v>SAÍDA</v>
      </c>
      <c r="C5126" t="str">
        <f t="shared" si="2414"/>
        <v>CONHECIMENTO</v>
      </c>
      <c r="D5126" t="str">
        <f t="shared" si="2415"/>
        <v>040925170</v>
      </c>
      <c r="E5126" t="str">
        <f t="shared" si="2406"/>
        <v>COM</v>
      </c>
      <c r="F5126" t="str">
        <f t="shared" si="2416"/>
        <v>CORA SOCIEDADE DE CREDITO, FINANCIAMENTO E INVESTIMENTO (20035)</v>
      </c>
      <c r="G5126" t="str">
        <f t="shared" si="2417"/>
        <v>TAXA BOLETO COMPENSADO</v>
      </c>
      <c r="H5126" t="str">
        <f t="shared" si="2412"/>
        <v>04/09/2025</v>
      </c>
      <c r="I5126" t="str">
        <f t="shared" si="2418"/>
        <v>04/09/2025</v>
      </c>
      <c r="J5126" t="str">
        <f t="shared" si="2408"/>
        <v>04/09/2025</v>
      </c>
      <c r="K5126">
        <v>1.7</v>
      </c>
      <c r="L5126">
        <v>1.7</v>
      </c>
      <c r="M5126">
        <v>401</v>
      </c>
      <c r="N5126" t="str">
        <f t="shared" si="2419"/>
        <v>IOF/JUROS/DESP.FINANCEIRA</v>
      </c>
      <c r="O5126">
        <v>1.7</v>
      </c>
      <c r="R5126" t="str">
        <f t="shared" si="2413"/>
        <v>BANCO CORA (102)</v>
      </c>
      <c r="S5126">
        <v>2563</v>
      </c>
      <c r="T5126">
        <v>2083</v>
      </c>
      <c r="U5126" t="s">
        <v>19</v>
      </c>
    </row>
    <row r="5127" spans="1:21">
      <c r="A5127" t="str">
        <f t="shared" si="2407"/>
        <v>04/09/2025</v>
      </c>
      <c r="B5127" t="str">
        <f t="shared" si="2410"/>
        <v>SAÍDA</v>
      </c>
      <c r="C5127" t="str">
        <f t="shared" si="2414"/>
        <v>CONHECIMENTO</v>
      </c>
      <c r="D5127" t="str">
        <f t="shared" si="2415"/>
        <v>040925170</v>
      </c>
      <c r="E5127" t="str">
        <f t="shared" si="2406"/>
        <v>COM</v>
      </c>
      <c r="F5127" t="str">
        <f t="shared" si="2416"/>
        <v>CORA SOCIEDADE DE CREDITO, FINANCIAMENTO E INVESTIMENTO (20035)</v>
      </c>
      <c r="G5127" t="str">
        <f t="shared" si="2417"/>
        <v>TAXA BOLETO COMPENSADO</v>
      </c>
      <c r="H5127" t="str">
        <f t="shared" si="2412"/>
        <v>04/09/2025</v>
      </c>
      <c r="I5127" t="str">
        <f t="shared" si="2418"/>
        <v>04/09/2025</v>
      </c>
      <c r="J5127" t="str">
        <f t="shared" si="2408"/>
        <v>04/09/2025</v>
      </c>
      <c r="M5127">
        <v>401</v>
      </c>
      <c r="N5127" t="str">
        <f t="shared" si="2419"/>
        <v>IOF/JUROS/DESP.FINANCEIRA</v>
      </c>
      <c r="P5127">
        <v>1.7</v>
      </c>
      <c r="Q5127" t="str">
        <f>"CORA SOCIEDADE DE CREDITO, FINANCIAMENTO E INVESTIMENTO (20035)"</f>
        <v>CORA SOCIEDADE DE CREDITO, FINANCIAMENTO E INVESTIMENTO (20035)</v>
      </c>
      <c r="R5127" t="str">
        <f t="shared" si="2413"/>
        <v>BANCO CORA (102)</v>
      </c>
      <c r="S5127">
        <v>2563</v>
      </c>
      <c r="T5127">
        <v>2083</v>
      </c>
      <c r="U5127" t="s">
        <v>19</v>
      </c>
    </row>
    <row r="5128" spans="1:21">
      <c r="A5128" t="str">
        <f t="shared" si="2407"/>
        <v>04/09/2025</v>
      </c>
      <c r="B5128" t="str">
        <f t="shared" si="2410"/>
        <v>SAÍDA</v>
      </c>
      <c r="C5128" t="str">
        <f t="shared" si="2414"/>
        <v>CONHECIMENTO</v>
      </c>
      <c r="D5128" t="str">
        <f t="shared" si="2415"/>
        <v>040925170</v>
      </c>
      <c r="E5128" t="str">
        <f t="shared" si="2406"/>
        <v>COM</v>
      </c>
      <c r="F5128" t="str">
        <f t="shared" si="2416"/>
        <v>CORA SOCIEDADE DE CREDITO, FINANCIAMENTO E INVESTIMENTO (20035)</v>
      </c>
      <c r="G5128" t="str">
        <f t="shared" si="2417"/>
        <v>TAXA BOLETO COMPENSADO</v>
      </c>
      <c r="H5128" t="str">
        <f t="shared" si="2412"/>
        <v>04/09/2025</v>
      </c>
      <c r="I5128" t="str">
        <f t="shared" si="2418"/>
        <v>04/09/2025</v>
      </c>
      <c r="J5128" t="str">
        <f t="shared" si="2408"/>
        <v>04/09/2025</v>
      </c>
      <c r="K5128">
        <v>1.7</v>
      </c>
      <c r="L5128">
        <v>1.7</v>
      </c>
      <c r="M5128">
        <v>401</v>
      </c>
      <c r="N5128" t="str">
        <f t="shared" si="2419"/>
        <v>IOF/JUROS/DESP.FINANCEIRA</v>
      </c>
      <c r="O5128">
        <v>1.7</v>
      </c>
      <c r="R5128" t="str">
        <f t="shared" si="2413"/>
        <v>BANCO CORA (102)</v>
      </c>
      <c r="S5128">
        <v>2564</v>
      </c>
      <c r="T5128">
        <v>2084</v>
      </c>
      <c r="U5128" t="s">
        <v>19</v>
      </c>
    </row>
    <row r="5129" spans="1:21">
      <c r="A5129" t="str">
        <f t="shared" si="2407"/>
        <v>04/09/2025</v>
      </c>
      <c r="B5129" t="str">
        <f t="shared" si="2410"/>
        <v>SAÍDA</v>
      </c>
      <c r="C5129" t="str">
        <f t="shared" si="2414"/>
        <v>CONHECIMENTO</v>
      </c>
      <c r="D5129" t="str">
        <f t="shared" si="2415"/>
        <v>040925170</v>
      </c>
      <c r="E5129" t="str">
        <f t="shared" si="2406"/>
        <v>COM</v>
      </c>
      <c r="F5129" t="str">
        <f t="shared" si="2416"/>
        <v>CORA SOCIEDADE DE CREDITO, FINANCIAMENTO E INVESTIMENTO (20035)</v>
      </c>
      <c r="G5129" t="str">
        <f t="shared" si="2417"/>
        <v>TAXA BOLETO COMPENSADO</v>
      </c>
      <c r="H5129" t="str">
        <f t="shared" si="2412"/>
        <v>04/09/2025</v>
      </c>
      <c r="I5129" t="str">
        <f t="shared" si="2418"/>
        <v>04/09/2025</v>
      </c>
      <c r="J5129" t="str">
        <f t="shared" si="2408"/>
        <v>04/09/2025</v>
      </c>
      <c r="M5129">
        <v>401</v>
      </c>
      <c r="N5129" t="str">
        <f t="shared" si="2419"/>
        <v>IOF/JUROS/DESP.FINANCEIRA</v>
      </c>
      <c r="P5129">
        <v>1.7</v>
      </c>
      <c r="Q5129" t="str">
        <f>"CORA SOCIEDADE DE CREDITO, FINANCIAMENTO E INVESTIMENTO (20035)"</f>
        <v>CORA SOCIEDADE DE CREDITO, FINANCIAMENTO E INVESTIMENTO (20035)</v>
      </c>
      <c r="R5129" t="str">
        <f t="shared" si="2413"/>
        <v>BANCO CORA (102)</v>
      </c>
      <c r="S5129">
        <v>2564</v>
      </c>
      <c r="T5129">
        <v>2084</v>
      </c>
      <c r="U5129" t="s">
        <v>19</v>
      </c>
    </row>
    <row r="5130" spans="1:21">
      <c r="A5130" t="str">
        <f t="shared" si="2407"/>
        <v>04/09/2025</v>
      </c>
      <c r="B5130" t="str">
        <f t="shared" si="2410"/>
        <v>SAÍDA</v>
      </c>
      <c r="C5130" t="str">
        <f t="shared" si="2414"/>
        <v>CONHECIMENTO</v>
      </c>
      <c r="D5130" t="str">
        <f t="shared" si="2415"/>
        <v>040925170</v>
      </c>
      <c r="E5130" t="str">
        <f t="shared" si="2406"/>
        <v>COM</v>
      </c>
      <c r="F5130" t="str">
        <f t="shared" si="2416"/>
        <v>CORA SOCIEDADE DE CREDITO, FINANCIAMENTO E INVESTIMENTO (20035)</v>
      </c>
      <c r="G5130" t="str">
        <f t="shared" si="2417"/>
        <v>TAXA BOLETO COMPENSADO</v>
      </c>
      <c r="H5130" t="str">
        <f t="shared" si="2412"/>
        <v>04/09/2025</v>
      </c>
      <c r="I5130" t="str">
        <f t="shared" si="2418"/>
        <v>04/09/2025</v>
      </c>
      <c r="J5130" t="str">
        <f t="shared" si="2408"/>
        <v>04/09/2025</v>
      </c>
      <c r="K5130">
        <v>1.7</v>
      </c>
      <c r="L5130">
        <v>1.7</v>
      </c>
      <c r="M5130">
        <v>401</v>
      </c>
      <c r="N5130" t="str">
        <f t="shared" si="2419"/>
        <v>IOF/JUROS/DESP.FINANCEIRA</v>
      </c>
      <c r="O5130">
        <v>1.7</v>
      </c>
      <c r="R5130" t="str">
        <f t="shared" si="2413"/>
        <v>BANCO CORA (102)</v>
      </c>
      <c r="S5130">
        <v>2565</v>
      </c>
      <c r="T5130">
        <v>2085</v>
      </c>
      <c r="U5130" t="s">
        <v>19</v>
      </c>
    </row>
    <row r="5131" spans="1:21">
      <c r="A5131" t="str">
        <f t="shared" si="2407"/>
        <v>04/09/2025</v>
      </c>
      <c r="B5131" t="str">
        <f t="shared" si="2410"/>
        <v>SAÍDA</v>
      </c>
      <c r="C5131" t="str">
        <f t="shared" si="2414"/>
        <v>CONHECIMENTO</v>
      </c>
      <c r="D5131" t="str">
        <f t="shared" si="2415"/>
        <v>040925170</v>
      </c>
      <c r="E5131" t="str">
        <f t="shared" si="2406"/>
        <v>COM</v>
      </c>
      <c r="F5131" t="str">
        <f t="shared" si="2416"/>
        <v>CORA SOCIEDADE DE CREDITO, FINANCIAMENTO E INVESTIMENTO (20035)</v>
      </c>
      <c r="G5131" t="str">
        <f t="shared" si="2417"/>
        <v>TAXA BOLETO COMPENSADO</v>
      </c>
      <c r="H5131" t="str">
        <f t="shared" si="2412"/>
        <v>04/09/2025</v>
      </c>
      <c r="I5131" t="str">
        <f t="shared" si="2418"/>
        <v>04/09/2025</v>
      </c>
      <c r="J5131" t="str">
        <f t="shared" si="2408"/>
        <v>04/09/2025</v>
      </c>
      <c r="M5131">
        <v>401</v>
      </c>
      <c r="N5131" t="str">
        <f t="shared" si="2419"/>
        <v>IOF/JUROS/DESP.FINANCEIRA</v>
      </c>
      <c r="P5131">
        <v>1.7</v>
      </c>
      <c r="Q5131" t="str">
        <f>"CORA SOCIEDADE DE CREDITO, FINANCIAMENTO E INVESTIMENTO (20035)"</f>
        <v>CORA SOCIEDADE DE CREDITO, FINANCIAMENTO E INVESTIMENTO (20035)</v>
      </c>
      <c r="R5131" t="str">
        <f t="shared" si="2413"/>
        <v>BANCO CORA (102)</v>
      </c>
      <c r="S5131">
        <v>2565</v>
      </c>
      <c r="T5131">
        <v>2085</v>
      </c>
      <c r="U5131" t="s">
        <v>19</v>
      </c>
    </row>
    <row r="5132" spans="1:21">
      <c r="A5132" t="str">
        <f t="shared" si="2407"/>
        <v>04/09/2025</v>
      </c>
      <c r="B5132" t="str">
        <f t="shared" si="2410"/>
        <v>SAÍDA</v>
      </c>
      <c r="C5132" t="str">
        <f t="shared" si="2414"/>
        <v>CONHECIMENTO</v>
      </c>
      <c r="D5132" t="str">
        <f t="shared" si="2415"/>
        <v>040925170</v>
      </c>
      <c r="E5132" t="str">
        <f t="shared" si="2406"/>
        <v>COM</v>
      </c>
      <c r="F5132" t="str">
        <f t="shared" si="2416"/>
        <v>CORA SOCIEDADE DE CREDITO, FINANCIAMENTO E INVESTIMENTO (20035)</v>
      </c>
      <c r="G5132" t="str">
        <f t="shared" si="2417"/>
        <v>TAXA BOLETO COMPENSADO</v>
      </c>
      <c r="H5132" t="str">
        <f t="shared" si="2412"/>
        <v>04/09/2025</v>
      </c>
      <c r="I5132" t="str">
        <f t="shared" si="2418"/>
        <v>04/09/2025</v>
      </c>
      <c r="J5132" t="str">
        <f t="shared" si="2408"/>
        <v>04/09/2025</v>
      </c>
      <c r="K5132">
        <v>1.7</v>
      </c>
      <c r="L5132">
        <v>1.7</v>
      </c>
      <c r="M5132">
        <v>401</v>
      </c>
      <c r="N5132" t="str">
        <f t="shared" si="2419"/>
        <v>IOF/JUROS/DESP.FINANCEIRA</v>
      </c>
      <c r="O5132">
        <v>1.7</v>
      </c>
      <c r="R5132" t="str">
        <f t="shared" si="2413"/>
        <v>BANCO CORA (102)</v>
      </c>
      <c r="S5132">
        <v>2566</v>
      </c>
      <c r="T5132">
        <v>2086</v>
      </c>
      <c r="U5132" t="s">
        <v>19</v>
      </c>
    </row>
    <row r="5133" spans="1:21">
      <c r="A5133" t="str">
        <f t="shared" ref="A5133:A5143" si="2420">("04/09/2025")</f>
        <v>04/09/2025</v>
      </c>
      <c r="B5133" t="str">
        <f t="shared" si="2410"/>
        <v>SAÍDA</v>
      </c>
      <c r="C5133" t="str">
        <f t="shared" si="2414"/>
        <v>CONHECIMENTO</v>
      </c>
      <c r="D5133" t="str">
        <f t="shared" si="2415"/>
        <v>040925170</v>
      </c>
      <c r="E5133" t="str">
        <f t="shared" si="2406"/>
        <v>COM</v>
      </c>
      <c r="F5133" t="str">
        <f t="shared" si="2416"/>
        <v>CORA SOCIEDADE DE CREDITO, FINANCIAMENTO E INVESTIMENTO (20035)</v>
      </c>
      <c r="G5133" t="str">
        <f t="shared" si="2417"/>
        <v>TAXA BOLETO COMPENSADO</v>
      </c>
      <c r="H5133" t="str">
        <f t="shared" si="2412"/>
        <v>04/09/2025</v>
      </c>
      <c r="I5133" t="str">
        <f t="shared" si="2418"/>
        <v>04/09/2025</v>
      </c>
      <c r="J5133" t="str">
        <f t="shared" si="2408"/>
        <v>04/09/2025</v>
      </c>
      <c r="M5133">
        <v>401</v>
      </c>
      <c r="N5133" t="str">
        <f t="shared" si="2419"/>
        <v>IOF/JUROS/DESP.FINANCEIRA</v>
      </c>
      <c r="P5133">
        <v>1.7</v>
      </c>
      <c r="Q5133" t="str">
        <f>"CORA SOCIEDADE DE CREDITO, FINANCIAMENTO E INVESTIMENTO (20035)"</f>
        <v>CORA SOCIEDADE DE CREDITO, FINANCIAMENTO E INVESTIMENTO (20035)</v>
      </c>
      <c r="R5133" t="str">
        <f t="shared" si="2413"/>
        <v>BANCO CORA (102)</v>
      </c>
      <c r="S5133">
        <v>2566</v>
      </c>
      <c r="T5133">
        <v>2086</v>
      </c>
      <c r="U5133" t="s">
        <v>19</v>
      </c>
    </row>
    <row r="5134" spans="1:21">
      <c r="A5134" t="str">
        <f t="shared" si="2420"/>
        <v>04/09/2025</v>
      </c>
      <c r="B5134" t="str">
        <f t="shared" si="2410"/>
        <v>SAÍDA</v>
      </c>
      <c r="C5134" t="str">
        <f t="shared" si="2414"/>
        <v>CONHECIMENTO</v>
      </c>
      <c r="D5134" t="str">
        <f t="shared" si="2415"/>
        <v>040925170</v>
      </c>
      <c r="E5134" t="str">
        <f t="shared" si="2406"/>
        <v>COM</v>
      </c>
      <c r="F5134" t="str">
        <f t="shared" si="2416"/>
        <v>CORA SOCIEDADE DE CREDITO, FINANCIAMENTO E INVESTIMENTO (20035)</v>
      </c>
      <c r="G5134" t="str">
        <f t="shared" si="2417"/>
        <v>TAXA BOLETO COMPENSADO</v>
      </c>
      <c r="H5134" t="str">
        <f t="shared" si="2412"/>
        <v>04/09/2025</v>
      </c>
      <c r="I5134" t="str">
        <f t="shared" si="2418"/>
        <v>04/09/2025</v>
      </c>
      <c r="J5134" t="str">
        <f t="shared" si="2408"/>
        <v>04/09/2025</v>
      </c>
      <c r="K5134">
        <v>1.7</v>
      </c>
      <c r="L5134">
        <v>1.7</v>
      </c>
      <c r="M5134">
        <v>401</v>
      </c>
      <c r="N5134" t="str">
        <f t="shared" si="2419"/>
        <v>IOF/JUROS/DESP.FINANCEIRA</v>
      </c>
      <c r="O5134">
        <v>1.7</v>
      </c>
      <c r="R5134" t="str">
        <f t="shared" si="2413"/>
        <v>BANCO CORA (102)</v>
      </c>
      <c r="S5134">
        <v>2567</v>
      </c>
      <c r="T5134">
        <v>2087</v>
      </c>
      <c r="U5134" t="s">
        <v>19</v>
      </c>
    </row>
    <row r="5135" spans="1:21">
      <c r="A5135" t="str">
        <f t="shared" si="2420"/>
        <v>04/09/2025</v>
      </c>
      <c r="B5135" t="str">
        <f t="shared" si="2410"/>
        <v>SAÍDA</v>
      </c>
      <c r="C5135" t="str">
        <f t="shared" si="2414"/>
        <v>CONHECIMENTO</v>
      </c>
      <c r="D5135" t="str">
        <f t="shared" si="2415"/>
        <v>040925170</v>
      </c>
      <c r="E5135" t="str">
        <f t="shared" si="2406"/>
        <v>COM</v>
      </c>
      <c r="F5135" t="str">
        <f t="shared" si="2416"/>
        <v>CORA SOCIEDADE DE CREDITO, FINANCIAMENTO E INVESTIMENTO (20035)</v>
      </c>
      <c r="G5135" t="str">
        <f t="shared" si="2417"/>
        <v>TAXA BOLETO COMPENSADO</v>
      </c>
      <c r="H5135" t="str">
        <f t="shared" si="2412"/>
        <v>04/09/2025</v>
      </c>
      <c r="I5135" t="str">
        <f t="shared" si="2418"/>
        <v>04/09/2025</v>
      </c>
      <c r="J5135" t="str">
        <f t="shared" ref="J5135:J5143" si="2421">("04/09/2025")</f>
        <v>04/09/2025</v>
      </c>
      <c r="M5135">
        <v>401</v>
      </c>
      <c r="N5135" t="str">
        <f t="shared" si="2419"/>
        <v>IOF/JUROS/DESP.FINANCEIRA</v>
      </c>
      <c r="P5135">
        <v>1.7</v>
      </c>
      <c r="Q5135" t="str">
        <f>"CORA SOCIEDADE DE CREDITO, FINANCIAMENTO E INVESTIMENTO (20035)"</f>
        <v>CORA SOCIEDADE DE CREDITO, FINANCIAMENTO E INVESTIMENTO (20035)</v>
      </c>
      <c r="R5135" t="str">
        <f t="shared" si="2413"/>
        <v>BANCO CORA (102)</v>
      </c>
      <c r="S5135">
        <v>2567</v>
      </c>
      <c r="T5135">
        <v>2087</v>
      </c>
      <c r="U5135" t="s">
        <v>19</v>
      </c>
    </row>
    <row r="5136" spans="1:21">
      <c r="A5136" t="str">
        <f t="shared" si="2420"/>
        <v>04/09/2025</v>
      </c>
      <c r="B5136" t="str">
        <f t="shared" si="2410"/>
        <v>SAÍDA</v>
      </c>
      <c r="C5136" t="str">
        <f t="shared" si="2414"/>
        <v>CONHECIMENTO</v>
      </c>
      <c r="D5136" t="str">
        <f t="shared" si="2415"/>
        <v>040925170</v>
      </c>
      <c r="E5136" t="str">
        <f t="shared" si="2406"/>
        <v>COM</v>
      </c>
      <c r="F5136" t="str">
        <f t="shared" si="2416"/>
        <v>CORA SOCIEDADE DE CREDITO, FINANCIAMENTO E INVESTIMENTO (20035)</v>
      </c>
      <c r="G5136" t="str">
        <f t="shared" si="2417"/>
        <v>TAXA BOLETO COMPENSADO</v>
      </c>
      <c r="H5136" t="str">
        <f t="shared" si="2412"/>
        <v>04/09/2025</v>
      </c>
      <c r="I5136" t="str">
        <f t="shared" si="2418"/>
        <v>04/09/2025</v>
      </c>
      <c r="J5136" t="str">
        <f t="shared" si="2421"/>
        <v>04/09/2025</v>
      </c>
      <c r="K5136">
        <v>1.7</v>
      </c>
      <c r="L5136">
        <v>1.7</v>
      </c>
      <c r="M5136">
        <v>401</v>
      </c>
      <c r="N5136" t="str">
        <f t="shared" si="2419"/>
        <v>IOF/JUROS/DESP.FINANCEIRA</v>
      </c>
      <c r="O5136">
        <v>1.7</v>
      </c>
      <c r="R5136" t="str">
        <f t="shared" si="2413"/>
        <v>BANCO CORA (102)</v>
      </c>
      <c r="S5136">
        <v>2568</v>
      </c>
      <c r="T5136">
        <v>2088</v>
      </c>
      <c r="U5136" t="s">
        <v>19</v>
      </c>
    </row>
    <row r="5137" spans="1:21">
      <c r="A5137" t="str">
        <f t="shared" si="2420"/>
        <v>04/09/2025</v>
      </c>
      <c r="B5137" t="str">
        <f t="shared" si="2410"/>
        <v>SAÍDA</v>
      </c>
      <c r="C5137" t="str">
        <f t="shared" si="2414"/>
        <v>CONHECIMENTO</v>
      </c>
      <c r="D5137" t="str">
        <f t="shared" si="2415"/>
        <v>040925170</v>
      </c>
      <c r="E5137" t="str">
        <f t="shared" si="2406"/>
        <v>COM</v>
      </c>
      <c r="F5137" t="str">
        <f t="shared" si="2416"/>
        <v>CORA SOCIEDADE DE CREDITO, FINANCIAMENTO E INVESTIMENTO (20035)</v>
      </c>
      <c r="G5137" t="str">
        <f t="shared" si="2417"/>
        <v>TAXA BOLETO COMPENSADO</v>
      </c>
      <c r="H5137" t="str">
        <f t="shared" si="2412"/>
        <v>04/09/2025</v>
      </c>
      <c r="I5137" t="str">
        <f t="shared" si="2418"/>
        <v>04/09/2025</v>
      </c>
      <c r="J5137" t="str">
        <f t="shared" si="2421"/>
        <v>04/09/2025</v>
      </c>
      <c r="M5137">
        <v>401</v>
      </c>
      <c r="N5137" t="str">
        <f t="shared" si="2419"/>
        <v>IOF/JUROS/DESP.FINANCEIRA</v>
      </c>
      <c r="P5137">
        <v>1.7</v>
      </c>
      <c r="Q5137" t="str">
        <f>"CORA SOCIEDADE DE CREDITO, FINANCIAMENTO E INVESTIMENTO (20035)"</f>
        <v>CORA SOCIEDADE DE CREDITO, FINANCIAMENTO E INVESTIMENTO (20035)</v>
      </c>
      <c r="R5137" t="str">
        <f t="shared" si="2413"/>
        <v>BANCO CORA (102)</v>
      </c>
      <c r="S5137">
        <v>2568</v>
      </c>
      <c r="T5137">
        <v>2088</v>
      </c>
      <c r="U5137" t="s">
        <v>19</v>
      </c>
    </row>
    <row r="5138" spans="1:21">
      <c r="A5138" t="str">
        <f t="shared" si="2420"/>
        <v>04/09/2025</v>
      </c>
      <c r="B5138" t="str">
        <f t="shared" si="2410"/>
        <v>SAÍDA</v>
      </c>
      <c r="C5138" t="str">
        <f t="shared" si="2414"/>
        <v>CONHECIMENTO</v>
      </c>
      <c r="D5138" t="str">
        <f t="shared" si="2415"/>
        <v>040925170</v>
      </c>
      <c r="E5138" t="str">
        <f t="shared" si="2406"/>
        <v>COM</v>
      </c>
      <c r="F5138" t="str">
        <f t="shared" si="2416"/>
        <v>CORA SOCIEDADE DE CREDITO, FINANCIAMENTO E INVESTIMENTO (20035)</v>
      </c>
      <c r="G5138" t="str">
        <f t="shared" si="2417"/>
        <v>TAXA BOLETO COMPENSADO</v>
      </c>
      <c r="H5138" t="str">
        <f t="shared" si="2412"/>
        <v>04/09/2025</v>
      </c>
      <c r="I5138" t="str">
        <f t="shared" si="2418"/>
        <v>04/09/2025</v>
      </c>
      <c r="J5138" t="str">
        <f t="shared" si="2421"/>
        <v>04/09/2025</v>
      </c>
      <c r="K5138">
        <v>1.7</v>
      </c>
      <c r="L5138">
        <v>1.7</v>
      </c>
      <c r="M5138">
        <v>401</v>
      </c>
      <c r="N5138" t="str">
        <f t="shared" si="2419"/>
        <v>IOF/JUROS/DESP.FINANCEIRA</v>
      </c>
      <c r="O5138">
        <v>1.7</v>
      </c>
      <c r="R5138" t="str">
        <f t="shared" si="2413"/>
        <v>BANCO CORA (102)</v>
      </c>
      <c r="S5138">
        <v>2569</v>
      </c>
      <c r="T5138">
        <v>2089</v>
      </c>
      <c r="U5138" t="s">
        <v>19</v>
      </c>
    </row>
    <row r="5139" spans="1:21">
      <c r="A5139" t="str">
        <f t="shared" si="2420"/>
        <v>04/09/2025</v>
      </c>
      <c r="B5139" t="str">
        <f t="shared" si="2410"/>
        <v>SAÍDA</v>
      </c>
      <c r="C5139" t="str">
        <f t="shared" si="2414"/>
        <v>CONHECIMENTO</v>
      </c>
      <c r="D5139" t="str">
        <f t="shared" si="2415"/>
        <v>040925170</v>
      </c>
      <c r="E5139" t="str">
        <f t="shared" si="2406"/>
        <v>COM</v>
      </c>
      <c r="F5139" t="str">
        <f t="shared" si="2416"/>
        <v>CORA SOCIEDADE DE CREDITO, FINANCIAMENTO E INVESTIMENTO (20035)</v>
      </c>
      <c r="G5139" t="str">
        <f t="shared" si="2417"/>
        <v>TAXA BOLETO COMPENSADO</v>
      </c>
      <c r="H5139" t="str">
        <f t="shared" si="2412"/>
        <v>04/09/2025</v>
      </c>
      <c r="I5139" t="str">
        <f t="shared" si="2418"/>
        <v>04/09/2025</v>
      </c>
      <c r="J5139" t="str">
        <f t="shared" si="2421"/>
        <v>04/09/2025</v>
      </c>
      <c r="M5139">
        <v>401</v>
      </c>
      <c r="N5139" t="str">
        <f t="shared" si="2419"/>
        <v>IOF/JUROS/DESP.FINANCEIRA</v>
      </c>
      <c r="P5139">
        <v>1.7</v>
      </c>
      <c r="Q5139" t="str">
        <f>"CORA SOCIEDADE DE CREDITO, FINANCIAMENTO E INVESTIMENTO (20035)"</f>
        <v>CORA SOCIEDADE DE CREDITO, FINANCIAMENTO E INVESTIMENTO (20035)</v>
      </c>
      <c r="R5139" t="str">
        <f t="shared" si="2413"/>
        <v>BANCO CORA (102)</v>
      </c>
      <c r="S5139">
        <v>2569</v>
      </c>
      <c r="T5139">
        <v>2089</v>
      </c>
      <c r="U5139" t="s">
        <v>19</v>
      </c>
    </row>
    <row r="5140" spans="1:21">
      <c r="A5140" t="str">
        <f t="shared" si="2420"/>
        <v>04/09/2025</v>
      </c>
      <c r="B5140" t="str">
        <f t="shared" si="2410"/>
        <v>SAÍDA</v>
      </c>
      <c r="C5140" t="str">
        <f t="shared" si="2414"/>
        <v>CONHECIMENTO</v>
      </c>
      <c r="D5140" t="str">
        <f t="shared" si="2415"/>
        <v>040925170</v>
      </c>
      <c r="E5140" t="str">
        <f t="shared" si="2406"/>
        <v>COM</v>
      </c>
      <c r="F5140" t="str">
        <f t="shared" si="2416"/>
        <v>CORA SOCIEDADE DE CREDITO, FINANCIAMENTO E INVESTIMENTO (20035)</v>
      </c>
      <c r="G5140" t="str">
        <f t="shared" si="2417"/>
        <v>TAXA BOLETO COMPENSADO</v>
      </c>
      <c r="H5140" t="str">
        <f t="shared" si="2412"/>
        <v>04/09/2025</v>
      </c>
      <c r="I5140" t="str">
        <f t="shared" si="2418"/>
        <v>04/09/2025</v>
      </c>
      <c r="J5140" t="str">
        <f t="shared" si="2421"/>
        <v>04/09/2025</v>
      </c>
      <c r="K5140">
        <v>1.7</v>
      </c>
      <c r="L5140">
        <v>1.7</v>
      </c>
      <c r="M5140">
        <v>401</v>
      </c>
      <c r="N5140" t="str">
        <f t="shared" si="2419"/>
        <v>IOF/JUROS/DESP.FINANCEIRA</v>
      </c>
      <c r="O5140">
        <v>1.7</v>
      </c>
      <c r="R5140" t="str">
        <f t="shared" si="2413"/>
        <v>BANCO CORA (102)</v>
      </c>
      <c r="S5140">
        <v>2570</v>
      </c>
      <c r="T5140">
        <v>2090</v>
      </c>
      <c r="U5140" t="s">
        <v>19</v>
      </c>
    </row>
    <row r="5141" spans="1:21">
      <c r="A5141" t="str">
        <f t="shared" si="2420"/>
        <v>04/09/2025</v>
      </c>
      <c r="B5141" t="str">
        <f t="shared" si="2410"/>
        <v>SAÍDA</v>
      </c>
      <c r="C5141" t="str">
        <f t="shared" si="2414"/>
        <v>CONHECIMENTO</v>
      </c>
      <c r="D5141" t="str">
        <f t="shared" si="2415"/>
        <v>040925170</v>
      </c>
      <c r="E5141" t="str">
        <f t="shared" si="2406"/>
        <v>COM</v>
      </c>
      <c r="F5141" t="str">
        <f t="shared" si="2416"/>
        <v>CORA SOCIEDADE DE CREDITO, FINANCIAMENTO E INVESTIMENTO (20035)</v>
      </c>
      <c r="G5141" t="str">
        <f t="shared" si="2417"/>
        <v>TAXA BOLETO COMPENSADO</v>
      </c>
      <c r="H5141" t="str">
        <f t="shared" si="2412"/>
        <v>04/09/2025</v>
      </c>
      <c r="I5141" t="str">
        <f t="shared" si="2418"/>
        <v>04/09/2025</v>
      </c>
      <c r="J5141" t="str">
        <f t="shared" si="2421"/>
        <v>04/09/2025</v>
      </c>
      <c r="M5141">
        <v>401</v>
      </c>
      <c r="N5141" t="str">
        <f t="shared" si="2419"/>
        <v>IOF/JUROS/DESP.FINANCEIRA</v>
      </c>
      <c r="P5141">
        <v>1.7</v>
      </c>
      <c r="Q5141" t="str">
        <f>"CORA SOCIEDADE DE CREDITO, FINANCIAMENTO E INVESTIMENTO (20035)"</f>
        <v>CORA SOCIEDADE DE CREDITO, FINANCIAMENTO E INVESTIMENTO (20035)</v>
      </c>
      <c r="R5141" t="str">
        <f t="shared" si="2413"/>
        <v>BANCO CORA (102)</v>
      </c>
      <c r="S5141">
        <v>2570</v>
      </c>
      <c r="T5141">
        <v>2090</v>
      </c>
      <c r="U5141" t="s">
        <v>19</v>
      </c>
    </row>
    <row r="5142" spans="1:21">
      <c r="A5142" t="str">
        <f t="shared" si="2420"/>
        <v>04/09/2025</v>
      </c>
      <c r="B5142" t="str">
        <f t="shared" si="2410"/>
        <v>SAÍDA</v>
      </c>
      <c r="C5142" t="str">
        <f t="shared" si="2414"/>
        <v>CONHECIMENTO</v>
      </c>
      <c r="D5142" t="str">
        <f>"040925050"</f>
        <v>040925050</v>
      </c>
      <c r="E5142" t="str">
        <f t="shared" si="2406"/>
        <v>COM</v>
      </c>
      <c r="F5142" t="str">
        <f t="shared" si="2416"/>
        <v>CORA SOCIEDADE DE CREDITO, FINANCIAMENTO E INVESTIMENTO (20035)</v>
      </c>
      <c r="G5142" t="str">
        <f>"TAXA DE PIX VIA API"</f>
        <v>TAXA DE PIX VIA API</v>
      </c>
      <c r="H5142" t="str">
        <f>("04/09/2026")</f>
        <v>04/09/2026</v>
      </c>
      <c r="I5142" t="str">
        <f t="shared" si="2418"/>
        <v>04/09/2025</v>
      </c>
      <c r="J5142" t="str">
        <f t="shared" si="2421"/>
        <v>04/09/2025</v>
      </c>
      <c r="K5142">
        <v>0.5</v>
      </c>
      <c r="L5142">
        <v>0.5</v>
      </c>
      <c r="M5142">
        <v>401</v>
      </c>
      <c r="N5142" t="str">
        <f t="shared" si="2419"/>
        <v>IOF/JUROS/DESP.FINANCEIRA</v>
      </c>
      <c r="O5142">
        <v>0.5</v>
      </c>
      <c r="R5142" t="str">
        <f t="shared" si="2413"/>
        <v>BANCO CORA (102)</v>
      </c>
      <c r="S5142">
        <v>2571</v>
      </c>
      <c r="T5142">
        <v>2091</v>
      </c>
      <c r="U5142" t="s">
        <v>19</v>
      </c>
    </row>
    <row r="5143" spans="1:21">
      <c r="A5143" t="str">
        <f t="shared" si="2420"/>
        <v>04/09/2025</v>
      </c>
      <c r="B5143" t="str">
        <f t="shared" si="2410"/>
        <v>SAÍDA</v>
      </c>
      <c r="C5143" t="str">
        <f t="shared" si="2414"/>
        <v>CONHECIMENTO</v>
      </c>
      <c r="D5143" t="str">
        <f>"040925050"</f>
        <v>040925050</v>
      </c>
      <c r="E5143" t="str">
        <f t="shared" si="2406"/>
        <v>COM</v>
      </c>
      <c r="F5143" t="str">
        <f t="shared" si="2416"/>
        <v>CORA SOCIEDADE DE CREDITO, FINANCIAMENTO E INVESTIMENTO (20035)</v>
      </c>
      <c r="G5143" t="str">
        <f>"TAXA DE PIX VIA API"</f>
        <v>TAXA DE PIX VIA API</v>
      </c>
      <c r="H5143" t="str">
        <f>("04/09/2026")</f>
        <v>04/09/2026</v>
      </c>
      <c r="I5143" t="str">
        <f t="shared" si="2418"/>
        <v>04/09/2025</v>
      </c>
      <c r="J5143" t="str">
        <f t="shared" si="2421"/>
        <v>04/09/2025</v>
      </c>
      <c r="M5143">
        <v>401</v>
      </c>
      <c r="N5143" t="str">
        <f t="shared" si="2419"/>
        <v>IOF/JUROS/DESP.FINANCEIRA</v>
      </c>
      <c r="P5143">
        <v>0.5</v>
      </c>
      <c r="Q5143" t="str">
        <f>"CORA SOCIEDADE DE CREDITO, FINANCIAMENTO E INVESTIMENTO (20035)"</f>
        <v>CORA SOCIEDADE DE CREDITO, FINANCIAMENTO E INVESTIMENTO (20035)</v>
      </c>
      <c r="R5143" t="str">
        <f t="shared" si="2413"/>
        <v>BANCO CORA (102)</v>
      </c>
      <c r="S5143">
        <v>2571</v>
      </c>
      <c r="T5143">
        <v>2091</v>
      </c>
      <c r="U5143" t="s">
        <v>19</v>
      </c>
    </row>
    <row r="5144" spans="1:21">
      <c r="A5144" t="str">
        <f t="shared" ref="A5144:A5151" si="2422">("05/09/2025")</f>
        <v>05/09/2025</v>
      </c>
      <c r="B5144" t="str">
        <f>"ENTRADA"</f>
        <v>ENTRADA</v>
      </c>
      <c r="C5144" t="str">
        <f>"NFSE"</f>
        <v>NFSE</v>
      </c>
      <c r="D5144" t="str">
        <f>"3427"</f>
        <v>3427</v>
      </c>
      <c r="E5144" t="str">
        <f t="shared" si="2406"/>
        <v>COM</v>
      </c>
      <c r="F5144" t="str">
        <f>"DROGARIA POUPA MINAS (DOIS AMIGOS) 5 (10140)"</f>
        <v>DROGARIA POUPA MINAS (DOIS AMIGOS) 5 (10140)</v>
      </c>
      <c r="G5144" t="str">
        <f>"Serv.Prest. 25/08/2025 a 31/08/2025 - RPS: 1192 - NFSe: 3427"</f>
        <v>Serv.Prest. 25/08/2025 a 31/08/2025 - RPS: 1192 - NFSe: 3427</v>
      </c>
      <c r="H5144" t="str">
        <f>("04/09/2025")</f>
        <v>04/09/2025</v>
      </c>
      <c r="I5144" t="str">
        <f>("02/09/2025")</f>
        <v>02/09/2025</v>
      </c>
      <c r="J5144" t="str">
        <f t="shared" ref="J5144:J5151" si="2423">("05/09/2025")</f>
        <v>05/09/2025</v>
      </c>
      <c r="K5144">
        <v>765</v>
      </c>
      <c r="L5144">
        <v>765</v>
      </c>
      <c r="M5144">
        <v>303</v>
      </c>
      <c r="N5144" t="str">
        <f>"RECEITAS COM ENTREGAS"</f>
        <v>RECEITAS COM ENTREGAS</v>
      </c>
      <c r="O5144">
        <v>765</v>
      </c>
      <c r="R5144" t="str">
        <f>"RECEITAS COM ENTREGAS (303)"</f>
        <v>RECEITAS COM ENTREGAS (303)</v>
      </c>
      <c r="S5144">
        <v>2520</v>
      </c>
      <c r="T5144">
        <v>2022</v>
      </c>
      <c r="U5144" t="s">
        <v>19</v>
      </c>
    </row>
    <row r="5145" spans="1:21">
      <c r="A5145" t="str">
        <f t="shared" si="2422"/>
        <v>05/09/2025</v>
      </c>
      <c r="B5145" t="str">
        <f t="shared" ref="B5145:B5147" si="2424">"ENTRADA"</f>
        <v>ENTRADA</v>
      </c>
      <c r="C5145" t="str">
        <f>"NFSE"</f>
        <v>NFSE</v>
      </c>
      <c r="D5145" t="str">
        <f>"3427"</f>
        <v>3427</v>
      </c>
      <c r="E5145" t="str">
        <f t="shared" si="2406"/>
        <v>COM</v>
      </c>
      <c r="F5145" t="str">
        <f>"DROGARIA POUPA MINAS (DOIS AMIGOS) 5 (10140)"</f>
        <v>DROGARIA POUPA MINAS (DOIS AMIGOS) 5 (10140)</v>
      </c>
      <c r="G5145" t="str">
        <f>"Serv.Prest. 25/08/2025 a 31/08/2025 - RPS: 1192 - NFSe: 3427"</f>
        <v>Serv.Prest. 25/08/2025 a 31/08/2025 - RPS: 1192 - NFSe: 3427</v>
      </c>
      <c r="H5145" t="str">
        <f>("04/09/2025")</f>
        <v>04/09/2025</v>
      </c>
      <c r="I5145" t="str">
        <f>("02/09/2025")</f>
        <v>02/09/2025</v>
      </c>
      <c r="J5145" t="str">
        <f t="shared" si="2423"/>
        <v>05/09/2025</v>
      </c>
      <c r="M5145">
        <v>303</v>
      </c>
      <c r="N5145" t="str">
        <f>"RECEITAS COM ENTREGAS"</f>
        <v>RECEITAS COM ENTREGAS</v>
      </c>
      <c r="P5145">
        <v>765</v>
      </c>
      <c r="Q5145" t="str">
        <f>"DROGARIA POUPA MINAS (ULTRAMINAS) 1 (10181)"</f>
        <v>DROGARIA POUPA MINAS (ULTRAMINAS) 1 (10181)</v>
      </c>
      <c r="R5145" t="str">
        <f>"RECEITAS COM ENTREGAS (303)"</f>
        <v>RECEITAS COM ENTREGAS (303)</v>
      </c>
      <c r="S5145">
        <v>2520</v>
      </c>
      <c r="T5145">
        <v>2022</v>
      </c>
      <c r="U5145" t="s">
        <v>19</v>
      </c>
    </row>
    <row r="5146" spans="1:21">
      <c r="A5146" t="str">
        <f t="shared" si="2422"/>
        <v>05/09/2025</v>
      </c>
      <c r="B5146" t="str">
        <f t="shared" si="2424"/>
        <v>ENTRADA</v>
      </c>
      <c r="C5146" t="str">
        <f>"NFSE"</f>
        <v>NFSE</v>
      </c>
      <c r="D5146" t="str">
        <f>"3428"</f>
        <v>3428</v>
      </c>
      <c r="E5146" t="str">
        <f t="shared" si="2406"/>
        <v>COM</v>
      </c>
      <c r="F5146" t="str">
        <f>"DROGARIA POUPA MINAS (DOIS AMIGOS) 5 (10140)"</f>
        <v>DROGARIA POUPA MINAS (DOIS AMIGOS) 5 (10140)</v>
      </c>
      <c r="G5146" t="str">
        <f>"Serv.Prest. 01/08/2025 a 31/08/2025 - RPS: 1193 - NFSe: 3428"</f>
        <v>Serv.Prest. 01/08/2025 a 31/08/2025 - RPS: 1193 - NFSe: 3428</v>
      </c>
      <c r="H5146" t="str">
        <f>("04/09/2025")</f>
        <v>04/09/2025</v>
      </c>
      <c r="I5146" t="str">
        <f>("02/09/2025")</f>
        <v>02/09/2025</v>
      </c>
      <c r="J5146" t="str">
        <f t="shared" si="2423"/>
        <v>05/09/2025</v>
      </c>
      <c r="K5146">
        <v>544.67999999999995</v>
      </c>
      <c r="L5146">
        <v>544.67999999999995</v>
      </c>
      <c r="M5146">
        <v>303</v>
      </c>
      <c r="N5146" t="str">
        <f>"RECEITAS COM ENTREGAS"</f>
        <v>RECEITAS COM ENTREGAS</v>
      </c>
      <c r="O5146">
        <v>544.67999999999995</v>
      </c>
      <c r="R5146" t="str">
        <f>"RECEITAS COM ENTREGAS (303)"</f>
        <v>RECEITAS COM ENTREGAS (303)</v>
      </c>
      <c r="S5146">
        <v>2521</v>
      </c>
      <c r="T5146">
        <v>2023</v>
      </c>
      <c r="U5146" t="s">
        <v>19</v>
      </c>
    </row>
    <row r="5147" spans="1:21">
      <c r="A5147" t="str">
        <f t="shared" si="2422"/>
        <v>05/09/2025</v>
      </c>
      <c r="B5147" t="str">
        <f t="shared" si="2424"/>
        <v>ENTRADA</v>
      </c>
      <c r="C5147" t="str">
        <f>"NFSE"</f>
        <v>NFSE</v>
      </c>
      <c r="D5147" t="str">
        <f>"3428"</f>
        <v>3428</v>
      </c>
      <c r="E5147" t="str">
        <f t="shared" si="2406"/>
        <v>COM</v>
      </c>
      <c r="F5147" t="str">
        <f>"DROGARIA POUPA MINAS (DOIS AMIGOS) 5 (10140)"</f>
        <v>DROGARIA POUPA MINAS (DOIS AMIGOS) 5 (10140)</v>
      </c>
      <c r="G5147" t="str">
        <f>"Serv.Prest. 01/08/2025 a 31/08/2025 - RPS: 1193 - NFSe: 3428"</f>
        <v>Serv.Prest. 01/08/2025 a 31/08/2025 - RPS: 1193 - NFSe: 3428</v>
      </c>
      <c r="H5147" t="str">
        <f>("04/09/2025")</f>
        <v>04/09/2025</v>
      </c>
      <c r="I5147" t="str">
        <f>("02/09/2025")</f>
        <v>02/09/2025</v>
      </c>
      <c r="J5147" t="str">
        <f t="shared" si="2423"/>
        <v>05/09/2025</v>
      </c>
      <c r="M5147">
        <v>303</v>
      </c>
      <c r="N5147" t="str">
        <f>"RECEITAS COM ENTREGAS"</f>
        <v>RECEITAS COM ENTREGAS</v>
      </c>
      <c r="P5147">
        <v>544.67999999999995</v>
      </c>
      <c r="Q5147" t="str">
        <f>"DROGARIA POUPA MINAS (ULTRAMINAS) 1 (10181)"</f>
        <v>DROGARIA POUPA MINAS (ULTRAMINAS) 1 (10181)</v>
      </c>
      <c r="R5147" t="str">
        <f>"RECEITAS COM ENTREGAS (303)"</f>
        <v>RECEITAS COM ENTREGAS (303)</v>
      </c>
      <c r="S5147">
        <v>2521</v>
      </c>
      <c r="T5147">
        <v>2023</v>
      </c>
      <c r="U5147" t="s">
        <v>19</v>
      </c>
    </row>
    <row r="5148" spans="1:21">
      <c r="A5148" t="str">
        <f t="shared" si="2422"/>
        <v>05/09/2025</v>
      </c>
      <c r="B5148" t="str">
        <f t="shared" ref="B5148:B5162" si="2425">"SAÍDA"</f>
        <v>SAÍDA</v>
      </c>
      <c r="C5148" t="str">
        <f>"BOLETO"</f>
        <v>BOLETO</v>
      </c>
      <c r="D5148" t="str">
        <f>"01"</f>
        <v>01</v>
      </c>
      <c r="E5148" t="str">
        <f t="shared" si="2406"/>
        <v>COM</v>
      </c>
      <c r="F5148" t="str">
        <f>"BANCO DO BRASIL (20001)"</f>
        <v>BANCO DO BRASIL (20001)</v>
      </c>
      <c r="G5148" t="str">
        <f>"EMPRESTIMO FUI TECNOLOGIA"</f>
        <v>EMPRESTIMO FUI TECNOLOGIA</v>
      </c>
      <c r="H5148" t="str">
        <f>("05/09/2025")</f>
        <v>05/09/2025</v>
      </c>
      <c r="I5148" t="str">
        <f>("23/07/2024")</f>
        <v>23/07/2024</v>
      </c>
      <c r="J5148" t="str">
        <f t="shared" si="2423"/>
        <v>05/09/2025</v>
      </c>
      <c r="K5148">
        <v>508.77</v>
      </c>
      <c r="L5148">
        <v>508.77</v>
      </c>
      <c r="M5148">
        <v>114</v>
      </c>
      <c r="N5148" t="str">
        <f>"EMPRESTIMOS"</f>
        <v>EMPRESTIMOS</v>
      </c>
      <c r="O5148">
        <v>508.77</v>
      </c>
      <c r="R5148" t="str">
        <f t="shared" ref="R5148:R5162" si="2426">"BANCO CORA (102)"</f>
        <v>BANCO CORA (102)</v>
      </c>
      <c r="S5148">
        <v>2547</v>
      </c>
      <c r="T5148">
        <v>78</v>
      </c>
      <c r="U5148" t="s">
        <v>19</v>
      </c>
    </row>
    <row r="5149" spans="1:21">
      <c r="A5149" t="str">
        <f t="shared" si="2422"/>
        <v>05/09/2025</v>
      </c>
      <c r="B5149" t="str">
        <f t="shared" si="2425"/>
        <v>SAÍDA</v>
      </c>
      <c r="C5149" t="str">
        <f>"BOLETO"</f>
        <v>BOLETO</v>
      </c>
      <c r="D5149" t="str">
        <f>"01"</f>
        <v>01</v>
      </c>
      <c r="E5149" t="str">
        <f t="shared" si="2406"/>
        <v>COM</v>
      </c>
      <c r="F5149" t="str">
        <f>"BANCO DO BRASIL (20001)"</f>
        <v>BANCO DO BRASIL (20001)</v>
      </c>
      <c r="G5149" t="str">
        <f>"EMPRESTIMO FUI TECNOLOGIA"</f>
        <v>EMPRESTIMO FUI TECNOLOGIA</v>
      </c>
      <c r="H5149" t="str">
        <f>("05/09/2025")</f>
        <v>05/09/2025</v>
      </c>
      <c r="I5149" t="str">
        <f>("23/07/2024")</f>
        <v>23/07/2024</v>
      </c>
      <c r="J5149" t="str">
        <f t="shared" si="2423"/>
        <v>05/09/2025</v>
      </c>
      <c r="M5149">
        <v>114</v>
      </c>
      <c r="N5149" t="str">
        <f>"EMPRESTIMOS"</f>
        <v>EMPRESTIMOS</v>
      </c>
      <c r="P5149">
        <v>508.77</v>
      </c>
      <c r="Q5149" t="str">
        <f>"BANCO DO BRASIL (20001)"</f>
        <v>BANCO DO BRASIL (20001)</v>
      </c>
      <c r="R5149" t="str">
        <f t="shared" si="2426"/>
        <v>BANCO CORA (102)</v>
      </c>
      <c r="S5149">
        <v>2547</v>
      </c>
      <c r="T5149">
        <v>78</v>
      </c>
      <c r="U5149" t="s">
        <v>19</v>
      </c>
    </row>
    <row r="5150" spans="1:21">
      <c r="A5150" t="str">
        <f t="shared" si="2422"/>
        <v>05/09/2025</v>
      </c>
      <c r="B5150" t="str">
        <f t="shared" si="2425"/>
        <v>SAÍDA</v>
      </c>
      <c r="C5150" t="str">
        <f>"CONHECIMENTO"</f>
        <v>CONHECIMENTO</v>
      </c>
      <c r="D5150" t="str">
        <f>"050925170"</f>
        <v>050925170</v>
      </c>
      <c r="E5150" t="str">
        <f t="shared" si="2406"/>
        <v>COM</v>
      </c>
      <c r="F5150" t="str">
        <f>"CORA SOCIEDADE DE CREDITO, FINANCIAMENTO E INVESTIMENTO (20035)"</f>
        <v>CORA SOCIEDADE DE CREDITO, FINANCIAMENTO E INVESTIMENTO (20035)</v>
      </c>
      <c r="G5150" t="str">
        <f>"TAXA BOLETO COMPENSADO"</f>
        <v>TAXA BOLETO COMPENSADO</v>
      </c>
      <c r="H5150" t="str">
        <f>("05/09/2025")</f>
        <v>05/09/2025</v>
      </c>
      <c r="I5150" t="str">
        <f>("05/09/2025")</f>
        <v>05/09/2025</v>
      </c>
      <c r="J5150" t="str">
        <f t="shared" si="2423"/>
        <v>05/09/2025</v>
      </c>
      <c r="K5150">
        <v>1.7</v>
      </c>
      <c r="L5150">
        <v>1.7</v>
      </c>
      <c r="M5150">
        <v>401</v>
      </c>
      <c r="N5150" t="str">
        <f>"IOF/JUROS/DESP.FINANCEIRA"</f>
        <v>IOF/JUROS/DESP.FINANCEIRA</v>
      </c>
      <c r="O5150">
        <v>1.7</v>
      </c>
      <c r="R5150" t="str">
        <f t="shared" si="2426"/>
        <v>BANCO CORA (102)</v>
      </c>
      <c r="S5150">
        <v>2572</v>
      </c>
      <c r="T5150">
        <v>2092</v>
      </c>
      <c r="U5150" t="s">
        <v>19</v>
      </c>
    </row>
    <row r="5151" spans="1:21">
      <c r="A5151" t="str">
        <f t="shared" si="2422"/>
        <v>05/09/2025</v>
      </c>
      <c r="B5151" t="str">
        <f t="shared" si="2425"/>
        <v>SAÍDA</v>
      </c>
      <c r="C5151" t="str">
        <f>"CONHECIMENTO"</f>
        <v>CONHECIMENTO</v>
      </c>
      <c r="D5151" t="str">
        <f>"050925170"</f>
        <v>050925170</v>
      </c>
      <c r="E5151" t="str">
        <f t="shared" si="2406"/>
        <v>COM</v>
      </c>
      <c r="F5151" t="str">
        <f>"CORA SOCIEDADE DE CREDITO, FINANCIAMENTO E INVESTIMENTO (20035)"</f>
        <v>CORA SOCIEDADE DE CREDITO, FINANCIAMENTO E INVESTIMENTO (20035)</v>
      </c>
      <c r="G5151" t="str">
        <f>"TAXA BOLETO COMPENSADO"</f>
        <v>TAXA BOLETO COMPENSADO</v>
      </c>
      <c r="H5151" t="str">
        <f>("05/09/2025")</f>
        <v>05/09/2025</v>
      </c>
      <c r="I5151" t="str">
        <f>("05/09/2025")</f>
        <v>05/09/2025</v>
      </c>
      <c r="J5151" t="str">
        <f t="shared" si="2423"/>
        <v>05/09/2025</v>
      </c>
      <c r="K5151">
        <v>1.7</v>
      </c>
      <c r="L5151">
        <v>1.7</v>
      </c>
      <c r="M5151">
        <v>401</v>
      </c>
      <c r="N5151" t="str">
        <f>"IOF/JUROS/DESP.FINANCEIRA"</f>
        <v>IOF/JUROS/DESP.FINANCEIRA</v>
      </c>
      <c r="O5151">
        <v>1.7</v>
      </c>
      <c r="R5151" t="str">
        <f t="shared" si="2426"/>
        <v>BANCO CORA (102)</v>
      </c>
      <c r="S5151">
        <v>2573</v>
      </c>
      <c r="T5151">
        <v>2093</v>
      </c>
      <c r="U5151" t="s">
        <v>19</v>
      </c>
    </row>
    <row r="5152" spans="1:21">
      <c r="A5152" t="str">
        <f>("08/09/2025")</f>
        <v>08/09/2025</v>
      </c>
      <c r="B5152" t="str">
        <f t="shared" si="2425"/>
        <v>SAÍDA</v>
      </c>
      <c r="C5152" t="str">
        <f>"PIX"</f>
        <v>PIX</v>
      </c>
      <c r="D5152" t="str">
        <f>"08092563996"</f>
        <v>08092563996</v>
      </c>
      <c r="E5152" t="str">
        <f t="shared" si="2406"/>
        <v>COM</v>
      </c>
      <c r="F5152" t="str">
        <f>"VAROESTE COMERCIO DE ARTIGOS DE VESTUARIO LTDA (20116)"</f>
        <v>VAROESTE COMERCIO DE ARTIGOS DE VESTUARIO LTDA (20116)</v>
      </c>
      <c r="G5152" t="str">
        <f>"UNIFORMES EQUIPE INTERNA"</f>
        <v>UNIFORMES EQUIPE INTERNA</v>
      </c>
      <c r="H5152" t="str">
        <f t="shared" ref="H5152:J5154" si="2427">("08/09/2025")</f>
        <v>08/09/2025</v>
      </c>
      <c r="I5152" t="str">
        <f t="shared" si="2427"/>
        <v>08/09/2025</v>
      </c>
      <c r="J5152" t="str">
        <f t="shared" si="2427"/>
        <v>08/09/2025</v>
      </c>
      <c r="K5152">
        <v>639.96</v>
      </c>
      <c r="L5152">
        <v>639.96</v>
      </c>
      <c r="M5152">
        <v>129</v>
      </c>
      <c r="N5152" t="str">
        <f>"DESPESAS COM EVENTOS"</f>
        <v>DESPESAS COM EVENTOS</v>
      </c>
      <c r="O5152">
        <v>639.96</v>
      </c>
      <c r="R5152" t="str">
        <f t="shared" si="2426"/>
        <v>BANCO CORA (102)</v>
      </c>
      <c r="S5152">
        <v>2772</v>
      </c>
      <c r="T5152">
        <v>2341</v>
      </c>
      <c r="U5152" t="s">
        <v>19</v>
      </c>
    </row>
    <row r="5153" spans="1:21">
      <c r="A5153" t="str">
        <f>("08/09/2025")</f>
        <v>08/09/2025</v>
      </c>
      <c r="B5153" t="str">
        <f t="shared" si="2425"/>
        <v>SAÍDA</v>
      </c>
      <c r="C5153" t="str">
        <f>"PIX"</f>
        <v>PIX</v>
      </c>
      <c r="D5153" t="str">
        <f>"08092563996"</f>
        <v>08092563996</v>
      </c>
      <c r="E5153" t="str">
        <f t="shared" si="2406"/>
        <v>COM</v>
      </c>
      <c r="F5153" t="str">
        <f>"VAROESTE COMERCIO DE ARTIGOS DE VESTUARIO LTDA (20116)"</f>
        <v>VAROESTE COMERCIO DE ARTIGOS DE VESTUARIO LTDA (20116)</v>
      </c>
      <c r="G5153" t="str">
        <f>"UNIFORMES EQUIPE INTERNA"</f>
        <v>UNIFORMES EQUIPE INTERNA</v>
      </c>
      <c r="H5153" t="str">
        <f t="shared" si="2427"/>
        <v>08/09/2025</v>
      </c>
      <c r="I5153" t="str">
        <f t="shared" si="2427"/>
        <v>08/09/2025</v>
      </c>
      <c r="J5153" t="str">
        <f t="shared" si="2427"/>
        <v>08/09/2025</v>
      </c>
      <c r="M5153">
        <v>129</v>
      </c>
      <c r="N5153" t="str">
        <f>"DESPESAS COM EVENTOS"</f>
        <v>DESPESAS COM EVENTOS</v>
      </c>
      <c r="P5153">
        <v>639.96</v>
      </c>
      <c r="Q5153" t="str">
        <f>"VAROESTE COMERCIO DE ARTIGOS DE VESTUARIO LTDA (20116)"</f>
        <v>VAROESTE COMERCIO DE ARTIGOS DE VESTUARIO LTDA (20116)</v>
      </c>
      <c r="R5153" t="str">
        <f t="shared" si="2426"/>
        <v>BANCO CORA (102)</v>
      </c>
      <c r="S5153">
        <v>2772</v>
      </c>
      <c r="T5153">
        <v>2341</v>
      </c>
      <c r="U5153" t="s">
        <v>19</v>
      </c>
    </row>
    <row r="5154" spans="1:21">
      <c r="A5154" t="str">
        <f>("08/09/2025")</f>
        <v>08/09/2025</v>
      </c>
      <c r="B5154" t="str">
        <f t="shared" si="2425"/>
        <v>SAÍDA</v>
      </c>
      <c r="C5154" t="str">
        <f>"PIX"</f>
        <v>PIX</v>
      </c>
      <c r="D5154" t="str">
        <f>"0809251198"</f>
        <v>0809251198</v>
      </c>
      <c r="E5154" t="str">
        <f t="shared" si="2406"/>
        <v>COM</v>
      </c>
      <c r="F5154" t="str">
        <f>"FASHION BUSINESS COMERCIO DE ROUPAS LTDA (20117)"</f>
        <v>FASHION BUSINESS COMERCIO DE ROUPAS LTDA (20117)</v>
      </c>
      <c r="G5154" t="str">
        <f>"UNIFORMES EQUIPE INTERNA"</f>
        <v>UNIFORMES EQUIPE INTERNA</v>
      </c>
      <c r="H5154" t="str">
        <f t="shared" si="2427"/>
        <v>08/09/2025</v>
      </c>
      <c r="I5154" t="str">
        <f t="shared" si="2427"/>
        <v>08/09/2025</v>
      </c>
      <c r="J5154" t="str">
        <f t="shared" si="2427"/>
        <v>08/09/2025</v>
      </c>
      <c r="K5154">
        <v>119.8</v>
      </c>
      <c r="L5154">
        <v>119.8</v>
      </c>
      <c r="M5154">
        <v>129</v>
      </c>
      <c r="N5154" t="str">
        <f>"DESPESAS COM EVENTOS"</f>
        <v>DESPESAS COM EVENTOS</v>
      </c>
      <c r="O5154">
        <v>119.8</v>
      </c>
      <c r="R5154" t="str">
        <f t="shared" si="2426"/>
        <v>BANCO CORA (102)</v>
      </c>
      <c r="S5154">
        <v>2783</v>
      </c>
      <c r="T5154">
        <v>2342</v>
      </c>
      <c r="U5154" t="s">
        <v>19</v>
      </c>
    </row>
    <row r="5155" spans="1:21">
      <c r="A5155" t="str">
        <f t="shared" ref="A5155:A5162" si="2428">("09/09/2025")</f>
        <v>09/09/2025</v>
      </c>
      <c r="B5155" t="str">
        <f t="shared" si="2425"/>
        <v>SAÍDA</v>
      </c>
      <c r="C5155" t="str">
        <f>"BOLETO"</f>
        <v>BOLETO</v>
      </c>
      <c r="D5155" t="str">
        <f>"0901"</f>
        <v>0901</v>
      </c>
      <c r="E5155" t="str">
        <f t="shared" si="2406"/>
        <v>COM</v>
      </c>
      <c r="F5155" t="str">
        <f>"CORA SOCIEDADE DE CREDITO, FINANCIAMENTO E INVESTIMENTO (20035)"</f>
        <v>CORA SOCIEDADE DE CREDITO, FINANCIAMENTO E INVESTIMENTO (20035)</v>
      </c>
      <c r="G5155" t="str">
        <f>"DESPESAS COM TARIFAS BANCARIAS"</f>
        <v>DESPESAS COM TARIFAS BANCARIAS</v>
      </c>
      <c r="H5155" t="str">
        <f t="shared" ref="H5155:H5162" si="2429">("09/09/2025")</f>
        <v>09/09/2025</v>
      </c>
      <c r="I5155" t="str">
        <f>("01/01/2025")</f>
        <v>01/01/2025</v>
      </c>
      <c r="J5155" t="str">
        <f t="shared" ref="J5155:J5162" si="2430">("09/09/2025")</f>
        <v>09/09/2025</v>
      </c>
      <c r="K5155">
        <v>44.9</v>
      </c>
      <c r="L5155">
        <v>44.9</v>
      </c>
      <c r="M5155">
        <v>401</v>
      </c>
      <c r="N5155" t="str">
        <f>"IOF/JUROS/DESP.FINANCEIRA"</f>
        <v>IOF/JUROS/DESP.FINANCEIRA</v>
      </c>
      <c r="O5155">
        <v>44.9</v>
      </c>
      <c r="R5155" t="str">
        <f t="shared" si="2426"/>
        <v>BANCO CORA (102)</v>
      </c>
      <c r="S5155">
        <v>2548</v>
      </c>
      <c r="T5155">
        <v>751</v>
      </c>
      <c r="U5155" t="s">
        <v>19</v>
      </c>
    </row>
    <row r="5156" spans="1:21">
      <c r="A5156" t="str">
        <f t="shared" si="2428"/>
        <v>09/09/2025</v>
      </c>
      <c r="B5156" t="str">
        <f t="shared" si="2425"/>
        <v>SAÍDA</v>
      </c>
      <c r="C5156" t="str">
        <f>"BOLETO"</f>
        <v>BOLETO</v>
      </c>
      <c r="D5156" t="str">
        <f>"0901"</f>
        <v>0901</v>
      </c>
      <c r="E5156" t="str">
        <f t="shared" ref="E5156:E5219" si="2431">"COM"</f>
        <v>COM</v>
      </c>
      <c r="F5156" t="str">
        <f>"CORA SOCIEDADE DE CREDITO, FINANCIAMENTO E INVESTIMENTO (20035)"</f>
        <v>CORA SOCIEDADE DE CREDITO, FINANCIAMENTO E INVESTIMENTO (20035)</v>
      </c>
      <c r="G5156" t="str">
        <f>"DESPESAS COM TARIFAS BANCARIAS"</f>
        <v>DESPESAS COM TARIFAS BANCARIAS</v>
      </c>
      <c r="H5156" t="str">
        <f t="shared" si="2429"/>
        <v>09/09/2025</v>
      </c>
      <c r="I5156" t="str">
        <f>("01/01/2025")</f>
        <v>01/01/2025</v>
      </c>
      <c r="J5156" t="str">
        <f t="shared" si="2430"/>
        <v>09/09/2025</v>
      </c>
      <c r="M5156">
        <v>401</v>
      </c>
      <c r="N5156" t="str">
        <f>"IOF/JUROS/DESP.FINANCEIRA"</f>
        <v>IOF/JUROS/DESP.FINANCEIRA</v>
      </c>
      <c r="P5156">
        <v>44.9</v>
      </c>
      <c r="Q5156" t="str">
        <f>"CORA SOCIEDADE DE CREDITO, FINANCIAMENTO E INVESTIMENTO (20035)"</f>
        <v>CORA SOCIEDADE DE CREDITO, FINANCIAMENTO E INVESTIMENTO (20035)</v>
      </c>
      <c r="R5156" t="str">
        <f t="shared" si="2426"/>
        <v>BANCO CORA (102)</v>
      </c>
      <c r="S5156">
        <v>2548</v>
      </c>
      <c r="T5156">
        <v>751</v>
      </c>
      <c r="U5156" t="s">
        <v>19</v>
      </c>
    </row>
    <row r="5157" spans="1:21">
      <c r="A5157" t="str">
        <f t="shared" si="2428"/>
        <v>09/09/2025</v>
      </c>
      <c r="B5157" t="str">
        <f t="shared" si="2425"/>
        <v>SAÍDA</v>
      </c>
      <c r="C5157" t="str">
        <f t="shared" ref="C5157:C5162" si="2432">"PIX"</f>
        <v>PIX</v>
      </c>
      <c r="D5157" t="str">
        <f>"0909255000"</f>
        <v>0909255000</v>
      </c>
      <c r="E5157" t="str">
        <f t="shared" si="2431"/>
        <v>COM</v>
      </c>
      <c r="F5157" t="str">
        <f>"MARCELO REZENDE ARANTES (20014)"</f>
        <v>MARCELO REZENDE ARANTES (20014)</v>
      </c>
      <c r="G5157" t="str">
        <f>"DISTRIBUICAO DE LUCROS"</f>
        <v>DISTRIBUICAO DE LUCROS</v>
      </c>
      <c r="H5157" t="str">
        <f t="shared" si="2429"/>
        <v>09/09/2025</v>
      </c>
      <c r="I5157" t="str">
        <f t="shared" ref="I5157:I5162" si="2433">("09/09/2025")</f>
        <v>09/09/2025</v>
      </c>
      <c r="J5157" t="str">
        <f t="shared" si="2430"/>
        <v>09/09/2025</v>
      </c>
      <c r="K5157">
        <v>5000</v>
      </c>
      <c r="L5157">
        <v>5000</v>
      </c>
      <c r="M5157">
        <v>125</v>
      </c>
      <c r="N5157" t="str">
        <f>"DISTRIBUIÇÃO DE LUCRO"</f>
        <v>DISTRIBUIÇÃO DE LUCRO</v>
      </c>
      <c r="O5157">
        <v>5000</v>
      </c>
      <c r="R5157" t="str">
        <f t="shared" si="2426"/>
        <v>BANCO CORA (102)</v>
      </c>
      <c r="S5157">
        <v>2586</v>
      </c>
      <c r="T5157">
        <v>2168</v>
      </c>
      <c r="U5157" t="s">
        <v>19</v>
      </c>
    </row>
    <row r="5158" spans="1:21">
      <c r="A5158" t="str">
        <f t="shared" si="2428"/>
        <v>09/09/2025</v>
      </c>
      <c r="B5158" t="str">
        <f t="shared" si="2425"/>
        <v>SAÍDA</v>
      </c>
      <c r="C5158" t="str">
        <f t="shared" si="2432"/>
        <v>PIX</v>
      </c>
      <c r="D5158" t="str">
        <f>"0909255000"</f>
        <v>0909255000</v>
      </c>
      <c r="E5158" t="str">
        <f t="shared" si="2431"/>
        <v>COM</v>
      </c>
      <c r="F5158" t="str">
        <f>"MARCELO REZENDE ARANTES (20014)"</f>
        <v>MARCELO REZENDE ARANTES (20014)</v>
      </c>
      <c r="G5158" t="str">
        <f>"DISTRIBUICAO DE LUCROS"</f>
        <v>DISTRIBUICAO DE LUCROS</v>
      </c>
      <c r="H5158" t="str">
        <f t="shared" si="2429"/>
        <v>09/09/2025</v>
      </c>
      <c r="I5158" t="str">
        <f t="shared" si="2433"/>
        <v>09/09/2025</v>
      </c>
      <c r="J5158" t="str">
        <f t="shared" si="2430"/>
        <v>09/09/2025</v>
      </c>
      <c r="M5158">
        <v>125</v>
      </c>
      <c r="N5158" t="str">
        <f>"DISTRIBUIÇÃO DE LUCRO"</f>
        <v>DISTRIBUIÇÃO DE LUCRO</v>
      </c>
      <c r="P5158">
        <v>5000</v>
      </c>
      <c r="Q5158" t="str">
        <f>"MARCELO REZENDE ARANTES (20014)"</f>
        <v>MARCELO REZENDE ARANTES (20014)</v>
      </c>
      <c r="R5158" t="str">
        <f t="shared" si="2426"/>
        <v>BANCO CORA (102)</v>
      </c>
      <c r="S5158">
        <v>2586</v>
      </c>
      <c r="T5158">
        <v>2168</v>
      </c>
      <c r="U5158" t="s">
        <v>19</v>
      </c>
    </row>
    <row r="5159" spans="1:21">
      <c r="A5159" t="str">
        <f t="shared" si="2428"/>
        <v>09/09/2025</v>
      </c>
      <c r="B5159" t="str">
        <f t="shared" si="2425"/>
        <v>SAÍDA</v>
      </c>
      <c r="C5159" t="str">
        <f t="shared" si="2432"/>
        <v>PIX</v>
      </c>
      <c r="D5159" t="str">
        <f>"090925800"</f>
        <v>090925800</v>
      </c>
      <c r="E5159" t="str">
        <f t="shared" si="2431"/>
        <v>COM</v>
      </c>
      <c r="F5159" t="str">
        <f>"GILBERTO ROCHA DA SILVA (20118)"</f>
        <v>GILBERTO ROCHA DA SILVA (20118)</v>
      </c>
      <c r="G5159" t="str">
        <f>"CONSULTORIA DE TECNOLOGIA"</f>
        <v>CONSULTORIA DE TECNOLOGIA</v>
      </c>
      <c r="H5159" t="str">
        <f t="shared" si="2429"/>
        <v>09/09/2025</v>
      </c>
      <c r="I5159" t="str">
        <f t="shared" si="2433"/>
        <v>09/09/2025</v>
      </c>
      <c r="J5159" t="str">
        <f t="shared" si="2430"/>
        <v>09/09/2025</v>
      </c>
      <c r="K5159">
        <v>800</v>
      </c>
      <c r="L5159">
        <v>800</v>
      </c>
      <c r="M5159">
        <v>104</v>
      </c>
      <c r="N5159" t="str">
        <f>"SOFTWARE / LICENÇAS"</f>
        <v>SOFTWARE / LICENÇAS</v>
      </c>
      <c r="O5159">
        <v>800</v>
      </c>
      <c r="R5159" t="str">
        <f t="shared" si="2426"/>
        <v>BANCO CORA (102)</v>
      </c>
      <c r="S5159">
        <v>2773</v>
      </c>
      <c r="T5159">
        <v>2343</v>
      </c>
      <c r="U5159" t="s">
        <v>19</v>
      </c>
    </row>
    <row r="5160" spans="1:21">
      <c r="A5160" t="str">
        <f t="shared" si="2428"/>
        <v>09/09/2025</v>
      </c>
      <c r="B5160" t="str">
        <f t="shared" si="2425"/>
        <v>SAÍDA</v>
      </c>
      <c r="C5160" t="str">
        <f t="shared" si="2432"/>
        <v>PIX</v>
      </c>
      <c r="D5160" t="str">
        <f>"090925800"</f>
        <v>090925800</v>
      </c>
      <c r="E5160" t="str">
        <f t="shared" si="2431"/>
        <v>COM</v>
      </c>
      <c r="F5160" t="str">
        <f>"GILBERTO ROCHA DA SILVA (20118)"</f>
        <v>GILBERTO ROCHA DA SILVA (20118)</v>
      </c>
      <c r="G5160" t="str">
        <f>"CONSULTORIA DE TECNOLOGIA"</f>
        <v>CONSULTORIA DE TECNOLOGIA</v>
      </c>
      <c r="H5160" t="str">
        <f t="shared" si="2429"/>
        <v>09/09/2025</v>
      </c>
      <c r="I5160" t="str">
        <f t="shared" si="2433"/>
        <v>09/09/2025</v>
      </c>
      <c r="J5160" t="str">
        <f t="shared" si="2430"/>
        <v>09/09/2025</v>
      </c>
      <c r="M5160">
        <v>104</v>
      </c>
      <c r="N5160" t="str">
        <f>"SOFTWARE / LICENÇAS"</f>
        <v>SOFTWARE / LICENÇAS</v>
      </c>
      <c r="P5160">
        <v>800</v>
      </c>
      <c r="Q5160" t="str">
        <f>"GILBERTO ROCHA DA SILVA (20118)"</f>
        <v>GILBERTO ROCHA DA SILVA (20118)</v>
      </c>
      <c r="R5160" t="str">
        <f t="shared" si="2426"/>
        <v>BANCO CORA (102)</v>
      </c>
      <c r="S5160">
        <v>2773</v>
      </c>
      <c r="T5160">
        <v>2343</v>
      </c>
      <c r="U5160" t="s">
        <v>19</v>
      </c>
    </row>
    <row r="5161" spans="1:21">
      <c r="A5161" t="str">
        <f t="shared" si="2428"/>
        <v>09/09/2025</v>
      </c>
      <c r="B5161" t="str">
        <f t="shared" si="2425"/>
        <v>SAÍDA</v>
      </c>
      <c r="C5161" t="str">
        <f t="shared" si="2432"/>
        <v>PIX</v>
      </c>
      <c r="D5161" t="str">
        <f>"09092025"</f>
        <v>09092025</v>
      </c>
      <c r="E5161" t="str">
        <f t="shared" si="2431"/>
        <v>COM</v>
      </c>
      <c r="F5161" t="str">
        <f>"LWSA SA (20054)"</f>
        <v>LWSA SA (20054)</v>
      </c>
      <c r="G5161" t="str">
        <f>"PAGAMENTO DE SERVIDOR FLUXWEB"</f>
        <v>PAGAMENTO DE SERVIDOR FLUXWEB</v>
      </c>
      <c r="H5161" t="str">
        <f t="shared" si="2429"/>
        <v>09/09/2025</v>
      </c>
      <c r="I5161" t="str">
        <f t="shared" si="2433"/>
        <v>09/09/2025</v>
      </c>
      <c r="J5161" t="str">
        <f t="shared" si="2430"/>
        <v>09/09/2025</v>
      </c>
      <c r="K5161">
        <v>388.29</v>
      </c>
      <c r="L5161">
        <v>388.29</v>
      </c>
      <c r="M5161">
        <v>104</v>
      </c>
      <c r="N5161" t="str">
        <f>"SOFTWARE / LICENÇAS"</f>
        <v>SOFTWARE / LICENÇAS</v>
      </c>
      <c r="O5161">
        <v>388.29</v>
      </c>
      <c r="R5161" t="str">
        <f t="shared" si="2426"/>
        <v>BANCO CORA (102)</v>
      </c>
      <c r="S5161">
        <v>3104</v>
      </c>
      <c r="T5161">
        <v>2660</v>
      </c>
      <c r="U5161" t="s">
        <v>19</v>
      </c>
    </row>
    <row r="5162" spans="1:21">
      <c r="A5162" t="str">
        <f t="shared" si="2428"/>
        <v>09/09/2025</v>
      </c>
      <c r="B5162" t="str">
        <f t="shared" si="2425"/>
        <v>SAÍDA</v>
      </c>
      <c r="C5162" t="str">
        <f t="shared" si="2432"/>
        <v>PIX</v>
      </c>
      <c r="D5162" t="str">
        <f>"09092025"</f>
        <v>09092025</v>
      </c>
      <c r="E5162" t="str">
        <f t="shared" si="2431"/>
        <v>COM</v>
      </c>
      <c r="F5162" t="str">
        <f>"LWSA SA (20054)"</f>
        <v>LWSA SA (20054)</v>
      </c>
      <c r="G5162" t="str">
        <f>"PAGAMENTO DE SERVIDOR FLUXWEB"</f>
        <v>PAGAMENTO DE SERVIDOR FLUXWEB</v>
      </c>
      <c r="H5162" t="str">
        <f t="shared" si="2429"/>
        <v>09/09/2025</v>
      </c>
      <c r="I5162" t="str">
        <f t="shared" si="2433"/>
        <v>09/09/2025</v>
      </c>
      <c r="J5162" t="str">
        <f t="shared" si="2430"/>
        <v>09/09/2025</v>
      </c>
      <c r="M5162">
        <v>104</v>
      </c>
      <c r="N5162" t="str">
        <f>"SOFTWARE / LICENÇAS"</f>
        <v>SOFTWARE / LICENÇAS</v>
      </c>
      <c r="P5162">
        <v>388.29</v>
      </c>
      <c r="Q5162" t="str">
        <f>"LWSA SA (20054)"</f>
        <v>LWSA SA (20054)</v>
      </c>
      <c r="R5162" t="str">
        <f t="shared" si="2426"/>
        <v>BANCO CORA (102)</v>
      </c>
      <c r="S5162">
        <v>3104</v>
      </c>
      <c r="T5162">
        <v>2660</v>
      </c>
      <c r="U5162" t="s">
        <v>19</v>
      </c>
    </row>
    <row r="5163" spans="1:21">
      <c r="A5163" t="str">
        <f t="shared" ref="A5163:A5194" si="2434">("10/09/2025")</f>
        <v>10/09/2025</v>
      </c>
      <c r="B5163" t="str">
        <f>"ENTRADA"</f>
        <v>ENTRADA</v>
      </c>
      <c r="C5163" t="str">
        <f t="shared" ref="C5163:C5194" si="2435">"NFSE"</f>
        <v>NFSE</v>
      </c>
      <c r="D5163" t="str">
        <f t="shared" ref="D5163:D5175" si="2436">"3423"</f>
        <v>3423</v>
      </c>
      <c r="E5163" t="str">
        <f t="shared" si="2431"/>
        <v>COM</v>
      </c>
      <c r="F5163" t="str">
        <f t="shared" ref="F5163:F5175" si="2437">"FARMÁCIA INDIANA LJ 30 (10127)"</f>
        <v>FARMÁCIA INDIANA LJ 30 (10127)</v>
      </c>
      <c r="G5163" t="str">
        <f t="shared" ref="G5163:G5175" si="2438">"Serv.Prest. 25/08/2025 a 31/08/2025 - RPS: 1188 - NFSe: 3423"</f>
        <v>Serv.Prest. 25/08/2025 a 31/08/2025 - RPS: 1188 - NFSe: 3423</v>
      </c>
      <c r="H5163" t="str">
        <f t="shared" ref="H5163:H5194" si="2439">("10/09/2025")</f>
        <v>10/09/2025</v>
      </c>
      <c r="I5163" t="str">
        <f t="shared" ref="I5163:I5194" si="2440">("02/09/2025")</f>
        <v>02/09/2025</v>
      </c>
      <c r="J5163" t="str">
        <f t="shared" ref="J5163:J5194" si="2441">("10/09/2025")</f>
        <v>10/09/2025</v>
      </c>
      <c r="K5163">
        <v>2966.58</v>
      </c>
      <c r="L5163">
        <v>2966.58</v>
      </c>
      <c r="M5163">
        <v>303</v>
      </c>
      <c r="N5163" t="str">
        <f t="shared" ref="N5163:N5194" si="2442">"RECEITAS COM ENTREGAS"</f>
        <v>RECEITAS COM ENTREGAS</v>
      </c>
      <c r="O5163">
        <v>2966.58</v>
      </c>
      <c r="R5163" t="str">
        <f t="shared" ref="R5163:R5194" si="2443">"RECEITAS COM ENTREGAS (303)"</f>
        <v>RECEITAS COM ENTREGAS (303)</v>
      </c>
      <c r="S5163">
        <v>2524</v>
      </c>
      <c r="T5163">
        <v>2018</v>
      </c>
      <c r="U5163" t="s">
        <v>19</v>
      </c>
    </row>
    <row r="5164" spans="1:21">
      <c r="A5164" t="str">
        <f t="shared" si="2434"/>
        <v>10/09/2025</v>
      </c>
      <c r="B5164" t="str">
        <f t="shared" ref="B5164:B5227" si="2444">"ENTRADA"</f>
        <v>ENTRADA</v>
      </c>
      <c r="C5164" t="str">
        <f t="shared" si="2435"/>
        <v>NFSE</v>
      </c>
      <c r="D5164" t="str">
        <f t="shared" si="2436"/>
        <v>3423</v>
      </c>
      <c r="E5164" t="str">
        <f t="shared" si="2431"/>
        <v>COM</v>
      </c>
      <c r="F5164" t="str">
        <f t="shared" si="2437"/>
        <v>FARMÁCIA INDIANA LJ 30 (10127)</v>
      </c>
      <c r="G5164" t="str">
        <f t="shared" si="2438"/>
        <v>Serv.Prest. 25/08/2025 a 31/08/2025 - RPS: 1188 - NFSe: 3423</v>
      </c>
      <c r="H5164" t="str">
        <f t="shared" si="2439"/>
        <v>10/09/2025</v>
      </c>
      <c r="I5164" t="str">
        <f t="shared" si="2440"/>
        <v>02/09/2025</v>
      </c>
      <c r="J5164" t="str">
        <f t="shared" si="2441"/>
        <v>10/09/2025</v>
      </c>
      <c r="M5164">
        <v>303</v>
      </c>
      <c r="N5164" t="str">
        <f t="shared" si="2442"/>
        <v>RECEITAS COM ENTREGAS</v>
      </c>
      <c r="P5164">
        <v>287.45999999999998</v>
      </c>
      <c r="Q5164" t="str">
        <f>"FARMÁCIA INDIANA LJ 34 (10014)"</f>
        <v>FARMÁCIA INDIANA LJ 34 (10014)</v>
      </c>
      <c r="R5164" t="str">
        <f t="shared" si="2443"/>
        <v>RECEITAS COM ENTREGAS (303)</v>
      </c>
      <c r="S5164">
        <v>2524</v>
      </c>
      <c r="T5164">
        <v>2018</v>
      </c>
      <c r="U5164" t="s">
        <v>19</v>
      </c>
    </row>
    <row r="5165" spans="1:21">
      <c r="A5165" t="str">
        <f t="shared" si="2434"/>
        <v>10/09/2025</v>
      </c>
      <c r="B5165" t="str">
        <f t="shared" si="2444"/>
        <v>ENTRADA</v>
      </c>
      <c r="C5165" t="str">
        <f t="shared" si="2435"/>
        <v>NFSE</v>
      </c>
      <c r="D5165" t="str">
        <f t="shared" si="2436"/>
        <v>3423</v>
      </c>
      <c r="E5165" t="str">
        <f t="shared" si="2431"/>
        <v>COM</v>
      </c>
      <c r="F5165" t="str">
        <f t="shared" si="2437"/>
        <v>FARMÁCIA INDIANA LJ 30 (10127)</v>
      </c>
      <c r="G5165" t="str">
        <f t="shared" si="2438"/>
        <v>Serv.Prest. 25/08/2025 a 31/08/2025 - RPS: 1188 - NFSe: 3423</v>
      </c>
      <c r="H5165" t="str">
        <f t="shared" si="2439"/>
        <v>10/09/2025</v>
      </c>
      <c r="I5165" t="str">
        <f t="shared" si="2440"/>
        <v>02/09/2025</v>
      </c>
      <c r="J5165" t="str">
        <f t="shared" si="2441"/>
        <v>10/09/2025</v>
      </c>
      <c r="M5165">
        <v>303</v>
      </c>
      <c r="N5165" t="str">
        <f t="shared" si="2442"/>
        <v>RECEITAS COM ENTREGAS</v>
      </c>
      <c r="P5165">
        <v>269.66000000000003</v>
      </c>
      <c r="Q5165" t="str">
        <f>"FARMÁCIA INDIANA LJ 35 (10015)"</f>
        <v>FARMÁCIA INDIANA LJ 35 (10015)</v>
      </c>
      <c r="R5165" t="str">
        <f t="shared" si="2443"/>
        <v>RECEITAS COM ENTREGAS (303)</v>
      </c>
      <c r="S5165">
        <v>2524</v>
      </c>
      <c r="T5165">
        <v>2018</v>
      </c>
      <c r="U5165" t="s">
        <v>19</v>
      </c>
    </row>
    <row r="5166" spans="1:21">
      <c r="A5166" t="str">
        <f t="shared" si="2434"/>
        <v>10/09/2025</v>
      </c>
      <c r="B5166" t="str">
        <f t="shared" si="2444"/>
        <v>ENTRADA</v>
      </c>
      <c r="C5166" t="str">
        <f t="shared" si="2435"/>
        <v>NFSE</v>
      </c>
      <c r="D5166" t="str">
        <f t="shared" si="2436"/>
        <v>3423</v>
      </c>
      <c r="E5166" t="str">
        <f t="shared" si="2431"/>
        <v>COM</v>
      </c>
      <c r="F5166" t="str">
        <f t="shared" si="2437"/>
        <v>FARMÁCIA INDIANA LJ 30 (10127)</v>
      </c>
      <c r="G5166" t="str">
        <f t="shared" si="2438"/>
        <v>Serv.Prest. 25/08/2025 a 31/08/2025 - RPS: 1188 - NFSe: 3423</v>
      </c>
      <c r="H5166" t="str">
        <f t="shared" si="2439"/>
        <v>10/09/2025</v>
      </c>
      <c r="I5166" t="str">
        <f t="shared" si="2440"/>
        <v>02/09/2025</v>
      </c>
      <c r="J5166" t="str">
        <f t="shared" si="2441"/>
        <v>10/09/2025</v>
      </c>
      <c r="M5166">
        <v>303</v>
      </c>
      <c r="N5166" t="str">
        <f t="shared" si="2442"/>
        <v>RECEITAS COM ENTREGAS</v>
      </c>
      <c r="P5166">
        <v>348.28</v>
      </c>
      <c r="Q5166" t="str">
        <f>"FARMÁCIA INDIANA LJ 48 (10018)"</f>
        <v>FARMÁCIA INDIANA LJ 48 (10018)</v>
      </c>
      <c r="R5166" t="str">
        <f t="shared" si="2443"/>
        <v>RECEITAS COM ENTREGAS (303)</v>
      </c>
      <c r="S5166">
        <v>2524</v>
      </c>
      <c r="T5166">
        <v>2018</v>
      </c>
      <c r="U5166" t="s">
        <v>19</v>
      </c>
    </row>
    <row r="5167" spans="1:21">
      <c r="A5167" t="str">
        <f t="shared" si="2434"/>
        <v>10/09/2025</v>
      </c>
      <c r="B5167" t="str">
        <f t="shared" si="2444"/>
        <v>ENTRADA</v>
      </c>
      <c r="C5167" t="str">
        <f t="shared" si="2435"/>
        <v>NFSE</v>
      </c>
      <c r="D5167" t="str">
        <f t="shared" si="2436"/>
        <v>3423</v>
      </c>
      <c r="E5167" t="str">
        <f t="shared" si="2431"/>
        <v>COM</v>
      </c>
      <c r="F5167" t="str">
        <f t="shared" si="2437"/>
        <v>FARMÁCIA INDIANA LJ 30 (10127)</v>
      </c>
      <c r="G5167" t="str">
        <f t="shared" si="2438"/>
        <v>Serv.Prest. 25/08/2025 a 31/08/2025 - RPS: 1188 - NFSe: 3423</v>
      </c>
      <c r="H5167" t="str">
        <f t="shared" si="2439"/>
        <v>10/09/2025</v>
      </c>
      <c r="I5167" t="str">
        <f t="shared" si="2440"/>
        <v>02/09/2025</v>
      </c>
      <c r="J5167" t="str">
        <f t="shared" si="2441"/>
        <v>10/09/2025</v>
      </c>
      <c r="M5167">
        <v>303</v>
      </c>
      <c r="N5167" t="str">
        <f t="shared" si="2442"/>
        <v>RECEITAS COM ENTREGAS</v>
      </c>
      <c r="P5167">
        <v>418.58</v>
      </c>
      <c r="Q5167" t="str">
        <f>"FARMÁCIA INDIANA LJ 65 (10030)"</f>
        <v>FARMÁCIA INDIANA LJ 65 (10030)</v>
      </c>
      <c r="R5167" t="str">
        <f t="shared" si="2443"/>
        <v>RECEITAS COM ENTREGAS (303)</v>
      </c>
      <c r="S5167">
        <v>2524</v>
      </c>
      <c r="T5167">
        <v>2018</v>
      </c>
      <c r="U5167" t="s">
        <v>19</v>
      </c>
    </row>
    <row r="5168" spans="1:21">
      <c r="A5168" t="str">
        <f t="shared" si="2434"/>
        <v>10/09/2025</v>
      </c>
      <c r="B5168" t="str">
        <f t="shared" si="2444"/>
        <v>ENTRADA</v>
      </c>
      <c r="C5168" t="str">
        <f t="shared" si="2435"/>
        <v>NFSE</v>
      </c>
      <c r="D5168" t="str">
        <f t="shared" si="2436"/>
        <v>3423</v>
      </c>
      <c r="E5168" t="str">
        <f t="shared" si="2431"/>
        <v>COM</v>
      </c>
      <c r="F5168" t="str">
        <f t="shared" si="2437"/>
        <v>FARMÁCIA INDIANA LJ 30 (10127)</v>
      </c>
      <c r="G5168" t="str">
        <f t="shared" si="2438"/>
        <v>Serv.Prest. 25/08/2025 a 31/08/2025 - RPS: 1188 - NFSe: 3423</v>
      </c>
      <c r="H5168" t="str">
        <f t="shared" si="2439"/>
        <v>10/09/2025</v>
      </c>
      <c r="I5168" t="str">
        <f t="shared" si="2440"/>
        <v>02/09/2025</v>
      </c>
      <c r="J5168" t="str">
        <f t="shared" si="2441"/>
        <v>10/09/2025</v>
      </c>
      <c r="M5168">
        <v>303</v>
      </c>
      <c r="N5168" t="str">
        <f t="shared" si="2442"/>
        <v>RECEITAS COM ENTREGAS</v>
      </c>
      <c r="P5168">
        <v>137.06</v>
      </c>
      <c r="Q5168" t="str">
        <f>"FARMÁCIA INDIANA LJ 77 (10034)"</f>
        <v>FARMÁCIA INDIANA LJ 77 (10034)</v>
      </c>
      <c r="R5168" t="str">
        <f t="shared" si="2443"/>
        <v>RECEITAS COM ENTREGAS (303)</v>
      </c>
      <c r="S5168">
        <v>2524</v>
      </c>
      <c r="T5168">
        <v>2018</v>
      </c>
      <c r="U5168" t="s">
        <v>19</v>
      </c>
    </row>
    <row r="5169" spans="1:21">
      <c r="A5169" t="str">
        <f t="shared" si="2434"/>
        <v>10/09/2025</v>
      </c>
      <c r="B5169" t="str">
        <f t="shared" si="2444"/>
        <v>ENTRADA</v>
      </c>
      <c r="C5169" t="str">
        <f t="shared" si="2435"/>
        <v>NFSE</v>
      </c>
      <c r="D5169" t="str">
        <f t="shared" si="2436"/>
        <v>3423</v>
      </c>
      <c r="E5169" t="str">
        <f t="shared" si="2431"/>
        <v>COM</v>
      </c>
      <c r="F5169" t="str">
        <f t="shared" si="2437"/>
        <v>FARMÁCIA INDIANA LJ 30 (10127)</v>
      </c>
      <c r="G5169" t="str">
        <f t="shared" si="2438"/>
        <v>Serv.Prest. 25/08/2025 a 31/08/2025 - RPS: 1188 - NFSe: 3423</v>
      </c>
      <c r="H5169" t="str">
        <f t="shared" si="2439"/>
        <v>10/09/2025</v>
      </c>
      <c r="I5169" t="str">
        <f t="shared" si="2440"/>
        <v>02/09/2025</v>
      </c>
      <c r="J5169" t="str">
        <f t="shared" si="2441"/>
        <v>10/09/2025</v>
      </c>
      <c r="M5169">
        <v>303</v>
      </c>
      <c r="N5169" t="str">
        <f t="shared" si="2442"/>
        <v>RECEITAS COM ENTREGAS</v>
      </c>
      <c r="P5169">
        <v>196.68</v>
      </c>
      <c r="Q5169" t="str">
        <f>"FARMÁCIA INDIANA LJ 91 (10037)"</f>
        <v>FARMÁCIA INDIANA LJ 91 (10037)</v>
      </c>
      <c r="R5169" t="str">
        <f t="shared" si="2443"/>
        <v>RECEITAS COM ENTREGAS (303)</v>
      </c>
      <c r="S5169">
        <v>2524</v>
      </c>
      <c r="T5169">
        <v>2018</v>
      </c>
      <c r="U5169" t="s">
        <v>19</v>
      </c>
    </row>
    <row r="5170" spans="1:21">
      <c r="A5170" t="str">
        <f t="shared" si="2434"/>
        <v>10/09/2025</v>
      </c>
      <c r="B5170" t="str">
        <f t="shared" si="2444"/>
        <v>ENTRADA</v>
      </c>
      <c r="C5170" t="str">
        <f t="shared" si="2435"/>
        <v>NFSE</v>
      </c>
      <c r="D5170" t="str">
        <f t="shared" si="2436"/>
        <v>3423</v>
      </c>
      <c r="E5170" t="str">
        <f t="shared" si="2431"/>
        <v>COM</v>
      </c>
      <c r="F5170" t="str">
        <f t="shared" si="2437"/>
        <v>FARMÁCIA INDIANA LJ 30 (10127)</v>
      </c>
      <c r="G5170" t="str">
        <f t="shared" si="2438"/>
        <v>Serv.Prest. 25/08/2025 a 31/08/2025 - RPS: 1188 - NFSe: 3423</v>
      </c>
      <c r="H5170" t="str">
        <f t="shared" si="2439"/>
        <v>10/09/2025</v>
      </c>
      <c r="I5170" t="str">
        <f t="shared" si="2440"/>
        <v>02/09/2025</v>
      </c>
      <c r="J5170" t="str">
        <f t="shared" si="2441"/>
        <v>10/09/2025</v>
      </c>
      <c r="M5170">
        <v>303</v>
      </c>
      <c r="N5170" t="str">
        <f t="shared" si="2442"/>
        <v>RECEITAS COM ENTREGAS</v>
      </c>
      <c r="P5170">
        <v>317.72000000000003</v>
      </c>
      <c r="Q5170" t="str">
        <f>"FARMÁCIA INDIANA LJ 95 (10039)"</f>
        <v>FARMÁCIA INDIANA LJ 95 (10039)</v>
      </c>
      <c r="R5170" t="str">
        <f t="shared" si="2443"/>
        <v>RECEITAS COM ENTREGAS (303)</v>
      </c>
      <c r="S5170">
        <v>2524</v>
      </c>
      <c r="T5170">
        <v>2018</v>
      </c>
      <c r="U5170" t="s">
        <v>19</v>
      </c>
    </row>
    <row r="5171" spans="1:21">
      <c r="A5171" t="str">
        <f t="shared" si="2434"/>
        <v>10/09/2025</v>
      </c>
      <c r="B5171" t="str">
        <f t="shared" si="2444"/>
        <v>ENTRADA</v>
      </c>
      <c r="C5171" t="str">
        <f t="shared" si="2435"/>
        <v>NFSE</v>
      </c>
      <c r="D5171" t="str">
        <f t="shared" si="2436"/>
        <v>3423</v>
      </c>
      <c r="E5171" t="str">
        <f t="shared" si="2431"/>
        <v>COM</v>
      </c>
      <c r="F5171" t="str">
        <f t="shared" si="2437"/>
        <v>FARMÁCIA INDIANA LJ 30 (10127)</v>
      </c>
      <c r="G5171" t="str">
        <f t="shared" si="2438"/>
        <v>Serv.Prest. 25/08/2025 a 31/08/2025 - RPS: 1188 - NFSe: 3423</v>
      </c>
      <c r="H5171" t="str">
        <f t="shared" si="2439"/>
        <v>10/09/2025</v>
      </c>
      <c r="I5171" t="str">
        <f t="shared" si="2440"/>
        <v>02/09/2025</v>
      </c>
      <c r="J5171" t="str">
        <f t="shared" si="2441"/>
        <v>10/09/2025</v>
      </c>
      <c r="M5171">
        <v>303</v>
      </c>
      <c r="N5171" t="str">
        <f t="shared" si="2442"/>
        <v>RECEITAS COM ENTREGAS</v>
      </c>
      <c r="P5171">
        <v>280.94</v>
      </c>
      <c r="Q5171" t="str">
        <f>"FARMÁCIA INDIANA LJ 145 (10068)"</f>
        <v>FARMÁCIA INDIANA LJ 145 (10068)</v>
      </c>
      <c r="R5171" t="str">
        <f t="shared" si="2443"/>
        <v>RECEITAS COM ENTREGAS (303)</v>
      </c>
      <c r="S5171">
        <v>2524</v>
      </c>
      <c r="T5171">
        <v>2018</v>
      </c>
      <c r="U5171" t="s">
        <v>19</v>
      </c>
    </row>
    <row r="5172" spans="1:21">
      <c r="A5172" t="str">
        <f t="shared" si="2434"/>
        <v>10/09/2025</v>
      </c>
      <c r="B5172" t="str">
        <f t="shared" si="2444"/>
        <v>ENTRADA</v>
      </c>
      <c r="C5172" t="str">
        <f t="shared" si="2435"/>
        <v>NFSE</v>
      </c>
      <c r="D5172" t="str">
        <f t="shared" si="2436"/>
        <v>3423</v>
      </c>
      <c r="E5172" t="str">
        <f t="shared" si="2431"/>
        <v>COM</v>
      </c>
      <c r="F5172" t="str">
        <f t="shared" si="2437"/>
        <v>FARMÁCIA INDIANA LJ 30 (10127)</v>
      </c>
      <c r="G5172" t="str">
        <f t="shared" si="2438"/>
        <v>Serv.Prest. 25/08/2025 a 31/08/2025 - RPS: 1188 - NFSe: 3423</v>
      </c>
      <c r="H5172" t="str">
        <f t="shared" si="2439"/>
        <v>10/09/2025</v>
      </c>
      <c r="I5172" t="str">
        <f t="shared" si="2440"/>
        <v>02/09/2025</v>
      </c>
      <c r="J5172" t="str">
        <f t="shared" si="2441"/>
        <v>10/09/2025</v>
      </c>
      <c r="M5172">
        <v>303</v>
      </c>
      <c r="N5172" t="str">
        <f t="shared" si="2442"/>
        <v>RECEITAS COM ENTREGAS</v>
      </c>
      <c r="P5172">
        <v>85.44</v>
      </c>
      <c r="Q5172" t="str">
        <f>"FARMÁCIA INDIANA LJ 169 (10073)"</f>
        <v>FARMÁCIA INDIANA LJ 169 (10073)</v>
      </c>
      <c r="R5172" t="str">
        <f t="shared" si="2443"/>
        <v>RECEITAS COM ENTREGAS (303)</v>
      </c>
      <c r="S5172">
        <v>2524</v>
      </c>
      <c r="T5172">
        <v>2018</v>
      </c>
      <c r="U5172" t="s">
        <v>19</v>
      </c>
    </row>
    <row r="5173" spans="1:21">
      <c r="A5173" t="str">
        <f t="shared" si="2434"/>
        <v>10/09/2025</v>
      </c>
      <c r="B5173" t="str">
        <f t="shared" si="2444"/>
        <v>ENTRADA</v>
      </c>
      <c r="C5173" t="str">
        <f t="shared" si="2435"/>
        <v>NFSE</v>
      </c>
      <c r="D5173" t="str">
        <f t="shared" si="2436"/>
        <v>3423</v>
      </c>
      <c r="E5173" t="str">
        <f t="shared" si="2431"/>
        <v>COM</v>
      </c>
      <c r="F5173" t="str">
        <f t="shared" si="2437"/>
        <v>FARMÁCIA INDIANA LJ 30 (10127)</v>
      </c>
      <c r="G5173" t="str">
        <f t="shared" si="2438"/>
        <v>Serv.Prest. 25/08/2025 a 31/08/2025 - RPS: 1188 - NFSe: 3423</v>
      </c>
      <c r="H5173" t="str">
        <f t="shared" si="2439"/>
        <v>10/09/2025</v>
      </c>
      <c r="I5173" t="str">
        <f t="shared" si="2440"/>
        <v>02/09/2025</v>
      </c>
      <c r="J5173" t="str">
        <f t="shared" si="2441"/>
        <v>10/09/2025</v>
      </c>
      <c r="M5173">
        <v>303</v>
      </c>
      <c r="N5173" t="str">
        <f t="shared" si="2442"/>
        <v>RECEITAS COM ENTREGAS</v>
      </c>
      <c r="P5173">
        <v>209.14</v>
      </c>
      <c r="Q5173" t="str">
        <f>"FARMÁCIA INDIANA LJ 173 (10075)"</f>
        <v>FARMÁCIA INDIANA LJ 173 (10075)</v>
      </c>
      <c r="R5173" t="str">
        <f t="shared" si="2443"/>
        <v>RECEITAS COM ENTREGAS (303)</v>
      </c>
      <c r="S5173">
        <v>2524</v>
      </c>
      <c r="T5173">
        <v>2018</v>
      </c>
      <c r="U5173" t="s">
        <v>19</v>
      </c>
    </row>
    <row r="5174" spans="1:21">
      <c r="A5174" t="str">
        <f t="shared" si="2434"/>
        <v>10/09/2025</v>
      </c>
      <c r="B5174" t="str">
        <f t="shared" si="2444"/>
        <v>ENTRADA</v>
      </c>
      <c r="C5174" t="str">
        <f t="shared" si="2435"/>
        <v>NFSE</v>
      </c>
      <c r="D5174" t="str">
        <f t="shared" si="2436"/>
        <v>3423</v>
      </c>
      <c r="E5174" t="str">
        <f t="shared" si="2431"/>
        <v>COM</v>
      </c>
      <c r="F5174" t="str">
        <f t="shared" si="2437"/>
        <v>FARMÁCIA INDIANA LJ 30 (10127)</v>
      </c>
      <c r="G5174" t="str">
        <f t="shared" si="2438"/>
        <v>Serv.Prest. 25/08/2025 a 31/08/2025 - RPS: 1188 - NFSe: 3423</v>
      </c>
      <c r="H5174" t="str">
        <f t="shared" si="2439"/>
        <v>10/09/2025</v>
      </c>
      <c r="I5174" t="str">
        <f t="shared" si="2440"/>
        <v>02/09/2025</v>
      </c>
      <c r="J5174" t="str">
        <f t="shared" si="2441"/>
        <v>10/09/2025</v>
      </c>
      <c r="M5174">
        <v>303</v>
      </c>
      <c r="N5174" t="str">
        <f t="shared" si="2442"/>
        <v>RECEITAS COM ENTREGAS</v>
      </c>
      <c r="P5174">
        <v>217.45</v>
      </c>
      <c r="Q5174" t="str">
        <f>"FARMÁCIA INDIANA LJ 200 (10155)"</f>
        <v>FARMÁCIA INDIANA LJ 200 (10155)</v>
      </c>
      <c r="R5174" t="str">
        <f t="shared" si="2443"/>
        <v>RECEITAS COM ENTREGAS (303)</v>
      </c>
      <c r="S5174">
        <v>2524</v>
      </c>
      <c r="T5174">
        <v>2018</v>
      </c>
      <c r="U5174" t="s">
        <v>19</v>
      </c>
    </row>
    <row r="5175" spans="1:21">
      <c r="A5175" t="str">
        <f t="shared" si="2434"/>
        <v>10/09/2025</v>
      </c>
      <c r="B5175" t="str">
        <f t="shared" si="2444"/>
        <v>ENTRADA</v>
      </c>
      <c r="C5175" t="str">
        <f t="shared" si="2435"/>
        <v>NFSE</v>
      </c>
      <c r="D5175" t="str">
        <f t="shared" si="2436"/>
        <v>3423</v>
      </c>
      <c r="E5175" t="str">
        <f t="shared" si="2431"/>
        <v>COM</v>
      </c>
      <c r="F5175" t="str">
        <f t="shared" si="2437"/>
        <v>FARMÁCIA INDIANA LJ 30 (10127)</v>
      </c>
      <c r="G5175" t="str">
        <f t="shared" si="2438"/>
        <v>Serv.Prest. 25/08/2025 a 31/08/2025 - RPS: 1188 - NFSe: 3423</v>
      </c>
      <c r="H5175" t="str">
        <f t="shared" si="2439"/>
        <v>10/09/2025</v>
      </c>
      <c r="I5175" t="str">
        <f t="shared" si="2440"/>
        <v>02/09/2025</v>
      </c>
      <c r="J5175" t="str">
        <f t="shared" si="2441"/>
        <v>10/09/2025</v>
      </c>
      <c r="M5175">
        <v>303</v>
      </c>
      <c r="N5175" t="str">
        <f t="shared" si="2442"/>
        <v>RECEITAS COM ENTREGAS</v>
      </c>
      <c r="P5175">
        <v>198.17</v>
      </c>
      <c r="Q5175" t="str">
        <f>"FARMÁCIA INDIANA LJ 33 (10187)"</f>
        <v>FARMÁCIA INDIANA LJ 33 (10187)</v>
      </c>
      <c r="R5175" t="str">
        <f t="shared" si="2443"/>
        <v>RECEITAS COM ENTREGAS (303)</v>
      </c>
      <c r="S5175">
        <v>2524</v>
      </c>
      <c r="T5175">
        <v>2018</v>
      </c>
      <c r="U5175" t="s">
        <v>19</v>
      </c>
    </row>
    <row r="5176" spans="1:21">
      <c r="A5176" t="str">
        <f t="shared" si="2434"/>
        <v>10/09/2025</v>
      </c>
      <c r="B5176" t="str">
        <f t="shared" si="2444"/>
        <v>ENTRADA</v>
      </c>
      <c r="C5176" t="str">
        <f t="shared" si="2435"/>
        <v>NFSE</v>
      </c>
      <c r="D5176" t="str">
        <f t="shared" ref="D5176:D5185" si="2445">"3424"</f>
        <v>3424</v>
      </c>
      <c r="E5176" t="str">
        <f t="shared" si="2431"/>
        <v>COM</v>
      </c>
      <c r="F5176" t="str">
        <f t="shared" ref="F5176:F5185" si="2446">"FARMÁCIA INDIANA LJ 85 (10128)"</f>
        <v>FARMÁCIA INDIANA LJ 85 (10128)</v>
      </c>
      <c r="G5176" t="str">
        <f t="shared" ref="G5176:G5185" si="2447">"Serv.Prest. 25/08/2025 a 31/08/2025 - RPS: 1189 - NFSe: 3424"</f>
        <v>Serv.Prest. 25/08/2025 a 31/08/2025 - RPS: 1189 - NFSe: 3424</v>
      </c>
      <c r="H5176" t="str">
        <f t="shared" si="2439"/>
        <v>10/09/2025</v>
      </c>
      <c r="I5176" t="str">
        <f t="shared" si="2440"/>
        <v>02/09/2025</v>
      </c>
      <c r="J5176" t="str">
        <f t="shared" si="2441"/>
        <v>10/09/2025</v>
      </c>
      <c r="K5176">
        <v>1431.3</v>
      </c>
      <c r="L5176">
        <v>1431.3</v>
      </c>
      <c r="M5176">
        <v>303</v>
      </c>
      <c r="N5176" t="str">
        <f t="shared" si="2442"/>
        <v>RECEITAS COM ENTREGAS</v>
      </c>
      <c r="O5176">
        <v>1431.3</v>
      </c>
      <c r="R5176" t="str">
        <f t="shared" si="2443"/>
        <v>RECEITAS COM ENTREGAS (303)</v>
      </c>
      <c r="S5176">
        <v>2525</v>
      </c>
      <c r="T5176">
        <v>2019</v>
      </c>
      <c r="U5176" t="s">
        <v>19</v>
      </c>
    </row>
    <row r="5177" spans="1:21">
      <c r="A5177" t="str">
        <f t="shared" si="2434"/>
        <v>10/09/2025</v>
      </c>
      <c r="B5177" t="str">
        <f t="shared" si="2444"/>
        <v>ENTRADA</v>
      </c>
      <c r="C5177" t="str">
        <f t="shared" si="2435"/>
        <v>NFSE</v>
      </c>
      <c r="D5177" t="str">
        <f t="shared" si="2445"/>
        <v>3424</v>
      </c>
      <c r="E5177" t="str">
        <f t="shared" si="2431"/>
        <v>COM</v>
      </c>
      <c r="F5177" t="str">
        <f t="shared" si="2446"/>
        <v>FARMÁCIA INDIANA LJ 85 (10128)</v>
      </c>
      <c r="G5177" t="str">
        <f t="shared" si="2447"/>
        <v>Serv.Prest. 25/08/2025 a 31/08/2025 - RPS: 1189 - NFSe: 3424</v>
      </c>
      <c r="H5177" t="str">
        <f t="shared" si="2439"/>
        <v>10/09/2025</v>
      </c>
      <c r="I5177" t="str">
        <f t="shared" si="2440"/>
        <v>02/09/2025</v>
      </c>
      <c r="J5177" t="str">
        <f t="shared" si="2441"/>
        <v>10/09/2025</v>
      </c>
      <c r="M5177">
        <v>303</v>
      </c>
      <c r="N5177" t="str">
        <f t="shared" si="2442"/>
        <v>RECEITAS COM ENTREGAS</v>
      </c>
      <c r="P5177">
        <v>172.75</v>
      </c>
      <c r="Q5177" t="str">
        <f>"FARMÁCIA INDIANA LJ 119 (10053)"</f>
        <v>FARMÁCIA INDIANA LJ 119 (10053)</v>
      </c>
      <c r="R5177" t="str">
        <f t="shared" si="2443"/>
        <v>RECEITAS COM ENTREGAS (303)</v>
      </c>
      <c r="S5177">
        <v>2525</v>
      </c>
      <c r="T5177">
        <v>2019</v>
      </c>
      <c r="U5177" t="s">
        <v>19</v>
      </c>
    </row>
    <row r="5178" spans="1:21">
      <c r="A5178" t="str">
        <f t="shared" si="2434"/>
        <v>10/09/2025</v>
      </c>
      <c r="B5178" t="str">
        <f t="shared" si="2444"/>
        <v>ENTRADA</v>
      </c>
      <c r="C5178" t="str">
        <f t="shared" si="2435"/>
        <v>NFSE</v>
      </c>
      <c r="D5178" t="str">
        <f t="shared" si="2445"/>
        <v>3424</v>
      </c>
      <c r="E5178" t="str">
        <f t="shared" si="2431"/>
        <v>COM</v>
      </c>
      <c r="F5178" t="str">
        <f t="shared" si="2446"/>
        <v>FARMÁCIA INDIANA LJ 85 (10128)</v>
      </c>
      <c r="G5178" t="str">
        <f t="shared" si="2447"/>
        <v>Serv.Prest. 25/08/2025 a 31/08/2025 - RPS: 1189 - NFSe: 3424</v>
      </c>
      <c r="H5178" t="str">
        <f t="shared" si="2439"/>
        <v>10/09/2025</v>
      </c>
      <c r="I5178" t="str">
        <f t="shared" si="2440"/>
        <v>02/09/2025</v>
      </c>
      <c r="J5178" t="str">
        <f t="shared" si="2441"/>
        <v>10/09/2025</v>
      </c>
      <c r="M5178">
        <v>303</v>
      </c>
      <c r="N5178" t="str">
        <f t="shared" si="2442"/>
        <v>RECEITAS COM ENTREGAS</v>
      </c>
      <c r="P5178">
        <v>336.07</v>
      </c>
      <c r="Q5178" t="str">
        <f>"FARMÁCIA INDIANA LJ 163 (10072)"</f>
        <v>FARMÁCIA INDIANA LJ 163 (10072)</v>
      </c>
      <c r="R5178" t="str">
        <f t="shared" si="2443"/>
        <v>RECEITAS COM ENTREGAS (303)</v>
      </c>
      <c r="S5178">
        <v>2525</v>
      </c>
      <c r="T5178">
        <v>2019</v>
      </c>
      <c r="U5178" t="s">
        <v>19</v>
      </c>
    </row>
    <row r="5179" spans="1:21">
      <c r="A5179" t="str">
        <f t="shared" si="2434"/>
        <v>10/09/2025</v>
      </c>
      <c r="B5179" t="str">
        <f t="shared" si="2444"/>
        <v>ENTRADA</v>
      </c>
      <c r="C5179" t="str">
        <f t="shared" si="2435"/>
        <v>NFSE</v>
      </c>
      <c r="D5179" t="str">
        <f t="shared" si="2445"/>
        <v>3424</v>
      </c>
      <c r="E5179" t="str">
        <f t="shared" si="2431"/>
        <v>COM</v>
      </c>
      <c r="F5179" t="str">
        <f t="shared" si="2446"/>
        <v>FARMÁCIA INDIANA LJ 85 (10128)</v>
      </c>
      <c r="G5179" t="str">
        <f t="shared" si="2447"/>
        <v>Serv.Prest. 25/08/2025 a 31/08/2025 - RPS: 1189 - NFSe: 3424</v>
      </c>
      <c r="H5179" t="str">
        <f t="shared" si="2439"/>
        <v>10/09/2025</v>
      </c>
      <c r="I5179" t="str">
        <f t="shared" si="2440"/>
        <v>02/09/2025</v>
      </c>
      <c r="J5179" t="str">
        <f t="shared" si="2441"/>
        <v>10/09/2025</v>
      </c>
      <c r="M5179">
        <v>303</v>
      </c>
      <c r="N5179" t="str">
        <f t="shared" si="2442"/>
        <v>RECEITAS COM ENTREGAS</v>
      </c>
      <c r="P5179">
        <v>167.75</v>
      </c>
      <c r="Q5179" t="str">
        <f>"FARMÁCIA INDIANA LJ 181 (10078)"</f>
        <v>FARMÁCIA INDIANA LJ 181 (10078)</v>
      </c>
      <c r="R5179" t="str">
        <f t="shared" si="2443"/>
        <v>RECEITAS COM ENTREGAS (303)</v>
      </c>
      <c r="S5179">
        <v>2525</v>
      </c>
      <c r="T5179">
        <v>2019</v>
      </c>
      <c r="U5179" t="s">
        <v>19</v>
      </c>
    </row>
    <row r="5180" spans="1:21">
      <c r="A5180" t="str">
        <f t="shared" si="2434"/>
        <v>10/09/2025</v>
      </c>
      <c r="B5180" t="str">
        <f t="shared" si="2444"/>
        <v>ENTRADA</v>
      </c>
      <c r="C5180" t="str">
        <f t="shared" si="2435"/>
        <v>NFSE</v>
      </c>
      <c r="D5180" t="str">
        <f t="shared" si="2445"/>
        <v>3424</v>
      </c>
      <c r="E5180" t="str">
        <f t="shared" si="2431"/>
        <v>COM</v>
      </c>
      <c r="F5180" t="str">
        <f t="shared" si="2446"/>
        <v>FARMÁCIA INDIANA LJ 85 (10128)</v>
      </c>
      <c r="G5180" t="str">
        <f t="shared" si="2447"/>
        <v>Serv.Prest. 25/08/2025 a 31/08/2025 - RPS: 1189 - NFSe: 3424</v>
      </c>
      <c r="H5180" t="str">
        <f t="shared" si="2439"/>
        <v>10/09/2025</v>
      </c>
      <c r="I5180" t="str">
        <f t="shared" si="2440"/>
        <v>02/09/2025</v>
      </c>
      <c r="J5180" t="str">
        <f t="shared" si="2441"/>
        <v>10/09/2025</v>
      </c>
      <c r="M5180">
        <v>303</v>
      </c>
      <c r="N5180" t="str">
        <f t="shared" si="2442"/>
        <v>RECEITAS COM ENTREGAS</v>
      </c>
      <c r="P5180">
        <v>172.47</v>
      </c>
      <c r="Q5180" t="str">
        <f>"FARMÁCIA INDIANA LJ 221 (10093)"</f>
        <v>FARMÁCIA INDIANA LJ 221 (10093)</v>
      </c>
      <c r="R5180" t="str">
        <f t="shared" si="2443"/>
        <v>RECEITAS COM ENTREGAS (303)</v>
      </c>
      <c r="S5180">
        <v>2525</v>
      </c>
      <c r="T5180">
        <v>2019</v>
      </c>
      <c r="U5180" t="s">
        <v>19</v>
      </c>
    </row>
    <row r="5181" spans="1:21">
      <c r="A5181" t="str">
        <f t="shared" si="2434"/>
        <v>10/09/2025</v>
      </c>
      <c r="B5181" t="str">
        <f t="shared" si="2444"/>
        <v>ENTRADA</v>
      </c>
      <c r="C5181" t="str">
        <f t="shared" si="2435"/>
        <v>NFSE</v>
      </c>
      <c r="D5181" t="str">
        <f t="shared" si="2445"/>
        <v>3424</v>
      </c>
      <c r="E5181" t="str">
        <f t="shared" si="2431"/>
        <v>COM</v>
      </c>
      <c r="F5181" t="str">
        <f t="shared" si="2446"/>
        <v>FARMÁCIA INDIANA LJ 85 (10128)</v>
      </c>
      <c r="G5181" t="str">
        <f t="shared" si="2447"/>
        <v>Serv.Prest. 25/08/2025 a 31/08/2025 - RPS: 1189 - NFSe: 3424</v>
      </c>
      <c r="H5181" t="str">
        <f t="shared" si="2439"/>
        <v>10/09/2025</v>
      </c>
      <c r="I5181" t="str">
        <f t="shared" si="2440"/>
        <v>02/09/2025</v>
      </c>
      <c r="J5181" t="str">
        <f t="shared" si="2441"/>
        <v>10/09/2025</v>
      </c>
      <c r="M5181">
        <v>303</v>
      </c>
      <c r="N5181" t="str">
        <f t="shared" si="2442"/>
        <v>RECEITAS COM ENTREGAS</v>
      </c>
      <c r="P5181">
        <v>185.93</v>
      </c>
      <c r="Q5181" t="str">
        <f>"FARMÁCIA INDIANA LJ 243 (10142)"</f>
        <v>FARMÁCIA INDIANA LJ 243 (10142)</v>
      </c>
      <c r="R5181" t="str">
        <f t="shared" si="2443"/>
        <v>RECEITAS COM ENTREGAS (303)</v>
      </c>
      <c r="S5181">
        <v>2525</v>
      </c>
      <c r="T5181">
        <v>2019</v>
      </c>
      <c r="U5181" t="s">
        <v>19</v>
      </c>
    </row>
    <row r="5182" spans="1:21">
      <c r="A5182" t="str">
        <f t="shared" si="2434"/>
        <v>10/09/2025</v>
      </c>
      <c r="B5182" t="str">
        <f t="shared" si="2444"/>
        <v>ENTRADA</v>
      </c>
      <c r="C5182" t="str">
        <f t="shared" si="2435"/>
        <v>NFSE</v>
      </c>
      <c r="D5182" t="str">
        <f t="shared" si="2445"/>
        <v>3424</v>
      </c>
      <c r="E5182" t="str">
        <f t="shared" si="2431"/>
        <v>COM</v>
      </c>
      <c r="F5182" t="str">
        <f t="shared" si="2446"/>
        <v>FARMÁCIA INDIANA LJ 85 (10128)</v>
      </c>
      <c r="G5182" t="str">
        <f t="shared" si="2447"/>
        <v>Serv.Prest. 25/08/2025 a 31/08/2025 - RPS: 1189 - NFSe: 3424</v>
      </c>
      <c r="H5182" t="str">
        <f t="shared" si="2439"/>
        <v>10/09/2025</v>
      </c>
      <c r="I5182" t="str">
        <f t="shared" si="2440"/>
        <v>02/09/2025</v>
      </c>
      <c r="J5182" t="str">
        <f t="shared" si="2441"/>
        <v>10/09/2025</v>
      </c>
      <c r="M5182">
        <v>303</v>
      </c>
      <c r="N5182" t="str">
        <f t="shared" si="2442"/>
        <v>RECEITAS COM ENTREGAS</v>
      </c>
      <c r="P5182">
        <v>91.89</v>
      </c>
      <c r="Q5182" t="str">
        <f>"FARMÁCIA INDIANA LJ 211 (10168)"</f>
        <v>FARMÁCIA INDIANA LJ 211 (10168)</v>
      </c>
      <c r="R5182" t="str">
        <f t="shared" si="2443"/>
        <v>RECEITAS COM ENTREGAS (303)</v>
      </c>
      <c r="S5182">
        <v>2525</v>
      </c>
      <c r="T5182">
        <v>2019</v>
      </c>
      <c r="U5182" t="s">
        <v>19</v>
      </c>
    </row>
    <row r="5183" spans="1:21">
      <c r="A5183" t="str">
        <f t="shared" si="2434"/>
        <v>10/09/2025</v>
      </c>
      <c r="B5183" t="str">
        <f t="shared" si="2444"/>
        <v>ENTRADA</v>
      </c>
      <c r="C5183" t="str">
        <f t="shared" si="2435"/>
        <v>NFSE</v>
      </c>
      <c r="D5183" t="str">
        <f t="shared" si="2445"/>
        <v>3424</v>
      </c>
      <c r="E5183" t="str">
        <f t="shared" si="2431"/>
        <v>COM</v>
      </c>
      <c r="F5183" t="str">
        <f t="shared" si="2446"/>
        <v>FARMÁCIA INDIANA LJ 85 (10128)</v>
      </c>
      <c r="G5183" t="str">
        <f t="shared" si="2447"/>
        <v>Serv.Prest. 25/08/2025 a 31/08/2025 - RPS: 1189 - NFSe: 3424</v>
      </c>
      <c r="H5183" t="str">
        <f t="shared" si="2439"/>
        <v>10/09/2025</v>
      </c>
      <c r="I5183" t="str">
        <f t="shared" si="2440"/>
        <v>02/09/2025</v>
      </c>
      <c r="J5183" t="str">
        <f t="shared" si="2441"/>
        <v>10/09/2025</v>
      </c>
      <c r="M5183">
        <v>303</v>
      </c>
      <c r="N5183" t="str">
        <f t="shared" si="2442"/>
        <v>RECEITAS COM ENTREGAS</v>
      </c>
      <c r="P5183">
        <v>91.89</v>
      </c>
      <c r="Q5183" t="str">
        <f>"FARMÁCIA INDIANA LJ 236 (10169)"</f>
        <v>FARMÁCIA INDIANA LJ 236 (10169)</v>
      </c>
      <c r="R5183" t="str">
        <f t="shared" si="2443"/>
        <v>RECEITAS COM ENTREGAS (303)</v>
      </c>
      <c r="S5183">
        <v>2525</v>
      </c>
      <c r="T5183">
        <v>2019</v>
      </c>
      <c r="U5183" t="s">
        <v>19</v>
      </c>
    </row>
    <row r="5184" spans="1:21">
      <c r="A5184" t="str">
        <f t="shared" si="2434"/>
        <v>10/09/2025</v>
      </c>
      <c r="B5184" t="str">
        <f t="shared" si="2444"/>
        <v>ENTRADA</v>
      </c>
      <c r="C5184" t="str">
        <f t="shared" si="2435"/>
        <v>NFSE</v>
      </c>
      <c r="D5184" t="str">
        <f t="shared" si="2445"/>
        <v>3424</v>
      </c>
      <c r="E5184" t="str">
        <f t="shared" si="2431"/>
        <v>COM</v>
      </c>
      <c r="F5184" t="str">
        <f t="shared" si="2446"/>
        <v>FARMÁCIA INDIANA LJ 85 (10128)</v>
      </c>
      <c r="G5184" t="str">
        <f t="shared" si="2447"/>
        <v>Serv.Prest. 25/08/2025 a 31/08/2025 - RPS: 1189 - NFSe: 3424</v>
      </c>
      <c r="H5184" t="str">
        <f t="shared" si="2439"/>
        <v>10/09/2025</v>
      </c>
      <c r="I5184" t="str">
        <f t="shared" si="2440"/>
        <v>02/09/2025</v>
      </c>
      <c r="J5184" t="str">
        <f t="shared" si="2441"/>
        <v>10/09/2025</v>
      </c>
      <c r="M5184">
        <v>303</v>
      </c>
      <c r="N5184" t="str">
        <f t="shared" si="2442"/>
        <v>RECEITAS COM ENTREGAS</v>
      </c>
      <c r="P5184">
        <v>183.78</v>
      </c>
      <c r="Q5184" t="str">
        <f>"FARMÁCIA INDIANA LJ 188 (10176)"</f>
        <v>FARMÁCIA INDIANA LJ 188 (10176)</v>
      </c>
      <c r="R5184" t="str">
        <f t="shared" si="2443"/>
        <v>RECEITAS COM ENTREGAS (303)</v>
      </c>
      <c r="S5184">
        <v>2525</v>
      </c>
      <c r="T5184">
        <v>2019</v>
      </c>
      <c r="U5184" t="s">
        <v>19</v>
      </c>
    </row>
    <row r="5185" spans="1:21">
      <c r="A5185" t="str">
        <f t="shared" si="2434"/>
        <v>10/09/2025</v>
      </c>
      <c r="B5185" t="str">
        <f t="shared" si="2444"/>
        <v>ENTRADA</v>
      </c>
      <c r="C5185" t="str">
        <f t="shared" si="2435"/>
        <v>NFSE</v>
      </c>
      <c r="D5185" t="str">
        <f t="shared" si="2445"/>
        <v>3424</v>
      </c>
      <c r="E5185" t="str">
        <f t="shared" si="2431"/>
        <v>COM</v>
      </c>
      <c r="F5185" t="str">
        <f t="shared" si="2446"/>
        <v>FARMÁCIA INDIANA LJ 85 (10128)</v>
      </c>
      <c r="G5185" t="str">
        <f t="shared" si="2447"/>
        <v>Serv.Prest. 25/08/2025 a 31/08/2025 - RPS: 1189 - NFSe: 3424</v>
      </c>
      <c r="H5185" t="str">
        <f t="shared" si="2439"/>
        <v>10/09/2025</v>
      </c>
      <c r="I5185" t="str">
        <f t="shared" si="2440"/>
        <v>02/09/2025</v>
      </c>
      <c r="J5185" t="str">
        <f t="shared" si="2441"/>
        <v>10/09/2025</v>
      </c>
      <c r="M5185">
        <v>303</v>
      </c>
      <c r="N5185" t="str">
        <f t="shared" si="2442"/>
        <v>RECEITAS COM ENTREGAS</v>
      </c>
      <c r="P5185">
        <v>28.77</v>
      </c>
      <c r="Q5185" t="str">
        <f>"FARMÁCIA INDIANA LJ 235 (10190)"</f>
        <v>FARMÁCIA INDIANA LJ 235 (10190)</v>
      </c>
      <c r="R5185" t="str">
        <f t="shared" si="2443"/>
        <v>RECEITAS COM ENTREGAS (303)</v>
      </c>
      <c r="S5185">
        <v>2525</v>
      </c>
      <c r="T5185">
        <v>2019</v>
      </c>
      <c r="U5185" t="s">
        <v>19</v>
      </c>
    </row>
    <row r="5186" spans="1:21">
      <c r="A5186" t="str">
        <f t="shared" si="2434"/>
        <v>10/09/2025</v>
      </c>
      <c r="B5186" t="str">
        <f t="shared" si="2444"/>
        <v>ENTRADA</v>
      </c>
      <c r="C5186" t="str">
        <f t="shared" si="2435"/>
        <v>NFSE</v>
      </c>
      <c r="D5186" t="str">
        <f t="shared" ref="D5186:D5233" si="2448">"3425"</f>
        <v>3425</v>
      </c>
      <c r="E5186" t="str">
        <f t="shared" si="2431"/>
        <v>COM</v>
      </c>
      <c r="F5186" t="str">
        <f t="shared" ref="F5186:F5233" si="2449">"FARMÁCIA INDIANA LJ 1 (10126)"</f>
        <v>FARMÁCIA INDIANA LJ 1 (10126)</v>
      </c>
      <c r="G5186" t="str">
        <f t="shared" ref="G5186:G5233" si="2450">"Serv.Prest. 25/08/2025 a 31/08/2025 - RPS: 1190 - NFSe: 3425"</f>
        <v>Serv.Prest. 25/08/2025 a 31/08/2025 - RPS: 1190 - NFSe: 3425</v>
      </c>
      <c r="H5186" t="str">
        <f t="shared" si="2439"/>
        <v>10/09/2025</v>
      </c>
      <c r="I5186" t="str">
        <f t="shared" si="2440"/>
        <v>02/09/2025</v>
      </c>
      <c r="J5186" t="str">
        <f t="shared" si="2441"/>
        <v>10/09/2025</v>
      </c>
      <c r="K5186">
        <v>13575.7</v>
      </c>
      <c r="L5186">
        <v>13575.7</v>
      </c>
      <c r="M5186">
        <v>303</v>
      </c>
      <c r="N5186" t="str">
        <f t="shared" si="2442"/>
        <v>RECEITAS COM ENTREGAS</v>
      </c>
      <c r="O5186">
        <v>13575.7</v>
      </c>
      <c r="R5186" t="str">
        <f t="shared" si="2443"/>
        <v>RECEITAS COM ENTREGAS (303)</v>
      </c>
      <c r="S5186">
        <v>2526</v>
      </c>
      <c r="T5186">
        <v>2020</v>
      </c>
      <c r="U5186" t="s">
        <v>19</v>
      </c>
    </row>
    <row r="5187" spans="1:21">
      <c r="A5187" t="str">
        <f t="shared" si="2434"/>
        <v>10/09/2025</v>
      </c>
      <c r="B5187" t="str">
        <f t="shared" si="2444"/>
        <v>ENTRADA</v>
      </c>
      <c r="C5187" t="str">
        <f t="shared" si="2435"/>
        <v>NFSE</v>
      </c>
      <c r="D5187" t="str">
        <f t="shared" si="2448"/>
        <v>3425</v>
      </c>
      <c r="E5187" t="str">
        <f t="shared" si="2431"/>
        <v>COM</v>
      </c>
      <c r="F5187" t="str">
        <f t="shared" si="2449"/>
        <v>FARMÁCIA INDIANA LJ 1 (10126)</v>
      </c>
      <c r="G5187" t="str">
        <f t="shared" si="2450"/>
        <v>Serv.Prest. 25/08/2025 a 31/08/2025 - RPS: 1190 - NFSe: 3425</v>
      </c>
      <c r="H5187" t="str">
        <f t="shared" si="2439"/>
        <v>10/09/2025</v>
      </c>
      <c r="I5187" t="str">
        <f t="shared" si="2440"/>
        <v>02/09/2025</v>
      </c>
      <c r="J5187" t="str">
        <f t="shared" si="2441"/>
        <v>10/09/2025</v>
      </c>
      <c r="M5187">
        <v>303</v>
      </c>
      <c r="N5187" t="str">
        <f t="shared" si="2442"/>
        <v>RECEITAS COM ENTREGAS</v>
      </c>
      <c r="P5187">
        <v>1748.53</v>
      </c>
      <c r="Q5187" t="str">
        <f>"FARMÁCIA INDIANA LJ 06 (10006)"</f>
        <v>FARMÁCIA INDIANA LJ 06 (10006)</v>
      </c>
      <c r="R5187" t="str">
        <f t="shared" si="2443"/>
        <v>RECEITAS COM ENTREGAS (303)</v>
      </c>
      <c r="S5187">
        <v>2526</v>
      </c>
      <c r="T5187">
        <v>2020</v>
      </c>
      <c r="U5187" t="s">
        <v>19</v>
      </c>
    </row>
    <row r="5188" spans="1:21">
      <c r="A5188" t="str">
        <f t="shared" si="2434"/>
        <v>10/09/2025</v>
      </c>
      <c r="B5188" t="str">
        <f t="shared" si="2444"/>
        <v>ENTRADA</v>
      </c>
      <c r="C5188" t="str">
        <f t="shared" si="2435"/>
        <v>NFSE</v>
      </c>
      <c r="D5188" t="str">
        <f t="shared" si="2448"/>
        <v>3425</v>
      </c>
      <c r="E5188" t="str">
        <f t="shared" si="2431"/>
        <v>COM</v>
      </c>
      <c r="F5188" t="str">
        <f t="shared" si="2449"/>
        <v>FARMÁCIA INDIANA LJ 1 (10126)</v>
      </c>
      <c r="G5188" t="str">
        <f t="shared" si="2450"/>
        <v>Serv.Prest. 25/08/2025 a 31/08/2025 - RPS: 1190 - NFSe: 3425</v>
      </c>
      <c r="H5188" t="str">
        <f t="shared" si="2439"/>
        <v>10/09/2025</v>
      </c>
      <c r="I5188" t="str">
        <f t="shared" si="2440"/>
        <v>02/09/2025</v>
      </c>
      <c r="J5188" t="str">
        <f t="shared" si="2441"/>
        <v>10/09/2025</v>
      </c>
      <c r="M5188">
        <v>303</v>
      </c>
      <c r="N5188" t="str">
        <f t="shared" si="2442"/>
        <v>RECEITAS COM ENTREGAS</v>
      </c>
      <c r="P5188">
        <v>1274.76</v>
      </c>
      <c r="Q5188" t="str">
        <f>"FARMÁCIA INDIANA LJ 07 (10007)"</f>
        <v>FARMÁCIA INDIANA LJ 07 (10007)</v>
      </c>
      <c r="R5188" t="str">
        <f t="shared" si="2443"/>
        <v>RECEITAS COM ENTREGAS (303)</v>
      </c>
      <c r="S5188">
        <v>2526</v>
      </c>
      <c r="T5188">
        <v>2020</v>
      </c>
      <c r="U5188" t="s">
        <v>19</v>
      </c>
    </row>
    <row r="5189" spans="1:21">
      <c r="A5189" t="str">
        <f t="shared" si="2434"/>
        <v>10/09/2025</v>
      </c>
      <c r="B5189" t="str">
        <f t="shared" si="2444"/>
        <v>ENTRADA</v>
      </c>
      <c r="C5189" t="str">
        <f t="shared" si="2435"/>
        <v>NFSE</v>
      </c>
      <c r="D5189" t="str">
        <f t="shared" si="2448"/>
        <v>3425</v>
      </c>
      <c r="E5189" t="str">
        <f t="shared" si="2431"/>
        <v>COM</v>
      </c>
      <c r="F5189" t="str">
        <f t="shared" si="2449"/>
        <v>FARMÁCIA INDIANA LJ 1 (10126)</v>
      </c>
      <c r="G5189" t="str">
        <f t="shared" si="2450"/>
        <v>Serv.Prest. 25/08/2025 a 31/08/2025 - RPS: 1190 - NFSe: 3425</v>
      </c>
      <c r="H5189" t="str">
        <f t="shared" si="2439"/>
        <v>10/09/2025</v>
      </c>
      <c r="I5189" t="str">
        <f t="shared" si="2440"/>
        <v>02/09/2025</v>
      </c>
      <c r="J5189" t="str">
        <f t="shared" si="2441"/>
        <v>10/09/2025</v>
      </c>
      <c r="M5189">
        <v>303</v>
      </c>
      <c r="N5189" t="str">
        <f t="shared" si="2442"/>
        <v>RECEITAS COM ENTREGAS</v>
      </c>
      <c r="P5189">
        <v>1061.6199999999999</v>
      </c>
      <c r="Q5189" t="str">
        <f>"FARMÁCIA INDIANA LJ 11 (10008)"</f>
        <v>FARMÁCIA INDIANA LJ 11 (10008)</v>
      </c>
      <c r="R5189" t="str">
        <f t="shared" si="2443"/>
        <v>RECEITAS COM ENTREGAS (303)</v>
      </c>
      <c r="S5189">
        <v>2526</v>
      </c>
      <c r="T5189">
        <v>2020</v>
      </c>
      <c r="U5189" t="s">
        <v>19</v>
      </c>
    </row>
    <row r="5190" spans="1:21">
      <c r="A5190" t="str">
        <f t="shared" si="2434"/>
        <v>10/09/2025</v>
      </c>
      <c r="B5190" t="str">
        <f t="shared" si="2444"/>
        <v>ENTRADA</v>
      </c>
      <c r="C5190" t="str">
        <f t="shared" si="2435"/>
        <v>NFSE</v>
      </c>
      <c r="D5190" t="str">
        <f t="shared" si="2448"/>
        <v>3425</v>
      </c>
      <c r="E5190" t="str">
        <f t="shared" si="2431"/>
        <v>COM</v>
      </c>
      <c r="F5190" t="str">
        <f t="shared" si="2449"/>
        <v>FARMÁCIA INDIANA LJ 1 (10126)</v>
      </c>
      <c r="G5190" t="str">
        <f t="shared" si="2450"/>
        <v>Serv.Prest. 25/08/2025 a 31/08/2025 - RPS: 1190 - NFSe: 3425</v>
      </c>
      <c r="H5190" t="str">
        <f t="shared" si="2439"/>
        <v>10/09/2025</v>
      </c>
      <c r="I5190" t="str">
        <f t="shared" si="2440"/>
        <v>02/09/2025</v>
      </c>
      <c r="J5190" t="str">
        <f t="shared" si="2441"/>
        <v>10/09/2025</v>
      </c>
      <c r="M5190">
        <v>303</v>
      </c>
      <c r="N5190" t="str">
        <f t="shared" si="2442"/>
        <v>RECEITAS COM ENTREGAS</v>
      </c>
      <c r="P5190">
        <v>392.34</v>
      </c>
      <c r="Q5190" t="str">
        <f>"FARMÁCIA INDIANA LJ 14 (10009)"</f>
        <v>FARMÁCIA INDIANA LJ 14 (10009)</v>
      </c>
      <c r="R5190" t="str">
        <f t="shared" si="2443"/>
        <v>RECEITAS COM ENTREGAS (303)</v>
      </c>
      <c r="S5190">
        <v>2526</v>
      </c>
      <c r="T5190">
        <v>2020</v>
      </c>
      <c r="U5190" t="s">
        <v>19</v>
      </c>
    </row>
    <row r="5191" spans="1:21">
      <c r="A5191" t="str">
        <f t="shared" si="2434"/>
        <v>10/09/2025</v>
      </c>
      <c r="B5191" t="str">
        <f t="shared" si="2444"/>
        <v>ENTRADA</v>
      </c>
      <c r="C5191" t="str">
        <f t="shared" si="2435"/>
        <v>NFSE</v>
      </c>
      <c r="D5191" t="str">
        <f t="shared" si="2448"/>
        <v>3425</v>
      </c>
      <c r="E5191" t="str">
        <f t="shared" si="2431"/>
        <v>COM</v>
      </c>
      <c r="F5191" t="str">
        <f t="shared" si="2449"/>
        <v>FARMÁCIA INDIANA LJ 1 (10126)</v>
      </c>
      <c r="G5191" t="str">
        <f t="shared" si="2450"/>
        <v>Serv.Prest. 25/08/2025 a 31/08/2025 - RPS: 1190 - NFSe: 3425</v>
      </c>
      <c r="H5191" t="str">
        <f t="shared" si="2439"/>
        <v>10/09/2025</v>
      </c>
      <c r="I5191" t="str">
        <f t="shared" si="2440"/>
        <v>02/09/2025</v>
      </c>
      <c r="J5191" t="str">
        <f t="shared" si="2441"/>
        <v>10/09/2025</v>
      </c>
      <c r="M5191">
        <v>303</v>
      </c>
      <c r="N5191" t="str">
        <f t="shared" si="2442"/>
        <v>RECEITAS COM ENTREGAS</v>
      </c>
      <c r="P5191">
        <v>332.6</v>
      </c>
      <c r="Q5191" t="str">
        <f>"FARMÁCIA INDIANA LJ 18 (10011)"</f>
        <v>FARMÁCIA INDIANA LJ 18 (10011)</v>
      </c>
      <c r="R5191" t="str">
        <f t="shared" si="2443"/>
        <v>RECEITAS COM ENTREGAS (303)</v>
      </c>
      <c r="S5191">
        <v>2526</v>
      </c>
      <c r="T5191">
        <v>2020</v>
      </c>
      <c r="U5191" t="s">
        <v>19</v>
      </c>
    </row>
    <row r="5192" spans="1:21">
      <c r="A5192" t="str">
        <f t="shared" si="2434"/>
        <v>10/09/2025</v>
      </c>
      <c r="B5192" t="str">
        <f t="shared" si="2444"/>
        <v>ENTRADA</v>
      </c>
      <c r="C5192" t="str">
        <f t="shared" si="2435"/>
        <v>NFSE</v>
      </c>
      <c r="D5192" t="str">
        <f t="shared" si="2448"/>
        <v>3425</v>
      </c>
      <c r="E5192" t="str">
        <f t="shared" si="2431"/>
        <v>COM</v>
      </c>
      <c r="F5192" t="str">
        <f t="shared" si="2449"/>
        <v>FARMÁCIA INDIANA LJ 1 (10126)</v>
      </c>
      <c r="G5192" t="str">
        <f t="shared" si="2450"/>
        <v>Serv.Prest. 25/08/2025 a 31/08/2025 - RPS: 1190 - NFSe: 3425</v>
      </c>
      <c r="H5192" t="str">
        <f t="shared" si="2439"/>
        <v>10/09/2025</v>
      </c>
      <c r="I5192" t="str">
        <f t="shared" si="2440"/>
        <v>02/09/2025</v>
      </c>
      <c r="J5192" t="str">
        <f t="shared" si="2441"/>
        <v>10/09/2025</v>
      </c>
      <c r="M5192">
        <v>303</v>
      </c>
      <c r="N5192" t="str">
        <f t="shared" si="2442"/>
        <v>RECEITAS COM ENTREGAS</v>
      </c>
      <c r="P5192">
        <v>335.32</v>
      </c>
      <c r="Q5192" t="str">
        <f>"FARMÁCIA INDIANA LJ 19 (10012)"</f>
        <v>FARMÁCIA INDIANA LJ 19 (10012)</v>
      </c>
      <c r="R5192" t="str">
        <f t="shared" si="2443"/>
        <v>RECEITAS COM ENTREGAS (303)</v>
      </c>
      <c r="S5192">
        <v>2526</v>
      </c>
      <c r="T5192">
        <v>2020</v>
      </c>
      <c r="U5192" t="s">
        <v>19</v>
      </c>
    </row>
    <row r="5193" spans="1:21">
      <c r="A5193" t="str">
        <f t="shared" si="2434"/>
        <v>10/09/2025</v>
      </c>
      <c r="B5193" t="str">
        <f t="shared" si="2444"/>
        <v>ENTRADA</v>
      </c>
      <c r="C5193" t="str">
        <f t="shared" si="2435"/>
        <v>NFSE</v>
      </c>
      <c r="D5193" t="str">
        <f t="shared" si="2448"/>
        <v>3425</v>
      </c>
      <c r="E5193" t="str">
        <f t="shared" si="2431"/>
        <v>COM</v>
      </c>
      <c r="F5193" t="str">
        <f t="shared" si="2449"/>
        <v>FARMÁCIA INDIANA LJ 1 (10126)</v>
      </c>
      <c r="G5193" t="str">
        <f t="shared" si="2450"/>
        <v>Serv.Prest. 25/08/2025 a 31/08/2025 - RPS: 1190 - NFSe: 3425</v>
      </c>
      <c r="H5193" t="str">
        <f t="shared" si="2439"/>
        <v>10/09/2025</v>
      </c>
      <c r="I5193" t="str">
        <f t="shared" si="2440"/>
        <v>02/09/2025</v>
      </c>
      <c r="J5193" t="str">
        <f t="shared" si="2441"/>
        <v>10/09/2025</v>
      </c>
      <c r="M5193">
        <v>303</v>
      </c>
      <c r="N5193" t="str">
        <f t="shared" si="2442"/>
        <v>RECEITAS COM ENTREGAS</v>
      </c>
      <c r="P5193">
        <v>909.57</v>
      </c>
      <c r="Q5193" t="str">
        <f>"FARMÁCIA INDIANA LJ 40 (10016)"</f>
        <v>FARMÁCIA INDIANA LJ 40 (10016)</v>
      </c>
      <c r="R5193" t="str">
        <f t="shared" si="2443"/>
        <v>RECEITAS COM ENTREGAS (303)</v>
      </c>
      <c r="S5193">
        <v>2526</v>
      </c>
      <c r="T5193">
        <v>2020</v>
      </c>
      <c r="U5193" t="s">
        <v>19</v>
      </c>
    </row>
    <row r="5194" spans="1:21">
      <c r="A5194" t="str">
        <f t="shared" si="2434"/>
        <v>10/09/2025</v>
      </c>
      <c r="B5194" t="str">
        <f t="shared" si="2444"/>
        <v>ENTRADA</v>
      </c>
      <c r="C5194" t="str">
        <f t="shared" si="2435"/>
        <v>NFSE</v>
      </c>
      <c r="D5194" t="str">
        <f t="shared" si="2448"/>
        <v>3425</v>
      </c>
      <c r="E5194" t="str">
        <f t="shared" si="2431"/>
        <v>COM</v>
      </c>
      <c r="F5194" t="str">
        <f t="shared" si="2449"/>
        <v>FARMÁCIA INDIANA LJ 1 (10126)</v>
      </c>
      <c r="G5194" t="str">
        <f t="shared" si="2450"/>
        <v>Serv.Prest. 25/08/2025 a 31/08/2025 - RPS: 1190 - NFSe: 3425</v>
      </c>
      <c r="H5194" t="str">
        <f t="shared" si="2439"/>
        <v>10/09/2025</v>
      </c>
      <c r="I5194" t="str">
        <f t="shared" si="2440"/>
        <v>02/09/2025</v>
      </c>
      <c r="J5194" t="str">
        <f t="shared" si="2441"/>
        <v>10/09/2025</v>
      </c>
      <c r="M5194">
        <v>303</v>
      </c>
      <c r="N5194" t="str">
        <f t="shared" si="2442"/>
        <v>RECEITAS COM ENTREGAS</v>
      </c>
      <c r="P5194">
        <v>316.31</v>
      </c>
      <c r="Q5194" t="str">
        <f>"FARMÁCIA INDIANA LJ 59 (10026)"</f>
        <v>FARMÁCIA INDIANA LJ 59 (10026)</v>
      </c>
      <c r="R5194" t="str">
        <f t="shared" si="2443"/>
        <v>RECEITAS COM ENTREGAS (303)</v>
      </c>
      <c r="S5194">
        <v>2526</v>
      </c>
      <c r="T5194">
        <v>2020</v>
      </c>
      <c r="U5194" t="s">
        <v>19</v>
      </c>
    </row>
    <row r="5195" spans="1:21">
      <c r="A5195" t="str">
        <f t="shared" ref="A5195:A5226" si="2451">("10/09/2025")</f>
        <v>10/09/2025</v>
      </c>
      <c r="B5195" t="str">
        <f t="shared" si="2444"/>
        <v>ENTRADA</v>
      </c>
      <c r="C5195" t="str">
        <f t="shared" ref="C5195:C5226" si="2452">"NFSE"</f>
        <v>NFSE</v>
      </c>
      <c r="D5195" t="str">
        <f t="shared" si="2448"/>
        <v>3425</v>
      </c>
      <c r="E5195" t="str">
        <f t="shared" si="2431"/>
        <v>COM</v>
      </c>
      <c r="F5195" t="str">
        <f t="shared" si="2449"/>
        <v>FARMÁCIA INDIANA LJ 1 (10126)</v>
      </c>
      <c r="G5195" t="str">
        <f t="shared" si="2450"/>
        <v>Serv.Prest. 25/08/2025 a 31/08/2025 - RPS: 1190 - NFSe: 3425</v>
      </c>
      <c r="H5195" t="str">
        <f t="shared" ref="H5195:H5226" si="2453">("10/09/2025")</f>
        <v>10/09/2025</v>
      </c>
      <c r="I5195" t="str">
        <f t="shared" ref="I5195:I5226" si="2454">("02/09/2025")</f>
        <v>02/09/2025</v>
      </c>
      <c r="J5195" t="str">
        <f t="shared" ref="J5195:J5226" si="2455">("10/09/2025")</f>
        <v>10/09/2025</v>
      </c>
      <c r="M5195">
        <v>303</v>
      </c>
      <c r="N5195" t="str">
        <f t="shared" ref="N5195:N5226" si="2456">"RECEITAS COM ENTREGAS"</f>
        <v>RECEITAS COM ENTREGAS</v>
      </c>
      <c r="P5195">
        <v>486.01</v>
      </c>
      <c r="Q5195" t="str">
        <f>"FARMÁCIA INDIANA LJ 61 (10027)"</f>
        <v>FARMÁCIA INDIANA LJ 61 (10027)</v>
      </c>
      <c r="R5195" t="str">
        <f t="shared" ref="R5195:R5226" si="2457">"RECEITAS COM ENTREGAS (303)"</f>
        <v>RECEITAS COM ENTREGAS (303)</v>
      </c>
      <c r="S5195">
        <v>2526</v>
      </c>
      <c r="T5195">
        <v>2020</v>
      </c>
      <c r="U5195" t="s">
        <v>19</v>
      </c>
    </row>
    <row r="5196" spans="1:21">
      <c r="A5196" t="str">
        <f t="shared" si="2451"/>
        <v>10/09/2025</v>
      </c>
      <c r="B5196" t="str">
        <f t="shared" si="2444"/>
        <v>ENTRADA</v>
      </c>
      <c r="C5196" t="str">
        <f t="shared" si="2452"/>
        <v>NFSE</v>
      </c>
      <c r="D5196" t="str">
        <f t="shared" si="2448"/>
        <v>3425</v>
      </c>
      <c r="E5196" t="str">
        <f t="shared" si="2431"/>
        <v>COM</v>
      </c>
      <c r="F5196" t="str">
        <f t="shared" si="2449"/>
        <v>FARMÁCIA INDIANA LJ 1 (10126)</v>
      </c>
      <c r="G5196" t="str">
        <f t="shared" si="2450"/>
        <v>Serv.Prest. 25/08/2025 a 31/08/2025 - RPS: 1190 - NFSe: 3425</v>
      </c>
      <c r="H5196" t="str">
        <f t="shared" si="2453"/>
        <v>10/09/2025</v>
      </c>
      <c r="I5196" t="str">
        <f t="shared" si="2454"/>
        <v>02/09/2025</v>
      </c>
      <c r="J5196" t="str">
        <f t="shared" si="2455"/>
        <v>10/09/2025</v>
      </c>
      <c r="M5196">
        <v>303</v>
      </c>
      <c r="N5196" t="str">
        <f t="shared" si="2456"/>
        <v>RECEITAS COM ENTREGAS</v>
      </c>
      <c r="P5196">
        <v>304.10000000000002</v>
      </c>
      <c r="Q5196" t="str">
        <f>"FARMÁCIA INDIANA LJ 62 (10028)"</f>
        <v>FARMÁCIA INDIANA LJ 62 (10028)</v>
      </c>
      <c r="R5196" t="str">
        <f t="shared" si="2457"/>
        <v>RECEITAS COM ENTREGAS (303)</v>
      </c>
      <c r="S5196">
        <v>2526</v>
      </c>
      <c r="T5196">
        <v>2020</v>
      </c>
      <c r="U5196" t="s">
        <v>19</v>
      </c>
    </row>
    <row r="5197" spans="1:21">
      <c r="A5197" t="str">
        <f t="shared" si="2451"/>
        <v>10/09/2025</v>
      </c>
      <c r="B5197" t="str">
        <f t="shared" si="2444"/>
        <v>ENTRADA</v>
      </c>
      <c r="C5197" t="str">
        <f t="shared" si="2452"/>
        <v>NFSE</v>
      </c>
      <c r="D5197" t="str">
        <f t="shared" si="2448"/>
        <v>3425</v>
      </c>
      <c r="E5197" t="str">
        <f t="shared" si="2431"/>
        <v>COM</v>
      </c>
      <c r="F5197" t="str">
        <f t="shared" si="2449"/>
        <v>FARMÁCIA INDIANA LJ 1 (10126)</v>
      </c>
      <c r="G5197" t="str">
        <f t="shared" si="2450"/>
        <v>Serv.Prest. 25/08/2025 a 31/08/2025 - RPS: 1190 - NFSe: 3425</v>
      </c>
      <c r="H5197" t="str">
        <f t="shared" si="2453"/>
        <v>10/09/2025</v>
      </c>
      <c r="I5197" t="str">
        <f t="shared" si="2454"/>
        <v>02/09/2025</v>
      </c>
      <c r="J5197" t="str">
        <f t="shared" si="2455"/>
        <v>10/09/2025</v>
      </c>
      <c r="M5197">
        <v>303</v>
      </c>
      <c r="N5197" t="str">
        <f t="shared" si="2456"/>
        <v>RECEITAS COM ENTREGAS</v>
      </c>
      <c r="P5197">
        <v>114.04</v>
      </c>
      <c r="Q5197" t="str">
        <f>"FARMÁCIA INDIANA LJ 64 (10029)"</f>
        <v>FARMÁCIA INDIANA LJ 64 (10029)</v>
      </c>
      <c r="R5197" t="str">
        <f t="shared" si="2457"/>
        <v>RECEITAS COM ENTREGAS (303)</v>
      </c>
      <c r="S5197">
        <v>2526</v>
      </c>
      <c r="T5197">
        <v>2020</v>
      </c>
      <c r="U5197" t="s">
        <v>19</v>
      </c>
    </row>
    <row r="5198" spans="1:21">
      <c r="A5198" t="str">
        <f t="shared" si="2451"/>
        <v>10/09/2025</v>
      </c>
      <c r="B5198" t="str">
        <f t="shared" si="2444"/>
        <v>ENTRADA</v>
      </c>
      <c r="C5198" t="str">
        <f t="shared" si="2452"/>
        <v>NFSE</v>
      </c>
      <c r="D5198" t="str">
        <f t="shared" si="2448"/>
        <v>3425</v>
      </c>
      <c r="E5198" t="str">
        <f t="shared" si="2431"/>
        <v>COM</v>
      </c>
      <c r="F5198" t="str">
        <f t="shared" si="2449"/>
        <v>FARMÁCIA INDIANA LJ 1 (10126)</v>
      </c>
      <c r="G5198" t="str">
        <f t="shared" si="2450"/>
        <v>Serv.Prest. 25/08/2025 a 31/08/2025 - RPS: 1190 - NFSe: 3425</v>
      </c>
      <c r="H5198" t="str">
        <f t="shared" si="2453"/>
        <v>10/09/2025</v>
      </c>
      <c r="I5198" t="str">
        <f t="shared" si="2454"/>
        <v>02/09/2025</v>
      </c>
      <c r="J5198" t="str">
        <f t="shared" si="2455"/>
        <v>10/09/2025</v>
      </c>
      <c r="M5198">
        <v>303</v>
      </c>
      <c r="N5198" t="str">
        <f t="shared" si="2456"/>
        <v>RECEITAS COM ENTREGAS</v>
      </c>
      <c r="P5198">
        <v>66.52</v>
      </c>
      <c r="Q5198" t="str">
        <f>"FARMÁCIA INDIANA LJ 97 (10040)"</f>
        <v>FARMÁCIA INDIANA LJ 97 (10040)</v>
      </c>
      <c r="R5198" t="str">
        <f t="shared" si="2457"/>
        <v>RECEITAS COM ENTREGAS (303)</v>
      </c>
      <c r="S5198">
        <v>2526</v>
      </c>
      <c r="T5198">
        <v>2020</v>
      </c>
      <c r="U5198" t="s">
        <v>19</v>
      </c>
    </row>
    <row r="5199" spans="1:21">
      <c r="A5199" t="str">
        <f t="shared" si="2451"/>
        <v>10/09/2025</v>
      </c>
      <c r="B5199" t="str">
        <f t="shared" si="2444"/>
        <v>ENTRADA</v>
      </c>
      <c r="C5199" t="str">
        <f t="shared" si="2452"/>
        <v>NFSE</v>
      </c>
      <c r="D5199" t="str">
        <f t="shared" si="2448"/>
        <v>3425</v>
      </c>
      <c r="E5199" t="str">
        <f t="shared" si="2431"/>
        <v>COM</v>
      </c>
      <c r="F5199" t="str">
        <f t="shared" si="2449"/>
        <v>FARMÁCIA INDIANA LJ 1 (10126)</v>
      </c>
      <c r="G5199" t="str">
        <f t="shared" si="2450"/>
        <v>Serv.Prest. 25/08/2025 a 31/08/2025 - RPS: 1190 - NFSe: 3425</v>
      </c>
      <c r="H5199" t="str">
        <f t="shared" si="2453"/>
        <v>10/09/2025</v>
      </c>
      <c r="I5199" t="str">
        <f t="shared" si="2454"/>
        <v>02/09/2025</v>
      </c>
      <c r="J5199" t="str">
        <f t="shared" si="2455"/>
        <v>10/09/2025</v>
      </c>
      <c r="M5199">
        <v>303</v>
      </c>
      <c r="N5199" t="str">
        <f t="shared" si="2456"/>
        <v>RECEITAS COM ENTREGAS</v>
      </c>
      <c r="P5199">
        <v>320.39</v>
      </c>
      <c r="Q5199" t="str">
        <f>"FARMÁCIA INDIANA LJ 100 (10042)"</f>
        <v>FARMÁCIA INDIANA LJ 100 (10042)</v>
      </c>
      <c r="R5199" t="str">
        <f t="shared" si="2457"/>
        <v>RECEITAS COM ENTREGAS (303)</v>
      </c>
      <c r="S5199">
        <v>2526</v>
      </c>
      <c r="T5199">
        <v>2020</v>
      </c>
      <c r="U5199" t="s">
        <v>19</v>
      </c>
    </row>
    <row r="5200" spans="1:21">
      <c r="A5200" t="str">
        <f t="shared" si="2451"/>
        <v>10/09/2025</v>
      </c>
      <c r="B5200" t="str">
        <f t="shared" si="2444"/>
        <v>ENTRADA</v>
      </c>
      <c r="C5200" t="str">
        <f t="shared" si="2452"/>
        <v>NFSE</v>
      </c>
      <c r="D5200" t="str">
        <f t="shared" si="2448"/>
        <v>3425</v>
      </c>
      <c r="E5200" t="str">
        <f t="shared" si="2431"/>
        <v>COM</v>
      </c>
      <c r="F5200" t="str">
        <f t="shared" si="2449"/>
        <v>FARMÁCIA INDIANA LJ 1 (10126)</v>
      </c>
      <c r="G5200" t="str">
        <f t="shared" si="2450"/>
        <v>Serv.Prest. 25/08/2025 a 31/08/2025 - RPS: 1190 - NFSe: 3425</v>
      </c>
      <c r="H5200" t="str">
        <f t="shared" si="2453"/>
        <v>10/09/2025</v>
      </c>
      <c r="I5200" t="str">
        <f t="shared" si="2454"/>
        <v>02/09/2025</v>
      </c>
      <c r="J5200" t="str">
        <f t="shared" si="2455"/>
        <v>10/09/2025</v>
      </c>
      <c r="M5200">
        <v>303</v>
      </c>
      <c r="N5200" t="str">
        <f t="shared" si="2456"/>
        <v>RECEITAS COM ENTREGAS</v>
      </c>
      <c r="P5200">
        <v>605.48</v>
      </c>
      <c r="Q5200" t="str">
        <f>"FARMÁCIA INDIANA LJ 101 (10043)"</f>
        <v>FARMÁCIA INDIANA LJ 101 (10043)</v>
      </c>
      <c r="R5200" t="str">
        <f t="shared" si="2457"/>
        <v>RECEITAS COM ENTREGAS (303)</v>
      </c>
      <c r="S5200">
        <v>2526</v>
      </c>
      <c r="T5200">
        <v>2020</v>
      </c>
      <c r="U5200" t="s">
        <v>19</v>
      </c>
    </row>
    <row r="5201" spans="1:21">
      <c r="A5201" t="str">
        <f t="shared" si="2451"/>
        <v>10/09/2025</v>
      </c>
      <c r="B5201" t="str">
        <f t="shared" si="2444"/>
        <v>ENTRADA</v>
      </c>
      <c r="C5201" t="str">
        <f t="shared" si="2452"/>
        <v>NFSE</v>
      </c>
      <c r="D5201" t="str">
        <f t="shared" si="2448"/>
        <v>3425</v>
      </c>
      <c r="E5201" t="str">
        <f t="shared" si="2431"/>
        <v>COM</v>
      </c>
      <c r="F5201" t="str">
        <f t="shared" si="2449"/>
        <v>FARMÁCIA INDIANA LJ 1 (10126)</v>
      </c>
      <c r="G5201" t="str">
        <f t="shared" si="2450"/>
        <v>Serv.Prest. 25/08/2025 a 31/08/2025 - RPS: 1190 - NFSe: 3425</v>
      </c>
      <c r="H5201" t="str">
        <f t="shared" si="2453"/>
        <v>10/09/2025</v>
      </c>
      <c r="I5201" t="str">
        <f t="shared" si="2454"/>
        <v>02/09/2025</v>
      </c>
      <c r="J5201" t="str">
        <f t="shared" si="2455"/>
        <v>10/09/2025</v>
      </c>
      <c r="M5201">
        <v>303</v>
      </c>
      <c r="N5201" t="str">
        <f t="shared" si="2456"/>
        <v>RECEITAS COM ENTREGAS</v>
      </c>
      <c r="P5201">
        <v>134.4</v>
      </c>
      <c r="Q5201" t="str">
        <f>"FARMÁCIA INDIANA LJ 103 (10044)"</f>
        <v>FARMÁCIA INDIANA LJ 103 (10044)</v>
      </c>
      <c r="R5201" t="str">
        <f t="shared" si="2457"/>
        <v>RECEITAS COM ENTREGAS (303)</v>
      </c>
      <c r="S5201">
        <v>2526</v>
      </c>
      <c r="T5201">
        <v>2020</v>
      </c>
      <c r="U5201" t="s">
        <v>19</v>
      </c>
    </row>
    <row r="5202" spans="1:21">
      <c r="A5202" t="str">
        <f t="shared" si="2451"/>
        <v>10/09/2025</v>
      </c>
      <c r="B5202" t="str">
        <f t="shared" si="2444"/>
        <v>ENTRADA</v>
      </c>
      <c r="C5202" t="str">
        <f t="shared" si="2452"/>
        <v>NFSE</v>
      </c>
      <c r="D5202" t="str">
        <f t="shared" si="2448"/>
        <v>3425</v>
      </c>
      <c r="E5202" t="str">
        <f t="shared" si="2431"/>
        <v>COM</v>
      </c>
      <c r="F5202" t="str">
        <f t="shared" si="2449"/>
        <v>FARMÁCIA INDIANA LJ 1 (10126)</v>
      </c>
      <c r="G5202" t="str">
        <f t="shared" si="2450"/>
        <v>Serv.Prest. 25/08/2025 a 31/08/2025 - RPS: 1190 - NFSe: 3425</v>
      </c>
      <c r="H5202" t="str">
        <f t="shared" si="2453"/>
        <v>10/09/2025</v>
      </c>
      <c r="I5202" t="str">
        <f t="shared" si="2454"/>
        <v>02/09/2025</v>
      </c>
      <c r="J5202" t="str">
        <f t="shared" si="2455"/>
        <v>10/09/2025</v>
      </c>
      <c r="M5202">
        <v>303</v>
      </c>
      <c r="N5202" t="str">
        <f t="shared" si="2456"/>
        <v>RECEITAS COM ENTREGAS</v>
      </c>
      <c r="P5202">
        <v>204.99</v>
      </c>
      <c r="Q5202" t="str">
        <f>"FARMÁCIA INDIANA LJ 109 (10047)"</f>
        <v>FARMÁCIA INDIANA LJ 109 (10047)</v>
      </c>
      <c r="R5202" t="str">
        <f t="shared" si="2457"/>
        <v>RECEITAS COM ENTREGAS (303)</v>
      </c>
      <c r="S5202">
        <v>2526</v>
      </c>
      <c r="T5202">
        <v>2020</v>
      </c>
      <c r="U5202" t="s">
        <v>19</v>
      </c>
    </row>
    <row r="5203" spans="1:21">
      <c r="A5203" t="str">
        <f t="shared" si="2451"/>
        <v>10/09/2025</v>
      </c>
      <c r="B5203" t="str">
        <f t="shared" si="2444"/>
        <v>ENTRADA</v>
      </c>
      <c r="C5203" t="str">
        <f t="shared" si="2452"/>
        <v>NFSE</v>
      </c>
      <c r="D5203" t="str">
        <f t="shared" si="2448"/>
        <v>3425</v>
      </c>
      <c r="E5203" t="str">
        <f t="shared" si="2431"/>
        <v>COM</v>
      </c>
      <c r="F5203" t="str">
        <f t="shared" si="2449"/>
        <v>FARMÁCIA INDIANA LJ 1 (10126)</v>
      </c>
      <c r="G5203" t="str">
        <f t="shared" si="2450"/>
        <v>Serv.Prest. 25/08/2025 a 31/08/2025 - RPS: 1190 - NFSe: 3425</v>
      </c>
      <c r="H5203" t="str">
        <f t="shared" si="2453"/>
        <v>10/09/2025</v>
      </c>
      <c r="I5203" t="str">
        <f t="shared" si="2454"/>
        <v>02/09/2025</v>
      </c>
      <c r="J5203" t="str">
        <f t="shared" si="2455"/>
        <v>10/09/2025</v>
      </c>
      <c r="M5203">
        <v>303</v>
      </c>
      <c r="N5203" t="str">
        <f t="shared" si="2456"/>
        <v>RECEITAS COM ENTREGAS</v>
      </c>
      <c r="P5203">
        <v>393.7</v>
      </c>
      <c r="Q5203" t="str">
        <f>"FARMÁCIA INDIANA LJ 110 (10048)"</f>
        <v>FARMÁCIA INDIANA LJ 110 (10048)</v>
      </c>
      <c r="R5203" t="str">
        <f t="shared" si="2457"/>
        <v>RECEITAS COM ENTREGAS (303)</v>
      </c>
      <c r="S5203">
        <v>2526</v>
      </c>
      <c r="T5203">
        <v>2020</v>
      </c>
      <c r="U5203" t="s">
        <v>19</v>
      </c>
    </row>
    <row r="5204" spans="1:21">
      <c r="A5204" t="str">
        <f t="shared" si="2451"/>
        <v>10/09/2025</v>
      </c>
      <c r="B5204" t="str">
        <f t="shared" si="2444"/>
        <v>ENTRADA</v>
      </c>
      <c r="C5204" t="str">
        <f t="shared" si="2452"/>
        <v>NFSE</v>
      </c>
      <c r="D5204" t="str">
        <f t="shared" si="2448"/>
        <v>3425</v>
      </c>
      <c r="E5204" t="str">
        <f t="shared" si="2431"/>
        <v>COM</v>
      </c>
      <c r="F5204" t="str">
        <f t="shared" si="2449"/>
        <v>FARMÁCIA INDIANA LJ 1 (10126)</v>
      </c>
      <c r="G5204" t="str">
        <f t="shared" si="2450"/>
        <v>Serv.Prest. 25/08/2025 a 31/08/2025 - RPS: 1190 - NFSe: 3425</v>
      </c>
      <c r="H5204" t="str">
        <f t="shared" si="2453"/>
        <v>10/09/2025</v>
      </c>
      <c r="I5204" t="str">
        <f t="shared" si="2454"/>
        <v>02/09/2025</v>
      </c>
      <c r="J5204" t="str">
        <f t="shared" si="2455"/>
        <v>10/09/2025</v>
      </c>
      <c r="M5204">
        <v>303</v>
      </c>
      <c r="N5204" t="str">
        <f t="shared" si="2456"/>
        <v>RECEITAS COM ENTREGAS</v>
      </c>
      <c r="P5204">
        <v>63.81</v>
      </c>
      <c r="Q5204" t="str">
        <f>"FARMÁCIA INDIANA LJ 111 (10049)"</f>
        <v>FARMÁCIA INDIANA LJ 111 (10049)</v>
      </c>
      <c r="R5204" t="str">
        <f t="shared" si="2457"/>
        <v>RECEITAS COM ENTREGAS (303)</v>
      </c>
      <c r="S5204">
        <v>2526</v>
      </c>
      <c r="T5204">
        <v>2020</v>
      </c>
      <c r="U5204" t="s">
        <v>19</v>
      </c>
    </row>
    <row r="5205" spans="1:21">
      <c r="A5205" t="str">
        <f t="shared" si="2451"/>
        <v>10/09/2025</v>
      </c>
      <c r="B5205" t="str">
        <f t="shared" si="2444"/>
        <v>ENTRADA</v>
      </c>
      <c r="C5205" t="str">
        <f t="shared" si="2452"/>
        <v>NFSE</v>
      </c>
      <c r="D5205" t="str">
        <f t="shared" si="2448"/>
        <v>3425</v>
      </c>
      <c r="E5205" t="str">
        <f t="shared" si="2431"/>
        <v>COM</v>
      </c>
      <c r="F5205" t="str">
        <f t="shared" si="2449"/>
        <v>FARMÁCIA INDIANA LJ 1 (10126)</v>
      </c>
      <c r="G5205" t="str">
        <f t="shared" si="2450"/>
        <v>Serv.Prest. 25/08/2025 a 31/08/2025 - RPS: 1190 - NFSe: 3425</v>
      </c>
      <c r="H5205" t="str">
        <f t="shared" si="2453"/>
        <v>10/09/2025</v>
      </c>
      <c r="I5205" t="str">
        <f t="shared" si="2454"/>
        <v>02/09/2025</v>
      </c>
      <c r="J5205" t="str">
        <f t="shared" si="2455"/>
        <v>10/09/2025</v>
      </c>
      <c r="M5205">
        <v>303</v>
      </c>
      <c r="N5205" t="str">
        <f t="shared" si="2456"/>
        <v>RECEITAS COM ENTREGAS</v>
      </c>
      <c r="P5205">
        <v>160.19</v>
      </c>
      <c r="Q5205" t="str">
        <f>"FARMÁCIA INDIANA LJ 112 (10050)"</f>
        <v>FARMÁCIA INDIANA LJ 112 (10050)</v>
      </c>
      <c r="R5205" t="str">
        <f t="shared" si="2457"/>
        <v>RECEITAS COM ENTREGAS (303)</v>
      </c>
      <c r="S5205">
        <v>2526</v>
      </c>
      <c r="T5205">
        <v>2020</v>
      </c>
      <c r="U5205" t="s">
        <v>19</v>
      </c>
    </row>
    <row r="5206" spans="1:21">
      <c r="A5206" t="str">
        <f t="shared" si="2451"/>
        <v>10/09/2025</v>
      </c>
      <c r="B5206" t="str">
        <f t="shared" si="2444"/>
        <v>ENTRADA</v>
      </c>
      <c r="C5206" t="str">
        <f t="shared" si="2452"/>
        <v>NFSE</v>
      </c>
      <c r="D5206" t="str">
        <f t="shared" si="2448"/>
        <v>3425</v>
      </c>
      <c r="E5206" t="str">
        <f t="shared" si="2431"/>
        <v>COM</v>
      </c>
      <c r="F5206" t="str">
        <f t="shared" si="2449"/>
        <v>FARMÁCIA INDIANA LJ 1 (10126)</v>
      </c>
      <c r="G5206" t="str">
        <f t="shared" si="2450"/>
        <v>Serv.Prest. 25/08/2025 a 31/08/2025 - RPS: 1190 - NFSe: 3425</v>
      </c>
      <c r="H5206" t="str">
        <f t="shared" si="2453"/>
        <v>10/09/2025</v>
      </c>
      <c r="I5206" t="str">
        <f t="shared" si="2454"/>
        <v>02/09/2025</v>
      </c>
      <c r="J5206" t="str">
        <f t="shared" si="2455"/>
        <v>10/09/2025</v>
      </c>
      <c r="M5206">
        <v>303</v>
      </c>
      <c r="N5206" t="str">
        <f t="shared" si="2456"/>
        <v>RECEITAS COM ENTREGAS</v>
      </c>
      <c r="P5206">
        <v>160.19</v>
      </c>
      <c r="Q5206" t="str">
        <f>"FARMÁCIA INDIANA LJ 116 (10051)"</f>
        <v>FARMÁCIA INDIANA LJ 116 (10051)</v>
      </c>
      <c r="R5206" t="str">
        <f t="shared" si="2457"/>
        <v>RECEITAS COM ENTREGAS (303)</v>
      </c>
      <c r="S5206">
        <v>2526</v>
      </c>
      <c r="T5206">
        <v>2020</v>
      </c>
      <c r="U5206" t="s">
        <v>19</v>
      </c>
    </row>
    <row r="5207" spans="1:21">
      <c r="A5207" t="str">
        <f t="shared" si="2451"/>
        <v>10/09/2025</v>
      </c>
      <c r="B5207" t="str">
        <f t="shared" si="2444"/>
        <v>ENTRADA</v>
      </c>
      <c r="C5207" t="str">
        <f t="shared" si="2452"/>
        <v>NFSE</v>
      </c>
      <c r="D5207" t="str">
        <f t="shared" si="2448"/>
        <v>3425</v>
      </c>
      <c r="E5207" t="str">
        <f t="shared" si="2431"/>
        <v>COM</v>
      </c>
      <c r="F5207" t="str">
        <f t="shared" si="2449"/>
        <v>FARMÁCIA INDIANA LJ 1 (10126)</v>
      </c>
      <c r="G5207" t="str">
        <f t="shared" si="2450"/>
        <v>Serv.Prest. 25/08/2025 a 31/08/2025 - RPS: 1190 - NFSe: 3425</v>
      </c>
      <c r="H5207" t="str">
        <f t="shared" si="2453"/>
        <v>10/09/2025</v>
      </c>
      <c r="I5207" t="str">
        <f t="shared" si="2454"/>
        <v>02/09/2025</v>
      </c>
      <c r="J5207" t="str">
        <f t="shared" si="2455"/>
        <v>10/09/2025</v>
      </c>
      <c r="M5207">
        <v>303</v>
      </c>
      <c r="N5207" t="str">
        <f t="shared" si="2456"/>
        <v>RECEITAS COM ENTREGAS</v>
      </c>
      <c r="P5207">
        <v>116.75</v>
      </c>
      <c r="Q5207" t="str">
        <f>"FARMÁCIA INDIANA LJ 118 (10052)"</f>
        <v>FARMÁCIA INDIANA LJ 118 (10052)</v>
      </c>
      <c r="R5207" t="str">
        <f t="shared" si="2457"/>
        <v>RECEITAS COM ENTREGAS (303)</v>
      </c>
      <c r="S5207">
        <v>2526</v>
      </c>
      <c r="T5207">
        <v>2020</v>
      </c>
      <c r="U5207" t="s">
        <v>19</v>
      </c>
    </row>
    <row r="5208" spans="1:21">
      <c r="A5208" t="str">
        <f t="shared" si="2451"/>
        <v>10/09/2025</v>
      </c>
      <c r="B5208" t="str">
        <f t="shared" si="2444"/>
        <v>ENTRADA</v>
      </c>
      <c r="C5208" t="str">
        <f t="shared" si="2452"/>
        <v>NFSE</v>
      </c>
      <c r="D5208" t="str">
        <f t="shared" si="2448"/>
        <v>3425</v>
      </c>
      <c r="E5208" t="str">
        <f t="shared" si="2431"/>
        <v>COM</v>
      </c>
      <c r="F5208" t="str">
        <f t="shared" si="2449"/>
        <v>FARMÁCIA INDIANA LJ 1 (10126)</v>
      </c>
      <c r="G5208" t="str">
        <f t="shared" si="2450"/>
        <v>Serv.Prest. 25/08/2025 a 31/08/2025 - RPS: 1190 - NFSe: 3425</v>
      </c>
      <c r="H5208" t="str">
        <f t="shared" si="2453"/>
        <v>10/09/2025</v>
      </c>
      <c r="I5208" t="str">
        <f t="shared" si="2454"/>
        <v>02/09/2025</v>
      </c>
      <c r="J5208" t="str">
        <f t="shared" si="2455"/>
        <v>10/09/2025</v>
      </c>
      <c r="M5208">
        <v>303</v>
      </c>
      <c r="N5208" t="str">
        <f t="shared" si="2456"/>
        <v>RECEITAS COM ENTREGAS</v>
      </c>
      <c r="P5208">
        <v>160.19</v>
      </c>
      <c r="Q5208" t="str">
        <f>"FARMÁCIA INDIANA LJ 121 (10054)"</f>
        <v>FARMÁCIA INDIANA LJ 121 (10054)</v>
      </c>
      <c r="R5208" t="str">
        <f t="shared" si="2457"/>
        <v>RECEITAS COM ENTREGAS (303)</v>
      </c>
      <c r="S5208">
        <v>2526</v>
      </c>
      <c r="T5208">
        <v>2020</v>
      </c>
      <c r="U5208" t="s">
        <v>19</v>
      </c>
    </row>
    <row r="5209" spans="1:21">
      <c r="A5209" t="str">
        <f t="shared" si="2451"/>
        <v>10/09/2025</v>
      </c>
      <c r="B5209" t="str">
        <f t="shared" si="2444"/>
        <v>ENTRADA</v>
      </c>
      <c r="C5209" t="str">
        <f t="shared" si="2452"/>
        <v>NFSE</v>
      </c>
      <c r="D5209" t="str">
        <f t="shared" si="2448"/>
        <v>3425</v>
      </c>
      <c r="E5209" t="str">
        <f t="shared" si="2431"/>
        <v>COM</v>
      </c>
      <c r="F5209" t="str">
        <f t="shared" si="2449"/>
        <v>FARMÁCIA INDIANA LJ 1 (10126)</v>
      </c>
      <c r="G5209" t="str">
        <f t="shared" si="2450"/>
        <v>Serv.Prest. 25/08/2025 a 31/08/2025 - RPS: 1190 - NFSe: 3425</v>
      </c>
      <c r="H5209" t="str">
        <f t="shared" si="2453"/>
        <v>10/09/2025</v>
      </c>
      <c r="I5209" t="str">
        <f t="shared" si="2454"/>
        <v>02/09/2025</v>
      </c>
      <c r="J5209" t="str">
        <f t="shared" si="2455"/>
        <v>10/09/2025</v>
      </c>
      <c r="M5209">
        <v>303</v>
      </c>
      <c r="N5209" t="str">
        <f t="shared" si="2456"/>
        <v>RECEITAS COM ENTREGAS</v>
      </c>
      <c r="P5209">
        <v>160.19</v>
      </c>
      <c r="Q5209" t="str">
        <f>"FARMÁCIA INDIANA LJ 128 (10057)"</f>
        <v>FARMÁCIA INDIANA LJ 128 (10057)</v>
      </c>
      <c r="R5209" t="str">
        <f t="shared" si="2457"/>
        <v>RECEITAS COM ENTREGAS (303)</v>
      </c>
      <c r="S5209">
        <v>2526</v>
      </c>
      <c r="T5209">
        <v>2020</v>
      </c>
      <c r="U5209" t="s">
        <v>19</v>
      </c>
    </row>
    <row r="5210" spans="1:21">
      <c r="A5210" t="str">
        <f t="shared" si="2451"/>
        <v>10/09/2025</v>
      </c>
      <c r="B5210" t="str">
        <f t="shared" si="2444"/>
        <v>ENTRADA</v>
      </c>
      <c r="C5210" t="str">
        <f t="shared" si="2452"/>
        <v>NFSE</v>
      </c>
      <c r="D5210" t="str">
        <f t="shared" si="2448"/>
        <v>3425</v>
      </c>
      <c r="E5210" t="str">
        <f t="shared" si="2431"/>
        <v>COM</v>
      </c>
      <c r="F5210" t="str">
        <f t="shared" si="2449"/>
        <v>FARMÁCIA INDIANA LJ 1 (10126)</v>
      </c>
      <c r="G5210" t="str">
        <f t="shared" si="2450"/>
        <v>Serv.Prest. 25/08/2025 a 31/08/2025 - RPS: 1190 - NFSe: 3425</v>
      </c>
      <c r="H5210" t="str">
        <f t="shared" si="2453"/>
        <v>10/09/2025</v>
      </c>
      <c r="I5210" t="str">
        <f t="shared" si="2454"/>
        <v>02/09/2025</v>
      </c>
      <c r="J5210" t="str">
        <f t="shared" si="2455"/>
        <v>10/09/2025</v>
      </c>
      <c r="M5210">
        <v>303</v>
      </c>
      <c r="N5210" t="str">
        <f t="shared" si="2456"/>
        <v>RECEITAS COM ENTREGAS</v>
      </c>
      <c r="P5210">
        <v>28.51</v>
      </c>
      <c r="Q5210" t="str">
        <f>"FARMÁCIA INDIANA LJ 140 (10064)"</f>
        <v>FARMÁCIA INDIANA LJ 140 (10064)</v>
      </c>
      <c r="R5210" t="str">
        <f t="shared" si="2457"/>
        <v>RECEITAS COM ENTREGAS (303)</v>
      </c>
      <c r="S5210">
        <v>2526</v>
      </c>
      <c r="T5210">
        <v>2020</v>
      </c>
      <c r="U5210" t="s">
        <v>19</v>
      </c>
    </row>
    <row r="5211" spans="1:21">
      <c r="A5211" t="str">
        <f t="shared" si="2451"/>
        <v>10/09/2025</v>
      </c>
      <c r="B5211" t="str">
        <f t="shared" si="2444"/>
        <v>ENTRADA</v>
      </c>
      <c r="C5211" t="str">
        <f t="shared" si="2452"/>
        <v>NFSE</v>
      </c>
      <c r="D5211" t="str">
        <f t="shared" si="2448"/>
        <v>3425</v>
      </c>
      <c r="E5211" t="str">
        <f t="shared" si="2431"/>
        <v>COM</v>
      </c>
      <c r="F5211" t="str">
        <f t="shared" si="2449"/>
        <v>FARMÁCIA INDIANA LJ 1 (10126)</v>
      </c>
      <c r="G5211" t="str">
        <f t="shared" si="2450"/>
        <v>Serv.Prest. 25/08/2025 a 31/08/2025 - RPS: 1190 - NFSe: 3425</v>
      </c>
      <c r="H5211" t="str">
        <f t="shared" si="2453"/>
        <v>10/09/2025</v>
      </c>
      <c r="I5211" t="str">
        <f t="shared" si="2454"/>
        <v>02/09/2025</v>
      </c>
      <c r="J5211" t="str">
        <f t="shared" si="2455"/>
        <v>10/09/2025</v>
      </c>
      <c r="M5211">
        <v>303</v>
      </c>
      <c r="N5211" t="str">
        <f t="shared" si="2456"/>
        <v>RECEITAS COM ENTREGAS</v>
      </c>
      <c r="P5211">
        <v>28.51</v>
      </c>
      <c r="Q5211" t="str">
        <f>"FARMÁCIA INDIANA LJ 141 (10065)"</f>
        <v>FARMÁCIA INDIANA LJ 141 (10065)</v>
      </c>
      <c r="R5211" t="str">
        <f t="shared" si="2457"/>
        <v>RECEITAS COM ENTREGAS (303)</v>
      </c>
      <c r="S5211">
        <v>2526</v>
      </c>
      <c r="T5211">
        <v>2020</v>
      </c>
      <c r="U5211" t="s">
        <v>19</v>
      </c>
    </row>
    <row r="5212" spans="1:21">
      <c r="A5212" t="str">
        <f t="shared" si="2451"/>
        <v>10/09/2025</v>
      </c>
      <c r="B5212" t="str">
        <f t="shared" si="2444"/>
        <v>ENTRADA</v>
      </c>
      <c r="C5212" t="str">
        <f t="shared" si="2452"/>
        <v>NFSE</v>
      </c>
      <c r="D5212" t="str">
        <f t="shared" si="2448"/>
        <v>3425</v>
      </c>
      <c r="E5212" t="str">
        <f t="shared" si="2431"/>
        <v>COM</v>
      </c>
      <c r="F5212" t="str">
        <f t="shared" si="2449"/>
        <v>FARMÁCIA INDIANA LJ 1 (10126)</v>
      </c>
      <c r="G5212" t="str">
        <f t="shared" si="2450"/>
        <v>Serv.Prest. 25/08/2025 a 31/08/2025 - RPS: 1190 - NFSe: 3425</v>
      </c>
      <c r="H5212" t="str">
        <f t="shared" si="2453"/>
        <v>10/09/2025</v>
      </c>
      <c r="I5212" t="str">
        <f t="shared" si="2454"/>
        <v>02/09/2025</v>
      </c>
      <c r="J5212" t="str">
        <f t="shared" si="2455"/>
        <v>10/09/2025</v>
      </c>
      <c r="M5212">
        <v>303</v>
      </c>
      <c r="N5212" t="str">
        <f t="shared" si="2456"/>
        <v>RECEITAS COM ENTREGAS</v>
      </c>
      <c r="P5212">
        <v>758.88</v>
      </c>
      <c r="Q5212" t="str">
        <f>"FARMÁCIA INDIANA LJ 142 (10066)"</f>
        <v>FARMÁCIA INDIANA LJ 142 (10066)</v>
      </c>
      <c r="R5212" t="str">
        <f t="shared" si="2457"/>
        <v>RECEITAS COM ENTREGAS (303)</v>
      </c>
      <c r="S5212">
        <v>2526</v>
      </c>
      <c r="T5212">
        <v>2020</v>
      </c>
      <c r="U5212" t="s">
        <v>19</v>
      </c>
    </row>
    <row r="5213" spans="1:21">
      <c r="A5213" t="str">
        <f t="shared" si="2451"/>
        <v>10/09/2025</v>
      </c>
      <c r="B5213" t="str">
        <f t="shared" si="2444"/>
        <v>ENTRADA</v>
      </c>
      <c r="C5213" t="str">
        <f t="shared" si="2452"/>
        <v>NFSE</v>
      </c>
      <c r="D5213" t="str">
        <f t="shared" si="2448"/>
        <v>3425</v>
      </c>
      <c r="E5213" t="str">
        <f t="shared" si="2431"/>
        <v>COM</v>
      </c>
      <c r="F5213" t="str">
        <f t="shared" si="2449"/>
        <v>FARMÁCIA INDIANA LJ 1 (10126)</v>
      </c>
      <c r="G5213" t="str">
        <f t="shared" si="2450"/>
        <v>Serv.Prest. 25/08/2025 a 31/08/2025 - RPS: 1190 - NFSe: 3425</v>
      </c>
      <c r="H5213" t="str">
        <f t="shared" si="2453"/>
        <v>10/09/2025</v>
      </c>
      <c r="I5213" t="str">
        <f t="shared" si="2454"/>
        <v>02/09/2025</v>
      </c>
      <c r="J5213" t="str">
        <f t="shared" si="2455"/>
        <v>10/09/2025</v>
      </c>
      <c r="M5213">
        <v>303</v>
      </c>
      <c r="N5213" t="str">
        <f t="shared" si="2456"/>
        <v>RECEITAS COM ENTREGAS</v>
      </c>
      <c r="P5213">
        <v>66.52</v>
      </c>
      <c r="Q5213" t="str">
        <f>"FARMÁCIA INDIANA LJ 143 (10067)"</f>
        <v>FARMÁCIA INDIANA LJ 143 (10067)</v>
      </c>
      <c r="R5213" t="str">
        <f t="shared" si="2457"/>
        <v>RECEITAS COM ENTREGAS (303)</v>
      </c>
      <c r="S5213">
        <v>2526</v>
      </c>
      <c r="T5213">
        <v>2020</v>
      </c>
      <c r="U5213" t="s">
        <v>19</v>
      </c>
    </row>
    <row r="5214" spans="1:21">
      <c r="A5214" t="str">
        <f t="shared" si="2451"/>
        <v>10/09/2025</v>
      </c>
      <c r="B5214" t="str">
        <f t="shared" si="2444"/>
        <v>ENTRADA</v>
      </c>
      <c r="C5214" t="str">
        <f t="shared" si="2452"/>
        <v>NFSE</v>
      </c>
      <c r="D5214" t="str">
        <f t="shared" si="2448"/>
        <v>3425</v>
      </c>
      <c r="E5214" t="str">
        <f t="shared" si="2431"/>
        <v>COM</v>
      </c>
      <c r="F5214" t="str">
        <f t="shared" si="2449"/>
        <v>FARMÁCIA INDIANA LJ 1 (10126)</v>
      </c>
      <c r="G5214" t="str">
        <f t="shared" si="2450"/>
        <v>Serv.Prest. 25/08/2025 a 31/08/2025 - RPS: 1190 - NFSe: 3425</v>
      </c>
      <c r="H5214" t="str">
        <f t="shared" si="2453"/>
        <v>10/09/2025</v>
      </c>
      <c r="I5214" t="str">
        <f t="shared" si="2454"/>
        <v>02/09/2025</v>
      </c>
      <c r="J5214" t="str">
        <f t="shared" si="2455"/>
        <v>10/09/2025</v>
      </c>
      <c r="M5214">
        <v>303</v>
      </c>
      <c r="N5214" t="str">
        <f t="shared" si="2456"/>
        <v>RECEITAS COM ENTREGAS</v>
      </c>
      <c r="P5214">
        <v>141.19</v>
      </c>
      <c r="Q5214" t="str">
        <f>"FARMÁCIA INDIANA LJ 152 (10069)"</f>
        <v>FARMÁCIA INDIANA LJ 152 (10069)</v>
      </c>
      <c r="R5214" t="str">
        <f t="shared" si="2457"/>
        <v>RECEITAS COM ENTREGAS (303)</v>
      </c>
      <c r="S5214">
        <v>2526</v>
      </c>
      <c r="T5214">
        <v>2020</v>
      </c>
      <c r="U5214" t="s">
        <v>19</v>
      </c>
    </row>
    <row r="5215" spans="1:21">
      <c r="A5215" t="str">
        <f t="shared" si="2451"/>
        <v>10/09/2025</v>
      </c>
      <c r="B5215" t="str">
        <f t="shared" si="2444"/>
        <v>ENTRADA</v>
      </c>
      <c r="C5215" t="str">
        <f t="shared" si="2452"/>
        <v>NFSE</v>
      </c>
      <c r="D5215" t="str">
        <f t="shared" si="2448"/>
        <v>3425</v>
      </c>
      <c r="E5215" t="str">
        <f t="shared" si="2431"/>
        <v>COM</v>
      </c>
      <c r="F5215" t="str">
        <f t="shared" si="2449"/>
        <v>FARMÁCIA INDIANA LJ 1 (10126)</v>
      </c>
      <c r="G5215" t="str">
        <f t="shared" si="2450"/>
        <v>Serv.Prest. 25/08/2025 a 31/08/2025 - RPS: 1190 - NFSe: 3425</v>
      </c>
      <c r="H5215" t="str">
        <f t="shared" si="2453"/>
        <v>10/09/2025</v>
      </c>
      <c r="I5215" t="str">
        <f t="shared" si="2454"/>
        <v>02/09/2025</v>
      </c>
      <c r="J5215" t="str">
        <f t="shared" si="2455"/>
        <v>10/09/2025</v>
      </c>
      <c r="M5215">
        <v>303</v>
      </c>
      <c r="N5215" t="str">
        <f t="shared" si="2456"/>
        <v>RECEITAS COM ENTREGAS</v>
      </c>
      <c r="P5215">
        <v>59.73</v>
      </c>
      <c r="Q5215" t="str">
        <f>"FARMÁCIA INDIANA LJ 154 (10070)"</f>
        <v>FARMÁCIA INDIANA LJ 154 (10070)</v>
      </c>
      <c r="R5215" t="str">
        <f t="shared" si="2457"/>
        <v>RECEITAS COM ENTREGAS (303)</v>
      </c>
      <c r="S5215">
        <v>2526</v>
      </c>
      <c r="T5215">
        <v>2020</v>
      </c>
      <c r="U5215" t="s">
        <v>19</v>
      </c>
    </row>
    <row r="5216" spans="1:21">
      <c r="A5216" t="str">
        <f t="shared" si="2451"/>
        <v>10/09/2025</v>
      </c>
      <c r="B5216" t="str">
        <f t="shared" si="2444"/>
        <v>ENTRADA</v>
      </c>
      <c r="C5216" t="str">
        <f t="shared" si="2452"/>
        <v>NFSE</v>
      </c>
      <c r="D5216" t="str">
        <f t="shared" si="2448"/>
        <v>3425</v>
      </c>
      <c r="E5216" t="str">
        <f t="shared" si="2431"/>
        <v>COM</v>
      </c>
      <c r="F5216" t="str">
        <f t="shared" si="2449"/>
        <v>FARMÁCIA INDIANA LJ 1 (10126)</v>
      </c>
      <c r="G5216" t="str">
        <f t="shared" si="2450"/>
        <v>Serv.Prest. 25/08/2025 a 31/08/2025 - RPS: 1190 - NFSe: 3425</v>
      </c>
      <c r="H5216" t="str">
        <f t="shared" si="2453"/>
        <v>10/09/2025</v>
      </c>
      <c r="I5216" t="str">
        <f t="shared" si="2454"/>
        <v>02/09/2025</v>
      </c>
      <c r="J5216" t="str">
        <f t="shared" si="2455"/>
        <v>10/09/2025</v>
      </c>
      <c r="M5216">
        <v>303</v>
      </c>
      <c r="N5216" t="str">
        <f t="shared" si="2456"/>
        <v>RECEITAS COM ENTREGAS</v>
      </c>
      <c r="P5216">
        <v>342.11</v>
      </c>
      <c r="Q5216" t="str">
        <f>"FARMÁCIA INDIANA LJ 171 (10074)"</f>
        <v>FARMÁCIA INDIANA LJ 171 (10074)</v>
      </c>
      <c r="R5216" t="str">
        <f t="shared" si="2457"/>
        <v>RECEITAS COM ENTREGAS (303)</v>
      </c>
      <c r="S5216">
        <v>2526</v>
      </c>
      <c r="T5216">
        <v>2020</v>
      </c>
      <c r="U5216" t="s">
        <v>19</v>
      </c>
    </row>
    <row r="5217" spans="1:21">
      <c r="A5217" t="str">
        <f t="shared" si="2451"/>
        <v>10/09/2025</v>
      </c>
      <c r="B5217" t="str">
        <f t="shared" si="2444"/>
        <v>ENTRADA</v>
      </c>
      <c r="C5217" t="str">
        <f t="shared" si="2452"/>
        <v>NFSE</v>
      </c>
      <c r="D5217" t="str">
        <f t="shared" si="2448"/>
        <v>3425</v>
      </c>
      <c r="E5217" t="str">
        <f t="shared" si="2431"/>
        <v>COM</v>
      </c>
      <c r="F5217" t="str">
        <f t="shared" si="2449"/>
        <v>FARMÁCIA INDIANA LJ 1 (10126)</v>
      </c>
      <c r="G5217" t="str">
        <f t="shared" si="2450"/>
        <v>Serv.Prest. 25/08/2025 a 31/08/2025 - RPS: 1190 - NFSe: 3425</v>
      </c>
      <c r="H5217" t="str">
        <f t="shared" si="2453"/>
        <v>10/09/2025</v>
      </c>
      <c r="I5217" t="str">
        <f t="shared" si="2454"/>
        <v>02/09/2025</v>
      </c>
      <c r="J5217" t="str">
        <f t="shared" si="2455"/>
        <v>10/09/2025</v>
      </c>
      <c r="M5217">
        <v>303</v>
      </c>
      <c r="N5217" t="str">
        <f t="shared" si="2456"/>
        <v>RECEITAS COM ENTREGAS</v>
      </c>
      <c r="P5217">
        <v>131.68</v>
      </c>
      <c r="Q5217" t="str">
        <f>"FARMÁCIA INDIANA LJ 175 (10076)"</f>
        <v>FARMÁCIA INDIANA LJ 175 (10076)</v>
      </c>
      <c r="R5217" t="str">
        <f t="shared" si="2457"/>
        <v>RECEITAS COM ENTREGAS (303)</v>
      </c>
      <c r="S5217">
        <v>2526</v>
      </c>
      <c r="T5217">
        <v>2020</v>
      </c>
      <c r="U5217" t="s">
        <v>19</v>
      </c>
    </row>
    <row r="5218" spans="1:21">
      <c r="A5218" t="str">
        <f t="shared" si="2451"/>
        <v>10/09/2025</v>
      </c>
      <c r="B5218" t="str">
        <f t="shared" si="2444"/>
        <v>ENTRADA</v>
      </c>
      <c r="C5218" t="str">
        <f t="shared" si="2452"/>
        <v>NFSE</v>
      </c>
      <c r="D5218" t="str">
        <f t="shared" si="2448"/>
        <v>3425</v>
      </c>
      <c r="E5218" t="str">
        <f t="shared" si="2431"/>
        <v>COM</v>
      </c>
      <c r="F5218" t="str">
        <f t="shared" si="2449"/>
        <v>FARMÁCIA INDIANA LJ 1 (10126)</v>
      </c>
      <c r="G5218" t="str">
        <f t="shared" si="2450"/>
        <v>Serv.Prest. 25/08/2025 a 31/08/2025 - RPS: 1190 - NFSe: 3425</v>
      </c>
      <c r="H5218" t="str">
        <f t="shared" si="2453"/>
        <v>10/09/2025</v>
      </c>
      <c r="I5218" t="str">
        <f t="shared" si="2454"/>
        <v>02/09/2025</v>
      </c>
      <c r="J5218" t="str">
        <f t="shared" si="2455"/>
        <v>10/09/2025</v>
      </c>
      <c r="M5218">
        <v>303</v>
      </c>
      <c r="N5218" t="str">
        <f t="shared" si="2456"/>
        <v>RECEITAS COM ENTREGAS</v>
      </c>
      <c r="P5218">
        <v>109.96</v>
      </c>
      <c r="Q5218" t="str">
        <f>"FARMÁCIA INDIANA LJ 178 (10077)"</f>
        <v>FARMÁCIA INDIANA LJ 178 (10077)</v>
      </c>
      <c r="R5218" t="str">
        <f t="shared" si="2457"/>
        <v>RECEITAS COM ENTREGAS (303)</v>
      </c>
      <c r="S5218">
        <v>2526</v>
      </c>
      <c r="T5218">
        <v>2020</v>
      </c>
      <c r="U5218" t="s">
        <v>19</v>
      </c>
    </row>
    <row r="5219" spans="1:21">
      <c r="A5219" t="str">
        <f t="shared" si="2451"/>
        <v>10/09/2025</v>
      </c>
      <c r="B5219" t="str">
        <f t="shared" si="2444"/>
        <v>ENTRADA</v>
      </c>
      <c r="C5219" t="str">
        <f t="shared" si="2452"/>
        <v>NFSE</v>
      </c>
      <c r="D5219" t="str">
        <f t="shared" si="2448"/>
        <v>3425</v>
      </c>
      <c r="E5219" t="str">
        <f t="shared" si="2431"/>
        <v>COM</v>
      </c>
      <c r="F5219" t="str">
        <f t="shared" si="2449"/>
        <v>FARMÁCIA INDIANA LJ 1 (10126)</v>
      </c>
      <c r="G5219" t="str">
        <f t="shared" si="2450"/>
        <v>Serv.Prest. 25/08/2025 a 31/08/2025 - RPS: 1190 - NFSe: 3425</v>
      </c>
      <c r="H5219" t="str">
        <f t="shared" si="2453"/>
        <v>10/09/2025</v>
      </c>
      <c r="I5219" t="str">
        <f t="shared" si="2454"/>
        <v>02/09/2025</v>
      </c>
      <c r="J5219" t="str">
        <f t="shared" si="2455"/>
        <v>10/09/2025</v>
      </c>
      <c r="M5219">
        <v>303</v>
      </c>
      <c r="N5219" t="str">
        <f t="shared" si="2456"/>
        <v>RECEITAS COM ENTREGAS</v>
      </c>
      <c r="P5219">
        <v>80.099999999999994</v>
      </c>
      <c r="Q5219" t="str">
        <f>"FARMÁCIA INDIANA LJ 182 (10079)"</f>
        <v>FARMÁCIA INDIANA LJ 182 (10079)</v>
      </c>
      <c r="R5219" t="str">
        <f t="shared" si="2457"/>
        <v>RECEITAS COM ENTREGAS (303)</v>
      </c>
      <c r="S5219">
        <v>2526</v>
      </c>
      <c r="T5219">
        <v>2020</v>
      </c>
      <c r="U5219" t="s">
        <v>19</v>
      </c>
    </row>
    <row r="5220" spans="1:21">
      <c r="A5220" t="str">
        <f t="shared" si="2451"/>
        <v>10/09/2025</v>
      </c>
      <c r="B5220" t="str">
        <f t="shared" si="2444"/>
        <v>ENTRADA</v>
      </c>
      <c r="C5220" t="str">
        <f t="shared" si="2452"/>
        <v>NFSE</v>
      </c>
      <c r="D5220" t="str">
        <f t="shared" si="2448"/>
        <v>3425</v>
      </c>
      <c r="E5220" t="str">
        <f t="shared" ref="E5220:E5283" si="2458">"COM"</f>
        <v>COM</v>
      </c>
      <c r="F5220" t="str">
        <f t="shared" si="2449"/>
        <v>FARMÁCIA INDIANA LJ 1 (10126)</v>
      </c>
      <c r="G5220" t="str">
        <f t="shared" si="2450"/>
        <v>Serv.Prest. 25/08/2025 a 31/08/2025 - RPS: 1190 - NFSe: 3425</v>
      </c>
      <c r="H5220" t="str">
        <f t="shared" si="2453"/>
        <v>10/09/2025</v>
      </c>
      <c r="I5220" t="str">
        <f t="shared" si="2454"/>
        <v>02/09/2025</v>
      </c>
      <c r="J5220" t="str">
        <f t="shared" si="2455"/>
        <v>10/09/2025</v>
      </c>
      <c r="M5220">
        <v>303</v>
      </c>
      <c r="N5220" t="str">
        <f t="shared" si="2456"/>
        <v>RECEITAS COM ENTREGAS</v>
      </c>
      <c r="P5220">
        <v>39.369999999999997</v>
      </c>
      <c r="Q5220" t="str">
        <f>"FARMÁCIA INDIANA LJ 184 (10080)"</f>
        <v>FARMÁCIA INDIANA LJ 184 (10080)</v>
      </c>
      <c r="R5220" t="str">
        <f t="shared" si="2457"/>
        <v>RECEITAS COM ENTREGAS (303)</v>
      </c>
      <c r="S5220">
        <v>2526</v>
      </c>
      <c r="T5220">
        <v>2020</v>
      </c>
      <c r="U5220" t="s">
        <v>19</v>
      </c>
    </row>
    <row r="5221" spans="1:21">
      <c r="A5221" t="str">
        <f t="shared" si="2451"/>
        <v>10/09/2025</v>
      </c>
      <c r="B5221" t="str">
        <f t="shared" si="2444"/>
        <v>ENTRADA</v>
      </c>
      <c r="C5221" t="str">
        <f t="shared" si="2452"/>
        <v>NFSE</v>
      </c>
      <c r="D5221" t="str">
        <f t="shared" si="2448"/>
        <v>3425</v>
      </c>
      <c r="E5221" t="str">
        <f t="shared" si="2458"/>
        <v>COM</v>
      </c>
      <c r="F5221" t="str">
        <f t="shared" si="2449"/>
        <v>FARMÁCIA INDIANA LJ 1 (10126)</v>
      </c>
      <c r="G5221" t="str">
        <f t="shared" si="2450"/>
        <v>Serv.Prest. 25/08/2025 a 31/08/2025 - RPS: 1190 - NFSe: 3425</v>
      </c>
      <c r="H5221" t="str">
        <f t="shared" si="2453"/>
        <v>10/09/2025</v>
      </c>
      <c r="I5221" t="str">
        <f t="shared" si="2454"/>
        <v>02/09/2025</v>
      </c>
      <c r="J5221" t="str">
        <f t="shared" si="2455"/>
        <v>10/09/2025</v>
      </c>
      <c r="M5221">
        <v>303</v>
      </c>
      <c r="N5221" t="str">
        <f t="shared" si="2456"/>
        <v>RECEITAS COM ENTREGAS</v>
      </c>
      <c r="P5221">
        <v>80.099999999999994</v>
      </c>
      <c r="Q5221" t="str">
        <f>"FARMÁCIA INDIANA LJ 186 (10081)"</f>
        <v>FARMÁCIA INDIANA LJ 186 (10081)</v>
      </c>
      <c r="R5221" t="str">
        <f t="shared" si="2457"/>
        <v>RECEITAS COM ENTREGAS (303)</v>
      </c>
      <c r="S5221">
        <v>2526</v>
      </c>
      <c r="T5221">
        <v>2020</v>
      </c>
      <c r="U5221" t="s">
        <v>19</v>
      </c>
    </row>
    <row r="5222" spans="1:21">
      <c r="A5222" t="str">
        <f t="shared" si="2451"/>
        <v>10/09/2025</v>
      </c>
      <c r="B5222" t="str">
        <f t="shared" si="2444"/>
        <v>ENTRADA</v>
      </c>
      <c r="C5222" t="str">
        <f t="shared" si="2452"/>
        <v>NFSE</v>
      </c>
      <c r="D5222" t="str">
        <f t="shared" si="2448"/>
        <v>3425</v>
      </c>
      <c r="E5222" t="str">
        <f t="shared" si="2458"/>
        <v>COM</v>
      </c>
      <c r="F5222" t="str">
        <f t="shared" si="2449"/>
        <v>FARMÁCIA INDIANA LJ 1 (10126)</v>
      </c>
      <c r="G5222" t="str">
        <f t="shared" si="2450"/>
        <v>Serv.Prest. 25/08/2025 a 31/08/2025 - RPS: 1190 - NFSe: 3425</v>
      </c>
      <c r="H5222" t="str">
        <f t="shared" si="2453"/>
        <v>10/09/2025</v>
      </c>
      <c r="I5222" t="str">
        <f t="shared" si="2454"/>
        <v>02/09/2025</v>
      </c>
      <c r="J5222" t="str">
        <f t="shared" si="2455"/>
        <v>10/09/2025</v>
      </c>
      <c r="M5222">
        <v>303</v>
      </c>
      <c r="N5222" t="str">
        <f t="shared" si="2456"/>
        <v>RECEITAS COM ENTREGAS</v>
      </c>
      <c r="P5222">
        <v>67.88</v>
      </c>
      <c r="Q5222" t="str">
        <f>"FARMÁCIA INDIANA LJ 192 (10082)"</f>
        <v>FARMÁCIA INDIANA LJ 192 (10082)</v>
      </c>
      <c r="R5222" t="str">
        <f t="shared" si="2457"/>
        <v>RECEITAS COM ENTREGAS (303)</v>
      </c>
      <c r="S5222">
        <v>2526</v>
      </c>
      <c r="T5222">
        <v>2020</v>
      </c>
      <c r="U5222" t="s">
        <v>19</v>
      </c>
    </row>
    <row r="5223" spans="1:21">
      <c r="A5223" t="str">
        <f t="shared" si="2451"/>
        <v>10/09/2025</v>
      </c>
      <c r="B5223" t="str">
        <f t="shared" si="2444"/>
        <v>ENTRADA</v>
      </c>
      <c r="C5223" t="str">
        <f t="shared" si="2452"/>
        <v>NFSE</v>
      </c>
      <c r="D5223" t="str">
        <f t="shared" si="2448"/>
        <v>3425</v>
      </c>
      <c r="E5223" t="str">
        <f t="shared" si="2458"/>
        <v>COM</v>
      </c>
      <c r="F5223" t="str">
        <f t="shared" si="2449"/>
        <v>FARMÁCIA INDIANA LJ 1 (10126)</v>
      </c>
      <c r="G5223" t="str">
        <f t="shared" si="2450"/>
        <v>Serv.Prest. 25/08/2025 a 31/08/2025 - RPS: 1190 - NFSe: 3425</v>
      </c>
      <c r="H5223" t="str">
        <f t="shared" si="2453"/>
        <v>10/09/2025</v>
      </c>
      <c r="I5223" t="str">
        <f t="shared" si="2454"/>
        <v>02/09/2025</v>
      </c>
      <c r="J5223" t="str">
        <f t="shared" si="2455"/>
        <v>10/09/2025</v>
      </c>
      <c r="M5223">
        <v>303</v>
      </c>
      <c r="N5223" t="str">
        <f t="shared" si="2456"/>
        <v>RECEITAS COM ENTREGAS</v>
      </c>
      <c r="P5223">
        <v>39.369999999999997</v>
      </c>
      <c r="Q5223" t="str">
        <f>"FARMÁCIA INDIANA LJ 195 (10083)"</f>
        <v>FARMÁCIA INDIANA LJ 195 (10083)</v>
      </c>
      <c r="R5223" t="str">
        <f t="shared" si="2457"/>
        <v>RECEITAS COM ENTREGAS (303)</v>
      </c>
      <c r="S5223">
        <v>2526</v>
      </c>
      <c r="T5223">
        <v>2020</v>
      </c>
      <c r="U5223" t="s">
        <v>19</v>
      </c>
    </row>
    <row r="5224" spans="1:21">
      <c r="A5224" t="str">
        <f t="shared" si="2451"/>
        <v>10/09/2025</v>
      </c>
      <c r="B5224" t="str">
        <f t="shared" si="2444"/>
        <v>ENTRADA</v>
      </c>
      <c r="C5224" t="str">
        <f t="shared" si="2452"/>
        <v>NFSE</v>
      </c>
      <c r="D5224" t="str">
        <f t="shared" si="2448"/>
        <v>3425</v>
      </c>
      <c r="E5224" t="str">
        <f t="shared" si="2458"/>
        <v>COM</v>
      </c>
      <c r="F5224" t="str">
        <f t="shared" si="2449"/>
        <v>FARMÁCIA INDIANA LJ 1 (10126)</v>
      </c>
      <c r="G5224" t="str">
        <f t="shared" si="2450"/>
        <v>Serv.Prest. 25/08/2025 a 31/08/2025 - RPS: 1190 - NFSe: 3425</v>
      </c>
      <c r="H5224" t="str">
        <f t="shared" si="2453"/>
        <v>10/09/2025</v>
      </c>
      <c r="I5224" t="str">
        <f t="shared" si="2454"/>
        <v>02/09/2025</v>
      </c>
      <c r="J5224" t="str">
        <f t="shared" si="2455"/>
        <v>10/09/2025</v>
      </c>
      <c r="M5224">
        <v>303</v>
      </c>
      <c r="N5224" t="str">
        <f t="shared" si="2456"/>
        <v>RECEITAS COM ENTREGAS</v>
      </c>
      <c r="P5224">
        <v>158.84</v>
      </c>
      <c r="Q5224" t="str">
        <f>"FARMÁCIA INDIANA LJ 202 (10085)"</f>
        <v>FARMÁCIA INDIANA LJ 202 (10085)</v>
      </c>
      <c r="R5224" t="str">
        <f t="shared" si="2457"/>
        <v>RECEITAS COM ENTREGAS (303)</v>
      </c>
      <c r="S5224">
        <v>2526</v>
      </c>
      <c r="T5224">
        <v>2020</v>
      </c>
      <c r="U5224" t="s">
        <v>19</v>
      </c>
    </row>
    <row r="5225" spans="1:21">
      <c r="A5225" t="str">
        <f t="shared" si="2451"/>
        <v>10/09/2025</v>
      </c>
      <c r="B5225" t="str">
        <f t="shared" si="2444"/>
        <v>ENTRADA</v>
      </c>
      <c r="C5225" t="str">
        <f t="shared" si="2452"/>
        <v>NFSE</v>
      </c>
      <c r="D5225" t="str">
        <f t="shared" si="2448"/>
        <v>3425</v>
      </c>
      <c r="E5225" t="str">
        <f t="shared" si="2458"/>
        <v>COM</v>
      </c>
      <c r="F5225" t="str">
        <f t="shared" si="2449"/>
        <v>FARMÁCIA INDIANA LJ 1 (10126)</v>
      </c>
      <c r="G5225" t="str">
        <f t="shared" si="2450"/>
        <v>Serv.Prest. 25/08/2025 a 31/08/2025 - RPS: 1190 - NFSe: 3425</v>
      </c>
      <c r="H5225" t="str">
        <f t="shared" si="2453"/>
        <v>10/09/2025</v>
      </c>
      <c r="I5225" t="str">
        <f t="shared" si="2454"/>
        <v>02/09/2025</v>
      </c>
      <c r="J5225" t="str">
        <f t="shared" si="2455"/>
        <v>10/09/2025</v>
      </c>
      <c r="M5225">
        <v>303</v>
      </c>
      <c r="N5225" t="str">
        <f t="shared" si="2456"/>
        <v>RECEITAS COM ENTREGAS</v>
      </c>
      <c r="P5225">
        <v>80.099999999999994</v>
      </c>
      <c r="Q5225" t="str">
        <f>"FARMÁCIA INDIANA LJ 204 (10087)"</f>
        <v>FARMÁCIA INDIANA LJ 204 (10087)</v>
      </c>
      <c r="R5225" t="str">
        <f t="shared" si="2457"/>
        <v>RECEITAS COM ENTREGAS (303)</v>
      </c>
      <c r="S5225">
        <v>2526</v>
      </c>
      <c r="T5225">
        <v>2020</v>
      </c>
      <c r="U5225" t="s">
        <v>19</v>
      </c>
    </row>
    <row r="5226" spans="1:21">
      <c r="A5226" t="str">
        <f t="shared" si="2451"/>
        <v>10/09/2025</v>
      </c>
      <c r="B5226" t="str">
        <f t="shared" si="2444"/>
        <v>ENTRADA</v>
      </c>
      <c r="C5226" t="str">
        <f t="shared" si="2452"/>
        <v>NFSE</v>
      </c>
      <c r="D5226" t="str">
        <f t="shared" si="2448"/>
        <v>3425</v>
      </c>
      <c r="E5226" t="str">
        <f t="shared" si="2458"/>
        <v>COM</v>
      </c>
      <c r="F5226" t="str">
        <f t="shared" si="2449"/>
        <v>FARMÁCIA INDIANA LJ 1 (10126)</v>
      </c>
      <c r="G5226" t="str">
        <f t="shared" si="2450"/>
        <v>Serv.Prest. 25/08/2025 a 31/08/2025 - RPS: 1190 - NFSe: 3425</v>
      </c>
      <c r="H5226" t="str">
        <f t="shared" si="2453"/>
        <v>10/09/2025</v>
      </c>
      <c r="I5226" t="str">
        <f t="shared" si="2454"/>
        <v>02/09/2025</v>
      </c>
      <c r="J5226" t="str">
        <f t="shared" si="2455"/>
        <v>10/09/2025</v>
      </c>
      <c r="M5226">
        <v>303</v>
      </c>
      <c r="N5226" t="str">
        <f t="shared" si="2456"/>
        <v>RECEITAS COM ENTREGAS</v>
      </c>
      <c r="P5226">
        <v>107.25</v>
      </c>
      <c r="Q5226" t="str">
        <f>"FARMÁCIA INDIANA LJ 207 (10088)"</f>
        <v>FARMÁCIA INDIANA LJ 207 (10088)</v>
      </c>
      <c r="R5226" t="str">
        <f t="shared" si="2457"/>
        <v>RECEITAS COM ENTREGAS (303)</v>
      </c>
      <c r="S5226">
        <v>2526</v>
      </c>
      <c r="T5226">
        <v>2020</v>
      </c>
      <c r="U5226" t="s">
        <v>19</v>
      </c>
    </row>
    <row r="5227" spans="1:21">
      <c r="A5227" t="str">
        <f t="shared" ref="A5227:A5263" si="2459">("10/09/2025")</f>
        <v>10/09/2025</v>
      </c>
      <c r="B5227" t="str">
        <f t="shared" si="2444"/>
        <v>ENTRADA</v>
      </c>
      <c r="C5227" t="str">
        <f t="shared" ref="C5227:C5252" si="2460">"NFSE"</f>
        <v>NFSE</v>
      </c>
      <c r="D5227" t="str">
        <f t="shared" si="2448"/>
        <v>3425</v>
      </c>
      <c r="E5227" t="str">
        <f t="shared" si="2458"/>
        <v>COM</v>
      </c>
      <c r="F5227" t="str">
        <f t="shared" si="2449"/>
        <v>FARMÁCIA INDIANA LJ 1 (10126)</v>
      </c>
      <c r="G5227" t="str">
        <f t="shared" si="2450"/>
        <v>Serv.Prest. 25/08/2025 a 31/08/2025 - RPS: 1190 - NFSe: 3425</v>
      </c>
      <c r="H5227" t="str">
        <f t="shared" ref="H5227:H5258" si="2461">("10/09/2025")</f>
        <v>10/09/2025</v>
      </c>
      <c r="I5227" t="str">
        <f t="shared" ref="I5227:I5233" si="2462">("02/09/2025")</f>
        <v>02/09/2025</v>
      </c>
      <c r="J5227" t="str">
        <f t="shared" ref="J5227:J5263" si="2463">("10/09/2025")</f>
        <v>10/09/2025</v>
      </c>
      <c r="M5227">
        <v>303</v>
      </c>
      <c r="N5227" t="str">
        <f t="shared" ref="N5227:N5252" si="2464">"RECEITAS COM ENTREGAS"</f>
        <v>RECEITAS COM ENTREGAS</v>
      </c>
      <c r="P5227">
        <v>124.9</v>
      </c>
      <c r="Q5227" t="str">
        <f>"FARMÁCIA INDIANA LJ 209 (10089)"</f>
        <v>FARMÁCIA INDIANA LJ 209 (10089)</v>
      </c>
      <c r="R5227" t="str">
        <f t="shared" ref="R5227:R5252" si="2465">"RECEITAS COM ENTREGAS (303)"</f>
        <v>RECEITAS COM ENTREGAS (303)</v>
      </c>
      <c r="S5227">
        <v>2526</v>
      </c>
      <c r="T5227">
        <v>2020</v>
      </c>
      <c r="U5227" t="s">
        <v>19</v>
      </c>
    </row>
    <row r="5228" spans="1:21">
      <c r="A5228" t="str">
        <f t="shared" si="2459"/>
        <v>10/09/2025</v>
      </c>
      <c r="B5228" t="str">
        <f t="shared" ref="B5228:B5252" si="2466">"ENTRADA"</f>
        <v>ENTRADA</v>
      </c>
      <c r="C5228" t="str">
        <f t="shared" si="2460"/>
        <v>NFSE</v>
      </c>
      <c r="D5228" t="str">
        <f t="shared" si="2448"/>
        <v>3425</v>
      </c>
      <c r="E5228" t="str">
        <f t="shared" si="2458"/>
        <v>COM</v>
      </c>
      <c r="F5228" t="str">
        <f t="shared" si="2449"/>
        <v>FARMÁCIA INDIANA LJ 1 (10126)</v>
      </c>
      <c r="G5228" t="str">
        <f t="shared" si="2450"/>
        <v>Serv.Prest. 25/08/2025 a 31/08/2025 - RPS: 1190 - NFSe: 3425</v>
      </c>
      <c r="H5228" t="str">
        <f t="shared" si="2461"/>
        <v>10/09/2025</v>
      </c>
      <c r="I5228" t="str">
        <f t="shared" si="2462"/>
        <v>02/09/2025</v>
      </c>
      <c r="J5228" t="str">
        <f t="shared" si="2463"/>
        <v>10/09/2025</v>
      </c>
      <c r="M5228">
        <v>303</v>
      </c>
      <c r="N5228" t="str">
        <f t="shared" si="2464"/>
        <v>RECEITAS COM ENTREGAS</v>
      </c>
      <c r="P5228">
        <v>172.41</v>
      </c>
      <c r="Q5228" t="str">
        <f>"FARMÁCIA INDIANA LJ 219 (10091)"</f>
        <v>FARMÁCIA INDIANA LJ 219 (10091)</v>
      </c>
      <c r="R5228" t="str">
        <f t="shared" si="2465"/>
        <v>RECEITAS COM ENTREGAS (303)</v>
      </c>
      <c r="S5228">
        <v>2526</v>
      </c>
      <c r="T5228">
        <v>2020</v>
      </c>
      <c r="U5228" t="s">
        <v>19</v>
      </c>
    </row>
    <row r="5229" spans="1:21">
      <c r="A5229" t="str">
        <f t="shared" si="2459"/>
        <v>10/09/2025</v>
      </c>
      <c r="B5229" t="str">
        <f t="shared" si="2466"/>
        <v>ENTRADA</v>
      </c>
      <c r="C5229" t="str">
        <f t="shared" si="2460"/>
        <v>NFSE</v>
      </c>
      <c r="D5229" t="str">
        <f t="shared" si="2448"/>
        <v>3425</v>
      </c>
      <c r="E5229" t="str">
        <f t="shared" si="2458"/>
        <v>COM</v>
      </c>
      <c r="F5229" t="str">
        <f t="shared" si="2449"/>
        <v>FARMÁCIA INDIANA LJ 1 (10126)</v>
      </c>
      <c r="G5229" t="str">
        <f t="shared" si="2450"/>
        <v>Serv.Prest. 25/08/2025 a 31/08/2025 - RPS: 1190 - NFSe: 3425</v>
      </c>
      <c r="H5229" t="str">
        <f t="shared" si="2461"/>
        <v>10/09/2025</v>
      </c>
      <c r="I5229" t="str">
        <f t="shared" si="2462"/>
        <v>02/09/2025</v>
      </c>
      <c r="J5229" t="str">
        <f t="shared" si="2463"/>
        <v>10/09/2025</v>
      </c>
      <c r="M5229">
        <v>303</v>
      </c>
      <c r="N5229" t="str">
        <f t="shared" si="2464"/>
        <v>RECEITAS COM ENTREGAS</v>
      </c>
      <c r="P5229">
        <v>147.97999999999999</v>
      </c>
      <c r="Q5229" t="str">
        <f>"FARMÁCIA INDIANA LJ 220 (10092)"</f>
        <v>FARMÁCIA INDIANA LJ 220 (10092)</v>
      </c>
      <c r="R5229" t="str">
        <f t="shared" si="2465"/>
        <v>RECEITAS COM ENTREGAS (303)</v>
      </c>
      <c r="S5229">
        <v>2526</v>
      </c>
      <c r="T5229">
        <v>2020</v>
      </c>
      <c r="U5229" t="s">
        <v>19</v>
      </c>
    </row>
    <row r="5230" spans="1:21">
      <c r="A5230" t="str">
        <f t="shared" si="2459"/>
        <v>10/09/2025</v>
      </c>
      <c r="B5230" t="str">
        <f t="shared" si="2466"/>
        <v>ENTRADA</v>
      </c>
      <c r="C5230" t="str">
        <f t="shared" si="2460"/>
        <v>NFSE</v>
      </c>
      <c r="D5230" t="str">
        <f t="shared" si="2448"/>
        <v>3425</v>
      </c>
      <c r="E5230" t="str">
        <f t="shared" si="2458"/>
        <v>COM</v>
      </c>
      <c r="F5230" t="str">
        <f t="shared" si="2449"/>
        <v>FARMÁCIA INDIANA LJ 1 (10126)</v>
      </c>
      <c r="G5230" t="str">
        <f t="shared" si="2450"/>
        <v>Serv.Prest. 25/08/2025 a 31/08/2025 - RPS: 1190 - NFSe: 3425</v>
      </c>
      <c r="H5230" t="str">
        <f t="shared" si="2461"/>
        <v>10/09/2025</v>
      </c>
      <c r="I5230" t="str">
        <f t="shared" si="2462"/>
        <v>02/09/2025</v>
      </c>
      <c r="J5230" t="str">
        <f t="shared" si="2463"/>
        <v>10/09/2025</v>
      </c>
      <c r="M5230">
        <v>303</v>
      </c>
      <c r="N5230" t="str">
        <f t="shared" si="2464"/>
        <v>RECEITAS COM ENTREGAS</v>
      </c>
      <c r="P5230">
        <v>183.27</v>
      </c>
      <c r="Q5230" t="str">
        <f>"FARMÁCIA INDIANA LJ 185 (10141)"</f>
        <v>FARMÁCIA INDIANA LJ 185 (10141)</v>
      </c>
      <c r="R5230" t="str">
        <f t="shared" si="2465"/>
        <v>RECEITAS COM ENTREGAS (303)</v>
      </c>
      <c r="S5230">
        <v>2526</v>
      </c>
      <c r="T5230">
        <v>2020</v>
      </c>
      <c r="U5230" t="s">
        <v>19</v>
      </c>
    </row>
    <row r="5231" spans="1:21">
      <c r="A5231" t="str">
        <f t="shared" si="2459"/>
        <v>10/09/2025</v>
      </c>
      <c r="B5231" t="str">
        <f t="shared" si="2466"/>
        <v>ENTRADA</v>
      </c>
      <c r="C5231" t="str">
        <f t="shared" si="2460"/>
        <v>NFSE</v>
      </c>
      <c r="D5231" t="str">
        <f t="shared" si="2448"/>
        <v>3425</v>
      </c>
      <c r="E5231" t="str">
        <f t="shared" si="2458"/>
        <v>COM</v>
      </c>
      <c r="F5231" t="str">
        <f t="shared" si="2449"/>
        <v>FARMÁCIA INDIANA LJ 1 (10126)</v>
      </c>
      <c r="G5231" t="str">
        <f t="shared" si="2450"/>
        <v>Serv.Prest. 25/08/2025 a 31/08/2025 - RPS: 1190 - NFSe: 3425</v>
      </c>
      <c r="H5231" t="str">
        <f t="shared" si="2461"/>
        <v>10/09/2025</v>
      </c>
      <c r="I5231" t="str">
        <f t="shared" si="2462"/>
        <v>02/09/2025</v>
      </c>
      <c r="J5231" t="str">
        <f t="shared" si="2463"/>
        <v>10/09/2025</v>
      </c>
      <c r="M5231">
        <v>303</v>
      </c>
      <c r="N5231" t="str">
        <f t="shared" si="2464"/>
        <v>RECEITAS COM ENTREGAS</v>
      </c>
      <c r="P5231">
        <v>107.25</v>
      </c>
      <c r="Q5231" t="str">
        <f>"FARMÁCIA INDIANA LJ 205 (10150)"</f>
        <v>FARMÁCIA INDIANA LJ 205 (10150)</v>
      </c>
      <c r="R5231" t="str">
        <f t="shared" si="2465"/>
        <v>RECEITAS COM ENTREGAS (303)</v>
      </c>
      <c r="S5231">
        <v>2526</v>
      </c>
      <c r="T5231">
        <v>2020</v>
      </c>
      <c r="U5231" t="s">
        <v>19</v>
      </c>
    </row>
    <row r="5232" spans="1:21">
      <c r="A5232" t="str">
        <f t="shared" si="2459"/>
        <v>10/09/2025</v>
      </c>
      <c r="B5232" t="str">
        <f t="shared" si="2466"/>
        <v>ENTRADA</v>
      </c>
      <c r="C5232" t="str">
        <f t="shared" si="2460"/>
        <v>NFSE</v>
      </c>
      <c r="D5232" t="str">
        <f t="shared" si="2448"/>
        <v>3425</v>
      </c>
      <c r="E5232" t="str">
        <f t="shared" si="2458"/>
        <v>COM</v>
      </c>
      <c r="F5232" t="str">
        <f t="shared" si="2449"/>
        <v>FARMÁCIA INDIANA LJ 1 (10126)</v>
      </c>
      <c r="G5232" t="str">
        <f t="shared" si="2450"/>
        <v>Serv.Prest. 25/08/2025 a 31/08/2025 - RPS: 1190 - NFSe: 3425</v>
      </c>
      <c r="H5232" t="str">
        <f t="shared" si="2461"/>
        <v>10/09/2025</v>
      </c>
      <c r="I5232" t="str">
        <f t="shared" si="2462"/>
        <v>02/09/2025</v>
      </c>
      <c r="J5232" t="str">
        <f t="shared" si="2463"/>
        <v>10/09/2025</v>
      </c>
      <c r="M5232">
        <v>303</v>
      </c>
      <c r="N5232" t="str">
        <f t="shared" si="2464"/>
        <v>RECEITAS COM ENTREGAS</v>
      </c>
      <c r="P5232">
        <v>616.34</v>
      </c>
      <c r="Q5232" t="str">
        <f>"FARMÁCIA INDIANA LJ 172 (10161)"</f>
        <v>FARMÁCIA INDIANA LJ 172 (10161)</v>
      </c>
      <c r="R5232" t="str">
        <f t="shared" si="2465"/>
        <v>RECEITAS COM ENTREGAS (303)</v>
      </c>
      <c r="S5232">
        <v>2526</v>
      </c>
      <c r="T5232">
        <v>2020</v>
      </c>
      <c r="U5232" t="s">
        <v>19</v>
      </c>
    </row>
    <row r="5233" spans="1:21">
      <c r="A5233" t="str">
        <f t="shared" si="2459"/>
        <v>10/09/2025</v>
      </c>
      <c r="B5233" t="str">
        <f t="shared" si="2466"/>
        <v>ENTRADA</v>
      </c>
      <c r="C5233" t="str">
        <f t="shared" si="2460"/>
        <v>NFSE</v>
      </c>
      <c r="D5233" t="str">
        <f t="shared" si="2448"/>
        <v>3425</v>
      </c>
      <c r="E5233" t="str">
        <f t="shared" si="2458"/>
        <v>COM</v>
      </c>
      <c r="F5233" t="str">
        <f t="shared" si="2449"/>
        <v>FARMÁCIA INDIANA LJ 1 (10126)</v>
      </c>
      <c r="G5233" t="str">
        <f t="shared" si="2450"/>
        <v>Serv.Prest. 25/08/2025 a 31/08/2025 - RPS: 1190 - NFSe: 3425</v>
      </c>
      <c r="H5233" t="str">
        <f t="shared" si="2461"/>
        <v>10/09/2025</v>
      </c>
      <c r="I5233" t="str">
        <f t="shared" si="2462"/>
        <v>02/09/2025</v>
      </c>
      <c r="J5233" t="str">
        <f t="shared" si="2463"/>
        <v>10/09/2025</v>
      </c>
      <c r="M5233">
        <v>303</v>
      </c>
      <c r="N5233" t="str">
        <f t="shared" si="2464"/>
        <v>RECEITAS COM ENTREGAS</v>
      </c>
      <c r="P5233">
        <v>81.45</v>
      </c>
      <c r="Q5233" t="str">
        <f>"FARMÁCIA INDIANA LJ 266 (10186)"</f>
        <v>FARMÁCIA INDIANA LJ 266 (10186)</v>
      </c>
      <c r="R5233" t="str">
        <f t="shared" si="2465"/>
        <v>RECEITAS COM ENTREGAS (303)</v>
      </c>
      <c r="S5233">
        <v>2526</v>
      </c>
      <c r="T5233">
        <v>2020</v>
      </c>
      <c r="U5233" t="s">
        <v>19</v>
      </c>
    </row>
    <row r="5234" spans="1:21">
      <c r="A5234" t="str">
        <f t="shared" si="2459"/>
        <v>10/09/2025</v>
      </c>
      <c r="B5234" t="str">
        <f t="shared" si="2466"/>
        <v>ENTRADA</v>
      </c>
      <c r="C5234" t="str">
        <f t="shared" si="2460"/>
        <v>NFSE</v>
      </c>
      <c r="D5234" t="str">
        <f>"3434"</f>
        <v>3434</v>
      </c>
      <c r="E5234" t="str">
        <f t="shared" si="2458"/>
        <v>COM</v>
      </c>
      <c r="F5234" t="str">
        <f>"ENTREFARMA (10164)"</f>
        <v>ENTREFARMA (10164)</v>
      </c>
      <c r="G5234" t="str">
        <f>"Serv.Prest. 01/09/2025 a 07/09/2025 - RPS: 1199 - NFSe: 3434"</f>
        <v>Serv.Prest. 01/09/2025 a 07/09/2025 - RPS: 1199 - NFSe: 3434</v>
      </c>
      <c r="H5234" t="str">
        <f t="shared" si="2461"/>
        <v>10/09/2025</v>
      </c>
      <c r="I5234" t="str">
        <f t="shared" ref="I5234:I5250" si="2467">("08/09/2025")</f>
        <v>08/09/2025</v>
      </c>
      <c r="J5234" t="str">
        <f t="shared" si="2463"/>
        <v>10/09/2025</v>
      </c>
      <c r="K5234">
        <v>1451.12</v>
      </c>
      <c r="L5234">
        <v>1451.12</v>
      </c>
      <c r="M5234">
        <v>303</v>
      </c>
      <c r="N5234" t="str">
        <f t="shared" si="2464"/>
        <v>RECEITAS COM ENTREGAS</v>
      </c>
      <c r="O5234">
        <v>1451.12</v>
      </c>
      <c r="R5234" t="str">
        <f t="shared" si="2465"/>
        <v>RECEITAS COM ENTREGAS (303)</v>
      </c>
      <c r="S5234">
        <v>2527</v>
      </c>
      <c r="T5234">
        <v>2038</v>
      </c>
      <c r="U5234" t="s">
        <v>19</v>
      </c>
    </row>
    <row r="5235" spans="1:21">
      <c r="A5235" t="str">
        <f t="shared" si="2459"/>
        <v>10/09/2025</v>
      </c>
      <c r="B5235" t="str">
        <f t="shared" si="2466"/>
        <v>ENTRADA</v>
      </c>
      <c r="C5235" t="str">
        <f t="shared" si="2460"/>
        <v>NFSE</v>
      </c>
      <c r="D5235" t="str">
        <f>"3434"</f>
        <v>3434</v>
      </c>
      <c r="E5235" t="str">
        <f t="shared" si="2458"/>
        <v>COM</v>
      </c>
      <c r="F5235" t="str">
        <f>"ENTREFARMA (10164)"</f>
        <v>ENTREFARMA (10164)</v>
      </c>
      <c r="G5235" t="str">
        <f>"Serv.Prest. 01/09/2025 a 07/09/2025 - RPS: 1199 - NFSe: 3434"</f>
        <v>Serv.Prest. 01/09/2025 a 07/09/2025 - RPS: 1199 - NFSe: 3434</v>
      </c>
      <c r="H5235" t="str">
        <f t="shared" si="2461"/>
        <v>10/09/2025</v>
      </c>
      <c r="I5235" t="str">
        <f t="shared" si="2467"/>
        <v>08/09/2025</v>
      </c>
      <c r="J5235" t="str">
        <f t="shared" si="2463"/>
        <v>10/09/2025</v>
      </c>
      <c r="M5235">
        <v>303</v>
      </c>
      <c r="N5235" t="str">
        <f t="shared" si="2464"/>
        <v>RECEITAS COM ENTREGAS</v>
      </c>
      <c r="P5235">
        <v>1451.12</v>
      </c>
      <c r="Q5235" t="str">
        <f>"ENTREFARMA (10164)"</f>
        <v>ENTREFARMA (10164)</v>
      </c>
      <c r="R5235" t="str">
        <f t="shared" si="2465"/>
        <v>RECEITAS COM ENTREGAS (303)</v>
      </c>
      <c r="S5235">
        <v>2527</v>
      </c>
      <c r="T5235">
        <v>2038</v>
      </c>
      <c r="U5235" t="s">
        <v>19</v>
      </c>
    </row>
    <row r="5236" spans="1:21">
      <c r="A5236" t="str">
        <f t="shared" si="2459"/>
        <v>10/09/2025</v>
      </c>
      <c r="B5236" t="str">
        <f t="shared" si="2466"/>
        <v>ENTRADA</v>
      </c>
      <c r="C5236" t="str">
        <f t="shared" si="2460"/>
        <v>NFSE</v>
      </c>
      <c r="D5236" t="str">
        <f>"3435"</f>
        <v>3435</v>
      </c>
      <c r="E5236" t="str">
        <f t="shared" si="2458"/>
        <v>COM</v>
      </c>
      <c r="F5236" t="str">
        <f>"FRAN FARMA (10124)"</f>
        <v>FRAN FARMA (10124)</v>
      </c>
      <c r="G5236" t="str">
        <f>"Serv.Prest. 01/09/2025 a 07/09/2025 - RPS: 1200 - NFSe: 3435"</f>
        <v>Serv.Prest. 01/09/2025 a 07/09/2025 - RPS: 1200 - NFSe: 3435</v>
      </c>
      <c r="H5236" t="str">
        <f t="shared" si="2461"/>
        <v>10/09/2025</v>
      </c>
      <c r="I5236" t="str">
        <f t="shared" si="2467"/>
        <v>08/09/2025</v>
      </c>
      <c r="J5236" t="str">
        <f t="shared" si="2463"/>
        <v>10/09/2025</v>
      </c>
      <c r="K5236">
        <v>160</v>
      </c>
      <c r="L5236">
        <v>160</v>
      </c>
      <c r="M5236">
        <v>303</v>
      </c>
      <c r="N5236" t="str">
        <f t="shared" si="2464"/>
        <v>RECEITAS COM ENTREGAS</v>
      </c>
      <c r="O5236">
        <v>160</v>
      </c>
      <c r="R5236" t="str">
        <f t="shared" si="2465"/>
        <v>RECEITAS COM ENTREGAS (303)</v>
      </c>
      <c r="S5236">
        <v>2528</v>
      </c>
      <c r="T5236">
        <v>2039</v>
      </c>
      <c r="U5236" t="s">
        <v>19</v>
      </c>
    </row>
    <row r="5237" spans="1:21">
      <c r="A5237" t="str">
        <f t="shared" si="2459"/>
        <v>10/09/2025</v>
      </c>
      <c r="B5237" t="str">
        <f t="shared" si="2466"/>
        <v>ENTRADA</v>
      </c>
      <c r="C5237" t="str">
        <f t="shared" si="2460"/>
        <v>NFSE</v>
      </c>
      <c r="D5237" t="str">
        <f>"3435"</f>
        <v>3435</v>
      </c>
      <c r="E5237" t="str">
        <f t="shared" si="2458"/>
        <v>COM</v>
      </c>
      <c r="F5237" t="str">
        <f>"FRAN FARMA (10124)"</f>
        <v>FRAN FARMA (10124)</v>
      </c>
      <c r="G5237" t="str">
        <f>"Serv.Prest. 01/09/2025 a 07/09/2025 - RPS: 1200 - NFSe: 3435"</f>
        <v>Serv.Prest. 01/09/2025 a 07/09/2025 - RPS: 1200 - NFSe: 3435</v>
      </c>
      <c r="H5237" t="str">
        <f t="shared" si="2461"/>
        <v>10/09/2025</v>
      </c>
      <c r="I5237" t="str">
        <f t="shared" si="2467"/>
        <v>08/09/2025</v>
      </c>
      <c r="J5237" t="str">
        <f t="shared" si="2463"/>
        <v>10/09/2025</v>
      </c>
      <c r="M5237">
        <v>303</v>
      </c>
      <c r="N5237" t="str">
        <f t="shared" si="2464"/>
        <v>RECEITAS COM ENTREGAS</v>
      </c>
      <c r="P5237">
        <v>96</v>
      </c>
      <c r="Q5237" t="str">
        <f>"FRAN FARMA LJ 2 (10131)"</f>
        <v>FRAN FARMA LJ 2 (10131)</v>
      </c>
      <c r="R5237" t="str">
        <f t="shared" si="2465"/>
        <v>RECEITAS COM ENTREGAS (303)</v>
      </c>
      <c r="S5237">
        <v>2528</v>
      </c>
      <c r="T5237">
        <v>2039</v>
      </c>
      <c r="U5237" t="s">
        <v>19</v>
      </c>
    </row>
    <row r="5238" spans="1:21">
      <c r="A5238" t="str">
        <f t="shared" si="2459"/>
        <v>10/09/2025</v>
      </c>
      <c r="B5238" t="str">
        <f t="shared" si="2466"/>
        <v>ENTRADA</v>
      </c>
      <c r="C5238" t="str">
        <f t="shared" si="2460"/>
        <v>NFSE</v>
      </c>
      <c r="D5238" t="str">
        <f>"3435"</f>
        <v>3435</v>
      </c>
      <c r="E5238" t="str">
        <f t="shared" si="2458"/>
        <v>COM</v>
      </c>
      <c r="F5238" t="str">
        <f>"FRAN FARMA (10124)"</f>
        <v>FRAN FARMA (10124)</v>
      </c>
      <c r="G5238" t="str">
        <f>"Serv.Prest. 01/09/2025 a 07/09/2025 - RPS: 1200 - NFSe: 3435"</f>
        <v>Serv.Prest. 01/09/2025 a 07/09/2025 - RPS: 1200 - NFSe: 3435</v>
      </c>
      <c r="H5238" t="str">
        <f t="shared" si="2461"/>
        <v>10/09/2025</v>
      </c>
      <c r="I5238" t="str">
        <f t="shared" si="2467"/>
        <v>08/09/2025</v>
      </c>
      <c r="J5238" t="str">
        <f t="shared" si="2463"/>
        <v>10/09/2025</v>
      </c>
      <c r="M5238">
        <v>303</v>
      </c>
      <c r="N5238" t="str">
        <f t="shared" si="2464"/>
        <v>RECEITAS COM ENTREGAS</v>
      </c>
      <c r="P5238">
        <v>64</v>
      </c>
      <c r="Q5238" t="str">
        <f>"FRAN FARMA LJ 3 (10132)"</f>
        <v>FRAN FARMA LJ 3 (10132)</v>
      </c>
      <c r="R5238" t="str">
        <f t="shared" si="2465"/>
        <v>RECEITAS COM ENTREGAS (303)</v>
      </c>
      <c r="S5238">
        <v>2528</v>
      </c>
      <c r="T5238">
        <v>2039</v>
      </c>
      <c r="U5238" t="s">
        <v>19</v>
      </c>
    </row>
    <row r="5239" spans="1:21">
      <c r="A5239" t="str">
        <f t="shared" si="2459"/>
        <v>10/09/2025</v>
      </c>
      <c r="B5239" t="str">
        <f t="shared" si="2466"/>
        <v>ENTRADA</v>
      </c>
      <c r="C5239" t="str">
        <f t="shared" si="2460"/>
        <v>NFSE</v>
      </c>
      <c r="D5239" t="str">
        <f>"3436"</f>
        <v>3436</v>
      </c>
      <c r="E5239" t="str">
        <f t="shared" si="2458"/>
        <v>COM</v>
      </c>
      <c r="F5239" t="str">
        <f>"DROGARIA AGAPEAMA (10167)"</f>
        <v>DROGARIA AGAPEAMA (10167)</v>
      </c>
      <c r="G5239" t="str">
        <f>"Serv.Prest. 01/09/2025 a 07/09/2025 - RPS: 1201 - NFSe: 3436"</f>
        <v>Serv.Prest. 01/09/2025 a 07/09/2025 - RPS: 1201 - NFSe: 3436</v>
      </c>
      <c r="H5239" t="str">
        <f t="shared" si="2461"/>
        <v>10/09/2025</v>
      </c>
      <c r="I5239" t="str">
        <f t="shared" si="2467"/>
        <v>08/09/2025</v>
      </c>
      <c r="J5239" t="str">
        <f t="shared" si="2463"/>
        <v>10/09/2025</v>
      </c>
      <c r="K5239">
        <v>430.4</v>
      </c>
      <c r="L5239">
        <v>430.4</v>
      </c>
      <c r="M5239">
        <v>303</v>
      </c>
      <c r="N5239" t="str">
        <f t="shared" si="2464"/>
        <v>RECEITAS COM ENTREGAS</v>
      </c>
      <c r="O5239">
        <v>430.4</v>
      </c>
      <c r="R5239" t="str">
        <f t="shared" si="2465"/>
        <v>RECEITAS COM ENTREGAS (303)</v>
      </c>
      <c r="S5239">
        <v>2529</v>
      </c>
      <c r="T5239">
        <v>2040</v>
      </c>
      <c r="U5239" t="s">
        <v>19</v>
      </c>
    </row>
    <row r="5240" spans="1:21">
      <c r="A5240" t="str">
        <f t="shared" si="2459"/>
        <v>10/09/2025</v>
      </c>
      <c r="B5240" t="str">
        <f t="shared" si="2466"/>
        <v>ENTRADA</v>
      </c>
      <c r="C5240" t="str">
        <f t="shared" si="2460"/>
        <v>NFSE</v>
      </c>
      <c r="D5240" t="str">
        <f>"3436"</f>
        <v>3436</v>
      </c>
      <c r="E5240" t="str">
        <f t="shared" si="2458"/>
        <v>COM</v>
      </c>
      <c r="F5240" t="str">
        <f>"DROGARIA AGAPEAMA (10167)"</f>
        <v>DROGARIA AGAPEAMA (10167)</v>
      </c>
      <c r="G5240" t="str">
        <f>"Serv.Prest. 01/09/2025 a 07/09/2025 - RPS: 1201 - NFSe: 3436"</f>
        <v>Serv.Prest. 01/09/2025 a 07/09/2025 - RPS: 1201 - NFSe: 3436</v>
      </c>
      <c r="H5240" t="str">
        <f t="shared" si="2461"/>
        <v>10/09/2025</v>
      </c>
      <c r="I5240" t="str">
        <f t="shared" si="2467"/>
        <v>08/09/2025</v>
      </c>
      <c r="J5240" t="str">
        <f t="shared" si="2463"/>
        <v>10/09/2025</v>
      </c>
      <c r="M5240">
        <v>303</v>
      </c>
      <c r="N5240" t="str">
        <f t="shared" si="2464"/>
        <v>RECEITAS COM ENTREGAS</v>
      </c>
      <c r="P5240">
        <v>430.4</v>
      </c>
      <c r="Q5240" t="str">
        <f>"DROGARIA AGAPEAMA (10167)"</f>
        <v>DROGARIA AGAPEAMA (10167)</v>
      </c>
      <c r="R5240" t="str">
        <f t="shared" si="2465"/>
        <v>RECEITAS COM ENTREGAS (303)</v>
      </c>
      <c r="S5240">
        <v>2529</v>
      </c>
      <c r="T5240">
        <v>2040</v>
      </c>
      <c r="U5240" t="s">
        <v>19</v>
      </c>
    </row>
    <row r="5241" spans="1:21">
      <c r="A5241" t="str">
        <f t="shared" si="2459"/>
        <v>10/09/2025</v>
      </c>
      <c r="B5241" t="str">
        <f t="shared" si="2466"/>
        <v>ENTRADA</v>
      </c>
      <c r="C5241" t="str">
        <f t="shared" si="2460"/>
        <v>NFSE</v>
      </c>
      <c r="D5241" t="str">
        <f>"3438"</f>
        <v>3438</v>
      </c>
      <c r="E5241" t="str">
        <f t="shared" si="2458"/>
        <v>COM</v>
      </c>
      <c r="F5241" t="str">
        <f>"DROGA ELIDA (10121)"</f>
        <v>DROGA ELIDA (10121)</v>
      </c>
      <c r="G5241" t="str">
        <f>"Serv.Prest. 01/09/2025 a 07/09/2025 - RPS: 1203 - NFSe: 3438"</f>
        <v>Serv.Prest. 01/09/2025 a 07/09/2025 - RPS: 1203 - NFSe: 3438</v>
      </c>
      <c r="H5241" t="str">
        <f t="shared" si="2461"/>
        <v>10/09/2025</v>
      </c>
      <c r="I5241" t="str">
        <f t="shared" si="2467"/>
        <v>08/09/2025</v>
      </c>
      <c r="J5241" t="str">
        <f t="shared" si="2463"/>
        <v>10/09/2025</v>
      </c>
      <c r="K5241">
        <v>350.4</v>
      </c>
      <c r="L5241">
        <v>350.4</v>
      </c>
      <c r="M5241">
        <v>303</v>
      </c>
      <c r="N5241" t="str">
        <f t="shared" si="2464"/>
        <v>RECEITAS COM ENTREGAS</v>
      </c>
      <c r="O5241">
        <v>350.4</v>
      </c>
      <c r="R5241" t="str">
        <f t="shared" si="2465"/>
        <v>RECEITAS COM ENTREGAS (303)</v>
      </c>
      <c r="S5241">
        <v>2530</v>
      </c>
      <c r="T5241">
        <v>2042</v>
      </c>
      <c r="U5241" t="s">
        <v>19</v>
      </c>
    </row>
    <row r="5242" spans="1:21">
      <c r="A5242" t="str">
        <f t="shared" si="2459"/>
        <v>10/09/2025</v>
      </c>
      <c r="B5242" t="str">
        <f t="shared" si="2466"/>
        <v>ENTRADA</v>
      </c>
      <c r="C5242" t="str">
        <f t="shared" si="2460"/>
        <v>NFSE</v>
      </c>
      <c r="D5242" t="str">
        <f>"3438"</f>
        <v>3438</v>
      </c>
      <c r="E5242" t="str">
        <f t="shared" si="2458"/>
        <v>COM</v>
      </c>
      <c r="F5242" t="str">
        <f>"DROGA ELIDA (10121)"</f>
        <v>DROGA ELIDA (10121)</v>
      </c>
      <c r="G5242" t="str">
        <f>"Serv.Prest. 01/09/2025 a 07/09/2025 - RPS: 1203 - NFSe: 3438"</f>
        <v>Serv.Prest. 01/09/2025 a 07/09/2025 - RPS: 1203 - NFSe: 3438</v>
      </c>
      <c r="H5242" t="str">
        <f t="shared" si="2461"/>
        <v>10/09/2025</v>
      </c>
      <c r="I5242" t="str">
        <f t="shared" si="2467"/>
        <v>08/09/2025</v>
      </c>
      <c r="J5242" t="str">
        <f t="shared" si="2463"/>
        <v>10/09/2025</v>
      </c>
      <c r="M5242">
        <v>303</v>
      </c>
      <c r="N5242" t="str">
        <f t="shared" si="2464"/>
        <v>RECEITAS COM ENTREGAS</v>
      </c>
      <c r="P5242">
        <v>350.4</v>
      </c>
      <c r="Q5242" t="str">
        <f>"DROGA ELIDA (10121)"</f>
        <v>DROGA ELIDA (10121)</v>
      </c>
      <c r="R5242" t="str">
        <f t="shared" si="2465"/>
        <v>RECEITAS COM ENTREGAS (303)</v>
      </c>
      <c r="S5242">
        <v>2530</v>
      </c>
      <c r="T5242">
        <v>2042</v>
      </c>
      <c r="U5242" t="s">
        <v>19</v>
      </c>
    </row>
    <row r="5243" spans="1:21">
      <c r="A5243" t="str">
        <f t="shared" si="2459"/>
        <v>10/09/2025</v>
      </c>
      <c r="B5243" t="str">
        <f t="shared" si="2466"/>
        <v>ENTRADA</v>
      </c>
      <c r="C5243" t="str">
        <f t="shared" si="2460"/>
        <v>NFSE</v>
      </c>
      <c r="D5243" t="str">
        <f>"3441"</f>
        <v>3441</v>
      </c>
      <c r="E5243" t="str">
        <f t="shared" si="2458"/>
        <v>COM</v>
      </c>
      <c r="F5243" t="str">
        <f>"DROGARIA TOTAL JUNDIAI (10177)"</f>
        <v>DROGARIA TOTAL JUNDIAI (10177)</v>
      </c>
      <c r="G5243" t="str">
        <f>"Serv.Prest. 01/09/2025 a 07/09/2025 - RPS: 1206 - NFSe: 3441"</f>
        <v>Serv.Prest. 01/09/2025 a 07/09/2025 - RPS: 1206 - NFSe: 3441</v>
      </c>
      <c r="H5243" t="str">
        <f t="shared" si="2461"/>
        <v>10/09/2025</v>
      </c>
      <c r="I5243" t="str">
        <f t="shared" si="2467"/>
        <v>08/09/2025</v>
      </c>
      <c r="J5243" t="str">
        <f t="shared" si="2463"/>
        <v>10/09/2025</v>
      </c>
      <c r="K5243">
        <v>100.27</v>
      </c>
      <c r="L5243">
        <v>100.27</v>
      </c>
      <c r="M5243">
        <v>303</v>
      </c>
      <c r="N5243" t="str">
        <f t="shared" si="2464"/>
        <v>RECEITAS COM ENTREGAS</v>
      </c>
      <c r="O5243">
        <v>100.27</v>
      </c>
      <c r="R5243" t="str">
        <f t="shared" si="2465"/>
        <v>RECEITAS COM ENTREGAS (303)</v>
      </c>
      <c r="S5243">
        <v>2531</v>
      </c>
      <c r="T5243">
        <v>2045</v>
      </c>
      <c r="U5243" t="s">
        <v>19</v>
      </c>
    </row>
    <row r="5244" spans="1:21">
      <c r="A5244" t="str">
        <f t="shared" si="2459"/>
        <v>10/09/2025</v>
      </c>
      <c r="B5244" t="str">
        <f t="shared" si="2466"/>
        <v>ENTRADA</v>
      </c>
      <c r="C5244" t="str">
        <f t="shared" si="2460"/>
        <v>NFSE</v>
      </c>
      <c r="D5244" t="str">
        <f>"3441"</f>
        <v>3441</v>
      </c>
      <c r="E5244" t="str">
        <f t="shared" si="2458"/>
        <v>COM</v>
      </c>
      <c r="F5244" t="str">
        <f>"DROGARIA TOTAL JUNDIAI (10177)"</f>
        <v>DROGARIA TOTAL JUNDIAI (10177)</v>
      </c>
      <c r="G5244" t="str">
        <f>"Serv.Prest. 01/09/2025 a 07/09/2025 - RPS: 1206 - NFSe: 3441"</f>
        <v>Serv.Prest. 01/09/2025 a 07/09/2025 - RPS: 1206 - NFSe: 3441</v>
      </c>
      <c r="H5244" t="str">
        <f t="shared" si="2461"/>
        <v>10/09/2025</v>
      </c>
      <c r="I5244" t="str">
        <f t="shared" si="2467"/>
        <v>08/09/2025</v>
      </c>
      <c r="J5244" t="str">
        <f t="shared" si="2463"/>
        <v>10/09/2025</v>
      </c>
      <c r="M5244">
        <v>303</v>
      </c>
      <c r="N5244" t="str">
        <f t="shared" si="2464"/>
        <v>RECEITAS COM ENTREGAS</v>
      </c>
      <c r="P5244">
        <v>100.27</v>
      </c>
      <c r="Q5244" t="str">
        <f>"DROGARIA TOTAL JUNDIAI (10177)"</f>
        <v>DROGARIA TOTAL JUNDIAI (10177)</v>
      </c>
      <c r="R5244" t="str">
        <f t="shared" si="2465"/>
        <v>RECEITAS COM ENTREGAS (303)</v>
      </c>
      <c r="S5244">
        <v>2531</v>
      </c>
      <c r="T5244">
        <v>2045</v>
      </c>
      <c r="U5244" t="s">
        <v>19</v>
      </c>
    </row>
    <row r="5245" spans="1:21">
      <c r="A5245" t="str">
        <f t="shared" si="2459"/>
        <v>10/09/2025</v>
      </c>
      <c r="B5245" t="str">
        <f t="shared" si="2466"/>
        <v>ENTRADA</v>
      </c>
      <c r="C5245" t="str">
        <f t="shared" si="2460"/>
        <v>NFSE</v>
      </c>
      <c r="D5245" t="str">
        <f>"3442"</f>
        <v>3442</v>
      </c>
      <c r="E5245" t="str">
        <f t="shared" si="2458"/>
        <v>COM</v>
      </c>
      <c r="F5245" t="str">
        <f>"DROGARIA MEDIC CENTER LTDA (10172)"</f>
        <v>DROGARIA MEDIC CENTER LTDA (10172)</v>
      </c>
      <c r="G5245" t="str">
        <f>"Serv.Prest. 01/09/2025 a 07/09/2025 - RPS: 1207 - NFSe: 3442"</f>
        <v>Serv.Prest. 01/09/2025 a 07/09/2025 - RPS: 1207 - NFSe: 3442</v>
      </c>
      <c r="H5245" t="str">
        <f t="shared" si="2461"/>
        <v>10/09/2025</v>
      </c>
      <c r="I5245" t="str">
        <f t="shared" si="2467"/>
        <v>08/09/2025</v>
      </c>
      <c r="J5245" t="str">
        <f t="shared" si="2463"/>
        <v>10/09/2025</v>
      </c>
      <c r="K5245">
        <v>155.69999999999999</v>
      </c>
      <c r="L5245">
        <v>155.69999999999999</v>
      </c>
      <c r="M5245">
        <v>303</v>
      </c>
      <c r="N5245" t="str">
        <f t="shared" si="2464"/>
        <v>RECEITAS COM ENTREGAS</v>
      </c>
      <c r="O5245">
        <v>155.69999999999999</v>
      </c>
      <c r="R5245" t="str">
        <f t="shared" si="2465"/>
        <v>RECEITAS COM ENTREGAS (303)</v>
      </c>
      <c r="S5245">
        <v>2532</v>
      </c>
      <c r="T5245">
        <v>2046</v>
      </c>
      <c r="U5245" t="s">
        <v>19</v>
      </c>
    </row>
    <row r="5246" spans="1:21">
      <c r="A5246" t="str">
        <f t="shared" si="2459"/>
        <v>10/09/2025</v>
      </c>
      <c r="B5246" t="str">
        <f t="shared" si="2466"/>
        <v>ENTRADA</v>
      </c>
      <c r="C5246" t="str">
        <f t="shared" si="2460"/>
        <v>NFSE</v>
      </c>
      <c r="D5246" t="str">
        <f>"3442"</f>
        <v>3442</v>
      </c>
      <c r="E5246" t="str">
        <f t="shared" si="2458"/>
        <v>COM</v>
      </c>
      <c r="F5246" t="str">
        <f>"DROGARIA MEDIC CENTER LTDA (10172)"</f>
        <v>DROGARIA MEDIC CENTER LTDA (10172)</v>
      </c>
      <c r="G5246" t="str">
        <f>"Serv.Prest. 01/09/2025 a 07/09/2025 - RPS: 1207 - NFSe: 3442"</f>
        <v>Serv.Prest. 01/09/2025 a 07/09/2025 - RPS: 1207 - NFSe: 3442</v>
      </c>
      <c r="H5246" t="str">
        <f t="shared" si="2461"/>
        <v>10/09/2025</v>
      </c>
      <c r="I5246" t="str">
        <f t="shared" si="2467"/>
        <v>08/09/2025</v>
      </c>
      <c r="J5246" t="str">
        <f t="shared" si="2463"/>
        <v>10/09/2025</v>
      </c>
      <c r="M5246">
        <v>303</v>
      </c>
      <c r="N5246" t="str">
        <f t="shared" si="2464"/>
        <v>RECEITAS COM ENTREGAS</v>
      </c>
      <c r="P5246">
        <v>155.69999999999999</v>
      </c>
      <c r="Q5246" t="str">
        <f>"DROGARIA MEDIC CENTER LTDA (10172)"</f>
        <v>DROGARIA MEDIC CENTER LTDA (10172)</v>
      </c>
      <c r="R5246" t="str">
        <f t="shared" si="2465"/>
        <v>RECEITAS COM ENTREGAS (303)</v>
      </c>
      <c r="S5246">
        <v>2532</v>
      </c>
      <c r="T5246">
        <v>2046</v>
      </c>
      <c r="U5246" t="s">
        <v>19</v>
      </c>
    </row>
    <row r="5247" spans="1:21">
      <c r="A5247" t="str">
        <f t="shared" si="2459"/>
        <v>10/09/2025</v>
      </c>
      <c r="B5247" t="str">
        <f t="shared" si="2466"/>
        <v>ENTRADA</v>
      </c>
      <c r="C5247" t="str">
        <f t="shared" si="2460"/>
        <v>NFSE</v>
      </c>
      <c r="D5247" t="str">
        <f>"3443"</f>
        <v>3443</v>
      </c>
      <c r="E5247" t="str">
        <f t="shared" si="2458"/>
        <v>COM</v>
      </c>
      <c r="F5247" t="str">
        <f>"DROGARIA MORENO LTDA (10171)"</f>
        <v>DROGARIA MORENO LTDA (10171)</v>
      </c>
      <c r="G5247" t="str">
        <f>"Serv.Prest. 01/09/2025 a 07/09/2025 - RPS: 1208 - NFSe: 3443"</f>
        <v>Serv.Prest. 01/09/2025 a 07/09/2025 - RPS: 1208 - NFSe: 3443</v>
      </c>
      <c r="H5247" t="str">
        <f t="shared" si="2461"/>
        <v>10/09/2025</v>
      </c>
      <c r="I5247" t="str">
        <f t="shared" si="2467"/>
        <v>08/09/2025</v>
      </c>
      <c r="J5247" t="str">
        <f t="shared" si="2463"/>
        <v>10/09/2025</v>
      </c>
      <c r="K5247">
        <v>415.8</v>
      </c>
      <c r="L5247">
        <v>415.8</v>
      </c>
      <c r="M5247">
        <v>303</v>
      </c>
      <c r="N5247" t="str">
        <f t="shared" si="2464"/>
        <v>RECEITAS COM ENTREGAS</v>
      </c>
      <c r="O5247">
        <v>415.8</v>
      </c>
      <c r="R5247" t="str">
        <f t="shared" si="2465"/>
        <v>RECEITAS COM ENTREGAS (303)</v>
      </c>
      <c r="S5247">
        <v>2533</v>
      </c>
      <c r="T5247">
        <v>2047</v>
      </c>
      <c r="U5247" t="s">
        <v>19</v>
      </c>
    </row>
    <row r="5248" spans="1:21">
      <c r="A5248" t="str">
        <f t="shared" si="2459"/>
        <v>10/09/2025</v>
      </c>
      <c r="B5248" t="str">
        <f t="shared" si="2466"/>
        <v>ENTRADA</v>
      </c>
      <c r="C5248" t="str">
        <f t="shared" si="2460"/>
        <v>NFSE</v>
      </c>
      <c r="D5248" t="str">
        <f>"3443"</f>
        <v>3443</v>
      </c>
      <c r="E5248" t="str">
        <f t="shared" si="2458"/>
        <v>COM</v>
      </c>
      <c r="F5248" t="str">
        <f>"DROGARIA MORENO LTDA (10171)"</f>
        <v>DROGARIA MORENO LTDA (10171)</v>
      </c>
      <c r="G5248" t="str">
        <f>"Serv.Prest. 01/09/2025 a 07/09/2025 - RPS: 1208 - NFSe: 3443"</f>
        <v>Serv.Prest. 01/09/2025 a 07/09/2025 - RPS: 1208 - NFSe: 3443</v>
      </c>
      <c r="H5248" t="str">
        <f t="shared" si="2461"/>
        <v>10/09/2025</v>
      </c>
      <c r="I5248" t="str">
        <f t="shared" si="2467"/>
        <v>08/09/2025</v>
      </c>
      <c r="J5248" t="str">
        <f t="shared" si="2463"/>
        <v>10/09/2025</v>
      </c>
      <c r="M5248">
        <v>303</v>
      </c>
      <c r="N5248" t="str">
        <f t="shared" si="2464"/>
        <v>RECEITAS COM ENTREGAS</v>
      </c>
      <c r="P5248">
        <v>415.8</v>
      </c>
      <c r="Q5248" t="str">
        <f>"DROGARIA MORENO LTDA (10171)"</f>
        <v>DROGARIA MORENO LTDA (10171)</v>
      </c>
      <c r="R5248" t="str">
        <f t="shared" si="2465"/>
        <v>RECEITAS COM ENTREGAS (303)</v>
      </c>
      <c r="S5248">
        <v>2533</v>
      </c>
      <c r="T5248">
        <v>2047</v>
      </c>
      <c r="U5248" t="s">
        <v>19</v>
      </c>
    </row>
    <row r="5249" spans="1:21">
      <c r="A5249" t="str">
        <f t="shared" si="2459"/>
        <v>10/09/2025</v>
      </c>
      <c r="B5249" t="str">
        <f t="shared" si="2466"/>
        <v>ENTRADA</v>
      </c>
      <c r="C5249" t="str">
        <f t="shared" si="2460"/>
        <v>NFSE</v>
      </c>
      <c r="D5249" t="str">
        <f>"3445"</f>
        <v>3445</v>
      </c>
      <c r="E5249" t="str">
        <f t="shared" si="2458"/>
        <v>COM</v>
      </c>
      <c r="F5249" t="str">
        <f>"JAL FARMACIA E DROGARIA LJ 2 (10138)"</f>
        <v>JAL FARMACIA E DROGARIA LJ 2 (10138)</v>
      </c>
      <c r="G5249" t="str">
        <f>"Serv.Prest. 01/09/2025 a 07/09/2025 - RPS: 1210 - NFSe: 3445"</f>
        <v>Serv.Prest. 01/09/2025 a 07/09/2025 - RPS: 1210 - NFSe: 3445</v>
      </c>
      <c r="H5249" t="str">
        <f t="shared" si="2461"/>
        <v>10/09/2025</v>
      </c>
      <c r="I5249" t="str">
        <f t="shared" si="2467"/>
        <v>08/09/2025</v>
      </c>
      <c r="J5249" t="str">
        <f t="shared" si="2463"/>
        <v>10/09/2025</v>
      </c>
      <c r="K5249">
        <v>307.2</v>
      </c>
      <c r="L5249">
        <v>307.2</v>
      </c>
      <c r="M5249">
        <v>303</v>
      </c>
      <c r="N5249" t="str">
        <f t="shared" si="2464"/>
        <v>RECEITAS COM ENTREGAS</v>
      </c>
      <c r="O5249">
        <v>307.2</v>
      </c>
      <c r="R5249" t="str">
        <f t="shared" si="2465"/>
        <v>RECEITAS COM ENTREGAS (303)</v>
      </c>
      <c r="S5249">
        <v>2534</v>
      </c>
      <c r="T5249">
        <v>2049</v>
      </c>
      <c r="U5249" t="s">
        <v>19</v>
      </c>
    </row>
    <row r="5250" spans="1:21">
      <c r="A5250" t="str">
        <f t="shared" si="2459"/>
        <v>10/09/2025</v>
      </c>
      <c r="B5250" t="str">
        <f t="shared" si="2466"/>
        <v>ENTRADA</v>
      </c>
      <c r="C5250" t="str">
        <f t="shared" si="2460"/>
        <v>NFSE</v>
      </c>
      <c r="D5250" t="str">
        <f>"3445"</f>
        <v>3445</v>
      </c>
      <c r="E5250" t="str">
        <f t="shared" si="2458"/>
        <v>COM</v>
      </c>
      <c r="F5250" t="str">
        <f>"JAL FARMACIA E DROGARIA LJ 2 (10138)"</f>
        <v>JAL FARMACIA E DROGARIA LJ 2 (10138)</v>
      </c>
      <c r="G5250" t="str">
        <f>"Serv.Prest. 01/09/2025 a 07/09/2025 - RPS: 1210 - NFSe: 3445"</f>
        <v>Serv.Prest. 01/09/2025 a 07/09/2025 - RPS: 1210 - NFSe: 3445</v>
      </c>
      <c r="H5250" t="str">
        <f t="shared" si="2461"/>
        <v>10/09/2025</v>
      </c>
      <c r="I5250" t="str">
        <f t="shared" si="2467"/>
        <v>08/09/2025</v>
      </c>
      <c r="J5250" t="str">
        <f t="shared" si="2463"/>
        <v>10/09/2025</v>
      </c>
      <c r="M5250">
        <v>303</v>
      </c>
      <c r="N5250" t="str">
        <f t="shared" si="2464"/>
        <v>RECEITAS COM ENTREGAS</v>
      </c>
      <c r="P5250">
        <v>307.2</v>
      </c>
      <c r="Q5250" t="str">
        <f>"JAL FARMACIA E DROGARIA LJ 2 (10138)"</f>
        <v>JAL FARMACIA E DROGARIA LJ 2 (10138)</v>
      </c>
      <c r="R5250" t="str">
        <f t="shared" si="2465"/>
        <v>RECEITAS COM ENTREGAS (303)</v>
      </c>
      <c r="S5250">
        <v>2534</v>
      </c>
      <c r="T5250">
        <v>2049</v>
      </c>
      <c r="U5250" t="s">
        <v>19</v>
      </c>
    </row>
    <row r="5251" spans="1:21">
      <c r="A5251" t="str">
        <f t="shared" si="2459"/>
        <v>10/09/2025</v>
      </c>
      <c r="B5251" t="str">
        <f t="shared" si="2466"/>
        <v>ENTRADA</v>
      </c>
      <c r="C5251" t="str">
        <f t="shared" si="2460"/>
        <v>NFSE</v>
      </c>
      <c r="D5251" t="str">
        <f>"3453"</f>
        <v>3453</v>
      </c>
      <c r="E5251" t="str">
        <f t="shared" si="2458"/>
        <v>COM</v>
      </c>
      <c r="F5251" t="str">
        <f>"DELTA LOJA 2 (10123)"</f>
        <v>DELTA LOJA 2 (10123)</v>
      </c>
      <c r="G5251" t="str">
        <f>"Serv.Prest. 01/09/2025 a 07/09/2025 - RPS: 1218 - NFSe: 3453"</f>
        <v>Serv.Prest. 01/09/2025 a 07/09/2025 - RPS: 1218 - NFSe: 3453</v>
      </c>
      <c r="H5251" t="str">
        <f t="shared" si="2461"/>
        <v>10/09/2025</v>
      </c>
      <c r="I5251" t="str">
        <f>("09/09/2025")</f>
        <v>09/09/2025</v>
      </c>
      <c r="J5251" t="str">
        <f t="shared" si="2463"/>
        <v>10/09/2025</v>
      </c>
      <c r="K5251">
        <v>549.91999999999996</v>
      </c>
      <c r="L5251">
        <v>549.91999999999996</v>
      </c>
      <c r="M5251">
        <v>303</v>
      </c>
      <c r="N5251" t="str">
        <f t="shared" si="2464"/>
        <v>RECEITAS COM ENTREGAS</v>
      </c>
      <c r="O5251">
        <v>549.91999999999996</v>
      </c>
      <c r="R5251" t="str">
        <f t="shared" si="2465"/>
        <v>RECEITAS COM ENTREGAS (303)</v>
      </c>
      <c r="S5251">
        <v>2535</v>
      </c>
      <c r="T5251">
        <v>2057</v>
      </c>
      <c r="U5251" t="s">
        <v>19</v>
      </c>
    </row>
    <row r="5252" spans="1:21">
      <c r="A5252" t="str">
        <f t="shared" si="2459"/>
        <v>10/09/2025</v>
      </c>
      <c r="B5252" t="str">
        <f t="shared" si="2466"/>
        <v>ENTRADA</v>
      </c>
      <c r="C5252" t="str">
        <f t="shared" si="2460"/>
        <v>NFSE</v>
      </c>
      <c r="D5252" t="str">
        <f>"3453"</f>
        <v>3453</v>
      </c>
      <c r="E5252" t="str">
        <f t="shared" si="2458"/>
        <v>COM</v>
      </c>
      <c r="F5252" t="str">
        <f>"DELTA LOJA 2 (10123)"</f>
        <v>DELTA LOJA 2 (10123)</v>
      </c>
      <c r="G5252" t="str">
        <f>"Serv.Prest. 01/09/2025 a 07/09/2025 - RPS: 1218 - NFSe: 3453"</f>
        <v>Serv.Prest. 01/09/2025 a 07/09/2025 - RPS: 1218 - NFSe: 3453</v>
      </c>
      <c r="H5252" t="str">
        <f t="shared" si="2461"/>
        <v>10/09/2025</v>
      </c>
      <c r="I5252" t="str">
        <f>("09/09/2025")</f>
        <v>09/09/2025</v>
      </c>
      <c r="J5252" t="str">
        <f t="shared" si="2463"/>
        <v>10/09/2025</v>
      </c>
      <c r="M5252">
        <v>303</v>
      </c>
      <c r="N5252" t="str">
        <f t="shared" si="2464"/>
        <v>RECEITAS COM ENTREGAS</v>
      </c>
      <c r="P5252">
        <v>549.91999999999996</v>
      </c>
      <c r="Q5252" t="str">
        <f>"DELTA LOJA 2 (10123)"</f>
        <v>DELTA LOJA 2 (10123)</v>
      </c>
      <c r="R5252" t="str">
        <f t="shared" si="2465"/>
        <v>RECEITAS COM ENTREGAS (303)</v>
      </c>
      <c r="S5252">
        <v>2535</v>
      </c>
      <c r="T5252">
        <v>2057</v>
      </c>
      <c r="U5252" t="s">
        <v>19</v>
      </c>
    </row>
    <row r="5253" spans="1:21">
      <c r="A5253" t="str">
        <f t="shared" si="2459"/>
        <v>10/09/2025</v>
      </c>
      <c r="B5253" t="str">
        <f t="shared" ref="B5253:B5263" si="2468">"SAÍDA"</f>
        <v>SAÍDA</v>
      </c>
      <c r="C5253" t="str">
        <f>"BOLETO"</f>
        <v>BOLETO</v>
      </c>
      <c r="D5253" t="str">
        <f>"792534"</f>
        <v>792534</v>
      </c>
      <c r="E5253" t="str">
        <f t="shared" si="2458"/>
        <v>COM</v>
      </c>
      <c r="F5253" t="str">
        <f>"UNIODONTO REGIONAL COOPERATIVA ODONTOLOGICA LTDA. (20024)"</f>
        <v>UNIODONTO REGIONAL COOPERATIVA ODONTOLOGICA LTDA. (20024)</v>
      </c>
      <c r="G5253" t="str">
        <f>"PLANO ODONTOLOGICO 01/2025"</f>
        <v>PLANO ODONTOLOGICO 01/2025</v>
      </c>
      <c r="H5253" t="str">
        <f t="shared" si="2461"/>
        <v>10/09/2025</v>
      </c>
      <c r="I5253" t="str">
        <f>("18/08/2025")</f>
        <v>18/08/2025</v>
      </c>
      <c r="J5253" t="str">
        <f t="shared" si="2463"/>
        <v>10/09/2025</v>
      </c>
      <c r="K5253">
        <v>1513.09</v>
      </c>
      <c r="L5253">
        <v>1513.09</v>
      </c>
      <c r="M5253">
        <v>192</v>
      </c>
      <c r="N5253" t="str">
        <f>"PLANOS E SEGUROS"</f>
        <v>PLANOS E SEGUROS</v>
      </c>
      <c r="O5253">
        <v>1513.09</v>
      </c>
      <c r="R5253" t="str">
        <f t="shared" ref="R5253:R5263" si="2469">"BANCO CORA (102)"</f>
        <v>BANCO CORA (102)</v>
      </c>
      <c r="S5253">
        <v>2549</v>
      </c>
      <c r="T5253">
        <v>843</v>
      </c>
      <c r="U5253" t="s">
        <v>19</v>
      </c>
    </row>
    <row r="5254" spans="1:21">
      <c r="A5254" t="str">
        <f t="shared" si="2459"/>
        <v>10/09/2025</v>
      </c>
      <c r="B5254" t="str">
        <f t="shared" si="2468"/>
        <v>SAÍDA</v>
      </c>
      <c r="C5254" t="str">
        <f>"BOLETO"</f>
        <v>BOLETO</v>
      </c>
      <c r="D5254" t="str">
        <f>"792534"</f>
        <v>792534</v>
      </c>
      <c r="E5254" t="str">
        <f t="shared" si="2458"/>
        <v>COM</v>
      </c>
      <c r="F5254" t="str">
        <f>"UNIODONTO REGIONAL COOPERATIVA ODONTOLOGICA LTDA. (20024)"</f>
        <v>UNIODONTO REGIONAL COOPERATIVA ODONTOLOGICA LTDA. (20024)</v>
      </c>
      <c r="G5254" t="str">
        <f>"PLANO ODONTOLOGICO 01/2025"</f>
        <v>PLANO ODONTOLOGICO 01/2025</v>
      </c>
      <c r="H5254" t="str">
        <f t="shared" si="2461"/>
        <v>10/09/2025</v>
      </c>
      <c r="I5254" t="str">
        <f>("18/08/2025")</f>
        <v>18/08/2025</v>
      </c>
      <c r="J5254" t="str">
        <f t="shared" si="2463"/>
        <v>10/09/2025</v>
      </c>
      <c r="M5254">
        <v>192</v>
      </c>
      <c r="N5254" t="str">
        <f>"PLANOS E SEGUROS"</f>
        <v>PLANOS E SEGUROS</v>
      </c>
      <c r="P5254">
        <v>1513.09</v>
      </c>
      <c r="Q5254" t="str">
        <f>"UNIODONTO REGIONAL COOPERATIVA ODONTOLOGICA LTDA. (20024)"</f>
        <v>UNIODONTO REGIONAL COOPERATIVA ODONTOLOGICA LTDA. (20024)</v>
      </c>
      <c r="R5254" t="str">
        <f t="shared" si="2469"/>
        <v>BANCO CORA (102)</v>
      </c>
      <c r="S5254">
        <v>2549</v>
      </c>
      <c r="T5254">
        <v>843</v>
      </c>
      <c r="U5254" t="s">
        <v>19</v>
      </c>
    </row>
    <row r="5255" spans="1:21">
      <c r="A5255" t="str">
        <f t="shared" si="2459"/>
        <v>10/09/2025</v>
      </c>
      <c r="B5255" t="str">
        <f t="shared" si="2468"/>
        <v>SAÍDA</v>
      </c>
      <c r="C5255" t="str">
        <f t="shared" ref="C5255:C5263" si="2470">"CONHECIMENTO"</f>
        <v>CONHECIMENTO</v>
      </c>
      <c r="D5255" t="str">
        <f t="shared" ref="D5255:D5263" si="2471">"100925170"</f>
        <v>100925170</v>
      </c>
      <c r="E5255" t="str">
        <f t="shared" si="2458"/>
        <v>COM</v>
      </c>
      <c r="F5255" t="str">
        <f t="shared" ref="F5255:F5263" si="2472">"CORA SOCIEDADE DE CREDITO, FINANCIAMENTO E INVESTIMENTO (20035)"</f>
        <v>CORA SOCIEDADE DE CREDITO, FINANCIAMENTO E INVESTIMENTO (20035)</v>
      </c>
      <c r="G5255" t="str">
        <f t="shared" ref="G5255:G5263" si="2473">"TAXA BOLETO COMPENSADO"</f>
        <v>TAXA BOLETO COMPENSADO</v>
      </c>
      <c r="H5255" t="str">
        <f t="shared" si="2461"/>
        <v>10/09/2025</v>
      </c>
      <c r="I5255" t="str">
        <f t="shared" ref="I5255:I5263" si="2474">("10/09/2025")</f>
        <v>10/09/2025</v>
      </c>
      <c r="J5255" t="str">
        <f t="shared" si="2463"/>
        <v>10/09/2025</v>
      </c>
      <c r="K5255">
        <v>1.7</v>
      </c>
      <c r="L5255">
        <v>1.7</v>
      </c>
      <c r="M5255">
        <v>401</v>
      </c>
      <c r="N5255" t="str">
        <f t="shared" ref="N5255:N5263" si="2475">"IOF/JUROS/DESP.FINANCEIRA"</f>
        <v>IOF/JUROS/DESP.FINANCEIRA</v>
      </c>
      <c r="O5255">
        <v>1.7</v>
      </c>
      <c r="R5255" t="str">
        <f t="shared" si="2469"/>
        <v>BANCO CORA (102)</v>
      </c>
      <c r="S5255">
        <v>2574</v>
      </c>
      <c r="T5255">
        <v>2094</v>
      </c>
      <c r="U5255" t="s">
        <v>19</v>
      </c>
    </row>
    <row r="5256" spans="1:21">
      <c r="A5256" t="str">
        <f t="shared" si="2459"/>
        <v>10/09/2025</v>
      </c>
      <c r="B5256" t="str">
        <f t="shared" si="2468"/>
        <v>SAÍDA</v>
      </c>
      <c r="C5256" t="str">
        <f t="shared" si="2470"/>
        <v>CONHECIMENTO</v>
      </c>
      <c r="D5256" t="str">
        <f t="shared" si="2471"/>
        <v>100925170</v>
      </c>
      <c r="E5256" t="str">
        <f t="shared" si="2458"/>
        <v>COM</v>
      </c>
      <c r="F5256" t="str">
        <f t="shared" si="2472"/>
        <v>CORA SOCIEDADE DE CREDITO, FINANCIAMENTO E INVESTIMENTO (20035)</v>
      </c>
      <c r="G5256" t="str">
        <f t="shared" si="2473"/>
        <v>TAXA BOLETO COMPENSADO</v>
      </c>
      <c r="H5256" t="str">
        <f t="shared" si="2461"/>
        <v>10/09/2025</v>
      </c>
      <c r="I5256" t="str">
        <f t="shared" si="2474"/>
        <v>10/09/2025</v>
      </c>
      <c r="J5256" t="str">
        <f t="shared" si="2463"/>
        <v>10/09/2025</v>
      </c>
      <c r="K5256">
        <v>1.7</v>
      </c>
      <c r="L5256">
        <v>1.7</v>
      </c>
      <c r="M5256">
        <v>401</v>
      </c>
      <c r="N5256" t="str">
        <f t="shared" si="2475"/>
        <v>IOF/JUROS/DESP.FINANCEIRA</v>
      </c>
      <c r="O5256">
        <v>1.7</v>
      </c>
      <c r="R5256" t="str">
        <f t="shared" si="2469"/>
        <v>BANCO CORA (102)</v>
      </c>
      <c r="S5256">
        <v>2575</v>
      </c>
      <c r="T5256">
        <v>2095</v>
      </c>
      <c r="U5256" t="s">
        <v>19</v>
      </c>
    </row>
    <row r="5257" spans="1:21">
      <c r="A5257" t="str">
        <f t="shared" si="2459"/>
        <v>10/09/2025</v>
      </c>
      <c r="B5257" t="str">
        <f t="shared" si="2468"/>
        <v>SAÍDA</v>
      </c>
      <c r="C5257" t="str">
        <f t="shared" si="2470"/>
        <v>CONHECIMENTO</v>
      </c>
      <c r="D5257" t="str">
        <f t="shared" si="2471"/>
        <v>100925170</v>
      </c>
      <c r="E5257" t="str">
        <f t="shared" si="2458"/>
        <v>COM</v>
      </c>
      <c r="F5257" t="str">
        <f t="shared" si="2472"/>
        <v>CORA SOCIEDADE DE CREDITO, FINANCIAMENTO E INVESTIMENTO (20035)</v>
      </c>
      <c r="G5257" t="str">
        <f t="shared" si="2473"/>
        <v>TAXA BOLETO COMPENSADO</v>
      </c>
      <c r="H5257" t="str">
        <f t="shared" si="2461"/>
        <v>10/09/2025</v>
      </c>
      <c r="I5257" t="str">
        <f t="shared" si="2474"/>
        <v>10/09/2025</v>
      </c>
      <c r="J5257" t="str">
        <f t="shared" si="2463"/>
        <v>10/09/2025</v>
      </c>
      <c r="K5257">
        <v>1.7</v>
      </c>
      <c r="L5257">
        <v>1.7</v>
      </c>
      <c r="M5257">
        <v>401</v>
      </c>
      <c r="N5257" t="str">
        <f t="shared" si="2475"/>
        <v>IOF/JUROS/DESP.FINANCEIRA</v>
      </c>
      <c r="O5257">
        <v>1.7</v>
      </c>
      <c r="R5257" t="str">
        <f t="shared" si="2469"/>
        <v>BANCO CORA (102)</v>
      </c>
      <c r="S5257">
        <v>2576</v>
      </c>
      <c r="T5257">
        <v>2096</v>
      </c>
      <c r="U5257" t="s">
        <v>19</v>
      </c>
    </row>
    <row r="5258" spans="1:21">
      <c r="A5258" t="str">
        <f t="shared" si="2459"/>
        <v>10/09/2025</v>
      </c>
      <c r="B5258" t="str">
        <f t="shared" si="2468"/>
        <v>SAÍDA</v>
      </c>
      <c r="C5258" t="str">
        <f t="shared" si="2470"/>
        <v>CONHECIMENTO</v>
      </c>
      <c r="D5258" t="str">
        <f t="shared" si="2471"/>
        <v>100925170</v>
      </c>
      <c r="E5258" t="str">
        <f t="shared" si="2458"/>
        <v>COM</v>
      </c>
      <c r="F5258" t="str">
        <f t="shared" si="2472"/>
        <v>CORA SOCIEDADE DE CREDITO, FINANCIAMENTO E INVESTIMENTO (20035)</v>
      </c>
      <c r="G5258" t="str">
        <f t="shared" si="2473"/>
        <v>TAXA BOLETO COMPENSADO</v>
      </c>
      <c r="H5258" t="str">
        <f t="shared" si="2461"/>
        <v>10/09/2025</v>
      </c>
      <c r="I5258" t="str">
        <f t="shared" si="2474"/>
        <v>10/09/2025</v>
      </c>
      <c r="J5258" t="str">
        <f t="shared" si="2463"/>
        <v>10/09/2025</v>
      </c>
      <c r="K5258">
        <v>1.7</v>
      </c>
      <c r="L5258">
        <v>1.7</v>
      </c>
      <c r="M5258">
        <v>401</v>
      </c>
      <c r="N5258" t="str">
        <f t="shared" si="2475"/>
        <v>IOF/JUROS/DESP.FINANCEIRA</v>
      </c>
      <c r="O5258">
        <v>1.7</v>
      </c>
      <c r="R5258" t="str">
        <f t="shared" si="2469"/>
        <v>BANCO CORA (102)</v>
      </c>
      <c r="S5258">
        <v>2577</v>
      </c>
      <c r="T5258">
        <v>2097</v>
      </c>
      <c r="U5258" t="s">
        <v>19</v>
      </c>
    </row>
    <row r="5259" spans="1:21">
      <c r="A5259" t="str">
        <f t="shared" si="2459"/>
        <v>10/09/2025</v>
      </c>
      <c r="B5259" t="str">
        <f t="shared" si="2468"/>
        <v>SAÍDA</v>
      </c>
      <c r="C5259" t="str">
        <f t="shared" si="2470"/>
        <v>CONHECIMENTO</v>
      </c>
      <c r="D5259" t="str">
        <f t="shared" si="2471"/>
        <v>100925170</v>
      </c>
      <c r="E5259" t="str">
        <f t="shared" si="2458"/>
        <v>COM</v>
      </c>
      <c r="F5259" t="str">
        <f t="shared" si="2472"/>
        <v>CORA SOCIEDADE DE CREDITO, FINANCIAMENTO E INVESTIMENTO (20035)</v>
      </c>
      <c r="G5259" t="str">
        <f t="shared" si="2473"/>
        <v>TAXA BOLETO COMPENSADO</v>
      </c>
      <c r="H5259" t="str">
        <f t="shared" ref="H5259:H5270" si="2476">("10/09/2025")</f>
        <v>10/09/2025</v>
      </c>
      <c r="I5259" t="str">
        <f t="shared" si="2474"/>
        <v>10/09/2025</v>
      </c>
      <c r="J5259" t="str">
        <f t="shared" si="2463"/>
        <v>10/09/2025</v>
      </c>
      <c r="K5259">
        <v>1.7</v>
      </c>
      <c r="L5259">
        <v>1.7</v>
      </c>
      <c r="M5259">
        <v>401</v>
      </c>
      <c r="N5259" t="str">
        <f t="shared" si="2475"/>
        <v>IOF/JUROS/DESP.FINANCEIRA</v>
      </c>
      <c r="O5259">
        <v>1.7</v>
      </c>
      <c r="R5259" t="str">
        <f t="shared" si="2469"/>
        <v>BANCO CORA (102)</v>
      </c>
      <c r="S5259">
        <v>2578</v>
      </c>
      <c r="T5259">
        <v>2098</v>
      </c>
      <c r="U5259" t="s">
        <v>19</v>
      </c>
    </row>
    <row r="5260" spans="1:21">
      <c r="A5260" t="str">
        <f t="shared" si="2459"/>
        <v>10/09/2025</v>
      </c>
      <c r="B5260" t="str">
        <f t="shared" si="2468"/>
        <v>SAÍDA</v>
      </c>
      <c r="C5260" t="str">
        <f t="shared" si="2470"/>
        <v>CONHECIMENTO</v>
      </c>
      <c r="D5260" t="str">
        <f t="shared" si="2471"/>
        <v>100925170</v>
      </c>
      <c r="E5260" t="str">
        <f t="shared" si="2458"/>
        <v>COM</v>
      </c>
      <c r="F5260" t="str">
        <f t="shared" si="2472"/>
        <v>CORA SOCIEDADE DE CREDITO, FINANCIAMENTO E INVESTIMENTO (20035)</v>
      </c>
      <c r="G5260" t="str">
        <f t="shared" si="2473"/>
        <v>TAXA BOLETO COMPENSADO</v>
      </c>
      <c r="H5260" t="str">
        <f t="shared" si="2476"/>
        <v>10/09/2025</v>
      </c>
      <c r="I5260" t="str">
        <f t="shared" si="2474"/>
        <v>10/09/2025</v>
      </c>
      <c r="J5260" t="str">
        <f t="shared" si="2463"/>
        <v>10/09/2025</v>
      </c>
      <c r="K5260">
        <v>1.7</v>
      </c>
      <c r="L5260">
        <v>1.7</v>
      </c>
      <c r="M5260">
        <v>401</v>
      </c>
      <c r="N5260" t="str">
        <f t="shared" si="2475"/>
        <v>IOF/JUROS/DESP.FINANCEIRA</v>
      </c>
      <c r="O5260">
        <v>1.7</v>
      </c>
      <c r="R5260" t="str">
        <f t="shared" si="2469"/>
        <v>BANCO CORA (102)</v>
      </c>
      <c r="S5260">
        <v>2579</v>
      </c>
      <c r="T5260">
        <v>2099</v>
      </c>
      <c r="U5260" t="s">
        <v>19</v>
      </c>
    </row>
    <row r="5261" spans="1:21">
      <c r="A5261" t="str">
        <f t="shared" si="2459"/>
        <v>10/09/2025</v>
      </c>
      <c r="B5261" t="str">
        <f t="shared" si="2468"/>
        <v>SAÍDA</v>
      </c>
      <c r="C5261" t="str">
        <f t="shared" si="2470"/>
        <v>CONHECIMENTO</v>
      </c>
      <c r="D5261" t="str">
        <f t="shared" si="2471"/>
        <v>100925170</v>
      </c>
      <c r="E5261" t="str">
        <f t="shared" si="2458"/>
        <v>COM</v>
      </c>
      <c r="F5261" t="str">
        <f t="shared" si="2472"/>
        <v>CORA SOCIEDADE DE CREDITO, FINANCIAMENTO E INVESTIMENTO (20035)</v>
      </c>
      <c r="G5261" t="str">
        <f t="shared" si="2473"/>
        <v>TAXA BOLETO COMPENSADO</v>
      </c>
      <c r="H5261" t="str">
        <f t="shared" si="2476"/>
        <v>10/09/2025</v>
      </c>
      <c r="I5261" t="str">
        <f t="shared" si="2474"/>
        <v>10/09/2025</v>
      </c>
      <c r="J5261" t="str">
        <f t="shared" si="2463"/>
        <v>10/09/2025</v>
      </c>
      <c r="K5261">
        <v>1.7</v>
      </c>
      <c r="L5261">
        <v>1.7</v>
      </c>
      <c r="M5261">
        <v>401</v>
      </c>
      <c r="N5261" t="str">
        <f t="shared" si="2475"/>
        <v>IOF/JUROS/DESP.FINANCEIRA</v>
      </c>
      <c r="O5261">
        <v>1.7</v>
      </c>
      <c r="R5261" t="str">
        <f t="shared" si="2469"/>
        <v>BANCO CORA (102)</v>
      </c>
      <c r="S5261">
        <v>2580</v>
      </c>
      <c r="T5261">
        <v>2100</v>
      </c>
      <c r="U5261" t="s">
        <v>19</v>
      </c>
    </row>
    <row r="5262" spans="1:21">
      <c r="A5262" t="str">
        <f t="shared" si="2459"/>
        <v>10/09/2025</v>
      </c>
      <c r="B5262" t="str">
        <f t="shared" si="2468"/>
        <v>SAÍDA</v>
      </c>
      <c r="C5262" t="str">
        <f t="shared" si="2470"/>
        <v>CONHECIMENTO</v>
      </c>
      <c r="D5262" t="str">
        <f t="shared" si="2471"/>
        <v>100925170</v>
      </c>
      <c r="E5262" t="str">
        <f t="shared" si="2458"/>
        <v>COM</v>
      </c>
      <c r="F5262" t="str">
        <f t="shared" si="2472"/>
        <v>CORA SOCIEDADE DE CREDITO, FINANCIAMENTO E INVESTIMENTO (20035)</v>
      </c>
      <c r="G5262" t="str">
        <f t="shared" si="2473"/>
        <v>TAXA BOLETO COMPENSADO</v>
      </c>
      <c r="H5262" t="str">
        <f t="shared" si="2476"/>
        <v>10/09/2025</v>
      </c>
      <c r="I5262" t="str">
        <f t="shared" si="2474"/>
        <v>10/09/2025</v>
      </c>
      <c r="J5262" t="str">
        <f t="shared" si="2463"/>
        <v>10/09/2025</v>
      </c>
      <c r="K5262">
        <v>1.7</v>
      </c>
      <c r="L5262">
        <v>1.7</v>
      </c>
      <c r="M5262">
        <v>401</v>
      </c>
      <c r="N5262" t="str">
        <f t="shared" si="2475"/>
        <v>IOF/JUROS/DESP.FINANCEIRA</v>
      </c>
      <c r="O5262">
        <v>1.7</v>
      </c>
      <c r="R5262" t="str">
        <f t="shared" si="2469"/>
        <v>BANCO CORA (102)</v>
      </c>
      <c r="S5262">
        <v>2581</v>
      </c>
      <c r="T5262">
        <v>2101</v>
      </c>
      <c r="U5262" t="s">
        <v>19</v>
      </c>
    </row>
    <row r="5263" spans="1:21">
      <c r="A5263" t="str">
        <f t="shared" si="2459"/>
        <v>10/09/2025</v>
      </c>
      <c r="B5263" t="str">
        <f t="shared" si="2468"/>
        <v>SAÍDA</v>
      </c>
      <c r="C5263" t="str">
        <f t="shared" si="2470"/>
        <v>CONHECIMENTO</v>
      </c>
      <c r="D5263" t="str">
        <f t="shared" si="2471"/>
        <v>100925170</v>
      </c>
      <c r="E5263" t="str">
        <f t="shared" si="2458"/>
        <v>COM</v>
      </c>
      <c r="F5263" t="str">
        <f t="shared" si="2472"/>
        <v>CORA SOCIEDADE DE CREDITO, FINANCIAMENTO E INVESTIMENTO (20035)</v>
      </c>
      <c r="G5263" t="str">
        <f t="shared" si="2473"/>
        <v>TAXA BOLETO COMPENSADO</v>
      </c>
      <c r="H5263" t="str">
        <f t="shared" si="2476"/>
        <v>10/09/2025</v>
      </c>
      <c r="I5263" t="str">
        <f t="shared" si="2474"/>
        <v>10/09/2025</v>
      </c>
      <c r="J5263" t="str">
        <f t="shared" si="2463"/>
        <v>10/09/2025</v>
      </c>
      <c r="K5263">
        <v>1.7</v>
      </c>
      <c r="L5263">
        <v>1.7</v>
      </c>
      <c r="M5263">
        <v>401</v>
      </c>
      <c r="N5263" t="str">
        <f t="shared" si="2475"/>
        <v>IOF/JUROS/DESP.FINANCEIRA</v>
      </c>
      <c r="O5263">
        <v>1.7</v>
      </c>
      <c r="R5263" t="str">
        <f t="shared" si="2469"/>
        <v>BANCO CORA (102)</v>
      </c>
      <c r="S5263">
        <v>2582</v>
      </c>
      <c r="T5263">
        <v>2102</v>
      </c>
      <c r="U5263" t="s">
        <v>19</v>
      </c>
    </row>
    <row r="5264" spans="1:21">
      <c r="A5264" t="str">
        <f t="shared" ref="A5264:A5299" si="2477">("11/09/2025")</f>
        <v>11/09/2025</v>
      </c>
      <c r="B5264" t="str">
        <f>"ENTRADA"</f>
        <v>ENTRADA</v>
      </c>
      <c r="C5264" t="str">
        <f t="shared" ref="C5264:C5270" si="2478">"NFSE"</f>
        <v>NFSE</v>
      </c>
      <c r="D5264" t="str">
        <f>"3429"</f>
        <v>3429</v>
      </c>
      <c r="E5264" t="str">
        <f t="shared" si="2458"/>
        <v>COM</v>
      </c>
      <c r="F5264" t="str">
        <f>"AC FARMA - CID.ALTA (10166)"</f>
        <v>AC FARMA - CID.ALTA (10166)</v>
      </c>
      <c r="G5264" t="str">
        <f>"Serv.Prest. 25/08/2025 a 31/08/2025 - RPS: 1194 - NFSe: 3429"</f>
        <v>Serv.Prest. 25/08/2025 a 31/08/2025 - RPS: 1194 - NFSe: 3429</v>
      </c>
      <c r="H5264" t="str">
        <f t="shared" si="2476"/>
        <v>10/09/2025</v>
      </c>
      <c r="I5264" t="str">
        <f>("02/09/2025")</f>
        <v>02/09/2025</v>
      </c>
      <c r="J5264" t="str">
        <f t="shared" ref="J5264:J5299" si="2479">("11/09/2025")</f>
        <v>11/09/2025</v>
      </c>
      <c r="K5264">
        <v>1048.32</v>
      </c>
      <c r="L5264">
        <v>1048.32</v>
      </c>
      <c r="M5264">
        <v>303</v>
      </c>
      <c r="N5264" t="str">
        <f t="shared" ref="N5264:N5270" si="2480">"RECEITAS COM ENTREGAS"</f>
        <v>RECEITAS COM ENTREGAS</v>
      </c>
      <c r="O5264">
        <v>1048.32</v>
      </c>
      <c r="R5264" t="str">
        <f t="shared" ref="R5264:R5270" si="2481">"RECEITAS COM ENTREGAS (303)"</f>
        <v>RECEITAS COM ENTREGAS (303)</v>
      </c>
      <c r="S5264">
        <v>2536</v>
      </c>
      <c r="T5264">
        <v>2028</v>
      </c>
      <c r="U5264" t="s">
        <v>19</v>
      </c>
    </row>
    <row r="5265" spans="1:21">
      <c r="A5265" t="str">
        <f t="shared" si="2477"/>
        <v>11/09/2025</v>
      </c>
      <c r="B5265" t="str">
        <f t="shared" ref="B5265:B5270" si="2482">"ENTRADA"</f>
        <v>ENTRADA</v>
      </c>
      <c r="C5265" t="str">
        <f t="shared" si="2478"/>
        <v>NFSE</v>
      </c>
      <c r="D5265" t="str">
        <f>"3429"</f>
        <v>3429</v>
      </c>
      <c r="E5265" t="str">
        <f t="shared" si="2458"/>
        <v>COM</v>
      </c>
      <c r="F5265" t="str">
        <f>"AC FARMA - CID.ALTA (10166)"</f>
        <v>AC FARMA - CID.ALTA (10166)</v>
      </c>
      <c r="G5265" t="str">
        <f>"Serv.Prest. 25/08/2025 a 31/08/2025 - RPS: 1194 - NFSe: 3429"</f>
        <v>Serv.Prest. 25/08/2025 a 31/08/2025 - RPS: 1194 - NFSe: 3429</v>
      </c>
      <c r="H5265" t="str">
        <f t="shared" si="2476"/>
        <v>10/09/2025</v>
      </c>
      <c r="I5265" t="str">
        <f>("02/09/2025")</f>
        <v>02/09/2025</v>
      </c>
      <c r="J5265" t="str">
        <f t="shared" si="2479"/>
        <v>11/09/2025</v>
      </c>
      <c r="M5265">
        <v>303</v>
      </c>
      <c r="N5265" t="str">
        <f t="shared" si="2480"/>
        <v>RECEITAS COM ENTREGAS</v>
      </c>
      <c r="P5265">
        <v>1048.32</v>
      </c>
      <c r="Q5265" t="str">
        <f>"AC FARMA - CID.ALTA (10166)"</f>
        <v>AC FARMA - CID.ALTA (10166)</v>
      </c>
      <c r="R5265" t="str">
        <f t="shared" si="2481"/>
        <v>RECEITAS COM ENTREGAS (303)</v>
      </c>
      <c r="S5265">
        <v>2536</v>
      </c>
      <c r="T5265">
        <v>2028</v>
      </c>
      <c r="U5265" t="s">
        <v>19</v>
      </c>
    </row>
    <row r="5266" spans="1:21">
      <c r="A5266" t="str">
        <f t="shared" si="2477"/>
        <v>11/09/2025</v>
      </c>
      <c r="B5266" t="str">
        <f t="shared" si="2482"/>
        <v>ENTRADA</v>
      </c>
      <c r="C5266" t="str">
        <f t="shared" si="2478"/>
        <v>NFSE</v>
      </c>
      <c r="D5266" t="str">
        <f>"3430"</f>
        <v>3430</v>
      </c>
      <c r="E5266" t="str">
        <f t="shared" si="2458"/>
        <v>COM</v>
      </c>
      <c r="F5266" t="str">
        <f>"AC FARMA - FLEMINFARMA (10160)"</f>
        <v>AC FARMA - FLEMINFARMA (10160)</v>
      </c>
      <c r="G5266" t="str">
        <f>"Serv.Prest. 25/08/2025 a 31/08/2025 - RPS: 1195 - NFSe: 3430"</f>
        <v>Serv.Prest. 25/08/2025 a 31/08/2025 - RPS: 1195 - NFSe: 3430</v>
      </c>
      <c r="H5266" t="str">
        <f t="shared" si="2476"/>
        <v>10/09/2025</v>
      </c>
      <c r="I5266" t="str">
        <f>("02/09/2025")</f>
        <v>02/09/2025</v>
      </c>
      <c r="J5266" t="str">
        <f t="shared" si="2479"/>
        <v>11/09/2025</v>
      </c>
      <c r="K5266">
        <v>288</v>
      </c>
      <c r="L5266">
        <v>288</v>
      </c>
      <c r="M5266">
        <v>303</v>
      </c>
      <c r="N5266" t="str">
        <f t="shared" si="2480"/>
        <v>RECEITAS COM ENTREGAS</v>
      </c>
      <c r="O5266">
        <v>288</v>
      </c>
      <c r="R5266" t="str">
        <f t="shared" si="2481"/>
        <v>RECEITAS COM ENTREGAS (303)</v>
      </c>
      <c r="S5266">
        <v>2537</v>
      </c>
      <c r="T5266">
        <v>2029</v>
      </c>
      <c r="U5266" t="s">
        <v>19</v>
      </c>
    </row>
    <row r="5267" spans="1:21">
      <c r="A5267" t="str">
        <f t="shared" si="2477"/>
        <v>11/09/2025</v>
      </c>
      <c r="B5267" t="str">
        <f t="shared" si="2482"/>
        <v>ENTRADA</v>
      </c>
      <c r="C5267" t="str">
        <f t="shared" si="2478"/>
        <v>NFSE</v>
      </c>
      <c r="D5267" t="str">
        <f>"3430"</f>
        <v>3430</v>
      </c>
      <c r="E5267" t="str">
        <f t="shared" si="2458"/>
        <v>COM</v>
      </c>
      <c r="F5267" t="str">
        <f>"AC FARMA - FLEMINFARMA (10160)"</f>
        <v>AC FARMA - FLEMINFARMA (10160)</v>
      </c>
      <c r="G5267" t="str">
        <f>"Serv.Prest. 25/08/2025 a 31/08/2025 - RPS: 1195 - NFSe: 3430"</f>
        <v>Serv.Prest. 25/08/2025 a 31/08/2025 - RPS: 1195 - NFSe: 3430</v>
      </c>
      <c r="H5267" t="str">
        <f t="shared" si="2476"/>
        <v>10/09/2025</v>
      </c>
      <c r="I5267" t="str">
        <f>("02/09/2025")</f>
        <v>02/09/2025</v>
      </c>
      <c r="J5267" t="str">
        <f t="shared" si="2479"/>
        <v>11/09/2025</v>
      </c>
      <c r="M5267">
        <v>303</v>
      </c>
      <c r="N5267" t="str">
        <f t="shared" si="2480"/>
        <v>RECEITAS COM ENTREGAS</v>
      </c>
      <c r="P5267">
        <v>279.36</v>
      </c>
      <c r="Q5267" t="str">
        <f>"AC FARMA -  FLEMINFARMA (10159)"</f>
        <v>AC FARMA -  FLEMINFARMA (10159)</v>
      </c>
      <c r="R5267" t="str">
        <f t="shared" si="2481"/>
        <v>RECEITAS COM ENTREGAS (303)</v>
      </c>
      <c r="S5267">
        <v>2537</v>
      </c>
      <c r="T5267">
        <v>2029</v>
      </c>
      <c r="U5267" t="s">
        <v>19</v>
      </c>
    </row>
    <row r="5268" spans="1:21">
      <c r="A5268" t="str">
        <f t="shared" si="2477"/>
        <v>11/09/2025</v>
      </c>
      <c r="B5268" t="str">
        <f t="shared" si="2482"/>
        <v>ENTRADA</v>
      </c>
      <c r="C5268" t="str">
        <f t="shared" si="2478"/>
        <v>NFSE</v>
      </c>
      <c r="D5268" t="str">
        <f>"3430"</f>
        <v>3430</v>
      </c>
      <c r="E5268" t="str">
        <f t="shared" si="2458"/>
        <v>COM</v>
      </c>
      <c r="F5268" t="str">
        <f>"AC FARMA - FLEMINFARMA (10160)"</f>
        <v>AC FARMA - FLEMINFARMA (10160)</v>
      </c>
      <c r="G5268" t="str">
        <f>"Serv.Prest. 25/08/2025 a 31/08/2025 - RPS: 1195 - NFSe: 3430"</f>
        <v>Serv.Prest. 25/08/2025 a 31/08/2025 - RPS: 1195 - NFSe: 3430</v>
      </c>
      <c r="H5268" t="str">
        <f t="shared" si="2476"/>
        <v>10/09/2025</v>
      </c>
      <c r="I5268" t="str">
        <f>("02/09/2025")</f>
        <v>02/09/2025</v>
      </c>
      <c r="J5268" t="str">
        <f t="shared" si="2479"/>
        <v>11/09/2025</v>
      </c>
      <c r="M5268">
        <v>303</v>
      </c>
      <c r="N5268" t="str">
        <f t="shared" si="2480"/>
        <v>RECEITAS COM ENTREGAS</v>
      </c>
      <c r="P5268">
        <v>8.64</v>
      </c>
      <c r="Q5268" t="str">
        <f>"AC FARMA - FLEMINFARMA (10160)"</f>
        <v>AC FARMA - FLEMINFARMA (10160)</v>
      </c>
      <c r="R5268" t="str">
        <f t="shared" si="2481"/>
        <v>RECEITAS COM ENTREGAS (303)</v>
      </c>
      <c r="S5268">
        <v>2537</v>
      </c>
      <c r="T5268">
        <v>2029</v>
      </c>
      <c r="U5268" t="s">
        <v>19</v>
      </c>
    </row>
    <row r="5269" spans="1:21">
      <c r="A5269" t="str">
        <f t="shared" si="2477"/>
        <v>11/09/2025</v>
      </c>
      <c r="B5269" t="str">
        <f t="shared" si="2482"/>
        <v>ENTRADA</v>
      </c>
      <c r="C5269" t="str">
        <f t="shared" si="2478"/>
        <v>NFSE</v>
      </c>
      <c r="D5269" t="str">
        <f>"3437"</f>
        <v>3437</v>
      </c>
      <c r="E5269" t="str">
        <f t="shared" si="2458"/>
        <v>COM</v>
      </c>
      <c r="F5269" t="str">
        <f>"DROGARIA ANA VISCONDE DO RIO BRANCO (10182)"</f>
        <v>DROGARIA ANA VISCONDE DO RIO BRANCO (10182)</v>
      </c>
      <c r="G5269" t="str">
        <f>"Serv.Prest. 01/09/2025 a 07/09/2025 - RPS: 1202 - NFSe: 3437"</f>
        <v>Serv.Prest. 01/09/2025 a 07/09/2025 - RPS: 1202 - NFSe: 3437</v>
      </c>
      <c r="H5269" t="str">
        <f t="shared" si="2476"/>
        <v>10/09/2025</v>
      </c>
      <c r="I5269" t="str">
        <f>("08/09/2025")</f>
        <v>08/09/2025</v>
      </c>
      <c r="J5269" t="str">
        <f t="shared" si="2479"/>
        <v>11/09/2025</v>
      </c>
      <c r="K5269">
        <v>845.28</v>
      </c>
      <c r="L5269">
        <v>845.28</v>
      </c>
      <c r="M5269">
        <v>303</v>
      </c>
      <c r="N5269" t="str">
        <f t="shared" si="2480"/>
        <v>RECEITAS COM ENTREGAS</v>
      </c>
      <c r="O5269">
        <v>845.28</v>
      </c>
      <c r="R5269" t="str">
        <f t="shared" si="2481"/>
        <v>RECEITAS COM ENTREGAS (303)</v>
      </c>
      <c r="S5269">
        <v>2538</v>
      </c>
      <c r="T5269">
        <v>2041</v>
      </c>
      <c r="U5269" t="s">
        <v>19</v>
      </c>
    </row>
    <row r="5270" spans="1:21">
      <c r="A5270" t="str">
        <f t="shared" si="2477"/>
        <v>11/09/2025</v>
      </c>
      <c r="B5270" t="str">
        <f t="shared" si="2482"/>
        <v>ENTRADA</v>
      </c>
      <c r="C5270" t="str">
        <f t="shared" si="2478"/>
        <v>NFSE</v>
      </c>
      <c r="D5270" t="str">
        <f>"3437"</f>
        <v>3437</v>
      </c>
      <c r="E5270" t="str">
        <f t="shared" si="2458"/>
        <v>COM</v>
      </c>
      <c r="F5270" t="str">
        <f>"DROGARIA ANA VISCONDE DO RIO BRANCO (10182)"</f>
        <v>DROGARIA ANA VISCONDE DO RIO BRANCO (10182)</v>
      </c>
      <c r="G5270" t="str">
        <f>"Serv.Prest. 01/09/2025 a 07/09/2025 - RPS: 1202 - NFSe: 3437"</f>
        <v>Serv.Prest. 01/09/2025 a 07/09/2025 - RPS: 1202 - NFSe: 3437</v>
      </c>
      <c r="H5270" t="str">
        <f t="shared" si="2476"/>
        <v>10/09/2025</v>
      </c>
      <c r="I5270" t="str">
        <f>("08/09/2025")</f>
        <v>08/09/2025</v>
      </c>
      <c r="J5270" t="str">
        <f t="shared" si="2479"/>
        <v>11/09/2025</v>
      </c>
      <c r="M5270">
        <v>303</v>
      </c>
      <c r="N5270" t="str">
        <f t="shared" si="2480"/>
        <v>RECEITAS COM ENTREGAS</v>
      </c>
      <c r="P5270">
        <v>845.28</v>
      </c>
      <c r="Q5270" t="str">
        <f>"DROGARIA ANA VISCONDE DO RIO BRANCO (10182)"</f>
        <v>DROGARIA ANA VISCONDE DO RIO BRANCO (10182)</v>
      </c>
      <c r="R5270" t="str">
        <f t="shared" si="2481"/>
        <v>RECEITAS COM ENTREGAS (303)</v>
      </c>
      <c r="S5270">
        <v>2538</v>
      </c>
      <c r="T5270">
        <v>2041</v>
      </c>
      <c r="U5270" t="s">
        <v>19</v>
      </c>
    </row>
    <row r="5271" spans="1:21">
      <c r="A5271" t="str">
        <f t="shared" si="2477"/>
        <v>11/09/2025</v>
      </c>
      <c r="B5271" t="str">
        <f>"SAÍDA"</f>
        <v>SAÍDA</v>
      </c>
      <c r="C5271" t="str">
        <f>"CONHECIMENTO"</f>
        <v>CONHECIMENTO</v>
      </c>
      <c r="D5271" t="str">
        <f>"110925170"</f>
        <v>110925170</v>
      </c>
      <c r="E5271" t="str">
        <f t="shared" si="2458"/>
        <v>COM</v>
      </c>
      <c r="F5271" t="str">
        <f>"CORA SOCIEDADE DE CREDITO, FINANCIAMENTO E INVESTIMENTO (20035)"</f>
        <v>CORA SOCIEDADE DE CREDITO, FINANCIAMENTO E INVESTIMENTO (20035)</v>
      </c>
      <c r="G5271" t="str">
        <f>"TAXA BOLETO COMPENSADO"</f>
        <v>TAXA BOLETO COMPENSADO</v>
      </c>
      <c r="H5271" t="str">
        <f t="shared" ref="H5271:I5273" si="2483">("11/09/2025")</f>
        <v>11/09/2025</v>
      </c>
      <c r="I5271" t="str">
        <f t="shared" si="2483"/>
        <v>11/09/2025</v>
      </c>
      <c r="J5271" t="str">
        <f t="shared" si="2479"/>
        <v>11/09/2025</v>
      </c>
      <c r="K5271">
        <v>1.7</v>
      </c>
      <c r="L5271">
        <v>1.7</v>
      </c>
      <c r="M5271">
        <v>401</v>
      </c>
      <c r="N5271" t="str">
        <f>"IOF/JUROS/DESP.FINANCEIRA"</f>
        <v>IOF/JUROS/DESP.FINANCEIRA</v>
      </c>
      <c r="O5271">
        <v>1.7</v>
      </c>
      <c r="R5271" t="str">
        <f>"BANCO CORA (102)"</f>
        <v>BANCO CORA (102)</v>
      </c>
      <c r="S5271">
        <v>2583</v>
      </c>
      <c r="T5271">
        <v>2103</v>
      </c>
      <c r="U5271" t="s">
        <v>19</v>
      </c>
    </row>
    <row r="5272" spans="1:21">
      <c r="A5272" t="str">
        <f t="shared" si="2477"/>
        <v>11/09/2025</v>
      </c>
      <c r="B5272" t="str">
        <f>"SAÍDA"</f>
        <v>SAÍDA</v>
      </c>
      <c r="C5272" t="str">
        <f>"CONHECIMENTO"</f>
        <v>CONHECIMENTO</v>
      </c>
      <c r="D5272" t="str">
        <f>"110925170"</f>
        <v>110925170</v>
      </c>
      <c r="E5272" t="str">
        <f t="shared" si="2458"/>
        <v>COM</v>
      </c>
      <c r="F5272" t="str">
        <f>"CORA SOCIEDADE DE CREDITO, FINANCIAMENTO E INVESTIMENTO (20035)"</f>
        <v>CORA SOCIEDADE DE CREDITO, FINANCIAMENTO E INVESTIMENTO (20035)</v>
      </c>
      <c r="G5272" t="str">
        <f>"TAXA BOLETO COMPENSADO"</f>
        <v>TAXA BOLETO COMPENSADO</v>
      </c>
      <c r="H5272" t="str">
        <f t="shared" si="2483"/>
        <v>11/09/2025</v>
      </c>
      <c r="I5272" t="str">
        <f t="shared" si="2483"/>
        <v>11/09/2025</v>
      </c>
      <c r="J5272" t="str">
        <f t="shared" si="2479"/>
        <v>11/09/2025</v>
      </c>
      <c r="K5272">
        <v>1.7</v>
      </c>
      <c r="L5272">
        <v>1.7</v>
      </c>
      <c r="M5272">
        <v>401</v>
      </c>
      <c r="N5272" t="str">
        <f>"IOF/JUROS/DESP.FINANCEIRA"</f>
        <v>IOF/JUROS/DESP.FINANCEIRA</v>
      </c>
      <c r="O5272">
        <v>1.7</v>
      </c>
      <c r="R5272" t="str">
        <f>"BANCO CORA (102)"</f>
        <v>BANCO CORA (102)</v>
      </c>
      <c r="S5272">
        <v>2584</v>
      </c>
      <c r="T5272">
        <v>2104</v>
      </c>
      <c r="U5272" t="s">
        <v>19</v>
      </c>
    </row>
    <row r="5273" spans="1:21">
      <c r="A5273" t="str">
        <f t="shared" si="2477"/>
        <v>11/09/2025</v>
      </c>
      <c r="B5273" t="str">
        <f>"SAÍDA"</f>
        <v>SAÍDA</v>
      </c>
      <c r="C5273" t="str">
        <f>"CONHECIMENTO"</f>
        <v>CONHECIMENTO</v>
      </c>
      <c r="D5273" t="str">
        <f>"110925170"</f>
        <v>110925170</v>
      </c>
      <c r="E5273" t="str">
        <f t="shared" si="2458"/>
        <v>COM</v>
      </c>
      <c r="F5273" t="str">
        <f>"CORA SOCIEDADE DE CREDITO, FINANCIAMENTO E INVESTIMENTO (20035)"</f>
        <v>CORA SOCIEDADE DE CREDITO, FINANCIAMENTO E INVESTIMENTO (20035)</v>
      </c>
      <c r="G5273" t="str">
        <f>"TAXA BOLETO COMPENSADO"</f>
        <v>TAXA BOLETO COMPENSADO</v>
      </c>
      <c r="H5273" t="str">
        <f t="shared" si="2483"/>
        <v>11/09/2025</v>
      </c>
      <c r="I5273" t="str">
        <f t="shared" si="2483"/>
        <v>11/09/2025</v>
      </c>
      <c r="J5273" t="str">
        <f t="shared" si="2479"/>
        <v>11/09/2025</v>
      </c>
      <c r="K5273">
        <v>1.7</v>
      </c>
      <c r="L5273">
        <v>1.7</v>
      </c>
      <c r="M5273">
        <v>401</v>
      </c>
      <c r="N5273" t="str">
        <f>"IOF/JUROS/DESP.FINANCEIRA"</f>
        <v>IOF/JUROS/DESP.FINANCEIRA</v>
      </c>
      <c r="O5273">
        <v>1.7</v>
      </c>
      <c r="R5273" t="str">
        <f>"BANCO CORA (102)"</f>
        <v>BANCO CORA (102)</v>
      </c>
      <c r="S5273">
        <v>2585</v>
      </c>
      <c r="T5273">
        <v>2105</v>
      </c>
      <c r="U5273" t="s">
        <v>19</v>
      </c>
    </row>
    <row r="5274" spans="1:21">
      <c r="A5274" t="str">
        <f t="shared" si="2477"/>
        <v>11/09/2025</v>
      </c>
      <c r="B5274" t="str">
        <f>"ENTRADA"</f>
        <v>ENTRADA</v>
      </c>
      <c r="C5274" t="str">
        <f t="shared" ref="C5274:C5292" si="2484">"NFSE"</f>
        <v>NFSE</v>
      </c>
      <c r="D5274" t="str">
        <f>"3431"</f>
        <v>3431</v>
      </c>
      <c r="E5274" t="str">
        <f t="shared" si="2458"/>
        <v>COM</v>
      </c>
      <c r="F5274" t="str">
        <f>"AC FARMA - FLEMINFARMA 5 (10183)"</f>
        <v>AC FARMA - FLEMINFARMA 5 (10183)</v>
      </c>
      <c r="G5274" t="str">
        <f>"Serv.Prest. 25/08/2025 a 31/08/2025 - RPS: 1196 - NFSe: 3431"</f>
        <v>Serv.Prest. 25/08/2025 a 31/08/2025 - RPS: 1196 - NFSe: 3431</v>
      </c>
      <c r="H5274" t="str">
        <f t="shared" ref="H5274:H5282" si="2485">("10/09/2025")</f>
        <v>10/09/2025</v>
      </c>
      <c r="I5274" t="str">
        <f>("02/09/2025")</f>
        <v>02/09/2025</v>
      </c>
      <c r="J5274" t="str">
        <f t="shared" si="2479"/>
        <v>11/09/2025</v>
      </c>
      <c r="K5274">
        <v>113.76</v>
      </c>
      <c r="L5274">
        <v>113.76</v>
      </c>
      <c r="M5274">
        <v>303</v>
      </c>
      <c r="N5274" t="str">
        <f t="shared" ref="N5274:N5292" si="2486">"RECEITAS COM ENTREGAS"</f>
        <v>RECEITAS COM ENTREGAS</v>
      </c>
      <c r="O5274">
        <v>113.76</v>
      </c>
      <c r="R5274" t="str">
        <f t="shared" ref="R5274:R5292" si="2487">"RECEITAS COM ENTREGAS (303)"</f>
        <v>RECEITAS COM ENTREGAS (303)</v>
      </c>
      <c r="S5274">
        <v>2665</v>
      </c>
      <c r="T5274">
        <v>2030</v>
      </c>
      <c r="U5274" t="s">
        <v>19</v>
      </c>
    </row>
    <row r="5275" spans="1:21">
      <c r="A5275" t="str">
        <f t="shared" si="2477"/>
        <v>11/09/2025</v>
      </c>
      <c r="B5275" t="str">
        <f t="shared" ref="B5275:B5292" si="2488">"ENTRADA"</f>
        <v>ENTRADA</v>
      </c>
      <c r="C5275" t="str">
        <f t="shared" si="2484"/>
        <v>NFSE</v>
      </c>
      <c r="D5275" t="str">
        <f>"3431"</f>
        <v>3431</v>
      </c>
      <c r="E5275" t="str">
        <f t="shared" si="2458"/>
        <v>COM</v>
      </c>
      <c r="F5275" t="str">
        <f>"AC FARMA - FLEMINFARMA 5 (10183)"</f>
        <v>AC FARMA - FLEMINFARMA 5 (10183)</v>
      </c>
      <c r="G5275" t="str">
        <f>"Serv.Prest. 25/08/2025 a 31/08/2025 - RPS: 1196 - NFSe: 3431"</f>
        <v>Serv.Prest. 25/08/2025 a 31/08/2025 - RPS: 1196 - NFSe: 3431</v>
      </c>
      <c r="H5275" t="str">
        <f t="shared" si="2485"/>
        <v>10/09/2025</v>
      </c>
      <c r="I5275" t="str">
        <f>("02/09/2025")</f>
        <v>02/09/2025</v>
      </c>
      <c r="J5275" t="str">
        <f t="shared" si="2479"/>
        <v>11/09/2025</v>
      </c>
      <c r="M5275">
        <v>303</v>
      </c>
      <c r="N5275" t="str">
        <f t="shared" si="2486"/>
        <v>RECEITAS COM ENTREGAS</v>
      </c>
      <c r="P5275">
        <v>112.32</v>
      </c>
      <c r="Q5275" t="str">
        <f>"AC FARMA - FLEMINFARMA 5 (10183)"</f>
        <v>AC FARMA - FLEMINFARMA 5 (10183)</v>
      </c>
      <c r="R5275" t="str">
        <f t="shared" si="2487"/>
        <v>RECEITAS COM ENTREGAS (303)</v>
      </c>
      <c r="S5275">
        <v>2665</v>
      </c>
      <c r="T5275">
        <v>2030</v>
      </c>
      <c r="U5275" t="s">
        <v>19</v>
      </c>
    </row>
    <row r="5276" spans="1:21">
      <c r="A5276" t="str">
        <f t="shared" si="2477"/>
        <v>11/09/2025</v>
      </c>
      <c r="B5276" t="str">
        <f t="shared" si="2488"/>
        <v>ENTRADA</v>
      </c>
      <c r="C5276" t="str">
        <f t="shared" si="2484"/>
        <v>NFSE</v>
      </c>
      <c r="D5276" t="str">
        <f>"3431"</f>
        <v>3431</v>
      </c>
      <c r="E5276" t="str">
        <f t="shared" si="2458"/>
        <v>COM</v>
      </c>
      <c r="F5276" t="str">
        <f>"AC FARMA - FLEMINFARMA 5 (10183)"</f>
        <v>AC FARMA - FLEMINFARMA 5 (10183)</v>
      </c>
      <c r="G5276" t="str">
        <f>"Serv.Prest. 25/08/2025 a 31/08/2025 - RPS: 1196 - NFSe: 3431"</f>
        <v>Serv.Prest. 25/08/2025 a 31/08/2025 - RPS: 1196 - NFSe: 3431</v>
      </c>
      <c r="H5276" t="str">
        <f t="shared" si="2485"/>
        <v>10/09/2025</v>
      </c>
      <c r="I5276" t="str">
        <f>("02/09/2025")</f>
        <v>02/09/2025</v>
      </c>
      <c r="J5276" t="str">
        <f t="shared" si="2479"/>
        <v>11/09/2025</v>
      </c>
      <c r="M5276">
        <v>303</v>
      </c>
      <c r="N5276" t="str">
        <f t="shared" si="2486"/>
        <v>RECEITAS COM ENTREGAS</v>
      </c>
      <c r="P5276">
        <v>1.44</v>
      </c>
      <c r="Q5276" t="str">
        <f>"AC FARMA - FLEMINFARMA 6 (10184)"</f>
        <v>AC FARMA - FLEMINFARMA 6 (10184)</v>
      </c>
      <c r="R5276" t="str">
        <f t="shared" si="2487"/>
        <v>RECEITAS COM ENTREGAS (303)</v>
      </c>
      <c r="S5276">
        <v>2665</v>
      </c>
      <c r="T5276">
        <v>2030</v>
      </c>
      <c r="U5276" t="s">
        <v>19</v>
      </c>
    </row>
    <row r="5277" spans="1:21">
      <c r="A5277" t="str">
        <f t="shared" si="2477"/>
        <v>11/09/2025</v>
      </c>
      <c r="B5277" t="str">
        <f t="shared" si="2488"/>
        <v>ENTRADA</v>
      </c>
      <c r="C5277" t="str">
        <f t="shared" si="2484"/>
        <v>NFSE</v>
      </c>
      <c r="D5277" t="str">
        <f>"3432"</f>
        <v>3432</v>
      </c>
      <c r="E5277" t="str">
        <f t="shared" si="2458"/>
        <v>COM</v>
      </c>
      <c r="F5277" t="str">
        <f>"BRASIL FARMA (10173)"</f>
        <v>BRASIL FARMA (10173)</v>
      </c>
      <c r="G5277" t="str">
        <f>"Serv.Prest. 01/09/2025 a 07/09/2025 - RPS: 1197 - NFSe: 3432"</f>
        <v>Serv.Prest. 01/09/2025 a 07/09/2025 - RPS: 1197 - NFSe: 3432</v>
      </c>
      <c r="H5277" t="str">
        <f t="shared" si="2485"/>
        <v>10/09/2025</v>
      </c>
      <c r="I5277" t="str">
        <f>("08/09/2025")</f>
        <v>08/09/2025</v>
      </c>
      <c r="J5277" t="str">
        <f t="shared" si="2479"/>
        <v>11/09/2025</v>
      </c>
      <c r="K5277">
        <v>320.95999999999998</v>
      </c>
      <c r="L5277">
        <v>320.95999999999998</v>
      </c>
      <c r="M5277">
        <v>303</v>
      </c>
      <c r="N5277" t="str">
        <f t="shared" si="2486"/>
        <v>RECEITAS COM ENTREGAS</v>
      </c>
      <c r="O5277">
        <v>320.95999999999998</v>
      </c>
      <c r="R5277" t="str">
        <f t="shared" si="2487"/>
        <v>RECEITAS COM ENTREGAS (303)</v>
      </c>
      <c r="S5277">
        <v>2666</v>
      </c>
      <c r="T5277">
        <v>2036</v>
      </c>
      <c r="U5277" t="s">
        <v>19</v>
      </c>
    </row>
    <row r="5278" spans="1:21">
      <c r="A5278" t="str">
        <f t="shared" si="2477"/>
        <v>11/09/2025</v>
      </c>
      <c r="B5278" t="str">
        <f t="shared" si="2488"/>
        <v>ENTRADA</v>
      </c>
      <c r="C5278" t="str">
        <f t="shared" si="2484"/>
        <v>NFSE</v>
      </c>
      <c r="D5278" t="str">
        <f>"3432"</f>
        <v>3432</v>
      </c>
      <c r="E5278" t="str">
        <f t="shared" si="2458"/>
        <v>COM</v>
      </c>
      <c r="F5278" t="str">
        <f>"BRASIL FARMA (10173)"</f>
        <v>BRASIL FARMA (10173)</v>
      </c>
      <c r="G5278" t="str">
        <f>"Serv.Prest. 01/09/2025 a 07/09/2025 - RPS: 1197 - NFSe: 3432"</f>
        <v>Serv.Prest. 01/09/2025 a 07/09/2025 - RPS: 1197 - NFSe: 3432</v>
      </c>
      <c r="H5278" t="str">
        <f t="shared" si="2485"/>
        <v>10/09/2025</v>
      </c>
      <c r="I5278" t="str">
        <f>("08/09/2025")</f>
        <v>08/09/2025</v>
      </c>
      <c r="J5278" t="str">
        <f t="shared" si="2479"/>
        <v>11/09/2025</v>
      </c>
      <c r="M5278">
        <v>303</v>
      </c>
      <c r="N5278" t="str">
        <f t="shared" si="2486"/>
        <v>RECEITAS COM ENTREGAS</v>
      </c>
      <c r="P5278">
        <v>320.95999999999998</v>
      </c>
      <c r="Q5278" t="str">
        <f>"BRASIL FARMA (10173)"</f>
        <v>BRASIL FARMA (10173)</v>
      </c>
      <c r="R5278" t="str">
        <f t="shared" si="2487"/>
        <v>RECEITAS COM ENTREGAS (303)</v>
      </c>
      <c r="S5278">
        <v>2666</v>
      </c>
      <c r="T5278">
        <v>2036</v>
      </c>
      <c r="U5278" t="s">
        <v>19</v>
      </c>
    </row>
    <row r="5279" spans="1:21">
      <c r="A5279" t="str">
        <f t="shared" si="2477"/>
        <v>11/09/2025</v>
      </c>
      <c r="B5279" t="str">
        <f t="shared" si="2488"/>
        <v>ENTRADA</v>
      </c>
      <c r="C5279" t="str">
        <f t="shared" si="2484"/>
        <v>NFSE</v>
      </c>
      <c r="D5279" t="str">
        <f>"3444"</f>
        <v>3444</v>
      </c>
      <c r="E5279" t="str">
        <f t="shared" si="2458"/>
        <v>COM</v>
      </c>
      <c r="F5279" t="str">
        <f>"JAL FARMACIA E DROGARIA LJ 1 (10137)"</f>
        <v>JAL FARMACIA E DROGARIA LJ 1 (10137)</v>
      </c>
      <c r="G5279" t="str">
        <f>"Serv.Prest. 01/09/2025 a 07/09/2025 - RPS: 1209 - NFSe: 3444"</f>
        <v>Serv.Prest. 01/09/2025 a 07/09/2025 - RPS: 1209 - NFSe: 3444</v>
      </c>
      <c r="H5279" t="str">
        <f t="shared" si="2485"/>
        <v>10/09/2025</v>
      </c>
      <c r="I5279" t="str">
        <f>("08/09/2025")</f>
        <v>08/09/2025</v>
      </c>
      <c r="J5279" t="str">
        <f t="shared" si="2479"/>
        <v>11/09/2025</v>
      </c>
      <c r="K5279">
        <v>531.20000000000005</v>
      </c>
      <c r="L5279">
        <v>531.20000000000005</v>
      </c>
      <c r="M5279">
        <v>303</v>
      </c>
      <c r="N5279" t="str">
        <f t="shared" si="2486"/>
        <v>RECEITAS COM ENTREGAS</v>
      </c>
      <c r="O5279">
        <v>531.20000000000005</v>
      </c>
      <c r="R5279" t="str">
        <f t="shared" si="2487"/>
        <v>RECEITAS COM ENTREGAS (303)</v>
      </c>
      <c r="S5279">
        <v>2667</v>
      </c>
      <c r="T5279">
        <v>2048</v>
      </c>
      <c r="U5279" t="s">
        <v>19</v>
      </c>
    </row>
    <row r="5280" spans="1:21">
      <c r="A5280" t="str">
        <f t="shared" si="2477"/>
        <v>11/09/2025</v>
      </c>
      <c r="B5280" t="str">
        <f t="shared" si="2488"/>
        <v>ENTRADA</v>
      </c>
      <c r="C5280" t="str">
        <f t="shared" si="2484"/>
        <v>NFSE</v>
      </c>
      <c r="D5280" t="str">
        <f>"3444"</f>
        <v>3444</v>
      </c>
      <c r="E5280" t="str">
        <f t="shared" si="2458"/>
        <v>COM</v>
      </c>
      <c r="F5280" t="str">
        <f>"JAL FARMACIA E DROGARIA LJ 1 (10137)"</f>
        <v>JAL FARMACIA E DROGARIA LJ 1 (10137)</v>
      </c>
      <c r="G5280" t="str">
        <f>"Serv.Prest. 01/09/2025 a 07/09/2025 - RPS: 1209 - NFSe: 3444"</f>
        <v>Serv.Prest. 01/09/2025 a 07/09/2025 - RPS: 1209 - NFSe: 3444</v>
      </c>
      <c r="H5280" t="str">
        <f t="shared" si="2485"/>
        <v>10/09/2025</v>
      </c>
      <c r="I5280" t="str">
        <f>("08/09/2025")</f>
        <v>08/09/2025</v>
      </c>
      <c r="J5280" t="str">
        <f t="shared" si="2479"/>
        <v>11/09/2025</v>
      </c>
      <c r="M5280">
        <v>303</v>
      </c>
      <c r="N5280" t="str">
        <f t="shared" si="2486"/>
        <v>RECEITAS COM ENTREGAS</v>
      </c>
      <c r="P5280">
        <v>531.20000000000005</v>
      </c>
      <c r="Q5280" t="str">
        <f>"JAL FARMACIA E DROGARIA LJ 1 (10137)"</f>
        <v>JAL FARMACIA E DROGARIA LJ 1 (10137)</v>
      </c>
      <c r="R5280" t="str">
        <f t="shared" si="2487"/>
        <v>RECEITAS COM ENTREGAS (303)</v>
      </c>
      <c r="S5280">
        <v>2667</v>
      </c>
      <c r="T5280">
        <v>2048</v>
      </c>
      <c r="U5280" t="s">
        <v>19</v>
      </c>
    </row>
    <row r="5281" spans="1:21">
      <c r="A5281" t="str">
        <f t="shared" si="2477"/>
        <v>11/09/2025</v>
      </c>
      <c r="B5281" t="str">
        <f t="shared" si="2488"/>
        <v>ENTRADA</v>
      </c>
      <c r="C5281" t="str">
        <f t="shared" si="2484"/>
        <v>NFSE</v>
      </c>
      <c r="D5281" t="str">
        <f>"3457"</f>
        <v>3457</v>
      </c>
      <c r="E5281" t="str">
        <f t="shared" si="2458"/>
        <v>COM</v>
      </c>
      <c r="F5281" t="str">
        <f>"FARMACIA ECONOMIZE (10103)"</f>
        <v>FARMACIA ECONOMIZE (10103)</v>
      </c>
      <c r="G5281" t="str">
        <f>"Serv.Prest. 01/09/2025 a 07/09/2025 - RPS: 1222 - NFSe: 3457"</f>
        <v>Serv.Prest. 01/09/2025 a 07/09/2025 - RPS: 1222 - NFSe: 3457</v>
      </c>
      <c r="H5281" t="str">
        <f t="shared" si="2485"/>
        <v>10/09/2025</v>
      </c>
      <c r="I5281" t="str">
        <f>("09/09/2025")</f>
        <v>09/09/2025</v>
      </c>
      <c r="J5281" t="str">
        <f t="shared" si="2479"/>
        <v>11/09/2025</v>
      </c>
      <c r="K5281">
        <v>25.04</v>
      </c>
      <c r="L5281">
        <v>25.04</v>
      </c>
      <c r="M5281">
        <v>303</v>
      </c>
      <c r="N5281" t="str">
        <f t="shared" si="2486"/>
        <v>RECEITAS COM ENTREGAS</v>
      </c>
      <c r="O5281">
        <v>25.04</v>
      </c>
      <c r="R5281" t="str">
        <f t="shared" si="2487"/>
        <v>RECEITAS COM ENTREGAS (303)</v>
      </c>
      <c r="S5281">
        <v>2668</v>
      </c>
      <c r="T5281">
        <v>2061</v>
      </c>
      <c r="U5281" t="s">
        <v>19</v>
      </c>
    </row>
    <row r="5282" spans="1:21">
      <c r="A5282" t="str">
        <f t="shared" si="2477"/>
        <v>11/09/2025</v>
      </c>
      <c r="B5282" t="str">
        <f t="shared" si="2488"/>
        <v>ENTRADA</v>
      </c>
      <c r="C5282" t="str">
        <f t="shared" si="2484"/>
        <v>NFSE</v>
      </c>
      <c r="D5282" t="str">
        <f>"3457"</f>
        <v>3457</v>
      </c>
      <c r="E5282" t="str">
        <f t="shared" si="2458"/>
        <v>COM</v>
      </c>
      <c r="F5282" t="str">
        <f>"FARMACIA ECONOMIZE (10103)"</f>
        <v>FARMACIA ECONOMIZE (10103)</v>
      </c>
      <c r="G5282" t="str">
        <f>"Serv.Prest. 01/09/2025 a 07/09/2025 - RPS: 1222 - NFSe: 3457"</f>
        <v>Serv.Prest. 01/09/2025 a 07/09/2025 - RPS: 1222 - NFSe: 3457</v>
      </c>
      <c r="H5282" t="str">
        <f t="shared" si="2485"/>
        <v>10/09/2025</v>
      </c>
      <c r="I5282" t="str">
        <f>("09/09/2025")</f>
        <v>09/09/2025</v>
      </c>
      <c r="J5282" t="str">
        <f t="shared" si="2479"/>
        <v>11/09/2025</v>
      </c>
      <c r="M5282">
        <v>303</v>
      </c>
      <c r="N5282" t="str">
        <f t="shared" si="2486"/>
        <v>RECEITAS COM ENTREGAS</v>
      </c>
      <c r="P5282">
        <v>25.04</v>
      </c>
      <c r="Q5282" t="str">
        <f>"FARMACIA ECONOMIZE (10103)"</f>
        <v>FARMACIA ECONOMIZE (10103)</v>
      </c>
      <c r="R5282" t="str">
        <f t="shared" si="2487"/>
        <v>RECEITAS COM ENTREGAS (303)</v>
      </c>
      <c r="S5282">
        <v>2668</v>
      </c>
      <c r="T5282">
        <v>2061</v>
      </c>
      <c r="U5282" t="s">
        <v>19</v>
      </c>
    </row>
    <row r="5283" spans="1:21">
      <c r="A5283" t="str">
        <f t="shared" si="2477"/>
        <v>11/09/2025</v>
      </c>
      <c r="B5283" t="str">
        <f t="shared" si="2488"/>
        <v>ENTRADA</v>
      </c>
      <c r="C5283" t="str">
        <f t="shared" si="2484"/>
        <v>NFSE</v>
      </c>
      <c r="D5283" t="str">
        <f>"3415"</f>
        <v>3415</v>
      </c>
      <c r="E5283" t="str">
        <f t="shared" si="2458"/>
        <v>COM</v>
      </c>
      <c r="F5283" t="str">
        <f>"PAGMENOS - LJ 608 (10135)"</f>
        <v>PAGMENOS - LJ 608 (10135)</v>
      </c>
      <c r="G5283" t="str">
        <f>"Serv.Prest. 25/08/2025 a 31/08/2025 - RPS: 1180 - NFSe: 3415"</f>
        <v>Serv.Prest. 25/08/2025 a 31/08/2025 - RPS: 1180 - NFSe: 3415</v>
      </c>
      <c r="H5283" t="str">
        <f>("11/09/2025")</f>
        <v>11/09/2025</v>
      </c>
      <c r="I5283" t="str">
        <f>("01/09/2025")</f>
        <v>01/09/2025</v>
      </c>
      <c r="J5283" t="str">
        <f t="shared" si="2479"/>
        <v>11/09/2025</v>
      </c>
      <c r="K5283">
        <v>280.20999999999998</v>
      </c>
      <c r="L5283">
        <v>271.44</v>
      </c>
      <c r="M5283">
        <v>303</v>
      </c>
      <c r="N5283" t="str">
        <f t="shared" si="2486"/>
        <v>RECEITAS COM ENTREGAS</v>
      </c>
      <c r="O5283">
        <v>271.44</v>
      </c>
      <c r="R5283" t="str">
        <f t="shared" si="2487"/>
        <v>RECEITAS COM ENTREGAS (303)</v>
      </c>
      <c r="S5283">
        <v>2765</v>
      </c>
      <c r="T5283">
        <v>2009</v>
      </c>
      <c r="U5283" t="s">
        <v>19</v>
      </c>
    </row>
    <row r="5284" spans="1:21">
      <c r="A5284" t="str">
        <f t="shared" si="2477"/>
        <v>11/09/2025</v>
      </c>
      <c r="B5284" t="str">
        <f t="shared" si="2488"/>
        <v>ENTRADA</v>
      </c>
      <c r="C5284" t="str">
        <f t="shared" si="2484"/>
        <v>NFSE</v>
      </c>
      <c r="D5284" t="str">
        <f>"3415"</f>
        <v>3415</v>
      </c>
      <c r="E5284" t="str">
        <f t="shared" ref="E5284:E5307" si="2489">"COM"</f>
        <v>COM</v>
      </c>
      <c r="F5284" t="str">
        <f>"PAGMENOS - LJ 608 (10135)"</f>
        <v>PAGMENOS - LJ 608 (10135)</v>
      </c>
      <c r="G5284" t="str">
        <f>"Serv.Prest. 25/08/2025 a 31/08/2025 - RPS: 1180 - NFSe: 3415"</f>
        <v>Serv.Prest. 25/08/2025 a 31/08/2025 - RPS: 1180 - NFSe: 3415</v>
      </c>
      <c r="H5284" t="str">
        <f>("11/09/2025")</f>
        <v>11/09/2025</v>
      </c>
      <c r="I5284" t="str">
        <f>("01/09/2025")</f>
        <v>01/09/2025</v>
      </c>
      <c r="J5284" t="str">
        <f t="shared" si="2479"/>
        <v>11/09/2025</v>
      </c>
      <c r="M5284">
        <v>303</v>
      </c>
      <c r="N5284" t="str">
        <f t="shared" si="2486"/>
        <v>RECEITAS COM ENTREGAS</v>
      </c>
      <c r="P5284">
        <v>271.44</v>
      </c>
      <c r="Q5284" t="str">
        <f>"PAGMENOS - LJ 608 (10135)"</f>
        <v>PAGMENOS - LJ 608 (10135)</v>
      </c>
      <c r="R5284" t="str">
        <f t="shared" si="2487"/>
        <v>RECEITAS COM ENTREGAS (303)</v>
      </c>
      <c r="S5284">
        <v>2765</v>
      </c>
      <c r="T5284">
        <v>2009</v>
      </c>
      <c r="U5284" t="s">
        <v>19</v>
      </c>
    </row>
    <row r="5285" spans="1:21">
      <c r="A5285" t="str">
        <f t="shared" si="2477"/>
        <v>11/09/2025</v>
      </c>
      <c r="B5285" t="str">
        <f t="shared" si="2488"/>
        <v>ENTRADA</v>
      </c>
      <c r="C5285" t="str">
        <f t="shared" si="2484"/>
        <v>NFSE</v>
      </c>
      <c r="D5285" t="str">
        <f>"3416"</f>
        <v>3416</v>
      </c>
      <c r="E5285" t="str">
        <f t="shared" si="2489"/>
        <v>COM</v>
      </c>
      <c r="F5285" t="str">
        <f>"PAGMENOS - LJ 657 (10136)"</f>
        <v>PAGMENOS - LJ 657 (10136)</v>
      </c>
      <c r="G5285" t="str">
        <f>"Serv.Prest. 25/08/2025 a 31/08/2025 - RPS: 1181 - NFSe: 3416"</f>
        <v>Serv.Prest. 25/08/2025 a 31/08/2025 - RPS: 1181 - NFSe: 3416</v>
      </c>
      <c r="H5285" t="str">
        <f>("11/09/2025")</f>
        <v>11/09/2025</v>
      </c>
      <c r="I5285" t="str">
        <f>("01/09/2025")</f>
        <v>01/09/2025</v>
      </c>
      <c r="J5285" t="str">
        <f t="shared" si="2479"/>
        <v>11/09/2025</v>
      </c>
      <c r="K5285">
        <v>596.6</v>
      </c>
      <c r="L5285">
        <v>596.6</v>
      </c>
      <c r="M5285">
        <v>303</v>
      </c>
      <c r="N5285" t="str">
        <f t="shared" si="2486"/>
        <v>RECEITAS COM ENTREGAS</v>
      </c>
      <c r="O5285">
        <v>596.6</v>
      </c>
      <c r="R5285" t="str">
        <f t="shared" si="2487"/>
        <v>RECEITAS COM ENTREGAS (303)</v>
      </c>
      <c r="S5285">
        <v>2766</v>
      </c>
      <c r="T5285">
        <v>2010</v>
      </c>
      <c r="U5285" t="s">
        <v>19</v>
      </c>
    </row>
    <row r="5286" spans="1:21">
      <c r="A5286" t="str">
        <f t="shared" si="2477"/>
        <v>11/09/2025</v>
      </c>
      <c r="B5286" t="str">
        <f t="shared" si="2488"/>
        <v>ENTRADA</v>
      </c>
      <c r="C5286" t="str">
        <f t="shared" si="2484"/>
        <v>NFSE</v>
      </c>
      <c r="D5286" t="str">
        <f>"3416"</f>
        <v>3416</v>
      </c>
      <c r="E5286" t="str">
        <f t="shared" si="2489"/>
        <v>COM</v>
      </c>
      <c r="F5286" t="str">
        <f>"PAGMENOS - LJ 657 (10136)"</f>
        <v>PAGMENOS - LJ 657 (10136)</v>
      </c>
      <c r="G5286" t="str">
        <f>"Serv.Prest. 25/08/2025 a 31/08/2025 - RPS: 1181 - NFSe: 3416"</f>
        <v>Serv.Prest. 25/08/2025 a 31/08/2025 - RPS: 1181 - NFSe: 3416</v>
      </c>
      <c r="H5286" t="str">
        <f>("11/09/2025")</f>
        <v>11/09/2025</v>
      </c>
      <c r="I5286" t="str">
        <f>("01/09/2025")</f>
        <v>01/09/2025</v>
      </c>
      <c r="J5286" t="str">
        <f t="shared" si="2479"/>
        <v>11/09/2025</v>
      </c>
      <c r="M5286">
        <v>303</v>
      </c>
      <c r="N5286" t="str">
        <f t="shared" si="2486"/>
        <v>RECEITAS COM ENTREGAS</v>
      </c>
      <c r="P5286">
        <v>596.6</v>
      </c>
      <c r="Q5286" t="str">
        <f>"PAGMENOS - LJ 657 (10136)"</f>
        <v>PAGMENOS - LJ 657 (10136)</v>
      </c>
      <c r="R5286" t="str">
        <f t="shared" si="2487"/>
        <v>RECEITAS COM ENTREGAS (303)</v>
      </c>
      <c r="S5286">
        <v>2766</v>
      </c>
      <c r="T5286">
        <v>2010</v>
      </c>
      <c r="U5286" t="s">
        <v>19</v>
      </c>
    </row>
    <row r="5287" spans="1:21">
      <c r="A5287" t="str">
        <f t="shared" si="2477"/>
        <v>11/09/2025</v>
      </c>
      <c r="B5287" t="str">
        <f t="shared" si="2488"/>
        <v>ENTRADA</v>
      </c>
      <c r="C5287" t="str">
        <f t="shared" si="2484"/>
        <v>NFSE</v>
      </c>
      <c r="D5287" t="str">
        <f>"3446"</f>
        <v>3446</v>
      </c>
      <c r="E5287" t="str">
        <f t="shared" si="2489"/>
        <v>COM</v>
      </c>
      <c r="F5287" t="str">
        <f>"LBL FARMACIA LTDA (10189)"</f>
        <v>LBL FARMACIA LTDA (10189)</v>
      </c>
      <c r="G5287" t="str">
        <f>"Serv.Prest. 01/09/2025 a 07/09/2025 - RPS: 1211 - NFSe: 3446"</f>
        <v>Serv.Prest. 01/09/2025 a 07/09/2025 - RPS: 1211 - NFSe: 3446</v>
      </c>
      <c r="H5287" t="str">
        <f>("10/09/2025")</f>
        <v>10/09/2025</v>
      </c>
      <c r="I5287" t="str">
        <f>("08/09/2025")</f>
        <v>08/09/2025</v>
      </c>
      <c r="J5287" t="str">
        <f t="shared" si="2479"/>
        <v>11/09/2025</v>
      </c>
      <c r="K5287">
        <v>279.3</v>
      </c>
      <c r="L5287">
        <v>279.3</v>
      </c>
      <c r="M5287">
        <v>303</v>
      </c>
      <c r="N5287" t="str">
        <f t="shared" si="2486"/>
        <v>RECEITAS COM ENTREGAS</v>
      </c>
      <c r="O5287">
        <v>279.3</v>
      </c>
      <c r="R5287" t="str">
        <f t="shared" si="2487"/>
        <v>RECEITAS COM ENTREGAS (303)</v>
      </c>
      <c r="S5287">
        <v>2780</v>
      </c>
      <c r="T5287">
        <v>2050</v>
      </c>
      <c r="U5287" t="s">
        <v>19</v>
      </c>
    </row>
    <row r="5288" spans="1:21">
      <c r="A5288" t="str">
        <f t="shared" si="2477"/>
        <v>11/09/2025</v>
      </c>
      <c r="B5288" t="str">
        <f t="shared" si="2488"/>
        <v>ENTRADA</v>
      </c>
      <c r="C5288" t="str">
        <f t="shared" si="2484"/>
        <v>NFSE</v>
      </c>
      <c r="D5288" t="str">
        <f>"3446"</f>
        <v>3446</v>
      </c>
      <c r="E5288" t="str">
        <f t="shared" si="2489"/>
        <v>COM</v>
      </c>
      <c r="F5288" t="str">
        <f>"LBL FARMACIA LTDA (10189)"</f>
        <v>LBL FARMACIA LTDA (10189)</v>
      </c>
      <c r="G5288" t="str">
        <f>"Serv.Prest. 01/09/2025 a 07/09/2025 - RPS: 1211 - NFSe: 3446"</f>
        <v>Serv.Prest. 01/09/2025 a 07/09/2025 - RPS: 1211 - NFSe: 3446</v>
      </c>
      <c r="H5288" t="str">
        <f>("10/09/2025")</f>
        <v>10/09/2025</v>
      </c>
      <c r="I5288" t="str">
        <f>("08/09/2025")</f>
        <v>08/09/2025</v>
      </c>
      <c r="J5288" t="str">
        <f t="shared" si="2479"/>
        <v>11/09/2025</v>
      </c>
      <c r="M5288">
        <v>303</v>
      </c>
      <c r="N5288" t="str">
        <f t="shared" si="2486"/>
        <v>RECEITAS COM ENTREGAS</v>
      </c>
      <c r="P5288">
        <v>279.3</v>
      </c>
      <c r="Q5288" t="str">
        <f>"LBL FARMACIA LTDA (10189)"</f>
        <v>LBL FARMACIA LTDA (10189)</v>
      </c>
      <c r="R5288" t="str">
        <f t="shared" si="2487"/>
        <v>RECEITAS COM ENTREGAS (303)</v>
      </c>
      <c r="S5288">
        <v>2780</v>
      </c>
      <c r="T5288">
        <v>2050</v>
      </c>
      <c r="U5288" t="s">
        <v>19</v>
      </c>
    </row>
    <row r="5289" spans="1:21">
      <c r="A5289" t="str">
        <f t="shared" si="2477"/>
        <v>11/09/2025</v>
      </c>
      <c r="B5289" t="str">
        <f t="shared" si="2488"/>
        <v>ENTRADA</v>
      </c>
      <c r="C5289" t="str">
        <f t="shared" si="2484"/>
        <v>NFSE</v>
      </c>
      <c r="D5289" t="str">
        <f>"3433"</f>
        <v>3433</v>
      </c>
      <c r="E5289" t="str">
        <f t="shared" si="2489"/>
        <v>COM</v>
      </c>
      <c r="F5289" t="str">
        <f>"DROGARIA POUPA MINAS (ULTRAMINAS) 3 (10129)"</f>
        <v>DROGARIA POUPA MINAS (ULTRAMINAS) 3 (10129)</v>
      </c>
      <c r="G5289" t="str">
        <f>"Serv.Prest. 01/09/2025 a 07/09/2025 - RPS: 1198 - NFSe: 3433"</f>
        <v>Serv.Prest. 01/09/2025 a 07/09/2025 - RPS: 1198 - NFSe: 3433</v>
      </c>
      <c r="H5289" t="str">
        <f t="shared" ref="H5289:H5299" si="2490">("11/09/2025")</f>
        <v>11/09/2025</v>
      </c>
      <c r="I5289" t="str">
        <f>("08/09/2025")</f>
        <v>08/09/2025</v>
      </c>
      <c r="J5289" t="str">
        <f t="shared" si="2479"/>
        <v>11/09/2025</v>
      </c>
      <c r="K5289">
        <v>171.6</v>
      </c>
      <c r="L5289">
        <v>171.6</v>
      </c>
      <c r="M5289">
        <v>303</v>
      </c>
      <c r="N5289" t="str">
        <f t="shared" si="2486"/>
        <v>RECEITAS COM ENTREGAS</v>
      </c>
      <c r="O5289">
        <v>171.6</v>
      </c>
      <c r="R5289" t="str">
        <f t="shared" si="2487"/>
        <v>RECEITAS COM ENTREGAS (303)</v>
      </c>
      <c r="S5289">
        <v>2781</v>
      </c>
      <c r="T5289">
        <v>2037</v>
      </c>
      <c r="U5289" t="s">
        <v>19</v>
      </c>
    </row>
    <row r="5290" spans="1:21">
      <c r="A5290" t="str">
        <f t="shared" si="2477"/>
        <v>11/09/2025</v>
      </c>
      <c r="B5290" t="str">
        <f t="shared" si="2488"/>
        <v>ENTRADA</v>
      </c>
      <c r="C5290" t="str">
        <f t="shared" si="2484"/>
        <v>NFSE</v>
      </c>
      <c r="D5290" t="str">
        <f>"3433"</f>
        <v>3433</v>
      </c>
      <c r="E5290" t="str">
        <f t="shared" si="2489"/>
        <v>COM</v>
      </c>
      <c r="F5290" t="str">
        <f>"DROGARIA POUPA MINAS (ULTRAMINAS) 3 (10129)"</f>
        <v>DROGARIA POUPA MINAS (ULTRAMINAS) 3 (10129)</v>
      </c>
      <c r="G5290" t="str">
        <f>"Serv.Prest. 01/09/2025 a 07/09/2025 - RPS: 1198 - NFSe: 3433"</f>
        <v>Serv.Prest. 01/09/2025 a 07/09/2025 - RPS: 1198 - NFSe: 3433</v>
      </c>
      <c r="H5290" t="str">
        <f t="shared" si="2490"/>
        <v>11/09/2025</v>
      </c>
      <c r="I5290" t="str">
        <f>("08/09/2025")</f>
        <v>08/09/2025</v>
      </c>
      <c r="J5290" t="str">
        <f t="shared" si="2479"/>
        <v>11/09/2025</v>
      </c>
      <c r="M5290">
        <v>303</v>
      </c>
      <c r="N5290" t="str">
        <f t="shared" si="2486"/>
        <v>RECEITAS COM ENTREGAS</v>
      </c>
      <c r="P5290">
        <v>171.6</v>
      </c>
      <c r="Q5290" t="str">
        <f>"DROGARIA POUPA MINAS (ULTRAMINAS) 3 (10129)"</f>
        <v>DROGARIA POUPA MINAS (ULTRAMINAS) 3 (10129)</v>
      </c>
      <c r="R5290" t="str">
        <f t="shared" si="2487"/>
        <v>RECEITAS COM ENTREGAS (303)</v>
      </c>
      <c r="S5290">
        <v>2781</v>
      </c>
      <c r="T5290">
        <v>2037</v>
      </c>
      <c r="U5290" t="s">
        <v>19</v>
      </c>
    </row>
    <row r="5291" spans="1:21">
      <c r="A5291" t="str">
        <f t="shared" si="2477"/>
        <v>11/09/2025</v>
      </c>
      <c r="B5291" t="str">
        <f t="shared" si="2488"/>
        <v>ENTRADA</v>
      </c>
      <c r="C5291" t="str">
        <f t="shared" si="2484"/>
        <v>NFSE</v>
      </c>
      <c r="D5291" t="str">
        <f>"3452"</f>
        <v>3452</v>
      </c>
      <c r="E5291" t="str">
        <f t="shared" si="2489"/>
        <v>COM</v>
      </c>
      <c r="F5291" t="str">
        <f>"DROGARIA POUPA MINAS (DOIS AMIGOS) 5 (10140)"</f>
        <v>DROGARIA POUPA MINAS (DOIS AMIGOS) 5 (10140)</v>
      </c>
      <c r="G5291" t="str">
        <f>"Serv.Prest. 01/09/2025 a 07/09/2025 - RPS: 1217 - NFSe: 3452"</f>
        <v>Serv.Prest. 01/09/2025 a 07/09/2025 - RPS: 1217 - NFSe: 3452</v>
      </c>
      <c r="H5291" t="str">
        <f t="shared" si="2490"/>
        <v>11/09/2025</v>
      </c>
      <c r="I5291" t="str">
        <f>("09/09/2025")</f>
        <v>09/09/2025</v>
      </c>
      <c r="J5291" t="str">
        <f t="shared" si="2479"/>
        <v>11/09/2025</v>
      </c>
      <c r="K5291">
        <v>768.06</v>
      </c>
      <c r="L5291">
        <v>768.06</v>
      </c>
      <c r="M5291">
        <v>303</v>
      </c>
      <c r="N5291" t="str">
        <f t="shared" si="2486"/>
        <v>RECEITAS COM ENTREGAS</v>
      </c>
      <c r="O5291">
        <v>768.06</v>
      </c>
      <c r="R5291" t="str">
        <f t="shared" si="2487"/>
        <v>RECEITAS COM ENTREGAS (303)</v>
      </c>
      <c r="S5291">
        <v>2782</v>
      </c>
      <c r="T5291">
        <v>2056</v>
      </c>
      <c r="U5291" t="s">
        <v>19</v>
      </c>
    </row>
    <row r="5292" spans="1:21">
      <c r="A5292" t="str">
        <f t="shared" si="2477"/>
        <v>11/09/2025</v>
      </c>
      <c r="B5292" t="str">
        <f t="shared" si="2488"/>
        <v>ENTRADA</v>
      </c>
      <c r="C5292" t="str">
        <f t="shared" si="2484"/>
        <v>NFSE</v>
      </c>
      <c r="D5292" t="str">
        <f>"3452"</f>
        <v>3452</v>
      </c>
      <c r="E5292" t="str">
        <f t="shared" si="2489"/>
        <v>COM</v>
      </c>
      <c r="F5292" t="str">
        <f>"DROGARIA POUPA MINAS (DOIS AMIGOS) 5 (10140)"</f>
        <v>DROGARIA POUPA MINAS (DOIS AMIGOS) 5 (10140)</v>
      </c>
      <c r="G5292" t="str">
        <f>"Serv.Prest. 01/09/2025 a 07/09/2025 - RPS: 1217 - NFSe: 3452"</f>
        <v>Serv.Prest. 01/09/2025 a 07/09/2025 - RPS: 1217 - NFSe: 3452</v>
      </c>
      <c r="H5292" t="str">
        <f t="shared" si="2490"/>
        <v>11/09/2025</v>
      </c>
      <c r="I5292" t="str">
        <f>("09/09/2025")</f>
        <v>09/09/2025</v>
      </c>
      <c r="J5292" t="str">
        <f t="shared" si="2479"/>
        <v>11/09/2025</v>
      </c>
      <c r="M5292">
        <v>303</v>
      </c>
      <c r="N5292" t="str">
        <f t="shared" si="2486"/>
        <v>RECEITAS COM ENTREGAS</v>
      </c>
      <c r="P5292">
        <v>768.06</v>
      </c>
      <c r="Q5292" t="str">
        <f>"DROGARIA POUPA MINAS (ULTRAMINAS) 1 (10181)"</f>
        <v>DROGARIA POUPA MINAS (ULTRAMINAS) 1 (10181)</v>
      </c>
      <c r="R5292" t="str">
        <f t="shared" si="2487"/>
        <v>RECEITAS COM ENTREGAS (303)</v>
      </c>
      <c r="S5292">
        <v>2782</v>
      </c>
      <c r="T5292">
        <v>2056</v>
      </c>
      <c r="U5292" t="s">
        <v>19</v>
      </c>
    </row>
    <row r="5293" spans="1:21">
      <c r="A5293" t="str">
        <f t="shared" si="2477"/>
        <v>11/09/2025</v>
      </c>
      <c r="B5293" t="str">
        <f t="shared" ref="B5293:B5299" si="2491">"SAÍDA"</f>
        <v>SAÍDA</v>
      </c>
      <c r="C5293" t="str">
        <f t="shared" ref="C5293:C5299" si="2492">"CONHECIMENTO"</f>
        <v>CONHECIMENTO</v>
      </c>
      <c r="D5293" t="str">
        <f t="shared" ref="D5293:D5299" si="2493">"110925170"</f>
        <v>110925170</v>
      </c>
      <c r="E5293" t="str">
        <f t="shared" si="2489"/>
        <v>COM</v>
      </c>
      <c r="F5293" t="str">
        <f t="shared" ref="F5293:F5299" si="2494">"CORA SOCIEDADE DE CREDITO, FINANCIAMENTO E INVESTIMENTO (20035)"</f>
        <v>CORA SOCIEDADE DE CREDITO, FINANCIAMENTO E INVESTIMENTO (20035)</v>
      </c>
      <c r="G5293" t="str">
        <f t="shared" ref="G5293:G5299" si="2495">"TAXA BOLETO COMPENSADO"</f>
        <v>TAXA BOLETO COMPENSADO</v>
      </c>
      <c r="H5293" t="str">
        <f t="shared" si="2490"/>
        <v>11/09/2025</v>
      </c>
      <c r="I5293" t="str">
        <f t="shared" ref="I5293:I5299" si="2496">("11/09/2025")</f>
        <v>11/09/2025</v>
      </c>
      <c r="J5293" t="str">
        <f t="shared" si="2479"/>
        <v>11/09/2025</v>
      </c>
      <c r="K5293">
        <v>1.7</v>
      </c>
      <c r="L5293">
        <v>1.7</v>
      </c>
      <c r="M5293">
        <v>401</v>
      </c>
      <c r="N5293" t="str">
        <f t="shared" ref="N5293:N5299" si="2497">"IOF/JUROS/DESP.FINANCEIRA"</f>
        <v>IOF/JUROS/DESP.FINANCEIRA</v>
      </c>
      <c r="O5293">
        <v>1.7</v>
      </c>
      <c r="R5293" t="str">
        <f t="shared" ref="R5293:R5299" si="2498">"BANCO CORA (102)"</f>
        <v>BANCO CORA (102)</v>
      </c>
      <c r="S5293">
        <v>2905</v>
      </c>
      <c r="T5293">
        <v>2462</v>
      </c>
      <c r="U5293" t="s">
        <v>19</v>
      </c>
    </row>
    <row r="5294" spans="1:21">
      <c r="A5294" t="str">
        <f t="shared" si="2477"/>
        <v>11/09/2025</v>
      </c>
      <c r="B5294" t="str">
        <f t="shared" si="2491"/>
        <v>SAÍDA</v>
      </c>
      <c r="C5294" t="str">
        <f t="shared" si="2492"/>
        <v>CONHECIMENTO</v>
      </c>
      <c r="D5294" t="str">
        <f t="shared" si="2493"/>
        <v>110925170</v>
      </c>
      <c r="E5294" t="str">
        <f t="shared" si="2489"/>
        <v>COM</v>
      </c>
      <c r="F5294" t="str">
        <f t="shared" si="2494"/>
        <v>CORA SOCIEDADE DE CREDITO, FINANCIAMENTO E INVESTIMENTO (20035)</v>
      </c>
      <c r="G5294" t="str">
        <f t="shared" si="2495"/>
        <v>TAXA BOLETO COMPENSADO</v>
      </c>
      <c r="H5294" t="str">
        <f t="shared" si="2490"/>
        <v>11/09/2025</v>
      </c>
      <c r="I5294" t="str">
        <f t="shared" si="2496"/>
        <v>11/09/2025</v>
      </c>
      <c r="J5294" t="str">
        <f t="shared" si="2479"/>
        <v>11/09/2025</v>
      </c>
      <c r="K5294">
        <v>1.7</v>
      </c>
      <c r="L5294">
        <v>1.7</v>
      </c>
      <c r="M5294">
        <v>401</v>
      </c>
      <c r="N5294" t="str">
        <f t="shared" si="2497"/>
        <v>IOF/JUROS/DESP.FINANCEIRA</v>
      </c>
      <c r="O5294">
        <v>1.7</v>
      </c>
      <c r="R5294" t="str">
        <f t="shared" si="2498"/>
        <v>BANCO CORA (102)</v>
      </c>
      <c r="S5294">
        <v>2906</v>
      </c>
      <c r="T5294">
        <v>2463</v>
      </c>
      <c r="U5294" t="s">
        <v>19</v>
      </c>
    </row>
    <row r="5295" spans="1:21">
      <c r="A5295" t="str">
        <f t="shared" si="2477"/>
        <v>11/09/2025</v>
      </c>
      <c r="B5295" t="str">
        <f t="shared" si="2491"/>
        <v>SAÍDA</v>
      </c>
      <c r="C5295" t="str">
        <f t="shared" si="2492"/>
        <v>CONHECIMENTO</v>
      </c>
      <c r="D5295" t="str">
        <f t="shared" si="2493"/>
        <v>110925170</v>
      </c>
      <c r="E5295" t="str">
        <f t="shared" si="2489"/>
        <v>COM</v>
      </c>
      <c r="F5295" t="str">
        <f t="shared" si="2494"/>
        <v>CORA SOCIEDADE DE CREDITO, FINANCIAMENTO E INVESTIMENTO (20035)</v>
      </c>
      <c r="G5295" t="str">
        <f t="shared" si="2495"/>
        <v>TAXA BOLETO COMPENSADO</v>
      </c>
      <c r="H5295" t="str">
        <f t="shared" si="2490"/>
        <v>11/09/2025</v>
      </c>
      <c r="I5295" t="str">
        <f t="shared" si="2496"/>
        <v>11/09/2025</v>
      </c>
      <c r="J5295" t="str">
        <f t="shared" si="2479"/>
        <v>11/09/2025</v>
      </c>
      <c r="K5295">
        <v>1.7</v>
      </c>
      <c r="L5295">
        <v>1.7</v>
      </c>
      <c r="M5295">
        <v>401</v>
      </c>
      <c r="N5295" t="str">
        <f t="shared" si="2497"/>
        <v>IOF/JUROS/DESP.FINANCEIRA</v>
      </c>
      <c r="O5295">
        <v>1.7</v>
      </c>
      <c r="R5295" t="str">
        <f t="shared" si="2498"/>
        <v>BANCO CORA (102)</v>
      </c>
      <c r="S5295">
        <v>2907</v>
      </c>
      <c r="T5295">
        <v>2464</v>
      </c>
      <c r="U5295" t="s">
        <v>19</v>
      </c>
    </row>
    <row r="5296" spans="1:21">
      <c r="A5296" t="str">
        <f t="shared" si="2477"/>
        <v>11/09/2025</v>
      </c>
      <c r="B5296" t="str">
        <f t="shared" si="2491"/>
        <v>SAÍDA</v>
      </c>
      <c r="C5296" t="str">
        <f t="shared" si="2492"/>
        <v>CONHECIMENTO</v>
      </c>
      <c r="D5296" t="str">
        <f t="shared" si="2493"/>
        <v>110925170</v>
      </c>
      <c r="E5296" t="str">
        <f t="shared" si="2489"/>
        <v>COM</v>
      </c>
      <c r="F5296" t="str">
        <f t="shared" si="2494"/>
        <v>CORA SOCIEDADE DE CREDITO, FINANCIAMENTO E INVESTIMENTO (20035)</v>
      </c>
      <c r="G5296" t="str">
        <f t="shared" si="2495"/>
        <v>TAXA BOLETO COMPENSADO</v>
      </c>
      <c r="H5296" t="str">
        <f t="shared" si="2490"/>
        <v>11/09/2025</v>
      </c>
      <c r="I5296" t="str">
        <f t="shared" si="2496"/>
        <v>11/09/2025</v>
      </c>
      <c r="J5296" t="str">
        <f t="shared" si="2479"/>
        <v>11/09/2025</v>
      </c>
      <c r="K5296">
        <v>1.7</v>
      </c>
      <c r="L5296">
        <v>1.7</v>
      </c>
      <c r="M5296">
        <v>401</v>
      </c>
      <c r="N5296" t="str">
        <f t="shared" si="2497"/>
        <v>IOF/JUROS/DESP.FINANCEIRA</v>
      </c>
      <c r="O5296">
        <v>1.7</v>
      </c>
      <c r="R5296" t="str">
        <f t="shared" si="2498"/>
        <v>BANCO CORA (102)</v>
      </c>
      <c r="S5296">
        <v>2908</v>
      </c>
      <c r="T5296">
        <v>2465</v>
      </c>
      <c r="U5296" t="s">
        <v>19</v>
      </c>
    </row>
    <row r="5297" spans="1:21">
      <c r="A5297" t="str">
        <f t="shared" si="2477"/>
        <v>11/09/2025</v>
      </c>
      <c r="B5297" t="str">
        <f t="shared" si="2491"/>
        <v>SAÍDA</v>
      </c>
      <c r="C5297" t="str">
        <f t="shared" si="2492"/>
        <v>CONHECIMENTO</v>
      </c>
      <c r="D5297" t="str">
        <f t="shared" si="2493"/>
        <v>110925170</v>
      </c>
      <c r="E5297" t="str">
        <f t="shared" si="2489"/>
        <v>COM</v>
      </c>
      <c r="F5297" t="str">
        <f t="shared" si="2494"/>
        <v>CORA SOCIEDADE DE CREDITO, FINANCIAMENTO E INVESTIMENTO (20035)</v>
      </c>
      <c r="G5297" t="str">
        <f t="shared" si="2495"/>
        <v>TAXA BOLETO COMPENSADO</v>
      </c>
      <c r="H5297" t="str">
        <f t="shared" si="2490"/>
        <v>11/09/2025</v>
      </c>
      <c r="I5297" t="str">
        <f t="shared" si="2496"/>
        <v>11/09/2025</v>
      </c>
      <c r="J5297" t="str">
        <f t="shared" si="2479"/>
        <v>11/09/2025</v>
      </c>
      <c r="K5297">
        <v>1.7</v>
      </c>
      <c r="L5297">
        <v>1.7</v>
      </c>
      <c r="M5297">
        <v>401</v>
      </c>
      <c r="N5297" t="str">
        <f t="shared" si="2497"/>
        <v>IOF/JUROS/DESP.FINANCEIRA</v>
      </c>
      <c r="O5297">
        <v>1.7</v>
      </c>
      <c r="R5297" t="str">
        <f t="shared" si="2498"/>
        <v>BANCO CORA (102)</v>
      </c>
      <c r="S5297">
        <v>2909</v>
      </c>
      <c r="T5297">
        <v>2466</v>
      </c>
      <c r="U5297" t="s">
        <v>19</v>
      </c>
    </row>
    <row r="5298" spans="1:21">
      <c r="A5298" t="str">
        <f t="shared" si="2477"/>
        <v>11/09/2025</v>
      </c>
      <c r="B5298" t="str">
        <f t="shared" si="2491"/>
        <v>SAÍDA</v>
      </c>
      <c r="C5298" t="str">
        <f t="shared" si="2492"/>
        <v>CONHECIMENTO</v>
      </c>
      <c r="D5298" t="str">
        <f t="shared" si="2493"/>
        <v>110925170</v>
      </c>
      <c r="E5298" t="str">
        <f t="shared" si="2489"/>
        <v>COM</v>
      </c>
      <c r="F5298" t="str">
        <f t="shared" si="2494"/>
        <v>CORA SOCIEDADE DE CREDITO, FINANCIAMENTO E INVESTIMENTO (20035)</v>
      </c>
      <c r="G5298" t="str">
        <f t="shared" si="2495"/>
        <v>TAXA BOLETO COMPENSADO</v>
      </c>
      <c r="H5298" t="str">
        <f t="shared" si="2490"/>
        <v>11/09/2025</v>
      </c>
      <c r="I5298" t="str">
        <f t="shared" si="2496"/>
        <v>11/09/2025</v>
      </c>
      <c r="J5298" t="str">
        <f t="shared" si="2479"/>
        <v>11/09/2025</v>
      </c>
      <c r="K5298">
        <v>1.7</v>
      </c>
      <c r="L5298">
        <v>1.7</v>
      </c>
      <c r="M5298">
        <v>401</v>
      </c>
      <c r="N5298" t="str">
        <f t="shared" si="2497"/>
        <v>IOF/JUROS/DESP.FINANCEIRA</v>
      </c>
      <c r="O5298">
        <v>1.7</v>
      </c>
      <c r="R5298" t="str">
        <f t="shared" si="2498"/>
        <v>BANCO CORA (102)</v>
      </c>
      <c r="S5298">
        <v>2910</v>
      </c>
      <c r="T5298">
        <v>2467</v>
      </c>
      <c r="U5298" t="s">
        <v>19</v>
      </c>
    </row>
    <row r="5299" spans="1:21">
      <c r="A5299" t="str">
        <f t="shared" si="2477"/>
        <v>11/09/2025</v>
      </c>
      <c r="B5299" t="str">
        <f t="shared" si="2491"/>
        <v>SAÍDA</v>
      </c>
      <c r="C5299" t="str">
        <f t="shared" si="2492"/>
        <v>CONHECIMENTO</v>
      </c>
      <c r="D5299" t="str">
        <f t="shared" si="2493"/>
        <v>110925170</v>
      </c>
      <c r="E5299" t="str">
        <f t="shared" si="2489"/>
        <v>COM</v>
      </c>
      <c r="F5299" t="str">
        <f t="shared" si="2494"/>
        <v>CORA SOCIEDADE DE CREDITO, FINANCIAMENTO E INVESTIMENTO (20035)</v>
      </c>
      <c r="G5299" t="str">
        <f t="shared" si="2495"/>
        <v>TAXA BOLETO COMPENSADO</v>
      </c>
      <c r="H5299" t="str">
        <f t="shared" si="2490"/>
        <v>11/09/2025</v>
      </c>
      <c r="I5299" t="str">
        <f t="shared" si="2496"/>
        <v>11/09/2025</v>
      </c>
      <c r="J5299" t="str">
        <f t="shared" si="2479"/>
        <v>11/09/2025</v>
      </c>
      <c r="K5299">
        <v>1.7</v>
      </c>
      <c r="L5299">
        <v>1.7</v>
      </c>
      <c r="M5299">
        <v>401</v>
      </c>
      <c r="N5299" t="str">
        <f t="shared" si="2497"/>
        <v>IOF/JUROS/DESP.FINANCEIRA</v>
      </c>
      <c r="O5299">
        <v>1.7</v>
      </c>
      <c r="R5299" t="str">
        <f t="shared" si="2498"/>
        <v>BANCO CORA (102)</v>
      </c>
      <c r="S5299">
        <v>2911</v>
      </c>
      <c r="T5299">
        <v>2468</v>
      </c>
      <c r="U5299" t="s">
        <v>19</v>
      </c>
    </row>
    <row r="5300" spans="1:21">
      <c r="A5300" t="str">
        <f t="shared" ref="A5300:A5305" si="2499">("12/09/2025")</f>
        <v>12/09/2025</v>
      </c>
      <c r="B5300" t="str">
        <f>"ENTRADA"</f>
        <v>ENTRADA</v>
      </c>
      <c r="C5300" t="str">
        <f>"NFSE"</f>
        <v>NFSE</v>
      </c>
      <c r="D5300" t="str">
        <f>"3450"</f>
        <v>3450</v>
      </c>
      <c r="E5300" t="str">
        <f t="shared" si="2489"/>
        <v>COM</v>
      </c>
      <c r="F5300" t="str">
        <f>"DROGARIA VAZ (10179)"</f>
        <v>DROGARIA VAZ (10179)</v>
      </c>
      <c r="G5300" t="str">
        <f>"Serv.Prest. 01/09/2025 a 07/09/2025 - RPS: 1215 - NFSe: 3450"</f>
        <v>Serv.Prest. 01/09/2025 a 07/09/2025 - RPS: 1215 - NFSe: 3450</v>
      </c>
      <c r="H5300" t="str">
        <f>("10/09/2025")</f>
        <v>10/09/2025</v>
      </c>
      <c r="I5300" t="str">
        <f>("09/09/2025")</f>
        <v>09/09/2025</v>
      </c>
      <c r="J5300" t="str">
        <f t="shared" ref="J5300:J5305" si="2500">("12/09/2025")</f>
        <v>12/09/2025</v>
      </c>
      <c r="K5300">
        <v>179.13</v>
      </c>
      <c r="L5300">
        <v>182.82</v>
      </c>
      <c r="M5300">
        <v>303</v>
      </c>
      <c r="N5300" t="str">
        <f>"RECEITAS COM ENTREGAS"</f>
        <v>RECEITAS COM ENTREGAS</v>
      </c>
      <c r="O5300">
        <v>182.82</v>
      </c>
      <c r="R5300" t="str">
        <f>"RECEITAS COM ENTREGAS (303)"</f>
        <v>RECEITAS COM ENTREGAS (303)</v>
      </c>
      <c r="S5300">
        <v>2761</v>
      </c>
      <c r="T5300">
        <v>2054</v>
      </c>
      <c r="U5300" t="s">
        <v>19</v>
      </c>
    </row>
    <row r="5301" spans="1:21">
      <c r="A5301" t="str">
        <f t="shared" si="2499"/>
        <v>12/09/2025</v>
      </c>
      <c r="B5301" t="str">
        <f>"ENTRADA"</f>
        <v>ENTRADA</v>
      </c>
      <c r="C5301" t="str">
        <f>"NFSE"</f>
        <v>NFSE</v>
      </c>
      <c r="D5301" t="str">
        <f>"3450"</f>
        <v>3450</v>
      </c>
      <c r="E5301" t="str">
        <f t="shared" si="2489"/>
        <v>COM</v>
      </c>
      <c r="F5301" t="str">
        <f>"DROGARIA VAZ (10179)"</f>
        <v>DROGARIA VAZ (10179)</v>
      </c>
      <c r="G5301" t="str">
        <f>"Serv.Prest. 01/09/2025 a 07/09/2025 - RPS: 1215 - NFSe: 3450"</f>
        <v>Serv.Prest. 01/09/2025 a 07/09/2025 - RPS: 1215 - NFSe: 3450</v>
      </c>
      <c r="H5301" t="str">
        <f>("10/09/2025")</f>
        <v>10/09/2025</v>
      </c>
      <c r="I5301" t="str">
        <f>("09/09/2025")</f>
        <v>09/09/2025</v>
      </c>
      <c r="J5301" t="str">
        <f t="shared" si="2500"/>
        <v>12/09/2025</v>
      </c>
      <c r="M5301">
        <v>303</v>
      </c>
      <c r="N5301" t="str">
        <f>"RECEITAS COM ENTREGAS"</f>
        <v>RECEITAS COM ENTREGAS</v>
      </c>
      <c r="P5301">
        <v>182.82</v>
      </c>
      <c r="Q5301" t="str">
        <f>"DROGARIA VAZ (10179)"</f>
        <v>DROGARIA VAZ (10179)</v>
      </c>
      <c r="R5301" t="str">
        <f>"RECEITAS COM ENTREGAS (303)"</f>
        <v>RECEITAS COM ENTREGAS (303)</v>
      </c>
      <c r="S5301">
        <v>2761</v>
      </c>
      <c r="T5301">
        <v>2054</v>
      </c>
      <c r="U5301" t="s">
        <v>19</v>
      </c>
    </row>
    <row r="5302" spans="1:21">
      <c r="A5302" t="str">
        <f t="shared" si="2499"/>
        <v>12/09/2025</v>
      </c>
      <c r="B5302" t="str">
        <f t="shared" ref="B5302:B5308" si="2501">"SAÍDA"</f>
        <v>SAÍDA</v>
      </c>
      <c r="C5302" t="str">
        <f>"PIX"</f>
        <v>PIX</v>
      </c>
      <c r="D5302" t="str">
        <f>"120925100"</f>
        <v>120925100</v>
      </c>
      <c r="E5302" t="str">
        <f t="shared" si="2489"/>
        <v>COM</v>
      </c>
      <c r="F5302" t="str">
        <f>"LINHA E ARTE BORDADOS LTDA (20119)"</f>
        <v>LINHA E ARTE BORDADOS LTDA (20119)</v>
      </c>
      <c r="G5302" t="str">
        <f>"UNIFORMES EQUIPE INTERNA - BORDADO"</f>
        <v>UNIFORMES EQUIPE INTERNA - BORDADO</v>
      </c>
      <c r="H5302" t="str">
        <f t="shared" ref="H5302:I5305" si="2502">("12/09/2025")</f>
        <v>12/09/2025</v>
      </c>
      <c r="I5302" t="str">
        <f t="shared" si="2502"/>
        <v>12/09/2025</v>
      </c>
      <c r="J5302" t="str">
        <f t="shared" si="2500"/>
        <v>12/09/2025</v>
      </c>
      <c r="K5302">
        <v>100</v>
      </c>
      <c r="L5302">
        <v>100</v>
      </c>
      <c r="M5302">
        <v>129</v>
      </c>
      <c r="N5302" t="str">
        <f>"DESPESAS COM EVENTOS"</f>
        <v>DESPESAS COM EVENTOS</v>
      </c>
      <c r="O5302">
        <v>100</v>
      </c>
      <c r="R5302" t="str">
        <f t="shared" ref="R5302:R5308" si="2503">"BANCO CORA (102)"</f>
        <v>BANCO CORA (102)</v>
      </c>
      <c r="S5302">
        <v>2784</v>
      </c>
      <c r="T5302">
        <v>2344</v>
      </c>
      <c r="U5302" t="s">
        <v>19</v>
      </c>
    </row>
    <row r="5303" spans="1:21">
      <c r="A5303" t="str">
        <f t="shared" si="2499"/>
        <v>12/09/2025</v>
      </c>
      <c r="B5303" t="str">
        <f t="shared" si="2501"/>
        <v>SAÍDA</v>
      </c>
      <c r="C5303" t="str">
        <f>"PIX"</f>
        <v>PIX</v>
      </c>
      <c r="D5303" t="str">
        <f>"120925100"</f>
        <v>120925100</v>
      </c>
      <c r="E5303" t="str">
        <f t="shared" si="2489"/>
        <v>COM</v>
      </c>
      <c r="F5303" t="str">
        <f>"LINHA E ARTE BORDADOS LTDA (20119)"</f>
        <v>LINHA E ARTE BORDADOS LTDA (20119)</v>
      </c>
      <c r="G5303" t="str">
        <f>"UNIFORMES EQUIPE INTERNA - BORDADO"</f>
        <v>UNIFORMES EQUIPE INTERNA - BORDADO</v>
      </c>
      <c r="H5303" t="str">
        <f t="shared" si="2502"/>
        <v>12/09/2025</v>
      </c>
      <c r="I5303" t="str">
        <f t="shared" si="2502"/>
        <v>12/09/2025</v>
      </c>
      <c r="J5303" t="str">
        <f t="shared" si="2500"/>
        <v>12/09/2025</v>
      </c>
      <c r="M5303">
        <v>129</v>
      </c>
      <c r="N5303" t="str">
        <f>"DESPESAS COM EVENTOS"</f>
        <v>DESPESAS COM EVENTOS</v>
      </c>
      <c r="P5303">
        <v>100</v>
      </c>
      <c r="Q5303" t="str">
        <f>"LINHA E ARTE BORDADOS LTDA (20119)"</f>
        <v>LINHA E ARTE BORDADOS LTDA (20119)</v>
      </c>
      <c r="R5303" t="str">
        <f t="shared" si="2503"/>
        <v>BANCO CORA (102)</v>
      </c>
      <c r="S5303">
        <v>2784</v>
      </c>
      <c r="T5303">
        <v>2344</v>
      </c>
      <c r="U5303" t="s">
        <v>19</v>
      </c>
    </row>
    <row r="5304" spans="1:21">
      <c r="A5304" t="str">
        <f t="shared" si="2499"/>
        <v>12/09/2025</v>
      </c>
      <c r="B5304" t="str">
        <f t="shared" si="2501"/>
        <v>SAÍDA</v>
      </c>
      <c r="C5304" t="str">
        <f>"CONHECIMENTO"</f>
        <v>CONHECIMENTO</v>
      </c>
      <c r="D5304" t="str">
        <f>"120925050"</f>
        <v>120925050</v>
      </c>
      <c r="E5304" t="str">
        <f t="shared" si="2489"/>
        <v>COM</v>
      </c>
      <c r="F5304" t="str">
        <f>"CORA SOCIEDADE DE CREDITO, FINANCIAMENTO E INVESTIMENTO (20035)"</f>
        <v>CORA SOCIEDADE DE CREDITO, FINANCIAMENTO E INVESTIMENTO (20035)</v>
      </c>
      <c r="G5304" t="str">
        <f>"TAXA DE PIX VIA API"</f>
        <v>TAXA DE PIX VIA API</v>
      </c>
      <c r="H5304" t="str">
        <f t="shared" si="2502"/>
        <v>12/09/2025</v>
      </c>
      <c r="I5304" t="str">
        <f t="shared" si="2502"/>
        <v>12/09/2025</v>
      </c>
      <c r="J5304" t="str">
        <f t="shared" si="2500"/>
        <v>12/09/2025</v>
      </c>
      <c r="K5304">
        <v>0.5</v>
      </c>
      <c r="L5304">
        <v>0.5</v>
      </c>
      <c r="M5304">
        <v>401</v>
      </c>
      <c r="N5304" t="str">
        <f>"IOF/JUROS/DESP.FINANCEIRA"</f>
        <v>IOF/JUROS/DESP.FINANCEIRA</v>
      </c>
      <c r="O5304">
        <v>0.5</v>
      </c>
      <c r="R5304" t="str">
        <f t="shared" si="2503"/>
        <v>BANCO CORA (102)</v>
      </c>
      <c r="S5304">
        <v>2904</v>
      </c>
      <c r="T5304">
        <v>2469</v>
      </c>
      <c r="U5304" t="s">
        <v>19</v>
      </c>
    </row>
    <row r="5305" spans="1:21">
      <c r="A5305" t="str">
        <f t="shared" si="2499"/>
        <v>12/09/2025</v>
      </c>
      <c r="B5305" t="str">
        <f t="shared" si="2501"/>
        <v>SAÍDA</v>
      </c>
      <c r="C5305" t="str">
        <f>"CONHECIMENTO"</f>
        <v>CONHECIMENTO</v>
      </c>
      <c r="D5305" t="str">
        <f>"120925050"</f>
        <v>120925050</v>
      </c>
      <c r="E5305" t="str">
        <f t="shared" si="2489"/>
        <v>COM</v>
      </c>
      <c r="F5305" t="str">
        <f>"CORA SOCIEDADE DE CREDITO, FINANCIAMENTO E INVESTIMENTO (20035)"</f>
        <v>CORA SOCIEDADE DE CREDITO, FINANCIAMENTO E INVESTIMENTO (20035)</v>
      </c>
      <c r="G5305" t="str">
        <f>"TAXA DE PIX VIA API"</f>
        <v>TAXA DE PIX VIA API</v>
      </c>
      <c r="H5305" t="str">
        <f t="shared" si="2502"/>
        <v>12/09/2025</v>
      </c>
      <c r="I5305" t="str">
        <f t="shared" si="2502"/>
        <v>12/09/2025</v>
      </c>
      <c r="J5305" t="str">
        <f t="shared" si="2500"/>
        <v>12/09/2025</v>
      </c>
      <c r="M5305">
        <v>401</v>
      </c>
      <c r="N5305" t="str">
        <f>"IOF/JUROS/DESP.FINANCEIRA"</f>
        <v>IOF/JUROS/DESP.FINANCEIRA</v>
      </c>
      <c r="P5305">
        <v>0.5</v>
      </c>
      <c r="Q5305" t="str">
        <f>"CORA SOCIEDADE DE CREDITO, FINANCIAMENTO E INVESTIMENTO (20035)"</f>
        <v>CORA SOCIEDADE DE CREDITO, FINANCIAMENTO E INVESTIMENTO (20035)</v>
      </c>
      <c r="R5305" t="str">
        <f t="shared" si="2503"/>
        <v>BANCO CORA (102)</v>
      </c>
      <c r="S5305">
        <v>2904</v>
      </c>
      <c r="T5305">
        <v>2469</v>
      </c>
      <c r="U5305" t="s">
        <v>19</v>
      </c>
    </row>
    <row r="5306" spans="1:21">
      <c r="A5306" t="str">
        <f>("15/09/2025")</f>
        <v>15/09/2025</v>
      </c>
      <c r="B5306" t="str">
        <f t="shared" si="2501"/>
        <v>SAÍDA</v>
      </c>
      <c r="C5306" t="str">
        <f>"PIX"</f>
        <v>PIX</v>
      </c>
      <c r="D5306" t="str">
        <f>"1509251000"</f>
        <v>1509251000</v>
      </c>
      <c r="E5306" t="str">
        <f t="shared" si="2489"/>
        <v>COM</v>
      </c>
      <c r="F5306" t="str">
        <f>"CONTA SIMPLES SOLUCOES DE PAGAMENTOS LTDA (20019)"</f>
        <v>CONTA SIMPLES SOLUCOES DE PAGAMENTOS LTDA (20019)</v>
      </c>
      <c r="G5306" t="str">
        <f>"MARKETING REDES SOCIAIS - PIX- CHAVE ALEATORIA: 1d5b84cc-db31-469d-b8ee-076ced54c3e9"</f>
        <v>MARKETING REDES SOCIAIS - PIX- CHAVE ALEATORIA: 1d5b84cc-db31-469d-b8ee-076ced54c3e9</v>
      </c>
      <c r="H5306" t="str">
        <f t="shared" ref="H5306:J5309" si="2504">("15/09/2025")</f>
        <v>15/09/2025</v>
      </c>
      <c r="I5306" t="str">
        <f t="shared" si="2504"/>
        <v>15/09/2025</v>
      </c>
      <c r="J5306" t="str">
        <f t="shared" si="2504"/>
        <v>15/09/2025</v>
      </c>
      <c r="K5306">
        <v>1000</v>
      </c>
      <c r="L5306">
        <v>1000</v>
      </c>
      <c r="M5306">
        <v>127</v>
      </c>
      <c r="N5306" t="str">
        <f>"PUBLICIDADE E PROPAGANDAS"</f>
        <v>PUBLICIDADE E PROPAGANDAS</v>
      </c>
      <c r="O5306">
        <v>1000</v>
      </c>
      <c r="R5306" t="str">
        <f t="shared" si="2503"/>
        <v>BANCO CORA (102)</v>
      </c>
      <c r="S5306">
        <v>2774</v>
      </c>
      <c r="T5306">
        <v>2345</v>
      </c>
      <c r="U5306" t="s">
        <v>19</v>
      </c>
    </row>
    <row r="5307" spans="1:21">
      <c r="A5307" t="str">
        <f>("15/09/2025")</f>
        <v>15/09/2025</v>
      </c>
      <c r="B5307" t="str">
        <f t="shared" si="2501"/>
        <v>SAÍDA</v>
      </c>
      <c r="C5307" t="str">
        <f>"PIX"</f>
        <v>PIX</v>
      </c>
      <c r="D5307" t="str">
        <f>"1509251000"</f>
        <v>1509251000</v>
      </c>
      <c r="E5307" t="str">
        <f t="shared" si="2489"/>
        <v>COM</v>
      </c>
      <c r="F5307" t="str">
        <f>"CONTA SIMPLES SOLUCOES DE PAGAMENTOS LTDA (20019)"</f>
        <v>CONTA SIMPLES SOLUCOES DE PAGAMENTOS LTDA (20019)</v>
      </c>
      <c r="G5307" t="str">
        <f>"MARKETING REDES SOCIAIS - PIX- CHAVE ALEATORIA: 1d5b84cc-db31-469d-b8ee-076ced54c3e9"</f>
        <v>MARKETING REDES SOCIAIS - PIX- CHAVE ALEATORIA: 1d5b84cc-db31-469d-b8ee-076ced54c3e9</v>
      </c>
      <c r="H5307" t="str">
        <f t="shared" si="2504"/>
        <v>15/09/2025</v>
      </c>
      <c r="I5307" t="str">
        <f t="shared" si="2504"/>
        <v>15/09/2025</v>
      </c>
      <c r="J5307" t="str">
        <f t="shared" si="2504"/>
        <v>15/09/2025</v>
      </c>
      <c r="M5307">
        <v>127</v>
      </c>
      <c r="N5307" t="str">
        <f>"PUBLICIDADE E PROPAGANDAS"</f>
        <v>PUBLICIDADE E PROPAGANDAS</v>
      </c>
      <c r="P5307">
        <v>1000</v>
      </c>
      <c r="Q5307" t="str">
        <f>"CONTA SIMPLES SOLUCOES DE PAGAMENTOS LTDA (20019)"</f>
        <v>CONTA SIMPLES SOLUCOES DE PAGAMENTOS LTDA (20019)</v>
      </c>
      <c r="R5307" t="str">
        <f t="shared" si="2503"/>
        <v>BANCO CORA (102)</v>
      </c>
      <c r="S5307">
        <v>2774</v>
      </c>
      <c r="T5307">
        <v>2345</v>
      </c>
      <c r="U5307" t="s">
        <v>19</v>
      </c>
    </row>
    <row r="5308" spans="1:21">
      <c r="A5308" t="str">
        <f>("15/09/2025")</f>
        <v>15/09/2025</v>
      </c>
      <c r="B5308" t="str">
        <f t="shared" si="2501"/>
        <v>SAÍDA</v>
      </c>
      <c r="C5308" t="str">
        <f>"TRANSFERENCIA"</f>
        <v>TRANSFERENCIA</v>
      </c>
      <c r="D5308" t="str">
        <f>""</f>
        <v/>
      </c>
      <c r="E5308" t="str">
        <f>"TRF"</f>
        <v>TRF</v>
      </c>
      <c r="F5308" t="str">
        <f>""</f>
        <v/>
      </c>
      <c r="G5308" t="str">
        <f>"CONTRATO DE MUTUO - CAPITAL DE GIRO (102-&gt;120)"</f>
        <v>CONTRATO DE MUTUO - CAPITAL DE GIRO (102-&gt;120)</v>
      </c>
      <c r="H5308" t="str">
        <f t="shared" si="2504"/>
        <v>15/09/2025</v>
      </c>
      <c r="I5308" t="str">
        <f t="shared" si="2504"/>
        <v>15/09/2025</v>
      </c>
      <c r="J5308" t="str">
        <f t="shared" si="2504"/>
        <v>15/09/2025</v>
      </c>
      <c r="M5308">
        <v>102</v>
      </c>
      <c r="N5308" t="str">
        <f>"BANCO CORA"</f>
        <v>BANCO CORA</v>
      </c>
      <c r="O5308">
        <v>3000</v>
      </c>
      <c r="R5308" t="str">
        <f t="shared" si="2503"/>
        <v>BANCO CORA (102)</v>
      </c>
      <c r="S5308">
        <v>2823</v>
      </c>
      <c r="T5308">
        <v>0</v>
      </c>
      <c r="U5308" t="s">
        <v>19</v>
      </c>
    </row>
    <row r="5309" spans="1:21">
      <c r="A5309" t="str">
        <f>("15/09/2025")</f>
        <v>15/09/2025</v>
      </c>
      <c r="B5309" t="str">
        <f>"ENTRADA"</f>
        <v>ENTRADA</v>
      </c>
      <c r="C5309" t="str">
        <f>"TRANSFERENCIA"</f>
        <v>TRANSFERENCIA</v>
      </c>
      <c r="D5309" t="str">
        <f>""</f>
        <v/>
      </c>
      <c r="E5309" t="str">
        <f>"TRF"</f>
        <v>TRF</v>
      </c>
      <c r="F5309" t="str">
        <f>""</f>
        <v/>
      </c>
      <c r="G5309" t="str">
        <f>"CONTRATO DE MUTUO - CAPITAL DE GIRO (102-&gt;120)"</f>
        <v>CONTRATO DE MUTUO - CAPITAL DE GIRO (102-&gt;120)</v>
      </c>
      <c r="H5309" t="str">
        <f t="shared" si="2504"/>
        <v>15/09/2025</v>
      </c>
      <c r="I5309" t="str">
        <f t="shared" si="2504"/>
        <v>15/09/2025</v>
      </c>
      <c r="J5309" t="str">
        <f t="shared" si="2504"/>
        <v>15/09/2025</v>
      </c>
      <c r="M5309">
        <v>120</v>
      </c>
      <c r="N5309" t="str">
        <f>"CAIXA - COOPERATIVA"</f>
        <v>CAIXA - COOPERATIVA</v>
      </c>
      <c r="O5309">
        <v>3000</v>
      </c>
      <c r="R5309" t="str">
        <f>"CAIXA - COOPERATIVA (120)"</f>
        <v>CAIXA - COOPERATIVA (120)</v>
      </c>
      <c r="S5309">
        <v>2823</v>
      </c>
      <c r="T5309">
        <v>0</v>
      </c>
      <c r="U5309" t="s">
        <v>26</v>
      </c>
    </row>
    <row r="5310" spans="1:21">
      <c r="A5310" t="str">
        <f>("16/09/2025")</f>
        <v>16/09/2025</v>
      </c>
      <c r="B5310" t="str">
        <f>"SAÍDA"</f>
        <v>SAÍDA</v>
      </c>
      <c r="C5310" t="str">
        <f>"PIX"</f>
        <v>PIX</v>
      </c>
      <c r="D5310" t="str">
        <f>"1609253000"</f>
        <v>1609253000</v>
      </c>
      <c r="E5310" t="str">
        <f>"COM"</f>
        <v>COM</v>
      </c>
      <c r="F5310" t="str">
        <f>"LILIANE DE FATIMA REZENDE JUSTINO (20013)"</f>
        <v>LILIANE DE FATIMA REZENDE JUSTINO (20013)</v>
      </c>
      <c r="G5310" t="str">
        <f>"DESPESAS VIAGEM BELO HORIZONTE"</f>
        <v>DESPESAS VIAGEM BELO HORIZONTE</v>
      </c>
      <c r="H5310" t="str">
        <f t="shared" ref="H5310:J5313" si="2505">("16/09/2025")</f>
        <v>16/09/2025</v>
      </c>
      <c r="I5310" t="str">
        <f t="shared" si="2505"/>
        <v>16/09/2025</v>
      </c>
      <c r="J5310" t="str">
        <f t="shared" si="2505"/>
        <v>16/09/2025</v>
      </c>
      <c r="K5310">
        <v>3000</v>
      </c>
      <c r="L5310">
        <v>3000</v>
      </c>
      <c r="M5310">
        <v>128</v>
      </c>
      <c r="N5310" t="str">
        <f>"DESPESAS COM VIAGENS"</f>
        <v>DESPESAS COM VIAGENS</v>
      </c>
      <c r="O5310">
        <v>3000</v>
      </c>
      <c r="R5310" t="str">
        <f>"BANCO CORA (102)"</f>
        <v>BANCO CORA (102)</v>
      </c>
      <c r="S5310">
        <v>2587</v>
      </c>
      <c r="T5310">
        <v>2169</v>
      </c>
      <c r="U5310" t="s">
        <v>19</v>
      </c>
    </row>
    <row r="5311" spans="1:21">
      <c r="A5311" t="str">
        <f>("16/09/2025")</f>
        <v>16/09/2025</v>
      </c>
      <c r="B5311" t="str">
        <f>"SAÍDA"</f>
        <v>SAÍDA</v>
      </c>
      <c r="C5311" t="str">
        <f>"PIX"</f>
        <v>PIX</v>
      </c>
      <c r="D5311" t="str">
        <f>"1609253000"</f>
        <v>1609253000</v>
      </c>
      <c r="E5311" t="str">
        <f>"COM"</f>
        <v>COM</v>
      </c>
      <c r="F5311" t="str">
        <f>"LILIANE DE FATIMA REZENDE JUSTINO (20013)"</f>
        <v>LILIANE DE FATIMA REZENDE JUSTINO (20013)</v>
      </c>
      <c r="G5311" t="str">
        <f>"DESPESAS VIAGEM BELO HORIZONTE"</f>
        <v>DESPESAS VIAGEM BELO HORIZONTE</v>
      </c>
      <c r="H5311" t="str">
        <f t="shared" si="2505"/>
        <v>16/09/2025</v>
      </c>
      <c r="I5311" t="str">
        <f t="shared" si="2505"/>
        <v>16/09/2025</v>
      </c>
      <c r="J5311" t="str">
        <f t="shared" si="2505"/>
        <v>16/09/2025</v>
      </c>
      <c r="M5311">
        <v>128</v>
      </c>
      <c r="N5311" t="str">
        <f>"DESPESAS COM VIAGENS"</f>
        <v>DESPESAS COM VIAGENS</v>
      </c>
      <c r="P5311">
        <v>3000</v>
      </c>
      <c r="Q5311" t="str">
        <f>"LILIANE DE FATIMA REZENDE JUSTINO (20013)"</f>
        <v>LILIANE DE FATIMA REZENDE JUSTINO (20013)</v>
      </c>
      <c r="R5311" t="str">
        <f>"BANCO CORA (102)"</f>
        <v>BANCO CORA (102)</v>
      </c>
      <c r="S5311">
        <v>2587</v>
      </c>
      <c r="T5311">
        <v>2169</v>
      </c>
      <c r="U5311" t="s">
        <v>19</v>
      </c>
    </row>
    <row r="5312" spans="1:21">
      <c r="A5312" t="str">
        <f>("16/09/2025")</f>
        <v>16/09/2025</v>
      </c>
      <c r="B5312" t="str">
        <f>"SAÍDA"</f>
        <v>SAÍDA</v>
      </c>
      <c r="C5312" t="str">
        <f>"TRANSFERENCIA"</f>
        <v>TRANSFERENCIA</v>
      </c>
      <c r="D5312" t="str">
        <f>""</f>
        <v/>
      </c>
      <c r="E5312" t="str">
        <f>"TRF"</f>
        <v>TRF</v>
      </c>
      <c r="F5312" t="str">
        <f>""</f>
        <v/>
      </c>
      <c r="G5312" t="str">
        <f>"CONTRATO DE MUTUO - FLUXO DE CAIXA (102-&gt;120)"</f>
        <v>CONTRATO DE MUTUO - FLUXO DE CAIXA (102-&gt;120)</v>
      </c>
      <c r="H5312" t="str">
        <f t="shared" si="2505"/>
        <v>16/09/2025</v>
      </c>
      <c r="I5312" t="str">
        <f t="shared" si="2505"/>
        <v>16/09/2025</v>
      </c>
      <c r="J5312" t="str">
        <f t="shared" si="2505"/>
        <v>16/09/2025</v>
      </c>
      <c r="M5312">
        <v>102</v>
      </c>
      <c r="N5312" t="str">
        <f>"BANCO CORA"</f>
        <v>BANCO CORA</v>
      </c>
      <c r="O5312">
        <v>2000</v>
      </c>
      <c r="R5312" t="str">
        <f>"BANCO CORA (102)"</f>
        <v>BANCO CORA (102)</v>
      </c>
      <c r="S5312">
        <v>2822</v>
      </c>
      <c r="T5312">
        <v>0</v>
      </c>
      <c r="U5312" t="s">
        <v>19</v>
      </c>
    </row>
    <row r="5313" spans="1:21">
      <c r="A5313" t="str">
        <f>("16/09/2025")</f>
        <v>16/09/2025</v>
      </c>
      <c r="B5313" t="str">
        <f>"ENTRADA"</f>
        <v>ENTRADA</v>
      </c>
      <c r="C5313" t="str">
        <f>"TRANSFERENCIA"</f>
        <v>TRANSFERENCIA</v>
      </c>
      <c r="D5313" t="str">
        <f>""</f>
        <v/>
      </c>
      <c r="E5313" t="str">
        <f>"TRF"</f>
        <v>TRF</v>
      </c>
      <c r="F5313" t="str">
        <f>""</f>
        <v/>
      </c>
      <c r="G5313" t="str">
        <f>"CONTRATO DE MUTUO - FLUXO DE CAIXA (102-&gt;120)"</f>
        <v>CONTRATO DE MUTUO - FLUXO DE CAIXA (102-&gt;120)</v>
      </c>
      <c r="H5313" t="str">
        <f t="shared" si="2505"/>
        <v>16/09/2025</v>
      </c>
      <c r="I5313" t="str">
        <f t="shared" si="2505"/>
        <v>16/09/2025</v>
      </c>
      <c r="J5313" t="str">
        <f t="shared" si="2505"/>
        <v>16/09/2025</v>
      </c>
      <c r="M5313">
        <v>120</v>
      </c>
      <c r="N5313" t="str">
        <f>"CAIXA - COOPERATIVA"</f>
        <v>CAIXA - COOPERATIVA</v>
      </c>
      <c r="O5313">
        <v>2000</v>
      </c>
      <c r="R5313" t="str">
        <f>"CAIXA - COOPERATIVA (120)"</f>
        <v>CAIXA - COOPERATIVA (120)</v>
      </c>
      <c r="S5313">
        <v>2822</v>
      </c>
      <c r="T5313">
        <v>0</v>
      </c>
      <c r="U5313" t="s">
        <v>26</v>
      </c>
    </row>
    <row r="5314" spans="1:21">
      <c r="A5314" t="str">
        <f t="shared" ref="A5314:A5345" si="2506">("17/09/2025")</f>
        <v>17/09/2025</v>
      </c>
      <c r="B5314" t="str">
        <f>"SAÍDA"</f>
        <v>SAÍDA</v>
      </c>
      <c r="C5314" t="str">
        <f>"PIX"</f>
        <v>PIX</v>
      </c>
      <c r="D5314" t="str">
        <f>"1709251000"</f>
        <v>1709251000</v>
      </c>
      <c r="E5314" t="str">
        <f t="shared" ref="E5314:E5345" si="2507">"COM"</f>
        <v>COM</v>
      </c>
      <c r="F5314" t="str">
        <f>"LILIANE DE FATIMA REZENDE JUSTINO (20013)"</f>
        <v>LILIANE DE FATIMA REZENDE JUSTINO (20013)</v>
      </c>
      <c r="G5314" t="str">
        <f>"DESPESAS VIAGEM BELO HORIZONTE"</f>
        <v>DESPESAS VIAGEM BELO HORIZONTE</v>
      </c>
      <c r="H5314" t="str">
        <f t="shared" ref="H5314:H5345" si="2508">("17/09/2025")</f>
        <v>17/09/2025</v>
      </c>
      <c r="I5314" t="str">
        <f>("17/09/2102")</f>
        <v>17/09/2102</v>
      </c>
      <c r="J5314" t="str">
        <f t="shared" ref="J5314:J5345" si="2509">("17/09/2025")</f>
        <v>17/09/2025</v>
      </c>
      <c r="K5314">
        <v>1000</v>
      </c>
      <c r="L5314">
        <v>1000</v>
      </c>
      <c r="M5314">
        <v>128</v>
      </c>
      <c r="N5314" t="str">
        <f>"DESPESAS COM VIAGENS"</f>
        <v>DESPESAS COM VIAGENS</v>
      </c>
      <c r="O5314">
        <v>1000</v>
      </c>
      <c r="R5314" t="str">
        <f>"BANCO CORA (102)"</f>
        <v>BANCO CORA (102)</v>
      </c>
      <c r="S5314">
        <v>2588</v>
      </c>
      <c r="T5314">
        <v>2170</v>
      </c>
      <c r="U5314" t="s">
        <v>19</v>
      </c>
    </row>
    <row r="5315" spans="1:21">
      <c r="A5315" t="str">
        <f t="shared" si="2506"/>
        <v>17/09/2025</v>
      </c>
      <c r="B5315" t="str">
        <f>"SAÍDA"</f>
        <v>SAÍDA</v>
      </c>
      <c r="C5315" t="str">
        <f>"PIX"</f>
        <v>PIX</v>
      </c>
      <c r="D5315" t="str">
        <f>"1709251000"</f>
        <v>1709251000</v>
      </c>
      <c r="E5315" t="str">
        <f t="shared" si="2507"/>
        <v>COM</v>
      </c>
      <c r="F5315" t="str">
        <f>"LILIANE DE FATIMA REZENDE JUSTINO (20013)"</f>
        <v>LILIANE DE FATIMA REZENDE JUSTINO (20013)</v>
      </c>
      <c r="G5315" t="str">
        <f>"DESPESAS VIAGEM BELO HORIZONTE"</f>
        <v>DESPESAS VIAGEM BELO HORIZONTE</v>
      </c>
      <c r="H5315" t="str">
        <f t="shared" si="2508"/>
        <v>17/09/2025</v>
      </c>
      <c r="I5315" t="str">
        <f>("17/09/2102")</f>
        <v>17/09/2102</v>
      </c>
      <c r="J5315" t="str">
        <f t="shared" si="2509"/>
        <v>17/09/2025</v>
      </c>
      <c r="M5315">
        <v>128</v>
      </c>
      <c r="N5315" t="str">
        <f>"DESPESAS COM VIAGENS"</f>
        <v>DESPESAS COM VIAGENS</v>
      </c>
      <c r="P5315">
        <v>1000</v>
      </c>
      <c r="Q5315" t="str">
        <f>"LILIANE DE FATIMA REZENDE JUSTINO (20013)"</f>
        <v>LILIANE DE FATIMA REZENDE JUSTINO (20013)</v>
      </c>
      <c r="R5315" t="str">
        <f>"BANCO CORA (102)"</f>
        <v>BANCO CORA (102)</v>
      </c>
      <c r="S5315">
        <v>2588</v>
      </c>
      <c r="T5315">
        <v>2170</v>
      </c>
      <c r="U5315" t="s">
        <v>19</v>
      </c>
    </row>
    <row r="5316" spans="1:21">
      <c r="A5316" t="str">
        <f t="shared" si="2506"/>
        <v>17/09/2025</v>
      </c>
      <c r="B5316" t="str">
        <f>"ENTRADA"</f>
        <v>ENTRADA</v>
      </c>
      <c r="C5316" t="str">
        <f t="shared" ref="C5316:C5347" si="2510">"NFSE"</f>
        <v>NFSE</v>
      </c>
      <c r="D5316" t="str">
        <f>"3459"</f>
        <v>3459</v>
      </c>
      <c r="E5316" t="str">
        <f t="shared" si="2507"/>
        <v>COM</v>
      </c>
      <c r="F5316" t="str">
        <f>"DROGARIA AGAPEAMA (10167)"</f>
        <v>DROGARIA AGAPEAMA (10167)</v>
      </c>
      <c r="G5316" t="str">
        <f>"Serv.Prest. 08/09/2025 a 14/09/2025 - RPS: 1224 - NFSe: 3459"</f>
        <v>Serv.Prest. 08/09/2025 a 14/09/2025 - RPS: 1224 - NFSe: 3459</v>
      </c>
      <c r="H5316" t="str">
        <f t="shared" si="2508"/>
        <v>17/09/2025</v>
      </c>
      <c r="I5316" t="str">
        <f t="shared" ref="I5316:I5326" si="2511">("15/09/2025")</f>
        <v>15/09/2025</v>
      </c>
      <c r="J5316" t="str">
        <f t="shared" si="2509"/>
        <v>17/09/2025</v>
      </c>
      <c r="K5316">
        <v>378.4</v>
      </c>
      <c r="L5316">
        <v>378.4</v>
      </c>
      <c r="M5316">
        <v>303</v>
      </c>
      <c r="N5316" t="str">
        <f t="shared" ref="N5316:N5347" si="2512">"RECEITAS COM ENTREGAS"</f>
        <v>RECEITAS COM ENTREGAS</v>
      </c>
      <c r="O5316">
        <v>378.4</v>
      </c>
      <c r="R5316" t="str">
        <f t="shared" ref="R5316:R5347" si="2513">"RECEITAS COM ENTREGAS (303)"</f>
        <v>RECEITAS COM ENTREGAS (303)</v>
      </c>
      <c r="S5316">
        <v>2669</v>
      </c>
      <c r="T5316">
        <v>2107</v>
      </c>
      <c r="U5316" t="s">
        <v>19</v>
      </c>
    </row>
    <row r="5317" spans="1:21">
      <c r="A5317" t="str">
        <f t="shared" si="2506"/>
        <v>17/09/2025</v>
      </c>
      <c r="B5317" t="str">
        <f t="shared" ref="B5317:B5380" si="2514">"ENTRADA"</f>
        <v>ENTRADA</v>
      </c>
      <c r="C5317" t="str">
        <f t="shared" si="2510"/>
        <v>NFSE</v>
      </c>
      <c r="D5317" t="str">
        <f>"3459"</f>
        <v>3459</v>
      </c>
      <c r="E5317" t="str">
        <f t="shared" si="2507"/>
        <v>COM</v>
      </c>
      <c r="F5317" t="str">
        <f>"DROGARIA AGAPEAMA (10167)"</f>
        <v>DROGARIA AGAPEAMA (10167)</v>
      </c>
      <c r="G5317" t="str">
        <f>"Serv.Prest. 08/09/2025 a 14/09/2025 - RPS: 1224 - NFSe: 3459"</f>
        <v>Serv.Prest. 08/09/2025 a 14/09/2025 - RPS: 1224 - NFSe: 3459</v>
      </c>
      <c r="H5317" t="str">
        <f t="shared" si="2508"/>
        <v>17/09/2025</v>
      </c>
      <c r="I5317" t="str">
        <f t="shared" si="2511"/>
        <v>15/09/2025</v>
      </c>
      <c r="J5317" t="str">
        <f t="shared" si="2509"/>
        <v>17/09/2025</v>
      </c>
      <c r="M5317">
        <v>303</v>
      </c>
      <c r="N5317" t="str">
        <f t="shared" si="2512"/>
        <v>RECEITAS COM ENTREGAS</v>
      </c>
      <c r="P5317">
        <v>378.4</v>
      </c>
      <c r="Q5317" t="str">
        <f>"DROGARIA AGAPEAMA (10167)"</f>
        <v>DROGARIA AGAPEAMA (10167)</v>
      </c>
      <c r="R5317" t="str">
        <f t="shared" si="2513"/>
        <v>RECEITAS COM ENTREGAS (303)</v>
      </c>
      <c r="S5317">
        <v>2669</v>
      </c>
      <c r="T5317">
        <v>2107</v>
      </c>
      <c r="U5317" t="s">
        <v>19</v>
      </c>
    </row>
    <row r="5318" spans="1:21">
      <c r="A5318" t="str">
        <f t="shared" si="2506"/>
        <v>17/09/2025</v>
      </c>
      <c r="B5318" t="str">
        <f t="shared" si="2514"/>
        <v>ENTRADA</v>
      </c>
      <c r="C5318" t="str">
        <f t="shared" si="2510"/>
        <v>NFSE</v>
      </c>
      <c r="D5318" t="str">
        <f>"3462"</f>
        <v>3462</v>
      </c>
      <c r="E5318" t="str">
        <f t="shared" si="2507"/>
        <v>COM</v>
      </c>
      <c r="F5318" t="str">
        <f>"ENTREFARMA (10164)"</f>
        <v>ENTREFARMA (10164)</v>
      </c>
      <c r="G5318" t="str">
        <f>"Serv.Prest. 08/09/2025 a 14/09/2025 - RPS: 1227 - NFSe: 3462"</f>
        <v>Serv.Prest. 08/09/2025 a 14/09/2025 - RPS: 1227 - NFSe: 3462</v>
      </c>
      <c r="H5318" t="str">
        <f t="shared" si="2508"/>
        <v>17/09/2025</v>
      </c>
      <c r="I5318" t="str">
        <f t="shared" si="2511"/>
        <v>15/09/2025</v>
      </c>
      <c r="J5318" t="str">
        <f t="shared" si="2509"/>
        <v>17/09/2025</v>
      </c>
      <c r="K5318">
        <v>1152.5999999999999</v>
      </c>
      <c r="L5318">
        <v>1152.5999999999999</v>
      </c>
      <c r="M5318">
        <v>303</v>
      </c>
      <c r="N5318" t="str">
        <f t="shared" si="2512"/>
        <v>RECEITAS COM ENTREGAS</v>
      </c>
      <c r="O5318">
        <v>1152.5999999999999</v>
      </c>
      <c r="R5318" t="str">
        <f t="shared" si="2513"/>
        <v>RECEITAS COM ENTREGAS (303)</v>
      </c>
      <c r="S5318">
        <v>2670</v>
      </c>
      <c r="T5318">
        <v>2110</v>
      </c>
      <c r="U5318" t="s">
        <v>19</v>
      </c>
    </row>
    <row r="5319" spans="1:21">
      <c r="A5319" t="str">
        <f t="shared" si="2506"/>
        <v>17/09/2025</v>
      </c>
      <c r="B5319" t="str">
        <f t="shared" si="2514"/>
        <v>ENTRADA</v>
      </c>
      <c r="C5319" t="str">
        <f t="shared" si="2510"/>
        <v>NFSE</v>
      </c>
      <c r="D5319" t="str">
        <f>"3462"</f>
        <v>3462</v>
      </c>
      <c r="E5319" t="str">
        <f t="shared" si="2507"/>
        <v>COM</v>
      </c>
      <c r="F5319" t="str">
        <f>"ENTREFARMA (10164)"</f>
        <v>ENTREFARMA (10164)</v>
      </c>
      <c r="G5319" t="str">
        <f>"Serv.Prest. 08/09/2025 a 14/09/2025 - RPS: 1227 - NFSe: 3462"</f>
        <v>Serv.Prest. 08/09/2025 a 14/09/2025 - RPS: 1227 - NFSe: 3462</v>
      </c>
      <c r="H5319" t="str">
        <f t="shared" si="2508"/>
        <v>17/09/2025</v>
      </c>
      <c r="I5319" t="str">
        <f t="shared" si="2511"/>
        <v>15/09/2025</v>
      </c>
      <c r="J5319" t="str">
        <f t="shared" si="2509"/>
        <v>17/09/2025</v>
      </c>
      <c r="M5319">
        <v>303</v>
      </c>
      <c r="N5319" t="str">
        <f t="shared" si="2512"/>
        <v>RECEITAS COM ENTREGAS</v>
      </c>
      <c r="P5319">
        <v>1152.5999999999999</v>
      </c>
      <c r="Q5319" t="str">
        <f>"ENTREFARMA (10164)"</f>
        <v>ENTREFARMA (10164)</v>
      </c>
      <c r="R5319" t="str">
        <f t="shared" si="2513"/>
        <v>RECEITAS COM ENTREGAS (303)</v>
      </c>
      <c r="S5319">
        <v>2670</v>
      </c>
      <c r="T5319">
        <v>2110</v>
      </c>
      <c r="U5319" t="s">
        <v>19</v>
      </c>
    </row>
    <row r="5320" spans="1:21">
      <c r="A5320" t="str">
        <f t="shared" si="2506"/>
        <v>17/09/2025</v>
      </c>
      <c r="B5320" t="str">
        <f t="shared" si="2514"/>
        <v>ENTRADA</v>
      </c>
      <c r="C5320" t="str">
        <f t="shared" si="2510"/>
        <v>NFSE</v>
      </c>
      <c r="D5320" t="str">
        <f>"3463"</f>
        <v>3463</v>
      </c>
      <c r="E5320" t="str">
        <f t="shared" si="2507"/>
        <v>COM</v>
      </c>
      <c r="F5320" t="str">
        <f>"FRAN FARMA (10124)"</f>
        <v>FRAN FARMA (10124)</v>
      </c>
      <c r="G5320" t="str">
        <f>"Serv.Prest. 08/09/2025 a 14/09/2025 - RPS: 1228 - NFSe: 3463"</f>
        <v>Serv.Prest. 08/09/2025 a 14/09/2025 - RPS: 1228 - NFSe: 3463</v>
      </c>
      <c r="H5320" t="str">
        <f t="shared" si="2508"/>
        <v>17/09/2025</v>
      </c>
      <c r="I5320" t="str">
        <f t="shared" si="2511"/>
        <v>15/09/2025</v>
      </c>
      <c r="J5320" t="str">
        <f t="shared" si="2509"/>
        <v>17/09/2025</v>
      </c>
      <c r="K5320">
        <v>160</v>
      </c>
      <c r="L5320">
        <v>160</v>
      </c>
      <c r="M5320">
        <v>303</v>
      </c>
      <c r="N5320" t="str">
        <f t="shared" si="2512"/>
        <v>RECEITAS COM ENTREGAS</v>
      </c>
      <c r="O5320">
        <v>160</v>
      </c>
      <c r="R5320" t="str">
        <f t="shared" si="2513"/>
        <v>RECEITAS COM ENTREGAS (303)</v>
      </c>
      <c r="S5320">
        <v>2671</v>
      </c>
      <c r="T5320">
        <v>2111</v>
      </c>
      <c r="U5320" t="s">
        <v>19</v>
      </c>
    </row>
    <row r="5321" spans="1:21">
      <c r="A5321" t="str">
        <f t="shared" si="2506"/>
        <v>17/09/2025</v>
      </c>
      <c r="B5321" t="str">
        <f t="shared" si="2514"/>
        <v>ENTRADA</v>
      </c>
      <c r="C5321" t="str">
        <f t="shared" si="2510"/>
        <v>NFSE</v>
      </c>
      <c r="D5321" t="str">
        <f>"3463"</f>
        <v>3463</v>
      </c>
      <c r="E5321" t="str">
        <f t="shared" si="2507"/>
        <v>COM</v>
      </c>
      <c r="F5321" t="str">
        <f>"FRAN FARMA (10124)"</f>
        <v>FRAN FARMA (10124)</v>
      </c>
      <c r="G5321" t="str">
        <f>"Serv.Prest. 08/09/2025 a 14/09/2025 - RPS: 1228 - NFSe: 3463"</f>
        <v>Serv.Prest. 08/09/2025 a 14/09/2025 - RPS: 1228 - NFSe: 3463</v>
      </c>
      <c r="H5321" t="str">
        <f t="shared" si="2508"/>
        <v>17/09/2025</v>
      </c>
      <c r="I5321" t="str">
        <f t="shared" si="2511"/>
        <v>15/09/2025</v>
      </c>
      <c r="J5321" t="str">
        <f t="shared" si="2509"/>
        <v>17/09/2025</v>
      </c>
      <c r="M5321">
        <v>303</v>
      </c>
      <c r="N5321" t="str">
        <f t="shared" si="2512"/>
        <v>RECEITAS COM ENTREGAS</v>
      </c>
      <c r="P5321">
        <v>96</v>
      </c>
      <c r="Q5321" t="str">
        <f>"FRAN FARMA LJ 2 (10131)"</f>
        <v>FRAN FARMA LJ 2 (10131)</v>
      </c>
      <c r="R5321" t="str">
        <f t="shared" si="2513"/>
        <v>RECEITAS COM ENTREGAS (303)</v>
      </c>
      <c r="S5321">
        <v>2671</v>
      </c>
      <c r="T5321">
        <v>2111</v>
      </c>
      <c r="U5321" t="s">
        <v>19</v>
      </c>
    </row>
    <row r="5322" spans="1:21">
      <c r="A5322" t="str">
        <f t="shared" si="2506"/>
        <v>17/09/2025</v>
      </c>
      <c r="B5322" t="str">
        <f t="shared" si="2514"/>
        <v>ENTRADA</v>
      </c>
      <c r="C5322" t="str">
        <f t="shared" si="2510"/>
        <v>NFSE</v>
      </c>
      <c r="D5322" t="str">
        <f>"3463"</f>
        <v>3463</v>
      </c>
      <c r="E5322" t="str">
        <f t="shared" si="2507"/>
        <v>COM</v>
      </c>
      <c r="F5322" t="str">
        <f>"FRAN FARMA (10124)"</f>
        <v>FRAN FARMA (10124)</v>
      </c>
      <c r="G5322" t="str">
        <f>"Serv.Prest. 08/09/2025 a 14/09/2025 - RPS: 1228 - NFSe: 3463"</f>
        <v>Serv.Prest. 08/09/2025 a 14/09/2025 - RPS: 1228 - NFSe: 3463</v>
      </c>
      <c r="H5322" t="str">
        <f t="shared" si="2508"/>
        <v>17/09/2025</v>
      </c>
      <c r="I5322" t="str">
        <f t="shared" si="2511"/>
        <v>15/09/2025</v>
      </c>
      <c r="J5322" t="str">
        <f t="shared" si="2509"/>
        <v>17/09/2025</v>
      </c>
      <c r="M5322">
        <v>303</v>
      </c>
      <c r="N5322" t="str">
        <f t="shared" si="2512"/>
        <v>RECEITAS COM ENTREGAS</v>
      </c>
      <c r="P5322">
        <v>64</v>
      </c>
      <c r="Q5322" t="str">
        <f>"FRAN FARMA LJ 3 (10132)"</f>
        <v>FRAN FARMA LJ 3 (10132)</v>
      </c>
      <c r="R5322" t="str">
        <f t="shared" si="2513"/>
        <v>RECEITAS COM ENTREGAS (303)</v>
      </c>
      <c r="S5322">
        <v>2671</v>
      </c>
      <c r="T5322">
        <v>2111</v>
      </c>
      <c r="U5322" t="s">
        <v>19</v>
      </c>
    </row>
    <row r="5323" spans="1:21">
      <c r="A5323" t="str">
        <f t="shared" si="2506"/>
        <v>17/09/2025</v>
      </c>
      <c r="B5323" t="str">
        <f t="shared" si="2514"/>
        <v>ENTRADA</v>
      </c>
      <c r="C5323" t="str">
        <f t="shared" si="2510"/>
        <v>NFSE</v>
      </c>
      <c r="D5323" t="str">
        <f>"3474"</f>
        <v>3474</v>
      </c>
      <c r="E5323" t="str">
        <f t="shared" si="2507"/>
        <v>COM</v>
      </c>
      <c r="F5323" t="str">
        <f>"DROGARIA MEDIC CENTER LTDA (10172)"</f>
        <v>DROGARIA MEDIC CENTER LTDA (10172)</v>
      </c>
      <c r="G5323" t="str">
        <f>"Serv.Prest. 08/09/2025 a 14/09/2025 - RPS: 1239 - NFSe: 3474"</f>
        <v>Serv.Prest. 08/09/2025 a 14/09/2025 - RPS: 1239 - NFSe: 3474</v>
      </c>
      <c r="H5323" t="str">
        <f t="shared" si="2508"/>
        <v>17/09/2025</v>
      </c>
      <c r="I5323" t="str">
        <f t="shared" si="2511"/>
        <v>15/09/2025</v>
      </c>
      <c r="J5323" t="str">
        <f t="shared" si="2509"/>
        <v>17/09/2025</v>
      </c>
      <c r="K5323">
        <v>189.9</v>
      </c>
      <c r="L5323">
        <v>189.9</v>
      </c>
      <c r="M5323">
        <v>303</v>
      </c>
      <c r="N5323" t="str">
        <f t="shared" si="2512"/>
        <v>RECEITAS COM ENTREGAS</v>
      </c>
      <c r="O5323">
        <v>189.9</v>
      </c>
      <c r="R5323" t="str">
        <f t="shared" si="2513"/>
        <v>RECEITAS COM ENTREGAS (303)</v>
      </c>
      <c r="S5323">
        <v>2672</v>
      </c>
      <c r="T5323">
        <v>2122</v>
      </c>
      <c r="U5323" t="s">
        <v>19</v>
      </c>
    </row>
    <row r="5324" spans="1:21">
      <c r="A5324" t="str">
        <f t="shared" si="2506"/>
        <v>17/09/2025</v>
      </c>
      <c r="B5324" t="str">
        <f t="shared" si="2514"/>
        <v>ENTRADA</v>
      </c>
      <c r="C5324" t="str">
        <f t="shared" si="2510"/>
        <v>NFSE</v>
      </c>
      <c r="D5324" t="str">
        <f>"3474"</f>
        <v>3474</v>
      </c>
      <c r="E5324" t="str">
        <f t="shared" si="2507"/>
        <v>COM</v>
      </c>
      <c r="F5324" t="str">
        <f>"DROGARIA MEDIC CENTER LTDA (10172)"</f>
        <v>DROGARIA MEDIC CENTER LTDA (10172)</v>
      </c>
      <c r="G5324" t="str">
        <f>"Serv.Prest. 08/09/2025 a 14/09/2025 - RPS: 1239 - NFSe: 3474"</f>
        <v>Serv.Prest. 08/09/2025 a 14/09/2025 - RPS: 1239 - NFSe: 3474</v>
      </c>
      <c r="H5324" t="str">
        <f t="shared" si="2508"/>
        <v>17/09/2025</v>
      </c>
      <c r="I5324" t="str">
        <f t="shared" si="2511"/>
        <v>15/09/2025</v>
      </c>
      <c r="J5324" t="str">
        <f t="shared" si="2509"/>
        <v>17/09/2025</v>
      </c>
      <c r="M5324">
        <v>303</v>
      </c>
      <c r="N5324" t="str">
        <f t="shared" si="2512"/>
        <v>RECEITAS COM ENTREGAS</v>
      </c>
      <c r="P5324">
        <v>189.9</v>
      </c>
      <c r="Q5324" t="str">
        <f>"DROGARIA MEDIC CENTER LTDA (10172)"</f>
        <v>DROGARIA MEDIC CENTER LTDA (10172)</v>
      </c>
      <c r="R5324" t="str">
        <f t="shared" si="2513"/>
        <v>RECEITAS COM ENTREGAS (303)</v>
      </c>
      <c r="S5324">
        <v>2672</v>
      </c>
      <c r="T5324">
        <v>2122</v>
      </c>
      <c r="U5324" t="s">
        <v>19</v>
      </c>
    </row>
    <row r="5325" spans="1:21">
      <c r="A5325" t="str">
        <f t="shared" si="2506"/>
        <v>17/09/2025</v>
      </c>
      <c r="B5325" t="str">
        <f t="shared" si="2514"/>
        <v>ENTRADA</v>
      </c>
      <c r="C5325" t="str">
        <f t="shared" si="2510"/>
        <v>NFSE</v>
      </c>
      <c r="D5325" t="str">
        <f>"3475"</f>
        <v>3475</v>
      </c>
      <c r="E5325" t="str">
        <f t="shared" si="2507"/>
        <v>COM</v>
      </c>
      <c r="F5325" t="str">
        <f>"DROGARIA MORENO LTDA (10171)"</f>
        <v>DROGARIA MORENO LTDA (10171)</v>
      </c>
      <c r="G5325" t="str">
        <f>"Serv.Prest. 08/09/2025 a 14/09/2025 - RPS: 1240 - NFSe: 3475"</f>
        <v>Serv.Prest. 08/09/2025 a 14/09/2025 - RPS: 1240 - NFSe: 3475</v>
      </c>
      <c r="H5325" t="str">
        <f t="shared" si="2508"/>
        <v>17/09/2025</v>
      </c>
      <c r="I5325" t="str">
        <f t="shared" si="2511"/>
        <v>15/09/2025</v>
      </c>
      <c r="J5325" t="str">
        <f t="shared" si="2509"/>
        <v>17/09/2025</v>
      </c>
      <c r="K5325">
        <v>387.9</v>
      </c>
      <c r="L5325">
        <v>387.9</v>
      </c>
      <c r="M5325">
        <v>303</v>
      </c>
      <c r="N5325" t="str">
        <f t="shared" si="2512"/>
        <v>RECEITAS COM ENTREGAS</v>
      </c>
      <c r="O5325">
        <v>387.9</v>
      </c>
      <c r="R5325" t="str">
        <f t="shared" si="2513"/>
        <v>RECEITAS COM ENTREGAS (303)</v>
      </c>
      <c r="S5325">
        <v>2673</v>
      </c>
      <c r="T5325">
        <v>2123</v>
      </c>
      <c r="U5325" t="s">
        <v>19</v>
      </c>
    </row>
    <row r="5326" spans="1:21">
      <c r="A5326" t="str">
        <f t="shared" si="2506"/>
        <v>17/09/2025</v>
      </c>
      <c r="B5326" t="str">
        <f t="shared" si="2514"/>
        <v>ENTRADA</v>
      </c>
      <c r="C5326" t="str">
        <f t="shared" si="2510"/>
        <v>NFSE</v>
      </c>
      <c r="D5326" t="str">
        <f>"3475"</f>
        <v>3475</v>
      </c>
      <c r="E5326" t="str">
        <f t="shared" si="2507"/>
        <v>COM</v>
      </c>
      <c r="F5326" t="str">
        <f>"DROGARIA MORENO LTDA (10171)"</f>
        <v>DROGARIA MORENO LTDA (10171)</v>
      </c>
      <c r="G5326" t="str">
        <f>"Serv.Prest. 08/09/2025 a 14/09/2025 - RPS: 1240 - NFSe: 3475"</f>
        <v>Serv.Prest. 08/09/2025 a 14/09/2025 - RPS: 1240 - NFSe: 3475</v>
      </c>
      <c r="H5326" t="str">
        <f t="shared" si="2508"/>
        <v>17/09/2025</v>
      </c>
      <c r="I5326" t="str">
        <f t="shared" si="2511"/>
        <v>15/09/2025</v>
      </c>
      <c r="J5326" t="str">
        <f t="shared" si="2509"/>
        <v>17/09/2025</v>
      </c>
      <c r="M5326">
        <v>303</v>
      </c>
      <c r="N5326" t="str">
        <f t="shared" si="2512"/>
        <v>RECEITAS COM ENTREGAS</v>
      </c>
      <c r="P5326">
        <v>387.9</v>
      </c>
      <c r="Q5326" t="str">
        <f>"DROGARIA MORENO LTDA (10171)"</f>
        <v>DROGARIA MORENO LTDA (10171)</v>
      </c>
      <c r="R5326" t="str">
        <f t="shared" si="2513"/>
        <v>RECEITAS COM ENTREGAS (303)</v>
      </c>
      <c r="S5326">
        <v>2673</v>
      </c>
      <c r="T5326">
        <v>2123</v>
      </c>
      <c r="U5326" t="s">
        <v>19</v>
      </c>
    </row>
    <row r="5327" spans="1:21">
      <c r="A5327" t="str">
        <f t="shared" si="2506"/>
        <v>17/09/2025</v>
      </c>
      <c r="B5327" t="str">
        <f t="shared" si="2514"/>
        <v>ENTRADA</v>
      </c>
      <c r="C5327" t="str">
        <f t="shared" si="2510"/>
        <v>NFSE</v>
      </c>
      <c r="D5327" t="str">
        <f>"3478"</f>
        <v>3478</v>
      </c>
      <c r="E5327" t="str">
        <f t="shared" si="2507"/>
        <v>COM</v>
      </c>
      <c r="F5327" t="str">
        <f>"DELTA LOJA 2 (10123)"</f>
        <v>DELTA LOJA 2 (10123)</v>
      </c>
      <c r="G5327" t="str">
        <f>"Serv.Prest. 08/09/2025 a 14/09/2025 - RPS: 1243 - NFSe: 3478"</f>
        <v>Serv.Prest. 08/09/2025 a 14/09/2025 - RPS: 1243 - NFSe: 3478</v>
      </c>
      <c r="H5327" t="str">
        <f t="shared" si="2508"/>
        <v>17/09/2025</v>
      </c>
      <c r="I5327" t="str">
        <f>("16/09/2025")</f>
        <v>16/09/2025</v>
      </c>
      <c r="J5327" t="str">
        <f t="shared" si="2509"/>
        <v>17/09/2025</v>
      </c>
      <c r="K5327">
        <v>655.20000000000005</v>
      </c>
      <c r="L5327">
        <v>655.20000000000005</v>
      </c>
      <c r="M5327">
        <v>303</v>
      </c>
      <c r="N5327" t="str">
        <f t="shared" si="2512"/>
        <v>RECEITAS COM ENTREGAS</v>
      </c>
      <c r="O5327">
        <v>655.20000000000005</v>
      </c>
      <c r="R5327" t="str">
        <f t="shared" si="2513"/>
        <v>RECEITAS COM ENTREGAS (303)</v>
      </c>
      <c r="S5327">
        <v>2674</v>
      </c>
      <c r="T5327">
        <v>2126</v>
      </c>
      <c r="U5327" t="s">
        <v>19</v>
      </c>
    </row>
    <row r="5328" spans="1:21">
      <c r="A5328" t="str">
        <f t="shared" si="2506"/>
        <v>17/09/2025</v>
      </c>
      <c r="B5328" t="str">
        <f t="shared" si="2514"/>
        <v>ENTRADA</v>
      </c>
      <c r="C5328" t="str">
        <f t="shared" si="2510"/>
        <v>NFSE</v>
      </c>
      <c r="D5328" t="str">
        <f>"3478"</f>
        <v>3478</v>
      </c>
      <c r="E5328" t="str">
        <f t="shared" si="2507"/>
        <v>COM</v>
      </c>
      <c r="F5328" t="str">
        <f>"DELTA LOJA 2 (10123)"</f>
        <v>DELTA LOJA 2 (10123)</v>
      </c>
      <c r="G5328" t="str">
        <f>"Serv.Prest. 08/09/2025 a 14/09/2025 - RPS: 1243 - NFSe: 3478"</f>
        <v>Serv.Prest. 08/09/2025 a 14/09/2025 - RPS: 1243 - NFSe: 3478</v>
      </c>
      <c r="H5328" t="str">
        <f t="shared" si="2508"/>
        <v>17/09/2025</v>
      </c>
      <c r="I5328" t="str">
        <f>("16/09/2025")</f>
        <v>16/09/2025</v>
      </c>
      <c r="J5328" t="str">
        <f t="shared" si="2509"/>
        <v>17/09/2025</v>
      </c>
      <c r="M5328">
        <v>303</v>
      </c>
      <c r="N5328" t="str">
        <f t="shared" si="2512"/>
        <v>RECEITAS COM ENTREGAS</v>
      </c>
      <c r="P5328">
        <v>655.20000000000005</v>
      </c>
      <c r="Q5328" t="str">
        <f>"DELTA LOJA 2 (10123)"</f>
        <v>DELTA LOJA 2 (10123)</v>
      </c>
      <c r="R5328" t="str">
        <f t="shared" si="2513"/>
        <v>RECEITAS COM ENTREGAS (303)</v>
      </c>
      <c r="S5328">
        <v>2674</v>
      </c>
      <c r="T5328">
        <v>2126</v>
      </c>
      <c r="U5328" t="s">
        <v>19</v>
      </c>
    </row>
    <row r="5329" spans="1:21">
      <c r="A5329" t="str">
        <f t="shared" si="2506"/>
        <v>17/09/2025</v>
      </c>
      <c r="B5329" t="str">
        <f t="shared" si="2514"/>
        <v>ENTRADA</v>
      </c>
      <c r="C5329" t="str">
        <f t="shared" si="2510"/>
        <v>NFSE</v>
      </c>
      <c r="D5329" t="str">
        <f t="shared" ref="D5329:D5376" si="2515">"3447"</f>
        <v>3447</v>
      </c>
      <c r="E5329" t="str">
        <f t="shared" si="2507"/>
        <v>COM</v>
      </c>
      <c r="F5329" t="str">
        <f t="shared" ref="F5329:F5376" si="2516">"FARMÁCIA INDIANA LJ 1 (10126)"</f>
        <v>FARMÁCIA INDIANA LJ 1 (10126)</v>
      </c>
      <c r="G5329" t="str">
        <f t="shared" ref="G5329:G5376" si="2517">"Serv.Prest. 01/09/2025 a 07/09/2025 - RPS: 1212 - NFSe: 3447"</f>
        <v>Serv.Prest. 01/09/2025 a 07/09/2025 - RPS: 1212 - NFSe: 3447</v>
      </c>
      <c r="H5329" t="str">
        <f t="shared" si="2508"/>
        <v>17/09/2025</v>
      </c>
      <c r="I5329" t="str">
        <f t="shared" ref="I5329:I5360" si="2518">("08/09/2025")</f>
        <v>08/09/2025</v>
      </c>
      <c r="J5329" t="str">
        <f t="shared" si="2509"/>
        <v>17/09/2025</v>
      </c>
      <c r="K5329">
        <v>14423.49</v>
      </c>
      <c r="L5329">
        <v>14423.49</v>
      </c>
      <c r="M5329">
        <v>303</v>
      </c>
      <c r="N5329" t="str">
        <f t="shared" si="2512"/>
        <v>RECEITAS COM ENTREGAS</v>
      </c>
      <c r="O5329">
        <v>14423.49</v>
      </c>
      <c r="R5329" t="str">
        <f t="shared" si="2513"/>
        <v>RECEITAS COM ENTREGAS (303)</v>
      </c>
      <c r="S5329">
        <v>2675</v>
      </c>
      <c r="T5329">
        <v>2051</v>
      </c>
      <c r="U5329" t="s">
        <v>19</v>
      </c>
    </row>
    <row r="5330" spans="1:21">
      <c r="A5330" t="str">
        <f t="shared" si="2506"/>
        <v>17/09/2025</v>
      </c>
      <c r="B5330" t="str">
        <f t="shared" si="2514"/>
        <v>ENTRADA</v>
      </c>
      <c r="C5330" t="str">
        <f t="shared" si="2510"/>
        <v>NFSE</v>
      </c>
      <c r="D5330" t="str">
        <f t="shared" si="2515"/>
        <v>3447</v>
      </c>
      <c r="E5330" t="str">
        <f t="shared" si="2507"/>
        <v>COM</v>
      </c>
      <c r="F5330" t="str">
        <f t="shared" si="2516"/>
        <v>FARMÁCIA INDIANA LJ 1 (10126)</v>
      </c>
      <c r="G5330" t="str">
        <f t="shared" si="2517"/>
        <v>Serv.Prest. 01/09/2025 a 07/09/2025 - RPS: 1212 - NFSe: 3447</v>
      </c>
      <c r="H5330" t="str">
        <f t="shared" si="2508"/>
        <v>17/09/2025</v>
      </c>
      <c r="I5330" t="str">
        <f t="shared" si="2518"/>
        <v>08/09/2025</v>
      </c>
      <c r="J5330" t="str">
        <f t="shared" si="2509"/>
        <v>17/09/2025</v>
      </c>
      <c r="M5330">
        <v>303</v>
      </c>
      <c r="N5330" t="str">
        <f t="shared" si="2512"/>
        <v>RECEITAS COM ENTREGAS</v>
      </c>
      <c r="P5330">
        <v>1902.49</v>
      </c>
      <c r="Q5330" t="str">
        <f>"FARMÁCIA INDIANA LJ 06 (10006)"</f>
        <v>FARMÁCIA INDIANA LJ 06 (10006)</v>
      </c>
      <c r="R5330" t="str">
        <f t="shared" si="2513"/>
        <v>RECEITAS COM ENTREGAS (303)</v>
      </c>
      <c r="S5330">
        <v>2675</v>
      </c>
      <c r="T5330">
        <v>2051</v>
      </c>
      <c r="U5330" t="s">
        <v>19</v>
      </c>
    </row>
    <row r="5331" spans="1:21">
      <c r="A5331" t="str">
        <f t="shared" si="2506"/>
        <v>17/09/2025</v>
      </c>
      <c r="B5331" t="str">
        <f t="shared" si="2514"/>
        <v>ENTRADA</v>
      </c>
      <c r="C5331" t="str">
        <f t="shared" si="2510"/>
        <v>NFSE</v>
      </c>
      <c r="D5331" t="str">
        <f t="shared" si="2515"/>
        <v>3447</v>
      </c>
      <c r="E5331" t="str">
        <f t="shared" si="2507"/>
        <v>COM</v>
      </c>
      <c r="F5331" t="str">
        <f t="shared" si="2516"/>
        <v>FARMÁCIA INDIANA LJ 1 (10126)</v>
      </c>
      <c r="G5331" t="str">
        <f t="shared" si="2517"/>
        <v>Serv.Prest. 01/09/2025 a 07/09/2025 - RPS: 1212 - NFSe: 3447</v>
      </c>
      <c r="H5331" t="str">
        <f t="shared" si="2508"/>
        <v>17/09/2025</v>
      </c>
      <c r="I5331" t="str">
        <f t="shared" si="2518"/>
        <v>08/09/2025</v>
      </c>
      <c r="J5331" t="str">
        <f t="shared" si="2509"/>
        <v>17/09/2025</v>
      </c>
      <c r="M5331">
        <v>303</v>
      </c>
      <c r="N5331" t="str">
        <f t="shared" si="2512"/>
        <v>RECEITAS COM ENTREGAS</v>
      </c>
      <c r="P5331">
        <v>1371.67</v>
      </c>
      <c r="Q5331" t="str">
        <f>"FARMÁCIA INDIANA LJ 07 (10007)"</f>
        <v>FARMÁCIA INDIANA LJ 07 (10007)</v>
      </c>
      <c r="R5331" t="str">
        <f t="shared" si="2513"/>
        <v>RECEITAS COM ENTREGAS (303)</v>
      </c>
      <c r="S5331">
        <v>2675</v>
      </c>
      <c r="T5331">
        <v>2051</v>
      </c>
      <c r="U5331" t="s">
        <v>19</v>
      </c>
    </row>
    <row r="5332" spans="1:21">
      <c r="A5332" t="str">
        <f t="shared" si="2506"/>
        <v>17/09/2025</v>
      </c>
      <c r="B5332" t="str">
        <f t="shared" si="2514"/>
        <v>ENTRADA</v>
      </c>
      <c r="C5332" t="str">
        <f t="shared" si="2510"/>
        <v>NFSE</v>
      </c>
      <c r="D5332" t="str">
        <f t="shared" si="2515"/>
        <v>3447</v>
      </c>
      <c r="E5332" t="str">
        <f t="shared" si="2507"/>
        <v>COM</v>
      </c>
      <c r="F5332" t="str">
        <f t="shared" si="2516"/>
        <v>FARMÁCIA INDIANA LJ 1 (10126)</v>
      </c>
      <c r="G5332" t="str">
        <f t="shared" si="2517"/>
        <v>Serv.Prest. 01/09/2025 a 07/09/2025 - RPS: 1212 - NFSe: 3447</v>
      </c>
      <c r="H5332" t="str">
        <f t="shared" si="2508"/>
        <v>17/09/2025</v>
      </c>
      <c r="I5332" t="str">
        <f t="shared" si="2518"/>
        <v>08/09/2025</v>
      </c>
      <c r="J5332" t="str">
        <f t="shared" si="2509"/>
        <v>17/09/2025</v>
      </c>
      <c r="M5332">
        <v>303</v>
      </c>
      <c r="N5332" t="str">
        <f t="shared" si="2512"/>
        <v>RECEITAS COM ENTREGAS</v>
      </c>
      <c r="P5332">
        <v>1015.41</v>
      </c>
      <c r="Q5332" t="str">
        <f>"FARMÁCIA INDIANA LJ 11 (10008)"</f>
        <v>FARMÁCIA INDIANA LJ 11 (10008)</v>
      </c>
      <c r="R5332" t="str">
        <f t="shared" si="2513"/>
        <v>RECEITAS COM ENTREGAS (303)</v>
      </c>
      <c r="S5332">
        <v>2675</v>
      </c>
      <c r="T5332">
        <v>2051</v>
      </c>
      <c r="U5332" t="s">
        <v>19</v>
      </c>
    </row>
    <row r="5333" spans="1:21">
      <c r="A5333" t="str">
        <f t="shared" si="2506"/>
        <v>17/09/2025</v>
      </c>
      <c r="B5333" t="str">
        <f t="shared" si="2514"/>
        <v>ENTRADA</v>
      </c>
      <c r="C5333" t="str">
        <f t="shared" si="2510"/>
        <v>NFSE</v>
      </c>
      <c r="D5333" t="str">
        <f t="shared" si="2515"/>
        <v>3447</v>
      </c>
      <c r="E5333" t="str">
        <f t="shared" si="2507"/>
        <v>COM</v>
      </c>
      <c r="F5333" t="str">
        <f t="shared" si="2516"/>
        <v>FARMÁCIA INDIANA LJ 1 (10126)</v>
      </c>
      <c r="G5333" t="str">
        <f t="shared" si="2517"/>
        <v>Serv.Prest. 01/09/2025 a 07/09/2025 - RPS: 1212 - NFSe: 3447</v>
      </c>
      <c r="H5333" t="str">
        <f t="shared" si="2508"/>
        <v>17/09/2025</v>
      </c>
      <c r="I5333" t="str">
        <f t="shared" si="2518"/>
        <v>08/09/2025</v>
      </c>
      <c r="J5333" t="str">
        <f t="shared" si="2509"/>
        <v>17/09/2025</v>
      </c>
      <c r="M5333">
        <v>303</v>
      </c>
      <c r="N5333" t="str">
        <f t="shared" si="2512"/>
        <v>RECEITAS COM ENTREGAS</v>
      </c>
      <c r="P5333">
        <v>448.57</v>
      </c>
      <c r="Q5333" t="str">
        <f>"FARMÁCIA INDIANA LJ 14 (10009)"</f>
        <v>FARMÁCIA INDIANA LJ 14 (10009)</v>
      </c>
      <c r="R5333" t="str">
        <f t="shared" si="2513"/>
        <v>RECEITAS COM ENTREGAS (303)</v>
      </c>
      <c r="S5333">
        <v>2675</v>
      </c>
      <c r="T5333">
        <v>2051</v>
      </c>
      <c r="U5333" t="s">
        <v>19</v>
      </c>
    </row>
    <row r="5334" spans="1:21">
      <c r="A5334" t="str">
        <f t="shared" si="2506"/>
        <v>17/09/2025</v>
      </c>
      <c r="B5334" t="str">
        <f t="shared" si="2514"/>
        <v>ENTRADA</v>
      </c>
      <c r="C5334" t="str">
        <f t="shared" si="2510"/>
        <v>NFSE</v>
      </c>
      <c r="D5334" t="str">
        <f t="shared" si="2515"/>
        <v>3447</v>
      </c>
      <c r="E5334" t="str">
        <f t="shared" si="2507"/>
        <v>COM</v>
      </c>
      <c r="F5334" t="str">
        <f t="shared" si="2516"/>
        <v>FARMÁCIA INDIANA LJ 1 (10126)</v>
      </c>
      <c r="G5334" t="str">
        <f t="shared" si="2517"/>
        <v>Serv.Prest. 01/09/2025 a 07/09/2025 - RPS: 1212 - NFSe: 3447</v>
      </c>
      <c r="H5334" t="str">
        <f t="shared" si="2508"/>
        <v>17/09/2025</v>
      </c>
      <c r="I5334" t="str">
        <f t="shared" si="2518"/>
        <v>08/09/2025</v>
      </c>
      <c r="J5334" t="str">
        <f t="shared" si="2509"/>
        <v>17/09/2025</v>
      </c>
      <c r="M5334">
        <v>303</v>
      </c>
      <c r="N5334" t="str">
        <f t="shared" si="2512"/>
        <v>RECEITAS COM ENTREGAS</v>
      </c>
      <c r="P5334">
        <v>346.16</v>
      </c>
      <c r="Q5334" t="str">
        <f>"FARMÁCIA INDIANA LJ 18 (10011)"</f>
        <v>FARMÁCIA INDIANA LJ 18 (10011)</v>
      </c>
      <c r="R5334" t="str">
        <f t="shared" si="2513"/>
        <v>RECEITAS COM ENTREGAS (303)</v>
      </c>
      <c r="S5334">
        <v>2675</v>
      </c>
      <c r="T5334">
        <v>2051</v>
      </c>
      <c r="U5334" t="s">
        <v>19</v>
      </c>
    </row>
    <row r="5335" spans="1:21">
      <c r="A5335" t="str">
        <f t="shared" si="2506"/>
        <v>17/09/2025</v>
      </c>
      <c r="B5335" t="str">
        <f t="shared" si="2514"/>
        <v>ENTRADA</v>
      </c>
      <c r="C5335" t="str">
        <f t="shared" si="2510"/>
        <v>NFSE</v>
      </c>
      <c r="D5335" t="str">
        <f t="shared" si="2515"/>
        <v>3447</v>
      </c>
      <c r="E5335" t="str">
        <f t="shared" si="2507"/>
        <v>COM</v>
      </c>
      <c r="F5335" t="str">
        <f t="shared" si="2516"/>
        <v>FARMÁCIA INDIANA LJ 1 (10126)</v>
      </c>
      <c r="G5335" t="str">
        <f t="shared" si="2517"/>
        <v>Serv.Prest. 01/09/2025 a 07/09/2025 - RPS: 1212 - NFSe: 3447</v>
      </c>
      <c r="H5335" t="str">
        <f t="shared" si="2508"/>
        <v>17/09/2025</v>
      </c>
      <c r="I5335" t="str">
        <f t="shared" si="2518"/>
        <v>08/09/2025</v>
      </c>
      <c r="J5335" t="str">
        <f t="shared" si="2509"/>
        <v>17/09/2025</v>
      </c>
      <c r="M5335">
        <v>303</v>
      </c>
      <c r="N5335" t="str">
        <f t="shared" si="2512"/>
        <v>RECEITAS COM ENTREGAS</v>
      </c>
      <c r="P5335">
        <v>367.8</v>
      </c>
      <c r="Q5335" t="str">
        <f>"FARMÁCIA INDIANA LJ 19 (10012)"</f>
        <v>FARMÁCIA INDIANA LJ 19 (10012)</v>
      </c>
      <c r="R5335" t="str">
        <f t="shared" si="2513"/>
        <v>RECEITAS COM ENTREGAS (303)</v>
      </c>
      <c r="S5335">
        <v>2675</v>
      </c>
      <c r="T5335">
        <v>2051</v>
      </c>
      <c r="U5335" t="s">
        <v>19</v>
      </c>
    </row>
    <row r="5336" spans="1:21">
      <c r="A5336" t="str">
        <f t="shared" si="2506"/>
        <v>17/09/2025</v>
      </c>
      <c r="B5336" t="str">
        <f t="shared" si="2514"/>
        <v>ENTRADA</v>
      </c>
      <c r="C5336" t="str">
        <f t="shared" si="2510"/>
        <v>NFSE</v>
      </c>
      <c r="D5336" t="str">
        <f t="shared" si="2515"/>
        <v>3447</v>
      </c>
      <c r="E5336" t="str">
        <f t="shared" si="2507"/>
        <v>COM</v>
      </c>
      <c r="F5336" t="str">
        <f t="shared" si="2516"/>
        <v>FARMÁCIA INDIANA LJ 1 (10126)</v>
      </c>
      <c r="G5336" t="str">
        <f t="shared" si="2517"/>
        <v>Serv.Prest. 01/09/2025 a 07/09/2025 - RPS: 1212 - NFSe: 3447</v>
      </c>
      <c r="H5336" t="str">
        <f t="shared" si="2508"/>
        <v>17/09/2025</v>
      </c>
      <c r="I5336" t="str">
        <f t="shared" si="2518"/>
        <v>08/09/2025</v>
      </c>
      <c r="J5336" t="str">
        <f t="shared" si="2509"/>
        <v>17/09/2025</v>
      </c>
      <c r="M5336">
        <v>303</v>
      </c>
      <c r="N5336" t="str">
        <f t="shared" si="2512"/>
        <v>RECEITAS COM ENTREGAS</v>
      </c>
      <c r="P5336">
        <v>848.1</v>
      </c>
      <c r="Q5336" t="str">
        <f>"FARMÁCIA INDIANA LJ 40 (10016)"</f>
        <v>FARMÁCIA INDIANA LJ 40 (10016)</v>
      </c>
      <c r="R5336" t="str">
        <f t="shared" si="2513"/>
        <v>RECEITAS COM ENTREGAS (303)</v>
      </c>
      <c r="S5336">
        <v>2675</v>
      </c>
      <c r="T5336">
        <v>2051</v>
      </c>
      <c r="U5336" t="s">
        <v>19</v>
      </c>
    </row>
    <row r="5337" spans="1:21">
      <c r="A5337" t="str">
        <f t="shared" si="2506"/>
        <v>17/09/2025</v>
      </c>
      <c r="B5337" t="str">
        <f t="shared" si="2514"/>
        <v>ENTRADA</v>
      </c>
      <c r="C5337" t="str">
        <f t="shared" si="2510"/>
        <v>NFSE</v>
      </c>
      <c r="D5337" t="str">
        <f t="shared" si="2515"/>
        <v>3447</v>
      </c>
      <c r="E5337" t="str">
        <f t="shared" si="2507"/>
        <v>COM</v>
      </c>
      <c r="F5337" t="str">
        <f t="shared" si="2516"/>
        <v>FARMÁCIA INDIANA LJ 1 (10126)</v>
      </c>
      <c r="G5337" t="str">
        <f t="shared" si="2517"/>
        <v>Serv.Prest. 01/09/2025 a 07/09/2025 - RPS: 1212 - NFSe: 3447</v>
      </c>
      <c r="H5337" t="str">
        <f t="shared" si="2508"/>
        <v>17/09/2025</v>
      </c>
      <c r="I5337" t="str">
        <f t="shared" si="2518"/>
        <v>08/09/2025</v>
      </c>
      <c r="J5337" t="str">
        <f t="shared" si="2509"/>
        <v>17/09/2025</v>
      </c>
      <c r="M5337">
        <v>303</v>
      </c>
      <c r="N5337" t="str">
        <f t="shared" si="2512"/>
        <v>RECEITAS COM ENTREGAS</v>
      </c>
      <c r="P5337">
        <v>376.45</v>
      </c>
      <c r="Q5337" t="str">
        <f>"FARMÁCIA INDIANA LJ 59 (10026)"</f>
        <v>FARMÁCIA INDIANA LJ 59 (10026)</v>
      </c>
      <c r="R5337" t="str">
        <f t="shared" si="2513"/>
        <v>RECEITAS COM ENTREGAS (303)</v>
      </c>
      <c r="S5337">
        <v>2675</v>
      </c>
      <c r="T5337">
        <v>2051</v>
      </c>
      <c r="U5337" t="s">
        <v>19</v>
      </c>
    </row>
    <row r="5338" spans="1:21">
      <c r="A5338" t="str">
        <f t="shared" si="2506"/>
        <v>17/09/2025</v>
      </c>
      <c r="B5338" t="str">
        <f t="shared" si="2514"/>
        <v>ENTRADA</v>
      </c>
      <c r="C5338" t="str">
        <f t="shared" si="2510"/>
        <v>NFSE</v>
      </c>
      <c r="D5338" t="str">
        <f t="shared" si="2515"/>
        <v>3447</v>
      </c>
      <c r="E5338" t="str">
        <f t="shared" si="2507"/>
        <v>COM</v>
      </c>
      <c r="F5338" t="str">
        <f t="shared" si="2516"/>
        <v>FARMÁCIA INDIANA LJ 1 (10126)</v>
      </c>
      <c r="G5338" t="str">
        <f t="shared" si="2517"/>
        <v>Serv.Prest. 01/09/2025 a 07/09/2025 - RPS: 1212 - NFSe: 3447</v>
      </c>
      <c r="H5338" t="str">
        <f t="shared" si="2508"/>
        <v>17/09/2025</v>
      </c>
      <c r="I5338" t="str">
        <f t="shared" si="2518"/>
        <v>08/09/2025</v>
      </c>
      <c r="J5338" t="str">
        <f t="shared" si="2509"/>
        <v>17/09/2025</v>
      </c>
      <c r="M5338">
        <v>303</v>
      </c>
      <c r="N5338" t="str">
        <f t="shared" si="2512"/>
        <v>RECEITAS COM ENTREGAS</v>
      </c>
      <c r="P5338">
        <v>435.59</v>
      </c>
      <c r="Q5338" t="str">
        <f>"FARMÁCIA INDIANA LJ 61 (10027)"</f>
        <v>FARMÁCIA INDIANA LJ 61 (10027)</v>
      </c>
      <c r="R5338" t="str">
        <f t="shared" si="2513"/>
        <v>RECEITAS COM ENTREGAS (303)</v>
      </c>
      <c r="S5338">
        <v>2675</v>
      </c>
      <c r="T5338">
        <v>2051</v>
      </c>
      <c r="U5338" t="s">
        <v>19</v>
      </c>
    </row>
    <row r="5339" spans="1:21">
      <c r="A5339" t="str">
        <f t="shared" si="2506"/>
        <v>17/09/2025</v>
      </c>
      <c r="B5339" t="str">
        <f t="shared" si="2514"/>
        <v>ENTRADA</v>
      </c>
      <c r="C5339" t="str">
        <f t="shared" si="2510"/>
        <v>NFSE</v>
      </c>
      <c r="D5339" t="str">
        <f t="shared" si="2515"/>
        <v>3447</v>
      </c>
      <c r="E5339" t="str">
        <f t="shared" si="2507"/>
        <v>COM</v>
      </c>
      <c r="F5339" t="str">
        <f t="shared" si="2516"/>
        <v>FARMÁCIA INDIANA LJ 1 (10126)</v>
      </c>
      <c r="G5339" t="str">
        <f t="shared" si="2517"/>
        <v>Serv.Prest. 01/09/2025 a 07/09/2025 - RPS: 1212 - NFSe: 3447</v>
      </c>
      <c r="H5339" t="str">
        <f t="shared" si="2508"/>
        <v>17/09/2025</v>
      </c>
      <c r="I5339" t="str">
        <f t="shared" si="2518"/>
        <v>08/09/2025</v>
      </c>
      <c r="J5339" t="str">
        <f t="shared" si="2509"/>
        <v>17/09/2025</v>
      </c>
      <c r="M5339">
        <v>303</v>
      </c>
      <c r="N5339" t="str">
        <f t="shared" si="2512"/>
        <v>RECEITAS COM ENTREGAS</v>
      </c>
      <c r="P5339">
        <v>304.33999999999997</v>
      </c>
      <c r="Q5339" t="str">
        <f>"FARMÁCIA INDIANA LJ 62 (10028)"</f>
        <v>FARMÁCIA INDIANA LJ 62 (10028)</v>
      </c>
      <c r="R5339" t="str">
        <f t="shared" si="2513"/>
        <v>RECEITAS COM ENTREGAS (303)</v>
      </c>
      <c r="S5339">
        <v>2675</v>
      </c>
      <c r="T5339">
        <v>2051</v>
      </c>
      <c r="U5339" t="s">
        <v>19</v>
      </c>
    </row>
    <row r="5340" spans="1:21">
      <c r="A5340" t="str">
        <f t="shared" si="2506"/>
        <v>17/09/2025</v>
      </c>
      <c r="B5340" t="str">
        <f t="shared" si="2514"/>
        <v>ENTRADA</v>
      </c>
      <c r="C5340" t="str">
        <f t="shared" si="2510"/>
        <v>NFSE</v>
      </c>
      <c r="D5340" t="str">
        <f t="shared" si="2515"/>
        <v>3447</v>
      </c>
      <c r="E5340" t="str">
        <f t="shared" si="2507"/>
        <v>COM</v>
      </c>
      <c r="F5340" t="str">
        <f t="shared" si="2516"/>
        <v>FARMÁCIA INDIANA LJ 1 (10126)</v>
      </c>
      <c r="G5340" t="str">
        <f t="shared" si="2517"/>
        <v>Serv.Prest. 01/09/2025 a 07/09/2025 - RPS: 1212 - NFSe: 3447</v>
      </c>
      <c r="H5340" t="str">
        <f t="shared" si="2508"/>
        <v>17/09/2025</v>
      </c>
      <c r="I5340" t="str">
        <f t="shared" si="2518"/>
        <v>08/09/2025</v>
      </c>
      <c r="J5340" t="str">
        <f t="shared" si="2509"/>
        <v>17/09/2025</v>
      </c>
      <c r="M5340">
        <v>303</v>
      </c>
      <c r="N5340" t="str">
        <f t="shared" si="2512"/>
        <v>RECEITAS COM ENTREGAS</v>
      </c>
      <c r="P5340">
        <v>113.95</v>
      </c>
      <c r="Q5340" t="str">
        <f>"FARMÁCIA INDIANA LJ 64 (10029)"</f>
        <v>FARMÁCIA INDIANA LJ 64 (10029)</v>
      </c>
      <c r="R5340" t="str">
        <f t="shared" si="2513"/>
        <v>RECEITAS COM ENTREGAS (303)</v>
      </c>
      <c r="S5340">
        <v>2675</v>
      </c>
      <c r="T5340">
        <v>2051</v>
      </c>
      <c r="U5340" t="s">
        <v>19</v>
      </c>
    </row>
    <row r="5341" spans="1:21">
      <c r="A5341" t="str">
        <f t="shared" si="2506"/>
        <v>17/09/2025</v>
      </c>
      <c r="B5341" t="str">
        <f t="shared" si="2514"/>
        <v>ENTRADA</v>
      </c>
      <c r="C5341" t="str">
        <f t="shared" si="2510"/>
        <v>NFSE</v>
      </c>
      <c r="D5341" t="str">
        <f t="shared" si="2515"/>
        <v>3447</v>
      </c>
      <c r="E5341" t="str">
        <f t="shared" si="2507"/>
        <v>COM</v>
      </c>
      <c r="F5341" t="str">
        <f t="shared" si="2516"/>
        <v>FARMÁCIA INDIANA LJ 1 (10126)</v>
      </c>
      <c r="G5341" t="str">
        <f t="shared" si="2517"/>
        <v>Serv.Prest. 01/09/2025 a 07/09/2025 - RPS: 1212 - NFSe: 3447</v>
      </c>
      <c r="H5341" t="str">
        <f t="shared" si="2508"/>
        <v>17/09/2025</v>
      </c>
      <c r="I5341" t="str">
        <f t="shared" si="2518"/>
        <v>08/09/2025</v>
      </c>
      <c r="J5341" t="str">
        <f t="shared" si="2509"/>
        <v>17/09/2025</v>
      </c>
      <c r="M5341">
        <v>303</v>
      </c>
      <c r="N5341" t="str">
        <f t="shared" si="2512"/>
        <v>RECEITAS COM ENTREGAS</v>
      </c>
      <c r="P5341">
        <v>67.790000000000006</v>
      </c>
      <c r="Q5341" t="str">
        <f>"FARMÁCIA INDIANA LJ 97 (10040)"</f>
        <v>FARMÁCIA INDIANA LJ 97 (10040)</v>
      </c>
      <c r="R5341" t="str">
        <f t="shared" si="2513"/>
        <v>RECEITAS COM ENTREGAS (303)</v>
      </c>
      <c r="S5341">
        <v>2675</v>
      </c>
      <c r="T5341">
        <v>2051</v>
      </c>
      <c r="U5341" t="s">
        <v>19</v>
      </c>
    </row>
    <row r="5342" spans="1:21">
      <c r="A5342" t="str">
        <f t="shared" si="2506"/>
        <v>17/09/2025</v>
      </c>
      <c r="B5342" t="str">
        <f t="shared" si="2514"/>
        <v>ENTRADA</v>
      </c>
      <c r="C5342" t="str">
        <f t="shared" si="2510"/>
        <v>NFSE</v>
      </c>
      <c r="D5342" t="str">
        <f t="shared" si="2515"/>
        <v>3447</v>
      </c>
      <c r="E5342" t="str">
        <f t="shared" si="2507"/>
        <v>COM</v>
      </c>
      <c r="F5342" t="str">
        <f t="shared" si="2516"/>
        <v>FARMÁCIA INDIANA LJ 1 (10126)</v>
      </c>
      <c r="G5342" t="str">
        <f t="shared" si="2517"/>
        <v>Serv.Prest. 01/09/2025 a 07/09/2025 - RPS: 1212 - NFSe: 3447</v>
      </c>
      <c r="H5342" t="str">
        <f t="shared" si="2508"/>
        <v>17/09/2025</v>
      </c>
      <c r="I5342" t="str">
        <f t="shared" si="2518"/>
        <v>08/09/2025</v>
      </c>
      <c r="J5342" t="str">
        <f t="shared" si="2509"/>
        <v>17/09/2025</v>
      </c>
      <c r="M5342">
        <v>303</v>
      </c>
      <c r="N5342" t="str">
        <f t="shared" si="2512"/>
        <v>RECEITAS COM ENTREGAS</v>
      </c>
      <c r="P5342">
        <v>320.2</v>
      </c>
      <c r="Q5342" t="str">
        <f>"FARMÁCIA INDIANA LJ 100 (10042)"</f>
        <v>FARMÁCIA INDIANA LJ 100 (10042)</v>
      </c>
      <c r="R5342" t="str">
        <f t="shared" si="2513"/>
        <v>RECEITAS COM ENTREGAS (303)</v>
      </c>
      <c r="S5342">
        <v>2675</v>
      </c>
      <c r="T5342">
        <v>2051</v>
      </c>
      <c r="U5342" t="s">
        <v>19</v>
      </c>
    </row>
    <row r="5343" spans="1:21">
      <c r="A5343" t="str">
        <f t="shared" si="2506"/>
        <v>17/09/2025</v>
      </c>
      <c r="B5343" t="str">
        <f t="shared" si="2514"/>
        <v>ENTRADA</v>
      </c>
      <c r="C5343" t="str">
        <f t="shared" si="2510"/>
        <v>NFSE</v>
      </c>
      <c r="D5343" t="str">
        <f t="shared" si="2515"/>
        <v>3447</v>
      </c>
      <c r="E5343" t="str">
        <f t="shared" si="2507"/>
        <v>COM</v>
      </c>
      <c r="F5343" t="str">
        <f t="shared" si="2516"/>
        <v>FARMÁCIA INDIANA LJ 1 (10126)</v>
      </c>
      <c r="G5343" t="str">
        <f t="shared" si="2517"/>
        <v>Serv.Prest. 01/09/2025 a 07/09/2025 - RPS: 1212 - NFSe: 3447</v>
      </c>
      <c r="H5343" t="str">
        <f t="shared" si="2508"/>
        <v>17/09/2025</v>
      </c>
      <c r="I5343" t="str">
        <f t="shared" si="2518"/>
        <v>08/09/2025</v>
      </c>
      <c r="J5343" t="str">
        <f t="shared" si="2509"/>
        <v>17/09/2025</v>
      </c>
      <c r="M5343">
        <v>303</v>
      </c>
      <c r="N5343" t="str">
        <f t="shared" si="2512"/>
        <v>RECEITAS COM ENTREGAS</v>
      </c>
      <c r="P5343">
        <v>535.11</v>
      </c>
      <c r="Q5343" t="str">
        <f>"FARMÁCIA INDIANA LJ 101 (10043)"</f>
        <v>FARMÁCIA INDIANA LJ 101 (10043)</v>
      </c>
      <c r="R5343" t="str">
        <f t="shared" si="2513"/>
        <v>RECEITAS COM ENTREGAS (303)</v>
      </c>
      <c r="S5343">
        <v>2675</v>
      </c>
      <c r="T5343">
        <v>2051</v>
      </c>
      <c r="U5343" t="s">
        <v>19</v>
      </c>
    </row>
    <row r="5344" spans="1:21">
      <c r="A5344" t="str">
        <f t="shared" si="2506"/>
        <v>17/09/2025</v>
      </c>
      <c r="B5344" t="str">
        <f t="shared" si="2514"/>
        <v>ENTRADA</v>
      </c>
      <c r="C5344" t="str">
        <f t="shared" si="2510"/>
        <v>NFSE</v>
      </c>
      <c r="D5344" t="str">
        <f t="shared" si="2515"/>
        <v>3447</v>
      </c>
      <c r="E5344" t="str">
        <f t="shared" si="2507"/>
        <v>COM</v>
      </c>
      <c r="F5344" t="str">
        <f t="shared" si="2516"/>
        <v>FARMÁCIA INDIANA LJ 1 (10126)</v>
      </c>
      <c r="G5344" t="str">
        <f t="shared" si="2517"/>
        <v>Serv.Prest. 01/09/2025 a 07/09/2025 - RPS: 1212 - NFSe: 3447</v>
      </c>
      <c r="H5344" t="str">
        <f t="shared" si="2508"/>
        <v>17/09/2025</v>
      </c>
      <c r="I5344" t="str">
        <f t="shared" si="2518"/>
        <v>08/09/2025</v>
      </c>
      <c r="J5344" t="str">
        <f t="shared" si="2509"/>
        <v>17/09/2025</v>
      </c>
      <c r="M5344">
        <v>303</v>
      </c>
      <c r="N5344" t="str">
        <f t="shared" si="2512"/>
        <v>RECEITAS COM ENTREGAS</v>
      </c>
      <c r="P5344">
        <v>180.29</v>
      </c>
      <c r="Q5344" t="str">
        <f>"FARMÁCIA INDIANA LJ 103 (10044)"</f>
        <v>FARMÁCIA INDIANA LJ 103 (10044)</v>
      </c>
      <c r="R5344" t="str">
        <f t="shared" si="2513"/>
        <v>RECEITAS COM ENTREGAS (303)</v>
      </c>
      <c r="S5344">
        <v>2675</v>
      </c>
      <c r="T5344">
        <v>2051</v>
      </c>
      <c r="U5344" t="s">
        <v>19</v>
      </c>
    </row>
    <row r="5345" spans="1:21">
      <c r="A5345" t="str">
        <f t="shared" si="2506"/>
        <v>17/09/2025</v>
      </c>
      <c r="B5345" t="str">
        <f t="shared" si="2514"/>
        <v>ENTRADA</v>
      </c>
      <c r="C5345" t="str">
        <f t="shared" si="2510"/>
        <v>NFSE</v>
      </c>
      <c r="D5345" t="str">
        <f t="shared" si="2515"/>
        <v>3447</v>
      </c>
      <c r="E5345" t="str">
        <f t="shared" si="2507"/>
        <v>COM</v>
      </c>
      <c r="F5345" t="str">
        <f t="shared" si="2516"/>
        <v>FARMÁCIA INDIANA LJ 1 (10126)</v>
      </c>
      <c r="G5345" t="str">
        <f t="shared" si="2517"/>
        <v>Serv.Prest. 01/09/2025 a 07/09/2025 - RPS: 1212 - NFSe: 3447</v>
      </c>
      <c r="H5345" t="str">
        <f t="shared" si="2508"/>
        <v>17/09/2025</v>
      </c>
      <c r="I5345" t="str">
        <f t="shared" si="2518"/>
        <v>08/09/2025</v>
      </c>
      <c r="J5345" t="str">
        <f t="shared" si="2509"/>
        <v>17/09/2025</v>
      </c>
      <c r="M5345">
        <v>303</v>
      </c>
      <c r="N5345" t="str">
        <f t="shared" si="2512"/>
        <v>RECEITAS COM ENTREGAS</v>
      </c>
      <c r="P5345">
        <v>242.31</v>
      </c>
      <c r="Q5345" t="str">
        <f>"FARMÁCIA INDIANA LJ 109 (10047)"</f>
        <v>FARMÁCIA INDIANA LJ 109 (10047)</v>
      </c>
      <c r="R5345" t="str">
        <f t="shared" si="2513"/>
        <v>RECEITAS COM ENTREGAS (303)</v>
      </c>
      <c r="S5345">
        <v>2675</v>
      </c>
      <c r="T5345">
        <v>2051</v>
      </c>
      <c r="U5345" t="s">
        <v>19</v>
      </c>
    </row>
    <row r="5346" spans="1:21">
      <c r="A5346" t="str">
        <f t="shared" ref="A5346:A5377" si="2519">("17/09/2025")</f>
        <v>17/09/2025</v>
      </c>
      <c r="B5346" t="str">
        <f t="shared" si="2514"/>
        <v>ENTRADA</v>
      </c>
      <c r="C5346" t="str">
        <f t="shared" si="2510"/>
        <v>NFSE</v>
      </c>
      <c r="D5346" t="str">
        <f t="shared" si="2515"/>
        <v>3447</v>
      </c>
      <c r="E5346" t="str">
        <f t="shared" ref="E5346:E5377" si="2520">"COM"</f>
        <v>COM</v>
      </c>
      <c r="F5346" t="str">
        <f t="shared" si="2516"/>
        <v>FARMÁCIA INDIANA LJ 1 (10126)</v>
      </c>
      <c r="G5346" t="str">
        <f t="shared" si="2517"/>
        <v>Serv.Prest. 01/09/2025 a 07/09/2025 - RPS: 1212 - NFSe: 3447</v>
      </c>
      <c r="H5346" t="str">
        <f t="shared" ref="H5346:H5377" si="2521">("17/09/2025")</f>
        <v>17/09/2025</v>
      </c>
      <c r="I5346" t="str">
        <f t="shared" si="2518"/>
        <v>08/09/2025</v>
      </c>
      <c r="J5346" t="str">
        <f t="shared" ref="J5346:J5377" si="2522">("17/09/2025")</f>
        <v>17/09/2025</v>
      </c>
      <c r="M5346">
        <v>303</v>
      </c>
      <c r="N5346" t="str">
        <f t="shared" si="2512"/>
        <v>RECEITAS COM ENTREGAS</v>
      </c>
      <c r="P5346">
        <v>369.24</v>
      </c>
      <c r="Q5346" t="str">
        <f>"FARMÁCIA INDIANA LJ 110 (10048)"</f>
        <v>FARMÁCIA INDIANA LJ 110 (10048)</v>
      </c>
      <c r="R5346" t="str">
        <f t="shared" si="2513"/>
        <v>RECEITAS COM ENTREGAS (303)</v>
      </c>
      <c r="S5346">
        <v>2675</v>
      </c>
      <c r="T5346">
        <v>2051</v>
      </c>
      <c r="U5346" t="s">
        <v>19</v>
      </c>
    </row>
    <row r="5347" spans="1:21">
      <c r="A5347" t="str">
        <f t="shared" si="2519"/>
        <v>17/09/2025</v>
      </c>
      <c r="B5347" t="str">
        <f t="shared" si="2514"/>
        <v>ENTRADA</v>
      </c>
      <c r="C5347" t="str">
        <f t="shared" si="2510"/>
        <v>NFSE</v>
      </c>
      <c r="D5347" t="str">
        <f t="shared" si="2515"/>
        <v>3447</v>
      </c>
      <c r="E5347" t="str">
        <f t="shared" si="2520"/>
        <v>COM</v>
      </c>
      <c r="F5347" t="str">
        <f t="shared" si="2516"/>
        <v>FARMÁCIA INDIANA LJ 1 (10126)</v>
      </c>
      <c r="G5347" t="str">
        <f t="shared" si="2517"/>
        <v>Serv.Prest. 01/09/2025 a 07/09/2025 - RPS: 1212 - NFSe: 3447</v>
      </c>
      <c r="H5347" t="str">
        <f t="shared" si="2521"/>
        <v>17/09/2025</v>
      </c>
      <c r="I5347" t="str">
        <f t="shared" si="2518"/>
        <v>08/09/2025</v>
      </c>
      <c r="J5347" t="str">
        <f t="shared" si="2522"/>
        <v>17/09/2025</v>
      </c>
      <c r="M5347">
        <v>303</v>
      </c>
      <c r="N5347" t="str">
        <f t="shared" si="2512"/>
        <v>RECEITAS COM ENTREGAS</v>
      </c>
      <c r="P5347">
        <v>64.91</v>
      </c>
      <c r="Q5347" t="str">
        <f>"FARMÁCIA INDIANA LJ 111 (10049)"</f>
        <v>FARMÁCIA INDIANA LJ 111 (10049)</v>
      </c>
      <c r="R5347" t="str">
        <f t="shared" si="2513"/>
        <v>RECEITAS COM ENTREGAS (303)</v>
      </c>
      <c r="S5347">
        <v>2675</v>
      </c>
      <c r="T5347">
        <v>2051</v>
      </c>
      <c r="U5347" t="s">
        <v>19</v>
      </c>
    </row>
    <row r="5348" spans="1:21">
      <c r="A5348" t="str">
        <f t="shared" si="2519"/>
        <v>17/09/2025</v>
      </c>
      <c r="B5348" t="str">
        <f t="shared" si="2514"/>
        <v>ENTRADA</v>
      </c>
      <c r="C5348" t="str">
        <f t="shared" ref="C5348:C5379" si="2523">"NFSE"</f>
        <v>NFSE</v>
      </c>
      <c r="D5348" t="str">
        <f t="shared" si="2515"/>
        <v>3447</v>
      </c>
      <c r="E5348" t="str">
        <f t="shared" si="2520"/>
        <v>COM</v>
      </c>
      <c r="F5348" t="str">
        <f t="shared" si="2516"/>
        <v>FARMÁCIA INDIANA LJ 1 (10126)</v>
      </c>
      <c r="G5348" t="str">
        <f t="shared" si="2517"/>
        <v>Serv.Prest. 01/09/2025 a 07/09/2025 - RPS: 1212 - NFSe: 3447</v>
      </c>
      <c r="H5348" t="str">
        <f t="shared" si="2521"/>
        <v>17/09/2025</v>
      </c>
      <c r="I5348" t="str">
        <f t="shared" si="2518"/>
        <v>08/09/2025</v>
      </c>
      <c r="J5348" t="str">
        <f t="shared" si="2522"/>
        <v>17/09/2025</v>
      </c>
      <c r="M5348">
        <v>303</v>
      </c>
      <c r="N5348" t="str">
        <f t="shared" ref="N5348:N5379" si="2524">"RECEITAS COM ENTREGAS"</f>
        <v>RECEITAS COM ENTREGAS</v>
      </c>
      <c r="P5348">
        <v>160.1</v>
      </c>
      <c r="Q5348" t="str">
        <f>"FARMÁCIA INDIANA LJ 112 (10050)"</f>
        <v>FARMÁCIA INDIANA LJ 112 (10050)</v>
      </c>
      <c r="R5348" t="str">
        <f t="shared" ref="R5348:R5379" si="2525">"RECEITAS COM ENTREGAS (303)"</f>
        <v>RECEITAS COM ENTREGAS (303)</v>
      </c>
      <c r="S5348">
        <v>2675</v>
      </c>
      <c r="T5348">
        <v>2051</v>
      </c>
      <c r="U5348" t="s">
        <v>19</v>
      </c>
    </row>
    <row r="5349" spans="1:21">
      <c r="A5349" t="str">
        <f t="shared" si="2519"/>
        <v>17/09/2025</v>
      </c>
      <c r="B5349" t="str">
        <f t="shared" si="2514"/>
        <v>ENTRADA</v>
      </c>
      <c r="C5349" t="str">
        <f t="shared" si="2523"/>
        <v>NFSE</v>
      </c>
      <c r="D5349" t="str">
        <f t="shared" si="2515"/>
        <v>3447</v>
      </c>
      <c r="E5349" t="str">
        <f t="shared" si="2520"/>
        <v>COM</v>
      </c>
      <c r="F5349" t="str">
        <f t="shared" si="2516"/>
        <v>FARMÁCIA INDIANA LJ 1 (10126)</v>
      </c>
      <c r="G5349" t="str">
        <f t="shared" si="2517"/>
        <v>Serv.Prest. 01/09/2025 a 07/09/2025 - RPS: 1212 - NFSe: 3447</v>
      </c>
      <c r="H5349" t="str">
        <f t="shared" si="2521"/>
        <v>17/09/2025</v>
      </c>
      <c r="I5349" t="str">
        <f t="shared" si="2518"/>
        <v>08/09/2025</v>
      </c>
      <c r="J5349" t="str">
        <f t="shared" si="2522"/>
        <v>17/09/2025</v>
      </c>
      <c r="M5349">
        <v>303</v>
      </c>
      <c r="N5349" t="str">
        <f t="shared" si="2524"/>
        <v>RECEITAS COM ENTREGAS</v>
      </c>
      <c r="P5349">
        <v>160.1</v>
      </c>
      <c r="Q5349" t="str">
        <f>"FARMÁCIA INDIANA LJ 116 (10051)"</f>
        <v>FARMÁCIA INDIANA LJ 116 (10051)</v>
      </c>
      <c r="R5349" t="str">
        <f t="shared" si="2525"/>
        <v>RECEITAS COM ENTREGAS (303)</v>
      </c>
      <c r="S5349">
        <v>2675</v>
      </c>
      <c r="T5349">
        <v>2051</v>
      </c>
      <c r="U5349" t="s">
        <v>19</v>
      </c>
    </row>
    <row r="5350" spans="1:21">
      <c r="A5350" t="str">
        <f t="shared" si="2519"/>
        <v>17/09/2025</v>
      </c>
      <c r="B5350" t="str">
        <f t="shared" si="2514"/>
        <v>ENTRADA</v>
      </c>
      <c r="C5350" t="str">
        <f t="shared" si="2523"/>
        <v>NFSE</v>
      </c>
      <c r="D5350" t="str">
        <f t="shared" si="2515"/>
        <v>3447</v>
      </c>
      <c r="E5350" t="str">
        <f t="shared" si="2520"/>
        <v>COM</v>
      </c>
      <c r="F5350" t="str">
        <f t="shared" si="2516"/>
        <v>FARMÁCIA INDIANA LJ 1 (10126)</v>
      </c>
      <c r="G5350" t="str">
        <f t="shared" si="2517"/>
        <v>Serv.Prest. 01/09/2025 a 07/09/2025 - RPS: 1212 - NFSe: 3447</v>
      </c>
      <c r="H5350" t="str">
        <f t="shared" si="2521"/>
        <v>17/09/2025</v>
      </c>
      <c r="I5350" t="str">
        <f t="shared" si="2518"/>
        <v>08/09/2025</v>
      </c>
      <c r="J5350" t="str">
        <f t="shared" si="2522"/>
        <v>17/09/2025</v>
      </c>
      <c r="M5350">
        <v>303</v>
      </c>
      <c r="N5350" t="str">
        <f t="shared" si="2524"/>
        <v>RECEITAS COM ENTREGAS</v>
      </c>
      <c r="P5350">
        <v>161.54</v>
      </c>
      <c r="Q5350" t="str">
        <f>"FARMÁCIA INDIANA LJ 118 (10052)"</f>
        <v>FARMÁCIA INDIANA LJ 118 (10052)</v>
      </c>
      <c r="R5350" t="str">
        <f t="shared" si="2525"/>
        <v>RECEITAS COM ENTREGAS (303)</v>
      </c>
      <c r="S5350">
        <v>2675</v>
      </c>
      <c r="T5350">
        <v>2051</v>
      </c>
      <c r="U5350" t="s">
        <v>19</v>
      </c>
    </row>
    <row r="5351" spans="1:21">
      <c r="A5351" t="str">
        <f t="shared" si="2519"/>
        <v>17/09/2025</v>
      </c>
      <c r="B5351" t="str">
        <f t="shared" si="2514"/>
        <v>ENTRADA</v>
      </c>
      <c r="C5351" t="str">
        <f t="shared" si="2523"/>
        <v>NFSE</v>
      </c>
      <c r="D5351" t="str">
        <f t="shared" si="2515"/>
        <v>3447</v>
      </c>
      <c r="E5351" t="str">
        <f t="shared" si="2520"/>
        <v>COM</v>
      </c>
      <c r="F5351" t="str">
        <f t="shared" si="2516"/>
        <v>FARMÁCIA INDIANA LJ 1 (10126)</v>
      </c>
      <c r="G5351" t="str">
        <f t="shared" si="2517"/>
        <v>Serv.Prest. 01/09/2025 a 07/09/2025 - RPS: 1212 - NFSe: 3447</v>
      </c>
      <c r="H5351" t="str">
        <f t="shared" si="2521"/>
        <v>17/09/2025</v>
      </c>
      <c r="I5351" t="str">
        <f t="shared" si="2518"/>
        <v>08/09/2025</v>
      </c>
      <c r="J5351" t="str">
        <f t="shared" si="2522"/>
        <v>17/09/2025</v>
      </c>
      <c r="M5351">
        <v>303</v>
      </c>
      <c r="N5351" t="str">
        <f t="shared" si="2524"/>
        <v>RECEITAS COM ENTREGAS</v>
      </c>
      <c r="P5351">
        <v>160.1</v>
      </c>
      <c r="Q5351" t="str">
        <f>"FARMÁCIA INDIANA LJ 121 (10054)"</f>
        <v>FARMÁCIA INDIANA LJ 121 (10054)</v>
      </c>
      <c r="R5351" t="str">
        <f t="shared" si="2525"/>
        <v>RECEITAS COM ENTREGAS (303)</v>
      </c>
      <c r="S5351">
        <v>2675</v>
      </c>
      <c r="T5351">
        <v>2051</v>
      </c>
      <c r="U5351" t="s">
        <v>19</v>
      </c>
    </row>
    <row r="5352" spans="1:21">
      <c r="A5352" t="str">
        <f t="shared" si="2519"/>
        <v>17/09/2025</v>
      </c>
      <c r="B5352" t="str">
        <f t="shared" si="2514"/>
        <v>ENTRADA</v>
      </c>
      <c r="C5352" t="str">
        <f t="shared" si="2523"/>
        <v>NFSE</v>
      </c>
      <c r="D5352" t="str">
        <f t="shared" si="2515"/>
        <v>3447</v>
      </c>
      <c r="E5352" t="str">
        <f t="shared" si="2520"/>
        <v>COM</v>
      </c>
      <c r="F5352" t="str">
        <f t="shared" si="2516"/>
        <v>FARMÁCIA INDIANA LJ 1 (10126)</v>
      </c>
      <c r="G5352" t="str">
        <f t="shared" si="2517"/>
        <v>Serv.Prest. 01/09/2025 a 07/09/2025 - RPS: 1212 - NFSe: 3447</v>
      </c>
      <c r="H5352" t="str">
        <f t="shared" si="2521"/>
        <v>17/09/2025</v>
      </c>
      <c r="I5352" t="str">
        <f t="shared" si="2518"/>
        <v>08/09/2025</v>
      </c>
      <c r="J5352" t="str">
        <f t="shared" si="2522"/>
        <v>17/09/2025</v>
      </c>
      <c r="M5352">
        <v>303</v>
      </c>
      <c r="N5352" t="str">
        <f t="shared" si="2524"/>
        <v>RECEITAS COM ENTREGAS</v>
      </c>
      <c r="P5352">
        <v>160.1</v>
      </c>
      <c r="Q5352" t="str">
        <f>"FARMÁCIA INDIANA LJ 128 (10057)"</f>
        <v>FARMÁCIA INDIANA LJ 128 (10057)</v>
      </c>
      <c r="R5352" t="str">
        <f t="shared" si="2525"/>
        <v>RECEITAS COM ENTREGAS (303)</v>
      </c>
      <c r="S5352">
        <v>2675</v>
      </c>
      <c r="T5352">
        <v>2051</v>
      </c>
      <c r="U5352" t="s">
        <v>19</v>
      </c>
    </row>
    <row r="5353" spans="1:21">
      <c r="A5353" t="str">
        <f t="shared" si="2519"/>
        <v>17/09/2025</v>
      </c>
      <c r="B5353" t="str">
        <f t="shared" si="2514"/>
        <v>ENTRADA</v>
      </c>
      <c r="C5353" t="str">
        <f t="shared" si="2523"/>
        <v>NFSE</v>
      </c>
      <c r="D5353" t="str">
        <f t="shared" si="2515"/>
        <v>3447</v>
      </c>
      <c r="E5353" t="str">
        <f t="shared" si="2520"/>
        <v>COM</v>
      </c>
      <c r="F5353" t="str">
        <f t="shared" si="2516"/>
        <v>FARMÁCIA INDIANA LJ 1 (10126)</v>
      </c>
      <c r="G5353" t="str">
        <f t="shared" si="2517"/>
        <v>Serv.Prest. 01/09/2025 a 07/09/2025 - RPS: 1212 - NFSe: 3447</v>
      </c>
      <c r="H5353" t="str">
        <f t="shared" si="2521"/>
        <v>17/09/2025</v>
      </c>
      <c r="I5353" t="str">
        <f t="shared" si="2518"/>
        <v>08/09/2025</v>
      </c>
      <c r="J5353" t="str">
        <f t="shared" si="2522"/>
        <v>17/09/2025</v>
      </c>
      <c r="M5353">
        <v>303</v>
      </c>
      <c r="N5353" t="str">
        <f t="shared" si="2524"/>
        <v>RECEITAS COM ENTREGAS</v>
      </c>
      <c r="P5353">
        <v>72.12</v>
      </c>
      <c r="Q5353" t="str">
        <f>"FARMÁCIA INDIANA LJ 140 (10064)"</f>
        <v>FARMÁCIA INDIANA LJ 140 (10064)</v>
      </c>
      <c r="R5353" t="str">
        <f t="shared" si="2525"/>
        <v>RECEITAS COM ENTREGAS (303)</v>
      </c>
      <c r="S5353">
        <v>2675</v>
      </c>
      <c r="T5353">
        <v>2051</v>
      </c>
      <c r="U5353" t="s">
        <v>19</v>
      </c>
    </row>
    <row r="5354" spans="1:21">
      <c r="A5354" t="str">
        <f t="shared" si="2519"/>
        <v>17/09/2025</v>
      </c>
      <c r="B5354" t="str">
        <f t="shared" si="2514"/>
        <v>ENTRADA</v>
      </c>
      <c r="C5354" t="str">
        <f t="shared" si="2523"/>
        <v>NFSE</v>
      </c>
      <c r="D5354" t="str">
        <f t="shared" si="2515"/>
        <v>3447</v>
      </c>
      <c r="E5354" t="str">
        <f t="shared" si="2520"/>
        <v>COM</v>
      </c>
      <c r="F5354" t="str">
        <f t="shared" si="2516"/>
        <v>FARMÁCIA INDIANA LJ 1 (10126)</v>
      </c>
      <c r="G5354" t="str">
        <f t="shared" si="2517"/>
        <v>Serv.Prest. 01/09/2025 a 07/09/2025 - RPS: 1212 - NFSe: 3447</v>
      </c>
      <c r="H5354" t="str">
        <f t="shared" si="2521"/>
        <v>17/09/2025</v>
      </c>
      <c r="I5354" t="str">
        <f t="shared" si="2518"/>
        <v>08/09/2025</v>
      </c>
      <c r="J5354" t="str">
        <f t="shared" si="2522"/>
        <v>17/09/2025</v>
      </c>
      <c r="M5354">
        <v>303</v>
      </c>
      <c r="N5354" t="str">
        <f t="shared" si="2524"/>
        <v>RECEITAS COM ENTREGAS</v>
      </c>
      <c r="P5354">
        <v>20.190000000000001</v>
      </c>
      <c r="Q5354" t="str">
        <f>"FARMÁCIA INDIANA LJ 141 (10065)"</f>
        <v>FARMÁCIA INDIANA LJ 141 (10065)</v>
      </c>
      <c r="R5354" t="str">
        <f t="shared" si="2525"/>
        <v>RECEITAS COM ENTREGAS (303)</v>
      </c>
      <c r="S5354">
        <v>2675</v>
      </c>
      <c r="T5354">
        <v>2051</v>
      </c>
      <c r="U5354" t="s">
        <v>19</v>
      </c>
    </row>
    <row r="5355" spans="1:21">
      <c r="A5355" t="str">
        <f t="shared" si="2519"/>
        <v>17/09/2025</v>
      </c>
      <c r="B5355" t="str">
        <f t="shared" si="2514"/>
        <v>ENTRADA</v>
      </c>
      <c r="C5355" t="str">
        <f t="shared" si="2523"/>
        <v>NFSE</v>
      </c>
      <c r="D5355" t="str">
        <f t="shared" si="2515"/>
        <v>3447</v>
      </c>
      <c r="E5355" t="str">
        <f t="shared" si="2520"/>
        <v>COM</v>
      </c>
      <c r="F5355" t="str">
        <f t="shared" si="2516"/>
        <v>FARMÁCIA INDIANA LJ 1 (10126)</v>
      </c>
      <c r="G5355" t="str">
        <f t="shared" si="2517"/>
        <v>Serv.Prest. 01/09/2025 a 07/09/2025 - RPS: 1212 - NFSe: 3447</v>
      </c>
      <c r="H5355" t="str">
        <f t="shared" si="2521"/>
        <v>17/09/2025</v>
      </c>
      <c r="I5355" t="str">
        <f t="shared" si="2518"/>
        <v>08/09/2025</v>
      </c>
      <c r="J5355" t="str">
        <f t="shared" si="2522"/>
        <v>17/09/2025</v>
      </c>
      <c r="M5355">
        <v>303</v>
      </c>
      <c r="N5355" t="str">
        <f t="shared" si="2524"/>
        <v>RECEITAS COM ENTREGAS</v>
      </c>
      <c r="P5355">
        <v>731.27</v>
      </c>
      <c r="Q5355" t="str">
        <f>"FARMÁCIA INDIANA LJ 142 (10066)"</f>
        <v>FARMÁCIA INDIANA LJ 142 (10066)</v>
      </c>
      <c r="R5355" t="str">
        <f t="shared" si="2525"/>
        <v>RECEITAS COM ENTREGAS (303)</v>
      </c>
      <c r="S5355">
        <v>2675</v>
      </c>
      <c r="T5355">
        <v>2051</v>
      </c>
      <c r="U5355" t="s">
        <v>19</v>
      </c>
    </row>
    <row r="5356" spans="1:21">
      <c r="A5356" t="str">
        <f t="shared" si="2519"/>
        <v>17/09/2025</v>
      </c>
      <c r="B5356" t="str">
        <f t="shared" si="2514"/>
        <v>ENTRADA</v>
      </c>
      <c r="C5356" t="str">
        <f t="shared" si="2523"/>
        <v>NFSE</v>
      </c>
      <c r="D5356" t="str">
        <f t="shared" si="2515"/>
        <v>3447</v>
      </c>
      <c r="E5356" t="str">
        <f t="shared" si="2520"/>
        <v>COM</v>
      </c>
      <c r="F5356" t="str">
        <f t="shared" si="2516"/>
        <v>FARMÁCIA INDIANA LJ 1 (10126)</v>
      </c>
      <c r="G5356" t="str">
        <f t="shared" si="2517"/>
        <v>Serv.Prest. 01/09/2025 a 07/09/2025 - RPS: 1212 - NFSe: 3447</v>
      </c>
      <c r="H5356" t="str">
        <f t="shared" si="2521"/>
        <v>17/09/2025</v>
      </c>
      <c r="I5356" t="str">
        <f t="shared" si="2518"/>
        <v>08/09/2025</v>
      </c>
      <c r="J5356" t="str">
        <f t="shared" si="2522"/>
        <v>17/09/2025</v>
      </c>
      <c r="M5356">
        <v>303</v>
      </c>
      <c r="N5356" t="str">
        <f t="shared" si="2524"/>
        <v>RECEITAS COM ENTREGAS</v>
      </c>
      <c r="P5356">
        <v>67.790000000000006</v>
      </c>
      <c r="Q5356" t="str">
        <f>"FARMÁCIA INDIANA LJ 143 (10067)"</f>
        <v>FARMÁCIA INDIANA LJ 143 (10067)</v>
      </c>
      <c r="R5356" t="str">
        <f t="shared" si="2525"/>
        <v>RECEITAS COM ENTREGAS (303)</v>
      </c>
      <c r="S5356">
        <v>2675</v>
      </c>
      <c r="T5356">
        <v>2051</v>
      </c>
      <c r="U5356" t="s">
        <v>19</v>
      </c>
    </row>
    <row r="5357" spans="1:21">
      <c r="A5357" t="str">
        <f t="shared" si="2519"/>
        <v>17/09/2025</v>
      </c>
      <c r="B5357" t="str">
        <f t="shared" si="2514"/>
        <v>ENTRADA</v>
      </c>
      <c r="C5357" t="str">
        <f t="shared" si="2523"/>
        <v>NFSE</v>
      </c>
      <c r="D5357" t="str">
        <f t="shared" si="2515"/>
        <v>3447</v>
      </c>
      <c r="E5357" t="str">
        <f t="shared" si="2520"/>
        <v>COM</v>
      </c>
      <c r="F5357" t="str">
        <f t="shared" si="2516"/>
        <v>FARMÁCIA INDIANA LJ 1 (10126)</v>
      </c>
      <c r="G5357" t="str">
        <f t="shared" si="2517"/>
        <v>Serv.Prest. 01/09/2025 a 07/09/2025 - RPS: 1212 - NFSe: 3447</v>
      </c>
      <c r="H5357" t="str">
        <f t="shared" si="2521"/>
        <v>17/09/2025</v>
      </c>
      <c r="I5357" t="str">
        <f t="shared" si="2518"/>
        <v>08/09/2025</v>
      </c>
      <c r="J5357" t="str">
        <f t="shared" si="2522"/>
        <v>17/09/2025</v>
      </c>
      <c r="M5357">
        <v>303</v>
      </c>
      <c r="N5357" t="str">
        <f t="shared" si="2524"/>
        <v>RECEITAS COM ENTREGAS</v>
      </c>
      <c r="P5357">
        <v>408.18</v>
      </c>
      <c r="Q5357" t="str">
        <f>"FARMÁCIA INDIANA LJ 152 (10069)"</f>
        <v>FARMÁCIA INDIANA LJ 152 (10069)</v>
      </c>
      <c r="R5357" t="str">
        <f t="shared" si="2525"/>
        <v>RECEITAS COM ENTREGAS (303)</v>
      </c>
      <c r="S5357">
        <v>2675</v>
      </c>
      <c r="T5357">
        <v>2051</v>
      </c>
      <c r="U5357" t="s">
        <v>19</v>
      </c>
    </row>
    <row r="5358" spans="1:21">
      <c r="A5358" t="str">
        <f t="shared" si="2519"/>
        <v>17/09/2025</v>
      </c>
      <c r="B5358" t="str">
        <f t="shared" si="2514"/>
        <v>ENTRADA</v>
      </c>
      <c r="C5358" t="str">
        <f t="shared" si="2523"/>
        <v>NFSE</v>
      </c>
      <c r="D5358" t="str">
        <f t="shared" si="2515"/>
        <v>3447</v>
      </c>
      <c r="E5358" t="str">
        <f t="shared" si="2520"/>
        <v>COM</v>
      </c>
      <c r="F5358" t="str">
        <f t="shared" si="2516"/>
        <v>FARMÁCIA INDIANA LJ 1 (10126)</v>
      </c>
      <c r="G5358" t="str">
        <f t="shared" si="2517"/>
        <v>Serv.Prest. 01/09/2025 a 07/09/2025 - RPS: 1212 - NFSe: 3447</v>
      </c>
      <c r="H5358" t="str">
        <f t="shared" si="2521"/>
        <v>17/09/2025</v>
      </c>
      <c r="I5358" t="str">
        <f t="shared" si="2518"/>
        <v>08/09/2025</v>
      </c>
      <c r="J5358" t="str">
        <f t="shared" si="2522"/>
        <v>17/09/2025</v>
      </c>
      <c r="M5358">
        <v>303</v>
      </c>
      <c r="N5358" t="str">
        <f t="shared" si="2524"/>
        <v>RECEITAS COM ENTREGAS</v>
      </c>
      <c r="P5358">
        <v>108.18</v>
      </c>
      <c r="Q5358" t="str">
        <f>"FARMÁCIA INDIANA LJ 154 (10070)"</f>
        <v>FARMÁCIA INDIANA LJ 154 (10070)</v>
      </c>
      <c r="R5358" t="str">
        <f t="shared" si="2525"/>
        <v>RECEITAS COM ENTREGAS (303)</v>
      </c>
      <c r="S5358">
        <v>2675</v>
      </c>
      <c r="T5358">
        <v>2051</v>
      </c>
      <c r="U5358" t="s">
        <v>19</v>
      </c>
    </row>
    <row r="5359" spans="1:21">
      <c r="A5359" t="str">
        <f t="shared" si="2519"/>
        <v>17/09/2025</v>
      </c>
      <c r="B5359" t="str">
        <f t="shared" si="2514"/>
        <v>ENTRADA</v>
      </c>
      <c r="C5359" t="str">
        <f t="shared" si="2523"/>
        <v>NFSE</v>
      </c>
      <c r="D5359" t="str">
        <f t="shared" si="2515"/>
        <v>3447</v>
      </c>
      <c r="E5359" t="str">
        <f t="shared" si="2520"/>
        <v>COM</v>
      </c>
      <c r="F5359" t="str">
        <f t="shared" si="2516"/>
        <v>FARMÁCIA INDIANA LJ 1 (10126)</v>
      </c>
      <c r="G5359" t="str">
        <f t="shared" si="2517"/>
        <v>Serv.Prest. 01/09/2025 a 07/09/2025 - RPS: 1212 - NFSe: 3447</v>
      </c>
      <c r="H5359" t="str">
        <f t="shared" si="2521"/>
        <v>17/09/2025</v>
      </c>
      <c r="I5359" t="str">
        <f t="shared" si="2518"/>
        <v>08/09/2025</v>
      </c>
      <c r="J5359" t="str">
        <f t="shared" si="2522"/>
        <v>17/09/2025</v>
      </c>
      <c r="M5359">
        <v>303</v>
      </c>
      <c r="N5359" t="str">
        <f t="shared" si="2524"/>
        <v>RECEITAS COM ENTREGAS</v>
      </c>
      <c r="P5359">
        <v>343.28</v>
      </c>
      <c r="Q5359" t="str">
        <f>"FARMÁCIA INDIANA LJ 171 (10074)"</f>
        <v>FARMÁCIA INDIANA LJ 171 (10074)</v>
      </c>
      <c r="R5359" t="str">
        <f t="shared" si="2525"/>
        <v>RECEITAS COM ENTREGAS (303)</v>
      </c>
      <c r="S5359">
        <v>2675</v>
      </c>
      <c r="T5359">
        <v>2051</v>
      </c>
      <c r="U5359" t="s">
        <v>19</v>
      </c>
    </row>
    <row r="5360" spans="1:21">
      <c r="A5360" t="str">
        <f t="shared" si="2519"/>
        <v>17/09/2025</v>
      </c>
      <c r="B5360" t="str">
        <f t="shared" si="2514"/>
        <v>ENTRADA</v>
      </c>
      <c r="C5360" t="str">
        <f t="shared" si="2523"/>
        <v>NFSE</v>
      </c>
      <c r="D5360" t="str">
        <f t="shared" si="2515"/>
        <v>3447</v>
      </c>
      <c r="E5360" t="str">
        <f t="shared" si="2520"/>
        <v>COM</v>
      </c>
      <c r="F5360" t="str">
        <f t="shared" si="2516"/>
        <v>FARMÁCIA INDIANA LJ 1 (10126)</v>
      </c>
      <c r="G5360" t="str">
        <f t="shared" si="2517"/>
        <v>Serv.Prest. 01/09/2025 a 07/09/2025 - RPS: 1212 - NFSe: 3447</v>
      </c>
      <c r="H5360" t="str">
        <f t="shared" si="2521"/>
        <v>17/09/2025</v>
      </c>
      <c r="I5360" t="str">
        <f t="shared" si="2518"/>
        <v>08/09/2025</v>
      </c>
      <c r="J5360" t="str">
        <f t="shared" si="2522"/>
        <v>17/09/2025</v>
      </c>
      <c r="M5360">
        <v>303</v>
      </c>
      <c r="N5360" t="str">
        <f t="shared" si="2524"/>
        <v>RECEITAS COM ENTREGAS</v>
      </c>
      <c r="P5360">
        <v>131.25</v>
      </c>
      <c r="Q5360" t="str">
        <f>"FARMÁCIA INDIANA LJ 175 (10076)"</f>
        <v>FARMÁCIA INDIANA LJ 175 (10076)</v>
      </c>
      <c r="R5360" t="str">
        <f t="shared" si="2525"/>
        <v>RECEITAS COM ENTREGAS (303)</v>
      </c>
      <c r="S5360">
        <v>2675</v>
      </c>
      <c r="T5360">
        <v>2051</v>
      </c>
      <c r="U5360" t="s">
        <v>19</v>
      </c>
    </row>
    <row r="5361" spans="1:21">
      <c r="A5361" t="str">
        <f t="shared" si="2519"/>
        <v>17/09/2025</v>
      </c>
      <c r="B5361" t="str">
        <f t="shared" si="2514"/>
        <v>ENTRADA</v>
      </c>
      <c r="C5361" t="str">
        <f t="shared" si="2523"/>
        <v>NFSE</v>
      </c>
      <c r="D5361" t="str">
        <f t="shared" si="2515"/>
        <v>3447</v>
      </c>
      <c r="E5361" t="str">
        <f t="shared" si="2520"/>
        <v>COM</v>
      </c>
      <c r="F5361" t="str">
        <f t="shared" si="2516"/>
        <v>FARMÁCIA INDIANA LJ 1 (10126)</v>
      </c>
      <c r="G5361" t="str">
        <f t="shared" si="2517"/>
        <v>Serv.Prest. 01/09/2025 a 07/09/2025 - RPS: 1212 - NFSe: 3447</v>
      </c>
      <c r="H5361" t="str">
        <f t="shared" si="2521"/>
        <v>17/09/2025</v>
      </c>
      <c r="I5361" t="str">
        <f t="shared" ref="I5361:I5389" si="2526">("08/09/2025")</f>
        <v>08/09/2025</v>
      </c>
      <c r="J5361" t="str">
        <f t="shared" si="2522"/>
        <v>17/09/2025</v>
      </c>
      <c r="M5361">
        <v>303</v>
      </c>
      <c r="N5361" t="str">
        <f t="shared" si="2524"/>
        <v>RECEITAS COM ENTREGAS</v>
      </c>
      <c r="P5361">
        <v>111.06</v>
      </c>
      <c r="Q5361" t="str">
        <f>"FARMÁCIA INDIANA LJ 178 (10077)"</f>
        <v>FARMÁCIA INDIANA LJ 178 (10077)</v>
      </c>
      <c r="R5361" t="str">
        <f t="shared" si="2525"/>
        <v>RECEITAS COM ENTREGAS (303)</v>
      </c>
      <c r="S5361">
        <v>2675</v>
      </c>
      <c r="T5361">
        <v>2051</v>
      </c>
      <c r="U5361" t="s">
        <v>19</v>
      </c>
    </row>
    <row r="5362" spans="1:21">
      <c r="A5362" t="str">
        <f t="shared" si="2519"/>
        <v>17/09/2025</v>
      </c>
      <c r="B5362" t="str">
        <f t="shared" si="2514"/>
        <v>ENTRADA</v>
      </c>
      <c r="C5362" t="str">
        <f t="shared" si="2523"/>
        <v>NFSE</v>
      </c>
      <c r="D5362" t="str">
        <f t="shared" si="2515"/>
        <v>3447</v>
      </c>
      <c r="E5362" t="str">
        <f t="shared" si="2520"/>
        <v>COM</v>
      </c>
      <c r="F5362" t="str">
        <f t="shared" si="2516"/>
        <v>FARMÁCIA INDIANA LJ 1 (10126)</v>
      </c>
      <c r="G5362" t="str">
        <f t="shared" si="2517"/>
        <v>Serv.Prest. 01/09/2025 a 07/09/2025 - RPS: 1212 - NFSe: 3447</v>
      </c>
      <c r="H5362" t="str">
        <f t="shared" si="2521"/>
        <v>17/09/2025</v>
      </c>
      <c r="I5362" t="str">
        <f t="shared" si="2526"/>
        <v>08/09/2025</v>
      </c>
      <c r="J5362" t="str">
        <f t="shared" si="2522"/>
        <v>17/09/2025</v>
      </c>
      <c r="M5362">
        <v>303</v>
      </c>
      <c r="N5362" t="str">
        <f t="shared" si="2524"/>
        <v>RECEITAS COM ENTREGAS</v>
      </c>
      <c r="P5362">
        <v>80.77</v>
      </c>
      <c r="Q5362" t="str">
        <f>"FARMÁCIA INDIANA LJ 182 (10079)"</f>
        <v>FARMÁCIA INDIANA LJ 182 (10079)</v>
      </c>
      <c r="R5362" t="str">
        <f t="shared" si="2525"/>
        <v>RECEITAS COM ENTREGAS (303)</v>
      </c>
      <c r="S5362">
        <v>2675</v>
      </c>
      <c r="T5362">
        <v>2051</v>
      </c>
      <c r="U5362" t="s">
        <v>19</v>
      </c>
    </row>
    <row r="5363" spans="1:21">
      <c r="A5363" t="str">
        <f t="shared" si="2519"/>
        <v>17/09/2025</v>
      </c>
      <c r="B5363" t="str">
        <f t="shared" si="2514"/>
        <v>ENTRADA</v>
      </c>
      <c r="C5363" t="str">
        <f t="shared" si="2523"/>
        <v>NFSE</v>
      </c>
      <c r="D5363" t="str">
        <f t="shared" si="2515"/>
        <v>3447</v>
      </c>
      <c r="E5363" t="str">
        <f t="shared" si="2520"/>
        <v>COM</v>
      </c>
      <c r="F5363" t="str">
        <f t="shared" si="2516"/>
        <v>FARMÁCIA INDIANA LJ 1 (10126)</v>
      </c>
      <c r="G5363" t="str">
        <f t="shared" si="2517"/>
        <v>Serv.Prest. 01/09/2025 a 07/09/2025 - RPS: 1212 - NFSe: 3447</v>
      </c>
      <c r="H5363" t="str">
        <f t="shared" si="2521"/>
        <v>17/09/2025</v>
      </c>
      <c r="I5363" t="str">
        <f t="shared" si="2526"/>
        <v>08/09/2025</v>
      </c>
      <c r="J5363" t="str">
        <f t="shared" si="2522"/>
        <v>17/09/2025</v>
      </c>
      <c r="M5363">
        <v>303</v>
      </c>
      <c r="N5363" t="str">
        <f t="shared" si="2524"/>
        <v>RECEITAS COM ENTREGAS</v>
      </c>
      <c r="P5363">
        <v>40.39</v>
      </c>
      <c r="Q5363" t="str">
        <f>"FARMÁCIA INDIANA LJ 184 (10080)"</f>
        <v>FARMÁCIA INDIANA LJ 184 (10080)</v>
      </c>
      <c r="R5363" t="str">
        <f t="shared" si="2525"/>
        <v>RECEITAS COM ENTREGAS (303)</v>
      </c>
      <c r="S5363">
        <v>2675</v>
      </c>
      <c r="T5363">
        <v>2051</v>
      </c>
      <c r="U5363" t="s">
        <v>19</v>
      </c>
    </row>
    <row r="5364" spans="1:21">
      <c r="A5364" t="str">
        <f t="shared" si="2519"/>
        <v>17/09/2025</v>
      </c>
      <c r="B5364" t="str">
        <f t="shared" si="2514"/>
        <v>ENTRADA</v>
      </c>
      <c r="C5364" t="str">
        <f t="shared" si="2523"/>
        <v>NFSE</v>
      </c>
      <c r="D5364" t="str">
        <f t="shared" si="2515"/>
        <v>3447</v>
      </c>
      <c r="E5364" t="str">
        <f t="shared" si="2520"/>
        <v>COM</v>
      </c>
      <c r="F5364" t="str">
        <f t="shared" si="2516"/>
        <v>FARMÁCIA INDIANA LJ 1 (10126)</v>
      </c>
      <c r="G5364" t="str">
        <f t="shared" si="2517"/>
        <v>Serv.Prest. 01/09/2025 a 07/09/2025 - RPS: 1212 - NFSe: 3447</v>
      </c>
      <c r="H5364" t="str">
        <f t="shared" si="2521"/>
        <v>17/09/2025</v>
      </c>
      <c r="I5364" t="str">
        <f t="shared" si="2526"/>
        <v>08/09/2025</v>
      </c>
      <c r="J5364" t="str">
        <f t="shared" si="2522"/>
        <v>17/09/2025</v>
      </c>
      <c r="M5364">
        <v>303</v>
      </c>
      <c r="N5364" t="str">
        <f t="shared" si="2524"/>
        <v>RECEITAS COM ENTREGAS</v>
      </c>
      <c r="P5364">
        <v>80.77</v>
      </c>
      <c r="Q5364" t="str">
        <f>"FARMÁCIA INDIANA LJ 186 (10081)"</f>
        <v>FARMÁCIA INDIANA LJ 186 (10081)</v>
      </c>
      <c r="R5364" t="str">
        <f t="shared" si="2525"/>
        <v>RECEITAS COM ENTREGAS (303)</v>
      </c>
      <c r="S5364">
        <v>2675</v>
      </c>
      <c r="T5364">
        <v>2051</v>
      </c>
      <c r="U5364" t="s">
        <v>19</v>
      </c>
    </row>
    <row r="5365" spans="1:21">
      <c r="A5365" t="str">
        <f t="shared" si="2519"/>
        <v>17/09/2025</v>
      </c>
      <c r="B5365" t="str">
        <f t="shared" si="2514"/>
        <v>ENTRADA</v>
      </c>
      <c r="C5365" t="str">
        <f t="shared" si="2523"/>
        <v>NFSE</v>
      </c>
      <c r="D5365" t="str">
        <f t="shared" si="2515"/>
        <v>3447</v>
      </c>
      <c r="E5365" t="str">
        <f t="shared" si="2520"/>
        <v>COM</v>
      </c>
      <c r="F5365" t="str">
        <f t="shared" si="2516"/>
        <v>FARMÁCIA INDIANA LJ 1 (10126)</v>
      </c>
      <c r="G5365" t="str">
        <f t="shared" si="2517"/>
        <v>Serv.Prest. 01/09/2025 a 07/09/2025 - RPS: 1212 - NFSe: 3447</v>
      </c>
      <c r="H5365" t="str">
        <f t="shared" si="2521"/>
        <v>17/09/2025</v>
      </c>
      <c r="I5365" t="str">
        <f t="shared" si="2526"/>
        <v>08/09/2025</v>
      </c>
      <c r="J5365" t="str">
        <f t="shared" si="2522"/>
        <v>17/09/2025</v>
      </c>
      <c r="M5365">
        <v>303</v>
      </c>
      <c r="N5365" t="str">
        <f t="shared" si="2524"/>
        <v>RECEITAS COM ENTREGAS</v>
      </c>
      <c r="P5365">
        <v>158.66</v>
      </c>
      <c r="Q5365" t="str">
        <f>"FARMÁCIA INDIANA LJ 192 (10082)"</f>
        <v>FARMÁCIA INDIANA LJ 192 (10082)</v>
      </c>
      <c r="R5365" t="str">
        <f t="shared" si="2525"/>
        <v>RECEITAS COM ENTREGAS (303)</v>
      </c>
      <c r="S5365">
        <v>2675</v>
      </c>
      <c r="T5365">
        <v>2051</v>
      </c>
      <c r="U5365" t="s">
        <v>19</v>
      </c>
    </row>
    <row r="5366" spans="1:21">
      <c r="A5366" t="str">
        <f t="shared" si="2519"/>
        <v>17/09/2025</v>
      </c>
      <c r="B5366" t="str">
        <f t="shared" si="2514"/>
        <v>ENTRADA</v>
      </c>
      <c r="C5366" t="str">
        <f t="shared" si="2523"/>
        <v>NFSE</v>
      </c>
      <c r="D5366" t="str">
        <f t="shared" si="2515"/>
        <v>3447</v>
      </c>
      <c r="E5366" t="str">
        <f t="shared" si="2520"/>
        <v>COM</v>
      </c>
      <c r="F5366" t="str">
        <f t="shared" si="2516"/>
        <v>FARMÁCIA INDIANA LJ 1 (10126)</v>
      </c>
      <c r="G5366" t="str">
        <f t="shared" si="2517"/>
        <v>Serv.Prest. 01/09/2025 a 07/09/2025 - RPS: 1212 - NFSe: 3447</v>
      </c>
      <c r="H5366" t="str">
        <f t="shared" si="2521"/>
        <v>17/09/2025</v>
      </c>
      <c r="I5366" t="str">
        <f t="shared" si="2526"/>
        <v>08/09/2025</v>
      </c>
      <c r="J5366" t="str">
        <f t="shared" si="2522"/>
        <v>17/09/2025</v>
      </c>
      <c r="M5366">
        <v>303</v>
      </c>
      <c r="N5366" t="str">
        <f t="shared" si="2524"/>
        <v>RECEITAS COM ENTREGAS</v>
      </c>
      <c r="P5366">
        <v>40.39</v>
      </c>
      <c r="Q5366" t="str">
        <f>"FARMÁCIA INDIANA LJ 195 (10083)"</f>
        <v>FARMÁCIA INDIANA LJ 195 (10083)</v>
      </c>
      <c r="R5366" t="str">
        <f t="shared" si="2525"/>
        <v>RECEITAS COM ENTREGAS (303)</v>
      </c>
      <c r="S5366">
        <v>2675</v>
      </c>
      <c r="T5366">
        <v>2051</v>
      </c>
      <c r="U5366" t="s">
        <v>19</v>
      </c>
    </row>
    <row r="5367" spans="1:21">
      <c r="A5367" t="str">
        <f t="shared" si="2519"/>
        <v>17/09/2025</v>
      </c>
      <c r="B5367" t="str">
        <f t="shared" si="2514"/>
        <v>ENTRADA</v>
      </c>
      <c r="C5367" t="str">
        <f t="shared" si="2523"/>
        <v>NFSE</v>
      </c>
      <c r="D5367" t="str">
        <f t="shared" si="2515"/>
        <v>3447</v>
      </c>
      <c r="E5367" t="str">
        <f t="shared" si="2520"/>
        <v>COM</v>
      </c>
      <c r="F5367" t="str">
        <f t="shared" si="2516"/>
        <v>FARMÁCIA INDIANA LJ 1 (10126)</v>
      </c>
      <c r="G5367" t="str">
        <f t="shared" si="2517"/>
        <v>Serv.Prest. 01/09/2025 a 07/09/2025 - RPS: 1212 - NFSe: 3447</v>
      </c>
      <c r="H5367" t="str">
        <f t="shared" si="2521"/>
        <v>17/09/2025</v>
      </c>
      <c r="I5367" t="str">
        <f t="shared" si="2526"/>
        <v>08/09/2025</v>
      </c>
      <c r="J5367" t="str">
        <f t="shared" si="2522"/>
        <v>17/09/2025</v>
      </c>
      <c r="M5367">
        <v>303</v>
      </c>
      <c r="N5367" t="str">
        <f t="shared" si="2524"/>
        <v>RECEITAS COM ENTREGAS</v>
      </c>
      <c r="P5367">
        <v>160.1</v>
      </c>
      <c r="Q5367" t="str">
        <f>"FARMÁCIA INDIANA LJ 202 (10085)"</f>
        <v>FARMÁCIA INDIANA LJ 202 (10085)</v>
      </c>
      <c r="R5367" t="str">
        <f t="shared" si="2525"/>
        <v>RECEITAS COM ENTREGAS (303)</v>
      </c>
      <c r="S5367">
        <v>2675</v>
      </c>
      <c r="T5367">
        <v>2051</v>
      </c>
      <c r="U5367" t="s">
        <v>19</v>
      </c>
    </row>
    <row r="5368" spans="1:21">
      <c r="A5368" t="str">
        <f t="shared" si="2519"/>
        <v>17/09/2025</v>
      </c>
      <c r="B5368" t="str">
        <f t="shared" si="2514"/>
        <v>ENTRADA</v>
      </c>
      <c r="C5368" t="str">
        <f t="shared" si="2523"/>
        <v>NFSE</v>
      </c>
      <c r="D5368" t="str">
        <f t="shared" si="2515"/>
        <v>3447</v>
      </c>
      <c r="E5368" t="str">
        <f t="shared" si="2520"/>
        <v>COM</v>
      </c>
      <c r="F5368" t="str">
        <f t="shared" si="2516"/>
        <v>FARMÁCIA INDIANA LJ 1 (10126)</v>
      </c>
      <c r="G5368" t="str">
        <f t="shared" si="2517"/>
        <v>Serv.Prest. 01/09/2025 a 07/09/2025 - RPS: 1212 - NFSe: 3447</v>
      </c>
      <c r="H5368" t="str">
        <f t="shared" si="2521"/>
        <v>17/09/2025</v>
      </c>
      <c r="I5368" t="str">
        <f t="shared" si="2526"/>
        <v>08/09/2025</v>
      </c>
      <c r="J5368" t="str">
        <f t="shared" si="2522"/>
        <v>17/09/2025</v>
      </c>
      <c r="M5368">
        <v>303</v>
      </c>
      <c r="N5368" t="str">
        <f t="shared" si="2524"/>
        <v>RECEITAS COM ENTREGAS</v>
      </c>
      <c r="P5368">
        <v>79.33</v>
      </c>
      <c r="Q5368" t="str">
        <f>"FARMÁCIA INDIANA LJ 204 (10087)"</f>
        <v>FARMÁCIA INDIANA LJ 204 (10087)</v>
      </c>
      <c r="R5368" t="str">
        <f t="shared" si="2525"/>
        <v>RECEITAS COM ENTREGAS (303)</v>
      </c>
      <c r="S5368">
        <v>2675</v>
      </c>
      <c r="T5368">
        <v>2051</v>
      </c>
      <c r="U5368" t="s">
        <v>19</v>
      </c>
    </row>
    <row r="5369" spans="1:21">
      <c r="A5369" t="str">
        <f t="shared" si="2519"/>
        <v>17/09/2025</v>
      </c>
      <c r="B5369" t="str">
        <f t="shared" si="2514"/>
        <v>ENTRADA</v>
      </c>
      <c r="C5369" t="str">
        <f t="shared" si="2523"/>
        <v>NFSE</v>
      </c>
      <c r="D5369" t="str">
        <f t="shared" si="2515"/>
        <v>3447</v>
      </c>
      <c r="E5369" t="str">
        <f t="shared" si="2520"/>
        <v>COM</v>
      </c>
      <c r="F5369" t="str">
        <f t="shared" si="2516"/>
        <v>FARMÁCIA INDIANA LJ 1 (10126)</v>
      </c>
      <c r="G5369" t="str">
        <f t="shared" si="2517"/>
        <v>Serv.Prest. 01/09/2025 a 07/09/2025 - RPS: 1212 - NFSe: 3447</v>
      </c>
      <c r="H5369" t="str">
        <f t="shared" si="2521"/>
        <v>17/09/2025</v>
      </c>
      <c r="I5369" t="str">
        <f t="shared" si="2526"/>
        <v>08/09/2025</v>
      </c>
      <c r="J5369" t="str">
        <f t="shared" si="2522"/>
        <v>17/09/2025</v>
      </c>
      <c r="M5369">
        <v>303</v>
      </c>
      <c r="N5369" t="str">
        <f t="shared" si="2524"/>
        <v>RECEITAS COM ENTREGAS</v>
      </c>
      <c r="P5369">
        <v>106.73</v>
      </c>
      <c r="Q5369" t="str">
        <f>"FARMÁCIA INDIANA LJ 207 (10088)"</f>
        <v>FARMÁCIA INDIANA LJ 207 (10088)</v>
      </c>
      <c r="R5369" t="str">
        <f t="shared" si="2525"/>
        <v>RECEITAS COM ENTREGAS (303)</v>
      </c>
      <c r="S5369">
        <v>2675</v>
      </c>
      <c r="T5369">
        <v>2051</v>
      </c>
      <c r="U5369" t="s">
        <v>19</v>
      </c>
    </row>
    <row r="5370" spans="1:21">
      <c r="A5370" t="str">
        <f t="shared" si="2519"/>
        <v>17/09/2025</v>
      </c>
      <c r="B5370" t="str">
        <f t="shared" si="2514"/>
        <v>ENTRADA</v>
      </c>
      <c r="C5370" t="str">
        <f t="shared" si="2523"/>
        <v>NFSE</v>
      </c>
      <c r="D5370" t="str">
        <f t="shared" si="2515"/>
        <v>3447</v>
      </c>
      <c r="E5370" t="str">
        <f t="shared" si="2520"/>
        <v>COM</v>
      </c>
      <c r="F5370" t="str">
        <f t="shared" si="2516"/>
        <v>FARMÁCIA INDIANA LJ 1 (10126)</v>
      </c>
      <c r="G5370" t="str">
        <f t="shared" si="2517"/>
        <v>Serv.Prest. 01/09/2025 a 07/09/2025 - RPS: 1212 - NFSe: 3447</v>
      </c>
      <c r="H5370" t="str">
        <f t="shared" si="2521"/>
        <v>17/09/2025</v>
      </c>
      <c r="I5370" t="str">
        <f t="shared" si="2526"/>
        <v>08/09/2025</v>
      </c>
      <c r="J5370" t="str">
        <f t="shared" si="2522"/>
        <v>17/09/2025</v>
      </c>
      <c r="M5370">
        <v>303</v>
      </c>
      <c r="N5370" t="str">
        <f t="shared" si="2524"/>
        <v>RECEITAS COM ENTREGAS</v>
      </c>
      <c r="P5370">
        <v>125.48</v>
      </c>
      <c r="Q5370" t="str">
        <f>"FARMÁCIA INDIANA LJ 209 (10089)"</f>
        <v>FARMÁCIA INDIANA LJ 209 (10089)</v>
      </c>
      <c r="R5370" t="str">
        <f t="shared" si="2525"/>
        <v>RECEITAS COM ENTREGAS (303)</v>
      </c>
      <c r="S5370">
        <v>2675</v>
      </c>
      <c r="T5370">
        <v>2051</v>
      </c>
      <c r="U5370" t="s">
        <v>19</v>
      </c>
    </row>
    <row r="5371" spans="1:21">
      <c r="A5371" t="str">
        <f t="shared" si="2519"/>
        <v>17/09/2025</v>
      </c>
      <c r="B5371" t="str">
        <f t="shared" si="2514"/>
        <v>ENTRADA</v>
      </c>
      <c r="C5371" t="str">
        <f t="shared" si="2523"/>
        <v>NFSE</v>
      </c>
      <c r="D5371" t="str">
        <f t="shared" si="2515"/>
        <v>3447</v>
      </c>
      <c r="E5371" t="str">
        <f t="shared" si="2520"/>
        <v>COM</v>
      </c>
      <c r="F5371" t="str">
        <f t="shared" si="2516"/>
        <v>FARMÁCIA INDIANA LJ 1 (10126)</v>
      </c>
      <c r="G5371" t="str">
        <f t="shared" si="2517"/>
        <v>Serv.Prest. 01/09/2025 a 07/09/2025 - RPS: 1212 - NFSe: 3447</v>
      </c>
      <c r="H5371" t="str">
        <f t="shared" si="2521"/>
        <v>17/09/2025</v>
      </c>
      <c r="I5371" t="str">
        <f t="shared" si="2526"/>
        <v>08/09/2025</v>
      </c>
      <c r="J5371" t="str">
        <f t="shared" si="2522"/>
        <v>17/09/2025</v>
      </c>
      <c r="M5371">
        <v>303</v>
      </c>
      <c r="N5371" t="str">
        <f t="shared" si="2524"/>
        <v>RECEITAS COM ENTREGAS</v>
      </c>
      <c r="P5371">
        <v>160.1</v>
      </c>
      <c r="Q5371" t="str">
        <f>"FARMÁCIA INDIANA LJ 219 (10091)"</f>
        <v>FARMÁCIA INDIANA LJ 219 (10091)</v>
      </c>
      <c r="R5371" t="str">
        <f t="shared" si="2525"/>
        <v>RECEITAS COM ENTREGAS (303)</v>
      </c>
      <c r="S5371">
        <v>2675</v>
      </c>
      <c r="T5371">
        <v>2051</v>
      </c>
      <c r="U5371" t="s">
        <v>19</v>
      </c>
    </row>
    <row r="5372" spans="1:21">
      <c r="A5372" t="str">
        <f t="shared" si="2519"/>
        <v>17/09/2025</v>
      </c>
      <c r="B5372" t="str">
        <f t="shared" si="2514"/>
        <v>ENTRADA</v>
      </c>
      <c r="C5372" t="str">
        <f t="shared" si="2523"/>
        <v>NFSE</v>
      </c>
      <c r="D5372" t="str">
        <f t="shared" si="2515"/>
        <v>3447</v>
      </c>
      <c r="E5372" t="str">
        <f t="shared" si="2520"/>
        <v>COM</v>
      </c>
      <c r="F5372" t="str">
        <f t="shared" si="2516"/>
        <v>FARMÁCIA INDIANA LJ 1 (10126)</v>
      </c>
      <c r="G5372" t="str">
        <f t="shared" si="2517"/>
        <v>Serv.Prest. 01/09/2025 a 07/09/2025 - RPS: 1212 - NFSe: 3447</v>
      </c>
      <c r="H5372" t="str">
        <f t="shared" si="2521"/>
        <v>17/09/2025</v>
      </c>
      <c r="I5372" t="str">
        <f t="shared" si="2526"/>
        <v>08/09/2025</v>
      </c>
      <c r="J5372" t="str">
        <f t="shared" si="2522"/>
        <v>17/09/2025</v>
      </c>
      <c r="M5372">
        <v>303</v>
      </c>
      <c r="N5372" t="str">
        <f t="shared" si="2524"/>
        <v>RECEITAS COM ENTREGAS</v>
      </c>
      <c r="P5372">
        <v>258.18</v>
      </c>
      <c r="Q5372" t="str">
        <f>"FARMÁCIA INDIANA LJ 220 (10092)"</f>
        <v>FARMÁCIA INDIANA LJ 220 (10092)</v>
      </c>
      <c r="R5372" t="str">
        <f t="shared" si="2525"/>
        <v>RECEITAS COM ENTREGAS (303)</v>
      </c>
      <c r="S5372">
        <v>2675</v>
      </c>
      <c r="T5372">
        <v>2051</v>
      </c>
      <c r="U5372" t="s">
        <v>19</v>
      </c>
    </row>
    <row r="5373" spans="1:21">
      <c r="A5373" t="str">
        <f t="shared" si="2519"/>
        <v>17/09/2025</v>
      </c>
      <c r="B5373" t="str">
        <f t="shared" si="2514"/>
        <v>ENTRADA</v>
      </c>
      <c r="C5373" t="str">
        <f t="shared" si="2523"/>
        <v>NFSE</v>
      </c>
      <c r="D5373" t="str">
        <f t="shared" si="2515"/>
        <v>3447</v>
      </c>
      <c r="E5373" t="str">
        <f t="shared" si="2520"/>
        <v>COM</v>
      </c>
      <c r="F5373" t="str">
        <f t="shared" si="2516"/>
        <v>FARMÁCIA INDIANA LJ 1 (10126)</v>
      </c>
      <c r="G5373" t="str">
        <f t="shared" si="2517"/>
        <v>Serv.Prest. 01/09/2025 a 07/09/2025 - RPS: 1212 - NFSe: 3447</v>
      </c>
      <c r="H5373" t="str">
        <f t="shared" si="2521"/>
        <v>17/09/2025</v>
      </c>
      <c r="I5373" t="str">
        <f t="shared" si="2526"/>
        <v>08/09/2025</v>
      </c>
      <c r="J5373" t="str">
        <f t="shared" si="2522"/>
        <v>17/09/2025</v>
      </c>
      <c r="M5373">
        <v>303</v>
      </c>
      <c r="N5373" t="str">
        <f t="shared" si="2524"/>
        <v>RECEITAS COM ENTREGAS</v>
      </c>
      <c r="P5373">
        <v>183.18</v>
      </c>
      <c r="Q5373" t="str">
        <f>"FARMÁCIA INDIANA LJ 185 (10141)"</f>
        <v>FARMÁCIA INDIANA LJ 185 (10141)</v>
      </c>
      <c r="R5373" t="str">
        <f t="shared" si="2525"/>
        <v>RECEITAS COM ENTREGAS (303)</v>
      </c>
      <c r="S5373">
        <v>2675</v>
      </c>
      <c r="T5373">
        <v>2051</v>
      </c>
      <c r="U5373" t="s">
        <v>19</v>
      </c>
    </row>
    <row r="5374" spans="1:21">
      <c r="A5374" t="str">
        <f t="shared" si="2519"/>
        <v>17/09/2025</v>
      </c>
      <c r="B5374" t="str">
        <f t="shared" si="2514"/>
        <v>ENTRADA</v>
      </c>
      <c r="C5374" t="str">
        <f t="shared" si="2523"/>
        <v>NFSE</v>
      </c>
      <c r="D5374" t="str">
        <f t="shared" si="2515"/>
        <v>3447</v>
      </c>
      <c r="E5374" t="str">
        <f t="shared" si="2520"/>
        <v>COM</v>
      </c>
      <c r="F5374" t="str">
        <f t="shared" si="2516"/>
        <v>FARMÁCIA INDIANA LJ 1 (10126)</v>
      </c>
      <c r="G5374" t="str">
        <f t="shared" si="2517"/>
        <v>Serv.Prest. 01/09/2025 a 07/09/2025 - RPS: 1212 - NFSe: 3447</v>
      </c>
      <c r="H5374" t="str">
        <f t="shared" si="2521"/>
        <v>17/09/2025</v>
      </c>
      <c r="I5374" t="str">
        <f t="shared" si="2526"/>
        <v>08/09/2025</v>
      </c>
      <c r="J5374" t="str">
        <f t="shared" si="2522"/>
        <v>17/09/2025</v>
      </c>
      <c r="M5374">
        <v>303</v>
      </c>
      <c r="N5374" t="str">
        <f t="shared" si="2524"/>
        <v>RECEITAS COM ENTREGAS</v>
      </c>
      <c r="P5374">
        <v>106.73</v>
      </c>
      <c r="Q5374" t="str">
        <f>"FARMÁCIA INDIANA LJ 205 (10150)"</f>
        <v>FARMÁCIA INDIANA LJ 205 (10150)</v>
      </c>
      <c r="R5374" t="str">
        <f t="shared" si="2525"/>
        <v>RECEITAS COM ENTREGAS (303)</v>
      </c>
      <c r="S5374">
        <v>2675</v>
      </c>
      <c r="T5374">
        <v>2051</v>
      </c>
      <c r="U5374" t="s">
        <v>19</v>
      </c>
    </row>
    <row r="5375" spans="1:21">
      <c r="A5375" t="str">
        <f t="shared" si="2519"/>
        <v>17/09/2025</v>
      </c>
      <c r="B5375" t="str">
        <f t="shared" si="2514"/>
        <v>ENTRADA</v>
      </c>
      <c r="C5375" t="str">
        <f t="shared" si="2523"/>
        <v>NFSE</v>
      </c>
      <c r="D5375" t="str">
        <f t="shared" si="2515"/>
        <v>3447</v>
      </c>
      <c r="E5375" t="str">
        <f t="shared" si="2520"/>
        <v>COM</v>
      </c>
      <c r="F5375" t="str">
        <f t="shared" si="2516"/>
        <v>FARMÁCIA INDIANA LJ 1 (10126)</v>
      </c>
      <c r="G5375" t="str">
        <f t="shared" si="2517"/>
        <v>Serv.Prest. 01/09/2025 a 07/09/2025 - RPS: 1212 - NFSe: 3447</v>
      </c>
      <c r="H5375" t="str">
        <f t="shared" si="2521"/>
        <v>17/09/2025</v>
      </c>
      <c r="I5375" t="str">
        <f t="shared" si="2526"/>
        <v>08/09/2025</v>
      </c>
      <c r="J5375" t="str">
        <f t="shared" si="2522"/>
        <v>17/09/2025</v>
      </c>
      <c r="M5375">
        <v>303</v>
      </c>
      <c r="N5375" t="str">
        <f t="shared" si="2524"/>
        <v>RECEITAS COM ENTREGAS</v>
      </c>
      <c r="P5375">
        <v>662.04</v>
      </c>
      <c r="Q5375" t="str">
        <f>"FARMÁCIA INDIANA LJ 172 (10161)"</f>
        <v>FARMÁCIA INDIANA LJ 172 (10161)</v>
      </c>
      <c r="R5375" t="str">
        <f t="shared" si="2525"/>
        <v>RECEITAS COM ENTREGAS (303)</v>
      </c>
      <c r="S5375">
        <v>2675</v>
      </c>
      <c r="T5375">
        <v>2051</v>
      </c>
      <c r="U5375" t="s">
        <v>19</v>
      </c>
    </row>
    <row r="5376" spans="1:21">
      <c r="A5376" t="str">
        <f t="shared" si="2519"/>
        <v>17/09/2025</v>
      </c>
      <c r="B5376" t="str">
        <f t="shared" si="2514"/>
        <v>ENTRADA</v>
      </c>
      <c r="C5376" t="str">
        <f t="shared" si="2523"/>
        <v>NFSE</v>
      </c>
      <c r="D5376" t="str">
        <f t="shared" si="2515"/>
        <v>3447</v>
      </c>
      <c r="E5376" t="str">
        <f t="shared" si="2520"/>
        <v>COM</v>
      </c>
      <c r="F5376" t="str">
        <f t="shared" si="2516"/>
        <v>FARMÁCIA INDIANA LJ 1 (10126)</v>
      </c>
      <c r="G5376" t="str">
        <f t="shared" si="2517"/>
        <v>Serv.Prest. 01/09/2025 a 07/09/2025 - RPS: 1212 - NFSe: 3447</v>
      </c>
      <c r="H5376" t="str">
        <f t="shared" si="2521"/>
        <v>17/09/2025</v>
      </c>
      <c r="I5376" t="str">
        <f t="shared" si="2526"/>
        <v>08/09/2025</v>
      </c>
      <c r="J5376" t="str">
        <f t="shared" si="2522"/>
        <v>17/09/2025</v>
      </c>
      <c r="M5376">
        <v>303</v>
      </c>
      <c r="N5376" t="str">
        <f t="shared" si="2524"/>
        <v>RECEITAS COM ENTREGAS</v>
      </c>
      <c r="P5376">
        <v>75</v>
      </c>
      <c r="Q5376" t="str">
        <f>"FARMÁCIA INDIANA LJ 266 (10186)"</f>
        <v>FARMÁCIA INDIANA LJ 266 (10186)</v>
      </c>
      <c r="R5376" t="str">
        <f t="shared" si="2525"/>
        <v>RECEITAS COM ENTREGAS (303)</v>
      </c>
      <c r="S5376">
        <v>2675</v>
      </c>
      <c r="T5376">
        <v>2051</v>
      </c>
      <c r="U5376" t="s">
        <v>19</v>
      </c>
    </row>
    <row r="5377" spans="1:21">
      <c r="A5377" t="str">
        <f t="shared" si="2519"/>
        <v>17/09/2025</v>
      </c>
      <c r="B5377" t="str">
        <f t="shared" si="2514"/>
        <v>ENTRADA</v>
      </c>
      <c r="C5377" t="str">
        <f t="shared" si="2523"/>
        <v>NFSE</v>
      </c>
      <c r="D5377" t="str">
        <f t="shared" ref="D5377:D5389" si="2527">"3448"</f>
        <v>3448</v>
      </c>
      <c r="E5377" t="str">
        <f t="shared" si="2520"/>
        <v>COM</v>
      </c>
      <c r="F5377" t="str">
        <f t="shared" ref="F5377:F5389" si="2528">"FARMÁCIA INDIANA LJ 30 (10127)"</f>
        <v>FARMÁCIA INDIANA LJ 30 (10127)</v>
      </c>
      <c r="G5377" t="str">
        <f t="shared" ref="G5377:G5389" si="2529">"Serv.Prest. 01/09/2025 a 07/09/2025 - RPS: 1213 - NFSe: 3448"</f>
        <v>Serv.Prest. 01/09/2025 a 07/09/2025 - RPS: 1213 - NFSe: 3448</v>
      </c>
      <c r="H5377" t="str">
        <f t="shared" si="2521"/>
        <v>17/09/2025</v>
      </c>
      <c r="I5377" t="str">
        <f t="shared" si="2526"/>
        <v>08/09/2025</v>
      </c>
      <c r="J5377" t="str">
        <f t="shared" si="2522"/>
        <v>17/09/2025</v>
      </c>
      <c r="K5377">
        <v>3481.43</v>
      </c>
      <c r="L5377">
        <v>3481.43</v>
      </c>
      <c r="M5377">
        <v>303</v>
      </c>
      <c r="N5377" t="str">
        <f t="shared" si="2524"/>
        <v>RECEITAS COM ENTREGAS</v>
      </c>
      <c r="O5377">
        <v>3481.43</v>
      </c>
      <c r="R5377" t="str">
        <f t="shared" si="2525"/>
        <v>RECEITAS COM ENTREGAS (303)</v>
      </c>
      <c r="S5377">
        <v>2676</v>
      </c>
      <c r="T5377">
        <v>2052</v>
      </c>
      <c r="U5377" t="s">
        <v>19</v>
      </c>
    </row>
    <row r="5378" spans="1:21">
      <c r="A5378" t="str">
        <f t="shared" ref="A5378:A5412" si="2530">("17/09/2025")</f>
        <v>17/09/2025</v>
      </c>
      <c r="B5378" t="str">
        <f t="shared" si="2514"/>
        <v>ENTRADA</v>
      </c>
      <c r="C5378" t="str">
        <f t="shared" si="2523"/>
        <v>NFSE</v>
      </c>
      <c r="D5378" t="str">
        <f t="shared" si="2527"/>
        <v>3448</v>
      </c>
      <c r="E5378" t="str">
        <f t="shared" ref="E5378:E5409" si="2531">"COM"</f>
        <v>COM</v>
      </c>
      <c r="F5378" t="str">
        <f t="shared" si="2528"/>
        <v>FARMÁCIA INDIANA LJ 30 (10127)</v>
      </c>
      <c r="G5378" t="str">
        <f t="shared" si="2529"/>
        <v>Serv.Prest. 01/09/2025 a 07/09/2025 - RPS: 1213 - NFSe: 3448</v>
      </c>
      <c r="H5378" t="str">
        <f t="shared" ref="H5378:H5409" si="2532">("17/09/2025")</f>
        <v>17/09/2025</v>
      </c>
      <c r="I5378" t="str">
        <f t="shared" si="2526"/>
        <v>08/09/2025</v>
      </c>
      <c r="J5378" t="str">
        <f t="shared" ref="J5378:J5412" si="2533">("17/09/2025")</f>
        <v>17/09/2025</v>
      </c>
      <c r="M5378">
        <v>303</v>
      </c>
      <c r="N5378" t="str">
        <f t="shared" si="2524"/>
        <v>RECEITAS COM ENTREGAS</v>
      </c>
      <c r="P5378">
        <v>346.4</v>
      </c>
      <c r="Q5378" t="str">
        <f>"FARMÁCIA INDIANA LJ 34 (10014)"</f>
        <v>FARMÁCIA INDIANA LJ 34 (10014)</v>
      </c>
      <c r="R5378" t="str">
        <f t="shared" si="2525"/>
        <v>RECEITAS COM ENTREGAS (303)</v>
      </c>
      <c r="S5378">
        <v>2676</v>
      </c>
      <c r="T5378">
        <v>2052</v>
      </c>
      <c r="U5378" t="s">
        <v>19</v>
      </c>
    </row>
    <row r="5379" spans="1:21">
      <c r="A5379" t="str">
        <f t="shared" si="2530"/>
        <v>17/09/2025</v>
      </c>
      <c r="B5379" t="str">
        <f t="shared" si="2514"/>
        <v>ENTRADA</v>
      </c>
      <c r="C5379" t="str">
        <f t="shared" si="2523"/>
        <v>NFSE</v>
      </c>
      <c r="D5379" t="str">
        <f t="shared" si="2527"/>
        <v>3448</v>
      </c>
      <c r="E5379" t="str">
        <f t="shared" si="2531"/>
        <v>COM</v>
      </c>
      <c r="F5379" t="str">
        <f t="shared" si="2528"/>
        <v>FARMÁCIA INDIANA LJ 30 (10127)</v>
      </c>
      <c r="G5379" t="str">
        <f t="shared" si="2529"/>
        <v>Serv.Prest. 01/09/2025 a 07/09/2025 - RPS: 1213 - NFSe: 3448</v>
      </c>
      <c r="H5379" t="str">
        <f t="shared" si="2532"/>
        <v>17/09/2025</v>
      </c>
      <c r="I5379" t="str">
        <f t="shared" si="2526"/>
        <v>08/09/2025</v>
      </c>
      <c r="J5379" t="str">
        <f t="shared" si="2533"/>
        <v>17/09/2025</v>
      </c>
      <c r="M5379">
        <v>303</v>
      </c>
      <c r="N5379" t="str">
        <f t="shared" si="2524"/>
        <v>RECEITAS COM ENTREGAS</v>
      </c>
      <c r="P5379">
        <v>252.06</v>
      </c>
      <c r="Q5379" t="str">
        <f>"FARMÁCIA INDIANA LJ 35 (10015)"</f>
        <v>FARMÁCIA INDIANA LJ 35 (10015)</v>
      </c>
      <c r="R5379" t="str">
        <f t="shared" si="2525"/>
        <v>RECEITAS COM ENTREGAS (303)</v>
      </c>
      <c r="S5379">
        <v>2676</v>
      </c>
      <c r="T5379">
        <v>2052</v>
      </c>
      <c r="U5379" t="s">
        <v>19</v>
      </c>
    </row>
    <row r="5380" spans="1:21">
      <c r="A5380" t="str">
        <f t="shared" si="2530"/>
        <v>17/09/2025</v>
      </c>
      <c r="B5380" t="str">
        <f t="shared" si="2514"/>
        <v>ENTRADA</v>
      </c>
      <c r="C5380" t="str">
        <f t="shared" ref="C5380:C5404" si="2534">"NFSE"</f>
        <v>NFSE</v>
      </c>
      <c r="D5380" t="str">
        <f t="shared" si="2527"/>
        <v>3448</v>
      </c>
      <c r="E5380" t="str">
        <f t="shared" si="2531"/>
        <v>COM</v>
      </c>
      <c r="F5380" t="str">
        <f t="shared" si="2528"/>
        <v>FARMÁCIA INDIANA LJ 30 (10127)</v>
      </c>
      <c r="G5380" t="str">
        <f t="shared" si="2529"/>
        <v>Serv.Prest. 01/09/2025 a 07/09/2025 - RPS: 1213 - NFSe: 3448</v>
      </c>
      <c r="H5380" t="str">
        <f t="shared" si="2532"/>
        <v>17/09/2025</v>
      </c>
      <c r="I5380" t="str">
        <f t="shared" si="2526"/>
        <v>08/09/2025</v>
      </c>
      <c r="J5380" t="str">
        <f t="shared" si="2533"/>
        <v>17/09/2025</v>
      </c>
      <c r="M5380">
        <v>303</v>
      </c>
      <c r="N5380" t="str">
        <f t="shared" ref="N5380:N5404" si="2535">"RECEITAS COM ENTREGAS"</f>
        <v>RECEITAS COM ENTREGAS</v>
      </c>
      <c r="P5380">
        <v>329.69</v>
      </c>
      <c r="Q5380" t="str">
        <f>"FARMÁCIA INDIANA LJ 48 (10018)"</f>
        <v>FARMÁCIA INDIANA LJ 48 (10018)</v>
      </c>
      <c r="R5380" t="str">
        <f t="shared" ref="R5380:R5404" si="2536">"RECEITAS COM ENTREGAS (303)"</f>
        <v>RECEITAS COM ENTREGAS (303)</v>
      </c>
      <c r="S5380">
        <v>2676</v>
      </c>
      <c r="T5380">
        <v>2052</v>
      </c>
      <c r="U5380" t="s">
        <v>19</v>
      </c>
    </row>
    <row r="5381" spans="1:21">
      <c r="A5381" t="str">
        <f t="shared" si="2530"/>
        <v>17/09/2025</v>
      </c>
      <c r="B5381" t="str">
        <f t="shared" ref="B5381:B5404" si="2537">"ENTRADA"</f>
        <v>ENTRADA</v>
      </c>
      <c r="C5381" t="str">
        <f t="shared" si="2534"/>
        <v>NFSE</v>
      </c>
      <c r="D5381" t="str">
        <f t="shared" si="2527"/>
        <v>3448</v>
      </c>
      <c r="E5381" t="str">
        <f t="shared" si="2531"/>
        <v>COM</v>
      </c>
      <c r="F5381" t="str">
        <f t="shared" si="2528"/>
        <v>FARMÁCIA INDIANA LJ 30 (10127)</v>
      </c>
      <c r="G5381" t="str">
        <f t="shared" si="2529"/>
        <v>Serv.Prest. 01/09/2025 a 07/09/2025 - RPS: 1213 - NFSe: 3448</v>
      </c>
      <c r="H5381" t="str">
        <f t="shared" si="2532"/>
        <v>17/09/2025</v>
      </c>
      <c r="I5381" t="str">
        <f t="shared" si="2526"/>
        <v>08/09/2025</v>
      </c>
      <c r="J5381" t="str">
        <f t="shared" si="2533"/>
        <v>17/09/2025</v>
      </c>
      <c r="M5381">
        <v>303</v>
      </c>
      <c r="N5381" t="str">
        <f t="shared" si="2535"/>
        <v>RECEITAS COM ENTREGAS</v>
      </c>
      <c r="P5381">
        <v>418.47</v>
      </c>
      <c r="Q5381" t="str">
        <f>"FARMÁCIA INDIANA LJ 65 (10030)"</f>
        <v>FARMÁCIA INDIANA LJ 65 (10030)</v>
      </c>
      <c r="R5381" t="str">
        <f t="shared" si="2536"/>
        <v>RECEITAS COM ENTREGAS (303)</v>
      </c>
      <c r="S5381">
        <v>2676</v>
      </c>
      <c r="T5381">
        <v>2052</v>
      </c>
      <c r="U5381" t="s">
        <v>19</v>
      </c>
    </row>
    <row r="5382" spans="1:21">
      <c r="A5382" t="str">
        <f t="shared" si="2530"/>
        <v>17/09/2025</v>
      </c>
      <c r="B5382" t="str">
        <f t="shared" si="2537"/>
        <v>ENTRADA</v>
      </c>
      <c r="C5382" t="str">
        <f t="shared" si="2534"/>
        <v>NFSE</v>
      </c>
      <c r="D5382" t="str">
        <f t="shared" si="2527"/>
        <v>3448</v>
      </c>
      <c r="E5382" t="str">
        <f t="shared" si="2531"/>
        <v>COM</v>
      </c>
      <c r="F5382" t="str">
        <f t="shared" si="2528"/>
        <v>FARMÁCIA INDIANA LJ 30 (10127)</v>
      </c>
      <c r="G5382" t="str">
        <f t="shared" si="2529"/>
        <v>Serv.Prest. 01/09/2025 a 07/09/2025 - RPS: 1213 - NFSe: 3448</v>
      </c>
      <c r="H5382" t="str">
        <f t="shared" si="2532"/>
        <v>17/09/2025</v>
      </c>
      <c r="I5382" t="str">
        <f t="shared" si="2526"/>
        <v>08/09/2025</v>
      </c>
      <c r="J5382" t="str">
        <f t="shared" si="2533"/>
        <v>17/09/2025</v>
      </c>
      <c r="M5382">
        <v>303</v>
      </c>
      <c r="N5382" t="str">
        <f t="shared" si="2535"/>
        <v>RECEITAS COM ENTREGAS</v>
      </c>
      <c r="P5382">
        <v>137.16999999999999</v>
      </c>
      <c r="Q5382" t="str">
        <f>"FARMÁCIA INDIANA LJ 77 (10034)"</f>
        <v>FARMÁCIA INDIANA LJ 77 (10034)</v>
      </c>
      <c r="R5382" t="str">
        <f t="shared" si="2536"/>
        <v>RECEITAS COM ENTREGAS (303)</v>
      </c>
      <c r="S5382">
        <v>2676</v>
      </c>
      <c r="T5382">
        <v>2052</v>
      </c>
      <c r="U5382" t="s">
        <v>19</v>
      </c>
    </row>
    <row r="5383" spans="1:21">
      <c r="A5383" t="str">
        <f t="shared" si="2530"/>
        <v>17/09/2025</v>
      </c>
      <c r="B5383" t="str">
        <f t="shared" si="2537"/>
        <v>ENTRADA</v>
      </c>
      <c r="C5383" t="str">
        <f t="shared" si="2534"/>
        <v>NFSE</v>
      </c>
      <c r="D5383" t="str">
        <f t="shared" si="2527"/>
        <v>3448</v>
      </c>
      <c r="E5383" t="str">
        <f t="shared" si="2531"/>
        <v>COM</v>
      </c>
      <c r="F5383" t="str">
        <f t="shared" si="2528"/>
        <v>FARMÁCIA INDIANA LJ 30 (10127)</v>
      </c>
      <c r="G5383" t="str">
        <f t="shared" si="2529"/>
        <v>Serv.Prest. 01/09/2025 a 07/09/2025 - RPS: 1213 - NFSe: 3448</v>
      </c>
      <c r="H5383" t="str">
        <f t="shared" si="2532"/>
        <v>17/09/2025</v>
      </c>
      <c r="I5383" t="str">
        <f t="shared" si="2526"/>
        <v>08/09/2025</v>
      </c>
      <c r="J5383" t="str">
        <f t="shared" si="2533"/>
        <v>17/09/2025</v>
      </c>
      <c r="M5383">
        <v>303</v>
      </c>
      <c r="N5383" t="str">
        <f t="shared" si="2535"/>
        <v>RECEITAS COM ENTREGAS</v>
      </c>
      <c r="P5383">
        <v>583.84</v>
      </c>
      <c r="Q5383" t="str">
        <f>"FARMÁCIA INDIANA LJ 91 (10037)"</f>
        <v>FARMÁCIA INDIANA LJ 91 (10037)</v>
      </c>
      <c r="R5383" t="str">
        <f t="shared" si="2536"/>
        <v>RECEITAS COM ENTREGAS (303)</v>
      </c>
      <c r="S5383">
        <v>2676</v>
      </c>
      <c r="T5383">
        <v>2052</v>
      </c>
      <c r="U5383" t="s">
        <v>19</v>
      </c>
    </row>
    <row r="5384" spans="1:21">
      <c r="A5384" t="str">
        <f t="shared" si="2530"/>
        <v>17/09/2025</v>
      </c>
      <c r="B5384" t="str">
        <f t="shared" si="2537"/>
        <v>ENTRADA</v>
      </c>
      <c r="C5384" t="str">
        <f t="shared" si="2534"/>
        <v>NFSE</v>
      </c>
      <c r="D5384" t="str">
        <f t="shared" si="2527"/>
        <v>3448</v>
      </c>
      <c r="E5384" t="str">
        <f t="shared" si="2531"/>
        <v>COM</v>
      </c>
      <c r="F5384" t="str">
        <f t="shared" si="2528"/>
        <v>FARMÁCIA INDIANA LJ 30 (10127)</v>
      </c>
      <c r="G5384" t="str">
        <f t="shared" si="2529"/>
        <v>Serv.Prest. 01/09/2025 a 07/09/2025 - RPS: 1213 - NFSe: 3448</v>
      </c>
      <c r="H5384" t="str">
        <f t="shared" si="2532"/>
        <v>17/09/2025</v>
      </c>
      <c r="I5384" t="str">
        <f t="shared" si="2526"/>
        <v>08/09/2025</v>
      </c>
      <c r="J5384" t="str">
        <f t="shared" si="2533"/>
        <v>17/09/2025</v>
      </c>
      <c r="M5384">
        <v>303</v>
      </c>
      <c r="N5384" t="str">
        <f t="shared" si="2535"/>
        <v>RECEITAS COM ENTREGAS</v>
      </c>
      <c r="P5384">
        <v>394.45</v>
      </c>
      <c r="Q5384" t="str">
        <f>"FARMÁCIA INDIANA LJ 95 (10039)"</f>
        <v>FARMÁCIA INDIANA LJ 95 (10039)</v>
      </c>
      <c r="R5384" t="str">
        <f t="shared" si="2536"/>
        <v>RECEITAS COM ENTREGAS (303)</v>
      </c>
      <c r="S5384">
        <v>2676</v>
      </c>
      <c r="T5384">
        <v>2052</v>
      </c>
      <c r="U5384" t="s">
        <v>19</v>
      </c>
    </row>
    <row r="5385" spans="1:21">
      <c r="A5385" t="str">
        <f t="shared" si="2530"/>
        <v>17/09/2025</v>
      </c>
      <c r="B5385" t="str">
        <f t="shared" si="2537"/>
        <v>ENTRADA</v>
      </c>
      <c r="C5385" t="str">
        <f t="shared" si="2534"/>
        <v>NFSE</v>
      </c>
      <c r="D5385" t="str">
        <f t="shared" si="2527"/>
        <v>3448</v>
      </c>
      <c r="E5385" t="str">
        <f t="shared" si="2531"/>
        <v>COM</v>
      </c>
      <c r="F5385" t="str">
        <f t="shared" si="2528"/>
        <v>FARMÁCIA INDIANA LJ 30 (10127)</v>
      </c>
      <c r="G5385" t="str">
        <f t="shared" si="2529"/>
        <v>Serv.Prest. 01/09/2025 a 07/09/2025 - RPS: 1213 - NFSe: 3448</v>
      </c>
      <c r="H5385" t="str">
        <f t="shared" si="2532"/>
        <v>17/09/2025</v>
      </c>
      <c r="I5385" t="str">
        <f t="shared" si="2526"/>
        <v>08/09/2025</v>
      </c>
      <c r="J5385" t="str">
        <f t="shared" si="2533"/>
        <v>17/09/2025</v>
      </c>
      <c r="M5385">
        <v>303</v>
      </c>
      <c r="N5385" t="str">
        <f t="shared" si="2535"/>
        <v>RECEITAS COM ENTREGAS</v>
      </c>
      <c r="P5385">
        <v>280.95</v>
      </c>
      <c r="Q5385" t="str">
        <f>"FARMÁCIA INDIANA LJ 145 (10068)"</f>
        <v>FARMÁCIA INDIANA LJ 145 (10068)</v>
      </c>
      <c r="R5385" t="str">
        <f t="shared" si="2536"/>
        <v>RECEITAS COM ENTREGAS (303)</v>
      </c>
      <c r="S5385">
        <v>2676</v>
      </c>
      <c r="T5385">
        <v>2052</v>
      </c>
      <c r="U5385" t="s">
        <v>19</v>
      </c>
    </row>
    <row r="5386" spans="1:21">
      <c r="A5386" t="str">
        <f t="shared" si="2530"/>
        <v>17/09/2025</v>
      </c>
      <c r="B5386" t="str">
        <f t="shared" si="2537"/>
        <v>ENTRADA</v>
      </c>
      <c r="C5386" t="str">
        <f t="shared" si="2534"/>
        <v>NFSE</v>
      </c>
      <c r="D5386" t="str">
        <f t="shared" si="2527"/>
        <v>3448</v>
      </c>
      <c r="E5386" t="str">
        <f t="shared" si="2531"/>
        <v>COM</v>
      </c>
      <c r="F5386" t="str">
        <f t="shared" si="2528"/>
        <v>FARMÁCIA INDIANA LJ 30 (10127)</v>
      </c>
      <c r="G5386" t="str">
        <f t="shared" si="2529"/>
        <v>Serv.Prest. 01/09/2025 a 07/09/2025 - RPS: 1213 - NFSe: 3448</v>
      </c>
      <c r="H5386" t="str">
        <f t="shared" si="2532"/>
        <v>17/09/2025</v>
      </c>
      <c r="I5386" t="str">
        <f t="shared" si="2526"/>
        <v>08/09/2025</v>
      </c>
      <c r="J5386" t="str">
        <f t="shared" si="2533"/>
        <v>17/09/2025</v>
      </c>
      <c r="M5386">
        <v>303</v>
      </c>
      <c r="N5386" t="str">
        <f t="shared" si="2535"/>
        <v>RECEITAS COM ENTREGAS</v>
      </c>
      <c r="P5386">
        <v>113.49</v>
      </c>
      <c r="Q5386" t="str">
        <f>"FARMÁCIA INDIANA LJ 169 (10073)"</f>
        <v>FARMÁCIA INDIANA LJ 169 (10073)</v>
      </c>
      <c r="R5386" t="str">
        <f t="shared" si="2536"/>
        <v>RECEITAS COM ENTREGAS (303)</v>
      </c>
      <c r="S5386">
        <v>2676</v>
      </c>
      <c r="T5386">
        <v>2052</v>
      </c>
      <c r="U5386" t="s">
        <v>19</v>
      </c>
    </row>
    <row r="5387" spans="1:21">
      <c r="A5387" t="str">
        <f t="shared" si="2530"/>
        <v>17/09/2025</v>
      </c>
      <c r="B5387" t="str">
        <f t="shared" si="2537"/>
        <v>ENTRADA</v>
      </c>
      <c r="C5387" t="str">
        <f t="shared" si="2534"/>
        <v>NFSE</v>
      </c>
      <c r="D5387" t="str">
        <f t="shared" si="2527"/>
        <v>3448</v>
      </c>
      <c r="E5387" t="str">
        <f t="shared" si="2531"/>
        <v>COM</v>
      </c>
      <c r="F5387" t="str">
        <f t="shared" si="2528"/>
        <v>FARMÁCIA INDIANA LJ 30 (10127)</v>
      </c>
      <c r="G5387" t="str">
        <f t="shared" si="2529"/>
        <v>Serv.Prest. 01/09/2025 a 07/09/2025 - RPS: 1213 - NFSe: 3448</v>
      </c>
      <c r="H5387" t="str">
        <f t="shared" si="2532"/>
        <v>17/09/2025</v>
      </c>
      <c r="I5387" t="str">
        <f t="shared" si="2526"/>
        <v>08/09/2025</v>
      </c>
      <c r="J5387" t="str">
        <f t="shared" si="2533"/>
        <v>17/09/2025</v>
      </c>
      <c r="M5387">
        <v>303</v>
      </c>
      <c r="N5387" t="str">
        <f t="shared" si="2535"/>
        <v>RECEITAS COM ENTREGAS</v>
      </c>
      <c r="P5387">
        <v>209.23</v>
      </c>
      <c r="Q5387" t="str">
        <f>"FARMÁCIA INDIANA LJ 173 (10075)"</f>
        <v>FARMÁCIA INDIANA LJ 173 (10075)</v>
      </c>
      <c r="R5387" t="str">
        <f t="shared" si="2536"/>
        <v>RECEITAS COM ENTREGAS (303)</v>
      </c>
      <c r="S5387">
        <v>2676</v>
      </c>
      <c r="T5387">
        <v>2052</v>
      </c>
      <c r="U5387" t="s">
        <v>19</v>
      </c>
    </row>
    <row r="5388" spans="1:21">
      <c r="A5388" t="str">
        <f t="shared" si="2530"/>
        <v>17/09/2025</v>
      </c>
      <c r="B5388" t="str">
        <f t="shared" si="2537"/>
        <v>ENTRADA</v>
      </c>
      <c r="C5388" t="str">
        <f t="shared" si="2534"/>
        <v>NFSE</v>
      </c>
      <c r="D5388" t="str">
        <f t="shared" si="2527"/>
        <v>3448</v>
      </c>
      <c r="E5388" t="str">
        <f t="shared" si="2531"/>
        <v>COM</v>
      </c>
      <c r="F5388" t="str">
        <f t="shared" si="2528"/>
        <v>FARMÁCIA INDIANA LJ 30 (10127)</v>
      </c>
      <c r="G5388" t="str">
        <f t="shared" si="2529"/>
        <v>Serv.Prest. 01/09/2025 a 07/09/2025 - RPS: 1213 - NFSe: 3448</v>
      </c>
      <c r="H5388" t="str">
        <f t="shared" si="2532"/>
        <v>17/09/2025</v>
      </c>
      <c r="I5388" t="str">
        <f t="shared" si="2526"/>
        <v>08/09/2025</v>
      </c>
      <c r="J5388" t="str">
        <f t="shared" si="2533"/>
        <v>17/09/2025</v>
      </c>
      <c r="M5388">
        <v>303</v>
      </c>
      <c r="N5388" t="str">
        <f t="shared" si="2535"/>
        <v>RECEITAS COM ENTREGAS</v>
      </c>
      <c r="P5388">
        <v>217.24</v>
      </c>
      <c r="Q5388" t="str">
        <f>"FARMÁCIA INDIANA LJ 200 (10155)"</f>
        <v>FARMÁCIA INDIANA LJ 200 (10155)</v>
      </c>
      <c r="R5388" t="str">
        <f t="shared" si="2536"/>
        <v>RECEITAS COM ENTREGAS (303)</v>
      </c>
      <c r="S5388">
        <v>2676</v>
      </c>
      <c r="T5388">
        <v>2052</v>
      </c>
      <c r="U5388" t="s">
        <v>19</v>
      </c>
    </row>
    <row r="5389" spans="1:21">
      <c r="A5389" t="str">
        <f t="shared" si="2530"/>
        <v>17/09/2025</v>
      </c>
      <c r="B5389" t="str">
        <f t="shared" si="2537"/>
        <v>ENTRADA</v>
      </c>
      <c r="C5389" t="str">
        <f t="shared" si="2534"/>
        <v>NFSE</v>
      </c>
      <c r="D5389" t="str">
        <f t="shared" si="2527"/>
        <v>3448</v>
      </c>
      <c r="E5389" t="str">
        <f t="shared" si="2531"/>
        <v>COM</v>
      </c>
      <c r="F5389" t="str">
        <f t="shared" si="2528"/>
        <v>FARMÁCIA INDIANA LJ 30 (10127)</v>
      </c>
      <c r="G5389" t="str">
        <f t="shared" si="2529"/>
        <v>Serv.Prest. 01/09/2025 a 07/09/2025 - RPS: 1213 - NFSe: 3448</v>
      </c>
      <c r="H5389" t="str">
        <f t="shared" si="2532"/>
        <v>17/09/2025</v>
      </c>
      <c r="I5389" t="str">
        <f t="shared" si="2526"/>
        <v>08/09/2025</v>
      </c>
      <c r="J5389" t="str">
        <f t="shared" si="2533"/>
        <v>17/09/2025</v>
      </c>
      <c r="M5389">
        <v>303</v>
      </c>
      <c r="N5389" t="str">
        <f t="shared" si="2535"/>
        <v>RECEITAS COM ENTREGAS</v>
      </c>
      <c r="P5389">
        <v>198.44</v>
      </c>
      <c r="Q5389" t="str">
        <f>"FARMÁCIA INDIANA LJ 33 (10187)"</f>
        <v>FARMÁCIA INDIANA LJ 33 (10187)</v>
      </c>
      <c r="R5389" t="str">
        <f t="shared" si="2536"/>
        <v>RECEITAS COM ENTREGAS (303)</v>
      </c>
      <c r="S5389">
        <v>2676</v>
      </c>
      <c r="T5389">
        <v>2052</v>
      </c>
      <c r="U5389" t="s">
        <v>19</v>
      </c>
    </row>
    <row r="5390" spans="1:21">
      <c r="A5390" t="str">
        <f t="shared" si="2530"/>
        <v>17/09/2025</v>
      </c>
      <c r="B5390" t="str">
        <f t="shared" si="2537"/>
        <v>ENTRADA</v>
      </c>
      <c r="C5390" t="str">
        <f t="shared" si="2534"/>
        <v>NFSE</v>
      </c>
      <c r="D5390" t="str">
        <f t="shared" ref="D5390:D5400" si="2538">"3449"</f>
        <v>3449</v>
      </c>
      <c r="E5390" t="str">
        <f t="shared" si="2531"/>
        <v>COM</v>
      </c>
      <c r="F5390" t="str">
        <f t="shared" ref="F5390:F5400" si="2539">"FARMÁCIA INDIANA LJ 85 (10128)"</f>
        <v>FARMÁCIA INDIANA LJ 85 (10128)</v>
      </c>
      <c r="G5390" t="str">
        <f t="shared" ref="G5390:G5400" si="2540">"Serv.Prest. 01/09/2025 a 07/09/2025 - RPS: 1214 - NFSe: 3449"</f>
        <v>Serv.Prest. 01/09/2025 a 07/09/2025 - RPS: 1214 - NFSe: 3449</v>
      </c>
      <c r="H5390" t="str">
        <f t="shared" si="2532"/>
        <v>17/09/2025</v>
      </c>
      <c r="I5390" t="str">
        <f t="shared" ref="I5390:I5402" si="2541">("09/09/2025")</f>
        <v>09/09/2025</v>
      </c>
      <c r="J5390" t="str">
        <f t="shared" si="2533"/>
        <v>17/09/2025</v>
      </c>
      <c r="K5390">
        <v>1702.53</v>
      </c>
      <c r="L5390">
        <v>1702.53</v>
      </c>
      <c r="M5390">
        <v>303</v>
      </c>
      <c r="N5390" t="str">
        <f t="shared" si="2535"/>
        <v>RECEITAS COM ENTREGAS</v>
      </c>
      <c r="O5390">
        <v>1702.53</v>
      </c>
      <c r="R5390" t="str">
        <f t="shared" si="2536"/>
        <v>RECEITAS COM ENTREGAS (303)</v>
      </c>
      <c r="S5390">
        <v>2677</v>
      </c>
      <c r="T5390">
        <v>2053</v>
      </c>
      <c r="U5390" t="s">
        <v>19</v>
      </c>
    </row>
    <row r="5391" spans="1:21">
      <c r="A5391" t="str">
        <f t="shared" si="2530"/>
        <v>17/09/2025</v>
      </c>
      <c r="B5391" t="str">
        <f t="shared" si="2537"/>
        <v>ENTRADA</v>
      </c>
      <c r="C5391" t="str">
        <f t="shared" si="2534"/>
        <v>NFSE</v>
      </c>
      <c r="D5391" t="str">
        <f t="shared" si="2538"/>
        <v>3449</v>
      </c>
      <c r="E5391" t="str">
        <f t="shared" si="2531"/>
        <v>COM</v>
      </c>
      <c r="F5391" t="str">
        <f t="shared" si="2539"/>
        <v>FARMÁCIA INDIANA LJ 85 (10128)</v>
      </c>
      <c r="G5391" t="str">
        <f t="shared" si="2540"/>
        <v>Serv.Prest. 01/09/2025 a 07/09/2025 - RPS: 1214 - NFSe: 3449</v>
      </c>
      <c r="H5391" t="str">
        <f t="shared" si="2532"/>
        <v>17/09/2025</v>
      </c>
      <c r="I5391" t="str">
        <f t="shared" si="2541"/>
        <v>09/09/2025</v>
      </c>
      <c r="J5391" t="str">
        <f t="shared" si="2533"/>
        <v>17/09/2025</v>
      </c>
      <c r="M5391">
        <v>303</v>
      </c>
      <c r="N5391" t="str">
        <f t="shared" si="2535"/>
        <v>RECEITAS COM ENTREGAS</v>
      </c>
      <c r="P5391">
        <v>172.8</v>
      </c>
      <c r="Q5391" t="str">
        <f>"FARMÁCIA INDIANA LJ 119 (10053)"</f>
        <v>FARMÁCIA INDIANA LJ 119 (10053)</v>
      </c>
      <c r="R5391" t="str">
        <f t="shared" si="2536"/>
        <v>RECEITAS COM ENTREGAS (303)</v>
      </c>
      <c r="S5391">
        <v>2677</v>
      </c>
      <c r="T5391">
        <v>2053</v>
      </c>
      <c r="U5391" t="s">
        <v>19</v>
      </c>
    </row>
    <row r="5392" spans="1:21">
      <c r="A5392" t="str">
        <f t="shared" si="2530"/>
        <v>17/09/2025</v>
      </c>
      <c r="B5392" t="str">
        <f t="shared" si="2537"/>
        <v>ENTRADA</v>
      </c>
      <c r="C5392" t="str">
        <f t="shared" si="2534"/>
        <v>NFSE</v>
      </c>
      <c r="D5392" t="str">
        <f t="shared" si="2538"/>
        <v>3449</v>
      </c>
      <c r="E5392" t="str">
        <f t="shared" si="2531"/>
        <v>COM</v>
      </c>
      <c r="F5392" t="str">
        <f t="shared" si="2539"/>
        <v>FARMÁCIA INDIANA LJ 85 (10128)</v>
      </c>
      <c r="G5392" t="str">
        <f t="shared" si="2540"/>
        <v>Serv.Prest. 01/09/2025 a 07/09/2025 - RPS: 1214 - NFSe: 3449</v>
      </c>
      <c r="H5392" t="str">
        <f t="shared" si="2532"/>
        <v>17/09/2025</v>
      </c>
      <c r="I5392" t="str">
        <f t="shared" si="2541"/>
        <v>09/09/2025</v>
      </c>
      <c r="J5392" t="str">
        <f t="shared" si="2533"/>
        <v>17/09/2025</v>
      </c>
      <c r="M5392">
        <v>303</v>
      </c>
      <c r="N5392" t="str">
        <f t="shared" si="2535"/>
        <v>RECEITAS COM ENTREGAS</v>
      </c>
      <c r="P5392">
        <v>407.93</v>
      </c>
      <c r="Q5392" t="str">
        <f>"FARMÁCIA INDIANA LJ 163 (10072)"</f>
        <v>FARMÁCIA INDIANA LJ 163 (10072)</v>
      </c>
      <c r="R5392" t="str">
        <f t="shared" si="2536"/>
        <v>RECEITAS COM ENTREGAS (303)</v>
      </c>
      <c r="S5392">
        <v>2677</v>
      </c>
      <c r="T5392">
        <v>2053</v>
      </c>
      <c r="U5392" t="s">
        <v>19</v>
      </c>
    </row>
    <row r="5393" spans="1:21">
      <c r="A5393" t="str">
        <f t="shared" si="2530"/>
        <v>17/09/2025</v>
      </c>
      <c r="B5393" t="str">
        <f t="shared" si="2537"/>
        <v>ENTRADA</v>
      </c>
      <c r="C5393" t="str">
        <f t="shared" si="2534"/>
        <v>NFSE</v>
      </c>
      <c r="D5393" t="str">
        <f t="shared" si="2538"/>
        <v>3449</v>
      </c>
      <c r="E5393" t="str">
        <f t="shared" si="2531"/>
        <v>COM</v>
      </c>
      <c r="F5393" t="str">
        <f t="shared" si="2539"/>
        <v>FARMÁCIA INDIANA LJ 85 (10128)</v>
      </c>
      <c r="G5393" t="str">
        <f t="shared" si="2540"/>
        <v>Serv.Prest. 01/09/2025 a 07/09/2025 - RPS: 1214 - NFSe: 3449</v>
      </c>
      <c r="H5393" t="str">
        <f t="shared" si="2532"/>
        <v>17/09/2025</v>
      </c>
      <c r="I5393" t="str">
        <f t="shared" si="2541"/>
        <v>09/09/2025</v>
      </c>
      <c r="J5393" t="str">
        <f t="shared" si="2533"/>
        <v>17/09/2025</v>
      </c>
      <c r="M5393">
        <v>303</v>
      </c>
      <c r="N5393" t="str">
        <f t="shared" si="2535"/>
        <v>RECEITAS COM ENTREGAS</v>
      </c>
      <c r="P5393">
        <v>223.2</v>
      </c>
      <c r="Q5393" t="str">
        <f>"FARMÁCIA INDIANA LJ 181 (10078)"</f>
        <v>FARMÁCIA INDIANA LJ 181 (10078)</v>
      </c>
      <c r="R5393" t="str">
        <f t="shared" si="2536"/>
        <v>RECEITAS COM ENTREGAS (303)</v>
      </c>
      <c r="S5393">
        <v>2677</v>
      </c>
      <c r="T5393">
        <v>2053</v>
      </c>
      <c r="U5393" t="s">
        <v>19</v>
      </c>
    </row>
    <row r="5394" spans="1:21">
      <c r="A5394" t="str">
        <f t="shared" si="2530"/>
        <v>17/09/2025</v>
      </c>
      <c r="B5394" t="str">
        <f t="shared" si="2537"/>
        <v>ENTRADA</v>
      </c>
      <c r="C5394" t="str">
        <f t="shared" si="2534"/>
        <v>NFSE</v>
      </c>
      <c r="D5394" t="str">
        <f t="shared" si="2538"/>
        <v>3449</v>
      </c>
      <c r="E5394" t="str">
        <f t="shared" si="2531"/>
        <v>COM</v>
      </c>
      <c r="F5394" t="str">
        <f t="shared" si="2539"/>
        <v>FARMÁCIA INDIANA LJ 85 (10128)</v>
      </c>
      <c r="G5394" t="str">
        <f t="shared" si="2540"/>
        <v>Serv.Prest. 01/09/2025 a 07/09/2025 - RPS: 1214 - NFSe: 3449</v>
      </c>
      <c r="H5394" t="str">
        <f t="shared" si="2532"/>
        <v>17/09/2025</v>
      </c>
      <c r="I5394" t="str">
        <f t="shared" si="2541"/>
        <v>09/09/2025</v>
      </c>
      <c r="J5394" t="str">
        <f t="shared" si="2533"/>
        <v>17/09/2025</v>
      </c>
      <c r="M5394">
        <v>303</v>
      </c>
      <c r="N5394" t="str">
        <f t="shared" si="2535"/>
        <v>RECEITAS COM ENTREGAS</v>
      </c>
      <c r="P5394">
        <v>172.47</v>
      </c>
      <c r="Q5394" t="str">
        <f>"FARMÁCIA INDIANA LJ 221 (10093)"</f>
        <v>FARMÁCIA INDIANA LJ 221 (10093)</v>
      </c>
      <c r="R5394" t="str">
        <f t="shared" si="2536"/>
        <v>RECEITAS COM ENTREGAS (303)</v>
      </c>
      <c r="S5394">
        <v>2677</v>
      </c>
      <c r="T5394">
        <v>2053</v>
      </c>
      <c r="U5394" t="s">
        <v>19</v>
      </c>
    </row>
    <row r="5395" spans="1:21">
      <c r="A5395" t="str">
        <f t="shared" si="2530"/>
        <v>17/09/2025</v>
      </c>
      <c r="B5395" t="str">
        <f t="shared" si="2537"/>
        <v>ENTRADA</v>
      </c>
      <c r="C5395" t="str">
        <f t="shared" si="2534"/>
        <v>NFSE</v>
      </c>
      <c r="D5395" t="str">
        <f t="shared" si="2538"/>
        <v>3449</v>
      </c>
      <c r="E5395" t="str">
        <f t="shared" si="2531"/>
        <v>COM</v>
      </c>
      <c r="F5395" t="str">
        <f t="shared" si="2539"/>
        <v>FARMÁCIA INDIANA LJ 85 (10128)</v>
      </c>
      <c r="G5395" t="str">
        <f t="shared" si="2540"/>
        <v>Serv.Prest. 01/09/2025 a 07/09/2025 - RPS: 1214 - NFSe: 3449</v>
      </c>
      <c r="H5395" t="str">
        <f t="shared" si="2532"/>
        <v>17/09/2025</v>
      </c>
      <c r="I5395" t="str">
        <f t="shared" si="2541"/>
        <v>09/09/2025</v>
      </c>
      <c r="J5395" t="str">
        <f t="shared" si="2533"/>
        <v>17/09/2025</v>
      </c>
      <c r="M5395">
        <v>303</v>
      </c>
      <c r="N5395" t="str">
        <f t="shared" si="2535"/>
        <v>RECEITAS COM ENTREGAS</v>
      </c>
      <c r="P5395">
        <v>194.6</v>
      </c>
      <c r="Q5395" t="str">
        <f>"FARMÁCIA INDIANA LJ 243 (10142)"</f>
        <v>FARMÁCIA INDIANA LJ 243 (10142)</v>
      </c>
      <c r="R5395" t="str">
        <f t="shared" si="2536"/>
        <v>RECEITAS COM ENTREGAS (303)</v>
      </c>
      <c r="S5395">
        <v>2677</v>
      </c>
      <c r="T5395">
        <v>2053</v>
      </c>
      <c r="U5395" t="s">
        <v>19</v>
      </c>
    </row>
    <row r="5396" spans="1:21">
      <c r="A5396" t="str">
        <f t="shared" si="2530"/>
        <v>17/09/2025</v>
      </c>
      <c r="B5396" t="str">
        <f t="shared" si="2537"/>
        <v>ENTRADA</v>
      </c>
      <c r="C5396" t="str">
        <f t="shared" si="2534"/>
        <v>NFSE</v>
      </c>
      <c r="D5396" t="str">
        <f t="shared" si="2538"/>
        <v>3449</v>
      </c>
      <c r="E5396" t="str">
        <f t="shared" si="2531"/>
        <v>COM</v>
      </c>
      <c r="F5396" t="str">
        <f t="shared" si="2539"/>
        <v>FARMÁCIA INDIANA LJ 85 (10128)</v>
      </c>
      <c r="G5396" t="str">
        <f t="shared" si="2540"/>
        <v>Serv.Prest. 01/09/2025 a 07/09/2025 - RPS: 1214 - NFSe: 3449</v>
      </c>
      <c r="H5396" t="str">
        <f t="shared" si="2532"/>
        <v>17/09/2025</v>
      </c>
      <c r="I5396" t="str">
        <f t="shared" si="2541"/>
        <v>09/09/2025</v>
      </c>
      <c r="J5396" t="str">
        <f t="shared" si="2533"/>
        <v>17/09/2025</v>
      </c>
      <c r="M5396">
        <v>303</v>
      </c>
      <c r="N5396" t="str">
        <f t="shared" si="2535"/>
        <v>RECEITAS COM ENTREGAS</v>
      </c>
      <c r="P5396">
        <v>91.94</v>
      </c>
      <c r="Q5396" t="str">
        <f>"FARMÁCIA INDIANA LJ 211 (10168)"</f>
        <v>FARMÁCIA INDIANA LJ 211 (10168)</v>
      </c>
      <c r="R5396" t="str">
        <f t="shared" si="2536"/>
        <v>RECEITAS COM ENTREGAS (303)</v>
      </c>
      <c r="S5396">
        <v>2677</v>
      </c>
      <c r="T5396">
        <v>2053</v>
      </c>
      <c r="U5396" t="s">
        <v>19</v>
      </c>
    </row>
    <row r="5397" spans="1:21">
      <c r="A5397" t="str">
        <f t="shared" si="2530"/>
        <v>17/09/2025</v>
      </c>
      <c r="B5397" t="str">
        <f t="shared" si="2537"/>
        <v>ENTRADA</v>
      </c>
      <c r="C5397" t="str">
        <f t="shared" si="2534"/>
        <v>NFSE</v>
      </c>
      <c r="D5397" t="str">
        <f t="shared" si="2538"/>
        <v>3449</v>
      </c>
      <c r="E5397" t="str">
        <f t="shared" si="2531"/>
        <v>COM</v>
      </c>
      <c r="F5397" t="str">
        <f t="shared" si="2539"/>
        <v>FARMÁCIA INDIANA LJ 85 (10128)</v>
      </c>
      <c r="G5397" t="str">
        <f t="shared" si="2540"/>
        <v>Serv.Prest. 01/09/2025 a 07/09/2025 - RPS: 1214 - NFSe: 3449</v>
      </c>
      <c r="H5397" t="str">
        <f t="shared" si="2532"/>
        <v>17/09/2025</v>
      </c>
      <c r="I5397" t="str">
        <f t="shared" si="2541"/>
        <v>09/09/2025</v>
      </c>
      <c r="J5397" t="str">
        <f t="shared" si="2533"/>
        <v>17/09/2025</v>
      </c>
      <c r="M5397">
        <v>303</v>
      </c>
      <c r="N5397" t="str">
        <f t="shared" si="2535"/>
        <v>RECEITAS COM ENTREGAS</v>
      </c>
      <c r="P5397">
        <v>91.94</v>
      </c>
      <c r="Q5397" t="str">
        <f>"FARMÁCIA INDIANA LJ 236 (10169)"</f>
        <v>FARMÁCIA INDIANA LJ 236 (10169)</v>
      </c>
      <c r="R5397" t="str">
        <f t="shared" si="2536"/>
        <v>RECEITAS COM ENTREGAS (303)</v>
      </c>
      <c r="S5397">
        <v>2677</v>
      </c>
      <c r="T5397">
        <v>2053</v>
      </c>
      <c r="U5397" t="s">
        <v>19</v>
      </c>
    </row>
    <row r="5398" spans="1:21">
      <c r="A5398" t="str">
        <f t="shared" si="2530"/>
        <v>17/09/2025</v>
      </c>
      <c r="B5398" t="str">
        <f t="shared" si="2537"/>
        <v>ENTRADA</v>
      </c>
      <c r="C5398" t="str">
        <f t="shared" si="2534"/>
        <v>NFSE</v>
      </c>
      <c r="D5398" t="str">
        <f t="shared" si="2538"/>
        <v>3449</v>
      </c>
      <c r="E5398" t="str">
        <f t="shared" si="2531"/>
        <v>COM</v>
      </c>
      <c r="F5398" t="str">
        <f t="shared" si="2539"/>
        <v>FARMÁCIA INDIANA LJ 85 (10128)</v>
      </c>
      <c r="G5398" t="str">
        <f t="shared" si="2540"/>
        <v>Serv.Prest. 01/09/2025 a 07/09/2025 - RPS: 1214 - NFSe: 3449</v>
      </c>
      <c r="H5398" t="str">
        <f t="shared" si="2532"/>
        <v>17/09/2025</v>
      </c>
      <c r="I5398" t="str">
        <f t="shared" si="2541"/>
        <v>09/09/2025</v>
      </c>
      <c r="J5398" t="str">
        <f t="shared" si="2533"/>
        <v>17/09/2025</v>
      </c>
      <c r="M5398">
        <v>303</v>
      </c>
      <c r="N5398" t="str">
        <f t="shared" si="2535"/>
        <v>RECEITAS COM ENTREGAS</v>
      </c>
      <c r="P5398">
        <v>183.7</v>
      </c>
      <c r="Q5398" t="str">
        <f>"FARMÁCIA INDIANA LJ 188 (10176)"</f>
        <v>FARMÁCIA INDIANA LJ 188 (10176)</v>
      </c>
      <c r="R5398" t="str">
        <f t="shared" si="2536"/>
        <v>RECEITAS COM ENTREGAS (303)</v>
      </c>
      <c r="S5398">
        <v>2677</v>
      </c>
      <c r="T5398">
        <v>2053</v>
      </c>
      <c r="U5398" t="s">
        <v>19</v>
      </c>
    </row>
    <row r="5399" spans="1:21">
      <c r="A5399" t="str">
        <f t="shared" si="2530"/>
        <v>17/09/2025</v>
      </c>
      <c r="B5399" t="str">
        <f t="shared" si="2537"/>
        <v>ENTRADA</v>
      </c>
      <c r="C5399" t="str">
        <f t="shared" si="2534"/>
        <v>NFSE</v>
      </c>
      <c r="D5399" t="str">
        <f t="shared" si="2538"/>
        <v>3449</v>
      </c>
      <c r="E5399" t="str">
        <f t="shared" si="2531"/>
        <v>COM</v>
      </c>
      <c r="F5399" t="str">
        <f t="shared" si="2539"/>
        <v>FARMÁCIA INDIANA LJ 85 (10128)</v>
      </c>
      <c r="G5399" t="str">
        <f t="shared" si="2540"/>
        <v>Serv.Prest. 01/09/2025 a 07/09/2025 - RPS: 1214 - NFSe: 3449</v>
      </c>
      <c r="H5399" t="str">
        <f t="shared" si="2532"/>
        <v>17/09/2025</v>
      </c>
      <c r="I5399" t="str">
        <f t="shared" si="2541"/>
        <v>09/09/2025</v>
      </c>
      <c r="J5399" t="str">
        <f t="shared" si="2533"/>
        <v>17/09/2025</v>
      </c>
      <c r="M5399">
        <v>303</v>
      </c>
      <c r="N5399" t="str">
        <f t="shared" si="2535"/>
        <v>RECEITAS COM ENTREGAS</v>
      </c>
      <c r="P5399">
        <v>135.01</v>
      </c>
      <c r="Q5399" t="str">
        <f>"FARMÁCIA INDIANA LJ 273 (10188)"</f>
        <v>FARMÁCIA INDIANA LJ 273 (10188)</v>
      </c>
      <c r="R5399" t="str">
        <f t="shared" si="2536"/>
        <v>RECEITAS COM ENTREGAS (303)</v>
      </c>
      <c r="S5399">
        <v>2677</v>
      </c>
      <c r="T5399">
        <v>2053</v>
      </c>
      <c r="U5399" t="s">
        <v>19</v>
      </c>
    </row>
    <row r="5400" spans="1:21">
      <c r="A5400" t="str">
        <f t="shared" si="2530"/>
        <v>17/09/2025</v>
      </c>
      <c r="B5400" t="str">
        <f t="shared" si="2537"/>
        <v>ENTRADA</v>
      </c>
      <c r="C5400" t="str">
        <f t="shared" si="2534"/>
        <v>NFSE</v>
      </c>
      <c r="D5400" t="str">
        <f t="shared" si="2538"/>
        <v>3449</v>
      </c>
      <c r="E5400" t="str">
        <f t="shared" si="2531"/>
        <v>COM</v>
      </c>
      <c r="F5400" t="str">
        <f t="shared" si="2539"/>
        <v>FARMÁCIA INDIANA LJ 85 (10128)</v>
      </c>
      <c r="G5400" t="str">
        <f t="shared" si="2540"/>
        <v>Serv.Prest. 01/09/2025 a 07/09/2025 - RPS: 1214 - NFSe: 3449</v>
      </c>
      <c r="H5400" t="str">
        <f t="shared" si="2532"/>
        <v>17/09/2025</v>
      </c>
      <c r="I5400" t="str">
        <f t="shared" si="2541"/>
        <v>09/09/2025</v>
      </c>
      <c r="J5400" t="str">
        <f t="shared" si="2533"/>
        <v>17/09/2025</v>
      </c>
      <c r="M5400">
        <v>303</v>
      </c>
      <c r="N5400" t="str">
        <f t="shared" si="2535"/>
        <v>RECEITAS COM ENTREGAS</v>
      </c>
      <c r="P5400">
        <v>28.94</v>
      </c>
      <c r="Q5400" t="str">
        <f>"FARMÁCIA INDIANA LJ 235 (10190)"</f>
        <v>FARMÁCIA INDIANA LJ 235 (10190)</v>
      </c>
      <c r="R5400" t="str">
        <f t="shared" si="2536"/>
        <v>RECEITAS COM ENTREGAS (303)</v>
      </c>
      <c r="S5400">
        <v>2677</v>
      </c>
      <c r="T5400">
        <v>2053</v>
      </c>
      <c r="U5400" t="s">
        <v>19</v>
      </c>
    </row>
    <row r="5401" spans="1:21">
      <c r="A5401" t="str">
        <f t="shared" si="2530"/>
        <v>17/09/2025</v>
      </c>
      <c r="B5401" t="str">
        <f t="shared" si="2537"/>
        <v>ENTRADA</v>
      </c>
      <c r="C5401" t="str">
        <f t="shared" si="2534"/>
        <v>NFSE</v>
      </c>
      <c r="D5401" t="str">
        <f>"3451"</f>
        <v>3451</v>
      </c>
      <c r="E5401" t="str">
        <f t="shared" si="2531"/>
        <v>COM</v>
      </c>
      <c r="F5401" t="str">
        <f>"FARMÁCIA INDIANA LJ 1 (10126)"</f>
        <v>FARMÁCIA INDIANA LJ 1 (10126)</v>
      </c>
      <c r="G5401" t="str">
        <f>"Serv.Prest. 01/09/2025 a 07/09/2025 - RPS: 1216 - NFSe: 3451"</f>
        <v>Serv.Prest. 01/09/2025 a 07/09/2025 - RPS: 1216 - NFSe: 3451</v>
      </c>
      <c r="H5401" t="str">
        <f t="shared" si="2532"/>
        <v>17/09/2025</v>
      </c>
      <c r="I5401" t="str">
        <f t="shared" si="2541"/>
        <v>09/09/2025</v>
      </c>
      <c r="J5401" t="str">
        <f t="shared" si="2533"/>
        <v>17/09/2025</v>
      </c>
      <c r="K5401">
        <v>60.9</v>
      </c>
      <c r="L5401">
        <v>60.9</v>
      </c>
      <c r="M5401">
        <v>303</v>
      </c>
      <c r="N5401" t="str">
        <f t="shared" si="2535"/>
        <v>RECEITAS COM ENTREGAS</v>
      </c>
      <c r="O5401">
        <v>60.9</v>
      </c>
      <c r="R5401" t="str">
        <f t="shared" si="2536"/>
        <v>RECEITAS COM ENTREGAS (303)</v>
      </c>
      <c r="S5401">
        <v>2678</v>
      </c>
      <c r="T5401">
        <v>2055</v>
      </c>
      <c r="U5401" t="s">
        <v>19</v>
      </c>
    </row>
    <row r="5402" spans="1:21">
      <c r="A5402" t="str">
        <f t="shared" si="2530"/>
        <v>17/09/2025</v>
      </c>
      <c r="B5402" t="str">
        <f t="shared" si="2537"/>
        <v>ENTRADA</v>
      </c>
      <c r="C5402" t="str">
        <f t="shared" si="2534"/>
        <v>NFSE</v>
      </c>
      <c r="D5402" t="str">
        <f>"3451"</f>
        <v>3451</v>
      </c>
      <c r="E5402" t="str">
        <f t="shared" si="2531"/>
        <v>COM</v>
      </c>
      <c r="F5402" t="str">
        <f>"FARMÁCIA INDIANA LJ 1 (10126)"</f>
        <v>FARMÁCIA INDIANA LJ 1 (10126)</v>
      </c>
      <c r="G5402" t="str">
        <f>"Serv.Prest. 01/09/2025 a 07/09/2025 - RPS: 1216 - NFSe: 3451"</f>
        <v>Serv.Prest. 01/09/2025 a 07/09/2025 - RPS: 1216 - NFSe: 3451</v>
      </c>
      <c r="H5402" t="str">
        <f t="shared" si="2532"/>
        <v>17/09/2025</v>
      </c>
      <c r="I5402" t="str">
        <f t="shared" si="2541"/>
        <v>09/09/2025</v>
      </c>
      <c r="J5402" t="str">
        <f t="shared" si="2533"/>
        <v>17/09/2025</v>
      </c>
      <c r="M5402">
        <v>303</v>
      </c>
      <c r="N5402" t="str">
        <f t="shared" si="2535"/>
        <v>RECEITAS COM ENTREGAS</v>
      </c>
      <c r="P5402">
        <v>60.9</v>
      </c>
      <c r="Q5402" t="str">
        <f>"FARMÁCIA INDIANA LJ 18 (10011)"</f>
        <v>FARMÁCIA INDIANA LJ 18 (10011)</v>
      </c>
      <c r="R5402" t="str">
        <f t="shared" si="2536"/>
        <v>RECEITAS COM ENTREGAS (303)</v>
      </c>
      <c r="S5402">
        <v>2678</v>
      </c>
      <c r="T5402">
        <v>2055</v>
      </c>
      <c r="U5402" t="s">
        <v>19</v>
      </c>
    </row>
    <row r="5403" spans="1:21">
      <c r="A5403" t="str">
        <f t="shared" si="2530"/>
        <v>17/09/2025</v>
      </c>
      <c r="B5403" t="str">
        <f t="shared" si="2537"/>
        <v>ENTRADA</v>
      </c>
      <c r="C5403" t="str">
        <f t="shared" si="2534"/>
        <v>NFSE</v>
      </c>
      <c r="D5403" t="str">
        <f>"3461"</f>
        <v>3461</v>
      </c>
      <c r="E5403" t="str">
        <f t="shared" si="2531"/>
        <v>COM</v>
      </c>
      <c r="F5403" t="str">
        <f>"DROGARIA TOTAL JUNDIAI (10177)"</f>
        <v>DROGARIA TOTAL JUNDIAI (10177)</v>
      </c>
      <c r="G5403" t="str">
        <f>"Serv.Prest. 08/09/2025 a 14/09/2025 - RPS: 1226 - NFSe: 3461"</f>
        <v>Serv.Prest. 08/09/2025 a 14/09/2025 - RPS: 1226 - NFSe: 3461</v>
      </c>
      <c r="H5403" t="str">
        <f t="shared" si="2532"/>
        <v>17/09/2025</v>
      </c>
      <c r="I5403" t="str">
        <f>("15/09/2025")</f>
        <v>15/09/2025</v>
      </c>
      <c r="J5403" t="str">
        <f t="shared" si="2533"/>
        <v>17/09/2025</v>
      </c>
      <c r="K5403">
        <v>100.27</v>
      </c>
      <c r="L5403">
        <v>100.27</v>
      </c>
      <c r="M5403">
        <v>303</v>
      </c>
      <c r="N5403" t="str">
        <f t="shared" si="2535"/>
        <v>RECEITAS COM ENTREGAS</v>
      </c>
      <c r="O5403">
        <v>100.27</v>
      </c>
      <c r="R5403" t="str">
        <f t="shared" si="2536"/>
        <v>RECEITAS COM ENTREGAS (303)</v>
      </c>
      <c r="S5403">
        <v>2679</v>
      </c>
      <c r="T5403">
        <v>2109</v>
      </c>
      <c r="U5403" t="s">
        <v>19</v>
      </c>
    </row>
    <row r="5404" spans="1:21">
      <c r="A5404" t="str">
        <f t="shared" si="2530"/>
        <v>17/09/2025</v>
      </c>
      <c r="B5404" t="str">
        <f t="shared" si="2537"/>
        <v>ENTRADA</v>
      </c>
      <c r="C5404" t="str">
        <f t="shared" si="2534"/>
        <v>NFSE</v>
      </c>
      <c r="D5404" t="str">
        <f>"3461"</f>
        <v>3461</v>
      </c>
      <c r="E5404" t="str">
        <f t="shared" si="2531"/>
        <v>COM</v>
      </c>
      <c r="F5404" t="str">
        <f>"DROGARIA TOTAL JUNDIAI (10177)"</f>
        <v>DROGARIA TOTAL JUNDIAI (10177)</v>
      </c>
      <c r="G5404" t="str">
        <f>"Serv.Prest. 08/09/2025 a 14/09/2025 - RPS: 1226 - NFSe: 3461"</f>
        <v>Serv.Prest. 08/09/2025 a 14/09/2025 - RPS: 1226 - NFSe: 3461</v>
      </c>
      <c r="H5404" t="str">
        <f t="shared" si="2532"/>
        <v>17/09/2025</v>
      </c>
      <c r="I5404" t="str">
        <f>("15/09/2025")</f>
        <v>15/09/2025</v>
      </c>
      <c r="J5404" t="str">
        <f t="shared" si="2533"/>
        <v>17/09/2025</v>
      </c>
      <c r="M5404">
        <v>303</v>
      </c>
      <c r="N5404" t="str">
        <f t="shared" si="2535"/>
        <v>RECEITAS COM ENTREGAS</v>
      </c>
      <c r="P5404">
        <v>100.27</v>
      </c>
      <c r="Q5404" t="str">
        <f>"DROGARIA TOTAL JUNDIAI (10177)"</f>
        <v>DROGARIA TOTAL JUNDIAI (10177)</v>
      </c>
      <c r="R5404" t="str">
        <f t="shared" si="2536"/>
        <v>RECEITAS COM ENTREGAS (303)</v>
      </c>
      <c r="S5404">
        <v>2679</v>
      </c>
      <c r="T5404">
        <v>2109</v>
      </c>
      <c r="U5404" t="s">
        <v>19</v>
      </c>
    </row>
    <row r="5405" spans="1:21">
      <c r="A5405" t="str">
        <f t="shared" si="2530"/>
        <v>17/09/2025</v>
      </c>
      <c r="B5405" t="str">
        <f t="shared" ref="B5405:B5412" si="2542">"SAÍDA"</f>
        <v>SAÍDA</v>
      </c>
      <c r="C5405" t="str">
        <f t="shared" ref="C5405:C5410" si="2543">"CONHECIMENTO"</f>
        <v>CONHECIMENTO</v>
      </c>
      <c r="D5405" t="str">
        <f t="shared" ref="D5405:D5410" si="2544">"170925170"</f>
        <v>170925170</v>
      </c>
      <c r="E5405" t="str">
        <f t="shared" si="2531"/>
        <v>COM</v>
      </c>
      <c r="F5405" t="str">
        <f t="shared" ref="F5405:F5412" si="2545">"CORA SOCIEDADE DE CREDITO, FINANCIAMENTO E INVESTIMENTO (20035)"</f>
        <v>CORA SOCIEDADE DE CREDITO, FINANCIAMENTO E INVESTIMENTO (20035)</v>
      </c>
      <c r="G5405" t="str">
        <f t="shared" ref="G5405:G5410" si="2546">"TAXA BOLETO COMPENSADO"</f>
        <v>TAXA BOLETO COMPENSADO</v>
      </c>
      <c r="H5405" t="str">
        <f t="shared" si="2532"/>
        <v>17/09/2025</v>
      </c>
      <c r="I5405" t="str">
        <f t="shared" ref="I5405:I5410" si="2547">("17/09/2025")</f>
        <v>17/09/2025</v>
      </c>
      <c r="J5405" t="str">
        <f t="shared" si="2533"/>
        <v>17/09/2025</v>
      </c>
      <c r="K5405">
        <v>1.7</v>
      </c>
      <c r="L5405">
        <v>1.7</v>
      </c>
      <c r="M5405">
        <v>401</v>
      </c>
      <c r="N5405" t="str">
        <f t="shared" ref="N5405:N5412" si="2548">"IOF/JUROS/DESP.FINANCEIRA"</f>
        <v>IOF/JUROS/DESP.FINANCEIRA</v>
      </c>
      <c r="O5405">
        <v>1.7</v>
      </c>
      <c r="R5405" t="str">
        <f t="shared" ref="R5405:R5412" si="2549">"BANCO CORA (102)"</f>
        <v>BANCO CORA (102)</v>
      </c>
      <c r="S5405">
        <v>2912</v>
      </c>
      <c r="T5405">
        <v>2470</v>
      </c>
      <c r="U5405" t="s">
        <v>19</v>
      </c>
    </row>
    <row r="5406" spans="1:21">
      <c r="A5406" t="str">
        <f t="shared" si="2530"/>
        <v>17/09/2025</v>
      </c>
      <c r="B5406" t="str">
        <f t="shared" si="2542"/>
        <v>SAÍDA</v>
      </c>
      <c r="C5406" t="str">
        <f t="shared" si="2543"/>
        <v>CONHECIMENTO</v>
      </c>
      <c r="D5406" t="str">
        <f t="shared" si="2544"/>
        <v>170925170</v>
      </c>
      <c r="E5406" t="str">
        <f t="shared" si="2531"/>
        <v>COM</v>
      </c>
      <c r="F5406" t="str">
        <f t="shared" si="2545"/>
        <v>CORA SOCIEDADE DE CREDITO, FINANCIAMENTO E INVESTIMENTO (20035)</v>
      </c>
      <c r="G5406" t="str">
        <f t="shared" si="2546"/>
        <v>TAXA BOLETO COMPENSADO</v>
      </c>
      <c r="H5406" t="str">
        <f t="shared" si="2532"/>
        <v>17/09/2025</v>
      </c>
      <c r="I5406" t="str">
        <f t="shared" si="2547"/>
        <v>17/09/2025</v>
      </c>
      <c r="J5406" t="str">
        <f t="shared" si="2533"/>
        <v>17/09/2025</v>
      </c>
      <c r="K5406">
        <v>1.7</v>
      </c>
      <c r="L5406">
        <v>1.7</v>
      </c>
      <c r="M5406">
        <v>401</v>
      </c>
      <c r="N5406" t="str">
        <f t="shared" si="2548"/>
        <v>IOF/JUROS/DESP.FINANCEIRA</v>
      </c>
      <c r="O5406">
        <v>1.7</v>
      </c>
      <c r="R5406" t="str">
        <f t="shared" si="2549"/>
        <v>BANCO CORA (102)</v>
      </c>
      <c r="S5406">
        <v>2913</v>
      </c>
      <c r="T5406">
        <v>2471</v>
      </c>
      <c r="U5406" t="s">
        <v>19</v>
      </c>
    </row>
    <row r="5407" spans="1:21">
      <c r="A5407" t="str">
        <f t="shared" si="2530"/>
        <v>17/09/2025</v>
      </c>
      <c r="B5407" t="str">
        <f t="shared" si="2542"/>
        <v>SAÍDA</v>
      </c>
      <c r="C5407" t="str">
        <f t="shared" si="2543"/>
        <v>CONHECIMENTO</v>
      </c>
      <c r="D5407" t="str">
        <f t="shared" si="2544"/>
        <v>170925170</v>
      </c>
      <c r="E5407" t="str">
        <f t="shared" si="2531"/>
        <v>COM</v>
      </c>
      <c r="F5407" t="str">
        <f t="shared" si="2545"/>
        <v>CORA SOCIEDADE DE CREDITO, FINANCIAMENTO E INVESTIMENTO (20035)</v>
      </c>
      <c r="G5407" t="str">
        <f t="shared" si="2546"/>
        <v>TAXA BOLETO COMPENSADO</v>
      </c>
      <c r="H5407" t="str">
        <f t="shared" si="2532"/>
        <v>17/09/2025</v>
      </c>
      <c r="I5407" t="str">
        <f t="shared" si="2547"/>
        <v>17/09/2025</v>
      </c>
      <c r="J5407" t="str">
        <f t="shared" si="2533"/>
        <v>17/09/2025</v>
      </c>
      <c r="K5407">
        <v>1.7</v>
      </c>
      <c r="L5407">
        <v>1.7</v>
      </c>
      <c r="M5407">
        <v>401</v>
      </c>
      <c r="N5407" t="str">
        <f t="shared" si="2548"/>
        <v>IOF/JUROS/DESP.FINANCEIRA</v>
      </c>
      <c r="O5407">
        <v>1.7</v>
      </c>
      <c r="R5407" t="str">
        <f t="shared" si="2549"/>
        <v>BANCO CORA (102)</v>
      </c>
      <c r="S5407">
        <v>2914</v>
      </c>
      <c r="T5407">
        <v>2472</v>
      </c>
      <c r="U5407" t="s">
        <v>19</v>
      </c>
    </row>
    <row r="5408" spans="1:21">
      <c r="A5408" t="str">
        <f t="shared" si="2530"/>
        <v>17/09/2025</v>
      </c>
      <c r="B5408" t="str">
        <f t="shared" si="2542"/>
        <v>SAÍDA</v>
      </c>
      <c r="C5408" t="str">
        <f t="shared" si="2543"/>
        <v>CONHECIMENTO</v>
      </c>
      <c r="D5408" t="str">
        <f t="shared" si="2544"/>
        <v>170925170</v>
      </c>
      <c r="E5408" t="str">
        <f t="shared" si="2531"/>
        <v>COM</v>
      </c>
      <c r="F5408" t="str">
        <f t="shared" si="2545"/>
        <v>CORA SOCIEDADE DE CREDITO, FINANCIAMENTO E INVESTIMENTO (20035)</v>
      </c>
      <c r="G5408" t="str">
        <f t="shared" si="2546"/>
        <v>TAXA BOLETO COMPENSADO</v>
      </c>
      <c r="H5408" t="str">
        <f t="shared" si="2532"/>
        <v>17/09/2025</v>
      </c>
      <c r="I5408" t="str">
        <f t="shared" si="2547"/>
        <v>17/09/2025</v>
      </c>
      <c r="J5408" t="str">
        <f t="shared" si="2533"/>
        <v>17/09/2025</v>
      </c>
      <c r="K5408">
        <v>1.7</v>
      </c>
      <c r="L5408">
        <v>1.7</v>
      </c>
      <c r="M5408">
        <v>401</v>
      </c>
      <c r="N5408" t="str">
        <f t="shared" si="2548"/>
        <v>IOF/JUROS/DESP.FINANCEIRA</v>
      </c>
      <c r="O5408">
        <v>1.7</v>
      </c>
      <c r="R5408" t="str">
        <f t="shared" si="2549"/>
        <v>BANCO CORA (102)</v>
      </c>
      <c r="S5408">
        <v>2915</v>
      </c>
      <c r="T5408">
        <v>2473</v>
      </c>
      <c r="U5408" t="s">
        <v>19</v>
      </c>
    </row>
    <row r="5409" spans="1:21">
      <c r="A5409" t="str">
        <f t="shared" si="2530"/>
        <v>17/09/2025</v>
      </c>
      <c r="B5409" t="str">
        <f t="shared" si="2542"/>
        <v>SAÍDA</v>
      </c>
      <c r="C5409" t="str">
        <f t="shared" si="2543"/>
        <v>CONHECIMENTO</v>
      </c>
      <c r="D5409" t="str">
        <f t="shared" si="2544"/>
        <v>170925170</v>
      </c>
      <c r="E5409" t="str">
        <f t="shared" si="2531"/>
        <v>COM</v>
      </c>
      <c r="F5409" t="str">
        <f t="shared" si="2545"/>
        <v>CORA SOCIEDADE DE CREDITO, FINANCIAMENTO E INVESTIMENTO (20035)</v>
      </c>
      <c r="G5409" t="str">
        <f t="shared" si="2546"/>
        <v>TAXA BOLETO COMPENSADO</v>
      </c>
      <c r="H5409" t="str">
        <f t="shared" si="2532"/>
        <v>17/09/2025</v>
      </c>
      <c r="I5409" t="str">
        <f t="shared" si="2547"/>
        <v>17/09/2025</v>
      </c>
      <c r="J5409" t="str">
        <f t="shared" si="2533"/>
        <v>17/09/2025</v>
      </c>
      <c r="K5409">
        <v>1.7</v>
      </c>
      <c r="L5409">
        <v>1.7</v>
      </c>
      <c r="M5409">
        <v>401</v>
      </c>
      <c r="N5409" t="str">
        <f t="shared" si="2548"/>
        <v>IOF/JUROS/DESP.FINANCEIRA</v>
      </c>
      <c r="O5409">
        <v>1.7</v>
      </c>
      <c r="R5409" t="str">
        <f t="shared" si="2549"/>
        <v>BANCO CORA (102)</v>
      </c>
      <c r="S5409">
        <v>2916</v>
      </c>
      <c r="T5409">
        <v>2474</v>
      </c>
      <c r="U5409" t="s">
        <v>19</v>
      </c>
    </row>
    <row r="5410" spans="1:21">
      <c r="A5410" t="str">
        <f t="shared" si="2530"/>
        <v>17/09/2025</v>
      </c>
      <c r="B5410" t="str">
        <f t="shared" si="2542"/>
        <v>SAÍDA</v>
      </c>
      <c r="C5410" t="str">
        <f t="shared" si="2543"/>
        <v>CONHECIMENTO</v>
      </c>
      <c r="D5410" t="str">
        <f t="shared" si="2544"/>
        <v>170925170</v>
      </c>
      <c r="E5410" t="str">
        <f t="shared" ref="E5410:E5441" si="2550">"COM"</f>
        <v>COM</v>
      </c>
      <c r="F5410" t="str">
        <f t="shared" si="2545"/>
        <v>CORA SOCIEDADE DE CREDITO, FINANCIAMENTO E INVESTIMENTO (20035)</v>
      </c>
      <c r="G5410" t="str">
        <f t="shared" si="2546"/>
        <v>TAXA BOLETO COMPENSADO</v>
      </c>
      <c r="H5410" t="str">
        <f t="shared" ref="H5410:H5425" si="2551">("17/09/2025")</f>
        <v>17/09/2025</v>
      </c>
      <c r="I5410" t="str">
        <f t="shared" si="2547"/>
        <v>17/09/2025</v>
      </c>
      <c r="J5410" t="str">
        <f t="shared" si="2533"/>
        <v>17/09/2025</v>
      </c>
      <c r="K5410">
        <v>1.7</v>
      </c>
      <c r="L5410">
        <v>1.7</v>
      </c>
      <c r="M5410">
        <v>401</v>
      </c>
      <c r="N5410" t="str">
        <f t="shared" si="2548"/>
        <v>IOF/JUROS/DESP.FINANCEIRA</v>
      </c>
      <c r="O5410">
        <v>1.7</v>
      </c>
      <c r="R5410" t="str">
        <f t="shared" si="2549"/>
        <v>BANCO CORA (102)</v>
      </c>
      <c r="S5410">
        <v>2917</v>
      </c>
      <c r="T5410">
        <v>2475</v>
      </c>
      <c r="U5410" t="s">
        <v>19</v>
      </c>
    </row>
    <row r="5411" spans="1:21">
      <c r="A5411" t="str">
        <f t="shared" si="2530"/>
        <v>17/09/2025</v>
      </c>
      <c r="B5411" t="str">
        <f t="shared" si="2542"/>
        <v>SAÍDA</v>
      </c>
      <c r="C5411" t="str">
        <f>"BOLETO"</f>
        <v>BOLETO</v>
      </c>
      <c r="D5411" t="str">
        <f>"011125"</f>
        <v>011125</v>
      </c>
      <c r="E5411" t="str">
        <f t="shared" si="2550"/>
        <v>COM</v>
      </c>
      <c r="F5411" t="str">
        <f t="shared" si="2545"/>
        <v>CORA SOCIEDADE DE CREDITO, FINANCIAMENTO E INVESTIMENTO (20035)</v>
      </c>
      <c r="G5411" t="str">
        <f>"TAXA BOLETO CORA"</f>
        <v>TAXA BOLETO CORA</v>
      </c>
      <c r="H5411" t="str">
        <f t="shared" si="2551"/>
        <v>17/09/2025</v>
      </c>
      <c r="I5411" t="str">
        <f>("01/11/2025")</f>
        <v>01/11/2025</v>
      </c>
      <c r="J5411" t="str">
        <f t="shared" si="2533"/>
        <v>17/09/2025</v>
      </c>
      <c r="K5411">
        <v>1.7</v>
      </c>
      <c r="L5411">
        <v>1.7</v>
      </c>
      <c r="M5411">
        <v>401</v>
      </c>
      <c r="N5411" t="str">
        <f t="shared" si="2548"/>
        <v>IOF/JUROS/DESP.FINANCEIRA</v>
      </c>
      <c r="O5411">
        <v>1.7</v>
      </c>
      <c r="R5411" t="str">
        <f t="shared" si="2549"/>
        <v>BANCO CORA (102)</v>
      </c>
      <c r="S5411">
        <v>3105</v>
      </c>
      <c r="T5411">
        <v>2662</v>
      </c>
      <c r="U5411" t="s">
        <v>19</v>
      </c>
    </row>
    <row r="5412" spans="1:21">
      <c r="A5412" t="str">
        <f t="shared" si="2530"/>
        <v>17/09/2025</v>
      </c>
      <c r="B5412" t="str">
        <f t="shared" si="2542"/>
        <v>SAÍDA</v>
      </c>
      <c r="C5412" t="str">
        <f>"BOLETO"</f>
        <v>BOLETO</v>
      </c>
      <c r="D5412" t="str">
        <f>"011125"</f>
        <v>011125</v>
      </c>
      <c r="E5412" t="str">
        <f t="shared" si="2550"/>
        <v>COM</v>
      </c>
      <c r="F5412" t="str">
        <f t="shared" si="2545"/>
        <v>CORA SOCIEDADE DE CREDITO, FINANCIAMENTO E INVESTIMENTO (20035)</v>
      </c>
      <c r="G5412" t="str">
        <f>"TAXA BOLETO CORA"</f>
        <v>TAXA BOLETO CORA</v>
      </c>
      <c r="H5412" t="str">
        <f t="shared" si="2551"/>
        <v>17/09/2025</v>
      </c>
      <c r="I5412" t="str">
        <f>("01/11/2025")</f>
        <v>01/11/2025</v>
      </c>
      <c r="J5412" t="str">
        <f t="shared" si="2533"/>
        <v>17/09/2025</v>
      </c>
      <c r="M5412">
        <v>401</v>
      </c>
      <c r="N5412" t="str">
        <f t="shared" si="2548"/>
        <v>IOF/JUROS/DESP.FINANCEIRA</v>
      </c>
      <c r="P5412">
        <v>1.7</v>
      </c>
      <c r="Q5412" t="str">
        <f>"CORA SOCIEDADE DE CREDITO, FINANCIAMENTO E INVESTIMENTO (20035)"</f>
        <v>CORA SOCIEDADE DE CREDITO, FINANCIAMENTO E INVESTIMENTO (20035)</v>
      </c>
      <c r="R5412" t="str">
        <f t="shared" si="2549"/>
        <v>BANCO CORA (102)</v>
      </c>
      <c r="S5412">
        <v>3105</v>
      </c>
      <c r="T5412">
        <v>2662</v>
      </c>
      <c r="U5412" t="s">
        <v>19</v>
      </c>
    </row>
    <row r="5413" spans="1:21">
      <c r="A5413" t="str">
        <f t="shared" ref="A5413:A5444" si="2552">("18/09/2025")</f>
        <v>18/09/2025</v>
      </c>
      <c r="B5413" t="str">
        <f>"ENTRADA"</f>
        <v>ENTRADA</v>
      </c>
      <c r="C5413" t="str">
        <f t="shared" ref="C5413:C5445" si="2553">"NFSE"</f>
        <v>NFSE</v>
      </c>
      <c r="D5413" t="str">
        <f>"3454"</f>
        <v>3454</v>
      </c>
      <c r="E5413" t="str">
        <f t="shared" si="2550"/>
        <v>COM</v>
      </c>
      <c r="F5413" t="str">
        <f>"AC FARMA - CID.ALTA (10166)"</f>
        <v>AC FARMA - CID.ALTA (10166)</v>
      </c>
      <c r="G5413" t="str">
        <f>"Serv.Prest. 01/09/2025 a 07/09/2025 - RPS: 1219 - NFSe: 3454"</f>
        <v>Serv.Prest. 01/09/2025 a 07/09/2025 - RPS: 1219 - NFSe: 3454</v>
      </c>
      <c r="H5413" t="str">
        <f t="shared" si="2551"/>
        <v>17/09/2025</v>
      </c>
      <c r="I5413" t="str">
        <f>("09/09/2025")</f>
        <v>09/09/2025</v>
      </c>
      <c r="J5413" t="str">
        <f t="shared" ref="J5413:J5444" si="2554">("18/09/2025")</f>
        <v>18/09/2025</v>
      </c>
      <c r="K5413">
        <v>1026.72</v>
      </c>
      <c r="L5413">
        <v>1026.72</v>
      </c>
      <c r="M5413">
        <v>303</v>
      </c>
      <c r="N5413" t="str">
        <f t="shared" ref="N5413:N5445" si="2555">"RECEITAS COM ENTREGAS"</f>
        <v>RECEITAS COM ENTREGAS</v>
      </c>
      <c r="O5413">
        <v>1026.72</v>
      </c>
      <c r="R5413" t="str">
        <f t="shared" ref="R5413:R5445" si="2556">"RECEITAS COM ENTREGAS (303)"</f>
        <v>RECEITAS COM ENTREGAS (303)</v>
      </c>
      <c r="S5413">
        <v>2680</v>
      </c>
      <c r="T5413">
        <v>2058</v>
      </c>
      <c r="U5413" t="s">
        <v>19</v>
      </c>
    </row>
    <row r="5414" spans="1:21">
      <c r="A5414" t="str">
        <f t="shared" si="2552"/>
        <v>18/09/2025</v>
      </c>
      <c r="B5414" t="str">
        <f t="shared" ref="B5414:B5445" si="2557">"ENTRADA"</f>
        <v>ENTRADA</v>
      </c>
      <c r="C5414" t="str">
        <f t="shared" si="2553"/>
        <v>NFSE</v>
      </c>
      <c r="D5414" t="str">
        <f>"3454"</f>
        <v>3454</v>
      </c>
      <c r="E5414" t="str">
        <f t="shared" si="2550"/>
        <v>COM</v>
      </c>
      <c r="F5414" t="str">
        <f>"AC FARMA - CID.ALTA (10166)"</f>
        <v>AC FARMA - CID.ALTA (10166)</v>
      </c>
      <c r="G5414" t="str">
        <f>"Serv.Prest. 01/09/2025 a 07/09/2025 - RPS: 1219 - NFSe: 3454"</f>
        <v>Serv.Prest. 01/09/2025 a 07/09/2025 - RPS: 1219 - NFSe: 3454</v>
      </c>
      <c r="H5414" t="str">
        <f t="shared" si="2551"/>
        <v>17/09/2025</v>
      </c>
      <c r="I5414" t="str">
        <f>("09/09/2025")</f>
        <v>09/09/2025</v>
      </c>
      <c r="J5414" t="str">
        <f t="shared" si="2554"/>
        <v>18/09/2025</v>
      </c>
      <c r="M5414">
        <v>303</v>
      </c>
      <c r="N5414" t="str">
        <f t="shared" si="2555"/>
        <v>RECEITAS COM ENTREGAS</v>
      </c>
      <c r="P5414">
        <v>1026.72</v>
      </c>
      <c r="Q5414" t="str">
        <f>"AC FARMA - CID.ALTA (10166)"</f>
        <v>AC FARMA - CID.ALTA (10166)</v>
      </c>
      <c r="R5414" t="str">
        <f t="shared" si="2556"/>
        <v>RECEITAS COM ENTREGAS (303)</v>
      </c>
      <c r="S5414">
        <v>2680</v>
      </c>
      <c r="T5414">
        <v>2058</v>
      </c>
      <c r="U5414" t="s">
        <v>19</v>
      </c>
    </row>
    <row r="5415" spans="1:21">
      <c r="A5415" t="str">
        <f t="shared" si="2552"/>
        <v>18/09/2025</v>
      </c>
      <c r="B5415" t="str">
        <f t="shared" si="2557"/>
        <v>ENTRADA</v>
      </c>
      <c r="C5415" t="str">
        <f t="shared" si="2553"/>
        <v>NFSE</v>
      </c>
      <c r="D5415" t="str">
        <f>"3455"</f>
        <v>3455</v>
      </c>
      <c r="E5415" t="str">
        <f t="shared" si="2550"/>
        <v>COM</v>
      </c>
      <c r="F5415" t="str">
        <f>"AC FARMA - FLEMINFARMA (10160)"</f>
        <v>AC FARMA - FLEMINFARMA (10160)</v>
      </c>
      <c r="G5415" t="str">
        <f>"Serv.Prest. 01/09/2025 a 07/09/2025 - RPS: 1220 - NFSe: 3455"</f>
        <v>Serv.Prest. 01/09/2025 a 07/09/2025 - RPS: 1220 - NFSe: 3455</v>
      </c>
      <c r="H5415" t="str">
        <f t="shared" si="2551"/>
        <v>17/09/2025</v>
      </c>
      <c r="I5415" t="str">
        <f>("09/09/2025")</f>
        <v>09/09/2025</v>
      </c>
      <c r="J5415" t="str">
        <f t="shared" si="2554"/>
        <v>18/09/2025</v>
      </c>
      <c r="K5415">
        <v>266.39999999999998</v>
      </c>
      <c r="L5415">
        <v>266.39999999999998</v>
      </c>
      <c r="M5415">
        <v>303</v>
      </c>
      <c r="N5415" t="str">
        <f t="shared" si="2555"/>
        <v>RECEITAS COM ENTREGAS</v>
      </c>
      <c r="O5415">
        <v>266.39999999999998</v>
      </c>
      <c r="R5415" t="str">
        <f t="shared" si="2556"/>
        <v>RECEITAS COM ENTREGAS (303)</v>
      </c>
      <c r="S5415">
        <v>2681</v>
      </c>
      <c r="T5415">
        <v>2059</v>
      </c>
      <c r="U5415" t="s">
        <v>19</v>
      </c>
    </row>
    <row r="5416" spans="1:21">
      <c r="A5416" t="str">
        <f t="shared" si="2552"/>
        <v>18/09/2025</v>
      </c>
      <c r="B5416" t="str">
        <f t="shared" si="2557"/>
        <v>ENTRADA</v>
      </c>
      <c r="C5416" t="str">
        <f t="shared" si="2553"/>
        <v>NFSE</v>
      </c>
      <c r="D5416" t="str">
        <f>"3455"</f>
        <v>3455</v>
      </c>
      <c r="E5416" t="str">
        <f t="shared" si="2550"/>
        <v>COM</v>
      </c>
      <c r="F5416" t="str">
        <f>"AC FARMA - FLEMINFARMA (10160)"</f>
        <v>AC FARMA - FLEMINFARMA (10160)</v>
      </c>
      <c r="G5416" t="str">
        <f>"Serv.Prest. 01/09/2025 a 07/09/2025 - RPS: 1220 - NFSe: 3455"</f>
        <v>Serv.Prest. 01/09/2025 a 07/09/2025 - RPS: 1220 - NFSe: 3455</v>
      </c>
      <c r="H5416" t="str">
        <f t="shared" si="2551"/>
        <v>17/09/2025</v>
      </c>
      <c r="I5416" t="str">
        <f>("09/09/2025")</f>
        <v>09/09/2025</v>
      </c>
      <c r="J5416" t="str">
        <f t="shared" si="2554"/>
        <v>18/09/2025</v>
      </c>
      <c r="M5416">
        <v>303</v>
      </c>
      <c r="N5416" t="str">
        <f t="shared" si="2555"/>
        <v>RECEITAS COM ENTREGAS</v>
      </c>
      <c r="P5416">
        <v>260.64999999999998</v>
      </c>
      <c r="Q5416" t="str">
        <f>"AC FARMA -  FLEMINFARMA (10159)"</f>
        <v>AC FARMA -  FLEMINFARMA (10159)</v>
      </c>
      <c r="R5416" t="str">
        <f t="shared" si="2556"/>
        <v>RECEITAS COM ENTREGAS (303)</v>
      </c>
      <c r="S5416">
        <v>2681</v>
      </c>
      <c r="T5416">
        <v>2059</v>
      </c>
      <c r="U5416" t="s">
        <v>19</v>
      </c>
    </row>
    <row r="5417" spans="1:21">
      <c r="A5417" t="str">
        <f t="shared" si="2552"/>
        <v>18/09/2025</v>
      </c>
      <c r="B5417" t="str">
        <f t="shared" si="2557"/>
        <v>ENTRADA</v>
      </c>
      <c r="C5417" t="str">
        <f t="shared" si="2553"/>
        <v>NFSE</v>
      </c>
      <c r="D5417" t="str">
        <f>"3455"</f>
        <v>3455</v>
      </c>
      <c r="E5417" t="str">
        <f t="shared" si="2550"/>
        <v>COM</v>
      </c>
      <c r="F5417" t="str">
        <f>"AC FARMA - FLEMINFARMA (10160)"</f>
        <v>AC FARMA - FLEMINFARMA (10160)</v>
      </c>
      <c r="G5417" t="str">
        <f>"Serv.Prest. 01/09/2025 a 07/09/2025 - RPS: 1220 - NFSe: 3455"</f>
        <v>Serv.Prest. 01/09/2025 a 07/09/2025 - RPS: 1220 - NFSe: 3455</v>
      </c>
      <c r="H5417" t="str">
        <f t="shared" si="2551"/>
        <v>17/09/2025</v>
      </c>
      <c r="I5417" t="str">
        <f>("09/09/2025")</f>
        <v>09/09/2025</v>
      </c>
      <c r="J5417" t="str">
        <f t="shared" si="2554"/>
        <v>18/09/2025</v>
      </c>
      <c r="M5417">
        <v>303</v>
      </c>
      <c r="N5417" t="str">
        <f t="shared" si="2555"/>
        <v>RECEITAS COM ENTREGAS</v>
      </c>
      <c r="P5417">
        <v>5.75</v>
      </c>
      <c r="Q5417" t="str">
        <f>"AC FARMA - FLEMINFARMA (10160)"</f>
        <v>AC FARMA - FLEMINFARMA (10160)</v>
      </c>
      <c r="R5417" t="str">
        <f t="shared" si="2556"/>
        <v>RECEITAS COM ENTREGAS (303)</v>
      </c>
      <c r="S5417">
        <v>2681</v>
      </c>
      <c r="T5417">
        <v>2059</v>
      </c>
      <c r="U5417" t="s">
        <v>19</v>
      </c>
    </row>
    <row r="5418" spans="1:21">
      <c r="A5418" t="str">
        <f t="shared" si="2552"/>
        <v>18/09/2025</v>
      </c>
      <c r="B5418" t="str">
        <f t="shared" si="2557"/>
        <v>ENTRADA</v>
      </c>
      <c r="C5418" t="str">
        <f t="shared" si="2553"/>
        <v>NFSE</v>
      </c>
      <c r="D5418" t="str">
        <f>"3460"</f>
        <v>3460</v>
      </c>
      <c r="E5418" t="str">
        <f t="shared" si="2550"/>
        <v>COM</v>
      </c>
      <c r="F5418" t="str">
        <f>"DROGARIA ANA VISCONDE DO RIO BRANCO (10182)"</f>
        <v>DROGARIA ANA VISCONDE DO RIO BRANCO (10182)</v>
      </c>
      <c r="G5418" t="str">
        <f>"Serv.Prest. 08/09/2025 a 14/09/2025 - RPS: 1225 - NFSe: 3460"</f>
        <v>Serv.Prest. 08/09/2025 a 14/09/2025 - RPS: 1225 - NFSe: 3460</v>
      </c>
      <c r="H5418" t="str">
        <f t="shared" si="2551"/>
        <v>17/09/2025</v>
      </c>
      <c r="I5418" t="str">
        <f>("15/09/2025")</f>
        <v>15/09/2025</v>
      </c>
      <c r="J5418" t="str">
        <f t="shared" si="2554"/>
        <v>18/09/2025</v>
      </c>
      <c r="K5418">
        <v>845.28</v>
      </c>
      <c r="L5418">
        <v>845.28</v>
      </c>
      <c r="M5418">
        <v>303</v>
      </c>
      <c r="N5418" t="str">
        <f t="shared" si="2555"/>
        <v>RECEITAS COM ENTREGAS</v>
      </c>
      <c r="O5418">
        <v>845.28</v>
      </c>
      <c r="R5418" t="str">
        <f t="shared" si="2556"/>
        <v>RECEITAS COM ENTREGAS (303)</v>
      </c>
      <c r="S5418">
        <v>2682</v>
      </c>
      <c r="T5418">
        <v>2108</v>
      </c>
      <c r="U5418" t="s">
        <v>19</v>
      </c>
    </row>
    <row r="5419" spans="1:21">
      <c r="A5419" t="str">
        <f t="shared" si="2552"/>
        <v>18/09/2025</v>
      </c>
      <c r="B5419" t="str">
        <f t="shared" si="2557"/>
        <v>ENTRADA</v>
      </c>
      <c r="C5419" t="str">
        <f t="shared" si="2553"/>
        <v>NFSE</v>
      </c>
      <c r="D5419" t="str">
        <f>"3460"</f>
        <v>3460</v>
      </c>
      <c r="E5419" t="str">
        <f t="shared" si="2550"/>
        <v>COM</v>
      </c>
      <c r="F5419" t="str">
        <f>"DROGARIA ANA VISCONDE DO RIO BRANCO (10182)"</f>
        <v>DROGARIA ANA VISCONDE DO RIO BRANCO (10182)</v>
      </c>
      <c r="G5419" t="str">
        <f>"Serv.Prest. 08/09/2025 a 14/09/2025 - RPS: 1225 - NFSe: 3460"</f>
        <v>Serv.Prest. 08/09/2025 a 14/09/2025 - RPS: 1225 - NFSe: 3460</v>
      </c>
      <c r="H5419" t="str">
        <f t="shared" si="2551"/>
        <v>17/09/2025</v>
      </c>
      <c r="I5419" t="str">
        <f>("15/09/2025")</f>
        <v>15/09/2025</v>
      </c>
      <c r="J5419" t="str">
        <f t="shared" si="2554"/>
        <v>18/09/2025</v>
      </c>
      <c r="M5419">
        <v>303</v>
      </c>
      <c r="N5419" t="str">
        <f t="shared" si="2555"/>
        <v>RECEITAS COM ENTREGAS</v>
      </c>
      <c r="P5419">
        <v>845.28</v>
      </c>
      <c r="Q5419" t="str">
        <f>"DROGARIA ANA VISCONDE DO RIO BRANCO (10182)"</f>
        <v>DROGARIA ANA VISCONDE DO RIO BRANCO (10182)</v>
      </c>
      <c r="R5419" t="str">
        <f t="shared" si="2556"/>
        <v>RECEITAS COM ENTREGAS (303)</v>
      </c>
      <c r="S5419">
        <v>2682</v>
      </c>
      <c r="T5419">
        <v>2108</v>
      </c>
      <c r="U5419" t="s">
        <v>19</v>
      </c>
    </row>
    <row r="5420" spans="1:21">
      <c r="A5420" t="str">
        <f t="shared" si="2552"/>
        <v>18/09/2025</v>
      </c>
      <c r="B5420" t="str">
        <f t="shared" si="2557"/>
        <v>ENTRADA</v>
      </c>
      <c r="C5420" t="str">
        <f t="shared" si="2553"/>
        <v>NFSE</v>
      </c>
      <c r="D5420" t="str">
        <f>"3468"</f>
        <v>3468</v>
      </c>
      <c r="E5420" t="str">
        <f t="shared" si="2550"/>
        <v>COM</v>
      </c>
      <c r="F5420" t="str">
        <f>"JAL FARMACIA E DROGARIA LJ 1 (10137)"</f>
        <v>JAL FARMACIA E DROGARIA LJ 1 (10137)</v>
      </c>
      <c r="G5420" t="str">
        <f>"Serv.Prest. 08/09/2025 a 14/09/2025 - RPS: 1233 - NFSe: 3468"</f>
        <v>Serv.Prest. 08/09/2025 a 14/09/2025 - RPS: 1233 - NFSe: 3468</v>
      </c>
      <c r="H5420" t="str">
        <f t="shared" si="2551"/>
        <v>17/09/2025</v>
      </c>
      <c r="I5420" t="str">
        <f>("15/09/2025")</f>
        <v>15/09/2025</v>
      </c>
      <c r="J5420" t="str">
        <f t="shared" si="2554"/>
        <v>18/09/2025</v>
      </c>
      <c r="K5420">
        <v>459.2</v>
      </c>
      <c r="L5420">
        <v>459.2</v>
      </c>
      <c r="M5420">
        <v>303</v>
      </c>
      <c r="N5420" t="str">
        <f t="shared" si="2555"/>
        <v>RECEITAS COM ENTREGAS</v>
      </c>
      <c r="O5420">
        <v>459.2</v>
      </c>
      <c r="R5420" t="str">
        <f t="shared" si="2556"/>
        <v>RECEITAS COM ENTREGAS (303)</v>
      </c>
      <c r="S5420">
        <v>2683</v>
      </c>
      <c r="T5420">
        <v>2116</v>
      </c>
      <c r="U5420" t="s">
        <v>19</v>
      </c>
    </row>
    <row r="5421" spans="1:21">
      <c r="A5421" t="str">
        <f t="shared" si="2552"/>
        <v>18/09/2025</v>
      </c>
      <c r="B5421" t="str">
        <f t="shared" si="2557"/>
        <v>ENTRADA</v>
      </c>
      <c r="C5421" t="str">
        <f t="shared" si="2553"/>
        <v>NFSE</v>
      </c>
      <c r="D5421" t="str">
        <f>"3468"</f>
        <v>3468</v>
      </c>
      <c r="E5421" t="str">
        <f t="shared" si="2550"/>
        <v>COM</v>
      </c>
      <c r="F5421" t="str">
        <f>"JAL FARMACIA E DROGARIA LJ 1 (10137)"</f>
        <v>JAL FARMACIA E DROGARIA LJ 1 (10137)</v>
      </c>
      <c r="G5421" t="str">
        <f>"Serv.Prest. 08/09/2025 a 14/09/2025 - RPS: 1233 - NFSe: 3468"</f>
        <v>Serv.Prest. 08/09/2025 a 14/09/2025 - RPS: 1233 - NFSe: 3468</v>
      </c>
      <c r="H5421" t="str">
        <f t="shared" si="2551"/>
        <v>17/09/2025</v>
      </c>
      <c r="I5421" t="str">
        <f>("15/09/2025")</f>
        <v>15/09/2025</v>
      </c>
      <c r="J5421" t="str">
        <f t="shared" si="2554"/>
        <v>18/09/2025</v>
      </c>
      <c r="M5421">
        <v>303</v>
      </c>
      <c r="N5421" t="str">
        <f t="shared" si="2555"/>
        <v>RECEITAS COM ENTREGAS</v>
      </c>
      <c r="P5421">
        <v>459.2</v>
      </c>
      <c r="Q5421" t="str">
        <f>"JAL FARMACIA E DROGARIA LJ 1 (10137)"</f>
        <v>JAL FARMACIA E DROGARIA LJ 1 (10137)</v>
      </c>
      <c r="R5421" t="str">
        <f t="shared" si="2556"/>
        <v>RECEITAS COM ENTREGAS (303)</v>
      </c>
      <c r="S5421">
        <v>2683</v>
      </c>
      <c r="T5421">
        <v>2116</v>
      </c>
      <c r="U5421" t="s">
        <v>19</v>
      </c>
    </row>
    <row r="5422" spans="1:21">
      <c r="A5422" t="str">
        <f t="shared" si="2552"/>
        <v>18/09/2025</v>
      </c>
      <c r="B5422" t="str">
        <f t="shared" si="2557"/>
        <v>ENTRADA</v>
      </c>
      <c r="C5422" t="str">
        <f t="shared" si="2553"/>
        <v>NFSE</v>
      </c>
      <c r="D5422" t="str">
        <f>"3484"</f>
        <v>3484</v>
      </c>
      <c r="E5422" t="str">
        <f t="shared" si="2550"/>
        <v>COM</v>
      </c>
      <c r="F5422" t="str">
        <f>"FARMACIA ECONOMIZE (10103)"</f>
        <v>FARMACIA ECONOMIZE (10103)</v>
      </c>
      <c r="G5422" t="str">
        <f>"Serv.Prest. 08/09/2025 a 14/09/2025 - RPS: 1249 - NFSe: 3484"</f>
        <v>Serv.Prest. 08/09/2025 a 14/09/2025 - RPS: 1249 - NFSe: 3484</v>
      </c>
      <c r="H5422" t="str">
        <f t="shared" si="2551"/>
        <v>17/09/2025</v>
      </c>
      <c r="I5422" t="str">
        <f>("16/09/2025")</f>
        <v>16/09/2025</v>
      </c>
      <c r="J5422" t="str">
        <f t="shared" si="2554"/>
        <v>18/09/2025</v>
      </c>
      <c r="K5422">
        <v>24.96</v>
      </c>
      <c r="L5422">
        <v>24.96</v>
      </c>
      <c r="M5422">
        <v>303</v>
      </c>
      <c r="N5422" t="str">
        <f t="shared" si="2555"/>
        <v>RECEITAS COM ENTREGAS</v>
      </c>
      <c r="O5422">
        <v>24.96</v>
      </c>
      <c r="R5422" t="str">
        <f t="shared" si="2556"/>
        <v>RECEITAS COM ENTREGAS (303)</v>
      </c>
      <c r="S5422">
        <v>2684</v>
      </c>
      <c r="T5422">
        <v>2132</v>
      </c>
      <c r="U5422" t="s">
        <v>19</v>
      </c>
    </row>
    <row r="5423" spans="1:21">
      <c r="A5423" t="str">
        <f t="shared" si="2552"/>
        <v>18/09/2025</v>
      </c>
      <c r="B5423" t="str">
        <f t="shared" si="2557"/>
        <v>ENTRADA</v>
      </c>
      <c r="C5423" t="str">
        <f t="shared" si="2553"/>
        <v>NFSE</v>
      </c>
      <c r="D5423" t="str">
        <f>"3484"</f>
        <v>3484</v>
      </c>
      <c r="E5423" t="str">
        <f t="shared" si="2550"/>
        <v>COM</v>
      </c>
      <c r="F5423" t="str">
        <f>"FARMACIA ECONOMIZE (10103)"</f>
        <v>FARMACIA ECONOMIZE (10103)</v>
      </c>
      <c r="G5423" t="str">
        <f>"Serv.Prest. 08/09/2025 a 14/09/2025 - RPS: 1249 - NFSe: 3484"</f>
        <v>Serv.Prest. 08/09/2025 a 14/09/2025 - RPS: 1249 - NFSe: 3484</v>
      </c>
      <c r="H5423" t="str">
        <f t="shared" si="2551"/>
        <v>17/09/2025</v>
      </c>
      <c r="I5423" t="str">
        <f>("16/09/2025")</f>
        <v>16/09/2025</v>
      </c>
      <c r="J5423" t="str">
        <f t="shared" si="2554"/>
        <v>18/09/2025</v>
      </c>
      <c r="M5423">
        <v>303</v>
      </c>
      <c r="N5423" t="str">
        <f t="shared" si="2555"/>
        <v>RECEITAS COM ENTREGAS</v>
      </c>
      <c r="P5423">
        <v>24.96</v>
      </c>
      <c r="Q5423" t="str">
        <f>"FARMACIA ECONOMIZE (10103)"</f>
        <v>FARMACIA ECONOMIZE (10103)</v>
      </c>
      <c r="R5423" t="str">
        <f t="shared" si="2556"/>
        <v>RECEITAS COM ENTREGAS (303)</v>
      </c>
      <c r="S5423">
        <v>2684</v>
      </c>
      <c r="T5423">
        <v>2132</v>
      </c>
      <c r="U5423" t="s">
        <v>19</v>
      </c>
    </row>
    <row r="5424" spans="1:21">
      <c r="A5424" t="str">
        <f t="shared" si="2552"/>
        <v>18/09/2025</v>
      </c>
      <c r="B5424" t="str">
        <f t="shared" si="2557"/>
        <v>ENTRADA</v>
      </c>
      <c r="C5424" t="str">
        <f t="shared" si="2553"/>
        <v>NFSE</v>
      </c>
      <c r="D5424" t="str">
        <f>"3486"</f>
        <v>3486</v>
      </c>
      <c r="E5424" t="str">
        <f t="shared" si="2550"/>
        <v>COM</v>
      </c>
      <c r="F5424" t="str">
        <f>"DROGA HONDA (10149)"</f>
        <v>DROGA HONDA (10149)</v>
      </c>
      <c r="G5424" t="str">
        <f>"Serv.Prest. 08/09/2025 a 14/09/2025 - RPS: 1251 - NFSe: 3486"</f>
        <v>Serv.Prest. 08/09/2025 a 14/09/2025 - RPS: 1251 - NFSe: 3486</v>
      </c>
      <c r="H5424" t="str">
        <f t="shared" si="2551"/>
        <v>17/09/2025</v>
      </c>
      <c r="I5424" t="str">
        <f>("16/09/2025")</f>
        <v>16/09/2025</v>
      </c>
      <c r="J5424" t="str">
        <f t="shared" si="2554"/>
        <v>18/09/2025</v>
      </c>
      <c r="K5424">
        <v>164.67</v>
      </c>
      <c r="L5424">
        <v>164.67</v>
      </c>
      <c r="M5424">
        <v>303</v>
      </c>
      <c r="N5424" t="str">
        <f t="shared" si="2555"/>
        <v>RECEITAS COM ENTREGAS</v>
      </c>
      <c r="O5424">
        <v>164.67</v>
      </c>
      <c r="R5424" t="str">
        <f t="shared" si="2556"/>
        <v>RECEITAS COM ENTREGAS (303)</v>
      </c>
      <c r="S5424">
        <v>2685</v>
      </c>
      <c r="T5424">
        <v>2134</v>
      </c>
      <c r="U5424" t="s">
        <v>19</v>
      </c>
    </row>
    <row r="5425" spans="1:21">
      <c r="A5425" t="str">
        <f t="shared" si="2552"/>
        <v>18/09/2025</v>
      </c>
      <c r="B5425" t="str">
        <f t="shared" si="2557"/>
        <v>ENTRADA</v>
      </c>
      <c r="C5425" t="str">
        <f t="shared" si="2553"/>
        <v>NFSE</v>
      </c>
      <c r="D5425" t="str">
        <f>"3486"</f>
        <v>3486</v>
      </c>
      <c r="E5425" t="str">
        <f t="shared" si="2550"/>
        <v>COM</v>
      </c>
      <c r="F5425" t="str">
        <f>"DROGA HONDA (10149)"</f>
        <v>DROGA HONDA (10149)</v>
      </c>
      <c r="G5425" t="str">
        <f>"Serv.Prest. 08/09/2025 a 14/09/2025 - RPS: 1251 - NFSe: 3486"</f>
        <v>Serv.Prest. 08/09/2025 a 14/09/2025 - RPS: 1251 - NFSe: 3486</v>
      </c>
      <c r="H5425" t="str">
        <f t="shared" si="2551"/>
        <v>17/09/2025</v>
      </c>
      <c r="I5425" t="str">
        <f>("16/09/2025")</f>
        <v>16/09/2025</v>
      </c>
      <c r="J5425" t="str">
        <f t="shared" si="2554"/>
        <v>18/09/2025</v>
      </c>
      <c r="M5425">
        <v>303</v>
      </c>
      <c r="N5425" t="str">
        <f t="shared" si="2555"/>
        <v>RECEITAS COM ENTREGAS</v>
      </c>
      <c r="P5425">
        <v>164.67</v>
      </c>
      <c r="Q5425" t="str">
        <f>"DROGA HONDA (10149)"</f>
        <v>DROGA HONDA (10149)</v>
      </c>
      <c r="R5425" t="str">
        <f t="shared" si="2556"/>
        <v>RECEITAS COM ENTREGAS (303)</v>
      </c>
      <c r="S5425">
        <v>2685</v>
      </c>
      <c r="T5425">
        <v>2134</v>
      </c>
      <c r="U5425" t="s">
        <v>19</v>
      </c>
    </row>
    <row r="5426" spans="1:21">
      <c r="A5426" t="str">
        <f t="shared" si="2552"/>
        <v>18/09/2025</v>
      </c>
      <c r="B5426" t="str">
        <f t="shared" si="2557"/>
        <v>ENTRADA</v>
      </c>
      <c r="C5426" t="str">
        <f t="shared" si="2553"/>
        <v>NFSE</v>
      </c>
      <c r="D5426" t="str">
        <f>"3469"</f>
        <v>3469</v>
      </c>
      <c r="E5426" t="str">
        <f t="shared" si="2550"/>
        <v>COM</v>
      </c>
      <c r="F5426" t="str">
        <f>"DROGARIA POUPA MINAS (ULTRAMINAS) 3 (10129)"</f>
        <v>DROGARIA POUPA MINAS (ULTRAMINAS) 3 (10129)</v>
      </c>
      <c r="G5426" t="str">
        <f>"Serv.Prest. 08/09/2025 a 14/09/2025 - RPS: 1234 - NFSe: 3469"</f>
        <v>Serv.Prest. 08/09/2025 a 14/09/2025 - RPS: 1234 - NFSe: 3469</v>
      </c>
      <c r="H5426" t="str">
        <f>("18/09/2025")</f>
        <v>18/09/2025</v>
      </c>
      <c r="I5426" t="str">
        <f>("15/09/2025")</f>
        <v>15/09/2025</v>
      </c>
      <c r="J5426" t="str">
        <f t="shared" si="2554"/>
        <v>18/09/2025</v>
      </c>
      <c r="K5426">
        <v>171.6</v>
      </c>
      <c r="L5426">
        <v>171.6</v>
      </c>
      <c r="M5426">
        <v>303</v>
      </c>
      <c r="N5426" t="str">
        <f t="shared" si="2555"/>
        <v>RECEITAS COM ENTREGAS</v>
      </c>
      <c r="O5426">
        <v>171.6</v>
      </c>
      <c r="R5426" t="str">
        <f t="shared" si="2556"/>
        <v>RECEITAS COM ENTREGAS (303)</v>
      </c>
      <c r="S5426">
        <v>2686</v>
      </c>
      <c r="T5426">
        <v>2117</v>
      </c>
      <c r="U5426" t="s">
        <v>19</v>
      </c>
    </row>
    <row r="5427" spans="1:21">
      <c r="A5427" t="str">
        <f t="shared" si="2552"/>
        <v>18/09/2025</v>
      </c>
      <c r="B5427" t="str">
        <f t="shared" si="2557"/>
        <v>ENTRADA</v>
      </c>
      <c r="C5427" t="str">
        <f t="shared" si="2553"/>
        <v>NFSE</v>
      </c>
      <c r="D5427" t="str">
        <f>"3469"</f>
        <v>3469</v>
      </c>
      <c r="E5427" t="str">
        <f t="shared" si="2550"/>
        <v>COM</v>
      </c>
      <c r="F5427" t="str">
        <f>"DROGARIA POUPA MINAS (ULTRAMINAS) 3 (10129)"</f>
        <v>DROGARIA POUPA MINAS (ULTRAMINAS) 3 (10129)</v>
      </c>
      <c r="G5427" t="str">
        <f>"Serv.Prest. 08/09/2025 a 14/09/2025 - RPS: 1234 - NFSe: 3469"</f>
        <v>Serv.Prest. 08/09/2025 a 14/09/2025 - RPS: 1234 - NFSe: 3469</v>
      </c>
      <c r="H5427" t="str">
        <f>("18/09/2025")</f>
        <v>18/09/2025</v>
      </c>
      <c r="I5427" t="str">
        <f>("15/09/2025")</f>
        <v>15/09/2025</v>
      </c>
      <c r="J5427" t="str">
        <f t="shared" si="2554"/>
        <v>18/09/2025</v>
      </c>
      <c r="M5427">
        <v>303</v>
      </c>
      <c r="N5427" t="str">
        <f t="shared" si="2555"/>
        <v>RECEITAS COM ENTREGAS</v>
      </c>
      <c r="P5427">
        <v>171.6</v>
      </c>
      <c r="Q5427" t="str">
        <f>"DROGARIA POUPA MINAS (ULTRAMINAS) 3 (10129)"</f>
        <v>DROGARIA POUPA MINAS (ULTRAMINAS) 3 (10129)</v>
      </c>
      <c r="R5427" t="str">
        <f t="shared" si="2556"/>
        <v>RECEITAS COM ENTREGAS (303)</v>
      </c>
      <c r="S5427">
        <v>2686</v>
      </c>
      <c r="T5427">
        <v>2117</v>
      </c>
      <c r="U5427" t="s">
        <v>19</v>
      </c>
    </row>
    <row r="5428" spans="1:21">
      <c r="A5428" t="str">
        <f t="shared" si="2552"/>
        <v>18/09/2025</v>
      </c>
      <c r="B5428" t="str">
        <f t="shared" si="2557"/>
        <v>ENTRADA</v>
      </c>
      <c r="C5428" t="str">
        <f t="shared" si="2553"/>
        <v>NFSE</v>
      </c>
      <c r="D5428" t="str">
        <f>"3473"</f>
        <v>3473</v>
      </c>
      <c r="E5428" t="str">
        <f t="shared" si="2550"/>
        <v>COM</v>
      </c>
      <c r="F5428" t="str">
        <f>"DROGARIA POUPA MINAS (DOIS AMIGOS) 5 (10140)"</f>
        <v>DROGARIA POUPA MINAS (DOIS AMIGOS) 5 (10140)</v>
      </c>
      <c r="G5428" t="str">
        <f>"Serv.Prest. 08/09/2025 a 14/09/2025 - RPS: 1238 - NFSe: 3473"</f>
        <v>Serv.Prest. 08/09/2025 a 14/09/2025 - RPS: 1238 - NFSe: 3473</v>
      </c>
      <c r="H5428" t="str">
        <f>("18/09/2025")</f>
        <v>18/09/2025</v>
      </c>
      <c r="I5428" t="str">
        <f>("15/09/2025")</f>
        <v>15/09/2025</v>
      </c>
      <c r="J5428" t="str">
        <f t="shared" si="2554"/>
        <v>18/09/2025</v>
      </c>
      <c r="K5428">
        <v>700.74</v>
      </c>
      <c r="L5428">
        <v>700.74</v>
      </c>
      <c r="M5428">
        <v>303</v>
      </c>
      <c r="N5428" t="str">
        <f t="shared" si="2555"/>
        <v>RECEITAS COM ENTREGAS</v>
      </c>
      <c r="O5428">
        <v>700.74</v>
      </c>
      <c r="R5428" t="str">
        <f t="shared" si="2556"/>
        <v>RECEITAS COM ENTREGAS (303)</v>
      </c>
      <c r="S5428">
        <v>2687</v>
      </c>
      <c r="T5428">
        <v>2121</v>
      </c>
      <c r="U5428" t="s">
        <v>19</v>
      </c>
    </row>
    <row r="5429" spans="1:21">
      <c r="A5429" t="str">
        <f t="shared" si="2552"/>
        <v>18/09/2025</v>
      </c>
      <c r="B5429" t="str">
        <f t="shared" si="2557"/>
        <v>ENTRADA</v>
      </c>
      <c r="C5429" t="str">
        <f t="shared" si="2553"/>
        <v>NFSE</v>
      </c>
      <c r="D5429" t="str">
        <f>"3473"</f>
        <v>3473</v>
      </c>
      <c r="E5429" t="str">
        <f t="shared" si="2550"/>
        <v>COM</v>
      </c>
      <c r="F5429" t="str">
        <f>"DROGARIA POUPA MINAS (DOIS AMIGOS) 5 (10140)"</f>
        <v>DROGARIA POUPA MINAS (DOIS AMIGOS) 5 (10140)</v>
      </c>
      <c r="G5429" t="str">
        <f>"Serv.Prest. 08/09/2025 a 14/09/2025 - RPS: 1238 - NFSe: 3473"</f>
        <v>Serv.Prest. 08/09/2025 a 14/09/2025 - RPS: 1238 - NFSe: 3473</v>
      </c>
      <c r="H5429" t="str">
        <f>("18/09/2025")</f>
        <v>18/09/2025</v>
      </c>
      <c r="I5429" t="str">
        <f>("15/09/2025")</f>
        <v>15/09/2025</v>
      </c>
      <c r="J5429" t="str">
        <f t="shared" si="2554"/>
        <v>18/09/2025</v>
      </c>
      <c r="M5429">
        <v>303</v>
      </c>
      <c r="N5429" t="str">
        <f t="shared" si="2555"/>
        <v>RECEITAS COM ENTREGAS</v>
      </c>
      <c r="P5429">
        <v>700.74</v>
      </c>
      <c r="Q5429" t="str">
        <f>"DROGARIA POUPA MINAS (ULTRAMINAS) 1 (10181)"</f>
        <v>DROGARIA POUPA MINAS (ULTRAMINAS) 1 (10181)</v>
      </c>
      <c r="R5429" t="str">
        <f t="shared" si="2556"/>
        <v>RECEITAS COM ENTREGAS (303)</v>
      </c>
      <c r="S5429">
        <v>2687</v>
      </c>
      <c r="T5429">
        <v>2121</v>
      </c>
      <c r="U5429" t="s">
        <v>19</v>
      </c>
    </row>
    <row r="5430" spans="1:21">
      <c r="A5430" t="str">
        <f t="shared" si="2552"/>
        <v>18/09/2025</v>
      </c>
      <c r="B5430" t="str">
        <f t="shared" si="2557"/>
        <v>ENTRADA</v>
      </c>
      <c r="C5430" t="str">
        <f t="shared" si="2553"/>
        <v>NFSE</v>
      </c>
      <c r="D5430" t="str">
        <f>"3482"</f>
        <v>3482</v>
      </c>
      <c r="E5430" t="str">
        <f t="shared" si="2550"/>
        <v>COM</v>
      </c>
      <c r="F5430" t="str">
        <f>"DROGARIA VAZ (10179)"</f>
        <v>DROGARIA VAZ (10179)</v>
      </c>
      <c r="G5430" t="str">
        <f>"Serv.Prest. 08/09/2025 a 14/09/2025 - RPS: 1247 - NFSe: 3482"</f>
        <v>Serv.Prest. 08/09/2025 a 14/09/2025 - RPS: 1247 - NFSe: 3482</v>
      </c>
      <c r="H5430" t="str">
        <f>("17/09/2025")</f>
        <v>17/09/2025</v>
      </c>
      <c r="I5430" t="str">
        <f>("16/09/2025")</f>
        <v>16/09/2025</v>
      </c>
      <c r="J5430" t="str">
        <f t="shared" si="2554"/>
        <v>18/09/2025</v>
      </c>
      <c r="K5430">
        <v>188.09</v>
      </c>
      <c r="L5430">
        <v>191.91</v>
      </c>
      <c r="M5430">
        <v>303</v>
      </c>
      <c r="N5430" t="str">
        <f t="shared" si="2555"/>
        <v>RECEITAS COM ENTREGAS</v>
      </c>
      <c r="O5430">
        <v>191.91</v>
      </c>
      <c r="R5430" t="str">
        <f t="shared" si="2556"/>
        <v>RECEITAS COM ENTREGAS (303)</v>
      </c>
      <c r="S5430">
        <v>2762</v>
      </c>
      <c r="T5430">
        <v>2130</v>
      </c>
      <c r="U5430" t="s">
        <v>19</v>
      </c>
    </row>
    <row r="5431" spans="1:21">
      <c r="A5431" t="str">
        <f t="shared" si="2552"/>
        <v>18/09/2025</v>
      </c>
      <c r="B5431" t="str">
        <f t="shared" si="2557"/>
        <v>ENTRADA</v>
      </c>
      <c r="C5431" t="str">
        <f t="shared" si="2553"/>
        <v>NFSE</v>
      </c>
      <c r="D5431" t="str">
        <f>"3482"</f>
        <v>3482</v>
      </c>
      <c r="E5431" t="str">
        <f t="shared" si="2550"/>
        <v>COM</v>
      </c>
      <c r="F5431" t="str">
        <f>"DROGARIA VAZ (10179)"</f>
        <v>DROGARIA VAZ (10179)</v>
      </c>
      <c r="G5431" t="str">
        <f>"Serv.Prest. 08/09/2025 a 14/09/2025 - RPS: 1247 - NFSe: 3482"</f>
        <v>Serv.Prest. 08/09/2025 a 14/09/2025 - RPS: 1247 - NFSe: 3482</v>
      </c>
      <c r="H5431" t="str">
        <f>("17/09/2025")</f>
        <v>17/09/2025</v>
      </c>
      <c r="I5431" t="str">
        <f>("16/09/2025")</f>
        <v>16/09/2025</v>
      </c>
      <c r="J5431" t="str">
        <f t="shared" si="2554"/>
        <v>18/09/2025</v>
      </c>
      <c r="M5431">
        <v>303</v>
      </c>
      <c r="N5431" t="str">
        <f t="shared" si="2555"/>
        <v>RECEITAS COM ENTREGAS</v>
      </c>
      <c r="P5431">
        <v>191.91</v>
      </c>
      <c r="Q5431" t="str">
        <f>"DROGARIA VAZ (10179)"</f>
        <v>DROGARIA VAZ (10179)</v>
      </c>
      <c r="R5431" t="str">
        <f t="shared" si="2556"/>
        <v>RECEITAS COM ENTREGAS (303)</v>
      </c>
      <c r="S5431">
        <v>2762</v>
      </c>
      <c r="T5431">
        <v>2130</v>
      </c>
      <c r="U5431" t="s">
        <v>19</v>
      </c>
    </row>
    <row r="5432" spans="1:21">
      <c r="A5432" t="str">
        <f t="shared" si="2552"/>
        <v>18/09/2025</v>
      </c>
      <c r="B5432" t="str">
        <f t="shared" si="2557"/>
        <v>ENTRADA</v>
      </c>
      <c r="C5432" t="str">
        <f t="shared" si="2553"/>
        <v>NFSE</v>
      </c>
      <c r="D5432" t="str">
        <f>"3456"</f>
        <v>3456</v>
      </c>
      <c r="E5432" t="str">
        <f t="shared" si="2550"/>
        <v>COM</v>
      </c>
      <c r="F5432" t="str">
        <f>"AC FARMA - FLEMINFARMA 5 (10183)"</f>
        <v>AC FARMA - FLEMINFARMA 5 (10183)</v>
      </c>
      <c r="G5432" t="str">
        <f>"Serv.Prest. 01/09/2025 a 07/09/2025 - RPS: 1221 - NFSe: 3456"</f>
        <v>Serv.Prest. 01/09/2025 a 07/09/2025 - RPS: 1221 - NFSe: 3456</v>
      </c>
      <c r="H5432" t="str">
        <f>("17/09/2025")</f>
        <v>17/09/2025</v>
      </c>
      <c r="I5432" t="str">
        <f>("09/09/2025")</f>
        <v>09/09/2025</v>
      </c>
      <c r="J5432" t="str">
        <f t="shared" si="2554"/>
        <v>18/09/2025</v>
      </c>
      <c r="K5432">
        <v>105.12</v>
      </c>
      <c r="L5432">
        <v>105.12</v>
      </c>
      <c r="M5432">
        <v>303</v>
      </c>
      <c r="N5432" t="str">
        <f t="shared" si="2555"/>
        <v>RECEITAS COM ENTREGAS</v>
      </c>
      <c r="O5432">
        <v>105.12</v>
      </c>
      <c r="R5432" t="str">
        <f t="shared" si="2556"/>
        <v>RECEITAS COM ENTREGAS (303)</v>
      </c>
      <c r="S5432">
        <v>2764</v>
      </c>
      <c r="T5432">
        <v>2060</v>
      </c>
      <c r="U5432" t="s">
        <v>19</v>
      </c>
    </row>
    <row r="5433" spans="1:21">
      <c r="A5433" t="str">
        <f t="shared" si="2552"/>
        <v>18/09/2025</v>
      </c>
      <c r="B5433" t="str">
        <f t="shared" si="2557"/>
        <v>ENTRADA</v>
      </c>
      <c r="C5433" t="str">
        <f t="shared" si="2553"/>
        <v>NFSE</v>
      </c>
      <c r="D5433" t="str">
        <f>"3456"</f>
        <v>3456</v>
      </c>
      <c r="E5433" t="str">
        <f t="shared" si="2550"/>
        <v>COM</v>
      </c>
      <c r="F5433" t="str">
        <f>"AC FARMA - FLEMINFARMA 5 (10183)"</f>
        <v>AC FARMA - FLEMINFARMA 5 (10183)</v>
      </c>
      <c r="G5433" t="str">
        <f>"Serv.Prest. 01/09/2025 a 07/09/2025 - RPS: 1221 - NFSe: 3456"</f>
        <v>Serv.Prest. 01/09/2025 a 07/09/2025 - RPS: 1221 - NFSe: 3456</v>
      </c>
      <c r="H5433" t="str">
        <f>("17/09/2025")</f>
        <v>17/09/2025</v>
      </c>
      <c r="I5433" t="str">
        <f>("09/09/2025")</f>
        <v>09/09/2025</v>
      </c>
      <c r="J5433" t="str">
        <f t="shared" si="2554"/>
        <v>18/09/2025</v>
      </c>
      <c r="M5433">
        <v>303</v>
      </c>
      <c r="N5433" t="str">
        <f t="shared" si="2555"/>
        <v>RECEITAS COM ENTREGAS</v>
      </c>
      <c r="P5433">
        <v>105.12</v>
      </c>
      <c r="Q5433" t="str">
        <f>"AC FARMA - FLEMINFARMA 5 (10183)"</f>
        <v>AC FARMA - FLEMINFARMA 5 (10183)</v>
      </c>
      <c r="R5433" t="str">
        <f t="shared" si="2556"/>
        <v>RECEITAS COM ENTREGAS (303)</v>
      </c>
      <c r="S5433">
        <v>2764</v>
      </c>
      <c r="T5433">
        <v>2060</v>
      </c>
      <c r="U5433" t="s">
        <v>19</v>
      </c>
    </row>
    <row r="5434" spans="1:21">
      <c r="A5434" t="str">
        <f t="shared" si="2552"/>
        <v>18/09/2025</v>
      </c>
      <c r="B5434" t="str">
        <f t="shared" si="2557"/>
        <v>ENTRADA</v>
      </c>
      <c r="C5434" t="str">
        <f t="shared" si="2553"/>
        <v>NFSE</v>
      </c>
      <c r="D5434" t="str">
        <f>"3439"</f>
        <v>3439</v>
      </c>
      <c r="E5434" t="str">
        <f t="shared" si="2550"/>
        <v>COM</v>
      </c>
      <c r="F5434" t="str">
        <f>"PAGMENOS - LJ 608 (10135)"</f>
        <v>PAGMENOS - LJ 608 (10135)</v>
      </c>
      <c r="G5434" t="str">
        <f>"Serv.Prest. 01/09/2025 a 07/09/2025 - RPS: 1204 - NFSe: 3439"</f>
        <v>Serv.Prest. 01/09/2025 a 07/09/2025 - RPS: 1204 - NFSe: 3439</v>
      </c>
      <c r="H5434" t="str">
        <f>("18/09/2025")</f>
        <v>18/09/2025</v>
      </c>
      <c r="I5434" t="str">
        <f>("08/09/2025")</f>
        <v>08/09/2025</v>
      </c>
      <c r="J5434" t="str">
        <f t="shared" si="2554"/>
        <v>18/09/2025</v>
      </c>
      <c r="K5434">
        <v>280.20999999999998</v>
      </c>
      <c r="L5434">
        <v>280.20999999999998</v>
      </c>
      <c r="M5434">
        <v>303</v>
      </c>
      <c r="N5434" t="str">
        <f t="shared" si="2555"/>
        <v>RECEITAS COM ENTREGAS</v>
      </c>
      <c r="O5434">
        <v>280.20999999999998</v>
      </c>
      <c r="R5434" t="str">
        <f t="shared" si="2556"/>
        <v>RECEITAS COM ENTREGAS (303)</v>
      </c>
      <c r="S5434">
        <v>2767</v>
      </c>
      <c r="T5434">
        <v>2043</v>
      </c>
      <c r="U5434" t="s">
        <v>19</v>
      </c>
    </row>
    <row r="5435" spans="1:21">
      <c r="A5435" t="str">
        <f t="shared" si="2552"/>
        <v>18/09/2025</v>
      </c>
      <c r="B5435" t="str">
        <f t="shared" si="2557"/>
        <v>ENTRADA</v>
      </c>
      <c r="C5435" t="str">
        <f t="shared" si="2553"/>
        <v>NFSE</v>
      </c>
      <c r="D5435" t="str">
        <f>"3439"</f>
        <v>3439</v>
      </c>
      <c r="E5435" t="str">
        <f t="shared" si="2550"/>
        <v>COM</v>
      </c>
      <c r="F5435" t="str">
        <f>"PAGMENOS - LJ 608 (10135)"</f>
        <v>PAGMENOS - LJ 608 (10135)</v>
      </c>
      <c r="G5435" t="str">
        <f>"Serv.Prest. 01/09/2025 a 07/09/2025 - RPS: 1204 - NFSe: 3439"</f>
        <v>Serv.Prest. 01/09/2025 a 07/09/2025 - RPS: 1204 - NFSe: 3439</v>
      </c>
      <c r="H5435" t="str">
        <f>("18/09/2025")</f>
        <v>18/09/2025</v>
      </c>
      <c r="I5435" t="str">
        <f>("08/09/2025")</f>
        <v>08/09/2025</v>
      </c>
      <c r="J5435" t="str">
        <f t="shared" si="2554"/>
        <v>18/09/2025</v>
      </c>
      <c r="M5435">
        <v>303</v>
      </c>
      <c r="N5435" t="str">
        <f t="shared" si="2555"/>
        <v>RECEITAS COM ENTREGAS</v>
      </c>
      <c r="P5435">
        <v>280.20999999999998</v>
      </c>
      <c r="Q5435" t="str">
        <f>"PAGMENOS - LJ 608 (10135)"</f>
        <v>PAGMENOS - LJ 608 (10135)</v>
      </c>
      <c r="R5435" t="str">
        <f t="shared" si="2556"/>
        <v>RECEITAS COM ENTREGAS (303)</v>
      </c>
      <c r="S5435">
        <v>2767</v>
      </c>
      <c r="T5435">
        <v>2043</v>
      </c>
      <c r="U5435" t="s">
        <v>19</v>
      </c>
    </row>
    <row r="5436" spans="1:21">
      <c r="A5436" t="str">
        <f t="shared" si="2552"/>
        <v>18/09/2025</v>
      </c>
      <c r="B5436" t="str">
        <f t="shared" si="2557"/>
        <v>ENTRADA</v>
      </c>
      <c r="C5436" t="str">
        <f t="shared" si="2553"/>
        <v>NFSE</v>
      </c>
      <c r="D5436" t="str">
        <f>"3440"</f>
        <v>3440</v>
      </c>
      <c r="E5436" t="str">
        <f t="shared" si="2550"/>
        <v>COM</v>
      </c>
      <c r="F5436" t="str">
        <f>"PAGMENOS - LJ 657 (10136)"</f>
        <v>PAGMENOS - LJ 657 (10136)</v>
      </c>
      <c r="G5436" t="str">
        <f>"Serv.Prest. 01/09/2025 a 07/09/2025 - RPS: 1205 - NFSe: 3440"</f>
        <v>Serv.Prest. 01/09/2025 a 07/09/2025 - RPS: 1205 - NFSe: 3440</v>
      </c>
      <c r="H5436" t="str">
        <f>("18/09/2025")</f>
        <v>18/09/2025</v>
      </c>
      <c r="I5436" t="str">
        <f>("08/09/2025")</f>
        <v>08/09/2025</v>
      </c>
      <c r="J5436" t="str">
        <f t="shared" si="2554"/>
        <v>18/09/2025</v>
      </c>
      <c r="K5436">
        <v>596.6</v>
      </c>
      <c r="L5436">
        <v>587.83000000000004</v>
      </c>
      <c r="M5436">
        <v>303</v>
      </c>
      <c r="N5436" t="str">
        <f t="shared" si="2555"/>
        <v>RECEITAS COM ENTREGAS</v>
      </c>
      <c r="O5436">
        <v>587.83000000000004</v>
      </c>
      <c r="R5436" t="str">
        <f t="shared" si="2556"/>
        <v>RECEITAS COM ENTREGAS (303)</v>
      </c>
      <c r="S5436">
        <v>2768</v>
      </c>
      <c r="T5436">
        <v>2044</v>
      </c>
      <c r="U5436" t="s">
        <v>19</v>
      </c>
    </row>
    <row r="5437" spans="1:21">
      <c r="A5437" t="str">
        <f t="shared" si="2552"/>
        <v>18/09/2025</v>
      </c>
      <c r="B5437" t="str">
        <f t="shared" si="2557"/>
        <v>ENTRADA</v>
      </c>
      <c r="C5437" t="str">
        <f t="shared" si="2553"/>
        <v>NFSE</v>
      </c>
      <c r="D5437" t="str">
        <f>"3440"</f>
        <v>3440</v>
      </c>
      <c r="E5437" t="str">
        <f t="shared" si="2550"/>
        <v>COM</v>
      </c>
      <c r="F5437" t="str">
        <f>"PAGMENOS - LJ 657 (10136)"</f>
        <v>PAGMENOS - LJ 657 (10136)</v>
      </c>
      <c r="G5437" t="str">
        <f>"Serv.Prest. 01/09/2025 a 07/09/2025 - RPS: 1205 - NFSe: 3440"</f>
        <v>Serv.Prest. 01/09/2025 a 07/09/2025 - RPS: 1205 - NFSe: 3440</v>
      </c>
      <c r="H5437" t="str">
        <f>("18/09/2025")</f>
        <v>18/09/2025</v>
      </c>
      <c r="I5437" t="str">
        <f>("08/09/2025")</f>
        <v>08/09/2025</v>
      </c>
      <c r="J5437" t="str">
        <f t="shared" si="2554"/>
        <v>18/09/2025</v>
      </c>
      <c r="M5437">
        <v>303</v>
      </c>
      <c r="N5437" t="str">
        <f t="shared" si="2555"/>
        <v>RECEITAS COM ENTREGAS</v>
      </c>
      <c r="P5437">
        <v>587.83000000000004</v>
      </c>
      <c r="Q5437" t="str">
        <f>"PAGMENOS - LJ 657 (10136)"</f>
        <v>PAGMENOS - LJ 657 (10136)</v>
      </c>
      <c r="R5437" t="str">
        <f t="shared" si="2556"/>
        <v>RECEITAS COM ENTREGAS (303)</v>
      </c>
      <c r="S5437">
        <v>2768</v>
      </c>
      <c r="T5437">
        <v>2044</v>
      </c>
      <c r="U5437" t="s">
        <v>19</v>
      </c>
    </row>
    <row r="5438" spans="1:21">
      <c r="A5438" t="str">
        <f t="shared" si="2552"/>
        <v>18/09/2025</v>
      </c>
      <c r="B5438" t="str">
        <f t="shared" si="2557"/>
        <v>ENTRADA</v>
      </c>
      <c r="C5438" t="str">
        <f t="shared" si="2553"/>
        <v>NFSE</v>
      </c>
      <c r="D5438" t="str">
        <f>"3464"</f>
        <v>3464</v>
      </c>
      <c r="E5438" t="str">
        <f t="shared" si="2550"/>
        <v>COM</v>
      </c>
      <c r="F5438" t="str">
        <f>"DROGA ELIDA (10121)"</f>
        <v>DROGA ELIDA (10121)</v>
      </c>
      <c r="G5438" t="str">
        <f>"Serv.Prest. 08/09/2025 a 14/09/2025 - RPS: 1229 - NFSe: 3464"</f>
        <v>Serv.Prest. 08/09/2025 a 14/09/2025 - RPS: 1229 - NFSe: 3464</v>
      </c>
      <c r="H5438" t="str">
        <f t="shared" ref="H5438:H5445" si="2558">("17/09/2025")</f>
        <v>17/09/2025</v>
      </c>
      <c r="I5438" t="str">
        <f>("15/09/2025")</f>
        <v>15/09/2025</v>
      </c>
      <c r="J5438" t="str">
        <f t="shared" si="2554"/>
        <v>18/09/2025</v>
      </c>
      <c r="K5438">
        <v>350.4</v>
      </c>
      <c r="L5438">
        <v>350.4</v>
      </c>
      <c r="M5438">
        <v>303</v>
      </c>
      <c r="N5438" t="str">
        <f t="shared" si="2555"/>
        <v>RECEITAS COM ENTREGAS</v>
      </c>
      <c r="O5438">
        <v>350.4</v>
      </c>
      <c r="R5438" t="str">
        <f t="shared" si="2556"/>
        <v>RECEITAS COM ENTREGAS (303)</v>
      </c>
      <c r="S5438">
        <v>2776</v>
      </c>
      <c r="T5438">
        <v>2112</v>
      </c>
      <c r="U5438" t="s">
        <v>19</v>
      </c>
    </row>
    <row r="5439" spans="1:21">
      <c r="A5439" t="str">
        <f t="shared" si="2552"/>
        <v>18/09/2025</v>
      </c>
      <c r="B5439" t="str">
        <f t="shared" si="2557"/>
        <v>ENTRADA</v>
      </c>
      <c r="C5439" t="str">
        <f t="shared" si="2553"/>
        <v>NFSE</v>
      </c>
      <c r="D5439" t="str">
        <f>"3464"</f>
        <v>3464</v>
      </c>
      <c r="E5439" t="str">
        <f t="shared" si="2550"/>
        <v>COM</v>
      </c>
      <c r="F5439" t="str">
        <f>"DROGA ELIDA (10121)"</f>
        <v>DROGA ELIDA (10121)</v>
      </c>
      <c r="G5439" t="str">
        <f>"Serv.Prest. 08/09/2025 a 14/09/2025 - RPS: 1229 - NFSe: 3464"</f>
        <v>Serv.Prest. 08/09/2025 a 14/09/2025 - RPS: 1229 - NFSe: 3464</v>
      </c>
      <c r="H5439" t="str">
        <f t="shared" si="2558"/>
        <v>17/09/2025</v>
      </c>
      <c r="I5439" t="str">
        <f>("15/09/2025")</f>
        <v>15/09/2025</v>
      </c>
      <c r="J5439" t="str">
        <f t="shared" si="2554"/>
        <v>18/09/2025</v>
      </c>
      <c r="M5439">
        <v>303</v>
      </c>
      <c r="N5439" t="str">
        <f t="shared" si="2555"/>
        <v>RECEITAS COM ENTREGAS</v>
      </c>
      <c r="P5439">
        <v>350.4</v>
      </c>
      <c r="Q5439" t="str">
        <f>"DROGA ELIDA (10121)"</f>
        <v>DROGA ELIDA (10121)</v>
      </c>
      <c r="R5439" t="str">
        <f t="shared" si="2556"/>
        <v>RECEITAS COM ENTREGAS (303)</v>
      </c>
      <c r="S5439">
        <v>2776</v>
      </c>
      <c r="T5439">
        <v>2112</v>
      </c>
      <c r="U5439" t="s">
        <v>19</v>
      </c>
    </row>
    <row r="5440" spans="1:21">
      <c r="A5440" t="str">
        <f t="shared" si="2552"/>
        <v>18/09/2025</v>
      </c>
      <c r="B5440" t="str">
        <f t="shared" si="2557"/>
        <v>ENTRADA</v>
      </c>
      <c r="C5440" t="str">
        <f t="shared" si="2553"/>
        <v>NFSE</v>
      </c>
      <c r="D5440" t="str">
        <f>"3467"</f>
        <v>3467</v>
      </c>
      <c r="E5440" t="str">
        <f t="shared" si="2550"/>
        <v>COM</v>
      </c>
      <c r="F5440" t="str">
        <f>"JAL FARMACIA E DROGARIA LJ 2 (10138)"</f>
        <v>JAL FARMACIA E DROGARIA LJ 2 (10138)</v>
      </c>
      <c r="G5440" t="str">
        <f>"Serv.Prest. 08/09/2025 a 14/09/2025 - RPS: 1232 - NFSe: 3467"</f>
        <v>Serv.Prest. 08/09/2025 a 14/09/2025 - RPS: 1232 - NFSe: 3467</v>
      </c>
      <c r="H5440" t="str">
        <f t="shared" si="2558"/>
        <v>17/09/2025</v>
      </c>
      <c r="I5440" t="str">
        <f>("15/09/2025")</f>
        <v>15/09/2025</v>
      </c>
      <c r="J5440" t="str">
        <f t="shared" si="2554"/>
        <v>18/09/2025</v>
      </c>
      <c r="K5440">
        <v>288</v>
      </c>
      <c r="L5440">
        <v>288</v>
      </c>
      <c r="M5440">
        <v>303</v>
      </c>
      <c r="N5440" t="str">
        <f t="shared" si="2555"/>
        <v>RECEITAS COM ENTREGAS</v>
      </c>
      <c r="O5440">
        <v>288</v>
      </c>
      <c r="R5440" t="str">
        <f t="shared" si="2556"/>
        <v>RECEITAS COM ENTREGAS (303)</v>
      </c>
      <c r="S5440">
        <v>2777</v>
      </c>
      <c r="T5440">
        <v>2115</v>
      </c>
      <c r="U5440" t="s">
        <v>19</v>
      </c>
    </row>
    <row r="5441" spans="1:21">
      <c r="A5441" t="str">
        <f t="shared" si="2552"/>
        <v>18/09/2025</v>
      </c>
      <c r="B5441" t="str">
        <f t="shared" si="2557"/>
        <v>ENTRADA</v>
      </c>
      <c r="C5441" t="str">
        <f t="shared" si="2553"/>
        <v>NFSE</v>
      </c>
      <c r="D5441" t="str">
        <f>"3467"</f>
        <v>3467</v>
      </c>
      <c r="E5441" t="str">
        <f t="shared" si="2550"/>
        <v>COM</v>
      </c>
      <c r="F5441" t="str">
        <f>"JAL FARMACIA E DROGARIA LJ 2 (10138)"</f>
        <v>JAL FARMACIA E DROGARIA LJ 2 (10138)</v>
      </c>
      <c r="G5441" t="str">
        <f>"Serv.Prest. 08/09/2025 a 14/09/2025 - RPS: 1232 - NFSe: 3467"</f>
        <v>Serv.Prest. 08/09/2025 a 14/09/2025 - RPS: 1232 - NFSe: 3467</v>
      </c>
      <c r="H5441" t="str">
        <f t="shared" si="2558"/>
        <v>17/09/2025</v>
      </c>
      <c r="I5441" t="str">
        <f>("15/09/2025")</f>
        <v>15/09/2025</v>
      </c>
      <c r="J5441" t="str">
        <f t="shared" si="2554"/>
        <v>18/09/2025</v>
      </c>
      <c r="M5441">
        <v>303</v>
      </c>
      <c r="N5441" t="str">
        <f t="shared" si="2555"/>
        <v>RECEITAS COM ENTREGAS</v>
      </c>
      <c r="P5441">
        <v>288</v>
      </c>
      <c r="Q5441" t="str">
        <f>"JAL FARMACIA E DROGARIA LJ 2 (10138)"</f>
        <v>JAL FARMACIA E DROGARIA LJ 2 (10138)</v>
      </c>
      <c r="R5441" t="str">
        <f t="shared" si="2556"/>
        <v>RECEITAS COM ENTREGAS (303)</v>
      </c>
      <c r="S5441">
        <v>2777</v>
      </c>
      <c r="T5441">
        <v>2115</v>
      </c>
      <c r="U5441" t="s">
        <v>19</v>
      </c>
    </row>
    <row r="5442" spans="1:21">
      <c r="A5442" t="str">
        <f t="shared" si="2552"/>
        <v>18/09/2025</v>
      </c>
      <c r="B5442" t="str">
        <f t="shared" si="2557"/>
        <v>ENTRADA</v>
      </c>
      <c r="C5442" t="str">
        <f t="shared" si="2553"/>
        <v>NFSE</v>
      </c>
      <c r="D5442" t="str">
        <f>"3480"</f>
        <v>3480</v>
      </c>
      <c r="E5442" t="str">
        <f t="shared" ref="E5442:E5478" si="2559">"COM"</f>
        <v>COM</v>
      </c>
      <c r="F5442" t="str">
        <f>"LBL FARMACIA LTDA (10189)"</f>
        <v>LBL FARMACIA LTDA (10189)</v>
      </c>
      <c r="G5442" t="str">
        <f>"Serv.Prest. 08/09/2025 a 14/09/2025 - RPS: 1245 - NFSe: 3480"</f>
        <v>Serv.Prest. 08/09/2025 a 14/09/2025 - RPS: 1245 - NFSe: 3480</v>
      </c>
      <c r="H5442" t="str">
        <f t="shared" si="2558"/>
        <v>17/09/2025</v>
      </c>
      <c r="I5442" t="str">
        <f>("16/09/2025")</f>
        <v>16/09/2025</v>
      </c>
      <c r="J5442" t="str">
        <f t="shared" si="2554"/>
        <v>18/09/2025</v>
      </c>
      <c r="K5442">
        <v>139.65</v>
      </c>
      <c r="L5442">
        <v>139.65</v>
      </c>
      <c r="M5442">
        <v>303</v>
      </c>
      <c r="N5442" t="str">
        <f t="shared" si="2555"/>
        <v>RECEITAS COM ENTREGAS</v>
      </c>
      <c r="O5442">
        <v>139.65</v>
      </c>
      <c r="R5442" t="str">
        <f t="shared" si="2556"/>
        <v>RECEITAS COM ENTREGAS (303)</v>
      </c>
      <c r="S5442">
        <v>2778</v>
      </c>
      <c r="T5442">
        <v>2128</v>
      </c>
      <c r="U5442" t="s">
        <v>19</v>
      </c>
    </row>
    <row r="5443" spans="1:21">
      <c r="A5443" t="str">
        <f t="shared" si="2552"/>
        <v>18/09/2025</v>
      </c>
      <c r="B5443" t="str">
        <f t="shared" si="2557"/>
        <v>ENTRADA</v>
      </c>
      <c r="C5443" t="str">
        <f t="shared" si="2553"/>
        <v>NFSE</v>
      </c>
      <c r="D5443" t="str">
        <f>"3480"</f>
        <v>3480</v>
      </c>
      <c r="E5443" t="str">
        <f t="shared" si="2559"/>
        <v>COM</v>
      </c>
      <c r="F5443" t="str">
        <f>"LBL FARMACIA LTDA (10189)"</f>
        <v>LBL FARMACIA LTDA (10189)</v>
      </c>
      <c r="G5443" t="str">
        <f>"Serv.Prest. 08/09/2025 a 14/09/2025 - RPS: 1245 - NFSe: 3480"</f>
        <v>Serv.Prest. 08/09/2025 a 14/09/2025 - RPS: 1245 - NFSe: 3480</v>
      </c>
      <c r="H5443" t="str">
        <f t="shared" si="2558"/>
        <v>17/09/2025</v>
      </c>
      <c r="I5443" t="str">
        <f>("16/09/2025")</f>
        <v>16/09/2025</v>
      </c>
      <c r="J5443" t="str">
        <f t="shared" si="2554"/>
        <v>18/09/2025</v>
      </c>
      <c r="M5443">
        <v>303</v>
      </c>
      <c r="N5443" t="str">
        <f t="shared" si="2555"/>
        <v>RECEITAS COM ENTREGAS</v>
      </c>
      <c r="P5443">
        <v>139.65</v>
      </c>
      <c r="Q5443" t="str">
        <f>"LBL FARMACIA LTDA (10189)"</f>
        <v>LBL FARMACIA LTDA (10189)</v>
      </c>
      <c r="R5443" t="str">
        <f t="shared" si="2556"/>
        <v>RECEITAS COM ENTREGAS (303)</v>
      </c>
      <c r="S5443">
        <v>2778</v>
      </c>
      <c r="T5443">
        <v>2128</v>
      </c>
      <c r="U5443" t="s">
        <v>19</v>
      </c>
    </row>
    <row r="5444" spans="1:21">
      <c r="A5444" t="str">
        <f t="shared" si="2552"/>
        <v>18/09/2025</v>
      </c>
      <c r="B5444" t="str">
        <f t="shared" si="2557"/>
        <v>ENTRADA</v>
      </c>
      <c r="C5444" t="str">
        <f t="shared" si="2553"/>
        <v>NFSE</v>
      </c>
      <c r="D5444" t="str">
        <f>"3481"</f>
        <v>3481</v>
      </c>
      <c r="E5444" t="str">
        <f t="shared" si="2559"/>
        <v>COM</v>
      </c>
      <c r="F5444" t="str">
        <f>"LBL FARMACIA LTDA FILIAL (10192)"</f>
        <v>LBL FARMACIA LTDA FILIAL (10192)</v>
      </c>
      <c r="G5444" t="str">
        <f>"Serv.Prest. 08/09/2025 a 14/09/2025 - RPS: 1246 - NFSe: 3481"</f>
        <v>Serv.Prest. 08/09/2025 a 14/09/2025 - RPS: 1246 - NFSe: 3481</v>
      </c>
      <c r="H5444" t="str">
        <f t="shared" si="2558"/>
        <v>17/09/2025</v>
      </c>
      <c r="I5444" t="str">
        <f>("16/09/2025")</f>
        <v>16/09/2025</v>
      </c>
      <c r="J5444" t="str">
        <f t="shared" si="2554"/>
        <v>18/09/2025</v>
      </c>
      <c r="K5444">
        <v>139.65</v>
      </c>
      <c r="L5444">
        <v>139.65</v>
      </c>
      <c r="M5444">
        <v>303</v>
      </c>
      <c r="N5444" t="str">
        <f t="shared" si="2555"/>
        <v>RECEITAS COM ENTREGAS</v>
      </c>
      <c r="O5444">
        <v>139.65</v>
      </c>
      <c r="R5444" t="str">
        <f t="shared" si="2556"/>
        <v>RECEITAS COM ENTREGAS (303)</v>
      </c>
      <c r="S5444">
        <v>2779</v>
      </c>
      <c r="T5444">
        <v>2129</v>
      </c>
      <c r="U5444" t="s">
        <v>19</v>
      </c>
    </row>
    <row r="5445" spans="1:21">
      <c r="A5445" t="str">
        <f t="shared" ref="A5445:A5473" si="2560">("18/09/2025")</f>
        <v>18/09/2025</v>
      </c>
      <c r="B5445" t="str">
        <f t="shared" si="2557"/>
        <v>ENTRADA</v>
      </c>
      <c r="C5445" t="str">
        <f t="shared" si="2553"/>
        <v>NFSE</v>
      </c>
      <c r="D5445" t="str">
        <f>"3481"</f>
        <v>3481</v>
      </c>
      <c r="E5445" t="str">
        <f t="shared" si="2559"/>
        <v>COM</v>
      </c>
      <c r="F5445" t="str">
        <f>"LBL FARMACIA LTDA FILIAL (10192)"</f>
        <v>LBL FARMACIA LTDA FILIAL (10192)</v>
      </c>
      <c r="G5445" t="str">
        <f>"Serv.Prest. 08/09/2025 a 14/09/2025 - RPS: 1246 - NFSe: 3481"</f>
        <v>Serv.Prest. 08/09/2025 a 14/09/2025 - RPS: 1246 - NFSe: 3481</v>
      </c>
      <c r="H5445" t="str">
        <f t="shared" si="2558"/>
        <v>17/09/2025</v>
      </c>
      <c r="I5445" t="str">
        <f>("16/09/2025")</f>
        <v>16/09/2025</v>
      </c>
      <c r="J5445" t="str">
        <f t="shared" ref="J5445:J5473" si="2561">("18/09/2025")</f>
        <v>18/09/2025</v>
      </c>
      <c r="M5445">
        <v>303</v>
      </c>
      <c r="N5445" t="str">
        <f t="shared" si="2555"/>
        <v>RECEITAS COM ENTREGAS</v>
      </c>
      <c r="P5445">
        <v>139.65</v>
      </c>
      <c r="Q5445" t="str">
        <f>"LBL FARMACIA LTDA FILIAL (10192)"</f>
        <v>LBL FARMACIA LTDA FILIAL (10192)</v>
      </c>
      <c r="R5445" t="str">
        <f t="shared" si="2556"/>
        <v>RECEITAS COM ENTREGAS (303)</v>
      </c>
      <c r="S5445">
        <v>2779</v>
      </c>
      <c r="T5445">
        <v>2129</v>
      </c>
      <c r="U5445" t="s">
        <v>19</v>
      </c>
    </row>
    <row r="5446" spans="1:21">
      <c r="A5446" t="str">
        <f t="shared" si="2560"/>
        <v>18/09/2025</v>
      </c>
      <c r="B5446" t="str">
        <f t="shared" ref="B5446:B5476" si="2562">"SAÍDA"</f>
        <v>SAÍDA</v>
      </c>
      <c r="C5446" t="str">
        <f t="shared" ref="C5446:C5476" si="2563">"BOLETO"</f>
        <v>BOLETO</v>
      </c>
      <c r="D5446" t="str">
        <f t="shared" ref="D5446:D5473" si="2564">"011125"</f>
        <v>011125</v>
      </c>
      <c r="E5446" t="str">
        <f t="shared" si="2559"/>
        <v>COM</v>
      </c>
      <c r="F5446" t="str">
        <f t="shared" ref="F5446:F5473" si="2565">"CORA SOCIEDADE DE CREDITO, FINANCIAMENTO E INVESTIMENTO (20035)"</f>
        <v>CORA SOCIEDADE DE CREDITO, FINANCIAMENTO E INVESTIMENTO (20035)</v>
      </c>
      <c r="G5446" t="str">
        <f t="shared" ref="G5446:G5473" si="2566">"TAXA BOLETO CORA"</f>
        <v>TAXA BOLETO CORA</v>
      </c>
      <c r="H5446" t="str">
        <f t="shared" ref="H5446:H5473" si="2567">("18/09/2025")</f>
        <v>18/09/2025</v>
      </c>
      <c r="I5446" t="str">
        <f t="shared" ref="I5446:I5473" si="2568">("01/11/2025")</f>
        <v>01/11/2025</v>
      </c>
      <c r="J5446" t="str">
        <f t="shared" si="2561"/>
        <v>18/09/2025</v>
      </c>
      <c r="K5446">
        <v>1.7</v>
      </c>
      <c r="L5446">
        <v>1.7</v>
      </c>
      <c r="M5446">
        <v>401</v>
      </c>
      <c r="N5446" t="str">
        <f t="shared" ref="N5446:N5473" si="2569">"IOF/JUROS/DESP.FINANCEIRA"</f>
        <v>IOF/JUROS/DESP.FINANCEIRA</v>
      </c>
      <c r="O5446">
        <v>1.7</v>
      </c>
      <c r="R5446" t="str">
        <f t="shared" ref="R5446:R5476" si="2570">"BANCO CORA (102)"</f>
        <v>BANCO CORA (102)</v>
      </c>
      <c r="S5446">
        <v>3106</v>
      </c>
      <c r="T5446">
        <v>2663</v>
      </c>
      <c r="U5446" t="s">
        <v>19</v>
      </c>
    </row>
    <row r="5447" spans="1:21">
      <c r="A5447" t="str">
        <f t="shared" si="2560"/>
        <v>18/09/2025</v>
      </c>
      <c r="B5447" t="str">
        <f t="shared" si="2562"/>
        <v>SAÍDA</v>
      </c>
      <c r="C5447" t="str">
        <f t="shared" si="2563"/>
        <v>BOLETO</v>
      </c>
      <c r="D5447" t="str">
        <f t="shared" si="2564"/>
        <v>011125</v>
      </c>
      <c r="E5447" t="str">
        <f t="shared" si="2559"/>
        <v>COM</v>
      </c>
      <c r="F5447" t="str">
        <f t="shared" si="2565"/>
        <v>CORA SOCIEDADE DE CREDITO, FINANCIAMENTO E INVESTIMENTO (20035)</v>
      </c>
      <c r="G5447" t="str">
        <f t="shared" si="2566"/>
        <v>TAXA BOLETO CORA</v>
      </c>
      <c r="H5447" t="str">
        <f t="shared" si="2567"/>
        <v>18/09/2025</v>
      </c>
      <c r="I5447" t="str">
        <f t="shared" si="2568"/>
        <v>01/11/2025</v>
      </c>
      <c r="J5447" t="str">
        <f t="shared" si="2561"/>
        <v>18/09/2025</v>
      </c>
      <c r="M5447">
        <v>401</v>
      </c>
      <c r="N5447" t="str">
        <f t="shared" si="2569"/>
        <v>IOF/JUROS/DESP.FINANCEIRA</v>
      </c>
      <c r="P5447">
        <v>1.7</v>
      </c>
      <c r="Q5447" t="str">
        <f>"CORA SOCIEDADE DE CREDITO, FINANCIAMENTO E INVESTIMENTO (20035)"</f>
        <v>CORA SOCIEDADE DE CREDITO, FINANCIAMENTO E INVESTIMENTO (20035)</v>
      </c>
      <c r="R5447" t="str">
        <f t="shared" si="2570"/>
        <v>BANCO CORA (102)</v>
      </c>
      <c r="S5447">
        <v>3106</v>
      </c>
      <c r="T5447">
        <v>2663</v>
      </c>
      <c r="U5447" t="s">
        <v>19</v>
      </c>
    </row>
    <row r="5448" spans="1:21">
      <c r="A5448" t="str">
        <f t="shared" si="2560"/>
        <v>18/09/2025</v>
      </c>
      <c r="B5448" t="str">
        <f t="shared" si="2562"/>
        <v>SAÍDA</v>
      </c>
      <c r="C5448" t="str">
        <f t="shared" si="2563"/>
        <v>BOLETO</v>
      </c>
      <c r="D5448" t="str">
        <f t="shared" si="2564"/>
        <v>011125</v>
      </c>
      <c r="E5448" t="str">
        <f t="shared" si="2559"/>
        <v>COM</v>
      </c>
      <c r="F5448" t="str">
        <f t="shared" si="2565"/>
        <v>CORA SOCIEDADE DE CREDITO, FINANCIAMENTO E INVESTIMENTO (20035)</v>
      </c>
      <c r="G5448" t="str">
        <f t="shared" si="2566"/>
        <v>TAXA BOLETO CORA</v>
      </c>
      <c r="H5448" t="str">
        <f t="shared" si="2567"/>
        <v>18/09/2025</v>
      </c>
      <c r="I5448" t="str">
        <f t="shared" si="2568"/>
        <v>01/11/2025</v>
      </c>
      <c r="J5448" t="str">
        <f t="shared" si="2561"/>
        <v>18/09/2025</v>
      </c>
      <c r="K5448">
        <v>1.7</v>
      </c>
      <c r="L5448">
        <v>1.7</v>
      </c>
      <c r="M5448">
        <v>401</v>
      </c>
      <c r="N5448" t="str">
        <f t="shared" si="2569"/>
        <v>IOF/JUROS/DESP.FINANCEIRA</v>
      </c>
      <c r="O5448">
        <v>1.7</v>
      </c>
      <c r="R5448" t="str">
        <f t="shared" si="2570"/>
        <v>BANCO CORA (102)</v>
      </c>
      <c r="S5448">
        <v>3107</v>
      </c>
      <c r="T5448">
        <v>2664</v>
      </c>
      <c r="U5448" t="s">
        <v>19</v>
      </c>
    </row>
    <row r="5449" spans="1:21">
      <c r="A5449" t="str">
        <f t="shared" si="2560"/>
        <v>18/09/2025</v>
      </c>
      <c r="B5449" t="str">
        <f t="shared" si="2562"/>
        <v>SAÍDA</v>
      </c>
      <c r="C5449" t="str">
        <f t="shared" si="2563"/>
        <v>BOLETO</v>
      </c>
      <c r="D5449" t="str">
        <f t="shared" si="2564"/>
        <v>011125</v>
      </c>
      <c r="E5449" t="str">
        <f t="shared" si="2559"/>
        <v>COM</v>
      </c>
      <c r="F5449" t="str">
        <f t="shared" si="2565"/>
        <v>CORA SOCIEDADE DE CREDITO, FINANCIAMENTO E INVESTIMENTO (20035)</v>
      </c>
      <c r="G5449" t="str">
        <f t="shared" si="2566"/>
        <v>TAXA BOLETO CORA</v>
      </c>
      <c r="H5449" t="str">
        <f t="shared" si="2567"/>
        <v>18/09/2025</v>
      </c>
      <c r="I5449" t="str">
        <f t="shared" si="2568"/>
        <v>01/11/2025</v>
      </c>
      <c r="J5449" t="str">
        <f t="shared" si="2561"/>
        <v>18/09/2025</v>
      </c>
      <c r="M5449">
        <v>401</v>
      </c>
      <c r="N5449" t="str">
        <f t="shared" si="2569"/>
        <v>IOF/JUROS/DESP.FINANCEIRA</v>
      </c>
      <c r="P5449">
        <v>1.7</v>
      </c>
      <c r="Q5449" t="str">
        <f>"CORA SOCIEDADE DE CREDITO, FINANCIAMENTO E INVESTIMENTO (20035)"</f>
        <v>CORA SOCIEDADE DE CREDITO, FINANCIAMENTO E INVESTIMENTO (20035)</v>
      </c>
      <c r="R5449" t="str">
        <f t="shared" si="2570"/>
        <v>BANCO CORA (102)</v>
      </c>
      <c r="S5449">
        <v>3107</v>
      </c>
      <c r="T5449">
        <v>2664</v>
      </c>
      <c r="U5449" t="s">
        <v>19</v>
      </c>
    </row>
    <row r="5450" spans="1:21">
      <c r="A5450" t="str">
        <f t="shared" si="2560"/>
        <v>18/09/2025</v>
      </c>
      <c r="B5450" t="str">
        <f t="shared" si="2562"/>
        <v>SAÍDA</v>
      </c>
      <c r="C5450" t="str">
        <f t="shared" si="2563"/>
        <v>BOLETO</v>
      </c>
      <c r="D5450" t="str">
        <f t="shared" si="2564"/>
        <v>011125</v>
      </c>
      <c r="E5450" t="str">
        <f t="shared" si="2559"/>
        <v>COM</v>
      </c>
      <c r="F5450" t="str">
        <f t="shared" si="2565"/>
        <v>CORA SOCIEDADE DE CREDITO, FINANCIAMENTO E INVESTIMENTO (20035)</v>
      </c>
      <c r="G5450" t="str">
        <f t="shared" si="2566"/>
        <v>TAXA BOLETO CORA</v>
      </c>
      <c r="H5450" t="str">
        <f t="shared" si="2567"/>
        <v>18/09/2025</v>
      </c>
      <c r="I5450" t="str">
        <f t="shared" si="2568"/>
        <v>01/11/2025</v>
      </c>
      <c r="J5450" t="str">
        <f t="shared" si="2561"/>
        <v>18/09/2025</v>
      </c>
      <c r="K5450">
        <v>1.7</v>
      </c>
      <c r="L5450">
        <v>1.7</v>
      </c>
      <c r="M5450">
        <v>401</v>
      </c>
      <c r="N5450" t="str">
        <f t="shared" si="2569"/>
        <v>IOF/JUROS/DESP.FINANCEIRA</v>
      </c>
      <c r="O5450">
        <v>1.7</v>
      </c>
      <c r="R5450" t="str">
        <f t="shared" si="2570"/>
        <v>BANCO CORA (102)</v>
      </c>
      <c r="S5450">
        <v>3108</v>
      </c>
      <c r="T5450">
        <v>2665</v>
      </c>
      <c r="U5450" t="s">
        <v>19</v>
      </c>
    </row>
    <row r="5451" spans="1:21">
      <c r="A5451" t="str">
        <f t="shared" si="2560"/>
        <v>18/09/2025</v>
      </c>
      <c r="B5451" t="str">
        <f t="shared" si="2562"/>
        <v>SAÍDA</v>
      </c>
      <c r="C5451" t="str">
        <f t="shared" si="2563"/>
        <v>BOLETO</v>
      </c>
      <c r="D5451" t="str">
        <f t="shared" si="2564"/>
        <v>011125</v>
      </c>
      <c r="E5451" t="str">
        <f t="shared" si="2559"/>
        <v>COM</v>
      </c>
      <c r="F5451" t="str">
        <f t="shared" si="2565"/>
        <v>CORA SOCIEDADE DE CREDITO, FINANCIAMENTO E INVESTIMENTO (20035)</v>
      </c>
      <c r="G5451" t="str">
        <f t="shared" si="2566"/>
        <v>TAXA BOLETO CORA</v>
      </c>
      <c r="H5451" t="str">
        <f t="shared" si="2567"/>
        <v>18/09/2025</v>
      </c>
      <c r="I5451" t="str">
        <f t="shared" si="2568"/>
        <v>01/11/2025</v>
      </c>
      <c r="J5451" t="str">
        <f t="shared" si="2561"/>
        <v>18/09/2025</v>
      </c>
      <c r="M5451">
        <v>401</v>
      </c>
      <c r="N5451" t="str">
        <f t="shared" si="2569"/>
        <v>IOF/JUROS/DESP.FINANCEIRA</v>
      </c>
      <c r="P5451">
        <v>1.7</v>
      </c>
      <c r="Q5451" t="str">
        <f>"CORA SOCIEDADE DE CREDITO, FINANCIAMENTO E INVESTIMENTO (20035)"</f>
        <v>CORA SOCIEDADE DE CREDITO, FINANCIAMENTO E INVESTIMENTO (20035)</v>
      </c>
      <c r="R5451" t="str">
        <f t="shared" si="2570"/>
        <v>BANCO CORA (102)</v>
      </c>
      <c r="S5451">
        <v>3108</v>
      </c>
      <c r="T5451">
        <v>2665</v>
      </c>
      <c r="U5451" t="s">
        <v>19</v>
      </c>
    </row>
    <row r="5452" spans="1:21">
      <c r="A5452" t="str">
        <f t="shared" si="2560"/>
        <v>18/09/2025</v>
      </c>
      <c r="B5452" t="str">
        <f t="shared" si="2562"/>
        <v>SAÍDA</v>
      </c>
      <c r="C5452" t="str">
        <f t="shared" si="2563"/>
        <v>BOLETO</v>
      </c>
      <c r="D5452" t="str">
        <f t="shared" si="2564"/>
        <v>011125</v>
      </c>
      <c r="E5452" t="str">
        <f t="shared" si="2559"/>
        <v>COM</v>
      </c>
      <c r="F5452" t="str">
        <f t="shared" si="2565"/>
        <v>CORA SOCIEDADE DE CREDITO, FINANCIAMENTO E INVESTIMENTO (20035)</v>
      </c>
      <c r="G5452" t="str">
        <f t="shared" si="2566"/>
        <v>TAXA BOLETO CORA</v>
      </c>
      <c r="H5452" t="str">
        <f t="shared" si="2567"/>
        <v>18/09/2025</v>
      </c>
      <c r="I5452" t="str">
        <f t="shared" si="2568"/>
        <v>01/11/2025</v>
      </c>
      <c r="J5452" t="str">
        <f t="shared" si="2561"/>
        <v>18/09/2025</v>
      </c>
      <c r="K5452">
        <v>1.7</v>
      </c>
      <c r="L5452">
        <v>1.7</v>
      </c>
      <c r="M5452">
        <v>401</v>
      </c>
      <c r="N5452" t="str">
        <f t="shared" si="2569"/>
        <v>IOF/JUROS/DESP.FINANCEIRA</v>
      </c>
      <c r="O5452">
        <v>1.7</v>
      </c>
      <c r="R5452" t="str">
        <f t="shared" si="2570"/>
        <v>BANCO CORA (102)</v>
      </c>
      <c r="S5452">
        <v>3109</v>
      </c>
      <c r="T5452">
        <v>2666</v>
      </c>
      <c r="U5452" t="s">
        <v>19</v>
      </c>
    </row>
    <row r="5453" spans="1:21">
      <c r="A5453" t="str">
        <f t="shared" si="2560"/>
        <v>18/09/2025</v>
      </c>
      <c r="B5453" t="str">
        <f t="shared" si="2562"/>
        <v>SAÍDA</v>
      </c>
      <c r="C5453" t="str">
        <f t="shared" si="2563"/>
        <v>BOLETO</v>
      </c>
      <c r="D5453" t="str">
        <f t="shared" si="2564"/>
        <v>011125</v>
      </c>
      <c r="E5453" t="str">
        <f t="shared" si="2559"/>
        <v>COM</v>
      </c>
      <c r="F5453" t="str">
        <f t="shared" si="2565"/>
        <v>CORA SOCIEDADE DE CREDITO, FINANCIAMENTO E INVESTIMENTO (20035)</v>
      </c>
      <c r="G5453" t="str">
        <f t="shared" si="2566"/>
        <v>TAXA BOLETO CORA</v>
      </c>
      <c r="H5453" t="str">
        <f t="shared" si="2567"/>
        <v>18/09/2025</v>
      </c>
      <c r="I5453" t="str">
        <f t="shared" si="2568"/>
        <v>01/11/2025</v>
      </c>
      <c r="J5453" t="str">
        <f t="shared" si="2561"/>
        <v>18/09/2025</v>
      </c>
      <c r="M5453">
        <v>401</v>
      </c>
      <c r="N5453" t="str">
        <f t="shared" si="2569"/>
        <v>IOF/JUROS/DESP.FINANCEIRA</v>
      </c>
      <c r="P5453">
        <v>1.7</v>
      </c>
      <c r="Q5453" t="str">
        <f>"CORA SOCIEDADE DE CREDITO, FINANCIAMENTO E INVESTIMENTO (20035)"</f>
        <v>CORA SOCIEDADE DE CREDITO, FINANCIAMENTO E INVESTIMENTO (20035)</v>
      </c>
      <c r="R5453" t="str">
        <f t="shared" si="2570"/>
        <v>BANCO CORA (102)</v>
      </c>
      <c r="S5453">
        <v>3109</v>
      </c>
      <c r="T5453">
        <v>2666</v>
      </c>
      <c r="U5453" t="s">
        <v>19</v>
      </c>
    </row>
    <row r="5454" spans="1:21">
      <c r="A5454" t="str">
        <f t="shared" si="2560"/>
        <v>18/09/2025</v>
      </c>
      <c r="B5454" t="str">
        <f t="shared" si="2562"/>
        <v>SAÍDA</v>
      </c>
      <c r="C5454" t="str">
        <f t="shared" si="2563"/>
        <v>BOLETO</v>
      </c>
      <c r="D5454" t="str">
        <f t="shared" si="2564"/>
        <v>011125</v>
      </c>
      <c r="E5454" t="str">
        <f t="shared" si="2559"/>
        <v>COM</v>
      </c>
      <c r="F5454" t="str">
        <f t="shared" si="2565"/>
        <v>CORA SOCIEDADE DE CREDITO, FINANCIAMENTO E INVESTIMENTO (20035)</v>
      </c>
      <c r="G5454" t="str">
        <f t="shared" si="2566"/>
        <v>TAXA BOLETO CORA</v>
      </c>
      <c r="H5454" t="str">
        <f t="shared" si="2567"/>
        <v>18/09/2025</v>
      </c>
      <c r="I5454" t="str">
        <f t="shared" si="2568"/>
        <v>01/11/2025</v>
      </c>
      <c r="J5454" t="str">
        <f t="shared" si="2561"/>
        <v>18/09/2025</v>
      </c>
      <c r="K5454">
        <v>1.7</v>
      </c>
      <c r="L5454">
        <v>1.7</v>
      </c>
      <c r="M5454">
        <v>401</v>
      </c>
      <c r="N5454" t="str">
        <f t="shared" si="2569"/>
        <v>IOF/JUROS/DESP.FINANCEIRA</v>
      </c>
      <c r="O5454">
        <v>1.7</v>
      </c>
      <c r="R5454" t="str">
        <f t="shared" si="2570"/>
        <v>BANCO CORA (102)</v>
      </c>
      <c r="S5454">
        <v>3110</v>
      </c>
      <c r="T5454">
        <v>2667</v>
      </c>
      <c r="U5454" t="s">
        <v>19</v>
      </c>
    </row>
    <row r="5455" spans="1:21">
      <c r="A5455" t="str">
        <f t="shared" si="2560"/>
        <v>18/09/2025</v>
      </c>
      <c r="B5455" t="str">
        <f t="shared" si="2562"/>
        <v>SAÍDA</v>
      </c>
      <c r="C5455" t="str">
        <f t="shared" si="2563"/>
        <v>BOLETO</v>
      </c>
      <c r="D5455" t="str">
        <f t="shared" si="2564"/>
        <v>011125</v>
      </c>
      <c r="E5455" t="str">
        <f t="shared" si="2559"/>
        <v>COM</v>
      </c>
      <c r="F5455" t="str">
        <f t="shared" si="2565"/>
        <v>CORA SOCIEDADE DE CREDITO, FINANCIAMENTO E INVESTIMENTO (20035)</v>
      </c>
      <c r="G5455" t="str">
        <f t="shared" si="2566"/>
        <v>TAXA BOLETO CORA</v>
      </c>
      <c r="H5455" t="str">
        <f t="shared" si="2567"/>
        <v>18/09/2025</v>
      </c>
      <c r="I5455" t="str">
        <f t="shared" si="2568"/>
        <v>01/11/2025</v>
      </c>
      <c r="J5455" t="str">
        <f t="shared" si="2561"/>
        <v>18/09/2025</v>
      </c>
      <c r="M5455">
        <v>401</v>
      </c>
      <c r="N5455" t="str">
        <f t="shared" si="2569"/>
        <v>IOF/JUROS/DESP.FINANCEIRA</v>
      </c>
      <c r="P5455">
        <v>1.7</v>
      </c>
      <c r="Q5455" t="str">
        <f>"CORA SOCIEDADE DE CREDITO, FINANCIAMENTO E INVESTIMENTO (20035)"</f>
        <v>CORA SOCIEDADE DE CREDITO, FINANCIAMENTO E INVESTIMENTO (20035)</v>
      </c>
      <c r="R5455" t="str">
        <f t="shared" si="2570"/>
        <v>BANCO CORA (102)</v>
      </c>
      <c r="S5455">
        <v>3110</v>
      </c>
      <c r="T5455">
        <v>2667</v>
      </c>
      <c r="U5455" t="s">
        <v>19</v>
      </c>
    </row>
    <row r="5456" spans="1:21">
      <c r="A5456" t="str">
        <f t="shared" si="2560"/>
        <v>18/09/2025</v>
      </c>
      <c r="B5456" t="str">
        <f t="shared" si="2562"/>
        <v>SAÍDA</v>
      </c>
      <c r="C5456" t="str">
        <f t="shared" si="2563"/>
        <v>BOLETO</v>
      </c>
      <c r="D5456" t="str">
        <f t="shared" si="2564"/>
        <v>011125</v>
      </c>
      <c r="E5456" t="str">
        <f t="shared" si="2559"/>
        <v>COM</v>
      </c>
      <c r="F5456" t="str">
        <f t="shared" si="2565"/>
        <v>CORA SOCIEDADE DE CREDITO, FINANCIAMENTO E INVESTIMENTO (20035)</v>
      </c>
      <c r="G5456" t="str">
        <f t="shared" si="2566"/>
        <v>TAXA BOLETO CORA</v>
      </c>
      <c r="H5456" t="str">
        <f t="shared" si="2567"/>
        <v>18/09/2025</v>
      </c>
      <c r="I5456" t="str">
        <f t="shared" si="2568"/>
        <v>01/11/2025</v>
      </c>
      <c r="J5456" t="str">
        <f t="shared" si="2561"/>
        <v>18/09/2025</v>
      </c>
      <c r="K5456">
        <v>1.7</v>
      </c>
      <c r="L5456">
        <v>1.7</v>
      </c>
      <c r="M5456">
        <v>401</v>
      </c>
      <c r="N5456" t="str">
        <f t="shared" si="2569"/>
        <v>IOF/JUROS/DESP.FINANCEIRA</v>
      </c>
      <c r="O5456">
        <v>1.7</v>
      </c>
      <c r="R5456" t="str">
        <f t="shared" si="2570"/>
        <v>BANCO CORA (102)</v>
      </c>
      <c r="S5456">
        <v>3111</v>
      </c>
      <c r="T5456">
        <v>2668</v>
      </c>
      <c r="U5456" t="s">
        <v>19</v>
      </c>
    </row>
    <row r="5457" spans="1:21">
      <c r="A5457" t="str">
        <f t="shared" si="2560"/>
        <v>18/09/2025</v>
      </c>
      <c r="B5457" t="str">
        <f t="shared" si="2562"/>
        <v>SAÍDA</v>
      </c>
      <c r="C5457" t="str">
        <f t="shared" si="2563"/>
        <v>BOLETO</v>
      </c>
      <c r="D5457" t="str">
        <f t="shared" si="2564"/>
        <v>011125</v>
      </c>
      <c r="E5457" t="str">
        <f t="shared" si="2559"/>
        <v>COM</v>
      </c>
      <c r="F5457" t="str">
        <f t="shared" si="2565"/>
        <v>CORA SOCIEDADE DE CREDITO, FINANCIAMENTO E INVESTIMENTO (20035)</v>
      </c>
      <c r="G5457" t="str">
        <f t="shared" si="2566"/>
        <v>TAXA BOLETO CORA</v>
      </c>
      <c r="H5457" t="str">
        <f t="shared" si="2567"/>
        <v>18/09/2025</v>
      </c>
      <c r="I5457" t="str">
        <f t="shared" si="2568"/>
        <v>01/11/2025</v>
      </c>
      <c r="J5457" t="str">
        <f t="shared" si="2561"/>
        <v>18/09/2025</v>
      </c>
      <c r="M5457">
        <v>401</v>
      </c>
      <c r="N5457" t="str">
        <f t="shared" si="2569"/>
        <v>IOF/JUROS/DESP.FINANCEIRA</v>
      </c>
      <c r="P5457">
        <v>1.7</v>
      </c>
      <c r="Q5457" t="str">
        <f>"CORA SOCIEDADE DE CREDITO, FINANCIAMENTO E INVESTIMENTO (20035)"</f>
        <v>CORA SOCIEDADE DE CREDITO, FINANCIAMENTO E INVESTIMENTO (20035)</v>
      </c>
      <c r="R5457" t="str">
        <f t="shared" si="2570"/>
        <v>BANCO CORA (102)</v>
      </c>
      <c r="S5457">
        <v>3111</v>
      </c>
      <c r="T5457">
        <v>2668</v>
      </c>
      <c r="U5457" t="s">
        <v>19</v>
      </c>
    </row>
    <row r="5458" spans="1:21">
      <c r="A5458" t="str">
        <f t="shared" si="2560"/>
        <v>18/09/2025</v>
      </c>
      <c r="B5458" t="str">
        <f t="shared" si="2562"/>
        <v>SAÍDA</v>
      </c>
      <c r="C5458" t="str">
        <f t="shared" si="2563"/>
        <v>BOLETO</v>
      </c>
      <c r="D5458" t="str">
        <f t="shared" si="2564"/>
        <v>011125</v>
      </c>
      <c r="E5458" t="str">
        <f t="shared" si="2559"/>
        <v>COM</v>
      </c>
      <c r="F5458" t="str">
        <f t="shared" si="2565"/>
        <v>CORA SOCIEDADE DE CREDITO, FINANCIAMENTO E INVESTIMENTO (20035)</v>
      </c>
      <c r="G5458" t="str">
        <f t="shared" si="2566"/>
        <v>TAXA BOLETO CORA</v>
      </c>
      <c r="H5458" t="str">
        <f t="shared" si="2567"/>
        <v>18/09/2025</v>
      </c>
      <c r="I5458" t="str">
        <f t="shared" si="2568"/>
        <v>01/11/2025</v>
      </c>
      <c r="J5458" t="str">
        <f t="shared" si="2561"/>
        <v>18/09/2025</v>
      </c>
      <c r="K5458">
        <v>1.7</v>
      </c>
      <c r="L5458">
        <v>1.7</v>
      </c>
      <c r="M5458">
        <v>401</v>
      </c>
      <c r="N5458" t="str">
        <f t="shared" si="2569"/>
        <v>IOF/JUROS/DESP.FINANCEIRA</v>
      </c>
      <c r="O5458">
        <v>1.7</v>
      </c>
      <c r="R5458" t="str">
        <f t="shared" si="2570"/>
        <v>BANCO CORA (102)</v>
      </c>
      <c r="S5458">
        <v>3112</v>
      </c>
      <c r="T5458">
        <v>2669</v>
      </c>
      <c r="U5458" t="s">
        <v>19</v>
      </c>
    </row>
    <row r="5459" spans="1:21">
      <c r="A5459" t="str">
        <f t="shared" si="2560"/>
        <v>18/09/2025</v>
      </c>
      <c r="B5459" t="str">
        <f t="shared" si="2562"/>
        <v>SAÍDA</v>
      </c>
      <c r="C5459" t="str">
        <f t="shared" si="2563"/>
        <v>BOLETO</v>
      </c>
      <c r="D5459" t="str">
        <f t="shared" si="2564"/>
        <v>011125</v>
      </c>
      <c r="E5459" t="str">
        <f t="shared" si="2559"/>
        <v>COM</v>
      </c>
      <c r="F5459" t="str">
        <f t="shared" si="2565"/>
        <v>CORA SOCIEDADE DE CREDITO, FINANCIAMENTO E INVESTIMENTO (20035)</v>
      </c>
      <c r="G5459" t="str">
        <f t="shared" si="2566"/>
        <v>TAXA BOLETO CORA</v>
      </c>
      <c r="H5459" t="str">
        <f t="shared" si="2567"/>
        <v>18/09/2025</v>
      </c>
      <c r="I5459" t="str">
        <f t="shared" si="2568"/>
        <v>01/11/2025</v>
      </c>
      <c r="J5459" t="str">
        <f t="shared" si="2561"/>
        <v>18/09/2025</v>
      </c>
      <c r="M5459">
        <v>401</v>
      </c>
      <c r="N5459" t="str">
        <f t="shared" si="2569"/>
        <v>IOF/JUROS/DESP.FINANCEIRA</v>
      </c>
      <c r="P5459">
        <v>1.7</v>
      </c>
      <c r="Q5459" t="str">
        <f>"CORA SOCIEDADE DE CREDITO, FINANCIAMENTO E INVESTIMENTO (20035)"</f>
        <v>CORA SOCIEDADE DE CREDITO, FINANCIAMENTO E INVESTIMENTO (20035)</v>
      </c>
      <c r="R5459" t="str">
        <f t="shared" si="2570"/>
        <v>BANCO CORA (102)</v>
      </c>
      <c r="S5459">
        <v>3112</v>
      </c>
      <c r="T5459">
        <v>2669</v>
      </c>
      <c r="U5459" t="s">
        <v>19</v>
      </c>
    </row>
    <row r="5460" spans="1:21">
      <c r="A5460" t="str">
        <f t="shared" si="2560"/>
        <v>18/09/2025</v>
      </c>
      <c r="B5460" t="str">
        <f t="shared" si="2562"/>
        <v>SAÍDA</v>
      </c>
      <c r="C5460" t="str">
        <f t="shared" si="2563"/>
        <v>BOLETO</v>
      </c>
      <c r="D5460" t="str">
        <f t="shared" si="2564"/>
        <v>011125</v>
      </c>
      <c r="E5460" t="str">
        <f t="shared" si="2559"/>
        <v>COM</v>
      </c>
      <c r="F5460" t="str">
        <f t="shared" si="2565"/>
        <v>CORA SOCIEDADE DE CREDITO, FINANCIAMENTO E INVESTIMENTO (20035)</v>
      </c>
      <c r="G5460" t="str">
        <f t="shared" si="2566"/>
        <v>TAXA BOLETO CORA</v>
      </c>
      <c r="H5460" t="str">
        <f t="shared" si="2567"/>
        <v>18/09/2025</v>
      </c>
      <c r="I5460" t="str">
        <f t="shared" si="2568"/>
        <v>01/11/2025</v>
      </c>
      <c r="J5460" t="str">
        <f t="shared" si="2561"/>
        <v>18/09/2025</v>
      </c>
      <c r="K5460">
        <v>1.7</v>
      </c>
      <c r="L5460">
        <v>1.7</v>
      </c>
      <c r="M5460">
        <v>401</v>
      </c>
      <c r="N5460" t="str">
        <f t="shared" si="2569"/>
        <v>IOF/JUROS/DESP.FINANCEIRA</v>
      </c>
      <c r="O5460">
        <v>1.7</v>
      </c>
      <c r="R5460" t="str">
        <f t="shared" si="2570"/>
        <v>BANCO CORA (102)</v>
      </c>
      <c r="S5460">
        <v>3113</v>
      </c>
      <c r="T5460">
        <v>2670</v>
      </c>
      <c r="U5460" t="s">
        <v>19</v>
      </c>
    </row>
    <row r="5461" spans="1:21">
      <c r="A5461" t="str">
        <f t="shared" si="2560"/>
        <v>18/09/2025</v>
      </c>
      <c r="B5461" t="str">
        <f t="shared" si="2562"/>
        <v>SAÍDA</v>
      </c>
      <c r="C5461" t="str">
        <f t="shared" si="2563"/>
        <v>BOLETO</v>
      </c>
      <c r="D5461" t="str">
        <f t="shared" si="2564"/>
        <v>011125</v>
      </c>
      <c r="E5461" t="str">
        <f t="shared" si="2559"/>
        <v>COM</v>
      </c>
      <c r="F5461" t="str">
        <f t="shared" si="2565"/>
        <v>CORA SOCIEDADE DE CREDITO, FINANCIAMENTO E INVESTIMENTO (20035)</v>
      </c>
      <c r="G5461" t="str">
        <f t="shared" si="2566"/>
        <v>TAXA BOLETO CORA</v>
      </c>
      <c r="H5461" t="str">
        <f t="shared" si="2567"/>
        <v>18/09/2025</v>
      </c>
      <c r="I5461" t="str">
        <f t="shared" si="2568"/>
        <v>01/11/2025</v>
      </c>
      <c r="J5461" t="str">
        <f t="shared" si="2561"/>
        <v>18/09/2025</v>
      </c>
      <c r="M5461">
        <v>401</v>
      </c>
      <c r="N5461" t="str">
        <f t="shared" si="2569"/>
        <v>IOF/JUROS/DESP.FINANCEIRA</v>
      </c>
      <c r="P5461">
        <v>1.7</v>
      </c>
      <c r="Q5461" t="str">
        <f>"CORA SOCIEDADE DE CREDITO, FINANCIAMENTO E INVESTIMENTO (20035)"</f>
        <v>CORA SOCIEDADE DE CREDITO, FINANCIAMENTO E INVESTIMENTO (20035)</v>
      </c>
      <c r="R5461" t="str">
        <f t="shared" si="2570"/>
        <v>BANCO CORA (102)</v>
      </c>
      <c r="S5461">
        <v>3113</v>
      </c>
      <c r="T5461">
        <v>2670</v>
      </c>
      <c r="U5461" t="s">
        <v>19</v>
      </c>
    </row>
    <row r="5462" spans="1:21">
      <c r="A5462" t="str">
        <f t="shared" si="2560"/>
        <v>18/09/2025</v>
      </c>
      <c r="B5462" t="str">
        <f t="shared" si="2562"/>
        <v>SAÍDA</v>
      </c>
      <c r="C5462" t="str">
        <f t="shared" si="2563"/>
        <v>BOLETO</v>
      </c>
      <c r="D5462" t="str">
        <f t="shared" si="2564"/>
        <v>011125</v>
      </c>
      <c r="E5462" t="str">
        <f t="shared" si="2559"/>
        <v>COM</v>
      </c>
      <c r="F5462" t="str">
        <f t="shared" si="2565"/>
        <v>CORA SOCIEDADE DE CREDITO, FINANCIAMENTO E INVESTIMENTO (20035)</v>
      </c>
      <c r="G5462" t="str">
        <f t="shared" si="2566"/>
        <v>TAXA BOLETO CORA</v>
      </c>
      <c r="H5462" t="str">
        <f t="shared" si="2567"/>
        <v>18/09/2025</v>
      </c>
      <c r="I5462" t="str">
        <f t="shared" si="2568"/>
        <v>01/11/2025</v>
      </c>
      <c r="J5462" t="str">
        <f t="shared" si="2561"/>
        <v>18/09/2025</v>
      </c>
      <c r="K5462">
        <v>1.7</v>
      </c>
      <c r="L5462">
        <v>1.7</v>
      </c>
      <c r="M5462">
        <v>401</v>
      </c>
      <c r="N5462" t="str">
        <f t="shared" si="2569"/>
        <v>IOF/JUROS/DESP.FINANCEIRA</v>
      </c>
      <c r="O5462">
        <v>1.7</v>
      </c>
      <c r="R5462" t="str">
        <f t="shared" si="2570"/>
        <v>BANCO CORA (102)</v>
      </c>
      <c r="S5462">
        <v>3114</v>
      </c>
      <c r="T5462">
        <v>2671</v>
      </c>
      <c r="U5462" t="s">
        <v>19</v>
      </c>
    </row>
    <row r="5463" spans="1:21">
      <c r="A5463" t="str">
        <f t="shared" si="2560"/>
        <v>18/09/2025</v>
      </c>
      <c r="B5463" t="str">
        <f t="shared" si="2562"/>
        <v>SAÍDA</v>
      </c>
      <c r="C5463" t="str">
        <f t="shared" si="2563"/>
        <v>BOLETO</v>
      </c>
      <c r="D5463" t="str">
        <f t="shared" si="2564"/>
        <v>011125</v>
      </c>
      <c r="E5463" t="str">
        <f t="shared" si="2559"/>
        <v>COM</v>
      </c>
      <c r="F5463" t="str">
        <f t="shared" si="2565"/>
        <v>CORA SOCIEDADE DE CREDITO, FINANCIAMENTO E INVESTIMENTO (20035)</v>
      </c>
      <c r="G5463" t="str">
        <f t="shared" si="2566"/>
        <v>TAXA BOLETO CORA</v>
      </c>
      <c r="H5463" t="str">
        <f t="shared" si="2567"/>
        <v>18/09/2025</v>
      </c>
      <c r="I5463" t="str">
        <f t="shared" si="2568"/>
        <v>01/11/2025</v>
      </c>
      <c r="J5463" t="str">
        <f t="shared" si="2561"/>
        <v>18/09/2025</v>
      </c>
      <c r="M5463">
        <v>401</v>
      </c>
      <c r="N5463" t="str">
        <f t="shared" si="2569"/>
        <v>IOF/JUROS/DESP.FINANCEIRA</v>
      </c>
      <c r="P5463">
        <v>1.7</v>
      </c>
      <c r="Q5463" t="str">
        <f>"CORA SOCIEDADE DE CREDITO, FINANCIAMENTO E INVESTIMENTO (20035)"</f>
        <v>CORA SOCIEDADE DE CREDITO, FINANCIAMENTO E INVESTIMENTO (20035)</v>
      </c>
      <c r="R5463" t="str">
        <f t="shared" si="2570"/>
        <v>BANCO CORA (102)</v>
      </c>
      <c r="S5463">
        <v>3114</v>
      </c>
      <c r="T5463">
        <v>2671</v>
      </c>
      <c r="U5463" t="s">
        <v>19</v>
      </c>
    </row>
    <row r="5464" spans="1:21">
      <c r="A5464" t="str">
        <f t="shared" si="2560"/>
        <v>18/09/2025</v>
      </c>
      <c r="B5464" t="str">
        <f t="shared" si="2562"/>
        <v>SAÍDA</v>
      </c>
      <c r="C5464" t="str">
        <f t="shared" si="2563"/>
        <v>BOLETO</v>
      </c>
      <c r="D5464" t="str">
        <f t="shared" si="2564"/>
        <v>011125</v>
      </c>
      <c r="E5464" t="str">
        <f t="shared" si="2559"/>
        <v>COM</v>
      </c>
      <c r="F5464" t="str">
        <f t="shared" si="2565"/>
        <v>CORA SOCIEDADE DE CREDITO, FINANCIAMENTO E INVESTIMENTO (20035)</v>
      </c>
      <c r="G5464" t="str">
        <f t="shared" si="2566"/>
        <v>TAXA BOLETO CORA</v>
      </c>
      <c r="H5464" t="str">
        <f t="shared" si="2567"/>
        <v>18/09/2025</v>
      </c>
      <c r="I5464" t="str">
        <f t="shared" si="2568"/>
        <v>01/11/2025</v>
      </c>
      <c r="J5464" t="str">
        <f t="shared" si="2561"/>
        <v>18/09/2025</v>
      </c>
      <c r="K5464">
        <v>1.7</v>
      </c>
      <c r="L5464">
        <v>1.7</v>
      </c>
      <c r="M5464">
        <v>401</v>
      </c>
      <c r="N5464" t="str">
        <f t="shared" si="2569"/>
        <v>IOF/JUROS/DESP.FINANCEIRA</v>
      </c>
      <c r="O5464">
        <v>1.7</v>
      </c>
      <c r="R5464" t="str">
        <f t="shared" si="2570"/>
        <v>BANCO CORA (102)</v>
      </c>
      <c r="S5464">
        <v>3115</v>
      </c>
      <c r="T5464">
        <v>2672</v>
      </c>
      <c r="U5464" t="s">
        <v>19</v>
      </c>
    </row>
    <row r="5465" spans="1:21">
      <c r="A5465" t="str">
        <f t="shared" si="2560"/>
        <v>18/09/2025</v>
      </c>
      <c r="B5465" t="str">
        <f t="shared" si="2562"/>
        <v>SAÍDA</v>
      </c>
      <c r="C5465" t="str">
        <f t="shared" si="2563"/>
        <v>BOLETO</v>
      </c>
      <c r="D5465" t="str">
        <f t="shared" si="2564"/>
        <v>011125</v>
      </c>
      <c r="E5465" t="str">
        <f t="shared" si="2559"/>
        <v>COM</v>
      </c>
      <c r="F5465" t="str">
        <f t="shared" si="2565"/>
        <v>CORA SOCIEDADE DE CREDITO, FINANCIAMENTO E INVESTIMENTO (20035)</v>
      </c>
      <c r="G5465" t="str">
        <f t="shared" si="2566"/>
        <v>TAXA BOLETO CORA</v>
      </c>
      <c r="H5465" t="str">
        <f t="shared" si="2567"/>
        <v>18/09/2025</v>
      </c>
      <c r="I5465" t="str">
        <f t="shared" si="2568"/>
        <v>01/11/2025</v>
      </c>
      <c r="J5465" t="str">
        <f t="shared" si="2561"/>
        <v>18/09/2025</v>
      </c>
      <c r="M5465">
        <v>401</v>
      </c>
      <c r="N5465" t="str">
        <f t="shared" si="2569"/>
        <v>IOF/JUROS/DESP.FINANCEIRA</v>
      </c>
      <c r="P5465">
        <v>1.7</v>
      </c>
      <c r="Q5465" t="str">
        <f>"CORA SOCIEDADE DE CREDITO, FINANCIAMENTO E INVESTIMENTO (20035)"</f>
        <v>CORA SOCIEDADE DE CREDITO, FINANCIAMENTO E INVESTIMENTO (20035)</v>
      </c>
      <c r="R5465" t="str">
        <f t="shared" si="2570"/>
        <v>BANCO CORA (102)</v>
      </c>
      <c r="S5465">
        <v>3115</v>
      </c>
      <c r="T5465">
        <v>2672</v>
      </c>
      <c r="U5465" t="s">
        <v>19</v>
      </c>
    </row>
    <row r="5466" spans="1:21">
      <c r="A5466" t="str">
        <f t="shared" si="2560"/>
        <v>18/09/2025</v>
      </c>
      <c r="B5466" t="str">
        <f t="shared" si="2562"/>
        <v>SAÍDA</v>
      </c>
      <c r="C5466" t="str">
        <f t="shared" si="2563"/>
        <v>BOLETO</v>
      </c>
      <c r="D5466" t="str">
        <f t="shared" si="2564"/>
        <v>011125</v>
      </c>
      <c r="E5466" t="str">
        <f t="shared" si="2559"/>
        <v>COM</v>
      </c>
      <c r="F5466" t="str">
        <f t="shared" si="2565"/>
        <v>CORA SOCIEDADE DE CREDITO, FINANCIAMENTO E INVESTIMENTO (20035)</v>
      </c>
      <c r="G5466" t="str">
        <f t="shared" si="2566"/>
        <v>TAXA BOLETO CORA</v>
      </c>
      <c r="H5466" t="str">
        <f t="shared" si="2567"/>
        <v>18/09/2025</v>
      </c>
      <c r="I5466" t="str">
        <f t="shared" si="2568"/>
        <v>01/11/2025</v>
      </c>
      <c r="J5466" t="str">
        <f t="shared" si="2561"/>
        <v>18/09/2025</v>
      </c>
      <c r="K5466">
        <v>1.7</v>
      </c>
      <c r="L5466">
        <v>1.7</v>
      </c>
      <c r="M5466">
        <v>401</v>
      </c>
      <c r="N5466" t="str">
        <f t="shared" si="2569"/>
        <v>IOF/JUROS/DESP.FINANCEIRA</v>
      </c>
      <c r="O5466">
        <v>1.7</v>
      </c>
      <c r="R5466" t="str">
        <f t="shared" si="2570"/>
        <v>BANCO CORA (102)</v>
      </c>
      <c r="S5466">
        <v>3116</v>
      </c>
      <c r="T5466">
        <v>2673</v>
      </c>
      <c r="U5466" t="s">
        <v>19</v>
      </c>
    </row>
    <row r="5467" spans="1:21">
      <c r="A5467" t="str">
        <f t="shared" si="2560"/>
        <v>18/09/2025</v>
      </c>
      <c r="B5467" t="str">
        <f t="shared" si="2562"/>
        <v>SAÍDA</v>
      </c>
      <c r="C5467" t="str">
        <f t="shared" si="2563"/>
        <v>BOLETO</v>
      </c>
      <c r="D5467" t="str">
        <f t="shared" si="2564"/>
        <v>011125</v>
      </c>
      <c r="E5467" t="str">
        <f t="shared" si="2559"/>
        <v>COM</v>
      </c>
      <c r="F5467" t="str">
        <f t="shared" si="2565"/>
        <v>CORA SOCIEDADE DE CREDITO, FINANCIAMENTO E INVESTIMENTO (20035)</v>
      </c>
      <c r="G5467" t="str">
        <f t="shared" si="2566"/>
        <v>TAXA BOLETO CORA</v>
      </c>
      <c r="H5467" t="str">
        <f t="shared" si="2567"/>
        <v>18/09/2025</v>
      </c>
      <c r="I5467" t="str">
        <f t="shared" si="2568"/>
        <v>01/11/2025</v>
      </c>
      <c r="J5467" t="str">
        <f t="shared" si="2561"/>
        <v>18/09/2025</v>
      </c>
      <c r="M5467">
        <v>401</v>
      </c>
      <c r="N5467" t="str">
        <f t="shared" si="2569"/>
        <v>IOF/JUROS/DESP.FINANCEIRA</v>
      </c>
      <c r="P5467">
        <v>1.7</v>
      </c>
      <c r="Q5467" t="str">
        <f>"CORA SOCIEDADE DE CREDITO, FINANCIAMENTO E INVESTIMENTO (20035)"</f>
        <v>CORA SOCIEDADE DE CREDITO, FINANCIAMENTO E INVESTIMENTO (20035)</v>
      </c>
      <c r="R5467" t="str">
        <f t="shared" si="2570"/>
        <v>BANCO CORA (102)</v>
      </c>
      <c r="S5467">
        <v>3116</v>
      </c>
      <c r="T5467">
        <v>2673</v>
      </c>
      <c r="U5467" t="s">
        <v>19</v>
      </c>
    </row>
    <row r="5468" spans="1:21">
      <c r="A5468" t="str">
        <f t="shared" si="2560"/>
        <v>18/09/2025</v>
      </c>
      <c r="B5468" t="str">
        <f t="shared" si="2562"/>
        <v>SAÍDA</v>
      </c>
      <c r="C5468" t="str">
        <f t="shared" si="2563"/>
        <v>BOLETO</v>
      </c>
      <c r="D5468" t="str">
        <f t="shared" si="2564"/>
        <v>011125</v>
      </c>
      <c r="E5468" t="str">
        <f t="shared" si="2559"/>
        <v>COM</v>
      </c>
      <c r="F5468" t="str">
        <f t="shared" si="2565"/>
        <v>CORA SOCIEDADE DE CREDITO, FINANCIAMENTO E INVESTIMENTO (20035)</v>
      </c>
      <c r="G5468" t="str">
        <f t="shared" si="2566"/>
        <v>TAXA BOLETO CORA</v>
      </c>
      <c r="H5468" t="str">
        <f t="shared" si="2567"/>
        <v>18/09/2025</v>
      </c>
      <c r="I5468" t="str">
        <f t="shared" si="2568"/>
        <v>01/11/2025</v>
      </c>
      <c r="J5468" t="str">
        <f t="shared" si="2561"/>
        <v>18/09/2025</v>
      </c>
      <c r="K5468">
        <v>1.7</v>
      </c>
      <c r="L5468">
        <v>1.7</v>
      </c>
      <c r="M5468">
        <v>401</v>
      </c>
      <c r="N5468" t="str">
        <f t="shared" si="2569"/>
        <v>IOF/JUROS/DESP.FINANCEIRA</v>
      </c>
      <c r="O5468">
        <v>1.7</v>
      </c>
      <c r="R5468" t="str">
        <f t="shared" si="2570"/>
        <v>BANCO CORA (102)</v>
      </c>
      <c r="S5468">
        <v>3117</v>
      </c>
      <c r="T5468">
        <v>2674</v>
      </c>
      <c r="U5468" t="s">
        <v>19</v>
      </c>
    </row>
    <row r="5469" spans="1:21">
      <c r="A5469" t="str">
        <f t="shared" si="2560"/>
        <v>18/09/2025</v>
      </c>
      <c r="B5469" t="str">
        <f t="shared" si="2562"/>
        <v>SAÍDA</v>
      </c>
      <c r="C5469" t="str">
        <f t="shared" si="2563"/>
        <v>BOLETO</v>
      </c>
      <c r="D5469" t="str">
        <f t="shared" si="2564"/>
        <v>011125</v>
      </c>
      <c r="E5469" t="str">
        <f t="shared" si="2559"/>
        <v>COM</v>
      </c>
      <c r="F5469" t="str">
        <f t="shared" si="2565"/>
        <v>CORA SOCIEDADE DE CREDITO, FINANCIAMENTO E INVESTIMENTO (20035)</v>
      </c>
      <c r="G5469" t="str">
        <f t="shared" si="2566"/>
        <v>TAXA BOLETO CORA</v>
      </c>
      <c r="H5469" t="str">
        <f t="shared" si="2567"/>
        <v>18/09/2025</v>
      </c>
      <c r="I5469" t="str">
        <f t="shared" si="2568"/>
        <v>01/11/2025</v>
      </c>
      <c r="J5469" t="str">
        <f t="shared" si="2561"/>
        <v>18/09/2025</v>
      </c>
      <c r="M5469">
        <v>401</v>
      </c>
      <c r="N5469" t="str">
        <f t="shared" si="2569"/>
        <v>IOF/JUROS/DESP.FINANCEIRA</v>
      </c>
      <c r="P5469">
        <v>1.7</v>
      </c>
      <c r="Q5469" t="str">
        <f>"CORA SOCIEDADE DE CREDITO, FINANCIAMENTO E INVESTIMENTO (20035)"</f>
        <v>CORA SOCIEDADE DE CREDITO, FINANCIAMENTO E INVESTIMENTO (20035)</v>
      </c>
      <c r="R5469" t="str">
        <f t="shared" si="2570"/>
        <v>BANCO CORA (102)</v>
      </c>
      <c r="S5469">
        <v>3117</v>
      </c>
      <c r="T5469">
        <v>2674</v>
      </c>
      <c r="U5469" t="s">
        <v>19</v>
      </c>
    </row>
    <row r="5470" spans="1:21">
      <c r="A5470" t="str">
        <f t="shared" si="2560"/>
        <v>18/09/2025</v>
      </c>
      <c r="B5470" t="str">
        <f t="shared" si="2562"/>
        <v>SAÍDA</v>
      </c>
      <c r="C5470" t="str">
        <f t="shared" si="2563"/>
        <v>BOLETO</v>
      </c>
      <c r="D5470" t="str">
        <f t="shared" si="2564"/>
        <v>011125</v>
      </c>
      <c r="E5470" t="str">
        <f t="shared" si="2559"/>
        <v>COM</v>
      </c>
      <c r="F5470" t="str">
        <f t="shared" si="2565"/>
        <v>CORA SOCIEDADE DE CREDITO, FINANCIAMENTO E INVESTIMENTO (20035)</v>
      </c>
      <c r="G5470" t="str">
        <f t="shared" si="2566"/>
        <v>TAXA BOLETO CORA</v>
      </c>
      <c r="H5470" t="str">
        <f t="shared" si="2567"/>
        <v>18/09/2025</v>
      </c>
      <c r="I5470" t="str">
        <f t="shared" si="2568"/>
        <v>01/11/2025</v>
      </c>
      <c r="J5470" t="str">
        <f t="shared" si="2561"/>
        <v>18/09/2025</v>
      </c>
      <c r="K5470">
        <v>1.7</v>
      </c>
      <c r="L5470">
        <v>1.7</v>
      </c>
      <c r="M5470">
        <v>401</v>
      </c>
      <c r="N5470" t="str">
        <f t="shared" si="2569"/>
        <v>IOF/JUROS/DESP.FINANCEIRA</v>
      </c>
      <c r="O5470">
        <v>1.7</v>
      </c>
      <c r="R5470" t="str">
        <f t="shared" si="2570"/>
        <v>BANCO CORA (102)</v>
      </c>
      <c r="S5470">
        <v>3118</v>
      </c>
      <c r="T5470">
        <v>2675</v>
      </c>
      <c r="U5470" t="s">
        <v>19</v>
      </c>
    </row>
    <row r="5471" spans="1:21">
      <c r="A5471" t="str">
        <f t="shared" si="2560"/>
        <v>18/09/2025</v>
      </c>
      <c r="B5471" t="str">
        <f t="shared" si="2562"/>
        <v>SAÍDA</v>
      </c>
      <c r="C5471" t="str">
        <f t="shared" si="2563"/>
        <v>BOLETO</v>
      </c>
      <c r="D5471" t="str">
        <f t="shared" si="2564"/>
        <v>011125</v>
      </c>
      <c r="E5471" t="str">
        <f t="shared" si="2559"/>
        <v>COM</v>
      </c>
      <c r="F5471" t="str">
        <f t="shared" si="2565"/>
        <v>CORA SOCIEDADE DE CREDITO, FINANCIAMENTO E INVESTIMENTO (20035)</v>
      </c>
      <c r="G5471" t="str">
        <f t="shared" si="2566"/>
        <v>TAXA BOLETO CORA</v>
      </c>
      <c r="H5471" t="str">
        <f t="shared" si="2567"/>
        <v>18/09/2025</v>
      </c>
      <c r="I5471" t="str">
        <f t="shared" si="2568"/>
        <v>01/11/2025</v>
      </c>
      <c r="J5471" t="str">
        <f t="shared" si="2561"/>
        <v>18/09/2025</v>
      </c>
      <c r="M5471">
        <v>401</v>
      </c>
      <c r="N5471" t="str">
        <f t="shared" si="2569"/>
        <v>IOF/JUROS/DESP.FINANCEIRA</v>
      </c>
      <c r="P5471">
        <v>1.7</v>
      </c>
      <c r="Q5471" t="str">
        <f>"CORA SOCIEDADE DE CREDITO, FINANCIAMENTO E INVESTIMENTO (20035)"</f>
        <v>CORA SOCIEDADE DE CREDITO, FINANCIAMENTO E INVESTIMENTO (20035)</v>
      </c>
      <c r="R5471" t="str">
        <f t="shared" si="2570"/>
        <v>BANCO CORA (102)</v>
      </c>
      <c r="S5471">
        <v>3118</v>
      </c>
      <c r="T5471">
        <v>2675</v>
      </c>
      <c r="U5471" t="s">
        <v>19</v>
      </c>
    </row>
    <row r="5472" spans="1:21">
      <c r="A5472" t="str">
        <f t="shared" si="2560"/>
        <v>18/09/2025</v>
      </c>
      <c r="B5472" t="str">
        <f t="shared" si="2562"/>
        <v>SAÍDA</v>
      </c>
      <c r="C5472" t="str">
        <f t="shared" si="2563"/>
        <v>BOLETO</v>
      </c>
      <c r="D5472" t="str">
        <f t="shared" si="2564"/>
        <v>011125</v>
      </c>
      <c r="E5472" t="str">
        <f t="shared" si="2559"/>
        <v>COM</v>
      </c>
      <c r="F5472" t="str">
        <f t="shared" si="2565"/>
        <v>CORA SOCIEDADE DE CREDITO, FINANCIAMENTO E INVESTIMENTO (20035)</v>
      </c>
      <c r="G5472" t="str">
        <f t="shared" si="2566"/>
        <v>TAXA BOLETO CORA</v>
      </c>
      <c r="H5472" t="str">
        <f t="shared" si="2567"/>
        <v>18/09/2025</v>
      </c>
      <c r="I5472" t="str">
        <f t="shared" si="2568"/>
        <v>01/11/2025</v>
      </c>
      <c r="J5472" t="str">
        <f t="shared" si="2561"/>
        <v>18/09/2025</v>
      </c>
      <c r="K5472">
        <v>0.5</v>
      </c>
      <c r="L5472">
        <v>0.5</v>
      </c>
      <c r="M5472">
        <v>401</v>
      </c>
      <c r="N5472" t="str">
        <f t="shared" si="2569"/>
        <v>IOF/JUROS/DESP.FINANCEIRA</v>
      </c>
      <c r="O5472">
        <v>0.5</v>
      </c>
      <c r="R5472" t="str">
        <f t="shared" si="2570"/>
        <v>BANCO CORA (102)</v>
      </c>
      <c r="S5472">
        <v>3119</v>
      </c>
      <c r="T5472">
        <v>2676</v>
      </c>
      <c r="U5472" t="s">
        <v>19</v>
      </c>
    </row>
    <row r="5473" spans="1:21">
      <c r="A5473" t="str">
        <f t="shared" si="2560"/>
        <v>18/09/2025</v>
      </c>
      <c r="B5473" t="str">
        <f t="shared" si="2562"/>
        <v>SAÍDA</v>
      </c>
      <c r="C5473" t="str">
        <f t="shared" si="2563"/>
        <v>BOLETO</v>
      </c>
      <c r="D5473" t="str">
        <f t="shared" si="2564"/>
        <v>011125</v>
      </c>
      <c r="E5473" t="str">
        <f t="shared" si="2559"/>
        <v>COM</v>
      </c>
      <c r="F5473" t="str">
        <f t="shared" si="2565"/>
        <v>CORA SOCIEDADE DE CREDITO, FINANCIAMENTO E INVESTIMENTO (20035)</v>
      </c>
      <c r="G5473" t="str">
        <f t="shared" si="2566"/>
        <v>TAXA BOLETO CORA</v>
      </c>
      <c r="H5473" t="str">
        <f t="shared" si="2567"/>
        <v>18/09/2025</v>
      </c>
      <c r="I5473" t="str">
        <f t="shared" si="2568"/>
        <v>01/11/2025</v>
      </c>
      <c r="J5473" t="str">
        <f t="shared" si="2561"/>
        <v>18/09/2025</v>
      </c>
      <c r="M5473">
        <v>401</v>
      </c>
      <c r="N5473" t="str">
        <f t="shared" si="2569"/>
        <v>IOF/JUROS/DESP.FINANCEIRA</v>
      </c>
      <c r="P5473">
        <v>0.5</v>
      </c>
      <c r="Q5473" t="str">
        <f>"CORA SOCIEDADE DE CREDITO, FINANCIAMENTO E INVESTIMENTO (20035)"</f>
        <v>CORA SOCIEDADE DE CREDITO, FINANCIAMENTO E INVESTIMENTO (20035)</v>
      </c>
      <c r="R5473" t="str">
        <f t="shared" si="2570"/>
        <v>BANCO CORA (102)</v>
      </c>
      <c r="S5473">
        <v>3119</v>
      </c>
      <c r="T5473">
        <v>2676</v>
      </c>
      <c r="U5473" t="s">
        <v>19</v>
      </c>
    </row>
    <row r="5474" spans="1:21">
      <c r="A5474" t="str">
        <f t="shared" ref="A5474:A5484" si="2571">("19/09/2025")</f>
        <v>19/09/2025</v>
      </c>
      <c r="B5474" t="str">
        <f t="shared" si="2562"/>
        <v>SAÍDA</v>
      </c>
      <c r="C5474" t="str">
        <f t="shared" si="2563"/>
        <v>BOLETO</v>
      </c>
      <c r="D5474" t="str">
        <f>"071625244467543"</f>
        <v>071625244467543</v>
      </c>
      <c r="E5474" t="str">
        <f t="shared" si="2559"/>
        <v>COM</v>
      </c>
      <c r="F5474" t="str">
        <f>"MINISTERIO DA FAZENDA (20009)"</f>
        <v>MINISTERIO DA FAZENDA (20009)</v>
      </c>
      <c r="G5474" t="str">
        <f>"INSS SOBRE PROLABORE"</f>
        <v>INSS SOBRE PROLABORE</v>
      </c>
      <c r="H5474" t="str">
        <f>("19/09/2025")</f>
        <v>19/09/2025</v>
      </c>
      <c r="I5474" t="str">
        <f>("01/09/2025")</f>
        <v>01/09/2025</v>
      </c>
      <c r="J5474" t="str">
        <f t="shared" ref="J5474:J5484" si="2572">("19/09/2025")</f>
        <v>19/09/2025</v>
      </c>
      <c r="K5474">
        <v>333.96</v>
      </c>
      <c r="L5474">
        <v>333.96</v>
      </c>
      <c r="M5474">
        <v>112</v>
      </c>
      <c r="N5474" t="str">
        <f>"INSS - PRO-LABORE"</f>
        <v>INSS - PRO-LABORE</v>
      </c>
      <c r="O5474">
        <v>333.96</v>
      </c>
      <c r="R5474" t="str">
        <f t="shared" si="2570"/>
        <v>BANCO CORA (102)</v>
      </c>
      <c r="S5474">
        <v>2595</v>
      </c>
      <c r="T5474">
        <v>720</v>
      </c>
      <c r="U5474" t="s">
        <v>19</v>
      </c>
    </row>
    <row r="5475" spans="1:21">
      <c r="A5475" t="str">
        <f t="shared" si="2571"/>
        <v>19/09/2025</v>
      </c>
      <c r="B5475" t="str">
        <f t="shared" si="2562"/>
        <v>SAÍDA</v>
      </c>
      <c r="C5475" t="str">
        <f t="shared" si="2563"/>
        <v>BOLETO</v>
      </c>
      <c r="D5475" t="str">
        <f>"071625244467543"</f>
        <v>071625244467543</v>
      </c>
      <c r="E5475" t="str">
        <f t="shared" si="2559"/>
        <v>COM</v>
      </c>
      <c r="F5475" t="str">
        <f>"MINISTERIO DA FAZENDA (20009)"</f>
        <v>MINISTERIO DA FAZENDA (20009)</v>
      </c>
      <c r="G5475" t="str">
        <f>"INSS SOBRE PROLABORE"</f>
        <v>INSS SOBRE PROLABORE</v>
      </c>
      <c r="H5475" t="str">
        <f>("19/09/2025")</f>
        <v>19/09/2025</v>
      </c>
      <c r="I5475" t="str">
        <f>("01/09/2025")</f>
        <v>01/09/2025</v>
      </c>
      <c r="J5475" t="str">
        <f t="shared" si="2572"/>
        <v>19/09/2025</v>
      </c>
      <c r="M5475">
        <v>112</v>
      </c>
      <c r="N5475" t="str">
        <f>"INSS - PRO-LABORE"</f>
        <v>INSS - PRO-LABORE</v>
      </c>
      <c r="P5475">
        <v>333.96</v>
      </c>
      <c r="Q5475" t="str">
        <f>"MINISTERIO DA FAZENDA (20009)"</f>
        <v>MINISTERIO DA FAZENDA (20009)</v>
      </c>
      <c r="R5475" t="str">
        <f t="shared" si="2570"/>
        <v>BANCO CORA (102)</v>
      </c>
      <c r="S5475">
        <v>2595</v>
      </c>
      <c r="T5475">
        <v>720</v>
      </c>
      <c r="U5475" t="s">
        <v>19</v>
      </c>
    </row>
    <row r="5476" spans="1:21">
      <c r="A5476" t="str">
        <f t="shared" si="2571"/>
        <v>19/09/2025</v>
      </c>
      <c r="B5476" t="str">
        <f t="shared" si="2562"/>
        <v>SAÍDA</v>
      </c>
      <c r="C5476" t="str">
        <f t="shared" si="2563"/>
        <v>BOLETO</v>
      </c>
      <c r="D5476" t="str">
        <f>"2524"</f>
        <v>2524</v>
      </c>
      <c r="E5476" t="str">
        <f t="shared" si="2559"/>
        <v>COM</v>
      </c>
      <c r="F5476" t="str">
        <f>"INFINITY BRASIL LTDA (20020)"</f>
        <v>INFINITY BRASIL LTDA (20020)</v>
      </c>
      <c r="G5476" t="str">
        <f>"SERVIDOR FLUX FARMA PERÍODO AGOSTO/2025"</f>
        <v>SERVIDOR FLUX FARMA PERÍODO AGOSTO/2025</v>
      </c>
      <c r="H5476" t="str">
        <f>("19/09/2025")</f>
        <v>19/09/2025</v>
      </c>
      <c r="I5476" t="str">
        <f>("31/08/2025")</f>
        <v>31/08/2025</v>
      </c>
      <c r="J5476" t="str">
        <f t="shared" si="2572"/>
        <v>19/09/2025</v>
      </c>
      <c r="K5476">
        <v>579.36</v>
      </c>
      <c r="L5476">
        <v>579.36</v>
      </c>
      <c r="M5476">
        <v>104</v>
      </c>
      <c r="N5476" t="str">
        <f>"SOFTWARE / LICENÇAS"</f>
        <v>SOFTWARE / LICENÇAS</v>
      </c>
      <c r="O5476">
        <v>579.36</v>
      </c>
      <c r="R5476" t="str">
        <f t="shared" si="2570"/>
        <v>BANCO CORA (102)</v>
      </c>
      <c r="S5476">
        <v>2597</v>
      </c>
      <c r="T5476">
        <v>909</v>
      </c>
      <c r="U5476" t="s">
        <v>19</v>
      </c>
    </row>
    <row r="5477" spans="1:21">
      <c r="A5477" t="str">
        <f t="shared" si="2571"/>
        <v>19/09/2025</v>
      </c>
      <c r="B5477" t="str">
        <f>"ENTRADA"</f>
        <v>ENTRADA</v>
      </c>
      <c r="C5477" t="str">
        <f>"NFSE"</f>
        <v>NFSE</v>
      </c>
      <c r="D5477" t="str">
        <f>"3458"</f>
        <v>3458</v>
      </c>
      <c r="E5477" t="str">
        <f t="shared" si="2559"/>
        <v>COM</v>
      </c>
      <c r="F5477" t="str">
        <f>"BRASIL FARMA (10173)"</f>
        <v>BRASIL FARMA (10173)</v>
      </c>
      <c r="G5477" t="str">
        <f>"Serv.Prest. 08/09/2025 a 14/09/2025 - RPS: 1223 - NFSe: 3458"</f>
        <v>Serv.Prest. 08/09/2025 a 14/09/2025 - RPS: 1223 - NFSe: 3458</v>
      </c>
      <c r="H5477" t="str">
        <f>("17/09/2025")</f>
        <v>17/09/2025</v>
      </c>
      <c r="I5477" t="str">
        <f>("15/09/2025")</f>
        <v>15/09/2025</v>
      </c>
      <c r="J5477" t="str">
        <f t="shared" si="2572"/>
        <v>19/09/2025</v>
      </c>
      <c r="K5477">
        <v>320.95999999999998</v>
      </c>
      <c r="L5477">
        <v>327.47000000000003</v>
      </c>
      <c r="M5477">
        <v>303</v>
      </c>
      <c r="N5477" t="str">
        <f>"RECEITAS COM ENTREGAS"</f>
        <v>RECEITAS COM ENTREGAS</v>
      </c>
      <c r="O5477">
        <v>327.47000000000003</v>
      </c>
      <c r="R5477" t="str">
        <f>"RECEITAS COM ENTREGAS (303)"</f>
        <v>RECEITAS COM ENTREGAS (303)</v>
      </c>
      <c r="S5477">
        <v>2769</v>
      </c>
      <c r="T5477">
        <v>2106</v>
      </c>
      <c r="U5477" t="s">
        <v>19</v>
      </c>
    </row>
    <row r="5478" spans="1:21">
      <c r="A5478" t="str">
        <f t="shared" si="2571"/>
        <v>19/09/2025</v>
      </c>
      <c r="B5478" t="str">
        <f>"SAÍDA"</f>
        <v>SAÍDA</v>
      </c>
      <c r="C5478" t="str">
        <f>"NFSE"</f>
        <v>NFSE</v>
      </c>
      <c r="D5478" t="str">
        <f>"3458"</f>
        <v>3458</v>
      </c>
      <c r="E5478" t="str">
        <f t="shared" si="2559"/>
        <v>COM</v>
      </c>
      <c r="F5478" t="str">
        <f>"BRASIL FARMA (10173)"</f>
        <v>BRASIL FARMA (10173)</v>
      </c>
      <c r="G5478" t="str">
        <f>"Serv.Prest. 08/09/2025 a 14/09/2025 - RPS: 1223 - NFSe: 3458"</f>
        <v>Serv.Prest. 08/09/2025 a 14/09/2025 - RPS: 1223 - NFSe: 3458</v>
      </c>
      <c r="H5478" t="str">
        <f>("17/09/2025")</f>
        <v>17/09/2025</v>
      </c>
      <c r="I5478" t="str">
        <f>("15/09/2025")</f>
        <v>15/09/2025</v>
      </c>
      <c r="J5478" t="str">
        <f t="shared" si="2572"/>
        <v>19/09/2025</v>
      </c>
      <c r="M5478">
        <v>303</v>
      </c>
      <c r="N5478" t="str">
        <f>"RECEITAS COM ENTREGAS"</f>
        <v>RECEITAS COM ENTREGAS</v>
      </c>
      <c r="P5478">
        <v>327.47000000000003</v>
      </c>
      <c r="Q5478" t="str">
        <f>"BRASIL FARMA (10173)"</f>
        <v>BRASIL FARMA (10173)</v>
      </c>
      <c r="R5478" t="str">
        <f>"RECEITAS COM ENTREGAS (303)"</f>
        <v>RECEITAS COM ENTREGAS (303)</v>
      </c>
      <c r="S5478">
        <v>2769</v>
      </c>
      <c r="T5478">
        <v>2106</v>
      </c>
      <c r="U5478" t="s">
        <v>19</v>
      </c>
    </row>
    <row r="5479" spans="1:21">
      <c r="A5479" t="str">
        <f t="shared" si="2571"/>
        <v>19/09/2025</v>
      </c>
      <c r="B5479" t="str">
        <f>"SAÍDA"</f>
        <v>SAÍDA</v>
      </c>
      <c r="C5479" t="str">
        <f>"TRANSFERENCIA"</f>
        <v>TRANSFERENCIA</v>
      </c>
      <c r="D5479" t="str">
        <f>""</f>
        <v/>
      </c>
      <c r="E5479" t="str">
        <f>"TRF"</f>
        <v>TRF</v>
      </c>
      <c r="F5479" t="str">
        <f>""</f>
        <v/>
      </c>
      <c r="G5479" t="str">
        <f>"CONTRATO DE MUTUO - CAPITAL DE GIRO (102-&gt;120)"</f>
        <v>CONTRATO DE MUTUO - CAPITAL DE GIRO (102-&gt;120)</v>
      </c>
      <c r="H5479" t="str">
        <f>("19/09/2025")</f>
        <v>19/09/2025</v>
      </c>
      <c r="I5479" t="str">
        <f>("19/09/2025")</f>
        <v>19/09/2025</v>
      </c>
      <c r="J5479" t="str">
        <f t="shared" si="2572"/>
        <v>19/09/2025</v>
      </c>
      <c r="M5479">
        <v>102</v>
      </c>
      <c r="N5479" t="str">
        <f>"BANCO CORA"</f>
        <v>BANCO CORA</v>
      </c>
      <c r="O5479">
        <v>2000</v>
      </c>
      <c r="R5479" t="str">
        <f>"BANCO CORA (102)"</f>
        <v>BANCO CORA (102)</v>
      </c>
      <c r="S5479">
        <v>2824</v>
      </c>
      <c r="T5479">
        <v>0</v>
      </c>
      <c r="U5479" t="s">
        <v>19</v>
      </c>
    </row>
    <row r="5480" spans="1:21">
      <c r="A5480" t="str">
        <f t="shared" si="2571"/>
        <v>19/09/2025</v>
      </c>
      <c r="B5480" t="str">
        <f>"ENTRADA"</f>
        <v>ENTRADA</v>
      </c>
      <c r="C5480" t="str">
        <f>"TRANSFERENCIA"</f>
        <v>TRANSFERENCIA</v>
      </c>
      <c r="D5480" t="str">
        <f>""</f>
        <v/>
      </c>
      <c r="E5480" t="str">
        <f>"TRF"</f>
        <v>TRF</v>
      </c>
      <c r="F5480" t="str">
        <f>""</f>
        <v/>
      </c>
      <c r="G5480" t="str">
        <f>"CONTRATO DE MUTUO - CAPITAL DE GIRO (102-&gt;120)"</f>
        <v>CONTRATO DE MUTUO - CAPITAL DE GIRO (102-&gt;120)</v>
      </c>
      <c r="H5480" t="str">
        <f>("19/09/2025")</f>
        <v>19/09/2025</v>
      </c>
      <c r="I5480" t="str">
        <f>("19/09/2025")</f>
        <v>19/09/2025</v>
      </c>
      <c r="J5480" t="str">
        <f t="shared" si="2572"/>
        <v>19/09/2025</v>
      </c>
      <c r="M5480">
        <v>120</v>
      </c>
      <c r="N5480" t="str">
        <f>"CAIXA - COOPERATIVA"</f>
        <v>CAIXA - COOPERATIVA</v>
      </c>
      <c r="O5480">
        <v>2000</v>
      </c>
      <c r="R5480" t="str">
        <f>"CAIXA - COOPERATIVA (120)"</f>
        <v>CAIXA - COOPERATIVA (120)</v>
      </c>
      <c r="S5480">
        <v>2824</v>
      </c>
      <c r="T5480">
        <v>0</v>
      </c>
      <c r="U5480" t="s">
        <v>26</v>
      </c>
    </row>
    <row r="5481" spans="1:21">
      <c r="A5481" t="str">
        <f t="shared" si="2571"/>
        <v>19/09/2025</v>
      </c>
      <c r="B5481" t="str">
        <f t="shared" ref="B5481:B5496" si="2573">"SAÍDA"</f>
        <v>SAÍDA</v>
      </c>
      <c r="C5481" t="str">
        <f>"PIX"</f>
        <v>PIX</v>
      </c>
      <c r="D5481" t="str">
        <f>"751540"</f>
        <v>751540</v>
      </c>
      <c r="E5481" t="str">
        <f t="shared" ref="E5481:E5500" si="2574">"COM"</f>
        <v>COM</v>
      </c>
      <c r="F5481" t="str">
        <f>"MONGERAL AEGON SEGUROS E PREVIDENCIA SA (20063)"</f>
        <v>MONGERAL AEGON SEGUROS E PREVIDENCIA SA (20063)</v>
      </c>
      <c r="G5481" t="str">
        <f>"SEGURO DE VIDA SOCIOS"</f>
        <v>SEGURO DE VIDA SOCIOS</v>
      </c>
      <c r="H5481" t="str">
        <f>("19/09/2025")</f>
        <v>19/09/2025</v>
      </c>
      <c r="I5481" t="str">
        <f>("05/02/2025")</f>
        <v>05/02/2025</v>
      </c>
      <c r="J5481" t="str">
        <f t="shared" si="2572"/>
        <v>19/09/2025</v>
      </c>
      <c r="K5481">
        <v>228.37</v>
      </c>
      <c r="L5481">
        <v>228.35</v>
      </c>
      <c r="M5481">
        <v>192</v>
      </c>
      <c r="N5481" t="str">
        <f>"PLANOS E SEGUROS"</f>
        <v>PLANOS E SEGUROS</v>
      </c>
      <c r="O5481">
        <v>228.35</v>
      </c>
      <c r="R5481" t="str">
        <f t="shared" ref="R5481:R5496" si="2575">"BANCO CORA (102)"</f>
        <v>BANCO CORA (102)</v>
      </c>
      <c r="S5481">
        <v>3120</v>
      </c>
      <c r="T5481">
        <v>832</v>
      </c>
      <c r="U5481" t="s">
        <v>19</v>
      </c>
    </row>
    <row r="5482" spans="1:21">
      <c r="A5482" t="str">
        <f t="shared" si="2571"/>
        <v>19/09/2025</v>
      </c>
      <c r="B5482" t="str">
        <f t="shared" si="2573"/>
        <v>SAÍDA</v>
      </c>
      <c r="C5482" t="str">
        <f>"PIX"</f>
        <v>PIX</v>
      </c>
      <c r="D5482" t="str">
        <f>"751540"</f>
        <v>751540</v>
      </c>
      <c r="E5482" t="str">
        <f t="shared" si="2574"/>
        <v>COM</v>
      </c>
      <c r="F5482" t="str">
        <f>"MONGERAL AEGON SEGUROS E PREVIDENCIA SA (20063)"</f>
        <v>MONGERAL AEGON SEGUROS E PREVIDENCIA SA (20063)</v>
      </c>
      <c r="G5482" t="str">
        <f>"SEGURO DE VIDA SOCIOS"</f>
        <v>SEGURO DE VIDA SOCIOS</v>
      </c>
      <c r="H5482" t="str">
        <f>("19/09/2025")</f>
        <v>19/09/2025</v>
      </c>
      <c r="I5482" t="str">
        <f>("05/02/2025")</f>
        <v>05/02/2025</v>
      </c>
      <c r="J5482" t="str">
        <f t="shared" si="2572"/>
        <v>19/09/2025</v>
      </c>
      <c r="M5482">
        <v>192</v>
      </c>
      <c r="N5482" t="str">
        <f>"PLANOS E SEGUROS"</f>
        <v>PLANOS E SEGUROS</v>
      </c>
      <c r="P5482">
        <v>228.35</v>
      </c>
      <c r="Q5482" t="str">
        <f>"MONGERAL AEGON SEGUROS E PREVIDENCIA SA (20063)"</f>
        <v>MONGERAL AEGON SEGUROS E PREVIDENCIA SA (20063)</v>
      </c>
      <c r="R5482" t="str">
        <f t="shared" si="2575"/>
        <v>BANCO CORA (102)</v>
      </c>
      <c r="S5482">
        <v>3120</v>
      </c>
      <c r="T5482">
        <v>832</v>
      </c>
      <c r="U5482" t="s">
        <v>19</v>
      </c>
    </row>
    <row r="5483" spans="1:21">
      <c r="A5483" t="str">
        <f t="shared" si="2571"/>
        <v>19/09/2025</v>
      </c>
      <c r="B5483" t="str">
        <f t="shared" si="2573"/>
        <v>SAÍDA</v>
      </c>
      <c r="C5483" t="str">
        <f>"BOLETO"</f>
        <v>BOLETO</v>
      </c>
      <c r="D5483" t="str">
        <f>"011125"</f>
        <v>011125</v>
      </c>
      <c r="E5483" t="str">
        <f t="shared" si="2574"/>
        <v>COM</v>
      </c>
      <c r="F5483" t="str">
        <f>"CORA SOCIEDADE DE CREDITO, FINANCIAMENTO E INVESTIMENTO (20035)"</f>
        <v>CORA SOCIEDADE DE CREDITO, FINANCIAMENTO E INVESTIMENTO (20035)</v>
      </c>
      <c r="G5483" t="str">
        <f>"TAXA BOLETO CORA"</f>
        <v>TAXA BOLETO CORA</v>
      </c>
      <c r="H5483" t="str">
        <f>("19/09/2025")</f>
        <v>19/09/2025</v>
      </c>
      <c r="I5483" t="str">
        <f>("01/11/2025")</f>
        <v>01/11/2025</v>
      </c>
      <c r="J5483" t="str">
        <f t="shared" si="2572"/>
        <v>19/09/2025</v>
      </c>
      <c r="K5483">
        <v>1.7</v>
      </c>
      <c r="L5483">
        <v>1.7</v>
      </c>
      <c r="M5483">
        <v>401</v>
      </c>
      <c r="N5483" t="str">
        <f>"IOF/JUROS/DESP.FINANCEIRA"</f>
        <v>IOF/JUROS/DESP.FINANCEIRA</v>
      </c>
      <c r="O5483">
        <v>1.7</v>
      </c>
      <c r="R5483" t="str">
        <f t="shared" si="2575"/>
        <v>BANCO CORA (102)</v>
      </c>
      <c r="S5483">
        <v>3121</v>
      </c>
      <c r="T5483">
        <v>2705</v>
      </c>
      <c r="U5483" t="s">
        <v>19</v>
      </c>
    </row>
    <row r="5484" spans="1:21">
      <c r="A5484" t="str">
        <f t="shared" si="2571"/>
        <v>19/09/2025</v>
      </c>
      <c r="B5484" t="str">
        <f t="shared" si="2573"/>
        <v>SAÍDA</v>
      </c>
      <c r="C5484" t="str">
        <f>"BOLETO"</f>
        <v>BOLETO</v>
      </c>
      <c r="D5484" t="str">
        <f>"011125"</f>
        <v>011125</v>
      </c>
      <c r="E5484" t="str">
        <f t="shared" si="2574"/>
        <v>COM</v>
      </c>
      <c r="F5484" t="str">
        <f>"CORA SOCIEDADE DE CREDITO, FINANCIAMENTO E INVESTIMENTO (20035)"</f>
        <v>CORA SOCIEDADE DE CREDITO, FINANCIAMENTO E INVESTIMENTO (20035)</v>
      </c>
      <c r="G5484" t="str">
        <f>"TAXA BOLETO CORA"</f>
        <v>TAXA BOLETO CORA</v>
      </c>
      <c r="H5484" t="str">
        <f>("19/09/2025")</f>
        <v>19/09/2025</v>
      </c>
      <c r="I5484" t="str">
        <f>("01/11/2025")</f>
        <v>01/11/2025</v>
      </c>
      <c r="J5484" t="str">
        <f t="shared" si="2572"/>
        <v>19/09/2025</v>
      </c>
      <c r="M5484">
        <v>401</v>
      </c>
      <c r="N5484" t="str">
        <f>"IOF/JUROS/DESP.FINANCEIRA"</f>
        <v>IOF/JUROS/DESP.FINANCEIRA</v>
      </c>
      <c r="P5484">
        <v>1.7</v>
      </c>
      <c r="Q5484" t="str">
        <f>"CORA SOCIEDADE DE CREDITO, FINANCIAMENTO E INVESTIMENTO (20035)"</f>
        <v>CORA SOCIEDADE DE CREDITO, FINANCIAMENTO E INVESTIMENTO (20035)</v>
      </c>
      <c r="R5484" t="str">
        <f t="shared" si="2575"/>
        <v>BANCO CORA (102)</v>
      </c>
      <c r="S5484">
        <v>3121</v>
      </c>
      <c r="T5484">
        <v>2705</v>
      </c>
      <c r="U5484" t="s">
        <v>19</v>
      </c>
    </row>
    <row r="5485" spans="1:21">
      <c r="A5485" t="str">
        <f>("20/09/2025")</f>
        <v>20/09/2025</v>
      </c>
      <c r="B5485" t="str">
        <f t="shared" si="2573"/>
        <v>SAÍDA</v>
      </c>
      <c r="C5485" t="str">
        <f>"PIX"</f>
        <v>PIX</v>
      </c>
      <c r="D5485" t="str">
        <f>"20092511666"</f>
        <v>20092511666</v>
      </c>
      <c r="E5485" t="str">
        <f t="shared" si="2574"/>
        <v>COM</v>
      </c>
      <c r="F5485" t="str">
        <f>"LILIANE DE FATIMA REZENDE JUSTINO (20013)"</f>
        <v>LILIANE DE FATIMA REZENDE JUSTINO (20013)</v>
      </c>
      <c r="G5485" t="str">
        <f>"DISTRIBUICAO DE LUCROS"</f>
        <v>DISTRIBUICAO DE LUCROS</v>
      </c>
      <c r="H5485" t="str">
        <f>("20/09/2025")</f>
        <v>20/09/2025</v>
      </c>
      <c r="I5485" t="str">
        <f>("20/09/2025")</f>
        <v>20/09/2025</v>
      </c>
      <c r="J5485" t="str">
        <f>("20/09/2025")</f>
        <v>20/09/2025</v>
      </c>
      <c r="K5485">
        <v>11666</v>
      </c>
      <c r="L5485">
        <v>11666</v>
      </c>
      <c r="M5485">
        <v>125</v>
      </c>
      <c r="N5485" t="str">
        <f>"DISTRIBUIÇÃO DE LUCRO"</f>
        <v>DISTRIBUIÇÃO DE LUCRO</v>
      </c>
      <c r="O5485">
        <v>11666</v>
      </c>
      <c r="R5485" t="str">
        <f t="shared" si="2575"/>
        <v>BANCO CORA (102)</v>
      </c>
      <c r="S5485">
        <v>2590</v>
      </c>
      <c r="T5485">
        <v>2171</v>
      </c>
      <c r="U5485" t="s">
        <v>19</v>
      </c>
    </row>
    <row r="5486" spans="1:21">
      <c r="A5486" t="str">
        <f>("20/09/2025")</f>
        <v>20/09/2025</v>
      </c>
      <c r="B5486" t="str">
        <f t="shared" si="2573"/>
        <v>SAÍDA</v>
      </c>
      <c r="C5486" t="str">
        <f>"PIX"</f>
        <v>PIX</v>
      </c>
      <c r="D5486" t="str">
        <f>"200925620"</f>
        <v>200925620</v>
      </c>
      <c r="E5486" t="str">
        <f t="shared" si="2574"/>
        <v>COM</v>
      </c>
      <c r="F5486" t="str">
        <f>"LILIANE DE FATIMA REZENDE JUSTINO (20013)"</f>
        <v>LILIANE DE FATIMA REZENDE JUSTINO (20013)</v>
      </c>
      <c r="G5486" t="str">
        <f>"DESPESAS VIAGEM BELO HORIZONTE - LOCACAO VEICULO"</f>
        <v>DESPESAS VIAGEM BELO HORIZONTE - LOCACAO VEICULO</v>
      </c>
      <c r="H5486" t="str">
        <f>("20/09/2025")</f>
        <v>20/09/2025</v>
      </c>
      <c r="I5486" t="str">
        <f>("17/09/2025")</f>
        <v>17/09/2025</v>
      </c>
      <c r="J5486" t="str">
        <f>("20/09/2025")</f>
        <v>20/09/2025</v>
      </c>
      <c r="K5486">
        <v>620</v>
      </c>
      <c r="L5486">
        <v>620</v>
      </c>
      <c r="M5486">
        <v>128</v>
      </c>
      <c r="N5486" t="str">
        <f>"DESPESAS COM VIAGENS"</f>
        <v>DESPESAS COM VIAGENS</v>
      </c>
      <c r="O5486">
        <v>620</v>
      </c>
      <c r="R5486" t="str">
        <f t="shared" si="2575"/>
        <v>BANCO CORA (102)</v>
      </c>
      <c r="S5486">
        <v>2825</v>
      </c>
      <c r="T5486">
        <v>2172</v>
      </c>
      <c r="U5486" t="s">
        <v>19</v>
      </c>
    </row>
    <row r="5487" spans="1:21">
      <c r="A5487" t="str">
        <f>("20/09/2025")</f>
        <v>20/09/2025</v>
      </c>
      <c r="B5487" t="str">
        <f t="shared" si="2573"/>
        <v>SAÍDA</v>
      </c>
      <c r="C5487" t="str">
        <f>"PIX"</f>
        <v>PIX</v>
      </c>
      <c r="D5487" t="str">
        <f>"200925620"</f>
        <v>200925620</v>
      </c>
      <c r="E5487" t="str">
        <f t="shared" si="2574"/>
        <v>COM</v>
      </c>
      <c r="F5487" t="str">
        <f>"LILIANE DE FATIMA REZENDE JUSTINO (20013)"</f>
        <v>LILIANE DE FATIMA REZENDE JUSTINO (20013)</v>
      </c>
      <c r="G5487" t="str">
        <f>"DESPESAS VIAGEM BELO HORIZONTE - LOCACAO VEICULO"</f>
        <v>DESPESAS VIAGEM BELO HORIZONTE - LOCACAO VEICULO</v>
      </c>
      <c r="H5487" t="str">
        <f>("20/09/2025")</f>
        <v>20/09/2025</v>
      </c>
      <c r="I5487" t="str">
        <f>("17/09/2025")</f>
        <v>17/09/2025</v>
      </c>
      <c r="J5487" t="str">
        <f>("20/09/2025")</f>
        <v>20/09/2025</v>
      </c>
      <c r="M5487">
        <v>128</v>
      </c>
      <c r="N5487" t="str">
        <f>"DESPESAS COM VIAGENS"</f>
        <v>DESPESAS COM VIAGENS</v>
      </c>
      <c r="P5487">
        <v>620</v>
      </c>
      <c r="Q5487" t="str">
        <f>"LILIANE DE FATIMA REZENDE JUSTINO (20013)"</f>
        <v>LILIANE DE FATIMA REZENDE JUSTINO (20013)</v>
      </c>
      <c r="R5487" t="str">
        <f t="shared" si="2575"/>
        <v>BANCO CORA (102)</v>
      </c>
      <c r="S5487">
        <v>2825</v>
      </c>
      <c r="T5487">
        <v>2172</v>
      </c>
      <c r="U5487" t="s">
        <v>19</v>
      </c>
    </row>
    <row r="5488" spans="1:21">
      <c r="A5488" t="str">
        <f t="shared" ref="A5488:A5496" si="2576">("22/09/2025")</f>
        <v>22/09/2025</v>
      </c>
      <c r="B5488" t="str">
        <f t="shared" si="2573"/>
        <v>SAÍDA</v>
      </c>
      <c r="C5488" t="str">
        <f>"PIX"</f>
        <v>PIX</v>
      </c>
      <c r="D5488" t="str">
        <f>"220925466666"</f>
        <v>220925466666</v>
      </c>
      <c r="E5488" t="str">
        <f t="shared" si="2574"/>
        <v>COM</v>
      </c>
      <c r="F5488" t="str">
        <f>"LILIANE DE FATIMA REZENDE JUSTINO (20013)"</f>
        <v>LILIANE DE FATIMA REZENDE JUSTINO (20013)</v>
      </c>
      <c r="G5488" t="str">
        <f>"DISTRIBUICAO DE LUCROS"</f>
        <v>DISTRIBUICAO DE LUCROS</v>
      </c>
      <c r="H5488" t="str">
        <f t="shared" ref="H5488:J5489" si="2577">("22/09/2025")</f>
        <v>22/09/2025</v>
      </c>
      <c r="I5488" t="str">
        <f t="shared" si="2577"/>
        <v>22/09/2025</v>
      </c>
      <c r="J5488" t="str">
        <f t="shared" si="2577"/>
        <v>22/09/2025</v>
      </c>
      <c r="K5488">
        <v>4666.66</v>
      </c>
      <c r="L5488">
        <v>4666.66</v>
      </c>
      <c r="M5488">
        <v>125</v>
      </c>
      <c r="N5488" t="str">
        <f>"DISTRIBUIÇÃO DE LUCRO"</f>
        <v>DISTRIBUIÇÃO DE LUCRO</v>
      </c>
      <c r="O5488">
        <v>4666.66</v>
      </c>
      <c r="R5488" t="str">
        <f t="shared" si="2575"/>
        <v>BANCO CORA (102)</v>
      </c>
      <c r="S5488">
        <v>2591</v>
      </c>
      <c r="T5488">
        <v>2173</v>
      </c>
      <c r="U5488" t="s">
        <v>19</v>
      </c>
    </row>
    <row r="5489" spans="1:21">
      <c r="A5489" t="str">
        <f t="shared" si="2576"/>
        <v>22/09/2025</v>
      </c>
      <c r="B5489" t="str">
        <f t="shared" si="2573"/>
        <v>SAÍDA</v>
      </c>
      <c r="C5489" t="str">
        <f>"PIX"</f>
        <v>PIX</v>
      </c>
      <c r="D5489" t="str">
        <f>"220925466666"</f>
        <v>220925466666</v>
      </c>
      <c r="E5489" t="str">
        <f t="shared" si="2574"/>
        <v>COM</v>
      </c>
      <c r="F5489" t="str">
        <f>"LILIANE DE FATIMA REZENDE JUSTINO (20013)"</f>
        <v>LILIANE DE FATIMA REZENDE JUSTINO (20013)</v>
      </c>
      <c r="G5489" t="str">
        <f>"DISTRIBUICAO DE LUCROS"</f>
        <v>DISTRIBUICAO DE LUCROS</v>
      </c>
      <c r="H5489" t="str">
        <f t="shared" si="2577"/>
        <v>22/09/2025</v>
      </c>
      <c r="I5489" t="str">
        <f t="shared" si="2577"/>
        <v>22/09/2025</v>
      </c>
      <c r="J5489" t="str">
        <f t="shared" si="2577"/>
        <v>22/09/2025</v>
      </c>
      <c r="M5489">
        <v>125</v>
      </c>
      <c r="N5489" t="str">
        <f>"DISTRIBUIÇÃO DE LUCRO"</f>
        <v>DISTRIBUIÇÃO DE LUCRO</v>
      </c>
      <c r="P5489">
        <v>4666.66</v>
      </c>
      <c r="Q5489" t="str">
        <f>"LILIANE DE FATIMA REZENDE JUSTINO (20013)"</f>
        <v>LILIANE DE FATIMA REZENDE JUSTINO (20013)</v>
      </c>
      <c r="R5489" t="str">
        <f t="shared" si="2575"/>
        <v>BANCO CORA (102)</v>
      </c>
      <c r="S5489">
        <v>2591</v>
      </c>
      <c r="T5489">
        <v>2173</v>
      </c>
      <c r="U5489" t="s">
        <v>19</v>
      </c>
    </row>
    <row r="5490" spans="1:21">
      <c r="A5490" t="str">
        <f t="shared" si="2576"/>
        <v>22/09/2025</v>
      </c>
      <c r="B5490" t="str">
        <f t="shared" si="2573"/>
        <v>SAÍDA</v>
      </c>
      <c r="C5490" t="str">
        <f>"BOLETO"</f>
        <v>BOLETO</v>
      </c>
      <c r="D5490" t="str">
        <f>"072025245863252"</f>
        <v>072025245863252</v>
      </c>
      <c r="E5490" t="str">
        <f t="shared" si="2574"/>
        <v>COM</v>
      </c>
      <c r="F5490" t="str">
        <f>"MINISTERIO DA FAZENDA (20009)"</f>
        <v>MINISTERIO DA FAZENDA (20009)</v>
      </c>
      <c r="G5490" t="str">
        <f>"SIMPLES NACIONAL MES 08/2025"</f>
        <v>SIMPLES NACIONAL MES 08/2025</v>
      </c>
      <c r="H5490" t="str">
        <f>("20/09/2025")</f>
        <v>20/09/2025</v>
      </c>
      <c r="I5490" t="str">
        <f>("02/09/2025")</f>
        <v>02/09/2025</v>
      </c>
      <c r="J5490" t="str">
        <f t="shared" ref="J5490:J5496" si="2578">("22/09/2025")</f>
        <v>22/09/2025</v>
      </c>
      <c r="K5490">
        <v>15001.26</v>
      </c>
      <c r="L5490">
        <v>15001.26</v>
      </c>
      <c r="M5490">
        <v>144</v>
      </c>
      <c r="N5490" t="str">
        <f>"SIMPLES NACIONAL (DASN)"</f>
        <v>SIMPLES NACIONAL (DASN)</v>
      </c>
      <c r="O5490">
        <v>15001.26</v>
      </c>
      <c r="R5490" t="str">
        <f t="shared" si="2575"/>
        <v>BANCO CORA (102)</v>
      </c>
      <c r="S5490">
        <v>2593</v>
      </c>
      <c r="T5490">
        <v>898</v>
      </c>
      <c r="U5490" t="s">
        <v>19</v>
      </c>
    </row>
    <row r="5491" spans="1:21">
      <c r="A5491" t="str">
        <f t="shared" si="2576"/>
        <v>22/09/2025</v>
      </c>
      <c r="B5491" t="str">
        <f t="shared" si="2573"/>
        <v>SAÍDA</v>
      </c>
      <c r="C5491" t="str">
        <f t="shared" ref="C5491:C5496" si="2579">"PIX"</f>
        <v>PIX</v>
      </c>
      <c r="D5491" t="str">
        <f>"220925"</f>
        <v>220925</v>
      </c>
      <c r="E5491" t="str">
        <f t="shared" si="2574"/>
        <v>COM</v>
      </c>
      <c r="F5491" t="str">
        <f>"UBERGRAL UBERLANDIA GRAFICA LTDA (20109)"</f>
        <v>UBERGRAL UBERLANDIA GRAFICA LTDA (20109)</v>
      </c>
      <c r="G5491" t="str">
        <f>"MATERIAL MARKETING - PANFLETOS - PIX - CNPJ: 37.656.019/0001-09"</f>
        <v>MATERIAL MARKETING - PANFLETOS - PIX - CNPJ: 37.656.019/0001-09</v>
      </c>
      <c r="H5491" t="str">
        <f t="shared" ref="H5491:I5496" si="2580">("22/09/2025")</f>
        <v>22/09/2025</v>
      </c>
      <c r="I5491" t="str">
        <f t="shared" si="2580"/>
        <v>22/09/2025</v>
      </c>
      <c r="J5491" t="str">
        <f t="shared" si="2578"/>
        <v>22/09/2025</v>
      </c>
      <c r="K5491">
        <v>1000</v>
      </c>
      <c r="L5491">
        <v>1000</v>
      </c>
      <c r="M5491">
        <v>127</v>
      </c>
      <c r="N5491" t="str">
        <f>"PUBLICIDADE E PROPAGANDAS"</f>
        <v>PUBLICIDADE E PROPAGANDAS</v>
      </c>
      <c r="O5491">
        <v>1000</v>
      </c>
      <c r="R5491" t="str">
        <f t="shared" si="2575"/>
        <v>BANCO CORA (102)</v>
      </c>
      <c r="S5491">
        <v>2594</v>
      </c>
      <c r="T5491">
        <v>2147</v>
      </c>
      <c r="U5491" t="s">
        <v>19</v>
      </c>
    </row>
    <row r="5492" spans="1:21">
      <c r="A5492" t="str">
        <f t="shared" si="2576"/>
        <v>22/09/2025</v>
      </c>
      <c r="B5492" t="str">
        <f t="shared" si="2573"/>
        <v>SAÍDA</v>
      </c>
      <c r="C5492" t="str">
        <f t="shared" si="2579"/>
        <v>PIX</v>
      </c>
      <c r="D5492" t="str">
        <f>"220925"</f>
        <v>220925</v>
      </c>
      <c r="E5492" t="str">
        <f t="shared" si="2574"/>
        <v>COM</v>
      </c>
      <c r="F5492" t="str">
        <f>"UBERGRAL UBERLANDIA GRAFICA LTDA (20109)"</f>
        <v>UBERGRAL UBERLANDIA GRAFICA LTDA (20109)</v>
      </c>
      <c r="G5492" t="str">
        <f>"MATERIAL MARKETING - PANFLETOS - PIX - CNPJ: 37.656.019/0001-09"</f>
        <v>MATERIAL MARKETING - PANFLETOS - PIX - CNPJ: 37.656.019/0001-09</v>
      </c>
      <c r="H5492" t="str">
        <f t="shared" si="2580"/>
        <v>22/09/2025</v>
      </c>
      <c r="I5492" t="str">
        <f t="shared" si="2580"/>
        <v>22/09/2025</v>
      </c>
      <c r="J5492" t="str">
        <f t="shared" si="2578"/>
        <v>22/09/2025</v>
      </c>
      <c r="M5492">
        <v>127</v>
      </c>
      <c r="N5492" t="str">
        <f>"PUBLICIDADE E PROPAGANDAS"</f>
        <v>PUBLICIDADE E PROPAGANDAS</v>
      </c>
      <c r="P5492">
        <v>1000</v>
      </c>
      <c r="Q5492" t="str">
        <f>"UBERGRAL UBERLANDIA GRAFICA LTDA (20109)"</f>
        <v>UBERGRAL UBERLANDIA GRAFICA LTDA (20109)</v>
      </c>
      <c r="R5492" t="str">
        <f t="shared" si="2575"/>
        <v>BANCO CORA (102)</v>
      </c>
      <c r="S5492">
        <v>2594</v>
      </c>
      <c r="T5492">
        <v>2147</v>
      </c>
      <c r="U5492" t="s">
        <v>19</v>
      </c>
    </row>
    <row r="5493" spans="1:21">
      <c r="A5493" t="str">
        <f t="shared" si="2576"/>
        <v>22/09/2025</v>
      </c>
      <c r="B5493" t="str">
        <f t="shared" si="2573"/>
        <v>SAÍDA</v>
      </c>
      <c r="C5493" t="str">
        <f t="shared" si="2579"/>
        <v>PIX</v>
      </c>
      <c r="D5493" t="str">
        <f>"2209252000"</f>
        <v>2209252000</v>
      </c>
      <c r="E5493" t="str">
        <f t="shared" si="2574"/>
        <v>COM</v>
      </c>
      <c r="F5493" t="str">
        <f>"CONTA SIMPLES SOLUCOES DE PAGAMENTOS LTDA (20019)"</f>
        <v>CONTA SIMPLES SOLUCOES DE PAGAMENTOS LTDA (20019)</v>
      </c>
      <c r="G5493" t="str">
        <f>"MARKETING REDES SOCIAIS - PIX- CHAVE ALEATORIA: 1d5b84cc-db31-469d-b8ee-076ced54c3e9"</f>
        <v>MARKETING REDES SOCIAIS - PIX- CHAVE ALEATORIA: 1d5b84cc-db31-469d-b8ee-076ced54c3e9</v>
      </c>
      <c r="H5493" t="str">
        <f t="shared" si="2580"/>
        <v>22/09/2025</v>
      </c>
      <c r="I5493" t="str">
        <f t="shared" si="2580"/>
        <v>22/09/2025</v>
      </c>
      <c r="J5493" t="str">
        <f t="shared" si="2578"/>
        <v>22/09/2025</v>
      </c>
      <c r="K5493">
        <v>2000</v>
      </c>
      <c r="L5493">
        <v>2000</v>
      </c>
      <c r="M5493">
        <v>127</v>
      </c>
      <c r="N5493" t="str">
        <f>"PUBLICIDADE E PROPAGANDAS"</f>
        <v>PUBLICIDADE E PROPAGANDAS</v>
      </c>
      <c r="O5493">
        <v>2000</v>
      </c>
      <c r="R5493" t="str">
        <f t="shared" si="2575"/>
        <v>BANCO CORA (102)</v>
      </c>
      <c r="S5493">
        <v>2775</v>
      </c>
      <c r="T5493">
        <v>2346</v>
      </c>
      <c r="U5493" t="s">
        <v>19</v>
      </c>
    </row>
    <row r="5494" spans="1:21">
      <c r="A5494" t="str">
        <f t="shared" si="2576"/>
        <v>22/09/2025</v>
      </c>
      <c r="B5494" t="str">
        <f t="shared" si="2573"/>
        <v>SAÍDA</v>
      </c>
      <c r="C5494" t="str">
        <f t="shared" si="2579"/>
        <v>PIX</v>
      </c>
      <c r="D5494" t="str">
        <f>"2209252000"</f>
        <v>2209252000</v>
      </c>
      <c r="E5494" t="str">
        <f t="shared" si="2574"/>
        <v>COM</v>
      </c>
      <c r="F5494" t="str">
        <f>"CONTA SIMPLES SOLUCOES DE PAGAMENTOS LTDA (20019)"</f>
        <v>CONTA SIMPLES SOLUCOES DE PAGAMENTOS LTDA (20019)</v>
      </c>
      <c r="G5494" t="str">
        <f>"MARKETING REDES SOCIAIS - PIX- CHAVE ALEATORIA: 1d5b84cc-db31-469d-b8ee-076ced54c3e9"</f>
        <v>MARKETING REDES SOCIAIS - PIX- CHAVE ALEATORIA: 1d5b84cc-db31-469d-b8ee-076ced54c3e9</v>
      </c>
      <c r="H5494" t="str">
        <f t="shared" si="2580"/>
        <v>22/09/2025</v>
      </c>
      <c r="I5494" t="str">
        <f t="shared" si="2580"/>
        <v>22/09/2025</v>
      </c>
      <c r="J5494" t="str">
        <f t="shared" si="2578"/>
        <v>22/09/2025</v>
      </c>
      <c r="M5494">
        <v>127</v>
      </c>
      <c r="N5494" t="str">
        <f>"PUBLICIDADE E PROPAGANDAS"</f>
        <v>PUBLICIDADE E PROPAGANDAS</v>
      </c>
      <c r="P5494">
        <v>2000</v>
      </c>
      <c r="Q5494" t="str">
        <f>"CONTA SIMPLES SOLUCOES DE PAGAMENTOS LTDA (20019)"</f>
        <v>CONTA SIMPLES SOLUCOES DE PAGAMENTOS LTDA (20019)</v>
      </c>
      <c r="R5494" t="str">
        <f t="shared" si="2575"/>
        <v>BANCO CORA (102)</v>
      </c>
      <c r="S5494">
        <v>2775</v>
      </c>
      <c r="T5494">
        <v>2346</v>
      </c>
      <c r="U5494" t="s">
        <v>19</v>
      </c>
    </row>
    <row r="5495" spans="1:21">
      <c r="A5495" t="str">
        <f t="shared" si="2576"/>
        <v>22/09/2025</v>
      </c>
      <c r="B5495" t="str">
        <f t="shared" si="2573"/>
        <v>SAÍDA</v>
      </c>
      <c r="C5495" t="str">
        <f t="shared" si="2579"/>
        <v>PIX</v>
      </c>
      <c r="D5495" t="str">
        <f>"220925"</f>
        <v>220925</v>
      </c>
      <c r="E5495" t="str">
        <f t="shared" si="2574"/>
        <v>COM</v>
      </c>
      <c r="F5495" t="str">
        <f>"MARCELO REZENDE ARANTES (20014)"</f>
        <v>MARCELO REZENDE ARANTES (20014)</v>
      </c>
      <c r="G5495" t="str">
        <f>"DISTRIBUIÇÃO DE LUCROS"</f>
        <v>DISTRIBUIÇÃO DE LUCROS</v>
      </c>
      <c r="H5495" t="str">
        <f t="shared" si="2580"/>
        <v>22/09/2025</v>
      </c>
      <c r="I5495" t="str">
        <f t="shared" si="2580"/>
        <v>22/09/2025</v>
      </c>
      <c r="J5495" t="str">
        <f t="shared" si="2578"/>
        <v>22/09/2025</v>
      </c>
      <c r="K5495">
        <v>2000</v>
      </c>
      <c r="L5495">
        <v>2000</v>
      </c>
      <c r="M5495">
        <v>125</v>
      </c>
      <c r="N5495" t="str">
        <f>"DISTRIBUIÇÃO DE LUCRO"</f>
        <v>DISTRIBUIÇÃO DE LUCRO</v>
      </c>
      <c r="O5495">
        <v>2000</v>
      </c>
      <c r="R5495" t="str">
        <f t="shared" si="2575"/>
        <v>BANCO CORA (102)</v>
      </c>
      <c r="S5495">
        <v>3122</v>
      </c>
      <c r="T5495">
        <v>2707</v>
      </c>
      <c r="U5495" t="s">
        <v>19</v>
      </c>
    </row>
    <row r="5496" spans="1:21">
      <c r="A5496" t="str">
        <f t="shared" si="2576"/>
        <v>22/09/2025</v>
      </c>
      <c r="B5496" t="str">
        <f t="shared" si="2573"/>
        <v>SAÍDA</v>
      </c>
      <c r="C5496" t="str">
        <f t="shared" si="2579"/>
        <v>PIX</v>
      </c>
      <c r="D5496" t="str">
        <f>"220925"</f>
        <v>220925</v>
      </c>
      <c r="E5496" t="str">
        <f t="shared" si="2574"/>
        <v>COM</v>
      </c>
      <c r="F5496" t="str">
        <f>"MARCELO REZENDE ARANTES (20014)"</f>
        <v>MARCELO REZENDE ARANTES (20014)</v>
      </c>
      <c r="G5496" t="str">
        <f>"DISTRIBUIÇÃO DE LUCROS"</f>
        <v>DISTRIBUIÇÃO DE LUCROS</v>
      </c>
      <c r="H5496" t="str">
        <f t="shared" si="2580"/>
        <v>22/09/2025</v>
      </c>
      <c r="I5496" t="str">
        <f t="shared" si="2580"/>
        <v>22/09/2025</v>
      </c>
      <c r="J5496" t="str">
        <f t="shared" si="2578"/>
        <v>22/09/2025</v>
      </c>
      <c r="M5496">
        <v>125</v>
      </c>
      <c r="N5496" t="str">
        <f>"DISTRIBUIÇÃO DE LUCRO"</f>
        <v>DISTRIBUIÇÃO DE LUCRO</v>
      </c>
      <c r="P5496">
        <v>2000</v>
      </c>
      <c r="Q5496" t="str">
        <f>"MARCELO REZENDE ARANTES (20014)"</f>
        <v>MARCELO REZENDE ARANTES (20014)</v>
      </c>
      <c r="R5496" t="str">
        <f t="shared" si="2575"/>
        <v>BANCO CORA (102)</v>
      </c>
      <c r="S5496">
        <v>3122</v>
      </c>
      <c r="T5496">
        <v>2707</v>
      </c>
      <c r="U5496" t="s">
        <v>19</v>
      </c>
    </row>
    <row r="5497" spans="1:21">
      <c r="A5497" t="str">
        <f t="shared" ref="A5497:A5502" si="2581">("23/09/2025")</f>
        <v>23/09/2025</v>
      </c>
      <c r="B5497" t="str">
        <f>"ENTRADA"</f>
        <v>ENTRADA</v>
      </c>
      <c r="C5497" t="str">
        <f>"NFSE"</f>
        <v>NFSE</v>
      </c>
      <c r="D5497" t="str">
        <f>"3487"</f>
        <v>3487</v>
      </c>
      <c r="E5497" t="str">
        <f t="shared" si="2574"/>
        <v>COM</v>
      </c>
      <c r="F5497" t="str">
        <f>"PENSE FARMA 46 (10194)"</f>
        <v>PENSE FARMA 46 (10194)</v>
      </c>
      <c r="G5497" t="str">
        <f>"Serv.Prest. 10/09/2025 a 14/09/2025 - RPS: 1252 - NFSe: 3487"</f>
        <v>Serv.Prest. 10/09/2025 a 14/09/2025 - RPS: 1252 - NFSe: 3487</v>
      </c>
      <c r="H5497" t="str">
        <f>("22/09/2025")</f>
        <v>22/09/2025</v>
      </c>
      <c r="I5497" t="str">
        <f>("17/09/2025")</f>
        <v>17/09/2025</v>
      </c>
      <c r="J5497" t="str">
        <f t="shared" ref="J5497:J5502" si="2582">("23/09/2025")</f>
        <v>23/09/2025</v>
      </c>
      <c r="K5497">
        <v>214.2</v>
      </c>
      <c r="L5497">
        <v>214.2</v>
      </c>
      <c r="M5497">
        <v>303</v>
      </c>
      <c r="N5497" t="str">
        <f>"RECEITAS COM ENTREGAS"</f>
        <v>RECEITAS COM ENTREGAS</v>
      </c>
      <c r="O5497">
        <v>214.2</v>
      </c>
      <c r="R5497" t="str">
        <f>"RECEITAS COM ENTREGAS (303)"</f>
        <v>RECEITAS COM ENTREGAS (303)</v>
      </c>
      <c r="S5497">
        <v>2696</v>
      </c>
      <c r="T5497">
        <v>2135</v>
      </c>
      <c r="U5497" t="s">
        <v>19</v>
      </c>
    </row>
    <row r="5498" spans="1:21">
      <c r="A5498" t="str">
        <f t="shared" si="2581"/>
        <v>23/09/2025</v>
      </c>
      <c r="B5498" t="str">
        <f>"SAÍDA"</f>
        <v>SAÍDA</v>
      </c>
      <c r="C5498" t="str">
        <f>"NFSE"</f>
        <v>NFSE</v>
      </c>
      <c r="D5498" t="str">
        <f>"3487"</f>
        <v>3487</v>
      </c>
      <c r="E5498" t="str">
        <f t="shared" si="2574"/>
        <v>COM</v>
      </c>
      <c r="F5498" t="str">
        <f>"PENSE FARMA 46 (10194)"</f>
        <v>PENSE FARMA 46 (10194)</v>
      </c>
      <c r="G5498" t="str">
        <f>"Serv.Prest. 10/09/2025 a 14/09/2025 - RPS: 1252 - NFSe: 3487"</f>
        <v>Serv.Prest. 10/09/2025 a 14/09/2025 - RPS: 1252 - NFSe: 3487</v>
      </c>
      <c r="H5498" t="str">
        <f>("22/09/2025")</f>
        <v>22/09/2025</v>
      </c>
      <c r="I5498" t="str">
        <f>("17/09/2025")</f>
        <v>17/09/2025</v>
      </c>
      <c r="J5498" t="str">
        <f t="shared" si="2582"/>
        <v>23/09/2025</v>
      </c>
      <c r="M5498">
        <v>303</v>
      </c>
      <c r="N5498" t="str">
        <f>"RECEITAS COM ENTREGAS"</f>
        <v>RECEITAS COM ENTREGAS</v>
      </c>
      <c r="P5498">
        <v>214.2</v>
      </c>
      <c r="Q5498" t="str">
        <f>"PENSE FARMA 46 (10194)"</f>
        <v>PENSE FARMA 46 (10194)</v>
      </c>
      <c r="R5498" t="str">
        <f>"RECEITAS COM ENTREGAS (303)"</f>
        <v>RECEITAS COM ENTREGAS (303)</v>
      </c>
      <c r="S5498">
        <v>2696</v>
      </c>
      <c r="T5498">
        <v>2135</v>
      </c>
      <c r="U5498" t="s">
        <v>19</v>
      </c>
    </row>
    <row r="5499" spans="1:21">
      <c r="A5499" t="str">
        <f t="shared" si="2581"/>
        <v>23/09/2025</v>
      </c>
      <c r="B5499" t="str">
        <f>"SAÍDA"</f>
        <v>SAÍDA</v>
      </c>
      <c r="C5499" t="str">
        <f>"BOLETO"</f>
        <v>BOLETO</v>
      </c>
      <c r="D5499" t="str">
        <f>"011125"</f>
        <v>011125</v>
      </c>
      <c r="E5499" t="str">
        <f t="shared" si="2574"/>
        <v>COM</v>
      </c>
      <c r="F5499" t="str">
        <f>"CORA SOCIEDADE DE CREDITO, FINANCIAMENTO E INVESTIMENTO (20035)"</f>
        <v>CORA SOCIEDADE DE CREDITO, FINANCIAMENTO E INVESTIMENTO (20035)</v>
      </c>
      <c r="G5499" t="str">
        <f>"TAXA BOLETO CORA"</f>
        <v>TAXA BOLETO CORA</v>
      </c>
      <c r="H5499" t="str">
        <f>("23/09/2025")</f>
        <v>23/09/2025</v>
      </c>
      <c r="I5499" t="str">
        <f>("01/11/2025")</f>
        <v>01/11/2025</v>
      </c>
      <c r="J5499" t="str">
        <f t="shared" si="2582"/>
        <v>23/09/2025</v>
      </c>
      <c r="K5499">
        <v>1.7</v>
      </c>
      <c r="L5499">
        <v>1.7</v>
      </c>
      <c r="M5499">
        <v>401</v>
      </c>
      <c r="N5499" t="str">
        <f>"IOF/JUROS/DESP.FINANCEIRA"</f>
        <v>IOF/JUROS/DESP.FINANCEIRA</v>
      </c>
      <c r="O5499">
        <v>1.7</v>
      </c>
      <c r="R5499" t="str">
        <f>"BANCO CORA (102)"</f>
        <v>BANCO CORA (102)</v>
      </c>
      <c r="S5499">
        <v>3123</v>
      </c>
      <c r="T5499">
        <v>2708</v>
      </c>
      <c r="U5499" t="s">
        <v>19</v>
      </c>
    </row>
    <row r="5500" spans="1:21">
      <c r="A5500" t="str">
        <f t="shared" si="2581"/>
        <v>23/09/2025</v>
      </c>
      <c r="B5500" t="str">
        <f>"SAÍDA"</f>
        <v>SAÍDA</v>
      </c>
      <c r="C5500" t="str">
        <f>"BOLETO"</f>
        <v>BOLETO</v>
      </c>
      <c r="D5500" t="str">
        <f>"011125"</f>
        <v>011125</v>
      </c>
      <c r="E5500" t="str">
        <f t="shared" si="2574"/>
        <v>COM</v>
      </c>
      <c r="F5500" t="str">
        <f>"CORA SOCIEDADE DE CREDITO, FINANCIAMENTO E INVESTIMENTO (20035)"</f>
        <v>CORA SOCIEDADE DE CREDITO, FINANCIAMENTO E INVESTIMENTO (20035)</v>
      </c>
      <c r="G5500" t="str">
        <f>"TAXA BOLETO CORA"</f>
        <v>TAXA BOLETO CORA</v>
      </c>
      <c r="H5500" t="str">
        <f>("23/09/2025")</f>
        <v>23/09/2025</v>
      </c>
      <c r="I5500" t="str">
        <f>("01/11/2025")</f>
        <v>01/11/2025</v>
      </c>
      <c r="J5500" t="str">
        <f t="shared" si="2582"/>
        <v>23/09/2025</v>
      </c>
      <c r="M5500">
        <v>401</v>
      </c>
      <c r="N5500" t="str">
        <f>"IOF/JUROS/DESP.FINANCEIRA"</f>
        <v>IOF/JUROS/DESP.FINANCEIRA</v>
      </c>
      <c r="P5500">
        <v>1.7</v>
      </c>
      <c r="Q5500" t="str">
        <f>"CORA SOCIEDADE DE CREDITO, FINANCIAMENTO E INVESTIMENTO (20035)"</f>
        <v>CORA SOCIEDADE DE CREDITO, FINANCIAMENTO E INVESTIMENTO (20035)</v>
      </c>
      <c r="R5500" t="str">
        <f>"BANCO CORA (102)"</f>
        <v>BANCO CORA (102)</v>
      </c>
      <c r="S5500">
        <v>3123</v>
      </c>
      <c r="T5500">
        <v>2708</v>
      </c>
      <c r="U5500" t="s">
        <v>19</v>
      </c>
    </row>
    <row r="5501" spans="1:21">
      <c r="A5501" t="str">
        <f t="shared" si="2581"/>
        <v>23/09/2025</v>
      </c>
      <c r="B5501" t="str">
        <f>"SAÍDA"</f>
        <v>SAÍDA</v>
      </c>
      <c r="C5501" t="str">
        <f>"TRANSFERENCIA"</f>
        <v>TRANSFERENCIA</v>
      </c>
      <c r="D5501" t="str">
        <f>""</f>
        <v/>
      </c>
      <c r="E5501" t="str">
        <f>"TRF"</f>
        <v>TRF</v>
      </c>
      <c r="F5501" t="str">
        <f>""</f>
        <v/>
      </c>
      <c r="G5501" t="str">
        <f>"TRANSFERÊNCIA PARA AJUDA DE CAIXA NA COOPERATIVA  (102-&gt;120)"</f>
        <v>TRANSFERÊNCIA PARA AJUDA DE CAIXA NA COOPERATIVA  (102-&gt;120)</v>
      </c>
      <c r="H5501" t="str">
        <f>("23/09/2025")</f>
        <v>23/09/2025</v>
      </c>
      <c r="I5501" t="str">
        <f>("23/09/2025")</f>
        <v>23/09/2025</v>
      </c>
      <c r="J5501" t="str">
        <f t="shared" si="2582"/>
        <v>23/09/2025</v>
      </c>
      <c r="M5501">
        <v>102</v>
      </c>
      <c r="N5501" t="str">
        <f>"BANCO CORA"</f>
        <v>BANCO CORA</v>
      </c>
      <c r="O5501">
        <v>3000</v>
      </c>
      <c r="R5501" t="str">
        <f>"BANCO CORA (102)"</f>
        <v>BANCO CORA (102)</v>
      </c>
      <c r="S5501">
        <v>3148</v>
      </c>
      <c r="T5501">
        <v>0</v>
      </c>
      <c r="U5501" t="s">
        <v>19</v>
      </c>
    </row>
    <row r="5502" spans="1:21">
      <c r="A5502" t="str">
        <f t="shared" si="2581"/>
        <v>23/09/2025</v>
      </c>
      <c r="B5502" t="str">
        <f>"ENTRADA"</f>
        <v>ENTRADA</v>
      </c>
      <c r="C5502" t="str">
        <f>"TRANSFERENCIA"</f>
        <v>TRANSFERENCIA</v>
      </c>
      <c r="D5502" t="str">
        <f>""</f>
        <v/>
      </c>
      <c r="E5502" t="str">
        <f>"TRF"</f>
        <v>TRF</v>
      </c>
      <c r="F5502" t="str">
        <f>""</f>
        <v/>
      </c>
      <c r="G5502" t="str">
        <f>"TRANSFERÊNCIA PARA AJUDA DE CAIXA NA COOPERATIVA  (102-&gt;120)"</f>
        <v>TRANSFERÊNCIA PARA AJUDA DE CAIXA NA COOPERATIVA  (102-&gt;120)</v>
      </c>
      <c r="H5502" t="str">
        <f>("23/09/2025")</f>
        <v>23/09/2025</v>
      </c>
      <c r="I5502" t="str">
        <f>("23/09/2025")</f>
        <v>23/09/2025</v>
      </c>
      <c r="J5502" t="str">
        <f t="shared" si="2582"/>
        <v>23/09/2025</v>
      </c>
      <c r="M5502">
        <v>120</v>
      </c>
      <c r="N5502" t="str">
        <f>"CAIXA - COOPERATIVA"</f>
        <v>CAIXA - COOPERATIVA</v>
      </c>
      <c r="O5502">
        <v>3000</v>
      </c>
      <c r="R5502" t="str">
        <f>"CAIXA - COOPERATIVA (120)"</f>
        <v>CAIXA - COOPERATIVA (120)</v>
      </c>
      <c r="S5502">
        <v>3148</v>
      </c>
      <c r="T5502">
        <v>0</v>
      </c>
      <c r="U5502" t="s">
        <v>26</v>
      </c>
    </row>
    <row r="5503" spans="1:21">
      <c r="A5503" t="str">
        <f t="shared" ref="A5503:A5534" si="2583">("24/09/2025")</f>
        <v>24/09/2025</v>
      </c>
      <c r="B5503" t="str">
        <f>"SAÍDA"</f>
        <v>SAÍDA</v>
      </c>
      <c r="C5503" t="str">
        <f>"PIX"</f>
        <v>PIX</v>
      </c>
      <c r="D5503" t="str">
        <f>"2409251000"</f>
        <v>2409251000</v>
      </c>
      <c r="E5503" t="str">
        <f t="shared" ref="E5503:E5534" si="2584">"COM"</f>
        <v>COM</v>
      </c>
      <c r="F5503" t="str">
        <f>"LILIANE DE FATIMA REZENDE JUSTINO (20013)"</f>
        <v>LILIANE DE FATIMA REZENDE JUSTINO (20013)</v>
      </c>
      <c r="G5503" t="str">
        <f>"DESPESAS VIAGEM RECIFE"</f>
        <v>DESPESAS VIAGEM RECIFE</v>
      </c>
      <c r="H5503" t="str">
        <f t="shared" ref="H5503:J5504" si="2585">("24/09/2025")</f>
        <v>24/09/2025</v>
      </c>
      <c r="I5503" t="str">
        <f t="shared" si="2585"/>
        <v>24/09/2025</v>
      </c>
      <c r="J5503" t="str">
        <f t="shared" si="2585"/>
        <v>24/09/2025</v>
      </c>
      <c r="K5503">
        <v>1000</v>
      </c>
      <c r="L5503">
        <v>1000</v>
      </c>
      <c r="M5503">
        <v>128</v>
      </c>
      <c r="N5503" t="str">
        <f>"DESPESAS COM VIAGENS"</f>
        <v>DESPESAS COM VIAGENS</v>
      </c>
      <c r="O5503">
        <v>1000</v>
      </c>
      <c r="R5503" t="str">
        <f>"BANCO CORA (102)"</f>
        <v>BANCO CORA (102)</v>
      </c>
      <c r="S5503">
        <v>2592</v>
      </c>
      <c r="T5503">
        <v>2174</v>
      </c>
      <c r="U5503" t="s">
        <v>19</v>
      </c>
    </row>
    <row r="5504" spans="1:21">
      <c r="A5504" t="str">
        <f t="shared" si="2583"/>
        <v>24/09/2025</v>
      </c>
      <c r="B5504" t="str">
        <f>"SAÍDA"</f>
        <v>SAÍDA</v>
      </c>
      <c r="C5504" t="str">
        <f>"PIX"</f>
        <v>PIX</v>
      </c>
      <c r="D5504" t="str">
        <f>"2409251000"</f>
        <v>2409251000</v>
      </c>
      <c r="E5504" t="str">
        <f t="shared" si="2584"/>
        <v>COM</v>
      </c>
      <c r="F5504" t="str">
        <f>"LILIANE DE FATIMA REZENDE JUSTINO (20013)"</f>
        <v>LILIANE DE FATIMA REZENDE JUSTINO (20013)</v>
      </c>
      <c r="G5504" t="str">
        <f>"DESPESAS VIAGEM RECIFE"</f>
        <v>DESPESAS VIAGEM RECIFE</v>
      </c>
      <c r="H5504" t="str">
        <f t="shared" si="2585"/>
        <v>24/09/2025</v>
      </c>
      <c r="I5504" t="str">
        <f t="shared" si="2585"/>
        <v>24/09/2025</v>
      </c>
      <c r="J5504" t="str">
        <f t="shared" si="2585"/>
        <v>24/09/2025</v>
      </c>
      <c r="M5504">
        <v>128</v>
      </c>
      <c r="N5504" t="str">
        <f>"DESPESAS COM VIAGENS"</f>
        <v>DESPESAS COM VIAGENS</v>
      </c>
      <c r="P5504">
        <v>1000</v>
      </c>
      <c r="Q5504" t="str">
        <f>"LILIANE DE FATIMA REZENDE JUSTINO (20013)"</f>
        <v>LILIANE DE FATIMA REZENDE JUSTINO (20013)</v>
      </c>
      <c r="R5504" t="str">
        <f>"BANCO CORA (102)"</f>
        <v>BANCO CORA (102)</v>
      </c>
      <c r="S5504">
        <v>2592</v>
      </c>
      <c r="T5504">
        <v>2174</v>
      </c>
      <c r="U5504" t="s">
        <v>19</v>
      </c>
    </row>
    <row r="5505" spans="1:21">
      <c r="A5505" t="str">
        <f t="shared" si="2583"/>
        <v>24/09/2025</v>
      </c>
      <c r="B5505" t="str">
        <f>"ENTRADA"</f>
        <v>ENTRADA</v>
      </c>
      <c r="C5505" t="str">
        <f t="shared" ref="C5505:C5536" si="2586">"NFSE"</f>
        <v>NFSE</v>
      </c>
      <c r="D5505" t="str">
        <f t="shared" ref="D5505:D5517" si="2587">"3476"</f>
        <v>3476</v>
      </c>
      <c r="E5505" t="str">
        <f t="shared" si="2584"/>
        <v>COM</v>
      </c>
      <c r="F5505" t="str">
        <f t="shared" ref="F5505:F5517" si="2588">"FARMÁCIA INDIANA LJ 30 (10127)"</f>
        <v>FARMÁCIA INDIANA LJ 30 (10127)</v>
      </c>
      <c r="G5505" t="str">
        <f t="shared" ref="G5505:G5517" si="2589">"Serv.Prest. 08/09/2025 a 14/09/2025 - RPS: 1241 - NFSe: 3476"</f>
        <v>Serv.Prest. 08/09/2025 a 14/09/2025 - RPS: 1241 - NFSe: 3476</v>
      </c>
      <c r="H5505" t="str">
        <f t="shared" ref="H5505:H5536" si="2590">("24/09/2025")</f>
        <v>24/09/2025</v>
      </c>
      <c r="I5505" t="str">
        <f t="shared" ref="I5505:I5517" si="2591">("15/09/2025")</f>
        <v>15/09/2025</v>
      </c>
      <c r="J5505" t="str">
        <f t="shared" ref="J5505:J5536" si="2592">("24/09/2025")</f>
        <v>24/09/2025</v>
      </c>
      <c r="K5505">
        <v>3323.02</v>
      </c>
      <c r="L5505">
        <v>3323.02</v>
      </c>
      <c r="M5505">
        <v>303</v>
      </c>
      <c r="N5505" t="str">
        <f t="shared" ref="N5505:N5536" si="2593">"RECEITAS COM ENTREGAS"</f>
        <v>RECEITAS COM ENTREGAS</v>
      </c>
      <c r="O5505">
        <v>3323.02</v>
      </c>
      <c r="R5505" t="str">
        <f t="shared" ref="R5505:R5536" si="2594">"RECEITAS COM ENTREGAS (303)"</f>
        <v>RECEITAS COM ENTREGAS (303)</v>
      </c>
      <c r="S5505">
        <v>2697</v>
      </c>
      <c r="T5505">
        <v>2124</v>
      </c>
      <c r="U5505" t="s">
        <v>19</v>
      </c>
    </row>
    <row r="5506" spans="1:21">
      <c r="A5506" t="str">
        <f t="shared" si="2583"/>
        <v>24/09/2025</v>
      </c>
      <c r="B5506" t="str">
        <f t="shared" ref="B5506:B5569" si="2595">"ENTRADA"</f>
        <v>ENTRADA</v>
      </c>
      <c r="C5506" t="str">
        <f t="shared" si="2586"/>
        <v>NFSE</v>
      </c>
      <c r="D5506" t="str">
        <f t="shared" si="2587"/>
        <v>3476</v>
      </c>
      <c r="E5506" t="str">
        <f t="shared" si="2584"/>
        <v>COM</v>
      </c>
      <c r="F5506" t="str">
        <f t="shared" si="2588"/>
        <v>FARMÁCIA INDIANA LJ 30 (10127)</v>
      </c>
      <c r="G5506" t="str">
        <f t="shared" si="2589"/>
        <v>Serv.Prest. 08/09/2025 a 14/09/2025 - RPS: 1241 - NFSe: 3476</v>
      </c>
      <c r="H5506" t="str">
        <f t="shared" si="2590"/>
        <v>24/09/2025</v>
      </c>
      <c r="I5506" t="str">
        <f t="shared" si="2591"/>
        <v>15/09/2025</v>
      </c>
      <c r="J5506" t="str">
        <f t="shared" si="2592"/>
        <v>24/09/2025</v>
      </c>
      <c r="M5506">
        <v>303</v>
      </c>
      <c r="N5506" t="str">
        <f t="shared" si="2593"/>
        <v>RECEITAS COM ENTREGAS</v>
      </c>
      <c r="P5506">
        <v>297.08</v>
      </c>
      <c r="Q5506" t="str">
        <f>"FARMÁCIA INDIANA LJ 34 (10014)"</f>
        <v>FARMÁCIA INDIANA LJ 34 (10014)</v>
      </c>
      <c r="R5506" t="str">
        <f t="shared" si="2594"/>
        <v>RECEITAS COM ENTREGAS (303)</v>
      </c>
      <c r="S5506">
        <v>2697</v>
      </c>
      <c r="T5506">
        <v>2124</v>
      </c>
      <c r="U5506" t="s">
        <v>19</v>
      </c>
    </row>
    <row r="5507" spans="1:21">
      <c r="A5507" t="str">
        <f t="shared" si="2583"/>
        <v>24/09/2025</v>
      </c>
      <c r="B5507" t="str">
        <f t="shared" si="2595"/>
        <v>ENTRADA</v>
      </c>
      <c r="C5507" t="str">
        <f t="shared" si="2586"/>
        <v>NFSE</v>
      </c>
      <c r="D5507" t="str">
        <f t="shared" si="2587"/>
        <v>3476</v>
      </c>
      <c r="E5507" t="str">
        <f t="shared" si="2584"/>
        <v>COM</v>
      </c>
      <c r="F5507" t="str">
        <f t="shared" si="2588"/>
        <v>FARMÁCIA INDIANA LJ 30 (10127)</v>
      </c>
      <c r="G5507" t="str">
        <f t="shared" si="2589"/>
        <v>Serv.Prest. 08/09/2025 a 14/09/2025 - RPS: 1241 - NFSe: 3476</v>
      </c>
      <c r="H5507" t="str">
        <f t="shared" si="2590"/>
        <v>24/09/2025</v>
      </c>
      <c r="I5507" t="str">
        <f t="shared" si="2591"/>
        <v>15/09/2025</v>
      </c>
      <c r="J5507" t="str">
        <f t="shared" si="2592"/>
        <v>24/09/2025</v>
      </c>
      <c r="M5507">
        <v>303</v>
      </c>
      <c r="N5507" t="str">
        <f t="shared" si="2593"/>
        <v>RECEITAS COM ENTREGAS</v>
      </c>
      <c r="P5507">
        <v>251.88</v>
      </c>
      <c r="Q5507" t="str">
        <f>"FARMÁCIA INDIANA LJ 35 (10015)"</f>
        <v>FARMÁCIA INDIANA LJ 35 (10015)</v>
      </c>
      <c r="R5507" t="str">
        <f t="shared" si="2594"/>
        <v>RECEITAS COM ENTREGAS (303)</v>
      </c>
      <c r="S5507">
        <v>2697</v>
      </c>
      <c r="T5507">
        <v>2124</v>
      </c>
      <c r="U5507" t="s">
        <v>19</v>
      </c>
    </row>
    <row r="5508" spans="1:21">
      <c r="A5508" t="str">
        <f t="shared" si="2583"/>
        <v>24/09/2025</v>
      </c>
      <c r="B5508" t="str">
        <f t="shared" si="2595"/>
        <v>ENTRADA</v>
      </c>
      <c r="C5508" t="str">
        <f t="shared" si="2586"/>
        <v>NFSE</v>
      </c>
      <c r="D5508" t="str">
        <f t="shared" si="2587"/>
        <v>3476</v>
      </c>
      <c r="E5508" t="str">
        <f t="shared" si="2584"/>
        <v>COM</v>
      </c>
      <c r="F5508" t="str">
        <f t="shared" si="2588"/>
        <v>FARMÁCIA INDIANA LJ 30 (10127)</v>
      </c>
      <c r="G5508" t="str">
        <f t="shared" si="2589"/>
        <v>Serv.Prest. 08/09/2025 a 14/09/2025 - RPS: 1241 - NFSe: 3476</v>
      </c>
      <c r="H5508" t="str">
        <f t="shared" si="2590"/>
        <v>24/09/2025</v>
      </c>
      <c r="I5508" t="str">
        <f t="shared" si="2591"/>
        <v>15/09/2025</v>
      </c>
      <c r="J5508" t="str">
        <f t="shared" si="2592"/>
        <v>24/09/2025</v>
      </c>
      <c r="M5508">
        <v>303</v>
      </c>
      <c r="N5508" t="str">
        <f t="shared" si="2593"/>
        <v>RECEITAS COM ENTREGAS</v>
      </c>
      <c r="P5508">
        <v>287.44</v>
      </c>
      <c r="Q5508" t="str">
        <f>"FARMÁCIA INDIANA LJ 48 (10018)"</f>
        <v>FARMÁCIA INDIANA LJ 48 (10018)</v>
      </c>
      <c r="R5508" t="str">
        <f t="shared" si="2594"/>
        <v>RECEITAS COM ENTREGAS (303)</v>
      </c>
      <c r="S5508">
        <v>2697</v>
      </c>
      <c r="T5508">
        <v>2124</v>
      </c>
      <c r="U5508" t="s">
        <v>19</v>
      </c>
    </row>
    <row r="5509" spans="1:21">
      <c r="A5509" t="str">
        <f t="shared" si="2583"/>
        <v>24/09/2025</v>
      </c>
      <c r="B5509" t="str">
        <f t="shared" si="2595"/>
        <v>ENTRADA</v>
      </c>
      <c r="C5509" t="str">
        <f t="shared" si="2586"/>
        <v>NFSE</v>
      </c>
      <c r="D5509" t="str">
        <f t="shared" si="2587"/>
        <v>3476</v>
      </c>
      <c r="E5509" t="str">
        <f t="shared" si="2584"/>
        <v>COM</v>
      </c>
      <c r="F5509" t="str">
        <f t="shared" si="2588"/>
        <v>FARMÁCIA INDIANA LJ 30 (10127)</v>
      </c>
      <c r="G5509" t="str">
        <f t="shared" si="2589"/>
        <v>Serv.Prest. 08/09/2025 a 14/09/2025 - RPS: 1241 - NFSe: 3476</v>
      </c>
      <c r="H5509" t="str">
        <f t="shared" si="2590"/>
        <v>24/09/2025</v>
      </c>
      <c r="I5509" t="str">
        <f t="shared" si="2591"/>
        <v>15/09/2025</v>
      </c>
      <c r="J5509" t="str">
        <f t="shared" si="2592"/>
        <v>24/09/2025</v>
      </c>
      <c r="M5509">
        <v>303</v>
      </c>
      <c r="N5509" t="str">
        <f t="shared" si="2593"/>
        <v>RECEITAS COM ENTREGAS</v>
      </c>
      <c r="P5509">
        <v>348.92</v>
      </c>
      <c r="Q5509" t="str">
        <f>"FARMÁCIA INDIANA LJ 65 (10030)"</f>
        <v>FARMÁCIA INDIANA LJ 65 (10030)</v>
      </c>
      <c r="R5509" t="str">
        <f t="shared" si="2594"/>
        <v>RECEITAS COM ENTREGAS (303)</v>
      </c>
      <c r="S5509">
        <v>2697</v>
      </c>
      <c r="T5509">
        <v>2124</v>
      </c>
      <c r="U5509" t="s">
        <v>19</v>
      </c>
    </row>
    <row r="5510" spans="1:21">
      <c r="A5510" t="str">
        <f t="shared" si="2583"/>
        <v>24/09/2025</v>
      </c>
      <c r="B5510" t="str">
        <f t="shared" si="2595"/>
        <v>ENTRADA</v>
      </c>
      <c r="C5510" t="str">
        <f t="shared" si="2586"/>
        <v>NFSE</v>
      </c>
      <c r="D5510" t="str">
        <f t="shared" si="2587"/>
        <v>3476</v>
      </c>
      <c r="E5510" t="str">
        <f t="shared" si="2584"/>
        <v>COM</v>
      </c>
      <c r="F5510" t="str">
        <f t="shared" si="2588"/>
        <v>FARMÁCIA INDIANA LJ 30 (10127)</v>
      </c>
      <c r="G5510" t="str">
        <f t="shared" si="2589"/>
        <v>Serv.Prest. 08/09/2025 a 14/09/2025 - RPS: 1241 - NFSe: 3476</v>
      </c>
      <c r="H5510" t="str">
        <f t="shared" si="2590"/>
        <v>24/09/2025</v>
      </c>
      <c r="I5510" t="str">
        <f t="shared" si="2591"/>
        <v>15/09/2025</v>
      </c>
      <c r="J5510" t="str">
        <f t="shared" si="2592"/>
        <v>24/09/2025</v>
      </c>
      <c r="M5510">
        <v>303</v>
      </c>
      <c r="N5510" t="str">
        <f t="shared" si="2593"/>
        <v>RECEITAS COM ENTREGAS</v>
      </c>
      <c r="P5510">
        <v>128.6</v>
      </c>
      <c r="Q5510" t="str">
        <f>"FARMÁCIA INDIANA LJ 77 (10034)"</f>
        <v>FARMÁCIA INDIANA LJ 77 (10034)</v>
      </c>
      <c r="R5510" t="str">
        <f t="shared" si="2594"/>
        <v>RECEITAS COM ENTREGAS (303)</v>
      </c>
      <c r="S5510">
        <v>2697</v>
      </c>
      <c r="T5510">
        <v>2124</v>
      </c>
      <c r="U5510" t="s">
        <v>19</v>
      </c>
    </row>
    <row r="5511" spans="1:21">
      <c r="A5511" t="str">
        <f t="shared" si="2583"/>
        <v>24/09/2025</v>
      </c>
      <c r="B5511" t="str">
        <f t="shared" si="2595"/>
        <v>ENTRADA</v>
      </c>
      <c r="C5511" t="str">
        <f t="shared" si="2586"/>
        <v>NFSE</v>
      </c>
      <c r="D5511" t="str">
        <f t="shared" si="2587"/>
        <v>3476</v>
      </c>
      <c r="E5511" t="str">
        <f t="shared" si="2584"/>
        <v>COM</v>
      </c>
      <c r="F5511" t="str">
        <f t="shared" si="2588"/>
        <v>FARMÁCIA INDIANA LJ 30 (10127)</v>
      </c>
      <c r="G5511" t="str">
        <f t="shared" si="2589"/>
        <v>Serv.Prest. 08/09/2025 a 14/09/2025 - RPS: 1241 - NFSe: 3476</v>
      </c>
      <c r="H5511" t="str">
        <f t="shared" si="2590"/>
        <v>24/09/2025</v>
      </c>
      <c r="I5511" t="str">
        <f t="shared" si="2591"/>
        <v>15/09/2025</v>
      </c>
      <c r="J5511" t="str">
        <f t="shared" si="2592"/>
        <v>24/09/2025</v>
      </c>
      <c r="M5511">
        <v>303</v>
      </c>
      <c r="N5511" t="str">
        <f t="shared" si="2593"/>
        <v>RECEITAS COM ENTREGAS</v>
      </c>
      <c r="P5511">
        <v>665.6</v>
      </c>
      <c r="Q5511" t="str">
        <f>"FARMÁCIA INDIANA LJ 91 (10037)"</f>
        <v>FARMÁCIA INDIANA LJ 91 (10037)</v>
      </c>
      <c r="R5511" t="str">
        <f t="shared" si="2594"/>
        <v>RECEITAS COM ENTREGAS (303)</v>
      </c>
      <c r="S5511">
        <v>2697</v>
      </c>
      <c r="T5511">
        <v>2124</v>
      </c>
      <c r="U5511" t="s">
        <v>19</v>
      </c>
    </row>
    <row r="5512" spans="1:21">
      <c r="A5512" t="str">
        <f t="shared" si="2583"/>
        <v>24/09/2025</v>
      </c>
      <c r="B5512" t="str">
        <f t="shared" si="2595"/>
        <v>ENTRADA</v>
      </c>
      <c r="C5512" t="str">
        <f t="shared" si="2586"/>
        <v>NFSE</v>
      </c>
      <c r="D5512" t="str">
        <f t="shared" si="2587"/>
        <v>3476</v>
      </c>
      <c r="E5512" t="str">
        <f t="shared" si="2584"/>
        <v>COM</v>
      </c>
      <c r="F5512" t="str">
        <f t="shared" si="2588"/>
        <v>FARMÁCIA INDIANA LJ 30 (10127)</v>
      </c>
      <c r="G5512" t="str">
        <f t="shared" si="2589"/>
        <v>Serv.Prest. 08/09/2025 a 14/09/2025 - RPS: 1241 - NFSe: 3476</v>
      </c>
      <c r="H5512" t="str">
        <f t="shared" si="2590"/>
        <v>24/09/2025</v>
      </c>
      <c r="I5512" t="str">
        <f t="shared" si="2591"/>
        <v>15/09/2025</v>
      </c>
      <c r="J5512" t="str">
        <f t="shared" si="2592"/>
        <v>24/09/2025</v>
      </c>
      <c r="M5512">
        <v>303</v>
      </c>
      <c r="N5512" t="str">
        <f t="shared" si="2593"/>
        <v>RECEITAS COM ENTREGAS</v>
      </c>
      <c r="P5512">
        <v>382.48</v>
      </c>
      <c r="Q5512" t="str">
        <f>"FARMÁCIA INDIANA LJ 95 (10039)"</f>
        <v>FARMÁCIA INDIANA LJ 95 (10039)</v>
      </c>
      <c r="R5512" t="str">
        <f t="shared" si="2594"/>
        <v>RECEITAS COM ENTREGAS (303)</v>
      </c>
      <c r="S5512">
        <v>2697</v>
      </c>
      <c r="T5512">
        <v>2124</v>
      </c>
      <c r="U5512" t="s">
        <v>19</v>
      </c>
    </row>
    <row r="5513" spans="1:21">
      <c r="A5513" t="str">
        <f t="shared" si="2583"/>
        <v>24/09/2025</v>
      </c>
      <c r="B5513" t="str">
        <f t="shared" si="2595"/>
        <v>ENTRADA</v>
      </c>
      <c r="C5513" t="str">
        <f t="shared" si="2586"/>
        <v>NFSE</v>
      </c>
      <c r="D5513" t="str">
        <f t="shared" si="2587"/>
        <v>3476</v>
      </c>
      <c r="E5513" t="str">
        <f t="shared" si="2584"/>
        <v>COM</v>
      </c>
      <c r="F5513" t="str">
        <f t="shared" si="2588"/>
        <v>FARMÁCIA INDIANA LJ 30 (10127)</v>
      </c>
      <c r="G5513" t="str">
        <f t="shared" si="2589"/>
        <v>Serv.Prest. 08/09/2025 a 14/09/2025 - RPS: 1241 - NFSe: 3476</v>
      </c>
      <c r="H5513" t="str">
        <f t="shared" si="2590"/>
        <v>24/09/2025</v>
      </c>
      <c r="I5513" t="str">
        <f t="shared" si="2591"/>
        <v>15/09/2025</v>
      </c>
      <c r="J5513" t="str">
        <f t="shared" si="2592"/>
        <v>24/09/2025</v>
      </c>
      <c r="M5513">
        <v>303</v>
      </c>
      <c r="N5513" t="str">
        <f t="shared" si="2593"/>
        <v>RECEITAS COM ENTREGAS</v>
      </c>
      <c r="P5513">
        <v>280.8</v>
      </c>
      <c r="Q5513" t="str">
        <f>"FARMÁCIA INDIANA LJ 145 (10068)"</f>
        <v>FARMÁCIA INDIANA LJ 145 (10068)</v>
      </c>
      <c r="R5513" t="str">
        <f t="shared" si="2594"/>
        <v>RECEITAS COM ENTREGAS (303)</v>
      </c>
      <c r="S5513">
        <v>2697</v>
      </c>
      <c r="T5513">
        <v>2124</v>
      </c>
      <c r="U5513" t="s">
        <v>19</v>
      </c>
    </row>
    <row r="5514" spans="1:21">
      <c r="A5514" t="str">
        <f t="shared" si="2583"/>
        <v>24/09/2025</v>
      </c>
      <c r="B5514" t="str">
        <f t="shared" si="2595"/>
        <v>ENTRADA</v>
      </c>
      <c r="C5514" t="str">
        <f t="shared" si="2586"/>
        <v>NFSE</v>
      </c>
      <c r="D5514" t="str">
        <f t="shared" si="2587"/>
        <v>3476</v>
      </c>
      <c r="E5514" t="str">
        <f t="shared" si="2584"/>
        <v>COM</v>
      </c>
      <c r="F5514" t="str">
        <f t="shared" si="2588"/>
        <v>FARMÁCIA INDIANA LJ 30 (10127)</v>
      </c>
      <c r="G5514" t="str">
        <f t="shared" si="2589"/>
        <v>Serv.Prest. 08/09/2025 a 14/09/2025 - RPS: 1241 - NFSe: 3476</v>
      </c>
      <c r="H5514" t="str">
        <f t="shared" si="2590"/>
        <v>24/09/2025</v>
      </c>
      <c r="I5514" t="str">
        <f t="shared" si="2591"/>
        <v>15/09/2025</v>
      </c>
      <c r="J5514" t="str">
        <f t="shared" si="2592"/>
        <v>24/09/2025</v>
      </c>
      <c r="M5514">
        <v>303</v>
      </c>
      <c r="N5514" t="str">
        <f t="shared" si="2593"/>
        <v>RECEITAS COM ENTREGAS</v>
      </c>
      <c r="P5514">
        <v>115.97</v>
      </c>
      <c r="Q5514" t="str">
        <f>"FARMÁCIA INDIANA LJ 169 (10073)"</f>
        <v>FARMÁCIA INDIANA LJ 169 (10073)</v>
      </c>
      <c r="R5514" t="str">
        <f t="shared" si="2594"/>
        <v>RECEITAS COM ENTREGAS (303)</v>
      </c>
      <c r="S5514">
        <v>2697</v>
      </c>
      <c r="T5514">
        <v>2124</v>
      </c>
      <c r="U5514" t="s">
        <v>19</v>
      </c>
    </row>
    <row r="5515" spans="1:21">
      <c r="A5515" t="str">
        <f t="shared" si="2583"/>
        <v>24/09/2025</v>
      </c>
      <c r="B5515" t="str">
        <f t="shared" si="2595"/>
        <v>ENTRADA</v>
      </c>
      <c r="C5515" t="str">
        <f t="shared" si="2586"/>
        <v>NFSE</v>
      </c>
      <c r="D5515" t="str">
        <f t="shared" si="2587"/>
        <v>3476</v>
      </c>
      <c r="E5515" t="str">
        <f t="shared" si="2584"/>
        <v>COM</v>
      </c>
      <c r="F5515" t="str">
        <f t="shared" si="2588"/>
        <v>FARMÁCIA INDIANA LJ 30 (10127)</v>
      </c>
      <c r="G5515" t="str">
        <f t="shared" si="2589"/>
        <v>Serv.Prest. 08/09/2025 a 14/09/2025 - RPS: 1241 - NFSe: 3476</v>
      </c>
      <c r="H5515" t="str">
        <f t="shared" si="2590"/>
        <v>24/09/2025</v>
      </c>
      <c r="I5515" t="str">
        <f t="shared" si="2591"/>
        <v>15/09/2025</v>
      </c>
      <c r="J5515" t="str">
        <f t="shared" si="2592"/>
        <v>24/09/2025</v>
      </c>
      <c r="M5515">
        <v>303</v>
      </c>
      <c r="N5515" t="str">
        <f t="shared" si="2593"/>
        <v>RECEITAS COM ENTREGAS</v>
      </c>
      <c r="P5515">
        <v>174.46</v>
      </c>
      <c r="Q5515" t="str">
        <f>"FARMÁCIA INDIANA LJ 173 (10075)"</f>
        <v>FARMÁCIA INDIANA LJ 173 (10075)</v>
      </c>
      <c r="R5515" t="str">
        <f t="shared" si="2594"/>
        <v>RECEITAS COM ENTREGAS (303)</v>
      </c>
      <c r="S5515">
        <v>2697</v>
      </c>
      <c r="T5515">
        <v>2124</v>
      </c>
      <c r="U5515" t="s">
        <v>19</v>
      </c>
    </row>
    <row r="5516" spans="1:21">
      <c r="A5516" t="str">
        <f t="shared" si="2583"/>
        <v>24/09/2025</v>
      </c>
      <c r="B5516" t="str">
        <f t="shared" si="2595"/>
        <v>ENTRADA</v>
      </c>
      <c r="C5516" t="str">
        <f t="shared" si="2586"/>
        <v>NFSE</v>
      </c>
      <c r="D5516" t="str">
        <f t="shared" si="2587"/>
        <v>3476</v>
      </c>
      <c r="E5516" t="str">
        <f t="shared" si="2584"/>
        <v>COM</v>
      </c>
      <c r="F5516" t="str">
        <f t="shared" si="2588"/>
        <v>FARMÁCIA INDIANA LJ 30 (10127)</v>
      </c>
      <c r="G5516" t="str">
        <f t="shared" si="2589"/>
        <v>Serv.Prest. 08/09/2025 a 14/09/2025 - RPS: 1241 - NFSe: 3476</v>
      </c>
      <c r="H5516" t="str">
        <f t="shared" si="2590"/>
        <v>24/09/2025</v>
      </c>
      <c r="I5516" t="str">
        <f t="shared" si="2591"/>
        <v>15/09/2025</v>
      </c>
      <c r="J5516" t="str">
        <f t="shared" si="2592"/>
        <v>24/09/2025</v>
      </c>
      <c r="M5516">
        <v>303</v>
      </c>
      <c r="N5516" t="str">
        <f t="shared" si="2593"/>
        <v>RECEITAS COM ENTREGAS</v>
      </c>
      <c r="P5516">
        <v>203.7</v>
      </c>
      <c r="Q5516" t="str">
        <f>"FARMÁCIA INDIANA LJ 200 (10155)"</f>
        <v>FARMÁCIA INDIANA LJ 200 (10155)</v>
      </c>
      <c r="R5516" t="str">
        <f t="shared" si="2594"/>
        <v>RECEITAS COM ENTREGAS (303)</v>
      </c>
      <c r="S5516">
        <v>2697</v>
      </c>
      <c r="T5516">
        <v>2124</v>
      </c>
      <c r="U5516" t="s">
        <v>19</v>
      </c>
    </row>
    <row r="5517" spans="1:21">
      <c r="A5517" t="str">
        <f t="shared" si="2583"/>
        <v>24/09/2025</v>
      </c>
      <c r="B5517" t="str">
        <f t="shared" si="2595"/>
        <v>ENTRADA</v>
      </c>
      <c r="C5517" t="str">
        <f t="shared" si="2586"/>
        <v>NFSE</v>
      </c>
      <c r="D5517" t="str">
        <f t="shared" si="2587"/>
        <v>3476</v>
      </c>
      <c r="E5517" t="str">
        <f t="shared" si="2584"/>
        <v>COM</v>
      </c>
      <c r="F5517" t="str">
        <f t="shared" si="2588"/>
        <v>FARMÁCIA INDIANA LJ 30 (10127)</v>
      </c>
      <c r="G5517" t="str">
        <f t="shared" si="2589"/>
        <v>Serv.Prest. 08/09/2025 a 14/09/2025 - RPS: 1241 - NFSe: 3476</v>
      </c>
      <c r="H5517" t="str">
        <f t="shared" si="2590"/>
        <v>24/09/2025</v>
      </c>
      <c r="I5517" t="str">
        <f t="shared" si="2591"/>
        <v>15/09/2025</v>
      </c>
      <c r="J5517" t="str">
        <f t="shared" si="2592"/>
        <v>24/09/2025</v>
      </c>
      <c r="M5517">
        <v>303</v>
      </c>
      <c r="N5517" t="str">
        <f t="shared" si="2593"/>
        <v>RECEITAS COM ENTREGAS</v>
      </c>
      <c r="P5517">
        <v>186.09</v>
      </c>
      <c r="Q5517" t="str">
        <f>"FARMÁCIA INDIANA LJ 33 (10187)"</f>
        <v>FARMÁCIA INDIANA LJ 33 (10187)</v>
      </c>
      <c r="R5517" t="str">
        <f t="shared" si="2594"/>
        <v>RECEITAS COM ENTREGAS (303)</v>
      </c>
      <c r="S5517">
        <v>2697</v>
      </c>
      <c r="T5517">
        <v>2124</v>
      </c>
      <c r="U5517" t="s">
        <v>19</v>
      </c>
    </row>
    <row r="5518" spans="1:21">
      <c r="A5518" t="str">
        <f t="shared" si="2583"/>
        <v>24/09/2025</v>
      </c>
      <c r="B5518" t="str">
        <f t="shared" si="2595"/>
        <v>ENTRADA</v>
      </c>
      <c r="C5518" t="str">
        <f t="shared" si="2586"/>
        <v>NFSE</v>
      </c>
      <c r="D5518" t="str">
        <f t="shared" ref="D5518:D5565" si="2596">"3477"</f>
        <v>3477</v>
      </c>
      <c r="E5518" t="str">
        <f t="shared" si="2584"/>
        <v>COM</v>
      </c>
      <c r="F5518" t="str">
        <f t="shared" ref="F5518:F5549" si="2597">"FARMÁCIA INDIANA LJ 1 (10126)"</f>
        <v>FARMÁCIA INDIANA LJ 1 (10126)</v>
      </c>
      <c r="G5518" t="str">
        <f t="shared" ref="G5518:G5565" si="2598">"Serv.Prest. 08/09/2025 a 14/09/2025 - RPS: 1242 - NFSe: 3477"</f>
        <v>Serv.Prest. 08/09/2025 a 14/09/2025 - RPS: 1242 - NFSe: 3477</v>
      </c>
      <c r="H5518" t="str">
        <f t="shared" si="2590"/>
        <v>24/09/2025</v>
      </c>
      <c r="I5518" t="str">
        <f t="shared" ref="I5518:I5549" si="2599">("16/09/2025")</f>
        <v>16/09/2025</v>
      </c>
      <c r="J5518" t="str">
        <f t="shared" si="2592"/>
        <v>24/09/2025</v>
      </c>
      <c r="K5518">
        <v>14660.74</v>
      </c>
      <c r="L5518">
        <v>14660.74</v>
      </c>
      <c r="M5518">
        <v>303</v>
      </c>
      <c r="N5518" t="str">
        <f t="shared" si="2593"/>
        <v>RECEITAS COM ENTREGAS</v>
      </c>
      <c r="O5518">
        <v>14660.74</v>
      </c>
      <c r="R5518" t="str">
        <f t="shared" si="2594"/>
        <v>RECEITAS COM ENTREGAS (303)</v>
      </c>
      <c r="S5518">
        <v>2698</v>
      </c>
      <c r="T5518">
        <v>2125</v>
      </c>
      <c r="U5518" t="s">
        <v>19</v>
      </c>
    </row>
    <row r="5519" spans="1:21">
      <c r="A5519" t="str">
        <f t="shared" si="2583"/>
        <v>24/09/2025</v>
      </c>
      <c r="B5519" t="str">
        <f t="shared" si="2595"/>
        <v>ENTRADA</v>
      </c>
      <c r="C5519" t="str">
        <f t="shared" si="2586"/>
        <v>NFSE</v>
      </c>
      <c r="D5519" t="str">
        <f t="shared" si="2596"/>
        <v>3477</v>
      </c>
      <c r="E5519" t="str">
        <f t="shared" si="2584"/>
        <v>COM</v>
      </c>
      <c r="F5519" t="str">
        <f t="shared" si="2597"/>
        <v>FARMÁCIA INDIANA LJ 1 (10126)</v>
      </c>
      <c r="G5519" t="str">
        <f t="shared" si="2598"/>
        <v>Serv.Prest. 08/09/2025 a 14/09/2025 - RPS: 1242 - NFSe: 3477</v>
      </c>
      <c r="H5519" t="str">
        <f t="shared" si="2590"/>
        <v>24/09/2025</v>
      </c>
      <c r="I5519" t="str">
        <f t="shared" si="2599"/>
        <v>16/09/2025</v>
      </c>
      <c r="J5519" t="str">
        <f t="shared" si="2592"/>
        <v>24/09/2025</v>
      </c>
      <c r="M5519">
        <v>303</v>
      </c>
      <c r="N5519" t="str">
        <f t="shared" si="2593"/>
        <v>RECEITAS COM ENTREGAS</v>
      </c>
      <c r="P5519">
        <v>1944.02</v>
      </c>
      <c r="Q5519" t="str">
        <f>"FARMÁCIA INDIANA LJ 06 (10006)"</f>
        <v>FARMÁCIA INDIANA LJ 06 (10006)</v>
      </c>
      <c r="R5519" t="str">
        <f t="shared" si="2594"/>
        <v>RECEITAS COM ENTREGAS (303)</v>
      </c>
      <c r="S5519">
        <v>2698</v>
      </c>
      <c r="T5519">
        <v>2125</v>
      </c>
      <c r="U5519" t="s">
        <v>19</v>
      </c>
    </row>
    <row r="5520" spans="1:21">
      <c r="A5520" t="str">
        <f t="shared" si="2583"/>
        <v>24/09/2025</v>
      </c>
      <c r="B5520" t="str">
        <f t="shared" si="2595"/>
        <v>ENTRADA</v>
      </c>
      <c r="C5520" t="str">
        <f t="shared" si="2586"/>
        <v>NFSE</v>
      </c>
      <c r="D5520" t="str">
        <f t="shared" si="2596"/>
        <v>3477</v>
      </c>
      <c r="E5520" t="str">
        <f t="shared" si="2584"/>
        <v>COM</v>
      </c>
      <c r="F5520" t="str">
        <f t="shared" si="2597"/>
        <v>FARMÁCIA INDIANA LJ 1 (10126)</v>
      </c>
      <c r="G5520" t="str">
        <f t="shared" si="2598"/>
        <v>Serv.Prest. 08/09/2025 a 14/09/2025 - RPS: 1242 - NFSe: 3477</v>
      </c>
      <c r="H5520" t="str">
        <f t="shared" si="2590"/>
        <v>24/09/2025</v>
      </c>
      <c r="I5520" t="str">
        <f t="shared" si="2599"/>
        <v>16/09/2025</v>
      </c>
      <c r="J5520" t="str">
        <f t="shared" si="2592"/>
        <v>24/09/2025</v>
      </c>
      <c r="M5520">
        <v>303</v>
      </c>
      <c r="N5520" t="str">
        <f t="shared" si="2593"/>
        <v>RECEITAS COM ENTREGAS</v>
      </c>
      <c r="P5520">
        <v>1463.14</v>
      </c>
      <c r="Q5520" t="str">
        <f>"FARMÁCIA INDIANA LJ 07 (10007)"</f>
        <v>FARMÁCIA INDIANA LJ 07 (10007)</v>
      </c>
      <c r="R5520" t="str">
        <f t="shared" si="2594"/>
        <v>RECEITAS COM ENTREGAS (303)</v>
      </c>
      <c r="S5520">
        <v>2698</v>
      </c>
      <c r="T5520">
        <v>2125</v>
      </c>
      <c r="U5520" t="s">
        <v>19</v>
      </c>
    </row>
    <row r="5521" spans="1:21">
      <c r="A5521" t="str">
        <f t="shared" si="2583"/>
        <v>24/09/2025</v>
      </c>
      <c r="B5521" t="str">
        <f t="shared" si="2595"/>
        <v>ENTRADA</v>
      </c>
      <c r="C5521" t="str">
        <f t="shared" si="2586"/>
        <v>NFSE</v>
      </c>
      <c r="D5521" t="str">
        <f t="shared" si="2596"/>
        <v>3477</v>
      </c>
      <c r="E5521" t="str">
        <f t="shared" si="2584"/>
        <v>COM</v>
      </c>
      <c r="F5521" t="str">
        <f t="shared" si="2597"/>
        <v>FARMÁCIA INDIANA LJ 1 (10126)</v>
      </c>
      <c r="G5521" t="str">
        <f t="shared" si="2598"/>
        <v>Serv.Prest. 08/09/2025 a 14/09/2025 - RPS: 1242 - NFSe: 3477</v>
      </c>
      <c r="H5521" t="str">
        <f t="shared" si="2590"/>
        <v>24/09/2025</v>
      </c>
      <c r="I5521" t="str">
        <f t="shared" si="2599"/>
        <v>16/09/2025</v>
      </c>
      <c r="J5521" t="str">
        <f t="shared" si="2592"/>
        <v>24/09/2025</v>
      </c>
      <c r="M5521">
        <v>303</v>
      </c>
      <c r="N5521" t="str">
        <f t="shared" si="2593"/>
        <v>RECEITAS COM ENTREGAS</v>
      </c>
      <c r="P5521">
        <v>1062.9000000000001</v>
      </c>
      <c r="Q5521" t="str">
        <f>"FARMÁCIA INDIANA LJ 11 (10008)"</f>
        <v>FARMÁCIA INDIANA LJ 11 (10008)</v>
      </c>
      <c r="R5521" t="str">
        <f t="shared" si="2594"/>
        <v>RECEITAS COM ENTREGAS (303)</v>
      </c>
      <c r="S5521">
        <v>2698</v>
      </c>
      <c r="T5521">
        <v>2125</v>
      </c>
      <c r="U5521" t="s">
        <v>19</v>
      </c>
    </row>
    <row r="5522" spans="1:21">
      <c r="A5522" t="str">
        <f t="shared" si="2583"/>
        <v>24/09/2025</v>
      </c>
      <c r="B5522" t="str">
        <f t="shared" si="2595"/>
        <v>ENTRADA</v>
      </c>
      <c r="C5522" t="str">
        <f t="shared" si="2586"/>
        <v>NFSE</v>
      </c>
      <c r="D5522" t="str">
        <f t="shared" si="2596"/>
        <v>3477</v>
      </c>
      <c r="E5522" t="str">
        <f t="shared" si="2584"/>
        <v>COM</v>
      </c>
      <c r="F5522" t="str">
        <f t="shared" si="2597"/>
        <v>FARMÁCIA INDIANA LJ 1 (10126)</v>
      </c>
      <c r="G5522" t="str">
        <f t="shared" si="2598"/>
        <v>Serv.Prest. 08/09/2025 a 14/09/2025 - RPS: 1242 - NFSe: 3477</v>
      </c>
      <c r="H5522" t="str">
        <f t="shared" si="2590"/>
        <v>24/09/2025</v>
      </c>
      <c r="I5522" t="str">
        <f t="shared" si="2599"/>
        <v>16/09/2025</v>
      </c>
      <c r="J5522" t="str">
        <f t="shared" si="2592"/>
        <v>24/09/2025</v>
      </c>
      <c r="M5522">
        <v>303</v>
      </c>
      <c r="N5522" t="str">
        <f t="shared" si="2593"/>
        <v>RECEITAS COM ENTREGAS</v>
      </c>
      <c r="P5522">
        <v>530.72</v>
      </c>
      <c r="Q5522" t="str">
        <f>"FARMÁCIA INDIANA LJ 14 (10009)"</f>
        <v>FARMÁCIA INDIANA LJ 14 (10009)</v>
      </c>
      <c r="R5522" t="str">
        <f t="shared" si="2594"/>
        <v>RECEITAS COM ENTREGAS (303)</v>
      </c>
      <c r="S5522">
        <v>2698</v>
      </c>
      <c r="T5522">
        <v>2125</v>
      </c>
      <c r="U5522" t="s">
        <v>19</v>
      </c>
    </row>
    <row r="5523" spans="1:21">
      <c r="A5523" t="str">
        <f t="shared" si="2583"/>
        <v>24/09/2025</v>
      </c>
      <c r="B5523" t="str">
        <f t="shared" si="2595"/>
        <v>ENTRADA</v>
      </c>
      <c r="C5523" t="str">
        <f t="shared" si="2586"/>
        <v>NFSE</v>
      </c>
      <c r="D5523" t="str">
        <f t="shared" si="2596"/>
        <v>3477</v>
      </c>
      <c r="E5523" t="str">
        <f t="shared" si="2584"/>
        <v>COM</v>
      </c>
      <c r="F5523" t="str">
        <f t="shared" si="2597"/>
        <v>FARMÁCIA INDIANA LJ 1 (10126)</v>
      </c>
      <c r="G5523" t="str">
        <f t="shared" si="2598"/>
        <v>Serv.Prest. 08/09/2025 a 14/09/2025 - RPS: 1242 - NFSe: 3477</v>
      </c>
      <c r="H5523" t="str">
        <f t="shared" si="2590"/>
        <v>24/09/2025</v>
      </c>
      <c r="I5523" t="str">
        <f t="shared" si="2599"/>
        <v>16/09/2025</v>
      </c>
      <c r="J5523" t="str">
        <f t="shared" si="2592"/>
        <v>24/09/2025</v>
      </c>
      <c r="M5523">
        <v>303</v>
      </c>
      <c r="N5523" t="str">
        <f t="shared" si="2593"/>
        <v>RECEITAS COM ENTREGAS</v>
      </c>
      <c r="P5523">
        <v>382.65</v>
      </c>
      <c r="Q5523" t="str">
        <f>"FARMÁCIA INDIANA LJ 18 (10011)"</f>
        <v>FARMÁCIA INDIANA LJ 18 (10011)</v>
      </c>
      <c r="R5523" t="str">
        <f t="shared" si="2594"/>
        <v>RECEITAS COM ENTREGAS (303)</v>
      </c>
      <c r="S5523">
        <v>2698</v>
      </c>
      <c r="T5523">
        <v>2125</v>
      </c>
      <c r="U5523" t="s">
        <v>19</v>
      </c>
    </row>
    <row r="5524" spans="1:21">
      <c r="A5524" t="str">
        <f t="shared" si="2583"/>
        <v>24/09/2025</v>
      </c>
      <c r="B5524" t="str">
        <f t="shared" si="2595"/>
        <v>ENTRADA</v>
      </c>
      <c r="C5524" t="str">
        <f t="shared" si="2586"/>
        <v>NFSE</v>
      </c>
      <c r="D5524" t="str">
        <f t="shared" si="2596"/>
        <v>3477</v>
      </c>
      <c r="E5524" t="str">
        <f t="shared" si="2584"/>
        <v>COM</v>
      </c>
      <c r="F5524" t="str">
        <f t="shared" si="2597"/>
        <v>FARMÁCIA INDIANA LJ 1 (10126)</v>
      </c>
      <c r="G5524" t="str">
        <f t="shared" si="2598"/>
        <v>Serv.Prest. 08/09/2025 a 14/09/2025 - RPS: 1242 - NFSe: 3477</v>
      </c>
      <c r="H5524" t="str">
        <f t="shared" si="2590"/>
        <v>24/09/2025</v>
      </c>
      <c r="I5524" t="str">
        <f t="shared" si="2599"/>
        <v>16/09/2025</v>
      </c>
      <c r="J5524" t="str">
        <f t="shared" si="2592"/>
        <v>24/09/2025</v>
      </c>
      <c r="M5524">
        <v>303</v>
      </c>
      <c r="N5524" t="str">
        <f t="shared" si="2593"/>
        <v>RECEITAS COM ENTREGAS</v>
      </c>
      <c r="P5524">
        <v>385.58</v>
      </c>
      <c r="Q5524" t="str">
        <f>"FARMÁCIA INDIANA LJ 19 (10012)"</f>
        <v>FARMÁCIA INDIANA LJ 19 (10012)</v>
      </c>
      <c r="R5524" t="str">
        <f t="shared" si="2594"/>
        <v>RECEITAS COM ENTREGAS (303)</v>
      </c>
      <c r="S5524">
        <v>2698</v>
      </c>
      <c r="T5524">
        <v>2125</v>
      </c>
      <c r="U5524" t="s">
        <v>19</v>
      </c>
    </row>
    <row r="5525" spans="1:21">
      <c r="A5525" t="str">
        <f t="shared" si="2583"/>
        <v>24/09/2025</v>
      </c>
      <c r="B5525" t="str">
        <f t="shared" si="2595"/>
        <v>ENTRADA</v>
      </c>
      <c r="C5525" t="str">
        <f t="shared" si="2586"/>
        <v>NFSE</v>
      </c>
      <c r="D5525" t="str">
        <f t="shared" si="2596"/>
        <v>3477</v>
      </c>
      <c r="E5525" t="str">
        <f t="shared" si="2584"/>
        <v>COM</v>
      </c>
      <c r="F5525" t="str">
        <f t="shared" si="2597"/>
        <v>FARMÁCIA INDIANA LJ 1 (10126)</v>
      </c>
      <c r="G5525" t="str">
        <f t="shared" si="2598"/>
        <v>Serv.Prest. 08/09/2025 a 14/09/2025 - RPS: 1242 - NFSe: 3477</v>
      </c>
      <c r="H5525" t="str">
        <f t="shared" si="2590"/>
        <v>24/09/2025</v>
      </c>
      <c r="I5525" t="str">
        <f t="shared" si="2599"/>
        <v>16/09/2025</v>
      </c>
      <c r="J5525" t="str">
        <f t="shared" si="2592"/>
        <v>24/09/2025</v>
      </c>
      <c r="M5525">
        <v>303</v>
      </c>
      <c r="N5525" t="str">
        <f t="shared" si="2593"/>
        <v>RECEITAS COM ENTREGAS</v>
      </c>
      <c r="P5525">
        <v>1150.8699999999999</v>
      </c>
      <c r="Q5525" t="str">
        <f>"FARMÁCIA INDIANA LJ 40 (10016)"</f>
        <v>FARMÁCIA INDIANA LJ 40 (10016)</v>
      </c>
      <c r="R5525" t="str">
        <f t="shared" si="2594"/>
        <v>RECEITAS COM ENTREGAS (303)</v>
      </c>
      <c r="S5525">
        <v>2698</v>
      </c>
      <c r="T5525">
        <v>2125</v>
      </c>
      <c r="U5525" t="s">
        <v>19</v>
      </c>
    </row>
    <row r="5526" spans="1:21">
      <c r="A5526" t="str">
        <f t="shared" si="2583"/>
        <v>24/09/2025</v>
      </c>
      <c r="B5526" t="str">
        <f t="shared" si="2595"/>
        <v>ENTRADA</v>
      </c>
      <c r="C5526" t="str">
        <f t="shared" si="2586"/>
        <v>NFSE</v>
      </c>
      <c r="D5526" t="str">
        <f t="shared" si="2596"/>
        <v>3477</v>
      </c>
      <c r="E5526" t="str">
        <f t="shared" si="2584"/>
        <v>COM</v>
      </c>
      <c r="F5526" t="str">
        <f t="shared" si="2597"/>
        <v>FARMÁCIA INDIANA LJ 1 (10126)</v>
      </c>
      <c r="G5526" t="str">
        <f t="shared" si="2598"/>
        <v>Serv.Prest. 08/09/2025 a 14/09/2025 - RPS: 1242 - NFSe: 3477</v>
      </c>
      <c r="H5526" t="str">
        <f t="shared" si="2590"/>
        <v>24/09/2025</v>
      </c>
      <c r="I5526" t="str">
        <f t="shared" si="2599"/>
        <v>16/09/2025</v>
      </c>
      <c r="J5526" t="str">
        <f t="shared" si="2592"/>
        <v>24/09/2025</v>
      </c>
      <c r="M5526">
        <v>303</v>
      </c>
      <c r="N5526" t="str">
        <f t="shared" si="2593"/>
        <v>RECEITAS COM ENTREGAS</v>
      </c>
      <c r="P5526">
        <v>315.20999999999998</v>
      </c>
      <c r="Q5526" t="str">
        <f>"FARMÁCIA INDIANA LJ 59 (10026)"</f>
        <v>FARMÁCIA INDIANA LJ 59 (10026)</v>
      </c>
      <c r="R5526" t="str">
        <f t="shared" si="2594"/>
        <v>RECEITAS COM ENTREGAS (303)</v>
      </c>
      <c r="S5526">
        <v>2698</v>
      </c>
      <c r="T5526">
        <v>2125</v>
      </c>
      <c r="U5526" t="s">
        <v>19</v>
      </c>
    </row>
    <row r="5527" spans="1:21">
      <c r="A5527" t="str">
        <f t="shared" si="2583"/>
        <v>24/09/2025</v>
      </c>
      <c r="B5527" t="str">
        <f t="shared" si="2595"/>
        <v>ENTRADA</v>
      </c>
      <c r="C5527" t="str">
        <f t="shared" si="2586"/>
        <v>NFSE</v>
      </c>
      <c r="D5527" t="str">
        <f t="shared" si="2596"/>
        <v>3477</v>
      </c>
      <c r="E5527" t="str">
        <f t="shared" si="2584"/>
        <v>COM</v>
      </c>
      <c r="F5527" t="str">
        <f t="shared" si="2597"/>
        <v>FARMÁCIA INDIANA LJ 1 (10126)</v>
      </c>
      <c r="G5527" t="str">
        <f t="shared" si="2598"/>
        <v>Serv.Prest. 08/09/2025 a 14/09/2025 - RPS: 1242 - NFSe: 3477</v>
      </c>
      <c r="H5527" t="str">
        <f t="shared" si="2590"/>
        <v>24/09/2025</v>
      </c>
      <c r="I5527" t="str">
        <f t="shared" si="2599"/>
        <v>16/09/2025</v>
      </c>
      <c r="J5527" t="str">
        <f t="shared" si="2592"/>
        <v>24/09/2025</v>
      </c>
      <c r="M5527">
        <v>303</v>
      </c>
      <c r="N5527" t="str">
        <f t="shared" si="2593"/>
        <v>RECEITAS COM ENTREGAS</v>
      </c>
      <c r="P5527">
        <v>431.03</v>
      </c>
      <c r="Q5527" t="str">
        <f>"FARMÁCIA INDIANA LJ 61 (10027)"</f>
        <v>FARMÁCIA INDIANA LJ 61 (10027)</v>
      </c>
      <c r="R5527" t="str">
        <f t="shared" si="2594"/>
        <v>RECEITAS COM ENTREGAS (303)</v>
      </c>
      <c r="S5527">
        <v>2698</v>
      </c>
      <c r="T5527">
        <v>2125</v>
      </c>
      <c r="U5527" t="s">
        <v>19</v>
      </c>
    </row>
    <row r="5528" spans="1:21">
      <c r="A5528" t="str">
        <f t="shared" si="2583"/>
        <v>24/09/2025</v>
      </c>
      <c r="B5528" t="str">
        <f t="shared" si="2595"/>
        <v>ENTRADA</v>
      </c>
      <c r="C5528" t="str">
        <f t="shared" si="2586"/>
        <v>NFSE</v>
      </c>
      <c r="D5528" t="str">
        <f t="shared" si="2596"/>
        <v>3477</v>
      </c>
      <c r="E5528" t="str">
        <f t="shared" si="2584"/>
        <v>COM</v>
      </c>
      <c r="F5528" t="str">
        <f t="shared" si="2597"/>
        <v>FARMÁCIA INDIANA LJ 1 (10126)</v>
      </c>
      <c r="G5528" t="str">
        <f t="shared" si="2598"/>
        <v>Serv.Prest. 08/09/2025 a 14/09/2025 - RPS: 1242 - NFSe: 3477</v>
      </c>
      <c r="H5528" t="str">
        <f t="shared" si="2590"/>
        <v>24/09/2025</v>
      </c>
      <c r="I5528" t="str">
        <f t="shared" si="2599"/>
        <v>16/09/2025</v>
      </c>
      <c r="J5528" t="str">
        <f t="shared" si="2592"/>
        <v>24/09/2025</v>
      </c>
      <c r="M5528">
        <v>303</v>
      </c>
      <c r="N5528" t="str">
        <f t="shared" si="2593"/>
        <v>RECEITAS COM ENTREGAS</v>
      </c>
      <c r="P5528">
        <v>275.62</v>
      </c>
      <c r="Q5528" t="str">
        <f>"FARMÁCIA INDIANA LJ 62 (10028)"</f>
        <v>FARMÁCIA INDIANA LJ 62 (10028)</v>
      </c>
      <c r="R5528" t="str">
        <f t="shared" si="2594"/>
        <v>RECEITAS COM ENTREGAS (303)</v>
      </c>
      <c r="S5528">
        <v>2698</v>
      </c>
      <c r="T5528">
        <v>2125</v>
      </c>
      <c r="U5528" t="s">
        <v>19</v>
      </c>
    </row>
    <row r="5529" spans="1:21">
      <c r="A5529" t="str">
        <f t="shared" si="2583"/>
        <v>24/09/2025</v>
      </c>
      <c r="B5529" t="str">
        <f t="shared" si="2595"/>
        <v>ENTRADA</v>
      </c>
      <c r="C5529" t="str">
        <f t="shared" si="2586"/>
        <v>NFSE</v>
      </c>
      <c r="D5529" t="str">
        <f t="shared" si="2596"/>
        <v>3477</v>
      </c>
      <c r="E5529" t="str">
        <f t="shared" si="2584"/>
        <v>COM</v>
      </c>
      <c r="F5529" t="str">
        <f t="shared" si="2597"/>
        <v>FARMÁCIA INDIANA LJ 1 (10126)</v>
      </c>
      <c r="G5529" t="str">
        <f t="shared" si="2598"/>
        <v>Serv.Prest. 08/09/2025 a 14/09/2025 - RPS: 1242 - NFSe: 3477</v>
      </c>
      <c r="H5529" t="str">
        <f t="shared" si="2590"/>
        <v>24/09/2025</v>
      </c>
      <c r="I5529" t="str">
        <f t="shared" si="2599"/>
        <v>16/09/2025</v>
      </c>
      <c r="J5529" t="str">
        <f t="shared" si="2592"/>
        <v>24/09/2025</v>
      </c>
      <c r="M5529">
        <v>303</v>
      </c>
      <c r="N5529" t="str">
        <f t="shared" si="2593"/>
        <v>RECEITAS COM ENTREGAS</v>
      </c>
      <c r="P5529">
        <v>107.02</v>
      </c>
      <c r="Q5529" t="str">
        <f>"FARMÁCIA INDIANA LJ 64 (10029)"</f>
        <v>FARMÁCIA INDIANA LJ 64 (10029)</v>
      </c>
      <c r="R5529" t="str">
        <f t="shared" si="2594"/>
        <v>RECEITAS COM ENTREGAS (303)</v>
      </c>
      <c r="S5529">
        <v>2698</v>
      </c>
      <c r="T5529">
        <v>2125</v>
      </c>
      <c r="U5529" t="s">
        <v>19</v>
      </c>
    </row>
    <row r="5530" spans="1:21">
      <c r="A5530" t="str">
        <f t="shared" si="2583"/>
        <v>24/09/2025</v>
      </c>
      <c r="B5530" t="str">
        <f t="shared" si="2595"/>
        <v>ENTRADA</v>
      </c>
      <c r="C5530" t="str">
        <f t="shared" si="2586"/>
        <v>NFSE</v>
      </c>
      <c r="D5530" t="str">
        <f t="shared" si="2596"/>
        <v>3477</v>
      </c>
      <c r="E5530" t="str">
        <f t="shared" si="2584"/>
        <v>COM</v>
      </c>
      <c r="F5530" t="str">
        <f t="shared" si="2597"/>
        <v>FARMÁCIA INDIANA LJ 1 (10126)</v>
      </c>
      <c r="G5530" t="str">
        <f t="shared" si="2598"/>
        <v>Serv.Prest. 08/09/2025 a 14/09/2025 - RPS: 1242 - NFSe: 3477</v>
      </c>
      <c r="H5530" t="str">
        <f t="shared" si="2590"/>
        <v>24/09/2025</v>
      </c>
      <c r="I5530" t="str">
        <f t="shared" si="2599"/>
        <v>16/09/2025</v>
      </c>
      <c r="J5530" t="str">
        <f t="shared" si="2592"/>
        <v>24/09/2025</v>
      </c>
      <c r="M5530">
        <v>303</v>
      </c>
      <c r="N5530" t="str">
        <f t="shared" si="2593"/>
        <v>RECEITAS COM ENTREGAS</v>
      </c>
      <c r="P5530">
        <v>67.44</v>
      </c>
      <c r="Q5530" t="str">
        <f>"FARMÁCIA INDIANA LJ 97 (10040)"</f>
        <v>FARMÁCIA INDIANA LJ 97 (10040)</v>
      </c>
      <c r="R5530" t="str">
        <f t="shared" si="2594"/>
        <v>RECEITAS COM ENTREGAS (303)</v>
      </c>
      <c r="S5530">
        <v>2698</v>
      </c>
      <c r="T5530">
        <v>2125</v>
      </c>
      <c r="U5530" t="s">
        <v>19</v>
      </c>
    </row>
    <row r="5531" spans="1:21">
      <c r="A5531" t="str">
        <f t="shared" si="2583"/>
        <v>24/09/2025</v>
      </c>
      <c r="B5531" t="str">
        <f t="shared" si="2595"/>
        <v>ENTRADA</v>
      </c>
      <c r="C5531" t="str">
        <f t="shared" si="2586"/>
        <v>NFSE</v>
      </c>
      <c r="D5531" t="str">
        <f t="shared" si="2596"/>
        <v>3477</v>
      </c>
      <c r="E5531" t="str">
        <f t="shared" si="2584"/>
        <v>COM</v>
      </c>
      <c r="F5531" t="str">
        <f t="shared" si="2597"/>
        <v>FARMÁCIA INDIANA LJ 1 (10126)</v>
      </c>
      <c r="G5531" t="str">
        <f t="shared" si="2598"/>
        <v>Serv.Prest. 08/09/2025 a 14/09/2025 - RPS: 1242 - NFSe: 3477</v>
      </c>
      <c r="H5531" t="str">
        <f t="shared" si="2590"/>
        <v>24/09/2025</v>
      </c>
      <c r="I5531" t="str">
        <f t="shared" si="2599"/>
        <v>16/09/2025</v>
      </c>
      <c r="J5531" t="str">
        <f t="shared" si="2592"/>
        <v>24/09/2025</v>
      </c>
      <c r="M5531">
        <v>303</v>
      </c>
      <c r="N5531" t="str">
        <f t="shared" si="2593"/>
        <v>RECEITAS COM ENTREGAS</v>
      </c>
      <c r="P5531">
        <v>300.55</v>
      </c>
      <c r="Q5531" t="str">
        <f>"FARMÁCIA INDIANA LJ 100 (10042)"</f>
        <v>FARMÁCIA INDIANA LJ 100 (10042)</v>
      </c>
      <c r="R5531" t="str">
        <f t="shared" si="2594"/>
        <v>RECEITAS COM ENTREGAS (303)</v>
      </c>
      <c r="S5531">
        <v>2698</v>
      </c>
      <c r="T5531">
        <v>2125</v>
      </c>
      <c r="U5531" t="s">
        <v>19</v>
      </c>
    </row>
    <row r="5532" spans="1:21">
      <c r="A5532" t="str">
        <f t="shared" si="2583"/>
        <v>24/09/2025</v>
      </c>
      <c r="B5532" t="str">
        <f t="shared" si="2595"/>
        <v>ENTRADA</v>
      </c>
      <c r="C5532" t="str">
        <f t="shared" si="2586"/>
        <v>NFSE</v>
      </c>
      <c r="D5532" t="str">
        <f t="shared" si="2596"/>
        <v>3477</v>
      </c>
      <c r="E5532" t="str">
        <f t="shared" si="2584"/>
        <v>COM</v>
      </c>
      <c r="F5532" t="str">
        <f t="shared" si="2597"/>
        <v>FARMÁCIA INDIANA LJ 1 (10126)</v>
      </c>
      <c r="G5532" t="str">
        <f t="shared" si="2598"/>
        <v>Serv.Prest. 08/09/2025 a 14/09/2025 - RPS: 1242 - NFSe: 3477</v>
      </c>
      <c r="H5532" t="str">
        <f t="shared" si="2590"/>
        <v>24/09/2025</v>
      </c>
      <c r="I5532" t="str">
        <f t="shared" si="2599"/>
        <v>16/09/2025</v>
      </c>
      <c r="J5532" t="str">
        <f t="shared" si="2592"/>
        <v>24/09/2025</v>
      </c>
      <c r="M5532">
        <v>303</v>
      </c>
      <c r="N5532" t="str">
        <f t="shared" si="2593"/>
        <v>RECEITAS COM ENTREGAS</v>
      </c>
      <c r="P5532">
        <v>642.14</v>
      </c>
      <c r="Q5532" t="str">
        <f>"FARMÁCIA INDIANA LJ 101 (10043)"</f>
        <v>FARMÁCIA INDIANA LJ 101 (10043)</v>
      </c>
      <c r="R5532" t="str">
        <f t="shared" si="2594"/>
        <v>RECEITAS COM ENTREGAS (303)</v>
      </c>
      <c r="S5532">
        <v>2698</v>
      </c>
      <c r="T5532">
        <v>2125</v>
      </c>
      <c r="U5532" t="s">
        <v>19</v>
      </c>
    </row>
    <row r="5533" spans="1:21">
      <c r="A5533" t="str">
        <f t="shared" si="2583"/>
        <v>24/09/2025</v>
      </c>
      <c r="B5533" t="str">
        <f t="shared" si="2595"/>
        <v>ENTRADA</v>
      </c>
      <c r="C5533" t="str">
        <f t="shared" si="2586"/>
        <v>NFSE</v>
      </c>
      <c r="D5533" t="str">
        <f t="shared" si="2596"/>
        <v>3477</v>
      </c>
      <c r="E5533" t="str">
        <f t="shared" si="2584"/>
        <v>COM</v>
      </c>
      <c r="F5533" t="str">
        <f t="shared" si="2597"/>
        <v>FARMÁCIA INDIANA LJ 1 (10126)</v>
      </c>
      <c r="G5533" t="str">
        <f t="shared" si="2598"/>
        <v>Serv.Prest. 08/09/2025 a 14/09/2025 - RPS: 1242 - NFSe: 3477</v>
      </c>
      <c r="H5533" t="str">
        <f t="shared" si="2590"/>
        <v>24/09/2025</v>
      </c>
      <c r="I5533" t="str">
        <f t="shared" si="2599"/>
        <v>16/09/2025</v>
      </c>
      <c r="J5533" t="str">
        <f t="shared" si="2592"/>
        <v>24/09/2025</v>
      </c>
      <c r="M5533">
        <v>303</v>
      </c>
      <c r="N5533" t="str">
        <f t="shared" si="2593"/>
        <v>RECEITAS COM ENTREGAS</v>
      </c>
      <c r="P5533">
        <v>133.41</v>
      </c>
      <c r="Q5533" t="str">
        <f>"FARMÁCIA INDIANA LJ 103 (10044)"</f>
        <v>FARMÁCIA INDIANA LJ 103 (10044)</v>
      </c>
      <c r="R5533" t="str">
        <f t="shared" si="2594"/>
        <v>RECEITAS COM ENTREGAS (303)</v>
      </c>
      <c r="S5533">
        <v>2698</v>
      </c>
      <c r="T5533">
        <v>2125</v>
      </c>
      <c r="U5533" t="s">
        <v>19</v>
      </c>
    </row>
    <row r="5534" spans="1:21">
      <c r="A5534" t="str">
        <f t="shared" si="2583"/>
        <v>24/09/2025</v>
      </c>
      <c r="B5534" t="str">
        <f t="shared" si="2595"/>
        <v>ENTRADA</v>
      </c>
      <c r="C5534" t="str">
        <f t="shared" si="2586"/>
        <v>NFSE</v>
      </c>
      <c r="D5534" t="str">
        <f t="shared" si="2596"/>
        <v>3477</v>
      </c>
      <c r="E5534" t="str">
        <f t="shared" si="2584"/>
        <v>COM</v>
      </c>
      <c r="F5534" t="str">
        <f t="shared" si="2597"/>
        <v>FARMÁCIA INDIANA LJ 1 (10126)</v>
      </c>
      <c r="G5534" t="str">
        <f t="shared" si="2598"/>
        <v>Serv.Prest. 08/09/2025 a 14/09/2025 - RPS: 1242 - NFSe: 3477</v>
      </c>
      <c r="H5534" t="str">
        <f t="shared" si="2590"/>
        <v>24/09/2025</v>
      </c>
      <c r="I5534" t="str">
        <f t="shared" si="2599"/>
        <v>16/09/2025</v>
      </c>
      <c r="J5534" t="str">
        <f t="shared" si="2592"/>
        <v>24/09/2025</v>
      </c>
      <c r="M5534">
        <v>303</v>
      </c>
      <c r="N5534" t="str">
        <f t="shared" si="2593"/>
        <v>RECEITAS COM ENTREGAS</v>
      </c>
      <c r="P5534">
        <v>247.77</v>
      </c>
      <c r="Q5534" t="str">
        <f>"FARMÁCIA INDIANA LJ 109 (10047)"</f>
        <v>FARMÁCIA INDIANA LJ 109 (10047)</v>
      </c>
      <c r="R5534" t="str">
        <f t="shared" si="2594"/>
        <v>RECEITAS COM ENTREGAS (303)</v>
      </c>
      <c r="S5534">
        <v>2698</v>
      </c>
      <c r="T5534">
        <v>2125</v>
      </c>
      <c r="U5534" t="s">
        <v>19</v>
      </c>
    </row>
    <row r="5535" spans="1:21">
      <c r="A5535" t="str">
        <f t="shared" ref="A5535:A5566" si="2600">("24/09/2025")</f>
        <v>24/09/2025</v>
      </c>
      <c r="B5535" t="str">
        <f t="shared" si="2595"/>
        <v>ENTRADA</v>
      </c>
      <c r="C5535" t="str">
        <f t="shared" si="2586"/>
        <v>NFSE</v>
      </c>
      <c r="D5535" t="str">
        <f t="shared" si="2596"/>
        <v>3477</v>
      </c>
      <c r="E5535" t="str">
        <f t="shared" ref="E5535:E5566" si="2601">"COM"</f>
        <v>COM</v>
      </c>
      <c r="F5535" t="str">
        <f t="shared" si="2597"/>
        <v>FARMÁCIA INDIANA LJ 1 (10126)</v>
      </c>
      <c r="G5535" t="str">
        <f t="shared" si="2598"/>
        <v>Serv.Prest. 08/09/2025 a 14/09/2025 - RPS: 1242 - NFSe: 3477</v>
      </c>
      <c r="H5535" t="str">
        <f t="shared" si="2590"/>
        <v>24/09/2025</v>
      </c>
      <c r="I5535" t="str">
        <f t="shared" si="2599"/>
        <v>16/09/2025</v>
      </c>
      <c r="J5535" t="str">
        <f t="shared" si="2592"/>
        <v>24/09/2025</v>
      </c>
      <c r="M5535">
        <v>303</v>
      </c>
      <c r="N5535" t="str">
        <f t="shared" si="2593"/>
        <v>RECEITAS COM ENTREGAS</v>
      </c>
      <c r="P5535">
        <v>376.78</v>
      </c>
      <c r="Q5535" t="str">
        <f>"FARMÁCIA INDIANA LJ 110 (10048)"</f>
        <v>FARMÁCIA INDIANA LJ 110 (10048)</v>
      </c>
      <c r="R5535" t="str">
        <f t="shared" si="2594"/>
        <v>RECEITAS COM ENTREGAS (303)</v>
      </c>
      <c r="S5535">
        <v>2698</v>
      </c>
      <c r="T5535">
        <v>2125</v>
      </c>
      <c r="U5535" t="s">
        <v>19</v>
      </c>
    </row>
    <row r="5536" spans="1:21">
      <c r="A5536" t="str">
        <f t="shared" si="2600"/>
        <v>24/09/2025</v>
      </c>
      <c r="B5536" t="str">
        <f t="shared" si="2595"/>
        <v>ENTRADA</v>
      </c>
      <c r="C5536" t="str">
        <f t="shared" si="2586"/>
        <v>NFSE</v>
      </c>
      <c r="D5536" t="str">
        <f t="shared" si="2596"/>
        <v>3477</v>
      </c>
      <c r="E5536" t="str">
        <f t="shared" si="2601"/>
        <v>COM</v>
      </c>
      <c r="F5536" t="str">
        <f t="shared" si="2597"/>
        <v>FARMÁCIA INDIANA LJ 1 (10126)</v>
      </c>
      <c r="G5536" t="str">
        <f t="shared" si="2598"/>
        <v>Serv.Prest. 08/09/2025 a 14/09/2025 - RPS: 1242 - NFSe: 3477</v>
      </c>
      <c r="H5536" t="str">
        <f t="shared" si="2590"/>
        <v>24/09/2025</v>
      </c>
      <c r="I5536" t="str">
        <f t="shared" si="2599"/>
        <v>16/09/2025</v>
      </c>
      <c r="J5536" t="str">
        <f t="shared" si="2592"/>
        <v>24/09/2025</v>
      </c>
      <c r="M5536">
        <v>303</v>
      </c>
      <c r="N5536" t="str">
        <f t="shared" si="2593"/>
        <v>RECEITAS COM ENTREGAS</v>
      </c>
      <c r="P5536">
        <v>65.97</v>
      </c>
      <c r="Q5536" t="str">
        <f>"FARMÁCIA INDIANA LJ 111 (10049)"</f>
        <v>FARMÁCIA INDIANA LJ 111 (10049)</v>
      </c>
      <c r="R5536" t="str">
        <f t="shared" si="2594"/>
        <v>RECEITAS COM ENTREGAS (303)</v>
      </c>
      <c r="S5536">
        <v>2698</v>
      </c>
      <c r="T5536">
        <v>2125</v>
      </c>
      <c r="U5536" t="s">
        <v>19</v>
      </c>
    </row>
    <row r="5537" spans="1:21">
      <c r="A5537" t="str">
        <f t="shared" si="2600"/>
        <v>24/09/2025</v>
      </c>
      <c r="B5537" t="str">
        <f t="shared" si="2595"/>
        <v>ENTRADA</v>
      </c>
      <c r="C5537" t="str">
        <f t="shared" ref="C5537:C5568" si="2602">"NFSE"</f>
        <v>NFSE</v>
      </c>
      <c r="D5537" t="str">
        <f t="shared" si="2596"/>
        <v>3477</v>
      </c>
      <c r="E5537" t="str">
        <f t="shared" si="2601"/>
        <v>COM</v>
      </c>
      <c r="F5537" t="str">
        <f t="shared" si="2597"/>
        <v>FARMÁCIA INDIANA LJ 1 (10126)</v>
      </c>
      <c r="G5537" t="str">
        <f t="shared" si="2598"/>
        <v>Serv.Prest. 08/09/2025 a 14/09/2025 - RPS: 1242 - NFSe: 3477</v>
      </c>
      <c r="H5537" t="str">
        <f t="shared" ref="H5537:H5568" si="2603">("24/09/2025")</f>
        <v>24/09/2025</v>
      </c>
      <c r="I5537" t="str">
        <f t="shared" si="2599"/>
        <v>16/09/2025</v>
      </c>
      <c r="J5537" t="str">
        <f t="shared" ref="J5537:J5568" si="2604">("24/09/2025")</f>
        <v>24/09/2025</v>
      </c>
      <c r="M5537">
        <v>303</v>
      </c>
      <c r="N5537" t="str">
        <f t="shared" ref="N5537:N5568" si="2605">"RECEITAS COM ENTREGAS"</f>
        <v>RECEITAS COM ENTREGAS</v>
      </c>
      <c r="P5537">
        <v>149.54</v>
      </c>
      <c r="Q5537" t="str">
        <f>"FARMÁCIA INDIANA LJ 112 (10050)"</f>
        <v>FARMÁCIA INDIANA LJ 112 (10050)</v>
      </c>
      <c r="R5537" t="str">
        <f t="shared" ref="R5537:R5568" si="2606">"RECEITAS COM ENTREGAS (303)"</f>
        <v>RECEITAS COM ENTREGAS (303)</v>
      </c>
      <c r="S5537">
        <v>2698</v>
      </c>
      <c r="T5537">
        <v>2125</v>
      </c>
      <c r="U5537" t="s">
        <v>19</v>
      </c>
    </row>
    <row r="5538" spans="1:21">
      <c r="A5538" t="str">
        <f t="shared" si="2600"/>
        <v>24/09/2025</v>
      </c>
      <c r="B5538" t="str">
        <f t="shared" si="2595"/>
        <v>ENTRADA</v>
      </c>
      <c r="C5538" t="str">
        <f t="shared" si="2602"/>
        <v>NFSE</v>
      </c>
      <c r="D5538" t="str">
        <f t="shared" si="2596"/>
        <v>3477</v>
      </c>
      <c r="E5538" t="str">
        <f t="shared" si="2601"/>
        <v>COM</v>
      </c>
      <c r="F5538" t="str">
        <f t="shared" si="2597"/>
        <v>FARMÁCIA INDIANA LJ 1 (10126)</v>
      </c>
      <c r="G5538" t="str">
        <f t="shared" si="2598"/>
        <v>Serv.Prest. 08/09/2025 a 14/09/2025 - RPS: 1242 - NFSe: 3477</v>
      </c>
      <c r="H5538" t="str">
        <f t="shared" si="2603"/>
        <v>24/09/2025</v>
      </c>
      <c r="I5538" t="str">
        <f t="shared" si="2599"/>
        <v>16/09/2025</v>
      </c>
      <c r="J5538" t="str">
        <f t="shared" si="2604"/>
        <v>24/09/2025</v>
      </c>
      <c r="M5538">
        <v>303</v>
      </c>
      <c r="N5538" t="str">
        <f t="shared" si="2605"/>
        <v>RECEITAS COM ENTREGAS</v>
      </c>
      <c r="P5538">
        <v>149.54</v>
      </c>
      <c r="Q5538" t="str">
        <f>"FARMÁCIA INDIANA LJ 116 (10051)"</f>
        <v>FARMÁCIA INDIANA LJ 116 (10051)</v>
      </c>
      <c r="R5538" t="str">
        <f t="shared" si="2606"/>
        <v>RECEITAS COM ENTREGAS (303)</v>
      </c>
      <c r="S5538">
        <v>2698</v>
      </c>
      <c r="T5538">
        <v>2125</v>
      </c>
      <c r="U5538" t="s">
        <v>19</v>
      </c>
    </row>
    <row r="5539" spans="1:21">
      <c r="A5539" t="str">
        <f t="shared" si="2600"/>
        <v>24/09/2025</v>
      </c>
      <c r="B5539" t="str">
        <f t="shared" si="2595"/>
        <v>ENTRADA</v>
      </c>
      <c r="C5539" t="str">
        <f t="shared" si="2602"/>
        <v>NFSE</v>
      </c>
      <c r="D5539" t="str">
        <f t="shared" si="2596"/>
        <v>3477</v>
      </c>
      <c r="E5539" t="str">
        <f t="shared" si="2601"/>
        <v>COM</v>
      </c>
      <c r="F5539" t="str">
        <f t="shared" si="2597"/>
        <v>FARMÁCIA INDIANA LJ 1 (10126)</v>
      </c>
      <c r="G5539" t="str">
        <f t="shared" si="2598"/>
        <v>Serv.Prest. 08/09/2025 a 14/09/2025 - RPS: 1242 - NFSe: 3477</v>
      </c>
      <c r="H5539" t="str">
        <f t="shared" si="2603"/>
        <v>24/09/2025</v>
      </c>
      <c r="I5539" t="str">
        <f t="shared" si="2599"/>
        <v>16/09/2025</v>
      </c>
      <c r="J5539" t="str">
        <f t="shared" si="2604"/>
        <v>24/09/2025</v>
      </c>
      <c r="M5539">
        <v>303</v>
      </c>
      <c r="N5539" t="str">
        <f t="shared" si="2605"/>
        <v>RECEITAS COM ENTREGAS</v>
      </c>
      <c r="P5539">
        <v>90.9</v>
      </c>
      <c r="Q5539" t="str">
        <f>"FARMÁCIA INDIANA LJ 118 (10052)"</f>
        <v>FARMÁCIA INDIANA LJ 118 (10052)</v>
      </c>
      <c r="R5539" t="str">
        <f t="shared" si="2606"/>
        <v>RECEITAS COM ENTREGAS (303)</v>
      </c>
      <c r="S5539">
        <v>2698</v>
      </c>
      <c r="T5539">
        <v>2125</v>
      </c>
      <c r="U5539" t="s">
        <v>19</v>
      </c>
    </row>
    <row r="5540" spans="1:21">
      <c r="A5540" t="str">
        <f t="shared" si="2600"/>
        <v>24/09/2025</v>
      </c>
      <c r="B5540" t="str">
        <f t="shared" si="2595"/>
        <v>ENTRADA</v>
      </c>
      <c r="C5540" t="str">
        <f t="shared" si="2602"/>
        <v>NFSE</v>
      </c>
      <c r="D5540" t="str">
        <f t="shared" si="2596"/>
        <v>3477</v>
      </c>
      <c r="E5540" t="str">
        <f t="shared" si="2601"/>
        <v>COM</v>
      </c>
      <c r="F5540" t="str">
        <f t="shared" si="2597"/>
        <v>FARMÁCIA INDIANA LJ 1 (10126)</v>
      </c>
      <c r="G5540" t="str">
        <f t="shared" si="2598"/>
        <v>Serv.Prest. 08/09/2025 a 14/09/2025 - RPS: 1242 - NFSe: 3477</v>
      </c>
      <c r="H5540" t="str">
        <f t="shared" si="2603"/>
        <v>24/09/2025</v>
      </c>
      <c r="I5540" t="str">
        <f t="shared" si="2599"/>
        <v>16/09/2025</v>
      </c>
      <c r="J5540" t="str">
        <f t="shared" si="2604"/>
        <v>24/09/2025</v>
      </c>
      <c r="M5540">
        <v>303</v>
      </c>
      <c r="N5540" t="str">
        <f t="shared" si="2605"/>
        <v>RECEITAS COM ENTREGAS</v>
      </c>
      <c r="P5540">
        <v>149.54</v>
      </c>
      <c r="Q5540" t="str">
        <f>"FARMÁCIA INDIANA LJ 121 (10054)"</f>
        <v>FARMÁCIA INDIANA LJ 121 (10054)</v>
      </c>
      <c r="R5540" t="str">
        <f t="shared" si="2606"/>
        <v>RECEITAS COM ENTREGAS (303)</v>
      </c>
      <c r="S5540">
        <v>2698</v>
      </c>
      <c r="T5540">
        <v>2125</v>
      </c>
      <c r="U5540" t="s">
        <v>19</v>
      </c>
    </row>
    <row r="5541" spans="1:21">
      <c r="A5541" t="str">
        <f t="shared" si="2600"/>
        <v>24/09/2025</v>
      </c>
      <c r="B5541" t="str">
        <f t="shared" si="2595"/>
        <v>ENTRADA</v>
      </c>
      <c r="C5541" t="str">
        <f t="shared" si="2602"/>
        <v>NFSE</v>
      </c>
      <c r="D5541" t="str">
        <f t="shared" si="2596"/>
        <v>3477</v>
      </c>
      <c r="E5541" t="str">
        <f t="shared" si="2601"/>
        <v>COM</v>
      </c>
      <c r="F5541" t="str">
        <f t="shared" si="2597"/>
        <v>FARMÁCIA INDIANA LJ 1 (10126)</v>
      </c>
      <c r="G5541" t="str">
        <f t="shared" si="2598"/>
        <v>Serv.Prest. 08/09/2025 a 14/09/2025 - RPS: 1242 - NFSe: 3477</v>
      </c>
      <c r="H5541" t="str">
        <f t="shared" si="2603"/>
        <v>24/09/2025</v>
      </c>
      <c r="I5541" t="str">
        <f t="shared" si="2599"/>
        <v>16/09/2025</v>
      </c>
      <c r="J5541" t="str">
        <f t="shared" si="2604"/>
        <v>24/09/2025</v>
      </c>
      <c r="M5541">
        <v>303</v>
      </c>
      <c r="N5541" t="str">
        <f t="shared" si="2605"/>
        <v>RECEITAS COM ENTREGAS</v>
      </c>
      <c r="P5541">
        <v>149.54</v>
      </c>
      <c r="Q5541" t="str">
        <f>"FARMÁCIA INDIANA LJ 128 (10057)"</f>
        <v>FARMÁCIA INDIANA LJ 128 (10057)</v>
      </c>
      <c r="R5541" t="str">
        <f t="shared" si="2606"/>
        <v>RECEITAS COM ENTREGAS (303)</v>
      </c>
      <c r="S5541">
        <v>2698</v>
      </c>
      <c r="T5541">
        <v>2125</v>
      </c>
      <c r="U5541" t="s">
        <v>19</v>
      </c>
    </row>
    <row r="5542" spans="1:21">
      <c r="A5542" t="str">
        <f t="shared" si="2600"/>
        <v>24/09/2025</v>
      </c>
      <c r="B5542" t="str">
        <f t="shared" si="2595"/>
        <v>ENTRADA</v>
      </c>
      <c r="C5542" t="str">
        <f t="shared" si="2602"/>
        <v>NFSE</v>
      </c>
      <c r="D5542" t="str">
        <f t="shared" si="2596"/>
        <v>3477</v>
      </c>
      <c r="E5542" t="str">
        <f t="shared" si="2601"/>
        <v>COM</v>
      </c>
      <c r="F5542" t="str">
        <f t="shared" si="2597"/>
        <v>FARMÁCIA INDIANA LJ 1 (10126)</v>
      </c>
      <c r="G5542" t="str">
        <f t="shared" si="2598"/>
        <v>Serv.Prest. 08/09/2025 a 14/09/2025 - RPS: 1242 - NFSe: 3477</v>
      </c>
      <c r="H5542" t="str">
        <f t="shared" si="2603"/>
        <v>24/09/2025</v>
      </c>
      <c r="I5542" t="str">
        <f t="shared" si="2599"/>
        <v>16/09/2025</v>
      </c>
      <c r="J5542" t="str">
        <f t="shared" si="2604"/>
        <v>24/09/2025</v>
      </c>
      <c r="M5542">
        <v>303</v>
      </c>
      <c r="N5542" t="str">
        <f t="shared" si="2605"/>
        <v>RECEITAS COM ENTREGAS</v>
      </c>
      <c r="P5542">
        <v>46.91</v>
      </c>
      <c r="Q5542" t="str">
        <f>"FARMÁCIA INDIANA LJ 140 (10064)"</f>
        <v>FARMÁCIA INDIANA LJ 140 (10064)</v>
      </c>
      <c r="R5542" t="str">
        <f t="shared" si="2606"/>
        <v>RECEITAS COM ENTREGAS (303)</v>
      </c>
      <c r="S5542">
        <v>2698</v>
      </c>
      <c r="T5542">
        <v>2125</v>
      </c>
      <c r="U5542" t="s">
        <v>19</v>
      </c>
    </row>
    <row r="5543" spans="1:21">
      <c r="A5543" t="str">
        <f t="shared" si="2600"/>
        <v>24/09/2025</v>
      </c>
      <c r="B5543" t="str">
        <f t="shared" si="2595"/>
        <v>ENTRADA</v>
      </c>
      <c r="C5543" t="str">
        <f t="shared" si="2602"/>
        <v>NFSE</v>
      </c>
      <c r="D5543" t="str">
        <f t="shared" si="2596"/>
        <v>3477</v>
      </c>
      <c r="E5543" t="str">
        <f t="shared" si="2601"/>
        <v>COM</v>
      </c>
      <c r="F5543" t="str">
        <f t="shared" si="2597"/>
        <v>FARMÁCIA INDIANA LJ 1 (10126)</v>
      </c>
      <c r="G5543" t="str">
        <f t="shared" si="2598"/>
        <v>Serv.Prest. 08/09/2025 a 14/09/2025 - RPS: 1242 - NFSe: 3477</v>
      </c>
      <c r="H5543" t="str">
        <f t="shared" si="2603"/>
        <v>24/09/2025</v>
      </c>
      <c r="I5543" t="str">
        <f t="shared" si="2599"/>
        <v>16/09/2025</v>
      </c>
      <c r="J5543" t="str">
        <f t="shared" si="2604"/>
        <v>24/09/2025</v>
      </c>
      <c r="M5543">
        <v>303</v>
      </c>
      <c r="N5543" t="str">
        <f t="shared" si="2605"/>
        <v>RECEITAS COM ENTREGAS</v>
      </c>
      <c r="P5543">
        <v>24.92</v>
      </c>
      <c r="Q5543" t="str">
        <f>"FARMÁCIA INDIANA LJ 141 (10065)"</f>
        <v>FARMÁCIA INDIANA LJ 141 (10065)</v>
      </c>
      <c r="R5543" t="str">
        <f t="shared" si="2606"/>
        <v>RECEITAS COM ENTREGAS (303)</v>
      </c>
      <c r="S5543">
        <v>2698</v>
      </c>
      <c r="T5543">
        <v>2125</v>
      </c>
      <c r="U5543" t="s">
        <v>19</v>
      </c>
    </row>
    <row r="5544" spans="1:21">
      <c r="A5544" t="str">
        <f t="shared" si="2600"/>
        <v>24/09/2025</v>
      </c>
      <c r="B5544" t="str">
        <f t="shared" si="2595"/>
        <v>ENTRADA</v>
      </c>
      <c r="C5544" t="str">
        <f t="shared" si="2602"/>
        <v>NFSE</v>
      </c>
      <c r="D5544" t="str">
        <f t="shared" si="2596"/>
        <v>3477</v>
      </c>
      <c r="E5544" t="str">
        <f t="shared" si="2601"/>
        <v>COM</v>
      </c>
      <c r="F5544" t="str">
        <f t="shared" si="2597"/>
        <v>FARMÁCIA INDIANA LJ 1 (10126)</v>
      </c>
      <c r="G5544" t="str">
        <f t="shared" si="2598"/>
        <v>Serv.Prest. 08/09/2025 a 14/09/2025 - RPS: 1242 - NFSe: 3477</v>
      </c>
      <c r="H5544" t="str">
        <f t="shared" si="2603"/>
        <v>24/09/2025</v>
      </c>
      <c r="I5544" t="str">
        <f t="shared" si="2599"/>
        <v>16/09/2025</v>
      </c>
      <c r="J5544" t="str">
        <f t="shared" si="2604"/>
        <v>24/09/2025</v>
      </c>
      <c r="M5544">
        <v>303</v>
      </c>
      <c r="N5544" t="str">
        <f t="shared" si="2605"/>
        <v>RECEITAS COM ENTREGAS</v>
      </c>
      <c r="P5544">
        <v>766.76</v>
      </c>
      <c r="Q5544" t="str">
        <f>"FARMÁCIA INDIANA LJ 142 (10066)"</f>
        <v>FARMÁCIA INDIANA LJ 142 (10066)</v>
      </c>
      <c r="R5544" t="str">
        <f t="shared" si="2606"/>
        <v>RECEITAS COM ENTREGAS (303)</v>
      </c>
      <c r="S5544">
        <v>2698</v>
      </c>
      <c r="T5544">
        <v>2125</v>
      </c>
      <c r="U5544" t="s">
        <v>19</v>
      </c>
    </row>
    <row r="5545" spans="1:21">
      <c r="A5545" t="str">
        <f t="shared" si="2600"/>
        <v>24/09/2025</v>
      </c>
      <c r="B5545" t="str">
        <f t="shared" si="2595"/>
        <v>ENTRADA</v>
      </c>
      <c r="C5545" t="str">
        <f t="shared" si="2602"/>
        <v>NFSE</v>
      </c>
      <c r="D5545" t="str">
        <f t="shared" si="2596"/>
        <v>3477</v>
      </c>
      <c r="E5545" t="str">
        <f t="shared" si="2601"/>
        <v>COM</v>
      </c>
      <c r="F5545" t="str">
        <f t="shared" si="2597"/>
        <v>FARMÁCIA INDIANA LJ 1 (10126)</v>
      </c>
      <c r="G5545" t="str">
        <f t="shared" si="2598"/>
        <v>Serv.Prest. 08/09/2025 a 14/09/2025 - RPS: 1242 - NFSe: 3477</v>
      </c>
      <c r="H5545" t="str">
        <f t="shared" si="2603"/>
        <v>24/09/2025</v>
      </c>
      <c r="I5545" t="str">
        <f t="shared" si="2599"/>
        <v>16/09/2025</v>
      </c>
      <c r="J5545" t="str">
        <f t="shared" si="2604"/>
        <v>24/09/2025</v>
      </c>
      <c r="M5545">
        <v>303</v>
      </c>
      <c r="N5545" t="str">
        <f t="shared" si="2605"/>
        <v>RECEITAS COM ENTREGAS</v>
      </c>
      <c r="P5545">
        <v>67.44</v>
      </c>
      <c r="Q5545" t="str">
        <f>"FARMÁCIA INDIANA LJ 143 (10067)"</f>
        <v>FARMÁCIA INDIANA LJ 143 (10067)</v>
      </c>
      <c r="R5545" t="str">
        <f t="shared" si="2606"/>
        <v>RECEITAS COM ENTREGAS (303)</v>
      </c>
      <c r="S5545">
        <v>2698</v>
      </c>
      <c r="T5545">
        <v>2125</v>
      </c>
      <c r="U5545" t="s">
        <v>19</v>
      </c>
    </row>
    <row r="5546" spans="1:21">
      <c r="A5546" t="str">
        <f t="shared" si="2600"/>
        <v>24/09/2025</v>
      </c>
      <c r="B5546" t="str">
        <f t="shared" si="2595"/>
        <v>ENTRADA</v>
      </c>
      <c r="C5546" t="str">
        <f t="shared" si="2602"/>
        <v>NFSE</v>
      </c>
      <c r="D5546" t="str">
        <f t="shared" si="2596"/>
        <v>3477</v>
      </c>
      <c r="E5546" t="str">
        <f t="shared" si="2601"/>
        <v>COM</v>
      </c>
      <c r="F5546" t="str">
        <f t="shared" si="2597"/>
        <v>FARMÁCIA INDIANA LJ 1 (10126)</v>
      </c>
      <c r="G5546" t="str">
        <f t="shared" si="2598"/>
        <v>Serv.Prest. 08/09/2025 a 14/09/2025 - RPS: 1242 - NFSe: 3477</v>
      </c>
      <c r="H5546" t="str">
        <f t="shared" si="2603"/>
        <v>24/09/2025</v>
      </c>
      <c r="I5546" t="str">
        <f t="shared" si="2599"/>
        <v>16/09/2025</v>
      </c>
      <c r="J5546" t="str">
        <f t="shared" si="2604"/>
        <v>24/09/2025</v>
      </c>
      <c r="M5546">
        <v>303</v>
      </c>
      <c r="N5546" t="str">
        <f t="shared" si="2605"/>
        <v>RECEITAS COM ENTREGAS</v>
      </c>
      <c r="P5546">
        <v>373.85</v>
      </c>
      <c r="Q5546" t="str">
        <f>"FARMÁCIA INDIANA LJ 152 (10069)"</f>
        <v>FARMÁCIA INDIANA LJ 152 (10069)</v>
      </c>
      <c r="R5546" t="str">
        <f t="shared" si="2606"/>
        <v>RECEITAS COM ENTREGAS (303)</v>
      </c>
      <c r="S5546">
        <v>2698</v>
      </c>
      <c r="T5546">
        <v>2125</v>
      </c>
      <c r="U5546" t="s">
        <v>19</v>
      </c>
    </row>
    <row r="5547" spans="1:21">
      <c r="A5547" t="str">
        <f t="shared" si="2600"/>
        <v>24/09/2025</v>
      </c>
      <c r="B5547" t="str">
        <f t="shared" si="2595"/>
        <v>ENTRADA</v>
      </c>
      <c r="C5547" t="str">
        <f t="shared" si="2602"/>
        <v>NFSE</v>
      </c>
      <c r="D5547" t="str">
        <f t="shared" si="2596"/>
        <v>3477</v>
      </c>
      <c r="E5547" t="str">
        <f t="shared" si="2601"/>
        <v>COM</v>
      </c>
      <c r="F5547" t="str">
        <f t="shared" si="2597"/>
        <v>FARMÁCIA INDIANA LJ 1 (10126)</v>
      </c>
      <c r="G5547" t="str">
        <f t="shared" si="2598"/>
        <v>Serv.Prest. 08/09/2025 a 14/09/2025 - RPS: 1242 - NFSe: 3477</v>
      </c>
      <c r="H5547" t="str">
        <f t="shared" si="2603"/>
        <v>24/09/2025</v>
      </c>
      <c r="I5547" t="str">
        <f t="shared" si="2599"/>
        <v>16/09/2025</v>
      </c>
      <c r="J5547" t="str">
        <f t="shared" si="2604"/>
        <v>24/09/2025</v>
      </c>
      <c r="M5547">
        <v>303</v>
      </c>
      <c r="N5547" t="str">
        <f t="shared" si="2605"/>
        <v>RECEITAS COM ENTREGAS</v>
      </c>
      <c r="P5547">
        <v>67.44</v>
      </c>
      <c r="Q5547" t="str">
        <f>"FARMÁCIA INDIANA LJ 154 (10070)"</f>
        <v>FARMÁCIA INDIANA LJ 154 (10070)</v>
      </c>
      <c r="R5547" t="str">
        <f t="shared" si="2606"/>
        <v>RECEITAS COM ENTREGAS (303)</v>
      </c>
      <c r="S5547">
        <v>2698</v>
      </c>
      <c r="T5547">
        <v>2125</v>
      </c>
      <c r="U5547" t="s">
        <v>19</v>
      </c>
    </row>
    <row r="5548" spans="1:21">
      <c r="A5548" t="str">
        <f t="shared" si="2600"/>
        <v>24/09/2025</v>
      </c>
      <c r="B5548" t="str">
        <f t="shared" si="2595"/>
        <v>ENTRADA</v>
      </c>
      <c r="C5548" t="str">
        <f t="shared" si="2602"/>
        <v>NFSE</v>
      </c>
      <c r="D5548" t="str">
        <f t="shared" si="2596"/>
        <v>3477</v>
      </c>
      <c r="E5548" t="str">
        <f t="shared" si="2601"/>
        <v>COM</v>
      </c>
      <c r="F5548" t="str">
        <f t="shared" si="2597"/>
        <v>FARMÁCIA INDIANA LJ 1 (10126)</v>
      </c>
      <c r="G5548" t="str">
        <f t="shared" si="2598"/>
        <v>Serv.Prest. 08/09/2025 a 14/09/2025 - RPS: 1242 - NFSe: 3477</v>
      </c>
      <c r="H5548" t="str">
        <f t="shared" si="2603"/>
        <v>24/09/2025</v>
      </c>
      <c r="I5548" t="str">
        <f t="shared" si="2599"/>
        <v>16/09/2025</v>
      </c>
      <c r="J5548" t="str">
        <f t="shared" si="2604"/>
        <v>24/09/2025</v>
      </c>
      <c r="M5548">
        <v>303</v>
      </c>
      <c r="N5548" t="str">
        <f t="shared" si="2605"/>
        <v>RECEITAS COM ENTREGAS</v>
      </c>
      <c r="P5548">
        <v>321.07</v>
      </c>
      <c r="Q5548" t="str">
        <f>"FARMÁCIA INDIANA LJ 171 (10074)"</f>
        <v>FARMÁCIA INDIANA LJ 171 (10074)</v>
      </c>
      <c r="R5548" t="str">
        <f t="shared" si="2606"/>
        <v>RECEITAS COM ENTREGAS (303)</v>
      </c>
      <c r="S5548">
        <v>2698</v>
      </c>
      <c r="T5548">
        <v>2125</v>
      </c>
      <c r="U5548" t="s">
        <v>19</v>
      </c>
    </row>
    <row r="5549" spans="1:21">
      <c r="A5549" t="str">
        <f t="shared" si="2600"/>
        <v>24/09/2025</v>
      </c>
      <c r="B5549" t="str">
        <f t="shared" si="2595"/>
        <v>ENTRADA</v>
      </c>
      <c r="C5549" t="str">
        <f t="shared" si="2602"/>
        <v>NFSE</v>
      </c>
      <c r="D5549" t="str">
        <f t="shared" si="2596"/>
        <v>3477</v>
      </c>
      <c r="E5549" t="str">
        <f t="shared" si="2601"/>
        <v>COM</v>
      </c>
      <c r="F5549" t="str">
        <f t="shared" si="2597"/>
        <v>FARMÁCIA INDIANA LJ 1 (10126)</v>
      </c>
      <c r="G5549" t="str">
        <f t="shared" si="2598"/>
        <v>Serv.Prest. 08/09/2025 a 14/09/2025 - RPS: 1242 - NFSe: 3477</v>
      </c>
      <c r="H5549" t="str">
        <f t="shared" si="2603"/>
        <v>24/09/2025</v>
      </c>
      <c r="I5549" t="str">
        <f t="shared" si="2599"/>
        <v>16/09/2025</v>
      </c>
      <c r="J5549" t="str">
        <f t="shared" si="2604"/>
        <v>24/09/2025</v>
      </c>
      <c r="M5549">
        <v>303</v>
      </c>
      <c r="N5549" t="str">
        <f t="shared" si="2605"/>
        <v>RECEITAS COM ENTREGAS</v>
      </c>
      <c r="P5549">
        <v>123.15</v>
      </c>
      <c r="Q5549" t="str">
        <f>"FARMÁCIA INDIANA LJ 175 (10076)"</f>
        <v>FARMÁCIA INDIANA LJ 175 (10076)</v>
      </c>
      <c r="R5549" t="str">
        <f t="shared" si="2606"/>
        <v>RECEITAS COM ENTREGAS (303)</v>
      </c>
      <c r="S5549">
        <v>2698</v>
      </c>
      <c r="T5549">
        <v>2125</v>
      </c>
      <c r="U5549" t="s">
        <v>19</v>
      </c>
    </row>
    <row r="5550" spans="1:21">
      <c r="A5550" t="str">
        <f t="shared" si="2600"/>
        <v>24/09/2025</v>
      </c>
      <c r="B5550" t="str">
        <f t="shared" si="2595"/>
        <v>ENTRADA</v>
      </c>
      <c r="C5550" t="str">
        <f t="shared" si="2602"/>
        <v>NFSE</v>
      </c>
      <c r="D5550" t="str">
        <f t="shared" si="2596"/>
        <v>3477</v>
      </c>
      <c r="E5550" t="str">
        <f t="shared" si="2601"/>
        <v>COM</v>
      </c>
      <c r="F5550" t="str">
        <f t="shared" ref="F5550:F5567" si="2607">"FARMÁCIA INDIANA LJ 1 (10126)"</f>
        <v>FARMÁCIA INDIANA LJ 1 (10126)</v>
      </c>
      <c r="G5550" t="str">
        <f t="shared" si="2598"/>
        <v>Serv.Prest. 08/09/2025 a 14/09/2025 - RPS: 1242 - NFSe: 3477</v>
      </c>
      <c r="H5550" t="str">
        <f t="shared" si="2603"/>
        <v>24/09/2025</v>
      </c>
      <c r="I5550" t="str">
        <f t="shared" ref="I5550:I5578" si="2608">("16/09/2025")</f>
        <v>16/09/2025</v>
      </c>
      <c r="J5550" t="str">
        <f t="shared" si="2604"/>
        <v>24/09/2025</v>
      </c>
      <c r="M5550">
        <v>303</v>
      </c>
      <c r="N5550" t="str">
        <f t="shared" si="2605"/>
        <v>RECEITAS COM ENTREGAS</v>
      </c>
      <c r="P5550">
        <v>109.96</v>
      </c>
      <c r="Q5550" t="str">
        <f>"FARMÁCIA INDIANA LJ 178 (10077)"</f>
        <v>FARMÁCIA INDIANA LJ 178 (10077)</v>
      </c>
      <c r="R5550" t="str">
        <f t="shared" si="2606"/>
        <v>RECEITAS COM ENTREGAS (303)</v>
      </c>
      <c r="S5550">
        <v>2698</v>
      </c>
      <c r="T5550">
        <v>2125</v>
      </c>
      <c r="U5550" t="s">
        <v>19</v>
      </c>
    </row>
    <row r="5551" spans="1:21">
      <c r="A5551" t="str">
        <f t="shared" si="2600"/>
        <v>24/09/2025</v>
      </c>
      <c r="B5551" t="str">
        <f t="shared" si="2595"/>
        <v>ENTRADA</v>
      </c>
      <c r="C5551" t="str">
        <f t="shared" si="2602"/>
        <v>NFSE</v>
      </c>
      <c r="D5551" t="str">
        <f t="shared" si="2596"/>
        <v>3477</v>
      </c>
      <c r="E5551" t="str">
        <f t="shared" si="2601"/>
        <v>COM</v>
      </c>
      <c r="F5551" t="str">
        <f t="shared" si="2607"/>
        <v>FARMÁCIA INDIANA LJ 1 (10126)</v>
      </c>
      <c r="G5551" t="str">
        <f t="shared" si="2598"/>
        <v>Serv.Prest. 08/09/2025 a 14/09/2025 - RPS: 1242 - NFSe: 3477</v>
      </c>
      <c r="H5551" t="str">
        <f t="shared" si="2603"/>
        <v>24/09/2025</v>
      </c>
      <c r="I5551" t="str">
        <f t="shared" si="2608"/>
        <v>16/09/2025</v>
      </c>
      <c r="J5551" t="str">
        <f t="shared" si="2604"/>
        <v>24/09/2025</v>
      </c>
      <c r="M5551">
        <v>303</v>
      </c>
      <c r="N5551" t="str">
        <f t="shared" si="2605"/>
        <v>RECEITAS COM ENTREGAS</v>
      </c>
      <c r="P5551">
        <v>80.63</v>
      </c>
      <c r="Q5551" t="str">
        <f>"FARMÁCIA INDIANA LJ 182 (10079)"</f>
        <v>FARMÁCIA INDIANA LJ 182 (10079)</v>
      </c>
      <c r="R5551" t="str">
        <f t="shared" si="2606"/>
        <v>RECEITAS COM ENTREGAS (303)</v>
      </c>
      <c r="S5551">
        <v>2698</v>
      </c>
      <c r="T5551">
        <v>2125</v>
      </c>
      <c r="U5551" t="s">
        <v>19</v>
      </c>
    </row>
    <row r="5552" spans="1:21">
      <c r="A5552" t="str">
        <f t="shared" si="2600"/>
        <v>24/09/2025</v>
      </c>
      <c r="B5552" t="str">
        <f t="shared" si="2595"/>
        <v>ENTRADA</v>
      </c>
      <c r="C5552" t="str">
        <f t="shared" si="2602"/>
        <v>NFSE</v>
      </c>
      <c r="D5552" t="str">
        <f t="shared" si="2596"/>
        <v>3477</v>
      </c>
      <c r="E5552" t="str">
        <f t="shared" si="2601"/>
        <v>COM</v>
      </c>
      <c r="F5552" t="str">
        <f t="shared" si="2607"/>
        <v>FARMÁCIA INDIANA LJ 1 (10126)</v>
      </c>
      <c r="G5552" t="str">
        <f t="shared" si="2598"/>
        <v>Serv.Prest. 08/09/2025 a 14/09/2025 - RPS: 1242 - NFSe: 3477</v>
      </c>
      <c r="H5552" t="str">
        <f t="shared" si="2603"/>
        <v>24/09/2025</v>
      </c>
      <c r="I5552" t="str">
        <f t="shared" si="2608"/>
        <v>16/09/2025</v>
      </c>
      <c r="J5552" t="str">
        <f t="shared" si="2604"/>
        <v>24/09/2025</v>
      </c>
      <c r="M5552">
        <v>303</v>
      </c>
      <c r="N5552" t="str">
        <f t="shared" si="2605"/>
        <v>RECEITAS COM ENTREGAS</v>
      </c>
      <c r="P5552">
        <v>39.58</v>
      </c>
      <c r="Q5552" t="str">
        <f>"FARMÁCIA INDIANA LJ 184 (10080)"</f>
        <v>FARMÁCIA INDIANA LJ 184 (10080)</v>
      </c>
      <c r="R5552" t="str">
        <f t="shared" si="2606"/>
        <v>RECEITAS COM ENTREGAS (303)</v>
      </c>
      <c r="S5552">
        <v>2698</v>
      </c>
      <c r="T5552">
        <v>2125</v>
      </c>
      <c r="U5552" t="s">
        <v>19</v>
      </c>
    </row>
    <row r="5553" spans="1:21">
      <c r="A5553" t="str">
        <f t="shared" si="2600"/>
        <v>24/09/2025</v>
      </c>
      <c r="B5553" t="str">
        <f t="shared" si="2595"/>
        <v>ENTRADA</v>
      </c>
      <c r="C5553" t="str">
        <f t="shared" si="2602"/>
        <v>NFSE</v>
      </c>
      <c r="D5553" t="str">
        <f t="shared" si="2596"/>
        <v>3477</v>
      </c>
      <c r="E5553" t="str">
        <f t="shared" si="2601"/>
        <v>COM</v>
      </c>
      <c r="F5553" t="str">
        <f t="shared" si="2607"/>
        <v>FARMÁCIA INDIANA LJ 1 (10126)</v>
      </c>
      <c r="G5553" t="str">
        <f t="shared" si="2598"/>
        <v>Serv.Prest. 08/09/2025 a 14/09/2025 - RPS: 1242 - NFSe: 3477</v>
      </c>
      <c r="H5553" t="str">
        <f t="shared" si="2603"/>
        <v>24/09/2025</v>
      </c>
      <c r="I5553" t="str">
        <f t="shared" si="2608"/>
        <v>16/09/2025</v>
      </c>
      <c r="J5553" t="str">
        <f t="shared" si="2604"/>
        <v>24/09/2025</v>
      </c>
      <c r="M5553">
        <v>303</v>
      </c>
      <c r="N5553" t="str">
        <f t="shared" si="2605"/>
        <v>RECEITAS COM ENTREGAS</v>
      </c>
      <c r="P5553">
        <v>80.63</v>
      </c>
      <c r="Q5553" t="str">
        <f>"FARMÁCIA INDIANA LJ 186 (10081)"</f>
        <v>FARMÁCIA INDIANA LJ 186 (10081)</v>
      </c>
      <c r="R5553" t="str">
        <f t="shared" si="2606"/>
        <v>RECEITAS COM ENTREGAS (303)</v>
      </c>
      <c r="S5553">
        <v>2698</v>
      </c>
      <c r="T5553">
        <v>2125</v>
      </c>
      <c r="U5553" t="s">
        <v>19</v>
      </c>
    </row>
    <row r="5554" spans="1:21">
      <c r="A5554" t="str">
        <f t="shared" si="2600"/>
        <v>24/09/2025</v>
      </c>
      <c r="B5554" t="str">
        <f t="shared" si="2595"/>
        <v>ENTRADA</v>
      </c>
      <c r="C5554" t="str">
        <f t="shared" si="2602"/>
        <v>NFSE</v>
      </c>
      <c r="D5554" t="str">
        <f t="shared" si="2596"/>
        <v>3477</v>
      </c>
      <c r="E5554" t="str">
        <f t="shared" si="2601"/>
        <v>COM</v>
      </c>
      <c r="F5554" t="str">
        <f t="shared" si="2607"/>
        <v>FARMÁCIA INDIANA LJ 1 (10126)</v>
      </c>
      <c r="G5554" t="str">
        <f t="shared" si="2598"/>
        <v>Serv.Prest. 08/09/2025 a 14/09/2025 - RPS: 1242 - NFSe: 3477</v>
      </c>
      <c r="H5554" t="str">
        <f t="shared" si="2603"/>
        <v>24/09/2025</v>
      </c>
      <c r="I5554" t="str">
        <f t="shared" si="2608"/>
        <v>16/09/2025</v>
      </c>
      <c r="J5554" t="str">
        <f t="shared" si="2604"/>
        <v>24/09/2025</v>
      </c>
      <c r="M5554">
        <v>303</v>
      </c>
      <c r="N5554" t="str">
        <f t="shared" si="2605"/>
        <v>RECEITAS COM ENTREGAS</v>
      </c>
      <c r="P5554">
        <v>90.9</v>
      </c>
      <c r="Q5554" t="str">
        <f>"FARMÁCIA INDIANA LJ 192 (10082)"</f>
        <v>FARMÁCIA INDIANA LJ 192 (10082)</v>
      </c>
      <c r="R5554" t="str">
        <f t="shared" si="2606"/>
        <v>RECEITAS COM ENTREGAS (303)</v>
      </c>
      <c r="S5554">
        <v>2698</v>
      </c>
      <c r="T5554">
        <v>2125</v>
      </c>
      <c r="U5554" t="s">
        <v>19</v>
      </c>
    </row>
    <row r="5555" spans="1:21">
      <c r="A5555" t="str">
        <f t="shared" si="2600"/>
        <v>24/09/2025</v>
      </c>
      <c r="B5555" t="str">
        <f t="shared" si="2595"/>
        <v>ENTRADA</v>
      </c>
      <c r="C5555" t="str">
        <f t="shared" si="2602"/>
        <v>NFSE</v>
      </c>
      <c r="D5555" t="str">
        <f t="shared" si="2596"/>
        <v>3477</v>
      </c>
      <c r="E5555" t="str">
        <f t="shared" si="2601"/>
        <v>COM</v>
      </c>
      <c r="F5555" t="str">
        <f t="shared" si="2607"/>
        <v>FARMÁCIA INDIANA LJ 1 (10126)</v>
      </c>
      <c r="G5555" t="str">
        <f t="shared" si="2598"/>
        <v>Serv.Prest. 08/09/2025 a 14/09/2025 - RPS: 1242 - NFSe: 3477</v>
      </c>
      <c r="H5555" t="str">
        <f t="shared" si="2603"/>
        <v>24/09/2025</v>
      </c>
      <c r="I5555" t="str">
        <f t="shared" si="2608"/>
        <v>16/09/2025</v>
      </c>
      <c r="J5555" t="str">
        <f t="shared" si="2604"/>
        <v>24/09/2025</v>
      </c>
      <c r="M5555">
        <v>303</v>
      </c>
      <c r="N5555" t="str">
        <f t="shared" si="2605"/>
        <v>RECEITAS COM ENTREGAS</v>
      </c>
      <c r="P5555">
        <v>39.58</v>
      </c>
      <c r="Q5555" t="str">
        <f>"FARMÁCIA INDIANA LJ 195 (10083)"</f>
        <v>FARMÁCIA INDIANA LJ 195 (10083)</v>
      </c>
      <c r="R5555" t="str">
        <f t="shared" si="2606"/>
        <v>RECEITAS COM ENTREGAS (303)</v>
      </c>
      <c r="S5555">
        <v>2698</v>
      </c>
      <c r="T5555">
        <v>2125</v>
      </c>
      <c r="U5555" t="s">
        <v>19</v>
      </c>
    </row>
    <row r="5556" spans="1:21">
      <c r="A5556" t="str">
        <f t="shared" si="2600"/>
        <v>24/09/2025</v>
      </c>
      <c r="B5556" t="str">
        <f t="shared" si="2595"/>
        <v>ENTRADA</v>
      </c>
      <c r="C5556" t="str">
        <f t="shared" si="2602"/>
        <v>NFSE</v>
      </c>
      <c r="D5556" t="str">
        <f t="shared" si="2596"/>
        <v>3477</v>
      </c>
      <c r="E5556" t="str">
        <f t="shared" si="2601"/>
        <v>COM</v>
      </c>
      <c r="F5556" t="str">
        <f t="shared" si="2607"/>
        <v>FARMÁCIA INDIANA LJ 1 (10126)</v>
      </c>
      <c r="G5556" t="str">
        <f t="shared" si="2598"/>
        <v>Serv.Prest. 08/09/2025 a 14/09/2025 - RPS: 1242 - NFSe: 3477</v>
      </c>
      <c r="H5556" t="str">
        <f t="shared" si="2603"/>
        <v>24/09/2025</v>
      </c>
      <c r="I5556" t="str">
        <f t="shared" si="2608"/>
        <v>16/09/2025</v>
      </c>
      <c r="J5556" t="str">
        <f t="shared" si="2604"/>
        <v>24/09/2025</v>
      </c>
      <c r="M5556">
        <v>303</v>
      </c>
      <c r="N5556" t="str">
        <f t="shared" si="2605"/>
        <v>RECEITAS COM ENTREGAS</v>
      </c>
      <c r="P5556">
        <v>149.54</v>
      </c>
      <c r="Q5556" t="str">
        <f>"FARMÁCIA INDIANA LJ 202 (10085)"</f>
        <v>FARMÁCIA INDIANA LJ 202 (10085)</v>
      </c>
      <c r="R5556" t="str">
        <f t="shared" si="2606"/>
        <v>RECEITAS COM ENTREGAS (303)</v>
      </c>
      <c r="S5556">
        <v>2698</v>
      </c>
      <c r="T5556">
        <v>2125</v>
      </c>
      <c r="U5556" t="s">
        <v>19</v>
      </c>
    </row>
    <row r="5557" spans="1:21">
      <c r="A5557" t="str">
        <f t="shared" si="2600"/>
        <v>24/09/2025</v>
      </c>
      <c r="B5557" t="str">
        <f t="shared" si="2595"/>
        <v>ENTRADA</v>
      </c>
      <c r="C5557" t="str">
        <f t="shared" si="2602"/>
        <v>NFSE</v>
      </c>
      <c r="D5557" t="str">
        <f t="shared" si="2596"/>
        <v>3477</v>
      </c>
      <c r="E5557" t="str">
        <f t="shared" si="2601"/>
        <v>COM</v>
      </c>
      <c r="F5557" t="str">
        <f t="shared" si="2607"/>
        <v>FARMÁCIA INDIANA LJ 1 (10126)</v>
      </c>
      <c r="G5557" t="str">
        <f t="shared" si="2598"/>
        <v>Serv.Prest. 08/09/2025 a 14/09/2025 - RPS: 1242 - NFSe: 3477</v>
      </c>
      <c r="H5557" t="str">
        <f t="shared" si="2603"/>
        <v>24/09/2025</v>
      </c>
      <c r="I5557" t="str">
        <f t="shared" si="2608"/>
        <v>16/09/2025</v>
      </c>
      <c r="J5557" t="str">
        <f t="shared" si="2604"/>
        <v>24/09/2025</v>
      </c>
      <c r="M5557">
        <v>303</v>
      </c>
      <c r="N5557" t="str">
        <f t="shared" si="2605"/>
        <v>RECEITAS COM ENTREGAS</v>
      </c>
      <c r="P5557">
        <v>80.63</v>
      </c>
      <c r="Q5557" t="str">
        <f>"FARMÁCIA INDIANA LJ 204 (10087)"</f>
        <v>FARMÁCIA INDIANA LJ 204 (10087)</v>
      </c>
      <c r="R5557" t="str">
        <f t="shared" si="2606"/>
        <v>RECEITAS COM ENTREGAS (303)</v>
      </c>
      <c r="S5557">
        <v>2698</v>
      </c>
      <c r="T5557">
        <v>2125</v>
      </c>
      <c r="U5557" t="s">
        <v>19</v>
      </c>
    </row>
    <row r="5558" spans="1:21">
      <c r="A5558" t="str">
        <f t="shared" si="2600"/>
        <v>24/09/2025</v>
      </c>
      <c r="B5558" t="str">
        <f t="shared" si="2595"/>
        <v>ENTRADA</v>
      </c>
      <c r="C5558" t="str">
        <f t="shared" si="2602"/>
        <v>NFSE</v>
      </c>
      <c r="D5558" t="str">
        <f t="shared" si="2596"/>
        <v>3477</v>
      </c>
      <c r="E5558" t="str">
        <f t="shared" si="2601"/>
        <v>COM</v>
      </c>
      <c r="F5558" t="str">
        <f t="shared" si="2607"/>
        <v>FARMÁCIA INDIANA LJ 1 (10126)</v>
      </c>
      <c r="G5558" t="str">
        <f t="shared" si="2598"/>
        <v>Serv.Prest. 08/09/2025 a 14/09/2025 - RPS: 1242 - NFSe: 3477</v>
      </c>
      <c r="H5558" t="str">
        <f t="shared" si="2603"/>
        <v>24/09/2025</v>
      </c>
      <c r="I5558" t="str">
        <f t="shared" si="2608"/>
        <v>16/09/2025</v>
      </c>
      <c r="J5558" t="str">
        <f t="shared" si="2604"/>
        <v>24/09/2025</v>
      </c>
      <c r="M5558">
        <v>303</v>
      </c>
      <c r="N5558" t="str">
        <f t="shared" si="2605"/>
        <v>RECEITAS COM ENTREGAS</v>
      </c>
      <c r="P5558">
        <v>107.02</v>
      </c>
      <c r="Q5558" t="str">
        <f>"FARMÁCIA INDIANA LJ 207 (10088)"</f>
        <v>FARMÁCIA INDIANA LJ 207 (10088)</v>
      </c>
      <c r="R5558" t="str">
        <f t="shared" si="2606"/>
        <v>RECEITAS COM ENTREGAS (303)</v>
      </c>
      <c r="S5558">
        <v>2698</v>
      </c>
      <c r="T5558">
        <v>2125</v>
      </c>
      <c r="U5558" t="s">
        <v>19</v>
      </c>
    </row>
    <row r="5559" spans="1:21">
      <c r="A5559" t="str">
        <f t="shared" si="2600"/>
        <v>24/09/2025</v>
      </c>
      <c r="B5559" t="str">
        <f t="shared" si="2595"/>
        <v>ENTRADA</v>
      </c>
      <c r="C5559" t="str">
        <f t="shared" si="2602"/>
        <v>NFSE</v>
      </c>
      <c r="D5559" t="str">
        <f t="shared" si="2596"/>
        <v>3477</v>
      </c>
      <c r="E5559" t="str">
        <f t="shared" si="2601"/>
        <v>COM</v>
      </c>
      <c r="F5559" t="str">
        <f t="shared" si="2607"/>
        <v>FARMÁCIA INDIANA LJ 1 (10126)</v>
      </c>
      <c r="G5559" t="str">
        <f t="shared" si="2598"/>
        <v>Serv.Prest. 08/09/2025 a 14/09/2025 - RPS: 1242 - NFSe: 3477</v>
      </c>
      <c r="H5559" t="str">
        <f t="shared" si="2603"/>
        <v>24/09/2025</v>
      </c>
      <c r="I5559" t="str">
        <f t="shared" si="2608"/>
        <v>16/09/2025</v>
      </c>
      <c r="J5559" t="str">
        <f t="shared" si="2604"/>
        <v>24/09/2025</v>
      </c>
      <c r="M5559">
        <v>303</v>
      </c>
      <c r="N5559" t="str">
        <f t="shared" si="2605"/>
        <v>RECEITAS COM ENTREGAS</v>
      </c>
      <c r="P5559">
        <v>126.08</v>
      </c>
      <c r="Q5559" t="str">
        <f>"FARMÁCIA INDIANA LJ 209 (10089)"</f>
        <v>FARMÁCIA INDIANA LJ 209 (10089)</v>
      </c>
      <c r="R5559" t="str">
        <f t="shared" si="2606"/>
        <v>RECEITAS COM ENTREGAS (303)</v>
      </c>
      <c r="S5559">
        <v>2698</v>
      </c>
      <c r="T5559">
        <v>2125</v>
      </c>
      <c r="U5559" t="s">
        <v>19</v>
      </c>
    </row>
    <row r="5560" spans="1:21">
      <c r="A5560" t="str">
        <f t="shared" si="2600"/>
        <v>24/09/2025</v>
      </c>
      <c r="B5560" t="str">
        <f t="shared" si="2595"/>
        <v>ENTRADA</v>
      </c>
      <c r="C5560" t="str">
        <f t="shared" si="2602"/>
        <v>NFSE</v>
      </c>
      <c r="D5560" t="str">
        <f t="shared" si="2596"/>
        <v>3477</v>
      </c>
      <c r="E5560" t="str">
        <f t="shared" si="2601"/>
        <v>COM</v>
      </c>
      <c r="F5560" t="str">
        <f t="shared" si="2607"/>
        <v>FARMÁCIA INDIANA LJ 1 (10126)</v>
      </c>
      <c r="G5560" t="str">
        <f t="shared" si="2598"/>
        <v>Serv.Prest. 08/09/2025 a 14/09/2025 - RPS: 1242 - NFSe: 3477</v>
      </c>
      <c r="H5560" t="str">
        <f t="shared" si="2603"/>
        <v>24/09/2025</v>
      </c>
      <c r="I5560" t="str">
        <f t="shared" si="2608"/>
        <v>16/09/2025</v>
      </c>
      <c r="J5560" t="str">
        <f t="shared" si="2604"/>
        <v>24/09/2025</v>
      </c>
      <c r="M5560">
        <v>303</v>
      </c>
      <c r="N5560" t="str">
        <f t="shared" si="2605"/>
        <v>RECEITAS COM ENTREGAS</v>
      </c>
      <c r="P5560">
        <v>168.6</v>
      </c>
      <c r="Q5560" t="str">
        <f>"FARMÁCIA INDIANA LJ 219 (10091)"</f>
        <v>FARMÁCIA INDIANA LJ 219 (10091)</v>
      </c>
      <c r="R5560" t="str">
        <f t="shared" si="2606"/>
        <v>RECEITAS COM ENTREGAS (303)</v>
      </c>
      <c r="S5560">
        <v>2698</v>
      </c>
      <c r="T5560">
        <v>2125</v>
      </c>
      <c r="U5560" t="s">
        <v>19</v>
      </c>
    </row>
    <row r="5561" spans="1:21">
      <c r="A5561" t="str">
        <f t="shared" si="2600"/>
        <v>24/09/2025</v>
      </c>
      <c r="B5561" t="str">
        <f t="shared" si="2595"/>
        <v>ENTRADA</v>
      </c>
      <c r="C5561" t="str">
        <f t="shared" si="2602"/>
        <v>NFSE</v>
      </c>
      <c r="D5561" t="str">
        <f t="shared" si="2596"/>
        <v>3477</v>
      </c>
      <c r="E5561" t="str">
        <f t="shared" si="2601"/>
        <v>COM</v>
      </c>
      <c r="F5561" t="str">
        <f t="shared" si="2607"/>
        <v>FARMÁCIA INDIANA LJ 1 (10126)</v>
      </c>
      <c r="G5561" t="str">
        <f t="shared" si="2598"/>
        <v>Serv.Prest. 08/09/2025 a 14/09/2025 - RPS: 1242 - NFSe: 3477</v>
      </c>
      <c r="H5561" t="str">
        <f t="shared" si="2603"/>
        <v>24/09/2025</v>
      </c>
      <c r="I5561" t="str">
        <f t="shared" si="2608"/>
        <v>16/09/2025</v>
      </c>
      <c r="J5561" t="str">
        <f t="shared" si="2604"/>
        <v>24/09/2025</v>
      </c>
      <c r="M5561">
        <v>303</v>
      </c>
      <c r="N5561" t="str">
        <f t="shared" si="2605"/>
        <v>RECEITAS COM ENTREGAS</v>
      </c>
      <c r="P5561">
        <v>231.64</v>
      </c>
      <c r="Q5561" t="str">
        <f>"FARMÁCIA INDIANA LJ 220 (10092)"</f>
        <v>FARMÁCIA INDIANA LJ 220 (10092)</v>
      </c>
      <c r="R5561" t="str">
        <f t="shared" si="2606"/>
        <v>RECEITAS COM ENTREGAS (303)</v>
      </c>
      <c r="S5561">
        <v>2698</v>
      </c>
      <c r="T5561">
        <v>2125</v>
      </c>
      <c r="U5561" t="s">
        <v>19</v>
      </c>
    </row>
    <row r="5562" spans="1:21">
      <c r="A5562" t="str">
        <f t="shared" si="2600"/>
        <v>24/09/2025</v>
      </c>
      <c r="B5562" t="str">
        <f t="shared" si="2595"/>
        <v>ENTRADA</v>
      </c>
      <c r="C5562" t="str">
        <f t="shared" si="2602"/>
        <v>NFSE</v>
      </c>
      <c r="D5562" t="str">
        <f t="shared" si="2596"/>
        <v>3477</v>
      </c>
      <c r="E5562" t="str">
        <f t="shared" si="2601"/>
        <v>COM</v>
      </c>
      <c r="F5562" t="str">
        <f t="shared" si="2607"/>
        <v>FARMÁCIA INDIANA LJ 1 (10126)</v>
      </c>
      <c r="G5562" t="str">
        <f t="shared" si="2598"/>
        <v>Serv.Prest. 08/09/2025 a 14/09/2025 - RPS: 1242 - NFSe: 3477</v>
      </c>
      <c r="H5562" t="str">
        <f t="shared" si="2603"/>
        <v>24/09/2025</v>
      </c>
      <c r="I5562" t="str">
        <f t="shared" si="2608"/>
        <v>16/09/2025</v>
      </c>
      <c r="J5562" t="str">
        <f t="shared" si="2604"/>
        <v>24/09/2025</v>
      </c>
      <c r="M5562">
        <v>303</v>
      </c>
      <c r="N5562" t="str">
        <f t="shared" si="2605"/>
        <v>RECEITAS COM ENTREGAS</v>
      </c>
      <c r="P5562">
        <v>171.53</v>
      </c>
      <c r="Q5562" t="str">
        <f>"FARMÁCIA INDIANA LJ 185 (10141)"</f>
        <v>FARMÁCIA INDIANA LJ 185 (10141)</v>
      </c>
      <c r="R5562" t="str">
        <f t="shared" si="2606"/>
        <v>RECEITAS COM ENTREGAS (303)</v>
      </c>
      <c r="S5562">
        <v>2698</v>
      </c>
      <c r="T5562">
        <v>2125</v>
      </c>
      <c r="U5562" t="s">
        <v>19</v>
      </c>
    </row>
    <row r="5563" spans="1:21">
      <c r="A5563" t="str">
        <f t="shared" si="2600"/>
        <v>24/09/2025</v>
      </c>
      <c r="B5563" t="str">
        <f t="shared" si="2595"/>
        <v>ENTRADA</v>
      </c>
      <c r="C5563" t="str">
        <f t="shared" si="2602"/>
        <v>NFSE</v>
      </c>
      <c r="D5563" t="str">
        <f t="shared" si="2596"/>
        <v>3477</v>
      </c>
      <c r="E5563" t="str">
        <f t="shared" si="2601"/>
        <v>COM</v>
      </c>
      <c r="F5563" t="str">
        <f t="shared" si="2607"/>
        <v>FARMÁCIA INDIANA LJ 1 (10126)</v>
      </c>
      <c r="G5563" t="str">
        <f t="shared" si="2598"/>
        <v>Serv.Prest. 08/09/2025 a 14/09/2025 - RPS: 1242 - NFSe: 3477</v>
      </c>
      <c r="H5563" t="str">
        <f t="shared" si="2603"/>
        <v>24/09/2025</v>
      </c>
      <c r="I5563" t="str">
        <f t="shared" si="2608"/>
        <v>16/09/2025</v>
      </c>
      <c r="J5563" t="str">
        <f t="shared" si="2604"/>
        <v>24/09/2025</v>
      </c>
      <c r="M5563">
        <v>303</v>
      </c>
      <c r="N5563" t="str">
        <f t="shared" si="2605"/>
        <v>RECEITAS COM ENTREGAS</v>
      </c>
      <c r="P5563">
        <v>107.02</v>
      </c>
      <c r="Q5563" t="str">
        <f>"FARMÁCIA INDIANA LJ 205 (10150)"</f>
        <v>FARMÁCIA INDIANA LJ 205 (10150)</v>
      </c>
      <c r="R5563" t="str">
        <f t="shared" si="2606"/>
        <v>RECEITAS COM ENTREGAS (303)</v>
      </c>
      <c r="S5563">
        <v>2698</v>
      </c>
      <c r="T5563">
        <v>2125</v>
      </c>
      <c r="U5563" t="s">
        <v>19</v>
      </c>
    </row>
    <row r="5564" spans="1:21">
      <c r="A5564" t="str">
        <f t="shared" si="2600"/>
        <v>24/09/2025</v>
      </c>
      <c r="B5564" t="str">
        <f t="shared" si="2595"/>
        <v>ENTRADA</v>
      </c>
      <c r="C5564" t="str">
        <f t="shared" si="2602"/>
        <v>NFSE</v>
      </c>
      <c r="D5564" t="str">
        <f t="shared" si="2596"/>
        <v>3477</v>
      </c>
      <c r="E5564" t="str">
        <f t="shared" si="2601"/>
        <v>COM</v>
      </c>
      <c r="F5564" t="str">
        <f t="shared" si="2607"/>
        <v>FARMÁCIA INDIANA LJ 1 (10126)</v>
      </c>
      <c r="G5564" t="str">
        <f t="shared" si="2598"/>
        <v>Serv.Prest. 08/09/2025 a 14/09/2025 - RPS: 1242 - NFSe: 3477</v>
      </c>
      <c r="H5564" t="str">
        <f t="shared" si="2603"/>
        <v>24/09/2025</v>
      </c>
      <c r="I5564" t="str">
        <f t="shared" si="2608"/>
        <v>16/09/2025</v>
      </c>
      <c r="J5564" t="str">
        <f t="shared" si="2604"/>
        <v>24/09/2025</v>
      </c>
      <c r="M5564">
        <v>303</v>
      </c>
      <c r="N5564" t="str">
        <f t="shared" si="2605"/>
        <v>RECEITAS COM ENTREGAS</v>
      </c>
      <c r="P5564">
        <v>636.28</v>
      </c>
      <c r="Q5564" t="str">
        <f>"FARMÁCIA INDIANA LJ 172 (10161)"</f>
        <v>FARMÁCIA INDIANA LJ 172 (10161)</v>
      </c>
      <c r="R5564" t="str">
        <f t="shared" si="2606"/>
        <v>RECEITAS COM ENTREGAS (303)</v>
      </c>
      <c r="S5564">
        <v>2698</v>
      </c>
      <c r="T5564">
        <v>2125</v>
      </c>
      <c r="U5564" t="s">
        <v>19</v>
      </c>
    </row>
    <row r="5565" spans="1:21">
      <c r="A5565" t="str">
        <f t="shared" si="2600"/>
        <v>24/09/2025</v>
      </c>
      <c r="B5565" t="str">
        <f t="shared" si="2595"/>
        <v>ENTRADA</v>
      </c>
      <c r="C5565" t="str">
        <f t="shared" si="2602"/>
        <v>NFSE</v>
      </c>
      <c r="D5565" t="str">
        <f t="shared" si="2596"/>
        <v>3477</v>
      </c>
      <c r="E5565" t="str">
        <f t="shared" si="2601"/>
        <v>COM</v>
      </c>
      <c r="F5565" t="str">
        <f t="shared" si="2607"/>
        <v>FARMÁCIA INDIANA LJ 1 (10126)</v>
      </c>
      <c r="G5565" t="str">
        <f t="shared" si="2598"/>
        <v>Serv.Prest. 08/09/2025 a 14/09/2025 - RPS: 1242 - NFSe: 3477</v>
      </c>
      <c r="H5565" t="str">
        <f t="shared" si="2603"/>
        <v>24/09/2025</v>
      </c>
      <c r="I5565" t="str">
        <f t="shared" si="2608"/>
        <v>16/09/2025</v>
      </c>
      <c r="J5565" t="str">
        <f t="shared" si="2604"/>
        <v>24/09/2025</v>
      </c>
      <c r="M5565">
        <v>303</v>
      </c>
      <c r="N5565" t="str">
        <f t="shared" si="2605"/>
        <v>RECEITAS COM ENTREGAS</v>
      </c>
      <c r="P5565">
        <v>77.7</v>
      </c>
      <c r="Q5565" t="str">
        <f>"FARMÁCIA INDIANA LJ 266 (10186)"</f>
        <v>FARMÁCIA INDIANA LJ 266 (10186)</v>
      </c>
      <c r="R5565" t="str">
        <f t="shared" si="2606"/>
        <v>RECEITAS COM ENTREGAS (303)</v>
      </c>
      <c r="S5565">
        <v>2698</v>
      </c>
      <c r="T5565">
        <v>2125</v>
      </c>
      <c r="U5565" t="s">
        <v>19</v>
      </c>
    </row>
    <row r="5566" spans="1:21">
      <c r="A5566" t="str">
        <f t="shared" si="2600"/>
        <v>24/09/2025</v>
      </c>
      <c r="B5566" t="str">
        <f t="shared" si="2595"/>
        <v>ENTRADA</v>
      </c>
      <c r="C5566" t="str">
        <f t="shared" si="2602"/>
        <v>NFSE</v>
      </c>
      <c r="D5566" t="str">
        <f>"3483"</f>
        <v>3483</v>
      </c>
      <c r="E5566" t="str">
        <f t="shared" si="2601"/>
        <v>COM</v>
      </c>
      <c r="F5566" t="str">
        <f t="shared" si="2607"/>
        <v>FARMÁCIA INDIANA LJ 1 (10126)</v>
      </c>
      <c r="G5566" t="str">
        <f>"Serv.Prest. 08/09/2025 a 14/09/2025 - RPS: 1248 - NFSe: 3483"</f>
        <v>Serv.Prest. 08/09/2025 a 14/09/2025 - RPS: 1248 - NFSe: 3483</v>
      </c>
      <c r="H5566" t="str">
        <f t="shared" si="2603"/>
        <v>24/09/2025</v>
      </c>
      <c r="I5566" t="str">
        <f t="shared" si="2608"/>
        <v>16/09/2025</v>
      </c>
      <c r="J5566" t="str">
        <f t="shared" si="2604"/>
        <v>24/09/2025</v>
      </c>
      <c r="K5566">
        <v>60.9</v>
      </c>
      <c r="L5566">
        <v>60.9</v>
      </c>
      <c r="M5566">
        <v>303</v>
      </c>
      <c r="N5566" t="str">
        <f t="shared" si="2605"/>
        <v>RECEITAS COM ENTREGAS</v>
      </c>
      <c r="O5566">
        <v>60.9</v>
      </c>
      <c r="R5566" t="str">
        <f t="shared" si="2606"/>
        <v>RECEITAS COM ENTREGAS (303)</v>
      </c>
      <c r="S5566">
        <v>2699</v>
      </c>
      <c r="T5566">
        <v>2131</v>
      </c>
      <c r="U5566" t="s">
        <v>19</v>
      </c>
    </row>
    <row r="5567" spans="1:21">
      <c r="A5567" t="str">
        <f t="shared" ref="A5567:A5598" si="2609">("24/09/2025")</f>
        <v>24/09/2025</v>
      </c>
      <c r="B5567" t="str">
        <f t="shared" si="2595"/>
        <v>ENTRADA</v>
      </c>
      <c r="C5567" t="str">
        <f t="shared" si="2602"/>
        <v>NFSE</v>
      </c>
      <c r="D5567" t="str">
        <f>"3483"</f>
        <v>3483</v>
      </c>
      <c r="E5567" t="str">
        <f t="shared" ref="E5567:E5598" si="2610">"COM"</f>
        <v>COM</v>
      </c>
      <c r="F5567" t="str">
        <f t="shared" si="2607"/>
        <v>FARMÁCIA INDIANA LJ 1 (10126)</v>
      </c>
      <c r="G5567" t="str">
        <f>"Serv.Prest. 08/09/2025 a 14/09/2025 - RPS: 1248 - NFSe: 3483"</f>
        <v>Serv.Prest. 08/09/2025 a 14/09/2025 - RPS: 1248 - NFSe: 3483</v>
      </c>
      <c r="H5567" t="str">
        <f t="shared" si="2603"/>
        <v>24/09/2025</v>
      </c>
      <c r="I5567" t="str">
        <f t="shared" si="2608"/>
        <v>16/09/2025</v>
      </c>
      <c r="J5567" t="str">
        <f t="shared" si="2604"/>
        <v>24/09/2025</v>
      </c>
      <c r="M5567">
        <v>303</v>
      </c>
      <c r="N5567" t="str">
        <f t="shared" si="2605"/>
        <v>RECEITAS COM ENTREGAS</v>
      </c>
      <c r="P5567">
        <v>60.9</v>
      </c>
      <c r="Q5567" t="str">
        <f>"FARMÁCIA INDIANA LJ 18 (10011)"</f>
        <v>FARMÁCIA INDIANA LJ 18 (10011)</v>
      </c>
      <c r="R5567" t="str">
        <f t="shared" si="2606"/>
        <v>RECEITAS COM ENTREGAS (303)</v>
      </c>
      <c r="S5567">
        <v>2699</v>
      </c>
      <c r="T5567">
        <v>2131</v>
      </c>
      <c r="U5567" t="s">
        <v>19</v>
      </c>
    </row>
    <row r="5568" spans="1:21">
      <c r="A5568" t="str">
        <f t="shared" si="2609"/>
        <v>24/09/2025</v>
      </c>
      <c r="B5568" t="str">
        <f t="shared" si="2595"/>
        <v>ENTRADA</v>
      </c>
      <c r="C5568" t="str">
        <f t="shared" si="2602"/>
        <v>NFSE</v>
      </c>
      <c r="D5568" t="str">
        <f t="shared" ref="D5568:D5578" si="2611">"3485"</f>
        <v>3485</v>
      </c>
      <c r="E5568" t="str">
        <f t="shared" si="2610"/>
        <v>COM</v>
      </c>
      <c r="F5568" t="str">
        <f t="shared" ref="F5568:F5578" si="2612">"FARMÁCIA INDIANA LJ 85 (10128)"</f>
        <v>FARMÁCIA INDIANA LJ 85 (10128)</v>
      </c>
      <c r="G5568" t="str">
        <f t="shared" ref="G5568:G5578" si="2613">"Serv.Prest. 08/09/2025 a 14/09/2025 - RPS: 1250 - NFSe: 3485"</f>
        <v>Serv.Prest. 08/09/2025 a 14/09/2025 - RPS: 1250 - NFSe: 3485</v>
      </c>
      <c r="H5568" t="str">
        <f t="shared" si="2603"/>
        <v>24/09/2025</v>
      </c>
      <c r="I5568" t="str">
        <f t="shared" si="2608"/>
        <v>16/09/2025</v>
      </c>
      <c r="J5568" t="str">
        <f t="shared" si="2604"/>
        <v>24/09/2025</v>
      </c>
      <c r="K5568">
        <v>1512.1</v>
      </c>
      <c r="L5568">
        <v>1512.1</v>
      </c>
      <c r="M5568">
        <v>303</v>
      </c>
      <c r="N5568" t="str">
        <f t="shared" si="2605"/>
        <v>RECEITAS COM ENTREGAS</v>
      </c>
      <c r="O5568">
        <v>1512.1</v>
      </c>
      <c r="R5568" t="str">
        <f t="shared" si="2606"/>
        <v>RECEITAS COM ENTREGAS (303)</v>
      </c>
      <c r="S5568">
        <v>2700</v>
      </c>
      <c r="T5568">
        <v>2133</v>
      </c>
      <c r="U5568" t="s">
        <v>19</v>
      </c>
    </row>
    <row r="5569" spans="1:21">
      <c r="A5569" t="str">
        <f t="shared" si="2609"/>
        <v>24/09/2025</v>
      </c>
      <c r="B5569" t="str">
        <f t="shared" si="2595"/>
        <v>ENTRADA</v>
      </c>
      <c r="C5569" t="str">
        <f t="shared" ref="C5569:C5598" si="2614">"NFSE"</f>
        <v>NFSE</v>
      </c>
      <c r="D5569" t="str">
        <f t="shared" si="2611"/>
        <v>3485</v>
      </c>
      <c r="E5569" t="str">
        <f t="shared" si="2610"/>
        <v>COM</v>
      </c>
      <c r="F5569" t="str">
        <f t="shared" si="2612"/>
        <v>FARMÁCIA INDIANA LJ 85 (10128)</v>
      </c>
      <c r="G5569" t="str">
        <f t="shared" si="2613"/>
        <v>Serv.Prest. 08/09/2025 a 14/09/2025 - RPS: 1250 - NFSe: 3485</v>
      </c>
      <c r="H5569" t="str">
        <f t="shared" ref="H5569:H5600" si="2615">("24/09/2025")</f>
        <v>24/09/2025</v>
      </c>
      <c r="I5569" t="str">
        <f t="shared" si="2608"/>
        <v>16/09/2025</v>
      </c>
      <c r="J5569" t="str">
        <f t="shared" ref="J5569:J5600" si="2616">("24/09/2025")</f>
        <v>24/09/2025</v>
      </c>
      <c r="M5569">
        <v>303</v>
      </c>
      <c r="N5569" t="str">
        <f t="shared" ref="N5569:N5598" si="2617">"RECEITAS COM ENTREGAS"</f>
        <v>RECEITAS COM ENTREGAS</v>
      </c>
      <c r="P5569">
        <v>161.94999999999999</v>
      </c>
      <c r="Q5569" t="str">
        <f>"FARMÁCIA INDIANA LJ 119 (10053)"</f>
        <v>FARMÁCIA INDIANA LJ 119 (10053)</v>
      </c>
      <c r="R5569" t="str">
        <f t="shared" ref="R5569:R5598" si="2618">"RECEITAS COM ENTREGAS (303)"</f>
        <v>RECEITAS COM ENTREGAS (303)</v>
      </c>
      <c r="S5569">
        <v>2700</v>
      </c>
      <c r="T5569">
        <v>2133</v>
      </c>
      <c r="U5569" t="s">
        <v>19</v>
      </c>
    </row>
    <row r="5570" spans="1:21">
      <c r="A5570" t="str">
        <f t="shared" si="2609"/>
        <v>24/09/2025</v>
      </c>
      <c r="B5570" t="str">
        <f t="shared" ref="B5570:B5598" si="2619">"ENTRADA"</f>
        <v>ENTRADA</v>
      </c>
      <c r="C5570" t="str">
        <f t="shared" si="2614"/>
        <v>NFSE</v>
      </c>
      <c r="D5570" t="str">
        <f t="shared" si="2611"/>
        <v>3485</v>
      </c>
      <c r="E5570" t="str">
        <f t="shared" si="2610"/>
        <v>COM</v>
      </c>
      <c r="F5570" t="str">
        <f t="shared" si="2612"/>
        <v>FARMÁCIA INDIANA LJ 85 (10128)</v>
      </c>
      <c r="G5570" t="str">
        <f t="shared" si="2613"/>
        <v>Serv.Prest. 08/09/2025 a 14/09/2025 - RPS: 1250 - NFSe: 3485</v>
      </c>
      <c r="H5570" t="str">
        <f t="shared" si="2615"/>
        <v>24/09/2025</v>
      </c>
      <c r="I5570" t="str">
        <f t="shared" si="2608"/>
        <v>16/09/2025</v>
      </c>
      <c r="J5570" t="str">
        <f t="shared" si="2616"/>
        <v>24/09/2025</v>
      </c>
      <c r="M5570">
        <v>303</v>
      </c>
      <c r="N5570" t="str">
        <f t="shared" si="2617"/>
        <v>RECEITAS COM ENTREGAS</v>
      </c>
      <c r="P5570">
        <v>336.74</v>
      </c>
      <c r="Q5570" t="str">
        <f>"FARMÁCIA INDIANA LJ 163 (10072)"</f>
        <v>FARMÁCIA INDIANA LJ 163 (10072)</v>
      </c>
      <c r="R5570" t="str">
        <f t="shared" si="2618"/>
        <v>RECEITAS COM ENTREGAS (303)</v>
      </c>
      <c r="S5570">
        <v>2700</v>
      </c>
      <c r="T5570">
        <v>2133</v>
      </c>
      <c r="U5570" t="s">
        <v>19</v>
      </c>
    </row>
    <row r="5571" spans="1:21">
      <c r="A5571" t="str">
        <f t="shared" si="2609"/>
        <v>24/09/2025</v>
      </c>
      <c r="B5571" t="str">
        <f t="shared" si="2619"/>
        <v>ENTRADA</v>
      </c>
      <c r="C5571" t="str">
        <f t="shared" si="2614"/>
        <v>NFSE</v>
      </c>
      <c r="D5571" t="str">
        <f t="shared" si="2611"/>
        <v>3485</v>
      </c>
      <c r="E5571" t="str">
        <f t="shared" si="2610"/>
        <v>COM</v>
      </c>
      <c r="F5571" t="str">
        <f t="shared" si="2612"/>
        <v>FARMÁCIA INDIANA LJ 85 (10128)</v>
      </c>
      <c r="G5571" t="str">
        <f t="shared" si="2613"/>
        <v>Serv.Prest. 08/09/2025 a 14/09/2025 - RPS: 1250 - NFSe: 3485</v>
      </c>
      <c r="H5571" t="str">
        <f t="shared" si="2615"/>
        <v>24/09/2025</v>
      </c>
      <c r="I5571" t="str">
        <f t="shared" si="2608"/>
        <v>16/09/2025</v>
      </c>
      <c r="J5571" t="str">
        <f t="shared" si="2616"/>
        <v>24/09/2025</v>
      </c>
      <c r="M5571">
        <v>303</v>
      </c>
      <c r="N5571" t="str">
        <f t="shared" si="2617"/>
        <v>RECEITAS COM ENTREGAS</v>
      </c>
      <c r="P5571">
        <v>156.65</v>
      </c>
      <c r="Q5571" t="str">
        <f>"FARMÁCIA INDIANA LJ 181 (10078)"</f>
        <v>FARMÁCIA INDIANA LJ 181 (10078)</v>
      </c>
      <c r="R5571" t="str">
        <f t="shared" si="2618"/>
        <v>RECEITAS COM ENTREGAS (303)</v>
      </c>
      <c r="S5571">
        <v>2700</v>
      </c>
      <c r="T5571">
        <v>2133</v>
      </c>
      <c r="U5571" t="s">
        <v>19</v>
      </c>
    </row>
    <row r="5572" spans="1:21">
      <c r="A5572" t="str">
        <f t="shared" si="2609"/>
        <v>24/09/2025</v>
      </c>
      <c r="B5572" t="str">
        <f t="shared" si="2619"/>
        <v>ENTRADA</v>
      </c>
      <c r="C5572" t="str">
        <f t="shared" si="2614"/>
        <v>NFSE</v>
      </c>
      <c r="D5572" t="str">
        <f t="shared" si="2611"/>
        <v>3485</v>
      </c>
      <c r="E5572" t="str">
        <f t="shared" si="2610"/>
        <v>COM</v>
      </c>
      <c r="F5572" t="str">
        <f t="shared" si="2612"/>
        <v>FARMÁCIA INDIANA LJ 85 (10128)</v>
      </c>
      <c r="G5572" t="str">
        <f t="shared" si="2613"/>
        <v>Serv.Prest. 08/09/2025 a 14/09/2025 - RPS: 1250 - NFSe: 3485</v>
      </c>
      <c r="H5572" t="str">
        <f t="shared" si="2615"/>
        <v>24/09/2025</v>
      </c>
      <c r="I5572" t="str">
        <f t="shared" si="2608"/>
        <v>16/09/2025</v>
      </c>
      <c r="J5572" t="str">
        <f t="shared" si="2616"/>
        <v>24/09/2025</v>
      </c>
      <c r="M5572">
        <v>303</v>
      </c>
      <c r="N5572" t="str">
        <f t="shared" si="2617"/>
        <v>RECEITAS COM ENTREGAS</v>
      </c>
      <c r="P5572">
        <v>161.63999999999999</v>
      </c>
      <c r="Q5572" t="str">
        <f>"FARMÁCIA INDIANA LJ 221 (10093)"</f>
        <v>FARMÁCIA INDIANA LJ 221 (10093)</v>
      </c>
      <c r="R5572" t="str">
        <f t="shared" si="2618"/>
        <v>RECEITAS COM ENTREGAS (303)</v>
      </c>
      <c r="S5572">
        <v>2700</v>
      </c>
      <c r="T5572">
        <v>2133</v>
      </c>
      <c r="U5572" t="s">
        <v>19</v>
      </c>
    </row>
    <row r="5573" spans="1:21">
      <c r="A5573" t="str">
        <f t="shared" si="2609"/>
        <v>24/09/2025</v>
      </c>
      <c r="B5573" t="str">
        <f t="shared" si="2619"/>
        <v>ENTRADA</v>
      </c>
      <c r="C5573" t="str">
        <f t="shared" si="2614"/>
        <v>NFSE</v>
      </c>
      <c r="D5573" t="str">
        <f t="shared" si="2611"/>
        <v>3485</v>
      </c>
      <c r="E5573" t="str">
        <f t="shared" si="2610"/>
        <v>COM</v>
      </c>
      <c r="F5573" t="str">
        <f t="shared" si="2612"/>
        <v>FARMÁCIA INDIANA LJ 85 (10128)</v>
      </c>
      <c r="G5573" t="str">
        <f t="shared" si="2613"/>
        <v>Serv.Prest. 08/09/2025 a 14/09/2025 - RPS: 1250 - NFSe: 3485</v>
      </c>
      <c r="H5573" t="str">
        <f t="shared" si="2615"/>
        <v>24/09/2025</v>
      </c>
      <c r="I5573" t="str">
        <f t="shared" si="2608"/>
        <v>16/09/2025</v>
      </c>
      <c r="J5573" t="str">
        <f t="shared" si="2616"/>
        <v>24/09/2025</v>
      </c>
      <c r="M5573">
        <v>303</v>
      </c>
      <c r="N5573" t="str">
        <f t="shared" si="2617"/>
        <v>RECEITAS COM ENTREGAS</v>
      </c>
      <c r="P5573">
        <v>188.41</v>
      </c>
      <c r="Q5573" t="str">
        <f>"FARMÁCIA INDIANA LJ 243 (10142)"</f>
        <v>FARMÁCIA INDIANA LJ 243 (10142)</v>
      </c>
      <c r="R5573" t="str">
        <f t="shared" si="2618"/>
        <v>RECEITAS COM ENTREGAS (303)</v>
      </c>
      <c r="S5573">
        <v>2700</v>
      </c>
      <c r="T5573">
        <v>2133</v>
      </c>
      <c r="U5573" t="s">
        <v>19</v>
      </c>
    </row>
    <row r="5574" spans="1:21">
      <c r="A5574" t="str">
        <f t="shared" si="2609"/>
        <v>24/09/2025</v>
      </c>
      <c r="B5574" t="str">
        <f t="shared" si="2619"/>
        <v>ENTRADA</v>
      </c>
      <c r="C5574" t="str">
        <f t="shared" si="2614"/>
        <v>NFSE</v>
      </c>
      <c r="D5574" t="str">
        <f t="shared" si="2611"/>
        <v>3485</v>
      </c>
      <c r="E5574" t="str">
        <f t="shared" si="2610"/>
        <v>COM</v>
      </c>
      <c r="F5574" t="str">
        <f t="shared" si="2612"/>
        <v>FARMÁCIA INDIANA LJ 85 (10128)</v>
      </c>
      <c r="G5574" t="str">
        <f t="shared" si="2613"/>
        <v>Serv.Prest. 08/09/2025 a 14/09/2025 - RPS: 1250 - NFSe: 3485</v>
      </c>
      <c r="H5574" t="str">
        <f t="shared" si="2615"/>
        <v>24/09/2025</v>
      </c>
      <c r="I5574" t="str">
        <f t="shared" si="2608"/>
        <v>16/09/2025</v>
      </c>
      <c r="J5574" t="str">
        <f t="shared" si="2616"/>
        <v>24/09/2025</v>
      </c>
      <c r="M5574">
        <v>303</v>
      </c>
      <c r="N5574" t="str">
        <f t="shared" si="2617"/>
        <v>RECEITAS COM ENTREGAS</v>
      </c>
      <c r="P5574">
        <v>86.19</v>
      </c>
      <c r="Q5574" t="str">
        <f>"FARMÁCIA INDIANA LJ 211 (10168)"</f>
        <v>FARMÁCIA INDIANA LJ 211 (10168)</v>
      </c>
      <c r="R5574" t="str">
        <f t="shared" si="2618"/>
        <v>RECEITAS COM ENTREGAS (303)</v>
      </c>
      <c r="S5574">
        <v>2700</v>
      </c>
      <c r="T5574">
        <v>2133</v>
      </c>
      <c r="U5574" t="s">
        <v>19</v>
      </c>
    </row>
    <row r="5575" spans="1:21">
      <c r="A5575" t="str">
        <f t="shared" si="2609"/>
        <v>24/09/2025</v>
      </c>
      <c r="B5575" t="str">
        <f t="shared" si="2619"/>
        <v>ENTRADA</v>
      </c>
      <c r="C5575" t="str">
        <f t="shared" si="2614"/>
        <v>NFSE</v>
      </c>
      <c r="D5575" t="str">
        <f t="shared" si="2611"/>
        <v>3485</v>
      </c>
      <c r="E5575" t="str">
        <f t="shared" si="2610"/>
        <v>COM</v>
      </c>
      <c r="F5575" t="str">
        <f t="shared" si="2612"/>
        <v>FARMÁCIA INDIANA LJ 85 (10128)</v>
      </c>
      <c r="G5575" t="str">
        <f t="shared" si="2613"/>
        <v>Serv.Prest. 08/09/2025 a 14/09/2025 - RPS: 1250 - NFSe: 3485</v>
      </c>
      <c r="H5575" t="str">
        <f t="shared" si="2615"/>
        <v>24/09/2025</v>
      </c>
      <c r="I5575" t="str">
        <f t="shared" si="2608"/>
        <v>16/09/2025</v>
      </c>
      <c r="J5575" t="str">
        <f t="shared" si="2616"/>
        <v>24/09/2025</v>
      </c>
      <c r="M5575">
        <v>303</v>
      </c>
      <c r="N5575" t="str">
        <f t="shared" si="2617"/>
        <v>RECEITAS COM ENTREGAS</v>
      </c>
      <c r="P5575">
        <v>86.19</v>
      </c>
      <c r="Q5575" t="str">
        <f>"FARMÁCIA INDIANA LJ 236 (10169)"</f>
        <v>FARMÁCIA INDIANA LJ 236 (10169)</v>
      </c>
      <c r="R5575" t="str">
        <f t="shared" si="2618"/>
        <v>RECEITAS COM ENTREGAS (303)</v>
      </c>
      <c r="S5575">
        <v>2700</v>
      </c>
      <c r="T5575">
        <v>2133</v>
      </c>
      <c r="U5575" t="s">
        <v>19</v>
      </c>
    </row>
    <row r="5576" spans="1:21">
      <c r="A5576" t="str">
        <f t="shared" si="2609"/>
        <v>24/09/2025</v>
      </c>
      <c r="B5576" t="str">
        <f t="shared" si="2619"/>
        <v>ENTRADA</v>
      </c>
      <c r="C5576" t="str">
        <f t="shared" si="2614"/>
        <v>NFSE</v>
      </c>
      <c r="D5576" t="str">
        <f t="shared" si="2611"/>
        <v>3485</v>
      </c>
      <c r="E5576" t="str">
        <f t="shared" si="2610"/>
        <v>COM</v>
      </c>
      <c r="F5576" t="str">
        <f t="shared" si="2612"/>
        <v>FARMÁCIA INDIANA LJ 85 (10128)</v>
      </c>
      <c r="G5576" t="str">
        <f t="shared" si="2613"/>
        <v>Serv.Prest. 08/09/2025 a 14/09/2025 - RPS: 1250 - NFSe: 3485</v>
      </c>
      <c r="H5576" t="str">
        <f t="shared" si="2615"/>
        <v>24/09/2025</v>
      </c>
      <c r="I5576" t="str">
        <f t="shared" si="2608"/>
        <v>16/09/2025</v>
      </c>
      <c r="J5576" t="str">
        <f t="shared" si="2616"/>
        <v>24/09/2025</v>
      </c>
      <c r="M5576">
        <v>303</v>
      </c>
      <c r="N5576" t="str">
        <f t="shared" si="2617"/>
        <v>RECEITAS COM ENTREGAS</v>
      </c>
      <c r="P5576">
        <v>172.23</v>
      </c>
      <c r="Q5576" t="str">
        <f>"FARMÁCIA INDIANA LJ 188 (10176)"</f>
        <v>FARMÁCIA INDIANA LJ 188 (10176)</v>
      </c>
      <c r="R5576" t="str">
        <f t="shared" si="2618"/>
        <v>RECEITAS COM ENTREGAS (303)</v>
      </c>
      <c r="S5576">
        <v>2700</v>
      </c>
      <c r="T5576">
        <v>2133</v>
      </c>
      <c r="U5576" t="s">
        <v>19</v>
      </c>
    </row>
    <row r="5577" spans="1:21">
      <c r="A5577" t="str">
        <f t="shared" si="2609"/>
        <v>24/09/2025</v>
      </c>
      <c r="B5577" t="str">
        <f t="shared" si="2619"/>
        <v>ENTRADA</v>
      </c>
      <c r="C5577" t="str">
        <f t="shared" si="2614"/>
        <v>NFSE</v>
      </c>
      <c r="D5577" t="str">
        <f t="shared" si="2611"/>
        <v>3485</v>
      </c>
      <c r="E5577" t="str">
        <f t="shared" si="2610"/>
        <v>COM</v>
      </c>
      <c r="F5577" t="str">
        <f t="shared" si="2612"/>
        <v>FARMÁCIA INDIANA LJ 85 (10128)</v>
      </c>
      <c r="G5577" t="str">
        <f t="shared" si="2613"/>
        <v>Serv.Prest. 08/09/2025 a 14/09/2025 - RPS: 1250 - NFSe: 3485</v>
      </c>
      <c r="H5577" t="str">
        <f t="shared" si="2615"/>
        <v>24/09/2025</v>
      </c>
      <c r="I5577" t="str">
        <f t="shared" si="2608"/>
        <v>16/09/2025</v>
      </c>
      <c r="J5577" t="str">
        <f t="shared" si="2616"/>
        <v>24/09/2025</v>
      </c>
      <c r="M5577">
        <v>303</v>
      </c>
      <c r="N5577" t="str">
        <f t="shared" si="2617"/>
        <v>RECEITAS COM ENTREGAS</v>
      </c>
      <c r="P5577">
        <v>135.03</v>
      </c>
      <c r="Q5577" t="str">
        <f>"FARMÁCIA INDIANA LJ 273 (10188)"</f>
        <v>FARMÁCIA INDIANA LJ 273 (10188)</v>
      </c>
      <c r="R5577" t="str">
        <f t="shared" si="2618"/>
        <v>RECEITAS COM ENTREGAS (303)</v>
      </c>
      <c r="S5577">
        <v>2700</v>
      </c>
      <c r="T5577">
        <v>2133</v>
      </c>
      <c r="U5577" t="s">
        <v>19</v>
      </c>
    </row>
    <row r="5578" spans="1:21">
      <c r="A5578" t="str">
        <f t="shared" si="2609"/>
        <v>24/09/2025</v>
      </c>
      <c r="B5578" t="str">
        <f t="shared" si="2619"/>
        <v>ENTRADA</v>
      </c>
      <c r="C5578" t="str">
        <f t="shared" si="2614"/>
        <v>NFSE</v>
      </c>
      <c r="D5578" t="str">
        <f t="shared" si="2611"/>
        <v>3485</v>
      </c>
      <c r="E5578" t="str">
        <f t="shared" si="2610"/>
        <v>COM</v>
      </c>
      <c r="F5578" t="str">
        <f t="shared" si="2612"/>
        <v>FARMÁCIA INDIANA LJ 85 (10128)</v>
      </c>
      <c r="G5578" t="str">
        <f t="shared" si="2613"/>
        <v>Serv.Prest. 08/09/2025 a 14/09/2025 - RPS: 1250 - NFSe: 3485</v>
      </c>
      <c r="H5578" t="str">
        <f t="shared" si="2615"/>
        <v>24/09/2025</v>
      </c>
      <c r="I5578" t="str">
        <f t="shared" si="2608"/>
        <v>16/09/2025</v>
      </c>
      <c r="J5578" t="str">
        <f t="shared" si="2616"/>
        <v>24/09/2025</v>
      </c>
      <c r="M5578">
        <v>303</v>
      </c>
      <c r="N5578" t="str">
        <f t="shared" si="2617"/>
        <v>RECEITAS COM ENTREGAS</v>
      </c>
      <c r="P5578">
        <v>27.07</v>
      </c>
      <c r="Q5578" t="str">
        <f>"FARMÁCIA INDIANA LJ 235 (10190)"</f>
        <v>FARMÁCIA INDIANA LJ 235 (10190)</v>
      </c>
      <c r="R5578" t="str">
        <f t="shared" si="2618"/>
        <v>RECEITAS COM ENTREGAS (303)</v>
      </c>
      <c r="S5578">
        <v>2700</v>
      </c>
      <c r="T5578">
        <v>2133</v>
      </c>
      <c r="U5578" t="s">
        <v>19</v>
      </c>
    </row>
    <row r="5579" spans="1:21">
      <c r="A5579" t="str">
        <f t="shared" si="2609"/>
        <v>24/09/2025</v>
      </c>
      <c r="B5579" t="str">
        <f t="shared" si="2619"/>
        <v>ENTRADA</v>
      </c>
      <c r="C5579" t="str">
        <f t="shared" si="2614"/>
        <v>NFSE</v>
      </c>
      <c r="D5579" t="str">
        <f>"3489"</f>
        <v>3489</v>
      </c>
      <c r="E5579" t="str">
        <f t="shared" si="2610"/>
        <v>COM</v>
      </c>
      <c r="F5579" t="str">
        <f>"DROGARIA AGAPEAMA (10167)"</f>
        <v>DROGARIA AGAPEAMA (10167)</v>
      </c>
      <c r="G5579" t="str">
        <f>"Serv.Prest. 15/09/2025 a 21/09/2025 - RPS: 1254 - NFSe: 3489"</f>
        <v>Serv.Prest. 15/09/2025 a 21/09/2025 - RPS: 1254 - NFSe: 3489</v>
      </c>
      <c r="H5579" t="str">
        <f t="shared" si="2615"/>
        <v>24/09/2025</v>
      </c>
      <c r="I5579" t="str">
        <f>("22/09/2025")</f>
        <v>22/09/2025</v>
      </c>
      <c r="J5579" t="str">
        <f t="shared" si="2616"/>
        <v>24/09/2025</v>
      </c>
      <c r="K5579">
        <v>418.4</v>
      </c>
      <c r="L5579">
        <v>418.4</v>
      </c>
      <c r="M5579">
        <v>303</v>
      </c>
      <c r="N5579" t="str">
        <f t="shared" si="2617"/>
        <v>RECEITAS COM ENTREGAS</v>
      </c>
      <c r="O5579">
        <v>418.4</v>
      </c>
      <c r="R5579" t="str">
        <f t="shared" si="2618"/>
        <v>RECEITAS COM ENTREGAS (303)</v>
      </c>
      <c r="S5579">
        <v>2701</v>
      </c>
      <c r="T5579">
        <v>2137</v>
      </c>
      <c r="U5579" t="s">
        <v>19</v>
      </c>
    </row>
    <row r="5580" spans="1:21">
      <c r="A5580" t="str">
        <f t="shared" si="2609"/>
        <v>24/09/2025</v>
      </c>
      <c r="B5580" t="str">
        <f t="shared" si="2619"/>
        <v>ENTRADA</v>
      </c>
      <c r="C5580" t="str">
        <f t="shared" si="2614"/>
        <v>NFSE</v>
      </c>
      <c r="D5580" t="str">
        <f>"3489"</f>
        <v>3489</v>
      </c>
      <c r="E5580" t="str">
        <f t="shared" si="2610"/>
        <v>COM</v>
      </c>
      <c r="F5580" t="str">
        <f>"DROGARIA AGAPEAMA (10167)"</f>
        <v>DROGARIA AGAPEAMA (10167)</v>
      </c>
      <c r="G5580" t="str">
        <f>"Serv.Prest. 15/09/2025 a 21/09/2025 - RPS: 1254 - NFSe: 3489"</f>
        <v>Serv.Prest. 15/09/2025 a 21/09/2025 - RPS: 1254 - NFSe: 3489</v>
      </c>
      <c r="H5580" t="str">
        <f t="shared" si="2615"/>
        <v>24/09/2025</v>
      </c>
      <c r="I5580" t="str">
        <f>("22/09/2025")</f>
        <v>22/09/2025</v>
      </c>
      <c r="J5580" t="str">
        <f t="shared" si="2616"/>
        <v>24/09/2025</v>
      </c>
      <c r="M5580">
        <v>303</v>
      </c>
      <c r="N5580" t="str">
        <f t="shared" si="2617"/>
        <v>RECEITAS COM ENTREGAS</v>
      </c>
      <c r="P5580">
        <v>418.4</v>
      </c>
      <c r="Q5580" t="str">
        <f>"DROGARIA AGAPEAMA (10167)"</f>
        <v>DROGARIA AGAPEAMA (10167)</v>
      </c>
      <c r="R5580" t="str">
        <f t="shared" si="2618"/>
        <v>RECEITAS COM ENTREGAS (303)</v>
      </c>
      <c r="S5580">
        <v>2701</v>
      </c>
      <c r="T5580">
        <v>2137</v>
      </c>
      <c r="U5580" t="s">
        <v>19</v>
      </c>
    </row>
    <row r="5581" spans="1:21">
      <c r="A5581" t="str">
        <f t="shared" si="2609"/>
        <v>24/09/2025</v>
      </c>
      <c r="B5581" t="str">
        <f t="shared" si="2619"/>
        <v>ENTRADA</v>
      </c>
      <c r="C5581" t="str">
        <f t="shared" si="2614"/>
        <v>NFSE</v>
      </c>
      <c r="D5581" t="str">
        <f>"3490"</f>
        <v>3490</v>
      </c>
      <c r="E5581" t="str">
        <f t="shared" si="2610"/>
        <v>COM</v>
      </c>
      <c r="F5581" t="str">
        <f>"DROGARIA ANA VISCONDE DO RIO BRANCO (10182)"</f>
        <v>DROGARIA ANA VISCONDE DO RIO BRANCO (10182)</v>
      </c>
      <c r="G5581" t="str">
        <f>"Serv.Prest. 15/09/2025 a 21/09/2025 - RPS: 1255 - NFSe: 3490"</f>
        <v>Serv.Prest. 15/09/2025 a 21/09/2025 - RPS: 1255 - NFSe: 3490</v>
      </c>
      <c r="H5581" t="str">
        <f t="shared" si="2615"/>
        <v>24/09/2025</v>
      </c>
      <c r="I5581" t="str">
        <f>("22/09/2025")</f>
        <v>22/09/2025</v>
      </c>
      <c r="J5581" t="str">
        <f t="shared" si="2616"/>
        <v>24/09/2025</v>
      </c>
      <c r="K5581">
        <v>845.28</v>
      </c>
      <c r="L5581">
        <v>845.28</v>
      </c>
      <c r="M5581">
        <v>303</v>
      </c>
      <c r="N5581" t="str">
        <f t="shared" si="2617"/>
        <v>RECEITAS COM ENTREGAS</v>
      </c>
      <c r="O5581">
        <v>845.28</v>
      </c>
      <c r="R5581" t="str">
        <f t="shared" si="2618"/>
        <v>RECEITAS COM ENTREGAS (303)</v>
      </c>
      <c r="S5581">
        <v>2702</v>
      </c>
      <c r="T5581">
        <v>2138</v>
      </c>
      <c r="U5581" t="s">
        <v>19</v>
      </c>
    </row>
    <row r="5582" spans="1:21">
      <c r="A5582" t="str">
        <f t="shared" si="2609"/>
        <v>24/09/2025</v>
      </c>
      <c r="B5582" t="str">
        <f t="shared" si="2619"/>
        <v>ENTRADA</v>
      </c>
      <c r="C5582" t="str">
        <f t="shared" si="2614"/>
        <v>NFSE</v>
      </c>
      <c r="D5582" t="str">
        <f>"3490"</f>
        <v>3490</v>
      </c>
      <c r="E5582" t="str">
        <f t="shared" si="2610"/>
        <v>COM</v>
      </c>
      <c r="F5582" t="str">
        <f>"DROGARIA ANA VISCONDE DO RIO BRANCO (10182)"</f>
        <v>DROGARIA ANA VISCONDE DO RIO BRANCO (10182)</v>
      </c>
      <c r="G5582" t="str">
        <f>"Serv.Prest. 15/09/2025 a 21/09/2025 - RPS: 1255 - NFSe: 3490"</f>
        <v>Serv.Prest. 15/09/2025 a 21/09/2025 - RPS: 1255 - NFSe: 3490</v>
      </c>
      <c r="H5582" t="str">
        <f t="shared" si="2615"/>
        <v>24/09/2025</v>
      </c>
      <c r="I5582" t="str">
        <f>("22/09/2025")</f>
        <v>22/09/2025</v>
      </c>
      <c r="J5582" t="str">
        <f t="shared" si="2616"/>
        <v>24/09/2025</v>
      </c>
      <c r="M5582">
        <v>303</v>
      </c>
      <c r="N5582" t="str">
        <f t="shared" si="2617"/>
        <v>RECEITAS COM ENTREGAS</v>
      </c>
      <c r="P5582">
        <v>845.28</v>
      </c>
      <c r="Q5582" t="str">
        <f>"DROGARIA ANA VISCONDE DO RIO BRANCO (10182)"</f>
        <v>DROGARIA ANA VISCONDE DO RIO BRANCO (10182)</v>
      </c>
      <c r="R5582" t="str">
        <f t="shared" si="2618"/>
        <v>RECEITAS COM ENTREGAS (303)</v>
      </c>
      <c r="S5582">
        <v>2702</v>
      </c>
      <c r="T5582">
        <v>2138</v>
      </c>
      <c r="U5582" t="s">
        <v>19</v>
      </c>
    </row>
    <row r="5583" spans="1:21">
      <c r="A5583" t="str">
        <f t="shared" si="2609"/>
        <v>24/09/2025</v>
      </c>
      <c r="B5583" t="str">
        <f t="shared" si="2619"/>
        <v>ENTRADA</v>
      </c>
      <c r="C5583" t="str">
        <f t="shared" si="2614"/>
        <v>NFSE</v>
      </c>
      <c r="D5583" t="str">
        <f>"3515"</f>
        <v>3515</v>
      </c>
      <c r="E5583" t="str">
        <f t="shared" si="2610"/>
        <v>COM</v>
      </c>
      <c r="F5583" t="str">
        <f>"FRAN FARMA (10124)"</f>
        <v>FRAN FARMA (10124)</v>
      </c>
      <c r="G5583" t="str">
        <f>"Serv.Prest. 15/09/2025 a 21/09/2025 - RPS: 1280 - NFSe: 3515"</f>
        <v>Serv.Prest. 15/09/2025 a 21/09/2025 - RPS: 1280 - NFSe: 3515</v>
      </c>
      <c r="H5583" t="str">
        <f t="shared" si="2615"/>
        <v>24/09/2025</v>
      </c>
      <c r="I5583" t="str">
        <f>("24/09/2025")</f>
        <v>24/09/2025</v>
      </c>
      <c r="J5583" t="str">
        <f t="shared" si="2616"/>
        <v>24/09/2025</v>
      </c>
      <c r="K5583">
        <v>182.4</v>
      </c>
      <c r="L5583">
        <v>182.4</v>
      </c>
      <c r="M5583">
        <v>303</v>
      </c>
      <c r="N5583" t="str">
        <f t="shared" si="2617"/>
        <v>RECEITAS COM ENTREGAS</v>
      </c>
      <c r="O5583">
        <v>182.4</v>
      </c>
      <c r="R5583" t="str">
        <f t="shared" si="2618"/>
        <v>RECEITAS COM ENTREGAS (303)</v>
      </c>
      <c r="S5583">
        <v>2703</v>
      </c>
      <c r="T5583">
        <v>2164</v>
      </c>
      <c r="U5583" t="s">
        <v>19</v>
      </c>
    </row>
    <row r="5584" spans="1:21">
      <c r="A5584" t="str">
        <f t="shared" si="2609"/>
        <v>24/09/2025</v>
      </c>
      <c r="B5584" t="str">
        <f t="shared" si="2619"/>
        <v>ENTRADA</v>
      </c>
      <c r="C5584" t="str">
        <f t="shared" si="2614"/>
        <v>NFSE</v>
      </c>
      <c r="D5584" t="str">
        <f>"3515"</f>
        <v>3515</v>
      </c>
      <c r="E5584" t="str">
        <f t="shared" si="2610"/>
        <v>COM</v>
      </c>
      <c r="F5584" t="str">
        <f>"FRAN FARMA (10124)"</f>
        <v>FRAN FARMA (10124)</v>
      </c>
      <c r="G5584" t="str">
        <f>"Serv.Prest. 15/09/2025 a 21/09/2025 - RPS: 1280 - NFSe: 3515"</f>
        <v>Serv.Prest. 15/09/2025 a 21/09/2025 - RPS: 1280 - NFSe: 3515</v>
      </c>
      <c r="H5584" t="str">
        <f t="shared" si="2615"/>
        <v>24/09/2025</v>
      </c>
      <c r="I5584" t="str">
        <f>("24/09/2025")</f>
        <v>24/09/2025</v>
      </c>
      <c r="J5584" t="str">
        <f t="shared" si="2616"/>
        <v>24/09/2025</v>
      </c>
      <c r="M5584">
        <v>303</v>
      </c>
      <c r="N5584" t="str">
        <f t="shared" si="2617"/>
        <v>RECEITAS COM ENTREGAS</v>
      </c>
      <c r="P5584">
        <v>22.4</v>
      </c>
      <c r="Q5584" t="str">
        <f>"FRAN FARMA (10124)"</f>
        <v>FRAN FARMA (10124)</v>
      </c>
      <c r="R5584" t="str">
        <f t="shared" si="2618"/>
        <v>RECEITAS COM ENTREGAS (303)</v>
      </c>
      <c r="S5584">
        <v>2703</v>
      </c>
      <c r="T5584">
        <v>2164</v>
      </c>
      <c r="U5584" t="s">
        <v>19</v>
      </c>
    </row>
    <row r="5585" spans="1:21">
      <c r="A5585" t="str">
        <f t="shared" si="2609"/>
        <v>24/09/2025</v>
      </c>
      <c r="B5585" t="str">
        <f t="shared" si="2619"/>
        <v>ENTRADA</v>
      </c>
      <c r="C5585" t="str">
        <f t="shared" si="2614"/>
        <v>NFSE</v>
      </c>
      <c r="D5585" t="str">
        <f>"3515"</f>
        <v>3515</v>
      </c>
      <c r="E5585" t="str">
        <f t="shared" si="2610"/>
        <v>COM</v>
      </c>
      <c r="F5585" t="str">
        <f>"FRAN FARMA (10124)"</f>
        <v>FRAN FARMA (10124)</v>
      </c>
      <c r="G5585" t="str">
        <f>"Serv.Prest. 15/09/2025 a 21/09/2025 - RPS: 1280 - NFSe: 3515"</f>
        <v>Serv.Prest. 15/09/2025 a 21/09/2025 - RPS: 1280 - NFSe: 3515</v>
      </c>
      <c r="H5585" t="str">
        <f t="shared" si="2615"/>
        <v>24/09/2025</v>
      </c>
      <c r="I5585" t="str">
        <f>("24/09/2025")</f>
        <v>24/09/2025</v>
      </c>
      <c r="J5585" t="str">
        <f t="shared" si="2616"/>
        <v>24/09/2025</v>
      </c>
      <c r="M5585">
        <v>303</v>
      </c>
      <c r="N5585" t="str">
        <f t="shared" si="2617"/>
        <v>RECEITAS COM ENTREGAS</v>
      </c>
      <c r="P5585">
        <v>96</v>
      </c>
      <c r="Q5585" t="str">
        <f>"FRAN FARMA LJ 2 (10131)"</f>
        <v>FRAN FARMA LJ 2 (10131)</v>
      </c>
      <c r="R5585" t="str">
        <f t="shared" si="2618"/>
        <v>RECEITAS COM ENTREGAS (303)</v>
      </c>
      <c r="S5585">
        <v>2703</v>
      </c>
      <c r="T5585">
        <v>2164</v>
      </c>
      <c r="U5585" t="s">
        <v>19</v>
      </c>
    </row>
    <row r="5586" spans="1:21">
      <c r="A5586" t="str">
        <f t="shared" si="2609"/>
        <v>24/09/2025</v>
      </c>
      <c r="B5586" t="str">
        <f t="shared" si="2619"/>
        <v>ENTRADA</v>
      </c>
      <c r="C5586" t="str">
        <f t="shared" si="2614"/>
        <v>NFSE</v>
      </c>
      <c r="D5586" t="str">
        <f>"3515"</f>
        <v>3515</v>
      </c>
      <c r="E5586" t="str">
        <f t="shared" si="2610"/>
        <v>COM</v>
      </c>
      <c r="F5586" t="str">
        <f>"FRAN FARMA (10124)"</f>
        <v>FRAN FARMA (10124)</v>
      </c>
      <c r="G5586" t="str">
        <f>"Serv.Prest. 15/09/2025 a 21/09/2025 - RPS: 1280 - NFSe: 3515"</f>
        <v>Serv.Prest. 15/09/2025 a 21/09/2025 - RPS: 1280 - NFSe: 3515</v>
      </c>
      <c r="H5586" t="str">
        <f t="shared" si="2615"/>
        <v>24/09/2025</v>
      </c>
      <c r="I5586" t="str">
        <f>("24/09/2025")</f>
        <v>24/09/2025</v>
      </c>
      <c r="J5586" t="str">
        <f t="shared" si="2616"/>
        <v>24/09/2025</v>
      </c>
      <c r="M5586">
        <v>303</v>
      </c>
      <c r="N5586" t="str">
        <f t="shared" si="2617"/>
        <v>RECEITAS COM ENTREGAS</v>
      </c>
      <c r="P5586">
        <v>64</v>
      </c>
      <c r="Q5586" t="str">
        <f>"FRAN FARMA LJ 3 (10132)"</f>
        <v>FRAN FARMA LJ 3 (10132)</v>
      </c>
      <c r="R5586" t="str">
        <f t="shared" si="2618"/>
        <v>RECEITAS COM ENTREGAS (303)</v>
      </c>
      <c r="S5586">
        <v>2703</v>
      </c>
      <c r="T5586">
        <v>2164</v>
      </c>
      <c r="U5586" t="s">
        <v>19</v>
      </c>
    </row>
    <row r="5587" spans="1:21">
      <c r="A5587" t="str">
        <f t="shared" si="2609"/>
        <v>24/09/2025</v>
      </c>
      <c r="B5587" t="str">
        <f t="shared" si="2619"/>
        <v>ENTRADA</v>
      </c>
      <c r="C5587" t="str">
        <f t="shared" si="2614"/>
        <v>NFSE</v>
      </c>
      <c r="D5587" t="str">
        <f>"3499"</f>
        <v>3499</v>
      </c>
      <c r="E5587" t="str">
        <f t="shared" si="2610"/>
        <v>COM</v>
      </c>
      <c r="F5587" t="str">
        <f>"PENSE FARMA 46 (10194)"</f>
        <v>PENSE FARMA 46 (10194)</v>
      </c>
      <c r="G5587" t="str">
        <f>"Serv.Prest. 15/09/2025 a 21/09/2025 - RPS: 1264 - NFSe: 3499"</f>
        <v>Serv.Prest. 15/09/2025 a 21/09/2025 - RPS: 1264 - NFSe: 3499</v>
      </c>
      <c r="H5587" t="str">
        <f t="shared" si="2615"/>
        <v>24/09/2025</v>
      </c>
      <c r="I5587" t="str">
        <f t="shared" ref="I5587:I5596" si="2620">("22/09/2025")</f>
        <v>22/09/2025</v>
      </c>
      <c r="J5587" t="str">
        <f t="shared" si="2616"/>
        <v>24/09/2025</v>
      </c>
      <c r="K5587">
        <v>300</v>
      </c>
      <c r="L5587">
        <v>300</v>
      </c>
      <c r="M5587">
        <v>303</v>
      </c>
      <c r="N5587" t="str">
        <f t="shared" si="2617"/>
        <v>RECEITAS COM ENTREGAS</v>
      </c>
      <c r="O5587">
        <v>300</v>
      </c>
      <c r="R5587" t="str">
        <f t="shared" si="2618"/>
        <v>RECEITAS COM ENTREGAS (303)</v>
      </c>
      <c r="S5587">
        <v>2704</v>
      </c>
      <c r="T5587">
        <v>2148</v>
      </c>
      <c r="U5587" t="s">
        <v>19</v>
      </c>
    </row>
    <row r="5588" spans="1:21">
      <c r="A5588" t="str">
        <f t="shared" si="2609"/>
        <v>24/09/2025</v>
      </c>
      <c r="B5588" t="str">
        <f t="shared" si="2619"/>
        <v>ENTRADA</v>
      </c>
      <c r="C5588" t="str">
        <f t="shared" si="2614"/>
        <v>NFSE</v>
      </c>
      <c r="D5588" t="str">
        <f>"3499"</f>
        <v>3499</v>
      </c>
      <c r="E5588" t="str">
        <f t="shared" si="2610"/>
        <v>COM</v>
      </c>
      <c r="F5588" t="str">
        <f>"PENSE FARMA 46 (10194)"</f>
        <v>PENSE FARMA 46 (10194)</v>
      </c>
      <c r="G5588" t="str">
        <f>"Serv.Prest. 15/09/2025 a 21/09/2025 - RPS: 1264 - NFSe: 3499"</f>
        <v>Serv.Prest. 15/09/2025 a 21/09/2025 - RPS: 1264 - NFSe: 3499</v>
      </c>
      <c r="H5588" t="str">
        <f t="shared" si="2615"/>
        <v>24/09/2025</v>
      </c>
      <c r="I5588" t="str">
        <f t="shared" si="2620"/>
        <v>22/09/2025</v>
      </c>
      <c r="J5588" t="str">
        <f t="shared" si="2616"/>
        <v>24/09/2025</v>
      </c>
      <c r="M5588">
        <v>303</v>
      </c>
      <c r="N5588" t="str">
        <f t="shared" si="2617"/>
        <v>RECEITAS COM ENTREGAS</v>
      </c>
      <c r="P5588">
        <v>300</v>
      </c>
      <c r="Q5588" t="str">
        <f>"PENSE FARMA 46 (10194)"</f>
        <v>PENSE FARMA 46 (10194)</v>
      </c>
      <c r="R5588" t="str">
        <f t="shared" si="2618"/>
        <v>RECEITAS COM ENTREGAS (303)</v>
      </c>
      <c r="S5588">
        <v>2704</v>
      </c>
      <c r="T5588">
        <v>2148</v>
      </c>
      <c r="U5588" t="s">
        <v>19</v>
      </c>
    </row>
    <row r="5589" spans="1:21">
      <c r="A5589" t="str">
        <f t="shared" si="2609"/>
        <v>24/09/2025</v>
      </c>
      <c r="B5589" t="str">
        <f t="shared" si="2619"/>
        <v>ENTRADA</v>
      </c>
      <c r="C5589" t="str">
        <f t="shared" si="2614"/>
        <v>NFSE</v>
      </c>
      <c r="D5589" t="str">
        <f>"3501"</f>
        <v>3501</v>
      </c>
      <c r="E5589" t="str">
        <f t="shared" si="2610"/>
        <v>COM</v>
      </c>
      <c r="F5589" t="str">
        <f>"JAL FARMACIA E DROGARIA LJ 2 (10138)"</f>
        <v>JAL FARMACIA E DROGARIA LJ 2 (10138)</v>
      </c>
      <c r="G5589" t="str">
        <f>"Serv.Prest. 15/09/2025 a 21/09/2025 - RPS: 1266 - NFSe: 3501"</f>
        <v>Serv.Prest. 15/09/2025 a 21/09/2025 - RPS: 1266 - NFSe: 3501</v>
      </c>
      <c r="H5589" t="str">
        <f t="shared" si="2615"/>
        <v>24/09/2025</v>
      </c>
      <c r="I5589" t="str">
        <f t="shared" si="2620"/>
        <v>22/09/2025</v>
      </c>
      <c r="J5589" t="str">
        <f t="shared" si="2616"/>
        <v>24/09/2025</v>
      </c>
      <c r="K5589">
        <v>296</v>
      </c>
      <c r="L5589">
        <v>296</v>
      </c>
      <c r="M5589">
        <v>303</v>
      </c>
      <c r="N5589" t="str">
        <f t="shared" si="2617"/>
        <v>RECEITAS COM ENTREGAS</v>
      </c>
      <c r="O5589">
        <v>296</v>
      </c>
      <c r="R5589" t="str">
        <f t="shared" si="2618"/>
        <v>RECEITAS COM ENTREGAS (303)</v>
      </c>
      <c r="S5589">
        <v>2705</v>
      </c>
      <c r="T5589">
        <v>2150</v>
      </c>
      <c r="U5589" t="s">
        <v>19</v>
      </c>
    </row>
    <row r="5590" spans="1:21">
      <c r="A5590" t="str">
        <f t="shared" si="2609"/>
        <v>24/09/2025</v>
      </c>
      <c r="B5590" t="str">
        <f t="shared" si="2619"/>
        <v>ENTRADA</v>
      </c>
      <c r="C5590" t="str">
        <f t="shared" si="2614"/>
        <v>NFSE</v>
      </c>
      <c r="D5590" t="str">
        <f>"3501"</f>
        <v>3501</v>
      </c>
      <c r="E5590" t="str">
        <f t="shared" si="2610"/>
        <v>COM</v>
      </c>
      <c r="F5590" t="str">
        <f>"JAL FARMACIA E DROGARIA LJ 2 (10138)"</f>
        <v>JAL FARMACIA E DROGARIA LJ 2 (10138)</v>
      </c>
      <c r="G5590" t="str">
        <f>"Serv.Prest. 15/09/2025 a 21/09/2025 - RPS: 1266 - NFSe: 3501"</f>
        <v>Serv.Prest. 15/09/2025 a 21/09/2025 - RPS: 1266 - NFSe: 3501</v>
      </c>
      <c r="H5590" t="str">
        <f t="shared" si="2615"/>
        <v>24/09/2025</v>
      </c>
      <c r="I5590" t="str">
        <f t="shared" si="2620"/>
        <v>22/09/2025</v>
      </c>
      <c r="J5590" t="str">
        <f t="shared" si="2616"/>
        <v>24/09/2025</v>
      </c>
      <c r="M5590">
        <v>303</v>
      </c>
      <c r="N5590" t="str">
        <f t="shared" si="2617"/>
        <v>RECEITAS COM ENTREGAS</v>
      </c>
      <c r="P5590">
        <v>296</v>
      </c>
      <c r="Q5590" t="str">
        <f>"JAL FARMACIA E DROGARIA LJ 2 (10138)"</f>
        <v>JAL FARMACIA E DROGARIA LJ 2 (10138)</v>
      </c>
      <c r="R5590" t="str">
        <f t="shared" si="2618"/>
        <v>RECEITAS COM ENTREGAS (303)</v>
      </c>
      <c r="S5590">
        <v>2705</v>
      </c>
      <c r="T5590">
        <v>2150</v>
      </c>
      <c r="U5590" t="s">
        <v>19</v>
      </c>
    </row>
    <row r="5591" spans="1:21">
      <c r="A5591" t="str">
        <f t="shared" si="2609"/>
        <v>24/09/2025</v>
      </c>
      <c r="B5591" t="str">
        <f t="shared" si="2619"/>
        <v>ENTRADA</v>
      </c>
      <c r="C5591" t="str">
        <f t="shared" si="2614"/>
        <v>NFSE</v>
      </c>
      <c r="D5591" t="str">
        <f>"3502"</f>
        <v>3502</v>
      </c>
      <c r="E5591" t="str">
        <f t="shared" si="2610"/>
        <v>COM</v>
      </c>
      <c r="F5591" t="str">
        <f>"JAL FARMACIA E DROGARIA LJ 1 (10137)"</f>
        <v>JAL FARMACIA E DROGARIA LJ 1 (10137)</v>
      </c>
      <c r="G5591" t="str">
        <f>"Serv.Prest. 15/09/2025 a 21/09/2025 - RPS: 1267 - NFSe: 3502"</f>
        <v>Serv.Prest. 15/09/2025 a 21/09/2025 - RPS: 1267 - NFSe: 3502</v>
      </c>
      <c r="H5591" t="str">
        <f t="shared" si="2615"/>
        <v>24/09/2025</v>
      </c>
      <c r="I5591" t="str">
        <f t="shared" si="2620"/>
        <v>22/09/2025</v>
      </c>
      <c r="J5591" t="str">
        <f t="shared" si="2616"/>
        <v>24/09/2025</v>
      </c>
      <c r="K5591">
        <v>401.6</v>
      </c>
      <c r="L5591">
        <v>401.6</v>
      </c>
      <c r="M5591">
        <v>303</v>
      </c>
      <c r="N5591" t="str">
        <f t="shared" si="2617"/>
        <v>RECEITAS COM ENTREGAS</v>
      </c>
      <c r="O5591">
        <v>401.6</v>
      </c>
      <c r="R5591" t="str">
        <f t="shared" si="2618"/>
        <v>RECEITAS COM ENTREGAS (303)</v>
      </c>
      <c r="S5591">
        <v>2706</v>
      </c>
      <c r="T5591">
        <v>2151</v>
      </c>
      <c r="U5591" t="s">
        <v>19</v>
      </c>
    </row>
    <row r="5592" spans="1:21">
      <c r="A5592" t="str">
        <f t="shared" si="2609"/>
        <v>24/09/2025</v>
      </c>
      <c r="B5592" t="str">
        <f t="shared" si="2619"/>
        <v>ENTRADA</v>
      </c>
      <c r="C5592" t="str">
        <f t="shared" si="2614"/>
        <v>NFSE</v>
      </c>
      <c r="D5592" t="str">
        <f>"3502"</f>
        <v>3502</v>
      </c>
      <c r="E5592" t="str">
        <f t="shared" si="2610"/>
        <v>COM</v>
      </c>
      <c r="F5592" t="str">
        <f>"JAL FARMACIA E DROGARIA LJ 1 (10137)"</f>
        <v>JAL FARMACIA E DROGARIA LJ 1 (10137)</v>
      </c>
      <c r="G5592" t="str">
        <f>"Serv.Prest. 15/09/2025 a 21/09/2025 - RPS: 1267 - NFSe: 3502"</f>
        <v>Serv.Prest. 15/09/2025 a 21/09/2025 - RPS: 1267 - NFSe: 3502</v>
      </c>
      <c r="H5592" t="str">
        <f t="shared" si="2615"/>
        <v>24/09/2025</v>
      </c>
      <c r="I5592" t="str">
        <f t="shared" si="2620"/>
        <v>22/09/2025</v>
      </c>
      <c r="J5592" t="str">
        <f t="shared" si="2616"/>
        <v>24/09/2025</v>
      </c>
      <c r="M5592">
        <v>303</v>
      </c>
      <c r="N5592" t="str">
        <f t="shared" si="2617"/>
        <v>RECEITAS COM ENTREGAS</v>
      </c>
      <c r="P5592">
        <v>401.6</v>
      </c>
      <c r="Q5592" t="str">
        <f>"JAL FARMACIA E DROGARIA LJ 1 (10137)"</f>
        <v>JAL FARMACIA E DROGARIA LJ 1 (10137)</v>
      </c>
      <c r="R5592" t="str">
        <f t="shared" si="2618"/>
        <v>RECEITAS COM ENTREGAS (303)</v>
      </c>
      <c r="S5592">
        <v>2706</v>
      </c>
      <c r="T5592">
        <v>2151</v>
      </c>
      <c r="U5592" t="s">
        <v>19</v>
      </c>
    </row>
    <row r="5593" spans="1:21">
      <c r="A5593" t="str">
        <f t="shared" si="2609"/>
        <v>24/09/2025</v>
      </c>
      <c r="B5593" t="str">
        <f t="shared" si="2619"/>
        <v>ENTRADA</v>
      </c>
      <c r="C5593" t="str">
        <f t="shared" si="2614"/>
        <v>NFSE</v>
      </c>
      <c r="D5593" t="str">
        <f>"3503"</f>
        <v>3503</v>
      </c>
      <c r="E5593" t="str">
        <f t="shared" si="2610"/>
        <v>COM</v>
      </c>
      <c r="F5593" t="str">
        <f>"PENSE FARMA 15 (10195)"</f>
        <v>PENSE FARMA 15 (10195)</v>
      </c>
      <c r="G5593" t="str">
        <f>"Serv.Prest. 15/09/2025 a 21/09/2025 - RPS: 1268 - NFSe: 3503"</f>
        <v>Serv.Prest. 15/09/2025 a 21/09/2025 - RPS: 1268 - NFSe: 3503</v>
      </c>
      <c r="H5593" t="str">
        <f t="shared" si="2615"/>
        <v>24/09/2025</v>
      </c>
      <c r="I5593" t="str">
        <f t="shared" si="2620"/>
        <v>22/09/2025</v>
      </c>
      <c r="J5593" t="str">
        <f t="shared" si="2616"/>
        <v>24/09/2025</v>
      </c>
      <c r="K5593">
        <v>450</v>
      </c>
      <c r="L5593">
        <v>450</v>
      </c>
      <c r="M5593">
        <v>303</v>
      </c>
      <c r="N5593" t="str">
        <f t="shared" si="2617"/>
        <v>RECEITAS COM ENTREGAS</v>
      </c>
      <c r="O5593">
        <v>450</v>
      </c>
      <c r="R5593" t="str">
        <f t="shared" si="2618"/>
        <v>RECEITAS COM ENTREGAS (303)</v>
      </c>
      <c r="S5593">
        <v>2707</v>
      </c>
      <c r="T5593">
        <v>2152</v>
      </c>
      <c r="U5593" t="s">
        <v>19</v>
      </c>
    </row>
    <row r="5594" spans="1:21">
      <c r="A5594" t="str">
        <f t="shared" si="2609"/>
        <v>24/09/2025</v>
      </c>
      <c r="B5594" t="str">
        <f t="shared" si="2619"/>
        <v>ENTRADA</v>
      </c>
      <c r="C5594" t="str">
        <f t="shared" si="2614"/>
        <v>NFSE</v>
      </c>
      <c r="D5594" t="str">
        <f>"3503"</f>
        <v>3503</v>
      </c>
      <c r="E5594" t="str">
        <f t="shared" si="2610"/>
        <v>COM</v>
      </c>
      <c r="F5594" t="str">
        <f>"PENSE FARMA 15 (10195)"</f>
        <v>PENSE FARMA 15 (10195)</v>
      </c>
      <c r="G5594" t="str">
        <f>"Serv.Prest. 15/09/2025 a 21/09/2025 - RPS: 1268 - NFSe: 3503"</f>
        <v>Serv.Prest. 15/09/2025 a 21/09/2025 - RPS: 1268 - NFSe: 3503</v>
      </c>
      <c r="H5594" t="str">
        <f t="shared" si="2615"/>
        <v>24/09/2025</v>
      </c>
      <c r="I5594" t="str">
        <f t="shared" si="2620"/>
        <v>22/09/2025</v>
      </c>
      <c r="J5594" t="str">
        <f t="shared" si="2616"/>
        <v>24/09/2025</v>
      </c>
      <c r="M5594">
        <v>303</v>
      </c>
      <c r="N5594" t="str">
        <f t="shared" si="2617"/>
        <v>RECEITAS COM ENTREGAS</v>
      </c>
      <c r="P5594">
        <v>149.99</v>
      </c>
      <c r="Q5594" t="str">
        <f>"PENSE FARMA 15 (10195)"</f>
        <v>PENSE FARMA 15 (10195)</v>
      </c>
      <c r="R5594" t="str">
        <f t="shared" si="2618"/>
        <v>RECEITAS COM ENTREGAS (303)</v>
      </c>
      <c r="S5594">
        <v>2707</v>
      </c>
      <c r="T5594">
        <v>2152</v>
      </c>
      <c r="U5594" t="s">
        <v>19</v>
      </c>
    </row>
    <row r="5595" spans="1:21">
      <c r="A5595" t="str">
        <f t="shared" si="2609"/>
        <v>24/09/2025</v>
      </c>
      <c r="B5595" t="str">
        <f t="shared" si="2619"/>
        <v>ENTRADA</v>
      </c>
      <c r="C5595" t="str">
        <f t="shared" si="2614"/>
        <v>NFSE</v>
      </c>
      <c r="D5595" t="str">
        <f>"3503"</f>
        <v>3503</v>
      </c>
      <c r="E5595" t="str">
        <f t="shared" si="2610"/>
        <v>COM</v>
      </c>
      <c r="F5595" t="str">
        <f>"PENSE FARMA 15 (10195)"</f>
        <v>PENSE FARMA 15 (10195)</v>
      </c>
      <c r="G5595" t="str">
        <f>"Serv.Prest. 15/09/2025 a 21/09/2025 - RPS: 1268 - NFSe: 3503"</f>
        <v>Serv.Prest. 15/09/2025 a 21/09/2025 - RPS: 1268 - NFSe: 3503</v>
      </c>
      <c r="H5595" t="str">
        <f t="shared" si="2615"/>
        <v>24/09/2025</v>
      </c>
      <c r="I5595" t="str">
        <f t="shared" si="2620"/>
        <v>22/09/2025</v>
      </c>
      <c r="J5595" t="str">
        <f t="shared" si="2616"/>
        <v>24/09/2025</v>
      </c>
      <c r="M5595">
        <v>303</v>
      </c>
      <c r="N5595" t="str">
        <f t="shared" si="2617"/>
        <v>RECEITAS COM ENTREGAS</v>
      </c>
      <c r="P5595">
        <v>149.97999999999999</v>
      </c>
      <c r="Q5595" t="str">
        <f>"PENSE FARMA 26 (10196)"</f>
        <v>PENSE FARMA 26 (10196)</v>
      </c>
      <c r="R5595" t="str">
        <f t="shared" si="2618"/>
        <v>RECEITAS COM ENTREGAS (303)</v>
      </c>
      <c r="S5595">
        <v>2707</v>
      </c>
      <c r="T5595">
        <v>2152</v>
      </c>
      <c r="U5595" t="s">
        <v>19</v>
      </c>
    </row>
    <row r="5596" spans="1:21">
      <c r="A5596" t="str">
        <f t="shared" si="2609"/>
        <v>24/09/2025</v>
      </c>
      <c r="B5596" t="str">
        <f t="shared" si="2619"/>
        <v>ENTRADA</v>
      </c>
      <c r="C5596" t="str">
        <f t="shared" si="2614"/>
        <v>NFSE</v>
      </c>
      <c r="D5596" t="str">
        <f>"3503"</f>
        <v>3503</v>
      </c>
      <c r="E5596" t="str">
        <f t="shared" si="2610"/>
        <v>COM</v>
      </c>
      <c r="F5596" t="str">
        <f>"PENSE FARMA 15 (10195)"</f>
        <v>PENSE FARMA 15 (10195)</v>
      </c>
      <c r="G5596" t="str">
        <f>"Serv.Prest. 15/09/2025 a 21/09/2025 - RPS: 1268 - NFSe: 3503"</f>
        <v>Serv.Prest. 15/09/2025 a 21/09/2025 - RPS: 1268 - NFSe: 3503</v>
      </c>
      <c r="H5596" t="str">
        <f t="shared" si="2615"/>
        <v>24/09/2025</v>
      </c>
      <c r="I5596" t="str">
        <f t="shared" si="2620"/>
        <v>22/09/2025</v>
      </c>
      <c r="J5596" t="str">
        <f t="shared" si="2616"/>
        <v>24/09/2025</v>
      </c>
      <c r="M5596">
        <v>303</v>
      </c>
      <c r="N5596" t="str">
        <f t="shared" si="2617"/>
        <v>RECEITAS COM ENTREGAS</v>
      </c>
      <c r="P5596">
        <v>150.03</v>
      </c>
      <c r="Q5596" t="str">
        <f>"PENSE FARMA 60 (10197)"</f>
        <v>PENSE FARMA 60 (10197)</v>
      </c>
      <c r="R5596" t="str">
        <f t="shared" si="2618"/>
        <v>RECEITAS COM ENTREGAS (303)</v>
      </c>
      <c r="S5596">
        <v>2707</v>
      </c>
      <c r="T5596">
        <v>2152</v>
      </c>
      <c r="U5596" t="s">
        <v>19</v>
      </c>
    </row>
    <row r="5597" spans="1:21">
      <c r="A5597" t="str">
        <f t="shared" si="2609"/>
        <v>24/09/2025</v>
      </c>
      <c r="B5597" t="str">
        <f t="shared" si="2619"/>
        <v>ENTRADA</v>
      </c>
      <c r="C5597" t="str">
        <f t="shared" si="2614"/>
        <v>NFSE</v>
      </c>
      <c r="D5597" t="str">
        <f>"3513"</f>
        <v>3513</v>
      </c>
      <c r="E5597" t="str">
        <f t="shared" si="2610"/>
        <v>COM</v>
      </c>
      <c r="F5597" t="str">
        <f>"DELTA LOJA 2 (10123)"</f>
        <v>DELTA LOJA 2 (10123)</v>
      </c>
      <c r="G5597" t="str">
        <f>"Serv.Prest. 15/09/2025 a 21/09/2025 - RPS: 1278 - NFSe: 3513"</f>
        <v>Serv.Prest. 15/09/2025 a 21/09/2025 - RPS: 1278 - NFSe: 3513</v>
      </c>
      <c r="H5597" t="str">
        <f t="shared" si="2615"/>
        <v>24/09/2025</v>
      </c>
      <c r="I5597" t="str">
        <f>("23/09/2025")</f>
        <v>23/09/2025</v>
      </c>
      <c r="J5597" t="str">
        <f t="shared" si="2616"/>
        <v>24/09/2025</v>
      </c>
      <c r="K5597">
        <v>676.2</v>
      </c>
      <c r="L5597">
        <v>676.2</v>
      </c>
      <c r="M5597">
        <v>303</v>
      </c>
      <c r="N5597" t="str">
        <f t="shared" si="2617"/>
        <v>RECEITAS COM ENTREGAS</v>
      </c>
      <c r="O5597">
        <v>676.2</v>
      </c>
      <c r="R5597" t="str">
        <f t="shared" si="2618"/>
        <v>RECEITAS COM ENTREGAS (303)</v>
      </c>
      <c r="S5597">
        <v>2708</v>
      </c>
      <c r="T5597">
        <v>2162</v>
      </c>
      <c r="U5597" t="s">
        <v>19</v>
      </c>
    </row>
    <row r="5598" spans="1:21">
      <c r="A5598" t="str">
        <f t="shared" si="2609"/>
        <v>24/09/2025</v>
      </c>
      <c r="B5598" t="str">
        <f t="shared" si="2619"/>
        <v>ENTRADA</v>
      </c>
      <c r="C5598" t="str">
        <f t="shared" si="2614"/>
        <v>NFSE</v>
      </c>
      <c r="D5598" t="str">
        <f>"3513"</f>
        <v>3513</v>
      </c>
      <c r="E5598" t="str">
        <f t="shared" si="2610"/>
        <v>COM</v>
      </c>
      <c r="F5598" t="str">
        <f>"DELTA LOJA 2 (10123)"</f>
        <v>DELTA LOJA 2 (10123)</v>
      </c>
      <c r="G5598" t="str">
        <f>"Serv.Prest. 15/09/2025 a 21/09/2025 - RPS: 1278 - NFSe: 3513"</f>
        <v>Serv.Prest. 15/09/2025 a 21/09/2025 - RPS: 1278 - NFSe: 3513</v>
      </c>
      <c r="H5598" t="str">
        <f t="shared" si="2615"/>
        <v>24/09/2025</v>
      </c>
      <c r="I5598" t="str">
        <f>("23/09/2025")</f>
        <v>23/09/2025</v>
      </c>
      <c r="J5598" t="str">
        <f t="shared" si="2616"/>
        <v>24/09/2025</v>
      </c>
      <c r="M5598">
        <v>303</v>
      </c>
      <c r="N5598" t="str">
        <f t="shared" si="2617"/>
        <v>RECEITAS COM ENTREGAS</v>
      </c>
      <c r="P5598">
        <v>676.2</v>
      </c>
      <c r="Q5598" t="str">
        <f>"DELTA LOJA 2 (10123)"</f>
        <v>DELTA LOJA 2 (10123)</v>
      </c>
      <c r="R5598" t="str">
        <f t="shared" si="2618"/>
        <v>RECEITAS COM ENTREGAS (303)</v>
      </c>
      <c r="S5598">
        <v>2708</v>
      </c>
      <c r="T5598">
        <v>2162</v>
      </c>
      <c r="U5598" t="s">
        <v>19</v>
      </c>
    </row>
    <row r="5599" spans="1:21">
      <c r="A5599" t="str">
        <f t="shared" ref="A5599:A5614" si="2621">("24/09/2025")</f>
        <v>24/09/2025</v>
      </c>
      <c r="B5599" t="str">
        <f t="shared" ref="B5599:B5614" si="2622">"SAÍDA"</f>
        <v>SAÍDA</v>
      </c>
      <c r="C5599" t="str">
        <f t="shared" ref="C5599:C5614" si="2623">"BOLETO"</f>
        <v>BOLETO</v>
      </c>
      <c r="D5599" t="str">
        <f t="shared" ref="D5599:D5614" si="2624">"011125"</f>
        <v>011125</v>
      </c>
      <c r="E5599" t="str">
        <f t="shared" ref="E5599:E5630" si="2625">"COM"</f>
        <v>COM</v>
      </c>
      <c r="F5599" t="str">
        <f t="shared" ref="F5599:F5614" si="2626">"CORA SOCIEDADE DE CREDITO, FINANCIAMENTO E INVESTIMENTO (20035)"</f>
        <v>CORA SOCIEDADE DE CREDITO, FINANCIAMENTO E INVESTIMENTO (20035)</v>
      </c>
      <c r="G5599" t="str">
        <f t="shared" ref="G5599:G5614" si="2627">"TAXA BOLETO CORA"</f>
        <v>TAXA BOLETO CORA</v>
      </c>
      <c r="H5599" t="str">
        <f t="shared" si="2615"/>
        <v>24/09/2025</v>
      </c>
      <c r="I5599" t="str">
        <f t="shared" ref="I5599:I5614" si="2628">("01/11/2025")</f>
        <v>01/11/2025</v>
      </c>
      <c r="J5599" t="str">
        <f t="shared" si="2616"/>
        <v>24/09/2025</v>
      </c>
      <c r="K5599">
        <v>1.7</v>
      </c>
      <c r="L5599">
        <v>1.7</v>
      </c>
      <c r="M5599">
        <v>401</v>
      </c>
      <c r="N5599" t="str">
        <f t="shared" ref="N5599:N5614" si="2629">"IOF/JUROS/DESP.FINANCEIRA"</f>
        <v>IOF/JUROS/DESP.FINANCEIRA</v>
      </c>
      <c r="O5599">
        <v>1.7</v>
      </c>
      <c r="R5599" t="str">
        <f t="shared" ref="R5599:R5614" si="2630">"BANCO CORA (102)"</f>
        <v>BANCO CORA (102)</v>
      </c>
      <c r="S5599">
        <v>3124</v>
      </c>
      <c r="T5599">
        <v>2709</v>
      </c>
      <c r="U5599" t="s">
        <v>19</v>
      </c>
    </row>
    <row r="5600" spans="1:21">
      <c r="A5600" t="str">
        <f t="shared" si="2621"/>
        <v>24/09/2025</v>
      </c>
      <c r="B5600" t="str">
        <f t="shared" si="2622"/>
        <v>SAÍDA</v>
      </c>
      <c r="C5600" t="str">
        <f t="shared" si="2623"/>
        <v>BOLETO</v>
      </c>
      <c r="D5600" t="str">
        <f t="shared" si="2624"/>
        <v>011125</v>
      </c>
      <c r="E5600" t="str">
        <f t="shared" si="2625"/>
        <v>COM</v>
      </c>
      <c r="F5600" t="str">
        <f t="shared" si="2626"/>
        <v>CORA SOCIEDADE DE CREDITO, FINANCIAMENTO E INVESTIMENTO (20035)</v>
      </c>
      <c r="G5600" t="str">
        <f t="shared" si="2627"/>
        <v>TAXA BOLETO CORA</v>
      </c>
      <c r="H5600" t="str">
        <f t="shared" si="2615"/>
        <v>24/09/2025</v>
      </c>
      <c r="I5600" t="str">
        <f t="shared" si="2628"/>
        <v>01/11/2025</v>
      </c>
      <c r="J5600" t="str">
        <f t="shared" si="2616"/>
        <v>24/09/2025</v>
      </c>
      <c r="M5600">
        <v>401</v>
      </c>
      <c r="N5600" t="str">
        <f t="shared" si="2629"/>
        <v>IOF/JUROS/DESP.FINANCEIRA</v>
      </c>
      <c r="P5600">
        <v>1.7</v>
      </c>
      <c r="Q5600" t="str">
        <f>"CORA SOCIEDADE DE CREDITO, FINANCIAMENTO E INVESTIMENTO (20035)"</f>
        <v>CORA SOCIEDADE DE CREDITO, FINANCIAMENTO E INVESTIMENTO (20035)</v>
      </c>
      <c r="R5600" t="str">
        <f t="shared" si="2630"/>
        <v>BANCO CORA (102)</v>
      </c>
      <c r="S5600">
        <v>3124</v>
      </c>
      <c r="T5600">
        <v>2709</v>
      </c>
      <c r="U5600" t="s">
        <v>19</v>
      </c>
    </row>
    <row r="5601" spans="1:21">
      <c r="A5601" t="str">
        <f t="shared" si="2621"/>
        <v>24/09/2025</v>
      </c>
      <c r="B5601" t="str">
        <f t="shared" si="2622"/>
        <v>SAÍDA</v>
      </c>
      <c r="C5601" t="str">
        <f t="shared" si="2623"/>
        <v>BOLETO</v>
      </c>
      <c r="D5601" t="str">
        <f t="shared" si="2624"/>
        <v>011125</v>
      </c>
      <c r="E5601" t="str">
        <f t="shared" si="2625"/>
        <v>COM</v>
      </c>
      <c r="F5601" t="str">
        <f t="shared" si="2626"/>
        <v>CORA SOCIEDADE DE CREDITO, FINANCIAMENTO E INVESTIMENTO (20035)</v>
      </c>
      <c r="G5601" t="str">
        <f t="shared" si="2627"/>
        <v>TAXA BOLETO CORA</v>
      </c>
      <c r="H5601" t="str">
        <f t="shared" ref="H5601:H5632" si="2631">("24/09/2025")</f>
        <v>24/09/2025</v>
      </c>
      <c r="I5601" t="str">
        <f t="shared" si="2628"/>
        <v>01/11/2025</v>
      </c>
      <c r="J5601" t="str">
        <f t="shared" ref="J5601:J5614" si="2632">("24/09/2025")</f>
        <v>24/09/2025</v>
      </c>
      <c r="K5601">
        <v>1.7</v>
      </c>
      <c r="L5601">
        <v>1.7</v>
      </c>
      <c r="M5601">
        <v>401</v>
      </c>
      <c r="N5601" t="str">
        <f t="shared" si="2629"/>
        <v>IOF/JUROS/DESP.FINANCEIRA</v>
      </c>
      <c r="O5601">
        <v>1.7</v>
      </c>
      <c r="R5601" t="str">
        <f t="shared" si="2630"/>
        <v>BANCO CORA (102)</v>
      </c>
      <c r="S5601">
        <v>3125</v>
      </c>
      <c r="T5601">
        <v>2710</v>
      </c>
      <c r="U5601" t="s">
        <v>19</v>
      </c>
    </row>
    <row r="5602" spans="1:21">
      <c r="A5602" t="str">
        <f t="shared" si="2621"/>
        <v>24/09/2025</v>
      </c>
      <c r="B5602" t="str">
        <f t="shared" si="2622"/>
        <v>SAÍDA</v>
      </c>
      <c r="C5602" t="str">
        <f t="shared" si="2623"/>
        <v>BOLETO</v>
      </c>
      <c r="D5602" t="str">
        <f t="shared" si="2624"/>
        <v>011125</v>
      </c>
      <c r="E5602" t="str">
        <f t="shared" si="2625"/>
        <v>COM</v>
      </c>
      <c r="F5602" t="str">
        <f t="shared" si="2626"/>
        <v>CORA SOCIEDADE DE CREDITO, FINANCIAMENTO E INVESTIMENTO (20035)</v>
      </c>
      <c r="G5602" t="str">
        <f t="shared" si="2627"/>
        <v>TAXA BOLETO CORA</v>
      </c>
      <c r="H5602" t="str">
        <f t="shared" si="2631"/>
        <v>24/09/2025</v>
      </c>
      <c r="I5602" t="str">
        <f t="shared" si="2628"/>
        <v>01/11/2025</v>
      </c>
      <c r="J5602" t="str">
        <f t="shared" si="2632"/>
        <v>24/09/2025</v>
      </c>
      <c r="M5602">
        <v>401</v>
      </c>
      <c r="N5602" t="str">
        <f t="shared" si="2629"/>
        <v>IOF/JUROS/DESP.FINANCEIRA</v>
      </c>
      <c r="P5602">
        <v>1.7</v>
      </c>
      <c r="Q5602" t="str">
        <f>"CORA SOCIEDADE DE CREDITO, FINANCIAMENTO E INVESTIMENTO (20035)"</f>
        <v>CORA SOCIEDADE DE CREDITO, FINANCIAMENTO E INVESTIMENTO (20035)</v>
      </c>
      <c r="R5602" t="str">
        <f t="shared" si="2630"/>
        <v>BANCO CORA (102)</v>
      </c>
      <c r="S5602">
        <v>3125</v>
      </c>
      <c r="T5602">
        <v>2710</v>
      </c>
      <c r="U5602" t="s">
        <v>19</v>
      </c>
    </row>
    <row r="5603" spans="1:21">
      <c r="A5603" t="str">
        <f t="shared" si="2621"/>
        <v>24/09/2025</v>
      </c>
      <c r="B5603" t="str">
        <f t="shared" si="2622"/>
        <v>SAÍDA</v>
      </c>
      <c r="C5603" t="str">
        <f t="shared" si="2623"/>
        <v>BOLETO</v>
      </c>
      <c r="D5603" t="str">
        <f t="shared" si="2624"/>
        <v>011125</v>
      </c>
      <c r="E5603" t="str">
        <f t="shared" si="2625"/>
        <v>COM</v>
      </c>
      <c r="F5603" t="str">
        <f t="shared" si="2626"/>
        <v>CORA SOCIEDADE DE CREDITO, FINANCIAMENTO E INVESTIMENTO (20035)</v>
      </c>
      <c r="G5603" t="str">
        <f t="shared" si="2627"/>
        <v>TAXA BOLETO CORA</v>
      </c>
      <c r="H5603" t="str">
        <f t="shared" si="2631"/>
        <v>24/09/2025</v>
      </c>
      <c r="I5603" t="str">
        <f t="shared" si="2628"/>
        <v>01/11/2025</v>
      </c>
      <c r="J5603" t="str">
        <f t="shared" si="2632"/>
        <v>24/09/2025</v>
      </c>
      <c r="K5603">
        <v>1.7</v>
      </c>
      <c r="L5603">
        <v>1.7</v>
      </c>
      <c r="M5603">
        <v>401</v>
      </c>
      <c r="N5603" t="str">
        <f t="shared" si="2629"/>
        <v>IOF/JUROS/DESP.FINANCEIRA</v>
      </c>
      <c r="O5603">
        <v>1.7</v>
      </c>
      <c r="R5603" t="str">
        <f t="shared" si="2630"/>
        <v>BANCO CORA (102)</v>
      </c>
      <c r="S5603">
        <v>3126</v>
      </c>
      <c r="T5603">
        <v>2711</v>
      </c>
      <c r="U5603" t="s">
        <v>19</v>
      </c>
    </row>
    <row r="5604" spans="1:21">
      <c r="A5604" t="str">
        <f t="shared" si="2621"/>
        <v>24/09/2025</v>
      </c>
      <c r="B5604" t="str">
        <f t="shared" si="2622"/>
        <v>SAÍDA</v>
      </c>
      <c r="C5604" t="str">
        <f t="shared" si="2623"/>
        <v>BOLETO</v>
      </c>
      <c r="D5604" t="str">
        <f t="shared" si="2624"/>
        <v>011125</v>
      </c>
      <c r="E5604" t="str">
        <f t="shared" si="2625"/>
        <v>COM</v>
      </c>
      <c r="F5604" t="str">
        <f t="shared" si="2626"/>
        <v>CORA SOCIEDADE DE CREDITO, FINANCIAMENTO E INVESTIMENTO (20035)</v>
      </c>
      <c r="G5604" t="str">
        <f t="shared" si="2627"/>
        <v>TAXA BOLETO CORA</v>
      </c>
      <c r="H5604" t="str">
        <f t="shared" si="2631"/>
        <v>24/09/2025</v>
      </c>
      <c r="I5604" t="str">
        <f t="shared" si="2628"/>
        <v>01/11/2025</v>
      </c>
      <c r="J5604" t="str">
        <f t="shared" si="2632"/>
        <v>24/09/2025</v>
      </c>
      <c r="M5604">
        <v>401</v>
      </c>
      <c r="N5604" t="str">
        <f t="shared" si="2629"/>
        <v>IOF/JUROS/DESP.FINANCEIRA</v>
      </c>
      <c r="P5604">
        <v>1.7</v>
      </c>
      <c r="Q5604" t="str">
        <f>"CORA SOCIEDADE DE CREDITO, FINANCIAMENTO E INVESTIMENTO (20035)"</f>
        <v>CORA SOCIEDADE DE CREDITO, FINANCIAMENTO E INVESTIMENTO (20035)</v>
      </c>
      <c r="R5604" t="str">
        <f t="shared" si="2630"/>
        <v>BANCO CORA (102)</v>
      </c>
      <c r="S5604">
        <v>3126</v>
      </c>
      <c r="T5604">
        <v>2711</v>
      </c>
      <c r="U5604" t="s">
        <v>19</v>
      </c>
    </row>
    <row r="5605" spans="1:21">
      <c r="A5605" t="str">
        <f t="shared" si="2621"/>
        <v>24/09/2025</v>
      </c>
      <c r="B5605" t="str">
        <f t="shared" si="2622"/>
        <v>SAÍDA</v>
      </c>
      <c r="C5605" t="str">
        <f t="shared" si="2623"/>
        <v>BOLETO</v>
      </c>
      <c r="D5605" t="str">
        <f t="shared" si="2624"/>
        <v>011125</v>
      </c>
      <c r="E5605" t="str">
        <f t="shared" si="2625"/>
        <v>COM</v>
      </c>
      <c r="F5605" t="str">
        <f t="shared" si="2626"/>
        <v>CORA SOCIEDADE DE CREDITO, FINANCIAMENTO E INVESTIMENTO (20035)</v>
      </c>
      <c r="G5605" t="str">
        <f t="shared" si="2627"/>
        <v>TAXA BOLETO CORA</v>
      </c>
      <c r="H5605" t="str">
        <f t="shared" si="2631"/>
        <v>24/09/2025</v>
      </c>
      <c r="I5605" t="str">
        <f t="shared" si="2628"/>
        <v>01/11/2025</v>
      </c>
      <c r="J5605" t="str">
        <f t="shared" si="2632"/>
        <v>24/09/2025</v>
      </c>
      <c r="K5605">
        <v>1.7</v>
      </c>
      <c r="L5605">
        <v>1.7</v>
      </c>
      <c r="M5605">
        <v>401</v>
      </c>
      <c r="N5605" t="str">
        <f t="shared" si="2629"/>
        <v>IOF/JUROS/DESP.FINANCEIRA</v>
      </c>
      <c r="O5605">
        <v>1.7</v>
      </c>
      <c r="R5605" t="str">
        <f t="shared" si="2630"/>
        <v>BANCO CORA (102)</v>
      </c>
      <c r="S5605">
        <v>3127</v>
      </c>
      <c r="T5605">
        <v>2712</v>
      </c>
      <c r="U5605" t="s">
        <v>19</v>
      </c>
    </row>
    <row r="5606" spans="1:21">
      <c r="A5606" t="str">
        <f t="shared" si="2621"/>
        <v>24/09/2025</v>
      </c>
      <c r="B5606" t="str">
        <f t="shared" si="2622"/>
        <v>SAÍDA</v>
      </c>
      <c r="C5606" t="str">
        <f t="shared" si="2623"/>
        <v>BOLETO</v>
      </c>
      <c r="D5606" t="str">
        <f t="shared" si="2624"/>
        <v>011125</v>
      </c>
      <c r="E5606" t="str">
        <f t="shared" si="2625"/>
        <v>COM</v>
      </c>
      <c r="F5606" t="str">
        <f t="shared" si="2626"/>
        <v>CORA SOCIEDADE DE CREDITO, FINANCIAMENTO E INVESTIMENTO (20035)</v>
      </c>
      <c r="G5606" t="str">
        <f t="shared" si="2627"/>
        <v>TAXA BOLETO CORA</v>
      </c>
      <c r="H5606" t="str">
        <f t="shared" si="2631"/>
        <v>24/09/2025</v>
      </c>
      <c r="I5606" t="str">
        <f t="shared" si="2628"/>
        <v>01/11/2025</v>
      </c>
      <c r="J5606" t="str">
        <f t="shared" si="2632"/>
        <v>24/09/2025</v>
      </c>
      <c r="M5606">
        <v>401</v>
      </c>
      <c r="N5606" t="str">
        <f t="shared" si="2629"/>
        <v>IOF/JUROS/DESP.FINANCEIRA</v>
      </c>
      <c r="P5606">
        <v>1.7</v>
      </c>
      <c r="Q5606" t="str">
        <f>"CORA SOCIEDADE DE CREDITO, FINANCIAMENTO E INVESTIMENTO (20035)"</f>
        <v>CORA SOCIEDADE DE CREDITO, FINANCIAMENTO E INVESTIMENTO (20035)</v>
      </c>
      <c r="R5606" t="str">
        <f t="shared" si="2630"/>
        <v>BANCO CORA (102)</v>
      </c>
      <c r="S5606">
        <v>3127</v>
      </c>
      <c r="T5606">
        <v>2712</v>
      </c>
      <c r="U5606" t="s">
        <v>19</v>
      </c>
    </row>
    <row r="5607" spans="1:21">
      <c r="A5607" t="str">
        <f t="shared" si="2621"/>
        <v>24/09/2025</v>
      </c>
      <c r="B5607" t="str">
        <f t="shared" si="2622"/>
        <v>SAÍDA</v>
      </c>
      <c r="C5607" t="str">
        <f t="shared" si="2623"/>
        <v>BOLETO</v>
      </c>
      <c r="D5607" t="str">
        <f t="shared" si="2624"/>
        <v>011125</v>
      </c>
      <c r="E5607" t="str">
        <f t="shared" si="2625"/>
        <v>COM</v>
      </c>
      <c r="F5607" t="str">
        <f t="shared" si="2626"/>
        <v>CORA SOCIEDADE DE CREDITO, FINANCIAMENTO E INVESTIMENTO (20035)</v>
      </c>
      <c r="G5607" t="str">
        <f t="shared" si="2627"/>
        <v>TAXA BOLETO CORA</v>
      </c>
      <c r="H5607" t="str">
        <f t="shared" si="2631"/>
        <v>24/09/2025</v>
      </c>
      <c r="I5607" t="str">
        <f t="shared" si="2628"/>
        <v>01/11/2025</v>
      </c>
      <c r="J5607" t="str">
        <f t="shared" si="2632"/>
        <v>24/09/2025</v>
      </c>
      <c r="K5607">
        <v>1.7</v>
      </c>
      <c r="L5607">
        <v>1.7</v>
      </c>
      <c r="M5607">
        <v>401</v>
      </c>
      <c r="N5607" t="str">
        <f t="shared" si="2629"/>
        <v>IOF/JUROS/DESP.FINANCEIRA</v>
      </c>
      <c r="O5607">
        <v>1.7</v>
      </c>
      <c r="R5607" t="str">
        <f t="shared" si="2630"/>
        <v>BANCO CORA (102)</v>
      </c>
      <c r="S5607">
        <v>3128</v>
      </c>
      <c r="T5607">
        <v>2713</v>
      </c>
      <c r="U5607" t="s">
        <v>19</v>
      </c>
    </row>
    <row r="5608" spans="1:21">
      <c r="A5608" t="str">
        <f t="shared" si="2621"/>
        <v>24/09/2025</v>
      </c>
      <c r="B5608" t="str">
        <f t="shared" si="2622"/>
        <v>SAÍDA</v>
      </c>
      <c r="C5608" t="str">
        <f t="shared" si="2623"/>
        <v>BOLETO</v>
      </c>
      <c r="D5608" t="str">
        <f t="shared" si="2624"/>
        <v>011125</v>
      </c>
      <c r="E5608" t="str">
        <f t="shared" si="2625"/>
        <v>COM</v>
      </c>
      <c r="F5608" t="str">
        <f t="shared" si="2626"/>
        <v>CORA SOCIEDADE DE CREDITO, FINANCIAMENTO E INVESTIMENTO (20035)</v>
      </c>
      <c r="G5608" t="str">
        <f t="shared" si="2627"/>
        <v>TAXA BOLETO CORA</v>
      </c>
      <c r="H5608" t="str">
        <f t="shared" si="2631"/>
        <v>24/09/2025</v>
      </c>
      <c r="I5608" t="str">
        <f t="shared" si="2628"/>
        <v>01/11/2025</v>
      </c>
      <c r="J5608" t="str">
        <f t="shared" si="2632"/>
        <v>24/09/2025</v>
      </c>
      <c r="M5608">
        <v>401</v>
      </c>
      <c r="N5608" t="str">
        <f t="shared" si="2629"/>
        <v>IOF/JUROS/DESP.FINANCEIRA</v>
      </c>
      <c r="P5608">
        <v>1.7</v>
      </c>
      <c r="Q5608" t="str">
        <f>"CORA SOCIEDADE DE CREDITO, FINANCIAMENTO E INVESTIMENTO (20035)"</f>
        <v>CORA SOCIEDADE DE CREDITO, FINANCIAMENTO E INVESTIMENTO (20035)</v>
      </c>
      <c r="R5608" t="str">
        <f t="shared" si="2630"/>
        <v>BANCO CORA (102)</v>
      </c>
      <c r="S5608">
        <v>3128</v>
      </c>
      <c r="T5608">
        <v>2713</v>
      </c>
      <c r="U5608" t="s">
        <v>19</v>
      </c>
    </row>
    <row r="5609" spans="1:21">
      <c r="A5609" t="str">
        <f t="shared" si="2621"/>
        <v>24/09/2025</v>
      </c>
      <c r="B5609" t="str">
        <f t="shared" si="2622"/>
        <v>SAÍDA</v>
      </c>
      <c r="C5609" t="str">
        <f t="shared" si="2623"/>
        <v>BOLETO</v>
      </c>
      <c r="D5609" t="str">
        <f t="shared" si="2624"/>
        <v>011125</v>
      </c>
      <c r="E5609" t="str">
        <f t="shared" si="2625"/>
        <v>COM</v>
      </c>
      <c r="F5609" t="str">
        <f t="shared" si="2626"/>
        <v>CORA SOCIEDADE DE CREDITO, FINANCIAMENTO E INVESTIMENTO (20035)</v>
      </c>
      <c r="G5609" t="str">
        <f t="shared" si="2627"/>
        <v>TAXA BOLETO CORA</v>
      </c>
      <c r="H5609" t="str">
        <f t="shared" si="2631"/>
        <v>24/09/2025</v>
      </c>
      <c r="I5609" t="str">
        <f t="shared" si="2628"/>
        <v>01/11/2025</v>
      </c>
      <c r="J5609" t="str">
        <f t="shared" si="2632"/>
        <v>24/09/2025</v>
      </c>
      <c r="K5609">
        <v>1.7</v>
      </c>
      <c r="L5609">
        <v>1.7</v>
      </c>
      <c r="M5609">
        <v>401</v>
      </c>
      <c r="N5609" t="str">
        <f t="shared" si="2629"/>
        <v>IOF/JUROS/DESP.FINANCEIRA</v>
      </c>
      <c r="O5609">
        <v>1.7</v>
      </c>
      <c r="R5609" t="str">
        <f t="shared" si="2630"/>
        <v>BANCO CORA (102)</v>
      </c>
      <c r="S5609">
        <v>3129</v>
      </c>
      <c r="T5609">
        <v>2714</v>
      </c>
      <c r="U5609" t="s">
        <v>19</v>
      </c>
    </row>
    <row r="5610" spans="1:21">
      <c r="A5610" t="str">
        <f t="shared" si="2621"/>
        <v>24/09/2025</v>
      </c>
      <c r="B5610" t="str">
        <f t="shared" si="2622"/>
        <v>SAÍDA</v>
      </c>
      <c r="C5610" t="str">
        <f t="shared" si="2623"/>
        <v>BOLETO</v>
      </c>
      <c r="D5610" t="str">
        <f t="shared" si="2624"/>
        <v>011125</v>
      </c>
      <c r="E5610" t="str">
        <f t="shared" si="2625"/>
        <v>COM</v>
      </c>
      <c r="F5610" t="str">
        <f t="shared" si="2626"/>
        <v>CORA SOCIEDADE DE CREDITO, FINANCIAMENTO E INVESTIMENTO (20035)</v>
      </c>
      <c r="G5610" t="str">
        <f t="shared" si="2627"/>
        <v>TAXA BOLETO CORA</v>
      </c>
      <c r="H5610" t="str">
        <f t="shared" si="2631"/>
        <v>24/09/2025</v>
      </c>
      <c r="I5610" t="str">
        <f t="shared" si="2628"/>
        <v>01/11/2025</v>
      </c>
      <c r="J5610" t="str">
        <f t="shared" si="2632"/>
        <v>24/09/2025</v>
      </c>
      <c r="M5610">
        <v>401</v>
      </c>
      <c r="N5610" t="str">
        <f t="shared" si="2629"/>
        <v>IOF/JUROS/DESP.FINANCEIRA</v>
      </c>
      <c r="P5610">
        <v>1.7</v>
      </c>
      <c r="Q5610" t="str">
        <f>"CORA SOCIEDADE DE CREDITO, FINANCIAMENTO E INVESTIMENTO (20035)"</f>
        <v>CORA SOCIEDADE DE CREDITO, FINANCIAMENTO E INVESTIMENTO (20035)</v>
      </c>
      <c r="R5610" t="str">
        <f t="shared" si="2630"/>
        <v>BANCO CORA (102)</v>
      </c>
      <c r="S5610">
        <v>3129</v>
      </c>
      <c r="T5610">
        <v>2714</v>
      </c>
      <c r="U5610" t="s">
        <v>19</v>
      </c>
    </row>
    <row r="5611" spans="1:21">
      <c r="A5611" t="str">
        <f t="shared" si="2621"/>
        <v>24/09/2025</v>
      </c>
      <c r="B5611" t="str">
        <f t="shared" si="2622"/>
        <v>SAÍDA</v>
      </c>
      <c r="C5611" t="str">
        <f t="shared" si="2623"/>
        <v>BOLETO</v>
      </c>
      <c r="D5611" t="str">
        <f t="shared" si="2624"/>
        <v>011125</v>
      </c>
      <c r="E5611" t="str">
        <f t="shared" si="2625"/>
        <v>COM</v>
      </c>
      <c r="F5611" t="str">
        <f t="shared" si="2626"/>
        <v>CORA SOCIEDADE DE CREDITO, FINANCIAMENTO E INVESTIMENTO (20035)</v>
      </c>
      <c r="G5611" t="str">
        <f t="shared" si="2627"/>
        <v>TAXA BOLETO CORA</v>
      </c>
      <c r="H5611" t="str">
        <f t="shared" si="2631"/>
        <v>24/09/2025</v>
      </c>
      <c r="I5611" t="str">
        <f t="shared" si="2628"/>
        <v>01/11/2025</v>
      </c>
      <c r="J5611" t="str">
        <f t="shared" si="2632"/>
        <v>24/09/2025</v>
      </c>
      <c r="K5611">
        <v>1.7</v>
      </c>
      <c r="L5611">
        <v>1.7</v>
      </c>
      <c r="M5611">
        <v>401</v>
      </c>
      <c r="N5611" t="str">
        <f t="shared" si="2629"/>
        <v>IOF/JUROS/DESP.FINANCEIRA</v>
      </c>
      <c r="O5611">
        <v>1.7</v>
      </c>
      <c r="R5611" t="str">
        <f t="shared" si="2630"/>
        <v>BANCO CORA (102)</v>
      </c>
      <c r="S5611">
        <v>3130</v>
      </c>
      <c r="T5611">
        <v>2715</v>
      </c>
      <c r="U5611" t="s">
        <v>19</v>
      </c>
    </row>
    <row r="5612" spans="1:21">
      <c r="A5612" t="str">
        <f t="shared" si="2621"/>
        <v>24/09/2025</v>
      </c>
      <c r="B5612" t="str">
        <f t="shared" si="2622"/>
        <v>SAÍDA</v>
      </c>
      <c r="C5612" t="str">
        <f t="shared" si="2623"/>
        <v>BOLETO</v>
      </c>
      <c r="D5612" t="str">
        <f t="shared" si="2624"/>
        <v>011125</v>
      </c>
      <c r="E5612" t="str">
        <f t="shared" si="2625"/>
        <v>COM</v>
      </c>
      <c r="F5612" t="str">
        <f t="shared" si="2626"/>
        <v>CORA SOCIEDADE DE CREDITO, FINANCIAMENTO E INVESTIMENTO (20035)</v>
      </c>
      <c r="G5612" t="str">
        <f t="shared" si="2627"/>
        <v>TAXA BOLETO CORA</v>
      </c>
      <c r="H5612" t="str">
        <f t="shared" si="2631"/>
        <v>24/09/2025</v>
      </c>
      <c r="I5612" t="str">
        <f t="shared" si="2628"/>
        <v>01/11/2025</v>
      </c>
      <c r="J5612" t="str">
        <f t="shared" si="2632"/>
        <v>24/09/2025</v>
      </c>
      <c r="M5612">
        <v>401</v>
      </c>
      <c r="N5612" t="str">
        <f t="shared" si="2629"/>
        <v>IOF/JUROS/DESP.FINANCEIRA</v>
      </c>
      <c r="P5612">
        <v>1.7</v>
      </c>
      <c r="Q5612" t="str">
        <f>"CORA SOCIEDADE DE CREDITO, FINANCIAMENTO E INVESTIMENTO (20035)"</f>
        <v>CORA SOCIEDADE DE CREDITO, FINANCIAMENTO E INVESTIMENTO (20035)</v>
      </c>
      <c r="R5612" t="str">
        <f t="shared" si="2630"/>
        <v>BANCO CORA (102)</v>
      </c>
      <c r="S5612">
        <v>3130</v>
      </c>
      <c r="T5612">
        <v>2715</v>
      </c>
      <c r="U5612" t="s">
        <v>19</v>
      </c>
    </row>
    <row r="5613" spans="1:21">
      <c r="A5613" t="str">
        <f t="shared" si="2621"/>
        <v>24/09/2025</v>
      </c>
      <c r="B5613" t="str">
        <f t="shared" si="2622"/>
        <v>SAÍDA</v>
      </c>
      <c r="C5613" t="str">
        <f t="shared" si="2623"/>
        <v>BOLETO</v>
      </c>
      <c r="D5613" t="str">
        <f t="shared" si="2624"/>
        <v>011125</v>
      </c>
      <c r="E5613" t="str">
        <f t="shared" si="2625"/>
        <v>COM</v>
      </c>
      <c r="F5613" t="str">
        <f t="shared" si="2626"/>
        <v>CORA SOCIEDADE DE CREDITO, FINANCIAMENTO E INVESTIMENTO (20035)</v>
      </c>
      <c r="G5613" t="str">
        <f t="shared" si="2627"/>
        <v>TAXA BOLETO CORA</v>
      </c>
      <c r="H5613" t="str">
        <f t="shared" si="2631"/>
        <v>24/09/2025</v>
      </c>
      <c r="I5613" t="str">
        <f t="shared" si="2628"/>
        <v>01/11/2025</v>
      </c>
      <c r="J5613" t="str">
        <f t="shared" si="2632"/>
        <v>24/09/2025</v>
      </c>
      <c r="K5613">
        <v>1.7</v>
      </c>
      <c r="L5613">
        <v>1.7</v>
      </c>
      <c r="M5613">
        <v>401</v>
      </c>
      <c r="N5613" t="str">
        <f t="shared" si="2629"/>
        <v>IOF/JUROS/DESP.FINANCEIRA</v>
      </c>
      <c r="O5613">
        <v>1.7</v>
      </c>
      <c r="R5613" t="str">
        <f t="shared" si="2630"/>
        <v>BANCO CORA (102)</v>
      </c>
      <c r="S5613">
        <v>3131</v>
      </c>
      <c r="T5613">
        <v>2716</v>
      </c>
      <c r="U5613" t="s">
        <v>19</v>
      </c>
    </row>
    <row r="5614" spans="1:21">
      <c r="A5614" t="str">
        <f t="shared" si="2621"/>
        <v>24/09/2025</v>
      </c>
      <c r="B5614" t="str">
        <f t="shared" si="2622"/>
        <v>SAÍDA</v>
      </c>
      <c r="C5614" t="str">
        <f t="shared" si="2623"/>
        <v>BOLETO</v>
      </c>
      <c r="D5614" t="str">
        <f t="shared" si="2624"/>
        <v>011125</v>
      </c>
      <c r="E5614" t="str">
        <f t="shared" si="2625"/>
        <v>COM</v>
      </c>
      <c r="F5614" t="str">
        <f t="shared" si="2626"/>
        <v>CORA SOCIEDADE DE CREDITO, FINANCIAMENTO E INVESTIMENTO (20035)</v>
      </c>
      <c r="G5614" t="str">
        <f t="shared" si="2627"/>
        <v>TAXA BOLETO CORA</v>
      </c>
      <c r="H5614" t="str">
        <f t="shared" si="2631"/>
        <v>24/09/2025</v>
      </c>
      <c r="I5614" t="str">
        <f t="shared" si="2628"/>
        <v>01/11/2025</v>
      </c>
      <c r="J5614" t="str">
        <f t="shared" si="2632"/>
        <v>24/09/2025</v>
      </c>
      <c r="M5614">
        <v>401</v>
      </c>
      <c r="N5614" t="str">
        <f t="shared" si="2629"/>
        <v>IOF/JUROS/DESP.FINANCEIRA</v>
      </c>
      <c r="P5614">
        <v>1.7</v>
      </c>
      <c r="Q5614" t="str">
        <f>"CORA SOCIEDADE DE CREDITO, FINANCIAMENTO E INVESTIMENTO (20035)"</f>
        <v>CORA SOCIEDADE DE CREDITO, FINANCIAMENTO E INVESTIMENTO (20035)</v>
      </c>
      <c r="R5614" t="str">
        <f t="shared" si="2630"/>
        <v>BANCO CORA (102)</v>
      </c>
      <c r="S5614">
        <v>3131</v>
      </c>
      <c r="T5614">
        <v>2716</v>
      </c>
      <c r="U5614" t="s">
        <v>19</v>
      </c>
    </row>
    <row r="5615" spans="1:21">
      <c r="A5615" t="str">
        <f t="shared" ref="A5615:A5646" si="2633">("25/09/2025")</f>
        <v>25/09/2025</v>
      </c>
      <c r="B5615" t="str">
        <f>"ENTRADA"</f>
        <v>ENTRADA</v>
      </c>
      <c r="C5615" t="str">
        <f t="shared" ref="C5615:C5648" si="2634">"NFSE"</f>
        <v>NFSE</v>
      </c>
      <c r="D5615" t="str">
        <f>"3470"</f>
        <v>3470</v>
      </c>
      <c r="E5615" t="str">
        <f t="shared" si="2625"/>
        <v>COM</v>
      </c>
      <c r="F5615" t="str">
        <f>"AC FARMA - CID.ALTA (10166)"</f>
        <v>AC FARMA - CID.ALTA (10166)</v>
      </c>
      <c r="G5615" t="str">
        <f>"Serv.Prest. 08/09/2025 a 14/09/2025 - RPS: 1235 - NFSe: 3470"</f>
        <v>Serv.Prest. 08/09/2025 a 14/09/2025 - RPS: 1235 - NFSe: 3470</v>
      </c>
      <c r="H5615" t="str">
        <f t="shared" si="2631"/>
        <v>24/09/2025</v>
      </c>
      <c r="I5615" t="str">
        <f t="shared" ref="I5615:I5622" si="2635">("15/09/2025")</f>
        <v>15/09/2025</v>
      </c>
      <c r="J5615" t="str">
        <f t="shared" ref="J5615:J5646" si="2636">("25/09/2025")</f>
        <v>25/09/2025</v>
      </c>
      <c r="K5615">
        <v>1077.1199999999999</v>
      </c>
      <c r="L5615">
        <v>1077.1199999999999</v>
      </c>
      <c r="M5615">
        <v>303</v>
      </c>
      <c r="N5615" t="str">
        <f t="shared" ref="N5615:N5648" si="2637">"RECEITAS COM ENTREGAS"</f>
        <v>RECEITAS COM ENTREGAS</v>
      </c>
      <c r="O5615">
        <v>1077.1199999999999</v>
      </c>
      <c r="R5615" t="str">
        <f t="shared" ref="R5615:R5648" si="2638">"RECEITAS COM ENTREGAS (303)"</f>
        <v>RECEITAS COM ENTREGAS (303)</v>
      </c>
      <c r="S5615">
        <v>2743</v>
      </c>
      <c r="T5615">
        <v>2118</v>
      </c>
      <c r="U5615" t="s">
        <v>19</v>
      </c>
    </row>
    <row r="5616" spans="1:21">
      <c r="A5616" t="str">
        <f t="shared" si="2633"/>
        <v>25/09/2025</v>
      </c>
      <c r="B5616" t="str">
        <f t="shared" ref="B5616:B5648" si="2639">"ENTRADA"</f>
        <v>ENTRADA</v>
      </c>
      <c r="C5616" t="str">
        <f t="shared" si="2634"/>
        <v>NFSE</v>
      </c>
      <c r="D5616" t="str">
        <f>"3470"</f>
        <v>3470</v>
      </c>
      <c r="E5616" t="str">
        <f t="shared" si="2625"/>
        <v>COM</v>
      </c>
      <c r="F5616" t="str">
        <f>"AC FARMA - CID.ALTA (10166)"</f>
        <v>AC FARMA - CID.ALTA (10166)</v>
      </c>
      <c r="G5616" t="str">
        <f>"Serv.Prest. 08/09/2025 a 14/09/2025 - RPS: 1235 - NFSe: 3470"</f>
        <v>Serv.Prest. 08/09/2025 a 14/09/2025 - RPS: 1235 - NFSe: 3470</v>
      </c>
      <c r="H5616" t="str">
        <f t="shared" si="2631"/>
        <v>24/09/2025</v>
      </c>
      <c r="I5616" t="str">
        <f t="shared" si="2635"/>
        <v>15/09/2025</v>
      </c>
      <c r="J5616" t="str">
        <f t="shared" si="2636"/>
        <v>25/09/2025</v>
      </c>
      <c r="M5616">
        <v>303</v>
      </c>
      <c r="N5616" t="str">
        <f t="shared" si="2637"/>
        <v>RECEITAS COM ENTREGAS</v>
      </c>
      <c r="P5616">
        <v>1077.1199999999999</v>
      </c>
      <c r="Q5616" t="str">
        <f>"AC FARMA - CID.ALTA (10166)"</f>
        <v>AC FARMA - CID.ALTA (10166)</v>
      </c>
      <c r="R5616" t="str">
        <f t="shared" si="2638"/>
        <v>RECEITAS COM ENTREGAS (303)</v>
      </c>
      <c r="S5616">
        <v>2743</v>
      </c>
      <c r="T5616">
        <v>2118</v>
      </c>
      <c r="U5616" t="s">
        <v>19</v>
      </c>
    </row>
    <row r="5617" spans="1:21">
      <c r="A5617" t="str">
        <f t="shared" si="2633"/>
        <v>25/09/2025</v>
      </c>
      <c r="B5617" t="str">
        <f t="shared" si="2639"/>
        <v>ENTRADA</v>
      </c>
      <c r="C5617" t="str">
        <f t="shared" si="2634"/>
        <v>NFSE</v>
      </c>
      <c r="D5617" t="str">
        <f>"3471"</f>
        <v>3471</v>
      </c>
      <c r="E5617" t="str">
        <f t="shared" si="2625"/>
        <v>COM</v>
      </c>
      <c r="F5617" t="str">
        <f>"AC FARMA - FLEMINFARMA (10160)"</f>
        <v>AC FARMA - FLEMINFARMA (10160)</v>
      </c>
      <c r="G5617" t="str">
        <f>"Serv.Prest. 08/09/2025 a 14/09/2025 - RPS: 1236 - NFSe: 3471"</f>
        <v>Serv.Prest. 08/09/2025 a 14/09/2025 - RPS: 1236 - NFSe: 3471</v>
      </c>
      <c r="H5617" t="str">
        <f t="shared" si="2631"/>
        <v>24/09/2025</v>
      </c>
      <c r="I5617" t="str">
        <f t="shared" si="2635"/>
        <v>15/09/2025</v>
      </c>
      <c r="J5617" t="str">
        <f t="shared" si="2636"/>
        <v>25/09/2025</v>
      </c>
      <c r="K5617">
        <v>306.45</v>
      </c>
      <c r="L5617">
        <v>306.45</v>
      </c>
      <c r="M5617">
        <v>303</v>
      </c>
      <c r="N5617" t="str">
        <f t="shared" si="2637"/>
        <v>RECEITAS COM ENTREGAS</v>
      </c>
      <c r="O5617">
        <v>306.45</v>
      </c>
      <c r="R5617" t="str">
        <f t="shared" si="2638"/>
        <v>RECEITAS COM ENTREGAS (303)</v>
      </c>
      <c r="S5617">
        <v>2744</v>
      </c>
      <c r="T5617">
        <v>2119</v>
      </c>
      <c r="U5617" t="s">
        <v>19</v>
      </c>
    </row>
    <row r="5618" spans="1:21">
      <c r="A5618" t="str">
        <f t="shared" si="2633"/>
        <v>25/09/2025</v>
      </c>
      <c r="B5618" t="str">
        <f t="shared" si="2639"/>
        <v>ENTRADA</v>
      </c>
      <c r="C5618" t="str">
        <f t="shared" si="2634"/>
        <v>NFSE</v>
      </c>
      <c r="D5618" t="str">
        <f>"3471"</f>
        <v>3471</v>
      </c>
      <c r="E5618" t="str">
        <f t="shared" si="2625"/>
        <v>COM</v>
      </c>
      <c r="F5618" t="str">
        <f>"AC FARMA - FLEMINFARMA (10160)"</f>
        <v>AC FARMA - FLEMINFARMA (10160)</v>
      </c>
      <c r="G5618" t="str">
        <f>"Serv.Prest. 08/09/2025 a 14/09/2025 - RPS: 1236 - NFSe: 3471"</f>
        <v>Serv.Prest. 08/09/2025 a 14/09/2025 - RPS: 1236 - NFSe: 3471</v>
      </c>
      <c r="H5618" t="str">
        <f t="shared" si="2631"/>
        <v>24/09/2025</v>
      </c>
      <c r="I5618" t="str">
        <f t="shared" si="2635"/>
        <v>15/09/2025</v>
      </c>
      <c r="J5618" t="str">
        <f t="shared" si="2636"/>
        <v>25/09/2025</v>
      </c>
      <c r="M5618">
        <v>303</v>
      </c>
      <c r="N5618" t="str">
        <f t="shared" si="2637"/>
        <v>RECEITAS COM ENTREGAS</v>
      </c>
      <c r="P5618">
        <v>292.94</v>
      </c>
      <c r="Q5618" t="str">
        <f>"AC FARMA -  FLEMINFARMA (10159)"</f>
        <v>AC FARMA -  FLEMINFARMA (10159)</v>
      </c>
      <c r="R5618" t="str">
        <f t="shared" si="2638"/>
        <v>RECEITAS COM ENTREGAS (303)</v>
      </c>
      <c r="S5618">
        <v>2744</v>
      </c>
      <c r="T5618">
        <v>2119</v>
      </c>
      <c r="U5618" t="s">
        <v>19</v>
      </c>
    </row>
    <row r="5619" spans="1:21">
      <c r="A5619" t="str">
        <f t="shared" si="2633"/>
        <v>25/09/2025</v>
      </c>
      <c r="B5619" t="str">
        <f t="shared" si="2639"/>
        <v>ENTRADA</v>
      </c>
      <c r="C5619" t="str">
        <f t="shared" si="2634"/>
        <v>NFSE</v>
      </c>
      <c r="D5619" t="str">
        <f>"3471"</f>
        <v>3471</v>
      </c>
      <c r="E5619" t="str">
        <f t="shared" si="2625"/>
        <v>COM</v>
      </c>
      <c r="F5619" t="str">
        <f>"AC FARMA - FLEMINFARMA (10160)"</f>
        <v>AC FARMA - FLEMINFARMA (10160)</v>
      </c>
      <c r="G5619" t="str">
        <f>"Serv.Prest. 08/09/2025 a 14/09/2025 - RPS: 1236 - NFSe: 3471"</f>
        <v>Serv.Prest. 08/09/2025 a 14/09/2025 - RPS: 1236 - NFSe: 3471</v>
      </c>
      <c r="H5619" t="str">
        <f t="shared" si="2631"/>
        <v>24/09/2025</v>
      </c>
      <c r="I5619" t="str">
        <f t="shared" si="2635"/>
        <v>15/09/2025</v>
      </c>
      <c r="J5619" t="str">
        <f t="shared" si="2636"/>
        <v>25/09/2025</v>
      </c>
      <c r="M5619">
        <v>303</v>
      </c>
      <c r="N5619" t="str">
        <f t="shared" si="2637"/>
        <v>RECEITAS COM ENTREGAS</v>
      </c>
      <c r="P5619">
        <v>13.51</v>
      </c>
      <c r="Q5619" t="str">
        <f>"AC FARMA - FLEMINFARMA (10160)"</f>
        <v>AC FARMA - FLEMINFARMA (10160)</v>
      </c>
      <c r="R5619" t="str">
        <f t="shared" si="2638"/>
        <v>RECEITAS COM ENTREGAS (303)</v>
      </c>
      <c r="S5619">
        <v>2744</v>
      </c>
      <c r="T5619">
        <v>2119</v>
      </c>
      <c r="U5619" t="s">
        <v>19</v>
      </c>
    </row>
    <row r="5620" spans="1:21">
      <c r="A5620" t="str">
        <f t="shared" si="2633"/>
        <v>25/09/2025</v>
      </c>
      <c r="B5620" t="str">
        <f t="shared" si="2639"/>
        <v>ENTRADA</v>
      </c>
      <c r="C5620" t="str">
        <f t="shared" si="2634"/>
        <v>NFSE</v>
      </c>
      <c r="D5620" t="str">
        <f>"3472"</f>
        <v>3472</v>
      </c>
      <c r="E5620" t="str">
        <f t="shared" si="2625"/>
        <v>COM</v>
      </c>
      <c r="F5620" t="str">
        <f>"AC FARMA - FLEMINFARMA 5 (10183)"</f>
        <v>AC FARMA - FLEMINFARMA 5 (10183)</v>
      </c>
      <c r="G5620" t="str">
        <f>"Serv.Prest. 08/09/2025 a 14/09/2025 - RPS: 1237 - NFSe: 3472"</f>
        <v>Serv.Prest. 08/09/2025 a 14/09/2025 - RPS: 1237 - NFSe: 3472</v>
      </c>
      <c r="H5620" t="str">
        <f t="shared" si="2631"/>
        <v>24/09/2025</v>
      </c>
      <c r="I5620" t="str">
        <f t="shared" si="2635"/>
        <v>15/09/2025</v>
      </c>
      <c r="J5620" t="str">
        <f t="shared" si="2636"/>
        <v>25/09/2025</v>
      </c>
      <c r="K5620">
        <v>114.75</v>
      </c>
      <c r="L5620">
        <v>114.75</v>
      </c>
      <c r="M5620">
        <v>303</v>
      </c>
      <c r="N5620" t="str">
        <f t="shared" si="2637"/>
        <v>RECEITAS COM ENTREGAS</v>
      </c>
      <c r="O5620">
        <v>114.75</v>
      </c>
      <c r="R5620" t="str">
        <f t="shared" si="2638"/>
        <v>RECEITAS COM ENTREGAS (303)</v>
      </c>
      <c r="S5620">
        <v>2745</v>
      </c>
      <c r="T5620">
        <v>2120</v>
      </c>
      <c r="U5620" t="s">
        <v>19</v>
      </c>
    </row>
    <row r="5621" spans="1:21">
      <c r="A5621" t="str">
        <f t="shared" si="2633"/>
        <v>25/09/2025</v>
      </c>
      <c r="B5621" t="str">
        <f t="shared" si="2639"/>
        <v>ENTRADA</v>
      </c>
      <c r="C5621" t="str">
        <f t="shared" si="2634"/>
        <v>NFSE</v>
      </c>
      <c r="D5621" t="str">
        <f>"3472"</f>
        <v>3472</v>
      </c>
      <c r="E5621" t="str">
        <f t="shared" si="2625"/>
        <v>COM</v>
      </c>
      <c r="F5621" t="str">
        <f>"AC FARMA - FLEMINFARMA 5 (10183)"</f>
        <v>AC FARMA - FLEMINFARMA 5 (10183)</v>
      </c>
      <c r="G5621" t="str">
        <f>"Serv.Prest. 08/09/2025 a 14/09/2025 - RPS: 1237 - NFSe: 3472"</f>
        <v>Serv.Prest. 08/09/2025 a 14/09/2025 - RPS: 1237 - NFSe: 3472</v>
      </c>
      <c r="H5621" t="str">
        <f t="shared" si="2631"/>
        <v>24/09/2025</v>
      </c>
      <c r="I5621" t="str">
        <f t="shared" si="2635"/>
        <v>15/09/2025</v>
      </c>
      <c r="J5621" t="str">
        <f t="shared" si="2636"/>
        <v>25/09/2025</v>
      </c>
      <c r="M5621">
        <v>303</v>
      </c>
      <c r="N5621" t="str">
        <f t="shared" si="2637"/>
        <v>RECEITAS COM ENTREGAS</v>
      </c>
      <c r="P5621">
        <v>112.05</v>
      </c>
      <c r="Q5621" t="str">
        <f>"AC FARMA - FLEMINFARMA 5 (10183)"</f>
        <v>AC FARMA - FLEMINFARMA 5 (10183)</v>
      </c>
      <c r="R5621" t="str">
        <f t="shared" si="2638"/>
        <v>RECEITAS COM ENTREGAS (303)</v>
      </c>
      <c r="S5621">
        <v>2745</v>
      </c>
      <c r="T5621">
        <v>2120</v>
      </c>
      <c r="U5621" t="s">
        <v>19</v>
      </c>
    </row>
    <row r="5622" spans="1:21">
      <c r="A5622" t="str">
        <f t="shared" si="2633"/>
        <v>25/09/2025</v>
      </c>
      <c r="B5622" t="str">
        <f t="shared" si="2639"/>
        <v>ENTRADA</v>
      </c>
      <c r="C5622" t="str">
        <f t="shared" si="2634"/>
        <v>NFSE</v>
      </c>
      <c r="D5622" t="str">
        <f>"3472"</f>
        <v>3472</v>
      </c>
      <c r="E5622" t="str">
        <f t="shared" si="2625"/>
        <v>COM</v>
      </c>
      <c r="F5622" t="str">
        <f>"AC FARMA - FLEMINFARMA 5 (10183)"</f>
        <v>AC FARMA - FLEMINFARMA 5 (10183)</v>
      </c>
      <c r="G5622" t="str">
        <f>"Serv.Prest. 08/09/2025 a 14/09/2025 - RPS: 1237 - NFSe: 3472"</f>
        <v>Serv.Prest. 08/09/2025 a 14/09/2025 - RPS: 1237 - NFSe: 3472</v>
      </c>
      <c r="H5622" t="str">
        <f t="shared" si="2631"/>
        <v>24/09/2025</v>
      </c>
      <c r="I5622" t="str">
        <f t="shared" si="2635"/>
        <v>15/09/2025</v>
      </c>
      <c r="J5622" t="str">
        <f t="shared" si="2636"/>
        <v>25/09/2025</v>
      </c>
      <c r="M5622">
        <v>303</v>
      </c>
      <c r="N5622" t="str">
        <f t="shared" si="2637"/>
        <v>RECEITAS COM ENTREGAS</v>
      </c>
      <c r="P5622">
        <v>2.7</v>
      </c>
      <c r="Q5622" t="str">
        <f>"AC FARMA - FLEMINFARMA 6 (10184)"</f>
        <v>AC FARMA - FLEMINFARMA 6 (10184)</v>
      </c>
      <c r="R5622" t="str">
        <f t="shared" si="2638"/>
        <v>RECEITAS COM ENTREGAS (303)</v>
      </c>
      <c r="S5622">
        <v>2745</v>
      </c>
      <c r="T5622">
        <v>2120</v>
      </c>
      <c r="U5622" t="s">
        <v>19</v>
      </c>
    </row>
    <row r="5623" spans="1:21">
      <c r="A5623" t="str">
        <f t="shared" si="2633"/>
        <v>25/09/2025</v>
      </c>
      <c r="B5623" t="str">
        <f t="shared" si="2639"/>
        <v>ENTRADA</v>
      </c>
      <c r="C5623" t="str">
        <f t="shared" si="2634"/>
        <v>NFSE</v>
      </c>
      <c r="D5623" t="str">
        <f>"3488"</f>
        <v>3488</v>
      </c>
      <c r="E5623" t="str">
        <f t="shared" si="2625"/>
        <v>COM</v>
      </c>
      <c r="F5623" t="str">
        <f>"BRASIL FARMA (10173)"</f>
        <v>BRASIL FARMA (10173)</v>
      </c>
      <c r="G5623" t="str">
        <f>"Serv.Prest. 15/09/2025 a 21/09/2025 - RPS: 1253 - NFSe: 3488"</f>
        <v>Serv.Prest. 15/09/2025 a 21/09/2025 - RPS: 1253 - NFSe: 3488</v>
      </c>
      <c r="H5623" t="str">
        <f t="shared" si="2631"/>
        <v>24/09/2025</v>
      </c>
      <c r="I5623" t="str">
        <f t="shared" ref="I5623:I5640" si="2640">("22/09/2025")</f>
        <v>22/09/2025</v>
      </c>
      <c r="J5623" t="str">
        <f t="shared" si="2636"/>
        <v>25/09/2025</v>
      </c>
      <c r="K5623">
        <v>320.95999999999998</v>
      </c>
      <c r="L5623">
        <v>320.95999999999998</v>
      </c>
      <c r="M5623">
        <v>303</v>
      </c>
      <c r="N5623" t="str">
        <f t="shared" si="2637"/>
        <v>RECEITAS COM ENTREGAS</v>
      </c>
      <c r="O5623">
        <v>320.95999999999998</v>
      </c>
      <c r="R5623" t="str">
        <f t="shared" si="2638"/>
        <v>RECEITAS COM ENTREGAS (303)</v>
      </c>
      <c r="S5623">
        <v>2746</v>
      </c>
      <c r="T5623">
        <v>2136</v>
      </c>
      <c r="U5623" t="s">
        <v>19</v>
      </c>
    </row>
    <row r="5624" spans="1:21">
      <c r="A5624" t="str">
        <f t="shared" si="2633"/>
        <v>25/09/2025</v>
      </c>
      <c r="B5624" t="str">
        <f t="shared" si="2639"/>
        <v>ENTRADA</v>
      </c>
      <c r="C5624" t="str">
        <f t="shared" si="2634"/>
        <v>NFSE</v>
      </c>
      <c r="D5624" t="str">
        <f>"3488"</f>
        <v>3488</v>
      </c>
      <c r="E5624" t="str">
        <f t="shared" si="2625"/>
        <v>COM</v>
      </c>
      <c r="F5624" t="str">
        <f>"BRASIL FARMA (10173)"</f>
        <v>BRASIL FARMA (10173)</v>
      </c>
      <c r="G5624" t="str">
        <f>"Serv.Prest. 15/09/2025 a 21/09/2025 - RPS: 1253 - NFSe: 3488"</f>
        <v>Serv.Prest. 15/09/2025 a 21/09/2025 - RPS: 1253 - NFSe: 3488</v>
      </c>
      <c r="H5624" t="str">
        <f t="shared" si="2631"/>
        <v>24/09/2025</v>
      </c>
      <c r="I5624" t="str">
        <f t="shared" si="2640"/>
        <v>22/09/2025</v>
      </c>
      <c r="J5624" t="str">
        <f t="shared" si="2636"/>
        <v>25/09/2025</v>
      </c>
      <c r="M5624">
        <v>303</v>
      </c>
      <c r="N5624" t="str">
        <f t="shared" si="2637"/>
        <v>RECEITAS COM ENTREGAS</v>
      </c>
      <c r="P5624">
        <v>320.95999999999998</v>
      </c>
      <c r="Q5624" t="str">
        <f>"BRASIL FARMA (10173)"</f>
        <v>BRASIL FARMA (10173)</v>
      </c>
      <c r="R5624" t="str">
        <f t="shared" si="2638"/>
        <v>RECEITAS COM ENTREGAS (303)</v>
      </c>
      <c r="S5624">
        <v>2746</v>
      </c>
      <c r="T5624">
        <v>2136</v>
      </c>
      <c r="U5624" t="s">
        <v>19</v>
      </c>
    </row>
    <row r="5625" spans="1:21">
      <c r="A5625" t="str">
        <f t="shared" si="2633"/>
        <v>25/09/2025</v>
      </c>
      <c r="B5625" t="str">
        <f t="shared" si="2639"/>
        <v>ENTRADA</v>
      </c>
      <c r="C5625" t="str">
        <f t="shared" si="2634"/>
        <v>NFSE</v>
      </c>
      <c r="D5625" t="str">
        <f>"3492"</f>
        <v>3492</v>
      </c>
      <c r="E5625" t="str">
        <f t="shared" si="2625"/>
        <v>COM</v>
      </c>
      <c r="F5625" t="str">
        <f>"DROGARIA TOTAL JUNDIAI (10177)"</f>
        <v>DROGARIA TOTAL JUNDIAI (10177)</v>
      </c>
      <c r="G5625" t="str">
        <f>"Serv.Prest. 15/09/2025 a 21/09/2025 - RPS: 1257 - NFSe: 3492"</f>
        <v>Serv.Prest. 15/09/2025 a 21/09/2025 - RPS: 1257 - NFSe: 3492</v>
      </c>
      <c r="H5625" t="str">
        <f t="shared" si="2631"/>
        <v>24/09/2025</v>
      </c>
      <c r="I5625" t="str">
        <f t="shared" si="2640"/>
        <v>22/09/2025</v>
      </c>
      <c r="J5625" t="str">
        <f t="shared" si="2636"/>
        <v>25/09/2025</v>
      </c>
      <c r="K5625">
        <v>100.27</v>
      </c>
      <c r="L5625">
        <v>100.27</v>
      </c>
      <c r="M5625">
        <v>303</v>
      </c>
      <c r="N5625" t="str">
        <f t="shared" si="2637"/>
        <v>RECEITAS COM ENTREGAS</v>
      </c>
      <c r="O5625">
        <v>100.27</v>
      </c>
      <c r="R5625" t="str">
        <f t="shared" si="2638"/>
        <v>RECEITAS COM ENTREGAS (303)</v>
      </c>
      <c r="S5625">
        <v>2747</v>
      </c>
      <c r="T5625">
        <v>2140</v>
      </c>
      <c r="U5625" t="s">
        <v>19</v>
      </c>
    </row>
    <row r="5626" spans="1:21">
      <c r="A5626" t="str">
        <f t="shared" si="2633"/>
        <v>25/09/2025</v>
      </c>
      <c r="B5626" t="str">
        <f t="shared" si="2639"/>
        <v>ENTRADA</v>
      </c>
      <c r="C5626" t="str">
        <f t="shared" si="2634"/>
        <v>NFSE</v>
      </c>
      <c r="D5626" t="str">
        <f>"3492"</f>
        <v>3492</v>
      </c>
      <c r="E5626" t="str">
        <f t="shared" si="2625"/>
        <v>COM</v>
      </c>
      <c r="F5626" t="str">
        <f>"DROGARIA TOTAL JUNDIAI (10177)"</f>
        <v>DROGARIA TOTAL JUNDIAI (10177)</v>
      </c>
      <c r="G5626" t="str">
        <f>"Serv.Prest. 15/09/2025 a 21/09/2025 - RPS: 1257 - NFSe: 3492"</f>
        <v>Serv.Prest. 15/09/2025 a 21/09/2025 - RPS: 1257 - NFSe: 3492</v>
      </c>
      <c r="H5626" t="str">
        <f t="shared" si="2631"/>
        <v>24/09/2025</v>
      </c>
      <c r="I5626" t="str">
        <f t="shared" si="2640"/>
        <v>22/09/2025</v>
      </c>
      <c r="J5626" t="str">
        <f t="shared" si="2636"/>
        <v>25/09/2025</v>
      </c>
      <c r="M5626">
        <v>303</v>
      </c>
      <c r="N5626" t="str">
        <f t="shared" si="2637"/>
        <v>RECEITAS COM ENTREGAS</v>
      </c>
      <c r="P5626">
        <v>100.27</v>
      </c>
      <c r="Q5626" t="str">
        <f>"DROGARIA TOTAL JUNDIAI (10177)"</f>
        <v>DROGARIA TOTAL JUNDIAI (10177)</v>
      </c>
      <c r="R5626" t="str">
        <f t="shared" si="2638"/>
        <v>RECEITAS COM ENTREGAS (303)</v>
      </c>
      <c r="S5626">
        <v>2747</v>
      </c>
      <c r="T5626">
        <v>2140</v>
      </c>
      <c r="U5626" t="s">
        <v>19</v>
      </c>
    </row>
    <row r="5627" spans="1:21">
      <c r="A5627" t="str">
        <f t="shared" si="2633"/>
        <v>25/09/2025</v>
      </c>
      <c r="B5627" t="str">
        <f t="shared" si="2639"/>
        <v>ENTRADA</v>
      </c>
      <c r="C5627" t="str">
        <f t="shared" si="2634"/>
        <v>NFSE</v>
      </c>
      <c r="D5627" t="str">
        <f>"3493"</f>
        <v>3493</v>
      </c>
      <c r="E5627" t="str">
        <f t="shared" si="2625"/>
        <v>COM</v>
      </c>
      <c r="F5627" t="str">
        <f>"ENTREFARMA (10164)"</f>
        <v>ENTREFARMA (10164)</v>
      </c>
      <c r="G5627" t="str">
        <f>"Serv.Prest. 15/09/2025 a 21/09/2025 - RPS: 1258 - NFSe: 3493"</f>
        <v>Serv.Prest. 15/09/2025 a 21/09/2025 - RPS: 1258 - NFSe: 3493</v>
      </c>
      <c r="H5627" t="str">
        <f t="shared" si="2631"/>
        <v>24/09/2025</v>
      </c>
      <c r="I5627" t="str">
        <f t="shared" si="2640"/>
        <v>22/09/2025</v>
      </c>
      <c r="J5627" t="str">
        <f t="shared" si="2636"/>
        <v>25/09/2025</v>
      </c>
      <c r="K5627">
        <v>1164.08</v>
      </c>
      <c r="L5627">
        <v>1164.08</v>
      </c>
      <c r="M5627">
        <v>303</v>
      </c>
      <c r="N5627" t="str">
        <f t="shared" si="2637"/>
        <v>RECEITAS COM ENTREGAS</v>
      </c>
      <c r="O5627">
        <v>1164.08</v>
      </c>
      <c r="R5627" t="str">
        <f t="shared" si="2638"/>
        <v>RECEITAS COM ENTREGAS (303)</v>
      </c>
      <c r="S5627">
        <v>2748</v>
      </c>
      <c r="T5627">
        <v>2141</v>
      </c>
      <c r="U5627" t="s">
        <v>19</v>
      </c>
    </row>
    <row r="5628" spans="1:21">
      <c r="A5628" t="str">
        <f t="shared" si="2633"/>
        <v>25/09/2025</v>
      </c>
      <c r="B5628" t="str">
        <f t="shared" si="2639"/>
        <v>ENTRADA</v>
      </c>
      <c r="C5628" t="str">
        <f t="shared" si="2634"/>
        <v>NFSE</v>
      </c>
      <c r="D5628" t="str">
        <f>"3493"</f>
        <v>3493</v>
      </c>
      <c r="E5628" t="str">
        <f t="shared" si="2625"/>
        <v>COM</v>
      </c>
      <c r="F5628" t="str">
        <f>"ENTREFARMA (10164)"</f>
        <v>ENTREFARMA (10164)</v>
      </c>
      <c r="G5628" t="str">
        <f>"Serv.Prest. 15/09/2025 a 21/09/2025 - RPS: 1258 - NFSe: 3493"</f>
        <v>Serv.Prest. 15/09/2025 a 21/09/2025 - RPS: 1258 - NFSe: 3493</v>
      </c>
      <c r="H5628" t="str">
        <f t="shared" si="2631"/>
        <v>24/09/2025</v>
      </c>
      <c r="I5628" t="str">
        <f t="shared" si="2640"/>
        <v>22/09/2025</v>
      </c>
      <c r="J5628" t="str">
        <f t="shared" si="2636"/>
        <v>25/09/2025</v>
      </c>
      <c r="M5628">
        <v>303</v>
      </c>
      <c r="N5628" t="str">
        <f t="shared" si="2637"/>
        <v>RECEITAS COM ENTREGAS</v>
      </c>
      <c r="P5628">
        <v>1164.08</v>
      </c>
      <c r="Q5628" t="str">
        <f>"ENTREFARMA (10164)"</f>
        <v>ENTREFARMA (10164)</v>
      </c>
      <c r="R5628" t="str">
        <f t="shared" si="2638"/>
        <v>RECEITAS COM ENTREGAS (303)</v>
      </c>
      <c r="S5628">
        <v>2748</v>
      </c>
      <c r="T5628">
        <v>2141</v>
      </c>
      <c r="U5628" t="s">
        <v>19</v>
      </c>
    </row>
    <row r="5629" spans="1:21">
      <c r="A5629" t="str">
        <f t="shared" si="2633"/>
        <v>25/09/2025</v>
      </c>
      <c r="B5629" t="str">
        <f t="shared" si="2639"/>
        <v>ENTRADA</v>
      </c>
      <c r="C5629" t="str">
        <f t="shared" si="2634"/>
        <v>NFSE</v>
      </c>
      <c r="D5629" t="str">
        <f>"3495"</f>
        <v>3495</v>
      </c>
      <c r="E5629" t="str">
        <f t="shared" si="2625"/>
        <v>COM</v>
      </c>
      <c r="F5629" t="str">
        <f>"DROGA ELIDA (10121)"</f>
        <v>DROGA ELIDA (10121)</v>
      </c>
      <c r="G5629" t="str">
        <f>"Serv.Prest. 15/09/2025 a 21/09/2025 - RPS: 1260 - NFSe: 3495"</f>
        <v>Serv.Prest. 15/09/2025 a 21/09/2025 - RPS: 1260 - NFSe: 3495</v>
      </c>
      <c r="H5629" t="str">
        <f t="shared" si="2631"/>
        <v>24/09/2025</v>
      </c>
      <c r="I5629" t="str">
        <f t="shared" si="2640"/>
        <v>22/09/2025</v>
      </c>
      <c r="J5629" t="str">
        <f t="shared" si="2636"/>
        <v>25/09/2025</v>
      </c>
      <c r="K5629">
        <v>350.4</v>
      </c>
      <c r="L5629">
        <v>350.4</v>
      </c>
      <c r="M5629">
        <v>303</v>
      </c>
      <c r="N5629" t="str">
        <f t="shared" si="2637"/>
        <v>RECEITAS COM ENTREGAS</v>
      </c>
      <c r="O5629">
        <v>350.4</v>
      </c>
      <c r="R5629" t="str">
        <f t="shared" si="2638"/>
        <v>RECEITAS COM ENTREGAS (303)</v>
      </c>
      <c r="S5629">
        <v>2749</v>
      </c>
      <c r="T5629">
        <v>2143</v>
      </c>
      <c r="U5629" t="s">
        <v>19</v>
      </c>
    </row>
    <row r="5630" spans="1:21">
      <c r="A5630" t="str">
        <f t="shared" si="2633"/>
        <v>25/09/2025</v>
      </c>
      <c r="B5630" t="str">
        <f t="shared" si="2639"/>
        <v>ENTRADA</v>
      </c>
      <c r="C5630" t="str">
        <f t="shared" si="2634"/>
        <v>NFSE</v>
      </c>
      <c r="D5630" t="str">
        <f>"3495"</f>
        <v>3495</v>
      </c>
      <c r="E5630" t="str">
        <f t="shared" si="2625"/>
        <v>COM</v>
      </c>
      <c r="F5630" t="str">
        <f>"DROGA ELIDA (10121)"</f>
        <v>DROGA ELIDA (10121)</v>
      </c>
      <c r="G5630" t="str">
        <f>"Serv.Prest. 15/09/2025 a 21/09/2025 - RPS: 1260 - NFSe: 3495"</f>
        <v>Serv.Prest. 15/09/2025 a 21/09/2025 - RPS: 1260 - NFSe: 3495</v>
      </c>
      <c r="H5630" t="str">
        <f t="shared" si="2631"/>
        <v>24/09/2025</v>
      </c>
      <c r="I5630" t="str">
        <f t="shared" si="2640"/>
        <v>22/09/2025</v>
      </c>
      <c r="J5630" t="str">
        <f t="shared" si="2636"/>
        <v>25/09/2025</v>
      </c>
      <c r="M5630">
        <v>303</v>
      </c>
      <c r="N5630" t="str">
        <f t="shared" si="2637"/>
        <v>RECEITAS COM ENTREGAS</v>
      </c>
      <c r="P5630">
        <v>350.4</v>
      </c>
      <c r="Q5630" t="str">
        <f>"DROGA ELIDA (10121)"</f>
        <v>DROGA ELIDA (10121)</v>
      </c>
      <c r="R5630" t="str">
        <f t="shared" si="2638"/>
        <v>RECEITAS COM ENTREGAS (303)</v>
      </c>
      <c r="S5630">
        <v>2749</v>
      </c>
      <c r="T5630">
        <v>2143</v>
      </c>
      <c r="U5630" t="s">
        <v>19</v>
      </c>
    </row>
    <row r="5631" spans="1:21">
      <c r="A5631" t="str">
        <f t="shared" si="2633"/>
        <v>25/09/2025</v>
      </c>
      <c r="B5631" t="str">
        <f t="shared" si="2639"/>
        <v>ENTRADA</v>
      </c>
      <c r="C5631" t="str">
        <f t="shared" si="2634"/>
        <v>NFSE</v>
      </c>
      <c r="D5631" t="str">
        <f>"3496"</f>
        <v>3496</v>
      </c>
      <c r="E5631" t="str">
        <f t="shared" ref="E5631:E5662" si="2641">"COM"</f>
        <v>COM</v>
      </c>
      <c r="F5631" t="str">
        <f>"DROGARIA VAZ (10179)"</f>
        <v>DROGARIA VAZ (10179)</v>
      </c>
      <c r="G5631" t="str">
        <f>"Serv.Prest. 15/09/2025 a 21/09/2025 - RPS: 1261 - NFSe: 3496"</f>
        <v>Serv.Prest. 15/09/2025 a 21/09/2025 - RPS: 1261 - NFSe: 3496</v>
      </c>
      <c r="H5631" t="str">
        <f t="shared" si="2631"/>
        <v>24/09/2025</v>
      </c>
      <c r="I5631" t="str">
        <f t="shared" si="2640"/>
        <v>22/09/2025</v>
      </c>
      <c r="J5631" t="str">
        <f t="shared" si="2636"/>
        <v>25/09/2025</v>
      </c>
      <c r="K5631">
        <v>171.45</v>
      </c>
      <c r="L5631">
        <v>171.45</v>
      </c>
      <c r="M5631">
        <v>303</v>
      </c>
      <c r="N5631" t="str">
        <f t="shared" si="2637"/>
        <v>RECEITAS COM ENTREGAS</v>
      </c>
      <c r="O5631">
        <v>171.45</v>
      </c>
      <c r="R5631" t="str">
        <f t="shared" si="2638"/>
        <v>RECEITAS COM ENTREGAS (303)</v>
      </c>
      <c r="S5631">
        <v>2750</v>
      </c>
      <c r="T5631">
        <v>2144</v>
      </c>
      <c r="U5631" t="s">
        <v>19</v>
      </c>
    </row>
    <row r="5632" spans="1:21">
      <c r="A5632" t="str">
        <f t="shared" si="2633"/>
        <v>25/09/2025</v>
      </c>
      <c r="B5632" t="str">
        <f t="shared" si="2639"/>
        <v>ENTRADA</v>
      </c>
      <c r="C5632" t="str">
        <f t="shared" si="2634"/>
        <v>NFSE</v>
      </c>
      <c r="D5632" t="str">
        <f>"3496"</f>
        <v>3496</v>
      </c>
      <c r="E5632" t="str">
        <f t="shared" si="2641"/>
        <v>COM</v>
      </c>
      <c r="F5632" t="str">
        <f>"DROGARIA VAZ (10179)"</f>
        <v>DROGARIA VAZ (10179)</v>
      </c>
      <c r="G5632" t="str">
        <f>"Serv.Prest. 15/09/2025 a 21/09/2025 - RPS: 1261 - NFSe: 3496"</f>
        <v>Serv.Prest. 15/09/2025 a 21/09/2025 - RPS: 1261 - NFSe: 3496</v>
      </c>
      <c r="H5632" t="str">
        <f t="shared" si="2631"/>
        <v>24/09/2025</v>
      </c>
      <c r="I5632" t="str">
        <f t="shared" si="2640"/>
        <v>22/09/2025</v>
      </c>
      <c r="J5632" t="str">
        <f t="shared" si="2636"/>
        <v>25/09/2025</v>
      </c>
      <c r="M5632">
        <v>303</v>
      </c>
      <c r="N5632" t="str">
        <f t="shared" si="2637"/>
        <v>RECEITAS COM ENTREGAS</v>
      </c>
      <c r="P5632">
        <v>171.45</v>
      </c>
      <c r="Q5632" t="str">
        <f>"DROGARIA VAZ (10179)"</f>
        <v>DROGARIA VAZ (10179)</v>
      </c>
      <c r="R5632" t="str">
        <f t="shared" si="2638"/>
        <v>RECEITAS COM ENTREGAS (303)</v>
      </c>
      <c r="S5632">
        <v>2750</v>
      </c>
      <c r="T5632">
        <v>2144</v>
      </c>
      <c r="U5632" t="s">
        <v>19</v>
      </c>
    </row>
    <row r="5633" spans="1:21">
      <c r="A5633" t="str">
        <f t="shared" si="2633"/>
        <v>25/09/2025</v>
      </c>
      <c r="B5633" t="str">
        <f t="shared" si="2639"/>
        <v>ENTRADA</v>
      </c>
      <c r="C5633" t="str">
        <f t="shared" si="2634"/>
        <v>NFSE</v>
      </c>
      <c r="D5633" t="str">
        <f>"3500"</f>
        <v>3500</v>
      </c>
      <c r="E5633" t="str">
        <f t="shared" si="2641"/>
        <v>COM</v>
      </c>
      <c r="F5633" t="str">
        <f>"DROGARIA MEDIC CENTER LTDA (10172)"</f>
        <v>DROGARIA MEDIC CENTER LTDA (10172)</v>
      </c>
      <c r="G5633" t="str">
        <f>"Serv.Prest. 15/09/2025 a 21/09/2025 - RPS: 1265 - NFSe: 3500"</f>
        <v>Serv.Prest. 15/09/2025 a 21/09/2025 - RPS: 1265 - NFSe: 3500</v>
      </c>
      <c r="H5633" t="str">
        <f t="shared" ref="H5633:H5644" si="2642">("24/09/2025")</f>
        <v>24/09/2025</v>
      </c>
      <c r="I5633" t="str">
        <f t="shared" si="2640"/>
        <v>22/09/2025</v>
      </c>
      <c r="J5633" t="str">
        <f t="shared" si="2636"/>
        <v>25/09/2025</v>
      </c>
      <c r="K5633">
        <v>122.4</v>
      </c>
      <c r="L5633">
        <v>122.4</v>
      </c>
      <c r="M5633">
        <v>303</v>
      </c>
      <c r="N5633" t="str">
        <f t="shared" si="2637"/>
        <v>RECEITAS COM ENTREGAS</v>
      </c>
      <c r="O5633">
        <v>122.4</v>
      </c>
      <c r="R5633" t="str">
        <f t="shared" si="2638"/>
        <v>RECEITAS COM ENTREGAS (303)</v>
      </c>
      <c r="S5633">
        <v>2751</v>
      </c>
      <c r="T5633">
        <v>2149</v>
      </c>
      <c r="U5633" t="s">
        <v>19</v>
      </c>
    </row>
    <row r="5634" spans="1:21">
      <c r="A5634" t="str">
        <f t="shared" si="2633"/>
        <v>25/09/2025</v>
      </c>
      <c r="B5634" t="str">
        <f t="shared" si="2639"/>
        <v>ENTRADA</v>
      </c>
      <c r="C5634" t="str">
        <f t="shared" si="2634"/>
        <v>NFSE</v>
      </c>
      <c r="D5634" t="str">
        <f>"3500"</f>
        <v>3500</v>
      </c>
      <c r="E5634" t="str">
        <f t="shared" si="2641"/>
        <v>COM</v>
      </c>
      <c r="F5634" t="str">
        <f>"DROGARIA MEDIC CENTER LTDA (10172)"</f>
        <v>DROGARIA MEDIC CENTER LTDA (10172)</v>
      </c>
      <c r="G5634" t="str">
        <f>"Serv.Prest. 15/09/2025 a 21/09/2025 - RPS: 1265 - NFSe: 3500"</f>
        <v>Serv.Prest. 15/09/2025 a 21/09/2025 - RPS: 1265 - NFSe: 3500</v>
      </c>
      <c r="H5634" t="str">
        <f t="shared" si="2642"/>
        <v>24/09/2025</v>
      </c>
      <c r="I5634" t="str">
        <f t="shared" si="2640"/>
        <v>22/09/2025</v>
      </c>
      <c r="J5634" t="str">
        <f t="shared" si="2636"/>
        <v>25/09/2025</v>
      </c>
      <c r="M5634">
        <v>303</v>
      </c>
      <c r="N5634" t="str">
        <f t="shared" si="2637"/>
        <v>RECEITAS COM ENTREGAS</v>
      </c>
      <c r="P5634">
        <v>122.4</v>
      </c>
      <c r="Q5634" t="str">
        <f>"DROGARIA MEDIC CENTER LTDA (10172)"</f>
        <v>DROGARIA MEDIC CENTER LTDA (10172)</v>
      </c>
      <c r="R5634" t="str">
        <f t="shared" si="2638"/>
        <v>RECEITAS COM ENTREGAS (303)</v>
      </c>
      <c r="S5634">
        <v>2751</v>
      </c>
      <c r="T5634">
        <v>2149</v>
      </c>
      <c r="U5634" t="s">
        <v>19</v>
      </c>
    </row>
    <row r="5635" spans="1:21">
      <c r="A5635" t="str">
        <f t="shared" si="2633"/>
        <v>25/09/2025</v>
      </c>
      <c r="B5635" t="str">
        <f t="shared" si="2639"/>
        <v>ENTRADA</v>
      </c>
      <c r="C5635" t="str">
        <f t="shared" si="2634"/>
        <v>NFSE</v>
      </c>
      <c r="D5635" t="str">
        <f>"3504"</f>
        <v>3504</v>
      </c>
      <c r="E5635" t="str">
        <f t="shared" si="2641"/>
        <v>COM</v>
      </c>
      <c r="F5635" t="str">
        <f>"LBL FARMACIA LTDA FILIAL (10192)"</f>
        <v>LBL FARMACIA LTDA FILIAL (10192)</v>
      </c>
      <c r="G5635" t="str">
        <f>"Serv.Prest. 15/09/2025 a 21/09/2025 - RPS: 1269 - NFSe: 3504"</f>
        <v>Serv.Prest. 15/09/2025 a 21/09/2025 - RPS: 1269 - NFSe: 3504</v>
      </c>
      <c r="H5635" t="str">
        <f t="shared" si="2642"/>
        <v>24/09/2025</v>
      </c>
      <c r="I5635" t="str">
        <f t="shared" si="2640"/>
        <v>22/09/2025</v>
      </c>
      <c r="J5635" t="str">
        <f t="shared" si="2636"/>
        <v>25/09/2025</v>
      </c>
      <c r="K5635">
        <v>164.85</v>
      </c>
      <c r="L5635">
        <v>164.85</v>
      </c>
      <c r="M5635">
        <v>303</v>
      </c>
      <c r="N5635" t="str">
        <f t="shared" si="2637"/>
        <v>RECEITAS COM ENTREGAS</v>
      </c>
      <c r="O5635">
        <v>164.85</v>
      </c>
      <c r="R5635" t="str">
        <f t="shared" si="2638"/>
        <v>RECEITAS COM ENTREGAS (303)</v>
      </c>
      <c r="S5635">
        <v>2752</v>
      </c>
      <c r="T5635">
        <v>2153</v>
      </c>
      <c r="U5635" t="s">
        <v>19</v>
      </c>
    </row>
    <row r="5636" spans="1:21">
      <c r="A5636" t="str">
        <f t="shared" si="2633"/>
        <v>25/09/2025</v>
      </c>
      <c r="B5636" t="str">
        <f t="shared" si="2639"/>
        <v>ENTRADA</v>
      </c>
      <c r="C5636" t="str">
        <f t="shared" si="2634"/>
        <v>NFSE</v>
      </c>
      <c r="D5636" t="str">
        <f>"3504"</f>
        <v>3504</v>
      </c>
      <c r="E5636" t="str">
        <f t="shared" si="2641"/>
        <v>COM</v>
      </c>
      <c r="F5636" t="str">
        <f>"LBL FARMACIA LTDA FILIAL (10192)"</f>
        <v>LBL FARMACIA LTDA FILIAL (10192)</v>
      </c>
      <c r="G5636" t="str">
        <f>"Serv.Prest. 15/09/2025 a 21/09/2025 - RPS: 1269 - NFSe: 3504"</f>
        <v>Serv.Prest. 15/09/2025 a 21/09/2025 - RPS: 1269 - NFSe: 3504</v>
      </c>
      <c r="H5636" t="str">
        <f t="shared" si="2642"/>
        <v>24/09/2025</v>
      </c>
      <c r="I5636" t="str">
        <f t="shared" si="2640"/>
        <v>22/09/2025</v>
      </c>
      <c r="J5636" t="str">
        <f t="shared" si="2636"/>
        <v>25/09/2025</v>
      </c>
      <c r="M5636">
        <v>303</v>
      </c>
      <c r="N5636" t="str">
        <f t="shared" si="2637"/>
        <v>RECEITAS COM ENTREGAS</v>
      </c>
      <c r="P5636">
        <v>164.85</v>
      </c>
      <c r="Q5636" t="str">
        <f>"LBL FARMACIA LTDA FILIAL (10192)"</f>
        <v>LBL FARMACIA LTDA FILIAL (10192)</v>
      </c>
      <c r="R5636" t="str">
        <f t="shared" si="2638"/>
        <v>RECEITAS COM ENTREGAS (303)</v>
      </c>
      <c r="S5636">
        <v>2752</v>
      </c>
      <c r="T5636">
        <v>2153</v>
      </c>
      <c r="U5636" t="s">
        <v>19</v>
      </c>
    </row>
    <row r="5637" spans="1:21">
      <c r="A5637" t="str">
        <f t="shared" si="2633"/>
        <v>25/09/2025</v>
      </c>
      <c r="B5637" t="str">
        <f t="shared" si="2639"/>
        <v>ENTRADA</v>
      </c>
      <c r="C5637" t="str">
        <f t="shared" si="2634"/>
        <v>NFSE</v>
      </c>
      <c r="D5637" t="str">
        <f>"3505"</f>
        <v>3505</v>
      </c>
      <c r="E5637" t="str">
        <f t="shared" si="2641"/>
        <v>COM</v>
      </c>
      <c r="F5637" t="str">
        <f>"LBL FARMACIA LTDA (10189)"</f>
        <v>LBL FARMACIA LTDA (10189)</v>
      </c>
      <c r="G5637" t="str">
        <f>"Serv.Prest. 15/09/2025 a 21/09/2025 - RPS: 1270 - NFSe: 3505"</f>
        <v>Serv.Prest. 15/09/2025 a 21/09/2025 - RPS: 1270 - NFSe: 3505</v>
      </c>
      <c r="H5637" t="str">
        <f t="shared" si="2642"/>
        <v>24/09/2025</v>
      </c>
      <c r="I5637" t="str">
        <f t="shared" si="2640"/>
        <v>22/09/2025</v>
      </c>
      <c r="J5637" t="str">
        <f t="shared" si="2636"/>
        <v>25/09/2025</v>
      </c>
      <c r="K5637">
        <v>135.44999999999999</v>
      </c>
      <c r="L5637">
        <v>135.44999999999999</v>
      </c>
      <c r="M5637">
        <v>303</v>
      </c>
      <c r="N5637" t="str">
        <f t="shared" si="2637"/>
        <v>RECEITAS COM ENTREGAS</v>
      </c>
      <c r="O5637">
        <v>135.44999999999999</v>
      </c>
      <c r="R5637" t="str">
        <f t="shared" si="2638"/>
        <v>RECEITAS COM ENTREGAS (303)</v>
      </c>
      <c r="S5637">
        <v>2753</v>
      </c>
      <c r="T5637">
        <v>2154</v>
      </c>
      <c r="U5637" t="s">
        <v>19</v>
      </c>
    </row>
    <row r="5638" spans="1:21">
      <c r="A5638" t="str">
        <f t="shared" si="2633"/>
        <v>25/09/2025</v>
      </c>
      <c r="B5638" t="str">
        <f t="shared" si="2639"/>
        <v>ENTRADA</v>
      </c>
      <c r="C5638" t="str">
        <f t="shared" si="2634"/>
        <v>NFSE</v>
      </c>
      <c r="D5638" t="str">
        <f>"3505"</f>
        <v>3505</v>
      </c>
      <c r="E5638" t="str">
        <f t="shared" si="2641"/>
        <v>COM</v>
      </c>
      <c r="F5638" t="str">
        <f>"LBL FARMACIA LTDA (10189)"</f>
        <v>LBL FARMACIA LTDA (10189)</v>
      </c>
      <c r="G5638" t="str">
        <f>"Serv.Prest. 15/09/2025 a 21/09/2025 - RPS: 1270 - NFSe: 3505"</f>
        <v>Serv.Prest. 15/09/2025 a 21/09/2025 - RPS: 1270 - NFSe: 3505</v>
      </c>
      <c r="H5638" t="str">
        <f t="shared" si="2642"/>
        <v>24/09/2025</v>
      </c>
      <c r="I5638" t="str">
        <f t="shared" si="2640"/>
        <v>22/09/2025</v>
      </c>
      <c r="J5638" t="str">
        <f t="shared" si="2636"/>
        <v>25/09/2025</v>
      </c>
      <c r="M5638">
        <v>303</v>
      </c>
      <c r="N5638" t="str">
        <f t="shared" si="2637"/>
        <v>RECEITAS COM ENTREGAS</v>
      </c>
      <c r="P5638">
        <v>135.44999999999999</v>
      </c>
      <c r="Q5638" t="str">
        <f>"LBL FARMACIA LTDA (10189)"</f>
        <v>LBL FARMACIA LTDA (10189)</v>
      </c>
      <c r="R5638" t="str">
        <f t="shared" si="2638"/>
        <v>RECEITAS COM ENTREGAS (303)</v>
      </c>
      <c r="S5638">
        <v>2753</v>
      </c>
      <c r="T5638">
        <v>2154</v>
      </c>
      <c r="U5638" t="s">
        <v>19</v>
      </c>
    </row>
    <row r="5639" spans="1:21">
      <c r="A5639" t="str">
        <f t="shared" si="2633"/>
        <v>25/09/2025</v>
      </c>
      <c r="B5639" t="str">
        <f t="shared" si="2639"/>
        <v>ENTRADA</v>
      </c>
      <c r="C5639" t="str">
        <f t="shared" si="2634"/>
        <v>NFSE</v>
      </c>
      <c r="D5639" t="str">
        <f>"3507"</f>
        <v>3507</v>
      </c>
      <c r="E5639" t="str">
        <f t="shared" si="2641"/>
        <v>COM</v>
      </c>
      <c r="F5639" t="str">
        <f>"DROGARIA MORENO LTDA (10171)"</f>
        <v>DROGARIA MORENO LTDA (10171)</v>
      </c>
      <c r="G5639" t="str">
        <f>"Serv.Prest. 15/09/2025 a 21/09/2025 - RPS: 1272 - NFSe: 3507"</f>
        <v>Serv.Prest. 15/09/2025 a 21/09/2025 - RPS: 1272 - NFSe: 3507</v>
      </c>
      <c r="H5639" t="str">
        <f t="shared" si="2642"/>
        <v>24/09/2025</v>
      </c>
      <c r="I5639" t="str">
        <f t="shared" si="2640"/>
        <v>22/09/2025</v>
      </c>
      <c r="J5639" t="str">
        <f t="shared" si="2636"/>
        <v>25/09/2025</v>
      </c>
      <c r="K5639">
        <v>357.3</v>
      </c>
      <c r="L5639">
        <v>357.3</v>
      </c>
      <c r="M5639">
        <v>303</v>
      </c>
      <c r="N5639" t="str">
        <f t="shared" si="2637"/>
        <v>RECEITAS COM ENTREGAS</v>
      </c>
      <c r="O5639">
        <v>357.3</v>
      </c>
      <c r="R5639" t="str">
        <f t="shared" si="2638"/>
        <v>RECEITAS COM ENTREGAS (303)</v>
      </c>
      <c r="S5639">
        <v>2754</v>
      </c>
      <c r="T5639">
        <v>2156</v>
      </c>
      <c r="U5639" t="s">
        <v>19</v>
      </c>
    </row>
    <row r="5640" spans="1:21">
      <c r="A5640" t="str">
        <f t="shared" si="2633"/>
        <v>25/09/2025</v>
      </c>
      <c r="B5640" t="str">
        <f t="shared" si="2639"/>
        <v>ENTRADA</v>
      </c>
      <c r="C5640" t="str">
        <f t="shared" si="2634"/>
        <v>NFSE</v>
      </c>
      <c r="D5640" t="str">
        <f>"3507"</f>
        <v>3507</v>
      </c>
      <c r="E5640" t="str">
        <f t="shared" si="2641"/>
        <v>COM</v>
      </c>
      <c r="F5640" t="str">
        <f>"DROGARIA MORENO LTDA (10171)"</f>
        <v>DROGARIA MORENO LTDA (10171)</v>
      </c>
      <c r="G5640" t="str">
        <f>"Serv.Prest. 15/09/2025 a 21/09/2025 - RPS: 1272 - NFSe: 3507"</f>
        <v>Serv.Prest. 15/09/2025 a 21/09/2025 - RPS: 1272 - NFSe: 3507</v>
      </c>
      <c r="H5640" t="str">
        <f t="shared" si="2642"/>
        <v>24/09/2025</v>
      </c>
      <c r="I5640" t="str">
        <f t="shared" si="2640"/>
        <v>22/09/2025</v>
      </c>
      <c r="J5640" t="str">
        <f t="shared" si="2636"/>
        <v>25/09/2025</v>
      </c>
      <c r="M5640">
        <v>303</v>
      </c>
      <c r="N5640" t="str">
        <f t="shared" si="2637"/>
        <v>RECEITAS COM ENTREGAS</v>
      </c>
      <c r="P5640">
        <v>357.3</v>
      </c>
      <c r="Q5640" t="str">
        <f>"DROGARIA MORENO LTDA (10171)"</f>
        <v>DROGARIA MORENO LTDA (10171)</v>
      </c>
      <c r="R5640" t="str">
        <f t="shared" si="2638"/>
        <v>RECEITAS COM ENTREGAS (303)</v>
      </c>
      <c r="S5640">
        <v>2754</v>
      </c>
      <c r="T5640">
        <v>2156</v>
      </c>
      <c r="U5640" t="s">
        <v>19</v>
      </c>
    </row>
    <row r="5641" spans="1:21">
      <c r="A5641" t="str">
        <f t="shared" si="2633"/>
        <v>25/09/2025</v>
      </c>
      <c r="B5641" t="str">
        <f t="shared" si="2639"/>
        <v>ENTRADA</v>
      </c>
      <c r="C5641" t="str">
        <f t="shared" si="2634"/>
        <v>NFSE</v>
      </c>
      <c r="D5641" t="str">
        <f>"3512"</f>
        <v>3512</v>
      </c>
      <c r="E5641" t="str">
        <f t="shared" si="2641"/>
        <v>COM</v>
      </c>
      <c r="F5641" t="str">
        <f>"DROGA HONDA (10149)"</f>
        <v>DROGA HONDA (10149)</v>
      </c>
      <c r="G5641" t="str">
        <f>"Serv.Prest. 15/09/2025 a 21/09/2025 - RPS: 1277 - NFSe: 3512"</f>
        <v>Serv.Prest. 15/09/2025 a 21/09/2025 - RPS: 1277 - NFSe: 3512</v>
      </c>
      <c r="H5641" t="str">
        <f t="shared" si="2642"/>
        <v>24/09/2025</v>
      </c>
      <c r="I5641" t="str">
        <f>("23/09/2025")</f>
        <v>23/09/2025</v>
      </c>
      <c r="J5641" t="str">
        <f t="shared" si="2636"/>
        <v>25/09/2025</v>
      </c>
      <c r="K5641">
        <v>296.60000000000002</v>
      </c>
      <c r="L5641">
        <v>296.60000000000002</v>
      </c>
      <c r="M5641">
        <v>303</v>
      </c>
      <c r="N5641" t="str">
        <f t="shared" si="2637"/>
        <v>RECEITAS COM ENTREGAS</v>
      </c>
      <c r="O5641">
        <v>296.60000000000002</v>
      </c>
      <c r="R5641" t="str">
        <f t="shared" si="2638"/>
        <v>RECEITAS COM ENTREGAS (303)</v>
      </c>
      <c r="S5641">
        <v>2755</v>
      </c>
      <c r="T5641">
        <v>2161</v>
      </c>
      <c r="U5641" t="s">
        <v>19</v>
      </c>
    </row>
    <row r="5642" spans="1:21">
      <c r="A5642" t="str">
        <f t="shared" si="2633"/>
        <v>25/09/2025</v>
      </c>
      <c r="B5642" t="str">
        <f t="shared" si="2639"/>
        <v>ENTRADA</v>
      </c>
      <c r="C5642" t="str">
        <f t="shared" si="2634"/>
        <v>NFSE</v>
      </c>
      <c r="D5642" t="str">
        <f>"3512"</f>
        <v>3512</v>
      </c>
      <c r="E5642" t="str">
        <f t="shared" si="2641"/>
        <v>COM</v>
      </c>
      <c r="F5642" t="str">
        <f>"DROGA HONDA (10149)"</f>
        <v>DROGA HONDA (10149)</v>
      </c>
      <c r="G5642" t="str">
        <f>"Serv.Prest. 15/09/2025 a 21/09/2025 - RPS: 1277 - NFSe: 3512"</f>
        <v>Serv.Prest. 15/09/2025 a 21/09/2025 - RPS: 1277 - NFSe: 3512</v>
      </c>
      <c r="H5642" t="str">
        <f t="shared" si="2642"/>
        <v>24/09/2025</v>
      </c>
      <c r="I5642" t="str">
        <f>("23/09/2025")</f>
        <v>23/09/2025</v>
      </c>
      <c r="J5642" t="str">
        <f t="shared" si="2636"/>
        <v>25/09/2025</v>
      </c>
      <c r="M5642">
        <v>303</v>
      </c>
      <c r="N5642" t="str">
        <f t="shared" si="2637"/>
        <v>RECEITAS COM ENTREGAS</v>
      </c>
      <c r="P5642">
        <v>296.60000000000002</v>
      </c>
      <c r="Q5642" t="str">
        <f>"DROGA HONDA (10149)"</f>
        <v>DROGA HONDA (10149)</v>
      </c>
      <c r="R5642" t="str">
        <f t="shared" si="2638"/>
        <v>RECEITAS COM ENTREGAS (303)</v>
      </c>
      <c r="S5642">
        <v>2755</v>
      </c>
      <c r="T5642">
        <v>2161</v>
      </c>
      <c r="U5642" t="s">
        <v>19</v>
      </c>
    </row>
    <row r="5643" spans="1:21">
      <c r="A5643" t="str">
        <f t="shared" si="2633"/>
        <v>25/09/2025</v>
      </c>
      <c r="B5643" t="str">
        <f t="shared" si="2639"/>
        <v>ENTRADA</v>
      </c>
      <c r="C5643" t="str">
        <f t="shared" si="2634"/>
        <v>NFSE</v>
      </c>
      <c r="D5643" t="str">
        <f>"3514"</f>
        <v>3514</v>
      </c>
      <c r="E5643" t="str">
        <f t="shared" si="2641"/>
        <v>COM</v>
      </c>
      <c r="F5643" t="str">
        <f>"FARMACIA ECONOMIZE (10103)"</f>
        <v>FARMACIA ECONOMIZE (10103)</v>
      </c>
      <c r="G5643" t="str">
        <f>"Serv.Prest. 15/09/2025 a 21/09/2025 - RPS: 1279 - NFSe: 3514"</f>
        <v>Serv.Prest. 15/09/2025 a 21/09/2025 - RPS: 1279 - NFSe: 3514</v>
      </c>
      <c r="H5643" t="str">
        <f t="shared" si="2642"/>
        <v>24/09/2025</v>
      </c>
      <c r="I5643" t="str">
        <f>("23/09/2025")</f>
        <v>23/09/2025</v>
      </c>
      <c r="J5643" t="str">
        <f t="shared" si="2636"/>
        <v>25/09/2025</v>
      </c>
      <c r="K5643">
        <v>25.92</v>
      </c>
      <c r="L5643">
        <v>25.92</v>
      </c>
      <c r="M5643">
        <v>303</v>
      </c>
      <c r="N5643" t="str">
        <f t="shared" si="2637"/>
        <v>RECEITAS COM ENTREGAS</v>
      </c>
      <c r="O5643">
        <v>25.92</v>
      </c>
      <c r="R5643" t="str">
        <f t="shared" si="2638"/>
        <v>RECEITAS COM ENTREGAS (303)</v>
      </c>
      <c r="S5643">
        <v>2756</v>
      </c>
      <c r="T5643">
        <v>2163</v>
      </c>
      <c r="U5643" t="s">
        <v>19</v>
      </c>
    </row>
    <row r="5644" spans="1:21">
      <c r="A5644" t="str">
        <f t="shared" si="2633"/>
        <v>25/09/2025</v>
      </c>
      <c r="B5644" t="str">
        <f t="shared" si="2639"/>
        <v>ENTRADA</v>
      </c>
      <c r="C5644" t="str">
        <f t="shared" si="2634"/>
        <v>NFSE</v>
      </c>
      <c r="D5644" t="str">
        <f>"3514"</f>
        <v>3514</v>
      </c>
      <c r="E5644" t="str">
        <f t="shared" si="2641"/>
        <v>COM</v>
      </c>
      <c r="F5644" t="str">
        <f>"FARMACIA ECONOMIZE (10103)"</f>
        <v>FARMACIA ECONOMIZE (10103)</v>
      </c>
      <c r="G5644" t="str">
        <f>"Serv.Prest. 15/09/2025 a 21/09/2025 - RPS: 1279 - NFSe: 3514"</f>
        <v>Serv.Prest. 15/09/2025 a 21/09/2025 - RPS: 1279 - NFSe: 3514</v>
      </c>
      <c r="H5644" t="str">
        <f t="shared" si="2642"/>
        <v>24/09/2025</v>
      </c>
      <c r="I5644" t="str">
        <f>("23/09/2025")</f>
        <v>23/09/2025</v>
      </c>
      <c r="J5644" t="str">
        <f t="shared" si="2636"/>
        <v>25/09/2025</v>
      </c>
      <c r="M5644">
        <v>303</v>
      </c>
      <c r="N5644" t="str">
        <f t="shared" si="2637"/>
        <v>RECEITAS COM ENTREGAS</v>
      </c>
      <c r="P5644">
        <v>25.92</v>
      </c>
      <c r="Q5644" t="str">
        <f>"FARMACIA ECONOMIZE (10103)"</f>
        <v>FARMACIA ECONOMIZE (10103)</v>
      </c>
      <c r="R5644" t="str">
        <f t="shared" si="2638"/>
        <v>RECEITAS COM ENTREGAS (303)</v>
      </c>
      <c r="S5644">
        <v>2756</v>
      </c>
      <c r="T5644">
        <v>2163</v>
      </c>
      <c r="U5644" t="s">
        <v>19</v>
      </c>
    </row>
    <row r="5645" spans="1:21">
      <c r="A5645" t="str">
        <f t="shared" si="2633"/>
        <v>25/09/2025</v>
      </c>
      <c r="B5645" t="str">
        <f t="shared" si="2639"/>
        <v>ENTRADA</v>
      </c>
      <c r="C5645" t="str">
        <f t="shared" si="2634"/>
        <v>NFSE</v>
      </c>
      <c r="D5645" t="str">
        <f>"3465"</f>
        <v>3465</v>
      </c>
      <c r="E5645" t="str">
        <f t="shared" si="2641"/>
        <v>COM</v>
      </c>
      <c r="F5645" t="str">
        <f>"PAGMENOS - LJ 608 (10135)"</f>
        <v>PAGMENOS - LJ 608 (10135)</v>
      </c>
      <c r="G5645" t="str">
        <f>"Serv.Prest. 08/09/2025 a 14/09/2025 - RPS: 1230 - NFSe: 3465"</f>
        <v>Serv.Prest. 08/09/2025 a 14/09/2025 - RPS: 1230 - NFSe: 3465</v>
      </c>
      <c r="H5645" t="str">
        <f t="shared" ref="H5645:H5680" si="2643">("25/09/2025")</f>
        <v>25/09/2025</v>
      </c>
      <c r="I5645" t="str">
        <f>("15/09/2025")</f>
        <v>15/09/2025</v>
      </c>
      <c r="J5645" t="str">
        <f t="shared" si="2636"/>
        <v>25/09/2025</v>
      </c>
      <c r="K5645">
        <v>280.20999999999998</v>
      </c>
      <c r="L5645">
        <v>280.20999999999998</v>
      </c>
      <c r="M5645">
        <v>303</v>
      </c>
      <c r="N5645" t="str">
        <f t="shared" si="2637"/>
        <v>RECEITAS COM ENTREGAS</v>
      </c>
      <c r="O5645">
        <v>280.20999999999998</v>
      </c>
      <c r="R5645" t="str">
        <f t="shared" si="2638"/>
        <v>RECEITAS COM ENTREGAS (303)</v>
      </c>
      <c r="S5645">
        <v>2757</v>
      </c>
      <c r="T5645">
        <v>2113</v>
      </c>
      <c r="U5645" t="s">
        <v>19</v>
      </c>
    </row>
    <row r="5646" spans="1:21">
      <c r="A5646" t="str">
        <f t="shared" si="2633"/>
        <v>25/09/2025</v>
      </c>
      <c r="B5646" t="str">
        <f t="shared" si="2639"/>
        <v>ENTRADA</v>
      </c>
      <c r="C5646" t="str">
        <f t="shared" si="2634"/>
        <v>NFSE</v>
      </c>
      <c r="D5646" t="str">
        <f>"3465"</f>
        <v>3465</v>
      </c>
      <c r="E5646" t="str">
        <f t="shared" si="2641"/>
        <v>COM</v>
      </c>
      <c r="F5646" t="str">
        <f>"PAGMENOS - LJ 608 (10135)"</f>
        <v>PAGMENOS - LJ 608 (10135)</v>
      </c>
      <c r="G5646" t="str">
        <f>"Serv.Prest. 08/09/2025 a 14/09/2025 - RPS: 1230 - NFSe: 3465"</f>
        <v>Serv.Prest. 08/09/2025 a 14/09/2025 - RPS: 1230 - NFSe: 3465</v>
      </c>
      <c r="H5646" t="str">
        <f t="shared" si="2643"/>
        <v>25/09/2025</v>
      </c>
      <c r="I5646" t="str">
        <f>("15/09/2025")</f>
        <v>15/09/2025</v>
      </c>
      <c r="J5646" t="str">
        <f t="shared" si="2636"/>
        <v>25/09/2025</v>
      </c>
      <c r="M5646">
        <v>303</v>
      </c>
      <c r="N5646" t="str">
        <f t="shared" si="2637"/>
        <v>RECEITAS COM ENTREGAS</v>
      </c>
      <c r="P5646">
        <v>280.20999999999998</v>
      </c>
      <c r="Q5646" t="str">
        <f>"PAGMENOS - LJ 608 (10135)"</f>
        <v>PAGMENOS - LJ 608 (10135)</v>
      </c>
      <c r="R5646" t="str">
        <f t="shared" si="2638"/>
        <v>RECEITAS COM ENTREGAS (303)</v>
      </c>
      <c r="S5646">
        <v>2757</v>
      </c>
      <c r="T5646">
        <v>2113</v>
      </c>
      <c r="U5646" t="s">
        <v>19</v>
      </c>
    </row>
    <row r="5647" spans="1:21">
      <c r="A5647" t="str">
        <f t="shared" ref="A5647:A5676" si="2644">("25/09/2025")</f>
        <v>25/09/2025</v>
      </c>
      <c r="B5647" t="str">
        <f t="shared" si="2639"/>
        <v>ENTRADA</v>
      </c>
      <c r="C5647" t="str">
        <f t="shared" si="2634"/>
        <v>NFSE</v>
      </c>
      <c r="D5647" t="str">
        <f>"3466"</f>
        <v>3466</v>
      </c>
      <c r="E5647" t="str">
        <f t="shared" si="2641"/>
        <v>COM</v>
      </c>
      <c r="F5647" t="str">
        <f>"PAGMENOS - LJ 657 (10136)"</f>
        <v>PAGMENOS - LJ 657 (10136)</v>
      </c>
      <c r="G5647" t="str">
        <f>"Serv.Prest. 08/09/2025 a 14/09/2025 - RPS: 1231 - NFSe: 3466"</f>
        <v>Serv.Prest. 08/09/2025 a 14/09/2025 - RPS: 1231 - NFSe: 3466</v>
      </c>
      <c r="H5647" t="str">
        <f t="shared" si="2643"/>
        <v>25/09/2025</v>
      </c>
      <c r="I5647" t="str">
        <f>("15/09/2025")</f>
        <v>15/09/2025</v>
      </c>
      <c r="J5647" t="str">
        <f t="shared" ref="J5647:J5676" si="2645">("25/09/2025")</f>
        <v>25/09/2025</v>
      </c>
      <c r="K5647">
        <v>596.6</v>
      </c>
      <c r="L5647">
        <v>596.6</v>
      </c>
      <c r="M5647">
        <v>303</v>
      </c>
      <c r="N5647" t="str">
        <f t="shared" si="2637"/>
        <v>RECEITAS COM ENTREGAS</v>
      </c>
      <c r="O5647">
        <v>596.6</v>
      </c>
      <c r="R5647" t="str">
        <f t="shared" si="2638"/>
        <v>RECEITAS COM ENTREGAS (303)</v>
      </c>
      <c r="S5647">
        <v>2758</v>
      </c>
      <c r="T5647">
        <v>2114</v>
      </c>
      <c r="U5647" t="s">
        <v>19</v>
      </c>
    </row>
    <row r="5648" spans="1:21">
      <c r="A5648" t="str">
        <f t="shared" si="2644"/>
        <v>25/09/2025</v>
      </c>
      <c r="B5648" t="str">
        <f t="shared" si="2639"/>
        <v>ENTRADA</v>
      </c>
      <c r="C5648" t="str">
        <f t="shared" si="2634"/>
        <v>NFSE</v>
      </c>
      <c r="D5648" t="str">
        <f>"3466"</f>
        <v>3466</v>
      </c>
      <c r="E5648" t="str">
        <f t="shared" si="2641"/>
        <v>COM</v>
      </c>
      <c r="F5648" t="str">
        <f>"PAGMENOS - LJ 657 (10136)"</f>
        <v>PAGMENOS - LJ 657 (10136)</v>
      </c>
      <c r="G5648" t="str">
        <f>"Serv.Prest. 08/09/2025 a 14/09/2025 - RPS: 1231 - NFSe: 3466"</f>
        <v>Serv.Prest. 08/09/2025 a 14/09/2025 - RPS: 1231 - NFSe: 3466</v>
      </c>
      <c r="H5648" t="str">
        <f t="shared" si="2643"/>
        <v>25/09/2025</v>
      </c>
      <c r="I5648" t="str">
        <f>("15/09/2025")</f>
        <v>15/09/2025</v>
      </c>
      <c r="J5648" t="str">
        <f t="shared" si="2645"/>
        <v>25/09/2025</v>
      </c>
      <c r="M5648">
        <v>303</v>
      </c>
      <c r="N5648" t="str">
        <f t="shared" si="2637"/>
        <v>RECEITAS COM ENTREGAS</v>
      </c>
      <c r="P5648">
        <v>596.6</v>
      </c>
      <c r="Q5648" t="str">
        <f>"PAGMENOS - LJ 657 (10136)"</f>
        <v>PAGMENOS - LJ 657 (10136)</v>
      </c>
      <c r="R5648" t="str">
        <f t="shared" si="2638"/>
        <v>RECEITAS COM ENTREGAS (303)</v>
      </c>
      <c r="S5648">
        <v>2758</v>
      </c>
      <c r="T5648">
        <v>2114</v>
      </c>
      <c r="U5648" t="s">
        <v>19</v>
      </c>
    </row>
    <row r="5649" spans="1:21">
      <c r="A5649" t="str">
        <f t="shared" si="2644"/>
        <v>25/09/2025</v>
      </c>
      <c r="B5649" t="str">
        <f t="shared" ref="B5649:B5676" si="2646">"SAÍDA"</f>
        <v>SAÍDA</v>
      </c>
      <c r="C5649" t="str">
        <f t="shared" ref="C5649:C5676" si="2647">"BOLETO"</f>
        <v>BOLETO</v>
      </c>
      <c r="D5649" t="str">
        <f t="shared" ref="D5649:D5676" si="2648">"011125"</f>
        <v>011125</v>
      </c>
      <c r="E5649" t="str">
        <f t="shared" si="2641"/>
        <v>COM</v>
      </c>
      <c r="F5649" t="str">
        <f t="shared" ref="F5649:F5676" si="2649">"CORA SOCIEDADE DE CREDITO, FINANCIAMENTO E INVESTIMENTO (20035)"</f>
        <v>CORA SOCIEDADE DE CREDITO, FINANCIAMENTO E INVESTIMENTO (20035)</v>
      </c>
      <c r="G5649" t="str">
        <f t="shared" ref="G5649:G5676" si="2650">"TAXA BOLETO CORA"</f>
        <v>TAXA BOLETO CORA</v>
      </c>
      <c r="H5649" t="str">
        <f t="shared" si="2643"/>
        <v>25/09/2025</v>
      </c>
      <c r="I5649" t="str">
        <f t="shared" ref="I5649:I5676" si="2651">("01/11/2025")</f>
        <v>01/11/2025</v>
      </c>
      <c r="J5649" t="str">
        <f t="shared" si="2645"/>
        <v>25/09/2025</v>
      </c>
      <c r="K5649">
        <v>1.7</v>
      </c>
      <c r="L5649">
        <v>1.7</v>
      </c>
      <c r="M5649">
        <v>401</v>
      </c>
      <c r="N5649" t="str">
        <f t="shared" ref="N5649:N5676" si="2652">"IOF/JUROS/DESP.FINANCEIRA"</f>
        <v>IOF/JUROS/DESP.FINANCEIRA</v>
      </c>
      <c r="O5649">
        <v>1.7</v>
      </c>
      <c r="R5649" t="str">
        <f t="shared" ref="R5649:R5676" si="2653">"BANCO CORA (102)"</f>
        <v>BANCO CORA (102)</v>
      </c>
      <c r="S5649">
        <v>3132</v>
      </c>
      <c r="T5649">
        <v>2717</v>
      </c>
      <c r="U5649" t="s">
        <v>19</v>
      </c>
    </row>
    <row r="5650" spans="1:21">
      <c r="A5650" t="str">
        <f t="shared" si="2644"/>
        <v>25/09/2025</v>
      </c>
      <c r="B5650" t="str">
        <f t="shared" si="2646"/>
        <v>SAÍDA</v>
      </c>
      <c r="C5650" t="str">
        <f t="shared" si="2647"/>
        <v>BOLETO</v>
      </c>
      <c r="D5650" t="str">
        <f t="shared" si="2648"/>
        <v>011125</v>
      </c>
      <c r="E5650" t="str">
        <f t="shared" si="2641"/>
        <v>COM</v>
      </c>
      <c r="F5650" t="str">
        <f t="shared" si="2649"/>
        <v>CORA SOCIEDADE DE CREDITO, FINANCIAMENTO E INVESTIMENTO (20035)</v>
      </c>
      <c r="G5650" t="str">
        <f t="shared" si="2650"/>
        <v>TAXA BOLETO CORA</v>
      </c>
      <c r="H5650" t="str">
        <f t="shared" si="2643"/>
        <v>25/09/2025</v>
      </c>
      <c r="I5650" t="str">
        <f t="shared" si="2651"/>
        <v>01/11/2025</v>
      </c>
      <c r="J5650" t="str">
        <f t="shared" si="2645"/>
        <v>25/09/2025</v>
      </c>
      <c r="M5650">
        <v>401</v>
      </c>
      <c r="N5650" t="str">
        <f t="shared" si="2652"/>
        <v>IOF/JUROS/DESP.FINANCEIRA</v>
      </c>
      <c r="P5650">
        <v>1.7</v>
      </c>
      <c r="Q5650" t="str">
        <f>"CORA SOCIEDADE DE CREDITO, FINANCIAMENTO E INVESTIMENTO (20035)"</f>
        <v>CORA SOCIEDADE DE CREDITO, FINANCIAMENTO E INVESTIMENTO (20035)</v>
      </c>
      <c r="R5650" t="str">
        <f t="shared" si="2653"/>
        <v>BANCO CORA (102)</v>
      </c>
      <c r="S5650">
        <v>3132</v>
      </c>
      <c r="T5650">
        <v>2717</v>
      </c>
      <c r="U5650" t="s">
        <v>19</v>
      </c>
    </row>
    <row r="5651" spans="1:21">
      <c r="A5651" t="str">
        <f t="shared" si="2644"/>
        <v>25/09/2025</v>
      </c>
      <c r="B5651" t="str">
        <f t="shared" si="2646"/>
        <v>SAÍDA</v>
      </c>
      <c r="C5651" t="str">
        <f t="shared" si="2647"/>
        <v>BOLETO</v>
      </c>
      <c r="D5651" t="str">
        <f t="shared" si="2648"/>
        <v>011125</v>
      </c>
      <c r="E5651" t="str">
        <f t="shared" si="2641"/>
        <v>COM</v>
      </c>
      <c r="F5651" t="str">
        <f t="shared" si="2649"/>
        <v>CORA SOCIEDADE DE CREDITO, FINANCIAMENTO E INVESTIMENTO (20035)</v>
      </c>
      <c r="G5651" t="str">
        <f t="shared" si="2650"/>
        <v>TAXA BOLETO CORA</v>
      </c>
      <c r="H5651" t="str">
        <f t="shared" si="2643"/>
        <v>25/09/2025</v>
      </c>
      <c r="I5651" t="str">
        <f t="shared" si="2651"/>
        <v>01/11/2025</v>
      </c>
      <c r="J5651" t="str">
        <f t="shared" si="2645"/>
        <v>25/09/2025</v>
      </c>
      <c r="K5651">
        <v>1.7</v>
      </c>
      <c r="L5651">
        <v>1.7</v>
      </c>
      <c r="M5651">
        <v>401</v>
      </c>
      <c r="N5651" t="str">
        <f t="shared" si="2652"/>
        <v>IOF/JUROS/DESP.FINANCEIRA</v>
      </c>
      <c r="O5651">
        <v>1.7</v>
      </c>
      <c r="R5651" t="str">
        <f t="shared" si="2653"/>
        <v>BANCO CORA (102)</v>
      </c>
      <c r="S5651">
        <v>3133</v>
      </c>
      <c r="T5651">
        <v>2718</v>
      </c>
      <c r="U5651" t="s">
        <v>19</v>
      </c>
    </row>
    <row r="5652" spans="1:21">
      <c r="A5652" t="str">
        <f t="shared" si="2644"/>
        <v>25/09/2025</v>
      </c>
      <c r="B5652" t="str">
        <f t="shared" si="2646"/>
        <v>SAÍDA</v>
      </c>
      <c r="C5652" t="str">
        <f t="shared" si="2647"/>
        <v>BOLETO</v>
      </c>
      <c r="D5652" t="str">
        <f t="shared" si="2648"/>
        <v>011125</v>
      </c>
      <c r="E5652" t="str">
        <f t="shared" si="2641"/>
        <v>COM</v>
      </c>
      <c r="F5652" t="str">
        <f t="shared" si="2649"/>
        <v>CORA SOCIEDADE DE CREDITO, FINANCIAMENTO E INVESTIMENTO (20035)</v>
      </c>
      <c r="G5652" t="str">
        <f t="shared" si="2650"/>
        <v>TAXA BOLETO CORA</v>
      </c>
      <c r="H5652" t="str">
        <f t="shared" si="2643"/>
        <v>25/09/2025</v>
      </c>
      <c r="I5652" t="str">
        <f t="shared" si="2651"/>
        <v>01/11/2025</v>
      </c>
      <c r="J5652" t="str">
        <f t="shared" si="2645"/>
        <v>25/09/2025</v>
      </c>
      <c r="M5652">
        <v>401</v>
      </c>
      <c r="N5652" t="str">
        <f t="shared" si="2652"/>
        <v>IOF/JUROS/DESP.FINANCEIRA</v>
      </c>
      <c r="P5652">
        <v>1.7</v>
      </c>
      <c r="Q5652" t="str">
        <f>"CORA SOCIEDADE DE CREDITO, FINANCIAMENTO E INVESTIMENTO (20035)"</f>
        <v>CORA SOCIEDADE DE CREDITO, FINANCIAMENTO E INVESTIMENTO (20035)</v>
      </c>
      <c r="R5652" t="str">
        <f t="shared" si="2653"/>
        <v>BANCO CORA (102)</v>
      </c>
      <c r="S5652">
        <v>3133</v>
      </c>
      <c r="T5652">
        <v>2718</v>
      </c>
      <c r="U5652" t="s">
        <v>19</v>
      </c>
    </row>
    <row r="5653" spans="1:21">
      <c r="A5653" t="str">
        <f t="shared" si="2644"/>
        <v>25/09/2025</v>
      </c>
      <c r="B5653" t="str">
        <f t="shared" si="2646"/>
        <v>SAÍDA</v>
      </c>
      <c r="C5653" t="str">
        <f t="shared" si="2647"/>
        <v>BOLETO</v>
      </c>
      <c r="D5653" t="str">
        <f t="shared" si="2648"/>
        <v>011125</v>
      </c>
      <c r="E5653" t="str">
        <f t="shared" si="2641"/>
        <v>COM</v>
      </c>
      <c r="F5653" t="str">
        <f t="shared" si="2649"/>
        <v>CORA SOCIEDADE DE CREDITO, FINANCIAMENTO E INVESTIMENTO (20035)</v>
      </c>
      <c r="G5653" t="str">
        <f t="shared" si="2650"/>
        <v>TAXA BOLETO CORA</v>
      </c>
      <c r="H5653" t="str">
        <f t="shared" si="2643"/>
        <v>25/09/2025</v>
      </c>
      <c r="I5653" t="str">
        <f t="shared" si="2651"/>
        <v>01/11/2025</v>
      </c>
      <c r="J5653" t="str">
        <f t="shared" si="2645"/>
        <v>25/09/2025</v>
      </c>
      <c r="K5653">
        <v>1.7</v>
      </c>
      <c r="L5653">
        <v>1.7</v>
      </c>
      <c r="M5653">
        <v>401</v>
      </c>
      <c r="N5653" t="str">
        <f t="shared" si="2652"/>
        <v>IOF/JUROS/DESP.FINANCEIRA</v>
      </c>
      <c r="O5653">
        <v>1.7</v>
      </c>
      <c r="R5653" t="str">
        <f t="shared" si="2653"/>
        <v>BANCO CORA (102)</v>
      </c>
      <c r="S5653">
        <v>3134</v>
      </c>
      <c r="T5653">
        <v>2719</v>
      </c>
      <c r="U5653" t="s">
        <v>19</v>
      </c>
    </row>
    <row r="5654" spans="1:21">
      <c r="A5654" t="str">
        <f t="shared" si="2644"/>
        <v>25/09/2025</v>
      </c>
      <c r="B5654" t="str">
        <f t="shared" si="2646"/>
        <v>SAÍDA</v>
      </c>
      <c r="C5654" t="str">
        <f t="shared" si="2647"/>
        <v>BOLETO</v>
      </c>
      <c r="D5654" t="str">
        <f t="shared" si="2648"/>
        <v>011125</v>
      </c>
      <c r="E5654" t="str">
        <f t="shared" si="2641"/>
        <v>COM</v>
      </c>
      <c r="F5654" t="str">
        <f t="shared" si="2649"/>
        <v>CORA SOCIEDADE DE CREDITO, FINANCIAMENTO E INVESTIMENTO (20035)</v>
      </c>
      <c r="G5654" t="str">
        <f t="shared" si="2650"/>
        <v>TAXA BOLETO CORA</v>
      </c>
      <c r="H5654" t="str">
        <f t="shared" si="2643"/>
        <v>25/09/2025</v>
      </c>
      <c r="I5654" t="str">
        <f t="shared" si="2651"/>
        <v>01/11/2025</v>
      </c>
      <c r="J5654" t="str">
        <f t="shared" si="2645"/>
        <v>25/09/2025</v>
      </c>
      <c r="M5654">
        <v>401</v>
      </c>
      <c r="N5654" t="str">
        <f t="shared" si="2652"/>
        <v>IOF/JUROS/DESP.FINANCEIRA</v>
      </c>
      <c r="P5654">
        <v>1.7</v>
      </c>
      <c r="Q5654" t="str">
        <f>"CORA SOCIEDADE DE CREDITO, FINANCIAMENTO E INVESTIMENTO (20035)"</f>
        <v>CORA SOCIEDADE DE CREDITO, FINANCIAMENTO E INVESTIMENTO (20035)</v>
      </c>
      <c r="R5654" t="str">
        <f t="shared" si="2653"/>
        <v>BANCO CORA (102)</v>
      </c>
      <c r="S5654">
        <v>3134</v>
      </c>
      <c r="T5654">
        <v>2719</v>
      </c>
      <c r="U5654" t="s">
        <v>19</v>
      </c>
    </row>
    <row r="5655" spans="1:21">
      <c r="A5655" t="str">
        <f t="shared" si="2644"/>
        <v>25/09/2025</v>
      </c>
      <c r="B5655" t="str">
        <f t="shared" si="2646"/>
        <v>SAÍDA</v>
      </c>
      <c r="C5655" t="str">
        <f t="shared" si="2647"/>
        <v>BOLETO</v>
      </c>
      <c r="D5655" t="str">
        <f t="shared" si="2648"/>
        <v>011125</v>
      </c>
      <c r="E5655" t="str">
        <f t="shared" si="2641"/>
        <v>COM</v>
      </c>
      <c r="F5655" t="str">
        <f t="shared" si="2649"/>
        <v>CORA SOCIEDADE DE CREDITO, FINANCIAMENTO E INVESTIMENTO (20035)</v>
      </c>
      <c r="G5655" t="str">
        <f t="shared" si="2650"/>
        <v>TAXA BOLETO CORA</v>
      </c>
      <c r="H5655" t="str">
        <f t="shared" si="2643"/>
        <v>25/09/2025</v>
      </c>
      <c r="I5655" t="str">
        <f t="shared" si="2651"/>
        <v>01/11/2025</v>
      </c>
      <c r="J5655" t="str">
        <f t="shared" si="2645"/>
        <v>25/09/2025</v>
      </c>
      <c r="K5655">
        <v>1.7</v>
      </c>
      <c r="L5655">
        <v>1.7</v>
      </c>
      <c r="M5655">
        <v>401</v>
      </c>
      <c r="N5655" t="str">
        <f t="shared" si="2652"/>
        <v>IOF/JUROS/DESP.FINANCEIRA</v>
      </c>
      <c r="O5655">
        <v>1.7</v>
      </c>
      <c r="R5655" t="str">
        <f t="shared" si="2653"/>
        <v>BANCO CORA (102)</v>
      </c>
      <c r="S5655">
        <v>3135</v>
      </c>
      <c r="T5655">
        <v>2720</v>
      </c>
      <c r="U5655" t="s">
        <v>19</v>
      </c>
    </row>
    <row r="5656" spans="1:21">
      <c r="A5656" t="str">
        <f t="shared" si="2644"/>
        <v>25/09/2025</v>
      </c>
      <c r="B5656" t="str">
        <f t="shared" si="2646"/>
        <v>SAÍDA</v>
      </c>
      <c r="C5656" t="str">
        <f t="shared" si="2647"/>
        <v>BOLETO</v>
      </c>
      <c r="D5656" t="str">
        <f t="shared" si="2648"/>
        <v>011125</v>
      </c>
      <c r="E5656" t="str">
        <f t="shared" si="2641"/>
        <v>COM</v>
      </c>
      <c r="F5656" t="str">
        <f t="shared" si="2649"/>
        <v>CORA SOCIEDADE DE CREDITO, FINANCIAMENTO E INVESTIMENTO (20035)</v>
      </c>
      <c r="G5656" t="str">
        <f t="shared" si="2650"/>
        <v>TAXA BOLETO CORA</v>
      </c>
      <c r="H5656" t="str">
        <f t="shared" si="2643"/>
        <v>25/09/2025</v>
      </c>
      <c r="I5656" t="str">
        <f t="shared" si="2651"/>
        <v>01/11/2025</v>
      </c>
      <c r="J5656" t="str">
        <f t="shared" si="2645"/>
        <v>25/09/2025</v>
      </c>
      <c r="M5656">
        <v>401</v>
      </c>
      <c r="N5656" t="str">
        <f t="shared" si="2652"/>
        <v>IOF/JUROS/DESP.FINANCEIRA</v>
      </c>
      <c r="P5656">
        <v>1.7</v>
      </c>
      <c r="Q5656" t="str">
        <f>"CORA SOCIEDADE DE CREDITO, FINANCIAMENTO E INVESTIMENTO (20035)"</f>
        <v>CORA SOCIEDADE DE CREDITO, FINANCIAMENTO E INVESTIMENTO (20035)</v>
      </c>
      <c r="R5656" t="str">
        <f t="shared" si="2653"/>
        <v>BANCO CORA (102)</v>
      </c>
      <c r="S5656">
        <v>3135</v>
      </c>
      <c r="T5656">
        <v>2720</v>
      </c>
      <c r="U5656" t="s">
        <v>19</v>
      </c>
    </row>
    <row r="5657" spans="1:21">
      <c r="A5657" t="str">
        <f t="shared" si="2644"/>
        <v>25/09/2025</v>
      </c>
      <c r="B5657" t="str">
        <f t="shared" si="2646"/>
        <v>SAÍDA</v>
      </c>
      <c r="C5657" t="str">
        <f t="shared" si="2647"/>
        <v>BOLETO</v>
      </c>
      <c r="D5657" t="str">
        <f t="shared" si="2648"/>
        <v>011125</v>
      </c>
      <c r="E5657" t="str">
        <f t="shared" si="2641"/>
        <v>COM</v>
      </c>
      <c r="F5657" t="str">
        <f t="shared" si="2649"/>
        <v>CORA SOCIEDADE DE CREDITO, FINANCIAMENTO E INVESTIMENTO (20035)</v>
      </c>
      <c r="G5657" t="str">
        <f t="shared" si="2650"/>
        <v>TAXA BOLETO CORA</v>
      </c>
      <c r="H5657" t="str">
        <f t="shared" si="2643"/>
        <v>25/09/2025</v>
      </c>
      <c r="I5657" t="str">
        <f t="shared" si="2651"/>
        <v>01/11/2025</v>
      </c>
      <c r="J5657" t="str">
        <f t="shared" si="2645"/>
        <v>25/09/2025</v>
      </c>
      <c r="K5657">
        <v>1.7</v>
      </c>
      <c r="L5657">
        <v>1.7</v>
      </c>
      <c r="M5657">
        <v>401</v>
      </c>
      <c r="N5657" t="str">
        <f t="shared" si="2652"/>
        <v>IOF/JUROS/DESP.FINANCEIRA</v>
      </c>
      <c r="O5657">
        <v>1.7</v>
      </c>
      <c r="R5657" t="str">
        <f t="shared" si="2653"/>
        <v>BANCO CORA (102)</v>
      </c>
      <c r="S5657">
        <v>3136</v>
      </c>
      <c r="T5657">
        <v>2721</v>
      </c>
      <c r="U5657" t="s">
        <v>19</v>
      </c>
    </row>
    <row r="5658" spans="1:21">
      <c r="A5658" t="str">
        <f t="shared" si="2644"/>
        <v>25/09/2025</v>
      </c>
      <c r="B5658" t="str">
        <f t="shared" si="2646"/>
        <v>SAÍDA</v>
      </c>
      <c r="C5658" t="str">
        <f t="shared" si="2647"/>
        <v>BOLETO</v>
      </c>
      <c r="D5658" t="str">
        <f t="shared" si="2648"/>
        <v>011125</v>
      </c>
      <c r="E5658" t="str">
        <f t="shared" si="2641"/>
        <v>COM</v>
      </c>
      <c r="F5658" t="str">
        <f t="shared" si="2649"/>
        <v>CORA SOCIEDADE DE CREDITO, FINANCIAMENTO E INVESTIMENTO (20035)</v>
      </c>
      <c r="G5658" t="str">
        <f t="shared" si="2650"/>
        <v>TAXA BOLETO CORA</v>
      </c>
      <c r="H5658" t="str">
        <f t="shared" si="2643"/>
        <v>25/09/2025</v>
      </c>
      <c r="I5658" t="str">
        <f t="shared" si="2651"/>
        <v>01/11/2025</v>
      </c>
      <c r="J5658" t="str">
        <f t="shared" si="2645"/>
        <v>25/09/2025</v>
      </c>
      <c r="M5658">
        <v>401</v>
      </c>
      <c r="N5658" t="str">
        <f t="shared" si="2652"/>
        <v>IOF/JUROS/DESP.FINANCEIRA</v>
      </c>
      <c r="P5658">
        <v>1.7</v>
      </c>
      <c r="Q5658" t="str">
        <f>"CORA SOCIEDADE DE CREDITO, FINANCIAMENTO E INVESTIMENTO (20035)"</f>
        <v>CORA SOCIEDADE DE CREDITO, FINANCIAMENTO E INVESTIMENTO (20035)</v>
      </c>
      <c r="R5658" t="str">
        <f t="shared" si="2653"/>
        <v>BANCO CORA (102)</v>
      </c>
      <c r="S5658">
        <v>3136</v>
      </c>
      <c r="T5658">
        <v>2721</v>
      </c>
      <c r="U5658" t="s">
        <v>19</v>
      </c>
    </row>
    <row r="5659" spans="1:21">
      <c r="A5659" t="str">
        <f t="shared" si="2644"/>
        <v>25/09/2025</v>
      </c>
      <c r="B5659" t="str">
        <f t="shared" si="2646"/>
        <v>SAÍDA</v>
      </c>
      <c r="C5659" t="str">
        <f t="shared" si="2647"/>
        <v>BOLETO</v>
      </c>
      <c r="D5659" t="str">
        <f t="shared" si="2648"/>
        <v>011125</v>
      </c>
      <c r="E5659" t="str">
        <f t="shared" si="2641"/>
        <v>COM</v>
      </c>
      <c r="F5659" t="str">
        <f t="shared" si="2649"/>
        <v>CORA SOCIEDADE DE CREDITO, FINANCIAMENTO E INVESTIMENTO (20035)</v>
      </c>
      <c r="G5659" t="str">
        <f t="shared" si="2650"/>
        <v>TAXA BOLETO CORA</v>
      </c>
      <c r="H5659" t="str">
        <f t="shared" si="2643"/>
        <v>25/09/2025</v>
      </c>
      <c r="I5659" t="str">
        <f t="shared" si="2651"/>
        <v>01/11/2025</v>
      </c>
      <c r="J5659" t="str">
        <f t="shared" si="2645"/>
        <v>25/09/2025</v>
      </c>
      <c r="K5659">
        <v>1.7</v>
      </c>
      <c r="L5659">
        <v>1.7</v>
      </c>
      <c r="M5659">
        <v>401</v>
      </c>
      <c r="N5659" t="str">
        <f t="shared" si="2652"/>
        <v>IOF/JUROS/DESP.FINANCEIRA</v>
      </c>
      <c r="O5659">
        <v>1.7</v>
      </c>
      <c r="R5659" t="str">
        <f t="shared" si="2653"/>
        <v>BANCO CORA (102)</v>
      </c>
      <c r="S5659">
        <v>3137</v>
      </c>
      <c r="T5659">
        <v>2722</v>
      </c>
      <c r="U5659" t="s">
        <v>19</v>
      </c>
    </row>
    <row r="5660" spans="1:21">
      <c r="A5660" t="str">
        <f t="shared" si="2644"/>
        <v>25/09/2025</v>
      </c>
      <c r="B5660" t="str">
        <f t="shared" si="2646"/>
        <v>SAÍDA</v>
      </c>
      <c r="C5660" t="str">
        <f t="shared" si="2647"/>
        <v>BOLETO</v>
      </c>
      <c r="D5660" t="str">
        <f t="shared" si="2648"/>
        <v>011125</v>
      </c>
      <c r="E5660" t="str">
        <f t="shared" si="2641"/>
        <v>COM</v>
      </c>
      <c r="F5660" t="str">
        <f t="shared" si="2649"/>
        <v>CORA SOCIEDADE DE CREDITO, FINANCIAMENTO E INVESTIMENTO (20035)</v>
      </c>
      <c r="G5660" t="str">
        <f t="shared" si="2650"/>
        <v>TAXA BOLETO CORA</v>
      </c>
      <c r="H5660" t="str">
        <f t="shared" si="2643"/>
        <v>25/09/2025</v>
      </c>
      <c r="I5660" t="str">
        <f t="shared" si="2651"/>
        <v>01/11/2025</v>
      </c>
      <c r="J5660" t="str">
        <f t="shared" si="2645"/>
        <v>25/09/2025</v>
      </c>
      <c r="M5660">
        <v>401</v>
      </c>
      <c r="N5660" t="str">
        <f t="shared" si="2652"/>
        <v>IOF/JUROS/DESP.FINANCEIRA</v>
      </c>
      <c r="P5660">
        <v>1.7</v>
      </c>
      <c r="Q5660" t="str">
        <f>"CORA SOCIEDADE DE CREDITO, FINANCIAMENTO E INVESTIMENTO (20035)"</f>
        <v>CORA SOCIEDADE DE CREDITO, FINANCIAMENTO E INVESTIMENTO (20035)</v>
      </c>
      <c r="R5660" t="str">
        <f t="shared" si="2653"/>
        <v>BANCO CORA (102)</v>
      </c>
      <c r="S5660">
        <v>3137</v>
      </c>
      <c r="T5660">
        <v>2722</v>
      </c>
      <c r="U5660" t="s">
        <v>19</v>
      </c>
    </row>
    <row r="5661" spans="1:21">
      <c r="A5661" t="str">
        <f t="shared" si="2644"/>
        <v>25/09/2025</v>
      </c>
      <c r="B5661" t="str">
        <f t="shared" si="2646"/>
        <v>SAÍDA</v>
      </c>
      <c r="C5661" t="str">
        <f t="shared" si="2647"/>
        <v>BOLETO</v>
      </c>
      <c r="D5661" t="str">
        <f t="shared" si="2648"/>
        <v>011125</v>
      </c>
      <c r="E5661" t="str">
        <f t="shared" si="2641"/>
        <v>COM</v>
      </c>
      <c r="F5661" t="str">
        <f t="shared" si="2649"/>
        <v>CORA SOCIEDADE DE CREDITO, FINANCIAMENTO E INVESTIMENTO (20035)</v>
      </c>
      <c r="G5661" t="str">
        <f t="shared" si="2650"/>
        <v>TAXA BOLETO CORA</v>
      </c>
      <c r="H5661" t="str">
        <f t="shared" si="2643"/>
        <v>25/09/2025</v>
      </c>
      <c r="I5661" t="str">
        <f t="shared" si="2651"/>
        <v>01/11/2025</v>
      </c>
      <c r="J5661" t="str">
        <f t="shared" si="2645"/>
        <v>25/09/2025</v>
      </c>
      <c r="K5661">
        <v>1.7</v>
      </c>
      <c r="L5661">
        <v>1.7</v>
      </c>
      <c r="M5661">
        <v>401</v>
      </c>
      <c r="N5661" t="str">
        <f t="shared" si="2652"/>
        <v>IOF/JUROS/DESP.FINANCEIRA</v>
      </c>
      <c r="O5661">
        <v>1.7</v>
      </c>
      <c r="R5661" t="str">
        <f t="shared" si="2653"/>
        <v>BANCO CORA (102)</v>
      </c>
      <c r="S5661">
        <v>3138</v>
      </c>
      <c r="T5661">
        <v>2723</v>
      </c>
      <c r="U5661" t="s">
        <v>19</v>
      </c>
    </row>
    <row r="5662" spans="1:21">
      <c r="A5662" t="str">
        <f t="shared" si="2644"/>
        <v>25/09/2025</v>
      </c>
      <c r="B5662" t="str">
        <f t="shared" si="2646"/>
        <v>SAÍDA</v>
      </c>
      <c r="C5662" t="str">
        <f t="shared" si="2647"/>
        <v>BOLETO</v>
      </c>
      <c r="D5662" t="str">
        <f t="shared" si="2648"/>
        <v>011125</v>
      </c>
      <c r="E5662" t="str">
        <f t="shared" si="2641"/>
        <v>COM</v>
      </c>
      <c r="F5662" t="str">
        <f t="shared" si="2649"/>
        <v>CORA SOCIEDADE DE CREDITO, FINANCIAMENTO E INVESTIMENTO (20035)</v>
      </c>
      <c r="G5662" t="str">
        <f t="shared" si="2650"/>
        <v>TAXA BOLETO CORA</v>
      </c>
      <c r="H5662" t="str">
        <f t="shared" si="2643"/>
        <v>25/09/2025</v>
      </c>
      <c r="I5662" t="str">
        <f t="shared" si="2651"/>
        <v>01/11/2025</v>
      </c>
      <c r="J5662" t="str">
        <f t="shared" si="2645"/>
        <v>25/09/2025</v>
      </c>
      <c r="M5662">
        <v>401</v>
      </c>
      <c r="N5662" t="str">
        <f t="shared" si="2652"/>
        <v>IOF/JUROS/DESP.FINANCEIRA</v>
      </c>
      <c r="P5662">
        <v>1.7</v>
      </c>
      <c r="Q5662" t="str">
        <f>"CORA SOCIEDADE DE CREDITO, FINANCIAMENTO E INVESTIMENTO (20035)"</f>
        <v>CORA SOCIEDADE DE CREDITO, FINANCIAMENTO E INVESTIMENTO (20035)</v>
      </c>
      <c r="R5662" t="str">
        <f t="shared" si="2653"/>
        <v>BANCO CORA (102)</v>
      </c>
      <c r="S5662">
        <v>3138</v>
      </c>
      <c r="T5662">
        <v>2723</v>
      </c>
      <c r="U5662" t="s">
        <v>19</v>
      </c>
    </row>
    <row r="5663" spans="1:21">
      <c r="A5663" t="str">
        <f t="shared" si="2644"/>
        <v>25/09/2025</v>
      </c>
      <c r="B5663" t="str">
        <f t="shared" si="2646"/>
        <v>SAÍDA</v>
      </c>
      <c r="C5663" t="str">
        <f t="shared" si="2647"/>
        <v>BOLETO</v>
      </c>
      <c r="D5663" t="str">
        <f t="shared" si="2648"/>
        <v>011125</v>
      </c>
      <c r="E5663" t="str">
        <f t="shared" ref="E5663:E5680" si="2654">"COM"</f>
        <v>COM</v>
      </c>
      <c r="F5663" t="str">
        <f t="shared" si="2649"/>
        <v>CORA SOCIEDADE DE CREDITO, FINANCIAMENTO E INVESTIMENTO (20035)</v>
      </c>
      <c r="G5663" t="str">
        <f t="shared" si="2650"/>
        <v>TAXA BOLETO CORA</v>
      </c>
      <c r="H5663" t="str">
        <f t="shared" si="2643"/>
        <v>25/09/2025</v>
      </c>
      <c r="I5663" t="str">
        <f t="shared" si="2651"/>
        <v>01/11/2025</v>
      </c>
      <c r="J5663" t="str">
        <f t="shared" si="2645"/>
        <v>25/09/2025</v>
      </c>
      <c r="K5663">
        <v>1.7</v>
      </c>
      <c r="L5663">
        <v>1.7</v>
      </c>
      <c r="M5663">
        <v>401</v>
      </c>
      <c r="N5663" t="str">
        <f t="shared" si="2652"/>
        <v>IOF/JUROS/DESP.FINANCEIRA</v>
      </c>
      <c r="O5663">
        <v>1.7</v>
      </c>
      <c r="R5663" t="str">
        <f t="shared" si="2653"/>
        <v>BANCO CORA (102)</v>
      </c>
      <c r="S5663">
        <v>3139</v>
      </c>
      <c r="T5663">
        <v>2724</v>
      </c>
      <c r="U5663" t="s">
        <v>19</v>
      </c>
    </row>
    <row r="5664" spans="1:21">
      <c r="A5664" t="str">
        <f t="shared" si="2644"/>
        <v>25/09/2025</v>
      </c>
      <c r="B5664" t="str">
        <f t="shared" si="2646"/>
        <v>SAÍDA</v>
      </c>
      <c r="C5664" t="str">
        <f t="shared" si="2647"/>
        <v>BOLETO</v>
      </c>
      <c r="D5664" t="str">
        <f t="shared" si="2648"/>
        <v>011125</v>
      </c>
      <c r="E5664" t="str">
        <f t="shared" si="2654"/>
        <v>COM</v>
      </c>
      <c r="F5664" t="str">
        <f t="shared" si="2649"/>
        <v>CORA SOCIEDADE DE CREDITO, FINANCIAMENTO E INVESTIMENTO (20035)</v>
      </c>
      <c r="G5664" t="str">
        <f t="shared" si="2650"/>
        <v>TAXA BOLETO CORA</v>
      </c>
      <c r="H5664" t="str">
        <f t="shared" si="2643"/>
        <v>25/09/2025</v>
      </c>
      <c r="I5664" t="str">
        <f t="shared" si="2651"/>
        <v>01/11/2025</v>
      </c>
      <c r="J5664" t="str">
        <f t="shared" si="2645"/>
        <v>25/09/2025</v>
      </c>
      <c r="M5664">
        <v>401</v>
      </c>
      <c r="N5664" t="str">
        <f t="shared" si="2652"/>
        <v>IOF/JUROS/DESP.FINANCEIRA</v>
      </c>
      <c r="P5664">
        <v>1.7</v>
      </c>
      <c r="Q5664" t="str">
        <f>"CORA SOCIEDADE DE CREDITO, FINANCIAMENTO E INVESTIMENTO (20035)"</f>
        <v>CORA SOCIEDADE DE CREDITO, FINANCIAMENTO E INVESTIMENTO (20035)</v>
      </c>
      <c r="R5664" t="str">
        <f t="shared" si="2653"/>
        <v>BANCO CORA (102)</v>
      </c>
      <c r="S5664">
        <v>3139</v>
      </c>
      <c r="T5664">
        <v>2724</v>
      </c>
      <c r="U5664" t="s">
        <v>19</v>
      </c>
    </row>
    <row r="5665" spans="1:21">
      <c r="A5665" t="str">
        <f t="shared" si="2644"/>
        <v>25/09/2025</v>
      </c>
      <c r="B5665" t="str">
        <f t="shared" si="2646"/>
        <v>SAÍDA</v>
      </c>
      <c r="C5665" t="str">
        <f t="shared" si="2647"/>
        <v>BOLETO</v>
      </c>
      <c r="D5665" t="str">
        <f t="shared" si="2648"/>
        <v>011125</v>
      </c>
      <c r="E5665" t="str">
        <f t="shared" si="2654"/>
        <v>COM</v>
      </c>
      <c r="F5665" t="str">
        <f t="shared" si="2649"/>
        <v>CORA SOCIEDADE DE CREDITO, FINANCIAMENTO E INVESTIMENTO (20035)</v>
      </c>
      <c r="G5665" t="str">
        <f t="shared" si="2650"/>
        <v>TAXA BOLETO CORA</v>
      </c>
      <c r="H5665" t="str">
        <f t="shared" si="2643"/>
        <v>25/09/2025</v>
      </c>
      <c r="I5665" t="str">
        <f t="shared" si="2651"/>
        <v>01/11/2025</v>
      </c>
      <c r="J5665" t="str">
        <f t="shared" si="2645"/>
        <v>25/09/2025</v>
      </c>
      <c r="K5665">
        <v>1.7</v>
      </c>
      <c r="L5665">
        <v>1.7</v>
      </c>
      <c r="M5665">
        <v>401</v>
      </c>
      <c r="N5665" t="str">
        <f t="shared" si="2652"/>
        <v>IOF/JUROS/DESP.FINANCEIRA</v>
      </c>
      <c r="O5665">
        <v>1.7</v>
      </c>
      <c r="R5665" t="str">
        <f t="shared" si="2653"/>
        <v>BANCO CORA (102)</v>
      </c>
      <c r="S5665">
        <v>3140</v>
      </c>
      <c r="T5665">
        <v>2725</v>
      </c>
      <c r="U5665" t="s">
        <v>19</v>
      </c>
    </row>
    <row r="5666" spans="1:21">
      <c r="A5666" t="str">
        <f t="shared" si="2644"/>
        <v>25/09/2025</v>
      </c>
      <c r="B5666" t="str">
        <f t="shared" si="2646"/>
        <v>SAÍDA</v>
      </c>
      <c r="C5666" t="str">
        <f t="shared" si="2647"/>
        <v>BOLETO</v>
      </c>
      <c r="D5666" t="str">
        <f t="shared" si="2648"/>
        <v>011125</v>
      </c>
      <c r="E5666" t="str">
        <f t="shared" si="2654"/>
        <v>COM</v>
      </c>
      <c r="F5666" t="str">
        <f t="shared" si="2649"/>
        <v>CORA SOCIEDADE DE CREDITO, FINANCIAMENTO E INVESTIMENTO (20035)</v>
      </c>
      <c r="G5666" t="str">
        <f t="shared" si="2650"/>
        <v>TAXA BOLETO CORA</v>
      </c>
      <c r="H5666" t="str">
        <f t="shared" si="2643"/>
        <v>25/09/2025</v>
      </c>
      <c r="I5666" t="str">
        <f t="shared" si="2651"/>
        <v>01/11/2025</v>
      </c>
      <c r="J5666" t="str">
        <f t="shared" si="2645"/>
        <v>25/09/2025</v>
      </c>
      <c r="M5666">
        <v>401</v>
      </c>
      <c r="N5666" t="str">
        <f t="shared" si="2652"/>
        <v>IOF/JUROS/DESP.FINANCEIRA</v>
      </c>
      <c r="P5666">
        <v>1.7</v>
      </c>
      <c r="Q5666" t="str">
        <f>"CORA SOCIEDADE DE CREDITO, FINANCIAMENTO E INVESTIMENTO (20035)"</f>
        <v>CORA SOCIEDADE DE CREDITO, FINANCIAMENTO E INVESTIMENTO (20035)</v>
      </c>
      <c r="R5666" t="str">
        <f t="shared" si="2653"/>
        <v>BANCO CORA (102)</v>
      </c>
      <c r="S5666">
        <v>3140</v>
      </c>
      <c r="T5666">
        <v>2725</v>
      </c>
      <c r="U5666" t="s">
        <v>19</v>
      </c>
    </row>
    <row r="5667" spans="1:21">
      <c r="A5667" t="str">
        <f t="shared" si="2644"/>
        <v>25/09/2025</v>
      </c>
      <c r="B5667" t="str">
        <f t="shared" si="2646"/>
        <v>SAÍDA</v>
      </c>
      <c r="C5667" t="str">
        <f t="shared" si="2647"/>
        <v>BOLETO</v>
      </c>
      <c r="D5667" t="str">
        <f t="shared" si="2648"/>
        <v>011125</v>
      </c>
      <c r="E5667" t="str">
        <f t="shared" si="2654"/>
        <v>COM</v>
      </c>
      <c r="F5667" t="str">
        <f t="shared" si="2649"/>
        <v>CORA SOCIEDADE DE CREDITO, FINANCIAMENTO E INVESTIMENTO (20035)</v>
      </c>
      <c r="G5667" t="str">
        <f t="shared" si="2650"/>
        <v>TAXA BOLETO CORA</v>
      </c>
      <c r="H5667" t="str">
        <f t="shared" si="2643"/>
        <v>25/09/2025</v>
      </c>
      <c r="I5667" t="str">
        <f t="shared" si="2651"/>
        <v>01/11/2025</v>
      </c>
      <c r="J5667" t="str">
        <f t="shared" si="2645"/>
        <v>25/09/2025</v>
      </c>
      <c r="K5667">
        <v>1.7</v>
      </c>
      <c r="L5667">
        <v>1.7</v>
      </c>
      <c r="M5667">
        <v>401</v>
      </c>
      <c r="N5667" t="str">
        <f t="shared" si="2652"/>
        <v>IOF/JUROS/DESP.FINANCEIRA</v>
      </c>
      <c r="O5667">
        <v>1.7</v>
      </c>
      <c r="R5667" t="str">
        <f t="shared" si="2653"/>
        <v>BANCO CORA (102)</v>
      </c>
      <c r="S5667">
        <v>3141</v>
      </c>
      <c r="T5667">
        <v>2726</v>
      </c>
      <c r="U5667" t="s">
        <v>19</v>
      </c>
    </row>
    <row r="5668" spans="1:21">
      <c r="A5668" t="str">
        <f t="shared" si="2644"/>
        <v>25/09/2025</v>
      </c>
      <c r="B5668" t="str">
        <f t="shared" si="2646"/>
        <v>SAÍDA</v>
      </c>
      <c r="C5668" t="str">
        <f t="shared" si="2647"/>
        <v>BOLETO</v>
      </c>
      <c r="D5668" t="str">
        <f t="shared" si="2648"/>
        <v>011125</v>
      </c>
      <c r="E5668" t="str">
        <f t="shared" si="2654"/>
        <v>COM</v>
      </c>
      <c r="F5668" t="str">
        <f t="shared" si="2649"/>
        <v>CORA SOCIEDADE DE CREDITO, FINANCIAMENTO E INVESTIMENTO (20035)</v>
      </c>
      <c r="G5668" t="str">
        <f t="shared" si="2650"/>
        <v>TAXA BOLETO CORA</v>
      </c>
      <c r="H5668" t="str">
        <f t="shared" si="2643"/>
        <v>25/09/2025</v>
      </c>
      <c r="I5668" t="str">
        <f t="shared" si="2651"/>
        <v>01/11/2025</v>
      </c>
      <c r="J5668" t="str">
        <f t="shared" si="2645"/>
        <v>25/09/2025</v>
      </c>
      <c r="M5668">
        <v>401</v>
      </c>
      <c r="N5668" t="str">
        <f t="shared" si="2652"/>
        <v>IOF/JUROS/DESP.FINANCEIRA</v>
      </c>
      <c r="P5668">
        <v>1.7</v>
      </c>
      <c r="Q5668" t="str">
        <f>"CORA SOCIEDADE DE CREDITO, FINANCIAMENTO E INVESTIMENTO (20035)"</f>
        <v>CORA SOCIEDADE DE CREDITO, FINANCIAMENTO E INVESTIMENTO (20035)</v>
      </c>
      <c r="R5668" t="str">
        <f t="shared" si="2653"/>
        <v>BANCO CORA (102)</v>
      </c>
      <c r="S5668">
        <v>3141</v>
      </c>
      <c r="T5668">
        <v>2726</v>
      </c>
      <c r="U5668" t="s">
        <v>19</v>
      </c>
    </row>
    <row r="5669" spans="1:21">
      <c r="A5669" t="str">
        <f t="shared" si="2644"/>
        <v>25/09/2025</v>
      </c>
      <c r="B5669" t="str">
        <f t="shared" si="2646"/>
        <v>SAÍDA</v>
      </c>
      <c r="C5669" t="str">
        <f t="shared" si="2647"/>
        <v>BOLETO</v>
      </c>
      <c r="D5669" t="str">
        <f t="shared" si="2648"/>
        <v>011125</v>
      </c>
      <c r="E5669" t="str">
        <f t="shared" si="2654"/>
        <v>COM</v>
      </c>
      <c r="F5669" t="str">
        <f t="shared" si="2649"/>
        <v>CORA SOCIEDADE DE CREDITO, FINANCIAMENTO E INVESTIMENTO (20035)</v>
      </c>
      <c r="G5669" t="str">
        <f t="shared" si="2650"/>
        <v>TAXA BOLETO CORA</v>
      </c>
      <c r="H5669" t="str">
        <f t="shared" si="2643"/>
        <v>25/09/2025</v>
      </c>
      <c r="I5669" t="str">
        <f t="shared" si="2651"/>
        <v>01/11/2025</v>
      </c>
      <c r="J5669" t="str">
        <f t="shared" si="2645"/>
        <v>25/09/2025</v>
      </c>
      <c r="K5669">
        <v>1.7</v>
      </c>
      <c r="L5669">
        <v>1.7</v>
      </c>
      <c r="M5669">
        <v>401</v>
      </c>
      <c r="N5669" t="str">
        <f t="shared" si="2652"/>
        <v>IOF/JUROS/DESP.FINANCEIRA</v>
      </c>
      <c r="O5669">
        <v>1.7</v>
      </c>
      <c r="R5669" t="str">
        <f t="shared" si="2653"/>
        <v>BANCO CORA (102)</v>
      </c>
      <c r="S5669">
        <v>3142</v>
      </c>
      <c r="T5669">
        <v>2727</v>
      </c>
      <c r="U5669" t="s">
        <v>19</v>
      </c>
    </row>
    <row r="5670" spans="1:21">
      <c r="A5670" t="str">
        <f t="shared" si="2644"/>
        <v>25/09/2025</v>
      </c>
      <c r="B5670" t="str">
        <f t="shared" si="2646"/>
        <v>SAÍDA</v>
      </c>
      <c r="C5670" t="str">
        <f t="shared" si="2647"/>
        <v>BOLETO</v>
      </c>
      <c r="D5670" t="str">
        <f t="shared" si="2648"/>
        <v>011125</v>
      </c>
      <c r="E5670" t="str">
        <f t="shared" si="2654"/>
        <v>COM</v>
      </c>
      <c r="F5670" t="str">
        <f t="shared" si="2649"/>
        <v>CORA SOCIEDADE DE CREDITO, FINANCIAMENTO E INVESTIMENTO (20035)</v>
      </c>
      <c r="G5670" t="str">
        <f t="shared" si="2650"/>
        <v>TAXA BOLETO CORA</v>
      </c>
      <c r="H5670" t="str">
        <f t="shared" si="2643"/>
        <v>25/09/2025</v>
      </c>
      <c r="I5670" t="str">
        <f t="shared" si="2651"/>
        <v>01/11/2025</v>
      </c>
      <c r="J5670" t="str">
        <f t="shared" si="2645"/>
        <v>25/09/2025</v>
      </c>
      <c r="M5670">
        <v>401</v>
      </c>
      <c r="N5670" t="str">
        <f t="shared" si="2652"/>
        <v>IOF/JUROS/DESP.FINANCEIRA</v>
      </c>
      <c r="P5670">
        <v>1.7</v>
      </c>
      <c r="Q5670" t="str">
        <f>"CORA SOCIEDADE DE CREDITO, FINANCIAMENTO E INVESTIMENTO (20035)"</f>
        <v>CORA SOCIEDADE DE CREDITO, FINANCIAMENTO E INVESTIMENTO (20035)</v>
      </c>
      <c r="R5670" t="str">
        <f t="shared" si="2653"/>
        <v>BANCO CORA (102)</v>
      </c>
      <c r="S5670">
        <v>3142</v>
      </c>
      <c r="T5670">
        <v>2727</v>
      </c>
      <c r="U5670" t="s">
        <v>19</v>
      </c>
    </row>
    <row r="5671" spans="1:21">
      <c r="A5671" t="str">
        <f t="shared" si="2644"/>
        <v>25/09/2025</v>
      </c>
      <c r="B5671" t="str">
        <f t="shared" si="2646"/>
        <v>SAÍDA</v>
      </c>
      <c r="C5671" t="str">
        <f t="shared" si="2647"/>
        <v>BOLETO</v>
      </c>
      <c r="D5671" t="str">
        <f t="shared" si="2648"/>
        <v>011125</v>
      </c>
      <c r="E5671" t="str">
        <f t="shared" si="2654"/>
        <v>COM</v>
      </c>
      <c r="F5671" t="str">
        <f t="shared" si="2649"/>
        <v>CORA SOCIEDADE DE CREDITO, FINANCIAMENTO E INVESTIMENTO (20035)</v>
      </c>
      <c r="G5671" t="str">
        <f t="shared" si="2650"/>
        <v>TAXA BOLETO CORA</v>
      </c>
      <c r="H5671" t="str">
        <f t="shared" si="2643"/>
        <v>25/09/2025</v>
      </c>
      <c r="I5671" t="str">
        <f t="shared" si="2651"/>
        <v>01/11/2025</v>
      </c>
      <c r="J5671" t="str">
        <f t="shared" si="2645"/>
        <v>25/09/2025</v>
      </c>
      <c r="K5671">
        <v>1.7</v>
      </c>
      <c r="L5671">
        <v>1.7</v>
      </c>
      <c r="M5671">
        <v>401</v>
      </c>
      <c r="N5671" t="str">
        <f t="shared" si="2652"/>
        <v>IOF/JUROS/DESP.FINANCEIRA</v>
      </c>
      <c r="O5671">
        <v>1.7</v>
      </c>
      <c r="R5671" t="str">
        <f t="shared" si="2653"/>
        <v>BANCO CORA (102)</v>
      </c>
      <c r="S5671">
        <v>3143</v>
      </c>
      <c r="T5671">
        <v>2728</v>
      </c>
      <c r="U5671" t="s">
        <v>19</v>
      </c>
    </row>
    <row r="5672" spans="1:21">
      <c r="A5672" t="str">
        <f t="shared" si="2644"/>
        <v>25/09/2025</v>
      </c>
      <c r="B5672" t="str">
        <f t="shared" si="2646"/>
        <v>SAÍDA</v>
      </c>
      <c r="C5672" t="str">
        <f t="shared" si="2647"/>
        <v>BOLETO</v>
      </c>
      <c r="D5672" t="str">
        <f t="shared" si="2648"/>
        <v>011125</v>
      </c>
      <c r="E5672" t="str">
        <f t="shared" si="2654"/>
        <v>COM</v>
      </c>
      <c r="F5672" t="str">
        <f t="shared" si="2649"/>
        <v>CORA SOCIEDADE DE CREDITO, FINANCIAMENTO E INVESTIMENTO (20035)</v>
      </c>
      <c r="G5672" t="str">
        <f t="shared" si="2650"/>
        <v>TAXA BOLETO CORA</v>
      </c>
      <c r="H5672" t="str">
        <f t="shared" si="2643"/>
        <v>25/09/2025</v>
      </c>
      <c r="I5672" t="str">
        <f t="shared" si="2651"/>
        <v>01/11/2025</v>
      </c>
      <c r="J5672" t="str">
        <f t="shared" si="2645"/>
        <v>25/09/2025</v>
      </c>
      <c r="M5672">
        <v>401</v>
      </c>
      <c r="N5672" t="str">
        <f t="shared" si="2652"/>
        <v>IOF/JUROS/DESP.FINANCEIRA</v>
      </c>
      <c r="P5672">
        <v>1.7</v>
      </c>
      <c r="Q5672" t="str">
        <f>"CORA SOCIEDADE DE CREDITO, FINANCIAMENTO E INVESTIMENTO (20035)"</f>
        <v>CORA SOCIEDADE DE CREDITO, FINANCIAMENTO E INVESTIMENTO (20035)</v>
      </c>
      <c r="R5672" t="str">
        <f t="shared" si="2653"/>
        <v>BANCO CORA (102)</v>
      </c>
      <c r="S5672">
        <v>3143</v>
      </c>
      <c r="T5672">
        <v>2728</v>
      </c>
      <c r="U5672" t="s">
        <v>19</v>
      </c>
    </row>
    <row r="5673" spans="1:21">
      <c r="A5673" t="str">
        <f t="shared" si="2644"/>
        <v>25/09/2025</v>
      </c>
      <c r="B5673" t="str">
        <f t="shared" si="2646"/>
        <v>SAÍDA</v>
      </c>
      <c r="C5673" t="str">
        <f t="shared" si="2647"/>
        <v>BOLETO</v>
      </c>
      <c r="D5673" t="str">
        <f t="shared" si="2648"/>
        <v>011125</v>
      </c>
      <c r="E5673" t="str">
        <f t="shared" si="2654"/>
        <v>COM</v>
      </c>
      <c r="F5673" t="str">
        <f t="shared" si="2649"/>
        <v>CORA SOCIEDADE DE CREDITO, FINANCIAMENTO E INVESTIMENTO (20035)</v>
      </c>
      <c r="G5673" t="str">
        <f t="shared" si="2650"/>
        <v>TAXA BOLETO CORA</v>
      </c>
      <c r="H5673" t="str">
        <f t="shared" si="2643"/>
        <v>25/09/2025</v>
      </c>
      <c r="I5673" t="str">
        <f t="shared" si="2651"/>
        <v>01/11/2025</v>
      </c>
      <c r="J5673" t="str">
        <f t="shared" si="2645"/>
        <v>25/09/2025</v>
      </c>
      <c r="K5673">
        <v>1.7</v>
      </c>
      <c r="L5673">
        <v>1.7</v>
      </c>
      <c r="M5673">
        <v>401</v>
      </c>
      <c r="N5673" t="str">
        <f t="shared" si="2652"/>
        <v>IOF/JUROS/DESP.FINANCEIRA</v>
      </c>
      <c r="O5673">
        <v>1.7</v>
      </c>
      <c r="R5673" t="str">
        <f t="shared" si="2653"/>
        <v>BANCO CORA (102)</v>
      </c>
      <c r="S5673">
        <v>3144</v>
      </c>
      <c r="T5673">
        <v>2729</v>
      </c>
      <c r="U5673" t="s">
        <v>19</v>
      </c>
    </row>
    <row r="5674" spans="1:21">
      <c r="A5674" t="str">
        <f t="shared" si="2644"/>
        <v>25/09/2025</v>
      </c>
      <c r="B5674" t="str">
        <f t="shared" si="2646"/>
        <v>SAÍDA</v>
      </c>
      <c r="C5674" t="str">
        <f t="shared" si="2647"/>
        <v>BOLETO</v>
      </c>
      <c r="D5674" t="str">
        <f t="shared" si="2648"/>
        <v>011125</v>
      </c>
      <c r="E5674" t="str">
        <f t="shared" si="2654"/>
        <v>COM</v>
      </c>
      <c r="F5674" t="str">
        <f t="shared" si="2649"/>
        <v>CORA SOCIEDADE DE CREDITO, FINANCIAMENTO E INVESTIMENTO (20035)</v>
      </c>
      <c r="G5674" t="str">
        <f t="shared" si="2650"/>
        <v>TAXA BOLETO CORA</v>
      </c>
      <c r="H5674" t="str">
        <f t="shared" si="2643"/>
        <v>25/09/2025</v>
      </c>
      <c r="I5674" t="str">
        <f t="shared" si="2651"/>
        <v>01/11/2025</v>
      </c>
      <c r="J5674" t="str">
        <f t="shared" si="2645"/>
        <v>25/09/2025</v>
      </c>
      <c r="M5674">
        <v>401</v>
      </c>
      <c r="N5674" t="str">
        <f t="shared" si="2652"/>
        <v>IOF/JUROS/DESP.FINANCEIRA</v>
      </c>
      <c r="P5674">
        <v>1.7</v>
      </c>
      <c r="Q5674" t="str">
        <f>"CORA SOCIEDADE DE CREDITO, FINANCIAMENTO E INVESTIMENTO (20035)"</f>
        <v>CORA SOCIEDADE DE CREDITO, FINANCIAMENTO E INVESTIMENTO (20035)</v>
      </c>
      <c r="R5674" t="str">
        <f t="shared" si="2653"/>
        <v>BANCO CORA (102)</v>
      </c>
      <c r="S5674">
        <v>3144</v>
      </c>
      <c r="T5674">
        <v>2729</v>
      </c>
      <c r="U5674" t="s">
        <v>19</v>
      </c>
    </row>
    <row r="5675" spans="1:21">
      <c r="A5675" t="str">
        <f t="shared" si="2644"/>
        <v>25/09/2025</v>
      </c>
      <c r="B5675" t="str">
        <f t="shared" si="2646"/>
        <v>SAÍDA</v>
      </c>
      <c r="C5675" t="str">
        <f t="shared" si="2647"/>
        <v>BOLETO</v>
      </c>
      <c r="D5675" t="str">
        <f t="shared" si="2648"/>
        <v>011125</v>
      </c>
      <c r="E5675" t="str">
        <f t="shared" si="2654"/>
        <v>COM</v>
      </c>
      <c r="F5675" t="str">
        <f t="shared" si="2649"/>
        <v>CORA SOCIEDADE DE CREDITO, FINANCIAMENTO E INVESTIMENTO (20035)</v>
      </c>
      <c r="G5675" t="str">
        <f t="shared" si="2650"/>
        <v>TAXA BOLETO CORA</v>
      </c>
      <c r="H5675" t="str">
        <f t="shared" si="2643"/>
        <v>25/09/2025</v>
      </c>
      <c r="I5675" t="str">
        <f t="shared" si="2651"/>
        <v>01/11/2025</v>
      </c>
      <c r="J5675" t="str">
        <f t="shared" si="2645"/>
        <v>25/09/2025</v>
      </c>
      <c r="K5675">
        <v>1.7</v>
      </c>
      <c r="L5675">
        <v>1.7</v>
      </c>
      <c r="M5675">
        <v>401</v>
      </c>
      <c r="N5675" t="str">
        <f t="shared" si="2652"/>
        <v>IOF/JUROS/DESP.FINANCEIRA</v>
      </c>
      <c r="O5675">
        <v>1.7</v>
      </c>
      <c r="R5675" t="str">
        <f t="shared" si="2653"/>
        <v>BANCO CORA (102)</v>
      </c>
      <c r="S5675">
        <v>3145</v>
      </c>
      <c r="T5675">
        <v>2730</v>
      </c>
      <c r="U5675" t="s">
        <v>19</v>
      </c>
    </row>
    <row r="5676" spans="1:21">
      <c r="A5676" t="str">
        <f t="shared" si="2644"/>
        <v>25/09/2025</v>
      </c>
      <c r="B5676" t="str">
        <f t="shared" si="2646"/>
        <v>SAÍDA</v>
      </c>
      <c r="C5676" t="str">
        <f t="shared" si="2647"/>
        <v>BOLETO</v>
      </c>
      <c r="D5676" t="str">
        <f t="shared" si="2648"/>
        <v>011125</v>
      </c>
      <c r="E5676" t="str">
        <f t="shared" si="2654"/>
        <v>COM</v>
      </c>
      <c r="F5676" t="str">
        <f t="shared" si="2649"/>
        <v>CORA SOCIEDADE DE CREDITO, FINANCIAMENTO E INVESTIMENTO (20035)</v>
      </c>
      <c r="G5676" t="str">
        <f t="shared" si="2650"/>
        <v>TAXA BOLETO CORA</v>
      </c>
      <c r="H5676" t="str">
        <f t="shared" si="2643"/>
        <v>25/09/2025</v>
      </c>
      <c r="I5676" t="str">
        <f t="shared" si="2651"/>
        <v>01/11/2025</v>
      </c>
      <c r="J5676" t="str">
        <f t="shared" si="2645"/>
        <v>25/09/2025</v>
      </c>
      <c r="M5676">
        <v>401</v>
      </c>
      <c r="N5676" t="str">
        <f t="shared" si="2652"/>
        <v>IOF/JUROS/DESP.FINANCEIRA</v>
      </c>
      <c r="P5676">
        <v>1.7</v>
      </c>
      <c r="Q5676" t="str">
        <f>"CORA SOCIEDADE DE CREDITO, FINANCIAMENTO E INVESTIMENTO (20035)"</f>
        <v>CORA SOCIEDADE DE CREDITO, FINANCIAMENTO E INVESTIMENTO (20035)</v>
      </c>
      <c r="R5676" t="str">
        <f t="shared" si="2653"/>
        <v>BANCO CORA (102)</v>
      </c>
      <c r="S5676">
        <v>3145</v>
      </c>
      <c r="T5676">
        <v>2730</v>
      </c>
      <c r="U5676" t="s">
        <v>19</v>
      </c>
    </row>
    <row r="5677" spans="1:21">
      <c r="A5677" t="str">
        <f t="shared" ref="A5677:A5686" si="2655">("26/09/2025")</f>
        <v>26/09/2025</v>
      </c>
      <c r="B5677" t="str">
        <f>"ENTRADA"</f>
        <v>ENTRADA</v>
      </c>
      <c r="C5677" t="str">
        <f>"NFSE"</f>
        <v>NFSE</v>
      </c>
      <c r="D5677" t="str">
        <f>"3491"</f>
        <v>3491</v>
      </c>
      <c r="E5677" t="str">
        <f t="shared" si="2654"/>
        <v>COM</v>
      </c>
      <c r="F5677" t="str">
        <f>"DROGARIA POUPA MINAS (ULTRAMINAS) 3 (10129)"</f>
        <v>DROGARIA POUPA MINAS (ULTRAMINAS) 3 (10129)</v>
      </c>
      <c r="G5677" t="str">
        <f>"Serv.Prest. 15/09/2025 a 21/09/2025 - RPS: 1256 - NFSe: 3491"</f>
        <v>Serv.Prest. 15/09/2025 a 21/09/2025 - RPS: 1256 - NFSe: 3491</v>
      </c>
      <c r="H5677" t="str">
        <f t="shared" si="2643"/>
        <v>25/09/2025</v>
      </c>
      <c r="I5677" t="str">
        <f>("22/09/2025")</f>
        <v>22/09/2025</v>
      </c>
      <c r="J5677" t="str">
        <f t="shared" ref="J5677:J5686" si="2656">("26/09/2025")</f>
        <v>26/09/2025</v>
      </c>
      <c r="K5677">
        <v>171.6</v>
      </c>
      <c r="L5677">
        <v>171.6</v>
      </c>
      <c r="M5677">
        <v>303</v>
      </c>
      <c r="N5677" t="str">
        <f>"RECEITAS COM ENTREGAS"</f>
        <v>RECEITAS COM ENTREGAS</v>
      </c>
      <c r="O5677">
        <v>171.6</v>
      </c>
      <c r="R5677" t="str">
        <f>"RECEITAS COM ENTREGAS (303)"</f>
        <v>RECEITAS COM ENTREGAS (303)</v>
      </c>
      <c r="S5677">
        <v>2759</v>
      </c>
      <c r="T5677">
        <v>2139</v>
      </c>
      <c r="U5677" t="s">
        <v>19</v>
      </c>
    </row>
    <row r="5678" spans="1:21">
      <c r="A5678" t="str">
        <f t="shared" si="2655"/>
        <v>26/09/2025</v>
      </c>
      <c r="B5678" t="str">
        <f t="shared" ref="B5678:B5680" si="2657">"ENTRADA"</f>
        <v>ENTRADA</v>
      </c>
      <c r="C5678" t="str">
        <f>"NFSE"</f>
        <v>NFSE</v>
      </c>
      <c r="D5678" t="str">
        <f>"3491"</f>
        <v>3491</v>
      </c>
      <c r="E5678" t="str">
        <f t="shared" si="2654"/>
        <v>COM</v>
      </c>
      <c r="F5678" t="str">
        <f>"DROGARIA POUPA MINAS (ULTRAMINAS) 3 (10129)"</f>
        <v>DROGARIA POUPA MINAS (ULTRAMINAS) 3 (10129)</v>
      </c>
      <c r="G5678" t="str">
        <f>"Serv.Prest. 15/09/2025 a 21/09/2025 - RPS: 1256 - NFSe: 3491"</f>
        <v>Serv.Prest. 15/09/2025 a 21/09/2025 - RPS: 1256 - NFSe: 3491</v>
      </c>
      <c r="H5678" t="str">
        <f t="shared" si="2643"/>
        <v>25/09/2025</v>
      </c>
      <c r="I5678" t="str">
        <f>("22/09/2025")</f>
        <v>22/09/2025</v>
      </c>
      <c r="J5678" t="str">
        <f t="shared" si="2656"/>
        <v>26/09/2025</v>
      </c>
      <c r="M5678">
        <v>303</v>
      </c>
      <c r="N5678" t="str">
        <f>"RECEITAS COM ENTREGAS"</f>
        <v>RECEITAS COM ENTREGAS</v>
      </c>
      <c r="P5678">
        <v>171.6</v>
      </c>
      <c r="Q5678" t="str">
        <f>"DROGARIA POUPA MINAS (ULTRAMINAS) 3 (10129)"</f>
        <v>DROGARIA POUPA MINAS (ULTRAMINAS) 3 (10129)</v>
      </c>
      <c r="R5678" t="str">
        <f>"RECEITAS COM ENTREGAS (303)"</f>
        <v>RECEITAS COM ENTREGAS (303)</v>
      </c>
      <c r="S5678">
        <v>2759</v>
      </c>
      <c r="T5678">
        <v>2139</v>
      </c>
      <c r="U5678" t="s">
        <v>19</v>
      </c>
    </row>
    <row r="5679" spans="1:21">
      <c r="A5679" t="str">
        <f t="shared" si="2655"/>
        <v>26/09/2025</v>
      </c>
      <c r="B5679" t="str">
        <f t="shared" si="2657"/>
        <v>ENTRADA</v>
      </c>
      <c r="C5679" t="str">
        <f>"NFSE"</f>
        <v>NFSE</v>
      </c>
      <c r="D5679" t="str">
        <f>"3506"</f>
        <v>3506</v>
      </c>
      <c r="E5679" t="str">
        <f t="shared" si="2654"/>
        <v>COM</v>
      </c>
      <c r="F5679" t="str">
        <f>"DROGARIA POUPA MINAS (DOIS AMIGOS) 5 (10140)"</f>
        <v>DROGARIA POUPA MINAS (DOIS AMIGOS) 5 (10140)</v>
      </c>
      <c r="G5679" t="str">
        <f>"Serv.Prest. 15/09/2025 a 21/09/2025 - RPS: 1271 - NFSe: 3506"</f>
        <v>Serv.Prest. 15/09/2025 a 21/09/2025 - RPS: 1271 - NFSe: 3506</v>
      </c>
      <c r="H5679" t="str">
        <f t="shared" si="2643"/>
        <v>25/09/2025</v>
      </c>
      <c r="I5679" t="str">
        <f>("22/09/2025")</f>
        <v>22/09/2025</v>
      </c>
      <c r="J5679" t="str">
        <f t="shared" si="2656"/>
        <v>26/09/2025</v>
      </c>
      <c r="K5679">
        <v>493.43</v>
      </c>
      <c r="L5679">
        <v>493.43</v>
      </c>
      <c r="M5679">
        <v>303</v>
      </c>
      <c r="N5679" t="str">
        <f>"RECEITAS COM ENTREGAS"</f>
        <v>RECEITAS COM ENTREGAS</v>
      </c>
      <c r="O5679">
        <v>493.43</v>
      </c>
      <c r="R5679" t="str">
        <f>"RECEITAS COM ENTREGAS (303)"</f>
        <v>RECEITAS COM ENTREGAS (303)</v>
      </c>
      <c r="S5679">
        <v>2760</v>
      </c>
      <c r="T5679">
        <v>2155</v>
      </c>
      <c r="U5679" t="s">
        <v>19</v>
      </c>
    </row>
    <row r="5680" spans="1:21">
      <c r="A5680" t="str">
        <f t="shared" si="2655"/>
        <v>26/09/2025</v>
      </c>
      <c r="B5680" t="str">
        <f t="shared" si="2657"/>
        <v>ENTRADA</v>
      </c>
      <c r="C5680" t="str">
        <f>"NFSE"</f>
        <v>NFSE</v>
      </c>
      <c r="D5680" t="str">
        <f>"3506"</f>
        <v>3506</v>
      </c>
      <c r="E5680" t="str">
        <f t="shared" si="2654"/>
        <v>COM</v>
      </c>
      <c r="F5680" t="str">
        <f>"DROGARIA POUPA MINAS (DOIS AMIGOS) 5 (10140)"</f>
        <v>DROGARIA POUPA MINAS (DOIS AMIGOS) 5 (10140)</v>
      </c>
      <c r="G5680" t="str">
        <f>"Serv.Prest. 15/09/2025 a 21/09/2025 - RPS: 1271 - NFSe: 3506"</f>
        <v>Serv.Prest. 15/09/2025 a 21/09/2025 - RPS: 1271 - NFSe: 3506</v>
      </c>
      <c r="H5680" t="str">
        <f t="shared" si="2643"/>
        <v>25/09/2025</v>
      </c>
      <c r="I5680" t="str">
        <f>("22/09/2025")</f>
        <v>22/09/2025</v>
      </c>
      <c r="J5680" t="str">
        <f t="shared" si="2656"/>
        <v>26/09/2025</v>
      </c>
      <c r="M5680">
        <v>303</v>
      </c>
      <c r="N5680" t="str">
        <f>"RECEITAS COM ENTREGAS"</f>
        <v>RECEITAS COM ENTREGAS</v>
      </c>
      <c r="P5680">
        <v>493.43</v>
      </c>
      <c r="Q5680" t="str">
        <f>"DROGARIA POUPA MINAS (ULTRAMINAS) 1 (10181)"</f>
        <v>DROGARIA POUPA MINAS (ULTRAMINAS) 1 (10181)</v>
      </c>
      <c r="R5680" t="str">
        <f>"RECEITAS COM ENTREGAS (303)"</f>
        <v>RECEITAS COM ENTREGAS (303)</v>
      </c>
      <c r="S5680">
        <v>2760</v>
      </c>
      <c r="T5680">
        <v>2155</v>
      </c>
      <c r="U5680" t="s">
        <v>19</v>
      </c>
    </row>
    <row r="5681" spans="1:21">
      <c r="A5681" t="str">
        <f t="shared" si="2655"/>
        <v>26/09/2025</v>
      </c>
      <c r="B5681" t="str">
        <f>"ENTRADA"</f>
        <v>ENTRADA</v>
      </c>
      <c r="C5681" t="str">
        <f>"TRANSFERENCIA"</f>
        <v>TRANSFERENCIA</v>
      </c>
      <c r="D5681" t="str">
        <f>""</f>
        <v/>
      </c>
      <c r="E5681" t="str">
        <f>"TRF"</f>
        <v>TRF</v>
      </c>
      <c r="F5681" t="str">
        <f>""</f>
        <v/>
      </c>
      <c r="G5681" t="str">
        <f>"REEMBOLSO AJUDA CAIXA COOPERATIVA  (120-&gt;102)"</f>
        <v>REEMBOLSO AJUDA CAIXA COOPERATIVA  (120-&gt;102)</v>
      </c>
      <c r="H5681" t="str">
        <f>("26/09/2025")</f>
        <v>26/09/2025</v>
      </c>
      <c r="I5681" t="str">
        <f>("26/09/2025")</f>
        <v>26/09/2025</v>
      </c>
      <c r="J5681" t="str">
        <f t="shared" si="2656"/>
        <v>26/09/2025</v>
      </c>
      <c r="M5681">
        <v>102</v>
      </c>
      <c r="N5681" t="str">
        <f>"BANCO CORA"</f>
        <v>BANCO CORA</v>
      </c>
      <c r="O5681">
        <v>10000</v>
      </c>
      <c r="R5681" t="str">
        <f>"BANCO CORA (102)"</f>
        <v>BANCO CORA (102)</v>
      </c>
      <c r="S5681">
        <v>3149</v>
      </c>
      <c r="T5681">
        <v>0</v>
      </c>
      <c r="U5681" t="s">
        <v>19</v>
      </c>
    </row>
    <row r="5682" spans="1:21">
      <c r="A5682" t="str">
        <f t="shared" si="2655"/>
        <v>26/09/2025</v>
      </c>
      <c r="B5682" t="str">
        <f t="shared" ref="B5682:B5690" si="2658">"SAÍDA"</f>
        <v>SAÍDA</v>
      </c>
      <c r="C5682" t="str">
        <f>"TRANSFERENCIA"</f>
        <v>TRANSFERENCIA</v>
      </c>
      <c r="D5682" t="str">
        <f>""</f>
        <v/>
      </c>
      <c r="E5682" t="str">
        <f>"TRF"</f>
        <v>TRF</v>
      </c>
      <c r="F5682" t="str">
        <f>""</f>
        <v/>
      </c>
      <c r="G5682" t="str">
        <f>"REEMBOLSO AJUDA CAIXA COOPERATIVA  (120-&gt;102)"</f>
        <v>REEMBOLSO AJUDA CAIXA COOPERATIVA  (120-&gt;102)</v>
      </c>
      <c r="H5682" t="str">
        <f>("26/09/2025")</f>
        <v>26/09/2025</v>
      </c>
      <c r="I5682" t="str">
        <f>("26/09/2025")</f>
        <v>26/09/2025</v>
      </c>
      <c r="J5682" t="str">
        <f t="shared" si="2656"/>
        <v>26/09/2025</v>
      </c>
      <c r="M5682">
        <v>120</v>
      </c>
      <c r="N5682" t="str">
        <f>"CAIXA - COOPERATIVA"</f>
        <v>CAIXA - COOPERATIVA</v>
      </c>
      <c r="O5682">
        <v>10000</v>
      </c>
      <c r="R5682" t="str">
        <f>"CAIXA - COOPERATIVA (120)"</f>
        <v>CAIXA - COOPERATIVA (120)</v>
      </c>
      <c r="S5682">
        <v>3149</v>
      </c>
      <c r="T5682">
        <v>0</v>
      </c>
      <c r="U5682" t="s">
        <v>26</v>
      </c>
    </row>
    <row r="5683" spans="1:21">
      <c r="A5683" t="str">
        <f t="shared" si="2655"/>
        <v>26/09/2025</v>
      </c>
      <c r="B5683" t="str">
        <f t="shared" si="2658"/>
        <v>SAÍDA</v>
      </c>
      <c r="C5683" t="str">
        <f>"BOLETO"</f>
        <v>BOLETO</v>
      </c>
      <c r="D5683" t="str">
        <f>"011125"</f>
        <v>011125</v>
      </c>
      <c r="E5683" t="str">
        <f t="shared" ref="E5683:E5714" si="2659">"COM"</f>
        <v>COM</v>
      </c>
      <c r="F5683" t="str">
        <f>"CORA SOCIEDADE DE CREDITO, FINANCIAMENTO E INVESTIMENTO (20035)"</f>
        <v>CORA SOCIEDADE DE CREDITO, FINANCIAMENTO E INVESTIMENTO (20035)</v>
      </c>
      <c r="G5683" t="str">
        <f>"TAXA BOLETO CORA"</f>
        <v>TAXA BOLETO CORA</v>
      </c>
      <c r="H5683" t="str">
        <f>("26/09/2025")</f>
        <v>26/09/2025</v>
      </c>
      <c r="I5683" t="str">
        <f>("01/11/2025")</f>
        <v>01/11/2025</v>
      </c>
      <c r="J5683" t="str">
        <f t="shared" si="2656"/>
        <v>26/09/2025</v>
      </c>
      <c r="K5683">
        <v>1.7</v>
      </c>
      <c r="L5683">
        <v>1.7</v>
      </c>
      <c r="M5683">
        <v>401</v>
      </c>
      <c r="N5683" t="str">
        <f>"IOF/JUROS/DESP.FINANCEIRA"</f>
        <v>IOF/JUROS/DESP.FINANCEIRA</v>
      </c>
      <c r="O5683">
        <v>1.7</v>
      </c>
      <c r="R5683" t="str">
        <f t="shared" ref="R5683:R5690" si="2660">"BANCO CORA (102)"</f>
        <v>BANCO CORA (102)</v>
      </c>
      <c r="S5683">
        <v>3152</v>
      </c>
      <c r="T5683">
        <v>2742</v>
      </c>
      <c r="U5683" t="s">
        <v>19</v>
      </c>
    </row>
    <row r="5684" spans="1:21">
      <c r="A5684" t="str">
        <f t="shared" si="2655"/>
        <v>26/09/2025</v>
      </c>
      <c r="B5684" t="str">
        <f t="shared" si="2658"/>
        <v>SAÍDA</v>
      </c>
      <c r="C5684" t="str">
        <f>"BOLETO"</f>
        <v>BOLETO</v>
      </c>
      <c r="D5684" t="str">
        <f>"011125"</f>
        <v>011125</v>
      </c>
      <c r="E5684" t="str">
        <f t="shared" si="2659"/>
        <v>COM</v>
      </c>
      <c r="F5684" t="str">
        <f>"CORA SOCIEDADE DE CREDITO, FINANCIAMENTO E INVESTIMENTO (20035)"</f>
        <v>CORA SOCIEDADE DE CREDITO, FINANCIAMENTO E INVESTIMENTO (20035)</v>
      </c>
      <c r="G5684" t="str">
        <f>"TAXA BOLETO CORA"</f>
        <v>TAXA BOLETO CORA</v>
      </c>
      <c r="H5684" t="str">
        <f>("26/09/2025")</f>
        <v>26/09/2025</v>
      </c>
      <c r="I5684" t="str">
        <f>("01/11/2025")</f>
        <v>01/11/2025</v>
      </c>
      <c r="J5684" t="str">
        <f t="shared" si="2656"/>
        <v>26/09/2025</v>
      </c>
      <c r="M5684">
        <v>401</v>
      </c>
      <c r="N5684" t="str">
        <f>"IOF/JUROS/DESP.FINANCEIRA"</f>
        <v>IOF/JUROS/DESP.FINANCEIRA</v>
      </c>
      <c r="P5684">
        <v>1.7</v>
      </c>
      <c r="Q5684" t="str">
        <f>"CORA SOCIEDADE DE CREDITO, FINANCIAMENTO E INVESTIMENTO (20035)"</f>
        <v>CORA SOCIEDADE DE CREDITO, FINANCIAMENTO E INVESTIMENTO (20035)</v>
      </c>
      <c r="R5684" t="str">
        <f t="shared" si="2660"/>
        <v>BANCO CORA (102)</v>
      </c>
      <c r="S5684">
        <v>3152</v>
      </c>
      <c r="T5684">
        <v>2742</v>
      </c>
      <c r="U5684" t="s">
        <v>19</v>
      </c>
    </row>
    <row r="5685" spans="1:21">
      <c r="A5685" t="str">
        <f t="shared" si="2655"/>
        <v>26/09/2025</v>
      </c>
      <c r="B5685" t="str">
        <f t="shared" si="2658"/>
        <v>SAÍDA</v>
      </c>
      <c r="C5685" t="str">
        <f>"BOLETO"</f>
        <v>BOLETO</v>
      </c>
      <c r="D5685" t="str">
        <f>"011125"</f>
        <v>011125</v>
      </c>
      <c r="E5685" t="str">
        <f t="shared" si="2659"/>
        <v>COM</v>
      </c>
      <c r="F5685" t="str">
        <f>"CORA SOCIEDADE DE CREDITO, FINANCIAMENTO E INVESTIMENTO (20035)"</f>
        <v>CORA SOCIEDADE DE CREDITO, FINANCIAMENTO E INVESTIMENTO (20035)</v>
      </c>
      <c r="G5685" t="str">
        <f>"TAXA BOLETO CORA"</f>
        <v>TAXA BOLETO CORA</v>
      </c>
      <c r="H5685" t="str">
        <f>("26/09/2025")</f>
        <v>26/09/2025</v>
      </c>
      <c r="I5685" t="str">
        <f>("01/11/2025")</f>
        <v>01/11/2025</v>
      </c>
      <c r="J5685" t="str">
        <f t="shared" si="2656"/>
        <v>26/09/2025</v>
      </c>
      <c r="K5685">
        <v>1.7</v>
      </c>
      <c r="L5685">
        <v>1.7</v>
      </c>
      <c r="M5685">
        <v>401</v>
      </c>
      <c r="N5685" t="str">
        <f>"IOF/JUROS/DESP.FINANCEIRA"</f>
        <v>IOF/JUROS/DESP.FINANCEIRA</v>
      </c>
      <c r="O5685">
        <v>1.7</v>
      </c>
      <c r="R5685" t="str">
        <f t="shared" si="2660"/>
        <v>BANCO CORA (102)</v>
      </c>
      <c r="S5685">
        <v>3153</v>
      </c>
      <c r="T5685">
        <v>2743</v>
      </c>
      <c r="U5685" t="s">
        <v>19</v>
      </c>
    </row>
    <row r="5686" spans="1:21">
      <c r="A5686" t="str">
        <f t="shared" si="2655"/>
        <v>26/09/2025</v>
      </c>
      <c r="B5686" t="str">
        <f t="shared" si="2658"/>
        <v>SAÍDA</v>
      </c>
      <c r="C5686" t="str">
        <f>"BOLETO"</f>
        <v>BOLETO</v>
      </c>
      <c r="D5686" t="str">
        <f>"011125"</f>
        <v>011125</v>
      </c>
      <c r="E5686" t="str">
        <f t="shared" si="2659"/>
        <v>COM</v>
      </c>
      <c r="F5686" t="str">
        <f>"CORA SOCIEDADE DE CREDITO, FINANCIAMENTO E INVESTIMENTO (20035)"</f>
        <v>CORA SOCIEDADE DE CREDITO, FINANCIAMENTO E INVESTIMENTO (20035)</v>
      </c>
      <c r="G5686" t="str">
        <f>"TAXA BOLETO CORA"</f>
        <v>TAXA BOLETO CORA</v>
      </c>
      <c r="H5686" t="str">
        <f>("26/09/2025")</f>
        <v>26/09/2025</v>
      </c>
      <c r="I5686" t="str">
        <f>("01/11/2025")</f>
        <v>01/11/2025</v>
      </c>
      <c r="J5686" t="str">
        <f t="shared" si="2656"/>
        <v>26/09/2025</v>
      </c>
      <c r="M5686">
        <v>401</v>
      </c>
      <c r="N5686" t="str">
        <f>"IOF/JUROS/DESP.FINANCEIRA"</f>
        <v>IOF/JUROS/DESP.FINANCEIRA</v>
      </c>
      <c r="P5686">
        <v>1.7</v>
      </c>
      <c r="Q5686" t="str">
        <f>"CORA SOCIEDADE DE CREDITO, FINANCIAMENTO E INVESTIMENTO (20035)"</f>
        <v>CORA SOCIEDADE DE CREDITO, FINANCIAMENTO E INVESTIMENTO (20035)</v>
      </c>
      <c r="R5686" t="str">
        <f t="shared" si="2660"/>
        <v>BANCO CORA (102)</v>
      </c>
      <c r="S5686">
        <v>3153</v>
      </c>
      <c r="T5686">
        <v>2743</v>
      </c>
      <c r="U5686" t="s">
        <v>19</v>
      </c>
    </row>
    <row r="5687" spans="1:21">
      <c r="A5687" t="str">
        <f>("29/09/2025")</f>
        <v>29/09/2025</v>
      </c>
      <c r="B5687" t="str">
        <f t="shared" si="2658"/>
        <v>SAÍDA</v>
      </c>
      <c r="C5687" t="str">
        <f>"PIX"</f>
        <v>PIX</v>
      </c>
      <c r="D5687" t="str">
        <f>"29092025"</f>
        <v>29092025</v>
      </c>
      <c r="E5687" t="str">
        <f t="shared" si="2659"/>
        <v>COM</v>
      </c>
      <c r="F5687" t="str">
        <f>"MARCELO REZENDE ARANTES (20014)"</f>
        <v>MARCELO REZENDE ARANTES (20014)</v>
      </c>
      <c r="G5687" t="str">
        <f>"DISTRIBUIÇÃO DE LUCROS "</f>
        <v xml:space="preserve">DISTRIBUIÇÃO DE LUCROS </v>
      </c>
      <c r="H5687" t="str">
        <f t="shared" ref="H5687:J5688" si="2661">("29/09/2025")</f>
        <v>29/09/2025</v>
      </c>
      <c r="I5687" t="str">
        <f t="shared" si="2661"/>
        <v>29/09/2025</v>
      </c>
      <c r="J5687" t="str">
        <f t="shared" si="2661"/>
        <v>29/09/2025</v>
      </c>
      <c r="K5687">
        <v>500</v>
      </c>
      <c r="L5687">
        <v>500</v>
      </c>
      <c r="M5687">
        <v>125</v>
      </c>
      <c r="N5687" t="str">
        <f>"DISTRIBUIÇÃO DE LUCRO"</f>
        <v>DISTRIBUIÇÃO DE LUCRO</v>
      </c>
      <c r="O5687">
        <v>500</v>
      </c>
      <c r="R5687" t="str">
        <f t="shared" si="2660"/>
        <v>BANCO CORA (102)</v>
      </c>
      <c r="S5687">
        <v>3150</v>
      </c>
      <c r="T5687">
        <v>2740</v>
      </c>
      <c r="U5687" t="s">
        <v>19</v>
      </c>
    </row>
    <row r="5688" spans="1:21">
      <c r="A5688" t="str">
        <f>("29/09/2025")</f>
        <v>29/09/2025</v>
      </c>
      <c r="B5688" t="str">
        <f t="shared" si="2658"/>
        <v>SAÍDA</v>
      </c>
      <c r="C5688" t="str">
        <f>"PIX"</f>
        <v>PIX</v>
      </c>
      <c r="D5688" t="str">
        <f>"29092025"</f>
        <v>29092025</v>
      </c>
      <c r="E5688" t="str">
        <f t="shared" si="2659"/>
        <v>COM</v>
      </c>
      <c r="F5688" t="str">
        <f>"MARCELO REZENDE ARANTES (20014)"</f>
        <v>MARCELO REZENDE ARANTES (20014)</v>
      </c>
      <c r="G5688" t="str">
        <f>"DISTRIBUIÇÃO DE LUCROS "</f>
        <v xml:space="preserve">DISTRIBUIÇÃO DE LUCROS </v>
      </c>
      <c r="H5688" t="str">
        <f t="shared" si="2661"/>
        <v>29/09/2025</v>
      </c>
      <c r="I5688" t="str">
        <f t="shared" si="2661"/>
        <v>29/09/2025</v>
      </c>
      <c r="J5688" t="str">
        <f t="shared" si="2661"/>
        <v>29/09/2025</v>
      </c>
      <c r="M5688">
        <v>125</v>
      </c>
      <c r="N5688" t="str">
        <f>"DISTRIBUIÇÃO DE LUCRO"</f>
        <v>DISTRIBUIÇÃO DE LUCRO</v>
      </c>
      <c r="P5688">
        <v>500</v>
      </c>
      <c r="Q5688" t="str">
        <f>"MARCELO REZENDE ARANTES (20014)"</f>
        <v>MARCELO REZENDE ARANTES (20014)</v>
      </c>
      <c r="R5688" t="str">
        <f t="shared" si="2660"/>
        <v>BANCO CORA (102)</v>
      </c>
      <c r="S5688">
        <v>3150</v>
      </c>
      <c r="T5688">
        <v>2740</v>
      </c>
      <c r="U5688" t="s">
        <v>19</v>
      </c>
    </row>
    <row r="5689" spans="1:21">
      <c r="A5689" t="str">
        <f>("30/09/2025")</f>
        <v>30/09/2025</v>
      </c>
      <c r="B5689" t="str">
        <f t="shared" si="2658"/>
        <v>SAÍDA</v>
      </c>
      <c r="C5689" t="str">
        <f>"PIX"</f>
        <v>PIX</v>
      </c>
      <c r="D5689" t="str">
        <f>"30092025"</f>
        <v>30092025</v>
      </c>
      <c r="E5689" t="str">
        <f t="shared" si="2659"/>
        <v>COM</v>
      </c>
      <c r="F5689" t="str">
        <f>"LILIANE DE FATIMA REZENDE JUSTINO (20013)"</f>
        <v>LILIANE DE FATIMA REZENDE JUSTINO (20013)</v>
      </c>
      <c r="G5689" t="str">
        <f>"DISTRIBUIÇÃO DE LUCROS"</f>
        <v>DISTRIBUIÇÃO DE LUCROS</v>
      </c>
      <c r="H5689" t="str">
        <f t="shared" ref="H5689:J5690" si="2662">("30/09/2025")</f>
        <v>30/09/2025</v>
      </c>
      <c r="I5689" t="str">
        <f t="shared" si="2662"/>
        <v>30/09/2025</v>
      </c>
      <c r="J5689" t="str">
        <f t="shared" si="2662"/>
        <v>30/09/2025</v>
      </c>
      <c r="K5689">
        <v>1166.6600000000001</v>
      </c>
      <c r="L5689">
        <v>1166.6600000000001</v>
      </c>
      <c r="M5689">
        <v>125</v>
      </c>
      <c r="N5689" t="str">
        <f>"DISTRIBUIÇÃO DE LUCRO"</f>
        <v>DISTRIBUIÇÃO DE LUCRO</v>
      </c>
      <c r="O5689">
        <v>1166.6600000000001</v>
      </c>
      <c r="R5689" t="str">
        <f t="shared" si="2660"/>
        <v>BANCO CORA (102)</v>
      </c>
      <c r="S5689">
        <v>3151</v>
      </c>
      <c r="T5689">
        <v>2741</v>
      </c>
      <c r="U5689" t="s">
        <v>19</v>
      </c>
    </row>
    <row r="5690" spans="1:21">
      <c r="A5690" t="str">
        <f>("30/09/2025")</f>
        <v>30/09/2025</v>
      </c>
      <c r="B5690" t="str">
        <f t="shared" si="2658"/>
        <v>SAÍDA</v>
      </c>
      <c r="C5690" t="str">
        <f>"PIX"</f>
        <v>PIX</v>
      </c>
      <c r="D5690" t="str">
        <f>"30092025"</f>
        <v>30092025</v>
      </c>
      <c r="E5690" t="str">
        <f t="shared" si="2659"/>
        <v>COM</v>
      </c>
      <c r="F5690" t="str">
        <f>"LILIANE DE FATIMA REZENDE JUSTINO (20013)"</f>
        <v>LILIANE DE FATIMA REZENDE JUSTINO (20013)</v>
      </c>
      <c r="G5690" t="str">
        <f>"DISTRIBUIÇÃO DE LUCROS"</f>
        <v>DISTRIBUIÇÃO DE LUCROS</v>
      </c>
      <c r="H5690" t="str">
        <f t="shared" si="2662"/>
        <v>30/09/2025</v>
      </c>
      <c r="I5690" t="str">
        <f t="shared" si="2662"/>
        <v>30/09/2025</v>
      </c>
      <c r="J5690" t="str">
        <f t="shared" si="2662"/>
        <v>30/09/2025</v>
      </c>
      <c r="M5690">
        <v>125</v>
      </c>
      <c r="N5690" t="str">
        <f>"DISTRIBUIÇÃO DE LUCRO"</f>
        <v>DISTRIBUIÇÃO DE LUCRO</v>
      </c>
      <c r="P5690">
        <v>1166.6600000000001</v>
      </c>
      <c r="Q5690" t="str">
        <f>"LILIANE DE FATIMA REZENDE JUSTINO (20013)"</f>
        <v>LILIANE DE FATIMA REZENDE JUSTINO (20013)</v>
      </c>
      <c r="R5690" t="str">
        <f t="shared" si="2660"/>
        <v>BANCO CORA (102)</v>
      </c>
      <c r="S5690">
        <v>3151</v>
      </c>
      <c r="T5690">
        <v>2741</v>
      </c>
      <c r="U5690" t="s">
        <v>19</v>
      </c>
    </row>
    <row r="5691" spans="1:21">
      <c r="A5691" t="str">
        <f t="shared" ref="A5691:A5722" si="2663">("01/10/2025")</f>
        <v>01/10/2025</v>
      </c>
      <c r="B5691" t="str">
        <f>"ENTRADA"</f>
        <v>ENTRADA</v>
      </c>
      <c r="C5691" t="str">
        <f t="shared" ref="C5691:C5722" si="2664">"NFSE"</f>
        <v>NFSE</v>
      </c>
      <c r="D5691" t="str">
        <f t="shared" ref="D5691:D5738" si="2665">"3508"</f>
        <v>3508</v>
      </c>
      <c r="E5691" t="str">
        <f t="shared" si="2659"/>
        <v>COM</v>
      </c>
      <c r="F5691" t="str">
        <f t="shared" ref="F5691:F5738" si="2666">"FARMÁCIA INDIANA LJ 1 (10126)"</f>
        <v>FARMÁCIA INDIANA LJ 1 (10126)</v>
      </c>
      <c r="G5691" t="str">
        <f t="shared" ref="G5691:G5738" si="2667">"Serv.Prest. 15/09/2025 a 21/09/2025 - RPS: 1273 - NFSe: 3508"</f>
        <v>Serv.Prest. 15/09/2025 a 21/09/2025 - RPS: 1273 - NFSe: 3508</v>
      </c>
      <c r="H5691" t="str">
        <f t="shared" ref="H5691:H5722" si="2668">("01/10/2025")</f>
        <v>01/10/2025</v>
      </c>
      <c r="I5691" t="str">
        <f t="shared" ref="I5691:I5722" si="2669">("23/09/2025")</f>
        <v>23/09/2025</v>
      </c>
      <c r="J5691" t="str">
        <f t="shared" ref="J5691:J5722" si="2670">("01/10/2025")</f>
        <v>01/10/2025</v>
      </c>
      <c r="K5691">
        <v>14502.86</v>
      </c>
      <c r="L5691">
        <v>14502.86</v>
      </c>
      <c r="M5691">
        <v>303</v>
      </c>
      <c r="N5691" t="str">
        <f t="shared" ref="N5691:N5722" si="2671">"RECEITAS COM ENTREGAS"</f>
        <v>RECEITAS COM ENTREGAS</v>
      </c>
      <c r="O5691">
        <v>14502.86</v>
      </c>
      <c r="R5691" t="str">
        <f t="shared" ref="R5691:R5722" si="2672">"RECEITAS COM ENTREGAS (303)"</f>
        <v>RECEITAS COM ENTREGAS (303)</v>
      </c>
      <c r="S5691">
        <v>2598</v>
      </c>
      <c r="T5691">
        <v>2157</v>
      </c>
      <c r="U5691" t="s">
        <v>19</v>
      </c>
    </row>
    <row r="5692" spans="1:21">
      <c r="A5692" t="str">
        <f t="shared" si="2663"/>
        <v>01/10/2025</v>
      </c>
      <c r="B5692" t="str">
        <f t="shared" ref="B5692:B5755" si="2673">"ENTRADA"</f>
        <v>ENTRADA</v>
      </c>
      <c r="C5692" t="str">
        <f t="shared" si="2664"/>
        <v>NFSE</v>
      </c>
      <c r="D5692" t="str">
        <f t="shared" si="2665"/>
        <v>3508</v>
      </c>
      <c r="E5692" t="str">
        <f t="shared" si="2659"/>
        <v>COM</v>
      </c>
      <c r="F5692" t="str">
        <f t="shared" si="2666"/>
        <v>FARMÁCIA INDIANA LJ 1 (10126)</v>
      </c>
      <c r="G5692" t="str">
        <f t="shared" si="2667"/>
        <v>Serv.Prest. 15/09/2025 a 21/09/2025 - RPS: 1273 - NFSe: 3508</v>
      </c>
      <c r="H5692" t="str">
        <f t="shared" si="2668"/>
        <v>01/10/2025</v>
      </c>
      <c r="I5692" t="str">
        <f t="shared" si="2669"/>
        <v>23/09/2025</v>
      </c>
      <c r="J5692" t="str">
        <f t="shared" si="2670"/>
        <v>01/10/2025</v>
      </c>
      <c r="M5692">
        <v>303</v>
      </c>
      <c r="N5692" t="str">
        <f t="shared" si="2671"/>
        <v>RECEITAS COM ENTREGAS</v>
      </c>
      <c r="P5692">
        <v>2001.39</v>
      </c>
      <c r="Q5692" t="str">
        <f>"FARMÁCIA INDIANA LJ 06 (10006)"</f>
        <v>FARMÁCIA INDIANA LJ 06 (10006)</v>
      </c>
      <c r="R5692" t="str">
        <f t="shared" si="2672"/>
        <v>RECEITAS COM ENTREGAS (303)</v>
      </c>
      <c r="S5692">
        <v>2598</v>
      </c>
      <c r="T5692">
        <v>2157</v>
      </c>
      <c r="U5692" t="s">
        <v>19</v>
      </c>
    </row>
    <row r="5693" spans="1:21">
      <c r="A5693" t="str">
        <f t="shared" si="2663"/>
        <v>01/10/2025</v>
      </c>
      <c r="B5693" t="str">
        <f t="shared" si="2673"/>
        <v>ENTRADA</v>
      </c>
      <c r="C5693" t="str">
        <f t="shared" si="2664"/>
        <v>NFSE</v>
      </c>
      <c r="D5693" t="str">
        <f t="shared" si="2665"/>
        <v>3508</v>
      </c>
      <c r="E5693" t="str">
        <f t="shared" si="2659"/>
        <v>COM</v>
      </c>
      <c r="F5693" t="str">
        <f t="shared" si="2666"/>
        <v>FARMÁCIA INDIANA LJ 1 (10126)</v>
      </c>
      <c r="G5693" t="str">
        <f t="shared" si="2667"/>
        <v>Serv.Prest. 15/09/2025 a 21/09/2025 - RPS: 1273 - NFSe: 3508</v>
      </c>
      <c r="H5693" t="str">
        <f t="shared" si="2668"/>
        <v>01/10/2025</v>
      </c>
      <c r="I5693" t="str">
        <f t="shared" si="2669"/>
        <v>23/09/2025</v>
      </c>
      <c r="J5693" t="str">
        <f t="shared" si="2670"/>
        <v>01/10/2025</v>
      </c>
      <c r="M5693">
        <v>303</v>
      </c>
      <c r="N5693" t="str">
        <f t="shared" si="2671"/>
        <v>RECEITAS COM ENTREGAS</v>
      </c>
      <c r="P5693">
        <v>1345.87</v>
      </c>
      <c r="Q5693" t="str">
        <f>"FARMÁCIA INDIANA LJ 07 (10007)"</f>
        <v>FARMÁCIA INDIANA LJ 07 (10007)</v>
      </c>
      <c r="R5693" t="str">
        <f t="shared" si="2672"/>
        <v>RECEITAS COM ENTREGAS (303)</v>
      </c>
      <c r="S5693">
        <v>2598</v>
      </c>
      <c r="T5693">
        <v>2157</v>
      </c>
      <c r="U5693" t="s">
        <v>19</v>
      </c>
    </row>
    <row r="5694" spans="1:21">
      <c r="A5694" t="str">
        <f t="shared" si="2663"/>
        <v>01/10/2025</v>
      </c>
      <c r="B5694" t="str">
        <f t="shared" si="2673"/>
        <v>ENTRADA</v>
      </c>
      <c r="C5694" t="str">
        <f t="shared" si="2664"/>
        <v>NFSE</v>
      </c>
      <c r="D5694" t="str">
        <f t="shared" si="2665"/>
        <v>3508</v>
      </c>
      <c r="E5694" t="str">
        <f t="shared" si="2659"/>
        <v>COM</v>
      </c>
      <c r="F5694" t="str">
        <f t="shared" si="2666"/>
        <v>FARMÁCIA INDIANA LJ 1 (10126)</v>
      </c>
      <c r="G5694" t="str">
        <f t="shared" si="2667"/>
        <v>Serv.Prest. 15/09/2025 a 21/09/2025 - RPS: 1273 - NFSe: 3508</v>
      </c>
      <c r="H5694" t="str">
        <f t="shared" si="2668"/>
        <v>01/10/2025</v>
      </c>
      <c r="I5694" t="str">
        <f t="shared" si="2669"/>
        <v>23/09/2025</v>
      </c>
      <c r="J5694" t="str">
        <f t="shared" si="2670"/>
        <v>01/10/2025</v>
      </c>
      <c r="M5694">
        <v>303</v>
      </c>
      <c r="N5694" t="str">
        <f t="shared" si="2671"/>
        <v>RECEITAS COM ENTREGAS</v>
      </c>
      <c r="P5694">
        <v>1092.07</v>
      </c>
      <c r="Q5694" t="str">
        <f>"FARMÁCIA INDIANA LJ 11 (10008)"</f>
        <v>FARMÁCIA INDIANA LJ 11 (10008)</v>
      </c>
      <c r="R5694" t="str">
        <f t="shared" si="2672"/>
        <v>RECEITAS COM ENTREGAS (303)</v>
      </c>
      <c r="S5694">
        <v>2598</v>
      </c>
      <c r="T5694">
        <v>2157</v>
      </c>
      <c r="U5694" t="s">
        <v>19</v>
      </c>
    </row>
    <row r="5695" spans="1:21">
      <c r="A5695" t="str">
        <f t="shared" si="2663"/>
        <v>01/10/2025</v>
      </c>
      <c r="B5695" t="str">
        <f t="shared" si="2673"/>
        <v>ENTRADA</v>
      </c>
      <c r="C5695" t="str">
        <f t="shared" si="2664"/>
        <v>NFSE</v>
      </c>
      <c r="D5695" t="str">
        <f t="shared" si="2665"/>
        <v>3508</v>
      </c>
      <c r="E5695" t="str">
        <f t="shared" si="2659"/>
        <v>COM</v>
      </c>
      <c r="F5695" t="str">
        <f t="shared" si="2666"/>
        <v>FARMÁCIA INDIANA LJ 1 (10126)</v>
      </c>
      <c r="G5695" t="str">
        <f t="shared" si="2667"/>
        <v>Serv.Prest. 15/09/2025 a 21/09/2025 - RPS: 1273 - NFSe: 3508</v>
      </c>
      <c r="H5695" t="str">
        <f t="shared" si="2668"/>
        <v>01/10/2025</v>
      </c>
      <c r="I5695" t="str">
        <f t="shared" si="2669"/>
        <v>23/09/2025</v>
      </c>
      <c r="J5695" t="str">
        <f t="shared" si="2670"/>
        <v>01/10/2025</v>
      </c>
      <c r="M5695">
        <v>303</v>
      </c>
      <c r="N5695" t="str">
        <f t="shared" si="2671"/>
        <v>RECEITAS COM ENTREGAS</v>
      </c>
      <c r="P5695">
        <v>442.34</v>
      </c>
      <c r="Q5695" t="str">
        <f>"FARMÁCIA INDIANA LJ 14 (10009)"</f>
        <v>FARMÁCIA INDIANA LJ 14 (10009)</v>
      </c>
      <c r="R5695" t="str">
        <f t="shared" si="2672"/>
        <v>RECEITAS COM ENTREGAS (303)</v>
      </c>
      <c r="S5695">
        <v>2598</v>
      </c>
      <c r="T5695">
        <v>2157</v>
      </c>
      <c r="U5695" t="s">
        <v>19</v>
      </c>
    </row>
    <row r="5696" spans="1:21">
      <c r="A5696" t="str">
        <f t="shared" si="2663"/>
        <v>01/10/2025</v>
      </c>
      <c r="B5696" t="str">
        <f t="shared" si="2673"/>
        <v>ENTRADA</v>
      </c>
      <c r="C5696" t="str">
        <f t="shared" si="2664"/>
        <v>NFSE</v>
      </c>
      <c r="D5696" t="str">
        <f t="shared" si="2665"/>
        <v>3508</v>
      </c>
      <c r="E5696" t="str">
        <f t="shared" si="2659"/>
        <v>COM</v>
      </c>
      <c r="F5696" t="str">
        <f t="shared" si="2666"/>
        <v>FARMÁCIA INDIANA LJ 1 (10126)</v>
      </c>
      <c r="G5696" t="str">
        <f t="shared" si="2667"/>
        <v>Serv.Prest. 15/09/2025 a 21/09/2025 - RPS: 1273 - NFSe: 3508</v>
      </c>
      <c r="H5696" t="str">
        <f t="shared" si="2668"/>
        <v>01/10/2025</v>
      </c>
      <c r="I5696" t="str">
        <f t="shared" si="2669"/>
        <v>23/09/2025</v>
      </c>
      <c r="J5696" t="str">
        <f t="shared" si="2670"/>
        <v>01/10/2025</v>
      </c>
      <c r="M5696">
        <v>303</v>
      </c>
      <c r="N5696" t="str">
        <f t="shared" si="2671"/>
        <v>RECEITAS COM ENTREGAS</v>
      </c>
      <c r="P5696">
        <v>382.88</v>
      </c>
      <c r="Q5696" t="str">
        <f>"FARMÁCIA INDIANA LJ 18 (10011)"</f>
        <v>FARMÁCIA INDIANA LJ 18 (10011)</v>
      </c>
      <c r="R5696" t="str">
        <f t="shared" si="2672"/>
        <v>RECEITAS COM ENTREGAS (303)</v>
      </c>
      <c r="S5696">
        <v>2598</v>
      </c>
      <c r="T5696">
        <v>2157</v>
      </c>
      <c r="U5696" t="s">
        <v>19</v>
      </c>
    </row>
    <row r="5697" spans="1:21">
      <c r="A5697" t="str">
        <f t="shared" si="2663"/>
        <v>01/10/2025</v>
      </c>
      <c r="B5697" t="str">
        <f t="shared" si="2673"/>
        <v>ENTRADA</v>
      </c>
      <c r="C5697" t="str">
        <f t="shared" si="2664"/>
        <v>NFSE</v>
      </c>
      <c r="D5697" t="str">
        <f t="shared" si="2665"/>
        <v>3508</v>
      </c>
      <c r="E5697" t="str">
        <f t="shared" si="2659"/>
        <v>COM</v>
      </c>
      <c r="F5697" t="str">
        <f t="shared" si="2666"/>
        <v>FARMÁCIA INDIANA LJ 1 (10126)</v>
      </c>
      <c r="G5697" t="str">
        <f t="shared" si="2667"/>
        <v>Serv.Prest. 15/09/2025 a 21/09/2025 - RPS: 1273 - NFSe: 3508</v>
      </c>
      <c r="H5697" t="str">
        <f t="shared" si="2668"/>
        <v>01/10/2025</v>
      </c>
      <c r="I5697" t="str">
        <f t="shared" si="2669"/>
        <v>23/09/2025</v>
      </c>
      <c r="J5697" t="str">
        <f t="shared" si="2670"/>
        <v>01/10/2025</v>
      </c>
      <c r="M5697">
        <v>303</v>
      </c>
      <c r="N5697" t="str">
        <f t="shared" si="2671"/>
        <v>RECEITAS COM ENTREGAS</v>
      </c>
      <c r="P5697">
        <v>384.33</v>
      </c>
      <c r="Q5697" t="str">
        <f>"FARMÁCIA INDIANA LJ 19 (10012)"</f>
        <v>FARMÁCIA INDIANA LJ 19 (10012)</v>
      </c>
      <c r="R5697" t="str">
        <f t="shared" si="2672"/>
        <v>RECEITAS COM ENTREGAS (303)</v>
      </c>
      <c r="S5697">
        <v>2598</v>
      </c>
      <c r="T5697">
        <v>2157</v>
      </c>
      <c r="U5697" t="s">
        <v>19</v>
      </c>
    </row>
    <row r="5698" spans="1:21">
      <c r="A5698" t="str">
        <f t="shared" si="2663"/>
        <v>01/10/2025</v>
      </c>
      <c r="B5698" t="str">
        <f t="shared" si="2673"/>
        <v>ENTRADA</v>
      </c>
      <c r="C5698" t="str">
        <f t="shared" si="2664"/>
        <v>NFSE</v>
      </c>
      <c r="D5698" t="str">
        <f t="shared" si="2665"/>
        <v>3508</v>
      </c>
      <c r="E5698" t="str">
        <f t="shared" si="2659"/>
        <v>COM</v>
      </c>
      <c r="F5698" t="str">
        <f t="shared" si="2666"/>
        <v>FARMÁCIA INDIANA LJ 1 (10126)</v>
      </c>
      <c r="G5698" t="str">
        <f t="shared" si="2667"/>
        <v>Serv.Prest. 15/09/2025 a 21/09/2025 - RPS: 1273 - NFSe: 3508</v>
      </c>
      <c r="H5698" t="str">
        <f t="shared" si="2668"/>
        <v>01/10/2025</v>
      </c>
      <c r="I5698" t="str">
        <f t="shared" si="2669"/>
        <v>23/09/2025</v>
      </c>
      <c r="J5698" t="str">
        <f t="shared" si="2670"/>
        <v>01/10/2025</v>
      </c>
      <c r="M5698">
        <v>303</v>
      </c>
      <c r="N5698" t="str">
        <f t="shared" si="2671"/>
        <v>RECEITAS COM ENTREGAS</v>
      </c>
      <c r="P5698">
        <v>964.44</v>
      </c>
      <c r="Q5698" t="str">
        <f>"FARMÁCIA INDIANA LJ 40 (10016)"</f>
        <v>FARMÁCIA INDIANA LJ 40 (10016)</v>
      </c>
      <c r="R5698" t="str">
        <f t="shared" si="2672"/>
        <v>RECEITAS COM ENTREGAS (303)</v>
      </c>
      <c r="S5698">
        <v>2598</v>
      </c>
      <c r="T5698">
        <v>2157</v>
      </c>
      <c r="U5698" t="s">
        <v>19</v>
      </c>
    </row>
    <row r="5699" spans="1:21">
      <c r="A5699" t="str">
        <f t="shared" si="2663"/>
        <v>01/10/2025</v>
      </c>
      <c r="B5699" t="str">
        <f t="shared" si="2673"/>
        <v>ENTRADA</v>
      </c>
      <c r="C5699" t="str">
        <f t="shared" si="2664"/>
        <v>NFSE</v>
      </c>
      <c r="D5699" t="str">
        <f t="shared" si="2665"/>
        <v>3508</v>
      </c>
      <c r="E5699" t="str">
        <f t="shared" si="2659"/>
        <v>COM</v>
      </c>
      <c r="F5699" t="str">
        <f t="shared" si="2666"/>
        <v>FARMÁCIA INDIANA LJ 1 (10126)</v>
      </c>
      <c r="G5699" t="str">
        <f t="shared" si="2667"/>
        <v>Serv.Prest. 15/09/2025 a 21/09/2025 - RPS: 1273 - NFSe: 3508</v>
      </c>
      <c r="H5699" t="str">
        <f t="shared" si="2668"/>
        <v>01/10/2025</v>
      </c>
      <c r="I5699" t="str">
        <f t="shared" si="2669"/>
        <v>23/09/2025</v>
      </c>
      <c r="J5699" t="str">
        <f t="shared" si="2670"/>
        <v>01/10/2025</v>
      </c>
      <c r="M5699">
        <v>303</v>
      </c>
      <c r="N5699" t="str">
        <f t="shared" si="2671"/>
        <v>RECEITAS COM ENTREGAS</v>
      </c>
      <c r="P5699">
        <v>321.95999999999998</v>
      </c>
      <c r="Q5699" t="str">
        <f>"FARMÁCIA INDIANA LJ 59 (10026)"</f>
        <v>FARMÁCIA INDIANA LJ 59 (10026)</v>
      </c>
      <c r="R5699" t="str">
        <f t="shared" si="2672"/>
        <v>RECEITAS COM ENTREGAS (303)</v>
      </c>
      <c r="S5699">
        <v>2598</v>
      </c>
      <c r="T5699">
        <v>2157</v>
      </c>
      <c r="U5699" t="s">
        <v>19</v>
      </c>
    </row>
    <row r="5700" spans="1:21">
      <c r="A5700" t="str">
        <f t="shared" si="2663"/>
        <v>01/10/2025</v>
      </c>
      <c r="B5700" t="str">
        <f t="shared" si="2673"/>
        <v>ENTRADA</v>
      </c>
      <c r="C5700" t="str">
        <f t="shared" si="2664"/>
        <v>NFSE</v>
      </c>
      <c r="D5700" t="str">
        <f t="shared" si="2665"/>
        <v>3508</v>
      </c>
      <c r="E5700" t="str">
        <f t="shared" si="2659"/>
        <v>COM</v>
      </c>
      <c r="F5700" t="str">
        <f t="shared" si="2666"/>
        <v>FARMÁCIA INDIANA LJ 1 (10126)</v>
      </c>
      <c r="G5700" t="str">
        <f t="shared" si="2667"/>
        <v>Serv.Prest. 15/09/2025 a 21/09/2025 - RPS: 1273 - NFSe: 3508</v>
      </c>
      <c r="H5700" t="str">
        <f t="shared" si="2668"/>
        <v>01/10/2025</v>
      </c>
      <c r="I5700" t="str">
        <f t="shared" si="2669"/>
        <v>23/09/2025</v>
      </c>
      <c r="J5700" t="str">
        <f t="shared" si="2670"/>
        <v>01/10/2025</v>
      </c>
      <c r="M5700">
        <v>303</v>
      </c>
      <c r="N5700" t="str">
        <f t="shared" si="2671"/>
        <v>RECEITAS COM ENTREGAS</v>
      </c>
      <c r="P5700">
        <v>435.09</v>
      </c>
      <c r="Q5700" t="str">
        <f>"FARMÁCIA INDIANA LJ 61 (10027)"</f>
        <v>FARMÁCIA INDIANA LJ 61 (10027)</v>
      </c>
      <c r="R5700" t="str">
        <f t="shared" si="2672"/>
        <v>RECEITAS COM ENTREGAS (303)</v>
      </c>
      <c r="S5700">
        <v>2598</v>
      </c>
      <c r="T5700">
        <v>2157</v>
      </c>
      <c r="U5700" t="s">
        <v>19</v>
      </c>
    </row>
    <row r="5701" spans="1:21">
      <c r="A5701" t="str">
        <f t="shared" si="2663"/>
        <v>01/10/2025</v>
      </c>
      <c r="B5701" t="str">
        <f t="shared" si="2673"/>
        <v>ENTRADA</v>
      </c>
      <c r="C5701" t="str">
        <f t="shared" si="2664"/>
        <v>NFSE</v>
      </c>
      <c r="D5701" t="str">
        <f t="shared" si="2665"/>
        <v>3508</v>
      </c>
      <c r="E5701" t="str">
        <f t="shared" si="2659"/>
        <v>COM</v>
      </c>
      <c r="F5701" t="str">
        <f t="shared" si="2666"/>
        <v>FARMÁCIA INDIANA LJ 1 (10126)</v>
      </c>
      <c r="G5701" t="str">
        <f t="shared" si="2667"/>
        <v>Serv.Prest. 15/09/2025 a 21/09/2025 - RPS: 1273 - NFSe: 3508</v>
      </c>
      <c r="H5701" t="str">
        <f t="shared" si="2668"/>
        <v>01/10/2025</v>
      </c>
      <c r="I5701" t="str">
        <f t="shared" si="2669"/>
        <v>23/09/2025</v>
      </c>
      <c r="J5701" t="str">
        <f t="shared" si="2670"/>
        <v>01/10/2025</v>
      </c>
      <c r="M5701">
        <v>303</v>
      </c>
      <c r="N5701" t="str">
        <f t="shared" si="2671"/>
        <v>RECEITAS COM ENTREGAS</v>
      </c>
      <c r="P5701">
        <v>317.61</v>
      </c>
      <c r="Q5701" t="str">
        <f>"FARMÁCIA INDIANA LJ 62 (10028)"</f>
        <v>FARMÁCIA INDIANA LJ 62 (10028)</v>
      </c>
      <c r="R5701" t="str">
        <f t="shared" si="2672"/>
        <v>RECEITAS COM ENTREGAS (303)</v>
      </c>
      <c r="S5701">
        <v>2598</v>
      </c>
      <c r="T5701">
        <v>2157</v>
      </c>
      <c r="U5701" t="s">
        <v>19</v>
      </c>
    </row>
    <row r="5702" spans="1:21">
      <c r="A5702" t="str">
        <f t="shared" si="2663"/>
        <v>01/10/2025</v>
      </c>
      <c r="B5702" t="str">
        <f t="shared" si="2673"/>
        <v>ENTRADA</v>
      </c>
      <c r="C5702" t="str">
        <f t="shared" si="2664"/>
        <v>NFSE</v>
      </c>
      <c r="D5702" t="str">
        <f t="shared" si="2665"/>
        <v>3508</v>
      </c>
      <c r="E5702" t="str">
        <f t="shared" si="2659"/>
        <v>COM</v>
      </c>
      <c r="F5702" t="str">
        <f t="shared" si="2666"/>
        <v>FARMÁCIA INDIANA LJ 1 (10126)</v>
      </c>
      <c r="G5702" t="str">
        <f t="shared" si="2667"/>
        <v>Serv.Prest. 15/09/2025 a 21/09/2025 - RPS: 1273 - NFSe: 3508</v>
      </c>
      <c r="H5702" t="str">
        <f t="shared" si="2668"/>
        <v>01/10/2025</v>
      </c>
      <c r="I5702" t="str">
        <f t="shared" si="2669"/>
        <v>23/09/2025</v>
      </c>
      <c r="J5702" t="str">
        <f t="shared" si="2670"/>
        <v>01/10/2025</v>
      </c>
      <c r="M5702">
        <v>303</v>
      </c>
      <c r="N5702" t="str">
        <f t="shared" si="2671"/>
        <v>RECEITAS COM ENTREGAS</v>
      </c>
      <c r="P5702">
        <v>107.32</v>
      </c>
      <c r="Q5702" t="str">
        <f>"FARMÁCIA INDIANA LJ 64 (10029)"</f>
        <v>FARMÁCIA INDIANA LJ 64 (10029)</v>
      </c>
      <c r="R5702" t="str">
        <f t="shared" si="2672"/>
        <v>RECEITAS COM ENTREGAS (303)</v>
      </c>
      <c r="S5702">
        <v>2598</v>
      </c>
      <c r="T5702">
        <v>2157</v>
      </c>
      <c r="U5702" t="s">
        <v>19</v>
      </c>
    </row>
    <row r="5703" spans="1:21">
      <c r="A5703" t="str">
        <f t="shared" si="2663"/>
        <v>01/10/2025</v>
      </c>
      <c r="B5703" t="str">
        <f t="shared" si="2673"/>
        <v>ENTRADA</v>
      </c>
      <c r="C5703" t="str">
        <f t="shared" si="2664"/>
        <v>NFSE</v>
      </c>
      <c r="D5703" t="str">
        <f t="shared" si="2665"/>
        <v>3508</v>
      </c>
      <c r="E5703" t="str">
        <f t="shared" si="2659"/>
        <v>COM</v>
      </c>
      <c r="F5703" t="str">
        <f t="shared" si="2666"/>
        <v>FARMÁCIA INDIANA LJ 1 (10126)</v>
      </c>
      <c r="G5703" t="str">
        <f t="shared" si="2667"/>
        <v>Serv.Prest. 15/09/2025 a 21/09/2025 - RPS: 1273 - NFSe: 3508</v>
      </c>
      <c r="H5703" t="str">
        <f t="shared" si="2668"/>
        <v>01/10/2025</v>
      </c>
      <c r="I5703" t="str">
        <f t="shared" si="2669"/>
        <v>23/09/2025</v>
      </c>
      <c r="J5703" t="str">
        <f t="shared" si="2670"/>
        <v>01/10/2025</v>
      </c>
      <c r="M5703">
        <v>303</v>
      </c>
      <c r="N5703" t="str">
        <f t="shared" si="2671"/>
        <v>RECEITAS COM ENTREGAS</v>
      </c>
      <c r="P5703">
        <v>66.709999999999994</v>
      </c>
      <c r="Q5703" t="str">
        <f>"FARMÁCIA INDIANA LJ 97 (10040)"</f>
        <v>FARMÁCIA INDIANA LJ 97 (10040)</v>
      </c>
      <c r="R5703" t="str">
        <f t="shared" si="2672"/>
        <v>RECEITAS COM ENTREGAS (303)</v>
      </c>
      <c r="S5703">
        <v>2598</v>
      </c>
      <c r="T5703">
        <v>2157</v>
      </c>
      <c r="U5703" t="s">
        <v>19</v>
      </c>
    </row>
    <row r="5704" spans="1:21">
      <c r="A5704" t="str">
        <f t="shared" si="2663"/>
        <v>01/10/2025</v>
      </c>
      <c r="B5704" t="str">
        <f t="shared" si="2673"/>
        <v>ENTRADA</v>
      </c>
      <c r="C5704" t="str">
        <f t="shared" si="2664"/>
        <v>NFSE</v>
      </c>
      <c r="D5704" t="str">
        <f t="shared" si="2665"/>
        <v>3508</v>
      </c>
      <c r="E5704" t="str">
        <f t="shared" si="2659"/>
        <v>COM</v>
      </c>
      <c r="F5704" t="str">
        <f t="shared" si="2666"/>
        <v>FARMÁCIA INDIANA LJ 1 (10126)</v>
      </c>
      <c r="G5704" t="str">
        <f t="shared" si="2667"/>
        <v>Serv.Prest. 15/09/2025 a 21/09/2025 - RPS: 1273 - NFSe: 3508</v>
      </c>
      <c r="H5704" t="str">
        <f t="shared" si="2668"/>
        <v>01/10/2025</v>
      </c>
      <c r="I5704" t="str">
        <f t="shared" si="2669"/>
        <v>23/09/2025</v>
      </c>
      <c r="J5704" t="str">
        <f t="shared" si="2670"/>
        <v>01/10/2025</v>
      </c>
      <c r="M5704">
        <v>303</v>
      </c>
      <c r="N5704" t="str">
        <f t="shared" si="2671"/>
        <v>RECEITAS COM ENTREGAS</v>
      </c>
      <c r="P5704">
        <v>300.20999999999998</v>
      </c>
      <c r="Q5704" t="str">
        <f>"FARMÁCIA INDIANA LJ 100 (10042)"</f>
        <v>FARMÁCIA INDIANA LJ 100 (10042)</v>
      </c>
      <c r="R5704" t="str">
        <f t="shared" si="2672"/>
        <v>RECEITAS COM ENTREGAS (303)</v>
      </c>
      <c r="S5704">
        <v>2598</v>
      </c>
      <c r="T5704">
        <v>2157</v>
      </c>
      <c r="U5704" t="s">
        <v>19</v>
      </c>
    </row>
    <row r="5705" spans="1:21">
      <c r="A5705" t="str">
        <f t="shared" si="2663"/>
        <v>01/10/2025</v>
      </c>
      <c r="B5705" t="str">
        <f t="shared" si="2673"/>
        <v>ENTRADA</v>
      </c>
      <c r="C5705" t="str">
        <f t="shared" si="2664"/>
        <v>NFSE</v>
      </c>
      <c r="D5705" t="str">
        <f t="shared" si="2665"/>
        <v>3508</v>
      </c>
      <c r="E5705" t="str">
        <f t="shared" si="2659"/>
        <v>COM</v>
      </c>
      <c r="F5705" t="str">
        <f t="shared" si="2666"/>
        <v>FARMÁCIA INDIANA LJ 1 (10126)</v>
      </c>
      <c r="G5705" t="str">
        <f t="shared" si="2667"/>
        <v>Serv.Prest. 15/09/2025 a 21/09/2025 - RPS: 1273 - NFSe: 3508</v>
      </c>
      <c r="H5705" t="str">
        <f t="shared" si="2668"/>
        <v>01/10/2025</v>
      </c>
      <c r="I5705" t="str">
        <f t="shared" si="2669"/>
        <v>23/09/2025</v>
      </c>
      <c r="J5705" t="str">
        <f t="shared" si="2670"/>
        <v>01/10/2025</v>
      </c>
      <c r="M5705">
        <v>303</v>
      </c>
      <c r="N5705" t="str">
        <f t="shared" si="2671"/>
        <v>RECEITAS COM ENTREGAS</v>
      </c>
      <c r="P5705">
        <v>641.03</v>
      </c>
      <c r="Q5705" t="str">
        <f>"FARMÁCIA INDIANA LJ 101 (10043)"</f>
        <v>FARMÁCIA INDIANA LJ 101 (10043)</v>
      </c>
      <c r="R5705" t="str">
        <f t="shared" si="2672"/>
        <v>RECEITAS COM ENTREGAS (303)</v>
      </c>
      <c r="S5705">
        <v>2598</v>
      </c>
      <c r="T5705">
        <v>2157</v>
      </c>
      <c r="U5705" t="s">
        <v>19</v>
      </c>
    </row>
    <row r="5706" spans="1:21">
      <c r="A5706" t="str">
        <f t="shared" si="2663"/>
        <v>01/10/2025</v>
      </c>
      <c r="B5706" t="str">
        <f t="shared" si="2673"/>
        <v>ENTRADA</v>
      </c>
      <c r="C5706" t="str">
        <f t="shared" si="2664"/>
        <v>NFSE</v>
      </c>
      <c r="D5706" t="str">
        <f t="shared" si="2665"/>
        <v>3508</v>
      </c>
      <c r="E5706" t="str">
        <f t="shared" si="2659"/>
        <v>COM</v>
      </c>
      <c r="F5706" t="str">
        <f t="shared" si="2666"/>
        <v>FARMÁCIA INDIANA LJ 1 (10126)</v>
      </c>
      <c r="G5706" t="str">
        <f t="shared" si="2667"/>
        <v>Serv.Prest. 15/09/2025 a 21/09/2025 - RPS: 1273 - NFSe: 3508</v>
      </c>
      <c r="H5706" t="str">
        <f t="shared" si="2668"/>
        <v>01/10/2025</v>
      </c>
      <c r="I5706" t="str">
        <f t="shared" si="2669"/>
        <v>23/09/2025</v>
      </c>
      <c r="J5706" t="str">
        <f t="shared" si="2670"/>
        <v>01/10/2025</v>
      </c>
      <c r="M5706">
        <v>303</v>
      </c>
      <c r="N5706" t="str">
        <f t="shared" si="2671"/>
        <v>RECEITAS COM ENTREGAS</v>
      </c>
      <c r="P5706">
        <v>97.17</v>
      </c>
      <c r="Q5706" t="str">
        <f>"FARMÁCIA INDIANA LJ 103 (10044)"</f>
        <v>FARMÁCIA INDIANA LJ 103 (10044)</v>
      </c>
      <c r="R5706" t="str">
        <f t="shared" si="2672"/>
        <v>RECEITAS COM ENTREGAS (303)</v>
      </c>
      <c r="S5706">
        <v>2598</v>
      </c>
      <c r="T5706">
        <v>2157</v>
      </c>
      <c r="U5706" t="s">
        <v>19</v>
      </c>
    </row>
    <row r="5707" spans="1:21">
      <c r="A5707" t="str">
        <f t="shared" si="2663"/>
        <v>01/10/2025</v>
      </c>
      <c r="B5707" t="str">
        <f t="shared" si="2673"/>
        <v>ENTRADA</v>
      </c>
      <c r="C5707" t="str">
        <f t="shared" si="2664"/>
        <v>NFSE</v>
      </c>
      <c r="D5707" t="str">
        <f t="shared" si="2665"/>
        <v>3508</v>
      </c>
      <c r="E5707" t="str">
        <f t="shared" si="2659"/>
        <v>COM</v>
      </c>
      <c r="F5707" t="str">
        <f t="shared" si="2666"/>
        <v>FARMÁCIA INDIANA LJ 1 (10126)</v>
      </c>
      <c r="G5707" t="str">
        <f t="shared" si="2667"/>
        <v>Serv.Prest. 15/09/2025 a 21/09/2025 - RPS: 1273 - NFSe: 3508</v>
      </c>
      <c r="H5707" t="str">
        <f t="shared" si="2668"/>
        <v>01/10/2025</v>
      </c>
      <c r="I5707" t="str">
        <f t="shared" si="2669"/>
        <v>23/09/2025</v>
      </c>
      <c r="J5707" t="str">
        <f t="shared" si="2670"/>
        <v>01/10/2025</v>
      </c>
      <c r="M5707">
        <v>303</v>
      </c>
      <c r="N5707" t="str">
        <f t="shared" si="2671"/>
        <v>RECEITAS COM ENTREGAS</v>
      </c>
      <c r="P5707">
        <v>217.54</v>
      </c>
      <c r="Q5707" t="str">
        <f>"FARMÁCIA INDIANA LJ 109 (10047)"</f>
        <v>FARMÁCIA INDIANA LJ 109 (10047)</v>
      </c>
      <c r="R5707" t="str">
        <f t="shared" si="2672"/>
        <v>RECEITAS COM ENTREGAS (303)</v>
      </c>
      <c r="S5707">
        <v>2598</v>
      </c>
      <c r="T5707">
        <v>2157</v>
      </c>
      <c r="U5707" t="s">
        <v>19</v>
      </c>
    </row>
    <row r="5708" spans="1:21">
      <c r="A5708" t="str">
        <f t="shared" si="2663"/>
        <v>01/10/2025</v>
      </c>
      <c r="B5708" t="str">
        <f t="shared" si="2673"/>
        <v>ENTRADA</v>
      </c>
      <c r="C5708" t="str">
        <f t="shared" si="2664"/>
        <v>NFSE</v>
      </c>
      <c r="D5708" t="str">
        <f t="shared" si="2665"/>
        <v>3508</v>
      </c>
      <c r="E5708" t="str">
        <f t="shared" si="2659"/>
        <v>COM</v>
      </c>
      <c r="F5708" t="str">
        <f t="shared" si="2666"/>
        <v>FARMÁCIA INDIANA LJ 1 (10126)</v>
      </c>
      <c r="G5708" t="str">
        <f t="shared" si="2667"/>
        <v>Serv.Prest. 15/09/2025 a 21/09/2025 - RPS: 1273 - NFSe: 3508</v>
      </c>
      <c r="H5708" t="str">
        <f t="shared" si="2668"/>
        <v>01/10/2025</v>
      </c>
      <c r="I5708" t="str">
        <f t="shared" si="2669"/>
        <v>23/09/2025</v>
      </c>
      <c r="J5708" t="str">
        <f t="shared" si="2670"/>
        <v>01/10/2025</v>
      </c>
      <c r="M5708">
        <v>303</v>
      </c>
      <c r="N5708" t="str">
        <f t="shared" si="2671"/>
        <v>RECEITAS COM ENTREGAS</v>
      </c>
      <c r="P5708">
        <v>377.07</v>
      </c>
      <c r="Q5708" t="str">
        <f>"FARMÁCIA INDIANA LJ 110 (10048)"</f>
        <v>FARMÁCIA INDIANA LJ 110 (10048)</v>
      </c>
      <c r="R5708" t="str">
        <f t="shared" si="2672"/>
        <v>RECEITAS COM ENTREGAS (303)</v>
      </c>
      <c r="S5708">
        <v>2598</v>
      </c>
      <c r="T5708">
        <v>2157</v>
      </c>
      <c r="U5708" t="s">
        <v>19</v>
      </c>
    </row>
    <row r="5709" spans="1:21">
      <c r="A5709" t="str">
        <f t="shared" si="2663"/>
        <v>01/10/2025</v>
      </c>
      <c r="B5709" t="str">
        <f t="shared" si="2673"/>
        <v>ENTRADA</v>
      </c>
      <c r="C5709" t="str">
        <f t="shared" si="2664"/>
        <v>NFSE</v>
      </c>
      <c r="D5709" t="str">
        <f t="shared" si="2665"/>
        <v>3508</v>
      </c>
      <c r="E5709" t="str">
        <f t="shared" si="2659"/>
        <v>COM</v>
      </c>
      <c r="F5709" t="str">
        <f t="shared" si="2666"/>
        <v>FARMÁCIA INDIANA LJ 1 (10126)</v>
      </c>
      <c r="G5709" t="str">
        <f t="shared" si="2667"/>
        <v>Serv.Prest. 15/09/2025 a 21/09/2025 - RPS: 1273 - NFSe: 3508</v>
      </c>
      <c r="H5709" t="str">
        <f t="shared" si="2668"/>
        <v>01/10/2025</v>
      </c>
      <c r="I5709" t="str">
        <f t="shared" si="2669"/>
        <v>23/09/2025</v>
      </c>
      <c r="J5709" t="str">
        <f t="shared" si="2670"/>
        <v>01/10/2025</v>
      </c>
      <c r="M5709">
        <v>303</v>
      </c>
      <c r="N5709" t="str">
        <f t="shared" si="2671"/>
        <v>RECEITAS COM ENTREGAS</v>
      </c>
      <c r="P5709">
        <v>65.260000000000005</v>
      </c>
      <c r="Q5709" t="str">
        <f>"FARMÁCIA INDIANA LJ 111 (10049)"</f>
        <v>FARMÁCIA INDIANA LJ 111 (10049)</v>
      </c>
      <c r="R5709" t="str">
        <f t="shared" si="2672"/>
        <v>RECEITAS COM ENTREGAS (303)</v>
      </c>
      <c r="S5709">
        <v>2598</v>
      </c>
      <c r="T5709">
        <v>2157</v>
      </c>
      <c r="U5709" t="s">
        <v>19</v>
      </c>
    </row>
    <row r="5710" spans="1:21">
      <c r="A5710" t="str">
        <f t="shared" si="2663"/>
        <v>01/10/2025</v>
      </c>
      <c r="B5710" t="str">
        <f t="shared" si="2673"/>
        <v>ENTRADA</v>
      </c>
      <c r="C5710" t="str">
        <f t="shared" si="2664"/>
        <v>NFSE</v>
      </c>
      <c r="D5710" t="str">
        <f t="shared" si="2665"/>
        <v>3508</v>
      </c>
      <c r="E5710" t="str">
        <f t="shared" si="2659"/>
        <v>COM</v>
      </c>
      <c r="F5710" t="str">
        <f t="shared" si="2666"/>
        <v>FARMÁCIA INDIANA LJ 1 (10126)</v>
      </c>
      <c r="G5710" t="str">
        <f t="shared" si="2667"/>
        <v>Serv.Prest. 15/09/2025 a 21/09/2025 - RPS: 1273 - NFSe: 3508</v>
      </c>
      <c r="H5710" t="str">
        <f t="shared" si="2668"/>
        <v>01/10/2025</v>
      </c>
      <c r="I5710" t="str">
        <f t="shared" si="2669"/>
        <v>23/09/2025</v>
      </c>
      <c r="J5710" t="str">
        <f t="shared" si="2670"/>
        <v>01/10/2025</v>
      </c>
      <c r="M5710">
        <v>303</v>
      </c>
      <c r="N5710" t="str">
        <f t="shared" si="2671"/>
        <v>RECEITAS COM ENTREGAS</v>
      </c>
      <c r="P5710">
        <v>149.38</v>
      </c>
      <c r="Q5710" t="str">
        <f>"FARMÁCIA INDIANA LJ 112 (10050)"</f>
        <v>FARMÁCIA INDIANA LJ 112 (10050)</v>
      </c>
      <c r="R5710" t="str">
        <f t="shared" si="2672"/>
        <v>RECEITAS COM ENTREGAS (303)</v>
      </c>
      <c r="S5710">
        <v>2598</v>
      </c>
      <c r="T5710">
        <v>2157</v>
      </c>
      <c r="U5710" t="s">
        <v>19</v>
      </c>
    </row>
    <row r="5711" spans="1:21">
      <c r="A5711" t="str">
        <f t="shared" si="2663"/>
        <v>01/10/2025</v>
      </c>
      <c r="B5711" t="str">
        <f t="shared" si="2673"/>
        <v>ENTRADA</v>
      </c>
      <c r="C5711" t="str">
        <f t="shared" si="2664"/>
        <v>NFSE</v>
      </c>
      <c r="D5711" t="str">
        <f t="shared" si="2665"/>
        <v>3508</v>
      </c>
      <c r="E5711" t="str">
        <f t="shared" si="2659"/>
        <v>COM</v>
      </c>
      <c r="F5711" t="str">
        <f t="shared" si="2666"/>
        <v>FARMÁCIA INDIANA LJ 1 (10126)</v>
      </c>
      <c r="G5711" t="str">
        <f t="shared" si="2667"/>
        <v>Serv.Prest. 15/09/2025 a 21/09/2025 - RPS: 1273 - NFSe: 3508</v>
      </c>
      <c r="H5711" t="str">
        <f t="shared" si="2668"/>
        <v>01/10/2025</v>
      </c>
      <c r="I5711" t="str">
        <f t="shared" si="2669"/>
        <v>23/09/2025</v>
      </c>
      <c r="J5711" t="str">
        <f t="shared" si="2670"/>
        <v>01/10/2025</v>
      </c>
      <c r="M5711">
        <v>303</v>
      </c>
      <c r="N5711" t="str">
        <f t="shared" si="2671"/>
        <v>RECEITAS COM ENTREGAS</v>
      </c>
      <c r="P5711">
        <v>149.38</v>
      </c>
      <c r="Q5711" t="str">
        <f>"FARMÁCIA INDIANA LJ 116 (10051)"</f>
        <v>FARMÁCIA INDIANA LJ 116 (10051)</v>
      </c>
      <c r="R5711" t="str">
        <f t="shared" si="2672"/>
        <v>RECEITAS COM ENTREGAS (303)</v>
      </c>
      <c r="S5711">
        <v>2598</v>
      </c>
      <c r="T5711">
        <v>2157</v>
      </c>
      <c r="U5711" t="s">
        <v>19</v>
      </c>
    </row>
    <row r="5712" spans="1:21">
      <c r="A5712" t="str">
        <f t="shared" si="2663"/>
        <v>01/10/2025</v>
      </c>
      <c r="B5712" t="str">
        <f t="shared" si="2673"/>
        <v>ENTRADA</v>
      </c>
      <c r="C5712" t="str">
        <f t="shared" si="2664"/>
        <v>NFSE</v>
      </c>
      <c r="D5712" t="str">
        <f t="shared" si="2665"/>
        <v>3508</v>
      </c>
      <c r="E5712" t="str">
        <f t="shared" si="2659"/>
        <v>COM</v>
      </c>
      <c r="F5712" t="str">
        <f t="shared" si="2666"/>
        <v>FARMÁCIA INDIANA LJ 1 (10126)</v>
      </c>
      <c r="G5712" t="str">
        <f t="shared" si="2667"/>
        <v>Serv.Prest. 15/09/2025 a 21/09/2025 - RPS: 1273 - NFSe: 3508</v>
      </c>
      <c r="H5712" t="str">
        <f t="shared" si="2668"/>
        <v>01/10/2025</v>
      </c>
      <c r="I5712" t="str">
        <f t="shared" si="2669"/>
        <v>23/09/2025</v>
      </c>
      <c r="J5712" t="str">
        <f t="shared" si="2670"/>
        <v>01/10/2025</v>
      </c>
      <c r="M5712">
        <v>303</v>
      </c>
      <c r="N5712" t="str">
        <f t="shared" si="2671"/>
        <v>RECEITAS COM ENTREGAS</v>
      </c>
      <c r="P5712">
        <v>143.58000000000001</v>
      </c>
      <c r="Q5712" t="str">
        <f>"FARMÁCIA INDIANA LJ 118 (10052)"</f>
        <v>FARMÁCIA INDIANA LJ 118 (10052)</v>
      </c>
      <c r="R5712" t="str">
        <f t="shared" si="2672"/>
        <v>RECEITAS COM ENTREGAS (303)</v>
      </c>
      <c r="S5712">
        <v>2598</v>
      </c>
      <c r="T5712">
        <v>2157</v>
      </c>
      <c r="U5712" t="s">
        <v>19</v>
      </c>
    </row>
    <row r="5713" spans="1:21">
      <c r="A5713" t="str">
        <f t="shared" si="2663"/>
        <v>01/10/2025</v>
      </c>
      <c r="B5713" t="str">
        <f t="shared" si="2673"/>
        <v>ENTRADA</v>
      </c>
      <c r="C5713" t="str">
        <f t="shared" si="2664"/>
        <v>NFSE</v>
      </c>
      <c r="D5713" t="str">
        <f t="shared" si="2665"/>
        <v>3508</v>
      </c>
      <c r="E5713" t="str">
        <f t="shared" si="2659"/>
        <v>COM</v>
      </c>
      <c r="F5713" t="str">
        <f t="shared" si="2666"/>
        <v>FARMÁCIA INDIANA LJ 1 (10126)</v>
      </c>
      <c r="G5713" t="str">
        <f t="shared" si="2667"/>
        <v>Serv.Prest. 15/09/2025 a 21/09/2025 - RPS: 1273 - NFSe: 3508</v>
      </c>
      <c r="H5713" t="str">
        <f t="shared" si="2668"/>
        <v>01/10/2025</v>
      </c>
      <c r="I5713" t="str">
        <f t="shared" si="2669"/>
        <v>23/09/2025</v>
      </c>
      <c r="J5713" t="str">
        <f t="shared" si="2670"/>
        <v>01/10/2025</v>
      </c>
      <c r="M5713">
        <v>303</v>
      </c>
      <c r="N5713" t="str">
        <f t="shared" si="2671"/>
        <v>RECEITAS COM ENTREGAS</v>
      </c>
      <c r="P5713">
        <v>149.38</v>
      </c>
      <c r="Q5713" t="str">
        <f>"FARMÁCIA INDIANA LJ 121 (10054)"</f>
        <v>FARMÁCIA INDIANA LJ 121 (10054)</v>
      </c>
      <c r="R5713" t="str">
        <f t="shared" si="2672"/>
        <v>RECEITAS COM ENTREGAS (303)</v>
      </c>
      <c r="S5713">
        <v>2598</v>
      </c>
      <c r="T5713">
        <v>2157</v>
      </c>
      <c r="U5713" t="s">
        <v>19</v>
      </c>
    </row>
    <row r="5714" spans="1:21">
      <c r="A5714" t="str">
        <f t="shared" si="2663"/>
        <v>01/10/2025</v>
      </c>
      <c r="B5714" t="str">
        <f t="shared" si="2673"/>
        <v>ENTRADA</v>
      </c>
      <c r="C5714" t="str">
        <f t="shared" si="2664"/>
        <v>NFSE</v>
      </c>
      <c r="D5714" t="str">
        <f t="shared" si="2665"/>
        <v>3508</v>
      </c>
      <c r="E5714" t="str">
        <f t="shared" si="2659"/>
        <v>COM</v>
      </c>
      <c r="F5714" t="str">
        <f t="shared" si="2666"/>
        <v>FARMÁCIA INDIANA LJ 1 (10126)</v>
      </c>
      <c r="G5714" t="str">
        <f t="shared" si="2667"/>
        <v>Serv.Prest. 15/09/2025 a 21/09/2025 - RPS: 1273 - NFSe: 3508</v>
      </c>
      <c r="H5714" t="str">
        <f t="shared" si="2668"/>
        <v>01/10/2025</v>
      </c>
      <c r="I5714" t="str">
        <f t="shared" si="2669"/>
        <v>23/09/2025</v>
      </c>
      <c r="J5714" t="str">
        <f t="shared" si="2670"/>
        <v>01/10/2025</v>
      </c>
      <c r="M5714">
        <v>303</v>
      </c>
      <c r="N5714" t="str">
        <f t="shared" si="2671"/>
        <v>RECEITAS COM ENTREGAS</v>
      </c>
      <c r="P5714">
        <v>149.38</v>
      </c>
      <c r="Q5714" t="str">
        <f>"FARMÁCIA INDIANA LJ 128 (10057)"</f>
        <v>FARMÁCIA INDIANA LJ 128 (10057)</v>
      </c>
      <c r="R5714" t="str">
        <f t="shared" si="2672"/>
        <v>RECEITAS COM ENTREGAS (303)</v>
      </c>
      <c r="S5714">
        <v>2598</v>
      </c>
      <c r="T5714">
        <v>2157</v>
      </c>
      <c r="U5714" t="s">
        <v>19</v>
      </c>
    </row>
    <row r="5715" spans="1:21">
      <c r="A5715" t="str">
        <f t="shared" si="2663"/>
        <v>01/10/2025</v>
      </c>
      <c r="B5715" t="str">
        <f t="shared" si="2673"/>
        <v>ENTRADA</v>
      </c>
      <c r="C5715" t="str">
        <f t="shared" si="2664"/>
        <v>NFSE</v>
      </c>
      <c r="D5715" t="str">
        <f t="shared" si="2665"/>
        <v>3508</v>
      </c>
      <c r="E5715" t="str">
        <f t="shared" ref="E5715:E5746" si="2674">"COM"</f>
        <v>COM</v>
      </c>
      <c r="F5715" t="str">
        <f t="shared" si="2666"/>
        <v>FARMÁCIA INDIANA LJ 1 (10126)</v>
      </c>
      <c r="G5715" t="str">
        <f t="shared" si="2667"/>
        <v>Serv.Prest. 15/09/2025 a 21/09/2025 - RPS: 1273 - NFSe: 3508</v>
      </c>
      <c r="H5715" t="str">
        <f t="shared" si="2668"/>
        <v>01/10/2025</v>
      </c>
      <c r="I5715" t="str">
        <f t="shared" si="2669"/>
        <v>23/09/2025</v>
      </c>
      <c r="J5715" t="str">
        <f t="shared" si="2670"/>
        <v>01/10/2025</v>
      </c>
      <c r="M5715">
        <v>303</v>
      </c>
      <c r="N5715" t="str">
        <f t="shared" si="2671"/>
        <v>RECEITAS COM ENTREGAS</v>
      </c>
      <c r="P5715">
        <v>60.91</v>
      </c>
      <c r="Q5715" t="str">
        <f>"FARMÁCIA INDIANA LJ 140 (10064)"</f>
        <v>FARMÁCIA INDIANA LJ 140 (10064)</v>
      </c>
      <c r="R5715" t="str">
        <f t="shared" si="2672"/>
        <v>RECEITAS COM ENTREGAS (303)</v>
      </c>
      <c r="S5715">
        <v>2598</v>
      </c>
      <c r="T5715">
        <v>2157</v>
      </c>
      <c r="U5715" t="s">
        <v>19</v>
      </c>
    </row>
    <row r="5716" spans="1:21">
      <c r="A5716" t="str">
        <f t="shared" si="2663"/>
        <v>01/10/2025</v>
      </c>
      <c r="B5716" t="str">
        <f t="shared" si="2673"/>
        <v>ENTRADA</v>
      </c>
      <c r="C5716" t="str">
        <f t="shared" si="2664"/>
        <v>NFSE</v>
      </c>
      <c r="D5716" t="str">
        <f t="shared" si="2665"/>
        <v>3508</v>
      </c>
      <c r="E5716" t="str">
        <f t="shared" si="2674"/>
        <v>COM</v>
      </c>
      <c r="F5716" t="str">
        <f t="shared" si="2666"/>
        <v>FARMÁCIA INDIANA LJ 1 (10126)</v>
      </c>
      <c r="G5716" t="str">
        <f t="shared" si="2667"/>
        <v>Serv.Prest. 15/09/2025 a 21/09/2025 - RPS: 1273 - NFSe: 3508</v>
      </c>
      <c r="H5716" t="str">
        <f t="shared" si="2668"/>
        <v>01/10/2025</v>
      </c>
      <c r="I5716" t="str">
        <f t="shared" si="2669"/>
        <v>23/09/2025</v>
      </c>
      <c r="J5716" t="str">
        <f t="shared" si="2670"/>
        <v>01/10/2025</v>
      </c>
      <c r="M5716">
        <v>303</v>
      </c>
      <c r="N5716" t="str">
        <f t="shared" si="2671"/>
        <v>RECEITAS COM ENTREGAS</v>
      </c>
      <c r="P5716">
        <v>18.850000000000001</v>
      </c>
      <c r="Q5716" t="str">
        <f>"FARMÁCIA INDIANA LJ 141 (10065)"</f>
        <v>FARMÁCIA INDIANA LJ 141 (10065)</v>
      </c>
      <c r="R5716" t="str">
        <f t="shared" si="2672"/>
        <v>RECEITAS COM ENTREGAS (303)</v>
      </c>
      <c r="S5716">
        <v>2598</v>
      </c>
      <c r="T5716">
        <v>2157</v>
      </c>
      <c r="U5716" t="s">
        <v>19</v>
      </c>
    </row>
    <row r="5717" spans="1:21">
      <c r="A5717" t="str">
        <f t="shared" si="2663"/>
        <v>01/10/2025</v>
      </c>
      <c r="B5717" t="str">
        <f t="shared" si="2673"/>
        <v>ENTRADA</v>
      </c>
      <c r="C5717" t="str">
        <f t="shared" si="2664"/>
        <v>NFSE</v>
      </c>
      <c r="D5717" t="str">
        <f t="shared" si="2665"/>
        <v>3508</v>
      </c>
      <c r="E5717" t="str">
        <f t="shared" si="2674"/>
        <v>COM</v>
      </c>
      <c r="F5717" t="str">
        <f t="shared" si="2666"/>
        <v>FARMÁCIA INDIANA LJ 1 (10126)</v>
      </c>
      <c r="G5717" t="str">
        <f t="shared" si="2667"/>
        <v>Serv.Prest. 15/09/2025 a 21/09/2025 - RPS: 1273 - NFSe: 3508</v>
      </c>
      <c r="H5717" t="str">
        <f t="shared" si="2668"/>
        <v>01/10/2025</v>
      </c>
      <c r="I5717" t="str">
        <f t="shared" si="2669"/>
        <v>23/09/2025</v>
      </c>
      <c r="J5717" t="str">
        <f t="shared" si="2670"/>
        <v>01/10/2025</v>
      </c>
      <c r="M5717">
        <v>303</v>
      </c>
      <c r="N5717" t="str">
        <f t="shared" si="2671"/>
        <v>RECEITAS COM ENTREGAS</v>
      </c>
      <c r="P5717">
        <v>754.15</v>
      </c>
      <c r="Q5717" t="str">
        <f>"FARMÁCIA INDIANA LJ 142 (10066)"</f>
        <v>FARMÁCIA INDIANA LJ 142 (10066)</v>
      </c>
      <c r="R5717" t="str">
        <f t="shared" si="2672"/>
        <v>RECEITAS COM ENTREGAS (303)</v>
      </c>
      <c r="S5717">
        <v>2598</v>
      </c>
      <c r="T5717">
        <v>2157</v>
      </c>
      <c r="U5717" t="s">
        <v>19</v>
      </c>
    </row>
    <row r="5718" spans="1:21">
      <c r="A5718" t="str">
        <f t="shared" si="2663"/>
        <v>01/10/2025</v>
      </c>
      <c r="B5718" t="str">
        <f t="shared" si="2673"/>
        <v>ENTRADA</v>
      </c>
      <c r="C5718" t="str">
        <f t="shared" si="2664"/>
        <v>NFSE</v>
      </c>
      <c r="D5718" t="str">
        <f t="shared" si="2665"/>
        <v>3508</v>
      </c>
      <c r="E5718" t="str">
        <f t="shared" si="2674"/>
        <v>COM</v>
      </c>
      <c r="F5718" t="str">
        <f t="shared" si="2666"/>
        <v>FARMÁCIA INDIANA LJ 1 (10126)</v>
      </c>
      <c r="G5718" t="str">
        <f t="shared" si="2667"/>
        <v>Serv.Prest. 15/09/2025 a 21/09/2025 - RPS: 1273 - NFSe: 3508</v>
      </c>
      <c r="H5718" t="str">
        <f t="shared" si="2668"/>
        <v>01/10/2025</v>
      </c>
      <c r="I5718" t="str">
        <f t="shared" si="2669"/>
        <v>23/09/2025</v>
      </c>
      <c r="J5718" t="str">
        <f t="shared" si="2670"/>
        <v>01/10/2025</v>
      </c>
      <c r="M5718">
        <v>303</v>
      </c>
      <c r="N5718" t="str">
        <f t="shared" si="2671"/>
        <v>RECEITAS COM ENTREGAS</v>
      </c>
      <c r="P5718">
        <v>66.709999999999994</v>
      </c>
      <c r="Q5718" t="str">
        <f>"FARMÁCIA INDIANA LJ 143 (10067)"</f>
        <v>FARMÁCIA INDIANA LJ 143 (10067)</v>
      </c>
      <c r="R5718" t="str">
        <f t="shared" si="2672"/>
        <v>RECEITAS COM ENTREGAS (303)</v>
      </c>
      <c r="S5718">
        <v>2598</v>
      </c>
      <c r="T5718">
        <v>2157</v>
      </c>
      <c r="U5718" t="s">
        <v>19</v>
      </c>
    </row>
    <row r="5719" spans="1:21">
      <c r="A5719" t="str">
        <f t="shared" si="2663"/>
        <v>01/10/2025</v>
      </c>
      <c r="B5719" t="str">
        <f t="shared" si="2673"/>
        <v>ENTRADA</v>
      </c>
      <c r="C5719" t="str">
        <f t="shared" si="2664"/>
        <v>NFSE</v>
      </c>
      <c r="D5719" t="str">
        <f t="shared" si="2665"/>
        <v>3508</v>
      </c>
      <c r="E5719" t="str">
        <f t="shared" si="2674"/>
        <v>COM</v>
      </c>
      <c r="F5719" t="str">
        <f t="shared" si="2666"/>
        <v>FARMÁCIA INDIANA LJ 1 (10126)</v>
      </c>
      <c r="G5719" t="str">
        <f t="shared" si="2667"/>
        <v>Serv.Prest. 15/09/2025 a 21/09/2025 - RPS: 1273 - NFSe: 3508</v>
      </c>
      <c r="H5719" t="str">
        <f t="shared" si="2668"/>
        <v>01/10/2025</v>
      </c>
      <c r="I5719" t="str">
        <f t="shared" si="2669"/>
        <v>23/09/2025</v>
      </c>
      <c r="J5719" t="str">
        <f t="shared" si="2670"/>
        <v>01/10/2025</v>
      </c>
      <c r="M5719">
        <v>303</v>
      </c>
      <c r="N5719" t="str">
        <f t="shared" si="2671"/>
        <v>RECEITAS COM ENTREGAS</v>
      </c>
      <c r="P5719">
        <v>404.63</v>
      </c>
      <c r="Q5719" t="str">
        <f>"FARMÁCIA INDIANA LJ 152 (10069)"</f>
        <v>FARMÁCIA INDIANA LJ 152 (10069)</v>
      </c>
      <c r="R5719" t="str">
        <f t="shared" si="2672"/>
        <v>RECEITAS COM ENTREGAS (303)</v>
      </c>
      <c r="S5719">
        <v>2598</v>
      </c>
      <c r="T5719">
        <v>2157</v>
      </c>
      <c r="U5719" t="s">
        <v>19</v>
      </c>
    </row>
    <row r="5720" spans="1:21">
      <c r="A5720" t="str">
        <f t="shared" si="2663"/>
        <v>01/10/2025</v>
      </c>
      <c r="B5720" t="str">
        <f t="shared" si="2673"/>
        <v>ENTRADA</v>
      </c>
      <c r="C5720" t="str">
        <f t="shared" si="2664"/>
        <v>NFSE</v>
      </c>
      <c r="D5720" t="str">
        <f t="shared" si="2665"/>
        <v>3508</v>
      </c>
      <c r="E5720" t="str">
        <f t="shared" si="2674"/>
        <v>COM</v>
      </c>
      <c r="F5720" t="str">
        <f t="shared" si="2666"/>
        <v>FARMÁCIA INDIANA LJ 1 (10126)</v>
      </c>
      <c r="G5720" t="str">
        <f t="shared" si="2667"/>
        <v>Serv.Prest. 15/09/2025 a 21/09/2025 - RPS: 1273 - NFSe: 3508</v>
      </c>
      <c r="H5720" t="str">
        <f t="shared" si="2668"/>
        <v>01/10/2025</v>
      </c>
      <c r="I5720" t="str">
        <f t="shared" si="2669"/>
        <v>23/09/2025</v>
      </c>
      <c r="J5720" t="str">
        <f t="shared" si="2670"/>
        <v>01/10/2025</v>
      </c>
      <c r="M5720">
        <v>303</v>
      </c>
      <c r="N5720" t="str">
        <f t="shared" si="2671"/>
        <v>RECEITAS COM ENTREGAS</v>
      </c>
      <c r="P5720">
        <v>39.159999999999997</v>
      </c>
      <c r="Q5720" t="str">
        <f>"FARMÁCIA INDIANA LJ 154 (10070)"</f>
        <v>FARMÁCIA INDIANA LJ 154 (10070)</v>
      </c>
      <c r="R5720" t="str">
        <f t="shared" si="2672"/>
        <v>RECEITAS COM ENTREGAS (303)</v>
      </c>
      <c r="S5720">
        <v>2598</v>
      </c>
      <c r="T5720">
        <v>2157</v>
      </c>
      <c r="U5720" t="s">
        <v>19</v>
      </c>
    </row>
    <row r="5721" spans="1:21">
      <c r="A5721" t="str">
        <f t="shared" si="2663"/>
        <v>01/10/2025</v>
      </c>
      <c r="B5721" t="str">
        <f t="shared" si="2673"/>
        <v>ENTRADA</v>
      </c>
      <c r="C5721" t="str">
        <f t="shared" si="2664"/>
        <v>NFSE</v>
      </c>
      <c r="D5721" t="str">
        <f t="shared" si="2665"/>
        <v>3508</v>
      </c>
      <c r="E5721" t="str">
        <f t="shared" si="2674"/>
        <v>COM</v>
      </c>
      <c r="F5721" t="str">
        <f t="shared" si="2666"/>
        <v>FARMÁCIA INDIANA LJ 1 (10126)</v>
      </c>
      <c r="G5721" t="str">
        <f t="shared" si="2667"/>
        <v>Serv.Prest. 15/09/2025 a 21/09/2025 - RPS: 1273 - NFSe: 3508</v>
      </c>
      <c r="H5721" t="str">
        <f t="shared" si="2668"/>
        <v>01/10/2025</v>
      </c>
      <c r="I5721" t="str">
        <f t="shared" si="2669"/>
        <v>23/09/2025</v>
      </c>
      <c r="J5721" t="str">
        <f t="shared" si="2670"/>
        <v>01/10/2025</v>
      </c>
      <c r="M5721">
        <v>303</v>
      </c>
      <c r="N5721" t="str">
        <f t="shared" si="2671"/>
        <v>RECEITAS COM ENTREGAS</v>
      </c>
      <c r="P5721">
        <v>321.95999999999998</v>
      </c>
      <c r="Q5721" t="str">
        <f>"FARMÁCIA INDIANA LJ 171 (10074)"</f>
        <v>FARMÁCIA INDIANA LJ 171 (10074)</v>
      </c>
      <c r="R5721" t="str">
        <f t="shared" si="2672"/>
        <v>RECEITAS COM ENTREGAS (303)</v>
      </c>
      <c r="S5721">
        <v>2598</v>
      </c>
      <c r="T5721">
        <v>2157</v>
      </c>
      <c r="U5721" t="s">
        <v>19</v>
      </c>
    </row>
    <row r="5722" spans="1:21">
      <c r="A5722" t="str">
        <f t="shared" si="2663"/>
        <v>01/10/2025</v>
      </c>
      <c r="B5722" t="str">
        <f t="shared" si="2673"/>
        <v>ENTRADA</v>
      </c>
      <c r="C5722" t="str">
        <f t="shared" si="2664"/>
        <v>NFSE</v>
      </c>
      <c r="D5722" t="str">
        <f t="shared" si="2665"/>
        <v>3508</v>
      </c>
      <c r="E5722" t="str">
        <f t="shared" si="2674"/>
        <v>COM</v>
      </c>
      <c r="F5722" t="str">
        <f t="shared" si="2666"/>
        <v>FARMÁCIA INDIANA LJ 1 (10126)</v>
      </c>
      <c r="G5722" t="str">
        <f t="shared" si="2667"/>
        <v>Serv.Prest. 15/09/2025 a 21/09/2025 - RPS: 1273 - NFSe: 3508</v>
      </c>
      <c r="H5722" t="str">
        <f t="shared" si="2668"/>
        <v>01/10/2025</v>
      </c>
      <c r="I5722" t="str">
        <f t="shared" si="2669"/>
        <v>23/09/2025</v>
      </c>
      <c r="J5722" t="str">
        <f t="shared" si="2670"/>
        <v>01/10/2025</v>
      </c>
      <c r="M5722">
        <v>303</v>
      </c>
      <c r="N5722" t="str">
        <f t="shared" si="2671"/>
        <v>RECEITAS COM ENTREGAS</v>
      </c>
      <c r="P5722">
        <v>123.27</v>
      </c>
      <c r="Q5722" t="str">
        <f>"FARMÁCIA INDIANA LJ 175 (10076)"</f>
        <v>FARMÁCIA INDIANA LJ 175 (10076)</v>
      </c>
      <c r="R5722" t="str">
        <f t="shared" si="2672"/>
        <v>RECEITAS COM ENTREGAS (303)</v>
      </c>
      <c r="S5722">
        <v>2598</v>
      </c>
      <c r="T5722">
        <v>2157</v>
      </c>
      <c r="U5722" t="s">
        <v>19</v>
      </c>
    </row>
    <row r="5723" spans="1:21">
      <c r="A5723" t="str">
        <f t="shared" ref="A5723:A5754" si="2675">("01/10/2025")</f>
        <v>01/10/2025</v>
      </c>
      <c r="B5723" t="str">
        <f t="shared" si="2673"/>
        <v>ENTRADA</v>
      </c>
      <c r="C5723" t="str">
        <f t="shared" ref="C5723:C5754" si="2676">"NFSE"</f>
        <v>NFSE</v>
      </c>
      <c r="D5723" t="str">
        <f t="shared" si="2665"/>
        <v>3508</v>
      </c>
      <c r="E5723" t="str">
        <f t="shared" si="2674"/>
        <v>COM</v>
      </c>
      <c r="F5723" t="str">
        <f t="shared" si="2666"/>
        <v>FARMÁCIA INDIANA LJ 1 (10126)</v>
      </c>
      <c r="G5723" t="str">
        <f t="shared" si="2667"/>
        <v>Serv.Prest. 15/09/2025 a 21/09/2025 - RPS: 1273 - NFSe: 3508</v>
      </c>
      <c r="H5723" t="str">
        <f t="shared" ref="H5723:H5754" si="2677">("01/10/2025")</f>
        <v>01/10/2025</v>
      </c>
      <c r="I5723" t="str">
        <f t="shared" ref="I5723:I5754" si="2678">("23/09/2025")</f>
        <v>23/09/2025</v>
      </c>
      <c r="J5723" t="str">
        <f t="shared" ref="J5723:J5754" si="2679">("01/10/2025")</f>
        <v>01/10/2025</v>
      </c>
      <c r="M5723">
        <v>303</v>
      </c>
      <c r="N5723" t="str">
        <f t="shared" ref="N5723:N5754" si="2680">"RECEITAS COM ENTREGAS"</f>
        <v>RECEITAS COM ENTREGAS</v>
      </c>
      <c r="P5723">
        <v>110.22</v>
      </c>
      <c r="Q5723" t="str">
        <f>"FARMÁCIA INDIANA LJ 178 (10077)"</f>
        <v>FARMÁCIA INDIANA LJ 178 (10077)</v>
      </c>
      <c r="R5723" t="str">
        <f t="shared" ref="R5723:R5754" si="2681">"RECEITAS COM ENTREGAS (303)"</f>
        <v>RECEITAS COM ENTREGAS (303)</v>
      </c>
      <c r="S5723">
        <v>2598</v>
      </c>
      <c r="T5723">
        <v>2157</v>
      </c>
      <c r="U5723" t="s">
        <v>19</v>
      </c>
    </row>
    <row r="5724" spans="1:21">
      <c r="A5724" t="str">
        <f t="shared" si="2675"/>
        <v>01/10/2025</v>
      </c>
      <c r="B5724" t="str">
        <f t="shared" si="2673"/>
        <v>ENTRADA</v>
      </c>
      <c r="C5724" t="str">
        <f t="shared" si="2676"/>
        <v>NFSE</v>
      </c>
      <c r="D5724" t="str">
        <f t="shared" si="2665"/>
        <v>3508</v>
      </c>
      <c r="E5724" t="str">
        <f t="shared" si="2674"/>
        <v>COM</v>
      </c>
      <c r="F5724" t="str">
        <f t="shared" si="2666"/>
        <v>FARMÁCIA INDIANA LJ 1 (10126)</v>
      </c>
      <c r="G5724" t="str">
        <f t="shared" si="2667"/>
        <v>Serv.Prest. 15/09/2025 a 21/09/2025 - RPS: 1273 - NFSe: 3508</v>
      </c>
      <c r="H5724" t="str">
        <f t="shared" si="2677"/>
        <v>01/10/2025</v>
      </c>
      <c r="I5724" t="str">
        <f t="shared" si="2678"/>
        <v>23/09/2025</v>
      </c>
      <c r="J5724" t="str">
        <f t="shared" si="2679"/>
        <v>01/10/2025</v>
      </c>
      <c r="M5724">
        <v>303</v>
      </c>
      <c r="N5724" t="str">
        <f t="shared" si="2680"/>
        <v>RECEITAS COM ENTREGAS</v>
      </c>
      <c r="P5724">
        <v>79.77</v>
      </c>
      <c r="Q5724" t="str">
        <f>"FARMÁCIA INDIANA LJ 182 (10079)"</f>
        <v>FARMÁCIA INDIANA LJ 182 (10079)</v>
      </c>
      <c r="R5724" t="str">
        <f t="shared" si="2681"/>
        <v>RECEITAS COM ENTREGAS (303)</v>
      </c>
      <c r="S5724">
        <v>2598</v>
      </c>
      <c r="T5724">
        <v>2157</v>
      </c>
      <c r="U5724" t="s">
        <v>19</v>
      </c>
    </row>
    <row r="5725" spans="1:21">
      <c r="A5725" t="str">
        <f t="shared" si="2675"/>
        <v>01/10/2025</v>
      </c>
      <c r="B5725" t="str">
        <f t="shared" si="2673"/>
        <v>ENTRADA</v>
      </c>
      <c r="C5725" t="str">
        <f t="shared" si="2676"/>
        <v>NFSE</v>
      </c>
      <c r="D5725" t="str">
        <f t="shared" si="2665"/>
        <v>3508</v>
      </c>
      <c r="E5725" t="str">
        <f t="shared" si="2674"/>
        <v>COM</v>
      </c>
      <c r="F5725" t="str">
        <f t="shared" si="2666"/>
        <v>FARMÁCIA INDIANA LJ 1 (10126)</v>
      </c>
      <c r="G5725" t="str">
        <f t="shared" si="2667"/>
        <v>Serv.Prest. 15/09/2025 a 21/09/2025 - RPS: 1273 - NFSe: 3508</v>
      </c>
      <c r="H5725" t="str">
        <f t="shared" si="2677"/>
        <v>01/10/2025</v>
      </c>
      <c r="I5725" t="str">
        <f t="shared" si="2678"/>
        <v>23/09/2025</v>
      </c>
      <c r="J5725" t="str">
        <f t="shared" si="2679"/>
        <v>01/10/2025</v>
      </c>
      <c r="M5725">
        <v>303</v>
      </c>
      <c r="N5725" t="str">
        <f t="shared" si="2680"/>
        <v>RECEITAS COM ENTREGAS</v>
      </c>
      <c r="P5725">
        <v>40.61</v>
      </c>
      <c r="Q5725" t="str">
        <f>"FARMÁCIA INDIANA LJ 184 (10080)"</f>
        <v>FARMÁCIA INDIANA LJ 184 (10080)</v>
      </c>
      <c r="R5725" t="str">
        <f t="shared" si="2681"/>
        <v>RECEITAS COM ENTREGAS (303)</v>
      </c>
      <c r="S5725">
        <v>2598</v>
      </c>
      <c r="T5725">
        <v>2157</v>
      </c>
      <c r="U5725" t="s">
        <v>19</v>
      </c>
    </row>
    <row r="5726" spans="1:21">
      <c r="A5726" t="str">
        <f t="shared" si="2675"/>
        <v>01/10/2025</v>
      </c>
      <c r="B5726" t="str">
        <f t="shared" si="2673"/>
        <v>ENTRADA</v>
      </c>
      <c r="C5726" t="str">
        <f t="shared" si="2676"/>
        <v>NFSE</v>
      </c>
      <c r="D5726" t="str">
        <f t="shared" si="2665"/>
        <v>3508</v>
      </c>
      <c r="E5726" t="str">
        <f t="shared" si="2674"/>
        <v>COM</v>
      </c>
      <c r="F5726" t="str">
        <f t="shared" si="2666"/>
        <v>FARMÁCIA INDIANA LJ 1 (10126)</v>
      </c>
      <c r="G5726" t="str">
        <f t="shared" si="2667"/>
        <v>Serv.Prest. 15/09/2025 a 21/09/2025 - RPS: 1273 - NFSe: 3508</v>
      </c>
      <c r="H5726" t="str">
        <f t="shared" si="2677"/>
        <v>01/10/2025</v>
      </c>
      <c r="I5726" t="str">
        <f t="shared" si="2678"/>
        <v>23/09/2025</v>
      </c>
      <c r="J5726" t="str">
        <f t="shared" si="2679"/>
        <v>01/10/2025</v>
      </c>
      <c r="M5726">
        <v>303</v>
      </c>
      <c r="N5726" t="str">
        <f t="shared" si="2680"/>
        <v>RECEITAS COM ENTREGAS</v>
      </c>
      <c r="P5726">
        <v>79.77</v>
      </c>
      <c r="Q5726" t="str">
        <f>"FARMÁCIA INDIANA LJ 186 (10081)"</f>
        <v>FARMÁCIA INDIANA LJ 186 (10081)</v>
      </c>
      <c r="R5726" t="str">
        <f t="shared" si="2681"/>
        <v>RECEITAS COM ENTREGAS (303)</v>
      </c>
      <c r="S5726">
        <v>2598</v>
      </c>
      <c r="T5726">
        <v>2157</v>
      </c>
      <c r="U5726" t="s">
        <v>19</v>
      </c>
    </row>
    <row r="5727" spans="1:21">
      <c r="A5727" t="str">
        <f t="shared" si="2675"/>
        <v>01/10/2025</v>
      </c>
      <c r="B5727" t="str">
        <f t="shared" si="2673"/>
        <v>ENTRADA</v>
      </c>
      <c r="C5727" t="str">
        <f t="shared" si="2676"/>
        <v>NFSE</v>
      </c>
      <c r="D5727" t="str">
        <f t="shared" si="2665"/>
        <v>3508</v>
      </c>
      <c r="E5727" t="str">
        <f t="shared" si="2674"/>
        <v>COM</v>
      </c>
      <c r="F5727" t="str">
        <f t="shared" si="2666"/>
        <v>FARMÁCIA INDIANA LJ 1 (10126)</v>
      </c>
      <c r="G5727" t="str">
        <f t="shared" si="2667"/>
        <v>Serv.Prest. 15/09/2025 a 21/09/2025 - RPS: 1273 - NFSe: 3508</v>
      </c>
      <c r="H5727" t="str">
        <f t="shared" si="2677"/>
        <v>01/10/2025</v>
      </c>
      <c r="I5727" t="str">
        <f t="shared" si="2678"/>
        <v>23/09/2025</v>
      </c>
      <c r="J5727" t="str">
        <f t="shared" si="2679"/>
        <v>01/10/2025</v>
      </c>
      <c r="M5727">
        <v>303</v>
      </c>
      <c r="N5727" t="str">
        <f t="shared" si="2680"/>
        <v>RECEITAS COM ENTREGAS</v>
      </c>
      <c r="P5727">
        <v>126.17</v>
      </c>
      <c r="Q5727" t="str">
        <f>"FARMÁCIA INDIANA LJ 192 (10082)"</f>
        <v>FARMÁCIA INDIANA LJ 192 (10082)</v>
      </c>
      <c r="R5727" t="str">
        <f t="shared" si="2681"/>
        <v>RECEITAS COM ENTREGAS (303)</v>
      </c>
      <c r="S5727">
        <v>2598</v>
      </c>
      <c r="T5727">
        <v>2157</v>
      </c>
      <c r="U5727" t="s">
        <v>19</v>
      </c>
    </row>
    <row r="5728" spans="1:21">
      <c r="A5728" t="str">
        <f t="shared" si="2675"/>
        <v>01/10/2025</v>
      </c>
      <c r="B5728" t="str">
        <f t="shared" si="2673"/>
        <v>ENTRADA</v>
      </c>
      <c r="C5728" t="str">
        <f t="shared" si="2676"/>
        <v>NFSE</v>
      </c>
      <c r="D5728" t="str">
        <f t="shared" si="2665"/>
        <v>3508</v>
      </c>
      <c r="E5728" t="str">
        <f t="shared" si="2674"/>
        <v>COM</v>
      </c>
      <c r="F5728" t="str">
        <f t="shared" si="2666"/>
        <v>FARMÁCIA INDIANA LJ 1 (10126)</v>
      </c>
      <c r="G5728" t="str">
        <f t="shared" si="2667"/>
        <v>Serv.Prest. 15/09/2025 a 21/09/2025 - RPS: 1273 - NFSe: 3508</v>
      </c>
      <c r="H5728" t="str">
        <f t="shared" si="2677"/>
        <v>01/10/2025</v>
      </c>
      <c r="I5728" t="str">
        <f t="shared" si="2678"/>
        <v>23/09/2025</v>
      </c>
      <c r="J5728" t="str">
        <f t="shared" si="2679"/>
        <v>01/10/2025</v>
      </c>
      <c r="M5728">
        <v>303</v>
      </c>
      <c r="N5728" t="str">
        <f t="shared" si="2680"/>
        <v>RECEITAS COM ENTREGAS</v>
      </c>
      <c r="P5728">
        <v>40.61</v>
      </c>
      <c r="Q5728" t="str">
        <f>"FARMÁCIA INDIANA LJ 195 (10083)"</f>
        <v>FARMÁCIA INDIANA LJ 195 (10083)</v>
      </c>
      <c r="R5728" t="str">
        <f t="shared" si="2681"/>
        <v>RECEITAS COM ENTREGAS (303)</v>
      </c>
      <c r="S5728">
        <v>2598</v>
      </c>
      <c r="T5728">
        <v>2157</v>
      </c>
      <c r="U5728" t="s">
        <v>19</v>
      </c>
    </row>
    <row r="5729" spans="1:21">
      <c r="A5729" t="str">
        <f t="shared" si="2675"/>
        <v>01/10/2025</v>
      </c>
      <c r="B5729" t="str">
        <f t="shared" si="2673"/>
        <v>ENTRADA</v>
      </c>
      <c r="C5729" t="str">
        <f t="shared" si="2676"/>
        <v>NFSE</v>
      </c>
      <c r="D5729" t="str">
        <f t="shared" si="2665"/>
        <v>3508</v>
      </c>
      <c r="E5729" t="str">
        <f t="shared" si="2674"/>
        <v>COM</v>
      </c>
      <c r="F5729" t="str">
        <f t="shared" si="2666"/>
        <v>FARMÁCIA INDIANA LJ 1 (10126)</v>
      </c>
      <c r="G5729" t="str">
        <f t="shared" si="2667"/>
        <v>Serv.Prest. 15/09/2025 a 21/09/2025 - RPS: 1273 - NFSe: 3508</v>
      </c>
      <c r="H5729" t="str">
        <f t="shared" si="2677"/>
        <v>01/10/2025</v>
      </c>
      <c r="I5729" t="str">
        <f t="shared" si="2678"/>
        <v>23/09/2025</v>
      </c>
      <c r="J5729" t="str">
        <f t="shared" si="2679"/>
        <v>01/10/2025</v>
      </c>
      <c r="M5729">
        <v>303</v>
      </c>
      <c r="N5729" t="str">
        <f t="shared" si="2680"/>
        <v>RECEITAS COM ENTREGAS</v>
      </c>
      <c r="P5729">
        <v>149.38</v>
      </c>
      <c r="Q5729" t="str">
        <f>"FARMÁCIA INDIANA LJ 202 (10085)"</f>
        <v>FARMÁCIA INDIANA LJ 202 (10085)</v>
      </c>
      <c r="R5729" t="str">
        <f t="shared" si="2681"/>
        <v>RECEITAS COM ENTREGAS (303)</v>
      </c>
      <c r="S5729">
        <v>2598</v>
      </c>
      <c r="T5729">
        <v>2157</v>
      </c>
      <c r="U5729" t="s">
        <v>19</v>
      </c>
    </row>
    <row r="5730" spans="1:21">
      <c r="A5730" t="str">
        <f t="shared" si="2675"/>
        <v>01/10/2025</v>
      </c>
      <c r="B5730" t="str">
        <f t="shared" si="2673"/>
        <v>ENTRADA</v>
      </c>
      <c r="C5730" t="str">
        <f t="shared" si="2676"/>
        <v>NFSE</v>
      </c>
      <c r="D5730" t="str">
        <f t="shared" si="2665"/>
        <v>3508</v>
      </c>
      <c r="E5730" t="str">
        <f t="shared" si="2674"/>
        <v>COM</v>
      </c>
      <c r="F5730" t="str">
        <f t="shared" si="2666"/>
        <v>FARMÁCIA INDIANA LJ 1 (10126)</v>
      </c>
      <c r="G5730" t="str">
        <f t="shared" si="2667"/>
        <v>Serv.Prest. 15/09/2025 a 21/09/2025 - RPS: 1273 - NFSe: 3508</v>
      </c>
      <c r="H5730" t="str">
        <f t="shared" si="2677"/>
        <v>01/10/2025</v>
      </c>
      <c r="I5730" t="str">
        <f t="shared" si="2678"/>
        <v>23/09/2025</v>
      </c>
      <c r="J5730" t="str">
        <f t="shared" si="2679"/>
        <v>01/10/2025</v>
      </c>
      <c r="M5730">
        <v>303</v>
      </c>
      <c r="N5730" t="str">
        <f t="shared" si="2680"/>
        <v>RECEITAS COM ENTREGAS</v>
      </c>
      <c r="P5730">
        <v>79.77</v>
      </c>
      <c r="Q5730" t="str">
        <f>"FARMÁCIA INDIANA LJ 204 (10087)"</f>
        <v>FARMÁCIA INDIANA LJ 204 (10087)</v>
      </c>
      <c r="R5730" t="str">
        <f t="shared" si="2681"/>
        <v>RECEITAS COM ENTREGAS (303)</v>
      </c>
      <c r="S5730">
        <v>2598</v>
      </c>
      <c r="T5730">
        <v>2157</v>
      </c>
      <c r="U5730" t="s">
        <v>19</v>
      </c>
    </row>
    <row r="5731" spans="1:21">
      <c r="A5731" t="str">
        <f t="shared" si="2675"/>
        <v>01/10/2025</v>
      </c>
      <c r="B5731" t="str">
        <f t="shared" si="2673"/>
        <v>ENTRADA</v>
      </c>
      <c r="C5731" t="str">
        <f t="shared" si="2676"/>
        <v>NFSE</v>
      </c>
      <c r="D5731" t="str">
        <f t="shared" si="2665"/>
        <v>3508</v>
      </c>
      <c r="E5731" t="str">
        <f t="shared" si="2674"/>
        <v>COM</v>
      </c>
      <c r="F5731" t="str">
        <f t="shared" si="2666"/>
        <v>FARMÁCIA INDIANA LJ 1 (10126)</v>
      </c>
      <c r="G5731" t="str">
        <f t="shared" si="2667"/>
        <v>Serv.Prest. 15/09/2025 a 21/09/2025 - RPS: 1273 - NFSe: 3508</v>
      </c>
      <c r="H5731" t="str">
        <f t="shared" si="2677"/>
        <v>01/10/2025</v>
      </c>
      <c r="I5731" t="str">
        <f t="shared" si="2678"/>
        <v>23/09/2025</v>
      </c>
      <c r="J5731" t="str">
        <f t="shared" si="2679"/>
        <v>01/10/2025</v>
      </c>
      <c r="M5731">
        <v>303</v>
      </c>
      <c r="N5731" t="str">
        <f t="shared" si="2680"/>
        <v>RECEITAS COM ENTREGAS</v>
      </c>
      <c r="P5731">
        <v>107.32</v>
      </c>
      <c r="Q5731" t="str">
        <f>"FARMÁCIA INDIANA LJ 207 (10088)"</f>
        <v>FARMÁCIA INDIANA LJ 207 (10088)</v>
      </c>
      <c r="R5731" t="str">
        <f t="shared" si="2681"/>
        <v>RECEITAS COM ENTREGAS (303)</v>
      </c>
      <c r="S5731">
        <v>2598</v>
      </c>
      <c r="T5731">
        <v>2157</v>
      </c>
      <c r="U5731" t="s">
        <v>19</v>
      </c>
    </row>
    <row r="5732" spans="1:21">
      <c r="A5732" t="str">
        <f t="shared" si="2675"/>
        <v>01/10/2025</v>
      </c>
      <c r="B5732" t="str">
        <f t="shared" si="2673"/>
        <v>ENTRADA</v>
      </c>
      <c r="C5732" t="str">
        <f t="shared" si="2676"/>
        <v>NFSE</v>
      </c>
      <c r="D5732" t="str">
        <f t="shared" si="2665"/>
        <v>3508</v>
      </c>
      <c r="E5732" t="str">
        <f t="shared" si="2674"/>
        <v>COM</v>
      </c>
      <c r="F5732" t="str">
        <f t="shared" si="2666"/>
        <v>FARMÁCIA INDIANA LJ 1 (10126)</v>
      </c>
      <c r="G5732" t="str">
        <f t="shared" si="2667"/>
        <v>Serv.Prest. 15/09/2025 a 21/09/2025 - RPS: 1273 - NFSe: 3508</v>
      </c>
      <c r="H5732" t="str">
        <f t="shared" si="2677"/>
        <v>01/10/2025</v>
      </c>
      <c r="I5732" t="str">
        <f t="shared" si="2678"/>
        <v>23/09/2025</v>
      </c>
      <c r="J5732" t="str">
        <f t="shared" si="2679"/>
        <v>01/10/2025</v>
      </c>
      <c r="M5732">
        <v>303</v>
      </c>
      <c r="N5732" t="str">
        <f t="shared" si="2680"/>
        <v>RECEITAS COM ENTREGAS</v>
      </c>
      <c r="P5732">
        <v>124.72</v>
      </c>
      <c r="Q5732" t="str">
        <f>"FARMÁCIA INDIANA LJ 209 (10089)"</f>
        <v>FARMÁCIA INDIANA LJ 209 (10089)</v>
      </c>
      <c r="R5732" t="str">
        <f t="shared" si="2681"/>
        <v>RECEITAS COM ENTREGAS (303)</v>
      </c>
      <c r="S5732">
        <v>2598</v>
      </c>
      <c r="T5732">
        <v>2157</v>
      </c>
      <c r="U5732" t="s">
        <v>19</v>
      </c>
    </row>
    <row r="5733" spans="1:21">
      <c r="A5733" t="str">
        <f t="shared" si="2675"/>
        <v>01/10/2025</v>
      </c>
      <c r="B5733" t="str">
        <f t="shared" si="2673"/>
        <v>ENTRADA</v>
      </c>
      <c r="C5733" t="str">
        <f t="shared" si="2676"/>
        <v>NFSE</v>
      </c>
      <c r="D5733" t="str">
        <f t="shared" si="2665"/>
        <v>3508</v>
      </c>
      <c r="E5733" t="str">
        <f t="shared" si="2674"/>
        <v>COM</v>
      </c>
      <c r="F5733" t="str">
        <f t="shared" si="2666"/>
        <v>FARMÁCIA INDIANA LJ 1 (10126)</v>
      </c>
      <c r="G5733" t="str">
        <f t="shared" si="2667"/>
        <v>Serv.Prest. 15/09/2025 a 21/09/2025 - RPS: 1273 - NFSe: 3508</v>
      </c>
      <c r="H5733" t="str">
        <f t="shared" si="2677"/>
        <v>01/10/2025</v>
      </c>
      <c r="I5733" t="str">
        <f t="shared" si="2678"/>
        <v>23/09/2025</v>
      </c>
      <c r="J5733" t="str">
        <f t="shared" si="2679"/>
        <v>01/10/2025</v>
      </c>
      <c r="M5733">
        <v>303</v>
      </c>
      <c r="N5733" t="str">
        <f t="shared" si="2680"/>
        <v>RECEITAS COM ENTREGAS</v>
      </c>
      <c r="P5733">
        <v>236.4</v>
      </c>
      <c r="Q5733" t="str">
        <f>"FARMÁCIA INDIANA LJ 219 (10091)"</f>
        <v>FARMÁCIA INDIANA LJ 219 (10091)</v>
      </c>
      <c r="R5733" t="str">
        <f t="shared" si="2681"/>
        <v>RECEITAS COM ENTREGAS (303)</v>
      </c>
      <c r="S5733">
        <v>2598</v>
      </c>
      <c r="T5733">
        <v>2157</v>
      </c>
      <c r="U5733" t="s">
        <v>19</v>
      </c>
    </row>
    <row r="5734" spans="1:21">
      <c r="A5734" t="str">
        <f t="shared" si="2675"/>
        <v>01/10/2025</v>
      </c>
      <c r="B5734" t="str">
        <f t="shared" si="2673"/>
        <v>ENTRADA</v>
      </c>
      <c r="C5734" t="str">
        <f t="shared" si="2676"/>
        <v>NFSE</v>
      </c>
      <c r="D5734" t="str">
        <f t="shared" si="2665"/>
        <v>3508</v>
      </c>
      <c r="E5734" t="str">
        <f t="shared" si="2674"/>
        <v>COM</v>
      </c>
      <c r="F5734" t="str">
        <f t="shared" si="2666"/>
        <v>FARMÁCIA INDIANA LJ 1 (10126)</v>
      </c>
      <c r="G5734" t="str">
        <f t="shared" si="2667"/>
        <v>Serv.Prest. 15/09/2025 a 21/09/2025 - RPS: 1273 - NFSe: 3508</v>
      </c>
      <c r="H5734" t="str">
        <f t="shared" si="2677"/>
        <v>01/10/2025</v>
      </c>
      <c r="I5734" t="str">
        <f t="shared" si="2678"/>
        <v>23/09/2025</v>
      </c>
      <c r="J5734" t="str">
        <f t="shared" si="2679"/>
        <v>01/10/2025</v>
      </c>
      <c r="M5734">
        <v>303</v>
      </c>
      <c r="N5734" t="str">
        <f t="shared" si="2680"/>
        <v>RECEITAS COM ENTREGAS</v>
      </c>
      <c r="P5734">
        <v>252.35</v>
      </c>
      <c r="Q5734" t="str">
        <f>"FARMÁCIA INDIANA LJ 220 (10092)"</f>
        <v>FARMÁCIA INDIANA LJ 220 (10092)</v>
      </c>
      <c r="R5734" t="str">
        <f t="shared" si="2681"/>
        <v>RECEITAS COM ENTREGAS (303)</v>
      </c>
      <c r="S5734">
        <v>2598</v>
      </c>
      <c r="T5734">
        <v>2157</v>
      </c>
      <c r="U5734" t="s">
        <v>19</v>
      </c>
    </row>
    <row r="5735" spans="1:21">
      <c r="A5735" t="str">
        <f t="shared" si="2675"/>
        <v>01/10/2025</v>
      </c>
      <c r="B5735" t="str">
        <f t="shared" si="2673"/>
        <v>ENTRADA</v>
      </c>
      <c r="C5735" t="str">
        <f t="shared" si="2676"/>
        <v>NFSE</v>
      </c>
      <c r="D5735" t="str">
        <f t="shared" si="2665"/>
        <v>3508</v>
      </c>
      <c r="E5735" t="str">
        <f t="shared" si="2674"/>
        <v>COM</v>
      </c>
      <c r="F5735" t="str">
        <f t="shared" si="2666"/>
        <v>FARMÁCIA INDIANA LJ 1 (10126)</v>
      </c>
      <c r="G5735" t="str">
        <f t="shared" si="2667"/>
        <v>Serv.Prest. 15/09/2025 a 21/09/2025 - RPS: 1273 - NFSe: 3508</v>
      </c>
      <c r="H5735" t="str">
        <f t="shared" si="2677"/>
        <v>01/10/2025</v>
      </c>
      <c r="I5735" t="str">
        <f t="shared" si="2678"/>
        <v>23/09/2025</v>
      </c>
      <c r="J5735" t="str">
        <f t="shared" si="2679"/>
        <v>01/10/2025</v>
      </c>
      <c r="M5735">
        <v>303</v>
      </c>
      <c r="N5735" t="str">
        <f t="shared" si="2680"/>
        <v>RECEITAS COM ENTREGAS</v>
      </c>
      <c r="P5735">
        <v>172.58</v>
      </c>
      <c r="Q5735" t="str">
        <f>"FARMÁCIA INDIANA LJ 185 (10141)"</f>
        <v>FARMÁCIA INDIANA LJ 185 (10141)</v>
      </c>
      <c r="R5735" t="str">
        <f t="shared" si="2681"/>
        <v>RECEITAS COM ENTREGAS (303)</v>
      </c>
      <c r="S5735">
        <v>2598</v>
      </c>
      <c r="T5735">
        <v>2157</v>
      </c>
      <c r="U5735" t="s">
        <v>19</v>
      </c>
    </row>
    <row r="5736" spans="1:21">
      <c r="A5736" t="str">
        <f t="shared" si="2675"/>
        <v>01/10/2025</v>
      </c>
      <c r="B5736" t="str">
        <f t="shared" si="2673"/>
        <v>ENTRADA</v>
      </c>
      <c r="C5736" t="str">
        <f t="shared" si="2676"/>
        <v>NFSE</v>
      </c>
      <c r="D5736" t="str">
        <f t="shared" si="2665"/>
        <v>3508</v>
      </c>
      <c r="E5736" t="str">
        <f t="shared" si="2674"/>
        <v>COM</v>
      </c>
      <c r="F5736" t="str">
        <f t="shared" si="2666"/>
        <v>FARMÁCIA INDIANA LJ 1 (10126)</v>
      </c>
      <c r="G5736" t="str">
        <f t="shared" si="2667"/>
        <v>Serv.Prest. 15/09/2025 a 21/09/2025 - RPS: 1273 - NFSe: 3508</v>
      </c>
      <c r="H5736" t="str">
        <f t="shared" si="2677"/>
        <v>01/10/2025</v>
      </c>
      <c r="I5736" t="str">
        <f t="shared" si="2678"/>
        <v>23/09/2025</v>
      </c>
      <c r="J5736" t="str">
        <f t="shared" si="2679"/>
        <v>01/10/2025</v>
      </c>
      <c r="M5736">
        <v>303</v>
      </c>
      <c r="N5736" t="str">
        <f t="shared" si="2680"/>
        <v>RECEITAS COM ENTREGAS</v>
      </c>
      <c r="P5736">
        <v>107.32</v>
      </c>
      <c r="Q5736" t="str">
        <f>"FARMÁCIA INDIANA LJ 205 (10150)"</f>
        <v>FARMÁCIA INDIANA LJ 205 (10150)</v>
      </c>
      <c r="R5736" t="str">
        <f t="shared" si="2681"/>
        <v>RECEITAS COM ENTREGAS (303)</v>
      </c>
      <c r="S5736">
        <v>2598</v>
      </c>
      <c r="T5736">
        <v>2157</v>
      </c>
      <c r="U5736" t="s">
        <v>19</v>
      </c>
    </row>
    <row r="5737" spans="1:21">
      <c r="A5737" t="str">
        <f t="shared" si="2675"/>
        <v>01/10/2025</v>
      </c>
      <c r="B5737" t="str">
        <f t="shared" si="2673"/>
        <v>ENTRADA</v>
      </c>
      <c r="C5737" t="str">
        <f t="shared" si="2676"/>
        <v>NFSE</v>
      </c>
      <c r="D5737" t="str">
        <f t="shared" si="2665"/>
        <v>3508</v>
      </c>
      <c r="E5737" t="str">
        <f t="shared" si="2674"/>
        <v>COM</v>
      </c>
      <c r="F5737" t="str">
        <f t="shared" si="2666"/>
        <v>FARMÁCIA INDIANA LJ 1 (10126)</v>
      </c>
      <c r="G5737" t="str">
        <f t="shared" si="2667"/>
        <v>Serv.Prest. 15/09/2025 a 21/09/2025 - RPS: 1273 - NFSe: 3508</v>
      </c>
      <c r="H5737" t="str">
        <f t="shared" si="2677"/>
        <v>01/10/2025</v>
      </c>
      <c r="I5737" t="str">
        <f t="shared" si="2678"/>
        <v>23/09/2025</v>
      </c>
      <c r="J5737" t="str">
        <f t="shared" si="2679"/>
        <v>01/10/2025</v>
      </c>
      <c r="M5737">
        <v>303</v>
      </c>
      <c r="N5737" t="str">
        <f t="shared" si="2680"/>
        <v>RECEITAS COM ENTREGAS</v>
      </c>
      <c r="P5737">
        <v>620.72</v>
      </c>
      <c r="Q5737" t="str">
        <f>"FARMÁCIA INDIANA LJ 172 (10161)"</f>
        <v>FARMÁCIA INDIANA LJ 172 (10161)</v>
      </c>
      <c r="R5737" t="str">
        <f t="shared" si="2681"/>
        <v>RECEITAS COM ENTREGAS (303)</v>
      </c>
      <c r="S5737">
        <v>2598</v>
      </c>
      <c r="T5737">
        <v>2157</v>
      </c>
      <c r="U5737" t="s">
        <v>19</v>
      </c>
    </row>
    <row r="5738" spans="1:21">
      <c r="A5738" t="str">
        <f t="shared" si="2675"/>
        <v>01/10/2025</v>
      </c>
      <c r="B5738" t="str">
        <f t="shared" si="2673"/>
        <v>ENTRADA</v>
      </c>
      <c r="C5738" t="str">
        <f t="shared" si="2676"/>
        <v>NFSE</v>
      </c>
      <c r="D5738" t="str">
        <f t="shared" si="2665"/>
        <v>3508</v>
      </c>
      <c r="E5738" t="str">
        <f t="shared" si="2674"/>
        <v>COM</v>
      </c>
      <c r="F5738" t="str">
        <f t="shared" si="2666"/>
        <v>FARMÁCIA INDIANA LJ 1 (10126)</v>
      </c>
      <c r="G5738" t="str">
        <f t="shared" si="2667"/>
        <v>Serv.Prest. 15/09/2025 a 21/09/2025 - RPS: 1273 - NFSe: 3508</v>
      </c>
      <c r="H5738" t="str">
        <f t="shared" si="2677"/>
        <v>01/10/2025</v>
      </c>
      <c r="I5738" t="str">
        <f t="shared" si="2678"/>
        <v>23/09/2025</v>
      </c>
      <c r="J5738" t="str">
        <f t="shared" si="2679"/>
        <v>01/10/2025</v>
      </c>
      <c r="M5738">
        <v>303</v>
      </c>
      <c r="N5738" t="str">
        <f t="shared" si="2680"/>
        <v>RECEITAS COM ENTREGAS</v>
      </c>
      <c r="P5738">
        <v>84.12</v>
      </c>
      <c r="Q5738" t="str">
        <f>"FARMÁCIA INDIANA LJ 266 (10186)"</f>
        <v>FARMÁCIA INDIANA LJ 266 (10186)</v>
      </c>
      <c r="R5738" t="str">
        <f t="shared" si="2681"/>
        <v>RECEITAS COM ENTREGAS (303)</v>
      </c>
      <c r="S5738">
        <v>2598</v>
      </c>
      <c r="T5738">
        <v>2157</v>
      </c>
      <c r="U5738" t="s">
        <v>19</v>
      </c>
    </row>
    <row r="5739" spans="1:21">
      <c r="A5739" t="str">
        <f t="shared" si="2675"/>
        <v>01/10/2025</v>
      </c>
      <c r="B5739" t="str">
        <f t="shared" si="2673"/>
        <v>ENTRADA</v>
      </c>
      <c r="C5739" t="str">
        <f t="shared" si="2676"/>
        <v>NFSE</v>
      </c>
      <c r="D5739" t="str">
        <f t="shared" ref="D5739:D5751" si="2682">"3509"</f>
        <v>3509</v>
      </c>
      <c r="E5739" t="str">
        <f t="shared" si="2674"/>
        <v>COM</v>
      </c>
      <c r="F5739" t="str">
        <f t="shared" ref="F5739:F5751" si="2683">"FARMÁCIA INDIANA LJ 30 (10127)"</f>
        <v>FARMÁCIA INDIANA LJ 30 (10127)</v>
      </c>
      <c r="G5739" t="str">
        <f t="shared" ref="G5739:G5751" si="2684">"Serv.Prest. 15/09/2025 a 21/09/2025 - RPS: 1274 - NFSe: 3509"</f>
        <v>Serv.Prest. 15/09/2025 a 21/09/2025 - RPS: 1274 - NFSe: 3509</v>
      </c>
      <c r="H5739" t="str">
        <f t="shared" si="2677"/>
        <v>01/10/2025</v>
      </c>
      <c r="I5739" t="str">
        <f t="shared" si="2678"/>
        <v>23/09/2025</v>
      </c>
      <c r="J5739" t="str">
        <f t="shared" si="2679"/>
        <v>01/10/2025</v>
      </c>
      <c r="K5739">
        <v>3148.31</v>
      </c>
      <c r="L5739">
        <v>3148.31</v>
      </c>
      <c r="M5739">
        <v>303</v>
      </c>
      <c r="N5739" t="str">
        <f t="shared" si="2680"/>
        <v>RECEITAS COM ENTREGAS</v>
      </c>
      <c r="O5739">
        <v>3148.31</v>
      </c>
      <c r="R5739" t="str">
        <f t="shared" si="2681"/>
        <v>RECEITAS COM ENTREGAS (303)</v>
      </c>
      <c r="S5739">
        <v>2599</v>
      </c>
      <c r="T5739">
        <v>2158</v>
      </c>
      <c r="U5739" t="s">
        <v>19</v>
      </c>
    </row>
    <row r="5740" spans="1:21">
      <c r="A5740" t="str">
        <f t="shared" si="2675"/>
        <v>01/10/2025</v>
      </c>
      <c r="B5740" t="str">
        <f t="shared" si="2673"/>
        <v>ENTRADA</v>
      </c>
      <c r="C5740" t="str">
        <f t="shared" si="2676"/>
        <v>NFSE</v>
      </c>
      <c r="D5740" t="str">
        <f t="shared" si="2682"/>
        <v>3509</v>
      </c>
      <c r="E5740" t="str">
        <f t="shared" si="2674"/>
        <v>COM</v>
      </c>
      <c r="F5740" t="str">
        <f t="shared" si="2683"/>
        <v>FARMÁCIA INDIANA LJ 30 (10127)</v>
      </c>
      <c r="G5740" t="str">
        <f t="shared" si="2684"/>
        <v>Serv.Prest. 15/09/2025 a 21/09/2025 - RPS: 1274 - NFSe: 3509</v>
      </c>
      <c r="H5740" t="str">
        <f t="shared" si="2677"/>
        <v>01/10/2025</v>
      </c>
      <c r="I5740" t="str">
        <f t="shared" si="2678"/>
        <v>23/09/2025</v>
      </c>
      <c r="J5740" t="str">
        <f t="shared" si="2679"/>
        <v>01/10/2025</v>
      </c>
      <c r="M5740">
        <v>303</v>
      </c>
      <c r="N5740" t="str">
        <f t="shared" si="2680"/>
        <v>RECEITAS COM ENTREGAS</v>
      </c>
      <c r="P5740">
        <v>282.39999999999998</v>
      </c>
      <c r="Q5740" t="str">
        <f>"FARMÁCIA INDIANA LJ 34 (10014)"</f>
        <v>FARMÁCIA INDIANA LJ 34 (10014)</v>
      </c>
      <c r="R5740" t="str">
        <f t="shared" si="2681"/>
        <v>RECEITAS COM ENTREGAS (303)</v>
      </c>
      <c r="S5740">
        <v>2599</v>
      </c>
      <c r="T5740">
        <v>2158</v>
      </c>
      <c r="U5740" t="s">
        <v>19</v>
      </c>
    </row>
    <row r="5741" spans="1:21">
      <c r="A5741" t="str">
        <f t="shared" si="2675"/>
        <v>01/10/2025</v>
      </c>
      <c r="B5741" t="str">
        <f t="shared" si="2673"/>
        <v>ENTRADA</v>
      </c>
      <c r="C5741" t="str">
        <f t="shared" si="2676"/>
        <v>NFSE</v>
      </c>
      <c r="D5741" t="str">
        <f t="shared" si="2682"/>
        <v>3509</v>
      </c>
      <c r="E5741" t="str">
        <f t="shared" si="2674"/>
        <v>COM</v>
      </c>
      <c r="F5741" t="str">
        <f t="shared" si="2683"/>
        <v>FARMÁCIA INDIANA LJ 30 (10127)</v>
      </c>
      <c r="G5741" t="str">
        <f t="shared" si="2684"/>
        <v>Serv.Prest. 15/09/2025 a 21/09/2025 - RPS: 1274 - NFSe: 3509</v>
      </c>
      <c r="H5741" t="str">
        <f t="shared" si="2677"/>
        <v>01/10/2025</v>
      </c>
      <c r="I5741" t="str">
        <f t="shared" si="2678"/>
        <v>23/09/2025</v>
      </c>
      <c r="J5741" t="str">
        <f t="shared" si="2679"/>
        <v>01/10/2025</v>
      </c>
      <c r="M5741">
        <v>303</v>
      </c>
      <c r="N5741" t="str">
        <f t="shared" si="2680"/>
        <v>RECEITAS COM ENTREGAS</v>
      </c>
      <c r="P5741">
        <v>251.86</v>
      </c>
      <c r="Q5741" t="str">
        <f>"FARMÁCIA INDIANA LJ 35 (10015)"</f>
        <v>FARMÁCIA INDIANA LJ 35 (10015)</v>
      </c>
      <c r="R5741" t="str">
        <f t="shared" si="2681"/>
        <v>RECEITAS COM ENTREGAS (303)</v>
      </c>
      <c r="S5741">
        <v>2599</v>
      </c>
      <c r="T5741">
        <v>2158</v>
      </c>
      <c r="U5741" t="s">
        <v>19</v>
      </c>
    </row>
    <row r="5742" spans="1:21">
      <c r="A5742" t="str">
        <f t="shared" si="2675"/>
        <v>01/10/2025</v>
      </c>
      <c r="B5742" t="str">
        <f t="shared" si="2673"/>
        <v>ENTRADA</v>
      </c>
      <c r="C5742" t="str">
        <f t="shared" si="2676"/>
        <v>NFSE</v>
      </c>
      <c r="D5742" t="str">
        <f t="shared" si="2682"/>
        <v>3509</v>
      </c>
      <c r="E5742" t="str">
        <f t="shared" si="2674"/>
        <v>COM</v>
      </c>
      <c r="F5742" t="str">
        <f t="shared" si="2683"/>
        <v>FARMÁCIA INDIANA LJ 30 (10127)</v>
      </c>
      <c r="G5742" t="str">
        <f t="shared" si="2684"/>
        <v>Serv.Prest. 15/09/2025 a 21/09/2025 - RPS: 1274 - NFSe: 3509</v>
      </c>
      <c r="H5742" t="str">
        <f t="shared" si="2677"/>
        <v>01/10/2025</v>
      </c>
      <c r="I5742" t="str">
        <f t="shared" si="2678"/>
        <v>23/09/2025</v>
      </c>
      <c r="J5742" t="str">
        <f t="shared" si="2679"/>
        <v>01/10/2025</v>
      </c>
      <c r="M5742">
        <v>303</v>
      </c>
      <c r="N5742" t="str">
        <f t="shared" si="2680"/>
        <v>RECEITAS COM ENTREGAS</v>
      </c>
      <c r="P5742">
        <v>263.83</v>
      </c>
      <c r="Q5742" t="str">
        <f>"FARMÁCIA INDIANA LJ 48 (10018)"</f>
        <v>FARMÁCIA INDIANA LJ 48 (10018)</v>
      </c>
      <c r="R5742" t="str">
        <f t="shared" si="2681"/>
        <v>RECEITAS COM ENTREGAS (303)</v>
      </c>
      <c r="S5742">
        <v>2599</v>
      </c>
      <c r="T5742">
        <v>2158</v>
      </c>
      <c r="U5742" t="s">
        <v>19</v>
      </c>
    </row>
    <row r="5743" spans="1:21">
      <c r="A5743" t="str">
        <f t="shared" si="2675"/>
        <v>01/10/2025</v>
      </c>
      <c r="B5743" t="str">
        <f t="shared" si="2673"/>
        <v>ENTRADA</v>
      </c>
      <c r="C5743" t="str">
        <f t="shared" si="2676"/>
        <v>NFSE</v>
      </c>
      <c r="D5743" t="str">
        <f t="shared" si="2682"/>
        <v>3509</v>
      </c>
      <c r="E5743" t="str">
        <f t="shared" si="2674"/>
        <v>COM</v>
      </c>
      <c r="F5743" t="str">
        <f t="shared" si="2683"/>
        <v>FARMÁCIA INDIANA LJ 30 (10127)</v>
      </c>
      <c r="G5743" t="str">
        <f t="shared" si="2684"/>
        <v>Serv.Prest. 15/09/2025 a 21/09/2025 - RPS: 1274 - NFSe: 3509</v>
      </c>
      <c r="H5743" t="str">
        <f t="shared" si="2677"/>
        <v>01/10/2025</v>
      </c>
      <c r="I5743" t="str">
        <f t="shared" si="2678"/>
        <v>23/09/2025</v>
      </c>
      <c r="J5743" t="str">
        <f t="shared" si="2679"/>
        <v>01/10/2025</v>
      </c>
      <c r="M5743">
        <v>303</v>
      </c>
      <c r="N5743" t="str">
        <f t="shared" si="2680"/>
        <v>RECEITAS COM ENTREGAS</v>
      </c>
      <c r="P5743">
        <v>348.83</v>
      </c>
      <c r="Q5743" t="str">
        <f>"FARMÁCIA INDIANA LJ 65 (10030)"</f>
        <v>FARMÁCIA INDIANA LJ 65 (10030)</v>
      </c>
      <c r="R5743" t="str">
        <f t="shared" si="2681"/>
        <v>RECEITAS COM ENTREGAS (303)</v>
      </c>
      <c r="S5743">
        <v>2599</v>
      </c>
      <c r="T5743">
        <v>2158</v>
      </c>
      <c r="U5743" t="s">
        <v>19</v>
      </c>
    </row>
    <row r="5744" spans="1:21">
      <c r="A5744" t="str">
        <f t="shared" si="2675"/>
        <v>01/10/2025</v>
      </c>
      <c r="B5744" t="str">
        <f t="shared" si="2673"/>
        <v>ENTRADA</v>
      </c>
      <c r="C5744" t="str">
        <f t="shared" si="2676"/>
        <v>NFSE</v>
      </c>
      <c r="D5744" t="str">
        <f t="shared" si="2682"/>
        <v>3509</v>
      </c>
      <c r="E5744" t="str">
        <f t="shared" si="2674"/>
        <v>COM</v>
      </c>
      <c r="F5744" t="str">
        <f t="shared" si="2683"/>
        <v>FARMÁCIA INDIANA LJ 30 (10127)</v>
      </c>
      <c r="G5744" t="str">
        <f t="shared" si="2684"/>
        <v>Serv.Prest. 15/09/2025 a 21/09/2025 - RPS: 1274 - NFSe: 3509</v>
      </c>
      <c r="H5744" t="str">
        <f t="shared" si="2677"/>
        <v>01/10/2025</v>
      </c>
      <c r="I5744" t="str">
        <f t="shared" si="2678"/>
        <v>23/09/2025</v>
      </c>
      <c r="J5744" t="str">
        <f t="shared" si="2679"/>
        <v>01/10/2025</v>
      </c>
      <c r="M5744">
        <v>303</v>
      </c>
      <c r="N5744" t="str">
        <f t="shared" si="2680"/>
        <v>RECEITAS COM ENTREGAS</v>
      </c>
      <c r="P5744">
        <v>128.44999999999999</v>
      </c>
      <c r="Q5744" t="str">
        <f>"FARMÁCIA INDIANA LJ 77 (10034)"</f>
        <v>FARMÁCIA INDIANA LJ 77 (10034)</v>
      </c>
      <c r="R5744" t="str">
        <f t="shared" si="2681"/>
        <v>RECEITAS COM ENTREGAS (303)</v>
      </c>
      <c r="S5744">
        <v>2599</v>
      </c>
      <c r="T5744">
        <v>2158</v>
      </c>
      <c r="U5744" t="s">
        <v>19</v>
      </c>
    </row>
    <row r="5745" spans="1:21">
      <c r="A5745" t="str">
        <f t="shared" si="2675"/>
        <v>01/10/2025</v>
      </c>
      <c r="B5745" t="str">
        <f t="shared" si="2673"/>
        <v>ENTRADA</v>
      </c>
      <c r="C5745" t="str">
        <f t="shared" si="2676"/>
        <v>NFSE</v>
      </c>
      <c r="D5745" t="str">
        <f t="shared" si="2682"/>
        <v>3509</v>
      </c>
      <c r="E5745" t="str">
        <f t="shared" si="2674"/>
        <v>COM</v>
      </c>
      <c r="F5745" t="str">
        <f t="shared" si="2683"/>
        <v>FARMÁCIA INDIANA LJ 30 (10127)</v>
      </c>
      <c r="G5745" t="str">
        <f t="shared" si="2684"/>
        <v>Serv.Prest. 15/09/2025 a 21/09/2025 - RPS: 1274 - NFSe: 3509</v>
      </c>
      <c r="H5745" t="str">
        <f t="shared" si="2677"/>
        <v>01/10/2025</v>
      </c>
      <c r="I5745" t="str">
        <f t="shared" si="2678"/>
        <v>23/09/2025</v>
      </c>
      <c r="J5745" t="str">
        <f t="shared" si="2679"/>
        <v>01/10/2025</v>
      </c>
      <c r="M5745">
        <v>303</v>
      </c>
      <c r="N5745" t="str">
        <f t="shared" si="2680"/>
        <v>RECEITAS COM ENTREGAS</v>
      </c>
      <c r="P5745">
        <v>626.51</v>
      </c>
      <c r="Q5745" t="str">
        <f>"FARMÁCIA INDIANA LJ 91 (10037)"</f>
        <v>FARMÁCIA INDIANA LJ 91 (10037)</v>
      </c>
      <c r="R5745" t="str">
        <f t="shared" si="2681"/>
        <v>RECEITAS COM ENTREGAS (303)</v>
      </c>
      <c r="S5745">
        <v>2599</v>
      </c>
      <c r="T5745">
        <v>2158</v>
      </c>
      <c r="U5745" t="s">
        <v>19</v>
      </c>
    </row>
    <row r="5746" spans="1:21">
      <c r="A5746" t="str">
        <f t="shared" si="2675"/>
        <v>01/10/2025</v>
      </c>
      <c r="B5746" t="str">
        <f t="shared" si="2673"/>
        <v>ENTRADA</v>
      </c>
      <c r="C5746" t="str">
        <f t="shared" si="2676"/>
        <v>NFSE</v>
      </c>
      <c r="D5746" t="str">
        <f t="shared" si="2682"/>
        <v>3509</v>
      </c>
      <c r="E5746" t="str">
        <f t="shared" si="2674"/>
        <v>COM</v>
      </c>
      <c r="F5746" t="str">
        <f t="shared" si="2683"/>
        <v>FARMÁCIA INDIANA LJ 30 (10127)</v>
      </c>
      <c r="G5746" t="str">
        <f t="shared" si="2684"/>
        <v>Serv.Prest. 15/09/2025 a 21/09/2025 - RPS: 1274 - NFSe: 3509</v>
      </c>
      <c r="H5746" t="str">
        <f t="shared" si="2677"/>
        <v>01/10/2025</v>
      </c>
      <c r="I5746" t="str">
        <f t="shared" si="2678"/>
        <v>23/09/2025</v>
      </c>
      <c r="J5746" t="str">
        <f t="shared" si="2679"/>
        <v>01/10/2025</v>
      </c>
      <c r="M5746">
        <v>303</v>
      </c>
      <c r="N5746" t="str">
        <f t="shared" si="2680"/>
        <v>RECEITAS COM ENTREGAS</v>
      </c>
      <c r="P5746">
        <v>304.13</v>
      </c>
      <c r="Q5746" t="str">
        <f>"FARMÁCIA INDIANA LJ 95 (10039)"</f>
        <v>FARMÁCIA INDIANA LJ 95 (10039)</v>
      </c>
      <c r="R5746" t="str">
        <f t="shared" si="2681"/>
        <v>RECEITAS COM ENTREGAS (303)</v>
      </c>
      <c r="S5746">
        <v>2599</v>
      </c>
      <c r="T5746">
        <v>2158</v>
      </c>
      <c r="U5746" t="s">
        <v>19</v>
      </c>
    </row>
    <row r="5747" spans="1:21">
      <c r="A5747" t="str">
        <f t="shared" si="2675"/>
        <v>01/10/2025</v>
      </c>
      <c r="B5747" t="str">
        <f t="shared" si="2673"/>
        <v>ENTRADA</v>
      </c>
      <c r="C5747" t="str">
        <f t="shared" si="2676"/>
        <v>NFSE</v>
      </c>
      <c r="D5747" t="str">
        <f t="shared" si="2682"/>
        <v>3509</v>
      </c>
      <c r="E5747" t="str">
        <f t="shared" ref="E5747:E5776" si="2685">"COM"</f>
        <v>COM</v>
      </c>
      <c r="F5747" t="str">
        <f t="shared" si="2683"/>
        <v>FARMÁCIA INDIANA LJ 30 (10127)</v>
      </c>
      <c r="G5747" t="str">
        <f t="shared" si="2684"/>
        <v>Serv.Prest. 15/09/2025 a 21/09/2025 - RPS: 1274 - NFSe: 3509</v>
      </c>
      <c r="H5747" t="str">
        <f t="shared" si="2677"/>
        <v>01/10/2025</v>
      </c>
      <c r="I5747" t="str">
        <f t="shared" si="2678"/>
        <v>23/09/2025</v>
      </c>
      <c r="J5747" t="str">
        <f t="shared" si="2679"/>
        <v>01/10/2025</v>
      </c>
      <c r="M5747">
        <v>303</v>
      </c>
      <c r="N5747" t="str">
        <f t="shared" si="2680"/>
        <v>RECEITAS COM ENTREGAS</v>
      </c>
      <c r="P5747">
        <v>280.83</v>
      </c>
      <c r="Q5747" t="str">
        <f>"FARMÁCIA INDIANA LJ 145 (10068)"</f>
        <v>FARMÁCIA INDIANA LJ 145 (10068)</v>
      </c>
      <c r="R5747" t="str">
        <f t="shared" si="2681"/>
        <v>RECEITAS COM ENTREGAS (303)</v>
      </c>
      <c r="S5747">
        <v>2599</v>
      </c>
      <c r="T5747">
        <v>2158</v>
      </c>
      <c r="U5747" t="s">
        <v>19</v>
      </c>
    </row>
    <row r="5748" spans="1:21">
      <c r="A5748" t="str">
        <f t="shared" si="2675"/>
        <v>01/10/2025</v>
      </c>
      <c r="B5748" t="str">
        <f t="shared" si="2673"/>
        <v>ENTRADA</v>
      </c>
      <c r="C5748" t="str">
        <f t="shared" si="2676"/>
        <v>NFSE</v>
      </c>
      <c r="D5748" t="str">
        <f t="shared" si="2682"/>
        <v>3509</v>
      </c>
      <c r="E5748" t="str">
        <f t="shared" si="2685"/>
        <v>COM</v>
      </c>
      <c r="F5748" t="str">
        <f t="shared" si="2683"/>
        <v>FARMÁCIA INDIANA LJ 30 (10127)</v>
      </c>
      <c r="G5748" t="str">
        <f t="shared" si="2684"/>
        <v>Serv.Prest. 15/09/2025 a 21/09/2025 - RPS: 1274 - NFSe: 3509</v>
      </c>
      <c r="H5748" t="str">
        <f t="shared" si="2677"/>
        <v>01/10/2025</v>
      </c>
      <c r="I5748" t="str">
        <f t="shared" si="2678"/>
        <v>23/09/2025</v>
      </c>
      <c r="J5748" t="str">
        <f t="shared" si="2679"/>
        <v>01/10/2025</v>
      </c>
      <c r="M5748">
        <v>303</v>
      </c>
      <c r="N5748" t="str">
        <f t="shared" si="2680"/>
        <v>RECEITAS COM ENTREGAS</v>
      </c>
      <c r="P5748">
        <v>97.28</v>
      </c>
      <c r="Q5748" t="str">
        <f>"FARMÁCIA INDIANA LJ 169 (10073)"</f>
        <v>FARMÁCIA INDIANA LJ 169 (10073)</v>
      </c>
      <c r="R5748" t="str">
        <f t="shared" si="2681"/>
        <v>RECEITAS COM ENTREGAS (303)</v>
      </c>
      <c r="S5748">
        <v>2599</v>
      </c>
      <c r="T5748">
        <v>2158</v>
      </c>
      <c r="U5748" t="s">
        <v>19</v>
      </c>
    </row>
    <row r="5749" spans="1:21">
      <c r="A5749" t="str">
        <f t="shared" si="2675"/>
        <v>01/10/2025</v>
      </c>
      <c r="B5749" t="str">
        <f t="shared" si="2673"/>
        <v>ENTRADA</v>
      </c>
      <c r="C5749" t="str">
        <f t="shared" si="2676"/>
        <v>NFSE</v>
      </c>
      <c r="D5749" t="str">
        <f t="shared" si="2682"/>
        <v>3509</v>
      </c>
      <c r="E5749" t="str">
        <f t="shared" si="2685"/>
        <v>COM</v>
      </c>
      <c r="F5749" t="str">
        <f t="shared" si="2683"/>
        <v>FARMÁCIA INDIANA LJ 30 (10127)</v>
      </c>
      <c r="G5749" t="str">
        <f t="shared" si="2684"/>
        <v>Serv.Prest. 15/09/2025 a 21/09/2025 - RPS: 1274 - NFSe: 3509</v>
      </c>
      <c r="H5749" t="str">
        <f t="shared" si="2677"/>
        <v>01/10/2025</v>
      </c>
      <c r="I5749" t="str">
        <f t="shared" si="2678"/>
        <v>23/09/2025</v>
      </c>
      <c r="J5749" t="str">
        <f t="shared" si="2679"/>
        <v>01/10/2025</v>
      </c>
      <c r="M5749">
        <v>303</v>
      </c>
      <c r="N5749" t="str">
        <f t="shared" si="2680"/>
        <v>RECEITAS COM ENTREGAS</v>
      </c>
      <c r="P5749">
        <v>174.42</v>
      </c>
      <c r="Q5749" t="str">
        <f>"FARMÁCIA INDIANA LJ 173 (10075)"</f>
        <v>FARMÁCIA INDIANA LJ 173 (10075)</v>
      </c>
      <c r="R5749" t="str">
        <f t="shared" si="2681"/>
        <v>RECEITAS COM ENTREGAS (303)</v>
      </c>
      <c r="S5749">
        <v>2599</v>
      </c>
      <c r="T5749">
        <v>2158</v>
      </c>
      <c r="U5749" t="s">
        <v>19</v>
      </c>
    </row>
    <row r="5750" spans="1:21">
      <c r="A5750" t="str">
        <f t="shared" si="2675"/>
        <v>01/10/2025</v>
      </c>
      <c r="B5750" t="str">
        <f t="shared" si="2673"/>
        <v>ENTRADA</v>
      </c>
      <c r="C5750" t="str">
        <f t="shared" si="2676"/>
        <v>NFSE</v>
      </c>
      <c r="D5750" t="str">
        <f t="shared" si="2682"/>
        <v>3509</v>
      </c>
      <c r="E5750" t="str">
        <f t="shared" si="2685"/>
        <v>COM</v>
      </c>
      <c r="F5750" t="str">
        <f t="shared" si="2683"/>
        <v>FARMÁCIA INDIANA LJ 30 (10127)</v>
      </c>
      <c r="G5750" t="str">
        <f t="shared" si="2684"/>
        <v>Serv.Prest. 15/09/2025 a 21/09/2025 - RPS: 1274 - NFSe: 3509</v>
      </c>
      <c r="H5750" t="str">
        <f t="shared" si="2677"/>
        <v>01/10/2025</v>
      </c>
      <c r="I5750" t="str">
        <f t="shared" si="2678"/>
        <v>23/09/2025</v>
      </c>
      <c r="J5750" t="str">
        <f t="shared" si="2679"/>
        <v>01/10/2025</v>
      </c>
      <c r="M5750">
        <v>303</v>
      </c>
      <c r="N5750" t="str">
        <f t="shared" si="2680"/>
        <v>RECEITAS COM ENTREGAS</v>
      </c>
      <c r="P5750">
        <v>203.7</v>
      </c>
      <c r="Q5750" t="str">
        <f>"FARMÁCIA INDIANA LJ 200 (10155)"</f>
        <v>FARMÁCIA INDIANA LJ 200 (10155)</v>
      </c>
      <c r="R5750" t="str">
        <f t="shared" si="2681"/>
        <v>RECEITAS COM ENTREGAS (303)</v>
      </c>
      <c r="S5750">
        <v>2599</v>
      </c>
      <c r="T5750">
        <v>2158</v>
      </c>
      <c r="U5750" t="s">
        <v>19</v>
      </c>
    </row>
    <row r="5751" spans="1:21">
      <c r="A5751" t="str">
        <f t="shared" si="2675"/>
        <v>01/10/2025</v>
      </c>
      <c r="B5751" t="str">
        <f t="shared" si="2673"/>
        <v>ENTRADA</v>
      </c>
      <c r="C5751" t="str">
        <f t="shared" si="2676"/>
        <v>NFSE</v>
      </c>
      <c r="D5751" t="str">
        <f t="shared" si="2682"/>
        <v>3509</v>
      </c>
      <c r="E5751" t="str">
        <f t="shared" si="2685"/>
        <v>COM</v>
      </c>
      <c r="F5751" t="str">
        <f t="shared" si="2683"/>
        <v>FARMÁCIA INDIANA LJ 30 (10127)</v>
      </c>
      <c r="G5751" t="str">
        <f t="shared" si="2684"/>
        <v>Serv.Prest. 15/09/2025 a 21/09/2025 - RPS: 1274 - NFSe: 3509</v>
      </c>
      <c r="H5751" t="str">
        <f t="shared" si="2677"/>
        <v>01/10/2025</v>
      </c>
      <c r="I5751" t="str">
        <f t="shared" si="2678"/>
        <v>23/09/2025</v>
      </c>
      <c r="J5751" t="str">
        <f t="shared" si="2679"/>
        <v>01/10/2025</v>
      </c>
      <c r="M5751">
        <v>303</v>
      </c>
      <c r="N5751" t="str">
        <f t="shared" si="2680"/>
        <v>RECEITAS COM ENTREGAS</v>
      </c>
      <c r="P5751">
        <v>186.07</v>
      </c>
      <c r="Q5751" t="str">
        <f>"FARMÁCIA INDIANA LJ 33 (10187)"</f>
        <v>FARMÁCIA INDIANA LJ 33 (10187)</v>
      </c>
      <c r="R5751" t="str">
        <f t="shared" si="2681"/>
        <v>RECEITAS COM ENTREGAS (303)</v>
      </c>
      <c r="S5751">
        <v>2599</v>
      </c>
      <c r="T5751">
        <v>2158</v>
      </c>
      <c r="U5751" t="s">
        <v>19</v>
      </c>
    </row>
    <row r="5752" spans="1:21">
      <c r="A5752" t="str">
        <f t="shared" si="2675"/>
        <v>01/10/2025</v>
      </c>
      <c r="B5752" t="str">
        <f t="shared" si="2673"/>
        <v>ENTRADA</v>
      </c>
      <c r="C5752" t="str">
        <f t="shared" si="2676"/>
        <v>NFSE</v>
      </c>
      <c r="D5752" t="str">
        <f t="shared" ref="D5752:D5762" si="2686">"3510"</f>
        <v>3510</v>
      </c>
      <c r="E5752" t="str">
        <f t="shared" si="2685"/>
        <v>COM</v>
      </c>
      <c r="F5752" t="str">
        <f t="shared" ref="F5752:F5762" si="2687">"FARMÁCIA INDIANA LJ 85 (10128)"</f>
        <v>FARMÁCIA INDIANA LJ 85 (10128)</v>
      </c>
      <c r="G5752" t="str">
        <f t="shared" ref="G5752:G5762" si="2688">"Serv.Prest. 15/09/2025 a 21/09/2025 - RPS: 1275 - NFSe: 3510"</f>
        <v>Serv.Prest. 15/09/2025 a 21/09/2025 - RPS: 1275 - NFSe: 3510</v>
      </c>
      <c r="H5752" t="str">
        <f t="shared" si="2677"/>
        <v>01/10/2025</v>
      </c>
      <c r="I5752" t="str">
        <f t="shared" si="2678"/>
        <v>23/09/2025</v>
      </c>
      <c r="J5752" t="str">
        <f t="shared" si="2679"/>
        <v>01/10/2025</v>
      </c>
      <c r="K5752">
        <v>1476.86</v>
      </c>
      <c r="L5752">
        <v>1476.86</v>
      </c>
      <c r="M5752">
        <v>303</v>
      </c>
      <c r="N5752" t="str">
        <f t="shared" si="2680"/>
        <v>RECEITAS COM ENTREGAS</v>
      </c>
      <c r="O5752">
        <v>1476.86</v>
      </c>
      <c r="R5752" t="str">
        <f t="shared" si="2681"/>
        <v>RECEITAS COM ENTREGAS (303)</v>
      </c>
      <c r="S5752">
        <v>2600</v>
      </c>
      <c r="T5752">
        <v>2159</v>
      </c>
      <c r="U5752" t="s">
        <v>19</v>
      </c>
    </row>
    <row r="5753" spans="1:21">
      <c r="A5753" t="str">
        <f t="shared" si="2675"/>
        <v>01/10/2025</v>
      </c>
      <c r="B5753" t="str">
        <f t="shared" si="2673"/>
        <v>ENTRADA</v>
      </c>
      <c r="C5753" t="str">
        <f t="shared" si="2676"/>
        <v>NFSE</v>
      </c>
      <c r="D5753" t="str">
        <f t="shared" si="2686"/>
        <v>3510</v>
      </c>
      <c r="E5753" t="str">
        <f t="shared" si="2685"/>
        <v>COM</v>
      </c>
      <c r="F5753" t="str">
        <f t="shared" si="2687"/>
        <v>FARMÁCIA INDIANA LJ 85 (10128)</v>
      </c>
      <c r="G5753" t="str">
        <f t="shared" si="2688"/>
        <v>Serv.Prest. 15/09/2025 a 21/09/2025 - RPS: 1275 - NFSe: 3510</v>
      </c>
      <c r="H5753" t="str">
        <f t="shared" si="2677"/>
        <v>01/10/2025</v>
      </c>
      <c r="I5753" t="str">
        <f t="shared" si="2678"/>
        <v>23/09/2025</v>
      </c>
      <c r="J5753" t="str">
        <f t="shared" si="2679"/>
        <v>01/10/2025</v>
      </c>
      <c r="M5753">
        <v>303</v>
      </c>
      <c r="N5753" t="str">
        <f t="shared" si="2680"/>
        <v>RECEITAS COM ENTREGAS</v>
      </c>
      <c r="P5753">
        <v>162.01</v>
      </c>
      <c r="Q5753" t="str">
        <f>"FARMÁCIA INDIANA LJ 119 (10053)"</f>
        <v>FARMÁCIA INDIANA LJ 119 (10053)</v>
      </c>
      <c r="R5753" t="str">
        <f t="shared" si="2681"/>
        <v>RECEITAS COM ENTREGAS (303)</v>
      </c>
      <c r="S5753">
        <v>2600</v>
      </c>
      <c r="T5753">
        <v>2159</v>
      </c>
      <c r="U5753" t="s">
        <v>19</v>
      </c>
    </row>
    <row r="5754" spans="1:21">
      <c r="A5754" t="str">
        <f t="shared" si="2675"/>
        <v>01/10/2025</v>
      </c>
      <c r="B5754" t="str">
        <f t="shared" si="2673"/>
        <v>ENTRADA</v>
      </c>
      <c r="C5754" t="str">
        <f t="shared" si="2676"/>
        <v>NFSE</v>
      </c>
      <c r="D5754" t="str">
        <f t="shared" si="2686"/>
        <v>3510</v>
      </c>
      <c r="E5754" t="str">
        <f t="shared" si="2685"/>
        <v>COM</v>
      </c>
      <c r="F5754" t="str">
        <f t="shared" si="2687"/>
        <v>FARMÁCIA INDIANA LJ 85 (10128)</v>
      </c>
      <c r="G5754" t="str">
        <f t="shared" si="2688"/>
        <v>Serv.Prest. 15/09/2025 a 21/09/2025 - RPS: 1275 - NFSe: 3510</v>
      </c>
      <c r="H5754" t="str">
        <f t="shared" si="2677"/>
        <v>01/10/2025</v>
      </c>
      <c r="I5754" t="str">
        <f t="shared" si="2678"/>
        <v>23/09/2025</v>
      </c>
      <c r="J5754" t="str">
        <f t="shared" si="2679"/>
        <v>01/10/2025</v>
      </c>
      <c r="M5754">
        <v>303</v>
      </c>
      <c r="N5754" t="str">
        <f t="shared" si="2680"/>
        <v>RECEITAS COM ENTREGAS</v>
      </c>
      <c r="P5754">
        <v>332</v>
      </c>
      <c r="Q5754" t="str">
        <f>"FARMÁCIA INDIANA LJ 163 (10072)"</f>
        <v>FARMÁCIA INDIANA LJ 163 (10072)</v>
      </c>
      <c r="R5754" t="str">
        <f t="shared" si="2681"/>
        <v>RECEITAS COM ENTREGAS (303)</v>
      </c>
      <c r="S5754">
        <v>2600</v>
      </c>
      <c r="T5754">
        <v>2159</v>
      </c>
      <c r="U5754" t="s">
        <v>19</v>
      </c>
    </row>
    <row r="5755" spans="1:21">
      <c r="A5755" t="str">
        <f t="shared" ref="A5755:A5777" si="2689">("01/10/2025")</f>
        <v>01/10/2025</v>
      </c>
      <c r="B5755" t="str">
        <f t="shared" si="2673"/>
        <v>ENTRADA</v>
      </c>
      <c r="C5755" t="str">
        <f t="shared" ref="C5755:C5776" si="2690">"NFSE"</f>
        <v>NFSE</v>
      </c>
      <c r="D5755" t="str">
        <f t="shared" si="2686"/>
        <v>3510</v>
      </c>
      <c r="E5755" t="str">
        <f t="shared" si="2685"/>
        <v>COM</v>
      </c>
      <c r="F5755" t="str">
        <f t="shared" si="2687"/>
        <v>FARMÁCIA INDIANA LJ 85 (10128)</v>
      </c>
      <c r="G5755" t="str">
        <f t="shared" si="2688"/>
        <v>Serv.Prest. 15/09/2025 a 21/09/2025 - RPS: 1275 - NFSe: 3510</v>
      </c>
      <c r="H5755" t="str">
        <f t="shared" ref="H5755:H5777" si="2691">("01/10/2025")</f>
        <v>01/10/2025</v>
      </c>
      <c r="I5755" t="str">
        <f t="shared" ref="I5755:I5764" si="2692">("23/09/2025")</f>
        <v>23/09/2025</v>
      </c>
      <c r="J5755" t="str">
        <f t="shared" ref="J5755:J5777" si="2693">("01/10/2025")</f>
        <v>01/10/2025</v>
      </c>
      <c r="M5755">
        <v>303</v>
      </c>
      <c r="N5755" t="str">
        <f t="shared" ref="N5755:N5776" si="2694">"RECEITAS COM ENTREGAS"</f>
        <v>RECEITAS COM ENTREGAS</v>
      </c>
      <c r="P5755">
        <v>134.38999999999999</v>
      </c>
      <c r="Q5755" t="str">
        <f>"FARMÁCIA INDIANA LJ 181 (10078)"</f>
        <v>FARMÁCIA INDIANA LJ 181 (10078)</v>
      </c>
      <c r="R5755" t="str">
        <f t="shared" ref="R5755:R5776" si="2695">"RECEITAS COM ENTREGAS (303)"</f>
        <v>RECEITAS COM ENTREGAS (303)</v>
      </c>
      <c r="S5755">
        <v>2600</v>
      </c>
      <c r="T5755">
        <v>2159</v>
      </c>
      <c r="U5755" t="s">
        <v>19</v>
      </c>
    </row>
    <row r="5756" spans="1:21">
      <c r="A5756" t="str">
        <f t="shared" si="2689"/>
        <v>01/10/2025</v>
      </c>
      <c r="B5756" t="str">
        <f t="shared" ref="B5756:B5776" si="2696">"ENTRADA"</f>
        <v>ENTRADA</v>
      </c>
      <c r="C5756" t="str">
        <f t="shared" si="2690"/>
        <v>NFSE</v>
      </c>
      <c r="D5756" t="str">
        <f t="shared" si="2686"/>
        <v>3510</v>
      </c>
      <c r="E5756" t="str">
        <f t="shared" si="2685"/>
        <v>COM</v>
      </c>
      <c r="F5756" t="str">
        <f t="shared" si="2687"/>
        <v>FARMÁCIA INDIANA LJ 85 (10128)</v>
      </c>
      <c r="G5756" t="str">
        <f t="shared" si="2688"/>
        <v>Serv.Prest. 15/09/2025 a 21/09/2025 - RPS: 1275 - NFSe: 3510</v>
      </c>
      <c r="H5756" t="str">
        <f t="shared" si="2691"/>
        <v>01/10/2025</v>
      </c>
      <c r="I5756" t="str">
        <f t="shared" si="2692"/>
        <v>23/09/2025</v>
      </c>
      <c r="J5756" t="str">
        <f t="shared" si="2693"/>
        <v>01/10/2025</v>
      </c>
      <c r="M5756">
        <v>303</v>
      </c>
      <c r="N5756" t="str">
        <f t="shared" si="2694"/>
        <v>RECEITAS COM ENTREGAS</v>
      </c>
      <c r="P5756">
        <v>161.72</v>
      </c>
      <c r="Q5756" t="str">
        <f>"FARMÁCIA INDIANA LJ 221 (10093)"</f>
        <v>FARMÁCIA INDIANA LJ 221 (10093)</v>
      </c>
      <c r="R5756" t="str">
        <f t="shared" si="2695"/>
        <v>RECEITAS COM ENTREGAS (303)</v>
      </c>
      <c r="S5756">
        <v>2600</v>
      </c>
      <c r="T5756">
        <v>2159</v>
      </c>
      <c r="U5756" t="s">
        <v>19</v>
      </c>
    </row>
    <row r="5757" spans="1:21">
      <c r="A5757" t="str">
        <f t="shared" si="2689"/>
        <v>01/10/2025</v>
      </c>
      <c r="B5757" t="str">
        <f t="shared" si="2696"/>
        <v>ENTRADA</v>
      </c>
      <c r="C5757" t="str">
        <f t="shared" si="2690"/>
        <v>NFSE</v>
      </c>
      <c r="D5757" t="str">
        <f t="shared" si="2686"/>
        <v>3510</v>
      </c>
      <c r="E5757" t="str">
        <f t="shared" si="2685"/>
        <v>COM</v>
      </c>
      <c r="F5757" t="str">
        <f t="shared" si="2687"/>
        <v>FARMÁCIA INDIANA LJ 85 (10128)</v>
      </c>
      <c r="G5757" t="str">
        <f t="shared" si="2688"/>
        <v>Serv.Prest. 15/09/2025 a 21/09/2025 - RPS: 1275 - NFSe: 3510</v>
      </c>
      <c r="H5757" t="str">
        <f t="shared" si="2691"/>
        <v>01/10/2025</v>
      </c>
      <c r="I5757" t="str">
        <f t="shared" si="2692"/>
        <v>23/09/2025</v>
      </c>
      <c r="J5757" t="str">
        <f t="shared" si="2693"/>
        <v>01/10/2025</v>
      </c>
      <c r="M5757">
        <v>303</v>
      </c>
      <c r="N5757" t="str">
        <f t="shared" si="2694"/>
        <v>RECEITAS COM ENTREGAS</v>
      </c>
      <c r="P5757">
        <v>180.18</v>
      </c>
      <c r="Q5757" t="str">
        <f>"FARMÁCIA INDIANA LJ 243 (10142)"</f>
        <v>FARMÁCIA INDIANA LJ 243 (10142)</v>
      </c>
      <c r="R5757" t="str">
        <f t="shared" si="2695"/>
        <v>RECEITAS COM ENTREGAS (303)</v>
      </c>
      <c r="S5757">
        <v>2600</v>
      </c>
      <c r="T5757">
        <v>2159</v>
      </c>
      <c r="U5757" t="s">
        <v>19</v>
      </c>
    </row>
    <row r="5758" spans="1:21">
      <c r="A5758" t="str">
        <f t="shared" si="2689"/>
        <v>01/10/2025</v>
      </c>
      <c r="B5758" t="str">
        <f t="shared" si="2696"/>
        <v>ENTRADA</v>
      </c>
      <c r="C5758" t="str">
        <f t="shared" si="2690"/>
        <v>NFSE</v>
      </c>
      <c r="D5758" t="str">
        <f t="shared" si="2686"/>
        <v>3510</v>
      </c>
      <c r="E5758" t="str">
        <f t="shared" si="2685"/>
        <v>COM</v>
      </c>
      <c r="F5758" t="str">
        <f t="shared" si="2687"/>
        <v>FARMÁCIA INDIANA LJ 85 (10128)</v>
      </c>
      <c r="G5758" t="str">
        <f t="shared" si="2688"/>
        <v>Serv.Prest. 15/09/2025 a 21/09/2025 - RPS: 1275 - NFSe: 3510</v>
      </c>
      <c r="H5758" t="str">
        <f t="shared" si="2691"/>
        <v>01/10/2025</v>
      </c>
      <c r="I5758" t="str">
        <f t="shared" si="2692"/>
        <v>23/09/2025</v>
      </c>
      <c r="J5758" t="str">
        <f t="shared" si="2693"/>
        <v>01/10/2025</v>
      </c>
      <c r="M5758">
        <v>303</v>
      </c>
      <c r="N5758" t="str">
        <f t="shared" si="2694"/>
        <v>RECEITAS COM ENTREGAS</v>
      </c>
      <c r="P5758">
        <v>86.1</v>
      </c>
      <c r="Q5758" t="str">
        <f>"FARMÁCIA INDIANA LJ 211 (10168)"</f>
        <v>FARMÁCIA INDIANA LJ 211 (10168)</v>
      </c>
      <c r="R5758" t="str">
        <f t="shared" si="2695"/>
        <v>RECEITAS COM ENTREGAS (303)</v>
      </c>
      <c r="S5758">
        <v>2600</v>
      </c>
      <c r="T5758">
        <v>2159</v>
      </c>
      <c r="U5758" t="s">
        <v>19</v>
      </c>
    </row>
    <row r="5759" spans="1:21">
      <c r="A5759" t="str">
        <f t="shared" si="2689"/>
        <v>01/10/2025</v>
      </c>
      <c r="B5759" t="str">
        <f t="shared" si="2696"/>
        <v>ENTRADA</v>
      </c>
      <c r="C5759" t="str">
        <f t="shared" si="2690"/>
        <v>NFSE</v>
      </c>
      <c r="D5759" t="str">
        <f t="shared" si="2686"/>
        <v>3510</v>
      </c>
      <c r="E5759" t="str">
        <f t="shared" si="2685"/>
        <v>COM</v>
      </c>
      <c r="F5759" t="str">
        <f t="shared" si="2687"/>
        <v>FARMÁCIA INDIANA LJ 85 (10128)</v>
      </c>
      <c r="G5759" t="str">
        <f t="shared" si="2688"/>
        <v>Serv.Prest. 15/09/2025 a 21/09/2025 - RPS: 1275 - NFSe: 3510</v>
      </c>
      <c r="H5759" t="str">
        <f t="shared" si="2691"/>
        <v>01/10/2025</v>
      </c>
      <c r="I5759" t="str">
        <f t="shared" si="2692"/>
        <v>23/09/2025</v>
      </c>
      <c r="J5759" t="str">
        <f t="shared" si="2693"/>
        <v>01/10/2025</v>
      </c>
      <c r="M5759">
        <v>303</v>
      </c>
      <c r="N5759" t="str">
        <f t="shared" si="2694"/>
        <v>RECEITAS COM ENTREGAS</v>
      </c>
      <c r="P5759">
        <v>86.1</v>
      </c>
      <c r="Q5759" t="str">
        <f>"FARMÁCIA INDIANA LJ 236 (10169)"</f>
        <v>FARMÁCIA INDIANA LJ 236 (10169)</v>
      </c>
      <c r="R5759" t="str">
        <f t="shared" si="2695"/>
        <v>RECEITAS COM ENTREGAS (303)</v>
      </c>
      <c r="S5759">
        <v>2600</v>
      </c>
      <c r="T5759">
        <v>2159</v>
      </c>
      <c r="U5759" t="s">
        <v>19</v>
      </c>
    </row>
    <row r="5760" spans="1:21">
      <c r="A5760" t="str">
        <f t="shared" si="2689"/>
        <v>01/10/2025</v>
      </c>
      <c r="B5760" t="str">
        <f t="shared" si="2696"/>
        <v>ENTRADA</v>
      </c>
      <c r="C5760" t="str">
        <f t="shared" si="2690"/>
        <v>NFSE</v>
      </c>
      <c r="D5760" t="str">
        <f t="shared" si="2686"/>
        <v>3510</v>
      </c>
      <c r="E5760" t="str">
        <f t="shared" si="2685"/>
        <v>COM</v>
      </c>
      <c r="F5760" t="str">
        <f t="shared" si="2687"/>
        <v>FARMÁCIA INDIANA LJ 85 (10128)</v>
      </c>
      <c r="G5760" t="str">
        <f t="shared" si="2688"/>
        <v>Serv.Prest. 15/09/2025 a 21/09/2025 - RPS: 1275 - NFSe: 3510</v>
      </c>
      <c r="H5760" t="str">
        <f t="shared" si="2691"/>
        <v>01/10/2025</v>
      </c>
      <c r="I5760" t="str">
        <f t="shared" si="2692"/>
        <v>23/09/2025</v>
      </c>
      <c r="J5760" t="str">
        <f t="shared" si="2693"/>
        <v>01/10/2025</v>
      </c>
      <c r="M5760">
        <v>303</v>
      </c>
      <c r="N5760" t="str">
        <f t="shared" si="2694"/>
        <v>RECEITAS COM ENTREGAS</v>
      </c>
      <c r="P5760">
        <v>172.2</v>
      </c>
      <c r="Q5760" t="str">
        <f>"FARMÁCIA INDIANA LJ 188 (10176)"</f>
        <v>FARMÁCIA INDIANA LJ 188 (10176)</v>
      </c>
      <c r="R5760" t="str">
        <f t="shared" si="2695"/>
        <v>RECEITAS COM ENTREGAS (303)</v>
      </c>
      <c r="S5760">
        <v>2600</v>
      </c>
      <c r="T5760">
        <v>2159</v>
      </c>
      <c r="U5760" t="s">
        <v>19</v>
      </c>
    </row>
    <row r="5761" spans="1:21">
      <c r="A5761" t="str">
        <f t="shared" si="2689"/>
        <v>01/10/2025</v>
      </c>
      <c r="B5761" t="str">
        <f t="shared" si="2696"/>
        <v>ENTRADA</v>
      </c>
      <c r="C5761" t="str">
        <f t="shared" si="2690"/>
        <v>NFSE</v>
      </c>
      <c r="D5761" t="str">
        <f t="shared" si="2686"/>
        <v>3510</v>
      </c>
      <c r="E5761" t="str">
        <f t="shared" si="2685"/>
        <v>COM</v>
      </c>
      <c r="F5761" t="str">
        <f t="shared" si="2687"/>
        <v>FARMÁCIA INDIANA LJ 85 (10128)</v>
      </c>
      <c r="G5761" t="str">
        <f t="shared" si="2688"/>
        <v>Serv.Prest. 15/09/2025 a 21/09/2025 - RPS: 1275 - NFSe: 3510</v>
      </c>
      <c r="H5761" t="str">
        <f t="shared" si="2691"/>
        <v>01/10/2025</v>
      </c>
      <c r="I5761" t="str">
        <f t="shared" si="2692"/>
        <v>23/09/2025</v>
      </c>
      <c r="J5761" t="str">
        <f t="shared" si="2693"/>
        <v>01/10/2025</v>
      </c>
      <c r="M5761">
        <v>303</v>
      </c>
      <c r="N5761" t="str">
        <f t="shared" si="2694"/>
        <v>RECEITAS COM ENTREGAS</v>
      </c>
      <c r="P5761">
        <v>134.99</v>
      </c>
      <c r="Q5761" t="str">
        <f>"FARMÁCIA INDIANA LJ 273 (10188)"</f>
        <v>FARMÁCIA INDIANA LJ 273 (10188)</v>
      </c>
      <c r="R5761" t="str">
        <f t="shared" si="2695"/>
        <v>RECEITAS COM ENTREGAS (303)</v>
      </c>
      <c r="S5761">
        <v>2600</v>
      </c>
      <c r="T5761">
        <v>2159</v>
      </c>
      <c r="U5761" t="s">
        <v>19</v>
      </c>
    </row>
    <row r="5762" spans="1:21">
      <c r="A5762" t="str">
        <f t="shared" si="2689"/>
        <v>01/10/2025</v>
      </c>
      <c r="B5762" t="str">
        <f t="shared" si="2696"/>
        <v>ENTRADA</v>
      </c>
      <c r="C5762" t="str">
        <f t="shared" si="2690"/>
        <v>NFSE</v>
      </c>
      <c r="D5762" t="str">
        <f t="shared" si="2686"/>
        <v>3510</v>
      </c>
      <c r="E5762" t="str">
        <f t="shared" si="2685"/>
        <v>COM</v>
      </c>
      <c r="F5762" t="str">
        <f t="shared" si="2687"/>
        <v>FARMÁCIA INDIANA LJ 85 (10128)</v>
      </c>
      <c r="G5762" t="str">
        <f t="shared" si="2688"/>
        <v>Serv.Prest. 15/09/2025 a 21/09/2025 - RPS: 1275 - NFSe: 3510</v>
      </c>
      <c r="H5762" t="str">
        <f t="shared" si="2691"/>
        <v>01/10/2025</v>
      </c>
      <c r="I5762" t="str">
        <f t="shared" si="2692"/>
        <v>23/09/2025</v>
      </c>
      <c r="J5762" t="str">
        <f t="shared" si="2693"/>
        <v>01/10/2025</v>
      </c>
      <c r="M5762">
        <v>303</v>
      </c>
      <c r="N5762" t="str">
        <f t="shared" si="2694"/>
        <v>RECEITAS COM ENTREGAS</v>
      </c>
      <c r="P5762">
        <v>27.17</v>
      </c>
      <c r="Q5762" t="str">
        <f>"FARMÁCIA INDIANA LJ 235 (10190)"</f>
        <v>FARMÁCIA INDIANA LJ 235 (10190)</v>
      </c>
      <c r="R5762" t="str">
        <f t="shared" si="2695"/>
        <v>RECEITAS COM ENTREGAS (303)</v>
      </c>
      <c r="S5762">
        <v>2600</v>
      </c>
      <c r="T5762">
        <v>2159</v>
      </c>
      <c r="U5762" t="s">
        <v>19</v>
      </c>
    </row>
    <row r="5763" spans="1:21">
      <c r="A5763" t="str">
        <f t="shared" si="2689"/>
        <v>01/10/2025</v>
      </c>
      <c r="B5763" t="str">
        <f t="shared" si="2696"/>
        <v>ENTRADA</v>
      </c>
      <c r="C5763" t="str">
        <f t="shared" si="2690"/>
        <v>NFSE</v>
      </c>
      <c r="D5763" t="str">
        <f>"3511"</f>
        <v>3511</v>
      </c>
      <c r="E5763" t="str">
        <f t="shared" si="2685"/>
        <v>COM</v>
      </c>
      <c r="F5763" t="str">
        <f>"FARMÁCIA INDIANA LJ 1 (10126)"</f>
        <v>FARMÁCIA INDIANA LJ 1 (10126)</v>
      </c>
      <c r="G5763" t="str">
        <f>"Serv.Prest. 15/09/2025 a 21/09/2025 - RPS: 1276 - NFSe: 3511"</f>
        <v>Serv.Prest. 15/09/2025 a 21/09/2025 - RPS: 1276 - NFSe: 3511</v>
      </c>
      <c r="H5763" t="str">
        <f t="shared" si="2691"/>
        <v>01/10/2025</v>
      </c>
      <c r="I5763" t="str">
        <f t="shared" si="2692"/>
        <v>23/09/2025</v>
      </c>
      <c r="J5763" t="str">
        <f t="shared" si="2693"/>
        <v>01/10/2025</v>
      </c>
      <c r="K5763">
        <v>60.9</v>
      </c>
      <c r="L5763">
        <v>60.9</v>
      </c>
      <c r="M5763">
        <v>303</v>
      </c>
      <c r="N5763" t="str">
        <f t="shared" si="2694"/>
        <v>RECEITAS COM ENTREGAS</v>
      </c>
      <c r="O5763">
        <v>60.9</v>
      </c>
      <c r="R5763" t="str">
        <f t="shared" si="2695"/>
        <v>RECEITAS COM ENTREGAS (303)</v>
      </c>
      <c r="S5763">
        <v>2601</v>
      </c>
      <c r="T5763">
        <v>2160</v>
      </c>
      <c r="U5763" t="s">
        <v>19</v>
      </c>
    </row>
    <row r="5764" spans="1:21">
      <c r="A5764" t="str">
        <f t="shared" si="2689"/>
        <v>01/10/2025</v>
      </c>
      <c r="B5764" t="str">
        <f t="shared" si="2696"/>
        <v>ENTRADA</v>
      </c>
      <c r="C5764" t="str">
        <f t="shared" si="2690"/>
        <v>NFSE</v>
      </c>
      <c r="D5764" t="str">
        <f>"3511"</f>
        <v>3511</v>
      </c>
      <c r="E5764" t="str">
        <f t="shared" si="2685"/>
        <v>COM</v>
      </c>
      <c r="F5764" t="str">
        <f>"FARMÁCIA INDIANA LJ 1 (10126)"</f>
        <v>FARMÁCIA INDIANA LJ 1 (10126)</v>
      </c>
      <c r="G5764" t="str">
        <f>"Serv.Prest. 15/09/2025 a 21/09/2025 - RPS: 1276 - NFSe: 3511"</f>
        <v>Serv.Prest. 15/09/2025 a 21/09/2025 - RPS: 1276 - NFSe: 3511</v>
      </c>
      <c r="H5764" t="str">
        <f t="shared" si="2691"/>
        <v>01/10/2025</v>
      </c>
      <c r="I5764" t="str">
        <f t="shared" si="2692"/>
        <v>23/09/2025</v>
      </c>
      <c r="J5764" t="str">
        <f t="shared" si="2693"/>
        <v>01/10/2025</v>
      </c>
      <c r="M5764">
        <v>303</v>
      </c>
      <c r="N5764" t="str">
        <f t="shared" si="2694"/>
        <v>RECEITAS COM ENTREGAS</v>
      </c>
      <c r="P5764">
        <v>60.9</v>
      </c>
      <c r="Q5764" t="str">
        <f>"FARMÁCIA INDIANA LJ 18 (10011)"</f>
        <v>FARMÁCIA INDIANA LJ 18 (10011)</v>
      </c>
      <c r="R5764" t="str">
        <f t="shared" si="2695"/>
        <v>RECEITAS COM ENTREGAS (303)</v>
      </c>
      <c r="S5764">
        <v>2601</v>
      </c>
      <c r="T5764">
        <v>2160</v>
      </c>
      <c r="U5764" t="s">
        <v>19</v>
      </c>
    </row>
    <row r="5765" spans="1:21">
      <c r="A5765" t="str">
        <f t="shared" si="2689"/>
        <v>01/10/2025</v>
      </c>
      <c r="B5765" t="str">
        <f t="shared" si="2696"/>
        <v>ENTRADA</v>
      </c>
      <c r="C5765" t="str">
        <f t="shared" si="2690"/>
        <v>NFSE</v>
      </c>
      <c r="D5765" t="str">
        <f>"3524"</f>
        <v>3524</v>
      </c>
      <c r="E5765" t="str">
        <f t="shared" si="2685"/>
        <v>COM</v>
      </c>
      <c r="F5765" t="str">
        <f>"DROGARIA AGAPEAMA (10167)"</f>
        <v>DROGARIA AGAPEAMA (10167)</v>
      </c>
      <c r="G5765" t="str">
        <f>"Serv.Prest. 22/09/2025 a 28/09/2025 - RPS: 1289 - NFSe: 3524"</f>
        <v>Serv.Prest. 22/09/2025 a 28/09/2025 - RPS: 1289 - NFSe: 3524</v>
      </c>
      <c r="H5765" t="str">
        <f t="shared" si="2691"/>
        <v>01/10/2025</v>
      </c>
      <c r="I5765" t="str">
        <f t="shared" ref="I5765:I5774" si="2697">("29/09/2025")</f>
        <v>29/09/2025</v>
      </c>
      <c r="J5765" t="str">
        <f t="shared" si="2693"/>
        <v>01/10/2025</v>
      </c>
      <c r="K5765">
        <v>358.4</v>
      </c>
      <c r="L5765">
        <v>358.4</v>
      </c>
      <c r="M5765">
        <v>303</v>
      </c>
      <c r="N5765" t="str">
        <f t="shared" si="2694"/>
        <v>RECEITAS COM ENTREGAS</v>
      </c>
      <c r="O5765">
        <v>358.4</v>
      </c>
      <c r="R5765" t="str">
        <f t="shared" si="2695"/>
        <v>RECEITAS COM ENTREGAS (303)</v>
      </c>
      <c r="S5765">
        <v>2602</v>
      </c>
      <c r="T5765">
        <v>2182</v>
      </c>
      <c r="U5765" t="s">
        <v>19</v>
      </c>
    </row>
    <row r="5766" spans="1:21">
      <c r="A5766" t="str">
        <f t="shared" si="2689"/>
        <v>01/10/2025</v>
      </c>
      <c r="B5766" t="str">
        <f t="shared" si="2696"/>
        <v>ENTRADA</v>
      </c>
      <c r="C5766" t="str">
        <f t="shared" si="2690"/>
        <v>NFSE</v>
      </c>
      <c r="D5766" t="str">
        <f>"3524"</f>
        <v>3524</v>
      </c>
      <c r="E5766" t="str">
        <f t="shared" si="2685"/>
        <v>COM</v>
      </c>
      <c r="F5766" t="str">
        <f>"DROGARIA AGAPEAMA (10167)"</f>
        <v>DROGARIA AGAPEAMA (10167)</v>
      </c>
      <c r="G5766" t="str">
        <f>"Serv.Prest. 22/09/2025 a 28/09/2025 - RPS: 1289 - NFSe: 3524"</f>
        <v>Serv.Prest. 22/09/2025 a 28/09/2025 - RPS: 1289 - NFSe: 3524</v>
      </c>
      <c r="H5766" t="str">
        <f t="shared" si="2691"/>
        <v>01/10/2025</v>
      </c>
      <c r="I5766" t="str">
        <f t="shared" si="2697"/>
        <v>29/09/2025</v>
      </c>
      <c r="J5766" t="str">
        <f t="shared" si="2693"/>
        <v>01/10/2025</v>
      </c>
      <c r="M5766">
        <v>303</v>
      </c>
      <c r="N5766" t="str">
        <f t="shared" si="2694"/>
        <v>RECEITAS COM ENTREGAS</v>
      </c>
      <c r="P5766">
        <v>358.4</v>
      </c>
      <c r="Q5766" t="str">
        <f>"DROGARIA AGAPEAMA (10167)"</f>
        <v>DROGARIA AGAPEAMA (10167)</v>
      </c>
      <c r="R5766" t="str">
        <f t="shared" si="2695"/>
        <v>RECEITAS COM ENTREGAS (303)</v>
      </c>
      <c r="S5766">
        <v>2602</v>
      </c>
      <c r="T5766">
        <v>2182</v>
      </c>
      <c r="U5766" t="s">
        <v>19</v>
      </c>
    </row>
    <row r="5767" spans="1:21">
      <c r="A5767" t="str">
        <f t="shared" si="2689"/>
        <v>01/10/2025</v>
      </c>
      <c r="B5767" t="str">
        <f t="shared" si="2696"/>
        <v>ENTRADA</v>
      </c>
      <c r="C5767" t="str">
        <f t="shared" si="2690"/>
        <v>NFSE</v>
      </c>
      <c r="D5767" t="str">
        <f>"3527"</f>
        <v>3527</v>
      </c>
      <c r="E5767" t="str">
        <f t="shared" si="2685"/>
        <v>COM</v>
      </c>
      <c r="F5767" t="str">
        <f>"ENTREFARMA (10164)"</f>
        <v>ENTREFARMA (10164)</v>
      </c>
      <c r="G5767" t="str">
        <f>"Serv.Prest. 22/09/2025 a 28/09/2025 - RPS: 1292 - NFSe: 3527"</f>
        <v>Serv.Prest. 22/09/2025 a 28/09/2025 - RPS: 1292 - NFSe: 3527</v>
      </c>
      <c r="H5767" t="str">
        <f t="shared" si="2691"/>
        <v>01/10/2025</v>
      </c>
      <c r="I5767" t="str">
        <f t="shared" si="2697"/>
        <v>29/09/2025</v>
      </c>
      <c r="J5767" t="str">
        <f t="shared" si="2693"/>
        <v>01/10/2025</v>
      </c>
      <c r="K5767">
        <v>1059.53</v>
      </c>
      <c r="L5767">
        <v>1059.53</v>
      </c>
      <c r="M5767">
        <v>303</v>
      </c>
      <c r="N5767" t="str">
        <f t="shared" si="2694"/>
        <v>RECEITAS COM ENTREGAS</v>
      </c>
      <c r="O5767">
        <v>1059.53</v>
      </c>
      <c r="R5767" t="str">
        <f t="shared" si="2695"/>
        <v>RECEITAS COM ENTREGAS (303)</v>
      </c>
      <c r="S5767">
        <v>2603</v>
      </c>
      <c r="T5767">
        <v>2185</v>
      </c>
      <c r="U5767" t="s">
        <v>19</v>
      </c>
    </row>
    <row r="5768" spans="1:21">
      <c r="A5768" t="str">
        <f t="shared" si="2689"/>
        <v>01/10/2025</v>
      </c>
      <c r="B5768" t="str">
        <f t="shared" si="2696"/>
        <v>ENTRADA</v>
      </c>
      <c r="C5768" t="str">
        <f t="shared" si="2690"/>
        <v>NFSE</v>
      </c>
      <c r="D5768" t="str">
        <f>"3527"</f>
        <v>3527</v>
      </c>
      <c r="E5768" t="str">
        <f t="shared" si="2685"/>
        <v>COM</v>
      </c>
      <c r="F5768" t="str">
        <f>"ENTREFARMA (10164)"</f>
        <v>ENTREFARMA (10164)</v>
      </c>
      <c r="G5768" t="str">
        <f>"Serv.Prest. 22/09/2025 a 28/09/2025 - RPS: 1292 - NFSe: 3527"</f>
        <v>Serv.Prest. 22/09/2025 a 28/09/2025 - RPS: 1292 - NFSe: 3527</v>
      </c>
      <c r="H5768" t="str">
        <f t="shared" si="2691"/>
        <v>01/10/2025</v>
      </c>
      <c r="I5768" t="str">
        <f t="shared" si="2697"/>
        <v>29/09/2025</v>
      </c>
      <c r="J5768" t="str">
        <f t="shared" si="2693"/>
        <v>01/10/2025</v>
      </c>
      <c r="M5768">
        <v>303</v>
      </c>
      <c r="N5768" t="str">
        <f t="shared" si="2694"/>
        <v>RECEITAS COM ENTREGAS</v>
      </c>
      <c r="P5768">
        <v>1059.53</v>
      </c>
      <c r="Q5768" t="str">
        <f>"ENTREFARMA (10164)"</f>
        <v>ENTREFARMA (10164)</v>
      </c>
      <c r="R5768" t="str">
        <f t="shared" si="2695"/>
        <v>RECEITAS COM ENTREGAS (303)</v>
      </c>
      <c r="S5768">
        <v>2603</v>
      </c>
      <c r="T5768">
        <v>2185</v>
      </c>
      <c r="U5768" t="s">
        <v>19</v>
      </c>
    </row>
    <row r="5769" spans="1:21">
      <c r="A5769" t="str">
        <f t="shared" si="2689"/>
        <v>01/10/2025</v>
      </c>
      <c r="B5769" t="str">
        <f t="shared" si="2696"/>
        <v>ENTRADA</v>
      </c>
      <c r="C5769" t="str">
        <f t="shared" si="2690"/>
        <v>NFSE</v>
      </c>
      <c r="D5769" t="str">
        <f>"3528"</f>
        <v>3528</v>
      </c>
      <c r="E5769" t="str">
        <f t="shared" si="2685"/>
        <v>COM</v>
      </c>
      <c r="F5769" t="str">
        <f>"FRAN FARMA (10124)"</f>
        <v>FRAN FARMA (10124)</v>
      </c>
      <c r="G5769" t="str">
        <f>"Serv.Prest. 22/09/2025 a 28/09/2025 - RPS: 1293 - NFSe: 3528"</f>
        <v>Serv.Prest. 22/09/2025 a 28/09/2025 - RPS: 1293 - NFSe: 3528</v>
      </c>
      <c r="H5769" t="str">
        <f t="shared" si="2691"/>
        <v>01/10/2025</v>
      </c>
      <c r="I5769" t="str">
        <f t="shared" si="2697"/>
        <v>29/09/2025</v>
      </c>
      <c r="J5769" t="str">
        <f t="shared" si="2693"/>
        <v>01/10/2025</v>
      </c>
      <c r="K5769">
        <v>160</v>
      </c>
      <c r="L5769">
        <v>160</v>
      </c>
      <c r="M5769">
        <v>303</v>
      </c>
      <c r="N5769" t="str">
        <f t="shared" si="2694"/>
        <v>RECEITAS COM ENTREGAS</v>
      </c>
      <c r="O5769">
        <v>160</v>
      </c>
      <c r="R5769" t="str">
        <f t="shared" si="2695"/>
        <v>RECEITAS COM ENTREGAS (303)</v>
      </c>
      <c r="S5769">
        <v>2604</v>
      </c>
      <c r="T5769">
        <v>2186</v>
      </c>
      <c r="U5769" t="s">
        <v>19</v>
      </c>
    </row>
    <row r="5770" spans="1:21">
      <c r="A5770" t="str">
        <f t="shared" si="2689"/>
        <v>01/10/2025</v>
      </c>
      <c r="B5770" t="str">
        <f t="shared" si="2696"/>
        <v>ENTRADA</v>
      </c>
      <c r="C5770" t="str">
        <f t="shared" si="2690"/>
        <v>NFSE</v>
      </c>
      <c r="D5770" t="str">
        <f>"3528"</f>
        <v>3528</v>
      </c>
      <c r="E5770" t="str">
        <f t="shared" si="2685"/>
        <v>COM</v>
      </c>
      <c r="F5770" t="str">
        <f>"FRAN FARMA (10124)"</f>
        <v>FRAN FARMA (10124)</v>
      </c>
      <c r="G5770" t="str">
        <f>"Serv.Prest. 22/09/2025 a 28/09/2025 - RPS: 1293 - NFSe: 3528"</f>
        <v>Serv.Prest. 22/09/2025 a 28/09/2025 - RPS: 1293 - NFSe: 3528</v>
      </c>
      <c r="H5770" t="str">
        <f t="shared" si="2691"/>
        <v>01/10/2025</v>
      </c>
      <c r="I5770" t="str">
        <f t="shared" si="2697"/>
        <v>29/09/2025</v>
      </c>
      <c r="J5770" t="str">
        <f t="shared" si="2693"/>
        <v>01/10/2025</v>
      </c>
      <c r="M5770">
        <v>303</v>
      </c>
      <c r="N5770" t="str">
        <f t="shared" si="2694"/>
        <v>RECEITAS COM ENTREGAS</v>
      </c>
      <c r="P5770">
        <v>6.4</v>
      </c>
      <c r="Q5770" t="str">
        <f>"FRAN FARMA (10124)"</f>
        <v>FRAN FARMA (10124)</v>
      </c>
      <c r="R5770" t="str">
        <f t="shared" si="2695"/>
        <v>RECEITAS COM ENTREGAS (303)</v>
      </c>
      <c r="S5770">
        <v>2604</v>
      </c>
      <c r="T5770">
        <v>2186</v>
      </c>
      <c r="U5770" t="s">
        <v>19</v>
      </c>
    </row>
    <row r="5771" spans="1:21">
      <c r="A5771" t="str">
        <f t="shared" si="2689"/>
        <v>01/10/2025</v>
      </c>
      <c r="B5771" t="str">
        <f t="shared" si="2696"/>
        <v>ENTRADA</v>
      </c>
      <c r="C5771" t="str">
        <f t="shared" si="2690"/>
        <v>NFSE</v>
      </c>
      <c r="D5771" t="str">
        <f>"3528"</f>
        <v>3528</v>
      </c>
      <c r="E5771" t="str">
        <f t="shared" si="2685"/>
        <v>COM</v>
      </c>
      <c r="F5771" t="str">
        <f>"FRAN FARMA (10124)"</f>
        <v>FRAN FARMA (10124)</v>
      </c>
      <c r="G5771" t="str">
        <f>"Serv.Prest. 22/09/2025 a 28/09/2025 - RPS: 1293 - NFSe: 3528"</f>
        <v>Serv.Prest. 22/09/2025 a 28/09/2025 - RPS: 1293 - NFSe: 3528</v>
      </c>
      <c r="H5771" t="str">
        <f t="shared" si="2691"/>
        <v>01/10/2025</v>
      </c>
      <c r="I5771" t="str">
        <f t="shared" si="2697"/>
        <v>29/09/2025</v>
      </c>
      <c r="J5771" t="str">
        <f t="shared" si="2693"/>
        <v>01/10/2025</v>
      </c>
      <c r="M5771">
        <v>303</v>
      </c>
      <c r="N5771" t="str">
        <f t="shared" si="2694"/>
        <v>RECEITAS COM ENTREGAS</v>
      </c>
      <c r="P5771">
        <v>89.6</v>
      </c>
      <c r="Q5771" t="str">
        <f>"FRAN FARMA LJ 2 (10131)"</f>
        <v>FRAN FARMA LJ 2 (10131)</v>
      </c>
      <c r="R5771" t="str">
        <f t="shared" si="2695"/>
        <v>RECEITAS COM ENTREGAS (303)</v>
      </c>
      <c r="S5771">
        <v>2604</v>
      </c>
      <c r="T5771">
        <v>2186</v>
      </c>
      <c r="U5771" t="s">
        <v>19</v>
      </c>
    </row>
    <row r="5772" spans="1:21">
      <c r="A5772" t="str">
        <f t="shared" si="2689"/>
        <v>01/10/2025</v>
      </c>
      <c r="B5772" t="str">
        <f t="shared" si="2696"/>
        <v>ENTRADA</v>
      </c>
      <c r="C5772" t="str">
        <f t="shared" si="2690"/>
        <v>NFSE</v>
      </c>
      <c r="D5772" t="str">
        <f>"3528"</f>
        <v>3528</v>
      </c>
      <c r="E5772" t="str">
        <f t="shared" si="2685"/>
        <v>COM</v>
      </c>
      <c r="F5772" t="str">
        <f>"FRAN FARMA (10124)"</f>
        <v>FRAN FARMA (10124)</v>
      </c>
      <c r="G5772" t="str">
        <f>"Serv.Prest. 22/09/2025 a 28/09/2025 - RPS: 1293 - NFSe: 3528"</f>
        <v>Serv.Prest. 22/09/2025 a 28/09/2025 - RPS: 1293 - NFSe: 3528</v>
      </c>
      <c r="H5772" t="str">
        <f t="shared" si="2691"/>
        <v>01/10/2025</v>
      </c>
      <c r="I5772" t="str">
        <f t="shared" si="2697"/>
        <v>29/09/2025</v>
      </c>
      <c r="J5772" t="str">
        <f t="shared" si="2693"/>
        <v>01/10/2025</v>
      </c>
      <c r="M5772">
        <v>303</v>
      </c>
      <c r="N5772" t="str">
        <f t="shared" si="2694"/>
        <v>RECEITAS COM ENTREGAS</v>
      </c>
      <c r="P5772">
        <v>64</v>
      </c>
      <c r="Q5772" t="str">
        <f>"FRAN FARMA LJ 3 (10132)"</f>
        <v>FRAN FARMA LJ 3 (10132)</v>
      </c>
      <c r="R5772" t="str">
        <f t="shared" si="2695"/>
        <v>RECEITAS COM ENTREGAS (303)</v>
      </c>
      <c r="S5772">
        <v>2604</v>
      </c>
      <c r="T5772">
        <v>2186</v>
      </c>
      <c r="U5772" t="s">
        <v>19</v>
      </c>
    </row>
    <row r="5773" spans="1:21">
      <c r="A5773" t="str">
        <f t="shared" si="2689"/>
        <v>01/10/2025</v>
      </c>
      <c r="B5773" t="str">
        <f t="shared" si="2696"/>
        <v>ENTRADA</v>
      </c>
      <c r="C5773" t="str">
        <f t="shared" si="2690"/>
        <v>NFSE</v>
      </c>
      <c r="D5773" t="str">
        <f>"3538"</f>
        <v>3538</v>
      </c>
      <c r="E5773" t="str">
        <f t="shared" si="2685"/>
        <v>COM</v>
      </c>
      <c r="F5773" t="str">
        <f>"JAL FARMACIA E DROGARIA LJ 2 (10138)"</f>
        <v>JAL FARMACIA E DROGARIA LJ 2 (10138)</v>
      </c>
      <c r="G5773" t="str">
        <f>"Serv.Prest. 22/09/2025 a 28/09/2025 - RPS: 1303 - NFSe: 3538"</f>
        <v>Serv.Prest. 22/09/2025 a 28/09/2025 - RPS: 1303 - NFSe: 3538</v>
      </c>
      <c r="H5773" t="str">
        <f t="shared" si="2691"/>
        <v>01/10/2025</v>
      </c>
      <c r="I5773" t="str">
        <f t="shared" si="2697"/>
        <v>29/09/2025</v>
      </c>
      <c r="J5773" t="str">
        <f t="shared" si="2693"/>
        <v>01/10/2025</v>
      </c>
      <c r="K5773">
        <v>308.8</v>
      </c>
      <c r="L5773">
        <v>308.8</v>
      </c>
      <c r="M5773">
        <v>303</v>
      </c>
      <c r="N5773" t="str">
        <f t="shared" si="2694"/>
        <v>RECEITAS COM ENTREGAS</v>
      </c>
      <c r="O5773">
        <v>308.8</v>
      </c>
      <c r="R5773" t="str">
        <f t="shared" si="2695"/>
        <v>RECEITAS COM ENTREGAS (303)</v>
      </c>
      <c r="S5773">
        <v>2605</v>
      </c>
      <c r="T5773">
        <v>2196</v>
      </c>
      <c r="U5773" t="s">
        <v>19</v>
      </c>
    </row>
    <row r="5774" spans="1:21">
      <c r="A5774" t="str">
        <f t="shared" si="2689"/>
        <v>01/10/2025</v>
      </c>
      <c r="B5774" t="str">
        <f t="shared" si="2696"/>
        <v>ENTRADA</v>
      </c>
      <c r="C5774" t="str">
        <f t="shared" si="2690"/>
        <v>NFSE</v>
      </c>
      <c r="D5774" t="str">
        <f>"3538"</f>
        <v>3538</v>
      </c>
      <c r="E5774" t="str">
        <f t="shared" si="2685"/>
        <v>COM</v>
      </c>
      <c r="F5774" t="str">
        <f>"JAL FARMACIA E DROGARIA LJ 2 (10138)"</f>
        <v>JAL FARMACIA E DROGARIA LJ 2 (10138)</v>
      </c>
      <c r="G5774" t="str">
        <f>"Serv.Prest. 22/09/2025 a 28/09/2025 - RPS: 1303 - NFSe: 3538"</f>
        <v>Serv.Prest. 22/09/2025 a 28/09/2025 - RPS: 1303 - NFSe: 3538</v>
      </c>
      <c r="H5774" t="str">
        <f t="shared" si="2691"/>
        <v>01/10/2025</v>
      </c>
      <c r="I5774" t="str">
        <f t="shared" si="2697"/>
        <v>29/09/2025</v>
      </c>
      <c r="J5774" t="str">
        <f t="shared" si="2693"/>
        <v>01/10/2025</v>
      </c>
      <c r="M5774">
        <v>303</v>
      </c>
      <c r="N5774" t="str">
        <f t="shared" si="2694"/>
        <v>RECEITAS COM ENTREGAS</v>
      </c>
      <c r="P5774">
        <v>308.8</v>
      </c>
      <c r="Q5774" t="str">
        <f>"JAL FARMACIA E DROGARIA LJ 2 (10138)"</f>
        <v>JAL FARMACIA E DROGARIA LJ 2 (10138)</v>
      </c>
      <c r="R5774" t="str">
        <f t="shared" si="2695"/>
        <v>RECEITAS COM ENTREGAS (303)</v>
      </c>
      <c r="S5774">
        <v>2605</v>
      </c>
      <c r="T5774">
        <v>2196</v>
      </c>
      <c r="U5774" t="s">
        <v>19</v>
      </c>
    </row>
    <row r="5775" spans="1:21">
      <c r="A5775" t="str">
        <f t="shared" si="2689"/>
        <v>01/10/2025</v>
      </c>
      <c r="B5775" t="str">
        <f t="shared" si="2696"/>
        <v>ENTRADA</v>
      </c>
      <c r="C5775" t="str">
        <f t="shared" si="2690"/>
        <v>NFSE</v>
      </c>
      <c r="D5775" t="str">
        <f>"3546"</f>
        <v>3546</v>
      </c>
      <c r="E5775" t="str">
        <f t="shared" si="2685"/>
        <v>COM</v>
      </c>
      <c r="F5775" t="str">
        <f>"DELTA LOJA 2 (10123)"</f>
        <v>DELTA LOJA 2 (10123)</v>
      </c>
      <c r="G5775" t="str">
        <f>"Serv.Prest. 22/09/2025 a 28/09/2025 - RPS: 1311 - NFSe: 3546"</f>
        <v>Serv.Prest. 22/09/2025 a 28/09/2025 - RPS: 1311 - NFSe: 3546</v>
      </c>
      <c r="H5775" t="str">
        <f t="shared" si="2691"/>
        <v>01/10/2025</v>
      </c>
      <c r="I5775" t="str">
        <f>("30/09/2025")</f>
        <v>30/09/2025</v>
      </c>
      <c r="J5775" t="str">
        <f t="shared" si="2693"/>
        <v>01/10/2025</v>
      </c>
      <c r="K5775">
        <v>686.7</v>
      </c>
      <c r="L5775">
        <v>686.7</v>
      </c>
      <c r="M5775">
        <v>303</v>
      </c>
      <c r="N5775" t="str">
        <f t="shared" si="2694"/>
        <v>RECEITAS COM ENTREGAS</v>
      </c>
      <c r="O5775">
        <v>686.7</v>
      </c>
      <c r="R5775" t="str">
        <f t="shared" si="2695"/>
        <v>RECEITAS COM ENTREGAS (303)</v>
      </c>
      <c r="S5775">
        <v>2606</v>
      </c>
      <c r="T5775">
        <v>2204</v>
      </c>
      <c r="U5775" t="s">
        <v>19</v>
      </c>
    </row>
    <row r="5776" spans="1:21">
      <c r="A5776" t="str">
        <f t="shared" si="2689"/>
        <v>01/10/2025</v>
      </c>
      <c r="B5776" t="str">
        <f t="shared" si="2696"/>
        <v>ENTRADA</v>
      </c>
      <c r="C5776" t="str">
        <f t="shared" si="2690"/>
        <v>NFSE</v>
      </c>
      <c r="D5776" t="str">
        <f>"3546"</f>
        <v>3546</v>
      </c>
      <c r="E5776" t="str">
        <f t="shared" si="2685"/>
        <v>COM</v>
      </c>
      <c r="F5776" t="str">
        <f>"DELTA LOJA 2 (10123)"</f>
        <v>DELTA LOJA 2 (10123)</v>
      </c>
      <c r="G5776" t="str">
        <f>"Serv.Prest. 22/09/2025 a 28/09/2025 - RPS: 1311 - NFSe: 3546"</f>
        <v>Serv.Prest. 22/09/2025 a 28/09/2025 - RPS: 1311 - NFSe: 3546</v>
      </c>
      <c r="H5776" t="str">
        <f t="shared" si="2691"/>
        <v>01/10/2025</v>
      </c>
      <c r="I5776" t="str">
        <f>("30/09/2025")</f>
        <v>30/09/2025</v>
      </c>
      <c r="J5776" t="str">
        <f t="shared" si="2693"/>
        <v>01/10/2025</v>
      </c>
      <c r="M5776">
        <v>303</v>
      </c>
      <c r="N5776" t="str">
        <f t="shared" si="2694"/>
        <v>RECEITAS COM ENTREGAS</v>
      </c>
      <c r="P5776">
        <v>686.7</v>
      </c>
      <c r="Q5776" t="str">
        <f>"DELTA LOJA 2 (10123)"</f>
        <v>DELTA LOJA 2 (10123)</v>
      </c>
      <c r="R5776" t="str">
        <f t="shared" si="2695"/>
        <v>RECEITAS COM ENTREGAS (303)</v>
      </c>
      <c r="S5776">
        <v>2606</v>
      </c>
      <c r="T5776">
        <v>2204</v>
      </c>
      <c r="U5776" t="s">
        <v>19</v>
      </c>
    </row>
    <row r="5777" spans="1:21">
      <c r="A5777" t="str">
        <f t="shared" si="2689"/>
        <v>01/10/2025</v>
      </c>
      <c r="B5777" t="str">
        <f>"SAÍDA"</f>
        <v>SAÍDA</v>
      </c>
      <c r="C5777" t="str">
        <f>"JUROS"</f>
        <v>JUROS</v>
      </c>
      <c r="D5777" t="str">
        <f>""</f>
        <v/>
      </c>
      <c r="E5777" t="str">
        <f>"CXA"</f>
        <v>CXA</v>
      </c>
      <c r="F5777" t="str">
        <f>""</f>
        <v/>
      </c>
      <c r="G5777" t="str">
        <f>"TARIFAS BANCÁRIAS CORA 5X1,70"</f>
        <v>TARIFAS BANCÁRIAS CORA 5X1,70</v>
      </c>
      <c r="H5777" t="str">
        <f t="shared" si="2691"/>
        <v>01/10/2025</v>
      </c>
      <c r="I5777" t="str">
        <f>("01/10/2025")</f>
        <v>01/10/2025</v>
      </c>
      <c r="J5777" t="str">
        <f t="shared" si="2693"/>
        <v>01/10/2025</v>
      </c>
      <c r="K5777">
        <v>8.5</v>
      </c>
      <c r="L5777">
        <v>8.5</v>
      </c>
      <c r="M5777">
        <v>401</v>
      </c>
      <c r="N5777" t="str">
        <f>"IOF/JUROS/DESP.FINANCEIRA"</f>
        <v>IOF/JUROS/DESP.FINANCEIRA</v>
      </c>
      <c r="O5777">
        <v>8.5</v>
      </c>
      <c r="R5777" t="str">
        <f>"BANCO CORA (102)"</f>
        <v>BANCO CORA (102)</v>
      </c>
      <c r="S5777">
        <v>2607</v>
      </c>
      <c r="T5777">
        <v>0</v>
      </c>
      <c r="U5777" t="s">
        <v>20</v>
      </c>
    </row>
    <row r="5778" spans="1:21">
      <c r="A5778" t="str">
        <f t="shared" ref="A5778:A5818" si="2698">("02/10/2025")</f>
        <v>02/10/2025</v>
      </c>
      <c r="B5778" t="str">
        <f>"ENTRADA"</f>
        <v>ENTRADA</v>
      </c>
      <c r="C5778" t="str">
        <f t="shared" ref="C5778:C5785" si="2699">"NFSE"</f>
        <v>NFSE</v>
      </c>
      <c r="D5778" t="str">
        <f>"3543"</f>
        <v>3543</v>
      </c>
      <c r="E5778" t="str">
        <f t="shared" ref="E5778:E5785" si="2700">"COM"</f>
        <v>COM</v>
      </c>
      <c r="F5778" t="str">
        <f>"PENSE FARMA 46 (10194)"</f>
        <v>PENSE FARMA 46 (10194)</v>
      </c>
      <c r="G5778" t="str">
        <f>"Serv.Prest. 22/09/2025 a 28/09/2025 - RPS: 1308 - NFSe: 3543"</f>
        <v>Serv.Prest. 22/09/2025 a 28/09/2025 - RPS: 1308 - NFSe: 3543</v>
      </c>
      <c r="H5778" t="str">
        <f t="shared" ref="H5778:H5786" si="2701">("02/10/2025")</f>
        <v>02/10/2025</v>
      </c>
      <c r="I5778" t="str">
        <f t="shared" ref="I5778:I5785" si="2702">("30/09/2025")</f>
        <v>30/09/2025</v>
      </c>
      <c r="J5778" t="str">
        <f t="shared" ref="J5778:J5818" si="2703">("02/10/2025")</f>
        <v>02/10/2025</v>
      </c>
      <c r="K5778">
        <v>300</v>
      </c>
      <c r="L5778">
        <v>300</v>
      </c>
      <c r="M5778">
        <v>303</v>
      </c>
      <c r="N5778" t="str">
        <f t="shared" ref="N5778:N5785" si="2704">"RECEITAS COM ENTREGAS"</f>
        <v>RECEITAS COM ENTREGAS</v>
      </c>
      <c r="O5778">
        <v>300</v>
      </c>
      <c r="R5778" t="str">
        <f t="shared" ref="R5778:R5785" si="2705">"RECEITAS COM ENTREGAS (303)"</f>
        <v>RECEITAS COM ENTREGAS (303)</v>
      </c>
      <c r="S5778">
        <v>2608</v>
      </c>
      <c r="T5778">
        <v>2201</v>
      </c>
      <c r="U5778" t="s">
        <v>19</v>
      </c>
    </row>
    <row r="5779" spans="1:21">
      <c r="A5779" t="str">
        <f t="shared" si="2698"/>
        <v>02/10/2025</v>
      </c>
      <c r="B5779" t="str">
        <f t="shared" ref="B5779:B5785" si="2706">"ENTRADA"</f>
        <v>ENTRADA</v>
      </c>
      <c r="C5779" t="str">
        <f t="shared" si="2699"/>
        <v>NFSE</v>
      </c>
      <c r="D5779" t="str">
        <f>"3543"</f>
        <v>3543</v>
      </c>
      <c r="E5779" t="str">
        <f t="shared" si="2700"/>
        <v>COM</v>
      </c>
      <c r="F5779" t="str">
        <f>"PENSE FARMA 46 (10194)"</f>
        <v>PENSE FARMA 46 (10194)</v>
      </c>
      <c r="G5779" t="str">
        <f>"Serv.Prest. 22/09/2025 a 28/09/2025 - RPS: 1308 - NFSe: 3543"</f>
        <v>Serv.Prest. 22/09/2025 a 28/09/2025 - RPS: 1308 - NFSe: 3543</v>
      </c>
      <c r="H5779" t="str">
        <f t="shared" si="2701"/>
        <v>02/10/2025</v>
      </c>
      <c r="I5779" t="str">
        <f t="shared" si="2702"/>
        <v>30/09/2025</v>
      </c>
      <c r="J5779" t="str">
        <f t="shared" si="2703"/>
        <v>02/10/2025</v>
      </c>
      <c r="M5779">
        <v>303</v>
      </c>
      <c r="N5779" t="str">
        <f t="shared" si="2704"/>
        <v>RECEITAS COM ENTREGAS</v>
      </c>
      <c r="P5779">
        <v>300</v>
      </c>
      <c r="Q5779" t="str">
        <f>"PENSE FARMA 46 (10194)"</f>
        <v>PENSE FARMA 46 (10194)</v>
      </c>
      <c r="R5779" t="str">
        <f t="shared" si="2705"/>
        <v>RECEITAS COM ENTREGAS (303)</v>
      </c>
      <c r="S5779">
        <v>2608</v>
      </c>
      <c r="T5779">
        <v>2201</v>
      </c>
      <c r="U5779" t="s">
        <v>19</v>
      </c>
    </row>
    <row r="5780" spans="1:21">
      <c r="A5780" t="str">
        <f t="shared" si="2698"/>
        <v>02/10/2025</v>
      </c>
      <c r="B5780" t="str">
        <f t="shared" si="2706"/>
        <v>ENTRADA</v>
      </c>
      <c r="C5780" t="str">
        <f t="shared" si="2699"/>
        <v>NFSE</v>
      </c>
      <c r="D5780" t="str">
        <f>"3544"</f>
        <v>3544</v>
      </c>
      <c r="E5780" t="str">
        <f t="shared" si="2700"/>
        <v>COM</v>
      </c>
      <c r="F5780" t="str">
        <f>"PENSE FARMA 15 (10195)"</f>
        <v>PENSE FARMA 15 (10195)</v>
      </c>
      <c r="G5780" t="str">
        <f>"Serv.Prest. 22/09/2025 a 28/09/2025 - RPS: 1309 - NFSe: 3544"</f>
        <v>Serv.Prest. 22/09/2025 a 28/09/2025 - RPS: 1309 - NFSe: 3544</v>
      </c>
      <c r="H5780" t="str">
        <f t="shared" si="2701"/>
        <v>02/10/2025</v>
      </c>
      <c r="I5780" t="str">
        <f t="shared" si="2702"/>
        <v>30/09/2025</v>
      </c>
      <c r="J5780" t="str">
        <f t="shared" si="2703"/>
        <v>02/10/2025</v>
      </c>
      <c r="K5780">
        <v>450</v>
      </c>
      <c r="L5780">
        <v>450</v>
      </c>
      <c r="M5780">
        <v>303</v>
      </c>
      <c r="N5780" t="str">
        <f t="shared" si="2704"/>
        <v>RECEITAS COM ENTREGAS</v>
      </c>
      <c r="O5780">
        <v>450</v>
      </c>
      <c r="R5780" t="str">
        <f t="shared" si="2705"/>
        <v>RECEITAS COM ENTREGAS (303)</v>
      </c>
      <c r="S5780">
        <v>2609</v>
      </c>
      <c r="T5780">
        <v>2202</v>
      </c>
      <c r="U5780" t="s">
        <v>19</v>
      </c>
    </row>
    <row r="5781" spans="1:21">
      <c r="A5781" t="str">
        <f t="shared" si="2698"/>
        <v>02/10/2025</v>
      </c>
      <c r="B5781" t="str">
        <f t="shared" si="2706"/>
        <v>ENTRADA</v>
      </c>
      <c r="C5781" t="str">
        <f t="shared" si="2699"/>
        <v>NFSE</v>
      </c>
      <c r="D5781" t="str">
        <f>"3544"</f>
        <v>3544</v>
      </c>
      <c r="E5781" t="str">
        <f t="shared" si="2700"/>
        <v>COM</v>
      </c>
      <c r="F5781" t="str">
        <f>"PENSE FARMA 15 (10195)"</f>
        <v>PENSE FARMA 15 (10195)</v>
      </c>
      <c r="G5781" t="str">
        <f>"Serv.Prest. 22/09/2025 a 28/09/2025 - RPS: 1309 - NFSe: 3544"</f>
        <v>Serv.Prest. 22/09/2025 a 28/09/2025 - RPS: 1309 - NFSe: 3544</v>
      </c>
      <c r="H5781" t="str">
        <f t="shared" si="2701"/>
        <v>02/10/2025</v>
      </c>
      <c r="I5781" t="str">
        <f t="shared" si="2702"/>
        <v>30/09/2025</v>
      </c>
      <c r="J5781" t="str">
        <f t="shared" si="2703"/>
        <v>02/10/2025</v>
      </c>
      <c r="M5781">
        <v>303</v>
      </c>
      <c r="N5781" t="str">
        <f t="shared" si="2704"/>
        <v>RECEITAS COM ENTREGAS</v>
      </c>
      <c r="P5781">
        <v>149.99</v>
      </c>
      <c r="Q5781" t="str">
        <f>"PENSE FARMA 15 (10195)"</f>
        <v>PENSE FARMA 15 (10195)</v>
      </c>
      <c r="R5781" t="str">
        <f t="shared" si="2705"/>
        <v>RECEITAS COM ENTREGAS (303)</v>
      </c>
      <c r="S5781">
        <v>2609</v>
      </c>
      <c r="T5781">
        <v>2202</v>
      </c>
      <c r="U5781" t="s">
        <v>19</v>
      </c>
    </row>
    <row r="5782" spans="1:21">
      <c r="A5782" t="str">
        <f t="shared" si="2698"/>
        <v>02/10/2025</v>
      </c>
      <c r="B5782" t="str">
        <f t="shared" si="2706"/>
        <v>ENTRADA</v>
      </c>
      <c r="C5782" t="str">
        <f t="shared" si="2699"/>
        <v>NFSE</v>
      </c>
      <c r="D5782" t="str">
        <f>"3544"</f>
        <v>3544</v>
      </c>
      <c r="E5782" t="str">
        <f t="shared" si="2700"/>
        <v>COM</v>
      </c>
      <c r="F5782" t="str">
        <f>"PENSE FARMA 15 (10195)"</f>
        <v>PENSE FARMA 15 (10195)</v>
      </c>
      <c r="G5782" t="str">
        <f>"Serv.Prest. 22/09/2025 a 28/09/2025 - RPS: 1309 - NFSe: 3544"</f>
        <v>Serv.Prest. 22/09/2025 a 28/09/2025 - RPS: 1309 - NFSe: 3544</v>
      </c>
      <c r="H5782" t="str">
        <f t="shared" si="2701"/>
        <v>02/10/2025</v>
      </c>
      <c r="I5782" t="str">
        <f t="shared" si="2702"/>
        <v>30/09/2025</v>
      </c>
      <c r="J5782" t="str">
        <f t="shared" si="2703"/>
        <v>02/10/2025</v>
      </c>
      <c r="M5782">
        <v>303</v>
      </c>
      <c r="N5782" t="str">
        <f t="shared" si="2704"/>
        <v>RECEITAS COM ENTREGAS</v>
      </c>
      <c r="P5782">
        <v>149.97999999999999</v>
      </c>
      <c r="Q5782" t="str">
        <f>"PENSE FARMA 26 (10196)"</f>
        <v>PENSE FARMA 26 (10196)</v>
      </c>
      <c r="R5782" t="str">
        <f t="shared" si="2705"/>
        <v>RECEITAS COM ENTREGAS (303)</v>
      </c>
      <c r="S5782">
        <v>2609</v>
      </c>
      <c r="T5782">
        <v>2202</v>
      </c>
      <c r="U5782" t="s">
        <v>19</v>
      </c>
    </row>
    <row r="5783" spans="1:21">
      <c r="A5783" t="str">
        <f t="shared" si="2698"/>
        <v>02/10/2025</v>
      </c>
      <c r="B5783" t="str">
        <f t="shared" si="2706"/>
        <v>ENTRADA</v>
      </c>
      <c r="C5783" t="str">
        <f t="shared" si="2699"/>
        <v>NFSE</v>
      </c>
      <c r="D5783" t="str">
        <f>"3544"</f>
        <v>3544</v>
      </c>
      <c r="E5783" t="str">
        <f t="shared" si="2700"/>
        <v>COM</v>
      </c>
      <c r="F5783" t="str">
        <f>"PENSE FARMA 15 (10195)"</f>
        <v>PENSE FARMA 15 (10195)</v>
      </c>
      <c r="G5783" t="str">
        <f>"Serv.Prest. 22/09/2025 a 28/09/2025 - RPS: 1309 - NFSe: 3544"</f>
        <v>Serv.Prest. 22/09/2025 a 28/09/2025 - RPS: 1309 - NFSe: 3544</v>
      </c>
      <c r="H5783" t="str">
        <f t="shared" si="2701"/>
        <v>02/10/2025</v>
      </c>
      <c r="I5783" t="str">
        <f t="shared" si="2702"/>
        <v>30/09/2025</v>
      </c>
      <c r="J5783" t="str">
        <f t="shared" si="2703"/>
        <v>02/10/2025</v>
      </c>
      <c r="M5783">
        <v>303</v>
      </c>
      <c r="N5783" t="str">
        <f t="shared" si="2704"/>
        <v>RECEITAS COM ENTREGAS</v>
      </c>
      <c r="P5783">
        <v>150.03</v>
      </c>
      <c r="Q5783" t="str">
        <f>"PENSE FARMA 60 (10197)"</f>
        <v>PENSE FARMA 60 (10197)</v>
      </c>
      <c r="R5783" t="str">
        <f t="shared" si="2705"/>
        <v>RECEITAS COM ENTREGAS (303)</v>
      </c>
      <c r="S5783">
        <v>2609</v>
      </c>
      <c r="T5783">
        <v>2202</v>
      </c>
      <c r="U5783" t="s">
        <v>19</v>
      </c>
    </row>
    <row r="5784" spans="1:21">
      <c r="A5784" t="str">
        <f t="shared" si="2698"/>
        <v>02/10/2025</v>
      </c>
      <c r="B5784" t="str">
        <f t="shared" si="2706"/>
        <v>ENTRADA</v>
      </c>
      <c r="C5784" t="str">
        <f t="shared" si="2699"/>
        <v>NFSE</v>
      </c>
      <c r="D5784" t="str">
        <f>"3545"</f>
        <v>3545</v>
      </c>
      <c r="E5784" t="str">
        <f t="shared" si="2700"/>
        <v>COM</v>
      </c>
      <c r="F5784" t="str">
        <f>"PENSE FARMA 22 (10198)"</f>
        <v>PENSE FARMA 22 (10198)</v>
      </c>
      <c r="G5784" t="str">
        <f>"Serv.Prest. 22/09/2025 a 28/09/2025 - RPS: 1310 - NFSe: 3545"</f>
        <v>Serv.Prest. 22/09/2025 a 28/09/2025 - RPS: 1310 - NFSe: 3545</v>
      </c>
      <c r="H5784" t="str">
        <f t="shared" si="2701"/>
        <v>02/10/2025</v>
      </c>
      <c r="I5784" t="str">
        <f t="shared" si="2702"/>
        <v>30/09/2025</v>
      </c>
      <c r="J5784" t="str">
        <f t="shared" si="2703"/>
        <v>02/10/2025</v>
      </c>
      <c r="K5784">
        <v>240</v>
      </c>
      <c r="L5784">
        <v>240</v>
      </c>
      <c r="M5784">
        <v>303</v>
      </c>
      <c r="N5784" t="str">
        <f t="shared" si="2704"/>
        <v>RECEITAS COM ENTREGAS</v>
      </c>
      <c r="O5784">
        <v>240</v>
      </c>
      <c r="R5784" t="str">
        <f t="shared" si="2705"/>
        <v>RECEITAS COM ENTREGAS (303)</v>
      </c>
      <c r="S5784">
        <v>2610</v>
      </c>
      <c r="T5784">
        <v>2203</v>
      </c>
      <c r="U5784" t="s">
        <v>19</v>
      </c>
    </row>
    <row r="5785" spans="1:21">
      <c r="A5785" t="str">
        <f t="shared" si="2698"/>
        <v>02/10/2025</v>
      </c>
      <c r="B5785" t="str">
        <f t="shared" si="2706"/>
        <v>ENTRADA</v>
      </c>
      <c r="C5785" t="str">
        <f t="shared" si="2699"/>
        <v>NFSE</v>
      </c>
      <c r="D5785" t="str">
        <f>"3545"</f>
        <v>3545</v>
      </c>
      <c r="E5785" t="str">
        <f t="shared" si="2700"/>
        <v>COM</v>
      </c>
      <c r="F5785" t="str">
        <f>"PENSE FARMA 22 (10198)"</f>
        <v>PENSE FARMA 22 (10198)</v>
      </c>
      <c r="G5785" t="str">
        <f>"Serv.Prest. 22/09/2025 a 28/09/2025 - RPS: 1310 - NFSe: 3545"</f>
        <v>Serv.Prest. 22/09/2025 a 28/09/2025 - RPS: 1310 - NFSe: 3545</v>
      </c>
      <c r="H5785" t="str">
        <f t="shared" si="2701"/>
        <v>02/10/2025</v>
      </c>
      <c r="I5785" t="str">
        <f t="shared" si="2702"/>
        <v>30/09/2025</v>
      </c>
      <c r="J5785" t="str">
        <f t="shared" si="2703"/>
        <v>02/10/2025</v>
      </c>
      <c r="M5785">
        <v>303</v>
      </c>
      <c r="N5785" t="str">
        <f t="shared" si="2704"/>
        <v>RECEITAS COM ENTREGAS</v>
      </c>
      <c r="P5785">
        <v>240</v>
      </c>
      <c r="Q5785" t="str">
        <f>"PENSE FARMA 22 (10198)"</f>
        <v>PENSE FARMA 22 (10198)</v>
      </c>
      <c r="R5785" t="str">
        <f t="shared" si="2705"/>
        <v>RECEITAS COM ENTREGAS (303)</v>
      </c>
      <c r="S5785">
        <v>2610</v>
      </c>
      <c r="T5785">
        <v>2203</v>
      </c>
      <c r="U5785" t="s">
        <v>19</v>
      </c>
    </row>
    <row r="5786" spans="1:21">
      <c r="A5786" t="str">
        <f t="shared" si="2698"/>
        <v>02/10/2025</v>
      </c>
      <c r="B5786" t="str">
        <f>"SAÍDA"</f>
        <v>SAÍDA</v>
      </c>
      <c r="C5786" t="str">
        <f>"JUROS"</f>
        <v>JUROS</v>
      </c>
      <c r="D5786" t="str">
        <f>""</f>
        <v/>
      </c>
      <c r="E5786" t="str">
        <f>"CXA"</f>
        <v>CXA</v>
      </c>
      <c r="F5786" t="str">
        <f>""</f>
        <v/>
      </c>
      <c r="G5786" t="str">
        <f>"TARIFA BANCARIA BANCO CORA"</f>
        <v>TARIFA BANCARIA BANCO CORA</v>
      </c>
      <c r="H5786" t="str">
        <f t="shared" si="2701"/>
        <v>02/10/2025</v>
      </c>
      <c r="I5786" t="str">
        <f>("02/10/2025")</f>
        <v>02/10/2025</v>
      </c>
      <c r="J5786" t="str">
        <f t="shared" si="2703"/>
        <v>02/10/2025</v>
      </c>
      <c r="K5786">
        <v>28.9</v>
      </c>
      <c r="L5786">
        <v>28.9</v>
      </c>
      <c r="M5786">
        <v>401</v>
      </c>
      <c r="N5786" t="str">
        <f>"IOF/JUROS/DESP.FINANCEIRA"</f>
        <v>IOF/JUROS/DESP.FINANCEIRA</v>
      </c>
      <c r="O5786">
        <v>28.9</v>
      </c>
      <c r="R5786" t="str">
        <f>"BANCO CORA (102)"</f>
        <v>BANCO CORA (102)</v>
      </c>
      <c r="S5786">
        <v>2611</v>
      </c>
      <c r="T5786">
        <v>0</v>
      </c>
      <c r="U5786" t="s">
        <v>20</v>
      </c>
    </row>
    <row r="5787" spans="1:21">
      <c r="A5787" t="str">
        <f t="shared" si="2698"/>
        <v>02/10/2025</v>
      </c>
      <c r="B5787" t="str">
        <f>"ENTRADA"</f>
        <v>ENTRADA</v>
      </c>
      <c r="C5787" t="str">
        <f t="shared" ref="C5787:C5816" si="2707">"NFSE"</f>
        <v>NFSE</v>
      </c>
      <c r="D5787" t="str">
        <f>"3516"</f>
        <v>3516</v>
      </c>
      <c r="E5787" t="str">
        <f t="shared" ref="E5787:E5834" si="2708">"COM"</f>
        <v>COM</v>
      </c>
      <c r="F5787" t="str">
        <f>"AC FARMA - CID.ALTA (10166)"</f>
        <v>AC FARMA - CID.ALTA (10166)</v>
      </c>
      <c r="G5787" t="str">
        <f>"Serv.Prest. 15/09/2025 a 21/09/2025 - RPS: 1281 - NFSe: 3516"</f>
        <v>Serv.Prest. 15/09/2025 a 21/09/2025 - RPS: 1281 - NFSe: 3516</v>
      </c>
      <c r="H5787" t="str">
        <f t="shared" ref="H5787:H5816" si="2709">("01/10/2025")</f>
        <v>01/10/2025</v>
      </c>
      <c r="I5787" t="str">
        <f t="shared" ref="I5787:I5794" si="2710">("24/09/2025")</f>
        <v>24/09/2025</v>
      </c>
      <c r="J5787" t="str">
        <f t="shared" si="2703"/>
        <v>02/10/2025</v>
      </c>
      <c r="K5787">
        <v>1058.4000000000001</v>
      </c>
      <c r="L5787">
        <v>1058.4000000000001</v>
      </c>
      <c r="M5787">
        <v>303</v>
      </c>
      <c r="N5787" t="str">
        <f t="shared" ref="N5787:N5816" si="2711">"RECEITAS COM ENTREGAS"</f>
        <v>RECEITAS COM ENTREGAS</v>
      </c>
      <c r="O5787">
        <v>1058.4000000000001</v>
      </c>
      <c r="R5787" t="str">
        <f t="shared" ref="R5787:R5816" si="2712">"RECEITAS COM ENTREGAS (303)"</f>
        <v>RECEITAS COM ENTREGAS (303)</v>
      </c>
      <c r="S5787">
        <v>2612</v>
      </c>
      <c r="T5787">
        <v>2165</v>
      </c>
      <c r="U5787" t="s">
        <v>19</v>
      </c>
    </row>
    <row r="5788" spans="1:21">
      <c r="A5788" t="str">
        <f t="shared" si="2698"/>
        <v>02/10/2025</v>
      </c>
      <c r="B5788" t="str">
        <f t="shared" ref="B5788:B5816" si="2713">"ENTRADA"</f>
        <v>ENTRADA</v>
      </c>
      <c r="C5788" t="str">
        <f t="shared" si="2707"/>
        <v>NFSE</v>
      </c>
      <c r="D5788" t="str">
        <f>"3516"</f>
        <v>3516</v>
      </c>
      <c r="E5788" t="str">
        <f t="shared" si="2708"/>
        <v>COM</v>
      </c>
      <c r="F5788" t="str">
        <f>"AC FARMA - CID.ALTA (10166)"</f>
        <v>AC FARMA - CID.ALTA (10166)</v>
      </c>
      <c r="G5788" t="str">
        <f>"Serv.Prest. 15/09/2025 a 21/09/2025 - RPS: 1281 - NFSe: 3516"</f>
        <v>Serv.Prest. 15/09/2025 a 21/09/2025 - RPS: 1281 - NFSe: 3516</v>
      </c>
      <c r="H5788" t="str">
        <f t="shared" si="2709"/>
        <v>01/10/2025</v>
      </c>
      <c r="I5788" t="str">
        <f t="shared" si="2710"/>
        <v>24/09/2025</v>
      </c>
      <c r="J5788" t="str">
        <f t="shared" si="2703"/>
        <v>02/10/2025</v>
      </c>
      <c r="M5788">
        <v>303</v>
      </c>
      <c r="N5788" t="str">
        <f t="shared" si="2711"/>
        <v>RECEITAS COM ENTREGAS</v>
      </c>
      <c r="P5788">
        <v>1058.4000000000001</v>
      </c>
      <c r="Q5788" t="str">
        <f>"AC FARMA - CID.ALTA (10166)"</f>
        <v>AC FARMA - CID.ALTA (10166)</v>
      </c>
      <c r="R5788" t="str">
        <f t="shared" si="2712"/>
        <v>RECEITAS COM ENTREGAS (303)</v>
      </c>
      <c r="S5788">
        <v>2612</v>
      </c>
      <c r="T5788">
        <v>2165</v>
      </c>
      <c r="U5788" t="s">
        <v>19</v>
      </c>
    </row>
    <row r="5789" spans="1:21">
      <c r="A5789" t="str">
        <f t="shared" si="2698"/>
        <v>02/10/2025</v>
      </c>
      <c r="B5789" t="str">
        <f t="shared" si="2713"/>
        <v>ENTRADA</v>
      </c>
      <c r="C5789" t="str">
        <f t="shared" si="2707"/>
        <v>NFSE</v>
      </c>
      <c r="D5789" t="str">
        <f>"3517"</f>
        <v>3517</v>
      </c>
      <c r="E5789" t="str">
        <f t="shared" si="2708"/>
        <v>COM</v>
      </c>
      <c r="F5789" t="str">
        <f>"AC FARMA - FLEMINFARMA (10160)"</f>
        <v>AC FARMA - FLEMINFARMA (10160)</v>
      </c>
      <c r="G5789" t="str">
        <f>"Serv.Prest. 15/09/2025 a 21/09/2025 - RPS: 1282 - NFSe: 3517"</f>
        <v>Serv.Prest. 15/09/2025 a 21/09/2025 - RPS: 1282 - NFSe: 3517</v>
      </c>
      <c r="H5789" t="str">
        <f t="shared" si="2709"/>
        <v>01/10/2025</v>
      </c>
      <c r="I5789" t="str">
        <f t="shared" si="2710"/>
        <v>24/09/2025</v>
      </c>
      <c r="J5789" t="str">
        <f t="shared" si="2703"/>
        <v>02/10/2025</v>
      </c>
      <c r="K5789">
        <v>253.8</v>
      </c>
      <c r="L5789">
        <v>253.8</v>
      </c>
      <c r="M5789">
        <v>303</v>
      </c>
      <c r="N5789" t="str">
        <f t="shared" si="2711"/>
        <v>RECEITAS COM ENTREGAS</v>
      </c>
      <c r="O5789">
        <v>253.8</v>
      </c>
      <c r="R5789" t="str">
        <f t="shared" si="2712"/>
        <v>RECEITAS COM ENTREGAS (303)</v>
      </c>
      <c r="S5789">
        <v>2613</v>
      </c>
      <c r="T5789">
        <v>2166</v>
      </c>
      <c r="U5789" t="s">
        <v>19</v>
      </c>
    </row>
    <row r="5790" spans="1:21">
      <c r="A5790" t="str">
        <f t="shared" si="2698"/>
        <v>02/10/2025</v>
      </c>
      <c r="B5790" t="str">
        <f t="shared" si="2713"/>
        <v>ENTRADA</v>
      </c>
      <c r="C5790" t="str">
        <f t="shared" si="2707"/>
        <v>NFSE</v>
      </c>
      <c r="D5790" t="str">
        <f>"3517"</f>
        <v>3517</v>
      </c>
      <c r="E5790" t="str">
        <f t="shared" si="2708"/>
        <v>COM</v>
      </c>
      <c r="F5790" t="str">
        <f>"AC FARMA - FLEMINFARMA (10160)"</f>
        <v>AC FARMA - FLEMINFARMA (10160)</v>
      </c>
      <c r="G5790" t="str">
        <f>"Serv.Prest. 15/09/2025 a 21/09/2025 - RPS: 1282 - NFSe: 3517"</f>
        <v>Serv.Prest. 15/09/2025 a 21/09/2025 - RPS: 1282 - NFSe: 3517</v>
      </c>
      <c r="H5790" t="str">
        <f t="shared" si="2709"/>
        <v>01/10/2025</v>
      </c>
      <c r="I5790" t="str">
        <f t="shared" si="2710"/>
        <v>24/09/2025</v>
      </c>
      <c r="J5790" t="str">
        <f t="shared" si="2703"/>
        <v>02/10/2025</v>
      </c>
      <c r="M5790">
        <v>303</v>
      </c>
      <c r="N5790" t="str">
        <f t="shared" si="2711"/>
        <v>RECEITAS COM ENTREGAS</v>
      </c>
      <c r="P5790">
        <v>244.36</v>
      </c>
      <c r="Q5790" t="str">
        <f>"AC FARMA -  FLEMINFARMA (10159)"</f>
        <v>AC FARMA -  FLEMINFARMA (10159)</v>
      </c>
      <c r="R5790" t="str">
        <f t="shared" si="2712"/>
        <v>RECEITAS COM ENTREGAS (303)</v>
      </c>
      <c r="S5790">
        <v>2613</v>
      </c>
      <c r="T5790">
        <v>2166</v>
      </c>
      <c r="U5790" t="s">
        <v>19</v>
      </c>
    </row>
    <row r="5791" spans="1:21">
      <c r="A5791" t="str">
        <f t="shared" si="2698"/>
        <v>02/10/2025</v>
      </c>
      <c r="B5791" t="str">
        <f t="shared" si="2713"/>
        <v>ENTRADA</v>
      </c>
      <c r="C5791" t="str">
        <f t="shared" si="2707"/>
        <v>NFSE</v>
      </c>
      <c r="D5791" t="str">
        <f>"3517"</f>
        <v>3517</v>
      </c>
      <c r="E5791" t="str">
        <f t="shared" si="2708"/>
        <v>COM</v>
      </c>
      <c r="F5791" t="str">
        <f>"AC FARMA - FLEMINFARMA (10160)"</f>
        <v>AC FARMA - FLEMINFARMA (10160)</v>
      </c>
      <c r="G5791" t="str">
        <f>"Serv.Prest. 15/09/2025 a 21/09/2025 - RPS: 1282 - NFSe: 3517"</f>
        <v>Serv.Prest. 15/09/2025 a 21/09/2025 - RPS: 1282 - NFSe: 3517</v>
      </c>
      <c r="H5791" t="str">
        <f t="shared" si="2709"/>
        <v>01/10/2025</v>
      </c>
      <c r="I5791" t="str">
        <f t="shared" si="2710"/>
        <v>24/09/2025</v>
      </c>
      <c r="J5791" t="str">
        <f t="shared" si="2703"/>
        <v>02/10/2025</v>
      </c>
      <c r="M5791">
        <v>303</v>
      </c>
      <c r="N5791" t="str">
        <f t="shared" si="2711"/>
        <v>RECEITAS COM ENTREGAS</v>
      </c>
      <c r="P5791">
        <v>9.44</v>
      </c>
      <c r="Q5791" t="str">
        <f>"AC FARMA - FLEMINFARMA (10160)"</f>
        <v>AC FARMA - FLEMINFARMA (10160)</v>
      </c>
      <c r="R5791" t="str">
        <f t="shared" si="2712"/>
        <v>RECEITAS COM ENTREGAS (303)</v>
      </c>
      <c r="S5791">
        <v>2613</v>
      </c>
      <c r="T5791">
        <v>2166</v>
      </c>
      <c r="U5791" t="s">
        <v>19</v>
      </c>
    </row>
    <row r="5792" spans="1:21">
      <c r="A5792" t="str">
        <f t="shared" si="2698"/>
        <v>02/10/2025</v>
      </c>
      <c r="B5792" t="str">
        <f t="shared" si="2713"/>
        <v>ENTRADA</v>
      </c>
      <c r="C5792" t="str">
        <f t="shared" si="2707"/>
        <v>NFSE</v>
      </c>
      <c r="D5792" t="str">
        <f>"3518"</f>
        <v>3518</v>
      </c>
      <c r="E5792" t="str">
        <f t="shared" si="2708"/>
        <v>COM</v>
      </c>
      <c r="F5792" t="str">
        <f>"AC FARMA - FLEMINFARMA 5 (10183)"</f>
        <v>AC FARMA - FLEMINFARMA 5 (10183)</v>
      </c>
      <c r="G5792" t="str">
        <f>"Serv.Prest. 15/09/2025 a 21/09/2025 - RPS: 1283 - NFSe: 3518"</f>
        <v>Serv.Prest. 15/09/2025 a 21/09/2025 - RPS: 1283 - NFSe: 3518</v>
      </c>
      <c r="H5792" t="str">
        <f t="shared" si="2709"/>
        <v>01/10/2025</v>
      </c>
      <c r="I5792" t="str">
        <f t="shared" si="2710"/>
        <v>24/09/2025</v>
      </c>
      <c r="J5792" t="str">
        <f t="shared" si="2703"/>
        <v>02/10/2025</v>
      </c>
      <c r="K5792">
        <v>116.1</v>
      </c>
      <c r="L5792">
        <v>116.1</v>
      </c>
      <c r="M5792">
        <v>303</v>
      </c>
      <c r="N5792" t="str">
        <f t="shared" si="2711"/>
        <v>RECEITAS COM ENTREGAS</v>
      </c>
      <c r="O5792">
        <v>116.1</v>
      </c>
      <c r="R5792" t="str">
        <f t="shared" si="2712"/>
        <v>RECEITAS COM ENTREGAS (303)</v>
      </c>
      <c r="S5792">
        <v>2614</v>
      </c>
      <c r="T5792">
        <v>2167</v>
      </c>
      <c r="U5792" t="s">
        <v>19</v>
      </c>
    </row>
    <row r="5793" spans="1:21">
      <c r="A5793" t="str">
        <f t="shared" si="2698"/>
        <v>02/10/2025</v>
      </c>
      <c r="B5793" t="str">
        <f t="shared" si="2713"/>
        <v>ENTRADA</v>
      </c>
      <c r="C5793" t="str">
        <f t="shared" si="2707"/>
        <v>NFSE</v>
      </c>
      <c r="D5793" t="str">
        <f>"3518"</f>
        <v>3518</v>
      </c>
      <c r="E5793" t="str">
        <f t="shared" si="2708"/>
        <v>COM</v>
      </c>
      <c r="F5793" t="str">
        <f>"AC FARMA - FLEMINFARMA 5 (10183)"</f>
        <v>AC FARMA - FLEMINFARMA 5 (10183)</v>
      </c>
      <c r="G5793" t="str">
        <f>"Serv.Prest. 15/09/2025 a 21/09/2025 - RPS: 1283 - NFSe: 3518"</f>
        <v>Serv.Prest. 15/09/2025 a 21/09/2025 - RPS: 1283 - NFSe: 3518</v>
      </c>
      <c r="H5793" t="str">
        <f t="shared" si="2709"/>
        <v>01/10/2025</v>
      </c>
      <c r="I5793" t="str">
        <f t="shared" si="2710"/>
        <v>24/09/2025</v>
      </c>
      <c r="J5793" t="str">
        <f t="shared" si="2703"/>
        <v>02/10/2025</v>
      </c>
      <c r="M5793">
        <v>303</v>
      </c>
      <c r="N5793" t="str">
        <f t="shared" si="2711"/>
        <v>RECEITAS COM ENTREGAS</v>
      </c>
      <c r="P5793">
        <v>103.94</v>
      </c>
      <c r="Q5793" t="str">
        <f>"AC FARMA - FLEMINFARMA 5 (10183)"</f>
        <v>AC FARMA - FLEMINFARMA 5 (10183)</v>
      </c>
      <c r="R5793" t="str">
        <f t="shared" si="2712"/>
        <v>RECEITAS COM ENTREGAS (303)</v>
      </c>
      <c r="S5793">
        <v>2614</v>
      </c>
      <c r="T5793">
        <v>2167</v>
      </c>
      <c r="U5793" t="s">
        <v>19</v>
      </c>
    </row>
    <row r="5794" spans="1:21">
      <c r="A5794" t="str">
        <f t="shared" si="2698"/>
        <v>02/10/2025</v>
      </c>
      <c r="B5794" t="str">
        <f t="shared" si="2713"/>
        <v>ENTRADA</v>
      </c>
      <c r="C5794" t="str">
        <f t="shared" si="2707"/>
        <v>NFSE</v>
      </c>
      <c r="D5794" t="str">
        <f>"3518"</f>
        <v>3518</v>
      </c>
      <c r="E5794" t="str">
        <f t="shared" si="2708"/>
        <v>COM</v>
      </c>
      <c r="F5794" t="str">
        <f>"AC FARMA - FLEMINFARMA 5 (10183)"</f>
        <v>AC FARMA - FLEMINFARMA 5 (10183)</v>
      </c>
      <c r="G5794" t="str">
        <f>"Serv.Prest. 15/09/2025 a 21/09/2025 - RPS: 1283 - NFSe: 3518"</f>
        <v>Serv.Prest. 15/09/2025 a 21/09/2025 - RPS: 1283 - NFSe: 3518</v>
      </c>
      <c r="H5794" t="str">
        <f t="shared" si="2709"/>
        <v>01/10/2025</v>
      </c>
      <c r="I5794" t="str">
        <f t="shared" si="2710"/>
        <v>24/09/2025</v>
      </c>
      <c r="J5794" t="str">
        <f t="shared" si="2703"/>
        <v>02/10/2025</v>
      </c>
      <c r="M5794">
        <v>303</v>
      </c>
      <c r="N5794" t="str">
        <f t="shared" si="2711"/>
        <v>RECEITAS COM ENTREGAS</v>
      </c>
      <c r="P5794">
        <v>12.16</v>
      </c>
      <c r="Q5794" t="str">
        <f>"AC FARMA - FLEMINFARMA 6 (10184)"</f>
        <v>AC FARMA - FLEMINFARMA 6 (10184)</v>
      </c>
      <c r="R5794" t="str">
        <f t="shared" si="2712"/>
        <v>RECEITAS COM ENTREGAS (303)</v>
      </c>
      <c r="S5794">
        <v>2614</v>
      </c>
      <c r="T5794">
        <v>2167</v>
      </c>
      <c r="U5794" t="s">
        <v>19</v>
      </c>
    </row>
    <row r="5795" spans="1:21">
      <c r="A5795" t="str">
        <f t="shared" si="2698"/>
        <v>02/10/2025</v>
      </c>
      <c r="B5795" t="str">
        <f t="shared" si="2713"/>
        <v>ENTRADA</v>
      </c>
      <c r="C5795" t="str">
        <f t="shared" si="2707"/>
        <v>NFSE</v>
      </c>
      <c r="D5795" t="str">
        <f>"3523"</f>
        <v>3523</v>
      </c>
      <c r="E5795" t="str">
        <f t="shared" si="2708"/>
        <v>COM</v>
      </c>
      <c r="F5795" t="str">
        <f>"BRASIL FARMA (10173)"</f>
        <v>BRASIL FARMA (10173)</v>
      </c>
      <c r="G5795" t="str">
        <f>"Serv.Prest. 22/09/2025 a 28/09/2025 - RPS: 1288 - NFSe: 3523"</f>
        <v>Serv.Prest. 22/09/2025 a 28/09/2025 - RPS: 1288 - NFSe: 3523</v>
      </c>
      <c r="H5795" t="str">
        <f t="shared" si="2709"/>
        <v>01/10/2025</v>
      </c>
      <c r="I5795" t="str">
        <f t="shared" ref="I5795:I5814" si="2714">("29/09/2025")</f>
        <v>29/09/2025</v>
      </c>
      <c r="J5795" t="str">
        <f t="shared" si="2703"/>
        <v>02/10/2025</v>
      </c>
      <c r="K5795">
        <v>320.95999999999998</v>
      </c>
      <c r="L5795">
        <v>320.95999999999998</v>
      </c>
      <c r="M5795">
        <v>303</v>
      </c>
      <c r="N5795" t="str">
        <f t="shared" si="2711"/>
        <v>RECEITAS COM ENTREGAS</v>
      </c>
      <c r="O5795">
        <v>320.95999999999998</v>
      </c>
      <c r="R5795" t="str">
        <f t="shared" si="2712"/>
        <v>RECEITAS COM ENTREGAS (303)</v>
      </c>
      <c r="S5795">
        <v>2615</v>
      </c>
      <c r="T5795">
        <v>2181</v>
      </c>
      <c r="U5795" t="s">
        <v>19</v>
      </c>
    </row>
    <row r="5796" spans="1:21">
      <c r="A5796" t="str">
        <f t="shared" si="2698"/>
        <v>02/10/2025</v>
      </c>
      <c r="B5796" t="str">
        <f t="shared" si="2713"/>
        <v>ENTRADA</v>
      </c>
      <c r="C5796" t="str">
        <f t="shared" si="2707"/>
        <v>NFSE</v>
      </c>
      <c r="D5796" t="str">
        <f>"3523"</f>
        <v>3523</v>
      </c>
      <c r="E5796" t="str">
        <f t="shared" si="2708"/>
        <v>COM</v>
      </c>
      <c r="F5796" t="str">
        <f>"BRASIL FARMA (10173)"</f>
        <v>BRASIL FARMA (10173)</v>
      </c>
      <c r="G5796" t="str">
        <f>"Serv.Prest. 22/09/2025 a 28/09/2025 - RPS: 1288 - NFSe: 3523"</f>
        <v>Serv.Prest. 22/09/2025 a 28/09/2025 - RPS: 1288 - NFSe: 3523</v>
      </c>
      <c r="H5796" t="str">
        <f t="shared" si="2709"/>
        <v>01/10/2025</v>
      </c>
      <c r="I5796" t="str">
        <f t="shared" si="2714"/>
        <v>29/09/2025</v>
      </c>
      <c r="J5796" t="str">
        <f t="shared" si="2703"/>
        <v>02/10/2025</v>
      </c>
      <c r="M5796">
        <v>303</v>
      </c>
      <c r="N5796" t="str">
        <f t="shared" si="2711"/>
        <v>RECEITAS COM ENTREGAS</v>
      </c>
      <c r="P5796">
        <v>320.95999999999998</v>
      </c>
      <c r="Q5796" t="str">
        <f>"BRASIL FARMA (10173)"</f>
        <v>BRASIL FARMA (10173)</v>
      </c>
      <c r="R5796" t="str">
        <f t="shared" si="2712"/>
        <v>RECEITAS COM ENTREGAS (303)</v>
      </c>
      <c r="S5796">
        <v>2615</v>
      </c>
      <c r="T5796">
        <v>2181</v>
      </c>
      <c r="U5796" t="s">
        <v>19</v>
      </c>
    </row>
    <row r="5797" spans="1:21">
      <c r="A5797" t="str">
        <f t="shared" si="2698"/>
        <v>02/10/2025</v>
      </c>
      <c r="B5797" t="str">
        <f t="shared" si="2713"/>
        <v>ENTRADA</v>
      </c>
      <c r="C5797" t="str">
        <f t="shared" si="2707"/>
        <v>NFSE</v>
      </c>
      <c r="D5797" t="str">
        <f>"3526"</f>
        <v>3526</v>
      </c>
      <c r="E5797" t="str">
        <f t="shared" si="2708"/>
        <v>COM</v>
      </c>
      <c r="F5797" t="str">
        <f>"DROGARIA TOTAL JUNDIAI (10177)"</f>
        <v>DROGARIA TOTAL JUNDIAI (10177)</v>
      </c>
      <c r="G5797" t="str">
        <f>"Serv.Prest. 22/09/2025 a 28/09/2025 - RPS: 1291 - NFSe: 3526"</f>
        <v>Serv.Prest. 22/09/2025 a 28/09/2025 - RPS: 1291 - NFSe: 3526</v>
      </c>
      <c r="H5797" t="str">
        <f t="shared" si="2709"/>
        <v>01/10/2025</v>
      </c>
      <c r="I5797" t="str">
        <f t="shared" si="2714"/>
        <v>29/09/2025</v>
      </c>
      <c r="J5797" t="str">
        <f t="shared" si="2703"/>
        <v>02/10/2025</v>
      </c>
      <c r="K5797">
        <v>100.27</v>
      </c>
      <c r="L5797">
        <v>100.27</v>
      </c>
      <c r="M5797">
        <v>303</v>
      </c>
      <c r="N5797" t="str">
        <f t="shared" si="2711"/>
        <v>RECEITAS COM ENTREGAS</v>
      </c>
      <c r="O5797">
        <v>100.27</v>
      </c>
      <c r="R5797" t="str">
        <f t="shared" si="2712"/>
        <v>RECEITAS COM ENTREGAS (303)</v>
      </c>
      <c r="S5797">
        <v>2616</v>
      </c>
      <c r="T5797">
        <v>2184</v>
      </c>
      <c r="U5797" t="s">
        <v>19</v>
      </c>
    </row>
    <row r="5798" spans="1:21">
      <c r="A5798" t="str">
        <f t="shared" si="2698"/>
        <v>02/10/2025</v>
      </c>
      <c r="B5798" t="str">
        <f t="shared" si="2713"/>
        <v>ENTRADA</v>
      </c>
      <c r="C5798" t="str">
        <f t="shared" si="2707"/>
        <v>NFSE</v>
      </c>
      <c r="D5798" t="str">
        <f>"3526"</f>
        <v>3526</v>
      </c>
      <c r="E5798" t="str">
        <f t="shared" si="2708"/>
        <v>COM</v>
      </c>
      <c r="F5798" t="str">
        <f>"DROGARIA TOTAL JUNDIAI (10177)"</f>
        <v>DROGARIA TOTAL JUNDIAI (10177)</v>
      </c>
      <c r="G5798" t="str">
        <f>"Serv.Prest. 22/09/2025 a 28/09/2025 - RPS: 1291 - NFSe: 3526"</f>
        <v>Serv.Prest. 22/09/2025 a 28/09/2025 - RPS: 1291 - NFSe: 3526</v>
      </c>
      <c r="H5798" t="str">
        <f t="shared" si="2709"/>
        <v>01/10/2025</v>
      </c>
      <c r="I5798" t="str">
        <f t="shared" si="2714"/>
        <v>29/09/2025</v>
      </c>
      <c r="J5798" t="str">
        <f t="shared" si="2703"/>
        <v>02/10/2025</v>
      </c>
      <c r="M5798">
        <v>303</v>
      </c>
      <c r="N5798" t="str">
        <f t="shared" si="2711"/>
        <v>RECEITAS COM ENTREGAS</v>
      </c>
      <c r="P5798">
        <v>100.27</v>
      </c>
      <c r="Q5798" t="str">
        <f>"DROGARIA TOTAL JUNDIAI (10177)"</f>
        <v>DROGARIA TOTAL JUNDIAI (10177)</v>
      </c>
      <c r="R5798" t="str">
        <f t="shared" si="2712"/>
        <v>RECEITAS COM ENTREGAS (303)</v>
      </c>
      <c r="S5798">
        <v>2616</v>
      </c>
      <c r="T5798">
        <v>2184</v>
      </c>
      <c r="U5798" t="s">
        <v>19</v>
      </c>
    </row>
    <row r="5799" spans="1:21">
      <c r="A5799" t="str">
        <f t="shared" si="2698"/>
        <v>02/10/2025</v>
      </c>
      <c r="B5799" t="str">
        <f t="shared" si="2713"/>
        <v>ENTRADA</v>
      </c>
      <c r="C5799" t="str">
        <f t="shared" si="2707"/>
        <v>NFSE</v>
      </c>
      <c r="D5799" t="str">
        <f>"3529"</f>
        <v>3529</v>
      </c>
      <c r="E5799" t="str">
        <f t="shared" si="2708"/>
        <v>COM</v>
      </c>
      <c r="F5799" t="str">
        <f>"FARMACIA ECONOMIZE (10103)"</f>
        <v>FARMACIA ECONOMIZE (10103)</v>
      </c>
      <c r="G5799" t="str">
        <f>"Serv.Prest. 22/09/2025 a 28/09/2025 - RPS: 1294 - NFSe: 3529"</f>
        <v>Serv.Prest. 22/09/2025 a 28/09/2025 - RPS: 1294 - NFSe: 3529</v>
      </c>
      <c r="H5799" t="str">
        <f t="shared" si="2709"/>
        <v>01/10/2025</v>
      </c>
      <c r="I5799" t="str">
        <f t="shared" si="2714"/>
        <v>29/09/2025</v>
      </c>
      <c r="J5799" t="str">
        <f t="shared" si="2703"/>
        <v>02/10/2025</v>
      </c>
      <c r="K5799">
        <v>22.08</v>
      </c>
      <c r="L5799">
        <v>22.08</v>
      </c>
      <c r="M5799">
        <v>303</v>
      </c>
      <c r="N5799" t="str">
        <f t="shared" si="2711"/>
        <v>RECEITAS COM ENTREGAS</v>
      </c>
      <c r="O5799">
        <v>22.08</v>
      </c>
      <c r="R5799" t="str">
        <f t="shared" si="2712"/>
        <v>RECEITAS COM ENTREGAS (303)</v>
      </c>
      <c r="S5799">
        <v>2617</v>
      </c>
      <c r="T5799">
        <v>2187</v>
      </c>
      <c r="U5799" t="s">
        <v>19</v>
      </c>
    </row>
    <row r="5800" spans="1:21">
      <c r="A5800" t="str">
        <f t="shared" si="2698"/>
        <v>02/10/2025</v>
      </c>
      <c r="B5800" t="str">
        <f t="shared" si="2713"/>
        <v>ENTRADA</v>
      </c>
      <c r="C5800" t="str">
        <f t="shared" si="2707"/>
        <v>NFSE</v>
      </c>
      <c r="D5800" t="str">
        <f>"3529"</f>
        <v>3529</v>
      </c>
      <c r="E5800" t="str">
        <f t="shared" si="2708"/>
        <v>COM</v>
      </c>
      <c r="F5800" t="str">
        <f>"FARMACIA ECONOMIZE (10103)"</f>
        <v>FARMACIA ECONOMIZE (10103)</v>
      </c>
      <c r="G5800" t="str">
        <f>"Serv.Prest. 22/09/2025 a 28/09/2025 - RPS: 1294 - NFSe: 3529"</f>
        <v>Serv.Prest. 22/09/2025 a 28/09/2025 - RPS: 1294 - NFSe: 3529</v>
      </c>
      <c r="H5800" t="str">
        <f t="shared" si="2709"/>
        <v>01/10/2025</v>
      </c>
      <c r="I5800" t="str">
        <f t="shared" si="2714"/>
        <v>29/09/2025</v>
      </c>
      <c r="J5800" t="str">
        <f t="shared" si="2703"/>
        <v>02/10/2025</v>
      </c>
      <c r="M5800">
        <v>303</v>
      </c>
      <c r="N5800" t="str">
        <f t="shared" si="2711"/>
        <v>RECEITAS COM ENTREGAS</v>
      </c>
      <c r="P5800">
        <v>22.08</v>
      </c>
      <c r="Q5800" t="str">
        <f>"FARMACIA ECONOMIZE (10103)"</f>
        <v>FARMACIA ECONOMIZE (10103)</v>
      </c>
      <c r="R5800" t="str">
        <f t="shared" si="2712"/>
        <v>RECEITAS COM ENTREGAS (303)</v>
      </c>
      <c r="S5800">
        <v>2617</v>
      </c>
      <c r="T5800">
        <v>2187</v>
      </c>
      <c r="U5800" t="s">
        <v>19</v>
      </c>
    </row>
    <row r="5801" spans="1:21">
      <c r="A5801" t="str">
        <f t="shared" si="2698"/>
        <v>02/10/2025</v>
      </c>
      <c r="B5801" t="str">
        <f t="shared" si="2713"/>
        <v>ENTRADA</v>
      </c>
      <c r="C5801" t="str">
        <f t="shared" si="2707"/>
        <v>NFSE</v>
      </c>
      <c r="D5801" t="str">
        <f>"3530"</f>
        <v>3530</v>
      </c>
      <c r="E5801" t="str">
        <f t="shared" si="2708"/>
        <v>COM</v>
      </c>
      <c r="F5801" t="str">
        <f>"DROGARIA ANA VISCONDE DO RIO BRANCO (10182)"</f>
        <v>DROGARIA ANA VISCONDE DO RIO BRANCO (10182)</v>
      </c>
      <c r="G5801" t="str">
        <f>"Serv.Prest. 22/09/2025 a 28/09/2025 - RPS: 1295 - NFSe: 3530"</f>
        <v>Serv.Prest. 22/09/2025 a 28/09/2025 - RPS: 1295 - NFSe: 3530</v>
      </c>
      <c r="H5801" t="str">
        <f t="shared" si="2709"/>
        <v>01/10/2025</v>
      </c>
      <c r="I5801" t="str">
        <f t="shared" si="2714"/>
        <v>29/09/2025</v>
      </c>
      <c r="J5801" t="str">
        <f t="shared" si="2703"/>
        <v>02/10/2025</v>
      </c>
      <c r="K5801">
        <v>845.28</v>
      </c>
      <c r="L5801">
        <v>845.28</v>
      </c>
      <c r="M5801">
        <v>303</v>
      </c>
      <c r="N5801" t="str">
        <f t="shared" si="2711"/>
        <v>RECEITAS COM ENTREGAS</v>
      </c>
      <c r="O5801">
        <v>845.28</v>
      </c>
      <c r="R5801" t="str">
        <f t="shared" si="2712"/>
        <v>RECEITAS COM ENTREGAS (303)</v>
      </c>
      <c r="S5801">
        <v>2618</v>
      </c>
      <c r="T5801">
        <v>2188</v>
      </c>
      <c r="U5801" t="s">
        <v>19</v>
      </c>
    </row>
    <row r="5802" spans="1:21">
      <c r="A5802" t="str">
        <f t="shared" si="2698"/>
        <v>02/10/2025</v>
      </c>
      <c r="B5802" t="str">
        <f t="shared" si="2713"/>
        <v>ENTRADA</v>
      </c>
      <c r="C5802" t="str">
        <f t="shared" si="2707"/>
        <v>NFSE</v>
      </c>
      <c r="D5802" t="str">
        <f>"3530"</f>
        <v>3530</v>
      </c>
      <c r="E5802" t="str">
        <f t="shared" si="2708"/>
        <v>COM</v>
      </c>
      <c r="F5802" t="str">
        <f>"DROGARIA ANA VISCONDE DO RIO BRANCO (10182)"</f>
        <v>DROGARIA ANA VISCONDE DO RIO BRANCO (10182)</v>
      </c>
      <c r="G5802" t="str">
        <f>"Serv.Prest. 22/09/2025 a 28/09/2025 - RPS: 1295 - NFSe: 3530"</f>
        <v>Serv.Prest. 22/09/2025 a 28/09/2025 - RPS: 1295 - NFSe: 3530</v>
      </c>
      <c r="H5802" t="str">
        <f t="shared" si="2709"/>
        <v>01/10/2025</v>
      </c>
      <c r="I5802" t="str">
        <f t="shared" si="2714"/>
        <v>29/09/2025</v>
      </c>
      <c r="J5802" t="str">
        <f t="shared" si="2703"/>
        <v>02/10/2025</v>
      </c>
      <c r="M5802">
        <v>303</v>
      </c>
      <c r="N5802" t="str">
        <f t="shared" si="2711"/>
        <v>RECEITAS COM ENTREGAS</v>
      </c>
      <c r="P5802">
        <v>845.28</v>
      </c>
      <c r="Q5802" t="str">
        <f>"DROGARIA ANA VISCONDE DO RIO BRANCO (10182)"</f>
        <v>DROGARIA ANA VISCONDE DO RIO BRANCO (10182)</v>
      </c>
      <c r="R5802" t="str">
        <f t="shared" si="2712"/>
        <v>RECEITAS COM ENTREGAS (303)</v>
      </c>
      <c r="S5802">
        <v>2618</v>
      </c>
      <c r="T5802">
        <v>2188</v>
      </c>
      <c r="U5802" t="s">
        <v>19</v>
      </c>
    </row>
    <row r="5803" spans="1:21">
      <c r="A5803" t="str">
        <f t="shared" si="2698"/>
        <v>02/10/2025</v>
      </c>
      <c r="B5803" t="str">
        <f t="shared" si="2713"/>
        <v>ENTRADA</v>
      </c>
      <c r="C5803" t="str">
        <f t="shared" si="2707"/>
        <v>NFSE</v>
      </c>
      <c r="D5803" t="str">
        <f>"3531"</f>
        <v>3531</v>
      </c>
      <c r="E5803" t="str">
        <f t="shared" si="2708"/>
        <v>COM</v>
      </c>
      <c r="F5803" t="str">
        <f>"DROGA ELIDA (10121)"</f>
        <v>DROGA ELIDA (10121)</v>
      </c>
      <c r="G5803" t="str">
        <f>"Serv.Prest. 22/09/2025 a 28/09/2025 - RPS: 1296 - NFSe: 3531"</f>
        <v>Serv.Prest. 22/09/2025 a 28/09/2025 - RPS: 1296 - NFSe: 3531</v>
      </c>
      <c r="H5803" t="str">
        <f t="shared" si="2709"/>
        <v>01/10/2025</v>
      </c>
      <c r="I5803" t="str">
        <f t="shared" si="2714"/>
        <v>29/09/2025</v>
      </c>
      <c r="J5803" t="str">
        <f t="shared" si="2703"/>
        <v>02/10/2025</v>
      </c>
      <c r="K5803">
        <v>350.4</v>
      </c>
      <c r="L5803">
        <v>350.4</v>
      </c>
      <c r="M5803">
        <v>303</v>
      </c>
      <c r="N5803" t="str">
        <f t="shared" si="2711"/>
        <v>RECEITAS COM ENTREGAS</v>
      </c>
      <c r="O5803">
        <v>350.4</v>
      </c>
      <c r="R5803" t="str">
        <f t="shared" si="2712"/>
        <v>RECEITAS COM ENTREGAS (303)</v>
      </c>
      <c r="S5803">
        <v>2619</v>
      </c>
      <c r="T5803">
        <v>2189</v>
      </c>
      <c r="U5803" t="s">
        <v>19</v>
      </c>
    </row>
    <row r="5804" spans="1:21">
      <c r="A5804" t="str">
        <f t="shared" si="2698"/>
        <v>02/10/2025</v>
      </c>
      <c r="B5804" t="str">
        <f t="shared" si="2713"/>
        <v>ENTRADA</v>
      </c>
      <c r="C5804" t="str">
        <f t="shared" si="2707"/>
        <v>NFSE</v>
      </c>
      <c r="D5804" t="str">
        <f>"3531"</f>
        <v>3531</v>
      </c>
      <c r="E5804" t="str">
        <f t="shared" si="2708"/>
        <v>COM</v>
      </c>
      <c r="F5804" t="str">
        <f>"DROGA ELIDA (10121)"</f>
        <v>DROGA ELIDA (10121)</v>
      </c>
      <c r="G5804" t="str">
        <f>"Serv.Prest. 22/09/2025 a 28/09/2025 - RPS: 1296 - NFSe: 3531"</f>
        <v>Serv.Prest. 22/09/2025 a 28/09/2025 - RPS: 1296 - NFSe: 3531</v>
      </c>
      <c r="H5804" t="str">
        <f t="shared" si="2709"/>
        <v>01/10/2025</v>
      </c>
      <c r="I5804" t="str">
        <f t="shared" si="2714"/>
        <v>29/09/2025</v>
      </c>
      <c r="J5804" t="str">
        <f t="shared" si="2703"/>
        <v>02/10/2025</v>
      </c>
      <c r="M5804">
        <v>303</v>
      </c>
      <c r="N5804" t="str">
        <f t="shared" si="2711"/>
        <v>RECEITAS COM ENTREGAS</v>
      </c>
      <c r="P5804">
        <v>350.4</v>
      </c>
      <c r="Q5804" t="str">
        <f>"DROGA ELIDA (10121)"</f>
        <v>DROGA ELIDA (10121)</v>
      </c>
      <c r="R5804" t="str">
        <f t="shared" si="2712"/>
        <v>RECEITAS COM ENTREGAS (303)</v>
      </c>
      <c r="S5804">
        <v>2619</v>
      </c>
      <c r="T5804">
        <v>2189</v>
      </c>
      <c r="U5804" t="s">
        <v>19</v>
      </c>
    </row>
    <row r="5805" spans="1:21">
      <c r="A5805" t="str">
        <f t="shared" si="2698"/>
        <v>02/10/2025</v>
      </c>
      <c r="B5805" t="str">
        <f t="shared" si="2713"/>
        <v>ENTRADA</v>
      </c>
      <c r="C5805" t="str">
        <f t="shared" si="2707"/>
        <v>NFSE</v>
      </c>
      <c r="D5805" t="str">
        <f>"3533"</f>
        <v>3533</v>
      </c>
      <c r="E5805" t="str">
        <f t="shared" si="2708"/>
        <v>COM</v>
      </c>
      <c r="F5805" t="str">
        <f>"DROGARIA MEDIC CENTER LTDA (10172)"</f>
        <v>DROGARIA MEDIC CENTER LTDA (10172)</v>
      </c>
      <c r="G5805" t="str">
        <f>"Serv.Prest. 22/09/2025 a 28/09/2025 - RPS: 1298 - NFSe: 3533"</f>
        <v>Serv.Prest. 22/09/2025 a 28/09/2025 - RPS: 1298 - NFSe: 3533</v>
      </c>
      <c r="H5805" t="str">
        <f t="shared" si="2709"/>
        <v>01/10/2025</v>
      </c>
      <c r="I5805" t="str">
        <f t="shared" si="2714"/>
        <v>29/09/2025</v>
      </c>
      <c r="J5805" t="str">
        <f t="shared" si="2703"/>
        <v>02/10/2025</v>
      </c>
      <c r="K5805">
        <v>154.80000000000001</v>
      </c>
      <c r="L5805">
        <v>154.80000000000001</v>
      </c>
      <c r="M5805">
        <v>303</v>
      </c>
      <c r="N5805" t="str">
        <f t="shared" si="2711"/>
        <v>RECEITAS COM ENTREGAS</v>
      </c>
      <c r="O5805">
        <v>154.80000000000001</v>
      </c>
      <c r="R5805" t="str">
        <f t="shared" si="2712"/>
        <v>RECEITAS COM ENTREGAS (303)</v>
      </c>
      <c r="S5805">
        <v>2620</v>
      </c>
      <c r="T5805">
        <v>2191</v>
      </c>
      <c r="U5805" t="s">
        <v>19</v>
      </c>
    </row>
    <row r="5806" spans="1:21">
      <c r="A5806" t="str">
        <f t="shared" si="2698"/>
        <v>02/10/2025</v>
      </c>
      <c r="B5806" t="str">
        <f t="shared" si="2713"/>
        <v>ENTRADA</v>
      </c>
      <c r="C5806" t="str">
        <f t="shared" si="2707"/>
        <v>NFSE</v>
      </c>
      <c r="D5806" t="str">
        <f>"3533"</f>
        <v>3533</v>
      </c>
      <c r="E5806" t="str">
        <f t="shared" si="2708"/>
        <v>COM</v>
      </c>
      <c r="F5806" t="str">
        <f>"DROGARIA MEDIC CENTER LTDA (10172)"</f>
        <v>DROGARIA MEDIC CENTER LTDA (10172)</v>
      </c>
      <c r="G5806" t="str">
        <f>"Serv.Prest. 22/09/2025 a 28/09/2025 - RPS: 1298 - NFSe: 3533"</f>
        <v>Serv.Prest. 22/09/2025 a 28/09/2025 - RPS: 1298 - NFSe: 3533</v>
      </c>
      <c r="H5806" t="str">
        <f t="shared" si="2709"/>
        <v>01/10/2025</v>
      </c>
      <c r="I5806" t="str">
        <f t="shared" si="2714"/>
        <v>29/09/2025</v>
      </c>
      <c r="J5806" t="str">
        <f t="shared" si="2703"/>
        <v>02/10/2025</v>
      </c>
      <c r="M5806">
        <v>303</v>
      </c>
      <c r="N5806" t="str">
        <f t="shared" si="2711"/>
        <v>RECEITAS COM ENTREGAS</v>
      </c>
      <c r="P5806">
        <v>154.80000000000001</v>
      </c>
      <c r="Q5806" t="str">
        <f>"DROGARIA MEDIC CENTER LTDA (10172)"</f>
        <v>DROGARIA MEDIC CENTER LTDA (10172)</v>
      </c>
      <c r="R5806" t="str">
        <f t="shared" si="2712"/>
        <v>RECEITAS COM ENTREGAS (303)</v>
      </c>
      <c r="S5806">
        <v>2620</v>
      </c>
      <c r="T5806">
        <v>2191</v>
      </c>
      <c r="U5806" t="s">
        <v>19</v>
      </c>
    </row>
    <row r="5807" spans="1:21">
      <c r="A5807" t="str">
        <f t="shared" si="2698"/>
        <v>02/10/2025</v>
      </c>
      <c r="B5807" t="str">
        <f t="shared" si="2713"/>
        <v>ENTRADA</v>
      </c>
      <c r="C5807" t="str">
        <f t="shared" si="2707"/>
        <v>NFSE</v>
      </c>
      <c r="D5807" t="str">
        <f>"3534"</f>
        <v>3534</v>
      </c>
      <c r="E5807" t="str">
        <f t="shared" si="2708"/>
        <v>COM</v>
      </c>
      <c r="F5807" t="str">
        <f>"DROGARIA MORENO LTDA (10171)"</f>
        <v>DROGARIA MORENO LTDA (10171)</v>
      </c>
      <c r="G5807" t="str">
        <f>"Serv.Prest. 22/09/2025 a 28/09/2025 - RPS: 1299 - NFSe: 3534"</f>
        <v>Serv.Prest. 22/09/2025 a 28/09/2025 - RPS: 1299 - NFSe: 3534</v>
      </c>
      <c r="H5807" t="str">
        <f t="shared" si="2709"/>
        <v>01/10/2025</v>
      </c>
      <c r="I5807" t="str">
        <f t="shared" si="2714"/>
        <v>29/09/2025</v>
      </c>
      <c r="J5807" t="str">
        <f t="shared" si="2703"/>
        <v>02/10/2025</v>
      </c>
      <c r="K5807">
        <v>354.6</v>
      </c>
      <c r="L5807">
        <v>354.6</v>
      </c>
      <c r="M5807">
        <v>303</v>
      </c>
      <c r="N5807" t="str">
        <f t="shared" si="2711"/>
        <v>RECEITAS COM ENTREGAS</v>
      </c>
      <c r="O5807">
        <v>354.6</v>
      </c>
      <c r="R5807" t="str">
        <f t="shared" si="2712"/>
        <v>RECEITAS COM ENTREGAS (303)</v>
      </c>
      <c r="S5807">
        <v>2621</v>
      </c>
      <c r="T5807">
        <v>2192</v>
      </c>
      <c r="U5807" t="s">
        <v>19</v>
      </c>
    </row>
    <row r="5808" spans="1:21">
      <c r="A5808" t="str">
        <f t="shared" si="2698"/>
        <v>02/10/2025</v>
      </c>
      <c r="B5808" t="str">
        <f t="shared" si="2713"/>
        <v>ENTRADA</v>
      </c>
      <c r="C5808" t="str">
        <f t="shared" si="2707"/>
        <v>NFSE</v>
      </c>
      <c r="D5808" t="str">
        <f>"3534"</f>
        <v>3534</v>
      </c>
      <c r="E5808" t="str">
        <f t="shared" si="2708"/>
        <v>COM</v>
      </c>
      <c r="F5808" t="str">
        <f>"DROGARIA MORENO LTDA (10171)"</f>
        <v>DROGARIA MORENO LTDA (10171)</v>
      </c>
      <c r="G5808" t="str">
        <f>"Serv.Prest. 22/09/2025 a 28/09/2025 - RPS: 1299 - NFSe: 3534"</f>
        <v>Serv.Prest. 22/09/2025 a 28/09/2025 - RPS: 1299 - NFSe: 3534</v>
      </c>
      <c r="H5808" t="str">
        <f t="shared" si="2709"/>
        <v>01/10/2025</v>
      </c>
      <c r="I5808" t="str">
        <f t="shared" si="2714"/>
        <v>29/09/2025</v>
      </c>
      <c r="J5808" t="str">
        <f t="shared" si="2703"/>
        <v>02/10/2025</v>
      </c>
      <c r="M5808">
        <v>303</v>
      </c>
      <c r="N5808" t="str">
        <f t="shared" si="2711"/>
        <v>RECEITAS COM ENTREGAS</v>
      </c>
      <c r="P5808">
        <v>354.6</v>
      </c>
      <c r="Q5808" t="str">
        <f>"DROGARIA MORENO LTDA (10171)"</f>
        <v>DROGARIA MORENO LTDA (10171)</v>
      </c>
      <c r="R5808" t="str">
        <f t="shared" si="2712"/>
        <v>RECEITAS COM ENTREGAS (303)</v>
      </c>
      <c r="S5808">
        <v>2621</v>
      </c>
      <c r="T5808">
        <v>2192</v>
      </c>
      <c r="U5808" t="s">
        <v>19</v>
      </c>
    </row>
    <row r="5809" spans="1:21">
      <c r="A5809" t="str">
        <f t="shared" si="2698"/>
        <v>02/10/2025</v>
      </c>
      <c r="B5809" t="str">
        <f t="shared" si="2713"/>
        <v>ENTRADA</v>
      </c>
      <c r="C5809" t="str">
        <f t="shared" si="2707"/>
        <v>NFSE</v>
      </c>
      <c r="D5809" t="str">
        <f>"3539"</f>
        <v>3539</v>
      </c>
      <c r="E5809" t="str">
        <f t="shared" si="2708"/>
        <v>COM</v>
      </c>
      <c r="F5809" t="str">
        <f>"JAL FARMACIA E DROGARIA LJ 1 (10137)"</f>
        <v>JAL FARMACIA E DROGARIA LJ 1 (10137)</v>
      </c>
      <c r="G5809" t="str">
        <f>"Serv.Prest. 22/09/2025 a 28/09/2025 - RPS: 1304 - NFSe: 3539"</f>
        <v>Serv.Prest. 22/09/2025 a 28/09/2025 - RPS: 1304 - NFSe: 3539</v>
      </c>
      <c r="H5809" t="str">
        <f t="shared" si="2709"/>
        <v>01/10/2025</v>
      </c>
      <c r="I5809" t="str">
        <f t="shared" si="2714"/>
        <v>29/09/2025</v>
      </c>
      <c r="J5809" t="str">
        <f t="shared" si="2703"/>
        <v>02/10/2025</v>
      </c>
      <c r="K5809">
        <v>452.8</v>
      </c>
      <c r="L5809">
        <v>452.8</v>
      </c>
      <c r="M5809">
        <v>303</v>
      </c>
      <c r="N5809" t="str">
        <f t="shared" si="2711"/>
        <v>RECEITAS COM ENTREGAS</v>
      </c>
      <c r="O5809">
        <v>452.8</v>
      </c>
      <c r="R5809" t="str">
        <f t="shared" si="2712"/>
        <v>RECEITAS COM ENTREGAS (303)</v>
      </c>
      <c r="S5809">
        <v>2622</v>
      </c>
      <c r="T5809">
        <v>2197</v>
      </c>
      <c r="U5809" t="s">
        <v>19</v>
      </c>
    </row>
    <row r="5810" spans="1:21">
      <c r="A5810" t="str">
        <f t="shared" si="2698"/>
        <v>02/10/2025</v>
      </c>
      <c r="B5810" t="str">
        <f t="shared" si="2713"/>
        <v>ENTRADA</v>
      </c>
      <c r="C5810" t="str">
        <f t="shared" si="2707"/>
        <v>NFSE</v>
      </c>
      <c r="D5810" t="str">
        <f>"3539"</f>
        <v>3539</v>
      </c>
      <c r="E5810" t="str">
        <f t="shared" si="2708"/>
        <v>COM</v>
      </c>
      <c r="F5810" t="str">
        <f>"JAL FARMACIA E DROGARIA LJ 1 (10137)"</f>
        <v>JAL FARMACIA E DROGARIA LJ 1 (10137)</v>
      </c>
      <c r="G5810" t="str">
        <f>"Serv.Prest. 22/09/2025 a 28/09/2025 - RPS: 1304 - NFSe: 3539"</f>
        <v>Serv.Prest. 22/09/2025 a 28/09/2025 - RPS: 1304 - NFSe: 3539</v>
      </c>
      <c r="H5810" t="str">
        <f t="shared" si="2709"/>
        <v>01/10/2025</v>
      </c>
      <c r="I5810" t="str">
        <f t="shared" si="2714"/>
        <v>29/09/2025</v>
      </c>
      <c r="J5810" t="str">
        <f t="shared" si="2703"/>
        <v>02/10/2025</v>
      </c>
      <c r="M5810">
        <v>303</v>
      </c>
      <c r="N5810" t="str">
        <f t="shared" si="2711"/>
        <v>RECEITAS COM ENTREGAS</v>
      </c>
      <c r="P5810">
        <v>452.8</v>
      </c>
      <c r="Q5810" t="str">
        <f>"JAL FARMACIA E DROGARIA LJ 1 (10137)"</f>
        <v>JAL FARMACIA E DROGARIA LJ 1 (10137)</v>
      </c>
      <c r="R5810" t="str">
        <f t="shared" si="2712"/>
        <v>RECEITAS COM ENTREGAS (303)</v>
      </c>
      <c r="S5810">
        <v>2622</v>
      </c>
      <c r="T5810">
        <v>2197</v>
      </c>
      <c r="U5810" t="s">
        <v>19</v>
      </c>
    </row>
    <row r="5811" spans="1:21">
      <c r="A5811" t="str">
        <f t="shared" si="2698"/>
        <v>02/10/2025</v>
      </c>
      <c r="B5811" t="str">
        <f t="shared" si="2713"/>
        <v>ENTRADA</v>
      </c>
      <c r="C5811" t="str">
        <f t="shared" si="2707"/>
        <v>NFSE</v>
      </c>
      <c r="D5811" t="str">
        <f>"3540"</f>
        <v>3540</v>
      </c>
      <c r="E5811" t="str">
        <f t="shared" si="2708"/>
        <v>COM</v>
      </c>
      <c r="F5811" t="str">
        <f>"LBL FARMACIA LTDA (10189)"</f>
        <v>LBL FARMACIA LTDA (10189)</v>
      </c>
      <c r="G5811" t="str">
        <f>"Serv.Prest. 22/09/2025 a 28/09/2025 - RPS: 1305 - NFSe: 3540"</f>
        <v>Serv.Prest. 22/09/2025 a 28/09/2025 - RPS: 1305 - NFSe: 3540</v>
      </c>
      <c r="H5811" t="str">
        <f t="shared" si="2709"/>
        <v>01/10/2025</v>
      </c>
      <c r="I5811" t="str">
        <f t="shared" si="2714"/>
        <v>29/09/2025</v>
      </c>
      <c r="J5811" t="str">
        <f t="shared" si="2703"/>
        <v>02/10/2025</v>
      </c>
      <c r="K5811">
        <v>96.6</v>
      </c>
      <c r="L5811">
        <v>96.6</v>
      </c>
      <c r="M5811">
        <v>303</v>
      </c>
      <c r="N5811" t="str">
        <f t="shared" si="2711"/>
        <v>RECEITAS COM ENTREGAS</v>
      </c>
      <c r="O5811">
        <v>96.6</v>
      </c>
      <c r="R5811" t="str">
        <f t="shared" si="2712"/>
        <v>RECEITAS COM ENTREGAS (303)</v>
      </c>
      <c r="S5811">
        <v>2623</v>
      </c>
      <c r="T5811">
        <v>2198</v>
      </c>
      <c r="U5811" t="s">
        <v>19</v>
      </c>
    </row>
    <row r="5812" spans="1:21">
      <c r="A5812" t="str">
        <f t="shared" si="2698"/>
        <v>02/10/2025</v>
      </c>
      <c r="B5812" t="str">
        <f t="shared" si="2713"/>
        <v>ENTRADA</v>
      </c>
      <c r="C5812" t="str">
        <f t="shared" si="2707"/>
        <v>NFSE</v>
      </c>
      <c r="D5812" t="str">
        <f>"3540"</f>
        <v>3540</v>
      </c>
      <c r="E5812" t="str">
        <f t="shared" si="2708"/>
        <v>COM</v>
      </c>
      <c r="F5812" t="str">
        <f>"LBL FARMACIA LTDA (10189)"</f>
        <v>LBL FARMACIA LTDA (10189)</v>
      </c>
      <c r="G5812" t="str">
        <f>"Serv.Prest. 22/09/2025 a 28/09/2025 - RPS: 1305 - NFSe: 3540"</f>
        <v>Serv.Prest. 22/09/2025 a 28/09/2025 - RPS: 1305 - NFSe: 3540</v>
      </c>
      <c r="H5812" t="str">
        <f t="shared" si="2709"/>
        <v>01/10/2025</v>
      </c>
      <c r="I5812" t="str">
        <f t="shared" si="2714"/>
        <v>29/09/2025</v>
      </c>
      <c r="J5812" t="str">
        <f t="shared" si="2703"/>
        <v>02/10/2025</v>
      </c>
      <c r="M5812">
        <v>303</v>
      </c>
      <c r="N5812" t="str">
        <f t="shared" si="2711"/>
        <v>RECEITAS COM ENTREGAS</v>
      </c>
      <c r="P5812">
        <v>96.6</v>
      </c>
      <c r="Q5812" t="str">
        <f>"LBL FARMACIA LTDA (10189)"</f>
        <v>LBL FARMACIA LTDA (10189)</v>
      </c>
      <c r="R5812" t="str">
        <f t="shared" si="2712"/>
        <v>RECEITAS COM ENTREGAS (303)</v>
      </c>
      <c r="S5812">
        <v>2623</v>
      </c>
      <c r="T5812">
        <v>2198</v>
      </c>
      <c r="U5812" t="s">
        <v>19</v>
      </c>
    </row>
    <row r="5813" spans="1:21">
      <c r="A5813" t="str">
        <f t="shared" si="2698"/>
        <v>02/10/2025</v>
      </c>
      <c r="B5813" t="str">
        <f t="shared" si="2713"/>
        <v>ENTRADA</v>
      </c>
      <c r="C5813" t="str">
        <f t="shared" si="2707"/>
        <v>NFSE</v>
      </c>
      <c r="D5813" t="str">
        <f>"3541"</f>
        <v>3541</v>
      </c>
      <c r="E5813" t="str">
        <f t="shared" si="2708"/>
        <v>COM</v>
      </c>
      <c r="F5813" t="str">
        <f>"LBL FARMACIA LTDA FILIAL (10192)"</f>
        <v>LBL FARMACIA LTDA FILIAL (10192)</v>
      </c>
      <c r="G5813" t="str">
        <f>"Serv.Prest. 22/09/2025 a 28/09/2025 - RPS: 1306 - NFSe: 3541"</f>
        <v>Serv.Prest. 22/09/2025 a 28/09/2025 - RPS: 1306 - NFSe: 3541</v>
      </c>
      <c r="H5813" t="str">
        <f t="shared" si="2709"/>
        <v>01/10/2025</v>
      </c>
      <c r="I5813" t="str">
        <f t="shared" si="2714"/>
        <v>29/09/2025</v>
      </c>
      <c r="J5813" t="str">
        <f t="shared" si="2703"/>
        <v>02/10/2025</v>
      </c>
      <c r="K5813">
        <v>203.7</v>
      </c>
      <c r="L5813">
        <v>203.7</v>
      </c>
      <c r="M5813">
        <v>303</v>
      </c>
      <c r="N5813" t="str">
        <f t="shared" si="2711"/>
        <v>RECEITAS COM ENTREGAS</v>
      </c>
      <c r="O5813">
        <v>203.7</v>
      </c>
      <c r="R5813" t="str">
        <f t="shared" si="2712"/>
        <v>RECEITAS COM ENTREGAS (303)</v>
      </c>
      <c r="S5813">
        <v>2624</v>
      </c>
      <c r="T5813">
        <v>2199</v>
      </c>
      <c r="U5813" t="s">
        <v>19</v>
      </c>
    </row>
    <row r="5814" spans="1:21">
      <c r="A5814" t="str">
        <f t="shared" si="2698"/>
        <v>02/10/2025</v>
      </c>
      <c r="B5814" t="str">
        <f t="shared" si="2713"/>
        <v>ENTRADA</v>
      </c>
      <c r="C5814" t="str">
        <f t="shared" si="2707"/>
        <v>NFSE</v>
      </c>
      <c r="D5814" t="str">
        <f>"3541"</f>
        <v>3541</v>
      </c>
      <c r="E5814" t="str">
        <f t="shared" si="2708"/>
        <v>COM</v>
      </c>
      <c r="F5814" t="str">
        <f>"LBL FARMACIA LTDA FILIAL (10192)"</f>
        <v>LBL FARMACIA LTDA FILIAL (10192)</v>
      </c>
      <c r="G5814" t="str">
        <f>"Serv.Prest. 22/09/2025 a 28/09/2025 - RPS: 1306 - NFSe: 3541"</f>
        <v>Serv.Prest. 22/09/2025 a 28/09/2025 - RPS: 1306 - NFSe: 3541</v>
      </c>
      <c r="H5814" t="str">
        <f t="shared" si="2709"/>
        <v>01/10/2025</v>
      </c>
      <c r="I5814" t="str">
        <f t="shared" si="2714"/>
        <v>29/09/2025</v>
      </c>
      <c r="J5814" t="str">
        <f t="shared" si="2703"/>
        <v>02/10/2025</v>
      </c>
      <c r="M5814">
        <v>303</v>
      </c>
      <c r="N5814" t="str">
        <f t="shared" si="2711"/>
        <v>RECEITAS COM ENTREGAS</v>
      </c>
      <c r="P5814">
        <v>203.7</v>
      </c>
      <c r="Q5814" t="str">
        <f>"LBL FARMACIA LTDA FILIAL (10192)"</f>
        <v>LBL FARMACIA LTDA FILIAL (10192)</v>
      </c>
      <c r="R5814" t="str">
        <f t="shared" si="2712"/>
        <v>RECEITAS COM ENTREGAS (303)</v>
      </c>
      <c r="S5814">
        <v>2624</v>
      </c>
      <c r="T5814">
        <v>2199</v>
      </c>
      <c r="U5814" t="s">
        <v>19</v>
      </c>
    </row>
    <row r="5815" spans="1:21">
      <c r="A5815" t="str">
        <f t="shared" si="2698"/>
        <v>02/10/2025</v>
      </c>
      <c r="B5815" t="str">
        <f t="shared" si="2713"/>
        <v>ENTRADA</v>
      </c>
      <c r="C5815" t="str">
        <f t="shared" si="2707"/>
        <v>NFSE</v>
      </c>
      <c r="D5815" t="str">
        <f>"3547"</f>
        <v>3547</v>
      </c>
      <c r="E5815" t="str">
        <f t="shared" si="2708"/>
        <v>COM</v>
      </c>
      <c r="F5815" t="str">
        <f>"DROGA HONDA (10149)"</f>
        <v>DROGA HONDA (10149)</v>
      </c>
      <c r="G5815" t="str">
        <f>"Serv.Prest. 22/09/2025 a 28/09/2025 - RPS: 1312 - NFSe: 3547"</f>
        <v>Serv.Prest. 22/09/2025 a 28/09/2025 - RPS: 1312 - NFSe: 3547</v>
      </c>
      <c r="H5815" t="str">
        <f t="shared" si="2709"/>
        <v>01/10/2025</v>
      </c>
      <c r="I5815" t="str">
        <f>("30/09/2025")</f>
        <v>30/09/2025</v>
      </c>
      <c r="J5815" t="str">
        <f t="shared" si="2703"/>
        <v>02/10/2025</v>
      </c>
      <c r="K5815">
        <v>233.69</v>
      </c>
      <c r="L5815">
        <v>166.28</v>
      </c>
      <c r="M5815">
        <v>303</v>
      </c>
      <c r="N5815" t="str">
        <f t="shared" si="2711"/>
        <v>RECEITAS COM ENTREGAS</v>
      </c>
      <c r="O5815">
        <v>166.28</v>
      </c>
      <c r="R5815" t="str">
        <f t="shared" si="2712"/>
        <v>RECEITAS COM ENTREGAS (303)</v>
      </c>
      <c r="S5815">
        <v>2625</v>
      </c>
      <c r="T5815">
        <v>2205</v>
      </c>
      <c r="U5815" t="s">
        <v>19</v>
      </c>
    </row>
    <row r="5816" spans="1:21">
      <c r="A5816" t="str">
        <f t="shared" si="2698"/>
        <v>02/10/2025</v>
      </c>
      <c r="B5816" t="str">
        <f t="shared" si="2713"/>
        <v>ENTRADA</v>
      </c>
      <c r="C5816" t="str">
        <f t="shared" si="2707"/>
        <v>NFSE</v>
      </c>
      <c r="D5816" t="str">
        <f>"3547"</f>
        <v>3547</v>
      </c>
      <c r="E5816" t="str">
        <f t="shared" si="2708"/>
        <v>COM</v>
      </c>
      <c r="F5816" t="str">
        <f>"DROGA HONDA (10149)"</f>
        <v>DROGA HONDA (10149)</v>
      </c>
      <c r="G5816" t="str">
        <f>"Serv.Prest. 22/09/2025 a 28/09/2025 - RPS: 1312 - NFSe: 3547"</f>
        <v>Serv.Prest. 22/09/2025 a 28/09/2025 - RPS: 1312 - NFSe: 3547</v>
      </c>
      <c r="H5816" t="str">
        <f t="shared" si="2709"/>
        <v>01/10/2025</v>
      </c>
      <c r="I5816" t="str">
        <f>("30/09/2025")</f>
        <v>30/09/2025</v>
      </c>
      <c r="J5816" t="str">
        <f t="shared" si="2703"/>
        <v>02/10/2025</v>
      </c>
      <c r="M5816">
        <v>303</v>
      </c>
      <c r="N5816" t="str">
        <f t="shared" si="2711"/>
        <v>RECEITAS COM ENTREGAS</v>
      </c>
      <c r="P5816">
        <v>166.28</v>
      </c>
      <c r="Q5816" t="str">
        <f>"DROGA HONDA (10149)"</f>
        <v>DROGA HONDA (10149)</v>
      </c>
      <c r="R5816" t="str">
        <f t="shared" si="2712"/>
        <v>RECEITAS COM ENTREGAS (303)</v>
      </c>
      <c r="S5816">
        <v>2625</v>
      </c>
      <c r="T5816">
        <v>2205</v>
      </c>
      <c r="U5816" t="s">
        <v>19</v>
      </c>
    </row>
    <row r="5817" spans="1:21">
      <c r="A5817" t="str">
        <f t="shared" si="2698"/>
        <v>02/10/2025</v>
      </c>
      <c r="B5817" t="str">
        <f t="shared" ref="B5817:B5822" si="2715">"SAÍDA"</f>
        <v>SAÍDA</v>
      </c>
      <c r="C5817" t="str">
        <f t="shared" ref="C5817:C5822" si="2716">"PIX"</f>
        <v>PIX</v>
      </c>
      <c r="D5817" t="str">
        <f>"0"</f>
        <v>0</v>
      </c>
      <c r="E5817" t="str">
        <f t="shared" si="2708"/>
        <v>COM</v>
      </c>
      <c r="F5817" t="str">
        <f>"BOOKING.COM BRASIL SERVICOS DE RESERVA DE HOTEIS LTDA. (20084)"</f>
        <v>BOOKING.COM BRASIL SERVICOS DE RESERVA DE HOTEIS LTDA. (20084)</v>
      </c>
      <c r="G5817" t="str">
        <f>"BOOKING.COM"</f>
        <v>BOOKING.COM</v>
      </c>
      <c r="H5817" t="str">
        <f>("02/10/2025")</f>
        <v>02/10/2025</v>
      </c>
      <c r="I5817" t="str">
        <f>("02/10/2025")</f>
        <v>02/10/2025</v>
      </c>
      <c r="J5817" t="str">
        <f t="shared" si="2703"/>
        <v>02/10/2025</v>
      </c>
      <c r="K5817">
        <v>534.36</v>
      </c>
      <c r="L5817">
        <v>534.36</v>
      </c>
      <c r="M5817">
        <v>128</v>
      </c>
      <c r="N5817" t="str">
        <f>"DESPESAS COM VIAGENS"</f>
        <v>DESPESAS COM VIAGENS</v>
      </c>
      <c r="O5817">
        <v>534.36</v>
      </c>
      <c r="R5817" t="str">
        <f>"BANCO CORA (102)"</f>
        <v>BANCO CORA (102)</v>
      </c>
      <c r="S5817">
        <v>2718</v>
      </c>
      <c r="T5817">
        <v>2297</v>
      </c>
      <c r="U5817" t="s">
        <v>19</v>
      </c>
    </row>
    <row r="5818" spans="1:21">
      <c r="A5818" t="str">
        <f t="shared" si="2698"/>
        <v>02/10/2025</v>
      </c>
      <c r="B5818" t="str">
        <f t="shared" si="2715"/>
        <v>SAÍDA</v>
      </c>
      <c r="C5818" t="str">
        <f t="shared" si="2716"/>
        <v>PIX</v>
      </c>
      <c r="D5818" t="str">
        <f>"0"</f>
        <v>0</v>
      </c>
      <c r="E5818" t="str">
        <f t="shared" si="2708"/>
        <v>COM</v>
      </c>
      <c r="F5818" t="str">
        <f>"BOOKING.COM BRASIL SERVICOS DE RESERVA DE HOTEIS LTDA. (20084)"</f>
        <v>BOOKING.COM BRASIL SERVICOS DE RESERVA DE HOTEIS LTDA. (20084)</v>
      </c>
      <c r="G5818" t="str">
        <f>"BOOKING.COM"</f>
        <v>BOOKING.COM</v>
      </c>
      <c r="H5818" t="str">
        <f>("02/10/2025")</f>
        <v>02/10/2025</v>
      </c>
      <c r="I5818" t="str">
        <f>("02/10/2025")</f>
        <v>02/10/2025</v>
      </c>
      <c r="J5818" t="str">
        <f t="shared" si="2703"/>
        <v>02/10/2025</v>
      </c>
      <c r="M5818">
        <v>128</v>
      </c>
      <c r="N5818" t="str">
        <f>"DESPESAS COM VIAGENS"</f>
        <v>DESPESAS COM VIAGENS</v>
      </c>
      <c r="P5818">
        <v>534.36</v>
      </c>
      <c r="Q5818" t="str">
        <f>"BOOKING.COM BRASIL SERVICOS DE RESERVA DE HOTEIS LTDA. (20084)"</f>
        <v>BOOKING.COM BRASIL SERVICOS DE RESERVA DE HOTEIS LTDA. (20084)</v>
      </c>
      <c r="R5818" t="str">
        <f>"BANCO CORA (102)"</f>
        <v>BANCO CORA (102)</v>
      </c>
      <c r="S5818">
        <v>2718</v>
      </c>
      <c r="T5818">
        <v>2297</v>
      </c>
      <c r="U5818" t="s">
        <v>19</v>
      </c>
    </row>
    <row r="5819" spans="1:21">
      <c r="A5819" t="str">
        <f t="shared" ref="A5819:A5839" si="2717">("03/10/2025")</f>
        <v>03/10/2025</v>
      </c>
      <c r="B5819" t="str">
        <f t="shared" si="2715"/>
        <v>SAÍDA</v>
      </c>
      <c r="C5819" t="str">
        <f t="shared" si="2716"/>
        <v>PIX</v>
      </c>
      <c r="D5819" t="str">
        <f>"07"</f>
        <v>07</v>
      </c>
      <c r="E5819" t="str">
        <f t="shared" si="2708"/>
        <v>COM</v>
      </c>
      <c r="F5819" t="str">
        <f>"LILIANE DE FATIMA REZENDE JUSTINO (20013)"</f>
        <v>LILIANE DE FATIMA REZENDE JUSTINO (20013)</v>
      </c>
      <c r="G5819" t="str">
        <f>"REF. PRO-LABORE MES 09/2025"</f>
        <v>REF. PRO-LABORE MES 09/2025</v>
      </c>
      <c r="H5819" t="str">
        <f>("03/10/2025")</f>
        <v>03/10/2025</v>
      </c>
      <c r="I5819" t="str">
        <f>("01/01/2025")</f>
        <v>01/01/2025</v>
      </c>
      <c r="J5819" t="str">
        <f t="shared" ref="J5819:J5839" si="2718">("03/10/2025")</f>
        <v>03/10/2025</v>
      </c>
      <c r="K5819">
        <v>877.59</v>
      </c>
      <c r="L5819">
        <v>877.59</v>
      </c>
      <c r="M5819">
        <v>124</v>
      </c>
      <c r="N5819" t="str">
        <f>"PRO LABORE - LILIANE"</f>
        <v>PRO LABORE - LILIANE</v>
      </c>
      <c r="O5819">
        <v>877.59</v>
      </c>
      <c r="R5819" t="str">
        <f>"CAIXA MOVIMENTAÇÃO OPERACIONAL (132)"</f>
        <v>CAIXA MOVIMENTAÇÃO OPERACIONAL (132)</v>
      </c>
      <c r="S5819">
        <v>2626</v>
      </c>
      <c r="T5819">
        <v>2226</v>
      </c>
      <c r="U5819" t="s">
        <v>25</v>
      </c>
    </row>
    <row r="5820" spans="1:21">
      <c r="A5820" t="str">
        <f t="shared" si="2717"/>
        <v>03/10/2025</v>
      </c>
      <c r="B5820" t="str">
        <f t="shared" si="2715"/>
        <v>SAÍDA</v>
      </c>
      <c r="C5820" t="str">
        <f t="shared" si="2716"/>
        <v>PIX</v>
      </c>
      <c r="D5820" t="str">
        <f>"07"</f>
        <v>07</v>
      </c>
      <c r="E5820" t="str">
        <f t="shared" si="2708"/>
        <v>COM</v>
      </c>
      <c r="F5820" t="str">
        <f>"LILIANE DE FATIMA REZENDE JUSTINO (20013)"</f>
        <v>LILIANE DE FATIMA REZENDE JUSTINO (20013)</v>
      </c>
      <c r="G5820" t="str">
        <f>"REF. PRO-LABORE MES 09/2025"</f>
        <v>REF. PRO-LABORE MES 09/2025</v>
      </c>
      <c r="H5820" t="str">
        <f>("03/10/2025")</f>
        <v>03/10/2025</v>
      </c>
      <c r="I5820" t="str">
        <f>("01/01/2025")</f>
        <v>01/01/2025</v>
      </c>
      <c r="J5820" t="str">
        <f t="shared" si="2718"/>
        <v>03/10/2025</v>
      </c>
      <c r="M5820">
        <v>124</v>
      </c>
      <c r="N5820" t="str">
        <f>"PRO LABORE - LILIANE"</f>
        <v>PRO LABORE - LILIANE</v>
      </c>
      <c r="P5820">
        <v>877.59</v>
      </c>
      <c r="Q5820" t="str">
        <f>"LILIANE DE FATIMA REZENDE JUSTINO (20013)"</f>
        <v>LILIANE DE FATIMA REZENDE JUSTINO (20013)</v>
      </c>
      <c r="R5820" t="str">
        <f>"CAIXA MOVIMENTAÇÃO OPERACIONAL (132)"</f>
        <v>CAIXA MOVIMENTAÇÃO OPERACIONAL (132)</v>
      </c>
      <c r="S5820">
        <v>2626</v>
      </c>
      <c r="T5820">
        <v>2226</v>
      </c>
      <c r="U5820" t="s">
        <v>25</v>
      </c>
    </row>
    <row r="5821" spans="1:21">
      <c r="A5821" t="str">
        <f t="shared" si="2717"/>
        <v>03/10/2025</v>
      </c>
      <c r="B5821" t="str">
        <f t="shared" si="2715"/>
        <v>SAÍDA</v>
      </c>
      <c r="C5821" t="str">
        <f t="shared" si="2716"/>
        <v>PIX</v>
      </c>
      <c r="D5821" t="str">
        <f>"2025"</f>
        <v>2025</v>
      </c>
      <c r="E5821" t="str">
        <f t="shared" si="2708"/>
        <v>COM</v>
      </c>
      <c r="F5821" t="str">
        <f>"MARCELO REZENDE ARANTES (20014)"</f>
        <v>MARCELO REZENDE ARANTES (20014)</v>
      </c>
      <c r="G5821" t="str">
        <f>"REF. PRO-LABORE MES 09/2025"</f>
        <v>REF. PRO-LABORE MES 09/2025</v>
      </c>
      <c r="H5821" t="str">
        <f>("03/10/2025")</f>
        <v>03/10/2025</v>
      </c>
      <c r="I5821" t="str">
        <f>("01/10/2025")</f>
        <v>01/10/2025</v>
      </c>
      <c r="J5821" t="str">
        <f t="shared" si="2718"/>
        <v>03/10/2025</v>
      </c>
      <c r="K5821">
        <v>29.33</v>
      </c>
      <c r="L5821">
        <v>29.33</v>
      </c>
      <c r="M5821">
        <v>108</v>
      </c>
      <c r="N5821" t="str">
        <f>"PRO LABORE - MARCELO"</f>
        <v>PRO LABORE - MARCELO</v>
      </c>
      <c r="O5821">
        <v>29.33</v>
      </c>
      <c r="R5821" t="str">
        <f>"CAIXA MOVIMENTAÇÃO OPERACIONAL (132)"</f>
        <v>CAIXA MOVIMENTAÇÃO OPERACIONAL (132)</v>
      </c>
      <c r="S5821">
        <v>2627</v>
      </c>
      <c r="T5821">
        <v>2227</v>
      </c>
      <c r="U5821" t="s">
        <v>25</v>
      </c>
    </row>
    <row r="5822" spans="1:21">
      <c r="A5822" t="str">
        <f t="shared" si="2717"/>
        <v>03/10/2025</v>
      </c>
      <c r="B5822" t="str">
        <f t="shared" si="2715"/>
        <v>SAÍDA</v>
      </c>
      <c r="C5822" t="str">
        <f t="shared" si="2716"/>
        <v>PIX</v>
      </c>
      <c r="D5822" t="str">
        <f>"2025"</f>
        <v>2025</v>
      </c>
      <c r="E5822" t="str">
        <f t="shared" si="2708"/>
        <v>COM</v>
      </c>
      <c r="F5822" t="str">
        <f>"MARCELO REZENDE ARANTES (20014)"</f>
        <v>MARCELO REZENDE ARANTES (20014)</v>
      </c>
      <c r="G5822" t="str">
        <f>"REF. PRO-LABORE MES 09/2025"</f>
        <v>REF. PRO-LABORE MES 09/2025</v>
      </c>
      <c r="H5822" t="str">
        <f>("03/10/2025")</f>
        <v>03/10/2025</v>
      </c>
      <c r="I5822" t="str">
        <f>("01/10/2025")</f>
        <v>01/10/2025</v>
      </c>
      <c r="J5822" t="str">
        <f t="shared" si="2718"/>
        <v>03/10/2025</v>
      </c>
      <c r="M5822">
        <v>108</v>
      </c>
      <c r="N5822" t="str">
        <f>"PRO LABORE - MARCELO"</f>
        <v>PRO LABORE - MARCELO</v>
      </c>
      <c r="P5822">
        <v>29.33</v>
      </c>
      <c r="Q5822" t="str">
        <f>"MARCELO REZENDE ARANTES (20014)"</f>
        <v>MARCELO REZENDE ARANTES (20014)</v>
      </c>
      <c r="R5822" t="str">
        <f>"CAIXA MOVIMENTAÇÃO OPERACIONAL (132)"</f>
        <v>CAIXA MOVIMENTAÇÃO OPERACIONAL (132)</v>
      </c>
      <c r="S5822">
        <v>2627</v>
      </c>
      <c r="T5822">
        <v>2227</v>
      </c>
      <c r="U5822" t="s">
        <v>25</v>
      </c>
    </row>
    <row r="5823" spans="1:21">
      <c r="A5823" t="str">
        <f t="shared" si="2717"/>
        <v>03/10/2025</v>
      </c>
      <c r="B5823" t="str">
        <f>"ENTRADA"</f>
        <v>ENTRADA</v>
      </c>
      <c r="C5823" t="str">
        <f>"NFSE"</f>
        <v>NFSE</v>
      </c>
      <c r="D5823" t="str">
        <f>"3525"</f>
        <v>3525</v>
      </c>
      <c r="E5823" t="str">
        <f t="shared" si="2708"/>
        <v>COM</v>
      </c>
      <c r="F5823" t="str">
        <f>"DROGARIA POUPA MINAS (ULTRAMINAS) 3 (10129)"</f>
        <v>DROGARIA POUPA MINAS (ULTRAMINAS) 3 (10129)</v>
      </c>
      <c r="G5823" t="str">
        <f>"Serv.Prest. 22/09/2025 a 28/09/2025 - RPS: 1290 - NFSe: 3525"</f>
        <v>Serv.Prest. 22/09/2025 a 28/09/2025 - RPS: 1290 - NFSe: 3525</v>
      </c>
      <c r="H5823" t="str">
        <f>("02/10/2025")</f>
        <v>02/10/2025</v>
      </c>
      <c r="I5823" t="str">
        <f>("29/09/2025")</f>
        <v>29/09/2025</v>
      </c>
      <c r="J5823" t="str">
        <f t="shared" si="2718"/>
        <v>03/10/2025</v>
      </c>
      <c r="K5823">
        <v>171.6</v>
      </c>
      <c r="L5823">
        <v>171.6</v>
      </c>
      <c r="M5823">
        <v>303</v>
      </c>
      <c r="N5823" t="str">
        <f>"RECEITAS COM ENTREGAS"</f>
        <v>RECEITAS COM ENTREGAS</v>
      </c>
      <c r="O5823">
        <v>171.6</v>
      </c>
      <c r="R5823" t="str">
        <f>"RECEITAS COM ENTREGAS (303)"</f>
        <v>RECEITAS COM ENTREGAS (303)</v>
      </c>
      <c r="S5823">
        <v>2628</v>
      </c>
      <c r="T5823">
        <v>2183</v>
      </c>
      <c r="U5823" t="s">
        <v>19</v>
      </c>
    </row>
    <row r="5824" spans="1:21">
      <c r="A5824" t="str">
        <f t="shared" si="2717"/>
        <v>03/10/2025</v>
      </c>
      <c r="B5824" t="str">
        <f t="shared" ref="B5824:B5826" si="2719">"ENTRADA"</f>
        <v>ENTRADA</v>
      </c>
      <c r="C5824" t="str">
        <f>"NFSE"</f>
        <v>NFSE</v>
      </c>
      <c r="D5824" t="str">
        <f>"3525"</f>
        <v>3525</v>
      </c>
      <c r="E5824" t="str">
        <f t="shared" si="2708"/>
        <v>COM</v>
      </c>
      <c r="F5824" t="str">
        <f>"DROGARIA POUPA MINAS (ULTRAMINAS) 3 (10129)"</f>
        <v>DROGARIA POUPA MINAS (ULTRAMINAS) 3 (10129)</v>
      </c>
      <c r="G5824" t="str">
        <f>"Serv.Prest. 22/09/2025 a 28/09/2025 - RPS: 1290 - NFSe: 3525"</f>
        <v>Serv.Prest. 22/09/2025 a 28/09/2025 - RPS: 1290 - NFSe: 3525</v>
      </c>
      <c r="H5824" t="str">
        <f>("02/10/2025")</f>
        <v>02/10/2025</v>
      </c>
      <c r="I5824" t="str">
        <f>("29/09/2025")</f>
        <v>29/09/2025</v>
      </c>
      <c r="J5824" t="str">
        <f t="shared" si="2718"/>
        <v>03/10/2025</v>
      </c>
      <c r="M5824">
        <v>303</v>
      </c>
      <c r="N5824" t="str">
        <f>"RECEITAS COM ENTREGAS"</f>
        <v>RECEITAS COM ENTREGAS</v>
      </c>
      <c r="P5824">
        <v>171.6</v>
      </c>
      <c r="Q5824" t="str">
        <f>"DROGARIA POUPA MINAS (ULTRAMINAS) 3 (10129)"</f>
        <v>DROGARIA POUPA MINAS (ULTRAMINAS) 3 (10129)</v>
      </c>
      <c r="R5824" t="str">
        <f>"RECEITAS COM ENTREGAS (303)"</f>
        <v>RECEITAS COM ENTREGAS (303)</v>
      </c>
      <c r="S5824">
        <v>2628</v>
      </c>
      <c r="T5824">
        <v>2183</v>
      </c>
      <c r="U5824" t="s">
        <v>19</v>
      </c>
    </row>
    <row r="5825" spans="1:21">
      <c r="A5825" t="str">
        <f t="shared" si="2717"/>
        <v>03/10/2025</v>
      </c>
      <c r="B5825" t="str">
        <f t="shared" si="2719"/>
        <v>ENTRADA</v>
      </c>
      <c r="C5825" t="str">
        <f>"NFSE"</f>
        <v>NFSE</v>
      </c>
      <c r="D5825" t="str">
        <f>"3532"</f>
        <v>3532</v>
      </c>
      <c r="E5825" t="str">
        <f t="shared" si="2708"/>
        <v>COM</v>
      </c>
      <c r="F5825" t="str">
        <f>"DROGARIA POUPA MINAS (DOIS AMIGOS) 5 (10140)"</f>
        <v>DROGARIA POUPA MINAS (DOIS AMIGOS) 5 (10140)</v>
      </c>
      <c r="G5825" t="str">
        <f>"Serv.Prest. 22/09/2025 a 28/09/2025 - RPS: 1297 - NFSe: 3532"</f>
        <v>Serv.Prest. 22/09/2025 a 28/09/2025 - RPS: 1297 - NFSe: 3532</v>
      </c>
      <c r="H5825" t="str">
        <f>("02/10/2025")</f>
        <v>02/10/2025</v>
      </c>
      <c r="I5825" t="str">
        <f>("29/09/2025")</f>
        <v>29/09/2025</v>
      </c>
      <c r="J5825" t="str">
        <f t="shared" si="2718"/>
        <v>03/10/2025</v>
      </c>
      <c r="K5825">
        <v>826.97</v>
      </c>
      <c r="L5825">
        <v>826.97</v>
      </c>
      <c r="M5825">
        <v>303</v>
      </c>
      <c r="N5825" t="str">
        <f>"RECEITAS COM ENTREGAS"</f>
        <v>RECEITAS COM ENTREGAS</v>
      </c>
      <c r="O5825">
        <v>826.97</v>
      </c>
      <c r="R5825" t="str">
        <f>"RECEITAS COM ENTREGAS (303)"</f>
        <v>RECEITAS COM ENTREGAS (303)</v>
      </c>
      <c r="S5825">
        <v>2629</v>
      </c>
      <c r="T5825">
        <v>2190</v>
      </c>
      <c r="U5825" t="s">
        <v>19</v>
      </c>
    </row>
    <row r="5826" spans="1:21">
      <c r="A5826" t="str">
        <f t="shared" si="2717"/>
        <v>03/10/2025</v>
      </c>
      <c r="B5826" t="str">
        <f t="shared" si="2719"/>
        <v>ENTRADA</v>
      </c>
      <c r="C5826" t="str">
        <f>"NFSE"</f>
        <v>NFSE</v>
      </c>
      <c r="D5826" t="str">
        <f>"3532"</f>
        <v>3532</v>
      </c>
      <c r="E5826" t="str">
        <f t="shared" si="2708"/>
        <v>COM</v>
      </c>
      <c r="F5826" t="str">
        <f>"DROGARIA POUPA MINAS (DOIS AMIGOS) 5 (10140)"</f>
        <v>DROGARIA POUPA MINAS (DOIS AMIGOS) 5 (10140)</v>
      </c>
      <c r="G5826" t="str">
        <f>"Serv.Prest. 22/09/2025 a 28/09/2025 - RPS: 1297 - NFSe: 3532"</f>
        <v>Serv.Prest. 22/09/2025 a 28/09/2025 - RPS: 1297 - NFSe: 3532</v>
      </c>
      <c r="H5826" t="str">
        <f>("02/10/2025")</f>
        <v>02/10/2025</v>
      </c>
      <c r="I5826" t="str">
        <f>("29/09/2025")</f>
        <v>29/09/2025</v>
      </c>
      <c r="J5826" t="str">
        <f t="shared" si="2718"/>
        <v>03/10/2025</v>
      </c>
      <c r="M5826">
        <v>303</v>
      </c>
      <c r="N5826" t="str">
        <f>"RECEITAS COM ENTREGAS"</f>
        <v>RECEITAS COM ENTREGAS</v>
      </c>
      <c r="P5826">
        <v>826.97</v>
      </c>
      <c r="Q5826" t="str">
        <f>"DROGARIA POUPA MINAS (ULTRAMINAS) 1 (10181)"</f>
        <v>DROGARIA POUPA MINAS (ULTRAMINAS) 1 (10181)</v>
      </c>
      <c r="R5826" t="str">
        <f>"RECEITAS COM ENTREGAS (303)"</f>
        <v>RECEITAS COM ENTREGAS (303)</v>
      </c>
      <c r="S5826">
        <v>2629</v>
      </c>
      <c r="T5826">
        <v>2190</v>
      </c>
      <c r="U5826" t="s">
        <v>19</v>
      </c>
    </row>
    <row r="5827" spans="1:21">
      <c r="A5827" t="str">
        <f t="shared" si="2717"/>
        <v>03/10/2025</v>
      </c>
      <c r="B5827" t="str">
        <f t="shared" ref="B5827:B5835" si="2720">"SAÍDA"</f>
        <v>SAÍDA</v>
      </c>
      <c r="C5827" t="str">
        <f t="shared" ref="C5827:C5832" si="2721">"PIX"</f>
        <v>PIX</v>
      </c>
      <c r="D5827" t="str">
        <f>"2025"</f>
        <v>2025</v>
      </c>
      <c r="E5827" t="str">
        <f t="shared" si="2708"/>
        <v>COM</v>
      </c>
      <c r="F5827" t="str">
        <f>"LILIANE DE FATIMA REZENDE JUSTINO (20013)"</f>
        <v>LILIANE DE FATIMA REZENDE JUSTINO (20013)</v>
      </c>
      <c r="G5827" t="str">
        <f>"REF. PRO-LABORE MES 09/2025"</f>
        <v>REF. PRO-LABORE MES 09/2025</v>
      </c>
      <c r="H5827" t="str">
        <f t="shared" ref="H5827:H5835" si="2722">("03/10/2025")</f>
        <v>03/10/2025</v>
      </c>
      <c r="I5827" t="str">
        <f t="shared" ref="I5827:I5834" si="2723">("01/10/2025")</f>
        <v>01/10/2025</v>
      </c>
      <c r="J5827" t="str">
        <f t="shared" si="2718"/>
        <v>03/10/2025</v>
      </c>
      <c r="K5827">
        <v>22455.74</v>
      </c>
      <c r="L5827">
        <v>22455.74</v>
      </c>
      <c r="M5827">
        <v>124</v>
      </c>
      <c r="N5827" t="str">
        <f>"PRO LABORE - LILIANE"</f>
        <v>PRO LABORE - LILIANE</v>
      </c>
      <c r="O5827">
        <v>22455.74</v>
      </c>
      <c r="R5827" t="str">
        <f t="shared" ref="R5827:R5835" si="2724">"BANCO CORA (102)"</f>
        <v>BANCO CORA (102)</v>
      </c>
      <c r="S5827">
        <v>2630</v>
      </c>
      <c r="T5827">
        <v>572</v>
      </c>
      <c r="U5827" t="s">
        <v>19</v>
      </c>
    </row>
    <row r="5828" spans="1:21">
      <c r="A5828" t="str">
        <f t="shared" si="2717"/>
        <v>03/10/2025</v>
      </c>
      <c r="B5828" t="str">
        <f t="shared" si="2720"/>
        <v>SAÍDA</v>
      </c>
      <c r="C5828" t="str">
        <f t="shared" si="2721"/>
        <v>PIX</v>
      </c>
      <c r="D5828" t="str">
        <f>"2025"</f>
        <v>2025</v>
      </c>
      <c r="E5828" t="str">
        <f t="shared" si="2708"/>
        <v>COM</v>
      </c>
      <c r="F5828" t="str">
        <f>"LILIANE DE FATIMA REZENDE JUSTINO (20013)"</f>
        <v>LILIANE DE FATIMA REZENDE JUSTINO (20013)</v>
      </c>
      <c r="G5828" t="str">
        <f>"REF. PRO-LABORE MES 09/2025"</f>
        <v>REF. PRO-LABORE MES 09/2025</v>
      </c>
      <c r="H5828" t="str">
        <f t="shared" si="2722"/>
        <v>03/10/2025</v>
      </c>
      <c r="I5828" t="str">
        <f t="shared" si="2723"/>
        <v>01/10/2025</v>
      </c>
      <c r="J5828" t="str">
        <f t="shared" si="2718"/>
        <v>03/10/2025</v>
      </c>
      <c r="M5828">
        <v>124</v>
      </c>
      <c r="N5828" t="str">
        <f>"PRO LABORE - LILIANE"</f>
        <v>PRO LABORE - LILIANE</v>
      </c>
      <c r="P5828">
        <v>22455.74</v>
      </c>
      <c r="Q5828" t="str">
        <f>"LILIANE DE FATIMA REZENDE JUSTINO (20013)"</f>
        <v>LILIANE DE FATIMA REZENDE JUSTINO (20013)</v>
      </c>
      <c r="R5828" t="str">
        <f t="shared" si="2724"/>
        <v>BANCO CORA (102)</v>
      </c>
      <c r="S5828">
        <v>2630</v>
      </c>
      <c r="T5828">
        <v>572</v>
      </c>
      <c r="U5828" t="s">
        <v>19</v>
      </c>
    </row>
    <row r="5829" spans="1:21">
      <c r="A5829" t="str">
        <f t="shared" si="2717"/>
        <v>03/10/2025</v>
      </c>
      <c r="B5829" t="str">
        <f t="shared" si="2720"/>
        <v>SAÍDA</v>
      </c>
      <c r="C5829" t="str">
        <f t="shared" si="2721"/>
        <v>PIX</v>
      </c>
      <c r="D5829" t="str">
        <f>"01"</f>
        <v>01</v>
      </c>
      <c r="E5829" t="str">
        <f t="shared" si="2708"/>
        <v>COM</v>
      </c>
      <c r="F5829" t="str">
        <f>"LILIANE DE FATIMA REZENDE JUSTINO (20013)"</f>
        <v>LILIANE DE FATIMA REZENDE JUSTINO (20013)</v>
      </c>
      <c r="G5829" t="str">
        <f>"REF. PREST. SERVICO LILIANE 09/2025"</f>
        <v>REF. PREST. SERVICO LILIANE 09/2025</v>
      </c>
      <c r="H5829" t="str">
        <f t="shared" si="2722"/>
        <v>03/10/2025</v>
      </c>
      <c r="I5829" t="str">
        <f t="shared" si="2723"/>
        <v>01/10/2025</v>
      </c>
      <c r="J5829" t="str">
        <f t="shared" si="2718"/>
        <v>03/10/2025</v>
      </c>
      <c r="K5829">
        <v>1500</v>
      </c>
      <c r="L5829">
        <v>1500</v>
      </c>
      <c r="M5829">
        <v>103</v>
      </c>
      <c r="N5829" t="str">
        <f>"PAGAMENTO DE FUNCIONÁRIOS"</f>
        <v>PAGAMENTO DE FUNCIONÁRIOS</v>
      </c>
      <c r="O5829">
        <v>1500</v>
      </c>
      <c r="R5829" t="str">
        <f t="shared" si="2724"/>
        <v>BANCO CORA (102)</v>
      </c>
      <c r="S5829">
        <v>2631</v>
      </c>
      <c r="T5829">
        <v>584</v>
      </c>
      <c r="U5829" t="s">
        <v>19</v>
      </c>
    </row>
    <row r="5830" spans="1:21">
      <c r="A5830" t="str">
        <f t="shared" si="2717"/>
        <v>03/10/2025</v>
      </c>
      <c r="B5830" t="str">
        <f t="shared" si="2720"/>
        <v>SAÍDA</v>
      </c>
      <c r="C5830" t="str">
        <f t="shared" si="2721"/>
        <v>PIX</v>
      </c>
      <c r="D5830" t="str">
        <f>"01"</f>
        <v>01</v>
      </c>
      <c r="E5830" t="str">
        <f t="shared" si="2708"/>
        <v>COM</v>
      </c>
      <c r="F5830" t="str">
        <f>"LILIANE DE FATIMA REZENDE JUSTINO (20013)"</f>
        <v>LILIANE DE FATIMA REZENDE JUSTINO (20013)</v>
      </c>
      <c r="G5830" t="str">
        <f>"REF. PREST. SERVICO LILIANE 09/2025"</f>
        <v>REF. PREST. SERVICO LILIANE 09/2025</v>
      </c>
      <c r="H5830" t="str">
        <f t="shared" si="2722"/>
        <v>03/10/2025</v>
      </c>
      <c r="I5830" t="str">
        <f t="shared" si="2723"/>
        <v>01/10/2025</v>
      </c>
      <c r="J5830" t="str">
        <f t="shared" si="2718"/>
        <v>03/10/2025</v>
      </c>
      <c r="M5830">
        <v>103</v>
      </c>
      <c r="N5830" t="str">
        <f>"PAGAMENTO DE FUNCIONÁRIOS"</f>
        <v>PAGAMENTO DE FUNCIONÁRIOS</v>
      </c>
      <c r="P5830">
        <v>1500</v>
      </c>
      <c r="Q5830" t="str">
        <f>"LILIANE DE FATIMA REZENDE JUSTINO (20013)"</f>
        <v>LILIANE DE FATIMA REZENDE JUSTINO (20013)</v>
      </c>
      <c r="R5830" t="str">
        <f t="shared" si="2724"/>
        <v>BANCO CORA (102)</v>
      </c>
      <c r="S5830">
        <v>2631</v>
      </c>
      <c r="T5830">
        <v>584</v>
      </c>
      <c r="U5830" t="s">
        <v>19</v>
      </c>
    </row>
    <row r="5831" spans="1:21">
      <c r="A5831" t="str">
        <f t="shared" si="2717"/>
        <v>03/10/2025</v>
      </c>
      <c r="B5831" t="str">
        <f t="shared" si="2720"/>
        <v>SAÍDA</v>
      </c>
      <c r="C5831" t="str">
        <f t="shared" si="2721"/>
        <v>PIX</v>
      </c>
      <c r="D5831" t="str">
        <f>"2025"</f>
        <v>2025</v>
      </c>
      <c r="E5831" t="str">
        <f t="shared" si="2708"/>
        <v>COM</v>
      </c>
      <c r="F5831" t="str">
        <f>"MARCELO REZENDE ARANTES (20014)"</f>
        <v>MARCELO REZENDE ARANTES (20014)</v>
      </c>
      <c r="G5831" t="str">
        <f>"REF. PRO-LABORE MES 09/2025"</f>
        <v>REF. PRO-LABORE MES 09/2025</v>
      </c>
      <c r="H5831" t="str">
        <f t="shared" si="2722"/>
        <v>03/10/2025</v>
      </c>
      <c r="I5831" t="str">
        <f t="shared" si="2723"/>
        <v>01/10/2025</v>
      </c>
      <c r="J5831" t="str">
        <f t="shared" si="2718"/>
        <v>03/10/2025</v>
      </c>
      <c r="K5831">
        <v>9970.67</v>
      </c>
      <c r="L5831">
        <v>9970.67</v>
      </c>
      <c r="M5831">
        <v>108</v>
      </c>
      <c r="N5831" t="str">
        <f>"PRO LABORE - MARCELO"</f>
        <v>PRO LABORE - MARCELO</v>
      </c>
      <c r="O5831">
        <v>9970.67</v>
      </c>
      <c r="R5831" t="str">
        <f t="shared" si="2724"/>
        <v>BANCO CORA (102)</v>
      </c>
      <c r="S5831">
        <v>2632</v>
      </c>
      <c r="T5831">
        <v>596</v>
      </c>
      <c r="U5831" t="s">
        <v>19</v>
      </c>
    </row>
    <row r="5832" spans="1:21">
      <c r="A5832" t="str">
        <f t="shared" si="2717"/>
        <v>03/10/2025</v>
      </c>
      <c r="B5832" t="str">
        <f t="shared" si="2720"/>
        <v>SAÍDA</v>
      </c>
      <c r="C5832" t="str">
        <f t="shared" si="2721"/>
        <v>PIX</v>
      </c>
      <c r="D5832" t="str">
        <f>"2025"</f>
        <v>2025</v>
      </c>
      <c r="E5832" t="str">
        <f t="shared" si="2708"/>
        <v>COM</v>
      </c>
      <c r="F5832" t="str">
        <f>"MARCELO REZENDE ARANTES (20014)"</f>
        <v>MARCELO REZENDE ARANTES (20014)</v>
      </c>
      <c r="G5832" t="str">
        <f>"REF. PRO-LABORE MES 09/2025"</f>
        <v>REF. PRO-LABORE MES 09/2025</v>
      </c>
      <c r="H5832" t="str">
        <f t="shared" si="2722"/>
        <v>03/10/2025</v>
      </c>
      <c r="I5832" t="str">
        <f t="shared" si="2723"/>
        <v>01/10/2025</v>
      </c>
      <c r="J5832" t="str">
        <f t="shared" si="2718"/>
        <v>03/10/2025</v>
      </c>
      <c r="M5832">
        <v>108</v>
      </c>
      <c r="N5832" t="str">
        <f>"PRO LABORE - MARCELO"</f>
        <v>PRO LABORE - MARCELO</v>
      </c>
      <c r="P5832">
        <v>9970.67</v>
      </c>
      <c r="Q5832" t="str">
        <f>"MARCELO REZENDE ARANTES (20014)"</f>
        <v>MARCELO REZENDE ARANTES (20014)</v>
      </c>
      <c r="R5832" t="str">
        <f t="shared" si="2724"/>
        <v>BANCO CORA (102)</v>
      </c>
      <c r="S5832">
        <v>2632</v>
      </c>
      <c r="T5832">
        <v>596</v>
      </c>
      <c r="U5832" t="s">
        <v>19</v>
      </c>
    </row>
    <row r="5833" spans="1:21">
      <c r="A5833" t="str">
        <f t="shared" si="2717"/>
        <v>03/10/2025</v>
      </c>
      <c r="B5833" t="str">
        <f t="shared" si="2720"/>
        <v>SAÍDA</v>
      </c>
      <c r="C5833" t="str">
        <f>"BOLETO"</f>
        <v>BOLETO</v>
      </c>
      <c r="D5833" t="str">
        <f>"19983"</f>
        <v>19983</v>
      </c>
      <c r="E5833" t="str">
        <f t="shared" si="2708"/>
        <v>COM</v>
      </c>
      <c r="F5833" t="str">
        <f>"SUL AMERICA COMPANHIA DE SEGURO SAUDE (20080)"</f>
        <v>SUL AMERICA COMPANHIA DE SEGURO SAUDE (20080)</v>
      </c>
      <c r="G5833" t="str">
        <f>"CONVENIO MEDICO SOCIOS E DEPENDENTES"</f>
        <v>CONVENIO MEDICO SOCIOS E DEPENDENTES</v>
      </c>
      <c r="H5833" t="str">
        <f t="shared" si="2722"/>
        <v>03/10/2025</v>
      </c>
      <c r="I5833" t="str">
        <f t="shared" si="2723"/>
        <v>01/10/2025</v>
      </c>
      <c r="J5833" t="str">
        <f t="shared" si="2718"/>
        <v>03/10/2025</v>
      </c>
      <c r="K5833">
        <v>3816</v>
      </c>
      <c r="L5833">
        <v>3816</v>
      </c>
      <c r="M5833">
        <v>192</v>
      </c>
      <c r="N5833" t="str">
        <f>"PLANOS E SEGUROS"</f>
        <v>PLANOS E SEGUROS</v>
      </c>
      <c r="O5833">
        <v>3816</v>
      </c>
      <c r="R5833" t="str">
        <f t="shared" si="2724"/>
        <v>BANCO CORA (102)</v>
      </c>
      <c r="S5833">
        <v>2633</v>
      </c>
      <c r="T5833">
        <v>2210</v>
      </c>
      <c r="U5833" t="s">
        <v>19</v>
      </c>
    </row>
    <row r="5834" spans="1:21">
      <c r="A5834" t="str">
        <f t="shared" si="2717"/>
        <v>03/10/2025</v>
      </c>
      <c r="B5834" t="str">
        <f t="shared" si="2720"/>
        <v>SAÍDA</v>
      </c>
      <c r="C5834" t="str">
        <f>"BOLETO"</f>
        <v>BOLETO</v>
      </c>
      <c r="D5834" t="str">
        <f>"19983"</f>
        <v>19983</v>
      </c>
      <c r="E5834" t="str">
        <f t="shared" si="2708"/>
        <v>COM</v>
      </c>
      <c r="F5834" t="str">
        <f>"SUL AMERICA COMPANHIA DE SEGURO SAUDE (20080)"</f>
        <v>SUL AMERICA COMPANHIA DE SEGURO SAUDE (20080)</v>
      </c>
      <c r="G5834" t="str">
        <f>"CONVENIO MEDICO SOCIOS E DEPENDENTES"</f>
        <v>CONVENIO MEDICO SOCIOS E DEPENDENTES</v>
      </c>
      <c r="H5834" t="str">
        <f t="shared" si="2722"/>
        <v>03/10/2025</v>
      </c>
      <c r="I5834" t="str">
        <f t="shared" si="2723"/>
        <v>01/10/2025</v>
      </c>
      <c r="J5834" t="str">
        <f t="shared" si="2718"/>
        <v>03/10/2025</v>
      </c>
      <c r="M5834">
        <v>192</v>
      </c>
      <c r="N5834" t="str">
        <f>"PLANOS E SEGUROS"</f>
        <v>PLANOS E SEGUROS</v>
      </c>
      <c r="P5834">
        <v>3816</v>
      </c>
      <c r="Q5834" t="str">
        <f>"SUL AMERICA COMPANHIA DE SEGURO SAUDE (20080)"</f>
        <v>SUL AMERICA COMPANHIA DE SEGURO SAUDE (20080)</v>
      </c>
      <c r="R5834" t="str">
        <f t="shared" si="2724"/>
        <v>BANCO CORA (102)</v>
      </c>
      <c r="S5834">
        <v>2633</v>
      </c>
      <c r="T5834">
        <v>2210</v>
      </c>
      <c r="U5834" t="s">
        <v>19</v>
      </c>
    </row>
    <row r="5835" spans="1:21">
      <c r="A5835" t="str">
        <f t="shared" si="2717"/>
        <v>03/10/2025</v>
      </c>
      <c r="B5835" t="str">
        <f t="shared" si="2720"/>
        <v>SAÍDA</v>
      </c>
      <c r="C5835" t="str">
        <f>"JUROS"</f>
        <v>JUROS</v>
      </c>
      <c r="D5835" t="str">
        <f>""</f>
        <v/>
      </c>
      <c r="E5835" t="str">
        <f>"CXA"</f>
        <v>CXA</v>
      </c>
      <c r="F5835" t="str">
        <f>""</f>
        <v/>
      </c>
      <c r="G5835" t="str">
        <f>"TARIFAS BANCARIAS BANCO CORA"</f>
        <v>TARIFAS BANCARIAS BANCO CORA</v>
      </c>
      <c r="H5835" t="str">
        <f t="shared" si="2722"/>
        <v>03/10/2025</v>
      </c>
      <c r="I5835" t="str">
        <f>("03/10/2025")</f>
        <v>03/10/2025</v>
      </c>
      <c r="J5835" t="str">
        <f t="shared" si="2718"/>
        <v>03/10/2025</v>
      </c>
      <c r="K5835">
        <v>3.9</v>
      </c>
      <c r="L5835">
        <v>3.9</v>
      </c>
      <c r="M5835">
        <v>401</v>
      </c>
      <c r="N5835" t="str">
        <f>"IOF/JUROS/DESP.FINANCEIRA"</f>
        <v>IOF/JUROS/DESP.FINANCEIRA</v>
      </c>
      <c r="O5835">
        <v>3.9</v>
      </c>
      <c r="R5835" t="str">
        <f t="shared" si="2724"/>
        <v>BANCO CORA (102)</v>
      </c>
      <c r="S5835">
        <v>2635</v>
      </c>
      <c r="T5835">
        <v>0</v>
      </c>
      <c r="U5835" t="s">
        <v>20</v>
      </c>
    </row>
    <row r="5836" spans="1:21">
      <c r="A5836" t="str">
        <f t="shared" si="2717"/>
        <v>03/10/2025</v>
      </c>
      <c r="B5836" t="str">
        <f>"ENTRADA"</f>
        <v>ENTRADA</v>
      </c>
      <c r="C5836" t="str">
        <f>"NFSE"</f>
        <v>NFSE</v>
      </c>
      <c r="D5836" t="str">
        <f>"3535"</f>
        <v>3535</v>
      </c>
      <c r="E5836" t="str">
        <f t="shared" ref="E5836:E5867" si="2725">"COM"</f>
        <v>COM</v>
      </c>
      <c r="F5836" t="str">
        <f>"DROGARIA VAZ (10179)"</f>
        <v>DROGARIA VAZ (10179)</v>
      </c>
      <c r="G5836" t="str">
        <f>"Serv.Prest. 22/09/2025 a 28/09/2025 - RPS: 1300 - NFSe: 3535"</f>
        <v>Serv.Prest. 22/09/2025 a 28/09/2025 - RPS: 1300 - NFSe: 3535</v>
      </c>
      <c r="H5836" t="str">
        <f>("01/10/2025")</f>
        <v>01/10/2025</v>
      </c>
      <c r="I5836" t="str">
        <f>("29/09/2025")</f>
        <v>29/09/2025</v>
      </c>
      <c r="J5836" t="str">
        <f t="shared" si="2718"/>
        <v>03/10/2025</v>
      </c>
      <c r="K5836">
        <v>220.07</v>
      </c>
      <c r="L5836">
        <v>224.61</v>
      </c>
      <c r="M5836">
        <v>303</v>
      </c>
      <c r="N5836" t="str">
        <f>"RECEITAS COM ENTREGAS"</f>
        <v>RECEITAS COM ENTREGAS</v>
      </c>
      <c r="O5836">
        <v>224.61</v>
      </c>
      <c r="R5836" t="str">
        <f>"RECEITAS COM ENTREGAS (303)"</f>
        <v>RECEITAS COM ENTREGAS (303)</v>
      </c>
      <c r="S5836">
        <v>2919</v>
      </c>
      <c r="T5836">
        <v>2193</v>
      </c>
      <c r="U5836" t="s">
        <v>19</v>
      </c>
    </row>
    <row r="5837" spans="1:21">
      <c r="A5837" t="str">
        <f t="shared" si="2717"/>
        <v>03/10/2025</v>
      </c>
      <c r="B5837" t="str">
        <f>"ENTRADA"</f>
        <v>ENTRADA</v>
      </c>
      <c r="C5837" t="str">
        <f>"NFSE"</f>
        <v>NFSE</v>
      </c>
      <c r="D5837" t="str">
        <f>"3535"</f>
        <v>3535</v>
      </c>
      <c r="E5837" t="str">
        <f t="shared" si="2725"/>
        <v>COM</v>
      </c>
      <c r="F5837" t="str">
        <f>"DROGARIA VAZ (10179)"</f>
        <v>DROGARIA VAZ (10179)</v>
      </c>
      <c r="G5837" t="str">
        <f>"Serv.Prest. 22/09/2025 a 28/09/2025 - RPS: 1300 - NFSe: 3535"</f>
        <v>Serv.Prest. 22/09/2025 a 28/09/2025 - RPS: 1300 - NFSe: 3535</v>
      </c>
      <c r="H5837" t="str">
        <f>("01/10/2025")</f>
        <v>01/10/2025</v>
      </c>
      <c r="I5837" t="str">
        <f>("29/09/2025")</f>
        <v>29/09/2025</v>
      </c>
      <c r="J5837" t="str">
        <f t="shared" si="2718"/>
        <v>03/10/2025</v>
      </c>
      <c r="M5837">
        <v>303</v>
      </c>
      <c r="N5837" t="str">
        <f>"RECEITAS COM ENTREGAS"</f>
        <v>RECEITAS COM ENTREGAS</v>
      </c>
      <c r="P5837">
        <v>224.61</v>
      </c>
      <c r="Q5837" t="str">
        <f>"DROGARIA VAZ (10179)"</f>
        <v>DROGARIA VAZ (10179)</v>
      </c>
      <c r="R5837" t="str">
        <f>"RECEITAS COM ENTREGAS (303)"</f>
        <v>RECEITAS COM ENTREGAS (303)</v>
      </c>
      <c r="S5837">
        <v>2919</v>
      </c>
      <c r="T5837">
        <v>2193</v>
      </c>
      <c r="U5837" t="s">
        <v>19</v>
      </c>
    </row>
    <row r="5838" spans="1:21">
      <c r="A5838" t="str">
        <f t="shared" si="2717"/>
        <v>03/10/2025</v>
      </c>
      <c r="B5838" t="str">
        <f t="shared" ref="B5838:B5847" si="2726">"SAÍDA"</f>
        <v>SAÍDA</v>
      </c>
      <c r="C5838" t="str">
        <f>"BOLETO"</f>
        <v>BOLETO</v>
      </c>
      <c r="D5838" t="str">
        <f>"933512449"</f>
        <v>933512449</v>
      </c>
      <c r="E5838" t="str">
        <f t="shared" si="2725"/>
        <v>COM</v>
      </c>
      <c r="F5838" t="str">
        <f>"ALLMARK SERVICOS DE MARCAS E PATENTES LTDA (20113)"</f>
        <v>ALLMARK SERVICOS DE MARCAS E PATENTES LTDA (20113)</v>
      </c>
      <c r="G5838" t="str">
        <f>"SERVICOS PRESTADOS - MARCAS E PATENTES"</f>
        <v>SERVICOS PRESTADOS - MARCAS E PATENTES</v>
      </c>
      <c r="H5838" t="str">
        <f>("03/10/2025")</f>
        <v>03/10/2025</v>
      </c>
      <c r="I5838" t="str">
        <f>("22/09/2025")</f>
        <v>22/09/2025</v>
      </c>
      <c r="J5838" t="str">
        <f t="shared" si="2718"/>
        <v>03/10/2025</v>
      </c>
      <c r="K5838">
        <v>630.20000000000005</v>
      </c>
      <c r="L5838">
        <v>630.20000000000005</v>
      </c>
      <c r="M5838">
        <v>111</v>
      </c>
      <c r="N5838" t="str">
        <f>"OUTRAS DESPESAS / TAXAS"</f>
        <v>OUTRAS DESPESAS / TAXAS</v>
      </c>
      <c r="O5838">
        <v>630.20000000000005</v>
      </c>
      <c r="R5838" t="str">
        <f t="shared" ref="R5838:R5847" si="2727">"BANCO CORA (102)"</f>
        <v>BANCO CORA (102)</v>
      </c>
      <c r="S5838">
        <v>3155</v>
      </c>
      <c r="T5838">
        <v>2225</v>
      </c>
      <c r="U5838" t="s">
        <v>19</v>
      </c>
    </row>
    <row r="5839" spans="1:21">
      <c r="A5839" t="str">
        <f t="shared" si="2717"/>
        <v>03/10/2025</v>
      </c>
      <c r="B5839" t="str">
        <f t="shared" si="2726"/>
        <v>SAÍDA</v>
      </c>
      <c r="C5839" t="str">
        <f>"BOLETO"</f>
        <v>BOLETO</v>
      </c>
      <c r="D5839" t="str">
        <f>"933512449"</f>
        <v>933512449</v>
      </c>
      <c r="E5839" t="str">
        <f t="shared" si="2725"/>
        <v>COM</v>
      </c>
      <c r="F5839" t="str">
        <f>"ALLMARK SERVICOS DE MARCAS E PATENTES LTDA (20113)"</f>
        <v>ALLMARK SERVICOS DE MARCAS E PATENTES LTDA (20113)</v>
      </c>
      <c r="G5839" t="str">
        <f>"SERVICOS PRESTADOS - MARCAS E PATENTES"</f>
        <v>SERVICOS PRESTADOS - MARCAS E PATENTES</v>
      </c>
      <c r="H5839" t="str">
        <f>("03/10/2025")</f>
        <v>03/10/2025</v>
      </c>
      <c r="I5839" t="str">
        <f>("22/09/2025")</f>
        <v>22/09/2025</v>
      </c>
      <c r="J5839" t="str">
        <f t="shared" si="2718"/>
        <v>03/10/2025</v>
      </c>
      <c r="M5839">
        <v>111</v>
      </c>
      <c r="N5839" t="str">
        <f>"OUTRAS DESPESAS / TAXAS"</f>
        <v>OUTRAS DESPESAS / TAXAS</v>
      </c>
      <c r="P5839">
        <v>630.20000000000005</v>
      </c>
      <c r="Q5839" t="str">
        <f>"ALLMARK SERVICOS DE MARCAS E PATENTES LTDA (20113)"</f>
        <v>ALLMARK SERVICOS DE MARCAS E PATENTES LTDA (20113)</v>
      </c>
      <c r="R5839" t="str">
        <f t="shared" si="2727"/>
        <v>BANCO CORA (102)</v>
      </c>
      <c r="S5839">
        <v>3155</v>
      </c>
      <c r="T5839">
        <v>2225</v>
      </c>
      <c r="U5839" t="s">
        <v>19</v>
      </c>
    </row>
    <row r="5840" spans="1:21">
      <c r="A5840" t="str">
        <f>("06/10/2025")</f>
        <v>06/10/2025</v>
      </c>
      <c r="B5840" t="str">
        <f t="shared" si="2726"/>
        <v>SAÍDA</v>
      </c>
      <c r="C5840" t="str">
        <f>"BOLETO"</f>
        <v>BOLETO</v>
      </c>
      <c r="D5840" t="str">
        <f>"06102025"</f>
        <v>06102025</v>
      </c>
      <c r="E5840" t="str">
        <f t="shared" si="2725"/>
        <v>COM</v>
      </c>
      <c r="F5840" t="str">
        <f>"LOCALIZA RENT A CAR SA (20068)"</f>
        <v>LOCALIZA RENT A CAR SA (20068)</v>
      </c>
      <c r="G5840" t="str">
        <f>"DESPESA DE VIAGEM "</f>
        <v xml:space="preserve">DESPESA DE VIAGEM </v>
      </c>
      <c r="H5840" t="str">
        <f t="shared" ref="H5840:J5841" si="2728">("06/10/2025")</f>
        <v>06/10/2025</v>
      </c>
      <c r="I5840" t="str">
        <f t="shared" si="2728"/>
        <v>06/10/2025</v>
      </c>
      <c r="J5840" t="str">
        <f t="shared" si="2728"/>
        <v>06/10/2025</v>
      </c>
      <c r="K5840">
        <v>864.12</v>
      </c>
      <c r="L5840">
        <v>864.12</v>
      </c>
      <c r="M5840">
        <v>128</v>
      </c>
      <c r="N5840" t="str">
        <f>"DESPESAS COM VIAGENS"</f>
        <v>DESPESAS COM VIAGENS</v>
      </c>
      <c r="O5840">
        <v>864.12</v>
      </c>
      <c r="R5840" t="str">
        <f t="shared" si="2727"/>
        <v>BANCO CORA (102)</v>
      </c>
      <c r="S5840">
        <v>3156</v>
      </c>
      <c r="T5840">
        <v>2744</v>
      </c>
      <c r="U5840" t="s">
        <v>19</v>
      </c>
    </row>
    <row r="5841" spans="1:21">
      <c r="A5841" t="str">
        <f>("06/10/2025")</f>
        <v>06/10/2025</v>
      </c>
      <c r="B5841" t="str">
        <f t="shared" si="2726"/>
        <v>SAÍDA</v>
      </c>
      <c r="C5841" t="str">
        <f>"BOLETO"</f>
        <v>BOLETO</v>
      </c>
      <c r="D5841" t="str">
        <f>"06102025"</f>
        <v>06102025</v>
      </c>
      <c r="E5841" t="str">
        <f t="shared" si="2725"/>
        <v>COM</v>
      </c>
      <c r="F5841" t="str">
        <f>"LOCALIZA RENT A CAR SA (20068)"</f>
        <v>LOCALIZA RENT A CAR SA (20068)</v>
      </c>
      <c r="G5841" t="str">
        <f>"DESPESA DE VIAGEM "</f>
        <v xml:space="preserve">DESPESA DE VIAGEM </v>
      </c>
      <c r="H5841" t="str">
        <f t="shared" si="2728"/>
        <v>06/10/2025</v>
      </c>
      <c r="I5841" t="str">
        <f t="shared" si="2728"/>
        <v>06/10/2025</v>
      </c>
      <c r="J5841" t="str">
        <f t="shared" si="2728"/>
        <v>06/10/2025</v>
      </c>
      <c r="M5841">
        <v>128</v>
      </c>
      <c r="N5841" t="str">
        <f>"DESPESAS COM VIAGENS"</f>
        <v>DESPESAS COM VIAGENS</v>
      </c>
      <c r="P5841">
        <v>864.12</v>
      </c>
      <c r="Q5841" t="str">
        <f>"LOCALIZA RENT A CAR SA (20068)"</f>
        <v>LOCALIZA RENT A CAR SA (20068)</v>
      </c>
      <c r="R5841" t="str">
        <f t="shared" si="2727"/>
        <v>BANCO CORA (102)</v>
      </c>
      <c r="S5841">
        <v>3156</v>
      </c>
      <c r="T5841">
        <v>2744</v>
      </c>
      <c r="U5841" t="s">
        <v>19</v>
      </c>
    </row>
    <row r="5842" spans="1:21">
      <c r="A5842" t="str">
        <f t="shared" ref="A5842:A5847" si="2729">("07/10/2025")</f>
        <v>07/10/2025</v>
      </c>
      <c r="B5842" t="str">
        <f t="shared" si="2726"/>
        <v>SAÍDA</v>
      </c>
      <c r="C5842" t="str">
        <f>"PIX"</f>
        <v>PIX</v>
      </c>
      <c r="D5842" t="str">
        <f>"07102025"</f>
        <v>07102025</v>
      </c>
      <c r="E5842" t="str">
        <f t="shared" si="2725"/>
        <v>COM</v>
      </c>
      <c r="F5842" t="str">
        <f>"MARCELO REZENDE ARANTES (20014)"</f>
        <v>MARCELO REZENDE ARANTES (20014)</v>
      </c>
      <c r="G5842" t="str">
        <f>"DISTRIBUIÇÃO DE LUCROS"</f>
        <v>DISTRIBUIÇÃO DE LUCROS</v>
      </c>
      <c r="H5842" t="str">
        <f t="shared" ref="H5842:J5845" si="2730">("07/10/2025")</f>
        <v>07/10/2025</v>
      </c>
      <c r="I5842" t="str">
        <f t="shared" si="2730"/>
        <v>07/10/2025</v>
      </c>
      <c r="J5842" t="str">
        <f t="shared" si="2730"/>
        <v>07/10/2025</v>
      </c>
      <c r="K5842">
        <v>5000</v>
      </c>
      <c r="L5842">
        <v>5000</v>
      </c>
      <c r="M5842">
        <v>125</v>
      </c>
      <c r="N5842" t="str">
        <f>"DISTRIBUIÇÃO DE LUCRO"</f>
        <v>DISTRIBUIÇÃO DE LUCRO</v>
      </c>
      <c r="O5842">
        <v>5000</v>
      </c>
      <c r="R5842" t="str">
        <f t="shared" si="2727"/>
        <v>BANCO CORA (102)</v>
      </c>
      <c r="S5842">
        <v>3157</v>
      </c>
      <c r="T5842">
        <v>2745</v>
      </c>
      <c r="U5842" t="s">
        <v>19</v>
      </c>
    </row>
    <row r="5843" spans="1:21">
      <c r="A5843" t="str">
        <f t="shared" si="2729"/>
        <v>07/10/2025</v>
      </c>
      <c r="B5843" t="str">
        <f t="shared" si="2726"/>
        <v>SAÍDA</v>
      </c>
      <c r="C5843" t="str">
        <f>"PIX"</f>
        <v>PIX</v>
      </c>
      <c r="D5843" t="str">
        <f>"07102025"</f>
        <v>07102025</v>
      </c>
      <c r="E5843" t="str">
        <f t="shared" si="2725"/>
        <v>COM</v>
      </c>
      <c r="F5843" t="str">
        <f>"MARCELO REZENDE ARANTES (20014)"</f>
        <v>MARCELO REZENDE ARANTES (20014)</v>
      </c>
      <c r="G5843" t="str">
        <f>"DISTRIBUIÇÃO DE LUCROS"</f>
        <v>DISTRIBUIÇÃO DE LUCROS</v>
      </c>
      <c r="H5843" t="str">
        <f t="shared" si="2730"/>
        <v>07/10/2025</v>
      </c>
      <c r="I5843" t="str">
        <f t="shared" si="2730"/>
        <v>07/10/2025</v>
      </c>
      <c r="J5843" t="str">
        <f t="shared" si="2730"/>
        <v>07/10/2025</v>
      </c>
      <c r="M5843">
        <v>125</v>
      </c>
      <c r="N5843" t="str">
        <f>"DISTRIBUIÇÃO DE LUCRO"</f>
        <v>DISTRIBUIÇÃO DE LUCRO</v>
      </c>
      <c r="P5843">
        <v>5000</v>
      </c>
      <c r="Q5843" t="str">
        <f>"MARCELO REZENDE ARANTES (20014)"</f>
        <v>MARCELO REZENDE ARANTES (20014)</v>
      </c>
      <c r="R5843" t="str">
        <f t="shared" si="2727"/>
        <v>BANCO CORA (102)</v>
      </c>
      <c r="S5843">
        <v>3157</v>
      </c>
      <c r="T5843">
        <v>2745</v>
      </c>
      <c r="U5843" t="s">
        <v>19</v>
      </c>
    </row>
    <row r="5844" spans="1:21">
      <c r="A5844" t="str">
        <f t="shared" si="2729"/>
        <v>07/10/2025</v>
      </c>
      <c r="B5844" t="str">
        <f t="shared" si="2726"/>
        <v>SAÍDA</v>
      </c>
      <c r="C5844" t="str">
        <f>"PIX"</f>
        <v>PIX</v>
      </c>
      <c r="D5844" t="str">
        <f>"07102025"</f>
        <v>07102025</v>
      </c>
      <c r="E5844" t="str">
        <f t="shared" si="2725"/>
        <v>COM</v>
      </c>
      <c r="F5844" t="str">
        <f>"LILIANE DE FATIMA REZENDE JUSTINO (20013)"</f>
        <v>LILIANE DE FATIMA REZENDE JUSTINO (20013)</v>
      </c>
      <c r="G5844" t="str">
        <f>"DISTRIBUIÇÃO DE LUCROS "</f>
        <v xml:space="preserve">DISTRIBUIÇÃO DE LUCROS </v>
      </c>
      <c r="H5844" t="str">
        <f t="shared" si="2730"/>
        <v>07/10/2025</v>
      </c>
      <c r="I5844" t="str">
        <f t="shared" si="2730"/>
        <v>07/10/2025</v>
      </c>
      <c r="J5844" t="str">
        <f t="shared" si="2730"/>
        <v>07/10/2025</v>
      </c>
      <c r="K5844">
        <v>1000</v>
      </c>
      <c r="L5844">
        <v>1000</v>
      </c>
      <c r="M5844">
        <v>125</v>
      </c>
      <c r="N5844" t="str">
        <f>"DISTRIBUIÇÃO DE LUCRO"</f>
        <v>DISTRIBUIÇÃO DE LUCRO</v>
      </c>
      <c r="O5844">
        <v>1000</v>
      </c>
      <c r="R5844" t="str">
        <f t="shared" si="2727"/>
        <v>BANCO CORA (102)</v>
      </c>
      <c r="S5844">
        <v>3158</v>
      </c>
      <c r="T5844">
        <v>2746</v>
      </c>
      <c r="U5844" t="s">
        <v>19</v>
      </c>
    </row>
    <row r="5845" spans="1:21">
      <c r="A5845" t="str">
        <f t="shared" si="2729"/>
        <v>07/10/2025</v>
      </c>
      <c r="B5845" t="str">
        <f t="shared" si="2726"/>
        <v>SAÍDA</v>
      </c>
      <c r="C5845" t="str">
        <f>"PIX"</f>
        <v>PIX</v>
      </c>
      <c r="D5845" t="str">
        <f>"07102025"</f>
        <v>07102025</v>
      </c>
      <c r="E5845" t="str">
        <f t="shared" si="2725"/>
        <v>COM</v>
      </c>
      <c r="F5845" t="str">
        <f>"LILIANE DE FATIMA REZENDE JUSTINO (20013)"</f>
        <v>LILIANE DE FATIMA REZENDE JUSTINO (20013)</v>
      </c>
      <c r="G5845" t="str">
        <f>"DISTRIBUIÇÃO DE LUCROS "</f>
        <v xml:space="preserve">DISTRIBUIÇÃO DE LUCROS </v>
      </c>
      <c r="H5845" t="str">
        <f t="shared" si="2730"/>
        <v>07/10/2025</v>
      </c>
      <c r="I5845" t="str">
        <f t="shared" si="2730"/>
        <v>07/10/2025</v>
      </c>
      <c r="J5845" t="str">
        <f t="shared" si="2730"/>
        <v>07/10/2025</v>
      </c>
      <c r="M5845">
        <v>125</v>
      </c>
      <c r="N5845" t="str">
        <f>"DISTRIBUIÇÃO DE LUCRO"</f>
        <v>DISTRIBUIÇÃO DE LUCRO</v>
      </c>
      <c r="P5845">
        <v>1000</v>
      </c>
      <c r="Q5845" t="str">
        <f>"LILIANE DE FATIMA REZENDE JUSTINO (20013)"</f>
        <v>LILIANE DE FATIMA REZENDE JUSTINO (20013)</v>
      </c>
      <c r="R5845" t="str">
        <f t="shared" si="2727"/>
        <v>BANCO CORA (102)</v>
      </c>
      <c r="S5845">
        <v>3158</v>
      </c>
      <c r="T5845">
        <v>2746</v>
      </c>
      <c r="U5845" t="s">
        <v>19</v>
      </c>
    </row>
    <row r="5846" spans="1:21">
      <c r="A5846" t="str">
        <f t="shared" si="2729"/>
        <v>07/10/2025</v>
      </c>
      <c r="B5846" t="str">
        <f t="shared" si="2726"/>
        <v>SAÍDA</v>
      </c>
      <c r="C5846" t="str">
        <f>"BOLETO"</f>
        <v>BOLETO</v>
      </c>
      <c r="D5846" t="str">
        <f>"01"</f>
        <v>01</v>
      </c>
      <c r="E5846" t="str">
        <f t="shared" si="2725"/>
        <v>COM</v>
      </c>
      <c r="F5846" t="str">
        <f>"BANCO DO BRASIL (20001)"</f>
        <v>BANCO DO BRASIL (20001)</v>
      </c>
      <c r="G5846" t="str">
        <f>"EMPRESTIMO FUI TECNOLOGIA"</f>
        <v>EMPRESTIMO FUI TECNOLOGIA</v>
      </c>
      <c r="H5846" t="str">
        <f>("06/10/2025")</f>
        <v>06/10/2025</v>
      </c>
      <c r="I5846" t="str">
        <f>("23/07/2024")</f>
        <v>23/07/2024</v>
      </c>
      <c r="J5846" t="str">
        <f>("07/10/2025")</f>
        <v>07/10/2025</v>
      </c>
      <c r="K5846">
        <v>508.77</v>
      </c>
      <c r="L5846">
        <v>510.04</v>
      </c>
      <c r="M5846">
        <v>114</v>
      </c>
      <c r="N5846" t="str">
        <f>"EMPRESTIMOS"</f>
        <v>EMPRESTIMOS</v>
      </c>
      <c r="O5846">
        <v>510.04</v>
      </c>
      <c r="R5846" t="str">
        <f t="shared" si="2727"/>
        <v>BANCO CORA (102)</v>
      </c>
      <c r="S5846">
        <v>3159</v>
      </c>
      <c r="T5846">
        <v>79</v>
      </c>
      <c r="U5846" t="s">
        <v>19</v>
      </c>
    </row>
    <row r="5847" spans="1:21">
      <c r="A5847" t="str">
        <f t="shared" si="2729"/>
        <v>07/10/2025</v>
      </c>
      <c r="B5847" t="str">
        <f t="shared" si="2726"/>
        <v>SAÍDA</v>
      </c>
      <c r="C5847" t="str">
        <f>"BOLETO"</f>
        <v>BOLETO</v>
      </c>
      <c r="D5847" t="str">
        <f>"01"</f>
        <v>01</v>
      </c>
      <c r="E5847" t="str">
        <f t="shared" si="2725"/>
        <v>COM</v>
      </c>
      <c r="F5847" t="str">
        <f>"BANCO DO BRASIL (20001)"</f>
        <v>BANCO DO BRASIL (20001)</v>
      </c>
      <c r="G5847" t="str">
        <f>"EMPRESTIMO FUI TECNOLOGIA"</f>
        <v>EMPRESTIMO FUI TECNOLOGIA</v>
      </c>
      <c r="H5847" t="str">
        <f>("06/10/2025")</f>
        <v>06/10/2025</v>
      </c>
      <c r="I5847" t="str">
        <f>("23/07/2024")</f>
        <v>23/07/2024</v>
      </c>
      <c r="J5847" t="str">
        <f>("07/10/2025")</f>
        <v>07/10/2025</v>
      </c>
      <c r="M5847">
        <v>114</v>
      </c>
      <c r="N5847" t="str">
        <f>"EMPRESTIMOS"</f>
        <v>EMPRESTIMOS</v>
      </c>
      <c r="P5847">
        <v>510.04</v>
      </c>
      <c r="Q5847" t="str">
        <f>"BANCO DO BRASIL (20001)"</f>
        <v>BANCO DO BRASIL (20001)</v>
      </c>
      <c r="R5847" t="str">
        <f t="shared" si="2727"/>
        <v>BANCO CORA (102)</v>
      </c>
      <c r="S5847">
        <v>3159</v>
      </c>
      <c r="T5847">
        <v>79</v>
      </c>
      <c r="U5847" t="s">
        <v>19</v>
      </c>
    </row>
    <row r="5848" spans="1:21">
      <c r="A5848" t="str">
        <f t="shared" ref="A5848:A5879" si="2731">("08/10/2025")</f>
        <v>08/10/2025</v>
      </c>
      <c r="B5848" t="str">
        <f>"ENTRADA"</f>
        <v>ENTRADA</v>
      </c>
      <c r="C5848" t="str">
        <f t="shared" ref="C5848:C5879" si="2732">"NFSE"</f>
        <v>NFSE</v>
      </c>
      <c r="D5848" t="str">
        <f>"3519"</f>
        <v>3519</v>
      </c>
      <c r="E5848" t="str">
        <f t="shared" si="2725"/>
        <v>COM</v>
      </c>
      <c r="F5848" t="str">
        <f>"FARMÁCIA INDIANA LJ 1 (10126)"</f>
        <v>FARMÁCIA INDIANA LJ 1 (10126)</v>
      </c>
      <c r="G5848" t="str">
        <f>"Serv.Prest. 22/09/2025 a 26/09/2025 - RPS: 1284 - NFSe: 3519"</f>
        <v>Serv.Prest. 22/09/2025 a 26/09/2025 - RPS: 1284 - NFSe: 3519</v>
      </c>
      <c r="H5848" t="str">
        <f t="shared" ref="H5848:H5879" si="2733">("08/10/2025")</f>
        <v>08/10/2025</v>
      </c>
      <c r="I5848" t="str">
        <f t="shared" ref="I5848:I5879" si="2734">("26/09/2025")</f>
        <v>26/09/2025</v>
      </c>
      <c r="J5848" t="str">
        <f t="shared" ref="J5848:J5879" si="2735">("08/10/2025")</f>
        <v>08/10/2025</v>
      </c>
      <c r="K5848">
        <v>62.1</v>
      </c>
      <c r="L5848">
        <v>62.1</v>
      </c>
      <c r="M5848">
        <v>303</v>
      </c>
      <c r="N5848" t="str">
        <f t="shared" ref="N5848:N5879" si="2736">"RECEITAS COM ENTREGAS"</f>
        <v>RECEITAS COM ENTREGAS</v>
      </c>
      <c r="O5848">
        <v>62.1</v>
      </c>
      <c r="R5848" t="str">
        <f t="shared" ref="R5848:R5879" si="2737">"RECEITAS COM ENTREGAS (303)"</f>
        <v>RECEITAS COM ENTREGAS (303)</v>
      </c>
      <c r="S5848">
        <v>2636</v>
      </c>
      <c r="T5848">
        <v>2177</v>
      </c>
      <c r="U5848" t="s">
        <v>19</v>
      </c>
    </row>
    <row r="5849" spans="1:21">
      <c r="A5849" t="str">
        <f t="shared" si="2731"/>
        <v>08/10/2025</v>
      </c>
      <c r="B5849" t="str">
        <f t="shared" ref="B5849:B5912" si="2738">"ENTRADA"</f>
        <v>ENTRADA</v>
      </c>
      <c r="C5849" t="str">
        <f t="shared" si="2732"/>
        <v>NFSE</v>
      </c>
      <c r="D5849" t="str">
        <f>"3519"</f>
        <v>3519</v>
      </c>
      <c r="E5849" t="str">
        <f t="shared" si="2725"/>
        <v>COM</v>
      </c>
      <c r="F5849" t="str">
        <f>"FARMÁCIA INDIANA LJ 1 (10126)"</f>
        <v>FARMÁCIA INDIANA LJ 1 (10126)</v>
      </c>
      <c r="G5849" t="str">
        <f>"Serv.Prest. 22/09/2025 a 26/09/2025 - RPS: 1284 - NFSe: 3519"</f>
        <v>Serv.Prest. 22/09/2025 a 26/09/2025 - RPS: 1284 - NFSe: 3519</v>
      </c>
      <c r="H5849" t="str">
        <f t="shared" si="2733"/>
        <v>08/10/2025</v>
      </c>
      <c r="I5849" t="str">
        <f t="shared" si="2734"/>
        <v>26/09/2025</v>
      </c>
      <c r="J5849" t="str">
        <f t="shared" si="2735"/>
        <v>08/10/2025</v>
      </c>
      <c r="M5849">
        <v>303</v>
      </c>
      <c r="N5849" t="str">
        <f t="shared" si="2736"/>
        <v>RECEITAS COM ENTREGAS</v>
      </c>
      <c r="P5849">
        <v>62.1</v>
      </c>
      <c r="Q5849" t="str">
        <f>"FARMÁCIA INDIANA LJ 18 (10011)"</f>
        <v>FARMÁCIA INDIANA LJ 18 (10011)</v>
      </c>
      <c r="R5849" t="str">
        <f t="shared" si="2737"/>
        <v>RECEITAS COM ENTREGAS (303)</v>
      </c>
      <c r="S5849">
        <v>2636</v>
      </c>
      <c r="T5849">
        <v>2177</v>
      </c>
      <c r="U5849" t="s">
        <v>19</v>
      </c>
    </row>
    <row r="5850" spans="1:21">
      <c r="A5850" t="str">
        <f t="shared" si="2731"/>
        <v>08/10/2025</v>
      </c>
      <c r="B5850" t="str">
        <f t="shared" si="2738"/>
        <v>ENTRADA</v>
      </c>
      <c r="C5850" t="str">
        <f t="shared" si="2732"/>
        <v>NFSE</v>
      </c>
      <c r="D5850" t="str">
        <f t="shared" ref="D5850:D5862" si="2739">"3520"</f>
        <v>3520</v>
      </c>
      <c r="E5850" t="str">
        <f t="shared" si="2725"/>
        <v>COM</v>
      </c>
      <c r="F5850" t="str">
        <f t="shared" ref="F5850:F5862" si="2740">"FARMÁCIA INDIANA LJ 30 (10127)"</f>
        <v>FARMÁCIA INDIANA LJ 30 (10127)</v>
      </c>
      <c r="G5850" t="str">
        <f t="shared" ref="G5850:G5862" si="2741">"Serv.Prest. 22/09/2025 a 25/09/2025 - RPS: 1285 - NFSe: 3520"</f>
        <v>Serv.Prest. 22/09/2025 a 25/09/2025 - RPS: 1285 - NFSe: 3520</v>
      </c>
      <c r="H5850" t="str">
        <f t="shared" si="2733"/>
        <v>08/10/2025</v>
      </c>
      <c r="I5850" t="str">
        <f t="shared" si="2734"/>
        <v>26/09/2025</v>
      </c>
      <c r="J5850" t="str">
        <f t="shared" si="2735"/>
        <v>08/10/2025</v>
      </c>
      <c r="K5850">
        <v>2637.43</v>
      </c>
      <c r="L5850">
        <v>2637.43</v>
      </c>
      <c r="M5850">
        <v>303</v>
      </c>
      <c r="N5850" t="str">
        <f t="shared" si="2736"/>
        <v>RECEITAS COM ENTREGAS</v>
      </c>
      <c r="O5850">
        <v>2637.43</v>
      </c>
      <c r="R5850" t="str">
        <f t="shared" si="2737"/>
        <v>RECEITAS COM ENTREGAS (303)</v>
      </c>
      <c r="S5850">
        <v>2637</v>
      </c>
      <c r="T5850">
        <v>2178</v>
      </c>
      <c r="U5850" t="s">
        <v>19</v>
      </c>
    </row>
    <row r="5851" spans="1:21">
      <c r="A5851" t="str">
        <f t="shared" si="2731"/>
        <v>08/10/2025</v>
      </c>
      <c r="B5851" t="str">
        <f t="shared" si="2738"/>
        <v>ENTRADA</v>
      </c>
      <c r="C5851" t="str">
        <f t="shared" si="2732"/>
        <v>NFSE</v>
      </c>
      <c r="D5851" t="str">
        <f t="shared" si="2739"/>
        <v>3520</v>
      </c>
      <c r="E5851" t="str">
        <f t="shared" si="2725"/>
        <v>COM</v>
      </c>
      <c r="F5851" t="str">
        <f t="shared" si="2740"/>
        <v>FARMÁCIA INDIANA LJ 30 (10127)</v>
      </c>
      <c r="G5851" t="str">
        <f t="shared" si="2741"/>
        <v>Serv.Prest. 22/09/2025 a 25/09/2025 - RPS: 1285 - NFSe: 3520</v>
      </c>
      <c r="H5851" t="str">
        <f t="shared" si="2733"/>
        <v>08/10/2025</v>
      </c>
      <c r="I5851" t="str">
        <f t="shared" si="2734"/>
        <v>26/09/2025</v>
      </c>
      <c r="J5851" t="str">
        <f t="shared" si="2735"/>
        <v>08/10/2025</v>
      </c>
      <c r="M5851">
        <v>303</v>
      </c>
      <c r="N5851" t="str">
        <f t="shared" si="2736"/>
        <v>RECEITAS COM ENTREGAS</v>
      </c>
      <c r="P5851">
        <v>194.91</v>
      </c>
      <c r="Q5851" t="str">
        <f>"FARMÁCIA INDIANA LJ 34 (10014)"</f>
        <v>FARMÁCIA INDIANA LJ 34 (10014)</v>
      </c>
      <c r="R5851" t="str">
        <f t="shared" si="2737"/>
        <v>RECEITAS COM ENTREGAS (303)</v>
      </c>
      <c r="S5851">
        <v>2637</v>
      </c>
      <c r="T5851">
        <v>2178</v>
      </c>
      <c r="U5851" t="s">
        <v>19</v>
      </c>
    </row>
    <row r="5852" spans="1:21">
      <c r="A5852" t="str">
        <f t="shared" si="2731"/>
        <v>08/10/2025</v>
      </c>
      <c r="B5852" t="str">
        <f t="shared" si="2738"/>
        <v>ENTRADA</v>
      </c>
      <c r="C5852" t="str">
        <f t="shared" si="2732"/>
        <v>NFSE</v>
      </c>
      <c r="D5852" t="str">
        <f t="shared" si="2739"/>
        <v>3520</v>
      </c>
      <c r="E5852" t="str">
        <f t="shared" si="2725"/>
        <v>COM</v>
      </c>
      <c r="F5852" t="str">
        <f t="shared" si="2740"/>
        <v>FARMÁCIA INDIANA LJ 30 (10127)</v>
      </c>
      <c r="G5852" t="str">
        <f t="shared" si="2741"/>
        <v>Serv.Prest. 22/09/2025 a 25/09/2025 - RPS: 1285 - NFSe: 3520</v>
      </c>
      <c r="H5852" t="str">
        <f t="shared" si="2733"/>
        <v>08/10/2025</v>
      </c>
      <c r="I5852" t="str">
        <f t="shared" si="2734"/>
        <v>26/09/2025</v>
      </c>
      <c r="J5852" t="str">
        <f t="shared" si="2735"/>
        <v>08/10/2025</v>
      </c>
      <c r="M5852">
        <v>303</v>
      </c>
      <c r="N5852" t="str">
        <f t="shared" si="2736"/>
        <v>RECEITAS COM ENTREGAS</v>
      </c>
      <c r="P5852">
        <v>251.87</v>
      </c>
      <c r="Q5852" t="str">
        <f>"FARMÁCIA INDIANA LJ 35 (10015)"</f>
        <v>FARMÁCIA INDIANA LJ 35 (10015)</v>
      </c>
      <c r="R5852" t="str">
        <f t="shared" si="2737"/>
        <v>RECEITAS COM ENTREGAS (303)</v>
      </c>
      <c r="S5852">
        <v>2637</v>
      </c>
      <c r="T5852">
        <v>2178</v>
      </c>
      <c r="U5852" t="s">
        <v>19</v>
      </c>
    </row>
    <row r="5853" spans="1:21">
      <c r="A5853" t="str">
        <f t="shared" si="2731"/>
        <v>08/10/2025</v>
      </c>
      <c r="B5853" t="str">
        <f t="shared" si="2738"/>
        <v>ENTRADA</v>
      </c>
      <c r="C5853" t="str">
        <f t="shared" si="2732"/>
        <v>NFSE</v>
      </c>
      <c r="D5853" t="str">
        <f t="shared" si="2739"/>
        <v>3520</v>
      </c>
      <c r="E5853" t="str">
        <f t="shared" si="2725"/>
        <v>COM</v>
      </c>
      <c r="F5853" t="str">
        <f t="shared" si="2740"/>
        <v>FARMÁCIA INDIANA LJ 30 (10127)</v>
      </c>
      <c r="G5853" t="str">
        <f t="shared" si="2741"/>
        <v>Serv.Prest. 22/09/2025 a 25/09/2025 - RPS: 1285 - NFSe: 3520</v>
      </c>
      <c r="H5853" t="str">
        <f t="shared" si="2733"/>
        <v>08/10/2025</v>
      </c>
      <c r="I5853" t="str">
        <f t="shared" si="2734"/>
        <v>26/09/2025</v>
      </c>
      <c r="J5853" t="str">
        <f t="shared" si="2735"/>
        <v>08/10/2025</v>
      </c>
      <c r="M5853">
        <v>303</v>
      </c>
      <c r="N5853" t="str">
        <f t="shared" si="2736"/>
        <v>RECEITAS COM ENTREGAS</v>
      </c>
      <c r="P5853">
        <v>153.22999999999999</v>
      </c>
      <c r="Q5853" t="str">
        <f>"FARMÁCIA INDIANA LJ 48 (10018)"</f>
        <v>FARMÁCIA INDIANA LJ 48 (10018)</v>
      </c>
      <c r="R5853" t="str">
        <f t="shared" si="2737"/>
        <v>RECEITAS COM ENTREGAS (303)</v>
      </c>
      <c r="S5853">
        <v>2637</v>
      </c>
      <c r="T5853">
        <v>2178</v>
      </c>
      <c r="U5853" t="s">
        <v>19</v>
      </c>
    </row>
    <row r="5854" spans="1:21">
      <c r="A5854" t="str">
        <f t="shared" si="2731"/>
        <v>08/10/2025</v>
      </c>
      <c r="B5854" t="str">
        <f t="shared" si="2738"/>
        <v>ENTRADA</v>
      </c>
      <c r="C5854" t="str">
        <f t="shared" si="2732"/>
        <v>NFSE</v>
      </c>
      <c r="D5854" t="str">
        <f t="shared" si="2739"/>
        <v>3520</v>
      </c>
      <c r="E5854" t="str">
        <f t="shared" si="2725"/>
        <v>COM</v>
      </c>
      <c r="F5854" t="str">
        <f t="shared" si="2740"/>
        <v>FARMÁCIA INDIANA LJ 30 (10127)</v>
      </c>
      <c r="G5854" t="str">
        <f t="shared" si="2741"/>
        <v>Serv.Prest. 22/09/2025 a 25/09/2025 - RPS: 1285 - NFSe: 3520</v>
      </c>
      <c r="H5854" t="str">
        <f t="shared" si="2733"/>
        <v>08/10/2025</v>
      </c>
      <c r="I5854" t="str">
        <f t="shared" si="2734"/>
        <v>26/09/2025</v>
      </c>
      <c r="J5854" t="str">
        <f t="shared" si="2735"/>
        <v>08/10/2025</v>
      </c>
      <c r="M5854">
        <v>303</v>
      </c>
      <c r="N5854" t="str">
        <f t="shared" si="2736"/>
        <v>RECEITAS COM ENTREGAS</v>
      </c>
      <c r="P5854">
        <v>348.67</v>
      </c>
      <c r="Q5854" t="str">
        <f>"FARMÁCIA INDIANA LJ 65 (10030)"</f>
        <v>FARMÁCIA INDIANA LJ 65 (10030)</v>
      </c>
      <c r="R5854" t="str">
        <f t="shared" si="2737"/>
        <v>RECEITAS COM ENTREGAS (303)</v>
      </c>
      <c r="S5854">
        <v>2637</v>
      </c>
      <c r="T5854">
        <v>2178</v>
      </c>
      <c r="U5854" t="s">
        <v>19</v>
      </c>
    </row>
    <row r="5855" spans="1:21">
      <c r="A5855" t="str">
        <f t="shared" si="2731"/>
        <v>08/10/2025</v>
      </c>
      <c r="B5855" t="str">
        <f t="shared" si="2738"/>
        <v>ENTRADA</v>
      </c>
      <c r="C5855" t="str">
        <f t="shared" si="2732"/>
        <v>NFSE</v>
      </c>
      <c r="D5855" t="str">
        <f t="shared" si="2739"/>
        <v>3520</v>
      </c>
      <c r="E5855" t="str">
        <f t="shared" si="2725"/>
        <v>COM</v>
      </c>
      <c r="F5855" t="str">
        <f t="shared" si="2740"/>
        <v>FARMÁCIA INDIANA LJ 30 (10127)</v>
      </c>
      <c r="G5855" t="str">
        <f t="shared" si="2741"/>
        <v>Serv.Prest. 22/09/2025 a 25/09/2025 - RPS: 1285 - NFSe: 3520</v>
      </c>
      <c r="H5855" t="str">
        <f t="shared" si="2733"/>
        <v>08/10/2025</v>
      </c>
      <c r="I5855" t="str">
        <f t="shared" si="2734"/>
        <v>26/09/2025</v>
      </c>
      <c r="J5855" t="str">
        <f t="shared" si="2735"/>
        <v>08/10/2025</v>
      </c>
      <c r="M5855">
        <v>303</v>
      </c>
      <c r="N5855" t="str">
        <f t="shared" si="2736"/>
        <v>RECEITAS COM ENTREGAS</v>
      </c>
      <c r="P5855">
        <v>128.44</v>
      </c>
      <c r="Q5855" t="str">
        <f>"FARMÁCIA INDIANA LJ 77 (10034)"</f>
        <v>FARMÁCIA INDIANA LJ 77 (10034)</v>
      </c>
      <c r="R5855" t="str">
        <f t="shared" si="2737"/>
        <v>RECEITAS COM ENTREGAS (303)</v>
      </c>
      <c r="S5855">
        <v>2637</v>
      </c>
      <c r="T5855">
        <v>2178</v>
      </c>
      <c r="U5855" t="s">
        <v>19</v>
      </c>
    </row>
    <row r="5856" spans="1:21">
      <c r="A5856" t="str">
        <f t="shared" si="2731"/>
        <v>08/10/2025</v>
      </c>
      <c r="B5856" t="str">
        <f t="shared" si="2738"/>
        <v>ENTRADA</v>
      </c>
      <c r="C5856" t="str">
        <f t="shared" si="2732"/>
        <v>NFSE</v>
      </c>
      <c r="D5856" t="str">
        <f t="shared" si="2739"/>
        <v>3520</v>
      </c>
      <c r="E5856" t="str">
        <f t="shared" si="2725"/>
        <v>COM</v>
      </c>
      <c r="F5856" t="str">
        <f t="shared" si="2740"/>
        <v>FARMÁCIA INDIANA LJ 30 (10127)</v>
      </c>
      <c r="G5856" t="str">
        <f t="shared" si="2741"/>
        <v>Serv.Prest. 22/09/2025 a 25/09/2025 - RPS: 1285 - NFSe: 3520</v>
      </c>
      <c r="H5856" t="str">
        <f t="shared" si="2733"/>
        <v>08/10/2025</v>
      </c>
      <c r="I5856" t="str">
        <f t="shared" si="2734"/>
        <v>26/09/2025</v>
      </c>
      <c r="J5856" t="str">
        <f t="shared" si="2735"/>
        <v>08/10/2025</v>
      </c>
      <c r="M5856">
        <v>303</v>
      </c>
      <c r="N5856" t="str">
        <f t="shared" si="2736"/>
        <v>RECEITAS COM ENTREGAS</v>
      </c>
      <c r="P5856">
        <v>398.52</v>
      </c>
      <c r="Q5856" t="str">
        <f>"FARMÁCIA INDIANA LJ 91 (10037)"</f>
        <v>FARMÁCIA INDIANA LJ 91 (10037)</v>
      </c>
      <c r="R5856" t="str">
        <f t="shared" si="2737"/>
        <v>RECEITAS COM ENTREGAS (303)</v>
      </c>
      <c r="S5856">
        <v>2637</v>
      </c>
      <c r="T5856">
        <v>2178</v>
      </c>
      <c r="U5856" t="s">
        <v>19</v>
      </c>
    </row>
    <row r="5857" spans="1:21">
      <c r="A5857" t="str">
        <f t="shared" si="2731"/>
        <v>08/10/2025</v>
      </c>
      <c r="B5857" t="str">
        <f t="shared" si="2738"/>
        <v>ENTRADA</v>
      </c>
      <c r="C5857" t="str">
        <f t="shared" si="2732"/>
        <v>NFSE</v>
      </c>
      <c r="D5857" t="str">
        <f t="shared" si="2739"/>
        <v>3520</v>
      </c>
      <c r="E5857" t="str">
        <f t="shared" si="2725"/>
        <v>COM</v>
      </c>
      <c r="F5857" t="str">
        <f t="shared" si="2740"/>
        <v>FARMÁCIA INDIANA LJ 30 (10127)</v>
      </c>
      <c r="G5857" t="str">
        <f t="shared" si="2741"/>
        <v>Serv.Prest. 22/09/2025 a 25/09/2025 - RPS: 1285 - NFSe: 3520</v>
      </c>
      <c r="H5857" t="str">
        <f t="shared" si="2733"/>
        <v>08/10/2025</v>
      </c>
      <c r="I5857" t="str">
        <f t="shared" si="2734"/>
        <v>26/09/2025</v>
      </c>
      <c r="J5857" t="str">
        <f t="shared" si="2735"/>
        <v>08/10/2025</v>
      </c>
      <c r="M5857">
        <v>303</v>
      </c>
      <c r="N5857" t="str">
        <f t="shared" si="2736"/>
        <v>RECEITAS COM ENTREGAS</v>
      </c>
      <c r="P5857">
        <v>246.6</v>
      </c>
      <c r="Q5857" t="str">
        <f>"FARMÁCIA INDIANA LJ 95 (10039)"</f>
        <v>FARMÁCIA INDIANA LJ 95 (10039)</v>
      </c>
      <c r="R5857" t="str">
        <f t="shared" si="2737"/>
        <v>RECEITAS COM ENTREGAS (303)</v>
      </c>
      <c r="S5857">
        <v>2637</v>
      </c>
      <c r="T5857">
        <v>2178</v>
      </c>
      <c r="U5857" t="s">
        <v>19</v>
      </c>
    </row>
    <row r="5858" spans="1:21">
      <c r="A5858" t="str">
        <f t="shared" si="2731"/>
        <v>08/10/2025</v>
      </c>
      <c r="B5858" t="str">
        <f t="shared" si="2738"/>
        <v>ENTRADA</v>
      </c>
      <c r="C5858" t="str">
        <f t="shared" si="2732"/>
        <v>NFSE</v>
      </c>
      <c r="D5858" t="str">
        <f t="shared" si="2739"/>
        <v>3520</v>
      </c>
      <c r="E5858" t="str">
        <f t="shared" si="2725"/>
        <v>COM</v>
      </c>
      <c r="F5858" t="str">
        <f t="shared" si="2740"/>
        <v>FARMÁCIA INDIANA LJ 30 (10127)</v>
      </c>
      <c r="G5858" t="str">
        <f t="shared" si="2741"/>
        <v>Serv.Prest. 22/09/2025 a 25/09/2025 - RPS: 1285 - NFSe: 3520</v>
      </c>
      <c r="H5858" t="str">
        <f t="shared" si="2733"/>
        <v>08/10/2025</v>
      </c>
      <c r="I5858" t="str">
        <f t="shared" si="2734"/>
        <v>26/09/2025</v>
      </c>
      <c r="J5858" t="str">
        <f t="shared" si="2735"/>
        <v>08/10/2025</v>
      </c>
      <c r="M5858">
        <v>303</v>
      </c>
      <c r="N5858" t="str">
        <f t="shared" si="2736"/>
        <v>RECEITAS COM ENTREGAS</v>
      </c>
      <c r="P5858">
        <v>280.89</v>
      </c>
      <c r="Q5858" t="str">
        <f>"FARMÁCIA INDIANA LJ 145 (10068)"</f>
        <v>FARMÁCIA INDIANA LJ 145 (10068)</v>
      </c>
      <c r="R5858" t="str">
        <f t="shared" si="2737"/>
        <v>RECEITAS COM ENTREGAS (303)</v>
      </c>
      <c r="S5858">
        <v>2637</v>
      </c>
      <c r="T5858">
        <v>2178</v>
      </c>
      <c r="U5858" t="s">
        <v>19</v>
      </c>
    </row>
    <row r="5859" spans="1:21">
      <c r="A5859" t="str">
        <f t="shared" si="2731"/>
        <v>08/10/2025</v>
      </c>
      <c r="B5859" t="str">
        <f t="shared" si="2738"/>
        <v>ENTRADA</v>
      </c>
      <c r="C5859" t="str">
        <f t="shared" si="2732"/>
        <v>NFSE</v>
      </c>
      <c r="D5859" t="str">
        <f t="shared" si="2739"/>
        <v>3520</v>
      </c>
      <c r="E5859" t="str">
        <f t="shared" si="2725"/>
        <v>COM</v>
      </c>
      <c r="F5859" t="str">
        <f t="shared" si="2740"/>
        <v>FARMÁCIA INDIANA LJ 30 (10127)</v>
      </c>
      <c r="G5859" t="str">
        <f t="shared" si="2741"/>
        <v>Serv.Prest. 22/09/2025 a 25/09/2025 - RPS: 1285 - NFSe: 3520</v>
      </c>
      <c r="H5859" t="str">
        <f t="shared" si="2733"/>
        <v>08/10/2025</v>
      </c>
      <c r="I5859" t="str">
        <f t="shared" si="2734"/>
        <v>26/09/2025</v>
      </c>
      <c r="J5859" t="str">
        <f t="shared" si="2735"/>
        <v>08/10/2025</v>
      </c>
      <c r="M5859">
        <v>303</v>
      </c>
      <c r="N5859" t="str">
        <f t="shared" si="2736"/>
        <v>RECEITAS COM ENTREGAS</v>
      </c>
      <c r="P5859">
        <v>70.16</v>
      </c>
      <c r="Q5859" t="str">
        <f>"FARMÁCIA INDIANA LJ 169 (10073)"</f>
        <v>FARMÁCIA INDIANA LJ 169 (10073)</v>
      </c>
      <c r="R5859" t="str">
        <f t="shared" si="2737"/>
        <v>RECEITAS COM ENTREGAS (303)</v>
      </c>
      <c r="S5859">
        <v>2637</v>
      </c>
      <c r="T5859">
        <v>2178</v>
      </c>
      <c r="U5859" t="s">
        <v>19</v>
      </c>
    </row>
    <row r="5860" spans="1:21">
      <c r="A5860" t="str">
        <f t="shared" si="2731"/>
        <v>08/10/2025</v>
      </c>
      <c r="B5860" t="str">
        <f t="shared" si="2738"/>
        <v>ENTRADA</v>
      </c>
      <c r="C5860" t="str">
        <f t="shared" si="2732"/>
        <v>NFSE</v>
      </c>
      <c r="D5860" t="str">
        <f t="shared" si="2739"/>
        <v>3520</v>
      </c>
      <c r="E5860" t="str">
        <f t="shared" si="2725"/>
        <v>COM</v>
      </c>
      <c r="F5860" t="str">
        <f t="shared" si="2740"/>
        <v>FARMÁCIA INDIANA LJ 30 (10127)</v>
      </c>
      <c r="G5860" t="str">
        <f t="shared" si="2741"/>
        <v>Serv.Prest. 22/09/2025 a 25/09/2025 - RPS: 1285 - NFSe: 3520</v>
      </c>
      <c r="H5860" t="str">
        <f t="shared" si="2733"/>
        <v>08/10/2025</v>
      </c>
      <c r="I5860" t="str">
        <f t="shared" si="2734"/>
        <v>26/09/2025</v>
      </c>
      <c r="J5860" t="str">
        <f t="shared" si="2735"/>
        <v>08/10/2025</v>
      </c>
      <c r="M5860">
        <v>303</v>
      </c>
      <c r="N5860" t="str">
        <f t="shared" si="2736"/>
        <v>RECEITAS COM ENTREGAS</v>
      </c>
      <c r="P5860">
        <v>174.33</v>
      </c>
      <c r="Q5860" t="str">
        <f>"FARMÁCIA INDIANA LJ 173 (10075)"</f>
        <v>FARMÁCIA INDIANA LJ 173 (10075)</v>
      </c>
      <c r="R5860" t="str">
        <f t="shared" si="2737"/>
        <v>RECEITAS COM ENTREGAS (303)</v>
      </c>
      <c r="S5860">
        <v>2637</v>
      </c>
      <c r="T5860">
        <v>2178</v>
      </c>
      <c r="U5860" t="s">
        <v>19</v>
      </c>
    </row>
    <row r="5861" spans="1:21">
      <c r="A5861" t="str">
        <f t="shared" si="2731"/>
        <v>08/10/2025</v>
      </c>
      <c r="B5861" t="str">
        <f t="shared" si="2738"/>
        <v>ENTRADA</v>
      </c>
      <c r="C5861" t="str">
        <f t="shared" si="2732"/>
        <v>NFSE</v>
      </c>
      <c r="D5861" t="str">
        <f t="shared" si="2739"/>
        <v>3520</v>
      </c>
      <c r="E5861" t="str">
        <f t="shared" si="2725"/>
        <v>COM</v>
      </c>
      <c r="F5861" t="str">
        <f t="shared" si="2740"/>
        <v>FARMÁCIA INDIANA LJ 30 (10127)</v>
      </c>
      <c r="G5861" t="str">
        <f t="shared" si="2741"/>
        <v>Serv.Prest. 22/09/2025 a 25/09/2025 - RPS: 1285 - NFSe: 3520</v>
      </c>
      <c r="H5861" t="str">
        <f t="shared" si="2733"/>
        <v>08/10/2025</v>
      </c>
      <c r="I5861" t="str">
        <f t="shared" si="2734"/>
        <v>26/09/2025</v>
      </c>
      <c r="J5861" t="str">
        <f t="shared" si="2735"/>
        <v>08/10/2025</v>
      </c>
      <c r="M5861">
        <v>303</v>
      </c>
      <c r="N5861" t="str">
        <f t="shared" si="2736"/>
        <v>RECEITAS COM ENTREGAS</v>
      </c>
      <c r="P5861">
        <v>203.87</v>
      </c>
      <c r="Q5861" t="str">
        <f>"FARMÁCIA INDIANA LJ 200 (10155)"</f>
        <v>FARMÁCIA INDIANA LJ 200 (10155)</v>
      </c>
      <c r="R5861" t="str">
        <f t="shared" si="2737"/>
        <v>RECEITAS COM ENTREGAS (303)</v>
      </c>
      <c r="S5861">
        <v>2637</v>
      </c>
      <c r="T5861">
        <v>2178</v>
      </c>
      <c r="U5861" t="s">
        <v>19</v>
      </c>
    </row>
    <row r="5862" spans="1:21">
      <c r="A5862" t="str">
        <f t="shared" si="2731"/>
        <v>08/10/2025</v>
      </c>
      <c r="B5862" t="str">
        <f t="shared" si="2738"/>
        <v>ENTRADA</v>
      </c>
      <c r="C5862" t="str">
        <f t="shared" si="2732"/>
        <v>NFSE</v>
      </c>
      <c r="D5862" t="str">
        <f t="shared" si="2739"/>
        <v>3520</v>
      </c>
      <c r="E5862" t="str">
        <f t="shared" si="2725"/>
        <v>COM</v>
      </c>
      <c r="F5862" t="str">
        <f t="shared" si="2740"/>
        <v>FARMÁCIA INDIANA LJ 30 (10127)</v>
      </c>
      <c r="G5862" t="str">
        <f t="shared" si="2741"/>
        <v>Serv.Prest. 22/09/2025 a 25/09/2025 - RPS: 1285 - NFSe: 3520</v>
      </c>
      <c r="H5862" t="str">
        <f t="shared" si="2733"/>
        <v>08/10/2025</v>
      </c>
      <c r="I5862" t="str">
        <f t="shared" si="2734"/>
        <v>26/09/2025</v>
      </c>
      <c r="J5862" t="str">
        <f t="shared" si="2735"/>
        <v>08/10/2025</v>
      </c>
      <c r="M5862">
        <v>303</v>
      </c>
      <c r="N5862" t="str">
        <f t="shared" si="2736"/>
        <v>RECEITAS COM ENTREGAS</v>
      </c>
      <c r="P5862">
        <v>185.94</v>
      </c>
      <c r="Q5862" t="str">
        <f>"FARMÁCIA INDIANA LJ 33 (10187)"</f>
        <v>FARMÁCIA INDIANA LJ 33 (10187)</v>
      </c>
      <c r="R5862" t="str">
        <f t="shared" si="2737"/>
        <v>RECEITAS COM ENTREGAS (303)</v>
      </c>
      <c r="S5862">
        <v>2637</v>
      </c>
      <c r="T5862">
        <v>2178</v>
      </c>
      <c r="U5862" t="s">
        <v>19</v>
      </c>
    </row>
    <row r="5863" spans="1:21">
      <c r="A5863" t="str">
        <f t="shared" si="2731"/>
        <v>08/10/2025</v>
      </c>
      <c r="B5863" t="str">
        <f t="shared" si="2738"/>
        <v>ENTRADA</v>
      </c>
      <c r="C5863" t="str">
        <f t="shared" si="2732"/>
        <v>NFSE</v>
      </c>
      <c r="D5863" t="str">
        <f t="shared" ref="D5863:D5910" si="2742">"3521"</f>
        <v>3521</v>
      </c>
      <c r="E5863" t="str">
        <f t="shared" si="2725"/>
        <v>COM</v>
      </c>
      <c r="F5863" t="str">
        <f t="shared" ref="F5863:F5910" si="2743">"FARMÁCIA INDIANA LJ 1 (10126)"</f>
        <v>FARMÁCIA INDIANA LJ 1 (10126)</v>
      </c>
      <c r="G5863" t="str">
        <f t="shared" ref="G5863:G5910" si="2744">"Serv.Prest. 22/09/2025 a 25/09/2025 - RPS: 1286 - NFSe: 3521"</f>
        <v>Serv.Prest. 22/09/2025 a 25/09/2025 - RPS: 1286 - NFSe: 3521</v>
      </c>
      <c r="H5863" t="str">
        <f t="shared" si="2733"/>
        <v>08/10/2025</v>
      </c>
      <c r="I5863" t="str">
        <f t="shared" si="2734"/>
        <v>26/09/2025</v>
      </c>
      <c r="J5863" t="str">
        <f t="shared" si="2735"/>
        <v>08/10/2025</v>
      </c>
      <c r="K5863">
        <v>10268.92</v>
      </c>
      <c r="L5863">
        <v>10268.92</v>
      </c>
      <c r="M5863">
        <v>303</v>
      </c>
      <c r="N5863" t="str">
        <f t="shared" si="2736"/>
        <v>RECEITAS COM ENTREGAS</v>
      </c>
      <c r="O5863">
        <v>10268.92</v>
      </c>
      <c r="R5863" t="str">
        <f t="shared" si="2737"/>
        <v>RECEITAS COM ENTREGAS (303)</v>
      </c>
      <c r="S5863">
        <v>2638</v>
      </c>
      <c r="T5863">
        <v>2179</v>
      </c>
      <c r="U5863" t="s">
        <v>19</v>
      </c>
    </row>
    <row r="5864" spans="1:21">
      <c r="A5864" t="str">
        <f t="shared" si="2731"/>
        <v>08/10/2025</v>
      </c>
      <c r="B5864" t="str">
        <f t="shared" si="2738"/>
        <v>ENTRADA</v>
      </c>
      <c r="C5864" t="str">
        <f t="shared" si="2732"/>
        <v>NFSE</v>
      </c>
      <c r="D5864" t="str">
        <f t="shared" si="2742"/>
        <v>3521</v>
      </c>
      <c r="E5864" t="str">
        <f t="shared" si="2725"/>
        <v>COM</v>
      </c>
      <c r="F5864" t="str">
        <f t="shared" si="2743"/>
        <v>FARMÁCIA INDIANA LJ 1 (10126)</v>
      </c>
      <c r="G5864" t="str">
        <f t="shared" si="2744"/>
        <v>Serv.Prest. 22/09/2025 a 25/09/2025 - RPS: 1286 - NFSe: 3521</v>
      </c>
      <c r="H5864" t="str">
        <f t="shared" si="2733"/>
        <v>08/10/2025</v>
      </c>
      <c r="I5864" t="str">
        <f t="shared" si="2734"/>
        <v>26/09/2025</v>
      </c>
      <c r="J5864" t="str">
        <f t="shared" si="2735"/>
        <v>08/10/2025</v>
      </c>
      <c r="M5864">
        <v>303</v>
      </c>
      <c r="N5864" t="str">
        <f t="shared" si="2736"/>
        <v>RECEITAS COM ENTREGAS</v>
      </c>
      <c r="P5864">
        <v>1164.45</v>
      </c>
      <c r="Q5864" t="str">
        <f>"FARMÁCIA INDIANA LJ 06 (10006)"</f>
        <v>FARMÁCIA INDIANA LJ 06 (10006)</v>
      </c>
      <c r="R5864" t="str">
        <f t="shared" si="2737"/>
        <v>RECEITAS COM ENTREGAS (303)</v>
      </c>
      <c r="S5864">
        <v>2638</v>
      </c>
      <c r="T5864">
        <v>2179</v>
      </c>
      <c r="U5864" t="s">
        <v>19</v>
      </c>
    </row>
    <row r="5865" spans="1:21">
      <c r="A5865" t="str">
        <f t="shared" si="2731"/>
        <v>08/10/2025</v>
      </c>
      <c r="B5865" t="str">
        <f t="shared" si="2738"/>
        <v>ENTRADA</v>
      </c>
      <c r="C5865" t="str">
        <f t="shared" si="2732"/>
        <v>NFSE</v>
      </c>
      <c r="D5865" t="str">
        <f t="shared" si="2742"/>
        <v>3521</v>
      </c>
      <c r="E5865" t="str">
        <f t="shared" si="2725"/>
        <v>COM</v>
      </c>
      <c r="F5865" t="str">
        <f t="shared" si="2743"/>
        <v>FARMÁCIA INDIANA LJ 1 (10126)</v>
      </c>
      <c r="G5865" t="str">
        <f t="shared" si="2744"/>
        <v>Serv.Prest. 22/09/2025 a 25/09/2025 - RPS: 1286 - NFSe: 3521</v>
      </c>
      <c r="H5865" t="str">
        <f t="shared" si="2733"/>
        <v>08/10/2025</v>
      </c>
      <c r="I5865" t="str">
        <f t="shared" si="2734"/>
        <v>26/09/2025</v>
      </c>
      <c r="J5865" t="str">
        <f t="shared" si="2735"/>
        <v>08/10/2025</v>
      </c>
      <c r="M5865">
        <v>303</v>
      </c>
      <c r="N5865" t="str">
        <f t="shared" si="2736"/>
        <v>RECEITAS COM ENTREGAS</v>
      </c>
      <c r="P5865">
        <v>786.6</v>
      </c>
      <c r="Q5865" t="str">
        <f>"FARMÁCIA INDIANA LJ 07 (10007)"</f>
        <v>FARMÁCIA INDIANA LJ 07 (10007)</v>
      </c>
      <c r="R5865" t="str">
        <f t="shared" si="2737"/>
        <v>RECEITAS COM ENTREGAS (303)</v>
      </c>
      <c r="S5865">
        <v>2638</v>
      </c>
      <c r="T5865">
        <v>2179</v>
      </c>
      <c r="U5865" t="s">
        <v>19</v>
      </c>
    </row>
    <row r="5866" spans="1:21">
      <c r="A5866" t="str">
        <f t="shared" si="2731"/>
        <v>08/10/2025</v>
      </c>
      <c r="B5866" t="str">
        <f t="shared" si="2738"/>
        <v>ENTRADA</v>
      </c>
      <c r="C5866" t="str">
        <f t="shared" si="2732"/>
        <v>NFSE</v>
      </c>
      <c r="D5866" t="str">
        <f t="shared" si="2742"/>
        <v>3521</v>
      </c>
      <c r="E5866" t="str">
        <f t="shared" si="2725"/>
        <v>COM</v>
      </c>
      <c r="F5866" t="str">
        <f t="shared" si="2743"/>
        <v>FARMÁCIA INDIANA LJ 1 (10126)</v>
      </c>
      <c r="G5866" t="str">
        <f t="shared" si="2744"/>
        <v>Serv.Prest. 22/09/2025 a 25/09/2025 - RPS: 1286 - NFSe: 3521</v>
      </c>
      <c r="H5866" t="str">
        <f t="shared" si="2733"/>
        <v>08/10/2025</v>
      </c>
      <c r="I5866" t="str">
        <f t="shared" si="2734"/>
        <v>26/09/2025</v>
      </c>
      <c r="J5866" t="str">
        <f t="shared" si="2735"/>
        <v>08/10/2025</v>
      </c>
      <c r="M5866">
        <v>303</v>
      </c>
      <c r="N5866" t="str">
        <f t="shared" si="2736"/>
        <v>RECEITAS COM ENTREGAS</v>
      </c>
      <c r="P5866">
        <v>696.23</v>
      </c>
      <c r="Q5866" t="str">
        <f>"FARMÁCIA INDIANA LJ 11 (10008)"</f>
        <v>FARMÁCIA INDIANA LJ 11 (10008)</v>
      </c>
      <c r="R5866" t="str">
        <f t="shared" si="2737"/>
        <v>RECEITAS COM ENTREGAS (303)</v>
      </c>
      <c r="S5866">
        <v>2638</v>
      </c>
      <c r="T5866">
        <v>2179</v>
      </c>
      <c r="U5866" t="s">
        <v>19</v>
      </c>
    </row>
    <row r="5867" spans="1:21">
      <c r="A5867" t="str">
        <f t="shared" si="2731"/>
        <v>08/10/2025</v>
      </c>
      <c r="B5867" t="str">
        <f t="shared" si="2738"/>
        <v>ENTRADA</v>
      </c>
      <c r="C5867" t="str">
        <f t="shared" si="2732"/>
        <v>NFSE</v>
      </c>
      <c r="D5867" t="str">
        <f t="shared" si="2742"/>
        <v>3521</v>
      </c>
      <c r="E5867" t="str">
        <f t="shared" si="2725"/>
        <v>COM</v>
      </c>
      <c r="F5867" t="str">
        <f t="shared" si="2743"/>
        <v>FARMÁCIA INDIANA LJ 1 (10126)</v>
      </c>
      <c r="G5867" t="str">
        <f t="shared" si="2744"/>
        <v>Serv.Prest. 22/09/2025 a 25/09/2025 - RPS: 1286 - NFSe: 3521</v>
      </c>
      <c r="H5867" t="str">
        <f t="shared" si="2733"/>
        <v>08/10/2025</v>
      </c>
      <c r="I5867" t="str">
        <f t="shared" si="2734"/>
        <v>26/09/2025</v>
      </c>
      <c r="J5867" t="str">
        <f t="shared" si="2735"/>
        <v>08/10/2025</v>
      </c>
      <c r="M5867">
        <v>303</v>
      </c>
      <c r="N5867" t="str">
        <f t="shared" si="2736"/>
        <v>RECEITAS COM ENTREGAS</v>
      </c>
      <c r="P5867">
        <v>265.97000000000003</v>
      </c>
      <c r="Q5867" t="str">
        <f>"FARMÁCIA INDIANA LJ 14 (10009)"</f>
        <v>FARMÁCIA INDIANA LJ 14 (10009)</v>
      </c>
      <c r="R5867" t="str">
        <f t="shared" si="2737"/>
        <v>RECEITAS COM ENTREGAS (303)</v>
      </c>
      <c r="S5867">
        <v>2638</v>
      </c>
      <c r="T5867">
        <v>2179</v>
      </c>
      <c r="U5867" t="s">
        <v>19</v>
      </c>
    </row>
    <row r="5868" spans="1:21">
      <c r="A5868" t="str">
        <f t="shared" si="2731"/>
        <v>08/10/2025</v>
      </c>
      <c r="B5868" t="str">
        <f t="shared" si="2738"/>
        <v>ENTRADA</v>
      </c>
      <c r="C5868" t="str">
        <f t="shared" si="2732"/>
        <v>NFSE</v>
      </c>
      <c r="D5868" t="str">
        <f t="shared" si="2742"/>
        <v>3521</v>
      </c>
      <c r="E5868" t="str">
        <f t="shared" ref="E5868:E5899" si="2745">"COM"</f>
        <v>COM</v>
      </c>
      <c r="F5868" t="str">
        <f t="shared" si="2743"/>
        <v>FARMÁCIA INDIANA LJ 1 (10126)</v>
      </c>
      <c r="G5868" t="str">
        <f t="shared" si="2744"/>
        <v>Serv.Prest. 22/09/2025 a 25/09/2025 - RPS: 1286 - NFSe: 3521</v>
      </c>
      <c r="H5868" t="str">
        <f t="shared" si="2733"/>
        <v>08/10/2025</v>
      </c>
      <c r="I5868" t="str">
        <f t="shared" si="2734"/>
        <v>26/09/2025</v>
      </c>
      <c r="J5868" t="str">
        <f t="shared" si="2735"/>
        <v>08/10/2025</v>
      </c>
      <c r="M5868">
        <v>303</v>
      </c>
      <c r="N5868" t="str">
        <f t="shared" si="2736"/>
        <v>RECEITAS COM ENTREGAS</v>
      </c>
      <c r="P5868">
        <v>205.38</v>
      </c>
      <c r="Q5868" t="str">
        <f>"FARMÁCIA INDIANA LJ 18 (10011)"</f>
        <v>FARMÁCIA INDIANA LJ 18 (10011)</v>
      </c>
      <c r="R5868" t="str">
        <f t="shared" si="2737"/>
        <v>RECEITAS COM ENTREGAS (303)</v>
      </c>
      <c r="S5868">
        <v>2638</v>
      </c>
      <c r="T5868">
        <v>2179</v>
      </c>
      <c r="U5868" t="s">
        <v>19</v>
      </c>
    </row>
    <row r="5869" spans="1:21">
      <c r="A5869" t="str">
        <f t="shared" si="2731"/>
        <v>08/10/2025</v>
      </c>
      <c r="B5869" t="str">
        <f t="shared" si="2738"/>
        <v>ENTRADA</v>
      </c>
      <c r="C5869" t="str">
        <f t="shared" si="2732"/>
        <v>NFSE</v>
      </c>
      <c r="D5869" t="str">
        <f t="shared" si="2742"/>
        <v>3521</v>
      </c>
      <c r="E5869" t="str">
        <f t="shared" si="2745"/>
        <v>COM</v>
      </c>
      <c r="F5869" t="str">
        <f t="shared" si="2743"/>
        <v>FARMÁCIA INDIANA LJ 1 (10126)</v>
      </c>
      <c r="G5869" t="str">
        <f t="shared" si="2744"/>
        <v>Serv.Prest. 22/09/2025 a 25/09/2025 - RPS: 1286 - NFSe: 3521</v>
      </c>
      <c r="H5869" t="str">
        <f t="shared" si="2733"/>
        <v>08/10/2025</v>
      </c>
      <c r="I5869" t="str">
        <f t="shared" si="2734"/>
        <v>26/09/2025</v>
      </c>
      <c r="J5869" t="str">
        <f t="shared" si="2735"/>
        <v>08/10/2025</v>
      </c>
      <c r="M5869">
        <v>303</v>
      </c>
      <c r="N5869" t="str">
        <f t="shared" si="2736"/>
        <v>RECEITAS COM ENTREGAS</v>
      </c>
      <c r="P5869">
        <v>214.62</v>
      </c>
      <c r="Q5869" t="str">
        <f>"FARMÁCIA INDIANA LJ 19 (10012)"</f>
        <v>FARMÁCIA INDIANA LJ 19 (10012)</v>
      </c>
      <c r="R5869" t="str">
        <f t="shared" si="2737"/>
        <v>RECEITAS COM ENTREGAS (303)</v>
      </c>
      <c r="S5869">
        <v>2638</v>
      </c>
      <c r="T5869">
        <v>2179</v>
      </c>
      <c r="U5869" t="s">
        <v>19</v>
      </c>
    </row>
    <row r="5870" spans="1:21">
      <c r="A5870" t="str">
        <f t="shared" si="2731"/>
        <v>08/10/2025</v>
      </c>
      <c r="B5870" t="str">
        <f t="shared" si="2738"/>
        <v>ENTRADA</v>
      </c>
      <c r="C5870" t="str">
        <f t="shared" si="2732"/>
        <v>NFSE</v>
      </c>
      <c r="D5870" t="str">
        <f t="shared" si="2742"/>
        <v>3521</v>
      </c>
      <c r="E5870" t="str">
        <f t="shared" si="2745"/>
        <v>COM</v>
      </c>
      <c r="F5870" t="str">
        <f t="shared" si="2743"/>
        <v>FARMÁCIA INDIANA LJ 1 (10126)</v>
      </c>
      <c r="G5870" t="str">
        <f t="shared" si="2744"/>
        <v>Serv.Prest. 22/09/2025 a 25/09/2025 - RPS: 1286 - NFSe: 3521</v>
      </c>
      <c r="H5870" t="str">
        <f t="shared" si="2733"/>
        <v>08/10/2025</v>
      </c>
      <c r="I5870" t="str">
        <f t="shared" si="2734"/>
        <v>26/09/2025</v>
      </c>
      <c r="J5870" t="str">
        <f t="shared" si="2735"/>
        <v>08/10/2025</v>
      </c>
      <c r="M5870">
        <v>303</v>
      </c>
      <c r="N5870" t="str">
        <f t="shared" si="2736"/>
        <v>RECEITAS COM ENTREGAS</v>
      </c>
      <c r="P5870">
        <v>684.94</v>
      </c>
      <c r="Q5870" t="str">
        <f>"FARMÁCIA INDIANA LJ 40 (10016)"</f>
        <v>FARMÁCIA INDIANA LJ 40 (10016)</v>
      </c>
      <c r="R5870" t="str">
        <f t="shared" si="2737"/>
        <v>RECEITAS COM ENTREGAS (303)</v>
      </c>
      <c r="S5870">
        <v>2638</v>
      </c>
      <c r="T5870">
        <v>2179</v>
      </c>
      <c r="U5870" t="s">
        <v>19</v>
      </c>
    </row>
    <row r="5871" spans="1:21">
      <c r="A5871" t="str">
        <f t="shared" si="2731"/>
        <v>08/10/2025</v>
      </c>
      <c r="B5871" t="str">
        <f t="shared" si="2738"/>
        <v>ENTRADA</v>
      </c>
      <c r="C5871" t="str">
        <f t="shared" si="2732"/>
        <v>NFSE</v>
      </c>
      <c r="D5871" t="str">
        <f t="shared" si="2742"/>
        <v>3521</v>
      </c>
      <c r="E5871" t="str">
        <f t="shared" si="2745"/>
        <v>COM</v>
      </c>
      <c r="F5871" t="str">
        <f t="shared" si="2743"/>
        <v>FARMÁCIA INDIANA LJ 1 (10126)</v>
      </c>
      <c r="G5871" t="str">
        <f t="shared" si="2744"/>
        <v>Serv.Prest. 22/09/2025 a 25/09/2025 - RPS: 1286 - NFSe: 3521</v>
      </c>
      <c r="H5871" t="str">
        <f t="shared" si="2733"/>
        <v>08/10/2025</v>
      </c>
      <c r="I5871" t="str">
        <f t="shared" si="2734"/>
        <v>26/09/2025</v>
      </c>
      <c r="J5871" t="str">
        <f t="shared" si="2735"/>
        <v>08/10/2025</v>
      </c>
      <c r="M5871">
        <v>303</v>
      </c>
      <c r="N5871" t="str">
        <f t="shared" si="2736"/>
        <v>RECEITAS COM ENTREGAS</v>
      </c>
      <c r="P5871">
        <v>204.35</v>
      </c>
      <c r="Q5871" t="str">
        <f>"FARMÁCIA INDIANA LJ 59 (10026)"</f>
        <v>FARMÁCIA INDIANA LJ 59 (10026)</v>
      </c>
      <c r="R5871" t="str">
        <f t="shared" si="2737"/>
        <v>RECEITAS COM ENTREGAS (303)</v>
      </c>
      <c r="S5871">
        <v>2638</v>
      </c>
      <c r="T5871">
        <v>2179</v>
      </c>
      <c r="U5871" t="s">
        <v>19</v>
      </c>
    </row>
    <row r="5872" spans="1:21">
      <c r="A5872" t="str">
        <f t="shared" si="2731"/>
        <v>08/10/2025</v>
      </c>
      <c r="B5872" t="str">
        <f t="shared" si="2738"/>
        <v>ENTRADA</v>
      </c>
      <c r="C5872" t="str">
        <f t="shared" si="2732"/>
        <v>NFSE</v>
      </c>
      <c r="D5872" t="str">
        <f t="shared" si="2742"/>
        <v>3521</v>
      </c>
      <c r="E5872" t="str">
        <f t="shared" si="2745"/>
        <v>COM</v>
      </c>
      <c r="F5872" t="str">
        <f t="shared" si="2743"/>
        <v>FARMÁCIA INDIANA LJ 1 (10126)</v>
      </c>
      <c r="G5872" t="str">
        <f t="shared" si="2744"/>
        <v>Serv.Prest. 22/09/2025 a 25/09/2025 - RPS: 1286 - NFSe: 3521</v>
      </c>
      <c r="H5872" t="str">
        <f t="shared" si="2733"/>
        <v>08/10/2025</v>
      </c>
      <c r="I5872" t="str">
        <f t="shared" si="2734"/>
        <v>26/09/2025</v>
      </c>
      <c r="J5872" t="str">
        <f t="shared" si="2735"/>
        <v>08/10/2025</v>
      </c>
      <c r="M5872">
        <v>303</v>
      </c>
      <c r="N5872" t="str">
        <f t="shared" si="2736"/>
        <v>RECEITAS COM ENTREGAS</v>
      </c>
      <c r="P5872">
        <v>265.97000000000003</v>
      </c>
      <c r="Q5872" t="str">
        <f>"FARMÁCIA INDIANA LJ 61 (10027)"</f>
        <v>FARMÁCIA INDIANA LJ 61 (10027)</v>
      </c>
      <c r="R5872" t="str">
        <f t="shared" si="2737"/>
        <v>RECEITAS COM ENTREGAS (303)</v>
      </c>
      <c r="S5872">
        <v>2638</v>
      </c>
      <c r="T5872">
        <v>2179</v>
      </c>
      <c r="U5872" t="s">
        <v>19</v>
      </c>
    </row>
    <row r="5873" spans="1:21">
      <c r="A5873" t="str">
        <f t="shared" si="2731"/>
        <v>08/10/2025</v>
      </c>
      <c r="B5873" t="str">
        <f t="shared" si="2738"/>
        <v>ENTRADA</v>
      </c>
      <c r="C5873" t="str">
        <f t="shared" si="2732"/>
        <v>NFSE</v>
      </c>
      <c r="D5873" t="str">
        <f t="shared" si="2742"/>
        <v>3521</v>
      </c>
      <c r="E5873" t="str">
        <f t="shared" si="2745"/>
        <v>COM</v>
      </c>
      <c r="F5873" t="str">
        <f t="shared" si="2743"/>
        <v>FARMÁCIA INDIANA LJ 1 (10126)</v>
      </c>
      <c r="G5873" t="str">
        <f t="shared" si="2744"/>
        <v>Serv.Prest. 22/09/2025 a 25/09/2025 - RPS: 1286 - NFSe: 3521</v>
      </c>
      <c r="H5873" t="str">
        <f t="shared" si="2733"/>
        <v>08/10/2025</v>
      </c>
      <c r="I5873" t="str">
        <f t="shared" si="2734"/>
        <v>26/09/2025</v>
      </c>
      <c r="J5873" t="str">
        <f t="shared" si="2735"/>
        <v>08/10/2025</v>
      </c>
      <c r="M5873">
        <v>303</v>
      </c>
      <c r="N5873" t="str">
        <f t="shared" si="2736"/>
        <v>RECEITAS COM ENTREGAS</v>
      </c>
      <c r="P5873">
        <v>270.07</v>
      </c>
      <c r="Q5873" t="str">
        <f>"FARMÁCIA INDIANA LJ 62 (10028)"</f>
        <v>FARMÁCIA INDIANA LJ 62 (10028)</v>
      </c>
      <c r="R5873" t="str">
        <f t="shared" si="2737"/>
        <v>RECEITAS COM ENTREGAS (303)</v>
      </c>
      <c r="S5873">
        <v>2638</v>
      </c>
      <c r="T5873">
        <v>2179</v>
      </c>
      <c r="U5873" t="s">
        <v>19</v>
      </c>
    </row>
    <row r="5874" spans="1:21">
      <c r="A5874" t="str">
        <f t="shared" si="2731"/>
        <v>08/10/2025</v>
      </c>
      <c r="B5874" t="str">
        <f t="shared" si="2738"/>
        <v>ENTRADA</v>
      </c>
      <c r="C5874" t="str">
        <f t="shared" si="2732"/>
        <v>NFSE</v>
      </c>
      <c r="D5874" t="str">
        <f t="shared" si="2742"/>
        <v>3521</v>
      </c>
      <c r="E5874" t="str">
        <f t="shared" si="2745"/>
        <v>COM</v>
      </c>
      <c r="F5874" t="str">
        <f t="shared" si="2743"/>
        <v>FARMÁCIA INDIANA LJ 1 (10126)</v>
      </c>
      <c r="G5874" t="str">
        <f t="shared" si="2744"/>
        <v>Serv.Prest. 22/09/2025 a 25/09/2025 - RPS: 1286 - NFSe: 3521</v>
      </c>
      <c r="H5874" t="str">
        <f t="shared" si="2733"/>
        <v>08/10/2025</v>
      </c>
      <c r="I5874" t="str">
        <f t="shared" si="2734"/>
        <v>26/09/2025</v>
      </c>
      <c r="J5874" t="str">
        <f t="shared" si="2735"/>
        <v>08/10/2025</v>
      </c>
      <c r="M5874">
        <v>303</v>
      </c>
      <c r="N5874" t="str">
        <f t="shared" si="2736"/>
        <v>RECEITAS COM ENTREGAS</v>
      </c>
      <c r="P5874">
        <v>106.8</v>
      </c>
      <c r="Q5874" t="str">
        <f>"FARMÁCIA INDIANA LJ 64 (10029)"</f>
        <v>FARMÁCIA INDIANA LJ 64 (10029)</v>
      </c>
      <c r="R5874" t="str">
        <f t="shared" si="2737"/>
        <v>RECEITAS COM ENTREGAS (303)</v>
      </c>
      <c r="S5874">
        <v>2638</v>
      </c>
      <c r="T5874">
        <v>2179</v>
      </c>
      <c r="U5874" t="s">
        <v>19</v>
      </c>
    </row>
    <row r="5875" spans="1:21">
      <c r="A5875" t="str">
        <f t="shared" si="2731"/>
        <v>08/10/2025</v>
      </c>
      <c r="B5875" t="str">
        <f t="shared" si="2738"/>
        <v>ENTRADA</v>
      </c>
      <c r="C5875" t="str">
        <f t="shared" si="2732"/>
        <v>NFSE</v>
      </c>
      <c r="D5875" t="str">
        <f t="shared" si="2742"/>
        <v>3521</v>
      </c>
      <c r="E5875" t="str">
        <f t="shared" si="2745"/>
        <v>COM</v>
      </c>
      <c r="F5875" t="str">
        <f t="shared" si="2743"/>
        <v>FARMÁCIA INDIANA LJ 1 (10126)</v>
      </c>
      <c r="G5875" t="str">
        <f t="shared" si="2744"/>
        <v>Serv.Prest. 22/09/2025 a 25/09/2025 - RPS: 1286 - NFSe: 3521</v>
      </c>
      <c r="H5875" t="str">
        <f t="shared" si="2733"/>
        <v>08/10/2025</v>
      </c>
      <c r="I5875" t="str">
        <f t="shared" si="2734"/>
        <v>26/09/2025</v>
      </c>
      <c r="J5875" t="str">
        <f t="shared" si="2735"/>
        <v>08/10/2025</v>
      </c>
      <c r="M5875">
        <v>303</v>
      </c>
      <c r="N5875" t="str">
        <f t="shared" si="2736"/>
        <v>RECEITAS COM ENTREGAS</v>
      </c>
      <c r="P5875">
        <v>66.75</v>
      </c>
      <c r="Q5875" t="str">
        <f>"FARMÁCIA INDIANA LJ 97 (10040)"</f>
        <v>FARMÁCIA INDIANA LJ 97 (10040)</v>
      </c>
      <c r="R5875" t="str">
        <f t="shared" si="2737"/>
        <v>RECEITAS COM ENTREGAS (303)</v>
      </c>
      <c r="S5875">
        <v>2638</v>
      </c>
      <c r="T5875">
        <v>2179</v>
      </c>
      <c r="U5875" t="s">
        <v>19</v>
      </c>
    </row>
    <row r="5876" spans="1:21">
      <c r="A5876" t="str">
        <f t="shared" si="2731"/>
        <v>08/10/2025</v>
      </c>
      <c r="B5876" t="str">
        <f t="shared" si="2738"/>
        <v>ENTRADA</v>
      </c>
      <c r="C5876" t="str">
        <f t="shared" si="2732"/>
        <v>NFSE</v>
      </c>
      <c r="D5876" t="str">
        <f t="shared" si="2742"/>
        <v>3521</v>
      </c>
      <c r="E5876" t="str">
        <f t="shared" si="2745"/>
        <v>COM</v>
      </c>
      <c r="F5876" t="str">
        <f t="shared" si="2743"/>
        <v>FARMÁCIA INDIANA LJ 1 (10126)</v>
      </c>
      <c r="G5876" t="str">
        <f t="shared" si="2744"/>
        <v>Serv.Prest. 22/09/2025 a 25/09/2025 - RPS: 1286 - NFSe: 3521</v>
      </c>
      <c r="H5876" t="str">
        <f t="shared" si="2733"/>
        <v>08/10/2025</v>
      </c>
      <c r="I5876" t="str">
        <f t="shared" si="2734"/>
        <v>26/09/2025</v>
      </c>
      <c r="J5876" t="str">
        <f t="shared" si="2735"/>
        <v>08/10/2025</v>
      </c>
      <c r="M5876">
        <v>303</v>
      </c>
      <c r="N5876" t="str">
        <f t="shared" si="2736"/>
        <v>RECEITAS COM ENTREGAS</v>
      </c>
      <c r="P5876">
        <v>299.85000000000002</v>
      </c>
      <c r="Q5876" t="str">
        <f>"FARMÁCIA INDIANA LJ 100 (10042)"</f>
        <v>FARMÁCIA INDIANA LJ 100 (10042)</v>
      </c>
      <c r="R5876" t="str">
        <f t="shared" si="2737"/>
        <v>RECEITAS COM ENTREGAS (303)</v>
      </c>
      <c r="S5876">
        <v>2638</v>
      </c>
      <c r="T5876">
        <v>2179</v>
      </c>
      <c r="U5876" t="s">
        <v>19</v>
      </c>
    </row>
    <row r="5877" spans="1:21">
      <c r="A5877" t="str">
        <f t="shared" si="2731"/>
        <v>08/10/2025</v>
      </c>
      <c r="B5877" t="str">
        <f t="shared" si="2738"/>
        <v>ENTRADA</v>
      </c>
      <c r="C5877" t="str">
        <f t="shared" si="2732"/>
        <v>NFSE</v>
      </c>
      <c r="D5877" t="str">
        <f t="shared" si="2742"/>
        <v>3521</v>
      </c>
      <c r="E5877" t="str">
        <f t="shared" si="2745"/>
        <v>COM</v>
      </c>
      <c r="F5877" t="str">
        <f t="shared" si="2743"/>
        <v>FARMÁCIA INDIANA LJ 1 (10126)</v>
      </c>
      <c r="G5877" t="str">
        <f t="shared" si="2744"/>
        <v>Serv.Prest. 22/09/2025 a 25/09/2025 - RPS: 1286 - NFSe: 3521</v>
      </c>
      <c r="H5877" t="str">
        <f t="shared" si="2733"/>
        <v>08/10/2025</v>
      </c>
      <c r="I5877" t="str">
        <f t="shared" si="2734"/>
        <v>26/09/2025</v>
      </c>
      <c r="J5877" t="str">
        <f t="shared" si="2735"/>
        <v>08/10/2025</v>
      </c>
      <c r="M5877">
        <v>303</v>
      </c>
      <c r="N5877" t="str">
        <f t="shared" si="2736"/>
        <v>RECEITAS COM ENTREGAS</v>
      </c>
      <c r="P5877">
        <v>384.06</v>
      </c>
      <c r="Q5877" t="str">
        <f>"FARMÁCIA INDIANA LJ 101 (10043)"</f>
        <v>FARMÁCIA INDIANA LJ 101 (10043)</v>
      </c>
      <c r="R5877" t="str">
        <f t="shared" si="2737"/>
        <v>RECEITAS COM ENTREGAS (303)</v>
      </c>
      <c r="S5877">
        <v>2638</v>
      </c>
      <c r="T5877">
        <v>2179</v>
      </c>
      <c r="U5877" t="s">
        <v>19</v>
      </c>
    </row>
    <row r="5878" spans="1:21">
      <c r="A5878" t="str">
        <f t="shared" si="2731"/>
        <v>08/10/2025</v>
      </c>
      <c r="B5878" t="str">
        <f t="shared" si="2738"/>
        <v>ENTRADA</v>
      </c>
      <c r="C5878" t="str">
        <f t="shared" si="2732"/>
        <v>NFSE</v>
      </c>
      <c r="D5878" t="str">
        <f t="shared" si="2742"/>
        <v>3521</v>
      </c>
      <c r="E5878" t="str">
        <f t="shared" si="2745"/>
        <v>COM</v>
      </c>
      <c r="F5878" t="str">
        <f t="shared" si="2743"/>
        <v>FARMÁCIA INDIANA LJ 1 (10126)</v>
      </c>
      <c r="G5878" t="str">
        <f t="shared" si="2744"/>
        <v>Serv.Prest. 22/09/2025 a 25/09/2025 - RPS: 1286 - NFSe: 3521</v>
      </c>
      <c r="H5878" t="str">
        <f t="shared" si="2733"/>
        <v>08/10/2025</v>
      </c>
      <c r="I5878" t="str">
        <f t="shared" si="2734"/>
        <v>26/09/2025</v>
      </c>
      <c r="J5878" t="str">
        <f t="shared" si="2735"/>
        <v>08/10/2025</v>
      </c>
      <c r="M5878">
        <v>303</v>
      </c>
      <c r="N5878" t="str">
        <f t="shared" si="2736"/>
        <v>RECEITAS COM ENTREGAS</v>
      </c>
      <c r="P5878">
        <v>72.91</v>
      </c>
      <c r="Q5878" t="str">
        <f>"FARMÁCIA INDIANA LJ 103 (10044)"</f>
        <v>FARMÁCIA INDIANA LJ 103 (10044)</v>
      </c>
      <c r="R5878" t="str">
        <f t="shared" si="2737"/>
        <v>RECEITAS COM ENTREGAS (303)</v>
      </c>
      <c r="S5878">
        <v>2638</v>
      </c>
      <c r="T5878">
        <v>2179</v>
      </c>
      <c r="U5878" t="s">
        <v>19</v>
      </c>
    </row>
    <row r="5879" spans="1:21">
      <c r="A5879" t="str">
        <f t="shared" si="2731"/>
        <v>08/10/2025</v>
      </c>
      <c r="B5879" t="str">
        <f t="shared" si="2738"/>
        <v>ENTRADA</v>
      </c>
      <c r="C5879" t="str">
        <f t="shared" si="2732"/>
        <v>NFSE</v>
      </c>
      <c r="D5879" t="str">
        <f t="shared" si="2742"/>
        <v>3521</v>
      </c>
      <c r="E5879" t="str">
        <f t="shared" si="2745"/>
        <v>COM</v>
      </c>
      <c r="F5879" t="str">
        <f t="shared" si="2743"/>
        <v>FARMÁCIA INDIANA LJ 1 (10126)</v>
      </c>
      <c r="G5879" t="str">
        <f t="shared" si="2744"/>
        <v>Serv.Prest. 22/09/2025 a 25/09/2025 - RPS: 1286 - NFSe: 3521</v>
      </c>
      <c r="H5879" t="str">
        <f t="shared" si="2733"/>
        <v>08/10/2025</v>
      </c>
      <c r="I5879" t="str">
        <f t="shared" si="2734"/>
        <v>26/09/2025</v>
      </c>
      <c r="J5879" t="str">
        <f t="shared" si="2735"/>
        <v>08/10/2025</v>
      </c>
      <c r="M5879">
        <v>303</v>
      </c>
      <c r="N5879" t="str">
        <f t="shared" si="2736"/>
        <v>RECEITAS COM ENTREGAS</v>
      </c>
      <c r="P5879">
        <v>143.76</v>
      </c>
      <c r="Q5879" t="str">
        <f>"FARMÁCIA INDIANA LJ 109 (10047)"</f>
        <v>FARMÁCIA INDIANA LJ 109 (10047)</v>
      </c>
      <c r="R5879" t="str">
        <f t="shared" si="2737"/>
        <v>RECEITAS COM ENTREGAS (303)</v>
      </c>
      <c r="S5879">
        <v>2638</v>
      </c>
      <c r="T5879">
        <v>2179</v>
      </c>
      <c r="U5879" t="s">
        <v>19</v>
      </c>
    </row>
    <row r="5880" spans="1:21">
      <c r="A5880" t="str">
        <f t="shared" ref="A5880:A5911" si="2746">("08/10/2025")</f>
        <v>08/10/2025</v>
      </c>
      <c r="B5880" t="str">
        <f t="shared" si="2738"/>
        <v>ENTRADA</v>
      </c>
      <c r="C5880" t="str">
        <f t="shared" ref="C5880:C5911" si="2747">"NFSE"</f>
        <v>NFSE</v>
      </c>
      <c r="D5880" t="str">
        <f t="shared" si="2742"/>
        <v>3521</v>
      </c>
      <c r="E5880" t="str">
        <f t="shared" si="2745"/>
        <v>COM</v>
      </c>
      <c r="F5880" t="str">
        <f t="shared" si="2743"/>
        <v>FARMÁCIA INDIANA LJ 1 (10126)</v>
      </c>
      <c r="G5880" t="str">
        <f t="shared" si="2744"/>
        <v>Serv.Prest. 22/09/2025 a 25/09/2025 - RPS: 1286 - NFSe: 3521</v>
      </c>
      <c r="H5880" t="str">
        <f t="shared" ref="H5880:H5911" si="2748">("08/10/2025")</f>
        <v>08/10/2025</v>
      </c>
      <c r="I5880" t="str">
        <f t="shared" ref="I5880:I5911" si="2749">("26/09/2025")</f>
        <v>26/09/2025</v>
      </c>
      <c r="J5880" t="str">
        <f t="shared" ref="J5880:J5911" si="2750">("08/10/2025")</f>
        <v>08/10/2025</v>
      </c>
      <c r="M5880">
        <v>303</v>
      </c>
      <c r="N5880" t="str">
        <f t="shared" ref="N5880:N5911" si="2751">"RECEITAS COM ENTREGAS"</f>
        <v>RECEITAS COM ENTREGAS</v>
      </c>
      <c r="P5880">
        <v>340.93</v>
      </c>
      <c r="Q5880" t="str">
        <f>"FARMÁCIA INDIANA LJ 110 (10048)"</f>
        <v>FARMÁCIA INDIANA LJ 110 (10048)</v>
      </c>
      <c r="R5880" t="str">
        <f t="shared" ref="R5880:R5911" si="2752">"RECEITAS COM ENTREGAS (303)"</f>
        <v>RECEITAS COM ENTREGAS (303)</v>
      </c>
      <c r="S5880">
        <v>2638</v>
      </c>
      <c r="T5880">
        <v>2179</v>
      </c>
      <c r="U5880" t="s">
        <v>19</v>
      </c>
    </row>
    <row r="5881" spans="1:21">
      <c r="A5881" t="str">
        <f t="shared" si="2746"/>
        <v>08/10/2025</v>
      </c>
      <c r="B5881" t="str">
        <f t="shared" si="2738"/>
        <v>ENTRADA</v>
      </c>
      <c r="C5881" t="str">
        <f t="shared" si="2747"/>
        <v>NFSE</v>
      </c>
      <c r="D5881" t="str">
        <f t="shared" si="2742"/>
        <v>3521</v>
      </c>
      <c r="E5881" t="str">
        <f t="shared" si="2745"/>
        <v>COM</v>
      </c>
      <c r="F5881" t="str">
        <f t="shared" si="2743"/>
        <v>FARMÁCIA INDIANA LJ 1 (10126)</v>
      </c>
      <c r="G5881" t="str">
        <f t="shared" si="2744"/>
        <v>Serv.Prest. 22/09/2025 a 25/09/2025 - RPS: 1286 - NFSe: 3521</v>
      </c>
      <c r="H5881" t="str">
        <f t="shared" si="2748"/>
        <v>08/10/2025</v>
      </c>
      <c r="I5881" t="str">
        <f t="shared" si="2749"/>
        <v>26/09/2025</v>
      </c>
      <c r="J5881" t="str">
        <f t="shared" si="2750"/>
        <v>08/10/2025</v>
      </c>
      <c r="M5881">
        <v>303</v>
      </c>
      <c r="N5881" t="str">
        <f t="shared" si="2751"/>
        <v>RECEITAS COM ENTREGAS</v>
      </c>
      <c r="P5881">
        <v>65.72</v>
      </c>
      <c r="Q5881" t="str">
        <f>"FARMÁCIA INDIANA LJ 111 (10049)"</f>
        <v>FARMÁCIA INDIANA LJ 111 (10049)</v>
      </c>
      <c r="R5881" t="str">
        <f t="shared" si="2752"/>
        <v>RECEITAS COM ENTREGAS (303)</v>
      </c>
      <c r="S5881">
        <v>2638</v>
      </c>
      <c r="T5881">
        <v>2179</v>
      </c>
      <c r="U5881" t="s">
        <v>19</v>
      </c>
    </row>
    <row r="5882" spans="1:21">
      <c r="A5882" t="str">
        <f t="shared" si="2746"/>
        <v>08/10/2025</v>
      </c>
      <c r="B5882" t="str">
        <f t="shared" si="2738"/>
        <v>ENTRADA</v>
      </c>
      <c r="C5882" t="str">
        <f t="shared" si="2747"/>
        <v>NFSE</v>
      </c>
      <c r="D5882" t="str">
        <f t="shared" si="2742"/>
        <v>3521</v>
      </c>
      <c r="E5882" t="str">
        <f t="shared" si="2745"/>
        <v>COM</v>
      </c>
      <c r="F5882" t="str">
        <f t="shared" si="2743"/>
        <v>FARMÁCIA INDIANA LJ 1 (10126)</v>
      </c>
      <c r="G5882" t="str">
        <f t="shared" si="2744"/>
        <v>Serv.Prest. 22/09/2025 a 25/09/2025 - RPS: 1286 - NFSe: 3521</v>
      </c>
      <c r="H5882" t="str">
        <f t="shared" si="2748"/>
        <v>08/10/2025</v>
      </c>
      <c r="I5882" t="str">
        <f t="shared" si="2749"/>
        <v>26/09/2025</v>
      </c>
      <c r="J5882" t="str">
        <f t="shared" si="2750"/>
        <v>08/10/2025</v>
      </c>
      <c r="M5882">
        <v>303</v>
      </c>
      <c r="N5882" t="str">
        <f t="shared" si="2751"/>
        <v>RECEITAS COM ENTREGAS</v>
      </c>
      <c r="P5882">
        <v>149.93</v>
      </c>
      <c r="Q5882" t="str">
        <f>"FARMÁCIA INDIANA LJ 112 (10050)"</f>
        <v>FARMÁCIA INDIANA LJ 112 (10050)</v>
      </c>
      <c r="R5882" t="str">
        <f t="shared" si="2752"/>
        <v>RECEITAS COM ENTREGAS (303)</v>
      </c>
      <c r="S5882">
        <v>2638</v>
      </c>
      <c r="T5882">
        <v>2179</v>
      </c>
      <c r="U5882" t="s">
        <v>19</v>
      </c>
    </row>
    <row r="5883" spans="1:21">
      <c r="A5883" t="str">
        <f t="shared" si="2746"/>
        <v>08/10/2025</v>
      </c>
      <c r="B5883" t="str">
        <f t="shared" si="2738"/>
        <v>ENTRADA</v>
      </c>
      <c r="C5883" t="str">
        <f t="shared" si="2747"/>
        <v>NFSE</v>
      </c>
      <c r="D5883" t="str">
        <f t="shared" si="2742"/>
        <v>3521</v>
      </c>
      <c r="E5883" t="str">
        <f t="shared" si="2745"/>
        <v>COM</v>
      </c>
      <c r="F5883" t="str">
        <f t="shared" si="2743"/>
        <v>FARMÁCIA INDIANA LJ 1 (10126)</v>
      </c>
      <c r="G5883" t="str">
        <f t="shared" si="2744"/>
        <v>Serv.Prest. 22/09/2025 a 25/09/2025 - RPS: 1286 - NFSe: 3521</v>
      </c>
      <c r="H5883" t="str">
        <f t="shared" si="2748"/>
        <v>08/10/2025</v>
      </c>
      <c r="I5883" t="str">
        <f t="shared" si="2749"/>
        <v>26/09/2025</v>
      </c>
      <c r="J5883" t="str">
        <f t="shared" si="2750"/>
        <v>08/10/2025</v>
      </c>
      <c r="M5883">
        <v>303</v>
      </c>
      <c r="N5883" t="str">
        <f t="shared" si="2751"/>
        <v>RECEITAS COM ENTREGAS</v>
      </c>
      <c r="P5883">
        <v>149.93</v>
      </c>
      <c r="Q5883" t="str">
        <f>"FARMÁCIA INDIANA LJ 116 (10051)"</f>
        <v>FARMÁCIA INDIANA LJ 116 (10051)</v>
      </c>
      <c r="R5883" t="str">
        <f t="shared" si="2752"/>
        <v>RECEITAS COM ENTREGAS (303)</v>
      </c>
      <c r="S5883">
        <v>2638</v>
      </c>
      <c r="T5883">
        <v>2179</v>
      </c>
      <c r="U5883" t="s">
        <v>19</v>
      </c>
    </row>
    <row r="5884" spans="1:21">
      <c r="A5884" t="str">
        <f t="shared" si="2746"/>
        <v>08/10/2025</v>
      </c>
      <c r="B5884" t="str">
        <f t="shared" si="2738"/>
        <v>ENTRADA</v>
      </c>
      <c r="C5884" t="str">
        <f t="shared" si="2747"/>
        <v>NFSE</v>
      </c>
      <c r="D5884" t="str">
        <f t="shared" si="2742"/>
        <v>3521</v>
      </c>
      <c r="E5884" t="str">
        <f t="shared" si="2745"/>
        <v>COM</v>
      </c>
      <c r="F5884" t="str">
        <f t="shared" si="2743"/>
        <v>FARMÁCIA INDIANA LJ 1 (10126)</v>
      </c>
      <c r="G5884" t="str">
        <f t="shared" si="2744"/>
        <v>Serv.Prest. 22/09/2025 a 25/09/2025 - RPS: 1286 - NFSe: 3521</v>
      </c>
      <c r="H5884" t="str">
        <f t="shared" si="2748"/>
        <v>08/10/2025</v>
      </c>
      <c r="I5884" t="str">
        <f t="shared" si="2749"/>
        <v>26/09/2025</v>
      </c>
      <c r="J5884" t="str">
        <f t="shared" si="2750"/>
        <v>08/10/2025</v>
      </c>
      <c r="M5884">
        <v>303</v>
      </c>
      <c r="N5884" t="str">
        <f t="shared" si="2751"/>
        <v>RECEITAS COM ENTREGAS</v>
      </c>
      <c r="P5884">
        <v>92.42</v>
      </c>
      <c r="Q5884" t="str">
        <f>"FARMÁCIA INDIANA LJ 118 (10052)"</f>
        <v>FARMÁCIA INDIANA LJ 118 (10052)</v>
      </c>
      <c r="R5884" t="str">
        <f t="shared" si="2752"/>
        <v>RECEITAS COM ENTREGAS (303)</v>
      </c>
      <c r="S5884">
        <v>2638</v>
      </c>
      <c r="T5884">
        <v>2179</v>
      </c>
      <c r="U5884" t="s">
        <v>19</v>
      </c>
    </row>
    <row r="5885" spans="1:21">
      <c r="A5885" t="str">
        <f t="shared" si="2746"/>
        <v>08/10/2025</v>
      </c>
      <c r="B5885" t="str">
        <f t="shared" si="2738"/>
        <v>ENTRADA</v>
      </c>
      <c r="C5885" t="str">
        <f t="shared" si="2747"/>
        <v>NFSE</v>
      </c>
      <c r="D5885" t="str">
        <f t="shared" si="2742"/>
        <v>3521</v>
      </c>
      <c r="E5885" t="str">
        <f t="shared" si="2745"/>
        <v>COM</v>
      </c>
      <c r="F5885" t="str">
        <f t="shared" si="2743"/>
        <v>FARMÁCIA INDIANA LJ 1 (10126)</v>
      </c>
      <c r="G5885" t="str">
        <f t="shared" si="2744"/>
        <v>Serv.Prest. 22/09/2025 a 25/09/2025 - RPS: 1286 - NFSe: 3521</v>
      </c>
      <c r="H5885" t="str">
        <f t="shared" si="2748"/>
        <v>08/10/2025</v>
      </c>
      <c r="I5885" t="str">
        <f t="shared" si="2749"/>
        <v>26/09/2025</v>
      </c>
      <c r="J5885" t="str">
        <f t="shared" si="2750"/>
        <v>08/10/2025</v>
      </c>
      <c r="M5885">
        <v>303</v>
      </c>
      <c r="N5885" t="str">
        <f t="shared" si="2751"/>
        <v>RECEITAS COM ENTREGAS</v>
      </c>
      <c r="P5885">
        <v>149.93</v>
      </c>
      <c r="Q5885" t="str">
        <f>"FARMÁCIA INDIANA LJ 121 (10054)"</f>
        <v>FARMÁCIA INDIANA LJ 121 (10054)</v>
      </c>
      <c r="R5885" t="str">
        <f t="shared" si="2752"/>
        <v>RECEITAS COM ENTREGAS (303)</v>
      </c>
      <c r="S5885">
        <v>2638</v>
      </c>
      <c r="T5885">
        <v>2179</v>
      </c>
      <c r="U5885" t="s">
        <v>19</v>
      </c>
    </row>
    <row r="5886" spans="1:21">
      <c r="A5886" t="str">
        <f t="shared" si="2746"/>
        <v>08/10/2025</v>
      </c>
      <c r="B5886" t="str">
        <f t="shared" si="2738"/>
        <v>ENTRADA</v>
      </c>
      <c r="C5886" t="str">
        <f t="shared" si="2747"/>
        <v>NFSE</v>
      </c>
      <c r="D5886" t="str">
        <f t="shared" si="2742"/>
        <v>3521</v>
      </c>
      <c r="E5886" t="str">
        <f t="shared" si="2745"/>
        <v>COM</v>
      </c>
      <c r="F5886" t="str">
        <f t="shared" si="2743"/>
        <v>FARMÁCIA INDIANA LJ 1 (10126)</v>
      </c>
      <c r="G5886" t="str">
        <f t="shared" si="2744"/>
        <v>Serv.Prest. 22/09/2025 a 25/09/2025 - RPS: 1286 - NFSe: 3521</v>
      </c>
      <c r="H5886" t="str">
        <f t="shared" si="2748"/>
        <v>08/10/2025</v>
      </c>
      <c r="I5886" t="str">
        <f t="shared" si="2749"/>
        <v>26/09/2025</v>
      </c>
      <c r="J5886" t="str">
        <f t="shared" si="2750"/>
        <v>08/10/2025</v>
      </c>
      <c r="M5886">
        <v>303</v>
      </c>
      <c r="N5886" t="str">
        <f t="shared" si="2751"/>
        <v>RECEITAS COM ENTREGAS</v>
      </c>
      <c r="P5886">
        <v>149.93</v>
      </c>
      <c r="Q5886" t="str">
        <f>"FARMÁCIA INDIANA LJ 128 (10057)"</f>
        <v>FARMÁCIA INDIANA LJ 128 (10057)</v>
      </c>
      <c r="R5886" t="str">
        <f t="shared" si="2752"/>
        <v>RECEITAS COM ENTREGAS (303)</v>
      </c>
      <c r="S5886">
        <v>2638</v>
      </c>
      <c r="T5886">
        <v>2179</v>
      </c>
      <c r="U5886" t="s">
        <v>19</v>
      </c>
    </row>
    <row r="5887" spans="1:21">
      <c r="A5887" t="str">
        <f t="shared" si="2746"/>
        <v>08/10/2025</v>
      </c>
      <c r="B5887" t="str">
        <f t="shared" si="2738"/>
        <v>ENTRADA</v>
      </c>
      <c r="C5887" t="str">
        <f t="shared" si="2747"/>
        <v>NFSE</v>
      </c>
      <c r="D5887" t="str">
        <f t="shared" si="2742"/>
        <v>3521</v>
      </c>
      <c r="E5887" t="str">
        <f t="shared" si="2745"/>
        <v>COM</v>
      </c>
      <c r="F5887" t="str">
        <f t="shared" si="2743"/>
        <v>FARMÁCIA INDIANA LJ 1 (10126)</v>
      </c>
      <c r="G5887" t="str">
        <f t="shared" si="2744"/>
        <v>Serv.Prest. 22/09/2025 a 25/09/2025 - RPS: 1286 - NFSe: 3521</v>
      </c>
      <c r="H5887" t="str">
        <f t="shared" si="2748"/>
        <v>08/10/2025</v>
      </c>
      <c r="I5887" t="str">
        <f t="shared" si="2749"/>
        <v>26/09/2025</v>
      </c>
      <c r="J5887" t="str">
        <f t="shared" si="2750"/>
        <v>08/10/2025</v>
      </c>
      <c r="M5887">
        <v>303</v>
      </c>
      <c r="N5887" t="str">
        <f t="shared" si="2751"/>
        <v>RECEITAS COM ENTREGAS</v>
      </c>
      <c r="P5887">
        <v>44.16</v>
      </c>
      <c r="Q5887" t="str">
        <f>"FARMÁCIA INDIANA LJ 140 (10064)"</f>
        <v>FARMÁCIA INDIANA LJ 140 (10064)</v>
      </c>
      <c r="R5887" t="str">
        <f t="shared" si="2752"/>
        <v>RECEITAS COM ENTREGAS (303)</v>
      </c>
      <c r="S5887">
        <v>2638</v>
      </c>
      <c r="T5887">
        <v>2179</v>
      </c>
      <c r="U5887" t="s">
        <v>19</v>
      </c>
    </row>
    <row r="5888" spans="1:21">
      <c r="A5888" t="str">
        <f t="shared" si="2746"/>
        <v>08/10/2025</v>
      </c>
      <c r="B5888" t="str">
        <f t="shared" si="2738"/>
        <v>ENTRADA</v>
      </c>
      <c r="C5888" t="str">
        <f t="shared" si="2747"/>
        <v>NFSE</v>
      </c>
      <c r="D5888" t="str">
        <f t="shared" si="2742"/>
        <v>3521</v>
      </c>
      <c r="E5888" t="str">
        <f t="shared" si="2745"/>
        <v>COM</v>
      </c>
      <c r="F5888" t="str">
        <f t="shared" si="2743"/>
        <v>FARMÁCIA INDIANA LJ 1 (10126)</v>
      </c>
      <c r="G5888" t="str">
        <f t="shared" si="2744"/>
        <v>Serv.Prest. 22/09/2025 a 25/09/2025 - RPS: 1286 - NFSe: 3521</v>
      </c>
      <c r="H5888" t="str">
        <f t="shared" si="2748"/>
        <v>08/10/2025</v>
      </c>
      <c r="I5888" t="str">
        <f t="shared" si="2749"/>
        <v>26/09/2025</v>
      </c>
      <c r="J5888" t="str">
        <f t="shared" si="2750"/>
        <v>08/10/2025</v>
      </c>
      <c r="M5888">
        <v>303</v>
      </c>
      <c r="N5888" t="str">
        <f t="shared" si="2751"/>
        <v>RECEITAS COM ENTREGAS</v>
      </c>
      <c r="P5888">
        <v>19.510000000000002</v>
      </c>
      <c r="Q5888" t="str">
        <f>"FARMÁCIA INDIANA LJ 141 (10065)"</f>
        <v>FARMÁCIA INDIANA LJ 141 (10065)</v>
      </c>
      <c r="R5888" t="str">
        <f t="shared" si="2752"/>
        <v>RECEITAS COM ENTREGAS (303)</v>
      </c>
      <c r="S5888">
        <v>2638</v>
      </c>
      <c r="T5888">
        <v>2179</v>
      </c>
      <c r="U5888" t="s">
        <v>19</v>
      </c>
    </row>
    <row r="5889" spans="1:21">
      <c r="A5889" t="str">
        <f t="shared" si="2746"/>
        <v>08/10/2025</v>
      </c>
      <c r="B5889" t="str">
        <f t="shared" si="2738"/>
        <v>ENTRADA</v>
      </c>
      <c r="C5889" t="str">
        <f t="shared" si="2747"/>
        <v>NFSE</v>
      </c>
      <c r="D5889" t="str">
        <f t="shared" si="2742"/>
        <v>3521</v>
      </c>
      <c r="E5889" t="str">
        <f t="shared" si="2745"/>
        <v>COM</v>
      </c>
      <c r="F5889" t="str">
        <f t="shared" si="2743"/>
        <v>FARMÁCIA INDIANA LJ 1 (10126)</v>
      </c>
      <c r="G5889" t="str">
        <f t="shared" si="2744"/>
        <v>Serv.Prest. 22/09/2025 a 25/09/2025 - RPS: 1286 - NFSe: 3521</v>
      </c>
      <c r="H5889" t="str">
        <f t="shared" si="2748"/>
        <v>08/10/2025</v>
      </c>
      <c r="I5889" t="str">
        <f t="shared" si="2749"/>
        <v>26/09/2025</v>
      </c>
      <c r="J5889" t="str">
        <f t="shared" si="2750"/>
        <v>08/10/2025</v>
      </c>
      <c r="M5889">
        <v>303</v>
      </c>
      <c r="N5889" t="str">
        <f t="shared" si="2751"/>
        <v>RECEITAS COM ENTREGAS</v>
      </c>
      <c r="P5889">
        <v>450.81</v>
      </c>
      <c r="Q5889" t="str">
        <f>"FARMÁCIA INDIANA LJ 142 (10066)"</f>
        <v>FARMÁCIA INDIANA LJ 142 (10066)</v>
      </c>
      <c r="R5889" t="str">
        <f t="shared" si="2752"/>
        <v>RECEITAS COM ENTREGAS (303)</v>
      </c>
      <c r="S5889">
        <v>2638</v>
      </c>
      <c r="T5889">
        <v>2179</v>
      </c>
      <c r="U5889" t="s">
        <v>19</v>
      </c>
    </row>
    <row r="5890" spans="1:21">
      <c r="A5890" t="str">
        <f t="shared" si="2746"/>
        <v>08/10/2025</v>
      </c>
      <c r="B5890" t="str">
        <f t="shared" si="2738"/>
        <v>ENTRADA</v>
      </c>
      <c r="C5890" t="str">
        <f t="shared" si="2747"/>
        <v>NFSE</v>
      </c>
      <c r="D5890" t="str">
        <f t="shared" si="2742"/>
        <v>3521</v>
      </c>
      <c r="E5890" t="str">
        <f t="shared" si="2745"/>
        <v>COM</v>
      </c>
      <c r="F5890" t="str">
        <f t="shared" si="2743"/>
        <v>FARMÁCIA INDIANA LJ 1 (10126)</v>
      </c>
      <c r="G5890" t="str">
        <f t="shared" si="2744"/>
        <v>Serv.Prest. 22/09/2025 a 25/09/2025 - RPS: 1286 - NFSe: 3521</v>
      </c>
      <c r="H5890" t="str">
        <f t="shared" si="2748"/>
        <v>08/10/2025</v>
      </c>
      <c r="I5890" t="str">
        <f t="shared" si="2749"/>
        <v>26/09/2025</v>
      </c>
      <c r="J5890" t="str">
        <f t="shared" si="2750"/>
        <v>08/10/2025</v>
      </c>
      <c r="M5890">
        <v>303</v>
      </c>
      <c r="N5890" t="str">
        <f t="shared" si="2751"/>
        <v>RECEITAS COM ENTREGAS</v>
      </c>
      <c r="P5890">
        <v>66.75</v>
      </c>
      <c r="Q5890" t="str">
        <f>"FARMÁCIA INDIANA LJ 143 (10067)"</f>
        <v>FARMÁCIA INDIANA LJ 143 (10067)</v>
      </c>
      <c r="R5890" t="str">
        <f t="shared" si="2752"/>
        <v>RECEITAS COM ENTREGAS (303)</v>
      </c>
      <c r="S5890">
        <v>2638</v>
      </c>
      <c r="T5890">
        <v>2179</v>
      </c>
      <c r="U5890" t="s">
        <v>19</v>
      </c>
    </row>
    <row r="5891" spans="1:21">
      <c r="A5891" t="str">
        <f t="shared" si="2746"/>
        <v>08/10/2025</v>
      </c>
      <c r="B5891" t="str">
        <f t="shared" si="2738"/>
        <v>ENTRADA</v>
      </c>
      <c r="C5891" t="str">
        <f t="shared" si="2747"/>
        <v>NFSE</v>
      </c>
      <c r="D5891" t="str">
        <f t="shared" si="2742"/>
        <v>3521</v>
      </c>
      <c r="E5891" t="str">
        <f t="shared" si="2745"/>
        <v>COM</v>
      </c>
      <c r="F5891" t="str">
        <f t="shared" si="2743"/>
        <v>FARMÁCIA INDIANA LJ 1 (10126)</v>
      </c>
      <c r="G5891" t="str">
        <f t="shared" si="2744"/>
        <v>Serv.Prest. 22/09/2025 a 25/09/2025 - RPS: 1286 - NFSe: 3521</v>
      </c>
      <c r="H5891" t="str">
        <f t="shared" si="2748"/>
        <v>08/10/2025</v>
      </c>
      <c r="I5891" t="str">
        <f t="shared" si="2749"/>
        <v>26/09/2025</v>
      </c>
      <c r="J5891" t="str">
        <f t="shared" si="2750"/>
        <v>08/10/2025</v>
      </c>
      <c r="M5891">
        <v>303</v>
      </c>
      <c r="N5891" t="str">
        <f t="shared" si="2751"/>
        <v>RECEITAS COM ENTREGAS</v>
      </c>
      <c r="P5891">
        <v>233.1</v>
      </c>
      <c r="Q5891" t="str">
        <f>"FARMÁCIA INDIANA LJ 152 (10069)"</f>
        <v>FARMÁCIA INDIANA LJ 152 (10069)</v>
      </c>
      <c r="R5891" t="str">
        <f t="shared" si="2752"/>
        <v>RECEITAS COM ENTREGAS (303)</v>
      </c>
      <c r="S5891">
        <v>2638</v>
      </c>
      <c r="T5891">
        <v>2179</v>
      </c>
      <c r="U5891" t="s">
        <v>19</v>
      </c>
    </row>
    <row r="5892" spans="1:21">
      <c r="A5892" t="str">
        <f t="shared" si="2746"/>
        <v>08/10/2025</v>
      </c>
      <c r="B5892" t="str">
        <f t="shared" si="2738"/>
        <v>ENTRADA</v>
      </c>
      <c r="C5892" t="str">
        <f t="shared" si="2747"/>
        <v>NFSE</v>
      </c>
      <c r="D5892" t="str">
        <f t="shared" si="2742"/>
        <v>3521</v>
      </c>
      <c r="E5892" t="str">
        <f t="shared" si="2745"/>
        <v>COM</v>
      </c>
      <c r="F5892" t="str">
        <f t="shared" si="2743"/>
        <v>FARMÁCIA INDIANA LJ 1 (10126)</v>
      </c>
      <c r="G5892" t="str">
        <f t="shared" si="2744"/>
        <v>Serv.Prest. 22/09/2025 a 25/09/2025 - RPS: 1286 - NFSe: 3521</v>
      </c>
      <c r="H5892" t="str">
        <f t="shared" si="2748"/>
        <v>08/10/2025</v>
      </c>
      <c r="I5892" t="str">
        <f t="shared" si="2749"/>
        <v>26/09/2025</v>
      </c>
      <c r="J5892" t="str">
        <f t="shared" si="2750"/>
        <v>08/10/2025</v>
      </c>
      <c r="M5892">
        <v>303</v>
      </c>
      <c r="N5892" t="str">
        <f t="shared" si="2751"/>
        <v>RECEITAS COM ENTREGAS</v>
      </c>
      <c r="P5892">
        <v>55.45</v>
      </c>
      <c r="Q5892" t="str">
        <f>"FARMÁCIA INDIANA LJ 154 (10070)"</f>
        <v>FARMÁCIA INDIANA LJ 154 (10070)</v>
      </c>
      <c r="R5892" t="str">
        <f t="shared" si="2752"/>
        <v>RECEITAS COM ENTREGAS (303)</v>
      </c>
      <c r="S5892">
        <v>2638</v>
      </c>
      <c r="T5892">
        <v>2179</v>
      </c>
      <c r="U5892" t="s">
        <v>19</v>
      </c>
    </row>
    <row r="5893" spans="1:21">
      <c r="A5893" t="str">
        <f t="shared" si="2746"/>
        <v>08/10/2025</v>
      </c>
      <c r="B5893" t="str">
        <f t="shared" si="2738"/>
        <v>ENTRADA</v>
      </c>
      <c r="C5893" t="str">
        <f t="shared" si="2747"/>
        <v>NFSE</v>
      </c>
      <c r="D5893" t="str">
        <f t="shared" si="2742"/>
        <v>3521</v>
      </c>
      <c r="E5893" t="str">
        <f t="shared" si="2745"/>
        <v>COM</v>
      </c>
      <c r="F5893" t="str">
        <f t="shared" si="2743"/>
        <v>FARMÁCIA INDIANA LJ 1 (10126)</v>
      </c>
      <c r="G5893" t="str">
        <f t="shared" si="2744"/>
        <v>Serv.Prest. 22/09/2025 a 25/09/2025 - RPS: 1286 - NFSe: 3521</v>
      </c>
      <c r="H5893" t="str">
        <f t="shared" si="2748"/>
        <v>08/10/2025</v>
      </c>
      <c r="I5893" t="str">
        <f t="shared" si="2749"/>
        <v>26/09/2025</v>
      </c>
      <c r="J5893" t="str">
        <f t="shared" si="2750"/>
        <v>08/10/2025</v>
      </c>
      <c r="M5893">
        <v>303</v>
      </c>
      <c r="N5893" t="str">
        <f t="shared" si="2751"/>
        <v>RECEITAS COM ENTREGAS</v>
      </c>
      <c r="P5893">
        <v>321.42</v>
      </c>
      <c r="Q5893" t="str">
        <f>"FARMÁCIA INDIANA LJ 171 (10074)"</f>
        <v>FARMÁCIA INDIANA LJ 171 (10074)</v>
      </c>
      <c r="R5893" t="str">
        <f t="shared" si="2752"/>
        <v>RECEITAS COM ENTREGAS (303)</v>
      </c>
      <c r="S5893">
        <v>2638</v>
      </c>
      <c r="T5893">
        <v>2179</v>
      </c>
      <c r="U5893" t="s">
        <v>19</v>
      </c>
    </row>
    <row r="5894" spans="1:21">
      <c r="A5894" t="str">
        <f t="shared" si="2746"/>
        <v>08/10/2025</v>
      </c>
      <c r="B5894" t="str">
        <f t="shared" si="2738"/>
        <v>ENTRADA</v>
      </c>
      <c r="C5894" t="str">
        <f t="shared" si="2747"/>
        <v>NFSE</v>
      </c>
      <c r="D5894" t="str">
        <f t="shared" si="2742"/>
        <v>3521</v>
      </c>
      <c r="E5894" t="str">
        <f t="shared" si="2745"/>
        <v>COM</v>
      </c>
      <c r="F5894" t="str">
        <f t="shared" si="2743"/>
        <v>FARMÁCIA INDIANA LJ 1 (10126)</v>
      </c>
      <c r="G5894" t="str">
        <f t="shared" si="2744"/>
        <v>Serv.Prest. 22/09/2025 a 25/09/2025 - RPS: 1286 - NFSe: 3521</v>
      </c>
      <c r="H5894" t="str">
        <f t="shared" si="2748"/>
        <v>08/10/2025</v>
      </c>
      <c r="I5894" t="str">
        <f t="shared" si="2749"/>
        <v>26/09/2025</v>
      </c>
      <c r="J5894" t="str">
        <f t="shared" si="2750"/>
        <v>08/10/2025</v>
      </c>
      <c r="M5894">
        <v>303</v>
      </c>
      <c r="N5894" t="str">
        <f t="shared" si="2751"/>
        <v>RECEITAS COM ENTREGAS</v>
      </c>
      <c r="P5894">
        <v>123.23</v>
      </c>
      <c r="Q5894" t="str">
        <f>"FARMÁCIA INDIANA LJ 175 (10076)"</f>
        <v>FARMÁCIA INDIANA LJ 175 (10076)</v>
      </c>
      <c r="R5894" t="str">
        <f t="shared" si="2752"/>
        <v>RECEITAS COM ENTREGAS (303)</v>
      </c>
      <c r="S5894">
        <v>2638</v>
      </c>
      <c r="T5894">
        <v>2179</v>
      </c>
      <c r="U5894" t="s">
        <v>19</v>
      </c>
    </row>
    <row r="5895" spans="1:21">
      <c r="A5895" t="str">
        <f t="shared" si="2746"/>
        <v>08/10/2025</v>
      </c>
      <c r="B5895" t="str">
        <f t="shared" si="2738"/>
        <v>ENTRADA</v>
      </c>
      <c r="C5895" t="str">
        <f t="shared" si="2747"/>
        <v>NFSE</v>
      </c>
      <c r="D5895" t="str">
        <f t="shared" si="2742"/>
        <v>3521</v>
      </c>
      <c r="E5895" t="str">
        <f t="shared" si="2745"/>
        <v>COM</v>
      </c>
      <c r="F5895" t="str">
        <f t="shared" si="2743"/>
        <v>FARMÁCIA INDIANA LJ 1 (10126)</v>
      </c>
      <c r="G5895" t="str">
        <f t="shared" si="2744"/>
        <v>Serv.Prest. 22/09/2025 a 25/09/2025 - RPS: 1286 - NFSe: 3521</v>
      </c>
      <c r="H5895" t="str">
        <f t="shared" si="2748"/>
        <v>08/10/2025</v>
      </c>
      <c r="I5895" t="str">
        <f t="shared" si="2749"/>
        <v>26/09/2025</v>
      </c>
      <c r="J5895" t="str">
        <f t="shared" si="2750"/>
        <v>08/10/2025</v>
      </c>
      <c r="M5895">
        <v>303</v>
      </c>
      <c r="N5895" t="str">
        <f t="shared" si="2751"/>
        <v>RECEITAS COM ENTREGAS</v>
      </c>
      <c r="P5895">
        <v>110.9</v>
      </c>
      <c r="Q5895" t="str">
        <f>"FARMÁCIA INDIANA LJ 178 (10077)"</f>
        <v>FARMÁCIA INDIANA LJ 178 (10077)</v>
      </c>
      <c r="R5895" t="str">
        <f t="shared" si="2752"/>
        <v>RECEITAS COM ENTREGAS (303)</v>
      </c>
      <c r="S5895">
        <v>2638</v>
      </c>
      <c r="T5895">
        <v>2179</v>
      </c>
      <c r="U5895" t="s">
        <v>19</v>
      </c>
    </row>
    <row r="5896" spans="1:21">
      <c r="A5896" t="str">
        <f t="shared" si="2746"/>
        <v>08/10/2025</v>
      </c>
      <c r="B5896" t="str">
        <f t="shared" si="2738"/>
        <v>ENTRADA</v>
      </c>
      <c r="C5896" t="str">
        <f t="shared" si="2747"/>
        <v>NFSE</v>
      </c>
      <c r="D5896" t="str">
        <f t="shared" si="2742"/>
        <v>3521</v>
      </c>
      <c r="E5896" t="str">
        <f t="shared" si="2745"/>
        <v>COM</v>
      </c>
      <c r="F5896" t="str">
        <f t="shared" si="2743"/>
        <v>FARMÁCIA INDIANA LJ 1 (10126)</v>
      </c>
      <c r="G5896" t="str">
        <f t="shared" si="2744"/>
        <v>Serv.Prest. 22/09/2025 a 25/09/2025 - RPS: 1286 - NFSe: 3521</v>
      </c>
      <c r="H5896" t="str">
        <f t="shared" si="2748"/>
        <v>08/10/2025</v>
      </c>
      <c r="I5896" t="str">
        <f t="shared" si="2749"/>
        <v>26/09/2025</v>
      </c>
      <c r="J5896" t="str">
        <f t="shared" si="2750"/>
        <v>08/10/2025</v>
      </c>
      <c r="M5896">
        <v>303</v>
      </c>
      <c r="N5896" t="str">
        <f t="shared" si="2751"/>
        <v>RECEITAS COM ENTREGAS</v>
      </c>
      <c r="P5896">
        <v>80.099999999999994</v>
      </c>
      <c r="Q5896" t="str">
        <f>"FARMÁCIA INDIANA LJ 182 (10079)"</f>
        <v>FARMÁCIA INDIANA LJ 182 (10079)</v>
      </c>
      <c r="R5896" t="str">
        <f t="shared" si="2752"/>
        <v>RECEITAS COM ENTREGAS (303)</v>
      </c>
      <c r="S5896">
        <v>2638</v>
      </c>
      <c r="T5896">
        <v>2179</v>
      </c>
      <c r="U5896" t="s">
        <v>19</v>
      </c>
    </row>
    <row r="5897" spans="1:21">
      <c r="A5897" t="str">
        <f t="shared" si="2746"/>
        <v>08/10/2025</v>
      </c>
      <c r="B5897" t="str">
        <f t="shared" si="2738"/>
        <v>ENTRADA</v>
      </c>
      <c r="C5897" t="str">
        <f t="shared" si="2747"/>
        <v>NFSE</v>
      </c>
      <c r="D5897" t="str">
        <f t="shared" si="2742"/>
        <v>3521</v>
      </c>
      <c r="E5897" t="str">
        <f t="shared" si="2745"/>
        <v>COM</v>
      </c>
      <c r="F5897" t="str">
        <f t="shared" si="2743"/>
        <v>FARMÁCIA INDIANA LJ 1 (10126)</v>
      </c>
      <c r="G5897" t="str">
        <f t="shared" si="2744"/>
        <v>Serv.Prest. 22/09/2025 a 25/09/2025 - RPS: 1286 - NFSe: 3521</v>
      </c>
      <c r="H5897" t="str">
        <f t="shared" si="2748"/>
        <v>08/10/2025</v>
      </c>
      <c r="I5897" t="str">
        <f t="shared" si="2749"/>
        <v>26/09/2025</v>
      </c>
      <c r="J5897" t="str">
        <f t="shared" si="2750"/>
        <v>08/10/2025</v>
      </c>
      <c r="M5897">
        <v>303</v>
      </c>
      <c r="N5897" t="str">
        <f t="shared" si="2751"/>
        <v>RECEITAS COM ENTREGAS</v>
      </c>
      <c r="P5897">
        <v>40.049999999999997</v>
      </c>
      <c r="Q5897" t="str">
        <f>"FARMÁCIA INDIANA LJ 184 (10080)"</f>
        <v>FARMÁCIA INDIANA LJ 184 (10080)</v>
      </c>
      <c r="R5897" t="str">
        <f t="shared" si="2752"/>
        <v>RECEITAS COM ENTREGAS (303)</v>
      </c>
      <c r="S5897">
        <v>2638</v>
      </c>
      <c r="T5897">
        <v>2179</v>
      </c>
      <c r="U5897" t="s">
        <v>19</v>
      </c>
    </row>
    <row r="5898" spans="1:21">
      <c r="A5898" t="str">
        <f t="shared" si="2746"/>
        <v>08/10/2025</v>
      </c>
      <c r="B5898" t="str">
        <f t="shared" si="2738"/>
        <v>ENTRADA</v>
      </c>
      <c r="C5898" t="str">
        <f t="shared" si="2747"/>
        <v>NFSE</v>
      </c>
      <c r="D5898" t="str">
        <f t="shared" si="2742"/>
        <v>3521</v>
      </c>
      <c r="E5898" t="str">
        <f t="shared" si="2745"/>
        <v>COM</v>
      </c>
      <c r="F5898" t="str">
        <f t="shared" si="2743"/>
        <v>FARMÁCIA INDIANA LJ 1 (10126)</v>
      </c>
      <c r="G5898" t="str">
        <f t="shared" si="2744"/>
        <v>Serv.Prest. 22/09/2025 a 25/09/2025 - RPS: 1286 - NFSe: 3521</v>
      </c>
      <c r="H5898" t="str">
        <f t="shared" si="2748"/>
        <v>08/10/2025</v>
      </c>
      <c r="I5898" t="str">
        <f t="shared" si="2749"/>
        <v>26/09/2025</v>
      </c>
      <c r="J5898" t="str">
        <f t="shared" si="2750"/>
        <v>08/10/2025</v>
      </c>
      <c r="M5898">
        <v>303</v>
      </c>
      <c r="N5898" t="str">
        <f t="shared" si="2751"/>
        <v>RECEITAS COM ENTREGAS</v>
      </c>
      <c r="P5898">
        <v>80.099999999999994</v>
      </c>
      <c r="Q5898" t="str">
        <f>"FARMÁCIA INDIANA LJ 186 (10081)"</f>
        <v>FARMÁCIA INDIANA LJ 186 (10081)</v>
      </c>
      <c r="R5898" t="str">
        <f t="shared" si="2752"/>
        <v>RECEITAS COM ENTREGAS (303)</v>
      </c>
      <c r="S5898">
        <v>2638</v>
      </c>
      <c r="T5898">
        <v>2179</v>
      </c>
      <c r="U5898" t="s">
        <v>19</v>
      </c>
    </row>
    <row r="5899" spans="1:21">
      <c r="A5899" t="str">
        <f t="shared" si="2746"/>
        <v>08/10/2025</v>
      </c>
      <c r="B5899" t="str">
        <f t="shared" si="2738"/>
        <v>ENTRADA</v>
      </c>
      <c r="C5899" t="str">
        <f t="shared" si="2747"/>
        <v>NFSE</v>
      </c>
      <c r="D5899" t="str">
        <f t="shared" si="2742"/>
        <v>3521</v>
      </c>
      <c r="E5899" t="str">
        <f t="shared" si="2745"/>
        <v>COM</v>
      </c>
      <c r="F5899" t="str">
        <f t="shared" si="2743"/>
        <v>FARMÁCIA INDIANA LJ 1 (10126)</v>
      </c>
      <c r="G5899" t="str">
        <f t="shared" si="2744"/>
        <v>Serv.Prest. 22/09/2025 a 25/09/2025 - RPS: 1286 - NFSe: 3521</v>
      </c>
      <c r="H5899" t="str">
        <f t="shared" si="2748"/>
        <v>08/10/2025</v>
      </c>
      <c r="I5899" t="str">
        <f t="shared" si="2749"/>
        <v>26/09/2025</v>
      </c>
      <c r="J5899" t="str">
        <f t="shared" si="2750"/>
        <v>08/10/2025</v>
      </c>
      <c r="M5899">
        <v>303</v>
      </c>
      <c r="N5899" t="str">
        <f t="shared" si="2751"/>
        <v>RECEITAS COM ENTREGAS</v>
      </c>
      <c r="P5899">
        <v>92.42</v>
      </c>
      <c r="Q5899" t="str">
        <f>"FARMÁCIA INDIANA LJ 192 (10082)"</f>
        <v>FARMÁCIA INDIANA LJ 192 (10082)</v>
      </c>
      <c r="R5899" t="str">
        <f t="shared" si="2752"/>
        <v>RECEITAS COM ENTREGAS (303)</v>
      </c>
      <c r="S5899">
        <v>2638</v>
      </c>
      <c r="T5899">
        <v>2179</v>
      </c>
      <c r="U5899" t="s">
        <v>19</v>
      </c>
    </row>
    <row r="5900" spans="1:21">
      <c r="A5900" t="str">
        <f t="shared" si="2746"/>
        <v>08/10/2025</v>
      </c>
      <c r="B5900" t="str">
        <f t="shared" si="2738"/>
        <v>ENTRADA</v>
      </c>
      <c r="C5900" t="str">
        <f t="shared" si="2747"/>
        <v>NFSE</v>
      </c>
      <c r="D5900" t="str">
        <f t="shared" si="2742"/>
        <v>3521</v>
      </c>
      <c r="E5900" t="str">
        <f t="shared" ref="E5900:E5931" si="2753">"COM"</f>
        <v>COM</v>
      </c>
      <c r="F5900" t="str">
        <f t="shared" si="2743"/>
        <v>FARMÁCIA INDIANA LJ 1 (10126)</v>
      </c>
      <c r="G5900" t="str">
        <f t="shared" si="2744"/>
        <v>Serv.Prest. 22/09/2025 a 25/09/2025 - RPS: 1286 - NFSe: 3521</v>
      </c>
      <c r="H5900" t="str">
        <f t="shared" si="2748"/>
        <v>08/10/2025</v>
      </c>
      <c r="I5900" t="str">
        <f t="shared" si="2749"/>
        <v>26/09/2025</v>
      </c>
      <c r="J5900" t="str">
        <f t="shared" si="2750"/>
        <v>08/10/2025</v>
      </c>
      <c r="M5900">
        <v>303</v>
      </c>
      <c r="N5900" t="str">
        <f t="shared" si="2751"/>
        <v>RECEITAS COM ENTREGAS</v>
      </c>
      <c r="P5900">
        <v>40.049999999999997</v>
      </c>
      <c r="Q5900" t="str">
        <f>"FARMÁCIA INDIANA LJ 195 (10083)"</f>
        <v>FARMÁCIA INDIANA LJ 195 (10083)</v>
      </c>
      <c r="R5900" t="str">
        <f t="shared" si="2752"/>
        <v>RECEITAS COM ENTREGAS (303)</v>
      </c>
      <c r="S5900">
        <v>2638</v>
      </c>
      <c r="T5900">
        <v>2179</v>
      </c>
      <c r="U5900" t="s">
        <v>19</v>
      </c>
    </row>
    <row r="5901" spans="1:21">
      <c r="A5901" t="str">
        <f t="shared" si="2746"/>
        <v>08/10/2025</v>
      </c>
      <c r="B5901" t="str">
        <f t="shared" si="2738"/>
        <v>ENTRADA</v>
      </c>
      <c r="C5901" t="str">
        <f t="shared" si="2747"/>
        <v>NFSE</v>
      </c>
      <c r="D5901" t="str">
        <f t="shared" si="2742"/>
        <v>3521</v>
      </c>
      <c r="E5901" t="str">
        <f t="shared" si="2753"/>
        <v>COM</v>
      </c>
      <c r="F5901" t="str">
        <f t="shared" si="2743"/>
        <v>FARMÁCIA INDIANA LJ 1 (10126)</v>
      </c>
      <c r="G5901" t="str">
        <f t="shared" si="2744"/>
        <v>Serv.Prest. 22/09/2025 a 25/09/2025 - RPS: 1286 - NFSe: 3521</v>
      </c>
      <c r="H5901" t="str">
        <f t="shared" si="2748"/>
        <v>08/10/2025</v>
      </c>
      <c r="I5901" t="str">
        <f t="shared" si="2749"/>
        <v>26/09/2025</v>
      </c>
      <c r="J5901" t="str">
        <f t="shared" si="2750"/>
        <v>08/10/2025</v>
      </c>
      <c r="M5901">
        <v>303</v>
      </c>
      <c r="N5901" t="str">
        <f t="shared" si="2751"/>
        <v>RECEITAS COM ENTREGAS</v>
      </c>
      <c r="P5901">
        <v>149.93</v>
      </c>
      <c r="Q5901" t="str">
        <f>"FARMÁCIA INDIANA LJ 202 (10085)"</f>
        <v>FARMÁCIA INDIANA LJ 202 (10085)</v>
      </c>
      <c r="R5901" t="str">
        <f t="shared" si="2752"/>
        <v>RECEITAS COM ENTREGAS (303)</v>
      </c>
      <c r="S5901">
        <v>2638</v>
      </c>
      <c r="T5901">
        <v>2179</v>
      </c>
      <c r="U5901" t="s">
        <v>19</v>
      </c>
    </row>
    <row r="5902" spans="1:21">
      <c r="A5902" t="str">
        <f t="shared" si="2746"/>
        <v>08/10/2025</v>
      </c>
      <c r="B5902" t="str">
        <f t="shared" si="2738"/>
        <v>ENTRADA</v>
      </c>
      <c r="C5902" t="str">
        <f t="shared" si="2747"/>
        <v>NFSE</v>
      </c>
      <c r="D5902" t="str">
        <f t="shared" si="2742"/>
        <v>3521</v>
      </c>
      <c r="E5902" t="str">
        <f t="shared" si="2753"/>
        <v>COM</v>
      </c>
      <c r="F5902" t="str">
        <f t="shared" si="2743"/>
        <v>FARMÁCIA INDIANA LJ 1 (10126)</v>
      </c>
      <c r="G5902" t="str">
        <f t="shared" si="2744"/>
        <v>Serv.Prest. 22/09/2025 a 25/09/2025 - RPS: 1286 - NFSe: 3521</v>
      </c>
      <c r="H5902" t="str">
        <f t="shared" si="2748"/>
        <v>08/10/2025</v>
      </c>
      <c r="I5902" t="str">
        <f t="shared" si="2749"/>
        <v>26/09/2025</v>
      </c>
      <c r="J5902" t="str">
        <f t="shared" si="2750"/>
        <v>08/10/2025</v>
      </c>
      <c r="M5902">
        <v>303</v>
      </c>
      <c r="N5902" t="str">
        <f t="shared" si="2751"/>
        <v>RECEITAS COM ENTREGAS</v>
      </c>
      <c r="P5902">
        <v>80.099999999999994</v>
      </c>
      <c r="Q5902" t="str">
        <f>"FARMÁCIA INDIANA LJ 204 (10087)"</f>
        <v>FARMÁCIA INDIANA LJ 204 (10087)</v>
      </c>
      <c r="R5902" t="str">
        <f t="shared" si="2752"/>
        <v>RECEITAS COM ENTREGAS (303)</v>
      </c>
      <c r="S5902">
        <v>2638</v>
      </c>
      <c r="T5902">
        <v>2179</v>
      </c>
      <c r="U5902" t="s">
        <v>19</v>
      </c>
    </row>
    <row r="5903" spans="1:21">
      <c r="A5903" t="str">
        <f t="shared" si="2746"/>
        <v>08/10/2025</v>
      </c>
      <c r="B5903" t="str">
        <f t="shared" si="2738"/>
        <v>ENTRADA</v>
      </c>
      <c r="C5903" t="str">
        <f t="shared" si="2747"/>
        <v>NFSE</v>
      </c>
      <c r="D5903" t="str">
        <f t="shared" si="2742"/>
        <v>3521</v>
      </c>
      <c r="E5903" t="str">
        <f t="shared" si="2753"/>
        <v>COM</v>
      </c>
      <c r="F5903" t="str">
        <f t="shared" si="2743"/>
        <v>FARMÁCIA INDIANA LJ 1 (10126)</v>
      </c>
      <c r="G5903" t="str">
        <f t="shared" si="2744"/>
        <v>Serv.Prest. 22/09/2025 a 25/09/2025 - RPS: 1286 - NFSe: 3521</v>
      </c>
      <c r="H5903" t="str">
        <f t="shared" si="2748"/>
        <v>08/10/2025</v>
      </c>
      <c r="I5903" t="str">
        <f t="shared" si="2749"/>
        <v>26/09/2025</v>
      </c>
      <c r="J5903" t="str">
        <f t="shared" si="2750"/>
        <v>08/10/2025</v>
      </c>
      <c r="M5903">
        <v>303</v>
      </c>
      <c r="N5903" t="str">
        <f t="shared" si="2751"/>
        <v>RECEITAS COM ENTREGAS</v>
      </c>
      <c r="P5903">
        <v>126.31</v>
      </c>
      <c r="Q5903" t="str">
        <f>"FARMÁCIA INDIANA LJ 207 (10088)"</f>
        <v>FARMÁCIA INDIANA LJ 207 (10088)</v>
      </c>
      <c r="R5903" t="str">
        <f t="shared" si="2752"/>
        <v>RECEITAS COM ENTREGAS (303)</v>
      </c>
      <c r="S5903">
        <v>2638</v>
      </c>
      <c r="T5903">
        <v>2179</v>
      </c>
      <c r="U5903" t="s">
        <v>19</v>
      </c>
    </row>
    <row r="5904" spans="1:21">
      <c r="A5904" t="str">
        <f t="shared" si="2746"/>
        <v>08/10/2025</v>
      </c>
      <c r="B5904" t="str">
        <f t="shared" si="2738"/>
        <v>ENTRADA</v>
      </c>
      <c r="C5904" t="str">
        <f t="shared" si="2747"/>
        <v>NFSE</v>
      </c>
      <c r="D5904" t="str">
        <f t="shared" si="2742"/>
        <v>3521</v>
      </c>
      <c r="E5904" t="str">
        <f t="shared" si="2753"/>
        <v>COM</v>
      </c>
      <c r="F5904" t="str">
        <f t="shared" si="2743"/>
        <v>FARMÁCIA INDIANA LJ 1 (10126)</v>
      </c>
      <c r="G5904" t="str">
        <f t="shared" si="2744"/>
        <v>Serv.Prest. 22/09/2025 a 25/09/2025 - RPS: 1286 - NFSe: 3521</v>
      </c>
      <c r="H5904" t="str">
        <f t="shared" si="2748"/>
        <v>08/10/2025</v>
      </c>
      <c r="I5904" t="str">
        <f t="shared" si="2749"/>
        <v>26/09/2025</v>
      </c>
      <c r="J5904" t="str">
        <f t="shared" si="2750"/>
        <v>08/10/2025</v>
      </c>
      <c r="M5904">
        <v>303</v>
      </c>
      <c r="N5904" t="str">
        <f t="shared" si="2751"/>
        <v>RECEITAS COM ENTREGAS</v>
      </c>
      <c r="P5904">
        <v>125.28</v>
      </c>
      <c r="Q5904" t="str">
        <f>"FARMÁCIA INDIANA LJ 209 (10089)"</f>
        <v>FARMÁCIA INDIANA LJ 209 (10089)</v>
      </c>
      <c r="R5904" t="str">
        <f t="shared" si="2752"/>
        <v>RECEITAS COM ENTREGAS (303)</v>
      </c>
      <c r="S5904">
        <v>2638</v>
      </c>
      <c r="T5904">
        <v>2179</v>
      </c>
      <c r="U5904" t="s">
        <v>19</v>
      </c>
    </row>
    <row r="5905" spans="1:21">
      <c r="A5905" t="str">
        <f t="shared" si="2746"/>
        <v>08/10/2025</v>
      </c>
      <c r="B5905" t="str">
        <f t="shared" si="2738"/>
        <v>ENTRADA</v>
      </c>
      <c r="C5905" t="str">
        <f t="shared" si="2747"/>
        <v>NFSE</v>
      </c>
      <c r="D5905" t="str">
        <f t="shared" si="2742"/>
        <v>3521</v>
      </c>
      <c r="E5905" t="str">
        <f t="shared" si="2753"/>
        <v>COM</v>
      </c>
      <c r="F5905" t="str">
        <f t="shared" si="2743"/>
        <v>FARMÁCIA INDIANA LJ 1 (10126)</v>
      </c>
      <c r="G5905" t="str">
        <f t="shared" si="2744"/>
        <v>Serv.Prest. 22/09/2025 a 25/09/2025 - RPS: 1286 - NFSe: 3521</v>
      </c>
      <c r="H5905" t="str">
        <f t="shared" si="2748"/>
        <v>08/10/2025</v>
      </c>
      <c r="I5905" t="str">
        <f t="shared" si="2749"/>
        <v>26/09/2025</v>
      </c>
      <c r="J5905" t="str">
        <f t="shared" si="2750"/>
        <v>08/10/2025</v>
      </c>
      <c r="M5905">
        <v>303</v>
      </c>
      <c r="N5905" t="str">
        <f t="shared" si="2751"/>
        <v>RECEITAS COM ENTREGAS</v>
      </c>
      <c r="P5905">
        <v>149.93</v>
      </c>
      <c r="Q5905" t="str">
        <f>"FARMÁCIA INDIANA LJ 219 (10091)"</f>
        <v>FARMÁCIA INDIANA LJ 219 (10091)</v>
      </c>
      <c r="R5905" t="str">
        <f t="shared" si="2752"/>
        <v>RECEITAS COM ENTREGAS (303)</v>
      </c>
      <c r="S5905">
        <v>2638</v>
      </c>
      <c r="T5905">
        <v>2179</v>
      </c>
      <c r="U5905" t="s">
        <v>19</v>
      </c>
    </row>
    <row r="5906" spans="1:21">
      <c r="A5906" t="str">
        <f t="shared" si="2746"/>
        <v>08/10/2025</v>
      </c>
      <c r="B5906" t="str">
        <f t="shared" si="2738"/>
        <v>ENTRADA</v>
      </c>
      <c r="C5906" t="str">
        <f t="shared" si="2747"/>
        <v>NFSE</v>
      </c>
      <c r="D5906" t="str">
        <f t="shared" si="2742"/>
        <v>3521</v>
      </c>
      <c r="E5906" t="str">
        <f t="shared" si="2753"/>
        <v>COM</v>
      </c>
      <c r="F5906" t="str">
        <f t="shared" si="2743"/>
        <v>FARMÁCIA INDIANA LJ 1 (10126)</v>
      </c>
      <c r="G5906" t="str">
        <f t="shared" si="2744"/>
        <v>Serv.Prest. 22/09/2025 a 25/09/2025 - RPS: 1286 - NFSe: 3521</v>
      </c>
      <c r="H5906" t="str">
        <f t="shared" si="2748"/>
        <v>08/10/2025</v>
      </c>
      <c r="I5906" t="str">
        <f t="shared" si="2749"/>
        <v>26/09/2025</v>
      </c>
      <c r="J5906" t="str">
        <f t="shared" si="2750"/>
        <v>08/10/2025</v>
      </c>
      <c r="M5906">
        <v>303</v>
      </c>
      <c r="N5906" t="str">
        <f t="shared" si="2751"/>
        <v>RECEITAS COM ENTREGAS</v>
      </c>
      <c r="P5906">
        <v>215.65</v>
      </c>
      <c r="Q5906" t="str">
        <f>"FARMÁCIA INDIANA LJ 220 (10092)"</f>
        <v>FARMÁCIA INDIANA LJ 220 (10092)</v>
      </c>
      <c r="R5906" t="str">
        <f t="shared" si="2752"/>
        <v>RECEITAS COM ENTREGAS (303)</v>
      </c>
      <c r="S5906">
        <v>2638</v>
      </c>
      <c r="T5906">
        <v>2179</v>
      </c>
      <c r="U5906" t="s">
        <v>19</v>
      </c>
    </row>
    <row r="5907" spans="1:21">
      <c r="A5907" t="str">
        <f t="shared" si="2746"/>
        <v>08/10/2025</v>
      </c>
      <c r="B5907" t="str">
        <f t="shared" si="2738"/>
        <v>ENTRADA</v>
      </c>
      <c r="C5907" t="str">
        <f t="shared" si="2747"/>
        <v>NFSE</v>
      </c>
      <c r="D5907" t="str">
        <f t="shared" si="2742"/>
        <v>3521</v>
      </c>
      <c r="E5907" t="str">
        <f t="shared" si="2753"/>
        <v>COM</v>
      </c>
      <c r="F5907" t="str">
        <f t="shared" si="2743"/>
        <v>FARMÁCIA INDIANA LJ 1 (10126)</v>
      </c>
      <c r="G5907" t="str">
        <f t="shared" si="2744"/>
        <v>Serv.Prest. 22/09/2025 a 25/09/2025 - RPS: 1286 - NFSe: 3521</v>
      </c>
      <c r="H5907" t="str">
        <f t="shared" si="2748"/>
        <v>08/10/2025</v>
      </c>
      <c r="I5907" t="str">
        <f t="shared" si="2749"/>
        <v>26/09/2025</v>
      </c>
      <c r="J5907" t="str">
        <f t="shared" si="2750"/>
        <v>08/10/2025</v>
      </c>
      <c r="M5907">
        <v>303</v>
      </c>
      <c r="N5907" t="str">
        <f t="shared" si="2751"/>
        <v>RECEITAS COM ENTREGAS</v>
      </c>
      <c r="P5907">
        <v>171.49</v>
      </c>
      <c r="Q5907" t="str">
        <f>"FARMÁCIA INDIANA LJ 185 (10141)"</f>
        <v>FARMÁCIA INDIANA LJ 185 (10141)</v>
      </c>
      <c r="R5907" t="str">
        <f t="shared" si="2752"/>
        <v>RECEITAS COM ENTREGAS (303)</v>
      </c>
      <c r="S5907">
        <v>2638</v>
      </c>
      <c r="T5907">
        <v>2179</v>
      </c>
      <c r="U5907" t="s">
        <v>19</v>
      </c>
    </row>
    <row r="5908" spans="1:21">
      <c r="A5908" t="str">
        <f t="shared" si="2746"/>
        <v>08/10/2025</v>
      </c>
      <c r="B5908" t="str">
        <f t="shared" si="2738"/>
        <v>ENTRADA</v>
      </c>
      <c r="C5908" t="str">
        <f t="shared" si="2747"/>
        <v>NFSE</v>
      </c>
      <c r="D5908" t="str">
        <f t="shared" si="2742"/>
        <v>3521</v>
      </c>
      <c r="E5908" t="str">
        <f t="shared" si="2753"/>
        <v>COM</v>
      </c>
      <c r="F5908" t="str">
        <f t="shared" si="2743"/>
        <v>FARMÁCIA INDIANA LJ 1 (10126)</v>
      </c>
      <c r="G5908" t="str">
        <f t="shared" si="2744"/>
        <v>Serv.Prest. 22/09/2025 a 25/09/2025 - RPS: 1286 - NFSe: 3521</v>
      </c>
      <c r="H5908" t="str">
        <f t="shared" si="2748"/>
        <v>08/10/2025</v>
      </c>
      <c r="I5908" t="str">
        <f t="shared" si="2749"/>
        <v>26/09/2025</v>
      </c>
      <c r="J5908" t="str">
        <f t="shared" si="2750"/>
        <v>08/10/2025</v>
      </c>
      <c r="M5908">
        <v>303</v>
      </c>
      <c r="N5908" t="str">
        <f t="shared" si="2751"/>
        <v>RECEITAS COM ENTREGAS</v>
      </c>
      <c r="P5908">
        <v>106.8</v>
      </c>
      <c r="Q5908" t="str">
        <f>"FARMÁCIA INDIANA LJ 205 (10150)"</f>
        <v>FARMÁCIA INDIANA LJ 205 (10150)</v>
      </c>
      <c r="R5908" t="str">
        <f t="shared" si="2752"/>
        <v>RECEITAS COM ENTREGAS (303)</v>
      </c>
      <c r="S5908">
        <v>2638</v>
      </c>
      <c r="T5908">
        <v>2179</v>
      </c>
      <c r="U5908" t="s">
        <v>19</v>
      </c>
    </row>
    <row r="5909" spans="1:21">
      <c r="A5909" t="str">
        <f t="shared" si="2746"/>
        <v>08/10/2025</v>
      </c>
      <c r="B5909" t="str">
        <f t="shared" si="2738"/>
        <v>ENTRADA</v>
      </c>
      <c r="C5909" t="str">
        <f t="shared" si="2747"/>
        <v>NFSE</v>
      </c>
      <c r="D5909" t="str">
        <f t="shared" si="2742"/>
        <v>3521</v>
      </c>
      <c r="E5909" t="str">
        <f t="shared" si="2753"/>
        <v>COM</v>
      </c>
      <c r="F5909" t="str">
        <f t="shared" si="2743"/>
        <v>FARMÁCIA INDIANA LJ 1 (10126)</v>
      </c>
      <c r="G5909" t="str">
        <f t="shared" si="2744"/>
        <v>Serv.Prest. 22/09/2025 a 25/09/2025 - RPS: 1286 - NFSe: 3521</v>
      </c>
      <c r="H5909" t="str">
        <f t="shared" si="2748"/>
        <v>08/10/2025</v>
      </c>
      <c r="I5909" t="str">
        <f t="shared" si="2749"/>
        <v>26/09/2025</v>
      </c>
      <c r="J5909" t="str">
        <f t="shared" si="2750"/>
        <v>08/10/2025</v>
      </c>
      <c r="M5909">
        <v>303</v>
      </c>
      <c r="N5909" t="str">
        <f t="shared" si="2751"/>
        <v>RECEITAS COM ENTREGAS</v>
      </c>
      <c r="P5909">
        <v>371.73</v>
      </c>
      <c r="Q5909" t="str">
        <f>"FARMÁCIA INDIANA LJ 172 (10161)"</f>
        <v>FARMÁCIA INDIANA LJ 172 (10161)</v>
      </c>
      <c r="R5909" t="str">
        <f t="shared" si="2752"/>
        <v>RECEITAS COM ENTREGAS (303)</v>
      </c>
      <c r="S5909">
        <v>2638</v>
      </c>
      <c r="T5909">
        <v>2179</v>
      </c>
      <c r="U5909" t="s">
        <v>19</v>
      </c>
    </row>
    <row r="5910" spans="1:21">
      <c r="A5910" t="str">
        <f t="shared" si="2746"/>
        <v>08/10/2025</v>
      </c>
      <c r="B5910" t="str">
        <f t="shared" si="2738"/>
        <v>ENTRADA</v>
      </c>
      <c r="C5910" t="str">
        <f t="shared" si="2747"/>
        <v>NFSE</v>
      </c>
      <c r="D5910" t="str">
        <f t="shared" si="2742"/>
        <v>3521</v>
      </c>
      <c r="E5910" t="str">
        <f t="shared" si="2753"/>
        <v>COM</v>
      </c>
      <c r="F5910" t="str">
        <f t="shared" si="2743"/>
        <v>FARMÁCIA INDIANA LJ 1 (10126)</v>
      </c>
      <c r="G5910" t="str">
        <f t="shared" si="2744"/>
        <v>Serv.Prest. 22/09/2025 a 25/09/2025 - RPS: 1286 - NFSe: 3521</v>
      </c>
      <c r="H5910" t="str">
        <f t="shared" si="2748"/>
        <v>08/10/2025</v>
      </c>
      <c r="I5910" t="str">
        <f t="shared" si="2749"/>
        <v>26/09/2025</v>
      </c>
      <c r="J5910" t="str">
        <f t="shared" si="2750"/>
        <v>08/10/2025</v>
      </c>
      <c r="M5910">
        <v>303</v>
      </c>
      <c r="N5910" t="str">
        <f t="shared" si="2751"/>
        <v>RECEITAS COM ENTREGAS</v>
      </c>
      <c r="P5910">
        <v>82.15</v>
      </c>
      <c r="Q5910" t="str">
        <f>"FARMÁCIA INDIANA LJ 266 (10186)"</f>
        <v>FARMÁCIA INDIANA LJ 266 (10186)</v>
      </c>
      <c r="R5910" t="str">
        <f t="shared" si="2752"/>
        <v>RECEITAS COM ENTREGAS (303)</v>
      </c>
      <c r="S5910">
        <v>2638</v>
      </c>
      <c r="T5910">
        <v>2179</v>
      </c>
      <c r="U5910" t="s">
        <v>19</v>
      </c>
    </row>
    <row r="5911" spans="1:21">
      <c r="A5911" t="str">
        <f t="shared" si="2746"/>
        <v>08/10/2025</v>
      </c>
      <c r="B5911" t="str">
        <f t="shared" si="2738"/>
        <v>ENTRADA</v>
      </c>
      <c r="C5911" t="str">
        <f t="shared" si="2747"/>
        <v>NFSE</v>
      </c>
      <c r="D5911" t="str">
        <f t="shared" ref="D5911:D5921" si="2754">"3522"</f>
        <v>3522</v>
      </c>
      <c r="E5911" t="str">
        <f t="shared" si="2753"/>
        <v>COM</v>
      </c>
      <c r="F5911" t="str">
        <f t="shared" ref="F5911:F5921" si="2755">"FARMÁCIA INDIANA LJ 85 (10128)"</f>
        <v>FARMÁCIA INDIANA LJ 85 (10128)</v>
      </c>
      <c r="G5911" t="str">
        <f t="shared" ref="G5911:G5921" si="2756">"Serv.Prest. 22/09/2025 a 25/09/2025 - RPS: 1287 - NFSe: 3522"</f>
        <v>Serv.Prest. 22/09/2025 a 25/09/2025 - RPS: 1287 - NFSe: 3522</v>
      </c>
      <c r="H5911" t="str">
        <f t="shared" si="2748"/>
        <v>08/10/2025</v>
      </c>
      <c r="I5911" t="str">
        <f t="shared" si="2749"/>
        <v>26/09/2025</v>
      </c>
      <c r="J5911" t="str">
        <f t="shared" si="2750"/>
        <v>08/10/2025</v>
      </c>
      <c r="K5911">
        <v>1317.86</v>
      </c>
      <c r="L5911">
        <v>1317.86</v>
      </c>
      <c r="M5911">
        <v>303</v>
      </c>
      <c r="N5911" t="str">
        <f t="shared" si="2751"/>
        <v>RECEITAS COM ENTREGAS</v>
      </c>
      <c r="O5911">
        <v>1317.86</v>
      </c>
      <c r="R5911" t="str">
        <f t="shared" si="2752"/>
        <v>RECEITAS COM ENTREGAS (303)</v>
      </c>
      <c r="S5911">
        <v>2639</v>
      </c>
      <c r="T5911">
        <v>2180</v>
      </c>
      <c r="U5911" t="s">
        <v>19</v>
      </c>
    </row>
    <row r="5912" spans="1:21">
      <c r="A5912" t="str">
        <f t="shared" ref="A5912:A5938" si="2757">("08/10/2025")</f>
        <v>08/10/2025</v>
      </c>
      <c r="B5912" t="str">
        <f t="shared" si="2738"/>
        <v>ENTRADA</v>
      </c>
      <c r="C5912" t="str">
        <f t="shared" ref="C5912:C5937" si="2758">"NFSE"</f>
        <v>NFSE</v>
      </c>
      <c r="D5912" t="str">
        <f t="shared" si="2754"/>
        <v>3522</v>
      </c>
      <c r="E5912" t="str">
        <f t="shared" si="2753"/>
        <v>COM</v>
      </c>
      <c r="F5912" t="str">
        <f t="shared" si="2755"/>
        <v>FARMÁCIA INDIANA LJ 85 (10128)</v>
      </c>
      <c r="G5912" t="str">
        <f t="shared" si="2756"/>
        <v>Serv.Prest. 22/09/2025 a 25/09/2025 - RPS: 1287 - NFSe: 3522</v>
      </c>
      <c r="H5912" t="str">
        <f t="shared" ref="H5912:H5938" si="2759">("08/10/2025")</f>
        <v>08/10/2025</v>
      </c>
      <c r="I5912" t="str">
        <f t="shared" ref="I5912:I5921" si="2760">("26/09/2025")</f>
        <v>26/09/2025</v>
      </c>
      <c r="J5912" t="str">
        <f t="shared" ref="J5912:J5938" si="2761">("08/10/2025")</f>
        <v>08/10/2025</v>
      </c>
      <c r="M5912">
        <v>303</v>
      </c>
      <c r="N5912" t="str">
        <f t="shared" ref="N5912:N5937" si="2762">"RECEITAS COM ENTREGAS"</f>
        <v>RECEITAS COM ENTREGAS</v>
      </c>
      <c r="P5912">
        <v>161.97</v>
      </c>
      <c r="Q5912" t="str">
        <f>"FARMÁCIA INDIANA LJ 119 (10053)"</f>
        <v>FARMÁCIA INDIANA LJ 119 (10053)</v>
      </c>
      <c r="R5912" t="str">
        <f t="shared" ref="R5912:R5937" si="2763">"RECEITAS COM ENTREGAS (303)"</f>
        <v>RECEITAS COM ENTREGAS (303)</v>
      </c>
      <c r="S5912">
        <v>2639</v>
      </c>
      <c r="T5912">
        <v>2180</v>
      </c>
      <c r="U5912" t="s">
        <v>19</v>
      </c>
    </row>
    <row r="5913" spans="1:21">
      <c r="A5913" t="str">
        <f t="shared" si="2757"/>
        <v>08/10/2025</v>
      </c>
      <c r="B5913" t="str">
        <f t="shared" ref="B5913:B5937" si="2764">"ENTRADA"</f>
        <v>ENTRADA</v>
      </c>
      <c r="C5913" t="str">
        <f t="shared" si="2758"/>
        <v>NFSE</v>
      </c>
      <c r="D5913" t="str">
        <f t="shared" si="2754"/>
        <v>3522</v>
      </c>
      <c r="E5913" t="str">
        <f t="shared" si="2753"/>
        <v>COM</v>
      </c>
      <c r="F5913" t="str">
        <f t="shared" si="2755"/>
        <v>FARMÁCIA INDIANA LJ 85 (10128)</v>
      </c>
      <c r="G5913" t="str">
        <f t="shared" si="2756"/>
        <v>Serv.Prest. 22/09/2025 a 25/09/2025 - RPS: 1287 - NFSe: 3522</v>
      </c>
      <c r="H5913" t="str">
        <f t="shared" si="2759"/>
        <v>08/10/2025</v>
      </c>
      <c r="I5913" t="str">
        <f t="shared" si="2760"/>
        <v>26/09/2025</v>
      </c>
      <c r="J5913" t="str">
        <f t="shared" si="2761"/>
        <v>08/10/2025</v>
      </c>
      <c r="M5913">
        <v>303</v>
      </c>
      <c r="N5913" t="str">
        <f t="shared" si="2762"/>
        <v>RECEITAS COM ENTREGAS</v>
      </c>
      <c r="P5913">
        <v>192.8</v>
      </c>
      <c r="Q5913" t="str">
        <f>"FARMÁCIA INDIANA LJ 163 (10072)"</f>
        <v>FARMÁCIA INDIANA LJ 163 (10072)</v>
      </c>
      <c r="R5913" t="str">
        <f t="shared" si="2763"/>
        <v>RECEITAS COM ENTREGAS (303)</v>
      </c>
      <c r="S5913">
        <v>2639</v>
      </c>
      <c r="T5913">
        <v>2180</v>
      </c>
      <c r="U5913" t="s">
        <v>19</v>
      </c>
    </row>
    <row r="5914" spans="1:21">
      <c r="A5914" t="str">
        <f t="shared" si="2757"/>
        <v>08/10/2025</v>
      </c>
      <c r="B5914" t="str">
        <f t="shared" si="2764"/>
        <v>ENTRADA</v>
      </c>
      <c r="C5914" t="str">
        <f t="shared" si="2758"/>
        <v>NFSE</v>
      </c>
      <c r="D5914" t="str">
        <f t="shared" si="2754"/>
        <v>3522</v>
      </c>
      <c r="E5914" t="str">
        <f t="shared" si="2753"/>
        <v>COM</v>
      </c>
      <c r="F5914" t="str">
        <f t="shared" si="2755"/>
        <v>FARMÁCIA INDIANA LJ 85 (10128)</v>
      </c>
      <c r="G5914" t="str">
        <f t="shared" si="2756"/>
        <v>Serv.Prest. 22/09/2025 a 25/09/2025 - RPS: 1287 - NFSe: 3522</v>
      </c>
      <c r="H5914" t="str">
        <f t="shared" si="2759"/>
        <v>08/10/2025</v>
      </c>
      <c r="I5914" t="str">
        <f t="shared" si="2760"/>
        <v>26/09/2025</v>
      </c>
      <c r="J5914" t="str">
        <f t="shared" si="2761"/>
        <v>08/10/2025</v>
      </c>
      <c r="M5914">
        <v>303</v>
      </c>
      <c r="N5914" t="str">
        <f t="shared" si="2762"/>
        <v>RECEITAS COM ENTREGAS</v>
      </c>
      <c r="P5914">
        <v>114.65</v>
      </c>
      <c r="Q5914" t="str">
        <f>"FARMÁCIA INDIANA LJ 181 (10078)"</f>
        <v>FARMÁCIA INDIANA LJ 181 (10078)</v>
      </c>
      <c r="R5914" t="str">
        <f t="shared" si="2763"/>
        <v>RECEITAS COM ENTREGAS (303)</v>
      </c>
      <c r="S5914">
        <v>2639</v>
      </c>
      <c r="T5914">
        <v>2180</v>
      </c>
      <c r="U5914" t="s">
        <v>19</v>
      </c>
    </row>
    <row r="5915" spans="1:21">
      <c r="A5915" t="str">
        <f t="shared" si="2757"/>
        <v>08/10/2025</v>
      </c>
      <c r="B5915" t="str">
        <f t="shared" si="2764"/>
        <v>ENTRADA</v>
      </c>
      <c r="C5915" t="str">
        <f t="shared" si="2758"/>
        <v>NFSE</v>
      </c>
      <c r="D5915" t="str">
        <f t="shared" si="2754"/>
        <v>3522</v>
      </c>
      <c r="E5915" t="str">
        <f t="shared" si="2753"/>
        <v>COM</v>
      </c>
      <c r="F5915" t="str">
        <f t="shared" si="2755"/>
        <v>FARMÁCIA INDIANA LJ 85 (10128)</v>
      </c>
      <c r="G5915" t="str">
        <f t="shared" si="2756"/>
        <v>Serv.Prest. 22/09/2025 a 25/09/2025 - RPS: 1287 - NFSe: 3522</v>
      </c>
      <c r="H5915" t="str">
        <f t="shared" si="2759"/>
        <v>08/10/2025</v>
      </c>
      <c r="I5915" t="str">
        <f t="shared" si="2760"/>
        <v>26/09/2025</v>
      </c>
      <c r="J5915" t="str">
        <f t="shared" si="2761"/>
        <v>08/10/2025</v>
      </c>
      <c r="M5915">
        <v>303</v>
      </c>
      <c r="N5915" t="str">
        <f t="shared" si="2762"/>
        <v>RECEITAS COM ENTREGAS</v>
      </c>
      <c r="P5915">
        <v>161.69999999999999</v>
      </c>
      <c r="Q5915" t="str">
        <f>"FARMÁCIA INDIANA LJ 221 (10093)"</f>
        <v>FARMÁCIA INDIANA LJ 221 (10093)</v>
      </c>
      <c r="R5915" t="str">
        <f t="shared" si="2763"/>
        <v>RECEITAS COM ENTREGAS (303)</v>
      </c>
      <c r="S5915">
        <v>2639</v>
      </c>
      <c r="T5915">
        <v>2180</v>
      </c>
      <c r="U5915" t="s">
        <v>19</v>
      </c>
    </row>
    <row r="5916" spans="1:21">
      <c r="A5916" t="str">
        <f t="shared" si="2757"/>
        <v>08/10/2025</v>
      </c>
      <c r="B5916" t="str">
        <f t="shared" si="2764"/>
        <v>ENTRADA</v>
      </c>
      <c r="C5916" t="str">
        <f t="shared" si="2758"/>
        <v>NFSE</v>
      </c>
      <c r="D5916" t="str">
        <f t="shared" si="2754"/>
        <v>3522</v>
      </c>
      <c r="E5916" t="str">
        <f t="shared" si="2753"/>
        <v>COM</v>
      </c>
      <c r="F5916" t="str">
        <f t="shared" si="2755"/>
        <v>FARMÁCIA INDIANA LJ 85 (10128)</v>
      </c>
      <c r="G5916" t="str">
        <f t="shared" si="2756"/>
        <v>Serv.Prest. 22/09/2025 a 25/09/2025 - RPS: 1287 - NFSe: 3522</v>
      </c>
      <c r="H5916" t="str">
        <f t="shared" si="2759"/>
        <v>08/10/2025</v>
      </c>
      <c r="I5916" t="str">
        <f t="shared" si="2760"/>
        <v>26/09/2025</v>
      </c>
      <c r="J5916" t="str">
        <f t="shared" si="2761"/>
        <v>08/10/2025</v>
      </c>
      <c r="M5916">
        <v>303</v>
      </c>
      <c r="N5916" t="str">
        <f t="shared" si="2762"/>
        <v>RECEITAS COM ENTREGAS</v>
      </c>
      <c r="P5916">
        <v>180.15</v>
      </c>
      <c r="Q5916" t="str">
        <f>"FARMÁCIA INDIANA LJ 243 (10142)"</f>
        <v>FARMÁCIA INDIANA LJ 243 (10142)</v>
      </c>
      <c r="R5916" t="str">
        <f t="shared" si="2763"/>
        <v>RECEITAS COM ENTREGAS (303)</v>
      </c>
      <c r="S5916">
        <v>2639</v>
      </c>
      <c r="T5916">
        <v>2180</v>
      </c>
      <c r="U5916" t="s">
        <v>19</v>
      </c>
    </row>
    <row r="5917" spans="1:21">
      <c r="A5917" t="str">
        <f t="shared" si="2757"/>
        <v>08/10/2025</v>
      </c>
      <c r="B5917" t="str">
        <f t="shared" si="2764"/>
        <v>ENTRADA</v>
      </c>
      <c r="C5917" t="str">
        <f t="shared" si="2758"/>
        <v>NFSE</v>
      </c>
      <c r="D5917" t="str">
        <f t="shared" si="2754"/>
        <v>3522</v>
      </c>
      <c r="E5917" t="str">
        <f t="shared" si="2753"/>
        <v>COM</v>
      </c>
      <c r="F5917" t="str">
        <f t="shared" si="2755"/>
        <v>FARMÁCIA INDIANA LJ 85 (10128)</v>
      </c>
      <c r="G5917" t="str">
        <f t="shared" si="2756"/>
        <v>Serv.Prest. 22/09/2025 a 25/09/2025 - RPS: 1287 - NFSe: 3522</v>
      </c>
      <c r="H5917" t="str">
        <f t="shared" si="2759"/>
        <v>08/10/2025</v>
      </c>
      <c r="I5917" t="str">
        <f t="shared" si="2760"/>
        <v>26/09/2025</v>
      </c>
      <c r="J5917" t="str">
        <f t="shared" si="2761"/>
        <v>08/10/2025</v>
      </c>
      <c r="M5917">
        <v>303</v>
      </c>
      <c r="N5917" t="str">
        <f t="shared" si="2762"/>
        <v>RECEITAS COM ENTREGAS</v>
      </c>
      <c r="P5917">
        <v>86.19</v>
      </c>
      <c r="Q5917" t="str">
        <f>"FARMÁCIA INDIANA LJ 211 (10168)"</f>
        <v>FARMÁCIA INDIANA LJ 211 (10168)</v>
      </c>
      <c r="R5917" t="str">
        <f t="shared" si="2763"/>
        <v>RECEITAS COM ENTREGAS (303)</v>
      </c>
      <c r="S5917">
        <v>2639</v>
      </c>
      <c r="T5917">
        <v>2180</v>
      </c>
      <c r="U5917" t="s">
        <v>19</v>
      </c>
    </row>
    <row r="5918" spans="1:21">
      <c r="A5918" t="str">
        <f t="shared" si="2757"/>
        <v>08/10/2025</v>
      </c>
      <c r="B5918" t="str">
        <f t="shared" si="2764"/>
        <v>ENTRADA</v>
      </c>
      <c r="C5918" t="str">
        <f t="shared" si="2758"/>
        <v>NFSE</v>
      </c>
      <c r="D5918" t="str">
        <f t="shared" si="2754"/>
        <v>3522</v>
      </c>
      <c r="E5918" t="str">
        <f t="shared" si="2753"/>
        <v>COM</v>
      </c>
      <c r="F5918" t="str">
        <f t="shared" si="2755"/>
        <v>FARMÁCIA INDIANA LJ 85 (10128)</v>
      </c>
      <c r="G5918" t="str">
        <f t="shared" si="2756"/>
        <v>Serv.Prest. 22/09/2025 a 25/09/2025 - RPS: 1287 - NFSe: 3522</v>
      </c>
      <c r="H5918" t="str">
        <f t="shared" si="2759"/>
        <v>08/10/2025</v>
      </c>
      <c r="I5918" t="str">
        <f t="shared" si="2760"/>
        <v>26/09/2025</v>
      </c>
      <c r="J5918" t="str">
        <f t="shared" si="2761"/>
        <v>08/10/2025</v>
      </c>
      <c r="M5918">
        <v>303</v>
      </c>
      <c r="N5918" t="str">
        <f t="shared" si="2762"/>
        <v>RECEITAS COM ENTREGAS</v>
      </c>
      <c r="P5918">
        <v>86.19</v>
      </c>
      <c r="Q5918" t="str">
        <f>"FARMÁCIA INDIANA LJ 236 (10169)"</f>
        <v>FARMÁCIA INDIANA LJ 236 (10169)</v>
      </c>
      <c r="R5918" t="str">
        <f t="shared" si="2763"/>
        <v>RECEITAS COM ENTREGAS (303)</v>
      </c>
      <c r="S5918">
        <v>2639</v>
      </c>
      <c r="T5918">
        <v>2180</v>
      </c>
      <c r="U5918" t="s">
        <v>19</v>
      </c>
    </row>
    <row r="5919" spans="1:21">
      <c r="A5919" t="str">
        <f t="shared" si="2757"/>
        <v>08/10/2025</v>
      </c>
      <c r="B5919" t="str">
        <f t="shared" si="2764"/>
        <v>ENTRADA</v>
      </c>
      <c r="C5919" t="str">
        <f t="shared" si="2758"/>
        <v>NFSE</v>
      </c>
      <c r="D5919" t="str">
        <f t="shared" si="2754"/>
        <v>3522</v>
      </c>
      <c r="E5919" t="str">
        <f t="shared" si="2753"/>
        <v>COM</v>
      </c>
      <c r="F5919" t="str">
        <f t="shared" si="2755"/>
        <v>FARMÁCIA INDIANA LJ 85 (10128)</v>
      </c>
      <c r="G5919" t="str">
        <f t="shared" si="2756"/>
        <v>Serv.Prest. 22/09/2025 a 25/09/2025 - RPS: 1287 - NFSe: 3522</v>
      </c>
      <c r="H5919" t="str">
        <f t="shared" si="2759"/>
        <v>08/10/2025</v>
      </c>
      <c r="I5919" t="str">
        <f t="shared" si="2760"/>
        <v>26/09/2025</v>
      </c>
      <c r="J5919" t="str">
        <f t="shared" si="2761"/>
        <v>08/10/2025</v>
      </c>
      <c r="M5919">
        <v>303</v>
      </c>
      <c r="N5919" t="str">
        <f t="shared" si="2762"/>
        <v>RECEITAS COM ENTREGAS</v>
      </c>
      <c r="P5919">
        <v>172.24</v>
      </c>
      <c r="Q5919" t="str">
        <f>"FARMÁCIA INDIANA LJ 188 (10176)"</f>
        <v>FARMÁCIA INDIANA LJ 188 (10176)</v>
      </c>
      <c r="R5919" t="str">
        <f t="shared" si="2763"/>
        <v>RECEITAS COM ENTREGAS (303)</v>
      </c>
      <c r="S5919">
        <v>2639</v>
      </c>
      <c r="T5919">
        <v>2180</v>
      </c>
      <c r="U5919" t="s">
        <v>19</v>
      </c>
    </row>
    <row r="5920" spans="1:21">
      <c r="A5920" t="str">
        <f t="shared" si="2757"/>
        <v>08/10/2025</v>
      </c>
      <c r="B5920" t="str">
        <f t="shared" si="2764"/>
        <v>ENTRADA</v>
      </c>
      <c r="C5920" t="str">
        <f t="shared" si="2758"/>
        <v>NFSE</v>
      </c>
      <c r="D5920" t="str">
        <f t="shared" si="2754"/>
        <v>3522</v>
      </c>
      <c r="E5920" t="str">
        <f t="shared" si="2753"/>
        <v>COM</v>
      </c>
      <c r="F5920" t="str">
        <f t="shared" si="2755"/>
        <v>FARMÁCIA INDIANA LJ 85 (10128)</v>
      </c>
      <c r="G5920" t="str">
        <f t="shared" si="2756"/>
        <v>Serv.Prest. 22/09/2025 a 25/09/2025 - RPS: 1287 - NFSe: 3522</v>
      </c>
      <c r="H5920" t="str">
        <f t="shared" si="2759"/>
        <v>08/10/2025</v>
      </c>
      <c r="I5920" t="str">
        <f t="shared" si="2760"/>
        <v>26/09/2025</v>
      </c>
      <c r="J5920" t="str">
        <f t="shared" si="2761"/>
        <v>08/10/2025</v>
      </c>
      <c r="M5920">
        <v>303</v>
      </c>
      <c r="N5920" t="str">
        <f t="shared" si="2762"/>
        <v>RECEITAS COM ENTREGAS</v>
      </c>
      <c r="P5920">
        <v>134.94999999999999</v>
      </c>
      <c r="Q5920" t="str">
        <f>"FARMÁCIA INDIANA LJ 273 (10188)"</f>
        <v>FARMÁCIA INDIANA LJ 273 (10188)</v>
      </c>
      <c r="R5920" t="str">
        <f t="shared" si="2763"/>
        <v>RECEITAS COM ENTREGAS (303)</v>
      </c>
      <c r="S5920">
        <v>2639</v>
      </c>
      <c r="T5920">
        <v>2180</v>
      </c>
      <c r="U5920" t="s">
        <v>19</v>
      </c>
    </row>
    <row r="5921" spans="1:21">
      <c r="A5921" t="str">
        <f t="shared" si="2757"/>
        <v>08/10/2025</v>
      </c>
      <c r="B5921" t="str">
        <f t="shared" si="2764"/>
        <v>ENTRADA</v>
      </c>
      <c r="C5921" t="str">
        <f t="shared" si="2758"/>
        <v>NFSE</v>
      </c>
      <c r="D5921" t="str">
        <f t="shared" si="2754"/>
        <v>3522</v>
      </c>
      <c r="E5921" t="str">
        <f t="shared" si="2753"/>
        <v>COM</v>
      </c>
      <c r="F5921" t="str">
        <f t="shared" si="2755"/>
        <v>FARMÁCIA INDIANA LJ 85 (10128)</v>
      </c>
      <c r="G5921" t="str">
        <f t="shared" si="2756"/>
        <v>Serv.Prest. 22/09/2025 a 25/09/2025 - RPS: 1287 - NFSe: 3522</v>
      </c>
      <c r="H5921" t="str">
        <f t="shared" si="2759"/>
        <v>08/10/2025</v>
      </c>
      <c r="I5921" t="str">
        <f t="shared" si="2760"/>
        <v>26/09/2025</v>
      </c>
      <c r="J5921" t="str">
        <f t="shared" si="2761"/>
        <v>08/10/2025</v>
      </c>
      <c r="M5921">
        <v>303</v>
      </c>
      <c r="N5921" t="str">
        <f t="shared" si="2762"/>
        <v>RECEITAS COM ENTREGAS</v>
      </c>
      <c r="P5921">
        <v>27.02</v>
      </c>
      <c r="Q5921" t="str">
        <f>"FARMÁCIA INDIANA LJ 235 (10190)"</f>
        <v>FARMÁCIA INDIANA LJ 235 (10190)</v>
      </c>
      <c r="R5921" t="str">
        <f t="shared" si="2763"/>
        <v>RECEITAS COM ENTREGAS (303)</v>
      </c>
      <c r="S5921">
        <v>2639</v>
      </c>
      <c r="T5921">
        <v>2180</v>
      </c>
      <c r="U5921" t="s">
        <v>19</v>
      </c>
    </row>
    <row r="5922" spans="1:21">
      <c r="A5922" t="str">
        <f t="shared" si="2757"/>
        <v>08/10/2025</v>
      </c>
      <c r="B5922" t="str">
        <f t="shared" si="2764"/>
        <v>ENTRADA</v>
      </c>
      <c r="C5922" t="str">
        <f t="shared" si="2758"/>
        <v>NFSE</v>
      </c>
      <c r="D5922" t="str">
        <f>"3554"</f>
        <v>3554</v>
      </c>
      <c r="E5922" t="str">
        <f t="shared" si="2753"/>
        <v>COM</v>
      </c>
      <c r="F5922" t="str">
        <f>"DROGARIA AGAPEAMA (10167)"</f>
        <v>DROGARIA AGAPEAMA (10167)</v>
      </c>
      <c r="G5922" t="str">
        <f>"Serv.Prest. 29/09/2025 a 05/10/2025 - RPS: 1318 - NFSe: 3554"</f>
        <v>Serv.Prest. 29/09/2025 a 05/10/2025 - RPS: 1318 - NFSe: 3554</v>
      </c>
      <c r="H5922" t="str">
        <f t="shared" si="2759"/>
        <v>08/10/2025</v>
      </c>
      <c r="I5922" t="str">
        <f t="shared" ref="I5922:I5937" si="2765">("06/10/2025")</f>
        <v>06/10/2025</v>
      </c>
      <c r="J5922" t="str">
        <f t="shared" si="2761"/>
        <v>08/10/2025</v>
      </c>
      <c r="K5922">
        <v>348</v>
      </c>
      <c r="L5922">
        <v>348</v>
      </c>
      <c r="M5922">
        <v>303</v>
      </c>
      <c r="N5922" t="str">
        <f t="shared" si="2762"/>
        <v>RECEITAS COM ENTREGAS</v>
      </c>
      <c r="O5922">
        <v>348</v>
      </c>
      <c r="R5922" t="str">
        <f t="shared" si="2763"/>
        <v>RECEITAS COM ENTREGAS (303)</v>
      </c>
      <c r="S5922">
        <v>2640</v>
      </c>
      <c r="T5922">
        <v>2229</v>
      </c>
      <c r="U5922" t="s">
        <v>19</v>
      </c>
    </row>
    <row r="5923" spans="1:21">
      <c r="A5923" t="str">
        <f t="shared" si="2757"/>
        <v>08/10/2025</v>
      </c>
      <c r="B5923" t="str">
        <f t="shared" si="2764"/>
        <v>ENTRADA</v>
      </c>
      <c r="C5923" t="str">
        <f t="shared" si="2758"/>
        <v>NFSE</v>
      </c>
      <c r="D5923" t="str">
        <f>"3554"</f>
        <v>3554</v>
      </c>
      <c r="E5923" t="str">
        <f t="shared" si="2753"/>
        <v>COM</v>
      </c>
      <c r="F5923" t="str">
        <f>"DROGARIA AGAPEAMA (10167)"</f>
        <v>DROGARIA AGAPEAMA (10167)</v>
      </c>
      <c r="G5923" t="str">
        <f>"Serv.Prest. 29/09/2025 a 05/10/2025 - RPS: 1318 - NFSe: 3554"</f>
        <v>Serv.Prest. 29/09/2025 a 05/10/2025 - RPS: 1318 - NFSe: 3554</v>
      </c>
      <c r="H5923" t="str">
        <f t="shared" si="2759"/>
        <v>08/10/2025</v>
      </c>
      <c r="I5923" t="str">
        <f t="shared" si="2765"/>
        <v>06/10/2025</v>
      </c>
      <c r="J5923" t="str">
        <f t="shared" si="2761"/>
        <v>08/10/2025</v>
      </c>
      <c r="M5923">
        <v>303</v>
      </c>
      <c r="N5923" t="str">
        <f t="shared" si="2762"/>
        <v>RECEITAS COM ENTREGAS</v>
      </c>
      <c r="P5923">
        <v>348</v>
      </c>
      <c r="Q5923" t="str">
        <f>"DROGARIA AGAPEAMA (10167)"</f>
        <v>DROGARIA AGAPEAMA (10167)</v>
      </c>
      <c r="R5923" t="str">
        <f t="shared" si="2763"/>
        <v>RECEITAS COM ENTREGAS (303)</v>
      </c>
      <c r="S5923">
        <v>2640</v>
      </c>
      <c r="T5923">
        <v>2229</v>
      </c>
      <c r="U5923" t="s">
        <v>19</v>
      </c>
    </row>
    <row r="5924" spans="1:21">
      <c r="A5924" t="str">
        <f t="shared" si="2757"/>
        <v>08/10/2025</v>
      </c>
      <c r="B5924" t="str">
        <f t="shared" si="2764"/>
        <v>ENTRADA</v>
      </c>
      <c r="C5924" t="str">
        <f t="shared" si="2758"/>
        <v>NFSE</v>
      </c>
      <c r="D5924" t="str">
        <f>"3555"</f>
        <v>3555</v>
      </c>
      <c r="E5924" t="str">
        <f t="shared" si="2753"/>
        <v>COM</v>
      </c>
      <c r="F5924" t="str">
        <f>"DROGARIA ANA VISCONDE DO RIO BRANCO (10182)"</f>
        <v>DROGARIA ANA VISCONDE DO RIO BRANCO (10182)</v>
      </c>
      <c r="G5924" t="str">
        <f>"Serv.Prest. 29/09/2025 a 05/10/2025 - RPS: 1319 - NFSe: 3555"</f>
        <v>Serv.Prest. 29/09/2025 a 05/10/2025 - RPS: 1319 - NFSe: 3555</v>
      </c>
      <c r="H5924" t="str">
        <f t="shared" si="2759"/>
        <v>08/10/2025</v>
      </c>
      <c r="I5924" t="str">
        <f t="shared" si="2765"/>
        <v>06/10/2025</v>
      </c>
      <c r="J5924" t="str">
        <f t="shared" si="2761"/>
        <v>08/10/2025</v>
      </c>
      <c r="K5924">
        <v>845.28</v>
      </c>
      <c r="L5924">
        <v>845.28</v>
      </c>
      <c r="M5924">
        <v>303</v>
      </c>
      <c r="N5924" t="str">
        <f t="shared" si="2762"/>
        <v>RECEITAS COM ENTREGAS</v>
      </c>
      <c r="O5924">
        <v>845.28</v>
      </c>
      <c r="R5924" t="str">
        <f t="shared" si="2763"/>
        <v>RECEITAS COM ENTREGAS (303)</v>
      </c>
      <c r="S5924">
        <v>2641</v>
      </c>
      <c r="T5924">
        <v>2230</v>
      </c>
      <c r="U5924" t="s">
        <v>19</v>
      </c>
    </row>
    <row r="5925" spans="1:21">
      <c r="A5925" t="str">
        <f t="shared" si="2757"/>
        <v>08/10/2025</v>
      </c>
      <c r="B5925" t="str">
        <f t="shared" si="2764"/>
        <v>ENTRADA</v>
      </c>
      <c r="C5925" t="str">
        <f t="shared" si="2758"/>
        <v>NFSE</v>
      </c>
      <c r="D5925" t="str">
        <f>"3555"</f>
        <v>3555</v>
      </c>
      <c r="E5925" t="str">
        <f t="shared" si="2753"/>
        <v>COM</v>
      </c>
      <c r="F5925" t="str">
        <f>"DROGARIA ANA VISCONDE DO RIO BRANCO (10182)"</f>
        <v>DROGARIA ANA VISCONDE DO RIO BRANCO (10182)</v>
      </c>
      <c r="G5925" t="str">
        <f>"Serv.Prest. 29/09/2025 a 05/10/2025 - RPS: 1319 - NFSe: 3555"</f>
        <v>Serv.Prest. 29/09/2025 a 05/10/2025 - RPS: 1319 - NFSe: 3555</v>
      </c>
      <c r="H5925" t="str">
        <f t="shared" si="2759"/>
        <v>08/10/2025</v>
      </c>
      <c r="I5925" t="str">
        <f t="shared" si="2765"/>
        <v>06/10/2025</v>
      </c>
      <c r="J5925" t="str">
        <f t="shared" si="2761"/>
        <v>08/10/2025</v>
      </c>
      <c r="M5925">
        <v>303</v>
      </c>
      <c r="N5925" t="str">
        <f t="shared" si="2762"/>
        <v>RECEITAS COM ENTREGAS</v>
      </c>
      <c r="P5925">
        <v>845.28</v>
      </c>
      <c r="Q5925" t="str">
        <f>"DROGARIA ANA VISCONDE DO RIO BRANCO (10182)"</f>
        <v>DROGARIA ANA VISCONDE DO RIO BRANCO (10182)</v>
      </c>
      <c r="R5925" t="str">
        <f t="shared" si="2763"/>
        <v>RECEITAS COM ENTREGAS (303)</v>
      </c>
      <c r="S5925">
        <v>2641</v>
      </c>
      <c r="T5925">
        <v>2230</v>
      </c>
      <c r="U5925" t="s">
        <v>19</v>
      </c>
    </row>
    <row r="5926" spans="1:21">
      <c r="A5926" t="str">
        <f t="shared" si="2757"/>
        <v>08/10/2025</v>
      </c>
      <c r="B5926" t="str">
        <f t="shared" si="2764"/>
        <v>ENTRADA</v>
      </c>
      <c r="C5926" t="str">
        <f t="shared" si="2758"/>
        <v>NFSE</v>
      </c>
      <c r="D5926" t="str">
        <f>"3563"</f>
        <v>3563</v>
      </c>
      <c r="E5926" t="str">
        <f t="shared" si="2753"/>
        <v>COM</v>
      </c>
      <c r="F5926" t="str">
        <f>"PENSE FARMA 15 (10195)"</f>
        <v>PENSE FARMA 15 (10195)</v>
      </c>
      <c r="G5926" t="str">
        <f>"Serv.Prest. 29/09/2025 a 05/10/2025 - RPS: 1327 - NFSe: 3563"</f>
        <v>Serv.Prest. 29/09/2025 a 05/10/2025 - RPS: 1327 - NFSe: 3563</v>
      </c>
      <c r="H5926" t="str">
        <f t="shared" si="2759"/>
        <v>08/10/2025</v>
      </c>
      <c r="I5926" t="str">
        <f t="shared" si="2765"/>
        <v>06/10/2025</v>
      </c>
      <c r="J5926" t="str">
        <f t="shared" si="2761"/>
        <v>08/10/2025</v>
      </c>
      <c r="K5926">
        <v>450</v>
      </c>
      <c r="L5926">
        <v>450</v>
      </c>
      <c r="M5926">
        <v>303</v>
      </c>
      <c r="N5926" t="str">
        <f t="shared" si="2762"/>
        <v>RECEITAS COM ENTREGAS</v>
      </c>
      <c r="O5926">
        <v>450</v>
      </c>
      <c r="R5926" t="str">
        <f t="shared" si="2763"/>
        <v>RECEITAS COM ENTREGAS (303)</v>
      </c>
      <c r="S5926">
        <v>2642</v>
      </c>
      <c r="T5926">
        <v>2238</v>
      </c>
      <c r="U5926" t="s">
        <v>19</v>
      </c>
    </row>
    <row r="5927" spans="1:21">
      <c r="A5927" t="str">
        <f t="shared" si="2757"/>
        <v>08/10/2025</v>
      </c>
      <c r="B5927" t="str">
        <f t="shared" si="2764"/>
        <v>ENTRADA</v>
      </c>
      <c r="C5927" t="str">
        <f t="shared" si="2758"/>
        <v>NFSE</v>
      </c>
      <c r="D5927" t="str">
        <f>"3563"</f>
        <v>3563</v>
      </c>
      <c r="E5927" t="str">
        <f t="shared" si="2753"/>
        <v>COM</v>
      </c>
      <c r="F5927" t="str">
        <f>"PENSE FARMA 15 (10195)"</f>
        <v>PENSE FARMA 15 (10195)</v>
      </c>
      <c r="G5927" t="str">
        <f>"Serv.Prest. 29/09/2025 a 05/10/2025 - RPS: 1327 - NFSe: 3563"</f>
        <v>Serv.Prest. 29/09/2025 a 05/10/2025 - RPS: 1327 - NFSe: 3563</v>
      </c>
      <c r="H5927" t="str">
        <f t="shared" si="2759"/>
        <v>08/10/2025</v>
      </c>
      <c r="I5927" t="str">
        <f t="shared" si="2765"/>
        <v>06/10/2025</v>
      </c>
      <c r="J5927" t="str">
        <f t="shared" si="2761"/>
        <v>08/10/2025</v>
      </c>
      <c r="M5927">
        <v>303</v>
      </c>
      <c r="N5927" t="str">
        <f t="shared" si="2762"/>
        <v>RECEITAS COM ENTREGAS</v>
      </c>
      <c r="P5927">
        <v>165.02</v>
      </c>
      <c r="Q5927" t="str">
        <f>"PENSE FARMA 15 (10195)"</f>
        <v>PENSE FARMA 15 (10195)</v>
      </c>
      <c r="R5927" t="str">
        <f t="shared" si="2763"/>
        <v>RECEITAS COM ENTREGAS (303)</v>
      </c>
      <c r="S5927">
        <v>2642</v>
      </c>
      <c r="T5927">
        <v>2238</v>
      </c>
      <c r="U5927" t="s">
        <v>19</v>
      </c>
    </row>
    <row r="5928" spans="1:21">
      <c r="A5928" t="str">
        <f t="shared" si="2757"/>
        <v>08/10/2025</v>
      </c>
      <c r="B5928" t="str">
        <f t="shared" si="2764"/>
        <v>ENTRADA</v>
      </c>
      <c r="C5928" t="str">
        <f t="shared" si="2758"/>
        <v>NFSE</v>
      </c>
      <c r="D5928" t="str">
        <f>"3563"</f>
        <v>3563</v>
      </c>
      <c r="E5928" t="str">
        <f t="shared" si="2753"/>
        <v>COM</v>
      </c>
      <c r="F5928" t="str">
        <f>"PENSE FARMA 15 (10195)"</f>
        <v>PENSE FARMA 15 (10195)</v>
      </c>
      <c r="G5928" t="str">
        <f>"Serv.Prest. 29/09/2025 a 05/10/2025 - RPS: 1327 - NFSe: 3563"</f>
        <v>Serv.Prest. 29/09/2025 a 05/10/2025 - RPS: 1327 - NFSe: 3563</v>
      </c>
      <c r="H5928" t="str">
        <f t="shared" si="2759"/>
        <v>08/10/2025</v>
      </c>
      <c r="I5928" t="str">
        <f t="shared" si="2765"/>
        <v>06/10/2025</v>
      </c>
      <c r="J5928" t="str">
        <f t="shared" si="2761"/>
        <v>08/10/2025</v>
      </c>
      <c r="M5928">
        <v>303</v>
      </c>
      <c r="N5928" t="str">
        <f t="shared" si="2762"/>
        <v>RECEITAS COM ENTREGAS</v>
      </c>
      <c r="P5928">
        <v>135</v>
      </c>
      <c r="Q5928" t="str">
        <f>"PENSE FARMA 26 (10196)"</f>
        <v>PENSE FARMA 26 (10196)</v>
      </c>
      <c r="R5928" t="str">
        <f t="shared" si="2763"/>
        <v>RECEITAS COM ENTREGAS (303)</v>
      </c>
      <c r="S5928">
        <v>2642</v>
      </c>
      <c r="T5928">
        <v>2238</v>
      </c>
      <c r="U5928" t="s">
        <v>19</v>
      </c>
    </row>
    <row r="5929" spans="1:21">
      <c r="A5929" t="str">
        <f t="shared" si="2757"/>
        <v>08/10/2025</v>
      </c>
      <c r="B5929" t="str">
        <f t="shared" si="2764"/>
        <v>ENTRADA</v>
      </c>
      <c r="C5929" t="str">
        <f t="shared" si="2758"/>
        <v>NFSE</v>
      </c>
      <c r="D5929" t="str">
        <f>"3563"</f>
        <v>3563</v>
      </c>
      <c r="E5929" t="str">
        <f t="shared" si="2753"/>
        <v>COM</v>
      </c>
      <c r="F5929" t="str">
        <f>"PENSE FARMA 15 (10195)"</f>
        <v>PENSE FARMA 15 (10195)</v>
      </c>
      <c r="G5929" t="str">
        <f>"Serv.Prest. 29/09/2025 a 05/10/2025 - RPS: 1327 - NFSe: 3563"</f>
        <v>Serv.Prest. 29/09/2025 a 05/10/2025 - RPS: 1327 - NFSe: 3563</v>
      </c>
      <c r="H5929" t="str">
        <f t="shared" si="2759"/>
        <v>08/10/2025</v>
      </c>
      <c r="I5929" t="str">
        <f t="shared" si="2765"/>
        <v>06/10/2025</v>
      </c>
      <c r="J5929" t="str">
        <f t="shared" si="2761"/>
        <v>08/10/2025</v>
      </c>
      <c r="M5929">
        <v>303</v>
      </c>
      <c r="N5929" t="str">
        <f t="shared" si="2762"/>
        <v>RECEITAS COM ENTREGAS</v>
      </c>
      <c r="P5929">
        <v>149.97999999999999</v>
      </c>
      <c r="Q5929" t="str">
        <f>"PENSE FARMA 60 (10197)"</f>
        <v>PENSE FARMA 60 (10197)</v>
      </c>
      <c r="R5929" t="str">
        <f t="shared" si="2763"/>
        <v>RECEITAS COM ENTREGAS (303)</v>
      </c>
      <c r="S5929">
        <v>2642</v>
      </c>
      <c r="T5929">
        <v>2238</v>
      </c>
      <c r="U5929" t="s">
        <v>19</v>
      </c>
    </row>
    <row r="5930" spans="1:21">
      <c r="A5930" t="str">
        <f t="shared" si="2757"/>
        <v>08/10/2025</v>
      </c>
      <c r="B5930" t="str">
        <f t="shared" si="2764"/>
        <v>ENTRADA</v>
      </c>
      <c r="C5930" t="str">
        <f t="shared" si="2758"/>
        <v>NFSE</v>
      </c>
      <c r="D5930" t="str">
        <f>"3564"</f>
        <v>3564</v>
      </c>
      <c r="E5930" t="str">
        <f t="shared" si="2753"/>
        <v>COM</v>
      </c>
      <c r="F5930" t="str">
        <f>"PENSE FARMA 22 (10198)"</f>
        <v>PENSE FARMA 22 (10198)</v>
      </c>
      <c r="G5930" t="str">
        <f>"Serv.Prest. 29/09/2025 a 05/10/2025 - RPS: 1328 - NFSe: 3564"</f>
        <v>Serv.Prest. 29/09/2025 a 05/10/2025 - RPS: 1328 - NFSe: 3564</v>
      </c>
      <c r="H5930" t="str">
        <f t="shared" si="2759"/>
        <v>08/10/2025</v>
      </c>
      <c r="I5930" t="str">
        <f t="shared" si="2765"/>
        <v>06/10/2025</v>
      </c>
      <c r="J5930" t="str">
        <f t="shared" si="2761"/>
        <v>08/10/2025</v>
      </c>
      <c r="K5930">
        <v>300</v>
      </c>
      <c r="L5930">
        <v>300</v>
      </c>
      <c r="M5930">
        <v>303</v>
      </c>
      <c r="N5930" t="str">
        <f t="shared" si="2762"/>
        <v>RECEITAS COM ENTREGAS</v>
      </c>
      <c r="O5930">
        <v>300</v>
      </c>
      <c r="R5930" t="str">
        <f t="shared" si="2763"/>
        <v>RECEITAS COM ENTREGAS (303)</v>
      </c>
      <c r="S5930">
        <v>2643</v>
      </c>
      <c r="T5930">
        <v>2239</v>
      </c>
      <c r="U5930" t="s">
        <v>19</v>
      </c>
    </row>
    <row r="5931" spans="1:21">
      <c r="A5931" t="str">
        <f t="shared" si="2757"/>
        <v>08/10/2025</v>
      </c>
      <c r="B5931" t="str">
        <f t="shared" si="2764"/>
        <v>ENTRADA</v>
      </c>
      <c r="C5931" t="str">
        <f t="shared" si="2758"/>
        <v>NFSE</v>
      </c>
      <c r="D5931" t="str">
        <f>"3564"</f>
        <v>3564</v>
      </c>
      <c r="E5931" t="str">
        <f t="shared" si="2753"/>
        <v>COM</v>
      </c>
      <c r="F5931" t="str">
        <f>"PENSE FARMA 22 (10198)"</f>
        <v>PENSE FARMA 22 (10198)</v>
      </c>
      <c r="G5931" t="str">
        <f>"Serv.Prest. 29/09/2025 a 05/10/2025 - RPS: 1328 - NFSe: 3564"</f>
        <v>Serv.Prest. 29/09/2025 a 05/10/2025 - RPS: 1328 - NFSe: 3564</v>
      </c>
      <c r="H5931" t="str">
        <f t="shared" si="2759"/>
        <v>08/10/2025</v>
      </c>
      <c r="I5931" t="str">
        <f t="shared" si="2765"/>
        <v>06/10/2025</v>
      </c>
      <c r="J5931" t="str">
        <f t="shared" si="2761"/>
        <v>08/10/2025</v>
      </c>
      <c r="M5931">
        <v>303</v>
      </c>
      <c r="N5931" t="str">
        <f t="shared" si="2762"/>
        <v>RECEITAS COM ENTREGAS</v>
      </c>
      <c r="P5931">
        <v>300</v>
      </c>
      <c r="Q5931" t="str">
        <f>"PENSE FARMA 22 (10198)"</f>
        <v>PENSE FARMA 22 (10198)</v>
      </c>
      <c r="R5931" t="str">
        <f t="shared" si="2763"/>
        <v>RECEITAS COM ENTREGAS (303)</v>
      </c>
      <c r="S5931">
        <v>2643</v>
      </c>
      <c r="T5931">
        <v>2239</v>
      </c>
      <c r="U5931" t="s">
        <v>19</v>
      </c>
    </row>
    <row r="5932" spans="1:21">
      <c r="A5932" t="str">
        <f t="shared" si="2757"/>
        <v>08/10/2025</v>
      </c>
      <c r="B5932" t="str">
        <f t="shared" si="2764"/>
        <v>ENTRADA</v>
      </c>
      <c r="C5932" t="str">
        <f t="shared" si="2758"/>
        <v>NFSE</v>
      </c>
      <c r="D5932" t="str">
        <f>"3565"</f>
        <v>3565</v>
      </c>
      <c r="E5932" t="str">
        <f t="shared" ref="E5932:E5937" si="2766">"COM"</f>
        <v>COM</v>
      </c>
      <c r="F5932" t="str">
        <f>"PENSE FARMA 46 (10194)"</f>
        <v>PENSE FARMA 46 (10194)</v>
      </c>
      <c r="G5932" t="str">
        <f>"Serv.Prest. 29/09/2025 a 05/10/2025 - RPS: 1329 - NFSe: 3565"</f>
        <v>Serv.Prest. 29/09/2025 a 05/10/2025 - RPS: 1329 - NFSe: 3565</v>
      </c>
      <c r="H5932" t="str">
        <f t="shared" si="2759"/>
        <v>08/10/2025</v>
      </c>
      <c r="I5932" t="str">
        <f t="shared" si="2765"/>
        <v>06/10/2025</v>
      </c>
      <c r="J5932" t="str">
        <f t="shared" si="2761"/>
        <v>08/10/2025</v>
      </c>
      <c r="K5932">
        <v>300</v>
      </c>
      <c r="L5932">
        <v>300</v>
      </c>
      <c r="M5932">
        <v>303</v>
      </c>
      <c r="N5932" t="str">
        <f t="shared" si="2762"/>
        <v>RECEITAS COM ENTREGAS</v>
      </c>
      <c r="O5932">
        <v>300</v>
      </c>
      <c r="R5932" t="str">
        <f t="shared" si="2763"/>
        <v>RECEITAS COM ENTREGAS (303)</v>
      </c>
      <c r="S5932">
        <v>2644</v>
      </c>
      <c r="T5932">
        <v>2240</v>
      </c>
      <c r="U5932" t="s">
        <v>19</v>
      </c>
    </row>
    <row r="5933" spans="1:21">
      <c r="A5933" t="str">
        <f t="shared" si="2757"/>
        <v>08/10/2025</v>
      </c>
      <c r="B5933" t="str">
        <f t="shared" si="2764"/>
        <v>ENTRADA</v>
      </c>
      <c r="C5933" t="str">
        <f t="shared" si="2758"/>
        <v>NFSE</v>
      </c>
      <c r="D5933" t="str">
        <f>"3565"</f>
        <v>3565</v>
      </c>
      <c r="E5933" t="str">
        <f t="shared" si="2766"/>
        <v>COM</v>
      </c>
      <c r="F5933" t="str">
        <f>"PENSE FARMA 46 (10194)"</f>
        <v>PENSE FARMA 46 (10194)</v>
      </c>
      <c r="G5933" t="str">
        <f>"Serv.Prest. 29/09/2025 a 05/10/2025 - RPS: 1329 - NFSe: 3565"</f>
        <v>Serv.Prest. 29/09/2025 a 05/10/2025 - RPS: 1329 - NFSe: 3565</v>
      </c>
      <c r="H5933" t="str">
        <f t="shared" si="2759"/>
        <v>08/10/2025</v>
      </c>
      <c r="I5933" t="str">
        <f t="shared" si="2765"/>
        <v>06/10/2025</v>
      </c>
      <c r="J5933" t="str">
        <f t="shared" si="2761"/>
        <v>08/10/2025</v>
      </c>
      <c r="M5933">
        <v>303</v>
      </c>
      <c r="N5933" t="str">
        <f t="shared" si="2762"/>
        <v>RECEITAS COM ENTREGAS</v>
      </c>
      <c r="P5933">
        <v>300</v>
      </c>
      <c r="Q5933" t="str">
        <f>"PENSE FARMA 46 (10194)"</f>
        <v>PENSE FARMA 46 (10194)</v>
      </c>
      <c r="R5933" t="str">
        <f t="shared" si="2763"/>
        <v>RECEITAS COM ENTREGAS (303)</v>
      </c>
      <c r="S5933">
        <v>2644</v>
      </c>
      <c r="T5933">
        <v>2240</v>
      </c>
      <c r="U5933" t="s">
        <v>19</v>
      </c>
    </row>
    <row r="5934" spans="1:21">
      <c r="A5934" t="str">
        <f t="shared" si="2757"/>
        <v>08/10/2025</v>
      </c>
      <c r="B5934" t="str">
        <f t="shared" si="2764"/>
        <v>ENTRADA</v>
      </c>
      <c r="C5934" t="str">
        <f t="shared" si="2758"/>
        <v>NFSE</v>
      </c>
      <c r="D5934" t="str">
        <f>"3569"</f>
        <v>3569</v>
      </c>
      <c r="E5934" t="str">
        <f t="shared" si="2766"/>
        <v>COM</v>
      </c>
      <c r="F5934" t="str">
        <f>"DROGARIA MORENO LTDA (10171)"</f>
        <v>DROGARIA MORENO LTDA (10171)</v>
      </c>
      <c r="G5934" t="str">
        <f>"Serv.Prest. 29/09/2025 a 05/10/2025 - RPS: 1333 - NFSe: 3569"</f>
        <v>Serv.Prest. 29/09/2025 a 05/10/2025 - RPS: 1333 - NFSe: 3569</v>
      </c>
      <c r="H5934" t="str">
        <f t="shared" si="2759"/>
        <v>08/10/2025</v>
      </c>
      <c r="I5934" t="str">
        <f t="shared" si="2765"/>
        <v>06/10/2025</v>
      </c>
      <c r="J5934" t="str">
        <f t="shared" si="2761"/>
        <v>08/10/2025</v>
      </c>
      <c r="K5934">
        <v>394.2</v>
      </c>
      <c r="L5934">
        <v>394.2</v>
      </c>
      <c r="M5934">
        <v>303</v>
      </c>
      <c r="N5934" t="str">
        <f t="shared" si="2762"/>
        <v>RECEITAS COM ENTREGAS</v>
      </c>
      <c r="O5934">
        <v>394.2</v>
      </c>
      <c r="R5934" t="str">
        <f t="shared" si="2763"/>
        <v>RECEITAS COM ENTREGAS (303)</v>
      </c>
      <c r="S5934">
        <v>2645</v>
      </c>
      <c r="T5934">
        <v>2244</v>
      </c>
      <c r="U5934" t="s">
        <v>19</v>
      </c>
    </row>
    <row r="5935" spans="1:21">
      <c r="A5935" t="str">
        <f t="shared" si="2757"/>
        <v>08/10/2025</v>
      </c>
      <c r="B5935" t="str">
        <f t="shared" si="2764"/>
        <v>ENTRADA</v>
      </c>
      <c r="C5935" t="str">
        <f t="shared" si="2758"/>
        <v>NFSE</v>
      </c>
      <c r="D5935" t="str">
        <f>"3569"</f>
        <v>3569</v>
      </c>
      <c r="E5935" t="str">
        <f t="shared" si="2766"/>
        <v>COM</v>
      </c>
      <c r="F5935" t="str">
        <f>"DROGARIA MORENO LTDA (10171)"</f>
        <v>DROGARIA MORENO LTDA (10171)</v>
      </c>
      <c r="G5935" t="str">
        <f>"Serv.Prest. 29/09/2025 a 05/10/2025 - RPS: 1333 - NFSe: 3569"</f>
        <v>Serv.Prest. 29/09/2025 a 05/10/2025 - RPS: 1333 - NFSe: 3569</v>
      </c>
      <c r="H5935" t="str">
        <f t="shared" si="2759"/>
        <v>08/10/2025</v>
      </c>
      <c r="I5935" t="str">
        <f t="shared" si="2765"/>
        <v>06/10/2025</v>
      </c>
      <c r="J5935" t="str">
        <f t="shared" si="2761"/>
        <v>08/10/2025</v>
      </c>
      <c r="M5935">
        <v>303</v>
      </c>
      <c r="N5935" t="str">
        <f t="shared" si="2762"/>
        <v>RECEITAS COM ENTREGAS</v>
      </c>
      <c r="P5935">
        <v>394.2</v>
      </c>
      <c r="Q5935" t="str">
        <f>"DROGARIA MORENO LTDA (10171)"</f>
        <v>DROGARIA MORENO LTDA (10171)</v>
      </c>
      <c r="R5935" t="str">
        <f t="shared" si="2763"/>
        <v>RECEITAS COM ENTREGAS (303)</v>
      </c>
      <c r="S5935">
        <v>2645</v>
      </c>
      <c r="T5935">
        <v>2244</v>
      </c>
      <c r="U5935" t="s">
        <v>19</v>
      </c>
    </row>
    <row r="5936" spans="1:21">
      <c r="A5936" t="str">
        <f t="shared" si="2757"/>
        <v>08/10/2025</v>
      </c>
      <c r="B5936" t="str">
        <f t="shared" si="2764"/>
        <v>ENTRADA</v>
      </c>
      <c r="C5936" t="str">
        <f t="shared" si="2758"/>
        <v>NFSE</v>
      </c>
      <c r="D5936" t="str">
        <f>"3573"</f>
        <v>3573</v>
      </c>
      <c r="E5936" t="str">
        <f t="shared" si="2766"/>
        <v>COM</v>
      </c>
      <c r="F5936" t="str">
        <f>"JAL FARMACIA E DROGARIA LJ 2 (10138)"</f>
        <v>JAL FARMACIA E DROGARIA LJ 2 (10138)</v>
      </c>
      <c r="G5936" t="str">
        <f>"Serv.Prest. 29/09/2025 a 05/10/2025 - RPS: 1337 - NFSe: 3573"</f>
        <v>Serv.Prest. 29/09/2025 a 05/10/2025 - RPS: 1337 - NFSe: 3573</v>
      </c>
      <c r="H5936" t="str">
        <f t="shared" si="2759"/>
        <v>08/10/2025</v>
      </c>
      <c r="I5936" t="str">
        <f t="shared" si="2765"/>
        <v>06/10/2025</v>
      </c>
      <c r="J5936" t="str">
        <f t="shared" si="2761"/>
        <v>08/10/2025</v>
      </c>
      <c r="K5936">
        <v>276.8</v>
      </c>
      <c r="L5936">
        <v>276.8</v>
      </c>
      <c r="M5936">
        <v>303</v>
      </c>
      <c r="N5936" t="str">
        <f t="shared" si="2762"/>
        <v>RECEITAS COM ENTREGAS</v>
      </c>
      <c r="O5936">
        <v>276.8</v>
      </c>
      <c r="R5936" t="str">
        <f t="shared" si="2763"/>
        <v>RECEITAS COM ENTREGAS (303)</v>
      </c>
      <c r="S5936">
        <v>2646</v>
      </c>
      <c r="T5936">
        <v>2248</v>
      </c>
      <c r="U5936" t="s">
        <v>19</v>
      </c>
    </row>
    <row r="5937" spans="1:21">
      <c r="A5937" t="str">
        <f t="shared" si="2757"/>
        <v>08/10/2025</v>
      </c>
      <c r="B5937" t="str">
        <f t="shared" si="2764"/>
        <v>ENTRADA</v>
      </c>
      <c r="C5937" t="str">
        <f t="shared" si="2758"/>
        <v>NFSE</v>
      </c>
      <c r="D5937" t="str">
        <f>"3573"</f>
        <v>3573</v>
      </c>
      <c r="E5937" t="str">
        <f t="shared" si="2766"/>
        <v>COM</v>
      </c>
      <c r="F5937" t="str">
        <f>"JAL FARMACIA E DROGARIA LJ 2 (10138)"</f>
        <v>JAL FARMACIA E DROGARIA LJ 2 (10138)</v>
      </c>
      <c r="G5937" t="str">
        <f>"Serv.Prest. 29/09/2025 a 05/10/2025 - RPS: 1337 - NFSe: 3573"</f>
        <v>Serv.Prest. 29/09/2025 a 05/10/2025 - RPS: 1337 - NFSe: 3573</v>
      </c>
      <c r="H5937" t="str">
        <f t="shared" si="2759"/>
        <v>08/10/2025</v>
      </c>
      <c r="I5937" t="str">
        <f t="shared" si="2765"/>
        <v>06/10/2025</v>
      </c>
      <c r="J5937" t="str">
        <f t="shared" si="2761"/>
        <v>08/10/2025</v>
      </c>
      <c r="M5937">
        <v>303</v>
      </c>
      <c r="N5937" t="str">
        <f t="shared" si="2762"/>
        <v>RECEITAS COM ENTREGAS</v>
      </c>
      <c r="P5937">
        <v>276.8</v>
      </c>
      <c r="Q5937" t="str">
        <f>"JAL FARMACIA E DROGARIA LJ 2 (10138)"</f>
        <v>JAL FARMACIA E DROGARIA LJ 2 (10138)</v>
      </c>
      <c r="R5937" t="str">
        <f t="shared" si="2763"/>
        <v>RECEITAS COM ENTREGAS (303)</v>
      </c>
      <c r="S5937">
        <v>2646</v>
      </c>
      <c r="T5937">
        <v>2248</v>
      </c>
      <c r="U5937" t="s">
        <v>19</v>
      </c>
    </row>
    <row r="5938" spans="1:21">
      <c r="A5938" t="str">
        <f t="shared" si="2757"/>
        <v>08/10/2025</v>
      </c>
      <c r="B5938" t="str">
        <f>"SAÍDA"</f>
        <v>SAÍDA</v>
      </c>
      <c r="C5938" t="str">
        <f>"JUROS"</f>
        <v>JUROS</v>
      </c>
      <c r="D5938" t="str">
        <f>""</f>
        <v/>
      </c>
      <c r="E5938" t="str">
        <f>"CXA"</f>
        <v>CXA</v>
      </c>
      <c r="F5938" t="str">
        <f>""</f>
        <v/>
      </c>
      <c r="G5938" t="str">
        <f>"TARIFA"</f>
        <v>TARIFA</v>
      </c>
      <c r="H5938" t="str">
        <f t="shared" si="2759"/>
        <v>08/10/2025</v>
      </c>
      <c r="I5938" t="str">
        <f>("08/10/2025")</f>
        <v>08/10/2025</v>
      </c>
      <c r="J5938" t="str">
        <f t="shared" si="2761"/>
        <v>08/10/2025</v>
      </c>
      <c r="K5938">
        <v>11.9</v>
      </c>
      <c r="L5938">
        <v>11.9</v>
      </c>
      <c r="M5938">
        <v>401</v>
      </c>
      <c r="N5938" t="str">
        <f>"IOF/JUROS/DESP.FINANCEIRA"</f>
        <v>IOF/JUROS/DESP.FINANCEIRA</v>
      </c>
      <c r="O5938">
        <v>11.9</v>
      </c>
      <c r="R5938" t="str">
        <f>"BANCO CORA (102)"</f>
        <v>BANCO CORA (102)</v>
      </c>
      <c r="S5938">
        <v>2647</v>
      </c>
      <c r="T5938">
        <v>0</v>
      </c>
      <c r="U5938" t="s">
        <v>20</v>
      </c>
    </row>
    <row r="5939" spans="1:21">
      <c r="A5939" t="str">
        <f t="shared" ref="A5939:A5986" si="2767">("09/10/2025")</f>
        <v>09/10/2025</v>
      </c>
      <c r="B5939" t="str">
        <f>"ENTRADA"</f>
        <v>ENTRADA</v>
      </c>
      <c r="C5939" t="str">
        <f t="shared" ref="C5939:C5971" si="2768">"NFSE"</f>
        <v>NFSE</v>
      </c>
      <c r="D5939" t="str">
        <f>"3552"</f>
        <v>3552</v>
      </c>
      <c r="E5939" t="str">
        <f t="shared" ref="E5939:E5973" si="2769">"COM"</f>
        <v>COM</v>
      </c>
      <c r="F5939" t="str">
        <f>"DROGARIA POUPA MINAS (DOIS AMIGOS) 5 (10140)"</f>
        <v>DROGARIA POUPA MINAS (DOIS AMIGOS) 5 (10140)</v>
      </c>
      <c r="G5939" t="str">
        <f>"Serv.Prest. 01/09/2025 a 30/09/2025 - RPS: 1316 - NFSe: 3552"</f>
        <v>Serv.Prest. 01/09/2025 a 30/09/2025 - RPS: 1316 - NFSe: 3552</v>
      </c>
      <c r="H5939" t="str">
        <f t="shared" ref="H5939:H5944" si="2770">("09/10/2025")</f>
        <v>09/10/2025</v>
      </c>
      <c r="I5939" t="str">
        <f>("01/10/2025")</f>
        <v>01/10/2025</v>
      </c>
      <c r="J5939" t="str">
        <f t="shared" ref="J5939:J5986" si="2771">("09/10/2025")</f>
        <v>09/10/2025</v>
      </c>
      <c r="K5939">
        <v>480.42</v>
      </c>
      <c r="L5939">
        <v>480.42</v>
      </c>
      <c r="M5939">
        <v>303</v>
      </c>
      <c r="N5939" t="str">
        <f t="shared" ref="N5939:N5971" si="2772">"RECEITAS COM ENTREGAS"</f>
        <v>RECEITAS COM ENTREGAS</v>
      </c>
      <c r="O5939">
        <v>480.42</v>
      </c>
      <c r="R5939" t="str">
        <f t="shared" ref="R5939:R5971" si="2773">"RECEITAS COM ENTREGAS (303)"</f>
        <v>RECEITAS COM ENTREGAS (303)</v>
      </c>
      <c r="S5939">
        <v>2648</v>
      </c>
      <c r="T5939">
        <v>2209</v>
      </c>
      <c r="U5939" t="s">
        <v>19</v>
      </c>
    </row>
    <row r="5940" spans="1:21">
      <c r="A5940" t="str">
        <f t="shared" si="2767"/>
        <v>09/10/2025</v>
      </c>
      <c r="B5940" t="str">
        <f t="shared" ref="B5940:B5971" si="2774">"ENTRADA"</f>
        <v>ENTRADA</v>
      </c>
      <c r="C5940" t="str">
        <f t="shared" si="2768"/>
        <v>NFSE</v>
      </c>
      <c r="D5940" t="str">
        <f>"3552"</f>
        <v>3552</v>
      </c>
      <c r="E5940" t="str">
        <f t="shared" si="2769"/>
        <v>COM</v>
      </c>
      <c r="F5940" t="str">
        <f>"DROGARIA POUPA MINAS (DOIS AMIGOS) 5 (10140)"</f>
        <v>DROGARIA POUPA MINAS (DOIS AMIGOS) 5 (10140)</v>
      </c>
      <c r="G5940" t="str">
        <f>"Serv.Prest. 01/09/2025 a 30/09/2025 - RPS: 1316 - NFSe: 3552"</f>
        <v>Serv.Prest. 01/09/2025 a 30/09/2025 - RPS: 1316 - NFSe: 3552</v>
      </c>
      <c r="H5940" t="str">
        <f t="shared" si="2770"/>
        <v>09/10/2025</v>
      </c>
      <c r="I5940" t="str">
        <f>("01/10/2025")</f>
        <v>01/10/2025</v>
      </c>
      <c r="J5940" t="str">
        <f t="shared" si="2771"/>
        <v>09/10/2025</v>
      </c>
      <c r="M5940">
        <v>303</v>
      </c>
      <c r="N5940" t="str">
        <f t="shared" si="2772"/>
        <v>RECEITAS COM ENTREGAS</v>
      </c>
      <c r="P5940">
        <v>480.42</v>
      </c>
      <c r="Q5940" t="str">
        <f>"DROGARIA POUPA MINAS (ULTRAMINAS) 1 (10181)"</f>
        <v>DROGARIA POUPA MINAS (ULTRAMINAS) 1 (10181)</v>
      </c>
      <c r="R5940" t="str">
        <f t="shared" si="2773"/>
        <v>RECEITAS COM ENTREGAS (303)</v>
      </c>
      <c r="S5940">
        <v>2648</v>
      </c>
      <c r="T5940">
        <v>2209</v>
      </c>
      <c r="U5940" t="s">
        <v>19</v>
      </c>
    </row>
    <row r="5941" spans="1:21">
      <c r="A5941" t="str">
        <f t="shared" si="2767"/>
        <v>09/10/2025</v>
      </c>
      <c r="B5941" t="str">
        <f t="shared" si="2774"/>
        <v>ENTRADA</v>
      </c>
      <c r="C5941" t="str">
        <f t="shared" si="2768"/>
        <v>NFSE</v>
      </c>
      <c r="D5941" t="str">
        <f>"3581"</f>
        <v>3581</v>
      </c>
      <c r="E5941" t="str">
        <f t="shared" si="2769"/>
        <v>COM</v>
      </c>
      <c r="F5941" t="str">
        <f>"DELTA LOJA 2 (10123)"</f>
        <v>DELTA LOJA 2 (10123)</v>
      </c>
      <c r="G5941" t="str">
        <f>"Serv.Prest. 29/09/2025 a 05/10/2025 - RPS: 1345 - NFSe: 3581"</f>
        <v>Serv.Prest. 29/09/2025 a 05/10/2025 - RPS: 1345 - NFSe: 3581</v>
      </c>
      <c r="H5941" t="str">
        <f t="shared" si="2770"/>
        <v>09/10/2025</v>
      </c>
      <c r="I5941" t="str">
        <f>("07/10/2025")</f>
        <v>07/10/2025</v>
      </c>
      <c r="J5941" t="str">
        <f t="shared" si="2771"/>
        <v>09/10/2025</v>
      </c>
      <c r="K5941">
        <v>698.25</v>
      </c>
      <c r="L5941">
        <v>698.25</v>
      </c>
      <c r="M5941">
        <v>303</v>
      </c>
      <c r="N5941" t="str">
        <f t="shared" si="2772"/>
        <v>RECEITAS COM ENTREGAS</v>
      </c>
      <c r="O5941">
        <v>698.25</v>
      </c>
      <c r="R5941" t="str">
        <f t="shared" si="2773"/>
        <v>RECEITAS COM ENTREGAS (303)</v>
      </c>
      <c r="S5941">
        <v>2649</v>
      </c>
      <c r="T5941">
        <v>2256</v>
      </c>
      <c r="U5941" t="s">
        <v>19</v>
      </c>
    </row>
    <row r="5942" spans="1:21">
      <c r="A5942" t="str">
        <f t="shared" si="2767"/>
        <v>09/10/2025</v>
      </c>
      <c r="B5942" t="str">
        <f t="shared" si="2774"/>
        <v>ENTRADA</v>
      </c>
      <c r="C5942" t="str">
        <f t="shared" si="2768"/>
        <v>NFSE</v>
      </c>
      <c r="D5942" t="str">
        <f>"3581"</f>
        <v>3581</v>
      </c>
      <c r="E5942" t="str">
        <f t="shared" si="2769"/>
        <v>COM</v>
      </c>
      <c r="F5942" t="str">
        <f>"DELTA LOJA 2 (10123)"</f>
        <v>DELTA LOJA 2 (10123)</v>
      </c>
      <c r="G5942" t="str">
        <f>"Serv.Prest. 29/09/2025 a 05/10/2025 - RPS: 1345 - NFSe: 3581"</f>
        <v>Serv.Prest. 29/09/2025 a 05/10/2025 - RPS: 1345 - NFSe: 3581</v>
      </c>
      <c r="H5942" t="str">
        <f t="shared" si="2770"/>
        <v>09/10/2025</v>
      </c>
      <c r="I5942" t="str">
        <f>("07/10/2025")</f>
        <v>07/10/2025</v>
      </c>
      <c r="J5942" t="str">
        <f t="shared" si="2771"/>
        <v>09/10/2025</v>
      </c>
      <c r="M5942">
        <v>303</v>
      </c>
      <c r="N5942" t="str">
        <f t="shared" si="2772"/>
        <v>RECEITAS COM ENTREGAS</v>
      </c>
      <c r="P5942">
        <v>698.25</v>
      </c>
      <c r="Q5942" t="str">
        <f>"DELTA LOJA 2 (10123)"</f>
        <v>DELTA LOJA 2 (10123)</v>
      </c>
      <c r="R5942" t="str">
        <f t="shared" si="2773"/>
        <v>RECEITAS COM ENTREGAS (303)</v>
      </c>
      <c r="S5942">
        <v>2649</v>
      </c>
      <c r="T5942">
        <v>2256</v>
      </c>
      <c r="U5942" t="s">
        <v>19</v>
      </c>
    </row>
    <row r="5943" spans="1:21">
      <c r="A5943" t="str">
        <f t="shared" si="2767"/>
        <v>09/10/2025</v>
      </c>
      <c r="B5943" t="str">
        <f t="shared" si="2774"/>
        <v>ENTRADA</v>
      </c>
      <c r="C5943" t="str">
        <f t="shared" si="2768"/>
        <v>NFSE</v>
      </c>
      <c r="D5943" t="str">
        <f>"3582"</f>
        <v>3582</v>
      </c>
      <c r="E5943" t="str">
        <f t="shared" si="2769"/>
        <v>COM</v>
      </c>
      <c r="F5943" t="str">
        <f>"DROGA HONDA (10149)"</f>
        <v>DROGA HONDA (10149)</v>
      </c>
      <c r="G5943" t="str">
        <f>"Serv.Prest. 29/09/2025 a 05/10/2025 - RPS: 1346 - NFSe: 3582"</f>
        <v>Serv.Prest. 29/09/2025 a 05/10/2025 - RPS: 1346 - NFSe: 3582</v>
      </c>
      <c r="H5943" t="str">
        <f t="shared" si="2770"/>
        <v>09/10/2025</v>
      </c>
      <c r="I5943" t="str">
        <f>("07/10/2025")</f>
        <v>07/10/2025</v>
      </c>
      <c r="J5943" t="str">
        <f t="shared" si="2771"/>
        <v>09/10/2025</v>
      </c>
      <c r="K5943">
        <v>158.57</v>
      </c>
      <c r="L5943">
        <v>158.57</v>
      </c>
      <c r="M5943">
        <v>303</v>
      </c>
      <c r="N5943" t="str">
        <f t="shared" si="2772"/>
        <v>RECEITAS COM ENTREGAS</v>
      </c>
      <c r="O5943">
        <v>158.57</v>
      </c>
      <c r="R5943" t="str">
        <f t="shared" si="2773"/>
        <v>RECEITAS COM ENTREGAS (303)</v>
      </c>
      <c r="S5943">
        <v>2650</v>
      </c>
      <c r="T5943">
        <v>2257</v>
      </c>
      <c r="U5943" t="s">
        <v>19</v>
      </c>
    </row>
    <row r="5944" spans="1:21">
      <c r="A5944" t="str">
        <f t="shared" si="2767"/>
        <v>09/10/2025</v>
      </c>
      <c r="B5944" t="str">
        <f t="shared" si="2774"/>
        <v>ENTRADA</v>
      </c>
      <c r="C5944" t="str">
        <f t="shared" si="2768"/>
        <v>NFSE</v>
      </c>
      <c r="D5944" t="str">
        <f>"3582"</f>
        <v>3582</v>
      </c>
      <c r="E5944" t="str">
        <f t="shared" si="2769"/>
        <v>COM</v>
      </c>
      <c r="F5944" t="str">
        <f>"DROGA HONDA (10149)"</f>
        <v>DROGA HONDA (10149)</v>
      </c>
      <c r="G5944" t="str">
        <f>"Serv.Prest. 29/09/2025 a 05/10/2025 - RPS: 1346 - NFSe: 3582"</f>
        <v>Serv.Prest. 29/09/2025 a 05/10/2025 - RPS: 1346 - NFSe: 3582</v>
      </c>
      <c r="H5944" t="str">
        <f t="shared" si="2770"/>
        <v>09/10/2025</v>
      </c>
      <c r="I5944" t="str">
        <f>("07/10/2025")</f>
        <v>07/10/2025</v>
      </c>
      <c r="J5944" t="str">
        <f t="shared" si="2771"/>
        <v>09/10/2025</v>
      </c>
      <c r="M5944">
        <v>303</v>
      </c>
      <c r="N5944" t="str">
        <f t="shared" si="2772"/>
        <v>RECEITAS COM ENTREGAS</v>
      </c>
      <c r="P5944">
        <v>158.57</v>
      </c>
      <c r="Q5944" t="str">
        <f>"DROGA HONDA (10149)"</f>
        <v>DROGA HONDA (10149)</v>
      </c>
      <c r="R5944" t="str">
        <f t="shared" si="2773"/>
        <v>RECEITAS COM ENTREGAS (303)</v>
      </c>
      <c r="S5944">
        <v>2650</v>
      </c>
      <c r="T5944">
        <v>2257</v>
      </c>
      <c r="U5944" t="s">
        <v>19</v>
      </c>
    </row>
    <row r="5945" spans="1:21">
      <c r="A5945" t="str">
        <f t="shared" si="2767"/>
        <v>09/10/2025</v>
      </c>
      <c r="B5945" t="str">
        <f t="shared" si="2774"/>
        <v>ENTRADA</v>
      </c>
      <c r="C5945" t="str">
        <f t="shared" si="2768"/>
        <v>NFSE</v>
      </c>
      <c r="D5945" t="str">
        <f>"3548"</f>
        <v>3548</v>
      </c>
      <c r="E5945" t="str">
        <f t="shared" si="2769"/>
        <v>COM</v>
      </c>
      <c r="F5945" t="str">
        <f>"AC FARMA - CID.ALTA (10166)"</f>
        <v>AC FARMA - CID.ALTA (10166)</v>
      </c>
      <c r="G5945" t="str">
        <f>"Serv.Prest. 22/09/2025 a 28/09/2025 - RPS: 1313 - NFSe: 3548"</f>
        <v>Serv.Prest. 22/09/2025 a 28/09/2025 - RPS: 1313 - NFSe: 3548</v>
      </c>
      <c r="H5945" t="str">
        <f t="shared" ref="H5945:H5971" si="2775">("08/10/2025")</f>
        <v>08/10/2025</v>
      </c>
      <c r="I5945" t="str">
        <f t="shared" ref="I5945:I5952" si="2776">("30/09/2025")</f>
        <v>30/09/2025</v>
      </c>
      <c r="J5945" t="str">
        <f t="shared" si="2771"/>
        <v>09/10/2025</v>
      </c>
      <c r="K5945">
        <v>1062.72</v>
      </c>
      <c r="L5945">
        <v>1062.72</v>
      </c>
      <c r="M5945">
        <v>303</v>
      </c>
      <c r="N5945" t="str">
        <f t="shared" si="2772"/>
        <v>RECEITAS COM ENTREGAS</v>
      </c>
      <c r="O5945">
        <v>1062.72</v>
      </c>
      <c r="R5945" t="str">
        <f t="shared" si="2773"/>
        <v>RECEITAS COM ENTREGAS (303)</v>
      </c>
      <c r="S5945">
        <v>2651</v>
      </c>
      <c r="T5945">
        <v>2206</v>
      </c>
      <c r="U5945" t="s">
        <v>19</v>
      </c>
    </row>
    <row r="5946" spans="1:21">
      <c r="A5946" t="str">
        <f t="shared" si="2767"/>
        <v>09/10/2025</v>
      </c>
      <c r="B5946" t="str">
        <f t="shared" si="2774"/>
        <v>ENTRADA</v>
      </c>
      <c r="C5946" t="str">
        <f t="shared" si="2768"/>
        <v>NFSE</v>
      </c>
      <c r="D5946" t="str">
        <f>"3548"</f>
        <v>3548</v>
      </c>
      <c r="E5946" t="str">
        <f t="shared" si="2769"/>
        <v>COM</v>
      </c>
      <c r="F5946" t="str">
        <f>"AC FARMA - CID.ALTA (10166)"</f>
        <v>AC FARMA - CID.ALTA (10166)</v>
      </c>
      <c r="G5946" t="str">
        <f>"Serv.Prest. 22/09/2025 a 28/09/2025 - RPS: 1313 - NFSe: 3548"</f>
        <v>Serv.Prest. 22/09/2025 a 28/09/2025 - RPS: 1313 - NFSe: 3548</v>
      </c>
      <c r="H5946" t="str">
        <f t="shared" si="2775"/>
        <v>08/10/2025</v>
      </c>
      <c r="I5946" t="str">
        <f t="shared" si="2776"/>
        <v>30/09/2025</v>
      </c>
      <c r="J5946" t="str">
        <f t="shared" si="2771"/>
        <v>09/10/2025</v>
      </c>
      <c r="M5946">
        <v>303</v>
      </c>
      <c r="N5946" t="str">
        <f t="shared" si="2772"/>
        <v>RECEITAS COM ENTREGAS</v>
      </c>
      <c r="P5946">
        <v>1062.72</v>
      </c>
      <c r="Q5946" t="str">
        <f>"AC FARMA - CID.ALTA (10166)"</f>
        <v>AC FARMA - CID.ALTA (10166)</v>
      </c>
      <c r="R5946" t="str">
        <f t="shared" si="2773"/>
        <v>RECEITAS COM ENTREGAS (303)</v>
      </c>
      <c r="S5946">
        <v>2651</v>
      </c>
      <c r="T5946">
        <v>2206</v>
      </c>
      <c r="U5946" t="s">
        <v>19</v>
      </c>
    </row>
    <row r="5947" spans="1:21">
      <c r="A5947" t="str">
        <f t="shared" si="2767"/>
        <v>09/10/2025</v>
      </c>
      <c r="B5947" t="str">
        <f t="shared" si="2774"/>
        <v>ENTRADA</v>
      </c>
      <c r="C5947" t="str">
        <f t="shared" si="2768"/>
        <v>NFSE</v>
      </c>
      <c r="D5947" t="str">
        <f>"3549"</f>
        <v>3549</v>
      </c>
      <c r="E5947" t="str">
        <f t="shared" si="2769"/>
        <v>COM</v>
      </c>
      <c r="F5947" t="str">
        <f>"AC FARMA - FLEMINFARMA (10160)"</f>
        <v>AC FARMA - FLEMINFARMA (10160)</v>
      </c>
      <c r="G5947" t="str">
        <f>"Serv.Prest. 22/09/2025 a 28/09/2025 - RPS: 1314 - NFSe: 3549"</f>
        <v>Serv.Prest. 22/09/2025 a 28/09/2025 - RPS: 1314 - NFSe: 3549</v>
      </c>
      <c r="H5947" t="str">
        <f t="shared" si="2775"/>
        <v>08/10/2025</v>
      </c>
      <c r="I5947" t="str">
        <f t="shared" si="2776"/>
        <v>30/09/2025</v>
      </c>
      <c r="J5947" t="str">
        <f t="shared" si="2771"/>
        <v>09/10/2025</v>
      </c>
      <c r="K5947">
        <v>248.4</v>
      </c>
      <c r="L5947">
        <v>248.4</v>
      </c>
      <c r="M5947">
        <v>303</v>
      </c>
      <c r="N5947" t="str">
        <f t="shared" si="2772"/>
        <v>RECEITAS COM ENTREGAS</v>
      </c>
      <c r="O5947">
        <v>248.4</v>
      </c>
      <c r="R5947" t="str">
        <f t="shared" si="2773"/>
        <v>RECEITAS COM ENTREGAS (303)</v>
      </c>
      <c r="S5947">
        <v>2652</v>
      </c>
      <c r="T5947">
        <v>2207</v>
      </c>
      <c r="U5947" t="s">
        <v>19</v>
      </c>
    </row>
    <row r="5948" spans="1:21">
      <c r="A5948" t="str">
        <f t="shared" si="2767"/>
        <v>09/10/2025</v>
      </c>
      <c r="B5948" t="str">
        <f t="shared" si="2774"/>
        <v>ENTRADA</v>
      </c>
      <c r="C5948" t="str">
        <f t="shared" si="2768"/>
        <v>NFSE</v>
      </c>
      <c r="D5948" t="str">
        <f>"3549"</f>
        <v>3549</v>
      </c>
      <c r="E5948" t="str">
        <f t="shared" si="2769"/>
        <v>COM</v>
      </c>
      <c r="F5948" t="str">
        <f>"AC FARMA - FLEMINFARMA (10160)"</f>
        <v>AC FARMA - FLEMINFARMA (10160)</v>
      </c>
      <c r="G5948" t="str">
        <f>"Serv.Prest. 22/09/2025 a 28/09/2025 - RPS: 1314 - NFSe: 3549"</f>
        <v>Serv.Prest. 22/09/2025 a 28/09/2025 - RPS: 1314 - NFSe: 3549</v>
      </c>
      <c r="H5948" t="str">
        <f t="shared" si="2775"/>
        <v>08/10/2025</v>
      </c>
      <c r="I5948" t="str">
        <f t="shared" si="2776"/>
        <v>30/09/2025</v>
      </c>
      <c r="J5948" t="str">
        <f t="shared" si="2771"/>
        <v>09/10/2025</v>
      </c>
      <c r="M5948">
        <v>303</v>
      </c>
      <c r="N5948" t="str">
        <f t="shared" si="2772"/>
        <v>RECEITAS COM ENTREGAS</v>
      </c>
      <c r="P5948">
        <v>238.96</v>
      </c>
      <c r="Q5948" t="str">
        <f>"AC FARMA -  FLEMINFARMA (10159)"</f>
        <v>AC FARMA -  FLEMINFARMA (10159)</v>
      </c>
      <c r="R5948" t="str">
        <f t="shared" si="2773"/>
        <v>RECEITAS COM ENTREGAS (303)</v>
      </c>
      <c r="S5948">
        <v>2652</v>
      </c>
      <c r="T5948">
        <v>2207</v>
      </c>
      <c r="U5948" t="s">
        <v>19</v>
      </c>
    </row>
    <row r="5949" spans="1:21">
      <c r="A5949" t="str">
        <f t="shared" si="2767"/>
        <v>09/10/2025</v>
      </c>
      <c r="B5949" t="str">
        <f t="shared" si="2774"/>
        <v>ENTRADA</v>
      </c>
      <c r="C5949" t="str">
        <f t="shared" si="2768"/>
        <v>NFSE</v>
      </c>
      <c r="D5949" t="str">
        <f>"3549"</f>
        <v>3549</v>
      </c>
      <c r="E5949" t="str">
        <f t="shared" si="2769"/>
        <v>COM</v>
      </c>
      <c r="F5949" t="str">
        <f>"AC FARMA - FLEMINFARMA (10160)"</f>
        <v>AC FARMA - FLEMINFARMA (10160)</v>
      </c>
      <c r="G5949" t="str">
        <f>"Serv.Prest. 22/09/2025 a 28/09/2025 - RPS: 1314 - NFSe: 3549"</f>
        <v>Serv.Prest. 22/09/2025 a 28/09/2025 - RPS: 1314 - NFSe: 3549</v>
      </c>
      <c r="H5949" t="str">
        <f t="shared" si="2775"/>
        <v>08/10/2025</v>
      </c>
      <c r="I5949" t="str">
        <f t="shared" si="2776"/>
        <v>30/09/2025</v>
      </c>
      <c r="J5949" t="str">
        <f t="shared" si="2771"/>
        <v>09/10/2025</v>
      </c>
      <c r="M5949">
        <v>303</v>
      </c>
      <c r="N5949" t="str">
        <f t="shared" si="2772"/>
        <v>RECEITAS COM ENTREGAS</v>
      </c>
      <c r="P5949">
        <v>9.44</v>
      </c>
      <c r="Q5949" t="str">
        <f>"AC FARMA - FLEMINFARMA (10160)"</f>
        <v>AC FARMA - FLEMINFARMA (10160)</v>
      </c>
      <c r="R5949" t="str">
        <f t="shared" si="2773"/>
        <v>RECEITAS COM ENTREGAS (303)</v>
      </c>
      <c r="S5949">
        <v>2652</v>
      </c>
      <c r="T5949">
        <v>2207</v>
      </c>
      <c r="U5949" t="s">
        <v>19</v>
      </c>
    </row>
    <row r="5950" spans="1:21">
      <c r="A5950" t="str">
        <f t="shared" si="2767"/>
        <v>09/10/2025</v>
      </c>
      <c r="B5950" t="str">
        <f t="shared" si="2774"/>
        <v>ENTRADA</v>
      </c>
      <c r="C5950" t="str">
        <f t="shared" si="2768"/>
        <v>NFSE</v>
      </c>
      <c r="D5950" t="str">
        <f>"3550"</f>
        <v>3550</v>
      </c>
      <c r="E5950" t="str">
        <f t="shared" si="2769"/>
        <v>COM</v>
      </c>
      <c r="F5950" t="str">
        <f>"AC FARMA - FLEMINFARMA 5 (10183)"</f>
        <v>AC FARMA - FLEMINFARMA 5 (10183)</v>
      </c>
      <c r="G5950" t="str">
        <f>"Serv.Prest. 22/09/2025 a 28/09/2025 - RPS: 1315 - NFSe: 3550"</f>
        <v>Serv.Prest. 22/09/2025 a 28/09/2025 - RPS: 1315 - NFSe: 3550</v>
      </c>
      <c r="H5950" t="str">
        <f t="shared" si="2775"/>
        <v>08/10/2025</v>
      </c>
      <c r="I5950" t="str">
        <f t="shared" si="2776"/>
        <v>30/09/2025</v>
      </c>
      <c r="J5950" t="str">
        <f t="shared" si="2771"/>
        <v>09/10/2025</v>
      </c>
      <c r="K5950">
        <v>109.35</v>
      </c>
      <c r="L5950">
        <v>109.35</v>
      </c>
      <c r="M5950">
        <v>303</v>
      </c>
      <c r="N5950" t="str">
        <f t="shared" si="2772"/>
        <v>RECEITAS COM ENTREGAS</v>
      </c>
      <c r="O5950">
        <v>109.35</v>
      </c>
      <c r="R5950" t="str">
        <f t="shared" si="2773"/>
        <v>RECEITAS COM ENTREGAS (303)</v>
      </c>
      <c r="S5950">
        <v>2653</v>
      </c>
      <c r="T5950">
        <v>2208</v>
      </c>
      <c r="U5950" t="s">
        <v>19</v>
      </c>
    </row>
    <row r="5951" spans="1:21">
      <c r="A5951" t="str">
        <f t="shared" si="2767"/>
        <v>09/10/2025</v>
      </c>
      <c r="B5951" t="str">
        <f t="shared" si="2774"/>
        <v>ENTRADA</v>
      </c>
      <c r="C5951" t="str">
        <f t="shared" si="2768"/>
        <v>NFSE</v>
      </c>
      <c r="D5951" t="str">
        <f>"3550"</f>
        <v>3550</v>
      </c>
      <c r="E5951" t="str">
        <f t="shared" si="2769"/>
        <v>COM</v>
      </c>
      <c r="F5951" t="str">
        <f>"AC FARMA - FLEMINFARMA 5 (10183)"</f>
        <v>AC FARMA - FLEMINFARMA 5 (10183)</v>
      </c>
      <c r="G5951" t="str">
        <f>"Serv.Prest. 22/09/2025 a 28/09/2025 - RPS: 1315 - NFSe: 3550"</f>
        <v>Serv.Prest. 22/09/2025 a 28/09/2025 - RPS: 1315 - NFSe: 3550</v>
      </c>
      <c r="H5951" t="str">
        <f t="shared" si="2775"/>
        <v>08/10/2025</v>
      </c>
      <c r="I5951" t="str">
        <f t="shared" si="2776"/>
        <v>30/09/2025</v>
      </c>
      <c r="J5951" t="str">
        <f t="shared" si="2771"/>
        <v>09/10/2025</v>
      </c>
      <c r="M5951">
        <v>303</v>
      </c>
      <c r="N5951" t="str">
        <f t="shared" si="2772"/>
        <v>RECEITAS COM ENTREGAS</v>
      </c>
      <c r="P5951">
        <v>105.3</v>
      </c>
      <c r="Q5951" t="str">
        <f>"AC FARMA - FLEMINFARMA 5 (10183)"</f>
        <v>AC FARMA - FLEMINFARMA 5 (10183)</v>
      </c>
      <c r="R5951" t="str">
        <f t="shared" si="2773"/>
        <v>RECEITAS COM ENTREGAS (303)</v>
      </c>
      <c r="S5951">
        <v>2653</v>
      </c>
      <c r="T5951">
        <v>2208</v>
      </c>
      <c r="U5951" t="s">
        <v>19</v>
      </c>
    </row>
    <row r="5952" spans="1:21">
      <c r="A5952" t="str">
        <f t="shared" si="2767"/>
        <v>09/10/2025</v>
      </c>
      <c r="B5952" t="str">
        <f t="shared" si="2774"/>
        <v>ENTRADA</v>
      </c>
      <c r="C5952" t="str">
        <f t="shared" si="2768"/>
        <v>NFSE</v>
      </c>
      <c r="D5952" t="str">
        <f>"3550"</f>
        <v>3550</v>
      </c>
      <c r="E5952" t="str">
        <f t="shared" si="2769"/>
        <v>COM</v>
      </c>
      <c r="F5952" t="str">
        <f>"AC FARMA - FLEMINFARMA 5 (10183)"</f>
        <v>AC FARMA - FLEMINFARMA 5 (10183)</v>
      </c>
      <c r="G5952" t="str">
        <f>"Serv.Prest. 22/09/2025 a 28/09/2025 - RPS: 1315 - NFSe: 3550"</f>
        <v>Serv.Prest. 22/09/2025 a 28/09/2025 - RPS: 1315 - NFSe: 3550</v>
      </c>
      <c r="H5952" t="str">
        <f t="shared" si="2775"/>
        <v>08/10/2025</v>
      </c>
      <c r="I5952" t="str">
        <f t="shared" si="2776"/>
        <v>30/09/2025</v>
      </c>
      <c r="J5952" t="str">
        <f t="shared" si="2771"/>
        <v>09/10/2025</v>
      </c>
      <c r="M5952">
        <v>303</v>
      </c>
      <c r="N5952" t="str">
        <f t="shared" si="2772"/>
        <v>RECEITAS COM ENTREGAS</v>
      </c>
      <c r="P5952">
        <v>4.05</v>
      </c>
      <c r="Q5952" t="str">
        <f>"AC FARMA - FLEMINFARMA 6 (10184)"</f>
        <v>AC FARMA - FLEMINFARMA 6 (10184)</v>
      </c>
      <c r="R5952" t="str">
        <f t="shared" si="2773"/>
        <v>RECEITAS COM ENTREGAS (303)</v>
      </c>
      <c r="S5952">
        <v>2653</v>
      </c>
      <c r="T5952">
        <v>2208</v>
      </c>
      <c r="U5952" t="s">
        <v>19</v>
      </c>
    </row>
    <row r="5953" spans="1:21">
      <c r="A5953" t="str">
        <f t="shared" si="2767"/>
        <v>09/10/2025</v>
      </c>
      <c r="B5953" t="str">
        <f t="shared" si="2774"/>
        <v>ENTRADA</v>
      </c>
      <c r="C5953" t="str">
        <f t="shared" si="2768"/>
        <v>NFSE</v>
      </c>
      <c r="D5953" t="str">
        <f>"3553"</f>
        <v>3553</v>
      </c>
      <c r="E5953" t="str">
        <f t="shared" si="2769"/>
        <v>COM</v>
      </c>
      <c r="F5953" t="str">
        <f>"BRASIL FARMA (10173)"</f>
        <v>BRASIL FARMA (10173)</v>
      </c>
      <c r="G5953" t="str">
        <f>"Serv.Prest. 29/09/2025 a 05/10/2025 - RPS: 1317 - NFSe: 3553"</f>
        <v>Serv.Prest. 29/09/2025 a 05/10/2025 - RPS: 1317 - NFSe: 3553</v>
      </c>
      <c r="H5953" t="str">
        <f t="shared" si="2775"/>
        <v>08/10/2025</v>
      </c>
      <c r="I5953" t="str">
        <f t="shared" ref="I5953:I5969" si="2777">("06/10/2025")</f>
        <v>06/10/2025</v>
      </c>
      <c r="J5953" t="str">
        <f t="shared" si="2771"/>
        <v>09/10/2025</v>
      </c>
      <c r="K5953">
        <v>320.95999999999998</v>
      </c>
      <c r="L5953">
        <v>320.95999999999998</v>
      </c>
      <c r="M5953">
        <v>303</v>
      </c>
      <c r="N5953" t="str">
        <f t="shared" si="2772"/>
        <v>RECEITAS COM ENTREGAS</v>
      </c>
      <c r="O5953">
        <v>320.95999999999998</v>
      </c>
      <c r="R5953" t="str">
        <f t="shared" si="2773"/>
        <v>RECEITAS COM ENTREGAS (303)</v>
      </c>
      <c r="S5953">
        <v>2654</v>
      </c>
      <c r="T5953">
        <v>2228</v>
      </c>
      <c r="U5953" t="s">
        <v>19</v>
      </c>
    </row>
    <row r="5954" spans="1:21">
      <c r="A5954" t="str">
        <f t="shared" si="2767"/>
        <v>09/10/2025</v>
      </c>
      <c r="B5954" t="str">
        <f t="shared" si="2774"/>
        <v>ENTRADA</v>
      </c>
      <c r="C5954" t="str">
        <f t="shared" si="2768"/>
        <v>NFSE</v>
      </c>
      <c r="D5954" t="str">
        <f>"3553"</f>
        <v>3553</v>
      </c>
      <c r="E5954" t="str">
        <f t="shared" si="2769"/>
        <v>COM</v>
      </c>
      <c r="F5954" t="str">
        <f>"BRASIL FARMA (10173)"</f>
        <v>BRASIL FARMA (10173)</v>
      </c>
      <c r="G5954" t="str">
        <f>"Serv.Prest. 29/09/2025 a 05/10/2025 - RPS: 1317 - NFSe: 3553"</f>
        <v>Serv.Prest. 29/09/2025 a 05/10/2025 - RPS: 1317 - NFSe: 3553</v>
      </c>
      <c r="H5954" t="str">
        <f t="shared" si="2775"/>
        <v>08/10/2025</v>
      </c>
      <c r="I5954" t="str">
        <f t="shared" si="2777"/>
        <v>06/10/2025</v>
      </c>
      <c r="J5954" t="str">
        <f t="shared" si="2771"/>
        <v>09/10/2025</v>
      </c>
      <c r="M5954">
        <v>303</v>
      </c>
      <c r="N5954" t="str">
        <f t="shared" si="2772"/>
        <v>RECEITAS COM ENTREGAS</v>
      </c>
      <c r="P5954">
        <v>320.95999999999998</v>
      </c>
      <c r="Q5954" t="str">
        <f>"BRASIL FARMA (10173)"</f>
        <v>BRASIL FARMA (10173)</v>
      </c>
      <c r="R5954" t="str">
        <f t="shared" si="2773"/>
        <v>RECEITAS COM ENTREGAS (303)</v>
      </c>
      <c r="S5954">
        <v>2654</v>
      </c>
      <c r="T5954">
        <v>2228</v>
      </c>
      <c r="U5954" t="s">
        <v>19</v>
      </c>
    </row>
    <row r="5955" spans="1:21">
      <c r="A5955" t="str">
        <f t="shared" si="2767"/>
        <v>09/10/2025</v>
      </c>
      <c r="B5955" t="str">
        <f t="shared" si="2774"/>
        <v>ENTRADA</v>
      </c>
      <c r="C5955" t="str">
        <f t="shared" si="2768"/>
        <v>NFSE</v>
      </c>
      <c r="D5955" t="str">
        <f>"3557"</f>
        <v>3557</v>
      </c>
      <c r="E5955" t="str">
        <f t="shared" si="2769"/>
        <v>COM</v>
      </c>
      <c r="F5955" t="str">
        <f>"ENTREFARMA (10164)"</f>
        <v>ENTREFARMA (10164)</v>
      </c>
      <c r="G5955" t="str">
        <f>"Serv.Prest. 29/09/2025 a 05/10/2025 - RPS: 1321 - NFSe: 3557"</f>
        <v>Serv.Prest. 29/09/2025 a 05/10/2025 - RPS: 1321 - NFSe: 3557</v>
      </c>
      <c r="H5955" t="str">
        <f t="shared" si="2775"/>
        <v>08/10/2025</v>
      </c>
      <c r="I5955" t="str">
        <f t="shared" si="2777"/>
        <v>06/10/2025</v>
      </c>
      <c r="J5955" t="str">
        <f t="shared" si="2771"/>
        <v>09/10/2025</v>
      </c>
      <c r="K5955">
        <v>1021.27</v>
      </c>
      <c r="L5955">
        <v>1021.27</v>
      </c>
      <c r="M5955">
        <v>303</v>
      </c>
      <c r="N5955" t="str">
        <f t="shared" si="2772"/>
        <v>RECEITAS COM ENTREGAS</v>
      </c>
      <c r="O5955">
        <v>1021.27</v>
      </c>
      <c r="R5955" t="str">
        <f t="shared" si="2773"/>
        <v>RECEITAS COM ENTREGAS (303)</v>
      </c>
      <c r="S5955">
        <v>2655</v>
      </c>
      <c r="T5955">
        <v>2232</v>
      </c>
      <c r="U5955" t="s">
        <v>19</v>
      </c>
    </row>
    <row r="5956" spans="1:21">
      <c r="A5956" t="str">
        <f t="shared" si="2767"/>
        <v>09/10/2025</v>
      </c>
      <c r="B5956" t="str">
        <f t="shared" si="2774"/>
        <v>ENTRADA</v>
      </c>
      <c r="C5956" t="str">
        <f t="shared" si="2768"/>
        <v>NFSE</v>
      </c>
      <c r="D5956" t="str">
        <f>"3557"</f>
        <v>3557</v>
      </c>
      <c r="E5956" t="str">
        <f t="shared" si="2769"/>
        <v>COM</v>
      </c>
      <c r="F5956" t="str">
        <f>"ENTREFARMA (10164)"</f>
        <v>ENTREFARMA (10164)</v>
      </c>
      <c r="G5956" t="str">
        <f>"Serv.Prest. 29/09/2025 a 05/10/2025 - RPS: 1321 - NFSe: 3557"</f>
        <v>Serv.Prest. 29/09/2025 a 05/10/2025 - RPS: 1321 - NFSe: 3557</v>
      </c>
      <c r="H5956" t="str">
        <f t="shared" si="2775"/>
        <v>08/10/2025</v>
      </c>
      <c r="I5956" t="str">
        <f t="shared" si="2777"/>
        <v>06/10/2025</v>
      </c>
      <c r="J5956" t="str">
        <f t="shared" si="2771"/>
        <v>09/10/2025</v>
      </c>
      <c r="M5956">
        <v>303</v>
      </c>
      <c r="N5956" t="str">
        <f t="shared" si="2772"/>
        <v>RECEITAS COM ENTREGAS</v>
      </c>
      <c r="P5956">
        <v>1021.27</v>
      </c>
      <c r="Q5956" t="str">
        <f>"ENTREFARMA (10164)"</f>
        <v>ENTREFARMA (10164)</v>
      </c>
      <c r="R5956" t="str">
        <f t="shared" si="2773"/>
        <v>RECEITAS COM ENTREGAS (303)</v>
      </c>
      <c r="S5956">
        <v>2655</v>
      </c>
      <c r="T5956">
        <v>2232</v>
      </c>
      <c r="U5956" t="s">
        <v>19</v>
      </c>
    </row>
    <row r="5957" spans="1:21">
      <c r="A5957" t="str">
        <f t="shared" si="2767"/>
        <v>09/10/2025</v>
      </c>
      <c r="B5957" t="str">
        <f t="shared" si="2774"/>
        <v>ENTRADA</v>
      </c>
      <c r="C5957" t="str">
        <f t="shared" si="2768"/>
        <v>NFSE</v>
      </c>
      <c r="D5957" t="str">
        <f>"3558"</f>
        <v>3558</v>
      </c>
      <c r="E5957" t="str">
        <f t="shared" si="2769"/>
        <v>COM</v>
      </c>
      <c r="F5957" t="str">
        <f>"FRAN FARMA (10124)"</f>
        <v>FRAN FARMA (10124)</v>
      </c>
      <c r="G5957" t="str">
        <f>"Serv.Prest. 29/09/2025 a 05/10/2025 - RPS: 1322 - NFSe: 3558"</f>
        <v>Serv.Prest. 29/09/2025 a 05/10/2025 - RPS: 1322 - NFSe: 3558</v>
      </c>
      <c r="H5957" t="str">
        <f t="shared" si="2775"/>
        <v>08/10/2025</v>
      </c>
      <c r="I5957" t="str">
        <f t="shared" si="2777"/>
        <v>06/10/2025</v>
      </c>
      <c r="J5957" t="str">
        <f t="shared" si="2771"/>
        <v>09/10/2025</v>
      </c>
      <c r="K5957">
        <v>160</v>
      </c>
      <c r="L5957">
        <v>160</v>
      </c>
      <c r="M5957">
        <v>303</v>
      </c>
      <c r="N5957" t="str">
        <f t="shared" si="2772"/>
        <v>RECEITAS COM ENTREGAS</v>
      </c>
      <c r="O5957">
        <v>160</v>
      </c>
      <c r="R5957" t="str">
        <f t="shared" si="2773"/>
        <v>RECEITAS COM ENTREGAS (303)</v>
      </c>
      <c r="S5957">
        <v>2656</v>
      </c>
      <c r="T5957">
        <v>2233</v>
      </c>
      <c r="U5957" t="s">
        <v>19</v>
      </c>
    </row>
    <row r="5958" spans="1:21">
      <c r="A5958" t="str">
        <f t="shared" si="2767"/>
        <v>09/10/2025</v>
      </c>
      <c r="B5958" t="str">
        <f t="shared" si="2774"/>
        <v>ENTRADA</v>
      </c>
      <c r="C5958" t="str">
        <f t="shared" si="2768"/>
        <v>NFSE</v>
      </c>
      <c r="D5958" t="str">
        <f>"3558"</f>
        <v>3558</v>
      </c>
      <c r="E5958" t="str">
        <f t="shared" si="2769"/>
        <v>COM</v>
      </c>
      <c r="F5958" t="str">
        <f>"FRAN FARMA (10124)"</f>
        <v>FRAN FARMA (10124)</v>
      </c>
      <c r="G5958" t="str">
        <f>"Serv.Prest. 29/09/2025 a 05/10/2025 - RPS: 1322 - NFSe: 3558"</f>
        <v>Serv.Prest. 29/09/2025 a 05/10/2025 - RPS: 1322 - NFSe: 3558</v>
      </c>
      <c r="H5958" t="str">
        <f t="shared" si="2775"/>
        <v>08/10/2025</v>
      </c>
      <c r="I5958" t="str">
        <f t="shared" si="2777"/>
        <v>06/10/2025</v>
      </c>
      <c r="J5958" t="str">
        <f t="shared" si="2771"/>
        <v>09/10/2025</v>
      </c>
      <c r="M5958">
        <v>303</v>
      </c>
      <c r="N5958" t="str">
        <f t="shared" si="2772"/>
        <v>RECEITAS COM ENTREGAS</v>
      </c>
      <c r="P5958">
        <v>96</v>
      </c>
      <c r="Q5958" t="str">
        <f>"FRAN FARMA LJ 2 (10131)"</f>
        <v>FRAN FARMA LJ 2 (10131)</v>
      </c>
      <c r="R5958" t="str">
        <f t="shared" si="2773"/>
        <v>RECEITAS COM ENTREGAS (303)</v>
      </c>
      <c r="S5958">
        <v>2656</v>
      </c>
      <c r="T5958">
        <v>2233</v>
      </c>
      <c r="U5958" t="s">
        <v>19</v>
      </c>
    </row>
    <row r="5959" spans="1:21">
      <c r="A5959" t="str">
        <f t="shared" si="2767"/>
        <v>09/10/2025</v>
      </c>
      <c r="B5959" t="str">
        <f t="shared" si="2774"/>
        <v>ENTRADA</v>
      </c>
      <c r="C5959" t="str">
        <f t="shared" si="2768"/>
        <v>NFSE</v>
      </c>
      <c r="D5959" t="str">
        <f>"3558"</f>
        <v>3558</v>
      </c>
      <c r="E5959" t="str">
        <f t="shared" si="2769"/>
        <v>COM</v>
      </c>
      <c r="F5959" t="str">
        <f>"FRAN FARMA (10124)"</f>
        <v>FRAN FARMA (10124)</v>
      </c>
      <c r="G5959" t="str">
        <f>"Serv.Prest. 29/09/2025 a 05/10/2025 - RPS: 1322 - NFSe: 3558"</f>
        <v>Serv.Prest. 29/09/2025 a 05/10/2025 - RPS: 1322 - NFSe: 3558</v>
      </c>
      <c r="H5959" t="str">
        <f t="shared" si="2775"/>
        <v>08/10/2025</v>
      </c>
      <c r="I5959" t="str">
        <f t="shared" si="2777"/>
        <v>06/10/2025</v>
      </c>
      <c r="J5959" t="str">
        <f t="shared" si="2771"/>
        <v>09/10/2025</v>
      </c>
      <c r="M5959">
        <v>303</v>
      </c>
      <c r="N5959" t="str">
        <f t="shared" si="2772"/>
        <v>RECEITAS COM ENTREGAS</v>
      </c>
      <c r="P5959">
        <v>64</v>
      </c>
      <c r="Q5959" t="str">
        <f>"FRAN FARMA LJ 3 (10132)"</f>
        <v>FRAN FARMA LJ 3 (10132)</v>
      </c>
      <c r="R5959" t="str">
        <f t="shared" si="2773"/>
        <v>RECEITAS COM ENTREGAS (303)</v>
      </c>
      <c r="S5959">
        <v>2656</v>
      </c>
      <c r="T5959">
        <v>2233</v>
      </c>
      <c r="U5959" t="s">
        <v>19</v>
      </c>
    </row>
    <row r="5960" spans="1:21">
      <c r="A5960" t="str">
        <f t="shared" si="2767"/>
        <v>09/10/2025</v>
      </c>
      <c r="B5960" t="str">
        <f t="shared" si="2774"/>
        <v>ENTRADA</v>
      </c>
      <c r="C5960" t="str">
        <f t="shared" si="2768"/>
        <v>NFSE</v>
      </c>
      <c r="D5960" t="str">
        <f>"3559"</f>
        <v>3559</v>
      </c>
      <c r="E5960" t="str">
        <f t="shared" si="2769"/>
        <v>COM</v>
      </c>
      <c r="F5960" t="str">
        <f>"DROGA ELIDA (10121)"</f>
        <v>DROGA ELIDA (10121)</v>
      </c>
      <c r="G5960" t="str">
        <f>"Serv.Prest. 29/09/2025 a 05/10/2025 - RPS: 1323 - NFSe: 3559"</f>
        <v>Serv.Prest. 29/09/2025 a 05/10/2025 - RPS: 1323 - NFSe: 3559</v>
      </c>
      <c r="H5960" t="str">
        <f t="shared" si="2775"/>
        <v>08/10/2025</v>
      </c>
      <c r="I5960" t="str">
        <f t="shared" si="2777"/>
        <v>06/10/2025</v>
      </c>
      <c r="J5960" t="str">
        <f t="shared" si="2771"/>
        <v>09/10/2025</v>
      </c>
      <c r="K5960">
        <v>350.4</v>
      </c>
      <c r="L5960">
        <v>350.4</v>
      </c>
      <c r="M5960">
        <v>303</v>
      </c>
      <c r="N5960" t="str">
        <f t="shared" si="2772"/>
        <v>RECEITAS COM ENTREGAS</v>
      </c>
      <c r="O5960">
        <v>350.4</v>
      </c>
      <c r="R5960" t="str">
        <f t="shared" si="2773"/>
        <v>RECEITAS COM ENTREGAS (303)</v>
      </c>
      <c r="S5960">
        <v>2657</v>
      </c>
      <c r="T5960">
        <v>2234</v>
      </c>
      <c r="U5960" t="s">
        <v>19</v>
      </c>
    </row>
    <row r="5961" spans="1:21">
      <c r="A5961" t="str">
        <f t="shared" si="2767"/>
        <v>09/10/2025</v>
      </c>
      <c r="B5961" t="str">
        <f t="shared" si="2774"/>
        <v>ENTRADA</v>
      </c>
      <c r="C5961" t="str">
        <f t="shared" si="2768"/>
        <v>NFSE</v>
      </c>
      <c r="D5961" t="str">
        <f>"3559"</f>
        <v>3559</v>
      </c>
      <c r="E5961" t="str">
        <f t="shared" si="2769"/>
        <v>COM</v>
      </c>
      <c r="F5961" t="str">
        <f>"DROGA ELIDA (10121)"</f>
        <v>DROGA ELIDA (10121)</v>
      </c>
      <c r="G5961" t="str">
        <f>"Serv.Prest. 29/09/2025 a 05/10/2025 - RPS: 1323 - NFSe: 3559"</f>
        <v>Serv.Prest. 29/09/2025 a 05/10/2025 - RPS: 1323 - NFSe: 3559</v>
      </c>
      <c r="H5961" t="str">
        <f t="shared" si="2775"/>
        <v>08/10/2025</v>
      </c>
      <c r="I5961" t="str">
        <f t="shared" si="2777"/>
        <v>06/10/2025</v>
      </c>
      <c r="J5961" t="str">
        <f t="shared" si="2771"/>
        <v>09/10/2025</v>
      </c>
      <c r="M5961">
        <v>303</v>
      </c>
      <c r="N5961" t="str">
        <f t="shared" si="2772"/>
        <v>RECEITAS COM ENTREGAS</v>
      </c>
      <c r="P5961">
        <v>350.4</v>
      </c>
      <c r="Q5961" t="str">
        <f>"DROGA ELIDA (10121)"</f>
        <v>DROGA ELIDA (10121)</v>
      </c>
      <c r="R5961" t="str">
        <f t="shared" si="2773"/>
        <v>RECEITAS COM ENTREGAS (303)</v>
      </c>
      <c r="S5961">
        <v>2657</v>
      </c>
      <c r="T5961">
        <v>2234</v>
      </c>
      <c r="U5961" t="s">
        <v>19</v>
      </c>
    </row>
    <row r="5962" spans="1:21">
      <c r="A5962" t="str">
        <f t="shared" si="2767"/>
        <v>09/10/2025</v>
      </c>
      <c r="B5962" t="str">
        <f t="shared" si="2774"/>
        <v>ENTRADA</v>
      </c>
      <c r="C5962" t="str">
        <f t="shared" si="2768"/>
        <v>NFSE</v>
      </c>
      <c r="D5962" t="str">
        <f>"3566"</f>
        <v>3566</v>
      </c>
      <c r="E5962" t="str">
        <f t="shared" si="2769"/>
        <v>COM</v>
      </c>
      <c r="F5962" t="str">
        <f>"LBL FARMACIA LTDA FILIAL (10192)"</f>
        <v>LBL FARMACIA LTDA FILIAL (10192)</v>
      </c>
      <c r="G5962" t="str">
        <f>"Serv.Prest. 29/09/2025 a 05/10/2025 - RPS: 1330 - NFSe: 3566"</f>
        <v>Serv.Prest. 29/09/2025 a 05/10/2025 - RPS: 1330 - NFSe: 3566</v>
      </c>
      <c r="H5962" t="str">
        <f t="shared" si="2775"/>
        <v>08/10/2025</v>
      </c>
      <c r="I5962" t="str">
        <f t="shared" si="2777"/>
        <v>06/10/2025</v>
      </c>
      <c r="J5962" t="str">
        <f t="shared" si="2771"/>
        <v>09/10/2025</v>
      </c>
      <c r="K5962">
        <v>221.55</v>
      </c>
      <c r="L5962">
        <v>221.55</v>
      </c>
      <c r="M5962">
        <v>303</v>
      </c>
      <c r="N5962" t="str">
        <f t="shared" si="2772"/>
        <v>RECEITAS COM ENTREGAS</v>
      </c>
      <c r="O5962">
        <v>221.55</v>
      </c>
      <c r="R5962" t="str">
        <f t="shared" si="2773"/>
        <v>RECEITAS COM ENTREGAS (303)</v>
      </c>
      <c r="S5962">
        <v>2658</v>
      </c>
      <c r="T5962">
        <v>2241</v>
      </c>
      <c r="U5962" t="s">
        <v>19</v>
      </c>
    </row>
    <row r="5963" spans="1:21">
      <c r="A5963" t="str">
        <f t="shared" si="2767"/>
        <v>09/10/2025</v>
      </c>
      <c r="B5963" t="str">
        <f t="shared" si="2774"/>
        <v>ENTRADA</v>
      </c>
      <c r="C5963" t="str">
        <f t="shared" si="2768"/>
        <v>NFSE</v>
      </c>
      <c r="D5963" t="str">
        <f>"3566"</f>
        <v>3566</v>
      </c>
      <c r="E5963" t="str">
        <f t="shared" si="2769"/>
        <v>COM</v>
      </c>
      <c r="F5963" t="str">
        <f>"LBL FARMACIA LTDA FILIAL (10192)"</f>
        <v>LBL FARMACIA LTDA FILIAL (10192)</v>
      </c>
      <c r="G5963" t="str">
        <f>"Serv.Prest. 29/09/2025 a 05/10/2025 - RPS: 1330 - NFSe: 3566"</f>
        <v>Serv.Prest. 29/09/2025 a 05/10/2025 - RPS: 1330 - NFSe: 3566</v>
      </c>
      <c r="H5963" t="str">
        <f t="shared" si="2775"/>
        <v>08/10/2025</v>
      </c>
      <c r="I5963" t="str">
        <f t="shared" si="2777"/>
        <v>06/10/2025</v>
      </c>
      <c r="J5963" t="str">
        <f t="shared" si="2771"/>
        <v>09/10/2025</v>
      </c>
      <c r="M5963">
        <v>303</v>
      </c>
      <c r="N5963" t="str">
        <f t="shared" si="2772"/>
        <v>RECEITAS COM ENTREGAS</v>
      </c>
      <c r="P5963">
        <v>221.55</v>
      </c>
      <c r="Q5963" t="str">
        <f>"LBL FARMACIA LTDA FILIAL (10192)"</f>
        <v>LBL FARMACIA LTDA FILIAL (10192)</v>
      </c>
      <c r="R5963" t="str">
        <f t="shared" si="2773"/>
        <v>RECEITAS COM ENTREGAS (303)</v>
      </c>
      <c r="S5963">
        <v>2658</v>
      </c>
      <c r="T5963">
        <v>2241</v>
      </c>
      <c r="U5963" t="s">
        <v>19</v>
      </c>
    </row>
    <row r="5964" spans="1:21">
      <c r="A5964" t="str">
        <f t="shared" si="2767"/>
        <v>09/10/2025</v>
      </c>
      <c r="B5964" t="str">
        <f t="shared" si="2774"/>
        <v>ENTRADA</v>
      </c>
      <c r="C5964" t="str">
        <f t="shared" si="2768"/>
        <v>NFSE</v>
      </c>
      <c r="D5964" t="str">
        <f>"3567"</f>
        <v>3567</v>
      </c>
      <c r="E5964" t="str">
        <f t="shared" si="2769"/>
        <v>COM</v>
      </c>
      <c r="F5964" t="str">
        <f>"LBL FARMACIA LTDA (10189)"</f>
        <v>LBL FARMACIA LTDA (10189)</v>
      </c>
      <c r="G5964" t="str">
        <f>"Serv.Prest. 29/09/2025 a 05/10/2025 - RPS: 1331 - NFSe: 3567"</f>
        <v>Serv.Prest. 29/09/2025 a 05/10/2025 - RPS: 1331 - NFSe: 3567</v>
      </c>
      <c r="H5964" t="str">
        <f t="shared" si="2775"/>
        <v>08/10/2025</v>
      </c>
      <c r="I5964" t="str">
        <f t="shared" si="2777"/>
        <v>06/10/2025</v>
      </c>
      <c r="J5964" t="str">
        <f t="shared" si="2771"/>
        <v>09/10/2025</v>
      </c>
      <c r="K5964">
        <v>114.45</v>
      </c>
      <c r="L5964">
        <v>114.45</v>
      </c>
      <c r="M5964">
        <v>303</v>
      </c>
      <c r="N5964" t="str">
        <f t="shared" si="2772"/>
        <v>RECEITAS COM ENTREGAS</v>
      </c>
      <c r="O5964">
        <v>114.45</v>
      </c>
      <c r="R5964" t="str">
        <f t="shared" si="2773"/>
        <v>RECEITAS COM ENTREGAS (303)</v>
      </c>
      <c r="S5964">
        <v>2659</v>
      </c>
      <c r="T5964">
        <v>2242</v>
      </c>
      <c r="U5964" t="s">
        <v>19</v>
      </c>
    </row>
    <row r="5965" spans="1:21">
      <c r="A5965" t="str">
        <f t="shared" si="2767"/>
        <v>09/10/2025</v>
      </c>
      <c r="B5965" t="str">
        <f t="shared" si="2774"/>
        <v>ENTRADA</v>
      </c>
      <c r="C5965" t="str">
        <f t="shared" si="2768"/>
        <v>NFSE</v>
      </c>
      <c r="D5965" t="str">
        <f>"3567"</f>
        <v>3567</v>
      </c>
      <c r="E5965" t="str">
        <f t="shared" si="2769"/>
        <v>COM</v>
      </c>
      <c r="F5965" t="str">
        <f>"LBL FARMACIA LTDA (10189)"</f>
        <v>LBL FARMACIA LTDA (10189)</v>
      </c>
      <c r="G5965" t="str">
        <f>"Serv.Prest. 29/09/2025 a 05/10/2025 - RPS: 1331 - NFSe: 3567"</f>
        <v>Serv.Prest. 29/09/2025 a 05/10/2025 - RPS: 1331 - NFSe: 3567</v>
      </c>
      <c r="H5965" t="str">
        <f t="shared" si="2775"/>
        <v>08/10/2025</v>
      </c>
      <c r="I5965" t="str">
        <f t="shared" si="2777"/>
        <v>06/10/2025</v>
      </c>
      <c r="J5965" t="str">
        <f t="shared" si="2771"/>
        <v>09/10/2025</v>
      </c>
      <c r="M5965">
        <v>303</v>
      </c>
      <c r="N5965" t="str">
        <f t="shared" si="2772"/>
        <v>RECEITAS COM ENTREGAS</v>
      </c>
      <c r="P5965">
        <v>114.45</v>
      </c>
      <c r="Q5965" t="str">
        <f>"LBL FARMACIA LTDA (10189)"</f>
        <v>LBL FARMACIA LTDA (10189)</v>
      </c>
      <c r="R5965" t="str">
        <f t="shared" si="2773"/>
        <v>RECEITAS COM ENTREGAS (303)</v>
      </c>
      <c r="S5965">
        <v>2659</v>
      </c>
      <c r="T5965">
        <v>2242</v>
      </c>
      <c r="U5965" t="s">
        <v>19</v>
      </c>
    </row>
    <row r="5966" spans="1:21">
      <c r="A5966" t="str">
        <f t="shared" si="2767"/>
        <v>09/10/2025</v>
      </c>
      <c r="B5966" t="str">
        <f t="shared" si="2774"/>
        <v>ENTRADA</v>
      </c>
      <c r="C5966" t="str">
        <f t="shared" si="2768"/>
        <v>NFSE</v>
      </c>
      <c r="D5966" t="str">
        <f>"3568"</f>
        <v>3568</v>
      </c>
      <c r="E5966" t="str">
        <f t="shared" si="2769"/>
        <v>COM</v>
      </c>
      <c r="F5966" t="str">
        <f>"DROGARIA MEDIC CENTER LTDA (10172)"</f>
        <v>DROGARIA MEDIC CENTER LTDA (10172)</v>
      </c>
      <c r="G5966" t="str">
        <f>"Serv.Prest. 29/09/2025 a 05/10/2025 - RPS: 1332 - NFSe: 3568"</f>
        <v>Serv.Prest. 29/09/2025 a 05/10/2025 - RPS: 1332 - NFSe: 3568</v>
      </c>
      <c r="H5966" t="str">
        <f t="shared" si="2775"/>
        <v>08/10/2025</v>
      </c>
      <c r="I5966" t="str">
        <f t="shared" si="2777"/>
        <v>06/10/2025</v>
      </c>
      <c r="J5966" t="str">
        <f t="shared" si="2771"/>
        <v>09/10/2025</v>
      </c>
      <c r="K5966">
        <v>143.1</v>
      </c>
      <c r="L5966">
        <v>143.1</v>
      </c>
      <c r="M5966">
        <v>303</v>
      </c>
      <c r="N5966" t="str">
        <f t="shared" si="2772"/>
        <v>RECEITAS COM ENTREGAS</v>
      </c>
      <c r="O5966">
        <v>143.1</v>
      </c>
      <c r="R5966" t="str">
        <f t="shared" si="2773"/>
        <v>RECEITAS COM ENTREGAS (303)</v>
      </c>
      <c r="S5966">
        <v>2660</v>
      </c>
      <c r="T5966">
        <v>2243</v>
      </c>
      <c r="U5966" t="s">
        <v>19</v>
      </c>
    </row>
    <row r="5967" spans="1:21">
      <c r="A5967" t="str">
        <f t="shared" si="2767"/>
        <v>09/10/2025</v>
      </c>
      <c r="B5967" t="str">
        <f t="shared" si="2774"/>
        <v>ENTRADA</v>
      </c>
      <c r="C5967" t="str">
        <f t="shared" si="2768"/>
        <v>NFSE</v>
      </c>
      <c r="D5967" t="str">
        <f>"3568"</f>
        <v>3568</v>
      </c>
      <c r="E5967" t="str">
        <f t="shared" si="2769"/>
        <v>COM</v>
      </c>
      <c r="F5967" t="str">
        <f>"DROGARIA MEDIC CENTER LTDA (10172)"</f>
        <v>DROGARIA MEDIC CENTER LTDA (10172)</v>
      </c>
      <c r="G5967" t="str">
        <f>"Serv.Prest. 29/09/2025 a 05/10/2025 - RPS: 1332 - NFSe: 3568"</f>
        <v>Serv.Prest. 29/09/2025 a 05/10/2025 - RPS: 1332 - NFSe: 3568</v>
      </c>
      <c r="H5967" t="str">
        <f t="shared" si="2775"/>
        <v>08/10/2025</v>
      </c>
      <c r="I5967" t="str">
        <f t="shared" si="2777"/>
        <v>06/10/2025</v>
      </c>
      <c r="J5967" t="str">
        <f t="shared" si="2771"/>
        <v>09/10/2025</v>
      </c>
      <c r="M5967">
        <v>303</v>
      </c>
      <c r="N5967" t="str">
        <f t="shared" si="2772"/>
        <v>RECEITAS COM ENTREGAS</v>
      </c>
      <c r="P5967">
        <v>143.1</v>
      </c>
      <c r="Q5967" t="str">
        <f>"DROGARIA MEDIC CENTER LTDA (10172)"</f>
        <v>DROGARIA MEDIC CENTER LTDA (10172)</v>
      </c>
      <c r="R5967" t="str">
        <f t="shared" si="2773"/>
        <v>RECEITAS COM ENTREGAS (303)</v>
      </c>
      <c r="S5967">
        <v>2660</v>
      </c>
      <c r="T5967">
        <v>2243</v>
      </c>
      <c r="U5967" t="s">
        <v>19</v>
      </c>
    </row>
    <row r="5968" spans="1:21">
      <c r="A5968" t="str">
        <f t="shared" si="2767"/>
        <v>09/10/2025</v>
      </c>
      <c r="B5968" t="str">
        <f t="shared" si="2774"/>
        <v>ENTRADA</v>
      </c>
      <c r="C5968" t="str">
        <f t="shared" si="2768"/>
        <v>NFSE</v>
      </c>
      <c r="D5968" t="str">
        <f>"3574"</f>
        <v>3574</v>
      </c>
      <c r="E5968" t="str">
        <f t="shared" si="2769"/>
        <v>COM</v>
      </c>
      <c r="F5968" t="str">
        <f>"JAL FARMACIA E DROGARIA LJ 1 (10137)"</f>
        <v>JAL FARMACIA E DROGARIA LJ 1 (10137)</v>
      </c>
      <c r="G5968" t="str">
        <f>"Serv.Prest. 29/09/2025 a 05/10/2025 - RPS: 1338 - NFSe: 3574"</f>
        <v>Serv.Prest. 29/09/2025 a 05/10/2025 - RPS: 1338 - NFSe: 3574</v>
      </c>
      <c r="H5968" t="str">
        <f t="shared" si="2775"/>
        <v>08/10/2025</v>
      </c>
      <c r="I5968" t="str">
        <f t="shared" si="2777"/>
        <v>06/10/2025</v>
      </c>
      <c r="J5968" t="str">
        <f t="shared" si="2771"/>
        <v>09/10/2025</v>
      </c>
      <c r="K5968">
        <v>467.2</v>
      </c>
      <c r="L5968">
        <v>467.2</v>
      </c>
      <c r="M5968">
        <v>303</v>
      </c>
      <c r="N5968" t="str">
        <f t="shared" si="2772"/>
        <v>RECEITAS COM ENTREGAS</v>
      </c>
      <c r="O5968">
        <v>467.2</v>
      </c>
      <c r="R5968" t="str">
        <f t="shared" si="2773"/>
        <v>RECEITAS COM ENTREGAS (303)</v>
      </c>
      <c r="S5968">
        <v>2661</v>
      </c>
      <c r="T5968">
        <v>2249</v>
      </c>
      <c r="U5968" t="s">
        <v>19</v>
      </c>
    </row>
    <row r="5969" spans="1:21">
      <c r="A5969" t="str">
        <f t="shared" si="2767"/>
        <v>09/10/2025</v>
      </c>
      <c r="B5969" t="str">
        <f t="shared" si="2774"/>
        <v>ENTRADA</v>
      </c>
      <c r="C5969" t="str">
        <f t="shared" si="2768"/>
        <v>NFSE</v>
      </c>
      <c r="D5969" t="str">
        <f>"3574"</f>
        <v>3574</v>
      </c>
      <c r="E5969" t="str">
        <f t="shared" si="2769"/>
        <v>COM</v>
      </c>
      <c r="F5969" t="str">
        <f>"JAL FARMACIA E DROGARIA LJ 1 (10137)"</f>
        <v>JAL FARMACIA E DROGARIA LJ 1 (10137)</v>
      </c>
      <c r="G5969" t="str">
        <f>"Serv.Prest. 29/09/2025 a 05/10/2025 - RPS: 1338 - NFSe: 3574"</f>
        <v>Serv.Prest. 29/09/2025 a 05/10/2025 - RPS: 1338 - NFSe: 3574</v>
      </c>
      <c r="H5969" t="str">
        <f t="shared" si="2775"/>
        <v>08/10/2025</v>
      </c>
      <c r="I5969" t="str">
        <f t="shared" si="2777"/>
        <v>06/10/2025</v>
      </c>
      <c r="J5969" t="str">
        <f t="shared" si="2771"/>
        <v>09/10/2025</v>
      </c>
      <c r="M5969">
        <v>303</v>
      </c>
      <c r="N5969" t="str">
        <f t="shared" si="2772"/>
        <v>RECEITAS COM ENTREGAS</v>
      </c>
      <c r="P5969">
        <v>467.2</v>
      </c>
      <c r="Q5969" t="str">
        <f>"JAL FARMACIA E DROGARIA LJ 1 (10137)"</f>
        <v>JAL FARMACIA E DROGARIA LJ 1 (10137)</v>
      </c>
      <c r="R5969" t="str">
        <f t="shared" si="2773"/>
        <v>RECEITAS COM ENTREGAS (303)</v>
      </c>
      <c r="S5969">
        <v>2661</v>
      </c>
      <c r="T5969">
        <v>2249</v>
      </c>
      <c r="U5969" t="s">
        <v>19</v>
      </c>
    </row>
    <row r="5970" spans="1:21">
      <c r="A5970" t="str">
        <f t="shared" si="2767"/>
        <v>09/10/2025</v>
      </c>
      <c r="B5970" t="str">
        <f t="shared" si="2774"/>
        <v>ENTRADA</v>
      </c>
      <c r="C5970" t="str">
        <f t="shared" si="2768"/>
        <v>NFSE</v>
      </c>
      <c r="D5970" t="str">
        <f>"3584"</f>
        <v>3584</v>
      </c>
      <c r="E5970" t="str">
        <f t="shared" si="2769"/>
        <v>COM</v>
      </c>
      <c r="F5970" t="str">
        <f>"FARMACIA ECONOMIZE (10103)"</f>
        <v>FARMACIA ECONOMIZE (10103)</v>
      </c>
      <c r="G5970" t="str">
        <f>"Serv.Prest. 29/09/2025 a 05/10/2025 - RPS: 1348 - NFSe: 3584"</f>
        <v>Serv.Prest. 29/09/2025 a 05/10/2025 - RPS: 1348 - NFSe: 3584</v>
      </c>
      <c r="H5970" t="str">
        <f t="shared" si="2775"/>
        <v>08/10/2025</v>
      </c>
      <c r="I5970" t="str">
        <f>("08/10/2025")</f>
        <v>08/10/2025</v>
      </c>
      <c r="J5970" t="str">
        <f t="shared" si="2771"/>
        <v>09/10/2025</v>
      </c>
      <c r="K5970">
        <v>24.96</v>
      </c>
      <c r="L5970">
        <v>24.96</v>
      </c>
      <c r="M5970">
        <v>303</v>
      </c>
      <c r="N5970" t="str">
        <f t="shared" si="2772"/>
        <v>RECEITAS COM ENTREGAS</v>
      </c>
      <c r="O5970">
        <v>24.96</v>
      </c>
      <c r="R5970" t="str">
        <f t="shared" si="2773"/>
        <v>RECEITAS COM ENTREGAS (303)</v>
      </c>
      <c r="S5970">
        <v>2662</v>
      </c>
      <c r="T5970">
        <v>2259</v>
      </c>
      <c r="U5970" t="s">
        <v>19</v>
      </c>
    </row>
    <row r="5971" spans="1:21">
      <c r="A5971" t="str">
        <f t="shared" si="2767"/>
        <v>09/10/2025</v>
      </c>
      <c r="B5971" t="str">
        <f t="shared" si="2774"/>
        <v>ENTRADA</v>
      </c>
      <c r="C5971" t="str">
        <f t="shared" si="2768"/>
        <v>NFSE</v>
      </c>
      <c r="D5971" t="str">
        <f>"3584"</f>
        <v>3584</v>
      </c>
      <c r="E5971" t="str">
        <f t="shared" si="2769"/>
        <v>COM</v>
      </c>
      <c r="F5971" t="str">
        <f>"FARMACIA ECONOMIZE (10103)"</f>
        <v>FARMACIA ECONOMIZE (10103)</v>
      </c>
      <c r="G5971" t="str">
        <f>"Serv.Prest. 29/09/2025 a 05/10/2025 - RPS: 1348 - NFSe: 3584"</f>
        <v>Serv.Prest. 29/09/2025 a 05/10/2025 - RPS: 1348 - NFSe: 3584</v>
      </c>
      <c r="H5971" t="str">
        <f t="shared" si="2775"/>
        <v>08/10/2025</v>
      </c>
      <c r="I5971" t="str">
        <f>("08/10/2025")</f>
        <v>08/10/2025</v>
      </c>
      <c r="J5971" t="str">
        <f t="shared" si="2771"/>
        <v>09/10/2025</v>
      </c>
      <c r="M5971">
        <v>303</v>
      </c>
      <c r="N5971" t="str">
        <f t="shared" si="2772"/>
        <v>RECEITAS COM ENTREGAS</v>
      </c>
      <c r="P5971">
        <v>24.96</v>
      </c>
      <c r="Q5971" t="str">
        <f>"FARMACIA ECONOMIZE (10103)"</f>
        <v>FARMACIA ECONOMIZE (10103)</v>
      </c>
      <c r="R5971" t="str">
        <f t="shared" si="2773"/>
        <v>RECEITAS COM ENTREGAS (303)</v>
      </c>
      <c r="S5971">
        <v>2662</v>
      </c>
      <c r="T5971">
        <v>2259</v>
      </c>
      <c r="U5971" t="s">
        <v>19</v>
      </c>
    </row>
    <row r="5972" spans="1:21">
      <c r="A5972" t="str">
        <f t="shared" si="2767"/>
        <v>09/10/2025</v>
      </c>
      <c r="B5972" t="str">
        <f>"SAÍDA"</f>
        <v>SAÍDA</v>
      </c>
      <c r="C5972" t="str">
        <f>"BOLETO"</f>
        <v>BOLETO</v>
      </c>
      <c r="D5972" t="str">
        <f>"0901"</f>
        <v>0901</v>
      </c>
      <c r="E5972" t="str">
        <f t="shared" si="2769"/>
        <v>COM</v>
      </c>
      <c r="F5972" t="str">
        <f>"CORA SOCIEDADE DE CREDITO, FINANCIAMENTO E INVESTIMENTO (20035)"</f>
        <v>CORA SOCIEDADE DE CREDITO, FINANCIAMENTO E INVESTIMENTO (20035)</v>
      </c>
      <c r="G5972" t="str">
        <f>"DESPESAS COM TARIFAS BANCARIAS"</f>
        <v>DESPESAS COM TARIFAS BANCARIAS</v>
      </c>
      <c r="H5972" t="str">
        <f>("09/10/2025")</f>
        <v>09/10/2025</v>
      </c>
      <c r="I5972" t="str">
        <f>("01/01/2025")</f>
        <v>01/01/2025</v>
      </c>
      <c r="J5972" t="str">
        <f t="shared" si="2771"/>
        <v>09/10/2025</v>
      </c>
      <c r="K5972">
        <v>44.9</v>
      </c>
      <c r="L5972">
        <v>44.9</v>
      </c>
      <c r="M5972">
        <v>401</v>
      </c>
      <c r="N5972" t="str">
        <f>"IOF/JUROS/DESP.FINANCEIRA"</f>
        <v>IOF/JUROS/DESP.FINANCEIRA</v>
      </c>
      <c r="O5972">
        <v>44.9</v>
      </c>
      <c r="R5972" t="str">
        <f>"BANCO CORA (102)"</f>
        <v>BANCO CORA (102)</v>
      </c>
      <c r="S5972">
        <v>2663</v>
      </c>
      <c r="T5972">
        <v>752</v>
      </c>
      <c r="U5972" t="s">
        <v>19</v>
      </c>
    </row>
    <row r="5973" spans="1:21">
      <c r="A5973" t="str">
        <f t="shared" si="2767"/>
        <v>09/10/2025</v>
      </c>
      <c r="B5973" t="str">
        <f>"SAÍDA"</f>
        <v>SAÍDA</v>
      </c>
      <c r="C5973" t="str">
        <f>"BOLETO"</f>
        <v>BOLETO</v>
      </c>
      <c r="D5973" t="str">
        <f>"0901"</f>
        <v>0901</v>
      </c>
      <c r="E5973" t="str">
        <f t="shared" si="2769"/>
        <v>COM</v>
      </c>
      <c r="F5973" t="str">
        <f>"CORA SOCIEDADE DE CREDITO, FINANCIAMENTO E INVESTIMENTO (20035)"</f>
        <v>CORA SOCIEDADE DE CREDITO, FINANCIAMENTO E INVESTIMENTO (20035)</v>
      </c>
      <c r="G5973" t="str">
        <f>"DESPESAS COM TARIFAS BANCARIAS"</f>
        <v>DESPESAS COM TARIFAS BANCARIAS</v>
      </c>
      <c r="H5973" t="str">
        <f>("09/10/2025")</f>
        <v>09/10/2025</v>
      </c>
      <c r="I5973" t="str">
        <f>("01/01/2025")</f>
        <v>01/01/2025</v>
      </c>
      <c r="J5973" t="str">
        <f t="shared" si="2771"/>
        <v>09/10/2025</v>
      </c>
      <c r="M5973">
        <v>401</v>
      </c>
      <c r="N5973" t="str">
        <f>"IOF/JUROS/DESP.FINANCEIRA"</f>
        <v>IOF/JUROS/DESP.FINANCEIRA</v>
      </c>
      <c r="P5973">
        <v>44.9</v>
      </c>
      <c r="Q5973" t="str">
        <f>"CORA SOCIEDADE DE CREDITO, FINANCIAMENTO E INVESTIMENTO (20035)"</f>
        <v>CORA SOCIEDADE DE CREDITO, FINANCIAMENTO E INVESTIMENTO (20035)</v>
      </c>
      <c r="R5973" t="str">
        <f>"BANCO CORA (102)"</f>
        <v>BANCO CORA (102)</v>
      </c>
      <c r="S5973">
        <v>2663</v>
      </c>
      <c r="T5973">
        <v>752</v>
      </c>
      <c r="U5973" t="s">
        <v>19</v>
      </c>
    </row>
    <row r="5974" spans="1:21">
      <c r="A5974" t="str">
        <f t="shared" si="2767"/>
        <v>09/10/2025</v>
      </c>
      <c r="B5974" t="str">
        <f>"SAÍDA"</f>
        <v>SAÍDA</v>
      </c>
      <c r="C5974" t="str">
        <f>"JUROS"</f>
        <v>JUROS</v>
      </c>
      <c r="D5974" t="str">
        <f>""</f>
        <v/>
      </c>
      <c r="E5974" t="str">
        <f>"CXA"</f>
        <v>CXA</v>
      </c>
      <c r="F5974" t="str">
        <f>""</f>
        <v/>
      </c>
      <c r="G5974" t="str">
        <f>"TARIFA"</f>
        <v>TARIFA</v>
      </c>
      <c r="H5974" t="str">
        <f>("09/10/2025")</f>
        <v>09/10/2025</v>
      </c>
      <c r="I5974" t="str">
        <f>("09/10/2025")</f>
        <v>09/10/2025</v>
      </c>
      <c r="J5974" t="str">
        <f t="shared" si="2771"/>
        <v>09/10/2025</v>
      </c>
      <c r="K5974">
        <v>26</v>
      </c>
      <c r="L5974">
        <v>26</v>
      </c>
      <c r="M5974">
        <v>401</v>
      </c>
      <c r="N5974" t="str">
        <f>"IOF/JUROS/DESP.FINANCEIRA"</f>
        <v>IOF/JUROS/DESP.FINANCEIRA</v>
      </c>
      <c r="O5974">
        <v>26</v>
      </c>
      <c r="R5974" t="str">
        <f>"BANCO CORA (102)"</f>
        <v>BANCO CORA (102)</v>
      </c>
      <c r="S5974">
        <v>2664</v>
      </c>
      <c r="T5974">
        <v>0</v>
      </c>
      <c r="U5974" t="s">
        <v>20</v>
      </c>
    </row>
    <row r="5975" spans="1:21">
      <c r="A5975" t="str">
        <f t="shared" si="2767"/>
        <v>09/10/2025</v>
      </c>
      <c r="B5975" t="str">
        <f>"ENTRADA"</f>
        <v>ENTRADA</v>
      </c>
      <c r="C5975" t="str">
        <f t="shared" ref="C5975:C5984" si="2778">"NFSE"</f>
        <v>NFSE</v>
      </c>
      <c r="D5975" t="str">
        <f>"3560"</f>
        <v>3560</v>
      </c>
      <c r="E5975" t="str">
        <f t="shared" ref="E5975:E6009" si="2779">"COM"</f>
        <v>COM</v>
      </c>
      <c r="F5975" t="str">
        <f>"DROGARIA VAZ (10179)"</f>
        <v>DROGARIA VAZ (10179)</v>
      </c>
      <c r="G5975" t="str">
        <f>"Serv.Prest. 29/09/2025 a 05/10/2025 - RPS: 1324 - NFSe: 3560"</f>
        <v>Serv.Prest. 29/09/2025 a 05/10/2025 - RPS: 1324 - NFSe: 3560</v>
      </c>
      <c r="H5975" t="str">
        <f>("08/10/2025")</f>
        <v>08/10/2025</v>
      </c>
      <c r="I5975" t="str">
        <f>("06/10/2025")</f>
        <v>06/10/2025</v>
      </c>
      <c r="J5975" t="str">
        <f t="shared" si="2771"/>
        <v>09/10/2025</v>
      </c>
      <c r="K5975">
        <v>244.38</v>
      </c>
      <c r="L5975">
        <v>249.34</v>
      </c>
      <c r="M5975">
        <v>303</v>
      </c>
      <c r="N5975" t="str">
        <f t="shared" ref="N5975:N5984" si="2780">"RECEITAS COM ENTREGAS"</f>
        <v>RECEITAS COM ENTREGAS</v>
      </c>
      <c r="O5975">
        <v>249.34</v>
      </c>
      <c r="R5975" t="str">
        <f t="shared" ref="R5975:R5984" si="2781">"RECEITAS COM ENTREGAS (303)"</f>
        <v>RECEITAS COM ENTREGAS (303)</v>
      </c>
      <c r="S5975">
        <v>2920</v>
      </c>
      <c r="T5975">
        <v>2235</v>
      </c>
      <c r="U5975" t="s">
        <v>19</v>
      </c>
    </row>
    <row r="5976" spans="1:21">
      <c r="A5976" t="str">
        <f t="shared" si="2767"/>
        <v>09/10/2025</v>
      </c>
      <c r="B5976" t="str">
        <f t="shared" ref="B5976:B5984" si="2782">"ENTRADA"</f>
        <v>ENTRADA</v>
      </c>
      <c r="C5976" t="str">
        <f t="shared" si="2778"/>
        <v>NFSE</v>
      </c>
      <c r="D5976" t="str">
        <f>"3560"</f>
        <v>3560</v>
      </c>
      <c r="E5976" t="str">
        <f t="shared" si="2779"/>
        <v>COM</v>
      </c>
      <c r="F5976" t="str">
        <f>"DROGARIA VAZ (10179)"</f>
        <v>DROGARIA VAZ (10179)</v>
      </c>
      <c r="G5976" t="str">
        <f>"Serv.Prest. 29/09/2025 a 05/10/2025 - RPS: 1324 - NFSe: 3560"</f>
        <v>Serv.Prest. 29/09/2025 a 05/10/2025 - RPS: 1324 - NFSe: 3560</v>
      </c>
      <c r="H5976" t="str">
        <f>("08/10/2025")</f>
        <v>08/10/2025</v>
      </c>
      <c r="I5976" t="str">
        <f>("06/10/2025")</f>
        <v>06/10/2025</v>
      </c>
      <c r="J5976" t="str">
        <f t="shared" si="2771"/>
        <v>09/10/2025</v>
      </c>
      <c r="M5976">
        <v>303</v>
      </c>
      <c r="N5976" t="str">
        <f t="shared" si="2780"/>
        <v>RECEITAS COM ENTREGAS</v>
      </c>
      <c r="P5976">
        <v>249.34</v>
      </c>
      <c r="Q5976" t="str">
        <f>"DROGARIA VAZ (10179)"</f>
        <v>DROGARIA VAZ (10179)</v>
      </c>
      <c r="R5976" t="str">
        <f t="shared" si="2781"/>
        <v>RECEITAS COM ENTREGAS (303)</v>
      </c>
      <c r="S5976">
        <v>2920</v>
      </c>
      <c r="T5976">
        <v>2235</v>
      </c>
      <c r="U5976" t="s">
        <v>19</v>
      </c>
    </row>
    <row r="5977" spans="1:21">
      <c r="A5977" t="str">
        <f t="shared" si="2767"/>
        <v>09/10/2025</v>
      </c>
      <c r="B5977" t="str">
        <f t="shared" si="2782"/>
        <v>ENTRADA</v>
      </c>
      <c r="C5977" t="str">
        <f t="shared" si="2778"/>
        <v>NFSE</v>
      </c>
      <c r="D5977" t="str">
        <f>"3497"</f>
        <v>3497</v>
      </c>
      <c r="E5977" t="str">
        <f t="shared" si="2779"/>
        <v>COM</v>
      </c>
      <c r="F5977" t="str">
        <f>"PAGMENOS - LJ 608 (10135)"</f>
        <v>PAGMENOS - LJ 608 (10135)</v>
      </c>
      <c r="G5977" t="str">
        <f>"Serv.Prest. 15/09/2025 a 21/09/2025 - RPS: 1262 - NFSe: 3497"</f>
        <v>Serv.Prest. 15/09/2025 a 21/09/2025 - RPS: 1262 - NFSe: 3497</v>
      </c>
      <c r="H5977" t="str">
        <f>("02/10/2025")</f>
        <v>02/10/2025</v>
      </c>
      <c r="I5977" t="str">
        <f>("22/09/2025")</f>
        <v>22/09/2025</v>
      </c>
      <c r="J5977" t="str">
        <f t="shared" si="2771"/>
        <v>09/10/2025</v>
      </c>
      <c r="K5977">
        <v>280.20999999999998</v>
      </c>
      <c r="L5977">
        <v>280.20999999999998</v>
      </c>
      <c r="M5977">
        <v>303</v>
      </c>
      <c r="N5977" t="str">
        <f t="shared" si="2780"/>
        <v>RECEITAS COM ENTREGAS</v>
      </c>
      <c r="O5977">
        <v>280.20999999999998</v>
      </c>
      <c r="R5977" t="str">
        <f t="shared" si="2781"/>
        <v>RECEITAS COM ENTREGAS (303)</v>
      </c>
      <c r="S5977">
        <v>2922</v>
      </c>
      <c r="T5977">
        <v>2145</v>
      </c>
      <c r="U5977" t="s">
        <v>19</v>
      </c>
    </row>
    <row r="5978" spans="1:21">
      <c r="A5978" t="str">
        <f t="shared" si="2767"/>
        <v>09/10/2025</v>
      </c>
      <c r="B5978" t="str">
        <f t="shared" si="2782"/>
        <v>ENTRADA</v>
      </c>
      <c r="C5978" t="str">
        <f t="shared" si="2778"/>
        <v>NFSE</v>
      </c>
      <c r="D5978" t="str">
        <f>"3497"</f>
        <v>3497</v>
      </c>
      <c r="E5978" t="str">
        <f t="shared" si="2779"/>
        <v>COM</v>
      </c>
      <c r="F5978" t="str">
        <f>"PAGMENOS - LJ 608 (10135)"</f>
        <v>PAGMENOS - LJ 608 (10135)</v>
      </c>
      <c r="G5978" t="str">
        <f>"Serv.Prest. 15/09/2025 a 21/09/2025 - RPS: 1262 - NFSe: 3497"</f>
        <v>Serv.Prest. 15/09/2025 a 21/09/2025 - RPS: 1262 - NFSe: 3497</v>
      </c>
      <c r="H5978" t="str">
        <f>("02/10/2025")</f>
        <v>02/10/2025</v>
      </c>
      <c r="I5978" t="str">
        <f>("22/09/2025")</f>
        <v>22/09/2025</v>
      </c>
      <c r="J5978" t="str">
        <f t="shared" si="2771"/>
        <v>09/10/2025</v>
      </c>
      <c r="M5978">
        <v>303</v>
      </c>
      <c r="N5978" t="str">
        <f t="shared" si="2780"/>
        <v>RECEITAS COM ENTREGAS</v>
      </c>
      <c r="P5978">
        <v>280.20999999999998</v>
      </c>
      <c r="Q5978" t="str">
        <f>"PAGMENOS - LJ 608 (10135)"</f>
        <v>PAGMENOS - LJ 608 (10135)</v>
      </c>
      <c r="R5978" t="str">
        <f t="shared" si="2781"/>
        <v>RECEITAS COM ENTREGAS (303)</v>
      </c>
      <c r="S5978">
        <v>2922</v>
      </c>
      <c r="T5978">
        <v>2145</v>
      </c>
      <c r="U5978" t="s">
        <v>19</v>
      </c>
    </row>
    <row r="5979" spans="1:21">
      <c r="A5979" t="str">
        <f t="shared" si="2767"/>
        <v>09/10/2025</v>
      </c>
      <c r="B5979" t="str">
        <f t="shared" si="2782"/>
        <v>ENTRADA</v>
      </c>
      <c r="C5979" t="str">
        <f t="shared" si="2778"/>
        <v>NFSE</v>
      </c>
      <c r="D5979" t="str">
        <f>"3498"</f>
        <v>3498</v>
      </c>
      <c r="E5979" t="str">
        <f t="shared" si="2779"/>
        <v>COM</v>
      </c>
      <c r="F5979" t="str">
        <f>"PAGMENOS - LJ 657 (10136)"</f>
        <v>PAGMENOS - LJ 657 (10136)</v>
      </c>
      <c r="G5979" t="str">
        <f>"Serv.Prest. 15/09/2025 a 21/09/2025 - RPS: 1263 - NFSe: 3498"</f>
        <v>Serv.Prest. 15/09/2025 a 21/09/2025 - RPS: 1263 - NFSe: 3498</v>
      </c>
      <c r="H5979" t="str">
        <f>("02/10/2025")</f>
        <v>02/10/2025</v>
      </c>
      <c r="I5979" t="str">
        <f>("22/09/2025")</f>
        <v>22/09/2025</v>
      </c>
      <c r="J5979" t="str">
        <f t="shared" si="2771"/>
        <v>09/10/2025</v>
      </c>
      <c r="K5979">
        <v>596.6</v>
      </c>
      <c r="L5979">
        <v>596.6</v>
      </c>
      <c r="M5979">
        <v>303</v>
      </c>
      <c r="N5979" t="str">
        <f t="shared" si="2780"/>
        <v>RECEITAS COM ENTREGAS</v>
      </c>
      <c r="O5979">
        <v>596.6</v>
      </c>
      <c r="R5979" t="str">
        <f t="shared" si="2781"/>
        <v>RECEITAS COM ENTREGAS (303)</v>
      </c>
      <c r="S5979">
        <v>2923</v>
      </c>
      <c r="T5979">
        <v>2146</v>
      </c>
      <c r="U5979" t="s">
        <v>19</v>
      </c>
    </row>
    <row r="5980" spans="1:21">
      <c r="A5980" t="str">
        <f t="shared" si="2767"/>
        <v>09/10/2025</v>
      </c>
      <c r="B5980" t="str">
        <f t="shared" si="2782"/>
        <v>ENTRADA</v>
      </c>
      <c r="C5980" t="str">
        <f t="shared" si="2778"/>
        <v>NFSE</v>
      </c>
      <c r="D5980" t="str">
        <f>"3498"</f>
        <v>3498</v>
      </c>
      <c r="E5980" t="str">
        <f t="shared" si="2779"/>
        <v>COM</v>
      </c>
      <c r="F5980" t="str">
        <f>"PAGMENOS - LJ 657 (10136)"</f>
        <v>PAGMENOS - LJ 657 (10136)</v>
      </c>
      <c r="G5980" t="str">
        <f>"Serv.Prest. 15/09/2025 a 21/09/2025 - RPS: 1263 - NFSe: 3498"</f>
        <v>Serv.Prest. 15/09/2025 a 21/09/2025 - RPS: 1263 - NFSe: 3498</v>
      </c>
      <c r="H5980" t="str">
        <f>("02/10/2025")</f>
        <v>02/10/2025</v>
      </c>
      <c r="I5980" t="str">
        <f>("22/09/2025")</f>
        <v>22/09/2025</v>
      </c>
      <c r="J5980" t="str">
        <f t="shared" si="2771"/>
        <v>09/10/2025</v>
      </c>
      <c r="M5980">
        <v>303</v>
      </c>
      <c r="N5980" t="str">
        <f t="shared" si="2780"/>
        <v>RECEITAS COM ENTREGAS</v>
      </c>
      <c r="P5980">
        <v>596.6</v>
      </c>
      <c r="Q5980" t="str">
        <f>"PAGMENOS - LJ 657 (10136)"</f>
        <v>PAGMENOS - LJ 657 (10136)</v>
      </c>
      <c r="R5980" t="str">
        <f t="shared" si="2781"/>
        <v>RECEITAS COM ENTREGAS (303)</v>
      </c>
      <c r="S5980">
        <v>2923</v>
      </c>
      <c r="T5980">
        <v>2146</v>
      </c>
      <c r="U5980" t="s">
        <v>19</v>
      </c>
    </row>
    <row r="5981" spans="1:21">
      <c r="A5981" t="str">
        <f t="shared" si="2767"/>
        <v>09/10/2025</v>
      </c>
      <c r="B5981" t="str">
        <f t="shared" si="2782"/>
        <v>ENTRADA</v>
      </c>
      <c r="C5981" t="str">
        <f t="shared" si="2778"/>
        <v>NFSE</v>
      </c>
      <c r="D5981" t="str">
        <f>"3536"</f>
        <v>3536</v>
      </c>
      <c r="E5981" t="str">
        <f t="shared" si="2779"/>
        <v>COM</v>
      </c>
      <c r="F5981" t="str">
        <f>"PAGMENOS - LJ 608 (10135)"</f>
        <v>PAGMENOS - LJ 608 (10135)</v>
      </c>
      <c r="G5981" t="str">
        <f>"Serv.Prest. 22/09/2025 a 28/09/2025 - RPS: 1301 - NFSe: 3536"</f>
        <v>Serv.Prest. 22/09/2025 a 28/09/2025 - RPS: 1301 - NFSe: 3536</v>
      </c>
      <c r="H5981" t="str">
        <f t="shared" ref="H5981:H5986" si="2783">("09/10/2025")</f>
        <v>09/10/2025</v>
      </c>
      <c r="I5981" t="str">
        <f>("29/09/2025")</f>
        <v>29/09/2025</v>
      </c>
      <c r="J5981" t="str">
        <f t="shared" si="2771"/>
        <v>09/10/2025</v>
      </c>
      <c r="K5981">
        <v>280.20999999999998</v>
      </c>
      <c r="L5981">
        <v>280.20999999999998</v>
      </c>
      <c r="M5981">
        <v>303</v>
      </c>
      <c r="N5981" t="str">
        <f t="shared" si="2780"/>
        <v>RECEITAS COM ENTREGAS</v>
      </c>
      <c r="O5981">
        <v>280.20999999999998</v>
      </c>
      <c r="R5981" t="str">
        <f t="shared" si="2781"/>
        <v>RECEITAS COM ENTREGAS (303)</v>
      </c>
      <c r="S5981">
        <v>2924</v>
      </c>
      <c r="T5981">
        <v>2194</v>
      </c>
      <c r="U5981" t="s">
        <v>19</v>
      </c>
    </row>
    <row r="5982" spans="1:21">
      <c r="A5982" t="str">
        <f t="shared" si="2767"/>
        <v>09/10/2025</v>
      </c>
      <c r="B5982" t="str">
        <f t="shared" si="2782"/>
        <v>ENTRADA</v>
      </c>
      <c r="C5982" t="str">
        <f t="shared" si="2778"/>
        <v>NFSE</v>
      </c>
      <c r="D5982" t="str">
        <f>"3536"</f>
        <v>3536</v>
      </c>
      <c r="E5982" t="str">
        <f t="shared" si="2779"/>
        <v>COM</v>
      </c>
      <c r="F5982" t="str">
        <f>"PAGMENOS - LJ 608 (10135)"</f>
        <v>PAGMENOS - LJ 608 (10135)</v>
      </c>
      <c r="G5982" t="str">
        <f>"Serv.Prest. 22/09/2025 a 28/09/2025 - RPS: 1301 - NFSe: 3536"</f>
        <v>Serv.Prest. 22/09/2025 a 28/09/2025 - RPS: 1301 - NFSe: 3536</v>
      </c>
      <c r="H5982" t="str">
        <f t="shared" si="2783"/>
        <v>09/10/2025</v>
      </c>
      <c r="I5982" t="str">
        <f>("29/09/2025")</f>
        <v>29/09/2025</v>
      </c>
      <c r="J5982" t="str">
        <f t="shared" si="2771"/>
        <v>09/10/2025</v>
      </c>
      <c r="M5982">
        <v>303</v>
      </c>
      <c r="N5982" t="str">
        <f t="shared" si="2780"/>
        <v>RECEITAS COM ENTREGAS</v>
      </c>
      <c r="P5982">
        <v>280.20999999999998</v>
      </c>
      <c r="Q5982" t="str">
        <f>"PAGMENOS - LJ 608 (10135)"</f>
        <v>PAGMENOS - LJ 608 (10135)</v>
      </c>
      <c r="R5982" t="str">
        <f t="shared" si="2781"/>
        <v>RECEITAS COM ENTREGAS (303)</v>
      </c>
      <c r="S5982">
        <v>2924</v>
      </c>
      <c r="T5982">
        <v>2194</v>
      </c>
      <c r="U5982" t="s">
        <v>19</v>
      </c>
    </row>
    <row r="5983" spans="1:21">
      <c r="A5983" t="str">
        <f t="shared" si="2767"/>
        <v>09/10/2025</v>
      </c>
      <c r="B5983" t="str">
        <f t="shared" si="2782"/>
        <v>ENTRADA</v>
      </c>
      <c r="C5983" t="str">
        <f t="shared" si="2778"/>
        <v>NFSE</v>
      </c>
      <c r="D5983" t="str">
        <f>"3537"</f>
        <v>3537</v>
      </c>
      <c r="E5983" t="str">
        <f t="shared" si="2779"/>
        <v>COM</v>
      </c>
      <c r="F5983" t="str">
        <f>"PAGMENOS - LJ 657 (10136)"</f>
        <v>PAGMENOS - LJ 657 (10136)</v>
      </c>
      <c r="G5983" t="str">
        <f>"Serv.Prest. 22/09/2025 a 28/09/2025 - RPS: 1302 - NFSe: 3537"</f>
        <v>Serv.Prest. 22/09/2025 a 28/09/2025 - RPS: 1302 - NFSe: 3537</v>
      </c>
      <c r="H5983" t="str">
        <f t="shared" si="2783"/>
        <v>09/10/2025</v>
      </c>
      <c r="I5983" t="str">
        <f>("29/09/2025")</f>
        <v>29/09/2025</v>
      </c>
      <c r="J5983" t="str">
        <f t="shared" si="2771"/>
        <v>09/10/2025</v>
      </c>
      <c r="K5983">
        <v>596.6</v>
      </c>
      <c r="L5983">
        <v>596.6</v>
      </c>
      <c r="M5983">
        <v>303</v>
      </c>
      <c r="N5983" t="str">
        <f t="shared" si="2780"/>
        <v>RECEITAS COM ENTREGAS</v>
      </c>
      <c r="O5983">
        <v>596.6</v>
      </c>
      <c r="R5983" t="str">
        <f t="shared" si="2781"/>
        <v>RECEITAS COM ENTREGAS (303)</v>
      </c>
      <c r="S5983">
        <v>2925</v>
      </c>
      <c r="T5983">
        <v>2195</v>
      </c>
      <c r="U5983" t="s">
        <v>19</v>
      </c>
    </row>
    <row r="5984" spans="1:21">
      <c r="A5984" t="str">
        <f t="shared" si="2767"/>
        <v>09/10/2025</v>
      </c>
      <c r="B5984" t="str">
        <f t="shared" si="2782"/>
        <v>ENTRADA</v>
      </c>
      <c r="C5984" t="str">
        <f t="shared" si="2778"/>
        <v>NFSE</v>
      </c>
      <c r="D5984" t="str">
        <f>"3537"</f>
        <v>3537</v>
      </c>
      <c r="E5984" t="str">
        <f t="shared" si="2779"/>
        <v>COM</v>
      </c>
      <c r="F5984" t="str">
        <f>"PAGMENOS - LJ 657 (10136)"</f>
        <v>PAGMENOS - LJ 657 (10136)</v>
      </c>
      <c r="G5984" t="str">
        <f>"Serv.Prest. 22/09/2025 a 28/09/2025 - RPS: 1302 - NFSe: 3537"</f>
        <v>Serv.Prest. 22/09/2025 a 28/09/2025 - RPS: 1302 - NFSe: 3537</v>
      </c>
      <c r="H5984" t="str">
        <f t="shared" si="2783"/>
        <v>09/10/2025</v>
      </c>
      <c r="I5984" t="str">
        <f>("29/09/2025")</f>
        <v>29/09/2025</v>
      </c>
      <c r="J5984" t="str">
        <f t="shared" si="2771"/>
        <v>09/10/2025</v>
      </c>
      <c r="M5984">
        <v>303</v>
      </c>
      <c r="N5984" t="str">
        <f t="shared" si="2780"/>
        <v>RECEITAS COM ENTREGAS</v>
      </c>
      <c r="P5984">
        <v>596.6</v>
      </c>
      <c r="Q5984" t="str">
        <f>"PAGMENOS - LJ 657 (10136)"</f>
        <v>PAGMENOS - LJ 657 (10136)</v>
      </c>
      <c r="R5984" t="str">
        <f t="shared" si="2781"/>
        <v>RECEITAS COM ENTREGAS (303)</v>
      </c>
      <c r="S5984">
        <v>2925</v>
      </c>
      <c r="T5984">
        <v>2195</v>
      </c>
      <c r="U5984" t="s">
        <v>19</v>
      </c>
    </row>
    <row r="5985" spans="1:21">
      <c r="A5985" t="str">
        <f t="shared" si="2767"/>
        <v>09/10/2025</v>
      </c>
      <c r="B5985" t="str">
        <f>"SAÍDA"</f>
        <v>SAÍDA</v>
      </c>
      <c r="C5985" t="str">
        <f>"PIX"</f>
        <v>PIX</v>
      </c>
      <c r="D5985" t="str">
        <f>"1509251000"</f>
        <v>1509251000</v>
      </c>
      <c r="E5985" t="str">
        <f t="shared" si="2779"/>
        <v>COM</v>
      </c>
      <c r="F5985" t="str">
        <f>"CONTA SIMPLES SOLUCOES DE PAGAMENTOS LTDA (20019)"</f>
        <v>CONTA SIMPLES SOLUCOES DE PAGAMENTOS LTDA (20019)</v>
      </c>
      <c r="G5985" t="str">
        <f>"MARKETING REDES SOCIAIS - PIX- CHAVE ALEATORIA: 1d5b84cc-db31-469d-b8ee-076ced54c3e9"</f>
        <v>MARKETING REDES SOCIAIS - PIX- CHAVE ALEATORIA: 1d5b84cc-db31-469d-b8ee-076ced54c3e9</v>
      </c>
      <c r="H5985" t="str">
        <f t="shared" si="2783"/>
        <v>09/10/2025</v>
      </c>
      <c r="I5985" t="str">
        <f>("22/09/2025")</f>
        <v>22/09/2025</v>
      </c>
      <c r="J5985" t="str">
        <f t="shared" si="2771"/>
        <v>09/10/2025</v>
      </c>
      <c r="K5985">
        <v>1500</v>
      </c>
      <c r="L5985">
        <v>1500</v>
      </c>
      <c r="M5985">
        <v>127</v>
      </c>
      <c r="N5985" t="str">
        <f>"PUBLICIDADE E PROPAGANDAS"</f>
        <v>PUBLICIDADE E PROPAGANDAS</v>
      </c>
      <c r="O5985">
        <v>1500</v>
      </c>
      <c r="R5985" t="str">
        <f>"BANCO CORA (102)"</f>
        <v>BANCO CORA (102)</v>
      </c>
      <c r="S5985">
        <v>3160</v>
      </c>
      <c r="T5985">
        <v>2747</v>
      </c>
      <c r="U5985" t="s">
        <v>19</v>
      </c>
    </row>
    <row r="5986" spans="1:21">
      <c r="A5986" t="str">
        <f t="shared" si="2767"/>
        <v>09/10/2025</v>
      </c>
      <c r="B5986" t="str">
        <f>"SAÍDA"</f>
        <v>SAÍDA</v>
      </c>
      <c r="C5986" t="str">
        <f>"PIX"</f>
        <v>PIX</v>
      </c>
      <c r="D5986" t="str">
        <f>"1509251000"</f>
        <v>1509251000</v>
      </c>
      <c r="E5986" t="str">
        <f t="shared" si="2779"/>
        <v>COM</v>
      </c>
      <c r="F5986" t="str">
        <f>"CONTA SIMPLES SOLUCOES DE PAGAMENTOS LTDA (20019)"</f>
        <v>CONTA SIMPLES SOLUCOES DE PAGAMENTOS LTDA (20019)</v>
      </c>
      <c r="G5986" t="str">
        <f>"MARKETING REDES SOCIAIS - PIX- CHAVE ALEATORIA: 1d5b84cc-db31-469d-b8ee-076ced54c3e9"</f>
        <v>MARKETING REDES SOCIAIS - PIX- CHAVE ALEATORIA: 1d5b84cc-db31-469d-b8ee-076ced54c3e9</v>
      </c>
      <c r="H5986" t="str">
        <f t="shared" si="2783"/>
        <v>09/10/2025</v>
      </c>
      <c r="I5986" t="str">
        <f>("22/09/2025")</f>
        <v>22/09/2025</v>
      </c>
      <c r="J5986" t="str">
        <f t="shared" si="2771"/>
        <v>09/10/2025</v>
      </c>
      <c r="M5986">
        <v>127</v>
      </c>
      <c r="N5986" t="str">
        <f>"PUBLICIDADE E PROPAGANDAS"</f>
        <v>PUBLICIDADE E PROPAGANDAS</v>
      </c>
      <c r="P5986">
        <v>1500</v>
      </c>
      <c r="Q5986" t="str">
        <f>"CONTA SIMPLES SOLUCOES DE PAGAMENTOS LTDA (20019)"</f>
        <v>CONTA SIMPLES SOLUCOES DE PAGAMENTOS LTDA (20019)</v>
      </c>
      <c r="R5986" t="str">
        <f>"BANCO CORA (102)"</f>
        <v>BANCO CORA (102)</v>
      </c>
      <c r="S5986">
        <v>3160</v>
      </c>
      <c r="T5986">
        <v>2747</v>
      </c>
      <c r="U5986" t="s">
        <v>19</v>
      </c>
    </row>
    <row r="5987" spans="1:21">
      <c r="A5987" t="str">
        <f t="shared" ref="A5987:A6014" si="2784">("10/10/2025")</f>
        <v>10/10/2025</v>
      </c>
      <c r="B5987" t="str">
        <f>"ENTRADA"</f>
        <v>ENTRADA</v>
      </c>
      <c r="C5987" t="str">
        <f t="shared" ref="C5987:C6007" si="2785">"NFSE"</f>
        <v>NFSE</v>
      </c>
      <c r="D5987" t="str">
        <f>"3578"</f>
        <v>3578</v>
      </c>
      <c r="E5987" t="str">
        <f t="shared" si="2779"/>
        <v>COM</v>
      </c>
      <c r="F5987" t="str">
        <f>"PENSE FARMA 27 (10204)"</f>
        <v>PENSE FARMA 27 (10204)</v>
      </c>
      <c r="G5987" t="str">
        <f>"Serv.Prest. 29/09/2025 a 05/10/2025 - RPS: 1342 - NFSe: 3578"</f>
        <v>Serv.Prest. 29/09/2025 a 05/10/2025 - RPS: 1342 - NFSe: 3578</v>
      </c>
      <c r="H5987" t="str">
        <f t="shared" ref="H5987:H6001" si="2786">("10/10/2025")</f>
        <v>10/10/2025</v>
      </c>
      <c r="I5987" t="str">
        <f t="shared" ref="I5987:I6001" si="2787">("07/10/2025")</f>
        <v>07/10/2025</v>
      </c>
      <c r="J5987" t="str">
        <f t="shared" ref="J5987:J6014" si="2788">("10/10/2025")</f>
        <v>10/10/2025</v>
      </c>
      <c r="K5987">
        <v>382.5</v>
      </c>
      <c r="L5987">
        <v>382.5</v>
      </c>
      <c r="M5987">
        <v>303</v>
      </c>
      <c r="N5987" t="str">
        <f t="shared" ref="N5987:N6007" si="2789">"RECEITAS COM ENTREGAS"</f>
        <v>RECEITAS COM ENTREGAS</v>
      </c>
      <c r="O5987">
        <v>382.5</v>
      </c>
      <c r="R5987" t="str">
        <f t="shared" ref="R5987:R6007" si="2790">"RECEITAS COM ENTREGAS (303)"</f>
        <v>RECEITAS COM ENTREGAS (303)</v>
      </c>
      <c r="S5987">
        <v>2688</v>
      </c>
      <c r="T5987">
        <v>2253</v>
      </c>
      <c r="U5987" t="s">
        <v>19</v>
      </c>
    </row>
    <row r="5988" spans="1:21">
      <c r="A5988" t="str">
        <f t="shared" si="2784"/>
        <v>10/10/2025</v>
      </c>
      <c r="B5988" t="str">
        <f t="shared" ref="B5988:B6007" si="2791">"ENTRADA"</f>
        <v>ENTRADA</v>
      </c>
      <c r="C5988" t="str">
        <f t="shared" si="2785"/>
        <v>NFSE</v>
      </c>
      <c r="D5988" t="str">
        <f>"3578"</f>
        <v>3578</v>
      </c>
      <c r="E5988" t="str">
        <f t="shared" si="2779"/>
        <v>COM</v>
      </c>
      <c r="F5988" t="str">
        <f>"PENSE FARMA 27 (10204)"</f>
        <v>PENSE FARMA 27 (10204)</v>
      </c>
      <c r="G5988" t="str">
        <f>"Serv.Prest. 29/09/2025 a 05/10/2025 - RPS: 1342 - NFSe: 3578"</f>
        <v>Serv.Prest. 29/09/2025 a 05/10/2025 - RPS: 1342 - NFSe: 3578</v>
      </c>
      <c r="H5988" t="str">
        <f t="shared" si="2786"/>
        <v>10/10/2025</v>
      </c>
      <c r="I5988" t="str">
        <f t="shared" si="2787"/>
        <v>07/10/2025</v>
      </c>
      <c r="J5988" t="str">
        <f t="shared" si="2788"/>
        <v>10/10/2025</v>
      </c>
      <c r="M5988">
        <v>303</v>
      </c>
      <c r="N5988" t="str">
        <f t="shared" si="2789"/>
        <v>RECEITAS COM ENTREGAS</v>
      </c>
      <c r="P5988">
        <v>127.49</v>
      </c>
      <c r="Q5988" t="str">
        <f>"PENSE FARMA 05 (10200)"</f>
        <v>PENSE FARMA 05 (10200)</v>
      </c>
      <c r="R5988" t="str">
        <f t="shared" si="2790"/>
        <v>RECEITAS COM ENTREGAS (303)</v>
      </c>
      <c r="S5988">
        <v>2688</v>
      </c>
      <c r="T5988">
        <v>2253</v>
      </c>
      <c r="U5988" t="s">
        <v>19</v>
      </c>
    </row>
    <row r="5989" spans="1:21">
      <c r="A5989" t="str">
        <f t="shared" si="2784"/>
        <v>10/10/2025</v>
      </c>
      <c r="B5989" t="str">
        <f t="shared" si="2791"/>
        <v>ENTRADA</v>
      </c>
      <c r="C5989" t="str">
        <f t="shared" si="2785"/>
        <v>NFSE</v>
      </c>
      <c r="D5989" t="str">
        <f>"3578"</f>
        <v>3578</v>
      </c>
      <c r="E5989" t="str">
        <f t="shared" si="2779"/>
        <v>COM</v>
      </c>
      <c r="F5989" t="str">
        <f>"PENSE FARMA 27 (10204)"</f>
        <v>PENSE FARMA 27 (10204)</v>
      </c>
      <c r="G5989" t="str">
        <f>"Serv.Prest. 29/09/2025 a 05/10/2025 - RPS: 1342 - NFSe: 3578"</f>
        <v>Serv.Prest. 29/09/2025 a 05/10/2025 - RPS: 1342 - NFSe: 3578</v>
      </c>
      <c r="H5989" t="str">
        <f t="shared" si="2786"/>
        <v>10/10/2025</v>
      </c>
      <c r="I5989" t="str">
        <f t="shared" si="2787"/>
        <v>07/10/2025</v>
      </c>
      <c r="J5989" t="str">
        <f t="shared" si="2788"/>
        <v>10/10/2025</v>
      </c>
      <c r="M5989">
        <v>303</v>
      </c>
      <c r="N5989" t="str">
        <f t="shared" si="2789"/>
        <v>RECEITAS COM ENTREGAS</v>
      </c>
      <c r="P5989">
        <v>51.75</v>
      </c>
      <c r="Q5989" t="str">
        <f>"PENSE FARMA 13 (10202)"</f>
        <v>PENSE FARMA 13 (10202)</v>
      </c>
      <c r="R5989" t="str">
        <f t="shared" si="2790"/>
        <v>RECEITAS COM ENTREGAS (303)</v>
      </c>
      <c r="S5989">
        <v>2688</v>
      </c>
      <c r="T5989">
        <v>2253</v>
      </c>
      <c r="U5989" t="s">
        <v>19</v>
      </c>
    </row>
    <row r="5990" spans="1:21">
      <c r="A5990" t="str">
        <f t="shared" si="2784"/>
        <v>10/10/2025</v>
      </c>
      <c r="B5990" t="str">
        <f t="shared" si="2791"/>
        <v>ENTRADA</v>
      </c>
      <c r="C5990" t="str">
        <f t="shared" si="2785"/>
        <v>NFSE</v>
      </c>
      <c r="D5990" t="str">
        <f>"3578"</f>
        <v>3578</v>
      </c>
      <c r="E5990" t="str">
        <f t="shared" si="2779"/>
        <v>COM</v>
      </c>
      <c r="F5990" t="str">
        <f>"PENSE FARMA 27 (10204)"</f>
        <v>PENSE FARMA 27 (10204)</v>
      </c>
      <c r="G5990" t="str">
        <f>"Serv.Prest. 29/09/2025 a 05/10/2025 - RPS: 1342 - NFSe: 3578"</f>
        <v>Serv.Prest. 29/09/2025 a 05/10/2025 - RPS: 1342 - NFSe: 3578</v>
      </c>
      <c r="H5990" t="str">
        <f t="shared" si="2786"/>
        <v>10/10/2025</v>
      </c>
      <c r="I5990" t="str">
        <f t="shared" si="2787"/>
        <v>07/10/2025</v>
      </c>
      <c r="J5990" t="str">
        <f t="shared" si="2788"/>
        <v>10/10/2025</v>
      </c>
      <c r="M5990">
        <v>303</v>
      </c>
      <c r="N5990" t="str">
        <f t="shared" si="2789"/>
        <v>RECEITAS COM ENTREGAS</v>
      </c>
      <c r="P5990">
        <v>203.26</v>
      </c>
      <c r="Q5990" t="str">
        <f>"PENSE FARMA 27 (10204)"</f>
        <v>PENSE FARMA 27 (10204)</v>
      </c>
      <c r="R5990" t="str">
        <f t="shared" si="2790"/>
        <v>RECEITAS COM ENTREGAS (303)</v>
      </c>
      <c r="S5990">
        <v>2688</v>
      </c>
      <c r="T5990">
        <v>2253</v>
      </c>
      <c r="U5990" t="s">
        <v>19</v>
      </c>
    </row>
    <row r="5991" spans="1:21">
      <c r="A5991" t="str">
        <f t="shared" si="2784"/>
        <v>10/10/2025</v>
      </c>
      <c r="B5991" t="str">
        <f t="shared" si="2791"/>
        <v>ENTRADA</v>
      </c>
      <c r="C5991" t="str">
        <f t="shared" si="2785"/>
        <v>NFSE</v>
      </c>
      <c r="D5991" t="str">
        <f>"3579"</f>
        <v>3579</v>
      </c>
      <c r="E5991" t="str">
        <f t="shared" si="2779"/>
        <v>COM</v>
      </c>
      <c r="F5991" t="str">
        <f>"PENSE FARMA 07 (10201)"</f>
        <v>PENSE FARMA 07 (10201)</v>
      </c>
      <c r="G5991" t="str">
        <f>"Serv.Prest. 29/09/2025 a 05/10/2025 - RPS: 1343 - NFSe: 3579"</f>
        <v>Serv.Prest. 29/09/2025 a 05/10/2025 - RPS: 1343 - NFSe: 3579</v>
      </c>
      <c r="H5991" t="str">
        <f t="shared" si="2786"/>
        <v>10/10/2025</v>
      </c>
      <c r="I5991" t="str">
        <f t="shared" si="2787"/>
        <v>07/10/2025</v>
      </c>
      <c r="J5991" t="str">
        <f t="shared" si="2788"/>
        <v>10/10/2025</v>
      </c>
      <c r="K5991">
        <v>191.4</v>
      </c>
      <c r="L5991">
        <v>191.4</v>
      </c>
      <c r="M5991">
        <v>303</v>
      </c>
      <c r="N5991" t="str">
        <f t="shared" si="2789"/>
        <v>RECEITAS COM ENTREGAS</v>
      </c>
      <c r="O5991">
        <v>191.4</v>
      </c>
      <c r="R5991" t="str">
        <f t="shared" si="2790"/>
        <v>RECEITAS COM ENTREGAS (303)</v>
      </c>
      <c r="S5991">
        <v>2689</v>
      </c>
      <c r="T5991">
        <v>2254</v>
      </c>
      <c r="U5991" t="s">
        <v>19</v>
      </c>
    </row>
    <row r="5992" spans="1:21">
      <c r="A5992" t="str">
        <f t="shared" si="2784"/>
        <v>10/10/2025</v>
      </c>
      <c r="B5992" t="str">
        <f t="shared" si="2791"/>
        <v>ENTRADA</v>
      </c>
      <c r="C5992" t="str">
        <f t="shared" si="2785"/>
        <v>NFSE</v>
      </c>
      <c r="D5992" t="str">
        <f>"3579"</f>
        <v>3579</v>
      </c>
      <c r="E5992" t="str">
        <f t="shared" si="2779"/>
        <v>COM</v>
      </c>
      <c r="F5992" t="str">
        <f>"PENSE FARMA 07 (10201)"</f>
        <v>PENSE FARMA 07 (10201)</v>
      </c>
      <c r="G5992" t="str">
        <f>"Serv.Prest. 29/09/2025 a 05/10/2025 - RPS: 1343 - NFSe: 3579"</f>
        <v>Serv.Prest. 29/09/2025 a 05/10/2025 - RPS: 1343 - NFSe: 3579</v>
      </c>
      <c r="H5992" t="str">
        <f t="shared" si="2786"/>
        <v>10/10/2025</v>
      </c>
      <c r="I5992" t="str">
        <f t="shared" si="2787"/>
        <v>07/10/2025</v>
      </c>
      <c r="J5992" t="str">
        <f t="shared" si="2788"/>
        <v>10/10/2025</v>
      </c>
      <c r="M5992">
        <v>303</v>
      </c>
      <c r="N5992" t="str">
        <f t="shared" si="2789"/>
        <v>RECEITAS COM ENTREGAS</v>
      </c>
      <c r="P5992">
        <v>63.6</v>
      </c>
      <c r="Q5992" t="str">
        <f>"PENSE FARMA 07 (10201)"</f>
        <v>PENSE FARMA 07 (10201)</v>
      </c>
      <c r="R5992" t="str">
        <f t="shared" si="2790"/>
        <v>RECEITAS COM ENTREGAS (303)</v>
      </c>
      <c r="S5992">
        <v>2689</v>
      </c>
      <c r="T5992">
        <v>2254</v>
      </c>
      <c r="U5992" t="s">
        <v>19</v>
      </c>
    </row>
    <row r="5993" spans="1:21">
      <c r="A5993" t="str">
        <f t="shared" si="2784"/>
        <v>10/10/2025</v>
      </c>
      <c r="B5993" t="str">
        <f t="shared" si="2791"/>
        <v>ENTRADA</v>
      </c>
      <c r="C5993" t="str">
        <f t="shared" si="2785"/>
        <v>NFSE</v>
      </c>
      <c r="D5993" t="str">
        <f>"3579"</f>
        <v>3579</v>
      </c>
      <c r="E5993" t="str">
        <f t="shared" si="2779"/>
        <v>COM</v>
      </c>
      <c r="F5993" t="str">
        <f>"PENSE FARMA 07 (10201)"</f>
        <v>PENSE FARMA 07 (10201)</v>
      </c>
      <c r="G5993" t="str">
        <f>"Serv.Prest. 29/09/2025 a 05/10/2025 - RPS: 1343 - NFSe: 3579"</f>
        <v>Serv.Prest. 29/09/2025 a 05/10/2025 - RPS: 1343 - NFSe: 3579</v>
      </c>
      <c r="H5993" t="str">
        <f t="shared" si="2786"/>
        <v>10/10/2025</v>
      </c>
      <c r="I5993" t="str">
        <f t="shared" si="2787"/>
        <v>07/10/2025</v>
      </c>
      <c r="J5993" t="str">
        <f t="shared" si="2788"/>
        <v>10/10/2025</v>
      </c>
      <c r="M5993">
        <v>303</v>
      </c>
      <c r="N5993" t="str">
        <f t="shared" si="2789"/>
        <v>RECEITAS COM ENTREGAS</v>
      </c>
      <c r="P5993">
        <v>63.6</v>
      </c>
      <c r="Q5993" t="str">
        <f>"PENSE FARMA 45 (10209)"</f>
        <v>PENSE FARMA 45 (10209)</v>
      </c>
      <c r="R5993" t="str">
        <f t="shared" si="2790"/>
        <v>RECEITAS COM ENTREGAS (303)</v>
      </c>
      <c r="S5993">
        <v>2689</v>
      </c>
      <c r="T5993">
        <v>2254</v>
      </c>
      <c r="U5993" t="s">
        <v>19</v>
      </c>
    </row>
    <row r="5994" spans="1:21">
      <c r="A5994" t="str">
        <f t="shared" si="2784"/>
        <v>10/10/2025</v>
      </c>
      <c r="B5994" t="str">
        <f t="shared" si="2791"/>
        <v>ENTRADA</v>
      </c>
      <c r="C5994" t="str">
        <f t="shared" si="2785"/>
        <v>NFSE</v>
      </c>
      <c r="D5994" t="str">
        <f>"3579"</f>
        <v>3579</v>
      </c>
      <c r="E5994" t="str">
        <f t="shared" si="2779"/>
        <v>COM</v>
      </c>
      <c r="F5994" t="str">
        <f>"PENSE FARMA 07 (10201)"</f>
        <v>PENSE FARMA 07 (10201)</v>
      </c>
      <c r="G5994" t="str">
        <f>"Serv.Prest. 29/09/2025 a 05/10/2025 - RPS: 1343 - NFSe: 3579"</f>
        <v>Serv.Prest. 29/09/2025 a 05/10/2025 - RPS: 1343 - NFSe: 3579</v>
      </c>
      <c r="H5994" t="str">
        <f t="shared" si="2786"/>
        <v>10/10/2025</v>
      </c>
      <c r="I5994" t="str">
        <f t="shared" si="2787"/>
        <v>07/10/2025</v>
      </c>
      <c r="J5994" t="str">
        <f t="shared" si="2788"/>
        <v>10/10/2025</v>
      </c>
      <c r="M5994">
        <v>303</v>
      </c>
      <c r="N5994" t="str">
        <f t="shared" si="2789"/>
        <v>RECEITAS COM ENTREGAS</v>
      </c>
      <c r="P5994">
        <v>64.2</v>
      </c>
      <c r="Q5994" t="str">
        <f>"PENSE FARMA 50 (10210)"</f>
        <v>PENSE FARMA 50 (10210)</v>
      </c>
      <c r="R5994" t="str">
        <f t="shared" si="2790"/>
        <v>RECEITAS COM ENTREGAS (303)</v>
      </c>
      <c r="S5994">
        <v>2689</v>
      </c>
      <c r="T5994">
        <v>2254</v>
      </c>
      <c r="U5994" t="s">
        <v>19</v>
      </c>
    </row>
    <row r="5995" spans="1:21">
      <c r="A5995" t="str">
        <f t="shared" si="2784"/>
        <v>10/10/2025</v>
      </c>
      <c r="B5995" t="str">
        <f t="shared" si="2791"/>
        <v>ENTRADA</v>
      </c>
      <c r="C5995" t="str">
        <f t="shared" si="2785"/>
        <v>NFSE</v>
      </c>
      <c r="D5995" t="str">
        <f t="shared" ref="D5995:D6001" si="2792">"3580"</f>
        <v>3580</v>
      </c>
      <c r="E5995" t="str">
        <f t="shared" si="2779"/>
        <v>COM</v>
      </c>
      <c r="F5995" t="str">
        <f t="shared" ref="F5995:F6001" si="2793">"PENSE FARMA 36 (10206)"</f>
        <v>PENSE FARMA 36 (10206)</v>
      </c>
      <c r="G5995" t="str">
        <f t="shared" ref="G5995:G6001" si="2794">"Serv.Prest. 29/09/2025 a 05/10/2025 - RPS: 1344 - NFSe: 3580"</f>
        <v>Serv.Prest. 29/09/2025 a 05/10/2025 - RPS: 1344 - NFSe: 3580</v>
      </c>
      <c r="H5995" t="str">
        <f t="shared" si="2786"/>
        <v>10/10/2025</v>
      </c>
      <c r="I5995" t="str">
        <f t="shared" si="2787"/>
        <v>07/10/2025</v>
      </c>
      <c r="J5995" t="str">
        <f t="shared" si="2788"/>
        <v>10/10/2025</v>
      </c>
      <c r="K5995">
        <v>608.4</v>
      </c>
      <c r="L5995">
        <v>608.4</v>
      </c>
      <c r="M5995">
        <v>303</v>
      </c>
      <c r="N5995" t="str">
        <f t="shared" si="2789"/>
        <v>RECEITAS COM ENTREGAS</v>
      </c>
      <c r="O5995">
        <v>608.4</v>
      </c>
      <c r="R5995" t="str">
        <f t="shared" si="2790"/>
        <v>RECEITAS COM ENTREGAS (303)</v>
      </c>
      <c r="S5995">
        <v>2690</v>
      </c>
      <c r="T5995">
        <v>2255</v>
      </c>
      <c r="U5995" t="s">
        <v>19</v>
      </c>
    </row>
    <row r="5996" spans="1:21">
      <c r="A5996" t="str">
        <f t="shared" si="2784"/>
        <v>10/10/2025</v>
      </c>
      <c r="B5996" t="str">
        <f t="shared" si="2791"/>
        <v>ENTRADA</v>
      </c>
      <c r="C5996" t="str">
        <f t="shared" si="2785"/>
        <v>NFSE</v>
      </c>
      <c r="D5996" t="str">
        <f t="shared" si="2792"/>
        <v>3580</v>
      </c>
      <c r="E5996" t="str">
        <f t="shared" si="2779"/>
        <v>COM</v>
      </c>
      <c r="F5996" t="str">
        <f t="shared" si="2793"/>
        <v>PENSE FARMA 36 (10206)</v>
      </c>
      <c r="G5996" t="str">
        <f t="shared" si="2794"/>
        <v>Serv.Prest. 29/09/2025 a 05/10/2025 - RPS: 1344 - NFSe: 3580</v>
      </c>
      <c r="H5996" t="str">
        <f t="shared" si="2786"/>
        <v>10/10/2025</v>
      </c>
      <c r="I5996" t="str">
        <f t="shared" si="2787"/>
        <v>07/10/2025</v>
      </c>
      <c r="J5996" t="str">
        <f t="shared" si="2788"/>
        <v>10/10/2025</v>
      </c>
      <c r="M5996">
        <v>303</v>
      </c>
      <c r="N5996" t="str">
        <f t="shared" si="2789"/>
        <v>RECEITAS COM ENTREGAS</v>
      </c>
      <c r="P5996">
        <v>100.82</v>
      </c>
      <c r="Q5996" t="str">
        <f>"PENSE FARMA 20 (10203)"</f>
        <v>PENSE FARMA 20 (10203)</v>
      </c>
      <c r="R5996" t="str">
        <f t="shared" si="2790"/>
        <v>RECEITAS COM ENTREGAS (303)</v>
      </c>
      <c r="S5996">
        <v>2690</v>
      </c>
      <c r="T5996">
        <v>2255</v>
      </c>
      <c r="U5996" t="s">
        <v>19</v>
      </c>
    </row>
    <row r="5997" spans="1:21">
      <c r="A5997" t="str">
        <f t="shared" si="2784"/>
        <v>10/10/2025</v>
      </c>
      <c r="B5997" t="str">
        <f t="shared" si="2791"/>
        <v>ENTRADA</v>
      </c>
      <c r="C5997" t="str">
        <f t="shared" si="2785"/>
        <v>NFSE</v>
      </c>
      <c r="D5997" t="str">
        <f t="shared" si="2792"/>
        <v>3580</v>
      </c>
      <c r="E5997" t="str">
        <f t="shared" si="2779"/>
        <v>COM</v>
      </c>
      <c r="F5997" t="str">
        <f t="shared" si="2793"/>
        <v>PENSE FARMA 36 (10206)</v>
      </c>
      <c r="G5997" t="str">
        <f t="shared" si="2794"/>
        <v>Serv.Prest. 29/09/2025 a 05/10/2025 - RPS: 1344 - NFSe: 3580</v>
      </c>
      <c r="H5997" t="str">
        <f t="shared" si="2786"/>
        <v>10/10/2025</v>
      </c>
      <c r="I5997" t="str">
        <f t="shared" si="2787"/>
        <v>07/10/2025</v>
      </c>
      <c r="J5997" t="str">
        <f t="shared" si="2788"/>
        <v>10/10/2025</v>
      </c>
      <c r="M5997">
        <v>303</v>
      </c>
      <c r="N5997" t="str">
        <f t="shared" si="2789"/>
        <v>RECEITAS COM ENTREGAS</v>
      </c>
      <c r="P5997">
        <v>100.81</v>
      </c>
      <c r="Q5997" t="str">
        <f>"PENSE FARMA 36 (10206)"</f>
        <v>PENSE FARMA 36 (10206)</v>
      </c>
      <c r="R5997" t="str">
        <f t="shared" si="2790"/>
        <v>RECEITAS COM ENTREGAS (303)</v>
      </c>
      <c r="S5997">
        <v>2690</v>
      </c>
      <c r="T5997">
        <v>2255</v>
      </c>
      <c r="U5997" t="s">
        <v>19</v>
      </c>
    </row>
    <row r="5998" spans="1:21">
      <c r="A5998" t="str">
        <f t="shared" si="2784"/>
        <v>10/10/2025</v>
      </c>
      <c r="B5998" t="str">
        <f t="shared" si="2791"/>
        <v>ENTRADA</v>
      </c>
      <c r="C5998" t="str">
        <f t="shared" si="2785"/>
        <v>NFSE</v>
      </c>
      <c r="D5998" t="str">
        <f t="shared" si="2792"/>
        <v>3580</v>
      </c>
      <c r="E5998" t="str">
        <f t="shared" si="2779"/>
        <v>COM</v>
      </c>
      <c r="F5998" t="str">
        <f t="shared" si="2793"/>
        <v>PENSE FARMA 36 (10206)</v>
      </c>
      <c r="G5998" t="str">
        <f t="shared" si="2794"/>
        <v>Serv.Prest. 29/09/2025 a 05/10/2025 - RPS: 1344 - NFSe: 3580</v>
      </c>
      <c r="H5998" t="str">
        <f t="shared" si="2786"/>
        <v>10/10/2025</v>
      </c>
      <c r="I5998" t="str">
        <f t="shared" si="2787"/>
        <v>07/10/2025</v>
      </c>
      <c r="J5998" t="str">
        <f t="shared" si="2788"/>
        <v>10/10/2025</v>
      </c>
      <c r="M5998">
        <v>303</v>
      </c>
      <c r="N5998" t="str">
        <f t="shared" si="2789"/>
        <v>RECEITAS COM ENTREGAS</v>
      </c>
      <c r="P5998">
        <v>100.81</v>
      </c>
      <c r="Q5998" t="str">
        <f>"PENSE FARMA 40 (10207)"</f>
        <v>PENSE FARMA 40 (10207)</v>
      </c>
      <c r="R5998" t="str">
        <f t="shared" si="2790"/>
        <v>RECEITAS COM ENTREGAS (303)</v>
      </c>
      <c r="S5998">
        <v>2690</v>
      </c>
      <c r="T5998">
        <v>2255</v>
      </c>
      <c r="U5998" t="s">
        <v>19</v>
      </c>
    </row>
    <row r="5999" spans="1:21">
      <c r="A5999" t="str">
        <f t="shared" si="2784"/>
        <v>10/10/2025</v>
      </c>
      <c r="B5999" t="str">
        <f t="shared" si="2791"/>
        <v>ENTRADA</v>
      </c>
      <c r="C5999" t="str">
        <f t="shared" si="2785"/>
        <v>NFSE</v>
      </c>
      <c r="D5999" t="str">
        <f t="shared" si="2792"/>
        <v>3580</v>
      </c>
      <c r="E5999" t="str">
        <f t="shared" si="2779"/>
        <v>COM</v>
      </c>
      <c r="F5999" t="str">
        <f t="shared" si="2793"/>
        <v>PENSE FARMA 36 (10206)</v>
      </c>
      <c r="G5999" t="str">
        <f t="shared" si="2794"/>
        <v>Serv.Prest. 29/09/2025 a 05/10/2025 - RPS: 1344 - NFSe: 3580</v>
      </c>
      <c r="H5999" t="str">
        <f t="shared" si="2786"/>
        <v>10/10/2025</v>
      </c>
      <c r="I5999" t="str">
        <f t="shared" si="2787"/>
        <v>07/10/2025</v>
      </c>
      <c r="J5999" t="str">
        <f t="shared" si="2788"/>
        <v>10/10/2025</v>
      </c>
      <c r="M5999">
        <v>303</v>
      </c>
      <c r="N5999" t="str">
        <f t="shared" si="2789"/>
        <v>RECEITAS COM ENTREGAS</v>
      </c>
      <c r="P5999">
        <v>100.81</v>
      </c>
      <c r="Q5999" t="str">
        <f>"PENSE FARMA 43 (10208)"</f>
        <v>PENSE FARMA 43 (10208)</v>
      </c>
      <c r="R5999" t="str">
        <f t="shared" si="2790"/>
        <v>RECEITAS COM ENTREGAS (303)</v>
      </c>
      <c r="S5999">
        <v>2690</v>
      </c>
      <c r="T5999">
        <v>2255</v>
      </c>
      <c r="U5999" t="s">
        <v>19</v>
      </c>
    </row>
    <row r="6000" spans="1:21">
      <c r="A6000" t="str">
        <f t="shared" si="2784"/>
        <v>10/10/2025</v>
      </c>
      <c r="B6000" t="str">
        <f t="shared" si="2791"/>
        <v>ENTRADA</v>
      </c>
      <c r="C6000" t="str">
        <f t="shared" si="2785"/>
        <v>NFSE</v>
      </c>
      <c r="D6000" t="str">
        <f t="shared" si="2792"/>
        <v>3580</v>
      </c>
      <c r="E6000" t="str">
        <f t="shared" si="2779"/>
        <v>COM</v>
      </c>
      <c r="F6000" t="str">
        <f t="shared" si="2793"/>
        <v>PENSE FARMA 36 (10206)</v>
      </c>
      <c r="G6000" t="str">
        <f t="shared" si="2794"/>
        <v>Serv.Prest. 29/09/2025 a 05/10/2025 - RPS: 1344 - NFSe: 3580</v>
      </c>
      <c r="H6000" t="str">
        <f t="shared" si="2786"/>
        <v>10/10/2025</v>
      </c>
      <c r="I6000" t="str">
        <f t="shared" si="2787"/>
        <v>07/10/2025</v>
      </c>
      <c r="J6000" t="str">
        <f t="shared" si="2788"/>
        <v>10/10/2025</v>
      </c>
      <c r="M6000">
        <v>303</v>
      </c>
      <c r="N6000" t="str">
        <f t="shared" si="2789"/>
        <v>RECEITAS COM ENTREGAS</v>
      </c>
      <c r="P6000">
        <v>100.81</v>
      </c>
      <c r="Q6000" t="str">
        <f>"PENSE FARMA 59 (10211)"</f>
        <v>PENSE FARMA 59 (10211)</v>
      </c>
      <c r="R6000" t="str">
        <f t="shared" si="2790"/>
        <v>RECEITAS COM ENTREGAS (303)</v>
      </c>
      <c r="S6000">
        <v>2690</v>
      </c>
      <c r="T6000">
        <v>2255</v>
      </c>
      <c r="U6000" t="s">
        <v>19</v>
      </c>
    </row>
    <row r="6001" spans="1:21">
      <c r="A6001" t="str">
        <f t="shared" si="2784"/>
        <v>10/10/2025</v>
      </c>
      <c r="B6001" t="str">
        <f t="shared" si="2791"/>
        <v>ENTRADA</v>
      </c>
      <c r="C6001" t="str">
        <f t="shared" si="2785"/>
        <v>NFSE</v>
      </c>
      <c r="D6001" t="str">
        <f t="shared" si="2792"/>
        <v>3580</v>
      </c>
      <c r="E6001" t="str">
        <f t="shared" si="2779"/>
        <v>COM</v>
      </c>
      <c r="F6001" t="str">
        <f t="shared" si="2793"/>
        <v>PENSE FARMA 36 (10206)</v>
      </c>
      <c r="G6001" t="str">
        <f t="shared" si="2794"/>
        <v>Serv.Prest. 29/09/2025 a 05/10/2025 - RPS: 1344 - NFSe: 3580</v>
      </c>
      <c r="H6001" t="str">
        <f t="shared" si="2786"/>
        <v>10/10/2025</v>
      </c>
      <c r="I6001" t="str">
        <f t="shared" si="2787"/>
        <v>07/10/2025</v>
      </c>
      <c r="J6001" t="str">
        <f t="shared" si="2788"/>
        <v>10/10/2025</v>
      </c>
      <c r="M6001">
        <v>303</v>
      </c>
      <c r="N6001" t="str">
        <f t="shared" si="2789"/>
        <v>RECEITAS COM ENTREGAS</v>
      </c>
      <c r="P6001">
        <v>104.34</v>
      </c>
      <c r="Q6001" t="str">
        <f>"PENSE FARMA DARK STORE 361 (10212)"</f>
        <v>PENSE FARMA DARK STORE 361 (10212)</v>
      </c>
      <c r="R6001" t="str">
        <f t="shared" si="2790"/>
        <v>RECEITAS COM ENTREGAS (303)</v>
      </c>
      <c r="S6001">
        <v>2690</v>
      </c>
      <c r="T6001">
        <v>2255</v>
      </c>
      <c r="U6001" t="s">
        <v>19</v>
      </c>
    </row>
    <row r="6002" spans="1:21">
      <c r="A6002" t="str">
        <f t="shared" si="2784"/>
        <v>10/10/2025</v>
      </c>
      <c r="B6002" t="str">
        <f t="shared" si="2791"/>
        <v>ENTRADA</v>
      </c>
      <c r="C6002" t="str">
        <f t="shared" si="2785"/>
        <v>NFSE</v>
      </c>
      <c r="D6002" t="str">
        <f>"3556"</f>
        <v>3556</v>
      </c>
      <c r="E6002" t="str">
        <f t="shared" si="2779"/>
        <v>COM</v>
      </c>
      <c r="F6002" t="str">
        <f>"DROGARIA POUPA MINAS (ULTRAMINAS) 3 (10129)"</f>
        <v>DROGARIA POUPA MINAS (ULTRAMINAS) 3 (10129)</v>
      </c>
      <c r="G6002" t="str">
        <f>"Serv.Prest. 29/09/2025 a 05/10/2025 - RPS: 1320 - NFSe: 3556"</f>
        <v>Serv.Prest. 29/09/2025 a 05/10/2025 - RPS: 1320 - NFSe: 3556</v>
      </c>
      <c r="H6002" t="str">
        <f t="shared" ref="H6002:H6007" si="2795">("09/10/2025")</f>
        <v>09/10/2025</v>
      </c>
      <c r="I6002" t="str">
        <f t="shared" ref="I6002:I6007" si="2796">("06/10/2025")</f>
        <v>06/10/2025</v>
      </c>
      <c r="J6002" t="str">
        <f t="shared" si="2788"/>
        <v>10/10/2025</v>
      </c>
      <c r="K6002">
        <v>171.6</v>
      </c>
      <c r="L6002">
        <v>171.6</v>
      </c>
      <c r="M6002">
        <v>303</v>
      </c>
      <c r="N6002" t="str">
        <f t="shared" si="2789"/>
        <v>RECEITAS COM ENTREGAS</v>
      </c>
      <c r="O6002">
        <v>171.6</v>
      </c>
      <c r="R6002" t="str">
        <f t="shared" si="2790"/>
        <v>RECEITAS COM ENTREGAS (303)</v>
      </c>
      <c r="S6002">
        <v>2691</v>
      </c>
      <c r="T6002">
        <v>2231</v>
      </c>
      <c r="U6002" t="s">
        <v>19</v>
      </c>
    </row>
    <row r="6003" spans="1:21">
      <c r="A6003" t="str">
        <f t="shared" si="2784"/>
        <v>10/10/2025</v>
      </c>
      <c r="B6003" t="str">
        <f t="shared" si="2791"/>
        <v>ENTRADA</v>
      </c>
      <c r="C6003" t="str">
        <f t="shared" si="2785"/>
        <v>NFSE</v>
      </c>
      <c r="D6003" t="str">
        <f>"3556"</f>
        <v>3556</v>
      </c>
      <c r="E6003" t="str">
        <f t="shared" si="2779"/>
        <v>COM</v>
      </c>
      <c r="F6003" t="str">
        <f>"DROGARIA POUPA MINAS (ULTRAMINAS) 3 (10129)"</f>
        <v>DROGARIA POUPA MINAS (ULTRAMINAS) 3 (10129)</v>
      </c>
      <c r="G6003" t="str">
        <f>"Serv.Prest. 29/09/2025 a 05/10/2025 - RPS: 1320 - NFSe: 3556"</f>
        <v>Serv.Prest. 29/09/2025 a 05/10/2025 - RPS: 1320 - NFSe: 3556</v>
      </c>
      <c r="H6003" t="str">
        <f t="shared" si="2795"/>
        <v>09/10/2025</v>
      </c>
      <c r="I6003" t="str">
        <f t="shared" si="2796"/>
        <v>06/10/2025</v>
      </c>
      <c r="J6003" t="str">
        <f t="shared" si="2788"/>
        <v>10/10/2025</v>
      </c>
      <c r="M6003">
        <v>303</v>
      </c>
      <c r="N6003" t="str">
        <f t="shared" si="2789"/>
        <v>RECEITAS COM ENTREGAS</v>
      </c>
      <c r="P6003">
        <v>171.6</v>
      </c>
      <c r="Q6003" t="str">
        <f>"DROGARIA POUPA MINAS (ULTRAMINAS) 3 (10129)"</f>
        <v>DROGARIA POUPA MINAS (ULTRAMINAS) 3 (10129)</v>
      </c>
      <c r="R6003" t="str">
        <f t="shared" si="2790"/>
        <v>RECEITAS COM ENTREGAS (303)</v>
      </c>
      <c r="S6003">
        <v>2691</v>
      </c>
      <c r="T6003">
        <v>2231</v>
      </c>
      <c r="U6003" t="s">
        <v>19</v>
      </c>
    </row>
    <row r="6004" spans="1:21">
      <c r="A6004" t="str">
        <f t="shared" si="2784"/>
        <v>10/10/2025</v>
      </c>
      <c r="B6004" t="str">
        <f t="shared" si="2791"/>
        <v>ENTRADA</v>
      </c>
      <c r="C6004" t="str">
        <f t="shared" si="2785"/>
        <v>NFSE</v>
      </c>
      <c r="D6004" t="str">
        <f>"3571"</f>
        <v>3571</v>
      </c>
      <c r="E6004" t="str">
        <f t="shared" si="2779"/>
        <v>COM</v>
      </c>
      <c r="F6004" t="str">
        <f>"DROGARIA POUPA MINAS (DOIS AMIGOS) 5 (10140)"</f>
        <v>DROGARIA POUPA MINAS (DOIS AMIGOS) 5 (10140)</v>
      </c>
      <c r="G6004" t="str">
        <f>"Serv.Prest. 29/09/2025 a 05/10/2025 - RPS: 1335 - NFSe: 3571"</f>
        <v>Serv.Prest. 29/09/2025 a 05/10/2025 - RPS: 1335 - NFSe: 3571</v>
      </c>
      <c r="H6004" t="str">
        <f t="shared" si="2795"/>
        <v>09/10/2025</v>
      </c>
      <c r="I6004" t="str">
        <f t="shared" si="2796"/>
        <v>06/10/2025</v>
      </c>
      <c r="J6004" t="str">
        <f t="shared" si="2788"/>
        <v>10/10/2025</v>
      </c>
      <c r="K6004">
        <v>786.42</v>
      </c>
      <c r="L6004">
        <v>786.42</v>
      </c>
      <c r="M6004">
        <v>303</v>
      </c>
      <c r="N6004" t="str">
        <f t="shared" si="2789"/>
        <v>RECEITAS COM ENTREGAS</v>
      </c>
      <c r="O6004">
        <v>786.42</v>
      </c>
      <c r="R6004" t="str">
        <f t="shared" si="2790"/>
        <v>RECEITAS COM ENTREGAS (303)</v>
      </c>
      <c r="S6004">
        <v>2692</v>
      </c>
      <c r="T6004">
        <v>2246</v>
      </c>
      <c r="U6004" t="s">
        <v>19</v>
      </c>
    </row>
    <row r="6005" spans="1:21">
      <c r="A6005" t="str">
        <f t="shared" si="2784"/>
        <v>10/10/2025</v>
      </c>
      <c r="B6005" t="str">
        <f t="shared" si="2791"/>
        <v>ENTRADA</v>
      </c>
      <c r="C6005" t="str">
        <f t="shared" si="2785"/>
        <v>NFSE</v>
      </c>
      <c r="D6005" t="str">
        <f>"3571"</f>
        <v>3571</v>
      </c>
      <c r="E6005" t="str">
        <f t="shared" si="2779"/>
        <v>COM</v>
      </c>
      <c r="F6005" t="str">
        <f>"DROGARIA POUPA MINAS (DOIS AMIGOS) 5 (10140)"</f>
        <v>DROGARIA POUPA MINAS (DOIS AMIGOS) 5 (10140)</v>
      </c>
      <c r="G6005" t="str">
        <f>"Serv.Prest. 29/09/2025 a 05/10/2025 - RPS: 1335 - NFSe: 3571"</f>
        <v>Serv.Prest. 29/09/2025 a 05/10/2025 - RPS: 1335 - NFSe: 3571</v>
      </c>
      <c r="H6005" t="str">
        <f t="shared" si="2795"/>
        <v>09/10/2025</v>
      </c>
      <c r="I6005" t="str">
        <f t="shared" si="2796"/>
        <v>06/10/2025</v>
      </c>
      <c r="J6005" t="str">
        <f t="shared" si="2788"/>
        <v>10/10/2025</v>
      </c>
      <c r="M6005">
        <v>303</v>
      </c>
      <c r="N6005" t="str">
        <f t="shared" si="2789"/>
        <v>RECEITAS COM ENTREGAS</v>
      </c>
      <c r="P6005">
        <v>786.42</v>
      </c>
      <c r="Q6005" t="str">
        <f>"DROGARIA POUPA MINAS (ULTRAMINAS) 1 (10181)"</f>
        <v>DROGARIA POUPA MINAS (ULTRAMINAS) 1 (10181)</v>
      </c>
      <c r="R6005" t="str">
        <f t="shared" si="2790"/>
        <v>RECEITAS COM ENTREGAS (303)</v>
      </c>
      <c r="S6005">
        <v>2692</v>
      </c>
      <c r="T6005">
        <v>2246</v>
      </c>
      <c r="U6005" t="s">
        <v>19</v>
      </c>
    </row>
    <row r="6006" spans="1:21">
      <c r="A6006" t="str">
        <f t="shared" si="2784"/>
        <v>10/10/2025</v>
      </c>
      <c r="B6006" t="str">
        <f t="shared" si="2791"/>
        <v>ENTRADA</v>
      </c>
      <c r="C6006" t="str">
        <f t="shared" si="2785"/>
        <v>NFSE</v>
      </c>
      <c r="D6006" t="str">
        <f>"3572"</f>
        <v>3572</v>
      </c>
      <c r="E6006" t="str">
        <f t="shared" si="2779"/>
        <v>COM</v>
      </c>
      <c r="F6006" t="str">
        <f>"DROGARIA POUPA MINAS (DOIS AMIGOS) 5 (10140)"</f>
        <v>DROGARIA POUPA MINAS (DOIS AMIGOS) 5 (10140)</v>
      </c>
      <c r="G6006" t="str">
        <f>"Serv.Prest. 30/09/2025 a 30/09/2025 - RPS: 1336 - NFSe: 3572"</f>
        <v>Serv.Prest. 30/09/2025 a 30/09/2025 - RPS: 1336 - NFSe: 3572</v>
      </c>
      <c r="H6006" t="str">
        <f t="shared" si="2795"/>
        <v>09/10/2025</v>
      </c>
      <c r="I6006" t="str">
        <f t="shared" si="2796"/>
        <v>06/10/2025</v>
      </c>
      <c r="J6006" t="str">
        <f t="shared" si="2788"/>
        <v>10/10/2025</v>
      </c>
      <c r="K6006">
        <v>94.86</v>
      </c>
      <c r="L6006">
        <v>94.86</v>
      </c>
      <c r="M6006">
        <v>303</v>
      </c>
      <c r="N6006" t="str">
        <f t="shared" si="2789"/>
        <v>RECEITAS COM ENTREGAS</v>
      </c>
      <c r="O6006">
        <v>94.86</v>
      </c>
      <c r="R6006" t="str">
        <f t="shared" si="2790"/>
        <v>RECEITAS COM ENTREGAS (303)</v>
      </c>
      <c r="S6006">
        <v>2693</v>
      </c>
      <c r="T6006">
        <v>2247</v>
      </c>
      <c r="U6006" t="s">
        <v>19</v>
      </c>
    </row>
    <row r="6007" spans="1:21">
      <c r="A6007" t="str">
        <f t="shared" si="2784"/>
        <v>10/10/2025</v>
      </c>
      <c r="B6007" t="str">
        <f t="shared" si="2791"/>
        <v>ENTRADA</v>
      </c>
      <c r="C6007" t="str">
        <f t="shared" si="2785"/>
        <v>NFSE</v>
      </c>
      <c r="D6007" t="str">
        <f>"3572"</f>
        <v>3572</v>
      </c>
      <c r="E6007" t="str">
        <f t="shared" si="2779"/>
        <v>COM</v>
      </c>
      <c r="F6007" t="str">
        <f>"DROGARIA POUPA MINAS (DOIS AMIGOS) 5 (10140)"</f>
        <v>DROGARIA POUPA MINAS (DOIS AMIGOS) 5 (10140)</v>
      </c>
      <c r="G6007" t="str">
        <f>"Serv.Prest. 30/09/2025 a 30/09/2025 - RPS: 1336 - NFSe: 3572"</f>
        <v>Serv.Prest. 30/09/2025 a 30/09/2025 - RPS: 1336 - NFSe: 3572</v>
      </c>
      <c r="H6007" t="str">
        <f t="shared" si="2795"/>
        <v>09/10/2025</v>
      </c>
      <c r="I6007" t="str">
        <f t="shared" si="2796"/>
        <v>06/10/2025</v>
      </c>
      <c r="J6007" t="str">
        <f t="shared" si="2788"/>
        <v>10/10/2025</v>
      </c>
      <c r="M6007">
        <v>303</v>
      </c>
      <c r="N6007" t="str">
        <f t="shared" si="2789"/>
        <v>RECEITAS COM ENTREGAS</v>
      </c>
      <c r="P6007">
        <v>94.86</v>
      </c>
      <c r="Q6007" t="str">
        <f>"DROGARIA POUPA MINAS (ULTRAMINAS) 1 (10181)"</f>
        <v>DROGARIA POUPA MINAS (ULTRAMINAS) 1 (10181)</v>
      </c>
      <c r="R6007" t="str">
        <f t="shared" si="2790"/>
        <v>RECEITAS COM ENTREGAS (303)</v>
      </c>
      <c r="S6007">
        <v>2693</v>
      </c>
      <c r="T6007">
        <v>2247</v>
      </c>
      <c r="U6007" t="s">
        <v>19</v>
      </c>
    </row>
    <row r="6008" spans="1:21">
      <c r="A6008" t="str">
        <f t="shared" si="2784"/>
        <v>10/10/2025</v>
      </c>
      <c r="B6008" t="str">
        <f>"SAÍDA"</f>
        <v>SAÍDA</v>
      </c>
      <c r="C6008" t="str">
        <f>"BOLETO"</f>
        <v>BOLETO</v>
      </c>
      <c r="D6008" t="str">
        <f>"804600"</f>
        <v>804600</v>
      </c>
      <c r="E6008" t="str">
        <f t="shared" si="2779"/>
        <v>COM</v>
      </c>
      <c r="F6008" t="str">
        <f>"UNIODONTO REGIONAL COOPERATIVA ODONTOLOGICA LTDA. (20024)"</f>
        <v>UNIODONTO REGIONAL COOPERATIVA ODONTOLOGICA LTDA. (20024)</v>
      </c>
      <c r="G6008" t="str">
        <f>"PLANO ODONTOLOGICO 09/2025"</f>
        <v>PLANO ODONTOLOGICO 09/2025</v>
      </c>
      <c r="H6008" t="str">
        <f>("10/10/2025")</f>
        <v>10/10/2025</v>
      </c>
      <c r="I6008" t="str">
        <f>("17/09/2025")</f>
        <v>17/09/2025</v>
      </c>
      <c r="J6008" t="str">
        <f t="shared" si="2788"/>
        <v>10/10/2025</v>
      </c>
      <c r="K6008">
        <v>1513.09</v>
      </c>
      <c r="L6008">
        <v>1513.09</v>
      </c>
      <c r="M6008">
        <v>192</v>
      </c>
      <c r="N6008" t="str">
        <f>"PLANOS E SEGUROS"</f>
        <v>PLANOS E SEGUROS</v>
      </c>
      <c r="O6008">
        <v>1513.09</v>
      </c>
      <c r="R6008" t="str">
        <f>"BANCO CORA (102)"</f>
        <v>BANCO CORA (102)</v>
      </c>
      <c r="S6008">
        <v>2694</v>
      </c>
      <c r="T6008">
        <v>844</v>
      </c>
      <c r="U6008" t="s">
        <v>19</v>
      </c>
    </row>
    <row r="6009" spans="1:21">
      <c r="A6009" t="str">
        <f t="shared" si="2784"/>
        <v>10/10/2025</v>
      </c>
      <c r="B6009" t="str">
        <f>"SAÍDA"</f>
        <v>SAÍDA</v>
      </c>
      <c r="C6009" t="str">
        <f>"BOLETO"</f>
        <v>BOLETO</v>
      </c>
      <c r="D6009" t="str">
        <f>"804600"</f>
        <v>804600</v>
      </c>
      <c r="E6009" t="str">
        <f t="shared" si="2779"/>
        <v>COM</v>
      </c>
      <c r="F6009" t="str">
        <f>"UNIODONTO REGIONAL COOPERATIVA ODONTOLOGICA LTDA. (20024)"</f>
        <v>UNIODONTO REGIONAL COOPERATIVA ODONTOLOGICA LTDA. (20024)</v>
      </c>
      <c r="G6009" t="str">
        <f>"PLANO ODONTOLOGICO 09/2025"</f>
        <v>PLANO ODONTOLOGICO 09/2025</v>
      </c>
      <c r="H6009" t="str">
        <f>("10/10/2025")</f>
        <v>10/10/2025</v>
      </c>
      <c r="I6009" t="str">
        <f>("17/09/2025")</f>
        <v>17/09/2025</v>
      </c>
      <c r="J6009" t="str">
        <f t="shared" si="2788"/>
        <v>10/10/2025</v>
      </c>
      <c r="M6009">
        <v>192</v>
      </c>
      <c r="N6009" t="str">
        <f>"PLANOS E SEGUROS"</f>
        <v>PLANOS E SEGUROS</v>
      </c>
      <c r="P6009">
        <v>1513.09</v>
      </c>
      <c r="Q6009" t="str">
        <f>"UNIODONTO REGIONAL COOPERATIVA ODONTOLOGICA LTDA. (20024)"</f>
        <v>UNIODONTO REGIONAL COOPERATIVA ODONTOLOGICA LTDA. (20024)</v>
      </c>
      <c r="R6009" t="str">
        <f>"BANCO CORA (102)"</f>
        <v>BANCO CORA (102)</v>
      </c>
      <c r="S6009">
        <v>2694</v>
      </c>
      <c r="T6009">
        <v>844</v>
      </c>
      <c r="U6009" t="s">
        <v>19</v>
      </c>
    </row>
    <row r="6010" spans="1:21">
      <c r="A6010" t="str">
        <f t="shared" si="2784"/>
        <v>10/10/2025</v>
      </c>
      <c r="B6010" t="str">
        <f>"SAÍDA"</f>
        <v>SAÍDA</v>
      </c>
      <c r="C6010" t="str">
        <f>"JUROS"</f>
        <v>JUROS</v>
      </c>
      <c r="D6010" t="str">
        <f>""</f>
        <v/>
      </c>
      <c r="E6010" t="str">
        <f>"CXA"</f>
        <v>CXA</v>
      </c>
      <c r="F6010" t="str">
        <f>""</f>
        <v/>
      </c>
      <c r="G6010" t="str">
        <f>"TARIFA"</f>
        <v>TARIFA</v>
      </c>
      <c r="H6010" t="str">
        <f>("10/10/2025")</f>
        <v>10/10/2025</v>
      </c>
      <c r="I6010" t="str">
        <f>("10/10/2025")</f>
        <v>10/10/2025</v>
      </c>
      <c r="J6010" t="str">
        <f t="shared" si="2788"/>
        <v>10/10/2025</v>
      </c>
      <c r="K6010">
        <v>11.9</v>
      </c>
      <c r="L6010">
        <v>11.9</v>
      </c>
      <c r="M6010">
        <v>401</v>
      </c>
      <c r="N6010" t="str">
        <f>"IOF/JUROS/DESP.FINANCEIRA"</f>
        <v>IOF/JUROS/DESP.FINANCEIRA</v>
      </c>
      <c r="O6010">
        <v>11.9</v>
      </c>
      <c r="R6010" t="str">
        <f>"BANCO CORA (102)"</f>
        <v>BANCO CORA (102)</v>
      </c>
      <c r="S6010">
        <v>2695</v>
      </c>
      <c r="T6010">
        <v>0</v>
      </c>
      <c r="U6010" t="s">
        <v>20</v>
      </c>
    </row>
    <row r="6011" spans="1:21">
      <c r="A6011" t="str">
        <f t="shared" si="2784"/>
        <v>10/10/2025</v>
      </c>
      <c r="B6011" t="str">
        <f>"ENTRADA"</f>
        <v>ENTRADA</v>
      </c>
      <c r="C6011" t="str">
        <f>"NFSE"</f>
        <v>NFSE</v>
      </c>
      <c r="D6011" t="str">
        <f>"3570"</f>
        <v>3570</v>
      </c>
      <c r="E6011" t="str">
        <f t="shared" ref="E6011:E6042" si="2797">"COM"</f>
        <v>COM</v>
      </c>
      <c r="F6011" t="str">
        <f>"DROGARIA TOTAL JUNDIAI (10177)"</f>
        <v>DROGARIA TOTAL JUNDIAI (10177)</v>
      </c>
      <c r="G6011" t="str">
        <f>"Serv.Prest. 29/09/2025 a 05/10/2025 - RPS: 1334 - NFSe: 3570"</f>
        <v>Serv.Prest. 29/09/2025 a 05/10/2025 - RPS: 1334 - NFSe: 3570</v>
      </c>
      <c r="H6011" t="str">
        <f>("08/10/2025")</f>
        <v>08/10/2025</v>
      </c>
      <c r="I6011" t="str">
        <f>("06/10/2025")</f>
        <v>06/10/2025</v>
      </c>
      <c r="J6011" t="str">
        <f t="shared" si="2788"/>
        <v>10/10/2025</v>
      </c>
      <c r="K6011">
        <v>100.27</v>
      </c>
      <c r="L6011">
        <v>102.3</v>
      </c>
      <c r="M6011">
        <v>303</v>
      </c>
      <c r="N6011" t="str">
        <f>"RECEITAS COM ENTREGAS"</f>
        <v>RECEITAS COM ENTREGAS</v>
      </c>
      <c r="O6011">
        <v>102.3</v>
      </c>
      <c r="R6011" t="str">
        <f>"RECEITAS COM ENTREGAS (303)"</f>
        <v>RECEITAS COM ENTREGAS (303)</v>
      </c>
      <c r="S6011">
        <v>2921</v>
      </c>
      <c r="T6011">
        <v>2245</v>
      </c>
      <c r="U6011" t="s">
        <v>19</v>
      </c>
    </row>
    <row r="6012" spans="1:21">
      <c r="A6012" t="str">
        <f t="shared" si="2784"/>
        <v>10/10/2025</v>
      </c>
      <c r="B6012" t="str">
        <f>"ENTRADA"</f>
        <v>ENTRADA</v>
      </c>
      <c r="C6012" t="str">
        <f>"NFSE"</f>
        <v>NFSE</v>
      </c>
      <c r="D6012" t="str">
        <f>"3570"</f>
        <v>3570</v>
      </c>
      <c r="E6012" t="str">
        <f t="shared" si="2797"/>
        <v>COM</v>
      </c>
      <c r="F6012" t="str">
        <f>"DROGARIA TOTAL JUNDIAI (10177)"</f>
        <v>DROGARIA TOTAL JUNDIAI (10177)</v>
      </c>
      <c r="G6012" t="str">
        <f>"Serv.Prest. 29/09/2025 a 05/10/2025 - RPS: 1334 - NFSe: 3570"</f>
        <v>Serv.Prest. 29/09/2025 a 05/10/2025 - RPS: 1334 - NFSe: 3570</v>
      </c>
      <c r="H6012" t="str">
        <f>("08/10/2025")</f>
        <v>08/10/2025</v>
      </c>
      <c r="I6012" t="str">
        <f>("06/10/2025")</f>
        <v>06/10/2025</v>
      </c>
      <c r="J6012" t="str">
        <f t="shared" si="2788"/>
        <v>10/10/2025</v>
      </c>
      <c r="M6012">
        <v>303</v>
      </c>
      <c r="N6012" t="str">
        <f>"RECEITAS COM ENTREGAS"</f>
        <v>RECEITAS COM ENTREGAS</v>
      </c>
      <c r="P6012">
        <v>102.3</v>
      </c>
      <c r="Q6012" t="str">
        <f>"DROGARIA TOTAL JUNDIAI (10177)"</f>
        <v>DROGARIA TOTAL JUNDIAI (10177)</v>
      </c>
      <c r="R6012" t="str">
        <f>"RECEITAS COM ENTREGAS (303)"</f>
        <v>RECEITAS COM ENTREGAS (303)</v>
      </c>
      <c r="S6012">
        <v>2921</v>
      </c>
      <c r="T6012">
        <v>2245</v>
      </c>
      <c r="U6012" t="s">
        <v>19</v>
      </c>
    </row>
    <row r="6013" spans="1:21">
      <c r="A6013" t="str">
        <f t="shared" si="2784"/>
        <v>10/10/2025</v>
      </c>
      <c r="B6013" t="str">
        <f>"SAÍDA"</f>
        <v>SAÍDA</v>
      </c>
      <c r="C6013" t="str">
        <f>"PIX"</f>
        <v>PIX</v>
      </c>
      <c r="D6013" t="str">
        <f>"10102025"</f>
        <v>10102025</v>
      </c>
      <c r="E6013" t="str">
        <f t="shared" si="2797"/>
        <v>COM</v>
      </c>
      <c r="F6013" t="str">
        <f>"DROGARIA TOTAL - ATHENAS (10191)"</f>
        <v>DROGARIA TOTAL - ATHENAS (10191)</v>
      </c>
      <c r="G6013" t="str">
        <f>"DEVOLUÇÃO DE SETUP"</f>
        <v>DEVOLUÇÃO DE SETUP</v>
      </c>
      <c r="H6013" t="str">
        <f>("10/10/2025")</f>
        <v>10/10/2025</v>
      </c>
      <c r="I6013" t="str">
        <f>("10/10/2025")</f>
        <v>10/10/2025</v>
      </c>
      <c r="J6013" t="str">
        <f t="shared" si="2788"/>
        <v>10/10/2025</v>
      </c>
      <c r="K6013">
        <v>2000</v>
      </c>
      <c r="L6013">
        <v>2000</v>
      </c>
      <c r="M6013">
        <v>122</v>
      </c>
      <c r="N6013" t="str">
        <f>"DESPESAS COM REEMBOLSOS"</f>
        <v>DESPESAS COM REEMBOLSOS</v>
      </c>
      <c r="O6013">
        <v>2000</v>
      </c>
      <c r="R6013" t="str">
        <f>"BANCO CORA (102)"</f>
        <v>BANCO CORA (102)</v>
      </c>
      <c r="S6013">
        <v>3161</v>
      </c>
      <c r="T6013">
        <v>2749</v>
      </c>
      <c r="U6013" t="s">
        <v>19</v>
      </c>
    </row>
    <row r="6014" spans="1:21">
      <c r="A6014" t="str">
        <f t="shared" si="2784"/>
        <v>10/10/2025</v>
      </c>
      <c r="B6014" t="str">
        <f>"SAÍDA"</f>
        <v>SAÍDA</v>
      </c>
      <c r="C6014" t="str">
        <f>"PIX"</f>
        <v>PIX</v>
      </c>
      <c r="D6014" t="str">
        <f>"10102025"</f>
        <v>10102025</v>
      </c>
      <c r="E6014" t="str">
        <f t="shared" si="2797"/>
        <v>COM</v>
      </c>
      <c r="F6014" t="str">
        <f>"DROGARIA TOTAL - ATHENAS (10191)"</f>
        <v>DROGARIA TOTAL - ATHENAS (10191)</v>
      </c>
      <c r="G6014" t="str">
        <f>"DEVOLUÇÃO DE SETUP"</f>
        <v>DEVOLUÇÃO DE SETUP</v>
      </c>
      <c r="H6014" t="str">
        <f>("10/10/2025")</f>
        <v>10/10/2025</v>
      </c>
      <c r="I6014" t="str">
        <f>("10/10/2025")</f>
        <v>10/10/2025</v>
      </c>
      <c r="J6014" t="str">
        <f t="shared" si="2788"/>
        <v>10/10/2025</v>
      </c>
      <c r="M6014">
        <v>122</v>
      </c>
      <c r="N6014" t="str">
        <f>"DESPESAS COM REEMBOLSOS"</f>
        <v>DESPESAS COM REEMBOLSOS</v>
      </c>
      <c r="P6014">
        <v>2000</v>
      </c>
      <c r="Q6014" t="str">
        <f>"DROGARIA TOTAL - ATHENAS (10191)"</f>
        <v>DROGARIA TOTAL - ATHENAS (10191)</v>
      </c>
      <c r="R6014" t="str">
        <f>"BANCO CORA (102)"</f>
        <v>BANCO CORA (102)</v>
      </c>
      <c r="S6014">
        <v>3161</v>
      </c>
      <c r="T6014">
        <v>2749</v>
      </c>
      <c r="U6014" t="s">
        <v>19</v>
      </c>
    </row>
    <row r="6015" spans="1:21">
      <c r="A6015" t="str">
        <f>("13/10/2025")</f>
        <v>13/10/2025</v>
      </c>
      <c r="B6015" t="str">
        <f>"SAÍDA"</f>
        <v>SAÍDA</v>
      </c>
      <c r="C6015" t="str">
        <f>"PIX"</f>
        <v>PIX</v>
      </c>
      <c r="D6015" t="str">
        <f>"751540"</f>
        <v>751540</v>
      </c>
      <c r="E6015" t="str">
        <f t="shared" si="2797"/>
        <v>COM</v>
      </c>
      <c r="F6015" t="str">
        <f>"MONGERAL AEGON SEGUROS E PREVIDENCIA SA (20063)"</f>
        <v>MONGERAL AEGON SEGUROS E PREVIDENCIA SA (20063)</v>
      </c>
      <c r="G6015" t="str">
        <f>"SEGURO DE VIDA SOCIOS"</f>
        <v>SEGURO DE VIDA SOCIOS</v>
      </c>
      <c r="H6015" t="str">
        <f>("12/10/2025")</f>
        <v>12/10/2025</v>
      </c>
      <c r="I6015" t="str">
        <f>("05/02/2025")</f>
        <v>05/02/2025</v>
      </c>
      <c r="J6015" t="str">
        <f>("13/10/2025")</f>
        <v>13/10/2025</v>
      </c>
      <c r="K6015">
        <v>228.37</v>
      </c>
      <c r="L6015">
        <v>228.37</v>
      </c>
      <c r="M6015">
        <v>192</v>
      </c>
      <c r="N6015" t="str">
        <f>"PLANOS E SEGUROS"</f>
        <v>PLANOS E SEGUROS</v>
      </c>
      <c r="O6015">
        <v>228.37</v>
      </c>
      <c r="R6015" t="str">
        <f>"BANCO CORA (102)"</f>
        <v>BANCO CORA (102)</v>
      </c>
      <c r="S6015">
        <v>2709</v>
      </c>
      <c r="T6015">
        <v>833</v>
      </c>
      <c r="U6015" t="s">
        <v>19</v>
      </c>
    </row>
    <row r="6016" spans="1:21">
      <c r="A6016" t="str">
        <f>("13/10/2025")</f>
        <v>13/10/2025</v>
      </c>
      <c r="B6016" t="str">
        <f>"SAÍDA"</f>
        <v>SAÍDA</v>
      </c>
      <c r="C6016" t="str">
        <f>"PIX"</f>
        <v>PIX</v>
      </c>
      <c r="D6016" t="str">
        <f>"751540"</f>
        <v>751540</v>
      </c>
      <c r="E6016" t="str">
        <f t="shared" si="2797"/>
        <v>COM</v>
      </c>
      <c r="F6016" t="str">
        <f>"MONGERAL AEGON SEGUROS E PREVIDENCIA SA (20063)"</f>
        <v>MONGERAL AEGON SEGUROS E PREVIDENCIA SA (20063)</v>
      </c>
      <c r="G6016" t="str">
        <f>"SEGURO DE VIDA SOCIOS"</f>
        <v>SEGURO DE VIDA SOCIOS</v>
      </c>
      <c r="H6016" t="str">
        <f>("12/10/2025")</f>
        <v>12/10/2025</v>
      </c>
      <c r="I6016" t="str">
        <f>("05/02/2025")</f>
        <v>05/02/2025</v>
      </c>
      <c r="J6016" t="str">
        <f>("13/10/2025")</f>
        <v>13/10/2025</v>
      </c>
      <c r="M6016">
        <v>192</v>
      </c>
      <c r="N6016" t="str">
        <f>"PLANOS E SEGUROS"</f>
        <v>PLANOS E SEGUROS</v>
      </c>
      <c r="P6016">
        <v>228.37</v>
      </c>
      <c r="Q6016" t="str">
        <f>"MONGERAL AEGON SEGUROS E PREVIDENCIA SA (20063)"</f>
        <v>MONGERAL AEGON SEGUROS E PREVIDENCIA SA (20063)</v>
      </c>
      <c r="R6016" t="str">
        <f>"BANCO CORA (102)"</f>
        <v>BANCO CORA (102)</v>
      </c>
      <c r="S6016">
        <v>2709</v>
      </c>
      <c r="T6016">
        <v>833</v>
      </c>
      <c r="U6016" t="s">
        <v>19</v>
      </c>
    </row>
    <row r="6017" spans="1:21">
      <c r="A6017" t="str">
        <f t="shared" ref="A6017:A6048" si="2798">("15/10/2025")</f>
        <v>15/10/2025</v>
      </c>
      <c r="B6017" t="str">
        <f>"ENTRADA"</f>
        <v>ENTRADA</v>
      </c>
      <c r="C6017" t="str">
        <f t="shared" ref="C6017:C6048" si="2799">"NFSE"</f>
        <v>NFSE</v>
      </c>
      <c r="D6017" t="str">
        <f t="shared" ref="D6017:D6029" si="2800">"3575"</f>
        <v>3575</v>
      </c>
      <c r="E6017" t="str">
        <f t="shared" si="2797"/>
        <v>COM</v>
      </c>
      <c r="F6017" t="str">
        <f t="shared" ref="F6017:F6029" si="2801">"FARMÁCIA INDIANA LJ 30 (10127)"</f>
        <v>FARMÁCIA INDIANA LJ 30 (10127)</v>
      </c>
      <c r="G6017" t="str">
        <f t="shared" ref="G6017:G6029" si="2802">"Serv.Prest. 26/09/2025 a 05/10/2025 - RPS: 1339 - NFSe: 3575"</f>
        <v>Serv.Prest. 26/09/2025 a 05/10/2025 - RPS: 1339 - NFSe: 3575</v>
      </c>
      <c r="H6017" t="str">
        <f t="shared" ref="H6017:H6048" si="2803">("15/10/2025")</f>
        <v>15/10/2025</v>
      </c>
      <c r="I6017" t="str">
        <f t="shared" ref="I6017:I6048" si="2804">("07/10/2025")</f>
        <v>07/10/2025</v>
      </c>
      <c r="J6017" t="str">
        <f t="shared" ref="J6017:J6048" si="2805">("15/10/2025")</f>
        <v>15/10/2025</v>
      </c>
      <c r="K6017">
        <v>3930.71</v>
      </c>
      <c r="L6017">
        <v>3930.71</v>
      </c>
      <c r="M6017">
        <v>303</v>
      </c>
      <c r="N6017" t="str">
        <f t="shared" ref="N6017:N6048" si="2806">"RECEITAS COM ENTREGAS"</f>
        <v>RECEITAS COM ENTREGAS</v>
      </c>
      <c r="O6017">
        <v>3930.71</v>
      </c>
      <c r="R6017" t="str">
        <f t="shared" ref="R6017:R6048" si="2807">"RECEITAS COM ENTREGAS (303)"</f>
        <v>RECEITAS COM ENTREGAS (303)</v>
      </c>
      <c r="S6017">
        <v>2710</v>
      </c>
      <c r="T6017">
        <v>2250</v>
      </c>
      <c r="U6017" t="s">
        <v>19</v>
      </c>
    </row>
    <row r="6018" spans="1:21">
      <c r="A6018" t="str">
        <f t="shared" si="2798"/>
        <v>15/10/2025</v>
      </c>
      <c r="B6018" t="str">
        <f t="shared" ref="B6018:B6081" si="2808">"ENTRADA"</f>
        <v>ENTRADA</v>
      </c>
      <c r="C6018" t="str">
        <f t="shared" si="2799"/>
        <v>NFSE</v>
      </c>
      <c r="D6018" t="str">
        <f t="shared" si="2800"/>
        <v>3575</v>
      </c>
      <c r="E6018" t="str">
        <f t="shared" si="2797"/>
        <v>COM</v>
      </c>
      <c r="F6018" t="str">
        <f t="shared" si="2801"/>
        <v>FARMÁCIA INDIANA LJ 30 (10127)</v>
      </c>
      <c r="G6018" t="str">
        <f t="shared" si="2802"/>
        <v>Serv.Prest. 26/09/2025 a 05/10/2025 - RPS: 1339 - NFSe: 3575</v>
      </c>
      <c r="H6018" t="str">
        <f t="shared" si="2803"/>
        <v>15/10/2025</v>
      </c>
      <c r="I6018" t="str">
        <f t="shared" si="2804"/>
        <v>07/10/2025</v>
      </c>
      <c r="J6018" t="str">
        <f t="shared" si="2805"/>
        <v>15/10/2025</v>
      </c>
      <c r="M6018">
        <v>303</v>
      </c>
      <c r="N6018" t="str">
        <f t="shared" si="2806"/>
        <v>RECEITAS COM ENTREGAS</v>
      </c>
      <c r="P6018">
        <v>406.45</v>
      </c>
      <c r="Q6018" t="str">
        <f>"FARMÁCIA INDIANA LJ 34 (10014)"</f>
        <v>FARMÁCIA INDIANA LJ 34 (10014)</v>
      </c>
      <c r="R6018" t="str">
        <f t="shared" si="2807"/>
        <v>RECEITAS COM ENTREGAS (303)</v>
      </c>
      <c r="S6018">
        <v>2710</v>
      </c>
      <c r="T6018">
        <v>2250</v>
      </c>
      <c r="U6018" t="s">
        <v>19</v>
      </c>
    </row>
    <row r="6019" spans="1:21">
      <c r="A6019" t="str">
        <f t="shared" si="2798"/>
        <v>15/10/2025</v>
      </c>
      <c r="B6019" t="str">
        <f t="shared" si="2808"/>
        <v>ENTRADA</v>
      </c>
      <c r="C6019" t="str">
        <f t="shared" si="2799"/>
        <v>NFSE</v>
      </c>
      <c r="D6019" t="str">
        <f t="shared" si="2800"/>
        <v>3575</v>
      </c>
      <c r="E6019" t="str">
        <f t="shared" si="2797"/>
        <v>COM</v>
      </c>
      <c r="F6019" t="str">
        <f t="shared" si="2801"/>
        <v>FARMÁCIA INDIANA LJ 30 (10127)</v>
      </c>
      <c r="G6019" t="str">
        <f t="shared" si="2802"/>
        <v>Serv.Prest. 26/09/2025 a 05/10/2025 - RPS: 1339 - NFSe: 3575</v>
      </c>
      <c r="H6019" t="str">
        <f t="shared" si="2803"/>
        <v>15/10/2025</v>
      </c>
      <c r="I6019" t="str">
        <f t="shared" si="2804"/>
        <v>07/10/2025</v>
      </c>
      <c r="J6019" t="str">
        <f t="shared" si="2805"/>
        <v>15/10/2025</v>
      </c>
      <c r="M6019">
        <v>303</v>
      </c>
      <c r="N6019" t="str">
        <f t="shared" si="2806"/>
        <v>RECEITAS COM ENTREGAS</v>
      </c>
      <c r="P6019">
        <v>251.96</v>
      </c>
      <c r="Q6019" t="str">
        <f>"FARMÁCIA INDIANA LJ 35 (10015)"</f>
        <v>FARMÁCIA INDIANA LJ 35 (10015)</v>
      </c>
      <c r="R6019" t="str">
        <f t="shared" si="2807"/>
        <v>RECEITAS COM ENTREGAS (303)</v>
      </c>
      <c r="S6019">
        <v>2710</v>
      </c>
      <c r="T6019">
        <v>2250</v>
      </c>
      <c r="U6019" t="s">
        <v>19</v>
      </c>
    </row>
    <row r="6020" spans="1:21">
      <c r="A6020" t="str">
        <f t="shared" si="2798"/>
        <v>15/10/2025</v>
      </c>
      <c r="B6020" t="str">
        <f t="shared" si="2808"/>
        <v>ENTRADA</v>
      </c>
      <c r="C6020" t="str">
        <f t="shared" si="2799"/>
        <v>NFSE</v>
      </c>
      <c r="D6020" t="str">
        <f t="shared" si="2800"/>
        <v>3575</v>
      </c>
      <c r="E6020" t="str">
        <f t="shared" si="2797"/>
        <v>COM</v>
      </c>
      <c r="F6020" t="str">
        <f t="shared" si="2801"/>
        <v>FARMÁCIA INDIANA LJ 30 (10127)</v>
      </c>
      <c r="G6020" t="str">
        <f t="shared" si="2802"/>
        <v>Serv.Prest. 26/09/2025 a 05/10/2025 - RPS: 1339 - NFSe: 3575</v>
      </c>
      <c r="H6020" t="str">
        <f t="shared" si="2803"/>
        <v>15/10/2025</v>
      </c>
      <c r="I6020" t="str">
        <f t="shared" si="2804"/>
        <v>07/10/2025</v>
      </c>
      <c r="J6020" t="str">
        <f t="shared" si="2805"/>
        <v>15/10/2025</v>
      </c>
      <c r="M6020">
        <v>303</v>
      </c>
      <c r="N6020" t="str">
        <f t="shared" si="2806"/>
        <v>RECEITAS COM ENTREGAS</v>
      </c>
      <c r="P6020">
        <v>397.39</v>
      </c>
      <c r="Q6020" t="str">
        <f>"FARMÁCIA INDIANA LJ 48 (10018)"</f>
        <v>FARMÁCIA INDIANA LJ 48 (10018)</v>
      </c>
      <c r="R6020" t="str">
        <f t="shared" si="2807"/>
        <v>RECEITAS COM ENTREGAS (303)</v>
      </c>
      <c r="S6020">
        <v>2710</v>
      </c>
      <c r="T6020">
        <v>2250</v>
      </c>
      <c r="U6020" t="s">
        <v>19</v>
      </c>
    </row>
    <row r="6021" spans="1:21">
      <c r="A6021" t="str">
        <f t="shared" si="2798"/>
        <v>15/10/2025</v>
      </c>
      <c r="B6021" t="str">
        <f t="shared" si="2808"/>
        <v>ENTRADA</v>
      </c>
      <c r="C6021" t="str">
        <f t="shared" si="2799"/>
        <v>NFSE</v>
      </c>
      <c r="D6021" t="str">
        <f t="shared" si="2800"/>
        <v>3575</v>
      </c>
      <c r="E6021" t="str">
        <f t="shared" si="2797"/>
        <v>COM</v>
      </c>
      <c r="F6021" t="str">
        <f t="shared" si="2801"/>
        <v>FARMÁCIA INDIANA LJ 30 (10127)</v>
      </c>
      <c r="G6021" t="str">
        <f t="shared" si="2802"/>
        <v>Serv.Prest. 26/09/2025 a 05/10/2025 - RPS: 1339 - NFSe: 3575</v>
      </c>
      <c r="H6021" t="str">
        <f t="shared" si="2803"/>
        <v>15/10/2025</v>
      </c>
      <c r="I6021" t="str">
        <f t="shared" si="2804"/>
        <v>07/10/2025</v>
      </c>
      <c r="J6021" t="str">
        <f t="shared" si="2805"/>
        <v>15/10/2025</v>
      </c>
      <c r="M6021">
        <v>303</v>
      </c>
      <c r="N6021" t="str">
        <f t="shared" si="2806"/>
        <v>RECEITAS COM ENTREGAS</v>
      </c>
      <c r="P6021">
        <v>348.65</v>
      </c>
      <c r="Q6021" t="str">
        <f>"FARMÁCIA INDIANA LJ 65 (10030)"</f>
        <v>FARMÁCIA INDIANA LJ 65 (10030)</v>
      </c>
      <c r="R6021" t="str">
        <f t="shared" si="2807"/>
        <v>RECEITAS COM ENTREGAS (303)</v>
      </c>
      <c r="S6021">
        <v>2710</v>
      </c>
      <c r="T6021">
        <v>2250</v>
      </c>
      <c r="U6021" t="s">
        <v>19</v>
      </c>
    </row>
    <row r="6022" spans="1:21">
      <c r="A6022" t="str">
        <f t="shared" si="2798"/>
        <v>15/10/2025</v>
      </c>
      <c r="B6022" t="str">
        <f t="shared" si="2808"/>
        <v>ENTRADA</v>
      </c>
      <c r="C6022" t="str">
        <f t="shared" si="2799"/>
        <v>NFSE</v>
      </c>
      <c r="D6022" t="str">
        <f t="shared" si="2800"/>
        <v>3575</v>
      </c>
      <c r="E6022" t="str">
        <f t="shared" si="2797"/>
        <v>COM</v>
      </c>
      <c r="F6022" t="str">
        <f t="shared" si="2801"/>
        <v>FARMÁCIA INDIANA LJ 30 (10127)</v>
      </c>
      <c r="G6022" t="str">
        <f t="shared" si="2802"/>
        <v>Serv.Prest. 26/09/2025 a 05/10/2025 - RPS: 1339 - NFSe: 3575</v>
      </c>
      <c r="H6022" t="str">
        <f t="shared" si="2803"/>
        <v>15/10/2025</v>
      </c>
      <c r="I6022" t="str">
        <f t="shared" si="2804"/>
        <v>07/10/2025</v>
      </c>
      <c r="J6022" t="str">
        <f t="shared" si="2805"/>
        <v>15/10/2025</v>
      </c>
      <c r="M6022">
        <v>303</v>
      </c>
      <c r="N6022" t="str">
        <f t="shared" si="2806"/>
        <v>RECEITAS COM ENTREGAS</v>
      </c>
      <c r="P6022">
        <v>128.53</v>
      </c>
      <c r="Q6022" t="str">
        <f>"FARMÁCIA INDIANA LJ 77 (10034)"</f>
        <v>FARMÁCIA INDIANA LJ 77 (10034)</v>
      </c>
      <c r="R6022" t="str">
        <f t="shared" si="2807"/>
        <v>RECEITAS COM ENTREGAS (303)</v>
      </c>
      <c r="S6022">
        <v>2710</v>
      </c>
      <c r="T6022">
        <v>2250</v>
      </c>
      <c r="U6022" t="s">
        <v>19</v>
      </c>
    </row>
    <row r="6023" spans="1:21">
      <c r="A6023" t="str">
        <f t="shared" si="2798"/>
        <v>15/10/2025</v>
      </c>
      <c r="B6023" t="str">
        <f t="shared" si="2808"/>
        <v>ENTRADA</v>
      </c>
      <c r="C6023" t="str">
        <f t="shared" si="2799"/>
        <v>NFSE</v>
      </c>
      <c r="D6023" t="str">
        <f t="shared" si="2800"/>
        <v>3575</v>
      </c>
      <c r="E6023" t="str">
        <f t="shared" si="2797"/>
        <v>COM</v>
      </c>
      <c r="F6023" t="str">
        <f t="shared" si="2801"/>
        <v>FARMÁCIA INDIANA LJ 30 (10127)</v>
      </c>
      <c r="G6023" t="str">
        <f t="shared" si="2802"/>
        <v>Serv.Prest. 26/09/2025 a 05/10/2025 - RPS: 1339 - NFSe: 3575</v>
      </c>
      <c r="H6023" t="str">
        <f t="shared" si="2803"/>
        <v>15/10/2025</v>
      </c>
      <c r="I6023" t="str">
        <f t="shared" si="2804"/>
        <v>07/10/2025</v>
      </c>
      <c r="J6023" t="str">
        <f t="shared" si="2805"/>
        <v>15/10/2025</v>
      </c>
      <c r="M6023">
        <v>303</v>
      </c>
      <c r="N6023" t="str">
        <f t="shared" si="2806"/>
        <v>RECEITAS COM ENTREGAS</v>
      </c>
      <c r="P6023">
        <v>1007.05</v>
      </c>
      <c r="Q6023" t="str">
        <f>"FARMÁCIA INDIANA LJ 91 (10037)"</f>
        <v>FARMÁCIA INDIANA LJ 91 (10037)</v>
      </c>
      <c r="R6023" t="str">
        <f t="shared" si="2807"/>
        <v>RECEITAS COM ENTREGAS (303)</v>
      </c>
      <c r="S6023">
        <v>2710</v>
      </c>
      <c r="T6023">
        <v>2250</v>
      </c>
      <c r="U6023" t="s">
        <v>19</v>
      </c>
    </row>
    <row r="6024" spans="1:21">
      <c r="A6024" t="str">
        <f t="shared" si="2798"/>
        <v>15/10/2025</v>
      </c>
      <c r="B6024" t="str">
        <f t="shared" si="2808"/>
        <v>ENTRADA</v>
      </c>
      <c r="C6024" t="str">
        <f t="shared" si="2799"/>
        <v>NFSE</v>
      </c>
      <c r="D6024" t="str">
        <f t="shared" si="2800"/>
        <v>3575</v>
      </c>
      <c r="E6024" t="str">
        <f t="shared" si="2797"/>
        <v>COM</v>
      </c>
      <c r="F6024" t="str">
        <f t="shared" si="2801"/>
        <v>FARMÁCIA INDIANA LJ 30 (10127)</v>
      </c>
      <c r="G6024" t="str">
        <f t="shared" si="2802"/>
        <v>Serv.Prest. 26/09/2025 a 05/10/2025 - RPS: 1339 - NFSe: 3575</v>
      </c>
      <c r="H6024" t="str">
        <f t="shared" si="2803"/>
        <v>15/10/2025</v>
      </c>
      <c r="I6024" t="str">
        <f t="shared" si="2804"/>
        <v>07/10/2025</v>
      </c>
      <c r="J6024" t="str">
        <f t="shared" si="2805"/>
        <v>15/10/2025</v>
      </c>
      <c r="M6024">
        <v>303</v>
      </c>
      <c r="N6024" t="str">
        <f t="shared" si="2806"/>
        <v>RECEITAS COM ENTREGAS</v>
      </c>
      <c r="P6024">
        <v>360.05</v>
      </c>
      <c r="Q6024" t="str">
        <f>"FARMÁCIA INDIANA LJ 95 (10039)"</f>
        <v>FARMÁCIA INDIANA LJ 95 (10039)</v>
      </c>
      <c r="R6024" t="str">
        <f t="shared" si="2807"/>
        <v>RECEITAS COM ENTREGAS (303)</v>
      </c>
      <c r="S6024">
        <v>2710</v>
      </c>
      <c r="T6024">
        <v>2250</v>
      </c>
      <c r="U6024" t="s">
        <v>19</v>
      </c>
    </row>
    <row r="6025" spans="1:21">
      <c r="A6025" t="str">
        <f t="shared" si="2798"/>
        <v>15/10/2025</v>
      </c>
      <c r="B6025" t="str">
        <f t="shared" si="2808"/>
        <v>ENTRADA</v>
      </c>
      <c r="C6025" t="str">
        <f t="shared" si="2799"/>
        <v>NFSE</v>
      </c>
      <c r="D6025" t="str">
        <f t="shared" si="2800"/>
        <v>3575</v>
      </c>
      <c r="E6025" t="str">
        <f t="shared" si="2797"/>
        <v>COM</v>
      </c>
      <c r="F6025" t="str">
        <f t="shared" si="2801"/>
        <v>FARMÁCIA INDIANA LJ 30 (10127)</v>
      </c>
      <c r="G6025" t="str">
        <f t="shared" si="2802"/>
        <v>Serv.Prest. 26/09/2025 a 05/10/2025 - RPS: 1339 - NFSe: 3575</v>
      </c>
      <c r="H6025" t="str">
        <f t="shared" si="2803"/>
        <v>15/10/2025</v>
      </c>
      <c r="I6025" t="str">
        <f t="shared" si="2804"/>
        <v>07/10/2025</v>
      </c>
      <c r="J6025" t="str">
        <f t="shared" si="2805"/>
        <v>15/10/2025</v>
      </c>
      <c r="M6025">
        <v>303</v>
      </c>
      <c r="N6025" t="str">
        <f t="shared" si="2806"/>
        <v>RECEITAS COM ENTREGAS</v>
      </c>
      <c r="P6025">
        <v>280.64999999999998</v>
      </c>
      <c r="Q6025" t="str">
        <f>"FARMÁCIA INDIANA LJ 145 (10068)"</f>
        <v>FARMÁCIA INDIANA LJ 145 (10068)</v>
      </c>
      <c r="R6025" t="str">
        <f t="shared" si="2807"/>
        <v>RECEITAS COM ENTREGAS (303)</v>
      </c>
      <c r="S6025">
        <v>2710</v>
      </c>
      <c r="T6025">
        <v>2250</v>
      </c>
      <c r="U6025" t="s">
        <v>19</v>
      </c>
    </row>
    <row r="6026" spans="1:21">
      <c r="A6026" t="str">
        <f t="shared" si="2798"/>
        <v>15/10/2025</v>
      </c>
      <c r="B6026" t="str">
        <f t="shared" si="2808"/>
        <v>ENTRADA</v>
      </c>
      <c r="C6026" t="str">
        <f t="shared" si="2799"/>
        <v>NFSE</v>
      </c>
      <c r="D6026" t="str">
        <f t="shared" si="2800"/>
        <v>3575</v>
      </c>
      <c r="E6026" t="str">
        <f t="shared" si="2797"/>
        <v>COM</v>
      </c>
      <c r="F6026" t="str">
        <f t="shared" si="2801"/>
        <v>FARMÁCIA INDIANA LJ 30 (10127)</v>
      </c>
      <c r="G6026" t="str">
        <f t="shared" si="2802"/>
        <v>Serv.Prest. 26/09/2025 a 05/10/2025 - RPS: 1339 - NFSe: 3575</v>
      </c>
      <c r="H6026" t="str">
        <f t="shared" si="2803"/>
        <v>15/10/2025</v>
      </c>
      <c r="I6026" t="str">
        <f t="shared" si="2804"/>
        <v>07/10/2025</v>
      </c>
      <c r="J6026" t="str">
        <f t="shared" si="2805"/>
        <v>15/10/2025</v>
      </c>
      <c r="M6026">
        <v>303</v>
      </c>
      <c r="N6026" t="str">
        <f t="shared" si="2806"/>
        <v>RECEITAS COM ENTREGAS</v>
      </c>
      <c r="P6026">
        <v>185.53</v>
      </c>
      <c r="Q6026" t="str">
        <f>"FARMÁCIA INDIANA LJ 169 (10073)"</f>
        <v>FARMÁCIA INDIANA LJ 169 (10073)</v>
      </c>
      <c r="R6026" t="str">
        <f t="shared" si="2807"/>
        <v>RECEITAS COM ENTREGAS (303)</v>
      </c>
      <c r="S6026">
        <v>2710</v>
      </c>
      <c r="T6026">
        <v>2250</v>
      </c>
      <c r="U6026" t="s">
        <v>19</v>
      </c>
    </row>
    <row r="6027" spans="1:21">
      <c r="A6027" t="str">
        <f t="shared" si="2798"/>
        <v>15/10/2025</v>
      </c>
      <c r="B6027" t="str">
        <f t="shared" si="2808"/>
        <v>ENTRADA</v>
      </c>
      <c r="C6027" t="str">
        <f t="shared" si="2799"/>
        <v>NFSE</v>
      </c>
      <c r="D6027" t="str">
        <f t="shared" si="2800"/>
        <v>3575</v>
      </c>
      <c r="E6027" t="str">
        <f t="shared" si="2797"/>
        <v>COM</v>
      </c>
      <c r="F6027" t="str">
        <f t="shared" si="2801"/>
        <v>FARMÁCIA INDIANA LJ 30 (10127)</v>
      </c>
      <c r="G6027" t="str">
        <f t="shared" si="2802"/>
        <v>Serv.Prest. 26/09/2025 a 05/10/2025 - RPS: 1339 - NFSe: 3575</v>
      </c>
      <c r="H6027" t="str">
        <f t="shared" si="2803"/>
        <v>15/10/2025</v>
      </c>
      <c r="I6027" t="str">
        <f t="shared" si="2804"/>
        <v>07/10/2025</v>
      </c>
      <c r="J6027" t="str">
        <f t="shared" si="2805"/>
        <v>15/10/2025</v>
      </c>
      <c r="M6027">
        <v>303</v>
      </c>
      <c r="N6027" t="str">
        <f t="shared" si="2806"/>
        <v>RECEITAS COM ENTREGAS</v>
      </c>
      <c r="P6027">
        <v>174.52</v>
      </c>
      <c r="Q6027" t="str">
        <f>"FARMÁCIA INDIANA LJ 173 (10075)"</f>
        <v>FARMÁCIA INDIANA LJ 173 (10075)</v>
      </c>
      <c r="R6027" t="str">
        <f t="shared" si="2807"/>
        <v>RECEITAS COM ENTREGAS (303)</v>
      </c>
      <c r="S6027">
        <v>2710</v>
      </c>
      <c r="T6027">
        <v>2250</v>
      </c>
      <c r="U6027" t="s">
        <v>19</v>
      </c>
    </row>
    <row r="6028" spans="1:21">
      <c r="A6028" t="str">
        <f t="shared" si="2798"/>
        <v>15/10/2025</v>
      </c>
      <c r="B6028" t="str">
        <f t="shared" si="2808"/>
        <v>ENTRADA</v>
      </c>
      <c r="C6028" t="str">
        <f t="shared" si="2799"/>
        <v>NFSE</v>
      </c>
      <c r="D6028" t="str">
        <f t="shared" si="2800"/>
        <v>3575</v>
      </c>
      <c r="E6028" t="str">
        <f t="shared" si="2797"/>
        <v>COM</v>
      </c>
      <c r="F6028" t="str">
        <f t="shared" si="2801"/>
        <v>FARMÁCIA INDIANA LJ 30 (10127)</v>
      </c>
      <c r="G6028" t="str">
        <f t="shared" si="2802"/>
        <v>Serv.Prest. 26/09/2025 a 05/10/2025 - RPS: 1339 - NFSe: 3575</v>
      </c>
      <c r="H6028" t="str">
        <f t="shared" si="2803"/>
        <v>15/10/2025</v>
      </c>
      <c r="I6028" t="str">
        <f t="shared" si="2804"/>
        <v>07/10/2025</v>
      </c>
      <c r="J6028" t="str">
        <f t="shared" si="2805"/>
        <v>15/10/2025</v>
      </c>
      <c r="M6028">
        <v>303</v>
      </c>
      <c r="N6028" t="str">
        <f t="shared" si="2806"/>
        <v>RECEITAS COM ENTREGAS</v>
      </c>
      <c r="P6028">
        <v>203.61</v>
      </c>
      <c r="Q6028" t="str">
        <f>"FARMÁCIA INDIANA LJ 200 (10155)"</f>
        <v>FARMÁCIA INDIANA LJ 200 (10155)</v>
      </c>
      <c r="R6028" t="str">
        <f t="shared" si="2807"/>
        <v>RECEITAS COM ENTREGAS (303)</v>
      </c>
      <c r="S6028">
        <v>2710</v>
      </c>
      <c r="T6028">
        <v>2250</v>
      </c>
      <c r="U6028" t="s">
        <v>19</v>
      </c>
    </row>
    <row r="6029" spans="1:21">
      <c r="A6029" t="str">
        <f t="shared" si="2798"/>
        <v>15/10/2025</v>
      </c>
      <c r="B6029" t="str">
        <f t="shared" si="2808"/>
        <v>ENTRADA</v>
      </c>
      <c r="C6029" t="str">
        <f t="shared" si="2799"/>
        <v>NFSE</v>
      </c>
      <c r="D6029" t="str">
        <f t="shared" si="2800"/>
        <v>3575</v>
      </c>
      <c r="E6029" t="str">
        <f t="shared" si="2797"/>
        <v>COM</v>
      </c>
      <c r="F6029" t="str">
        <f t="shared" si="2801"/>
        <v>FARMÁCIA INDIANA LJ 30 (10127)</v>
      </c>
      <c r="G6029" t="str">
        <f t="shared" si="2802"/>
        <v>Serv.Prest. 26/09/2025 a 05/10/2025 - RPS: 1339 - NFSe: 3575</v>
      </c>
      <c r="H6029" t="str">
        <f t="shared" si="2803"/>
        <v>15/10/2025</v>
      </c>
      <c r="I6029" t="str">
        <f t="shared" si="2804"/>
        <v>07/10/2025</v>
      </c>
      <c r="J6029" t="str">
        <f t="shared" si="2805"/>
        <v>15/10/2025</v>
      </c>
      <c r="M6029">
        <v>303</v>
      </c>
      <c r="N6029" t="str">
        <f t="shared" si="2806"/>
        <v>RECEITAS COM ENTREGAS</v>
      </c>
      <c r="P6029">
        <v>186.32</v>
      </c>
      <c r="Q6029" t="str">
        <f>"FARMÁCIA INDIANA LJ 33 (10187)"</f>
        <v>FARMÁCIA INDIANA LJ 33 (10187)</v>
      </c>
      <c r="R6029" t="str">
        <f t="shared" si="2807"/>
        <v>RECEITAS COM ENTREGAS (303)</v>
      </c>
      <c r="S6029">
        <v>2710</v>
      </c>
      <c r="T6029">
        <v>2250</v>
      </c>
      <c r="U6029" t="s">
        <v>19</v>
      </c>
    </row>
    <row r="6030" spans="1:21">
      <c r="A6030" t="str">
        <f t="shared" si="2798"/>
        <v>15/10/2025</v>
      </c>
      <c r="B6030" t="str">
        <f t="shared" si="2808"/>
        <v>ENTRADA</v>
      </c>
      <c r="C6030" t="str">
        <f t="shared" si="2799"/>
        <v>NFSE</v>
      </c>
      <c r="D6030" t="str">
        <f t="shared" ref="D6030:D6077" si="2809">"3576"</f>
        <v>3576</v>
      </c>
      <c r="E6030" t="str">
        <f t="shared" si="2797"/>
        <v>COM</v>
      </c>
      <c r="F6030" t="str">
        <f t="shared" ref="F6030:F6077" si="2810">"FARMÁCIA INDIANA LJ 1 (10126)"</f>
        <v>FARMÁCIA INDIANA LJ 1 (10126)</v>
      </c>
      <c r="G6030" t="str">
        <f t="shared" ref="G6030:G6077" si="2811">"Serv.Prest. 26/09/2025 a 05/10/2025 - RPS: 1340 - NFSe: 3576"</f>
        <v>Serv.Prest. 26/09/2025 a 05/10/2025 - RPS: 1340 - NFSe: 3576</v>
      </c>
      <c r="H6030" t="str">
        <f t="shared" si="2803"/>
        <v>15/10/2025</v>
      </c>
      <c r="I6030" t="str">
        <f t="shared" si="2804"/>
        <v>07/10/2025</v>
      </c>
      <c r="J6030" t="str">
        <f t="shared" si="2805"/>
        <v>15/10/2025</v>
      </c>
      <c r="K6030">
        <v>18395.82</v>
      </c>
      <c r="L6030">
        <v>18395.82</v>
      </c>
      <c r="M6030">
        <v>303</v>
      </c>
      <c r="N6030" t="str">
        <f t="shared" si="2806"/>
        <v>RECEITAS COM ENTREGAS</v>
      </c>
      <c r="O6030">
        <v>18395.82</v>
      </c>
      <c r="R6030" t="str">
        <f t="shared" si="2807"/>
        <v>RECEITAS COM ENTREGAS (303)</v>
      </c>
      <c r="S6030">
        <v>2711</v>
      </c>
      <c r="T6030">
        <v>2251</v>
      </c>
      <c r="U6030" t="s">
        <v>19</v>
      </c>
    </row>
    <row r="6031" spans="1:21">
      <c r="A6031" t="str">
        <f t="shared" si="2798"/>
        <v>15/10/2025</v>
      </c>
      <c r="B6031" t="str">
        <f t="shared" si="2808"/>
        <v>ENTRADA</v>
      </c>
      <c r="C6031" t="str">
        <f t="shared" si="2799"/>
        <v>NFSE</v>
      </c>
      <c r="D6031" t="str">
        <f t="shared" si="2809"/>
        <v>3576</v>
      </c>
      <c r="E6031" t="str">
        <f t="shared" si="2797"/>
        <v>COM</v>
      </c>
      <c r="F6031" t="str">
        <f t="shared" si="2810"/>
        <v>FARMÁCIA INDIANA LJ 1 (10126)</v>
      </c>
      <c r="G6031" t="str">
        <f t="shared" si="2811"/>
        <v>Serv.Prest. 26/09/2025 a 05/10/2025 - RPS: 1340 - NFSe: 3576</v>
      </c>
      <c r="H6031" t="str">
        <f t="shared" si="2803"/>
        <v>15/10/2025</v>
      </c>
      <c r="I6031" t="str">
        <f t="shared" si="2804"/>
        <v>07/10/2025</v>
      </c>
      <c r="J6031" t="str">
        <f t="shared" si="2805"/>
        <v>15/10/2025</v>
      </c>
      <c r="M6031">
        <v>303</v>
      </c>
      <c r="N6031" t="str">
        <f t="shared" si="2806"/>
        <v>RECEITAS COM ENTREGAS</v>
      </c>
      <c r="P6031">
        <v>2812.69</v>
      </c>
      <c r="Q6031" t="str">
        <f>"FARMÁCIA INDIANA LJ 06 (10006)"</f>
        <v>FARMÁCIA INDIANA LJ 06 (10006)</v>
      </c>
      <c r="R6031" t="str">
        <f t="shared" si="2807"/>
        <v>RECEITAS COM ENTREGAS (303)</v>
      </c>
      <c r="S6031">
        <v>2711</v>
      </c>
      <c r="T6031">
        <v>2251</v>
      </c>
      <c r="U6031" t="s">
        <v>19</v>
      </c>
    </row>
    <row r="6032" spans="1:21">
      <c r="A6032" t="str">
        <f t="shared" si="2798"/>
        <v>15/10/2025</v>
      </c>
      <c r="B6032" t="str">
        <f t="shared" si="2808"/>
        <v>ENTRADA</v>
      </c>
      <c r="C6032" t="str">
        <f t="shared" si="2799"/>
        <v>NFSE</v>
      </c>
      <c r="D6032" t="str">
        <f t="shared" si="2809"/>
        <v>3576</v>
      </c>
      <c r="E6032" t="str">
        <f t="shared" si="2797"/>
        <v>COM</v>
      </c>
      <c r="F6032" t="str">
        <f t="shared" si="2810"/>
        <v>FARMÁCIA INDIANA LJ 1 (10126)</v>
      </c>
      <c r="G6032" t="str">
        <f t="shared" si="2811"/>
        <v>Serv.Prest. 26/09/2025 a 05/10/2025 - RPS: 1340 - NFSe: 3576</v>
      </c>
      <c r="H6032" t="str">
        <f t="shared" si="2803"/>
        <v>15/10/2025</v>
      </c>
      <c r="I6032" t="str">
        <f t="shared" si="2804"/>
        <v>07/10/2025</v>
      </c>
      <c r="J6032" t="str">
        <f t="shared" si="2805"/>
        <v>15/10/2025</v>
      </c>
      <c r="M6032">
        <v>303</v>
      </c>
      <c r="N6032" t="str">
        <f t="shared" si="2806"/>
        <v>RECEITAS COM ENTREGAS</v>
      </c>
      <c r="P6032">
        <v>2001.47</v>
      </c>
      <c r="Q6032" t="str">
        <f>"FARMÁCIA INDIANA LJ 07 (10007)"</f>
        <v>FARMÁCIA INDIANA LJ 07 (10007)</v>
      </c>
      <c r="R6032" t="str">
        <f t="shared" si="2807"/>
        <v>RECEITAS COM ENTREGAS (303)</v>
      </c>
      <c r="S6032">
        <v>2711</v>
      </c>
      <c r="T6032">
        <v>2251</v>
      </c>
      <c r="U6032" t="s">
        <v>19</v>
      </c>
    </row>
    <row r="6033" spans="1:21">
      <c r="A6033" t="str">
        <f t="shared" si="2798"/>
        <v>15/10/2025</v>
      </c>
      <c r="B6033" t="str">
        <f t="shared" si="2808"/>
        <v>ENTRADA</v>
      </c>
      <c r="C6033" t="str">
        <f t="shared" si="2799"/>
        <v>NFSE</v>
      </c>
      <c r="D6033" t="str">
        <f t="shared" si="2809"/>
        <v>3576</v>
      </c>
      <c r="E6033" t="str">
        <f t="shared" si="2797"/>
        <v>COM</v>
      </c>
      <c r="F6033" t="str">
        <f t="shared" si="2810"/>
        <v>FARMÁCIA INDIANA LJ 1 (10126)</v>
      </c>
      <c r="G6033" t="str">
        <f t="shared" si="2811"/>
        <v>Serv.Prest. 26/09/2025 a 05/10/2025 - RPS: 1340 - NFSe: 3576</v>
      </c>
      <c r="H6033" t="str">
        <f t="shared" si="2803"/>
        <v>15/10/2025</v>
      </c>
      <c r="I6033" t="str">
        <f t="shared" si="2804"/>
        <v>07/10/2025</v>
      </c>
      <c r="J6033" t="str">
        <f t="shared" si="2805"/>
        <v>15/10/2025</v>
      </c>
      <c r="M6033">
        <v>303</v>
      </c>
      <c r="N6033" t="str">
        <f t="shared" si="2806"/>
        <v>RECEITAS COM ENTREGAS</v>
      </c>
      <c r="P6033">
        <v>1352.09</v>
      </c>
      <c r="Q6033" t="str">
        <f>"FARMÁCIA INDIANA LJ 11 (10008)"</f>
        <v>FARMÁCIA INDIANA LJ 11 (10008)</v>
      </c>
      <c r="R6033" t="str">
        <f t="shared" si="2807"/>
        <v>RECEITAS COM ENTREGAS (303)</v>
      </c>
      <c r="S6033">
        <v>2711</v>
      </c>
      <c r="T6033">
        <v>2251</v>
      </c>
      <c r="U6033" t="s">
        <v>19</v>
      </c>
    </row>
    <row r="6034" spans="1:21">
      <c r="A6034" t="str">
        <f t="shared" si="2798"/>
        <v>15/10/2025</v>
      </c>
      <c r="B6034" t="str">
        <f t="shared" si="2808"/>
        <v>ENTRADA</v>
      </c>
      <c r="C6034" t="str">
        <f t="shared" si="2799"/>
        <v>NFSE</v>
      </c>
      <c r="D6034" t="str">
        <f t="shared" si="2809"/>
        <v>3576</v>
      </c>
      <c r="E6034" t="str">
        <f t="shared" si="2797"/>
        <v>COM</v>
      </c>
      <c r="F6034" t="str">
        <f t="shared" si="2810"/>
        <v>FARMÁCIA INDIANA LJ 1 (10126)</v>
      </c>
      <c r="G6034" t="str">
        <f t="shared" si="2811"/>
        <v>Serv.Prest. 26/09/2025 a 05/10/2025 - RPS: 1340 - NFSe: 3576</v>
      </c>
      <c r="H6034" t="str">
        <f t="shared" si="2803"/>
        <v>15/10/2025</v>
      </c>
      <c r="I6034" t="str">
        <f t="shared" si="2804"/>
        <v>07/10/2025</v>
      </c>
      <c r="J6034" t="str">
        <f t="shared" si="2805"/>
        <v>15/10/2025</v>
      </c>
      <c r="M6034">
        <v>303</v>
      </c>
      <c r="N6034" t="str">
        <f t="shared" si="2806"/>
        <v>RECEITAS COM ENTREGAS</v>
      </c>
      <c r="P6034">
        <v>721.12</v>
      </c>
      <c r="Q6034" t="str">
        <f>"FARMÁCIA INDIANA LJ 14 (10009)"</f>
        <v>FARMÁCIA INDIANA LJ 14 (10009)</v>
      </c>
      <c r="R6034" t="str">
        <f t="shared" si="2807"/>
        <v>RECEITAS COM ENTREGAS (303)</v>
      </c>
      <c r="S6034">
        <v>2711</v>
      </c>
      <c r="T6034">
        <v>2251</v>
      </c>
      <c r="U6034" t="s">
        <v>19</v>
      </c>
    </row>
    <row r="6035" spans="1:21">
      <c r="A6035" t="str">
        <f t="shared" si="2798"/>
        <v>15/10/2025</v>
      </c>
      <c r="B6035" t="str">
        <f t="shared" si="2808"/>
        <v>ENTRADA</v>
      </c>
      <c r="C6035" t="str">
        <f t="shared" si="2799"/>
        <v>NFSE</v>
      </c>
      <c r="D6035" t="str">
        <f t="shared" si="2809"/>
        <v>3576</v>
      </c>
      <c r="E6035" t="str">
        <f t="shared" si="2797"/>
        <v>COM</v>
      </c>
      <c r="F6035" t="str">
        <f t="shared" si="2810"/>
        <v>FARMÁCIA INDIANA LJ 1 (10126)</v>
      </c>
      <c r="G6035" t="str">
        <f t="shared" si="2811"/>
        <v>Serv.Prest. 26/09/2025 a 05/10/2025 - RPS: 1340 - NFSe: 3576</v>
      </c>
      <c r="H6035" t="str">
        <f t="shared" si="2803"/>
        <v>15/10/2025</v>
      </c>
      <c r="I6035" t="str">
        <f t="shared" si="2804"/>
        <v>07/10/2025</v>
      </c>
      <c r="J6035" t="str">
        <f t="shared" si="2805"/>
        <v>15/10/2025</v>
      </c>
      <c r="M6035">
        <v>303</v>
      </c>
      <c r="N6035" t="str">
        <f t="shared" si="2806"/>
        <v>RECEITAS COM ENTREGAS</v>
      </c>
      <c r="P6035">
        <v>450.7</v>
      </c>
      <c r="Q6035" t="str">
        <f>"FARMÁCIA INDIANA LJ 18 (10011)"</f>
        <v>FARMÁCIA INDIANA LJ 18 (10011)</v>
      </c>
      <c r="R6035" t="str">
        <f t="shared" si="2807"/>
        <v>RECEITAS COM ENTREGAS (303)</v>
      </c>
      <c r="S6035">
        <v>2711</v>
      </c>
      <c r="T6035">
        <v>2251</v>
      </c>
      <c r="U6035" t="s">
        <v>19</v>
      </c>
    </row>
    <row r="6036" spans="1:21">
      <c r="A6036" t="str">
        <f t="shared" si="2798"/>
        <v>15/10/2025</v>
      </c>
      <c r="B6036" t="str">
        <f t="shared" si="2808"/>
        <v>ENTRADA</v>
      </c>
      <c r="C6036" t="str">
        <f t="shared" si="2799"/>
        <v>NFSE</v>
      </c>
      <c r="D6036" t="str">
        <f t="shared" si="2809"/>
        <v>3576</v>
      </c>
      <c r="E6036" t="str">
        <f t="shared" si="2797"/>
        <v>COM</v>
      </c>
      <c r="F6036" t="str">
        <f t="shared" si="2810"/>
        <v>FARMÁCIA INDIANA LJ 1 (10126)</v>
      </c>
      <c r="G6036" t="str">
        <f t="shared" si="2811"/>
        <v>Serv.Prest. 26/09/2025 a 05/10/2025 - RPS: 1340 - NFSe: 3576</v>
      </c>
      <c r="H6036" t="str">
        <f t="shared" si="2803"/>
        <v>15/10/2025</v>
      </c>
      <c r="I6036" t="str">
        <f t="shared" si="2804"/>
        <v>07/10/2025</v>
      </c>
      <c r="J6036" t="str">
        <f t="shared" si="2805"/>
        <v>15/10/2025</v>
      </c>
      <c r="M6036">
        <v>303</v>
      </c>
      <c r="N6036" t="str">
        <f t="shared" si="2806"/>
        <v>RECEITAS COM ENTREGAS</v>
      </c>
      <c r="P6036">
        <v>550.04</v>
      </c>
      <c r="Q6036" t="str">
        <f>"FARMÁCIA INDIANA LJ 19 (10012)"</f>
        <v>FARMÁCIA INDIANA LJ 19 (10012)</v>
      </c>
      <c r="R6036" t="str">
        <f t="shared" si="2807"/>
        <v>RECEITAS COM ENTREGAS (303)</v>
      </c>
      <c r="S6036">
        <v>2711</v>
      </c>
      <c r="T6036">
        <v>2251</v>
      </c>
      <c r="U6036" t="s">
        <v>19</v>
      </c>
    </row>
    <row r="6037" spans="1:21">
      <c r="A6037" t="str">
        <f t="shared" si="2798"/>
        <v>15/10/2025</v>
      </c>
      <c r="B6037" t="str">
        <f t="shared" si="2808"/>
        <v>ENTRADA</v>
      </c>
      <c r="C6037" t="str">
        <f t="shared" si="2799"/>
        <v>NFSE</v>
      </c>
      <c r="D6037" t="str">
        <f t="shared" si="2809"/>
        <v>3576</v>
      </c>
      <c r="E6037" t="str">
        <f t="shared" si="2797"/>
        <v>COM</v>
      </c>
      <c r="F6037" t="str">
        <f t="shared" si="2810"/>
        <v>FARMÁCIA INDIANA LJ 1 (10126)</v>
      </c>
      <c r="G6037" t="str">
        <f t="shared" si="2811"/>
        <v>Serv.Prest. 26/09/2025 a 05/10/2025 - RPS: 1340 - NFSe: 3576</v>
      </c>
      <c r="H6037" t="str">
        <f t="shared" si="2803"/>
        <v>15/10/2025</v>
      </c>
      <c r="I6037" t="str">
        <f t="shared" si="2804"/>
        <v>07/10/2025</v>
      </c>
      <c r="J6037" t="str">
        <f t="shared" si="2805"/>
        <v>15/10/2025</v>
      </c>
      <c r="M6037">
        <v>303</v>
      </c>
      <c r="N6037" t="str">
        <f t="shared" si="2806"/>
        <v>RECEITAS COM ENTREGAS</v>
      </c>
      <c r="P6037">
        <v>1368.65</v>
      </c>
      <c r="Q6037" t="str">
        <f>"FARMÁCIA INDIANA LJ 40 (10016)"</f>
        <v>FARMÁCIA INDIANA LJ 40 (10016)</v>
      </c>
      <c r="R6037" t="str">
        <f t="shared" si="2807"/>
        <v>RECEITAS COM ENTREGAS (303)</v>
      </c>
      <c r="S6037">
        <v>2711</v>
      </c>
      <c r="T6037">
        <v>2251</v>
      </c>
      <c r="U6037" t="s">
        <v>19</v>
      </c>
    </row>
    <row r="6038" spans="1:21">
      <c r="A6038" t="str">
        <f t="shared" si="2798"/>
        <v>15/10/2025</v>
      </c>
      <c r="B6038" t="str">
        <f t="shared" si="2808"/>
        <v>ENTRADA</v>
      </c>
      <c r="C6038" t="str">
        <f t="shared" si="2799"/>
        <v>NFSE</v>
      </c>
      <c r="D6038" t="str">
        <f t="shared" si="2809"/>
        <v>3576</v>
      </c>
      <c r="E6038" t="str">
        <f t="shared" si="2797"/>
        <v>COM</v>
      </c>
      <c r="F6038" t="str">
        <f t="shared" si="2810"/>
        <v>FARMÁCIA INDIANA LJ 1 (10126)</v>
      </c>
      <c r="G6038" t="str">
        <f t="shared" si="2811"/>
        <v>Serv.Prest. 26/09/2025 a 05/10/2025 - RPS: 1340 - NFSe: 3576</v>
      </c>
      <c r="H6038" t="str">
        <f t="shared" si="2803"/>
        <v>15/10/2025</v>
      </c>
      <c r="I6038" t="str">
        <f t="shared" si="2804"/>
        <v>07/10/2025</v>
      </c>
      <c r="J6038" t="str">
        <f t="shared" si="2805"/>
        <v>15/10/2025</v>
      </c>
      <c r="M6038">
        <v>303</v>
      </c>
      <c r="N6038" t="str">
        <f t="shared" si="2806"/>
        <v>RECEITAS COM ENTREGAS</v>
      </c>
      <c r="P6038">
        <v>483.81</v>
      </c>
      <c r="Q6038" t="str">
        <f>"FARMÁCIA INDIANA LJ 59 (10026)"</f>
        <v>FARMÁCIA INDIANA LJ 59 (10026)</v>
      </c>
      <c r="R6038" t="str">
        <f t="shared" si="2807"/>
        <v>RECEITAS COM ENTREGAS (303)</v>
      </c>
      <c r="S6038">
        <v>2711</v>
      </c>
      <c r="T6038">
        <v>2251</v>
      </c>
      <c r="U6038" t="s">
        <v>19</v>
      </c>
    </row>
    <row r="6039" spans="1:21">
      <c r="A6039" t="str">
        <f t="shared" si="2798"/>
        <v>15/10/2025</v>
      </c>
      <c r="B6039" t="str">
        <f t="shared" si="2808"/>
        <v>ENTRADA</v>
      </c>
      <c r="C6039" t="str">
        <f t="shared" si="2799"/>
        <v>NFSE</v>
      </c>
      <c r="D6039" t="str">
        <f t="shared" si="2809"/>
        <v>3576</v>
      </c>
      <c r="E6039" t="str">
        <f t="shared" si="2797"/>
        <v>COM</v>
      </c>
      <c r="F6039" t="str">
        <f t="shared" si="2810"/>
        <v>FARMÁCIA INDIANA LJ 1 (10126)</v>
      </c>
      <c r="G6039" t="str">
        <f t="shared" si="2811"/>
        <v>Serv.Prest. 26/09/2025 a 05/10/2025 - RPS: 1340 - NFSe: 3576</v>
      </c>
      <c r="H6039" t="str">
        <f t="shared" si="2803"/>
        <v>15/10/2025</v>
      </c>
      <c r="I6039" t="str">
        <f t="shared" si="2804"/>
        <v>07/10/2025</v>
      </c>
      <c r="J6039" t="str">
        <f t="shared" si="2805"/>
        <v>15/10/2025</v>
      </c>
      <c r="M6039">
        <v>303</v>
      </c>
      <c r="N6039" t="str">
        <f t="shared" si="2806"/>
        <v>RECEITAS COM ENTREGAS</v>
      </c>
      <c r="P6039">
        <v>640.16999999999996</v>
      </c>
      <c r="Q6039" t="str">
        <f>"FARMÁCIA INDIANA LJ 61 (10027)"</f>
        <v>FARMÁCIA INDIANA LJ 61 (10027)</v>
      </c>
      <c r="R6039" t="str">
        <f t="shared" si="2807"/>
        <v>RECEITAS COM ENTREGAS (303)</v>
      </c>
      <c r="S6039">
        <v>2711</v>
      </c>
      <c r="T6039">
        <v>2251</v>
      </c>
      <c r="U6039" t="s">
        <v>19</v>
      </c>
    </row>
    <row r="6040" spans="1:21">
      <c r="A6040" t="str">
        <f t="shared" si="2798"/>
        <v>15/10/2025</v>
      </c>
      <c r="B6040" t="str">
        <f t="shared" si="2808"/>
        <v>ENTRADA</v>
      </c>
      <c r="C6040" t="str">
        <f t="shared" si="2799"/>
        <v>NFSE</v>
      </c>
      <c r="D6040" t="str">
        <f t="shared" si="2809"/>
        <v>3576</v>
      </c>
      <c r="E6040" t="str">
        <f t="shared" si="2797"/>
        <v>COM</v>
      </c>
      <c r="F6040" t="str">
        <f t="shared" si="2810"/>
        <v>FARMÁCIA INDIANA LJ 1 (10126)</v>
      </c>
      <c r="G6040" t="str">
        <f t="shared" si="2811"/>
        <v>Serv.Prest. 26/09/2025 a 05/10/2025 - RPS: 1340 - NFSe: 3576</v>
      </c>
      <c r="H6040" t="str">
        <f t="shared" si="2803"/>
        <v>15/10/2025</v>
      </c>
      <c r="I6040" t="str">
        <f t="shared" si="2804"/>
        <v>07/10/2025</v>
      </c>
      <c r="J6040" t="str">
        <f t="shared" si="2805"/>
        <v>15/10/2025</v>
      </c>
      <c r="M6040">
        <v>303</v>
      </c>
      <c r="N6040" t="str">
        <f t="shared" si="2806"/>
        <v>RECEITAS COM ENTREGAS</v>
      </c>
      <c r="P6040">
        <v>285.14</v>
      </c>
      <c r="Q6040" t="str">
        <f>"FARMÁCIA INDIANA LJ 62 (10028)"</f>
        <v>FARMÁCIA INDIANA LJ 62 (10028)</v>
      </c>
      <c r="R6040" t="str">
        <f t="shared" si="2807"/>
        <v>RECEITAS COM ENTREGAS (303)</v>
      </c>
      <c r="S6040">
        <v>2711</v>
      </c>
      <c r="T6040">
        <v>2251</v>
      </c>
      <c r="U6040" t="s">
        <v>19</v>
      </c>
    </row>
    <row r="6041" spans="1:21">
      <c r="A6041" t="str">
        <f t="shared" si="2798"/>
        <v>15/10/2025</v>
      </c>
      <c r="B6041" t="str">
        <f t="shared" si="2808"/>
        <v>ENTRADA</v>
      </c>
      <c r="C6041" t="str">
        <f t="shared" si="2799"/>
        <v>NFSE</v>
      </c>
      <c r="D6041" t="str">
        <f t="shared" si="2809"/>
        <v>3576</v>
      </c>
      <c r="E6041" t="str">
        <f t="shared" si="2797"/>
        <v>COM</v>
      </c>
      <c r="F6041" t="str">
        <f t="shared" si="2810"/>
        <v>FARMÁCIA INDIANA LJ 1 (10126)</v>
      </c>
      <c r="G6041" t="str">
        <f t="shared" si="2811"/>
        <v>Serv.Prest. 26/09/2025 a 05/10/2025 - RPS: 1340 - NFSe: 3576</v>
      </c>
      <c r="H6041" t="str">
        <f t="shared" si="2803"/>
        <v>15/10/2025</v>
      </c>
      <c r="I6041" t="str">
        <f t="shared" si="2804"/>
        <v>07/10/2025</v>
      </c>
      <c r="J6041" t="str">
        <f t="shared" si="2805"/>
        <v>15/10/2025</v>
      </c>
      <c r="M6041">
        <v>303</v>
      </c>
      <c r="N6041" t="str">
        <f t="shared" si="2806"/>
        <v>RECEITAS COM ENTREGAS</v>
      </c>
      <c r="P6041">
        <v>106.7</v>
      </c>
      <c r="Q6041" t="str">
        <f>"FARMÁCIA INDIANA LJ 64 (10029)"</f>
        <v>FARMÁCIA INDIANA LJ 64 (10029)</v>
      </c>
      <c r="R6041" t="str">
        <f t="shared" si="2807"/>
        <v>RECEITAS COM ENTREGAS (303)</v>
      </c>
      <c r="S6041">
        <v>2711</v>
      </c>
      <c r="T6041">
        <v>2251</v>
      </c>
      <c r="U6041" t="s">
        <v>19</v>
      </c>
    </row>
    <row r="6042" spans="1:21">
      <c r="A6042" t="str">
        <f t="shared" si="2798"/>
        <v>15/10/2025</v>
      </c>
      <c r="B6042" t="str">
        <f t="shared" si="2808"/>
        <v>ENTRADA</v>
      </c>
      <c r="C6042" t="str">
        <f t="shared" si="2799"/>
        <v>NFSE</v>
      </c>
      <c r="D6042" t="str">
        <f t="shared" si="2809"/>
        <v>3576</v>
      </c>
      <c r="E6042" t="str">
        <f t="shared" si="2797"/>
        <v>COM</v>
      </c>
      <c r="F6042" t="str">
        <f t="shared" si="2810"/>
        <v>FARMÁCIA INDIANA LJ 1 (10126)</v>
      </c>
      <c r="G6042" t="str">
        <f t="shared" si="2811"/>
        <v>Serv.Prest. 26/09/2025 a 05/10/2025 - RPS: 1340 - NFSe: 3576</v>
      </c>
      <c r="H6042" t="str">
        <f t="shared" si="2803"/>
        <v>15/10/2025</v>
      </c>
      <c r="I6042" t="str">
        <f t="shared" si="2804"/>
        <v>07/10/2025</v>
      </c>
      <c r="J6042" t="str">
        <f t="shared" si="2805"/>
        <v>15/10/2025</v>
      </c>
      <c r="M6042">
        <v>303</v>
      </c>
      <c r="N6042" t="str">
        <f t="shared" si="2806"/>
        <v>RECEITAS COM ENTREGAS</v>
      </c>
      <c r="P6042">
        <v>68.06</v>
      </c>
      <c r="Q6042" t="str">
        <f>"FARMÁCIA INDIANA LJ 97 (10040)"</f>
        <v>FARMÁCIA INDIANA LJ 97 (10040)</v>
      </c>
      <c r="R6042" t="str">
        <f t="shared" si="2807"/>
        <v>RECEITAS COM ENTREGAS (303)</v>
      </c>
      <c r="S6042">
        <v>2711</v>
      </c>
      <c r="T6042">
        <v>2251</v>
      </c>
      <c r="U6042" t="s">
        <v>19</v>
      </c>
    </row>
    <row r="6043" spans="1:21">
      <c r="A6043" t="str">
        <f t="shared" si="2798"/>
        <v>15/10/2025</v>
      </c>
      <c r="B6043" t="str">
        <f t="shared" si="2808"/>
        <v>ENTRADA</v>
      </c>
      <c r="C6043" t="str">
        <f t="shared" si="2799"/>
        <v>NFSE</v>
      </c>
      <c r="D6043" t="str">
        <f t="shared" si="2809"/>
        <v>3576</v>
      </c>
      <c r="E6043" t="str">
        <f t="shared" ref="E6043:E6074" si="2812">"COM"</f>
        <v>COM</v>
      </c>
      <c r="F6043" t="str">
        <f t="shared" si="2810"/>
        <v>FARMÁCIA INDIANA LJ 1 (10126)</v>
      </c>
      <c r="G6043" t="str">
        <f t="shared" si="2811"/>
        <v>Serv.Prest. 26/09/2025 a 05/10/2025 - RPS: 1340 - NFSe: 3576</v>
      </c>
      <c r="H6043" t="str">
        <f t="shared" si="2803"/>
        <v>15/10/2025</v>
      </c>
      <c r="I6043" t="str">
        <f t="shared" si="2804"/>
        <v>07/10/2025</v>
      </c>
      <c r="J6043" t="str">
        <f t="shared" si="2805"/>
        <v>15/10/2025</v>
      </c>
      <c r="M6043">
        <v>303</v>
      </c>
      <c r="N6043" t="str">
        <f t="shared" si="2806"/>
        <v>RECEITAS COM ENTREGAS</v>
      </c>
      <c r="P6043">
        <v>299.85000000000002</v>
      </c>
      <c r="Q6043" t="str">
        <f>"FARMÁCIA INDIANA LJ 100 (10042)"</f>
        <v>FARMÁCIA INDIANA LJ 100 (10042)</v>
      </c>
      <c r="R6043" t="str">
        <f t="shared" si="2807"/>
        <v>RECEITAS COM ENTREGAS (303)</v>
      </c>
      <c r="S6043">
        <v>2711</v>
      </c>
      <c r="T6043">
        <v>2251</v>
      </c>
      <c r="U6043" t="s">
        <v>19</v>
      </c>
    </row>
    <row r="6044" spans="1:21">
      <c r="A6044" t="str">
        <f t="shared" si="2798"/>
        <v>15/10/2025</v>
      </c>
      <c r="B6044" t="str">
        <f t="shared" si="2808"/>
        <v>ENTRADA</v>
      </c>
      <c r="C6044" t="str">
        <f t="shared" si="2799"/>
        <v>NFSE</v>
      </c>
      <c r="D6044" t="str">
        <f t="shared" si="2809"/>
        <v>3576</v>
      </c>
      <c r="E6044" t="str">
        <f t="shared" si="2812"/>
        <v>COM</v>
      </c>
      <c r="F6044" t="str">
        <f t="shared" si="2810"/>
        <v>FARMÁCIA INDIANA LJ 1 (10126)</v>
      </c>
      <c r="G6044" t="str">
        <f t="shared" si="2811"/>
        <v>Serv.Prest. 26/09/2025 a 05/10/2025 - RPS: 1340 - NFSe: 3576</v>
      </c>
      <c r="H6044" t="str">
        <f t="shared" si="2803"/>
        <v>15/10/2025</v>
      </c>
      <c r="I6044" t="str">
        <f t="shared" si="2804"/>
        <v>07/10/2025</v>
      </c>
      <c r="J6044" t="str">
        <f t="shared" si="2805"/>
        <v>15/10/2025</v>
      </c>
      <c r="M6044">
        <v>303</v>
      </c>
      <c r="N6044" t="str">
        <f t="shared" si="2806"/>
        <v>RECEITAS COM ENTREGAS</v>
      </c>
      <c r="P6044">
        <v>691.68</v>
      </c>
      <c r="Q6044" t="str">
        <f>"FARMÁCIA INDIANA LJ 101 (10043)"</f>
        <v>FARMÁCIA INDIANA LJ 101 (10043)</v>
      </c>
      <c r="R6044" t="str">
        <f t="shared" si="2807"/>
        <v>RECEITAS COM ENTREGAS (303)</v>
      </c>
      <c r="S6044">
        <v>2711</v>
      </c>
      <c r="T6044">
        <v>2251</v>
      </c>
      <c r="U6044" t="s">
        <v>19</v>
      </c>
    </row>
    <row r="6045" spans="1:21">
      <c r="A6045" t="str">
        <f t="shared" si="2798"/>
        <v>15/10/2025</v>
      </c>
      <c r="B6045" t="str">
        <f t="shared" si="2808"/>
        <v>ENTRADA</v>
      </c>
      <c r="C6045" t="str">
        <f t="shared" si="2799"/>
        <v>NFSE</v>
      </c>
      <c r="D6045" t="str">
        <f t="shared" si="2809"/>
        <v>3576</v>
      </c>
      <c r="E6045" t="str">
        <f t="shared" si="2812"/>
        <v>COM</v>
      </c>
      <c r="F6045" t="str">
        <f t="shared" si="2810"/>
        <v>FARMÁCIA INDIANA LJ 1 (10126)</v>
      </c>
      <c r="G6045" t="str">
        <f t="shared" si="2811"/>
        <v>Serv.Prest. 26/09/2025 a 05/10/2025 - RPS: 1340 - NFSe: 3576</v>
      </c>
      <c r="H6045" t="str">
        <f t="shared" si="2803"/>
        <v>15/10/2025</v>
      </c>
      <c r="I6045" t="str">
        <f t="shared" si="2804"/>
        <v>07/10/2025</v>
      </c>
      <c r="J6045" t="str">
        <f t="shared" si="2805"/>
        <v>15/10/2025</v>
      </c>
      <c r="M6045">
        <v>303</v>
      </c>
      <c r="N6045" t="str">
        <f t="shared" si="2806"/>
        <v>RECEITAS COM ENTREGAS</v>
      </c>
      <c r="P6045">
        <v>97.5</v>
      </c>
      <c r="Q6045" t="str">
        <f>"FARMÁCIA INDIANA LJ 103 (10044)"</f>
        <v>FARMÁCIA INDIANA LJ 103 (10044)</v>
      </c>
      <c r="R6045" t="str">
        <f t="shared" si="2807"/>
        <v>RECEITAS COM ENTREGAS (303)</v>
      </c>
      <c r="S6045">
        <v>2711</v>
      </c>
      <c r="T6045">
        <v>2251</v>
      </c>
      <c r="U6045" t="s">
        <v>19</v>
      </c>
    </row>
    <row r="6046" spans="1:21">
      <c r="A6046" t="str">
        <f t="shared" si="2798"/>
        <v>15/10/2025</v>
      </c>
      <c r="B6046" t="str">
        <f t="shared" si="2808"/>
        <v>ENTRADA</v>
      </c>
      <c r="C6046" t="str">
        <f t="shared" si="2799"/>
        <v>NFSE</v>
      </c>
      <c r="D6046" t="str">
        <f t="shared" si="2809"/>
        <v>3576</v>
      </c>
      <c r="E6046" t="str">
        <f t="shared" si="2812"/>
        <v>COM</v>
      </c>
      <c r="F6046" t="str">
        <f t="shared" si="2810"/>
        <v>FARMÁCIA INDIANA LJ 1 (10126)</v>
      </c>
      <c r="G6046" t="str">
        <f t="shared" si="2811"/>
        <v>Serv.Prest. 26/09/2025 a 05/10/2025 - RPS: 1340 - NFSe: 3576</v>
      </c>
      <c r="H6046" t="str">
        <f t="shared" si="2803"/>
        <v>15/10/2025</v>
      </c>
      <c r="I6046" t="str">
        <f t="shared" si="2804"/>
        <v>07/10/2025</v>
      </c>
      <c r="J6046" t="str">
        <f t="shared" si="2805"/>
        <v>15/10/2025</v>
      </c>
      <c r="M6046">
        <v>303</v>
      </c>
      <c r="N6046" t="str">
        <f t="shared" si="2806"/>
        <v>RECEITAS COM ENTREGAS</v>
      </c>
      <c r="P6046">
        <v>285.14</v>
      </c>
      <c r="Q6046" t="str">
        <f>"FARMÁCIA INDIANA LJ 109 (10047)"</f>
        <v>FARMÁCIA INDIANA LJ 109 (10047)</v>
      </c>
      <c r="R6046" t="str">
        <f t="shared" si="2807"/>
        <v>RECEITAS COM ENTREGAS (303)</v>
      </c>
      <c r="S6046">
        <v>2711</v>
      </c>
      <c r="T6046">
        <v>2251</v>
      </c>
      <c r="U6046" t="s">
        <v>19</v>
      </c>
    </row>
    <row r="6047" spans="1:21">
      <c r="A6047" t="str">
        <f t="shared" si="2798"/>
        <v>15/10/2025</v>
      </c>
      <c r="B6047" t="str">
        <f t="shared" si="2808"/>
        <v>ENTRADA</v>
      </c>
      <c r="C6047" t="str">
        <f t="shared" si="2799"/>
        <v>NFSE</v>
      </c>
      <c r="D6047" t="str">
        <f t="shared" si="2809"/>
        <v>3576</v>
      </c>
      <c r="E6047" t="str">
        <f t="shared" si="2812"/>
        <v>COM</v>
      </c>
      <c r="F6047" t="str">
        <f t="shared" si="2810"/>
        <v>FARMÁCIA INDIANA LJ 1 (10126)</v>
      </c>
      <c r="G6047" t="str">
        <f t="shared" si="2811"/>
        <v>Serv.Prest. 26/09/2025 a 05/10/2025 - RPS: 1340 - NFSe: 3576</v>
      </c>
      <c r="H6047" t="str">
        <f t="shared" si="2803"/>
        <v>15/10/2025</v>
      </c>
      <c r="I6047" t="str">
        <f t="shared" si="2804"/>
        <v>07/10/2025</v>
      </c>
      <c r="J6047" t="str">
        <f t="shared" si="2805"/>
        <v>15/10/2025</v>
      </c>
      <c r="M6047">
        <v>303</v>
      </c>
      <c r="N6047" t="str">
        <f t="shared" si="2806"/>
        <v>RECEITAS COM ENTREGAS</v>
      </c>
      <c r="P6047">
        <v>340.32</v>
      </c>
      <c r="Q6047" t="str">
        <f>"FARMÁCIA INDIANA LJ 110 (10048)"</f>
        <v>FARMÁCIA INDIANA LJ 110 (10048)</v>
      </c>
      <c r="R6047" t="str">
        <f t="shared" si="2807"/>
        <v>RECEITAS COM ENTREGAS (303)</v>
      </c>
      <c r="S6047">
        <v>2711</v>
      </c>
      <c r="T6047">
        <v>2251</v>
      </c>
      <c r="U6047" t="s">
        <v>19</v>
      </c>
    </row>
    <row r="6048" spans="1:21">
      <c r="A6048" t="str">
        <f t="shared" si="2798"/>
        <v>15/10/2025</v>
      </c>
      <c r="B6048" t="str">
        <f t="shared" si="2808"/>
        <v>ENTRADA</v>
      </c>
      <c r="C6048" t="str">
        <f t="shared" si="2799"/>
        <v>NFSE</v>
      </c>
      <c r="D6048" t="str">
        <f t="shared" si="2809"/>
        <v>3576</v>
      </c>
      <c r="E6048" t="str">
        <f t="shared" si="2812"/>
        <v>COM</v>
      </c>
      <c r="F6048" t="str">
        <f t="shared" si="2810"/>
        <v>FARMÁCIA INDIANA LJ 1 (10126)</v>
      </c>
      <c r="G6048" t="str">
        <f t="shared" si="2811"/>
        <v>Serv.Prest. 26/09/2025 a 05/10/2025 - RPS: 1340 - NFSe: 3576</v>
      </c>
      <c r="H6048" t="str">
        <f t="shared" si="2803"/>
        <v>15/10/2025</v>
      </c>
      <c r="I6048" t="str">
        <f t="shared" si="2804"/>
        <v>07/10/2025</v>
      </c>
      <c r="J6048" t="str">
        <f t="shared" si="2805"/>
        <v>15/10/2025</v>
      </c>
      <c r="M6048">
        <v>303</v>
      </c>
      <c r="N6048" t="str">
        <f t="shared" si="2806"/>
        <v>RECEITAS COM ENTREGAS</v>
      </c>
      <c r="P6048">
        <v>66.22</v>
      </c>
      <c r="Q6048" t="str">
        <f>"FARMÁCIA INDIANA LJ 111 (10049)"</f>
        <v>FARMÁCIA INDIANA LJ 111 (10049)</v>
      </c>
      <c r="R6048" t="str">
        <f t="shared" si="2807"/>
        <v>RECEITAS COM ENTREGAS (303)</v>
      </c>
      <c r="S6048">
        <v>2711</v>
      </c>
      <c r="T6048">
        <v>2251</v>
      </c>
      <c r="U6048" t="s">
        <v>19</v>
      </c>
    </row>
    <row r="6049" spans="1:21">
      <c r="A6049" t="str">
        <f t="shared" ref="A6049:A6080" si="2813">("15/10/2025")</f>
        <v>15/10/2025</v>
      </c>
      <c r="B6049" t="str">
        <f t="shared" si="2808"/>
        <v>ENTRADA</v>
      </c>
      <c r="C6049" t="str">
        <f t="shared" ref="C6049:C6080" si="2814">"NFSE"</f>
        <v>NFSE</v>
      </c>
      <c r="D6049" t="str">
        <f t="shared" si="2809"/>
        <v>3576</v>
      </c>
      <c r="E6049" t="str">
        <f t="shared" si="2812"/>
        <v>COM</v>
      </c>
      <c r="F6049" t="str">
        <f t="shared" si="2810"/>
        <v>FARMÁCIA INDIANA LJ 1 (10126)</v>
      </c>
      <c r="G6049" t="str">
        <f t="shared" si="2811"/>
        <v>Serv.Prest. 26/09/2025 a 05/10/2025 - RPS: 1340 - NFSe: 3576</v>
      </c>
      <c r="H6049" t="str">
        <f t="shared" ref="H6049:H6080" si="2815">("15/10/2025")</f>
        <v>15/10/2025</v>
      </c>
      <c r="I6049" t="str">
        <f t="shared" ref="I6049:I6080" si="2816">("07/10/2025")</f>
        <v>07/10/2025</v>
      </c>
      <c r="J6049" t="str">
        <f t="shared" ref="J6049:J6080" si="2817">("15/10/2025")</f>
        <v>15/10/2025</v>
      </c>
      <c r="M6049">
        <v>303</v>
      </c>
      <c r="N6049" t="str">
        <f t="shared" ref="N6049:N6080" si="2818">"RECEITAS COM ENTREGAS"</f>
        <v>RECEITAS COM ENTREGAS</v>
      </c>
      <c r="P6049">
        <v>150.85</v>
      </c>
      <c r="Q6049" t="str">
        <f>"FARMÁCIA INDIANA LJ 112 (10050)"</f>
        <v>FARMÁCIA INDIANA LJ 112 (10050)</v>
      </c>
      <c r="R6049" t="str">
        <f t="shared" ref="R6049:R6080" si="2819">"RECEITAS COM ENTREGAS (303)"</f>
        <v>RECEITAS COM ENTREGAS (303)</v>
      </c>
      <c r="S6049">
        <v>2711</v>
      </c>
      <c r="T6049">
        <v>2251</v>
      </c>
      <c r="U6049" t="s">
        <v>19</v>
      </c>
    </row>
    <row r="6050" spans="1:21">
      <c r="A6050" t="str">
        <f t="shared" si="2813"/>
        <v>15/10/2025</v>
      </c>
      <c r="B6050" t="str">
        <f t="shared" si="2808"/>
        <v>ENTRADA</v>
      </c>
      <c r="C6050" t="str">
        <f t="shared" si="2814"/>
        <v>NFSE</v>
      </c>
      <c r="D6050" t="str">
        <f t="shared" si="2809"/>
        <v>3576</v>
      </c>
      <c r="E6050" t="str">
        <f t="shared" si="2812"/>
        <v>COM</v>
      </c>
      <c r="F6050" t="str">
        <f t="shared" si="2810"/>
        <v>FARMÁCIA INDIANA LJ 1 (10126)</v>
      </c>
      <c r="G6050" t="str">
        <f t="shared" si="2811"/>
        <v>Serv.Prest. 26/09/2025 a 05/10/2025 - RPS: 1340 - NFSe: 3576</v>
      </c>
      <c r="H6050" t="str">
        <f t="shared" si="2815"/>
        <v>15/10/2025</v>
      </c>
      <c r="I6050" t="str">
        <f t="shared" si="2816"/>
        <v>07/10/2025</v>
      </c>
      <c r="J6050" t="str">
        <f t="shared" si="2817"/>
        <v>15/10/2025</v>
      </c>
      <c r="M6050">
        <v>303</v>
      </c>
      <c r="N6050" t="str">
        <f t="shared" si="2818"/>
        <v>RECEITAS COM ENTREGAS</v>
      </c>
      <c r="P6050">
        <v>150.85</v>
      </c>
      <c r="Q6050" t="str">
        <f>"FARMÁCIA INDIANA LJ 116 (10051)"</f>
        <v>FARMÁCIA INDIANA LJ 116 (10051)</v>
      </c>
      <c r="R6050" t="str">
        <f t="shared" si="2819"/>
        <v>RECEITAS COM ENTREGAS (303)</v>
      </c>
      <c r="S6050">
        <v>2711</v>
      </c>
      <c r="T6050">
        <v>2251</v>
      </c>
      <c r="U6050" t="s">
        <v>19</v>
      </c>
    </row>
    <row r="6051" spans="1:21">
      <c r="A6051" t="str">
        <f t="shared" si="2813"/>
        <v>15/10/2025</v>
      </c>
      <c r="B6051" t="str">
        <f t="shared" si="2808"/>
        <v>ENTRADA</v>
      </c>
      <c r="C6051" t="str">
        <f t="shared" si="2814"/>
        <v>NFSE</v>
      </c>
      <c r="D6051" t="str">
        <f t="shared" si="2809"/>
        <v>3576</v>
      </c>
      <c r="E6051" t="str">
        <f t="shared" si="2812"/>
        <v>COM</v>
      </c>
      <c r="F6051" t="str">
        <f t="shared" si="2810"/>
        <v>FARMÁCIA INDIANA LJ 1 (10126)</v>
      </c>
      <c r="G6051" t="str">
        <f t="shared" si="2811"/>
        <v>Serv.Prest. 26/09/2025 a 05/10/2025 - RPS: 1340 - NFSe: 3576</v>
      </c>
      <c r="H6051" t="str">
        <f t="shared" si="2815"/>
        <v>15/10/2025</v>
      </c>
      <c r="I6051" t="str">
        <f t="shared" si="2816"/>
        <v>07/10/2025</v>
      </c>
      <c r="J6051" t="str">
        <f t="shared" si="2817"/>
        <v>15/10/2025</v>
      </c>
      <c r="M6051">
        <v>303</v>
      </c>
      <c r="N6051" t="str">
        <f t="shared" si="2818"/>
        <v>RECEITAS COM ENTREGAS</v>
      </c>
      <c r="P6051">
        <v>136.13</v>
      </c>
      <c r="Q6051" t="str">
        <f>"FARMÁCIA INDIANA LJ 118 (10052)"</f>
        <v>FARMÁCIA INDIANA LJ 118 (10052)</v>
      </c>
      <c r="R6051" t="str">
        <f t="shared" si="2819"/>
        <v>RECEITAS COM ENTREGAS (303)</v>
      </c>
      <c r="S6051">
        <v>2711</v>
      </c>
      <c r="T6051">
        <v>2251</v>
      </c>
      <c r="U6051" t="s">
        <v>19</v>
      </c>
    </row>
    <row r="6052" spans="1:21">
      <c r="A6052" t="str">
        <f t="shared" si="2813"/>
        <v>15/10/2025</v>
      </c>
      <c r="B6052" t="str">
        <f t="shared" si="2808"/>
        <v>ENTRADA</v>
      </c>
      <c r="C6052" t="str">
        <f t="shared" si="2814"/>
        <v>NFSE</v>
      </c>
      <c r="D6052" t="str">
        <f t="shared" si="2809"/>
        <v>3576</v>
      </c>
      <c r="E6052" t="str">
        <f t="shared" si="2812"/>
        <v>COM</v>
      </c>
      <c r="F6052" t="str">
        <f t="shared" si="2810"/>
        <v>FARMÁCIA INDIANA LJ 1 (10126)</v>
      </c>
      <c r="G6052" t="str">
        <f t="shared" si="2811"/>
        <v>Serv.Prest. 26/09/2025 a 05/10/2025 - RPS: 1340 - NFSe: 3576</v>
      </c>
      <c r="H6052" t="str">
        <f t="shared" si="2815"/>
        <v>15/10/2025</v>
      </c>
      <c r="I6052" t="str">
        <f t="shared" si="2816"/>
        <v>07/10/2025</v>
      </c>
      <c r="J6052" t="str">
        <f t="shared" si="2817"/>
        <v>15/10/2025</v>
      </c>
      <c r="M6052">
        <v>303</v>
      </c>
      <c r="N6052" t="str">
        <f t="shared" si="2818"/>
        <v>RECEITAS COM ENTREGAS</v>
      </c>
      <c r="P6052">
        <v>150.85</v>
      </c>
      <c r="Q6052" t="str">
        <f>"FARMÁCIA INDIANA LJ 121 (10054)"</f>
        <v>FARMÁCIA INDIANA LJ 121 (10054)</v>
      </c>
      <c r="R6052" t="str">
        <f t="shared" si="2819"/>
        <v>RECEITAS COM ENTREGAS (303)</v>
      </c>
      <c r="S6052">
        <v>2711</v>
      </c>
      <c r="T6052">
        <v>2251</v>
      </c>
      <c r="U6052" t="s">
        <v>19</v>
      </c>
    </row>
    <row r="6053" spans="1:21">
      <c r="A6053" t="str">
        <f t="shared" si="2813"/>
        <v>15/10/2025</v>
      </c>
      <c r="B6053" t="str">
        <f t="shared" si="2808"/>
        <v>ENTRADA</v>
      </c>
      <c r="C6053" t="str">
        <f t="shared" si="2814"/>
        <v>NFSE</v>
      </c>
      <c r="D6053" t="str">
        <f t="shared" si="2809"/>
        <v>3576</v>
      </c>
      <c r="E6053" t="str">
        <f t="shared" si="2812"/>
        <v>COM</v>
      </c>
      <c r="F6053" t="str">
        <f t="shared" si="2810"/>
        <v>FARMÁCIA INDIANA LJ 1 (10126)</v>
      </c>
      <c r="G6053" t="str">
        <f t="shared" si="2811"/>
        <v>Serv.Prest. 26/09/2025 a 05/10/2025 - RPS: 1340 - NFSe: 3576</v>
      </c>
      <c r="H6053" t="str">
        <f t="shared" si="2815"/>
        <v>15/10/2025</v>
      </c>
      <c r="I6053" t="str">
        <f t="shared" si="2816"/>
        <v>07/10/2025</v>
      </c>
      <c r="J6053" t="str">
        <f t="shared" si="2817"/>
        <v>15/10/2025</v>
      </c>
      <c r="M6053">
        <v>303</v>
      </c>
      <c r="N6053" t="str">
        <f t="shared" si="2818"/>
        <v>RECEITAS COM ENTREGAS</v>
      </c>
      <c r="P6053">
        <v>150.85</v>
      </c>
      <c r="Q6053" t="str">
        <f>"FARMÁCIA INDIANA LJ 128 (10057)"</f>
        <v>FARMÁCIA INDIANA LJ 128 (10057)</v>
      </c>
      <c r="R6053" t="str">
        <f t="shared" si="2819"/>
        <v>RECEITAS COM ENTREGAS (303)</v>
      </c>
      <c r="S6053">
        <v>2711</v>
      </c>
      <c r="T6053">
        <v>2251</v>
      </c>
      <c r="U6053" t="s">
        <v>19</v>
      </c>
    </row>
    <row r="6054" spans="1:21">
      <c r="A6054" t="str">
        <f t="shared" si="2813"/>
        <v>15/10/2025</v>
      </c>
      <c r="B6054" t="str">
        <f t="shared" si="2808"/>
        <v>ENTRADA</v>
      </c>
      <c r="C6054" t="str">
        <f t="shared" si="2814"/>
        <v>NFSE</v>
      </c>
      <c r="D6054" t="str">
        <f t="shared" si="2809"/>
        <v>3576</v>
      </c>
      <c r="E6054" t="str">
        <f t="shared" si="2812"/>
        <v>COM</v>
      </c>
      <c r="F6054" t="str">
        <f t="shared" si="2810"/>
        <v>FARMÁCIA INDIANA LJ 1 (10126)</v>
      </c>
      <c r="G6054" t="str">
        <f t="shared" si="2811"/>
        <v>Serv.Prest. 26/09/2025 a 05/10/2025 - RPS: 1340 - NFSe: 3576</v>
      </c>
      <c r="H6054" t="str">
        <f t="shared" si="2815"/>
        <v>15/10/2025</v>
      </c>
      <c r="I6054" t="str">
        <f t="shared" si="2816"/>
        <v>07/10/2025</v>
      </c>
      <c r="J6054" t="str">
        <f t="shared" si="2817"/>
        <v>15/10/2025</v>
      </c>
      <c r="M6054">
        <v>303</v>
      </c>
      <c r="N6054" t="str">
        <f t="shared" si="2818"/>
        <v>RECEITAS COM ENTREGAS</v>
      </c>
      <c r="P6054">
        <v>62.55</v>
      </c>
      <c r="Q6054" t="str">
        <f>"FARMÁCIA INDIANA LJ 140 (10064)"</f>
        <v>FARMÁCIA INDIANA LJ 140 (10064)</v>
      </c>
      <c r="R6054" t="str">
        <f t="shared" si="2819"/>
        <v>RECEITAS COM ENTREGAS (303)</v>
      </c>
      <c r="S6054">
        <v>2711</v>
      </c>
      <c r="T6054">
        <v>2251</v>
      </c>
      <c r="U6054" t="s">
        <v>19</v>
      </c>
    </row>
    <row r="6055" spans="1:21">
      <c r="A6055" t="str">
        <f t="shared" si="2813"/>
        <v>15/10/2025</v>
      </c>
      <c r="B6055" t="str">
        <f t="shared" si="2808"/>
        <v>ENTRADA</v>
      </c>
      <c r="C6055" t="str">
        <f t="shared" si="2814"/>
        <v>NFSE</v>
      </c>
      <c r="D6055" t="str">
        <f t="shared" si="2809"/>
        <v>3576</v>
      </c>
      <c r="E6055" t="str">
        <f t="shared" si="2812"/>
        <v>COM</v>
      </c>
      <c r="F6055" t="str">
        <f t="shared" si="2810"/>
        <v>FARMÁCIA INDIANA LJ 1 (10126)</v>
      </c>
      <c r="G6055" t="str">
        <f t="shared" si="2811"/>
        <v>Serv.Prest. 26/09/2025 a 05/10/2025 - RPS: 1340 - NFSe: 3576</v>
      </c>
      <c r="H6055" t="str">
        <f t="shared" si="2815"/>
        <v>15/10/2025</v>
      </c>
      <c r="I6055" t="str">
        <f t="shared" si="2816"/>
        <v>07/10/2025</v>
      </c>
      <c r="J6055" t="str">
        <f t="shared" si="2817"/>
        <v>15/10/2025</v>
      </c>
      <c r="M6055">
        <v>303</v>
      </c>
      <c r="N6055" t="str">
        <f t="shared" si="2818"/>
        <v>RECEITAS COM ENTREGAS</v>
      </c>
      <c r="P6055">
        <v>18.399999999999999</v>
      </c>
      <c r="Q6055" t="str">
        <f>"FARMÁCIA INDIANA LJ 141 (10065)"</f>
        <v>FARMÁCIA INDIANA LJ 141 (10065)</v>
      </c>
      <c r="R6055" t="str">
        <f t="shared" si="2819"/>
        <v>RECEITAS COM ENTREGAS (303)</v>
      </c>
      <c r="S6055">
        <v>2711</v>
      </c>
      <c r="T6055">
        <v>2251</v>
      </c>
      <c r="U6055" t="s">
        <v>19</v>
      </c>
    </row>
    <row r="6056" spans="1:21">
      <c r="A6056" t="str">
        <f t="shared" si="2813"/>
        <v>15/10/2025</v>
      </c>
      <c r="B6056" t="str">
        <f t="shared" si="2808"/>
        <v>ENTRADA</v>
      </c>
      <c r="C6056" t="str">
        <f t="shared" si="2814"/>
        <v>NFSE</v>
      </c>
      <c r="D6056" t="str">
        <f t="shared" si="2809"/>
        <v>3576</v>
      </c>
      <c r="E6056" t="str">
        <f t="shared" si="2812"/>
        <v>COM</v>
      </c>
      <c r="F6056" t="str">
        <f t="shared" si="2810"/>
        <v>FARMÁCIA INDIANA LJ 1 (10126)</v>
      </c>
      <c r="G6056" t="str">
        <f t="shared" si="2811"/>
        <v>Serv.Prest. 26/09/2025 a 05/10/2025 - RPS: 1340 - NFSe: 3576</v>
      </c>
      <c r="H6056" t="str">
        <f t="shared" si="2815"/>
        <v>15/10/2025</v>
      </c>
      <c r="I6056" t="str">
        <f t="shared" si="2816"/>
        <v>07/10/2025</v>
      </c>
      <c r="J6056" t="str">
        <f t="shared" si="2817"/>
        <v>15/10/2025</v>
      </c>
      <c r="M6056">
        <v>303</v>
      </c>
      <c r="N6056" t="str">
        <f t="shared" si="2818"/>
        <v>RECEITAS COM ENTREGAS</v>
      </c>
      <c r="P6056">
        <v>1111.1099999999999</v>
      </c>
      <c r="Q6056" t="str">
        <f>"FARMÁCIA INDIANA LJ 142 (10066)"</f>
        <v>FARMÁCIA INDIANA LJ 142 (10066)</v>
      </c>
      <c r="R6056" t="str">
        <f t="shared" si="2819"/>
        <v>RECEITAS COM ENTREGAS (303)</v>
      </c>
      <c r="S6056">
        <v>2711</v>
      </c>
      <c r="T6056">
        <v>2251</v>
      </c>
      <c r="U6056" t="s">
        <v>19</v>
      </c>
    </row>
    <row r="6057" spans="1:21">
      <c r="A6057" t="str">
        <f t="shared" si="2813"/>
        <v>15/10/2025</v>
      </c>
      <c r="B6057" t="str">
        <f t="shared" si="2808"/>
        <v>ENTRADA</v>
      </c>
      <c r="C6057" t="str">
        <f t="shared" si="2814"/>
        <v>NFSE</v>
      </c>
      <c r="D6057" t="str">
        <f t="shared" si="2809"/>
        <v>3576</v>
      </c>
      <c r="E6057" t="str">
        <f t="shared" si="2812"/>
        <v>COM</v>
      </c>
      <c r="F6057" t="str">
        <f t="shared" si="2810"/>
        <v>FARMÁCIA INDIANA LJ 1 (10126)</v>
      </c>
      <c r="G6057" t="str">
        <f t="shared" si="2811"/>
        <v>Serv.Prest. 26/09/2025 a 05/10/2025 - RPS: 1340 - NFSe: 3576</v>
      </c>
      <c r="H6057" t="str">
        <f t="shared" si="2815"/>
        <v>15/10/2025</v>
      </c>
      <c r="I6057" t="str">
        <f t="shared" si="2816"/>
        <v>07/10/2025</v>
      </c>
      <c r="J6057" t="str">
        <f t="shared" si="2817"/>
        <v>15/10/2025</v>
      </c>
      <c r="M6057">
        <v>303</v>
      </c>
      <c r="N6057" t="str">
        <f t="shared" si="2818"/>
        <v>RECEITAS COM ENTREGAS</v>
      </c>
      <c r="P6057">
        <v>68.06</v>
      </c>
      <c r="Q6057" t="str">
        <f>"FARMÁCIA INDIANA LJ 143 (10067)"</f>
        <v>FARMÁCIA INDIANA LJ 143 (10067)</v>
      </c>
      <c r="R6057" t="str">
        <f t="shared" si="2819"/>
        <v>RECEITAS COM ENTREGAS (303)</v>
      </c>
      <c r="S6057">
        <v>2711</v>
      </c>
      <c r="T6057">
        <v>2251</v>
      </c>
      <c r="U6057" t="s">
        <v>19</v>
      </c>
    </row>
    <row r="6058" spans="1:21">
      <c r="A6058" t="str">
        <f t="shared" si="2813"/>
        <v>15/10/2025</v>
      </c>
      <c r="B6058" t="str">
        <f t="shared" si="2808"/>
        <v>ENTRADA</v>
      </c>
      <c r="C6058" t="str">
        <f t="shared" si="2814"/>
        <v>NFSE</v>
      </c>
      <c r="D6058" t="str">
        <f t="shared" si="2809"/>
        <v>3576</v>
      </c>
      <c r="E6058" t="str">
        <f t="shared" si="2812"/>
        <v>COM</v>
      </c>
      <c r="F6058" t="str">
        <f t="shared" si="2810"/>
        <v>FARMÁCIA INDIANA LJ 1 (10126)</v>
      </c>
      <c r="G6058" t="str">
        <f t="shared" si="2811"/>
        <v>Serv.Prest. 26/09/2025 a 05/10/2025 - RPS: 1340 - NFSe: 3576</v>
      </c>
      <c r="H6058" t="str">
        <f t="shared" si="2815"/>
        <v>15/10/2025</v>
      </c>
      <c r="I6058" t="str">
        <f t="shared" si="2816"/>
        <v>07/10/2025</v>
      </c>
      <c r="J6058" t="str">
        <f t="shared" si="2817"/>
        <v>15/10/2025</v>
      </c>
      <c r="M6058">
        <v>303</v>
      </c>
      <c r="N6058" t="str">
        <f t="shared" si="2818"/>
        <v>RECEITAS COM ENTREGAS</v>
      </c>
      <c r="P6058">
        <v>590.51</v>
      </c>
      <c r="Q6058" t="str">
        <f>"FARMÁCIA INDIANA LJ 152 (10069)"</f>
        <v>FARMÁCIA INDIANA LJ 152 (10069)</v>
      </c>
      <c r="R6058" t="str">
        <f t="shared" si="2819"/>
        <v>RECEITAS COM ENTREGAS (303)</v>
      </c>
      <c r="S6058">
        <v>2711</v>
      </c>
      <c r="T6058">
        <v>2251</v>
      </c>
      <c r="U6058" t="s">
        <v>19</v>
      </c>
    </row>
    <row r="6059" spans="1:21">
      <c r="A6059" t="str">
        <f t="shared" si="2813"/>
        <v>15/10/2025</v>
      </c>
      <c r="B6059" t="str">
        <f t="shared" si="2808"/>
        <v>ENTRADA</v>
      </c>
      <c r="C6059" t="str">
        <f t="shared" si="2814"/>
        <v>NFSE</v>
      </c>
      <c r="D6059" t="str">
        <f t="shared" si="2809"/>
        <v>3576</v>
      </c>
      <c r="E6059" t="str">
        <f t="shared" si="2812"/>
        <v>COM</v>
      </c>
      <c r="F6059" t="str">
        <f t="shared" si="2810"/>
        <v>FARMÁCIA INDIANA LJ 1 (10126)</v>
      </c>
      <c r="G6059" t="str">
        <f t="shared" si="2811"/>
        <v>Serv.Prest. 26/09/2025 a 05/10/2025 - RPS: 1340 - NFSe: 3576</v>
      </c>
      <c r="H6059" t="str">
        <f t="shared" si="2815"/>
        <v>15/10/2025</v>
      </c>
      <c r="I6059" t="str">
        <f t="shared" si="2816"/>
        <v>07/10/2025</v>
      </c>
      <c r="J6059" t="str">
        <f t="shared" si="2817"/>
        <v>15/10/2025</v>
      </c>
      <c r="M6059">
        <v>303</v>
      </c>
      <c r="N6059" t="str">
        <f t="shared" si="2818"/>
        <v>RECEITAS COM ENTREGAS</v>
      </c>
      <c r="P6059">
        <v>66.22</v>
      </c>
      <c r="Q6059" t="str">
        <f>"FARMÁCIA INDIANA LJ 154 (10070)"</f>
        <v>FARMÁCIA INDIANA LJ 154 (10070)</v>
      </c>
      <c r="R6059" t="str">
        <f t="shared" si="2819"/>
        <v>RECEITAS COM ENTREGAS (303)</v>
      </c>
      <c r="S6059">
        <v>2711</v>
      </c>
      <c r="T6059">
        <v>2251</v>
      </c>
      <c r="U6059" t="s">
        <v>19</v>
      </c>
    </row>
    <row r="6060" spans="1:21">
      <c r="A6060" t="str">
        <f t="shared" si="2813"/>
        <v>15/10/2025</v>
      </c>
      <c r="B6060" t="str">
        <f t="shared" si="2808"/>
        <v>ENTRADA</v>
      </c>
      <c r="C6060" t="str">
        <f t="shared" si="2814"/>
        <v>NFSE</v>
      </c>
      <c r="D6060" t="str">
        <f t="shared" si="2809"/>
        <v>3576</v>
      </c>
      <c r="E6060" t="str">
        <f t="shared" si="2812"/>
        <v>COM</v>
      </c>
      <c r="F6060" t="str">
        <f t="shared" si="2810"/>
        <v>FARMÁCIA INDIANA LJ 1 (10126)</v>
      </c>
      <c r="G6060" t="str">
        <f t="shared" si="2811"/>
        <v>Serv.Prest. 26/09/2025 a 05/10/2025 - RPS: 1340 - NFSe: 3576</v>
      </c>
      <c r="H6060" t="str">
        <f t="shared" si="2815"/>
        <v>15/10/2025</v>
      </c>
      <c r="I6060" t="str">
        <f t="shared" si="2816"/>
        <v>07/10/2025</v>
      </c>
      <c r="J6060" t="str">
        <f t="shared" si="2817"/>
        <v>15/10/2025</v>
      </c>
      <c r="M6060">
        <v>303</v>
      </c>
      <c r="N6060" t="str">
        <f t="shared" si="2818"/>
        <v>RECEITAS COM ENTREGAS</v>
      </c>
      <c r="P6060">
        <v>321.93</v>
      </c>
      <c r="Q6060" t="str">
        <f>"FARMÁCIA INDIANA LJ 171 (10074)"</f>
        <v>FARMÁCIA INDIANA LJ 171 (10074)</v>
      </c>
      <c r="R6060" t="str">
        <f t="shared" si="2819"/>
        <v>RECEITAS COM ENTREGAS (303)</v>
      </c>
      <c r="S6060">
        <v>2711</v>
      </c>
      <c r="T6060">
        <v>2251</v>
      </c>
      <c r="U6060" t="s">
        <v>19</v>
      </c>
    </row>
    <row r="6061" spans="1:21">
      <c r="A6061" t="str">
        <f t="shared" si="2813"/>
        <v>15/10/2025</v>
      </c>
      <c r="B6061" t="str">
        <f t="shared" si="2808"/>
        <v>ENTRADA</v>
      </c>
      <c r="C6061" t="str">
        <f t="shared" si="2814"/>
        <v>NFSE</v>
      </c>
      <c r="D6061" t="str">
        <f t="shared" si="2809"/>
        <v>3576</v>
      </c>
      <c r="E6061" t="str">
        <f t="shared" si="2812"/>
        <v>COM</v>
      </c>
      <c r="F6061" t="str">
        <f t="shared" si="2810"/>
        <v>FARMÁCIA INDIANA LJ 1 (10126)</v>
      </c>
      <c r="G6061" t="str">
        <f t="shared" si="2811"/>
        <v>Serv.Prest. 26/09/2025 a 05/10/2025 - RPS: 1340 - NFSe: 3576</v>
      </c>
      <c r="H6061" t="str">
        <f t="shared" si="2815"/>
        <v>15/10/2025</v>
      </c>
      <c r="I6061" t="str">
        <f t="shared" si="2816"/>
        <v>07/10/2025</v>
      </c>
      <c r="J6061" t="str">
        <f t="shared" si="2817"/>
        <v>15/10/2025</v>
      </c>
      <c r="M6061">
        <v>303</v>
      </c>
      <c r="N6061" t="str">
        <f t="shared" si="2818"/>
        <v>RECEITAS COM ENTREGAS</v>
      </c>
      <c r="P6061">
        <v>123.25</v>
      </c>
      <c r="Q6061" t="str">
        <f>"FARMÁCIA INDIANA LJ 175 (10076)"</f>
        <v>FARMÁCIA INDIANA LJ 175 (10076)</v>
      </c>
      <c r="R6061" t="str">
        <f t="shared" si="2819"/>
        <v>RECEITAS COM ENTREGAS (303)</v>
      </c>
      <c r="S6061">
        <v>2711</v>
      </c>
      <c r="T6061">
        <v>2251</v>
      </c>
      <c r="U6061" t="s">
        <v>19</v>
      </c>
    </row>
    <row r="6062" spans="1:21">
      <c r="A6062" t="str">
        <f t="shared" si="2813"/>
        <v>15/10/2025</v>
      </c>
      <c r="B6062" t="str">
        <f t="shared" si="2808"/>
        <v>ENTRADA</v>
      </c>
      <c r="C6062" t="str">
        <f t="shared" si="2814"/>
        <v>NFSE</v>
      </c>
      <c r="D6062" t="str">
        <f t="shared" si="2809"/>
        <v>3576</v>
      </c>
      <c r="E6062" t="str">
        <f t="shared" si="2812"/>
        <v>COM</v>
      </c>
      <c r="F6062" t="str">
        <f t="shared" si="2810"/>
        <v>FARMÁCIA INDIANA LJ 1 (10126)</v>
      </c>
      <c r="G6062" t="str">
        <f t="shared" si="2811"/>
        <v>Serv.Prest. 26/09/2025 a 05/10/2025 - RPS: 1340 - NFSe: 3576</v>
      </c>
      <c r="H6062" t="str">
        <f t="shared" si="2815"/>
        <v>15/10/2025</v>
      </c>
      <c r="I6062" t="str">
        <f t="shared" si="2816"/>
        <v>07/10/2025</v>
      </c>
      <c r="J6062" t="str">
        <f t="shared" si="2817"/>
        <v>15/10/2025</v>
      </c>
      <c r="M6062">
        <v>303</v>
      </c>
      <c r="N6062" t="str">
        <f t="shared" si="2818"/>
        <v>RECEITAS COM ENTREGAS</v>
      </c>
      <c r="P6062">
        <v>130.61000000000001</v>
      </c>
      <c r="Q6062" t="str">
        <f>"FARMÁCIA INDIANA LJ 178 (10077)"</f>
        <v>FARMÁCIA INDIANA LJ 178 (10077)</v>
      </c>
      <c r="R6062" t="str">
        <f t="shared" si="2819"/>
        <v>RECEITAS COM ENTREGAS (303)</v>
      </c>
      <c r="S6062">
        <v>2711</v>
      </c>
      <c r="T6062">
        <v>2251</v>
      </c>
      <c r="U6062" t="s">
        <v>19</v>
      </c>
    </row>
    <row r="6063" spans="1:21">
      <c r="A6063" t="str">
        <f t="shared" si="2813"/>
        <v>15/10/2025</v>
      </c>
      <c r="B6063" t="str">
        <f t="shared" si="2808"/>
        <v>ENTRADA</v>
      </c>
      <c r="C6063" t="str">
        <f t="shared" si="2814"/>
        <v>NFSE</v>
      </c>
      <c r="D6063" t="str">
        <f t="shared" si="2809"/>
        <v>3576</v>
      </c>
      <c r="E6063" t="str">
        <f t="shared" si="2812"/>
        <v>COM</v>
      </c>
      <c r="F6063" t="str">
        <f t="shared" si="2810"/>
        <v>FARMÁCIA INDIANA LJ 1 (10126)</v>
      </c>
      <c r="G6063" t="str">
        <f t="shared" si="2811"/>
        <v>Serv.Prest. 26/09/2025 a 05/10/2025 - RPS: 1340 - NFSe: 3576</v>
      </c>
      <c r="H6063" t="str">
        <f t="shared" si="2815"/>
        <v>15/10/2025</v>
      </c>
      <c r="I6063" t="str">
        <f t="shared" si="2816"/>
        <v>07/10/2025</v>
      </c>
      <c r="J6063" t="str">
        <f t="shared" si="2817"/>
        <v>15/10/2025</v>
      </c>
      <c r="M6063">
        <v>303</v>
      </c>
      <c r="N6063" t="str">
        <f t="shared" si="2818"/>
        <v>RECEITAS COM ENTREGAS</v>
      </c>
      <c r="P6063">
        <v>80.94</v>
      </c>
      <c r="Q6063" t="str">
        <f>"FARMÁCIA INDIANA LJ 182 (10079)"</f>
        <v>FARMÁCIA INDIANA LJ 182 (10079)</v>
      </c>
      <c r="R6063" t="str">
        <f t="shared" si="2819"/>
        <v>RECEITAS COM ENTREGAS (303)</v>
      </c>
      <c r="S6063">
        <v>2711</v>
      </c>
      <c r="T6063">
        <v>2251</v>
      </c>
      <c r="U6063" t="s">
        <v>19</v>
      </c>
    </row>
    <row r="6064" spans="1:21">
      <c r="A6064" t="str">
        <f t="shared" si="2813"/>
        <v>15/10/2025</v>
      </c>
      <c r="B6064" t="str">
        <f t="shared" si="2808"/>
        <v>ENTRADA</v>
      </c>
      <c r="C6064" t="str">
        <f t="shared" si="2814"/>
        <v>NFSE</v>
      </c>
      <c r="D6064" t="str">
        <f t="shared" si="2809"/>
        <v>3576</v>
      </c>
      <c r="E6064" t="str">
        <f t="shared" si="2812"/>
        <v>COM</v>
      </c>
      <c r="F6064" t="str">
        <f t="shared" si="2810"/>
        <v>FARMÁCIA INDIANA LJ 1 (10126)</v>
      </c>
      <c r="G6064" t="str">
        <f t="shared" si="2811"/>
        <v>Serv.Prest. 26/09/2025 a 05/10/2025 - RPS: 1340 - NFSe: 3576</v>
      </c>
      <c r="H6064" t="str">
        <f t="shared" si="2815"/>
        <v>15/10/2025</v>
      </c>
      <c r="I6064" t="str">
        <f t="shared" si="2816"/>
        <v>07/10/2025</v>
      </c>
      <c r="J6064" t="str">
        <f t="shared" si="2817"/>
        <v>15/10/2025</v>
      </c>
      <c r="M6064">
        <v>303</v>
      </c>
      <c r="N6064" t="str">
        <f t="shared" si="2818"/>
        <v>RECEITAS COM ENTREGAS</v>
      </c>
      <c r="P6064">
        <v>40.47</v>
      </c>
      <c r="Q6064" t="str">
        <f>"FARMÁCIA INDIANA LJ 184 (10080)"</f>
        <v>FARMÁCIA INDIANA LJ 184 (10080)</v>
      </c>
      <c r="R6064" t="str">
        <f t="shared" si="2819"/>
        <v>RECEITAS COM ENTREGAS (303)</v>
      </c>
      <c r="S6064">
        <v>2711</v>
      </c>
      <c r="T6064">
        <v>2251</v>
      </c>
      <c r="U6064" t="s">
        <v>19</v>
      </c>
    </row>
    <row r="6065" spans="1:21">
      <c r="A6065" t="str">
        <f t="shared" si="2813"/>
        <v>15/10/2025</v>
      </c>
      <c r="B6065" t="str">
        <f t="shared" si="2808"/>
        <v>ENTRADA</v>
      </c>
      <c r="C6065" t="str">
        <f t="shared" si="2814"/>
        <v>NFSE</v>
      </c>
      <c r="D6065" t="str">
        <f t="shared" si="2809"/>
        <v>3576</v>
      </c>
      <c r="E6065" t="str">
        <f t="shared" si="2812"/>
        <v>COM</v>
      </c>
      <c r="F6065" t="str">
        <f t="shared" si="2810"/>
        <v>FARMÁCIA INDIANA LJ 1 (10126)</v>
      </c>
      <c r="G6065" t="str">
        <f t="shared" si="2811"/>
        <v>Serv.Prest. 26/09/2025 a 05/10/2025 - RPS: 1340 - NFSe: 3576</v>
      </c>
      <c r="H6065" t="str">
        <f t="shared" si="2815"/>
        <v>15/10/2025</v>
      </c>
      <c r="I6065" t="str">
        <f t="shared" si="2816"/>
        <v>07/10/2025</v>
      </c>
      <c r="J6065" t="str">
        <f t="shared" si="2817"/>
        <v>15/10/2025</v>
      </c>
      <c r="M6065">
        <v>303</v>
      </c>
      <c r="N6065" t="str">
        <f t="shared" si="2818"/>
        <v>RECEITAS COM ENTREGAS</v>
      </c>
      <c r="P6065">
        <v>80.94</v>
      </c>
      <c r="Q6065" t="str">
        <f>"FARMÁCIA INDIANA LJ 186 (10081)"</f>
        <v>FARMÁCIA INDIANA LJ 186 (10081)</v>
      </c>
      <c r="R6065" t="str">
        <f t="shared" si="2819"/>
        <v>RECEITAS COM ENTREGAS (303)</v>
      </c>
      <c r="S6065">
        <v>2711</v>
      </c>
      <c r="T6065">
        <v>2251</v>
      </c>
      <c r="U6065" t="s">
        <v>19</v>
      </c>
    </row>
    <row r="6066" spans="1:21">
      <c r="A6066" t="str">
        <f t="shared" si="2813"/>
        <v>15/10/2025</v>
      </c>
      <c r="B6066" t="str">
        <f t="shared" si="2808"/>
        <v>ENTRADA</v>
      </c>
      <c r="C6066" t="str">
        <f t="shared" si="2814"/>
        <v>NFSE</v>
      </c>
      <c r="D6066" t="str">
        <f t="shared" si="2809"/>
        <v>3576</v>
      </c>
      <c r="E6066" t="str">
        <f t="shared" si="2812"/>
        <v>COM</v>
      </c>
      <c r="F6066" t="str">
        <f t="shared" si="2810"/>
        <v>FARMÁCIA INDIANA LJ 1 (10126)</v>
      </c>
      <c r="G6066" t="str">
        <f t="shared" si="2811"/>
        <v>Serv.Prest. 26/09/2025 a 05/10/2025 - RPS: 1340 - NFSe: 3576</v>
      </c>
      <c r="H6066" t="str">
        <f t="shared" si="2815"/>
        <v>15/10/2025</v>
      </c>
      <c r="I6066" t="str">
        <f t="shared" si="2816"/>
        <v>07/10/2025</v>
      </c>
      <c r="J6066" t="str">
        <f t="shared" si="2817"/>
        <v>15/10/2025</v>
      </c>
      <c r="M6066">
        <v>303</v>
      </c>
      <c r="N6066" t="str">
        <f t="shared" si="2818"/>
        <v>RECEITAS COM ENTREGAS</v>
      </c>
      <c r="P6066">
        <v>128.77000000000001</v>
      </c>
      <c r="Q6066" t="str">
        <f>"FARMÁCIA INDIANA LJ 192 (10082)"</f>
        <v>FARMÁCIA INDIANA LJ 192 (10082)</v>
      </c>
      <c r="R6066" t="str">
        <f t="shared" si="2819"/>
        <v>RECEITAS COM ENTREGAS (303)</v>
      </c>
      <c r="S6066">
        <v>2711</v>
      </c>
      <c r="T6066">
        <v>2251</v>
      </c>
      <c r="U6066" t="s">
        <v>19</v>
      </c>
    </row>
    <row r="6067" spans="1:21">
      <c r="A6067" t="str">
        <f t="shared" si="2813"/>
        <v>15/10/2025</v>
      </c>
      <c r="B6067" t="str">
        <f t="shared" si="2808"/>
        <v>ENTRADA</v>
      </c>
      <c r="C6067" t="str">
        <f t="shared" si="2814"/>
        <v>NFSE</v>
      </c>
      <c r="D6067" t="str">
        <f t="shared" si="2809"/>
        <v>3576</v>
      </c>
      <c r="E6067" t="str">
        <f t="shared" si="2812"/>
        <v>COM</v>
      </c>
      <c r="F6067" t="str">
        <f t="shared" si="2810"/>
        <v>FARMÁCIA INDIANA LJ 1 (10126)</v>
      </c>
      <c r="G6067" t="str">
        <f t="shared" si="2811"/>
        <v>Serv.Prest. 26/09/2025 a 05/10/2025 - RPS: 1340 - NFSe: 3576</v>
      </c>
      <c r="H6067" t="str">
        <f t="shared" si="2815"/>
        <v>15/10/2025</v>
      </c>
      <c r="I6067" t="str">
        <f t="shared" si="2816"/>
        <v>07/10/2025</v>
      </c>
      <c r="J6067" t="str">
        <f t="shared" si="2817"/>
        <v>15/10/2025</v>
      </c>
      <c r="M6067">
        <v>303</v>
      </c>
      <c r="N6067" t="str">
        <f t="shared" si="2818"/>
        <v>RECEITAS COM ENTREGAS</v>
      </c>
      <c r="P6067">
        <v>40.47</v>
      </c>
      <c r="Q6067" t="str">
        <f>"FARMÁCIA INDIANA LJ 195 (10083)"</f>
        <v>FARMÁCIA INDIANA LJ 195 (10083)</v>
      </c>
      <c r="R6067" t="str">
        <f t="shared" si="2819"/>
        <v>RECEITAS COM ENTREGAS (303)</v>
      </c>
      <c r="S6067">
        <v>2711</v>
      </c>
      <c r="T6067">
        <v>2251</v>
      </c>
      <c r="U6067" t="s">
        <v>19</v>
      </c>
    </row>
    <row r="6068" spans="1:21">
      <c r="A6068" t="str">
        <f t="shared" si="2813"/>
        <v>15/10/2025</v>
      </c>
      <c r="B6068" t="str">
        <f t="shared" si="2808"/>
        <v>ENTRADA</v>
      </c>
      <c r="C6068" t="str">
        <f t="shared" si="2814"/>
        <v>NFSE</v>
      </c>
      <c r="D6068" t="str">
        <f t="shared" si="2809"/>
        <v>3576</v>
      </c>
      <c r="E6068" t="str">
        <f t="shared" si="2812"/>
        <v>COM</v>
      </c>
      <c r="F6068" t="str">
        <f t="shared" si="2810"/>
        <v>FARMÁCIA INDIANA LJ 1 (10126)</v>
      </c>
      <c r="G6068" t="str">
        <f t="shared" si="2811"/>
        <v>Serv.Prest. 26/09/2025 a 05/10/2025 - RPS: 1340 - NFSe: 3576</v>
      </c>
      <c r="H6068" t="str">
        <f t="shared" si="2815"/>
        <v>15/10/2025</v>
      </c>
      <c r="I6068" t="str">
        <f t="shared" si="2816"/>
        <v>07/10/2025</v>
      </c>
      <c r="J6068" t="str">
        <f t="shared" si="2817"/>
        <v>15/10/2025</v>
      </c>
      <c r="M6068">
        <v>303</v>
      </c>
      <c r="N6068" t="str">
        <f t="shared" si="2818"/>
        <v>RECEITAS COM ENTREGAS</v>
      </c>
      <c r="P6068">
        <v>149.01</v>
      </c>
      <c r="Q6068" t="str">
        <f>"FARMÁCIA INDIANA LJ 202 (10085)"</f>
        <v>FARMÁCIA INDIANA LJ 202 (10085)</v>
      </c>
      <c r="R6068" t="str">
        <f t="shared" si="2819"/>
        <v>RECEITAS COM ENTREGAS (303)</v>
      </c>
      <c r="S6068">
        <v>2711</v>
      </c>
      <c r="T6068">
        <v>2251</v>
      </c>
      <c r="U6068" t="s">
        <v>19</v>
      </c>
    </row>
    <row r="6069" spans="1:21">
      <c r="A6069" t="str">
        <f t="shared" si="2813"/>
        <v>15/10/2025</v>
      </c>
      <c r="B6069" t="str">
        <f t="shared" si="2808"/>
        <v>ENTRADA</v>
      </c>
      <c r="C6069" t="str">
        <f t="shared" si="2814"/>
        <v>NFSE</v>
      </c>
      <c r="D6069" t="str">
        <f t="shared" si="2809"/>
        <v>3576</v>
      </c>
      <c r="E6069" t="str">
        <f t="shared" si="2812"/>
        <v>COM</v>
      </c>
      <c r="F6069" t="str">
        <f t="shared" si="2810"/>
        <v>FARMÁCIA INDIANA LJ 1 (10126)</v>
      </c>
      <c r="G6069" t="str">
        <f t="shared" si="2811"/>
        <v>Serv.Prest. 26/09/2025 a 05/10/2025 - RPS: 1340 - NFSe: 3576</v>
      </c>
      <c r="H6069" t="str">
        <f t="shared" si="2815"/>
        <v>15/10/2025</v>
      </c>
      <c r="I6069" t="str">
        <f t="shared" si="2816"/>
        <v>07/10/2025</v>
      </c>
      <c r="J6069" t="str">
        <f t="shared" si="2817"/>
        <v>15/10/2025</v>
      </c>
      <c r="M6069">
        <v>303</v>
      </c>
      <c r="N6069" t="str">
        <f t="shared" si="2818"/>
        <v>RECEITAS COM ENTREGAS</v>
      </c>
      <c r="P6069">
        <v>80.94</v>
      </c>
      <c r="Q6069" t="str">
        <f>"FARMÁCIA INDIANA LJ 204 (10087)"</f>
        <v>FARMÁCIA INDIANA LJ 204 (10087)</v>
      </c>
      <c r="R6069" t="str">
        <f t="shared" si="2819"/>
        <v>RECEITAS COM ENTREGAS (303)</v>
      </c>
      <c r="S6069">
        <v>2711</v>
      </c>
      <c r="T6069">
        <v>2251</v>
      </c>
      <c r="U6069" t="s">
        <v>19</v>
      </c>
    </row>
    <row r="6070" spans="1:21">
      <c r="A6070" t="str">
        <f t="shared" si="2813"/>
        <v>15/10/2025</v>
      </c>
      <c r="B6070" t="str">
        <f t="shared" si="2808"/>
        <v>ENTRADA</v>
      </c>
      <c r="C6070" t="str">
        <f t="shared" si="2814"/>
        <v>NFSE</v>
      </c>
      <c r="D6070" t="str">
        <f t="shared" si="2809"/>
        <v>3576</v>
      </c>
      <c r="E6070" t="str">
        <f t="shared" si="2812"/>
        <v>COM</v>
      </c>
      <c r="F6070" t="str">
        <f t="shared" si="2810"/>
        <v>FARMÁCIA INDIANA LJ 1 (10126)</v>
      </c>
      <c r="G6070" t="str">
        <f t="shared" si="2811"/>
        <v>Serv.Prest. 26/09/2025 a 05/10/2025 - RPS: 1340 - NFSe: 3576</v>
      </c>
      <c r="H6070" t="str">
        <f t="shared" si="2815"/>
        <v>15/10/2025</v>
      </c>
      <c r="I6070" t="str">
        <f t="shared" si="2816"/>
        <v>07/10/2025</v>
      </c>
      <c r="J6070" t="str">
        <f t="shared" si="2817"/>
        <v>15/10/2025</v>
      </c>
      <c r="M6070">
        <v>303</v>
      </c>
      <c r="N6070" t="str">
        <f t="shared" si="2818"/>
        <v>RECEITAS COM ENTREGAS</v>
      </c>
      <c r="P6070">
        <v>147.16999999999999</v>
      </c>
      <c r="Q6070" t="str">
        <f>"FARMÁCIA INDIANA LJ 207 (10088)"</f>
        <v>FARMÁCIA INDIANA LJ 207 (10088)</v>
      </c>
      <c r="R6070" t="str">
        <f t="shared" si="2819"/>
        <v>RECEITAS COM ENTREGAS (303)</v>
      </c>
      <c r="S6070">
        <v>2711</v>
      </c>
      <c r="T6070">
        <v>2251</v>
      </c>
      <c r="U6070" t="s">
        <v>19</v>
      </c>
    </row>
    <row r="6071" spans="1:21">
      <c r="A6071" t="str">
        <f t="shared" si="2813"/>
        <v>15/10/2025</v>
      </c>
      <c r="B6071" t="str">
        <f t="shared" si="2808"/>
        <v>ENTRADA</v>
      </c>
      <c r="C6071" t="str">
        <f t="shared" si="2814"/>
        <v>NFSE</v>
      </c>
      <c r="D6071" t="str">
        <f t="shared" si="2809"/>
        <v>3576</v>
      </c>
      <c r="E6071" t="str">
        <f t="shared" si="2812"/>
        <v>COM</v>
      </c>
      <c r="F6071" t="str">
        <f t="shared" si="2810"/>
        <v>FARMÁCIA INDIANA LJ 1 (10126)</v>
      </c>
      <c r="G6071" t="str">
        <f t="shared" si="2811"/>
        <v>Serv.Prest. 26/09/2025 a 05/10/2025 - RPS: 1340 - NFSe: 3576</v>
      </c>
      <c r="H6071" t="str">
        <f t="shared" si="2815"/>
        <v>15/10/2025</v>
      </c>
      <c r="I6071" t="str">
        <f t="shared" si="2816"/>
        <v>07/10/2025</v>
      </c>
      <c r="J6071" t="str">
        <f t="shared" si="2817"/>
        <v>15/10/2025</v>
      </c>
      <c r="M6071">
        <v>303</v>
      </c>
      <c r="N6071" t="str">
        <f t="shared" si="2818"/>
        <v>RECEITAS COM ENTREGAS</v>
      </c>
      <c r="P6071">
        <v>125.09</v>
      </c>
      <c r="Q6071" t="str">
        <f>"FARMÁCIA INDIANA LJ 209 (10089)"</f>
        <v>FARMÁCIA INDIANA LJ 209 (10089)</v>
      </c>
      <c r="R6071" t="str">
        <f t="shared" si="2819"/>
        <v>RECEITAS COM ENTREGAS (303)</v>
      </c>
      <c r="S6071">
        <v>2711</v>
      </c>
      <c r="T6071">
        <v>2251</v>
      </c>
      <c r="U6071" t="s">
        <v>19</v>
      </c>
    </row>
    <row r="6072" spans="1:21">
      <c r="A6072" t="str">
        <f t="shared" si="2813"/>
        <v>15/10/2025</v>
      </c>
      <c r="B6072" t="str">
        <f t="shared" si="2808"/>
        <v>ENTRADA</v>
      </c>
      <c r="C6072" t="str">
        <f t="shared" si="2814"/>
        <v>NFSE</v>
      </c>
      <c r="D6072" t="str">
        <f t="shared" si="2809"/>
        <v>3576</v>
      </c>
      <c r="E6072" t="str">
        <f t="shared" si="2812"/>
        <v>COM</v>
      </c>
      <c r="F6072" t="str">
        <f t="shared" si="2810"/>
        <v>FARMÁCIA INDIANA LJ 1 (10126)</v>
      </c>
      <c r="G6072" t="str">
        <f t="shared" si="2811"/>
        <v>Serv.Prest. 26/09/2025 a 05/10/2025 - RPS: 1340 - NFSe: 3576</v>
      </c>
      <c r="H6072" t="str">
        <f t="shared" si="2815"/>
        <v>15/10/2025</v>
      </c>
      <c r="I6072" t="str">
        <f t="shared" si="2816"/>
        <v>07/10/2025</v>
      </c>
      <c r="J6072" t="str">
        <f t="shared" si="2817"/>
        <v>15/10/2025</v>
      </c>
      <c r="M6072">
        <v>303</v>
      </c>
      <c r="N6072" t="str">
        <f t="shared" si="2818"/>
        <v>RECEITAS COM ENTREGAS</v>
      </c>
      <c r="P6072">
        <v>187.64</v>
      </c>
      <c r="Q6072" t="str">
        <f>"FARMÁCIA INDIANA LJ 219 (10091)"</f>
        <v>FARMÁCIA INDIANA LJ 219 (10091)</v>
      </c>
      <c r="R6072" t="str">
        <f t="shared" si="2819"/>
        <v>RECEITAS COM ENTREGAS (303)</v>
      </c>
      <c r="S6072">
        <v>2711</v>
      </c>
      <c r="T6072">
        <v>2251</v>
      </c>
      <c r="U6072" t="s">
        <v>19</v>
      </c>
    </row>
    <row r="6073" spans="1:21">
      <c r="A6073" t="str">
        <f t="shared" si="2813"/>
        <v>15/10/2025</v>
      </c>
      <c r="B6073" t="str">
        <f t="shared" si="2808"/>
        <v>ENTRADA</v>
      </c>
      <c r="C6073" t="str">
        <f t="shared" si="2814"/>
        <v>NFSE</v>
      </c>
      <c r="D6073" t="str">
        <f t="shared" si="2809"/>
        <v>3576</v>
      </c>
      <c r="E6073" t="str">
        <f t="shared" si="2812"/>
        <v>COM</v>
      </c>
      <c r="F6073" t="str">
        <f t="shared" si="2810"/>
        <v>FARMÁCIA INDIANA LJ 1 (10126)</v>
      </c>
      <c r="G6073" t="str">
        <f t="shared" si="2811"/>
        <v>Serv.Prest. 26/09/2025 a 05/10/2025 - RPS: 1340 - NFSe: 3576</v>
      </c>
      <c r="H6073" t="str">
        <f t="shared" si="2815"/>
        <v>15/10/2025</v>
      </c>
      <c r="I6073" t="str">
        <f t="shared" si="2816"/>
        <v>07/10/2025</v>
      </c>
      <c r="J6073" t="str">
        <f t="shared" si="2817"/>
        <v>15/10/2025</v>
      </c>
      <c r="M6073">
        <v>303</v>
      </c>
      <c r="N6073" t="str">
        <f t="shared" si="2818"/>
        <v>RECEITAS COM ENTREGAS</v>
      </c>
      <c r="P6073">
        <v>353.2</v>
      </c>
      <c r="Q6073" t="str">
        <f>"FARMÁCIA INDIANA LJ 220 (10092)"</f>
        <v>FARMÁCIA INDIANA LJ 220 (10092)</v>
      </c>
      <c r="R6073" t="str">
        <f t="shared" si="2819"/>
        <v>RECEITAS COM ENTREGAS (303)</v>
      </c>
      <c r="S6073">
        <v>2711</v>
      </c>
      <c r="T6073">
        <v>2251</v>
      </c>
      <c r="U6073" t="s">
        <v>19</v>
      </c>
    </row>
    <row r="6074" spans="1:21">
      <c r="A6074" t="str">
        <f t="shared" si="2813"/>
        <v>15/10/2025</v>
      </c>
      <c r="B6074" t="str">
        <f t="shared" si="2808"/>
        <v>ENTRADA</v>
      </c>
      <c r="C6074" t="str">
        <f t="shared" si="2814"/>
        <v>NFSE</v>
      </c>
      <c r="D6074" t="str">
        <f t="shared" si="2809"/>
        <v>3576</v>
      </c>
      <c r="E6074" t="str">
        <f t="shared" si="2812"/>
        <v>COM</v>
      </c>
      <c r="F6074" t="str">
        <f t="shared" si="2810"/>
        <v>FARMÁCIA INDIANA LJ 1 (10126)</v>
      </c>
      <c r="G6074" t="str">
        <f t="shared" si="2811"/>
        <v>Serv.Prest. 26/09/2025 a 05/10/2025 - RPS: 1340 - NFSe: 3576</v>
      </c>
      <c r="H6074" t="str">
        <f t="shared" si="2815"/>
        <v>15/10/2025</v>
      </c>
      <c r="I6074" t="str">
        <f t="shared" si="2816"/>
        <v>07/10/2025</v>
      </c>
      <c r="J6074" t="str">
        <f t="shared" si="2817"/>
        <v>15/10/2025</v>
      </c>
      <c r="M6074">
        <v>303</v>
      </c>
      <c r="N6074" t="str">
        <f t="shared" si="2818"/>
        <v>RECEITAS COM ENTREGAS</v>
      </c>
      <c r="P6074">
        <v>171.08</v>
      </c>
      <c r="Q6074" t="str">
        <f>"FARMÁCIA INDIANA LJ 185 (10141)"</f>
        <v>FARMÁCIA INDIANA LJ 185 (10141)</v>
      </c>
      <c r="R6074" t="str">
        <f t="shared" si="2819"/>
        <v>RECEITAS COM ENTREGAS (303)</v>
      </c>
      <c r="S6074">
        <v>2711</v>
      </c>
      <c r="T6074">
        <v>2251</v>
      </c>
      <c r="U6074" t="s">
        <v>19</v>
      </c>
    </row>
    <row r="6075" spans="1:21">
      <c r="A6075" t="str">
        <f t="shared" si="2813"/>
        <v>15/10/2025</v>
      </c>
      <c r="B6075" t="str">
        <f t="shared" si="2808"/>
        <v>ENTRADA</v>
      </c>
      <c r="C6075" t="str">
        <f t="shared" si="2814"/>
        <v>NFSE</v>
      </c>
      <c r="D6075" t="str">
        <f t="shared" si="2809"/>
        <v>3576</v>
      </c>
      <c r="E6075" t="str">
        <f t="shared" ref="E6075:E6106" si="2820">"COM"</f>
        <v>COM</v>
      </c>
      <c r="F6075" t="str">
        <f t="shared" si="2810"/>
        <v>FARMÁCIA INDIANA LJ 1 (10126)</v>
      </c>
      <c r="G6075" t="str">
        <f t="shared" si="2811"/>
        <v>Serv.Prest. 26/09/2025 a 05/10/2025 - RPS: 1340 - NFSe: 3576</v>
      </c>
      <c r="H6075" t="str">
        <f t="shared" si="2815"/>
        <v>15/10/2025</v>
      </c>
      <c r="I6075" t="str">
        <f t="shared" si="2816"/>
        <v>07/10/2025</v>
      </c>
      <c r="J6075" t="str">
        <f t="shared" si="2817"/>
        <v>15/10/2025</v>
      </c>
      <c r="M6075">
        <v>303</v>
      </c>
      <c r="N6075" t="str">
        <f t="shared" si="2818"/>
        <v>RECEITAS COM ENTREGAS</v>
      </c>
      <c r="P6075">
        <v>106.7</v>
      </c>
      <c r="Q6075" t="str">
        <f>"FARMÁCIA INDIANA LJ 205 (10150)"</f>
        <v>FARMÁCIA INDIANA LJ 205 (10150)</v>
      </c>
      <c r="R6075" t="str">
        <f t="shared" si="2819"/>
        <v>RECEITAS COM ENTREGAS (303)</v>
      </c>
      <c r="S6075">
        <v>2711</v>
      </c>
      <c r="T6075">
        <v>2251</v>
      </c>
      <c r="U6075" t="s">
        <v>19</v>
      </c>
    </row>
    <row r="6076" spans="1:21">
      <c r="A6076" t="str">
        <f t="shared" si="2813"/>
        <v>15/10/2025</v>
      </c>
      <c r="B6076" t="str">
        <f t="shared" si="2808"/>
        <v>ENTRADA</v>
      </c>
      <c r="C6076" t="str">
        <f t="shared" si="2814"/>
        <v>NFSE</v>
      </c>
      <c r="D6076" t="str">
        <f t="shared" si="2809"/>
        <v>3576</v>
      </c>
      <c r="E6076" t="str">
        <f t="shared" si="2820"/>
        <v>COM</v>
      </c>
      <c r="F6076" t="str">
        <f t="shared" si="2810"/>
        <v>FARMÁCIA INDIANA LJ 1 (10126)</v>
      </c>
      <c r="G6076" t="str">
        <f t="shared" si="2811"/>
        <v>Serv.Prest. 26/09/2025 a 05/10/2025 - RPS: 1340 - NFSe: 3576</v>
      </c>
      <c r="H6076" t="str">
        <f t="shared" si="2815"/>
        <v>15/10/2025</v>
      </c>
      <c r="I6076" t="str">
        <f t="shared" si="2816"/>
        <v>07/10/2025</v>
      </c>
      <c r="J6076" t="str">
        <f t="shared" si="2817"/>
        <v>15/10/2025</v>
      </c>
      <c r="M6076">
        <v>303</v>
      </c>
      <c r="N6076" t="str">
        <f t="shared" si="2818"/>
        <v>RECEITAS COM ENTREGAS</v>
      </c>
      <c r="P6076">
        <v>770.78</v>
      </c>
      <c r="Q6076" t="str">
        <f>"FARMÁCIA INDIANA LJ 172 (10161)"</f>
        <v>FARMÁCIA INDIANA LJ 172 (10161)</v>
      </c>
      <c r="R6076" t="str">
        <f t="shared" si="2819"/>
        <v>RECEITAS COM ENTREGAS (303)</v>
      </c>
      <c r="S6076">
        <v>2711</v>
      </c>
      <c r="T6076">
        <v>2251</v>
      </c>
      <c r="U6076" t="s">
        <v>19</v>
      </c>
    </row>
    <row r="6077" spans="1:21">
      <c r="A6077" t="str">
        <f t="shared" si="2813"/>
        <v>15/10/2025</v>
      </c>
      <c r="B6077" t="str">
        <f t="shared" si="2808"/>
        <v>ENTRADA</v>
      </c>
      <c r="C6077" t="str">
        <f t="shared" si="2814"/>
        <v>NFSE</v>
      </c>
      <c r="D6077" t="str">
        <f t="shared" si="2809"/>
        <v>3576</v>
      </c>
      <c r="E6077" t="str">
        <f t="shared" si="2820"/>
        <v>COM</v>
      </c>
      <c r="F6077" t="str">
        <f t="shared" si="2810"/>
        <v>FARMÁCIA INDIANA LJ 1 (10126)</v>
      </c>
      <c r="G6077" t="str">
        <f t="shared" si="2811"/>
        <v>Serv.Prest. 26/09/2025 a 05/10/2025 - RPS: 1340 - NFSe: 3576</v>
      </c>
      <c r="H6077" t="str">
        <f t="shared" si="2815"/>
        <v>15/10/2025</v>
      </c>
      <c r="I6077" t="str">
        <f t="shared" si="2816"/>
        <v>07/10/2025</v>
      </c>
      <c r="J6077" t="str">
        <f t="shared" si="2817"/>
        <v>15/10/2025</v>
      </c>
      <c r="M6077">
        <v>303</v>
      </c>
      <c r="N6077" t="str">
        <f t="shared" si="2818"/>
        <v>RECEITAS COM ENTREGAS</v>
      </c>
      <c r="P6077">
        <v>79.099999999999994</v>
      </c>
      <c r="Q6077" t="str">
        <f>"FARMÁCIA INDIANA LJ 266 (10186)"</f>
        <v>FARMÁCIA INDIANA LJ 266 (10186)</v>
      </c>
      <c r="R6077" t="str">
        <f t="shared" si="2819"/>
        <v>RECEITAS COM ENTREGAS (303)</v>
      </c>
      <c r="S6077">
        <v>2711</v>
      </c>
      <c r="T6077">
        <v>2251</v>
      </c>
      <c r="U6077" t="s">
        <v>19</v>
      </c>
    </row>
    <row r="6078" spans="1:21">
      <c r="A6078" t="str">
        <f t="shared" si="2813"/>
        <v>15/10/2025</v>
      </c>
      <c r="B6078" t="str">
        <f t="shared" si="2808"/>
        <v>ENTRADA</v>
      </c>
      <c r="C6078" t="str">
        <f t="shared" si="2814"/>
        <v>NFSE</v>
      </c>
      <c r="D6078" t="str">
        <f t="shared" ref="D6078:D6088" si="2821">"3577"</f>
        <v>3577</v>
      </c>
      <c r="E6078" t="str">
        <f t="shared" si="2820"/>
        <v>COM</v>
      </c>
      <c r="F6078" t="str">
        <f t="shared" ref="F6078:F6088" si="2822">"FARMÁCIA INDIANA LJ 85 (10128)"</f>
        <v>FARMÁCIA INDIANA LJ 85 (10128)</v>
      </c>
      <c r="G6078" t="str">
        <f t="shared" ref="G6078:G6088" si="2823">"Serv.Prest. 26/09/2025 a 05/10/2025 - RPS: 1341 - NFSe: 3577"</f>
        <v>Serv.Prest. 26/09/2025 a 05/10/2025 - RPS: 1341 - NFSe: 3577</v>
      </c>
      <c r="H6078" t="str">
        <f t="shared" si="2815"/>
        <v>15/10/2025</v>
      </c>
      <c r="I6078" t="str">
        <f t="shared" si="2816"/>
        <v>07/10/2025</v>
      </c>
      <c r="J6078" t="str">
        <f t="shared" si="2817"/>
        <v>15/10/2025</v>
      </c>
      <c r="K6078">
        <v>1437.65</v>
      </c>
      <c r="L6078">
        <v>1437.65</v>
      </c>
      <c r="M6078">
        <v>303</v>
      </c>
      <c r="N6078" t="str">
        <f t="shared" si="2818"/>
        <v>RECEITAS COM ENTREGAS</v>
      </c>
      <c r="O6078">
        <v>1437.65</v>
      </c>
      <c r="R6078" t="str">
        <f t="shared" si="2819"/>
        <v>RECEITAS COM ENTREGAS (303)</v>
      </c>
      <c r="S6078">
        <v>2712</v>
      </c>
      <c r="T6078">
        <v>2252</v>
      </c>
      <c r="U6078" t="s">
        <v>19</v>
      </c>
    </row>
    <row r="6079" spans="1:21">
      <c r="A6079" t="str">
        <f t="shared" si="2813"/>
        <v>15/10/2025</v>
      </c>
      <c r="B6079" t="str">
        <f t="shared" si="2808"/>
        <v>ENTRADA</v>
      </c>
      <c r="C6079" t="str">
        <f t="shared" si="2814"/>
        <v>NFSE</v>
      </c>
      <c r="D6079" t="str">
        <f t="shared" si="2821"/>
        <v>3577</v>
      </c>
      <c r="E6079" t="str">
        <f t="shared" si="2820"/>
        <v>COM</v>
      </c>
      <c r="F6079" t="str">
        <f t="shared" si="2822"/>
        <v>FARMÁCIA INDIANA LJ 85 (10128)</v>
      </c>
      <c r="G6079" t="str">
        <f t="shared" si="2823"/>
        <v>Serv.Prest. 26/09/2025 a 05/10/2025 - RPS: 1341 - NFSe: 3577</v>
      </c>
      <c r="H6079" t="str">
        <f t="shared" si="2815"/>
        <v>15/10/2025</v>
      </c>
      <c r="I6079" t="str">
        <f t="shared" si="2816"/>
        <v>07/10/2025</v>
      </c>
      <c r="J6079" t="str">
        <f t="shared" si="2817"/>
        <v>15/10/2025</v>
      </c>
      <c r="M6079">
        <v>303</v>
      </c>
      <c r="N6079" t="str">
        <f t="shared" si="2818"/>
        <v>RECEITAS COM ENTREGAS</v>
      </c>
      <c r="P6079">
        <v>162.01</v>
      </c>
      <c r="Q6079" t="str">
        <f>"FARMÁCIA INDIANA LJ 119 (10053)"</f>
        <v>FARMÁCIA INDIANA LJ 119 (10053)</v>
      </c>
      <c r="R6079" t="str">
        <f t="shared" si="2819"/>
        <v>RECEITAS COM ENTREGAS (303)</v>
      </c>
      <c r="S6079">
        <v>2712</v>
      </c>
      <c r="T6079">
        <v>2252</v>
      </c>
      <c r="U6079" t="s">
        <v>19</v>
      </c>
    </row>
    <row r="6080" spans="1:21">
      <c r="A6080" t="str">
        <f t="shared" si="2813"/>
        <v>15/10/2025</v>
      </c>
      <c r="B6080" t="str">
        <f t="shared" si="2808"/>
        <v>ENTRADA</v>
      </c>
      <c r="C6080" t="str">
        <f t="shared" si="2814"/>
        <v>NFSE</v>
      </c>
      <c r="D6080" t="str">
        <f t="shared" si="2821"/>
        <v>3577</v>
      </c>
      <c r="E6080" t="str">
        <f t="shared" si="2820"/>
        <v>COM</v>
      </c>
      <c r="F6080" t="str">
        <f t="shared" si="2822"/>
        <v>FARMÁCIA INDIANA LJ 85 (10128)</v>
      </c>
      <c r="G6080" t="str">
        <f t="shared" si="2823"/>
        <v>Serv.Prest. 26/09/2025 a 05/10/2025 - RPS: 1341 - NFSe: 3577</v>
      </c>
      <c r="H6080" t="str">
        <f t="shared" si="2815"/>
        <v>15/10/2025</v>
      </c>
      <c r="I6080" t="str">
        <f t="shared" si="2816"/>
        <v>07/10/2025</v>
      </c>
      <c r="J6080" t="str">
        <f t="shared" si="2817"/>
        <v>15/10/2025</v>
      </c>
      <c r="M6080">
        <v>303</v>
      </c>
      <c r="N6080" t="str">
        <f t="shared" si="2818"/>
        <v>RECEITAS COM ENTREGAS</v>
      </c>
      <c r="P6080">
        <v>190.34</v>
      </c>
      <c r="Q6080" t="str">
        <f>"FARMÁCIA INDIANA LJ 163 (10072)"</f>
        <v>FARMÁCIA INDIANA LJ 163 (10072)</v>
      </c>
      <c r="R6080" t="str">
        <f t="shared" si="2819"/>
        <v>RECEITAS COM ENTREGAS (303)</v>
      </c>
      <c r="S6080">
        <v>2712</v>
      </c>
      <c r="T6080">
        <v>2252</v>
      </c>
      <c r="U6080" t="s">
        <v>19</v>
      </c>
    </row>
    <row r="6081" spans="1:21">
      <c r="A6081" t="str">
        <f t="shared" ref="A6081:A6108" si="2824">("15/10/2025")</f>
        <v>15/10/2025</v>
      </c>
      <c r="B6081" t="str">
        <f t="shared" si="2808"/>
        <v>ENTRADA</v>
      </c>
      <c r="C6081" t="str">
        <f t="shared" ref="C6081:C6106" si="2825">"NFSE"</f>
        <v>NFSE</v>
      </c>
      <c r="D6081" t="str">
        <f t="shared" si="2821"/>
        <v>3577</v>
      </c>
      <c r="E6081" t="str">
        <f t="shared" si="2820"/>
        <v>COM</v>
      </c>
      <c r="F6081" t="str">
        <f t="shared" si="2822"/>
        <v>FARMÁCIA INDIANA LJ 85 (10128)</v>
      </c>
      <c r="G6081" t="str">
        <f t="shared" si="2823"/>
        <v>Serv.Prest. 26/09/2025 a 05/10/2025 - RPS: 1341 - NFSe: 3577</v>
      </c>
      <c r="H6081" t="str">
        <f t="shared" ref="H6081:H6098" si="2826">("15/10/2025")</f>
        <v>15/10/2025</v>
      </c>
      <c r="I6081" t="str">
        <f t="shared" ref="I6081:I6088" si="2827">("07/10/2025")</f>
        <v>07/10/2025</v>
      </c>
      <c r="J6081" t="str">
        <f t="shared" ref="J6081:J6108" si="2828">("15/10/2025")</f>
        <v>15/10/2025</v>
      </c>
      <c r="M6081">
        <v>303</v>
      </c>
      <c r="N6081" t="str">
        <f t="shared" ref="N6081:N6106" si="2829">"RECEITAS COM ENTREGAS"</f>
        <v>RECEITAS COM ENTREGAS</v>
      </c>
      <c r="P6081">
        <v>194.37</v>
      </c>
      <c r="Q6081" t="str">
        <f>"FARMÁCIA INDIANA LJ 181 (10078)"</f>
        <v>FARMÁCIA INDIANA LJ 181 (10078)</v>
      </c>
      <c r="R6081" t="str">
        <f t="shared" ref="R6081:R6106" si="2830">"RECEITAS COM ENTREGAS (303)"</f>
        <v>RECEITAS COM ENTREGAS (303)</v>
      </c>
      <c r="S6081">
        <v>2712</v>
      </c>
      <c r="T6081">
        <v>2252</v>
      </c>
      <c r="U6081" t="s">
        <v>19</v>
      </c>
    </row>
    <row r="6082" spans="1:21">
      <c r="A6082" t="str">
        <f t="shared" si="2824"/>
        <v>15/10/2025</v>
      </c>
      <c r="B6082" t="str">
        <f t="shared" ref="B6082:B6106" si="2831">"ENTRADA"</f>
        <v>ENTRADA</v>
      </c>
      <c r="C6082" t="str">
        <f t="shared" si="2825"/>
        <v>NFSE</v>
      </c>
      <c r="D6082" t="str">
        <f t="shared" si="2821"/>
        <v>3577</v>
      </c>
      <c r="E6082" t="str">
        <f t="shared" si="2820"/>
        <v>COM</v>
      </c>
      <c r="F6082" t="str">
        <f t="shared" si="2822"/>
        <v>FARMÁCIA INDIANA LJ 85 (10128)</v>
      </c>
      <c r="G6082" t="str">
        <f t="shared" si="2823"/>
        <v>Serv.Prest. 26/09/2025 a 05/10/2025 - RPS: 1341 - NFSe: 3577</v>
      </c>
      <c r="H6082" t="str">
        <f t="shared" si="2826"/>
        <v>15/10/2025</v>
      </c>
      <c r="I6082" t="str">
        <f t="shared" si="2827"/>
        <v>07/10/2025</v>
      </c>
      <c r="J6082" t="str">
        <f t="shared" si="2828"/>
        <v>15/10/2025</v>
      </c>
      <c r="M6082">
        <v>303</v>
      </c>
      <c r="N6082" t="str">
        <f t="shared" si="2829"/>
        <v>RECEITAS COM ENTREGAS</v>
      </c>
      <c r="P6082">
        <v>161.74</v>
      </c>
      <c r="Q6082" t="str">
        <f>"FARMÁCIA INDIANA LJ 221 (10093)"</f>
        <v>FARMÁCIA INDIANA LJ 221 (10093)</v>
      </c>
      <c r="R6082" t="str">
        <f t="shared" si="2830"/>
        <v>RECEITAS COM ENTREGAS (303)</v>
      </c>
      <c r="S6082">
        <v>2712</v>
      </c>
      <c r="T6082">
        <v>2252</v>
      </c>
      <c r="U6082" t="s">
        <v>19</v>
      </c>
    </row>
    <row r="6083" spans="1:21">
      <c r="A6083" t="str">
        <f t="shared" si="2824"/>
        <v>15/10/2025</v>
      </c>
      <c r="B6083" t="str">
        <f t="shared" si="2831"/>
        <v>ENTRADA</v>
      </c>
      <c r="C6083" t="str">
        <f t="shared" si="2825"/>
        <v>NFSE</v>
      </c>
      <c r="D6083" t="str">
        <f t="shared" si="2821"/>
        <v>3577</v>
      </c>
      <c r="E6083" t="str">
        <f t="shared" si="2820"/>
        <v>COM</v>
      </c>
      <c r="F6083" t="str">
        <f t="shared" si="2822"/>
        <v>FARMÁCIA INDIANA LJ 85 (10128)</v>
      </c>
      <c r="G6083" t="str">
        <f t="shared" si="2823"/>
        <v>Serv.Prest. 26/09/2025 a 05/10/2025 - RPS: 1341 - NFSe: 3577</v>
      </c>
      <c r="H6083" t="str">
        <f t="shared" si="2826"/>
        <v>15/10/2025</v>
      </c>
      <c r="I6083" t="str">
        <f t="shared" si="2827"/>
        <v>07/10/2025</v>
      </c>
      <c r="J6083" t="str">
        <f t="shared" si="2828"/>
        <v>15/10/2025</v>
      </c>
      <c r="M6083">
        <v>303</v>
      </c>
      <c r="N6083" t="str">
        <f t="shared" si="2829"/>
        <v>RECEITAS COM ENTREGAS</v>
      </c>
      <c r="P6083">
        <v>206.02</v>
      </c>
      <c r="Q6083" t="str">
        <f>"FARMÁCIA INDIANA LJ 243 (10142)"</f>
        <v>FARMÁCIA INDIANA LJ 243 (10142)</v>
      </c>
      <c r="R6083" t="str">
        <f t="shared" si="2830"/>
        <v>RECEITAS COM ENTREGAS (303)</v>
      </c>
      <c r="S6083">
        <v>2712</v>
      </c>
      <c r="T6083">
        <v>2252</v>
      </c>
      <c r="U6083" t="s">
        <v>19</v>
      </c>
    </row>
    <row r="6084" spans="1:21">
      <c r="A6084" t="str">
        <f t="shared" si="2824"/>
        <v>15/10/2025</v>
      </c>
      <c r="B6084" t="str">
        <f t="shared" si="2831"/>
        <v>ENTRADA</v>
      </c>
      <c r="C6084" t="str">
        <f t="shared" si="2825"/>
        <v>NFSE</v>
      </c>
      <c r="D6084" t="str">
        <f t="shared" si="2821"/>
        <v>3577</v>
      </c>
      <c r="E6084" t="str">
        <f t="shared" si="2820"/>
        <v>COM</v>
      </c>
      <c r="F6084" t="str">
        <f t="shared" si="2822"/>
        <v>FARMÁCIA INDIANA LJ 85 (10128)</v>
      </c>
      <c r="G6084" t="str">
        <f t="shared" si="2823"/>
        <v>Serv.Prest. 26/09/2025 a 05/10/2025 - RPS: 1341 - NFSe: 3577</v>
      </c>
      <c r="H6084" t="str">
        <f t="shared" si="2826"/>
        <v>15/10/2025</v>
      </c>
      <c r="I6084" t="str">
        <f t="shared" si="2827"/>
        <v>07/10/2025</v>
      </c>
      <c r="J6084" t="str">
        <f t="shared" si="2828"/>
        <v>15/10/2025</v>
      </c>
      <c r="M6084">
        <v>303</v>
      </c>
      <c r="N6084" t="str">
        <f t="shared" si="2829"/>
        <v>RECEITAS COM ENTREGAS</v>
      </c>
      <c r="P6084">
        <v>86.12</v>
      </c>
      <c r="Q6084" t="str">
        <f>"FARMÁCIA INDIANA LJ 211 (10168)"</f>
        <v>FARMÁCIA INDIANA LJ 211 (10168)</v>
      </c>
      <c r="R6084" t="str">
        <f t="shared" si="2830"/>
        <v>RECEITAS COM ENTREGAS (303)</v>
      </c>
      <c r="S6084">
        <v>2712</v>
      </c>
      <c r="T6084">
        <v>2252</v>
      </c>
      <c r="U6084" t="s">
        <v>19</v>
      </c>
    </row>
    <row r="6085" spans="1:21">
      <c r="A6085" t="str">
        <f t="shared" si="2824"/>
        <v>15/10/2025</v>
      </c>
      <c r="B6085" t="str">
        <f t="shared" si="2831"/>
        <v>ENTRADA</v>
      </c>
      <c r="C6085" t="str">
        <f t="shared" si="2825"/>
        <v>NFSE</v>
      </c>
      <c r="D6085" t="str">
        <f t="shared" si="2821"/>
        <v>3577</v>
      </c>
      <c r="E6085" t="str">
        <f t="shared" si="2820"/>
        <v>COM</v>
      </c>
      <c r="F6085" t="str">
        <f t="shared" si="2822"/>
        <v>FARMÁCIA INDIANA LJ 85 (10128)</v>
      </c>
      <c r="G6085" t="str">
        <f t="shared" si="2823"/>
        <v>Serv.Prest. 26/09/2025 a 05/10/2025 - RPS: 1341 - NFSe: 3577</v>
      </c>
      <c r="H6085" t="str">
        <f t="shared" si="2826"/>
        <v>15/10/2025</v>
      </c>
      <c r="I6085" t="str">
        <f t="shared" si="2827"/>
        <v>07/10/2025</v>
      </c>
      <c r="J6085" t="str">
        <f t="shared" si="2828"/>
        <v>15/10/2025</v>
      </c>
      <c r="M6085">
        <v>303</v>
      </c>
      <c r="N6085" t="str">
        <f t="shared" si="2829"/>
        <v>RECEITAS COM ENTREGAS</v>
      </c>
      <c r="P6085">
        <v>86.12</v>
      </c>
      <c r="Q6085" t="str">
        <f>"FARMÁCIA INDIANA LJ 236 (10169)"</f>
        <v>FARMÁCIA INDIANA LJ 236 (10169)</v>
      </c>
      <c r="R6085" t="str">
        <f t="shared" si="2830"/>
        <v>RECEITAS COM ENTREGAS (303)</v>
      </c>
      <c r="S6085">
        <v>2712</v>
      </c>
      <c r="T6085">
        <v>2252</v>
      </c>
      <c r="U6085" t="s">
        <v>19</v>
      </c>
    </row>
    <row r="6086" spans="1:21">
      <c r="A6086" t="str">
        <f t="shared" si="2824"/>
        <v>15/10/2025</v>
      </c>
      <c r="B6086" t="str">
        <f t="shared" si="2831"/>
        <v>ENTRADA</v>
      </c>
      <c r="C6086" t="str">
        <f t="shared" si="2825"/>
        <v>NFSE</v>
      </c>
      <c r="D6086" t="str">
        <f t="shared" si="2821"/>
        <v>3577</v>
      </c>
      <c r="E6086" t="str">
        <f t="shared" si="2820"/>
        <v>COM</v>
      </c>
      <c r="F6086" t="str">
        <f t="shared" si="2822"/>
        <v>FARMÁCIA INDIANA LJ 85 (10128)</v>
      </c>
      <c r="G6086" t="str">
        <f t="shared" si="2823"/>
        <v>Serv.Prest. 26/09/2025 a 05/10/2025 - RPS: 1341 - NFSe: 3577</v>
      </c>
      <c r="H6086" t="str">
        <f t="shared" si="2826"/>
        <v>15/10/2025</v>
      </c>
      <c r="I6086" t="str">
        <f t="shared" si="2827"/>
        <v>07/10/2025</v>
      </c>
      <c r="J6086" t="str">
        <f t="shared" si="2828"/>
        <v>15/10/2025</v>
      </c>
      <c r="M6086">
        <v>303</v>
      </c>
      <c r="N6086" t="str">
        <f t="shared" si="2829"/>
        <v>RECEITAS COM ENTREGAS</v>
      </c>
      <c r="P6086">
        <v>172.23</v>
      </c>
      <c r="Q6086" t="str">
        <f>"FARMÁCIA INDIANA LJ 188 (10176)"</f>
        <v>FARMÁCIA INDIANA LJ 188 (10176)</v>
      </c>
      <c r="R6086" t="str">
        <f t="shared" si="2830"/>
        <v>RECEITAS COM ENTREGAS (303)</v>
      </c>
      <c r="S6086">
        <v>2712</v>
      </c>
      <c r="T6086">
        <v>2252</v>
      </c>
      <c r="U6086" t="s">
        <v>19</v>
      </c>
    </row>
    <row r="6087" spans="1:21">
      <c r="A6087" t="str">
        <f t="shared" si="2824"/>
        <v>15/10/2025</v>
      </c>
      <c r="B6087" t="str">
        <f t="shared" si="2831"/>
        <v>ENTRADA</v>
      </c>
      <c r="C6087" t="str">
        <f t="shared" si="2825"/>
        <v>NFSE</v>
      </c>
      <c r="D6087" t="str">
        <f t="shared" si="2821"/>
        <v>3577</v>
      </c>
      <c r="E6087" t="str">
        <f t="shared" si="2820"/>
        <v>COM</v>
      </c>
      <c r="F6087" t="str">
        <f t="shared" si="2822"/>
        <v>FARMÁCIA INDIANA LJ 85 (10128)</v>
      </c>
      <c r="G6087" t="str">
        <f t="shared" si="2823"/>
        <v>Serv.Prest. 26/09/2025 a 05/10/2025 - RPS: 1341 - NFSe: 3577</v>
      </c>
      <c r="H6087" t="str">
        <f t="shared" si="2826"/>
        <v>15/10/2025</v>
      </c>
      <c r="I6087" t="str">
        <f t="shared" si="2827"/>
        <v>07/10/2025</v>
      </c>
      <c r="J6087" t="str">
        <f t="shared" si="2828"/>
        <v>15/10/2025</v>
      </c>
      <c r="M6087">
        <v>303</v>
      </c>
      <c r="N6087" t="str">
        <f t="shared" si="2829"/>
        <v>RECEITAS COM ENTREGAS</v>
      </c>
      <c r="P6087">
        <v>135</v>
      </c>
      <c r="Q6087" t="str">
        <f>"FARMÁCIA INDIANA LJ 273 (10188)"</f>
        <v>FARMÁCIA INDIANA LJ 273 (10188)</v>
      </c>
      <c r="R6087" t="str">
        <f t="shared" si="2830"/>
        <v>RECEITAS COM ENTREGAS (303)</v>
      </c>
      <c r="S6087">
        <v>2712</v>
      </c>
      <c r="T6087">
        <v>2252</v>
      </c>
      <c r="U6087" t="s">
        <v>19</v>
      </c>
    </row>
    <row r="6088" spans="1:21">
      <c r="A6088" t="str">
        <f t="shared" si="2824"/>
        <v>15/10/2025</v>
      </c>
      <c r="B6088" t="str">
        <f t="shared" si="2831"/>
        <v>ENTRADA</v>
      </c>
      <c r="C6088" t="str">
        <f t="shared" si="2825"/>
        <v>NFSE</v>
      </c>
      <c r="D6088" t="str">
        <f t="shared" si="2821"/>
        <v>3577</v>
      </c>
      <c r="E6088" t="str">
        <f t="shared" si="2820"/>
        <v>COM</v>
      </c>
      <c r="F6088" t="str">
        <f t="shared" si="2822"/>
        <v>FARMÁCIA INDIANA LJ 85 (10128)</v>
      </c>
      <c r="G6088" t="str">
        <f t="shared" si="2823"/>
        <v>Serv.Prest. 26/09/2025 a 05/10/2025 - RPS: 1341 - NFSe: 3577</v>
      </c>
      <c r="H6088" t="str">
        <f t="shared" si="2826"/>
        <v>15/10/2025</v>
      </c>
      <c r="I6088" t="str">
        <f t="shared" si="2827"/>
        <v>07/10/2025</v>
      </c>
      <c r="J6088" t="str">
        <f t="shared" si="2828"/>
        <v>15/10/2025</v>
      </c>
      <c r="M6088">
        <v>303</v>
      </c>
      <c r="N6088" t="str">
        <f t="shared" si="2829"/>
        <v>RECEITAS COM ENTREGAS</v>
      </c>
      <c r="P6088">
        <v>43.7</v>
      </c>
      <c r="Q6088" t="str">
        <f>"FARMÁCIA INDIANA LJ 235 (10190)"</f>
        <v>FARMÁCIA INDIANA LJ 235 (10190)</v>
      </c>
      <c r="R6088" t="str">
        <f t="shared" si="2830"/>
        <v>RECEITAS COM ENTREGAS (303)</v>
      </c>
      <c r="S6088">
        <v>2712</v>
      </c>
      <c r="T6088">
        <v>2252</v>
      </c>
      <c r="U6088" t="s">
        <v>19</v>
      </c>
    </row>
    <row r="6089" spans="1:21">
      <c r="A6089" t="str">
        <f t="shared" si="2824"/>
        <v>15/10/2025</v>
      </c>
      <c r="B6089" t="str">
        <f t="shared" si="2831"/>
        <v>ENTRADA</v>
      </c>
      <c r="C6089" t="str">
        <f t="shared" si="2825"/>
        <v>NFSE</v>
      </c>
      <c r="D6089" t="str">
        <f>"3583"</f>
        <v>3583</v>
      </c>
      <c r="E6089" t="str">
        <f t="shared" si="2820"/>
        <v>COM</v>
      </c>
      <c r="F6089" t="str">
        <f>"FARMÁCIA INDIANA LJ 1 (10126)"</f>
        <v>FARMÁCIA INDIANA LJ 1 (10126)</v>
      </c>
      <c r="G6089" t="str">
        <f>"Serv.Prest. 29/09/2025 a 29/09/2025 - RPS: 1347 - NFSe: 3583"</f>
        <v>Serv.Prest. 29/09/2025 a 29/09/2025 - RPS: 1347 - NFSe: 3583</v>
      </c>
      <c r="H6089" t="str">
        <f t="shared" si="2826"/>
        <v>15/10/2025</v>
      </c>
      <c r="I6089" t="str">
        <f>("08/10/2025")</f>
        <v>08/10/2025</v>
      </c>
      <c r="J6089" t="str">
        <f t="shared" si="2828"/>
        <v>15/10/2025</v>
      </c>
      <c r="K6089">
        <v>20</v>
      </c>
      <c r="L6089">
        <v>20</v>
      </c>
      <c r="M6089">
        <v>303</v>
      </c>
      <c r="N6089" t="str">
        <f t="shared" si="2829"/>
        <v>RECEITAS COM ENTREGAS</v>
      </c>
      <c r="O6089">
        <v>20</v>
      </c>
      <c r="R6089" t="str">
        <f t="shared" si="2830"/>
        <v>RECEITAS COM ENTREGAS (303)</v>
      </c>
      <c r="S6089">
        <v>2713</v>
      </c>
      <c r="T6089">
        <v>2258</v>
      </c>
      <c r="U6089" t="s">
        <v>19</v>
      </c>
    </row>
    <row r="6090" spans="1:21">
      <c r="A6090" t="str">
        <f t="shared" si="2824"/>
        <v>15/10/2025</v>
      </c>
      <c r="B6090" t="str">
        <f t="shared" si="2831"/>
        <v>ENTRADA</v>
      </c>
      <c r="C6090" t="str">
        <f t="shared" si="2825"/>
        <v>NFSE</v>
      </c>
      <c r="D6090" t="str">
        <f>"3583"</f>
        <v>3583</v>
      </c>
      <c r="E6090" t="str">
        <f t="shared" si="2820"/>
        <v>COM</v>
      </c>
      <c r="F6090" t="str">
        <f>"FARMÁCIA INDIANA LJ 1 (10126)"</f>
        <v>FARMÁCIA INDIANA LJ 1 (10126)</v>
      </c>
      <c r="G6090" t="str">
        <f>"Serv.Prest. 29/09/2025 a 29/09/2025 - RPS: 1347 - NFSe: 3583"</f>
        <v>Serv.Prest. 29/09/2025 a 29/09/2025 - RPS: 1347 - NFSe: 3583</v>
      </c>
      <c r="H6090" t="str">
        <f t="shared" si="2826"/>
        <v>15/10/2025</v>
      </c>
      <c r="I6090" t="str">
        <f>("08/10/2025")</f>
        <v>08/10/2025</v>
      </c>
      <c r="J6090" t="str">
        <f t="shared" si="2828"/>
        <v>15/10/2025</v>
      </c>
      <c r="M6090">
        <v>303</v>
      </c>
      <c r="N6090" t="str">
        <f t="shared" si="2829"/>
        <v>RECEITAS COM ENTREGAS</v>
      </c>
      <c r="P6090">
        <v>20</v>
      </c>
      <c r="Q6090" t="str">
        <f>"FARMÁCIA INDIANA LJ 18 (10011)"</f>
        <v>FARMÁCIA INDIANA LJ 18 (10011)</v>
      </c>
      <c r="R6090" t="str">
        <f t="shared" si="2830"/>
        <v>RECEITAS COM ENTREGAS (303)</v>
      </c>
      <c r="S6090">
        <v>2713</v>
      </c>
      <c r="T6090">
        <v>2258</v>
      </c>
      <c r="U6090" t="s">
        <v>19</v>
      </c>
    </row>
    <row r="6091" spans="1:21">
      <c r="A6091" t="str">
        <f t="shared" si="2824"/>
        <v>15/10/2025</v>
      </c>
      <c r="B6091" t="str">
        <f t="shared" si="2831"/>
        <v>ENTRADA</v>
      </c>
      <c r="C6091" t="str">
        <f t="shared" si="2825"/>
        <v>NFSE</v>
      </c>
      <c r="D6091" t="str">
        <f>"3589"</f>
        <v>3589</v>
      </c>
      <c r="E6091" t="str">
        <f t="shared" si="2820"/>
        <v>COM</v>
      </c>
      <c r="F6091" t="str">
        <f>"DROGARIA AGAPEAMA (10167)"</f>
        <v>DROGARIA AGAPEAMA (10167)</v>
      </c>
      <c r="G6091" t="str">
        <f>"Serv.Prest. 06/10/2025 a 12/10/2025 - RPS: 1353 - NFSe: 3589"</f>
        <v>Serv.Prest. 06/10/2025 a 12/10/2025 - RPS: 1353 - NFSe: 3589</v>
      </c>
      <c r="H6091" t="str">
        <f t="shared" si="2826"/>
        <v>15/10/2025</v>
      </c>
      <c r="I6091" t="str">
        <f>("13/10/2025")</f>
        <v>13/10/2025</v>
      </c>
      <c r="J6091" t="str">
        <f t="shared" si="2828"/>
        <v>15/10/2025</v>
      </c>
      <c r="K6091">
        <v>404</v>
      </c>
      <c r="L6091">
        <v>404</v>
      </c>
      <c r="M6091">
        <v>303</v>
      </c>
      <c r="N6091" t="str">
        <f t="shared" si="2829"/>
        <v>RECEITAS COM ENTREGAS</v>
      </c>
      <c r="O6091">
        <v>404</v>
      </c>
      <c r="R6091" t="str">
        <f t="shared" si="2830"/>
        <v>RECEITAS COM ENTREGAS (303)</v>
      </c>
      <c r="S6091">
        <v>2714</v>
      </c>
      <c r="T6091">
        <v>2264</v>
      </c>
      <c r="U6091" t="s">
        <v>19</v>
      </c>
    </row>
    <row r="6092" spans="1:21">
      <c r="A6092" t="str">
        <f t="shared" si="2824"/>
        <v>15/10/2025</v>
      </c>
      <c r="B6092" t="str">
        <f t="shared" si="2831"/>
        <v>ENTRADA</v>
      </c>
      <c r="C6092" t="str">
        <f t="shared" si="2825"/>
        <v>NFSE</v>
      </c>
      <c r="D6092" t="str">
        <f>"3589"</f>
        <v>3589</v>
      </c>
      <c r="E6092" t="str">
        <f t="shared" si="2820"/>
        <v>COM</v>
      </c>
      <c r="F6092" t="str">
        <f>"DROGARIA AGAPEAMA (10167)"</f>
        <v>DROGARIA AGAPEAMA (10167)</v>
      </c>
      <c r="G6092" t="str">
        <f>"Serv.Prest. 06/10/2025 a 12/10/2025 - RPS: 1353 - NFSe: 3589"</f>
        <v>Serv.Prest. 06/10/2025 a 12/10/2025 - RPS: 1353 - NFSe: 3589</v>
      </c>
      <c r="H6092" t="str">
        <f t="shared" si="2826"/>
        <v>15/10/2025</v>
      </c>
      <c r="I6092" t="str">
        <f>("13/10/2025")</f>
        <v>13/10/2025</v>
      </c>
      <c r="J6092" t="str">
        <f t="shared" si="2828"/>
        <v>15/10/2025</v>
      </c>
      <c r="M6092">
        <v>303</v>
      </c>
      <c r="N6092" t="str">
        <f t="shared" si="2829"/>
        <v>RECEITAS COM ENTREGAS</v>
      </c>
      <c r="P6092">
        <v>404</v>
      </c>
      <c r="Q6092" t="str">
        <f>"DROGARIA AGAPEAMA (10167)"</f>
        <v>DROGARIA AGAPEAMA (10167)</v>
      </c>
      <c r="R6092" t="str">
        <f t="shared" si="2830"/>
        <v>RECEITAS COM ENTREGAS (303)</v>
      </c>
      <c r="S6092">
        <v>2714</v>
      </c>
      <c r="T6092">
        <v>2264</v>
      </c>
      <c r="U6092" t="s">
        <v>19</v>
      </c>
    </row>
    <row r="6093" spans="1:21">
      <c r="A6093" t="str">
        <f t="shared" si="2824"/>
        <v>15/10/2025</v>
      </c>
      <c r="B6093" t="str">
        <f t="shared" si="2831"/>
        <v>ENTRADA</v>
      </c>
      <c r="C6093" t="str">
        <f t="shared" si="2825"/>
        <v>NFSE</v>
      </c>
      <c r="D6093" t="str">
        <f>"3593"</f>
        <v>3593</v>
      </c>
      <c r="E6093" t="str">
        <f t="shared" si="2820"/>
        <v>COM</v>
      </c>
      <c r="F6093" t="str">
        <f>"ENTREFARMA (10164)"</f>
        <v>ENTREFARMA (10164)</v>
      </c>
      <c r="G6093" t="str">
        <f>"Serv.Prest. 06/10/2025 a 12/10/2025 - RPS: 1357 - NFSe: 3593"</f>
        <v>Serv.Prest. 06/10/2025 a 12/10/2025 - RPS: 1357 - NFSe: 3593</v>
      </c>
      <c r="H6093" t="str">
        <f t="shared" si="2826"/>
        <v>15/10/2025</v>
      </c>
      <c r="I6093" t="str">
        <f>("13/10/2025")</f>
        <v>13/10/2025</v>
      </c>
      <c r="J6093" t="str">
        <f t="shared" si="2828"/>
        <v>15/10/2025</v>
      </c>
      <c r="K6093">
        <v>1021.27</v>
      </c>
      <c r="L6093">
        <v>1021.27</v>
      </c>
      <c r="M6093">
        <v>303</v>
      </c>
      <c r="N6093" t="str">
        <f t="shared" si="2829"/>
        <v>RECEITAS COM ENTREGAS</v>
      </c>
      <c r="O6093">
        <v>1021.27</v>
      </c>
      <c r="R6093" t="str">
        <f t="shared" si="2830"/>
        <v>RECEITAS COM ENTREGAS (303)</v>
      </c>
      <c r="S6093">
        <v>2715</v>
      </c>
      <c r="T6093">
        <v>2268</v>
      </c>
      <c r="U6093" t="s">
        <v>19</v>
      </c>
    </row>
    <row r="6094" spans="1:21">
      <c r="A6094" t="str">
        <f t="shared" si="2824"/>
        <v>15/10/2025</v>
      </c>
      <c r="B6094" t="str">
        <f t="shared" si="2831"/>
        <v>ENTRADA</v>
      </c>
      <c r="C6094" t="str">
        <f t="shared" si="2825"/>
        <v>NFSE</v>
      </c>
      <c r="D6094" t="str">
        <f>"3593"</f>
        <v>3593</v>
      </c>
      <c r="E6094" t="str">
        <f t="shared" si="2820"/>
        <v>COM</v>
      </c>
      <c r="F6094" t="str">
        <f>"ENTREFARMA (10164)"</f>
        <v>ENTREFARMA (10164)</v>
      </c>
      <c r="G6094" t="str">
        <f>"Serv.Prest. 06/10/2025 a 12/10/2025 - RPS: 1357 - NFSe: 3593"</f>
        <v>Serv.Prest. 06/10/2025 a 12/10/2025 - RPS: 1357 - NFSe: 3593</v>
      </c>
      <c r="H6094" t="str">
        <f t="shared" si="2826"/>
        <v>15/10/2025</v>
      </c>
      <c r="I6094" t="str">
        <f>("13/10/2025")</f>
        <v>13/10/2025</v>
      </c>
      <c r="J6094" t="str">
        <f t="shared" si="2828"/>
        <v>15/10/2025</v>
      </c>
      <c r="M6094">
        <v>303</v>
      </c>
      <c r="N6094" t="str">
        <f t="shared" si="2829"/>
        <v>RECEITAS COM ENTREGAS</v>
      </c>
      <c r="P6094">
        <v>1021.27</v>
      </c>
      <c r="Q6094" t="str">
        <f>"ENTREFARMA (10164)"</f>
        <v>ENTREFARMA (10164)</v>
      </c>
      <c r="R6094" t="str">
        <f t="shared" si="2830"/>
        <v>RECEITAS COM ENTREGAS (303)</v>
      </c>
      <c r="S6094">
        <v>2715</v>
      </c>
      <c r="T6094">
        <v>2268</v>
      </c>
      <c r="U6094" t="s">
        <v>19</v>
      </c>
    </row>
    <row r="6095" spans="1:21">
      <c r="A6095" t="str">
        <f t="shared" si="2824"/>
        <v>15/10/2025</v>
      </c>
      <c r="B6095" t="str">
        <f t="shared" si="2831"/>
        <v>ENTRADA</v>
      </c>
      <c r="C6095" t="str">
        <f t="shared" si="2825"/>
        <v>NFSE</v>
      </c>
      <c r="D6095" t="str">
        <f>"3613"</f>
        <v>3613</v>
      </c>
      <c r="E6095" t="str">
        <f t="shared" si="2820"/>
        <v>COM</v>
      </c>
      <c r="F6095" t="str">
        <f>"FRAN FARMA (10124)"</f>
        <v>FRAN FARMA (10124)</v>
      </c>
      <c r="G6095" t="str">
        <f>"Serv.Prest. 06/10/2025 a 12/10/2025 - RPS: 1377 - NFSe: 3613"</f>
        <v>Serv.Prest. 06/10/2025 a 12/10/2025 - RPS: 1377 - NFSe: 3613</v>
      </c>
      <c r="H6095" t="str">
        <f t="shared" si="2826"/>
        <v>15/10/2025</v>
      </c>
      <c r="I6095" t="str">
        <f t="shared" ref="I6095:I6106" si="2832">("14/10/2025")</f>
        <v>14/10/2025</v>
      </c>
      <c r="J6095" t="str">
        <f t="shared" si="2828"/>
        <v>15/10/2025</v>
      </c>
      <c r="K6095">
        <v>160</v>
      </c>
      <c r="L6095">
        <v>160</v>
      </c>
      <c r="M6095">
        <v>303</v>
      </c>
      <c r="N6095" t="str">
        <f t="shared" si="2829"/>
        <v>RECEITAS COM ENTREGAS</v>
      </c>
      <c r="O6095">
        <v>160</v>
      </c>
      <c r="R6095" t="str">
        <f t="shared" si="2830"/>
        <v>RECEITAS COM ENTREGAS (303)</v>
      </c>
      <c r="S6095">
        <v>2716</v>
      </c>
      <c r="T6095">
        <v>2288</v>
      </c>
      <c r="U6095" t="s">
        <v>19</v>
      </c>
    </row>
    <row r="6096" spans="1:21">
      <c r="A6096" t="str">
        <f t="shared" si="2824"/>
        <v>15/10/2025</v>
      </c>
      <c r="B6096" t="str">
        <f t="shared" si="2831"/>
        <v>ENTRADA</v>
      </c>
      <c r="C6096" t="str">
        <f t="shared" si="2825"/>
        <v>NFSE</v>
      </c>
      <c r="D6096" t="str">
        <f>"3613"</f>
        <v>3613</v>
      </c>
      <c r="E6096" t="str">
        <f t="shared" si="2820"/>
        <v>COM</v>
      </c>
      <c r="F6096" t="str">
        <f>"FRAN FARMA (10124)"</f>
        <v>FRAN FARMA (10124)</v>
      </c>
      <c r="G6096" t="str">
        <f>"Serv.Prest. 06/10/2025 a 12/10/2025 - RPS: 1377 - NFSe: 3613"</f>
        <v>Serv.Prest. 06/10/2025 a 12/10/2025 - RPS: 1377 - NFSe: 3613</v>
      </c>
      <c r="H6096" t="str">
        <f t="shared" si="2826"/>
        <v>15/10/2025</v>
      </c>
      <c r="I6096" t="str">
        <f t="shared" si="2832"/>
        <v>14/10/2025</v>
      </c>
      <c r="J6096" t="str">
        <f t="shared" si="2828"/>
        <v>15/10/2025</v>
      </c>
      <c r="M6096">
        <v>303</v>
      </c>
      <c r="N6096" t="str">
        <f t="shared" si="2829"/>
        <v>RECEITAS COM ENTREGAS</v>
      </c>
      <c r="P6096">
        <v>160</v>
      </c>
      <c r="Q6096" t="str">
        <f>"FRAN FARMA LJ 2 (10131)"</f>
        <v>FRAN FARMA LJ 2 (10131)</v>
      </c>
      <c r="R6096" t="str">
        <f t="shared" si="2830"/>
        <v>RECEITAS COM ENTREGAS (303)</v>
      </c>
      <c r="S6096">
        <v>2716</v>
      </c>
      <c r="T6096">
        <v>2288</v>
      </c>
      <c r="U6096" t="s">
        <v>19</v>
      </c>
    </row>
    <row r="6097" spans="1:21">
      <c r="A6097" t="str">
        <f t="shared" si="2824"/>
        <v>15/10/2025</v>
      </c>
      <c r="B6097" t="str">
        <f t="shared" si="2831"/>
        <v>ENTRADA</v>
      </c>
      <c r="C6097" t="str">
        <f t="shared" si="2825"/>
        <v>NFSE</v>
      </c>
      <c r="D6097" t="str">
        <f>"3609"</f>
        <v>3609</v>
      </c>
      <c r="E6097" t="str">
        <f t="shared" si="2820"/>
        <v>COM</v>
      </c>
      <c r="F6097" t="str">
        <f>"DROGARIA VAZ (10179)"</f>
        <v>DROGARIA VAZ (10179)</v>
      </c>
      <c r="G6097" t="str">
        <f>"Serv.Prest. 06/10/2025 a 12/10/2025 - RPS: 1373 - NFSe: 3609"</f>
        <v>Serv.Prest. 06/10/2025 a 12/10/2025 - RPS: 1373 - NFSe: 3609</v>
      </c>
      <c r="H6097" t="str">
        <f t="shared" si="2826"/>
        <v>15/10/2025</v>
      </c>
      <c r="I6097" t="str">
        <f t="shared" si="2832"/>
        <v>14/10/2025</v>
      </c>
      <c r="J6097" t="str">
        <f t="shared" si="2828"/>
        <v>15/10/2025</v>
      </c>
      <c r="K6097">
        <v>231.59</v>
      </c>
      <c r="L6097">
        <v>231.59</v>
      </c>
      <c r="M6097">
        <v>303</v>
      </c>
      <c r="N6097" t="str">
        <f t="shared" si="2829"/>
        <v>RECEITAS COM ENTREGAS</v>
      </c>
      <c r="O6097">
        <v>231.59</v>
      </c>
      <c r="R6097" t="str">
        <f t="shared" si="2830"/>
        <v>RECEITAS COM ENTREGAS (303)</v>
      </c>
      <c r="S6097">
        <v>2717</v>
      </c>
      <c r="T6097">
        <v>2284</v>
      </c>
      <c r="U6097" t="s">
        <v>19</v>
      </c>
    </row>
    <row r="6098" spans="1:21">
      <c r="A6098" t="str">
        <f t="shared" si="2824"/>
        <v>15/10/2025</v>
      </c>
      <c r="B6098" t="str">
        <f t="shared" si="2831"/>
        <v>ENTRADA</v>
      </c>
      <c r="C6098" t="str">
        <f t="shared" si="2825"/>
        <v>NFSE</v>
      </c>
      <c r="D6098" t="str">
        <f>"3609"</f>
        <v>3609</v>
      </c>
      <c r="E6098" t="str">
        <f t="shared" si="2820"/>
        <v>COM</v>
      </c>
      <c r="F6098" t="str">
        <f>"DROGARIA VAZ (10179)"</f>
        <v>DROGARIA VAZ (10179)</v>
      </c>
      <c r="G6098" t="str">
        <f>"Serv.Prest. 06/10/2025 a 12/10/2025 - RPS: 1373 - NFSe: 3609"</f>
        <v>Serv.Prest. 06/10/2025 a 12/10/2025 - RPS: 1373 - NFSe: 3609</v>
      </c>
      <c r="H6098" t="str">
        <f t="shared" si="2826"/>
        <v>15/10/2025</v>
      </c>
      <c r="I6098" t="str">
        <f t="shared" si="2832"/>
        <v>14/10/2025</v>
      </c>
      <c r="J6098" t="str">
        <f t="shared" si="2828"/>
        <v>15/10/2025</v>
      </c>
      <c r="M6098">
        <v>303</v>
      </c>
      <c r="N6098" t="str">
        <f t="shared" si="2829"/>
        <v>RECEITAS COM ENTREGAS</v>
      </c>
      <c r="P6098">
        <v>231.59</v>
      </c>
      <c r="Q6098" t="str">
        <f>"DROGARIA VAZ (10179)"</f>
        <v>DROGARIA VAZ (10179)</v>
      </c>
      <c r="R6098" t="str">
        <f t="shared" si="2830"/>
        <v>RECEITAS COM ENTREGAS (303)</v>
      </c>
      <c r="S6098">
        <v>2717</v>
      </c>
      <c r="T6098">
        <v>2284</v>
      </c>
      <c r="U6098" t="s">
        <v>19</v>
      </c>
    </row>
    <row r="6099" spans="1:21">
      <c r="A6099" t="str">
        <f t="shared" si="2824"/>
        <v>15/10/2025</v>
      </c>
      <c r="B6099" t="str">
        <f t="shared" si="2831"/>
        <v>ENTRADA</v>
      </c>
      <c r="C6099" t="str">
        <f t="shared" si="2825"/>
        <v>NFSE</v>
      </c>
      <c r="D6099" t="str">
        <f>"3618"</f>
        <v>3618</v>
      </c>
      <c r="E6099" t="str">
        <f t="shared" si="2820"/>
        <v>COM</v>
      </c>
      <c r="F6099" t="str">
        <f>"DROGA HONDA (10149)"</f>
        <v>DROGA HONDA (10149)</v>
      </c>
      <c r="G6099" t="str">
        <f>"Serv.Prest. 06/10/2025 a 12/10/2025 - RPS: 1382 - NFSe: 3618"</f>
        <v>Serv.Prest. 06/10/2025 a 12/10/2025 - RPS: 1382 - NFSe: 3618</v>
      </c>
      <c r="H6099" t="str">
        <f t="shared" ref="H6099:H6106" si="2833">("16/10/2025")</f>
        <v>16/10/2025</v>
      </c>
      <c r="I6099" t="str">
        <f t="shared" si="2832"/>
        <v>14/10/2025</v>
      </c>
      <c r="J6099" t="str">
        <f t="shared" si="2828"/>
        <v>15/10/2025</v>
      </c>
      <c r="K6099">
        <v>132.88999999999999</v>
      </c>
      <c r="L6099">
        <v>132.88999999999999</v>
      </c>
      <c r="M6099">
        <v>303</v>
      </c>
      <c r="N6099" t="str">
        <f t="shared" si="2829"/>
        <v>RECEITAS COM ENTREGAS</v>
      </c>
      <c r="O6099">
        <v>132.88999999999999</v>
      </c>
      <c r="R6099" t="str">
        <f t="shared" si="2830"/>
        <v>RECEITAS COM ENTREGAS (303)</v>
      </c>
      <c r="S6099">
        <v>2926</v>
      </c>
      <c r="T6099">
        <v>2293</v>
      </c>
      <c r="U6099" t="s">
        <v>19</v>
      </c>
    </row>
    <row r="6100" spans="1:21">
      <c r="A6100" t="str">
        <f t="shared" si="2824"/>
        <v>15/10/2025</v>
      </c>
      <c r="B6100" t="str">
        <f t="shared" si="2831"/>
        <v>ENTRADA</v>
      </c>
      <c r="C6100" t="str">
        <f t="shared" si="2825"/>
        <v>NFSE</v>
      </c>
      <c r="D6100" t="str">
        <f>"3618"</f>
        <v>3618</v>
      </c>
      <c r="E6100" t="str">
        <f t="shared" si="2820"/>
        <v>COM</v>
      </c>
      <c r="F6100" t="str">
        <f>"DROGA HONDA (10149)"</f>
        <v>DROGA HONDA (10149)</v>
      </c>
      <c r="G6100" t="str">
        <f>"Serv.Prest. 06/10/2025 a 12/10/2025 - RPS: 1382 - NFSe: 3618"</f>
        <v>Serv.Prest. 06/10/2025 a 12/10/2025 - RPS: 1382 - NFSe: 3618</v>
      </c>
      <c r="H6100" t="str">
        <f t="shared" si="2833"/>
        <v>16/10/2025</v>
      </c>
      <c r="I6100" t="str">
        <f t="shared" si="2832"/>
        <v>14/10/2025</v>
      </c>
      <c r="J6100" t="str">
        <f t="shared" si="2828"/>
        <v>15/10/2025</v>
      </c>
      <c r="M6100">
        <v>303</v>
      </c>
      <c r="N6100" t="str">
        <f t="shared" si="2829"/>
        <v>RECEITAS COM ENTREGAS</v>
      </c>
      <c r="P6100">
        <v>132.88999999999999</v>
      </c>
      <c r="Q6100" t="str">
        <f>"DROGA HONDA (10149)"</f>
        <v>DROGA HONDA (10149)</v>
      </c>
      <c r="R6100" t="str">
        <f t="shared" si="2830"/>
        <v>RECEITAS COM ENTREGAS (303)</v>
      </c>
      <c r="S6100">
        <v>2926</v>
      </c>
      <c r="T6100">
        <v>2293</v>
      </c>
      <c r="U6100" t="s">
        <v>19</v>
      </c>
    </row>
    <row r="6101" spans="1:21">
      <c r="A6101" t="str">
        <f t="shared" si="2824"/>
        <v>15/10/2025</v>
      </c>
      <c r="B6101" t="str">
        <f t="shared" si="2831"/>
        <v>ENTRADA</v>
      </c>
      <c r="C6101" t="str">
        <f t="shared" si="2825"/>
        <v>NFSE</v>
      </c>
      <c r="D6101" t="str">
        <f>"3615"</f>
        <v>3615</v>
      </c>
      <c r="E6101" t="str">
        <f t="shared" si="2820"/>
        <v>COM</v>
      </c>
      <c r="F6101" t="str">
        <f>"LBL FARMACIA LTDA (10189)"</f>
        <v>LBL FARMACIA LTDA (10189)</v>
      </c>
      <c r="G6101" t="str">
        <f>"Serv.Prest. 06/10/2025 a 12/10/2025 - RPS: 1379 - NFSe: 3615"</f>
        <v>Serv.Prest. 06/10/2025 a 12/10/2025 - RPS: 1379 - NFSe: 3615</v>
      </c>
      <c r="H6101" t="str">
        <f t="shared" si="2833"/>
        <v>16/10/2025</v>
      </c>
      <c r="I6101" t="str">
        <f t="shared" si="2832"/>
        <v>14/10/2025</v>
      </c>
      <c r="J6101" t="str">
        <f t="shared" si="2828"/>
        <v>15/10/2025</v>
      </c>
      <c r="K6101">
        <v>77.7</v>
      </c>
      <c r="L6101">
        <v>77.7</v>
      </c>
      <c r="M6101">
        <v>303</v>
      </c>
      <c r="N6101" t="str">
        <f t="shared" si="2829"/>
        <v>RECEITAS COM ENTREGAS</v>
      </c>
      <c r="O6101">
        <v>77.7</v>
      </c>
      <c r="R6101" t="str">
        <f t="shared" si="2830"/>
        <v>RECEITAS COM ENTREGAS (303)</v>
      </c>
      <c r="S6101">
        <v>2929</v>
      </c>
      <c r="T6101">
        <v>2290</v>
      </c>
      <c r="U6101" t="s">
        <v>19</v>
      </c>
    </row>
    <row r="6102" spans="1:21">
      <c r="A6102" t="str">
        <f t="shared" si="2824"/>
        <v>15/10/2025</v>
      </c>
      <c r="B6102" t="str">
        <f t="shared" si="2831"/>
        <v>ENTRADA</v>
      </c>
      <c r="C6102" t="str">
        <f t="shared" si="2825"/>
        <v>NFSE</v>
      </c>
      <c r="D6102" t="str">
        <f>"3615"</f>
        <v>3615</v>
      </c>
      <c r="E6102" t="str">
        <f t="shared" si="2820"/>
        <v>COM</v>
      </c>
      <c r="F6102" t="str">
        <f>"LBL FARMACIA LTDA (10189)"</f>
        <v>LBL FARMACIA LTDA (10189)</v>
      </c>
      <c r="G6102" t="str">
        <f>"Serv.Prest. 06/10/2025 a 12/10/2025 - RPS: 1379 - NFSe: 3615"</f>
        <v>Serv.Prest. 06/10/2025 a 12/10/2025 - RPS: 1379 - NFSe: 3615</v>
      </c>
      <c r="H6102" t="str">
        <f t="shared" si="2833"/>
        <v>16/10/2025</v>
      </c>
      <c r="I6102" t="str">
        <f t="shared" si="2832"/>
        <v>14/10/2025</v>
      </c>
      <c r="J6102" t="str">
        <f t="shared" si="2828"/>
        <v>15/10/2025</v>
      </c>
      <c r="M6102">
        <v>303</v>
      </c>
      <c r="N6102" t="str">
        <f t="shared" si="2829"/>
        <v>RECEITAS COM ENTREGAS</v>
      </c>
      <c r="P6102">
        <v>77.7</v>
      </c>
      <c r="Q6102" t="str">
        <f>"LBL FARMACIA LTDA (10189)"</f>
        <v>LBL FARMACIA LTDA (10189)</v>
      </c>
      <c r="R6102" t="str">
        <f t="shared" si="2830"/>
        <v>RECEITAS COM ENTREGAS (303)</v>
      </c>
      <c r="S6102">
        <v>2929</v>
      </c>
      <c r="T6102">
        <v>2290</v>
      </c>
      <c r="U6102" t="s">
        <v>19</v>
      </c>
    </row>
    <row r="6103" spans="1:21">
      <c r="A6103" t="str">
        <f t="shared" si="2824"/>
        <v>15/10/2025</v>
      </c>
      <c r="B6103" t="str">
        <f t="shared" si="2831"/>
        <v>ENTRADA</v>
      </c>
      <c r="C6103" t="str">
        <f t="shared" si="2825"/>
        <v>NFSE</v>
      </c>
      <c r="D6103" t="str">
        <f>"3614"</f>
        <v>3614</v>
      </c>
      <c r="E6103" t="str">
        <f t="shared" si="2820"/>
        <v>COM</v>
      </c>
      <c r="F6103" t="str">
        <f>"LBL FARMACIA LTDA FILIAL (10192)"</f>
        <v>LBL FARMACIA LTDA FILIAL (10192)</v>
      </c>
      <c r="G6103" t="str">
        <f>"Serv.Prest. 06/10/2025 a 12/10/2025 - RPS: 1378 - NFSe: 3614"</f>
        <v>Serv.Prest. 06/10/2025 a 12/10/2025 - RPS: 1378 - NFSe: 3614</v>
      </c>
      <c r="H6103" t="str">
        <f t="shared" si="2833"/>
        <v>16/10/2025</v>
      </c>
      <c r="I6103" t="str">
        <f t="shared" si="2832"/>
        <v>14/10/2025</v>
      </c>
      <c r="J6103" t="str">
        <f t="shared" si="2828"/>
        <v>15/10/2025</v>
      </c>
      <c r="K6103">
        <v>250.95</v>
      </c>
      <c r="L6103">
        <v>250.95</v>
      </c>
      <c r="M6103">
        <v>303</v>
      </c>
      <c r="N6103" t="str">
        <f t="shared" si="2829"/>
        <v>RECEITAS COM ENTREGAS</v>
      </c>
      <c r="O6103">
        <v>250.95</v>
      </c>
      <c r="R6103" t="str">
        <f t="shared" si="2830"/>
        <v>RECEITAS COM ENTREGAS (303)</v>
      </c>
      <c r="S6103">
        <v>2930</v>
      </c>
      <c r="T6103">
        <v>2289</v>
      </c>
      <c r="U6103" t="s">
        <v>19</v>
      </c>
    </row>
    <row r="6104" spans="1:21">
      <c r="A6104" t="str">
        <f t="shared" si="2824"/>
        <v>15/10/2025</v>
      </c>
      <c r="B6104" t="str">
        <f t="shared" si="2831"/>
        <v>ENTRADA</v>
      </c>
      <c r="C6104" t="str">
        <f t="shared" si="2825"/>
        <v>NFSE</v>
      </c>
      <c r="D6104" t="str">
        <f>"3614"</f>
        <v>3614</v>
      </c>
      <c r="E6104" t="str">
        <f t="shared" si="2820"/>
        <v>COM</v>
      </c>
      <c r="F6104" t="str">
        <f>"LBL FARMACIA LTDA FILIAL (10192)"</f>
        <v>LBL FARMACIA LTDA FILIAL (10192)</v>
      </c>
      <c r="G6104" t="str">
        <f>"Serv.Prest. 06/10/2025 a 12/10/2025 - RPS: 1378 - NFSe: 3614"</f>
        <v>Serv.Prest. 06/10/2025 a 12/10/2025 - RPS: 1378 - NFSe: 3614</v>
      </c>
      <c r="H6104" t="str">
        <f t="shared" si="2833"/>
        <v>16/10/2025</v>
      </c>
      <c r="I6104" t="str">
        <f t="shared" si="2832"/>
        <v>14/10/2025</v>
      </c>
      <c r="J6104" t="str">
        <f t="shared" si="2828"/>
        <v>15/10/2025</v>
      </c>
      <c r="M6104">
        <v>303</v>
      </c>
      <c r="N6104" t="str">
        <f t="shared" si="2829"/>
        <v>RECEITAS COM ENTREGAS</v>
      </c>
      <c r="P6104">
        <v>250.95</v>
      </c>
      <c r="Q6104" t="str">
        <f>"LBL FARMACIA LTDA FILIAL (10192)"</f>
        <v>LBL FARMACIA LTDA FILIAL (10192)</v>
      </c>
      <c r="R6104" t="str">
        <f t="shared" si="2830"/>
        <v>RECEITAS COM ENTREGAS (303)</v>
      </c>
      <c r="S6104">
        <v>2930</v>
      </c>
      <c r="T6104">
        <v>2289</v>
      </c>
      <c r="U6104" t="s">
        <v>19</v>
      </c>
    </row>
    <row r="6105" spans="1:21">
      <c r="A6105" t="str">
        <f t="shared" si="2824"/>
        <v>15/10/2025</v>
      </c>
      <c r="B6105" t="str">
        <f t="shared" si="2831"/>
        <v>ENTRADA</v>
      </c>
      <c r="C6105" t="str">
        <f t="shared" si="2825"/>
        <v>NFSE</v>
      </c>
      <c r="D6105" t="str">
        <f>"3617"</f>
        <v>3617</v>
      </c>
      <c r="E6105" t="str">
        <f t="shared" si="2820"/>
        <v>COM</v>
      </c>
      <c r="F6105" t="str">
        <f>"DELTA LOJA 2 (10123)"</f>
        <v>DELTA LOJA 2 (10123)</v>
      </c>
      <c r="G6105" t="str">
        <f>"Serv.Prest. 06/10/2025 a 12/10/2025 - RPS: 1381 - NFSe: 3617"</f>
        <v>Serv.Prest. 06/10/2025 a 12/10/2025 - RPS: 1381 - NFSe: 3617</v>
      </c>
      <c r="H6105" t="str">
        <f t="shared" si="2833"/>
        <v>16/10/2025</v>
      </c>
      <c r="I6105" t="str">
        <f t="shared" si="2832"/>
        <v>14/10/2025</v>
      </c>
      <c r="J6105" t="str">
        <f t="shared" si="2828"/>
        <v>15/10/2025</v>
      </c>
      <c r="K6105">
        <v>703.5</v>
      </c>
      <c r="L6105">
        <v>703.5</v>
      </c>
      <c r="M6105">
        <v>303</v>
      </c>
      <c r="N6105" t="str">
        <f t="shared" si="2829"/>
        <v>RECEITAS COM ENTREGAS</v>
      </c>
      <c r="O6105">
        <v>703.5</v>
      </c>
      <c r="R6105" t="str">
        <f t="shared" si="2830"/>
        <v>RECEITAS COM ENTREGAS (303)</v>
      </c>
      <c r="S6105">
        <v>2931</v>
      </c>
      <c r="T6105">
        <v>2292</v>
      </c>
      <c r="U6105" t="s">
        <v>19</v>
      </c>
    </row>
    <row r="6106" spans="1:21">
      <c r="A6106" t="str">
        <f t="shared" si="2824"/>
        <v>15/10/2025</v>
      </c>
      <c r="B6106" t="str">
        <f t="shared" si="2831"/>
        <v>ENTRADA</v>
      </c>
      <c r="C6106" t="str">
        <f t="shared" si="2825"/>
        <v>NFSE</v>
      </c>
      <c r="D6106" t="str">
        <f>"3617"</f>
        <v>3617</v>
      </c>
      <c r="E6106" t="str">
        <f t="shared" si="2820"/>
        <v>COM</v>
      </c>
      <c r="F6106" t="str">
        <f>"DELTA LOJA 2 (10123)"</f>
        <v>DELTA LOJA 2 (10123)</v>
      </c>
      <c r="G6106" t="str">
        <f>"Serv.Prest. 06/10/2025 a 12/10/2025 - RPS: 1381 - NFSe: 3617"</f>
        <v>Serv.Prest. 06/10/2025 a 12/10/2025 - RPS: 1381 - NFSe: 3617</v>
      </c>
      <c r="H6106" t="str">
        <f t="shared" si="2833"/>
        <v>16/10/2025</v>
      </c>
      <c r="I6106" t="str">
        <f t="shared" si="2832"/>
        <v>14/10/2025</v>
      </c>
      <c r="J6106" t="str">
        <f t="shared" si="2828"/>
        <v>15/10/2025</v>
      </c>
      <c r="M6106">
        <v>303</v>
      </c>
      <c r="N6106" t="str">
        <f t="shared" si="2829"/>
        <v>RECEITAS COM ENTREGAS</v>
      </c>
      <c r="P6106">
        <v>703.5</v>
      </c>
      <c r="Q6106" t="str">
        <f>"DELTA LOJA 2 (10123)"</f>
        <v>DELTA LOJA 2 (10123)</v>
      </c>
      <c r="R6106" t="str">
        <f t="shared" si="2830"/>
        <v>RECEITAS COM ENTREGAS (303)</v>
      </c>
      <c r="S6106">
        <v>2931</v>
      </c>
      <c r="T6106">
        <v>2292</v>
      </c>
      <c r="U6106" t="s">
        <v>19</v>
      </c>
    </row>
    <row r="6107" spans="1:21">
      <c r="A6107" t="str">
        <f t="shared" si="2824"/>
        <v>15/10/2025</v>
      </c>
      <c r="B6107" t="str">
        <f>"SAÍDA"</f>
        <v>SAÍDA</v>
      </c>
      <c r="C6107" t="str">
        <f>"PIX"</f>
        <v>PIX</v>
      </c>
      <c r="D6107" t="str">
        <f>"15102025"</f>
        <v>15102025</v>
      </c>
      <c r="E6107" t="str">
        <f t="shared" ref="E6107:E6138" si="2834">"COM"</f>
        <v>COM</v>
      </c>
      <c r="F6107" t="str">
        <f>"JAMERSON SOUZA LOPES (20122)"</f>
        <v>JAMERSON SOUZA LOPES (20122)</v>
      </c>
      <c r="G6107" t="str">
        <f>"DESPESAS DE VIAGEM "</f>
        <v xml:space="preserve">DESPESAS DE VIAGEM </v>
      </c>
      <c r="H6107" t="str">
        <f>("15/10/2025")</f>
        <v>15/10/2025</v>
      </c>
      <c r="I6107" t="str">
        <f>("15/10/2025")</f>
        <v>15/10/2025</v>
      </c>
      <c r="J6107" t="str">
        <f t="shared" si="2828"/>
        <v>15/10/2025</v>
      </c>
      <c r="K6107">
        <v>900.71</v>
      </c>
      <c r="L6107">
        <v>900.71</v>
      </c>
      <c r="M6107">
        <v>128</v>
      </c>
      <c r="N6107" t="str">
        <f>"DESPESAS COM VIAGENS"</f>
        <v>DESPESAS COM VIAGENS</v>
      </c>
      <c r="O6107">
        <v>900.71</v>
      </c>
      <c r="R6107" t="str">
        <f>"BANCO CORA (102)"</f>
        <v>BANCO CORA (102)</v>
      </c>
      <c r="S6107">
        <v>3162</v>
      </c>
      <c r="T6107">
        <v>2751</v>
      </c>
      <c r="U6107" t="s">
        <v>19</v>
      </c>
    </row>
    <row r="6108" spans="1:21">
      <c r="A6108" t="str">
        <f t="shared" si="2824"/>
        <v>15/10/2025</v>
      </c>
      <c r="B6108" t="str">
        <f>"SAÍDA"</f>
        <v>SAÍDA</v>
      </c>
      <c r="C6108" t="str">
        <f>"PIX"</f>
        <v>PIX</v>
      </c>
      <c r="D6108" t="str">
        <f>"15102025"</f>
        <v>15102025</v>
      </c>
      <c r="E6108" t="str">
        <f t="shared" si="2834"/>
        <v>COM</v>
      </c>
      <c r="F6108" t="str">
        <f>"JAMERSON SOUZA LOPES (20122)"</f>
        <v>JAMERSON SOUZA LOPES (20122)</v>
      </c>
      <c r="G6108" t="str">
        <f>"DESPESAS DE VIAGEM "</f>
        <v xml:space="preserve">DESPESAS DE VIAGEM </v>
      </c>
      <c r="H6108" t="str">
        <f>("15/10/2025")</f>
        <v>15/10/2025</v>
      </c>
      <c r="I6108" t="str">
        <f>("15/10/2025")</f>
        <v>15/10/2025</v>
      </c>
      <c r="J6108" t="str">
        <f t="shared" si="2828"/>
        <v>15/10/2025</v>
      </c>
      <c r="M6108">
        <v>128</v>
      </c>
      <c r="N6108" t="str">
        <f>"DESPESAS COM VIAGENS"</f>
        <v>DESPESAS COM VIAGENS</v>
      </c>
      <c r="P6108">
        <v>900.71</v>
      </c>
      <c r="Q6108" t="str">
        <f>"JAMERSON SOUZA LOPES (20122)"</f>
        <v>JAMERSON SOUZA LOPES (20122)</v>
      </c>
      <c r="R6108" t="str">
        <f>"BANCO CORA (102)"</f>
        <v>BANCO CORA (102)</v>
      </c>
      <c r="S6108">
        <v>3162</v>
      </c>
      <c r="T6108">
        <v>2751</v>
      </c>
      <c r="U6108" t="s">
        <v>19</v>
      </c>
    </row>
    <row r="6109" spans="1:21">
      <c r="A6109" t="str">
        <f t="shared" ref="A6109:A6140" si="2835">("16/10/2025")</f>
        <v>16/10/2025</v>
      </c>
      <c r="B6109" t="str">
        <f>"ENTRADA"</f>
        <v>ENTRADA</v>
      </c>
      <c r="C6109" t="str">
        <f t="shared" ref="C6109:C6155" si="2836">"NFSE"</f>
        <v>NFSE</v>
      </c>
      <c r="D6109" t="str">
        <f>"3598"</f>
        <v>3598</v>
      </c>
      <c r="E6109" t="str">
        <f t="shared" si="2834"/>
        <v>COM</v>
      </c>
      <c r="F6109" t="str">
        <f>"DROGARIA POUPA MINAS (DOIS AMIGOS) 5 (10140)"</f>
        <v>DROGARIA POUPA MINAS (DOIS AMIGOS) 5 (10140)</v>
      </c>
      <c r="G6109" t="str">
        <f>"Serv.Prest. 06/10/2025 a 12/10/2025 - RPS: 1362 - NFSe: 3598"</f>
        <v>Serv.Prest. 06/10/2025 a 12/10/2025 - RPS: 1362 - NFSe: 3598</v>
      </c>
      <c r="H6109" t="str">
        <f>("16/10/2025")</f>
        <v>16/10/2025</v>
      </c>
      <c r="I6109" t="str">
        <f>("13/10/2025")</f>
        <v>13/10/2025</v>
      </c>
      <c r="J6109" t="str">
        <f t="shared" ref="J6109:J6140" si="2837">("16/10/2025")</f>
        <v>16/10/2025</v>
      </c>
      <c r="K6109">
        <v>830.02</v>
      </c>
      <c r="L6109">
        <v>830.02</v>
      </c>
      <c r="M6109">
        <v>303</v>
      </c>
      <c r="N6109" t="str">
        <f t="shared" ref="N6109:N6155" si="2838">"RECEITAS COM ENTREGAS"</f>
        <v>RECEITAS COM ENTREGAS</v>
      </c>
      <c r="O6109">
        <v>830.02</v>
      </c>
      <c r="R6109" t="str">
        <f t="shared" ref="R6109:R6155" si="2839">"RECEITAS COM ENTREGAS (303)"</f>
        <v>RECEITAS COM ENTREGAS (303)</v>
      </c>
      <c r="S6109">
        <v>2719</v>
      </c>
      <c r="T6109">
        <v>2273</v>
      </c>
      <c r="U6109" t="s">
        <v>19</v>
      </c>
    </row>
    <row r="6110" spans="1:21">
      <c r="A6110" t="str">
        <f t="shared" si="2835"/>
        <v>16/10/2025</v>
      </c>
      <c r="B6110" t="str">
        <f t="shared" ref="B6110:B6155" si="2840">"ENTRADA"</f>
        <v>ENTRADA</v>
      </c>
      <c r="C6110" t="str">
        <f t="shared" si="2836"/>
        <v>NFSE</v>
      </c>
      <c r="D6110" t="str">
        <f>"3598"</f>
        <v>3598</v>
      </c>
      <c r="E6110" t="str">
        <f t="shared" si="2834"/>
        <v>COM</v>
      </c>
      <c r="F6110" t="str">
        <f>"DROGARIA POUPA MINAS (DOIS AMIGOS) 5 (10140)"</f>
        <v>DROGARIA POUPA MINAS (DOIS AMIGOS) 5 (10140)</v>
      </c>
      <c r="G6110" t="str">
        <f>"Serv.Prest. 06/10/2025 a 12/10/2025 - RPS: 1362 - NFSe: 3598"</f>
        <v>Serv.Prest. 06/10/2025 a 12/10/2025 - RPS: 1362 - NFSe: 3598</v>
      </c>
      <c r="H6110" t="str">
        <f>("16/10/2025")</f>
        <v>16/10/2025</v>
      </c>
      <c r="I6110" t="str">
        <f>("13/10/2025")</f>
        <v>13/10/2025</v>
      </c>
      <c r="J6110" t="str">
        <f t="shared" si="2837"/>
        <v>16/10/2025</v>
      </c>
      <c r="M6110">
        <v>303</v>
      </c>
      <c r="N6110" t="str">
        <f t="shared" si="2838"/>
        <v>RECEITAS COM ENTREGAS</v>
      </c>
      <c r="P6110">
        <v>830.02</v>
      </c>
      <c r="Q6110" t="str">
        <f>"DROGARIA POUPA MINAS (ULTRAMINAS) 1 (10181)"</f>
        <v>DROGARIA POUPA MINAS (ULTRAMINAS) 1 (10181)</v>
      </c>
      <c r="R6110" t="str">
        <f t="shared" si="2839"/>
        <v>RECEITAS COM ENTREGAS (303)</v>
      </c>
      <c r="S6110">
        <v>2719</v>
      </c>
      <c r="T6110">
        <v>2273</v>
      </c>
      <c r="U6110" t="s">
        <v>19</v>
      </c>
    </row>
    <row r="6111" spans="1:21">
      <c r="A6111" t="str">
        <f t="shared" si="2835"/>
        <v>16/10/2025</v>
      </c>
      <c r="B6111" t="str">
        <f t="shared" si="2840"/>
        <v>ENTRADA</v>
      </c>
      <c r="C6111" t="str">
        <f t="shared" si="2836"/>
        <v>NFSE</v>
      </c>
      <c r="D6111" t="str">
        <f>"3585"</f>
        <v>3585</v>
      </c>
      <c r="E6111" t="str">
        <f t="shared" si="2834"/>
        <v>COM</v>
      </c>
      <c r="F6111" t="str">
        <f>"AC FARMA - CID.ALTA (10166)"</f>
        <v>AC FARMA - CID.ALTA (10166)</v>
      </c>
      <c r="G6111" t="str">
        <f>"Serv.Prest. 29/09/2025 a 05/10/2025 - RPS: 1349 - NFSe: 3585"</f>
        <v>Serv.Prest. 29/09/2025 a 05/10/2025 - RPS: 1349 - NFSe: 3585</v>
      </c>
      <c r="H6111" t="str">
        <f t="shared" ref="H6111:H6155" si="2841">("15/10/2025")</f>
        <v>15/10/2025</v>
      </c>
      <c r="I6111" t="str">
        <f t="shared" ref="I6111:I6118" si="2842">("08/10/2025")</f>
        <v>08/10/2025</v>
      </c>
      <c r="J6111" t="str">
        <f t="shared" si="2837"/>
        <v>16/10/2025</v>
      </c>
      <c r="K6111">
        <v>1094.4000000000001</v>
      </c>
      <c r="L6111">
        <v>1094.4000000000001</v>
      </c>
      <c r="M6111">
        <v>303</v>
      </c>
      <c r="N6111" t="str">
        <f t="shared" si="2838"/>
        <v>RECEITAS COM ENTREGAS</v>
      </c>
      <c r="O6111">
        <v>1094.4000000000001</v>
      </c>
      <c r="R6111" t="str">
        <f t="shared" si="2839"/>
        <v>RECEITAS COM ENTREGAS (303)</v>
      </c>
      <c r="S6111">
        <v>2720</v>
      </c>
      <c r="T6111">
        <v>2260</v>
      </c>
      <c r="U6111" t="s">
        <v>19</v>
      </c>
    </row>
    <row r="6112" spans="1:21">
      <c r="A6112" t="str">
        <f t="shared" si="2835"/>
        <v>16/10/2025</v>
      </c>
      <c r="B6112" t="str">
        <f t="shared" si="2840"/>
        <v>ENTRADA</v>
      </c>
      <c r="C6112" t="str">
        <f t="shared" si="2836"/>
        <v>NFSE</v>
      </c>
      <c r="D6112" t="str">
        <f>"3585"</f>
        <v>3585</v>
      </c>
      <c r="E6112" t="str">
        <f t="shared" si="2834"/>
        <v>COM</v>
      </c>
      <c r="F6112" t="str">
        <f>"AC FARMA - CID.ALTA (10166)"</f>
        <v>AC FARMA - CID.ALTA (10166)</v>
      </c>
      <c r="G6112" t="str">
        <f>"Serv.Prest. 29/09/2025 a 05/10/2025 - RPS: 1349 - NFSe: 3585"</f>
        <v>Serv.Prest. 29/09/2025 a 05/10/2025 - RPS: 1349 - NFSe: 3585</v>
      </c>
      <c r="H6112" t="str">
        <f t="shared" si="2841"/>
        <v>15/10/2025</v>
      </c>
      <c r="I6112" t="str">
        <f t="shared" si="2842"/>
        <v>08/10/2025</v>
      </c>
      <c r="J6112" t="str">
        <f t="shared" si="2837"/>
        <v>16/10/2025</v>
      </c>
      <c r="M6112">
        <v>303</v>
      </c>
      <c r="N6112" t="str">
        <f t="shared" si="2838"/>
        <v>RECEITAS COM ENTREGAS</v>
      </c>
      <c r="P6112">
        <v>1094.4000000000001</v>
      </c>
      <c r="Q6112" t="str">
        <f>"AC FARMA - CID.ALTA (10166)"</f>
        <v>AC FARMA - CID.ALTA (10166)</v>
      </c>
      <c r="R6112" t="str">
        <f t="shared" si="2839"/>
        <v>RECEITAS COM ENTREGAS (303)</v>
      </c>
      <c r="S6112">
        <v>2720</v>
      </c>
      <c r="T6112">
        <v>2260</v>
      </c>
      <c r="U6112" t="s">
        <v>19</v>
      </c>
    </row>
    <row r="6113" spans="1:21">
      <c r="A6113" t="str">
        <f t="shared" si="2835"/>
        <v>16/10/2025</v>
      </c>
      <c r="B6113" t="str">
        <f t="shared" si="2840"/>
        <v>ENTRADA</v>
      </c>
      <c r="C6113" t="str">
        <f t="shared" si="2836"/>
        <v>NFSE</v>
      </c>
      <c r="D6113" t="str">
        <f>"3586"</f>
        <v>3586</v>
      </c>
      <c r="E6113" t="str">
        <f t="shared" si="2834"/>
        <v>COM</v>
      </c>
      <c r="F6113" t="str">
        <f>"AC FARMA - FLEMINFARMA (10160)"</f>
        <v>AC FARMA - FLEMINFARMA (10160)</v>
      </c>
      <c r="G6113" t="str">
        <f>"Serv.Prest. 29/09/2025 a 05/10/2025 - RPS: 1350 - NFSe: 3586"</f>
        <v>Serv.Prest. 29/09/2025 a 05/10/2025 - RPS: 1350 - NFSe: 3586</v>
      </c>
      <c r="H6113" t="str">
        <f t="shared" si="2841"/>
        <v>15/10/2025</v>
      </c>
      <c r="I6113" t="str">
        <f t="shared" si="2842"/>
        <v>08/10/2025</v>
      </c>
      <c r="J6113" t="str">
        <f t="shared" si="2837"/>
        <v>16/10/2025</v>
      </c>
      <c r="K6113">
        <v>222.75</v>
      </c>
      <c r="L6113">
        <v>222.75</v>
      </c>
      <c r="M6113">
        <v>303</v>
      </c>
      <c r="N6113" t="str">
        <f t="shared" si="2838"/>
        <v>RECEITAS COM ENTREGAS</v>
      </c>
      <c r="O6113">
        <v>222.75</v>
      </c>
      <c r="R6113" t="str">
        <f t="shared" si="2839"/>
        <v>RECEITAS COM ENTREGAS (303)</v>
      </c>
      <c r="S6113">
        <v>2721</v>
      </c>
      <c r="T6113">
        <v>2261</v>
      </c>
      <c r="U6113" t="s">
        <v>19</v>
      </c>
    </row>
    <row r="6114" spans="1:21">
      <c r="A6114" t="str">
        <f t="shared" si="2835"/>
        <v>16/10/2025</v>
      </c>
      <c r="B6114" t="str">
        <f t="shared" si="2840"/>
        <v>ENTRADA</v>
      </c>
      <c r="C6114" t="str">
        <f t="shared" si="2836"/>
        <v>NFSE</v>
      </c>
      <c r="D6114" t="str">
        <f>"3586"</f>
        <v>3586</v>
      </c>
      <c r="E6114" t="str">
        <f t="shared" si="2834"/>
        <v>COM</v>
      </c>
      <c r="F6114" t="str">
        <f>"AC FARMA - FLEMINFARMA (10160)"</f>
        <v>AC FARMA - FLEMINFARMA (10160)</v>
      </c>
      <c r="G6114" t="str">
        <f>"Serv.Prest. 29/09/2025 a 05/10/2025 - RPS: 1350 - NFSe: 3586"</f>
        <v>Serv.Prest. 29/09/2025 a 05/10/2025 - RPS: 1350 - NFSe: 3586</v>
      </c>
      <c r="H6114" t="str">
        <f t="shared" si="2841"/>
        <v>15/10/2025</v>
      </c>
      <c r="I6114" t="str">
        <f t="shared" si="2842"/>
        <v>08/10/2025</v>
      </c>
      <c r="J6114" t="str">
        <f t="shared" si="2837"/>
        <v>16/10/2025</v>
      </c>
      <c r="M6114">
        <v>303</v>
      </c>
      <c r="N6114" t="str">
        <f t="shared" si="2838"/>
        <v>RECEITAS COM ENTREGAS</v>
      </c>
      <c r="P6114">
        <v>217.36</v>
      </c>
      <c r="Q6114" t="str">
        <f>"AC FARMA -  FLEMINFARMA (10159)"</f>
        <v>AC FARMA -  FLEMINFARMA (10159)</v>
      </c>
      <c r="R6114" t="str">
        <f t="shared" si="2839"/>
        <v>RECEITAS COM ENTREGAS (303)</v>
      </c>
      <c r="S6114">
        <v>2721</v>
      </c>
      <c r="T6114">
        <v>2261</v>
      </c>
      <c r="U6114" t="s">
        <v>19</v>
      </c>
    </row>
    <row r="6115" spans="1:21">
      <c r="A6115" t="str">
        <f t="shared" si="2835"/>
        <v>16/10/2025</v>
      </c>
      <c r="B6115" t="str">
        <f t="shared" si="2840"/>
        <v>ENTRADA</v>
      </c>
      <c r="C6115" t="str">
        <f t="shared" si="2836"/>
        <v>NFSE</v>
      </c>
      <c r="D6115" t="str">
        <f>"3586"</f>
        <v>3586</v>
      </c>
      <c r="E6115" t="str">
        <f t="shared" si="2834"/>
        <v>COM</v>
      </c>
      <c r="F6115" t="str">
        <f>"AC FARMA - FLEMINFARMA (10160)"</f>
        <v>AC FARMA - FLEMINFARMA (10160)</v>
      </c>
      <c r="G6115" t="str">
        <f>"Serv.Prest. 29/09/2025 a 05/10/2025 - RPS: 1350 - NFSe: 3586"</f>
        <v>Serv.Prest. 29/09/2025 a 05/10/2025 - RPS: 1350 - NFSe: 3586</v>
      </c>
      <c r="H6115" t="str">
        <f t="shared" si="2841"/>
        <v>15/10/2025</v>
      </c>
      <c r="I6115" t="str">
        <f t="shared" si="2842"/>
        <v>08/10/2025</v>
      </c>
      <c r="J6115" t="str">
        <f t="shared" si="2837"/>
        <v>16/10/2025</v>
      </c>
      <c r="M6115">
        <v>303</v>
      </c>
      <c r="N6115" t="str">
        <f t="shared" si="2838"/>
        <v>RECEITAS COM ENTREGAS</v>
      </c>
      <c r="P6115">
        <v>5.39</v>
      </c>
      <c r="Q6115" t="str">
        <f>"AC FARMA - FLEMINFARMA (10160)"</f>
        <v>AC FARMA - FLEMINFARMA (10160)</v>
      </c>
      <c r="R6115" t="str">
        <f t="shared" si="2839"/>
        <v>RECEITAS COM ENTREGAS (303)</v>
      </c>
      <c r="S6115">
        <v>2721</v>
      </c>
      <c r="T6115">
        <v>2261</v>
      </c>
      <c r="U6115" t="s">
        <v>19</v>
      </c>
    </row>
    <row r="6116" spans="1:21">
      <c r="A6116" t="str">
        <f t="shared" si="2835"/>
        <v>16/10/2025</v>
      </c>
      <c r="B6116" t="str">
        <f t="shared" si="2840"/>
        <v>ENTRADA</v>
      </c>
      <c r="C6116" t="str">
        <f t="shared" si="2836"/>
        <v>NFSE</v>
      </c>
      <c r="D6116" t="str">
        <f>"3587"</f>
        <v>3587</v>
      </c>
      <c r="E6116" t="str">
        <f t="shared" si="2834"/>
        <v>COM</v>
      </c>
      <c r="F6116" t="str">
        <f>"AC FARMA - FLEMINFARMA 5 (10183)"</f>
        <v>AC FARMA - FLEMINFARMA 5 (10183)</v>
      </c>
      <c r="G6116" t="str">
        <f>"Serv.Prest. 29/09/2025 a 05/10/2025 - RPS: 1351 - NFSe: 3587"</f>
        <v>Serv.Prest. 29/09/2025 a 05/10/2025 - RPS: 1351 - NFSe: 3587</v>
      </c>
      <c r="H6116" t="str">
        <f t="shared" si="2841"/>
        <v>15/10/2025</v>
      </c>
      <c r="I6116" t="str">
        <f t="shared" si="2842"/>
        <v>08/10/2025</v>
      </c>
      <c r="J6116" t="str">
        <f t="shared" si="2837"/>
        <v>16/10/2025</v>
      </c>
      <c r="K6116">
        <v>122.85</v>
      </c>
      <c r="L6116">
        <v>122.85</v>
      </c>
      <c r="M6116">
        <v>303</v>
      </c>
      <c r="N6116" t="str">
        <f t="shared" si="2838"/>
        <v>RECEITAS COM ENTREGAS</v>
      </c>
      <c r="O6116">
        <v>122.85</v>
      </c>
      <c r="R6116" t="str">
        <f t="shared" si="2839"/>
        <v>RECEITAS COM ENTREGAS (303)</v>
      </c>
      <c r="S6116">
        <v>2722</v>
      </c>
      <c r="T6116">
        <v>2262</v>
      </c>
      <c r="U6116" t="s">
        <v>19</v>
      </c>
    </row>
    <row r="6117" spans="1:21">
      <c r="A6117" t="str">
        <f t="shared" si="2835"/>
        <v>16/10/2025</v>
      </c>
      <c r="B6117" t="str">
        <f t="shared" si="2840"/>
        <v>ENTRADA</v>
      </c>
      <c r="C6117" t="str">
        <f t="shared" si="2836"/>
        <v>NFSE</v>
      </c>
      <c r="D6117" t="str">
        <f>"3587"</f>
        <v>3587</v>
      </c>
      <c r="E6117" t="str">
        <f t="shared" si="2834"/>
        <v>COM</v>
      </c>
      <c r="F6117" t="str">
        <f>"AC FARMA - FLEMINFARMA 5 (10183)"</f>
        <v>AC FARMA - FLEMINFARMA 5 (10183)</v>
      </c>
      <c r="G6117" t="str">
        <f>"Serv.Prest. 29/09/2025 a 05/10/2025 - RPS: 1351 - NFSe: 3587"</f>
        <v>Serv.Prest. 29/09/2025 a 05/10/2025 - RPS: 1351 - NFSe: 3587</v>
      </c>
      <c r="H6117" t="str">
        <f t="shared" si="2841"/>
        <v>15/10/2025</v>
      </c>
      <c r="I6117" t="str">
        <f t="shared" si="2842"/>
        <v>08/10/2025</v>
      </c>
      <c r="J6117" t="str">
        <f t="shared" si="2837"/>
        <v>16/10/2025</v>
      </c>
      <c r="M6117">
        <v>303</v>
      </c>
      <c r="N6117" t="str">
        <f t="shared" si="2838"/>
        <v>RECEITAS COM ENTREGAS</v>
      </c>
      <c r="P6117">
        <v>117.44</v>
      </c>
      <c r="Q6117" t="str">
        <f>"AC FARMA - FLEMINFARMA 5 (10183)"</f>
        <v>AC FARMA - FLEMINFARMA 5 (10183)</v>
      </c>
      <c r="R6117" t="str">
        <f t="shared" si="2839"/>
        <v>RECEITAS COM ENTREGAS (303)</v>
      </c>
      <c r="S6117">
        <v>2722</v>
      </c>
      <c r="T6117">
        <v>2262</v>
      </c>
      <c r="U6117" t="s">
        <v>19</v>
      </c>
    </row>
    <row r="6118" spans="1:21">
      <c r="A6118" t="str">
        <f t="shared" si="2835"/>
        <v>16/10/2025</v>
      </c>
      <c r="B6118" t="str">
        <f t="shared" si="2840"/>
        <v>ENTRADA</v>
      </c>
      <c r="C6118" t="str">
        <f t="shared" si="2836"/>
        <v>NFSE</v>
      </c>
      <c r="D6118" t="str">
        <f>"3587"</f>
        <v>3587</v>
      </c>
      <c r="E6118" t="str">
        <f t="shared" si="2834"/>
        <v>COM</v>
      </c>
      <c r="F6118" t="str">
        <f>"AC FARMA - FLEMINFARMA 5 (10183)"</f>
        <v>AC FARMA - FLEMINFARMA 5 (10183)</v>
      </c>
      <c r="G6118" t="str">
        <f>"Serv.Prest. 29/09/2025 a 05/10/2025 - RPS: 1351 - NFSe: 3587"</f>
        <v>Serv.Prest. 29/09/2025 a 05/10/2025 - RPS: 1351 - NFSe: 3587</v>
      </c>
      <c r="H6118" t="str">
        <f t="shared" si="2841"/>
        <v>15/10/2025</v>
      </c>
      <c r="I6118" t="str">
        <f t="shared" si="2842"/>
        <v>08/10/2025</v>
      </c>
      <c r="J6118" t="str">
        <f t="shared" si="2837"/>
        <v>16/10/2025</v>
      </c>
      <c r="M6118">
        <v>303</v>
      </c>
      <c r="N6118" t="str">
        <f t="shared" si="2838"/>
        <v>RECEITAS COM ENTREGAS</v>
      </c>
      <c r="P6118">
        <v>5.41</v>
      </c>
      <c r="Q6118" t="str">
        <f>"AC FARMA - FLEMINFARMA 6 (10184)"</f>
        <v>AC FARMA - FLEMINFARMA 6 (10184)</v>
      </c>
      <c r="R6118" t="str">
        <f t="shared" si="2839"/>
        <v>RECEITAS COM ENTREGAS (303)</v>
      </c>
      <c r="S6118">
        <v>2722</v>
      </c>
      <c r="T6118">
        <v>2262</v>
      </c>
      <c r="U6118" t="s">
        <v>19</v>
      </c>
    </row>
    <row r="6119" spans="1:21">
      <c r="A6119" t="str">
        <f t="shared" si="2835"/>
        <v>16/10/2025</v>
      </c>
      <c r="B6119" t="str">
        <f t="shared" si="2840"/>
        <v>ENTRADA</v>
      </c>
      <c r="C6119" t="str">
        <f t="shared" si="2836"/>
        <v>NFSE</v>
      </c>
      <c r="D6119" t="str">
        <f>"3591"</f>
        <v>3591</v>
      </c>
      <c r="E6119" t="str">
        <f t="shared" si="2834"/>
        <v>COM</v>
      </c>
      <c r="F6119" t="str">
        <f>"DROGARIA POUPA MINAS (ULTRAMINAS) 3 (10129)"</f>
        <v>DROGARIA POUPA MINAS (ULTRAMINAS) 3 (10129)</v>
      </c>
      <c r="G6119" t="str">
        <f>"Serv.Prest. 06/10/2025 a 12/10/2025 - RPS: 1355 - NFSe: 3591"</f>
        <v>Serv.Prest. 06/10/2025 a 12/10/2025 - RPS: 1355 - NFSe: 3591</v>
      </c>
      <c r="H6119" t="str">
        <f t="shared" si="2841"/>
        <v>15/10/2025</v>
      </c>
      <c r="I6119" t="str">
        <f t="shared" ref="I6119:I6128" si="2843">("13/10/2025")</f>
        <v>13/10/2025</v>
      </c>
      <c r="J6119" t="str">
        <f t="shared" si="2837"/>
        <v>16/10/2025</v>
      </c>
      <c r="K6119">
        <v>171.6</v>
      </c>
      <c r="L6119">
        <v>171.6</v>
      </c>
      <c r="M6119">
        <v>303</v>
      </c>
      <c r="N6119" t="str">
        <f t="shared" si="2838"/>
        <v>RECEITAS COM ENTREGAS</v>
      </c>
      <c r="O6119">
        <v>171.6</v>
      </c>
      <c r="R6119" t="str">
        <f t="shared" si="2839"/>
        <v>RECEITAS COM ENTREGAS (303)</v>
      </c>
      <c r="S6119">
        <v>2723</v>
      </c>
      <c r="T6119">
        <v>2266</v>
      </c>
      <c r="U6119" t="s">
        <v>19</v>
      </c>
    </row>
    <row r="6120" spans="1:21">
      <c r="A6120" t="str">
        <f t="shared" si="2835"/>
        <v>16/10/2025</v>
      </c>
      <c r="B6120" t="str">
        <f t="shared" si="2840"/>
        <v>ENTRADA</v>
      </c>
      <c r="C6120" t="str">
        <f t="shared" si="2836"/>
        <v>NFSE</v>
      </c>
      <c r="D6120" t="str">
        <f>"3591"</f>
        <v>3591</v>
      </c>
      <c r="E6120" t="str">
        <f t="shared" si="2834"/>
        <v>COM</v>
      </c>
      <c r="F6120" t="str">
        <f>"DROGARIA POUPA MINAS (ULTRAMINAS) 3 (10129)"</f>
        <v>DROGARIA POUPA MINAS (ULTRAMINAS) 3 (10129)</v>
      </c>
      <c r="G6120" t="str">
        <f>"Serv.Prest. 06/10/2025 a 12/10/2025 - RPS: 1355 - NFSe: 3591"</f>
        <v>Serv.Prest. 06/10/2025 a 12/10/2025 - RPS: 1355 - NFSe: 3591</v>
      </c>
      <c r="H6120" t="str">
        <f t="shared" si="2841"/>
        <v>15/10/2025</v>
      </c>
      <c r="I6120" t="str">
        <f t="shared" si="2843"/>
        <v>13/10/2025</v>
      </c>
      <c r="J6120" t="str">
        <f t="shared" si="2837"/>
        <v>16/10/2025</v>
      </c>
      <c r="M6120">
        <v>303</v>
      </c>
      <c r="N6120" t="str">
        <f t="shared" si="2838"/>
        <v>RECEITAS COM ENTREGAS</v>
      </c>
      <c r="P6120">
        <v>171.6</v>
      </c>
      <c r="Q6120" t="str">
        <f>"DROGARIA POUPA MINAS (ULTRAMINAS) 3 (10129)"</f>
        <v>DROGARIA POUPA MINAS (ULTRAMINAS) 3 (10129)</v>
      </c>
      <c r="R6120" t="str">
        <f t="shared" si="2839"/>
        <v>RECEITAS COM ENTREGAS (303)</v>
      </c>
      <c r="S6120">
        <v>2723</v>
      </c>
      <c r="T6120">
        <v>2266</v>
      </c>
      <c r="U6120" t="s">
        <v>19</v>
      </c>
    </row>
    <row r="6121" spans="1:21">
      <c r="A6121" t="str">
        <f t="shared" si="2835"/>
        <v>16/10/2025</v>
      </c>
      <c r="B6121" t="str">
        <f t="shared" si="2840"/>
        <v>ENTRADA</v>
      </c>
      <c r="C6121" t="str">
        <f t="shared" si="2836"/>
        <v>NFSE</v>
      </c>
      <c r="D6121" t="str">
        <f>"3599"</f>
        <v>3599</v>
      </c>
      <c r="E6121" t="str">
        <f t="shared" si="2834"/>
        <v>COM</v>
      </c>
      <c r="F6121" t="str">
        <f>"PENSE FARMA 07 (10201)"</f>
        <v>PENSE FARMA 07 (10201)</v>
      </c>
      <c r="G6121" t="str">
        <f>"Serv.Prest. 06/10/2025 a 12/10/2025 - RPS: 1363 - NFSe: 3599"</f>
        <v>Serv.Prest. 06/10/2025 a 12/10/2025 - RPS: 1363 - NFSe: 3599</v>
      </c>
      <c r="H6121" t="str">
        <f t="shared" si="2841"/>
        <v>15/10/2025</v>
      </c>
      <c r="I6121" t="str">
        <f t="shared" si="2843"/>
        <v>13/10/2025</v>
      </c>
      <c r="J6121" t="str">
        <f t="shared" si="2837"/>
        <v>16/10/2025</v>
      </c>
      <c r="K6121">
        <v>267.83999999999997</v>
      </c>
      <c r="L6121">
        <v>267.83999999999997</v>
      </c>
      <c r="M6121">
        <v>303</v>
      </c>
      <c r="N6121" t="str">
        <f t="shared" si="2838"/>
        <v>RECEITAS COM ENTREGAS</v>
      </c>
      <c r="O6121">
        <v>267.83999999999997</v>
      </c>
      <c r="R6121" t="str">
        <f t="shared" si="2839"/>
        <v>RECEITAS COM ENTREGAS (303)</v>
      </c>
      <c r="S6121">
        <v>2724</v>
      </c>
      <c r="T6121">
        <v>2274</v>
      </c>
      <c r="U6121" t="s">
        <v>19</v>
      </c>
    </row>
    <row r="6122" spans="1:21">
      <c r="A6122" t="str">
        <f t="shared" si="2835"/>
        <v>16/10/2025</v>
      </c>
      <c r="B6122" t="str">
        <f t="shared" si="2840"/>
        <v>ENTRADA</v>
      </c>
      <c r="C6122" t="str">
        <f t="shared" si="2836"/>
        <v>NFSE</v>
      </c>
      <c r="D6122" t="str">
        <f>"3599"</f>
        <v>3599</v>
      </c>
      <c r="E6122" t="str">
        <f t="shared" si="2834"/>
        <v>COM</v>
      </c>
      <c r="F6122" t="str">
        <f>"PENSE FARMA 07 (10201)"</f>
        <v>PENSE FARMA 07 (10201)</v>
      </c>
      <c r="G6122" t="str">
        <f>"Serv.Prest. 06/10/2025 a 12/10/2025 - RPS: 1363 - NFSe: 3599"</f>
        <v>Serv.Prest. 06/10/2025 a 12/10/2025 - RPS: 1363 - NFSe: 3599</v>
      </c>
      <c r="H6122" t="str">
        <f t="shared" si="2841"/>
        <v>15/10/2025</v>
      </c>
      <c r="I6122" t="str">
        <f t="shared" si="2843"/>
        <v>13/10/2025</v>
      </c>
      <c r="J6122" t="str">
        <f t="shared" si="2837"/>
        <v>16/10/2025</v>
      </c>
      <c r="M6122">
        <v>303</v>
      </c>
      <c r="N6122" t="str">
        <f t="shared" si="2838"/>
        <v>RECEITAS COM ENTREGAS</v>
      </c>
      <c r="P6122">
        <v>123.88</v>
      </c>
      <c r="Q6122" t="str">
        <f>"PENSE FARMA 07 (10201)"</f>
        <v>PENSE FARMA 07 (10201)</v>
      </c>
      <c r="R6122" t="str">
        <f t="shared" si="2839"/>
        <v>RECEITAS COM ENTREGAS (303)</v>
      </c>
      <c r="S6122">
        <v>2724</v>
      </c>
      <c r="T6122">
        <v>2274</v>
      </c>
      <c r="U6122" t="s">
        <v>19</v>
      </c>
    </row>
    <row r="6123" spans="1:21">
      <c r="A6123" t="str">
        <f t="shared" si="2835"/>
        <v>16/10/2025</v>
      </c>
      <c r="B6123" t="str">
        <f t="shared" si="2840"/>
        <v>ENTRADA</v>
      </c>
      <c r="C6123" t="str">
        <f t="shared" si="2836"/>
        <v>NFSE</v>
      </c>
      <c r="D6123" t="str">
        <f>"3599"</f>
        <v>3599</v>
      </c>
      <c r="E6123" t="str">
        <f t="shared" si="2834"/>
        <v>COM</v>
      </c>
      <c r="F6123" t="str">
        <f>"PENSE FARMA 07 (10201)"</f>
        <v>PENSE FARMA 07 (10201)</v>
      </c>
      <c r="G6123" t="str">
        <f>"Serv.Prest. 06/10/2025 a 12/10/2025 - RPS: 1363 - NFSe: 3599"</f>
        <v>Serv.Prest. 06/10/2025 a 12/10/2025 - RPS: 1363 - NFSe: 3599</v>
      </c>
      <c r="H6123" t="str">
        <f t="shared" si="2841"/>
        <v>15/10/2025</v>
      </c>
      <c r="I6123" t="str">
        <f t="shared" si="2843"/>
        <v>13/10/2025</v>
      </c>
      <c r="J6123" t="str">
        <f t="shared" si="2837"/>
        <v>16/10/2025</v>
      </c>
      <c r="M6123">
        <v>303</v>
      </c>
      <c r="N6123" t="str">
        <f t="shared" si="2838"/>
        <v>RECEITAS COM ENTREGAS</v>
      </c>
      <c r="P6123">
        <v>80.349999999999994</v>
      </c>
      <c r="Q6123" t="str">
        <f>"PENSE FARMA 45 (10209)"</f>
        <v>PENSE FARMA 45 (10209)</v>
      </c>
      <c r="R6123" t="str">
        <f t="shared" si="2839"/>
        <v>RECEITAS COM ENTREGAS (303)</v>
      </c>
      <c r="S6123">
        <v>2724</v>
      </c>
      <c r="T6123">
        <v>2274</v>
      </c>
      <c r="U6123" t="s">
        <v>19</v>
      </c>
    </row>
    <row r="6124" spans="1:21">
      <c r="A6124" t="str">
        <f t="shared" si="2835"/>
        <v>16/10/2025</v>
      </c>
      <c r="B6124" t="str">
        <f t="shared" si="2840"/>
        <v>ENTRADA</v>
      </c>
      <c r="C6124" t="str">
        <f t="shared" si="2836"/>
        <v>NFSE</v>
      </c>
      <c r="D6124" t="str">
        <f>"3599"</f>
        <v>3599</v>
      </c>
      <c r="E6124" t="str">
        <f t="shared" si="2834"/>
        <v>COM</v>
      </c>
      <c r="F6124" t="str">
        <f>"PENSE FARMA 07 (10201)"</f>
        <v>PENSE FARMA 07 (10201)</v>
      </c>
      <c r="G6124" t="str">
        <f>"Serv.Prest. 06/10/2025 a 12/10/2025 - RPS: 1363 - NFSe: 3599"</f>
        <v>Serv.Prest. 06/10/2025 a 12/10/2025 - RPS: 1363 - NFSe: 3599</v>
      </c>
      <c r="H6124" t="str">
        <f t="shared" si="2841"/>
        <v>15/10/2025</v>
      </c>
      <c r="I6124" t="str">
        <f t="shared" si="2843"/>
        <v>13/10/2025</v>
      </c>
      <c r="J6124" t="str">
        <f t="shared" si="2837"/>
        <v>16/10/2025</v>
      </c>
      <c r="M6124">
        <v>303</v>
      </c>
      <c r="N6124" t="str">
        <f t="shared" si="2838"/>
        <v>RECEITAS COM ENTREGAS</v>
      </c>
      <c r="P6124">
        <v>63.61</v>
      </c>
      <c r="Q6124" t="str">
        <f>"PENSE FARMA 50 (10210)"</f>
        <v>PENSE FARMA 50 (10210)</v>
      </c>
      <c r="R6124" t="str">
        <f t="shared" si="2839"/>
        <v>RECEITAS COM ENTREGAS (303)</v>
      </c>
      <c r="S6124">
        <v>2724</v>
      </c>
      <c r="T6124">
        <v>2274</v>
      </c>
      <c r="U6124" t="s">
        <v>19</v>
      </c>
    </row>
    <row r="6125" spans="1:21">
      <c r="A6125" t="str">
        <f t="shared" si="2835"/>
        <v>16/10/2025</v>
      </c>
      <c r="B6125" t="str">
        <f t="shared" si="2840"/>
        <v>ENTRADA</v>
      </c>
      <c r="C6125" t="str">
        <f t="shared" si="2836"/>
        <v>NFSE</v>
      </c>
      <c r="D6125" t="str">
        <f>"3601"</f>
        <v>3601</v>
      </c>
      <c r="E6125" t="str">
        <f t="shared" si="2834"/>
        <v>COM</v>
      </c>
      <c r="F6125" t="str">
        <f>"PENSE FARMA 15 (10195)"</f>
        <v>PENSE FARMA 15 (10195)</v>
      </c>
      <c r="G6125" t="str">
        <f>"Serv.Prest. 06/10/2025 a 12/10/2025 - RPS: 1364 - NFSe: 3601"</f>
        <v>Serv.Prest. 06/10/2025 a 12/10/2025 - RPS: 1364 - NFSe: 3601</v>
      </c>
      <c r="H6125" t="str">
        <f t="shared" si="2841"/>
        <v>15/10/2025</v>
      </c>
      <c r="I6125" t="str">
        <f t="shared" si="2843"/>
        <v>13/10/2025</v>
      </c>
      <c r="J6125" t="str">
        <f t="shared" si="2837"/>
        <v>16/10/2025</v>
      </c>
      <c r="K6125">
        <v>450</v>
      </c>
      <c r="L6125">
        <v>450</v>
      </c>
      <c r="M6125">
        <v>303</v>
      </c>
      <c r="N6125" t="str">
        <f t="shared" si="2838"/>
        <v>RECEITAS COM ENTREGAS</v>
      </c>
      <c r="O6125">
        <v>450</v>
      </c>
      <c r="R6125" t="str">
        <f t="shared" si="2839"/>
        <v>RECEITAS COM ENTREGAS (303)</v>
      </c>
      <c r="S6125">
        <v>2725</v>
      </c>
      <c r="T6125">
        <v>2275</v>
      </c>
      <c r="U6125" t="s">
        <v>19</v>
      </c>
    </row>
    <row r="6126" spans="1:21">
      <c r="A6126" t="str">
        <f t="shared" si="2835"/>
        <v>16/10/2025</v>
      </c>
      <c r="B6126" t="str">
        <f t="shared" si="2840"/>
        <v>ENTRADA</v>
      </c>
      <c r="C6126" t="str">
        <f t="shared" si="2836"/>
        <v>NFSE</v>
      </c>
      <c r="D6126" t="str">
        <f>"3601"</f>
        <v>3601</v>
      </c>
      <c r="E6126" t="str">
        <f t="shared" si="2834"/>
        <v>COM</v>
      </c>
      <c r="F6126" t="str">
        <f>"PENSE FARMA 15 (10195)"</f>
        <v>PENSE FARMA 15 (10195)</v>
      </c>
      <c r="G6126" t="str">
        <f>"Serv.Prest. 06/10/2025 a 12/10/2025 - RPS: 1364 - NFSe: 3601"</f>
        <v>Serv.Prest. 06/10/2025 a 12/10/2025 - RPS: 1364 - NFSe: 3601</v>
      </c>
      <c r="H6126" t="str">
        <f t="shared" si="2841"/>
        <v>15/10/2025</v>
      </c>
      <c r="I6126" t="str">
        <f t="shared" si="2843"/>
        <v>13/10/2025</v>
      </c>
      <c r="J6126" t="str">
        <f t="shared" si="2837"/>
        <v>16/10/2025</v>
      </c>
      <c r="M6126">
        <v>303</v>
      </c>
      <c r="N6126" t="str">
        <f t="shared" si="2838"/>
        <v>RECEITAS COM ENTREGAS</v>
      </c>
      <c r="P6126">
        <v>165.02</v>
      </c>
      <c r="Q6126" t="str">
        <f>"PENSE FARMA 15 (10195)"</f>
        <v>PENSE FARMA 15 (10195)</v>
      </c>
      <c r="R6126" t="str">
        <f t="shared" si="2839"/>
        <v>RECEITAS COM ENTREGAS (303)</v>
      </c>
      <c r="S6126">
        <v>2725</v>
      </c>
      <c r="T6126">
        <v>2275</v>
      </c>
      <c r="U6126" t="s">
        <v>19</v>
      </c>
    </row>
    <row r="6127" spans="1:21">
      <c r="A6127" t="str">
        <f t="shared" si="2835"/>
        <v>16/10/2025</v>
      </c>
      <c r="B6127" t="str">
        <f t="shared" si="2840"/>
        <v>ENTRADA</v>
      </c>
      <c r="C6127" t="str">
        <f t="shared" si="2836"/>
        <v>NFSE</v>
      </c>
      <c r="D6127" t="str">
        <f>"3601"</f>
        <v>3601</v>
      </c>
      <c r="E6127" t="str">
        <f t="shared" si="2834"/>
        <v>COM</v>
      </c>
      <c r="F6127" t="str">
        <f>"PENSE FARMA 15 (10195)"</f>
        <v>PENSE FARMA 15 (10195)</v>
      </c>
      <c r="G6127" t="str">
        <f>"Serv.Prest. 06/10/2025 a 12/10/2025 - RPS: 1364 - NFSe: 3601"</f>
        <v>Serv.Prest. 06/10/2025 a 12/10/2025 - RPS: 1364 - NFSe: 3601</v>
      </c>
      <c r="H6127" t="str">
        <f t="shared" si="2841"/>
        <v>15/10/2025</v>
      </c>
      <c r="I6127" t="str">
        <f t="shared" si="2843"/>
        <v>13/10/2025</v>
      </c>
      <c r="J6127" t="str">
        <f t="shared" si="2837"/>
        <v>16/10/2025</v>
      </c>
      <c r="M6127">
        <v>303</v>
      </c>
      <c r="N6127" t="str">
        <f t="shared" si="2838"/>
        <v>RECEITAS COM ENTREGAS</v>
      </c>
      <c r="P6127">
        <v>135</v>
      </c>
      <c r="Q6127" t="str">
        <f>"PENSE FARMA 26 (10196)"</f>
        <v>PENSE FARMA 26 (10196)</v>
      </c>
      <c r="R6127" t="str">
        <f t="shared" si="2839"/>
        <v>RECEITAS COM ENTREGAS (303)</v>
      </c>
      <c r="S6127">
        <v>2725</v>
      </c>
      <c r="T6127">
        <v>2275</v>
      </c>
      <c r="U6127" t="s">
        <v>19</v>
      </c>
    </row>
    <row r="6128" spans="1:21">
      <c r="A6128" t="str">
        <f t="shared" si="2835"/>
        <v>16/10/2025</v>
      </c>
      <c r="B6128" t="str">
        <f t="shared" si="2840"/>
        <v>ENTRADA</v>
      </c>
      <c r="C6128" t="str">
        <f t="shared" si="2836"/>
        <v>NFSE</v>
      </c>
      <c r="D6128" t="str">
        <f>"3601"</f>
        <v>3601</v>
      </c>
      <c r="E6128" t="str">
        <f t="shared" si="2834"/>
        <v>COM</v>
      </c>
      <c r="F6128" t="str">
        <f>"PENSE FARMA 15 (10195)"</f>
        <v>PENSE FARMA 15 (10195)</v>
      </c>
      <c r="G6128" t="str">
        <f>"Serv.Prest. 06/10/2025 a 12/10/2025 - RPS: 1364 - NFSe: 3601"</f>
        <v>Serv.Prest. 06/10/2025 a 12/10/2025 - RPS: 1364 - NFSe: 3601</v>
      </c>
      <c r="H6128" t="str">
        <f t="shared" si="2841"/>
        <v>15/10/2025</v>
      </c>
      <c r="I6128" t="str">
        <f t="shared" si="2843"/>
        <v>13/10/2025</v>
      </c>
      <c r="J6128" t="str">
        <f t="shared" si="2837"/>
        <v>16/10/2025</v>
      </c>
      <c r="M6128">
        <v>303</v>
      </c>
      <c r="N6128" t="str">
        <f t="shared" si="2838"/>
        <v>RECEITAS COM ENTREGAS</v>
      </c>
      <c r="P6128">
        <v>149.97999999999999</v>
      </c>
      <c r="Q6128" t="str">
        <f>"PENSE FARMA 60 (10197)"</f>
        <v>PENSE FARMA 60 (10197)</v>
      </c>
      <c r="R6128" t="str">
        <f t="shared" si="2839"/>
        <v>RECEITAS COM ENTREGAS (303)</v>
      </c>
      <c r="S6128">
        <v>2725</v>
      </c>
      <c r="T6128">
        <v>2275</v>
      </c>
      <c r="U6128" t="s">
        <v>19</v>
      </c>
    </row>
    <row r="6129" spans="1:21">
      <c r="A6129" t="str">
        <f t="shared" si="2835"/>
        <v>16/10/2025</v>
      </c>
      <c r="B6129" t="str">
        <f t="shared" si="2840"/>
        <v>ENTRADA</v>
      </c>
      <c r="C6129" t="str">
        <f t="shared" si="2836"/>
        <v>NFSE</v>
      </c>
      <c r="D6129" t="str">
        <f>"3604"</f>
        <v>3604</v>
      </c>
      <c r="E6129" t="str">
        <f t="shared" si="2834"/>
        <v>COM</v>
      </c>
      <c r="F6129" t="str">
        <f>"JAL FARMACIA E DROGARIA LJ 2 (10138)"</f>
        <v>JAL FARMACIA E DROGARIA LJ 2 (10138)</v>
      </c>
      <c r="G6129" t="str">
        <f>"Serv.Prest. 06/10/2025 a 12/10/2025 - RPS: 1368 - NFSe: 3604"</f>
        <v>Serv.Prest. 06/10/2025 a 12/10/2025 - RPS: 1368 - NFSe: 3604</v>
      </c>
      <c r="H6129" t="str">
        <f t="shared" si="2841"/>
        <v>15/10/2025</v>
      </c>
      <c r="I6129" t="str">
        <f t="shared" ref="I6129:I6145" si="2844">("14/10/2025")</f>
        <v>14/10/2025</v>
      </c>
      <c r="J6129" t="str">
        <f t="shared" si="2837"/>
        <v>16/10/2025</v>
      </c>
      <c r="K6129">
        <v>305.60000000000002</v>
      </c>
      <c r="L6129">
        <v>305.60000000000002</v>
      </c>
      <c r="M6129">
        <v>303</v>
      </c>
      <c r="N6129" t="str">
        <f t="shared" si="2838"/>
        <v>RECEITAS COM ENTREGAS</v>
      </c>
      <c r="O6129">
        <v>305.60000000000002</v>
      </c>
      <c r="R6129" t="str">
        <f t="shared" si="2839"/>
        <v>RECEITAS COM ENTREGAS (303)</v>
      </c>
      <c r="S6129">
        <v>2726</v>
      </c>
      <c r="T6129">
        <v>2279</v>
      </c>
      <c r="U6129" t="s">
        <v>19</v>
      </c>
    </row>
    <row r="6130" spans="1:21">
      <c r="A6130" t="str">
        <f t="shared" si="2835"/>
        <v>16/10/2025</v>
      </c>
      <c r="B6130" t="str">
        <f t="shared" si="2840"/>
        <v>ENTRADA</v>
      </c>
      <c r="C6130" t="str">
        <f t="shared" si="2836"/>
        <v>NFSE</v>
      </c>
      <c r="D6130" t="str">
        <f>"3604"</f>
        <v>3604</v>
      </c>
      <c r="E6130" t="str">
        <f t="shared" si="2834"/>
        <v>COM</v>
      </c>
      <c r="F6130" t="str">
        <f>"JAL FARMACIA E DROGARIA LJ 2 (10138)"</f>
        <v>JAL FARMACIA E DROGARIA LJ 2 (10138)</v>
      </c>
      <c r="G6130" t="str">
        <f>"Serv.Prest. 06/10/2025 a 12/10/2025 - RPS: 1368 - NFSe: 3604"</f>
        <v>Serv.Prest. 06/10/2025 a 12/10/2025 - RPS: 1368 - NFSe: 3604</v>
      </c>
      <c r="H6130" t="str">
        <f t="shared" si="2841"/>
        <v>15/10/2025</v>
      </c>
      <c r="I6130" t="str">
        <f t="shared" si="2844"/>
        <v>14/10/2025</v>
      </c>
      <c r="J6130" t="str">
        <f t="shared" si="2837"/>
        <v>16/10/2025</v>
      </c>
      <c r="M6130">
        <v>303</v>
      </c>
      <c r="N6130" t="str">
        <f t="shared" si="2838"/>
        <v>RECEITAS COM ENTREGAS</v>
      </c>
      <c r="P6130">
        <v>305.60000000000002</v>
      </c>
      <c r="Q6130" t="str">
        <f>"JAL FARMACIA E DROGARIA LJ 2 (10138)"</f>
        <v>JAL FARMACIA E DROGARIA LJ 2 (10138)</v>
      </c>
      <c r="R6130" t="str">
        <f t="shared" si="2839"/>
        <v>RECEITAS COM ENTREGAS (303)</v>
      </c>
      <c r="S6130">
        <v>2726</v>
      </c>
      <c r="T6130">
        <v>2279</v>
      </c>
      <c r="U6130" t="s">
        <v>19</v>
      </c>
    </row>
    <row r="6131" spans="1:21">
      <c r="A6131" t="str">
        <f t="shared" si="2835"/>
        <v>16/10/2025</v>
      </c>
      <c r="B6131" t="str">
        <f t="shared" si="2840"/>
        <v>ENTRADA</v>
      </c>
      <c r="C6131" t="str">
        <f t="shared" si="2836"/>
        <v>NFSE</v>
      </c>
      <c r="D6131" t="str">
        <f>"3605"</f>
        <v>3605</v>
      </c>
      <c r="E6131" t="str">
        <f t="shared" si="2834"/>
        <v>COM</v>
      </c>
      <c r="F6131" t="str">
        <f>"PENSE FARMA 22 (10198)"</f>
        <v>PENSE FARMA 22 (10198)</v>
      </c>
      <c r="G6131" t="str">
        <f>"Serv.Prest. 06/10/2025 a 12/10/2025 - RPS: 1369 - NFSe: 3605"</f>
        <v>Serv.Prest. 06/10/2025 a 12/10/2025 - RPS: 1369 - NFSe: 3605</v>
      </c>
      <c r="H6131" t="str">
        <f t="shared" si="2841"/>
        <v>15/10/2025</v>
      </c>
      <c r="I6131" t="str">
        <f t="shared" si="2844"/>
        <v>14/10/2025</v>
      </c>
      <c r="J6131" t="str">
        <f t="shared" si="2837"/>
        <v>16/10/2025</v>
      </c>
      <c r="K6131">
        <v>450</v>
      </c>
      <c r="L6131">
        <v>450</v>
      </c>
      <c r="M6131">
        <v>303</v>
      </c>
      <c r="N6131" t="str">
        <f t="shared" si="2838"/>
        <v>RECEITAS COM ENTREGAS</v>
      </c>
      <c r="O6131">
        <v>450</v>
      </c>
      <c r="R6131" t="str">
        <f t="shared" si="2839"/>
        <v>RECEITAS COM ENTREGAS (303)</v>
      </c>
      <c r="S6131">
        <v>2727</v>
      </c>
      <c r="T6131">
        <v>2280</v>
      </c>
      <c r="U6131" t="s">
        <v>19</v>
      </c>
    </row>
    <row r="6132" spans="1:21">
      <c r="A6132" t="str">
        <f t="shared" si="2835"/>
        <v>16/10/2025</v>
      </c>
      <c r="B6132" t="str">
        <f t="shared" si="2840"/>
        <v>ENTRADA</v>
      </c>
      <c r="C6132" t="str">
        <f t="shared" si="2836"/>
        <v>NFSE</v>
      </c>
      <c r="D6132" t="str">
        <f>"3605"</f>
        <v>3605</v>
      </c>
      <c r="E6132" t="str">
        <f t="shared" si="2834"/>
        <v>COM</v>
      </c>
      <c r="F6132" t="str">
        <f>"PENSE FARMA 22 (10198)"</f>
        <v>PENSE FARMA 22 (10198)</v>
      </c>
      <c r="G6132" t="str">
        <f>"Serv.Prest. 06/10/2025 a 12/10/2025 - RPS: 1369 - NFSe: 3605"</f>
        <v>Serv.Prest. 06/10/2025 a 12/10/2025 - RPS: 1369 - NFSe: 3605</v>
      </c>
      <c r="H6132" t="str">
        <f t="shared" si="2841"/>
        <v>15/10/2025</v>
      </c>
      <c r="I6132" t="str">
        <f t="shared" si="2844"/>
        <v>14/10/2025</v>
      </c>
      <c r="J6132" t="str">
        <f t="shared" si="2837"/>
        <v>16/10/2025</v>
      </c>
      <c r="M6132">
        <v>303</v>
      </c>
      <c r="N6132" t="str">
        <f t="shared" si="2838"/>
        <v>RECEITAS COM ENTREGAS</v>
      </c>
      <c r="P6132">
        <v>450</v>
      </c>
      <c r="Q6132" t="str">
        <f>"PENSE FARMA 22 (10198)"</f>
        <v>PENSE FARMA 22 (10198)</v>
      </c>
      <c r="R6132" t="str">
        <f t="shared" si="2839"/>
        <v>RECEITAS COM ENTREGAS (303)</v>
      </c>
      <c r="S6132">
        <v>2727</v>
      </c>
      <c r="T6132">
        <v>2280</v>
      </c>
      <c r="U6132" t="s">
        <v>19</v>
      </c>
    </row>
    <row r="6133" spans="1:21">
      <c r="A6133" t="str">
        <f t="shared" si="2835"/>
        <v>16/10/2025</v>
      </c>
      <c r="B6133" t="str">
        <f t="shared" si="2840"/>
        <v>ENTRADA</v>
      </c>
      <c r="C6133" t="str">
        <f t="shared" si="2836"/>
        <v>NFSE</v>
      </c>
      <c r="D6133" t="str">
        <f>"3606"</f>
        <v>3606</v>
      </c>
      <c r="E6133" t="str">
        <f t="shared" si="2834"/>
        <v>COM</v>
      </c>
      <c r="F6133" t="str">
        <f>"PENSE FARMA 27 (10204)"</f>
        <v>PENSE FARMA 27 (10204)</v>
      </c>
      <c r="G6133" t="str">
        <f>"Serv.Prest. 06/10/2025 a 12/10/2025 - RPS: 1370 - NFSe: 3606"</f>
        <v>Serv.Prest. 06/10/2025 a 12/10/2025 - RPS: 1370 - NFSe: 3606</v>
      </c>
      <c r="H6133" t="str">
        <f t="shared" si="2841"/>
        <v>15/10/2025</v>
      </c>
      <c r="I6133" t="str">
        <f t="shared" si="2844"/>
        <v>14/10/2025</v>
      </c>
      <c r="J6133" t="str">
        <f t="shared" si="2837"/>
        <v>16/10/2025</v>
      </c>
      <c r="K6133">
        <v>535.64</v>
      </c>
      <c r="L6133">
        <v>535.64</v>
      </c>
      <c r="M6133">
        <v>303</v>
      </c>
      <c r="N6133" t="str">
        <f t="shared" si="2838"/>
        <v>RECEITAS COM ENTREGAS</v>
      </c>
      <c r="O6133">
        <v>535.64</v>
      </c>
      <c r="R6133" t="str">
        <f t="shared" si="2839"/>
        <v>RECEITAS COM ENTREGAS (303)</v>
      </c>
      <c r="S6133">
        <v>2728</v>
      </c>
      <c r="T6133">
        <v>2281</v>
      </c>
      <c r="U6133" t="s">
        <v>19</v>
      </c>
    </row>
    <row r="6134" spans="1:21">
      <c r="A6134" t="str">
        <f t="shared" si="2835"/>
        <v>16/10/2025</v>
      </c>
      <c r="B6134" t="str">
        <f t="shared" si="2840"/>
        <v>ENTRADA</v>
      </c>
      <c r="C6134" t="str">
        <f t="shared" si="2836"/>
        <v>NFSE</v>
      </c>
      <c r="D6134" t="str">
        <f>"3606"</f>
        <v>3606</v>
      </c>
      <c r="E6134" t="str">
        <f t="shared" si="2834"/>
        <v>COM</v>
      </c>
      <c r="F6134" t="str">
        <f>"PENSE FARMA 27 (10204)"</f>
        <v>PENSE FARMA 27 (10204)</v>
      </c>
      <c r="G6134" t="str">
        <f>"Serv.Prest. 06/10/2025 a 12/10/2025 - RPS: 1370 - NFSe: 3606"</f>
        <v>Serv.Prest. 06/10/2025 a 12/10/2025 - RPS: 1370 - NFSe: 3606</v>
      </c>
      <c r="H6134" t="str">
        <f t="shared" si="2841"/>
        <v>15/10/2025</v>
      </c>
      <c r="I6134" t="str">
        <f t="shared" si="2844"/>
        <v>14/10/2025</v>
      </c>
      <c r="J6134" t="str">
        <f t="shared" si="2837"/>
        <v>16/10/2025</v>
      </c>
      <c r="M6134">
        <v>303</v>
      </c>
      <c r="N6134" t="str">
        <f t="shared" si="2838"/>
        <v>RECEITAS COM ENTREGAS</v>
      </c>
      <c r="P6134">
        <v>187.64</v>
      </c>
      <c r="Q6134" t="str">
        <f>"PENSE FARMA 05 (10200)"</f>
        <v>PENSE FARMA 05 (10200)</v>
      </c>
      <c r="R6134" t="str">
        <f t="shared" si="2839"/>
        <v>RECEITAS COM ENTREGAS (303)</v>
      </c>
      <c r="S6134">
        <v>2728</v>
      </c>
      <c r="T6134">
        <v>2281</v>
      </c>
      <c r="U6134" t="s">
        <v>19</v>
      </c>
    </row>
    <row r="6135" spans="1:21">
      <c r="A6135" t="str">
        <f t="shared" si="2835"/>
        <v>16/10/2025</v>
      </c>
      <c r="B6135" t="str">
        <f t="shared" si="2840"/>
        <v>ENTRADA</v>
      </c>
      <c r="C6135" t="str">
        <f t="shared" si="2836"/>
        <v>NFSE</v>
      </c>
      <c r="D6135" t="str">
        <f>"3606"</f>
        <v>3606</v>
      </c>
      <c r="E6135" t="str">
        <f t="shared" si="2834"/>
        <v>COM</v>
      </c>
      <c r="F6135" t="str">
        <f>"PENSE FARMA 27 (10204)"</f>
        <v>PENSE FARMA 27 (10204)</v>
      </c>
      <c r="G6135" t="str">
        <f>"Serv.Prest. 06/10/2025 a 12/10/2025 - RPS: 1370 - NFSe: 3606"</f>
        <v>Serv.Prest. 06/10/2025 a 12/10/2025 - RPS: 1370 - NFSe: 3606</v>
      </c>
      <c r="H6135" t="str">
        <f t="shared" si="2841"/>
        <v>15/10/2025</v>
      </c>
      <c r="I6135" t="str">
        <f t="shared" si="2844"/>
        <v>14/10/2025</v>
      </c>
      <c r="J6135" t="str">
        <f t="shared" si="2837"/>
        <v>16/10/2025</v>
      </c>
      <c r="M6135">
        <v>303</v>
      </c>
      <c r="N6135" t="str">
        <f t="shared" si="2838"/>
        <v>RECEITAS COM ENTREGAS</v>
      </c>
      <c r="P6135">
        <v>152.28</v>
      </c>
      <c r="Q6135" t="str">
        <f>"PENSE FARMA 13 (10202)"</f>
        <v>PENSE FARMA 13 (10202)</v>
      </c>
      <c r="R6135" t="str">
        <f t="shared" si="2839"/>
        <v>RECEITAS COM ENTREGAS (303)</v>
      </c>
      <c r="S6135">
        <v>2728</v>
      </c>
      <c r="T6135">
        <v>2281</v>
      </c>
      <c r="U6135" t="s">
        <v>19</v>
      </c>
    </row>
    <row r="6136" spans="1:21">
      <c r="A6136" t="str">
        <f t="shared" si="2835"/>
        <v>16/10/2025</v>
      </c>
      <c r="B6136" t="str">
        <f t="shared" si="2840"/>
        <v>ENTRADA</v>
      </c>
      <c r="C6136" t="str">
        <f t="shared" si="2836"/>
        <v>NFSE</v>
      </c>
      <c r="D6136" t="str">
        <f>"3606"</f>
        <v>3606</v>
      </c>
      <c r="E6136" t="str">
        <f t="shared" si="2834"/>
        <v>COM</v>
      </c>
      <c r="F6136" t="str">
        <f>"PENSE FARMA 27 (10204)"</f>
        <v>PENSE FARMA 27 (10204)</v>
      </c>
      <c r="G6136" t="str">
        <f>"Serv.Prest. 06/10/2025 a 12/10/2025 - RPS: 1370 - NFSe: 3606"</f>
        <v>Serv.Prest. 06/10/2025 a 12/10/2025 - RPS: 1370 - NFSe: 3606</v>
      </c>
      <c r="H6136" t="str">
        <f t="shared" si="2841"/>
        <v>15/10/2025</v>
      </c>
      <c r="I6136" t="str">
        <f t="shared" si="2844"/>
        <v>14/10/2025</v>
      </c>
      <c r="J6136" t="str">
        <f t="shared" si="2837"/>
        <v>16/10/2025</v>
      </c>
      <c r="M6136">
        <v>303</v>
      </c>
      <c r="N6136" t="str">
        <f t="shared" si="2838"/>
        <v>RECEITAS COM ENTREGAS</v>
      </c>
      <c r="P6136">
        <v>195.72</v>
      </c>
      <c r="Q6136" t="str">
        <f>"PENSE FARMA 27 (10204)"</f>
        <v>PENSE FARMA 27 (10204)</v>
      </c>
      <c r="R6136" t="str">
        <f t="shared" si="2839"/>
        <v>RECEITAS COM ENTREGAS (303)</v>
      </c>
      <c r="S6136">
        <v>2728</v>
      </c>
      <c r="T6136">
        <v>2281</v>
      </c>
      <c r="U6136" t="s">
        <v>19</v>
      </c>
    </row>
    <row r="6137" spans="1:21">
      <c r="A6137" t="str">
        <f t="shared" si="2835"/>
        <v>16/10/2025</v>
      </c>
      <c r="B6137" t="str">
        <f t="shared" si="2840"/>
        <v>ENTRADA</v>
      </c>
      <c r="C6137" t="str">
        <f t="shared" si="2836"/>
        <v>NFSE</v>
      </c>
      <c r="D6137" t="str">
        <f>"3607"</f>
        <v>3607</v>
      </c>
      <c r="E6137" t="str">
        <f t="shared" si="2834"/>
        <v>COM</v>
      </c>
      <c r="F6137" t="str">
        <f>"PENSE FARMA 46 (10194)"</f>
        <v>PENSE FARMA 46 (10194)</v>
      </c>
      <c r="G6137" t="str">
        <f>"Serv.Prest. 06/10/2025 a 12/10/2025 - RPS: 1371 - NFSe: 3607"</f>
        <v>Serv.Prest. 06/10/2025 a 12/10/2025 - RPS: 1371 - NFSe: 3607</v>
      </c>
      <c r="H6137" t="str">
        <f t="shared" si="2841"/>
        <v>15/10/2025</v>
      </c>
      <c r="I6137" t="str">
        <f t="shared" si="2844"/>
        <v>14/10/2025</v>
      </c>
      <c r="J6137" t="str">
        <f t="shared" si="2837"/>
        <v>16/10/2025</v>
      </c>
      <c r="K6137">
        <v>300</v>
      </c>
      <c r="L6137">
        <v>300</v>
      </c>
      <c r="M6137">
        <v>303</v>
      </c>
      <c r="N6137" t="str">
        <f t="shared" si="2838"/>
        <v>RECEITAS COM ENTREGAS</v>
      </c>
      <c r="O6137">
        <v>300</v>
      </c>
      <c r="R6137" t="str">
        <f t="shared" si="2839"/>
        <v>RECEITAS COM ENTREGAS (303)</v>
      </c>
      <c r="S6137">
        <v>2729</v>
      </c>
      <c r="T6137">
        <v>2282</v>
      </c>
      <c r="U6137" t="s">
        <v>19</v>
      </c>
    </row>
    <row r="6138" spans="1:21">
      <c r="A6138" t="str">
        <f t="shared" si="2835"/>
        <v>16/10/2025</v>
      </c>
      <c r="B6138" t="str">
        <f t="shared" si="2840"/>
        <v>ENTRADA</v>
      </c>
      <c r="C6138" t="str">
        <f t="shared" si="2836"/>
        <v>NFSE</v>
      </c>
      <c r="D6138" t="str">
        <f>"3607"</f>
        <v>3607</v>
      </c>
      <c r="E6138" t="str">
        <f t="shared" si="2834"/>
        <v>COM</v>
      </c>
      <c r="F6138" t="str">
        <f>"PENSE FARMA 46 (10194)"</f>
        <v>PENSE FARMA 46 (10194)</v>
      </c>
      <c r="G6138" t="str">
        <f>"Serv.Prest. 06/10/2025 a 12/10/2025 - RPS: 1371 - NFSe: 3607"</f>
        <v>Serv.Prest. 06/10/2025 a 12/10/2025 - RPS: 1371 - NFSe: 3607</v>
      </c>
      <c r="H6138" t="str">
        <f t="shared" si="2841"/>
        <v>15/10/2025</v>
      </c>
      <c r="I6138" t="str">
        <f t="shared" si="2844"/>
        <v>14/10/2025</v>
      </c>
      <c r="J6138" t="str">
        <f t="shared" si="2837"/>
        <v>16/10/2025</v>
      </c>
      <c r="M6138">
        <v>303</v>
      </c>
      <c r="N6138" t="str">
        <f t="shared" si="2838"/>
        <v>RECEITAS COM ENTREGAS</v>
      </c>
      <c r="P6138">
        <v>300</v>
      </c>
      <c r="Q6138" t="str">
        <f>"PENSE FARMA 46 (10194)"</f>
        <v>PENSE FARMA 46 (10194)</v>
      </c>
      <c r="R6138" t="str">
        <f t="shared" si="2839"/>
        <v>RECEITAS COM ENTREGAS (303)</v>
      </c>
      <c r="S6138">
        <v>2729</v>
      </c>
      <c r="T6138">
        <v>2282</v>
      </c>
      <c r="U6138" t="s">
        <v>19</v>
      </c>
    </row>
    <row r="6139" spans="1:21">
      <c r="A6139" t="str">
        <f t="shared" si="2835"/>
        <v>16/10/2025</v>
      </c>
      <c r="B6139" t="str">
        <f t="shared" si="2840"/>
        <v>ENTRADA</v>
      </c>
      <c r="C6139" t="str">
        <f t="shared" si="2836"/>
        <v>NFSE</v>
      </c>
      <c r="D6139" t="str">
        <f t="shared" ref="D6139:D6145" si="2845">"3608"</f>
        <v>3608</v>
      </c>
      <c r="E6139" t="str">
        <f t="shared" ref="E6139:E6155" si="2846">"COM"</f>
        <v>COM</v>
      </c>
      <c r="F6139" t="str">
        <f t="shared" ref="F6139:F6145" si="2847">"PENSE FARMA 36 (10206)"</f>
        <v>PENSE FARMA 36 (10206)</v>
      </c>
      <c r="G6139" t="str">
        <f t="shared" ref="G6139:G6145" si="2848">"Serv.Prest. 06/10/2025 a 12/10/2025 - RPS: 1372 - NFSe: 3608"</f>
        <v>Serv.Prest. 06/10/2025 a 12/10/2025 - RPS: 1372 - NFSe: 3608</v>
      </c>
      <c r="H6139" t="str">
        <f t="shared" si="2841"/>
        <v>15/10/2025</v>
      </c>
      <c r="I6139" t="str">
        <f t="shared" si="2844"/>
        <v>14/10/2025</v>
      </c>
      <c r="J6139" t="str">
        <f t="shared" si="2837"/>
        <v>16/10/2025</v>
      </c>
      <c r="K6139">
        <v>851.82</v>
      </c>
      <c r="L6139">
        <v>851.82</v>
      </c>
      <c r="M6139">
        <v>303</v>
      </c>
      <c r="N6139" t="str">
        <f t="shared" si="2838"/>
        <v>RECEITAS COM ENTREGAS</v>
      </c>
      <c r="O6139">
        <v>851.82</v>
      </c>
      <c r="R6139" t="str">
        <f t="shared" si="2839"/>
        <v>RECEITAS COM ENTREGAS (303)</v>
      </c>
      <c r="S6139">
        <v>2730</v>
      </c>
      <c r="T6139">
        <v>2283</v>
      </c>
      <c r="U6139" t="s">
        <v>19</v>
      </c>
    </row>
    <row r="6140" spans="1:21">
      <c r="A6140" t="str">
        <f t="shared" si="2835"/>
        <v>16/10/2025</v>
      </c>
      <c r="B6140" t="str">
        <f t="shared" si="2840"/>
        <v>ENTRADA</v>
      </c>
      <c r="C6140" t="str">
        <f t="shared" si="2836"/>
        <v>NFSE</v>
      </c>
      <c r="D6140" t="str">
        <f t="shared" si="2845"/>
        <v>3608</v>
      </c>
      <c r="E6140" t="str">
        <f t="shared" si="2846"/>
        <v>COM</v>
      </c>
      <c r="F6140" t="str">
        <f t="shared" si="2847"/>
        <v>PENSE FARMA 36 (10206)</v>
      </c>
      <c r="G6140" t="str">
        <f t="shared" si="2848"/>
        <v>Serv.Prest. 06/10/2025 a 12/10/2025 - RPS: 1372 - NFSe: 3608</v>
      </c>
      <c r="H6140" t="str">
        <f t="shared" si="2841"/>
        <v>15/10/2025</v>
      </c>
      <c r="I6140" t="str">
        <f t="shared" si="2844"/>
        <v>14/10/2025</v>
      </c>
      <c r="J6140" t="str">
        <f t="shared" si="2837"/>
        <v>16/10/2025</v>
      </c>
      <c r="M6140">
        <v>303</v>
      </c>
      <c r="N6140" t="str">
        <f t="shared" si="2838"/>
        <v>RECEITAS COM ENTREGAS</v>
      </c>
      <c r="P6140">
        <v>157.49</v>
      </c>
      <c r="Q6140" t="str">
        <f>"PENSE FARMA 20 (10203)"</f>
        <v>PENSE FARMA 20 (10203)</v>
      </c>
      <c r="R6140" t="str">
        <f t="shared" si="2839"/>
        <v>RECEITAS COM ENTREGAS (303)</v>
      </c>
      <c r="S6140">
        <v>2730</v>
      </c>
      <c r="T6140">
        <v>2283</v>
      </c>
      <c r="U6140" t="s">
        <v>19</v>
      </c>
    </row>
    <row r="6141" spans="1:21">
      <c r="A6141" t="str">
        <f t="shared" ref="A6141:A6166" si="2849">("16/10/2025")</f>
        <v>16/10/2025</v>
      </c>
      <c r="B6141" t="str">
        <f t="shared" si="2840"/>
        <v>ENTRADA</v>
      </c>
      <c r="C6141" t="str">
        <f t="shared" si="2836"/>
        <v>NFSE</v>
      </c>
      <c r="D6141" t="str">
        <f t="shared" si="2845"/>
        <v>3608</v>
      </c>
      <c r="E6141" t="str">
        <f t="shared" si="2846"/>
        <v>COM</v>
      </c>
      <c r="F6141" t="str">
        <f t="shared" si="2847"/>
        <v>PENSE FARMA 36 (10206)</v>
      </c>
      <c r="G6141" t="str">
        <f t="shared" si="2848"/>
        <v>Serv.Prest. 06/10/2025 a 12/10/2025 - RPS: 1372 - NFSe: 3608</v>
      </c>
      <c r="H6141" t="str">
        <f t="shared" si="2841"/>
        <v>15/10/2025</v>
      </c>
      <c r="I6141" t="str">
        <f t="shared" si="2844"/>
        <v>14/10/2025</v>
      </c>
      <c r="J6141" t="str">
        <f t="shared" ref="J6141:J6166" si="2850">("16/10/2025")</f>
        <v>16/10/2025</v>
      </c>
      <c r="M6141">
        <v>303</v>
      </c>
      <c r="N6141" t="str">
        <f t="shared" si="2838"/>
        <v>RECEITAS COM ENTREGAS</v>
      </c>
      <c r="P6141">
        <v>186.72</v>
      </c>
      <c r="Q6141" t="str">
        <f>"PENSE FARMA 36 (10206)"</f>
        <v>PENSE FARMA 36 (10206)</v>
      </c>
      <c r="R6141" t="str">
        <f t="shared" si="2839"/>
        <v>RECEITAS COM ENTREGAS (303)</v>
      </c>
      <c r="S6141">
        <v>2730</v>
      </c>
      <c r="T6141">
        <v>2283</v>
      </c>
      <c r="U6141" t="s">
        <v>19</v>
      </c>
    </row>
    <row r="6142" spans="1:21">
      <c r="A6142" t="str">
        <f t="shared" si="2849"/>
        <v>16/10/2025</v>
      </c>
      <c r="B6142" t="str">
        <f t="shared" si="2840"/>
        <v>ENTRADA</v>
      </c>
      <c r="C6142" t="str">
        <f t="shared" si="2836"/>
        <v>NFSE</v>
      </c>
      <c r="D6142" t="str">
        <f t="shared" si="2845"/>
        <v>3608</v>
      </c>
      <c r="E6142" t="str">
        <f t="shared" si="2846"/>
        <v>COM</v>
      </c>
      <c r="F6142" t="str">
        <f t="shared" si="2847"/>
        <v>PENSE FARMA 36 (10206)</v>
      </c>
      <c r="G6142" t="str">
        <f t="shared" si="2848"/>
        <v>Serv.Prest. 06/10/2025 a 12/10/2025 - RPS: 1372 - NFSe: 3608</v>
      </c>
      <c r="H6142" t="str">
        <f t="shared" si="2841"/>
        <v>15/10/2025</v>
      </c>
      <c r="I6142" t="str">
        <f t="shared" si="2844"/>
        <v>14/10/2025</v>
      </c>
      <c r="J6142" t="str">
        <f t="shared" si="2850"/>
        <v>16/10/2025</v>
      </c>
      <c r="M6142">
        <v>303</v>
      </c>
      <c r="N6142" t="str">
        <f t="shared" si="2838"/>
        <v>RECEITAS COM ENTREGAS</v>
      </c>
      <c r="P6142">
        <v>96.26</v>
      </c>
      <c r="Q6142" t="str">
        <f>"PENSE FARMA 40 (10207)"</f>
        <v>PENSE FARMA 40 (10207)</v>
      </c>
      <c r="R6142" t="str">
        <f t="shared" si="2839"/>
        <v>RECEITAS COM ENTREGAS (303)</v>
      </c>
      <c r="S6142">
        <v>2730</v>
      </c>
      <c r="T6142">
        <v>2283</v>
      </c>
      <c r="U6142" t="s">
        <v>19</v>
      </c>
    </row>
    <row r="6143" spans="1:21">
      <c r="A6143" t="str">
        <f t="shared" si="2849"/>
        <v>16/10/2025</v>
      </c>
      <c r="B6143" t="str">
        <f t="shared" si="2840"/>
        <v>ENTRADA</v>
      </c>
      <c r="C6143" t="str">
        <f t="shared" si="2836"/>
        <v>NFSE</v>
      </c>
      <c r="D6143" t="str">
        <f t="shared" si="2845"/>
        <v>3608</v>
      </c>
      <c r="E6143" t="str">
        <f t="shared" si="2846"/>
        <v>COM</v>
      </c>
      <c r="F6143" t="str">
        <f t="shared" si="2847"/>
        <v>PENSE FARMA 36 (10206)</v>
      </c>
      <c r="G6143" t="str">
        <f t="shared" si="2848"/>
        <v>Serv.Prest. 06/10/2025 a 12/10/2025 - RPS: 1372 - NFSe: 3608</v>
      </c>
      <c r="H6143" t="str">
        <f t="shared" si="2841"/>
        <v>15/10/2025</v>
      </c>
      <c r="I6143" t="str">
        <f t="shared" si="2844"/>
        <v>14/10/2025</v>
      </c>
      <c r="J6143" t="str">
        <f t="shared" si="2850"/>
        <v>16/10/2025</v>
      </c>
      <c r="M6143">
        <v>303</v>
      </c>
      <c r="N6143" t="str">
        <f t="shared" si="2838"/>
        <v>RECEITAS COM ENTREGAS</v>
      </c>
      <c r="P6143">
        <v>72.92</v>
      </c>
      <c r="Q6143" t="str">
        <f>"PENSE FARMA 43 (10208)"</f>
        <v>PENSE FARMA 43 (10208)</v>
      </c>
      <c r="R6143" t="str">
        <f t="shared" si="2839"/>
        <v>RECEITAS COM ENTREGAS (303)</v>
      </c>
      <c r="S6143">
        <v>2730</v>
      </c>
      <c r="T6143">
        <v>2283</v>
      </c>
      <c r="U6143" t="s">
        <v>19</v>
      </c>
    </row>
    <row r="6144" spans="1:21">
      <c r="A6144" t="str">
        <f t="shared" si="2849"/>
        <v>16/10/2025</v>
      </c>
      <c r="B6144" t="str">
        <f t="shared" si="2840"/>
        <v>ENTRADA</v>
      </c>
      <c r="C6144" t="str">
        <f t="shared" si="2836"/>
        <v>NFSE</v>
      </c>
      <c r="D6144" t="str">
        <f t="shared" si="2845"/>
        <v>3608</v>
      </c>
      <c r="E6144" t="str">
        <f t="shared" si="2846"/>
        <v>COM</v>
      </c>
      <c r="F6144" t="str">
        <f t="shared" si="2847"/>
        <v>PENSE FARMA 36 (10206)</v>
      </c>
      <c r="G6144" t="str">
        <f t="shared" si="2848"/>
        <v>Serv.Prest. 06/10/2025 a 12/10/2025 - RPS: 1372 - NFSe: 3608</v>
      </c>
      <c r="H6144" t="str">
        <f t="shared" si="2841"/>
        <v>15/10/2025</v>
      </c>
      <c r="I6144" t="str">
        <f t="shared" si="2844"/>
        <v>14/10/2025</v>
      </c>
      <c r="J6144" t="str">
        <f t="shared" si="2850"/>
        <v>16/10/2025</v>
      </c>
      <c r="M6144">
        <v>303</v>
      </c>
      <c r="N6144" t="str">
        <f t="shared" si="2838"/>
        <v>RECEITAS COM ENTREGAS</v>
      </c>
      <c r="P6144">
        <v>163.38</v>
      </c>
      <c r="Q6144" t="str">
        <f>"PENSE FARMA 59 (10211)"</f>
        <v>PENSE FARMA 59 (10211)</v>
      </c>
      <c r="R6144" t="str">
        <f t="shared" si="2839"/>
        <v>RECEITAS COM ENTREGAS (303)</v>
      </c>
      <c r="S6144">
        <v>2730</v>
      </c>
      <c r="T6144">
        <v>2283</v>
      </c>
      <c r="U6144" t="s">
        <v>19</v>
      </c>
    </row>
    <row r="6145" spans="1:21">
      <c r="A6145" t="str">
        <f t="shared" si="2849"/>
        <v>16/10/2025</v>
      </c>
      <c r="B6145" t="str">
        <f t="shared" si="2840"/>
        <v>ENTRADA</v>
      </c>
      <c r="C6145" t="str">
        <f t="shared" si="2836"/>
        <v>NFSE</v>
      </c>
      <c r="D6145" t="str">
        <f t="shared" si="2845"/>
        <v>3608</v>
      </c>
      <c r="E6145" t="str">
        <f t="shared" si="2846"/>
        <v>COM</v>
      </c>
      <c r="F6145" t="str">
        <f t="shared" si="2847"/>
        <v>PENSE FARMA 36 (10206)</v>
      </c>
      <c r="G6145" t="str">
        <f t="shared" si="2848"/>
        <v>Serv.Prest. 06/10/2025 a 12/10/2025 - RPS: 1372 - NFSe: 3608</v>
      </c>
      <c r="H6145" t="str">
        <f t="shared" si="2841"/>
        <v>15/10/2025</v>
      </c>
      <c r="I6145" t="str">
        <f t="shared" si="2844"/>
        <v>14/10/2025</v>
      </c>
      <c r="J6145" t="str">
        <f t="shared" si="2850"/>
        <v>16/10/2025</v>
      </c>
      <c r="M6145">
        <v>303</v>
      </c>
      <c r="N6145" t="str">
        <f t="shared" si="2838"/>
        <v>RECEITAS COM ENTREGAS</v>
      </c>
      <c r="P6145">
        <v>175.05</v>
      </c>
      <c r="Q6145" t="str">
        <f>"PENSE FARMA DARK STORE 361 (10212)"</f>
        <v>PENSE FARMA DARK STORE 361 (10212)</v>
      </c>
      <c r="R6145" t="str">
        <f t="shared" si="2839"/>
        <v>RECEITAS COM ENTREGAS (303)</v>
      </c>
      <c r="S6145">
        <v>2730</v>
      </c>
      <c r="T6145">
        <v>2283</v>
      </c>
      <c r="U6145" t="s">
        <v>19</v>
      </c>
    </row>
    <row r="6146" spans="1:21">
      <c r="A6146" t="str">
        <f t="shared" si="2849"/>
        <v>16/10/2025</v>
      </c>
      <c r="B6146" t="str">
        <f t="shared" si="2840"/>
        <v>ENTRADA</v>
      </c>
      <c r="C6146" t="str">
        <f t="shared" si="2836"/>
        <v>NFSE</v>
      </c>
      <c r="D6146" t="str">
        <f>"3588"</f>
        <v>3588</v>
      </c>
      <c r="E6146" t="str">
        <f t="shared" si="2846"/>
        <v>COM</v>
      </c>
      <c r="F6146" t="str">
        <f>"BRASIL FARMA (10173)"</f>
        <v>BRASIL FARMA (10173)</v>
      </c>
      <c r="G6146" t="str">
        <f>"Serv.Prest. 06/10/2025 a 12/10/2025 - RPS: 1352 - NFSe: 3588"</f>
        <v>Serv.Prest. 06/10/2025 a 12/10/2025 - RPS: 1352 - NFSe: 3588</v>
      </c>
      <c r="H6146" t="str">
        <f t="shared" si="2841"/>
        <v>15/10/2025</v>
      </c>
      <c r="I6146" t="str">
        <f>("13/10/2025")</f>
        <v>13/10/2025</v>
      </c>
      <c r="J6146" t="str">
        <f t="shared" si="2850"/>
        <v>16/10/2025</v>
      </c>
      <c r="K6146">
        <v>320.95999999999998</v>
      </c>
      <c r="L6146">
        <v>320.95999999999998</v>
      </c>
      <c r="M6146">
        <v>303</v>
      </c>
      <c r="N6146" t="str">
        <f t="shared" si="2838"/>
        <v>RECEITAS COM ENTREGAS</v>
      </c>
      <c r="O6146">
        <v>320.95999999999998</v>
      </c>
      <c r="R6146" t="str">
        <f t="shared" si="2839"/>
        <v>RECEITAS COM ENTREGAS (303)</v>
      </c>
      <c r="S6146">
        <v>2731</v>
      </c>
      <c r="T6146">
        <v>2263</v>
      </c>
      <c r="U6146" t="s">
        <v>19</v>
      </c>
    </row>
    <row r="6147" spans="1:21">
      <c r="A6147" t="str">
        <f t="shared" si="2849"/>
        <v>16/10/2025</v>
      </c>
      <c r="B6147" t="str">
        <f t="shared" si="2840"/>
        <v>ENTRADA</v>
      </c>
      <c r="C6147" t="str">
        <f t="shared" si="2836"/>
        <v>NFSE</v>
      </c>
      <c r="D6147" t="str">
        <f>"3588"</f>
        <v>3588</v>
      </c>
      <c r="E6147" t="str">
        <f t="shared" si="2846"/>
        <v>COM</v>
      </c>
      <c r="F6147" t="str">
        <f>"BRASIL FARMA (10173)"</f>
        <v>BRASIL FARMA (10173)</v>
      </c>
      <c r="G6147" t="str">
        <f>"Serv.Prest. 06/10/2025 a 12/10/2025 - RPS: 1352 - NFSe: 3588"</f>
        <v>Serv.Prest. 06/10/2025 a 12/10/2025 - RPS: 1352 - NFSe: 3588</v>
      </c>
      <c r="H6147" t="str">
        <f t="shared" si="2841"/>
        <v>15/10/2025</v>
      </c>
      <c r="I6147" t="str">
        <f>("13/10/2025")</f>
        <v>13/10/2025</v>
      </c>
      <c r="J6147" t="str">
        <f t="shared" si="2850"/>
        <v>16/10/2025</v>
      </c>
      <c r="M6147">
        <v>303</v>
      </c>
      <c r="N6147" t="str">
        <f t="shared" si="2838"/>
        <v>RECEITAS COM ENTREGAS</v>
      </c>
      <c r="P6147">
        <v>320.95999999999998</v>
      </c>
      <c r="Q6147" t="str">
        <f>"BRASIL FARMA (10173)"</f>
        <v>BRASIL FARMA (10173)</v>
      </c>
      <c r="R6147" t="str">
        <f t="shared" si="2839"/>
        <v>RECEITAS COM ENTREGAS (303)</v>
      </c>
      <c r="S6147">
        <v>2731</v>
      </c>
      <c r="T6147">
        <v>2263</v>
      </c>
      <c r="U6147" t="s">
        <v>19</v>
      </c>
    </row>
    <row r="6148" spans="1:21">
      <c r="A6148" t="str">
        <f t="shared" si="2849"/>
        <v>16/10/2025</v>
      </c>
      <c r="B6148" t="str">
        <f t="shared" si="2840"/>
        <v>ENTRADA</v>
      </c>
      <c r="C6148" t="str">
        <f t="shared" si="2836"/>
        <v>NFSE</v>
      </c>
      <c r="D6148" t="str">
        <f>"3590"</f>
        <v>3590</v>
      </c>
      <c r="E6148" t="str">
        <f t="shared" si="2846"/>
        <v>COM</v>
      </c>
      <c r="F6148" t="str">
        <f>"DROGARIA ANA VISCONDE DO RIO BRANCO (10182)"</f>
        <v>DROGARIA ANA VISCONDE DO RIO BRANCO (10182)</v>
      </c>
      <c r="G6148" t="str">
        <f>"Serv.Prest. 06/10/2025 a 12/10/2025 - RPS: 1354 - NFSe: 3590"</f>
        <v>Serv.Prest. 06/10/2025 a 12/10/2025 - RPS: 1354 - NFSe: 3590</v>
      </c>
      <c r="H6148" t="str">
        <f t="shared" si="2841"/>
        <v>15/10/2025</v>
      </c>
      <c r="I6148" t="str">
        <f>("13/10/2025")</f>
        <v>13/10/2025</v>
      </c>
      <c r="J6148" t="str">
        <f t="shared" si="2850"/>
        <v>16/10/2025</v>
      </c>
      <c r="K6148">
        <v>845.28</v>
      </c>
      <c r="L6148">
        <v>845.28</v>
      </c>
      <c r="M6148">
        <v>303</v>
      </c>
      <c r="N6148" t="str">
        <f t="shared" si="2838"/>
        <v>RECEITAS COM ENTREGAS</v>
      </c>
      <c r="O6148">
        <v>845.28</v>
      </c>
      <c r="R6148" t="str">
        <f t="shared" si="2839"/>
        <v>RECEITAS COM ENTREGAS (303)</v>
      </c>
      <c r="S6148">
        <v>2732</v>
      </c>
      <c r="T6148">
        <v>2265</v>
      </c>
      <c r="U6148" t="s">
        <v>19</v>
      </c>
    </row>
    <row r="6149" spans="1:21">
      <c r="A6149" t="str">
        <f t="shared" si="2849"/>
        <v>16/10/2025</v>
      </c>
      <c r="B6149" t="str">
        <f t="shared" si="2840"/>
        <v>ENTRADA</v>
      </c>
      <c r="C6149" t="str">
        <f t="shared" si="2836"/>
        <v>NFSE</v>
      </c>
      <c r="D6149" t="str">
        <f>"3590"</f>
        <v>3590</v>
      </c>
      <c r="E6149" t="str">
        <f t="shared" si="2846"/>
        <v>COM</v>
      </c>
      <c r="F6149" t="str">
        <f>"DROGARIA ANA VISCONDE DO RIO BRANCO (10182)"</f>
        <v>DROGARIA ANA VISCONDE DO RIO BRANCO (10182)</v>
      </c>
      <c r="G6149" t="str">
        <f>"Serv.Prest. 06/10/2025 a 12/10/2025 - RPS: 1354 - NFSe: 3590"</f>
        <v>Serv.Prest. 06/10/2025 a 12/10/2025 - RPS: 1354 - NFSe: 3590</v>
      </c>
      <c r="H6149" t="str">
        <f t="shared" si="2841"/>
        <v>15/10/2025</v>
      </c>
      <c r="I6149" t="str">
        <f>("13/10/2025")</f>
        <v>13/10/2025</v>
      </c>
      <c r="J6149" t="str">
        <f t="shared" si="2850"/>
        <v>16/10/2025</v>
      </c>
      <c r="M6149">
        <v>303</v>
      </c>
      <c r="N6149" t="str">
        <f t="shared" si="2838"/>
        <v>RECEITAS COM ENTREGAS</v>
      </c>
      <c r="P6149">
        <v>845.28</v>
      </c>
      <c r="Q6149" t="str">
        <f>"DROGARIA ANA VISCONDE DO RIO BRANCO (10182)"</f>
        <v>DROGARIA ANA VISCONDE DO RIO BRANCO (10182)</v>
      </c>
      <c r="R6149" t="str">
        <f t="shared" si="2839"/>
        <v>RECEITAS COM ENTREGAS (303)</v>
      </c>
      <c r="S6149">
        <v>2732</v>
      </c>
      <c r="T6149">
        <v>2265</v>
      </c>
      <c r="U6149" t="s">
        <v>19</v>
      </c>
    </row>
    <row r="6150" spans="1:21">
      <c r="A6150" t="str">
        <f t="shared" si="2849"/>
        <v>16/10/2025</v>
      </c>
      <c r="B6150" t="str">
        <f t="shared" si="2840"/>
        <v>ENTRADA</v>
      </c>
      <c r="C6150" t="str">
        <f t="shared" si="2836"/>
        <v>NFSE</v>
      </c>
      <c r="D6150" t="str">
        <f>"3600"</f>
        <v>3600</v>
      </c>
      <c r="E6150" t="str">
        <f t="shared" si="2846"/>
        <v>COM</v>
      </c>
      <c r="F6150" t="str">
        <f>"DROGARIA MEDIC CENTER LTDA (10172)"</f>
        <v>DROGARIA MEDIC CENTER LTDA (10172)</v>
      </c>
      <c r="G6150" t="str">
        <f>"Serv.Prest. 06/10/2025 a 12/10/2025 - RPS: 1365 - NFSe: 3600"</f>
        <v>Serv.Prest. 06/10/2025 a 12/10/2025 - RPS: 1365 - NFSe: 3600</v>
      </c>
      <c r="H6150" t="str">
        <f t="shared" si="2841"/>
        <v>15/10/2025</v>
      </c>
      <c r="I6150" t="str">
        <f t="shared" ref="I6150:I6155" si="2851">("14/10/2025")</f>
        <v>14/10/2025</v>
      </c>
      <c r="J6150" t="str">
        <f t="shared" si="2850"/>
        <v>16/10/2025</v>
      </c>
      <c r="K6150">
        <v>119.7</v>
      </c>
      <c r="L6150">
        <v>119.7</v>
      </c>
      <c r="M6150">
        <v>303</v>
      </c>
      <c r="N6150" t="str">
        <f t="shared" si="2838"/>
        <v>RECEITAS COM ENTREGAS</v>
      </c>
      <c r="O6150">
        <v>119.7</v>
      </c>
      <c r="R6150" t="str">
        <f t="shared" si="2839"/>
        <v>RECEITAS COM ENTREGAS (303)</v>
      </c>
      <c r="S6150">
        <v>2733</v>
      </c>
      <c r="T6150">
        <v>2276</v>
      </c>
      <c r="U6150" t="s">
        <v>19</v>
      </c>
    </row>
    <row r="6151" spans="1:21">
      <c r="A6151" t="str">
        <f t="shared" si="2849"/>
        <v>16/10/2025</v>
      </c>
      <c r="B6151" t="str">
        <f t="shared" si="2840"/>
        <v>ENTRADA</v>
      </c>
      <c r="C6151" t="str">
        <f t="shared" si="2836"/>
        <v>NFSE</v>
      </c>
      <c r="D6151" t="str">
        <f>"3600"</f>
        <v>3600</v>
      </c>
      <c r="E6151" t="str">
        <f t="shared" si="2846"/>
        <v>COM</v>
      </c>
      <c r="F6151" t="str">
        <f>"DROGARIA MEDIC CENTER LTDA (10172)"</f>
        <v>DROGARIA MEDIC CENTER LTDA (10172)</v>
      </c>
      <c r="G6151" t="str">
        <f>"Serv.Prest. 06/10/2025 a 12/10/2025 - RPS: 1365 - NFSe: 3600"</f>
        <v>Serv.Prest. 06/10/2025 a 12/10/2025 - RPS: 1365 - NFSe: 3600</v>
      </c>
      <c r="H6151" t="str">
        <f t="shared" si="2841"/>
        <v>15/10/2025</v>
      </c>
      <c r="I6151" t="str">
        <f t="shared" si="2851"/>
        <v>14/10/2025</v>
      </c>
      <c r="J6151" t="str">
        <f t="shared" si="2850"/>
        <v>16/10/2025</v>
      </c>
      <c r="M6151">
        <v>303</v>
      </c>
      <c r="N6151" t="str">
        <f t="shared" si="2838"/>
        <v>RECEITAS COM ENTREGAS</v>
      </c>
      <c r="P6151">
        <v>119.7</v>
      </c>
      <c r="Q6151" t="str">
        <f>"DROGARIA MEDIC CENTER LTDA (10172)"</f>
        <v>DROGARIA MEDIC CENTER LTDA (10172)</v>
      </c>
      <c r="R6151" t="str">
        <f t="shared" si="2839"/>
        <v>RECEITAS COM ENTREGAS (303)</v>
      </c>
      <c r="S6151">
        <v>2733</v>
      </c>
      <c r="T6151">
        <v>2276</v>
      </c>
      <c r="U6151" t="s">
        <v>19</v>
      </c>
    </row>
    <row r="6152" spans="1:21">
      <c r="A6152" t="str">
        <f t="shared" si="2849"/>
        <v>16/10/2025</v>
      </c>
      <c r="B6152" t="str">
        <f t="shared" si="2840"/>
        <v>ENTRADA</v>
      </c>
      <c r="C6152" t="str">
        <f t="shared" si="2836"/>
        <v>NFSE</v>
      </c>
      <c r="D6152" t="str">
        <f>"3602"</f>
        <v>3602</v>
      </c>
      <c r="E6152" t="str">
        <f t="shared" si="2846"/>
        <v>COM</v>
      </c>
      <c r="F6152" t="str">
        <f>"DROGARIA MORENO LTDA (10171)"</f>
        <v>DROGARIA MORENO LTDA (10171)</v>
      </c>
      <c r="G6152" t="str">
        <f>"Serv.Prest. 06/10/2025 a 12/10/2025 - RPS: 1366 - NFSe: 3602"</f>
        <v>Serv.Prest. 06/10/2025 a 12/10/2025 - RPS: 1366 - NFSe: 3602</v>
      </c>
      <c r="H6152" t="str">
        <f t="shared" si="2841"/>
        <v>15/10/2025</v>
      </c>
      <c r="I6152" t="str">
        <f t="shared" si="2851"/>
        <v>14/10/2025</v>
      </c>
      <c r="J6152" t="str">
        <f t="shared" si="2850"/>
        <v>16/10/2025</v>
      </c>
      <c r="K6152">
        <v>377.1</v>
      </c>
      <c r="L6152">
        <v>377.1</v>
      </c>
      <c r="M6152">
        <v>303</v>
      </c>
      <c r="N6152" t="str">
        <f t="shared" si="2838"/>
        <v>RECEITAS COM ENTREGAS</v>
      </c>
      <c r="O6152">
        <v>377.1</v>
      </c>
      <c r="R6152" t="str">
        <f t="shared" si="2839"/>
        <v>RECEITAS COM ENTREGAS (303)</v>
      </c>
      <c r="S6152">
        <v>2734</v>
      </c>
      <c r="T6152">
        <v>2277</v>
      </c>
      <c r="U6152" t="s">
        <v>19</v>
      </c>
    </row>
    <row r="6153" spans="1:21">
      <c r="A6153" t="str">
        <f t="shared" si="2849"/>
        <v>16/10/2025</v>
      </c>
      <c r="B6153" t="str">
        <f t="shared" si="2840"/>
        <v>ENTRADA</v>
      </c>
      <c r="C6153" t="str">
        <f t="shared" si="2836"/>
        <v>NFSE</v>
      </c>
      <c r="D6153" t="str">
        <f>"3602"</f>
        <v>3602</v>
      </c>
      <c r="E6153" t="str">
        <f t="shared" si="2846"/>
        <v>COM</v>
      </c>
      <c r="F6153" t="str">
        <f>"DROGARIA MORENO LTDA (10171)"</f>
        <v>DROGARIA MORENO LTDA (10171)</v>
      </c>
      <c r="G6153" t="str">
        <f>"Serv.Prest. 06/10/2025 a 12/10/2025 - RPS: 1366 - NFSe: 3602"</f>
        <v>Serv.Prest. 06/10/2025 a 12/10/2025 - RPS: 1366 - NFSe: 3602</v>
      </c>
      <c r="H6153" t="str">
        <f t="shared" si="2841"/>
        <v>15/10/2025</v>
      </c>
      <c r="I6153" t="str">
        <f t="shared" si="2851"/>
        <v>14/10/2025</v>
      </c>
      <c r="J6153" t="str">
        <f t="shared" si="2850"/>
        <v>16/10/2025</v>
      </c>
      <c r="M6153">
        <v>303</v>
      </c>
      <c r="N6153" t="str">
        <f t="shared" si="2838"/>
        <v>RECEITAS COM ENTREGAS</v>
      </c>
      <c r="P6153">
        <v>377.1</v>
      </c>
      <c r="Q6153" t="str">
        <f>"DROGARIA MORENO LTDA (10171)"</f>
        <v>DROGARIA MORENO LTDA (10171)</v>
      </c>
      <c r="R6153" t="str">
        <f t="shared" si="2839"/>
        <v>RECEITAS COM ENTREGAS (303)</v>
      </c>
      <c r="S6153">
        <v>2734</v>
      </c>
      <c r="T6153">
        <v>2277</v>
      </c>
      <c r="U6153" t="s">
        <v>19</v>
      </c>
    </row>
    <row r="6154" spans="1:21">
      <c r="A6154" t="str">
        <f t="shared" si="2849"/>
        <v>16/10/2025</v>
      </c>
      <c r="B6154" t="str">
        <f t="shared" si="2840"/>
        <v>ENTRADA</v>
      </c>
      <c r="C6154" t="str">
        <f t="shared" si="2836"/>
        <v>NFSE</v>
      </c>
      <c r="D6154" t="str">
        <f>"3603"</f>
        <v>3603</v>
      </c>
      <c r="E6154" t="str">
        <f t="shared" si="2846"/>
        <v>COM</v>
      </c>
      <c r="F6154" t="str">
        <f>"JAL FARMACIA E DROGARIA LJ 1 (10137)"</f>
        <v>JAL FARMACIA E DROGARIA LJ 1 (10137)</v>
      </c>
      <c r="G6154" t="str">
        <f>"Serv.Prest. 06/10/2025 a 12/10/2025 - RPS: 1367 - NFSe: 3603"</f>
        <v>Serv.Prest. 06/10/2025 a 12/10/2025 - RPS: 1367 - NFSe: 3603</v>
      </c>
      <c r="H6154" t="str">
        <f t="shared" si="2841"/>
        <v>15/10/2025</v>
      </c>
      <c r="I6154" t="str">
        <f t="shared" si="2851"/>
        <v>14/10/2025</v>
      </c>
      <c r="J6154" t="str">
        <f t="shared" si="2850"/>
        <v>16/10/2025</v>
      </c>
      <c r="K6154">
        <v>497.6</v>
      </c>
      <c r="L6154">
        <v>497.6</v>
      </c>
      <c r="M6154">
        <v>303</v>
      </c>
      <c r="N6154" t="str">
        <f t="shared" si="2838"/>
        <v>RECEITAS COM ENTREGAS</v>
      </c>
      <c r="O6154">
        <v>497.6</v>
      </c>
      <c r="R6154" t="str">
        <f t="shared" si="2839"/>
        <v>RECEITAS COM ENTREGAS (303)</v>
      </c>
      <c r="S6154">
        <v>2735</v>
      </c>
      <c r="T6154">
        <v>2278</v>
      </c>
      <c r="U6154" t="s">
        <v>19</v>
      </c>
    </row>
    <row r="6155" spans="1:21">
      <c r="A6155" t="str">
        <f t="shared" si="2849"/>
        <v>16/10/2025</v>
      </c>
      <c r="B6155" t="str">
        <f t="shared" si="2840"/>
        <v>ENTRADA</v>
      </c>
      <c r="C6155" t="str">
        <f t="shared" si="2836"/>
        <v>NFSE</v>
      </c>
      <c r="D6155" t="str">
        <f>"3603"</f>
        <v>3603</v>
      </c>
      <c r="E6155" t="str">
        <f t="shared" si="2846"/>
        <v>COM</v>
      </c>
      <c r="F6155" t="str">
        <f>"JAL FARMACIA E DROGARIA LJ 1 (10137)"</f>
        <v>JAL FARMACIA E DROGARIA LJ 1 (10137)</v>
      </c>
      <c r="G6155" t="str">
        <f>"Serv.Prest. 06/10/2025 a 12/10/2025 - RPS: 1367 - NFSe: 3603"</f>
        <v>Serv.Prest. 06/10/2025 a 12/10/2025 - RPS: 1367 - NFSe: 3603</v>
      </c>
      <c r="H6155" t="str">
        <f t="shared" si="2841"/>
        <v>15/10/2025</v>
      </c>
      <c r="I6155" t="str">
        <f t="shared" si="2851"/>
        <v>14/10/2025</v>
      </c>
      <c r="J6155" t="str">
        <f t="shared" si="2850"/>
        <v>16/10/2025</v>
      </c>
      <c r="M6155">
        <v>303</v>
      </c>
      <c r="N6155" t="str">
        <f t="shared" si="2838"/>
        <v>RECEITAS COM ENTREGAS</v>
      </c>
      <c r="P6155">
        <v>497.6</v>
      </c>
      <c r="Q6155" t="str">
        <f>"JAL FARMACIA E DROGARIA LJ 1 (10137)"</f>
        <v>JAL FARMACIA E DROGARIA LJ 1 (10137)</v>
      </c>
      <c r="R6155" t="str">
        <f t="shared" si="2839"/>
        <v>RECEITAS COM ENTREGAS (303)</v>
      </c>
      <c r="S6155">
        <v>2735</v>
      </c>
      <c r="T6155">
        <v>2278</v>
      </c>
      <c r="U6155" t="s">
        <v>19</v>
      </c>
    </row>
    <row r="6156" spans="1:21">
      <c r="A6156" t="str">
        <f t="shared" si="2849"/>
        <v>16/10/2025</v>
      </c>
      <c r="B6156" t="str">
        <f t="shared" ref="B6156:B6164" si="2852">"SAÍDA"</f>
        <v>SAÍDA</v>
      </c>
      <c r="C6156" t="str">
        <f>"JUROS"</f>
        <v>JUROS</v>
      </c>
      <c r="D6156" t="str">
        <f>""</f>
        <v/>
      </c>
      <c r="E6156" t="str">
        <f>"CXA"</f>
        <v>CXA</v>
      </c>
      <c r="F6156" t="str">
        <f>""</f>
        <v/>
      </c>
      <c r="G6156" t="str">
        <f>"TARIFA"</f>
        <v>TARIFA</v>
      </c>
      <c r="H6156" t="str">
        <f t="shared" ref="H6156:I6164" si="2853">("16/10/2025")</f>
        <v>16/10/2025</v>
      </c>
      <c r="I6156" t="str">
        <f t="shared" si="2853"/>
        <v>16/10/2025</v>
      </c>
      <c r="J6156" t="str">
        <f t="shared" si="2850"/>
        <v>16/10/2025</v>
      </c>
      <c r="K6156">
        <v>5.0999999999999996</v>
      </c>
      <c r="L6156">
        <v>5.0999999999999996</v>
      </c>
      <c r="M6156">
        <v>401</v>
      </c>
      <c r="N6156" t="str">
        <f>"IOF/JUROS/DESP.FINANCEIRA"</f>
        <v>IOF/JUROS/DESP.FINANCEIRA</v>
      </c>
      <c r="O6156">
        <v>5.0999999999999996</v>
      </c>
      <c r="R6156" t="str">
        <f t="shared" ref="R6156:R6164" si="2854">"BANCO CORA (102)"</f>
        <v>BANCO CORA (102)</v>
      </c>
      <c r="S6156">
        <v>2739</v>
      </c>
      <c r="T6156">
        <v>0</v>
      </c>
      <c r="U6156" t="s">
        <v>20</v>
      </c>
    </row>
    <row r="6157" spans="1:21">
      <c r="A6157" t="str">
        <f t="shared" si="2849"/>
        <v>16/10/2025</v>
      </c>
      <c r="B6157" t="str">
        <f t="shared" si="2852"/>
        <v>SAÍDA</v>
      </c>
      <c r="C6157" t="str">
        <f t="shared" ref="C6157:C6164" si="2855">"PIX"</f>
        <v>PIX</v>
      </c>
      <c r="D6157" t="str">
        <f t="shared" ref="D6157:D6164" si="2856">"16102025"</f>
        <v>16102025</v>
      </c>
      <c r="E6157" t="str">
        <f t="shared" ref="E6157:E6177" si="2857">"COM"</f>
        <v>COM</v>
      </c>
      <c r="F6157" t="str">
        <f>"LILIANE DE FATIMA REZENDE JUSTINO (20013)"</f>
        <v>LILIANE DE FATIMA REZENDE JUSTINO (20013)</v>
      </c>
      <c r="G6157" t="str">
        <f>"DISTRIBUIÇÃO DE LUCROS"</f>
        <v>DISTRIBUIÇÃO DE LUCROS</v>
      </c>
      <c r="H6157" t="str">
        <f t="shared" si="2853"/>
        <v>16/10/2025</v>
      </c>
      <c r="I6157" t="str">
        <f t="shared" si="2853"/>
        <v>16/10/2025</v>
      </c>
      <c r="J6157" t="str">
        <f t="shared" si="2850"/>
        <v>16/10/2025</v>
      </c>
      <c r="K6157">
        <v>11666.66</v>
      </c>
      <c r="L6157">
        <v>11666.66</v>
      </c>
      <c r="M6157">
        <v>125</v>
      </c>
      <c r="N6157" t="str">
        <f>"DISTRIBUIÇÃO DE LUCRO"</f>
        <v>DISTRIBUIÇÃO DE LUCRO</v>
      </c>
      <c r="O6157">
        <v>11666.66</v>
      </c>
      <c r="R6157" t="str">
        <f t="shared" si="2854"/>
        <v>BANCO CORA (102)</v>
      </c>
      <c r="S6157">
        <v>3163</v>
      </c>
      <c r="T6157">
        <v>2752</v>
      </c>
      <c r="U6157" t="s">
        <v>19</v>
      </c>
    </row>
    <row r="6158" spans="1:21">
      <c r="A6158" t="str">
        <f t="shared" si="2849"/>
        <v>16/10/2025</v>
      </c>
      <c r="B6158" t="str">
        <f t="shared" si="2852"/>
        <v>SAÍDA</v>
      </c>
      <c r="C6158" t="str">
        <f t="shared" si="2855"/>
        <v>PIX</v>
      </c>
      <c r="D6158" t="str">
        <f t="shared" si="2856"/>
        <v>16102025</v>
      </c>
      <c r="E6158" t="str">
        <f t="shared" si="2857"/>
        <v>COM</v>
      </c>
      <c r="F6158" t="str">
        <f>"LILIANE DE FATIMA REZENDE JUSTINO (20013)"</f>
        <v>LILIANE DE FATIMA REZENDE JUSTINO (20013)</v>
      </c>
      <c r="G6158" t="str">
        <f>"DISTRIBUIÇÃO DE LUCROS"</f>
        <v>DISTRIBUIÇÃO DE LUCROS</v>
      </c>
      <c r="H6158" t="str">
        <f t="shared" si="2853"/>
        <v>16/10/2025</v>
      </c>
      <c r="I6158" t="str">
        <f t="shared" si="2853"/>
        <v>16/10/2025</v>
      </c>
      <c r="J6158" t="str">
        <f t="shared" si="2850"/>
        <v>16/10/2025</v>
      </c>
      <c r="M6158">
        <v>125</v>
      </c>
      <c r="N6158" t="str">
        <f>"DISTRIBUIÇÃO DE LUCRO"</f>
        <v>DISTRIBUIÇÃO DE LUCRO</v>
      </c>
      <c r="P6158">
        <v>11666.66</v>
      </c>
      <c r="Q6158" t="str">
        <f>"LILIANE DE FATIMA REZENDE JUSTINO (20013)"</f>
        <v>LILIANE DE FATIMA REZENDE JUSTINO (20013)</v>
      </c>
      <c r="R6158" t="str">
        <f t="shared" si="2854"/>
        <v>BANCO CORA (102)</v>
      </c>
      <c r="S6158">
        <v>3163</v>
      </c>
      <c r="T6158">
        <v>2752</v>
      </c>
      <c r="U6158" t="s">
        <v>19</v>
      </c>
    </row>
    <row r="6159" spans="1:21">
      <c r="A6159" t="str">
        <f t="shared" si="2849"/>
        <v>16/10/2025</v>
      </c>
      <c r="B6159" t="str">
        <f t="shared" si="2852"/>
        <v>SAÍDA</v>
      </c>
      <c r="C6159" t="str">
        <f t="shared" si="2855"/>
        <v>PIX</v>
      </c>
      <c r="D6159" t="str">
        <f t="shared" si="2856"/>
        <v>16102025</v>
      </c>
      <c r="E6159" t="str">
        <f t="shared" si="2857"/>
        <v>COM</v>
      </c>
      <c r="F6159" t="str">
        <f>"YURI RODRIGUES OLIVEIRA (20064)"</f>
        <v>YURI RODRIGUES OLIVEIRA (20064)</v>
      </c>
      <c r="G6159" t="str">
        <f>"COMISSAO VENDAS SETUP"</f>
        <v>COMISSAO VENDAS SETUP</v>
      </c>
      <c r="H6159" t="str">
        <f t="shared" si="2853"/>
        <v>16/10/2025</v>
      </c>
      <c r="I6159" t="str">
        <f t="shared" si="2853"/>
        <v>16/10/2025</v>
      </c>
      <c r="J6159" t="str">
        <f t="shared" si="2850"/>
        <v>16/10/2025</v>
      </c>
      <c r="K6159">
        <v>1350</v>
      </c>
      <c r="L6159">
        <v>1350</v>
      </c>
      <c r="M6159">
        <v>126</v>
      </c>
      <c r="N6159" t="str">
        <f>"COMISSÕES DE REPRESENTANTES"</f>
        <v>COMISSÕES DE REPRESENTANTES</v>
      </c>
      <c r="O6159">
        <v>1350</v>
      </c>
      <c r="R6159" t="str">
        <f t="shared" si="2854"/>
        <v>BANCO CORA (102)</v>
      </c>
      <c r="S6159">
        <v>3164</v>
      </c>
      <c r="T6159">
        <v>2753</v>
      </c>
      <c r="U6159" t="s">
        <v>19</v>
      </c>
    </row>
    <row r="6160" spans="1:21">
      <c r="A6160" t="str">
        <f t="shared" si="2849"/>
        <v>16/10/2025</v>
      </c>
      <c r="B6160" t="str">
        <f t="shared" si="2852"/>
        <v>SAÍDA</v>
      </c>
      <c r="C6160" t="str">
        <f t="shared" si="2855"/>
        <v>PIX</v>
      </c>
      <c r="D6160" t="str">
        <f t="shared" si="2856"/>
        <v>16102025</v>
      </c>
      <c r="E6160" t="str">
        <f t="shared" si="2857"/>
        <v>COM</v>
      </c>
      <c r="F6160" t="str">
        <f>"YURI RODRIGUES OLIVEIRA (20064)"</f>
        <v>YURI RODRIGUES OLIVEIRA (20064)</v>
      </c>
      <c r="G6160" t="str">
        <f>"COMISSAO VENDAS SETUP"</f>
        <v>COMISSAO VENDAS SETUP</v>
      </c>
      <c r="H6160" t="str">
        <f t="shared" si="2853"/>
        <v>16/10/2025</v>
      </c>
      <c r="I6160" t="str">
        <f t="shared" si="2853"/>
        <v>16/10/2025</v>
      </c>
      <c r="J6160" t="str">
        <f t="shared" si="2850"/>
        <v>16/10/2025</v>
      </c>
      <c r="M6160">
        <v>126</v>
      </c>
      <c r="N6160" t="str">
        <f>"COMISSÕES DE REPRESENTANTES"</f>
        <v>COMISSÕES DE REPRESENTANTES</v>
      </c>
      <c r="P6160">
        <v>1350</v>
      </c>
      <c r="Q6160" t="str">
        <f>"YURI RODRIGUES OLIVEIRA (20064)"</f>
        <v>YURI RODRIGUES OLIVEIRA (20064)</v>
      </c>
      <c r="R6160" t="str">
        <f t="shared" si="2854"/>
        <v>BANCO CORA (102)</v>
      </c>
      <c r="S6160">
        <v>3164</v>
      </c>
      <c r="T6160">
        <v>2753</v>
      </c>
      <c r="U6160" t="s">
        <v>19</v>
      </c>
    </row>
    <row r="6161" spans="1:21">
      <c r="A6161" t="str">
        <f t="shared" si="2849"/>
        <v>16/10/2025</v>
      </c>
      <c r="B6161" t="str">
        <f t="shared" si="2852"/>
        <v>SAÍDA</v>
      </c>
      <c r="C6161" t="str">
        <f t="shared" si="2855"/>
        <v>PIX</v>
      </c>
      <c r="D6161" t="str">
        <f t="shared" si="2856"/>
        <v>16102025</v>
      </c>
      <c r="E6161" t="str">
        <f t="shared" si="2857"/>
        <v>COM</v>
      </c>
      <c r="F6161" t="str">
        <f>"MAYKON NUNES DA SILVA (20085)"</f>
        <v>MAYKON NUNES DA SILVA (20085)</v>
      </c>
      <c r="G6161" t="str">
        <f>"COMISSAO VENDA SETUP"</f>
        <v>COMISSAO VENDA SETUP</v>
      </c>
      <c r="H6161" t="str">
        <f t="shared" si="2853"/>
        <v>16/10/2025</v>
      </c>
      <c r="I6161" t="str">
        <f t="shared" si="2853"/>
        <v>16/10/2025</v>
      </c>
      <c r="J6161" t="str">
        <f t="shared" si="2850"/>
        <v>16/10/2025</v>
      </c>
      <c r="K6161">
        <v>1350</v>
      </c>
      <c r="L6161">
        <v>1350</v>
      </c>
      <c r="M6161">
        <v>126</v>
      </c>
      <c r="N6161" t="str">
        <f>"COMISSÕES DE REPRESENTANTES"</f>
        <v>COMISSÕES DE REPRESENTANTES</v>
      </c>
      <c r="O6161">
        <v>1350</v>
      </c>
      <c r="R6161" t="str">
        <f t="shared" si="2854"/>
        <v>BANCO CORA (102)</v>
      </c>
      <c r="S6161">
        <v>3165</v>
      </c>
      <c r="T6161">
        <v>2754</v>
      </c>
      <c r="U6161" t="s">
        <v>19</v>
      </c>
    </row>
    <row r="6162" spans="1:21">
      <c r="A6162" t="str">
        <f t="shared" si="2849"/>
        <v>16/10/2025</v>
      </c>
      <c r="B6162" t="str">
        <f t="shared" si="2852"/>
        <v>SAÍDA</v>
      </c>
      <c r="C6162" t="str">
        <f t="shared" si="2855"/>
        <v>PIX</v>
      </c>
      <c r="D6162" t="str">
        <f t="shared" si="2856"/>
        <v>16102025</v>
      </c>
      <c r="E6162" t="str">
        <f t="shared" si="2857"/>
        <v>COM</v>
      </c>
      <c r="F6162" t="str">
        <f>"MAYKON NUNES DA SILVA (20085)"</f>
        <v>MAYKON NUNES DA SILVA (20085)</v>
      </c>
      <c r="G6162" t="str">
        <f>"COMISSAO VENDA SETUP"</f>
        <v>COMISSAO VENDA SETUP</v>
      </c>
      <c r="H6162" t="str">
        <f t="shared" si="2853"/>
        <v>16/10/2025</v>
      </c>
      <c r="I6162" t="str">
        <f t="shared" si="2853"/>
        <v>16/10/2025</v>
      </c>
      <c r="J6162" t="str">
        <f t="shared" si="2850"/>
        <v>16/10/2025</v>
      </c>
      <c r="M6162">
        <v>126</v>
      </c>
      <c r="N6162" t="str">
        <f>"COMISSÕES DE REPRESENTANTES"</f>
        <v>COMISSÕES DE REPRESENTANTES</v>
      </c>
      <c r="P6162">
        <v>1350</v>
      </c>
      <c r="Q6162" t="str">
        <f>"MAYKON NUNES DA SILVA (20085)"</f>
        <v>MAYKON NUNES DA SILVA (20085)</v>
      </c>
      <c r="R6162" t="str">
        <f t="shared" si="2854"/>
        <v>BANCO CORA (102)</v>
      </c>
      <c r="S6162">
        <v>3165</v>
      </c>
      <c r="T6162">
        <v>2754</v>
      </c>
      <c r="U6162" t="s">
        <v>19</v>
      </c>
    </row>
    <row r="6163" spans="1:21">
      <c r="A6163" t="str">
        <f t="shared" si="2849"/>
        <v>16/10/2025</v>
      </c>
      <c r="B6163" t="str">
        <f t="shared" si="2852"/>
        <v>SAÍDA</v>
      </c>
      <c r="C6163" t="str">
        <f t="shared" si="2855"/>
        <v>PIX</v>
      </c>
      <c r="D6163" t="str">
        <f t="shared" si="2856"/>
        <v>16102025</v>
      </c>
      <c r="E6163" t="str">
        <f t="shared" si="2857"/>
        <v>COM</v>
      </c>
      <c r="F6163" t="str">
        <f>"SERASA S.A. (20034)"</f>
        <v>SERASA S.A. (20034)</v>
      </c>
      <c r="G6163" t="str">
        <f>"DESPESAS COM CONSULTA DE CNPJ/CPF"</f>
        <v>DESPESAS COM CONSULTA DE CNPJ/CPF</v>
      </c>
      <c r="H6163" t="str">
        <f t="shared" si="2853"/>
        <v>16/10/2025</v>
      </c>
      <c r="I6163" t="str">
        <f t="shared" si="2853"/>
        <v>16/10/2025</v>
      </c>
      <c r="J6163" t="str">
        <f t="shared" si="2850"/>
        <v>16/10/2025</v>
      </c>
      <c r="K6163">
        <v>64.989999999999995</v>
      </c>
      <c r="L6163">
        <v>64.989999999999995</v>
      </c>
      <c r="M6163">
        <v>111</v>
      </c>
      <c r="N6163" t="str">
        <f>"OUTRAS DESPESAS / TAXAS"</f>
        <v>OUTRAS DESPESAS / TAXAS</v>
      </c>
      <c r="O6163">
        <v>64.989999999999995</v>
      </c>
      <c r="R6163" t="str">
        <f t="shared" si="2854"/>
        <v>BANCO CORA (102)</v>
      </c>
      <c r="S6163">
        <v>3166</v>
      </c>
      <c r="T6163">
        <v>2757</v>
      </c>
      <c r="U6163" t="s">
        <v>19</v>
      </c>
    </row>
    <row r="6164" spans="1:21">
      <c r="A6164" t="str">
        <f t="shared" si="2849"/>
        <v>16/10/2025</v>
      </c>
      <c r="B6164" t="str">
        <f t="shared" si="2852"/>
        <v>SAÍDA</v>
      </c>
      <c r="C6164" t="str">
        <f t="shared" si="2855"/>
        <v>PIX</v>
      </c>
      <c r="D6164" t="str">
        <f t="shared" si="2856"/>
        <v>16102025</v>
      </c>
      <c r="E6164" t="str">
        <f t="shared" si="2857"/>
        <v>COM</v>
      </c>
      <c r="F6164" t="str">
        <f>"SERASA S.A. (20034)"</f>
        <v>SERASA S.A. (20034)</v>
      </c>
      <c r="G6164" t="str">
        <f>"DESPESAS COM CONSULTA DE CNPJ/CPF"</f>
        <v>DESPESAS COM CONSULTA DE CNPJ/CPF</v>
      </c>
      <c r="H6164" t="str">
        <f t="shared" si="2853"/>
        <v>16/10/2025</v>
      </c>
      <c r="I6164" t="str">
        <f t="shared" si="2853"/>
        <v>16/10/2025</v>
      </c>
      <c r="J6164" t="str">
        <f t="shared" si="2850"/>
        <v>16/10/2025</v>
      </c>
      <c r="M6164">
        <v>111</v>
      </c>
      <c r="N6164" t="str">
        <f>"OUTRAS DESPESAS / TAXAS"</f>
        <v>OUTRAS DESPESAS / TAXAS</v>
      </c>
      <c r="P6164">
        <v>64.989999999999995</v>
      </c>
      <c r="Q6164" t="str">
        <f>"SERASA S.A. (20034)"</f>
        <v>SERASA S.A. (20034)</v>
      </c>
      <c r="R6164" t="str">
        <f t="shared" si="2854"/>
        <v>BANCO CORA (102)</v>
      </c>
      <c r="S6164">
        <v>3166</v>
      </c>
      <c r="T6164">
        <v>2757</v>
      </c>
      <c r="U6164" t="s">
        <v>19</v>
      </c>
    </row>
    <row r="6165" spans="1:21">
      <c r="A6165" t="str">
        <f t="shared" si="2849"/>
        <v>16/10/2025</v>
      </c>
      <c r="B6165" t="str">
        <f>"ENTRADA"</f>
        <v>ENTRADA</v>
      </c>
      <c r="C6165" t="str">
        <f t="shared" ref="C6165:C6170" si="2858">"NFSE"</f>
        <v>NFSE</v>
      </c>
      <c r="D6165" t="str">
        <f>"3595"</f>
        <v>3595</v>
      </c>
      <c r="E6165" t="str">
        <f t="shared" si="2857"/>
        <v>COM</v>
      </c>
      <c r="F6165" t="str">
        <f>"DROGA ELIDA (10121)"</f>
        <v>DROGA ELIDA (10121)</v>
      </c>
      <c r="G6165" t="str">
        <f>"Serv.Prest. 06/10/2025 a 12/10/2025 - RPS: 1359 - NFSe: 3595"</f>
        <v>Serv.Prest. 06/10/2025 a 12/10/2025 - RPS: 1359 - NFSe: 3595</v>
      </c>
      <c r="H6165" t="str">
        <f>("15/10/2025")</f>
        <v>15/10/2025</v>
      </c>
      <c r="I6165" t="str">
        <f>("13/10/2025")</f>
        <v>13/10/2025</v>
      </c>
      <c r="J6165" t="str">
        <f t="shared" si="2850"/>
        <v>16/10/2025</v>
      </c>
      <c r="K6165">
        <v>350.4</v>
      </c>
      <c r="L6165">
        <v>350.4</v>
      </c>
      <c r="M6165">
        <v>303</v>
      </c>
      <c r="N6165" t="str">
        <f t="shared" ref="N6165:N6170" si="2859">"RECEITAS COM ENTREGAS"</f>
        <v>RECEITAS COM ENTREGAS</v>
      </c>
      <c r="O6165">
        <v>350.4</v>
      </c>
      <c r="R6165" t="str">
        <f t="shared" ref="R6165:R6170" si="2860">"RECEITAS COM ENTREGAS (303)"</f>
        <v>RECEITAS COM ENTREGAS (303)</v>
      </c>
      <c r="S6165">
        <v>3167</v>
      </c>
      <c r="T6165">
        <v>2270</v>
      </c>
      <c r="U6165" t="s">
        <v>19</v>
      </c>
    </row>
    <row r="6166" spans="1:21">
      <c r="A6166" t="str">
        <f t="shared" si="2849"/>
        <v>16/10/2025</v>
      </c>
      <c r="B6166" t="str">
        <f t="shared" ref="B6166:B6170" si="2861">"ENTRADA"</f>
        <v>ENTRADA</v>
      </c>
      <c r="C6166" t="str">
        <f t="shared" si="2858"/>
        <v>NFSE</v>
      </c>
      <c r="D6166" t="str">
        <f>"3595"</f>
        <v>3595</v>
      </c>
      <c r="E6166" t="str">
        <f t="shared" si="2857"/>
        <v>COM</v>
      </c>
      <c r="F6166" t="str">
        <f>"DROGA ELIDA (10121)"</f>
        <v>DROGA ELIDA (10121)</v>
      </c>
      <c r="G6166" t="str">
        <f>"Serv.Prest. 06/10/2025 a 12/10/2025 - RPS: 1359 - NFSe: 3595"</f>
        <v>Serv.Prest. 06/10/2025 a 12/10/2025 - RPS: 1359 - NFSe: 3595</v>
      </c>
      <c r="H6166" t="str">
        <f>("15/10/2025")</f>
        <v>15/10/2025</v>
      </c>
      <c r="I6166" t="str">
        <f>("13/10/2025")</f>
        <v>13/10/2025</v>
      </c>
      <c r="J6166" t="str">
        <f t="shared" si="2850"/>
        <v>16/10/2025</v>
      </c>
      <c r="M6166">
        <v>303</v>
      </c>
      <c r="N6166" t="str">
        <f t="shared" si="2859"/>
        <v>RECEITAS COM ENTREGAS</v>
      </c>
      <c r="P6166">
        <v>350.4</v>
      </c>
      <c r="Q6166" t="str">
        <f>"DROGA ELIDA (10121)"</f>
        <v>DROGA ELIDA (10121)</v>
      </c>
      <c r="R6166" t="str">
        <f t="shared" si="2860"/>
        <v>RECEITAS COM ENTREGAS (303)</v>
      </c>
      <c r="S6166">
        <v>3167</v>
      </c>
      <c r="T6166">
        <v>2270</v>
      </c>
      <c r="U6166" t="s">
        <v>19</v>
      </c>
    </row>
    <row r="6167" spans="1:21">
      <c r="A6167" t="str">
        <f>("17/10/2025")</f>
        <v>17/10/2025</v>
      </c>
      <c r="B6167" t="str">
        <f t="shared" si="2861"/>
        <v>ENTRADA</v>
      </c>
      <c r="C6167" t="str">
        <f t="shared" si="2858"/>
        <v>NFSE</v>
      </c>
      <c r="D6167" t="str">
        <f>"3592"</f>
        <v>3592</v>
      </c>
      <c r="E6167" t="str">
        <f t="shared" si="2857"/>
        <v>COM</v>
      </c>
      <c r="F6167" t="str">
        <f>"DROGARIA TOTAL JUNDIAI (10177)"</f>
        <v>DROGARIA TOTAL JUNDIAI (10177)</v>
      </c>
      <c r="G6167" t="str">
        <f>"Serv.Prest. 06/10/2025 a 12/10/2025 - RPS: 1356 - NFSe: 3592"</f>
        <v>Serv.Prest. 06/10/2025 a 12/10/2025 - RPS: 1356 - NFSe: 3592</v>
      </c>
      <c r="H6167" t="str">
        <f>("17/10/2025")</f>
        <v>17/10/2025</v>
      </c>
      <c r="I6167" t="str">
        <f>("13/10/2025")</f>
        <v>13/10/2025</v>
      </c>
      <c r="J6167" t="str">
        <f>("17/10/2025")</f>
        <v>17/10/2025</v>
      </c>
      <c r="K6167">
        <v>100.27</v>
      </c>
      <c r="L6167">
        <v>100.27</v>
      </c>
      <c r="M6167">
        <v>303</v>
      </c>
      <c r="N6167" t="str">
        <f t="shared" si="2859"/>
        <v>RECEITAS COM ENTREGAS</v>
      </c>
      <c r="O6167">
        <v>100.27</v>
      </c>
      <c r="R6167" t="str">
        <f t="shared" si="2860"/>
        <v>RECEITAS COM ENTREGAS (303)</v>
      </c>
      <c r="S6167">
        <v>2738</v>
      </c>
      <c r="T6167">
        <v>2267</v>
      </c>
      <c r="U6167" t="s">
        <v>19</v>
      </c>
    </row>
    <row r="6168" spans="1:21">
      <c r="A6168" t="str">
        <f>("17/10/2025")</f>
        <v>17/10/2025</v>
      </c>
      <c r="B6168" t="str">
        <f t="shared" si="2861"/>
        <v>ENTRADA</v>
      </c>
      <c r="C6168" t="str">
        <f t="shared" si="2858"/>
        <v>NFSE</v>
      </c>
      <c r="D6168" t="str">
        <f>"3592"</f>
        <v>3592</v>
      </c>
      <c r="E6168" t="str">
        <f t="shared" si="2857"/>
        <v>COM</v>
      </c>
      <c r="F6168" t="str">
        <f>"DROGARIA TOTAL JUNDIAI (10177)"</f>
        <v>DROGARIA TOTAL JUNDIAI (10177)</v>
      </c>
      <c r="G6168" t="str">
        <f>"Serv.Prest. 06/10/2025 a 12/10/2025 - RPS: 1356 - NFSe: 3592"</f>
        <v>Serv.Prest. 06/10/2025 a 12/10/2025 - RPS: 1356 - NFSe: 3592</v>
      </c>
      <c r="H6168" t="str">
        <f>("17/10/2025")</f>
        <v>17/10/2025</v>
      </c>
      <c r="I6168" t="str">
        <f>("13/10/2025")</f>
        <v>13/10/2025</v>
      </c>
      <c r="J6168" t="str">
        <f>("17/10/2025")</f>
        <v>17/10/2025</v>
      </c>
      <c r="M6168">
        <v>303</v>
      </c>
      <c r="N6168" t="str">
        <f t="shared" si="2859"/>
        <v>RECEITAS COM ENTREGAS</v>
      </c>
      <c r="P6168">
        <v>100.27</v>
      </c>
      <c r="Q6168" t="str">
        <f>"DROGARIA TOTAL JUNDIAI (10177)"</f>
        <v>DROGARIA TOTAL JUNDIAI (10177)</v>
      </c>
      <c r="R6168" t="str">
        <f t="shared" si="2860"/>
        <v>RECEITAS COM ENTREGAS (303)</v>
      </c>
      <c r="S6168">
        <v>2738</v>
      </c>
      <c r="T6168">
        <v>2267</v>
      </c>
      <c r="U6168" t="s">
        <v>19</v>
      </c>
    </row>
    <row r="6169" spans="1:21">
      <c r="A6169" t="str">
        <f>("17/10/2025")</f>
        <v>17/10/2025</v>
      </c>
      <c r="B6169" t="str">
        <f t="shared" si="2861"/>
        <v>ENTRADA</v>
      </c>
      <c r="C6169" t="str">
        <f t="shared" si="2858"/>
        <v>NFSE</v>
      </c>
      <c r="D6169" t="str">
        <f>"3616"</f>
        <v>3616</v>
      </c>
      <c r="E6169" t="str">
        <f t="shared" si="2857"/>
        <v>COM</v>
      </c>
      <c r="F6169" t="str">
        <f>"FARMACIA ECONOMIZE (10103)"</f>
        <v>FARMACIA ECONOMIZE (10103)</v>
      </c>
      <c r="G6169" t="str">
        <f>"Serv.Prest. 06/10/2025 a 12/10/2025 - RPS: 1380 - NFSe: 3616"</f>
        <v>Serv.Prest. 06/10/2025 a 12/10/2025 - RPS: 1380 - NFSe: 3616</v>
      </c>
      <c r="H6169" t="str">
        <f>("16/10/2025")</f>
        <v>16/10/2025</v>
      </c>
      <c r="I6169" t="str">
        <f>("14/10/2025")</f>
        <v>14/10/2025</v>
      </c>
      <c r="J6169" t="str">
        <f>("17/10/2025")</f>
        <v>17/10/2025</v>
      </c>
      <c r="K6169">
        <v>23.04</v>
      </c>
      <c r="L6169">
        <v>23.5</v>
      </c>
      <c r="M6169">
        <v>303</v>
      </c>
      <c r="N6169" t="str">
        <f t="shared" si="2859"/>
        <v>RECEITAS COM ENTREGAS</v>
      </c>
      <c r="O6169">
        <v>23.5</v>
      </c>
      <c r="R6169" t="str">
        <f t="shared" si="2860"/>
        <v>RECEITAS COM ENTREGAS (303)</v>
      </c>
      <c r="S6169">
        <v>3168</v>
      </c>
      <c r="T6169">
        <v>2291</v>
      </c>
      <c r="U6169" t="s">
        <v>19</v>
      </c>
    </row>
    <row r="6170" spans="1:21">
      <c r="A6170" t="str">
        <f>("17/10/2025")</f>
        <v>17/10/2025</v>
      </c>
      <c r="B6170" t="str">
        <f t="shared" si="2861"/>
        <v>ENTRADA</v>
      </c>
      <c r="C6170" t="str">
        <f t="shared" si="2858"/>
        <v>NFSE</v>
      </c>
      <c r="D6170" t="str">
        <f>"3616"</f>
        <v>3616</v>
      </c>
      <c r="E6170" t="str">
        <f t="shared" si="2857"/>
        <v>COM</v>
      </c>
      <c r="F6170" t="str">
        <f>"FARMACIA ECONOMIZE (10103)"</f>
        <v>FARMACIA ECONOMIZE (10103)</v>
      </c>
      <c r="G6170" t="str">
        <f>"Serv.Prest. 06/10/2025 a 12/10/2025 - RPS: 1380 - NFSe: 3616"</f>
        <v>Serv.Prest. 06/10/2025 a 12/10/2025 - RPS: 1380 - NFSe: 3616</v>
      </c>
      <c r="H6170" t="str">
        <f>("16/10/2025")</f>
        <v>16/10/2025</v>
      </c>
      <c r="I6170" t="str">
        <f>("14/10/2025")</f>
        <v>14/10/2025</v>
      </c>
      <c r="J6170" t="str">
        <f>("17/10/2025")</f>
        <v>17/10/2025</v>
      </c>
      <c r="M6170">
        <v>303</v>
      </c>
      <c r="N6170" t="str">
        <f t="shared" si="2859"/>
        <v>RECEITAS COM ENTREGAS</v>
      </c>
      <c r="P6170">
        <v>23.5</v>
      </c>
      <c r="Q6170" t="str">
        <f>"FARMACIA ECONOMIZE (10103)"</f>
        <v>FARMACIA ECONOMIZE (10103)</v>
      </c>
      <c r="R6170" t="str">
        <f t="shared" si="2860"/>
        <v>RECEITAS COM ENTREGAS (303)</v>
      </c>
      <c r="S6170">
        <v>3168</v>
      </c>
      <c r="T6170">
        <v>2291</v>
      </c>
      <c r="U6170" t="s">
        <v>19</v>
      </c>
    </row>
    <row r="6171" spans="1:21">
      <c r="A6171" t="str">
        <f t="shared" ref="A6171:A6181" si="2862">("20/10/2025")</f>
        <v>20/10/2025</v>
      </c>
      <c r="B6171" t="str">
        <f>"SAÍDA"</f>
        <v>SAÍDA</v>
      </c>
      <c r="C6171" t="str">
        <f>"BOLETO"</f>
        <v>BOLETO</v>
      </c>
      <c r="D6171" t="str">
        <f>"071625266292509"</f>
        <v>071625266292509</v>
      </c>
      <c r="E6171" t="str">
        <f t="shared" si="2857"/>
        <v>COM</v>
      </c>
      <c r="F6171" t="str">
        <f>"MINISTERIO DA FAZENDA (20009)"</f>
        <v>MINISTERIO DA FAZENDA (20009)</v>
      </c>
      <c r="G6171" t="str">
        <f>"INSS SOBRE PROLABORE"</f>
        <v>INSS SOBRE PROLABORE</v>
      </c>
      <c r="H6171" t="str">
        <f>("20/10/2025")</f>
        <v>20/10/2025</v>
      </c>
      <c r="I6171" t="str">
        <f>("23/09/2025")</f>
        <v>23/09/2025</v>
      </c>
      <c r="J6171" t="str">
        <f t="shared" ref="J6171:J6181" si="2863">("20/10/2025")</f>
        <v>20/10/2025</v>
      </c>
      <c r="K6171">
        <v>333.96</v>
      </c>
      <c r="L6171">
        <v>333.96</v>
      </c>
      <c r="M6171">
        <v>112</v>
      </c>
      <c r="N6171" t="str">
        <f>"INSS - PRO-LABORE"</f>
        <v>INSS - PRO-LABORE</v>
      </c>
      <c r="O6171">
        <v>333.96</v>
      </c>
      <c r="R6171" t="str">
        <f>"BANCO CORA (102)"</f>
        <v>BANCO CORA (102)</v>
      </c>
      <c r="S6171">
        <v>2740</v>
      </c>
      <c r="T6171">
        <v>721</v>
      </c>
      <c r="U6171" t="s">
        <v>19</v>
      </c>
    </row>
    <row r="6172" spans="1:21">
      <c r="A6172" t="str">
        <f t="shared" si="2862"/>
        <v>20/10/2025</v>
      </c>
      <c r="B6172" t="str">
        <f>"SAÍDA"</f>
        <v>SAÍDA</v>
      </c>
      <c r="C6172" t="str">
        <f>"BOLETO"</f>
        <v>BOLETO</v>
      </c>
      <c r="D6172" t="str">
        <f>"072025290220014"</f>
        <v>072025290220014</v>
      </c>
      <c r="E6172" t="str">
        <f t="shared" si="2857"/>
        <v>COM</v>
      </c>
      <c r="F6172" t="str">
        <f>"MINISTERIO DA FAZENDA (20009)"</f>
        <v>MINISTERIO DA FAZENDA (20009)</v>
      </c>
      <c r="G6172" t="str">
        <f>"SIMPLES NACIONAL MES 09/2025"</f>
        <v>SIMPLES NACIONAL MES 09/2025</v>
      </c>
      <c r="H6172" t="str">
        <f>("20/10/2025")</f>
        <v>20/10/2025</v>
      </c>
      <c r="I6172" t="str">
        <f>("17/10/2025")</f>
        <v>17/10/2025</v>
      </c>
      <c r="J6172" t="str">
        <f t="shared" si="2863"/>
        <v>20/10/2025</v>
      </c>
      <c r="K6172">
        <v>18257.650000000001</v>
      </c>
      <c r="L6172">
        <v>18257.650000000001</v>
      </c>
      <c r="M6172">
        <v>144</v>
      </c>
      <c r="N6172" t="str">
        <f>"SIMPLES NACIONAL (DASN)"</f>
        <v>SIMPLES NACIONAL (DASN)</v>
      </c>
      <c r="O6172">
        <v>18257.650000000001</v>
      </c>
      <c r="R6172" t="str">
        <f>"BANCO CORA (102)"</f>
        <v>BANCO CORA (102)</v>
      </c>
      <c r="S6172">
        <v>2741</v>
      </c>
      <c r="T6172">
        <v>899</v>
      </c>
      <c r="U6172" t="s">
        <v>19</v>
      </c>
    </row>
    <row r="6173" spans="1:21">
      <c r="A6173" t="str">
        <f t="shared" si="2862"/>
        <v>20/10/2025</v>
      </c>
      <c r="B6173" t="str">
        <f>"SAÍDA"</f>
        <v>SAÍDA</v>
      </c>
      <c r="C6173" t="str">
        <f>"BOLETO"</f>
        <v>BOLETO</v>
      </c>
      <c r="D6173" t="str">
        <f>"2556"</f>
        <v>2556</v>
      </c>
      <c r="E6173" t="str">
        <f t="shared" si="2857"/>
        <v>COM</v>
      </c>
      <c r="F6173" t="str">
        <f>"INFINITY BRASIL LTDA (20020)"</f>
        <v>INFINITY BRASIL LTDA (20020)</v>
      </c>
      <c r="G6173" t="str">
        <f>"SERVIDOR FLUX FARMA PERÍODO 09/2025"</f>
        <v>SERVIDOR FLUX FARMA PERÍODO 09/2025</v>
      </c>
      <c r="H6173" t="str">
        <f>("20/10/2025")</f>
        <v>20/10/2025</v>
      </c>
      <c r="I6173" t="str">
        <f>("26/09/2025")</f>
        <v>26/09/2025</v>
      </c>
      <c r="J6173" t="str">
        <f t="shared" si="2863"/>
        <v>20/10/2025</v>
      </c>
      <c r="K6173">
        <v>579.36</v>
      </c>
      <c r="L6173">
        <v>579.36</v>
      </c>
      <c r="M6173">
        <v>104</v>
      </c>
      <c r="N6173" t="str">
        <f>"SOFTWARE / LICENÇAS"</f>
        <v>SOFTWARE / LICENÇAS</v>
      </c>
      <c r="O6173">
        <v>579.36</v>
      </c>
      <c r="R6173" t="str">
        <f>"BANCO CORA (102)"</f>
        <v>BANCO CORA (102)</v>
      </c>
      <c r="S6173">
        <v>2742</v>
      </c>
      <c r="T6173">
        <v>910</v>
      </c>
      <c r="U6173" t="s">
        <v>19</v>
      </c>
    </row>
    <row r="6174" spans="1:21">
      <c r="A6174" t="str">
        <f t="shared" si="2862"/>
        <v>20/10/2025</v>
      </c>
      <c r="B6174" t="str">
        <f>"ENTRADA"</f>
        <v>ENTRADA</v>
      </c>
      <c r="C6174" t="str">
        <f>"NFSE"</f>
        <v>NFSE</v>
      </c>
      <c r="D6174" t="str">
        <f>"3561"</f>
        <v>3561</v>
      </c>
      <c r="E6174" t="str">
        <f t="shared" si="2857"/>
        <v>COM</v>
      </c>
      <c r="F6174" t="str">
        <f>"PAGMENOS - LJ 608 (10135)"</f>
        <v>PAGMENOS - LJ 608 (10135)</v>
      </c>
      <c r="G6174" t="str">
        <f>"Serv.Prest. 29/09/2025 a 05/10/2025 - RPS: 1325 - NFSe: 3561"</f>
        <v>Serv.Prest. 29/09/2025 a 05/10/2025 - RPS: 1325 - NFSe: 3561</v>
      </c>
      <c r="H6174" t="str">
        <f>("16/10/2025")</f>
        <v>16/10/2025</v>
      </c>
      <c r="I6174" t="str">
        <f>("06/10/2025")</f>
        <v>06/10/2025</v>
      </c>
      <c r="J6174" t="str">
        <f t="shared" si="2863"/>
        <v>20/10/2025</v>
      </c>
      <c r="K6174">
        <v>280.20999999999998</v>
      </c>
      <c r="L6174">
        <v>280.20999999999998</v>
      </c>
      <c r="M6174">
        <v>303</v>
      </c>
      <c r="N6174" t="str">
        <f>"RECEITAS COM ENTREGAS"</f>
        <v>RECEITAS COM ENTREGAS</v>
      </c>
      <c r="O6174">
        <v>280.20999999999998</v>
      </c>
      <c r="R6174" t="str">
        <f>"RECEITAS COM ENTREGAS (303)"</f>
        <v>RECEITAS COM ENTREGAS (303)</v>
      </c>
      <c r="S6174">
        <v>2942</v>
      </c>
      <c r="T6174">
        <v>2236</v>
      </c>
      <c r="U6174" t="s">
        <v>19</v>
      </c>
    </row>
    <row r="6175" spans="1:21">
      <c r="A6175" t="str">
        <f t="shared" si="2862"/>
        <v>20/10/2025</v>
      </c>
      <c r="B6175" t="str">
        <f t="shared" ref="B6175:B6177" si="2864">"ENTRADA"</f>
        <v>ENTRADA</v>
      </c>
      <c r="C6175" t="str">
        <f>"NFSE"</f>
        <v>NFSE</v>
      </c>
      <c r="D6175" t="str">
        <f>"3561"</f>
        <v>3561</v>
      </c>
      <c r="E6175" t="str">
        <f t="shared" si="2857"/>
        <v>COM</v>
      </c>
      <c r="F6175" t="str">
        <f>"PAGMENOS - LJ 608 (10135)"</f>
        <v>PAGMENOS - LJ 608 (10135)</v>
      </c>
      <c r="G6175" t="str">
        <f>"Serv.Prest. 29/09/2025 a 05/10/2025 - RPS: 1325 - NFSe: 3561"</f>
        <v>Serv.Prest. 29/09/2025 a 05/10/2025 - RPS: 1325 - NFSe: 3561</v>
      </c>
      <c r="H6175" t="str">
        <f>("16/10/2025")</f>
        <v>16/10/2025</v>
      </c>
      <c r="I6175" t="str">
        <f>("06/10/2025")</f>
        <v>06/10/2025</v>
      </c>
      <c r="J6175" t="str">
        <f t="shared" si="2863"/>
        <v>20/10/2025</v>
      </c>
      <c r="M6175">
        <v>303</v>
      </c>
      <c r="N6175" t="str">
        <f>"RECEITAS COM ENTREGAS"</f>
        <v>RECEITAS COM ENTREGAS</v>
      </c>
      <c r="P6175">
        <v>280.20999999999998</v>
      </c>
      <c r="Q6175" t="str">
        <f>"PAGMENOS - LJ 608 (10135)"</f>
        <v>PAGMENOS - LJ 608 (10135)</v>
      </c>
      <c r="R6175" t="str">
        <f>"RECEITAS COM ENTREGAS (303)"</f>
        <v>RECEITAS COM ENTREGAS (303)</v>
      </c>
      <c r="S6175">
        <v>2942</v>
      </c>
      <c r="T6175">
        <v>2236</v>
      </c>
      <c r="U6175" t="s">
        <v>19</v>
      </c>
    </row>
    <row r="6176" spans="1:21">
      <c r="A6176" t="str">
        <f t="shared" si="2862"/>
        <v>20/10/2025</v>
      </c>
      <c r="B6176" t="str">
        <f t="shared" si="2864"/>
        <v>ENTRADA</v>
      </c>
      <c r="C6176" t="str">
        <f>"NFSE"</f>
        <v>NFSE</v>
      </c>
      <c r="D6176" t="str">
        <f>"3562"</f>
        <v>3562</v>
      </c>
      <c r="E6176" t="str">
        <f t="shared" si="2857"/>
        <v>COM</v>
      </c>
      <c r="F6176" t="str">
        <f>"PAGMENOS - LJ 657 (10136)"</f>
        <v>PAGMENOS - LJ 657 (10136)</v>
      </c>
      <c r="G6176" t="str">
        <f>"Serv.Prest. 29/09/2025 a 05/10/2025 - RPS: 1326 - NFSe: 3562"</f>
        <v>Serv.Prest. 29/09/2025 a 05/10/2025 - RPS: 1326 - NFSe: 3562</v>
      </c>
      <c r="H6176" t="str">
        <f>("16/10/2025")</f>
        <v>16/10/2025</v>
      </c>
      <c r="I6176" t="str">
        <f>("06/10/2025")</f>
        <v>06/10/2025</v>
      </c>
      <c r="J6176" t="str">
        <f t="shared" si="2863"/>
        <v>20/10/2025</v>
      </c>
      <c r="K6176">
        <v>596.6</v>
      </c>
      <c r="L6176">
        <v>596.6</v>
      </c>
      <c r="M6176">
        <v>303</v>
      </c>
      <c r="N6176" t="str">
        <f>"RECEITAS COM ENTREGAS"</f>
        <v>RECEITAS COM ENTREGAS</v>
      </c>
      <c r="O6176">
        <v>596.6</v>
      </c>
      <c r="R6176" t="str">
        <f>"RECEITAS COM ENTREGAS (303)"</f>
        <v>RECEITAS COM ENTREGAS (303)</v>
      </c>
      <c r="S6176">
        <v>2943</v>
      </c>
      <c r="T6176">
        <v>2237</v>
      </c>
      <c r="U6176" t="s">
        <v>19</v>
      </c>
    </row>
    <row r="6177" spans="1:21">
      <c r="A6177" t="str">
        <f t="shared" si="2862"/>
        <v>20/10/2025</v>
      </c>
      <c r="B6177" t="str">
        <f t="shared" si="2864"/>
        <v>ENTRADA</v>
      </c>
      <c r="C6177" t="str">
        <f>"NFSE"</f>
        <v>NFSE</v>
      </c>
      <c r="D6177" t="str">
        <f>"3562"</f>
        <v>3562</v>
      </c>
      <c r="E6177" t="str">
        <f t="shared" si="2857"/>
        <v>COM</v>
      </c>
      <c r="F6177" t="str">
        <f>"PAGMENOS - LJ 657 (10136)"</f>
        <v>PAGMENOS - LJ 657 (10136)</v>
      </c>
      <c r="G6177" t="str">
        <f>"Serv.Prest. 29/09/2025 a 05/10/2025 - RPS: 1326 - NFSe: 3562"</f>
        <v>Serv.Prest. 29/09/2025 a 05/10/2025 - RPS: 1326 - NFSe: 3562</v>
      </c>
      <c r="H6177" t="str">
        <f>("16/10/2025")</f>
        <v>16/10/2025</v>
      </c>
      <c r="I6177" t="str">
        <f>("06/10/2025")</f>
        <v>06/10/2025</v>
      </c>
      <c r="J6177" t="str">
        <f t="shared" si="2863"/>
        <v>20/10/2025</v>
      </c>
      <c r="M6177">
        <v>303</v>
      </c>
      <c r="N6177" t="str">
        <f>"RECEITAS COM ENTREGAS"</f>
        <v>RECEITAS COM ENTREGAS</v>
      </c>
      <c r="P6177">
        <v>596.6</v>
      </c>
      <c r="Q6177" t="str">
        <f>"PAGMENOS - LJ 657 (10136)"</f>
        <v>PAGMENOS - LJ 657 (10136)</v>
      </c>
      <c r="R6177" t="str">
        <f>"RECEITAS COM ENTREGAS (303)"</f>
        <v>RECEITAS COM ENTREGAS (303)</v>
      </c>
      <c r="S6177">
        <v>2943</v>
      </c>
      <c r="T6177">
        <v>2237</v>
      </c>
      <c r="U6177" t="s">
        <v>19</v>
      </c>
    </row>
    <row r="6178" spans="1:21">
      <c r="A6178" t="str">
        <f t="shared" si="2862"/>
        <v>20/10/2025</v>
      </c>
      <c r="B6178" t="str">
        <f>"SAÍDA"</f>
        <v>SAÍDA</v>
      </c>
      <c r="C6178" t="str">
        <f>"TRANSFERENCIA"</f>
        <v>TRANSFERENCIA</v>
      </c>
      <c r="D6178" t="str">
        <f>""</f>
        <v/>
      </c>
      <c r="E6178" t="str">
        <f>"TRF"</f>
        <v>TRF</v>
      </c>
      <c r="F6178" t="str">
        <f>""</f>
        <v/>
      </c>
      <c r="G6178" t="str">
        <f>"AJUDA MOVIMENTO CAIXA COORPORATIVA (102-&gt;120)"</f>
        <v>AJUDA MOVIMENTO CAIXA COORPORATIVA (102-&gt;120)</v>
      </c>
      <c r="H6178" t="str">
        <f>("20/10/2025")</f>
        <v>20/10/2025</v>
      </c>
      <c r="I6178" t="str">
        <f>("20/10/2025")</f>
        <v>20/10/2025</v>
      </c>
      <c r="J6178" t="str">
        <f t="shared" si="2863"/>
        <v>20/10/2025</v>
      </c>
      <c r="M6178">
        <v>102</v>
      </c>
      <c r="N6178" t="str">
        <f>"BANCO CORA"</f>
        <v>BANCO CORA</v>
      </c>
      <c r="O6178">
        <v>20000</v>
      </c>
      <c r="R6178" t="str">
        <f>"BANCO CORA (102)"</f>
        <v>BANCO CORA (102)</v>
      </c>
      <c r="S6178">
        <v>3169</v>
      </c>
      <c r="T6178">
        <v>0</v>
      </c>
      <c r="U6178" t="s">
        <v>19</v>
      </c>
    </row>
    <row r="6179" spans="1:21">
      <c r="A6179" t="str">
        <f t="shared" si="2862"/>
        <v>20/10/2025</v>
      </c>
      <c r="B6179" t="str">
        <f>"ENTRADA"</f>
        <v>ENTRADA</v>
      </c>
      <c r="C6179" t="str">
        <f>"TRANSFERENCIA"</f>
        <v>TRANSFERENCIA</v>
      </c>
      <c r="D6179" t="str">
        <f>""</f>
        <v/>
      </c>
      <c r="E6179" t="str">
        <f>"TRF"</f>
        <v>TRF</v>
      </c>
      <c r="F6179" t="str">
        <f>""</f>
        <v/>
      </c>
      <c r="G6179" t="str">
        <f>"AJUDA MOVIMENTO CAIXA COORPORATIVA (102-&gt;120)"</f>
        <v>AJUDA MOVIMENTO CAIXA COORPORATIVA (102-&gt;120)</v>
      </c>
      <c r="H6179" t="str">
        <f>("20/10/2025")</f>
        <v>20/10/2025</v>
      </c>
      <c r="I6179" t="str">
        <f>("20/10/2025")</f>
        <v>20/10/2025</v>
      </c>
      <c r="J6179" t="str">
        <f t="shared" si="2863"/>
        <v>20/10/2025</v>
      </c>
      <c r="M6179">
        <v>120</v>
      </c>
      <c r="N6179" t="str">
        <f>"CAIXA - COOPERATIVA"</f>
        <v>CAIXA - COOPERATIVA</v>
      </c>
      <c r="O6179">
        <v>20000</v>
      </c>
      <c r="R6179" t="str">
        <f>"CAIXA - COOPERATIVA (120)"</f>
        <v>CAIXA - COOPERATIVA (120)</v>
      </c>
      <c r="S6179">
        <v>3169</v>
      </c>
      <c r="T6179">
        <v>0</v>
      </c>
      <c r="U6179" t="s">
        <v>26</v>
      </c>
    </row>
    <row r="6180" spans="1:21">
      <c r="A6180" t="str">
        <f t="shared" si="2862"/>
        <v>20/10/2025</v>
      </c>
      <c r="B6180" t="str">
        <f>"SAÍDA"</f>
        <v>SAÍDA</v>
      </c>
      <c r="C6180" t="str">
        <f>"PIX"</f>
        <v>PIX</v>
      </c>
      <c r="D6180" t="str">
        <f>"1509251000"</f>
        <v>1509251000</v>
      </c>
      <c r="E6180" t="str">
        <f t="shared" ref="E6180:E6243" si="2865">"COM"</f>
        <v>COM</v>
      </c>
      <c r="F6180" t="str">
        <f>"CONTA SIMPLES SOLUCOES DE PAGAMENTOS LTDA (20019)"</f>
        <v>CONTA SIMPLES SOLUCOES DE PAGAMENTOS LTDA (20019)</v>
      </c>
      <c r="G6180" t="str">
        <f>"MARKETING REDES SOCIAIS - PIX- CHAVE ALEATORIA: 1d5b84cc-db31-469d-b8ee-076ced54c3e9"</f>
        <v>MARKETING REDES SOCIAIS - PIX- CHAVE ALEATORIA: 1d5b84cc-db31-469d-b8ee-076ced54c3e9</v>
      </c>
      <c r="H6180" t="str">
        <f>("20/10/2025")</f>
        <v>20/10/2025</v>
      </c>
      <c r="I6180" t="str">
        <f>("22/09/2025")</f>
        <v>22/09/2025</v>
      </c>
      <c r="J6180" t="str">
        <f t="shared" si="2863"/>
        <v>20/10/2025</v>
      </c>
      <c r="K6180">
        <v>1500</v>
      </c>
      <c r="L6180">
        <v>1500</v>
      </c>
      <c r="M6180">
        <v>127</v>
      </c>
      <c r="N6180" t="str">
        <f>"PUBLICIDADE E PROPAGANDAS"</f>
        <v>PUBLICIDADE E PROPAGANDAS</v>
      </c>
      <c r="O6180">
        <v>1500</v>
      </c>
      <c r="R6180" t="str">
        <f>"BANCO CORA (102)"</f>
        <v>BANCO CORA (102)</v>
      </c>
      <c r="S6180">
        <v>3170</v>
      </c>
      <c r="T6180">
        <v>2176</v>
      </c>
      <c r="U6180" t="s">
        <v>19</v>
      </c>
    </row>
    <row r="6181" spans="1:21">
      <c r="A6181" t="str">
        <f t="shared" si="2862"/>
        <v>20/10/2025</v>
      </c>
      <c r="B6181" t="str">
        <f>"SAÍDA"</f>
        <v>SAÍDA</v>
      </c>
      <c r="C6181" t="str">
        <f>"PIX"</f>
        <v>PIX</v>
      </c>
      <c r="D6181" t="str">
        <f>"1509251000"</f>
        <v>1509251000</v>
      </c>
      <c r="E6181" t="str">
        <f t="shared" si="2865"/>
        <v>COM</v>
      </c>
      <c r="F6181" t="str">
        <f>"CONTA SIMPLES SOLUCOES DE PAGAMENTOS LTDA (20019)"</f>
        <v>CONTA SIMPLES SOLUCOES DE PAGAMENTOS LTDA (20019)</v>
      </c>
      <c r="G6181" t="str">
        <f>"MARKETING REDES SOCIAIS - PIX- CHAVE ALEATORIA: 1d5b84cc-db31-469d-b8ee-076ced54c3e9"</f>
        <v>MARKETING REDES SOCIAIS - PIX- CHAVE ALEATORIA: 1d5b84cc-db31-469d-b8ee-076ced54c3e9</v>
      </c>
      <c r="H6181" t="str">
        <f>("20/10/2025")</f>
        <v>20/10/2025</v>
      </c>
      <c r="I6181" t="str">
        <f>("22/09/2025")</f>
        <v>22/09/2025</v>
      </c>
      <c r="J6181" t="str">
        <f t="shared" si="2863"/>
        <v>20/10/2025</v>
      </c>
      <c r="M6181">
        <v>127</v>
      </c>
      <c r="N6181" t="str">
        <f>"PUBLICIDADE E PROPAGANDAS"</f>
        <v>PUBLICIDADE E PROPAGANDAS</v>
      </c>
      <c r="P6181">
        <v>1500</v>
      </c>
      <c r="Q6181" t="str">
        <f>"CONTA SIMPLES SOLUCOES DE PAGAMENTOS LTDA (20019)"</f>
        <v>CONTA SIMPLES SOLUCOES DE PAGAMENTOS LTDA (20019)</v>
      </c>
      <c r="R6181" t="str">
        <f>"BANCO CORA (102)"</f>
        <v>BANCO CORA (102)</v>
      </c>
      <c r="S6181">
        <v>3170</v>
      </c>
      <c r="T6181">
        <v>2176</v>
      </c>
      <c r="U6181" t="s">
        <v>19</v>
      </c>
    </row>
    <row r="6182" spans="1:21">
      <c r="A6182" t="str">
        <f>("21/10/2025")</f>
        <v>21/10/2025</v>
      </c>
      <c r="B6182" t="str">
        <f>"SAÍDA"</f>
        <v>SAÍDA</v>
      </c>
      <c r="C6182" t="str">
        <f>"PIX"</f>
        <v>PIX</v>
      </c>
      <c r="D6182" t="str">
        <f>"21102025"</f>
        <v>21102025</v>
      </c>
      <c r="E6182" t="str">
        <f t="shared" si="2865"/>
        <v>COM</v>
      </c>
      <c r="F6182" t="str">
        <f>"JAMERSON SOUZA LOPES (20122)"</f>
        <v>JAMERSON SOUZA LOPES (20122)</v>
      </c>
      <c r="G6182" t="str">
        <f>"DESPESAS VIAGEM "</f>
        <v xml:space="preserve">DESPESAS VIAGEM </v>
      </c>
      <c r="H6182" t="str">
        <f t="shared" ref="H6182:J6183" si="2866">("21/10/2025")</f>
        <v>21/10/2025</v>
      </c>
      <c r="I6182" t="str">
        <f t="shared" si="2866"/>
        <v>21/10/2025</v>
      </c>
      <c r="J6182" t="str">
        <f t="shared" si="2866"/>
        <v>21/10/2025</v>
      </c>
      <c r="K6182">
        <v>1085.8800000000001</v>
      </c>
      <c r="L6182">
        <v>1085.8800000000001</v>
      </c>
      <c r="M6182">
        <v>128</v>
      </c>
      <c r="N6182" t="str">
        <f>"DESPESAS COM VIAGENS"</f>
        <v>DESPESAS COM VIAGENS</v>
      </c>
      <c r="O6182">
        <v>1085.8800000000001</v>
      </c>
      <c r="R6182" t="str">
        <f>"BANCO CORA (102)"</f>
        <v>BANCO CORA (102)</v>
      </c>
      <c r="S6182">
        <v>3171</v>
      </c>
      <c r="T6182">
        <v>2758</v>
      </c>
      <c r="U6182" t="s">
        <v>19</v>
      </c>
    </row>
    <row r="6183" spans="1:21">
      <c r="A6183" t="str">
        <f>("21/10/2025")</f>
        <v>21/10/2025</v>
      </c>
      <c r="B6183" t="str">
        <f>"SAÍDA"</f>
        <v>SAÍDA</v>
      </c>
      <c r="C6183" t="str">
        <f>"PIX"</f>
        <v>PIX</v>
      </c>
      <c r="D6183" t="str">
        <f>"21102025"</f>
        <v>21102025</v>
      </c>
      <c r="E6183" t="str">
        <f t="shared" si="2865"/>
        <v>COM</v>
      </c>
      <c r="F6183" t="str">
        <f>"JAMERSON SOUZA LOPES (20122)"</f>
        <v>JAMERSON SOUZA LOPES (20122)</v>
      </c>
      <c r="G6183" t="str">
        <f>"DESPESAS VIAGEM "</f>
        <v xml:space="preserve">DESPESAS VIAGEM </v>
      </c>
      <c r="H6183" t="str">
        <f t="shared" si="2866"/>
        <v>21/10/2025</v>
      </c>
      <c r="I6183" t="str">
        <f t="shared" si="2866"/>
        <v>21/10/2025</v>
      </c>
      <c r="J6183" t="str">
        <f t="shared" si="2866"/>
        <v>21/10/2025</v>
      </c>
      <c r="M6183">
        <v>128</v>
      </c>
      <c r="N6183" t="str">
        <f>"DESPESAS COM VIAGENS"</f>
        <v>DESPESAS COM VIAGENS</v>
      </c>
      <c r="P6183">
        <v>1085.8800000000001</v>
      </c>
      <c r="Q6183" t="str">
        <f>"JAMERSON SOUZA LOPES (20122)"</f>
        <v>JAMERSON SOUZA LOPES (20122)</v>
      </c>
      <c r="R6183" t="str">
        <f>"BANCO CORA (102)"</f>
        <v>BANCO CORA (102)</v>
      </c>
      <c r="S6183">
        <v>3171</v>
      </c>
      <c r="T6183">
        <v>2758</v>
      </c>
      <c r="U6183" t="s">
        <v>19</v>
      </c>
    </row>
    <row r="6184" spans="1:21">
      <c r="A6184" t="str">
        <f t="shared" ref="A6184:A6215" si="2867">("22/10/2025")</f>
        <v>22/10/2025</v>
      </c>
      <c r="B6184" t="str">
        <f>"ENTRADA"</f>
        <v>ENTRADA</v>
      </c>
      <c r="C6184" t="str">
        <f t="shared" ref="C6184:C6215" si="2868">"NFSE"</f>
        <v>NFSE</v>
      </c>
      <c r="D6184" t="str">
        <f t="shared" ref="D6184:D6196" si="2869">"3611"</f>
        <v>3611</v>
      </c>
      <c r="E6184" t="str">
        <f t="shared" si="2865"/>
        <v>COM</v>
      </c>
      <c r="F6184" t="str">
        <f t="shared" ref="F6184:F6196" si="2870">"FARMÁCIA INDIANA LJ 30 (10127)"</f>
        <v>FARMÁCIA INDIANA LJ 30 (10127)</v>
      </c>
      <c r="G6184" t="str">
        <f t="shared" ref="G6184:G6196" si="2871">"Serv.Prest. 06/10/2025 a 12/10/2025 - RPS: 1375 - NFSe: 3611"</f>
        <v>Serv.Prest. 06/10/2025 a 12/10/2025 - RPS: 1375 - NFSe: 3611</v>
      </c>
      <c r="H6184" t="str">
        <f t="shared" ref="H6184:H6229" si="2872">("22/10/2025")</f>
        <v>22/10/2025</v>
      </c>
      <c r="I6184" t="str">
        <f t="shared" ref="I6184:I6207" si="2873">("14/10/2025")</f>
        <v>14/10/2025</v>
      </c>
      <c r="J6184" t="str">
        <f t="shared" ref="J6184:J6215" si="2874">("22/10/2025")</f>
        <v>22/10/2025</v>
      </c>
      <c r="K6184">
        <v>3297.39</v>
      </c>
      <c r="L6184">
        <v>3297.39</v>
      </c>
      <c r="M6184">
        <v>303</v>
      </c>
      <c r="N6184" t="str">
        <f t="shared" ref="N6184:N6215" si="2875">"RECEITAS COM ENTREGAS"</f>
        <v>RECEITAS COM ENTREGAS</v>
      </c>
      <c r="O6184">
        <v>3297.39</v>
      </c>
      <c r="R6184" t="str">
        <f t="shared" ref="R6184:R6215" si="2876">"RECEITAS COM ENTREGAS (303)"</f>
        <v>RECEITAS COM ENTREGAS (303)</v>
      </c>
      <c r="S6184">
        <v>2785</v>
      </c>
      <c r="T6184">
        <v>2286</v>
      </c>
      <c r="U6184" t="s">
        <v>19</v>
      </c>
    </row>
    <row r="6185" spans="1:21">
      <c r="A6185" t="str">
        <f t="shared" si="2867"/>
        <v>22/10/2025</v>
      </c>
      <c r="B6185" t="str">
        <f t="shared" ref="B6185:B6248" si="2877">"ENTRADA"</f>
        <v>ENTRADA</v>
      </c>
      <c r="C6185" t="str">
        <f t="shared" si="2868"/>
        <v>NFSE</v>
      </c>
      <c r="D6185" t="str">
        <f t="shared" si="2869"/>
        <v>3611</v>
      </c>
      <c r="E6185" t="str">
        <f t="shared" si="2865"/>
        <v>COM</v>
      </c>
      <c r="F6185" t="str">
        <f t="shared" si="2870"/>
        <v>FARMÁCIA INDIANA LJ 30 (10127)</v>
      </c>
      <c r="G6185" t="str">
        <f t="shared" si="2871"/>
        <v>Serv.Prest. 06/10/2025 a 12/10/2025 - RPS: 1375 - NFSe: 3611</v>
      </c>
      <c r="H6185" t="str">
        <f t="shared" si="2872"/>
        <v>22/10/2025</v>
      </c>
      <c r="I6185" t="str">
        <f t="shared" si="2873"/>
        <v>14/10/2025</v>
      </c>
      <c r="J6185" t="str">
        <f t="shared" si="2874"/>
        <v>22/10/2025</v>
      </c>
      <c r="M6185">
        <v>303</v>
      </c>
      <c r="N6185" t="str">
        <f t="shared" si="2875"/>
        <v>RECEITAS COM ENTREGAS</v>
      </c>
      <c r="P6185">
        <v>291.49</v>
      </c>
      <c r="Q6185" t="str">
        <f>"FARMÁCIA INDIANA LJ 34 (10014)"</f>
        <v>FARMÁCIA INDIANA LJ 34 (10014)</v>
      </c>
      <c r="R6185" t="str">
        <f t="shared" si="2876"/>
        <v>RECEITAS COM ENTREGAS (303)</v>
      </c>
      <c r="S6185">
        <v>2785</v>
      </c>
      <c r="T6185">
        <v>2286</v>
      </c>
      <c r="U6185" t="s">
        <v>19</v>
      </c>
    </row>
    <row r="6186" spans="1:21">
      <c r="A6186" t="str">
        <f t="shared" si="2867"/>
        <v>22/10/2025</v>
      </c>
      <c r="B6186" t="str">
        <f t="shared" si="2877"/>
        <v>ENTRADA</v>
      </c>
      <c r="C6186" t="str">
        <f t="shared" si="2868"/>
        <v>NFSE</v>
      </c>
      <c r="D6186" t="str">
        <f t="shared" si="2869"/>
        <v>3611</v>
      </c>
      <c r="E6186" t="str">
        <f t="shared" si="2865"/>
        <v>COM</v>
      </c>
      <c r="F6186" t="str">
        <f t="shared" si="2870"/>
        <v>FARMÁCIA INDIANA LJ 30 (10127)</v>
      </c>
      <c r="G6186" t="str">
        <f t="shared" si="2871"/>
        <v>Serv.Prest. 06/10/2025 a 12/10/2025 - RPS: 1375 - NFSe: 3611</v>
      </c>
      <c r="H6186" t="str">
        <f t="shared" si="2872"/>
        <v>22/10/2025</v>
      </c>
      <c r="I6186" t="str">
        <f t="shared" si="2873"/>
        <v>14/10/2025</v>
      </c>
      <c r="J6186" t="str">
        <f t="shared" si="2874"/>
        <v>22/10/2025</v>
      </c>
      <c r="M6186">
        <v>303</v>
      </c>
      <c r="N6186" t="str">
        <f t="shared" si="2875"/>
        <v>RECEITAS COM ENTREGAS</v>
      </c>
      <c r="P6186">
        <v>251.92</v>
      </c>
      <c r="Q6186" t="str">
        <f>"FARMÁCIA INDIANA LJ 35 (10015)"</f>
        <v>FARMÁCIA INDIANA LJ 35 (10015)</v>
      </c>
      <c r="R6186" t="str">
        <f t="shared" si="2876"/>
        <v>RECEITAS COM ENTREGAS (303)</v>
      </c>
      <c r="S6186">
        <v>2785</v>
      </c>
      <c r="T6186">
        <v>2286</v>
      </c>
      <c r="U6186" t="s">
        <v>19</v>
      </c>
    </row>
    <row r="6187" spans="1:21">
      <c r="A6187" t="str">
        <f t="shared" si="2867"/>
        <v>22/10/2025</v>
      </c>
      <c r="B6187" t="str">
        <f t="shared" si="2877"/>
        <v>ENTRADA</v>
      </c>
      <c r="C6187" t="str">
        <f t="shared" si="2868"/>
        <v>NFSE</v>
      </c>
      <c r="D6187" t="str">
        <f t="shared" si="2869"/>
        <v>3611</v>
      </c>
      <c r="E6187" t="str">
        <f t="shared" si="2865"/>
        <v>COM</v>
      </c>
      <c r="F6187" t="str">
        <f t="shared" si="2870"/>
        <v>FARMÁCIA INDIANA LJ 30 (10127)</v>
      </c>
      <c r="G6187" t="str">
        <f t="shared" si="2871"/>
        <v>Serv.Prest. 06/10/2025 a 12/10/2025 - RPS: 1375 - NFSe: 3611</v>
      </c>
      <c r="H6187" t="str">
        <f t="shared" si="2872"/>
        <v>22/10/2025</v>
      </c>
      <c r="I6187" t="str">
        <f t="shared" si="2873"/>
        <v>14/10/2025</v>
      </c>
      <c r="J6187" t="str">
        <f t="shared" si="2874"/>
        <v>22/10/2025</v>
      </c>
      <c r="M6187">
        <v>303</v>
      </c>
      <c r="N6187" t="str">
        <f t="shared" si="2875"/>
        <v>RECEITAS COM ENTREGAS</v>
      </c>
      <c r="P6187">
        <v>320.51</v>
      </c>
      <c r="Q6187" t="str">
        <f>"FARMÁCIA INDIANA LJ 48 (10018)"</f>
        <v>FARMÁCIA INDIANA LJ 48 (10018)</v>
      </c>
      <c r="R6187" t="str">
        <f t="shared" si="2876"/>
        <v>RECEITAS COM ENTREGAS (303)</v>
      </c>
      <c r="S6187">
        <v>2785</v>
      </c>
      <c r="T6187">
        <v>2286</v>
      </c>
      <c r="U6187" t="s">
        <v>19</v>
      </c>
    </row>
    <row r="6188" spans="1:21">
      <c r="A6188" t="str">
        <f t="shared" si="2867"/>
        <v>22/10/2025</v>
      </c>
      <c r="B6188" t="str">
        <f t="shared" si="2877"/>
        <v>ENTRADA</v>
      </c>
      <c r="C6188" t="str">
        <f t="shared" si="2868"/>
        <v>NFSE</v>
      </c>
      <c r="D6188" t="str">
        <f t="shared" si="2869"/>
        <v>3611</v>
      </c>
      <c r="E6188" t="str">
        <f t="shared" si="2865"/>
        <v>COM</v>
      </c>
      <c r="F6188" t="str">
        <f t="shared" si="2870"/>
        <v>FARMÁCIA INDIANA LJ 30 (10127)</v>
      </c>
      <c r="G6188" t="str">
        <f t="shared" si="2871"/>
        <v>Serv.Prest. 06/10/2025 a 12/10/2025 - RPS: 1375 - NFSe: 3611</v>
      </c>
      <c r="H6188" t="str">
        <f t="shared" si="2872"/>
        <v>22/10/2025</v>
      </c>
      <c r="I6188" t="str">
        <f t="shared" si="2873"/>
        <v>14/10/2025</v>
      </c>
      <c r="J6188" t="str">
        <f t="shared" si="2874"/>
        <v>22/10/2025</v>
      </c>
      <c r="M6188">
        <v>303</v>
      </c>
      <c r="N6188" t="str">
        <f t="shared" si="2875"/>
        <v>RECEITAS COM ENTREGAS</v>
      </c>
      <c r="P6188">
        <v>348.86</v>
      </c>
      <c r="Q6188" t="str">
        <f>"FARMÁCIA INDIANA LJ 65 (10030)"</f>
        <v>FARMÁCIA INDIANA LJ 65 (10030)</v>
      </c>
      <c r="R6188" t="str">
        <f t="shared" si="2876"/>
        <v>RECEITAS COM ENTREGAS (303)</v>
      </c>
      <c r="S6188">
        <v>2785</v>
      </c>
      <c r="T6188">
        <v>2286</v>
      </c>
      <c r="U6188" t="s">
        <v>19</v>
      </c>
    </row>
    <row r="6189" spans="1:21">
      <c r="A6189" t="str">
        <f t="shared" si="2867"/>
        <v>22/10/2025</v>
      </c>
      <c r="B6189" t="str">
        <f t="shared" si="2877"/>
        <v>ENTRADA</v>
      </c>
      <c r="C6189" t="str">
        <f t="shared" si="2868"/>
        <v>NFSE</v>
      </c>
      <c r="D6189" t="str">
        <f t="shared" si="2869"/>
        <v>3611</v>
      </c>
      <c r="E6189" t="str">
        <f t="shared" si="2865"/>
        <v>COM</v>
      </c>
      <c r="F6189" t="str">
        <f t="shared" si="2870"/>
        <v>FARMÁCIA INDIANA LJ 30 (10127)</v>
      </c>
      <c r="G6189" t="str">
        <f t="shared" si="2871"/>
        <v>Serv.Prest. 06/10/2025 a 12/10/2025 - RPS: 1375 - NFSe: 3611</v>
      </c>
      <c r="H6189" t="str">
        <f t="shared" si="2872"/>
        <v>22/10/2025</v>
      </c>
      <c r="I6189" t="str">
        <f t="shared" si="2873"/>
        <v>14/10/2025</v>
      </c>
      <c r="J6189" t="str">
        <f t="shared" si="2874"/>
        <v>22/10/2025</v>
      </c>
      <c r="M6189">
        <v>303</v>
      </c>
      <c r="N6189" t="str">
        <f t="shared" si="2875"/>
        <v>RECEITAS COM ENTREGAS</v>
      </c>
      <c r="P6189">
        <v>128.6</v>
      </c>
      <c r="Q6189" t="str">
        <f>"FARMÁCIA INDIANA LJ 77 (10034)"</f>
        <v>FARMÁCIA INDIANA LJ 77 (10034)</v>
      </c>
      <c r="R6189" t="str">
        <f t="shared" si="2876"/>
        <v>RECEITAS COM ENTREGAS (303)</v>
      </c>
      <c r="S6189">
        <v>2785</v>
      </c>
      <c r="T6189">
        <v>2286</v>
      </c>
      <c r="U6189" t="s">
        <v>19</v>
      </c>
    </row>
    <row r="6190" spans="1:21">
      <c r="A6190" t="str">
        <f t="shared" si="2867"/>
        <v>22/10/2025</v>
      </c>
      <c r="B6190" t="str">
        <f t="shared" si="2877"/>
        <v>ENTRADA</v>
      </c>
      <c r="C6190" t="str">
        <f t="shared" si="2868"/>
        <v>NFSE</v>
      </c>
      <c r="D6190" t="str">
        <f t="shared" si="2869"/>
        <v>3611</v>
      </c>
      <c r="E6190" t="str">
        <f t="shared" si="2865"/>
        <v>COM</v>
      </c>
      <c r="F6190" t="str">
        <f t="shared" si="2870"/>
        <v>FARMÁCIA INDIANA LJ 30 (10127)</v>
      </c>
      <c r="G6190" t="str">
        <f t="shared" si="2871"/>
        <v>Serv.Prest. 06/10/2025 a 12/10/2025 - RPS: 1375 - NFSe: 3611</v>
      </c>
      <c r="H6190" t="str">
        <f t="shared" si="2872"/>
        <v>22/10/2025</v>
      </c>
      <c r="I6190" t="str">
        <f t="shared" si="2873"/>
        <v>14/10/2025</v>
      </c>
      <c r="J6190" t="str">
        <f t="shared" si="2874"/>
        <v>22/10/2025</v>
      </c>
      <c r="M6190">
        <v>303</v>
      </c>
      <c r="N6190" t="str">
        <f t="shared" si="2875"/>
        <v>RECEITAS COM ENTREGAS</v>
      </c>
      <c r="P6190">
        <v>596.83000000000004</v>
      </c>
      <c r="Q6190" t="str">
        <f>"FARMÁCIA INDIANA LJ 91 (10037)"</f>
        <v>FARMÁCIA INDIANA LJ 91 (10037)</v>
      </c>
      <c r="R6190" t="str">
        <f t="shared" si="2876"/>
        <v>RECEITAS COM ENTREGAS (303)</v>
      </c>
      <c r="S6190">
        <v>2785</v>
      </c>
      <c r="T6190">
        <v>2286</v>
      </c>
      <c r="U6190" t="s">
        <v>19</v>
      </c>
    </row>
    <row r="6191" spans="1:21">
      <c r="A6191" t="str">
        <f t="shared" si="2867"/>
        <v>22/10/2025</v>
      </c>
      <c r="B6191" t="str">
        <f t="shared" si="2877"/>
        <v>ENTRADA</v>
      </c>
      <c r="C6191" t="str">
        <f t="shared" si="2868"/>
        <v>NFSE</v>
      </c>
      <c r="D6191" t="str">
        <f t="shared" si="2869"/>
        <v>3611</v>
      </c>
      <c r="E6191" t="str">
        <f t="shared" si="2865"/>
        <v>COM</v>
      </c>
      <c r="F6191" t="str">
        <f t="shared" si="2870"/>
        <v>FARMÁCIA INDIANA LJ 30 (10127)</v>
      </c>
      <c r="G6191" t="str">
        <f t="shared" si="2871"/>
        <v>Serv.Prest. 06/10/2025 a 12/10/2025 - RPS: 1375 - NFSe: 3611</v>
      </c>
      <c r="H6191" t="str">
        <f t="shared" si="2872"/>
        <v>22/10/2025</v>
      </c>
      <c r="I6191" t="str">
        <f t="shared" si="2873"/>
        <v>14/10/2025</v>
      </c>
      <c r="J6191" t="str">
        <f t="shared" si="2874"/>
        <v>22/10/2025</v>
      </c>
      <c r="M6191">
        <v>303</v>
      </c>
      <c r="N6191" t="str">
        <f t="shared" si="2875"/>
        <v>RECEITAS COM ENTREGAS</v>
      </c>
      <c r="P6191">
        <v>356.45</v>
      </c>
      <c r="Q6191" t="str">
        <f>"FARMÁCIA INDIANA LJ 95 (10039)"</f>
        <v>FARMÁCIA INDIANA LJ 95 (10039)</v>
      </c>
      <c r="R6191" t="str">
        <f t="shared" si="2876"/>
        <v>RECEITAS COM ENTREGAS (303)</v>
      </c>
      <c r="S6191">
        <v>2785</v>
      </c>
      <c r="T6191">
        <v>2286</v>
      </c>
      <c r="U6191" t="s">
        <v>19</v>
      </c>
    </row>
    <row r="6192" spans="1:21">
      <c r="A6192" t="str">
        <f t="shared" si="2867"/>
        <v>22/10/2025</v>
      </c>
      <c r="B6192" t="str">
        <f t="shared" si="2877"/>
        <v>ENTRADA</v>
      </c>
      <c r="C6192" t="str">
        <f t="shared" si="2868"/>
        <v>NFSE</v>
      </c>
      <c r="D6192" t="str">
        <f t="shared" si="2869"/>
        <v>3611</v>
      </c>
      <c r="E6192" t="str">
        <f t="shared" si="2865"/>
        <v>COM</v>
      </c>
      <c r="F6192" t="str">
        <f t="shared" si="2870"/>
        <v>FARMÁCIA INDIANA LJ 30 (10127)</v>
      </c>
      <c r="G6192" t="str">
        <f t="shared" si="2871"/>
        <v>Serv.Prest. 06/10/2025 a 12/10/2025 - RPS: 1375 - NFSe: 3611</v>
      </c>
      <c r="H6192" t="str">
        <f t="shared" si="2872"/>
        <v>22/10/2025</v>
      </c>
      <c r="I6192" t="str">
        <f t="shared" si="2873"/>
        <v>14/10/2025</v>
      </c>
      <c r="J6192" t="str">
        <f t="shared" si="2874"/>
        <v>22/10/2025</v>
      </c>
      <c r="M6192">
        <v>303</v>
      </c>
      <c r="N6192" t="str">
        <f t="shared" si="2875"/>
        <v>RECEITAS COM ENTREGAS</v>
      </c>
      <c r="P6192">
        <v>280.94</v>
      </c>
      <c r="Q6192" t="str">
        <f>"FARMÁCIA INDIANA LJ 145 (10068)"</f>
        <v>FARMÁCIA INDIANA LJ 145 (10068)</v>
      </c>
      <c r="R6192" t="str">
        <f t="shared" si="2876"/>
        <v>RECEITAS COM ENTREGAS (303)</v>
      </c>
      <c r="S6192">
        <v>2785</v>
      </c>
      <c r="T6192">
        <v>2286</v>
      </c>
      <c r="U6192" t="s">
        <v>19</v>
      </c>
    </row>
    <row r="6193" spans="1:21">
      <c r="A6193" t="str">
        <f t="shared" si="2867"/>
        <v>22/10/2025</v>
      </c>
      <c r="B6193" t="str">
        <f t="shared" si="2877"/>
        <v>ENTRADA</v>
      </c>
      <c r="C6193" t="str">
        <f t="shared" si="2868"/>
        <v>NFSE</v>
      </c>
      <c r="D6193" t="str">
        <f t="shared" si="2869"/>
        <v>3611</v>
      </c>
      <c r="E6193" t="str">
        <f t="shared" si="2865"/>
        <v>COM</v>
      </c>
      <c r="F6193" t="str">
        <f t="shared" si="2870"/>
        <v>FARMÁCIA INDIANA LJ 30 (10127)</v>
      </c>
      <c r="G6193" t="str">
        <f t="shared" si="2871"/>
        <v>Serv.Prest. 06/10/2025 a 12/10/2025 - RPS: 1375 - NFSe: 3611</v>
      </c>
      <c r="H6193" t="str">
        <f t="shared" si="2872"/>
        <v>22/10/2025</v>
      </c>
      <c r="I6193" t="str">
        <f t="shared" si="2873"/>
        <v>14/10/2025</v>
      </c>
      <c r="J6193" t="str">
        <f t="shared" si="2874"/>
        <v>22/10/2025</v>
      </c>
      <c r="M6193">
        <v>303</v>
      </c>
      <c r="N6193" t="str">
        <f t="shared" si="2875"/>
        <v>RECEITAS COM ENTREGAS</v>
      </c>
      <c r="P6193">
        <v>157.94</v>
      </c>
      <c r="Q6193" t="str">
        <f>"FARMÁCIA INDIANA LJ 169 (10073)"</f>
        <v>FARMÁCIA INDIANA LJ 169 (10073)</v>
      </c>
      <c r="R6193" t="str">
        <f t="shared" si="2876"/>
        <v>RECEITAS COM ENTREGAS (303)</v>
      </c>
      <c r="S6193">
        <v>2785</v>
      </c>
      <c r="T6193">
        <v>2286</v>
      </c>
      <c r="U6193" t="s">
        <v>19</v>
      </c>
    </row>
    <row r="6194" spans="1:21">
      <c r="A6194" t="str">
        <f t="shared" si="2867"/>
        <v>22/10/2025</v>
      </c>
      <c r="B6194" t="str">
        <f t="shared" si="2877"/>
        <v>ENTRADA</v>
      </c>
      <c r="C6194" t="str">
        <f t="shared" si="2868"/>
        <v>NFSE</v>
      </c>
      <c r="D6194" t="str">
        <f t="shared" si="2869"/>
        <v>3611</v>
      </c>
      <c r="E6194" t="str">
        <f t="shared" si="2865"/>
        <v>COM</v>
      </c>
      <c r="F6194" t="str">
        <f t="shared" si="2870"/>
        <v>FARMÁCIA INDIANA LJ 30 (10127)</v>
      </c>
      <c r="G6194" t="str">
        <f t="shared" si="2871"/>
        <v>Serv.Prest. 06/10/2025 a 12/10/2025 - RPS: 1375 - NFSe: 3611</v>
      </c>
      <c r="H6194" t="str">
        <f t="shared" si="2872"/>
        <v>22/10/2025</v>
      </c>
      <c r="I6194" t="str">
        <f t="shared" si="2873"/>
        <v>14/10/2025</v>
      </c>
      <c r="J6194" t="str">
        <f t="shared" si="2874"/>
        <v>22/10/2025</v>
      </c>
      <c r="M6194">
        <v>303</v>
      </c>
      <c r="N6194" t="str">
        <f t="shared" si="2875"/>
        <v>RECEITAS COM ENTREGAS</v>
      </c>
      <c r="P6194">
        <v>174.43</v>
      </c>
      <c r="Q6194" t="str">
        <f>"FARMÁCIA INDIANA LJ 173 (10075)"</f>
        <v>FARMÁCIA INDIANA LJ 173 (10075)</v>
      </c>
      <c r="R6194" t="str">
        <f t="shared" si="2876"/>
        <v>RECEITAS COM ENTREGAS (303)</v>
      </c>
      <c r="S6194">
        <v>2785</v>
      </c>
      <c r="T6194">
        <v>2286</v>
      </c>
      <c r="U6194" t="s">
        <v>19</v>
      </c>
    </row>
    <row r="6195" spans="1:21">
      <c r="A6195" t="str">
        <f t="shared" si="2867"/>
        <v>22/10/2025</v>
      </c>
      <c r="B6195" t="str">
        <f t="shared" si="2877"/>
        <v>ENTRADA</v>
      </c>
      <c r="C6195" t="str">
        <f t="shared" si="2868"/>
        <v>NFSE</v>
      </c>
      <c r="D6195" t="str">
        <f t="shared" si="2869"/>
        <v>3611</v>
      </c>
      <c r="E6195" t="str">
        <f t="shared" si="2865"/>
        <v>COM</v>
      </c>
      <c r="F6195" t="str">
        <f t="shared" si="2870"/>
        <v>FARMÁCIA INDIANA LJ 30 (10127)</v>
      </c>
      <c r="G6195" t="str">
        <f t="shared" si="2871"/>
        <v>Serv.Prest. 06/10/2025 a 12/10/2025 - RPS: 1375 - NFSe: 3611</v>
      </c>
      <c r="H6195" t="str">
        <f t="shared" si="2872"/>
        <v>22/10/2025</v>
      </c>
      <c r="I6195" t="str">
        <f t="shared" si="2873"/>
        <v>14/10/2025</v>
      </c>
      <c r="J6195" t="str">
        <f t="shared" si="2874"/>
        <v>22/10/2025</v>
      </c>
      <c r="M6195">
        <v>303</v>
      </c>
      <c r="N6195" t="str">
        <f t="shared" si="2875"/>
        <v>RECEITAS COM ENTREGAS</v>
      </c>
      <c r="P6195">
        <v>203.78</v>
      </c>
      <c r="Q6195" t="str">
        <f>"FARMÁCIA INDIANA LJ 200 (10155)"</f>
        <v>FARMÁCIA INDIANA LJ 200 (10155)</v>
      </c>
      <c r="R6195" t="str">
        <f t="shared" si="2876"/>
        <v>RECEITAS COM ENTREGAS (303)</v>
      </c>
      <c r="S6195">
        <v>2785</v>
      </c>
      <c r="T6195">
        <v>2286</v>
      </c>
      <c r="U6195" t="s">
        <v>19</v>
      </c>
    </row>
    <row r="6196" spans="1:21">
      <c r="A6196" t="str">
        <f t="shared" si="2867"/>
        <v>22/10/2025</v>
      </c>
      <c r="B6196" t="str">
        <f t="shared" si="2877"/>
        <v>ENTRADA</v>
      </c>
      <c r="C6196" t="str">
        <f t="shared" si="2868"/>
        <v>NFSE</v>
      </c>
      <c r="D6196" t="str">
        <f t="shared" si="2869"/>
        <v>3611</v>
      </c>
      <c r="E6196" t="str">
        <f t="shared" si="2865"/>
        <v>COM</v>
      </c>
      <c r="F6196" t="str">
        <f t="shared" si="2870"/>
        <v>FARMÁCIA INDIANA LJ 30 (10127)</v>
      </c>
      <c r="G6196" t="str">
        <f t="shared" si="2871"/>
        <v>Serv.Prest. 06/10/2025 a 12/10/2025 - RPS: 1375 - NFSe: 3611</v>
      </c>
      <c r="H6196" t="str">
        <f t="shared" si="2872"/>
        <v>22/10/2025</v>
      </c>
      <c r="I6196" t="str">
        <f t="shared" si="2873"/>
        <v>14/10/2025</v>
      </c>
      <c r="J6196" t="str">
        <f t="shared" si="2874"/>
        <v>22/10/2025</v>
      </c>
      <c r="M6196">
        <v>303</v>
      </c>
      <c r="N6196" t="str">
        <f t="shared" si="2875"/>
        <v>RECEITAS COM ENTREGAS</v>
      </c>
      <c r="P6196">
        <v>185.64</v>
      </c>
      <c r="Q6196" t="str">
        <f>"FARMÁCIA INDIANA LJ 33 (10187)"</f>
        <v>FARMÁCIA INDIANA LJ 33 (10187)</v>
      </c>
      <c r="R6196" t="str">
        <f t="shared" si="2876"/>
        <v>RECEITAS COM ENTREGAS (303)</v>
      </c>
      <c r="S6196">
        <v>2785</v>
      </c>
      <c r="T6196">
        <v>2286</v>
      </c>
      <c r="U6196" t="s">
        <v>19</v>
      </c>
    </row>
    <row r="6197" spans="1:21">
      <c r="A6197" t="str">
        <f t="shared" si="2867"/>
        <v>22/10/2025</v>
      </c>
      <c r="B6197" t="str">
        <f t="shared" si="2877"/>
        <v>ENTRADA</v>
      </c>
      <c r="C6197" t="str">
        <f t="shared" si="2868"/>
        <v>NFSE</v>
      </c>
      <c r="D6197" t="str">
        <f t="shared" ref="D6197:D6207" si="2878">"3612"</f>
        <v>3612</v>
      </c>
      <c r="E6197" t="str">
        <f t="shared" si="2865"/>
        <v>COM</v>
      </c>
      <c r="F6197" t="str">
        <f t="shared" ref="F6197:F6207" si="2879">"FARMÁCIA INDIANA LJ 85 (10128)"</f>
        <v>FARMÁCIA INDIANA LJ 85 (10128)</v>
      </c>
      <c r="G6197" t="str">
        <f t="shared" ref="G6197:G6207" si="2880">"Serv.Prest. 06/10/2025 a 12/10/2025 - RPS: 1376 - NFSe: 3612"</f>
        <v>Serv.Prest. 06/10/2025 a 12/10/2025 - RPS: 1376 - NFSe: 3612</v>
      </c>
      <c r="H6197" t="str">
        <f t="shared" si="2872"/>
        <v>22/10/2025</v>
      </c>
      <c r="I6197" t="str">
        <f t="shared" si="2873"/>
        <v>14/10/2025</v>
      </c>
      <c r="J6197" t="str">
        <f t="shared" si="2874"/>
        <v>22/10/2025</v>
      </c>
      <c r="K6197">
        <v>1386.52</v>
      </c>
      <c r="L6197">
        <v>1386.52</v>
      </c>
      <c r="M6197">
        <v>303</v>
      </c>
      <c r="N6197" t="str">
        <f t="shared" si="2875"/>
        <v>RECEITAS COM ENTREGAS</v>
      </c>
      <c r="O6197">
        <v>1386.52</v>
      </c>
      <c r="R6197" t="str">
        <f t="shared" si="2876"/>
        <v>RECEITAS COM ENTREGAS (303)</v>
      </c>
      <c r="S6197">
        <v>2786</v>
      </c>
      <c r="T6197">
        <v>2287</v>
      </c>
      <c r="U6197" t="s">
        <v>19</v>
      </c>
    </row>
    <row r="6198" spans="1:21">
      <c r="A6198" t="str">
        <f t="shared" si="2867"/>
        <v>22/10/2025</v>
      </c>
      <c r="B6198" t="str">
        <f t="shared" si="2877"/>
        <v>ENTRADA</v>
      </c>
      <c r="C6198" t="str">
        <f t="shared" si="2868"/>
        <v>NFSE</v>
      </c>
      <c r="D6198" t="str">
        <f t="shared" si="2878"/>
        <v>3612</v>
      </c>
      <c r="E6198" t="str">
        <f t="shared" si="2865"/>
        <v>COM</v>
      </c>
      <c r="F6198" t="str">
        <f t="shared" si="2879"/>
        <v>FARMÁCIA INDIANA LJ 85 (10128)</v>
      </c>
      <c r="G6198" t="str">
        <f t="shared" si="2880"/>
        <v>Serv.Prest. 06/10/2025 a 12/10/2025 - RPS: 1376 - NFSe: 3612</v>
      </c>
      <c r="H6198" t="str">
        <f t="shared" si="2872"/>
        <v>22/10/2025</v>
      </c>
      <c r="I6198" t="str">
        <f t="shared" si="2873"/>
        <v>14/10/2025</v>
      </c>
      <c r="J6198" t="str">
        <f t="shared" si="2874"/>
        <v>22/10/2025</v>
      </c>
      <c r="M6198">
        <v>303</v>
      </c>
      <c r="N6198" t="str">
        <f t="shared" si="2875"/>
        <v>RECEITAS COM ENTREGAS</v>
      </c>
      <c r="P6198">
        <v>161.94</v>
      </c>
      <c r="Q6198" t="str">
        <f>"FARMÁCIA INDIANA LJ 119 (10053)"</f>
        <v>FARMÁCIA INDIANA LJ 119 (10053)</v>
      </c>
      <c r="R6198" t="str">
        <f t="shared" si="2876"/>
        <v>RECEITAS COM ENTREGAS (303)</v>
      </c>
      <c r="S6198">
        <v>2786</v>
      </c>
      <c r="T6198">
        <v>2287</v>
      </c>
      <c r="U6198" t="s">
        <v>19</v>
      </c>
    </row>
    <row r="6199" spans="1:21">
      <c r="A6199" t="str">
        <f t="shared" si="2867"/>
        <v>22/10/2025</v>
      </c>
      <c r="B6199" t="str">
        <f t="shared" si="2877"/>
        <v>ENTRADA</v>
      </c>
      <c r="C6199" t="str">
        <f t="shared" si="2868"/>
        <v>NFSE</v>
      </c>
      <c r="D6199" t="str">
        <f t="shared" si="2878"/>
        <v>3612</v>
      </c>
      <c r="E6199" t="str">
        <f t="shared" si="2865"/>
        <v>COM</v>
      </c>
      <c r="F6199" t="str">
        <f t="shared" si="2879"/>
        <v>FARMÁCIA INDIANA LJ 85 (10128)</v>
      </c>
      <c r="G6199" t="str">
        <f t="shared" si="2880"/>
        <v>Serv.Prest. 06/10/2025 a 12/10/2025 - RPS: 1376 - NFSe: 3612</v>
      </c>
      <c r="H6199" t="str">
        <f t="shared" si="2872"/>
        <v>22/10/2025</v>
      </c>
      <c r="I6199" t="str">
        <f t="shared" si="2873"/>
        <v>14/10/2025</v>
      </c>
      <c r="J6199" t="str">
        <f t="shared" si="2874"/>
        <v>22/10/2025</v>
      </c>
      <c r="M6199">
        <v>303</v>
      </c>
      <c r="N6199" t="str">
        <f t="shared" si="2875"/>
        <v>RECEITAS COM ENTREGAS</v>
      </c>
      <c r="P6199">
        <v>144.06</v>
      </c>
      <c r="Q6199" t="str">
        <f>"FARMÁCIA INDIANA LJ 163 (10072)"</f>
        <v>FARMÁCIA INDIANA LJ 163 (10072)</v>
      </c>
      <c r="R6199" t="str">
        <f t="shared" si="2876"/>
        <v>RECEITAS COM ENTREGAS (303)</v>
      </c>
      <c r="S6199">
        <v>2786</v>
      </c>
      <c r="T6199">
        <v>2287</v>
      </c>
      <c r="U6199" t="s">
        <v>19</v>
      </c>
    </row>
    <row r="6200" spans="1:21">
      <c r="A6200" t="str">
        <f t="shared" si="2867"/>
        <v>22/10/2025</v>
      </c>
      <c r="B6200" t="str">
        <f t="shared" si="2877"/>
        <v>ENTRADA</v>
      </c>
      <c r="C6200" t="str">
        <f t="shared" si="2868"/>
        <v>NFSE</v>
      </c>
      <c r="D6200" t="str">
        <f t="shared" si="2878"/>
        <v>3612</v>
      </c>
      <c r="E6200" t="str">
        <f t="shared" si="2865"/>
        <v>COM</v>
      </c>
      <c r="F6200" t="str">
        <f t="shared" si="2879"/>
        <v>FARMÁCIA INDIANA LJ 85 (10128)</v>
      </c>
      <c r="G6200" t="str">
        <f t="shared" si="2880"/>
        <v>Serv.Prest. 06/10/2025 a 12/10/2025 - RPS: 1376 - NFSe: 3612</v>
      </c>
      <c r="H6200" t="str">
        <f t="shared" si="2872"/>
        <v>22/10/2025</v>
      </c>
      <c r="I6200" t="str">
        <f t="shared" si="2873"/>
        <v>14/10/2025</v>
      </c>
      <c r="J6200" t="str">
        <f t="shared" si="2874"/>
        <v>22/10/2025</v>
      </c>
      <c r="M6200">
        <v>303</v>
      </c>
      <c r="N6200" t="str">
        <f t="shared" si="2875"/>
        <v>RECEITAS COM ENTREGAS</v>
      </c>
      <c r="P6200">
        <v>225.03</v>
      </c>
      <c r="Q6200" t="str">
        <f>"FARMÁCIA INDIANA LJ 181 (10078)"</f>
        <v>FARMÁCIA INDIANA LJ 181 (10078)</v>
      </c>
      <c r="R6200" t="str">
        <f t="shared" si="2876"/>
        <v>RECEITAS COM ENTREGAS (303)</v>
      </c>
      <c r="S6200">
        <v>2786</v>
      </c>
      <c r="T6200">
        <v>2287</v>
      </c>
      <c r="U6200" t="s">
        <v>19</v>
      </c>
    </row>
    <row r="6201" spans="1:21">
      <c r="A6201" t="str">
        <f t="shared" si="2867"/>
        <v>22/10/2025</v>
      </c>
      <c r="B6201" t="str">
        <f t="shared" si="2877"/>
        <v>ENTRADA</v>
      </c>
      <c r="C6201" t="str">
        <f t="shared" si="2868"/>
        <v>NFSE</v>
      </c>
      <c r="D6201" t="str">
        <f t="shared" si="2878"/>
        <v>3612</v>
      </c>
      <c r="E6201" t="str">
        <f t="shared" si="2865"/>
        <v>COM</v>
      </c>
      <c r="F6201" t="str">
        <f t="shared" si="2879"/>
        <v>FARMÁCIA INDIANA LJ 85 (10128)</v>
      </c>
      <c r="G6201" t="str">
        <f t="shared" si="2880"/>
        <v>Serv.Prest. 06/10/2025 a 12/10/2025 - RPS: 1376 - NFSe: 3612</v>
      </c>
      <c r="H6201" t="str">
        <f t="shared" si="2872"/>
        <v>22/10/2025</v>
      </c>
      <c r="I6201" t="str">
        <f t="shared" si="2873"/>
        <v>14/10/2025</v>
      </c>
      <c r="J6201" t="str">
        <f t="shared" si="2874"/>
        <v>22/10/2025</v>
      </c>
      <c r="M6201">
        <v>303</v>
      </c>
      <c r="N6201" t="str">
        <f t="shared" si="2875"/>
        <v>RECEITAS COM ENTREGAS</v>
      </c>
      <c r="P6201">
        <v>161.66999999999999</v>
      </c>
      <c r="Q6201" t="str">
        <f>"FARMÁCIA INDIANA LJ 221 (10093)"</f>
        <v>FARMÁCIA INDIANA LJ 221 (10093)</v>
      </c>
      <c r="R6201" t="str">
        <f t="shared" si="2876"/>
        <v>RECEITAS COM ENTREGAS (303)</v>
      </c>
      <c r="S6201">
        <v>2786</v>
      </c>
      <c r="T6201">
        <v>2287</v>
      </c>
      <c r="U6201" t="s">
        <v>19</v>
      </c>
    </row>
    <row r="6202" spans="1:21">
      <c r="A6202" t="str">
        <f t="shared" si="2867"/>
        <v>22/10/2025</v>
      </c>
      <c r="B6202" t="str">
        <f t="shared" si="2877"/>
        <v>ENTRADA</v>
      </c>
      <c r="C6202" t="str">
        <f t="shared" si="2868"/>
        <v>NFSE</v>
      </c>
      <c r="D6202" t="str">
        <f t="shared" si="2878"/>
        <v>3612</v>
      </c>
      <c r="E6202" t="str">
        <f t="shared" si="2865"/>
        <v>COM</v>
      </c>
      <c r="F6202" t="str">
        <f t="shared" si="2879"/>
        <v>FARMÁCIA INDIANA LJ 85 (10128)</v>
      </c>
      <c r="G6202" t="str">
        <f t="shared" si="2880"/>
        <v>Serv.Prest. 06/10/2025 a 12/10/2025 - RPS: 1376 - NFSe: 3612</v>
      </c>
      <c r="H6202" t="str">
        <f t="shared" si="2872"/>
        <v>22/10/2025</v>
      </c>
      <c r="I6202" t="str">
        <f t="shared" si="2873"/>
        <v>14/10/2025</v>
      </c>
      <c r="J6202" t="str">
        <f t="shared" si="2874"/>
        <v>22/10/2025</v>
      </c>
      <c r="M6202">
        <v>303</v>
      </c>
      <c r="N6202" t="str">
        <f t="shared" si="2875"/>
        <v>RECEITAS COM ENTREGAS</v>
      </c>
      <c r="P6202">
        <v>187.18</v>
      </c>
      <c r="Q6202" t="str">
        <f>"FARMÁCIA INDIANA LJ 243 (10142)"</f>
        <v>FARMÁCIA INDIANA LJ 243 (10142)</v>
      </c>
      <c r="R6202" t="str">
        <f t="shared" si="2876"/>
        <v>RECEITAS COM ENTREGAS (303)</v>
      </c>
      <c r="S6202">
        <v>2786</v>
      </c>
      <c r="T6202">
        <v>2287</v>
      </c>
      <c r="U6202" t="s">
        <v>19</v>
      </c>
    </row>
    <row r="6203" spans="1:21">
      <c r="A6203" t="str">
        <f t="shared" si="2867"/>
        <v>22/10/2025</v>
      </c>
      <c r="B6203" t="str">
        <f t="shared" si="2877"/>
        <v>ENTRADA</v>
      </c>
      <c r="C6203" t="str">
        <f t="shared" si="2868"/>
        <v>NFSE</v>
      </c>
      <c r="D6203" t="str">
        <f t="shared" si="2878"/>
        <v>3612</v>
      </c>
      <c r="E6203" t="str">
        <f t="shared" si="2865"/>
        <v>COM</v>
      </c>
      <c r="F6203" t="str">
        <f t="shared" si="2879"/>
        <v>FARMÁCIA INDIANA LJ 85 (10128)</v>
      </c>
      <c r="G6203" t="str">
        <f t="shared" si="2880"/>
        <v>Serv.Prest. 06/10/2025 a 12/10/2025 - RPS: 1376 - NFSe: 3612</v>
      </c>
      <c r="H6203" t="str">
        <f t="shared" si="2872"/>
        <v>22/10/2025</v>
      </c>
      <c r="I6203" t="str">
        <f t="shared" si="2873"/>
        <v>14/10/2025</v>
      </c>
      <c r="J6203" t="str">
        <f t="shared" si="2874"/>
        <v>22/10/2025</v>
      </c>
      <c r="M6203">
        <v>303</v>
      </c>
      <c r="N6203" t="str">
        <f t="shared" si="2875"/>
        <v>RECEITAS COM ENTREGAS</v>
      </c>
      <c r="P6203">
        <v>86.1</v>
      </c>
      <c r="Q6203" t="str">
        <f>"FARMÁCIA INDIANA LJ 211 (10168)"</f>
        <v>FARMÁCIA INDIANA LJ 211 (10168)</v>
      </c>
      <c r="R6203" t="str">
        <f t="shared" si="2876"/>
        <v>RECEITAS COM ENTREGAS (303)</v>
      </c>
      <c r="S6203">
        <v>2786</v>
      </c>
      <c r="T6203">
        <v>2287</v>
      </c>
      <c r="U6203" t="s">
        <v>19</v>
      </c>
    </row>
    <row r="6204" spans="1:21">
      <c r="A6204" t="str">
        <f t="shared" si="2867"/>
        <v>22/10/2025</v>
      </c>
      <c r="B6204" t="str">
        <f t="shared" si="2877"/>
        <v>ENTRADA</v>
      </c>
      <c r="C6204" t="str">
        <f t="shared" si="2868"/>
        <v>NFSE</v>
      </c>
      <c r="D6204" t="str">
        <f t="shared" si="2878"/>
        <v>3612</v>
      </c>
      <c r="E6204" t="str">
        <f t="shared" si="2865"/>
        <v>COM</v>
      </c>
      <c r="F6204" t="str">
        <f t="shared" si="2879"/>
        <v>FARMÁCIA INDIANA LJ 85 (10128)</v>
      </c>
      <c r="G6204" t="str">
        <f t="shared" si="2880"/>
        <v>Serv.Prest. 06/10/2025 a 12/10/2025 - RPS: 1376 - NFSe: 3612</v>
      </c>
      <c r="H6204" t="str">
        <f t="shared" si="2872"/>
        <v>22/10/2025</v>
      </c>
      <c r="I6204" t="str">
        <f t="shared" si="2873"/>
        <v>14/10/2025</v>
      </c>
      <c r="J6204" t="str">
        <f t="shared" si="2874"/>
        <v>22/10/2025</v>
      </c>
      <c r="M6204">
        <v>303</v>
      </c>
      <c r="N6204" t="str">
        <f t="shared" si="2875"/>
        <v>RECEITAS COM ENTREGAS</v>
      </c>
      <c r="P6204">
        <v>86.1</v>
      </c>
      <c r="Q6204" t="str">
        <f>"FARMÁCIA INDIANA LJ 236 (10169)"</f>
        <v>FARMÁCIA INDIANA LJ 236 (10169)</v>
      </c>
      <c r="R6204" t="str">
        <f t="shared" si="2876"/>
        <v>RECEITAS COM ENTREGAS (303)</v>
      </c>
      <c r="S6204">
        <v>2786</v>
      </c>
      <c r="T6204">
        <v>2287</v>
      </c>
      <c r="U6204" t="s">
        <v>19</v>
      </c>
    </row>
    <row r="6205" spans="1:21">
      <c r="A6205" t="str">
        <f t="shared" si="2867"/>
        <v>22/10/2025</v>
      </c>
      <c r="B6205" t="str">
        <f t="shared" si="2877"/>
        <v>ENTRADA</v>
      </c>
      <c r="C6205" t="str">
        <f t="shared" si="2868"/>
        <v>NFSE</v>
      </c>
      <c r="D6205" t="str">
        <f t="shared" si="2878"/>
        <v>3612</v>
      </c>
      <c r="E6205" t="str">
        <f t="shared" si="2865"/>
        <v>COM</v>
      </c>
      <c r="F6205" t="str">
        <f t="shared" si="2879"/>
        <v>FARMÁCIA INDIANA LJ 85 (10128)</v>
      </c>
      <c r="G6205" t="str">
        <f t="shared" si="2880"/>
        <v>Serv.Prest. 06/10/2025 a 12/10/2025 - RPS: 1376 - NFSe: 3612</v>
      </c>
      <c r="H6205" t="str">
        <f t="shared" si="2872"/>
        <v>22/10/2025</v>
      </c>
      <c r="I6205" t="str">
        <f t="shared" si="2873"/>
        <v>14/10/2025</v>
      </c>
      <c r="J6205" t="str">
        <f t="shared" si="2874"/>
        <v>22/10/2025</v>
      </c>
      <c r="M6205">
        <v>303</v>
      </c>
      <c r="N6205" t="str">
        <f t="shared" si="2875"/>
        <v>RECEITAS COM ENTREGAS</v>
      </c>
      <c r="P6205">
        <v>172.21</v>
      </c>
      <c r="Q6205" t="str">
        <f>"FARMÁCIA INDIANA LJ 188 (10176)"</f>
        <v>FARMÁCIA INDIANA LJ 188 (10176)</v>
      </c>
      <c r="R6205" t="str">
        <f t="shared" si="2876"/>
        <v>RECEITAS COM ENTREGAS (303)</v>
      </c>
      <c r="S6205">
        <v>2786</v>
      </c>
      <c r="T6205">
        <v>2287</v>
      </c>
      <c r="U6205" t="s">
        <v>19</v>
      </c>
    </row>
    <row r="6206" spans="1:21">
      <c r="A6206" t="str">
        <f t="shared" si="2867"/>
        <v>22/10/2025</v>
      </c>
      <c r="B6206" t="str">
        <f t="shared" si="2877"/>
        <v>ENTRADA</v>
      </c>
      <c r="C6206" t="str">
        <f t="shared" si="2868"/>
        <v>NFSE</v>
      </c>
      <c r="D6206" t="str">
        <f t="shared" si="2878"/>
        <v>3612</v>
      </c>
      <c r="E6206" t="str">
        <f t="shared" si="2865"/>
        <v>COM</v>
      </c>
      <c r="F6206" t="str">
        <f t="shared" si="2879"/>
        <v>FARMÁCIA INDIANA LJ 85 (10128)</v>
      </c>
      <c r="G6206" t="str">
        <f t="shared" si="2880"/>
        <v>Serv.Prest. 06/10/2025 a 12/10/2025 - RPS: 1376 - NFSe: 3612</v>
      </c>
      <c r="H6206" t="str">
        <f t="shared" si="2872"/>
        <v>22/10/2025</v>
      </c>
      <c r="I6206" t="str">
        <f t="shared" si="2873"/>
        <v>14/10/2025</v>
      </c>
      <c r="J6206" t="str">
        <f t="shared" si="2874"/>
        <v>22/10/2025</v>
      </c>
      <c r="M6206">
        <v>303</v>
      </c>
      <c r="N6206" t="str">
        <f t="shared" si="2875"/>
        <v>RECEITAS COM ENTREGAS</v>
      </c>
      <c r="P6206">
        <v>135.05000000000001</v>
      </c>
      <c r="Q6206" t="str">
        <f>"FARMÁCIA INDIANA LJ 273 (10188)"</f>
        <v>FARMÁCIA INDIANA LJ 273 (10188)</v>
      </c>
      <c r="R6206" t="str">
        <f t="shared" si="2876"/>
        <v>RECEITAS COM ENTREGAS (303)</v>
      </c>
      <c r="S6206">
        <v>2786</v>
      </c>
      <c r="T6206">
        <v>2287</v>
      </c>
      <c r="U6206" t="s">
        <v>19</v>
      </c>
    </row>
    <row r="6207" spans="1:21">
      <c r="A6207" t="str">
        <f t="shared" si="2867"/>
        <v>22/10/2025</v>
      </c>
      <c r="B6207" t="str">
        <f t="shared" si="2877"/>
        <v>ENTRADA</v>
      </c>
      <c r="C6207" t="str">
        <f t="shared" si="2868"/>
        <v>NFSE</v>
      </c>
      <c r="D6207" t="str">
        <f t="shared" si="2878"/>
        <v>3612</v>
      </c>
      <c r="E6207" t="str">
        <f t="shared" si="2865"/>
        <v>COM</v>
      </c>
      <c r="F6207" t="str">
        <f t="shared" si="2879"/>
        <v>FARMÁCIA INDIANA LJ 85 (10128)</v>
      </c>
      <c r="G6207" t="str">
        <f t="shared" si="2880"/>
        <v>Serv.Prest. 06/10/2025 a 12/10/2025 - RPS: 1376 - NFSe: 3612</v>
      </c>
      <c r="H6207" t="str">
        <f t="shared" si="2872"/>
        <v>22/10/2025</v>
      </c>
      <c r="I6207" t="str">
        <f t="shared" si="2873"/>
        <v>14/10/2025</v>
      </c>
      <c r="J6207" t="str">
        <f t="shared" si="2874"/>
        <v>22/10/2025</v>
      </c>
      <c r="M6207">
        <v>303</v>
      </c>
      <c r="N6207" t="str">
        <f t="shared" si="2875"/>
        <v>RECEITAS COM ENTREGAS</v>
      </c>
      <c r="P6207">
        <v>27.18</v>
      </c>
      <c r="Q6207" t="str">
        <f>"FARMÁCIA INDIANA LJ 235 (10190)"</f>
        <v>FARMÁCIA INDIANA LJ 235 (10190)</v>
      </c>
      <c r="R6207" t="str">
        <f t="shared" si="2876"/>
        <v>RECEITAS COM ENTREGAS (303)</v>
      </c>
      <c r="S6207">
        <v>2786</v>
      </c>
      <c r="T6207">
        <v>2287</v>
      </c>
      <c r="U6207" t="s">
        <v>19</v>
      </c>
    </row>
    <row r="6208" spans="1:21">
      <c r="A6208" t="str">
        <f t="shared" si="2867"/>
        <v>22/10/2025</v>
      </c>
      <c r="B6208" t="str">
        <f t="shared" si="2877"/>
        <v>ENTRADA</v>
      </c>
      <c r="C6208" t="str">
        <f t="shared" si="2868"/>
        <v>NFSE</v>
      </c>
      <c r="D6208" t="str">
        <f>"3623"</f>
        <v>3623</v>
      </c>
      <c r="E6208" t="str">
        <f t="shared" si="2865"/>
        <v>COM</v>
      </c>
      <c r="F6208" t="str">
        <f>"PENSE FARMA 07 (10201)"</f>
        <v>PENSE FARMA 07 (10201)</v>
      </c>
      <c r="G6208" t="str">
        <f>"Serv.Prest. 13/10/2025 a 19/10/2025 - RPS: 1387 - NFSe: 3623"</f>
        <v>Serv.Prest. 13/10/2025 a 19/10/2025 - RPS: 1387 - NFSe: 3623</v>
      </c>
      <c r="H6208" t="str">
        <f t="shared" si="2872"/>
        <v>22/10/2025</v>
      </c>
      <c r="I6208" t="str">
        <f t="shared" ref="I6208:I6220" si="2881">("20/10/2025")</f>
        <v>20/10/2025</v>
      </c>
      <c r="J6208" t="str">
        <f t="shared" si="2874"/>
        <v>22/10/2025</v>
      </c>
      <c r="K6208">
        <v>267.75</v>
      </c>
      <c r="L6208">
        <v>267.75</v>
      </c>
      <c r="M6208">
        <v>303</v>
      </c>
      <c r="N6208" t="str">
        <f t="shared" si="2875"/>
        <v>RECEITAS COM ENTREGAS</v>
      </c>
      <c r="O6208">
        <v>267.75</v>
      </c>
      <c r="R6208" t="str">
        <f t="shared" si="2876"/>
        <v>RECEITAS COM ENTREGAS (303)</v>
      </c>
      <c r="S6208">
        <v>2787</v>
      </c>
      <c r="T6208">
        <v>2299</v>
      </c>
      <c r="U6208" t="s">
        <v>19</v>
      </c>
    </row>
    <row r="6209" spans="1:21">
      <c r="A6209" t="str">
        <f t="shared" si="2867"/>
        <v>22/10/2025</v>
      </c>
      <c r="B6209" t="str">
        <f t="shared" si="2877"/>
        <v>ENTRADA</v>
      </c>
      <c r="C6209" t="str">
        <f t="shared" si="2868"/>
        <v>NFSE</v>
      </c>
      <c r="D6209" t="str">
        <f>"3623"</f>
        <v>3623</v>
      </c>
      <c r="E6209" t="str">
        <f t="shared" si="2865"/>
        <v>COM</v>
      </c>
      <c r="F6209" t="str">
        <f>"PENSE FARMA 07 (10201)"</f>
        <v>PENSE FARMA 07 (10201)</v>
      </c>
      <c r="G6209" t="str">
        <f>"Serv.Prest. 13/10/2025 a 19/10/2025 - RPS: 1387 - NFSe: 3623"</f>
        <v>Serv.Prest. 13/10/2025 a 19/10/2025 - RPS: 1387 - NFSe: 3623</v>
      </c>
      <c r="H6209" t="str">
        <f t="shared" si="2872"/>
        <v>22/10/2025</v>
      </c>
      <c r="I6209" t="str">
        <f t="shared" si="2881"/>
        <v>20/10/2025</v>
      </c>
      <c r="J6209" t="str">
        <f t="shared" si="2874"/>
        <v>22/10/2025</v>
      </c>
      <c r="M6209">
        <v>303</v>
      </c>
      <c r="N6209" t="str">
        <f t="shared" si="2875"/>
        <v>RECEITAS COM ENTREGAS</v>
      </c>
      <c r="P6209">
        <v>89.24</v>
      </c>
      <c r="Q6209" t="str">
        <f>"PENSE FARMA 07 (10201)"</f>
        <v>PENSE FARMA 07 (10201)</v>
      </c>
      <c r="R6209" t="str">
        <f t="shared" si="2876"/>
        <v>RECEITAS COM ENTREGAS (303)</v>
      </c>
      <c r="S6209">
        <v>2787</v>
      </c>
      <c r="T6209">
        <v>2299</v>
      </c>
      <c r="U6209" t="s">
        <v>19</v>
      </c>
    </row>
    <row r="6210" spans="1:21">
      <c r="A6210" t="str">
        <f t="shared" si="2867"/>
        <v>22/10/2025</v>
      </c>
      <c r="B6210" t="str">
        <f t="shared" si="2877"/>
        <v>ENTRADA</v>
      </c>
      <c r="C6210" t="str">
        <f t="shared" si="2868"/>
        <v>NFSE</v>
      </c>
      <c r="D6210" t="str">
        <f>"3623"</f>
        <v>3623</v>
      </c>
      <c r="E6210" t="str">
        <f t="shared" si="2865"/>
        <v>COM</v>
      </c>
      <c r="F6210" t="str">
        <f>"PENSE FARMA 07 (10201)"</f>
        <v>PENSE FARMA 07 (10201)</v>
      </c>
      <c r="G6210" t="str">
        <f>"Serv.Prest. 13/10/2025 a 19/10/2025 - RPS: 1387 - NFSe: 3623"</f>
        <v>Serv.Prest. 13/10/2025 a 19/10/2025 - RPS: 1387 - NFSe: 3623</v>
      </c>
      <c r="H6210" t="str">
        <f t="shared" si="2872"/>
        <v>22/10/2025</v>
      </c>
      <c r="I6210" t="str">
        <f t="shared" si="2881"/>
        <v>20/10/2025</v>
      </c>
      <c r="J6210" t="str">
        <f t="shared" si="2874"/>
        <v>22/10/2025</v>
      </c>
      <c r="M6210">
        <v>303</v>
      </c>
      <c r="N6210" t="str">
        <f t="shared" si="2875"/>
        <v>RECEITAS COM ENTREGAS</v>
      </c>
      <c r="P6210">
        <v>89.24</v>
      </c>
      <c r="Q6210" t="str">
        <f>"PENSE FARMA 45 (10209)"</f>
        <v>PENSE FARMA 45 (10209)</v>
      </c>
      <c r="R6210" t="str">
        <f t="shared" si="2876"/>
        <v>RECEITAS COM ENTREGAS (303)</v>
      </c>
      <c r="S6210">
        <v>2787</v>
      </c>
      <c r="T6210">
        <v>2299</v>
      </c>
      <c r="U6210" t="s">
        <v>19</v>
      </c>
    </row>
    <row r="6211" spans="1:21">
      <c r="A6211" t="str">
        <f t="shared" si="2867"/>
        <v>22/10/2025</v>
      </c>
      <c r="B6211" t="str">
        <f t="shared" si="2877"/>
        <v>ENTRADA</v>
      </c>
      <c r="C6211" t="str">
        <f t="shared" si="2868"/>
        <v>NFSE</v>
      </c>
      <c r="D6211" t="str">
        <f>"3623"</f>
        <v>3623</v>
      </c>
      <c r="E6211" t="str">
        <f t="shared" si="2865"/>
        <v>COM</v>
      </c>
      <c r="F6211" t="str">
        <f>"PENSE FARMA 07 (10201)"</f>
        <v>PENSE FARMA 07 (10201)</v>
      </c>
      <c r="G6211" t="str">
        <f>"Serv.Prest. 13/10/2025 a 19/10/2025 - RPS: 1387 - NFSe: 3623"</f>
        <v>Serv.Prest. 13/10/2025 a 19/10/2025 - RPS: 1387 - NFSe: 3623</v>
      </c>
      <c r="H6211" t="str">
        <f t="shared" si="2872"/>
        <v>22/10/2025</v>
      </c>
      <c r="I6211" t="str">
        <f t="shared" si="2881"/>
        <v>20/10/2025</v>
      </c>
      <c r="J6211" t="str">
        <f t="shared" si="2874"/>
        <v>22/10/2025</v>
      </c>
      <c r="M6211">
        <v>303</v>
      </c>
      <c r="N6211" t="str">
        <f t="shared" si="2875"/>
        <v>RECEITAS COM ENTREGAS</v>
      </c>
      <c r="P6211">
        <v>89.27</v>
      </c>
      <c r="Q6211" t="str">
        <f>"PENSE FARMA 50 (10210)"</f>
        <v>PENSE FARMA 50 (10210)</v>
      </c>
      <c r="R6211" t="str">
        <f t="shared" si="2876"/>
        <v>RECEITAS COM ENTREGAS (303)</v>
      </c>
      <c r="S6211">
        <v>2787</v>
      </c>
      <c r="T6211">
        <v>2299</v>
      </c>
      <c r="U6211" t="s">
        <v>19</v>
      </c>
    </row>
    <row r="6212" spans="1:21">
      <c r="A6212" t="str">
        <f t="shared" si="2867"/>
        <v>22/10/2025</v>
      </c>
      <c r="B6212" t="str">
        <f t="shared" si="2877"/>
        <v>ENTRADA</v>
      </c>
      <c r="C6212" t="str">
        <f t="shared" si="2868"/>
        <v>NFSE</v>
      </c>
      <c r="D6212" t="str">
        <f t="shared" ref="D6212:D6217" si="2882">"3624"</f>
        <v>3624</v>
      </c>
      <c r="E6212" t="str">
        <f t="shared" si="2865"/>
        <v>COM</v>
      </c>
      <c r="F6212" t="str">
        <f t="shared" ref="F6212:F6217" si="2883">"PENSE FARMA 08 (10217)"</f>
        <v>PENSE FARMA 08 (10217)</v>
      </c>
      <c r="G6212" t="str">
        <f t="shared" ref="G6212:G6217" si="2884">"Serv.Prest. 13/10/2025 a 19/10/2025 - RPS: 1388 - NFSe: 3624"</f>
        <v>Serv.Prest. 13/10/2025 a 19/10/2025 - RPS: 1388 - NFSe: 3624</v>
      </c>
      <c r="H6212" t="str">
        <f t="shared" si="2872"/>
        <v>22/10/2025</v>
      </c>
      <c r="I6212" t="str">
        <f t="shared" si="2881"/>
        <v>20/10/2025</v>
      </c>
      <c r="J6212" t="str">
        <f t="shared" si="2874"/>
        <v>22/10/2025</v>
      </c>
      <c r="K6212">
        <v>589.5</v>
      </c>
      <c r="L6212">
        <v>589.5</v>
      </c>
      <c r="M6212">
        <v>303</v>
      </c>
      <c r="N6212" t="str">
        <f t="shared" si="2875"/>
        <v>RECEITAS COM ENTREGAS</v>
      </c>
      <c r="O6212">
        <v>589.5</v>
      </c>
      <c r="R6212" t="str">
        <f t="shared" si="2876"/>
        <v>RECEITAS COM ENTREGAS (303)</v>
      </c>
      <c r="S6212">
        <v>2788</v>
      </c>
      <c r="T6212">
        <v>2300</v>
      </c>
      <c r="U6212" t="s">
        <v>19</v>
      </c>
    </row>
    <row r="6213" spans="1:21">
      <c r="A6213" t="str">
        <f t="shared" si="2867"/>
        <v>22/10/2025</v>
      </c>
      <c r="B6213" t="str">
        <f t="shared" si="2877"/>
        <v>ENTRADA</v>
      </c>
      <c r="C6213" t="str">
        <f t="shared" si="2868"/>
        <v>NFSE</v>
      </c>
      <c r="D6213" t="str">
        <f t="shared" si="2882"/>
        <v>3624</v>
      </c>
      <c r="E6213" t="str">
        <f t="shared" si="2865"/>
        <v>COM</v>
      </c>
      <c r="F6213" t="str">
        <f t="shared" si="2883"/>
        <v>PENSE FARMA 08 (10217)</v>
      </c>
      <c r="G6213" t="str">
        <f t="shared" si="2884"/>
        <v>Serv.Prest. 13/10/2025 a 19/10/2025 - RPS: 1388 - NFSe: 3624</v>
      </c>
      <c r="H6213" t="str">
        <f t="shared" si="2872"/>
        <v>22/10/2025</v>
      </c>
      <c r="I6213" t="str">
        <f t="shared" si="2881"/>
        <v>20/10/2025</v>
      </c>
      <c r="J6213" t="str">
        <f t="shared" si="2874"/>
        <v>22/10/2025</v>
      </c>
      <c r="M6213">
        <v>303</v>
      </c>
      <c r="N6213" t="str">
        <f t="shared" si="2875"/>
        <v>RECEITAS COM ENTREGAS</v>
      </c>
      <c r="P6213">
        <v>117.9</v>
      </c>
      <c r="Q6213" t="str">
        <f>"PENSE FARMA 08 (10217)"</f>
        <v>PENSE FARMA 08 (10217)</v>
      </c>
      <c r="R6213" t="str">
        <f t="shared" si="2876"/>
        <v>RECEITAS COM ENTREGAS (303)</v>
      </c>
      <c r="S6213">
        <v>2788</v>
      </c>
      <c r="T6213">
        <v>2300</v>
      </c>
      <c r="U6213" t="s">
        <v>19</v>
      </c>
    </row>
    <row r="6214" spans="1:21">
      <c r="A6214" t="str">
        <f t="shared" si="2867"/>
        <v>22/10/2025</v>
      </c>
      <c r="B6214" t="str">
        <f t="shared" si="2877"/>
        <v>ENTRADA</v>
      </c>
      <c r="C6214" t="str">
        <f t="shared" si="2868"/>
        <v>NFSE</v>
      </c>
      <c r="D6214" t="str">
        <f t="shared" si="2882"/>
        <v>3624</v>
      </c>
      <c r="E6214" t="str">
        <f t="shared" si="2865"/>
        <v>COM</v>
      </c>
      <c r="F6214" t="str">
        <f t="shared" si="2883"/>
        <v>PENSE FARMA 08 (10217)</v>
      </c>
      <c r="G6214" t="str">
        <f t="shared" si="2884"/>
        <v>Serv.Prest. 13/10/2025 a 19/10/2025 - RPS: 1388 - NFSe: 3624</v>
      </c>
      <c r="H6214" t="str">
        <f t="shared" si="2872"/>
        <v>22/10/2025</v>
      </c>
      <c r="I6214" t="str">
        <f t="shared" si="2881"/>
        <v>20/10/2025</v>
      </c>
      <c r="J6214" t="str">
        <f t="shared" si="2874"/>
        <v>22/10/2025</v>
      </c>
      <c r="M6214">
        <v>303</v>
      </c>
      <c r="N6214" t="str">
        <f t="shared" si="2875"/>
        <v>RECEITAS COM ENTREGAS</v>
      </c>
      <c r="P6214">
        <v>117.9</v>
      </c>
      <c r="Q6214" t="str">
        <f>"PENSE FARMA 11 (10220)"</f>
        <v>PENSE FARMA 11 (10220)</v>
      </c>
      <c r="R6214" t="str">
        <f t="shared" si="2876"/>
        <v>RECEITAS COM ENTREGAS (303)</v>
      </c>
      <c r="S6214">
        <v>2788</v>
      </c>
      <c r="T6214">
        <v>2300</v>
      </c>
      <c r="U6214" t="s">
        <v>19</v>
      </c>
    </row>
    <row r="6215" spans="1:21">
      <c r="A6215" t="str">
        <f t="shared" si="2867"/>
        <v>22/10/2025</v>
      </c>
      <c r="B6215" t="str">
        <f t="shared" si="2877"/>
        <v>ENTRADA</v>
      </c>
      <c r="C6215" t="str">
        <f t="shared" si="2868"/>
        <v>NFSE</v>
      </c>
      <c r="D6215" t="str">
        <f t="shared" si="2882"/>
        <v>3624</v>
      </c>
      <c r="E6215" t="str">
        <f t="shared" si="2865"/>
        <v>COM</v>
      </c>
      <c r="F6215" t="str">
        <f t="shared" si="2883"/>
        <v>PENSE FARMA 08 (10217)</v>
      </c>
      <c r="G6215" t="str">
        <f t="shared" si="2884"/>
        <v>Serv.Prest. 13/10/2025 a 19/10/2025 - RPS: 1388 - NFSe: 3624</v>
      </c>
      <c r="H6215" t="str">
        <f t="shared" si="2872"/>
        <v>22/10/2025</v>
      </c>
      <c r="I6215" t="str">
        <f t="shared" si="2881"/>
        <v>20/10/2025</v>
      </c>
      <c r="J6215" t="str">
        <f t="shared" si="2874"/>
        <v>22/10/2025</v>
      </c>
      <c r="M6215">
        <v>303</v>
      </c>
      <c r="N6215" t="str">
        <f t="shared" si="2875"/>
        <v>RECEITAS COM ENTREGAS</v>
      </c>
      <c r="P6215">
        <v>117.9</v>
      </c>
      <c r="Q6215" t="str">
        <f>"PENSE FARMA 41 (10229)"</f>
        <v>PENSE FARMA 41 (10229)</v>
      </c>
      <c r="R6215" t="str">
        <f t="shared" si="2876"/>
        <v>RECEITAS COM ENTREGAS (303)</v>
      </c>
      <c r="S6215">
        <v>2788</v>
      </c>
      <c r="T6215">
        <v>2300</v>
      </c>
      <c r="U6215" t="s">
        <v>19</v>
      </c>
    </row>
    <row r="6216" spans="1:21">
      <c r="A6216" t="str">
        <f t="shared" ref="A6216:A6247" si="2885">("22/10/2025")</f>
        <v>22/10/2025</v>
      </c>
      <c r="B6216" t="str">
        <f t="shared" si="2877"/>
        <v>ENTRADA</v>
      </c>
      <c r="C6216" t="str">
        <f t="shared" ref="C6216:C6247" si="2886">"NFSE"</f>
        <v>NFSE</v>
      </c>
      <c r="D6216" t="str">
        <f t="shared" si="2882"/>
        <v>3624</v>
      </c>
      <c r="E6216" t="str">
        <f t="shared" si="2865"/>
        <v>COM</v>
      </c>
      <c r="F6216" t="str">
        <f t="shared" si="2883"/>
        <v>PENSE FARMA 08 (10217)</v>
      </c>
      <c r="G6216" t="str">
        <f t="shared" si="2884"/>
        <v>Serv.Prest. 13/10/2025 a 19/10/2025 - RPS: 1388 - NFSe: 3624</v>
      </c>
      <c r="H6216" t="str">
        <f t="shared" si="2872"/>
        <v>22/10/2025</v>
      </c>
      <c r="I6216" t="str">
        <f t="shared" si="2881"/>
        <v>20/10/2025</v>
      </c>
      <c r="J6216" t="str">
        <f t="shared" ref="J6216:J6247" si="2887">("22/10/2025")</f>
        <v>22/10/2025</v>
      </c>
      <c r="M6216">
        <v>303</v>
      </c>
      <c r="N6216" t="str">
        <f t="shared" ref="N6216:N6247" si="2888">"RECEITAS COM ENTREGAS"</f>
        <v>RECEITAS COM ENTREGAS</v>
      </c>
      <c r="P6216">
        <v>117.9</v>
      </c>
      <c r="Q6216" t="str">
        <f>"PENSE FARMA 42 (10230)"</f>
        <v>PENSE FARMA 42 (10230)</v>
      </c>
      <c r="R6216" t="str">
        <f t="shared" ref="R6216:R6247" si="2889">"RECEITAS COM ENTREGAS (303)"</f>
        <v>RECEITAS COM ENTREGAS (303)</v>
      </c>
      <c r="S6216">
        <v>2788</v>
      </c>
      <c r="T6216">
        <v>2300</v>
      </c>
      <c r="U6216" t="s">
        <v>19</v>
      </c>
    </row>
    <row r="6217" spans="1:21">
      <c r="A6217" t="str">
        <f t="shared" si="2885"/>
        <v>22/10/2025</v>
      </c>
      <c r="B6217" t="str">
        <f t="shared" si="2877"/>
        <v>ENTRADA</v>
      </c>
      <c r="C6217" t="str">
        <f t="shared" si="2886"/>
        <v>NFSE</v>
      </c>
      <c r="D6217" t="str">
        <f t="shared" si="2882"/>
        <v>3624</v>
      </c>
      <c r="E6217" t="str">
        <f t="shared" si="2865"/>
        <v>COM</v>
      </c>
      <c r="F6217" t="str">
        <f t="shared" si="2883"/>
        <v>PENSE FARMA 08 (10217)</v>
      </c>
      <c r="G6217" t="str">
        <f t="shared" si="2884"/>
        <v>Serv.Prest. 13/10/2025 a 19/10/2025 - RPS: 1388 - NFSe: 3624</v>
      </c>
      <c r="H6217" t="str">
        <f t="shared" si="2872"/>
        <v>22/10/2025</v>
      </c>
      <c r="I6217" t="str">
        <f t="shared" si="2881"/>
        <v>20/10/2025</v>
      </c>
      <c r="J6217" t="str">
        <f t="shared" si="2887"/>
        <v>22/10/2025</v>
      </c>
      <c r="M6217">
        <v>303</v>
      </c>
      <c r="N6217" t="str">
        <f t="shared" si="2888"/>
        <v>RECEITAS COM ENTREGAS</v>
      </c>
      <c r="P6217">
        <v>117.9</v>
      </c>
      <c r="Q6217" t="str">
        <f>"PENSE FARMA 52 (10236)"</f>
        <v>PENSE FARMA 52 (10236)</v>
      </c>
      <c r="R6217" t="str">
        <f t="shared" si="2889"/>
        <v>RECEITAS COM ENTREGAS (303)</v>
      </c>
      <c r="S6217">
        <v>2788</v>
      </c>
      <c r="T6217">
        <v>2300</v>
      </c>
      <c r="U6217" t="s">
        <v>19</v>
      </c>
    </row>
    <row r="6218" spans="1:21">
      <c r="A6218" t="str">
        <f t="shared" si="2885"/>
        <v>22/10/2025</v>
      </c>
      <c r="B6218" t="str">
        <f t="shared" si="2877"/>
        <v>ENTRADA</v>
      </c>
      <c r="C6218" t="str">
        <f t="shared" si="2886"/>
        <v>NFSE</v>
      </c>
      <c r="D6218" t="str">
        <f>"3625"</f>
        <v>3625</v>
      </c>
      <c r="E6218" t="str">
        <f t="shared" si="2865"/>
        <v>COM</v>
      </c>
      <c r="F6218" t="str">
        <f>"PENSE FARMA 09 (10218)"</f>
        <v>PENSE FARMA 09 (10218)</v>
      </c>
      <c r="G6218" t="str">
        <f>"Serv.Prest. 13/10/2025 a 19/10/2025 - RPS: 1390 - NFSe: 3625"</f>
        <v>Serv.Prest. 13/10/2025 a 19/10/2025 - RPS: 1390 - NFSe: 3625</v>
      </c>
      <c r="H6218" t="str">
        <f t="shared" si="2872"/>
        <v>22/10/2025</v>
      </c>
      <c r="I6218" t="str">
        <f t="shared" si="2881"/>
        <v>20/10/2025</v>
      </c>
      <c r="J6218" t="str">
        <f t="shared" si="2887"/>
        <v>22/10/2025</v>
      </c>
      <c r="K6218">
        <v>294.52999999999997</v>
      </c>
      <c r="L6218">
        <v>294.52999999999997</v>
      </c>
      <c r="M6218">
        <v>303</v>
      </c>
      <c r="N6218" t="str">
        <f t="shared" si="2888"/>
        <v>RECEITAS COM ENTREGAS</v>
      </c>
      <c r="O6218">
        <v>294.52999999999997</v>
      </c>
      <c r="R6218" t="str">
        <f t="shared" si="2889"/>
        <v>RECEITAS COM ENTREGAS (303)</v>
      </c>
      <c r="S6218">
        <v>2789</v>
      </c>
      <c r="T6218">
        <v>2302</v>
      </c>
      <c r="U6218" t="s">
        <v>19</v>
      </c>
    </row>
    <row r="6219" spans="1:21">
      <c r="A6219" t="str">
        <f t="shared" si="2885"/>
        <v>22/10/2025</v>
      </c>
      <c r="B6219" t="str">
        <f t="shared" si="2877"/>
        <v>ENTRADA</v>
      </c>
      <c r="C6219" t="str">
        <f t="shared" si="2886"/>
        <v>NFSE</v>
      </c>
      <c r="D6219" t="str">
        <f>"3625"</f>
        <v>3625</v>
      </c>
      <c r="E6219" t="str">
        <f t="shared" si="2865"/>
        <v>COM</v>
      </c>
      <c r="F6219" t="str">
        <f>"PENSE FARMA 09 (10218)"</f>
        <v>PENSE FARMA 09 (10218)</v>
      </c>
      <c r="G6219" t="str">
        <f>"Serv.Prest. 13/10/2025 a 19/10/2025 - RPS: 1390 - NFSe: 3625"</f>
        <v>Serv.Prest. 13/10/2025 a 19/10/2025 - RPS: 1390 - NFSe: 3625</v>
      </c>
      <c r="H6219" t="str">
        <f t="shared" si="2872"/>
        <v>22/10/2025</v>
      </c>
      <c r="I6219" t="str">
        <f t="shared" si="2881"/>
        <v>20/10/2025</v>
      </c>
      <c r="J6219" t="str">
        <f t="shared" si="2887"/>
        <v>22/10/2025</v>
      </c>
      <c r="M6219">
        <v>303</v>
      </c>
      <c r="N6219" t="str">
        <f t="shared" si="2888"/>
        <v>RECEITAS COM ENTREGAS</v>
      </c>
      <c r="P6219">
        <v>146.72999999999999</v>
      </c>
      <c r="Q6219" t="str">
        <f>"PENSE FARMA 09 (10218)"</f>
        <v>PENSE FARMA 09 (10218)</v>
      </c>
      <c r="R6219" t="str">
        <f t="shared" si="2889"/>
        <v>RECEITAS COM ENTREGAS (303)</v>
      </c>
      <c r="S6219">
        <v>2789</v>
      </c>
      <c r="T6219">
        <v>2302</v>
      </c>
      <c r="U6219" t="s">
        <v>19</v>
      </c>
    </row>
    <row r="6220" spans="1:21">
      <c r="A6220" t="str">
        <f t="shared" si="2885"/>
        <v>22/10/2025</v>
      </c>
      <c r="B6220" t="str">
        <f t="shared" si="2877"/>
        <v>ENTRADA</v>
      </c>
      <c r="C6220" t="str">
        <f t="shared" si="2886"/>
        <v>NFSE</v>
      </c>
      <c r="D6220" t="str">
        <f>"3625"</f>
        <v>3625</v>
      </c>
      <c r="E6220" t="str">
        <f t="shared" si="2865"/>
        <v>COM</v>
      </c>
      <c r="F6220" t="str">
        <f>"PENSE FARMA 09 (10218)"</f>
        <v>PENSE FARMA 09 (10218)</v>
      </c>
      <c r="G6220" t="str">
        <f>"Serv.Prest. 13/10/2025 a 19/10/2025 - RPS: 1390 - NFSe: 3625"</f>
        <v>Serv.Prest. 13/10/2025 a 19/10/2025 - RPS: 1390 - NFSe: 3625</v>
      </c>
      <c r="H6220" t="str">
        <f t="shared" si="2872"/>
        <v>22/10/2025</v>
      </c>
      <c r="I6220" t="str">
        <f t="shared" si="2881"/>
        <v>20/10/2025</v>
      </c>
      <c r="J6220" t="str">
        <f t="shared" si="2887"/>
        <v>22/10/2025</v>
      </c>
      <c r="M6220">
        <v>303</v>
      </c>
      <c r="N6220" t="str">
        <f t="shared" si="2888"/>
        <v>RECEITAS COM ENTREGAS</v>
      </c>
      <c r="P6220">
        <v>147.80000000000001</v>
      </c>
      <c r="Q6220" t="str">
        <f>"PENSE FARMA 10 (10219)"</f>
        <v>PENSE FARMA 10 (10219)</v>
      </c>
      <c r="R6220" t="str">
        <f t="shared" si="2889"/>
        <v>RECEITAS COM ENTREGAS (303)</v>
      </c>
      <c r="S6220">
        <v>2789</v>
      </c>
      <c r="T6220">
        <v>2302</v>
      </c>
      <c r="U6220" t="s">
        <v>19</v>
      </c>
    </row>
    <row r="6221" spans="1:21">
      <c r="A6221" t="str">
        <f t="shared" si="2885"/>
        <v>22/10/2025</v>
      </c>
      <c r="B6221" t="str">
        <f t="shared" si="2877"/>
        <v>ENTRADA</v>
      </c>
      <c r="C6221" t="str">
        <f t="shared" si="2886"/>
        <v>NFSE</v>
      </c>
      <c r="D6221" t="str">
        <f>"3640"</f>
        <v>3640</v>
      </c>
      <c r="E6221" t="str">
        <f t="shared" si="2865"/>
        <v>COM</v>
      </c>
      <c r="F6221" t="str">
        <f>"DROGARIA AGAPEAMA (10167)"</f>
        <v>DROGARIA AGAPEAMA (10167)</v>
      </c>
      <c r="G6221" t="str">
        <f>"Serv.Prest. 13/10/2025 a 19/10/2025 - RPS: 1405 - NFSe: 3640"</f>
        <v>Serv.Prest. 13/10/2025 a 19/10/2025 - RPS: 1405 - NFSe: 3640</v>
      </c>
      <c r="H6221" t="str">
        <f t="shared" si="2872"/>
        <v>22/10/2025</v>
      </c>
      <c r="I6221" t="str">
        <f t="shared" ref="I6221:I6229" si="2890">("21/10/2025")</f>
        <v>21/10/2025</v>
      </c>
      <c r="J6221" t="str">
        <f t="shared" si="2887"/>
        <v>22/10/2025</v>
      </c>
      <c r="K6221">
        <v>375.2</v>
      </c>
      <c r="L6221">
        <v>375.2</v>
      </c>
      <c r="M6221">
        <v>303</v>
      </c>
      <c r="N6221" t="str">
        <f t="shared" si="2888"/>
        <v>RECEITAS COM ENTREGAS</v>
      </c>
      <c r="O6221">
        <v>375.2</v>
      </c>
      <c r="R6221" t="str">
        <f t="shared" si="2889"/>
        <v>RECEITAS COM ENTREGAS (303)</v>
      </c>
      <c r="S6221">
        <v>2790</v>
      </c>
      <c r="T6221">
        <v>2317</v>
      </c>
      <c r="U6221" t="s">
        <v>19</v>
      </c>
    </row>
    <row r="6222" spans="1:21">
      <c r="A6222" t="str">
        <f t="shared" si="2885"/>
        <v>22/10/2025</v>
      </c>
      <c r="B6222" t="str">
        <f t="shared" si="2877"/>
        <v>ENTRADA</v>
      </c>
      <c r="C6222" t="str">
        <f t="shared" si="2886"/>
        <v>NFSE</v>
      </c>
      <c r="D6222" t="str">
        <f>"3640"</f>
        <v>3640</v>
      </c>
      <c r="E6222" t="str">
        <f t="shared" si="2865"/>
        <v>COM</v>
      </c>
      <c r="F6222" t="str">
        <f>"DROGARIA AGAPEAMA (10167)"</f>
        <v>DROGARIA AGAPEAMA (10167)</v>
      </c>
      <c r="G6222" t="str">
        <f>"Serv.Prest. 13/10/2025 a 19/10/2025 - RPS: 1405 - NFSe: 3640"</f>
        <v>Serv.Prest. 13/10/2025 a 19/10/2025 - RPS: 1405 - NFSe: 3640</v>
      </c>
      <c r="H6222" t="str">
        <f t="shared" si="2872"/>
        <v>22/10/2025</v>
      </c>
      <c r="I6222" t="str">
        <f t="shared" si="2890"/>
        <v>21/10/2025</v>
      </c>
      <c r="J6222" t="str">
        <f t="shared" si="2887"/>
        <v>22/10/2025</v>
      </c>
      <c r="M6222">
        <v>303</v>
      </c>
      <c r="N6222" t="str">
        <f t="shared" si="2888"/>
        <v>RECEITAS COM ENTREGAS</v>
      </c>
      <c r="P6222">
        <v>375.2</v>
      </c>
      <c r="Q6222" t="str">
        <f>"DROGARIA AGAPEAMA (10167)"</f>
        <v>DROGARIA AGAPEAMA (10167)</v>
      </c>
      <c r="R6222" t="str">
        <f t="shared" si="2889"/>
        <v>RECEITAS COM ENTREGAS (303)</v>
      </c>
      <c r="S6222">
        <v>2790</v>
      </c>
      <c r="T6222">
        <v>2317</v>
      </c>
      <c r="U6222" t="s">
        <v>19</v>
      </c>
    </row>
    <row r="6223" spans="1:21">
      <c r="A6223" t="str">
        <f t="shared" si="2885"/>
        <v>22/10/2025</v>
      </c>
      <c r="B6223" t="str">
        <f t="shared" si="2877"/>
        <v>ENTRADA</v>
      </c>
      <c r="C6223" t="str">
        <f t="shared" si="2886"/>
        <v>NFSE</v>
      </c>
      <c r="D6223" t="str">
        <f>"3642"</f>
        <v>3642</v>
      </c>
      <c r="E6223" t="str">
        <f t="shared" si="2865"/>
        <v>COM</v>
      </c>
      <c r="F6223" t="str">
        <f>"ENTREFARMA (10164)"</f>
        <v>ENTREFARMA (10164)</v>
      </c>
      <c r="G6223" t="str">
        <f>"Serv.Prest. 13/10/2025 a 19/10/2025 - RPS: 1407 - NFSe: 3642"</f>
        <v>Serv.Prest. 13/10/2025 a 19/10/2025 - RPS: 1407 - NFSe: 3642</v>
      </c>
      <c r="H6223" t="str">
        <f t="shared" si="2872"/>
        <v>22/10/2025</v>
      </c>
      <c r="I6223" t="str">
        <f t="shared" si="2890"/>
        <v>21/10/2025</v>
      </c>
      <c r="J6223" t="str">
        <f t="shared" si="2887"/>
        <v>22/10/2025</v>
      </c>
      <c r="K6223">
        <v>1088.8499999999999</v>
      </c>
      <c r="L6223">
        <v>1088.8499999999999</v>
      </c>
      <c r="M6223">
        <v>303</v>
      </c>
      <c r="N6223" t="str">
        <f t="shared" si="2888"/>
        <v>RECEITAS COM ENTREGAS</v>
      </c>
      <c r="O6223">
        <v>1088.8499999999999</v>
      </c>
      <c r="R6223" t="str">
        <f t="shared" si="2889"/>
        <v>RECEITAS COM ENTREGAS (303)</v>
      </c>
      <c r="S6223">
        <v>2791</v>
      </c>
      <c r="T6223">
        <v>2319</v>
      </c>
      <c r="U6223" t="s">
        <v>19</v>
      </c>
    </row>
    <row r="6224" spans="1:21">
      <c r="A6224" t="str">
        <f t="shared" si="2885"/>
        <v>22/10/2025</v>
      </c>
      <c r="B6224" t="str">
        <f t="shared" si="2877"/>
        <v>ENTRADA</v>
      </c>
      <c r="C6224" t="str">
        <f t="shared" si="2886"/>
        <v>NFSE</v>
      </c>
      <c r="D6224" t="str">
        <f>"3642"</f>
        <v>3642</v>
      </c>
      <c r="E6224" t="str">
        <f t="shared" si="2865"/>
        <v>COM</v>
      </c>
      <c r="F6224" t="str">
        <f>"ENTREFARMA (10164)"</f>
        <v>ENTREFARMA (10164)</v>
      </c>
      <c r="G6224" t="str">
        <f>"Serv.Prest. 13/10/2025 a 19/10/2025 - RPS: 1407 - NFSe: 3642"</f>
        <v>Serv.Prest. 13/10/2025 a 19/10/2025 - RPS: 1407 - NFSe: 3642</v>
      </c>
      <c r="H6224" t="str">
        <f t="shared" si="2872"/>
        <v>22/10/2025</v>
      </c>
      <c r="I6224" t="str">
        <f t="shared" si="2890"/>
        <v>21/10/2025</v>
      </c>
      <c r="J6224" t="str">
        <f t="shared" si="2887"/>
        <v>22/10/2025</v>
      </c>
      <c r="M6224">
        <v>303</v>
      </c>
      <c r="N6224" t="str">
        <f t="shared" si="2888"/>
        <v>RECEITAS COM ENTREGAS</v>
      </c>
      <c r="P6224">
        <v>1088.8499999999999</v>
      </c>
      <c r="Q6224" t="str">
        <f>"ENTREFARMA (10164)"</f>
        <v>ENTREFARMA (10164)</v>
      </c>
      <c r="R6224" t="str">
        <f t="shared" si="2889"/>
        <v>RECEITAS COM ENTREGAS (303)</v>
      </c>
      <c r="S6224">
        <v>2791</v>
      </c>
      <c r="T6224">
        <v>2319</v>
      </c>
      <c r="U6224" t="s">
        <v>19</v>
      </c>
    </row>
    <row r="6225" spans="1:21">
      <c r="A6225" t="str">
        <f t="shared" si="2885"/>
        <v>22/10/2025</v>
      </c>
      <c r="B6225" t="str">
        <f t="shared" si="2877"/>
        <v>ENTRADA</v>
      </c>
      <c r="C6225" t="str">
        <f t="shared" si="2886"/>
        <v>NFSE</v>
      </c>
      <c r="D6225" t="str">
        <f>"3643"</f>
        <v>3643</v>
      </c>
      <c r="E6225" t="str">
        <f t="shared" si="2865"/>
        <v>COM</v>
      </c>
      <c r="F6225" t="str">
        <f>"FRAN FARMA (10124)"</f>
        <v>FRAN FARMA (10124)</v>
      </c>
      <c r="G6225" t="str">
        <f>"Serv.Prest. 13/10/2025 a 19/10/2025 - RPS: 1408 - NFSe: 3643"</f>
        <v>Serv.Prest. 13/10/2025 a 19/10/2025 - RPS: 1408 - NFSe: 3643</v>
      </c>
      <c r="H6225" t="str">
        <f t="shared" si="2872"/>
        <v>22/10/2025</v>
      </c>
      <c r="I6225" t="str">
        <f t="shared" si="2890"/>
        <v>21/10/2025</v>
      </c>
      <c r="J6225" t="str">
        <f t="shared" si="2887"/>
        <v>22/10/2025</v>
      </c>
      <c r="K6225">
        <v>160</v>
      </c>
      <c r="L6225">
        <v>160</v>
      </c>
      <c r="M6225">
        <v>303</v>
      </c>
      <c r="N6225" t="str">
        <f t="shared" si="2888"/>
        <v>RECEITAS COM ENTREGAS</v>
      </c>
      <c r="O6225">
        <v>160</v>
      </c>
      <c r="R6225" t="str">
        <f t="shared" si="2889"/>
        <v>RECEITAS COM ENTREGAS (303)</v>
      </c>
      <c r="S6225">
        <v>2792</v>
      </c>
      <c r="T6225">
        <v>2320</v>
      </c>
      <c r="U6225" t="s">
        <v>19</v>
      </c>
    </row>
    <row r="6226" spans="1:21">
      <c r="A6226" t="str">
        <f t="shared" si="2885"/>
        <v>22/10/2025</v>
      </c>
      <c r="B6226" t="str">
        <f t="shared" si="2877"/>
        <v>ENTRADA</v>
      </c>
      <c r="C6226" t="str">
        <f t="shared" si="2886"/>
        <v>NFSE</v>
      </c>
      <c r="D6226" t="str">
        <f>"3643"</f>
        <v>3643</v>
      </c>
      <c r="E6226" t="str">
        <f t="shared" si="2865"/>
        <v>COM</v>
      </c>
      <c r="F6226" t="str">
        <f>"FRAN FARMA (10124)"</f>
        <v>FRAN FARMA (10124)</v>
      </c>
      <c r="G6226" t="str">
        <f>"Serv.Prest. 13/10/2025 a 19/10/2025 - RPS: 1408 - NFSe: 3643"</f>
        <v>Serv.Prest. 13/10/2025 a 19/10/2025 - RPS: 1408 - NFSe: 3643</v>
      </c>
      <c r="H6226" t="str">
        <f t="shared" si="2872"/>
        <v>22/10/2025</v>
      </c>
      <c r="I6226" t="str">
        <f t="shared" si="2890"/>
        <v>21/10/2025</v>
      </c>
      <c r="J6226" t="str">
        <f t="shared" si="2887"/>
        <v>22/10/2025</v>
      </c>
      <c r="M6226">
        <v>303</v>
      </c>
      <c r="N6226" t="str">
        <f t="shared" si="2888"/>
        <v>RECEITAS COM ENTREGAS</v>
      </c>
      <c r="P6226">
        <v>96</v>
      </c>
      <c r="Q6226" t="str">
        <f>"FRAN FARMA LJ 2 (10131)"</f>
        <v>FRAN FARMA LJ 2 (10131)</v>
      </c>
      <c r="R6226" t="str">
        <f t="shared" si="2889"/>
        <v>RECEITAS COM ENTREGAS (303)</v>
      </c>
      <c r="S6226">
        <v>2792</v>
      </c>
      <c r="T6226">
        <v>2320</v>
      </c>
      <c r="U6226" t="s">
        <v>19</v>
      </c>
    </row>
    <row r="6227" spans="1:21">
      <c r="A6227" t="str">
        <f t="shared" si="2885"/>
        <v>22/10/2025</v>
      </c>
      <c r="B6227" t="str">
        <f t="shared" si="2877"/>
        <v>ENTRADA</v>
      </c>
      <c r="C6227" t="str">
        <f t="shared" si="2886"/>
        <v>NFSE</v>
      </c>
      <c r="D6227" t="str">
        <f>"3643"</f>
        <v>3643</v>
      </c>
      <c r="E6227" t="str">
        <f t="shared" si="2865"/>
        <v>COM</v>
      </c>
      <c r="F6227" t="str">
        <f>"FRAN FARMA (10124)"</f>
        <v>FRAN FARMA (10124)</v>
      </c>
      <c r="G6227" t="str">
        <f>"Serv.Prest. 13/10/2025 a 19/10/2025 - RPS: 1408 - NFSe: 3643"</f>
        <v>Serv.Prest. 13/10/2025 a 19/10/2025 - RPS: 1408 - NFSe: 3643</v>
      </c>
      <c r="H6227" t="str">
        <f t="shared" si="2872"/>
        <v>22/10/2025</v>
      </c>
      <c r="I6227" t="str">
        <f t="shared" si="2890"/>
        <v>21/10/2025</v>
      </c>
      <c r="J6227" t="str">
        <f t="shared" si="2887"/>
        <v>22/10/2025</v>
      </c>
      <c r="M6227">
        <v>303</v>
      </c>
      <c r="N6227" t="str">
        <f t="shared" si="2888"/>
        <v>RECEITAS COM ENTREGAS</v>
      </c>
      <c r="P6227">
        <v>64</v>
      </c>
      <c r="Q6227" t="str">
        <f>"FRAN FARMA LJ 3 (10132)"</f>
        <v>FRAN FARMA LJ 3 (10132)</v>
      </c>
      <c r="R6227" t="str">
        <f t="shared" si="2889"/>
        <v>RECEITAS COM ENTREGAS (303)</v>
      </c>
      <c r="S6227">
        <v>2792</v>
      </c>
      <c r="T6227">
        <v>2320</v>
      </c>
      <c r="U6227" t="s">
        <v>19</v>
      </c>
    </row>
    <row r="6228" spans="1:21">
      <c r="A6228" t="str">
        <f t="shared" si="2885"/>
        <v>22/10/2025</v>
      </c>
      <c r="B6228" t="str">
        <f t="shared" si="2877"/>
        <v>ENTRADA</v>
      </c>
      <c r="C6228" t="str">
        <f t="shared" si="2886"/>
        <v>NFSE</v>
      </c>
      <c r="D6228" t="str">
        <f>"3655"</f>
        <v>3655</v>
      </c>
      <c r="E6228" t="str">
        <f t="shared" si="2865"/>
        <v>COM</v>
      </c>
      <c r="F6228" t="str">
        <f>"JAL FARMACIA E DROGARIA LJ 2 (10138)"</f>
        <v>JAL FARMACIA E DROGARIA LJ 2 (10138)</v>
      </c>
      <c r="G6228" t="str">
        <f>"Serv.Prest. 13/10/2025 a 19/10/2025 - RPS: 1419 - NFSe: 3655"</f>
        <v>Serv.Prest. 13/10/2025 a 19/10/2025 - RPS: 1419 - NFSe: 3655</v>
      </c>
      <c r="H6228" t="str">
        <f t="shared" si="2872"/>
        <v>22/10/2025</v>
      </c>
      <c r="I6228" t="str">
        <f t="shared" si="2890"/>
        <v>21/10/2025</v>
      </c>
      <c r="J6228" t="str">
        <f t="shared" si="2887"/>
        <v>22/10/2025</v>
      </c>
      <c r="K6228">
        <v>292.8</v>
      </c>
      <c r="L6228">
        <v>292.8</v>
      </c>
      <c r="M6228">
        <v>303</v>
      </c>
      <c r="N6228" t="str">
        <f t="shared" si="2888"/>
        <v>RECEITAS COM ENTREGAS</v>
      </c>
      <c r="O6228">
        <v>292.8</v>
      </c>
      <c r="R6228" t="str">
        <f t="shared" si="2889"/>
        <v>RECEITAS COM ENTREGAS (303)</v>
      </c>
      <c r="S6228">
        <v>2793</v>
      </c>
      <c r="T6228">
        <v>2331</v>
      </c>
      <c r="U6228" t="s">
        <v>19</v>
      </c>
    </row>
    <row r="6229" spans="1:21">
      <c r="A6229" t="str">
        <f t="shared" si="2885"/>
        <v>22/10/2025</v>
      </c>
      <c r="B6229" t="str">
        <f t="shared" si="2877"/>
        <v>ENTRADA</v>
      </c>
      <c r="C6229" t="str">
        <f t="shared" si="2886"/>
        <v>NFSE</v>
      </c>
      <c r="D6229" t="str">
        <f>"3655"</f>
        <v>3655</v>
      </c>
      <c r="E6229" t="str">
        <f t="shared" si="2865"/>
        <v>COM</v>
      </c>
      <c r="F6229" t="str">
        <f>"JAL FARMACIA E DROGARIA LJ 2 (10138)"</f>
        <v>JAL FARMACIA E DROGARIA LJ 2 (10138)</v>
      </c>
      <c r="G6229" t="str">
        <f>"Serv.Prest. 13/10/2025 a 19/10/2025 - RPS: 1419 - NFSe: 3655"</f>
        <v>Serv.Prest. 13/10/2025 a 19/10/2025 - RPS: 1419 - NFSe: 3655</v>
      </c>
      <c r="H6229" t="str">
        <f t="shared" si="2872"/>
        <v>22/10/2025</v>
      </c>
      <c r="I6229" t="str">
        <f t="shared" si="2890"/>
        <v>21/10/2025</v>
      </c>
      <c r="J6229" t="str">
        <f t="shared" si="2887"/>
        <v>22/10/2025</v>
      </c>
      <c r="M6229">
        <v>303</v>
      </c>
      <c r="N6229" t="str">
        <f t="shared" si="2888"/>
        <v>RECEITAS COM ENTREGAS</v>
      </c>
      <c r="P6229">
        <v>292.8</v>
      </c>
      <c r="Q6229" t="str">
        <f>"JAL FARMACIA E DROGARIA LJ 2 (10138)"</f>
        <v>JAL FARMACIA E DROGARIA LJ 2 (10138)</v>
      </c>
      <c r="R6229" t="str">
        <f t="shared" si="2889"/>
        <v>RECEITAS COM ENTREGAS (303)</v>
      </c>
      <c r="S6229">
        <v>2793</v>
      </c>
      <c r="T6229">
        <v>2331</v>
      </c>
      <c r="U6229" t="s">
        <v>19</v>
      </c>
    </row>
    <row r="6230" spans="1:21">
      <c r="A6230" t="str">
        <f t="shared" si="2885"/>
        <v>22/10/2025</v>
      </c>
      <c r="B6230" t="str">
        <f t="shared" si="2877"/>
        <v>ENTRADA</v>
      </c>
      <c r="C6230" t="str">
        <f t="shared" si="2886"/>
        <v>NFSE</v>
      </c>
      <c r="D6230" t="str">
        <f>"3626"</f>
        <v>3626</v>
      </c>
      <c r="E6230" t="str">
        <f t="shared" si="2865"/>
        <v>COM</v>
      </c>
      <c r="F6230" t="str">
        <f>"PENSE FARMA 15 (10195)"</f>
        <v>PENSE FARMA 15 (10195)</v>
      </c>
      <c r="G6230" t="str">
        <f>"Serv.Prest. 13/10/2025 a 19/10/2025 - RPS: 1391 - NFSe: 3626"</f>
        <v>Serv.Prest. 13/10/2025 a 19/10/2025 - RPS: 1391 - NFSe: 3626</v>
      </c>
      <c r="H6230" t="str">
        <f t="shared" ref="H6230:H6267" si="2891">("24/10/2025")</f>
        <v>24/10/2025</v>
      </c>
      <c r="I6230" t="str">
        <f t="shared" ref="I6230:I6270" si="2892">("20/10/2025")</f>
        <v>20/10/2025</v>
      </c>
      <c r="J6230" t="str">
        <f t="shared" si="2887"/>
        <v>22/10/2025</v>
      </c>
      <c r="K6230">
        <v>360</v>
      </c>
      <c r="L6230">
        <v>360</v>
      </c>
      <c r="M6230">
        <v>303</v>
      </c>
      <c r="N6230" t="str">
        <f t="shared" si="2888"/>
        <v>RECEITAS COM ENTREGAS</v>
      </c>
      <c r="O6230">
        <v>360</v>
      </c>
      <c r="R6230" t="str">
        <f t="shared" si="2889"/>
        <v>RECEITAS COM ENTREGAS (303)</v>
      </c>
      <c r="S6230">
        <v>2808</v>
      </c>
      <c r="T6230">
        <v>2303</v>
      </c>
      <c r="U6230" t="s">
        <v>19</v>
      </c>
    </row>
    <row r="6231" spans="1:21">
      <c r="A6231" t="str">
        <f t="shared" si="2885"/>
        <v>22/10/2025</v>
      </c>
      <c r="B6231" t="str">
        <f t="shared" si="2877"/>
        <v>ENTRADA</v>
      </c>
      <c r="C6231" t="str">
        <f t="shared" si="2886"/>
        <v>NFSE</v>
      </c>
      <c r="D6231" t="str">
        <f>"3626"</f>
        <v>3626</v>
      </c>
      <c r="E6231" t="str">
        <f t="shared" si="2865"/>
        <v>COM</v>
      </c>
      <c r="F6231" t="str">
        <f>"PENSE FARMA 15 (10195)"</f>
        <v>PENSE FARMA 15 (10195)</v>
      </c>
      <c r="G6231" t="str">
        <f>"Serv.Prest. 13/10/2025 a 19/10/2025 - RPS: 1391 - NFSe: 3626"</f>
        <v>Serv.Prest. 13/10/2025 a 19/10/2025 - RPS: 1391 - NFSe: 3626</v>
      </c>
      <c r="H6231" t="str">
        <f t="shared" si="2891"/>
        <v>24/10/2025</v>
      </c>
      <c r="I6231" t="str">
        <f t="shared" si="2892"/>
        <v>20/10/2025</v>
      </c>
      <c r="J6231" t="str">
        <f t="shared" si="2887"/>
        <v>22/10/2025</v>
      </c>
      <c r="M6231">
        <v>303</v>
      </c>
      <c r="N6231" t="str">
        <f t="shared" si="2888"/>
        <v>RECEITAS COM ENTREGAS</v>
      </c>
      <c r="P6231">
        <v>150.01</v>
      </c>
      <c r="Q6231" t="str">
        <f>"PENSE FARMA 15 (10195)"</f>
        <v>PENSE FARMA 15 (10195)</v>
      </c>
      <c r="R6231" t="str">
        <f t="shared" si="2889"/>
        <v>RECEITAS COM ENTREGAS (303)</v>
      </c>
      <c r="S6231">
        <v>2808</v>
      </c>
      <c r="T6231">
        <v>2303</v>
      </c>
      <c r="U6231" t="s">
        <v>19</v>
      </c>
    </row>
    <row r="6232" spans="1:21">
      <c r="A6232" t="str">
        <f t="shared" si="2885"/>
        <v>22/10/2025</v>
      </c>
      <c r="B6232" t="str">
        <f t="shared" si="2877"/>
        <v>ENTRADA</v>
      </c>
      <c r="C6232" t="str">
        <f t="shared" si="2886"/>
        <v>NFSE</v>
      </c>
      <c r="D6232" t="str">
        <f>"3626"</f>
        <v>3626</v>
      </c>
      <c r="E6232" t="str">
        <f t="shared" si="2865"/>
        <v>COM</v>
      </c>
      <c r="F6232" t="str">
        <f>"PENSE FARMA 15 (10195)"</f>
        <v>PENSE FARMA 15 (10195)</v>
      </c>
      <c r="G6232" t="str">
        <f>"Serv.Prest. 13/10/2025 a 19/10/2025 - RPS: 1391 - NFSe: 3626"</f>
        <v>Serv.Prest. 13/10/2025 a 19/10/2025 - RPS: 1391 - NFSe: 3626</v>
      </c>
      <c r="H6232" t="str">
        <f t="shared" si="2891"/>
        <v>24/10/2025</v>
      </c>
      <c r="I6232" t="str">
        <f t="shared" si="2892"/>
        <v>20/10/2025</v>
      </c>
      <c r="J6232" t="str">
        <f t="shared" si="2887"/>
        <v>22/10/2025</v>
      </c>
      <c r="M6232">
        <v>303</v>
      </c>
      <c r="N6232" t="str">
        <f t="shared" si="2888"/>
        <v>RECEITAS COM ENTREGAS</v>
      </c>
      <c r="P6232">
        <v>150.01</v>
      </c>
      <c r="Q6232" t="str">
        <f>"PENSE FARMA 26 (10196)"</f>
        <v>PENSE FARMA 26 (10196)</v>
      </c>
      <c r="R6232" t="str">
        <f t="shared" si="2889"/>
        <v>RECEITAS COM ENTREGAS (303)</v>
      </c>
      <c r="S6232">
        <v>2808</v>
      </c>
      <c r="T6232">
        <v>2303</v>
      </c>
      <c r="U6232" t="s">
        <v>19</v>
      </c>
    </row>
    <row r="6233" spans="1:21">
      <c r="A6233" t="str">
        <f t="shared" si="2885"/>
        <v>22/10/2025</v>
      </c>
      <c r="B6233" t="str">
        <f t="shared" si="2877"/>
        <v>ENTRADA</v>
      </c>
      <c r="C6233" t="str">
        <f t="shared" si="2886"/>
        <v>NFSE</v>
      </c>
      <c r="D6233" t="str">
        <f>"3626"</f>
        <v>3626</v>
      </c>
      <c r="E6233" t="str">
        <f t="shared" si="2865"/>
        <v>COM</v>
      </c>
      <c r="F6233" t="str">
        <f>"PENSE FARMA 15 (10195)"</f>
        <v>PENSE FARMA 15 (10195)</v>
      </c>
      <c r="G6233" t="str">
        <f>"Serv.Prest. 13/10/2025 a 19/10/2025 - RPS: 1391 - NFSe: 3626"</f>
        <v>Serv.Prest. 13/10/2025 a 19/10/2025 - RPS: 1391 - NFSe: 3626</v>
      </c>
      <c r="H6233" t="str">
        <f t="shared" si="2891"/>
        <v>24/10/2025</v>
      </c>
      <c r="I6233" t="str">
        <f t="shared" si="2892"/>
        <v>20/10/2025</v>
      </c>
      <c r="J6233" t="str">
        <f t="shared" si="2887"/>
        <v>22/10/2025</v>
      </c>
      <c r="M6233">
        <v>303</v>
      </c>
      <c r="N6233" t="str">
        <f t="shared" si="2888"/>
        <v>RECEITAS COM ENTREGAS</v>
      </c>
      <c r="P6233">
        <v>59.98</v>
      </c>
      <c r="Q6233" t="str">
        <f>"PENSE FARMA 60 (10197)"</f>
        <v>PENSE FARMA 60 (10197)</v>
      </c>
      <c r="R6233" t="str">
        <f t="shared" si="2889"/>
        <v>RECEITAS COM ENTREGAS (303)</v>
      </c>
      <c r="S6233">
        <v>2808</v>
      </c>
      <c r="T6233">
        <v>2303</v>
      </c>
      <c r="U6233" t="s">
        <v>19</v>
      </c>
    </row>
    <row r="6234" spans="1:21">
      <c r="A6234" t="str">
        <f t="shared" si="2885"/>
        <v>22/10/2025</v>
      </c>
      <c r="B6234" t="str">
        <f t="shared" si="2877"/>
        <v>ENTRADA</v>
      </c>
      <c r="C6234" t="str">
        <f t="shared" si="2886"/>
        <v>NFSE</v>
      </c>
      <c r="D6234" t="str">
        <f>"3627"</f>
        <v>3627</v>
      </c>
      <c r="E6234" t="str">
        <f t="shared" si="2865"/>
        <v>COM</v>
      </c>
      <c r="F6234" t="str">
        <f>"PENSE FARMA 25 (10224)"</f>
        <v>PENSE FARMA 25 (10224)</v>
      </c>
      <c r="G6234" t="str">
        <f>"Serv.Prest. 13/10/2025 a 19/10/2025 - RPS: 1392 - NFSe: 3627"</f>
        <v>Serv.Prest. 13/10/2025 a 19/10/2025 - RPS: 1392 - NFSe: 3627</v>
      </c>
      <c r="H6234" t="str">
        <f t="shared" si="2891"/>
        <v>24/10/2025</v>
      </c>
      <c r="I6234" t="str">
        <f t="shared" si="2892"/>
        <v>20/10/2025</v>
      </c>
      <c r="J6234" t="str">
        <f t="shared" si="2887"/>
        <v>22/10/2025</v>
      </c>
      <c r="K6234">
        <v>397.95</v>
      </c>
      <c r="L6234">
        <v>397.95</v>
      </c>
      <c r="M6234">
        <v>303</v>
      </c>
      <c r="N6234" t="str">
        <f t="shared" si="2888"/>
        <v>RECEITAS COM ENTREGAS</v>
      </c>
      <c r="O6234">
        <v>397.95</v>
      </c>
      <c r="R6234" t="str">
        <f t="shared" si="2889"/>
        <v>RECEITAS COM ENTREGAS (303)</v>
      </c>
      <c r="S6234">
        <v>2809</v>
      </c>
      <c r="T6234">
        <v>2304</v>
      </c>
      <c r="U6234" t="s">
        <v>19</v>
      </c>
    </row>
    <row r="6235" spans="1:21">
      <c r="A6235" t="str">
        <f t="shared" si="2885"/>
        <v>22/10/2025</v>
      </c>
      <c r="B6235" t="str">
        <f t="shared" si="2877"/>
        <v>ENTRADA</v>
      </c>
      <c r="C6235" t="str">
        <f t="shared" si="2886"/>
        <v>NFSE</v>
      </c>
      <c r="D6235" t="str">
        <f>"3627"</f>
        <v>3627</v>
      </c>
      <c r="E6235" t="str">
        <f t="shared" si="2865"/>
        <v>COM</v>
      </c>
      <c r="F6235" t="str">
        <f>"PENSE FARMA 25 (10224)"</f>
        <v>PENSE FARMA 25 (10224)</v>
      </c>
      <c r="G6235" t="str">
        <f>"Serv.Prest. 13/10/2025 a 19/10/2025 - RPS: 1392 - NFSe: 3627"</f>
        <v>Serv.Prest. 13/10/2025 a 19/10/2025 - RPS: 1392 - NFSe: 3627</v>
      </c>
      <c r="H6235" t="str">
        <f t="shared" si="2891"/>
        <v>24/10/2025</v>
      </c>
      <c r="I6235" t="str">
        <f t="shared" si="2892"/>
        <v>20/10/2025</v>
      </c>
      <c r="J6235" t="str">
        <f t="shared" si="2887"/>
        <v>22/10/2025</v>
      </c>
      <c r="M6235">
        <v>303</v>
      </c>
      <c r="N6235" t="str">
        <f t="shared" si="2888"/>
        <v>RECEITAS COM ENTREGAS</v>
      </c>
      <c r="P6235">
        <v>397.95</v>
      </c>
      <c r="Q6235" t="str">
        <f>"PENSE FARMA 25 (10224)"</f>
        <v>PENSE FARMA 25 (10224)</v>
      </c>
      <c r="R6235" t="str">
        <f t="shared" si="2889"/>
        <v>RECEITAS COM ENTREGAS (303)</v>
      </c>
      <c r="S6235">
        <v>2809</v>
      </c>
      <c r="T6235">
        <v>2304</v>
      </c>
      <c r="U6235" t="s">
        <v>19</v>
      </c>
    </row>
    <row r="6236" spans="1:21">
      <c r="A6236" t="str">
        <f t="shared" si="2885"/>
        <v>22/10/2025</v>
      </c>
      <c r="B6236" t="str">
        <f t="shared" si="2877"/>
        <v>ENTRADA</v>
      </c>
      <c r="C6236" t="str">
        <f t="shared" si="2886"/>
        <v>NFSE</v>
      </c>
      <c r="D6236" t="str">
        <f>"3628"</f>
        <v>3628</v>
      </c>
      <c r="E6236" t="str">
        <f t="shared" si="2865"/>
        <v>COM</v>
      </c>
      <c r="F6236" t="str">
        <f>"PENSE FARMA 27 (10204)"</f>
        <v>PENSE FARMA 27 (10204)</v>
      </c>
      <c r="G6236" t="str">
        <f>"Serv.Prest. 13/10/2025 a 19/10/2025 - RPS: 1393 - NFSe: 3628"</f>
        <v>Serv.Prest. 13/10/2025 a 19/10/2025 - RPS: 1393 - NFSe: 3628</v>
      </c>
      <c r="H6236" t="str">
        <f t="shared" si="2891"/>
        <v>24/10/2025</v>
      </c>
      <c r="I6236" t="str">
        <f t="shared" si="2892"/>
        <v>20/10/2025</v>
      </c>
      <c r="J6236" t="str">
        <f t="shared" si="2887"/>
        <v>22/10/2025</v>
      </c>
      <c r="K6236">
        <v>535.5</v>
      </c>
      <c r="L6236">
        <v>535.5</v>
      </c>
      <c r="M6236">
        <v>303</v>
      </c>
      <c r="N6236" t="str">
        <f t="shared" si="2888"/>
        <v>RECEITAS COM ENTREGAS</v>
      </c>
      <c r="O6236">
        <v>535.5</v>
      </c>
      <c r="R6236" t="str">
        <f t="shared" si="2889"/>
        <v>RECEITAS COM ENTREGAS (303)</v>
      </c>
      <c r="S6236">
        <v>2810</v>
      </c>
      <c r="T6236">
        <v>2305</v>
      </c>
      <c r="U6236" t="s">
        <v>19</v>
      </c>
    </row>
    <row r="6237" spans="1:21">
      <c r="A6237" t="str">
        <f t="shared" si="2885"/>
        <v>22/10/2025</v>
      </c>
      <c r="B6237" t="str">
        <f t="shared" si="2877"/>
        <v>ENTRADA</v>
      </c>
      <c r="C6237" t="str">
        <f t="shared" si="2886"/>
        <v>NFSE</v>
      </c>
      <c r="D6237" t="str">
        <f>"3628"</f>
        <v>3628</v>
      </c>
      <c r="E6237" t="str">
        <f t="shared" si="2865"/>
        <v>COM</v>
      </c>
      <c r="F6237" t="str">
        <f>"PENSE FARMA 27 (10204)"</f>
        <v>PENSE FARMA 27 (10204)</v>
      </c>
      <c r="G6237" t="str">
        <f>"Serv.Prest. 13/10/2025 a 19/10/2025 - RPS: 1393 - NFSe: 3628"</f>
        <v>Serv.Prest. 13/10/2025 a 19/10/2025 - RPS: 1393 - NFSe: 3628</v>
      </c>
      <c r="H6237" t="str">
        <f t="shared" si="2891"/>
        <v>24/10/2025</v>
      </c>
      <c r="I6237" t="str">
        <f t="shared" si="2892"/>
        <v>20/10/2025</v>
      </c>
      <c r="J6237" t="str">
        <f t="shared" si="2887"/>
        <v>22/10/2025</v>
      </c>
      <c r="M6237">
        <v>303</v>
      </c>
      <c r="N6237" t="str">
        <f t="shared" si="2888"/>
        <v>RECEITAS COM ENTREGAS</v>
      </c>
      <c r="P6237">
        <v>178.48</v>
      </c>
      <c r="Q6237" t="str">
        <f>"PENSE FARMA 05 (10200)"</f>
        <v>PENSE FARMA 05 (10200)</v>
      </c>
      <c r="R6237" t="str">
        <f t="shared" si="2889"/>
        <v>RECEITAS COM ENTREGAS (303)</v>
      </c>
      <c r="S6237">
        <v>2810</v>
      </c>
      <c r="T6237">
        <v>2305</v>
      </c>
      <c r="U6237" t="s">
        <v>19</v>
      </c>
    </row>
    <row r="6238" spans="1:21">
      <c r="A6238" t="str">
        <f t="shared" si="2885"/>
        <v>22/10/2025</v>
      </c>
      <c r="B6238" t="str">
        <f t="shared" si="2877"/>
        <v>ENTRADA</v>
      </c>
      <c r="C6238" t="str">
        <f t="shared" si="2886"/>
        <v>NFSE</v>
      </c>
      <c r="D6238" t="str">
        <f>"3628"</f>
        <v>3628</v>
      </c>
      <c r="E6238" t="str">
        <f t="shared" si="2865"/>
        <v>COM</v>
      </c>
      <c r="F6238" t="str">
        <f>"PENSE FARMA 27 (10204)"</f>
        <v>PENSE FARMA 27 (10204)</v>
      </c>
      <c r="G6238" t="str">
        <f>"Serv.Prest. 13/10/2025 a 19/10/2025 - RPS: 1393 - NFSe: 3628"</f>
        <v>Serv.Prest. 13/10/2025 a 19/10/2025 - RPS: 1393 - NFSe: 3628</v>
      </c>
      <c r="H6238" t="str">
        <f t="shared" si="2891"/>
        <v>24/10/2025</v>
      </c>
      <c r="I6238" t="str">
        <f t="shared" si="2892"/>
        <v>20/10/2025</v>
      </c>
      <c r="J6238" t="str">
        <f t="shared" si="2887"/>
        <v>22/10/2025</v>
      </c>
      <c r="M6238">
        <v>303</v>
      </c>
      <c r="N6238" t="str">
        <f t="shared" si="2888"/>
        <v>RECEITAS COM ENTREGAS</v>
      </c>
      <c r="P6238">
        <v>178.48</v>
      </c>
      <c r="Q6238" t="str">
        <f>"PENSE FARMA 13 (10202)"</f>
        <v>PENSE FARMA 13 (10202)</v>
      </c>
      <c r="R6238" t="str">
        <f t="shared" si="2889"/>
        <v>RECEITAS COM ENTREGAS (303)</v>
      </c>
      <c r="S6238">
        <v>2810</v>
      </c>
      <c r="T6238">
        <v>2305</v>
      </c>
      <c r="U6238" t="s">
        <v>19</v>
      </c>
    </row>
    <row r="6239" spans="1:21">
      <c r="A6239" t="str">
        <f t="shared" si="2885"/>
        <v>22/10/2025</v>
      </c>
      <c r="B6239" t="str">
        <f t="shared" si="2877"/>
        <v>ENTRADA</v>
      </c>
      <c r="C6239" t="str">
        <f t="shared" si="2886"/>
        <v>NFSE</v>
      </c>
      <c r="D6239" t="str">
        <f>"3628"</f>
        <v>3628</v>
      </c>
      <c r="E6239" t="str">
        <f t="shared" si="2865"/>
        <v>COM</v>
      </c>
      <c r="F6239" t="str">
        <f>"PENSE FARMA 27 (10204)"</f>
        <v>PENSE FARMA 27 (10204)</v>
      </c>
      <c r="G6239" t="str">
        <f>"Serv.Prest. 13/10/2025 a 19/10/2025 - RPS: 1393 - NFSe: 3628"</f>
        <v>Serv.Prest. 13/10/2025 a 19/10/2025 - RPS: 1393 - NFSe: 3628</v>
      </c>
      <c r="H6239" t="str">
        <f t="shared" si="2891"/>
        <v>24/10/2025</v>
      </c>
      <c r="I6239" t="str">
        <f t="shared" si="2892"/>
        <v>20/10/2025</v>
      </c>
      <c r="J6239" t="str">
        <f t="shared" si="2887"/>
        <v>22/10/2025</v>
      </c>
      <c r="M6239">
        <v>303</v>
      </c>
      <c r="N6239" t="str">
        <f t="shared" si="2888"/>
        <v>RECEITAS COM ENTREGAS</v>
      </c>
      <c r="P6239">
        <v>178.54</v>
      </c>
      <c r="Q6239" t="str">
        <f>"PENSE FARMA 27 (10204)"</f>
        <v>PENSE FARMA 27 (10204)</v>
      </c>
      <c r="R6239" t="str">
        <f t="shared" si="2889"/>
        <v>RECEITAS COM ENTREGAS (303)</v>
      </c>
      <c r="S6239">
        <v>2810</v>
      </c>
      <c r="T6239">
        <v>2305</v>
      </c>
      <c r="U6239" t="s">
        <v>19</v>
      </c>
    </row>
    <row r="6240" spans="1:21">
      <c r="A6240" t="str">
        <f t="shared" si="2885"/>
        <v>22/10/2025</v>
      </c>
      <c r="B6240" t="str">
        <f t="shared" si="2877"/>
        <v>ENTRADA</v>
      </c>
      <c r="C6240" t="str">
        <f t="shared" si="2886"/>
        <v>NFSE</v>
      </c>
      <c r="D6240" t="str">
        <f>"3629"</f>
        <v>3629</v>
      </c>
      <c r="E6240" t="str">
        <f t="shared" si="2865"/>
        <v>COM</v>
      </c>
      <c r="F6240" t="str">
        <f>"PENSE FARMA 31 (10205)"</f>
        <v>PENSE FARMA 31 (10205)</v>
      </c>
      <c r="G6240" t="str">
        <f>"Serv.Prest. 13/10/2025 a 19/10/2025 - RPS: 1394 - NFSe: 3629"</f>
        <v>Serv.Prest. 13/10/2025 a 19/10/2025 - RPS: 1394 - NFSe: 3629</v>
      </c>
      <c r="H6240" t="str">
        <f t="shared" si="2891"/>
        <v>24/10/2025</v>
      </c>
      <c r="I6240" t="str">
        <f t="shared" si="2892"/>
        <v>20/10/2025</v>
      </c>
      <c r="J6240" t="str">
        <f t="shared" si="2887"/>
        <v>22/10/2025</v>
      </c>
      <c r="K6240">
        <v>278.58999999999997</v>
      </c>
      <c r="L6240">
        <v>278.58999999999997</v>
      </c>
      <c r="M6240">
        <v>303</v>
      </c>
      <c r="N6240" t="str">
        <f t="shared" si="2888"/>
        <v>RECEITAS COM ENTREGAS</v>
      </c>
      <c r="O6240">
        <v>278.58999999999997</v>
      </c>
      <c r="R6240" t="str">
        <f t="shared" si="2889"/>
        <v>RECEITAS COM ENTREGAS (303)</v>
      </c>
      <c r="S6240">
        <v>2811</v>
      </c>
      <c r="T6240">
        <v>2306</v>
      </c>
      <c r="U6240" t="s">
        <v>19</v>
      </c>
    </row>
    <row r="6241" spans="1:21">
      <c r="A6241" t="str">
        <f t="shared" si="2885"/>
        <v>22/10/2025</v>
      </c>
      <c r="B6241" t="str">
        <f t="shared" si="2877"/>
        <v>ENTRADA</v>
      </c>
      <c r="C6241" t="str">
        <f t="shared" si="2886"/>
        <v>NFSE</v>
      </c>
      <c r="D6241" t="str">
        <f>"3629"</f>
        <v>3629</v>
      </c>
      <c r="E6241" t="str">
        <f t="shared" si="2865"/>
        <v>COM</v>
      </c>
      <c r="F6241" t="str">
        <f>"PENSE FARMA 31 (10205)"</f>
        <v>PENSE FARMA 31 (10205)</v>
      </c>
      <c r="G6241" t="str">
        <f>"Serv.Prest. 13/10/2025 a 19/10/2025 - RPS: 1394 - NFSe: 3629"</f>
        <v>Serv.Prest. 13/10/2025 a 19/10/2025 - RPS: 1394 - NFSe: 3629</v>
      </c>
      <c r="H6241" t="str">
        <f t="shared" si="2891"/>
        <v>24/10/2025</v>
      </c>
      <c r="I6241" t="str">
        <f t="shared" si="2892"/>
        <v>20/10/2025</v>
      </c>
      <c r="J6241" t="str">
        <f t="shared" si="2887"/>
        <v>22/10/2025</v>
      </c>
      <c r="M6241">
        <v>303</v>
      </c>
      <c r="N6241" t="str">
        <f t="shared" si="2888"/>
        <v>RECEITAS COM ENTREGAS</v>
      </c>
      <c r="P6241">
        <v>94.25</v>
      </c>
      <c r="Q6241" t="str">
        <f>"PENSE FARMA 31 (10205)"</f>
        <v>PENSE FARMA 31 (10205)</v>
      </c>
      <c r="R6241" t="str">
        <f t="shared" si="2889"/>
        <v>RECEITAS COM ENTREGAS (303)</v>
      </c>
      <c r="S6241">
        <v>2811</v>
      </c>
      <c r="T6241">
        <v>2306</v>
      </c>
      <c r="U6241" t="s">
        <v>19</v>
      </c>
    </row>
    <row r="6242" spans="1:21">
      <c r="A6242" t="str">
        <f t="shared" si="2885"/>
        <v>22/10/2025</v>
      </c>
      <c r="B6242" t="str">
        <f t="shared" si="2877"/>
        <v>ENTRADA</v>
      </c>
      <c r="C6242" t="str">
        <f t="shared" si="2886"/>
        <v>NFSE</v>
      </c>
      <c r="D6242" t="str">
        <f>"3629"</f>
        <v>3629</v>
      </c>
      <c r="E6242" t="str">
        <f t="shared" si="2865"/>
        <v>COM</v>
      </c>
      <c r="F6242" t="str">
        <f>"PENSE FARMA 31 (10205)"</f>
        <v>PENSE FARMA 31 (10205)</v>
      </c>
      <c r="G6242" t="str">
        <f>"Serv.Prest. 13/10/2025 a 19/10/2025 - RPS: 1394 - NFSe: 3629"</f>
        <v>Serv.Prest. 13/10/2025 a 19/10/2025 - RPS: 1394 - NFSe: 3629</v>
      </c>
      <c r="H6242" t="str">
        <f t="shared" si="2891"/>
        <v>24/10/2025</v>
      </c>
      <c r="I6242" t="str">
        <f t="shared" si="2892"/>
        <v>20/10/2025</v>
      </c>
      <c r="J6242" t="str">
        <f t="shared" si="2887"/>
        <v>22/10/2025</v>
      </c>
      <c r="M6242">
        <v>303</v>
      </c>
      <c r="N6242" t="str">
        <f t="shared" si="2888"/>
        <v>RECEITAS COM ENTREGAS</v>
      </c>
      <c r="P6242">
        <v>92.24</v>
      </c>
      <c r="Q6242" t="str">
        <f>"PENSE FARMA 16 (10221)"</f>
        <v>PENSE FARMA 16 (10221)</v>
      </c>
      <c r="R6242" t="str">
        <f t="shared" si="2889"/>
        <v>RECEITAS COM ENTREGAS (303)</v>
      </c>
      <c r="S6242">
        <v>2811</v>
      </c>
      <c r="T6242">
        <v>2306</v>
      </c>
      <c r="U6242" t="s">
        <v>19</v>
      </c>
    </row>
    <row r="6243" spans="1:21">
      <c r="A6243" t="str">
        <f t="shared" si="2885"/>
        <v>22/10/2025</v>
      </c>
      <c r="B6243" t="str">
        <f t="shared" si="2877"/>
        <v>ENTRADA</v>
      </c>
      <c r="C6243" t="str">
        <f t="shared" si="2886"/>
        <v>NFSE</v>
      </c>
      <c r="D6243" t="str">
        <f>"3629"</f>
        <v>3629</v>
      </c>
      <c r="E6243" t="str">
        <f t="shared" si="2865"/>
        <v>COM</v>
      </c>
      <c r="F6243" t="str">
        <f>"PENSE FARMA 31 (10205)"</f>
        <v>PENSE FARMA 31 (10205)</v>
      </c>
      <c r="G6243" t="str">
        <f>"Serv.Prest. 13/10/2025 a 19/10/2025 - RPS: 1394 - NFSe: 3629"</f>
        <v>Serv.Prest. 13/10/2025 a 19/10/2025 - RPS: 1394 - NFSe: 3629</v>
      </c>
      <c r="H6243" t="str">
        <f t="shared" si="2891"/>
        <v>24/10/2025</v>
      </c>
      <c r="I6243" t="str">
        <f t="shared" si="2892"/>
        <v>20/10/2025</v>
      </c>
      <c r="J6243" t="str">
        <f t="shared" si="2887"/>
        <v>22/10/2025</v>
      </c>
      <c r="M6243">
        <v>303</v>
      </c>
      <c r="N6243" t="str">
        <f t="shared" si="2888"/>
        <v>RECEITAS COM ENTREGAS</v>
      </c>
      <c r="P6243">
        <v>92.1</v>
      </c>
      <c r="Q6243" t="str">
        <f>"PENSE FARMA 17 (10222)"</f>
        <v>PENSE FARMA 17 (10222)</v>
      </c>
      <c r="R6243" t="str">
        <f t="shared" si="2889"/>
        <v>RECEITAS COM ENTREGAS (303)</v>
      </c>
      <c r="S6243">
        <v>2811</v>
      </c>
      <c r="T6243">
        <v>2306</v>
      </c>
      <c r="U6243" t="s">
        <v>19</v>
      </c>
    </row>
    <row r="6244" spans="1:21">
      <c r="A6244" t="str">
        <f t="shared" si="2885"/>
        <v>22/10/2025</v>
      </c>
      <c r="B6244" t="str">
        <f t="shared" si="2877"/>
        <v>ENTRADA</v>
      </c>
      <c r="C6244" t="str">
        <f t="shared" si="2886"/>
        <v>NFSE</v>
      </c>
      <c r="D6244" t="str">
        <f>"3630"</f>
        <v>3630</v>
      </c>
      <c r="E6244" t="str">
        <f t="shared" ref="E6244:E6307" si="2893">"COM"</f>
        <v>COM</v>
      </c>
      <c r="F6244" t="str">
        <f>"PENSE FARMA 35 (10227)"</f>
        <v>PENSE FARMA 35 (10227)</v>
      </c>
      <c r="G6244" t="str">
        <f>"Serv.Prest. 13/10/2025 a 19/10/2025 - RPS: 1395 - NFSe: 3630"</f>
        <v>Serv.Prest. 13/10/2025 a 19/10/2025 - RPS: 1395 - NFSe: 3630</v>
      </c>
      <c r="H6244" t="str">
        <f t="shared" si="2891"/>
        <v>24/10/2025</v>
      </c>
      <c r="I6244" t="str">
        <f t="shared" si="2892"/>
        <v>20/10/2025</v>
      </c>
      <c r="J6244" t="str">
        <f t="shared" si="2887"/>
        <v>22/10/2025</v>
      </c>
      <c r="K6244">
        <v>171.45</v>
      </c>
      <c r="L6244">
        <v>171.45</v>
      </c>
      <c r="M6244">
        <v>303</v>
      </c>
      <c r="N6244" t="str">
        <f t="shared" si="2888"/>
        <v>RECEITAS COM ENTREGAS</v>
      </c>
      <c r="O6244">
        <v>171.45</v>
      </c>
      <c r="R6244" t="str">
        <f t="shared" si="2889"/>
        <v>RECEITAS COM ENTREGAS (303)</v>
      </c>
      <c r="S6244">
        <v>2812</v>
      </c>
      <c r="T6244">
        <v>2307</v>
      </c>
      <c r="U6244" t="s">
        <v>19</v>
      </c>
    </row>
    <row r="6245" spans="1:21">
      <c r="A6245" t="str">
        <f t="shared" si="2885"/>
        <v>22/10/2025</v>
      </c>
      <c r="B6245" t="str">
        <f t="shared" si="2877"/>
        <v>ENTRADA</v>
      </c>
      <c r="C6245" t="str">
        <f t="shared" si="2886"/>
        <v>NFSE</v>
      </c>
      <c r="D6245" t="str">
        <f>"3630"</f>
        <v>3630</v>
      </c>
      <c r="E6245" t="str">
        <f t="shared" si="2893"/>
        <v>COM</v>
      </c>
      <c r="F6245" t="str">
        <f>"PENSE FARMA 35 (10227)"</f>
        <v>PENSE FARMA 35 (10227)</v>
      </c>
      <c r="G6245" t="str">
        <f>"Serv.Prest. 13/10/2025 a 19/10/2025 - RPS: 1395 - NFSe: 3630"</f>
        <v>Serv.Prest. 13/10/2025 a 19/10/2025 - RPS: 1395 - NFSe: 3630</v>
      </c>
      <c r="H6245" t="str">
        <f t="shared" si="2891"/>
        <v>24/10/2025</v>
      </c>
      <c r="I6245" t="str">
        <f t="shared" si="2892"/>
        <v>20/10/2025</v>
      </c>
      <c r="J6245" t="str">
        <f t="shared" si="2887"/>
        <v>22/10/2025</v>
      </c>
      <c r="M6245">
        <v>303</v>
      </c>
      <c r="N6245" t="str">
        <f t="shared" si="2888"/>
        <v>RECEITAS COM ENTREGAS</v>
      </c>
      <c r="P6245">
        <v>171.45</v>
      </c>
      <c r="Q6245" t="str">
        <f>"PENSE FARMA 35 (10227)"</f>
        <v>PENSE FARMA 35 (10227)</v>
      </c>
      <c r="R6245" t="str">
        <f t="shared" si="2889"/>
        <v>RECEITAS COM ENTREGAS (303)</v>
      </c>
      <c r="S6245">
        <v>2812</v>
      </c>
      <c r="T6245">
        <v>2307</v>
      </c>
      <c r="U6245" t="s">
        <v>19</v>
      </c>
    </row>
    <row r="6246" spans="1:21">
      <c r="A6246" t="str">
        <f t="shared" si="2885"/>
        <v>22/10/2025</v>
      </c>
      <c r="B6246" t="str">
        <f t="shared" si="2877"/>
        <v>ENTRADA</v>
      </c>
      <c r="C6246" t="str">
        <f t="shared" si="2886"/>
        <v>NFSE</v>
      </c>
      <c r="D6246" t="str">
        <f t="shared" ref="D6246:D6252" si="2894">"3631"</f>
        <v>3631</v>
      </c>
      <c r="E6246" t="str">
        <f t="shared" si="2893"/>
        <v>COM</v>
      </c>
      <c r="F6246" t="str">
        <f t="shared" ref="F6246:F6252" si="2895">"PENSE FARMA 36 (10206)"</f>
        <v>PENSE FARMA 36 (10206)</v>
      </c>
      <c r="G6246" t="str">
        <f t="shared" ref="G6246:G6252" si="2896">"Serv.Prest. 13/10/2025 a 19/10/2025 - RPS: 1396 - NFSe: 3631"</f>
        <v>Serv.Prest. 13/10/2025 a 19/10/2025 - RPS: 1396 - NFSe: 3631</v>
      </c>
      <c r="H6246" t="str">
        <f t="shared" si="2891"/>
        <v>24/10/2025</v>
      </c>
      <c r="I6246" t="str">
        <f t="shared" si="2892"/>
        <v>20/10/2025</v>
      </c>
      <c r="J6246" t="str">
        <f t="shared" si="2887"/>
        <v>22/10/2025</v>
      </c>
      <c r="K6246">
        <v>851.64</v>
      </c>
      <c r="L6246">
        <v>851.64</v>
      </c>
      <c r="M6246">
        <v>303</v>
      </c>
      <c r="N6246" t="str">
        <f t="shared" si="2888"/>
        <v>RECEITAS COM ENTREGAS</v>
      </c>
      <c r="O6246">
        <v>851.64</v>
      </c>
      <c r="R6246" t="str">
        <f t="shared" si="2889"/>
        <v>RECEITAS COM ENTREGAS (303)</v>
      </c>
      <c r="S6246">
        <v>2813</v>
      </c>
      <c r="T6246">
        <v>2308</v>
      </c>
      <c r="U6246" t="s">
        <v>19</v>
      </c>
    </row>
    <row r="6247" spans="1:21">
      <c r="A6247" t="str">
        <f t="shared" si="2885"/>
        <v>22/10/2025</v>
      </c>
      <c r="B6247" t="str">
        <f t="shared" si="2877"/>
        <v>ENTRADA</v>
      </c>
      <c r="C6247" t="str">
        <f t="shared" si="2886"/>
        <v>NFSE</v>
      </c>
      <c r="D6247" t="str">
        <f t="shared" si="2894"/>
        <v>3631</v>
      </c>
      <c r="E6247" t="str">
        <f t="shared" si="2893"/>
        <v>COM</v>
      </c>
      <c r="F6247" t="str">
        <f t="shared" si="2895"/>
        <v>PENSE FARMA 36 (10206)</v>
      </c>
      <c r="G6247" t="str">
        <f t="shared" si="2896"/>
        <v>Serv.Prest. 13/10/2025 a 19/10/2025 - RPS: 1396 - NFSe: 3631</v>
      </c>
      <c r="H6247" t="str">
        <f t="shared" si="2891"/>
        <v>24/10/2025</v>
      </c>
      <c r="I6247" t="str">
        <f t="shared" si="2892"/>
        <v>20/10/2025</v>
      </c>
      <c r="J6247" t="str">
        <f t="shared" si="2887"/>
        <v>22/10/2025</v>
      </c>
      <c r="M6247">
        <v>303</v>
      </c>
      <c r="N6247" t="str">
        <f t="shared" si="2888"/>
        <v>RECEITAS COM ENTREGAS</v>
      </c>
      <c r="P6247">
        <v>141.79</v>
      </c>
      <c r="Q6247" t="str">
        <f>"PENSE FARMA 20 (10203)"</f>
        <v>PENSE FARMA 20 (10203)</v>
      </c>
      <c r="R6247" t="str">
        <f t="shared" si="2889"/>
        <v>RECEITAS COM ENTREGAS (303)</v>
      </c>
      <c r="S6247">
        <v>2813</v>
      </c>
      <c r="T6247">
        <v>2308</v>
      </c>
      <c r="U6247" t="s">
        <v>19</v>
      </c>
    </row>
    <row r="6248" spans="1:21">
      <c r="A6248" t="str">
        <f t="shared" ref="A6248:A6274" si="2897">("22/10/2025")</f>
        <v>22/10/2025</v>
      </c>
      <c r="B6248" t="str">
        <f t="shared" si="2877"/>
        <v>ENTRADA</v>
      </c>
      <c r="C6248" t="str">
        <f t="shared" ref="C6248:C6270" si="2898">"NFSE"</f>
        <v>NFSE</v>
      </c>
      <c r="D6248" t="str">
        <f t="shared" si="2894"/>
        <v>3631</v>
      </c>
      <c r="E6248" t="str">
        <f t="shared" si="2893"/>
        <v>COM</v>
      </c>
      <c r="F6248" t="str">
        <f t="shared" si="2895"/>
        <v>PENSE FARMA 36 (10206)</v>
      </c>
      <c r="G6248" t="str">
        <f t="shared" si="2896"/>
        <v>Serv.Prest. 13/10/2025 a 19/10/2025 - RPS: 1396 - NFSe: 3631</v>
      </c>
      <c r="H6248" t="str">
        <f t="shared" si="2891"/>
        <v>24/10/2025</v>
      </c>
      <c r="I6248" t="str">
        <f t="shared" si="2892"/>
        <v>20/10/2025</v>
      </c>
      <c r="J6248" t="str">
        <f t="shared" ref="J6248:J6274" si="2899">("22/10/2025")</f>
        <v>22/10/2025</v>
      </c>
      <c r="M6248">
        <v>303</v>
      </c>
      <c r="N6248" t="str">
        <f t="shared" ref="N6248:N6270" si="2900">"RECEITAS COM ENTREGAS"</f>
        <v>RECEITAS COM ENTREGAS</v>
      </c>
      <c r="P6248">
        <v>141.80000000000001</v>
      </c>
      <c r="Q6248" t="str">
        <f>"PENSE FARMA 36 (10206)"</f>
        <v>PENSE FARMA 36 (10206)</v>
      </c>
      <c r="R6248" t="str">
        <f t="shared" ref="R6248:R6270" si="2901">"RECEITAS COM ENTREGAS (303)"</f>
        <v>RECEITAS COM ENTREGAS (303)</v>
      </c>
      <c r="S6248">
        <v>2813</v>
      </c>
      <c r="T6248">
        <v>2308</v>
      </c>
      <c r="U6248" t="s">
        <v>19</v>
      </c>
    </row>
    <row r="6249" spans="1:21">
      <c r="A6249" t="str">
        <f t="shared" si="2897"/>
        <v>22/10/2025</v>
      </c>
      <c r="B6249" t="str">
        <f t="shared" ref="B6249:B6270" si="2902">"ENTRADA"</f>
        <v>ENTRADA</v>
      </c>
      <c r="C6249" t="str">
        <f t="shared" si="2898"/>
        <v>NFSE</v>
      </c>
      <c r="D6249" t="str">
        <f t="shared" si="2894"/>
        <v>3631</v>
      </c>
      <c r="E6249" t="str">
        <f t="shared" si="2893"/>
        <v>COM</v>
      </c>
      <c r="F6249" t="str">
        <f t="shared" si="2895"/>
        <v>PENSE FARMA 36 (10206)</v>
      </c>
      <c r="G6249" t="str">
        <f t="shared" si="2896"/>
        <v>Serv.Prest. 13/10/2025 a 19/10/2025 - RPS: 1396 - NFSe: 3631</v>
      </c>
      <c r="H6249" t="str">
        <f t="shared" si="2891"/>
        <v>24/10/2025</v>
      </c>
      <c r="I6249" t="str">
        <f t="shared" si="2892"/>
        <v>20/10/2025</v>
      </c>
      <c r="J6249" t="str">
        <f t="shared" si="2899"/>
        <v>22/10/2025</v>
      </c>
      <c r="M6249">
        <v>303</v>
      </c>
      <c r="N6249" t="str">
        <f t="shared" si="2900"/>
        <v>RECEITAS COM ENTREGAS</v>
      </c>
      <c r="P6249">
        <v>141.80000000000001</v>
      </c>
      <c r="Q6249" t="str">
        <f>"PENSE FARMA 40 (10207)"</f>
        <v>PENSE FARMA 40 (10207)</v>
      </c>
      <c r="R6249" t="str">
        <f t="shared" si="2901"/>
        <v>RECEITAS COM ENTREGAS (303)</v>
      </c>
      <c r="S6249">
        <v>2813</v>
      </c>
      <c r="T6249">
        <v>2308</v>
      </c>
      <c r="U6249" t="s">
        <v>19</v>
      </c>
    </row>
    <row r="6250" spans="1:21">
      <c r="A6250" t="str">
        <f t="shared" si="2897"/>
        <v>22/10/2025</v>
      </c>
      <c r="B6250" t="str">
        <f t="shared" si="2902"/>
        <v>ENTRADA</v>
      </c>
      <c r="C6250" t="str">
        <f t="shared" si="2898"/>
        <v>NFSE</v>
      </c>
      <c r="D6250" t="str">
        <f t="shared" si="2894"/>
        <v>3631</v>
      </c>
      <c r="E6250" t="str">
        <f t="shared" si="2893"/>
        <v>COM</v>
      </c>
      <c r="F6250" t="str">
        <f t="shared" si="2895"/>
        <v>PENSE FARMA 36 (10206)</v>
      </c>
      <c r="G6250" t="str">
        <f t="shared" si="2896"/>
        <v>Serv.Prest. 13/10/2025 a 19/10/2025 - RPS: 1396 - NFSe: 3631</v>
      </c>
      <c r="H6250" t="str">
        <f t="shared" si="2891"/>
        <v>24/10/2025</v>
      </c>
      <c r="I6250" t="str">
        <f t="shared" si="2892"/>
        <v>20/10/2025</v>
      </c>
      <c r="J6250" t="str">
        <f t="shared" si="2899"/>
        <v>22/10/2025</v>
      </c>
      <c r="M6250">
        <v>303</v>
      </c>
      <c r="N6250" t="str">
        <f t="shared" si="2900"/>
        <v>RECEITAS COM ENTREGAS</v>
      </c>
      <c r="P6250">
        <v>141.80000000000001</v>
      </c>
      <c r="Q6250" t="str">
        <f>"PENSE FARMA 43 (10208)"</f>
        <v>PENSE FARMA 43 (10208)</v>
      </c>
      <c r="R6250" t="str">
        <f t="shared" si="2901"/>
        <v>RECEITAS COM ENTREGAS (303)</v>
      </c>
      <c r="S6250">
        <v>2813</v>
      </c>
      <c r="T6250">
        <v>2308</v>
      </c>
      <c r="U6250" t="s">
        <v>19</v>
      </c>
    </row>
    <row r="6251" spans="1:21">
      <c r="A6251" t="str">
        <f t="shared" si="2897"/>
        <v>22/10/2025</v>
      </c>
      <c r="B6251" t="str">
        <f t="shared" si="2902"/>
        <v>ENTRADA</v>
      </c>
      <c r="C6251" t="str">
        <f t="shared" si="2898"/>
        <v>NFSE</v>
      </c>
      <c r="D6251" t="str">
        <f t="shared" si="2894"/>
        <v>3631</v>
      </c>
      <c r="E6251" t="str">
        <f t="shared" si="2893"/>
        <v>COM</v>
      </c>
      <c r="F6251" t="str">
        <f t="shared" si="2895"/>
        <v>PENSE FARMA 36 (10206)</v>
      </c>
      <c r="G6251" t="str">
        <f t="shared" si="2896"/>
        <v>Serv.Prest. 13/10/2025 a 19/10/2025 - RPS: 1396 - NFSe: 3631</v>
      </c>
      <c r="H6251" t="str">
        <f t="shared" si="2891"/>
        <v>24/10/2025</v>
      </c>
      <c r="I6251" t="str">
        <f t="shared" si="2892"/>
        <v>20/10/2025</v>
      </c>
      <c r="J6251" t="str">
        <f t="shared" si="2899"/>
        <v>22/10/2025</v>
      </c>
      <c r="M6251">
        <v>303</v>
      </c>
      <c r="N6251" t="str">
        <f t="shared" si="2900"/>
        <v>RECEITAS COM ENTREGAS</v>
      </c>
      <c r="P6251">
        <v>141.80000000000001</v>
      </c>
      <c r="Q6251" t="str">
        <f>"PENSE FARMA 59 (10211)"</f>
        <v>PENSE FARMA 59 (10211)</v>
      </c>
      <c r="R6251" t="str">
        <f t="shared" si="2901"/>
        <v>RECEITAS COM ENTREGAS (303)</v>
      </c>
      <c r="S6251">
        <v>2813</v>
      </c>
      <c r="T6251">
        <v>2308</v>
      </c>
      <c r="U6251" t="s">
        <v>19</v>
      </c>
    </row>
    <row r="6252" spans="1:21">
      <c r="A6252" t="str">
        <f t="shared" si="2897"/>
        <v>22/10/2025</v>
      </c>
      <c r="B6252" t="str">
        <f t="shared" si="2902"/>
        <v>ENTRADA</v>
      </c>
      <c r="C6252" t="str">
        <f t="shared" si="2898"/>
        <v>NFSE</v>
      </c>
      <c r="D6252" t="str">
        <f t="shared" si="2894"/>
        <v>3631</v>
      </c>
      <c r="E6252" t="str">
        <f t="shared" si="2893"/>
        <v>COM</v>
      </c>
      <c r="F6252" t="str">
        <f t="shared" si="2895"/>
        <v>PENSE FARMA 36 (10206)</v>
      </c>
      <c r="G6252" t="str">
        <f t="shared" si="2896"/>
        <v>Serv.Prest. 13/10/2025 a 19/10/2025 - RPS: 1396 - NFSe: 3631</v>
      </c>
      <c r="H6252" t="str">
        <f t="shared" si="2891"/>
        <v>24/10/2025</v>
      </c>
      <c r="I6252" t="str">
        <f t="shared" si="2892"/>
        <v>20/10/2025</v>
      </c>
      <c r="J6252" t="str">
        <f t="shared" si="2899"/>
        <v>22/10/2025</v>
      </c>
      <c r="M6252">
        <v>303</v>
      </c>
      <c r="N6252" t="str">
        <f t="shared" si="2900"/>
        <v>RECEITAS COM ENTREGAS</v>
      </c>
      <c r="P6252">
        <v>142.65</v>
      </c>
      <c r="Q6252" t="str">
        <f>"PENSE FARMA DARK STORE 361 (10212)"</f>
        <v>PENSE FARMA DARK STORE 361 (10212)</v>
      </c>
      <c r="R6252" t="str">
        <f t="shared" si="2901"/>
        <v>RECEITAS COM ENTREGAS (303)</v>
      </c>
      <c r="S6252">
        <v>2813</v>
      </c>
      <c r="T6252">
        <v>2308</v>
      </c>
      <c r="U6252" t="s">
        <v>19</v>
      </c>
    </row>
    <row r="6253" spans="1:21">
      <c r="A6253" t="str">
        <f t="shared" si="2897"/>
        <v>22/10/2025</v>
      </c>
      <c r="B6253" t="str">
        <f t="shared" si="2902"/>
        <v>ENTRADA</v>
      </c>
      <c r="C6253" t="str">
        <f t="shared" si="2898"/>
        <v>NFSE</v>
      </c>
      <c r="D6253" t="str">
        <f>"3632"</f>
        <v>3632</v>
      </c>
      <c r="E6253" t="str">
        <f t="shared" si="2893"/>
        <v>COM</v>
      </c>
      <c r="F6253" t="str">
        <f>"PENSE FARMA 39 (10228)"</f>
        <v>PENSE FARMA 39 (10228)</v>
      </c>
      <c r="G6253" t="str">
        <f>"Serv.Prest. 13/10/2025 a 19/10/2025 - RPS: 1397 - NFSe: 3632"</f>
        <v>Serv.Prest. 13/10/2025 a 19/10/2025 - RPS: 1397 - NFSe: 3632</v>
      </c>
      <c r="H6253" t="str">
        <f t="shared" si="2891"/>
        <v>24/10/2025</v>
      </c>
      <c r="I6253" t="str">
        <f t="shared" si="2892"/>
        <v>20/10/2025</v>
      </c>
      <c r="J6253" t="str">
        <f t="shared" si="2899"/>
        <v>22/10/2025</v>
      </c>
      <c r="K6253">
        <v>557.12</v>
      </c>
      <c r="L6253">
        <v>557.12</v>
      </c>
      <c r="M6253">
        <v>303</v>
      </c>
      <c r="N6253" t="str">
        <f t="shared" si="2900"/>
        <v>RECEITAS COM ENTREGAS</v>
      </c>
      <c r="O6253">
        <v>557.12</v>
      </c>
      <c r="R6253" t="str">
        <f t="shared" si="2901"/>
        <v>RECEITAS COM ENTREGAS (303)</v>
      </c>
      <c r="S6253">
        <v>2814</v>
      </c>
      <c r="T6253">
        <v>2309</v>
      </c>
      <c r="U6253" t="s">
        <v>19</v>
      </c>
    </row>
    <row r="6254" spans="1:21">
      <c r="A6254" t="str">
        <f t="shared" si="2897"/>
        <v>22/10/2025</v>
      </c>
      <c r="B6254" t="str">
        <f t="shared" si="2902"/>
        <v>ENTRADA</v>
      </c>
      <c r="C6254" t="str">
        <f t="shared" si="2898"/>
        <v>NFSE</v>
      </c>
      <c r="D6254" t="str">
        <f>"3632"</f>
        <v>3632</v>
      </c>
      <c r="E6254" t="str">
        <f t="shared" si="2893"/>
        <v>COM</v>
      </c>
      <c r="F6254" t="str">
        <f>"PENSE FARMA 39 (10228)"</f>
        <v>PENSE FARMA 39 (10228)</v>
      </c>
      <c r="G6254" t="str">
        <f>"Serv.Prest. 13/10/2025 a 19/10/2025 - RPS: 1397 - NFSe: 3632"</f>
        <v>Serv.Prest. 13/10/2025 a 19/10/2025 - RPS: 1397 - NFSe: 3632</v>
      </c>
      <c r="H6254" t="str">
        <f t="shared" si="2891"/>
        <v>24/10/2025</v>
      </c>
      <c r="I6254" t="str">
        <f t="shared" si="2892"/>
        <v>20/10/2025</v>
      </c>
      <c r="J6254" t="str">
        <f t="shared" si="2899"/>
        <v>22/10/2025</v>
      </c>
      <c r="M6254">
        <v>303</v>
      </c>
      <c r="N6254" t="str">
        <f t="shared" si="2900"/>
        <v>RECEITAS COM ENTREGAS</v>
      </c>
      <c r="P6254">
        <v>139.22999999999999</v>
      </c>
      <c r="Q6254" t="str">
        <f>"PENSE FARMA 02 (10199)"</f>
        <v>PENSE FARMA 02 (10199)</v>
      </c>
      <c r="R6254" t="str">
        <f t="shared" si="2901"/>
        <v>RECEITAS COM ENTREGAS (303)</v>
      </c>
      <c r="S6254">
        <v>2814</v>
      </c>
      <c r="T6254">
        <v>2309</v>
      </c>
      <c r="U6254" t="s">
        <v>19</v>
      </c>
    </row>
    <row r="6255" spans="1:21">
      <c r="A6255" t="str">
        <f t="shared" si="2897"/>
        <v>22/10/2025</v>
      </c>
      <c r="B6255" t="str">
        <f t="shared" si="2902"/>
        <v>ENTRADA</v>
      </c>
      <c r="C6255" t="str">
        <f t="shared" si="2898"/>
        <v>NFSE</v>
      </c>
      <c r="D6255" t="str">
        <f>"3632"</f>
        <v>3632</v>
      </c>
      <c r="E6255" t="str">
        <f t="shared" si="2893"/>
        <v>COM</v>
      </c>
      <c r="F6255" t="str">
        <f>"PENSE FARMA 39 (10228)"</f>
        <v>PENSE FARMA 39 (10228)</v>
      </c>
      <c r="G6255" t="str">
        <f>"Serv.Prest. 13/10/2025 a 19/10/2025 - RPS: 1397 - NFSe: 3632"</f>
        <v>Serv.Prest. 13/10/2025 a 19/10/2025 - RPS: 1397 - NFSe: 3632</v>
      </c>
      <c r="H6255" t="str">
        <f t="shared" si="2891"/>
        <v>24/10/2025</v>
      </c>
      <c r="I6255" t="str">
        <f t="shared" si="2892"/>
        <v>20/10/2025</v>
      </c>
      <c r="J6255" t="str">
        <f t="shared" si="2899"/>
        <v>22/10/2025</v>
      </c>
      <c r="M6255">
        <v>303</v>
      </c>
      <c r="N6255" t="str">
        <f t="shared" si="2900"/>
        <v>RECEITAS COM ENTREGAS</v>
      </c>
      <c r="P6255">
        <v>139.22</v>
      </c>
      <c r="Q6255" t="str">
        <f>"PENSE FARMA 01 (10215)"</f>
        <v>PENSE FARMA 01 (10215)</v>
      </c>
      <c r="R6255" t="str">
        <f t="shared" si="2901"/>
        <v>RECEITAS COM ENTREGAS (303)</v>
      </c>
      <c r="S6255">
        <v>2814</v>
      </c>
      <c r="T6255">
        <v>2309</v>
      </c>
      <c r="U6255" t="s">
        <v>19</v>
      </c>
    </row>
    <row r="6256" spans="1:21">
      <c r="A6256" t="str">
        <f t="shared" si="2897"/>
        <v>22/10/2025</v>
      </c>
      <c r="B6256" t="str">
        <f t="shared" si="2902"/>
        <v>ENTRADA</v>
      </c>
      <c r="C6256" t="str">
        <f t="shared" si="2898"/>
        <v>NFSE</v>
      </c>
      <c r="D6256" t="str">
        <f>"3632"</f>
        <v>3632</v>
      </c>
      <c r="E6256" t="str">
        <f t="shared" si="2893"/>
        <v>COM</v>
      </c>
      <c r="F6256" t="str">
        <f>"PENSE FARMA 39 (10228)"</f>
        <v>PENSE FARMA 39 (10228)</v>
      </c>
      <c r="G6256" t="str">
        <f>"Serv.Prest. 13/10/2025 a 19/10/2025 - RPS: 1397 - NFSe: 3632"</f>
        <v>Serv.Prest. 13/10/2025 a 19/10/2025 - RPS: 1397 - NFSe: 3632</v>
      </c>
      <c r="H6256" t="str">
        <f t="shared" si="2891"/>
        <v>24/10/2025</v>
      </c>
      <c r="I6256" t="str">
        <f t="shared" si="2892"/>
        <v>20/10/2025</v>
      </c>
      <c r="J6256" t="str">
        <f t="shared" si="2899"/>
        <v>22/10/2025</v>
      </c>
      <c r="M6256">
        <v>303</v>
      </c>
      <c r="N6256" t="str">
        <f t="shared" si="2900"/>
        <v>RECEITAS COM ENTREGAS</v>
      </c>
      <c r="P6256">
        <v>139.22</v>
      </c>
      <c r="Q6256" t="str">
        <f>"PENSE FARMA 03 (10216)"</f>
        <v>PENSE FARMA 03 (10216)</v>
      </c>
      <c r="R6256" t="str">
        <f t="shared" si="2901"/>
        <v>RECEITAS COM ENTREGAS (303)</v>
      </c>
      <c r="S6256">
        <v>2814</v>
      </c>
      <c r="T6256">
        <v>2309</v>
      </c>
      <c r="U6256" t="s">
        <v>19</v>
      </c>
    </row>
    <row r="6257" spans="1:21">
      <c r="A6257" t="str">
        <f t="shared" si="2897"/>
        <v>22/10/2025</v>
      </c>
      <c r="B6257" t="str">
        <f t="shared" si="2902"/>
        <v>ENTRADA</v>
      </c>
      <c r="C6257" t="str">
        <f t="shared" si="2898"/>
        <v>NFSE</v>
      </c>
      <c r="D6257" t="str">
        <f>"3632"</f>
        <v>3632</v>
      </c>
      <c r="E6257" t="str">
        <f t="shared" si="2893"/>
        <v>COM</v>
      </c>
      <c r="F6257" t="str">
        <f>"PENSE FARMA 39 (10228)"</f>
        <v>PENSE FARMA 39 (10228)</v>
      </c>
      <c r="G6257" t="str">
        <f>"Serv.Prest. 13/10/2025 a 19/10/2025 - RPS: 1397 - NFSe: 3632"</f>
        <v>Serv.Prest. 13/10/2025 a 19/10/2025 - RPS: 1397 - NFSe: 3632</v>
      </c>
      <c r="H6257" t="str">
        <f t="shared" si="2891"/>
        <v>24/10/2025</v>
      </c>
      <c r="I6257" t="str">
        <f t="shared" si="2892"/>
        <v>20/10/2025</v>
      </c>
      <c r="J6257" t="str">
        <f t="shared" si="2899"/>
        <v>22/10/2025</v>
      </c>
      <c r="M6257">
        <v>303</v>
      </c>
      <c r="N6257" t="str">
        <f t="shared" si="2900"/>
        <v>RECEITAS COM ENTREGAS</v>
      </c>
      <c r="P6257">
        <v>139.44999999999999</v>
      </c>
      <c r="Q6257" t="str">
        <f>"PENSE FARMA 39 (10228)"</f>
        <v>PENSE FARMA 39 (10228)</v>
      </c>
      <c r="R6257" t="str">
        <f t="shared" si="2901"/>
        <v>RECEITAS COM ENTREGAS (303)</v>
      </c>
      <c r="S6257">
        <v>2814</v>
      </c>
      <c r="T6257">
        <v>2309</v>
      </c>
      <c r="U6257" t="s">
        <v>19</v>
      </c>
    </row>
    <row r="6258" spans="1:21">
      <c r="A6258" t="str">
        <f t="shared" si="2897"/>
        <v>22/10/2025</v>
      </c>
      <c r="B6258" t="str">
        <f t="shared" si="2902"/>
        <v>ENTRADA</v>
      </c>
      <c r="C6258" t="str">
        <f t="shared" si="2898"/>
        <v>NFSE</v>
      </c>
      <c r="D6258" t="str">
        <f>"3634"</f>
        <v>3634</v>
      </c>
      <c r="E6258" t="str">
        <f t="shared" si="2893"/>
        <v>COM</v>
      </c>
      <c r="F6258" t="str">
        <f>"PENSE FARMA 46 (10194)"</f>
        <v>PENSE FARMA 46 (10194)</v>
      </c>
      <c r="G6258" t="str">
        <f>"Serv.Prest. 13/10/2025 a 19/10/2025 - RPS: 1399 - NFSe: 3634"</f>
        <v>Serv.Prest. 13/10/2025 a 19/10/2025 - RPS: 1399 - NFSe: 3634</v>
      </c>
      <c r="H6258" t="str">
        <f t="shared" si="2891"/>
        <v>24/10/2025</v>
      </c>
      <c r="I6258" t="str">
        <f t="shared" si="2892"/>
        <v>20/10/2025</v>
      </c>
      <c r="J6258" t="str">
        <f t="shared" si="2899"/>
        <v>22/10/2025</v>
      </c>
      <c r="K6258">
        <v>300</v>
      </c>
      <c r="L6258">
        <v>300</v>
      </c>
      <c r="M6258">
        <v>303</v>
      </c>
      <c r="N6258" t="str">
        <f t="shared" si="2900"/>
        <v>RECEITAS COM ENTREGAS</v>
      </c>
      <c r="O6258">
        <v>300</v>
      </c>
      <c r="R6258" t="str">
        <f t="shared" si="2901"/>
        <v>RECEITAS COM ENTREGAS (303)</v>
      </c>
      <c r="S6258">
        <v>2815</v>
      </c>
      <c r="T6258">
        <v>2311</v>
      </c>
      <c r="U6258" t="s">
        <v>19</v>
      </c>
    </row>
    <row r="6259" spans="1:21">
      <c r="A6259" t="str">
        <f t="shared" si="2897"/>
        <v>22/10/2025</v>
      </c>
      <c r="B6259" t="str">
        <f t="shared" si="2902"/>
        <v>ENTRADA</v>
      </c>
      <c r="C6259" t="str">
        <f t="shared" si="2898"/>
        <v>NFSE</v>
      </c>
      <c r="D6259" t="str">
        <f>"3634"</f>
        <v>3634</v>
      </c>
      <c r="E6259" t="str">
        <f t="shared" si="2893"/>
        <v>COM</v>
      </c>
      <c r="F6259" t="str">
        <f>"PENSE FARMA 46 (10194)"</f>
        <v>PENSE FARMA 46 (10194)</v>
      </c>
      <c r="G6259" t="str">
        <f>"Serv.Prest. 13/10/2025 a 19/10/2025 - RPS: 1399 - NFSe: 3634"</f>
        <v>Serv.Prest. 13/10/2025 a 19/10/2025 - RPS: 1399 - NFSe: 3634</v>
      </c>
      <c r="H6259" t="str">
        <f t="shared" si="2891"/>
        <v>24/10/2025</v>
      </c>
      <c r="I6259" t="str">
        <f t="shared" si="2892"/>
        <v>20/10/2025</v>
      </c>
      <c r="J6259" t="str">
        <f t="shared" si="2899"/>
        <v>22/10/2025</v>
      </c>
      <c r="M6259">
        <v>303</v>
      </c>
      <c r="N6259" t="str">
        <f t="shared" si="2900"/>
        <v>RECEITAS COM ENTREGAS</v>
      </c>
      <c r="P6259">
        <v>300</v>
      </c>
      <c r="Q6259" t="str">
        <f>"PENSE FARMA 46 (10194)"</f>
        <v>PENSE FARMA 46 (10194)</v>
      </c>
      <c r="R6259" t="str">
        <f t="shared" si="2901"/>
        <v>RECEITAS COM ENTREGAS (303)</v>
      </c>
      <c r="S6259">
        <v>2815</v>
      </c>
      <c r="T6259">
        <v>2311</v>
      </c>
      <c r="U6259" t="s">
        <v>19</v>
      </c>
    </row>
    <row r="6260" spans="1:21">
      <c r="A6260" t="str">
        <f t="shared" si="2897"/>
        <v>22/10/2025</v>
      </c>
      <c r="B6260" t="str">
        <f t="shared" si="2902"/>
        <v>ENTRADA</v>
      </c>
      <c r="C6260" t="str">
        <f t="shared" si="2898"/>
        <v>NFSE</v>
      </c>
      <c r="D6260" t="str">
        <f>"3635"</f>
        <v>3635</v>
      </c>
      <c r="E6260" t="str">
        <f t="shared" si="2893"/>
        <v>COM</v>
      </c>
      <c r="F6260" t="str">
        <f>"PENSE FARMA 47 (10232)"</f>
        <v>PENSE FARMA 47 (10232)</v>
      </c>
      <c r="G6260" t="str">
        <f>"Serv.Prest. 13/10/2025 a 19/10/2025 - RPS: 1400 - NFSe: 3635"</f>
        <v>Serv.Prest. 13/10/2025 a 19/10/2025 - RPS: 1400 - NFSe: 3635</v>
      </c>
      <c r="H6260" t="str">
        <f t="shared" si="2891"/>
        <v>24/10/2025</v>
      </c>
      <c r="I6260" t="str">
        <f t="shared" si="2892"/>
        <v>20/10/2025</v>
      </c>
      <c r="J6260" t="str">
        <f t="shared" si="2899"/>
        <v>22/10/2025</v>
      </c>
      <c r="K6260">
        <v>278.45999999999998</v>
      </c>
      <c r="L6260">
        <v>278.45999999999998</v>
      </c>
      <c r="M6260">
        <v>303</v>
      </c>
      <c r="N6260" t="str">
        <f t="shared" si="2900"/>
        <v>RECEITAS COM ENTREGAS</v>
      </c>
      <c r="O6260">
        <v>278.45999999999998</v>
      </c>
      <c r="R6260" t="str">
        <f t="shared" si="2901"/>
        <v>RECEITAS COM ENTREGAS (303)</v>
      </c>
      <c r="S6260">
        <v>2816</v>
      </c>
      <c r="T6260">
        <v>2312</v>
      </c>
      <c r="U6260" t="s">
        <v>19</v>
      </c>
    </row>
    <row r="6261" spans="1:21">
      <c r="A6261" t="str">
        <f t="shared" si="2897"/>
        <v>22/10/2025</v>
      </c>
      <c r="B6261" t="str">
        <f t="shared" si="2902"/>
        <v>ENTRADA</v>
      </c>
      <c r="C6261" t="str">
        <f t="shared" si="2898"/>
        <v>NFSE</v>
      </c>
      <c r="D6261" t="str">
        <f>"3635"</f>
        <v>3635</v>
      </c>
      <c r="E6261" t="str">
        <f t="shared" si="2893"/>
        <v>COM</v>
      </c>
      <c r="F6261" t="str">
        <f>"PENSE FARMA 47 (10232)"</f>
        <v>PENSE FARMA 47 (10232)</v>
      </c>
      <c r="G6261" t="str">
        <f>"Serv.Prest. 13/10/2025 a 19/10/2025 - RPS: 1400 - NFSe: 3635"</f>
        <v>Serv.Prest. 13/10/2025 a 19/10/2025 - RPS: 1400 - NFSe: 3635</v>
      </c>
      <c r="H6261" t="str">
        <f t="shared" si="2891"/>
        <v>24/10/2025</v>
      </c>
      <c r="I6261" t="str">
        <f t="shared" si="2892"/>
        <v>20/10/2025</v>
      </c>
      <c r="J6261" t="str">
        <f t="shared" si="2899"/>
        <v>22/10/2025</v>
      </c>
      <c r="M6261">
        <v>303</v>
      </c>
      <c r="N6261" t="str">
        <f t="shared" si="2900"/>
        <v>RECEITAS COM ENTREGAS</v>
      </c>
      <c r="P6261">
        <v>278.45999999999998</v>
      </c>
      <c r="Q6261" t="str">
        <f>"PENSE FARMA 47 (10232)"</f>
        <v>PENSE FARMA 47 (10232)</v>
      </c>
      <c r="R6261" t="str">
        <f t="shared" si="2901"/>
        <v>RECEITAS COM ENTREGAS (303)</v>
      </c>
      <c r="S6261">
        <v>2816</v>
      </c>
      <c r="T6261">
        <v>2312</v>
      </c>
      <c r="U6261" t="s">
        <v>19</v>
      </c>
    </row>
    <row r="6262" spans="1:21">
      <c r="A6262" t="str">
        <f t="shared" si="2897"/>
        <v>22/10/2025</v>
      </c>
      <c r="B6262" t="str">
        <f t="shared" si="2902"/>
        <v>ENTRADA</v>
      </c>
      <c r="C6262" t="str">
        <f t="shared" si="2898"/>
        <v>NFSE</v>
      </c>
      <c r="D6262" t="str">
        <f>"3636"</f>
        <v>3636</v>
      </c>
      <c r="E6262" t="str">
        <f t="shared" si="2893"/>
        <v>COM</v>
      </c>
      <c r="F6262" t="str">
        <f>"PENSE FARMA 51 (10235)"</f>
        <v>PENSE FARMA 51 (10235)</v>
      </c>
      <c r="G6262" t="str">
        <f>"Serv.Prest. 13/10/2025 a 19/10/2025 - RPS: 1401 - NFSe: 3636"</f>
        <v>Serv.Prest. 13/10/2025 a 19/10/2025 - RPS: 1401 - NFSe: 3636</v>
      </c>
      <c r="H6262" t="str">
        <f t="shared" si="2891"/>
        <v>24/10/2025</v>
      </c>
      <c r="I6262" t="str">
        <f t="shared" si="2892"/>
        <v>20/10/2025</v>
      </c>
      <c r="J6262" t="str">
        <f t="shared" si="2899"/>
        <v>22/10/2025</v>
      </c>
      <c r="K6262">
        <v>171.36</v>
      </c>
      <c r="L6262">
        <v>171.36</v>
      </c>
      <c r="M6262">
        <v>303</v>
      </c>
      <c r="N6262" t="str">
        <f t="shared" si="2900"/>
        <v>RECEITAS COM ENTREGAS</v>
      </c>
      <c r="O6262">
        <v>171.36</v>
      </c>
      <c r="R6262" t="str">
        <f t="shared" si="2901"/>
        <v>RECEITAS COM ENTREGAS (303)</v>
      </c>
      <c r="S6262">
        <v>2817</v>
      </c>
      <c r="T6262">
        <v>2313</v>
      </c>
      <c r="U6262" t="s">
        <v>19</v>
      </c>
    </row>
    <row r="6263" spans="1:21">
      <c r="A6263" t="str">
        <f t="shared" si="2897"/>
        <v>22/10/2025</v>
      </c>
      <c r="B6263" t="str">
        <f t="shared" si="2902"/>
        <v>ENTRADA</v>
      </c>
      <c r="C6263" t="str">
        <f t="shared" si="2898"/>
        <v>NFSE</v>
      </c>
      <c r="D6263" t="str">
        <f>"3636"</f>
        <v>3636</v>
      </c>
      <c r="E6263" t="str">
        <f t="shared" si="2893"/>
        <v>COM</v>
      </c>
      <c r="F6263" t="str">
        <f>"PENSE FARMA 51 (10235)"</f>
        <v>PENSE FARMA 51 (10235)</v>
      </c>
      <c r="G6263" t="str">
        <f>"Serv.Prest. 13/10/2025 a 19/10/2025 - RPS: 1401 - NFSe: 3636"</f>
        <v>Serv.Prest. 13/10/2025 a 19/10/2025 - RPS: 1401 - NFSe: 3636</v>
      </c>
      <c r="H6263" t="str">
        <f t="shared" si="2891"/>
        <v>24/10/2025</v>
      </c>
      <c r="I6263" t="str">
        <f t="shared" si="2892"/>
        <v>20/10/2025</v>
      </c>
      <c r="J6263" t="str">
        <f t="shared" si="2899"/>
        <v>22/10/2025</v>
      </c>
      <c r="M6263">
        <v>303</v>
      </c>
      <c r="N6263" t="str">
        <f t="shared" si="2900"/>
        <v>RECEITAS COM ENTREGAS</v>
      </c>
      <c r="P6263">
        <v>171.36</v>
      </c>
      <c r="Q6263" t="str">
        <f>"PENSE FARMA 51 (10235)"</f>
        <v>PENSE FARMA 51 (10235)</v>
      </c>
      <c r="R6263" t="str">
        <f t="shared" si="2901"/>
        <v>RECEITAS COM ENTREGAS (303)</v>
      </c>
      <c r="S6263">
        <v>2817</v>
      </c>
      <c r="T6263">
        <v>2313</v>
      </c>
      <c r="U6263" t="s">
        <v>19</v>
      </c>
    </row>
    <row r="6264" spans="1:21">
      <c r="A6264" t="str">
        <f t="shared" si="2897"/>
        <v>22/10/2025</v>
      </c>
      <c r="B6264" t="str">
        <f t="shared" si="2902"/>
        <v>ENTRADA</v>
      </c>
      <c r="C6264" t="str">
        <f t="shared" si="2898"/>
        <v>NFSE</v>
      </c>
      <c r="D6264" t="str">
        <f>"3637"</f>
        <v>3637</v>
      </c>
      <c r="E6264" t="str">
        <f t="shared" si="2893"/>
        <v>COM</v>
      </c>
      <c r="F6264" t="str">
        <f>"PENSE FARMA 49 (10234)"</f>
        <v>PENSE FARMA 49 (10234)</v>
      </c>
      <c r="G6264" t="str">
        <f>"Serv.Prest. 13/10/2025 a 19/10/2025 - RPS: 1402 - NFSe: 3637"</f>
        <v>Serv.Prest. 13/10/2025 a 19/10/2025 - RPS: 1402 - NFSe: 3637</v>
      </c>
      <c r="H6264" t="str">
        <f t="shared" si="2891"/>
        <v>24/10/2025</v>
      </c>
      <c r="I6264" t="str">
        <f t="shared" si="2892"/>
        <v>20/10/2025</v>
      </c>
      <c r="J6264" t="str">
        <f t="shared" si="2899"/>
        <v>22/10/2025</v>
      </c>
      <c r="K6264">
        <v>171.36</v>
      </c>
      <c r="L6264">
        <v>171.36</v>
      </c>
      <c r="M6264">
        <v>303</v>
      </c>
      <c r="N6264" t="str">
        <f t="shared" si="2900"/>
        <v>RECEITAS COM ENTREGAS</v>
      </c>
      <c r="O6264">
        <v>171.36</v>
      </c>
      <c r="R6264" t="str">
        <f t="shared" si="2901"/>
        <v>RECEITAS COM ENTREGAS (303)</v>
      </c>
      <c r="S6264">
        <v>2818</v>
      </c>
      <c r="T6264">
        <v>2314</v>
      </c>
      <c r="U6264" t="s">
        <v>19</v>
      </c>
    </row>
    <row r="6265" spans="1:21">
      <c r="A6265" t="str">
        <f t="shared" si="2897"/>
        <v>22/10/2025</v>
      </c>
      <c r="B6265" t="str">
        <f t="shared" si="2902"/>
        <v>ENTRADA</v>
      </c>
      <c r="C6265" t="str">
        <f t="shared" si="2898"/>
        <v>NFSE</v>
      </c>
      <c r="D6265" t="str">
        <f>"3637"</f>
        <v>3637</v>
      </c>
      <c r="E6265" t="str">
        <f t="shared" si="2893"/>
        <v>COM</v>
      </c>
      <c r="F6265" t="str">
        <f>"PENSE FARMA 49 (10234)"</f>
        <v>PENSE FARMA 49 (10234)</v>
      </c>
      <c r="G6265" t="str">
        <f>"Serv.Prest. 13/10/2025 a 19/10/2025 - RPS: 1402 - NFSe: 3637"</f>
        <v>Serv.Prest. 13/10/2025 a 19/10/2025 - RPS: 1402 - NFSe: 3637</v>
      </c>
      <c r="H6265" t="str">
        <f t="shared" si="2891"/>
        <v>24/10/2025</v>
      </c>
      <c r="I6265" t="str">
        <f t="shared" si="2892"/>
        <v>20/10/2025</v>
      </c>
      <c r="J6265" t="str">
        <f t="shared" si="2899"/>
        <v>22/10/2025</v>
      </c>
      <c r="M6265">
        <v>303</v>
      </c>
      <c r="N6265" t="str">
        <f t="shared" si="2900"/>
        <v>RECEITAS COM ENTREGAS</v>
      </c>
      <c r="P6265">
        <v>171.36</v>
      </c>
      <c r="Q6265" t="str">
        <f>"PENSE FARMA 49 (10234)"</f>
        <v>PENSE FARMA 49 (10234)</v>
      </c>
      <c r="R6265" t="str">
        <f t="shared" si="2901"/>
        <v>RECEITAS COM ENTREGAS (303)</v>
      </c>
      <c r="S6265">
        <v>2818</v>
      </c>
      <c r="T6265">
        <v>2314</v>
      </c>
      <c r="U6265" t="s">
        <v>19</v>
      </c>
    </row>
    <row r="6266" spans="1:21">
      <c r="A6266" t="str">
        <f t="shared" si="2897"/>
        <v>22/10/2025</v>
      </c>
      <c r="B6266" t="str">
        <f t="shared" si="2902"/>
        <v>ENTRADA</v>
      </c>
      <c r="C6266" t="str">
        <f t="shared" si="2898"/>
        <v>NFSE</v>
      </c>
      <c r="D6266" t="str">
        <f>"3638"</f>
        <v>3638</v>
      </c>
      <c r="E6266" t="str">
        <f t="shared" si="2893"/>
        <v>COM</v>
      </c>
      <c r="F6266" t="str">
        <f>"PENSE FARMA 22 (10198)"</f>
        <v>PENSE FARMA 22 (10198)</v>
      </c>
      <c r="G6266" t="str">
        <f>"Serv.Prest. 13/10/2025 a 19/10/2025 - RPS: 1403 - NFSe: 3638"</f>
        <v>Serv.Prest. 13/10/2025 a 19/10/2025 - RPS: 1403 - NFSe: 3638</v>
      </c>
      <c r="H6266" t="str">
        <f t="shared" si="2891"/>
        <v>24/10/2025</v>
      </c>
      <c r="I6266" t="str">
        <f t="shared" si="2892"/>
        <v>20/10/2025</v>
      </c>
      <c r="J6266" t="str">
        <f t="shared" si="2899"/>
        <v>22/10/2025</v>
      </c>
      <c r="K6266">
        <v>450</v>
      </c>
      <c r="L6266">
        <v>450</v>
      </c>
      <c r="M6266">
        <v>303</v>
      </c>
      <c r="N6266" t="str">
        <f t="shared" si="2900"/>
        <v>RECEITAS COM ENTREGAS</v>
      </c>
      <c r="O6266">
        <v>450</v>
      </c>
      <c r="R6266" t="str">
        <f t="shared" si="2901"/>
        <v>RECEITAS COM ENTREGAS (303)</v>
      </c>
      <c r="S6266">
        <v>2819</v>
      </c>
      <c r="T6266">
        <v>2315</v>
      </c>
      <c r="U6266" t="s">
        <v>19</v>
      </c>
    </row>
    <row r="6267" spans="1:21">
      <c r="A6267" t="str">
        <f t="shared" si="2897"/>
        <v>22/10/2025</v>
      </c>
      <c r="B6267" t="str">
        <f t="shared" si="2902"/>
        <v>ENTRADA</v>
      </c>
      <c r="C6267" t="str">
        <f t="shared" si="2898"/>
        <v>NFSE</v>
      </c>
      <c r="D6267" t="str">
        <f>"3638"</f>
        <v>3638</v>
      </c>
      <c r="E6267" t="str">
        <f t="shared" si="2893"/>
        <v>COM</v>
      </c>
      <c r="F6267" t="str">
        <f>"PENSE FARMA 22 (10198)"</f>
        <v>PENSE FARMA 22 (10198)</v>
      </c>
      <c r="G6267" t="str">
        <f>"Serv.Prest. 13/10/2025 a 19/10/2025 - RPS: 1403 - NFSe: 3638"</f>
        <v>Serv.Prest. 13/10/2025 a 19/10/2025 - RPS: 1403 - NFSe: 3638</v>
      </c>
      <c r="H6267" t="str">
        <f t="shared" si="2891"/>
        <v>24/10/2025</v>
      </c>
      <c r="I6267" t="str">
        <f t="shared" si="2892"/>
        <v>20/10/2025</v>
      </c>
      <c r="J6267" t="str">
        <f t="shared" si="2899"/>
        <v>22/10/2025</v>
      </c>
      <c r="M6267">
        <v>303</v>
      </c>
      <c r="N6267" t="str">
        <f t="shared" si="2900"/>
        <v>RECEITAS COM ENTREGAS</v>
      </c>
      <c r="P6267">
        <v>450</v>
      </c>
      <c r="Q6267" t="str">
        <f>"PENSE FARMA 22 (10198)"</f>
        <v>PENSE FARMA 22 (10198)</v>
      </c>
      <c r="R6267" t="str">
        <f t="shared" si="2901"/>
        <v>RECEITAS COM ENTREGAS (303)</v>
      </c>
      <c r="S6267">
        <v>2819</v>
      </c>
      <c r="T6267">
        <v>2315</v>
      </c>
      <c r="U6267" t="s">
        <v>19</v>
      </c>
    </row>
    <row r="6268" spans="1:21">
      <c r="A6268" t="str">
        <f t="shared" si="2897"/>
        <v>22/10/2025</v>
      </c>
      <c r="B6268" t="str">
        <f t="shared" si="2902"/>
        <v>ENTRADA</v>
      </c>
      <c r="C6268" t="str">
        <f t="shared" si="2898"/>
        <v>NFSE</v>
      </c>
      <c r="D6268" t="str">
        <f>"3633"</f>
        <v>3633</v>
      </c>
      <c r="E6268" t="str">
        <f t="shared" si="2893"/>
        <v>COM</v>
      </c>
      <c r="F6268" t="str">
        <f>"PENSE FARMA 44 (10231)"</f>
        <v>PENSE FARMA 44 (10231)</v>
      </c>
      <c r="G6268" t="str">
        <f>"Serv.Prest. 13/10/2025 a 19/10/2025 - RPS: 1398 - NFSe: 3633"</f>
        <v>Serv.Prest. 13/10/2025 a 19/10/2025 - RPS: 1398 - NFSe: 3633</v>
      </c>
      <c r="H6268" t="str">
        <f>("24/11/2025")</f>
        <v>24/11/2025</v>
      </c>
      <c r="I6268" t="str">
        <f t="shared" si="2892"/>
        <v>20/10/2025</v>
      </c>
      <c r="J6268" t="str">
        <f t="shared" si="2899"/>
        <v>22/10/2025</v>
      </c>
      <c r="K6268">
        <v>589.04</v>
      </c>
      <c r="L6268">
        <v>589.04</v>
      </c>
      <c r="M6268">
        <v>303</v>
      </c>
      <c r="N6268" t="str">
        <f t="shared" si="2900"/>
        <v>RECEITAS COM ENTREGAS</v>
      </c>
      <c r="O6268">
        <v>589.04</v>
      </c>
      <c r="R6268" t="str">
        <f t="shared" si="2901"/>
        <v>RECEITAS COM ENTREGAS (303)</v>
      </c>
      <c r="S6268">
        <v>3014</v>
      </c>
      <c r="T6268">
        <v>2310</v>
      </c>
      <c r="U6268" t="s">
        <v>19</v>
      </c>
    </row>
    <row r="6269" spans="1:21">
      <c r="A6269" t="str">
        <f t="shared" si="2897"/>
        <v>22/10/2025</v>
      </c>
      <c r="B6269" t="str">
        <f t="shared" si="2902"/>
        <v>ENTRADA</v>
      </c>
      <c r="C6269" t="str">
        <f t="shared" si="2898"/>
        <v>NFSE</v>
      </c>
      <c r="D6269" t="str">
        <f>"3633"</f>
        <v>3633</v>
      </c>
      <c r="E6269" t="str">
        <f t="shared" si="2893"/>
        <v>COM</v>
      </c>
      <c r="F6269" t="str">
        <f>"PENSE FARMA 44 (10231)"</f>
        <v>PENSE FARMA 44 (10231)</v>
      </c>
      <c r="G6269" t="str">
        <f>"Serv.Prest. 13/10/2025 a 19/10/2025 - RPS: 1398 - NFSe: 3633"</f>
        <v>Serv.Prest. 13/10/2025 a 19/10/2025 - RPS: 1398 - NFSe: 3633</v>
      </c>
      <c r="H6269" t="str">
        <f>("24/11/2025")</f>
        <v>24/11/2025</v>
      </c>
      <c r="I6269" t="str">
        <f t="shared" si="2892"/>
        <v>20/10/2025</v>
      </c>
      <c r="J6269" t="str">
        <f t="shared" si="2899"/>
        <v>22/10/2025</v>
      </c>
      <c r="M6269">
        <v>303</v>
      </c>
      <c r="N6269" t="str">
        <f t="shared" si="2900"/>
        <v>RECEITAS COM ENTREGAS</v>
      </c>
      <c r="P6269">
        <v>294.52</v>
      </c>
      <c r="Q6269" t="str">
        <f>"PENSE FARMA 44 (10231)"</f>
        <v>PENSE FARMA 44 (10231)</v>
      </c>
      <c r="R6269" t="str">
        <f t="shared" si="2901"/>
        <v>RECEITAS COM ENTREGAS (303)</v>
      </c>
      <c r="S6269">
        <v>3014</v>
      </c>
      <c r="T6269">
        <v>2310</v>
      </c>
      <c r="U6269" t="s">
        <v>19</v>
      </c>
    </row>
    <row r="6270" spans="1:21">
      <c r="A6270" t="str">
        <f t="shared" si="2897"/>
        <v>22/10/2025</v>
      </c>
      <c r="B6270" t="str">
        <f t="shared" si="2902"/>
        <v>ENTRADA</v>
      </c>
      <c r="C6270" t="str">
        <f t="shared" si="2898"/>
        <v>NFSE</v>
      </c>
      <c r="D6270" t="str">
        <f>"3633"</f>
        <v>3633</v>
      </c>
      <c r="E6270" t="str">
        <f t="shared" si="2893"/>
        <v>COM</v>
      </c>
      <c r="F6270" t="str">
        <f>"PENSE FARMA 44 (10231)"</f>
        <v>PENSE FARMA 44 (10231)</v>
      </c>
      <c r="G6270" t="str">
        <f>"Serv.Prest. 13/10/2025 a 19/10/2025 - RPS: 1398 - NFSe: 3633"</f>
        <v>Serv.Prest. 13/10/2025 a 19/10/2025 - RPS: 1398 - NFSe: 3633</v>
      </c>
      <c r="H6270" t="str">
        <f>("24/11/2025")</f>
        <v>24/11/2025</v>
      </c>
      <c r="I6270" t="str">
        <f t="shared" si="2892"/>
        <v>20/10/2025</v>
      </c>
      <c r="J6270" t="str">
        <f t="shared" si="2899"/>
        <v>22/10/2025</v>
      </c>
      <c r="M6270">
        <v>303</v>
      </c>
      <c r="N6270" t="str">
        <f t="shared" si="2900"/>
        <v>RECEITAS COM ENTREGAS</v>
      </c>
      <c r="P6270">
        <v>294.52</v>
      </c>
      <c r="Q6270" t="str">
        <f>"PENSE FARMA 48 (10233)"</f>
        <v>PENSE FARMA 48 (10233)</v>
      </c>
      <c r="R6270" t="str">
        <f t="shared" si="2901"/>
        <v>RECEITAS COM ENTREGAS (303)</v>
      </c>
      <c r="S6270">
        <v>3014</v>
      </c>
      <c r="T6270">
        <v>2310</v>
      </c>
      <c r="U6270" t="s">
        <v>19</v>
      </c>
    </row>
    <row r="6271" spans="1:21">
      <c r="A6271" t="str">
        <f t="shared" si="2897"/>
        <v>22/10/2025</v>
      </c>
      <c r="B6271" t="str">
        <f t="shared" ref="B6271:B6274" si="2903">"SAÍDA"</f>
        <v>SAÍDA</v>
      </c>
      <c r="C6271" t="str">
        <f>"PIX"</f>
        <v>PIX</v>
      </c>
      <c r="D6271" t="str">
        <f>"22102025"</f>
        <v>22102025</v>
      </c>
      <c r="E6271" t="str">
        <f t="shared" si="2893"/>
        <v>COM</v>
      </c>
      <c r="F6271" t="str">
        <f>"LOCALIZA RENT A CAR SA (20068)"</f>
        <v>LOCALIZA RENT A CAR SA (20068)</v>
      </c>
      <c r="G6271" t="str">
        <f>"DESPESAS DE VIAGEM"</f>
        <v>DESPESAS DE VIAGEM</v>
      </c>
      <c r="H6271" t="str">
        <f t="shared" ref="H6271:I6274" si="2904">("22/10/2025")</f>
        <v>22/10/2025</v>
      </c>
      <c r="I6271" t="str">
        <f t="shared" si="2904"/>
        <v>22/10/2025</v>
      </c>
      <c r="J6271" t="str">
        <f t="shared" si="2899"/>
        <v>22/10/2025</v>
      </c>
      <c r="K6271">
        <v>843.77</v>
      </c>
      <c r="L6271">
        <v>843.77</v>
      </c>
      <c r="M6271">
        <v>128</v>
      </c>
      <c r="N6271" t="str">
        <f>"DESPESAS COM VIAGENS"</f>
        <v>DESPESAS COM VIAGENS</v>
      </c>
      <c r="O6271">
        <v>843.77</v>
      </c>
      <c r="R6271" t="str">
        <f>"BANCO CORA (102)"</f>
        <v>BANCO CORA (102)</v>
      </c>
      <c r="S6271">
        <v>3172</v>
      </c>
      <c r="T6271">
        <v>2759</v>
      </c>
      <c r="U6271" t="s">
        <v>19</v>
      </c>
    </row>
    <row r="6272" spans="1:21">
      <c r="A6272" t="str">
        <f t="shared" si="2897"/>
        <v>22/10/2025</v>
      </c>
      <c r="B6272" t="str">
        <f t="shared" si="2903"/>
        <v>SAÍDA</v>
      </c>
      <c r="C6272" t="str">
        <f>"PIX"</f>
        <v>PIX</v>
      </c>
      <c r="D6272" t="str">
        <f>"22102025"</f>
        <v>22102025</v>
      </c>
      <c r="E6272" t="str">
        <f t="shared" si="2893"/>
        <v>COM</v>
      </c>
      <c r="F6272" t="str">
        <f>"LOCALIZA RENT A CAR SA (20068)"</f>
        <v>LOCALIZA RENT A CAR SA (20068)</v>
      </c>
      <c r="G6272" t="str">
        <f>"DESPESAS DE VIAGEM"</f>
        <v>DESPESAS DE VIAGEM</v>
      </c>
      <c r="H6272" t="str">
        <f t="shared" si="2904"/>
        <v>22/10/2025</v>
      </c>
      <c r="I6272" t="str">
        <f t="shared" si="2904"/>
        <v>22/10/2025</v>
      </c>
      <c r="J6272" t="str">
        <f t="shared" si="2899"/>
        <v>22/10/2025</v>
      </c>
      <c r="M6272">
        <v>128</v>
      </c>
      <c r="N6272" t="str">
        <f>"DESPESAS COM VIAGENS"</f>
        <v>DESPESAS COM VIAGENS</v>
      </c>
      <c r="P6272">
        <v>843.77</v>
      </c>
      <c r="Q6272" t="str">
        <f>"LOCALIZA RENT A CAR SA (20068)"</f>
        <v>LOCALIZA RENT A CAR SA (20068)</v>
      </c>
      <c r="R6272" t="str">
        <f>"BANCO CORA (102)"</f>
        <v>BANCO CORA (102)</v>
      </c>
      <c r="S6272">
        <v>3172</v>
      </c>
      <c r="T6272">
        <v>2759</v>
      </c>
      <c r="U6272" t="s">
        <v>19</v>
      </c>
    </row>
    <row r="6273" spans="1:21">
      <c r="A6273" t="str">
        <f t="shared" si="2897"/>
        <v>22/10/2025</v>
      </c>
      <c r="B6273" t="str">
        <f t="shared" si="2903"/>
        <v>SAÍDA</v>
      </c>
      <c r="C6273" t="str">
        <f>"PIX"</f>
        <v>PIX</v>
      </c>
      <c r="D6273" t="str">
        <f>"22102025"</f>
        <v>22102025</v>
      </c>
      <c r="E6273" t="str">
        <f t="shared" si="2893"/>
        <v>COM</v>
      </c>
      <c r="F6273" t="str">
        <f>"LILIANE DE FATIMA REZENDE JUSTINO (20013)"</f>
        <v>LILIANE DE FATIMA REZENDE JUSTINO (20013)</v>
      </c>
      <c r="G6273" t="str">
        <f>"DESPESAS DE VIAGEM JUIZ DE FORA"</f>
        <v>DESPESAS DE VIAGEM JUIZ DE FORA</v>
      </c>
      <c r="H6273" t="str">
        <f t="shared" si="2904"/>
        <v>22/10/2025</v>
      </c>
      <c r="I6273" t="str">
        <f t="shared" si="2904"/>
        <v>22/10/2025</v>
      </c>
      <c r="J6273" t="str">
        <f t="shared" si="2899"/>
        <v>22/10/2025</v>
      </c>
      <c r="K6273">
        <v>1500</v>
      </c>
      <c r="L6273">
        <v>1500</v>
      </c>
      <c r="M6273">
        <v>128</v>
      </c>
      <c r="N6273" t="str">
        <f>"DESPESAS COM VIAGENS"</f>
        <v>DESPESAS COM VIAGENS</v>
      </c>
      <c r="O6273">
        <v>1500</v>
      </c>
      <c r="R6273" t="str">
        <f>"BANCO CORA (102)"</f>
        <v>BANCO CORA (102)</v>
      </c>
      <c r="S6273">
        <v>3173</v>
      </c>
      <c r="T6273">
        <v>2760</v>
      </c>
      <c r="U6273" t="s">
        <v>19</v>
      </c>
    </row>
    <row r="6274" spans="1:21">
      <c r="A6274" t="str">
        <f t="shared" si="2897"/>
        <v>22/10/2025</v>
      </c>
      <c r="B6274" t="str">
        <f t="shared" si="2903"/>
        <v>SAÍDA</v>
      </c>
      <c r="C6274" t="str">
        <f>"PIX"</f>
        <v>PIX</v>
      </c>
      <c r="D6274" t="str">
        <f>"22102025"</f>
        <v>22102025</v>
      </c>
      <c r="E6274" t="str">
        <f t="shared" si="2893"/>
        <v>COM</v>
      </c>
      <c r="F6274" t="str">
        <f>"LILIANE DE FATIMA REZENDE JUSTINO (20013)"</f>
        <v>LILIANE DE FATIMA REZENDE JUSTINO (20013)</v>
      </c>
      <c r="G6274" t="str">
        <f>"DESPESAS DE VIAGEM JUIZ DE FORA"</f>
        <v>DESPESAS DE VIAGEM JUIZ DE FORA</v>
      </c>
      <c r="H6274" t="str">
        <f t="shared" si="2904"/>
        <v>22/10/2025</v>
      </c>
      <c r="I6274" t="str">
        <f t="shared" si="2904"/>
        <v>22/10/2025</v>
      </c>
      <c r="J6274" t="str">
        <f t="shared" si="2899"/>
        <v>22/10/2025</v>
      </c>
      <c r="M6274">
        <v>128</v>
      </c>
      <c r="N6274" t="str">
        <f>"DESPESAS COM VIAGENS"</f>
        <v>DESPESAS COM VIAGENS</v>
      </c>
      <c r="P6274">
        <v>1500</v>
      </c>
      <c r="Q6274" t="str">
        <f>"LILIANE DE FATIMA REZENDE JUSTINO (20013)"</f>
        <v>LILIANE DE FATIMA REZENDE JUSTINO (20013)</v>
      </c>
      <c r="R6274" t="str">
        <f>"BANCO CORA (102)"</f>
        <v>BANCO CORA (102)</v>
      </c>
      <c r="S6274">
        <v>3173</v>
      </c>
      <c r="T6274">
        <v>2760</v>
      </c>
      <c r="U6274" t="s">
        <v>19</v>
      </c>
    </row>
    <row r="6275" spans="1:21">
      <c r="A6275" t="str">
        <f t="shared" ref="A6275:A6310" si="2905">("23/10/2025")</f>
        <v>23/10/2025</v>
      </c>
      <c r="B6275" t="str">
        <f>"ENTRADA"</f>
        <v>ENTRADA</v>
      </c>
      <c r="C6275" t="str">
        <f t="shared" ref="C6275:C6306" si="2906">"NFSE"</f>
        <v>NFSE</v>
      </c>
      <c r="D6275" t="str">
        <f>"3620"</f>
        <v>3620</v>
      </c>
      <c r="E6275" t="str">
        <f t="shared" si="2893"/>
        <v>COM</v>
      </c>
      <c r="F6275" t="str">
        <f>"AC FARMA - FLEMINFARMA (10160)"</f>
        <v>AC FARMA - FLEMINFARMA (10160)</v>
      </c>
      <c r="G6275" t="str">
        <f>"Serv.Prest. 06/10/2025 a 12/10/2025 - RPS: 1384 - NFSe: 3620"</f>
        <v>Serv.Prest. 06/10/2025 a 12/10/2025 - RPS: 1384 - NFSe: 3620</v>
      </c>
      <c r="H6275" t="str">
        <f t="shared" ref="H6275:H6292" si="2907">("22/10/2025")</f>
        <v>22/10/2025</v>
      </c>
      <c r="I6275" t="str">
        <f t="shared" ref="I6275:I6280" si="2908">("16/10/2025")</f>
        <v>16/10/2025</v>
      </c>
      <c r="J6275" t="str">
        <f t="shared" ref="J6275:J6310" si="2909">("23/10/2025")</f>
        <v>23/10/2025</v>
      </c>
      <c r="K6275">
        <v>209.25</v>
      </c>
      <c r="L6275">
        <v>209.25</v>
      </c>
      <c r="M6275">
        <v>303</v>
      </c>
      <c r="N6275" t="str">
        <f t="shared" ref="N6275:N6306" si="2910">"RECEITAS COM ENTREGAS"</f>
        <v>RECEITAS COM ENTREGAS</v>
      </c>
      <c r="O6275">
        <v>209.25</v>
      </c>
      <c r="R6275" t="str">
        <f t="shared" ref="R6275:R6306" si="2911">"RECEITAS COM ENTREGAS (303)"</f>
        <v>RECEITAS COM ENTREGAS (303)</v>
      </c>
      <c r="S6275">
        <v>2794</v>
      </c>
      <c r="T6275">
        <v>2295</v>
      </c>
      <c r="U6275" t="s">
        <v>19</v>
      </c>
    </row>
    <row r="6276" spans="1:21">
      <c r="A6276" t="str">
        <f t="shared" si="2905"/>
        <v>23/10/2025</v>
      </c>
      <c r="B6276" t="str">
        <f t="shared" ref="B6276:B6306" si="2912">"ENTRADA"</f>
        <v>ENTRADA</v>
      </c>
      <c r="C6276" t="str">
        <f t="shared" si="2906"/>
        <v>NFSE</v>
      </c>
      <c r="D6276" t="str">
        <f>"3620"</f>
        <v>3620</v>
      </c>
      <c r="E6276" t="str">
        <f t="shared" si="2893"/>
        <v>COM</v>
      </c>
      <c r="F6276" t="str">
        <f>"AC FARMA - FLEMINFARMA (10160)"</f>
        <v>AC FARMA - FLEMINFARMA (10160)</v>
      </c>
      <c r="G6276" t="str">
        <f>"Serv.Prest. 06/10/2025 a 12/10/2025 - RPS: 1384 - NFSe: 3620"</f>
        <v>Serv.Prest. 06/10/2025 a 12/10/2025 - RPS: 1384 - NFSe: 3620</v>
      </c>
      <c r="H6276" t="str">
        <f t="shared" si="2907"/>
        <v>22/10/2025</v>
      </c>
      <c r="I6276" t="str">
        <f t="shared" si="2908"/>
        <v>16/10/2025</v>
      </c>
      <c r="J6276" t="str">
        <f t="shared" si="2909"/>
        <v>23/10/2025</v>
      </c>
      <c r="M6276">
        <v>303</v>
      </c>
      <c r="N6276" t="str">
        <f t="shared" si="2910"/>
        <v>RECEITAS COM ENTREGAS</v>
      </c>
      <c r="P6276">
        <v>201.15</v>
      </c>
      <c r="Q6276" t="str">
        <f>"AC FARMA -  FLEMINFARMA (10159)"</f>
        <v>AC FARMA -  FLEMINFARMA (10159)</v>
      </c>
      <c r="R6276" t="str">
        <f t="shared" si="2911"/>
        <v>RECEITAS COM ENTREGAS (303)</v>
      </c>
      <c r="S6276">
        <v>2794</v>
      </c>
      <c r="T6276">
        <v>2295</v>
      </c>
      <c r="U6276" t="s">
        <v>19</v>
      </c>
    </row>
    <row r="6277" spans="1:21">
      <c r="A6277" t="str">
        <f t="shared" si="2905"/>
        <v>23/10/2025</v>
      </c>
      <c r="B6277" t="str">
        <f t="shared" si="2912"/>
        <v>ENTRADA</v>
      </c>
      <c r="C6277" t="str">
        <f t="shared" si="2906"/>
        <v>NFSE</v>
      </c>
      <c r="D6277" t="str">
        <f>"3620"</f>
        <v>3620</v>
      </c>
      <c r="E6277" t="str">
        <f t="shared" si="2893"/>
        <v>COM</v>
      </c>
      <c r="F6277" t="str">
        <f>"AC FARMA - FLEMINFARMA (10160)"</f>
        <v>AC FARMA - FLEMINFARMA (10160)</v>
      </c>
      <c r="G6277" t="str">
        <f>"Serv.Prest. 06/10/2025 a 12/10/2025 - RPS: 1384 - NFSe: 3620"</f>
        <v>Serv.Prest. 06/10/2025 a 12/10/2025 - RPS: 1384 - NFSe: 3620</v>
      </c>
      <c r="H6277" t="str">
        <f t="shared" si="2907"/>
        <v>22/10/2025</v>
      </c>
      <c r="I6277" t="str">
        <f t="shared" si="2908"/>
        <v>16/10/2025</v>
      </c>
      <c r="J6277" t="str">
        <f t="shared" si="2909"/>
        <v>23/10/2025</v>
      </c>
      <c r="M6277">
        <v>303</v>
      </c>
      <c r="N6277" t="str">
        <f t="shared" si="2910"/>
        <v>RECEITAS COM ENTREGAS</v>
      </c>
      <c r="P6277">
        <v>8.1</v>
      </c>
      <c r="Q6277" t="str">
        <f>"AC FARMA - FLEMINFARMA (10160)"</f>
        <v>AC FARMA - FLEMINFARMA (10160)</v>
      </c>
      <c r="R6277" t="str">
        <f t="shared" si="2911"/>
        <v>RECEITAS COM ENTREGAS (303)</v>
      </c>
      <c r="S6277">
        <v>2794</v>
      </c>
      <c r="T6277">
        <v>2295</v>
      </c>
      <c r="U6277" t="s">
        <v>19</v>
      </c>
    </row>
    <row r="6278" spans="1:21">
      <c r="A6278" t="str">
        <f t="shared" si="2905"/>
        <v>23/10/2025</v>
      </c>
      <c r="B6278" t="str">
        <f t="shared" si="2912"/>
        <v>ENTRADA</v>
      </c>
      <c r="C6278" t="str">
        <f t="shared" si="2906"/>
        <v>NFSE</v>
      </c>
      <c r="D6278" t="str">
        <f>"3621"</f>
        <v>3621</v>
      </c>
      <c r="E6278" t="str">
        <f t="shared" si="2893"/>
        <v>COM</v>
      </c>
      <c r="F6278" t="str">
        <f>"AC FARMA - FLEMINFARMA 5 (10183)"</f>
        <v>AC FARMA - FLEMINFARMA 5 (10183)</v>
      </c>
      <c r="G6278" t="str">
        <f>"Serv.Prest. 06/10/2025 a 12/10/2025 - RPS: 1385 - NFSe: 3621"</f>
        <v>Serv.Prest. 06/10/2025 a 12/10/2025 - RPS: 1385 - NFSe: 3621</v>
      </c>
      <c r="H6278" t="str">
        <f t="shared" si="2907"/>
        <v>22/10/2025</v>
      </c>
      <c r="I6278" t="str">
        <f t="shared" si="2908"/>
        <v>16/10/2025</v>
      </c>
      <c r="J6278" t="str">
        <f t="shared" si="2909"/>
        <v>23/10/2025</v>
      </c>
      <c r="K6278">
        <v>112.05</v>
      </c>
      <c r="L6278">
        <v>112.05</v>
      </c>
      <c r="M6278">
        <v>303</v>
      </c>
      <c r="N6278" t="str">
        <f t="shared" si="2910"/>
        <v>RECEITAS COM ENTREGAS</v>
      </c>
      <c r="O6278">
        <v>112.05</v>
      </c>
      <c r="R6278" t="str">
        <f t="shared" si="2911"/>
        <v>RECEITAS COM ENTREGAS (303)</v>
      </c>
      <c r="S6278">
        <v>2795</v>
      </c>
      <c r="T6278">
        <v>2296</v>
      </c>
      <c r="U6278" t="s">
        <v>19</v>
      </c>
    </row>
    <row r="6279" spans="1:21">
      <c r="A6279" t="str">
        <f t="shared" si="2905"/>
        <v>23/10/2025</v>
      </c>
      <c r="B6279" t="str">
        <f t="shared" si="2912"/>
        <v>ENTRADA</v>
      </c>
      <c r="C6279" t="str">
        <f t="shared" si="2906"/>
        <v>NFSE</v>
      </c>
      <c r="D6279" t="str">
        <f>"3621"</f>
        <v>3621</v>
      </c>
      <c r="E6279" t="str">
        <f t="shared" si="2893"/>
        <v>COM</v>
      </c>
      <c r="F6279" t="str">
        <f>"AC FARMA - FLEMINFARMA 5 (10183)"</f>
        <v>AC FARMA - FLEMINFARMA 5 (10183)</v>
      </c>
      <c r="G6279" t="str">
        <f>"Serv.Prest. 06/10/2025 a 12/10/2025 - RPS: 1385 - NFSe: 3621"</f>
        <v>Serv.Prest. 06/10/2025 a 12/10/2025 - RPS: 1385 - NFSe: 3621</v>
      </c>
      <c r="H6279" t="str">
        <f t="shared" si="2907"/>
        <v>22/10/2025</v>
      </c>
      <c r="I6279" t="str">
        <f t="shared" si="2908"/>
        <v>16/10/2025</v>
      </c>
      <c r="J6279" t="str">
        <f t="shared" si="2909"/>
        <v>23/10/2025</v>
      </c>
      <c r="M6279">
        <v>303</v>
      </c>
      <c r="N6279" t="str">
        <f t="shared" si="2910"/>
        <v>RECEITAS COM ENTREGAS</v>
      </c>
      <c r="P6279">
        <v>108</v>
      </c>
      <c r="Q6279" t="str">
        <f>"AC FARMA - FLEMINFARMA 5 (10183)"</f>
        <v>AC FARMA - FLEMINFARMA 5 (10183)</v>
      </c>
      <c r="R6279" t="str">
        <f t="shared" si="2911"/>
        <v>RECEITAS COM ENTREGAS (303)</v>
      </c>
      <c r="S6279">
        <v>2795</v>
      </c>
      <c r="T6279">
        <v>2296</v>
      </c>
      <c r="U6279" t="s">
        <v>19</v>
      </c>
    </row>
    <row r="6280" spans="1:21">
      <c r="A6280" t="str">
        <f t="shared" si="2905"/>
        <v>23/10/2025</v>
      </c>
      <c r="B6280" t="str">
        <f t="shared" si="2912"/>
        <v>ENTRADA</v>
      </c>
      <c r="C6280" t="str">
        <f t="shared" si="2906"/>
        <v>NFSE</v>
      </c>
      <c r="D6280" t="str">
        <f>"3621"</f>
        <v>3621</v>
      </c>
      <c r="E6280" t="str">
        <f t="shared" si="2893"/>
        <v>COM</v>
      </c>
      <c r="F6280" t="str">
        <f>"AC FARMA - FLEMINFARMA 5 (10183)"</f>
        <v>AC FARMA - FLEMINFARMA 5 (10183)</v>
      </c>
      <c r="G6280" t="str">
        <f>"Serv.Prest. 06/10/2025 a 12/10/2025 - RPS: 1385 - NFSe: 3621"</f>
        <v>Serv.Prest. 06/10/2025 a 12/10/2025 - RPS: 1385 - NFSe: 3621</v>
      </c>
      <c r="H6280" t="str">
        <f t="shared" si="2907"/>
        <v>22/10/2025</v>
      </c>
      <c r="I6280" t="str">
        <f t="shared" si="2908"/>
        <v>16/10/2025</v>
      </c>
      <c r="J6280" t="str">
        <f t="shared" si="2909"/>
        <v>23/10/2025</v>
      </c>
      <c r="M6280">
        <v>303</v>
      </c>
      <c r="N6280" t="str">
        <f t="shared" si="2910"/>
        <v>RECEITAS COM ENTREGAS</v>
      </c>
      <c r="P6280">
        <v>4.05</v>
      </c>
      <c r="Q6280" t="str">
        <f>"AC FARMA - FLEMINFARMA 6 (10184)"</f>
        <v>AC FARMA - FLEMINFARMA 6 (10184)</v>
      </c>
      <c r="R6280" t="str">
        <f t="shared" si="2911"/>
        <v>RECEITAS COM ENTREGAS (303)</v>
      </c>
      <c r="S6280">
        <v>2795</v>
      </c>
      <c r="T6280">
        <v>2296</v>
      </c>
      <c r="U6280" t="s">
        <v>19</v>
      </c>
    </row>
    <row r="6281" spans="1:21">
      <c r="A6281" t="str">
        <f t="shared" si="2905"/>
        <v>23/10/2025</v>
      </c>
      <c r="B6281" t="str">
        <f t="shared" si="2912"/>
        <v>ENTRADA</v>
      </c>
      <c r="C6281" t="str">
        <f t="shared" si="2906"/>
        <v>NFSE</v>
      </c>
      <c r="D6281" t="str">
        <f>"3622"</f>
        <v>3622</v>
      </c>
      <c r="E6281" t="str">
        <f t="shared" si="2893"/>
        <v>COM</v>
      </c>
      <c r="F6281" t="str">
        <f>"DROGARIA ANA VISCONDE DO RIO BRANCO (10182)"</f>
        <v>DROGARIA ANA VISCONDE DO RIO BRANCO (10182)</v>
      </c>
      <c r="G6281" t="str">
        <f>"Serv.Prest. 13/10/2025 a 19/10/2025 - RPS: 1386 - NFSe: 3622"</f>
        <v>Serv.Prest. 13/10/2025 a 19/10/2025 - RPS: 1386 - NFSe: 3622</v>
      </c>
      <c r="H6281" t="str">
        <f t="shared" si="2907"/>
        <v>22/10/2025</v>
      </c>
      <c r="I6281" t="str">
        <f>("20/10/2025")</f>
        <v>20/10/2025</v>
      </c>
      <c r="J6281" t="str">
        <f t="shared" si="2909"/>
        <v>23/10/2025</v>
      </c>
      <c r="K6281">
        <v>845.28</v>
      </c>
      <c r="L6281">
        <v>845.28</v>
      </c>
      <c r="M6281">
        <v>303</v>
      </c>
      <c r="N6281" t="str">
        <f t="shared" si="2910"/>
        <v>RECEITAS COM ENTREGAS</v>
      </c>
      <c r="O6281">
        <v>845.28</v>
      </c>
      <c r="R6281" t="str">
        <f t="shared" si="2911"/>
        <v>RECEITAS COM ENTREGAS (303)</v>
      </c>
      <c r="S6281">
        <v>2796</v>
      </c>
      <c r="T6281">
        <v>2298</v>
      </c>
      <c r="U6281" t="s">
        <v>19</v>
      </c>
    </row>
    <row r="6282" spans="1:21">
      <c r="A6282" t="str">
        <f t="shared" si="2905"/>
        <v>23/10/2025</v>
      </c>
      <c r="B6282" t="str">
        <f t="shared" si="2912"/>
        <v>ENTRADA</v>
      </c>
      <c r="C6282" t="str">
        <f t="shared" si="2906"/>
        <v>NFSE</v>
      </c>
      <c r="D6282" t="str">
        <f>"3622"</f>
        <v>3622</v>
      </c>
      <c r="E6282" t="str">
        <f t="shared" si="2893"/>
        <v>COM</v>
      </c>
      <c r="F6282" t="str">
        <f>"DROGARIA ANA VISCONDE DO RIO BRANCO (10182)"</f>
        <v>DROGARIA ANA VISCONDE DO RIO BRANCO (10182)</v>
      </c>
      <c r="G6282" t="str">
        <f>"Serv.Prest. 13/10/2025 a 19/10/2025 - RPS: 1386 - NFSe: 3622"</f>
        <v>Serv.Prest. 13/10/2025 a 19/10/2025 - RPS: 1386 - NFSe: 3622</v>
      </c>
      <c r="H6282" t="str">
        <f t="shared" si="2907"/>
        <v>22/10/2025</v>
      </c>
      <c r="I6282" t="str">
        <f>("20/10/2025")</f>
        <v>20/10/2025</v>
      </c>
      <c r="J6282" t="str">
        <f t="shared" si="2909"/>
        <v>23/10/2025</v>
      </c>
      <c r="M6282">
        <v>303</v>
      </c>
      <c r="N6282" t="str">
        <f t="shared" si="2910"/>
        <v>RECEITAS COM ENTREGAS</v>
      </c>
      <c r="P6282">
        <v>845.28</v>
      </c>
      <c r="Q6282" t="str">
        <f>"DROGARIA ANA VISCONDE DO RIO BRANCO (10182)"</f>
        <v>DROGARIA ANA VISCONDE DO RIO BRANCO (10182)</v>
      </c>
      <c r="R6282" t="str">
        <f t="shared" si="2911"/>
        <v>RECEITAS COM ENTREGAS (303)</v>
      </c>
      <c r="S6282">
        <v>2796</v>
      </c>
      <c r="T6282">
        <v>2298</v>
      </c>
      <c r="U6282" t="s">
        <v>19</v>
      </c>
    </row>
    <row r="6283" spans="1:21">
      <c r="A6283" t="str">
        <f t="shared" si="2905"/>
        <v>23/10/2025</v>
      </c>
      <c r="B6283" t="str">
        <f t="shared" si="2912"/>
        <v>ENTRADA</v>
      </c>
      <c r="C6283" t="str">
        <f t="shared" si="2906"/>
        <v>NFSE</v>
      </c>
      <c r="D6283" t="str">
        <f>"3644"</f>
        <v>3644</v>
      </c>
      <c r="E6283" t="str">
        <f t="shared" si="2893"/>
        <v>COM</v>
      </c>
      <c r="F6283" t="str">
        <f>"DROGARIA MEDIC CENTER LTDA (10172)"</f>
        <v>DROGARIA MEDIC CENTER LTDA (10172)</v>
      </c>
      <c r="G6283" t="str">
        <f>"Serv.Prest. 13/10/2025 a 19/10/2025 - RPS: 1409 - NFSe: 3644"</f>
        <v>Serv.Prest. 13/10/2025 a 19/10/2025 - RPS: 1409 - NFSe: 3644</v>
      </c>
      <c r="H6283" t="str">
        <f t="shared" si="2907"/>
        <v>22/10/2025</v>
      </c>
      <c r="I6283" t="str">
        <f t="shared" ref="I6283:I6296" si="2913">("21/10/2025")</f>
        <v>21/10/2025</v>
      </c>
      <c r="J6283" t="str">
        <f t="shared" si="2909"/>
        <v>23/10/2025</v>
      </c>
      <c r="K6283">
        <v>117.9</v>
      </c>
      <c r="L6283">
        <v>117.9</v>
      </c>
      <c r="M6283">
        <v>303</v>
      </c>
      <c r="N6283" t="str">
        <f t="shared" si="2910"/>
        <v>RECEITAS COM ENTREGAS</v>
      </c>
      <c r="O6283">
        <v>117.9</v>
      </c>
      <c r="R6283" t="str">
        <f t="shared" si="2911"/>
        <v>RECEITAS COM ENTREGAS (303)</v>
      </c>
      <c r="S6283">
        <v>2797</v>
      </c>
      <c r="T6283">
        <v>2321</v>
      </c>
      <c r="U6283" t="s">
        <v>19</v>
      </c>
    </row>
    <row r="6284" spans="1:21">
      <c r="A6284" t="str">
        <f t="shared" si="2905"/>
        <v>23/10/2025</v>
      </c>
      <c r="B6284" t="str">
        <f t="shared" si="2912"/>
        <v>ENTRADA</v>
      </c>
      <c r="C6284" t="str">
        <f t="shared" si="2906"/>
        <v>NFSE</v>
      </c>
      <c r="D6284" t="str">
        <f>"3644"</f>
        <v>3644</v>
      </c>
      <c r="E6284" t="str">
        <f t="shared" si="2893"/>
        <v>COM</v>
      </c>
      <c r="F6284" t="str">
        <f>"DROGARIA MEDIC CENTER LTDA (10172)"</f>
        <v>DROGARIA MEDIC CENTER LTDA (10172)</v>
      </c>
      <c r="G6284" t="str">
        <f>"Serv.Prest. 13/10/2025 a 19/10/2025 - RPS: 1409 - NFSe: 3644"</f>
        <v>Serv.Prest. 13/10/2025 a 19/10/2025 - RPS: 1409 - NFSe: 3644</v>
      </c>
      <c r="H6284" t="str">
        <f t="shared" si="2907"/>
        <v>22/10/2025</v>
      </c>
      <c r="I6284" t="str">
        <f t="shared" si="2913"/>
        <v>21/10/2025</v>
      </c>
      <c r="J6284" t="str">
        <f t="shared" si="2909"/>
        <v>23/10/2025</v>
      </c>
      <c r="M6284">
        <v>303</v>
      </c>
      <c r="N6284" t="str">
        <f t="shared" si="2910"/>
        <v>RECEITAS COM ENTREGAS</v>
      </c>
      <c r="P6284">
        <v>117.9</v>
      </c>
      <c r="Q6284" t="str">
        <f>"DROGARIA MEDIC CENTER LTDA (10172)"</f>
        <v>DROGARIA MEDIC CENTER LTDA (10172)</v>
      </c>
      <c r="R6284" t="str">
        <f t="shared" si="2911"/>
        <v>RECEITAS COM ENTREGAS (303)</v>
      </c>
      <c r="S6284">
        <v>2797</v>
      </c>
      <c r="T6284">
        <v>2321</v>
      </c>
      <c r="U6284" t="s">
        <v>19</v>
      </c>
    </row>
    <row r="6285" spans="1:21">
      <c r="A6285" t="str">
        <f t="shared" si="2905"/>
        <v>23/10/2025</v>
      </c>
      <c r="B6285" t="str">
        <f t="shared" si="2912"/>
        <v>ENTRADA</v>
      </c>
      <c r="C6285" t="str">
        <f t="shared" si="2906"/>
        <v>NFSE</v>
      </c>
      <c r="D6285" t="str">
        <f>"3645"</f>
        <v>3645</v>
      </c>
      <c r="E6285" t="str">
        <f t="shared" si="2893"/>
        <v>COM</v>
      </c>
      <c r="F6285" t="str">
        <f>"DROGARIA MORENO LTDA (10171)"</f>
        <v>DROGARIA MORENO LTDA (10171)</v>
      </c>
      <c r="G6285" t="str">
        <f>"Serv.Prest. 13/10/2025 a 19/10/2025 - RPS: 1410 - NFSe: 3645"</f>
        <v>Serv.Prest. 13/10/2025 a 19/10/2025 - RPS: 1410 - NFSe: 3645</v>
      </c>
      <c r="H6285" t="str">
        <f t="shared" si="2907"/>
        <v>22/10/2025</v>
      </c>
      <c r="I6285" t="str">
        <f t="shared" si="2913"/>
        <v>21/10/2025</v>
      </c>
      <c r="J6285" t="str">
        <f t="shared" si="2909"/>
        <v>23/10/2025</v>
      </c>
      <c r="K6285">
        <v>387</v>
      </c>
      <c r="L6285">
        <v>387</v>
      </c>
      <c r="M6285">
        <v>303</v>
      </c>
      <c r="N6285" t="str">
        <f t="shared" si="2910"/>
        <v>RECEITAS COM ENTREGAS</v>
      </c>
      <c r="O6285">
        <v>387</v>
      </c>
      <c r="R6285" t="str">
        <f t="shared" si="2911"/>
        <v>RECEITAS COM ENTREGAS (303)</v>
      </c>
      <c r="S6285">
        <v>2798</v>
      </c>
      <c r="T6285">
        <v>2322</v>
      </c>
      <c r="U6285" t="s">
        <v>19</v>
      </c>
    </row>
    <row r="6286" spans="1:21">
      <c r="A6286" t="str">
        <f t="shared" si="2905"/>
        <v>23/10/2025</v>
      </c>
      <c r="B6286" t="str">
        <f t="shared" si="2912"/>
        <v>ENTRADA</v>
      </c>
      <c r="C6286" t="str">
        <f t="shared" si="2906"/>
        <v>NFSE</v>
      </c>
      <c r="D6286" t="str">
        <f>"3645"</f>
        <v>3645</v>
      </c>
      <c r="E6286" t="str">
        <f t="shared" si="2893"/>
        <v>COM</v>
      </c>
      <c r="F6286" t="str">
        <f>"DROGARIA MORENO LTDA (10171)"</f>
        <v>DROGARIA MORENO LTDA (10171)</v>
      </c>
      <c r="G6286" t="str">
        <f>"Serv.Prest. 13/10/2025 a 19/10/2025 - RPS: 1410 - NFSe: 3645"</f>
        <v>Serv.Prest. 13/10/2025 a 19/10/2025 - RPS: 1410 - NFSe: 3645</v>
      </c>
      <c r="H6286" t="str">
        <f t="shared" si="2907"/>
        <v>22/10/2025</v>
      </c>
      <c r="I6286" t="str">
        <f t="shared" si="2913"/>
        <v>21/10/2025</v>
      </c>
      <c r="J6286" t="str">
        <f t="shared" si="2909"/>
        <v>23/10/2025</v>
      </c>
      <c r="M6286">
        <v>303</v>
      </c>
      <c r="N6286" t="str">
        <f t="shared" si="2910"/>
        <v>RECEITAS COM ENTREGAS</v>
      </c>
      <c r="P6286">
        <v>387</v>
      </c>
      <c r="Q6286" t="str">
        <f>"DROGARIA MORENO LTDA (10171)"</f>
        <v>DROGARIA MORENO LTDA (10171)</v>
      </c>
      <c r="R6286" t="str">
        <f t="shared" si="2911"/>
        <v>RECEITAS COM ENTREGAS (303)</v>
      </c>
      <c r="S6286">
        <v>2798</v>
      </c>
      <c r="T6286">
        <v>2322</v>
      </c>
      <c r="U6286" t="s">
        <v>19</v>
      </c>
    </row>
    <row r="6287" spans="1:21">
      <c r="A6287" t="str">
        <f t="shared" si="2905"/>
        <v>23/10/2025</v>
      </c>
      <c r="B6287" t="str">
        <f t="shared" si="2912"/>
        <v>ENTRADA</v>
      </c>
      <c r="C6287" t="str">
        <f t="shared" si="2906"/>
        <v>NFSE</v>
      </c>
      <c r="D6287" t="str">
        <f>"3652"</f>
        <v>3652</v>
      </c>
      <c r="E6287" t="str">
        <f t="shared" si="2893"/>
        <v>COM</v>
      </c>
      <c r="F6287" t="str">
        <f>"FARMACIA ECONOMIZE (10103)"</f>
        <v>FARMACIA ECONOMIZE (10103)</v>
      </c>
      <c r="G6287" t="str">
        <f>"Serv.Prest. 13/10/2025 a 19/10/2025 - RPS: 1417 - NFSe: 3652"</f>
        <v>Serv.Prest. 13/10/2025 a 19/10/2025 - RPS: 1417 - NFSe: 3652</v>
      </c>
      <c r="H6287" t="str">
        <f t="shared" si="2907"/>
        <v>22/10/2025</v>
      </c>
      <c r="I6287" t="str">
        <f t="shared" si="2913"/>
        <v>21/10/2025</v>
      </c>
      <c r="J6287" t="str">
        <f t="shared" si="2909"/>
        <v>23/10/2025</v>
      </c>
      <c r="K6287">
        <v>23.92</v>
      </c>
      <c r="L6287">
        <v>23.92</v>
      </c>
      <c r="M6287">
        <v>303</v>
      </c>
      <c r="N6287" t="str">
        <f t="shared" si="2910"/>
        <v>RECEITAS COM ENTREGAS</v>
      </c>
      <c r="O6287">
        <v>23.92</v>
      </c>
      <c r="R6287" t="str">
        <f t="shared" si="2911"/>
        <v>RECEITAS COM ENTREGAS (303)</v>
      </c>
      <c r="S6287">
        <v>2799</v>
      </c>
      <c r="T6287">
        <v>2329</v>
      </c>
      <c r="U6287" t="s">
        <v>19</v>
      </c>
    </row>
    <row r="6288" spans="1:21">
      <c r="A6288" t="str">
        <f t="shared" si="2905"/>
        <v>23/10/2025</v>
      </c>
      <c r="B6288" t="str">
        <f t="shared" si="2912"/>
        <v>ENTRADA</v>
      </c>
      <c r="C6288" t="str">
        <f t="shared" si="2906"/>
        <v>NFSE</v>
      </c>
      <c r="D6288" t="str">
        <f>"3652"</f>
        <v>3652</v>
      </c>
      <c r="E6288" t="str">
        <f t="shared" si="2893"/>
        <v>COM</v>
      </c>
      <c r="F6288" t="str">
        <f>"FARMACIA ECONOMIZE (10103)"</f>
        <v>FARMACIA ECONOMIZE (10103)</v>
      </c>
      <c r="G6288" t="str">
        <f>"Serv.Prest. 13/10/2025 a 19/10/2025 - RPS: 1417 - NFSe: 3652"</f>
        <v>Serv.Prest. 13/10/2025 a 19/10/2025 - RPS: 1417 - NFSe: 3652</v>
      </c>
      <c r="H6288" t="str">
        <f t="shared" si="2907"/>
        <v>22/10/2025</v>
      </c>
      <c r="I6288" t="str">
        <f t="shared" si="2913"/>
        <v>21/10/2025</v>
      </c>
      <c r="J6288" t="str">
        <f t="shared" si="2909"/>
        <v>23/10/2025</v>
      </c>
      <c r="M6288">
        <v>303</v>
      </c>
      <c r="N6288" t="str">
        <f t="shared" si="2910"/>
        <v>RECEITAS COM ENTREGAS</v>
      </c>
      <c r="P6288">
        <v>23.92</v>
      </c>
      <c r="Q6288" t="str">
        <f>"FARMACIA ECONOMIZE (10103)"</f>
        <v>FARMACIA ECONOMIZE (10103)</v>
      </c>
      <c r="R6288" t="str">
        <f t="shared" si="2911"/>
        <v>RECEITAS COM ENTREGAS (303)</v>
      </c>
      <c r="S6288">
        <v>2799</v>
      </c>
      <c r="T6288">
        <v>2329</v>
      </c>
      <c r="U6288" t="s">
        <v>19</v>
      </c>
    </row>
    <row r="6289" spans="1:21">
      <c r="A6289" t="str">
        <f t="shared" si="2905"/>
        <v>23/10/2025</v>
      </c>
      <c r="B6289" t="str">
        <f t="shared" si="2912"/>
        <v>ENTRADA</v>
      </c>
      <c r="C6289" t="str">
        <f t="shared" si="2906"/>
        <v>NFSE</v>
      </c>
      <c r="D6289" t="str">
        <f>"3654"</f>
        <v>3654</v>
      </c>
      <c r="E6289" t="str">
        <f t="shared" si="2893"/>
        <v>COM</v>
      </c>
      <c r="F6289" t="str">
        <f>"JAL FARMACIA E DROGARIA LJ 1 (10137)"</f>
        <v>JAL FARMACIA E DROGARIA LJ 1 (10137)</v>
      </c>
      <c r="G6289" t="str">
        <f>"Serv.Prest. 13/10/2025 a 19/10/2025 - RPS: 1418 - NFSe: 3654"</f>
        <v>Serv.Prest. 13/10/2025 a 19/10/2025 - RPS: 1418 - NFSe: 3654</v>
      </c>
      <c r="H6289" t="str">
        <f t="shared" si="2907"/>
        <v>22/10/2025</v>
      </c>
      <c r="I6289" t="str">
        <f t="shared" si="2913"/>
        <v>21/10/2025</v>
      </c>
      <c r="J6289" t="str">
        <f t="shared" si="2909"/>
        <v>23/10/2025</v>
      </c>
      <c r="K6289">
        <v>416</v>
      </c>
      <c r="L6289">
        <v>416</v>
      </c>
      <c r="M6289">
        <v>303</v>
      </c>
      <c r="N6289" t="str">
        <f t="shared" si="2910"/>
        <v>RECEITAS COM ENTREGAS</v>
      </c>
      <c r="O6289">
        <v>416</v>
      </c>
      <c r="R6289" t="str">
        <f t="shared" si="2911"/>
        <v>RECEITAS COM ENTREGAS (303)</v>
      </c>
      <c r="S6289">
        <v>2800</v>
      </c>
      <c r="T6289">
        <v>2330</v>
      </c>
      <c r="U6289" t="s">
        <v>19</v>
      </c>
    </row>
    <row r="6290" spans="1:21">
      <c r="A6290" t="str">
        <f t="shared" si="2905"/>
        <v>23/10/2025</v>
      </c>
      <c r="B6290" t="str">
        <f t="shared" si="2912"/>
        <v>ENTRADA</v>
      </c>
      <c r="C6290" t="str">
        <f t="shared" si="2906"/>
        <v>NFSE</v>
      </c>
      <c r="D6290" t="str">
        <f>"3654"</f>
        <v>3654</v>
      </c>
      <c r="E6290" t="str">
        <f t="shared" si="2893"/>
        <v>COM</v>
      </c>
      <c r="F6290" t="str">
        <f>"JAL FARMACIA E DROGARIA LJ 1 (10137)"</f>
        <v>JAL FARMACIA E DROGARIA LJ 1 (10137)</v>
      </c>
      <c r="G6290" t="str">
        <f>"Serv.Prest. 13/10/2025 a 19/10/2025 - RPS: 1418 - NFSe: 3654"</f>
        <v>Serv.Prest. 13/10/2025 a 19/10/2025 - RPS: 1418 - NFSe: 3654</v>
      </c>
      <c r="H6290" t="str">
        <f t="shared" si="2907"/>
        <v>22/10/2025</v>
      </c>
      <c r="I6290" t="str">
        <f t="shared" si="2913"/>
        <v>21/10/2025</v>
      </c>
      <c r="J6290" t="str">
        <f t="shared" si="2909"/>
        <v>23/10/2025</v>
      </c>
      <c r="M6290">
        <v>303</v>
      </c>
      <c r="N6290" t="str">
        <f t="shared" si="2910"/>
        <v>RECEITAS COM ENTREGAS</v>
      </c>
      <c r="P6290">
        <v>416</v>
      </c>
      <c r="Q6290" t="str">
        <f>"JAL FARMACIA E DROGARIA LJ 1 (10137)"</f>
        <v>JAL FARMACIA E DROGARIA LJ 1 (10137)</v>
      </c>
      <c r="R6290" t="str">
        <f t="shared" si="2911"/>
        <v>RECEITAS COM ENTREGAS (303)</v>
      </c>
      <c r="S6290">
        <v>2800</v>
      </c>
      <c r="T6290">
        <v>2330</v>
      </c>
      <c r="U6290" t="s">
        <v>19</v>
      </c>
    </row>
    <row r="6291" spans="1:21">
      <c r="A6291" t="str">
        <f t="shared" si="2905"/>
        <v>23/10/2025</v>
      </c>
      <c r="B6291" t="str">
        <f t="shared" si="2912"/>
        <v>ENTRADA</v>
      </c>
      <c r="C6291" t="str">
        <f t="shared" si="2906"/>
        <v>NFSE</v>
      </c>
      <c r="D6291" t="str">
        <f>"3657"</f>
        <v>3657</v>
      </c>
      <c r="E6291" t="str">
        <f t="shared" si="2893"/>
        <v>COM</v>
      </c>
      <c r="F6291" t="str">
        <f>"LBL FARMACIA LTDA (10189)"</f>
        <v>LBL FARMACIA LTDA (10189)</v>
      </c>
      <c r="G6291" t="str">
        <f>"Serv.Prest. 13/10/2025 a 19/10/2025 - RPS: 1421 - NFSe: 3657"</f>
        <v>Serv.Prest. 13/10/2025 a 19/10/2025 - RPS: 1421 - NFSe: 3657</v>
      </c>
      <c r="H6291" t="str">
        <f t="shared" si="2907"/>
        <v>22/10/2025</v>
      </c>
      <c r="I6291" t="str">
        <f t="shared" si="2913"/>
        <v>21/10/2025</v>
      </c>
      <c r="J6291" t="str">
        <f t="shared" si="2909"/>
        <v>23/10/2025</v>
      </c>
      <c r="K6291">
        <v>76.650000000000006</v>
      </c>
      <c r="L6291">
        <v>76.650000000000006</v>
      </c>
      <c r="M6291">
        <v>303</v>
      </c>
      <c r="N6291" t="str">
        <f t="shared" si="2910"/>
        <v>RECEITAS COM ENTREGAS</v>
      </c>
      <c r="O6291">
        <v>76.650000000000006</v>
      </c>
      <c r="R6291" t="str">
        <f t="shared" si="2911"/>
        <v>RECEITAS COM ENTREGAS (303)</v>
      </c>
      <c r="S6291">
        <v>2801</v>
      </c>
      <c r="T6291">
        <v>2333</v>
      </c>
      <c r="U6291" t="s">
        <v>19</v>
      </c>
    </row>
    <row r="6292" spans="1:21">
      <c r="A6292" t="str">
        <f t="shared" si="2905"/>
        <v>23/10/2025</v>
      </c>
      <c r="B6292" t="str">
        <f t="shared" si="2912"/>
        <v>ENTRADA</v>
      </c>
      <c r="C6292" t="str">
        <f t="shared" si="2906"/>
        <v>NFSE</v>
      </c>
      <c r="D6292" t="str">
        <f>"3657"</f>
        <v>3657</v>
      </c>
      <c r="E6292" t="str">
        <f t="shared" si="2893"/>
        <v>COM</v>
      </c>
      <c r="F6292" t="str">
        <f>"LBL FARMACIA LTDA (10189)"</f>
        <v>LBL FARMACIA LTDA (10189)</v>
      </c>
      <c r="G6292" t="str">
        <f>"Serv.Prest. 13/10/2025 a 19/10/2025 - RPS: 1421 - NFSe: 3657"</f>
        <v>Serv.Prest. 13/10/2025 a 19/10/2025 - RPS: 1421 - NFSe: 3657</v>
      </c>
      <c r="H6292" t="str">
        <f t="shared" si="2907"/>
        <v>22/10/2025</v>
      </c>
      <c r="I6292" t="str">
        <f t="shared" si="2913"/>
        <v>21/10/2025</v>
      </c>
      <c r="J6292" t="str">
        <f t="shared" si="2909"/>
        <v>23/10/2025</v>
      </c>
      <c r="M6292">
        <v>303</v>
      </c>
      <c r="N6292" t="str">
        <f t="shared" si="2910"/>
        <v>RECEITAS COM ENTREGAS</v>
      </c>
      <c r="P6292">
        <v>76.650000000000006</v>
      </c>
      <c r="Q6292" t="str">
        <f>"LBL FARMACIA LTDA (10189)"</f>
        <v>LBL FARMACIA LTDA (10189)</v>
      </c>
      <c r="R6292" t="str">
        <f t="shared" si="2911"/>
        <v>RECEITAS COM ENTREGAS (303)</v>
      </c>
      <c r="S6292">
        <v>2801</v>
      </c>
      <c r="T6292">
        <v>2333</v>
      </c>
      <c r="U6292" t="s">
        <v>19</v>
      </c>
    </row>
    <row r="6293" spans="1:21">
      <c r="A6293" t="str">
        <f t="shared" si="2905"/>
        <v>23/10/2025</v>
      </c>
      <c r="B6293" t="str">
        <f t="shared" si="2912"/>
        <v>ENTRADA</v>
      </c>
      <c r="C6293" t="str">
        <f t="shared" si="2906"/>
        <v>NFSE</v>
      </c>
      <c r="D6293" t="str">
        <f>"3661"</f>
        <v>3661</v>
      </c>
      <c r="E6293" t="str">
        <f t="shared" si="2893"/>
        <v>COM</v>
      </c>
      <c r="F6293" t="str">
        <f>"DELTA LOJA 2 (10123)"</f>
        <v>DELTA LOJA 2 (10123)</v>
      </c>
      <c r="G6293" t="str">
        <f>"Serv.Prest. 13/10/2025 a 19/10/2025 - RPS: 1425 - NFSe: 3661"</f>
        <v>Serv.Prest. 13/10/2025 a 19/10/2025 - RPS: 1425 - NFSe: 3661</v>
      </c>
      <c r="H6293" t="str">
        <f>("23/10/2025")</f>
        <v>23/10/2025</v>
      </c>
      <c r="I6293" t="str">
        <f t="shared" si="2913"/>
        <v>21/10/2025</v>
      </c>
      <c r="J6293" t="str">
        <f t="shared" si="2909"/>
        <v>23/10/2025</v>
      </c>
      <c r="K6293">
        <v>800.1</v>
      </c>
      <c r="L6293">
        <v>800.1</v>
      </c>
      <c r="M6293">
        <v>303</v>
      </c>
      <c r="N6293" t="str">
        <f t="shared" si="2910"/>
        <v>RECEITAS COM ENTREGAS</v>
      </c>
      <c r="O6293">
        <v>800.1</v>
      </c>
      <c r="R6293" t="str">
        <f t="shared" si="2911"/>
        <v>RECEITAS COM ENTREGAS (303)</v>
      </c>
      <c r="S6293">
        <v>2802</v>
      </c>
      <c r="T6293">
        <v>2337</v>
      </c>
      <c r="U6293" t="s">
        <v>19</v>
      </c>
    </row>
    <row r="6294" spans="1:21">
      <c r="A6294" t="str">
        <f t="shared" si="2905"/>
        <v>23/10/2025</v>
      </c>
      <c r="B6294" t="str">
        <f t="shared" si="2912"/>
        <v>ENTRADA</v>
      </c>
      <c r="C6294" t="str">
        <f t="shared" si="2906"/>
        <v>NFSE</v>
      </c>
      <c r="D6294" t="str">
        <f>"3661"</f>
        <v>3661</v>
      </c>
      <c r="E6294" t="str">
        <f t="shared" si="2893"/>
        <v>COM</v>
      </c>
      <c r="F6294" t="str">
        <f>"DELTA LOJA 2 (10123)"</f>
        <v>DELTA LOJA 2 (10123)</v>
      </c>
      <c r="G6294" t="str">
        <f>"Serv.Prest. 13/10/2025 a 19/10/2025 - RPS: 1425 - NFSe: 3661"</f>
        <v>Serv.Prest. 13/10/2025 a 19/10/2025 - RPS: 1425 - NFSe: 3661</v>
      </c>
      <c r="H6294" t="str">
        <f>("23/10/2025")</f>
        <v>23/10/2025</v>
      </c>
      <c r="I6294" t="str">
        <f t="shared" si="2913"/>
        <v>21/10/2025</v>
      </c>
      <c r="J6294" t="str">
        <f t="shared" si="2909"/>
        <v>23/10/2025</v>
      </c>
      <c r="M6294">
        <v>303</v>
      </c>
      <c r="N6294" t="str">
        <f t="shared" si="2910"/>
        <v>RECEITAS COM ENTREGAS</v>
      </c>
      <c r="P6294">
        <v>800.1</v>
      </c>
      <c r="Q6294" t="str">
        <f>"DELTA LOJA 2 (10123)"</f>
        <v>DELTA LOJA 2 (10123)</v>
      </c>
      <c r="R6294" t="str">
        <f t="shared" si="2911"/>
        <v>RECEITAS COM ENTREGAS (303)</v>
      </c>
      <c r="S6294">
        <v>2802</v>
      </c>
      <c r="T6294">
        <v>2337</v>
      </c>
      <c r="U6294" t="s">
        <v>19</v>
      </c>
    </row>
    <row r="6295" spans="1:21">
      <c r="A6295" t="str">
        <f t="shared" si="2905"/>
        <v>23/10/2025</v>
      </c>
      <c r="B6295" t="str">
        <f t="shared" si="2912"/>
        <v>ENTRADA</v>
      </c>
      <c r="C6295" t="str">
        <f t="shared" si="2906"/>
        <v>NFSE</v>
      </c>
      <c r="D6295" t="str">
        <f>"3662"</f>
        <v>3662</v>
      </c>
      <c r="E6295" t="str">
        <f t="shared" si="2893"/>
        <v>COM</v>
      </c>
      <c r="F6295" t="str">
        <f>"DROGA HONDA (10149)"</f>
        <v>DROGA HONDA (10149)</v>
      </c>
      <c r="G6295" t="str">
        <f>"Serv.Prest. 13/10/2025 a 19/10/2025 - RPS: 1426 - NFSe: 3662"</f>
        <v>Serv.Prest. 13/10/2025 a 19/10/2025 - RPS: 1426 - NFSe: 3662</v>
      </c>
      <c r="H6295" t="str">
        <f>("23/10/2025")</f>
        <v>23/10/2025</v>
      </c>
      <c r="I6295" t="str">
        <f t="shared" si="2913"/>
        <v>21/10/2025</v>
      </c>
      <c r="J6295" t="str">
        <f t="shared" si="2909"/>
        <v>23/10/2025</v>
      </c>
      <c r="K6295">
        <v>138.66999999999999</v>
      </c>
      <c r="L6295">
        <v>138.66999999999999</v>
      </c>
      <c r="M6295">
        <v>303</v>
      </c>
      <c r="N6295" t="str">
        <f t="shared" si="2910"/>
        <v>RECEITAS COM ENTREGAS</v>
      </c>
      <c r="O6295">
        <v>138.66999999999999</v>
      </c>
      <c r="R6295" t="str">
        <f t="shared" si="2911"/>
        <v>RECEITAS COM ENTREGAS (303)</v>
      </c>
      <c r="S6295">
        <v>2803</v>
      </c>
      <c r="T6295">
        <v>2338</v>
      </c>
      <c r="U6295" t="s">
        <v>19</v>
      </c>
    </row>
    <row r="6296" spans="1:21">
      <c r="A6296" t="str">
        <f t="shared" si="2905"/>
        <v>23/10/2025</v>
      </c>
      <c r="B6296" t="str">
        <f t="shared" si="2912"/>
        <v>ENTRADA</v>
      </c>
      <c r="C6296" t="str">
        <f t="shared" si="2906"/>
        <v>NFSE</v>
      </c>
      <c r="D6296" t="str">
        <f>"3662"</f>
        <v>3662</v>
      </c>
      <c r="E6296" t="str">
        <f t="shared" si="2893"/>
        <v>COM</v>
      </c>
      <c r="F6296" t="str">
        <f>"DROGA HONDA (10149)"</f>
        <v>DROGA HONDA (10149)</v>
      </c>
      <c r="G6296" t="str">
        <f>"Serv.Prest. 13/10/2025 a 19/10/2025 - RPS: 1426 - NFSe: 3662"</f>
        <v>Serv.Prest. 13/10/2025 a 19/10/2025 - RPS: 1426 - NFSe: 3662</v>
      </c>
      <c r="H6296" t="str">
        <f>("23/10/2025")</f>
        <v>23/10/2025</v>
      </c>
      <c r="I6296" t="str">
        <f t="shared" si="2913"/>
        <v>21/10/2025</v>
      </c>
      <c r="J6296" t="str">
        <f t="shared" si="2909"/>
        <v>23/10/2025</v>
      </c>
      <c r="M6296">
        <v>303</v>
      </c>
      <c r="N6296" t="str">
        <f t="shared" si="2910"/>
        <v>RECEITAS COM ENTREGAS</v>
      </c>
      <c r="P6296">
        <v>138.66999999999999</v>
      </c>
      <c r="Q6296" t="str">
        <f>"DROGA HONDA (10149)"</f>
        <v>DROGA HONDA (10149)</v>
      </c>
      <c r="R6296" t="str">
        <f t="shared" si="2911"/>
        <v>RECEITAS COM ENTREGAS (303)</v>
      </c>
      <c r="S6296">
        <v>2803</v>
      </c>
      <c r="T6296">
        <v>2338</v>
      </c>
      <c r="U6296" t="s">
        <v>19</v>
      </c>
    </row>
    <row r="6297" spans="1:21">
      <c r="A6297" t="str">
        <f t="shared" si="2905"/>
        <v>23/10/2025</v>
      </c>
      <c r="B6297" t="str">
        <f t="shared" si="2912"/>
        <v>ENTRADA</v>
      </c>
      <c r="C6297" t="str">
        <f t="shared" si="2906"/>
        <v>NFSE</v>
      </c>
      <c r="D6297" t="str">
        <f>"3619"</f>
        <v>3619</v>
      </c>
      <c r="E6297" t="str">
        <f t="shared" si="2893"/>
        <v>COM</v>
      </c>
      <c r="F6297" t="str">
        <f>"AC FARMA - CID.ALTA (10166)"</f>
        <v>AC FARMA - CID.ALTA (10166)</v>
      </c>
      <c r="G6297" t="str">
        <f>"Serv.Prest. 06/10/2025 a 12/10/2025 - RPS: 1383 - NFSe: 3619"</f>
        <v>Serv.Prest. 06/10/2025 a 12/10/2025 - RPS: 1383 - NFSe: 3619</v>
      </c>
      <c r="H6297" t="str">
        <f t="shared" ref="H6297:H6306" si="2914">("22/10/2025")</f>
        <v>22/10/2025</v>
      </c>
      <c r="I6297" t="str">
        <f>("16/10/2025")</f>
        <v>16/10/2025</v>
      </c>
      <c r="J6297" t="str">
        <f t="shared" si="2909"/>
        <v>23/10/2025</v>
      </c>
      <c r="K6297">
        <v>1028.1600000000001</v>
      </c>
      <c r="L6297">
        <v>1028.1600000000001</v>
      </c>
      <c r="M6297">
        <v>303</v>
      </c>
      <c r="N6297" t="str">
        <f t="shared" si="2910"/>
        <v>RECEITAS COM ENTREGAS</v>
      </c>
      <c r="O6297">
        <v>1028.1600000000001</v>
      </c>
      <c r="R6297" t="str">
        <f t="shared" si="2911"/>
        <v>RECEITAS COM ENTREGAS (303)</v>
      </c>
      <c r="S6297">
        <v>2820</v>
      </c>
      <c r="T6297">
        <v>2294</v>
      </c>
      <c r="U6297" t="s">
        <v>19</v>
      </c>
    </row>
    <row r="6298" spans="1:21">
      <c r="A6298" t="str">
        <f t="shared" si="2905"/>
        <v>23/10/2025</v>
      </c>
      <c r="B6298" t="str">
        <f t="shared" si="2912"/>
        <v>ENTRADA</v>
      </c>
      <c r="C6298" t="str">
        <f t="shared" si="2906"/>
        <v>NFSE</v>
      </c>
      <c r="D6298" t="str">
        <f>"3619"</f>
        <v>3619</v>
      </c>
      <c r="E6298" t="str">
        <f t="shared" si="2893"/>
        <v>COM</v>
      </c>
      <c r="F6298" t="str">
        <f>"AC FARMA - CID.ALTA (10166)"</f>
        <v>AC FARMA - CID.ALTA (10166)</v>
      </c>
      <c r="G6298" t="str">
        <f>"Serv.Prest. 06/10/2025 a 12/10/2025 - RPS: 1383 - NFSe: 3619"</f>
        <v>Serv.Prest. 06/10/2025 a 12/10/2025 - RPS: 1383 - NFSe: 3619</v>
      </c>
      <c r="H6298" t="str">
        <f t="shared" si="2914"/>
        <v>22/10/2025</v>
      </c>
      <c r="I6298" t="str">
        <f>("16/10/2025")</f>
        <v>16/10/2025</v>
      </c>
      <c r="J6298" t="str">
        <f t="shared" si="2909"/>
        <v>23/10/2025</v>
      </c>
      <c r="M6298">
        <v>303</v>
      </c>
      <c r="N6298" t="str">
        <f t="shared" si="2910"/>
        <v>RECEITAS COM ENTREGAS</v>
      </c>
      <c r="P6298">
        <v>1028.1600000000001</v>
      </c>
      <c r="Q6298" t="str">
        <f>"AC FARMA - CID.ALTA (10166)"</f>
        <v>AC FARMA - CID.ALTA (10166)</v>
      </c>
      <c r="R6298" t="str">
        <f t="shared" si="2911"/>
        <v>RECEITAS COM ENTREGAS (303)</v>
      </c>
      <c r="S6298">
        <v>2820</v>
      </c>
      <c r="T6298">
        <v>2294</v>
      </c>
      <c r="U6298" t="s">
        <v>19</v>
      </c>
    </row>
    <row r="6299" spans="1:21">
      <c r="A6299" t="str">
        <f t="shared" si="2905"/>
        <v>23/10/2025</v>
      </c>
      <c r="B6299" t="str">
        <f t="shared" si="2912"/>
        <v>ENTRADA</v>
      </c>
      <c r="C6299" t="str">
        <f t="shared" si="2906"/>
        <v>NFSE</v>
      </c>
      <c r="D6299" t="str">
        <f>"3639"</f>
        <v>3639</v>
      </c>
      <c r="E6299" t="str">
        <f t="shared" si="2893"/>
        <v>COM</v>
      </c>
      <c r="F6299" t="str">
        <f>"BRASIL FARMA (10173)"</f>
        <v>BRASIL FARMA (10173)</v>
      </c>
      <c r="G6299" t="str">
        <f>"Serv.Prest. 13/10/2025 a 19/10/2025 - RPS: 1404 - NFSe: 3639"</f>
        <v>Serv.Prest. 13/10/2025 a 19/10/2025 - RPS: 1404 - NFSe: 3639</v>
      </c>
      <c r="H6299" t="str">
        <f t="shared" si="2914"/>
        <v>22/10/2025</v>
      </c>
      <c r="I6299" t="str">
        <f t="shared" ref="I6299:I6306" si="2915">("21/10/2025")</f>
        <v>21/10/2025</v>
      </c>
      <c r="J6299" t="str">
        <f t="shared" si="2909"/>
        <v>23/10/2025</v>
      </c>
      <c r="K6299">
        <v>320.95999999999998</v>
      </c>
      <c r="L6299">
        <v>320.95999999999998</v>
      </c>
      <c r="M6299">
        <v>303</v>
      </c>
      <c r="N6299" t="str">
        <f t="shared" si="2910"/>
        <v>RECEITAS COM ENTREGAS</v>
      </c>
      <c r="O6299">
        <v>320.95999999999998</v>
      </c>
      <c r="R6299" t="str">
        <f t="shared" si="2911"/>
        <v>RECEITAS COM ENTREGAS (303)</v>
      </c>
      <c r="S6299">
        <v>2932</v>
      </c>
      <c r="T6299">
        <v>2316</v>
      </c>
      <c r="U6299" t="s">
        <v>19</v>
      </c>
    </row>
    <row r="6300" spans="1:21">
      <c r="A6300" t="str">
        <f t="shared" si="2905"/>
        <v>23/10/2025</v>
      </c>
      <c r="B6300" t="str">
        <f t="shared" si="2912"/>
        <v>ENTRADA</v>
      </c>
      <c r="C6300" t="str">
        <f t="shared" si="2906"/>
        <v>NFSE</v>
      </c>
      <c r="D6300" t="str">
        <f>"3639"</f>
        <v>3639</v>
      </c>
      <c r="E6300" t="str">
        <f t="shared" si="2893"/>
        <v>COM</v>
      </c>
      <c r="F6300" t="str">
        <f>"BRASIL FARMA (10173)"</f>
        <v>BRASIL FARMA (10173)</v>
      </c>
      <c r="G6300" t="str">
        <f>"Serv.Prest. 13/10/2025 a 19/10/2025 - RPS: 1404 - NFSe: 3639"</f>
        <v>Serv.Prest. 13/10/2025 a 19/10/2025 - RPS: 1404 - NFSe: 3639</v>
      </c>
      <c r="H6300" t="str">
        <f t="shared" si="2914"/>
        <v>22/10/2025</v>
      </c>
      <c r="I6300" t="str">
        <f t="shared" si="2915"/>
        <v>21/10/2025</v>
      </c>
      <c r="J6300" t="str">
        <f t="shared" si="2909"/>
        <v>23/10/2025</v>
      </c>
      <c r="M6300">
        <v>303</v>
      </c>
      <c r="N6300" t="str">
        <f t="shared" si="2910"/>
        <v>RECEITAS COM ENTREGAS</v>
      </c>
      <c r="P6300">
        <v>320.95999999999998</v>
      </c>
      <c r="Q6300" t="str">
        <f>"BRASIL FARMA (10173)"</f>
        <v>BRASIL FARMA (10173)</v>
      </c>
      <c r="R6300" t="str">
        <f t="shared" si="2911"/>
        <v>RECEITAS COM ENTREGAS (303)</v>
      </c>
      <c r="S6300">
        <v>2932</v>
      </c>
      <c r="T6300">
        <v>2316</v>
      </c>
      <c r="U6300" t="s">
        <v>19</v>
      </c>
    </row>
    <row r="6301" spans="1:21">
      <c r="A6301" t="str">
        <f t="shared" si="2905"/>
        <v>23/10/2025</v>
      </c>
      <c r="B6301" t="str">
        <f t="shared" si="2912"/>
        <v>ENTRADA</v>
      </c>
      <c r="C6301" t="str">
        <f t="shared" si="2906"/>
        <v>NFSE</v>
      </c>
      <c r="D6301" t="str">
        <f>"3646"</f>
        <v>3646</v>
      </c>
      <c r="E6301" t="str">
        <f t="shared" si="2893"/>
        <v>COM</v>
      </c>
      <c r="F6301" t="str">
        <f>"DROGARIA TOTAL JUNDIAI (10177)"</f>
        <v>DROGARIA TOTAL JUNDIAI (10177)</v>
      </c>
      <c r="G6301" t="str">
        <f>"Serv.Prest. 13/10/2025 a 19/10/2025 - RPS: 1411 - NFSe: 3646"</f>
        <v>Serv.Prest. 13/10/2025 a 19/10/2025 - RPS: 1411 - NFSe: 3646</v>
      </c>
      <c r="H6301" t="str">
        <f t="shared" si="2914"/>
        <v>22/10/2025</v>
      </c>
      <c r="I6301" t="str">
        <f t="shared" si="2915"/>
        <v>21/10/2025</v>
      </c>
      <c r="J6301" t="str">
        <f t="shared" si="2909"/>
        <v>23/10/2025</v>
      </c>
      <c r="K6301">
        <v>100.27</v>
      </c>
      <c r="L6301">
        <v>100.27</v>
      </c>
      <c r="M6301">
        <v>303</v>
      </c>
      <c r="N6301" t="str">
        <f t="shared" si="2910"/>
        <v>RECEITAS COM ENTREGAS</v>
      </c>
      <c r="O6301">
        <v>100.27</v>
      </c>
      <c r="R6301" t="str">
        <f t="shared" si="2911"/>
        <v>RECEITAS COM ENTREGAS (303)</v>
      </c>
      <c r="S6301">
        <v>2933</v>
      </c>
      <c r="T6301">
        <v>2323</v>
      </c>
      <c r="U6301" t="s">
        <v>19</v>
      </c>
    </row>
    <row r="6302" spans="1:21">
      <c r="A6302" t="str">
        <f t="shared" si="2905"/>
        <v>23/10/2025</v>
      </c>
      <c r="B6302" t="str">
        <f t="shared" si="2912"/>
        <v>ENTRADA</v>
      </c>
      <c r="C6302" t="str">
        <f t="shared" si="2906"/>
        <v>NFSE</v>
      </c>
      <c r="D6302" t="str">
        <f>"3646"</f>
        <v>3646</v>
      </c>
      <c r="E6302" t="str">
        <f t="shared" si="2893"/>
        <v>COM</v>
      </c>
      <c r="F6302" t="str">
        <f>"DROGARIA TOTAL JUNDIAI (10177)"</f>
        <v>DROGARIA TOTAL JUNDIAI (10177)</v>
      </c>
      <c r="G6302" t="str">
        <f>"Serv.Prest. 13/10/2025 a 19/10/2025 - RPS: 1411 - NFSe: 3646"</f>
        <v>Serv.Prest. 13/10/2025 a 19/10/2025 - RPS: 1411 - NFSe: 3646</v>
      </c>
      <c r="H6302" t="str">
        <f t="shared" si="2914"/>
        <v>22/10/2025</v>
      </c>
      <c r="I6302" t="str">
        <f t="shared" si="2915"/>
        <v>21/10/2025</v>
      </c>
      <c r="J6302" t="str">
        <f t="shared" si="2909"/>
        <v>23/10/2025</v>
      </c>
      <c r="M6302">
        <v>303</v>
      </c>
      <c r="N6302" t="str">
        <f t="shared" si="2910"/>
        <v>RECEITAS COM ENTREGAS</v>
      </c>
      <c r="P6302">
        <v>100.27</v>
      </c>
      <c r="Q6302" t="str">
        <f>"DROGARIA TOTAL JUNDIAI (10177)"</f>
        <v>DROGARIA TOTAL JUNDIAI (10177)</v>
      </c>
      <c r="R6302" t="str">
        <f t="shared" si="2911"/>
        <v>RECEITAS COM ENTREGAS (303)</v>
      </c>
      <c r="S6302">
        <v>2933</v>
      </c>
      <c r="T6302">
        <v>2323</v>
      </c>
      <c r="U6302" t="s">
        <v>19</v>
      </c>
    </row>
    <row r="6303" spans="1:21">
      <c r="A6303" t="str">
        <f t="shared" si="2905"/>
        <v>23/10/2025</v>
      </c>
      <c r="B6303" t="str">
        <f t="shared" si="2912"/>
        <v>ENTRADA</v>
      </c>
      <c r="C6303" t="str">
        <f t="shared" si="2906"/>
        <v>NFSE</v>
      </c>
      <c r="D6303" t="str">
        <f>"3649"</f>
        <v>3649</v>
      </c>
      <c r="E6303" t="str">
        <f t="shared" si="2893"/>
        <v>COM</v>
      </c>
      <c r="F6303" t="str">
        <f>"DROGA ELIDA (10121)"</f>
        <v>DROGA ELIDA (10121)</v>
      </c>
      <c r="G6303" t="str">
        <f>"Serv.Prest. 13/10/2025 a 19/10/2025 - RPS: 1414 - NFSe: 3649"</f>
        <v>Serv.Prest. 13/10/2025 a 19/10/2025 - RPS: 1414 - NFSe: 3649</v>
      </c>
      <c r="H6303" t="str">
        <f t="shared" si="2914"/>
        <v>22/10/2025</v>
      </c>
      <c r="I6303" t="str">
        <f t="shared" si="2915"/>
        <v>21/10/2025</v>
      </c>
      <c r="J6303" t="str">
        <f t="shared" si="2909"/>
        <v>23/10/2025</v>
      </c>
      <c r="K6303">
        <v>350.4</v>
      </c>
      <c r="L6303">
        <v>350.4</v>
      </c>
      <c r="M6303">
        <v>303</v>
      </c>
      <c r="N6303" t="str">
        <f t="shared" si="2910"/>
        <v>RECEITAS COM ENTREGAS</v>
      </c>
      <c r="O6303">
        <v>350.4</v>
      </c>
      <c r="R6303" t="str">
        <f t="shared" si="2911"/>
        <v>RECEITAS COM ENTREGAS (303)</v>
      </c>
      <c r="S6303">
        <v>2935</v>
      </c>
      <c r="T6303">
        <v>2326</v>
      </c>
      <c r="U6303" t="s">
        <v>19</v>
      </c>
    </row>
    <row r="6304" spans="1:21">
      <c r="A6304" t="str">
        <f t="shared" si="2905"/>
        <v>23/10/2025</v>
      </c>
      <c r="B6304" t="str">
        <f t="shared" si="2912"/>
        <v>ENTRADA</v>
      </c>
      <c r="C6304" t="str">
        <f t="shared" si="2906"/>
        <v>NFSE</v>
      </c>
      <c r="D6304" t="str">
        <f>"3649"</f>
        <v>3649</v>
      </c>
      <c r="E6304" t="str">
        <f t="shared" si="2893"/>
        <v>COM</v>
      </c>
      <c r="F6304" t="str">
        <f>"DROGA ELIDA (10121)"</f>
        <v>DROGA ELIDA (10121)</v>
      </c>
      <c r="G6304" t="str">
        <f>"Serv.Prest. 13/10/2025 a 19/10/2025 - RPS: 1414 - NFSe: 3649"</f>
        <v>Serv.Prest. 13/10/2025 a 19/10/2025 - RPS: 1414 - NFSe: 3649</v>
      </c>
      <c r="H6304" t="str">
        <f t="shared" si="2914"/>
        <v>22/10/2025</v>
      </c>
      <c r="I6304" t="str">
        <f t="shared" si="2915"/>
        <v>21/10/2025</v>
      </c>
      <c r="J6304" t="str">
        <f t="shared" si="2909"/>
        <v>23/10/2025</v>
      </c>
      <c r="M6304">
        <v>303</v>
      </c>
      <c r="N6304" t="str">
        <f t="shared" si="2910"/>
        <v>RECEITAS COM ENTREGAS</v>
      </c>
      <c r="P6304">
        <v>350.4</v>
      </c>
      <c r="Q6304" t="str">
        <f>"DROGA ELIDA (10121)"</f>
        <v>DROGA ELIDA (10121)</v>
      </c>
      <c r="R6304" t="str">
        <f t="shared" si="2911"/>
        <v>RECEITAS COM ENTREGAS (303)</v>
      </c>
      <c r="S6304">
        <v>2935</v>
      </c>
      <c r="T6304">
        <v>2326</v>
      </c>
      <c r="U6304" t="s">
        <v>19</v>
      </c>
    </row>
    <row r="6305" spans="1:21">
      <c r="A6305" t="str">
        <f t="shared" si="2905"/>
        <v>23/10/2025</v>
      </c>
      <c r="B6305" t="str">
        <f t="shared" si="2912"/>
        <v>ENTRADA</v>
      </c>
      <c r="C6305" t="str">
        <f t="shared" si="2906"/>
        <v>NFSE</v>
      </c>
      <c r="D6305" t="str">
        <f>"3656"</f>
        <v>3656</v>
      </c>
      <c r="E6305" t="str">
        <f t="shared" si="2893"/>
        <v>COM</v>
      </c>
      <c r="F6305" t="str">
        <f>"LBL FARMACIA LTDA FILIAL (10192)"</f>
        <v>LBL FARMACIA LTDA FILIAL (10192)</v>
      </c>
      <c r="G6305" t="str">
        <f>"Serv.Prest. 13/10/2025 a 19/10/2025 - RPS: 1420 - NFSe: 3656"</f>
        <v>Serv.Prest. 13/10/2025 a 19/10/2025 - RPS: 1420 - NFSe: 3656</v>
      </c>
      <c r="H6305" t="str">
        <f t="shared" si="2914"/>
        <v>22/10/2025</v>
      </c>
      <c r="I6305" t="str">
        <f t="shared" si="2915"/>
        <v>21/10/2025</v>
      </c>
      <c r="J6305" t="str">
        <f t="shared" si="2909"/>
        <v>23/10/2025</v>
      </c>
      <c r="K6305">
        <v>223.65</v>
      </c>
      <c r="L6305">
        <v>223.65</v>
      </c>
      <c r="M6305">
        <v>303</v>
      </c>
      <c r="N6305" t="str">
        <f t="shared" si="2910"/>
        <v>RECEITAS COM ENTREGAS</v>
      </c>
      <c r="O6305">
        <v>223.65</v>
      </c>
      <c r="R6305" t="str">
        <f t="shared" si="2911"/>
        <v>RECEITAS COM ENTREGAS (303)</v>
      </c>
      <c r="S6305">
        <v>2936</v>
      </c>
      <c r="T6305">
        <v>2332</v>
      </c>
      <c r="U6305" t="s">
        <v>19</v>
      </c>
    </row>
    <row r="6306" spans="1:21">
      <c r="A6306" t="str">
        <f t="shared" si="2905"/>
        <v>23/10/2025</v>
      </c>
      <c r="B6306" t="str">
        <f t="shared" si="2912"/>
        <v>ENTRADA</v>
      </c>
      <c r="C6306" t="str">
        <f t="shared" si="2906"/>
        <v>NFSE</v>
      </c>
      <c r="D6306" t="str">
        <f>"3656"</f>
        <v>3656</v>
      </c>
      <c r="E6306" t="str">
        <f t="shared" si="2893"/>
        <v>COM</v>
      </c>
      <c r="F6306" t="str">
        <f>"LBL FARMACIA LTDA FILIAL (10192)"</f>
        <v>LBL FARMACIA LTDA FILIAL (10192)</v>
      </c>
      <c r="G6306" t="str">
        <f>"Serv.Prest. 13/10/2025 a 19/10/2025 - RPS: 1420 - NFSe: 3656"</f>
        <v>Serv.Prest. 13/10/2025 a 19/10/2025 - RPS: 1420 - NFSe: 3656</v>
      </c>
      <c r="H6306" t="str">
        <f t="shared" si="2914"/>
        <v>22/10/2025</v>
      </c>
      <c r="I6306" t="str">
        <f t="shared" si="2915"/>
        <v>21/10/2025</v>
      </c>
      <c r="J6306" t="str">
        <f t="shared" si="2909"/>
        <v>23/10/2025</v>
      </c>
      <c r="M6306">
        <v>303</v>
      </c>
      <c r="N6306" t="str">
        <f t="shared" si="2910"/>
        <v>RECEITAS COM ENTREGAS</v>
      </c>
      <c r="P6306">
        <v>223.65</v>
      </c>
      <c r="Q6306" t="str">
        <f>"LBL FARMACIA LTDA FILIAL (10192)"</f>
        <v>LBL FARMACIA LTDA FILIAL (10192)</v>
      </c>
      <c r="R6306" t="str">
        <f t="shared" si="2911"/>
        <v>RECEITAS COM ENTREGAS (303)</v>
      </c>
      <c r="S6306">
        <v>2936</v>
      </c>
      <c r="T6306">
        <v>2332</v>
      </c>
      <c r="U6306" t="s">
        <v>19</v>
      </c>
    </row>
    <row r="6307" spans="1:21">
      <c r="A6307" t="str">
        <f t="shared" si="2905"/>
        <v>23/10/2025</v>
      </c>
      <c r="B6307" t="str">
        <f>"SAÍDA"</f>
        <v>SAÍDA</v>
      </c>
      <c r="C6307" t="str">
        <f>"BOLETO"</f>
        <v>BOLETO</v>
      </c>
      <c r="D6307" t="str">
        <f>"933512449"</f>
        <v>933512449</v>
      </c>
      <c r="E6307" t="str">
        <f t="shared" si="2893"/>
        <v>COM</v>
      </c>
      <c r="F6307" t="str">
        <f>"ALLMARK SERVICOS DE MARCAS E PATENTES LTDA (20113)"</f>
        <v>ALLMARK SERVICOS DE MARCAS E PATENTES LTDA (20113)</v>
      </c>
      <c r="G6307" t="str">
        <f>"SERVICOS PRESTADOS - MARCAS E PATENTES"</f>
        <v>SERVICOS PRESTADOS - MARCAS E PATENTES</v>
      </c>
      <c r="H6307" t="str">
        <f t="shared" ref="H6307:I6310" si="2916">("23/10/2025")</f>
        <v>23/10/2025</v>
      </c>
      <c r="I6307" t="str">
        <f t="shared" si="2916"/>
        <v>23/10/2025</v>
      </c>
      <c r="J6307" t="str">
        <f t="shared" si="2909"/>
        <v>23/10/2025</v>
      </c>
      <c r="K6307">
        <v>600</v>
      </c>
      <c r="L6307">
        <v>600</v>
      </c>
      <c r="M6307">
        <v>113</v>
      </c>
      <c r="N6307" t="str">
        <f>"MATERIAL DE CONSUMO"</f>
        <v>MATERIAL DE CONSUMO</v>
      </c>
      <c r="O6307">
        <v>600</v>
      </c>
      <c r="R6307" t="str">
        <f>"BANCO CORA (102)"</f>
        <v>BANCO CORA (102)</v>
      </c>
      <c r="S6307">
        <v>3174</v>
      </c>
      <c r="T6307">
        <v>2347</v>
      </c>
      <c r="U6307" t="s">
        <v>19</v>
      </c>
    </row>
    <row r="6308" spans="1:21">
      <c r="A6308" t="str">
        <f t="shared" si="2905"/>
        <v>23/10/2025</v>
      </c>
      <c r="B6308" t="str">
        <f>"SAÍDA"</f>
        <v>SAÍDA</v>
      </c>
      <c r="C6308" t="str">
        <f>"BOLETO"</f>
        <v>BOLETO</v>
      </c>
      <c r="D6308" t="str">
        <f>"933512449"</f>
        <v>933512449</v>
      </c>
      <c r="E6308" t="str">
        <f t="shared" ref="E6308:E6371" si="2917">"COM"</f>
        <v>COM</v>
      </c>
      <c r="F6308" t="str">
        <f>"ALLMARK SERVICOS DE MARCAS E PATENTES LTDA (20113)"</f>
        <v>ALLMARK SERVICOS DE MARCAS E PATENTES LTDA (20113)</v>
      </c>
      <c r="G6308" t="str">
        <f>"SERVICOS PRESTADOS - MARCAS E PATENTES"</f>
        <v>SERVICOS PRESTADOS - MARCAS E PATENTES</v>
      </c>
      <c r="H6308" t="str">
        <f t="shared" si="2916"/>
        <v>23/10/2025</v>
      </c>
      <c r="I6308" t="str">
        <f t="shared" si="2916"/>
        <v>23/10/2025</v>
      </c>
      <c r="J6308" t="str">
        <f t="shared" si="2909"/>
        <v>23/10/2025</v>
      </c>
      <c r="M6308">
        <v>113</v>
      </c>
      <c r="N6308" t="str">
        <f>"MATERIAL DE CONSUMO"</f>
        <v>MATERIAL DE CONSUMO</v>
      </c>
      <c r="P6308">
        <v>600</v>
      </c>
      <c r="Q6308" t="str">
        <f>"ALLMARK SERVICOS DE MARCAS E PATENTES LTDA (20113)"</f>
        <v>ALLMARK SERVICOS DE MARCAS E PATENTES LTDA (20113)</v>
      </c>
      <c r="R6308" t="str">
        <f>"BANCO CORA (102)"</f>
        <v>BANCO CORA (102)</v>
      </c>
      <c r="S6308">
        <v>3174</v>
      </c>
      <c r="T6308">
        <v>2347</v>
      </c>
      <c r="U6308" t="s">
        <v>19</v>
      </c>
    </row>
    <row r="6309" spans="1:21">
      <c r="A6309" t="str">
        <f t="shared" si="2905"/>
        <v>23/10/2025</v>
      </c>
      <c r="B6309" t="str">
        <f>"ENTRADA"</f>
        <v>ENTRADA</v>
      </c>
      <c r="C6309" t="str">
        <f>"BOLETO"</f>
        <v>BOLETO</v>
      </c>
      <c r="D6309" t="str">
        <f>"23102025"</f>
        <v>23102025</v>
      </c>
      <c r="E6309" t="str">
        <f t="shared" si="2917"/>
        <v>COM</v>
      </c>
      <c r="F6309" t="str">
        <f>"DROGARIA E PERFUMARIA COTIA LTDA (10206)"</f>
        <v>DROGARIA E PERFUMARIA COTIA LTDA (10206)</v>
      </c>
      <c r="G6309" t="str">
        <f>"RECEITAS COM SETUP"</f>
        <v>RECEITAS COM SETUP</v>
      </c>
      <c r="H6309" t="str">
        <f t="shared" si="2916"/>
        <v>23/10/2025</v>
      </c>
      <c r="I6309" t="str">
        <f t="shared" si="2916"/>
        <v>23/10/2025</v>
      </c>
      <c r="J6309" t="str">
        <f t="shared" si="2909"/>
        <v>23/10/2025</v>
      </c>
      <c r="K6309">
        <v>2500</v>
      </c>
      <c r="L6309">
        <v>2500</v>
      </c>
      <c r="M6309">
        <v>117</v>
      </c>
      <c r="N6309" t="str">
        <f>"RECEITAS COM SETUP"</f>
        <v>RECEITAS COM SETUP</v>
      </c>
      <c r="O6309">
        <v>2500</v>
      </c>
      <c r="R6309" t="str">
        <f>"RECEITAS COM SETUP (117)"</f>
        <v>RECEITAS COM SETUP (117)</v>
      </c>
      <c r="S6309">
        <v>3175</v>
      </c>
      <c r="T6309">
        <v>2761</v>
      </c>
      <c r="U6309" t="s">
        <v>19</v>
      </c>
    </row>
    <row r="6310" spans="1:21">
      <c r="A6310" t="str">
        <f t="shared" si="2905"/>
        <v>23/10/2025</v>
      </c>
      <c r="B6310" t="str">
        <f>"SAÍDA"</f>
        <v>SAÍDA</v>
      </c>
      <c r="C6310" t="str">
        <f>"BOLETO"</f>
        <v>BOLETO</v>
      </c>
      <c r="D6310" t="str">
        <f>"23102025"</f>
        <v>23102025</v>
      </c>
      <c r="E6310" t="str">
        <f t="shared" si="2917"/>
        <v>COM</v>
      </c>
      <c r="F6310" t="str">
        <f>"DROGARIA E PERFUMARIA COTIA LTDA (10206)"</f>
        <v>DROGARIA E PERFUMARIA COTIA LTDA (10206)</v>
      </c>
      <c r="G6310" t="str">
        <f>"RECEITAS COM SETUP"</f>
        <v>RECEITAS COM SETUP</v>
      </c>
      <c r="H6310" t="str">
        <f t="shared" si="2916"/>
        <v>23/10/2025</v>
      </c>
      <c r="I6310" t="str">
        <f t="shared" si="2916"/>
        <v>23/10/2025</v>
      </c>
      <c r="J6310" t="str">
        <f t="shared" si="2909"/>
        <v>23/10/2025</v>
      </c>
      <c r="M6310">
        <v>117</v>
      </c>
      <c r="N6310" t="str">
        <f>"RECEITAS COM SETUP"</f>
        <v>RECEITAS COM SETUP</v>
      </c>
      <c r="P6310">
        <v>2500</v>
      </c>
      <c r="Q6310" t="str">
        <f>"DROGARIA E PERFUMARIA COTIA LTDA (10206)"</f>
        <v>DROGARIA E PERFUMARIA COTIA LTDA (10206)</v>
      </c>
      <c r="R6310" t="str">
        <f>"RECEITAS COM SETUP (117)"</f>
        <v>RECEITAS COM SETUP (117)</v>
      </c>
      <c r="S6310">
        <v>3175</v>
      </c>
      <c r="T6310">
        <v>2761</v>
      </c>
      <c r="U6310" t="s">
        <v>19</v>
      </c>
    </row>
    <row r="6311" spans="1:21">
      <c r="A6311" t="str">
        <f t="shared" ref="A6311:A6342" si="2918">("24/10/2025")</f>
        <v>24/10/2025</v>
      </c>
      <c r="B6311" t="str">
        <f>"ENTRADA"</f>
        <v>ENTRADA</v>
      </c>
      <c r="C6311" t="str">
        <f t="shared" ref="C6311:C6342" si="2919">"NFSE"</f>
        <v>NFSE</v>
      </c>
      <c r="D6311" t="str">
        <f t="shared" ref="D6311:D6358" si="2920">"3610"</f>
        <v>3610</v>
      </c>
      <c r="E6311" t="str">
        <f t="shared" si="2917"/>
        <v>COM</v>
      </c>
      <c r="F6311" t="str">
        <f t="shared" ref="F6311:F6358" si="2921">"FARMÁCIA INDIANA LJ 1 (10126)"</f>
        <v>FARMÁCIA INDIANA LJ 1 (10126)</v>
      </c>
      <c r="G6311" t="str">
        <f t="shared" ref="G6311:G6358" si="2922">"Serv.Prest. 06/10/2025 a 12/10/2025 - RPS: 1374 - NFSe: 3610"</f>
        <v>Serv.Prest. 06/10/2025 a 12/10/2025 - RPS: 1374 - NFSe: 3610</v>
      </c>
      <c r="H6311" t="str">
        <f t="shared" ref="H6311:H6358" si="2923">("22/10/2025")</f>
        <v>22/10/2025</v>
      </c>
      <c r="I6311" t="str">
        <f t="shared" ref="I6311:I6358" si="2924">("14/10/2025")</f>
        <v>14/10/2025</v>
      </c>
      <c r="J6311" t="str">
        <f t="shared" ref="J6311:J6342" si="2925">("24/10/2025")</f>
        <v>24/10/2025</v>
      </c>
      <c r="K6311">
        <v>14320.01</v>
      </c>
      <c r="L6311">
        <v>14320.01</v>
      </c>
      <c r="M6311">
        <v>303</v>
      </c>
      <c r="N6311" t="str">
        <f t="shared" ref="N6311:N6342" si="2926">"RECEITAS COM ENTREGAS"</f>
        <v>RECEITAS COM ENTREGAS</v>
      </c>
      <c r="O6311">
        <v>14320.01</v>
      </c>
      <c r="R6311" t="str">
        <f t="shared" ref="R6311:R6342" si="2927">"RECEITAS COM ENTREGAS (303)"</f>
        <v>RECEITAS COM ENTREGAS (303)</v>
      </c>
      <c r="S6311">
        <v>2804</v>
      </c>
      <c r="T6311">
        <v>2285</v>
      </c>
      <c r="U6311" t="s">
        <v>19</v>
      </c>
    </row>
    <row r="6312" spans="1:21">
      <c r="A6312" t="str">
        <f t="shared" si="2918"/>
        <v>24/10/2025</v>
      </c>
      <c r="B6312" t="str">
        <f t="shared" ref="B6312:B6366" si="2928">"ENTRADA"</f>
        <v>ENTRADA</v>
      </c>
      <c r="C6312" t="str">
        <f t="shared" si="2919"/>
        <v>NFSE</v>
      </c>
      <c r="D6312" t="str">
        <f t="shared" si="2920"/>
        <v>3610</v>
      </c>
      <c r="E6312" t="str">
        <f t="shared" si="2917"/>
        <v>COM</v>
      </c>
      <c r="F6312" t="str">
        <f t="shared" si="2921"/>
        <v>FARMÁCIA INDIANA LJ 1 (10126)</v>
      </c>
      <c r="G6312" t="str">
        <f t="shared" si="2922"/>
        <v>Serv.Prest. 06/10/2025 a 12/10/2025 - RPS: 1374 - NFSe: 3610</v>
      </c>
      <c r="H6312" t="str">
        <f t="shared" si="2923"/>
        <v>22/10/2025</v>
      </c>
      <c r="I6312" t="str">
        <f t="shared" si="2924"/>
        <v>14/10/2025</v>
      </c>
      <c r="J6312" t="str">
        <f t="shared" si="2925"/>
        <v>24/10/2025</v>
      </c>
      <c r="M6312">
        <v>303</v>
      </c>
      <c r="N6312" t="str">
        <f t="shared" si="2926"/>
        <v>RECEITAS COM ENTREGAS</v>
      </c>
      <c r="P6312">
        <v>1960.44</v>
      </c>
      <c r="Q6312" t="str">
        <f>"FARMÁCIA INDIANA LJ 06 (10006)"</f>
        <v>FARMÁCIA INDIANA LJ 06 (10006)</v>
      </c>
      <c r="R6312" t="str">
        <f t="shared" si="2927"/>
        <v>RECEITAS COM ENTREGAS (303)</v>
      </c>
      <c r="S6312">
        <v>2804</v>
      </c>
      <c r="T6312">
        <v>2285</v>
      </c>
      <c r="U6312" t="s">
        <v>19</v>
      </c>
    </row>
    <row r="6313" spans="1:21">
      <c r="A6313" t="str">
        <f t="shared" si="2918"/>
        <v>24/10/2025</v>
      </c>
      <c r="B6313" t="str">
        <f t="shared" si="2928"/>
        <v>ENTRADA</v>
      </c>
      <c r="C6313" t="str">
        <f t="shared" si="2919"/>
        <v>NFSE</v>
      </c>
      <c r="D6313" t="str">
        <f t="shared" si="2920"/>
        <v>3610</v>
      </c>
      <c r="E6313" t="str">
        <f t="shared" si="2917"/>
        <v>COM</v>
      </c>
      <c r="F6313" t="str">
        <f t="shared" si="2921"/>
        <v>FARMÁCIA INDIANA LJ 1 (10126)</v>
      </c>
      <c r="G6313" t="str">
        <f t="shared" si="2922"/>
        <v>Serv.Prest. 06/10/2025 a 12/10/2025 - RPS: 1374 - NFSe: 3610</v>
      </c>
      <c r="H6313" t="str">
        <f t="shared" si="2923"/>
        <v>22/10/2025</v>
      </c>
      <c r="I6313" t="str">
        <f t="shared" si="2924"/>
        <v>14/10/2025</v>
      </c>
      <c r="J6313" t="str">
        <f t="shared" si="2925"/>
        <v>24/10/2025</v>
      </c>
      <c r="M6313">
        <v>303</v>
      </c>
      <c r="N6313" t="str">
        <f t="shared" si="2926"/>
        <v>RECEITAS COM ENTREGAS</v>
      </c>
      <c r="P6313">
        <v>1376.15</v>
      </c>
      <c r="Q6313" t="str">
        <f>"FARMÁCIA INDIANA LJ 07 (10007)"</f>
        <v>FARMÁCIA INDIANA LJ 07 (10007)</v>
      </c>
      <c r="R6313" t="str">
        <f t="shared" si="2927"/>
        <v>RECEITAS COM ENTREGAS (303)</v>
      </c>
      <c r="S6313">
        <v>2804</v>
      </c>
      <c r="T6313">
        <v>2285</v>
      </c>
      <c r="U6313" t="s">
        <v>19</v>
      </c>
    </row>
    <row r="6314" spans="1:21">
      <c r="A6314" t="str">
        <f t="shared" si="2918"/>
        <v>24/10/2025</v>
      </c>
      <c r="B6314" t="str">
        <f t="shared" si="2928"/>
        <v>ENTRADA</v>
      </c>
      <c r="C6314" t="str">
        <f t="shared" si="2919"/>
        <v>NFSE</v>
      </c>
      <c r="D6314" t="str">
        <f t="shared" si="2920"/>
        <v>3610</v>
      </c>
      <c r="E6314" t="str">
        <f t="shared" si="2917"/>
        <v>COM</v>
      </c>
      <c r="F6314" t="str">
        <f t="shared" si="2921"/>
        <v>FARMÁCIA INDIANA LJ 1 (10126)</v>
      </c>
      <c r="G6314" t="str">
        <f t="shared" si="2922"/>
        <v>Serv.Prest. 06/10/2025 a 12/10/2025 - RPS: 1374 - NFSe: 3610</v>
      </c>
      <c r="H6314" t="str">
        <f t="shared" si="2923"/>
        <v>22/10/2025</v>
      </c>
      <c r="I6314" t="str">
        <f t="shared" si="2924"/>
        <v>14/10/2025</v>
      </c>
      <c r="J6314" t="str">
        <f t="shared" si="2925"/>
        <v>24/10/2025</v>
      </c>
      <c r="M6314">
        <v>303</v>
      </c>
      <c r="N6314" t="str">
        <f t="shared" si="2926"/>
        <v>RECEITAS COM ENTREGAS</v>
      </c>
      <c r="P6314">
        <v>1109.8</v>
      </c>
      <c r="Q6314" t="str">
        <f>"FARMÁCIA INDIANA LJ 11 (10008)"</f>
        <v>FARMÁCIA INDIANA LJ 11 (10008)</v>
      </c>
      <c r="R6314" t="str">
        <f t="shared" si="2927"/>
        <v>RECEITAS COM ENTREGAS (303)</v>
      </c>
      <c r="S6314">
        <v>2804</v>
      </c>
      <c r="T6314">
        <v>2285</v>
      </c>
      <c r="U6314" t="s">
        <v>19</v>
      </c>
    </row>
    <row r="6315" spans="1:21">
      <c r="A6315" t="str">
        <f t="shared" si="2918"/>
        <v>24/10/2025</v>
      </c>
      <c r="B6315" t="str">
        <f t="shared" si="2928"/>
        <v>ENTRADA</v>
      </c>
      <c r="C6315" t="str">
        <f t="shared" si="2919"/>
        <v>NFSE</v>
      </c>
      <c r="D6315" t="str">
        <f t="shared" si="2920"/>
        <v>3610</v>
      </c>
      <c r="E6315" t="str">
        <f t="shared" si="2917"/>
        <v>COM</v>
      </c>
      <c r="F6315" t="str">
        <f t="shared" si="2921"/>
        <v>FARMÁCIA INDIANA LJ 1 (10126)</v>
      </c>
      <c r="G6315" t="str">
        <f t="shared" si="2922"/>
        <v>Serv.Prest. 06/10/2025 a 12/10/2025 - RPS: 1374 - NFSe: 3610</v>
      </c>
      <c r="H6315" t="str">
        <f t="shared" si="2923"/>
        <v>22/10/2025</v>
      </c>
      <c r="I6315" t="str">
        <f t="shared" si="2924"/>
        <v>14/10/2025</v>
      </c>
      <c r="J6315" t="str">
        <f t="shared" si="2925"/>
        <v>24/10/2025</v>
      </c>
      <c r="M6315">
        <v>303</v>
      </c>
      <c r="N6315" t="str">
        <f t="shared" si="2926"/>
        <v>RECEITAS COM ENTREGAS</v>
      </c>
      <c r="P6315">
        <v>456.81</v>
      </c>
      <c r="Q6315" t="str">
        <f>"FARMÁCIA INDIANA LJ 14 (10009)"</f>
        <v>FARMÁCIA INDIANA LJ 14 (10009)</v>
      </c>
      <c r="R6315" t="str">
        <f t="shared" si="2927"/>
        <v>RECEITAS COM ENTREGAS (303)</v>
      </c>
      <c r="S6315">
        <v>2804</v>
      </c>
      <c r="T6315">
        <v>2285</v>
      </c>
      <c r="U6315" t="s">
        <v>19</v>
      </c>
    </row>
    <row r="6316" spans="1:21">
      <c r="A6316" t="str">
        <f t="shared" si="2918"/>
        <v>24/10/2025</v>
      </c>
      <c r="B6316" t="str">
        <f t="shared" si="2928"/>
        <v>ENTRADA</v>
      </c>
      <c r="C6316" t="str">
        <f t="shared" si="2919"/>
        <v>NFSE</v>
      </c>
      <c r="D6316" t="str">
        <f t="shared" si="2920"/>
        <v>3610</v>
      </c>
      <c r="E6316" t="str">
        <f t="shared" si="2917"/>
        <v>COM</v>
      </c>
      <c r="F6316" t="str">
        <f t="shared" si="2921"/>
        <v>FARMÁCIA INDIANA LJ 1 (10126)</v>
      </c>
      <c r="G6316" t="str">
        <f t="shared" si="2922"/>
        <v>Serv.Prest. 06/10/2025 a 12/10/2025 - RPS: 1374 - NFSe: 3610</v>
      </c>
      <c r="H6316" t="str">
        <f t="shared" si="2923"/>
        <v>22/10/2025</v>
      </c>
      <c r="I6316" t="str">
        <f t="shared" si="2924"/>
        <v>14/10/2025</v>
      </c>
      <c r="J6316" t="str">
        <f t="shared" si="2925"/>
        <v>24/10/2025</v>
      </c>
      <c r="M6316">
        <v>303</v>
      </c>
      <c r="N6316" t="str">
        <f t="shared" si="2926"/>
        <v>RECEITAS COM ENTREGAS</v>
      </c>
      <c r="P6316">
        <v>211.94</v>
      </c>
      <c r="Q6316" t="str">
        <f>"FARMÁCIA INDIANA LJ 18 (10011)"</f>
        <v>FARMÁCIA INDIANA LJ 18 (10011)</v>
      </c>
      <c r="R6316" t="str">
        <f t="shared" si="2927"/>
        <v>RECEITAS COM ENTREGAS (303)</v>
      </c>
      <c r="S6316">
        <v>2804</v>
      </c>
      <c r="T6316">
        <v>2285</v>
      </c>
      <c r="U6316" t="s">
        <v>19</v>
      </c>
    </row>
    <row r="6317" spans="1:21">
      <c r="A6317" t="str">
        <f t="shared" si="2918"/>
        <v>24/10/2025</v>
      </c>
      <c r="B6317" t="str">
        <f t="shared" si="2928"/>
        <v>ENTRADA</v>
      </c>
      <c r="C6317" t="str">
        <f t="shared" si="2919"/>
        <v>NFSE</v>
      </c>
      <c r="D6317" t="str">
        <f t="shared" si="2920"/>
        <v>3610</v>
      </c>
      <c r="E6317" t="str">
        <f t="shared" si="2917"/>
        <v>COM</v>
      </c>
      <c r="F6317" t="str">
        <f t="shared" si="2921"/>
        <v>FARMÁCIA INDIANA LJ 1 (10126)</v>
      </c>
      <c r="G6317" t="str">
        <f t="shared" si="2922"/>
        <v>Serv.Prest. 06/10/2025 a 12/10/2025 - RPS: 1374 - NFSe: 3610</v>
      </c>
      <c r="H6317" t="str">
        <f t="shared" si="2923"/>
        <v>22/10/2025</v>
      </c>
      <c r="I6317" t="str">
        <f t="shared" si="2924"/>
        <v>14/10/2025</v>
      </c>
      <c r="J6317" t="str">
        <f t="shared" si="2925"/>
        <v>24/10/2025</v>
      </c>
      <c r="M6317">
        <v>303</v>
      </c>
      <c r="N6317" t="str">
        <f t="shared" si="2926"/>
        <v>RECEITAS COM ENTREGAS</v>
      </c>
      <c r="P6317">
        <v>410.98</v>
      </c>
      <c r="Q6317" t="str">
        <f>"FARMÁCIA INDIANA LJ 19 (10012)"</f>
        <v>FARMÁCIA INDIANA LJ 19 (10012)</v>
      </c>
      <c r="R6317" t="str">
        <f t="shared" si="2927"/>
        <v>RECEITAS COM ENTREGAS (303)</v>
      </c>
      <c r="S6317">
        <v>2804</v>
      </c>
      <c r="T6317">
        <v>2285</v>
      </c>
      <c r="U6317" t="s">
        <v>19</v>
      </c>
    </row>
    <row r="6318" spans="1:21">
      <c r="A6318" t="str">
        <f t="shared" si="2918"/>
        <v>24/10/2025</v>
      </c>
      <c r="B6318" t="str">
        <f t="shared" si="2928"/>
        <v>ENTRADA</v>
      </c>
      <c r="C6318" t="str">
        <f t="shared" si="2919"/>
        <v>NFSE</v>
      </c>
      <c r="D6318" t="str">
        <f t="shared" si="2920"/>
        <v>3610</v>
      </c>
      <c r="E6318" t="str">
        <f t="shared" si="2917"/>
        <v>COM</v>
      </c>
      <c r="F6318" t="str">
        <f t="shared" si="2921"/>
        <v>FARMÁCIA INDIANA LJ 1 (10126)</v>
      </c>
      <c r="G6318" t="str">
        <f t="shared" si="2922"/>
        <v>Serv.Prest. 06/10/2025 a 12/10/2025 - RPS: 1374 - NFSe: 3610</v>
      </c>
      <c r="H6318" t="str">
        <f t="shared" si="2923"/>
        <v>22/10/2025</v>
      </c>
      <c r="I6318" t="str">
        <f t="shared" si="2924"/>
        <v>14/10/2025</v>
      </c>
      <c r="J6318" t="str">
        <f t="shared" si="2925"/>
        <v>24/10/2025</v>
      </c>
      <c r="M6318">
        <v>303</v>
      </c>
      <c r="N6318" t="str">
        <f t="shared" si="2926"/>
        <v>RECEITAS COM ENTREGAS</v>
      </c>
      <c r="P6318">
        <v>516.95000000000005</v>
      </c>
      <c r="Q6318" t="str">
        <f>"FARMÁCIA INDIANA LJ 40 (10016)"</f>
        <v>FARMÁCIA INDIANA LJ 40 (10016)</v>
      </c>
      <c r="R6318" t="str">
        <f t="shared" si="2927"/>
        <v>RECEITAS COM ENTREGAS (303)</v>
      </c>
      <c r="S6318">
        <v>2804</v>
      </c>
      <c r="T6318">
        <v>2285</v>
      </c>
      <c r="U6318" t="s">
        <v>19</v>
      </c>
    </row>
    <row r="6319" spans="1:21">
      <c r="A6319" t="str">
        <f t="shared" si="2918"/>
        <v>24/10/2025</v>
      </c>
      <c r="B6319" t="str">
        <f t="shared" si="2928"/>
        <v>ENTRADA</v>
      </c>
      <c r="C6319" t="str">
        <f t="shared" si="2919"/>
        <v>NFSE</v>
      </c>
      <c r="D6319" t="str">
        <f t="shared" si="2920"/>
        <v>3610</v>
      </c>
      <c r="E6319" t="str">
        <f t="shared" si="2917"/>
        <v>COM</v>
      </c>
      <c r="F6319" t="str">
        <f t="shared" si="2921"/>
        <v>FARMÁCIA INDIANA LJ 1 (10126)</v>
      </c>
      <c r="G6319" t="str">
        <f t="shared" si="2922"/>
        <v>Serv.Prest. 06/10/2025 a 12/10/2025 - RPS: 1374 - NFSe: 3610</v>
      </c>
      <c r="H6319" t="str">
        <f t="shared" si="2923"/>
        <v>22/10/2025</v>
      </c>
      <c r="I6319" t="str">
        <f t="shared" si="2924"/>
        <v>14/10/2025</v>
      </c>
      <c r="J6319" t="str">
        <f t="shared" si="2925"/>
        <v>24/10/2025</v>
      </c>
      <c r="M6319">
        <v>303</v>
      </c>
      <c r="N6319" t="str">
        <f t="shared" si="2926"/>
        <v>RECEITAS COM ENTREGAS</v>
      </c>
      <c r="P6319">
        <v>368.02</v>
      </c>
      <c r="Q6319" t="str">
        <f>"FARMÁCIA INDIANA LJ 59 (10026)"</f>
        <v>FARMÁCIA INDIANA LJ 59 (10026)</v>
      </c>
      <c r="R6319" t="str">
        <f t="shared" si="2927"/>
        <v>RECEITAS COM ENTREGAS (303)</v>
      </c>
      <c r="S6319">
        <v>2804</v>
      </c>
      <c r="T6319">
        <v>2285</v>
      </c>
      <c r="U6319" t="s">
        <v>19</v>
      </c>
    </row>
    <row r="6320" spans="1:21">
      <c r="A6320" t="str">
        <f t="shared" si="2918"/>
        <v>24/10/2025</v>
      </c>
      <c r="B6320" t="str">
        <f t="shared" si="2928"/>
        <v>ENTRADA</v>
      </c>
      <c r="C6320" t="str">
        <f t="shared" si="2919"/>
        <v>NFSE</v>
      </c>
      <c r="D6320" t="str">
        <f t="shared" si="2920"/>
        <v>3610</v>
      </c>
      <c r="E6320" t="str">
        <f t="shared" si="2917"/>
        <v>COM</v>
      </c>
      <c r="F6320" t="str">
        <f t="shared" si="2921"/>
        <v>FARMÁCIA INDIANA LJ 1 (10126)</v>
      </c>
      <c r="G6320" t="str">
        <f t="shared" si="2922"/>
        <v>Serv.Prest. 06/10/2025 a 12/10/2025 - RPS: 1374 - NFSe: 3610</v>
      </c>
      <c r="H6320" t="str">
        <f t="shared" si="2923"/>
        <v>22/10/2025</v>
      </c>
      <c r="I6320" t="str">
        <f t="shared" si="2924"/>
        <v>14/10/2025</v>
      </c>
      <c r="J6320" t="str">
        <f t="shared" si="2925"/>
        <v>24/10/2025</v>
      </c>
      <c r="M6320">
        <v>303</v>
      </c>
      <c r="N6320" t="str">
        <f t="shared" si="2926"/>
        <v>RECEITAS COM ENTREGAS</v>
      </c>
      <c r="P6320">
        <v>502.63</v>
      </c>
      <c r="Q6320" t="str">
        <f>"FARMÁCIA INDIANA LJ 61 (10027)"</f>
        <v>FARMÁCIA INDIANA LJ 61 (10027)</v>
      </c>
      <c r="R6320" t="str">
        <f t="shared" si="2927"/>
        <v>RECEITAS COM ENTREGAS (303)</v>
      </c>
      <c r="S6320">
        <v>2804</v>
      </c>
      <c r="T6320">
        <v>2285</v>
      </c>
      <c r="U6320" t="s">
        <v>19</v>
      </c>
    </row>
    <row r="6321" spans="1:21">
      <c r="A6321" t="str">
        <f t="shared" si="2918"/>
        <v>24/10/2025</v>
      </c>
      <c r="B6321" t="str">
        <f t="shared" si="2928"/>
        <v>ENTRADA</v>
      </c>
      <c r="C6321" t="str">
        <f t="shared" si="2919"/>
        <v>NFSE</v>
      </c>
      <c r="D6321" t="str">
        <f t="shared" si="2920"/>
        <v>3610</v>
      </c>
      <c r="E6321" t="str">
        <f t="shared" si="2917"/>
        <v>COM</v>
      </c>
      <c r="F6321" t="str">
        <f t="shared" si="2921"/>
        <v>FARMÁCIA INDIANA LJ 1 (10126)</v>
      </c>
      <c r="G6321" t="str">
        <f t="shared" si="2922"/>
        <v>Serv.Prest. 06/10/2025 a 12/10/2025 - RPS: 1374 - NFSe: 3610</v>
      </c>
      <c r="H6321" t="str">
        <f t="shared" si="2923"/>
        <v>22/10/2025</v>
      </c>
      <c r="I6321" t="str">
        <f t="shared" si="2924"/>
        <v>14/10/2025</v>
      </c>
      <c r="J6321" t="str">
        <f t="shared" si="2925"/>
        <v>24/10/2025</v>
      </c>
      <c r="M6321">
        <v>303</v>
      </c>
      <c r="N6321" t="str">
        <f t="shared" si="2926"/>
        <v>RECEITAS COM ENTREGAS</v>
      </c>
      <c r="P6321">
        <v>375.18</v>
      </c>
      <c r="Q6321" t="str">
        <f>"FARMÁCIA INDIANA LJ 62 (10028)"</f>
        <v>FARMÁCIA INDIANA LJ 62 (10028)</v>
      </c>
      <c r="R6321" t="str">
        <f t="shared" si="2927"/>
        <v>RECEITAS COM ENTREGAS (303)</v>
      </c>
      <c r="S6321">
        <v>2804</v>
      </c>
      <c r="T6321">
        <v>2285</v>
      </c>
      <c r="U6321" t="s">
        <v>19</v>
      </c>
    </row>
    <row r="6322" spans="1:21">
      <c r="A6322" t="str">
        <f t="shared" si="2918"/>
        <v>24/10/2025</v>
      </c>
      <c r="B6322" t="str">
        <f t="shared" si="2928"/>
        <v>ENTRADA</v>
      </c>
      <c r="C6322" t="str">
        <f t="shared" si="2919"/>
        <v>NFSE</v>
      </c>
      <c r="D6322" t="str">
        <f t="shared" si="2920"/>
        <v>3610</v>
      </c>
      <c r="E6322" t="str">
        <f t="shared" si="2917"/>
        <v>COM</v>
      </c>
      <c r="F6322" t="str">
        <f t="shared" si="2921"/>
        <v>FARMÁCIA INDIANA LJ 1 (10126)</v>
      </c>
      <c r="G6322" t="str">
        <f t="shared" si="2922"/>
        <v>Serv.Prest. 06/10/2025 a 12/10/2025 - RPS: 1374 - NFSe: 3610</v>
      </c>
      <c r="H6322" t="str">
        <f t="shared" si="2923"/>
        <v>22/10/2025</v>
      </c>
      <c r="I6322" t="str">
        <f t="shared" si="2924"/>
        <v>14/10/2025</v>
      </c>
      <c r="J6322" t="str">
        <f t="shared" si="2925"/>
        <v>24/10/2025</v>
      </c>
      <c r="M6322">
        <v>303</v>
      </c>
      <c r="N6322" t="str">
        <f t="shared" si="2926"/>
        <v>RECEITAS COM ENTREGAS</v>
      </c>
      <c r="P6322">
        <v>107.4</v>
      </c>
      <c r="Q6322" t="str">
        <f>"FARMÁCIA INDIANA LJ 64 (10029)"</f>
        <v>FARMÁCIA INDIANA LJ 64 (10029)</v>
      </c>
      <c r="R6322" t="str">
        <f t="shared" si="2927"/>
        <v>RECEITAS COM ENTREGAS (303)</v>
      </c>
      <c r="S6322">
        <v>2804</v>
      </c>
      <c r="T6322">
        <v>2285</v>
      </c>
      <c r="U6322" t="s">
        <v>19</v>
      </c>
    </row>
    <row r="6323" spans="1:21">
      <c r="A6323" t="str">
        <f t="shared" si="2918"/>
        <v>24/10/2025</v>
      </c>
      <c r="B6323" t="str">
        <f t="shared" si="2928"/>
        <v>ENTRADA</v>
      </c>
      <c r="C6323" t="str">
        <f t="shared" si="2919"/>
        <v>NFSE</v>
      </c>
      <c r="D6323" t="str">
        <f t="shared" si="2920"/>
        <v>3610</v>
      </c>
      <c r="E6323" t="str">
        <f t="shared" si="2917"/>
        <v>COM</v>
      </c>
      <c r="F6323" t="str">
        <f t="shared" si="2921"/>
        <v>FARMÁCIA INDIANA LJ 1 (10126)</v>
      </c>
      <c r="G6323" t="str">
        <f t="shared" si="2922"/>
        <v>Serv.Prest. 06/10/2025 a 12/10/2025 - RPS: 1374 - NFSe: 3610</v>
      </c>
      <c r="H6323" t="str">
        <f t="shared" si="2923"/>
        <v>22/10/2025</v>
      </c>
      <c r="I6323" t="str">
        <f t="shared" si="2924"/>
        <v>14/10/2025</v>
      </c>
      <c r="J6323" t="str">
        <f t="shared" si="2925"/>
        <v>24/10/2025</v>
      </c>
      <c r="M6323">
        <v>303</v>
      </c>
      <c r="N6323" t="str">
        <f t="shared" si="2926"/>
        <v>RECEITAS COM ENTREGAS</v>
      </c>
      <c r="P6323">
        <v>67.3</v>
      </c>
      <c r="Q6323" t="str">
        <f>"FARMÁCIA INDIANA LJ 97 (10040)"</f>
        <v>FARMÁCIA INDIANA LJ 97 (10040)</v>
      </c>
      <c r="R6323" t="str">
        <f t="shared" si="2927"/>
        <v>RECEITAS COM ENTREGAS (303)</v>
      </c>
      <c r="S6323">
        <v>2804</v>
      </c>
      <c r="T6323">
        <v>2285</v>
      </c>
      <c r="U6323" t="s">
        <v>19</v>
      </c>
    </row>
    <row r="6324" spans="1:21">
      <c r="A6324" t="str">
        <f t="shared" si="2918"/>
        <v>24/10/2025</v>
      </c>
      <c r="B6324" t="str">
        <f t="shared" si="2928"/>
        <v>ENTRADA</v>
      </c>
      <c r="C6324" t="str">
        <f t="shared" si="2919"/>
        <v>NFSE</v>
      </c>
      <c r="D6324" t="str">
        <f t="shared" si="2920"/>
        <v>3610</v>
      </c>
      <c r="E6324" t="str">
        <f t="shared" si="2917"/>
        <v>COM</v>
      </c>
      <c r="F6324" t="str">
        <f t="shared" si="2921"/>
        <v>FARMÁCIA INDIANA LJ 1 (10126)</v>
      </c>
      <c r="G6324" t="str">
        <f t="shared" si="2922"/>
        <v>Serv.Prest. 06/10/2025 a 12/10/2025 - RPS: 1374 - NFSe: 3610</v>
      </c>
      <c r="H6324" t="str">
        <f t="shared" si="2923"/>
        <v>22/10/2025</v>
      </c>
      <c r="I6324" t="str">
        <f t="shared" si="2924"/>
        <v>14/10/2025</v>
      </c>
      <c r="J6324" t="str">
        <f t="shared" si="2925"/>
        <v>24/10/2025</v>
      </c>
      <c r="M6324">
        <v>303</v>
      </c>
      <c r="N6324" t="str">
        <f t="shared" si="2926"/>
        <v>RECEITAS COM ENTREGAS</v>
      </c>
      <c r="P6324">
        <v>300.72000000000003</v>
      </c>
      <c r="Q6324" t="str">
        <f>"FARMÁCIA INDIANA LJ 100 (10042)"</f>
        <v>FARMÁCIA INDIANA LJ 100 (10042)</v>
      </c>
      <c r="R6324" t="str">
        <f t="shared" si="2927"/>
        <v>RECEITAS COM ENTREGAS (303)</v>
      </c>
      <c r="S6324">
        <v>2804</v>
      </c>
      <c r="T6324">
        <v>2285</v>
      </c>
      <c r="U6324" t="s">
        <v>19</v>
      </c>
    </row>
    <row r="6325" spans="1:21">
      <c r="A6325" t="str">
        <f t="shared" si="2918"/>
        <v>24/10/2025</v>
      </c>
      <c r="B6325" t="str">
        <f t="shared" si="2928"/>
        <v>ENTRADA</v>
      </c>
      <c r="C6325" t="str">
        <f t="shared" si="2919"/>
        <v>NFSE</v>
      </c>
      <c r="D6325" t="str">
        <f t="shared" si="2920"/>
        <v>3610</v>
      </c>
      <c r="E6325" t="str">
        <f t="shared" si="2917"/>
        <v>COM</v>
      </c>
      <c r="F6325" t="str">
        <f t="shared" si="2921"/>
        <v>FARMÁCIA INDIANA LJ 1 (10126)</v>
      </c>
      <c r="G6325" t="str">
        <f t="shared" si="2922"/>
        <v>Serv.Prest. 06/10/2025 a 12/10/2025 - RPS: 1374 - NFSe: 3610</v>
      </c>
      <c r="H6325" t="str">
        <f t="shared" si="2923"/>
        <v>22/10/2025</v>
      </c>
      <c r="I6325" t="str">
        <f t="shared" si="2924"/>
        <v>14/10/2025</v>
      </c>
      <c r="J6325" t="str">
        <f t="shared" si="2925"/>
        <v>24/10/2025</v>
      </c>
      <c r="M6325">
        <v>303</v>
      </c>
      <c r="N6325" t="str">
        <f t="shared" si="2926"/>
        <v>RECEITAS COM ENTREGAS</v>
      </c>
      <c r="P6325">
        <v>786.17</v>
      </c>
      <c r="Q6325" t="str">
        <f>"FARMÁCIA INDIANA LJ 101 (10043)"</f>
        <v>FARMÁCIA INDIANA LJ 101 (10043)</v>
      </c>
      <c r="R6325" t="str">
        <f t="shared" si="2927"/>
        <v>RECEITAS COM ENTREGAS (303)</v>
      </c>
      <c r="S6325">
        <v>2804</v>
      </c>
      <c r="T6325">
        <v>2285</v>
      </c>
      <c r="U6325" t="s">
        <v>19</v>
      </c>
    </row>
    <row r="6326" spans="1:21">
      <c r="A6326" t="str">
        <f t="shared" si="2918"/>
        <v>24/10/2025</v>
      </c>
      <c r="B6326" t="str">
        <f t="shared" si="2928"/>
        <v>ENTRADA</v>
      </c>
      <c r="C6326" t="str">
        <f t="shared" si="2919"/>
        <v>NFSE</v>
      </c>
      <c r="D6326" t="str">
        <f t="shared" si="2920"/>
        <v>3610</v>
      </c>
      <c r="E6326" t="str">
        <f t="shared" si="2917"/>
        <v>COM</v>
      </c>
      <c r="F6326" t="str">
        <f t="shared" si="2921"/>
        <v>FARMÁCIA INDIANA LJ 1 (10126)</v>
      </c>
      <c r="G6326" t="str">
        <f t="shared" si="2922"/>
        <v>Serv.Prest. 06/10/2025 a 12/10/2025 - RPS: 1374 - NFSe: 3610</v>
      </c>
      <c r="H6326" t="str">
        <f t="shared" si="2923"/>
        <v>22/10/2025</v>
      </c>
      <c r="I6326" t="str">
        <f t="shared" si="2924"/>
        <v>14/10/2025</v>
      </c>
      <c r="J6326" t="str">
        <f t="shared" si="2925"/>
        <v>24/10/2025</v>
      </c>
      <c r="M6326">
        <v>303</v>
      </c>
      <c r="N6326" t="str">
        <f t="shared" si="2926"/>
        <v>RECEITAS COM ENTREGAS</v>
      </c>
      <c r="P6326">
        <v>160.38</v>
      </c>
      <c r="Q6326" t="str">
        <f>"FARMÁCIA INDIANA LJ 103 (10044)"</f>
        <v>FARMÁCIA INDIANA LJ 103 (10044)</v>
      </c>
      <c r="R6326" t="str">
        <f t="shared" si="2927"/>
        <v>RECEITAS COM ENTREGAS (303)</v>
      </c>
      <c r="S6326">
        <v>2804</v>
      </c>
      <c r="T6326">
        <v>2285</v>
      </c>
      <c r="U6326" t="s">
        <v>19</v>
      </c>
    </row>
    <row r="6327" spans="1:21">
      <c r="A6327" t="str">
        <f t="shared" si="2918"/>
        <v>24/10/2025</v>
      </c>
      <c r="B6327" t="str">
        <f t="shared" si="2928"/>
        <v>ENTRADA</v>
      </c>
      <c r="C6327" t="str">
        <f t="shared" si="2919"/>
        <v>NFSE</v>
      </c>
      <c r="D6327" t="str">
        <f t="shared" si="2920"/>
        <v>3610</v>
      </c>
      <c r="E6327" t="str">
        <f t="shared" si="2917"/>
        <v>COM</v>
      </c>
      <c r="F6327" t="str">
        <f t="shared" si="2921"/>
        <v>FARMÁCIA INDIANA LJ 1 (10126)</v>
      </c>
      <c r="G6327" t="str">
        <f t="shared" si="2922"/>
        <v>Serv.Prest. 06/10/2025 a 12/10/2025 - RPS: 1374 - NFSe: 3610</v>
      </c>
      <c r="H6327" t="str">
        <f t="shared" si="2923"/>
        <v>22/10/2025</v>
      </c>
      <c r="I6327" t="str">
        <f t="shared" si="2924"/>
        <v>14/10/2025</v>
      </c>
      <c r="J6327" t="str">
        <f t="shared" si="2925"/>
        <v>24/10/2025</v>
      </c>
      <c r="M6327">
        <v>303</v>
      </c>
      <c r="N6327" t="str">
        <f t="shared" si="2926"/>
        <v>RECEITAS COM ENTREGAS</v>
      </c>
      <c r="P6327">
        <v>292.13</v>
      </c>
      <c r="Q6327" t="str">
        <f>"FARMÁCIA INDIANA LJ 109 (10047)"</f>
        <v>FARMÁCIA INDIANA LJ 109 (10047)</v>
      </c>
      <c r="R6327" t="str">
        <f t="shared" si="2927"/>
        <v>RECEITAS COM ENTREGAS (303)</v>
      </c>
      <c r="S6327">
        <v>2804</v>
      </c>
      <c r="T6327">
        <v>2285</v>
      </c>
      <c r="U6327" t="s">
        <v>19</v>
      </c>
    </row>
    <row r="6328" spans="1:21">
      <c r="A6328" t="str">
        <f t="shared" si="2918"/>
        <v>24/10/2025</v>
      </c>
      <c r="B6328" t="str">
        <f t="shared" si="2928"/>
        <v>ENTRADA</v>
      </c>
      <c r="C6328" t="str">
        <f t="shared" si="2919"/>
        <v>NFSE</v>
      </c>
      <c r="D6328" t="str">
        <f t="shared" si="2920"/>
        <v>3610</v>
      </c>
      <c r="E6328" t="str">
        <f t="shared" si="2917"/>
        <v>COM</v>
      </c>
      <c r="F6328" t="str">
        <f t="shared" si="2921"/>
        <v>FARMÁCIA INDIANA LJ 1 (10126)</v>
      </c>
      <c r="G6328" t="str">
        <f t="shared" si="2922"/>
        <v>Serv.Prest. 06/10/2025 a 12/10/2025 - RPS: 1374 - NFSe: 3610</v>
      </c>
      <c r="H6328" t="str">
        <f t="shared" si="2923"/>
        <v>22/10/2025</v>
      </c>
      <c r="I6328" t="str">
        <f t="shared" si="2924"/>
        <v>14/10/2025</v>
      </c>
      <c r="J6328" t="str">
        <f t="shared" si="2925"/>
        <v>24/10/2025</v>
      </c>
      <c r="M6328">
        <v>303</v>
      </c>
      <c r="N6328" t="str">
        <f t="shared" si="2926"/>
        <v>RECEITAS COM ENTREGAS</v>
      </c>
      <c r="P6328">
        <v>340.82</v>
      </c>
      <c r="Q6328" t="str">
        <f>"FARMÁCIA INDIANA LJ 110 (10048)"</f>
        <v>FARMÁCIA INDIANA LJ 110 (10048)</v>
      </c>
      <c r="R6328" t="str">
        <f t="shared" si="2927"/>
        <v>RECEITAS COM ENTREGAS (303)</v>
      </c>
      <c r="S6328">
        <v>2804</v>
      </c>
      <c r="T6328">
        <v>2285</v>
      </c>
      <c r="U6328" t="s">
        <v>19</v>
      </c>
    </row>
    <row r="6329" spans="1:21">
      <c r="A6329" t="str">
        <f t="shared" si="2918"/>
        <v>24/10/2025</v>
      </c>
      <c r="B6329" t="str">
        <f t="shared" si="2928"/>
        <v>ENTRADA</v>
      </c>
      <c r="C6329" t="str">
        <f t="shared" si="2919"/>
        <v>NFSE</v>
      </c>
      <c r="D6329" t="str">
        <f t="shared" si="2920"/>
        <v>3610</v>
      </c>
      <c r="E6329" t="str">
        <f t="shared" si="2917"/>
        <v>COM</v>
      </c>
      <c r="F6329" t="str">
        <f t="shared" si="2921"/>
        <v>FARMÁCIA INDIANA LJ 1 (10126)</v>
      </c>
      <c r="G6329" t="str">
        <f t="shared" si="2922"/>
        <v>Serv.Prest. 06/10/2025 a 12/10/2025 - RPS: 1374 - NFSe: 3610</v>
      </c>
      <c r="H6329" t="str">
        <f t="shared" si="2923"/>
        <v>22/10/2025</v>
      </c>
      <c r="I6329" t="str">
        <f t="shared" si="2924"/>
        <v>14/10/2025</v>
      </c>
      <c r="J6329" t="str">
        <f t="shared" si="2925"/>
        <v>24/10/2025</v>
      </c>
      <c r="M6329">
        <v>303</v>
      </c>
      <c r="N6329" t="str">
        <f t="shared" si="2926"/>
        <v>RECEITAS COM ENTREGAS</v>
      </c>
      <c r="P6329">
        <v>65.87</v>
      </c>
      <c r="Q6329" t="str">
        <f>"FARMÁCIA INDIANA LJ 111 (10049)"</f>
        <v>FARMÁCIA INDIANA LJ 111 (10049)</v>
      </c>
      <c r="R6329" t="str">
        <f t="shared" si="2927"/>
        <v>RECEITAS COM ENTREGAS (303)</v>
      </c>
      <c r="S6329">
        <v>2804</v>
      </c>
      <c r="T6329">
        <v>2285</v>
      </c>
      <c r="U6329" t="s">
        <v>19</v>
      </c>
    </row>
    <row r="6330" spans="1:21">
      <c r="A6330" t="str">
        <f t="shared" si="2918"/>
        <v>24/10/2025</v>
      </c>
      <c r="B6330" t="str">
        <f t="shared" si="2928"/>
        <v>ENTRADA</v>
      </c>
      <c r="C6330" t="str">
        <f t="shared" si="2919"/>
        <v>NFSE</v>
      </c>
      <c r="D6330" t="str">
        <f t="shared" si="2920"/>
        <v>3610</v>
      </c>
      <c r="E6330" t="str">
        <f t="shared" si="2917"/>
        <v>COM</v>
      </c>
      <c r="F6330" t="str">
        <f t="shared" si="2921"/>
        <v>FARMÁCIA INDIANA LJ 1 (10126)</v>
      </c>
      <c r="G6330" t="str">
        <f t="shared" si="2922"/>
        <v>Serv.Prest. 06/10/2025 a 12/10/2025 - RPS: 1374 - NFSe: 3610</v>
      </c>
      <c r="H6330" t="str">
        <f t="shared" si="2923"/>
        <v>22/10/2025</v>
      </c>
      <c r="I6330" t="str">
        <f t="shared" si="2924"/>
        <v>14/10/2025</v>
      </c>
      <c r="J6330" t="str">
        <f t="shared" si="2925"/>
        <v>24/10/2025</v>
      </c>
      <c r="M6330">
        <v>303</v>
      </c>
      <c r="N6330" t="str">
        <f t="shared" si="2926"/>
        <v>RECEITAS COM ENTREGAS</v>
      </c>
      <c r="P6330">
        <v>150.36000000000001</v>
      </c>
      <c r="Q6330" t="str">
        <f>"FARMÁCIA INDIANA LJ 112 (10050)"</f>
        <v>FARMÁCIA INDIANA LJ 112 (10050)</v>
      </c>
      <c r="R6330" t="str">
        <f t="shared" si="2927"/>
        <v>RECEITAS COM ENTREGAS (303)</v>
      </c>
      <c r="S6330">
        <v>2804</v>
      </c>
      <c r="T6330">
        <v>2285</v>
      </c>
      <c r="U6330" t="s">
        <v>19</v>
      </c>
    </row>
    <row r="6331" spans="1:21">
      <c r="A6331" t="str">
        <f t="shared" si="2918"/>
        <v>24/10/2025</v>
      </c>
      <c r="B6331" t="str">
        <f t="shared" si="2928"/>
        <v>ENTRADA</v>
      </c>
      <c r="C6331" t="str">
        <f t="shared" si="2919"/>
        <v>NFSE</v>
      </c>
      <c r="D6331" t="str">
        <f t="shared" si="2920"/>
        <v>3610</v>
      </c>
      <c r="E6331" t="str">
        <f t="shared" si="2917"/>
        <v>COM</v>
      </c>
      <c r="F6331" t="str">
        <f t="shared" si="2921"/>
        <v>FARMÁCIA INDIANA LJ 1 (10126)</v>
      </c>
      <c r="G6331" t="str">
        <f t="shared" si="2922"/>
        <v>Serv.Prest. 06/10/2025 a 12/10/2025 - RPS: 1374 - NFSe: 3610</v>
      </c>
      <c r="H6331" t="str">
        <f t="shared" si="2923"/>
        <v>22/10/2025</v>
      </c>
      <c r="I6331" t="str">
        <f t="shared" si="2924"/>
        <v>14/10/2025</v>
      </c>
      <c r="J6331" t="str">
        <f t="shared" si="2925"/>
        <v>24/10/2025</v>
      </c>
      <c r="M6331">
        <v>303</v>
      </c>
      <c r="N6331" t="str">
        <f t="shared" si="2926"/>
        <v>RECEITAS COM ENTREGAS</v>
      </c>
      <c r="P6331">
        <v>150.36000000000001</v>
      </c>
      <c r="Q6331" t="str">
        <f>"FARMÁCIA INDIANA LJ 116 (10051)"</f>
        <v>FARMÁCIA INDIANA LJ 116 (10051)</v>
      </c>
      <c r="R6331" t="str">
        <f t="shared" si="2927"/>
        <v>RECEITAS COM ENTREGAS (303)</v>
      </c>
      <c r="S6331">
        <v>2804</v>
      </c>
      <c r="T6331">
        <v>2285</v>
      </c>
      <c r="U6331" t="s">
        <v>19</v>
      </c>
    </row>
    <row r="6332" spans="1:21">
      <c r="A6332" t="str">
        <f t="shared" si="2918"/>
        <v>24/10/2025</v>
      </c>
      <c r="B6332" t="str">
        <f t="shared" si="2928"/>
        <v>ENTRADA</v>
      </c>
      <c r="C6332" t="str">
        <f t="shared" si="2919"/>
        <v>NFSE</v>
      </c>
      <c r="D6332" t="str">
        <f t="shared" si="2920"/>
        <v>3610</v>
      </c>
      <c r="E6332" t="str">
        <f t="shared" si="2917"/>
        <v>COM</v>
      </c>
      <c r="F6332" t="str">
        <f t="shared" si="2921"/>
        <v>FARMÁCIA INDIANA LJ 1 (10126)</v>
      </c>
      <c r="G6332" t="str">
        <f t="shared" si="2922"/>
        <v>Serv.Prest. 06/10/2025 a 12/10/2025 - RPS: 1374 - NFSe: 3610</v>
      </c>
      <c r="H6332" t="str">
        <f t="shared" si="2923"/>
        <v>22/10/2025</v>
      </c>
      <c r="I6332" t="str">
        <f t="shared" si="2924"/>
        <v>14/10/2025</v>
      </c>
      <c r="J6332" t="str">
        <f t="shared" si="2925"/>
        <v>24/10/2025</v>
      </c>
      <c r="M6332">
        <v>303</v>
      </c>
      <c r="N6332" t="str">
        <f t="shared" si="2926"/>
        <v>RECEITAS COM ENTREGAS</v>
      </c>
      <c r="P6332">
        <v>121.72</v>
      </c>
      <c r="Q6332" t="str">
        <f>"FARMÁCIA INDIANA LJ 118 (10052)"</f>
        <v>FARMÁCIA INDIANA LJ 118 (10052)</v>
      </c>
      <c r="R6332" t="str">
        <f t="shared" si="2927"/>
        <v>RECEITAS COM ENTREGAS (303)</v>
      </c>
      <c r="S6332">
        <v>2804</v>
      </c>
      <c r="T6332">
        <v>2285</v>
      </c>
      <c r="U6332" t="s">
        <v>19</v>
      </c>
    </row>
    <row r="6333" spans="1:21">
      <c r="A6333" t="str">
        <f t="shared" si="2918"/>
        <v>24/10/2025</v>
      </c>
      <c r="B6333" t="str">
        <f t="shared" si="2928"/>
        <v>ENTRADA</v>
      </c>
      <c r="C6333" t="str">
        <f t="shared" si="2919"/>
        <v>NFSE</v>
      </c>
      <c r="D6333" t="str">
        <f t="shared" si="2920"/>
        <v>3610</v>
      </c>
      <c r="E6333" t="str">
        <f t="shared" si="2917"/>
        <v>COM</v>
      </c>
      <c r="F6333" t="str">
        <f t="shared" si="2921"/>
        <v>FARMÁCIA INDIANA LJ 1 (10126)</v>
      </c>
      <c r="G6333" t="str">
        <f t="shared" si="2922"/>
        <v>Serv.Prest. 06/10/2025 a 12/10/2025 - RPS: 1374 - NFSe: 3610</v>
      </c>
      <c r="H6333" t="str">
        <f t="shared" si="2923"/>
        <v>22/10/2025</v>
      </c>
      <c r="I6333" t="str">
        <f t="shared" si="2924"/>
        <v>14/10/2025</v>
      </c>
      <c r="J6333" t="str">
        <f t="shared" si="2925"/>
        <v>24/10/2025</v>
      </c>
      <c r="M6333">
        <v>303</v>
      </c>
      <c r="N6333" t="str">
        <f t="shared" si="2926"/>
        <v>RECEITAS COM ENTREGAS</v>
      </c>
      <c r="P6333">
        <v>150.36000000000001</v>
      </c>
      <c r="Q6333" t="str">
        <f>"FARMÁCIA INDIANA LJ 121 (10054)"</f>
        <v>FARMÁCIA INDIANA LJ 121 (10054)</v>
      </c>
      <c r="R6333" t="str">
        <f t="shared" si="2927"/>
        <v>RECEITAS COM ENTREGAS (303)</v>
      </c>
      <c r="S6333">
        <v>2804</v>
      </c>
      <c r="T6333">
        <v>2285</v>
      </c>
      <c r="U6333" t="s">
        <v>19</v>
      </c>
    </row>
    <row r="6334" spans="1:21">
      <c r="A6334" t="str">
        <f t="shared" si="2918"/>
        <v>24/10/2025</v>
      </c>
      <c r="B6334" t="str">
        <f t="shared" si="2928"/>
        <v>ENTRADA</v>
      </c>
      <c r="C6334" t="str">
        <f t="shared" si="2919"/>
        <v>NFSE</v>
      </c>
      <c r="D6334" t="str">
        <f t="shared" si="2920"/>
        <v>3610</v>
      </c>
      <c r="E6334" t="str">
        <f t="shared" si="2917"/>
        <v>COM</v>
      </c>
      <c r="F6334" t="str">
        <f t="shared" si="2921"/>
        <v>FARMÁCIA INDIANA LJ 1 (10126)</v>
      </c>
      <c r="G6334" t="str">
        <f t="shared" si="2922"/>
        <v>Serv.Prest. 06/10/2025 a 12/10/2025 - RPS: 1374 - NFSe: 3610</v>
      </c>
      <c r="H6334" t="str">
        <f t="shared" si="2923"/>
        <v>22/10/2025</v>
      </c>
      <c r="I6334" t="str">
        <f t="shared" si="2924"/>
        <v>14/10/2025</v>
      </c>
      <c r="J6334" t="str">
        <f t="shared" si="2925"/>
        <v>24/10/2025</v>
      </c>
      <c r="M6334">
        <v>303</v>
      </c>
      <c r="N6334" t="str">
        <f t="shared" si="2926"/>
        <v>RECEITAS COM ENTREGAS</v>
      </c>
      <c r="P6334">
        <v>150.36000000000001</v>
      </c>
      <c r="Q6334" t="str">
        <f>"FARMÁCIA INDIANA LJ 128 (10057)"</f>
        <v>FARMÁCIA INDIANA LJ 128 (10057)</v>
      </c>
      <c r="R6334" t="str">
        <f t="shared" si="2927"/>
        <v>RECEITAS COM ENTREGAS (303)</v>
      </c>
      <c r="S6334">
        <v>2804</v>
      </c>
      <c r="T6334">
        <v>2285</v>
      </c>
      <c r="U6334" t="s">
        <v>19</v>
      </c>
    </row>
    <row r="6335" spans="1:21">
      <c r="A6335" t="str">
        <f t="shared" si="2918"/>
        <v>24/10/2025</v>
      </c>
      <c r="B6335" t="str">
        <f t="shared" si="2928"/>
        <v>ENTRADA</v>
      </c>
      <c r="C6335" t="str">
        <f t="shared" si="2919"/>
        <v>NFSE</v>
      </c>
      <c r="D6335" t="str">
        <f t="shared" si="2920"/>
        <v>3610</v>
      </c>
      <c r="E6335" t="str">
        <f t="shared" si="2917"/>
        <v>COM</v>
      </c>
      <c r="F6335" t="str">
        <f t="shared" si="2921"/>
        <v>FARMÁCIA INDIANA LJ 1 (10126)</v>
      </c>
      <c r="G6335" t="str">
        <f t="shared" si="2922"/>
        <v>Serv.Prest. 06/10/2025 a 12/10/2025 - RPS: 1374 - NFSe: 3610</v>
      </c>
      <c r="H6335" t="str">
        <f t="shared" si="2923"/>
        <v>22/10/2025</v>
      </c>
      <c r="I6335" t="str">
        <f t="shared" si="2924"/>
        <v>14/10/2025</v>
      </c>
      <c r="J6335" t="str">
        <f t="shared" si="2925"/>
        <v>24/10/2025</v>
      </c>
      <c r="M6335">
        <v>303</v>
      </c>
      <c r="N6335" t="str">
        <f t="shared" si="2926"/>
        <v>RECEITAS COM ENTREGAS</v>
      </c>
      <c r="P6335">
        <v>55.85</v>
      </c>
      <c r="Q6335" t="str">
        <f>"FARMÁCIA INDIANA LJ 140 (10064)"</f>
        <v>FARMÁCIA INDIANA LJ 140 (10064)</v>
      </c>
      <c r="R6335" t="str">
        <f t="shared" si="2927"/>
        <v>RECEITAS COM ENTREGAS (303)</v>
      </c>
      <c r="S6335">
        <v>2804</v>
      </c>
      <c r="T6335">
        <v>2285</v>
      </c>
      <c r="U6335" t="s">
        <v>19</v>
      </c>
    </row>
    <row r="6336" spans="1:21">
      <c r="A6336" t="str">
        <f t="shared" si="2918"/>
        <v>24/10/2025</v>
      </c>
      <c r="B6336" t="str">
        <f t="shared" si="2928"/>
        <v>ENTRADA</v>
      </c>
      <c r="C6336" t="str">
        <f t="shared" si="2919"/>
        <v>NFSE</v>
      </c>
      <c r="D6336" t="str">
        <f t="shared" si="2920"/>
        <v>3610</v>
      </c>
      <c r="E6336" t="str">
        <f t="shared" si="2917"/>
        <v>COM</v>
      </c>
      <c r="F6336" t="str">
        <f t="shared" si="2921"/>
        <v>FARMÁCIA INDIANA LJ 1 (10126)</v>
      </c>
      <c r="G6336" t="str">
        <f t="shared" si="2922"/>
        <v>Serv.Prest. 06/10/2025 a 12/10/2025 - RPS: 1374 - NFSe: 3610</v>
      </c>
      <c r="H6336" t="str">
        <f t="shared" si="2923"/>
        <v>22/10/2025</v>
      </c>
      <c r="I6336" t="str">
        <f t="shared" si="2924"/>
        <v>14/10/2025</v>
      </c>
      <c r="J6336" t="str">
        <f t="shared" si="2925"/>
        <v>24/10/2025</v>
      </c>
      <c r="M6336">
        <v>303</v>
      </c>
      <c r="N6336" t="str">
        <f t="shared" si="2926"/>
        <v>RECEITAS COM ENTREGAS</v>
      </c>
      <c r="P6336">
        <v>21.48</v>
      </c>
      <c r="Q6336" t="str">
        <f>"FARMÁCIA INDIANA LJ 141 (10065)"</f>
        <v>FARMÁCIA INDIANA LJ 141 (10065)</v>
      </c>
      <c r="R6336" t="str">
        <f t="shared" si="2927"/>
        <v>RECEITAS COM ENTREGAS (303)</v>
      </c>
      <c r="S6336">
        <v>2804</v>
      </c>
      <c r="T6336">
        <v>2285</v>
      </c>
      <c r="U6336" t="s">
        <v>19</v>
      </c>
    </row>
    <row r="6337" spans="1:21">
      <c r="A6337" t="str">
        <f t="shared" si="2918"/>
        <v>24/10/2025</v>
      </c>
      <c r="B6337" t="str">
        <f t="shared" si="2928"/>
        <v>ENTRADA</v>
      </c>
      <c r="C6337" t="str">
        <f t="shared" si="2919"/>
        <v>NFSE</v>
      </c>
      <c r="D6337" t="str">
        <f t="shared" si="2920"/>
        <v>3610</v>
      </c>
      <c r="E6337" t="str">
        <f t="shared" si="2917"/>
        <v>COM</v>
      </c>
      <c r="F6337" t="str">
        <f t="shared" si="2921"/>
        <v>FARMÁCIA INDIANA LJ 1 (10126)</v>
      </c>
      <c r="G6337" t="str">
        <f t="shared" si="2922"/>
        <v>Serv.Prest. 06/10/2025 a 12/10/2025 - RPS: 1374 - NFSe: 3610</v>
      </c>
      <c r="H6337" t="str">
        <f t="shared" si="2923"/>
        <v>22/10/2025</v>
      </c>
      <c r="I6337" t="str">
        <f t="shared" si="2924"/>
        <v>14/10/2025</v>
      </c>
      <c r="J6337" t="str">
        <f t="shared" si="2925"/>
        <v>24/10/2025</v>
      </c>
      <c r="M6337">
        <v>303</v>
      </c>
      <c r="N6337" t="str">
        <f t="shared" si="2926"/>
        <v>RECEITAS COM ENTREGAS</v>
      </c>
      <c r="P6337">
        <v>738.91</v>
      </c>
      <c r="Q6337" t="str">
        <f>"FARMÁCIA INDIANA LJ 142 (10066)"</f>
        <v>FARMÁCIA INDIANA LJ 142 (10066)</v>
      </c>
      <c r="R6337" t="str">
        <f t="shared" si="2927"/>
        <v>RECEITAS COM ENTREGAS (303)</v>
      </c>
      <c r="S6337">
        <v>2804</v>
      </c>
      <c r="T6337">
        <v>2285</v>
      </c>
      <c r="U6337" t="s">
        <v>19</v>
      </c>
    </row>
    <row r="6338" spans="1:21">
      <c r="A6338" t="str">
        <f t="shared" si="2918"/>
        <v>24/10/2025</v>
      </c>
      <c r="B6338" t="str">
        <f t="shared" si="2928"/>
        <v>ENTRADA</v>
      </c>
      <c r="C6338" t="str">
        <f t="shared" si="2919"/>
        <v>NFSE</v>
      </c>
      <c r="D6338" t="str">
        <f t="shared" si="2920"/>
        <v>3610</v>
      </c>
      <c r="E6338" t="str">
        <f t="shared" si="2917"/>
        <v>COM</v>
      </c>
      <c r="F6338" t="str">
        <f t="shared" si="2921"/>
        <v>FARMÁCIA INDIANA LJ 1 (10126)</v>
      </c>
      <c r="G6338" t="str">
        <f t="shared" si="2922"/>
        <v>Serv.Prest. 06/10/2025 a 12/10/2025 - RPS: 1374 - NFSe: 3610</v>
      </c>
      <c r="H6338" t="str">
        <f t="shared" si="2923"/>
        <v>22/10/2025</v>
      </c>
      <c r="I6338" t="str">
        <f t="shared" si="2924"/>
        <v>14/10/2025</v>
      </c>
      <c r="J6338" t="str">
        <f t="shared" si="2925"/>
        <v>24/10/2025</v>
      </c>
      <c r="M6338">
        <v>303</v>
      </c>
      <c r="N6338" t="str">
        <f t="shared" si="2926"/>
        <v>RECEITAS COM ENTREGAS</v>
      </c>
      <c r="P6338">
        <v>67.3</v>
      </c>
      <c r="Q6338" t="str">
        <f>"FARMÁCIA INDIANA LJ 143 (10067)"</f>
        <v>FARMÁCIA INDIANA LJ 143 (10067)</v>
      </c>
      <c r="R6338" t="str">
        <f t="shared" si="2927"/>
        <v>RECEITAS COM ENTREGAS (303)</v>
      </c>
      <c r="S6338">
        <v>2804</v>
      </c>
      <c r="T6338">
        <v>2285</v>
      </c>
      <c r="U6338" t="s">
        <v>19</v>
      </c>
    </row>
    <row r="6339" spans="1:21">
      <c r="A6339" t="str">
        <f t="shared" si="2918"/>
        <v>24/10/2025</v>
      </c>
      <c r="B6339" t="str">
        <f t="shared" si="2928"/>
        <v>ENTRADA</v>
      </c>
      <c r="C6339" t="str">
        <f t="shared" si="2919"/>
        <v>NFSE</v>
      </c>
      <c r="D6339" t="str">
        <f t="shared" si="2920"/>
        <v>3610</v>
      </c>
      <c r="E6339" t="str">
        <f t="shared" si="2917"/>
        <v>COM</v>
      </c>
      <c r="F6339" t="str">
        <f t="shared" si="2921"/>
        <v>FARMÁCIA INDIANA LJ 1 (10126)</v>
      </c>
      <c r="G6339" t="str">
        <f t="shared" si="2922"/>
        <v>Serv.Prest. 06/10/2025 a 12/10/2025 - RPS: 1374 - NFSe: 3610</v>
      </c>
      <c r="H6339" t="str">
        <f t="shared" si="2923"/>
        <v>22/10/2025</v>
      </c>
      <c r="I6339" t="str">
        <f t="shared" si="2924"/>
        <v>14/10/2025</v>
      </c>
      <c r="J6339" t="str">
        <f t="shared" si="2925"/>
        <v>24/10/2025</v>
      </c>
      <c r="M6339">
        <v>303</v>
      </c>
      <c r="N6339" t="str">
        <f t="shared" si="2926"/>
        <v>RECEITAS COM ENTREGAS</v>
      </c>
      <c r="P6339">
        <v>451.08</v>
      </c>
      <c r="Q6339" t="str">
        <f>"FARMÁCIA INDIANA LJ 152 (10069)"</f>
        <v>FARMÁCIA INDIANA LJ 152 (10069)</v>
      </c>
      <c r="R6339" t="str">
        <f t="shared" si="2927"/>
        <v>RECEITAS COM ENTREGAS (303)</v>
      </c>
      <c r="S6339">
        <v>2804</v>
      </c>
      <c r="T6339">
        <v>2285</v>
      </c>
      <c r="U6339" t="s">
        <v>19</v>
      </c>
    </row>
    <row r="6340" spans="1:21">
      <c r="A6340" t="str">
        <f t="shared" si="2918"/>
        <v>24/10/2025</v>
      </c>
      <c r="B6340" t="str">
        <f t="shared" si="2928"/>
        <v>ENTRADA</v>
      </c>
      <c r="C6340" t="str">
        <f t="shared" si="2919"/>
        <v>NFSE</v>
      </c>
      <c r="D6340" t="str">
        <f t="shared" si="2920"/>
        <v>3610</v>
      </c>
      <c r="E6340" t="str">
        <f t="shared" si="2917"/>
        <v>COM</v>
      </c>
      <c r="F6340" t="str">
        <f t="shared" si="2921"/>
        <v>FARMÁCIA INDIANA LJ 1 (10126)</v>
      </c>
      <c r="G6340" t="str">
        <f t="shared" si="2922"/>
        <v>Serv.Prest. 06/10/2025 a 12/10/2025 - RPS: 1374 - NFSe: 3610</v>
      </c>
      <c r="H6340" t="str">
        <f t="shared" si="2923"/>
        <v>22/10/2025</v>
      </c>
      <c r="I6340" t="str">
        <f t="shared" si="2924"/>
        <v>14/10/2025</v>
      </c>
      <c r="J6340" t="str">
        <f t="shared" si="2925"/>
        <v>24/10/2025</v>
      </c>
      <c r="M6340">
        <v>303</v>
      </c>
      <c r="N6340" t="str">
        <f t="shared" si="2926"/>
        <v>RECEITAS COM ENTREGAS</v>
      </c>
      <c r="P6340">
        <v>52.98</v>
      </c>
      <c r="Q6340" t="str">
        <f>"FARMÁCIA INDIANA LJ 154 (10070)"</f>
        <v>FARMÁCIA INDIANA LJ 154 (10070)</v>
      </c>
      <c r="R6340" t="str">
        <f t="shared" si="2927"/>
        <v>RECEITAS COM ENTREGAS (303)</v>
      </c>
      <c r="S6340">
        <v>2804</v>
      </c>
      <c r="T6340">
        <v>2285</v>
      </c>
      <c r="U6340" t="s">
        <v>19</v>
      </c>
    </row>
    <row r="6341" spans="1:21">
      <c r="A6341" t="str">
        <f t="shared" si="2918"/>
        <v>24/10/2025</v>
      </c>
      <c r="B6341" t="str">
        <f t="shared" si="2928"/>
        <v>ENTRADA</v>
      </c>
      <c r="C6341" t="str">
        <f t="shared" si="2919"/>
        <v>NFSE</v>
      </c>
      <c r="D6341" t="str">
        <f t="shared" si="2920"/>
        <v>3610</v>
      </c>
      <c r="E6341" t="str">
        <f t="shared" si="2917"/>
        <v>COM</v>
      </c>
      <c r="F6341" t="str">
        <f t="shared" si="2921"/>
        <v>FARMÁCIA INDIANA LJ 1 (10126)</v>
      </c>
      <c r="G6341" t="str">
        <f t="shared" si="2922"/>
        <v>Serv.Prest. 06/10/2025 a 12/10/2025 - RPS: 1374 - NFSe: 3610</v>
      </c>
      <c r="H6341" t="str">
        <f t="shared" si="2923"/>
        <v>22/10/2025</v>
      </c>
      <c r="I6341" t="str">
        <f t="shared" si="2924"/>
        <v>14/10/2025</v>
      </c>
      <c r="J6341" t="str">
        <f t="shared" si="2925"/>
        <v>24/10/2025</v>
      </c>
      <c r="M6341">
        <v>303</v>
      </c>
      <c r="N6341" t="str">
        <f t="shared" si="2926"/>
        <v>RECEITAS COM ENTREGAS</v>
      </c>
      <c r="P6341">
        <v>320.77</v>
      </c>
      <c r="Q6341" t="str">
        <f>"FARMÁCIA INDIANA LJ 171 (10074)"</f>
        <v>FARMÁCIA INDIANA LJ 171 (10074)</v>
      </c>
      <c r="R6341" t="str">
        <f t="shared" si="2927"/>
        <v>RECEITAS COM ENTREGAS (303)</v>
      </c>
      <c r="S6341">
        <v>2804</v>
      </c>
      <c r="T6341">
        <v>2285</v>
      </c>
      <c r="U6341" t="s">
        <v>19</v>
      </c>
    </row>
    <row r="6342" spans="1:21">
      <c r="A6342" t="str">
        <f t="shared" si="2918"/>
        <v>24/10/2025</v>
      </c>
      <c r="B6342" t="str">
        <f t="shared" si="2928"/>
        <v>ENTRADA</v>
      </c>
      <c r="C6342" t="str">
        <f t="shared" si="2919"/>
        <v>NFSE</v>
      </c>
      <c r="D6342" t="str">
        <f t="shared" si="2920"/>
        <v>3610</v>
      </c>
      <c r="E6342" t="str">
        <f t="shared" si="2917"/>
        <v>COM</v>
      </c>
      <c r="F6342" t="str">
        <f t="shared" si="2921"/>
        <v>FARMÁCIA INDIANA LJ 1 (10126)</v>
      </c>
      <c r="G6342" t="str">
        <f t="shared" si="2922"/>
        <v>Serv.Prest. 06/10/2025 a 12/10/2025 - RPS: 1374 - NFSe: 3610</v>
      </c>
      <c r="H6342" t="str">
        <f t="shared" si="2923"/>
        <v>22/10/2025</v>
      </c>
      <c r="I6342" t="str">
        <f t="shared" si="2924"/>
        <v>14/10/2025</v>
      </c>
      <c r="J6342" t="str">
        <f t="shared" si="2925"/>
        <v>24/10/2025</v>
      </c>
      <c r="M6342">
        <v>303</v>
      </c>
      <c r="N6342" t="str">
        <f t="shared" si="2926"/>
        <v>RECEITAS COM ENTREGAS</v>
      </c>
      <c r="P6342">
        <v>123.15</v>
      </c>
      <c r="Q6342" t="str">
        <f>"FARMÁCIA INDIANA LJ 175 (10076)"</f>
        <v>FARMÁCIA INDIANA LJ 175 (10076)</v>
      </c>
      <c r="R6342" t="str">
        <f t="shared" si="2927"/>
        <v>RECEITAS COM ENTREGAS (303)</v>
      </c>
      <c r="S6342">
        <v>2804</v>
      </c>
      <c r="T6342">
        <v>2285</v>
      </c>
      <c r="U6342" t="s">
        <v>19</v>
      </c>
    </row>
    <row r="6343" spans="1:21">
      <c r="A6343" t="str">
        <f t="shared" ref="A6343:A6370" si="2929">("24/10/2025")</f>
        <v>24/10/2025</v>
      </c>
      <c r="B6343" t="str">
        <f t="shared" si="2928"/>
        <v>ENTRADA</v>
      </c>
      <c r="C6343" t="str">
        <f t="shared" ref="C6343:C6366" si="2930">"NFSE"</f>
        <v>NFSE</v>
      </c>
      <c r="D6343" t="str">
        <f t="shared" si="2920"/>
        <v>3610</v>
      </c>
      <c r="E6343" t="str">
        <f t="shared" si="2917"/>
        <v>COM</v>
      </c>
      <c r="F6343" t="str">
        <f t="shared" si="2921"/>
        <v>FARMÁCIA INDIANA LJ 1 (10126)</v>
      </c>
      <c r="G6343" t="str">
        <f t="shared" si="2922"/>
        <v>Serv.Prest. 06/10/2025 a 12/10/2025 - RPS: 1374 - NFSe: 3610</v>
      </c>
      <c r="H6343" t="str">
        <f t="shared" si="2923"/>
        <v>22/10/2025</v>
      </c>
      <c r="I6343" t="str">
        <f t="shared" si="2924"/>
        <v>14/10/2025</v>
      </c>
      <c r="J6343" t="str">
        <f t="shared" ref="J6343:J6370" si="2931">("24/10/2025")</f>
        <v>24/10/2025</v>
      </c>
      <c r="M6343">
        <v>303</v>
      </c>
      <c r="N6343" t="str">
        <f t="shared" ref="N6343:N6366" si="2932">"RECEITAS COM ENTREGAS"</f>
        <v>RECEITAS COM ENTREGAS</v>
      </c>
      <c r="P6343">
        <v>131.74</v>
      </c>
      <c r="Q6343" t="str">
        <f>"FARMÁCIA INDIANA LJ 178 (10077)"</f>
        <v>FARMÁCIA INDIANA LJ 178 (10077)</v>
      </c>
      <c r="R6343" t="str">
        <f t="shared" ref="R6343:R6366" si="2933">"RECEITAS COM ENTREGAS (303)"</f>
        <v>RECEITAS COM ENTREGAS (303)</v>
      </c>
      <c r="S6343">
        <v>2804</v>
      </c>
      <c r="T6343">
        <v>2285</v>
      </c>
      <c r="U6343" t="s">
        <v>19</v>
      </c>
    </row>
    <row r="6344" spans="1:21">
      <c r="A6344" t="str">
        <f t="shared" si="2929"/>
        <v>24/10/2025</v>
      </c>
      <c r="B6344" t="str">
        <f t="shared" si="2928"/>
        <v>ENTRADA</v>
      </c>
      <c r="C6344" t="str">
        <f t="shared" si="2930"/>
        <v>NFSE</v>
      </c>
      <c r="D6344" t="str">
        <f t="shared" si="2920"/>
        <v>3610</v>
      </c>
      <c r="E6344" t="str">
        <f t="shared" si="2917"/>
        <v>COM</v>
      </c>
      <c r="F6344" t="str">
        <f t="shared" si="2921"/>
        <v>FARMÁCIA INDIANA LJ 1 (10126)</v>
      </c>
      <c r="G6344" t="str">
        <f t="shared" si="2922"/>
        <v>Serv.Prest. 06/10/2025 a 12/10/2025 - RPS: 1374 - NFSe: 3610</v>
      </c>
      <c r="H6344" t="str">
        <f t="shared" si="2923"/>
        <v>22/10/2025</v>
      </c>
      <c r="I6344" t="str">
        <f t="shared" si="2924"/>
        <v>14/10/2025</v>
      </c>
      <c r="J6344" t="str">
        <f t="shared" si="2931"/>
        <v>24/10/2025</v>
      </c>
      <c r="M6344">
        <v>303</v>
      </c>
      <c r="N6344" t="str">
        <f t="shared" si="2932"/>
        <v>RECEITAS COM ENTREGAS</v>
      </c>
      <c r="P6344">
        <v>80.19</v>
      </c>
      <c r="Q6344" t="str">
        <f>"FARMÁCIA INDIANA LJ 182 (10079)"</f>
        <v>FARMÁCIA INDIANA LJ 182 (10079)</v>
      </c>
      <c r="R6344" t="str">
        <f t="shared" si="2933"/>
        <v>RECEITAS COM ENTREGAS (303)</v>
      </c>
      <c r="S6344">
        <v>2804</v>
      </c>
      <c r="T6344">
        <v>2285</v>
      </c>
      <c r="U6344" t="s">
        <v>19</v>
      </c>
    </row>
    <row r="6345" spans="1:21">
      <c r="A6345" t="str">
        <f t="shared" si="2929"/>
        <v>24/10/2025</v>
      </c>
      <c r="B6345" t="str">
        <f t="shared" si="2928"/>
        <v>ENTRADA</v>
      </c>
      <c r="C6345" t="str">
        <f t="shared" si="2930"/>
        <v>NFSE</v>
      </c>
      <c r="D6345" t="str">
        <f t="shared" si="2920"/>
        <v>3610</v>
      </c>
      <c r="E6345" t="str">
        <f t="shared" si="2917"/>
        <v>COM</v>
      </c>
      <c r="F6345" t="str">
        <f t="shared" si="2921"/>
        <v>FARMÁCIA INDIANA LJ 1 (10126)</v>
      </c>
      <c r="G6345" t="str">
        <f t="shared" si="2922"/>
        <v>Serv.Prest. 06/10/2025 a 12/10/2025 - RPS: 1374 - NFSe: 3610</v>
      </c>
      <c r="H6345" t="str">
        <f t="shared" si="2923"/>
        <v>22/10/2025</v>
      </c>
      <c r="I6345" t="str">
        <f t="shared" si="2924"/>
        <v>14/10/2025</v>
      </c>
      <c r="J6345" t="str">
        <f t="shared" si="2931"/>
        <v>24/10/2025</v>
      </c>
      <c r="M6345">
        <v>303</v>
      </c>
      <c r="N6345" t="str">
        <f t="shared" si="2932"/>
        <v>RECEITAS COM ENTREGAS</v>
      </c>
      <c r="P6345">
        <v>40.1</v>
      </c>
      <c r="Q6345" t="str">
        <f>"FARMÁCIA INDIANA LJ 184 (10080)"</f>
        <v>FARMÁCIA INDIANA LJ 184 (10080)</v>
      </c>
      <c r="R6345" t="str">
        <f t="shared" si="2933"/>
        <v>RECEITAS COM ENTREGAS (303)</v>
      </c>
      <c r="S6345">
        <v>2804</v>
      </c>
      <c r="T6345">
        <v>2285</v>
      </c>
      <c r="U6345" t="s">
        <v>19</v>
      </c>
    </row>
    <row r="6346" spans="1:21">
      <c r="A6346" t="str">
        <f t="shared" si="2929"/>
        <v>24/10/2025</v>
      </c>
      <c r="B6346" t="str">
        <f t="shared" si="2928"/>
        <v>ENTRADA</v>
      </c>
      <c r="C6346" t="str">
        <f t="shared" si="2930"/>
        <v>NFSE</v>
      </c>
      <c r="D6346" t="str">
        <f t="shared" si="2920"/>
        <v>3610</v>
      </c>
      <c r="E6346" t="str">
        <f t="shared" si="2917"/>
        <v>COM</v>
      </c>
      <c r="F6346" t="str">
        <f t="shared" si="2921"/>
        <v>FARMÁCIA INDIANA LJ 1 (10126)</v>
      </c>
      <c r="G6346" t="str">
        <f t="shared" si="2922"/>
        <v>Serv.Prest. 06/10/2025 a 12/10/2025 - RPS: 1374 - NFSe: 3610</v>
      </c>
      <c r="H6346" t="str">
        <f t="shared" si="2923"/>
        <v>22/10/2025</v>
      </c>
      <c r="I6346" t="str">
        <f t="shared" si="2924"/>
        <v>14/10/2025</v>
      </c>
      <c r="J6346" t="str">
        <f t="shared" si="2931"/>
        <v>24/10/2025</v>
      </c>
      <c r="M6346">
        <v>303</v>
      </c>
      <c r="N6346" t="str">
        <f t="shared" si="2932"/>
        <v>RECEITAS COM ENTREGAS</v>
      </c>
      <c r="P6346">
        <v>80.19</v>
      </c>
      <c r="Q6346" t="str">
        <f>"FARMÁCIA INDIANA LJ 186 (10081)"</f>
        <v>FARMÁCIA INDIANA LJ 186 (10081)</v>
      </c>
      <c r="R6346" t="str">
        <f t="shared" si="2933"/>
        <v>RECEITAS COM ENTREGAS (303)</v>
      </c>
      <c r="S6346">
        <v>2804</v>
      </c>
      <c r="T6346">
        <v>2285</v>
      </c>
      <c r="U6346" t="s">
        <v>19</v>
      </c>
    </row>
    <row r="6347" spans="1:21">
      <c r="A6347" t="str">
        <f t="shared" si="2929"/>
        <v>24/10/2025</v>
      </c>
      <c r="B6347" t="str">
        <f t="shared" si="2928"/>
        <v>ENTRADA</v>
      </c>
      <c r="C6347" t="str">
        <f t="shared" si="2930"/>
        <v>NFSE</v>
      </c>
      <c r="D6347" t="str">
        <f t="shared" si="2920"/>
        <v>3610</v>
      </c>
      <c r="E6347" t="str">
        <f t="shared" si="2917"/>
        <v>COM</v>
      </c>
      <c r="F6347" t="str">
        <f t="shared" si="2921"/>
        <v>FARMÁCIA INDIANA LJ 1 (10126)</v>
      </c>
      <c r="G6347" t="str">
        <f t="shared" si="2922"/>
        <v>Serv.Prest. 06/10/2025 a 12/10/2025 - RPS: 1374 - NFSe: 3610</v>
      </c>
      <c r="H6347" t="str">
        <f t="shared" si="2923"/>
        <v>22/10/2025</v>
      </c>
      <c r="I6347" t="str">
        <f t="shared" si="2924"/>
        <v>14/10/2025</v>
      </c>
      <c r="J6347" t="str">
        <f t="shared" si="2931"/>
        <v>24/10/2025</v>
      </c>
      <c r="M6347">
        <v>303</v>
      </c>
      <c r="N6347" t="str">
        <f t="shared" si="2932"/>
        <v>RECEITAS COM ENTREGAS</v>
      </c>
      <c r="P6347">
        <v>95.94</v>
      </c>
      <c r="Q6347" t="str">
        <f>"FARMÁCIA INDIANA LJ 192 (10082)"</f>
        <v>FARMÁCIA INDIANA LJ 192 (10082)</v>
      </c>
      <c r="R6347" t="str">
        <f t="shared" si="2933"/>
        <v>RECEITAS COM ENTREGAS (303)</v>
      </c>
      <c r="S6347">
        <v>2804</v>
      </c>
      <c r="T6347">
        <v>2285</v>
      </c>
      <c r="U6347" t="s">
        <v>19</v>
      </c>
    </row>
    <row r="6348" spans="1:21">
      <c r="A6348" t="str">
        <f t="shared" si="2929"/>
        <v>24/10/2025</v>
      </c>
      <c r="B6348" t="str">
        <f t="shared" si="2928"/>
        <v>ENTRADA</v>
      </c>
      <c r="C6348" t="str">
        <f t="shared" si="2930"/>
        <v>NFSE</v>
      </c>
      <c r="D6348" t="str">
        <f t="shared" si="2920"/>
        <v>3610</v>
      </c>
      <c r="E6348" t="str">
        <f t="shared" si="2917"/>
        <v>COM</v>
      </c>
      <c r="F6348" t="str">
        <f t="shared" si="2921"/>
        <v>FARMÁCIA INDIANA LJ 1 (10126)</v>
      </c>
      <c r="G6348" t="str">
        <f t="shared" si="2922"/>
        <v>Serv.Prest. 06/10/2025 a 12/10/2025 - RPS: 1374 - NFSe: 3610</v>
      </c>
      <c r="H6348" t="str">
        <f t="shared" si="2923"/>
        <v>22/10/2025</v>
      </c>
      <c r="I6348" t="str">
        <f t="shared" si="2924"/>
        <v>14/10/2025</v>
      </c>
      <c r="J6348" t="str">
        <f t="shared" si="2931"/>
        <v>24/10/2025</v>
      </c>
      <c r="M6348">
        <v>303</v>
      </c>
      <c r="N6348" t="str">
        <f t="shared" si="2932"/>
        <v>RECEITAS COM ENTREGAS</v>
      </c>
      <c r="P6348">
        <v>40.1</v>
      </c>
      <c r="Q6348" t="str">
        <f>"FARMÁCIA INDIANA LJ 195 (10083)"</f>
        <v>FARMÁCIA INDIANA LJ 195 (10083)</v>
      </c>
      <c r="R6348" t="str">
        <f t="shared" si="2933"/>
        <v>RECEITAS COM ENTREGAS (303)</v>
      </c>
      <c r="S6348">
        <v>2804</v>
      </c>
      <c r="T6348">
        <v>2285</v>
      </c>
      <c r="U6348" t="s">
        <v>19</v>
      </c>
    </row>
    <row r="6349" spans="1:21">
      <c r="A6349" t="str">
        <f t="shared" si="2929"/>
        <v>24/10/2025</v>
      </c>
      <c r="B6349" t="str">
        <f t="shared" si="2928"/>
        <v>ENTRADA</v>
      </c>
      <c r="C6349" t="str">
        <f t="shared" si="2930"/>
        <v>NFSE</v>
      </c>
      <c r="D6349" t="str">
        <f t="shared" si="2920"/>
        <v>3610</v>
      </c>
      <c r="E6349" t="str">
        <f t="shared" si="2917"/>
        <v>COM</v>
      </c>
      <c r="F6349" t="str">
        <f t="shared" si="2921"/>
        <v>FARMÁCIA INDIANA LJ 1 (10126)</v>
      </c>
      <c r="G6349" t="str">
        <f t="shared" si="2922"/>
        <v>Serv.Prest. 06/10/2025 a 12/10/2025 - RPS: 1374 - NFSe: 3610</v>
      </c>
      <c r="H6349" t="str">
        <f t="shared" si="2923"/>
        <v>22/10/2025</v>
      </c>
      <c r="I6349" t="str">
        <f t="shared" si="2924"/>
        <v>14/10/2025</v>
      </c>
      <c r="J6349" t="str">
        <f t="shared" si="2931"/>
        <v>24/10/2025</v>
      </c>
      <c r="M6349">
        <v>303</v>
      </c>
      <c r="N6349" t="str">
        <f t="shared" si="2932"/>
        <v>RECEITAS COM ENTREGAS</v>
      </c>
      <c r="P6349">
        <v>148.93</v>
      </c>
      <c r="Q6349" t="str">
        <f>"FARMÁCIA INDIANA LJ 202 (10085)"</f>
        <v>FARMÁCIA INDIANA LJ 202 (10085)</v>
      </c>
      <c r="R6349" t="str">
        <f t="shared" si="2933"/>
        <v>RECEITAS COM ENTREGAS (303)</v>
      </c>
      <c r="S6349">
        <v>2804</v>
      </c>
      <c r="T6349">
        <v>2285</v>
      </c>
      <c r="U6349" t="s">
        <v>19</v>
      </c>
    </row>
    <row r="6350" spans="1:21">
      <c r="A6350" t="str">
        <f t="shared" si="2929"/>
        <v>24/10/2025</v>
      </c>
      <c r="B6350" t="str">
        <f t="shared" si="2928"/>
        <v>ENTRADA</v>
      </c>
      <c r="C6350" t="str">
        <f t="shared" si="2930"/>
        <v>NFSE</v>
      </c>
      <c r="D6350" t="str">
        <f t="shared" si="2920"/>
        <v>3610</v>
      </c>
      <c r="E6350" t="str">
        <f t="shared" si="2917"/>
        <v>COM</v>
      </c>
      <c r="F6350" t="str">
        <f t="shared" si="2921"/>
        <v>FARMÁCIA INDIANA LJ 1 (10126)</v>
      </c>
      <c r="G6350" t="str">
        <f t="shared" si="2922"/>
        <v>Serv.Prest. 06/10/2025 a 12/10/2025 - RPS: 1374 - NFSe: 3610</v>
      </c>
      <c r="H6350" t="str">
        <f t="shared" si="2923"/>
        <v>22/10/2025</v>
      </c>
      <c r="I6350" t="str">
        <f t="shared" si="2924"/>
        <v>14/10/2025</v>
      </c>
      <c r="J6350" t="str">
        <f t="shared" si="2931"/>
        <v>24/10/2025</v>
      </c>
      <c r="M6350">
        <v>303</v>
      </c>
      <c r="N6350" t="str">
        <f t="shared" si="2932"/>
        <v>RECEITAS COM ENTREGAS</v>
      </c>
      <c r="P6350">
        <v>80.19</v>
      </c>
      <c r="Q6350" t="str">
        <f>"FARMÁCIA INDIANA LJ 204 (10087)"</f>
        <v>FARMÁCIA INDIANA LJ 204 (10087)</v>
      </c>
      <c r="R6350" t="str">
        <f t="shared" si="2933"/>
        <v>RECEITAS COM ENTREGAS (303)</v>
      </c>
      <c r="S6350">
        <v>2804</v>
      </c>
      <c r="T6350">
        <v>2285</v>
      </c>
      <c r="U6350" t="s">
        <v>19</v>
      </c>
    </row>
    <row r="6351" spans="1:21">
      <c r="A6351" t="str">
        <f t="shared" si="2929"/>
        <v>24/10/2025</v>
      </c>
      <c r="B6351" t="str">
        <f t="shared" si="2928"/>
        <v>ENTRADA</v>
      </c>
      <c r="C6351" t="str">
        <f t="shared" si="2930"/>
        <v>NFSE</v>
      </c>
      <c r="D6351" t="str">
        <f t="shared" si="2920"/>
        <v>3610</v>
      </c>
      <c r="E6351" t="str">
        <f t="shared" si="2917"/>
        <v>COM</v>
      </c>
      <c r="F6351" t="str">
        <f t="shared" si="2921"/>
        <v>FARMÁCIA INDIANA LJ 1 (10126)</v>
      </c>
      <c r="G6351" t="str">
        <f t="shared" si="2922"/>
        <v>Serv.Prest. 06/10/2025 a 12/10/2025 - RPS: 1374 - NFSe: 3610</v>
      </c>
      <c r="H6351" t="str">
        <f t="shared" si="2923"/>
        <v>22/10/2025</v>
      </c>
      <c r="I6351" t="str">
        <f t="shared" si="2924"/>
        <v>14/10/2025</v>
      </c>
      <c r="J6351" t="str">
        <f t="shared" si="2931"/>
        <v>24/10/2025</v>
      </c>
      <c r="M6351">
        <v>303</v>
      </c>
      <c r="N6351" t="str">
        <f t="shared" si="2932"/>
        <v>RECEITAS COM ENTREGAS</v>
      </c>
      <c r="P6351">
        <v>146.06</v>
      </c>
      <c r="Q6351" t="str">
        <f>"FARMÁCIA INDIANA LJ 207 (10088)"</f>
        <v>FARMÁCIA INDIANA LJ 207 (10088)</v>
      </c>
      <c r="R6351" t="str">
        <f t="shared" si="2933"/>
        <v>RECEITAS COM ENTREGAS (303)</v>
      </c>
      <c r="S6351">
        <v>2804</v>
      </c>
      <c r="T6351">
        <v>2285</v>
      </c>
      <c r="U6351" t="s">
        <v>19</v>
      </c>
    </row>
    <row r="6352" spans="1:21">
      <c r="A6352" t="str">
        <f t="shared" si="2929"/>
        <v>24/10/2025</v>
      </c>
      <c r="B6352" t="str">
        <f t="shared" si="2928"/>
        <v>ENTRADA</v>
      </c>
      <c r="C6352" t="str">
        <f t="shared" si="2930"/>
        <v>NFSE</v>
      </c>
      <c r="D6352" t="str">
        <f t="shared" si="2920"/>
        <v>3610</v>
      </c>
      <c r="E6352" t="str">
        <f t="shared" si="2917"/>
        <v>COM</v>
      </c>
      <c r="F6352" t="str">
        <f t="shared" si="2921"/>
        <v>FARMÁCIA INDIANA LJ 1 (10126)</v>
      </c>
      <c r="G6352" t="str">
        <f t="shared" si="2922"/>
        <v>Serv.Prest. 06/10/2025 a 12/10/2025 - RPS: 1374 - NFSe: 3610</v>
      </c>
      <c r="H6352" t="str">
        <f t="shared" si="2923"/>
        <v>22/10/2025</v>
      </c>
      <c r="I6352" t="str">
        <f t="shared" si="2924"/>
        <v>14/10/2025</v>
      </c>
      <c r="J6352" t="str">
        <f t="shared" si="2931"/>
        <v>24/10/2025</v>
      </c>
      <c r="M6352">
        <v>303</v>
      </c>
      <c r="N6352" t="str">
        <f t="shared" si="2932"/>
        <v>RECEITAS COM ENTREGAS</v>
      </c>
      <c r="P6352">
        <v>126.02</v>
      </c>
      <c r="Q6352" t="str">
        <f>"FARMÁCIA INDIANA LJ 209 (10089)"</f>
        <v>FARMÁCIA INDIANA LJ 209 (10089)</v>
      </c>
      <c r="R6352" t="str">
        <f t="shared" si="2933"/>
        <v>RECEITAS COM ENTREGAS (303)</v>
      </c>
      <c r="S6352">
        <v>2804</v>
      </c>
      <c r="T6352">
        <v>2285</v>
      </c>
      <c r="U6352" t="s">
        <v>19</v>
      </c>
    </row>
    <row r="6353" spans="1:21">
      <c r="A6353" t="str">
        <f t="shared" si="2929"/>
        <v>24/10/2025</v>
      </c>
      <c r="B6353" t="str">
        <f t="shared" si="2928"/>
        <v>ENTRADA</v>
      </c>
      <c r="C6353" t="str">
        <f t="shared" si="2930"/>
        <v>NFSE</v>
      </c>
      <c r="D6353" t="str">
        <f t="shared" si="2920"/>
        <v>3610</v>
      </c>
      <c r="E6353" t="str">
        <f t="shared" si="2917"/>
        <v>COM</v>
      </c>
      <c r="F6353" t="str">
        <f t="shared" si="2921"/>
        <v>FARMÁCIA INDIANA LJ 1 (10126)</v>
      </c>
      <c r="G6353" t="str">
        <f t="shared" si="2922"/>
        <v>Serv.Prest. 06/10/2025 a 12/10/2025 - RPS: 1374 - NFSe: 3610</v>
      </c>
      <c r="H6353" t="str">
        <f t="shared" si="2923"/>
        <v>22/10/2025</v>
      </c>
      <c r="I6353" t="str">
        <f t="shared" si="2924"/>
        <v>14/10/2025</v>
      </c>
      <c r="J6353" t="str">
        <f t="shared" si="2931"/>
        <v>24/10/2025</v>
      </c>
      <c r="M6353">
        <v>303</v>
      </c>
      <c r="N6353" t="str">
        <f t="shared" si="2932"/>
        <v>RECEITAS COM ENTREGAS</v>
      </c>
      <c r="P6353">
        <v>150.36000000000001</v>
      </c>
      <c r="Q6353" t="str">
        <f>"FARMÁCIA INDIANA LJ 219 (10091)"</f>
        <v>FARMÁCIA INDIANA LJ 219 (10091)</v>
      </c>
      <c r="R6353" t="str">
        <f t="shared" si="2933"/>
        <v>RECEITAS COM ENTREGAS (303)</v>
      </c>
      <c r="S6353">
        <v>2804</v>
      </c>
      <c r="T6353">
        <v>2285</v>
      </c>
      <c r="U6353" t="s">
        <v>19</v>
      </c>
    </row>
    <row r="6354" spans="1:21">
      <c r="A6354" t="str">
        <f t="shared" si="2929"/>
        <v>24/10/2025</v>
      </c>
      <c r="B6354" t="str">
        <f t="shared" si="2928"/>
        <v>ENTRADA</v>
      </c>
      <c r="C6354" t="str">
        <f t="shared" si="2930"/>
        <v>NFSE</v>
      </c>
      <c r="D6354" t="str">
        <f t="shared" si="2920"/>
        <v>3610</v>
      </c>
      <c r="E6354" t="str">
        <f t="shared" si="2917"/>
        <v>COM</v>
      </c>
      <c r="F6354" t="str">
        <f t="shared" si="2921"/>
        <v>FARMÁCIA INDIANA LJ 1 (10126)</v>
      </c>
      <c r="G6354" t="str">
        <f t="shared" si="2922"/>
        <v>Serv.Prest. 06/10/2025 a 12/10/2025 - RPS: 1374 - NFSe: 3610</v>
      </c>
      <c r="H6354" t="str">
        <f t="shared" si="2923"/>
        <v>22/10/2025</v>
      </c>
      <c r="I6354" t="str">
        <f t="shared" si="2924"/>
        <v>14/10/2025</v>
      </c>
      <c r="J6354" t="str">
        <f t="shared" si="2931"/>
        <v>24/10/2025</v>
      </c>
      <c r="M6354">
        <v>303</v>
      </c>
      <c r="N6354" t="str">
        <f t="shared" si="2932"/>
        <v>RECEITAS COM ENTREGAS</v>
      </c>
      <c r="P6354">
        <v>249.17</v>
      </c>
      <c r="Q6354" t="str">
        <f>"FARMÁCIA INDIANA LJ 220 (10092)"</f>
        <v>FARMÁCIA INDIANA LJ 220 (10092)</v>
      </c>
      <c r="R6354" t="str">
        <f t="shared" si="2933"/>
        <v>RECEITAS COM ENTREGAS (303)</v>
      </c>
      <c r="S6354">
        <v>2804</v>
      </c>
      <c r="T6354">
        <v>2285</v>
      </c>
      <c r="U6354" t="s">
        <v>19</v>
      </c>
    </row>
    <row r="6355" spans="1:21">
      <c r="A6355" t="str">
        <f t="shared" si="2929"/>
        <v>24/10/2025</v>
      </c>
      <c r="B6355" t="str">
        <f t="shared" si="2928"/>
        <v>ENTRADA</v>
      </c>
      <c r="C6355" t="str">
        <f t="shared" si="2930"/>
        <v>NFSE</v>
      </c>
      <c r="D6355" t="str">
        <f t="shared" si="2920"/>
        <v>3610</v>
      </c>
      <c r="E6355" t="str">
        <f t="shared" si="2917"/>
        <v>COM</v>
      </c>
      <c r="F6355" t="str">
        <f t="shared" si="2921"/>
        <v>FARMÁCIA INDIANA LJ 1 (10126)</v>
      </c>
      <c r="G6355" t="str">
        <f t="shared" si="2922"/>
        <v>Serv.Prest. 06/10/2025 a 12/10/2025 - RPS: 1374 - NFSe: 3610</v>
      </c>
      <c r="H6355" t="str">
        <f t="shared" si="2923"/>
        <v>22/10/2025</v>
      </c>
      <c r="I6355" t="str">
        <f t="shared" si="2924"/>
        <v>14/10/2025</v>
      </c>
      <c r="J6355" t="str">
        <f t="shared" si="2931"/>
        <v>24/10/2025</v>
      </c>
      <c r="M6355">
        <v>303</v>
      </c>
      <c r="N6355" t="str">
        <f t="shared" si="2932"/>
        <v>RECEITAS COM ENTREGAS</v>
      </c>
      <c r="P6355">
        <v>171.84</v>
      </c>
      <c r="Q6355" t="str">
        <f>"FARMÁCIA INDIANA LJ 185 (10141)"</f>
        <v>FARMÁCIA INDIANA LJ 185 (10141)</v>
      </c>
      <c r="R6355" t="str">
        <f t="shared" si="2933"/>
        <v>RECEITAS COM ENTREGAS (303)</v>
      </c>
      <c r="S6355">
        <v>2804</v>
      </c>
      <c r="T6355">
        <v>2285</v>
      </c>
      <c r="U6355" t="s">
        <v>19</v>
      </c>
    </row>
    <row r="6356" spans="1:21">
      <c r="A6356" t="str">
        <f t="shared" si="2929"/>
        <v>24/10/2025</v>
      </c>
      <c r="B6356" t="str">
        <f t="shared" si="2928"/>
        <v>ENTRADA</v>
      </c>
      <c r="C6356" t="str">
        <f t="shared" si="2930"/>
        <v>NFSE</v>
      </c>
      <c r="D6356" t="str">
        <f t="shared" si="2920"/>
        <v>3610</v>
      </c>
      <c r="E6356" t="str">
        <f t="shared" si="2917"/>
        <v>COM</v>
      </c>
      <c r="F6356" t="str">
        <f t="shared" si="2921"/>
        <v>FARMÁCIA INDIANA LJ 1 (10126)</v>
      </c>
      <c r="G6356" t="str">
        <f t="shared" si="2922"/>
        <v>Serv.Prest. 06/10/2025 a 12/10/2025 - RPS: 1374 - NFSe: 3610</v>
      </c>
      <c r="H6356" t="str">
        <f t="shared" si="2923"/>
        <v>22/10/2025</v>
      </c>
      <c r="I6356" t="str">
        <f t="shared" si="2924"/>
        <v>14/10/2025</v>
      </c>
      <c r="J6356" t="str">
        <f t="shared" si="2931"/>
        <v>24/10/2025</v>
      </c>
      <c r="M6356">
        <v>303</v>
      </c>
      <c r="N6356" t="str">
        <f t="shared" si="2932"/>
        <v>RECEITAS COM ENTREGAS</v>
      </c>
      <c r="P6356">
        <v>107.4</v>
      </c>
      <c r="Q6356" t="str">
        <f>"FARMÁCIA INDIANA LJ 205 (10150)"</f>
        <v>FARMÁCIA INDIANA LJ 205 (10150)</v>
      </c>
      <c r="R6356" t="str">
        <f t="shared" si="2933"/>
        <v>RECEITAS COM ENTREGAS (303)</v>
      </c>
      <c r="S6356">
        <v>2804</v>
      </c>
      <c r="T6356">
        <v>2285</v>
      </c>
      <c r="U6356" t="s">
        <v>19</v>
      </c>
    </row>
    <row r="6357" spans="1:21">
      <c r="A6357" t="str">
        <f t="shared" si="2929"/>
        <v>24/10/2025</v>
      </c>
      <c r="B6357" t="str">
        <f t="shared" si="2928"/>
        <v>ENTRADA</v>
      </c>
      <c r="C6357" t="str">
        <f t="shared" si="2930"/>
        <v>NFSE</v>
      </c>
      <c r="D6357" t="str">
        <f t="shared" si="2920"/>
        <v>3610</v>
      </c>
      <c r="E6357" t="str">
        <f t="shared" si="2917"/>
        <v>COM</v>
      </c>
      <c r="F6357" t="str">
        <f t="shared" si="2921"/>
        <v>FARMÁCIA INDIANA LJ 1 (10126)</v>
      </c>
      <c r="G6357" t="str">
        <f t="shared" si="2922"/>
        <v>Serv.Prest. 06/10/2025 a 12/10/2025 - RPS: 1374 - NFSe: 3610</v>
      </c>
      <c r="H6357" t="str">
        <f t="shared" si="2923"/>
        <v>22/10/2025</v>
      </c>
      <c r="I6357" t="str">
        <f t="shared" si="2924"/>
        <v>14/10/2025</v>
      </c>
      <c r="J6357" t="str">
        <f t="shared" si="2931"/>
        <v>24/10/2025</v>
      </c>
      <c r="M6357">
        <v>303</v>
      </c>
      <c r="N6357" t="str">
        <f t="shared" si="2932"/>
        <v>RECEITAS COM ENTREGAS</v>
      </c>
      <c r="P6357">
        <v>631.51</v>
      </c>
      <c r="Q6357" t="str">
        <f>"FARMÁCIA INDIANA LJ 172 (10161)"</f>
        <v>FARMÁCIA INDIANA LJ 172 (10161)</v>
      </c>
      <c r="R6357" t="str">
        <f t="shared" si="2933"/>
        <v>RECEITAS COM ENTREGAS (303)</v>
      </c>
      <c r="S6357">
        <v>2804</v>
      </c>
      <c r="T6357">
        <v>2285</v>
      </c>
      <c r="U6357" t="s">
        <v>19</v>
      </c>
    </row>
    <row r="6358" spans="1:21">
      <c r="A6358" t="str">
        <f t="shared" si="2929"/>
        <v>24/10/2025</v>
      </c>
      <c r="B6358" t="str">
        <f t="shared" si="2928"/>
        <v>ENTRADA</v>
      </c>
      <c r="C6358" t="str">
        <f t="shared" si="2930"/>
        <v>NFSE</v>
      </c>
      <c r="D6358" t="str">
        <f t="shared" si="2920"/>
        <v>3610</v>
      </c>
      <c r="E6358" t="str">
        <f t="shared" si="2917"/>
        <v>COM</v>
      </c>
      <c r="F6358" t="str">
        <f t="shared" si="2921"/>
        <v>FARMÁCIA INDIANA LJ 1 (10126)</v>
      </c>
      <c r="G6358" t="str">
        <f t="shared" si="2922"/>
        <v>Serv.Prest. 06/10/2025 a 12/10/2025 - RPS: 1374 - NFSe: 3610</v>
      </c>
      <c r="H6358" t="str">
        <f t="shared" si="2923"/>
        <v>22/10/2025</v>
      </c>
      <c r="I6358" t="str">
        <f t="shared" si="2924"/>
        <v>14/10/2025</v>
      </c>
      <c r="J6358" t="str">
        <f t="shared" si="2931"/>
        <v>24/10/2025</v>
      </c>
      <c r="M6358">
        <v>303</v>
      </c>
      <c r="N6358" t="str">
        <f t="shared" si="2932"/>
        <v>RECEITAS COM ENTREGAS</v>
      </c>
      <c r="P6358">
        <v>75.900000000000006</v>
      </c>
      <c r="Q6358" t="str">
        <f>"FARMÁCIA INDIANA LJ 266 (10186)"</f>
        <v>FARMÁCIA INDIANA LJ 266 (10186)</v>
      </c>
      <c r="R6358" t="str">
        <f t="shared" si="2933"/>
        <v>RECEITAS COM ENTREGAS (303)</v>
      </c>
      <c r="S6358">
        <v>2804</v>
      </c>
      <c r="T6358">
        <v>2285</v>
      </c>
      <c r="U6358" t="s">
        <v>19</v>
      </c>
    </row>
    <row r="6359" spans="1:21">
      <c r="A6359" t="str">
        <f t="shared" si="2929"/>
        <v>24/10/2025</v>
      </c>
      <c r="B6359" t="str">
        <f t="shared" si="2928"/>
        <v>ENTRADA</v>
      </c>
      <c r="C6359" t="str">
        <f t="shared" si="2930"/>
        <v>NFSE</v>
      </c>
      <c r="D6359" t="str">
        <f>"3596"</f>
        <v>3596</v>
      </c>
      <c r="E6359" t="str">
        <f t="shared" si="2917"/>
        <v>COM</v>
      </c>
      <c r="F6359" t="str">
        <f>"PAGMENOS - LJ 608 (10135)"</f>
        <v>PAGMENOS - LJ 608 (10135)</v>
      </c>
      <c r="G6359" t="str">
        <f>"Serv.Prest. 06/10/2025 a 12/10/2025 - RPS: 1360 - NFSe: 3596"</f>
        <v>Serv.Prest. 06/10/2025 a 12/10/2025 - RPS: 1360 - NFSe: 3596</v>
      </c>
      <c r="H6359" t="str">
        <f t="shared" ref="H6359:H6364" si="2934">("23/10/2025")</f>
        <v>23/10/2025</v>
      </c>
      <c r="I6359" t="str">
        <f>("13/10/2025")</f>
        <v>13/10/2025</v>
      </c>
      <c r="J6359" t="str">
        <f t="shared" si="2931"/>
        <v>24/10/2025</v>
      </c>
      <c r="K6359">
        <v>280.20999999999998</v>
      </c>
      <c r="L6359">
        <v>280.20999999999998</v>
      </c>
      <c r="M6359">
        <v>303</v>
      </c>
      <c r="N6359" t="str">
        <f t="shared" si="2932"/>
        <v>RECEITAS COM ENTREGAS</v>
      </c>
      <c r="O6359">
        <v>280.20999999999998</v>
      </c>
      <c r="R6359" t="str">
        <f t="shared" si="2933"/>
        <v>RECEITAS COM ENTREGAS (303)</v>
      </c>
      <c r="S6359">
        <v>2805</v>
      </c>
      <c r="T6359">
        <v>2271</v>
      </c>
      <c r="U6359" t="s">
        <v>19</v>
      </c>
    </row>
    <row r="6360" spans="1:21">
      <c r="A6360" t="str">
        <f t="shared" si="2929"/>
        <v>24/10/2025</v>
      </c>
      <c r="B6360" t="str">
        <f t="shared" si="2928"/>
        <v>ENTRADA</v>
      </c>
      <c r="C6360" t="str">
        <f t="shared" si="2930"/>
        <v>NFSE</v>
      </c>
      <c r="D6360" t="str">
        <f>"3596"</f>
        <v>3596</v>
      </c>
      <c r="E6360" t="str">
        <f t="shared" si="2917"/>
        <v>COM</v>
      </c>
      <c r="F6360" t="str">
        <f>"PAGMENOS - LJ 608 (10135)"</f>
        <v>PAGMENOS - LJ 608 (10135)</v>
      </c>
      <c r="G6360" t="str">
        <f>"Serv.Prest. 06/10/2025 a 12/10/2025 - RPS: 1360 - NFSe: 3596"</f>
        <v>Serv.Prest. 06/10/2025 a 12/10/2025 - RPS: 1360 - NFSe: 3596</v>
      </c>
      <c r="H6360" t="str">
        <f t="shared" si="2934"/>
        <v>23/10/2025</v>
      </c>
      <c r="I6360" t="str">
        <f>("13/10/2025")</f>
        <v>13/10/2025</v>
      </c>
      <c r="J6360" t="str">
        <f t="shared" si="2931"/>
        <v>24/10/2025</v>
      </c>
      <c r="M6360">
        <v>303</v>
      </c>
      <c r="N6360" t="str">
        <f t="shared" si="2932"/>
        <v>RECEITAS COM ENTREGAS</v>
      </c>
      <c r="P6360">
        <v>280.20999999999998</v>
      </c>
      <c r="Q6360" t="str">
        <f>"PAGMENOS - LJ 608 (10135)"</f>
        <v>PAGMENOS - LJ 608 (10135)</v>
      </c>
      <c r="R6360" t="str">
        <f t="shared" si="2933"/>
        <v>RECEITAS COM ENTREGAS (303)</v>
      </c>
      <c r="S6360">
        <v>2805</v>
      </c>
      <c r="T6360">
        <v>2271</v>
      </c>
      <c r="U6360" t="s">
        <v>19</v>
      </c>
    </row>
    <row r="6361" spans="1:21">
      <c r="A6361" t="str">
        <f t="shared" si="2929"/>
        <v>24/10/2025</v>
      </c>
      <c r="B6361" t="str">
        <f t="shared" si="2928"/>
        <v>ENTRADA</v>
      </c>
      <c r="C6361" t="str">
        <f t="shared" si="2930"/>
        <v>NFSE</v>
      </c>
      <c r="D6361" t="str">
        <f>"3641"</f>
        <v>3641</v>
      </c>
      <c r="E6361" t="str">
        <f t="shared" si="2917"/>
        <v>COM</v>
      </c>
      <c r="F6361" t="str">
        <f>"DROGARIA POUPA MINAS (ULTRAMINAS) 3 (10129)"</f>
        <v>DROGARIA POUPA MINAS (ULTRAMINAS) 3 (10129)</v>
      </c>
      <c r="G6361" t="str">
        <f>"Serv.Prest. 13/10/2025 a 19/10/2025 - RPS: 1406 - NFSe: 3641"</f>
        <v>Serv.Prest. 13/10/2025 a 19/10/2025 - RPS: 1406 - NFSe: 3641</v>
      </c>
      <c r="H6361" t="str">
        <f t="shared" si="2934"/>
        <v>23/10/2025</v>
      </c>
      <c r="I6361" t="str">
        <f t="shared" ref="I6361:I6366" si="2935">("21/10/2025")</f>
        <v>21/10/2025</v>
      </c>
      <c r="J6361" t="str">
        <f t="shared" si="2931"/>
        <v>24/10/2025</v>
      </c>
      <c r="K6361">
        <v>171.6</v>
      </c>
      <c r="L6361">
        <v>171.6</v>
      </c>
      <c r="M6361">
        <v>303</v>
      </c>
      <c r="N6361" t="str">
        <f t="shared" si="2932"/>
        <v>RECEITAS COM ENTREGAS</v>
      </c>
      <c r="O6361">
        <v>171.6</v>
      </c>
      <c r="R6361" t="str">
        <f t="shared" si="2933"/>
        <v>RECEITAS COM ENTREGAS (303)</v>
      </c>
      <c r="S6361">
        <v>2806</v>
      </c>
      <c r="T6361">
        <v>2318</v>
      </c>
      <c r="U6361" t="s">
        <v>19</v>
      </c>
    </row>
    <row r="6362" spans="1:21">
      <c r="A6362" t="str">
        <f t="shared" si="2929"/>
        <v>24/10/2025</v>
      </c>
      <c r="B6362" t="str">
        <f t="shared" si="2928"/>
        <v>ENTRADA</v>
      </c>
      <c r="C6362" t="str">
        <f t="shared" si="2930"/>
        <v>NFSE</v>
      </c>
      <c r="D6362" t="str">
        <f>"3641"</f>
        <v>3641</v>
      </c>
      <c r="E6362" t="str">
        <f t="shared" si="2917"/>
        <v>COM</v>
      </c>
      <c r="F6362" t="str">
        <f>"DROGARIA POUPA MINAS (ULTRAMINAS) 3 (10129)"</f>
        <v>DROGARIA POUPA MINAS (ULTRAMINAS) 3 (10129)</v>
      </c>
      <c r="G6362" t="str">
        <f>"Serv.Prest. 13/10/2025 a 19/10/2025 - RPS: 1406 - NFSe: 3641"</f>
        <v>Serv.Prest. 13/10/2025 a 19/10/2025 - RPS: 1406 - NFSe: 3641</v>
      </c>
      <c r="H6362" t="str">
        <f t="shared" si="2934"/>
        <v>23/10/2025</v>
      </c>
      <c r="I6362" t="str">
        <f t="shared" si="2935"/>
        <v>21/10/2025</v>
      </c>
      <c r="J6362" t="str">
        <f t="shared" si="2931"/>
        <v>24/10/2025</v>
      </c>
      <c r="M6362">
        <v>303</v>
      </c>
      <c r="N6362" t="str">
        <f t="shared" si="2932"/>
        <v>RECEITAS COM ENTREGAS</v>
      </c>
      <c r="P6362">
        <v>171.6</v>
      </c>
      <c r="Q6362" t="str">
        <f>"DROGARIA POUPA MINAS (ULTRAMINAS) 3 (10129)"</f>
        <v>DROGARIA POUPA MINAS (ULTRAMINAS) 3 (10129)</v>
      </c>
      <c r="R6362" t="str">
        <f t="shared" si="2933"/>
        <v>RECEITAS COM ENTREGAS (303)</v>
      </c>
      <c r="S6362">
        <v>2806</v>
      </c>
      <c r="T6362">
        <v>2318</v>
      </c>
      <c r="U6362" t="s">
        <v>19</v>
      </c>
    </row>
    <row r="6363" spans="1:21">
      <c r="A6363" t="str">
        <f t="shared" si="2929"/>
        <v>24/10/2025</v>
      </c>
      <c r="B6363" t="str">
        <f t="shared" si="2928"/>
        <v>ENTRADA</v>
      </c>
      <c r="C6363" t="str">
        <f t="shared" si="2930"/>
        <v>NFSE</v>
      </c>
      <c r="D6363" t="str">
        <f>"3647"</f>
        <v>3647</v>
      </c>
      <c r="E6363" t="str">
        <f t="shared" si="2917"/>
        <v>COM</v>
      </c>
      <c r="F6363" t="str">
        <f>"DROGARIA POUPA MINAS (DOIS AMIGOS) 5 (10140)"</f>
        <v>DROGARIA POUPA MINAS (DOIS AMIGOS) 5 (10140)</v>
      </c>
      <c r="G6363" t="str">
        <f>"Serv.Prest. 13/10/2025 a 19/10/2025 - RPS: 1412 - NFSe: 3647"</f>
        <v>Serv.Prest. 13/10/2025 a 19/10/2025 - RPS: 1412 - NFSe: 3647</v>
      </c>
      <c r="H6363" t="str">
        <f t="shared" si="2934"/>
        <v>23/10/2025</v>
      </c>
      <c r="I6363" t="str">
        <f t="shared" si="2935"/>
        <v>21/10/2025</v>
      </c>
      <c r="J6363" t="str">
        <f t="shared" si="2931"/>
        <v>24/10/2025</v>
      </c>
      <c r="K6363">
        <v>833.09</v>
      </c>
      <c r="L6363">
        <v>833.09</v>
      </c>
      <c r="M6363">
        <v>303</v>
      </c>
      <c r="N6363" t="str">
        <f t="shared" si="2932"/>
        <v>RECEITAS COM ENTREGAS</v>
      </c>
      <c r="O6363">
        <v>833.09</v>
      </c>
      <c r="R6363" t="str">
        <f t="shared" si="2933"/>
        <v>RECEITAS COM ENTREGAS (303)</v>
      </c>
      <c r="S6363">
        <v>2807</v>
      </c>
      <c r="T6363">
        <v>2324</v>
      </c>
      <c r="U6363" t="s">
        <v>19</v>
      </c>
    </row>
    <row r="6364" spans="1:21">
      <c r="A6364" t="str">
        <f t="shared" si="2929"/>
        <v>24/10/2025</v>
      </c>
      <c r="B6364" t="str">
        <f t="shared" si="2928"/>
        <v>ENTRADA</v>
      </c>
      <c r="C6364" t="str">
        <f t="shared" si="2930"/>
        <v>NFSE</v>
      </c>
      <c r="D6364" t="str">
        <f>"3647"</f>
        <v>3647</v>
      </c>
      <c r="E6364" t="str">
        <f t="shared" si="2917"/>
        <v>COM</v>
      </c>
      <c r="F6364" t="str">
        <f>"DROGARIA POUPA MINAS (DOIS AMIGOS) 5 (10140)"</f>
        <v>DROGARIA POUPA MINAS (DOIS AMIGOS) 5 (10140)</v>
      </c>
      <c r="G6364" t="str">
        <f>"Serv.Prest. 13/10/2025 a 19/10/2025 - RPS: 1412 - NFSe: 3647"</f>
        <v>Serv.Prest. 13/10/2025 a 19/10/2025 - RPS: 1412 - NFSe: 3647</v>
      </c>
      <c r="H6364" t="str">
        <f t="shared" si="2934"/>
        <v>23/10/2025</v>
      </c>
      <c r="I6364" t="str">
        <f t="shared" si="2935"/>
        <v>21/10/2025</v>
      </c>
      <c r="J6364" t="str">
        <f t="shared" si="2931"/>
        <v>24/10/2025</v>
      </c>
      <c r="M6364">
        <v>303</v>
      </c>
      <c r="N6364" t="str">
        <f t="shared" si="2932"/>
        <v>RECEITAS COM ENTREGAS</v>
      </c>
      <c r="P6364">
        <v>833.09</v>
      </c>
      <c r="Q6364" t="str">
        <f>"DROGARIA POUPA MINAS (ULTRAMINAS) 1 (10181)"</f>
        <v>DROGARIA POUPA MINAS (ULTRAMINAS) 1 (10181)</v>
      </c>
      <c r="R6364" t="str">
        <f t="shared" si="2933"/>
        <v>RECEITAS COM ENTREGAS (303)</v>
      </c>
      <c r="S6364">
        <v>2807</v>
      </c>
      <c r="T6364">
        <v>2324</v>
      </c>
      <c r="U6364" t="s">
        <v>19</v>
      </c>
    </row>
    <row r="6365" spans="1:21">
      <c r="A6365" t="str">
        <f t="shared" si="2929"/>
        <v>24/10/2025</v>
      </c>
      <c r="B6365" t="str">
        <f t="shared" si="2928"/>
        <v>ENTRADA</v>
      </c>
      <c r="C6365" t="str">
        <f t="shared" si="2930"/>
        <v>NFSE</v>
      </c>
      <c r="D6365" t="str">
        <f>"3648"</f>
        <v>3648</v>
      </c>
      <c r="E6365" t="str">
        <f t="shared" si="2917"/>
        <v>COM</v>
      </c>
      <c r="F6365" t="str">
        <f>"DROGARIA VAZ (10179)"</f>
        <v>DROGARIA VAZ (10179)</v>
      </c>
      <c r="G6365" t="str">
        <f>"Serv.Prest. 13/10/2025 a 19/10/2025 - RPS: 1413 - NFSe: 3648"</f>
        <v>Serv.Prest. 13/10/2025 a 19/10/2025 - RPS: 1413 - NFSe: 3648</v>
      </c>
      <c r="H6365" t="str">
        <f>("22/10/2025")</f>
        <v>22/10/2025</v>
      </c>
      <c r="I6365" t="str">
        <f t="shared" si="2935"/>
        <v>21/10/2025</v>
      </c>
      <c r="J6365" t="str">
        <f t="shared" si="2931"/>
        <v>24/10/2025</v>
      </c>
      <c r="K6365">
        <v>203.44</v>
      </c>
      <c r="L6365">
        <v>207.63</v>
      </c>
      <c r="M6365">
        <v>303</v>
      </c>
      <c r="N6365" t="str">
        <f t="shared" si="2932"/>
        <v>RECEITAS COM ENTREGAS</v>
      </c>
      <c r="O6365">
        <v>207.63</v>
      </c>
      <c r="R6365" t="str">
        <f t="shared" si="2933"/>
        <v>RECEITAS COM ENTREGAS (303)</v>
      </c>
      <c r="S6365">
        <v>2934</v>
      </c>
      <c r="T6365">
        <v>2325</v>
      </c>
      <c r="U6365" t="s">
        <v>19</v>
      </c>
    </row>
    <row r="6366" spans="1:21">
      <c r="A6366" t="str">
        <f t="shared" si="2929"/>
        <v>24/10/2025</v>
      </c>
      <c r="B6366" t="str">
        <f t="shared" si="2928"/>
        <v>ENTRADA</v>
      </c>
      <c r="C6366" t="str">
        <f t="shared" si="2930"/>
        <v>NFSE</v>
      </c>
      <c r="D6366" t="str">
        <f>"3648"</f>
        <v>3648</v>
      </c>
      <c r="E6366" t="str">
        <f t="shared" si="2917"/>
        <v>COM</v>
      </c>
      <c r="F6366" t="str">
        <f>"DROGARIA VAZ (10179)"</f>
        <v>DROGARIA VAZ (10179)</v>
      </c>
      <c r="G6366" t="str">
        <f>"Serv.Prest. 13/10/2025 a 19/10/2025 - RPS: 1413 - NFSe: 3648"</f>
        <v>Serv.Prest. 13/10/2025 a 19/10/2025 - RPS: 1413 - NFSe: 3648</v>
      </c>
      <c r="H6366" t="str">
        <f>("22/10/2025")</f>
        <v>22/10/2025</v>
      </c>
      <c r="I6366" t="str">
        <f t="shared" si="2935"/>
        <v>21/10/2025</v>
      </c>
      <c r="J6366" t="str">
        <f t="shared" si="2931"/>
        <v>24/10/2025</v>
      </c>
      <c r="M6366">
        <v>303</v>
      </c>
      <c r="N6366" t="str">
        <f t="shared" si="2932"/>
        <v>RECEITAS COM ENTREGAS</v>
      </c>
      <c r="P6366">
        <v>207.63</v>
      </c>
      <c r="Q6366" t="str">
        <f>"DROGARIA VAZ (10179)"</f>
        <v>DROGARIA VAZ (10179)</v>
      </c>
      <c r="R6366" t="str">
        <f t="shared" si="2933"/>
        <v>RECEITAS COM ENTREGAS (303)</v>
      </c>
      <c r="S6366">
        <v>2934</v>
      </c>
      <c r="T6366">
        <v>2325</v>
      </c>
      <c r="U6366" t="s">
        <v>19</v>
      </c>
    </row>
    <row r="6367" spans="1:21">
      <c r="A6367" t="str">
        <f t="shared" si="2929"/>
        <v>24/10/2025</v>
      </c>
      <c r="B6367" t="str">
        <f>"SAÍDA"</f>
        <v>SAÍDA</v>
      </c>
      <c r="C6367" t="str">
        <f>"PIX"</f>
        <v>PIX</v>
      </c>
      <c r="D6367" t="str">
        <f>"24102025"</f>
        <v>24102025</v>
      </c>
      <c r="E6367" t="str">
        <f t="shared" si="2917"/>
        <v>COM</v>
      </c>
      <c r="F6367" t="str">
        <f>"LILIANE DE FATIMA REZENDE JUSTINO (20013)"</f>
        <v>LILIANE DE FATIMA REZENDE JUSTINO (20013)</v>
      </c>
      <c r="G6367" t="str">
        <f>"DESPESA COM VIAGEM JUIZ DE FORA"</f>
        <v>DESPESA COM VIAGEM JUIZ DE FORA</v>
      </c>
      <c r="H6367" t="str">
        <f t="shared" ref="H6367:I6370" si="2936">("24/10/2025")</f>
        <v>24/10/2025</v>
      </c>
      <c r="I6367" t="str">
        <f t="shared" si="2936"/>
        <v>24/10/2025</v>
      </c>
      <c r="J6367" t="str">
        <f t="shared" si="2931"/>
        <v>24/10/2025</v>
      </c>
      <c r="K6367">
        <v>500</v>
      </c>
      <c r="L6367">
        <v>500</v>
      </c>
      <c r="M6367">
        <v>128</v>
      </c>
      <c r="N6367" t="str">
        <f>"DESPESAS COM VIAGENS"</f>
        <v>DESPESAS COM VIAGENS</v>
      </c>
      <c r="O6367">
        <v>500</v>
      </c>
      <c r="R6367" t="str">
        <f>"BANCO CORA (102)"</f>
        <v>BANCO CORA (102)</v>
      </c>
      <c r="S6367">
        <v>3176</v>
      </c>
      <c r="T6367">
        <v>2762</v>
      </c>
      <c r="U6367" t="s">
        <v>19</v>
      </c>
    </row>
    <row r="6368" spans="1:21">
      <c r="A6368" t="str">
        <f t="shared" si="2929"/>
        <v>24/10/2025</v>
      </c>
      <c r="B6368" t="str">
        <f>"SAÍDA"</f>
        <v>SAÍDA</v>
      </c>
      <c r="C6368" t="str">
        <f>"PIX"</f>
        <v>PIX</v>
      </c>
      <c r="D6368" t="str">
        <f>"24102025"</f>
        <v>24102025</v>
      </c>
      <c r="E6368" t="str">
        <f t="shared" si="2917"/>
        <v>COM</v>
      </c>
      <c r="F6368" t="str">
        <f>"LILIANE DE FATIMA REZENDE JUSTINO (20013)"</f>
        <v>LILIANE DE FATIMA REZENDE JUSTINO (20013)</v>
      </c>
      <c r="G6368" t="str">
        <f>"DESPESA COM VIAGEM JUIZ DE FORA"</f>
        <v>DESPESA COM VIAGEM JUIZ DE FORA</v>
      </c>
      <c r="H6368" t="str">
        <f t="shared" si="2936"/>
        <v>24/10/2025</v>
      </c>
      <c r="I6368" t="str">
        <f t="shared" si="2936"/>
        <v>24/10/2025</v>
      </c>
      <c r="J6368" t="str">
        <f t="shared" si="2931"/>
        <v>24/10/2025</v>
      </c>
      <c r="M6368">
        <v>128</v>
      </c>
      <c r="N6368" t="str">
        <f>"DESPESAS COM VIAGENS"</f>
        <v>DESPESAS COM VIAGENS</v>
      </c>
      <c r="P6368">
        <v>500</v>
      </c>
      <c r="Q6368" t="str">
        <f>"LILIANE DE FATIMA REZENDE JUSTINO (20013)"</f>
        <v>LILIANE DE FATIMA REZENDE JUSTINO (20013)</v>
      </c>
      <c r="R6368" t="str">
        <f>"BANCO CORA (102)"</f>
        <v>BANCO CORA (102)</v>
      </c>
      <c r="S6368">
        <v>3176</v>
      </c>
      <c r="T6368">
        <v>2762</v>
      </c>
      <c r="U6368" t="s">
        <v>19</v>
      </c>
    </row>
    <row r="6369" spans="1:21">
      <c r="A6369" t="str">
        <f t="shared" si="2929"/>
        <v>24/10/2025</v>
      </c>
      <c r="B6369" t="str">
        <f>"ENTRADA"</f>
        <v>ENTRADA</v>
      </c>
      <c r="C6369" t="str">
        <f>"BOLETO"</f>
        <v>BOLETO</v>
      </c>
      <c r="D6369" t="str">
        <f>"24102025"</f>
        <v>24102025</v>
      </c>
      <c r="E6369" t="str">
        <f t="shared" si="2917"/>
        <v>COM</v>
      </c>
      <c r="F6369" t="str">
        <f>"FARMACIA PLANALTO LTDA (10270)"</f>
        <v>FARMACIA PLANALTO LTDA (10270)</v>
      </c>
      <c r="G6369" t="str">
        <f>"RECEITA COM SETUP"</f>
        <v>RECEITA COM SETUP</v>
      </c>
      <c r="H6369" t="str">
        <f t="shared" si="2936"/>
        <v>24/10/2025</v>
      </c>
      <c r="I6369" t="str">
        <f t="shared" si="2936"/>
        <v>24/10/2025</v>
      </c>
      <c r="J6369" t="str">
        <f t="shared" si="2931"/>
        <v>24/10/2025</v>
      </c>
      <c r="K6369">
        <v>1750</v>
      </c>
      <c r="L6369">
        <v>1750</v>
      </c>
      <c r="M6369">
        <v>117</v>
      </c>
      <c r="N6369" t="str">
        <f>"RECEITAS COM SETUP"</f>
        <v>RECEITAS COM SETUP</v>
      </c>
      <c r="O6369">
        <v>1750</v>
      </c>
      <c r="R6369" t="str">
        <f>"RECEITAS COM SETUP (117)"</f>
        <v>RECEITAS COM SETUP (117)</v>
      </c>
      <c r="S6369">
        <v>3177</v>
      </c>
      <c r="T6369">
        <v>2763</v>
      </c>
      <c r="U6369" t="s">
        <v>19</v>
      </c>
    </row>
    <row r="6370" spans="1:21">
      <c r="A6370" t="str">
        <f t="shared" si="2929"/>
        <v>24/10/2025</v>
      </c>
      <c r="B6370" t="str">
        <f>"SAÍDA"</f>
        <v>SAÍDA</v>
      </c>
      <c r="C6370" t="str">
        <f>"BOLETO"</f>
        <v>BOLETO</v>
      </c>
      <c r="D6370" t="str">
        <f>"24102025"</f>
        <v>24102025</v>
      </c>
      <c r="E6370" t="str">
        <f t="shared" si="2917"/>
        <v>COM</v>
      </c>
      <c r="F6370" t="str">
        <f>"FARMACIA PLANALTO LTDA (10270)"</f>
        <v>FARMACIA PLANALTO LTDA (10270)</v>
      </c>
      <c r="G6370" t="str">
        <f>"RECEITA COM SETUP"</f>
        <v>RECEITA COM SETUP</v>
      </c>
      <c r="H6370" t="str">
        <f t="shared" si="2936"/>
        <v>24/10/2025</v>
      </c>
      <c r="I6370" t="str">
        <f t="shared" si="2936"/>
        <v>24/10/2025</v>
      </c>
      <c r="J6370" t="str">
        <f t="shared" si="2931"/>
        <v>24/10/2025</v>
      </c>
      <c r="M6370">
        <v>117</v>
      </c>
      <c r="N6370" t="str">
        <f>"RECEITAS COM SETUP"</f>
        <v>RECEITAS COM SETUP</v>
      </c>
      <c r="P6370">
        <v>1750</v>
      </c>
      <c r="Q6370" t="str">
        <f>"FARMACIA PLANALTO LTDA (10270)"</f>
        <v>FARMACIA PLANALTO LTDA (10270)</v>
      </c>
      <c r="R6370" t="str">
        <f>"RECEITAS COM SETUP (117)"</f>
        <v>RECEITAS COM SETUP (117)</v>
      </c>
      <c r="S6370">
        <v>3177</v>
      </c>
      <c r="T6370">
        <v>2763</v>
      </c>
      <c r="U6370" t="s">
        <v>19</v>
      </c>
    </row>
    <row r="6371" spans="1:21">
      <c r="A6371" t="str">
        <f>("26/10/2025")</f>
        <v>26/10/2025</v>
      </c>
      <c r="B6371" t="str">
        <f>"SAÍDA"</f>
        <v>SAÍDA</v>
      </c>
      <c r="C6371" t="str">
        <f>"PIX"</f>
        <v>PIX</v>
      </c>
      <c r="D6371" t="str">
        <f>"26102025"</f>
        <v>26102025</v>
      </c>
      <c r="E6371" t="str">
        <f t="shared" si="2917"/>
        <v>COM</v>
      </c>
      <c r="F6371" t="str">
        <f>"LOCALIZA RENT A CAR SA (20068)"</f>
        <v>LOCALIZA RENT A CAR SA (20068)</v>
      </c>
      <c r="G6371" t="str">
        <f>"DESPESAS COM VIAGEM"</f>
        <v>DESPESAS COM VIAGEM</v>
      </c>
      <c r="H6371" t="str">
        <f t="shared" ref="H6371:J6372" si="2937">("26/10/2025")</f>
        <v>26/10/2025</v>
      </c>
      <c r="I6371" t="str">
        <f t="shared" si="2937"/>
        <v>26/10/2025</v>
      </c>
      <c r="J6371" t="str">
        <f t="shared" si="2937"/>
        <v>26/10/2025</v>
      </c>
      <c r="K6371">
        <v>727.29</v>
      </c>
      <c r="L6371">
        <v>727.29</v>
      </c>
      <c r="M6371">
        <v>128</v>
      </c>
      <c r="N6371" t="str">
        <f>"DESPESAS COM VIAGENS"</f>
        <v>DESPESAS COM VIAGENS</v>
      </c>
      <c r="O6371">
        <v>727.29</v>
      </c>
      <c r="R6371" t="str">
        <f>"BANCO CORA (102)"</f>
        <v>BANCO CORA (102)</v>
      </c>
      <c r="S6371">
        <v>3178</v>
      </c>
      <c r="T6371">
        <v>2764</v>
      </c>
      <c r="U6371" t="s">
        <v>19</v>
      </c>
    </row>
    <row r="6372" spans="1:21">
      <c r="A6372" t="str">
        <f>("26/10/2025")</f>
        <v>26/10/2025</v>
      </c>
      <c r="B6372" t="str">
        <f>"SAÍDA"</f>
        <v>SAÍDA</v>
      </c>
      <c r="C6372" t="str">
        <f>"PIX"</f>
        <v>PIX</v>
      </c>
      <c r="D6372" t="str">
        <f>"26102025"</f>
        <v>26102025</v>
      </c>
      <c r="E6372" t="str">
        <f t="shared" ref="E6372:E6435" si="2938">"COM"</f>
        <v>COM</v>
      </c>
      <c r="F6372" t="str">
        <f>"LOCALIZA RENT A CAR SA (20068)"</f>
        <v>LOCALIZA RENT A CAR SA (20068)</v>
      </c>
      <c r="G6372" t="str">
        <f>"DESPESAS COM VIAGEM"</f>
        <v>DESPESAS COM VIAGEM</v>
      </c>
      <c r="H6372" t="str">
        <f t="shared" si="2937"/>
        <v>26/10/2025</v>
      </c>
      <c r="I6372" t="str">
        <f t="shared" si="2937"/>
        <v>26/10/2025</v>
      </c>
      <c r="J6372" t="str">
        <f t="shared" si="2937"/>
        <v>26/10/2025</v>
      </c>
      <c r="M6372">
        <v>128</v>
      </c>
      <c r="N6372" t="str">
        <f>"DESPESAS COM VIAGENS"</f>
        <v>DESPESAS COM VIAGENS</v>
      </c>
      <c r="P6372">
        <v>727.29</v>
      </c>
      <c r="Q6372" t="str">
        <f>"LOCALIZA RENT A CAR SA (20068)"</f>
        <v>LOCALIZA RENT A CAR SA (20068)</v>
      </c>
      <c r="R6372" t="str">
        <f>"BANCO CORA (102)"</f>
        <v>BANCO CORA (102)</v>
      </c>
      <c r="S6372">
        <v>3178</v>
      </c>
      <c r="T6372">
        <v>2764</v>
      </c>
      <c r="U6372" t="s">
        <v>19</v>
      </c>
    </row>
    <row r="6373" spans="1:21">
      <c r="A6373" t="str">
        <f>("27/10/2025")</f>
        <v>27/10/2025</v>
      </c>
      <c r="B6373" t="str">
        <f>"SAÍDA"</f>
        <v>SAÍDA</v>
      </c>
      <c r="C6373" t="str">
        <f>"PIX"</f>
        <v>PIX</v>
      </c>
      <c r="D6373" t="str">
        <f>"27102025"</f>
        <v>27102025</v>
      </c>
      <c r="E6373" t="str">
        <f t="shared" si="2938"/>
        <v>COM</v>
      </c>
      <c r="F6373" t="str">
        <f>"LILIANE DE FATIMA REZENDE JUSTINO (20013)"</f>
        <v>LILIANE DE FATIMA REZENDE JUSTINO (20013)</v>
      </c>
      <c r="G6373" t="str">
        <f>"DESPESAS COM VIAGEM GOIANIA "</f>
        <v xml:space="preserve">DESPESAS COM VIAGEM GOIANIA </v>
      </c>
      <c r="H6373" t="str">
        <f t="shared" ref="H6373:J6374" si="2939">("27/10/2025")</f>
        <v>27/10/2025</v>
      </c>
      <c r="I6373" t="str">
        <f t="shared" si="2939"/>
        <v>27/10/2025</v>
      </c>
      <c r="J6373" t="str">
        <f t="shared" si="2939"/>
        <v>27/10/2025</v>
      </c>
      <c r="K6373">
        <v>1500</v>
      </c>
      <c r="L6373">
        <v>1500</v>
      </c>
      <c r="M6373">
        <v>128</v>
      </c>
      <c r="N6373" t="str">
        <f>"DESPESAS COM VIAGENS"</f>
        <v>DESPESAS COM VIAGENS</v>
      </c>
      <c r="O6373">
        <v>1500</v>
      </c>
      <c r="R6373" t="str">
        <f>"BANCO CORA (102)"</f>
        <v>BANCO CORA (102)</v>
      </c>
      <c r="S6373">
        <v>3179</v>
      </c>
      <c r="T6373">
        <v>2765</v>
      </c>
      <c r="U6373" t="s">
        <v>19</v>
      </c>
    </row>
    <row r="6374" spans="1:21">
      <c r="A6374" t="str">
        <f>("27/10/2025")</f>
        <v>27/10/2025</v>
      </c>
      <c r="B6374" t="str">
        <f>"SAÍDA"</f>
        <v>SAÍDA</v>
      </c>
      <c r="C6374" t="str">
        <f>"PIX"</f>
        <v>PIX</v>
      </c>
      <c r="D6374" t="str">
        <f>"27102025"</f>
        <v>27102025</v>
      </c>
      <c r="E6374" t="str">
        <f t="shared" si="2938"/>
        <v>COM</v>
      </c>
      <c r="F6374" t="str">
        <f>"LILIANE DE FATIMA REZENDE JUSTINO (20013)"</f>
        <v>LILIANE DE FATIMA REZENDE JUSTINO (20013)</v>
      </c>
      <c r="G6374" t="str">
        <f>"DESPESAS COM VIAGEM GOIANIA "</f>
        <v xml:space="preserve">DESPESAS COM VIAGEM GOIANIA </v>
      </c>
      <c r="H6374" t="str">
        <f t="shared" si="2939"/>
        <v>27/10/2025</v>
      </c>
      <c r="I6374" t="str">
        <f t="shared" si="2939"/>
        <v>27/10/2025</v>
      </c>
      <c r="J6374" t="str">
        <f t="shared" si="2939"/>
        <v>27/10/2025</v>
      </c>
      <c r="M6374">
        <v>128</v>
      </c>
      <c r="N6374" t="str">
        <f>"DESPESAS COM VIAGENS"</f>
        <v>DESPESAS COM VIAGENS</v>
      </c>
      <c r="P6374">
        <v>1500</v>
      </c>
      <c r="Q6374" t="str">
        <f>"LILIANE DE FATIMA REZENDE JUSTINO (20013)"</f>
        <v>LILIANE DE FATIMA REZENDE JUSTINO (20013)</v>
      </c>
      <c r="R6374" t="str">
        <f>"BANCO CORA (102)"</f>
        <v>BANCO CORA (102)</v>
      </c>
      <c r="S6374">
        <v>3179</v>
      </c>
      <c r="T6374">
        <v>2765</v>
      </c>
      <c r="U6374" t="s">
        <v>19</v>
      </c>
    </row>
    <row r="6375" spans="1:21">
      <c r="A6375" t="str">
        <f>("27/10/2025")</f>
        <v>27/10/2025</v>
      </c>
      <c r="B6375" t="str">
        <f>"ENTRADA"</f>
        <v>ENTRADA</v>
      </c>
      <c r="C6375" t="str">
        <f t="shared" ref="C6375:C6406" si="2940">"NFSE"</f>
        <v>NFSE</v>
      </c>
      <c r="D6375" t="str">
        <f>"3653"</f>
        <v>3653</v>
      </c>
      <c r="E6375" t="str">
        <f t="shared" si="2938"/>
        <v>COM</v>
      </c>
      <c r="F6375" t="str">
        <f>"PENSE FARMA 19 (10223)"</f>
        <v>PENSE FARMA 19 (10223)</v>
      </c>
      <c r="G6375" t="str">
        <f>"Serv.Prest. 13/10/2025 a 19/10/2025 - RPS: 1389 - NFSe: 3653"</f>
        <v>Serv.Prest. 13/10/2025 a 19/10/2025 - RPS: 1389 - NFSe: 3653</v>
      </c>
      <c r="H6375" t="str">
        <f>("22/10/2025")</f>
        <v>22/10/2025</v>
      </c>
      <c r="I6375" t="str">
        <f>("20/10/2025")</f>
        <v>20/10/2025</v>
      </c>
      <c r="J6375" t="str">
        <f>("27/10/2025")</f>
        <v>27/10/2025</v>
      </c>
      <c r="K6375">
        <v>462.67</v>
      </c>
      <c r="L6375">
        <v>462.67</v>
      </c>
      <c r="M6375">
        <v>303</v>
      </c>
      <c r="N6375" t="str">
        <f t="shared" ref="N6375:N6406" si="2941">"RECEITAS COM ENTREGAS"</f>
        <v>RECEITAS COM ENTREGAS</v>
      </c>
      <c r="O6375">
        <v>462.67</v>
      </c>
      <c r="R6375" t="str">
        <f t="shared" ref="R6375:R6406" si="2942">"RECEITAS COM ENTREGAS (303)"</f>
        <v>RECEITAS COM ENTREGAS (303)</v>
      </c>
      <c r="S6375">
        <v>3180</v>
      </c>
      <c r="T6375">
        <v>2301</v>
      </c>
      <c r="U6375" t="s">
        <v>19</v>
      </c>
    </row>
    <row r="6376" spans="1:21">
      <c r="A6376" t="str">
        <f>("27/10/2025")</f>
        <v>27/10/2025</v>
      </c>
      <c r="B6376" t="str">
        <f t="shared" ref="B6376:B6439" si="2943">"ENTRADA"</f>
        <v>ENTRADA</v>
      </c>
      <c r="C6376" t="str">
        <f t="shared" si="2940"/>
        <v>NFSE</v>
      </c>
      <c r="D6376" t="str">
        <f>"3653"</f>
        <v>3653</v>
      </c>
      <c r="E6376" t="str">
        <f t="shared" si="2938"/>
        <v>COM</v>
      </c>
      <c r="F6376" t="str">
        <f>"PENSE FARMA 19 (10223)"</f>
        <v>PENSE FARMA 19 (10223)</v>
      </c>
      <c r="G6376" t="str">
        <f>"Serv.Prest. 13/10/2025 a 19/10/2025 - RPS: 1389 - NFSe: 3653"</f>
        <v>Serv.Prest. 13/10/2025 a 19/10/2025 - RPS: 1389 - NFSe: 3653</v>
      </c>
      <c r="H6376" t="str">
        <f>("22/10/2025")</f>
        <v>22/10/2025</v>
      </c>
      <c r="I6376" t="str">
        <f>("20/10/2025")</f>
        <v>20/10/2025</v>
      </c>
      <c r="J6376" t="str">
        <f>("27/10/2025")</f>
        <v>27/10/2025</v>
      </c>
      <c r="M6376">
        <v>303</v>
      </c>
      <c r="N6376" t="str">
        <f t="shared" si="2941"/>
        <v>RECEITAS COM ENTREGAS</v>
      </c>
      <c r="P6376">
        <v>462.67</v>
      </c>
      <c r="Q6376" t="str">
        <f>"PENSE FARMA 19 (10223)"</f>
        <v>PENSE FARMA 19 (10223)</v>
      </c>
      <c r="R6376" t="str">
        <f t="shared" si="2942"/>
        <v>RECEITAS COM ENTREGAS (303)</v>
      </c>
      <c r="S6376">
        <v>3180</v>
      </c>
      <c r="T6376">
        <v>2301</v>
      </c>
      <c r="U6376" t="s">
        <v>19</v>
      </c>
    </row>
    <row r="6377" spans="1:21">
      <c r="A6377" t="str">
        <f>("28/10/2025")</f>
        <v>28/10/2025</v>
      </c>
      <c r="B6377" t="str">
        <f t="shared" si="2943"/>
        <v>ENTRADA</v>
      </c>
      <c r="C6377" t="str">
        <f t="shared" si="2940"/>
        <v>NFSE</v>
      </c>
      <c r="D6377" t="str">
        <f>"3597"</f>
        <v>3597</v>
      </c>
      <c r="E6377" t="str">
        <f t="shared" si="2938"/>
        <v>COM</v>
      </c>
      <c r="F6377" t="str">
        <f>"PAGMENOS - LJ 657 (10136)"</f>
        <v>PAGMENOS - LJ 657 (10136)</v>
      </c>
      <c r="G6377" t="str">
        <f>"Serv.Prest. 06/10/2025 a 12/10/2025 - RPS: 1361 - NFSe: 3597"</f>
        <v>Serv.Prest. 06/10/2025 a 12/10/2025 - RPS: 1361 - NFSe: 3597</v>
      </c>
      <c r="H6377" t="str">
        <f>("23/10/2025")</f>
        <v>23/10/2025</v>
      </c>
      <c r="I6377" t="str">
        <f>("13/10/2025")</f>
        <v>13/10/2025</v>
      </c>
      <c r="J6377" t="str">
        <f>("28/10/2025")</f>
        <v>28/10/2025</v>
      </c>
      <c r="K6377">
        <v>596.6</v>
      </c>
      <c r="L6377">
        <v>596.6</v>
      </c>
      <c r="M6377">
        <v>303</v>
      </c>
      <c r="N6377" t="str">
        <f t="shared" si="2941"/>
        <v>RECEITAS COM ENTREGAS</v>
      </c>
      <c r="O6377">
        <v>596.6</v>
      </c>
      <c r="R6377" t="str">
        <f t="shared" si="2942"/>
        <v>RECEITAS COM ENTREGAS (303)</v>
      </c>
      <c r="S6377">
        <v>2944</v>
      </c>
      <c r="T6377">
        <v>2272</v>
      </c>
      <c r="U6377" t="s">
        <v>19</v>
      </c>
    </row>
    <row r="6378" spans="1:21">
      <c r="A6378" t="str">
        <f>("28/10/2025")</f>
        <v>28/10/2025</v>
      </c>
      <c r="B6378" t="str">
        <f t="shared" si="2943"/>
        <v>ENTRADA</v>
      </c>
      <c r="C6378" t="str">
        <f t="shared" si="2940"/>
        <v>NFSE</v>
      </c>
      <c r="D6378" t="str">
        <f>"3597"</f>
        <v>3597</v>
      </c>
      <c r="E6378" t="str">
        <f t="shared" si="2938"/>
        <v>COM</v>
      </c>
      <c r="F6378" t="str">
        <f>"PAGMENOS - LJ 657 (10136)"</f>
        <v>PAGMENOS - LJ 657 (10136)</v>
      </c>
      <c r="G6378" t="str">
        <f>"Serv.Prest. 06/10/2025 a 12/10/2025 - RPS: 1361 - NFSe: 3597"</f>
        <v>Serv.Prest. 06/10/2025 a 12/10/2025 - RPS: 1361 - NFSe: 3597</v>
      </c>
      <c r="H6378" t="str">
        <f>("23/10/2025")</f>
        <v>23/10/2025</v>
      </c>
      <c r="I6378" t="str">
        <f>("13/10/2025")</f>
        <v>13/10/2025</v>
      </c>
      <c r="J6378" t="str">
        <f>("28/10/2025")</f>
        <v>28/10/2025</v>
      </c>
      <c r="M6378">
        <v>303</v>
      </c>
      <c r="N6378" t="str">
        <f t="shared" si="2941"/>
        <v>RECEITAS COM ENTREGAS</v>
      </c>
      <c r="P6378">
        <v>596.6</v>
      </c>
      <c r="Q6378" t="str">
        <f>"PAGMENOS - LJ 657 (10136)"</f>
        <v>PAGMENOS - LJ 657 (10136)</v>
      </c>
      <c r="R6378" t="str">
        <f t="shared" si="2942"/>
        <v>RECEITAS COM ENTREGAS (303)</v>
      </c>
      <c r="S6378">
        <v>2944</v>
      </c>
      <c r="T6378">
        <v>2272</v>
      </c>
      <c r="U6378" t="s">
        <v>19</v>
      </c>
    </row>
    <row r="6379" spans="1:21">
      <c r="A6379" t="str">
        <f>("28/10/2025")</f>
        <v>28/10/2025</v>
      </c>
      <c r="B6379" t="str">
        <f t="shared" si="2943"/>
        <v>ENTRADA</v>
      </c>
      <c r="C6379" t="str">
        <f t="shared" si="2940"/>
        <v>NFSE</v>
      </c>
      <c r="D6379" t="str">
        <f>"3681"</f>
        <v>3681</v>
      </c>
      <c r="E6379" t="str">
        <f t="shared" si="2938"/>
        <v>COM</v>
      </c>
      <c r="F6379" t="str">
        <f>"PENSE FARMA 25 (10224)"</f>
        <v>PENSE FARMA 25 (10224)</v>
      </c>
      <c r="G6379" t="str">
        <f>"Serv.Prest. 20/10/2025 a 26/10/2025 - RPS: 1445 - NFSe: 3681"</f>
        <v>Serv.Prest. 20/10/2025 a 26/10/2025 - RPS: 1445 - NFSe: 3681</v>
      </c>
      <c r="H6379" t="str">
        <f t="shared" ref="H6379:H6410" si="2944">("29/10/2025")</f>
        <v>29/10/2025</v>
      </c>
      <c r="I6379" t="str">
        <f>("27/10/2025")</f>
        <v>27/10/2025</v>
      </c>
      <c r="J6379" t="str">
        <f>("28/10/2025")</f>
        <v>28/10/2025</v>
      </c>
      <c r="K6379">
        <v>557.11</v>
      </c>
      <c r="L6379">
        <v>557.11</v>
      </c>
      <c r="M6379">
        <v>303</v>
      </c>
      <c r="N6379" t="str">
        <f t="shared" si="2941"/>
        <v>RECEITAS COM ENTREGAS</v>
      </c>
      <c r="O6379">
        <v>557.11</v>
      </c>
      <c r="R6379" t="str">
        <f t="shared" si="2942"/>
        <v>RECEITAS COM ENTREGAS (303)</v>
      </c>
      <c r="S6379">
        <v>3181</v>
      </c>
      <c r="T6379">
        <v>2367</v>
      </c>
      <c r="U6379" t="s">
        <v>19</v>
      </c>
    </row>
    <row r="6380" spans="1:21">
      <c r="A6380" t="str">
        <f>("28/10/2025")</f>
        <v>28/10/2025</v>
      </c>
      <c r="B6380" t="str">
        <f t="shared" si="2943"/>
        <v>ENTRADA</v>
      </c>
      <c r="C6380" t="str">
        <f t="shared" si="2940"/>
        <v>NFSE</v>
      </c>
      <c r="D6380" t="str">
        <f>"3681"</f>
        <v>3681</v>
      </c>
      <c r="E6380" t="str">
        <f t="shared" si="2938"/>
        <v>COM</v>
      </c>
      <c r="F6380" t="str">
        <f>"PENSE FARMA 25 (10224)"</f>
        <v>PENSE FARMA 25 (10224)</v>
      </c>
      <c r="G6380" t="str">
        <f>"Serv.Prest. 20/10/2025 a 26/10/2025 - RPS: 1445 - NFSe: 3681"</f>
        <v>Serv.Prest. 20/10/2025 a 26/10/2025 - RPS: 1445 - NFSe: 3681</v>
      </c>
      <c r="H6380" t="str">
        <f t="shared" si="2944"/>
        <v>29/10/2025</v>
      </c>
      <c r="I6380" t="str">
        <f>("27/10/2025")</f>
        <v>27/10/2025</v>
      </c>
      <c r="J6380" t="str">
        <f>("28/10/2025")</f>
        <v>28/10/2025</v>
      </c>
      <c r="M6380">
        <v>303</v>
      </c>
      <c r="N6380" t="str">
        <f t="shared" si="2941"/>
        <v>RECEITAS COM ENTREGAS</v>
      </c>
      <c r="P6380">
        <v>557.11</v>
      </c>
      <c r="Q6380" t="str">
        <f>"PENSE FARMA 25 (10224)"</f>
        <v>PENSE FARMA 25 (10224)</v>
      </c>
      <c r="R6380" t="str">
        <f t="shared" si="2942"/>
        <v>RECEITAS COM ENTREGAS (303)</v>
      </c>
      <c r="S6380">
        <v>3181</v>
      </c>
      <c r="T6380">
        <v>2367</v>
      </c>
      <c r="U6380" t="s">
        <v>19</v>
      </c>
    </row>
    <row r="6381" spans="1:21">
      <c r="A6381" t="str">
        <f t="shared" ref="A6381:A6412" si="2945">("29/10/2025")</f>
        <v>29/10/2025</v>
      </c>
      <c r="B6381" t="str">
        <f t="shared" si="2943"/>
        <v>ENTRADA</v>
      </c>
      <c r="C6381" t="str">
        <f t="shared" si="2940"/>
        <v>NFSE</v>
      </c>
      <c r="D6381" t="str">
        <f t="shared" ref="D6381:D6428" si="2946">"3658"</f>
        <v>3658</v>
      </c>
      <c r="E6381" t="str">
        <f t="shared" si="2938"/>
        <v>COM</v>
      </c>
      <c r="F6381" t="str">
        <f t="shared" ref="F6381:F6428" si="2947">"FARMÁCIA INDIANA LJ 1 (10126)"</f>
        <v>FARMÁCIA INDIANA LJ 1 (10126)</v>
      </c>
      <c r="G6381" t="str">
        <f t="shared" ref="G6381:G6428" si="2948">"Serv.Prest. 13/10/2025 a 19/10/2025 - RPS: 1422 - NFSe: 3658"</f>
        <v>Serv.Prest. 13/10/2025 a 19/10/2025 - RPS: 1422 - NFSe: 3658</v>
      </c>
      <c r="H6381" t="str">
        <f t="shared" si="2944"/>
        <v>29/10/2025</v>
      </c>
      <c r="I6381" t="str">
        <f t="shared" ref="I6381:I6412" si="2949">("21/10/2025")</f>
        <v>21/10/2025</v>
      </c>
      <c r="J6381" t="str">
        <f t="shared" ref="J6381:J6412" si="2950">("29/10/2025")</f>
        <v>29/10/2025</v>
      </c>
      <c r="K6381">
        <v>13974</v>
      </c>
      <c r="L6381">
        <v>13974</v>
      </c>
      <c r="M6381">
        <v>303</v>
      </c>
      <c r="N6381" t="str">
        <f t="shared" si="2941"/>
        <v>RECEITAS COM ENTREGAS</v>
      </c>
      <c r="O6381">
        <v>13974</v>
      </c>
      <c r="R6381" t="str">
        <f t="shared" si="2942"/>
        <v>RECEITAS COM ENTREGAS (303)</v>
      </c>
      <c r="S6381">
        <v>2826</v>
      </c>
      <c r="T6381">
        <v>2334</v>
      </c>
      <c r="U6381" t="s">
        <v>19</v>
      </c>
    </row>
    <row r="6382" spans="1:21">
      <c r="A6382" t="str">
        <f t="shared" si="2945"/>
        <v>29/10/2025</v>
      </c>
      <c r="B6382" t="str">
        <f t="shared" si="2943"/>
        <v>ENTRADA</v>
      </c>
      <c r="C6382" t="str">
        <f t="shared" si="2940"/>
        <v>NFSE</v>
      </c>
      <c r="D6382" t="str">
        <f t="shared" si="2946"/>
        <v>3658</v>
      </c>
      <c r="E6382" t="str">
        <f t="shared" si="2938"/>
        <v>COM</v>
      </c>
      <c r="F6382" t="str">
        <f t="shared" si="2947"/>
        <v>FARMÁCIA INDIANA LJ 1 (10126)</v>
      </c>
      <c r="G6382" t="str">
        <f t="shared" si="2948"/>
        <v>Serv.Prest. 13/10/2025 a 19/10/2025 - RPS: 1422 - NFSe: 3658</v>
      </c>
      <c r="H6382" t="str">
        <f t="shared" si="2944"/>
        <v>29/10/2025</v>
      </c>
      <c r="I6382" t="str">
        <f t="shared" si="2949"/>
        <v>21/10/2025</v>
      </c>
      <c r="J6382" t="str">
        <f t="shared" si="2950"/>
        <v>29/10/2025</v>
      </c>
      <c r="M6382">
        <v>303</v>
      </c>
      <c r="N6382" t="str">
        <f t="shared" si="2941"/>
        <v>RECEITAS COM ENTREGAS</v>
      </c>
      <c r="P6382">
        <v>2010.84</v>
      </c>
      <c r="Q6382" t="str">
        <f>"FARMÁCIA INDIANA LJ 06 (10006)"</f>
        <v>FARMÁCIA INDIANA LJ 06 (10006)</v>
      </c>
      <c r="R6382" t="str">
        <f t="shared" si="2942"/>
        <v>RECEITAS COM ENTREGAS (303)</v>
      </c>
      <c r="S6382">
        <v>2826</v>
      </c>
      <c r="T6382">
        <v>2334</v>
      </c>
      <c r="U6382" t="s">
        <v>19</v>
      </c>
    </row>
    <row r="6383" spans="1:21">
      <c r="A6383" t="str">
        <f t="shared" si="2945"/>
        <v>29/10/2025</v>
      </c>
      <c r="B6383" t="str">
        <f t="shared" si="2943"/>
        <v>ENTRADA</v>
      </c>
      <c r="C6383" t="str">
        <f t="shared" si="2940"/>
        <v>NFSE</v>
      </c>
      <c r="D6383" t="str">
        <f t="shared" si="2946"/>
        <v>3658</v>
      </c>
      <c r="E6383" t="str">
        <f t="shared" si="2938"/>
        <v>COM</v>
      </c>
      <c r="F6383" t="str">
        <f t="shared" si="2947"/>
        <v>FARMÁCIA INDIANA LJ 1 (10126)</v>
      </c>
      <c r="G6383" t="str">
        <f t="shared" si="2948"/>
        <v>Serv.Prest. 13/10/2025 a 19/10/2025 - RPS: 1422 - NFSe: 3658</v>
      </c>
      <c r="H6383" t="str">
        <f t="shared" si="2944"/>
        <v>29/10/2025</v>
      </c>
      <c r="I6383" t="str">
        <f t="shared" si="2949"/>
        <v>21/10/2025</v>
      </c>
      <c r="J6383" t="str">
        <f t="shared" si="2950"/>
        <v>29/10/2025</v>
      </c>
      <c r="M6383">
        <v>303</v>
      </c>
      <c r="N6383" t="str">
        <f t="shared" si="2941"/>
        <v>RECEITAS COM ENTREGAS</v>
      </c>
      <c r="P6383">
        <v>1451.9</v>
      </c>
      <c r="Q6383" t="str">
        <f>"FARMÁCIA INDIANA LJ 07 (10007)"</f>
        <v>FARMÁCIA INDIANA LJ 07 (10007)</v>
      </c>
      <c r="R6383" t="str">
        <f t="shared" si="2942"/>
        <v>RECEITAS COM ENTREGAS (303)</v>
      </c>
      <c r="S6383">
        <v>2826</v>
      </c>
      <c r="T6383">
        <v>2334</v>
      </c>
      <c r="U6383" t="s">
        <v>19</v>
      </c>
    </row>
    <row r="6384" spans="1:21">
      <c r="A6384" t="str">
        <f t="shared" si="2945"/>
        <v>29/10/2025</v>
      </c>
      <c r="B6384" t="str">
        <f t="shared" si="2943"/>
        <v>ENTRADA</v>
      </c>
      <c r="C6384" t="str">
        <f t="shared" si="2940"/>
        <v>NFSE</v>
      </c>
      <c r="D6384" t="str">
        <f t="shared" si="2946"/>
        <v>3658</v>
      </c>
      <c r="E6384" t="str">
        <f t="shared" si="2938"/>
        <v>COM</v>
      </c>
      <c r="F6384" t="str">
        <f t="shared" si="2947"/>
        <v>FARMÁCIA INDIANA LJ 1 (10126)</v>
      </c>
      <c r="G6384" t="str">
        <f t="shared" si="2948"/>
        <v>Serv.Prest. 13/10/2025 a 19/10/2025 - RPS: 1422 - NFSe: 3658</v>
      </c>
      <c r="H6384" t="str">
        <f t="shared" si="2944"/>
        <v>29/10/2025</v>
      </c>
      <c r="I6384" t="str">
        <f t="shared" si="2949"/>
        <v>21/10/2025</v>
      </c>
      <c r="J6384" t="str">
        <f t="shared" si="2950"/>
        <v>29/10/2025</v>
      </c>
      <c r="M6384">
        <v>303</v>
      </c>
      <c r="N6384" t="str">
        <f t="shared" si="2941"/>
        <v>RECEITAS COM ENTREGAS</v>
      </c>
      <c r="P6384">
        <v>1036.8699999999999</v>
      </c>
      <c r="Q6384" t="str">
        <f>"FARMÁCIA INDIANA LJ 11 (10008)"</f>
        <v>FARMÁCIA INDIANA LJ 11 (10008)</v>
      </c>
      <c r="R6384" t="str">
        <f t="shared" si="2942"/>
        <v>RECEITAS COM ENTREGAS (303)</v>
      </c>
      <c r="S6384">
        <v>2826</v>
      </c>
      <c r="T6384">
        <v>2334</v>
      </c>
      <c r="U6384" t="s">
        <v>19</v>
      </c>
    </row>
    <row r="6385" spans="1:21">
      <c r="A6385" t="str">
        <f t="shared" si="2945"/>
        <v>29/10/2025</v>
      </c>
      <c r="B6385" t="str">
        <f t="shared" si="2943"/>
        <v>ENTRADA</v>
      </c>
      <c r="C6385" t="str">
        <f t="shared" si="2940"/>
        <v>NFSE</v>
      </c>
      <c r="D6385" t="str">
        <f t="shared" si="2946"/>
        <v>3658</v>
      </c>
      <c r="E6385" t="str">
        <f t="shared" si="2938"/>
        <v>COM</v>
      </c>
      <c r="F6385" t="str">
        <f t="shared" si="2947"/>
        <v>FARMÁCIA INDIANA LJ 1 (10126)</v>
      </c>
      <c r="G6385" t="str">
        <f t="shared" si="2948"/>
        <v>Serv.Prest. 13/10/2025 a 19/10/2025 - RPS: 1422 - NFSe: 3658</v>
      </c>
      <c r="H6385" t="str">
        <f t="shared" si="2944"/>
        <v>29/10/2025</v>
      </c>
      <c r="I6385" t="str">
        <f t="shared" si="2949"/>
        <v>21/10/2025</v>
      </c>
      <c r="J6385" t="str">
        <f t="shared" si="2950"/>
        <v>29/10/2025</v>
      </c>
      <c r="M6385">
        <v>303</v>
      </c>
      <c r="N6385" t="str">
        <f t="shared" si="2941"/>
        <v>RECEITAS COM ENTREGAS</v>
      </c>
      <c r="P6385">
        <v>458.35</v>
      </c>
      <c r="Q6385" t="str">
        <f>"FARMÁCIA INDIANA LJ 14 (10009)"</f>
        <v>FARMÁCIA INDIANA LJ 14 (10009)</v>
      </c>
      <c r="R6385" t="str">
        <f t="shared" si="2942"/>
        <v>RECEITAS COM ENTREGAS (303)</v>
      </c>
      <c r="S6385">
        <v>2826</v>
      </c>
      <c r="T6385">
        <v>2334</v>
      </c>
      <c r="U6385" t="s">
        <v>19</v>
      </c>
    </row>
    <row r="6386" spans="1:21">
      <c r="A6386" t="str">
        <f t="shared" si="2945"/>
        <v>29/10/2025</v>
      </c>
      <c r="B6386" t="str">
        <f t="shared" si="2943"/>
        <v>ENTRADA</v>
      </c>
      <c r="C6386" t="str">
        <f t="shared" si="2940"/>
        <v>NFSE</v>
      </c>
      <c r="D6386" t="str">
        <f t="shared" si="2946"/>
        <v>3658</v>
      </c>
      <c r="E6386" t="str">
        <f t="shared" si="2938"/>
        <v>COM</v>
      </c>
      <c r="F6386" t="str">
        <f t="shared" si="2947"/>
        <v>FARMÁCIA INDIANA LJ 1 (10126)</v>
      </c>
      <c r="G6386" t="str">
        <f t="shared" si="2948"/>
        <v>Serv.Prest. 13/10/2025 a 19/10/2025 - RPS: 1422 - NFSe: 3658</v>
      </c>
      <c r="H6386" t="str">
        <f t="shared" si="2944"/>
        <v>29/10/2025</v>
      </c>
      <c r="I6386" t="str">
        <f t="shared" si="2949"/>
        <v>21/10/2025</v>
      </c>
      <c r="J6386" t="str">
        <f t="shared" si="2950"/>
        <v>29/10/2025</v>
      </c>
      <c r="M6386">
        <v>303</v>
      </c>
      <c r="N6386" t="str">
        <f t="shared" si="2941"/>
        <v>RECEITAS COM ENTREGAS</v>
      </c>
      <c r="P6386">
        <v>410.84</v>
      </c>
      <c r="Q6386" t="str">
        <f>"FARMÁCIA INDIANA LJ 18 (10011)"</f>
        <v>FARMÁCIA INDIANA LJ 18 (10011)</v>
      </c>
      <c r="R6386" t="str">
        <f t="shared" si="2942"/>
        <v>RECEITAS COM ENTREGAS (303)</v>
      </c>
      <c r="S6386">
        <v>2826</v>
      </c>
      <c r="T6386">
        <v>2334</v>
      </c>
      <c r="U6386" t="s">
        <v>19</v>
      </c>
    </row>
    <row r="6387" spans="1:21">
      <c r="A6387" t="str">
        <f t="shared" si="2945"/>
        <v>29/10/2025</v>
      </c>
      <c r="B6387" t="str">
        <f t="shared" si="2943"/>
        <v>ENTRADA</v>
      </c>
      <c r="C6387" t="str">
        <f t="shared" si="2940"/>
        <v>NFSE</v>
      </c>
      <c r="D6387" t="str">
        <f t="shared" si="2946"/>
        <v>3658</v>
      </c>
      <c r="E6387" t="str">
        <f t="shared" si="2938"/>
        <v>COM</v>
      </c>
      <c r="F6387" t="str">
        <f t="shared" si="2947"/>
        <v>FARMÁCIA INDIANA LJ 1 (10126)</v>
      </c>
      <c r="G6387" t="str">
        <f t="shared" si="2948"/>
        <v>Serv.Prest. 13/10/2025 a 19/10/2025 - RPS: 1422 - NFSe: 3658</v>
      </c>
      <c r="H6387" t="str">
        <f t="shared" si="2944"/>
        <v>29/10/2025</v>
      </c>
      <c r="I6387" t="str">
        <f t="shared" si="2949"/>
        <v>21/10/2025</v>
      </c>
      <c r="J6387" t="str">
        <f t="shared" si="2950"/>
        <v>29/10/2025</v>
      </c>
      <c r="M6387">
        <v>303</v>
      </c>
      <c r="N6387" t="str">
        <f t="shared" si="2941"/>
        <v>RECEITAS COM ENTREGAS</v>
      </c>
      <c r="P6387">
        <v>392.67</v>
      </c>
      <c r="Q6387" t="str">
        <f>"FARMÁCIA INDIANA LJ 19 (10012)"</f>
        <v>FARMÁCIA INDIANA LJ 19 (10012)</v>
      </c>
      <c r="R6387" t="str">
        <f t="shared" si="2942"/>
        <v>RECEITAS COM ENTREGAS (303)</v>
      </c>
      <c r="S6387">
        <v>2826</v>
      </c>
      <c r="T6387">
        <v>2334</v>
      </c>
      <c r="U6387" t="s">
        <v>19</v>
      </c>
    </row>
    <row r="6388" spans="1:21">
      <c r="A6388" t="str">
        <f t="shared" si="2945"/>
        <v>29/10/2025</v>
      </c>
      <c r="B6388" t="str">
        <f t="shared" si="2943"/>
        <v>ENTRADA</v>
      </c>
      <c r="C6388" t="str">
        <f t="shared" si="2940"/>
        <v>NFSE</v>
      </c>
      <c r="D6388" t="str">
        <f t="shared" si="2946"/>
        <v>3658</v>
      </c>
      <c r="E6388" t="str">
        <f t="shared" si="2938"/>
        <v>COM</v>
      </c>
      <c r="F6388" t="str">
        <f t="shared" si="2947"/>
        <v>FARMÁCIA INDIANA LJ 1 (10126)</v>
      </c>
      <c r="G6388" t="str">
        <f t="shared" si="2948"/>
        <v>Serv.Prest. 13/10/2025 a 19/10/2025 - RPS: 1422 - NFSe: 3658</v>
      </c>
      <c r="H6388" t="str">
        <f t="shared" si="2944"/>
        <v>29/10/2025</v>
      </c>
      <c r="I6388" t="str">
        <f t="shared" si="2949"/>
        <v>21/10/2025</v>
      </c>
      <c r="J6388" t="str">
        <f t="shared" si="2950"/>
        <v>29/10/2025</v>
      </c>
      <c r="M6388">
        <v>303</v>
      </c>
      <c r="N6388" t="str">
        <f t="shared" si="2941"/>
        <v>RECEITAS COM ENTREGAS</v>
      </c>
      <c r="P6388">
        <v>384.29</v>
      </c>
      <c r="Q6388" t="str">
        <f>"FARMÁCIA INDIANA LJ 40 (10016)"</f>
        <v>FARMÁCIA INDIANA LJ 40 (10016)</v>
      </c>
      <c r="R6388" t="str">
        <f t="shared" si="2942"/>
        <v>RECEITAS COM ENTREGAS (303)</v>
      </c>
      <c r="S6388">
        <v>2826</v>
      </c>
      <c r="T6388">
        <v>2334</v>
      </c>
      <c r="U6388" t="s">
        <v>19</v>
      </c>
    </row>
    <row r="6389" spans="1:21">
      <c r="A6389" t="str">
        <f t="shared" si="2945"/>
        <v>29/10/2025</v>
      </c>
      <c r="B6389" t="str">
        <f t="shared" si="2943"/>
        <v>ENTRADA</v>
      </c>
      <c r="C6389" t="str">
        <f t="shared" si="2940"/>
        <v>NFSE</v>
      </c>
      <c r="D6389" t="str">
        <f t="shared" si="2946"/>
        <v>3658</v>
      </c>
      <c r="E6389" t="str">
        <f t="shared" si="2938"/>
        <v>COM</v>
      </c>
      <c r="F6389" t="str">
        <f t="shared" si="2947"/>
        <v>FARMÁCIA INDIANA LJ 1 (10126)</v>
      </c>
      <c r="G6389" t="str">
        <f t="shared" si="2948"/>
        <v>Serv.Prest. 13/10/2025 a 19/10/2025 - RPS: 1422 - NFSe: 3658</v>
      </c>
      <c r="H6389" t="str">
        <f t="shared" si="2944"/>
        <v>29/10/2025</v>
      </c>
      <c r="I6389" t="str">
        <f t="shared" si="2949"/>
        <v>21/10/2025</v>
      </c>
      <c r="J6389" t="str">
        <f t="shared" si="2950"/>
        <v>29/10/2025</v>
      </c>
      <c r="M6389">
        <v>303</v>
      </c>
      <c r="N6389" t="str">
        <f t="shared" si="2941"/>
        <v>RECEITAS COM ENTREGAS</v>
      </c>
      <c r="P6389">
        <v>360.53</v>
      </c>
      <c r="Q6389" t="str">
        <f>"FARMÁCIA INDIANA LJ 59 (10026)"</f>
        <v>FARMÁCIA INDIANA LJ 59 (10026)</v>
      </c>
      <c r="R6389" t="str">
        <f t="shared" si="2942"/>
        <v>RECEITAS COM ENTREGAS (303)</v>
      </c>
      <c r="S6389">
        <v>2826</v>
      </c>
      <c r="T6389">
        <v>2334</v>
      </c>
      <c r="U6389" t="s">
        <v>19</v>
      </c>
    </row>
    <row r="6390" spans="1:21">
      <c r="A6390" t="str">
        <f t="shared" si="2945"/>
        <v>29/10/2025</v>
      </c>
      <c r="B6390" t="str">
        <f t="shared" si="2943"/>
        <v>ENTRADA</v>
      </c>
      <c r="C6390" t="str">
        <f t="shared" si="2940"/>
        <v>NFSE</v>
      </c>
      <c r="D6390" t="str">
        <f t="shared" si="2946"/>
        <v>3658</v>
      </c>
      <c r="E6390" t="str">
        <f t="shared" si="2938"/>
        <v>COM</v>
      </c>
      <c r="F6390" t="str">
        <f t="shared" si="2947"/>
        <v>FARMÁCIA INDIANA LJ 1 (10126)</v>
      </c>
      <c r="G6390" t="str">
        <f t="shared" si="2948"/>
        <v>Serv.Prest. 13/10/2025 a 19/10/2025 - RPS: 1422 - NFSe: 3658</v>
      </c>
      <c r="H6390" t="str">
        <f t="shared" si="2944"/>
        <v>29/10/2025</v>
      </c>
      <c r="I6390" t="str">
        <f t="shared" si="2949"/>
        <v>21/10/2025</v>
      </c>
      <c r="J6390" t="str">
        <f t="shared" si="2950"/>
        <v>29/10/2025</v>
      </c>
      <c r="M6390">
        <v>303</v>
      </c>
      <c r="N6390" t="str">
        <f t="shared" si="2941"/>
        <v>RECEITAS COM ENTREGAS</v>
      </c>
      <c r="P6390">
        <v>441.58</v>
      </c>
      <c r="Q6390" t="str">
        <f>"FARMÁCIA INDIANA LJ 61 (10027)"</f>
        <v>FARMÁCIA INDIANA LJ 61 (10027)</v>
      </c>
      <c r="R6390" t="str">
        <f t="shared" si="2942"/>
        <v>RECEITAS COM ENTREGAS (303)</v>
      </c>
      <c r="S6390">
        <v>2826</v>
      </c>
      <c r="T6390">
        <v>2334</v>
      </c>
      <c r="U6390" t="s">
        <v>19</v>
      </c>
    </row>
    <row r="6391" spans="1:21">
      <c r="A6391" t="str">
        <f t="shared" si="2945"/>
        <v>29/10/2025</v>
      </c>
      <c r="B6391" t="str">
        <f t="shared" si="2943"/>
        <v>ENTRADA</v>
      </c>
      <c r="C6391" t="str">
        <f t="shared" si="2940"/>
        <v>NFSE</v>
      </c>
      <c r="D6391" t="str">
        <f t="shared" si="2946"/>
        <v>3658</v>
      </c>
      <c r="E6391" t="str">
        <f t="shared" si="2938"/>
        <v>COM</v>
      </c>
      <c r="F6391" t="str">
        <f t="shared" si="2947"/>
        <v>FARMÁCIA INDIANA LJ 1 (10126)</v>
      </c>
      <c r="G6391" t="str">
        <f t="shared" si="2948"/>
        <v>Serv.Prest. 13/10/2025 a 19/10/2025 - RPS: 1422 - NFSe: 3658</v>
      </c>
      <c r="H6391" t="str">
        <f t="shared" si="2944"/>
        <v>29/10/2025</v>
      </c>
      <c r="I6391" t="str">
        <f t="shared" si="2949"/>
        <v>21/10/2025</v>
      </c>
      <c r="J6391" t="str">
        <f t="shared" si="2950"/>
        <v>29/10/2025</v>
      </c>
      <c r="M6391">
        <v>303</v>
      </c>
      <c r="N6391" t="str">
        <f t="shared" si="2941"/>
        <v>RECEITAS COM ENTREGAS</v>
      </c>
      <c r="P6391">
        <v>285.07</v>
      </c>
      <c r="Q6391" t="str">
        <f>"FARMÁCIA INDIANA LJ 62 (10028)"</f>
        <v>FARMÁCIA INDIANA LJ 62 (10028)</v>
      </c>
      <c r="R6391" t="str">
        <f t="shared" si="2942"/>
        <v>RECEITAS COM ENTREGAS (303)</v>
      </c>
      <c r="S6391">
        <v>2826</v>
      </c>
      <c r="T6391">
        <v>2334</v>
      </c>
      <c r="U6391" t="s">
        <v>19</v>
      </c>
    </row>
    <row r="6392" spans="1:21">
      <c r="A6392" t="str">
        <f t="shared" si="2945"/>
        <v>29/10/2025</v>
      </c>
      <c r="B6392" t="str">
        <f t="shared" si="2943"/>
        <v>ENTRADA</v>
      </c>
      <c r="C6392" t="str">
        <f t="shared" si="2940"/>
        <v>NFSE</v>
      </c>
      <c r="D6392" t="str">
        <f t="shared" si="2946"/>
        <v>3658</v>
      </c>
      <c r="E6392" t="str">
        <f t="shared" si="2938"/>
        <v>COM</v>
      </c>
      <c r="F6392" t="str">
        <f t="shared" si="2947"/>
        <v>FARMÁCIA INDIANA LJ 1 (10126)</v>
      </c>
      <c r="G6392" t="str">
        <f t="shared" si="2948"/>
        <v>Serv.Prest. 13/10/2025 a 19/10/2025 - RPS: 1422 - NFSe: 3658</v>
      </c>
      <c r="H6392" t="str">
        <f t="shared" si="2944"/>
        <v>29/10/2025</v>
      </c>
      <c r="I6392" t="str">
        <f t="shared" si="2949"/>
        <v>21/10/2025</v>
      </c>
      <c r="J6392" t="str">
        <f t="shared" si="2950"/>
        <v>29/10/2025</v>
      </c>
      <c r="M6392">
        <v>303</v>
      </c>
      <c r="N6392" t="str">
        <f t="shared" si="2941"/>
        <v>RECEITAS COM ENTREGAS</v>
      </c>
      <c r="P6392">
        <v>107.6</v>
      </c>
      <c r="Q6392" t="str">
        <f>"FARMÁCIA INDIANA LJ 64 (10029)"</f>
        <v>FARMÁCIA INDIANA LJ 64 (10029)</v>
      </c>
      <c r="R6392" t="str">
        <f t="shared" si="2942"/>
        <v>RECEITAS COM ENTREGAS (303)</v>
      </c>
      <c r="S6392">
        <v>2826</v>
      </c>
      <c r="T6392">
        <v>2334</v>
      </c>
      <c r="U6392" t="s">
        <v>19</v>
      </c>
    </row>
    <row r="6393" spans="1:21">
      <c r="A6393" t="str">
        <f t="shared" si="2945"/>
        <v>29/10/2025</v>
      </c>
      <c r="B6393" t="str">
        <f t="shared" si="2943"/>
        <v>ENTRADA</v>
      </c>
      <c r="C6393" t="str">
        <f t="shared" si="2940"/>
        <v>NFSE</v>
      </c>
      <c r="D6393" t="str">
        <f t="shared" si="2946"/>
        <v>3658</v>
      </c>
      <c r="E6393" t="str">
        <f t="shared" si="2938"/>
        <v>COM</v>
      </c>
      <c r="F6393" t="str">
        <f t="shared" si="2947"/>
        <v>FARMÁCIA INDIANA LJ 1 (10126)</v>
      </c>
      <c r="G6393" t="str">
        <f t="shared" si="2948"/>
        <v>Serv.Prest. 13/10/2025 a 19/10/2025 - RPS: 1422 - NFSe: 3658</v>
      </c>
      <c r="H6393" t="str">
        <f t="shared" si="2944"/>
        <v>29/10/2025</v>
      </c>
      <c r="I6393" t="str">
        <f t="shared" si="2949"/>
        <v>21/10/2025</v>
      </c>
      <c r="J6393" t="str">
        <f t="shared" si="2950"/>
        <v>29/10/2025</v>
      </c>
      <c r="M6393">
        <v>303</v>
      </c>
      <c r="N6393" t="str">
        <f t="shared" si="2941"/>
        <v>RECEITAS COM ENTREGAS</v>
      </c>
      <c r="P6393">
        <v>67.08</v>
      </c>
      <c r="Q6393" t="str">
        <f>"FARMÁCIA INDIANA LJ 97 (10040)"</f>
        <v>FARMÁCIA INDIANA LJ 97 (10040)</v>
      </c>
      <c r="R6393" t="str">
        <f t="shared" si="2942"/>
        <v>RECEITAS COM ENTREGAS (303)</v>
      </c>
      <c r="S6393">
        <v>2826</v>
      </c>
      <c r="T6393">
        <v>2334</v>
      </c>
      <c r="U6393" t="s">
        <v>19</v>
      </c>
    </row>
    <row r="6394" spans="1:21">
      <c r="A6394" t="str">
        <f t="shared" si="2945"/>
        <v>29/10/2025</v>
      </c>
      <c r="B6394" t="str">
        <f t="shared" si="2943"/>
        <v>ENTRADA</v>
      </c>
      <c r="C6394" t="str">
        <f t="shared" si="2940"/>
        <v>NFSE</v>
      </c>
      <c r="D6394" t="str">
        <f t="shared" si="2946"/>
        <v>3658</v>
      </c>
      <c r="E6394" t="str">
        <f t="shared" si="2938"/>
        <v>COM</v>
      </c>
      <c r="F6394" t="str">
        <f t="shared" si="2947"/>
        <v>FARMÁCIA INDIANA LJ 1 (10126)</v>
      </c>
      <c r="G6394" t="str">
        <f t="shared" si="2948"/>
        <v>Serv.Prest. 13/10/2025 a 19/10/2025 - RPS: 1422 - NFSe: 3658</v>
      </c>
      <c r="H6394" t="str">
        <f t="shared" si="2944"/>
        <v>29/10/2025</v>
      </c>
      <c r="I6394" t="str">
        <f t="shared" si="2949"/>
        <v>21/10/2025</v>
      </c>
      <c r="J6394" t="str">
        <f t="shared" si="2950"/>
        <v>29/10/2025</v>
      </c>
      <c r="M6394">
        <v>303</v>
      </c>
      <c r="N6394" t="str">
        <f t="shared" si="2941"/>
        <v>RECEITAS COM ENTREGAS</v>
      </c>
      <c r="P6394">
        <v>300.44</v>
      </c>
      <c r="Q6394" t="str">
        <f>"FARMÁCIA INDIANA LJ 100 (10042)"</f>
        <v>FARMÁCIA INDIANA LJ 100 (10042)</v>
      </c>
      <c r="R6394" t="str">
        <f t="shared" si="2942"/>
        <v>RECEITAS COM ENTREGAS (303)</v>
      </c>
      <c r="S6394">
        <v>2826</v>
      </c>
      <c r="T6394">
        <v>2334</v>
      </c>
      <c r="U6394" t="s">
        <v>19</v>
      </c>
    </row>
    <row r="6395" spans="1:21">
      <c r="A6395" t="str">
        <f t="shared" si="2945"/>
        <v>29/10/2025</v>
      </c>
      <c r="B6395" t="str">
        <f t="shared" si="2943"/>
        <v>ENTRADA</v>
      </c>
      <c r="C6395" t="str">
        <f t="shared" si="2940"/>
        <v>NFSE</v>
      </c>
      <c r="D6395" t="str">
        <f t="shared" si="2946"/>
        <v>3658</v>
      </c>
      <c r="E6395" t="str">
        <f t="shared" si="2938"/>
        <v>COM</v>
      </c>
      <c r="F6395" t="str">
        <f t="shared" si="2947"/>
        <v>FARMÁCIA INDIANA LJ 1 (10126)</v>
      </c>
      <c r="G6395" t="str">
        <f t="shared" si="2948"/>
        <v>Serv.Prest. 13/10/2025 a 19/10/2025 - RPS: 1422 - NFSe: 3658</v>
      </c>
      <c r="H6395" t="str">
        <f t="shared" si="2944"/>
        <v>29/10/2025</v>
      </c>
      <c r="I6395" t="str">
        <f t="shared" si="2949"/>
        <v>21/10/2025</v>
      </c>
      <c r="J6395" t="str">
        <f t="shared" si="2950"/>
        <v>29/10/2025</v>
      </c>
      <c r="M6395">
        <v>303</v>
      </c>
      <c r="N6395" t="str">
        <f t="shared" si="2941"/>
        <v>RECEITAS COM ENTREGAS</v>
      </c>
      <c r="P6395">
        <v>542.19000000000005</v>
      </c>
      <c r="Q6395" t="str">
        <f>"FARMÁCIA INDIANA LJ 101 (10043)"</f>
        <v>FARMÁCIA INDIANA LJ 101 (10043)</v>
      </c>
      <c r="R6395" t="str">
        <f t="shared" si="2942"/>
        <v>RECEITAS COM ENTREGAS (303)</v>
      </c>
      <c r="S6395">
        <v>2826</v>
      </c>
      <c r="T6395">
        <v>2334</v>
      </c>
      <c r="U6395" t="s">
        <v>19</v>
      </c>
    </row>
    <row r="6396" spans="1:21">
      <c r="A6396" t="str">
        <f t="shared" si="2945"/>
        <v>29/10/2025</v>
      </c>
      <c r="B6396" t="str">
        <f t="shared" si="2943"/>
        <v>ENTRADA</v>
      </c>
      <c r="C6396" t="str">
        <f t="shared" si="2940"/>
        <v>NFSE</v>
      </c>
      <c r="D6396" t="str">
        <f t="shared" si="2946"/>
        <v>3658</v>
      </c>
      <c r="E6396" t="str">
        <f t="shared" si="2938"/>
        <v>COM</v>
      </c>
      <c r="F6396" t="str">
        <f t="shared" si="2947"/>
        <v>FARMÁCIA INDIANA LJ 1 (10126)</v>
      </c>
      <c r="G6396" t="str">
        <f t="shared" si="2948"/>
        <v>Serv.Prest. 13/10/2025 a 19/10/2025 - RPS: 1422 - NFSe: 3658</v>
      </c>
      <c r="H6396" t="str">
        <f t="shared" si="2944"/>
        <v>29/10/2025</v>
      </c>
      <c r="I6396" t="str">
        <f t="shared" si="2949"/>
        <v>21/10/2025</v>
      </c>
      <c r="J6396" t="str">
        <f t="shared" si="2950"/>
        <v>29/10/2025</v>
      </c>
      <c r="M6396">
        <v>303</v>
      </c>
      <c r="N6396" t="str">
        <f t="shared" si="2941"/>
        <v>RECEITAS COM ENTREGAS</v>
      </c>
      <c r="P6396">
        <v>71.27</v>
      </c>
      <c r="Q6396" t="str">
        <f>"FARMÁCIA INDIANA LJ 103 (10044)"</f>
        <v>FARMÁCIA INDIANA LJ 103 (10044)</v>
      </c>
      <c r="R6396" t="str">
        <f t="shared" si="2942"/>
        <v>RECEITAS COM ENTREGAS (303)</v>
      </c>
      <c r="S6396">
        <v>2826</v>
      </c>
      <c r="T6396">
        <v>2334</v>
      </c>
      <c r="U6396" t="s">
        <v>19</v>
      </c>
    </row>
    <row r="6397" spans="1:21">
      <c r="A6397" t="str">
        <f t="shared" si="2945"/>
        <v>29/10/2025</v>
      </c>
      <c r="B6397" t="str">
        <f t="shared" si="2943"/>
        <v>ENTRADA</v>
      </c>
      <c r="C6397" t="str">
        <f t="shared" si="2940"/>
        <v>NFSE</v>
      </c>
      <c r="D6397" t="str">
        <f t="shared" si="2946"/>
        <v>3658</v>
      </c>
      <c r="E6397" t="str">
        <f t="shared" si="2938"/>
        <v>COM</v>
      </c>
      <c r="F6397" t="str">
        <f t="shared" si="2947"/>
        <v>FARMÁCIA INDIANA LJ 1 (10126)</v>
      </c>
      <c r="G6397" t="str">
        <f t="shared" si="2948"/>
        <v>Serv.Prest. 13/10/2025 a 19/10/2025 - RPS: 1422 - NFSe: 3658</v>
      </c>
      <c r="H6397" t="str">
        <f t="shared" si="2944"/>
        <v>29/10/2025</v>
      </c>
      <c r="I6397" t="str">
        <f t="shared" si="2949"/>
        <v>21/10/2025</v>
      </c>
      <c r="J6397" t="str">
        <f t="shared" si="2950"/>
        <v>29/10/2025</v>
      </c>
      <c r="M6397">
        <v>303</v>
      </c>
      <c r="N6397" t="str">
        <f t="shared" si="2941"/>
        <v>RECEITAS COM ENTREGAS</v>
      </c>
      <c r="P6397">
        <v>241.75</v>
      </c>
      <c r="Q6397" t="str">
        <f>"FARMÁCIA INDIANA LJ 109 (10047)"</f>
        <v>FARMÁCIA INDIANA LJ 109 (10047)</v>
      </c>
      <c r="R6397" t="str">
        <f t="shared" si="2942"/>
        <v>RECEITAS COM ENTREGAS (303)</v>
      </c>
      <c r="S6397">
        <v>2826</v>
      </c>
      <c r="T6397">
        <v>2334</v>
      </c>
      <c r="U6397" t="s">
        <v>19</v>
      </c>
    </row>
    <row r="6398" spans="1:21">
      <c r="A6398" t="str">
        <f t="shared" si="2945"/>
        <v>29/10/2025</v>
      </c>
      <c r="B6398" t="str">
        <f t="shared" si="2943"/>
        <v>ENTRADA</v>
      </c>
      <c r="C6398" t="str">
        <f t="shared" si="2940"/>
        <v>NFSE</v>
      </c>
      <c r="D6398" t="str">
        <f t="shared" si="2946"/>
        <v>3658</v>
      </c>
      <c r="E6398" t="str">
        <f t="shared" si="2938"/>
        <v>COM</v>
      </c>
      <c r="F6398" t="str">
        <f t="shared" si="2947"/>
        <v>FARMÁCIA INDIANA LJ 1 (10126)</v>
      </c>
      <c r="G6398" t="str">
        <f t="shared" si="2948"/>
        <v>Serv.Prest. 13/10/2025 a 19/10/2025 - RPS: 1422 - NFSe: 3658</v>
      </c>
      <c r="H6398" t="str">
        <f t="shared" si="2944"/>
        <v>29/10/2025</v>
      </c>
      <c r="I6398" t="str">
        <f t="shared" si="2949"/>
        <v>21/10/2025</v>
      </c>
      <c r="J6398" t="str">
        <f t="shared" si="2950"/>
        <v>29/10/2025</v>
      </c>
      <c r="M6398">
        <v>303</v>
      </c>
      <c r="N6398" t="str">
        <f t="shared" si="2941"/>
        <v>RECEITAS COM ENTREGAS</v>
      </c>
      <c r="P6398">
        <v>340.97</v>
      </c>
      <c r="Q6398" t="str">
        <f>"FARMÁCIA INDIANA LJ 110 (10048)"</f>
        <v>FARMÁCIA INDIANA LJ 110 (10048)</v>
      </c>
      <c r="R6398" t="str">
        <f t="shared" si="2942"/>
        <v>RECEITAS COM ENTREGAS (303)</v>
      </c>
      <c r="S6398">
        <v>2826</v>
      </c>
      <c r="T6398">
        <v>2334</v>
      </c>
      <c r="U6398" t="s">
        <v>19</v>
      </c>
    </row>
    <row r="6399" spans="1:21">
      <c r="A6399" t="str">
        <f t="shared" si="2945"/>
        <v>29/10/2025</v>
      </c>
      <c r="B6399" t="str">
        <f t="shared" si="2943"/>
        <v>ENTRADA</v>
      </c>
      <c r="C6399" t="str">
        <f t="shared" si="2940"/>
        <v>NFSE</v>
      </c>
      <c r="D6399" t="str">
        <f t="shared" si="2946"/>
        <v>3658</v>
      </c>
      <c r="E6399" t="str">
        <f t="shared" si="2938"/>
        <v>COM</v>
      </c>
      <c r="F6399" t="str">
        <f t="shared" si="2947"/>
        <v>FARMÁCIA INDIANA LJ 1 (10126)</v>
      </c>
      <c r="G6399" t="str">
        <f t="shared" si="2948"/>
        <v>Serv.Prest. 13/10/2025 a 19/10/2025 - RPS: 1422 - NFSe: 3658</v>
      </c>
      <c r="H6399" t="str">
        <f t="shared" si="2944"/>
        <v>29/10/2025</v>
      </c>
      <c r="I6399" t="str">
        <f t="shared" si="2949"/>
        <v>21/10/2025</v>
      </c>
      <c r="J6399" t="str">
        <f t="shared" si="2950"/>
        <v>29/10/2025</v>
      </c>
      <c r="M6399">
        <v>303</v>
      </c>
      <c r="N6399" t="str">
        <f t="shared" si="2941"/>
        <v>RECEITAS COM ENTREGAS</v>
      </c>
      <c r="P6399">
        <v>65.680000000000007</v>
      </c>
      <c r="Q6399" t="str">
        <f>"FARMÁCIA INDIANA LJ 111 (10049)"</f>
        <v>FARMÁCIA INDIANA LJ 111 (10049)</v>
      </c>
      <c r="R6399" t="str">
        <f t="shared" si="2942"/>
        <v>RECEITAS COM ENTREGAS (303)</v>
      </c>
      <c r="S6399">
        <v>2826</v>
      </c>
      <c r="T6399">
        <v>2334</v>
      </c>
      <c r="U6399" t="s">
        <v>19</v>
      </c>
    </row>
    <row r="6400" spans="1:21">
      <c r="A6400" t="str">
        <f t="shared" si="2945"/>
        <v>29/10/2025</v>
      </c>
      <c r="B6400" t="str">
        <f t="shared" si="2943"/>
        <v>ENTRADA</v>
      </c>
      <c r="C6400" t="str">
        <f t="shared" si="2940"/>
        <v>NFSE</v>
      </c>
      <c r="D6400" t="str">
        <f t="shared" si="2946"/>
        <v>3658</v>
      </c>
      <c r="E6400" t="str">
        <f t="shared" si="2938"/>
        <v>COM</v>
      </c>
      <c r="F6400" t="str">
        <f t="shared" si="2947"/>
        <v>FARMÁCIA INDIANA LJ 1 (10126)</v>
      </c>
      <c r="G6400" t="str">
        <f t="shared" si="2948"/>
        <v>Serv.Prest. 13/10/2025 a 19/10/2025 - RPS: 1422 - NFSe: 3658</v>
      </c>
      <c r="H6400" t="str">
        <f t="shared" si="2944"/>
        <v>29/10/2025</v>
      </c>
      <c r="I6400" t="str">
        <f t="shared" si="2949"/>
        <v>21/10/2025</v>
      </c>
      <c r="J6400" t="str">
        <f t="shared" si="2950"/>
        <v>29/10/2025</v>
      </c>
      <c r="M6400">
        <v>303</v>
      </c>
      <c r="N6400" t="str">
        <f t="shared" si="2941"/>
        <v>RECEITAS COM ENTREGAS</v>
      </c>
      <c r="P6400">
        <v>149.52000000000001</v>
      </c>
      <c r="Q6400" t="str">
        <f>"FARMÁCIA INDIANA LJ 112 (10050)"</f>
        <v>FARMÁCIA INDIANA LJ 112 (10050)</v>
      </c>
      <c r="R6400" t="str">
        <f t="shared" si="2942"/>
        <v>RECEITAS COM ENTREGAS (303)</v>
      </c>
      <c r="S6400">
        <v>2826</v>
      </c>
      <c r="T6400">
        <v>2334</v>
      </c>
      <c r="U6400" t="s">
        <v>19</v>
      </c>
    </row>
    <row r="6401" spans="1:21">
      <c r="A6401" t="str">
        <f t="shared" si="2945"/>
        <v>29/10/2025</v>
      </c>
      <c r="B6401" t="str">
        <f t="shared" si="2943"/>
        <v>ENTRADA</v>
      </c>
      <c r="C6401" t="str">
        <f t="shared" si="2940"/>
        <v>NFSE</v>
      </c>
      <c r="D6401" t="str">
        <f t="shared" si="2946"/>
        <v>3658</v>
      </c>
      <c r="E6401" t="str">
        <f t="shared" si="2938"/>
        <v>COM</v>
      </c>
      <c r="F6401" t="str">
        <f t="shared" si="2947"/>
        <v>FARMÁCIA INDIANA LJ 1 (10126)</v>
      </c>
      <c r="G6401" t="str">
        <f t="shared" si="2948"/>
        <v>Serv.Prest. 13/10/2025 a 19/10/2025 - RPS: 1422 - NFSe: 3658</v>
      </c>
      <c r="H6401" t="str">
        <f t="shared" si="2944"/>
        <v>29/10/2025</v>
      </c>
      <c r="I6401" t="str">
        <f t="shared" si="2949"/>
        <v>21/10/2025</v>
      </c>
      <c r="J6401" t="str">
        <f t="shared" si="2950"/>
        <v>29/10/2025</v>
      </c>
      <c r="M6401">
        <v>303</v>
      </c>
      <c r="N6401" t="str">
        <f t="shared" si="2941"/>
        <v>RECEITAS COM ENTREGAS</v>
      </c>
      <c r="P6401">
        <v>149.52000000000001</v>
      </c>
      <c r="Q6401" t="str">
        <f>"FARMÁCIA INDIANA LJ 116 (10051)"</f>
        <v>FARMÁCIA INDIANA LJ 116 (10051)</v>
      </c>
      <c r="R6401" t="str">
        <f t="shared" si="2942"/>
        <v>RECEITAS COM ENTREGAS (303)</v>
      </c>
      <c r="S6401">
        <v>2826</v>
      </c>
      <c r="T6401">
        <v>2334</v>
      </c>
      <c r="U6401" t="s">
        <v>19</v>
      </c>
    </row>
    <row r="6402" spans="1:21">
      <c r="A6402" t="str">
        <f t="shared" si="2945"/>
        <v>29/10/2025</v>
      </c>
      <c r="B6402" t="str">
        <f t="shared" si="2943"/>
        <v>ENTRADA</v>
      </c>
      <c r="C6402" t="str">
        <f t="shared" si="2940"/>
        <v>NFSE</v>
      </c>
      <c r="D6402" t="str">
        <f t="shared" si="2946"/>
        <v>3658</v>
      </c>
      <c r="E6402" t="str">
        <f t="shared" si="2938"/>
        <v>COM</v>
      </c>
      <c r="F6402" t="str">
        <f t="shared" si="2947"/>
        <v>FARMÁCIA INDIANA LJ 1 (10126)</v>
      </c>
      <c r="G6402" t="str">
        <f t="shared" si="2948"/>
        <v>Serv.Prest. 13/10/2025 a 19/10/2025 - RPS: 1422 - NFSe: 3658</v>
      </c>
      <c r="H6402" t="str">
        <f t="shared" si="2944"/>
        <v>29/10/2025</v>
      </c>
      <c r="I6402" t="str">
        <f t="shared" si="2949"/>
        <v>21/10/2025</v>
      </c>
      <c r="J6402" t="str">
        <f t="shared" si="2950"/>
        <v>29/10/2025</v>
      </c>
      <c r="M6402">
        <v>303</v>
      </c>
      <c r="N6402" t="str">
        <f t="shared" si="2941"/>
        <v>RECEITAS COM ENTREGAS</v>
      </c>
      <c r="P6402">
        <v>92.23</v>
      </c>
      <c r="Q6402" t="str">
        <f>"FARMÁCIA INDIANA LJ 118 (10052)"</f>
        <v>FARMÁCIA INDIANA LJ 118 (10052)</v>
      </c>
      <c r="R6402" t="str">
        <f t="shared" si="2942"/>
        <v>RECEITAS COM ENTREGAS (303)</v>
      </c>
      <c r="S6402">
        <v>2826</v>
      </c>
      <c r="T6402">
        <v>2334</v>
      </c>
      <c r="U6402" t="s">
        <v>19</v>
      </c>
    </row>
    <row r="6403" spans="1:21">
      <c r="A6403" t="str">
        <f t="shared" si="2945"/>
        <v>29/10/2025</v>
      </c>
      <c r="B6403" t="str">
        <f t="shared" si="2943"/>
        <v>ENTRADA</v>
      </c>
      <c r="C6403" t="str">
        <f t="shared" si="2940"/>
        <v>NFSE</v>
      </c>
      <c r="D6403" t="str">
        <f t="shared" si="2946"/>
        <v>3658</v>
      </c>
      <c r="E6403" t="str">
        <f t="shared" si="2938"/>
        <v>COM</v>
      </c>
      <c r="F6403" t="str">
        <f t="shared" si="2947"/>
        <v>FARMÁCIA INDIANA LJ 1 (10126)</v>
      </c>
      <c r="G6403" t="str">
        <f t="shared" si="2948"/>
        <v>Serv.Prest. 13/10/2025 a 19/10/2025 - RPS: 1422 - NFSe: 3658</v>
      </c>
      <c r="H6403" t="str">
        <f t="shared" si="2944"/>
        <v>29/10/2025</v>
      </c>
      <c r="I6403" t="str">
        <f t="shared" si="2949"/>
        <v>21/10/2025</v>
      </c>
      <c r="J6403" t="str">
        <f t="shared" si="2950"/>
        <v>29/10/2025</v>
      </c>
      <c r="M6403">
        <v>303</v>
      </c>
      <c r="N6403" t="str">
        <f t="shared" si="2941"/>
        <v>RECEITAS COM ENTREGAS</v>
      </c>
      <c r="P6403">
        <v>149.52000000000001</v>
      </c>
      <c r="Q6403" t="str">
        <f>"FARMÁCIA INDIANA LJ 121 (10054)"</f>
        <v>FARMÁCIA INDIANA LJ 121 (10054)</v>
      </c>
      <c r="R6403" t="str">
        <f t="shared" si="2942"/>
        <v>RECEITAS COM ENTREGAS (303)</v>
      </c>
      <c r="S6403">
        <v>2826</v>
      </c>
      <c r="T6403">
        <v>2334</v>
      </c>
      <c r="U6403" t="s">
        <v>19</v>
      </c>
    </row>
    <row r="6404" spans="1:21">
      <c r="A6404" t="str">
        <f t="shared" si="2945"/>
        <v>29/10/2025</v>
      </c>
      <c r="B6404" t="str">
        <f t="shared" si="2943"/>
        <v>ENTRADA</v>
      </c>
      <c r="C6404" t="str">
        <f t="shared" si="2940"/>
        <v>NFSE</v>
      </c>
      <c r="D6404" t="str">
        <f t="shared" si="2946"/>
        <v>3658</v>
      </c>
      <c r="E6404" t="str">
        <f t="shared" si="2938"/>
        <v>COM</v>
      </c>
      <c r="F6404" t="str">
        <f t="shared" si="2947"/>
        <v>FARMÁCIA INDIANA LJ 1 (10126)</v>
      </c>
      <c r="G6404" t="str">
        <f t="shared" si="2948"/>
        <v>Serv.Prest. 13/10/2025 a 19/10/2025 - RPS: 1422 - NFSe: 3658</v>
      </c>
      <c r="H6404" t="str">
        <f t="shared" si="2944"/>
        <v>29/10/2025</v>
      </c>
      <c r="I6404" t="str">
        <f t="shared" si="2949"/>
        <v>21/10/2025</v>
      </c>
      <c r="J6404" t="str">
        <f t="shared" si="2950"/>
        <v>29/10/2025</v>
      </c>
      <c r="M6404">
        <v>303</v>
      </c>
      <c r="N6404" t="str">
        <f t="shared" si="2941"/>
        <v>RECEITAS COM ENTREGAS</v>
      </c>
      <c r="P6404">
        <v>149.52000000000001</v>
      </c>
      <c r="Q6404" t="str">
        <f>"FARMÁCIA INDIANA LJ 128 (10057)"</f>
        <v>FARMÁCIA INDIANA LJ 128 (10057)</v>
      </c>
      <c r="R6404" t="str">
        <f t="shared" si="2942"/>
        <v>RECEITAS COM ENTREGAS (303)</v>
      </c>
      <c r="S6404">
        <v>2826</v>
      </c>
      <c r="T6404">
        <v>2334</v>
      </c>
      <c r="U6404" t="s">
        <v>19</v>
      </c>
    </row>
    <row r="6405" spans="1:21">
      <c r="A6405" t="str">
        <f t="shared" si="2945"/>
        <v>29/10/2025</v>
      </c>
      <c r="B6405" t="str">
        <f t="shared" si="2943"/>
        <v>ENTRADA</v>
      </c>
      <c r="C6405" t="str">
        <f t="shared" si="2940"/>
        <v>NFSE</v>
      </c>
      <c r="D6405" t="str">
        <f t="shared" si="2946"/>
        <v>3658</v>
      </c>
      <c r="E6405" t="str">
        <f t="shared" si="2938"/>
        <v>COM</v>
      </c>
      <c r="F6405" t="str">
        <f t="shared" si="2947"/>
        <v>FARMÁCIA INDIANA LJ 1 (10126)</v>
      </c>
      <c r="G6405" t="str">
        <f t="shared" si="2948"/>
        <v>Serv.Prest. 13/10/2025 a 19/10/2025 - RPS: 1422 - NFSe: 3658</v>
      </c>
      <c r="H6405" t="str">
        <f t="shared" si="2944"/>
        <v>29/10/2025</v>
      </c>
      <c r="I6405" t="str">
        <f t="shared" si="2949"/>
        <v>21/10/2025</v>
      </c>
      <c r="J6405" t="str">
        <f t="shared" si="2950"/>
        <v>29/10/2025</v>
      </c>
      <c r="M6405">
        <v>303</v>
      </c>
      <c r="N6405" t="str">
        <f t="shared" si="2941"/>
        <v>RECEITAS COM ENTREGAS</v>
      </c>
      <c r="P6405">
        <v>34.94</v>
      </c>
      <c r="Q6405" t="str">
        <f>"FARMÁCIA INDIANA LJ 140 (10064)"</f>
        <v>FARMÁCIA INDIANA LJ 140 (10064)</v>
      </c>
      <c r="R6405" t="str">
        <f t="shared" si="2942"/>
        <v>RECEITAS COM ENTREGAS (303)</v>
      </c>
      <c r="S6405">
        <v>2826</v>
      </c>
      <c r="T6405">
        <v>2334</v>
      </c>
      <c r="U6405" t="s">
        <v>19</v>
      </c>
    </row>
    <row r="6406" spans="1:21">
      <c r="A6406" t="str">
        <f t="shared" si="2945"/>
        <v>29/10/2025</v>
      </c>
      <c r="B6406" t="str">
        <f t="shared" si="2943"/>
        <v>ENTRADA</v>
      </c>
      <c r="C6406" t="str">
        <f t="shared" si="2940"/>
        <v>NFSE</v>
      </c>
      <c r="D6406" t="str">
        <f t="shared" si="2946"/>
        <v>3658</v>
      </c>
      <c r="E6406" t="str">
        <f t="shared" si="2938"/>
        <v>COM</v>
      </c>
      <c r="F6406" t="str">
        <f t="shared" si="2947"/>
        <v>FARMÁCIA INDIANA LJ 1 (10126)</v>
      </c>
      <c r="G6406" t="str">
        <f t="shared" si="2948"/>
        <v>Serv.Prest. 13/10/2025 a 19/10/2025 - RPS: 1422 - NFSe: 3658</v>
      </c>
      <c r="H6406" t="str">
        <f t="shared" si="2944"/>
        <v>29/10/2025</v>
      </c>
      <c r="I6406" t="str">
        <f t="shared" si="2949"/>
        <v>21/10/2025</v>
      </c>
      <c r="J6406" t="str">
        <f t="shared" si="2950"/>
        <v>29/10/2025</v>
      </c>
      <c r="M6406">
        <v>303</v>
      </c>
      <c r="N6406" t="str">
        <f t="shared" si="2941"/>
        <v>RECEITAS COM ENTREGAS</v>
      </c>
      <c r="P6406">
        <v>19.559999999999999</v>
      </c>
      <c r="Q6406" t="str">
        <f>"FARMÁCIA INDIANA LJ 141 (10065)"</f>
        <v>FARMÁCIA INDIANA LJ 141 (10065)</v>
      </c>
      <c r="R6406" t="str">
        <f t="shared" si="2942"/>
        <v>RECEITAS COM ENTREGAS (303)</v>
      </c>
      <c r="S6406">
        <v>2826</v>
      </c>
      <c r="T6406">
        <v>2334</v>
      </c>
      <c r="U6406" t="s">
        <v>19</v>
      </c>
    </row>
    <row r="6407" spans="1:21">
      <c r="A6407" t="str">
        <f t="shared" si="2945"/>
        <v>29/10/2025</v>
      </c>
      <c r="B6407" t="str">
        <f t="shared" si="2943"/>
        <v>ENTRADA</v>
      </c>
      <c r="C6407" t="str">
        <f t="shared" ref="C6407:C6438" si="2951">"NFSE"</f>
        <v>NFSE</v>
      </c>
      <c r="D6407" t="str">
        <f t="shared" si="2946"/>
        <v>3658</v>
      </c>
      <c r="E6407" t="str">
        <f t="shared" si="2938"/>
        <v>COM</v>
      </c>
      <c r="F6407" t="str">
        <f t="shared" si="2947"/>
        <v>FARMÁCIA INDIANA LJ 1 (10126)</v>
      </c>
      <c r="G6407" t="str">
        <f t="shared" si="2948"/>
        <v>Serv.Prest. 13/10/2025 a 19/10/2025 - RPS: 1422 - NFSe: 3658</v>
      </c>
      <c r="H6407" t="str">
        <f t="shared" si="2944"/>
        <v>29/10/2025</v>
      </c>
      <c r="I6407" t="str">
        <f t="shared" si="2949"/>
        <v>21/10/2025</v>
      </c>
      <c r="J6407" t="str">
        <f t="shared" si="2950"/>
        <v>29/10/2025</v>
      </c>
      <c r="M6407">
        <v>303</v>
      </c>
      <c r="N6407" t="str">
        <f t="shared" ref="N6407:N6438" si="2952">"RECEITAS COM ENTREGAS"</f>
        <v>RECEITAS COM ENTREGAS</v>
      </c>
      <c r="P6407">
        <v>744.81</v>
      </c>
      <c r="Q6407" t="str">
        <f>"FARMÁCIA INDIANA LJ 142 (10066)"</f>
        <v>FARMÁCIA INDIANA LJ 142 (10066)</v>
      </c>
      <c r="R6407" t="str">
        <f t="shared" ref="R6407:R6438" si="2953">"RECEITAS COM ENTREGAS (303)"</f>
        <v>RECEITAS COM ENTREGAS (303)</v>
      </c>
      <c r="S6407">
        <v>2826</v>
      </c>
      <c r="T6407">
        <v>2334</v>
      </c>
      <c r="U6407" t="s">
        <v>19</v>
      </c>
    </row>
    <row r="6408" spans="1:21">
      <c r="A6408" t="str">
        <f t="shared" si="2945"/>
        <v>29/10/2025</v>
      </c>
      <c r="B6408" t="str">
        <f t="shared" si="2943"/>
        <v>ENTRADA</v>
      </c>
      <c r="C6408" t="str">
        <f t="shared" si="2951"/>
        <v>NFSE</v>
      </c>
      <c r="D6408" t="str">
        <f t="shared" si="2946"/>
        <v>3658</v>
      </c>
      <c r="E6408" t="str">
        <f t="shared" si="2938"/>
        <v>COM</v>
      </c>
      <c r="F6408" t="str">
        <f t="shared" si="2947"/>
        <v>FARMÁCIA INDIANA LJ 1 (10126)</v>
      </c>
      <c r="G6408" t="str">
        <f t="shared" si="2948"/>
        <v>Serv.Prest. 13/10/2025 a 19/10/2025 - RPS: 1422 - NFSe: 3658</v>
      </c>
      <c r="H6408" t="str">
        <f t="shared" si="2944"/>
        <v>29/10/2025</v>
      </c>
      <c r="I6408" t="str">
        <f t="shared" si="2949"/>
        <v>21/10/2025</v>
      </c>
      <c r="J6408" t="str">
        <f t="shared" si="2950"/>
        <v>29/10/2025</v>
      </c>
      <c r="M6408">
        <v>303</v>
      </c>
      <c r="N6408" t="str">
        <f t="shared" si="2952"/>
        <v>RECEITAS COM ENTREGAS</v>
      </c>
      <c r="P6408">
        <v>67.08</v>
      </c>
      <c r="Q6408" t="str">
        <f>"FARMÁCIA INDIANA LJ 143 (10067)"</f>
        <v>FARMÁCIA INDIANA LJ 143 (10067)</v>
      </c>
      <c r="R6408" t="str">
        <f t="shared" si="2953"/>
        <v>RECEITAS COM ENTREGAS (303)</v>
      </c>
      <c r="S6408">
        <v>2826</v>
      </c>
      <c r="T6408">
        <v>2334</v>
      </c>
      <c r="U6408" t="s">
        <v>19</v>
      </c>
    </row>
    <row r="6409" spans="1:21">
      <c r="A6409" t="str">
        <f t="shared" si="2945"/>
        <v>29/10/2025</v>
      </c>
      <c r="B6409" t="str">
        <f t="shared" si="2943"/>
        <v>ENTRADA</v>
      </c>
      <c r="C6409" t="str">
        <f t="shared" si="2951"/>
        <v>NFSE</v>
      </c>
      <c r="D6409" t="str">
        <f t="shared" si="2946"/>
        <v>3658</v>
      </c>
      <c r="E6409" t="str">
        <f t="shared" si="2938"/>
        <v>COM</v>
      </c>
      <c r="F6409" t="str">
        <f t="shared" si="2947"/>
        <v>FARMÁCIA INDIANA LJ 1 (10126)</v>
      </c>
      <c r="G6409" t="str">
        <f t="shared" si="2948"/>
        <v>Serv.Prest. 13/10/2025 a 19/10/2025 - RPS: 1422 - NFSe: 3658</v>
      </c>
      <c r="H6409" t="str">
        <f t="shared" si="2944"/>
        <v>29/10/2025</v>
      </c>
      <c r="I6409" t="str">
        <f t="shared" si="2949"/>
        <v>21/10/2025</v>
      </c>
      <c r="J6409" t="str">
        <f t="shared" si="2950"/>
        <v>29/10/2025</v>
      </c>
      <c r="M6409">
        <v>303</v>
      </c>
      <c r="N6409" t="str">
        <f t="shared" si="2952"/>
        <v>RECEITAS COM ENTREGAS</v>
      </c>
      <c r="P6409">
        <v>403.85</v>
      </c>
      <c r="Q6409" t="str">
        <f>"FARMÁCIA INDIANA LJ 152 (10069)"</f>
        <v>FARMÁCIA INDIANA LJ 152 (10069)</v>
      </c>
      <c r="R6409" t="str">
        <f t="shared" si="2953"/>
        <v>RECEITAS COM ENTREGAS (303)</v>
      </c>
      <c r="S6409">
        <v>2826</v>
      </c>
      <c r="T6409">
        <v>2334</v>
      </c>
      <c r="U6409" t="s">
        <v>19</v>
      </c>
    </row>
    <row r="6410" spans="1:21">
      <c r="A6410" t="str">
        <f t="shared" si="2945"/>
        <v>29/10/2025</v>
      </c>
      <c r="B6410" t="str">
        <f t="shared" si="2943"/>
        <v>ENTRADA</v>
      </c>
      <c r="C6410" t="str">
        <f t="shared" si="2951"/>
        <v>NFSE</v>
      </c>
      <c r="D6410" t="str">
        <f t="shared" si="2946"/>
        <v>3658</v>
      </c>
      <c r="E6410" t="str">
        <f t="shared" si="2938"/>
        <v>COM</v>
      </c>
      <c r="F6410" t="str">
        <f t="shared" si="2947"/>
        <v>FARMÁCIA INDIANA LJ 1 (10126)</v>
      </c>
      <c r="G6410" t="str">
        <f t="shared" si="2948"/>
        <v>Serv.Prest. 13/10/2025 a 19/10/2025 - RPS: 1422 - NFSe: 3658</v>
      </c>
      <c r="H6410" t="str">
        <f t="shared" si="2944"/>
        <v>29/10/2025</v>
      </c>
      <c r="I6410" t="str">
        <f t="shared" si="2949"/>
        <v>21/10/2025</v>
      </c>
      <c r="J6410" t="str">
        <f t="shared" si="2950"/>
        <v>29/10/2025</v>
      </c>
      <c r="M6410">
        <v>303</v>
      </c>
      <c r="N6410" t="str">
        <f t="shared" si="2952"/>
        <v>RECEITAS COM ENTREGAS</v>
      </c>
      <c r="P6410">
        <v>43.32</v>
      </c>
      <c r="Q6410" t="str">
        <f>"FARMÁCIA INDIANA LJ 154 (10070)"</f>
        <v>FARMÁCIA INDIANA LJ 154 (10070)</v>
      </c>
      <c r="R6410" t="str">
        <f t="shared" si="2953"/>
        <v>RECEITAS COM ENTREGAS (303)</v>
      </c>
      <c r="S6410">
        <v>2826</v>
      </c>
      <c r="T6410">
        <v>2334</v>
      </c>
      <c r="U6410" t="s">
        <v>19</v>
      </c>
    </row>
    <row r="6411" spans="1:21">
      <c r="A6411" t="str">
        <f t="shared" si="2945"/>
        <v>29/10/2025</v>
      </c>
      <c r="B6411" t="str">
        <f t="shared" si="2943"/>
        <v>ENTRADA</v>
      </c>
      <c r="C6411" t="str">
        <f t="shared" si="2951"/>
        <v>NFSE</v>
      </c>
      <c r="D6411" t="str">
        <f t="shared" si="2946"/>
        <v>3658</v>
      </c>
      <c r="E6411" t="str">
        <f t="shared" si="2938"/>
        <v>COM</v>
      </c>
      <c r="F6411" t="str">
        <f t="shared" si="2947"/>
        <v>FARMÁCIA INDIANA LJ 1 (10126)</v>
      </c>
      <c r="G6411" t="str">
        <f t="shared" si="2948"/>
        <v>Serv.Prest. 13/10/2025 a 19/10/2025 - RPS: 1422 - NFSe: 3658</v>
      </c>
      <c r="H6411" t="str">
        <f t="shared" ref="H6411:H6442" si="2954">("29/10/2025")</f>
        <v>29/10/2025</v>
      </c>
      <c r="I6411" t="str">
        <f t="shared" si="2949"/>
        <v>21/10/2025</v>
      </c>
      <c r="J6411" t="str">
        <f t="shared" si="2950"/>
        <v>29/10/2025</v>
      </c>
      <c r="M6411">
        <v>303</v>
      </c>
      <c r="N6411" t="str">
        <f t="shared" si="2952"/>
        <v>RECEITAS COM ENTREGAS</v>
      </c>
      <c r="P6411">
        <v>321.39999999999998</v>
      </c>
      <c r="Q6411" t="str">
        <f>"FARMÁCIA INDIANA LJ 171 (10074)"</f>
        <v>FARMÁCIA INDIANA LJ 171 (10074)</v>
      </c>
      <c r="R6411" t="str">
        <f t="shared" si="2953"/>
        <v>RECEITAS COM ENTREGAS (303)</v>
      </c>
      <c r="S6411">
        <v>2826</v>
      </c>
      <c r="T6411">
        <v>2334</v>
      </c>
      <c r="U6411" t="s">
        <v>19</v>
      </c>
    </row>
    <row r="6412" spans="1:21">
      <c r="A6412" t="str">
        <f t="shared" si="2945"/>
        <v>29/10/2025</v>
      </c>
      <c r="B6412" t="str">
        <f t="shared" si="2943"/>
        <v>ENTRADA</v>
      </c>
      <c r="C6412" t="str">
        <f t="shared" si="2951"/>
        <v>NFSE</v>
      </c>
      <c r="D6412" t="str">
        <f t="shared" si="2946"/>
        <v>3658</v>
      </c>
      <c r="E6412" t="str">
        <f t="shared" si="2938"/>
        <v>COM</v>
      </c>
      <c r="F6412" t="str">
        <f t="shared" si="2947"/>
        <v>FARMÁCIA INDIANA LJ 1 (10126)</v>
      </c>
      <c r="G6412" t="str">
        <f t="shared" si="2948"/>
        <v>Serv.Prest. 13/10/2025 a 19/10/2025 - RPS: 1422 - NFSe: 3658</v>
      </c>
      <c r="H6412" t="str">
        <f t="shared" si="2954"/>
        <v>29/10/2025</v>
      </c>
      <c r="I6412" t="str">
        <f t="shared" si="2949"/>
        <v>21/10/2025</v>
      </c>
      <c r="J6412" t="str">
        <f t="shared" si="2950"/>
        <v>29/10/2025</v>
      </c>
      <c r="M6412">
        <v>303</v>
      </c>
      <c r="N6412" t="str">
        <f t="shared" si="2952"/>
        <v>RECEITAS COM ENTREGAS</v>
      </c>
      <c r="P6412">
        <v>122.97</v>
      </c>
      <c r="Q6412" t="str">
        <f>"FARMÁCIA INDIANA LJ 175 (10076)"</f>
        <v>FARMÁCIA INDIANA LJ 175 (10076)</v>
      </c>
      <c r="R6412" t="str">
        <f t="shared" si="2953"/>
        <v>RECEITAS COM ENTREGAS (303)</v>
      </c>
      <c r="S6412">
        <v>2826</v>
      </c>
      <c r="T6412">
        <v>2334</v>
      </c>
      <c r="U6412" t="s">
        <v>19</v>
      </c>
    </row>
    <row r="6413" spans="1:21">
      <c r="A6413" t="str">
        <f t="shared" ref="A6413:A6444" si="2955">("29/10/2025")</f>
        <v>29/10/2025</v>
      </c>
      <c r="B6413" t="str">
        <f t="shared" si="2943"/>
        <v>ENTRADA</v>
      </c>
      <c r="C6413" t="str">
        <f t="shared" si="2951"/>
        <v>NFSE</v>
      </c>
      <c r="D6413" t="str">
        <f t="shared" si="2946"/>
        <v>3658</v>
      </c>
      <c r="E6413" t="str">
        <f t="shared" si="2938"/>
        <v>COM</v>
      </c>
      <c r="F6413" t="str">
        <f t="shared" si="2947"/>
        <v>FARMÁCIA INDIANA LJ 1 (10126)</v>
      </c>
      <c r="G6413" t="str">
        <f t="shared" si="2948"/>
        <v>Serv.Prest. 13/10/2025 a 19/10/2025 - RPS: 1422 - NFSe: 3658</v>
      </c>
      <c r="H6413" t="str">
        <f t="shared" si="2954"/>
        <v>29/10/2025</v>
      </c>
      <c r="I6413" t="str">
        <f t="shared" ref="I6413:I6444" si="2956">("21/10/2025")</f>
        <v>21/10/2025</v>
      </c>
      <c r="J6413" t="str">
        <f t="shared" ref="J6413:J6444" si="2957">("29/10/2025")</f>
        <v>29/10/2025</v>
      </c>
      <c r="M6413">
        <v>303</v>
      </c>
      <c r="N6413" t="str">
        <f t="shared" si="2952"/>
        <v>RECEITAS COM ENTREGAS</v>
      </c>
      <c r="P6413">
        <v>131.36000000000001</v>
      </c>
      <c r="Q6413" t="str">
        <f>"FARMÁCIA INDIANA LJ 178 (10077)"</f>
        <v>FARMÁCIA INDIANA LJ 178 (10077)</v>
      </c>
      <c r="R6413" t="str">
        <f t="shared" si="2953"/>
        <v>RECEITAS COM ENTREGAS (303)</v>
      </c>
      <c r="S6413">
        <v>2826</v>
      </c>
      <c r="T6413">
        <v>2334</v>
      </c>
      <c r="U6413" t="s">
        <v>19</v>
      </c>
    </row>
    <row r="6414" spans="1:21">
      <c r="A6414" t="str">
        <f t="shared" si="2955"/>
        <v>29/10/2025</v>
      </c>
      <c r="B6414" t="str">
        <f t="shared" si="2943"/>
        <v>ENTRADA</v>
      </c>
      <c r="C6414" t="str">
        <f t="shared" si="2951"/>
        <v>NFSE</v>
      </c>
      <c r="D6414" t="str">
        <f t="shared" si="2946"/>
        <v>3658</v>
      </c>
      <c r="E6414" t="str">
        <f t="shared" si="2938"/>
        <v>COM</v>
      </c>
      <c r="F6414" t="str">
        <f t="shared" si="2947"/>
        <v>FARMÁCIA INDIANA LJ 1 (10126)</v>
      </c>
      <c r="G6414" t="str">
        <f t="shared" si="2948"/>
        <v>Serv.Prest. 13/10/2025 a 19/10/2025 - RPS: 1422 - NFSe: 3658</v>
      </c>
      <c r="H6414" t="str">
        <f t="shared" si="2954"/>
        <v>29/10/2025</v>
      </c>
      <c r="I6414" t="str">
        <f t="shared" si="2956"/>
        <v>21/10/2025</v>
      </c>
      <c r="J6414" t="str">
        <f t="shared" si="2957"/>
        <v>29/10/2025</v>
      </c>
      <c r="M6414">
        <v>303</v>
      </c>
      <c r="N6414" t="str">
        <f t="shared" si="2952"/>
        <v>RECEITAS COM ENTREGAS</v>
      </c>
      <c r="P6414">
        <v>79.650000000000006</v>
      </c>
      <c r="Q6414" t="str">
        <f>"FARMÁCIA INDIANA LJ 182 (10079)"</f>
        <v>FARMÁCIA INDIANA LJ 182 (10079)</v>
      </c>
      <c r="R6414" t="str">
        <f t="shared" si="2953"/>
        <v>RECEITAS COM ENTREGAS (303)</v>
      </c>
      <c r="S6414">
        <v>2826</v>
      </c>
      <c r="T6414">
        <v>2334</v>
      </c>
      <c r="U6414" t="s">
        <v>19</v>
      </c>
    </row>
    <row r="6415" spans="1:21">
      <c r="A6415" t="str">
        <f t="shared" si="2955"/>
        <v>29/10/2025</v>
      </c>
      <c r="B6415" t="str">
        <f t="shared" si="2943"/>
        <v>ENTRADA</v>
      </c>
      <c r="C6415" t="str">
        <f t="shared" si="2951"/>
        <v>NFSE</v>
      </c>
      <c r="D6415" t="str">
        <f t="shared" si="2946"/>
        <v>3658</v>
      </c>
      <c r="E6415" t="str">
        <f t="shared" si="2938"/>
        <v>COM</v>
      </c>
      <c r="F6415" t="str">
        <f t="shared" si="2947"/>
        <v>FARMÁCIA INDIANA LJ 1 (10126)</v>
      </c>
      <c r="G6415" t="str">
        <f t="shared" si="2948"/>
        <v>Serv.Prest. 13/10/2025 a 19/10/2025 - RPS: 1422 - NFSe: 3658</v>
      </c>
      <c r="H6415" t="str">
        <f t="shared" si="2954"/>
        <v>29/10/2025</v>
      </c>
      <c r="I6415" t="str">
        <f t="shared" si="2956"/>
        <v>21/10/2025</v>
      </c>
      <c r="J6415" t="str">
        <f t="shared" si="2957"/>
        <v>29/10/2025</v>
      </c>
      <c r="M6415">
        <v>303</v>
      </c>
      <c r="N6415" t="str">
        <f t="shared" si="2952"/>
        <v>RECEITAS COM ENTREGAS</v>
      </c>
      <c r="P6415">
        <v>40.520000000000003</v>
      </c>
      <c r="Q6415" t="str">
        <f>"FARMÁCIA INDIANA LJ 184 (10080)"</f>
        <v>FARMÁCIA INDIANA LJ 184 (10080)</v>
      </c>
      <c r="R6415" t="str">
        <f t="shared" si="2953"/>
        <v>RECEITAS COM ENTREGAS (303)</v>
      </c>
      <c r="S6415">
        <v>2826</v>
      </c>
      <c r="T6415">
        <v>2334</v>
      </c>
      <c r="U6415" t="s">
        <v>19</v>
      </c>
    </row>
    <row r="6416" spans="1:21">
      <c r="A6416" t="str">
        <f t="shared" si="2955"/>
        <v>29/10/2025</v>
      </c>
      <c r="B6416" t="str">
        <f t="shared" si="2943"/>
        <v>ENTRADA</v>
      </c>
      <c r="C6416" t="str">
        <f t="shared" si="2951"/>
        <v>NFSE</v>
      </c>
      <c r="D6416" t="str">
        <f t="shared" si="2946"/>
        <v>3658</v>
      </c>
      <c r="E6416" t="str">
        <f t="shared" si="2938"/>
        <v>COM</v>
      </c>
      <c r="F6416" t="str">
        <f t="shared" si="2947"/>
        <v>FARMÁCIA INDIANA LJ 1 (10126)</v>
      </c>
      <c r="G6416" t="str">
        <f t="shared" si="2948"/>
        <v>Serv.Prest. 13/10/2025 a 19/10/2025 - RPS: 1422 - NFSe: 3658</v>
      </c>
      <c r="H6416" t="str">
        <f t="shared" si="2954"/>
        <v>29/10/2025</v>
      </c>
      <c r="I6416" t="str">
        <f t="shared" si="2956"/>
        <v>21/10/2025</v>
      </c>
      <c r="J6416" t="str">
        <f t="shared" si="2957"/>
        <v>29/10/2025</v>
      </c>
      <c r="M6416">
        <v>303</v>
      </c>
      <c r="N6416" t="str">
        <f t="shared" si="2952"/>
        <v>RECEITAS COM ENTREGAS</v>
      </c>
      <c r="P6416">
        <v>79.650000000000006</v>
      </c>
      <c r="Q6416" t="str">
        <f>"FARMÁCIA INDIANA LJ 186 (10081)"</f>
        <v>FARMÁCIA INDIANA LJ 186 (10081)</v>
      </c>
      <c r="R6416" t="str">
        <f t="shared" si="2953"/>
        <v>RECEITAS COM ENTREGAS (303)</v>
      </c>
      <c r="S6416">
        <v>2826</v>
      </c>
      <c r="T6416">
        <v>2334</v>
      </c>
      <c r="U6416" t="s">
        <v>19</v>
      </c>
    </row>
    <row r="6417" spans="1:21">
      <c r="A6417" t="str">
        <f t="shared" si="2955"/>
        <v>29/10/2025</v>
      </c>
      <c r="B6417" t="str">
        <f t="shared" si="2943"/>
        <v>ENTRADA</v>
      </c>
      <c r="C6417" t="str">
        <f t="shared" si="2951"/>
        <v>NFSE</v>
      </c>
      <c r="D6417" t="str">
        <f t="shared" si="2946"/>
        <v>3658</v>
      </c>
      <c r="E6417" t="str">
        <f t="shared" si="2938"/>
        <v>COM</v>
      </c>
      <c r="F6417" t="str">
        <f t="shared" si="2947"/>
        <v>FARMÁCIA INDIANA LJ 1 (10126)</v>
      </c>
      <c r="G6417" t="str">
        <f t="shared" si="2948"/>
        <v>Serv.Prest. 13/10/2025 a 19/10/2025 - RPS: 1422 - NFSe: 3658</v>
      </c>
      <c r="H6417" t="str">
        <f t="shared" si="2954"/>
        <v>29/10/2025</v>
      </c>
      <c r="I6417" t="str">
        <f t="shared" si="2956"/>
        <v>21/10/2025</v>
      </c>
      <c r="J6417" t="str">
        <f t="shared" si="2957"/>
        <v>29/10/2025</v>
      </c>
      <c r="M6417">
        <v>303</v>
      </c>
      <c r="N6417" t="str">
        <f t="shared" si="2952"/>
        <v>RECEITAS COM ENTREGAS</v>
      </c>
      <c r="P6417">
        <v>96.42</v>
      </c>
      <c r="Q6417" t="str">
        <f>"FARMÁCIA INDIANA LJ 192 (10082)"</f>
        <v>FARMÁCIA INDIANA LJ 192 (10082)</v>
      </c>
      <c r="R6417" t="str">
        <f t="shared" si="2953"/>
        <v>RECEITAS COM ENTREGAS (303)</v>
      </c>
      <c r="S6417">
        <v>2826</v>
      </c>
      <c r="T6417">
        <v>2334</v>
      </c>
      <c r="U6417" t="s">
        <v>19</v>
      </c>
    </row>
    <row r="6418" spans="1:21">
      <c r="A6418" t="str">
        <f t="shared" si="2955"/>
        <v>29/10/2025</v>
      </c>
      <c r="B6418" t="str">
        <f t="shared" si="2943"/>
        <v>ENTRADA</v>
      </c>
      <c r="C6418" t="str">
        <f t="shared" si="2951"/>
        <v>NFSE</v>
      </c>
      <c r="D6418" t="str">
        <f t="shared" si="2946"/>
        <v>3658</v>
      </c>
      <c r="E6418" t="str">
        <f t="shared" si="2938"/>
        <v>COM</v>
      </c>
      <c r="F6418" t="str">
        <f t="shared" si="2947"/>
        <v>FARMÁCIA INDIANA LJ 1 (10126)</v>
      </c>
      <c r="G6418" t="str">
        <f t="shared" si="2948"/>
        <v>Serv.Prest. 13/10/2025 a 19/10/2025 - RPS: 1422 - NFSe: 3658</v>
      </c>
      <c r="H6418" t="str">
        <f t="shared" si="2954"/>
        <v>29/10/2025</v>
      </c>
      <c r="I6418" t="str">
        <f t="shared" si="2956"/>
        <v>21/10/2025</v>
      </c>
      <c r="J6418" t="str">
        <f t="shared" si="2957"/>
        <v>29/10/2025</v>
      </c>
      <c r="M6418">
        <v>303</v>
      </c>
      <c r="N6418" t="str">
        <f t="shared" si="2952"/>
        <v>RECEITAS COM ENTREGAS</v>
      </c>
      <c r="P6418">
        <v>40.520000000000003</v>
      </c>
      <c r="Q6418" t="str">
        <f>"FARMÁCIA INDIANA LJ 195 (10083)"</f>
        <v>FARMÁCIA INDIANA LJ 195 (10083)</v>
      </c>
      <c r="R6418" t="str">
        <f t="shared" si="2953"/>
        <v>RECEITAS COM ENTREGAS (303)</v>
      </c>
      <c r="S6418">
        <v>2826</v>
      </c>
      <c r="T6418">
        <v>2334</v>
      </c>
      <c r="U6418" t="s">
        <v>19</v>
      </c>
    </row>
    <row r="6419" spans="1:21">
      <c r="A6419" t="str">
        <f t="shared" si="2955"/>
        <v>29/10/2025</v>
      </c>
      <c r="B6419" t="str">
        <f t="shared" si="2943"/>
        <v>ENTRADA</v>
      </c>
      <c r="C6419" t="str">
        <f t="shared" si="2951"/>
        <v>NFSE</v>
      </c>
      <c r="D6419" t="str">
        <f t="shared" si="2946"/>
        <v>3658</v>
      </c>
      <c r="E6419" t="str">
        <f t="shared" si="2938"/>
        <v>COM</v>
      </c>
      <c r="F6419" t="str">
        <f t="shared" si="2947"/>
        <v>FARMÁCIA INDIANA LJ 1 (10126)</v>
      </c>
      <c r="G6419" t="str">
        <f t="shared" si="2948"/>
        <v>Serv.Prest. 13/10/2025 a 19/10/2025 - RPS: 1422 - NFSe: 3658</v>
      </c>
      <c r="H6419" t="str">
        <f t="shared" si="2954"/>
        <v>29/10/2025</v>
      </c>
      <c r="I6419" t="str">
        <f t="shared" si="2956"/>
        <v>21/10/2025</v>
      </c>
      <c r="J6419" t="str">
        <f t="shared" si="2957"/>
        <v>29/10/2025</v>
      </c>
      <c r="M6419">
        <v>303</v>
      </c>
      <c r="N6419" t="str">
        <f t="shared" si="2952"/>
        <v>RECEITAS COM ENTREGAS</v>
      </c>
      <c r="P6419">
        <v>149.52000000000001</v>
      </c>
      <c r="Q6419" t="str">
        <f>"FARMÁCIA INDIANA LJ 202 (10085)"</f>
        <v>FARMÁCIA INDIANA LJ 202 (10085)</v>
      </c>
      <c r="R6419" t="str">
        <f t="shared" si="2953"/>
        <v>RECEITAS COM ENTREGAS (303)</v>
      </c>
      <c r="S6419">
        <v>2826</v>
      </c>
      <c r="T6419">
        <v>2334</v>
      </c>
      <c r="U6419" t="s">
        <v>19</v>
      </c>
    </row>
    <row r="6420" spans="1:21">
      <c r="A6420" t="str">
        <f t="shared" si="2955"/>
        <v>29/10/2025</v>
      </c>
      <c r="B6420" t="str">
        <f t="shared" si="2943"/>
        <v>ENTRADA</v>
      </c>
      <c r="C6420" t="str">
        <f t="shared" si="2951"/>
        <v>NFSE</v>
      </c>
      <c r="D6420" t="str">
        <f t="shared" si="2946"/>
        <v>3658</v>
      </c>
      <c r="E6420" t="str">
        <f t="shared" si="2938"/>
        <v>COM</v>
      </c>
      <c r="F6420" t="str">
        <f t="shared" si="2947"/>
        <v>FARMÁCIA INDIANA LJ 1 (10126)</v>
      </c>
      <c r="G6420" t="str">
        <f t="shared" si="2948"/>
        <v>Serv.Prest. 13/10/2025 a 19/10/2025 - RPS: 1422 - NFSe: 3658</v>
      </c>
      <c r="H6420" t="str">
        <f t="shared" si="2954"/>
        <v>29/10/2025</v>
      </c>
      <c r="I6420" t="str">
        <f t="shared" si="2956"/>
        <v>21/10/2025</v>
      </c>
      <c r="J6420" t="str">
        <f t="shared" si="2957"/>
        <v>29/10/2025</v>
      </c>
      <c r="M6420">
        <v>303</v>
      </c>
      <c r="N6420" t="str">
        <f t="shared" si="2952"/>
        <v>RECEITAS COM ENTREGAS</v>
      </c>
      <c r="P6420">
        <v>79.650000000000006</v>
      </c>
      <c r="Q6420" t="str">
        <f>"FARMÁCIA INDIANA LJ 204 (10087)"</f>
        <v>FARMÁCIA INDIANA LJ 204 (10087)</v>
      </c>
      <c r="R6420" t="str">
        <f t="shared" si="2953"/>
        <v>RECEITAS COM ENTREGAS (303)</v>
      </c>
      <c r="S6420">
        <v>2826</v>
      </c>
      <c r="T6420">
        <v>2334</v>
      </c>
      <c r="U6420" t="s">
        <v>19</v>
      </c>
    </row>
    <row r="6421" spans="1:21">
      <c r="A6421" t="str">
        <f t="shared" si="2955"/>
        <v>29/10/2025</v>
      </c>
      <c r="B6421" t="str">
        <f t="shared" si="2943"/>
        <v>ENTRADA</v>
      </c>
      <c r="C6421" t="str">
        <f t="shared" si="2951"/>
        <v>NFSE</v>
      </c>
      <c r="D6421" t="str">
        <f t="shared" si="2946"/>
        <v>3658</v>
      </c>
      <c r="E6421" t="str">
        <f t="shared" si="2938"/>
        <v>COM</v>
      </c>
      <c r="F6421" t="str">
        <f t="shared" si="2947"/>
        <v>FARMÁCIA INDIANA LJ 1 (10126)</v>
      </c>
      <c r="G6421" t="str">
        <f t="shared" si="2948"/>
        <v>Serv.Prest. 13/10/2025 a 19/10/2025 - RPS: 1422 - NFSe: 3658</v>
      </c>
      <c r="H6421" t="str">
        <f t="shared" si="2954"/>
        <v>29/10/2025</v>
      </c>
      <c r="I6421" t="str">
        <f t="shared" si="2956"/>
        <v>21/10/2025</v>
      </c>
      <c r="J6421" t="str">
        <f t="shared" si="2957"/>
        <v>29/10/2025</v>
      </c>
      <c r="M6421">
        <v>303</v>
      </c>
      <c r="N6421" t="str">
        <f t="shared" si="2952"/>
        <v>RECEITAS COM ENTREGAS</v>
      </c>
      <c r="P6421">
        <v>146.72999999999999</v>
      </c>
      <c r="Q6421" t="str">
        <f>"FARMÁCIA INDIANA LJ 207 (10088)"</f>
        <v>FARMÁCIA INDIANA LJ 207 (10088)</v>
      </c>
      <c r="R6421" t="str">
        <f t="shared" si="2953"/>
        <v>RECEITAS COM ENTREGAS (303)</v>
      </c>
      <c r="S6421">
        <v>2826</v>
      </c>
      <c r="T6421">
        <v>2334</v>
      </c>
      <c r="U6421" t="s">
        <v>19</v>
      </c>
    </row>
    <row r="6422" spans="1:21">
      <c r="A6422" t="str">
        <f t="shared" si="2955"/>
        <v>29/10/2025</v>
      </c>
      <c r="B6422" t="str">
        <f t="shared" si="2943"/>
        <v>ENTRADA</v>
      </c>
      <c r="C6422" t="str">
        <f t="shared" si="2951"/>
        <v>NFSE</v>
      </c>
      <c r="D6422" t="str">
        <f t="shared" si="2946"/>
        <v>3658</v>
      </c>
      <c r="E6422" t="str">
        <f t="shared" si="2938"/>
        <v>COM</v>
      </c>
      <c r="F6422" t="str">
        <f t="shared" si="2947"/>
        <v>FARMÁCIA INDIANA LJ 1 (10126)</v>
      </c>
      <c r="G6422" t="str">
        <f t="shared" si="2948"/>
        <v>Serv.Prest. 13/10/2025 a 19/10/2025 - RPS: 1422 - NFSe: 3658</v>
      </c>
      <c r="H6422" t="str">
        <f t="shared" si="2954"/>
        <v>29/10/2025</v>
      </c>
      <c r="I6422" t="str">
        <f t="shared" si="2956"/>
        <v>21/10/2025</v>
      </c>
      <c r="J6422" t="str">
        <f t="shared" si="2957"/>
        <v>29/10/2025</v>
      </c>
      <c r="M6422">
        <v>303</v>
      </c>
      <c r="N6422" t="str">
        <f t="shared" si="2952"/>
        <v>RECEITAS COM ENTREGAS</v>
      </c>
      <c r="P6422">
        <v>125.77</v>
      </c>
      <c r="Q6422" t="str">
        <f>"FARMÁCIA INDIANA LJ 209 (10089)"</f>
        <v>FARMÁCIA INDIANA LJ 209 (10089)</v>
      </c>
      <c r="R6422" t="str">
        <f t="shared" si="2953"/>
        <v>RECEITAS COM ENTREGAS (303)</v>
      </c>
      <c r="S6422">
        <v>2826</v>
      </c>
      <c r="T6422">
        <v>2334</v>
      </c>
      <c r="U6422" t="s">
        <v>19</v>
      </c>
    </row>
    <row r="6423" spans="1:21">
      <c r="A6423" t="str">
        <f t="shared" si="2955"/>
        <v>29/10/2025</v>
      </c>
      <c r="B6423" t="str">
        <f t="shared" si="2943"/>
        <v>ENTRADA</v>
      </c>
      <c r="C6423" t="str">
        <f t="shared" si="2951"/>
        <v>NFSE</v>
      </c>
      <c r="D6423" t="str">
        <f t="shared" si="2946"/>
        <v>3658</v>
      </c>
      <c r="E6423" t="str">
        <f t="shared" si="2938"/>
        <v>COM</v>
      </c>
      <c r="F6423" t="str">
        <f t="shared" si="2947"/>
        <v>FARMÁCIA INDIANA LJ 1 (10126)</v>
      </c>
      <c r="G6423" t="str">
        <f t="shared" si="2948"/>
        <v>Serv.Prest. 13/10/2025 a 19/10/2025 - RPS: 1422 - NFSe: 3658</v>
      </c>
      <c r="H6423" t="str">
        <f t="shared" si="2954"/>
        <v>29/10/2025</v>
      </c>
      <c r="I6423" t="str">
        <f t="shared" si="2956"/>
        <v>21/10/2025</v>
      </c>
      <c r="J6423" t="str">
        <f t="shared" si="2957"/>
        <v>29/10/2025</v>
      </c>
      <c r="M6423">
        <v>303</v>
      </c>
      <c r="N6423" t="str">
        <f t="shared" si="2952"/>
        <v>RECEITAS COM ENTREGAS</v>
      </c>
      <c r="P6423">
        <v>300.44</v>
      </c>
      <c r="Q6423" t="str">
        <f>"FARMÁCIA INDIANA LJ 219 (10091)"</f>
        <v>FARMÁCIA INDIANA LJ 219 (10091)</v>
      </c>
      <c r="R6423" t="str">
        <f t="shared" si="2953"/>
        <v>RECEITAS COM ENTREGAS (303)</v>
      </c>
      <c r="S6423">
        <v>2826</v>
      </c>
      <c r="T6423">
        <v>2334</v>
      </c>
      <c r="U6423" t="s">
        <v>19</v>
      </c>
    </row>
    <row r="6424" spans="1:21">
      <c r="A6424" t="str">
        <f t="shared" si="2955"/>
        <v>29/10/2025</v>
      </c>
      <c r="B6424" t="str">
        <f t="shared" si="2943"/>
        <v>ENTRADA</v>
      </c>
      <c r="C6424" t="str">
        <f t="shared" si="2951"/>
        <v>NFSE</v>
      </c>
      <c r="D6424" t="str">
        <f t="shared" si="2946"/>
        <v>3658</v>
      </c>
      <c r="E6424" t="str">
        <f t="shared" si="2938"/>
        <v>COM</v>
      </c>
      <c r="F6424" t="str">
        <f t="shared" si="2947"/>
        <v>FARMÁCIA INDIANA LJ 1 (10126)</v>
      </c>
      <c r="G6424" t="str">
        <f t="shared" si="2948"/>
        <v>Serv.Prest. 13/10/2025 a 19/10/2025 - RPS: 1422 - NFSe: 3658</v>
      </c>
      <c r="H6424" t="str">
        <f t="shared" si="2954"/>
        <v>29/10/2025</v>
      </c>
      <c r="I6424" t="str">
        <f t="shared" si="2956"/>
        <v>21/10/2025</v>
      </c>
      <c r="J6424" t="str">
        <f t="shared" si="2957"/>
        <v>29/10/2025</v>
      </c>
      <c r="M6424">
        <v>303</v>
      </c>
      <c r="N6424" t="str">
        <f t="shared" si="2952"/>
        <v>RECEITAS COM ENTREGAS</v>
      </c>
      <c r="P6424">
        <v>269.7</v>
      </c>
      <c r="Q6424" t="str">
        <f>"FARMÁCIA INDIANA LJ 220 (10092)"</f>
        <v>FARMÁCIA INDIANA LJ 220 (10092)</v>
      </c>
      <c r="R6424" t="str">
        <f t="shared" si="2953"/>
        <v>RECEITAS COM ENTREGAS (303)</v>
      </c>
      <c r="S6424">
        <v>2826</v>
      </c>
      <c r="T6424">
        <v>2334</v>
      </c>
      <c r="U6424" t="s">
        <v>19</v>
      </c>
    </row>
    <row r="6425" spans="1:21">
      <c r="A6425" t="str">
        <f t="shared" si="2955"/>
        <v>29/10/2025</v>
      </c>
      <c r="B6425" t="str">
        <f t="shared" si="2943"/>
        <v>ENTRADA</v>
      </c>
      <c r="C6425" t="str">
        <f t="shared" si="2951"/>
        <v>NFSE</v>
      </c>
      <c r="D6425" t="str">
        <f t="shared" si="2946"/>
        <v>3658</v>
      </c>
      <c r="E6425" t="str">
        <f t="shared" si="2938"/>
        <v>COM</v>
      </c>
      <c r="F6425" t="str">
        <f t="shared" si="2947"/>
        <v>FARMÁCIA INDIANA LJ 1 (10126)</v>
      </c>
      <c r="G6425" t="str">
        <f t="shared" si="2948"/>
        <v>Serv.Prest. 13/10/2025 a 19/10/2025 - RPS: 1422 - NFSe: 3658</v>
      </c>
      <c r="H6425" t="str">
        <f t="shared" si="2954"/>
        <v>29/10/2025</v>
      </c>
      <c r="I6425" t="str">
        <f t="shared" si="2956"/>
        <v>21/10/2025</v>
      </c>
      <c r="J6425" t="str">
        <f t="shared" si="2957"/>
        <v>29/10/2025</v>
      </c>
      <c r="M6425">
        <v>303</v>
      </c>
      <c r="N6425" t="str">
        <f t="shared" si="2952"/>
        <v>RECEITAS COM ENTREGAS</v>
      </c>
      <c r="P6425">
        <v>171.88</v>
      </c>
      <c r="Q6425" t="str">
        <f>"FARMÁCIA INDIANA LJ 185 (10141)"</f>
        <v>FARMÁCIA INDIANA LJ 185 (10141)</v>
      </c>
      <c r="R6425" t="str">
        <f t="shared" si="2953"/>
        <v>RECEITAS COM ENTREGAS (303)</v>
      </c>
      <c r="S6425">
        <v>2826</v>
      </c>
      <c r="T6425">
        <v>2334</v>
      </c>
      <c r="U6425" t="s">
        <v>19</v>
      </c>
    </row>
    <row r="6426" spans="1:21">
      <c r="A6426" t="str">
        <f t="shared" si="2955"/>
        <v>29/10/2025</v>
      </c>
      <c r="B6426" t="str">
        <f t="shared" si="2943"/>
        <v>ENTRADA</v>
      </c>
      <c r="C6426" t="str">
        <f t="shared" si="2951"/>
        <v>NFSE</v>
      </c>
      <c r="D6426" t="str">
        <f t="shared" si="2946"/>
        <v>3658</v>
      </c>
      <c r="E6426" t="str">
        <f t="shared" si="2938"/>
        <v>COM</v>
      </c>
      <c r="F6426" t="str">
        <f t="shared" si="2947"/>
        <v>FARMÁCIA INDIANA LJ 1 (10126)</v>
      </c>
      <c r="G6426" t="str">
        <f t="shared" si="2948"/>
        <v>Serv.Prest. 13/10/2025 a 19/10/2025 - RPS: 1422 - NFSe: 3658</v>
      </c>
      <c r="H6426" t="str">
        <f t="shared" si="2954"/>
        <v>29/10/2025</v>
      </c>
      <c r="I6426" t="str">
        <f t="shared" si="2956"/>
        <v>21/10/2025</v>
      </c>
      <c r="J6426" t="str">
        <f t="shared" si="2957"/>
        <v>29/10/2025</v>
      </c>
      <c r="M6426">
        <v>303</v>
      </c>
      <c r="N6426" t="str">
        <f t="shared" si="2952"/>
        <v>RECEITAS COM ENTREGAS</v>
      </c>
      <c r="P6426">
        <v>106.2</v>
      </c>
      <c r="Q6426" t="str">
        <f>"FARMÁCIA INDIANA LJ 205 (10150)"</f>
        <v>FARMÁCIA INDIANA LJ 205 (10150)</v>
      </c>
      <c r="R6426" t="str">
        <f t="shared" si="2953"/>
        <v>RECEITAS COM ENTREGAS (303)</v>
      </c>
      <c r="S6426">
        <v>2826</v>
      </c>
      <c r="T6426">
        <v>2334</v>
      </c>
      <c r="U6426" t="s">
        <v>19</v>
      </c>
    </row>
    <row r="6427" spans="1:21">
      <c r="A6427" t="str">
        <f t="shared" si="2955"/>
        <v>29/10/2025</v>
      </c>
      <c r="B6427" t="str">
        <f t="shared" si="2943"/>
        <v>ENTRADA</v>
      </c>
      <c r="C6427" t="str">
        <f t="shared" si="2951"/>
        <v>NFSE</v>
      </c>
      <c r="D6427" t="str">
        <f t="shared" si="2946"/>
        <v>3658</v>
      </c>
      <c r="E6427" t="str">
        <f t="shared" si="2938"/>
        <v>COM</v>
      </c>
      <c r="F6427" t="str">
        <f t="shared" si="2947"/>
        <v>FARMÁCIA INDIANA LJ 1 (10126)</v>
      </c>
      <c r="G6427" t="str">
        <f t="shared" si="2948"/>
        <v>Serv.Prest. 13/10/2025 a 19/10/2025 - RPS: 1422 - NFSe: 3658</v>
      </c>
      <c r="H6427" t="str">
        <f t="shared" si="2954"/>
        <v>29/10/2025</v>
      </c>
      <c r="I6427" t="str">
        <f t="shared" si="2956"/>
        <v>21/10/2025</v>
      </c>
      <c r="J6427" t="str">
        <f t="shared" si="2957"/>
        <v>29/10/2025</v>
      </c>
      <c r="M6427">
        <v>303</v>
      </c>
      <c r="N6427" t="str">
        <f t="shared" si="2952"/>
        <v>RECEITAS COM ENTREGAS</v>
      </c>
      <c r="P6427">
        <v>656.78</v>
      </c>
      <c r="Q6427" t="str">
        <f>"FARMÁCIA INDIANA LJ 172 (10161)"</f>
        <v>FARMÁCIA INDIANA LJ 172 (10161)</v>
      </c>
      <c r="R6427" t="str">
        <f t="shared" si="2953"/>
        <v>RECEITAS COM ENTREGAS (303)</v>
      </c>
      <c r="S6427">
        <v>2826</v>
      </c>
      <c r="T6427">
        <v>2334</v>
      </c>
      <c r="U6427" t="s">
        <v>19</v>
      </c>
    </row>
    <row r="6428" spans="1:21">
      <c r="A6428" t="str">
        <f t="shared" si="2955"/>
        <v>29/10/2025</v>
      </c>
      <c r="B6428" t="str">
        <f t="shared" si="2943"/>
        <v>ENTRADA</v>
      </c>
      <c r="C6428" t="str">
        <f t="shared" si="2951"/>
        <v>NFSE</v>
      </c>
      <c r="D6428" t="str">
        <f t="shared" si="2946"/>
        <v>3658</v>
      </c>
      <c r="E6428" t="str">
        <f t="shared" si="2938"/>
        <v>COM</v>
      </c>
      <c r="F6428" t="str">
        <f t="shared" si="2947"/>
        <v>FARMÁCIA INDIANA LJ 1 (10126)</v>
      </c>
      <c r="G6428" t="str">
        <f t="shared" si="2948"/>
        <v>Serv.Prest. 13/10/2025 a 19/10/2025 - RPS: 1422 - NFSe: 3658</v>
      </c>
      <c r="H6428" t="str">
        <f t="shared" si="2954"/>
        <v>29/10/2025</v>
      </c>
      <c r="I6428" t="str">
        <f t="shared" si="2956"/>
        <v>21/10/2025</v>
      </c>
      <c r="J6428" t="str">
        <f t="shared" si="2957"/>
        <v>29/10/2025</v>
      </c>
      <c r="M6428">
        <v>303</v>
      </c>
      <c r="N6428" t="str">
        <f t="shared" si="2952"/>
        <v>RECEITAS COM ENTREGAS</v>
      </c>
      <c r="P6428">
        <v>81.05</v>
      </c>
      <c r="Q6428" t="str">
        <f>"FARMÁCIA INDIANA LJ 266 (10186)"</f>
        <v>FARMÁCIA INDIANA LJ 266 (10186)</v>
      </c>
      <c r="R6428" t="str">
        <f t="shared" si="2953"/>
        <v>RECEITAS COM ENTREGAS (303)</v>
      </c>
      <c r="S6428">
        <v>2826</v>
      </c>
      <c r="T6428">
        <v>2334</v>
      </c>
      <c r="U6428" t="s">
        <v>19</v>
      </c>
    </row>
    <row r="6429" spans="1:21">
      <c r="A6429" t="str">
        <f t="shared" si="2955"/>
        <v>29/10/2025</v>
      </c>
      <c r="B6429" t="str">
        <f t="shared" si="2943"/>
        <v>ENTRADA</v>
      </c>
      <c r="C6429" t="str">
        <f t="shared" si="2951"/>
        <v>NFSE</v>
      </c>
      <c r="D6429" t="str">
        <f t="shared" ref="D6429:D6441" si="2958">"3659"</f>
        <v>3659</v>
      </c>
      <c r="E6429" t="str">
        <f t="shared" si="2938"/>
        <v>COM</v>
      </c>
      <c r="F6429" t="str">
        <f t="shared" ref="F6429:F6441" si="2959">"FARMÁCIA INDIANA LJ 30 (10127)"</f>
        <v>FARMÁCIA INDIANA LJ 30 (10127)</v>
      </c>
      <c r="G6429" t="str">
        <f t="shared" ref="G6429:G6441" si="2960">"Serv.Prest. 13/10/2025 a 19/10/2025 - RPS: 1423 - NFSe: 3659"</f>
        <v>Serv.Prest. 13/10/2025 a 19/10/2025 - RPS: 1423 - NFSe: 3659</v>
      </c>
      <c r="H6429" t="str">
        <f t="shared" si="2954"/>
        <v>29/10/2025</v>
      </c>
      <c r="I6429" t="str">
        <f t="shared" si="2956"/>
        <v>21/10/2025</v>
      </c>
      <c r="J6429" t="str">
        <f t="shared" si="2957"/>
        <v>29/10/2025</v>
      </c>
      <c r="K6429">
        <v>3169.12</v>
      </c>
      <c r="L6429">
        <v>3169.12</v>
      </c>
      <c r="M6429">
        <v>303</v>
      </c>
      <c r="N6429" t="str">
        <f t="shared" si="2952"/>
        <v>RECEITAS COM ENTREGAS</v>
      </c>
      <c r="O6429">
        <v>3169.12</v>
      </c>
      <c r="R6429" t="str">
        <f t="shared" si="2953"/>
        <v>RECEITAS COM ENTREGAS (303)</v>
      </c>
      <c r="S6429">
        <v>2827</v>
      </c>
      <c r="T6429">
        <v>2335</v>
      </c>
      <c r="U6429" t="s">
        <v>19</v>
      </c>
    </row>
    <row r="6430" spans="1:21">
      <c r="A6430" t="str">
        <f t="shared" si="2955"/>
        <v>29/10/2025</v>
      </c>
      <c r="B6430" t="str">
        <f t="shared" si="2943"/>
        <v>ENTRADA</v>
      </c>
      <c r="C6430" t="str">
        <f t="shared" si="2951"/>
        <v>NFSE</v>
      </c>
      <c r="D6430" t="str">
        <f t="shared" si="2958"/>
        <v>3659</v>
      </c>
      <c r="E6430" t="str">
        <f t="shared" si="2938"/>
        <v>COM</v>
      </c>
      <c r="F6430" t="str">
        <f t="shared" si="2959"/>
        <v>FARMÁCIA INDIANA LJ 30 (10127)</v>
      </c>
      <c r="G6430" t="str">
        <f t="shared" si="2960"/>
        <v>Serv.Prest. 13/10/2025 a 19/10/2025 - RPS: 1423 - NFSe: 3659</v>
      </c>
      <c r="H6430" t="str">
        <f t="shared" si="2954"/>
        <v>29/10/2025</v>
      </c>
      <c r="I6430" t="str">
        <f t="shared" si="2956"/>
        <v>21/10/2025</v>
      </c>
      <c r="J6430" t="str">
        <f t="shared" si="2957"/>
        <v>29/10/2025</v>
      </c>
      <c r="M6430">
        <v>303</v>
      </c>
      <c r="N6430" t="str">
        <f t="shared" si="2952"/>
        <v>RECEITAS COM ENTREGAS</v>
      </c>
      <c r="P6430">
        <v>291.56</v>
      </c>
      <c r="Q6430" t="str">
        <f>"FARMÁCIA INDIANA LJ 34 (10014)"</f>
        <v>FARMÁCIA INDIANA LJ 34 (10014)</v>
      </c>
      <c r="R6430" t="str">
        <f t="shared" si="2953"/>
        <v>RECEITAS COM ENTREGAS (303)</v>
      </c>
      <c r="S6430">
        <v>2827</v>
      </c>
      <c r="T6430">
        <v>2335</v>
      </c>
      <c r="U6430" t="s">
        <v>19</v>
      </c>
    </row>
    <row r="6431" spans="1:21">
      <c r="A6431" t="str">
        <f t="shared" si="2955"/>
        <v>29/10/2025</v>
      </c>
      <c r="B6431" t="str">
        <f t="shared" si="2943"/>
        <v>ENTRADA</v>
      </c>
      <c r="C6431" t="str">
        <f t="shared" si="2951"/>
        <v>NFSE</v>
      </c>
      <c r="D6431" t="str">
        <f t="shared" si="2958"/>
        <v>3659</v>
      </c>
      <c r="E6431" t="str">
        <f t="shared" si="2938"/>
        <v>COM</v>
      </c>
      <c r="F6431" t="str">
        <f t="shared" si="2959"/>
        <v>FARMÁCIA INDIANA LJ 30 (10127)</v>
      </c>
      <c r="G6431" t="str">
        <f t="shared" si="2960"/>
        <v>Serv.Prest. 13/10/2025 a 19/10/2025 - RPS: 1423 - NFSe: 3659</v>
      </c>
      <c r="H6431" t="str">
        <f t="shared" si="2954"/>
        <v>29/10/2025</v>
      </c>
      <c r="I6431" t="str">
        <f t="shared" si="2956"/>
        <v>21/10/2025</v>
      </c>
      <c r="J6431" t="str">
        <f t="shared" si="2957"/>
        <v>29/10/2025</v>
      </c>
      <c r="M6431">
        <v>303</v>
      </c>
      <c r="N6431" t="str">
        <f t="shared" si="2952"/>
        <v>RECEITAS COM ENTREGAS</v>
      </c>
      <c r="P6431">
        <v>251.95</v>
      </c>
      <c r="Q6431" t="str">
        <f>"FARMÁCIA INDIANA LJ 35 (10015)"</f>
        <v>FARMÁCIA INDIANA LJ 35 (10015)</v>
      </c>
      <c r="R6431" t="str">
        <f t="shared" si="2953"/>
        <v>RECEITAS COM ENTREGAS (303)</v>
      </c>
      <c r="S6431">
        <v>2827</v>
      </c>
      <c r="T6431">
        <v>2335</v>
      </c>
      <c r="U6431" t="s">
        <v>19</v>
      </c>
    </row>
    <row r="6432" spans="1:21">
      <c r="A6432" t="str">
        <f t="shared" si="2955"/>
        <v>29/10/2025</v>
      </c>
      <c r="B6432" t="str">
        <f t="shared" si="2943"/>
        <v>ENTRADA</v>
      </c>
      <c r="C6432" t="str">
        <f t="shared" si="2951"/>
        <v>NFSE</v>
      </c>
      <c r="D6432" t="str">
        <f t="shared" si="2958"/>
        <v>3659</v>
      </c>
      <c r="E6432" t="str">
        <f t="shared" si="2938"/>
        <v>COM</v>
      </c>
      <c r="F6432" t="str">
        <f t="shared" si="2959"/>
        <v>FARMÁCIA INDIANA LJ 30 (10127)</v>
      </c>
      <c r="G6432" t="str">
        <f t="shared" si="2960"/>
        <v>Serv.Prest. 13/10/2025 a 19/10/2025 - RPS: 1423 - NFSe: 3659</v>
      </c>
      <c r="H6432" t="str">
        <f t="shared" si="2954"/>
        <v>29/10/2025</v>
      </c>
      <c r="I6432" t="str">
        <f t="shared" si="2956"/>
        <v>21/10/2025</v>
      </c>
      <c r="J6432" t="str">
        <f t="shared" si="2957"/>
        <v>29/10/2025</v>
      </c>
      <c r="M6432">
        <v>303</v>
      </c>
      <c r="N6432" t="str">
        <f t="shared" si="2952"/>
        <v>RECEITAS COM ENTREGAS</v>
      </c>
      <c r="P6432">
        <v>274.13</v>
      </c>
      <c r="Q6432" t="str">
        <f>"FARMÁCIA INDIANA LJ 48 (10018)"</f>
        <v>FARMÁCIA INDIANA LJ 48 (10018)</v>
      </c>
      <c r="R6432" t="str">
        <f t="shared" si="2953"/>
        <v>RECEITAS COM ENTREGAS (303)</v>
      </c>
      <c r="S6432">
        <v>2827</v>
      </c>
      <c r="T6432">
        <v>2335</v>
      </c>
      <c r="U6432" t="s">
        <v>19</v>
      </c>
    </row>
    <row r="6433" spans="1:21">
      <c r="A6433" t="str">
        <f t="shared" si="2955"/>
        <v>29/10/2025</v>
      </c>
      <c r="B6433" t="str">
        <f t="shared" si="2943"/>
        <v>ENTRADA</v>
      </c>
      <c r="C6433" t="str">
        <f t="shared" si="2951"/>
        <v>NFSE</v>
      </c>
      <c r="D6433" t="str">
        <f t="shared" si="2958"/>
        <v>3659</v>
      </c>
      <c r="E6433" t="str">
        <f t="shared" si="2938"/>
        <v>COM</v>
      </c>
      <c r="F6433" t="str">
        <f t="shared" si="2959"/>
        <v>FARMÁCIA INDIANA LJ 30 (10127)</v>
      </c>
      <c r="G6433" t="str">
        <f t="shared" si="2960"/>
        <v>Serv.Prest. 13/10/2025 a 19/10/2025 - RPS: 1423 - NFSe: 3659</v>
      </c>
      <c r="H6433" t="str">
        <f t="shared" si="2954"/>
        <v>29/10/2025</v>
      </c>
      <c r="I6433" t="str">
        <f t="shared" si="2956"/>
        <v>21/10/2025</v>
      </c>
      <c r="J6433" t="str">
        <f t="shared" si="2957"/>
        <v>29/10/2025</v>
      </c>
      <c r="M6433">
        <v>303</v>
      </c>
      <c r="N6433" t="str">
        <f t="shared" si="2952"/>
        <v>RECEITAS COM ENTREGAS</v>
      </c>
      <c r="P6433">
        <v>348.92</v>
      </c>
      <c r="Q6433" t="str">
        <f>"FARMÁCIA INDIANA LJ 65 (10030)"</f>
        <v>FARMÁCIA INDIANA LJ 65 (10030)</v>
      </c>
      <c r="R6433" t="str">
        <f t="shared" si="2953"/>
        <v>RECEITAS COM ENTREGAS (303)</v>
      </c>
      <c r="S6433">
        <v>2827</v>
      </c>
      <c r="T6433">
        <v>2335</v>
      </c>
      <c r="U6433" t="s">
        <v>19</v>
      </c>
    </row>
    <row r="6434" spans="1:21">
      <c r="A6434" t="str">
        <f t="shared" si="2955"/>
        <v>29/10/2025</v>
      </c>
      <c r="B6434" t="str">
        <f t="shared" si="2943"/>
        <v>ENTRADA</v>
      </c>
      <c r="C6434" t="str">
        <f t="shared" si="2951"/>
        <v>NFSE</v>
      </c>
      <c r="D6434" t="str">
        <f t="shared" si="2958"/>
        <v>3659</v>
      </c>
      <c r="E6434" t="str">
        <f t="shared" si="2938"/>
        <v>COM</v>
      </c>
      <c r="F6434" t="str">
        <f t="shared" si="2959"/>
        <v>FARMÁCIA INDIANA LJ 30 (10127)</v>
      </c>
      <c r="G6434" t="str">
        <f t="shared" si="2960"/>
        <v>Serv.Prest. 13/10/2025 a 19/10/2025 - RPS: 1423 - NFSe: 3659</v>
      </c>
      <c r="H6434" t="str">
        <f t="shared" si="2954"/>
        <v>29/10/2025</v>
      </c>
      <c r="I6434" t="str">
        <f t="shared" si="2956"/>
        <v>21/10/2025</v>
      </c>
      <c r="J6434" t="str">
        <f t="shared" si="2957"/>
        <v>29/10/2025</v>
      </c>
      <c r="M6434">
        <v>303</v>
      </c>
      <c r="N6434" t="str">
        <f t="shared" si="2952"/>
        <v>RECEITAS COM ENTREGAS</v>
      </c>
      <c r="P6434">
        <v>128.66999999999999</v>
      </c>
      <c r="Q6434" t="str">
        <f>"FARMÁCIA INDIANA LJ 77 (10034)"</f>
        <v>FARMÁCIA INDIANA LJ 77 (10034)</v>
      </c>
      <c r="R6434" t="str">
        <f t="shared" si="2953"/>
        <v>RECEITAS COM ENTREGAS (303)</v>
      </c>
      <c r="S6434">
        <v>2827</v>
      </c>
      <c r="T6434">
        <v>2335</v>
      </c>
      <c r="U6434" t="s">
        <v>19</v>
      </c>
    </row>
    <row r="6435" spans="1:21">
      <c r="A6435" t="str">
        <f t="shared" si="2955"/>
        <v>29/10/2025</v>
      </c>
      <c r="B6435" t="str">
        <f t="shared" si="2943"/>
        <v>ENTRADA</v>
      </c>
      <c r="C6435" t="str">
        <f t="shared" si="2951"/>
        <v>NFSE</v>
      </c>
      <c r="D6435" t="str">
        <f t="shared" si="2958"/>
        <v>3659</v>
      </c>
      <c r="E6435" t="str">
        <f t="shared" si="2938"/>
        <v>COM</v>
      </c>
      <c r="F6435" t="str">
        <f t="shared" si="2959"/>
        <v>FARMÁCIA INDIANA LJ 30 (10127)</v>
      </c>
      <c r="G6435" t="str">
        <f t="shared" si="2960"/>
        <v>Serv.Prest. 13/10/2025 a 19/10/2025 - RPS: 1423 - NFSe: 3659</v>
      </c>
      <c r="H6435" t="str">
        <f t="shared" si="2954"/>
        <v>29/10/2025</v>
      </c>
      <c r="I6435" t="str">
        <f t="shared" si="2956"/>
        <v>21/10/2025</v>
      </c>
      <c r="J6435" t="str">
        <f t="shared" si="2957"/>
        <v>29/10/2025</v>
      </c>
      <c r="M6435">
        <v>303</v>
      </c>
      <c r="N6435" t="str">
        <f t="shared" si="2952"/>
        <v>RECEITAS COM ENTREGAS</v>
      </c>
      <c r="P6435">
        <v>587.87</v>
      </c>
      <c r="Q6435" t="str">
        <f>"FARMÁCIA INDIANA LJ 91 (10037)"</f>
        <v>FARMÁCIA INDIANA LJ 91 (10037)</v>
      </c>
      <c r="R6435" t="str">
        <f t="shared" si="2953"/>
        <v>RECEITAS COM ENTREGAS (303)</v>
      </c>
      <c r="S6435">
        <v>2827</v>
      </c>
      <c r="T6435">
        <v>2335</v>
      </c>
      <c r="U6435" t="s">
        <v>19</v>
      </c>
    </row>
    <row r="6436" spans="1:21">
      <c r="A6436" t="str">
        <f t="shared" si="2955"/>
        <v>29/10/2025</v>
      </c>
      <c r="B6436" t="str">
        <f t="shared" si="2943"/>
        <v>ENTRADA</v>
      </c>
      <c r="C6436" t="str">
        <f t="shared" si="2951"/>
        <v>NFSE</v>
      </c>
      <c r="D6436" t="str">
        <f t="shared" si="2958"/>
        <v>3659</v>
      </c>
      <c r="E6436" t="str">
        <f t="shared" ref="E6436:E6499" si="2961">"COM"</f>
        <v>COM</v>
      </c>
      <c r="F6436" t="str">
        <f t="shared" si="2959"/>
        <v>FARMÁCIA INDIANA LJ 30 (10127)</v>
      </c>
      <c r="G6436" t="str">
        <f t="shared" si="2960"/>
        <v>Serv.Prest. 13/10/2025 a 19/10/2025 - RPS: 1423 - NFSe: 3659</v>
      </c>
      <c r="H6436" t="str">
        <f t="shared" si="2954"/>
        <v>29/10/2025</v>
      </c>
      <c r="I6436" t="str">
        <f t="shared" si="2956"/>
        <v>21/10/2025</v>
      </c>
      <c r="J6436" t="str">
        <f t="shared" si="2957"/>
        <v>29/10/2025</v>
      </c>
      <c r="M6436">
        <v>303</v>
      </c>
      <c r="N6436" t="str">
        <f t="shared" si="2952"/>
        <v>RECEITAS COM ENTREGAS</v>
      </c>
      <c r="P6436">
        <v>334.66</v>
      </c>
      <c r="Q6436" t="str">
        <f>"FARMÁCIA INDIANA LJ 95 (10039)"</f>
        <v>FARMÁCIA INDIANA LJ 95 (10039)</v>
      </c>
      <c r="R6436" t="str">
        <f t="shared" si="2953"/>
        <v>RECEITAS COM ENTREGAS (303)</v>
      </c>
      <c r="S6436">
        <v>2827</v>
      </c>
      <c r="T6436">
        <v>2335</v>
      </c>
      <c r="U6436" t="s">
        <v>19</v>
      </c>
    </row>
    <row r="6437" spans="1:21">
      <c r="A6437" t="str">
        <f t="shared" si="2955"/>
        <v>29/10/2025</v>
      </c>
      <c r="B6437" t="str">
        <f t="shared" si="2943"/>
        <v>ENTRADA</v>
      </c>
      <c r="C6437" t="str">
        <f t="shared" si="2951"/>
        <v>NFSE</v>
      </c>
      <c r="D6437" t="str">
        <f t="shared" si="2958"/>
        <v>3659</v>
      </c>
      <c r="E6437" t="str">
        <f t="shared" si="2961"/>
        <v>COM</v>
      </c>
      <c r="F6437" t="str">
        <f t="shared" si="2959"/>
        <v>FARMÁCIA INDIANA LJ 30 (10127)</v>
      </c>
      <c r="G6437" t="str">
        <f t="shared" si="2960"/>
        <v>Serv.Prest. 13/10/2025 a 19/10/2025 - RPS: 1423 - NFSe: 3659</v>
      </c>
      <c r="H6437" t="str">
        <f t="shared" si="2954"/>
        <v>29/10/2025</v>
      </c>
      <c r="I6437" t="str">
        <f t="shared" si="2956"/>
        <v>21/10/2025</v>
      </c>
      <c r="J6437" t="str">
        <f t="shared" si="2957"/>
        <v>29/10/2025</v>
      </c>
      <c r="M6437">
        <v>303</v>
      </c>
      <c r="N6437" t="str">
        <f t="shared" si="2952"/>
        <v>RECEITAS COM ENTREGAS</v>
      </c>
      <c r="P6437">
        <v>280.77999999999997</v>
      </c>
      <c r="Q6437" t="str">
        <f>"FARMÁCIA INDIANA LJ 145 (10068)"</f>
        <v>FARMÁCIA INDIANA LJ 145 (10068)</v>
      </c>
      <c r="R6437" t="str">
        <f t="shared" si="2953"/>
        <v>RECEITAS COM ENTREGAS (303)</v>
      </c>
      <c r="S6437">
        <v>2827</v>
      </c>
      <c r="T6437">
        <v>2335</v>
      </c>
      <c r="U6437" t="s">
        <v>19</v>
      </c>
    </row>
    <row r="6438" spans="1:21">
      <c r="A6438" t="str">
        <f t="shared" si="2955"/>
        <v>29/10/2025</v>
      </c>
      <c r="B6438" t="str">
        <f t="shared" si="2943"/>
        <v>ENTRADA</v>
      </c>
      <c r="C6438" t="str">
        <f t="shared" si="2951"/>
        <v>NFSE</v>
      </c>
      <c r="D6438" t="str">
        <f t="shared" si="2958"/>
        <v>3659</v>
      </c>
      <c r="E6438" t="str">
        <f t="shared" si="2961"/>
        <v>COM</v>
      </c>
      <c r="F6438" t="str">
        <f t="shared" si="2959"/>
        <v>FARMÁCIA INDIANA LJ 30 (10127)</v>
      </c>
      <c r="G6438" t="str">
        <f t="shared" si="2960"/>
        <v>Serv.Prest. 13/10/2025 a 19/10/2025 - RPS: 1423 - NFSe: 3659</v>
      </c>
      <c r="H6438" t="str">
        <f t="shared" si="2954"/>
        <v>29/10/2025</v>
      </c>
      <c r="I6438" t="str">
        <f t="shared" si="2956"/>
        <v>21/10/2025</v>
      </c>
      <c r="J6438" t="str">
        <f t="shared" si="2957"/>
        <v>29/10/2025</v>
      </c>
      <c r="M6438">
        <v>303</v>
      </c>
      <c r="N6438" t="str">
        <f t="shared" si="2952"/>
        <v>RECEITAS COM ENTREGAS</v>
      </c>
      <c r="P6438">
        <v>106.8</v>
      </c>
      <c r="Q6438" t="str">
        <f>"FARMÁCIA INDIANA LJ 169 (10073)"</f>
        <v>FARMÁCIA INDIANA LJ 169 (10073)</v>
      </c>
      <c r="R6438" t="str">
        <f t="shared" si="2953"/>
        <v>RECEITAS COM ENTREGAS (303)</v>
      </c>
      <c r="S6438">
        <v>2827</v>
      </c>
      <c r="T6438">
        <v>2335</v>
      </c>
      <c r="U6438" t="s">
        <v>19</v>
      </c>
    </row>
    <row r="6439" spans="1:21">
      <c r="A6439" t="str">
        <f t="shared" si="2955"/>
        <v>29/10/2025</v>
      </c>
      <c r="B6439" t="str">
        <f t="shared" si="2943"/>
        <v>ENTRADA</v>
      </c>
      <c r="C6439" t="str">
        <f t="shared" ref="C6439:C6470" si="2962">"NFSE"</f>
        <v>NFSE</v>
      </c>
      <c r="D6439" t="str">
        <f t="shared" si="2958"/>
        <v>3659</v>
      </c>
      <c r="E6439" t="str">
        <f t="shared" si="2961"/>
        <v>COM</v>
      </c>
      <c r="F6439" t="str">
        <f t="shared" si="2959"/>
        <v>FARMÁCIA INDIANA LJ 30 (10127)</v>
      </c>
      <c r="G6439" t="str">
        <f t="shared" si="2960"/>
        <v>Serv.Prest. 13/10/2025 a 19/10/2025 - RPS: 1423 - NFSe: 3659</v>
      </c>
      <c r="H6439" t="str">
        <f t="shared" si="2954"/>
        <v>29/10/2025</v>
      </c>
      <c r="I6439" t="str">
        <f t="shared" si="2956"/>
        <v>21/10/2025</v>
      </c>
      <c r="J6439" t="str">
        <f t="shared" si="2957"/>
        <v>29/10/2025</v>
      </c>
      <c r="M6439">
        <v>303</v>
      </c>
      <c r="N6439" t="str">
        <f t="shared" ref="N6439:N6470" si="2963">"RECEITAS COM ENTREGAS"</f>
        <v>RECEITAS COM ENTREGAS</v>
      </c>
      <c r="P6439">
        <v>174.3</v>
      </c>
      <c r="Q6439" t="str">
        <f>"FARMÁCIA INDIANA LJ 173 (10075)"</f>
        <v>FARMÁCIA INDIANA LJ 173 (10075)</v>
      </c>
      <c r="R6439" t="str">
        <f t="shared" ref="R6439:R6470" si="2964">"RECEITAS COM ENTREGAS (303)"</f>
        <v>RECEITAS COM ENTREGAS (303)</v>
      </c>
      <c r="S6439">
        <v>2827</v>
      </c>
      <c r="T6439">
        <v>2335</v>
      </c>
      <c r="U6439" t="s">
        <v>19</v>
      </c>
    </row>
    <row r="6440" spans="1:21">
      <c r="A6440" t="str">
        <f t="shared" si="2955"/>
        <v>29/10/2025</v>
      </c>
      <c r="B6440" t="str">
        <f t="shared" ref="B6440:B6503" si="2965">"ENTRADA"</f>
        <v>ENTRADA</v>
      </c>
      <c r="C6440" t="str">
        <f t="shared" si="2962"/>
        <v>NFSE</v>
      </c>
      <c r="D6440" t="str">
        <f t="shared" si="2958"/>
        <v>3659</v>
      </c>
      <c r="E6440" t="str">
        <f t="shared" si="2961"/>
        <v>COM</v>
      </c>
      <c r="F6440" t="str">
        <f t="shared" si="2959"/>
        <v>FARMÁCIA INDIANA LJ 30 (10127)</v>
      </c>
      <c r="G6440" t="str">
        <f t="shared" si="2960"/>
        <v>Serv.Prest. 13/10/2025 a 19/10/2025 - RPS: 1423 - NFSe: 3659</v>
      </c>
      <c r="H6440" t="str">
        <f t="shared" si="2954"/>
        <v>29/10/2025</v>
      </c>
      <c r="I6440" t="str">
        <f t="shared" si="2956"/>
        <v>21/10/2025</v>
      </c>
      <c r="J6440" t="str">
        <f t="shared" si="2957"/>
        <v>29/10/2025</v>
      </c>
      <c r="M6440">
        <v>303</v>
      </c>
      <c r="N6440" t="str">
        <f t="shared" si="2963"/>
        <v>RECEITAS COM ENTREGAS</v>
      </c>
      <c r="P6440">
        <v>203.77</v>
      </c>
      <c r="Q6440" t="str">
        <f>"FARMÁCIA INDIANA LJ 200 (10155)"</f>
        <v>FARMÁCIA INDIANA LJ 200 (10155)</v>
      </c>
      <c r="R6440" t="str">
        <f t="shared" si="2964"/>
        <v>RECEITAS COM ENTREGAS (303)</v>
      </c>
      <c r="S6440">
        <v>2827</v>
      </c>
      <c r="T6440">
        <v>2335</v>
      </c>
      <c r="U6440" t="s">
        <v>19</v>
      </c>
    </row>
    <row r="6441" spans="1:21">
      <c r="A6441" t="str">
        <f t="shared" si="2955"/>
        <v>29/10/2025</v>
      </c>
      <c r="B6441" t="str">
        <f t="shared" si="2965"/>
        <v>ENTRADA</v>
      </c>
      <c r="C6441" t="str">
        <f t="shared" si="2962"/>
        <v>NFSE</v>
      </c>
      <c r="D6441" t="str">
        <f t="shared" si="2958"/>
        <v>3659</v>
      </c>
      <c r="E6441" t="str">
        <f t="shared" si="2961"/>
        <v>COM</v>
      </c>
      <c r="F6441" t="str">
        <f t="shared" si="2959"/>
        <v>FARMÁCIA INDIANA LJ 30 (10127)</v>
      </c>
      <c r="G6441" t="str">
        <f t="shared" si="2960"/>
        <v>Serv.Prest. 13/10/2025 a 19/10/2025 - RPS: 1423 - NFSe: 3659</v>
      </c>
      <c r="H6441" t="str">
        <f t="shared" si="2954"/>
        <v>29/10/2025</v>
      </c>
      <c r="I6441" t="str">
        <f t="shared" si="2956"/>
        <v>21/10/2025</v>
      </c>
      <c r="J6441" t="str">
        <f t="shared" si="2957"/>
        <v>29/10/2025</v>
      </c>
      <c r="M6441">
        <v>303</v>
      </c>
      <c r="N6441" t="str">
        <f t="shared" si="2963"/>
        <v>RECEITAS COM ENTREGAS</v>
      </c>
      <c r="P6441">
        <v>185.71</v>
      </c>
      <c r="Q6441" t="str">
        <f>"FARMÁCIA INDIANA LJ 33 (10187)"</f>
        <v>FARMÁCIA INDIANA LJ 33 (10187)</v>
      </c>
      <c r="R6441" t="str">
        <f t="shared" si="2964"/>
        <v>RECEITAS COM ENTREGAS (303)</v>
      </c>
      <c r="S6441">
        <v>2827</v>
      </c>
      <c r="T6441">
        <v>2335</v>
      </c>
      <c r="U6441" t="s">
        <v>19</v>
      </c>
    </row>
    <row r="6442" spans="1:21">
      <c r="A6442" t="str">
        <f t="shared" si="2955"/>
        <v>29/10/2025</v>
      </c>
      <c r="B6442" t="str">
        <f t="shared" si="2965"/>
        <v>ENTRADA</v>
      </c>
      <c r="C6442" t="str">
        <f t="shared" si="2962"/>
        <v>NFSE</v>
      </c>
      <c r="D6442" t="str">
        <f t="shared" ref="D6442:D6452" si="2966">"3660"</f>
        <v>3660</v>
      </c>
      <c r="E6442" t="str">
        <f t="shared" si="2961"/>
        <v>COM</v>
      </c>
      <c r="F6442" t="str">
        <f t="shared" ref="F6442:F6452" si="2967">"FARMÁCIA INDIANA LJ 85 (10128)"</f>
        <v>FARMÁCIA INDIANA LJ 85 (10128)</v>
      </c>
      <c r="G6442" t="str">
        <f t="shared" ref="G6442:G6452" si="2968">"Serv.Prest. 13/10/2025 a 19/10/2025 - RPS: 1424 - NFSe: 3660"</f>
        <v>Serv.Prest. 13/10/2025 a 19/10/2025 - RPS: 1424 - NFSe: 3660</v>
      </c>
      <c r="H6442" t="str">
        <f t="shared" si="2954"/>
        <v>29/10/2025</v>
      </c>
      <c r="I6442" t="str">
        <f t="shared" si="2956"/>
        <v>21/10/2025</v>
      </c>
      <c r="J6442" t="str">
        <f t="shared" si="2957"/>
        <v>29/10/2025</v>
      </c>
      <c r="K6442">
        <v>1298.79</v>
      </c>
      <c r="L6442">
        <v>1298.79</v>
      </c>
      <c r="M6442">
        <v>303</v>
      </c>
      <c r="N6442" t="str">
        <f t="shared" si="2963"/>
        <v>RECEITAS COM ENTREGAS</v>
      </c>
      <c r="O6442">
        <v>1298.79</v>
      </c>
      <c r="R6442" t="str">
        <f t="shared" si="2964"/>
        <v>RECEITAS COM ENTREGAS (303)</v>
      </c>
      <c r="S6442">
        <v>2828</v>
      </c>
      <c r="T6442">
        <v>2336</v>
      </c>
      <c r="U6442" t="s">
        <v>19</v>
      </c>
    </row>
    <row r="6443" spans="1:21">
      <c r="A6443" t="str">
        <f t="shared" si="2955"/>
        <v>29/10/2025</v>
      </c>
      <c r="B6443" t="str">
        <f t="shared" si="2965"/>
        <v>ENTRADA</v>
      </c>
      <c r="C6443" t="str">
        <f t="shared" si="2962"/>
        <v>NFSE</v>
      </c>
      <c r="D6443" t="str">
        <f t="shared" si="2966"/>
        <v>3660</v>
      </c>
      <c r="E6443" t="str">
        <f t="shared" si="2961"/>
        <v>COM</v>
      </c>
      <c r="F6443" t="str">
        <f t="shared" si="2967"/>
        <v>FARMÁCIA INDIANA LJ 85 (10128)</v>
      </c>
      <c r="G6443" t="str">
        <f t="shared" si="2968"/>
        <v>Serv.Prest. 13/10/2025 a 19/10/2025 - RPS: 1424 - NFSe: 3660</v>
      </c>
      <c r="H6443" t="str">
        <f t="shared" ref="H6443:H6474" si="2969">("29/10/2025")</f>
        <v>29/10/2025</v>
      </c>
      <c r="I6443" t="str">
        <f t="shared" si="2956"/>
        <v>21/10/2025</v>
      </c>
      <c r="J6443" t="str">
        <f t="shared" si="2957"/>
        <v>29/10/2025</v>
      </c>
      <c r="M6443">
        <v>303</v>
      </c>
      <c r="N6443" t="str">
        <f t="shared" si="2963"/>
        <v>RECEITAS COM ENTREGAS</v>
      </c>
      <c r="P6443">
        <v>161.97</v>
      </c>
      <c r="Q6443" t="str">
        <f>"FARMÁCIA INDIANA LJ 119 (10053)"</f>
        <v>FARMÁCIA INDIANA LJ 119 (10053)</v>
      </c>
      <c r="R6443" t="str">
        <f t="shared" si="2964"/>
        <v>RECEITAS COM ENTREGAS (303)</v>
      </c>
      <c r="S6443">
        <v>2828</v>
      </c>
      <c r="T6443">
        <v>2336</v>
      </c>
      <c r="U6443" t="s">
        <v>19</v>
      </c>
    </row>
    <row r="6444" spans="1:21">
      <c r="A6444" t="str">
        <f t="shared" si="2955"/>
        <v>29/10/2025</v>
      </c>
      <c r="B6444" t="str">
        <f t="shared" si="2965"/>
        <v>ENTRADA</v>
      </c>
      <c r="C6444" t="str">
        <f t="shared" si="2962"/>
        <v>NFSE</v>
      </c>
      <c r="D6444" t="str">
        <f t="shared" si="2966"/>
        <v>3660</v>
      </c>
      <c r="E6444" t="str">
        <f t="shared" si="2961"/>
        <v>COM</v>
      </c>
      <c r="F6444" t="str">
        <f t="shared" si="2967"/>
        <v>FARMÁCIA INDIANA LJ 85 (10128)</v>
      </c>
      <c r="G6444" t="str">
        <f t="shared" si="2968"/>
        <v>Serv.Prest. 13/10/2025 a 19/10/2025 - RPS: 1424 - NFSe: 3660</v>
      </c>
      <c r="H6444" t="str">
        <f t="shared" si="2969"/>
        <v>29/10/2025</v>
      </c>
      <c r="I6444" t="str">
        <f t="shared" si="2956"/>
        <v>21/10/2025</v>
      </c>
      <c r="J6444" t="str">
        <f t="shared" si="2957"/>
        <v>29/10/2025</v>
      </c>
      <c r="M6444">
        <v>303</v>
      </c>
      <c r="N6444" t="str">
        <f t="shared" si="2963"/>
        <v>RECEITAS COM ENTREGAS</v>
      </c>
      <c r="P6444">
        <v>105.59</v>
      </c>
      <c r="Q6444" t="str">
        <f>"FARMÁCIA INDIANA LJ 163 (10072)"</f>
        <v>FARMÁCIA INDIANA LJ 163 (10072)</v>
      </c>
      <c r="R6444" t="str">
        <f t="shared" si="2964"/>
        <v>RECEITAS COM ENTREGAS (303)</v>
      </c>
      <c r="S6444">
        <v>2828</v>
      </c>
      <c r="T6444">
        <v>2336</v>
      </c>
      <c r="U6444" t="s">
        <v>19</v>
      </c>
    </row>
    <row r="6445" spans="1:21">
      <c r="A6445" t="str">
        <f t="shared" ref="A6445:A6476" si="2970">("29/10/2025")</f>
        <v>29/10/2025</v>
      </c>
      <c r="B6445" t="str">
        <f t="shared" si="2965"/>
        <v>ENTRADA</v>
      </c>
      <c r="C6445" t="str">
        <f t="shared" si="2962"/>
        <v>NFSE</v>
      </c>
      <c r="D6445" t="str">
        <f t="shared" si="2966"/>
        <v>3660</v>
      </c>
      <c r="E6445" t="str">
        <f t="shared" si="2961"/>
        <v>COM</v>
      </c>
      <c r="F6445" t="str">
        <f t="shared" si="2967"/>
        <v>FARMÁCIA INDIANA LJ 85 (10128)</v>
      </c>
      <c r="G6445" t="str">
        <f t="shared" si="2968"/>
        <v>Serv.Prest. 13/10/2025 a 19/10/2025 - RPS: 1424 - NFSe: 3660</v>
      </c>
      <c r="H6445" t="str">
        <f t="shared" si="2969"/>
        <v>29/10/2025</v>
      </c>
      <c r="I6445" t="str">
        <f t="shared" ref="I6445:I6452" si="2971">("21/10/2025")</f>
        <v>21/10/2025</v>
      </c>
      <c r="J6445" t="str">
        <f t="shared" ref="J6445:J6476" si="2972">("29/10/2025")</f>
        <v>29/10/2025</v>
      </c>
      <c r="M6445">
        <v>303</v>
      </c>
      <c r="N6445" t="str">
        <f t="shared" si="2963"/>
        <v>RECEITAS COM ENTREGAS</v>
      </c>
      <c r="P6445">
        <v>168.58</v>
      </c>
      <c r="Q6445" t="str">
        <f>"FARMÁCIA INDIANA LJ 181 (10078)"</f>
        <v>FARMÁCIA INDIANA LJ 181 (10078)</v>
      </c>
      <c r="R6445" t="str">
        <f t="shared" si="2964"/>
        <v>RECEITAS COM ENTREGAS (303)</v>
      </c>
      <c r="S6445">
        <v>2828</v>
      </c>
      <c r="T6445">
        <v>2336</v>
      </c>
      <c r="U6445" t="s">
        <v>19</v>
      </c>
    </row>
    <row r="6446" spans="1:21">
      <c r="A6446" t="str">
        <f t="shared" si="2970"/>
        <v>29/10/2025</v>
      </c>
      <c r="B6446" t="str">
        <f t="shared" si="2965"/>
        <v>ENTRADA</v>
      </c>
      <c r="C6446" t="str">
        <f t="shared" si="2962"/>
        <v>NFSE</v>
      </c>
      <c r="D6446" t="str">
        <f t="shared" si="2966"/>
        <v>3660</v>
      </c>
      <c r="E6446" t="str">
        <f t="shared" si="2961"/>
        <v>COM</v>
      </c>
      <c r="F6446" t="str">
        <f t="shared" si="2967"/>
        <v>FARMÁCIA INDIANA LJ 85 (10128)</v>
      </c>
      <c r="G6446" t="str">
        <f t="shared" si="2968"/>
        <v>Serv.Prest. 13/10/2025 a 19/10/2025 - RPS: 1424 - NFSe: 3660</v>
      </c>
      <c r="H6446" t="str">
        <f t="shared" si="2969"/>
        <v>29/10/2025</v>
      </c>
      <c r="I6446" t="str">
        <f t="shared" si="2971"/>
        <v>21/10/2025</v>
      </c>
      <c r="J6446" t="str">
        <f t="shared" si="2972"/>
        <v>29/10/2025</v>
      </c>
      <c r="M6446">
        <v>303</v>
      </c>
      <c r="N6446" t="str">
        <f t="shared" si="2963"/>
        <v>RECEITAS COM ENTREGAS</v>
      </c>
      <c r="P6446">
        <v>161.69999999999999</v>
      </c>
      <c r="Q6446" t="str">
        <f>"FARMÁCIA INDIANA LJ 221 (10093)"</f>
        <v>FARMÁCIA INDIANA LJ 221 (10093)</v>
      </c>
      <c r="R6446" t="str">
        <f t="shared" si="2964"/>
        <v>RECEITAS COM ENTREGAS (303)</v>
      </c>
      <c r="S6446">
        <v>2828</v>
      </c>
      <c r="T6446">
        <v>2336</v>
      </c>
      <c r="U6446" t="s">
        <v>19</v>
      </c>
    </row>
    <row r="6447" spans="1:21">
      <c r="A6447" t="str">
        <f t="shared" si="2970"/>
        <v>29/10/2025</v>
      </c>
      <c r="B6447" t="str">
        <f t="shared" si="2965"/>
        <v>ENTRADA</v>
      </c>
      <c r="C6447" t="str">
        <f t="shared" si="2962"/>
        <v>NFSE</v>
      </c>
      <c r="D6447" t="str">
        <f t="shared" si="2966"/>
        <v>3660</v>
      </c>
      <c r="E6447" t="str">
        <f t="shared" si="2961"/>
        <v>COM</v>
      </c>
      <c r="F6447" t="str">
        <f t="shared" si="2967"/>
        <v>FARMÁCIA INDIANA LJ 85 (10128)</v>
      </c>
      <c r="G6447" t="str">
        <f t="shared" si="2968"/>
        <v>Serv.Prest. 13/10/2025 a 19/10/2025 - RPS: 1424 - NFSe: 3660</v>
      </c>
      <c r="H6447" t="str">
        <f t="shared" si="2969"/>
        <v>29/10/2025</v>
      </c>
      <c r="I6447" t="str">
        <f t="shared" si="2971"/>
        <v>21/10/2025</v>
      </c>
      <c r="J6447" t="str">
        <f t="shared" si="2972"/>
        <v>29/10/2025</v>
      </c>
      <c r="M6447">
        <v>303</v>
      </c>
      <c r="N6447" t="str">
        <f t="shared" si="2963"/>
        <v>RECEITAS COM ENTREGAS</v>
      </c>
      <c r="P6447">
        <v>194.3</v>
      </c>
      <c r="Q6447" t="str">
        <f>"FARMÁCIA INDIANA LJ 243 (10142)"</f>
        <v>FARMÁCIA INDIANA LJ 243 (10142)</v>
      </c>
      <c r="R6447" t="str">
        <f t="shared" si="2964"/>
        <v>RECEITAS COM ENTREGAS (303)</v>
      </c>
      <c r="S6447">
        <v>2828</v>
      </c>
      <c r="T6447">
        <v>2336</v>
      </c>
      <c r="U6447" t="s">
        <v>19</v>
      </c>
    </row>
    <row r="6448" spans="1:21">
      <c r="A6448" t="str">
        <f t="shared" si="2970"/>
        <v>29/10/2025</v>
      </c>
      <c r="B6448" t="str">
        <f t="shared" si="2965"/>
        <v>ENTRADA</v>
      </c>
      <c r="C6448" t="str">
        <f t="shared" si="2962"/>
        <v>NFSE</v>
      </c>
      <c r="D6448" t="str">
        <f t="shared" si="2966"/>
        <v>3660</v>
      </c>
      <c r="E6448" t="str">
        <f t="shared" si="2961"/>
        <v>COM</v>
      </c>
      <c r="F6448" t="str">
        <f t="shared" si="2967"/>
        <v>FARMÁCIA INDIANA LJ 85 (10128)</v>
      </c>
      <c r="G6448" t="str">
        <f t="shared" si="2968"/>
        <v>Serv.Prest. 13/10/2025 a 19/10/2025 - RPS: 1424 - NFSe: 3660</v>
      </c>
      <c r="H6448" t="str">
        <f t="shared" si="2969"/>
        <v>29/10/2025</v>
      </c>
      <c r="I6448" t="str">
        <f t="shared" si="2971"/>
        <v>21/10/2025</v>
      </c>
      <c r="J6448" t="str">
        <f t="shared" si="2972"/>
        <v>29/10/2025</v>
      </c>
      <c r="M6448">
        <v>303</v>
      </c>
      <c r="N6448" t="str">
        <f t="shared" si="2963"/>
        <v>RECEITAS COM ENTREGAS</v>
      </c>
      <c r="P6448">
        <v>86.11</v>
      </c>
      <c r="Q6448" t="str">
        <f>"FARMÁCIA INDIANA LJ 211 (10168)"</f>
        <v>FARMÁCIA INDIANA LJ 211 (10168)</v>
      </c>
      <c r="R6448" t="str">
        <f t="shared" si="2964"/>
        <v>RECEITAS COM ENTREGAS (303)</v>
      </c>
      <c r="S6448">
        <v>2828</v>
      </c>
      <c r="T6448">
        <v>2336</v>
      </c>
      <c r="U6448" t="s">
        <v>19</v>
      </c>
    </row>
    <row r="6449" spans="1:21">
      <c r="A6449" t="str">
        <f t="shared" si="2970"/>
        <v>29/10/2025</v>
      </c>
      <c r="B6449" t="str">
        <f t="shared" si="2965"/>
        <v>ENTRADA</v>
      </c>
      <c r="C6449" t="str">
        <f t="shared" si="2962"/>
        <v>NFSE</v>
      </c>
      <c r="D6449" t="str">
        <f t="shared" si="2966"/>
        <v>3660</v>
      </c>
      <c r="E6449" t="str">
        <f t="shared" si="2961"/>
        <v>COM</v>
      </c>
      <c r="F6449" t="str">
        <f t="shared" si="2967"/>
        <v>FARMÁCIA INDIANA LJ 85 (10128)</v>
      </c>
      <c r="G6449" t="str">
        <f t="shared" si="2968"/>
        <v>Serv.Prest. 13/10/2025 a 19/10/2025 - RPS: 1424 - NFSe: 3660</v>
      </c>
      <c r="H6449" t="str">
        <f t="shared" si="2969"/>
        <v>29/10/2025</v>
      </c>
      <c r="I6449" t="str">
        <f t="shared" si="2971"/>
        <v>21/10/2025</v>
      </c>
      <c r="J6449" t="str">
        <f t="shared" si="2972"/>
        <v>29/10/2025</v>
      </c>
      <c r="M6449">
        <v>303</v>
      </c>
      <c r="N6449" t="str">
        <f t="shared" si="2963"/>
        <v>RECEITAS COM ENTREGAS</v>
      </c>
      <c r="P6449">
        <v>86.11</v>
      </c>
      <c r="Q6449" t="str">
        <f>"FARMÁCIA INDIANA LJ 236 (10169)"</f>
        <v>FARMÁCIA INDIANA LJ 236 (10169)</v>
      </c>
      <c r="R6449" t="str">
        <f t="shared" si="2964"/>
        <v>RECEITAS COM ENTREGAS (303)</v>
      </c>
      <c r="S6449">
        <v>2828</v>
      </c>
      <c r="T6449">
        <v>2336</v>
      </c>
      <c r="U6449" t="s">
        <v>19</v>
      </c>
    </row>
    <row r="6450" spans="1:21">
      <c r="A6450" t="str">
        <f t="shared" si="2970"/>
        <v>29/10/2025</v>
      </c>
      <c r="B6450" t="str">
        <f t="shared" si="2965"/>
        <v>ENTRADA</v>
      </c>
      <c r="C6450" t="str">
        <f t="shared" si="2962"/>
        <v>NFSE</v>
      </c>
      <c r="D6450" t="str">
        <f t="shared" si="2966"/>
        <v>3660</v>
      </c>
      <c r="E6450" t="str">
        <f t="shared" si="2961"/>
        <v>COM</v>
      </c>
      <c r="F6450" t="str">
        <f t="shared" si="2967"/>
        <v>FARMÁCIA INDIANA LJ 85 (10128)</v>
      </c>
      <c r="G6450" t="str">
        <f t="shared" si="2968"/>
        <v>Serv.Prest. 13/10/2025 a 19/10/2025 - RPS: 1424 - NFSe: 3660</v>
      </c>
      <c r="H6450" t="str">
        <f t="shared" si="2969"/>
        <v>29/10/2025</v>
      </c>
      <c r="I6450" t="str">
        <f t="shared" si="2971"/>
        <v>21/10/2025</v>
      </c>
      <c r="J6450" t="str">
        <f t="shared" si="2972"/>
        <v>29/10/2025</v>
      </c>
      <c r="M6450">
        <v>303</v>
      </c>
      <c r="N6450" t="str">
        <f t="shared" si="2963"/>
        <v>RECEITAS COM ENTREGAS</v>
      </c>
      <c r="P6450">
        <v>172.22</v>
      </c>
      <c r="Q6450" t="str">
        <f>"FARMÁCIA INDIANA LJ 188 (10176)"</f>
        <v>FARMÁCIA INDIANA LJ 188 (10176)</v>
      </c>
      <c r="R6450" t="str">
        <f t="shared" si="2964"/>
        <v>RECEITAS COM ENTREGAS (303)</v>
      </c>
      <c r="S6450">
        <v>2828</v>
      </c>
      <c r="T6450">
        <v>2336</v>
      </c>
      <c r="U6450" t="s">
        <v>19</v>
      </c>
    </row>
    <row r="6451" spans="1:21">
      <c r="A6451" t="str">
        <f t="shared" si="2970"/>
        <v>29/10/2025</v>
      </c>
      <c r="B6451" t="str">
        <f t="shared" si="2965"/>
        <v>ENTRADA</v>
      </c>
      <c r="C6451" t="str">
        <f t="shared" si="2962"/>
        <v>NFSE</v>
      </c>
      <c r="D6451" t="str">
        <f t="shared" si="2966"/>
        <v>3660</v>
      </c>
      <c r="E6451" t="str">
        <f t="shared" si="2961"/>
        <v>COM</v>
      </c>
      <c r="F6451" t="str">
        <f t="shared" si="2967"/>
        <v>FARMÁCIA INDIANA LJ 85 (10128)</v>
      </c>
      <c r="G6451" t="str">
        <f t="shared" si="2968"/>
        <v>Serv.Prest. 13/10/2025 a 19/10/2025 - RPS: 1424 - NFSe: 3660</v>
      </c>
      <c r="H6451" t="str">
        <f t="shared" si="2969"/>
        <v>29/10/2025</v>
      </c>
      <c r="I6451" t="str">
        <f t="shared" si="2971"/>
        <v>21/10/2025</v>
      </c>
      <c r="J6451" t="str">
        <f t="shared" si="2972"/>
        <v>29/10/2025</v>
      </c>
      <c r="M6451">
        <v>303</v>
      </c>
      <c r="N6451" t="str">
        <f t="shared" si="2963"/>
        <v>RECEITAS COM ENTREGAS</v>
      </c>
      <c r="P6451">
        <v>134.94</v>
      </c>
      <c r="Q6451" t="str">
        <f>"FARMÁCIA INDIANA LJ 273 (10188)"</f>
        <v>FARMÁCIA INDIANA LJ 273 (10188)</v>
      </c>
      <c r="R6451" t="str">
        <f t="shared" si="2964"/>
        <v>RECEITAS COM ENTREGAS (303)</v>
      </c>
      <c r="S6451">
        <v>2828</v>
      </c>
      <c r="T6451">
        <v>2336</v>
      </c>
      <c r="U6451" t="s">
        <v>19</v>
      </c>
    </row>
    <row r="6452" spans="1:21">
      <c r="A6452" t="str">
        <f t="shared" si="2970"/>
        <v>29/10/2025</v>
      </c>
      <c r="B6452" t="str">
        <f t="shared" si="2965"/>
        <v>ENTRADA</v>
      </c>
      <c r="C6452" t="str">
        <f t="shared" si="2962"/>
        <v>NFSE</v>
      </c>
      <c r="D6452" t="str">
        <f t="shared" si="2966"/>
        <v>3660</v>
      </c>
      <c r="E6452" t="str">
        <f t="shared" si="2961"/>
        <v>COM</v>
      </c>
      <c r="F6452" t="str">
        <f t="shared" si="2967"/>
        <v>FARMÁCIA INDIANA LJ 85 (10128)</v>
      </c>
      <c r="G6452" t="str">
        <f t="shared" si="2968"/>
        <v>Serv.Prest. 13/10/2025 a 19/10/2025 - RPS: 1424 - NFSe: 3660</v>
      </c>
      <c r="H6452" t="str">
        <f t="shared" si="2969"/>
        <v>29/10/2025</v>
      </c>
      <c r="I6452" t="str">
        <f t="shared" si="2971"/>
        <v>21/10/2025</v>
      </c>
      <c r="J6452" t="str">
        <f t="shared" si="2972"/>
        <v>29/10/2025</v>
      </c>
      <c r="M6452">
        <v>303</v>
      </c>
      <c r="N6452" t="str">
        <f t="shared" si="2963"/>
        <v>RECEITAS COM ENTREGAS</v>
      </c>
      <c r="P6452">
        <v>27.27</v>
      </c>
      <c r="Q6452" t="str">
        <f>"FARMÁCIA INDIANA LJ 235 (10190)"</f>
        <v>FARMÁCIA INDIANA LJ 235 (10190)</v>
      </c>
      <c r="R6452" t="str">
        <f t="shared" si="2964"/>
        <v>RECEITAS COM ENTREGAS (303)</v>
      </c>
      <c r="S6452">
        <v>2828</v>
      </c>
      <c r="T6452">
        <v>2336</v>
      </c>
      <c r="U6452" t="s">
        <v>19</v>
      </c>
    </row>
    <row r="6453" spans="1:21">
      <c r="A6453" t="str">
        <f t="shared" si="2970"/>
        <v>29/10/2025</v>
      </c>
      <c r="B6453" t="str">
        <f t="shared" si="2965"/>
        <v>ENTRADA</v>
      </c>
      <c r="C6453" t="str">
        <f t="shared" si="2962"/>
        <v>NFSE</v>
      </c>
      <c r="D6453" t="str">
        <f>"3671"</f>
        <v>3671</v>
      </c>
      <c r="E6453" t="str">
        <f t="shared" si="2961"/>
        <v>COM</v>
      </c>
      <c r="F6453" t="str">
        <f>"DROGARIA AGAPEAMA (10167)"</f>
        <v>DROGARIA AGAPEAMA (10167)</v>
      </c>
      <c r="G6453" t="str">
        <f>"Serv.Prest. 20/10/2025 a 26/10/2025 - RPS: 1435 - NFSe: 3671"</f>
        <v>Serv.Prest. 20/10/2025 a 26/10/2025 - RPS: 1435 - NFSe: 3671</v>
      </c>
      <c r="H6453" t="str">
        <f t="shared" si="2969"/>
        <v>29/10/2025</v>
      </c>
      <c r="I6453" t="str">
        <f t="shared" ref="I6453:I6484" si="2973">("27/10/2025")</f>
        <v>27/10/2025</v>
      </c>
      <c r="J6453" t="str">
        <f t="shared" si="2972"/>
        <v>29/10/2025</v>
      </c>
      <c r="K6453">
        <v>382.4</v>
      </c>
      <c r="L6453">
        <v>382.4</v>
      </c>
      <c r="M6453">
        <v>303</v>
      </c>
      <c r="N6453" t="str">
        <f t="shared" si="2963"/>
        <v>RECEITAS COM ENTREGAS</v>
      </c>
      <c r="O6453">
        <v>382.4</v>
      </c>
      <c r="R6453" t="str">
        <f t="shared" si="2964"/>
        <v>RECEITAS COM ENTREGAS (303)</v>
      </c>
      <c r="S6453">
        <v>2829</v>
      </c>
      <c r="T6453">
        <v>2357</v>
      </c>
      <c r="U6453" t="s">
        <v>19</v>
      </c>
    </row>
    <row r="6454" spans="1:21">
      <c r="A6454" t="str">
        <f t="shared" si="2970"/>
        <v>29/10/2025</v>
      </c>
      <c r="B6454" t="str">
        <f t="shared" si="2965"/>
        <v>ENTRADA</v>
      </c>
      <c r="C6454" t="str">
        <f t="shared" si="2962"/>
        <v>NFSE</v>
      </c>
      <c r="D6454" t="str">
        <f>"3671"</f>
        <v>3671</v>
      </c>
      <c r="E6454" t="str">
        <f t="shared" si="2961"/>
        <v>COM</v>
      </c>
      <c r="F6454" t="str">
        <f>"DROGARIA AGAPEAMA (10167)"</f>
        <v>DROGARIA AGAPEAMA (10167)</v>
      </c>
      <c r="G6454" t="str">
        <f>"Serv.Prest. 20/10/2025 a 26/10/2025 - RPS: 1435 - NFSe: 3671"</f>
        <v>Serv.Prest. 20/10/2025 a 26/10/2025 - RPS: 1435 - NFSe: 3671</v>
      </c>
      <c r="H6454" t="str">
        <f t="shared" si="2969"/>
        <v>29/10/2025</v>
      </c>
      <c r="I6454" t="str">
        <f t="shared" si="2973"/>
        <v>27/10/2025</v>
      </c>
      <c r="J6454" t="str">
        <f t="shared" si="2972"/>
        <v>29/10/2025</v>
      </c>
      <c r="M6454">
        <v>303</v>
      </c>
      <c r="N6454" t="str">
        <f t="shared" si="2963"/>
        <v>RECEITAS COM ENTREGAS</v>
      </c>
      <c r="P6454">
        <v>382.4</v>
      </c>
      <c r="Q6454" t="str">
        <f>"DROGARIA AGAPEAMA (10167)"</f>
        <v>DROGARIA AGAPEAMA (10167)</v>
      </c>
      <c r="R6454" t="str">
        <f t="shared" si="2964"/>
        <v>RECEITAS COM ENTREGAS (303)</v>
      </c>
      <c r="S6454">
        <v>2829</v>
      </c>
      <c r="T6454">
        <v>2357</v>
      </c>
      <c r="U6454" t="s">
        <v>19</v>
      </c>
    </row>
    <row r="6455" spans="1:21">
      <c r="A6455" t="str">
        <f t="shared" si="2970"/>
        <v>29/10/2025</v>
      </c>
      <c r="B6455" t="str">
        <f t="shared" si="2965"/>
        <v>ENTRADA</v>
      </c>
      <c r="C6455" t="str">
        <f t="shared" si="2962"/>
        <v>NFSE</v>
      </c>
      <c r="D6455" t="str">
        <f>"3672"</f>
        <v>3672</v>
      </c>
      <c r="E6455" t="str">
        <f t="shared" si="2961"/>
        <v>COM</v>
      </c>
      <c r="F6455" t="str">
        <f>"ENTREFARMA (10164)"</f>
        <v>ENTREFARMA (10164)</v>
      </c>
      <c r="G6455" t="str">
        <f>"Serv.Prest. 20/10/2025 a 26/10/2025 - RPS: 1436 - NFSe: 3672"</f>
        <v>Serv.Prest. 20/10/2025 a 26/10/2025 - RPS: 1436 - NFSe: 3672</v>
      </c>
      <c r="H6455" t="str">
        <f t="shared" si="2969"/>
        <v>29/10/2025</v>
      </c>
      <c r="I6455" t="str">
        <f t="shared" si="2973"/>
        <v>27/10/2025</v>
      </c>
      <c r="J6455" t="str">
        <f t="shared" si="2972"/>
        <v>29/10/2025</v>
      </c>
      <c r="K6455">
        <v>1178.0999999999999</v>
      </c>
      <c r="L6455">
        <v>1178.0999999999999</v>
      </c>
      <c r="M6455">
        <v>303</v>
      </c>
      <c r="N6455" t="str">
        <f t="shared" si="2963"/>
        <v>RECEITAS COM ENTREGAS</v>
      </c>
      <c r="O6455">
        <v>1178.0999999999999</v>
      </c>
      <c r="R6455" t="str">
        <f t="shared" si="2964"/>
        <v>RECEITAS COM ENTREGAS (303)</v>
      </c>
      <c r="S6455">
        <v>2830</v>
      </c>
      <c r="T6455">
        <v>2358</v>
      </c>
      <c r="U6455" t="s">
        <v>19</v>
      </c>
    </row>
    <row r="6456" spans="1:21">
      <c r="A6456" t="str">
        <f t="shared" si="2970"/>
        <v>29/10/2025</v>
      </c>
      <c r="B6456" t="str">
        <f t="shared" si="2965"/>
        <v>ENTRADA</v>
      </c>
      <c r="C6456" t="str">
        <f t="shared" si="2962"/>
        <v>NFSE</v>
      </c>
      <c r="D6456" t="str">
        <f>"3672"</f>
        <v>3672</v>
      </c>
      <c r="E6456" t="str">
        <f t="shared" si="2961"/>
        <v>COM</v>
      </c>
      <c r="F6456" t="str">
        <f>"ENTREFARMA (10164)"</f>
        <v>ENTREFARMA (10164)</v>
      </c>
      <c r="G6456" t="str">
        <f>"Serv.Prest. 20/10/2025 a 26/10/2025 - RPS: 1436 - NFSe: 3672"</f>
        <v>Serv.Prest. 20/10/2025 a 26/10/2025 - RPS: 1436 - NFSe: 3672</v>
      </c>
      <c r="H6456" t="str">
        <f t="shared" si="2969"/>
        <v>29/10/2025</v>
      </c>
      <c r="I6456" t="str">
        <f t="shared" si="2973"/>
        <v>27/10/2025</v>
      </c>
      <c r="J6456" t="str">
        <f t="shared" si="2972"/>
        <v>29/10/2025</v>
      </c>
      <c r="M6456">
        <v>303</v>
      </c>
      <c r="N6456" t="str">
        <f t="shared" si="2963"/>
        <v>RECEITAS COM ENTREGAS</v>
      </c>
      <c r="P6456">
        <v>1178.0999999999999</v>
      </c>
      <c r="Q6456" t="str">
        <f>"ENTREFARMA (10164)"</f>
        <v>ENTREFARMA (10164)</v>
      </c>
      <c r="R6456" t="str">
        <f t="shared" si="2964"/>
        <v>RECEITAS COM ENTREGAS (303)</v>
      </c>
      <c r="S6456">
        <v>2830</v>
      </c>
      <c r="T6456">
        <v>2358</v>
      </c>
      <c r="U6456" t="s">
        <v>19</v>
      </c>
    </row>
    <row r="6457" spans="1:21">
      <c r="A6457" t="str">
        <f t="shared" si="2970"/>
        <v>29/10/2025</v>
      </c>
      <c r="B6457" t="str">
        <f t="shared" si="2965"/>
        <v>ENTRADA</v>
      </c>
      <c r="C6457" t="str">
        <f t="shared" si="2962"/>
        <v>NFSE</v>
      </c>
      <c r="D6457" t="str">
        <f>"3673"</f>
        <v>3673</v>
      </c>
      <c r="E6457" t="str">
        <f t="shared" si="2961"/>
        <v>COM</v>
      </c>
      <c r="F6457" t="str">
        <f>"FRAN FARMA (10124)"</f>
        <v>FRAN FARMA (10124)</v>
      </c>
      <c r="G6457" t="str">
        <f>"Serv.Prest. 20/10/2025 a 26/10/2025 - RPS: 1437 - NFSe: 3673"</f>
        <v>Serv.Prest. 20/10/2025 a 26/10/2025 - RPS: 1437 - NFSe: 3673</v>
      </c>
      <c r="H6457" t="str">
        <f t="shared" si="2969"/>
        <v>29/10/2025</v>
      </c>
      <c r="I6457" t="str">
        <f t="shared" si="2973"/>
        <v>27/10/2025</v>
      </c>
      <c r="J6457" t="str">
        <f t="shared" si="2972"/>
        <v>29/10/2025</v>
      </c>
      <c r="K6457">
        <v>160</v>
      </c>
      <c r="L6457">
        <v>160</v>
      </c>
      <c r="M6457">
        <v>303</v>
      </c>
      <c r="N6457" t="str">
        <f t="shared" si="2963"/>
        <v>RECEITAS COM ENTREGAS</v>
      </c>
      <c r="O6457">
        <v>160</v>
      </c>
      <c r="R6457" t="str">
        <f t="shared" si="2964"/>
        <v>RECEITAS COM ENTREGAS (303)</v>
      </c>
      <c r="S6457">
        <v>2831</v>
      </c>
      <c r="T6457">
        <v>2359</v>
      </c>
      <c r="U6457" t="s">
        <v>19</v>
      </c>
    </row>
    <row r="6458" spans="1:21">
      <c r="A6458" t="str">
        <f t="shared" si="2970"/>
        <v>29/10/2025</v>
      </c>
      <c r="B6458" t="str">
        <f t="shared" si="2965"/>
        <v>ENTRADA</v>
      </c>
      <c r="C6458" t="str">
        <f t="shared" si="2962"/>
        <v>NFSE</v>
      </c>
      <c r="D6458" t="str">
        <f>"3673"</f>
        <v>3673</v>
      </c>
      <c r="E6458" t="str">
        <f t="shared" si="2961"/>
        <v>COM</v>
      </c>
      <c r="F6458" t="str">
        <f>"FRAN FARMA (10124)"</f>
        <v>FRAN FARMA (10124)</v>
      </c>
      <c r="G6458" t="str">
        <f>"Serv.Prest. 20/10/2025 a 26/10/2025 - RPS: 1437 - NFSe: 3673"</f>
        <v>Serv.Prest. 20/10/2025 a 26/10/2025 - RPS: 1437 - NFSe: 3673</v>
      </c>
      <c r="H6458" t="str">
        <f t="shared" si="2969"/>
        <v>29/10/2025</v>
      </c>
      <c r="I6458" t="str">
        <f t="shared" si="2973"/>
        <v>27/10/2025</v>
      </c>
      <c r="J6458" t="str">
        <f t="shared" si="2972"/>
        <v>29/10/2025</v>
      </c>
      <c r="M6458">
        <v>303</v>
      </c>
      <c r="N6458" t="str">
        <f t="shared" si="2963"/>
        <v>RECEITAS COM ENTREGAS</v>
      </c>
      <c r="P6458">
        <v>96</v>
      </c>
      <c r="Q6458" t="str">
        <f>"FRAN FARMA LJ 2 (10131)"</f>
        <v>FRAN FARMA LJ 2 (10131)</v>
      </c>
      <c r="R6458" t="str">
        <f t="shared" si="2964"/>
        <v>RECEITAS COM ENTREGAS (303)</v>
      </c>
      <c r="S6458">
        <v>2831</v>
      </c>
      <c r="T6458">
        <v>2359</v>
      </c>
      <c r="U6458" t="s">
        <v>19</v>
      </c>
    </row>
    <row r="6459" spans="1:21">
      <c r="A6459" t="str">
        <f t="shared" si="2970"/>
        <v>29/10/2025</v>
      </c>
      <c r="B6459" t="str">
        <f t="shared" si="2965"/>
        <v>ENTRADA</v>
      </c>
      <c r="C6459" t="str">
        <f t="shared" si="2962"/>
        <v>NFSE</v>
      </c>
      <c r="D6459" t="str">
        <f>"3673"</f>
        <v>3673</v>
      </c>
      <c r="E6459" t="str">
        <f t="shared" si="2961"/>
        <v>COM</v>
      </c>
      <c r="F6459" t="str">
        <f>"FRAN FARMA (10124)"</f>
        <v>FRAN FARMA (10124)</v>
      </c>
      <c r="G6459" t="str">
        <f>"Serv.Prest. 20/10/2025 a 26/10/2025 - RPS: 1437 - NFSe: 3673"</f>
        <v>Serv.Prest. 20/10/2025 a 26/10/2025 - RPS: 1437 - NFSe: 3673</v>
      </c>
      <c r="H6459" t="str">
        <f t="shared" si="2969"/>
        <v>29/10/2025</v>
      </c>
      <c r="I6459" t="str">
        <f t="shared" si="2973"/>
        <v>27/10/2025</v>
      </c>
      <c r="J6459" t="str">
        <f t="shared" si="2972"/>
        <v>29/10/2025</v>
      </c>
      <c r="M6459">
        <v>303</v>
      </c>
      <c r="N6459" t="str">
        <f t="shared" si="2963"/>
        <v>RECEITAS COM ENTREGAS</v>
      </c>
      <c r="P6459">
        <v>64</v>
      </c>
      <c r="Q6459" t="str">
        <f>"FRAN FARMA LJ 3 (10132)"</f>
        <v>FRAN FARMA LJ 3 (10132)</v>
      </c>
      <c r="R6459" t="str">
        <f t="shared" si="2964"/>
        <v>RECEITAS COM ENTREGAS (303)</v>
      </c>
      <c r="S6459">
        <v>2831</v>
      </c>
      <c r="T6459">
        <v>2359</v>
      </c>
      <c r="U6459" t="s">
        <v>19</v>
      </c>
    </row>
    <row r="6460" spans="1:21">
      <c r="A6460" t="str">
        <f t="shared" si="2970"/>
        <v>29/10/2025</v>
      </c>
      <c r="B6460" t="str">
        <f t="shared" si="2965"/>
        <v>ENTRADA</v>
      </c>
      <c r="C6460" t="str">
        <f t="shared" si="2962"/>
        <v>NFSE</v>
      </c>
      <c r="D6460" t="str">
        <f>"3674"</f>
        <v>3674</v>
      </c>
      <c r="E6460" t="str">
        <f t="shared" si="2961"/>
        <v>COM</v>
      </c>
      <c r="F6460" t="str">
        <f>"PENSE FARMA 51 (10235)"</f>
        <v>PENSE FARMA 51 (10235)</v>
      </c>
      <c r="G6460" t="str">
        <f>"Serv.Prest. 20/10/2025 a 26/10/2025 - RPS: 1438 - NFSe: 3674"</f>
        <v>Serv.Prest. 20/10/2025 a 26/10/2025 - RPS: 1438 - NFSe: 3674</v>
      </c>
      <c r="H6460" t="str">
        <f t="shared" si="2969"/>
        <v>29/10/2025</v>
      </c>
      <c r="I6460" t="str">
        <f t="shared" si="2973"/>
        <v>27/10/2025</v>
      </c>
      <c r="J6460" t="str">
        <f t="shared" si="2972"/>
        <v>29/10/2025</v>
      </c>
      <c r="K6460">
        <v>171.36</v>
      </c>
      <c r="L6460">
        <v>171.36</v>
      </c>
      <c r="M6460">
        <v>303</v>
      </c>
      <c r="N6460" t="str">
        <f t="shared" si="2963"/>
        <v>RECEITAS COM ENTREGAS</v>
      </c>
      <c r="O6460">
        <v>171.36</v>
      </c>
      <c r="R6460" t="str">
        <f t="shared" si="2964"/>
        <v>RECEITAS COM ENTREGAS (303)</v>
      </c>
      <c r="S6460">
        <v>2832</v>
      </c>
      <c r="T6460">
        <v>2360</v>
      </c>
      <c r="U6460" t="s">
        <v>19</v>
      </c>
    </row>
    <row r="6461" spans="1:21">
      <c r="A6461" t="str">
        <f t="shared" si="2970"/>
        <v>29/10/2025</v>
      </c>
      <c r="B6461" t="str">
        <f t="shared" si="2965"/>
        <v>ENTRADA</v>
      </c>
      <c r="C6461" t="str">
        <f t="shared" si="2962"/>
        <v>NFSE</v>
      </c>
      <c r="D6461" t="str">
        <f>"3674"</f>
        <v>3674</v>
      </c>
      <c r="E6461" t="str">
        <f t="shared" si="2961"/>
        <v>COM</v>
      </c>
      <c r="F6461" t="str">
        <f>"PENSE FARMA 51 (10235)"</f>
        <v>PENSE FARMA 51 (10235)</v>
      </c>
      <c r="G6461" t="str">
        <f>"Serv.Prest. 20/10/2025 a 26/10/2025 - RPS: 1438 - NFSe: 3674"</f>
        <v>Serv.Prest. 20/10/2025 a 26/10/2025 - RPS: 1438 - NFSe: 3674</v>
      </c>
      <c r="H6461" t="str">
        <f t="shared" si="2969"/>
        <v>29/10/2025</v>
      </c>
      <c r="I6461" t="str">
        <f t="shared" si="2973"/>
        <v>27/10/2025</v>
      </c>
      <c r="J6461" t="str">
        <f t="shared" si="2972"/>
        <v>29/10/2025</v>
      </c>
      <c r="M6461">
        <v>303</v>
      </c>
      <c r="N6461" t="str">
        <f t="shared" si="2963"/>
        <v>RECEITAS COM ENTREGAS</v>
      </c>
      <c r="P6461">
        <v>171.36</v>
      </c>
      <c r="Q6461" t="str">
        <f>"PENSE FARMA 51 (10235)"</f>
        <v>PENSE FARMA 51 (10235)</v>
      </c>
      <c r="R6461" t="str">
        <f t="shared" si="2964"/>
        <v>RECEITAS COM ENTREGAS (303)</v>
      </c>
      <c r="S6461">
        <v>2832</v>
      </c>
      <c r="T6461">
        <v>2360</v>
      </c>
      <c r="U6461" t="s">
        <v>19</v>
      </c>
    </row>
    <row r="6462" spans="1:21">
      <c r="A6462" t="str">
        <f t="shared" si="2970"/>
        <v>29/10/2025</v>
      </c>
      <c r="B6462" t="str">
        <f t="shared" si="2965"/>
        <v>ENTRADA</v>
      </c>
      <c r="C6462" t="str">
        <f t="shared" si="2962"/>
        <v>NFSE</v>
      </c>
      <c r="D6462" t="str">
        <f>"3675"</f>
        <v>3675</v>
      </c>
      <c r="E6462" t="str">
        <f t="shared" si="2961"/>
        <v>COM</v>
      </c>
      <c r="F6462" t="str">
        <f>"PENSE FARMA 31 (10205)"</f>
        <v>PENSE FARMA 31 (10205)</v>
      </c>
      <c r="G6462" t="str">
        <f>"Serv.Prest. 20/10/2025 a 26/10/2025 - RPS: 1439 - NFSe: 3675"</f>
        <v>Serv.Prest. 20/10/2025 a 26/10/2025 - RPS: 1439 - NFSe: 3675</v>
      </c>
      <c r="H6462" t="str">
        <f t="shared" si="2969"/>
        <v>29/10/2025</v>
      </c>
      <c r="I6462" t="str">
        <f t="shared" si="2973"/>
        <v>27/10/2025</v>
      </c>
      <c r="J6462" t="str">
        <f t="shared" si="2972"/>
        <v>29/10/2025</v>
      </c>
      <c r="K6462">
        <v>283.94</v>
      </c>
      <c r="L6462">
        <v>283.94</v>
      </c>
      <c r="M6462">
        <v>303</v>
      </c>
      <c r="N6462" t="str">
        <f t="shared" si="2963"/>
        <v>RECEITAS COM ENTREGAS</v>
      </c>
      <c r="O6462">
        <v>283.94</v>
      </c>
      <c r="R6462" t="str">
        <f t="shared" si="2964"/>
        <v>RECEITAS COM ENTREGAS (303)</v>
      </c>
      <c r="S6462">
        <v>2833</v>
      </c>
      <c r="T6462">
        <v>2361</v>
      </c>
      <c r="U6462" t="s">
        <v>19</v>
      </c>
    </row>
    <row r="6463" spans="1:21">
      <c r="A6463" t="str">
        <f t="shared" si="2970"/>
        <v>29/10/2025</v>
      </c>
      <c r="B6463" t="str">
        <f t="shared" si="2965"/>
        <v>ENTRADA</v>
      </c>
      <c r="C6463" t="str">
        <f t="shared" si="2962"/>
        <v>NFSE</v>
      </c>
      <c r="D6463" t="str">
        <f>"3675"</f>
        <v>3675</v>
      </c>
      <c r="E6463" t="str">
        <f t="shared" si="2961"/>
        <v>COM</v>
      </c>
      <c r="F6463" t="str">
        <f>"PENSE FARMA 31 (10205)"</f>
        <v>PENSE FARMA 31 (10205)</v>
      </c>
      <c r="G6463" t="str">
        <f>"Serv.Prest. 20/10/2025 a 26/10/2025 - RPS: 1439 - NFSe: 3675"</f>
        <v>Serv.Prest. 20/10/2025 a 26/10/2025 - RPS: 1439 - NFSe: 3675</v>
      </c>
      <c r="H6463" t="str">
        <f t="shared" si="2969"/>
        <v>29/10/2025</v>
      </c>
      <c r="I6463" t="str">
        <f t="shared" si="2973"/>
        <v>27/10/2025</v>
      </c>
      <c r="J6463" t="str">
        <f t="shared" si="2972"/>
        <v>29/10/2025</v>
      </c>
      <c r="M6463">
        <v>303</v>
      </c>
      <c r="N6463" t="str">
        <f t="shared" si="2963"/>
        <v>RECEITAS COM ENTREGAS</v>
      </c>
      <c r="P6463">
        <v>94.24</v>
      </c>
      <c r="Q6463" t="str">
        <f>"PENSE FARMA 31 (10205)"</f>
        <v>PENSE FARMA 31 (10205)</v>
      </c>
      <c r="R6463" t="str">
        <f t="shared" si="2964"/>
        <v>RECEITAS COM ENTREGAS (303)</v>
      </c>
      <c r="S6463">
        <v>2833</v>
      </c>
      <c r="T6463">
        <v>2361</v>
      </c>
      <c r="U6463" t="s">
        <v>19</v>
      </c>
    </row>
    <row r="6464" spans="1:21">
      <c r="A6464" t="str">
        <f t="shared" si="2970"/>
        <v>29/10/2025</v>
      </c>
      <c r="B6464" t="str">
        <f t="shared" si="2965"/>
        <v>ENTRADA</v>
      </c>
      <c r="C6464" t="str">
        <f t="shared" si="2962"/>
        <v>NFSE</v>
      </c>
      <c r="D6464" t="str">
        <f>"3675"</f>
        <v>3675</v>
      </c>
      <c r="E6464" t="str">
        <f t="shared" si="2961"/>
        <v>COM</v>
      </c>
      <c r="F6464" t="str">
        <f>"PENSE FARMA 31 (10205)"</f>
        <v>PENSE FARMA 31 (10205)</v>
      </c>
      <c r="G6464" t="str">
        <f>"Serv.Prest. 20/10/2025 a 26/10/2025 - RPS: 1439 - NFSe: 3675"</f>
        <v>Serv.Prest. 20/10/2025 a 26/10/2025 - RPS: 1439 - NFSe: 3675</v>
      </c>
      <c r="H6464" t="str">
        <f t="shared" si="2969"/>
        <v>29/10/2025</v>
      </c>
      <c r="I6464" t="str">
        <f t="shared" si="2973"/>
        <v>27/10/2025</v>
      </c>
      <c r="J6464" t="str">
        <f t="shared" si="2972"/>
        <v>29/10/2025</v>
      </c>
      <c r="M6464">
        <v>303</v>
      </c>
      <c r="N6464" t="str">
        <f t="shared" si="2963"/>
        <v>RECEITAS COM ENTREGAS</v>
      </c>
      <c r="P6464">
        <v>95.43</v>
      </c>
      <c r="Q6464" t="str">
        <f>"PENSE FARMA 16 (10221)"</f>
        <v>PENSE FARMA 16 (10221)</v>
      </c>
      <c r="R6464" t="str">
        <f t="shared" si="2964"/>
        <v>RECEITAS COM ENTREGAS (303)</v>
      </c>
      <c r="S6464">
        <v>2833</v>
      </c>
      <c r="T6464">
        <v>2361</v>
      </c>
      <c r="U6464" t="s">
        <v>19</v>
      </c>
    </row>
    <row r="6465" spans="1:21">
      <c r="A6465" t="str">
        <f t="shared" si="2970"/>
        <v>29/10/2025</v>
      </c>
      <c r="B6465" t="str">
        <f t="shared" si="2965"/>
        <v>ENTRADA</v>
      </c>
      <c r="C6465" t="str">
        <f t="shared" si="2962"/>
        <v>NFSE</v>
      </c>
      <c r="D6465" t="str">
        <f>"3675"</f>
        <v>3675</v>
      </c>
      <c r="E6465" t="str">
        <f t="shared" si="2961"/>
        <v>COM</v>
      </c>
      <c r="F6465" t="str">
        <f>"PENSE FARMA 31 (10205)"</f>
        <v>PENSE FARMA 31 (10205)</v>
      </c>
      <c r="G6465" t="str">
        <f>"Serv.Prest. 20/10/2025 a 26/10/2025 - RPS: 1439 - NFSe: 3675"</f>
        <v>Serv.Prest. 20/10/2025 a 26/10/2025 - RPS: 1439 - NFSe: 3675</v>
      </c>
      <c r="H6465" t="str">
        <f t="shared" si="2969"/>
        <v>29/10/2025</v>
      </c>
      <c r="I6465" t="str">
        <f t="shared" si="2973"/>
        <v>27/10/2025</v>
      </c>
      <c r="J6465" t="str">
        <f t="shared" si="2972"/>
        <v>29/10/2025</v>
      </c>
      <c r="M6465">
        <v>303</v>
      </c>
      <c r="N6465" t="str">
        <f t="shared" si="2963"/>
        <v>RECEITAS COM ENTREGAS</v>
      </c>
      <c r="P6465">
        <v>94.27</v>
      </c>
      <c r="Q6465" t="str">
        <f>"PENSE FARMA 17 (10222)"</f>
        <v>PENSE FARMA 17 (10222)</v>
      </c>
      <c r="R6465" t="str">
        <f t="shared" si="2964"/>
        <v>RECEITAS COM ENTREGAS (303)</v>
      </c>
      <c r="S6465">
        <v>2833</v>
      </c>
      <c r="T6465">
        <v>2361</v>
      </c>
      <c r="U6465" t="s">
        <v>19</v>
      </c>
    </row>
    <row r="6466" spans="1:21">
      <c r="A6466" t="str">
        <f t="shared" si="2970"/>
        <v>29/10/2025</v>
      </c>
      <c r="B6466" t="str">
        <f t="shared" si="2965"/>
        <v>ENTRADA</v>
      </c>
      <c r="C6466" t="str">
        <f t="shared" si="2962"/>
        <v>NFSE</v>
      </c>
      <c r="D6466" t="str">
        <f>"3676"</f>
        <v>3676</v>
      </c>
      <c r="E6466" t="str">
        <f t="shared" si="2961"/>
        <v>COM</v>
      </c>
      <c r="F6466" t="str">
        <f>"PENSE FARMA 44 (10231)"</f>
        <v>PENSE FARMA 44 (10231)</v>
      </c>
      <c r="G6466" t="str">
        <f>"Serv.Prest. 20/10/2025 a 26/10/2025 - RPS: 1440 - NFSe: 3676"</f>
        <v>Serv.Prest. 20/10/2025 a 26/10/2025 - RPS: 1440 - NFSe: 3676</v>
      </c>
      <c r="H6466" t="str">
        <f t="shared" si="2969"/>
        <v>29/10/2025</v>
      </c>
      <c r="I6466" t="str">
        <f t="shared" si="2973"/>
        <v>27/10/2025</v>
      </c>
      <c r="J6466" t="str">
        <f t="shared" si="2972"/>
        <v>29/10/2025</v>
      </c>
      <c r="K6466">
        <v>589.04</v>
      </c>
      <c r="L6466">
        <v>589.04</v>
      </c>
      <c r="M6466">
        <v>303</v>
      </c>
      <c r="N6466" t="str">
        <f t="shared" si="2963"/>
        <v>RECEITAS COM ENTREGAS</v>
      </c>
      <c r="O6466">
        <v>589.04</v>
      </c>
      <c r="R6466" t="str">
        <f t="shared" si="2964"/>
        <v>RECEITAS COM ENTREGAS (303)</v>
      </c>
      <c r="S6466">
        <v>2834</v>
      </c>
      <c r="T6466">
        <v>2362</v>
      </c>
      <c r="U6466" t="s">
        <v>19</v>
      </c>
    </row>
    <row r="6467" spans="1:21">
      <c r="A6467" t="str">
        <f t="shared" si="2970"/>
        <v>29/10/2025</v>
      </c>
      <c r="B6467" t="str">
        <f t="shared" si="2965"/>
        <v>ENTRADA</v>
      </c>
      <c r="C6467" t="str">
        <f t="shared" si="2962"/>
        <v>NFSE</v>
      </c>
      <c r="D6467" t="str">
        <f>"3676"</f>
        <v>3676</v>
      </c>
      <c r="E6467" t="str">
        <f t="shared" si="2961"/>
        <v>COM</v>
      </c>
      <c r="F6467" t="str">
        <f>"PENSE FARMA 44 (10231)"</f>
        <v>PENSE FARMA 44 (10231)</v>
      </c>
      <c r="G6467" t="str">
        <f>"Serv.Prest. 20/10/2025 a 26/10/2025 - RPS: 1440 - NFSe: 3676"</f>
        <v>Serv.Prest. 20/10/2025 a 26/10/2025 - RPS: 1440 - NFSe: 3676</v>
      </c>
      <c r="H6467" t="str">
        <f t="shared" si="2969"/>
        <v>29/10/2025</v>
      </c>
      <c r="I6467" t="str">
        <f t="shared" si="2973"/>
        <v>27/10/2025</v>
      </c>
      <c r="J6467" t="str">
        <f t="shared" si="2972"/>
        <v>29/10/2025</v>
      </c>
      <c r="M6467">
        <v>303</v>
      </c>
      <c r="N6467" t="str">
        <f t="shared" si="2963"/>
        <v>RECEITAS COM ENTREGAS</v>
      </c>
      <c r="P6467">
        <v>294.52</v>
      </c>
      <c r="Q6467" t="str">
        <f>"PENSE FARMA 44 (10231)"</f>
        <v>PENSE FARMA 44 (10231)</v>
      </c>
      <c r="R6467" t="str">
        <f t="shared" si="2964"/>
        <v>RECEITAS COM ENTREGAS (303)</v>
      </c>
      <c r="S6467">
        <v>2834</v>
      </c>
      <c r="T6467">
        <v>2362</v>
      </c>
      <c r="U6467" t="s">
        <v>19</v>
      </c>
    </row>
    <row r="6468" spans="1:21">
      <c r="A6468" t="str">
        <f t="shared" si="2970"/>
        <v>29/10/2025</v>
      </c>
      <c r="B6468" t="str">
        <f t="shared" si="2965"/>
        <v>ENTRADA</v>
      </c>
      <c r="C6468" t="str">
        <f t="shared" si="2962"/>
        <v>NFSE</v>
      </c>
      <c r="D6468" t="str">
        <f>"3676"</f>
        <v>3676</v>
      </c>
      <c r="E6468" t="str">
        <f t="shared" si="2961"/>
        <v>COM</v>
      </c>
      <c r="F6468" t="str">
        <f>"PENSE FARMA 44 (10231)"</f>
        <v>PENSE FARMA 44 (10231)</v>
      </c>
      <c r="G6468" t="str">
        <f>"Serv.Prest. 20/10/2025 a 26/10/2025 - RPS: 1440 - NFSe: 3676"</f>
        <v>Serv.Prest. 20/10/2025 a 26/10/2025 - RPS: 1440 - NFSe: 3676</v>
      </c>
      <c r="H6468" t="str">
        <f t="shared" si="2969"/>
        <v>29/10/2025</v>
      </c>
      <c r="I6468" t="str">
        <f t="shared" si="2973"/>
        <v>27/10/2025</v>
      </c>
      <c r="J6468" t="str">
        <f t="shared" si="2972"/>
        <v>29/10/2025</v>
      </c>
      <c r="M6468">
        <v>303</v>
      </c>
      <c r="N6468" t="str">
        <f t="shared" si="2963"/>
        <v>RECEITAS COM ENTREGAS</v>
      </c>
      <c r="P6468">
        <v>294.52</v>
      </c>
      <c r="Q6468" t="str">
        <f>"PENSE FARMA 48 (10233)"</f>
        <v>PENSE FARMA 48 (10233)</v>
      </c>
      <c r="R6468" t="str">
        <f t="shared" si="2964"/>
        <v>RECEITAS COM ENTREGAS (303)</v>
      </c>
      <c r="S6468">
        <v>2834</v>
      </c>
      <c r="T6468">
        <v>2362</v>
      </c>
      <c r="U6468" t="s">
        <v>19</v>
      </c>
    </row>
    <row r="6469" spans="1:21">
      <c r="A6469" t="str">
        <f t="shared" si="2970"/>
        <v>29/10/2025</v>
      </c>
      <c r="B6469" t="str">
        <f t="shared" si="2965"/>
        <v>ENTRADA</v>
      </c>
      <c r="C6469" t="str">
        <f t="shared" si="2962"/>
        <v>NFSE</v>
      </c>
      <c r="D6469" t="str">
        <f>"3677"</f>
        <v>3677</v>
      </c>
      <c r="E6469" t="str">
        <f t="shared" si="2961"/>
        <v>COM</v>
      </c>
      <c r="F6469" t="str">
        <f>"PENSE FARMA 19 (10223)"</f>
        <v>PENSE FARMA 19 (10223)</v>
      </c>
      <c r="G6469" t="str">
        <f>"Serv.Prest. 20/10/2025 a 26/10/2025 - RPS: 1441 - NFSe: 3677"</f>
        <v>Serv.Prest. 20/10/2025 a 26/10/2025 - RPS: 1441 - NFSe: 3677</v>
      </c>
      <c r="H6469" t="str">
        <f t="shared" si="2969"/>
        <v>29/10/2025</v>
      </c>
      <c r="I6469" t="str">
        <f t="shared" si="2973"/>
        <v>27/10/2025</v>
      </c>
      <c r="J6469" t="str">
        <f t="shared" si="2972"/>
        <v>29/10/2025</v>
      </c>
      <c r="K6469">
        <v>589.04999999999995</v>
      </c>
      <c r="L6469">
        <v>589.04999999999995</v>
      </c>
      <c r="M6469">
        <v>303</v>
      </c>
      <c r="N6469" t="str">
        <f t="shared" si="2963"/>
        <v>RECEITAS COM ENTREGAS</v>
      </c>
      <c r="O6469">
        <v>589.04999999999995</v>
      </c>
      <c r="R6469" t="str">
        <f t="shared" si="2964"/>
        <v>RECEITAS COM ENTREGAS (303)</v>
      </c>
      <c r="S6469">
        <v>2835</v>
      </c>
      <c r="T6469">
        <v>2363</v>
      </c>
      <c r="U6469" t="s">
        <v>19</v>
      </c>
    </row>
    <row r="6470" spans="1:21">
      <c r="A6470" t="str">
        <f t="shared" si="2970"/>
        <v>29/10/2025</v>
      </c>
      <c r="B6470" t="str">
        <f t="shared" si="2965"/>
        <v>ENTRADA</v>
      </c>
      <c r="C6470" t="str">
        <f t="shared" si="2962"/>
        <v>NFSE</v>
      </c>
      <c r="D6470" t="str">
        <f>"3677"</f>
        <v>3677</v>
      </c>
      <c r="E6470" t="str">
        <f t="shared" si="2961"/>
        <v>COM</v>
      </c>
      <c r="F6470" t="str">
        <f>"PENSE FARMA 19 (10223)"</f>
        <v>PENSE FARMA 19 (10223)</v>
      </c>
      <c r="G6470" t="str">
        <f>"Serv.Prest. 20/10/2025 a 26/10/2025 - RPS: 1441 - NFSe: 3677"</f>
        <v>Serv.Prest. 20/10/2025 a 26/10/2025 - RPS: 1441 - NFSe: 3677</v>
      </c>
      <c r="H6470" t="str">
        <f t="shared" si="2969"/>
        <v>29/10/2025</v>
      </c>
      <c r="I6470" t="str">
        <f t="shared" si="2973"/>
        <v>27/10/2025</v>
      </c>
      <c r="J6470" t="str">
        <f t="shared" si="2972"/>
        <v>29/10/2025</v>
      </c>
      <c r="M6470">
        <v>303</v>
      </c>
      <c r="N6470" t="str">
        <f t="shared" si="2963"/>
        <v>RECEITAS COM ENTREGAS</v>
      </c>
      <c r="P6470">
        <v>589.04999999999995</v>
      </c>
      <c r="Q6470" t="str">
        <f>"PENSE FARMA 19 (10223)"</f>
        <v>PENSE FARMA 19 (10223)</v>
      </c>
      <c r="R6470" t="str">
        <f t="shared" si="2964"/>
        <v>RECEITAS COM ENTREGAS (303)</v>
      </c>
      <c r="S6470">
        <v>2835</v>
      </c>
      <c r="T6470">
        <v>2363</v>
      </c>
      <c r="U6470" t="s">
        <v>19</v>
      </c>
    </row>
    <row r="6471" spans="1:21">
      <c r="A6471" t="str">
        <f t="shared" si="2970"/>
        <v>29/10/2025</v>
      </c>
      <c r="B6471" t="str">
        <f t="shared" si="2965"/>
        <v>ENTRADA</v>
      </c>
      <c r="C6471" t="str">
        <f t="shared" ref="C6471:C6502" si="2974">"NFSE"</f>
        <v>NFSE</v>
      </c>
      <c r="D6471" t="str">
        <f>"3678"</f>
        <v>3678</v>
      </c>
      <c r="E6471" t="str">
        <f t="shared" si="2961"/>
        <v>COM</v>
      </c>
      <c r="F6471" t="str">
        <f>"PENSE FARMA 49 (10234)"</f>
        <v>PENSE FARMA 49 (10234)</v>
      </c>
      <c r="G6471" t="str">
        <f>"Serv.Prest. 20/10/2025 a 26/10/2025 - RPS: 1442 - NFSe: 3678"</f>
        <v>Serv.Prest. 20/10/2025 a 26/10/2025 - RPS: 1442 - NFSe: 3678</v>
      </c>
      <c r="H6471" t="str">
        <f t="shared" si="2969"/>
        <v>29/10/2025</v>
      </c>
      <c r="I6471" t="str">
        <f t="shared" si="2973"/>
        <v>27/10/2025</v>
      </c>
      <c r="J6471" t="str">
        <f t="shared" si="2972"/>
        <v>29/10/2025</v>
      </c>
      <c r="K6471">
        <v>171.36</v>
      </c>
      <c r="L6471">
        <v>171.36</v>
      </c>
      <c r="M6471">
        <v>303</v>
      </c>
      <c r="N6471" t="str">
        <f t="shared" ref="N6471:N6502" si="2975">"RECEITAS COM ENTREGAS"</f>
        <v>RECEITAS COM ENTREGAS</v>
      </c>
      <c r="O6471">
        <v>171.36</v>
      </c>
      <c r="R6471" t="str">
        <f t="shared" ref="R6471:R6502" si="2976">"RECEITAS COM ENTREGAS (303)"</f>
        <v>RECEITAS COM ENTREGAS (303)</v>
      </c>
      <c r="S6471">
        <v>2836</v>
      </c>
      <c r="T6471">
        <v>2364</v>
      </c>
      <c r="U6471" t="s">
        <v>19</v>
      </c>
    </row>
    <row r="6472" spans="1:21">
      <c r="A6472" t="str">
        <f t="shared" si="2970"/>
        <v>29/10/2025</v>
      </c>
      <c r="B6472" t="str">
        <f t="shared" si="2965"/>
        <v>ENTRADA</v>
      </c>
      <c r="C6472" t="str">
        <f t="shared" si="2974"/>
        <v>NFSE</v>
      </c>
      <c r="D6472" t="str">
        <f>"3678"</f>
        <v>3678</v>
      </c>
      <c r="E6472" t="str">
        <f t="shared" si="2961"/>
        <v>COM</v>
      </c>
      <c r="F6472" t="str">
        <f>"PENSE FARMA 49 (10234)"</f>
        <v>PENSE FARMA 49 (10234)</v>
      </c>
      <c r="G6472" t="str">
        <f>"Serv.Prest. 20/10/2025 a 26/10/2025 - RPS: 1442 - NFSe: 3678"</f>
        <v>Serv.Prest. 20/10/2025 a 26/10/2025 - RPS: 1442 - NFSe: 3678</v>
      </c>
      <c r="H6472" t="str">
        <f t="shared" si="2969"/>
        <v>29/10/2025</v>
      </c>
      <c r="I6472" t="str">
        <f t="shared" si="2973"/>
        <v>27/10/2025</v>
      </c>
      <c r="J6472" t="str">
        <f t="shared" si="2972"/>
        <v>29/10/2025</v>
      </c>
      <c r="M6472">
        <v>303</v>
      </c>
      <c r="N6472" t="str">
        <f t="shared" si="2975"/>
        <v>RECEITAS COM ENTREGAS</v>
      </c>
      <c r="P6472">
        <v>171.36</v>
      </c>
      <c r="Q6472" t="str">
        <f>"PENSE FARMA 49 (10234)"</f>
        <v>PENSE FARMA 49 (10234)</v>
      </c>
      <c r="R6472" t="str">
        <f t="shared" si="2976"/>
        <v>RECEITAS COM ENTREGAS (303)</v>
      </c>
      <c r="S6472">
        <v>2836</v>
      </c>
      <c r="T6472">
        <v>2364</v>
      </c>
      <c r="U6472" t="s">
        <v>19</v>
      </c>
    </row>
    <row r="6473" spans="1:21">
      <c r="A6473" t="str">
        <f t="shared" si="2970"/>
        <v>29/10/2025</v>
      </c>
      <c r="B6473" t="str">
        <f t="shared" si="2965"/>
        <v>ENTRADA</v>
      </c>
      <c r="C6473" t="str">
        <f t="shared" si="2974"/>
        <v>NFSE</v>
      </c>
      <c r="D6473" t="str">
        <f>"3679"</f>
        <v>3679</v>
      </c>
      <c r="E6473" t="str">
        <f t="shared" si="2961"/>
        <v>COM</v>
      </c>
      <c r="F6473" t="str">
        <f>"PENSE FARMA 39 (10228)"</f>
        <v>PENSE FARMA 39 (10228)</v>
      </c>
      <c r="G6473" t="str">
        <f>"Serv.Prest. 20/10/2025 a 26/10/2025 - RPS: 1443 - NFSe: 3679"</f>
        <v>Serv.Prest. 20/10/2025 a 26/10/2025 - RPS: 1443 - NFSe: 3679</v>
      </c>
      <c r="H6473" t="str">
        <f t="shared" si="2969"/>
        <v>29/10/2025</v>
      </c>
      <c r="I6473" t="str">
        <f t="shared" si="2973"/>
        <v>27/10/2025</v>
      </c>
      <c r="J6473" t="str">
        <f t="shared" si="2972"/>
        <v>29/10/2025</v>
      </c>
      <c r="K6473">
        <v>557.12</v>
      </c>
      <c r="L6473">
        <v>557.12</v>
      </c>
      <c r="M6473">
        <v>303</v>
      </c>
      <c r="N6473" t="str">
        <f t="shared" si="2975"/>
        <v>RECEITAS COM ENTREGAS</v>
      </c>
      <c r="O6473">
        <v>557.12</v>
      </c>
      <c r="R6473" t="str">
        <f t="shared" si="2976"/>
        <v>RECEITAS COM ENTREGAS (303)</v>
      </c>
      <c r="S6473">
        <v>2837</v>
      </c>
      <c r="T6473">
        <v>2365</v>
      </c>
      <c r="U6473" t="s">
        <v>19</v>
      </c>
    </row>
    <row r="6474" spans="1:21">
      <c r="A6474" t="str">
        <f t="shared" si="2970"/>
        <v>29/10/2025</v>
      </c>
      <c r="B6474" t="str">
        <f t="shared" si="2965"/>
        <v>ENTRADA</v>
      </c>
      <c r="C6474" t="str">
        <f t="shared" si="2974"/>
        <v>NFSE</v>
      </c>
      <c r="D6474" t="str">
        <f>"3679"</f>
        <v>3679</v>
      </c>
      <c r="E6474" t="str">
        <f t="shared" si="2961"/>
        <v>COM</v>
      </c>
      <c r="F6474" t="str">
        <f>"PENSE FARMA 39 (10228)"</f>
        <v>PENSE FARMA 39 (10228)</v>
      </c>
      <c r="G6474" t="str">
        <f>"Serv.Prest. 20/10/2025 a 26/10/2025 - RPS: 1443 - NFSe: 3679"</f>
        <v>Serv.Prest. 20/10/2025 a 26/10/2025 - RPS: 1443 - NFSe: 3679</v>
      </c>
      <c r="H6474" t="str">
        <f t="shared" si="2969"/>
        <v>29/10/2025</v>
      </c>
      <c r="I6474" t="str">
        <f t="shared" si="2973"/>
        <v>27/10/2025</v>
      </c>
      <c r="J6474" t="str">
        <f t="shared" si="2972"/>
        <v>29/10/2025</v>
      </c>
      <c r="M6474">
        <v>303</v>
      </c>
      <c r="N6474" t="str">
        <f t="shared" si="2975"/>
        <v>RECEITAS COM ENTREGAS</v>
      </c>
      <c r="P6474">
        <v>139.22999999999999</v>
      </c>
      <c r="Q6474" t="str">
        <f>"PENSE FARMA 02 (10199)"</f>
        <v>PENSE FARMA 02 (10199)</v>
      </c>
      <c r="R6474" t="str">
        <f t="shared" si="2976"/>
        <v>RECEITAS COM ENTREGAS (303)</v>
      </c>
      <c r="S6474">
        <v>2837</v>
      </c>
      <c r="T6474">
        <v>2365</v>
      </c>
      <c r="U6474" t="s">
        <v>19</v>
      </c>
    </row>
    <row r="6475" spans="1:21">
      <c r="A6475" t="str">
        <f t="shared" si="2970"/>
        <v>29/10/2025</v>
      </c>
      <c r="B6475" t="str">
        <f t="shared" si="2965"/>
        <v>ENTRADA</v>
      </c>
      <c r="C6475" t="str">
        <f t="shared" si="2974"/>
        <v>NFSE</v>
      </c>
      <c r="D6475" t="str">
        <f>"3679"</f>
        <v>3679</v>
      </c>
      <c r="E6475" t="str">
        <f t="shared" si="2961"/>
        <v>COM</v>
      </c>
      <c r="F6475" t="str">
        <f>"PENSE FARMA 39 (10228)"</f>
        <v>PENSE FARMA 39 (10228)</v>
      </c>
      <c r="G6475" t="str">
        <f>"Serv.Prest. 20/10/2025 a 26/10/2025 - RPS: 1443 - NFSe: 3679"</f>
        <v>Serv.Prest. 20/10/2025 a 26/10/2025 - RPS: 1443 - NFSe: 3679</v>
      </c>
      <c r="H6475" t="str">
        <f t="shared" ref="H6475:H6506" si="2977">("29/10/2025")</f>
        <v>29/10/2025</v>
      </c>
      <c r="I6475" t="str">
        <f t="shared" si="2973"/>
        <v>27/10/2025</v>
      </c>
      <c r="J6475" t="str">
        <f t="shared" si="2972"/>
        <v>29/10/2025</v>
      </c>
      <c r="M6475">
        <v>303</v>
      </c>
      <c r="N6475" t="str">
        <f t="shared" si="2975"/>
        <v>RECEITAS COM ENTREGAS</v>
      </c>
      <c r="P6475">
        <v>139.22</v>
      </c>
      <c r="Q6475" t="str">
        <f>"PENSE FARMA 01 (10215)"</f>
        <v>PENSE FARMA 01 (10215)</v>
      </c>
      <c r="R6475" t="str">
        <f t="shared" si="2976"/>
        <v>RECEITAS COM ENTREGAS (303)</v>
      </c>
      <c r="S6475">
        <v>2837</v>
      </c>
      <c r="T6475">
        <v>2365</v>
      </c>
      <c r="U6475" t="s">
        <v>19</v>
      </c>
    </row>
    <row r="6476" spans="1:21">
      <c r="A6476" t="str">
        <f t="shared" si="2970"/>
        <v>29/10/2025</v>
      </c>
      <c r="B6476" t="str">
        <f t="shared" si="2965"/>
        <v>ENTRADA</v>
      </c>
      <c r="C6476" t="str">
        <f t="shared" si="2974"/>
        <v>NFSE</v>
      </c>
      <c r="D6476" t="str">
        <f>"3679"</f>
        <v>3679</v>
      </c>
      <c r="E6476" t="str">
        <f t="shared" si="2961"/>
        <v>COM</v>
      </c>
      <c r="F6476" t="str">
        <f>"PENSE FARMA 39 (10228)"</f>
        <v>PENSE FARMA 39 (10228)</v>
      </c>
      <c r="G6476" t="str">
        <f>"Serv.Prest. 20/10/2025 a 26/10/2025 - RPS: 1443 - NFSe: 3679"</f>
        <v>Serv.Prest. 20/10/2025 a 26/10/2025 - RPS: 1443 - NFSe: 3679</v>
      </c>
      <c r="H6476" t="str">
        <f t="shared" si="2977"/>
        <v>29/10/2025</v>
      </c>
      <c r="I6476" t="str">
        <f t="shared" si="2973"/>
        <v>27/10/2025</v>
      </c>
      <c r="J6476" t="str">
        <f t="shared" si="2972"/>
        <v>29/10/2025</v>
      </c>
      <c r="M6476">
        <v>303</v>
      </c>
      <c r="N6476" t="str">
        <f t="shared" si="2975"/>
        <v>RECEITAS COM ENTREGAS</v>
      </c>
      <c r="P6476">
        <v>139.22</v>
      </c>
      <c r="Q6476" t="str">
        <f>"PENSE FARMA 03 (10216)"</f>
        <v>PENSE FARMA 03 (10216)</v>
      </c>
      <c r="R6476" t="str">
        <f t="shared" si="2976"/>
        <v>RECEITAS COM ENTREGAS (303)</v>
      </c>
      <c r="S6476">
        <v>2837</v>
      </c>
      <c r="T6476">
        <v>2365</v>
      </c>
      <c r="U6476" t="s">
        <v>19</v>
      </c>
    </row>
    <row r="6477" spans="1:21">
      <c r="A6477" t="str">
        <f t="shared" ref="A6477:A6511" si="2978">("29/10/2025")</f>
        <v>29/10/2025</v>
      </c>
      <c r="B6477" t="str">
        <f t="shared" si="2965"/>
        <v>ENTRADA</v>
      </c>
      <c r="C6477" t="str">
        <f t="shared" si="2974"/>
        <v>NFSE</v>
      </c>
      <c r="D6477" t="str">
        <f>"3679"</f>
        <v>3679</v>
      </c>
      <c r="E6477" t="str">
        <f t="shared" si="2961"/>
        <v>COM</v>
      </c>
      <c r="F6477" t="str">
        <f>"PENSE FARMA 39 (10228)"</f>
        <v>PENSE FARMA 39 (10228)</v>
      </c>
      <c r="G6477" t="str">
        <f>"Serv.Prest. 20/10/2025 a 26/10/2025 - RPS: 1443 - NFSe: 3679"</f>
        <v>Serv.Prest. 20/10/2025 a 26/10/2025 - RPS: 1443 - NFSe: 3679</v>
      </c>
      <c r="H6477" t="str">
        <f t="shared" si="2977"/>
        <v>29/10/2025</v>
      </c>
      <c r="I6477" t="str">
        <f t="shared" si="2973"/>
        <v>27/10/2025</v>
      </c>
      <c r="J6477" t="str">
        <f t="shared" ref="J6477:J6511" si="2979">("29/10/2025")</f>
        <v>29/10/2025</v>
      </c>
      <c r="M6477">
        <v>303</v>
      </c>
      <c r="N6477" t="str">
        <f t="shared" si="2975"/>
        <v>RECEITAS COM ENTREGAS</v>
      </c>
      <c r="P6477">
        <v>139.44999999999999</v>
      </c>
      <c r="Q6477" t="str">
        <f>"PENSE FARMA 39 (10228)"</f>
        <v>PENSE FARMA 39 (10228)</v>
      </c>
      <c r="R6477" t="str">
        <f t="shared" si="2976"/>
        <v>RECEITAS COM ENTREGAS (303)</v>
      </c>
      <c r="S6477">
        <v>2837</v>
      </c>
      <c r="T6477">
        <v>2365</v>
      </c>
      <c r="U6477" t="s">
        <v>19</v>
      </c>
    </row>
    <row r="6478" spans="1:21">
      <c r="A6478" t="str">
        <f t="shared" si="2978"/>
        <v>29/10/2025</v>
      </c>
      <c r="B6478" t="str">
        <f t="shared" si="2965"/>
        <v>ENTRADA</v>
      </c>
      <c r="C6478" t="str">
        <f t="shared" si="2974"/>
        <v>NFSE</v>
      </c>
      <c r="D6478" t="str">
        <f>"3680"</f>
        <v>3680</v>
      </c>
      <c r="E6478" t="str">
        <f t="shared" si="2961"/>
        <v>COM</v>
      </c>
      <c r="F6478" t="str">
        <f>"PENSE FARMA 47 (10232)"</f>
        <v>PENSE FARMA 47 (10232)</v>
      </c>
      <c r="G6478" t="str">
        <f>"Serv.Prest. 20/10/2025 a 26/10/2025 - RPS: 1444 - NFSe: 3680"</f>
        <v>Serv.Prest. 20/10/2025 a 26/10/2025 - RPS: 1444 - NFSe: 3680</v>
      </c>
      <c r="H6478" t="str">
        <f t="shared" si="2977"/>
        <v>29/10/2025</v>
      </c>
      <c r="I6478" t="str">
        <f t="shared" si="2973"/>
        <v>27/10/2025</v>
      </c>
      <c r="J6478" t="str">
        <f t="shared" si="2979"/>
        <v>29/10/2025</v>
      </c>
      <c r="K6478">
        <v>278.45999999999998</v>
      </c>
      <c r="L6478">
        <v>278.45999999999998</v>
      </c>
      <c r="M6478">
        <v>303</v>
      </c>
      <c r="N6478" t="str">
        <f t="shared" si="2975"/>
        <v>RECEITAS COM ENTREGAS</v>
      </c>
      <c r="O6478">
        <v>278.45999999999998</v>
      </c>
      <c r="R6478" t="str">
        <f t="shared" si="2976"/>
        <v>RECEITAS COM ENTREGAS (303)</v>
      </c>
      <c r="S6478">
        <v>2838</v>
      </c>
      <c r="T6478">
        <v>2366</v>
      </c>
      <c r="U6478" t="s">
        <v>19</v>
      </c>
    </row>
    <row r="6479" spans="1:21">
      <c r="A6479" t="str">
        <f t="shared" si="2978"/>
        <v>29/10/2025</v>
      </c>
      <c r="B6479" t="str">
        <f t="shared" si="2965"/>
        <v>ENTRADA</v>
      </c>
      <c r="C6479" t="str">
        <f t="shared" si="2974"/>
        <v>NFSE</v>
      </c>
      <c r="D6479" t="str">
        <f>"3680"</f>
        <v>3680</v>
      </c>
      <c r="E6479" t="str">
        <f t="shared" si="2961"/>
        <v>COM</v>
      </c>
      <c r="F6479" t="str">
        <f>"PENSE FARMA 47 (10232)"</f>
        <v>PENSE FARMA 47 (10232)</v>
      </c>
      <c r="G6479" t="str">
        <f>"Serv.Prest. 20/10/2025 a 26/10/2025 - RPS: 1444 - NFSe: 3680"</f>
        <v>Serv.Prest. 20/10/2025 a 26/10/2025 - RPS: 1444 - NFSe: 3680</v>
      </c>
      <c r="H6479" t="str">
        <f t="shared" si="2977"/>
        <v>29/10/2025</v>
      </c>
      <c r="I6479" t="str">
        <f t="shared" si="2973"/>
        <v>27/10/2025</v>
      </c>
      <c r="J6479" t="str">
        <f t="shared" si="2979"/>
        <v>29/10/2025</v>
      </c>
      <c r="M6479">
        <v>303</v>
      </c>
      <c r="N6479" t="str">
        <f t="shared" si="2975"/>
        <v>RECEITAS COM ENTREGAS</v>
      </c>
      <c r="P6479">
        <v>278.45999999999998</v>
      </c>
      <c r="Q6479" t="str">
        <f>"PENSE FARMA 47 (10232)"</f>
        <v>PENSE FARMA 47 (10232)</v>
      </c>
      <c r="R6479" t="str">
        <f t="shared" si="2976"/>
        <v>RECEITAS COM ENTREGAS (303)</v>
      </c>
      <c r="S6479">
        <v>2838</v>
      </c>
      <c r="T6479">
        <v>2366</v>
      </c>
      <c r="U6479" t="s">
        <v>19</v>
      </c>
    </row>
    <row r="6480" spans="1:21">
      <c r="A6480" t="str">
        <f t="shared" si="2978"/>
        <v>29/10/2025</v>
      </c>
      <c r="B6480" t="str">
        <f t="shared" si="2965"/>
        <v>ENTRADA</v>
      </c>
      <c r="C6480" t="str">
        <f t="shared" si="2974"/>
        <v>NFSE</v>
      </c>
      <c r="D6480" t="str">
        <f>"3682"</f>
        <v>3682</v>
      </c>
      <c r="E6480" t="str">
        <f t="shared" si="2961"/>
        <v>COM</v>
      </c>
      <c r="F6480" t="str">
        <f>"PENSE FARMA 35 (10227)"</f>
        <v>PENSE FARMA 35 (10227)</v>
      </c>
      <c r="G6480" t="str">
        <f>"Serv.Prest. 20/10/2025 a 26/10/2025 - RPS: 1446 - NFSe: 3682"</f>
        <v>Serv.Prest. 20/10/2025 a 26/10/2025 - RPS: 1446 - NFSe: 3682</v>
      </c>
      <c r="H6480" t="str">
        <f t="shared" si="2977"/>
        <v>29/10/2025</v>
      </c>
      <c r="I6480" t="str">
        <f t="shared" si="2973"/>
        <v>27/10/2025</v>
      </c>
      <c r="J6480" t="str">
        <f t="shared" si="2979"/>
        <v>29/10/2025</v>
      </c>
      <c r="K6480">
        <v>171.45</v>
      </c>
      <c r="L6480">
        <v>171.45</v>
      </c>
      <c r="M6480">
        <v>303</v>
      </c>
      <c r="N6480" t="str">
        <f t="shared" si="2975"/>
        <v>RECEITAS COM ENTREGAS</v>
      </c>
      <c r="O6480">
        <v>171.45</v>
      </c>
      <c r="R6480" t="str">
        <f t="shared" si="2976"/>
        <v>RECEITAS COM ENTREGAS (303)</v>
      </c>
      <c r="S6480">
        <v>2839</v>
      </c>
      <c r="T6480">
        <v>2368</v>
      </c>
      <c r="U6480" t="s">
        <v>19</v>
      </c>
    </row>
    <row r="6481" spans="1:21">
      <c r="A6481" t="str">
        <f t="shared" si="2978"/>
        <v>29/10/2025</v>
      </c>
      <c r="B6481" t="str">
        <f t="shared" si="2965"/>
        <v>ENTRADA</v>
      </c>
      <c r="C6481" t="str">
        <f t="shared" si="2974"/>
        <v>NFSE</v>
      </c>
      <c r="D6481" t="str">
        <f>"3682"</f>
        <v>3682</v>
      </c>
      <c r="E6481" t="str">
        <f t="shared" si="2961"/>
        <v>COM</v>
      </c>
      <c r="F6481" t="str">
        <f>"PENSE FARMA 35 (10227)"</f>
        <v>PENSE FARMA 35 (10227)</v>
      </c>
      <c r="G6481" t="str">
        <f>"Serv.Prest. 20/10/2025 a 26/10/2025 - RPS: 1446 - NFSe: 3682"</f>
        <v>Serv.Prest. 20/10/2025 a 26/10/2025 - RPS: 1446 - NFSe: 3682</v>
      </c>
      <c r="H6481" t="str">
        <f t="shared" si="2977"/>
        <v>29/10/2025</v>
      </c>
      <c r="I6481" t="str">
        <f t="shared" si="2973"/>
        <v>27/10/2025</v>
      </c>
      <c r="J6481" t="str">
        <f t="shared" si="2979"/>
        <v>29/10/2025</v>
      </c>
      <c r="M6481">
        <v>303</v>
      </c>
      <c r="N6481" t="str">
        <f t="shared" si="2975"/>
        <v>RECEITAS COM ENTREGAS</v>
      </c>
      <c r="P6481">
        <v>171.45</v>
      </c>
      <c r="Q6481" t="str">
        <f>"PENSE FARMA 35 (10227)"</f>
        <v>PENSE FARMA 35 (10227)</v>
      </c>
      <c r="R6481" t="str">
        <f t="shared" si="2976"/>
        <v>RECEITAS COM ENTREGAS (303)</v>
      </c>
      <c r="S6481">
        <v>2839</v>
      </c>
      <c r="T6481">
        <v>2368</v>
      </c>
      <c r="U6481" t="s">
        <v>19</v>
      </c>
    </row>
    <row r="6482" spans="1:21">
      <c r="A6482" t="str">
        <f t="shared" si="2978"/>
        <v>29/10/2025</v>
      </c>
      <c r="B6482" t="str">
        <f t="shared" si="2965"/>
        <v>ENTRADA</v>
      </c>
      <c r="C6482" t="str">
        <f t="shared" si="2974"/>
        <v>NFSE</v>
      </c>
      <c r="D6482" t="str">
        <f t="shared" ref="D6482:D6487" si="2980">"3683"</f>
        <v>3683</v>
      </c>
      <c r="E6482" t="str">
        <f t="shared" si="2961"/>
        <v>COM</v>
      </c>
      <c r="F6482" t="str">
        <f t="shared" ref="F6482:F6487" si="2981">"PENSE FARMA 08 (10217)"</f>
        <v>PENSE FARMA 08 (10217)</v>
      </c>
      <c r="G6482" t="str">
        <f t="shared" ref="G6482:G6487" si="2982">"Serv.Prest. 20/10/2025 a 26/10/2025 - RPS: 1447 - NFSe: 3683"</f>
        <v>Serv.Prest. 20/10/2025 a 26/10/2025 - RPS: 1447 - NFSe: 3683</v>
      </c>
      <c r="H6482" t="str">
        <f t="shared" si="2977"/>
        <v>29/10/2025</v>
      </c>
      <c r="I6482" t="str">
        <f t="shared" si="2973"/>
        <v>27/10/2025</v>
      </c>
      <c r="J6482" t="str">
        <f t="shared" si="2979"/>
        <v>29/10/2025</v>
      </c>
      <c r="K6482">
        <v>589.5</v>
      </c>
      <c r="L6482">
        <v>589.5</v>
      </c>
      <c r="M6482">
        <v>303</v>
      </c>
      <c r="N6482" t="str">
        <f t="shared" si="2975"/>
        <v>RECEITAS COM ENTREGAS</v>
      </c>
      <c r="O6482">
        <v>589.5</v>
      </c>
      <c r="R6482" t="str">
        <f t="shared" si="2976"/>
        <v>RECEITAS COM ENTREGAS (303)</v>
      </c>
      <c r="S6482">
        <v>2840</v>
      </c>
      <c r="T6482">
        <v>2369</v>
      </c>
      <c r="U6482" t="s">
        <v>19</v>
      </c>
    </row>
    <row r="6483" spans="1:21">
      <c r="A6483" t="str">
        <f t="shared" si="2978"/>
        <v>29/10/2025</v>
      </c>
      <c r="B6483" t="str">
        <f t="shared" si="2965"/>
        <v>ENTRADA</v>
      </c>
      <c r="C6483" t="str">
        <f t="shared" si="2974"/>
        <v>NFSE</v>
      </c>
      <c r="D6483" t="str">
        <f t="shared" si="2980"/>
        <v>3683</v>
      </c>
      <c r="E6483" t="str">
        <f t="shared" si="2961"/>
        <v>COM</v>
      </c>
      <c r="F6483" t="str">
        <f t="shared" si="2981"/>
        <v>PENSE FARMA 08 (10217)</v>
      </c>
      <c r="G6483" t="str">
        <f t="shared" si="2982"/>
        <v>Serv.Prest. 20/10/2025 a 26/10/2025 - RPS: 1447 - NFSe: 3683</v>
      </c>
      <c r="H6483" t="str">
        <f t="shared" si="2977"/>
        <v>29/10/2025</v>
      </c>
      <c r="I6483" t="str">
        <f t="shared" si="2973"/>
        <v>27/10/2025</v>
      </c>
      <c r="J6483" t="str">
        <f t="shared" si="2979"/>
        <v>29/10/2025</v>
      </c>
      <c r="M6483">
        <v>303</v>
      </c>
      <c r="N6483" t="str">
        <f t="shared" si="2975"/>
        <v>RECEITAS COM ENTREGAS</v>
      </c>
      <c r="P6483">
        <v>117.9</v>
      </c>
      <c r="Q6483" t="str">
        <f>"PENSE FARMA 08 (10217)"</f>
        <v>PENSE FARMA 08 (10217)</v>
      </c>
      <c r="R6483" t="str">
        <f t="shared" si="2976"/>
        <v>RECEITAS COM ENTREGAS (303)</v>
      </c>
      <c r="S6483">
        <v>2840</v>
      </c>
      <c r="T6483">
        <v>2369</v>
      </c>
      <c r="U6483" t="s">
        <v>19</v>
      </c>
    </row>
    <row r="6484" spans="1:21">
      <c r="A6484" t="str">
        <f t="shared" si="2978"/>
        <v>29/10/2025</v>
      </c>
      <c r="B6484" t="str">
        <f t="shared" si="2965"/>
        <v>ENTRADA</v>
      </c>
      <c r="C6484" t="str">
        <f t="shared" si="2974"/>
        <v>NFSE</v>
      </c>
      <c r="D6484" t="str">
        <f t="shared" si="2980"/>
        <v>3683</v>
      </c>
      <c r="E6484" t="str">
        <f t="shared" si="2961"/>
        <v>COM</v>
      </c>
      <c r="F6484" t="str">
        <f t="shared" si="2981"/>
        <v>PENSE FARMA 08 (10217)</v>
      </c>
      <c r="G6484" t="str">
        <f t="shared" si="2982"/>
        <v>Serv.Prest. 20/10/2025 a 26/10/2025 - RPS: 1447 - NFSe: 3683</v>
      </c>
      <c r="H6484" t="str">
        <f t="shared" si="2977"/>
        <v>29/10/2025</v>
      </c>
      <c r="I6484" t="str">
        <f t="shared" si="2973"/>
        <v>27/10/2025</v>
      </c>
      <c r="J6484" t="str">
        <f t="shared" si="2979"/>
        <v>29/10/2025</v>
      </c>
      <c r="M6484">
        <v>303</v>
      </c>
      <c r="N6484" t="str">
        <f t="shared" si="2975"/>
        <v>RECEITAS COM ENTREGAS</v>
      </c>
      <c r="P6484">
        <v>117.9</v>
      </c>
      <c r="Q6484" t="str">
        <f>"PENSE FARMA 11 (10220)"</f>
        <v>PENSE FARMA 11 (10220)</v>
      </c>
      <c r="R6484" t="str">
        <f t="shared" si="2976"/>
        <v>RECEITAS COM ENTREGAS (303)</v>
      </c>
      <c r="S6484">
        <v>2840</v>
      </c>
      <c r="T6484">
        <v>2369</v>
      </c>
      <c r="U6484" t="s">
        <v>19</v>
      </c>
    </row>
    <row r="6485" spans="1:21">
      <c r="A6485" t="str">
        <f t="shared" si="2978"/>
        <v>29/10/2025</v>
      </c>
      <c r="B6485" t="str">
        <f t="shared" si="2965"/>
        <v>ENTRADA</v>
      </c>
      <c r="C6485" t="str">
        <f t="shared" si="2974"/>
        <v>NFSE</v>
      </c>
      <c r="D6485" t="str">
        <f t="shared" si="2980"/>
        <v>3683</v>
      </c>
      <c r="E6485" t="str">
        <f t="shared" si="2961"/>
        <v>COM</v>
      </c>
      <c r="F6485" t="str">
        <f t="shared" si="2981"/>
        <v>PENSE FARMA 08 (10217)</v>
      </c>
      <c r="G6485" t="str">
        <f t="shared" si="2982"/>
        <v>Serv.Prest. 20/10/2025 a 26/10/2025 - RPS: 1447 - NFSe: 3683</v>
      </c>
      <c r="H6485" t="str">
        <f t="shared" si="2977"/>
        <v>29/10/2025</v>
      </c>
      <c r="I6485" t="str">
        <f t="shared" ref="I6485:I6505" si="2983">("27/10/2025")</f>
        <v>27/10/2025</v>
      </c>
      <c r="J6485" t="str">
        <f t="shared" si="2979"/>
        <v>29/10/2025</v>
      </c>
      <c r="M6485">
        <v>303</v>
      </c>
      <c r="N6485" t="str">
        <f t="shared" si="2975"/>
        <v>RECEITAS COM ENTREGAS</v>
      </c>
      <c r="P6485">
        <v>117.9</v>
      </c>
      <c r="Q6485" t="str">
        <f>"PENSE FARMA 41 (10229)"</f>
        <v>PENSE FARMA 41 (10229)</v>
      </c>
      <c r="R6485" t="str">
        <f t="shared" si="2976"/>
        <v>RECEITAS COM ENTREGAS (303)</v>
      </c>
      <c r="S6485">
        <v>2840</v>
      </c>
      <c r="T6485">
        <v>2369</v>
      </c>
      <c r="U6485" t="s">
        <v>19</v>
      </c>
    </row>
    <row r="6486" spans="1:21">
      <c r="A6486" t="str">
        <f t="shared" si="2978"/>
        <v>29/10/2025</v>
      </c>
      <c r="B6486" t="str">
        <f t="shared" si="2965"/>
        <v>ENTRADA</v>
      </c>
      <c r="C6486" t="str">
        <f t="shared" si="2974"/>
        <v>NFSE</v>
      </c>
      <c r="D6486" t="str">
        <f t="shared" si="2980"/>
        <v>3683</v>
      </c>
      <c r="E6486" t="str">
        <f t="shared" si="2961"/>
        <v>COM</v>
      </c>
      <c r="F6486" t="str">
        <f t="shared" si="2981"/>
        <v>PENSE FARMA 08 (10217)</v>
      </c>
      <c r="G6486" t="str">
        <f t="shared" si="2982"/>
        <v>Serv.Prest. 20/10/2025 a 26/10/2025 - RPS: 1447 - NFSe: 3683</v>
      </c>
      <c r="H6486" t="str">
        <f t="shared" si="2977"/>
        <v>29/10/2025</v>
      </c>
      <c r="I6486" t="str">
        <f t="shared" si="2983"/>
        <v>27/10/2025</v>
      </c>
      <c r="J6486" t="str">
        <f t="shared" si="2979"/>
        <v>29/10/2025</v>
      </c>
      <c r="M6486">
        <v>303</v>
      </c>
      <c r="N6486" t="str">
        <f t="shared" si="2975"/>
        <v>RECEITAS COM ENTREGAS</v>
      </c>
      <c r="P6486">
        <v>117.9</v>
      </c>
      <c r="Q6486" t="str">
        <f>"PENSE FARMA 42 (10230)"</f>
        <v>PENSE FARMA 42 (10230)</v>
      </c>
      <c r="R6486" t="str">
        <f t="shared" si="2976"/>
        <v>RECEITAS COM ENTREGAS (303)</v>
      </c>
      <c r="S6486">
        <v>2840</v>
      </c>
      <c r="T6486">
        <v>2369</v>
      </c>
      <c r="U6486" t="s">
        <v>19</v>
      </c>
    </row>
    <row r="6487" spans="1:21">
      <c r="A6487" t="str">
        <f t="shared" si="2978"/>
        <v>29/10/2025</v>
      </c>
      <c r="B6487" t="str">
        <f t="shared" si="2965"/>
        <v>ENTRADA</v>
      </c>
      <c r="C6487" t="str">
        <f t="shared" si="2974"/>
        <v>NFSE</v>
      </c>
      <c r="D6487" t="str">
        <f t="shared" si="2980"/>
        <v>3683</v>
      </c>
      <c r="E6487" t="str">
        <f t="shared" si="2961"/>
        <v>COM</v>
      </c>
      <c r="F6487" t="str">
        <f t="shared" si="2981"/>
        <v>PENSE FARMA 08 (10217)</v>
      </c>
      <c r="G6487" t="str">
        <f t="shared" si="2982"/>
        <v>Serv.Prest. 20/10/2025 a 26/10/2025 - RPS: 1447 - NFSe: 3683</v>
      </c>
      <c r="H6487" t="str">
        <f t="shared" si="2977"/>
        <v>29/10/2025</v>
      </c>
      <c r="I6487" t="str">
        <f t="shared" si="2983"/>
        <v>27/10/2025</v>
      </c>
      <c r="J6487" t="str">
        <f t="shared" si="2979"/>
        <v>29/10/2025</v>
      </c>
      <c r="M6487">
        <v>303</v>
      </c>
      <c r="N6487" t="str">
        <f t="shared" si="2975"/>
        <v>RECEITAS COM ENTREGAS</v>
      </c>
      <c r="P6487">
        <v>117.9</v>
      </c>
      <c r="Q6487" t="str">
        <f>"PENSE FARMA 52 (10236)"</f>
        <v>PENSE FARMA 52 (10236)</v>
      </c>
      <c r="R6487" t="str">
        <f t="shared" si="2976"/>
        <v>RECEITAS COM ENTREGAS (303)</v>
      </c>
      <c r="S6487">
        <v>2840</v>
      </c>
      <c r="T6487">
        <v>2369</v>
      </c>
      <c r="U6487" t="s">
        <v>19</v>
      </c>
    </row>
    <row r="6488" spans="1:21">
      <c r="A6488" t="str">
        <f t="shared" si="2978"/>
        <v>29/10/2025</v>
      </c>
      <c r="B6488" t="str">
        <f t="shared" si="2965"/>
        <v>ENTRADA</v>
      </c>
      <c r="C6488" t="str">
        <f t="shared" si="2974"/>
        <v>NFSE</v>
      </c>
      <c r="D6488" t="str">
        <f>"3684"</f>
        <v>3684</v>
      </c>
      <c r="E6488" t="str">
        <f t="shared" si="2961"/>
        <v>COM</v>
      </c>
      <c r="F6488" t="str">
        <f>"PENSE FARMA 09 (10218)"</f>
        <v>PENSE FARMA 09 (10218)</v>
      </c>
      <c r="G6488" t="str">
        <f>"Serv.Prest. 20/10/2025 a 26/10/2025 - RPS: 1448 - NFSe: 3684"</f>
        <v>Serv.Prest. 20/10/2025 a 26/10/2025 - RPS: 1448 - NFSe: 3684</v>
      </c>
      <c r="H6488" t="str">
        <f t="shared" si="2977"/>
        <v>29/10/2025</v>
      </c>
      <c r="I6488" t="str">
        <f t="shared" si="2983"/>
        <v>27/10/2025</v>
      </c>
      <c r="J6488" t="str">
        <f t="shared" si="2979"/>
        <v>29/10/2025</v>
      </c>
      <c r="K6488">
        <v>294.58999999999997</v>
      </c>
      <c r="L6488">
        <v>294.58999999999997</v>
      </c>
      <c r="M6488">
        <v>303</v>
      </c>
      <c r="N6488" t="str">
        <f t="shared" si="2975"/>
        <v>RECEITAS COM ENTREGAS</v>
      </c>
      <c r="O6488">
        <v>294.58999999999997</v>
      </c>
      <c r="R6488" t="str">
        <f t="shared" si="2976"/>
        <v>RECEITAS COM ENTREGAS (303)</v>
      </c>
      <c r="S6488">
        <v>2841</v>
      </c>
      <c r="T6488">
        <v>2370</v>
      </c>
      <c r="U6488" t="s">
        <v>19</v>
      </c>
    </row>
    <row r="6489" spans="1:21">
      <c r="A6489" t="str">
        <f t="shared" si="2978"/>
        <v>29/10/2025</v>
      </c>
      <c r="B6489" t="str">
        <f t="shared" si="2965"/>
        <v>ENTRADA</v>
      </c>
      <c r="C6489" t="str">
        <f t="shared" si="2974"/>
        <v>NFSE</v>
      </c>
      <c r="D6489" t="str">
        <f>"3684"</f>
        <v>3684</v>
      </c>
      <c r="E6489" t="str">
        <f t="shared" si="2961"/>
        <v>COM</v>
      </c>
      <c r="F6489" t="str">
        <f>"PENSE FARMA 09 (10218)"</f>
        <v>PENSE FARMA 09 (10218)</v>
      </c>
      <c r="G6489" t="str">
        <f>"Serv.Prest. 20/10/2025 a 26/10/2025 - RPS: 1448 - NFSe: 3684"</f>
        <v>Serv.Prest. 20/10/2025 a 26/10/2025 - RPS: 1448 - NFSe: 3684</v>
      </c>
      <c r="H6489" t="str">
        <f t="shared" si="2977"/>
        <v>29/10/2025</v>
      </c>
      <c r="I6489" t="str">
        <f t="shared" si="2983"/>
        <v>27/10/2025</v>
      </c>
      <c r="J6489" t="str">
        <f t="shared" si="2979"/>
        <v>29/10/2025</v>
      </c>
      <c r="M6489">
        <v>303</v>
      </c>
      <c r="N6489" t="str">
        <f t="shared" si="2975"/>
        <v>RECEITAS COM ENTREGAS</v>
      </c>
      <c r="P6489">
        <v>147.83000000000001</v>
      </c>
      <c r="Q6489" t="str">
        <f>"PENSE FARMA 09 (10218)"</f>
        <v>PENSE FARMA 09 (10218)</v>
      </c>
      <c r="R6489" t="str">
        <f t="shared" si="2976"/>
        <v>RECEITAS COM ENTREGAS (303)</v>
      </c>
      <c r="S6489">
        <v>2841</v>
      </c>
      <c r="T6489">
        <v>2370</v>
      </c>
      <c r="U6489" t="s">
        <v>19</v>
      </c>
    </row>
    <row r="6490" spans="1:21">
      <c r="A6490" t="str">
        <f t="shared" si="2978"/>
        <v>29/10/2025</v>
      </c>
      <c r="B6490" t="str">
        <f t="shared" si="2965"/>
        <v>ENTRADA</v>
      </c>
      <c r="C6490" t="str">
        <f t="shared" si="2974"/>
        <v>NFSE</v>
      </c>
      <c r="D6490" t="str">
        <f>"3684"</f>
        <v>3684</v>
      </c>
      <c r="E6490" t="str">
        <f t="shared" si="2961"/>
        <v>COM</v>
      </c>
      <c r="F6490" t="str">
        <f>"PENSE FARMA 09 (10218)"</f>
        <v>PENSE FARMA 09 (10218)</v>
      </c>
      <c r="G6490" t="str">
        <f>"Serv.Prest. 20/10/2025 a 26/10/2025 - RPS: 1448 - NFSe: 3684"</f>
        <v>Serv.Prest. 20/10/2025 a 26/10/2025 - RPS: 1448 - NFSe: 3684</v>
      </c>
      <c r="H6490" t="str">
        <f t="shared" si="2977"/>
        <v>29/10/2025</v>
      </c>
      <c r="I6490" t="str">
        <f t="shared" si="2983"/>
        <v>27/10/2025</v>
      </c>
      <c r="J6490" t="str">
        <f t="shared" si="2979"/>
        <v>29/10/2025</v>
      </c>
      <c r="M6490">
        <v>303</v>
      </c>
      <c r="N6490" t="str">
        <f t="shared" si="2975"/>
        <v>RECEITAS COM ENTREGAS</v>
      </c>
      <c r="P6490">
        <v>146.76</v>
      </c>
      <c r="Q6490" t="str">
        <f>"PENSE FARMA 10 (10219)"</f>
        <v>PENSE FARMA 10 (10219)</v>
      </c>
      <c r="R6490" t="str">
        <f t="shared" si="2976"/>
        <v>RECEITAS COM ENTREGAS (303)</v>
      </c>
      <c r="S6490">
        <v>2841</v>
      </c>
      <c r="T6490">
        <v>2370</v>
      </c>
      <c r="U6490" t="s">
        <v>19</v>
      </c>
    </row>
    <row r="6491" spans="1:21">
      <c r="A6491" t="str">
        <f t="shared" si="2978"/>
        <v>29/10/2025</v>
      </c>
      <c r="B6491" t="str">
        <f t="shared" si="2965"/>
        <v>ENTRADA</v>
      </c>
      <c r="C6491" t="str">
        <f t="shared" si="2974"/>
        <v>NFSE</v>
      </c>
      <c r="D6491" t="str">
        <f>"3685"</f>
        <v>3685</v>
      </c>
      <c r="E6491" t="str">
        <f t="shared" si="2961"/>
        <v>COM</v>
      </c>
      <c r="F6491" t="str">
        <f>"PENSE FARMA 46 (10194)"</f>
        <v>PENSE FARMA 46 (10194)</v>
      </c>
      <c r="G6491" t="str">
        <f>"Serv.Prest. 20/10/2025 a 26/10/2025 - RPS: 1449 - NFSe: 3685"</f>
        <v>Serv.Prest. 20/10/2025 a 26/10/2025 - RPS: 1449 - NFSe: 3685</v>
      </c>
      <c r="H6491" t="str">
        <f t="shared" si="2977"/>
        <v>29/10/2025</v>
      </c>
      <c r="I6491" t="str">
        <f t="shared" si="2983"/>
        <v>27/10/2025</v>
      </c>
      <c r="J6491" t="str">
        <f t="shared" si="2979"/>
        <v>29/10/2025</v>
      </c>
      <c r="K6491">
        <v>300</v>
      </c>
      <c r="L6491">
        <v>300</v>
      </c>
      <c r="M6491">
        <v>303</v>
      </c>
      <c r="N6491" t="str">
        <f t="shared" si="2975"/>
        <v>RECEITAS COM ENTREGAS</v>
      </c>
      <c r="O6491">
        <v>300</v>
      </c>
      <c r="R6491" t="str">
        <f t="shared" si="2976"/>
        <v>RECEITAS COM ENTREGAS (303)</v>
      </c>
      <c r="S6491">
        <v>2842</v>
      </c>
      <c r="T6491">
        <v>2371</v>
      </c>
      <c r="U6491" t="s">
        <v>19</v>
      </c>
    </row>
    <row r="6492" spans="1:21">
      <c r="A6492" t="str">
        <f t="shared" si="2978"/>
        <v>29/10/2025</v>
      </c>
      <c r="B6492" t="str">
        <f t="shared" si="2965"/>
        <v>ENTRADA</v>
      </c>
      <c r="C6492" t="str">
        <f t="shared" si="2974"/>
        <v>NFSE</v>
      </c>
      <c r="D6492" t="str">
        <f>"3685"</f>
        <v>3685</v>
      </c>
      <c r="E6492" t="str">
        <f t="shared" si="2961"/>
        <v>COM</v>
      </c>
      <c r="F6492" t="str">
        <f>"PENSE FARMA 46 (10194)"</f>
        <v>PENSE FARMA 46 (10194)</v>
      </c>
      <c r="G6492" t="str">
        <f>"Serv.Prest. 20/10/2025 a 26/10/2025 - RPS: 1449 - NFSe: 3685"</f>
        <v>Serv.Prest. 20/10/2025 a 26/10/2025 - RPS: 1449 - NFSe: 3685</v>
      </c>
      <c r="H6492" t="str">
        <f t="shared" si="2977"/>
        <v>29/10/2025</v>
      </c>
      <c r="I6492" t="str">
        <f t="shared" si="2983"/>
        <v>27/10/2025</v>
      </c>
      <c r="J6492" t="str">
        <f t="shared" si="2979"/>
        <v>29/10/2025</v>
      </c>
      <c r="M6492">
        <v>303</v>
      </c>
      <c r="N6492" t="str">
        <f t="shared" si="2975"/>
        <v>RECEITAS COM ENTREGAS</v>
      </c>
      <c r="P6492">
        <v>300</v>
      </c>
      <c r="Q6492" t="str">
        <f>"PENSE FARMA 46 (10194)"</f>
        <v>PENSE FARMA 46 (10194)</v>
      </c>
      <c r="R6492" t="str">
        <f t="shared" si="2976"/>
        <v>RECEITAS COM ENTREGAS (303)</v>
      </c>
      <c r="S6492">
        <v>2842</v>
      </c>
      <c r="T6492">
        <v>2371</v>
      </c>
      <c r="U6492" t="s">
        <v>19</v>
      </c>
    </row>
    <row r="6493" spans="1:21">
      <c r="A6493" t="str">
        <f t="shared" si="2978"/>
        <v>29/10/2025</v>
      </c>
      <c r="B6493" t="str">
        <f t="shared" si="2965"/>
        <v>ENTRADA</v>
      </c>
      <c r="C6493" t="str">
        <f t="shared" si="2974"/>
        <v>NFSE</v>
      </c>
      <c r="D6493" t="str">
        <f t="shared" ref="D6493:D6499" si="2984">"3686"</f>
        <v>3686</v>
      </c>
      <c r="E6493" t="str">
        <f t="shared" si="2961"/>
        <v>COM</v>
      </c>
      <c r="F6493" t="str">
        <f t="shared" ref="F6493:F6499" si="2985">"PENSE FARMA 36 (10206)"</f>
        <v>PENSE FARMA 36 (10206)</v>
      </c>
      <c r="G6493" t="str">
        <f t="shared" ref="G6493:G6499" si="2986">"Serv.Prest. 20/10/2025 a 26/10/2025 - RPS: 1450 - NFSe: 3686"</f>
        <v>Serv.Prest. 20/10/2025 a 26/10/2025 - RPS: 1450 - NFSe: 3686</v>
      </c>
      <c r="H6493" t="str">
        <f t="shared" si="2977"/>
        <v>29/10/2025</v>
      </c>
      <c r="I6493" t="str">
        <f t="shared" si="2983"/>
        <v>27/10/2025</v>
      </c>
      <c r="J6493" t="str">
        <f t="shared" si="2979"/>
        <v>29/10/2025</v>
      </c>
      <c r="K6493">
        <v>851.64</v>
      </c>
      <c r="L6493">
        <v>851.64</v>
      </c>
      <c r="M6493">
        <v>303</v>
      </c>
      <c r="N6493" t="str">
        <f t="shared" si="2975"/>
        <v>RECEITAS COM ENTREGAS</v>
      </c>
      <c r="O6493">
        <v>851.64</v>
      </c>
      <c r="R6493" t="str">
        <f t="shared" si="2976"/>
        <v>RECEITAS COM ENTREGAS (303)</v>
      </c>
      <c r="S6493">
        <v>2843</v>
      </c>
      <c r="T6493">
        <v>2372</v>
      </c>
      <c r="U6493" t="s">
        <v>19</v>
      </c>
    </row>
    <row r="6494" spans="1:21">
      <c r="A6494" t="str">
        <f t="shared" si="2978"/>
        <v>29/10/2025</v>
      </c>
      <c r="B6494" t="str">
        <f t="shared" si="2965"/>
        <v>ENTRADA</v>
      </c>
      <c r="C6494" t="str">
        <f t="shared" si="2974"/>
        <v>NFSE</v>
      </c>
      <c r="D6494" t="str">
        <f t="shared" si="2984"/>
        <v>3686</v>
      </c>
      <c r="E6494" t="str">
        <f t="shared" si="2961"/>
        <v>COM</v>
      </c>
      <c r="F6494" t="str">
        <f t="shared" si="2985"/>
        <v>PENSE FARMA 36 (10206)</v>
      </c>
      <c r="G6494" t="str">
        <f t="shared" si="2986"/>
        <v>Serv.Prest. 20/10/2025 a 26/10/2025 - RPS: 1450 - NFSe: 3686</v>
      </c>
      <c r="H6494" t="str">
        <f t="shared" si="2977"/>
        <v>29/10/2025</v>
      </c>
      <c r="I6494" t="str">
        <f t="shared" si="2983"/>
        <v>27/10/2025</v>
      </c>
      <c r="J6494" t="str">
        <f t="shared" si="2979"/>
        <v>29/10/2025</v>
      </c>
      <c r="M6494">
        <v>303</v>
      </c>
      <c r="N6494" t="str">
        <f t="shared" si="2975"/>
        <v>RECEITAS COM ENTREGAS</v>
      </c>
      <c r="P6494">
        <v>141.79</v>
      </c>
      <c r="Q6494" t="str">
        <f>"PENSE FARMA 20 (10203)"</f>
        <v>PENSE FARMA 20 (10203)</v>
      </c>
      <c r="R6494" t="str">
        <f t="shared" si="2976"/>
        <v>RECEITAS COM ENTREGAS (303)</v>
      </c>
      <c r="S6494">
        <v>2843</v>
      </c>
      <c r="T6494">
        <v>2372</v>
      </c>
      <c r="U6494" t="s">
        <v>19</v>
      </c>
    </row>
    <row r="6495" spans="1:21">
      <c r="A6495" t="str">
        <f t="shared" si="2978"/>
        <v>29/10/2025</v>
      </c>
      <c r="B6495" t="str">
        <f t="shared" si="2965"/>
        <v>ENTRADA</v>
      </c>
      <c r="C6495" t="str">
        <f t="shared" si="2974"/>
        <v>NFSE</v>
      </c>
      <c r="D6495" t="str">
        <f t="shared" si="2984"/>
        <v>3686</v>
      </c>
      <c r="E6495" t="str">
        <f t="shared" si="2961"/>
        <v>COM</v>
      </c>
      <c r="F6495" t="str">
        <f t="shared" si="2985"/>
        <v>PENSE FARMA 36 (10206)</v>
      </c>
      <c r="G6495" t="str">
        <f t="shared" si="2986"/>
        <v>Serv.Prest. 20/10/2025 a 26/10/2025 - RPS: 1450 - NFSe: 3686</v>
      </c>
      <c r="H6495" t="str">
        <f t="shared" si="2977"/>
        <v>29/10/2025</v>
      </c>
      <c r="I6495" t="str">
        <f t="shared" si="2983"/>
        <v>27/10/2025</v>
      </c>
      <c r="J6495" t="str">
        <f t="shared" si="2979"/>
        <v>29/10/2025</v>
      </c>
      <c r="M6495">
        <v>303</v>
      </c>
      <c r="N6495" t="str">
        <f t="shared" si="2975"/>
        <v>RECEITAS COM ENTREGAS</v>
      </c>
      <c r="P6495">
        <v>141.80000000000001</v>
      </c>
      <c r="Q6495" t="str">
        <f>"PENSE FARMA 36 (10206)"</f>
        <v>PENSE FARMA 36 (10206)</v>
      </c>
      <c r="R6495" t="str">
        <f t="shared" si="2976"/>
        <v>RECEITAS COM ENTREGAS (303)</v>
      </c>
      <c r="S6495">
        <v>2843</v>
      </c>
      <c r="T6495">
        <v>2372</v>
      </c>
      <c r="U6495" t="s">
        <v>19</v>
      </c>
    </row>
    <row r="6496" spans="1:21">
      <c r="A6496" t="str">
        <f t="shared" si="2978"/>
        <v>29/10/2025</v>
      </c>
      <c r="B6496" t="str">
        <f t="shared" si="2965"/>
        <v>ENTRADA</v>
      </c>
      <c r="C6496" t="str">
        <f t="shared" si="2974"/>
        <v>NFSE</v>
      </c>
      <c r="D6496" t="str">
        <f t="shared" si="2984"/>
        <v>3686</v>
      </c>
      <c r="E6496" t="str">
        <f t="shared" si="2961"/>
        <v>COM</v>
      </c>
      <c r="F6496" t="str">
        <f t="shared" si="2985"/>
        <v>PENSE FARMA 36 (10206)</v>
      </c>
      <c r="G6496" t="str">
        <f t="shared" si="2986"/>
        <v>Serv.Prest. 20/10/2025 a 26/10/2025 - RPS: 1450 - NFSe: 3686</v>
      </c>
      <c r="H6496" t="str">
        <f t="shared" si="2977"/>
        <v>29/10/2025</v>
      </c>
      <c r="I6496" t="str">
        <f t="shared" si="2983"/>
        <v>27/10/2025</v>
      </c>
      <c r="J6496" t="str">
        <f t="shared" si="2979"/>
        <v>29/10/2025</v>
      </c>
      <c r="M6496">
        <v>303</v>
      </c>
      <c r="N6496" t="str">
        <f t="shared" si="2975"/>
        <v>RECEITAS COM ENTREGAS</v>
      </c>
      <c r="P6496">
        <v>141.80000000000001</v>
      </c>
      <c r="Q6496" t="str">
        <f>"PENSE FARMA 40 (10207)"</f>
        <v>PENSE FARMA 40 (10207)</v>
      </c>
      <c r="R6496" t="str">
        <f t="shared" si="2976"/>
        <v>RECEITAS COM ENTREGAS (303)</v>
      </c>
      <c r="S6496">
        <v>2843</v>
      </c>
      <c r="T6496">
        <v>2372</v>
      </c>
      <c r="U6496" t="s">
        <v>19</v>
      </c>
    </row>
    <row r="6497" spans="1:21">
      <c r="A6497" t="str">
        <f t="shared" si="2978"/>
        <v>29/10/2025</v>
      </c>
      <c r="B6497" t="str">
        <f t="shared" si="2965"/>
        <v>ENTRADA</v>
      </c>
      <c r="C6497" t="str">
        <f t="shared" si="2974"/>
        <v>NFSE</v>
      </c>
      <c r="D6497" t="str">
        <f t="shared" si="2984"/>
        <v>3686</v>
      </c>
      <c r="E6497" t="str">
        <f t="shared" si="2961"/>
        <v>COM</v>
      </c>
      <c r="F6497" t="str">
        <f t="shared" si="2985"/>
        <v>PENSE FARMA 36 (10206)</v>
      </c>
      <c r="G6497" t="str">
        <f t="shared" si="2986"/>
        <v>Serv.Prest. 20/10/2025 a 26/10/2025 - RPS: 1450 - NFSe: 3686</v>
      </c>
      <c r="H6497" t="str">
        <f t="shared" si="2977"/>
        <v>29/10/2025</v>
      </c>
      <c r="I6497" t="str">
        <f t="shared" si="2983"/>
        <v>27/10/2025</v>
      </c>
      <c r="J6497" t="str">
        <f t="shared" si="2979"/>
        <v>29/10/2025</v>
      </c>
      <c r="M6497">
        <v>303</v>
      </c>
      <c r="N6497" t="str">
        <f t="shared" si="2975"/>
        <v>RECEITAS COM ENTREGAS</v>
      </c>
      <c r="P6497">
        <v>141.80000000000001</v>
      </c>
      <c r="Q6497" t="str">
        <f>"PENSE FARMA 43 (10208)"</f>
        <v>PENSE FARMA 43 (10208)</v>
      </c>
      <c r="R6497" t="str">
        <f t="shared" si="2976"/>
        <v>RECEITAS COM ENTREGAS (303)</v>
      </c>
      <c r="S6497">
        <v>2843</v>
      </c>
      <c r="T6497">
        <v>2372</v>
      </c>
      <c r="U6497" t="s">
        <v>19</v>
      </c>
    </row>
    <row r="6498" spans="1:21">
      <c r="A6498" t="str">
        <f t="shared" si="2978"/>
        <v>29/10/2025</v>
      </c>
      <c r="B6498" t="str">
        <f t="shared" si="2965"/>
        <v>ENTRADA</v>
      </c>
      <c r="C6498" t="str">
        <f t="shared" si="2974"/>
        <v>NFSE</v>
      </c>
      <c r="D6498" t="str">
        <f t="shared" si="2984"/>
        <v>3686</v>
      </c>
      <c r="E6498" t="str">
        <f t="shared" si="2961"/>
        <v>COM</v>
      </c>
      <c r="F6498" t="str">
        <f t="shared" si="2985"/>
        <v>PENSE FARMA 36 (10206)</v>
      </c>
      <c r="G6498" t="str">
        <f t="shared" si="2986"/>
        <v>Serv.Prest. 20/10/2025 a 26/10/2025 - RPS: 1450 - NFSe: 3686</v>
      </c>
      <c r="H6498" t="str">
        <f t="shared" si="2977"/>
        <v>29/10/2025</v>
      </c>
      <c r="I6498" t="str">
        <f t="shared" si="2983"/>
        <v>27/10/2025</v>
      </c>
      <c r="J6498" t="str">
        <f t="shared" si="2979"/>
        <v>29/10/2025</v>
      </c>
      <c r="M6498">
        <v>303</v>
      </c>
      <c r="N6498" t="str">
        <f t="shared" si="2975"/>
        <v>RECEITAS COM ENTREGAS</v>
      </c>
      <c r="P6498">
        <v>141.80000000000001</v>
      </c>
      <c r="Q6498" t="str">
        <f>"PENSE FARMA 59 (10211)"</f>
        <v>PENSE FARMA 59 (10211)</v>
      </c>
      <c r="R6498" t="str">
        <f t="shared" si="2976"/>
        <v>RECEITAS COM ENTREGAS (303)</v>
      </c>
      <c r="S6498">
        <v>2843</v>
      </c>
      <c r="T6498">
        <v>2372</v>
      </c>
      <c r="U6498" t="s">
        <v>19</v>
      </c>
    </row>
    <row r="6499" spans="1:21">
      <c r="A6499" t="str">
        <f t="shared" si="2978"/>
        <v>29/10/2025</v>
      </c>
      <c r="B6499" t="str">
        <f t="shared" si="2965"/>
        <v>ENTRADA</v>
      </c>
      <c r="C6499" t="str">
        <f t="shared" si="2974"/>
        <v>NFSE</v>
      </c>
      <c r="D6499" t="str">
        <f t="shared" si="2984"/>
        <v>3686</v>
      </c>
      <c r="E6499" t="str">
        <f t="shared" si="2961"/>
        <v>COM</v>
      </c>
      <c r="F6499" t="str">
        <f t="shared" si="2985"/>
        <v>PENSE FARMA 36 (10206)</v>
      </c>
      <c r="G6499" t="str">
        <f t="shared" si="2986"/>
        <v>Serv.Prest. 20/10/2025 a 26/10/2025 - RPS: 1450 - NFSe: 3686</v>
      </c>
      <c r="H6499" t="str">
        <f t="shared" si="2977"/>
        <v>29/10/2025</v>
      </c>
      <c r="I6499" t="str">
        <f t="shared" si="2983"/>
        <v>27/10/2025</v>
      </c>
      <c r="J6499" t="str">
        <f t="shared" si="2979"/>
        <v>29/10/2025</v>
      </c>
      <c r="M6499">
        <v>303</v>
      </c>
      <c r="N6499" t="str">
        <f t="shared" si="2975"/>
        <v>RECEITAS COM ENTREGAS</v>
      </c>
      <c r="P6499">
        <v>142.65</v>
      </c>
      <c r="Q6499" t="str">
        <f>"PENSE FARMA DARK STORE 361 (10212)"</f>
        <v>PENSE FARMA DARK STORE 361 (10212)</v>
      </c>
      <c r="R6499" t="str">
        <f t="shared" si="2976"/>
        <v>RECEITAS COM ENTREGAS (303)</v>
      </c>
      <c r="S6499">
        <v>2843</v>
      </c>
      <c r="T6499">
        <v>2372</v>
      </c>
      <c r="U6499" t="s">
        <v>19</v>
      </c>
    </row>
    <row r="6500" spans="1:21">
      <c r="A6500" t="str">
        <f t="shared" si="2978"/>
        <v>29/10/2025</v>
      </c>
      <c r="B6500" t="str">
        <f t="shared" si="2965"/>
        <v>ENTRADA</v>
      </c>
      <c r="C6500" t="str">
        <f t="shared" si="2974"/>
        <v>NFSE</v>
      </c>
      <c r="D6500" t="str">
        <f>"3687"</f>
        <v>3687</v>
      </c>
      <c r="E6500" t="str">
        <f t="shared" ref="E6500:E6558" si="2987">"COM"</f>
        <v>COM</v>
      </c>
      <c r="F6500" t="str">
        <f>"PENSE FARMA 27 (10204)"</f>
        <v>PENSE FARMA 27 (10204)</v>
      </c>
      <c r="G6500" t="str">
        <f>"Serv.Prest. 20/10/2025 a 26/10/2025 - RPS: 1451 - NFSe: 3687"</f>
        <v>Serv.Prest. 20/10/2025 a 26/10/2025 - RPS: 1451 - NFSe: 3687</v>
      </c>
      <c r="H6500" t="str">
        <f t="shared" si="2977"/>
        <v>29/10/2025</v>
      </c>
      <c r="I6500" t="str">
        <f t="shared" si="2983"/>
        <v>27/10/2025</v>
      </c>
      <c r="J6500" t="str">
        <f t="shared" si="2979"/>
        <v>29/10/2025</v>
      </c>
      <c r="K6500">
        <v>535.5</v>
      </c>
      <c r="L6500">
        <v>535.5</v>
      </c>
      <c r="M6500">
        <v>303</v>
      </c>
      <c r="N6500" t="str">
        <f t="shared" si="2975"/>
        <v>RECEITAS COM ENTREGAS</v>
      </c>
      <c r="O6500">
        <v>535.5</v>
      </c>
      <c r="R6500" t="str">
        <f t="shared" si="2976"/>
        <v>RECEITAS COM ENTREGAS (303)</v>
      </c>
      <c r="S6500">
        <v>2844</v>
      </c>
      <c r="T6500">
        <v>2373</v>
      </c>
      <c r="U6500" t="s">
        <v>19</v>
      </c>
    </row>
    <row r="6501" spans="1:21">
      <c r="A6501" t="str">
        <f t="shared" si="2978"/>
        <v>29/10/2025</v>
      </c>
      <c r="B6501" t="str">
        <f t="shared" si="2965"/>
        <v>ENTRADA</v>
      </c>
      <c r="C6501" t="str">
        <f t="shared" si="2974"/>
        <v>NFSE</v>
      </c>
      <c r="D6501" t="str">
        <f>"3687"</f>
        <v>3687</v>
      </c>
      <c r="E6501" t="str">
        <f t="shared" si="2987"/>
        <v>COM</v>
      </c>
      <c r="F6501" t="str">
        <f>"PENSE FARMA 27 (10204)"</f>
        <v>PENSE FARMA 27 (10204)</v>
      </c>
      <c r="G6501" t="str">
        <f>"Serv.Prest. 20/10/2025 a 26/10/2025 - RPS: 1451 - NFSe: 3687"</f>
        <v>Serv.Prest. 20/10/2025 a 26/10/2025 - RPS: 1451 - NFSe: 3687</v>
      </c>
      <c r="H6501" t="str">
        <f t="shared" si="2977"/>
        <v>29/10/2025</v>
      </c>
      <c r="I6501" t="str">
        <f t="shared" si="2983"/>
        <v>27/10/2025</v>
      </c>
      <c r="J6501" t="str">
        <f t="shared" si="2979"/>
        <v>29/10/2025</v>
      </c>
      <c r="M6501">
        <v>303</v>
      </c>
      <c r="N6501" t="str">
        <f t="shared" si="2975"/>
        <v>RECEITAS COM ENTREGAS</v>
      </c>
      <c r="P6501">
        <v>178.48</v>
      </c>
      <c r="Q6501" t="str">
        <f>"PENSE FARMA 05 (10200)"</f>
        <v>PENSE FARMA 05 (10200)</v>
      </c>
      <c r="R6501" t="str">
        <f t="shared" si="2976"/>
        <v>RECEITAS COM ENTREGAS (303)</v>
      </c>
      <c r="S6501">
        <v>2844</v>
      </c>
      <c r="T6501">
        <v>2373</v>
      </c>
      <c r="U6501" t="s">
        <v>19</v>
      </c>
    </row>
    <row r="6502" spans="1:21">
      <c r="A6502" t="str">
        <f t="shared" si="2978"/>
        <v>29/10/2025</v>
      </c>
      <c r="B6502" t="str">
        <f t="shared" si="2965"/>
        <v>ENTRADA</v>
      </c>
      <c r="C6502" t="str">
        <f t="shared" si="2974"/>
        <v>NFSE</v>
      </c>
      <c r="D6502" t="str">
        <f>"3687"</f>
        <v>3687</v>
      </c>
      <c r="E6502" t="str">
        <f t="shared" si="2987"/>
        <v>COM</v>
      </c>
      <c r="F6502" t="str">
        <f>"PENSE FARMA 27 (10204)"</f>
        <v>PENSE FARMA 27 (10204)</v>
      </c>
      <c r="G6502" t="str">
        <f>"Serv.Prest. 20/10/2025 a 26/10/2025 - RPS: 1451 - NFSe: 3687"</f>
        <v>Serv.Prest. 20/10/2025 a 26/10/2025 - RPS: 1451 - NFSe: 3687</v>
      </c>
      <c r="H6502" t="str">
        <f t="shared" si="2977"/>
        <v>29/10/2025</v>
      </c>
      <c r="I6502" t="str">
        <f t="shared" si="2983"/>
        <v>27/10/2025</v>
      </c>
      <c r="J6502" t="str">
        <f t="shared" si="2979"/>
        <v>29/10/2025</v>
      </c>
      <c r="M6502">
        <v>303</v>
      </c>
      <c r="N6502" t="str">
        <f t="shared" si="2975"/>
        <v>RECEITAS COM ENTREGAS</v>
      </c>
      <c r="P6502">
        <v>178.48</v>
      </c>
      <c r="Q6502" t="str">
        <f>"PENSE FARMA 13 (10202)"</f>
        <v>PENSE FARMA 13 (10202)</v>
      </c>
      <c r="R6502" t="str">
        <f t="shared" si="2976"/>
        <v>RECEITAS COM ENTREGAS (303)</v>
      </c>
      <c r="S6502">
        <v>2844</v>
      </c>
      <c r="T6502">
        <v>2373</v>
      </c>
      <c r="U6502" t="s">
        <v>19</v>
      </c>
    </row>
    <row r="6503" spans="1:21">
      <c r="A6503" t="str">
        <f t="shared" si="2978"/>
        <v>29/10/2025</v>
      </c>
      <c r="B6503" t="str">
        <f t="shared" si="2965"/>
        <v>ENTRADA</v>
      </c>
      <c r="C6503" t="str">
        <f t="shared" ref="C6503:C6534" si="2988">"NFSE"</f>
        <v>NFSE</v>
      </c>
      <c r="D6503" t="str">
        <f>"3687"</f>
        <v>3687</v>
      </c>
      <c r="E6503" t="str">
        <f t="shared" si="2987"/>
        <v>COM</v>
      </c>
      <c r="F6503" t="str">
        <f>"PENSE FARMA 27 (10204)"</f>
        <v>PENSE FARMA 27 (10204)</v>
      </c>
      <c r="G6503" t="str">
        <f>"Serv.Prest. 20/10/2025 a 26/10/2025 - RPS: 1451 - NFSe: 3687"</f>
        <v>Serv.Prest. 20/10/2025 a 26/10/2025 - RPS: 1451 - NFSe: 3687</v>
      </c>
      <c r="H6503" t="str">
        <f t="shared" si="2977"/>
        <v>29/10/2025</v>
      </c>
      <c r="I6503" t="str">
        <f t="shared" si="2983"/>
        <v>27/10/2025</v>
      </c>
      <c r="J6503" t="str">
        <f t="shared" si="2979"/>
        <v>29/10/2025</v>
      </c>
      <c r="M6503">
        <v>303</v>
      </c>
      <c r="N6503" t="str">
        <f t="shared" ref="N6503:N6534" si="2989">"RECEITAS COM ENTREGAS"</f>
        <v>RECEITAS COM ENTREGAS</v>
      </c>
      <c r="P6503">
        <v>178.54</v>
      </c>
      <c r="Q6503" t="str">
        <f>"PENSE FARMA 27 (10204)"</f>
        <v>PENSE FARMA 27 (10204)</v>
      </c>
      <c r="R6503" t="str">
        <f t="shared" ref="R6503:R6534" si="2990">"RECEITAS COM ENTREGAS (303)"</f>
        <v>RECEITAS COM ENTREGAS (303)</v>
      </c>
      <c r="S6503">
        <v>2844</v>
      </c>
      <c r="T6503">
        <v>2373</v>
      </c>
      <c r="U6503" t="s">
        <v>19</v>
      </c>
    </row>
    <row r="6504" spans="1:21">
      <c r="A6504" t="str">
        <f t="shared" si="2978"/>
        <v>29/10/2025</v>
      </c>
      <c r="B6504" t="str">
        <f t="shared" ref="B6504:B6546" si="2991">"ENTRADA"</f>
        <v>ENTRADA</v>
      </c>
      <c r="C6504" t="str">
        <f t="shared" si="2988"/>
        <v>NFSE</v>
      </c>
      <c r="D6504" t="str">
        <f>"3693"</f>
        <v>3693</v>
      </c>
      <c r="E6504" t="str">
        <f t="shared" si="2987"/>
        <v>COM</v>
      </c>
      <c r="F6504" t="str">
        <f>"DROGARIA ANA VISCONDE DO RIO BRANCO (10182)"</f>
        <v>DROGARIA ANA VISCONDE DO RIO BRANCO (10182)</v>
      </c>
      <c r="G6504" t="str">
        <f>"Serv.Prest. 20/10/2025 a 26/10/2025 - RPS: 1457 - NFSe: 3693"</f>
        <v>Serv.Prest. 20/10/2025 a 26/10/2025 - RPS: 1457 - NFSe: 3693</v>
      </c>
      <c r="H6504" t="str">
        <f t="shared" si="2977"/>
        <v>29/10/2025</v>
      </c>
      <c r="I6504" t="str">
        <f t="shared" si="2983"/>
        <v>27/10/2025</v>
      </c>
      <c r="J6504" t="str">
        <f t="shared" si="2979"/>
        <v>29/10/2025</v>
      </c>
      <c r="K6504">
        <v>792.45</v>
      </c>
      <c r="L6504">
        <v>792.45</v>
      </c>
      <c r="M6504">
        <v>303</v>
      </c>
      <c r="N6504" t="str">
        <f t="shared" si="2989"/>
        <v>RECEITAS COM ENTREGAS</v>
      </c>
      <c r="O6504">
        <v>792.45</v>
      </c>
      <c r="R6504" t="str">
        <f t="shared" si="2990"/>
        <v>RECEITAS COM ENTREGAS (303)</v>
      </c>
      <c r="S6504">
        <v>2845</v>
      </c>
      <c r="T6504">
        <v>2379</v>
      </c>
      <c r="U6504" t="s">
        <v>19</v>
      </c>
    </row>
    <row r="6505" spans="1:21">
      <c r="A6505" t="str">
        <f t="shared" si="2978"/>
        <v>29/10/2025</v>
      </c>
      <c r="B6505" t="str">
        <f t="shared" si="2991"/>
        <v>ENTRADA</v>
      </c>
      <c r="C6505" t="str">
        <f t="shared" si="2988"/>
        <v>NFSE</v>
      </c>
      <c r="D6505" t="str">
        <f>"3693"</f>
        <v>3693</v>
      </c>
      <c r="E6505" t="str">
        <f t="shared" si="2987"/>
        <v>COM</v>
      </c>
      <c r="F6505" t="str">
        <f>"DROGARIA ANA VISCONDE DO RIO BRANCO (10182)"</f>
        <v>DROGARIA ANA VISCONDE DO RIO BRANCO (10182)</v>
      </c>
      <c r="G6505" t="str">
        <f>"Serv.Prest. 20/10/2025 a 26/10/2025 - RPS: 1457 - NFSe: 3693"</f>
        <v>Serv.Prest. 20/10/2025 a 26/10/2025 - RPS: 1457 - NFSe: 3693</v>
      </c>
      <c r="H6505" t="str">
        <f t="shared" si="2977"/>
        <v>29/10/2025</v>
      </c>
      <c r="I6505" t="str">
        <f t="shared" si="2983"/>
        <v>27/10/2025</v>
      </c>
      <c r="J6505" t="str">
        <f t="shared" si="2979"/>
        <v>29/10/2025</v>
      </c>
      <c r="M6505">
        <v>303</v>
      </c>
      <c r="N6505" t="str">
        <f t="shared" si="2989"/>
        <v>RECEITAS COM ENTREGAS</v>
      </c>
      <c r="P6505">
        <v>792.45</v>
      </c>
      <c r="Q6505" t="str">
        <f>"DROGARIA ANA VISCONDE DO RIO BRANCO (10182)"</f>
        <v>DROGARIA ANA VISCONDE DO RIO BRANCO (10182)</v>
      </c>
      <c r="R6505" t="str">
        <f t="shared" si="2990"/>
        <v>RECEITAS COM ENTREGAS (303)</v>
      </c>
      <c r="S6505">
        <v>2845</v>
      </c>
      <c r="T6505">
        <v>2379</v>
      </c>
      <c r="U6505" t="s">
        <v>19</v>
      </c>
    </row>
    <row r="6506" spans="1:21">
      <c r="A6506" t="str">
        <f t="shared" si="2978"/>
        <v>29/10/2025</v>
      </c>
      <c r="B6506" t="str">
        <f t="shared" si="2991"/>
        <v>ENTRADA</v>
      </c>
      <c r="C6506" t="str">
        <f t="shared" si="2988"/>
        <v>NFSE</v>
      </c>
      <c r="D6506" t="str">
        <f>"3700"</f>
        <v>3700</v>
      </c>
      <c r="E6506" t="str">
        <f t="shared" si="2987"/>
        <v>COM</v>
      </c>
      <c r="F6506" t="str">
        <f>"JAL FARMACIA E DROGARIA LJ 2 (10138)"</f>
        <v>JAL FARMACIA E DROGARIA LJ 2 (10138)</v>
      </c>
      <c r="G6506" t="str">
        <f>"Serv.Prest. 20/10/2025 a 26/10/2025 - RPS: 1464 - NFSe: 3700"</f>
        <v>Serv.Prest. 20/10/2025 a 26/10/2025 - RPS: 1464 - NFSe: 3700</v>
      </c>
      <c r="H6506" t="str">
        <f t="shared" si="2977"/>
        <v>29/10/2025</v>
      </c>
      <c r="I6506" t="str">
        <f t="shared" ref="I6506:I6511" si="2992">("28/10/2025")</f>
        <v>28/10/2025</v>
      </c>
      <c r="J6506" t="str">
        <f t="shared" si="2979"/>
        <v>29/10/2025</v>
      </c>
      <c r="K6506">
        <v>298.5</v>
      </c>
      <c r="L6506">
        <v>298.5</v>
      </c>
      <c r="M6506">
        <v>303</v>
      </c>
      <c r="N6506" t="str">
        <f t="shared" si="2989"/>
        <v>RECEITAS COM ENTREGAS</v>
      </c>
      <c r="O6506">
        <v>298.5</v>
      </c>
      <c r="R6506" t="str">
        <f t="shared" si="2990"/>
        <v>RECEITAS COM ENTREGAS (303)</v>
      </c>
      <c r="S6506">
        <v>2846</v>
      </c>
      <c r="T6506">
        <v>2386</v>
      </c>
      <c r="U6506" t="s">
        <v>19</v>
      </c>
    </row>
    <row r="6507" spans="1:21">
      <c r="A6507" t="str">
        <f t="shared" si="2978"/>
        <v>29/10/2025</v>
      </c>
      <c r="B6507" t="str">
        <f t="shared" si="2991"/>
        <v>ENTRADA</v>
      </c>
      <c r="C6507" t="str">
        <f t="shared" si="2988"/>
        <v>NFSE</v>
      </c>
      <c r="D6507" t="str">
        <f>"3700"</f>
        <v>3700</v>
      </c>
      <c r="E6507" t="str">
        <f t="shared" si="2987"/>
        <v>COM</v>
      </c>
      <c r="F6507" t="str">
        <f>"JAL FARMACIA E DROGARIA LJ 2 (10138)"</f>
        <v>JAL FARMACIA E DROGARIA LJ 2 (10138)</v>
      </c>
      <c r="G6507" t="str">
        <f>"Serv.Prest. 20/10/2025 a 26/10/2025 - RPS: 1464 - NFSe: 3700"</f>
        <v>Serv.Prest. 20/10/2025 a 26/10/2025 - RPS: 1464 - NFSe: 3700</v>
      </c>
      <c r="H6507" t="str">
        <f t="shared" ref="H6507:H6535" si="2993">("29/10/2025")</f>
        <v>29/10/2025</v>
      </c>
      <c r="I6507" t="str">
        <f t="shared" si="2992"/>
        <v>28/10/2025</v>
      </c>
      <c r="J6507" t="str">
        <f t="shared" si="2979"/>
        <v>29/10/2025</v>
      </c>
      <c r="M6507">
        <v>303</v>
      </c>
      <c r="N6507" t="str">
        <f t="shared" si="2989"/>
        <v>RECEITAS COM ENTREGAS</v>
      </c>
      <c r="P6507">
        <v>298.5</v>
      </c>
      <c r="Q6507" t="str">
        <f>"JAL FARMACIA E DROGARIA LJ 2 (10138)"</f>
        <v>JAL FARMACIA E DROGARIA LJ 2 (10138)</v>
      </c>
      <c r="R6507" t="str">
        <f t="shared" si="2990"/>
        <v>RECEITAS COM ENTREGAS (303)</v>
      </c>
      <c r="S6507">
        <v>2846</v>
      </c>
      <c r="T6507">
        <v>2386</v>
      </c>
      <c r="U6507" t="s">
        <v>19</v>
      </c>
    </row>
    <row r="6508" spans="1:21">
      <c r="A6508" t="str">
        <f t="shared" si="2978"/>
        <v>29/10/2025</v>
      </c>
      <c r="B6508" t="str">
        <f t="shared" si="2991"/>
        <v>ENTRADA</v>
      </c>
      <c r="C6508" t="str">
        <f t="shared" si="2988"/>
        <v>NFSE</v>
      </c>
      <c r="D6508" t="str">
        <f>"3704"</f>
        <v>3704</v>
      </c>
      <c r="E6508" t="str">
        <f t="shared" si="2987"/>
        <v>COM</v>
      </c>
      <c r="F6508" t="str">
        <f>"DELTA LOJA 2 (10123)"</f>
        <v>DELTA LOJA 2 (10123)</v>
      </c>
      <c r="G6508" t="str">
        <f>"Serv.Prest. 20/10/2025 a 26/10/2025 - RPS: 1468 - NFSe: 3704"</f>
        <v>Serv.Prest. 20/10/2025 a 26/10/2025 - RPS: 1468 - NFSe: 3704</v>
      </c>
      <c r="H6508" t="str">
        <f t="shared" si="2993"/>
        <v>29/10/2025</v>
      </c>
      <c r="I6508" t="str">
        <f t="shared" si="2992"/>
        <v>28/10/2025</v>
      </c>
      <c r="J6508" t="str">
        <f t="shared" si="2979"/>
        <v>29/10/2025</v>
      </c>
      <c r="K6508">
        <v>820.05</v>
      </c>
      <c r="L6508">
        <v>820.05</v>
      </c>
      <c r="M6508">
        <v>303</v>
      </c>
      <c r="N6508" t="str">
        <f t="shared" si="2989"/>
        <v>RECEITAS COM ENTREGAS</v>
      </c>
      <c r="O6508">
        <v>820.05</v>
      </c>
      <c r="R6508" t="str">
        <f t="shared" si="2990"/>
        <v>RECEITAS COM ENTREGAS (303)</v>
      </c>
      <c r="S6508">
        <v>2847</v>
      </c>
      <c r="T6508">
        <v>2390</v>
      </c>
      <c r="U6508" t="s">
        <v>19</v>
      </c>
    </row>
    <row r="6509" spans="1:21">
      <c r="A6509" t="str">
        <f t="shared" si="2978"/>
        <v>29/10/2025</v>
      </c>
      <c r="B6509" t="str">
        <f t="shared" si="2991"/>
        <v>ENTRADA</v>
      </c>
      <c r="C6509" t="str">
        <f t="shared" si="2988"/>
        <v>NFSE</v>
      </c>
      <c r="D6509" t="str">
        <f>"3704"</f>
        <v>3704</v>
      </c>
      <c r="E6509" t="str">
        <f t="shared" si="2987"/>
        <v>COM</v>
      </c>
      <c r="F6509" t="str">
        <f>"DELTA LOJA 2 (10123)"</f>
        <v>DELTA LOJA 2 (10123)</v>
      </c>
      <c r="G6509" t="str">
        <f>"Serv.Prest. 20/10/2025 a 26/10/2025 - RPS: 1468 - NFSe: 3704"</f>
        <v>Serv.Prest. 20/10/2025 a 26/10/2025 - RPS: 1468 - NFSe: 3704</v>
      </c>
      <c r="H6509" t="str">
        <f t="shared" si="2993"/>
        <v>29/10/2025</v>
      </c>
      <c r="I6509" t="str">
        <f t="shared" si="2992"/>
        <v>28/10/2025</v>
      </c>
      <c r="J6509" t="str">
        <f t="shared" si="2979"/>
        <v>29/10/2025</v>
      </c>
      <c r="M6509">
        <v>303</v>
      </c>
      <c r="N6509" t="str">
        <f t="shared" si="2989"/>
        <v>RECEITAS COM ENTREGAS</v>
      </c>
      <c r="P6509">
        <v>820.05</v>
      </c>
      <c r="Q6509" t="str">
        <f>"DELTA LOJA 2 (10123)"</f>
        <v>DELTA LOJA 2 (10123)</v>
      </c>
      <c r="R6509" t="str">
        <f t="shared" si="2990"/>
        <v>RECEITAS COM ENTREGAS (303)</v>
      </c>
      <c r="S6509">
        <v>2847</v>
      </c>
      <c r="T6509">
        <v>2390</v>
      </c>
      <c r="U6509" t="s">
        <v>19</v>
      </c>
    </row>
    <row r="6510" spans="1:21">
      <c r="A6510" t="str">
        <f t="shared" si="2978"/>
        <v>29/10/2025</v>
      </c>
      <c r="B6510" t="str">
        <f t="shared" si="2991"/>
        <v>ENTRADA</v>
      </c>
      <c r="C6510" t="str">
        <f t="shared" si="2988"/>
        <v>NFSE</v>
      </c>
      <c r="D6510" t="str">
        <f>"3705"</f>
        <v>3705</v>
      </c>
      <c r="E6510" t="str">
        <f t="shared" si="2987"/>
        <v>COM</v>
      </c>
      <c r="F6510" t="str">
        <f>"DROGA HONDA (10149)"</f>
        <v>DROGA HONDA (10149)</v>
      </c>
      <c r="G6510" t="str">
        <f>"Serv.Prest. 20/10/2025 a 26/10/2025 - RPS: 1469 - NFSe: 3705"</f>
        <v>Serv.Prest. 20/10/2025 a 26/10/2025 - RPS: 1469 - NFSe: 3705</v>
      </c>
      <c r="H6510" t="str">
        <f t="shared" si="2993"/>
        <v>29/10/2025</v>
      </c>
      <c r="I6510" t="str">
        <f t="shared" si="2992"/>
        <v>28/10/2025</v>
      </c>
      <c r="J6510" t="str">
        <f t="shared" si="2979"/>
        <v>29/10/2025</v>
      </c>
      <c r="K6510">
        <v>184.9</v>
      </c>
      <c r="L6510">
        <v>184.9</v>
      </c>
      <c r="M6510">
        <v>303</v>
      </c>
      <c r="N6510" t="str">
        <f t="shared" si="2989"/>
        <v>RECEITAS COM ENTREGAS</v>
      </c>
      <c r="O6510">
        <v>184.9</v>
      </c>
      <c r="R6510" t="str">
        <f t="shared" si="2990"/>
        <v>RECEITAS COM ENTREGAS (303)</v>
      </c>
      <c r="S6510">
        <v>2848</v>
      </c>
      <c r="T6510">
        <v>2391</v>
      </c>
      <c r="U6510" t="s">
        <v>19</v>
      </c>
    </row>
    <row r="6511" spans="1:21">
      <c r="A6511" t="str">
        <f t="shared" si="2978"/>
        <v>29/10/2025</v>
      </c>
      <c r="B6511" t="str">
        <f t="shared" si="2991"/>
        <v>ENTRADA</v>
      </c>
      <c r="C6511" t="str">
        <f t="shared" si="2988"/>
        <v>NFSE</v>
      </c>
      <c r="D6511" t="str">
        <f>"3705"</f>
        <v>3705</v>
      </c>
      <c r="E6511" t="str">
        <f t="shared" si="2987"/>
        <v>COM</v>
      </c>
      <c r="F6511" t="str">
        <f>"DROGA HONDA (10149)"</f>
        <v>DROGA HONDA (10149)</v>
      </c>
      <c r="G6511" t="str">
        <f>"Serv.Prest. 20/10/2025 a 26/10/2025 - RPS: 1469 - NFSe: 3705"</f>
        <v>Serv.Prest. 20/10/2025 a 26/10/2025 - RPS: 1469 - NFSe: 3705</v>
      </c>
      <c r="H6511" t="str">
        <f t="shared" si="2993"/>
        <v>29/10/2025</v>
      </c>
      <c r="I6511" t="str">
        <f t="shared" si="2992"/>
        <v>28/10/2025</v>
      </c>
      <c r="J6511" t="str">
        <f t="shared" si="2979"/>
        <v>29/10/2025</v>
      </c>
      <c r="M6511">
        <v>303</v>
      </c>
      <c r="N6511" t="str">
        <f t="shared" si="2989"/>
        <v>RECEITAS COM ENTREGAS</v>
      </c>
      <c r="P6511">
        <v>184.9</v>
      </c>
      <c r="Q6511" t="str">
        <f>"DROGA HONDA (10149)"</f>
        <v>DROGA HONDA (10149)</v>
      </c>
      <c r="R6511" t="str">
        <f t="shared" si="2990"/>
        <v>RECEITAS COM ENTREGAS (303)</v>
      </c>
      <c r="S6511">
        <v>2848</v>
      </c>
      <c r="T6511">
        <v>2391</v>
      </c>
      <c r="U6511" t="s">
        <v>19</v>
      </c>
    </row>
    <row r="6512" spans="1:21">
      <c r="A6512" t="str">
        <f t="shared" ref="A6512:A6552" si="2994">("30/10/2025")</f>
        <v>30/10/2025</v>
      </c>
      <c r="B6512" t="str">
        <f t="shared" si="2991"/>
        <v>ENTRADA</v>
      </c>
      <c r="C6512" t="str">
        <f t="shared" si="2988"/>
        <v>NFSE</v>
      </c>
      <c r="D6512" t="str">
        <f>"3663"</f>
        <v>3663</v>
      </c>
      <c r="E6512" t="str">
        <f t="shared" si="2987"/>
        <v>COM</v>
      </c>
      <c r="F6512" t="str">
        <f>"AC FARMA - CID.ALTA (10166)"</f>
        <v>AC FARMA - CID.ALTA (10166)</v>
      </c>
      <c r="G6512" t="str">
        <f>"Serv.Prest. 13/10/2025 a 19/10/2025 - RPS: 1427 - NFSe: 3663"</f>
        <v>Serv.Prest. 13/10/2025 a 19/10/2025 - RPS: 1427 - NFSe: 3663</v>
      </c>
      <c r="H6512" t="str">
        <f t="shared" si="2993"/>
        <v>29/10/2025</v>
      </c>
      <c r="I6512" t="str">
        <f t="shared" ref="I6512:I6519" si="2995">("24/10/2025")</f>
        <v>24/10/2025</v>
      </c>
      <c r="J6512" t="str">
        <f t="shared" ref="J6512:J6552" si="2996">("30/10/2025")</f>
        <v>30/10/2025</v>
      </c>
      <c r="K6512">
        <v>980.64</v>
      </c>
      <c r="L6512">
        <v>980.64</v>
      </c>
      <c r="M6512">
        <v>303</v>
      </c>
      <c r="N6512" t="str">
        <f t="shared" si="2989"/>
        <v>RECEITAS COM ENTREGAS</v>
      </c>
      <c r="O6512">
        <v>980.64</v>
      </c>
      <c r="R6512" t="str">
        <f t="shared" si="2990"/>
        <v>RECEITAS COM ENTREGAS (303)</v>
      </c>
      <c r="S6512">
        <v>2849</v>
      </c>
      <c r="T6512">
        <v>2349</v>
      </c>
      <c r="U6512" t="s">
        <v>19</v>
      </c>
    </row>
    <row r="6513" spans="1:21">
      <c r="A6513" t="str">
        <f t="shared" si="2994"/>
        <v>30/10/2025</v>
      </c>
      <c r="B6513" t="str">
        <f t="shared" si="2991"/>
        <v>ENTRADA</v>
      </c>
      <c r="C6513" t="str">
        <f t="shared" si="2988"/>
        <v>NFSE</v>
      </c>
      <c r="D6513" t="str">
        <f>"3663"</f>
        <v>3663</v>
      </c>
      <c r="E6513" t="str">
        <f t="shared" si="2987"/>
        <v>COM</v>
      </c>
      <c r="F6513" t="str">
        <f>"AC FARMA - CID.ALTA (10166)"</f>
        <v>AC FARMA - CID.ALTA (10166)</v>
      </c>
      <c r="G6513" t="str">
        <f>"Serv.Prest. 13/10/2025 a 19/10/2025 - RPS: 1427 - NFSe: 3663"</f>
        <v>Serv.Prest. 13/10/2025 a 19/10/2025 - RPS: 1427 - NFSe: 3663</v>
      </c>
      <c r="H6513" t="str">
        <f t="shared" si="2993"/>
        <v>29/10/2025</v>
      </c>
      <c r="I6513" t="str">
        <f t="shared" si="2995"/>
        <v>24/10/2025</v>
      </c>
      <c r="J6513" t="str">
        <f t="shared" si="2996"/>
        <v>30/10/2025</v>
      </c>
      <c r="M6513">
        <v>303</v>
      </c>
      <c r="N6513" t="str">
        <f t="shared" si="2989"/>
        <v>RECEITAS COM ENTREGAS</v>
      </c>
      <c r="P6513">
        <v>980.64</v>
      </c>
      <c r="Q6513" t="str">
        <f>"AC FARMA - CID.ALTA (10166)"</f>
        <v>AC FARMA - CID.ALTA (10166)</v>
      </c>
      <c r="R6513" t="str">
        <f t="shared" si="2990"/>
        <v>RECEITAS COM ENTREGAS (303)</v>
      </c>
      <c r="S6513">
        <v>2849</v>
      </c>
      <c r="T6513">
        <v>2349</v>
      </c>
      <c r="U6513" t="s">
        <v>19</v>
      </c>
    </row>
    <row r="6514" spans="1:21">
      <c r="A6514" t="str">
        <f t="shared" si="2994"/>
        <v>30/10/2025</v>
      </c>
      <c r="B6514" t="str">
        <f t="shared" si="2991"/>
        <v>ENTRADA</v>
      </c>
      <c r="C6514" t="str">
        <f t="shared" si="2988"/>
        <v>NFSE</v>
      </c>
      <c r="D6514" t="str">
        <f>"3664"</f>
        <v>3664</v>
      </c>
      <c r="E6514" t="str">
        <f t="shared" si="2987"/>
        <v>COM</v>
      </c>
      <c r="F6514" t="str">
        <f>"AC FARMA - FLEMINFARMA (10160)"</f>
        <v>AC FARMA - FLEMINFARMA (10160)</v>
      </c>
      <c r="G6514" t="str">
        <f>"Serv.Prest. 13/10/2025 a 19/10/2025 - RPS: 1428 - NFSe: 3664"</f>
        <v>Serv.Prest. 13/10/2025 a 19/10/2025 - RPS: 1428 - NFSe: 3664</v>
      </c>
      <c r="H6514" t="str">
        <f t="shared" si="2993"/>
        <v>29/10/2025</v>
      </c>
      <c r="I6514" t="str">
        <f t="shared" si="2995"/>
        <v>24/10/2025</v>
      </c>
      <c r="J6514" t="str">
        <f t="shared" si="2996"/>
        <v>30/10/2025</v>
      </c>
      <c r="K6514">
        <v>214.65</v>
      </c>
      <c r="L6514">
        <v>214.65</v>
      </c>
      <c r="M6514">
        <v>303</v>
      </c>
      <c r="N6514" t="str">
        <f t="shared" si="2989"/>
        <v>RECEITAS COM ENTREGAS</v>
      </c>
      <c r="O6514">
        <v>214.65</v>
      </c>
      <c r="R6514" t="str">
        <f t="shared" si="2990"/>
        <v>RECEITAS COM ENTREGAS (303)</v>
      </c>
      <c r="S6514">
        <v>2850</v>
      </c>
      <c r="T6514">
        <v>2350</v>
      </c>
      <c r="U6514" t="s">
        <v>19</v>
      </c>
    </row>
    <row r="6515" spans="1:21">
      <c r="A6515" t="str">
        <f t="shared" si="2994"/>
        <v>30/10/2025</v>
      </c>
      <c r="B6515" t="str">
        <f t="shared" si="2991"/>
        <v>ENTRADA</v>
      </c>
      <c r="C6515" t="str">
        <f t="shared" si="2988"/>
        <v>NFSE</v>
      </c>
      <c r="D6515" t="str">
        <f>"3664"</f>
        <v>3664</v>
      </c>
      <c r="E6515" t="str">
        <f t="shared" si="2987"/>
        <v>COM</v>
      </c>
      <c r="F6515" t="str">
        <f>"AC FARMA - FLEMINFARMA (10160)"</f>
        <v>AC FARMA - FLEMINFARMA (10160)</v>
      </c>
      <c r="G6515" t="str">
        <f>"Serv.Prest. 13/10/2025 a 19/10/2025 - RPS: 1428 - NFSe: 3664"</f>
        <v>Serv.Prest. 13/10/2025 a 19/10/2025 - RPS: 1428 - NFSe: 3664</v>
      </c>
      <c r="H6515" t="str">
        <f t="shared" si="2993"/>
        <v>29/10/2025</v>
      </c>
      <c r="I6515" t="str">
        <f t="shared" si="2995"/>
        <v>24/10/2025</v>
      </c>
      <c r="J6515" t="str">
        <f t="shared" si="2996"/>
        <v>30/10/2025</v>
      </c>
      <c r="M6515">
        <v>303</v>
      </c>
      <c r="N6515" t="str">
        <f t="shared" si="2989"/>
        <v>RECEITAS COM ENTREGAS</v>
      </c>
      <c r="P6515">
        <v>206.56</v>
      </c>
      <c r="Q6515" t="str">
        <f>"AC FARMA -  FLEMINFARMA (10159)"</f>
        <v>AC FARMA -  FLEMINFARMA (10159)</v>
      </c>
      <c r="R6515" t="str">
        <f t="shared" si="2990"/>
        <v>RECEITAS COM ENTREGAS (303)</v>
      </c>
      <c r="S6515">
        <v>2850</v>
      </c>
      <c r="T6515">
        <v>2350</v>
      </c>
      <c r="U6515" t="s">
        <v>19</v>
      </c>
    </row>
    <row r="6516" spans="1:21">
      <c r="A6516" t="str">
        <f t="shared" si="2994"/>
        <v>30/10/2025</v>
      </c>
      <c r="B6516" t="str">
        <f t="shared" si="2991"/>
        <v>ENTRADA</v>
      </c>
      <c r="C6516" t="str">
        <f t="shared" si="2988"/>
        <v>NFSE</v>
      </c>
      <c r="D6516" t="str">
        <f>"3664"</f>
        <v>3664</v>
      </c>
      <c r="E6516" t="str">
        <f t="shared" si="2987"/>
        <v>COM</v>
      </c>
      <c r="F6516" t="str">
        <f>"AC FARMA - FLEMINFARMA (10160)"</f>
        <v>AC FARMA - FLEMINFARMA (10160)</v>
      </c>
      <c r="G6516" t="str">
        <f>"Serv.Prest. 13/10/2025 a 19/10/2025 - RPS: 1428 - NFSe: 3664"</f>
        <v>Serv.Prest. 13/10/2025 a 19/10/2025 - RPS: 1428 - NFSe: 3664</v>
      </c>
      <c r="H6516" t="str">
        <f t="shared" si="2993"/>
        <v>29/10/2025</v>
      </c>
      <c r="I6516" t="str">
        <f t="shared" si="2995"/>
        <v>24/10/2025</v>
      </c>
      <c r="J6516" t="str">
        <f t="shared" si="2996"/>
        <v>30/10/2025</v>
      </c>
      <c r="M6516">
        <v>303</v>
      </c>
      <c r="N6516" t="str">
        <f t="shared" si="2989"/>
        <v>RECEITAS COM ENTREGAS</v>
      </c>
      <c r="P6516">
        <v>8.09</v>
      </c>
      <c r="Q6516" t="str">
        <f>"AC FARMA - FLEMINFARMA (10160)"</f>
        <v>AC FARMA - FLEMINFARMA (10160)</v>
      </c>
      <c r="R6516" t="str">
        <f t="shared" si="2990"/>
        <v>RECEITAS COM ENTREGAS (303)</v>
      </c>
      <c r="S6516">
        <v>2850</v>
      </c>
      <c r="T6516">
        <v>2350</v>
      </c>
      <c r="U6516" t="s">
        <v>19</v>
      </c>
    </row>
    <row r="6517" spans="1:21">
      <c r="A6517" t="str">
        <f t="shared" si="2994"/>
        <v>30/10/2025</v>
      </c>
      <c r="B6517" t="str">
        <f t="shared" si="2991"/>
        <v>ENTRADA</v>
      </c>
      <c r="C6517" t="str">
        <f t="shared" si="2988"/>
        <v>NFSE</v>
      </c>
      <c r="D6517" t="str">
        <f>"3665"</f>
        <v>3665</v>
      </c>
      <c r="E6517" t="str">
        <f t="shared" si="2987"/>
        <v>COM</v>
      </c>
      <c r="F6517" t="str">
        <f>"AC FARMA - FLEMINFARMA 5 (10183)"</f>
        <v>AC FARMA - FLEMINFARMA 5 (10183)</v>
      </c>
      <c r="G6517" t="str">
        <f>"Serv.Prest. 13/10/2025 a 19/10/2025 - RPS: 1429 - NFSe: 3665"</f>
        <v>Serv.Prest. 13/10/2025 a 19/10/2025 - RPS: 1429 - NFSe: 3665</v>
      </c>
      <c r="H6517" t="str">
        <f t="shared" si="2993"/>
        <v>29/10/2025</v>
      </c>
      <c r="I6517" t="str">
        <f t="shared" si="2995"/>
        <v>24/10/2025</v>
      </c>
      <c r="J6517" t="str">
        <f t="shared" si="2996"/>
        <v>30/10/2025</v>
      </c>
      <c r="K6517">
        <v>114.75</v>
      </c>
      <c r="L6517">
        <v>114.75</v>
      </c>
      <c r="M6517">
        <v>303</v>
      </c>
      <c r="N6517" t="str">
        <f t="shared" si="2989"/>
        <v>RECEITAS COM ENTREGAS</v>
      </c>
      <c r="O6517">
        <v>114.75</v>
      </c>
      <c r="R6517" t="str">
        <f t="shared" si="2990"/>
        <v>RECEITAS COM ENTREGAS (303)</v>
      </c>
      <c r="S6517">
        <v>2851</v>
      </c>
      <c r="T6517">
        <v>2351</v>
      </c>
      <c r="U6517" t="s">
        <v>19</v>
      </c>
    </row>
    <row r="6518" spans="1:21">
      <c r="A6518" t="str">
        <f t="shared" si="2994"/>
        <v>30/10/2025</v>
      </c>
      <c r="B6518" t="str">
        <f t="shared" si="2991"/>
        <v>ENTRADA</v>
      </c>
      <c r="C6518" t="str">
        <f t="shared" si="2988"/>
        <v>NFSE</v>
      </c>
      <c r="D6518" t="str">
        <f>"3665"</f>
        <v>3665</v>
      </c>
      <c r="E6518" t="str">
        <f t="shared" si="2987"/>
        <v>COM</v>
      </c>
      <c r="F6518" t="str">
        <f>"AC FARMA - FLEMINFARMA 5 (10183)"</f>
        <v>AC FARMA - FLEMINFARMA 5 (10183)</v>
      </c>
      <c r="G6518" t="str">
        <f>"Serv.Prest. 13/10/2025 a 19/10/2025 - RPS: 1429 - NFSe: 3665"</f>
        <v>Serv.Prest. 13/10/2025 a 19/10/2025 - RPS: 1429 - NFSe: 3665</v>
      </c>
      <c r="H6518" t="str">
        <f t="shared" si="2993"/>
        <v>29/10/2025</v>
      </c>
      <c r="I6518" t="str">
        <f t="shared" si="2995"/>
        <v>24/10/2025</v>
      </c>
      <c r="J6518" t="str">
        <f t="shared" si="2996"/>
        <v>30/10/2025</v>
      </c>
      <c r="M6518">
        <v>303</v>
      </c>
      <c r="N6518" t="str">
        <f t="shared" si="2989"/>
        <v>RECEITAS COM ENTREGAS</v>
      </c>
      <c r="P6518">
        <v>110.7</v>
      </c>
      <c r="Q6518" t="str">
        <f>"AC FARMA - FLEMINFARMA 5 (10183)"</f>
        <v>AC FARMA - FLEMINFARMA 5 (10183)</v>
      </c>
      <c r="R6518" t="str">
        <f t="shared" si="2990"/>
        <v>RECEITAS COM ENTREGAS (303)</v>
      </c>
      <c r="S6518">
        <v>2851</v>
      </c>
      <c r="T6518">
        <v>2351</v>
      </c>
      <c r="U6518" t="s">
        <v>19</v>
      </c>
    </row>
    <row r="6519" spans="1:21">
      <c r="A6519" t="str">
        <f t="shared" si="2994"/>
        <v>30/10/2025</v>
      </c>
      <c r="B6519" t="str">
        <f t="shared" si="2991"/>
        <v>ENTRADA</v>
      </c>
      <c r="C6519" t="str">
        <f t="shared" si="2988"/>
        <v>NFSE</v>
      </c>
      <c r="D6519" t="str">
        <f>"3665"</f>
        <v>3665</v>
      </c>
      <c r="E6519" t="str">
        <f t="shared" si="2987"/>
        <v>COM</v>
      </c>
      <c r="F6519" t="str">
        <f>"AC FARMA - FLEMINFARMA 5 (10183)"</f>
        <v>AC FARMA - FLEMINFARMA 5 (10183)</v>
      </c>
      <c r="G6519" t="str">
        <f>"Serv.Prest. 13/10/2025 a 19/10/2025 - RPS: 1429 - NFSe: 3665"</f>
        <v>Serv.Prest. 13/10/2025 a 19/10/2025 - RPS: 1429 - NFSe: 3665</v>
      </c>
      <c r="H6519" t="str">
        <f t="shared" si="2993"/>
        <v>29/10/2025</v>
      </c>
      <c r="I6519" t="str">
        <f t="shared" si="2995"/>
        <v>24/10/2025</v>
      </c>
      <c r="J6519" t="str">
        <f t="shared" si="2996"/>
        <v>30/10/2025</v>
      </c>
      <c r="M6519">
        <v>303</v>
      </c>
      <c r="N6519" t="str">
        <f t="shared" si="2989"/>
        <v>RECEITAS COM ENTREGAS</v>
      </c>
      <c r="P6519">
        <v>4.05</v>
      </c>
      <c r="Q6519" t="str">
        <f>"AC FARMA - FLEMINFARMA 6 (10184)"</f>
        <v>AC FARMA - FLEMINFARMA 6 (10184)</v>
      </c>
      <c r="R6519" t="str">
        <f t="shared" si="2990"/>
        <v>RECEITAS COM ENTREGAS (303)</v>
      </c>
      <c r="S6519">
        <v>2851</v>
      </c>
      <c r="T6519">
        <v>2351</v>
      </c>
      <c r="U6519" t="s">
        <v>19</v>
      </c>
    </row>
    <row r="6520" spans="1:21">
      <c r="A6520" t="str">
        <f t="shared" si="2994"/>
        <v>30/10/2025</v>
      </c>
      <c r="B6520" t="str">
        <f t="shared" si="2991"/>
        <v>ENTRADA</v>
      </c>
      <c r="C6520" t="str">
        <f t="shared" si="2988"/>
        <v>NFSE</v>
      </c>
      <c r="D6520" t="str">
        <f>"3691"</f>
        <v>3691</v>
      </c>
      <c r="E6520" t="str">
        <f t="shared" si="2987"/>
        <v>COM</v>
      </c>
      <c r="F6520" t="str">
        <f>"BRASIL FARMA (10173)"</f>
        <v>BRASIL FARMA (10173)</v>
      </c>
      <c r="G6520" t="str">
        <f>"Serv.Prest. 20/10/2025 a 26/10/2025 - RPS: 1455 - NFSe: 3691"</f>
        <v>Serv.Prest. 20/10/2025 a 26/10/2025 - RPS: 1455 - NFSe: 3691</v>
      </c>
      <c r="H6520" t="str">
        <f t="shared" si="2993"/>
        <v>29/10/2025</v>
      </c>
      <c r="I6520" t="str">
        <f t="shared" ref="I6520:I6527" si="2997">("27/10/2025")</f>
        <v>27/10/2025</v>
      </c>
      <c r="J6520" t="str">
        <f t="shared" si="2996"/>
        <v>30/10/2025</v>
      </c>
      <c r="K6520">
        <v>300.89999999999998</v>
      </c>
      <c r="L6520">
        <v>300.89999999999998</v>
      </c>
      <c r="M6520">
        <v>303</v>
      </c>
      <c r="N6520" t="str">
        <f t="shared" si="2989"/>
        <v>RECEITAS COM ENTREGAS</v>
      </c>
      <c r="O6520">
        <v>300.89999999999998</v>
      </c>
      <c r="R6520" t="str">
        <f t="shared" si="2990"/>
        <v>RECEITAS COM ENTREGAS (303)</v>
      </c>
      <c r="S6520">
        <v>2852</v>
      </c>
      <c r="T6520">
        <v>2377</v>
      </c>
      <c r="U6520" t="s">
        <v>19</v>
      </c>
    </row>
    <row r="6521" spans="1:21">
      <c r="A6521" t="str">
        <f t="shared" si="2994"/>
        <v>30/10/2025</v>
      </c>
      <c r="B6521" t="str">
        <f t="shared" si="2991"/>
        <v>ENTRADA</v>
      </c>
      <c r="C6521" t="str">
        <f t="shared" si="2988"/>
        <v>NFSE</v>
      </c>
      <c r="D6521" t="str">
        <f>"3691"</f>
        <v>3691</v>
      </c>
      <c r="E6521" t="str">
        <f t="shared" si="2987"/>
        <v>COM</v>
      </c>
      <c r="F6521" t="str">
        <f>"BRASIL FARMA (10173)"</f>
        <v>BRASIL FARMA (10173)</v>
      </c>
      <c r="G6521" t="str">
        <f>"Serv.Prest. 20/10/2025 a 26/10/2025 - RPS: 1455 - NFSe: 3691"</f>
        <v>Serv.Prest. 20/10/2025 a 26/10/2025 - RPS: 1455 - NFSe: 3691</v>
      </c>
      <c r="H6521" t="str">
        <f t="shared" si="2993"/>
        <v>29/10/2025</v>
      </c>
      <c r="I6521" t="str">
        <f t="shared" si="2997"/>
        <v>27/10/2025</v>
      </c>
      <c r="J6521" t="str">
        <f t="shared" si="2996"/>
        <v>30/10/2025</v>
      </c>
      <c r="M6521">
        <v>303</v>
      </c>
      <c r="N6521" t="str">
        <f t="shared" si="2989"/>
        <v>RECEITAS COM ENTREGAS</v>
      </c>
      <c r="P6521">
        <v>300.89999999999998</v>
      </c>
      <c r="Q6521" t="str">
        <f>"BRASIL FARMA (10173)"</f>
        <v>BRASIL FARMA (10173)</v>
      </c>
      <c r="R6521" t="str">
        <f t="shared" si="2990"/>
        <v>RECEITAS COM ENTREGAS (303)</v>
      </c>
      <c r="S6521">
        <v>2852</v>
      </c>
      <c r="T6521">
        <v>2377</v>
      </c>
      <c r="U6521" t="s">
        <v>19</v>
      </c>
    </row>
    <row r="6522" spans="1:21">
      <c r="A6522" t="str">
        <f t="shared" si="2994"/>
        <v>30/10/2025</v>
      </c>
      <c r="B6522" t="str">
        <f t="shared" si="2991"/>
        <v>ENTRADA</v>
      </c>
      <c r="C6522" t="str">
        <f t="shared" si="2988"/>
        <v>NFSE</v>
      </c>
      <c r="D6522" t="str">
        <f>"3692"</f>
        <v>3692</v>
      </c>
      <c r="E6522" t="str">
        <f t="shared" si="2987"/>
        <v>COM</v>
      </c>
      <c r="F6522" t="str">
        <f>"DROGA ELIDA (10121)"</f>
        <v>DROGA ELIDA (10121)</v>
      </c>
      <c r="G6522" t="str">
        <f>"Serv.Prest. 20/10/2025 a 26/10/2025 - RPS: 1456 - NFSe: 3692"</f>
        <v>Serv.Prest. 20/10/2025 a 26/10/2025 - RPS: 1456 - NFSe: 3692</v>
      </c>
      <c r="H6522" t="str">
        <f t="shared" si="2993"/>
        <v>29/10/2025</v>
      </c>
      <c r="I6522" t="str">
        <f t="shared" si="2997"/>
        <v>27/10/2025</v>
      </c>
      <c r="J6522" t="str">
        <f t="shared" si="2996"/>
        <v>30/10/2025</v>
      </c>
      <c r="K6522">
        <v>328.5</v>
      </c>
      <c r="L6522">
        <v>328.5</v>
      </c>
      <c r="M6522">
        <v>303</v>
      </c>
      <c r="N6522" t="str">
        <f t="shared" si="2989"/>
        <v>RECEITAS COM ENTREGAS</v>
      </c>
      <c r="O6522">
        <v>328.5</v>
      </c>
      <c r="R6522" t="str">
        <f t="shared" si="2990"/>
        <v>RECEITAS COM ENTREGAS (303)</v>
      </c>
      <c r="S6522">
        <v>2853</v>
      </c>
      <c r="T6522">
        <v>2378</v>
      </c>
      <c r="U6522" t="s">
        <v>19</v>
      </c>
    </row>
    <row r="6523" spans="1:21">
      <c r="A6523" t="str">
        <f t="shared" si="2994"/>
        <v>30/10/2025</v>
      </c>
      <c r="B6523" t="str">
        <f t="shared" si="2991"/>
        <v>ENTRADA</v>
      </c>
      <c r="C6523" t="str">
        <f t="shared" si="2988"/>
        <v>NFSE</v>
      </c>
      <c r="D6523" t="str">
        <f>"3692"</f>
        <v>3692</v>
      </c>
      <c r="E6523" t="str">
        <f t="shared" si="2987"/>
        <v>COM</v>
      </c>
      <c r="F6523" t="str">
        <f>"DROGA ELIDA (10121)"</f>
        <v>DROGA ELIDA (10121)</v>
      </c>
      <c r="G6523" t="str">
        <f>"Serv.Prest. 20/10/2025 a 26/10/2025 - RPS: 1456 - NFSe: 3692"</f>
        <v>Serv.Prest. 20/10/2025 a 26/10/2025 - RPS: 1456 - NFSe: 3692</v>
      </c>
      <c r="H6523" t="str">
        <f t="shared" si="2993"/>
        <v>29/10/2025</v>
      </c>
      <c r="I6523" t="str">
        <f t="shared" si="2997"/>
        <v>27/10/2025</v>
      </c>
      <c r="J6523" t="str">
        <f t="shared" si="2996"/>
        <v>30/10/2025</v>
      </c>
      <c r="M6523">
        <v>303</v>
      </c>
      <c r="N6523" t="str">
        <f t="shared" si="2989"/>
        <v>RECEITAS COM ENTREGAS</v>
      </c>
      <c r="P6523">
        <v>328.5</v>
      </c>
      <c r="Q6523" t="str">
        <f>"DROGA ELIDA (10121)"</f>
        <v>DROGA ELIDA (10121)</v>
      </c>
      <c r="R6523" t="str">
        <f t="shared" si="2990"/>
        <v>RECEITAS COM ENTREGAS (303)</v>
      </c>
      <c r="S6523">
        <v>2853</v>
      </c>
      <c r="T6523">
        <v>2378</v>
      </c>
      <c r="U6523" t="s">
        <v>19</v>
      </c>
    </row>
    <row r="6524" spans="1:21">
      <c r="A6524" t="str">
        <f t="shared" si="2994"/>
        <v>30/10/2025</v>
      </c>
      <c r="B6524" t="str">
        <f t="shared" si="2991"/>
        <v>ENTRADA</v>
      </c>
      <c r="C6524" t="str">
        <f t="shared" si="2988"/>
        <v>NFSE</v>
      </c>
      <c r="D6524" t="str">
        <f>"3696"</f>
        <v>3696</v>
      </c>
      <c r="E6524" t="str">
        <f t="shared" si="2987"/>
        <v>COM</v>
      </c>
      <c r="F6524" t="str">
        <f>"DROGARIA MEDIC CENTER LTDA (10172)"</f>
        <v>DROGARIA MEDIC CENTER LTDA (10172)</v>
      </c>
      <c r="G6524" t="str">
        <f>"Serv.Prest. 20/10/2025 a 26/10/2025 - RPS: 1460 - NFSe: 3696"</f>
        <v>Serv.Prest. 20/10/2025 a 26/10/2025 - RPS: 1460 - NFSe: 3696</v>
      </c>
      <c r="H6524" t="str">
        <f t="shared" si="2993"/>
        <v>29/10/2025</v>
      </c>
      <c r="I6524" t="str">
        <f t="shared" si="2997"/>
        <v>27/10/2025</v>
      </c>
      <c r="J6524" t="str">
        <f t="shared" si="2996"/>
        <v>30/10/2025</v>
      </c>
      <c r="K6524">
        <v>133.19999999999999</v>
      </c>
      <c r="L6524">
        <v>133.19999999999999</v>
      </c>
      <c r="M6524">
        <v>303</v>
      </c>
      <c r="N6524" t="str">
        <f t="shared" si="2989"/>
        <v>RECEITAS COM ENTREGAS</v>
      </c>
      <c r="O6524">
        <v>133.19999999999999</v>
      </c>
      <c r="R6524" t="str">
        <f t="shared" si="2990"/>
        <v>RECEITAS COM ENTREGAS (303)</v>
      </c>
      <c r="S6524">
        <v>2854</v>
      </c>
      <c r="T6524">
        <v>2382</v>
      </c>
      <c r="U6524" t="s">
        <v>19</v>
      </c>
    </row>
    <row r="6525" spans="1:21">
      <c r="A6525" t="str">
        <f t="shared" si="2994"/>
        <v>30/10/2025</v>
      </c>
      <c r="B6525" t="str">
        <f t="shared" si="2991"/>
        <v>ENTRADA</v>
      </c>
      <c r="C6525" t="str">
        <f t="shared" si="2988"/>
        <v>NFSE</v>
      </c>
      <c r="D6525" t="str">
        <f>"3696"</f>
        <v>3696</v>
      </c>
      <c r="E6525" t="str">
        <f t="shared" si="2987"/>
        <v>COM</v>
      </c>
      <c r="F6525" t="str">
        <f>"DROGARIA MEDIC CENTER LTDA (10172)"</f>
        <v>DROGARIA MEDIC CENTER LTDA (10172)</v>
      </c>
      <c r="G6525" t="str">
        <f>"Serv.Prest. 20/10/2025 a 26/10/2025 - RPS: 1460 - NFSe: 3696"</f>
        <v>Serv.Prest. 20/10/2025 a 26/10/2025 - RPS: 1460 - NFSe: 3696</v>
      </c>
      <c r="H6525" t="str">
        <f t="shared" si="2993"/>
        <v>29/10/2025</v>
      </c>
      <c r="I6525" t="str">
        <f t="shared" si="2997"/>
        <v>27/10/2025</v>
      </c>
      <c r="J6525" t="str">
        <f t="shared" si="2996"/>
        <v>30/10/2025</v>
      </c>
      <c r="M6525">
        <v>303</v>
      </c>
      <c r="N6525" t="str">
        <f t="shared" si="2989"/>
        <v>RECEITAS COM ENTREGAS</v>
      </c>
      <c r="P6525">
        <v>133.19999999999999</v>
      </c>
      <c r="Q6525" t="str">
        <f>"DROGARIA MEDIC CENTER LTDA (10172)"</f>
        <v>DROGARIA MEDIC CENTER LTDA (10172)</v>
      </c>
      <c r="R6525" t="str">
        <f t="shared" si="2990"/>
        <v>RECEITAS COM ENTREGAS (303)</v>
      </c>
      <c r="S6525">
        <v>2854</v>
      </c>
      <c r="T6525">
        <v>2382</v>
      </c>
      <c r="U6525" t="s">
        <v>19</v>
      </c>
    </row>
    <row r="6526" spans="1:21">
      <c r="A6526" t="str">
        <f t="shared" si="2994"/>
        <v>30/10/2025</v>
      </c>
      <c r="B6526" t="str">
        <f t="shared" si="2991"/>
        <v>ENTRADA</v>
      </c>
      <c r="C6526" t="str">
        <f t="shared" si="2988"/>
        <v>NFSE</v>
      </c>
      <c r="D6526" t="str">
        <f>"3698"</f>
        <v>3698</v>
      </c>
      <c r="E6526" t="str">
        <f t="shared" si="2987"/>
        <v>COM</v>
      </c>
      <c r="F6526" t="str">
        <f>"FARMACIA ECONOMIZE (10103)"</f>
        <v>FARMACIA ECONOMIZE (10103)</v>
      </c>
      <c r="G6526" t="str">
        <f>"Serv.Prest. 20/10/2025 a 26/10/2025 - RPS: 1462 - NFSe: 3698"</f>
        <v>Serv.Prest. 20/10/2025 a 26/10/2025 - RPS: 1462 - NFSe: 3698</v>
      </c>
      <c r="H6526" t="str">
        <f t="shared" si="2993"/>
        <v>29/10/2025</v>
      </c>
      <c r="I6526" t="str">
        <f t="shared" si="2997"/>
        <v>27/10/2025</v>
      </c>
      <c r="J6526" t="str">
        <f t="shared" si="2996"/>
        <v>30/10/2025</v>
      </c>
      <c r="K6526">
        <v>22</v>
      </c>
      <c r="L6526">
        <v>22</v>
      </c>
      <c r="M6526">
        <v>303</v>
      </c>
      <c r="N6526" t="str">
        <f t="shared" si="2989"/>
        <v>RECEITAS COM ENTREGAS</v>
      </c>
      <c r="O6526">
        <v>22</v>
      </c>
      <c r="R6526" t="str">
        <f t="shared" si="2990"/>
        <v>RECEITAS COM ENTREGAS (303)</v>
      </c>
      <c r="S6526">
        <v>2855</v>
      </c>
      <c r="T6526">
        <v>2384</v>
      </c>
      <c r="U6526" t="s">
        <v>19</v>
      </c>
    </row>
    <row r="6527" spans="1:21">
      <c r="A6527" t="str">
        <f t="shared" si="2994"/>
        <v>30/10/2025</v>
      </c>
      <c r="B6527" t="str">
        <f t="shared" si="2991"/>
        <v>ENTRADA</v>
      </c>
      <c r="C6527" t="str">
        <f t="shared" si="2988"/>
        <v>NFSE</v>
      </c>
      <c r="D6527" t="str">
        <f>"3698"</f>
        <v>3698</v>
      </c>
      <c r="E6527" t="str">
        <f t="shared" si="2987"/>
        <v>COM</v>
      </c>
      <c r="F6527" t="str">
        <f>"FARMACIA ECONOMIZE (10103)"</f>
        <v>FARMACIA ECONOMIZE (10103)</v>
      </c>
      <c r="G6527" t="str">
        <f>"Serv.Prest. 20/10/2025 a 26/10/2025 - RPS: 1462 - NFSe: 3698"</f>
        <v>Serv.Prest. 20/10/2025 a 26/10/2025 - RPS: 1462 - NFSe: 3698</v>
      </c>
      <c r="H6527" t="str">
        <f t="shared" si="2993"/>
        <v>29/10/2025</v>
      </c>
      <c r="I6527" t="str">
        <f t="shared" si="2997"/>
        <v>27/10/2025</v>
      </c>
      <c r="J6527" t="str">
        <f t="shared" si="2996"/>
        <v>30/10/2025</v>
      </c>
      <c r="M6527">
        <v>303</v>
      </c>
      <c r="N6527" t="str">
        <f t="shared" si="2989"/>
        <v>RECEITAS COM ENTREGAS</v>
      </c>
      <c r="P6527">
        <v>22</v>
      </c>
      <c r="Q6527" t="str">
        <f>"FARMACIA ECONOMIZE (10103)"</f>
        <v>FARMACIA ECONOMIZE (10103)</v>
      </c>
      <c r="R6527" t="str">
        <f t="shared" si="2990"/>
        <v>RECEITAS COM ENTREGAS (303)</v>
      </c>
      <c r="S6527">
        <v>2855</v>
      </c>
      <c r="T6527">
        <v>2384</v>
      </c>
      <c r="U6527" t="s">
        <v>19</v>
      </c>
    </row>
    <row r="6528" spans="1:21">
      <c r="A6528" t="str">
        <f t="shared" si="2994"/>
        <v>30/10/2025</v>
      </c>
      <c r="B6528" t="str">
        <f t="shared" si="2991"/>
        <v>ENTRADA</v>
      </c>
      <c r="C6528" t="str">
        <f t="shared" si="2988"/>
        <v>NFSE</v>
      </c>
      <c r="D6528" t="str">
        <f>"3701"</f>
        <v>3701</v>
      </c>
      <c r="E6528" t="str">
        <f t="shared" si="2987"/>
        <v>COM</v>
      </c>
      <c r="F6528" t="str">
        <f>"JAL FARMACIA E DROGARIA LJ 1 (10137)"</f>
        <v>JAL FARMACIA E DROGARIA LJ 1 (10137)</v>
      </c>
      <c r="G6528" t="str">
        <f>"Serv.Prest. 20/10/2025 a 26/10/2025 - RPS: 1465 - NFSe: 3701"</f>
        <v>Serv.Prest. 20/10/2025 a 26/10/2025 - RPS: 1465 - NFSe: 3701</v>
      </c>
      <c r="H6528" t="str">
        <f t="shared" si="2993"/>
        <v>29/10/2025</v>
      </c>
      <c r="I6528" t="str">
        <f t="shared" ref="I6528:I6533" si="2998">("28/10/2025")</f>
        <v>28/10/2025</v>
      </c>
      <c r="J6528" t="str">
        <f t="shared" si="2996"/>
        <v>30/10/2025</v>
      </c>
      <c r="K6528">
        <v>429</v>
      </c>
      <c r="L6528">
        <v>429</v>
      </c>
      <c r="M6528">
        <v>303</v>
      </c>
      <c r="N6528" t="str">
        <f t="shared" si="2989"/>
        <v>RECEITAS COM ENTREGAS</v>
      </c>
      <c r="O6528">
        <v>429</v>
      </c>
      <c r="R6528" t="str">
        <f t="shared" si="2990"/>
        <v>RECEITAS COM ENTREGAS (303)</v>
      </c>
      <c r="S6528">
        <v>2856</v>
      </c>
      <c r="T6528">
        <v>2387</v>
      </c>
      <c r="U6528" t="s">
        <v>19</v>
      </c>
    </row>
    <row r="6529" spans="1:21">
      <c r="A6529" t="str">
        <f t="shared" si="2994"/>
        <v>30/10/2025</v>
      </c>
      <c r="B6529" t="str">
        <f t="shared" si="2991"/>
        <v>ENTRADA</v>
      </c>
      <c r="C6529" t="str">
        <f t="shared" si="2988"/>
        <v>NFSE</v>
      </c>
      <c r="D6529" t="str">
        <f>"3701"</f>
        <v>3701</v>
      </c>
      <c r="E6529" t="str">
        <f t="shared" si="2987"/>
        <v>COM</v>
      </c>
      <c r="F6529" t="str">
        <f>"JAL FARMACIA E DROGARIA LJ 1 (10137)"</f>
        <v>JAL FARMACIA E DROGARIA LJ 1 (10137)</v>
      </c>
      <c r="G6529" t="str">
        <f>"Serv.Prest. 20/10/2025 a 26/10/2025 - RPS: 1465 - NFSe: 3701"</f>
        <v>Serv.Prest. 20/10/2025 a 26/10/2025 - RPS: 1465 - NFSe: 3701</v>
      </c>
      <c r="H6529" t="str">
        <f t="shared" si="2993"/>
        <v>29/10/2025</v>
      </c>
      <c r="I6529" t="str">
        <f t="shared" si="2998"/>
        <v>28/10/2025</v>
      </c>
      <c r="J6529" t="str">
        <f t="shared" si="2996"/>
        <v>30/10/2025</v>
      </c>
      <c r="M6529">
        <v>303</v>
      </c>
      <c r="N6529" t="str">
        <f t="shared" si="2989"/>
        <v>RECEITAS COM ENTREGAS</v>
      </c>
      <c r="P6529">
        <v>429</v>
      </c>
      <c r="Q6529" t="str">
        <f>"JAL FARMACIA E DROGARIA LJ 1 (10137)"</f>
        <v>JAL FARMACIA E DROGARIA LJ 1 (10137)</v>
      </c>
      <c r="R6529" t="str">
        <f t="shared" si="2990"/>
        <v>RECEITAS COM ENTREGAS (303)</v>
      </c>
      <c r="S6529">
        <v>2856</v>
      </c>
      <c r="T6529">
        <v>2387</v>
      </c>
      <c r="U6529" t="s">
        <v>19</v>
      </c>
    </row>
    <row r="6530" spans="1:21">
      <c r="A6530" t="str">
        <f t="shared" si="2994"/>
        <v>30/10/2025</v>
      </c>
      <c r="B6530" t="str">
        <f t="shared" si="2991"/>
        <v>ENTRADA</v>
      </c>
      <c r="C6530" t="str">
        <f t="shared" si="2988"/>
        <v>NFSE</v>
      </c>
      <c r="D6530" t="str">
        <f>"3702"</f>
        <v>3702</v>
      </c>
      <c r="E6530" t="str">
        <f t="shared" si="2987"/>
        <v>COM</v>
      </c>
      <c r="F6530" t="str">
        <f>"LBL FARMACIA LTDA FILIAL (10192)"</f>
        <v>LBL FARMACIA LTDA FILIAL (10192)</v>
      </c>
      <c r="G6530" t="str">
        <f>"Serv.Prest. 20/10/2025 a 26/10/2025 - RPS: 1466 - NFSe: 3702"</f>
        <v>Serv.Prest. 20/10/2025 a 26/10/2025 - RPS: 1466 - NFSe: 3702</v>
      </c>
      <c r="H6530" t="str">
        <f t="shared" si="2993"/>
        <v>29/10/2025</v>
      </c>
      <c r="I6530" t="str">
        <f t="shared" si="2998"/>
        <v>28/10/2025</v>
      </c>
      <c r="J6530" t="str">
        <f t="shared" si="2996"/>
        <v>30/10/2025</v>
      </c>
      <c r="K6530">
        <v>261.45</v>
      </c>
      <c r="L6530">
        <v>261.45</v>
      </c>
      <c r="M6530">
        <v>303</v>
      </c>
      <c r="N6530" t="str">
        <f t="shared" si="2989"/>
        <v>RECEITAS COM ENTREGAS</v>
      </c>
      <c r="O6530">
        <v>261.45</v>
      </c>
      <c r="R6530" t="str">
        <f t="shared" si="2990"/>
        <v>RECEITAS COM ENTREGAS (303)</v>
      </c>
      <c r="S6530">
        <v>2857</v>
      </c>
      <c r="T6530">
        <v>2388</v>
      </c>
      <c r="U6530" t="s">
        <v>19</v>
      </c>
    </row>
    <row r="6531" spans="1:21">
      <c r="A6531" t="str">
        <f t="shared" si="2994"/>
        <v>30/10/2025</v>
      </c>
      <c r="B6531" t="str">
        <f t="shared" si="2991"/>
        <v>ENTRADA</v>
      </c>
      <c r="C6531" t="str">
        <f t="shared" si="2988"/>
        <v>NFSE</v>
      </c>
      <c r="D6531" t="str">
        <f>"3702"</f>
        <v>3702</v>
      </c>
      <c r="E6531" t="str">
        <f t="shared" si="2987"/>
        <v>COM</v>
      </c>
      <c r="F6531" t="str">
        <f>"LBL FARMACIA LTDA FILIAL (10192)"</f>
        <v>LBL FARMACIA LTDA FILIAL (10192)</v>
      </c>
      <c r="G6531" t="str">
        <f>"Serv.Prest. 20/10/2025 a 26/10/2025 - RPS: 1466 - NFSe: 3702"</f>
        <v>Serv.Prest. 20/10/2025 a 26/10/2025 - RPS: 1466 - NFSe: 3702</v>
      </c>
      <c r="H6531" t="str">
        <f t="shared" si="2993"/>
        <v>29/10/2025</v>
      </c>
      <c r="I6531" t="str">
        <f t="shared" si="2998"/>
        <v>28/10/2025</v>
      </c>
      <c r="J6531" t="str">
        <f t="shared" si="2996"/>
        <v>30/10/2025</v>
      </c>
      <c r="M6531">
        <v>303</v>
      </c>
      <c r="N6531" t="str">
        <f t="shared" si="2989"/>
        <v>RECEITAS COM ENTREGAS</v>
      </c>
      <c r="P6531">
        <v>261.45</v>
      </c>
      <c r="Q6531" t="str">
        <f>"LBL FARMACIA LTDA FILIAL (10192)"</f>
        <v>LBL FARMACIA LTDA FILIAL (10192)</v>
      </c>
      <c r="R6531" t="str">
        <f t="shared" si="2990"/>
        <v>RECEITAS COM ENTREGAS (303)</v>
      </c>
      <c r="S6531">
        <v>2857</v>
      </c>
      <c r="T6531">
        <v>2388</v>
      </c>
      <c r="U6531" t="s">
        <v>19</v>
      </c>
    </row>
    <row r="6532" spans="1:21">
      <c r="A6532" t="str">
        <f t="shared" si="2994"/>
        <v>30/10/2025</v>
      </c>
      <c r="B6532" t="str">
        <f t="shared" si="2991"/>
        <v>ENTRADA</v>
      </c>
      <c r="C6532" t="str">
        <f t="shared" si="2988"/>
        <v>NFSE</v>
      </c>
      <c r="D6532" t="str">
        <f>"3703"</f>
        <v>3703</v>
      </c>
      <c r="E6532" t="str">
        <f t="shared" si="2987"/>
        <v>COM</v>
      </c>
      <c r="F6532" t="str">
        <f>"LBL FARMACIA LTDA (10189)"</f>
        <v>LBL FARMACIA LTDA (10189)</v>
      </c>
      <c r="G6532" t="str">
        <f>"Serv.Prest. 20/10/2025 a 26/10/2025 - RPS: 1467 - NFSe: 3703"</f>
        <v>Serv.Prest. 20/10/2025 a 26/10/2025 - RPS: 1467 - NFSe: 3703</v>
      </c>
      <c r="H6532" t="str">
        <f t="shared" si="2993"/>
        <v>29/10/2025</v>
      </c>
      <c r="I6532" t="str">
        <f t="shared" si="2998"/>
        <v>28/10/2025</v>
      </c>
      <c r="J6532" t="str">
        <f t="shared" si="2996"/>
        <v>30/10/2025</v>
      </c>
      <c r="K6532">
        <v>97.65</v>
      </c>
      <c r="L6532">
        <v>97.65</v>
      </c>
      <c r="M6532">
        <v>303</v>
      </c>
      <c r="N6532" t="str">
        <f t="shared" si="2989"/>
        <v>RECEITAS COM ENTREGAS</v>
      </c>
      <c r="O6532">
        <v>97.65</v>
      </c>
      <c r="R6532" t="str">
        <f t="shared" si="2990"/>
        <v>RECEITAS COM ENTREGAS (303)</v>
      </c>
      <c r="S6532">
        <v>2858</v>
      </c>
      <c r="T6532">
        <v>2389</v>
      </c>
      <c r="U6532" t="s">
        <v>19</v>
      </c>
    </row>
    <row r="6533" spans="1:21">
      <c r="A6533" t="str">
        <f t="shared" si="2994"/>
        <v>30/10/2025</v>
      </c>
      <c r="B6533" t="str">
        <f t="shared" si="2991"/>
        <v>ENTRADA</v>
      </c>
      <c r="C6533" t="str">
        <f t="shared" si="2988"/>
        <v>NFSE</v>
      </c>
      <c r="D6533" t="str">
        <f>"3703"</f>
        <v>3703</v>
      </c>
      <c r="E6533" t="str">
        <f t="shared" si="2987"/>
        <v>COM</v>
      </c>
      <c r="F6533" t="str">
        <f>"LBL FARMACIA LTDA (10189)"</f>
        <v>LBL FARMACIA LTDA (10189)</v>
      </c>
      <c r="G6533" t="str">
        <f>"Serv.Prest. 20/10/2025 a 26/10/2025 - RPS: 1467 - NFSe: 3703"</f>
        <v>Serv.Prest. 20/10/2025 a 26/10/2025 - RPS: 1467 - NFSe: 3703</v>
      </c>
      <c r="H6533" t="str">
        <f t="shared" si="2993"/>
        <v>29/10/2025</v>
      </c>
      <c r="I6533" t="str">
        <f t="shared" si="2998"/>
        <v>28/10/2025</v>
      </c>
      <c r="J6533" t="str">
        <f t="shared" si="2996"/>
        <v>30/10/2025</v>
      </c>
      <c r="M6533">
        <v>303</v>
      </c>
      <c r="N6533" t="str">
        <f t="shared" si="2989"/>
        <v>RECEITAS COM ENTREGAS</v>
      </c>
      <c r="P6533">
        <v>97.65</v>
      </c>
      <c r="Q6533" t="str">
        <f>"LBL FARMACIA LTDA (10189)"</f>
        <v>LBL FARMACIA LTDA (10189)</v>
      </c>
      <c r="R6533" t="str">
        <f t="shared" si="2990"/>
        <v>RECEITAS COM ENTREGAS (303)</v>
      </c>
      <c r="S6533">
        <v>2858</v>
      </c>
      <c r="T6533">
        <v>2389</v>
      </c>
      <c r="U6533" t="s">
        <v>19</v>
      </c>
    </row>
    <row r="6534" spans="1:21">
      <c r="A6534" t="str">
        <f t="shared" si="2994"/>
        <v>30/10/2025</v>
      </c>
      <c r="B6534" t="str">
        <f t="shared" si="2991"/>
        <v>ENTRADA</v>
      </c>
      <c r="C6534" t="str">
        <f t="shared" si="2988"/>
        <v>NFSE</v>
      </c>
      <c r="D6534" t="str">
        <f>"3695"</f>
        <v>3695</v>
      </c>
      <c r="E6534" t="str">
        <f t="shared" si="2987"/>
        <v>COM</v>
      </c>
      <c r="F6534" t="str">
        <f>"DROGARIA TOTAL JUNDIAI (10177)"</f>
        <v>DROGARIA TOTAL JUNDIAI (10177)</v>
      </c>
      <c r="G6534" t="str">
        <f>"Serv.Prest. 20/10/2025 a 26/10/2025 - RPS: 1459 - NFSe: 3695"</f>
        <v>Serv.Prest. 20/10/2025 a 26/10/2025 - RPS: 1459 - NFSe: 3695</v>
      </c>
      <c r="H6534" t="str">
        <f t="shared" si="2993"/>
        <v>29/10/2025</v>
      </c>
      <c r="I6534" t="str">
        <f t="shared" ref="I6534:I6546" si="2999">("27/10/2025")</f>
        <v>27/10/2025</v>
      </c>
      <c r="J6534" t="str">
        <f t="shared" si="2996"/>
        <v>30/10/2025</v>
      </c>
      <c r="K6534">
        <v>100.27</v>
      </c>
      <c r="L6534">
        <v>100.27</v>
      </c>
      <c r="M6534">
        <v>303</v>
      </c>
      <c r="N6534" t="str">
        <f t="shared" si="2989"/>
        <v>RECEITAS COM ENTREGAS</v>
      </c>
      <c r="O6534">
        <v>100.27</v>
      </c>
      <c r="R6534" t="str">
        <f t="shared" si="2990"/>
        <v>RECEITAS COM ENTREGAS (303)</v>
      </c>
      <c r="S6534">
        <v>2859</v>
      </c>
      <c r="T6534">
        <v>2381</v>
      </c>
      <c r="U6534" t="s">
        <v>19</v>
      </c>
    </row>
    <row r="6535" spans="1:21">
      <c r="A6535" t="str">
        <f t="shared" si="2994"/>
        <v>30/10/2025</v>
      </c>
      <c r="B6535" t="str">
        <f t="shared" si="2991"/>
        <v>ENTRADA</v>
      </c>
      <c r="C6535" t="str">
        <f t="shared" ref="C6535:C6546" si="3000">"NFSE"</f>
        <v>NFSE</v>
      </c>
      <c r="D6535" t="str">
        <f>"3695"</f>
        <v>3695</v>
      </c>
      <c r="E6535" t="str">
        <f t="shared" si="2987"/>
        <v>COM</v>
      </c>
      <c r="F6535" t="str">
        <f>"DROGARIA TOTAL JUNDIAI (10177)"</f>
        <v>DROGARIA TOTAL JUNDIAI (10177)</v>
      </c>
      <c r="G6535" t="str">
        <f>"Serv.Prest. 20/10/2025 a 26/10/2025 - RPS: 1459 - NFSe: 3695"</f>
        <v>Serv.Prest. 20/10/2025 a 26/10/2025 - RPS: 1459 - NFSe: 3695</v>
      </c>
      <c r="H6535" t="str">
        <f t="shared" si="2993"/>
        <v>29/10/2025</v>
      </c>
      <c r="I6535" t="str">
        <f t="shared" si="2999"/>
        <v>27/10/2025</v>
      </c>
      <c r="J6535" t="str">
        <f t="shared" si="2996"/>
        <v>30/10/2025</v>
      </c>
      <c r="M6535">
        <v>303</v>
      </c>
      <c r="N6535" t="str">
        <f t="shared" ref="N6535:N6546" si="3001">"RECEITAS COM ENTREGAS"</f>
        <v>RECEITAS COM ENTREGAS</v>
      </c>
      <c r="P6535">
        <v>100.27</v>
      </c>
      <c r="Q6535" t="str">
        <f>"DROGARIA TOTAL JUNDIAI (10177)"</f>
        <v>DROGARIA TOTAL JUNDIAI (10177)</v>
      </c>
      <c r="R6535" t="str">
        <f t="shared" ref="R6535:R6546" si="3002">"RECEITAS COM ENTREGAS (303)"</f>
        <v>RECEITAS COM ENTREGAS (303)</v>
      </c>
      <c r="S6535">
        <v>2859</v>
      </c>
      <c r="T6535">
        <v>2381</v>
      </c>
      <c r="U6535" t="s">
        <v>19</v>
      </c>
    </row>
    <row r="6536" spans="1:21">
      <c r="A6536" t="str">
        <f t="shared" si="2994"/>
        <v>30/10/2025</v>
      </c>
      <c r="B6536" t="str">
        <f t="shared" si="2991"/>
        <v>ENTRADA</v>
      </c>
      <c r="C6536" t="str">
        <f t="shared" si="3000"/>
        <v>NFSE</v>
      </c>
      <c r="D6536" t="str">
        <f>"3690"</f>
        <v>3690</v>
      </c>
      <c r="E6536" t="str">
        <f t="shared" si="2987"/>
        <v>COM</v>
      </c>
      <c r="F6536" t="str">
        <f>"PENSE FARMA 07 (10201)"</f>
        <v>PENSE FARMA 07 (10201)</v>
      </c>
      <c r="G6536" t="str">
        <f>"Serv.Prest. 20/10/2025 a 26/10/2025 - RPS: 1454 - NFSe: 3690"</f>
        <v>Serv.Prest. 20/10/2025 a 26/10/2025 - RPS: 1454 - NFSe: 3690</v>
      </c>
      <c r="H6536" t="str">
        <f t="shared" ref="H6536:H6552" si="3003">("30/10/2025")</f>
        <v>30/10/2025</v>
      </c>
      <c r="I6536" t="str">
        <f t="shared" si="2999"/>
        <v>27/10/2025</v>
      </c>
      <c r="J6536" t="str">
        <f t="shared" si="2996"/>
        <v>30/10/2025</v>
      </c>
      <c r="K6536">
        <v>267.75</v>
      </c>
      <c r="L6536">
        <v>267.75</v>
      </c>
      <c r="M6536">
        <v>303</v>
      </c>
      <c r="N6536" t="str">
        <f t="shared" si="3001"/>
        <v>RECEITAS COM ENTREGAS</v>
      </c>
      <c r="O6536">
        <v>267.75</v>
      </c>
      <c r="R6536" t="str">
        <f t="shared" si="3002"/>
        <v>RECEITAS COM ENTREGAS (303)</v>
      </c>
      <c r="S6536">
        <v>2939</v>
      </c>
      <c r="T6536">
        <v>2376</v>
      </c>
      <c r="U6536" t="s">
        <v>19</v>
      </c>
    </row>
    <row r="6537" spans="1:21">
      <c r="A6537" t="str">
        <f t="shared" si="2994"/>
        <v>30/10/2025</v>
      </c>
      <c r="B6537" t="str">
        <f t="shared" si="2991"/>
        <v>ENTRADA</v>
      </c>
      <c r="C6537" t="str">
        <f t="shared" si="3000"/>
        <v>NFSE</v>
      </c>
      <c r="D6537" t="str">
        <f>"3690"</f>
        <v>3690</v>
      </c>
      <c r="E6537" t="str">
        <f t="shared" si="2987"/>
        <v>COM</v>
      </c>
      <c r="F6537" t="str">
        <f>"PENSE FARMA 07 (10201)"</f>
        <v>PENSE FARMA 07 (10201)</v>
      </c>
      <c r="G6537" t="str">
        <f>"Serv.Prest. 20/10/2025 a 26/10/2025 - RPS: 1454 - NFSe: 3690"</f>
        <v>Serv.Prest. 20/10/2025 a 26/10/2025 - RPS: 1454 - NFSe: 3690</v>
      </c>
      <c r="H6537" t="str">
        <f t="shared" si="3003"/>
        <v>30/10/2025</v>
      </c>
      <c r="I6537" t="str">
        <f t="shared" si="2999"/>
        <v>27/10/2025</v>
      </c>
      <c r="J6537" t="str">
        <f t="shared" si="2996"/>
        <v>30/10/2025</v>
      </c>
      <c r="M6537">
        <v>303</v>
      </c>
      <c r="N6537" t="str">
        <f t="shared" si="3001"/>
        <v>RECEITAS COM ENTREGAS</v>
      </c>
      <c r="P6537">
        <v>89.24</v>
      </c>
      <c r="Q6537" t="str">
        <f>"PENSE FARMA 07 (10201)"</f>
        <v>PENSE FARMA 07 (10201)</v>
      </c>
      <c r="R6537" t="str">
        <f t="shared" si="3002"/>
        <v>RECEITAS COM ENTREGAS (303)</v>
      </c>
      <c r="S6537">
        <v>2939</v>
      </c>
      <c r="T6537">
        <v>2376</v>
      </c>
      <c r="U6537" t="s">
        <v>19</v>
      </c>
    </row>
    <row r="6538" spans="1:21">
      <c r="A6538" t="str">
        <f t="shared" si="2994"/>
        <v>30/10/2025</v>
      </c>
      <c r="B6538" t="str">
        <f t="shared" si="2991"/>
        <v>ENTRADA</v>
      </c>
      <c r="C6538" t="str">
        <f t="shared" si="3000"/>
        <v>NFSE</v>
      </c>
      <c r="D6538" t="str">
        <f>"3690"</f>
        <v>3690</v>
      </c>
      <c r="E6538" t="str">
        <f t="shared" si="2987"/>
        <v>COM</v>
      </c>
      <c r="F6538" t="str">
        <f>"PENSE FARMA 07 (10201)"</f>
        <v>PENSE FARMA 07 (10201)</v>
      </c>
      <c r="G6538" t="str">
        <f>"Serv.Prest. 20/10/2025 a 26/10/2025 - RPS: 1454 - NFSe: 3690"</f>
        <v>Serv.Prest. 20/10/2025 a 26/10/2025 - RPS: 1454 - NFSe: 3690</v>
      </c>
      <c r="H6538" t="str">
        <f t="shared" si="3003"/>
        <v>30/10/2025</v>
      </c>
      <c r="I6538" t="str">
        <f t="shared" si="2999"/>
        <v>27/10/2025</v>
      </c>
      <c r="J6538" t="str">
        <f t="shared" si="2996"/>
        <v>30/10/2025</v>
      </c>
      <c r="M6538">
        <v>303</v>
      </c>
      <c r="N6538" t="str">
        <f t="shared" si="3001"/>
        <v>RECEITAS COM ENTREGAS</v>
      </c>
      <c r="P6538">
        <v>89.24</v>
      </c>
      <c r="Q6538" t="str">
        <f>"PENSE FARMA 45 (10209)"</f>
        <v>PENSE FARMA 45 (10209)</v>
      </c>
      <c r="R6538" t="str">
        <f t="shared" si="3002"/>
        <v>RECEITAS COM ENTREGAS (303)</v>
      </c>
      <c r="S6538">
        <v>2939</v>
      </c>
      <c r="T6538">
        <v>2376</v>
      </c>
      <c r="U6538" t="s">
        <v>19</v>
      </c>
    </row>
    <row r="6539" spans="1:21">
      <c r="A6539" t="str">
        <f t="shared" si="2994"/>
        <v>30/10/2025</v>
      </c>
      <c r="B6539" t="str">
        <f t="shared" si="2991"/>
        <v>ENTRADA</v>
      </c>
      <c r="C6539" t="str">
        <f t="shared" si="3000"/>
        <v>NFSE</v>
      </c>
      <c r="D6539" t="str">
        <f>"3690"</f>
        <v>3690</v>
      </c>
      <c r="E6539" t="str">
        <f t="shared" si="2987"/>
        <v>COM</v>
      </c>
      <c r="F6539" t="str">
        <f>"PENSE FARMA 07 (10201)"</f>
        <v>PENSE FARMA 07 (10201)</v>
      </c>
      <c r="G6539" t="str">
        <f>"Serv.Prest. 20/10/2025 a 26/10/2025 - RPS: 1454 - NFSe: 3690"</f>
        <v>Serv.Prest. 20/10/2025 a 26/10/2025 - RPS: 1454 - NFSe: 3690</v>
      </c>
      <c r="H6539" t="str">
        <f t="shared" si="3003"/>
        <v>30/10/2025</v>
      </c>
      <c r="I6539" t="str">
        <f t="shared" si="2999"/>
        <v>27/10/2025</v>
      </c>
      <c r="J6539" t="str">
        <f t="shared" si="2996"/>
        <v>30/10/2025</v>
      </c>
      <c r="M6539">
        <v>303</v>
      </c>
      <c r="N6539" t="str">
        <f t="shared" si="3001"/>
        <v>RECEITAS COM ENTREGAS</v>
      </c>
      <c r="P6539">
        <v>89.27</v>
      </c>
      <c r="Q6539" t="str">
        <f>"PENSE FARMA 50 (10210)"</f>
        <v>PENSE FARMA 50 (10210)</v>
      </c>
      <c r="R6539" t="str">
        <f t="shared" si="3002"/>
        <v>RECEITAS COM ENTREGAS (303)</v>
      </c>
      <c r="S6539">
        <v>2939</v>
      </c>
      <c r="T6539">
        <v>2376</v>
      </c>
      <c r="U6539" t="s">
        <v>19</v>
      </c>
    </row>
    <row r="6540" spans="1:21">
      <c r="A6540" t="str">
        <f t="shared" si="2994"/>
        <v>30/10/2025</v>
      </c>
      <c r="B6540" t="str">
        <f t="shared" si="2991"/>
        <v>ENTRADA</v>
      </c>
      <c r="C6540" t="str">
        <f t="shared" si="3000"/>
        <v>NFSE</v>
      </c>
      <c r="D6540" t="str">
        <f>"3689"</f>
        <v>3689</v>
      </c>
      <c r="E6540" t="str">
        <f t="shared" si="2987"/>
        <v>COM</v>
      </c>
      <c r="F6540" t="str">
        <f>"PENSE FARMA 15 (10195)"</f>
        <v>PENSE FARMA 15 (10195)</v>
      </c>
      <c r="G6540" t="str">
        <f>"Serv.Prest. 20/10/2025 a 26/10/2025 - RPS: 1453 - NFSe: 3689"</f>
        <v>Serv.Prest. 20/10/2025 a 26/10/2025 - RPS: 1453 - NFSe: 3689</v>
      </c>
      <c r="H6540" t="str">
        <f t="shared" si="3003"/>
        <v>30/10/2025</v>
      </c>
      <c r="I6540" t="str">
        <f t="shared" si="2999"/>
        <v>27/10/2025</v>
      </c>
      <c r="J6540" t="str">
        <f t="shared" si="2996"/>
        <v>30/10/2025</v>
      </c>
      <c r="K6540">
        <v>412.5</v>
      </c>
      <c r="L6540">
        <v>412.5</v>
      </c>
      <c r="M6540">
        <v>303</v>
      </c>
      <c r="N6540" t="str">
        <f t="shared" si="3001"/>
        <v>RECEITAS COM ENTREGAS</v>
      </c>
      <c r="O6540">
        <v>412.5</v>
      </c>
      <c r="R6540" t="str">
        <f t="shared" si="3002"/>
        <v>RECEITAS COM ENTREGAS (303)</v>
      </c>
      <c r="S6540">
        <v>2940</v>
      </c>
      <c r="T6540">
        <v>2375</v>
      </c>
      <c r="U6540" t="s">
        <v>19</v>
      </c>
    </row>
    <row r="6541" spans="1:21">
      <c r="A6541" t="str">
        <f t="shared" si="2994"/>
        <v>30/10/2025</v>
      </c>
      <c r="B6541" t="str">
        <f t="shared" si="2991"/>
        <v>ENTRADA</v>
      </c>
      <c r="C6541" t="str">
        <f t="shared" si="3000"/>
        <v>NFSE</v>
      </c>
      <c r="D6541" t="str">
        <f>"3689"</f>
        <v>3689</v>
      </c>
      <c r="E6541" t="str">
        <f t="shared" si="2987"/>
        <v>COM</v>
      </c>
      <c r="F6541" t="str">
        <f>"PENSE FARMA 15 (10195)"</f>
        <v>PENSE FARMA 15 (10195)</v>
      </c>
      <c r="G6541" t="str">
        <f>"Serv.Prest. 20/10/2025 a 26/10/2025 - RPS: 1453 - NFSe: 3689"</f>
        <v>Serv.Prest. 20/10/2025 a 26/10/2025 - RPS: 1453 - NFSe: 3689</v>
      </c>
      <c r="H6541" t="str">
        <f t="shared" si="3003"/>
        <v>30/10/2025</v>
      </c>
      <c r="I6541" t="str">
        <f t="shared" si="2999"/>
        <v>27/10/2025</v>
      </c>
      <c r="J6541" t="str">
        <f t="shared" si="2996"/>
        <v>30/10/2025</v>
      </c>
      <c r="M6541">
        <v>303</v>
      </c>
      <c r="N6541" t="str">
        <f t="shared" si="3001"/>
        <v>RECEITAS COM ENTREGAS</v>
      </c>
      <c r="P6541">
        <v>112.49</v>
      </c>
      <c r="Q6541" t="str">
        <f>"PENSE FARMA 15 (10195)"</f>
        <v>PENSE FARMA 15 (10195)</v>
      </c>
      <c r="R6541" t="str">
        <f t="shared" si="3002"/>
        <v>RECEITAS COM ENTREGAS (303)</v>
      </c>
      <c r="S6541">
        <v>2940</v>
      </c>
      <c r="T6541">
        <v>2375</v>
      </c>
      <c r="U6541" t="s">
        <v>19</v>
      </c>
    </row>
    <row r="6542" spans="1:21">
      <c r="A6542" t="str">
        <f t="shared" si="2994"/>
        <v>30/10/2025</v>
      </c>
      <c r="B6542" t="str">
        <f t="shared" si="2991"/>
        <v>ENTRADA</v>
      </c>
      <c r="C6542" t="str">
        <f t="shared" si="3000"/>
        <v>NFSE</v>
      </c>
      <c r="D6542" t="str">
        <f>"3689"</f>
        <v>3689</v>
      </c>
      <c r="E6542" t="str">
        <f t="shared" si="2987"/>
        <v>COM</v>
      </c>
      <c r="F6542" t="str">
        <f>"PENSE FARMA 15 (10195)"</f>
        <v>PENSE FARMA 15 (10195)</v>
      </c>
      <c r="G6542" t="str">
        <f>"Serv.Prest. 20/10/2025 a 26/10/2025 - RPS: 1453 - NFSe: 3689"</f>
        <v>Serv.Prest. 20/10/2025 a 26/10/2025 - RPS: 1453 - NFSe: 3689</v>
      </c>
      <c r="H6542" t="str">
        <f t="shared" si="3003"/>
        <v>30/10/2025</v>
      </c>
      <c r="I6542" t="str">
        <f t="shared" si="2999"/>
        <v>27/10/2025</v>
      </c>
      <c r="J6542" t="str">
        <f t="shared" si="2996"/>
        <v>30/10/2025</v>
      </c>
      <c r="M6542">
        <v>303</v>
      </c>
      <c r="N6542" t="str">
        <f t="shared" si="3001"/>
        <v>RECEITAS COM ENTREGAS</v>
      </c>
      <c r="P6542">
        <v>112.49</v>
      </c>
      <c r="Q6542" t="str">
        <f>"PENSE FARMA 26 (10196)"</f>
        <v>PENSE FARMA 26 (10196)</v>
      </c>
      <c r="R6542" t="str">
        <f t="shared" si="3002"/>
        <v>RECEITAS COM ENTREGAS (303)</v>
      </c>
      <c r="S6542">
        <v>2940</v>
      </c>
      <c r="T6542">
        <v>2375</v>
      </c>
      <c r="U6542" t="s">
        <v>19</v>
      </c>
    </row>
    <row r="6543" spans="1:21">
      <c r="A6543" t="str">
        <f t="shared" si="2994"/>
        <v>30/10/2025</v>
      </c>
      <c r="B6543" t="str">
        <f t="shared" si="2991"/>
        <v>ENTRADA</v>
      </c>
      <c r="C6543" t="str">
        <f t="shared" si="3000"/>
        <v>NFSE</v>
      </c>
      <c r="D6543" t="str">
        <f>"3689"</f>
        <v>3689</v>
      </c>
      <c r="E6543" t="str">
        <f t="shared" si="2987"/>
        <v>COM</v>
      </c>
      <c r="F6543" t="str">
        <f>"PENSE FARMA 15 (10195)"</f>
        <v>PENSE FARMA 15 (10195)</v>
      </c>
      <c r="G6543" t="str">
        <f>"Serv.Prest. 20/10/2025 a 26/10/2025 - RPS: 1453 - NFSe: 3689"</f>
        <v>Serv.Prest. 20/10/2025 a 26/10/2025 - RPS: 1453 - NFSe: 3689</v>
      </c>
      <c r="H6543" t="str">
        <f t="shared" si="3003"/>
        <v>30/10/2025</v>
      </c>
      <c r="I6543" t="str">
        <f t="shared" si="2999"/>
        <v>27/10/2025</v>
      </c>
      <c r="J6543" t="str">
        <f t="shared" si="2996"/>
        <v>30/10/2025</v>
      </c>
      <c r="M6543">
        <v>303</v>
      </c>
      <c r="N6543" t="str">
        <f t="shared" si="3001"/>
        <v>RECEITAS COM ENTREGAS</v>
      </c>
      <c r="P6543">
        <v>112.49</v>
      </c>
      <c r="Q6543" t="str">
        <f>"PENSE FARMA 60 (10197)"</f>
        <v>PENSE FARMA 60 (10197)</v>
      </c>
      <c r="R6543" t="str">
        <f t="shared" si="3002"/>
        <v>RECEITAS COM ENTREGAS (303)</v>
      </c>
      <c r="S6543">
        <v>2940</v>
      </c>
      <c r="T6543">
        <v>2375</v>
      </c>
      <c r="U6543" t="s">
        <v>19</v>
      </c>
    </row>
    <row r="6544" spans="1:21">
      <c r="A6544" t="str">
        <f t="shared" si="2994"/>
        <v>30/10/2025</v>
      </c>
      <c r="B6544" t="str">
        <f t="shared" si="2991"/>
        <v>ENTRADA</v>
      </c>
      <c r="C6544" t="str">
        <f t="shared" si="3000"/>
        <v>NFSE</v>
      </c>
      <c r="D6544" t="str">
        <f>"3689"</f>
        <v>3689</v>
      </c>
      <c r="E6544" t="str">
        <f t="shared" si="2987"/>
        <v>COM</v>
      </c>
      <c r="F6544" t="str">
        <f>"PENSE FARMA 15 (10195)"</f>
        <v>PENSE FARMA 15 (10195)</v>
      </c>
      <c r="G6544" t="str">
        <f>"Serv.Prest. 20/10/2025 a 26/10/2025 - RPS: 1453 - NFSe: 3689"</f>
        <v>Serv.Prest. 20/10/2025 a 26/10/2025 - RPS: 1453 - NFSe: 3689</v>
      </c>
      <c r="H6544" t="str">
        <f t="shared" si="3003"/>
        <v>30/10/2025</v>
      </c>
      <c r="I6544" t="str">
        <f t="shared" si="2999"/>
        <v>27/10/2025</v>
      </c>
      <c r="J6544" t="str">
        <f t="shared" si="2996"/>
        <v>30/10/2025</v>
      </c>
      <c r="M6544">
        <v>303</v>
      </c>
      <c r="N6544" t="str">
        <f t="shared" si="3001"/>
        <v>RECEITAS COM ENTREGAS</v>
      </c>
      <c r="P6544">
        <v>75.03</v>
      </c>
      <c r="Q6544" t="str">
        <f>"PENSE FARMA 61 (10243)"</f>
        <v>PENSE FARMA 61 (10243)</v>
      </c>
      <c r="R6544" t="str">
        <f t="shared" si="3002"/>
        <v>RECEITAS COM ENTREGAS (303)</v>
      </c>
      <c r="S6544">
        <v>2940</v>
      </c>
      <c r="T6544">
        <v>2375</v>
      </c>
      <c r="U6544" t="s">
        <v>19</v>
      </c>
    </row>
    <row r="6545" spans="1:21">
      <c r="A6545" t="str">
        <f t="shared" si="2994"/>
        <v>30/10/2025</v>
      </c>
      <c r="B6545" t="str">
        <f t="shared" si="2991"/>
        <v>ENTRADA</v>
      </c>
      <c r="C6545" t="str">
        <f t="shared" si="3000"/>
        <v>NFSE</v>
      </c>
      <c r="D6545" t="str">
        <f>"3688"</f>
        <v>3688</v>
      </c>
      <c r="E6545" t="str">
        <f t="shared" si="2987"/>
        <v>COM</v>
      </c>
      <c r="F6545" t="str">
        <f>"PENSE FARMA 22 (10198)"</f>
        <v>PENSE FARMA 22 (10198)</v>
      </c>
      <c r="G6545" t="str">
        <f>"Serv.Prest. 20/10/2025 a 26/10/2025 - RPS: 1452 - NFSe: 3688"</f>
        <v>Serv.Prest. 20/10/2025 a 26/10/2025 - RPS: 1452 - NFSe: 3688</v>
      </c>
      <c r="H6545" t="str">
        <f t="shared" si="3003"/>
        <v>30/10/2025</v>
      </c>
      <c r="I6545" t="str">
        <f t="shared" si="2999"/>
        <v>27/10/2025</v>
      </c>
      <c r="J6545" t="str">
        <f t="shared" si="2996"/>
        <v>30/10/2025</v>
      </c>
      <c r="K6545">
        <v>450</v>
      </c>
      <c r="L6545">
        <v>450</v>
      </c>
      <c r="M6545">
        <v>303</v>
      </c>
      <c r="N6545" t="str">
        <f t="shared" si="3001"/>
        <v>RECEITAS COM ENTREGAS</v>
      </c>
      <c r="O6545">
        <v>450</v>
      </c>
      <c r="R6545" t="str">
        <f t="shared" si="3002"/>
        <v>RECEITAS COM ENTREGAS (303)</v>
      </c>
      <c r="S6545">
        <v>2941</v>
      </c>
      <c r="T6545">
        <v>2374</v>
      </c>
      <c r="U6545" t="s">
        <v>19</v>
      </c>
    </row>
    <row r="6546" spans="1:21">
      <c r="A6546" t="str">
        <f t="shared" si="2994"/>
        <v>30/10/2025</v>
      </c>
      <c r="B6546" t="str">
        <f t="shared" si="2991"/>
        <v>ENTRADA</v>
      </c>
      <c r="C6546" t="str">
        <f t="shared" si="3000"/>
        <v>NFSE</v>
      </c>
      <c r="D6546" t="str">
        <f>"3688"</f>
        <v>3688</v>
      </c>
      <c r="E6546" t="str">
        <f t="shared" si="2987"/>
        <v>COM</v>
      </c>
      <c r="F6546" t="str">
        <f>"PENSE FARMA 22 (10198)"</f>
        <v>PENSE FARMA 22 (10198)</v>
      </c>
      <c r="G6546" t="str">
        <f>"Serv.Prest. 20/10/2025 a 26/10/2025 - RPS: 1452 - NFSe: 3688"</f>
        <v>Serv.Prest. 20/10/2025 a 26/10/2025 - RPS: 1452 - NFSe: 3688</v>
      </c>
      <c r="H6546" t="str">
        <f t="shared" si="3003"/>
        <v>30/10/2025</v>
      </c>
      <c r="I6546" t="str">
        <f t="shared" si="2999"/>
        <v>27/10/2025</v>
      </c>
      <c r="J6546" t="str">
        <f t="shared" si="2996"/>
        <v>30/10/2025</v>
      </c>
      <c r="M6546">
        <v>303</v>
      </c>
      <c r="N6546" t="str">
        <f t="shared" si="3001"/>
        <v>RECEITAS COM ENTREGAS</v>
      </c>
      <c r="P6546">
        <v>450</v>
      </c>
      <c r="Q6546" t="str">
        <f>"PENSE FARMA 22 (10198)"</f>
        <v>PENSE FARMA 22 (10198)</v>
      </c>
      <c r="R6546" t="str">
        <f t="shared" si="3002"/>
        <v>RECEITAS COM ENTREGAS (303)</v>
      </c>
      <c r="S6546">
        <v>2941</v>
      </c>
      <c r="T6546">
        <v>2374</v>
      </c>
      <c r="U6546" t="s">
        <v>19</v>
      </c>
    </row>
    <row r="6547" spans="1:21">
      <c r="A6547" t="str">
        <f t="shared" si="2994"/>
        <v>30/10/2025</v>
      </c>
      <c r="B6547" t="str">
        <f t="shared" ref="B6547:B6554" si="3004">"SAÍDA"</f>
        <v>SAÍDA</v>
      </c>
      <c r="C6547" t="str">
        <f>"BOLETO"</f>
        <v>BOLETO</v>
      </c>
      <c r="D6547" t="str">
        <f>"326806"</f>
        <v>326806</v>
      </c>
      <c r="E6547" t="str">
        <f t="shared" si="2987"/>
        <v>COM</v>
      </c>
      <c r="F6547" t="str">
        <f>"SOLIDES TECNOLOGIA SA (20114)"</f>
        <v>SOLIDES TECNOLOGIA SA (20114)</v>
      </c>
      <c r="G6547" t="str">
        <f>"IMPLANTACAO PLANO PROFILER GESTAO - RECRUITER (ATRACAO DE TALENTOS)"</f>
        <v>IMPLANTACAO PLANO PROFILER GESTAO - RECRUITER (ATRACAO DE TALENTOS)</v>
      </c>
      <c r="H6547" t="str">
        <f t="shared" si="3003"/>
        <v>30/10/2025</v>
      </c>
      <c r="I6547" t="str">
        <f>("03/10/2025")</f>
        <v>03/10/2025</v>
      </c>
      <c r="J6547" t="str">
        <f t="shared" si="2996"/>
        <v>30/10/2025</v>
      </c>
      <c r="K6547">
        <v>100</v>
      </c>
      <c r="L6547">
        <v>100</v>
      </c>
      <c r="M6547">
        <v>104</v>
      </c>
      <c r="N6547" t="str">
        <f>"SOFTWARE / LICENÇAS"</f>
        <v>SOFTWARE / LICENÇAS</v>
      </c>
      <c r="O6547">
        <v>100</v>
      </c>
      <c r="R6547" t="str">
        <f t="shared" ref="R6547:R6554" si="3005">"BANCO CORA (102)"</f>
        <v>BANCO CORA (102)</v>
      </c>
      <c r="S6547">
        <v>3182</v>
      </c>
      <c r="T6547">
        <v>2393</v>
      </c>
      <c r="U6547" t="s">
        <v>19</v>
      </c>
    </row>
    <row r="6548" spans="1:21">
      <c r="A6548" t="str">
        <f t="shared" si="2994"/>
        <v>30/10/2025</v>
      </c>
      <c r="B6548" t="str">
        <f t="shared" si="3004"/>
        <v>SAÍDA</v>
      </c>
      <c r="C6548" t="str">
        <f>"BOLETO"</f>
        <v>BOLETO</v>
      </c>
      <c r="D6548" t="str">
        <f>"326806"</f>
        <v>326806</v>
      </c>
      <c r="E6548" t="str">
        <f t="shared" si="2987"/>
        <v>COM</v>
      </c>
      <c r="F6548" t="str">
        <f>"SOLIDES TECNOLOGIA SA (20114)"</f>
        <v>SOLIDES TECNOLOGIA SA (20114)</v>
      </c>
      <c r="G6548" t="str">
        <f>"IMPLANTACAO PLANO PROFILER GESTAO - RECRUITER (ATRACAO DE TALENTOS)"</f>
        <v>IMPLANTACAO PLANO PROFILER GESTAO - RECRUITER (ATRACAO DE TALENTOS)</v>
      </c>
      <c r="H6548" t="str">
        <f t="shared" si="3003"/>
        <v>30/10/2025</v>
      </c>
      <c r="I6548" t="str">
        <f>("03/10/2025")</f>
        <v>03/10/2025</v>
      </c>
      <c r="J6548" t="str">
        <f t="shared" si="2996"/>
        <v>30/10/2025</v>
      </c>
      <c r="M6548">
        <v>104</v>
      </c>
      <c r="N6548" t="str">
        <f>"SOFTWARE / LICENÇAS"</f>
        <v>SOFTWARE / LICENÇAS</v>
      </c>
      <c r="P6548">
        <v>100</v>
      </c>
      <c r="Q6548" t="str">
        <f>"SOLIDES TECNOLOGIA SA (20114)"</f>
        <v>SOLIDES TECNOLOGIA SA (20114)</v>
      </c>
      <c r="R6548" t="str">
        <f t="shared" si="3005"/>
        <v>BANCO CORA (102)</v>
      </c>
      <c r="S6548">
        <v>3182</v>
      </c>
      <c r="T6548">
        <v>2393</v>
      </c>
      <c r="U6548" t="s">
        <v>19</v>
      </c>
    </row>
    <row r="6549" spans="1:21">
      <c r="A6549" t="str">
        <f t="shared" si="2994"/>
        <v>30/10/2025</v>
      </c>
      <c r="B6549" t="str">
        <f t="shared" si="3004"/>
        <v>SAÍDA</v>
      </c>
      <c r="C6549" t="str">
        <f>"BOLETO"</f>
        <v>BOLETO</v>
      </c>
      <c r="D6549" t="str">
        <f>"326807"</f>
        <v>326807</v>
      </c>
      <c r="E6549" t="str">
        <f t="shared" si="2987"/>
        <v>COM</v>
      </c>
      <c r="F6549" t="str">
        <f>"SOLIDES TECNOLOGIA SA (20114)"</f>
        <v>SOLIDES TECNOLOGIA SA (20114)</v>
      </c>
      <c r="G6549" t="str">
        <f>"IMPLANTACAO PLANO PROFILER GESTAO - RECRUITER (ATRACAO DE TALENTOS)"</f>
        <v>IMPLANTACAO PLANO PROFILER GESTAO - RECRUITER (ATRACAO DE TALENTOS)</v>
      </c>
      <c r="H6549" t="str">
        <f t="shared" si="3003"/>
        <v>30/10/2025</v>
      </c>
      <c r="I6549" t="str">
        <f>("03/10/2025")</f>
        <v>03/10/2025</v>
      </c>
      <c r="J6549" t="str">
        <f t="shared" si="2996"/>
        <v>30/10/2025</v>
      </c>
      <c r="K6549">
        <v>86</v>
      </c>
      <c r="L6549">
        <v>86</v>
      </c>
      <c r="M6549">
        <v>104</v>
      </c>
      <c r="N6549" t="str">
        <f>"SOFTWARE / LICENÇAS"</f>
        <v>SOFTWARE / LICENÇAS</v>
      </c>
      <c r="O6549">
        <v>86</v>
      </c>
      <c r="R6549" t="str">
        <f t="shared" si="3005"/>
        <v>BANCO CORA (102)</v>
      </c>
      <c r="S6549">
        <v>3183</v>
      </c>
      <c r="T6549">
        <v>2394</v>
      </c>
      <c r="U6549" t="s">
        <v>19</v>
      </c>
    </row>
    <row r="6550" spans="1:21">
      <c r="A6550" t="str">
        <f t="shared" si="2994"/>
        <v>30/10/2025</v>
      </c>
      <c r="B6550" t="str">
        <f t="shared" si="3004"/>
        <v>SAÍDA</v>
      </c>
      <c r="C6550" t="str">
        <f>"BOLETO"</f>
        <v>BOLETO</v>
      </c>
      <c r="D6550" t="str">
        <f>"326807"</f>
        <v>326807</v>
      </c>
      <c r="E6550" t="str">
        <f t="shared" si="2987"/>
        <v>COM</v>
      </c>
      <c r="F6550" t="str">
        <f>"SOLIDES TECNOLOGIA SA (20114)"</f>
        <v>SOLIDES TECNOLOGIA SA (20114)</v>
      </c>
      <c r="G6550" t="str">
        <f>"IMPLANTACAO PLANO PROFILER GESTAO - RECRUITER (ATRACAO DE TALENTOS)"</f>
        <v>IMPLANTACAO PLANO PROFILER GESTAO - RECRUITER (ATRACAO DE TALENTOS)</v>
      </c>
      <c r="H6550" t="str">
        <f t="shared" si="3003"/>
        <v>30/10/2025</v>
      </c>
      <c r="I6550" t="str">
        <f>("03/10/2025")</f>
        <v>03/10/2025</v>
      </c>
      <c r="J6550" t="str">
        <f t="shared" si="2996"/>
        <v>30/10/2025</v>
      </c>
      <c r="M6550">
        <v>104</v>
      </c>
      <c r="N6550" t="str">
        <f>"SOFTWARE / LICENÇAS"</f>
        <v>SOFTWARE / LICENÇAS</v>
      </c>
      <c r="P6550">
        <v>86</v>
      </c>
      <c r="Q6550" t="str">
        <f>"SOLIDES TECNOLOGIA SA (20114)"</f>
        <v>SOLIDES TECNOLOGIA SA (20114)</v>
      </c>
      <c r="R6550" t="str">
        <f t="shared" si="3005"/>
        <v>BANCO CORA (102)</v>
      </c>
      <c r="S6550">
        <v>3183</v>
      </c>
      <c r="T6550">
        <v>2394</v>
      </c>
      <c r="U6550" t="s">
        <v>19</v>
      </c>
    </row>
    <row r="6551" spans="1:21">
      <c r="A6551" t="str">
        <f t="shared" si="2994"/>
        <v>30/10/2025</v>
      </c>
      <c r="B6551" t="str">
        <f t="shared" si="3004"/>
        <v>SAÍDA</v>
      </c>
      <c r="C6551" t="str">
        <f>"PIX"</f>
        <v>PIX</v>
      </c>
      <c r="D6551" t="str">
        <f>"30102025"</f>
        <v>30102025</v>
      </c>
      <c r="E6551" t="str">
        <f t="shared" si="2987"/>
        <v>COM</v>
      </c>
      <c r="F6551" t="str">
        <f>"LILIANE DE FATIMA REZENDE JUSTINO (20013)"</f>
        <v>LILIANE DE FATIMA REZENDE JUSTINO (20013)</v>
      </c>
      <c r="G6551" t="str">
        <f>"DISPESAS VIAGEM ITURAMA"</f>
        <v>DISPESAS VIAGEM ITURAMA</v>
      </c>
      <c r="H6551" t="str">
        <f t="shared" si="3003"/>
        <v>30/10/2025</v>
      </c>
      <c r="I6551" t="str">
        <f>("30/10/2025")</f>
        <v>30/10/2025</v>
      </c>
      <c r="J6551" t="str">
        <f t="shared" si="2996"/>
        <v>30/10/2025</v>
      </c>
      <c r="K6551">
        <v>2000</v>
      </c>
      <c r="L6551">
        <v>2000</v>
      </c>
      <c r="M6551">
        <v>128</v>
      </c>
      <c r="N6551" t="str">
        <f>"DESPESAS COM VIAGENS"</f>
        <v>DESPESAS COM VIAGENS</v>
      </c>
      <c r="O6551">
        <v>2000</v>
      </c>
      <c r="R6551" t="str">
        <f t="shared" si="3005"/>
        <v>BANCO CORA (102)</v>
      </c>
      <c r="S6551">
        <v>3184</v>
      </c>
      <c r="T6551">
        <v>2766</v>
      </c>
      <c r="U6551" t="s">
        <v>19</v>
      </c>
    </row>
    <row r="6552" spans="1:21">
      <c r="A6552" t="str">
        <f t="shared" si="2994"/>
        <v>30/10/2025</v>
      </c>
      <c r="B6552" t="str">
        <f t="shared" si="3004"/>
        <v>SAÍDA</v>
      </c>
      <c r="C6552" t="str">
        <f>"PIX"</f>
        <v>PIX</v>
      </c>
      <c r="D6552" t="str">
        <f>"30102025"</f>
        <v>30102025</v>
      </c>
      <c r="E6552" t="str">
        <f t="shared" si="2987"/>
        <v>COM</v>
      </c>
      <c r="F6552" t="str">
        <f>"LILIANE DE FATIMA REZENDE JUSTINO (20013)"</f>
        <v>LILIANE DE FATIMA REZENDE JUSTINO (20013)</v>
      </c>
      <c r="G6552" t="str">
        <f>"DISPESAS VIAGEM ITURAMA"</f>
        <v>DISPESAS VIAGEM ITURAMA</v>
      </c>
      <c r="H6552" t="str">
        <f t="shared" si="3003"/>
        <v>30/10/2025</v>
      </c>
      <c r="I6552" t="str">
        <f>("30/10/2025")</f>
        <v>30/10/2025</v>
      </c>
      <c r="J6552" t="str">
        <f t="shared" si="2996"/>
        <v>30/10/2025</v>
      </c>
      <c r="M6552">
        <v>128</v>
      </c>
      <c r="N6552" t="str">
        <f>"DESPESAS COM VIAGENS"</f>
        <v>DESPESAS COM VIAGENS</v>
      </c>
      <c r="P6552">
        <v>2000</v>
      </c>
      <c r="Q6552" t="str">
        <f>"LILIANE DE FATIMA REZENDE JUSTINO (20013)"</f>
        <v>LILIANE DE FATIMA REZENDE JUSTINO (20013)</v>
      </c>
      <c r="R6552" t="str">
        <f t="shared" si="3005"/>
        <v>BANCO CORA (102)</v>
      </c>
      <c r="S6552">
        <v>3184</v>
      </c>
      <c r="T6552">
        <v>2766</v>
      </c>
      <c r="U6552" t="s">
        <v>19</v>
      </c>
    </row>
    <row r="6553" spans="1:21">
      <c r="A6553" t="str">
        <f t="shared" ref="A6553:A6564" si="3006">("31/10/2025")</f>
        <v>31/10/2025</v>
      </c>
      <c r="B6553" t="str">
        <f t="shared" si="3004"/>
        <v>SAÍDA</v>
      </c>
      <c r="C6553" t="str">
        <f>"BOLETO"</f>
        <v>BOLETO</v>
      </c>
      <c r="D6553" t="str">
        <f>"22399"</f>
        <v>22399</v>
      </c>
      <c r="E6553" t="str">
        <f t="shared" si="2987"/>
        <v>COM</v>
      </c>
      <c r="F6553" t="str">
        <f>"ABRADILAN ASSOCIACAO BRASILEIRA DE DISTRIBUICAO E LOGIS (20121)"</f>
        <v>ABRADILAN ASSOCIACAO BRASILEIRA DE DISTRIBUICAO E LOGIS (20121)</v>
      </c>
      <c r="G6553" t="str">
        <f>"COTA PATROCINIO - EXPOSITOR FARMACIA DO FUTURO"</f>
        <v>COTA PATROCINIO - EXPOSITOR FARMACIA DO FUTURO</v>
      </c>
      <c r="H6553" t="str">
        <f>("31/10/2025")</f>
        <v>31/10/2025</v>
      </c>
      <c r="I6553" t="str">
        <f>("16/10/2025")</f>
        <v>16/10/2025</v>
      </c>
      <c r="J6553" t="str">
        <f t="shared" ref="J6553:J6564" si="3007">("31/10/2025")</f>
        <v>31/10/2025</v>
      </c>
      <c r="K6553">
        <v>2500</v>
      </c>
      <c r="L6553">
        <v>2500</v>
      </c>
      <c r="M6553">
        <v>127</v>
      </c>
      <c r="N6553" t="str">
        <f>"PUBLICIDADE E PROPAGANDAS"</f>
        <v>PUBLICIDADE E PROPAGANDAS</v>
      </c>
      <c r="O6553">
        <v>2500</v>
      </c>
      <c r="R6553" t="str">
        <f t="shared" si="3005"/>
        <v>BANCO CORA (102)</v>
      </c>
      <c r="S6553">
        <v>2863</v>
      </c>
      <c r="T6553">
        <v>2395</v>
      </c>
      <c r="U6553" t="s">
        <v>19</v>
      </c>
    </row>
    <row r="6554" spans="1:21">
      <c r="A6554" t="str">
        <f t="shared" si="3006"/>
        <v>31/10/2025</v>
      </c>
      <c r="B6554" t="str">
        <f t="shared" si="3004"/>
        <v>SAÍDA</v>
      </c>
      <c r="C6554" t="str">
        <f>"BOLETO"</f>
        <v>BOLETO</v>
      </c>
      <c r="D6554" t="str">
        <f>"22399"</f>
        <v>22399</v>
      </c>
      <c r="E6554" t="str">
        <f t="shared" si="2987"/>
        <v>COM</v>
      </c>
      <c r="F6554" t="str">
        <f>"ABRADILAN ASSOCIACAO BRASILEIRA DE DISTRIBUICAO E LOGIS (20121)"</f>
        <v>ABRADILAN ASSOCIACAO BRASILEIRA DE DISTRIBUICAO E LOGIS (20121)</v>
      </c>
      <c r="G6554" t="str">
        <f>"COTA PATROCINIO - EXPOSITOR FARMACIA DO FUTURO"</f>
        <v>COTA PATROCINIO - EXPOSITOR FARMACIA DO FUTURO</v>
      </c>
      <c r="H6554" t="str">
        <f>("31/10/2025")</f>
        <v>31/10/2025</v>
      </c>
      <c r="I6554" t="str">
        <f>("16/10/2025")</f>
        <v>16/10/2025</v>
      </c>
      <c r="J6554" t="str">
        <f t="shared" si="3007"/>
        <v>31/10/2025</v>
      </c>
      <c r="M6554">
        <v>127</v>
      </c>
      <c r="N6554" t="str">
        <f>"PUBLICIDADE E PROPAGANDAS"</f>
        <v>PUBLICIDADE E PROPAGANDAS</v>
      </c>
      <c r="P6554">
        <v>2500</v>
      </c>
      <c r="Q6554" t="str">
        <f>"ABRADILAN ASSOCIACAO BRASILEIRA DE DISTRIBUICAO E LOGIS (20121)"</f>
        <v>ABRADILAN ASSOCIACAO BRASILEIRA DE DISTRIBUICAO E LOGIS (20121)</v>
      </c>
      <c r="R6554" t="str">
        <f t="shared" si="3005"/>
        <v>BANCO CORA (102)</v>
      </c>
      <c r="S6554">
        <v>2863</v>
      </c>
      <c r="T6554">
        <v>2395</v>
      </c>
      <c r="U6554" t="s">
        <v>19</v>
      </c>
    </row>
    <row r="6555" spans="1:21">
      <c r="A6555" t="str">
        <f t="shared" si="3006"/>
        <v>31/10/2025</v>
      </c>
      <c r="B6555" t="str">
        <f>"ENTRADA"</f>
        <v>ENTRADA</v>
      </c>
      <c r="C6555" t="str">
        <f>"NFSE"</f>
        <v>NFSE</v>
      </c>
      <c r="D6555" t="str">
        <f>"3706"</f>
        <v>3706</v>
      </c>
      <c r="E6555" t="str">
        <f t="shared" si="2987"/>
        <v>COM</v>
      </c>
      <c r="F6555" t="str">
        <f>"DROGARIA POUPA MINAS (DOIS AMIGOS) 5 (10140)"</f>
        <v>DROGARIA POUPA MINAS (DOIS AMIGOS) 5 (10140)</v>
      </c>
      <c r="G6555" t="str">
        <f>"Serv.Prest. 20/10/2025 a 26/10/2025 - RPS: 1470 - NFSe: 3706"</f>
        <v>Serv.Prest. 20/10/2025 a 26/10/2025 - RPS: 1470 - NFSe: 3706</v>
      </c>
      <c r="H6555" t="str">
        <f>("31/10/2025")</f>
        <v>31/10/2025</v>
      </c>
      <c r="I6555" t="str">
        <f>("29/10/2025")</f>
        <v>29/10/2025</v>
      </c>
      <c r="J6555" t="str">
        <f t="shared" si="3007"/>
        <v>31/10/2025</v>
      </c>
      <c r="K6555">
        <v>821.61</v>
      </c>
      <c r="L6555">
        <v>821.61</v>
      </c>
      <c r="M6555">
        <v>303</v>
      </c>
      <c r="N6555" t="str">
        <f>"RECEITAS COM ENTREGAS"</f>
        <v>RECEITAS COM ENTREGAS</v>
      </c>
      <c r="O6555">
        <v>821.61</v>
      </c>
      <c r="R6555" t="str">
        <f>"RECEITAS COM ENTREGAS (303)"</f>
        <v>RECEITAS COM ENTREGAS (303)</v>
      </c>
      <c r="S6555">
        <v>2864</v>
      </c>
      <c r="T6555">
        <v>2392</v>
      </c>
      <c r="U6555" t="s">
        <v>19</v>
      </c>
    </row>
    <row r="6556" spans="1:21">
      <c r="A6556" t="str">
        <f t="shared" si="3006"/>
        <v>31/10/2025</v>
      </c>
      <c r="B6556" t="str">
        <f t="shared" ref="B6556:B6558" si="3008">"ENTRADA"</f>
        <v>ENTRADA</v>
      </c>
      <c r="C6556" t="str">
        <f>"NFSE"</f>
        <v>NFSE</v>
      </c>
      <c r="D6556" t="str">
        <f>"3706"</f>
        <v>3706</v>
      </c>
      <c r="E6556" t="str">
        <f t="shared" si="2987"/>
        <v>COM</v>
      </c>
      <c r="F6556" t="str">
        <f>"DROGARIA POUPA MINAS (DOIS AMIGOS) 5 (10140)"</f>
        <v>DROGARIA POUPA MINAS (DOIS AMIGOS) 5 (10140)</v>
      </c>
      <c r="G6556" t="str">
        <f>"Serv.Prest. 20/10/2025 a 26/10/2025 - RPS: 1470 - NFSe: 3706"</f>
        <v>Serv.Prest. 20/10/2025 a 26/10/2025 - RPS: 1470 - NFSe: 3706</v>
      </c>
      <c r="H6556" t="str">
        <f>("31/10/2025")</f>
        <v>31/10/2025</v>
      </c>
      <c r="I6556" t="str">
        <f>("29/10/2025")</f>
        <v>29/10/2025</v>
      </c>
      <c r="J6556" t="str">
        <f t="shared" si="3007"/>
        <v>31/10/2025</v>
      </c>
      <c r="M6556">
        <v>303</v>
      </c>
      <c r="N6556" t="str">
        <f>"RECEITAS COM ENTREGAS"</f>
        <v>RECEITAS COM ENTREGAS</v>
      </c>
      <c r="P6556">
        <v>821.61</v>
      </c>
      <c r="Q6556" t="str">
        <f>"DROGARIA POUPA MINAS (ULTRAMINAS) 1 (10181)"</f>
        <v>DROGARIA POUPA MINAS (ULTRAMINAS) 1 (10181)</v>
      </c>
      <c r="R6556" t="str">
        <f>"RECEITAS COM ENTREGAS (303)"</f>
        <v>RECEITAS COM ENTREGAS (303)</v>
      </c>
      <c r="S6556">
        <v>2864</v>
      </c>
      <c r="T6556">
        <v>2392</v>
      </c>
      <c r="U6556" t="s">
        <v>19</v>
      </c>
    </row>
    <row r="6557" spans="1:21">
      <c r="A6557" t="str">
        <f t="shared" si="3006"/>
        <v>31/10/2025</v>
      </c>
      <c r="B6557" t="str">
        <f t="shared" si="3008"/>
        <v>ENTRADA</v>
      </c>
      <c r="C6557" t="str">
        <f>"NFSE"</f>
        <v>NFSE</v>
      </c>
      <c r="D6557" t="str">
        <f>"3697"</f>
        <v>3697</v>
      </c>
      <c r="E6557" t="str">
        <f t="shared" si="2987"/>
        <v>COM</v>
      </c>
      <c r="F6557" t="str">
        <f>"DROGARIA MORENO LTDA (10171)"</f>
        <v>DROGARIA MORENO LTDA (10171)</v>
      </c>
      <c r="G6557" t="str">
        <f>"Serv.Prest. 20/10/2025 a 26/10/2025 - RPS: 1461 - NFSe: 3697"</f>
        <v>Serv.Prest. 20/10/2025 a 26/10/2025 - RPS: 1461 - NFSe: 3697</v>
      </c>
      <c r="H6557" t="str">
        <f>("29/10/2025")</f>
        <v>29/10/2025</v>
      </c>
      <c r="I6557" t="str">
        <f>("27/10/2025")</f>
        <v>27/10/2025</v>
      </c>
      <c r="J6557" t="str">
        <f t="shared" si="3007"/>
        <v>31/10/2025</v>
      </c>
      <c r="K6557">
        <v>424.8</v>
      </c>
      <c r="L6557">
        <v>433.43</v>
      </c>
      <c r="M6557">
        <v>303</v>
      </c>
      <c r="N6557" t="str">
        <f>"RECEITAS COM ENTREGAS"</f>
        <v>RECEITAS COM ENTREGAS</v>
      </c>
      <c r="O6557">
        <v>433.43</v>
      </c>
      <c r="R6557" t="str">
        <f>"RECEITAS COM ENTREGAS (303)"</f>
        <v>RECEITAS COM ENTREGAS (303)</v>
      </c>
      <c r="S6557">
        <v>2937</v>
      </c>
      <c r="T6557">
        <v>2383</v>
      </c>
      <c r="U6557" t="s">
        <v>19</v>
      </c>
    </row>
    <row r="6558" spans="1:21">
      <c r="A6558" t="str">
        <f t="shared" si="3006"/>
        <v>31/10/2025</v>
      </c>
      <c r="B6558" t="str">
        <f t="shared" si="3008"/>
        <v>ENTRADA</v>
      </c>
      <c r="C6558" t="str">
        <f>"NFSE"</f>
        <v>NFSE</v>
      </c>
      <c r="D6558" t="str">
        <f>"3697"</f>
        <v>3697</v>
      </c>
      <c r="E6558" t="str">
        <f t="shared" si="2987"/>
        <v>COM</v>
      </c>
      <c r="F6558" t="str">
        <f>"DROGARIA MORENO LTDA (10171)"</f>
        <v>DROGARIA MORENO LTDA (10171)</v>
      </c>
      <c r="G6558" t="str">
        <f>"Serv.Prest. 20/10/2025 a 26/10/2025 - RPS: 1461 - NFSe: 3697"</f>
        <v>Serv.Prest. 20/10/2025 a 26/10/2025 - RPS: 1461 - NFSe: 3697</v>
      </c>
      <c r="H6558" t="str">
        <f>("29/10/2025")</f>
        <v>29/10/2025</v>
      </c>
      <c r="I6558" t="str">
        <f>("27/10/2025")</f>
        <v>27/10/2025</v>
      </c>
      <c r="J6558" t="str">
        <f t="shared" si="3007"/>
        <v>31/10/2025</v>
      </c>
      <c r="M6558">
        <v>303</v>
      </c>
      <c r="N6558" t="str">
        <f>"RECEITAS COM ENTREGAS"</f>
        <v>RECEITAS COM ENTREGAS</v>
      </c>
      <c r="P6558">
        <v>433.43</v>
      </c>
      <c r="Q6558" t="str">
        <f>"DROGARIA MORENO LTDA (10171)"</f>
        <v>DROGARIA MORENO LTDA (10171)</v>
      </c>
      <c r="R6558" t="str">
        <f>"RECEITAS COM ENTREGAS (303)"</f>
        <v>RECEITAS COM ENTREGAS (303)</v>
      </c>
      <c r="S6558">
        <v>2937</v>
      </c>
      <c r="T6558">
        <v>2383</v>
      </c>
      <c r="U6558" t="s">
        <v>19</v>
      </c>
    </row>
    <row r="6559" spans="1:21">
      <c r="A6559" t="str">
        <f t="shared" si="3006"/>
        <v>31/10/2025</v>
      </c>
      <c r="B6559" t="str">
        <f>"ENTRADA"</f>
        <v>ENTRADA</v>
      </c>
      <c r="C6559" t="str">
        <f>"TRANSFERENCIA"</f>
        <v>TRANSFERENCIA</v>
      </c>
      <c r="D6559" t="str">
        <f>""</f>
        <v/>
      </c>
      <c r="E6559" t="str">
        <f>"TRF"</f>
        <v>TRF</v>
      </c>
      <c r="F6559" t="str">
        <f>""</f>
        <v/>
      </c>
      <c r="G6559" t="str">
        <f>"DEVOLUÇÃO DA AJUDA DE MOVIMENTO DE CAIXA COORPORATIVA (120-&gt;102)"</f>
        <v>DEVOLUÇÃO DA AJUDA DE MOVIMENTO DE CAIXA COORPORATIVA (120-&gt;102)</v>
      </c>
      <c r="H6559" t="str">
        <f t="shared" ref="H6559:I6562" si="3009">("31/10/2025")</f>
        <v>31/10/2025</v>
      </c>
      <c r="I6559" t="str">
        <f t="shared" si="3009"/>
        <v>31/10/2025</v>
      </c>
      <c r="J6559" t="str">
        <f t="shared" si="3007"/>
        <v>31/10/2025</v>
      </c>
      <c r="M6559">
        <v>102</v>
      </c>
      <c r="N6559" t="str">
        <f>"BANCO CORA"</f>
        <v>BANCO CORA</v>
      </c>
      <c r="O6559">
        <v>20000</v>
      </c>
      <c r="R6559" t="str">
        <f>"BANCO CORA (102)"</f>
        <v>BANCO CORA (102)</v>
      </c>
      <c r="S6559">
        <v>3185</v>
      </c>
      <c r="T6559">
        <v>0</v>
      </c>
      <c r="U6559" t="s">
        <v>19</v>
      </c>
    </row>
    <row r="6560" spans="1:21">
      <c r="A6560" t="str">
        <f t="shared" si="3006"/>
        <v>31/10/2025</v>
      </c>
      <c r="B6560" t="str">
        <f>"SAÍDA"</f>
        <v>SAÍDA</v>
      </c>
      <c r="C6560" t="str">
        <f>"TRANSFERENCIA"</f>
        <v>TRANSFERENCIA</v>
      </c>
      <c r="D6560" t="str">
        <f>""</f>
        <v/>
      </c>
      <c r="E6560" t="str">
        <f>"TRF"</f>
        <v>TRF</v>
      </c>
      <c r="F6560" t="str">
        <f>""</f>
        <v/>
      </c>
      <c r="G6560" t="str">
        <f>"DEVOLUÇÃO DA AJUDA DE MOVIMENTO DE CAIXA COORPORATIVA (120-&gt;102)"</f>
        <v>DEVOLUÇÃO DA AJUDA DE MOVIMENTO DE CAIXA COORPORATIVA (120-&gt;102)</v>
      </c>
      <c r="H6560" t="str">
        <f t="shared" si="3009"/>
        <v>31/10/2025</v>
      </c>
      <c r="I6560" t="str">
        <f t="shared" si="3009"/>
        <v>31/10/2025</v>
      </c>
      <c r="J6560" t="str">
        <f t="shared" si="3007"/>
        <v>31/10/2025</v>
      </c>
      <c r="M6560">
        <v>120</v>
      </c>
      <c r="N6560" t="str">
        <f>"CAIXA - COOPERATIVA"</f>
        <v>CAIXA - COOPERATIVA</v>
      </c>
      <c r="O6560">
        <v>20000</v>
      </c>
      <c r="R6560" t="str">
        <f>"CAIXA - COOPERATIVA (120)"</f>
        <v>CAIXA - COOPERATIVA (120)</v>
      </c>
      <c r="S6560">
        <v>3185</v>
      </c>
      <c r="T6560">
        <v>0</v>
      </c>
      <c r="U6560" t="s">
        <v>26</v>
      </c>
    </row>
    <row r="6561" spans="1:21">
      <c r="A6561" t="str">
        <f t="shared" si="3006"/>
        <v>31/10/2025</v>
      </c>
      <c r="B6561" t="str">
        <f>"SAÍDA"</f>
        <v>SAÍDA</v>
      </c>
      <c r="C6561" t="str">
        <f>"PIX"</f>
        <v>PIX</v>
      </c>
      <c r="D6561" t="str">
        <f>"31102025"</f>
        <v>31102025</v>
      </c>
      <c r="E6561" t="str">
        <f>"COM"</f>
        <v>COM</v>
      </c>
      <c r="F6561" t="str">
        <f>"LILIANE DE FATIMA REZENDE JUSTINO (20013)"</f>
        <v>LILIANE DE FATIMA REZENDE JUSTINO (20013)</v>
      </c>
      <c r="G6561" t="str">
        <f>"DESPESAS DE VIAGEM ITURAMA"</f>
        <v>DESPESAS DE VIAGEM ITURAMA</v>
      </c>
      <c r="H6561" t="str">
        <f t="shared" si="3009"/>
        <v>31/10/2025</v>
      </c>
      <c r="I6561" t="str">
        <f t="shared" si="3009"/>
        <v>31/10/2025</v>
      </c>
      <c r="J6561" t="str">
        <f t="shared" si="3007"/>
        <v>31/10/2025</v>
      </c>
      <c r="K6561">
        <v>971</v>
      </c>
      <c r="L6561">
        <v>971</v>
      </c>
      <c r="M6561">
        <v>128</v>
      </c>
      <c r="N6561" t="str">
        <f>"DESPESAS COM VIAGENS"</f>
        <v>DESPESAS COM VIAGENS</v>
      </c>
      <c r="O6561">
        <v>971</v>
      </c>
      <c r="R6561" t="str">
        <f>"BANCO CORA (102)"</f>
        <v>BANCO CORA (102)</v>
      </c>
      <c r="S6561">
        <v>3186</v>
      </c>
      <c r="T6561">
        <v>2767</v>
      </c>
      <c r="U6561" t="s">
        <v>19</v>
      </c>
    </row>
    <row r="6562" spans="1:21">
      <c r="A6562" t="str">
        <f t="shared" si="3006"/>
        <v>31/10/2025</v>
      </c>
      <c r="B6562" t="str">
        <f>"SAÍDA"</f>
        <v>SAÍDA</v>
      </c>
      <c r="C6562" t="str">
        <f>"PIX"</f>
        <v>PIX</v>
      </c>
      <c r="D6562" t="str">
        <f>"31102025"</f>
        <v>31102025</v>
      </c>
      <c r="E6562" t="str">
        <f>"COM"</f>
        <v>COM</v>
      </c>
      <c r="F6562" t="str">
        <f>"LILIANE DE FATIMA REZENDE JUSTINO (20013)"</f>
        <v>LILIANE DE FATIMA REZENDE JUSTINO (20013)</v>
      </c>
      <c r="G6562" t="str">
        <f>"DESPESAS DE VIAGEM ITURAMA"</f>
        <v>DESPESAS DE VIAGEM ITURAMA</v>
      </c>
      <c r="H6562" t="str">
        <f t="shared" si="3009"/>
        <v>31/10/2025</v>
      </c>
      <c r="I6562" t="str">
        <f t="shared" si="3009"/>
        <v>31/10/2025</v>
      </c>
      <c r="J6562" t="str">
        <f t="shared" si="3007"/>
        <v>31/10/2025</v>
      </c>
      <c r="M6562">
        <v>128</v>
      </c>
      <c r="N6562" t="str">
        <f>"DESPESAS COM VIAGENS"</f>
        <v>DESPESAS COM VIAGENS</v>
      </c>
      <c r="P6562">
        <v>971</v>
      </c>
      <c r="Q6562" t="str">
        <f>"LILIANE DE FATIMA REZENDE JUSTINO (20013)"</f>
        <v>LILIANE DE FATIMA REZENDE JUSTINO (20013)</v>
      </c>
      <c r="R6562" t="str">
        <f>"BANCO CORA (102)"</f>
        <v>BANCO CORA (102)</v>
      </c>
      <c r="S6562">
        <v>3186</v>
      </c>
      <c r="T6562">
        <v>2767</v>
      </c>
      <c r="U6562" t="s">
        <v>19</v>
      </c>
    </row>
    <row r="6563" spans="1:21">
      <c r="A6563" t="str">
        <f t="shared" si="3006"/>
        <v>31/10/2025</v>
      </c>
      <c r="B6563" t="str">
        <f>"SAÍDA"</f>
        <v>SAÍDA</v>
      </c>
      <c r="C6563" t="str">
        <f>"BOLETO"</f>
        <v>BOLETO</v>
      </c>
      <c r="D6563" t="str">
        <f>"011125"</f>
        <v>011125</v>
      </c>
      <c r="E6563" t="str">
        <f>"COM"</f>
        <v>COM</v>
      </c>
      <c r="F6563" t="str">
        <f>"CORA SOCIEDADE DE CREDITO, FINANCIAMENTO E INVESTIMENTO (20035)"</f>
        <v>CORA SOCIEDADE DE CREDITO, FINANCIAMENTO E INVESTIMENTO (20035)</v>
      </c>
      <c r="G6563" t="str">
        <f>"TAXA BOLETO CORA"</f>
        <v>TAXA BOLETO CORA</v>
      </c>
      <c r="H6563" t="str">
        <f>("31/10/2025")</f>
        <v>31/10/2025</v>
      </c>
      <c r="I6563" t="str">
        <f>("01/11/2025")</f>
        <v>01/11/2025</v>
      </c>
      <c r="J6563" t="str">
        <f t="shared" si="3007"/>
        <v>31/10/2025</v>
      </c>
      <c r="K6563">
        <v>1.9</v>
      </c>
      <c r="L6563">
        <v>1.9</v>
      </c>
      <c r="M6563">
        <v>401</v>
      </c>
      <c r="N6563" t="str">
        <f>"IOF/JUROS/DESP.FINANCEIRA"</f>
        <v>IOF/JUROS/DESP.FINANCEIRA</v>
      </c>
      <c r="O6563">
        <v>1.9</v>
      </c>
      <c r="R6563" t="str">
        <f>"BANCO CORA (102)"</f>
        <v>BANCO CORA (102)</v>
      </c>
      <c r="S6563">
        <v>3187</v>
      </c>
      <c r="T6563">
        <v>2768</v>
      </c>
      <c r="U6563" t="s">
        <v>19</v>
      </c>
    </row>
    <row r="6564" spans="1:21">
      <c r="A6564" t="str">
        <f t="shared" si="3006"/>
        <v>31/10/2025</v>
      </c>
      <c r="B6564" t="str">
        <f>"SAÍDA"</f>
        <v>SAÍDA</v>
      </c>
      <c r="C6564" t="str">
        <f>"BOLETO"</f>
        <v>BOLETO</v>
      </c>
      <c r="D6564" t="str">
        <f>"011125"</f>
        <v>011125</v>
      </c>
      <c r="E6564" t="str">
        <f>"COM"</f>
        <v>COM</v>
      </c>
      <c r="F6564" t="str">
        <f>"CORA SOCIEDADE DE CREDITO, FINANCIAMENTO E INVESTIMENTO (20035)"</f>
        <v>CORA SOCIEDADE DE CREDITO, FINANCIAMENTO E INVESTIMENTO (20035)</v>
      </c>
      <c r="G6564" t="str">
        <f>"TAXA BOLETO CORA"</f>
        <v>TAXA BOLETO CORA</v>
      </c>
      <c r="H6564" t="str">
        <f>("31/10/2025")</f>
        <v>31/10/2025</v>
      </c>
      <c r="I6564" t="str">
        <f>("01/11/2025")</f>
        <v>01/11/2025</v>
      </c>
      <c r="J6564" t="str">
        <f t="shared" si="3007"/>
        <v>31/10/2025</v>
      </c>
      <c r="M6564">
        <v>401</v>
      </c>
      <c r="N6564" t="str">
        <f>"IOF/JUROS/DESP.FINANCEIRA"</f>
        <v>IOF/JUROS/DESP.FINANCEIRA</v>
      </c>
      <c r="P6564">
        <v>1.9</v>
      </c>
      <c r="Q6564" t="str">
        <f>"CORA SOCIEDADE DE CREDITO, FINANCIAMENTO E INVESTIMENTO (20035)"</f>
        <v>CORA SOCIEDADE DE CREDITO, FINANCIAMENTO E INVESTIMENTO (20035)</v>
      </c>
      <c r="R6564" t="str">
        <f>"BANCO CORA (102)"</f>
        <v>BANCO CORA (102)</v>
      </c>
      <c r="S6564">
        <v>3187</v>
      </c>
      <c r="T6564">
        <v>2768</v>
      </c>
      <c r="U6564" t="s">
        <v>19</v>
      </c>
    </row>
  </sheetData>
  <autoFilter ref="A1:U65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Robert Magdiel</cp:lastModifiedBy>
  <dcterms:created xsi:type="dcterms:W3CDTF">2025-11-21T18:33:21Z</dcterms:created>
  <dcterms:modified xsi:type="dcterms:W3CDTF">2026-03-05T12:22:34Z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2025-11-24T11:40:42Z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1ec94ea8-c9a0-4372-83b2-9dc2e4bca84c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